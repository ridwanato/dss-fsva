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PAD\.gemini\antigravity\scratch\dss-fsva\public\templates_v2\kab_kota\"/>
    </mc:Choice>
  </mc:AlternateContent>
  <xr:revisionPtr revIDLastSave="0" documentId="8_{8E0AE6CB-17C1-47DC-B83D-2FB312C040E6}" xr6:coauthVersionLast="47" xr6:coauthVersionMax="47" xr10:uidLastSave="{00000000-0000-0000-0000-000000000000}"/>
  <bookViews>
    <workbookView xWindow="1536" yWindow="1536" windowWidth="17280" windowHeight="8964" tabRatio="839" xr2:uid="{00000000-000D-0000-FFFF-FFFF00000000}"/>
  </bookViews>
  <sheets>
    <sheet name="1.1 Produksi Bersih Padi 2025" sheetId="1" r:id="rId1"/>
    <sheet name="1.2 Produksi Bersih Jagung 2025" sheetId="8" r:id="rId2"/>
    <sheet name="1.3 Prod Bersih Ubi Kayu 2025" sheetId="9" r:id="rId3"/>
    <sheet name="1.4 Prod Bersih Ubi Jalar 2025" sheetId="11" r:id="rId4"/>
    <sheet name="1.5 Prod Bersih Sagu 2025" sheetId="14" r:id="rId5"/>
    <sheet name="1.6 Prod Bersih Pisang 2025" sheetId="15" r:id="rId6"/>
    <sheet name="1.7 NCPR" sheetId="13" r:id="rId7"/>
  </sheets>
  <externalReferences>
    <externalReference r:id="rId8"/>
  </externalReferences>
  <definedNames>
    <definedName name="_xlnm._FilterDatabase" localSheetId="0" hidden="1">'1.1 Produksi Bersih Padi 2025'!$A$4:$S$703</definedName>
    <definedName name="_xlnm._FilterDatabase" localSheetId="6" hidden="1">'1.7 NCPR'!$A$2:$R$701</definedName>
    <definedName name="_xlnm.Print_Area" localSheetId="3">'1.4 Prod Bersih Ubi Jalar 2025'!$A$1:$J$19</definedName>
    <definedName name="_xlnm.Print_Area" localSheetId="4">'1.5 Prod Bersih Sagu 2025'!$A$1:$J$19</definedName>
    <definedName name="_xlnm.Print_Area" localSheetId="5">'1.6 Prod Bersih Pisang 2025'!$A$1:$J$19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59" i="1" l="1"/>
  <c r="E857" i="13" s="1"/>
  <c r="D859" i="1"/>
  <c r="C859" i="1"/>
  <c r="C857" i="13" s="1"/>
  <c r="B859" i="1"/>
  <c r="B857" i="13" s="1"/>
  <c r="A859" i="1"/>
  <c r="A857" i="13" s="1"/>
  <c r="E858" i="1"/>
  <c r="E856" i="13" s="1"/>
  <c r="D858" i="1"/>
  <c r="C858" i="1"/>
  <c r="C856" i="13" s="1"/>
  <c r="B858" i="1"/>
  <c r="B856" i="13" s="1"/>
  <c r="A858" i="1"/>
  <c r="A856" i="13" s="1"/>
  <c r="E857" i="1"/>
  <c r="E855" i="13" s="1"/>
  <c r="D857" i="1"/>
  <c r="C857" i="1"/>
  <c r="C855" i="13" s="1"/>
  <c r="B857" i="1"/>
  <c r="B855" i="13" s="1"/>
  <c r="A857" i="1"/>
  <c r="A855" i="13" s="1"/>
  <c r="E856" i="1"/>
  <c r="E854" i="13" s="1"/>
  <c r="D856" i="1"/>
  <c r="C856" i="1"/>
  <c r="C854" i="13" s="1"/>
  <c r="B856" i="1"/>
  <c r="B854" i="13" s="1"/>
  <c r="A856" i="1"/>
  <c r="A854" i="13" s="1"/>
  <c r="E855" i="1"/>
  <c r="E853" i="13" s="1"/>
  <c r="D855" i="1"/>
  <c r="C855" i="1"/>
  <c r="C853" i="13" s="1"/>
  <c r="B855" i="1"/>
  <c r="B853" i="13" s="1"/>
  <c r="A855" i="1"/>
  <c r="A853" i="13" s="1"/>
  <c r="E854" i="1"/>
  <c r="E852" i="13" s="1"/>
  <c r="D854" i="1"/>
  <c r="C854" i="1"/>
  <c r="C852" i="13" s="1"/>
  <c r="B854" i="1"/>
  <c r="B852" i="13" s="1"/>
  <c r="A854" i="1"/>
  <c r="A852" i="13" s="1"/>
  <c r="E853" i="1"/>
  <c r="E851" i="13" s="1"/>
  <c r="D853" i="1"/>
  <c r="C853" i="1"/>
  <c r="C851" i="13" s="1"/>
  <c r="B853" i="1"/>
  <c r="B851" i="13" s="1"/>
  <c r="A853" i="1"/>
  <c r="A851" i="13" s="1"/>
  <c r="E852" i="1"/>
  <c r="E850" i="13" s="1"/>
  <c r="D852" i="1"/>
  <c r="C852" i="1"/>
  <c r="C850" i="13" s="1"/>
  <c r="B852" i="1"/>
  <c r="B850" i="13" s="1"/>
  <c r="A852" i="1"/>
  <c r="A850" i="13" s="1"/>
  <c r="E851" i="1"/>
  <c r="E849" i="13" s="1"/>
  <c r="D851" i="1"/>
  <c r="C851" i="1"/>
  <c r="C849" i="13" s="1"/>
  <c r="B851" i="1"/>
  <c r="B849" i="13" s="1"/>
  <c r="A851" i="1"/>
  <c r="A849" i="13" s="1"/>
  <c r="E850" i="1"/>
  <c r="E848" i="13" s="1"/>
  <c r="D850" i="1"/>
  <c r="C850" i="1"/>
  <c r="C848" i="13" s="1"/>
  <c r="B850" i="1"/>
  <c r="B848" i="13" s="1"/>
  <c r="A850" i="1"/>
  <c r="A848" i="13" s="1"/>
  <c r="E849" i="1"/>
  <c r="E847" i="13" s="1"/>
  <c r="D849" i="1"/>
  <c r="C849" i="1"/>
  <c r="C847" i="13" s="1"/>
  <c r="B849" i="1"/>
  <c r="B847" i="13" s="1"/>
  <c r="A849" i="1"/>
  <c r="A847" i="13" s="1"/>
  <c r="E848" i="1"/>
  <c r="E846" i="13" s="1"/>
  <c r="D848" i="1"/>
  <c r="D846" i="13" s="1"/>
  <c r="M846" i="13" s="1"/>
  <c r="N846" i="13" s="1"/>
  <c r="P846" i="13" s="1"/>
  <c r="C848" i="1"/>
  <c r="C846" i="13" s="1"/>
  <c r="B848" i="1"/>
  <c r="B846" i="13" s="1"/>
  <c r="A848" i="1"/>
  <c r="A846" i="13" s="1"/>
  <c r="E847" i="1"/>
  <c r="E845" i="13" s="1"/>
  <c r="D847" i="1"/>
  <c r="C847" i="1"/>
  <c r="C845" i="13" s="1"/>
  <c r="B847" i="1"/>
  <c r="B845" i="13" s="1"/>
  <c r="A847" i="1"/>
  <c r="A845" i="13" s="1"/>
  <c r="E846" i="1"/>
  <c r="E844" i="13" s="1"/>
  <c r="D846" i="1"/>
  <c r="C846" i="1"/>
  <c r="C844" i="13" s="1"/>
  <c r="B846" i="1"/>
  <c r="B844" i="13" s="1"/>
  <c r="A846" i="1"/>
  <c r="A844" i="13" s="1"/>
  <c r="E845" i="1"/>
  <c r="E843" i="13" s="1"/>
  <c r="D845" i="1"/>
  <c r="C845" i="1"/>
  <c r="C843" i="13" s="1"/>
  <c r="B845" i="1"/>
  <c r="B843" i="13" s="1"/>
  <c r="A845" i="1"/>
  <c r="A843" i="13" s="1"/>
  <c r="E844" i="1"/>
  <c r="E842" i="13" s="1"/>
  <c r="D844" i="1"/>
  <c r="C844" i="1"/>
  <c r="C842" i="13" s="1"/>
  <c r="B844" i="1"/>
  <c r="B842" i="13" s="1"/>
  <c r="A844" i="1"/>
  <c r="A842" i="13" s="1"/>
  <c r="E843" i="1"/>
  <c r="E841" i="13" s="1"/>
  <c r="D843" i="1"/>
  <c r="D841" i="13" s="1"/>
  <c r="M841" i="13" s="1"/>
  <c r="N841" i="13" s="1"/>
  <c r="P841" i="13" s="1"/>
  <c r="C843" i="1"/>
  <c r="C841" i="13" s="1"/>
  <c r="B843" i="1"/>
  <c r="B841" i="13" s="1"/>
  <c r="A843" i="1"/>
  <c r="A841" i="13" s="1"/>
  <c r="E842" i="1"/>
  <c r="E840" i="13" s="1"/>
  <c r="D842" i="1"/>
  <c r="C842" i="1"/>
  <c r="C840" i="13" s="1"/>
  <c r="B842" i="1"/>
  <c r="B840" i="13" s="1"/>
  <c r="A842" i="1"/>
  <c r="A840" i="13" s="1"/>
  <c r="E841" i="1"/>
  <c r="E839" i="13" s="1"/>
  <c r="D841" i="1"/>
  <c r="C841" i="1"/>
  <c r="C839" i="13" s="1"/>
  <c r="B841" i="1"/>
  <c r="B839" i="13" s="1"/>
  <c r="A841" i="1"/>
  <c r="A839" i="13" s="1"/>
  <c r="E840" i="1"/>
  <c r="E838" i="13" s="1"/>
  <c r="D840" i="1"/>
  <c r="C840" i="1"/>
  <c r="C838" i="13" s="1"/>
  <c r="B840" i="1"/>
  <c r="B838" i="13" s="1"/>
  <c r="A840" i="1"/>
  <c r="A838" i="13" s="1"/>
  <c r="E839" i="1"/>
  <c r="E837" i="13" s="1"/>
  <c r="D839" i="1"/>
  <c r="C839" i="1"/>
  <c r="C837" i="13" s="1"/>
  <c r="B839" i="1"/>
  <c r="B837" i="13" s="1"/>
  <c r="A839" i="1"/>
  <c r="A837" i="13" s="1"/>
  <c r="E838" i="1"/>
  <c r="E836" i="13" s="1"/>
  <c r="D838" i="1"/>
  <c r="C838" i="1"/>
  <c r="C836" i="13" s="1"/>
  <c r="B838" i="1"/>
  <c r="B836" i="13" s="1"/>
  <c r="A838" i="1"/>
  <c r="A836" i="13" s="1"/>
  <c r="E837" i="1"/>
  <c r="E835" i="13" s="1"/>
  <c r="D837" i="1"/>
  <c r="C837" i="1"/>
  <c r="C835" i="13" s="1"/>
  <c r="B837" i="1"/>
  <c r="B835" i="13" s="1"/>
  <c r="A837" i="1"/>
  <c r="A835" i="13" s="1"/>
  <c r="E836" i="1"/>
  <c r="E834" i="13" s="1"/>
  <c r="D836" i="1"/>
  <c r="C836" i="1"/>
  <c r="C834" i="13" s="1"/>
  <c r="B836" i="1"/>
  <c r="B834" i="13" s="1"/>
  <c r="A836" i="1"/>
  <c r="A834" i="13" s="1"/>
  <c r="E835" i="1"/>
  <c r="E833" i="13" s="1"/>
  <c r="D835" i="1"/>
  <c r="C835" i="1"/>
  <c r="C833" i="13" s="1"/>
  <c r="B835" i="1"/>
  <c r="B833" i="13" s="1"/>
  <c r="A835" i="1"/>
  <c r="A833" i="13" s="1"/>
  <c r="E834" i="1"/>
  <c r="E832" i="13" s="1"/>
  <c r="D834" i="1"/>
  <c r="C834" i="1"/>
  <c r="C832" i="13" s="1"/>
  <c r="B834" i="1"/>
  <c r="B832" i="13" s="1"/>
  <c r="A834" i="1"/>
  <c r="A832" i="13" s="1"/>
  <c r="E833" i="1"/>
  <c r="E831" i="13" s="1"/>
  <c r="D833" i="1"/>
  <c r="C833" i="1"/>
  <c r="C831" i="13" s="1"/>
  <c r="B833" i="1"/>
  <c r="B831" i="13" s="1"/>
  <c r="A833" i="1"/>
  <c r="A831" i="13" s="1"/>
  <c r="E832" i="1"/>
  <c r="E830" i="13" s="1"/>
  <c r="D832" i="1"/>
  <c r="C832" i="1"/>
  <c r="C830" i="13" s="1"/>
  <c r="B832" i="1"/>
  <c r="B830" i="13" s="1"/>
  <c r="A832" i="1"/>
  <c r="A830" i="13" s="1"/>
  <c r="E831" i="1"/>
  <c r="E829" i="13" s="1"/>
  <c r="D831" i="1"/>
  <c r="C831" i="1"/>
  <c r="C829" i="13" s="1"/>
  <c r="B831" i="1"/>
  <c r="B829" i="13" s="1"/>
  <c r="A831" i="1"/>
  <c r="A829" i="13" s="1"/>
  <c r="E830" i="1"/>
  <c r="E828" i="13" s="1"/>
  <c r="D830" i="1"/>
  <c r="C830" i="1"/>
  <c r="C828" i="13" s="1"/>
  <c r="B830" i="1"/>
  <c r="B828" i="13" s="1"/>
  <c r="A830" i="1"/>
  <c r="A828" i="13" s="1"/>
  <c r="E829" i="1"/>
  <c r="E827" i="13" s="1"/>
  <c r="D829" i="1"/>
  <c r="C829" i="1"/>
  <c r="C827" i="13" s="1"/>
  <c r="B829" i="1"/>
  <c r="B827" i="13" s="1"/>
  <c r="A829" i="1"/>
  <c r="A827" i="13" s="1"/>
  <c r="E828" i="1"/>
  <c r="E826" i="13" s="1"/>
  <c r="D828" i="1"/>
  <c r="C828" i="1"/>
  <c r="C826" i="13" s="1"/>
  <c r="B828" i="1"/>
  <c r="B826" i="13" s="1"/>
  <c r="A828" i="1"/>
  <c r="A826" i="13" s="1"/>
  <c r="E827" i="1"/>
  <c r="E825" i="13" s="1"/>
  <c r="D827" i="1"/>
  <c r="C827" i="1"/>
  <c r="C825" i="13" s="1"/>
  <c r="B827" i="1"/>
  <c r="B825" i="13" s="1"/>
  <c r="A827" i="1"/>
  <c r="A825" i="13" s="1"/>
  <c r="E826" i="1"/>
  <c r="E824" i="13" s="1"/>
  <c r="D826" i="1"/>
  <c r="C826" i="1"/>
  <c r="C824" i="13" s="1"/>
  <c r="B826" i="1"/>
  <c r="B824" i="13" s="1"/>
  <c r="A826" i="1"/>
  <c r="A824" i="13" s="1"/>
  <c r="E825" i="1"/>
  <c r="E823" i="13" s="1"/>
  <c r="D825" i="1"/>
  <c r="C825" i="1"/>
  <c r="C823" i="13" s="1"/>
  <c r="B825" i="1"/>
  <c r="B823" i="13" s="1"/>
  <c r="A825" i="1"/>
  <c r="A823" i="13" s="1"/>
  <c r="E824" i="1"/>
  <c r="E822" i="13" s="1"/>
  <c r="D824" i="1"/>
  <c r="C824" i="1"/>
  <c r="C822" i="13" s="1"/>
  <c r="B824" i="1"/>
  <c r="B822" i="13" s="1"/>
  <c r="A824" i="1"/>
  <c r="A822" i="13" s="1"/>
  <c r="E823" i="1"/>
  <c r="E821" i="13" s="1"/>
  <c r="D823" i="1"/>
  <c r="C823" i="1"/>
  <c r="C821" i="13" s="1"/>
  <c r="B823" i="1"/>
  <c r="B821" i="13" s="1"/>
  <c r="A823" i="1"/>
  <c r="A821" i="13" s="1"/>
  <c r="E822" i="1"/>
  <c r="E820" i="13" s="1"/>
  <c r="D822" i="1"/>
  <c r="C822" i="1"/>
  <c r="C820" i="13" s="1"/>
  <c r="B822" i="1"/>
  <c r="B820" i="13" s="1"/>
  <c r="A822" i="1"/>
  <c r="A820" i="13" s="1"/>
  <c r="E821" i="1"/>
  <c r="E819" i="13" s="1"/>
  <c r="D821" i="1"/>
  <c r="C821" i="1"/>
  <c r="C819" i="13" s="1"/>
  <c r="B821" i="1"/>
  <c r="B819" i="13" s="1"/>
  <c r="A821" i="1"/>
  <c r="A819" i="13" s="1"/>
  <c r="E820" i="1"/>
  <c r="E818" i="13" s="1"/>
  <c r="D820" i="1"/>
  <c r="C820" i="1"/>
  <c r="C818" i="13" s="1"/>
  <c r="B820" i="1"/>
  <c r="B818" i="13" s="1"/>
  <c r="A820" i="1"/>
  <c r="A818" i="13" s="1"/>
  <c r="E819" i="1"/>
  <c r="E817" i="13" s="1"/>
  <c r="D819" i="1"/>
  <c r="C819" i="1"/>
  <c r="C817" i="13" s="1"/>
  <c r="B819" i="1"/>
  <c r="B817" i="13" s="1"/>
  <c r="A819" i="1"/>
  <c r="A817" i="13" s="1"/>
  <c r="E818" i="1"/>
  <c r="E816" i="13" s="1"/>
  <c r="D818" i="1"/>
  <c r="C818" i="1"/>
  <c r="C816" i="13" s="1"/>
  <c r="B818" i="1"/>
  <c r="B816" i="13" s="1"/>
  <c r="A818" i="1"/>
  <c r="A816" i="13" s="1"/>
  <c r="E817" i="1"/>
  <c r="E815" i="13" s="1"/>
  <c r="D817" i="1"/>
  <c r="C817" i="1"/>
  <c r="C815" i="13" s="1"/>
  <c r="B817" i="1"/>
  <c r="B815" i="13" s="1"/>
  <c r="A817" i="1"/>
  <c r="A815" i="13" s="1"/>
  <c r="E816" i="1"/>
  <c r="E814" i="13" s="1"/>
  <c r="D816" i="1"/>
  <c r="C816" i="1"/>
  <c r="C814" i="13" s="1"/>
  <c r="B816" i="1"/>
  <c r="B814" i="13" s="1"/>
  <c r="A816" i="1"/>
  <c r="A814" i="13" s="1"/>
  <c r="E815" i="1"/>
  <c r="E813" i="13" s="1"/>
  <c r="D815" i="1"/>
  <c r="C815" i="1"/>
  <c r="C813" i="13" s="1"/>
  <c r="B815" i="1"/>
  <c r="B813" i="13" s="1"/>
  <c r="A815" i="1"/>
  <c r="A813" i="13" s="1"/>
  <c r="E814" i="1"/>
  <c r="E812" i="13" s="1"/>
  <c r="D814" i="1"/>
  <c r="C814" i="1"/>
  <c r="C812" i="13" s="1"/>
  <c r="B814" i="1"/>
  <c r="B812" i="13" s="1"/>
  <c r="A814" i="1"/>
  <c r="A812" i="13" s="1"/>
  <c r="E813" i="1"/>
  <c r="E811" i="13" s="1"/>
  <c r="D813" i="1"/>
  <c r="C813" i="1"/>
  <c r="C811" i="13" s="1"/>
  <c r="B813" i="1"/>
  <c r="B811" i="13" s="1"/>
  <c r="A813" i="1"/>
  <c r="A811" i="13" s="1"/>
  <c r="E812" i="1"/>
  <c r="E810" i="13" s="1"/>
  <c r="D812" i="1"/>
  <c r="C812" i="1"/>
  <c r="C810" i="13" s="1"/>
  <c r="B812" i="1"/>
  <c r="B810" i="13" s="1"/>
  <c r="A812" i="1"/>
  <c r="A810" i="13" s="1"/>
  <c r="E811" i="1"/>
  <c r="E809" i="13" s="1"/>
  <c r="D811" i="1"/>
  <c r="C811" i="1"/>
  <c r="C809" i="13" s="1"/>
  <c r="B811" i="1"/>
  <c r="B809" i="13" s="1"/>
  <c r="A811" i="1"/>
  <c r="A809" i="13" s="1"/>
  <c r="E810" i="1"/>
  <c r="E808" i="13" s="1"/>
  <c r="D810" i="1"/>
  <c r="C810" i="1"/>
  <c r="C808" i="13" s="1"/>
  <c r="B810" i="1"/>
  <c r="B808" i="13" s="1"/>
  <c r="A810" i="1"/>
  <c r="A808" i="13" s="1"/>
  <c r="E809" i="1"/>
  <c r="E807" i="13" s="1"/>
  <c r="D809" i="1"/>
  <c r="C809" i="1"/>
  <c r="C807" i="13" s="1"/>
  <c r="B809" i="1"/>
  <c r="B807" i="13" s="1"/>
  <c r="A809" i="1"/>
  <c r="A807" i="13" s="1"/>
  <c r="E808" i="1"/>
  <c r="E806" i="13" s="1"/>
  <c r="D808" i="1"/>
  <c r="C808" i="1"/>
  <c r="C806" i="13" s="1"/>
  <c r="B808" i="1"/>
  <c r="B806" i="13" s="1"/>
  <c r="A808" i="1"/>
  <c r="A806" i="13" s="1"/>
  <c r="E807" i="1"/>
  <c r="E805" i="13" s="1"/>
  <c r="D807" i="1"/>
  <c r="C807" i="1"/>
  <c r="C805" i="13" s="1"/>
  <c r="B807" i="1"/>
  <c r="B805" i="13" s="1"/>
  <c r="A807" i="1"/>
  <c r="A805" i="13" s="1"/>
  <c r="E806" i="1"/>
  <c r="E804" i="13" s="1"/>
  <c r="D806" i="1"/>
  <c r="C806" i="1"/>
  <c r="C804" i="13" s="1"/>
  <c r="B806" i="1"/>
  <c r="B804" i="13" s="1"/>
  <c r="A806" i="1"/>
  <c r="A804" i="13" s="1"/>
  <c r="E805" i="1"/>
  <c r="E803" i="13" s="1"/>
  <c r="D805" i="1"/>
  <c r="C805" i="1"/>
  <c r="C803" i="13" s="1"/>
  <c r="B805" i="1"/>
  <c r="B803" i="13" s="1"/>
  <c r="A805" i="1"/>
  <c r="A803" i="13" s="1"/>
  <c r="E804" i="1"/>
  <c r="E802" i="13" s="1"/>
  <c r="D804" i="1"/>
  <c r="C804" i="1"/>
  <c r="C802" i="13" s="1"/>
  <c r="B804" i="1"/>
  <c r="B802" i="13" s="1"/>
  <c r="A804" i="1"/>
  <c r="A802" i="13" s="1"/>
  <c r="E803" i="1"/>
  <c r="E801" i="13" s="1"/>
  <c r="D803" i="1"/>
  <c r="C803" i="1"/>
  <c r="C801" i="13" s="1"/>
  <c r="B803" i="1"/>
  <c r="B801" i="13" s="1"/>
  <c r="A803" i="1"/>
  <c r="A801" i="13" s="1"/>
  <c r="E802" i="1"/>
  <c r="E800" i="13" s="1"/>
  <c r="D802" i="1"/>
  <c r="C802" i="1"/>
  <c r="C800" i="13" s="1"/>
  <c r="B802" i="1"/>
  <c r="B800" i="13" s="1"/>
  <c r="A802" i="1"/>
  <c r="A800" i="13" s="1"/>
  <c r="E801" i="1"/>
  <c r="E799" i="13" s="1"/>
  <c r="D801" i="1"/>
  <c r="C801" i="1"/>
  <c r="C799" i="13" s="1"/>
  <c r="B801" i="1"/>
  <c r="B799" i="13" s="1"/>
  <c r="A801" i="1"/>
  <c r="A799" i="13" s="1"/>
  <c r="E800" i="1"/>
  <c r="E798" i="13" s="1"/>
  <c r="D800" i="1"/>
  <c r="C800" i="1"/>
  <c r="C798" i="13" s="1"/>
  <c r="B800" i="1"/>
  <c r="B798" i="13" s="1"/>
  <c r="A800" i="1"/>
  <c r="A798" i="13" s="1"/>
  <c r="E799" i="1"/>
  <c r="E797" i="13" s="1"/>
  <c r="D799" i="1"/>
  <c r="C799" i="1"/>
  <c r="C797" i="13" s="1"/>
  <c r="B799" i="1"/>
  <c r="B797" i="13" s="1"/>
  <c r="A799" i="1"/>
  <c r="A797" i="13" s="1"/>
  <c r="E798" i="1"/>
  <c r="E796" i="13" s="1"/>
  <c r="D798" i="1"/>
  <c r="C798" i="1"/>
  <c r="C796" i="13" s="1"/>
  <c r="B798" i="1"/>
  <c r="B796" i="13" s="1"/>
  <c r="A798" i="1"/>
  <c r="A796" i="13" s="1"/>
  <c r="E797" i="1"/>
  <c r="E795" i="13" s="1"/>
  <c r="D797" i="1"/>
  <c r="C797" i="1"/>
  <c r="C795" i="13" s="1"/>
  <c r="B797" i="1"/>
  <c r="B795" i="13" s="1"/>
  <c r="A797" i="1"/>
  <c r="A795" i="13" s="1"/>
  <c r="E796" i="1"/>
  <c r="E794" i="13" s="1"/>
  <c r="D796" i="1"/>
  <c r="C796" i="1"/>
  <c r="C794" i="13" s="1"/>
  <c r="B796" i="1"/>
  <c r="B794" i="13" s="1"/>
  <c r="A796" i="1"/>
  <c r="A794" i="13" s="1"/>
  <c r="E795" i="1"/>
  <c r="E793" i="13" s="1"/>
  <c r="D795" i="1"/>
  <c r="D793" i="13" s="1"/>
  <c r="M793" i="13" s="1"/>
  <c r="N793" i="13" s="1"/>
  <c r="P793" i="13" s="1"/>
  <c r="C795" i="1"/>
  <c r="C793" i="13" s="1"/>
  <c r="B795" i="1"/>
  <c r="B793" i="13" s="1"/>
  <c r="A795" i="1"/>
  <c r="A793" i="13" s="1"/>
  <c r="E794" i="1"/>
  <c r="E792" i="13" s="1"/>
  <c r="D794" i="1"/>
  <c r="C794" i="1"/>
  <c r="C792" i="13" s="1"/>
  <c r="B794" i="1"/>
  <c r="B792" i="13" s="1"/>
  <c r="A794" i="1"/>
  <c r="A792" i="13" s="1"/>
  <c r="E793" i="1"/>
  <c r="E791" i="13" s="1"/>
  <c r="D793" i="1"/>
  <c r="C793" i="1"/>
  <c r="C791" i="13" s="1"/>
  <c r="B793" i="1"/>
  <c r="B791" i="13" s="1"/>
  <c r="A793" i="1"/>
  <c r="A791" i="13" s="1"/>
  <c r="E792" i="1"/>
  <c r="E790" i="13" s="1"/>
  <c r="D792" i="1"/>
  <c r="C792" i="1"/>
  <c r="C790" i="13" s="1"/>
  <c r="B792" i="1"/>
  <c r="B790" i="13" s="1"/>
  <c r="A792" i="1"/>
  <c r="A790" i="13" s="1"/>
  <c r="E791" i="1"/>
  <c r="E789" i="13" s="1"/>
  <c r="D791" i="1"/>
  <c r="C791" i="1"/>
  <c r="C789" i="13" s="1"/>
  <c r="B791" i="1"/>
  <c r="B789" i="13" s="1"/>
  <c r="A791" i="1"/>
  <c r="A789" i="13" s="1"/>
  <c r="E790" i="1"/>
  <c r="E788" i="13" s="1"/>
  <c r="D790" i="1"/>
  <c r="C790" i="1"/>
  <c r="C788" i="13" s="1"/>
  <c r="B790" i="1"/>
  <c r="B788" i="13" s="1"/>
  <c r="A790" i="1"/>
  <c r="A788" i="13" s="1"/>
  <c r="E789" i="1"/>
  <c r="E787" i="13" s="1"/>
  <c r="D789" i="1"/>
  <c r="C789" i="1"/>
  <c r="C787" i="13" s="1"/>
  <c r="B789" i="1"/>
  <c r="B787" i="13" s="1"/>
  <c r="A789" i="1"/>
  <c r="A787" i="13" s="1"/>
  <c r="E788" i="1"/>
  <c r="E786" i="13" s="1"/>
  <c r="D788" i="1"/>
  <c r="C788" i="1"/>
  <c r="C786" i="13" s="1"/>
  <c r="B788" i="1"/>
  <c r="B786" i="13" s="1"/>
  <c r="A788" i="1"/>
  <c r="A786" i="13" s="1"/>
  <c r="E787" i="1"/>
  <c r="E785" i="13" s="1"/>
  <c r="D787" i="1"/>
  <c r="C787" i="1"/>
  <c r="C785" i="13" s="1"/>
  <c r="B787" i="1"/>
  <c r="B785" i="13" s="1"/>
  <c r="A787" i="1"/>
  <c r="A785" i="13" s="1"/>
  <c r="E786" i="1"/>
  <c r="E784" i="13" s="1"/>
  <c r="D786" i="1"/>
  <c r="C786" i="1"/>
  <c r="C784" i="13" s="1"/>
  <c r="B786" i="1"/>
  <c r="B784" i="13" s="1"/>
  <c r="A786" i="1"/>
  <c r="A784" i="13" s="1"/>
  <c r="E785" i="1"/>
  <c r="E783" i="13" s="1"/>
  <c r="D785" i="1"/>
  <c r="C785" i="1"/>
  <c r="C783" i="13" s="1"/>
  <c r="B785" i="1"/>
  <c r="B783" i="13" s="1"/>
  <c r="A785" i="1"/>
  <c r="A783" i="13" s="1"/>
  <c r="E784" i="1"/>
  <c r="E782" i="13" s="1"/>
  <c r="D784" i="1"/>
  <c r="C784" i="1"/>
  <c r="C782" i="13" s="1"/>
  <c r="B784" i="1"/>
  <c r="B782" i="13" s="1"/>
  <c r="A784" i="1"/>
  <c r="A782" i="13" s="1"/>
  <c r="E783" i="1"/>
  <c r="E781" i="13" s="1"/>
  <c r="D783" i="1"/>
  <c r="C783" i="1"/>
  <c r="C781" i="13" s="1"/>
  <c r="B783" i="1"/>
  <c r="B781" i="13" s="1"/>
  <c r="A783" i="1"/>
  <c r="A781" i="13" s="1"/>
  <c r="E782" i="1"/>
  <c r="E780" i="13" s="1"/>
  <c r="D782" i="1"/>
  <c r="D780" i="13" s="1"/>
  <c r="M780" i="13" s="1"/>
  <c r="N780" i="13" s="1"/>
  <c r="P780" i="13" s="1"/>
  <c r="C782" i="1"/>
  <c r="C780" i="13" s="1"/>
  <c r="B782" i="1"/>
  <c r="B780" i="13" s="1"/>
  <c r="A782" i="1"/>
  <c r="A780" i="13" s="1"/>
  <c r="E781" i="1"/>
  <c r="E779" i="13" s="1"/>
  <c r="D781" i="1"/>
  <c r="C781" i="1"/>
  <c r="C779" i="13" s="1"/>
  <c r="B781" i="1"/>
  <c r="B779" i="13" s="1"/>
  <c r="A781" i="1"/>
  <c r="A779" i="13" s="1"/>
  <c r="E780" i="1"/>
  <c r="E778" i="13" s="1"/>
  <c r="D780" i="1"/>
  <c r="C780" i="1"/>
  <c r="C778" i="13" s="1"/>
  <c r="B780" i="1"/>
  <c r="B778" i="13" s="1"/>
  <c r="A780" i="1"/>
  <c r="A778" i="13" s="1"/>
  <c r="E779" i="1"/>
  <c r="E777" i="13" s="1"/>
  <c r="D779" i="1"/>
  <c r="C779" i="1"/>
  <c r="C777" i="13" s="1"/>
  <c r="B779" i="1"/>
  <c r="B777" i="13" s="1"/>
  <c r="A779" i="1"/>
  <c r="A777" i="13" s="1"/>
  <c r="E778" i="1"/>
  <c r="E776" i="13" s="1"/>
  <c r="D778" i="1"/>
  <c r="C778" i="1"/>
  <c r="C776" i="13" s="1"/>
  <c r="B778" i="1"/>
  <c r="B776" i="13" s="1"/>
  <c r="A778" i="1"/>
  <c r="A776" i="13" s="1"/>
  <c r="E777" i="1"/>
  <c r="E775" i="13" s="1"/>
  <c r="D777" i="1"/>
  <c r="D775" i="13" s="1"/>
  <c r="M775" i="13" s="1"/>
  <c r="N775" i="13" s="1"/>
  <c r="P775" i="13" s="1"/>
  <c r="C777" i="1"/>
  <c r="C775" i="13" s="1"/>
  <c r="B777" i="1"/>
  <c r="B775" i="13" s="1"/>
  <c r="A777" i="1"/>
  <c r="A775" i="13" s="1"/>
  <c r="E776" i="1"/>
  <c r="E774" i="13" s="1"/>
  <c r="D776" i="1"/>
  <c r="C776" i="1"/>
  <c r="C774" i="13" s="1"/>
  <c r="B776" i="1"/>
  <c r="B774" i="13" s="1"/>
  <c r="A776" i="1"/>
  <c r="A774" i="13" s="1"/>
  <c r="E775" i="1"/>
  <c r="E773" i="13" s="1"/>
  <c r="D775" i="1"/>
  <c r="C775" i="1"/>
  <c r="C773" i="13" s="1"/>
  <c r="B775" i="1"/>
  <c r="B773" i="13" s="1"/>
  <c r="A775" i="1"/>
  <c r="A773" i="13" s="1"/>
  <c r="E774" i="1"/>
  <c r="E772" i="13" s="1"/>
  <c r="D774" i="1"/>
  <c r="C774" i="1"/>
  <c r="C772" i="13" s="1"/>
  <c r="B774" i="1"/>
  <c r="B772" i="13" s="1"/>
  <c r="A774" i="1"/>
  <c r="A772" i="13" s="1"/>
  <c r="E773" i="1"/>
  <c r="E771" i="13" s="1"/>
  <c r="D773" i="1"/>
  <c r="C773" i="1"/>
  <c r="C771" i="13" s="1"/>
  <c r="B773" i="1"/>
  <c r="B771" i="13" s="1"/>
  <c r="A773" i="1"/>
  <c r="A771" i="13" s="1"/>
  <c r="E772" i="1"/>
  <c r="E770" i="13" s="1"/>
  <c r="D772" i="1"/>
  <c r="C772" i="1"/>
  <c r="C770" i="13" s="1"/>
  <c r="B772" i="1"/>
  <c r="B770" i="13" s="1"/>
  <c r="A772" i="1"/>
  <c r="A770" i="13" s="1"/>
  <c r="E771" i="1"/>
  <c r="E769" i="13" s="1"/>
  <c r="D771" i="1"/>
  <c r="C771" i="1"/>
  <c r="C769" i="13" s="1"/>
  <c r="B771" i="1"/>
  <c r="B769" i="13" s="1"/>
  <c r="A771" i="1"/>
  <c r="A769" i="13" s="1"/>
  <c r="E770" i="1"/>
  <c r="E768" i="13" s="1"/>
  <c r="D770" i="1"/>
  <c r="D768" i="13" s="1"/>
  <c r="M768" i="13" s="1"/>
  <c r="N768" i="13" s="1"/>
  <c r="P768" i="13" s="1"/>
  <c r="C770" i="1"/>
  <c r="C768" i="13" s="1"/>
  <c r="B770" i="1"/>
  <c r="B768" i="13" s="1"/>
  <c r="A770" i="1"/>
  <c r="A768" i="13" s="1"/>
  <c r="E769" i="1"/>
  <c r="E767" i="13" s="1"/>
  <c r="D769" i="1"/>
  <c r="D767" i="13" s="1"/>
  <c r="M767" i="13" s="1"/>
  <c r="N767" i="13" s="1"/>
  <c r="P767" i="13" s="1"/>
  <c r="C769" i="1"/>
  <c r="C767" i="13" s="1"/>
  <c r="B769" i="1"/>
  <c r="B767" i="13" s="1"/>
  <c r="A769" i="1"/>
  <c r="A767" i="13" s="1"/>
  <c r="E768" i="1"/>
  <c r="E766" i="13" s="1"/>
  <c r="D768" i="1"/>
  <c r="C768" i="1"/>
  <c r="C766" i="13" s="1"/>
  <c r="B768" i="1"/>
  <c r="B766" i="13" s="1"/>
  <c r="A768" i="1"/>
  <c r="A766" i="13" s="1"/>
  <c r="E767" i="1"/>
  <c r="E765" i="13" s="1"/>
  <c r="D767" i="1"/>
  <c r="C767" i="1"/>
  <c r="C765" i="13" s="1"/>
  <c r="B767" i="1"/>
  <c r="B765" i="13" s="1"/>
  <c r="A767" i="1"/>
  <c r="A765" i="13" s="1"/>
  <c r="E766" i="1"/>
  <c r="E764" i="13" s="1"/>
  <c r="D766" i="1"/>
  <c r="C766" i="1"/>
  <c r="C764" i="13" s="1"/>
  <c r="B766" i="1"/>
  <c r="B764" i="13" s="1"/>
  <c r="A766" i="1"/>
  <c r="A764" i="13" s="1"/>
  <c r="E765" i="1"/>
  <c r="E763" i="13" s="1"/>
  <c r="D765" i="1"/>
  <c r="C765" i="1"/>
  <c r="C763" i="13" s="1"/>
  <c r="B765" i="1"/>
  <c r="B763" i="13" s="1"/>
  <c r="A765" i="1"/>
  <c r="A763" i="13" s="1"/>
  <c r="E764" i="1"/>
  <c r="E762" i="13" s="1"/>
  <c r="D764" i="1"/>
  <c r="C764" i="1"/>
  <c r="C762" i="13" s="1"/>
  <c r="B764" i="1"/>
  <c r="B762" i="13" s="1"/>
  <c r="A764" i="1"/>
  <c r="A762" i="13" s="1"/>
  <c r="E763" i="1"/>
  <c r="E761" i="13" s="1"/>
  <c r="D763" i="1"/>
  <c r="D761" i="13" s="1"/>
  <c r="M761" i="13" s="1"/>
  <c r="N761" i="13" s="1"/>
  <c r="P761" i="13" s="1"/>
  <c r="C763" i="1"/>
  <c r="C761" i="13" s="1"/>
  <c r="B763" i="1"/>
  <c r="B761" i="13" s="1"/>
  <c r="A763" i="1"/>
  <c r="A761" i="13" s="1"/>
  <c r="E762" i="1"/>
  <c r="E760" i="13" s="1"/>
  <c r="D762" i="1"/>
  <c r="C762" i="1"/>
  <c r="C760" i="13" s="1"/>
  <c r="B762" i="1"/>
  <c r="B760" i="13" s="1"/>
  <c r="A762" i="1"/>
  <c r="A760" i="13" s="1"/>
  <c r="E761" i="1"/>
  <c r="E759" i="13" s="1"/>
  <c r="D761" i="1"/>
  <c r="C761" i="1"/>
  <c r="C759" i="13" s="1"/>
  <c r="B761" i="1"/>
  <c r="B759" i="13" s="1"/>
  <c r="A761" i="1"/>
  <c r="A759" i="13" s="1"/>
  <c r="E760" i="1"/>
  <c r="E758" i="13" s="1"/>
  <c r="D760" i="1"/>
  <c r="C760" i="1"/>
  <c r="C758" i="13" s="1"/>
  <c r="B760" i="1"/>
  <c r="B758" i="13" s="1"/>
  <c r="A760" i="1"/>
  <c r="A758" i="13" s="1"/>
  <c r="E759" i="1"/>
  <c r="E757" i="13" s="1"/>
  <c r="D759" i="1"/>
  <c r="C759" i="1"/>
  <c r="C757" i="13" s="1"/>
  <c r="B759" i="1"/>
  <c r="B757" i="13" s="1"/>
  <c r="A759" i="1"/>
  <c r="A757" i="13" s="1"/>
  <c r="E758" i="1"/>
  <c r="E756" i="13" s="1"/>
  <c r="D758" i="1"/>
  <c r="C758" i="1"/>
  <c r="C756" i="13" s="1"/>
  <c r="B758" i="1"/>
  <c r="B756" i="13" s="1"/>
  <c r="A758" i="1"/>
  <c r="A756" i="13" s="1"/>
  <c r="E757" i="1"/>
  <c r="E755" i="13" s="1"/>
  <c r="D757" i="1"/>
  <c r="C757" i="1"/>
  <c r="C755" i="13" s="1"/>
  <c r="B757" i="1"/>
  <c r="B755" i="13" s="1"/>
  <c r="A757" i="1"/>
  <c r="A755" i="13" s="1"/>
  <c r="E756" i="1"/>
  <c r="E754" i="13" s="1"/>
  <c r="D756" i="1"/>
  <c r="C756" i="1"/>
  <c r="C754" i="13" s="1"/>
  <c r="B756" i="1"/>
  <c r="B754" i="13" s="1"/>
  <c r="A756" i="1"/>
  <c r="A754" i="13" s="1"/>
  <c r="E755" i="1"/>
  <c r="E753" i="13" s="1"/>
  <c r="D755" i="1"/>
  <c r="C755" i="1"/>
  <c r="C753" i="13" s="1"/>
  <c r="B755" i="1"/>
  <c r="B753" i="13" s="1"/>
  <c r="A755" i="1"/>
  <c r="A753" i="13" s="1"/>
  <c r="E754" i="1"/>
  <c r="E752" i="13" s="1"/>
  <c r="D754" i="1"/>
  <c r="C754" i="1"/>
  <c r="C752" i="13" s="1"/>
  <c r="B754" i="1"/>
  <c r="B752" i="13" s="1"/>
  <c r="A754" i="1"/>
  <c r="A752" i="13" s="1"/>
  <c r="E753" i="1"/>
  <c r="E751" i="13" s="1"/>
  <c r="D753" i="1"/>
  <c r="C753" i="1"/>
  <c r="C751" i="13" s="1"/>
  <c r="B753" i="1"/>
  <c r="B751" i="13" s="1"/>
  <c r="A753" i="1"/>
  <c r="A751" i="13" s="1"/>
  <c r="E752" i="1"/>
  <c r="E750" i="13" s="1"/>
  <c r="D752" i="1"/>
  <c r="C752" i="1"/>
  <c r="C750" i="13" s="1"/>
  <c r="B752" i="1"/>
  <c r="B750" i="13" s="1"/>
  <c r="A752" i="1"/>
  <c r="A750" i="13" s="1"/>
  <c r="E751" i="1"/>
  <c r="E749" i="13" s="1"/>
  <c r="D751" i="1"/>
  <c r="C751" i="1"/>
  <c r="C749" i="13" s="1"/>
  <c r="B751" i="1"/>
  <c r="B749" i="13" s="1"/>
  <c r="A751" i="1"/>
  <c r="A749" i="13" s="1"/>
  <c r="E750" i="1"/>
  <c r="E748" i="13" s="1"/>
  <c r="D750" i="1"/>
  <c r="C750" i="1"/>
  <c r="C748" i="13" s="1"/>
  <c r="B750" i="1"/>
  <c r="B748" i="13" s="1"/>
  <c r="A750" i="1"/>
  <c r="A748" i="13" s="1"/>
  <c r="E749" i="1"/>
  <c r="E747" i="13" s="1"/>
  <c r="D749" i="1"/>
  <c r="C749" i="1"/>
  <c r="C747" i="13" s="1"/>
  <c r="B749" i="1"/>
  <c r="B747" i="13" s="1"/>
  <c r="A749" i="1"/>
  <c r="A747" i="13" s="1"/>
  <c r="E748" i="1"/>
  <c r="E746" i="13" s="1"/>
  <c r="D748" i="1"/>
  <c r="C748" i="1"/>
  <c r="C746" i="13" s="1"/>
  <c r="B748" i="1"/>
  <c r="B746" i="13" s="1"/>
  <c r="A748" i="1"/>
  <c r="A746" i="13" s="1"/>
  <c r="E747" i="1"/>
  <c r="E745" i="13" s="1"/>
  <c r="D747" i="1"/>
  <c r="C747" i="1"/>
  <c r="C745" i="13" s="1"/>
  <c r="B747" i="1"/>
  <c r="B745" i="13" s="1"/>
  <c r="A747" i="1"/>
  <c r="A745" i="13" s="1"/>
  <c r="E746" i="1"/>
  <c r="E744" i="13" s="1"/>
  <c r="D746" i="1"/>
  <c r="D744" i="13" s="1"/>
  <c r="M744" i="13" s="1"/>
  <c r="N744" i="13" s="1"/>
  <c r="P744" i="13" s="1"/>
  <c r="C746" i="1"/>
  <c r="C744" i="13" s="1"/>
  <c r="B746" i="1"/>
  <c r="B744" i="13" s="1"/>
  <c r="A746" i="1"/>
  <c r="A744" i="13" s="1"/>
  <c r="E745" i="1"/>
  <c r="E743" i="13" s="1"/>
  <c r="D745" i="1"/>
  <c r="C745" i="1"/>
  <c r="C743" i="13" s="1"/>
  <c r="B745" i="1"/>
  <c r="B743" i="13" s="1"/>
  <c r="A745" i="1"/>
  <c r="A743" i="13" s="1"/>
  <c r="E744" i="1"/>
  <c r="E742" i="13" s="1"/>
  <c r="D744" i="1"/>
  <c r="C744" i="1"/>
  <c r="C742" i="13" s="1"/>
  <c r="B744" i="1"/>
  <c r="B742" i="13" s="1"/>
  <c r="A744" i="1"/>
  <c r="A742" i="13" s="1"/>
  <c r="E743" i="1"/>
  <c r="E741" i="13" s="1"/>
  <c r="D743" i="1"/>
  <c r="C743" i="1"/>
  <c r="C741" i="13" s="1"/>
  <c r="B743" i="1"/>
  <c r="B741" i="13" s="1"/>
  <c r="A743" i="1"/>
  <c r="A741" i="13" s="1"/>
  <c r="E742" i="1"/>
  <c r="E740" i="13" s="1"/>
  <c r="D742" i="1"/>
  <c r="C742" i="1"/>
  <c r="C740" i="13" s="1"/>
  <c r="B742" i="1"/>
  <c r="B740" i="13" s="1"/>
  <c r="A742" i="1"/>
  <c r="A740" i="13" s="1"/>
  <c r="E741" i="1"/>
  <c r="E739" i="13" s="1"/>
  <c r="D741" i="1"/>
  <c r="C741" i="1"/>
  <c r="C739" i="13" s="1"/>
  <c r="B741" i="1"/>
  <c r="B739" i="13" s="1"/>
  <c r="A741" i="1"/>
  <c r="A739" i="13" s="1"/>
  <c r="E740" i="1"/>
  <c r="E738" i="13" s="1"/>
  <c r="D740" i="1"/>
  <c r="C740" i="1"/>
  <c r="C738" i="13" s="1"/>
  <c r="B740" i="1"/>
  <c r="B738" i="13" s="1"/>
  <c r="A740" i="1"/>
  <c r="A738" i="13" s="1"/>
  <c r="E739" i="1"/>
  <c r="E737" i="13" s="1"/>
  <c r="D739" i="1"/>
  <c r="D737" i="13" s="1"/>
  <c r="M737" i="13" s="1"/>
  <c r="N737" i="13" s="1"/>
  <c r="P737" i="13" s="1"/>
  <c r="C739" i="1"/>
  <c r="C737" i="13" s="1"/>
  <c r="B739" i="1"/>
  <c r="B737" i="13" s="1"/>
  <c r="A739" i="1"/>
  <c r="A737" i="13" s="1"/>
  <c r="E738" i="1"/>
  <c r="E736" i="13" s="1"/>
  <c r="D738" i="1"/>
  <c r="C738" i="1"/>
  <c r="C736" i="13" s="1"/>
  <c r="B738" i="1"/>
  <c r="B736" i="13" s="1"/>
  <c r="A738" i="1"/>
  <c r="A736" i="13" s="1"/>
  <c r="E737" i="1"/>
  <c r="E735" i="13" s="1"/>
  <c r="D737" i="1"/>
  <c r="C737" i="1"/>
  <c r="C735" i="13" s="1"/>
  <c r="B737" i="1"/>
  <c r="B735" i="13" s="1"/>
  <c r="A737" i="1"/>
  <c r="A735" i="13" s="1"/>
  <c r="E736" i="1"/>
  <c r="E734" i="13" s="1"/>
  <c r="D736" i="1"/>
  <c r="C736" i="1"/>
  <c r="C734" i="13" s="1"/>
  <c r="B736" i="1"/>
  <c r="B734" i="13" s="1"/>
  <c r="A736" i="1"/>
  <c r="A734" i="13" s="1"/>
  <c r="E735" i="1"/>
  <c r="E733" i="13" s="1"/>
  <c r="D735" i="1"/>
  <c r="C735" i="1"/>
  <c r="C733" i="13" s="1"/>
  <c r="B735" i="1"/>
  <c r="B733" i="13" s="1"/>
  <c r="A735" i="1"/>
  <c r="A733" i="13" s="1"/>
  <c r="E734" i="1"/>
  <c r="E732" i="13" s="1"/>
  <c r="D734" i="1"/>
  <c r="C734" i="1"/>
  <c r="C732" i="13" s="1"/>
  <c r="B734" i="1"/>
  <c r="B732" i="13" s="1"/>
  <c r="A734" i="1"/>
  <c r="A732" i="13" s="1"/>
  <c r="E733" i="1"/>
  <c r="E731" i="13" s="1"/>
  <c r="D733" i="1"/>
  <c r="C733" i="1"/>
  <c r="C731" i="13" s="1"/>
  <c r="B733" i="1"/>
  <c r="B731" i="13" s="1"/>
  <c r="A733" i="1"/>
  <c r="A731" i="13" s="1"/>
  <c r="E732" i="1"/>
  <c r="E730" i="13" s="1"/>
  <c r="D732" i="1"/>
  <c r="C732" i="1"/>
  <c r="C730" i="13" s="1"/>
  <c r="B732" i="1"/>
  <c r="B730" i="13" s="1"/>
  <c r="A732" i="1"/>
  <c r="A730" i="13" s="1"/>
  <c r="E731" i="1"/>
  <c r="E729" i="13" s="1"/>
  <c r="D731" i="1"/>
  <c r="C731" i="1"/>
  <c r="C729" i="13" s="1"/>
  <c r="B731" i="1"/>
  <c r="B729" i="13" s="1"/>
  <c r="A731" i="1"/>
  <c r="A729" i="13" s="1"/>
  <c r="E730" i="1"/>
  <c r="E728" i="13" s="1"/>
  <c r="D730" i="1"/>
  <c r="C730" i="1"/>
  <c r="C728" i="13" s="1"/>
  <c r="B730" i="1"/>
  <c r="B728" i="13" s="1"/>
  <c r="A730" i="1"/>
  <c r="A728" i="13" s="1"/>
  <c r="E729" i="1"/>
  <c r="E727" i="13" s="1"/>
  <c r="D729" i="1"/>
  <c r="C729" i="1"/>
  <c r="C727" i="13" s="1"/>
  <c r="B729" i="1"/>
  <c r="B727" i="13" s="1"/>
  <c r="A729" i="1"/>
  <c r="A727" i="13" s="1"/>
  <c r="E728" i="1"/>
  <c r="E726" i="13" s="1"/>
  <c r="D728" i="1"/>
  <c r="C728" i="1"/>
  <c r="C726" i="13" s="1"/>
  <c r="B728" i="1"/>
  <c r="B726" i="13" s="1"/>
  <c r="A728" i="1"/>
  <c r="A726" i="13" s="1"/>
  <c r="E727" i="1"/>
  <c r="E725" i="13" s="1"/>
  <c r="D727" i="1"/>
  <c r="C727" i="1"/>
  <c r="C725" i="13" s="1"/>
  <c r="B727" i="1"/>
  <c r="B725" i="13" s="1"/>
  <c r="A727" i="1"/>
  <c r="A725" i="13" s="1"/>
  <c r="E726" i="1"/>
  <c r="E724" i="13" s="1"/>
  <c r="D726" i="1"/>
  <c r="C726" i="1"/>
  <c r="C724" i="13" s="1"/>
  <c r="B726" i="1"/>
  <c r="B724" i="13" s="1"/>
  <c r="A726" i="1"/>
  <c r="A724" i="13" s="1"/>
  <c r="E725" i="1"/>
  <c r="E723" i="13" s="1"/>
  <c r="D725" i="1"/>
  <c r="C725" i="1"/>
  <c r="C723" i="13" s="1"/>
  <c r="B725" i="1"/>
  <c r="B723" i="13" s="1"/>
  <c r="A725" i="1"/>
  <c r="A723" i="13" s="1"/>
  <c r="E724" i="1"/>
  <c r="E722" i="13" s="1"/>
  <c r="D724" i="1"/>
  <c r="C724" i="1"/>
  <c r="C722" i="13" s="1"/>
  <c r="B724" i="1"/>
  <c r="B722" i="13" s="1"/>
  <c r="A724" i="1"/>
  <c r="A722" i="13" s="1"/>
  <c r="E723" i="1"/>
  <c r="E721" i="13" s="1"/>
  <c r="D723" i="1"/>
  <c r="C723" i="1"/>
  <c r="C721" i="13" s="1"/>
  <c r="B723" i="1"/>
  <c r="B721" i="13" s="1"/>
  <c r="A723" i="1"/>
  <c r="A721" i="13" s="1"/>
  <c r="E722" i="1"/>
  <c r="E720" i="13" s="1"/>
  <c r="D722" i="1"/>
  <c r="C722" i="1"/>
  <c r="C720" i="13" s="1"/>
  <c r="B722" i="1"/>
  <c r="B720" i="13" s="1"/>
  <c r="A722" i="1"/>
  <c r="A720" i="13" s="1"/>
  <c r="E721" i="1"/>
  <c r="E719" i="13" s="1"/>
  <c r="D721" i="1"/>
  <c r="C721" i="1"/>
  <c r="C719" i="13" s="1"/>
  <c r="B721" i="1"/>
  <c r="B719" i="13" s="1"/>
  <c r="A721" i="1"/>
  <c r="A719" i="13" s="1"/>
  <c r="E720" i="1"/>
  <c r="E718" i="13" s="1"/>
  <c r="D720" i="1"/>
  <c r="C720" i="1"/>
  <c r="C718" i="13" s="1"/>
  <c r="B720" i="1"/>
  <c r="B718" i="13" s="1"/>
  <c r="A720" i="1"/>
  <c r="A718" i="13" s="1"/>
  <c r="E719" i="1"/>
  <c r="E717" i="13" s="1"/>
  <c r="D719" i="1"/>
  <c r="C719" i="1"/>
  <c r="C717" i="13" s="1"/>
  <c r="B719" i="1"/>
  <c r="B717" i="13" s="1"/>
  <c r="A719" i="1"/>
  <c r="A717" i="13" s="1"/>
  <c r="E718" i="1"/>
  <c r="E716" i="13" s="1"/>
  <c r="D718" i="1"/>
  <c r="C718" i="1"/>
  <c r="C716" i="13" s="1"/>
  <c r="B718" i="1"/>
  <c r="B716" i="13" s="1"/>
  <c r="A718" i="1"/>
  <c r="A716" i="13" s="1"/>
  <c r="E717" i="1"/>
  <c r="E715" i="13" s="1"/>
  <c r="D717" i="1"/>
  <c r="C717" i="1"/>
  <c r="C715" i="13" s="1"/>
  <c r="B717" i="1"/>
  <c r="B715" i="13" s="1"/>
  <c r="A717" i="1"/>
  <c r="A715" i="13" s="1"/>
  <c r="E716" i="1"/>
  <c r="E714" i="13" s="1"/>
  <c r="D716" i="1"/>
  <c r="C716" i="1"/>
  <c r="C714" i="13" s="1"/>
  <c r="B716" i="1"/>
  <c r="B714" i="13" s="1"/>
  <c r="A716" i="1"/>
  <c r="A714" i="13" s="1"/>
  <c r="E715" i="1"/>
  <c r="E713" i="13" s="1"/>
  <c r="D715" i="1"/>
  <c r="C715" i="1"/>
  <c r="C713" i="13" s="1"/>
  <c r="B715" i="1"/>
  <c r="B713" i="13" s="1"/>
  <c r="A715" i="1"/>
  <c r="A713" i="13" s="1"/>
  <c r="E714" i="1"/>
  <c r="E712" i="13" s="1"/>
  <c r="D714" i="1"/>
  <c r="C714" i="1"/>
  <c r="C712" i="13" s="1"/>
  <c r="B714" i="1"/>
  <c r="B712" i="13" s="1"/>
  <c r="A714" i="1"/>
  <c r="A712" i="13" s="1"/>
  <c r="E713" i="1"/>
  <c r="E711" i="13" s="1"/>
  <c r="D713" i="1"/>
  <c r="C713" i="1"/>
  <c r="C711" i="13" s="1"/>
  <c r="B713" i="1"/>
  <c r="B711" i="13" s="1"/>
  <c r="A713" i="1"/>
  <c r="A711" i="13" s="1"/>
  <c r="E712" i="1"/>
  <c r="E710" i="13" s="1"/>
  <c r="D712" i="1"/>
  <c r="C712" i="1"/>
  <c r="C710" i="13" s="1"/>
  <c r="B712" i="1"/>
  <c r="B710" i="13" s="1"/>
  <c r="A712" i="1"/>
  <c r="A710" i="13" s="1"/>
  <c r="E711" i="1"/>
  <c r="E709" i="13" s="1"/>
  <c r="D711" i="1"/>
  <c r="C711" i="1"/>
  <c r="C709" i="13" s="1"/>
  <c r="B711" i="1"/>
  <c r="B709" i="13" s="1"/>
  <c r="A711" i="1"/>
  <c r="A709" i="13" s="1"/>
  <c r="E710" i="1"/>
  <c r="E708" i="13" s="1"/>
  <c r="D710" i="1"/>
  <c r="C710" i="1"/>
  <c r="C708" i="13" s="1"/>
  <c r="B710" i="1"/>
  <c r="B708" i="13" s="1"/>
  <c r="A710" i="1"/>
  <c r="A708" i="13" s="1"/>
  <c r="E709" i="1"/>
  <c r="E707" i="13" s="1"/>
  <c r="D709" i="1"/>
  <c r="C709" i="1"/>
  <c r="C707" i="13" s="1"/>
  <c r="B709" i="1"/>
  <c r="B707" i="13" s="1"/>
  <c r="A709" i="1"/>
  <c r="A707" i="13" s="1"/>
  <c r="E708" i="1"/>
  <c r="E706" i="13" s="1"/>
  <c r="D708" i="1"/>
  <c r="C708" i="1"/>
  <c r="C706" i="13" s="1"/>
  <c r="B708" i="1"/>
  <c r="B706" i="13" s="1"/>
  <c r="A708" i="1"/>
  <c r="A706" i="13" s="1"/>
  <c r="E707" i="1"/>
  <c r="E705" i="13" s="1"/>
  <c r="D707" i="1"/>
  <c r="D705" i="13" s="1"/>
  <c r="M705" i="13" s="1"/>
  <c r="N705" i="13" s="1"/>
  <c r="P705" i="13" s="1"/>
  <c r="C707" i="1"/>
  <c r="C705" i="13" s="1"/>
  <c r="B707" i="1"/>
  <c r="B705" i="13" s="1"/>
  <c r="A707" i="1"/>
  <c r="A705" i="13" s="1"/>
  <c r="E706" i="1"/>
  <c r="E704" i="13" s="1"/>
  <c r="D706" i="1"/>
  <c r="D704" i="13" s="1"/>
  <c r="M704" i="13" s="1"/>
  <c r="N704" i="13" s="1"/>
  <c r="P704" i="13" s="1"/>
  <c r="C706" i="1"/>
  <c r="C704" i="13" s="1"/>
  <c r="B706" i="1"/>
  <c r="B704" i="13" s="1"/>
  <c r="A706" i="1"/>
  <c r="A704" i="13" s="1"/>
  <c r="E705" i="1"/>
  <c r="E703" i="13" s="1"/>
  <c r="D705" i="1"/>
  <c r="C705" i="1"/>
  <c r="C703" i="13" s="1"/>
  <c r="B705" i="1"/>
  <c r="B703" i="13" s="1"/>
  <c r="A705" i="1"/>
  <c r="A703" i="13" s="1"/>
  <c r="E704" i="1"/>
  <c r="E702" i="13" s="1"/>
  <c r="D704" i="1"/>
  <c r="D702" i="13" s="1"/>
  <c r="M702" i="13" s="1"/>
  <c r="N702" i="13" s="1"/>
  <c r="P702" i="13" s="1"/>
  <c r="C704" i="1"/>
  <c r="C702" i="13" s="1"/>
  <c r="B704" i="1"/>
  <c r="B702" i="13" s="1"/>
  <c r="A704" i="1"/>
  <c r="A702" i="13" s="1"/>
  <c r="E703" i="1"/>
  <c r="E701" i="13" s="1"/>
  <c r="D703" i="1"/>
  <c r="C703" i="1"/>
  <c r="C701" i="13" s="1"/>
  <c r="B703" i="1"/>
  <c r="B701" i="13" s="1"/>
  <c r="A703" i="1"/>
  <c r="A701" i="13" s="1"/>
  <c r="E702" i="1"/>
  <c r="E700" i="13" s="1"/>
  <c r="D702" i="1"/>
  <c r="C702" i="1"/>
  <c r="C700" i="13" s="1"/>
  <c r="B702" i="1"/>
  <c r="B700" i="13" s="1"/>
  <c r="A702" i="1"/>
  <c r="A700" i="13" s="1"/>
  <c r="E701" i="1"/>
  <c r="E699" i="13" s="1"/>
  <c r="D701" i="1"/>
  <c r="D699" i="13" s="1"/>
  <c r="M699" i="13" s="1"/>
  <c r="N699" i="13" s="1"/>
  <c r="P699" i="13" s="1"/>
  <c r="C701" i="1"/>
  <c r="C699" i="13" s="1"/>
  <c r="B701" i="1"/>
  <c r="B699" i="13" s="1"/>
  <c r="A701" i="1"/>
  <c r="A699" i="13" s="1"/>
  <c r="E700" i="1"/>
  <c r="E698" i="13" s="1"/>
  <c r="D700" i="1"/>
  <c r="C700" i="1"/>
  <c r="C698" i="13" s="1"/>
  <c r="B700" i="1"/>
  <c r="B698" i="13" s="1"/>
  <c r="A700" i="1"/>
  <c r="A698" i="13" s="1"/>
  <c r="E699" i="1"/>
  <c r="E697" i="13" s="1"/>
  <c r="D699" i="1"/>
  <c r="C699" i="1"/>
  <c r="C697" i="13" s="1"/>
  <c r="B699" i="1"/>
  <c r="B697" i="13" s="1"/>
  <c r="A699" i="1"/>
  <c r="A697" i="13" s="1"/>
  <c r="E698" i="1"/>
  <c r="E696" i="13" s="1"/>
  <c r="D698" i="1"/>
  <c r="C698" i="1"/>
  <c r="C696" i="13" s="1"/>
  <c r="B698" i="1"/>
  <c r="B696" i="13" s="1"/>
  <c r="A698" i="1"/>
  <c r="A696" i="13" s="1"/>
  <c r="E697" i="1"/>
  <c r="E695" i="13" s="1"/>
  <c r="D697" i="1"/>
  <c r="C697" i="1"/>
  <c r="C695" i="13" s="1"/>
  <c r="B697" i="1"/>
  <c r="B695" i="13" s="1"/>
  <c r="A697" i="1"/>
  <c r="A695" i="13" s="1"/>
  <c r="E696" i="1"/>
  <c r="E694" i="13" s="1"/>
  <c r="D696" i="1"/>
  <c r="C696" i="1"/>
  <c r="C694" i="13" s="1"/>
  <c r="B696" i="1"/>
  <c r="B694" i="13" s="1"/>
  <c r="A696" i="1"/>
  <c r="A694" i="13" s="1"/>
  <c r="E695" i="1"/>
  <c r="E693" i="13" s="1"/>
  <c r="D695" i="1"/>
  <c r="C695" i="1"/>
  <c r="C693" i="13" s="1"/>
  <c r="B695" i="1"/>
  <c r="B693" i="13" s="1"/>
  <c r="A695" i="1"/>
  <c r="A693" i="13" s="1"/>
  <c r="E694" i="1"/>
  <c r="E692" i="13" s="1"/>
  <c r="D694" i="1"/>
  <c r="C694" i="1"/>
  <c r="C692" i="13" s="1"/>
  <c r="B694" i="1"/>
  <c r="B692" i="13" s="1"/>
  <c r="A694" i="1"/>
  <c r="A692" i="13" s="1"/>
  <c r="E693" i="1"/>
  <c r="E691" i="13" s="1"/>
  <c r="D693" i="1"/>
  <c r="C693" i="1"/>
  <c r="C691" i="13" s="1"/>
  <c r="B693" i="1"/>
  <c r="B691" i="13" s="1"/>
  <c r="A693" i="1"/>
  <c r="A691" i="13" s="1"/>
  <c r="E692" i="1"/>
  <c r="E690" i="13" s="1"/>
  <c r="D692" i="1"/>
  <c r="C692" i="1"/>
  <c r="C690" i="13" s="1"/>
  <c r="B692" i="1"/>
  <c r="B690" i="13" s="1"/>
  <c r="A692" i="1"/>
  <c r="A690" i="13" s="1"/>
  <c r="E691" i="1"/>
  <c r="E689" i="13" s="1"/>
  <c r="D691" i="1"/>
  <c r="C691" i="1"/>
  <c r="C689" i="13" s="1"/>
  <c r="B691" i="1"/>
  <c r="B689" i="13" s="1"/>
  <c r="A691" i="1"/>
  <c r="A689" i="13" s="1"/>
  <c r="E690" i="1"/>
  <c r="E688" i="13" s="1"/>
  <c r="D690" i="1"/>
  <c r="D688" i="13" s="1"/>
  <c r="M688" i="13" s="1"/>
  <c r="N688" i="13" s="1"/>
  <c r="P688" i="13" s="1"/>
  <c r="C690" i="1"/>
  <c r="C688" i="13" s="1"/>
  <c r="B690" i="1"/>
  <c r="B688" i="13" s="1"/>
  <c r="A690" i="1"/>
  <c r="A688" i="13" s="1"/>
  <c r="E689" i="1"/>
  <c r="E687" i="13" s="1"/>
  <c r="D689" i="1"/>
  <c r="C689" i="1"/>
  <c r="C687" i="13" s="1"/>
  <c r="B689" i="1"/>
  <c r="B687" i="13" s="1"/>
  <c r="A689" i="1"/>
  <c r="A687" i="13" s="1"/>
  <c r="E688" i="1"/>
  <c r="E686" i="13" s="1"/>
  <c r="D688" i="1"/>
  <c r="C688" i="1"/>
  <c r="C686" i="13" s="1"/>
  <c r="B688" i="1"/>
  <c r="B686" i="13" s="1"/>
  <c r="A688" i="1"/>
  <c r="A686" i="13" s="1"/>
  <c r="E687" i="1"/>
  <c r="E685" i="13" s="1"/>
  <c r="D687" i="1"/>
  <c r="C687" i="1"/>
  <c r="C685" i="13" s="1"/>
  <c r="B687" i="1"/>
  <c r="B685" i="13" s="1"/>
  <c r="A687" i="1"/>
  <c r="A685" i="13" s="1"/>
  <c r="E686" i="1"/>
  <c r="E684" i="13" s="1"/>
  <c r="D686" i="1"/>
  <c r="C686" i="1"/>
  <c r="C684" i="13" s="1"/>
  <c r="B686" i="1"/>
  <c r="B684" i="13" s="1"/>
  <c r="A686" i="1"/>
  <c r="A684" i="13" s="1"/>
  <c r="E685" i="1"/>
  <c r="E683" i="13" s="1"/>
  <c r="D685" i="1"/>
  <c r="C685" i="1"/>
  <c r="C683" i="13" s="1"/>
  <c r="B685" i="1"/>
  <c r="B683" i="13" s="1"/>
  <c r="A685" i="1"/>
  <c r="A683" i="13" s="1"/>
  <c r="E684" i="1"/>
  <c r="E682" i="13" s="1"/>
  <c r="D684" i="1"/>
  <c r="C684" i="1"/>
  <c r="C682" i="13" s="1"/>
  <c r="B684" i="1"/>
  <c r="B682" i="13" s="1"/>
  <c r="A684" i="1"/>
  <c r="A682" i="13" s="1"/>
  <c r="E683" i="1"/>
  <c r="E681" i="13" s="1"/>
  <c r="D683" i="1"/>
  <c r="C683" i="1"/>
  <c r="C681" i="13" s="1"/>
  <c r="B683" i="1"/>
  <c r="B681" i="13" s="1"/>
  <c r="A683" i="1"/>
  <c r="A681" i="13" s="1"/>
  <c r="E682" i="1"/>
  <c r="E680" i="13" s="1"/>
  <c r="D682" i="1"/>
  <c r="C682" i="1"/>
  <c r="C680" i="13" s="1"/>
  <c r="B682" i="1"/>
  <c r="B680" i="13" s="1"/>
  <c r="A682" i="1"/>
  <c r="A680" i="13" s="1"/>
  <c r="E681" i="1"/>
  <c r="E679" i="13" s="1"/>
  <c r="D681" i="1"/>
  <c r="C681" i="1"/>
  <c r="C679" i="13" s="1"/>
  <c r="B681" i="1"/>
  <c r="B679" i="13" s="1"/>
  <c r="A681" i="1"/>
  <c r="A679" i="13" s="1"/>
  <c r="E680" i="1"/>
  <c r="E678" i="13" s="1"/>
  <c r="D680" i="1"/>
  <c r="C680" i="1"/>
  <c r="C678" i="13" s="1"/>
  <c r="B680" i="1"/>
  <c r="B678" i="13" s="1"/>
  <c r="A680" i="1"/>
  <c r="A678" i="13" s="1"/>
  <c r="E679" i="1"/>
  <c r="E677" i="13" s="1"/>
  <c r="D679" i="1"/>
  <c r="C679" i="1"/>
  <c r="C677" i="13" s="1"/>
  <c r="B679" i="1"/>
  <c r="B677" i="13" s="1"/>
  <c r="A679" i="1"/>
  <c r="A677" i="13" s="1"/>
  <c r="E678" i="1"/>
  <c r="E676" i="13" s="1"/>
  <c r="D678" i="1"/>
  <c r="C678" i="1"/>
  <c r="C676" i="13" s="1"/>
  <c r="B678" i="1"/>
  <c r="B676" i="13" s="1"/>
  <c r="A678" i="1"/>
  <c r="A676" i="13" s="1"/>
  <c r="E677" i="1"/>
  <c r="E675" i="13" s="1"/>
  <c r="D677" i="1"/>
  <c r="C677" i="1"/>
  <c r="C675" i="13" s="1"/>
  <c r="B677" i="1"/>
  <c r="B675" i="13" s="1"/>
  <c r="A677" i="1"/>
  <c r="A675" i="13" s="1"/>
  <c r="E676" i="1"/>
  <c r="E674" i="13" s="1"/>
  <c r="D676" i="1"/>
  <c r="C676" i="1"/>
  <c r="C674" i="13" s="1"/>
  <c r="B676" i="1"/>
  <c r="B674" i="13" s="1"/>
  <c r="A676" i="1"/>
  <c r="A674" i="13" s="1"/>
  <c r="E675" i="1"/>
  <c r="E673" i="13" s="1"/>
  <c r="D675" i="1"/>
  <c r="C675" i="1"/>
  <c r="C673" i="13" s="1"/>
  <c r="B675" i="1"/>
  <c r="B673" i="13" s="1"/>
  <c r="A675" i="1"/>
  <c r="A673" i="13" s="1"/>
  <c r="E674" i="1"/>
  <c r="E672" i="13" s="1"/>
  <c r="D674" i="1"/>
  <c r="C674" i="1"/>
  <c r="C672" i="13" s="1"/>
  <c r="B674" i="1"/>
  <c r="B672" i="13" s="1"/>
  <c r="A674" i="1"/>
  <c r="A672" i="13" s="1"/>
  <c r="E673" i="1"/>
  <c r="E671" i="13" s="1"/>
  <c r="D673" i="1"/>
  <c r="C673" i="1"/>
  <c r="C671" i="13" s="1"/>
  <c r="B673" i="1"/>
  <c r="B671" i="13" s="1"/>
  <c r="A673" i="1"/>
  <c r="A671" i="13" s="1"/>
  <c r="E672" i="1"/>
  <c r="E670" i="13" s="1"/>
  <c r="D672" i="1"/>
  <c r="C672" i="1"/>
  <c r="C670" i="13" s="1"/>
  <c r="B672" i="1"/>
  <c r="B670" i="13" s="1"/>
  <c r="A672" i="1"/>
  <c r="A670" i="13" s="1"/>
  <c r="E671" i="1"/>
  <c r="E669" i="13" s="1"/>
  <c r="D671" i="1"/>
  <c r="C671" i="1"/>
  <c r="C669" i="13" s="1"/>
  <c r="B671" i="1"/>
  <c r="B669" i="13" s="1"/>
  <c r="A671" i="1"/>
  <c r="A669" i="13" s="1"/>
  <c r="E670" i="1"/>
  <c r="E668" i="13" s="1"/>
  <c r="D670" i="1"/>
  <c r="C670" i="1"/>
  <c r="C668" i="13" s="1"/>
  <c r="B670" i="1"/>
  <c r="B668" i="13" s="1"/>
  <c r="A670" i="1"/>
  <c r="A668" i="13" s="1"/>
  <c r="E669" i="1"/>
  <c r="E667" i="13" s="1"/>
  <c r="D669" i="1"/>
  <c r="C669" i="1"/>
  <c r="C667" i="13" s="1"/>
  <c r="B669" i="1"/>
  <c r="B667" i="13" s="1"/>
  <c r="A669" i="1"/>
  <c r="A667" i="13" s="1"/>
  <c r="E668" i="1"/>
  <c r="E666" i="13" s="1"/>
  <c r="D668" i="1"/>
  <c r="C668" i="1"/>
  <c r="C666" i="13" s="1"/>
  <c r="B668" i="1"/>
  <c r="B666" i="13" s="1"/>
  <c r="A668" i="1"/>
  <c r="A666" i="13" s="1"/>
  <c r="E667" i="1"/>
  <c r="E665" i="13" s="1"/>
  <c r="D667" i="1"/>
  <c r="C667" i="1"/>
  <c r="C665" i="13" s="1"/>
  <c r="B667" i="1"/>
  <c r="B665" i="13" s="1"/>
  <c r="A667" i="1"/>
  <c r="A665" i="13" s="1"/>
  <c r="E666" i="1"/>
  <c r="E664" i="13" s="1"/>
  <c r="D666" i="1"/>
  <c r="C666" i="1"/>
  <c r="C664" i="13" s="1"/>
  <c r="B666" i="1"/>
  <c r="B664" i="13" s="1"/>
  <c r="A666" i="1"/>
  <c r="A664" i="13" s="1"/>
  <c r="E665" i="1"/>
  <c r="E663" i="13" s="1"/>
  <c r="D665" i="1"/>
  <c r="C665" i="1"/>
  <c r="C663" i="13" s="1"/>
  <c r="B665" i="1"/>
  <c r="B663" i="13" s="1"/>
  <c r="A665" i="1"/>
  <c r="A663" i="13" s="1"/>
  <c r="E664" i="1"/>
  <c r="E662" i="13" s="1"/>
  <c r="D664" i="1"/>
  <c r="C664" i="1"/>
  <c r="C662" i="13" s="1"/>
  <c r="B664" i="1"/>
  <c r="B662" i="13" s="1"/>
  <c r="A664" i="1"/>
  <c r="A662" i="13" s="1"/>
  <c r="E663" i="1"/>
  <c r="E661" i="13" s="1"/>
  <c r="D663" i="1"/>
  <c r="C663" i="1"/>
  <c r="C661" i="13" s="1"/>
  <c r="B663" i="1"/>
  <c r="B661" i="13" s="1"/>
  <c r="A663" i="1"/>
  <c r="A661" i="13" s="1"/>
  <c r="E662" i="1"/>
  <c r="E660" i="13" s="1"/>
  <c r="D662" i="1"/>
  <c r="C662" i="1"/>
  <c r="C660" i="13" s="1"/>
  <c r="B662" i="1"/>
  <c r="B660" i="13" s="1"/>
  <c r="A662" i="1"/>
  <c r="A660" i="13" s="1"/>
  <c r="E661" i="1"/>
  <c r="E659" i="13" s="1"/>
  <c r="D661" i="1"/>
  <c r="C661" i="1"/>
  <c r="C659" i="13" s="1"/>
  <c r="B661" i="1"/>
  <c r="B659" i="13" s="1"/>
  <c r="A661" i="1"/>
  <c r="A659" i="13" s="1"/>
  <c r="E660" i="1"/>
  <c r="E658" i="13" s="1"/>
  <c r="D660" i="1"/>
  <c r="C660" i="1"/>
  <c r="C658" i="13" s="1"/>
  <c r="B660" i="1"/>
  <c r="B658" i="13" s="1"/>
  <c r="A660" i="1"/>
  <c r="A658" i="13" s="1"/>
  <c r="E659" i="1"/>
  <c r="E657" i="13" s="1"/>
  <c r="D659" i="1"/>
  <c r="C659" i="1"/>
  <c r="C657" i="13" s="1"/>
  <c r="B659" i="1"/>
  <c r="B657" i="13" s="1"/>
  <c r="A659" i="1"/>
  <c r="A657" i="13" s="1"/>
  <c r="E658" i="1"/>
  <c r="E656" i="13" s="1"/>
  <c r="D658" i="1"/>
  <c r="C658" i="1"/>
  <c r="C656" i="13" s="1"/>
  <c r="B658" i="1"/>
  <c r="B656" i="13" s="1"/>
  <c r="A658" i="1"/>
  <c r="A656" i="13" s="1"/>
  <c r="E657" i="1"/>
  <c r="E655" i="13" s="1"/>
  <c r="D657" i="1"/>
  <c r="C657" i="1"/>
  <c r="C655" i="13" s="1"/>
  <c r="B657" i="1"/>
  <c r="B655" i="13" s="1"/>
  <c r="A657" i="1"/>
  <c r="A655" i="13" s="1"/>
  <c r="E656" i="1"/>
  <c r="E654" i="13" s="1"/>
  <c r="D656" i="1"/>
  <c r="D654" i="13" s="1"/>
  <c r="M654" i="13" s="1"/>
  <c r="N654" i="13" s="1"/>
  <c r="P654" i="13" s="1"/>
  <c r="C656" i="1"/>
  <c r="C654" i="13" s="1"/>
  <c r="B656" i="1"/>
  <c r="B654" i="13" s="1"/>
  <c r="A656" i="1"/>
  <c r="A654" i="13" s="1"/>
  <c r="E655" i="1"/>
  <c r="E653" i="13" s="1"/>
  <c r="D655" i="1"/>
  <c r="C655" i="1"/>
  <c r="C653" i="13" s="1"/>
  <c r="B655" i="1"/>
  <c r="B653" i="13" s="1"/>
  <c r="A655" i="1"/>
  <c r="A653" i="13" s="1"/>
  <c r="E654" i="1"/>
  <c r="E652" i="13" s="1"/>
  <c r="D654" i="1"/>
  <c r="C654" i="1"/>
  <c r="C652" i="13" s="1"/>
  <c r="B654" i="1"/>
  <c r="B652" i="13" s="1"/>
  <c r="A654" i="1"/>
  <c r="A652" i="13" s="1"/>
  <c r="E653" i="1"/>
  <c r="E651" i="13" s="1"/>
  <c r="D653" i="1"/>
  <c r="C653" i="1"/>
  <c r="C651" i="13" s="1"/>
  <c r="B653" i="1"/>
  <c r="B651" i="13" s="1"/>
  <c r="A653" i="1"/>
  <c r="A651" i="13" s="1"/>
  <c r="E652" i="1"/>
  <c r="E650" i="13" s="1"/>
  <c r="D652" i="1"/>
  <c r="C652" i="1"/>
  <c r="C650" i="13" s="1"/>
  <c r="B652" i="1"/>
  <c r="B650" i="13" s="1"/>
  <c r="A652" i="1"/>
  <c r="A650" i="13" s="1"/>
  <c r="E651" i="1"/>
  <c r="E649" i="13" s="1"/>
  <c r="D651" i="1"/>
  <c r="C651" i="1"/>
  <c r="C649" i="13" s="1"/>
  <c r="B651" i="1"/>
  <c r="B649" i="13" s="1"/>
  <c r="A651" i="1"/>
  <c r="A649" i="13" s="1"/>
  <c r="E650" i="1"/>
  <c r="E648" i="13" s="1"/>
  <c r="D650" i="1"/>
  <c r="C650" i="1"/>
  <c r="C648" i="13" s="1"/>
  <c r="B650" i="1"/>
  <c r="B648" i="13" s="1"/>
  <c r="A650" i="1"/>
  <c r="A648" i="13" s="1"/>
  <c r="E649" i="1"/>
  <c r="E647" i="13" s="1"/>
  <c r="D649" i="1"/>
  <c r="C649" i="1"/>
  <c r="C647" i="13" s="1"/>
  <c r="B649" i="1"/>
  <c r="B647" i="13" s="1"/>
  <c r="A649" i="1"/>
  <c r="A647" i="13" s="1"/>
  <c r="E648" i="1"/>
  <c r="E646" i="13" s="1"/>
  <c r="D648" i="1"/>
  <c r="C648" i="1"/>
  <c r="C646" i="13" s="1"/>
  <c r="B648" i="1"/>
  <c r="B646" i="13" s="1"/>
  <c r="A648" i="1"/>
  <c r="A646" i="13" s="1"/>
  <c r="E647" i="1"/>
  <c r="E645" i="13" s="1"/>
  <c r="D647" i="1"/>
  <c r="C647" i="1"/>
  <c r="C645" i="13" s="1"/>
  <c r="B647" i="1"/>
  <c r="B645" i="13" s="1"/>
  <c r="A647" i="1"/>
  <c r="A645" i="13" s="1"/>
  <c r="E646" i="1"/>
  <c r="E644" i="13" s="1"/>
  <c r="D646" i="1"/>
  <c r="C646" i="1"/>
  <c r="C644" i="13" s="1"/>
  <c r="B646" i="1"/>
  <c r="B644" i="13" s="1"/>
  <c r="A646" i="1"/>
  <c r="A644" i="13" s="1"/>
  <c r="E645" i="1"/>
  <c r="E643" i="13" s="1"/>
  <c r="D645" i="1"/>
  <c r="C645" i="1"/>
  <c r="C643" i="13" s="1"/>
  <c r="B645" i="1"/>
  <c r="B643" i="13" s="1"/>
  <c r="A645" i="1"/>
  <c r="A643" i="13" s="1"/>
  <c r="E644" i="1"/>
  <c r="E642" i="13" s="1"/>
  <c r="D644" i="1"/>
  <c r="C644" i="1"/>
  <c r="C642" i="13" s="1"/>
  <c r="B644" i="1"/>
  <c r="B642" i="13" s="1"/>
  <c r="A644" i="1"/>
  <c r="A642" i="13" s="1"/>
  <c r="E643" i="1"/>
  <c r="E641" i="13" s="1"/>
  <c r="D643" i="1"/>
  <c r="C643" i="1"/>
  <c r="C641" i="13" s="1"/>
  <c r="B643" i="1"/>
  <c r="B641" i="13" s="1"/>
  <c r="A643" i="1"/>
  <c r="A641" i="13" s="1"/>
  <c r="E642" i="1"/>
  <c r="E640" i="13" s="1"/>
  <c r="D642" i="1"/>
  <c r="C642" i="1"/>
  <c r="C640" i="13" s="1"/>
  <c r="B642" i="1"/>
  <c r="B640" i="13" s="1"/>
  <c r="A642" i="1"/>
  <c r="A640" i="13" s="1"/>
  <c r="E641" i="1"/>
  <c r="E639" i="13" s="1"/>
  <c r="D641" i="1"/>
  <c r="C641" i="1"/>
  <c r="C639" i="13" s="1"/>
  <c r="B641" i="1"/>
  <c r="B639" i="13" s="1"/>
  <c r="A641" i="1"/>
  <c r="A639" i="13" s="1"/>
  <c r="E640" i="1"/>
  <c r="E638" i="13" s="1"/>
  <c r="D640" i="1"/>
  <c r="C640" i="1"/>
  <c r="C638" i="13" s="1"/>
  <c r="B640" i="1"/>
  <c r="B638" i="13" s="1"/>
  <c r="A640" i="1"/>
  <c r="A638" i="13" s="1"/>
  <c r="E639" i="1"/>
  <c r="E637" i="13" s="1"/>
  <c r="D639" i="1"/>
  <c r="C639" i="1"/>
  <c r="C637" i="13" s="1"/>
  <c r="B639" i="1"/>
  <c r="B637" i="13" s="1"/>
  <c r="A639" i="1"/>
  <c r="A637" i="13" s="1"/>
  <c r="E638" i="1"/>
  <c r="E636" i="13" s="1"/>
  <c r="D638" i="1"/>
  <c r="C638" i="1"/>
  <c r="C636" i="13" s="1"/>
  <c r="B638" i="1"/>
  <c r="B636" i="13" s="1"/>
  <c r="A638" i="1"/>
  <c r="A636" i="13" s="1"/>
  <c r="E637" i="1"/>
  <c r="E635" i="13" s="1"/>
  <c r="D637" i="1"/>
  <c r="C637" i="1"/>
  <c r="C635" i="13" s="1"/>
  <c r="B637" i="1"/>
  <c r="B635" i="13" s="1"/>
  <c r="A637" i="1"/>
  <c r="A635" i="13" s="1"/>
  <c r="E636" i="1"/>
  <c r="E634" i="13" s="1"/>
  <c r="D636" i="1"/>
  <c r="C636" i="1"/>
  <c r="C634" i="13" s="1"/>
  <c r="B636" i="1"/>
  <c r="B634" i="13" s="1"/>
  <c r="A636" i="1"/>
  <c r="A634" i="13" s="1"/>
  <c r="E635" i="1"/>
  <c r="E633" i="13" s="1"/>
  <c r="D635" i="1"/>
  <c r="C635" i="1"/>
  <c r="C633" i="13" s="1"/>
  <c r="B635" i="1"/>
  <c r="B633" i="13" s="1"/>
  <c r="A635" i="1"/>
  <c r="A633" i="13" s="1"/>
  <c r="E634" i="1"/>
  <c r="E632" i="13" s="1"/>
  <c r="D634" i="1"/>
  <c r="D632" i="13" s="1"/>
  <c r="M632" i="13" s="1"/>
  <c r="N632" i="13" s="1"/>
  <c r="P632" i="13" s="1"/>
  <c r="C634" i="1"/>
  <c r="C632" i="13" s="1"/>
  <c r="B634" i="1"/>
  <c r="B632" i="13" s="1"/>
  <c r="A634" i="1"/>
  <c r="A632" i="13" s="1"/>
  <c r="E633" i="1"/>
  <c r="E631" i="13" s="1"/>
  <c r="D633" i="1"/>
  <c r="C633" i="1"/>
  <c r="C631" i="13" s="1"/>
  <c r="B633" i="1"/>
  <c r="B631" i="13" s="1"/>
  <c r="A633" i="1"/>
  <c r="A631" i="13" s="1"/>
  <c r="E632" i="1"/>
  <c r="E630" i="13" s="1"/>
  <c r="D632" i="1"/>
  <c r="C632" i="1"/>
  <c r="C630" i="13" s="1"/>
  <c r="B632" i="1"/>
  <c r="B630" i="13" s="1"/>
  <c r="A632" i="1"/>
  <c r="A630" i="13" s="1"/>
  <c r="E631" i="1"/>
  <c r="E629" i="13" s="1"/>
  <c r="D631" i="1"/>
  <c r="C631" i="1"/>
  <c r="C629" i="13" s="1"/>
  <c r="B631" i="1"/>
  <c r="B629" i="13" s="1"/>
  <c r="A631" i="1"/>
  <c r="A629" i="13" s="1"/>
  <c r="E630" i="1"/>
  <c r="E628" i="13" s="1"/>
  <c r="D630" i="1"/>
  <c r="C630" i="1"/>
  <c r="C628" i="13" s="1"/>
  <c r="B630" i="1"/>
  <c r="B628" i="13" s="1"/>
  <c r="A630" i="1"/>
  <c r="A628" i="13" s="1"/>
  <c r="E629" i="1"/>
  <c r="E627" i="13" s="1"/>
  <c r="D629" i="1"/>
  <c r="C629" i="1"/>
  <c r="C627" i="13" s="1"/>
  <c r="B629" i="1"/>
  <c r="B627" i="13" s="1"/>
  <c r="A629" i="1"/>
  <c r="A627" i="13" s="1"/>
  <c r="E628" i="1"/>
  <c r="E626" i="13" s="1"/>
  <c r="D628" i="1"/>
  <c r="C628" i="1"/>
  <c r="C626" i="13" s="1"/>
  <c r="B628" i="1"/>
  <c r="B626" i="13" s="1"/>
  <c r="A628" i="1"/>
  <c r="A626" i="13" s="1"/>
  <c r="E627" i="1"/>
  <c r="E625" i="13" s="1"/>
  <c r="D627" i="1"/>
  <c r="C627" i="1"/>
  <c r="C625" i="13" s="1"/>
  <c r="B627" i="1"/>
  <c r="B625" i="13" s="1"/>
  <c r="A627" i="1"/>
  <c r="A625" i="13" s="1"/>
  <c r="E626" i="1"/>
  <c r="E624" i="13" s="1"/>
  <c r="D626" i="1"/>
  <c r="C626" i="1"/>
  <c r="C624" i="13" s="1"/>
  <c r="B626" i="1"/>
  <c r="B624" i="13" s="1"/>
  <c r="A626" i="1"/>
  <c r="A624" i="13" s="1"/>
  <c r="E625" i="1"/>
  <c r="E623" i="13" s="1"/>
  <c r="D625" i="1"/>
  <c r="C625" i="1"/>
  <c r="C623" i="13" s="1"/>
  <c r="B625" i="1"/>
  <c r="B623" i="13" s="1"/>
  <c r="A625" i="1"/>
  <c r="A623" i="13" s="1"/>
  <c r="E624" i="1"/>
  <c r="E622" i="13" s="1"/>
  <c r="D624" i="1"/>
  <c r="C624" i="1"/>
  <c r="C622" i="13" s="1"/>
  <c r="B624" i="1"/>
  <c r="B622" i="13" s="1"/>
  <c r="A624" i="1"/>
  <c r="A622" i="13" s="1"/>
  <c r="E623" i="1"/>
  <c r="E621" i="13" s="1"/>
  <c r="D623" i="1"/>
  <c r="C623" i="1"/>
  <c r="C621" i="13" s="1"/>
  <c r="B623" i="1"/>
  <c r="B621" i="13" s="1"/>
  <c r="A623" i="1"/>
  <c r="A621" i="13" s="1"/>
  <c r="E622" i="1"/>
  <c r="E620" i="13" s="1"/>
  <c r="D622" i="1"/>
  <c r="C622" i="1"/>
  <c r="C620" i="13" s="1"/>
  <c r="B622" i="1"/>
  <c r="B620" i="13" s="1"/>
  <c r="A622" i="1"/>
  <c r="A620" i="13" s="1"/>
  <c r="E621" i="1"/>
  <c r="E619" i="13" s="1"/>
  <c r="D621" i="1"/>
  <c r="C621" i="1"/>
  <c r="C619" i="13" s="1"/>
  <c r="B621" i="1"/>
  <c r="B619" i="13" s="1"/>
  <c r="A621" i="1"/>
  <c r="A619" i="13" s="1"/>
  <c r="E620" i="1"/>
  <c r="E618" i="13" s="1"/>
  <c r="D620" i="1"/>
  <c r="C620" i="1"/>
  <c r="C618" i="13" s="1"/>
  <c r="B620" i="1"/>
  <c r="B618" i="13" s="1"/>
  <c r="A620" i="1"/>
  <c r="A618" i="13" s="1"/>
  <c r="E619" i="1"/>
  <c r="E617" i="13" s="1"/>
  <c r="D619" i="1"/>
  <c r="C619" i="1"/>
  <c r="C617" i="13" s="1"/>
  <c r="B619" i="1"/>
  <c r="B617" i="13" s="1"/>
  <c r="A619" i="1"/>
  <c r="A617" i="13" s="1"/>
  <c r="E618" i="1"/>
  <c r="E616" i="13" s="1"/>
  <c r="D618" i="1"/>
  <c r="C618" i="1"/>
  <c r="C616" i="13" s="1"/>
  <c r="B618" i="1"/>
  <c r="B616" i="13" s="1"/>
  <c r="A618" i="1"/>
  <c r="A616" i="13" s="1"/>
  <c r="E617" i="1"/>
  <c r="E615" i="13" s="1"/>
  <c r="D617" i="1"/>
  <c r="C617" i="1"/>
  <c r="C615" i="13" s="1"/>
  <c r="B617" i="1"/>
  <c r="B615" i="13" s="1"/>
  <c r="A617" i="1"/>
  <c r="A615" i="13" s="1"/>
  <c r="E616" i="1"/>
  <c r="E614" i="13" s="1"/>
  <c r="D616" i="1"/>
  <c r="C616" i="1"/>
  <c r="C614" i="13" s="1"/>
  <c r="B616" i="1"/>
  <c r="B614" i="13" s="1"/>
  <c r="A616" i="1"/>
  <c r="A614" i="13" s="1"/>
  <c r="E615" i="1"/>
  <c r="E613" i="13" s="1"/>
  <c r="D615" i="1"/>
  <c r="C615" i="1"/>
  <c r="C613" i="13" s="1"/>
  <c r="B615" i="1"/>
  <c r="B613" i="13" s="1"/>
  <c r="A615" i="1"/>
  <c r="A613" i="13" s="1"/>
  <c r="E614" i="1"/>
  <c r="E612" i="13" s="1"/>
  <c r="D614" i="1"/>
  <c r="C614" i="1"/>
  <c r="C612" i="13" s="1"/>
  <c r="B614" i="1"/>
  <c r="B612" i="13" s="1"/>
  <c r="A614" i="1"/>
  <c r="A612" i="13" s="1"/>
  <c r="E613" i="1"/>
  <c r="E611" i="13" s="1"/>
  <c r="D613" i="1"/>
  <c r="C613" i="1"/>
  <c r="C611" i="13" s="1"/>
  <c r="B613" i="1"/>
  <c r="B611" i="13" s="1"/>
  <c r="A613" i="1"/>
  <c r="A611" i="13" s="1"/>
  <c r="E612" i="1"/>
  <c r="E610" i="13" s="1"/>
  <c r="D612" i="1"/>
  <c r="C612" i="1"/>
  <c r="C610" i="13" s="1"/>
  <c r="B612" i="1"/>
  <c r="B610" i="13" s="1"/>
  <c r="A612" i="1"/>
  <c r="A610" i="13" s="1"/>
  <c r="E611" i="1"/>
  <c r="E609" i="13" s="1"/>
  <c r="D611" i="1"/>
  <c r="C611" i="1"/>
  <c r="C609" i="13" s="1"/>
  <c r="B611" i="1"/>
  <c r="B609" i="13" s="1"/>
  <c r="A611" i="1"/>
  <c r="A609" i="13" s="1"/>
  <c r="E610" i="1"/>
  <c r="E608" i="13" s="1"/>
  <c r="D610" i="1"/>
  <c r="C610" i="1"/>
  <c r="C608" i="13" s="1"/>
  <c r="B610" i="1"/>
  <c r="B608" i="13" s="1"/>
  <c r="A610" i="1"/>
  <c r="A608" i="13" s="1"/>
  <c r="E609" i="1"/>
  <c r="E607" i="13" s="1"/>
  <c r="D609" i="1"/>
  <c r="C609" i="1"/>
  <c r="C607" i="13" s="1"/>
  <c r="B609" i="1"/>
  <c r="B607" i="13" s="1"/>
  <c r="A609" i="1"/>
  <c r="A607" i="13" s="1"/>
  <c r="E608" i="1"/>
  <c r="E606" i="13" s="1"/>
  <c r="D608" i="1"/>
  <c r="C608" i="1"/>
  <c r="C606" i="13" s="1"/>
  <c r="B608" i="1"/>
  <c r="B606" i="13" s="1"/>
  <c r="A608" i="1"/>
  <c r="A606" i="13" s="1"/>
  <c r="E607" i="1"/>
  <c r="E605" i="13" s="1"/>
  <c r="D607" i="1"/>
  <c r="C607" i="1"/>
  <c r="C605" i="13" s="1"/>
  <c r="B607" i="1"/>
  <c r="B605" i="13" s="1"/>
  <c r="A607" i="1"/>
  <c r="A605" i="13" s="1"/>
  <c r="E606" i="1"/>
  <c r="E604" i="13" s="1"/>
  <c r="D606" i="1"/>
  <c r="C606" i="1"/>
  <c r="C604" i="13" s="1"/>
  <c r="B606" i="1"/>
  <c r="B604" i="13" s="1"/>
  <c r="A606" i="1"/>
  <c r="A604" i="13" s="1"/>
  <c r="E605" i="1"/>
  <c r="E603" i="13" s="1"/>
  <c r="D605" i="1"/>
  <c r="C605" i="1"/>
  <c r="C603" i="13" s="1"/>
  <c r="B605" i="1"/>
  <c r="B603" i="13" s="1"/>
  <c r="A605" i="1"/>
  <c r="A603" i="13" s="1"/>
  <c r="E604" i="1"/>
  <c r="E602" i="13" s="1"/>
  <c r="D604" i="1"/>
  <c r="C604" i="1"/>
  <c r="C602" i="13" s="1"/>
  <c r="B604" i="1"/>
  <c r="B602" i="13" s="1"/>
  <c r="A604" i="1"/>
  <c r="A602" i="13" s="1"/>
  <c r="E603" i="1"/>
  <c r="E601" i="13" s="1"/>
  <c r="D603" i="1"/>
  <c r="C603" i="1"/>
  <c r="C601" i="13" s="1"/>
  <c r="B603" i="1"/>
  <c r="B601" i="13" s="1"/>
  <c r="A603" i="1"/>
  <c r="A601" i="13" s="1"/>
  <c r="E602" i="1"/>
  <c r="E600" i="13" s="1"/>
  <c r="D602" i="1"/>
  <c r="C602" i="1"/>
  <c r="C600" i="13" s="1"/>
  <c r="B602" i="1"/>
  <c r="B600" i="13" s="1"/>
  <c r="A602" i="1"/>
  <c r="A600" i="13" s="1"/>
  <c r="E601" i="1"/>
  <c r="E599" i="13" s="1"/>
  <c r="D601" i="1"/>
  <c r="C601" i="1"/>
  <c r="C599" i="13" s="1"/>
  <c r="B601" i="1"/>
  <c r="B599" i="13" s="1"/>
  <c r="A601" i="1"/>
  <c r="A599" i="13" s="1"/>
  <c r="E600" i="1"/>
  <c r="E598" i="13" s="1"/>
  <c r="D600" i="1"/>
  <c r="C600" i="1"/>
  <c r="C598" i="13" s="1"/>
  <c r="B600" i="1"/>
  <c r="B598" i="13" s="1"/>
  <c r="A600" i="1"/>
  <c r="A598" i="13" s="1"/>
  <c r="E599" i="1"/>
  <c r="E597" i="13" s="1"/>
  <c r="D599" i="1"/>
  <c r="C599" i="1"/>
  <c r="C597" i="13" s="1"/>
  <c r="B599" i="1"/>
  <c r="B597" i="13" s="1"/>
  <c r="A599" i="1"/>
  <c r="A597" i="13" s="1"/>
  <c r="E598" i="1"/>
  <c r="E596" i="13" s="1"/>
  <c r="D598" i="1"/>
  <c r="C598" i="1"/>
  <c r="C596" i="13" s="1"/>
  <c r="B598" i="1"/>
  <c r="B596" i="13" s="1"/>
  <c r="A598" i="1"/>
  <c r="A596" i="13" s="1"/>
  <c r="E597" i="1"/>
  <c r="E595" i="13" s="1"/>
  <c r="D597" i="1"/>
  <c r="C597" i="1"/>
  <c r="C595" i="13" s="1"/>
  <c r="B597" i="1"/>
  <c r="B595" i="13" s="1"/>
  <c r="A597" i="1"/>
  <c r="A595" i="13" s="1"/>
  <c r="E596" i="1"/>
  <c r="E594" i="13" s="1"/>
  <c r="D596" i="1"/>
  <c r="C596" i="1"/>
  <c r="C594" i="13" s="1"/>
  <c r="B596" i="1"/>
  <c r="B594" i="13" s="1"/>
  <c r="A596" i="1"/>
  <c r="A594" i="13" s="1"/>
  <c r="E595" i="1"/>
  <c r="E593" i="13" s="1"/>
  <c r="D595" i="1"/>
  <c r="C595" i="1"/>
  <c r="C593" i="13" s="1"/>
  <c r="B595" i="1"/>
  <c r="B593" i="13" s="1"/>
  <c r="A595" i="1"/>
  <c r="A593" i="13" s="1"/>
  <c r="E594" i="1"/>
  <c r="E592" i="13" s="1"/>
  <c r="D594" i="1"/>
  <c r="C594" i="1"/>
  <c r="C592" i="13" s="1"/>
  <c r="B594" i="1"/>
  <c r="B592" i="13" s="1"/>
  <c r="A594" i="1"/>
  <c r="A592" i="13" s="1"/>
  <c r="E593" i="1"/>
  <c r="E591" i="13" s="1"/>
  <c r="D593" i="1"/>
  <c r="C593" i="1"/>
  <c r="C591" i="13" s="1"/>
  <c r="B593" i="1"/>
  <c r="B591" i="13" s="1"/>
  <c r="A593" i="1"/>
  <c r="A591" i="13" s="1"/>
  <c r="E592" i="1"/>
  <c r="E590" i="13" s="1"/>
  <c r="D592" i="1"/>
  <c r="C592" i="1"/>
  <c r="C590" i="13" s="1"/>
  <c r="B592" i="1"/>
  <c r="B590" i="13" s="1"/>
  <c r="A592" i="1"/>
  <c r="A590" i="13" s="1"/>
  <c r="E591" i="1"/>
  <c r="E589" i="13" s="1"/>
  <c r="D591" i="1"/>
  <c r="C591" i="1"/>
  <c r="C589" i="13" s="1"/>
  <c r="B591" i="1"/>
  <c r="B589" i="13" s="1"/>
  <c r="A591" i="1"/>
  <c r="A589" i="13" s="1"/>
  <c r="E590" i="1"/>
  <c r="E588" i="13" s="1"/>
  <c r="D590" i="1"/>
  <c r="C590" i="1"/>
  <c r="C588" i="13" s="1"/>
  <c r="B590" i="1"/>
  <c r="B588" i="13" s="1"/>
  <c r="A590" i="1"/>
  <c r="A588" i="13" s="1"/>
  <c r="E589" i="1"/>
  <c r="E587" i="13" s="1"/>
  <c r="D589" i="1"/>
  <c r="C589" i="1"/>
  <c r="C587" i="13" s="1"/>
  <c r="B589" i="1"/>
  <c r="B587" i="13" s="1"/>
  <c r="A589" i="1"/>
  <c r="A587" i="13" s="1"/>
  <c r="E588" i="1"/>
  <c r="E586" i="13" s="1"/>
  <c r="D588" i="1"/>
  <c r="C588" i="1"/>
  <c r="C586" i="13" s="1"/>
  <c r="B588" i="1"/>
  <c r="B586" i="13" s="1"/>
  <c r="A588" i="1"/>
  <c r="A586" i="13" s="1"/>
  <c r="E587" i="1"/>
  <c r="E585" i="13" s="1"/>
  <c r="D587" i="1"/>
  <c r="C587" i="1"/>
  <c r="C585" i="13" s="1"/>
  <c r="B587" i="1"/>
  <c r="B585" i="13" s="1"/>
  <c r="A587" i="1"/>
  <c r="A585" i="13" s="1"/>
  <c r="E586" i="1"/>
  <c r="E584" i="13" s="1"/>
  <c r="D586" i="1"/>
  <c r="C586" i="1"/>
  <c r="C584" i="13" s="1"/>
  <c r="B586" i="1"/>
  <c r="B584" i="13" s="1"/>
  <c r="A586" i="1"/>
  <c r="A584" i="13" s="1"/>
  <c r="E585" i="1"/>
  <c r="E583" i="13" s="1"/>
  <c r="D585" i="1"/>
  <c r="C585" i="1"/>
  <c r="C583" i="13" s="1"/>
  <c r="B585" i="1"/>
  <c r="B583" i="13" s="1"/>
  <c r="A585" i="1"/>
  <c r="A583" i="13" s="1"/>
  <c r="E584" i="1"/>
  <c r="E582" i="13" s="1"/>
  <c r="D584" i="1"/>
  <c r="C584" i="1"/>
  <c r="C582" i="13" s="1"/>
  <c r="B584" i="1"/>
  <c r="B582" i="13" s="1"/>
  <c r="A584" i="1"/>
  <c r="A582" i="13" s="1"/>
  <c r="E583" i="1"/>
  <c r="E581" i="13" s="1"/>
  <c r="D583" i="1"/>
  <c r="C583" i="1"/>
  <c r="C581" i="13" s="1"/>
  <c r="B583" i="1"/>
  <c r="B581" i="13" s="1"/>
  <c r="A583" i="1"/>
  <c r="A581" i="13" s="1"/>
  <c r="E582" i="1"/>
  <c r="E580" i="13" s="1"/>
  <c r="D582" i="1"/>
  <c r="C582" i="1"/>
  <c r="C580" i="13" s="1"/>
  <c r="B582" i="1"/>
  <c r="B580" i="13" s="1"/>
  <c r="A582" i="1"/>
  <c r="A580" i="13" s="1"/>
  <c r="E581" i="1"/>
  <c r="E579" i="13" s="1"/>
  <c r="D581" i="1"/>
  <c r="C581" i="1"/>
  <c r="C579" i="13" s="1"/>
  <c r="B581" i="1"/>
  <c r="B579" i="13" s="1"/>
  <c r="A581" i="1"/>
  <c r="A579" i="13" s="1"/>
  <c r="E580" i="1"/>
  <c r="E578" i="13" s="1"/>
  <c r="D580" i="1"/>
  <c r="C580" i="1"/>
  <c r="C578" i="13" s="1"/>
  <c r="B580" i="1"/>
  <c r="B578" i="13" s="1"/>
  <c r="A580" i="1"/>
  <c r="A578" i="13" s="1"/>
  <c r="E579" i="1"/>
  <c r="E577" i="13" s="1"/>
  <c r="D579" i="1"/>
  <c r="C579" i="1"/>
  <c r="C577" i="13" s="1"/>
  <c r="B579" i="1"/>
  <c r="B577" i="13" s="1"/>
  <c r="A579" i="1"/>
  <c r="A577" i="13" s="1"/>
  <c r="E578" i="1"/>
  <c r="E576" i="13" s="1"/>
  <c r="D578" i="1"/>
  <c r="D576" i="13" s="1"/>
  <c r="M576" i="13" s="1"/>
  <c r="N576" i="13" s="1"/>
  <c r="P576" i="13" s="1"/>
  <c r="C578" i="1"/>
  <c r="C576" i="13" s="1"/>
  <c r="B578" i="1"/>
  <c r="B576" i="13" s="1"/>
  <c r="A578" i="1"/>
  <c r="A576" i="13" s="1"/>
  <c r="E577" i="1"/>
  <c r="E575" i="13" s="1"/>
  <c r="D577" i="1"/>
  <c r="C577" i="1"/>
  <c r="C575" i="13" s="1"/>
  <c r="B577" i="1"/>
  <c r="B575" i="13" s="1"/>
  <c r="A577" i="1"/>
  <c r="A575" i="13" s="1"/>
  <c r="E576" i="1"/>
  <c r="E574" i="13" s="1"/>
  <c r="D576" i="1"/>
  <c r="C576" i="1"/>
  <c r="C574" i="13" s="1"/>
  <c r="B576" i="1"/>
  <c r="B574" i="13" s="1"/>
  <c r="A576" i="1"/>
  <c r="A574" i="13" s="1"/>
  <c r="E575" i="1"/>
  <c r="E573" i="13" s="1"/>
  <c r="D575" i="1"/>
  <c r="C575" i="1"/>
  <c r="C573" i="13" s="1"/>
  <c r="B575" i="1"/>
  <c r="B573" i="13" s="1"/>
  <c r="A575" i="1"/>
  <c r="A573" i="13" s="1"/>
  <c r="E574" i="1"/>
  <c r="E572" i="13" s="1"/>
  <c r="D574" i="1"/>
  <c r="C574" i="1"/>
  <c r="C572" i="13" s="1"/>
  <c r="B574" i="1"/>
  <c r="B572" i="13" s="1"/>
  <c r="A574" i="1"/>
  <c r="A572" i="13" s="1"/>
  <c r="E573" i="1"/>
  <c r="E571" i="13" s="1"/>
  <c r="D573" i="1"/>
  <c r="C573" i="1"/>
  <c r="C571" i="13" s="1"/>
  <c r="B573" i="1"/>
  <c r="B571" i="13" s="1"/>
  <c r="A573" i="1"/>
  <c r="A571" i="13" s="1"/>
  <c r="E572" i="1"/>
  <c r="E570" i="13" s="1"/>
  <c r="D572" i="1"/>
  <c r="C572" i="1"/>
  <c r="C570" i="13" s="1"/>
  <c r="B572" i="1"/>
  <c r="B570" i="13" s="1"/>
  <c r="A572" i="1"/>
  <c r="A570" i="13" s="1"/>
  <c r="E571" i="1"/>
  <c r="E569" i="13" s="1"/>
  <c r="D571" i="1"/>
  <c r="C571" i="1"/>
  <c r="C569" i="13" s="1"/>
  <c r="B571" i="1"/>
  <c r="B569" i="13" s="1"/>
  <c r="A571" i="1"/>
  <c r="A569" i="13" s="1"/>
  <c r="E570" i="1"/>
  <c r="E568" i="13" s="1"/>
  <c r="D570" i="1"/>
  <c r="C570" i="1"/>
  <c r="C568" i="13" s="1"/>
  <c r="B570" i="1"/>
  <c r="B568" i="13" s="1"/>
  <c r="A570" i="1"/>
  <c r="A568" i="13" s="1"/>
  <c r="E569" i="1"/>
  <c r="E567" i="13" s="1"/>
  <c r="D569" i="1"/>
  <c r="C569" i="1"/>
  <c r="C567" i="13" s="1"/>
  <c r="B569" i="1"/>
  <c r="B567" i="13" s="1"/>
  <c r="A569" i="1"/>
  <c r="A567" i="13" s="1"/>
  <c r="E568" i="1"/>
  <c r="E566" i="13" s="1"/>
  <c r="D568" i="1"/>
  <c r="C568" i="1"/>
  <c r="C566" i="13" s="1"/>
  <c r="B568" i="1"/>
  <c r="B566" i="13" s="1"/>
  <c r="A568" i="1"/>
  <c r="A566" i="13" s="1"/>
  <c r="E567" i="1"/>
  <c r="E565" i="13" s="1"/>
  <c r="D567" i="1"/>
  <c r="C567" i="1"/>
  <c r="C565" i="13" s="1"/>
  <c r="B567" i="1"/>
  <c r="B565" i="13" s="1"/>
  <c r="A567" i="1"/>
  <c r="A565" i="13" s="1"/>
  <c r="E566" i="1"/>
  <c r="E564" i="13" s="1"/>
  <c r="D566" i="1"/>
  <c r="C566" i="1"/>
  <c r="C564" i="13" s="1"/>
  <c r="B566" i="1"/>
  <c r="B564" i="13" s="1"/>
  <c r="A566" i="1"/>
  <c r="A564" i="13" s="1"/>
  <c r="E565" i="1"/>
  <c r="E563" i="13" s="1"/>
  <c r="D565" i="1"/>
  <c r="C565" i="1"/>
  <c r="C563" i="13" s="1"/>
  <c r="B565" i="1"/>
  <c r="B563" i="13" s="1"/>
  <c r="A565" i="1"/>
  <c r="A563" i="13" s="1"/>
  <c r="E564" i="1"/>
  <c r="E562" i="13" s="1"/>
  <c r="D564" i="1"/>
  <c r="C564" i="1"/>
  <c r="C562" i="13" s="1"/>
  <c r="B564" i="1"/>
  <c r="B562" i="13" s="1"/>
  <c r="A564" i="1"/>
  <c r="A562" i="13" s="1"/>
  <c r="E563" i="1"/>
  <c r="E561" i="13" s="1"/>
  <c r="D563" i="1"/>
  <c r="C563" i="1"/>
  <c r="C561" i="13" s="1"/>
  <c r="B563" i="1"/>
  <c r="B561" i="13" s="1"/>
  <c r="A563" i="1"/>
  <c r="A561" i="13" s="1"/>
  <c r="E562" i="1"/>
  <c r="E560" i="13" s="1"/>
  <c r="D562" i="1"/>
  <c r="C562" i="1"/>
  <c r="C560" i="13" s="1"/>
  <c r="B562" i="1"/>
  <c r="B560" i="13" s="1"/>
  <c r="A562" i="1"/>
  <c r="A560" i="13" s="1"/>
  <c r="E561" i="1"/>
  <c r="E559" i="13" s="1"/>
  <c r="D561" i="1"/>
  <c r="C561" i="1"/>
  <c r="C559" i="13" s="1"/>
  <c r="B561" i="1"/>
  <c r="B559" i="13" s="1"/>
  <c r="A561" i="1"/>
  <c r="A559" i="13" s="1"/>
  <c r="E560" i="1"/>
  <c r="E558" i="13" s="1"/>
  <c r="D560" i="1"/>
  <c r="C560" i="1"/>
  <c r="C558" i="13" s="1"/>
  <c r="B560" i="1"/>
  <c r="B558" i="13" s="1"/>
  <c r="A560" i="1"/>
  <c r="A558" i="13" s="1"/>
  <c r="E559" i="1"/>
  <c r="E557" i="13" s="1"/>
  <c r="D559" i="1"/>
  <c r="C559" i="1"/>
  <c r="C557" i="13" s="1"/>
  <c r="B559" i="1"/>
  <c r="B557" i="13" s="1"/>
  <c r="A559" i="1"/>
  <c r="A557" i="13" s="1"/>
  <c r="E558" i="1"/>
  <c r="E556" i="13" s="1"/>
  <c r="D558" i="1"/>
  <c r="C558" i="1"/>
  <c r="C556" i="13" s="1"/>
  <c r="B558" i="1"/>
  <c r="B556" i="13" s="1"/>
  <c r="A558" i="1"/>
  <c r="A556" i="13" s="1"/>
  <c r="E557" i="1"/>
  <c r="E555" i="13" s="1"/>
  <c r="D557" i="1"/>
  <c r="C557" i="1"/>
  <c r="C555" i="13" s="1"/>
  <c r="B557" i="1"/>
  <c r="B555" i="13" s="1"/>
  <c r="A557" i="1"/>
  <c r="A555" i="13" s="1"/>
  <c r="E556" i="1"/>
  <c r="E554" i="13" s="1"/>
  <c r="D556" i="1"/>
  <c r="C556" i="1"/>
  <c r="C554" i="13" s="1"/>
  <c r="B556" i="1"/>
  <c r="B554" i="13" s="1"/>
  <c r="A556" i="1"/>
  <c r="A554" i="13" s="1"/>
  <c r="E555" i="1"/>
  <c r="E553" i="13" s="1"/>
  <c r="D555" i="1"/>
  <c r="C555" i="1"/>
  <c r="C553" i="13" s="1"/>
  <c r="B555" i="1"/>
  <c r="B553" i="13" s="1"/>
  <c r="A555" i="1"/>
  <c r="A553" i="13" s="1"/>
  <c r="E554" i="1"/>
  <c r="E552" i="13" s="1"/>
  <c r="D554" i="1"/>
  <c r="C554" i="1"/>
  <c r="C552" i="13" s="1"/>
  <c r="B554" i="1"/>
  <c r="B552" i="13" s="1"/>
  <c r="A554" i="1"/>
  <c r="A552" i="13" s="1"/>
  <c r="E553" i="1"/>
  <c r="E551" i="13" s="1"/>
  <c r="D553" i="1"/>
  <c r="C553" i="1"/>
  <c r="C551" i="13" s="1"/>
  <c r="B553" i="1"/>
  <c r="B551" i="13" s="1"/>
  <c r="A553" i="1"/>
  <c r="A551" i="13" s="1"/>
  <c r="E552" i="1"/>
  <c r="E550" i="13" s="1"/>
  <c r="D552" i="1"/>
  <c r="C552" i="1"/>
  <c r="C550" i="13" s="1"/>
  <c r="B552" i="1"/>
  <c r="B550" i="13" s="1"/>
  <c r="A552" i="1"/>
  <c r="A550" i="13" s="1"/>
  <c r="E551" i="1"/>
  <c r="E549" i="13" s="1"/>
  <c r="D551" i="1"/>
  <c r="C551" i="1"/>
  <c r="C549" i="13" s="1"/>
  <c r="B551" i="1"/>
  <c r="B549" i="13" s="1"/>
  <c r="A551" i="1"/>
  <c r="A549" i="13" s="1"/>
  <c r="E550" i="1"/>
  <c r="E548" i="13" s="1"/>
  <c r="D550" i="1"/>
  <c r="C550" i="1"/>
  <c r="C548" i="13" s="1"/>
  <c r="B550" i="1"/>
  <c r="B548" i="13" s="1"/>
  <c r="A550" i="1"/>
  <c r="A548" i="13" s="1"/>
  <c r="E549" i="1"/>
  <c r="E547" i="13" s="1"/>
  <c r="D549" i="1"/>
  <c r="C549" i="1"/>
  <c r="C547" i="13" s="1"/>
  <c r="B549" i="1"/>
  <c r="B547" i="13" s="1"/>
  <c r="A549" i="1"/>
  <c r="A547" i="13" s="1"/>
  <c r="E548" i="1"/>
  <c r="E546" i="13" s="1"/>
  <c r="D548" i="1"/>
  <c r="C548" i="1"/>
  <c r="C546" i="13" s="1"/>
  <c r="B548" i="1"/>
  <c r="B546" i="13" s="1"/>
  <c r="A548" i="1"/>
  <c r="A546" i="13" s="1"/>
  <c r="E547" i="1"/>
  <c r="E545" i="13" s="1"/>
  <c r="D547" i="1"/>
  <c r="C547" i="1"/>
  <c r="C545" i="13" s="1"/>
  <c r="B547" i="1"/>
  <c r="B545" i="13" s="1"/>
  <c r="A547" i="1"/>
  <c r="A545" i="13" s="1"/>
  <c r="E546" i="1"/>
  <c r="E544" i="13" s="1"/>
  <c r="D546" i="1"/>
  <c r="C546" i="1"/>
  <c r="C544" i="13" s="1"/>
  <c r="B546" i="1"/>
  <c r="B544" i="13" s="1"/>
  <c r="A546" i="1"/>
  <c r="A544" i="13" s="1"/>
  <c r="E545" i="1"/>
  <c r="E543" i="13" s="1"/>
  <c r="D545" i="1"/>
  <c r="C545" i="1"/>
  <c r="C543" i="13" s="1"/>
  <c r="B545" i="1"/>
  <c r="B543" i="13" s="1"/>
  <c r="A545" i="1"/>
  <c r="A543" i="13" s="1"/>
  <c r="E544" i="1"/>
  <c r="E542" i="13" s="1"/>
  <c r="D544" i="1"/>
  <c r="C544" i="1"/>
  <c r="C542" i="13" s="1"/>
  <c r="B544" i="1"/>
  <c r="B542" i="13" s="1"/>
  <c r="A544" i="1"/>
  <c r="A542" i="13" s="1"/>
  <c r="E543" i="1"/>
  <c r="E541" i="13" s="1"/>
  <c r="D543" i="1"/>
  <c r="C543" i="1"/>
  <c r="C541" i="13" s="1"/>
  <c r="B543" i="1"/>
  <c r="B541" i="13" s="1"/>
  <c r="A543" i="1"/>
  <c r="A541" i="13" s="1"/>
  <c r="E542" i="1"/>
  <c r="E540" i="13" s="1"/>
  <c r="D542" i="1"/>
  <c r="D540" i="13" s="1"/>
  <c r="M540" i="13" s="1"/>
  <c r="N540" i="13" s="1"/>
  <c r="P540" i="13" s="1"/>
  <c r="C542" i="1"/>
  <c r="C540" i="13" s="1"/>
  <c r="B542" i="1"/>
  <c r="B540" i="13" s="1"/>
  <c r="A542" i="1"/>
  <c r="A540" i="13" s="1"/>
  <c r="E541" i="1"/>
  <c r="E539" i="13" s="1"/>
  <c r="D541" i="1"/>
  <c r="C541" i="1"/>
  <c r="C539" i="13" s="1"/>
  <c r="B541" i="1"/>
  <c r="B539" i="13" s="1"/>
  <c r="A541" i="1"/>
  <c r="A539" i="13" s="1"/>
  <c r="E540" i="1"/>
  <c r="E538" i="13" s="1"/>
  <c r="D540" i="1"/>
  <c r="C540" i="1"/>
  <c r="C538" i="13" s="1"/>
  <c r="B540" i="1"/>
  <c r="B538" i="13" s="1"/>
  <c r="A540" i="1"/>
  <c r="A538" i="13" s="1"/>
  <c r="E539" i="1"/>
  <c r="E537" i="13" s="1"/>
  <c r="D539" i="1"/>
  <c r="C539" i="1"/>
  <c r="C537" i="13" s="1"/>
  <c r="B539" i="1"/>
  <c r="B537" i="13" s="1"/>
  <c r="A539" i="1"/>
  <c r="A537" i="13" s="1"/>
  <c r="E538" i="1"/>
  <c r="E536" i="13" s="1"/>
  <c r="D538" i="1"/>
  <c r="C538" i="1"/>
  <c r="C536" i="13" s="1"/>
  <c r="B538" i="1"/>
  <c r="B536" i="13" s="1"/>
  <c r="A538" i="1"/>
  <c r="A536" i="13" s="1"/>
  <c r="E537" i="1"/>
  <c r="E535" i="13" s="1"/>
  <c r="D537" i="1"/>
  <c r="C537" i="1"/>
  <c r="C535" i="13" s="1"/>
  <c r="B537" i="1"/>
  <c r="B535" i="13" s="1"/>
  <c r="A537" i="1"/>
  <c r="A535" i="13" s="1"/>
  <c r="E536" i="1"/>
  <c r="E534" i="13" s="1"/>
  <c r="D536" i="1"/>
  <c r="C536" i="1"/>
  <c r="C534" i="13" s="1"/>
  <c r="B536" i="1"/>
  <c r="B534" i="13" s="1"/>
  <c r="A536" i="1"/>
  <c r="A534" i="13" s="1"/>
  <c r="E535" i="1"/>
  <c r="E533" i="13" s="1"/>
  <c r="D535" i="1"/>
  <c r="C535" i="1"/>
  <c r="C533" i="13" s="1"/>
  <c r="B535" i="1"/>
  <c r="B533" i="13" s="1"/>
  <c r="A535" i="1"/>
  <c r="A533" i="13" s="1"/>
  <c r="E534" i="1"/>
  <c r="E532" i="13" s="1"/>
  <c r="D534" i="1"/>
  <c r="C534" i="1"/>
  <c r="C532" i="13" s="1"/>
  <c r="B534" i="1"/>
  <c r="B532" i="13" s="1"/>
  <c r="A534" i="1"/>
  <c r="A532" i="13" s="1"/>
  <c r="E533" i="1"/>
  <c r="E531" i="13" s="1"/>
  <c r="D533" i="1"/>
  <c r="C533" i="1"/>
  <c r="C531" i="13" s="1"/>
  <c r="B533" i="1"/>
  <c r="B531" i="13" s="1"/>
  <c r="A533" i="1"/>
  <c r="A531" i="13" s="1"/>
  <c r="E532" i="1"/>
  <c r="E530" i="13" s="1"/>
  <c r="D532" i="1"/>
  <c r="C532" i="1"/>
  <c r="C530" i="13" s="1"/>
  <c r="B532" i="1"/>
  <c r="B530" i="13" s="1"/>
  <c r="A532" i="1"/>
  <c r="A530" i="13" s="1"/>
  <c r="E531" i="1"/>
  <c r="E529" i="13" s="1"/>
  <c r="D531" i="1"/>
  <c r="D529" i="13" s="1"/>
  <c r="M529" i="13" s="1"/>
  <c r="N529" i="13" s="1"/>
  <c r="P529" i="13" s="1"/>
  <c r="C531" i="1"/>
  <c r="C529" i="13" s="1"/>
  <c r="B531" i="1"/>
  <c r="B529" i="13" s="1"/>
  <c r="A531" i="1"/>
  <c r="A529" i="13" s="1"/>
  <c r="E530" i="1"/>
  <c r="E528" i="13" s="1"/>
  <c r="D530" i="1"/>
  <c r="C530" i="1"/>
  <c r="C528" i="13" s="1"/>
  <c r="B530" i="1"/>
  <c r="B528" i="13" s="1"/>
  <c r="A530" i="1"/>
  <c r="A528" i="13" s="1"/>
  <c r="E529" i="1"/>
  <c r="E527" i="13" s="1"/>
  <c r="D529" i="1"/>
  <c r="C529" i="1"/>
  <c r="C527" i="13" s="1"/>
  <c r="B529" i="1"/>
  <c r="B527" i="13" s="1"/>
  <c r="A529" i="1"/>
  <c r="A527" i="13" s="1"/>
  <c r="E528" i="1"/>
  <c r="E526" i="13" s="1"/>
  <c r="D528" i="1"/>
  <c r="C528" i="1"/>
  <c r="C526" i="13" s="1"/>
  <c r="B528" i="1"/>
  <c r="B526" i="13" s="1"/>
  <c r="A528" i="1"/>
  <c r="A526" i="13" s="1"/>
  <c r="E527" i="1"/>
  <c r="E525" i="13" s="1"/>
  <c r="D527" i="1"/>
  <c r="C527" i="1"/>
  <c r="C525" i="13" s="1"/>
  <c r="B527" i="1"/>
  <c r="B525" i="13" s="1"/>
  <c r="A527" i="1"/>
  <c r="A525" i="13" s="1"/>
  <c r="E526" i="1"/>
  <c r="E524" i="13" s="1"/>
  <c r="D526" i="1"/>
  <c r="C526" i="1"/>
  <c r="C524" i="13" s="1"/>
  <c r="B526" i="1"/>
  <c r="B524" i="13" s="1"/>
  <c r="A526" i="1"/>
  <c r="A524" i="13" s="1"/>
  <c r="E525" i="1"/>
  <c r="E523" i="13" s="1"/>
  <c r="D525" i="1"/>
  <c r="C525" i="1"/>
  <c r="C523" i="13" s="1"/>
  <c r="B525" i="1"/>
  <c r="B523" i="13" s="1"/>
  <c r="A525" i="1"/>
  <c r="A523" i="13" s="1"/>
  <c r="E524" i="1"/>
  <c r="E522" i="13" s="1"/>
  <c r="D524" i="1"/>
  <c r="C524" i="1"/>
  <c r="C522" i="13" s="1"/>
  <c r="B524" i="1"/>
  <c r="B522" i="13" s="1"/>
  <c r="A524" i="1"/>
  <c r="A522" i="13" s="1"/>
  <c r="E523" i="1"/>
  <c r="E521" i="13" s="1"/>
  <c r="D523" i="1"/>
  <c r="C523" i="1"/>
  <c r="C521" i="13" s="1"/>
  <c r="B523" i="1"/>
  <c r="B521" i="13" s="1"/>
  <c r="A523" i="1"/>
  <c r="A521" i="13" s="1"/>
  <c r="E522" i="1"/>
  <c r="E520" i="13" s="1"/>
  <c r="D522" i="1"/>
  <c r="C522" i="1"/>
  <c r="C520" i="13" s="1"/>
  <c r="B522" i="1"/>
  <c r="B520" i="13" s="1"/>
  <c r="A522" i="1"/>
  <c r="A520" i="13" s="1"/>
  <c r="E521" i="1"/>
  <c r="E519" i="13" s="1"/>
  <c r="D521" i="1"/>
  <c r="D519" i="13" s="1"/>
  <c r="M519" i="13" s="1"/>
  <c r="N519" i="13" s="1"/>
  <c r="P519" i="13" s="1"/>
  <c r="C521" i="1"/>
  <c r="C519" i="13" s="1"/>
  <c r="B521" i="1"/>
  <c r="B519" i="13" s="1"/>
  <c r="A521" i="1"/>
  <c r="A519" i="13" s="1"/>
  <c r="E520" i="1"/>
  <c r="E518" i="13" s="1"/>
  <c r="D520" i="1"/>
  <c r="C520" i="1"/>
  <c r="C518" i="13" s="1"/>
  <c r="B520" i="1"/>
  <c r="B518" i="13" s="1"/>
  <c r="A520" i="1"/>
  <c r="A518" i="13" s="1"/>
  <c r="E519" i="1"/>
  <c r="E517" i="13" s="1"/>
  <c r="D519" i="1"/>
  <c r="C519" i="1"/>
  <c r="C517" i="13" s="1"/>
  <c r="B519" i="1"/>
  <c r="B517" i="13" s="1"/>
  <c r="A519" i="1"/>
  <c r="A517" i="13" s="1"/>
  <c r="E518" i="1"/>
  <c r="E516" i="13" s="1"/>
  <c r="D518" i="1"/>
  <c r="D516" i="13" s="1"/>
  <c r="M516" i="13" s="1"/>
  <c r="N516" i="13" s="1"/>
  <c r="P516" i="13" s="1"/>
  <c r="C518" i="1"/>
  <c r="C516" i="13" s="1"/>
  <c r="B518" i="1"/>
  <c r="B516" i="13" s="1"/>
  <c r="A518" i="1"/>
  <c r="A516" i="13" s="1"/>
  <c r="E517" i="1"/>
  <c r="E515" i="13" s="1"/>
  <c r="D517" i="1"/>
  <c r="D515" i="13" s="1"/>
  <c r="M515" i="13" s="1"/>
  <c r="N515" i="13" s="1"/>
  <c r="P515" i="13" s="1"/>
  <c r="C517" i="1"/>
  <c r="C515" i="13" s="1"/>
  <c r="B517" i="1"/>
  <c r="B515" i="13" s="1"/>
  <c r="A517" i="1"/>
  <c r="A515" i="13" s="1"/>
  <c r="E516" i="1"/>
  <c r="E514" i="13" s="1"/>
  <c r="D516" i="1"/>
  <c r="D514" i="13" s="1"/>
  <c r="M514" i="13" s="1"/>
  <c r="N514" i="13" s="1"/>
  <c r="P514" i="13" s="1"/>
  <c r="C516" i="1"/>
  <c r="C514" i="13" s="1"/>
  <c r="B516" i="1"/>
  <c r="B514" i="13" s="1"/>
  <c r="A516" i="1"/>
  <c r="A514" i="13" s="1"/>
  <c r="E515" i="1"/>
  <c r="E513" i="13" s="1"/>
  <c r="D515" i="1"/>
  <c r="D513" i="13" s="1"/>
  <c r="M513" i="13" s="1"/>
  <c r="N513" i="13" s="1"/>
  <c r="P513" i="13" s="1"/>
  <c r="C515" i="1"/>
  <c r="C513" i="13" s="1"/>
  <c r="B515" i="1"/>
  <c r="B513" i="13" s="1"/>
  <c r="A515" i="1"/>
  <c r="A513" i="13" s="1"/>
  <c r="E514" i="1"/>
  <c r="E512" i="13" s="1"/>
  <c r="D514" i="1"/>
  <c r="D512" i="13" s="1"/>
  <c r="M512" i="13" s="1"/>
  <c r="N512" i="13" s="1"/>
  <c r="P512" i="13" s="1"/>
  <c r="C514" i="1"/>
  <c r="C512" i="13" s="1"/>
  <c r="B514" i="1"/>
  <c r="B512" i="13" s="1"/>
  <c r="A514" i="1"/>
  <c r="A512" i="13" s="1"/>
  <c r="E513" i="1"/>
  <c r="E511" i="13" s="1"/>
  <c r="D513" i="1"/>
  <c r="D511" i="13" s="1"/>
  <c r="M511" i="13" s="1"/>
  <c r="N511" i="13" s="1"/>
  <c r="P511" i="13" s="1"/>
  <c r="C513" i="1"/>
  <c r="C511" i="13" s="1"/>
  <c r="B513" i="1"/>
  <c r="B511" i="13" s="1"/>
  <c r="A513" i="1"/>
  <c r="A511" i="13" s="1"/>
  <c r="E512" i="1"/>
  <c r="E510" i="13" s="1"/>
  <c r="D512" i="1"/>
  <c r="D510" i="13" s="1"/>
  <c r="M510" i="13" s="1"/>
  <c r="N510" i="13" s="1"/>
  <c r="P510" i="13" s="1"/>
  <c r="C512" i="1"/>
  <c r="C510" i="13" s="1"/>
  <c r="B512" i="1"/>
  <c r="B510" i="13" s="1"/>
  <c r="A512" i="1"/>
  <c r="A510" i="13" s="1"/>
  <c r="E511" i="1"/>
  <c r="E509" i="13" s="1"/>
  <c r="D511" i="1"/>
  <c r="D509" i="13" s="1"/>
  <c r="M509" i="13" s="1"/>
  <c r="N509" i="13" s="1"/>
  <c r="P509" i="13" s="1"/>
  <c r="C511" i="1"/>
  <c r="C509" i="13" s="1"/>
  <c r="B511" i="1"/>
  <c r="B509" i="13" s="1"/>
  <c r="A511" i="1"/>
  <c r="A509" i="13" s="1"/>
  <c r="E510" i="1"/>
  <c r="E508" i="13" s="1"/>
  <c r="D510" i="1"/>
  <c r="D508" i="13" s="1"/>
  <c r="M508" i="13" s="1"/>
  <c r="N508" i="13" s="1"/>
  <c r="P508" i="13" s="1"/>
  <c r="C510" i="1"/>
  <c r="C508" i="13" s="1"/>
  <c r="B510" i="1"/>
  <c r="B508" i="13" s="1"/>
  <c r="A510" i="1"/>
  <c r="A508" i="13" s="1"/>
  <c r="E509" i="1"/>
  <c r="E507" i="13" s="1"/>
  <c r="D509" i="1"/>
  <c r="D507" i="13" s="1"/>
  <c r="M507" i="13" s="1"/>
  <c r="N507" i="13" s="1"/>
  <c r="P507" i="13" s="1"/>
  <c r="C509" i="1"/>
  <c r="C507" i="13" s="1"/>
  <c r="B509" i="1"/>
  <c r="B507" i="13" s="1"/>
  <c r="A509" i="1"/>
  <c r="A507" i="13" s="1"/>
  <c r="E508" i="1"/>
  <c r="E506" i="13" s="1"/>
  <c r="D508" i="1"/>
  <c r="D506" i="13" s="1"/>
  <c r="M506" i="13" s="1"/>
  <c r="N506" i="13" s="1"/>
  <c r="P506" i="13" s="1"/>
  <c r="C508" i="1"/>
  <c r="C506" i="13" s="1"/>
  <c r="B508" i="1"/>
  <c r="B506" i="13" s="1"/>
  <c r="A508" i="1"/>
  <c r="A506" i="13" s="1"/>
  <c r="E507" i="1"/>
  <c r="E505" i="13" s="1"/>
  <c r="D507" i="1"/>
  <c r="D505" i="13" s="1"/>
  <c r="M505" i="13" s="1"/>
  <c r="N505" i="13" s="1"/>
  <c r="P505" i="13" s="1"/>
  <c r="C507" i="1"/>
  <c r="C505" i="13" s="1"/>
  <c r="B507" i="1"/>
  <c r="B505" i="13" s="1"/>
  <c r="A507" i="1"/>
  <c r="A505" i="13" s="1"/>
  <c r="E506" i="1"/>
  <c r="E504" i="13" s="1"/>
  <c r="D506" i="1"/>
  <c r="D504" i="13" s="1"/>
  <c r="M504" i="13" s="1"/>
  <c r="N504" i="13" s="1"/>
  <c r="P504" i="13" s="1"/>
  <c r="C506" i="1"/>
  <c r="C504" i="13" s="1"/>
  <c r="B506" i="1"/>
  <c r="B504" i="13" s="1"/>
  <c r="A506" i="1"/>
  <c r="A504" i="13" s="1"/>
  <c r="E505" i="1"/>
  <c r="E503" i="13" s="1"/>
  <c r="D505" i="1"/>
  <c r="D503" i="13" s="1"/>
  <c r="M503" i="13" s="1"/>
  <c r="N503" i="13" s="1"/>
  <c r="P503" i="13" s="1"/>
  <c r="C505" i="1"/>
  <c r="C503" i="13" s="1"/>
  <c r="B505" i="1"/>
  <c r="B503" i="13" s="1"/>
  <c r="A505" i="1"/>
  <c r="A503" i="13" s="1"/>
  <c r="E504" i="1"/>
  <c r="E502" i="13" s="1"/>
  <c r="D504" i="1"/>
  <c r="D502" i="13" s="1"/>
  <c r="M502" i="13" s="1"/>
  <c r="N502" i="13" s="1"/>
  <c r="P502" i="13" s="1"/>
  <c r="C504" i="1"/>
  <c r="C502" i="13" s="1"/>
  <c r="B504" i="1"/>
  <c r="B502" i="13" s="1"/>
  <c r="A504" i="1"/>
  <c r="A502" i="13" s="1"/>
  <c r="E503" i="1"/>
  <c r="E501" i="13" s="1"/>
  <c r="D503" i="1"/>
  <c r="D501" i="13" s="1"/>
  <c r="M501" i="13" s="1"/>
  <c r="N501" i="13" s="1"/>
  <c r="P501" i="13" s="1"/>
  <c r="C503" i="1"/>
  <c r="C501" i="13" s="1"/>
  <c r="B503" i="1"/>
  <c r="B501" i="13" s="1"/>
  <c r="A503" i="1"/>
  <c r="A501" i="13" s="1"/>
  <c r="E502" i="1"/>
  <c r="E500" i="13" s="1"/>
  <c r="D502" i="1"/>
  <c r="D500" i="13" s="1"/>
  <c r="M500" i="13" s="1"/>
  <c r="N500" i="13" s="1"/>
  <c r="P500" i="13" s="1"/>
  <c r="C502" i="1"/>
  <c r="C500" i="13" s="1"/>
  <c r="B502" i="1"/>
  <c r="B500" i="13" s="1"/>
  <c r="A502" i="1"/>
  <c r="A500" i="13" s="1"/>
  <c r="E501" i="1"/>
  <c r="E499" i="13" s="1"/>
  <c r="D501" i="1"/>
  <c r="D499" i="13" s="1"/>
  <c r="M499" i="13" s="1"/>
  <c r="N499" i="13" s="1"/>
  <c r="P499" i="13" s="1"/>
  <c r="C501" i="1"/>
  <c r="C499" i="13" s="1"/>
  <c r="B501" i="1"/>
  <c r="B499" i="13" s="1"/>
  <c r="A501" i="1"/>
  <c r="A499" i="13" s="1"/>
  <c r="E500" i="1"/>
  <c r="E498" i="13" s="1"/>
  <c r="D500" i="1"/>
  <c r="D498" i="13" s="1"/>
  <c r="M498" i="13" s="1"/>
  <c r="N498" i="13" s="1"/>
  <c r="P498" i="13" s="1"/>
  <c r="C500" i="1"/>
  <c r="C498" i="13" s="1"/>
  <c r="B500" i="1"/>
  <c r="B498" i="13" s="1"/>
  <c r="A500" i="1"/>
  <c r="A498" i="13" s="1"/>
  <c r="E499" i="1"/>
  <c r="E497" i="13" s="1"/>
  <c r="D499" i="1"/>
  <c r="D497" i="13" s="1"/>
  <c r="M497" i="13" s="1"/>
  <c r="N497" i="13" s="1"/>
  <c r="P497" i="13" s="1"/>
  <c r="C499" i="1"/>
  <c r="C497" i="13" s="1"/>
  <c r="B499" i="1"/>
  <c r="B497" i="13" s="1"/>
  <c r="A499" i="1"/>
  <c r="A497" i="13" s="1"/>
  <c r="E498" i="1"/>
  <c r="E496" i="13" s="1"/>
  <c r="D498" i="1"/>
  <c r="D496" i="13" s="1"/>
  <c r="M496" i="13" s="1"/>
  <c r="N496" i="13" s="1"/>
  <c r="P496" i="13" s="1"/>
  <c r="C498" i="1"/>
  <c r="C496" i="13" s="1"/>
  <c r="B498" i="1"/>
  <c r="B496" i="13" s="1"/>
  <c r="A498" i="1"/>
  <c r="A496" i="13" s="1"/>
  <c r="E497" i="1"/>
  <c r="E495" i="13" s="1"/>
  <c r="D497" i="1"/>
  <c r="D495" i="13" s="1"/>
  <c r="M495" i="13" s="1"/>
  <c r="N495" i="13" s="1"/>
  <c r="P495" i="13" s="1"/>
  <c r="C497" i="1"/>
  <c r="C495" i="13" s="1"/>
  <c r="B497" i="1"/>
  <c r="B495" i="13" s="1"/>
  <c r="A497" i="1"/>
  <c r="A495" i="13" s="1"/>
  <c r="E496" i="1"/>
  <c r="E494" i="13" s="1"/>
  <c r="D496" i="1"/>
  <c r="D494" i="13" s="1"/>
  <c r="M494" i="13" s="1"/>
  <c r="N494" i="13" s="1"/>
  <c r="P494" i="13" s="1"/>
  <c r="C496" i="1"/>
  <c r="C494" i="13" s="1"/>
  <c r="B496" i="1"/>
  <c r="B494" i="13" s="1"/>
  <c r="A496" i="1"/>
  <c r="A494" i="13" s="1"/>
  <c r="E495" i="1"/>
  <c r="E493" i="13" s="1"/>
  <c r="D495" i="1"/>
  <c r="D493" i="13" s="1"/>
  <c r="M493" i="13" s="1"/>
  <c r="N493" i="13" s="1"/>
  <c r="P493" i="13" s="1"/>
  <c r="C495" i="1"/>
  <c r="C493" i="13" s="1"/>
  <c r="B495" i="1"/>
  <c r="B493" i="13" s="1"/>
  <c r="A495" i="1"/>
  <c r="A493" i="13" s="1"/>
  <c r="E494" i="1"/>
  <c r="E492" i="13" s="1"/>
  <c r="D494" i="1"/>
  <c r="D492" i="13" s="1"/>
  <c r="M492" i="13" s="1"/>
  <c r="N492" i="13" s="1"/>
  <c r="P492" i="13" s="1"/>
  <c r="C494" i="1"/>
  <c r="C492" i="13" s="1"/>
  <c r="B494" i="1"/>
  <c r="B492" i="13" s="1"/>
  <c r="A494" i="1"/>
  <c r="A492" i="13" s="1"/>
  <c r="E493" i="1"/>
  <c r="E491" i="13" s="1"/>
  <c r="D493" i="1"/>
  <c r="D491" i="13" s="1"/>
  <c r="M491" i="13" s="1"/>
  <c r="N491" i="13" s="1"/>
  <c r="P491" i="13" s="1"/>
  <c r="C493" i="1"/>
  <c r="C491" i="13" s="1"/>
  <c r="B493" i="1"/>
  <c r="B491" i="13" s="1"/>
  <c r="A493" i="1"/>
  <c r="A491" i="13" s="1"/>
  <c r="E492" i="1"/>
  <c r="E490" i="13" s="1"/>
  <c r="D492" i="1"/>
  <c r="D490" i="13" s="1"/>
  <c r="M490" i="13" s="1"/>
  <c r="N490" i="13" s="1"/>
  <c r="P490" i="13" s="1"/>
  <c r="C492" i="1"/>
  <c r="C490" i="13" s="1"/>
  <c r="B492" i="1"/>
  <c r="B490" i="13" s="1"/>
  <c r="A492" i="1"/>
  <c r="A490" i="13" s="1"/>
  <c r="E491" i="1"/>
  <c r="E489" i="13" s="1"/>
  <c r="D491" i="1"/>
  <c r="D489" i="13" s="1"/>
  <c r="M489" i="13" s="1"/>
  <c r="N489" i="13" s="1"/>
  <c r="P489" i="13" s="1"/>
  <c r="C491" i="1"/>
  <c r="C489" i="13" s="1"/>
  <c r="B491" i="1"/>
  <c r="B489" i="13" s="1"/>
  <c r="A491" i="1"/>
  <c r="A489" i="13" s="1"/>
  <c r="E490" i="1"/>
  <c r="E488" i="13" s="1"/>
  <c r="D490" i="1"/>
  <c r="D488" i="13" s="1"/>
  <c r="M488" i="13" s="1"/>
  <c r="N488" i="13" s="1"/>
  <c r="P488" i="13" s="1"/>
  <c r="C490" i="1"/>
  <c r="C488" i="13" s="1"/>
  <c r="B490" i="1"/>
  <c r="B488" i="13" s="1"/>
  <c r="A490" i="1"/>
  <c r="A488" i="13" s="1"/>
  <c r="E489" i="1"/>
  <c r="E487" i="13" s="1"/>
  <c r="D489" i="1"/>
  <c r="D487" i="13" s="1"/>
  <c r="M487" i="13" s="1"/>
  <c r="N487" i="13" s="1"/>
  <c r="P487" i="13" s="1"/>
  <c r="C489" i="1"/>
  <c r="C487" i="13" s="1"/>
  <c r="B489" i="1"/>
  <c r="B487" i="13" s="1"/>
  <c r="A489" i="1"/>
  <c r="A487" i="13" s="1"/>
  <c r="E488" i="1"/>
  <c r="E486" i="13" s="1"/>
  <c r="D488" i="1"/>
  <c r="D486" i="13" s="1"/>
  <c r="M486" i="13" s="1"/>
  <c r="N486" i="13" s="1"/>
  <c r="P486" i="13" s="1"/>
  <c r="C488" i="1"/>
  <c r="C486" i="13" s="1"/>
  <c r="B488" i="1"/>
  <c r="B486" i="13" s="1"/>
  <c r="A488" i="1"/>
  <c r="A486" i="13" s="1"/>
  <c r="E487" i="1"/>
  <c r="E485" i="13" s="1"/>
  <c r="D487" i="1"/>
  <c r="D485" i="13" s="1"/>
  <c r="M485" i="13" s="1"/>
  <c r="N485" i="13" s="1"/>
  <c r="P485" i="13" s="1"/>
  <c r="C487" i="1"/>
  <c r="C485" i="13" s="1"/>
  <c r="B487" i="1"/>
  <c r="B485" i="13" s="1"/>
  <c r="A487" i="1"/>
  <c r="A485" i="13" s="1"/>
  <c r="E486" i="1"/>
  <c r="E484" i="13" s="1"/>
  <c r="D486" i="1"/>
  <c r="D484" i="13" s="1"/>
  <c r="M484" i="13" s="1"/>
  <c r="N484" i="13" s="1"/>
  <c r="P484" i="13" s="1"/>
  <c r="C486" i="1"/>
  <c r="C484" i="13" s="1"/>
  <c r="B486" i="1"/>
  <c r="B484" i="13" s="1"/>
  <c r="A486" i="1"/>
  <c r="A484" i="13" s="1"/>
  <c r="E485" i="1"/>
  <c r="E483" i="13" s="1"/>
  <c r="D485" i="1"/>
  <c r="D483" i="13" s="1"/>
  <c r="M483" i="13" s="1"/>
  <c r="N483" i="13" s="1"/>
  <c r="P483" i="13" s="1"/>
  <c r="C485" i="1"/>
  <c r="C483" i="13" s="1"/>
  <c r="B485" i="1"/>
  <c r="B483" i="13" s="1"/>
  <c r="A485" i="1"/>
  <c r="A483" i="13" s="1"/>
  <c r="E484" i="1"/>
  <c r="E482" i="13" s="1"/>
  <c r="D484" i="1"/>
  <c r="D482" i="13" s="1"/>
  <c r="M482" i="13" s="1"/>
  <c r="N482" i="13" s="1"/>
  <c r="P482" i="13" s="1"/>
  <c r="C484" i="1"/>
  <c r="C482" i="13" s="1"/>
  <c r="B484" i="1"/>
  <c r="B482" i="13" s="1"/>
  <c r="A484" i="1"/>
  <c r="A482" i="13" s="1"/>
  <c r="E483" i="1"/>
  <c r="E481" i="13" s="1"/>
  <c r="D483" i="1"/>
  <c r="D481" i="13" s="1"/>
  <c r="M481" i="13" s="1"/>
  <c r="N481" i="13" s="1"/>
  <c r="P481" i="13" s="1"/>
  <c r="C483" i="1"/>
  <c r="C481" i="13" s="1"/>
  <c r="B483" i="1"/>
  <c r="B481" i="13" s="1"/>
  <c r="A483" i="1"/>
  <c r="A481" i="13" s="1"/>
  <c r="E482" i="1"/>
  <c r="E480" i="13" s="1"/>
  <c r="D482" i="1"/>
  <c r="D480" i="13" s="1"/>
  <c r="M480" i="13" s="1"/>
  <c r="N480" i="13" s="1"/>
  <c r="P480" i="13" s="1"/>
  <c r="C482" i="1"/>
  <c r="C480" i="13" s="1"/>
  <c r="B482" i="1"/>
  <c r="B480" i="13" s="1"/>
  <c r="A482" i="1"/>
  <c r="A480" i="13" s="1"/>
  <c r="E481" i="1"/>
  <c r="E479" i="13" s="1"/>
  <c r="D481" i="1"/>
  <c r="D479" i="13" s="1"/>
  <c r="M479" i="13" s="1"/>
  <c r="N479" i="13" s="1"/>
  <c r="P479" i="13" s="1"/>
  <c r="C481" i="1"/>
  <c r="C479" i="13" s="1"/>
  <c r="B481" i="1"/>
  <c r="B479" i="13" s="1"/>
  <c r="A481" i="1"/>
  <c r="A479" i="13" s="1"/>
  <c r="E480" i="1"/>
  <c r="E478" i="13" s="1"/>
  <c r="D480" i="1"/>
  <c r="D478" i="13" s="1"/>
  <c r="M478" i="13" s="1"/>
  <c r="N478" i="13" s="1"/>
  <c r="P478" i="13" s="1"/>
  <c r="C480" i="1"/>
  <c r="C478" i="13" s="1"/>
  <c r="B480" i="1"/>
  <c r="B478" i="13" s="1"/>
  <c r="A480" i="1"/>
  <c r="A478" i="13" s="1"/>
  <c r="E479" i="1"/>
  <c r="E477" i="13" s="1"/>
  <c r="D479" i="1"/>
  <c r="D477" i="13" s="1"/>
  <c r="M477" i="13" s="1"/>
  <c r="N477" i="13" s="1"/>
  <c r="P477" i="13" s="1"/>
  <c r="C479" i="1"/>
  <c r="C477" i="13" s="1"/>
  <c r="B479" i="1"/>
  <c r="B477" i="13" s="1"/>
  <c r="A479" i="1"/>
  <c r="A477" i="13" s="1"/>
  <c r="E478" i="1"/>
  <c r="E476" i="13" s="1"/>
  <c r="D478" i="1"/>
  <c r="D476" i="13" s="1"/>
  <c r="M476" i="13" s="1"/>
  <c r="N476" i="13" s="1"/>
  <c r="P476" i="13" s="1"/>
  <c r="C478" i="1"/>
  <c r="C476" i="13" s="1"/>
  <c r="B478" i="1"/>
  <c r="B476" i="13" s="1"/>
  <c r="A478" i="1"/>
  <c r="A476" i="13" s="1"/>
  <c r="E477" i="1"/>
  <c r="E475" i="13" s="1"/>
  <c r="D477" i="1"/>
  <c r="D475" i="13" s="1"/>
  <c r="M475" i="13" s="1"/>
  <c r="N475" i="13" s="1"/>
  <c r="P475" i="13" s="1"/>
  <c r="C477" i="1"/>
  <c r="C475" i="13" s="1"/>
  <c r="B477" i="1"/>
  <c r="B475" i="13" s="1"/>
  <c r="A477" i="1"/>
  <c r="A475" i="13" s="1"/>
  <c r="E476" i="1"/>
  <c r="E474" i="13" s="1"/>
  <c r="D476" i="1"/>
  <c r="D474" i="13" s="1"/>
  <c r="M474" i="13" s="1"/>
  <c r="N474" i="13" s="1"/>
  <c r="P474" i="13" s="1"/>
  <c r="C476" i="1"/>
  <c r="C474" i="13" s="1"/>
  <c r="B476" i="1"/>
  <c r="B474" i="13" s="1"/>
  <c r="A476" i="1"/>
  <c r="A474" i="13" s="1"/>
  <c r="E475" i="1"/>
  <c r="E473" i="13" s="1"/>
  <c r="D475" i="1"/>
  <c r="D473" i="13" s="1"/>
  <c r="M473" i="13" s="1"/>
  <c r="N473" i="13" s="1"/>
  <c r="P473" i="13" s="1"/>
  <c r="C475" i="1"/>
  <c r="C473" i="13" s="1"/>
  <c r="B475" i="1"/>
  <c r="B473" i="13" s="1"/>
  <c r="A475" i="1"/>
  <c r="A473" i="13" s="1"/>
  <c r="E474" i="1"/>
  <c r="E472" i="13" s="1"/>
  <c r="D474" i="1"/>
  <c r="D472" i="13" s="1"/>
  <c r="M472" i="13" s="1"/>
  <c r="N472" i="13" s="1"/>
  <c r="P472" i="13" s="1"/>
  <c r="C474" i="1"/>
  <c r="C472" i="13" s="1"/>
  <c r="B474" i="1"/>
  <c r="B472" i="13" s="1"/>
  <c r="A474" i="1"/>
  <c r="A472" i="13" s="1"/>
  <c r="E473" i="1"/>
  <c r="E471" i="13" s="1"/>
  <c r="D473" i="1"/>
  <c r="D471" i="13" s="1"/>
  <c r="M471" i="13" s="1"/>
  <c r="N471" i="13" s="1"/>
  <c r="P471" i="13" s="1"/>
  <c r="C473" i="1"/>
  <c r="C471" i="13" s="1"/>
  <c r="B473" i="1"/>
  <c r="B471" i="13" s="1"/>
  <c r="A473" i="1"/>
  <c r="A471" i="13" s="1"/>
  <c r="E472" i="1"/>
  <c r="E470" i="13" s="1"/>
  <c r="D472" i="1"/>
  <c r="D470" i="13" s="1"/>
  <c r="M470" i="13" s="1"/>
  <c r="N470" i="13" s="1"/>
  <c r="P470" i="13" s="1"/>
  <c r="C472" i="1"/>
  <c r="C470" i="13" s="1"/>
  <c r="B472" i="1"/>
  <c r="B470" i="13" s="1"/>
  <c r="A472" i="1"/>
  <c r="A470" i="13" s="1"/>
  <c r="E471" i="1"/>
  <c r="E469" i="13" s="1"/>
  <c r="D471" i="1"/>
  <c r="D469" i="13" s="1"/>
  <c r="M469" i="13" s="1"/>
  <c r="N469" i="13" s="1"/>
  <c r="P469" i="13" s="1"/>
  <c r="C471" i="1"/>
  <c r="C469" i="13" s="1"/>
  <c r="B471" i="1"/>
  <c r="B469" i="13" s="1"/>
  <c r="A471" i="1"/>
  <c r="A469" i="13" s="1"/>
  <c r="E470" i="1"/>
  <c r="E468" i="13" s="1"/>
  <c r="D470" i="1"/>
  <c r="D468" i="13" s="1"/>
  <c r="M468" i="13" s="1"/>
  <c r="N468" i="13" s="1"/>
  <c r="P468" i="13" s="1"/>
  <c r="C470" i="1"/>
  <c r="C468" i="13" s="1"/>
  <c r="B470" i="1"/>
  <c r="B468" i="13" s="1"/>
  <c r="A470" i="1"/>
  <c r="A468" i="13" s="1"/>
  <c r="E469" i="1"/>
  <c r="E467" i="13" s="1"/>
  <c r="D469" i="1"/>
  <c r="D467" i="13" s="1"/>
  <c r="M467" i="13" s="1"/>
  <c r="N467" i="13" s="1"/>
  <c r="P467" i="13" s="1"/>
  <c r="C469" i="1"/>
  <c r="C467" i="13" s="1"/>
  <c r="B469" i="1"/>
  <c r="B467" i="13" s="1"/>
  <c r="A469" i="1"/>
  <c r="A467" i="13" s="1"/>
  <c r="E468" i="1"/>
  <c r="E466" i="13" s="1"/>
  <c r="D468" i="1"/>
  <c r="D466" i="13" s="1"/>
  <c r="M466" i="13" s="1"/>
  <c r="N466" i="13" s="1"/>
  <c r="P466" i="13" s="1"/>
  <c r="C468" i="1"/>
  <c r="C466" i="13" s="1"/>
  <c r="B468" i="1"/>
  <c r="B466" i="13" s="1"/>
  <c r="A468" i="1"/>
  <c r="A466" i="13" s="1"/>
  <c r="E467" i="1"/>
  <c r="E465" i="13" s="1"/>
  <c r="D467" i="1"/>
  <c r="D465" i="13" s="1"/>
  <c r="M465" i="13" s="1"/>
  <c r="N465" i="13" s="1"/>
  <c r="P465" i="13" s="1"/>
  <c r="C467" i="1"/>
  <c r="C465" i="13" s="1"/>
  <c r="B467" i="1"/>
  <c r="B465" i="13" s="1"/>
  <c r="A467" i="1"/>
  <c r="A465" i="13" s="1"/>
  <c r="E466" i="1"/>
  <c r="E464" i="13" s="1"/>
  <c r="D466" i="1"/>
  <c r="D464" i="13" s="1"/>
  <c r="M464" i="13" s="1"/>
  <c r="N464" i="13" s="1"/>
  <c r="P464" i="13" s="1"/>
  <c r="C466" i="1"/>
  <c r="C464" i="13" s="1"/>
  <c r="B466" i="1"/>
  <c r="B464" i="13" s="1"/>
  <c r="A466" i="1"/>
  <c r="A464" i="13" s="1"/>
  <c r="E465" i="1"/>
  <c r="E463" i="13" s="1"/>
  <c r="D465" i="1"/>
  <c r="D463" i="13" s="1"/>
  <c r="M463" i="13" s="1"/>
  <c r="N463" i="13" s="1"/>
  <c r="P463" i="13" s="1"/>
  <c r="C465" i="1"/>
  <c r="C463" i="13" s="1"/>
  <c r="B465" i="1"/>
  <c r="B463" i="13" s="1"/>
  <c r="A465" i="1"/>
  <c r="A463" i="13" s="1"/>
  <c r="E464" i="1"/>
  <c r="E462" i="13" s="1"/>
  <c r="D464" i="1"/>
  <c r="D462" i="13" s="1"/>
  <c r="M462" i="13" s="1"/>
  <c r="N462" i="13" s="1"/>
  <c r="P462" i="13" s="1"/>
  <c r="C464" i="1"/>
  <c r="C462" i="13" s="1"/>
  <c r="B464" i="1"/>
  <c r="B462" i="13" s="1"/>
  <c r="A464" i="1"/>
  <c r="A462" i="13" s="1"/>
  <c r="E463" i="1"/>
  <c r="E461" i="13" s="1"/>
  <c r="D463" i="1"/>
  <c r="D461" i="13" s="1"/>
  <c r="M461" i="13" s="1"/>
  <c r="N461" i="13" s="1"/>
  <c r="P461" i="13" s="1"/>
  <c r="C463" i="1"/>
  <c r="C461" i="13" s="1"/>
  <c r="B463" i="1"/>
  <c r="B461" i="13" s="1"/>
  <c r="A463" i="1"/>
  <c r="A461" i="13" s="1"/>
  <c r="E462" i="1"/>
  <c r="E460" i="13" s="1"/>
  <c r="D462" i="1"/>
  <c r="D460" i="13" s="1"/>
  <c r="M460" i="13" s="1"/>
  <c r="N460" i="13" s="1"/>
  <c r="P460" i="13" s="1"/>
  <c r="C462" i="1"/>
  <c r="C460" i="13" s="1"/>
  <c r="B462" i="1"/>
  <c r="B460" i="13" s="1"/>
  <c r="A462" i="1"/>
  <c r="A460" i="13" s="1"/>
  <c r="E461" i="1"/>
  <c r="E459" i="13" s="1"/>
  <c r="D461" i="1"/>
  <c r="D459" i="13" s="1"/>
  <c r="M459" i="13" s="1"/>
  <c r="N459" i="13" s="1"/>
  <c r="P459" i="13" s="1"/>
  <c r="C461" i="1"/>
  <c r="C459" i="13" s="1"/>
  <c r="B461" i="1"/>
  <c r="B459" i="13" s="1"/>
  <c r="A461" i="1"/>
  <c r="A459" i="13" s="1"/>
  <c r="E460" i="1"/>
  <c r="E458" i="13" s="1"/>
  <c r="D460" i="1"/>
  <c r="D458" i="13" s="1"/>
  <c r="M458" i="13" s="1"/>
  <c r="N458" i="13" s="1"/>
  <c r="P458" i="13" s="1"/>
  <c r="C460" i="1"/>
  <c r="C458" i="13" s="1"/>
  <c r="B460" i="1"/>
  <c r="B458" i="13" s="1"/>
  <c r="A460" i="1"/>
  <c r="A458" i="13" s="1"/>
  <c r="E459" i="1"/>
  <c r="E457" i="13" s="1"/>
  <c r="D459" i="1"/>
  <c r="D457" i="13" s="1"/>
  <c r="M457" i="13" s="1"/>
  <c r="N457" i="13" s="1"/>
  <c r="P457" i="13" s="1"/>
  <c r="C459" i="1"/>
  <c r="C457" i="13" s="1"/>
  <c r="B459" i="1"/>
  <c r="B457" i="13" s="1"/>
  <c r="A459" i="1"/>
  <c r="A457" i="13" s="1"/>
  <c r="E458" i="1"/>
  <c r="E456" i="13" s="1"/>
  <c r="D458" i="1"/>
  <c r="D456" i="13" s="1"/>
  <c r="M456" i="13" s="1"/>
  <c r="N456" i="13" s="1"/>
  <c r="P456" i="13" s="1"/>
  <c r="C458" i="1"/>
  <c r="C456" i="13" s="1"/>
  <c r="B458" i="1"/>
  <c r="B456" i="13" s="1"/>
  <c r="A458" i="1"/>
  <c r="A456" i="13" s="1"/>
  <c r="E457" i="1"/>
  <c r="E455" i="13" s="1"/>
  <c r="D457" i="1"/>
  <c r="D455" i="13" s="1"/>
  <c r="M455" i="13" s="1"/>
  <c r="N455" i="13" s="1"/>
  <c r="P455" i="13" s="1"/>
  <c r="C457" i="1"/>
  <c r="C455" i="13" s="1"/>
  <c r="B457" i="1"/>
  <c r="B455" i="13" s="1"/>
  <c r="A457" i="1"/>
  <c r="A455" i="13" s="1"/>
  <c r="E456" i="1"/>
  <c r="E454" i="13" s="1"/>
  <c r="D456" i="1"/>
  <c r="D454" i="13" s="1"/>
  <c r="M454" i="13" s="1"/>
  <c r="N454" i="13" s="1"/>
  <c r="P454" i="13" s="1"/>
  <c r="C456" i="1"/>
  <c r="C454" i="13" s="1"/>
  <c r="B456" i="1"/>
  <c r="B454" i="13" s="1"/>
  <c r="A456" i="1"/>
  <c r="A454" i="13" s="1"/>
  <c r="E455" i="1"/>
  <c r="E453" i="13" s="1"/>
  <c r="D455" i="1"/>
  <c r="D453" i="13" s="1"/>
  <c r="M453" i="13" s="1"/>
  <c r="N453" i="13" s="1"/>
  <c r="P453" i="13" s="1"/>
  <c r="C455" i="1"/>
  <c r="C453" i="13" s="1"/>
  <c r="B455" i="1"/>
  <c r="B453" i="13" s="1"/>
  <c r="A455" i="1"/>
  <c r="A453" i="13" s="1"/>
  <c r="E454" i="1"/>
  <c r="E452" i="13" s="1"/>
  <c r="D454" i="1"/>
  <c r="D452" i="13" s="1"/>
  <c r="M452" i="13" s="1"/>
  <c r="N452" i="13" s="1"/>
  <c r="P452" i="13" s="1"/>
  <c r="C454" i="1"/>
  <c r="C452" i="13" s="1"/>
  <c r="B454" i="1"/>
  <c r="B452" i="13" s="1"/>
  <c r="A454" i="1"/>
  <c r="A452" i="13" s="1"/>
  <c r="E453" i="1"/>
  <c r="E451" i="13" s="1"/>
  <c r="D453" i="1"/>
  <c r="D451" i="13" s="1"/>
  <c r="M451" i="13" s="1"/>
  <c r="N451" i="13" s="1"/>
  <c r="P451" i="13" s="1"/>
  <c r="C453" i="1"/>
  <c r="C451" i="13" s="1"/>
  <c r="B453" i="1"/>
  <c r="B451" i="13" s="1"/>
  <c r="A453" i="1"/>
  <c r="A451" i="13" s="1"/>
  <c r="E452" i="1"/>
  <c r="E450" i="13" s="1"/>
  <c r="D452" i="1"/>
  <c r="D450" i="13" s="1"/>
  <c r="M450" i="13" s="1"/>
  <c r="N450" i="13" s="1"/>
  <c r="P450" i="13" s="1"/>
  <c r="C452" i="1"/>
  <c r="C450" i="13" s="1"/>
  <c r="B452" i="1"/>
  <c r="B450" i="13" s="1"/>
  <c r="A452" i="1"/>
  <c r="A450" i="13" s="1"/>
  <c r="E451" i="1"/>
  <c r="E449" i="13" s="1"/>
  <c r="D451" i="1"/>
  <c r="D449" i="13" s="1"/>
  <c r="M449" i="13" s="1"/>
  <c r="N449" i="13" s="1"/>
  <c r="P449" i="13" s="1"/>
  <c r="C451" i="1"/>
  <c r="C449" i="13" s="1"/>
  <c r="B451" i="1"/>
  <c r="B449" i="13" s="1"/>
  <c r="A451" i="1"/>
  <c r="A449" i="13" s="1"/>
  <c r="E450" i="1"/>
  <c r="E448" i="13" s="1"/>
  <c r="D450" i="1"/>
  <c r="D448" i="13" s="1"/>
  <c r="M448" i="13" s="1"/>
  <c r="N448" i="13" s="1"/>
  <c r="P448" i="13" s="1"/>
  <c r="C450" i="1"/>
  <c r="C448" i="13" s="1"/>
  <c r="B450" i="1"/>
  <c r="B448" i="13" s="1"/>
  <c r="A450" i="1"/>
  <c r="A448" i="13" s="1"/>
  <c r="E449" i="1"/>
  <c r="E447" i="13" s="1"/>
  <c r="D449" i="1"/>
  <c r="D447" i="13" s="1"/>
  <c r="M447" i="13" s="1"/>
  <c r="N447" i="13" s="1"/>
  <c r="P447" i="13" s="1"/>
  <c r="C449" i="1"/>
  <c r="C447" i="13" s="1"/>
  <c r="B449" i="1"/>
  <c r="B447" i="13" s="1"/>
  <c r="A449" i="1"/>
  <c r="A447" i="13" s="1"/>
  <c r="E448" i="1"/>
  <c r="E446" i="13" s="1"/>
  <c r="D448" i="1"/>
  <c r="D446" i="13" s="1"/>
  <c r="M446" i="13" s="1"/>
  <c r="N446" i="13" s="1"/>
  <c r="P446" i="13" s="1"/>
  <c r="C448" i="1"/>
  <c r="C446" i="13" s="1"/>
  <c r="B448" i="1"/>
  <c r="B446" i="13" s="1"/>
  <c r="A448" i="1"/>
  <c r="A446" i="13" s="1"/>
  <c r="E447" i="1"/>
  <c r="E445" i="13" s="1"/>
  <c r="D447" i="1"/>
  <c r="D445" i="13" s="1"/>
  <c r="M445" i="13" s="1"/>
  <c r="N445" i="13" s="1"/>
  <c r="P445" i="13" s="1"/>
  <c r="C447" i="1"/>
  <c r="C445" i="13" s="1"/>
  <c r="B447" i="1"/>
  <c r="B445" i="13" s="1"/>
  <c r="A447" i="1"/>
  <c r="A445" i="13" s="1"/>
  <c r="E446" i="1"/>
  <c r="E444" i="13" s="1"/>
  <c r="D446" i="1"/>
  <c r="D444" i="13" s="1"/>
  <c r="M444" i="13" s="1"/>
  <c r="N444" i="13" s="1"/>
  <c r="P444" i="13" s="1"/>
  <c r="C446" i="1"/>
  <c r="C444" i="13" s="1"/>
  <c r="B446" i="1"/>
  <c r="B444" i="13" s="1"/>
  <c r="A446" i="1"/>
  <c r="A444" i="13" s="1"/>
  <c r="E445" i="1"/>
  <c r="E443" i="13" s="1"/>
  <c r="D445" i="1"/>
  <c r="D443" i="13" s="1"/>
  <c r="M443" i="13" s="1"/>
  <c r="N443" i="13" s="1"/>
  <c r="P443" i="13" s="1"/>
  <c r="C445" i="1"/>
  <c r="C443" i="13" s="1"/>
  <c r="B445" i="1"/>
  <c r="B443" i="13" s="1"/>
  <c r="A445" i="1"/>
  <c r="A443" i="13" s="1"/>
  <c r="E444" i="1"/>
  <c r="E442" i="13" s="1"/>
  <c r="D444" i="1"/>
  <c r="D442" i="13" s="1"/>
  <c r="M442" i="13" s="1"/>
  <c r="N442" i="13" s="1"/>
  <c r="P442" i="13" s="1"/>
  <c r="C444" i="1"/>
  <c r="C442" i="13" s="1"/>
  <c r="B444" i="1"/>
  <c r="B442" i="13" s="1"/>
  <c r="A444" i="1"/>
  <c r="A442" i="13" s="1"/>
  <c r="E443" i="1"/>
  <c r="E441" i="13" s="1"/>
  <c r="D443" i="1"/>
  <c r="D441" i="13" s="1"/>
  <c r="M441" i="13" s="1"/>
  <c r="N441" i="13" s="1"/>
  <c r="P441" i="13" s="1"/>
  <c r="C443" i="1"/>
  <c r="C441" i="13" s="1"/>
  <c r="B443" i="1"/>
  <c r="B441" i="13" s="1"/>
  <c r="A443" i="1"/>
  <c r="A441" i="13" s="1"/>
  <c r="E442" i="1"/>
  <c r="E440" i="13" s="1"/>
  <c r="D442" i="1"/>
  <c r="D440" i="13" s="1"/>
  <c r="M440" i="13" s="1"/>
  <c r="N440" i="13" s="1"/>
  <c r="P440" i="13" s="1"/>
  <c r="C442" i="1"/>
  <c r="C440" i="13" s="1"/>
  <c r="B442" i="1"/>
  <c r="B440" i="13" s="1"/>
  <c r="A442" i="1"/>
  <c r="A440" i="13" s="1"/>
  <c r="E441" i="1"/>
  <c r="E439" i="13" s="1"/>
  <c r="D441" i="1"/>
  <c r="D439" i="13" s="1"/>
  <c r="M439" i="13" s="1"/>
  <c r="N439" i="13" s="1"/>
  <c r="P439" i="13" s="1"/>
  <c r="C441" i="1"/>
  <c r="C439" i="13" s="1"/>
  <c r="B441" i="1"/>
  <c r="B439" i="13" s="1"/>
  <c r="A441" i="1"/>
  <c r="A439" i="13" s="1"/>
  <c r="E440" i="1"/>
  <c r="E438" i="13" s="1"/>
  <c r="D440" i="1"/>
  <c r="D438" i="13" s="1"/>
  <c r="M438" i="13" s="1"/>
  <c r="N438" i="13" s="1"/>
  <c r="P438" i="13" s="1"/>
  <c r="C440" i="1"/>
  <c r="C438" i="13" s="1"/>
  <c r="B440" i="1"/>
  <c r="B438" i="13" s="1"/>
  <c r="A440" i="1"/>
  <c r="A438" i="13" s="1"/>
  <c r="E439" i="1"/>
  <c r="E437" i="13" s="1"/>
  <c r="D439" i="1"/>
  <c r="D437" i="13" s="1"/>
  <c r="M437" i="13" s="1"/>
  <c r="C439" i="1"/>
  <c r="C437" i="13" s="1"/>
  <c r="B439" i="1"/>
  <c r="B437" i="13" s="1"/>
  <c r="A439" i="1"/>
  <c r="A437" i="13" s="1"/>
  <c r="E438" i="1"/>
  <c r="E436" i="13" s="1"/>
  <c r="D438" i="1"/>
  <c r="D436" i="13" s="1"/>
  <c r="M436" i="13" s="1"/>
  <c r="C438" i="1"/>
  <c r="C436" i="13" s="1"/>
  <c r="B438" i="1"/>
  <c r="B436" i="13" s="1"/>
  <c r="A438" i="1"/>
  <c r="A436" i="13" s="1"/>
  <c r="E437" i="1"/>
  <c r="E435" i="13" s="1"/>
  <c r="D437" i="1"/>
  <c r="D435" i="13" s="1"/>
  <c r="M435" i="13" s="1"/>
  <c r="C437" i="1"/>
  <c r="C435" i="13" s="1"/>
  <c r="B437" i="1"/>
  <c r="B435" i="13" s="1"/>
  <c r="A437" i="1"/>
  <c r="A435" i="13" s="1"/>
  <c r="E436" i="1"/>
  <c r="E434" i="13" s="1"/>
  <c r="D436" i="1"/>
  <c r="D434" i="13" s="1"/>
  <c r="M434" i="13" s="1"/>
  <c r="C436" i="1"/>
  <c r="C434" i="13" s="1"/>
  <c r="B436" i="1"/>
  <c r="B434" i="13" s="1"/>
  <c r="A436" i="1"/>
  <c r="A434" i="13" s="1"/>
  <c r="E435" i="1"/>
  <c r="E433" i="13" s="1"/>
  <c r="D435" i="1"/>
  <c r="D433" i="13" s="1"/>
  <c r="M433" i="13" s="1"/>
  <c r="C435" i="1"/>
  <c r="C433" i="13" s="1"/>
  <c r="B435" i="1"/>
  <c r="B433" i="13" s="1"/>
  <c r="A435" i="1"/>
  <c r="A433" i="13" s="1"/>
  <c r="E434" i="1"/>
  <c r="E432" i="13" s="1"/>
  <c r="D434" i="1"/>
  <c r="D432" i="13" s="1"/>
  <c r="M432" i="13" s="1"/>
  <c r="C434" i="1"/>
  <c r="C432" i="13" s="1"/>
  <c r="B434" i="1"/>
  <c r="B432" i="13" s="1"/>
  <c r="A434" i="1"/>
  <c r="A432" i="13" s="1"/>
  <c r="E433" i="1"/>
  <c r="E431" i="13" s="1"/>
  <c r="D433" i="1"/>
  <c r="D431" i="13" s="1"/>
  <c r="M431" i="13" s="1"/>
  <c r="C433" i="1"/>
  <c r="C431" i="13" s="1"/>
  <c r="B433" i="1"/>
  <c r="B431" i="13" s="1"/>
  <c r="A433" i="1"/>
  <c r="A431" i="13" s="1"/>
  <c r="E432" i="1"/>
  <c r="E430" i="13" s="1"/>
  <c r="D432" i="1"/>
  <c r="D430" i="13" s="1"/>
  <c r="M430" i="13" s="1"/>
  <c r="C432" i="1"/>
  <c r="C430" i="13" s="1"/>
  <c r="B432" i="1"/>
  <c r="B430" i="13" s="1"/>
  <c r="A432" i="1"/>
  <c r="A430" i="13" s="1"/>
  <c r="E431" i="1"/>
  <c r="E429" i="13" s="1"/>
  <c r="D431" i="1"/>
  <c r="D429" i="13" s="1"/>
  <c r="M429" i="13" s="1"/>
  <c r="C431" i="1"/>
  <c r="C429" i="13" s="1"/>
  <c r="B431" i="1"/>
  <c r="B429" i="13" s="1"/>
  <c r="A431" i="1"/>
  <c r="A429" i="13" s="1"/>
  <c r="E430" i="1"/>
  <c r="E428" i="13" s="1"/>
  <c r="D430" i="1"/>
  <c r="D428" i="13" s="1"/>
  <c r="M428" i="13" s="1"/>
  <c r="C430" i="1"/>
  <c r="C428" i="13" s="1"/>
  <c r="B430" i="1"/>
  <c r="B428" i="13" s="1"/>
  <c r="A430" i="1"/>
  <c r="A428" i="13" s="1"/>
  <c r="E429" i="1"/>
  <c r="E427" i="13" s="1"/>
  <c r="D429" i="1"/>
  <c r="D427" i="13" s="1"/>
  <c r="M427" i="13" s="1"/>
  <c r="C429" i="1"/>
  <c r="C427" i="13" s="1"/>
  <c r="B429" i="1"/>
  <c r="B427" i="13" s="1"/>
  <c r="A429" i="1"/>
  <c r="A427" i="13" s="1"/>
  <c r="E428" i="1"/>
  <c r="E426" i="13" s="1"/>
  <c r="D428" i="1"/>
  <c r="D426" i="13" s="1"/>
  <c r="M426" i="13" s="1"/>
  <c r="C428" i="1"/>
  <c r="C426" i="13" s="1"/>
  <c r="B428" i="1"/>
  <c r="B426" i="13" s="1"/>
  <c r="A428" i="1"/>
  <c r="A426" i="13" s="1"/>
  <c r="E427" i="1"/>
  <c r="E425" i="13" s="1"/>
  <c r="D427" i="1"/>
  <c r="D425" i="13" s="1"/>
  <c r="M425" i="13" s="1"/>
  <c r="C427" i="1"/>
  <c r="C425" i="13" s="1"/>
  <c r="B427" i="1"/>
  <c r="B425" i="13" s="1"/>
  <c r="A427" i="1"/>
  <c r="A425" i="13" s="1"/>
  <c r="E426" i="1"/>
  <c r="E424" i="13" s="1"/>
  <c r="D426" i="1"/>
  <c r="D424" i="13" s="1"/>
  <c r="M424" i="13" s="1"/>
  <c r="C426" i="1"/>
  <c r="C424" i="13" s="1"/>
  <c r="B426" i="1"/>
  <c r="B424" i="13" s="1"/>
  <c r="A426" i="1"/>
  <c r="A424" i="13" s="1"/>
  <c r="E425" i="1"/>
  <c r="E423" i="13" s="1"/>
  <c r="D425" i="1"/>
  <c r="D423" i="13" s="1"/>
  <c r="M423" i="13" s="1"/>
  <c r="C425" i="1"/>
  <c r="C423" i="13" s="1"/>
  <c r="B425" i="1"/>
  <c r="B423" i="13" s="1"/>
  <c r="A425" i="1"/>
  <c r="A423" i="13" s="1"/>
  <c r="E424" i="1"/>
  <c r="E422" i="13" s="1"/>
  <c r="D424" i="1"/>
  <c r="D422" i="13" s="1"/>
  <c r="M422" i="13" s="1"/>
  <c r="C424" i="1"/>
  <c r="C422" i="13" s="1"/>
  <c r="B424" i="1"/>
  <c r="B422" i="13" s="1"/>
  <c r="A424" i="1"/>
  <c r="A422" i="13" s="1"/>
  <c r="E423" i="1"/>
  <c r="E421" i="13" s="1"/>
  <c r="D423" i="1"/>
  <c r="D421" i="13" s="1"/>
  <c r="M421" i="13" s="1"/>
  <c r="C423" i="1"/>
  <c r="C421" i="13" s="1"/>
  <c r="B423" i="1"/>
  <c r="B421" i="13" s="1"/>
  <c r="A423" i="1"/>
  <c r="A421" i="13" s="1"/>
  <c r="E422" i="1"/>
  <c r="E420" i="13" s="1"/>
  <c r="D422" i="1"/>
  <c r="D420" i="13" s="1"/>
  <c r="M420" i="13" s="1"/>
  <c r="C422" i="1"/>
  <c r="C420" i="13" s="1"/>
  <c r="B422" i="1"/>
  <c r="B420" i="13" s="1"/>
  <c r="A422" i="1"/>
  <c r="A420" i="13" s="1"/>
  <c r="E421" i="1"/>
  <c r="E419" i="13" s="1"/>
  <c r="D421" i="1"/>
  <c r="D419" i="13" s="1"/>
  <c r="M419" i="13" s="1"/>
  <c r="C421" i="1"/>
  <c r="C419" i="13" s="1"/>
  <c r="B421" i="1"/>
  <c r="B419" i="13" s="1"/>
  <c r="A421" i="1"/>
  <c r="A419" i="13" s="1"/>
  <c r="E420" i="1"/>
  <c r="E418" i="13" s="1"/>
  <c r="D420" i="1"/>
  <c r="D418" i="13" s="1"/>
  <c r="M418" i="13" s="1"/>
  <c r="C420" i="1"/>
  <c r="C418" i="13" s="1"/>
  <c r="B420" i="1"/>
  <c r="B418" i="13" s="1"/>
  <c r="A420" i="1"/>
  <c r="A418" i="13" s="1"/>
  <c r="E419" i="1"/>
  <c r="E417" i="13" s="1"/>
  <c r="D419" i="1"/>
  <c r="D417" i="13" s="1"/>
  <c r="M417" i="13" s="1"/>
  <c r="C419" i="1"/>
  <c r="C417" i="13" s="1"/>
  <c r="B419" i="1"/>
  <c r="B417" i="13" s="1"/>
  <c r="A419" i="1"/>
  <c r="A417" i="13" s="1"/>
  <c r="E418" i="1"/>
  <c r="E416" i="13" s="1"/>
  <c r="D418" i="1"/>
  <c r="D416" i="13" s="1"/>
  <c r="M416" i="13" s="1"/>
  <c r="C418" i="1"/>
  <c r="C416" i="13" s="1"/>
  <c r="B418" i="1"/>
  <c r="B416" i="13" s="1"/>
  <c r="A418" i="1"/>
  <c r="A416" i="13" s="1"/>
  <c r="E417" i="1"/>
  <c r="E415" i="13" s="1"/>
  <c r="D417" i="1"/>
  <c r="D415" i="13" s="1"/>
  <c r="M415" i="13" s="1"/>
  <c r="C417" i="1"/>
  <c r="C415" i="13" s="1"/>
  <c r="B417" i="1"/>
  <c r="B415" i="13" s="1"/>
  <c r="A417" i="1"/>
  <c r="A415" i="13" s="1"/>
  <c r="E416" i="1"/>
  <c r="E414" i="13" s="1"/>
  <c r="D416" i="1"/>
  <c r="D414" i="13" s="1"/>
  <c r="M414" i="13" s="1"/>
  <c r="C416" i="1"/>
  <c r="C414" i="13" s="1"/>
  <c r="B416" i="1"/>
  <c r="B414" i="13" s="1"/>
  <c r="A416" i="1"/>
  <c r="A414" i="13" s="1"/>
  <c r="E415" i="1"/>
  <c r="E413" i="13" s="1"/>
  <c r="D415" i="1"/>
  <c r="D413" i="13" s="1"/>
  <c r="M413" i="13" s="1"/>
  <c r="C415" i="1"/>
  <c r="C413" i="13" s="1"/>
  <c r="B415" i="1"/>
  <c r="B413" i="13" s="1"/>
  <c r="A415" i="1"/>
  <c r="A413" i="13" s="1"/>
  <c r="E414" i="1"/>
  <c r="E412" i="13" s="1"/>
  <c r="D414" i="1"/>
  <c r="D412" i="13" s="1"/>
  <c r="M412" i="13" s="1"/>
  <c r="C414" i="1"/>
  <c r="C412" i="13" s="1"/>
  <c r="B414" i="1"/>
  <c r="B412" i="13" s="1"/>
  <c r="A414" i="1"/>
  <c r="A412" i="13" s="1"/>
  <c r="E413" i="1"/>
  <c r="E411" i="13" s="1"/>
  <c r="D413" i="1"/>
  <c r="D411" i="13" s="1"/>
  <c r="M411" i="13" s="1"/>
  <c r="C413" i="1"/>
  <c r="C411" i="13" s="1"/>
  <c r="B413" i="1"/>
  <c r="B411" i="13" s="1"/>
  <c r="A413" i="1"/>
  <c r="A411" i="13" s="1"/>
  <c r="E412" i="1"/>
  <c r="E410" i="13" s="1"/>
  <c r="D412" i="1"/>
  <c r="D410" i="13" s="1"/>
  <c r="M410" i="13" s="1"/>
  <c r="C412" i="1"/>
  <c r="C410" i="13" s="1"/>
  <c r="B412" i="1"/>
  <c r="B410" i="13" s="1"/>
  <c r="A412" i="1"/>
  <c r="A410" i="13" s="1"/>
  <c r="E411" i="1"/>
  <c r="E409" i="13" s="1"/>
  <c r="D411" i="1"/>
  <c r="D409" i="13" s="1"/>
  <c r="M409" i="13" s="1"/>
  <c r="C411" i="1"/>
  <c r="C409" i="13" s="1"/>
  <c r="B411" i="1"/>
  <c r="B409" i="13" s="1"/>
  <c r="A411" i="1"/>
  <c r="A409" i="13" s="1"/>
  <c r="E410" i="1"/>
  <c r="E408" i="13" s="1"/>
  <c r="D410" i="1"/>
  <c r="D408" i="13" s="1"/>
  <c r="M408" i="13" s="1"/>
  <c r="C410" i="1"/>
  <c r="C408" i="13" s="1"/>
  <c r="B410" i="1"/>
  <c r="B408" i="13" s="1"/>
  <c r="A410" i="1"/>
  <c r="A408" i="13" s="1"/>
  <c r="E409" i="1"/>
  <c r="E407" i="13" s="1"/>
  <c r="D409" i="1"/>
  <c r="D407" i="13" s="1"/>
  <c r="M407" i="13" s="1"/>
  <c r="C409" i="1"/>
  <c r="C407" i="13" s="1"/>
  <c r="B409" i="1"/>
  <c r="B407" i="13" s="1"/>
  <c r="A409" i="1"/>
  <c r="A407" i="13" s="1"/>
  <c r="E408" i="1"/>
  <c r="E406" i="13" s="1"/>
  <c r="D408" i="1"/>
  <c r="D406" i="13" s="1"/>
  <c r="M406" i="13" s="1"/>
  <c r="C408" i="1"/>
  <c r="C406" i="13" s="1"/>
  <c r="B408" i="1"/>
  <c r="B406" i="13" s="1"/>
  <c r="A408" i="1"/>
  <c r="A406" i="13" s="1"/>
  <c r="E407" i="1"/>
  <c r="E405" i="13" s="1"/>
  <c r="D407" i="1"/>
  <c r="D405" i="13" s="1"/>
  <c r="M405" i="13" s="1"/>
  <c r="C407" i="1"/>
  <c r="C405" i="13" s="1"/>
  <c r="B407" i="1"/>
  <c r="B405" i="13" s="1"/>
  <c r="A407" i="1"/>
  <c r="A405" i="13" s="1"/>
  <c r="E406" i="1"/>
  <c r="E404" i="13" s="1"/>
  <c r="D406" i="1"/>
  <c r="D404" i="13" s="1"/>
  <c r="M404" i="13" s="1"/>
  <c r="C406" i="1"/>
  <c r="C404" i="13" s="1"/>
  <c r="B406" i="1"/>
  <c r="B404" i="13" s="1"/>
  <c r="A406" i="1"/>
  <c r="A404" i="13" s="1"/>
  <c r="E405" i="1"/>
  <c r="E403" i="13" s="1"/>
  <c r="D405" i="1"/>
  <c r="D403" i="13" s="1"/>
  <c r="M403" i="13" s="1"/>
  <c r="C405" i="1"/>
  <c r="C403" i="13" s="1"/>
  <c r="B405" i="1"/>
  <c r="B403" i="13" s="1"/>
  <c r="A405" i="1"/>
  <c r="A403" i="13" s="1"/>
  <c r="E404" i="1"/>
  <c r="E402" i="13" s="1"/>
  <c r="D404" i="1"/>
  <c r="D402" i="13" s="1"/>
  <c r="M402" i="13" s="1"/>
  <c r="C404" i="1"/>
  <c r="C402" i="13" s="1"/>
  <c r="B404" i="1"/>
  <c r="B402" i="13" s="1"/>
  <c r="A404" i="1"/>
  <c r="A402" i="13" s="1"/>
  <c r="E403" i="1"/>
  <c r="E401" i="13" s="1"/>
  <c r="D403" i="1"/>
  <c r="D401" i="13" s="1"/>
  <c r="M401" i="13" s="1"/>
  <c r="C403" i="1"/>
  <c r="C401" i="13" s="1"/>
  <c r="B403" i="1"/>
  <c r="B401" i="13" s="1"/>
  <c r="A403" i="1"/>
  <c r="A401" i="13" s="1"/>
  <c r="E402" i="1"/>
  <c r="E400" i="13" s="1"/>
  <c r="D402" i="1"/>
  <c r="D400" i="13" s="1"/>
  <c r="M400" i="13" s="1"/>
  <c r="C402" i="1"/>
  <c r="C400" i="13" s="1"/>
  <c r="B402" i="1"/>
  <c r="B400" i="13" s="1"/>
  <c r="A402" i="1"/>
  <c r="A400" i="13" s="1"/>
  <c r="E401" i="1"/>
  <c r="E399" i="13" s="1"/>
  <c r="D401" i="1"/>
  <c r="D399" i="13" s="1"/>
  <c r="M399" i="13" s="1"/>
  <c r="C401" i="1"/>
  <c r="C399" i="13" s="1"/>
  <c r="B401" i="1"/>
  <c r="B399" i="13" s="1"/>
  <c r="A401" i="1"/>
  <c r="A399" i="13" s="1"/>
  <c r="E400" i="1"/>
  <c r="E398" i="13" s="1"/>
  <c r="D400" i="1"/>
  <c r="D398" i="13" s="1"/>
  <c r="M398" i="13" s="1"/>
  <c r="C400" i="1"/>
  <c r="C398" i="13" s="1"/>
  <c r="B400" i="1"/>
  <c r="B398" i="13" s="1"/>
  <c r="A400" i="1"/>
  <c r="A398" i="13" s="1"/>
  <c r="E399" i="1"/>
  <c r="E397" i="13" s="1"/>
  <c r="D399" i="1"/>
  <c r="D397" i="13" s="1"/>
  <c r="M397" i="13" s="1"/>
  <c r="C399" i="1"/>
  <c r="C397" i="13" s="1"/>
  <c r="B399" i="1"/>
  <c r="B397" i="13" s="1"/>
  <c r="A399" i="1"/>
  <c r="A397" i="13" s="1"/>
  <c r="E398" i="1"/>
  <c r="E396" i="13" s="1"/>
  <c r="D398" i="1"/>
  <c r="D396" i="13" s="1"/>
  <c r="M396" i="13" s="1"/>
  <c r="C398" i="1"/>
  <c r="C396" i="13" s="1"/>
  <c r="B398" i="1"/>
  <c r="B396" i="13" s="1"/>
  <c r="A398" i="1"/>
  <c r="A396" i="13" s="1"/>
  <c r="E397" i="1"/>
  <c r="E395" i="13" s="1"/>
  <c r="D397" i="1"/>
  <c r="D395" i="13" s="1"/>
  <c r="M395" i="13" s="1"/>
  <c r="C397" i="1"/>
  <c r="C395" i="13" s="1"/>
  <c r="B397" i="1"/>
  <c r="B395" i="13" s="1"/>
  <c r="A397" i="1"/>
  <c r="A395" i="13" s="1"/>
  <c r="E396" i="1"/>
  <c r="E394" i="13" s="1"/>
  <c r="D396" i="1"/>
  <c r="D394" i="13" s="1"/>
  <c r="M394" i="13" s="1"/>
  <c r="C396" i="1"/>
  <c r="C394" i="13" s="1"/>
  <c r="B396" i="1"/>
  <c r="B394" i="13" s="1"/>
  <c r="A396" i="1"/>
  <c r="A394" i="13" s="1"/>
  <c r="E395" i="1"/>
  <c r="E393" i="13" s="1"/>
  <c r="D395" i="1"/>
  <c r="D393" i="13" s="1"/>
  <c r="M393" i="13" s="1"/>
  <c r="C395" i="1"/>
  <c r="C393" i="13" s="1"/>
  <c r="B395" i="1"/>
  <c r="B393" i="13" s="1"/>
  <c r="A395" i="1"/>
  <c r="A393" i="13" s="1"/>
  <c r="E394" i="1"/>
  <c r="E392" i="13" s="1"/>
  <c r="D394" i="1"/>
  <c r="D392" i="13" s="1"/>
  <c r="M392" i="13" s="1"/>
  <c r="C394" i="1"/>
  <c r="C392" i="13" s="1"/>
  <c r="B394" i="1"/>
  <c r="B392" i="13" s="1"/>
  <c r="A394" i="1"/>
  <c r="A392" i="13" s="1"/>
  <c r="E393" i="1"/>
  <c r="E391" i="13" s="1"/>
  <c r="D393" i="1"/>
  <c r="D391" i="13" s="1"/>
  <c r="M391" i="13" s="1"/>
  <c r="C393" i="1"/>
  <c r="C391" i="13" s="1"/>
  <c r="B393" i="1"/>
  <c r="B391" i="13" s="1"/>
  <c r="A393" i="1"/>
  <c r="A391" i="13" s="1"/>
  <c r="E392" i="1"/>
  <c r="E390" i="13" s="1"/>
  <c r="D392" i="1"/>
  <c r="D390" i="13" s="1"/>
  <c r="M390" i="13" s="1"/>
  <c r="C392" i="1"/>
  <c r="C390" i="13" s="1"/>
  <c r="B392" i="1"/>
  <c r="B390" i="13" s="1"/>
  <c r="A392" i="1"/>
  <c r="A390" i="13" s="1"/>
  <c r="E391" i="1"/>
  <c r="E389" i="13" s="1"/>
  <c r="D391" i="1"/>
  <c r="D389" i="13" s="1"/>
  <c r="M389" i="13" s="1"/>
  <c r="C391" i="1"/>
  <c r="C389" i="13" s="1"/>
  <c r="B391" i="1"/>
  <c r="B389" i="13" s="1"/>
  <c r="A391" i="1"/>
  <c r="A389" i="13" s="1"/>
  <c r="E390" i="1"/>
  <c r="E388" i="13" s="1"/>
  <c r="D390" i="1"/>
  <c r="D388" i="13" s="1"/>
  <c r="M388" i="13" s="1"/>
  <c r="C390" i="1"/>
  <c r="C388" i="13" s="1"/>
  <c r="B390" i="1"/>
  <c r="B388" i="13" s="1"/>
  <c r="A390" i="1"/>
  <c r="A388" i="13" s="1"/>
  <c r="E389" i="1"/>
  <c r="E387" i="13" s="1"/>
  <c r="D389" i="1"/>
  <c r="C389" i="1"/>
  <c r="C387" i="13" s="1"/>
  <c r="B389" i="1"/>
  <c r="B387" i="13" s="1"/>
  <c r="A389" i="1"/>
  <c r="A387" i="13" s="1"/>
  <c r="E388" i="1"/>
  <c r="E386" i="13" s="1"/>
  <c r="D388" i="1"/>
  <c r="D386" i="13" s="1"/>
  <c r="M386" i="13" s="1"/>
  <c r="C388" i="1"/>
  <c r="C386" i="13" s="1"/>
  <c r="B388" i="1"/>
  <c r="B386" i="13" s="1"/>
  <c r="A388" i="1"/>
  <c r="A386" i="13" s="1"/>
  <c r="E387" i="1"/>
  <c r="E385" i="13" s="1"/>
  <c r="D387" i="1"/>
  <c r="D385" i="13" s="1"/>
  <c r="M385" i="13" s="1"/>
  <c r="C387" i="1"/>
  <c r="C385" i="13" s="1"/>
  <c r="B387" i="1"/>
  <c r="B385" i="13" s="1"/>
  <c r="A387" i="1"/>
  <c r="A385" i="13" s="1"/>
  <c r="E386" i="1"/>
  <c r="E384" i="13" s="1"/>
  <c r="D386" i="1"/>
  <c r="D384" i="13" s="1"/>
  <c r="M384" i="13" s="1"/>
  <c r="C386" i="1"/>
  <c r="C384" i="13" s="1"/>
  <c r="B386" i="1"/>
  <c r="B384" i="13" s="1"/>
  <c r="A386" i="1"/>
  <c r="A384" i="13" s="1"/>
  <c r="E385" i="1"/>
  <c r="E383" i="13" s="1"/>
  <c r="D385" i="1"/>
  <c r="D383" i="13" s="1"/>
  <c r="M383" i="13" s="1"/>
  <c r="C385" i="1"/>
  <c r="C383" i="13" s="1"/>
  <c r="B385" i="1"/>
  <c r="B383" i="13" s="1"/>
  <c r="A385" i="1"/>
  <c r="A383" i="13" s="1"/>
  <c r="E384" i="1"/>
  <c r="E382" i="13" s="1"/>
  <c r="D384" i="1"/>
  <c r="D382" i="13" s="1"/>
  <c r="M382" i="13" s="1"/>
  <c r="C384" i="1"/>
  <c r="C382" i="13" s="1"/>
  <c r="B384" i="1"/>
  <c r="B382" i="13" s="1"/>
  <c r="A384" i="1"/>
  <c r="A382" i="13" s="1"/>
  <c r="E383" i="1"/>
  <c r="E381" i="13" s="1"/>
  <c r="D383" i="1"/>
  <c r="D381" i="13" s="1"/>
  <c r="M381" i="13" s="1"/>
  <c r="C383" i="1"/>
  <c r="C381" i="13" s="1"/>
  <c r="B383" i="1"/>
  <c r="B381" i="13" s="1"/>
  <c r="A383" i="1"/>
  <c r="A381" i="13" s="1"/>
  <c r="E382" i="1"/>
  <c r="E380" i="13" s="1"/>
  <c r="D382" i="1"/>
  <c r="D380" i="13" s="1"/>
  <c r="M380" i="13" s="1"/>
  <c r="C382" i="1"/>
  <c r="C380" i="13" s="1"/>
  <c r="B382" i="1"/>
  <c r="B380" i="13" s="1"/>
  <c r="A382" i="1"/>
  <c r="A380" i="13" s="1"/>
  <c r="E381" i="1"/>
  <c r="E379" i="13" s="1"/>
  <c r="D381" i="1"/>
  <c r="D379" i="13" s="1"/>
  <c r="M379" i="13" s="1"/>
  <c r="C381" i="1"/>
  <c r="C379" i="13" s="1"/>
  <c r="B381" i="1"/>
  <c r="B379" i="13" s="1"/>
  <c r="A381" i="1"/>
  <c r="A379" i="13" s="1"/>
  <c r="E380" i="1"/>
  <c r="E378" i="13" s="1"/>
  <c r="D380" i="1"/>
  <c r="D378" i="13" s="1"/>
  <c r="M378" i="13" s="1"/>
  <c r="C380" i="1"/>
  <c r="C378" i="13" s="1"/>
  <c r="B380" i="1"/>
  <c r="B378" i="13" s="1"/>
  <c r="A380" i="1"/>
  <c r="A378" i="13" s="1"/>
  <c r="E379" i="1"/>
  <c r="E377" i="13" s="1"/>
  <c r="D379" i="1"/>
  <c r="D377" i="13" s="1"/>
  <c r="M377" i="13" s="1"/>
  <c r="C379" i="1"/>
  <c r="C377" i="13" s="1"/>
  <c r="B379" i="1"/>
  <c r="B377" i="13" s="1"/>
  <c r="A379" i="1"/>
  <c r="A377" i="13" s="1"/>
  <c r="E378" i="1"/>
  <c r="E376" i="13" s="1"/>
  <c r="D378" i="1"/>
  <c r="D376" i="13" s="1"/>
  <c r="M376" i="13" s="1"/>
  <c r="C378" i="1"/>
  <c r="C376" i="13" s="1"/>
  <c r="B378" i="1"/>
  <c r="B376" i="13" s="1"/>
  <c r="A378" i="1"/>
  <c r="A376" i="13" s="1"/>
  <c r="E377" i="1"/>
  <c r="E375" i="13" s="1"/>
  <c r="D377" i="1"/>
  <c r="D375" i="13" s="1"/>
  <c r="M375" i="13" s="1"/>
  <c r="C377" i="1"/>
  <c r="C375" i="13" s="1"/>
  <c r="B377" i="1"/>
  <c r="B375" i="13" s="1"/>
  <c r="A377" i="1"/>
  <c r="A375" i="13" s="1"/>
  <c r="E376" i="1"/>
  <c r="E374" i="13" s="1"/>
  <c r="D376" i="1"/>
  <c r="D374" i="13" s="1"/>
  <c r="M374" i="13" s="1"/>
  <c r="C376" i="1"/>
  <c r="C374" i="13" s="1"/>
  <c r="B376" i="1"/>
  <c r="B374" i="13" s="1"/>
  <c r="A376" i="1"/>
  <c r="A374" i="13" s="1"/>
  <c r="E375" i="1"/>
  <c r="E373" i="13" s="1"/>
  <c r="D375" i="1"/>
  <c r="D373" i="13" s="1"/>
  <c r="M373" i="13" s="1"/>
  <c r="C375" i="1"/>
  <c r="C373" i="13" s="1"/>
  <c r="B375" i="1"/>
  <c r="B373" i="13" s="1"/>
  <c r="A375" i="1"/>
  <c r="A373" i="13" s="1"/>
  <c r="E374" i="1"/>
  <c r="E372" i="13" s="1"/>
  <c r="D374" i="1"/>
  <c r="D372" i="13" s="1"/>
  <c r="M372" i="13" s="1"/>
  <c r="C374" i="1"/>
  <c r="C372" i="13" s="1"/>
  <c r="B374" i="1"/>
  <c r="B372" i="13" s="1"/>
  <c r="A374" i="1"/>
  <c r="A372" i="13" s="1"/>
  <c r="E373" i="1"/>
  <c r="E371" i="13" s="1"/>
  <c r="D373" i="1"/>
  <c r="D371" i="13" s="1"/>
  <c r="M371" i="13" s="1"/>
  <c r="C373" i="1"/>
  <c r="C371" i="13" s="1"/>
  <c r="B373" i="1"/>
  <c r="B371" i="13" s="1"/>
  <c r="A373" i="1"/>
  <c r="A371" i="13" s="1"/>
  <c r="E372" i="1"/>
  <c r="E370" i="13" s="1"/>
  <c r="D372" i="1"/>
  <c r="D370" i="13" s="1"/>
  <c r="M370" i="13" s="1"/>
  <c r="C372" i="1"/>
  <c r="C370" i="13" s="1"/>
  <c r="B372" i="1"/>
  <c r="B370" i="13" s="1"/>
  <c r="A372" i="1"/>
  <c r="A370" i="13" s="1"/>
  <c r="E371" i="1"/>
  <c r="E369" i="13" s="1"/>
  <c r="D371" i="1"/>
  <c r="D369" i="13" s="1"/>
  <c r="M369" i="13" s="1"/>
  <c r="C371" i="1"/>
  <c r="C369" i="13" s="1"/>
  <c r="B371" i="1"/>
  <c r="B369" i="13" s="1"/>
  <c r="A371" i="1"/>
  <c r="A369" i="13" s="1"/>
  <c r="E370" i="1"/>
  <c r="E368" i="13" s="1"/>
  <c r="D370" i="1"/>
  <c r="D368" i="13" s="1"/>
  <c r="M368" i="13" s="1"/>
  <c r="C370" i="1"/>
  <c r="C368" i="13" s="1"/>
  <c r="B370" i="1"/>
  <c r="B368" i="13" s="1"/>
  <c r="A370" i="1"/>
  <c r="A368" i="13" s="1"/>
  <c r="E369" i="1"/>
  <c r="E367" i="13" s="1"/>
  <c r="D369" i="1"/>
  <c r="D367" i="13" s="1"/>
  <c r="M367" i="13" s="1"/>
  <c r="C369" i="1"/>
  <c r="C367" i="13" s="1"/>
  <c r="B369" i="1"/>
  <c r="B367" i="13" s="1"/>
  <c r="A369" i="1"/>
  <c r="A367" i="13" s="1"/>
  <c r="E368" i="1"/>
  <c r="E366" i="13" s="1"/>
  <c r="D368" i="1"/>
  <c r="D366" i="13" s="1"/>
  <c r="M366" i="13" s="1"/>
  <c r="C368" i="1"/>
  <c r="C366" i="13" s="1"/>
  <c r="B368" i="1"/>
  <c r="B366" i="13" s="1"/>
  <c r="A368" i="1"/>
  <c r="A366" i="13" s="1"/>
  <c r="E367" i="1"/>
  <c r="E365" i="13" s="1"/>
  <c r="D367" i="1"/>
  <c r="D365" i="13" s="1"/>
  <c r="M365" i="13" s="1"/>
  <c r="C367" i="1"/>
  <c r="C365" i="13" s="1"/>
  <c r="B367" i="1"/>
  <c r="B365" i="13" s="1"/>
  <c r="A367" i="1"/>
  <c r="A365" i="13" s="1"/>
  <c r="E366" i="1"/>
  <c r="E364" i="13" s="1"/>
  <c r="D366" i="1"/>
  <c r="D364" i="13" s="1"/>
  <c r="M364" i="13" s="1"/>
  <c r="C366" i="1"/>
  <c r="C364" i="13" s="1"/>
  <c r="B366" i="1"/>
  <c r="B364" i="13" s="1"/>
  <c r="A366" i="1"/>
  <c r="A364" i="13" s="1"/>
  <c r="E365" i="1"/>
  <c r="E363" i="13" s="1"/>
  <c r="D365" i="1"/>
  <c r="D363" i="13" s="1"/>
  <c r="M363" i="13" s="1"/>
  <c r="C365" i="1"/>
  <c r="C363" i="13" s="1"/>
  <c r="B365" i="1"/>
  <c r="B363" i="13" s="1"/>
  <c r="A365" i="1"/>
  <c r="A363" i="13" s="1"/>
  <c r="E364" i="1"/>
  <c r="E362" i="13" s="1"/>
  <c r="D364" i="1"/>
  <c r="D362" i="13" s="1"/>
  <c r="M362" i="13" s="1"/>
  <c r="C364" i="1"/>
  <c r="C362" i="13" s="1"/>
  <c r="B364" i="1"/>
  <c r="B362" i="13" s="1"/>
  <c r="A364" i="1"/>
  <c r="A362" i="13" s="1"/>
  <c r="E363" i="1"/>
  <c r="E361" i="13" s="1"/>
  <c r="D363" i="1"/>
  <c r="D361" i="13" s="1"/>
  <c r="M361" i="13" s="1"/>
  <c r="C363" i="1"/>
  <c r="C361" i="13" s="1"/>
  <c r="B363" i="1"/>
  <c r="B361" i="13" s="1"/>
  <c r="A363" i="1"/>
  <c r="A361" i="13" s="1"/>
  <c r="E362" i="1"/>
  <c r="E360" i="13" s="1"/>
  <c r="D362" i="1"/>
  <c r="D360" i="13" s="1"/>
  <c r="M360" i="13" s="1"/>
  <c r="C362" i="1"/>
  <c r="C360" i="13" s="1"/>
  <c r="B362" i="1"/>
  <c r="B360" i="13" s="1"/>
  <c r="A362" i="1"/>
  <c r="A360" i="13" s="1"/>
  <c r="E361" i="1"/>
  <c r="E359" i="13" s="1"/>
  <c r="D361" i="1"/>
  <c r="D359" i="13" s="1"/>
  <c r="M359" i="13" s="1"/>
  <c r="C361" i="1"/>
  <c r="C359" i="13" s="1"/>
  <c r="B361" i="1"/>
  <c r="B359" i="13" s="1"/>
  <c r="A361" i="1"/>
  <c r="A359" i="13" s="1"/>
  <c r="E360" i="1"/>
  <c r="E358" i="13" s="1"/>
  <c r="D360" i="1"/>
  <c r="D358" i="13" s="1"/>
  <c r="M358" i="13" s="1"/>
  <c r="C360" i="1"/>
  <c r="C358" i="13" s="1"/>
  <c r="B360" i="1"/>
  <c r="B358" i="13" s="1"/>
  <c r="A360" i="1"/>
  <c r="A358" i="13" s="1"/>
  <c r="E359" i="1"/>
  <c r="E357" i="13" s="1"/>
  <c r="D359" i="1"/>
  <c r="D357" i="13" s="1"/>
  <c r="M357" i="13" s="1"/>
  <c r="C359" i="1"/>
  <c r="C357" i="13" s="1"/>
  <c r="B359" i="1"/>
  <c r="B357" i="13" s="1"/>
  <c r="A359" i="1"/>
  <c r="A357" i="13" s="1"/>
  <c r="E358" i="1"/>
  <c r="E356" i="13" s="1"/>
  <c r="D358" i="1"/>
  <c r="D356" i="13" s="1"/>
  <c r="M356" i="13" s="1"/>
  <c r="C358" i="1"/>
  <c r="C356" i="13" s="1"/>
  <c r="B358" i="1"/>
  <c r="B356" i="13" s="1"/>
  <c r="A358" i="1"/>
  <c r="A356" i="13" s="1"/>
  <c r="E357" i="1"/>
  <c r="E355" i="13" s="1"/>
  <c r="D357" i="1"/>
  <c r="D355" i="13" s="1"/>
  <c r="M355" i="13" s="1"/>
  <c r="C357" i="1"/>
  <c r="C355" i="13" s="1"/>
  <c r="B357" i="1"/>
  <c r="B355" i="13" s="1"/>
  <c r="A357" i="1"/>
  <c r="A355" i="13" s="1"/>
  <c r="E356" i="1"/>
  <c r="E354" i="13" s="1"/>
  <c r="D356" i="1"/>
  <c r="D354" i="13" s="1"/>
  <c r="M354" i="13" s="1"/>
  <c r="C356" i="1"/>
  <c r="C354" i="13" s="1"/>
  <c r="B356" i="1"/>
  <c r="B354" i="13" s="1"/>
  <c r="A356" i="1"/>
  <c r="A354" i="13" s="1"/>
  <c r="E355" i="1"/>
  <c r="E353" i="13" s="1"/>
  <c r="D355" i="1"/>
  <c r="D353" i="13" s="1"/>
  <c r="M353" i="13" s="1"/>
  <c r="C355" i="1"/>
  <c r="C353" i="13" s="1"/>
  <c r="B355" i="1"/>
  <c r="B353" i="13" s="1"/>
  <c r="A355" i="1"/>
  <c r="A353" i="13" s="1"/>
  <c r="E354" i="1"/>
  <c r="E352" i="13" s="1"/>
  <c r="D354" i="1"/>
  <c r="D352" i="13" s="1"/>
  <c r="M352" i="13" s="1"/>
  <c r="C354" i="1"/>
  <c r="C352" i="13" s="1"/>
  <c r="B354" i="1"/>
  <c r="B352" i="13" s="1"/>
  <c r="A354" i="1"/>
  <c r="A352" i="13" s="1"/>
  <c r="E353" i="1"/>
  <c r="E351" i="13" s="1"/>
  <c r="D353" i="1"/>
  <c r="D351" i="13" s="1"/>
  <c r="M351" i="13" s="1"/>
  <c r="C353" i="1"/>
  <c r="C351" i="13" s="1"/>
  <c r="B353" i="1"/>
  <c r="B351" i="13" s="1"/>
  <c r="A353" i="1"/>
  <c r="A351" i="13" s="1"/>
  <c r="E352" i="1"/>
  <c r="E350" i="13" s="1"/>
  <c r="D352" i="1"/>
  <c r="D350" i="13" s="1"/>
  <c r="M350" i="13" s="1"/>
  <c r="C352" i="1"/>
  <c r="C350" i="13" s="1"/>
  <c r="B352" i="1"/>
  <c r="B350" i="13" s="1"/>
  <c r="A352" i="1"/>
  <c r="A350" i="13" s="1"/>
  <c r="E351" i="1"/>
  <c r="E349" i="13" s="1"/>
  <c r="D351" i="1"/>
  <c r="D349" i="13" s="1"/>
  <c r="M349" i="13" s="1"/>
  <c r="C351" i="1"/>
  <c r="C349" i="13" s="1"/>
  <c r="B351" i="1"/>
  <c r="B349" i="13" s="1"/>
  <c r="A351" i="1"/>
  <c r="A349" i="13" s="1"/>
  <c r="E350" i="1"/>
  <c r="E348" i="13" s="1"/>
  <c r="D350" i="1"/>
  <c r="D348" i="13" s="1"/>
  <c r="M348" i="13" s="1"/>
  <c r="C350" i="1"/>
  <c r="C348" i="13" s="1"/>
  <c r="B350" i="1"/>
  <c r="B348" i="13" s="1"/>
  <c r="A350" i="1"/>
  <c r="A348" i="13" s="1"/>
  <c r="E349" i="1"/>
  <c r="E347" i="13" s="1"/>
  <c r="D349" i="1"/>
  <c r="D347" i="13" s="1"/>
  <c r="M347" i="13" s="1"/>
  <c r="C349" i="1"/>
  <c r="C347" i="13" s="1"/>
  <c r="B349" i="1"/>
  <c r="B347" i="13" s="1"/>
  <c r="A349" i="1"/>
  <c r="A347" i="13" s="1"/>
  <c r="E348" i="1"/>
  <c r="E346" i="13" s="1"/>
  <c r="D348" i="1"/>
  <c r="D346" i="13" s="1"/>
  <c r="M346" i="13" s="1"/>
  <c r="C348" i="1"/>
  <c r="C346" i="13" s="1"/>
  <c r="B348" i="1"/>
  <c r="B346" i="13" s="1"/>
  <c r="A348" i="1"/>
  <c r="A346" i="13" s="1"/>
  <c r="E347" i="1"/>
  <c r="E345" i="13" s="1"/>
  <c r="D347" i="1"/>
  <c r="D345" i="13" s="1"/>
  <c r="M345" i="13" s="1"/>
  <c r="C347" i="1"/>
  <c r="C345" i="13" s="1"/>
  <c r="B347" i="1"/>
  <c r="B345" i="13" s="1"/>
  <c r="A347" i="1"/>
  <c r="A345" i="13" s="1"/>
  <c r="E346" i="1"/>
  <c r="E344" i="13" s="1"/>
  <c r="D346" i="1"/>
  <c r="D344" i="13" s="1"/>
  <c r="M344" i="13" s="1"/>
  <c r="C346" i="1"/>
  <c r="C344" i="13" s="1"/>
  <c r="B346" i="1"/>
  <c r="B344" i="13" s="1"/>
  <c r="A346" i="1"/>
  <c r="A344" i="13" s="1"/>
  <c r="E345" i="1"/>
  <c r="E343" i="13" s="1"/>
  <c r="D345" i="1"/>
  <c r="D343" i="13" s="1"/>
  <c r="M343" i="13" s="1"/>
  <c r="C345" i="1"/>
  <c r="C343" i="13" s="1"/>
  <c r="B345" i="1"/>
  <c r="B343" i="13" s="1"/>
  <c r="A345" i="1"/>
  <c r="A343" i="13" s="1"/>
  <c r="E344" i="1"/>
  <c r="E342" i="13" s="1"/>
  <c r="D344" i="1"/>
  <c r="D342" i="13" s="1"/>
  <c r="M342" i="13" s="1"/>
  <c r="C344" i="1"/>
  <c r="C342" i="13" s="1"/>
  <c r="B344" i="1"/>
  <c r="B342" i="13" s="1"/>
  <c r="A344" i="1"/>
  <c r="A342" i="13" s="1"/>
  <c r="E343" i="1"/>
  <c r="E341" i="13" s="1"/>
  <c r="D343" i="1"/>
  <c r="D341" i="13" s="1"/>
  <c r="M341" i="13" s="1"/>
  <c r="C343" i="1"/>
  <c r="C341" i="13" s="1"/>
  <c r="B343" i="1"/>
  <c r="B341" i="13" s="1"/>
  <c r="A343" i="1"/>
  <c r="A341" i="13" s="1"/>
  <c r="E342" i="1"/>
  <c r="E340" i="13" s="1"/>
  <c r="D342" i="1"/>
  <c r="D340" i="13" s="1"/>
  <c r="M340" i="13" s="1"/>
  <c r="C342" i="1"/>
  <c r="C340" i="13" s="1"/>
  <c r="B342" i="1"/>
  <c r="B340" i="13" s="1"/>
  <c r="A342" i="1"/>
  <c r="A340" i="13" s="1"/>
  <c r="E341" i="1"/>
  <c r="E339" i="13" s="1"/>
  <c r="D341" i="1"/>
  <c r="D339" i="13" s="1"/>
  <c r="M339" i="13" s="1"/>
  <c r="C341" i="1"/>
  <c r="C339" i="13" s="1"/>
  <c r="B341" i="1"/>
  <c r="B339" i="13" s="1"/>
  <c r="A341" i="1"/>
  <c r="A339" i="13" s="1"/>
  <c r="E340" i="1"/>
  <c r="E338" i="13" s="1"/>
  <c r="D340" i="1"/>
  <c r="D338" i="13" s="1"/>
  <c r="M338" i="13" s="1"/>
  <c r="C340" i="1"/>
  <c r="C338" i="13" s="1"/>
  <c r="B340" i="1"/>
  <c r="B338" i="13" s="1"/>
  <c r="A340" i="1"/>
  <c r="A338" i="13" s="1"/>
  <c r="E339" i="1"/>
  <c r="E337" i="13" s="1"/>
  <c r="D339" i="1"/>
  <c r="D337" i="13" s="1"/>
  <c r="M337" i="13" s="1"/>
  <c r="C339" i="1"/>
  <c r="C337" i="13" s="1"/>
  <c r="B339" i="1"/>
  <c r="B337" i="13" s="1"/>
  <c r="A339" i="1"/>
  <c r="A337" i="13" s="1"/>
  <c r="E338" i="1"/>
  <c r="E336" i="13" s="1"/>
  <c r="D338" i="1"/>
  <c r="D336" i="13" s="1"/>
  <c r="M336" i="13" s="1"/>
  <c r="C338" i="1"/>
  <c r="C336" i="13" s="1"/>
  <c r="B338" i="1"/>
  <c r="B336" i="13" s="1"/>
  <c r="A338" i="1"/>
  <c r="A336" i="13" s="1"/>
  <c r="E337" i="1"/>
  <c r="E335" i="13" s="1"/>
  <c r="D337" i="1"/>
  <c r="D335" i="13" s="1"/>
  <c r="M335" i="13" s="1"/>
  <c r="C337" i="1"/>
  <c r="C335" i="13" s="1"/>
  <c r="B337" i="1"/>
  <c r="B335" i="13" s="1"/>
  <c r="A337" i="1"/>
  <c r="A335" i="13" s="1"/>
  <c r="E336" i="1"/>
  <c r="E334" i="13" s="1"/>
  <c r="D336" i="1"/>
  <c r="D334" i="13" s="1"/>
  <c r="M334" i="13" s="1"/>
  <c r="C336" i="1"/>
  <c r="C334" i="13" s="1"/>
  <c r="B336" i="1"/>
  <c r="B334" i="13" s="1"/>
  <c r="A336" i="1"/>
  <c r="A334" i="13" s="1"/>
  <c r="E335" i="1"/>
  <c r="E333" i="13" s="1"/>
  <c r="D335" i="1"/>
  <c r="D333" i="13" s="1"/>
  <c r="M333" i="13" s="1"/>
  <c r="C335" i="1"/>
  <c r="C333" i="13" s="1"/>
  <c r="B335" i="1"/>
  <c r="B333" i="13" s="1"/>
  <c r="A335" i="1"/>
  <c r="A333" i="13" s="1"/>
  <c r="E334" i="1"/>
  <c r="E332" i="13" s="1"/>
  <c r="D334" i="1"/>
  <c r="D332" i="13" s="1"/>
  <c r="M332" i="13" s="1"/>
  <c r="C334" i="1"/>
  <c r="C332" i="13" s="1"/>
  <c r="B334" i="1"/>
  <c r="B332" i="13" s="1"/>
  <c r="A334" i="1"/>
  <c r="A332" i="13" s="1"/>
  <c r="E333" i="1"/>
  <c r="E331" i="13" s="1"/>
  <c r="D333" i="1"/>
  <c r="D331" i="13" s="1"/>
  <c r="M331" i="13" s="1"/>
  <c r="C333" i="1"/>
  <c r="C331" i="13" s="1"/>
  <c r="B333" i="1"/>
  <c r="B331" i="13" s="1"/>
  <c r="A333" i="1"/>
  <c r="A331" i="13" s="1"/>
  <c r="E332" i="1"/>
  <c r="E330" i="13" s="1"/>
  <c r="D332" i="1"/>
  <c r="D330" i="13" s="1"/>
  <c r="M330" i="13" s="1"/>
  <c r="C332" i="1"/>
  <c r="C330" i="13" s="1"/>
  <c r="B332" i="1"/>
  <c r="B330" i="13" s="1"/>
  <c r="A332" i="1"/>
  <c r="A330" i="13" s="1"/>
  <c r="E331" i="1"/>
  <c r="E329" i="13" s="1"/>
  <c r="D331" i="1"/>
  <c r="D329" i="13" s="1"/>
  <c r="M329" i="13" s="1"/>
  <c r="C331" i="1"/>
  <c r="C329" i="13" s="1"/>
  <c r="B331" i="1"/>
  <c r="B329" i="13" s="1"/>
  <c r="A331" i="1"/>
  <c r="A329" i="13" s="1"/>
  <c r="E330" i="1"/>
  <c r="E328" i="13" s="1"/>
  <c r="D330" i="1"/>
  <c r="D328" i="13" s="1"/>
  <c r="M328" i="13" s="1"/>
  <c r="C330" i="1"/>
  <c r="C328" i="13" s="1"/>
  <c r="B330" i="1"/>
  <c r="B328" i="13" s="1"/>
  <c r="A330" i="1"/>
  <c r="A328" i="13" s="1"/>
  <c r="E329" i="1"/>
  <c r="E327" i="13" s="1"/>
  <c r="D329" i="1"/>
  <c r="D327" i="13" s="1"/>
  <c r="M327" i="13" s="1"/>
  <c r="C329" i="1"/>
  <c r="C327" i="13" s="1"/>
  <c r="B329" i="1"/>
  <c r="B327" i="13" s="1"/>
  <c r="A329" i="1"/>
  <c r="A327" i="13" s="1"/>
  <c r="E328" i="1"/>
  <c r="E326" i="13" s="1"/>
  <c r="D328" i="1"/>
  <c r="D326" i="13" s="1"/>
  <c r="M326" i="13" s="1"/>
  <c r="C328" i="1"/>
  <c r="C326" i="13" s="1"/>
  <c r="B328" i="1"/>
  <c r="B326" i="13" s="1"/>
  <c r="A328" i="1"/>
  <c r="A326" i="13" s="1"/>
  <c r="E327" i="1"/>
  <c r="E325" i="13" s="1"/>
  <c r="D327" i="1"/>
  <c r="D325" i="13" s="1"/>
  <c r="M325" i="13" s="1"/>
  <c r="C327" i="1"/>
  <c r="C325" i="13" s="1"/>
  <c r="B327" i="1"/>
  <c r="B325" i="13" s="1"/>
  <c r="A327" i="1"/>
  <c r="A325" i="13" s="1"/>
  <c r="E326" i="1"/>
  <c r="E324" i="13" s="1"/>
  <c r="D326" i="1"/>
  <c r="D324" i="13" s="1"/>
  <c r="M324" i="13" s="1"/>
  <c r="C326" i="1"/>
  <c r="C324" i="13" s="1"/>
  <c r="B326" i="1"/>
  <c r="B324" i="13" s="1"/>
  <c r="A326" i="1"/>
  <c r="A324" i="13" s="1"/>
  <c r="E325" i="1"/>
  <c r="E323" i="13" s="1"/>
  <c r="D325" i="1"/>
  <c r="D323" i="13" s="1"/>
  <c r="M323" i="13" s="1"/>
  <c r="C325" i="1"/>
  <c r="C323" i="13" s="1"/>
  <c r="B325" i="1"/>
  <c r="B323" i="13" s="1"/>
  <c r="A325" i="1"/>
  <c r="A323" i="13" s="1"/>
  <c r="E324" i="1"/>
  <c r="E322" i="13" s="1"/>
  <c r="D324" i="1"/>
  <c r="D322" i="13" s="1"/>
  <c r="M322" i="13" s="1"/>
  <c r="C324" i="1"/>
  <c r="C322" i="13" s="1"/>
  <c r="B324" i="1"/>
  <c r="B322" i="13" s="1"/>
  <c r="A324" i="1"/>
  <c r="A322" i="13" s="1"/>
  <c r="E323" i="1"/>
  <c r="E321" i="13" s="1"/>
  <c r="D323" i="1"/>
  <c r="D321" i="13" s="1"/>
  <c r="M321" i="13" s="1"/>
  <c r="C323" i="1"/>
  <c r="C321" i="13" s="1"/>
  <c r="B323" i="1"/>
  <c r="B321" i="13" s="1"/>
  <c r="A323" i="1"/>
  <c r="A321" i="13" s="1"/>
  <c r="E322" i="1"/>
  <c r="E320" i="13" s="1"/>
  <c r="D322" i="1"/>
  <c r="D320" i="13" s="1"/>
  <c r="M320" i="13" s="1"/>
  <c r="C322" i="1"/>
  <c r="C320" i="13" s="1"/>
  <c r="B322" i="1"/>
  <c r="B320" i="13" s="1"/>
  <c r="A322" i="1"/>
  <c r="A320" i="13" s="1"/>
  <c r="E321" i="1"/>
  <c r="E319" i="13" s="1"/>
  <c r="D321" i="1"/>
  <c r="D319" i="13" s="1"/>
  <c r="M319" i="13" s="1"/>
  <c r="C321" i="1"/>
  <c r="C319" i="13" s="1"/>
  <c r="B321" i="1"/>
  <c r="B319" i="13" s="1"/>
  <c r="A321" i="1"/>
  <c r="A319" i="13" s="1"/>
  <c r="E320" i="1"/>
  <c r="E318" i="13" s="1"/>
  <c r="D320" i="1"/>
  <c r="D318" i="13" s="1"/>
  <c r="M318" i="13" s="1"/>
  <c r="C320" i="1"/>
  <c r="C318" i="13" s="1"/>
  <c r="B320" i="1"/>
  <c r="B318" i="13" s="1"/>
  <c r="A320" i="1"/>
  <c r="A318" i="13" s="1"/>
  <c r="E319" i="1"/>
  <c r="E317" i="13" s="1"/>
  <c r="D319" i="1"/>
  <c r="D317" i="13" s="1"/>
  <c r="M317" i="13" s="1"/>
  <c r="C319" i="1"/>
  <c r="C317" i="13" s="1"/>
  <c r="B319" i="1"/>
  <c r="B317" i="13" s="1"/>
  <c r="A319" i="1"/>
  <c r="A317" i="13" s="1"/>
  <c r="E318" i="1"/>
  <c r="E316" i="13" s="1"/>
  <c r="D318" i="1"/>
  <c r="D316" i="13" s="1"/>
  <c r="M316" i="13" s="1"/>
  <c r="C318" i="1"/>
  <c r="C316" i="13" s="1"/>
  <c r="B318" i="1"/>
  <c r="B316" i="13" s="1"/>
  <c r="A318" i="1"/>
  <c r="A316" i="13" s="1"/>
  <c r="E317" i="1"/>
  <c r="E315" i="13" s="1"/>
  <c r="D317" i="1"/>
  <c r="D315" i="13" s="1"/>
  <c r="M315" i="13" s="1"/>
  <c r="C317" i="1"/>
  <c r="C315" i="13" s="1"/>
  <c r="B317" i="1"/>
  <c r="B315" i="13" s="1"/>
  <c r="A317" i="1"/>
  <c r="A315" i="13" s="1"/>
  <c r="E316" i="1"/>
  <c r="E314" i="13" s="1"/>
  <c r="D316" i="1"/>
  <c r="D314" i="13" s="1"/>
  <c r="M314" i="13" s="1"/>
  <c r="C316" i="1"/>
  <c r="C314" i="13" s="1"/>
  <c r="B316" i="1"/>
  <c r="B314" i="13" s="1"/>
  <c r="A316" i="1"/>
  <c r="A314" i="13" s="1"/>
  <c r="E315" i="1"/>
  <c r="E313" i="13" s="1"/>
  <c r="D315" i="1"/>
  <c r="D313" i="13" s="1"/>
  <c r="M313" i="13" s="1"/>
  <c r="C315" i="1"/>
  <c r="C313" i="13" s="1"/>
  <c r="B315" i="1"/>
  <c r="B313" i="13" s="1"/>
  <c r="A315" i="1"/>
  <c r="A313" i="13" s="1"/>
  <c r="E314" i="1"/>
  <c r="E312" i="13" s="1"/>
  <c r="D314" i="1"/>
  <c r="D312" i="13" s="1"/>
  <c r="M312" i="13" s="1"/>
  <c r="C314" i="1"/>
  <c r="C312" i="13" s="1"/>
  <c r="B314" i="1"/>
  <c r="B312" i="13" s="1"/>
  <c r="A314" i="1"/>
  <c r="A312" i="13" s="1"/>
  <c r="E313" i="1"/>
  <c r="E311" i="13" s="1"/>
  <c r="D313" i="1"/>
  <c r="D311" i="13" s="1"/>
  <c r="M311" i="13" s="1"/>
  <c r="C313" i="1"/>
  <c r="C311" i="13" s="1"/>
  <c r="B313" i="1"/>
  <c r="B311" i="13" s="1"/>
  <c r="A313" i="1"/>
  <c r="A311" i="13" s="1"/>
  <c r="E312" i="1"/>
  <c r="E310" i="13" s="1"/>
  <c r="D312" i="1"/>
  <c r="D310" i="13" s="1"/>
  <c r="M310" i="13" s="1"/>
  <c r="C312" i="1"/>
  <c r="C310" i="13" s="1"/>
  <c r="B312" i="1"/>
  <c r="B310" i="13" s="1"/>
  <c r="A312" i="1"/>
  <c r="A310" i="13" s="1"/>
  <c r="E311" i="1"/>
  <c r="E309" i="13" s="1"/>
  <c r="D311" i="1"/>
  <c r="D309" i="13" s="1"/>
  <c r="M309" i="13" s="1"/>
  <c r="C311" i="1"/>
  <c r="C309" i="13" s="1"/>
  <c r="B311" i="1"/>
  <c r="B309" i="13" s="1"/>
  <c r="A311" i="1"/>
  <c r="A309" i="13" s="1"/>
  <c r="E310" i="1"/>
  <c r="E308" i="13" s="1"/>
  <c r="D310" i="1"/>
  <c r="D308" i="13" s="1"/>
  <c r="M308" i="13" s="1"/>
  <c r="C310" i="1"/>
  <c r="C308" i="13" s="1"/>
  <c r="B310" i="1"/>
  <c r="B308" i="13" s="1"/>
  <c r="A310" i="1"/>
  <c r="A308" i="13" s="1"/>
  <c r="E309" i="1"/>
  <c r="E307" i="13" s="1"/>
  <c r="D309" i="1"/>
  <c r="D307" i="13" s="1"/>
  <c r="M307" i="13" s="1"/>
  <c r="C309" i="1"/>
  <c r="C307" i="13" s="1"/>
  <c r="B309" i="1"/>
  <c r="B307" i="13" s="1"/>
  <c r="A309" i="1"/>
  <c r="A307" i="13" s="1"/>
  <c r="E308" i="1"/>
  <c r="E306" i="13" s="1"/>
  <c r="D308" i="1"/>
  <c r="D306" i="13" s="1"/>
  <c r="M306" i="13" s="1"/>
  <c r="C308" i="1"/>
  <c r="C306" i="13" s="1"/>
  <c r="B308" i="1"/>
  <c r="B306" i="13" s="1"/>
  <c r="A308" i="1"/>
  <c r="A306" i="13" s="1"/>
  <c r="E307" i="1"/>
  <c r="E305" i="13" s="1"/>
  <c r="D307" i="1"/>
  <c r="D305" i="13" s="1"/>
  <c r="M305" i="13" s="1"/>
  <c r="C307" i="1"/>
  <c r="C305" i="13" s="1"/>
  <c r="B307" i="1"/>
  <c r="B305" i="13" s="1"/>
  <c r="A307" i="1"/>
  <c r="A305" i="13" s="1"/>
  <c r="E306" i="1"/>
  <c r="E304" i="13" s="1"/>
  <c r="D306" i="1"/>
  <c r="D304" i="13" s="1"/>
  <c r="M304" i="13" s="1"/>
  <c r="C306" i="1"/>
  <c r="C304" i="13" s="1"/>
  <c r="B306" i="1"/>
  <c r="B304" i="13" s="1"/>
  <c r="A306" i="1"/>
  <c r="A304" i="13" s="1"/>
  <c r="E305" i="1"/>
  <c r="E303" i="13" s="1"/>
  <c r="D305" i="1"/>
  <c r="D303" i="13" s="1"/>
  <c r="M303" i="13" s="1"/>
  <c r="C305" i="1"/>
  <c r="C303" i="13" s="1"/>
  <c r="B305" i="1"/>
  <c r="B303" i="13" s="1"/>
  <c r="A305" i="1"/>
  <c r="A303" i="13" s="1"/>
  <c r="E304" i="1"/>
  <c r="E302" i="13" s="1"/>
  <c r="D304" i="1"/>
  <c r="D302" i="13" s="1"/>
  <c r="M302" i="13" s="1"/>
  <c r="C304" i="1"/>
  <c r="C302" i="13" s="1"/>
  <c r="B304" i="1"/>
  <c r="B302" i="13" s="1"/>
  <c r="A304" i="1"/>
  <c r="A302" i="13" s="1"/>
  <c r="E303" i="1"/>
  <c r="E301" i="13" s="1"/>
  <c r="D303" i="1"/>
  <c r="D301" i="13" s="1"/>
  <c r="M301" i="13" s="1"/>
  <c r="C303" i="1"/>
  <c r="C301" i="13" s="1"/>
  <c r="B303" i="1"/>
  <c r="B301" i="13" s="1"/>
  <c r="A303" i="1"/>
  <c r="A301" i="13" s="1"/>
  <c r="E302" i="1"/>
  <c r="E300" i="13" s="1"/>
  <c r="D302" i="1"/>
  <c r="D300" i="13" s="1"/>
  <c r="M300" i="13" s="1"/>
  <c r="C302" i="1"/>
  <c r="C300" i="13" s="1"/>
  <c r="B302" i="1"/>
  <c r="B300" i="13" s="1"/>
  <c r="A302" i="1"/>
  <c r="A300" i="13" s="1"/>
  <c r="E301" i="1"/>
  <c r="E299" i="13" s="1"/>
  <c r="D301" i="1"/>
  <c r="D299" i="13" s="1"/>
  <c r="M299" i="13" s="1"/>
  <c r="C301" i="1"/>
  <c r="C299" i="13" s="1"/>
  <c r="B301" i="1"/>
  <c r="B299" i="13" s="1"/>
  <c r="A301" i="1"/>
  <c r="A299" i="13" s="1"/>
  <c r="E300" i="1"/>
  <c r="E298" i="13" s="1"/>
  <c r="D300" i="1"/>
  <c r="D298" i="13" s="1"/>
  <c r="M298" i="13" s="1"/>
  <c r="C300" i="1"/>
  <c r="C298" i="13" s="1"/>
  <c r="B300" i="1"/>
  <c r="B298" i="13" s="1"/>
  <c r="A300" i="1"/>
  <c r="A298" i="13" s="1"/>
  <c r="E299" i="1"/>
  <c r="E297" i="13" s="1"/>
  <c r="D299" i="1"/>
  <c r="D297" i="13" s="1"/>
  <c r="M297" i="13" s="1"/>
  <c r="C299" i="1"/>
  <c r="C297" i="13" s="1"/>
  <c r="B299" i="1"/>
  <c r="B297" i="13" s="1"/>
  <c r="A299" i="1"/>
  <c r="A297" i="13" s="1"/>
  <c r="E298" i="1"/>
  <c r="E296" i="13" s="1"/>
  <c r="D298" i="1"/>
  <c r="D296" i="13" s="1"/>
  <c r="M296" i="13" s="1"/>
  <c r="C298" i="1"/>
  <c r="C296" i="13" s="1"/>
  <c r="B298" i="1"/>
  <c r="B296" i="13" s="1"/>
  <c r="A298" i="1"/>
  <c r="A296" i="13" s="1"/>
  <c r="E297" i="1"/>
  <c r="E295" i="13" s="1"/>
  <c r="D297" i="1"/>
  <c r="D295" i="13" s="1"/>
  <c r="M295" i="13" s="1"/>
  <c r="C297" i="1"/>
  <c r="C295" i="13" s="1"/>
  <c r="B297" i="1"/>
  <c r="B295" i="13" s="1"/>
  <c r="A297" i="1"/>
  <c r="A295" i="13" s="1"/>
  <c r="E296" i="1"/>
  <c r="E294" i="13" s="1"/>
  <c r="D296" i="1"/>
  <c r="D294" i="13" s="1"/>
  <c r="M294" i="13" s="1"/>
  <c r="C296" i="1"/>
  <c r="C294" i="13" s="1"/>
  <c r="B296" i="1"/>
  <c r="B294" i="13" s="1"/>
  <c r="A296" i="1"/>
  <c r="A294" i="13" s="1"/>
  <c r="E295" i="1"/>
  <c r="E293" i="13" s="1"/>
  <c r="D295" i="1"/>
  <c r="D293" i="13" s="1"/>
  <c r="M293" i="13" s="1"/>
  <c r="C295" i="1"/>
  <c r="C293" i="13" s="1"/>
  <c r="B295" i="1"/>
  <c r="B293" i="13" s="1"/>
  <c r="A295" i="1"/>
  <c r="A293" i="13" s="1"/>
  <c r="E294" i="1"/>
  <c r="E292" i="13" s="1"/>
  <c r="D294" i="1"/>
  <c r="D292" i="13" s="1"/>
  <c r="M292" i="13" s="1"/>
  <c r="C294" i="1"/>
  <c r="C292" i="13" s="1"/>
  <c r="B294" i="1"/>
  <c r="B292" i="13" s="1"/>
  <c r="A294" i="1"/>
  <c r="A292" i="13" s="1"/>
  <c r="E293" i="1"/>
  <c r="E291" i="13" s="1"/>
  <c r="D293" i="1"/>
  <c r="D291" i="13" s="1"/>
  <c r="M291" i="13" s="1"/>
  <c r="C293" i="1"/>
  <c r="C291" i="13" s="1"/>
  <c r="B293" i="1"/>
  <c r="B291" i="13" s="1"/>
  <c r="A293" i="1"/>
  <c r="A291" i="13" s="1"/>
  <c r="E292" i="1"/>
  <c r="E290" i="13" s="1"/>
  <c r="D292" i="1"/>
  <c r="D290" i="13" s="1"/>
  <c r="M290" i="13" s="1"/>
  <c r="C292" i="1"/>
  <c r="C290" i="13" s="1"/>
  <c r="B292" i="1"/>
  <c r="B290" i="13" s="1"/>
  <c r="A292" i="1"/>
  <c r="A290" i="13" s="1"/>
  <c r="E291" i="1"/>
  <c r="E289" i="13" s="1"/>
  <c r="D291" i="1"/>
  <c r="D289" i="13" s="1"/>
  <c r="M289" i="13" s="1"/>
  <c r="C291" i="1"/>
  <c r="C289" i="13" s="1"/>
  <c r="B291" i="1"/>
  <c r="B289" i="13" s="1"/>
  <c r="A291" i="1"/>
  <c r="A289" i="13" s="1"/>
  <c r="E290" i="1"/>
  <c r="E288" i="13" s="1"/>
  <c r="D290" i="1"/>
  <c r="D288" i="13" s="1"/>
  <c r="M288" i="13" s="1"/>
  <c r="C290" i="1"/>
  <c r="C288" i="13" s="1"/>
  <c r="B290" i="1"/>
  <c r="B288" i="13" s="1"/>
  <c r="A290" i="1"/>
  <c r="A288" i="13" s="1"/>
  <c r="E289" i="1"/>
  <c r="E287" i="13" s="1"/>
  <c r="D289" i="1"/>
  <c r="D287" i="13" s="1"/>
  <c r="M287" i="13" s="1"/>
  <c r="C289" i="1"/>
  <c r="C287" i="13" s="1"/>
  <c r="B289" i="1"/>
  <c r="B287" i="13" s="1"/>
  <c r="A289" i="1"/>
  <c r="A287" i="13" s="1"/>
  <c r="E288" i="1"/>
  <c r="E286" i="13" s="1"/>
  <c r="D288" i="1"/>
  <c r="D286" i="13" s="1"/>
  <c r="M286" i="13" s="1"/>
  <c r="C288" i="1"/>
  <c r="C286" i="13" s="1"/>
  <c r="B288" i="1"/>
  <c r="B286" i="13" s="1"/>
  <c r="A288" i="1"/>
  <c r="A286" i="13" s="1"/>
  <c r="E287" i="1"/>
  <c r="E285" i="13" s="1"/>
  <c r="D287" i="1"/>
  <c r="D285" i="13" s="1"/>
  <c r="M285" i="13" s="1"/>
  <c r="C287" i="1"/>
  <c r="C285" i="13" s="1"/>
  <c r="B287" i="1"/>
  <c r="B285" i="13" s="1"/>
  <c r="A287" i="1"/>
  <c r="A285" i="13" s="1"/>
  <c r="E286" i="1"/>
  <c r="E284" i="13" s="1"/>
  <c r="D286" i="1"/>
  <c r="D284" i="13" s="1"/>
  <c r="M284" i="13" s="1"/>
  <c r="C286" i="1"/>
  <c r="C284" i="13" s="1"/>
  <c r="B286" i="1"/>
  <c r="B284" i="13" s="1"/>
  <c r="A286" i="1"/>
  <c r="A284" i="13" s="1"/>
  <c r="E285" i="1"/>
  <c r="E283" i="13" s="1"/>
  <c r="D285" i="1"/>
  <c r="D283" i="13" s="1"/>
  <c r="M283" i="13" s="1"/>
  <c r="C285" i="1"/>
  <c r="C283" i="13" s="1"/>
  <c r="B285" i="1"/>
  <c r="B283" i="13" s="1"/>
  <c r="A285" i="1"/>
  <c r="A283" i="13" s="1"/>
  <c r="E284" i="1"/>
  <c r="E282" i="13" s="1"/>
  <c r="D284" i="1"/>
  <c r="D282" i="13" s="1"/>
  <c r="M282" i="13" s="1"/>
  <c r="C284" i="1"/>
  <c r="C282" i="13" s="1"/>
  <c r="B284" i="1"/>
  <c r="B282" i="13" s="1"/>
  <c r="A284" i="1"/>
  <c r="A282" i="13" s="1"/>
  <c r="E283" i="1"/>
  <c r="E281" i="13" s="1"/>
  <c r="D283" i="1"/>
  <c r="D281" i="13" s="1"/>
  <c r="M281" i="13" s="1"/>
  <c r="C283" i="1"/>
  <c r="C281" i="13" s="1"/>
  <c r="B283" i="1"/>
  <c r="B281" i="13" s="1"/>
  <c r="A283" i="1"/>
  <c r="A281" i="13" s="1"/>
  <c r="E282" i="1"/>
  <c r="E280" i="13" s="1"/>
  <c r="D282" i="1"/>
  <c r="D280" i="13" s="1"/>
  <c r="M280" i="13" s="1"/>
  <c r="C282" i="1"/>
  <c r="C280" i="13" s="1"/>
  <c r="B282" i="1"/>
  <c r="B280" i="13" s="1"/>
  <c r="A282" i="1"/>
  <c r="A280" i="13" s="1"/>
  <c r="E281" i="1"/>
  <c r="E279" i="13" s="1"/>
  <c r="D281" i="1"/>
  <c r="D279" i="13" s="1"/>
  <c r="M279" i="13" s="1"/>
  <c r="C281" i="1"/>
  <c r="C279" i="13" s="1"/>
  <c r="B281" i="1"/>
  <c r="B279" i="13" s="1"/>
  <c r="A281" i="1"/>
  <c r="A279" i="13" s="1"/>
  <c r="E280" i="1"/>
  <c r="E278" i="13" s="1"/>
  <c r="D280" i="1"/>
  <c r="D278" i="13" s="1"/>
  <c r="M278" i="13" s="1"/>
  <c r="C280" i="1"/>
  <c r="C278" i="13" s="1"/>
  <c r="B280" i="1"/>
  <c r="B278" i="13" s="1"/>
  <c r="A280" i="1"/>
  <c r="A278" i="13" s="1"/>
  <c r="E279" i="1"/>
  <c r="E277" i="13" s="1"/>
  <c r="D279" i="1"/>
  <c r="D277" i="13" s="1"/>
  <c r="M277" i="13" s="1"/>
  <c r="C279" i="1"/>
  <c r="C277" i="13" s="1"/>
  <c r="B279" i="1"/>
  <c r="B277" i="13" s="1"/>
  <c r="A279" i="1"/>
  <c r="A277" i="13" s="1"/>
  <c r="E278" i="1"/>
  <c r="E276" i="13" s="1"/>
  <c r="D278" i="1"/>
  <c r="D276" i="13" s="1"/>
  <c r="M276" i="13" s="1"/>
  <c r="C278" i="1"/>
  <c r="C276" i="13" s="1"/>
  <c r="B278" i="1"/>
  <c r="B276" i="13" s="1"/>
  <c r="A278" i="1"/>
  <c r="A276" i="13" s="1"/>
  <c r="E277" i="1"/>
  <c r="E275" i="13" s="1"/>
  <c r="D277" i="1"/>
  <c r="D275" i="13" s="1"/>
  <c r="M275" i="13" s="1"/>
  <c r="C277" i="1"/>
  <c r="C275" i="13" s="1"/>
  <c r="B277" i="1"/>
  <c r="B275" i="13" s="1"/>
  <c r="A277" i="1"/>
  <c r="A275" i="13" s="1"/>
  <c r="E276" i="1"/>
  <c r="E274" i="13" s="1"/>
  <c r="D276" i="1"/>
  <c r="D274" i="13" s="1"/>
  <c r="M274" i="13" s="1"/>
  <c r="C276" i="1"/>
  <c r="C274" i="13" s="1"/>
  <c r="B276" i="1"/>
  <c r="B274" i="13" s="1"/>
  <c r="A276" i="1"/>
  <c r="A274" i="13" s="1"/>
  <c r="E275" i="1"/>
  <c r="E273" i="13" s="1"/>
  <c r="D275" i="1"/>
  <c r="D273" i="13" s="1"/>
  <c r="M273" i="13" s="1"/>
  <c r="C275" i="1"/>
  <c r="C273" i="13" s="1"/>
  <c r="B275" i="1"/>
  <c r="B273" i="13" s="1"/>
  <c r="A275" i="1"/>
  <c r="A273" i="13" s="1"/>
  <c r="E274" i="1"/>
  <c r="E272" i="13" s="1"/>
  <c r="D274" i="1"/>
  <c r="D272" i="13" s="1"/>
  <c r="M272" i="13" s="1"/>
  <c r="C274" i="1"/>
  <c r="C272" i="13" s="1"/>
  <c r="B274" i="1"/>
  <c r="B272" i="13" s="1"/>
  <c r="A274" i="1"/>
  <c r="A272" i="13" s="1"/>
  <c r="E273" i="1"/>
  <c r="E271" i="13" s="1"/>
  <c r="D273" i="1"/>
  <c r="D271" i="13" s="1"/>
  <c r="M271" i="13" s="1"/>
  <c r="C273" i="1"/>
  <c r="C271" i="13" s="1"/>
  <c r="B273" i="1"/>
  <c r="B271" i="13" s="1"/>
  <c r="A273" i="1"/>
  <c r="A271" i="13" s="1"/>
  <c r="E272" i="1"/>
  <c r="E270" i="13" s="1"/>
  <c r="D272" i="1"/>
  <c r="D270" i="13" s="1"/>
  <c r="M270" i="13" s="1"/>
  <c r="C272" i="1"/>
  <c r="C270" i="13" s="1"/>
  <c r="B272" i="1"/>
  <c r="B270" i="13" s="1"/>
  <c r="A272" i="1"/>
  <c r="A270" i="13" s="1"/>
  <c r="E271" i="1"/>
  <c r="E269" i="13" s="1"/>
  <c r="D271" i="1"/>
  <c r="D269" i="13" s="1"/>
  <c r="M269" i="13" s="1"/>
  <c r="C271" i="1"/>
  <c r="C269" i="13" s="1"/>
  <c r="B271" i="1"/>
  <c r="B269" i="13" s="1"/>
  <c r="A271" i="1"/>
  <c r="A269" i="13" s="1"/>
  <c r="E270" i="1"/>
  <c r="E268" i="13" s="1"/>
  <c r="D270" i="1"/>
  <c r="D268" i="13" s="1"/>
  <c r="M268" i="13" s="1"/>
  <c r="C270" i="1"/>
  <c r="C268" i="13" s="1"/>
  <c r="B270" i="1"/>
  <c r="B268" i="13" s="1"/>
  <c r="A270" i="1"/>
  <c r="A268" i="13" s="1"/>
  <c r="E269" i="1"/>
  <c r="E267" i="13" s="1"/>
  <c r="D269" i="1"/>
  <c r="D267" i="13" s="1"/>
  <c r="M267" i="13" s="1"/>
  <c r="C269" i="1"/>
  <c r="C267" i="13" s="1"/>
  <c r="B269" i="1"/>
  <c r="B267" i="13" s="1"/>
  <c r="A269" i="1"/>
  <c r="A267" i="13" s="1"/>
  <c r="E268" i="1"/>
  <c r="E266" i="13" s="1"/>
  <c r="D268" i="1"/>
  <c r="D266" i="13" s="1"/>
  <c r="M266" i="13" s="1"/>
  <c r="C268" i="1"/>
  <c r="C266" i="13" s="1"/>
  <c r="B268" i="1"/>
  <c r="B266" i="13" s="1"/>
  <c r="A268" i="1"/>
  <c r="A266" i="13" s="1"/>
  <c r="E267" i="1"/>
  <c r="E265" i="13" s="1"/>
  <c r="D267" i="1"/>
  <c r="D265" i="13" s="1"/>
  <c r="M265" i="13" s="1"/>
  <c r="C267" i="1"/>
  <c r="C265" i="13" s="1"/>
  <c r="B267" i="1"/>
  <c r="B265" i="13" s="1"/>
  <c r="A267" i="1"/>
  <c r="A265" i="13" s="1"/>
  <c r="E266" i="1"/>
  <c r="E264" i="13" s="1"/>
  <c r="D266" i="1"/>
  <c r="D264" i="13" s="1"/>
  <c r="M264" i="13" s="1"/>
  <c r="C266" i="1"/>
  <c r="C264" i="13" s="1"/>
  <c r="B266" i="1"/>
  <c r="B264" i="13" s="1"/>
  <c r="A266" i="1"/>
  <c r="A264" i="13" s="1"/>
  <c r="E265" i="1"/>
  <c r="E263" i="13" s="1"/>
  <c r="D265" i="1"/>
  <c r="D263" i="13" s="1"/>
  <c r="M263" i="13" s="1"/>
  <c r="C265" i="1"/>
  <c r="C263" i="13" s="1"/>
  <c r="B265" i="1"/>
  <c r="B263" i="13" s="1"/>
  <c r="A265" i="1"/>
  <c r="A263" i="13" s="1"/>
  <c r="E264" i="1"/>
  <c r="E262" i="13" s="1"/>
  <c r="D264" i="1"/>
  <c r="D262" i="13" s="1"/>
  <c r="M262" i="13" s="1"/>
  <c r="C264" i="1"/>
  <c r="C262" i="13" s="1"/>
  <c r="B264" i="1"/>
  <c r="B262" i="13" s="1"/>
  <c r="A264" i="1"/>
  <c r="A262" i="13" s="1"/>
  <c r="E263" i="1"/>
  <c r="E261" i="13" s="1"/>
  <c r="D263" i="1"/>
  <c r="D261" i="13" s="1"/>
  <c r="M261" i="13" s="1"/>
  <c r="C263" i="1"/>
  <c r="C261" i="13" s="1"/>
  <c r="B263" i="1"/>
  <c r="B261" i="13" s="1"/>
  <c r="A263" i="1"/>
  <c r="A261" i="13" s="1"/>
  <c r="E262" i="1"/>
  <c r="E260" i="13" s="1"/>
  <c r="D262" i="1"/>
  <c r="D260" i="13" s="1"/>
  <c r="M260" i="13" s="1"/>
  <c r="C262" i="1"/>
  <c r="C260" i="13" s="1"/>
  <c r="B262" i="1"/>
  <c r="B260" i="13" s="1"/>
  <c r="A262" i="1"/>
  <c r="A260" i="13" s="1"/>
  <c r="E261" i="1"/>
  <c r="E259" i="13" s="1"/>
  <c r="D261" i="1"/>
  <c r="D259" i="13" s="1"/>
  <c r="M259" i="13" s="1"/>
  <c r="C261" i="1"/>
  <c r="C259" i="13" s="1"/>
  <c r="B261" i="1"/>
  <c r="B259" i="13" s="1"/>
  <c r="A261" i="1"/>
  <c r="A259" i="13" s="1"/>
  <c r="E260" i="1"/>
  <c r="E258" i="13" s="1"/>
  <c r="D260" i="1"/>
  <c r="D258" i="13" s="1"/>
  <c r="M258" i="13" s="1"/>
  <c r="C260" i="1"/>
  <c r="C258" i="13" s="1"/>
  <c r="B260" i="1"/>
  <c r="B258" i="13" s="1"/>
  <c r="A260" i="1"/>
  <c r="A258" i="13" s="1"/>
  <c r="E259" i="1"/>
  <c r="E257" i="13" s="1"/>
  <c r="D259" i="1"/>
  <c r="D257" i="13" s="1"/>
  <c r="M257" i="13" s="1"/>
  <c r="C259" i="1"/>
  <c r="C257" i="13" s="1"/>
  <c r="B259" i="1"/>
  <c r="B257" i="13" s="1"/>
  <c r="A259" i="1"/>
  <c r="A257" i="13" s="1"/>
  <c r="E258" i="1"/>
  <c r="E256" i="13" s="1"/>
  <c r="D258" i="1"/>
  <c r="D256" i="13" s="1"/>
  <c r="M256" i="13" s="1"/>
  <c r="C258" i="1"/>
  <c r="C256" i="13" s="1"/>
  <c r="B258" i="1"/>
  <c r="B256" i="13" s="1"/>
  <c r="A258" i="1"/>
  <c r="A256" i="13" s="1"/>
  <c r="E257" i="1"/>
  <c r="E255" i="13" s="1"/>
  <c r="D257" i="1"/>
  <c r="D255" i="13" s="1"/>
  <c r="M255" i="13" s="1"/>
  <c r="C257" i="1"/>
  <c r="C255" i="13" s="1"/>
  <c r="B257" i="1"/>
  <c r="B255" i="13" s="1"/>
  <c r="A257" i="1"/>
  <c r="A255" i="13" s="1"/>
  <c r="E256" i="1"/>
  <c r="E254" i="13" s="1"/>
  <c r="D256" i="1"/>
  <c r="D254" i="13" s="1"/>
  <c r="M254" i="13" s="1"/>
  <c r="C256" i="1"/>
  <c r="C254" i="13" s="1"/>
  <c r="B256" i="1"/>
  <c r="B254" i="13" s="1"/>
  <c r="A256" i="1"/>
  <c r="A254" i="13" s="1"/>
  <c r="E255" i="1"/>
  <c r="E253" i="13" s="1"/>
  <c r="D255" i="1"/>
  <c r="D253" i="13" s="1"/>
  <c r="M253" i="13" s="1"/>
  <c r="C255" i="1"/>
  <c r="C253" i="13" s="1"/>
  <c r="B255" i="1"/>
  <c r="B253" i="13" s="1"/>
  <c r="A255" i="1"/>
  <c r="A253" i="13" s="1"/>
  <c r="E254" i="1"/>
  <c r="E252" i="13" s="1"/>
  <c r="D254" i="1"/>
  <c r="D252" i="13" s="1"/>
  <c r="M252" i="13" s="1"/>
  <c r="C254" i="1"/>
  <c r="C252" i="13" s="1"/>
  <c r="B254" i="1"/>
  <c r="B252" i="13" s="1"/>
  <c r="A254" i="1"/>
  <c r="A252" i="13" s="1"/>
  <c r="E253" i="1"/>
  <c r="E251" i="13" s="1"/>
  <c r="D253" i="1"/>
  <c r="D251" i="13" s="1"/>
  <c r="M251" i="13" s="1"/>
  <c r="C253" i="1"/>
  <c r="C251" i="13" s="1"/>
  <c r="B253" i="1"/>
  <c r="B251" i="13" s="1"/>
  <c r="A253" i="1"/>
  <c r="A251" i="13" s="1"/>
  <c r="E252" i="1"/>
  <c r="E250" i="13" s="1"/>
  <c r="D252" i="1"/>
  <c r="D250" i="13" s="1"/>
  <c r="M250" i="13" s="1"/>
  <c r="C252" i="1"/>
  <c r="C250" i="13" s="1"/>
  <c r="B252" i="1"/>
  <c r="B250" i="13" s="1"/>
  <c r="A252" i="1"/>
  <c r="A250" i="13" s="1"/>
  <c r="E251" i="1"/>
  <c r="E249" i="13" s="1"/>
  <c r="D251" i="1"/>
  <c r="D249" i="13" s="1"/>
  <c r="M249" i="13" s="1"/>
  <c r="C251" i="1"/>
  <c r="C249" i="13" s="1"/>
  <c r="B251" i="1"/>
  <c r="B249" i="13" s="1"/>
  <c r="A251" i="1"/>
  <c r="A249" i="13" s="1"/>
  <c r="E250" i="1"/>
  <c r="E248" i="13" s="1"/>
  <c r="D250" i="1"/>
  <c r="D248" i="13" s="1"/>
  <c r="M248" i="13" s="1"/>
  <c r="C250" i="1"/>
  <c r="C248" i="13" s="1"/>
  <c r="B250" i="1"/>
  <c r="B248" i="13" s="1"/>
  <c r="A250" i="1"/>
  <c r="A248" i="13" s="1"/>
  <c r="E249" i="1"/>
  <c r="E247" i="13" s="1"/>
  <c r="D249" i="1"/>
  <c r="D247" i="13" s="1"/>
  <c r="M247" i="13" s="1"/>
  <c r="C249" i="1"/>
  <c r="C247" i="13" s="1"/>
  <c r="B249" i="1"/>
  <c r="B247" i="13" s="1"/>
  <c r="A249" i="1"/>
  <c r="A247" i="13" s="1"/>
  <c r="E248" i="1"/>
  <c r="E246" i="13" s="1"/>
  <c r="D248" i="1"/>
  <c r="D246" i="13" s="1"/>
  <c r="M246" i="13" s="1"/>
  <c r="C248" i="1"/>
  <c r="C246" i="13" s="1"/>
  <c r="B248" i="1"/>
  <c r="B246" i="13" s="1"/>
  <c r="A248" i="1"/>
  <c r="A246" i="13" s="1"/>
  <c r="E247" i="1"/>
  <c r="E245" i="13" s="1"/>
  <c r="D247" i="1"/>
  <c r="D245" i="13" s="1"/>
  <c r="M245" i="13" s="1"/>
  <c r="C247" i="1"/>
  <c r="C245" i="13" s="1"/>
  <c r="B247" i="1"/>
  <c r="B245" i="13" s="1"/>
  <c r="A247" i="1"/>
  <c r="A245" i="13" s="1"/>
  <c r="E246" i="1"/>
  <c r="E244" i="13" s="1"/>
  <c r="D246" i="1"/>
  <c r="D244" i="13" s="1"/>
  <c r="M244" i="13" s="1"/>
  <c r="C246" i="1"/>
  <c r="C244" i="13" s="1"/>
  <c r="B246" i="1"/>
  <c r="B244" i="13" s="1"/>
  <c r="A246" i="1"/>
  <c r="A244" i="13" s="1"/>
  <c r="E245" i="1"/>
  <c r="E243" i="13" s="1"/>
  <c r="D245" i="1"/>
  <c r="D243" i="13" s="1"/>
  <c r="M243" i="13" s="1"/>
  <c r="C245" i="1"/>
  <c r="C243" i="13" s="1"/>
  <c r="B245" i="1"/>
  <c r="B243" i="13" s="1"/>
  <c r="A245" i="1"/>
  <c r="A243" i="13" s="1"/>
  <c r="E244" i="1"/>
  <c r="E242" i="13" s="1"/>
  <c r="D244" i="1"/>
  <c r="D242" i="13" s="1"/>
  <c r="M242" i="13" s="1"/>
  <c r="C244" i="1"/>
  <c r="C242" i="13" s="1"/>
  <c r="B244" i="1"/>
  <c r="B242" i="13" s="1"/>
  <c r="A244" i="1"/>
  <c r="A242" i="13" s="1"/>
  <c r="E243" i="1"/>
  <c r="E241" i="13" s="1"/>
  <c r="D243" i="1"/>
  <c r="D241" i="13" s="1"/>
  <c r="M241" i="13" s="1"/>
  <c r="C243" i="1"/>
  <c r="C241" i="13" s="1"/>
  <c r="B243" i="1"/>
  <c r="B241" i="13" s="1"/>
  <c r="A243" i="1"/>
  <c r="A241" i="13" s="1"/>
  <c r="E242" i="1"/>
  <c r="E240" i="13" s="1"/>
  <c r="D242" i="1"/>
  <c r="D240" i="13" s="1"/>
  <c r="M240" i="13" s="1"/>
  <c r="C242" i="1"/>
  <c r="C240" i="13" s="1"/>
  <c r="B242" i="1"/>
  <c r="B240" i="13" s="1"/>
  <c r="A242" i="1"/>
  <c r="A240" i="13" s="1"/>
  <c r="E241" i="1"/>
  <c r="E239" i="13" s="1"/>
  <c r="D241" i="1"/>
  <c r="D239" i="13" s="1"/>
  <c r="M239" i="13" s="1"/>
  <c r="C241" i="1"/>
  <c r="C239" i="13" s="1"/>
  <c r="B241" i="1"/>
  <c r="B239" i="13" s="1"/>
  <c r="A241" i="1"/>
  <c r="A239" i="13" s="1"/>
  <c r="E240" i="1"/>
  <c r="E238" i="13" s="1"/>
  <c r="D240" i="1"/>
  <c r="D238" i="13" s="1"/>
  <c r="M238" i="13" s="1"/>
  <c r="C240" i="1"/>
  <c r="C238" i="13" s="1"/>
  <c r="B240" i="1"/>
  <c r="B238" i="13" s="1"/>
  <c r="A240" i="1"/>
  <c r="A238" i="13" s="1"/>
  <c r="E239" i="1"/>
  <c r="E237" i="13" s="1"/>
  <c r="D239" i="1"/>
  <c r="D237" i="13" s="1"/>
  <c r="M237" i="13" s="1"/>
  <c r="C239" i="1"/>
  <c r="C237" i="13" s="1"/>
  <c r="B239" i="1"/>
  <c r="B237" i="13" s="1"/>
  <c r="A239" i="1"/>
  <c r="A237" i="13" s="1"/>
  <c r="E238" i="1"/>
  <c r="E236" i="13" s="1"/>
  <c r="D238" i="1"/>
  <c r="D236" i="13" s="1"/>
  <c r="M236" i="13" s="1"/>
  <c r="C238" i="1"/>
  <c r="C236" i="13" s="1"/>
  <c r="B238" i="1"/>
  <c r="B236" i="13" s="1"/>
  <c r="A238" i="1"/>
  <c r="A236" i="13" s="1"/>
  <c r="E237" i="1"/>
  <c r="E235" i="13" s="1"/>
  <c r="D237" i="1"/>
  <c r="D235" i="13" s="1"/>
  <c r="M235" i="13" s="1"/>
  <c r="C237" i="1"/>
  <c r="C235" i="13" s="1"/>
  <c r="B237" i="1"/>
  <c r="B235" i="13" s="1"/>
  <c r="A237" i="1"/>
  <c r="A235" i="13" s="1"/>
  <c r="E236" i="1"/>
  <c r="E234" i="13" s="1"/>
  <c r="D236" i="1"/>
  <c r="D234" i="13" s="1"/>
  <c r="M234" i="13" s="1"/>
  <c r="C236" i="1"/>
  <c r="C234" i="13" s="1"/>
  <c r="B236" i="1"/>
  <c r="B234" i="13" s="1"/>
  <c r="A236" i="1"/>
  <c r="A234" i="13" s="1"/>
  <c r="E235" i="1"/>
  <c r="E233" i="13" s="1"/>
  <c r="D235" i="1"/>
  <c r="D233" i="13" s="1"/>
  <c r="M233" i="13" s="1"/>
  <c r="C235" i="1"/>
  <c r="C233" i="13" s="1"/>
  <c r="B235" i="1"/>
  <c r="B233" i="13" s="1"/>
  <c r="A235" i="1"/>
  <c r="A233" i="13" s="1"/>
  <c r="E234" i="1"/>
  <c r="E232" i="13" s="1"/>
  <c r="D234" i="1"/>
  <c r="D232" i="13" s="1"/>
  <c r="M232" i="13" s="1"/>
  <c r="C234" i="1"/>
  <c r="C232" i="13" s="1"/>
  <c r="B234" i="1"/>
  <c r="B232" i="13" s="1"/>
  <c r="A234" i="1"/>
  <c r="A232" i="13" s="1"/>
  <c r="E233" i="1"/>
  <c r="E231" i="13" s="1"/>
  <c r="D233" i="1"/>
  <c r="C233" i="1"/>
  <c r="C231" i="13" s="1"/>
  <c r="B233" i="1"/>
  <c r="B231" i="13" s="1"/>
  <c r="A233" i="1"/>
  <c r="A231" i="13" s="1"/>
  <c r="E232" i="1"/>
  <c r="E230" i="13" s="1"/>
  <c r="D232" i="1"/>
  <c r="D230" i="13" s="1"/>
  <c r="M230" i="13" s="1"/>
  <c r="C232" i="1"/>
  <c r="C230" i="13" s="1"/>
  <c r="B232" i="1"/>
  <c r="B230" i="13" s="1"/>
  <c r="A232" i="1"/>
  <c r="A230" i="13" s="1"/>
  <c r="E231" i="1"/>
  <c r="E229" i="13" s="1"/>
  <c r="D231" i="1"/>
  <c r="D229" i="13" s="1"/>
  <c r="M229" i="13" s="1"/>
  <c r="C231" i="1"/>
  <c r="C229" i="13" s="1"/>
  <c r="B231" i="1"/>
  <c r="B229" i="13" s="1"/>
  <c r="A231" i="1"/>
  <c r="A229" i="13" s="1"/>
  <c r="E230" i="1"/>
  <c r="E228" i="13" s="1"/>
  <c r="D230" i="1"/>
  <c r="D228" i="13" s="1"/>
  <c r="M228" i="13" s="1"/>
  <c r="C230" i="1"/>
  <c r="C228" i="13" s="1"/>
  <c r="B230" i="1"/>
  <c r="B228" i="13" s="1"/>
  <c r="A230" i="1"/>
  <c r="A228" i="13" s="1"/>
  <c r="E229" i="1"/>
  <c r="E227" i="13" s="1"/>
  <c r="D229" i="1"/>
  <c r="D227" i="13" s="1"/>
  <c r="M227" i="13" s="1"/>
  <c r="C229" i="1"/>
  <c r="C227" i="13" s="1"/>
  <c r="B229" i="1"/>
  <c r="B227" i="13" s="1"/>
  <c r="A229" i="1"/>
  <c r="A227" i="13" s="1"/>
  <c r="E228" i="1"/>
  <c r="E226" i="13" s="1"/>
  <c r="D228" i="1"/>
  <c r="D226" i="13" s="1"/>
  <c r="M226" i="13" s="1"/>
  <c r="C228" i="1"/>
  <c r="C226" i="13" s="1"/>
  <c r="B228" i="1"/>
  <c r="B226" i="13" s="1"/>
  <c r="A228" i="1"/>
  <c r="A226" i="13" s="1"/>
  <c r="E227" i="1"/>
  <c r="E225" i="13" s="1"/>
  <c r="D227" i="1"/>
  <c r="D225" i="13" s="1"/>
  <c r="M225" i="13" s="1"/>
  <c r="C227" i="1"/>
  <c r="C225" i="13" s="1"/>
  <c r="B227" i="1"/>
  <c r="B225" i="13" s="1"/>
  <c r="A227" i="1"/>
  <c r="A225" i="13" s="1"/>
  <c r="E226" i="1"/>
  <c r="E224" i="13" s="1"/>
  <c r="D226" i="1"/>
  <c r="D224" i="13" s="1"/>
  <c r="M224" i="13" s="1"/>
  <c r="C226" i="1"/>
  <c r="C224" i="13" s="1"/>
  <c r="B226" i="1"/>
  <c r="B224" i="13" s="1"/>
  <c r="A226" i="1"/>
  <c r="A224" i="13" s="1"/>
  <c r="E225" i="1"/>
  <c r="E223" i="13" s="1"/>
  <c r="D225" i="1"/>
  <c r="D223" i="13" s="1"/>
  <c r="M223" i="13" s="1"/>
  <c r="C225" i="1"/>
  <c r="C223" i="13" s="1"/>
  <c r="B225" i="1"/>
  <c r="B223" i="13" s="1"/>
  <c r="A225" i="1"/>
  <c r="A223" i="13" s="1"/>
  <c r="E224" i="1"/>
  <c r="E222" i="13" s="1"/>
  <c r="D224" i="1"/>
  <c r="D222" i="13" s="1"/>
  <c r="M222" i="13" s="1"/>
  <c r="C224" i="1"/>
  <c r="C222" i="13" s="1"/>
  <c r="B224" i="1"/>
  <c r="B222" i="13" s="1"/>
  <c r="A224" i="1"/>
  <c r="A222" i="13" s="1"/>
  <c r="E223" i="1"/>
  <c r="E221" i="13" s="1"/>
  <c r="D223" i="1"/>
  <c r="D221" i="13" s="1"/>
  <c r="M221" i="13" s="1"/>
  <c r="C223" i="1"/>
  <c r="C221" i="13" s="1"/>
  <c r="B223" i="1"/>
  <c r="B221" i="13" s="1"/>
  <c r="A223" i="1"/>
  <c r="A221" i="13" s="1"/>
  <c r="E222" i="1"/>
  <c r="E220" i="13" s="1"/>
  <c r="D222" i="1"/>
  <c r="D220" i="13" s="1"/>
  <c r="M220" i="13" s="1"/>
  <c r="C222" i="1"/>
  <c r="C220" i="13" s="1"/>
  <c r="B222" i="1"/>
  <c r="B220" i="13" s="1"/>
  <c r="A222" i="1"/>
  <c r="A220" i="13" s="1"/>
  <c r="E221" i="1"/>
  <c r="E219" i="13" s="1"/>
  <c r="D221" i="1"/>
  <c r="D219" i="13" s="1"/>
  <c r="M219" i="13" s="1"/>
  <c r="C221" i="1"/>
  <c r="C219" i="13" s="1"/>
  <c r="B221" i="1"/>
  <c r="B219" i="13" s="1"/>
  <c r="A221" i="1"/>
  <c r="A219" i="13" s="1"/>
  <c r="E220" i="1"/>
  <c r="E218" i="13" s="1"/>
  <c r="D220" i="1"/>
  <c r="D218" i="13" s="1"/>
  <c r="M218" i="13" s="1"/>
  <c r="C220" i="1"/>
  <c r="C218" i="13" s="1"/>
  <c r="B220" i="1"/>
  <c r="B218" i="13" s="1"/>
  <c r="A220" i="1"/>
  <c r="A218" i="13" s="1"/>
  <c r="E219" i="1"/>
  <c r="E217" i="13" s="1"/>
  <c r="D219" i="1"/>
  <c r="D217" i="13" s="1"/>
  <c r="M217" i="13" s="1"/>
  <c r="C219" i="1"/>
  <c r="C217" i="13" s="1"/>
  <c r="B219" i="1"/>
  <c r="B217" i="13" s="1"/>
  <c r="A219" i="1"/>
  <c r="A217" i="13" s="1"/>
  <c r="E218" i="1"/>
  <c r="E216" i="13" s="1"/>
  <c r="D218" i="1"/>
  <c r="D216" i="13" s="1"/>
  <c r="M216" i="13" s="1"/>
  <c r="C218" i="1"/>
  <c r="C216" i="13" s="1"/>
  <c r="B218" i="1"/>
  <c r="B216" i="13" s="1"/>
  <c r="A218" i="1"/>
  <c r="A216" i="13" s="1"/>
  <c r="E217" i="1"/>
  <c r="E215" i="13" s="1"/>
  <c r="D217" i="1"/>
  <c r="D215" i="13" s="1"/>
  <c r="M215" i="13" s="1"/>
  <c r="C217" i="1"/>
  <c r="C215" i="13" s="1"/>
  <c r="B217" i="1"/>
  <c r="B215" i="13" s="1"/>
  <c r="A217" i="1"/>
  <c r="A215" i="13" s="1"/>
  <c r="E216" i="1"/>
  <c r="E214" i="13" s="1"/>
  <c r="D216" i="1"/>
  <c r="D214" i="13" s="1"/>
  <c r="M214" i="13" s="1"/>
  <c r="C216" i="1"/>
  <c r="C214" i="13" s="1"/>
  <c r="B216" i="1"/>
  <c r="B214" i="13" s="1"/>
  <c r="A216" i="1"/>
  <c r="A214" i="13" s="1"/>
  <c r="E215" i="1"/>
  <c r="E213" i="13" s="1"/>
  <c r="D215" i="1"/>
  <c r="D213" i="13" s="1"/>
  <c r="M213" i="13" s="1"/>
  <c r="C215" i="1"/>
  <c r="C213" i="13" s="1"/>
  <c r="B215" i="1"/>
  <c r="B213" i="13" s="1"/>
  <c r="A215" i="1"/>
  <c r="A213" i="13" s="1"/>
  <c r="E214" i="1"/>
  <c r="E212" i="13" s="1"/>
  <c r="D214" i="1"/>
  <c r="D212" i="13" s="1"/>
  <c r="M212" i="13" s="1"/>
  <c r="C214" i="1"/>
  <c r="C212" i="13" s="1"/>
  <c r="B214" i="1"/>
  <c r="B212" i="13" s="1"/>
  <c r="A214" i="1"/>
  <c r="A212" i="13" s="1"/>
  <c r="E213" i="1"/>
  <c r="E211" i="13" s="1"/>
  <c r="D213" i="1"/>
  <c r="D211" i="13" s="1"/>
  <c r="M211" i="13" s="1"/>
  <c r="C213" i="1"/>
  <c r="C211" i="13" s="1"/>
  <c r="B213" i="1"/>
  <c r="B211" i="13" s="1"/>
  <c r="A213" i="1"/>
  <c r="A211" i="13" s="1"/>
  <c r="E212" i="1"/>
  <c r="E210" i="13" s="1"/>
  <c r="D212" i="1"/>
  <c r="D210" i="13" s="1"/>
  <c r="M210" i="13" s="1"/>
  <c r="C212" i="1"/>
  <c r="C210" i="13" s="1"/>
  <c r="B212" i="1"/>
  <c r="B210" i="13" s="1"/>
  <c r="A212" i="1"/>
  <c r="A210" i="13" s="1"/>
  <c r="E211" i="1"/>
  <c r="E209" i="13" s="1"/>
  <c r="D211" i="1"/>
  <c r="D209" i="13" s="1"/>
  <c r="M209" i="13" s="1"/>
  <c r="C211" i="1"/>
  <c r="C209" i="13" s="1"/>
  <c r="B211" i="1"/>
  <c r="B209" i="13" s="1"/>
  <c r="A211" i="1"/>
  <c r="A209" i="13" s="1"/>
  <c r="E210" i="1"/>
  <c r="E208" i="13" s="1"/>
  <c r="D210" i="1"/>
  <c r="D208" i="13" s="1"/>
  <c r="M208" i="13" s="1"/>
  <c r="C210" i="1"/>
  <c r="C208" i="13" s="1"/>
  <c r="B210" i="1"/>
  <c r="B208" i="13" s="1"/>
  <c r="A210" i="1"/>
  <c r="A208" i="13" s="1"/>
  <c r="E209" i="1"/>
  <c r="E207" i="13" s="1"/>
  <c r="D209" i="1"/>
  <c r="D207" i="13" s="1"/>
  <c r="M207" i="13" s="1"/>
  <c r="C209" i="1"/>
  <c r="C207" i="13" s="1"/>
  <c r="B209" i="1"/>
  <c r="B207" i="13" s="1"/>
  <c r="A209" i="1"/>
  <c r="A207" i="13" s="1"/>
  <c r="E208" i="1"/>
  <c r="E206" i="13" s="1"/>
  <c r="D208" i="1"/>
  <c r="D206" i="13" s="1"/>
  <c r="M206" i="13" s="1"/>
  <c r="C208" i="1"/>
  <c r="C206" i="13" s="1"/>
  <c r="B208" i="1"/>
  <c r="B206" i="13" s="1"/>
  <c r="A208" i="1"/>
  <c r="A206" i="13" s="1"/>
  <c r="E207" i="1"/>
  <c r="E205" i="13" s="1"/>
  <c r="D207" i="1"/>
  <c r="D205" i="13" s="1"/>
  <c r="M205" i="13" s="1"/>
  <c r="C207" i="1"/>
  <c r="C205" i="13" s="1"/>
  <c r="B207" i="1"/>
  <c r="B205" i="13" s="1"/>
  <c r="A207" i="1"/>
  <c r="A205" i="13" s="1"/>
  <c r="E206" i="1"/>
  <c r="E204" i="13" s="1"/>
  <c r="D206" i="1"/>
  <c r="D204" i="13" s="1"/>
  <c r="M204" i="13" s="1"/>
  <c r="C206" i="1"/>
  <c r="C204" i="13" s="1"/>
  <c r="B206" i="1"/>
  <c r="B204" i="13" s="1"/>
  <c r="A206" i="1"/>
  <c r="A204" i="13" s="1"/>
  <c r="E205" i="1"/>
  <c r="E203" i="13" s="1"/>
  <c r="D205" i="1"/>
  <c r="D203" i="13" s="1"/>
  <c r="M203" i="13" s="1"/>
  <c r="C205" i="1"/>
  <c r="C203" i="13" s="1"/>
  <c r="B205" i="1"/>
  <c r="B203" i="13" s="1"/>
  <c r="A205" i="1"/>
  <c r="A203" i="13" s="1"/>
  <c r="E204" i="1"/>
  <c r="E202" i="13" s="1"/>
  <c r="D204" i="1"/>
  <c r="D202" i="13" s="1"/>
  <c r="M202" i="13" s="1"/>
  <c r="C204" i="1"/>
  <c r="C202" i="13" s="1"/>
  <c r="B204" i="1"/>
  <c r="B202" i="13" s="1"/>
  <c r="A204" i="1"/>
  <c r="A202" i="13" s="1"/>
  <c r="E203" i="1"/>
  <c r="E201" i="13" s="1"/>
  <c r="D203" i="1"/>
  <c r="D201" i="13" s="1"/>
  <c r="M201" i="13" s="1"/>
  <c r="C203" i="1"/>
  <c r="C201" i="13" s="1"/>
  <c r="B203" i="1"/>
  <c r="B201" i="13" s="1"/>
  <c r="A203" i="1"/>
  <c r="A201" i="13" s="1"/>
  <c r="E202" i="1"/>
  <c r="E200" i="13" s="1"/>
  <c r="D202" i="1"/>
  <c r="D200" i="13" s="1"/>
  <c r="M200" i="13" s="1"/>
  <c r="C202" i="1"/>
  <c r="C200" i="13" s="1"/>
  <c r="B202" i="1"/>
  <c r="B200" i="13" s="1"/>
  <c r="A202" i="1"/>
  <c r="A200" i="13" s="1"/>
  <c r="E201" i="1"/>
  <c r="E199" i="13" s="1"/>
  <c r="D201" i="1"/>
  <c r="D199" i="13" s="1"/>
  <c r="M199" i="13" s="1"/>
  <c r="C201" i="1"/>
  <c r="C199" i="13" s="1"/>
  <c r="B201" i="1"/>
  <c r="B199" i="13" s="1"/>
  <c r="A201" i="1"/>
  <c r="A199" i="13" s="1"/>
  <c r="E200" i="1"/>
  <c r="E198" i="13" s="1"/>
  <c r="D200" i="1"/>
  <c r="D198" i="13" s="1"/>
  <c r="M198" i="13" s="1"/>
  <c r="C200" i="1"/>
  <c r="C198" i="13" s="1"/>
  <c r="B200" i="1"/>
  <c r="B198" i="13" s="1"/>
  <c r="A200" i="1"/>
  <c r="A198" i="13" s="1"/>
  <c r="E199" i="1"/>
  <c r="E197" i="13" s="1"/>
  <c r="D199" i="1"/>
  <c r="D197" i="13" s="1"/>
  <c r="M197" i="13" s="1"/>
  <c r="C199" i="1"/>
  <c r="C197" i="13" s="1"/>
  <c r="B199" i="1"/>
  <c r="B197" i="13" s="1"/>
  <c r="A199" i="1"/>
  <c r="A197" i="13" s="1"/>
  <c r="E198" i="1"/>
  <c r="E196" i="13" s="1"/>
  <c r="D198" i="1"/>
  <c r="D196" i="13" s="1"/>
  <c r="M196" i="13" s="1"/>
  <c r="C198" i="1"/>
  <c r="C196" i="13" s="1"/>
  <c r="B198" i="1"/>
  <c r="B196" i="13" s="1"/>
  <c r="A198" i="1"/>
  <c r="A196" i="13" s="1"/>
  <c r="E197" i="1"/>
  <c r="E195" i="13" s="1"/>
  <c r="D197" i="1"/>
  <c r="D195" i="13" s="1"/>
  <c r="M195" i="13" s="1"/>
  <c r="C197" i="1"/>
  <c r="C195" i="13" s="1"/>
  <c r="B197" i="1"/>
  <c r="B195" i="13" s="1"/>
  <c r="A197" i="1"/>
  <c r="A195" i="13" s="1"/>
  <c r="E196" i="1"/>
  <c r="E194" i="13" s="1"/>
  <c r="D196" i="1"/>
  <c r="D194" i="13" s="1"/>
  <c r="M194" i="13" s="1"/>
  <c r="C196" i="1"/>
  <c r="C194" i="13" s="1"/>
  <c r="B196" i="1"/>
  <c r="B194" i="13" s="1"/>
  <c r="A196" i="1"/>
  <c r="A194" i="13" s="1"/>
  <c r="E195" i="1"/>
  <c r="E193" i="13" s="1"/>
  <c r="D195" i="1"/>
  <c r="D193" i="13" s="1"/>
  <c r="M193" i="13" s="1"/>
  <c r="C195" i="1"/>
  <c r="C193" i="13" s="1"/>
  <c r="B195" i="1"/>
  <c r="B193" i="13" s="1"/>
  <c r="A195" i="1"/>
  <c r="A193" i="13" s="1"/>
  <c r="E194" i="1"/>
  <c r="E192" i="13" s="1"/>
  <c r="D194" i="1"/>
  <c r="D192" i="13" s="1"/>
  <c r="M192" i="13" s="1"/>
  <c r="C194" i="1"/>
  <c r="C192" i="13" s="1"/>
  <c r="B194" i="1"/>
  <c r="B192" i="13" s="1"/>
  <c r="A194" i="1"/>
  <c r="A192" i="13" s="1"/>
  <c r="E193" i="1"/>
  <c r="E191" i="13" s="1"/>
  <c r="D193" i="1"/>
  <c r="D191" i="13" s="1"/>
  <c r="M191" i="13" s="1"/>
  <c r="C193" i="1"/>
  <c r="C191" i="13" s="1"/>
  <c r="B193" i="1"/>
  <c r="B191" i="13" s="1"/>
  <c r="A193" i="1"/>
  <c r="A191" i="13" s="1"/>
  <c r="E192" i="1"/>
  <c r="E190" i="13" s="1"/>
  <c r="D192" i="1"/>
  <c r="D190" i="13" s="1"/>
  <c r="M190" i="13" s="1"/>
  <c r="C192" i="1"/>
  <c r="C190" i="13" s="1"/>
  <c r="B192" i="1"/>
  <c r="B190" i="13" s="1"/>
  <c r="A192" i="1"/>
  <c r="A190" i="13" s="1"/>
  <c r="E191" i="1"/>
  <c r="E189" i="13" s="1"/>
  <c r="D191" i="1"/>
  <c r="C191" i="1"/>
  <c r="C189" i="13" s="1"/>
  <c r="B191" i="1"/>
  <c r="B189" i="13" s="1"/>
  <c r="A191" i="1"/>
  <c r="A189" i="13" s="1"/>
  <c r="E190" i="1"/>
  <c r="E188" i="13" s="1"/>
  <c r="D190" i="1"/>
  <c r="D188" i="13" s="1"/>
  <c r="M188" i="13" s="1"/>
  <c r="C190" i="1"/>
  <c r="C188" i="13" s="1"/>
  <c r="B190" i="1"/>
  <c r="B188" i="13" s="1"/>
  <c r="A190" i="1"/>
  <c r="A188" i="13" s="1"/>
  <c r="E189" i="1"/>
  <c r="E187" i="13" s="1"/>
  <c r="D189" i="1"/>
  <c r="D187" i="13" s="1"/>
  <c r="M187" i="13" s="1"/>
  <c r="C189" i="1"/>
  <c r="C187" i="13" s="1"/>
  <c r="B189" i="1"/>
  <c r="B187" i="13" s="1"/>
  <c r="A189" i="1"/>
  <c r="A187" i="13" s="1"/>
  <c r="E188" i="1"/>
  <c r="E186" i="13" s="1"/>
  <c r="D188" i="1"/>
  <c r="D186" i="13" s="1"/>
  <c r="M186" i="13" s="1"/>
  <c r="C188" i="1"/>
  <c r="C186" i="13" s="1"/>
  <c r="B188" i="1"/>
  <c r="B186" i="13" s="1"/>
  <c r="A188" i="1"/>
  <c r="A186" i="13" s="1"/>
  <c r="E187" i="1"/>
  <c r="E185" i="13" s="1"/>
  <c r="D187" i="1"/>
  <c r="D185" i="13" s="1"/>
  <c r="M185" i="13" s="1"/>
  <c r="C187" i="1"/>
  <c r="C185" i="13" s="1"/>
  <c r="B187" i="1"/>
  <c r="B185" i="13" s="1"/>
  <c r="A187" i="1"/>
  <c r="A185" i="13" s="1"/>
  <c r="E186" i="1"/>
  <c r="E184" i="13" s="1"/>
  <c r="D186" i="1"/>
  <c r="D184" i="13" s="1"/>
  <c r="M184" i="13" s="1"/>
  <c r="C186" i="1"/>
  <c r="C184" i="13" s="1"/>
  <c r="B186" i="1"/>
  <c r="B184" i="13" s="1"/>
  <c r="A186" i="1"/>
  <c r="A184" i="13" s="1"/>
  <c r="E185" i="1"/>
  <c r="E183" i="13" s="1"/>
  <c r="D185" i="1"/>
  <c r="D183" i="13" s="1"/>
  <c r="M183" i="13" s="1"/>
  <c r="C185" i="1"/>
  <c r="C183" i="13" s="1"/>
  <c r="B185" i="1"/>
  <c r="B183" i="13" s="1"/>
  <c r="A185" i="1"/>
  <c r="A183" i="13" s="1"/>
  <c r="E184" i="1"/>
  <c r="E182" i="13" s="1"/>
  <c r="D184" i="1"/>
  <c r="D182" i="13" s="1"/>
  <c r="M182" i="13" s="1"/>
  <c r="C184" i="1"/>
  <c r="C182" i="13" s="1"/>
  <c r="B184" i="1"/>
  <c r="B182" i="13" s="1"/>
  <c r="A184" i="1"/>
  <c r="A182" i="13" s="1"/>
  <c r="E183" i="1"/>
  <c r="E181" i="13" s="1"/>
  <c r="D183" i="1"/>
  <c r="D181" i="13" s="1"/>
  <c r="M181" i="13" s="1"/>
  <c r="C183" i="1"/>
  <c r="C181" i="13" s="1"/>
  <c r="B183" i="1"/>
  <c r="B181" i="13" s="1"/>
  <c r="A183" i="1"/>
  <c r="A181" i="13" s="1"/>
  <c r="E182" i="1"/>
  <c r="E180" i="13" s="1"/>
  <c r="D182" i="1"/>
  <c r="D180" i="13" s="1"/>
  <c r="M180" i="13" s="1"/>
  <c r="C182" i="1"/>
  <c r="C180" i="13" s="1"/>
  <c r="B182" i="1"/>
  <c r="B180" i="13" s="1"/>
  <c r="A182" i="1"/>
  <c r="A180" i="13" s="1"/>
  <c r="E181" i="1"/>
  <c r="E179" i="13" s="1"/>
  <c r="D181" i="1"/>
  <c r="D179" i="13" s="1"/>
  <c r="M179" i="13" s="1"/>
  <c r="C181" i="1"/>
  <c r="C179" i="13" s="1"/>
  <c r="B181" i="1"/>
  <c r="B179" i="13" s="1"/>
  <c r="A181" i="1"/>
  <c r="A179" i="13" s="1"/>
  <c r="E180" i="1"/>
  <c r="E178" i="13" s="1"/>
  <c r="D180" i="1"/>
  <c r="D178" i="13" s="1"/>
  <c r="M178" i="13" s="1"/>
  <c r="C180" i="1"/>
  <c r="C178" i="13" s="1"/>
  <c r="B180" i="1"/>
  <c r="B178" i="13" s="1"/>
  <c r="A180" i="1"/>
  <c r="A178" i="13" s="1"/>
  <c r="E179" i="1"/>
  <c r="E177" i="13" s="1"/>
  <c r="D179" i="1"/>
  <c r="D177" i="13" s="1"/>
  <c r="M177" i="13" s="1"/>
  <c r="C179" i="1"/>
  <c r="C177" i="13" s="1"/>
  <c r="B179" i="1"/>
  <c r="B177" i="13" s="1"/>
  <c r="A179" i="1"/>
  <c r="A177" i="13" s="1"/>
  <c r="E178" i="1"/>
  <c r="E176" i="13" s="1"/>
  <c r="D178" i="1"/>
  <c r="D176" i="13" s="1"/>
  <c r="M176" i="13" s="1"/>
  <c r="C178" i="1"/>
  <c r="C176" i="13" s="1"/>
  <c r="B178" i="1"/>
  <c r="B176" i="13" s="1"/>
  <c r="A178" i="1"/>
  <c r="A176" i="13" s="1"/>
  <c r="E177" i="1"/>
  <c r="E175" i="13" s="1"/>
  <c r="D177" i="1"/>
  <c r="D175" i="13" s="1"/>
  <c r="M175" i="13" s="1"/>
  <c r="C177" i="1"/>
  <c r="C175" i="13" s="1"/>
  <c r="B177" i="1"/>
  <c r="B175" i="13" s="1"/>
  <c r="A177" i="1"/>
  <c r="A175" i="13" s="1"/>
  <c r="E176" i="1"/>
  <c r="E174" i="13" s="1"/>
  <c r="D176" i="1"/>
  <c r="D174" i="13" s="1"/>
  <c r="M174" i="13" s="1"/>
  <c r="C176" i="1"/>
  <c r="C174" i="13" s="1"/>
  <c r="B176" i="1"/>
  <c r="B174" i="13" s="1"/>
  <c r="A176" i="1"/>
  <c r="A174" i="13" s="1"/>
  <c r="E175" i="1"/>
  <c r="E173" i="13" s="1"/>
  <c r="D175" i="1"/>
  <c r="D173" i="13" s="1"/>
  <c r="M173" i="13" s="1"/>
  <c r="C175" i="1"/>
  <c r="C173" i="13" s="1"/>
  <c r="B175" i="1"/>
  <c r="B173" i="13" s="1"/>
  <c r="A175" i="1"/>
  <c r="A173" i="13" s="1"/>
  <c r="E174" i="1"/>
  <c r="E172" i="13" s="1"/>
  <c r="D174" i="1"/>
  <c r="D172" i="13" s="1"/>
  <c r="M172" i="13" s="1"/>
  <c r="C174" i="1"/>
  <c r="C172" i="13" s="1"/>
  <c r="B174" i="1"/>
  <c r="B172" i="13" s="1"/>
  <c r="A174" i="1"/>
  <c r="A172" i="13" s="1"/>
  <c r="E173" i="1"/>
  <c r="E171" i="13" s="1"/>
  <c r="D173" i="1"/>
  <c r="D171" i="13" s="1"/>
  <c r="M171" i="13" s="1"/>
  <c r="C173" i="1"/>
  <c r="C171" i="13" s="1"/>
  <c r="B173" i="1"/>
  <c r="B171" i="13" s="1"/>
  <c r="A173" i="1"/>
  <c r="A171" i="13" s="1"/>
  <c r="E172" i="1"/>
  <c r="E170" i="13" s="1"/>
  <c r="D172" i="1"/>
  <c r="D170" i="13" s="1"/>
  <c r="M170" i="13" s="1"/>
  <c r="C172" i="1"/>
  <c r="C170" i="13" s="1"/>
  <c r="B172" i="1"/>
  <c r="B170" i="13" s="1"/>
  <c r="A172" i="1"/>
  <c r="A170" i="13" s="1"/>
  <c r="E171" i="1"/>
  <c r="E169" i="13" s="1"/>
  <c r="D171" i="1"/>
  <c r="D169" i="13" s="1"/>
  <c r="M169" i="13" s="1"/>
  <c r="C171" i="1"/>
  <c r="C169" i="13" s="1"/>
  <c r="B171" i="1"/>
  <c r="B169" i="13" s="1"/>
  <c r="A171" i="1"/>
  <c r="A169" i="13" s="1"/>
  <c r="E170" i="1"/>
  <c r="E168" i="13" s="1"/>
  <c r="D170" i="1"/>
  <c r="D168" i="13" s="1"/>
  <c r="M168" i="13" s="1"/>
  <c r="C170" i="1"/>
  <c r="C168" i="13" s="1"/>
  <c r="B170" i="1"/>
  <c r="B168" i="13" s="1"/>
  <c r="A170" i="1"/>
  <c r="A168" i="13" s="1"/>
  <c r="E169" i="1"/>
  <c r="E167" i="13" s="1"/>
  <c r="D169" i="1"/>
  <c r="D167" i="13" s="1"/>
  <c r="M167" i="13" s="1"/>
  <c r="C169" i="1"/>
  <c r="C167" i="13" s="1"/>
  <c r="B169" i="1"/>
  <c r="B167" i="13" s="1"/>
  <c r="A169" i="1"/>
  <c r="A167" i="13" s="1"/>
  <c r="E168" i="1"/>
  <c r="E166" i="13" s="1"/>
  <c r="D168" i="1"/>
  <c r="D166" i="13" s="1"/>
  <c r="M166" i="13" s="1"/>
  <c r="C168" i="1"/>
  <c r="C166" i="13" s="1"/>
  <c r="B168" i="1"/>
  <c r="B166" i="13" s="1"/>
  <c r="A168" i="1"/>
  <c r="A166" i="13" s="1"/>
  <c r="E167" i="1"/>
  <c r="E165" i="13" s="1"/>
  <c r="D167" i="1"/>
  <c r="D165" i="13" s="1"/>
  <c r="M165" i="13" s="1"/>
  <c r="C167" i="1"/>
  <c r="C165" i="13" s="1"/>
  <c r="B167" i="1"/>
  <c r="B165" i="13" s="1"/>
  <c r="A167" i="1"/>
  <c r="A165" i="13" s="1"/>
  <c r="E166" i="1"/>
  <c r="E164" i="13" s="1"/>
  <c r="D166" i="1"/>
  <c r="D164" i="13" s="1"/>
  <c r="M164" i="13" s="1"/>
  <c r="C166" i="1"/>
  <c r="C164" i="13" s="1"/>
  <c r="B166" i="1"/>
  <c r="B164" i="13" s="1"/>
  <c r="A166" i="1"/>
  <c r="A164" i="13" s="1"/>
  <c r="E165" i="1"/>
  <c r="E163" i="13" s="1"/>
  <c r="D165" i="1"/>
  <c r="D163" i="13" s="1"/>
  <c r="M163" i="13" s="1"/>
  <c r="C165" i="1"/>
  <c r="C163" i="13" s="1"/>
  <c r="B165" i="1"/>
  <c r="B163" i="13" s="1"/>
  <c r="A165" i="1"/>
  <c r="A163" i="13" s="1"/>
  <c r="E164" i="1"/>
  <c r="E162" i="13" s="1"/>
  <c r="D164" i="1"/>
  <c r="D162" i="13" s="1"/>
  <c r="M162" i="13" s="1"/>
  <c r="C164" i="1"/>
  <c r="C162" i="13" s="1"/>
  <c r="B164" i="1"/>
  <c r="B162" i="13" s="1"/>
  <c r="A164" i="1"/>
  <c r="A162" i="13" s="1"/>
  <c r="E163" i="1"/>
  <c r="E161" i="13" s="1"/>
  <c r="D163" i="1"/>
  <c r="D161" i="13" s="1"/>
  <c r="M161" i="13" s="1"/>
  <c r="C163" i="1"/>
  <c r="C161" i="13" s="1"/>
  <c r="B163" i="1"/>
  <c r="B161" i="13" s="1"/>
  <c r="A163" i="1"/>
  <c r="A161" i="13" s="1"/>
  <c r="E162" i="1"/>
  <c r="E160" i="13" s="1"/>
  <c r="D162" i="1"/>
  <c r="D160" i="13" s="1"/>
  <c r="M160" i="13" s="1"/>
  <c r="C162" i="1"/>
  <c r="C160" i="13" s="1"/>
  <c r="B162" i="1"/>
  <c r="B160" i="13" s="1"/>
  <c r="A162" i="1"/>
  <c r="A160" i="13" s="1"/>
  <c r="E161" i="1"/>
  <c r="E159" i="13" s="1"/>
  <c r="D161" i="1"/>
  <c r="D159" i="13" s="1"/>
  <c r="M159" i="13" s="1"/>
  <c r="C161" i="1"/>
  <c r="C159" i="13" s="1"/>
  <c r="B161" i="1"/>
  <c r="B159" i="13" s="1"/>
  <c r="A161" i="1"/>
  <c r="A159" i="13" s="1"/>
  <c r="E160" i="1"/>
  <c r="E158" i="13" s="1"/>
  <c r="D160" i="1"/>
  <c r="D158" i="13" s="1"/>
  <c r="M158" i="13" s="1"/>
  <c r="C160" i="1"/>
  <c r="C158" i="13" s="1"/>
  <c r="B160" i="1"/>
  <c r="B158" i="13" s="1"/>
  <c r="A160" i="1"/>
  <c r="A158" i="13" s="1"/>
  <c r="E159" i="1"/>
  <c r="E157" i="13" s="1"/>
  <c r="D159" i="1"/>
  <c r="D157" i="13" s="1"/>
  <c r="M157" i="13" s="1"/>
  <c r="C159" i="1"/>
  <c r="C157" i="13" s="1"/>
  <c r="B159" i="1"/>
  <c r="B157" i="13" s="1"/>
  <c r="A159" i="1"/>
  <c r="A157" i="13" s="1"/>
  <c r="E158" i="1"/>
  <c r="E156" i="13" s="1"/>
  <c r="D158" i="1"/>
  <c r="D156" i="13" s="1"/>
  <c r="M156" i="13" s="1"/>
  <c r="C158" i="1"/>
  <c r="C156" i="13" s="1"/>
  <c r="B158" i="1"/>
  <c r="B156" i="13" s="1"/>
  <c r="A158" i="1"/>
  <c r="A156" i="13" s="1"/>
  <c r="E157" i="1"/>
  <c r="E155" i="13" s="1"/>
  <c r="D157" i="1"/>
  <c r="D155" i="13" s="1"/>
  <c r="M155" i="13" s="1"/>
  <c r="C157" i="1"/>
  <c r="C155" i="13" s="1"/>
  <c r="B157" i="1"/>
  <c r="B155" i="13" s="1"/>
  <c r="A157" i="1"/>
  <c r="A155" i="13" s="1"/>
  <c r="E156" i="1"/>
  <c r="E154" i="13" s="1"/>
  <c r="D156" i="1"/>
  <c r="D154" i="13" s="1"/>
  <c r="M154" i="13" s="1"/>
  <c r="C156" i="1"/>
  <c r="C154" i="13" s="1"/>
  <c r="B156" i="1"/>
  <c r="B154" i="13" s="1"/>
  <c r="A156" i="1"/>
  <c r="A154" i="13" s="1"/>
  <c r="E155" i="1"/>
  <c r="E153" i="13" s="1"/>
  <c r="D155" i="1"/>
  <c r="D153" i="13" s="1"/>
  <c r="M153" i="13" s="1"/>
  <c r="C155" i="1"/>
  <c r="C153" i="13" s="1"/>
  <c r="B155" i="1"/>
  <c r="B153" i="13" s="1"/>
  <c r="A155" i="1"/>
  <c r="A153" i="13" s="1"/>
  <c r="E154" i="1"/>
  <c r="E152" i="13" s="1"/>
  <c r="D154" i="1"/>
  <c r="C154" i="1"/>
  <c r="C152" i="13" s="1"/>
  <c r="B154" i="1"/>
  <c r="B152" i="13" s="1"/>
  <c r="A154" i="1"/>
  <c r="A152" i="13" s="1"/>
  <c r="E153" i="1"/>
  <c r="E151" i="13" s="1"/>
  <c r="D153" i="1"/>
  <c r="D151" i="13" s="1"/>
  <c r="M151" i="13" s="1"/>
  <c r="C153" i="1"/>
  <c r="C151" i="13" s="1"/>
  <c r="B153" i="1"/>
  <c r="B151" i="13" s="1"/>
  <c r="A153" i="1"/>
  <c r="A151" i="13" s="1"/>
  <c r="E152" i="1"/>
  <c r="E150" i="13" s="1"/>
  <c r="D152" i="1"/>
  <c r="D150" i="13" s="1"/>
  <c r="M150" i="13" s="1"/>
  <c r="C152" i="1"/>
  <c r="C150" i="13" s="1"/>
  <c r="B152" i="1"/>
  <c r="B150" i="13" s="1"/>
  <c r="A152" i="1"/>
  <c r="A150" i="13" s="1"/>
  <c r="E151" i="1"/>
  <c r="E149" i="13" s="1"/>
  <c r="D151" i="1"/>
  <c r="D149" i="13" s="1"/>
  <c r="M149" i="13" s="1"/>
  <c r="C151" i="1"/>
  <c r="C149" i="13" s="1"/>
  <c r="B151" i="1"/>
  <c r="B149" i="13" s="1"/>
  <c r="A151" i="1"/>
  <c r="A149" i="13" s="1"/>
  <c r="E150" i="1"/>
  <c r="E148" i="13" s="1"/>
  <c r="D150" i="1"/>
  <c r="D148" i="13" s="1"/>
  <c r="M148" i="13" s="1"/>
  <c r="C150" i="1"/>
  <c r="C148" i="13" s="1"/>
  <c r="B150" i="1"/>
  <c r="B148" i="13" s="1"/>
  <c r="A150" i="1"/>
  <c r="A148" i="13" s="1"/>
  <c r="E149" i="1"/>
  <c r="E147" i="13" s="1"/>
  <c r="D149" i="1"/>
  <c r="D147" i="13" s="1"/>
  <c r="M147" i="13" s="1"/>
  <c r="C149" i="1"/>
  <c r="C147" i="13" s="1"/>
  <c r="B149" i="1"/>
  <c r="B147" i="13" s="1"/>
  <c r="A149" i="1"/>
  <c r="A147" i="13" s="1"/>
  <c r="E148" i="1"/>
  <c r="E146" i="13" s="1"/>
  <c r="D148" i="1"/>
  <c r="D146" i="13" s="1"/>
  <c r="M146" i="13" s="1"/>
  <c r="C148" i="1"/>
  <c r="C146" i="13" s="1"/>
  <c r="B148" i="1"/>
  <c r="B146" i="13" s="1"/>
  <c r="A148" i="1"/>
  <c r="A146" i="13" s="1"/>
  <c r="E147" i="1"/>
  <c r="E145" i="13" s="1"/>
  <c r="D147" i="1"/>
  <c r="D145" i="13" s="1"/>
  <c r="M145" i="13" s="1"/>
  <c r="C147" i="1"/>
  <c r="C145" i="13" s="1"/>
  <c r="B147" i="1"/>
  <c r="B145" i="13" s="1"/>
  <c r="A147" i="1"/>
  <c r="A145" i="13" s="1"/>
  <c r="E146" i="1"/>
  <c r="E144" i="13" s="1"/>
  <c r="D146" i="1"/>
  <c r="D144" i="13" s="1"/>
  <c r="M144" i="13" s="1"/>
  <c r="C146" i="1"/>
  <c r="C144" i="13" s="1"/>
  <c r="B146" i="1"/>
  <c r="B144" i="13" s="1"/>
  <c r="A146" i="1"/>
  <c r="A144" i="13" s="1"/>
  <c r="E145" i="1"/>
  <c r="E143" i="13" s="1"/>
  <c r="D145" i="1"/>
  <c r="D143" i="13" s="1"/>
  <c r="M143" i="13" s="1"/>
  <c r="C145" i="1"/>
  <c r="C143" i="13" s="1"/>
  <c r="B145" i="1"/>
  <c r="B143" i="13" s="1"/>
  <c r="A145" i="1"/>
  <c r="A143" i="13" s="1"/>
  <c r="E144" i="1"/>
  <c r="E142" i="13" s="1"/>
  <c r="D144" i="1"/>
  <c r="D142" i="13" s="1"/>
  <c r="M142" i="13" s="1"/>
  <c r="C144" i="1"/>
  <c r="C142" i="13" s="1"/>
  <c r="B144" i="1"/>
  <c r="B142" i="13" s="1"/>
  <c r="A144" i="1"/>
  <c r="A142" i="13" s="1"/>
  <c r="E143" i="1"/>
  <c r="E141" i="13" s="1"/>
  <c r="D143" i="1"/>
  <c r="D141" i="13" s="1"/>
  <c r="M141" i="13" s="1"/>
  <c r="C143" i="1"/>
  <c r="C141" i="13" s="1"/>
  <c r="B143" i="1"/>
  <c r="B141" i="13" s="1"/>
  <c r="A143" i="1"/>
  <c r="A141" i="13" s="1"/>
  <c r="E142" i="1"/>
  <c r="E140" i="13" s="1"/>
  <c r="D142" i="1"/>
  <c r="D140" i="13" s="1"/>
  <c r="M140" i="13" s="1"/>
  <c r="C142" i="1"/>
  <c r="C140" i="13" s="1"/>
  <c r="B142" i="1"/>
  <c r="B140" i="13" s="1"/>
  <c r="A142" i="1"/>
  <c r="A140" i="13" s="1"/>
  <c r="E141" i="1"/>
  <c r="E139" i="13" s="1"/>
  <c r="D141" i="1"/>
  <c r="D139" i="13" s="1"/>
  <c r="M139" i="13" s="1"/>
  <c r="C141" i="1"/>
  <c r="C139" i="13" s="1"/>
  <c r="B141" i="1"/>
  <c r="B139" i="13" s="1"/>
  <c r="A141" i="1"/>
  <c r="A139" i="13" s="1"/>
  <c r="E140" i="1"/>
  <c r="E138" i="13" s="1"/>
  <c r="D140" i="1"/>
  <c r="D138" i="13" s="1"/>
  <c r="M138" i="13" s="1"/>
  <c r="C140" i="1"/>
  <c r="C138" i="13" s="1"/>
  <c r="B140" i="1"/>
  <c r="B138" i="13" s="1"/>
  <c r="A140" i="1"/>
  <c r="A138" i="13" s="1"/>
  <c r="E139" i="1"/>
  <c r="E137" i="13" s="1"/>
  <c r="D139" i="1"/>
  <c r="D137" i="13" s="1"/>
  <c r="M137" i="13" s="1"/>
  <c r="C139" i="1"/>
  <c r="C137" i="13" s="1"/>
  <c r="B139" i="1"/>
  <c r="B137" i="13" s="1"/>
  <c r="A139" i="1"/>
  <c r="A137" i="13" s="1"/>
  <c r="E138" i="1"/>
  <c r="E136" i="13" s="1"/>
  <c r="D138" i="1"/>
  <c r="D136" i="13" s="1"/>
  <c r="M136" i="13" s="1"/>
  <c r="C138" i="1"/>
  <c r="C136" i="13" s="1"/>
  <c r="B138" i="1"/>
  <c r="B136" i="13" s="1"/>
  <c r="A138" i="1"/>
  <c r="A136" i="13" s="1"/>
  <c r="E137" i="1"/>
  <c r="E135" i="13" s="1"/>
  <c r="D137" i="1"/>
  <c r="D135" i="13" s="1"/>
  <c r="M135" i="13" s="1"/>
  <c r="C137" i="1"/>
  <c r="C135" i="13" s="1"/>
  <c r="B137" i="1"/>
  <c r="B135" i="13" s="1"/>
  <c r="A137" i="1"/>
  <c r="A135" i="13" s="1"/>
  <c r="E136" i="1"/>
  <c r="E134" i="13" s="1"/>
  <c r="D136" i="1"/>
  <c r="D134" i="13" s="1"/>
  <c r="M134" i="13" s="1"/>
  <c r="C136" i="1"/>
  <c r="C134" i="13" s="1"/>
  <c r="B136" i="1"/>
  <c r="B134" i="13" s="1"/>
  <c r="A136" i="1"/>
  <c r="A134" i="13" s="1"/>
  <c r="E135" i="1"/>
  <c r="E133" i="13" s="1"/>
  <c r="D135" i="1"/>
  <c r="D133" i="13" s="1"/>
  <c r="M133" i="13" s="1"/>
  <c r="C135" i="1"/>
  <c r="C133" i="13" s="1"/>
  <c r="B135" i="1"/>
  <c r="B133" i="13" s="1"/>
  <c r="A135" i="1"/>
  <c r="A133" i="13" s="1"/>
  <c r="E134" i="1"/>
  <c r="E132" i="13" s="1"/>
  <c r="D134" i="1"/>
  <c r="D132" i="13" s="1"/>
  <c r="M132" i="13" s="1"/>
  <c r="C134" i="1"/>
  <c r="C132" i="13" s="1"/>
  <c r="B134" i="1"/>
  <c r="B132" i="13" s="1"/>
  <c r="A134" i="1"/>
  <c r="A132" i="13" s="1"/>
  <c r="E133" i="1"/>
  <c r="E131" i="13" s="1"/>
  <c r="D133" i="1"/>
  <c r="D131" i="13" s="1"/>
  <c r="M131" i="13" s="1"/>
  <c r="C133" i="1"/>
  <c r="C131" i="13" s="1"/>
  <c r="B133" i="1"/>
  <c r="B131" i="13" s="1"/>
  <c r="A133" i="1"/>
  <c r="A131" i="13" s="1"/>
  <c r="E132" i="1"/>
  <c r="E130" i="13" s="1"/>
  <c r="D132" i="1"/>
  <c r="D130" i="13" s="1"/>
  <c r="M130" i="13" s="1"/>
  <c r="C132" i="1"/>
  <c r="C130" i="13" s="1"/>
  <c r="B132" i="1"/>
  <c r="B130" i="13" s="1"/>
  <c r="A132" i="1"/>
  <c r="A130" i="13" s="1"/>
  <c r="E131" i="1"/>
  <c r="E129" i="13" s="1"/>
  <c r="D131" i="1"/>
  <c r="D129" i="13" s="1"/>
  <c r="M129" i="13" s="1"/>
  <c r="C131" i="1"/>
  <c r="C129" i="13" s="1"/>
  <c r="B131" i="1"/>
  <c r="B129" i="13" s="1"/>
  <c r="A131" i="1"/>
  <c r="A129" i="13" s="1"/>
  <c r="E130" i="1"/>
  <c r="E128" i="13" s="1"/>
  <c r="D130" i="1"/>
  <c r="D128" i="13" s="1"/>
  <c r="M128" i="13" s="1"/>
  <c r="C130" i="1"/>
  <c r="C128" i="13" s="1"/>
  <c r="B130" i="1"/>
  <c r="B128" i="13" s="1"/>
  <c r="A130" i="1"/>
  <c r="A128" i="13" s="1"/>
  <c r="E129" i="1"/>
  <c r="E127" i="13" s="1"/>
  <c r="D129" i="1"/>
  <c r="D127" i="13" s="1"/>
  <c r="M127" i="13" s="1"/>
  <c r="C129" i="1"/>
  <c r="C127" i="13" s="1"/>
  <c r="B129" i="1"/>
  <c r="B127" i="13" s="1"/>
  <c r="A129" i="1"/>
  <c r="A127" i="13" s="1"/>
  <c r="E128" i="1"/>
  <c r="E126" i="13" s="1"/>
  <c r="D128" i="1"/>
  <c r="D126" i="13" s="1"/>
  <c r="M126" i="13" s="1"/>
  <c r="C128" i="1"/>
  <c r="C126" i="13" s="1"/>
  <c r="B128" i="1"/>
  <c r="B126" i="13" s="1"/>
  <c r="A128" i="1"/>
  <c r="A126" i="13" s="1"/>
  <c r="E127" i="1"/>
  <c r="E125" i="13" s="1"/>
  <c r="D127" i="1"/>
  <c r="D125" i="13" s="1"/>
  <c r="M125" i="13" s="1"/>
  <c r="C127" i="1"/>
  <c r="C125" i="13" s="1"/>
  <c r="B127" i="1"/>
  <c r="B125" i="13" s="1"/>
  <c r="A127" i="1"/>
  <c r="A125" i="13" s="1"/>
  <c r="E126" i="1"/>
  <c r="E124" i="13" s="1"/>
  <c r="D126" i="1"/>
  <c r="D124" i="13" s="1"/>
  <c r="M124" i="13" s="1"/>
  <c r="C126" i="1"/>
  <c r="C124" i="13" s="1"/>
  <c r="B126" i="1"/>
  <c r="B124" i="13" s="1"/>
  <c r="A126" i="1"/>
  <c r="A124" i="13" s="1"/>
  <c r="E125" i="1"/>
  <c r="E123" i="13" s="1"/>
  <c r="D125" i="1"/>
  <c r="D123" i="13" s="1"/>
  <c r="M123" i="13" s="1"/>
  <c r="C125" i="1"/>
  <c r="C123" i="13" s="1"/>
  <c r="B125" i="1"/>
  <c r="B123" i="13" s="1"/>
  <c r="A125" i="1"/>
  <c r="A123" i="13" s="1"/>
  <c r="E124" i="1"/>
  <c r="E122" i="13" s="1"/>
  <c r="D124" i="1"/>
  <c r="D122" i="13" s="1"/>
  <c r="M122" i="13" s="1"/>
  <c r="C124" i="1"/>
  <c r="C122" i="13" s="1"/>
  <c r="B124" i="1"/>
  <c r="B122" i="13" s="1"/>
  <c r="A124" i="1"/>
  <c r="A122" i="13" s="1"/>
  <c r="E123" i="1"/>
  <c r="E121" i="13" s="1"/>
  <c r="D123" i="1"/>
  <c r="D121" i="13" s="1"/>
  <c r="M121" i="13" s="1"/>
  <c r="C123" i="1"/>
  <c r="C121" i="13" s="1"/>
  <c r="B123" i="1"/>
  <c r="B121" i="13" s="1"/>
  <c r="A123" i="1"/>
  <c r="A121" i="13" s="1"/>
  <c r="E122" i="1"/>
  <c r="E120" i="13" s="1"/>
  <c r="D122" i="1"/>
  <c r="D120" i="13" s="1"/>
  <c r="M120" i="13" s="1"/>
  <c r="C122" i="1"/>
  <c r="C120" i="13" s="1"/>
  <c r="B122" i="1"/>
  <c r="B120" i="13" s="1"/>
  <c r="A122" i="1"/>
  <c r="A120" i="13" s="1"/>
  <c r="E121" i="1"/>
  <c r="E119" i="13" s="1"/>
  <c r="D121" i="1"/>
  <c r="D119" i="13" s="1"/>
  <c r="M119" i="13" s="1"/>
  <c r="C121" i="1"/>
  <c r="C119" i="13" s="1"/>
  <c r="B121" i="1"/>
  <c r="B119" i="13" s="1"/>
  <c r="A121" i="1"/>
  <c r="A119" i="13" s="1"/>
  <c r="E120" i="1"/>
  <c r="E118" i="13" s="1"/>
  <c r="D120" i="1"/>
  <c r="D118" i="13" s="1"/>
  <c r="M118" i="13" s="1"/>
  <c r="C120" i="1"/>
  <c r="C118" i="13" s="1"/>
  <c r="B120" i="1"/>
  <c r="B118" i="13" s="1"/>
  <c r="A120" i="1"/>
  <c r="A118" i="13" s="1"/>
  <c r="E119" i="1"/>
  <c r="E117" i="13" s="1"/>
  <c r="D119" i="1"/>
  <c r="D117" i="13" s="1"/>
  <c r="M117" i="13" s="1"/>
  <c r="C119" i="1"/>
  <c r="C117" i="13" s="1"/>
  <c r="B119" i="1"/>
  <c r="B117" i="13" s="1"/>
  <c r="A119" i="1"/>
  <c r="A117" i="13" s="1"/>
  <c r="E118" i="1"/>
  <c r="E116" i="13" s="1"/>
  <c r="D118" i="1"/>
  <c r="D116" i="13" s="1"/>
  <c r="M116" i="13" s="1"/>
  <c r="C118" i="1"/>
  <c r="C116" i="13" s="1"/>
  <c r="B118" i="1"/>
  <c r="B116" i="13" s="1"/>
  <c r="A118" i="1"/>
  <c r="A116" i="13" s="1"/>
  <c r="E117" i="1"/>
  <c r="E115" i="13" s="1"/>
  <c r="D117" i="1"/>
  <c r="D115" i="13" s="1"/>
  <c r="M115" i="13" s="1"/>
  <c r="C117" i="1"/>
  <c r="C115" i="13" s="1"/>
  <c r="B117" i="1"/>
  <c r="B115" i="13" s="1"/>
  <c r="A117" i="1"/>
  <c r="A115" i="13" s="1"/>
  <c r="E116" i="1"/>
  <c r="E114" i="13" s="1"/>
  <c r="D116" i="1"/>
  <c r="D114" i="13" s="1"/>
  <c r="M114" i="13" s="1"/>
  <c r="C116" i="1"/>
  <c r="C114" i="13" s="1"/>
  <c r="B116" i="1"/>
  <c r="B114" i="13" s="1"/>
  <c r="A116" i="1"/>
  <c r="A114" i="13" s="1"/>
  <c r="E115" i="1"/>
  <c r="E113" i="13" s="1"/>
  <c r="D115" i="1"/>
  <c r="D113" i="13" s="1"/>
  <c r="M113" i="13" s="1"/>
  <c r="C115" i="1"/>
  <c r="C113" i="13" s="1"/>
  <c r="B115" i="1"/>
  <c r="B113" i="13" s="1"/>
  <c r="A115" i="1"/>
  <c r="A113" i="13" s="1"/>
  <c r="E114" i="1"/>
  <c r="E112" i="13" s="1"/>
  <c r="D114" i="1"/>
  <c r="D112" i="13" s="1"/>
  <c r="M112" i="13" s="1"/>
  <c r="C114" i="1"/>
  <c r="C112" i="13" s="1"/>
  <c r="B114" i="1"/>
  <c r="B112" i="13" s="1"/>
  <c r="A114" i="1"/>
  <c r="A112" i="13" s="1"/>
  <c r="E113" i="1"/>
  <c r="E111" i="13" s="1"/>
  <c r="D113" i="1"/>
  <c r="D111" i="13" s="1"/>
  <c r="M111" i="13" s="1"/>
  <c r="C113" i="1"/>
  <c r="C111" i="13" s="1"/>
  <c r="B113" i="1"/>
  <c r="B111" i="13" s="1"/>
  <c r="A113" i="1"/>
  <c r="A111" i="13" s="1"/>
  <c r="E112" i="1"/>
  <c r="E110" i="13" s="1"/>
  <c r="D112" i="1"/>
  <c r="D110" i="13" s="1"/>
  <c r="M110" i="13" s="1"/>
  <c r="C112" i="1"/>
  <c r="C110" i="13" s="1"/>
  <c r="B112" i="1"/>
  <c r="B110" i="13" s="1"/>
  <c r="A112" i="1"/>
  <c r="A110" i="13" s="1"/>
  <c r="E111" i="1"/>
  <c r="E109" i="13" s="1"/>
  <c r="D111" i="1"/>
  <c r="D109" i="13" s="1"/>
  <c r="M109" i="13" s="1"/>
  <c r="C111" i="1"/>
  <c r="C109" i="13" s="1"/>
  <c r="B111" i="1"/>
  <c r="B109" i="13" s="1"/>
  <c r="A111" i="1"/>
  <c r="A109" i="13" s="1"/>
  <c r="E110" i="1"/>
  <c r="E108" i="13" s="1"/>
  <c r="D110" i="1"/>
  <c r="D108" i="13" s="1"/>
  <c r="M108" i="13" s="1"/>
  <c r="C110" i="1"/>
  <c r="C108" i="13" s="1"/>
  <c r="B110" i="1"/>
  <c r="B108" i="13" s="1"/>
  <c r="A110" i="1"/>
  <c r="A108" i="13" s="1"/>
  <c r="E109" i="1"/>
  <c r="E107" i="13" s="1"/>
  <c r="D109" i="1"/>
  <c r="D107" i="13" s="1"/>
  <c r="M107" i="13" s="1"/>
  <c r="C109" i="1"/>
  <c r="C107" i="13" s="1"/>
  <c r="B109" i="1"/>
  <c r="B107" i="13" s="1"/>
  <c r="A109" i="1"/>
  <c r="A107" i="13" s="1"/>
  <c r="E108" i="1"/>
  <c r="E106" i="13" s="1"/>
  <c r="D108" i="1"/>
  <c r="D106" i="13" s="1"/>
  <c r="M106" i="13" s="1"/>
  <c r="C108" i="1"/>
  <c r="C106" i="13" s="1"/>
  <c r="B108" i="1"/>
  <c r="B106" i="13" s="1"/>
  <c r="A108" i="1"/>
  <c r="A106" i="13" s="1"/>
  <c r="E107" i="1"/>
  <c r="E105" i="13" s="1"/>
  <c r="D107" i="1"/>
  <c r="D105" i="13" s="1"/>
  <c r="M105" i="13" s="1"/>
  <c r="C107" i="1"/>
  <c r="C105" i="13" s="1"/>
  <c r="B107" i="1"/>
  <c r="B105" i="13" s="1"/>
  <c r="A107" i="1"/>
  <c r="A105" i="13" s="1"/>
  <c r="E106" i="1"/>
  <c r="E104" i="13" s="1"/>
  <c r="D106" i="1"/>
  <c r="D104" i="13" s="1"/>
  <c r="M104" i="13" s="1"/>
  <c r="C106" i="1"/>
  <c r="C104" i="13" s="1"/>
  <c r="B106" i="1"/>
  <c r="B104" i="13" s="1"/>
  <c r="A106" i="1"/>
  <c r="A104" i="13" s="1"/>
  <c r="E105" i="1"/>
  <c r="E103" i="13" s="1"/>
  <c r="D105" i="1"/>
  <c r="D103" i="13" s="1"/>
  <c r="M103" i="13" s="1"/>
  <c r="C105" i="1"/>
  <c r="C103" i="13" s="1"/>
  <c r="B105" i="1"/>
  <c r="B103" i="13" s="1"/>
  <c r="A105" i="1"/>
  <c r="A103" i="13" s="1"/>
  <c r="E104" i="1"/>
  <c r="E102" i="13" s="1"/>
  <c r="D104" i="1"/>
  <c r="D102" i="13" s="1"/>
  <c r="M102" i="13" s="1"/>
  <c r="C104" i="1"/>
  <c r="C102" i="13" s="1"/>
  <c r="B104" i="1"/>
  <c r="B102" i="13" s="1"/>
  <c r="A104" i="1"/>
  <c r="A102" i="13" s="1"/>
  <c r="E103" i="1"/>
  <c r="E101" i="13" s="1"/>
  <c r="D103" i="1"/>
  <c r="D101" i="13" s="1"/>
  <c r="M101" i="13" s="1"/>
  <c r="C103" i="1"/>
  <c r="C101" i="13" s="1"/>
  <c r="B103" i="1"/>
  <c r="B101" i="13" s="1"/>
  <c r="A103" i="1"/>
  <c r="A101" i="13" s="1"/>
  <c r="E102" i="1"/>
  <c r="E100" i="13" s="1"/>
  <c r="D102" i="1"/>
  <c r="D100" i="13" s="1"/>
  <c r="M100" i="13" s="1"/>
  <c r="C102" i="1"/>
  <c r="C100" i="13" s="1"/>
  <c r="B102" i="1"/>
  <c r="B100" i="13" s="1"/>
  <c r="A102" i="1"/>
  <c r="A100" i="13" s="1"/>
  <c r="E101" i="1"/>
  <c r="E99" i="13" s="1"/>
  <c r="D101" i="1"/>
  <c r="D99" i="13" s="1"/>
  <c r="M99" i="13" s="1"/>
  <c r="C101" i="1"/>
  <c r="C99" i="13" s="1"/>
  <c r="B101" i="1"/>
  <c r="B99" i="13" s="1"/>
  <c r="A101" i="1"/>
  <c r="A99" i="13" s="1"/>
  <c r="E100" i="1"/>
  <c r="E98" i="13" s="1"/>
  <c r="D100" i="1"/>
  <c r="D98" i="13" s="1"/>
  <c r="M98" i="13" s="1"/>
  <c r="C100" i="1"/>
  <c r="C98" i="13" s="1"/>
  <c r="B100" i="1"/>
  <c r="B98" i="13" s="1"/>
  <c r="A100" i="1"/>
  <c r="A98" i="13" s="1"/>
  <c r="E99" i="1"/>
  <c r="E97" i="13" s="1"/>
  <c r="D99" i="1"/>
  <c r="D97" i="13" s="1"/>
  <c r="M97" i="13" s="1"/>
  <c r="C99" i="1"/>
  <c r="C97" i="13" s="1"/>
  <c r="B99" i="1"/>
  <c r="B97" i="13" s="1"/>
  <c r="A99" i="1"/>
  <c r="A97" i="13" s="1"/>
  <c r="E98" i="1"/>
  <c r="E96" i="13" s="1"/>
  <c r="D98" i="1"/>
  <c r="D96" i="13" s="1"/>
  <c r="M96" i="13" s="1"/>
  <c r="C98" i="1"/>
  <c r="C96" i="13" s="1"/>
  <c r="B98" i="1"/>
  <c r="B96" i="13" s="1"/>
  <c r="A98" i="1"/>
  <c r="A96" i="13" s="1"/>
  <c r="E97" i="1"/>
  <c r="E95" i="13" s="1"/>
  <c r="D97" i="1"/>
  <c r="D95" i="13" s="1"/>
  <c r="M95" i="13" s="1"/>
  <c r="C97" i="1"/>
  <c r="C95" i="13" s="1"/>
  <c r="B97" i="1"/>
  <c r="B95" i="13" s="1"/>
  <c r="A97" i="1"/>
  <c r="A95" i="13" s="1"/>
  <c r="E96" i="1"/>
  <c r="E94" i="13" s="1"/>
  <c r="D96" i="1"/>
  <c r="D94" i="13" s="1"/>
  <c r="M94" i="13" s="1"/>
  <c r="C96" i="1"/>
  <c r="C94" i="13" s="1"/>
  <c r="B96" i="1"/>
  <c r="B94" i="13" s="1"/>
  <c r="A96" i="1"/>
  <c r="A94" i="13" s="1"/>
  <c r="E95" i="1"/>
  <c r="E93" i="13" s="1"/>
  <c r="D95" i="1"/>
  <c r="D93" i="13" s="1"/>
  <c r="M93" i="13" s="1"/>
  <c r="C95" i="1"/>
  <c r="C93" i="13" s="1"/>
  <c r="B95" i="1"/>
  <c r="B93" i="13" s="1"/>
  <c r="A95" i="1"/>
  <c r="A93" i="13" s="1"/>
  <c r="E94" i="1"/>
  <c r="E92" i="13" s="1"/>
  <c r="D94" i="1"/>
  <c r="D92" i="13" s="1"/>
  <c r="M92" i="13" s="1"/>
  <c r="C94" i="1"/>
  <c r="C92" i="13" s="1"/>
  <c r="B94" i="1"/>
  <c r="B92" i="13" s="1"/>
  <c r="A94" i="1"/>
  <c r="A92" i="13" s="1"/>
  <c r="E93" i="1"/>
  <c r="E91" i="13" s="1"/>
  <c r="D93" i="1"/>
  <c r="D91" i="13" s="1"/>
  <c r="M91" i="13" s="1"/>
  <c r="C93" i="1"/>
  <c r="C91" i="13" s="1"/>
  <c r="B93" i="1"/>
  <c r="B91" i="13" s="1"/>
  <c r="A93" i="1"/>
  <c r="A91" i="13" s="1"/>
  <c r="E92" i="1"/>
  <c r="E90" i="13" s="1"/>
  <c r="D92" i="1"/>
  <c r="D90" i="13" s="1"/>
  <c r="M90" i="13" s="1"/>
  <c r="C92" i="1"/>
  <c r="C90" i="13" s="1"/>
  <c r="B92" i="1"/>
  <c r="B90" i="13" s="1"/>
  <c r="A92" i="1"/>
  <c r="A90" i="13" s="1"/>
  <c r="E91" i="1"/>
  <c r="E89" i="13" s="1"/>
  <c r="D91" i="1"/>
  <c r="D89" i="13" s="1"/>
  <c r="M89" i="13" s="1"/>
  <c r="C91" i="1"/>
  <c r="C89" i="13" s="1"/>
  <c r="B91" i="1"/>
  <c r="B89" i="13" s="1"/>
  <c r="A91" i="1"/>
  <c r="A89" i="13" s="1"/>
  <c r="E90" i="1"/>
  <c r="E88" i="13" s="1"/>
  <c r="D90" i="1"/>
  <c r="D88" i="13" s="1"/>
  <c r="M88" i="13" s="1"/>
  <c r="C90" i="1"/>
  <c r="C88" i="13" s="1"/>
  <c r="B90" i="1"/>
  <c r="B88" i="13" s="1"/>
  <c r="A90" i="1"/>
  <c r="A88" i="13" s="1"/>
  <c r="E89" i="1"/>
  <c r="E87" i="13" s="1"/>
  <c r="D89" i="1"/>
  <c r="D87" i="13" s="1"/>
  <c r="M87" i="13" s="1"/>
  <c r="C89" i="1"/>
  <c r="C87" i="13" s="1"/>
  <c r="B89" i="1"/>
  <c r="B87" i="13" s="1"/>
  <c r="A89" i="1"/>
  <c r="A87" i="13" s="1"/>
  <c r="E88" i="1"/>
  <c r="E86" i="13" s="1"/>
  <c r="D88" i="1"/>
  <c r="D86" i="13" s="1"/>
  <c r="M86" i="13" s="1"/>
  <c r="C88" i="1"/>
  <c r="C86" i="13" s="1"/>
  <c r="B88" i="1"/>
  <c r="B86" i="13" s="1"/>
  <c r="A88" i="1"/>
  <c r="A86" i="13" s="1"/>
  <c r="E87" i="1"/>
  <c r="E85" i="13" s="1"/>
  <c r="D87" i="1"/>
  <c r="D85" i="13" s="1"/>
  <c r="M85" i="13" s="1"/>
  <c r="C87" i="1"/>
  <c r="C85" i="13" s="1"/>
  <c r="B87" i="1"/>
  <c r="B85" i="13" s="1"/>
  <c r="A87" i="1"/>
  <c r="A85" i="13" s="1"/>
  <c r="E86" i="1"/>
  <c r="E84" i="13" s="1"/>
  <c r="D86" i="1"/>
  <c r="D84" i="13" s="1"/>
  <c r="M84" i="13" s="1"/>
  <c r="C86" i="1"/>
  <c r="C84" i="13" s="1"/>
  <c r="B86" i="1"/>
  <c r="B84" i="13" s="1"/>
  <c r="A86" i="1"/>
  <c r="A84" i="13" s="1"/>
  <c r="E85" i="1"/>
  <c r="E83" i="13" s="1"/>
  <c r="D85" i="1"/>
  <c r="D83" i="13" s="1"/>
  <c r="M83" i="13" s="1"/>
  <c r="C85" i="1"/>
  <c r="C83" i="13" s="1"/>
  <c r="B85" i="1"/>
  <c r="B83" i="13" s="1"/>
  <c r="A85" i="1"/>
  <c r="A83" i="13" s="1"/>
  <c r="E84" i="1"/>
  <c r="E82" i="13" s="1"/>
  <c r="D84" i="1"/>
  <c r="D82" i="13" s="1"/>
  <c r="M82" i="13" s="1"/>
  <c r="C84" i="1"/>
  <c r="C82" i="13" s="1"/>
  <c r="B84" i="1"/>
  <c r="B82" i="13" s="1"/>
  <c r="A84" i="1"/>
  <c r="A82" i="13" s="1"/>
  <c r="E83" i="1"/>
  <c r="E81" i="13" s="1"/>
  <c r="D83" i="1"/>
  <c r="D81" i="13" s="1"/>
  <c r="M81" i="13" s="1"/>
  <c r="C83" i="1"/>
  <c r="C81" i="13" s="1"/>
  <c r="B83" i="1"/>
  <c r="B81" i="13" s="1"/>
  <c r="A83" i="1"/>
  <c r="A81" i="13" s="1"/>
  <c r="E82" i="1"/>
  <c r="E80" i="13" s="1"/>
  <c r="D82" i="1"/>
  <c r="D80" i="13" s="1"/>
  <c r="M80" i="13" s="1"/>
  <c r="C82" i="1"/>
  <c r="C80" i="13" s="1"/>
  <c r="B82" i="1"/>
  <c r="B80" i="13" s="1"/>
  <c r="A82" i="1"/>
  <c r="A80" i="13" s="1"/>
  <c r="E81" i="1"/>
  <c r="E79" i="13" s="1"/>
  <c r="D81" i="1"/>
  <c r="D79" i="13" s="1"/>
  <c r="M79" i="13" s="1"/>
  <c r="C81" i="1"/>
  <c r="C79" i="13" s="1"/>
  <c r="B81" i="1"/>
  <c r="B79" i="13" s="1"/>
  <c r="A81" i="1"/>
  <c r="A79" i="13" s="1"/>
  <c r="E80" i="1"/>
  <c r="E78" i="13" s="1"/>
  <c r="D80" i="1"/>
  <c r="D78" i="13" s="1"/>
  <c r="M78" i="13" s="1"/>
  <c r="C80" i="1"/>
  <c r="C78" i="13" s="1"/>
  <c r="B80" i="1"/>
  <c r="B78" i="13" s="1"/>
  <c r="A80" i="1"/>
  <c r="A78" i="13" s="1"/>
  <c r="E79" i="1"/>
  <c r="E77" i="13" s="1"/>
  <c r="D79" i="1"/>
  <c r="D77" i="13" s="1"/>
  <c r="M77" i="13" s="1"/>
  <c r="C79" i="1"/>
  <c r="C77" i="13" s="1"/>
  <c r="B79" i="1"/>
  <c r="B77" i="13" s="1"/>
  <c r="A79" i="1"/>
  <c r="A77" i="13" s="1"/>
  <c r="E78" i="1"/>
  <c r="E76" i="13" s="1"/>
  <c r="D78" i="1"/>
  <c r="D76" i="13" s="1"/>
  <c r="M76" i="13" s="1"/>
  <c r="C78" i="1"/>
  <c r="C76" i="13" s="1"/>
  <c r="B78" i="1"/>
  <c r="B76" i="13" s="1"/>
  <c r="A78" i="1"/>
  <c r="A76" i="13" s="1"/>
  <c r="E77" i="1"/>
  <c r="E75" i="13" s="1"/>
  <c r="D77" i="1"/>
  <c r="D75" i="13" s="1"/>
  <c r="M75" i="13" s="1"/>
  <c r="C77" i="1"/>
  <c r="C75" i="13" s="1"/>
  <c r="B77" i="1"/>
  <c r="B75" i="13" s="1"/>
  <c r="A77" i="1"/>
  <c r="A75" i="13" s="1"/>
  <c r="E76" i="1"/>
  <c r="E74" i="13" s="1"/>
  <c r="D76" i="1"/>
  <c r="D74" i="13" s="1"/>
  <c r="M74" i="13" s="1"/>
  <c r="C76" i="1"/>
  <c r="C74" i="13" s="1"/>
  <c r="B76" i="1"/>
  <c r="B74" i="13" s="1"/>
  <c r="A76" i="1"/>
  <c r="A74" i="13" s="1"/>
  <c r="E75" i="1"/>
  <c r="E73" i="13" s="1"/>
  <c r="D75" i="1"/>
  <c r="D73" i="13" s="1"/>
  <c r="M73" i="13" s="1"/>
  <c r="C75" i="1"/>
  <c r="C73" i="13" s="1"/>
  <c r="B75" i="1"/>
  <c r="B73" i="13" s="1"/>
  <c r="A75" i="1"/>
  <c r="A73" i="13" s="1"/>
  <c r="E74" i="1"/>
  <c r="E72" i="13" s="1"/>
  <c r="D74" i="1"/>
  <c r="D72" i="13" s="1"/>
  <c r="M72" i="13" s="1"/>
  <c r="C74" i="1"/>
  <c r="C72" i="13" s="1"/>
  <c r="B74" i="1"/>
  <c r="B72" i="13" s="1"/>
  <c r="A74" i="1"/>
  <c r="A72" i="13" s="1"/>
  <c r="E73" i="1"/>
  <c r="E71" i="13" s="1"/>
  <c r="D73" i="1"/>
  <c r="D71" i="13" s="1"/>
  <c r="M71" i="13" s="1"/>
  <c r="C73" i="1"/>
  <c r="C71" i="13" s="1"/>
  <c r="B73" i="1"/>
  <c r="B71" i="13" s="1"/>
  <c r="A73" i="1"/>
  <c r="A71" i="13" s="1"/>
  <c r="E72" i="1"/>
  <c r="E70" i="13" s="1"/>
  <c r="D72" i="1"/>
  <c r="D70" i="13" s="1"/>
  <c r="M70" i="13" s="1"/>
  <c r="C72" i="1"/>
  <c r="C70" i="13" s="1"/>
  <c r="B72" i="1"/>
  <c r="B70" i="13" s="1"/>
  <c r="A72" i="1"/>
  <c r="A70" i="13" s="1"/>
  <c r="E71" i="1"/>
  <c r="E69" i="13" s="1"/>
  <c r="D71" i="1"/>
  <c r="D69" i="13" s="1"/>
  <c r="M69" i="13" s="1"/>
  <c r="C71" i="1"/>
  <c r="C69" i="13" s="1"/>
  <c r="B71" i="1"/>
  <c r="B69" i="13" s="1"/>
  <c r="A71" i="1"/>
  <c r="A69" i="13" s="1"/>
  <c r="E70" i="1"/>
  <c r="E68" i="13" s="1"/>
  <c r="D70" i="1"/>
  <c r="D68" i="13" s="1"/>
  <c r="M68" i="13" s="1"/>
  <c r="C70" i="1"/>
  <c r="C68" i="13" s="1"/>
  <c r="B70" i="1"/>
  <c r="B68" i="13" s="1"/>
  <c r="A70" i="1"/>
  <c r="A68" i="13" s="1"/>
  <c r="E69" i="1"/>
  <c r="E67" i="13" s="1"/>
  <c r="D69" i="1"/>
  <c r="D67" i="13" s="1"/>
  <c r="M67" i="13" s="1"/>
  <c r="C69" i="1"/>
  <c r="C67" i="13" s="1"/>
  <c r="B69" i="1"/>
  <c r="B67" i="13" s="1"/>
  <c r="A69" i="1"/>
  <c r="A67" i="13" s="1"/>
  <c r="E68" i="1"/>
  <c r="E66" i="13" s="1"/>
  <c r="D68" i="1"/>
  <c r="D66" i="13" s="1"/>
  <c r="M66" i="13" s="1"/>
  <c r="C68" i="1"/>
  <c r="C66" i="13" s="1"/>
  <c r="B68" i="1"/>
  <c r="B66" i="13" s="1"/>
  <c r="A68" i="1"/>
  <c r="A66" i="13" s="1"/>
  <c r="E67" i="1"/>
  <c r="E65" i="13" s="1"/>
  <c r="D67" i="1"/>
  <c r="D65" i="13" s="1"/>
  <c r="M65" i="13" s="1"/>
  <c r="C67" i="1"/>
  <c r="C65" i="13" s="1"/>
  <c r="B67" i="1"/>
  <c r="B65" i="13" s="1"/>
  <c r="A67" i="1"/>
  <c r="A65" i="13" s="1"/>
  <c r="E66" i="1"/>
  <c r="E64" i="13" s="1"/>
  <c r="D66" i="1"/>
  <c r="D64" i="13" s="1"/>
  <c r="M64" i="13" s="1"/>
  <c r="C66" i="1"/>
  <c r="C64" i="13" s="1"/>
  <c r="B66" i="1"/>
  <c r="B64" i="13" s="1"/>
  <c r="A66" i="1"/>
  <c r="A64" i="13" s="1"/>
  <c r="E65" i="1"/>
  <c r="E63" i="13" s="1"/>
  <c r="D65" i="1"/>
  <c r="D63" i="13" s="1"/>
  <c r="M63" i="13" s="1"/>
  <c r="C65" i="1"/>
  <c r="C63" i="13" s="1"/>
  <c r="B65" i="1"/>
  <c r="B63" i="13" s="1"/>
  <c r="A65" i="1"/>
  <c r="A63" i="13" s="1"/>
  <c r="E64" i="1"/>
  <c r="E62" i="13" s="1"/>
  <c r="D64" i="1"/>
  <c r="D62" i="13" s="1"/>
  <c r="M62" i="13" s="1"/>
  <c r="C64" i="1"/>
  <c r="C62" i="13" s="1"/>
  <c r="B64" i="1"/>
  <c r="B62" i="13" s="1"/>
  <c r="A64" i="1"/>
  <c r="A62" i="13" s="1"/>
  <c r="E63" i="1"/>
  <c r="E61" i="13" s="1"/>
  <c r="D63" i="1"/>
  <c r="D61" i="13" s="1"/>
  <c r="M61" i="13" s="1"/>
  <c r="C63" i="1"/>
  <c r="C61" i="13" s="1"/>
  <c r="B63" i="1"/>
  <c r="B61" i="13" s="1"/>
  <c r="A63" i="1"/>
  <c r="A61" i="13" s="1"/>
  <c r="E62" i="1"/>
  <c r="E60" i="13" s="1"/>
  <c r="D62" i="1"/>
  <c r="F62" i="1" s="1"/>
  <c r="I62" i="1" s="1"/>
  <c r="C62" i="1"/>
  <c r="C60" i="13" s="1"/>
  <c r="B62" i="1"/>
  <c r="B60" i="13" s="1"/>
  <c r="A62" i="1"/>
  <c r="A60" i="13" s="1"/>
  <c r="E61" i="1"/>
  <c r="E59" i="13" s="1"/>
  <c r="D61" i="1"/>
  <c r="D59" i="13" s="1"/>
  <c r="M59" i="13" s="1"/>
  <c r="C61" i="1"/>
  <c r="C59" i="13" s="1"/>
  <c r="B61" i="1"/>
  <c r="B59" i="13" s="1"/>
  <c r="A61" i="1"/>
  <c r="A59" i="13" s="1"/>
  <c r="E60" i="1"/>
  <c r="E58" i="13" s="1"/>
  <c r="D60" i="1"/>
  <c r="D58" i="13" s="1"/>
  <c r="M58" i="13" s="1"/>
  <c r="C60" i="1"/>
  <c r="C58" i="13" s="1"/>
  <c r="B60" i="1"/>
  <c r="B58" i="13" s="1"/>
  <c r="A60" i="1"/>
  <c r="A58" i="13" s="1"/>
  <c r="E59" i="1"/>
  <c r="E57" i="13" s="1"/>
  <c r="D59" i="1"/>
  <c r="D57" i="13" s="1"/>
  <c r="M57" i="13" s="1"/>
  <c r="C59" i="1"/>
  <c r="C57" i="13" s="1"/>
  <c r="B59" i="1"/>
  <c r="B57" i="13" s="1"/>
  <c r="A59" i="1"/>
  <c r="A57" i="13" s="1"/>
  <c r="E58" i="1"/>
  <c r="E56" i="13" s="1"/>
  <c r="D58" i="1"/>
  <c r="D56" i="13" s="1"/>
  <c r="M56" i="13" s="1"/>
  <c r="C58" i="1"/>
  <c r="C56" i="13" s="1"/>
  <c r="B58" i="1"/>
  <c r="B56" i="13" s="1"/>
  <c r="A58" i="1"/>
  <c r="A56" i="13" s="1"/>
  <c r="E57" i="1"/>
  <c r="E55" i="13" s="1"/>
  <c r="D57" i="1"/>
  <c r="D55" i="13" s="1"/>
  <c r="M55" i="13" s="1"/>
  <c r="C57" i="1"/>
  <c r="C55" i="13" s="1"/>
  <c r="B57" i="1"/>
  <c r="B55" i="13" s="1"/>
  <c r="A57" i="1"/>
  <c r="A55" i="13" s="1"/>
  <c r="E56" i="1"/>
  <c r="E54" i="13" s="1"/>
  <c r="D56" i="1"/>
  <c r="D54" i="13" s="1"/>
  <c r="M54" i="13" s="1"/>
  <c r="C56" i="1"/>
  <c r="C54" i="13" s="1"/>
  <c r="B56" i="1"/>
  <c r="B54" i="13" s="1"/>
  <c r="A56" i="1"/>
  <c r="A54" i="13" s="1"/>
  <c r="E55" i="1"/>
  <c r="E53" i="13" s="1"/>
  <c r="D55" i="1"/>
  <c r="D53" i="13" s="1"/>
  <c r="M53" i="13" s="1"/>
  <c r="C55" i="1"/>
  <c r="C53" i="13" s="1"/>
  <c r="B55" i="1"/>
  <c r="B53" i="13" s="1"/>
  <c r="A55" i="1"/>
  <c r="A53" i="13" s="1"/>
  <c r="E54" i="1"/>
  <c r="E52" i="13" s="1"/>
  <c r="D54" i="1"/>
  <c r="D52" i="13" s="1"/>
  <c r="M52" i="13" s="1"/>
  <c r="C54" i="1"/>
  <c r="C52" i="13" s="1"/>
  <c r="B54" i="1"/>
  <c r="B52" i="13" s="1"/>
  <c r="A54" i="1"/>
  <c r="A52" i="13" s="1"/>
  <c r="E53" i="1"/>
  <c r="E51" i="13" s="1"/>
  <c r="D53" i="1"/>
  <c r="D51" i="13" s="1"/>
  <c r="M51" i="13" s="1"/>
  <c r="C53" i="1"/>
  <c r="C51" i="13" s="1"/>
  <c r="B53" i="1"/>
  <c r="B51" i="13" s="1"/>
  <c r="A53" i="1"/>
  <c r="A51" i="13" s="1"/>
  <c r="E52" i="1"/>
  <c r="E50" i="13" s="1"/>
  <c r="D52" i="1"/>
  <c r="D50" i="13" s="1"/>
  <c r="M50" i="13" s="1"/>
  <c r="C52" i="1"/>
  <c r="C50" i="13" s="1"/>
  <c r="B52" i="1"/>
  <c r="B50" i="13" s="1"/>
  <c r="A52" i="1"/>
  <c r="A50" i="13" s="1"/>
  <c r="E51" i="1"/>
  <c r="E49" i="13" s="1"/>
  <c r="D51" i="1"/>
  <c r="D49" i="13" s="1"/>
  <c r="M49" i="13" s="1"/>
  <c r="C51" i="1"/>
  <c r="C49" i="13" s="1"/>
  <c r="B51" i="1"/>
  <c r="B49" i="13" s="1"/>
  <c r="A51" i="1"/>
  <c r="A49" i="13" s="1"/>
  <c r="E50" i="1"/>
  <c r="E48" i="13" s="1"/>
  <c r="D50" i="1"/>
  <c r="D48" i="13" s="1"/>
  <c r="M48" i="13" s="1"/>
  <c r="C50" i="1"/>
  <c r="C48" i="13" s="1"/>
  <c r="B50" i="1"/>
  <c r="B48" i="13" s="1"/>
  <c r="A50" i="1"/>
  <c r="A48" i="13" s="1"/>
  <c r="E49" i="1"/>
  <c r="E47" i="13" s="1"/>
  <c r="D49" i="1"/>
  <c r="D47" i="13" s="1"/>
  <c r="M47" i="13" s="1"/>
  <c r="C49" i="1"/>
  <c r="C47" i="13" s="1"/>
  <c r="B49" i="1"/>
  <c r="B47" i="13" s="1"/>
  <c r="A49" i="1"/>
  <c r="A47" i="13" s="1"/>
  <c r="E48" i="1"/>
  <c r="E46" i="13" s="1"/>
  <c r="D48" i="1"/>
  <c r="D46" i="13" s="1"/>
  <c r="M46" i="13" s="1"/>
  <c r="C48" i="1"/>
  <c r="C46" i="13" s="1"/>
  <c r="B48" i="1"/>
  <c r="B46" i="13" s="1"/>
  <c r="A48" i="1"/>
  <c r="A46" i="13" s="1"/>
  <c r="E47" i="1"/>
  <c r="E45" i="13" s="1"/>
  <c r="D47" i="1"/>
  <c r="D45" i="13" s="1"/>
  <c r="M45" i="13" s="1"/>
  <c r="C47" i="1"/>
  <c r="C45" i="13" s="1"/>
  <c r="B47" i="1"/>
  <c r="B45" i="13" s="1"/>
  <c r="A47" i="1"/>
  <c r="A45" i="13" s="1"/>
  <c r="E46" i="1"/>
  <c r="E44" i="13" s="1"/>
  <c r="D46" i="1"/>
  <c r="D44" i="13" s="1"/>
  <c r="M44" i="13" s="1"/>
  <c r="C46" i="1"/>
  <c r="C44" i="13" s="1"/>
  <c r="B46" i="1"/>
  <c r="B44" i="13" s="1"/>
  <c r="A46" i="1"/>
  <c r="A44" i="13" s="1"/>
  <c r="E45" i="1"/>
  <c r="E43" i="13" s="1"/>
  <c r="D45" i="1"/>
  <c r="D43" i="13" s="1"/>
  <c r="M43" i="13" s="1"/>
  <c r="C45" i="1"/>
  <c r="C43" i="13" s="1"/>
  <c r="B45" i="1"/>
  <c r="B43" i="13" s="1"/>
  <c r="A45" i="1"/>
  <c r="A43" i="13" s="1"/>
  <c r="E44" i="1"/>
  <c r="E42" i="13" s="1"/>
  <c r="D44" i="1"/>
  <c r="D42" i="13" s="1"/>
  <c r="M42" i="13" s="1"/>
  <c r="C44" i="1"/>
  <c r="C42" i="13" s="1"/>
  <c r="B44" i="1"/>
  <c r="B42" i="13" s="1"/>
  <c r="A44" i="1"/>
  <c r="A42" i="13" s="1"/>
  <c r="E43" i="1"/>
  <c r="E41" i="13" s="1"/>
  <c r="D43" i="1"/>
  <c r="D41" i="13" s="1"/>
  <c r="M41" i="13" s="1"/>
  <c r="C43" i="1"/>
  <c r="C41" i="13" s="1"/>
  <c r="B43" i="1"/>
  <c r="B41" i="13" s="1"/>
  <c r="A43" i="1"/>
  <c r="A41" i="13" s="1"/>
  <c r="E42" i="1"/>
  <c r="E40" i="13" s="1"/>
  <c r="D42" i="1"/>
  <c r="D40" i="13" s="1"/>
  <c r="M40" i="13" s="1"/>
  <c r="C42" i="1"/>
  <c r="C40" i="13" s="1"/>
  <c r="B42" i="1"/>
  <c r="B40" i="13" s="1"/>
  <c r="A42" i="1"/>
  <c r="A40" i="13" s="1"/>
  <c r="E41" i="1"/>
  <c r="E39" i="13" s="1"/>
  <c r="D41" i="1"/>
  <c r="D39" i="13" s="1"/>
  <c r="M39" i="13" s="1"/>
  <c r="C41" i="1"/>
  <c r="C39" i="13" s="1"/>
  <c r="B41" i="1"/>
  <c r="B39" i="13" s="1"/>
  <c r="A41" i="1"/>
  <c r="A39" i="13" s="1"/>
  <c r="E40" i="1"/>
  <c r="E38" i="13" s="1"/>
  <c r="D40" i="1"/>
  <c r="D38" i="13" s="1"/>
  <c r="M38" i="13" s="1"/>
  <c r="C40" i="1"/>
  <c r="C38" i="13" s="1"/>
  <c r="B40" i="1"/>
  <c r="B38" i="13" s="1"/>
  <c r="A40" i="1"/>
  <c r="A38" i="13" s="1"/>
  <c r="E39" i="1"/>
  <c r="E37" i="13" s="1"/>
  <c r="D39" i="1"/>
  <c r="D37" i="13" s="1"/>
  <c r="M37" i="13" s="1"/>
  <c r="C39" i="1"/>
  <c r="C37" i="13" s="1"/>
  <c r="B39" i="1"/>
  <c r="B37" i="13" s="1"/>
  <c r="A39" i="1"/>
  <c r="A37" i="13" s="1"/>
  <c r="E38" i="1"/>
  <c r="E36" i="13" s="1"/>
  <c r="D38" i="1"/>
  <c r="D36" i="13" s="1"/>
  <c r="M36" i="13" s="1"/>
  <c r="C38" i="1"/>
  <c r="C36" i="13" s="1"/>
  <c r="B38" i="1"/>
  <c r="B36" i="13" s="1"/>
  <c r="A38" i="1"/>
  <c r="A36" i="13" s="1"/>
  <c r="E37" i="1"/>
  <c r="E35" i="13" s="1"/>
  <c r="D37" i="1"/>
  <c r="D35" i="13" s="1"/>
  <c r="M35" i="13" s="1"/>
  <c r="C37" i="1"/>
  <c r="C35" i="13" s="1"/>
  <c r="B37" i="1"/>
  <c r="B35" i="13" s="1"/>
  <c r="A37" i="1"/>
  <c r="A35" i="13" s="1"/>
  <c r="E36" i="1"/>
  <c r="E34" i="13" s="1"/>
  <c r="D36" i="1"/>
  <c r="D34" i="13" s="1"/>
  <c r="M34" i="13" s="1"/>
  <c r="C36" i="1"/>
  <c r="C34" i="13" s="1"/>
  <c r="B36" i="1"/>
  <c r="B34" i="13" s="1"/>
  <c r="A36" i="1"/>
  <c r="A34" i="13" s="1"/>
  <c r="E35" i="1"/>
  <c r="E33" i="13" s="1"/>
  <c r="D35" i="1"/>
  <c r="D33" i="13" s="1"/>
  <c r="M33" i="13" s="1"/>
  <c r="C35" i="1"/>
  <c r="C33" i="13" s="1"/>
  <c r="B35" i="1"/>
  <c r="B33" i="13" s="1"/>
  <c r="A35" i="1"/>
  <c r="A33" i="13" s="1"/>
  <c r="E34" i="1"/>
  <c r="E32" i="13" s="1"/>
  <c r="D34" i="1"/>
  <c r="D32" i="13" s="1"/>
  <c r="M32" i="13" s="1"/>
  <c r="C34" i="1"/>
  <c r="C32" i="13" s="1"/>
  <c r="B34" i="1"/>
  <c r="B32" i="13" s="1"/>
  <c r="A34" i="1"/>
  <c r="A32" i="13" s="1"/>
  <c r="E33" i="1"/>
  <c r="E31" i="13" s="1"/>
  <c r="D33" i="1"/>
  <c r="C33" i="1"/>
  <c r="C31" i="13" s="1"/>
  <c r="B33" i="1"/>
  <c r="B31" i="13" s="1"/>
  <c r="A33" i="1"/>
  <c r="A31" i="13" s="1"/>
  <c r="E32" i="1"/>
  <c r="E30" i="13" s="1"/>
  <c r="D32" i="1"/>
  <c r="D30" i="13" s="1"/>
  <c r="M30" i="13" s="1"/>
  <c r="C32" i="1"/>
  <c r="C30" i="13" s="1"/>
  <c r="B32" i="1"/>
  <c r="B30" i="13" s="1"/>
  <c r="A32" i="1"/>
  <c r="A30" i="13" s="1"/>
  <c r="E31" i="1"/>
  <c r="E29" i="13" s="1"/>
  <c r="D31" i="1"/>
  <c r="D29" i="13" s="1"/>
  <c r="M29" i="13" s="1"/>
  <c r="C31" i="1"/>
  <c r="C29" i="13" s="1"/>
  <c r="B31" i="1"/>
  <c r="B29" i="13" s="1"/>
  <c r="A31" i="1"/>
  <c r="A29" i="13" s="1"/>
  <c r="E30" i="1"/>
  <c r="E28" i="13" s="1"/>
  <c r="D30" i="1"/>
  <c r="D28" i="13" s="1"/>
  <c r="M28" i="13" s="1"/>
  <c r="C30" i="1"/>
  <c r="C28" i="13" s="1"/>
  <c r="B30" i="1"/>
  <c r="B28" i="13" s="1"/>
  <c r="A30" i="1"/>
  <c r="A28" i="13" s="1"/>
  <c r="E29" i="1"/>
  <c r="E27" i="13" s="1"/>
  <c r="D29" i="1"/>
  <c r="D27" i="13" s="1"/>
  <c r="M27" i="13" s="1"/>
  <c r="C29" i="1"/>
  <c r="C27" i="13" s="1"/>
  <c r="B29" i="1"/>
  <c r="B27" i="13" s="1"/>
  <c r="A29" i="1"/>
  <c r="A27" i="13" s="1"/>
  <c r="E28" i="1"/>
  <c r="E26" i="13" s="1"/>
  <c r="D28" i="1"/>
  <c r="D26" i="13" s="1"/>
  <c r="M26" i="13" s="1"/>
  <c r="C28" i="1"/>
  <c r="C26" i="13" s="1"/>
  <c r="B28" i="1"/>
  <c r="B26" i="13" s="1"/>
  <c r="A28" i="1"/>
  <c r="A26" i="13" s="1"/>
  <c r="E27" i="1"/>
  <c r="E25" i="13" s="1"/>
  <c r="D27" i="1"/>
  <c r="D25" i="13" s="1"/>
  <c r="M25" i="13" s="1"/>
  <c r="C27" i="1"/>
  <c r="C25" i="13" s="1"/>
  <c r="B27" i="1"/>
  <c r="B25" i="13" s="1"/>
  <c r="A27" i="1"/>
  <c r="A25" i="13" s="1"/>
  <c r="E26" i="1"/>
  <c r="E24" i="13" s="1"/>
  <c r="D26" i="1"/>
  <c r="D24" i="13" s="1"/>
  <c r="M24" i="13" s="1"/>
  <c r="C26" i="1"/>
  <c r="C24" i="13" s="1"/>
  <c r="B26" i="1"/>
  <c r="B24" i="13" s="1"/>
  <c r="A26" i="1"/>
  <c r="A24" i="13" s="1"/>
  <c r="E25" i="1"/>
  <c r="E23" i="13" s="1"/>
  <c r="D25" i="1"/>
  <c r="D23" i="13" s="1"/>
  <c r="M23" i="13" s="1"/>
  <c r="C25" i="1"/>
  <c r="C23" i="13" s="1"/>
  <c r="B25" i="1"/>
  <c r="B23" i="13" s="1"/>
  <c r="A25" i="1"/>
  <c r="A23" i="13" s="1"/>
  <c r="E24" i="1"/>
  <c r="E22" i="13" s="1"/>
  <c r="D24" i="1"/>
  <c r="D22" i="13" s="1"/>
  <c r="M22" i="13" s="1"/>
  <c r="C24" i="1"/>
  <c r="C22" i="13" s="1"/>
  <c r="B24" i="1"/>
  <c r="B22" i="13" s="1"/>
  <c r="A24" i="1"/>
  <c r="A22" i="13" s="1"/>
  <c r="E23" i="1"/>
  <c r="E21" i="13" s="1"/>
  <c r="D23" i="1"/>
  <c r="D21" i="13" s="1"/>
  <c r="M21" i="13" s="1"/>
  <c r="C23" i="1"/>
  <c r="C21" i="13" s="1"/>
  <c r="B23" i="1"/>
  <c r="B21" i="13" s="1"/>
  <c r="A23" i="1"/>
  <c r="A21" i="13" s="1"/>
  <c r="E22" i="1"/>
  <c r="E20" i="13" s="1"/>
  <c r="D22" i="1"/>
  <c r="D20" i="13" s="1"/>
  <c r="M20" i="13" s="1"/>
  <c r="C22" i="1"/>
  <c r="C20" i="13" s="1"/>
  <c r="B22" i="1"/>
  <c r="B20" i="13" s="1"/>
  <c r="A22" i="1"/>
  <c r="A20" i="13" s="1"/>
  <c r="E21" i="1"/>
  <c r="E19" i="13" s="1"/>
  <c r="D21" i="1"/>
  <c r="D19" i="13" s="1"/>
  <c r="M19" i="13" s="1"/>
  <c r="C21" i="1"/>
  <c r="C19" i="13" s="1"/>
  <c r="B21" i="1"/>
  <c r="B19" i="13" s="1"/>
  <c r="A21" i="1"/>
  <c r="A19" i="13" s="1"/>
  <c r="E20" i="1"/>
  <c r="E18" i="13" s="1"/>
  <c r="D20" i="1"/>
  <c r="D18" i="13" s="1"/>
  <c r="M18" i="13" s="1"/>
  <c r="C20" i="1"/>
  <c r="C18" i="13" s="1"/>
  <c r="B20" i="1"/>
  <c r="B18" i="13" s="1"/>
  <c r="A20" i="1"/>
  <c r="A18" i="13" s="1"/>
  <c r="E19" i="1"/>
  <c r="E17" i="13" s="1"/>
  <c r="D19" i="1"/>
  <c r="D17" i="13" s="1"/>
  <c r="M17" i="13" s="1"/>
  <c r="C19" i="1"/>
  <c r="C17" i="13" s="1"/>
  <c r="B19" i="1"/>
  <c r="B17" i="13" s="1"/>
  <c r="A19" i="1"/>
  <c r="A17" i="13" s="1"/>
  <c r="E18" i="1"/>
  <c r="E16" i="13" s="1"/>
  <c r="D18" i="1"/>
  <c r="D16" i="13" s="1"/>
  <c r="M16" i="13" s="1"/>
  <c r="C18" i="1"/>
  <c r="C16" i="13" s="1"/>
  <c r="B18" i="1"/>
  <c r="B16" i="13" s="1"/>
  <c r="A18" i="1"/>
  <c r="A16" i="13" s="1"/>
  <c r="E17" i="1"/>
  <c r="E15" i="13" s="1"/>
  <c r="D17" i="1"/>
  <c r="D15" i="13" s="1"/>
  <c r="M15" i="13" s="1"/>
  <c r="C17" i="1"/>
  <c r="C15" i="13" s="1"/>
  <c r="B17" i="1"/>
  <c r="B15" i="13" s="1"/>
  <c r="A17" i="1"/>
  <c r="A15" i="13" s="1"/>
  <c r="E16" i="1"/>
  <c r="E14" i="13" s="1"/>
  <c r="D16" i="1"/>
  <c r="D14" i="13" s="1"/>
  <c r="M14" i="13" s="1"/>
  <c r="C16" i="1"/>
  <c r="C14" i="13" s="1"/>
  <c r="B16" i="1"/>
  <c r="B14" i="13" s="1"/>
  <c r="A16" i="1"/>
  <c r="A14" i="13" s="1"/>
  <c r="E15" i="1"/>
  <c r="E13" i="13" s="1"/>
  <c r="D15" i="1"/>
  <c r="D13" i="13" s="1"/>
  <c r="M13" i="13" s="1"/>
  <c r="C15" i="1"/>
  <c r="C13" i="13" s="1"/>
  <c r="B15" i="1"/>
  <c r="B13" i="13" s="1"/>
  <c r="A15" i="1"/>
  <c r="A13" i="13" s="1"/>
  <c r="E14" i="1"/>
  <c r="E12" i="13" s="1"/>
  <c r="D14" i="1"/>
  <c r="D12" i="13" s="1"/>
  <c r="M12" i="13" s="1"/>
  <c r="C14" i="1"/>
  <c r="C12" i="13" s="1"/>
  <c r="B14" i="1"/>
  <c r="B12" i="13" s="1"/>
  <c r="A14" i="1"/>
  <c r="A12" i="13" s="1"/>
  <c r="E13" i="1"/>
  <c r="E11" i="13" s="1"/>
  <c r="D13" i="1"/>
  <c r="D11" i="13" s="1"/>
  <c r="M11" i="13" s="1"/>
  <c r="C13" i="1"/>
  <c r="C11" i="13" s="1"/>
  <c r="B13" i="1"/>
  <c r="B11" i="13" s="1"/>
  <c r="A13" i="1"/>
  <c r="A11" i="13" s="1"/>
  <c r="E12" i="1"/>
  <c r="E10" i="13" s="1"/>
  <c r="D12" i="1"/>
  <c r="D10" i="13" s="1"/>
  <c r="M10" i="13" s="1"/>
  <c r="C12" i="1"/>
  <c r="C10" i="13" s="1"/>
  <c r="B12" i="1"/>
  <c r="B10" i="13" s="1"/>
  <c r="A12" i="1"/>
  <c r="A10" i="13" s="1"/>
  <c r="E11" i="1"/>
  <c r="E9" i="13" s="1"/>
  <c r="D11" i="1"/>
  <c r="D9" i="13" s="1"/>
  <c r="M9" i="13" s="1"/>
  <c r="C11" i="1"/>
  <c r="C9" i="13" s="1"/>
  <c r="B11" i="1"/>
  <c r="B9" i="13" s="1"/>
  <c r="A11" i="1"/>
  <c r="A9" i="13" s="1"/>
  <c r="E10" i="1"/>
  <c r="E8" i="13" s="1"/>
  <c r="D10" i="1"/>
  <c r="D8" i="13" s="1"/>
  <c r="M8" i="13" s="1"/>
  <c r="C10" i="1"/>
  <c r="C8" i="13" s="1"/>
  <c r="B10" i="1"/>
  <c r="B8" i="13" s="1"/>
  <c r="A10" i="1"/>
  <c r="A8" i="13" s="1"/>
  <c r="E9" i="1"/>
  <c r="E7" i="13" s="1"/>
  <c r="D9" i="1"/>
  <c r="D7" i="13" s="1"/>
  <c r="M7" i="13" s="1"/>
  <c r="C9" i="1"/>
  <c r="C7" i="13" s="1"/>
  <c r="B9" i="1"/>
  <c r="B7" i="13" s="1"/>
  <c r="A9" i="1"/>
  <c r="A7" i="13" s="1"/>
  <c r="E8" i="1"/>
  <c r="E6" i="13" s="1"/>
  <c r="D8" i="1"/>
  <c r="D6" i="13" s="1"/>
  <c r="M6" i="13" s="1"/>
  <c r="C8" i="1"/>
  <c r="C6" i="13" s="1"/>
  <c r="B8" i="1"/>
  <c r="B6" i="13" s="1"/>
  <c r="A8" i="1"/>
  <c r="A6" i="13" s="1"/>
  <c r="E7" i="1"/>
  <c r="E5" i="13" s="1"/>
  <c r="D7" i="1"/>
  <c r="D5" i="13" s="1"/>
  <c r="M5" i="13" s="1"/>
  <c r="C7" i="1"/>
  <c r="C5" i="13" s="1"/>
  <c r="B7" i="1"/>
  <c r="B5" i="13" s="1"/>
  <c r="A7" i="1"/>
  <c r="A5" i="13" s="1"/>
  <c r="E6" i="1"/>
  <c r="E4" i="13" s="1"/>
  <c r="D6" i="1"/>
  <c r="D4" i="13" s="1"/>
  <c r="M4" i="13" s="1"/>
  <c r="C6" i="1"/>
  <c r="C4" i="13" s="1"/>
  <c r="B6" i="1"/>
  <c r="B4" i="13" s="1"/>
  <c r="A6" i="1"/>
  <c r="A4" i="13" s="1"/>
  <c r="L529" i="1" l="1"/>
  <c r="D527" i="13"/>
  <c r="M527" i="13" s="1"/>
  <c r="N527" i="13" s="1"/>
  <c r="P527" i="13" s="1"/>
  <c r="L545" i="1"/>
  <c r="D543" i="13"/>
  <c r="M543" i="13" s="1"/>
  <c r="N543" i="13" s="1"/>
  <c r="P543" i="13" s="1"/>
  <c r="L561" i="1"/>
  <c r="D559" i="13"/>
  <c r="M559" i="13" s="1"/>
  <c r="N559" i="13" s="1"/>
  <c r="P559" i="13" s="1"/>
  <c r="L577" i="1"/>
  <c r="D575" i="13"/>
  <c r="M575" i="13" s="1"/>
  <c r="N575" i="13" s="1"/>
  <c r="P575" i="13" s="1"/>
  <c r="L593" i="1"/>
  <c r="D591" i="13"/>
  <c r="M591" i="13" s="1"/>
  <c r="N591" i="13" s="1"/>
  <c r="P591" i="13" s="1"/>
  <c r="L609" i="1"/>
  <c r="D607" i="13"/>
  <c r="M607" i="13" s="1"/>
  <c r="N607" i="13" s="1"/>
  <c r="P607" i="13" s="1"/>
  <c r="L625" i="1"/>
  <c r="D623" i="13"/>
  <c r="M623" i="13" s="1"/>
  <c r="N623" i="13" s="1"/>
  <c r="P623" i="13" s="1"/>
  <c r="L641" i="1"/>
  <c r="D639" i="13"/>
  <c r="M639" i="13" s="1"/>
  <c r="N639" i="13" s="1"/>
  <c r="P639" i="13" s="1"/>
  <c r="L657" i="1"/>
  <c r="D655" i="13"/>
  <c r="M655" i="13" s="1"/>
  <c r="N655" i="13" s="1"/>
  <c r="P655" i="13" s="1"/>
  <c r="L673" i="1"/>
  <c r="D671" i="13"/>
  <c r="M671" i="13" s="1"/>
  <c r="N671" i="13" s="1"/>
  <c r="P671" i="13" s="1"/>
  <c r="L689" i="1"/>
  <c r="D687" i="13"/>
  <c r="M687" i="13" s="1"/>
  <c r="N687" i="13" s="1"/>
  <c r="P687" i="13" s="1"/>
  <c r="L526" i="1"/>
  <c r="D524" i="13"/>
  <c r="M524" i="13" s="1"/>
  <c r="N524" i="13" s="1"/>
  <c r="P524" i="13" s="1"/>
  <c r="L558" i="1"/>
  <c r="D556" i="13"/>
  <c r="M556" i="13" s="1"/>
  <c r="N556" i="13" s="1"/>
  <c r="P556" i="13" s="1"/>
  <c r="L574" i="1"/>
  <c r="D572" i="13"/>
  <c r="M572" i="13" s="1"/>
  <c r="N572" i="13" s="1"/>
  <c r="P572" i="13" s="1"/>
  <c r="L590" i="1"/>
  <c r="D588" i="13"/>
  <c r="M588" i="13" s="1"/>
  <c r="N588" i="13" s="1"/>
  <c r="P588" i="13" s="1"/>
  <c r="L606" i="1"/>
  <c r="D604" i="13"/>
  <c r="M604" i="13" s="1"/>
  <c r="N604" i="13" s="1"/>
  <c r="P604" i="13" s="1"/>
  <c r="L622" i="1"/>
  <c r="D620" i="13"/>
  <c r="M620" i="13" s="1"/>
  <c r="N620" i="13" s="1"/>
  <c r="P620" i="13" s="1"/>
  <c r="L638" i="1"/>
  <c r="D636" i="13"/>
  <c r="M636" i="13" s="1"/>
  <c r="N636" i="13" s="1"/>
  <c r="P636" i="13" s="1"/>
  <c r="L654" i="1"/>
  <c r="D652" i="13"/>
  <c r="M652" i="13" s="1"/>
  <c r="N652" i="13" s="1"/>
  <c r="P652" i="13" s="1"/>
  <c r="L670" i="1"/>
  <c r="D668" i="13"/>
  <c r="M668" i="13" s="1"/>
  <c r="N668" i="13" s="1"/>
  <c r="P668" i="13" s="1"/>
  <c r="L686" i="1"/>
  <c r="D684" i="13"/>
  <c r="M684" i="13" s="1"/>
  <c r="N684" i="13" s="1"/>
  <c r="P684" i="13" s="1"/>
  <c r="L702" i="1"/>
  <c r="D700" i="13"/>
  <c r="M700" i="13" s="1"/>
  <c r="N700" i="13" s="1"/>
  <c r="P700" i="13" s="1"/>
  <c r="L718" i="1"/>
  <c r="D716" i="13"/>
  <c r="M716" i="13" s="1"/>
  <c r="N716" i="13" s="1"/>
  <c r="P716" i="13" s="1"/>
  <c r="D60" i="13"/>
  <c r="M60" i="13" s="1"/>
  <c r="F233" i="1"/>
  <c r="H233" i="1" s="1"/>
  <c r="D231" i="13"/>
  <c r="M231" i="13" s="1"/>
  <c r="F33" i="1"/>
  <c r="D31" i="13"/>
  <c r="M31" i="13" s="1"/>
  <c r="F191" i="1"/>
  <c r="D189" i="13"/>
  <c r="M189" i="13" s="1"/>
  <c r="L524" i="1"/>
  <c r="D522" i="13"/>
  <c r="M522" i="13" s="1"/>
  <c r="N522" i="13" s="1"/>
  <c r="P522" i="13" s="1"/>
  <c r="L540" i="1"/>
  <c r="D538" i="13"/>
  <c r="M538" i="13" s="1"/>
  <c r="N538" i="13" s="1"/>
  <c r="P538" i="13" s="1"/>
  <c r="L556" i="1"/>
  <c r="D554" i="13"/>
  <c r="M554" i="13" s="1"/>
  <c r="N554" i="13" s="1"/>
  <c r="P554" i="13" s="1"/>
  <c r="L572" i="1"/>
  <c r="D570" i="13"/>
  <c r="M570" i="13" s="1"/>
  <c r="N570" i="13" s="1"/>
  <c r="P570" i="13" s="1"/>
  <c r="L588" i="1"/>
  <c r="D586" i="13"/>
  <c r="M586" i="13" s="1"/>
  <c r="N586" i="13" s="1"/>
  <c r="P586" i="13" s="1"/>
  <c r="L604" i="1"/>
  <c r="D602" i="13"/>
  <c r="M602" i="13" s="1"/>
  <c r="N602" i="13" s="1"/>
  <c r="P602" i="13" s="1"/>
  <c r="L620" i="1"/>
  <c r="D618" i="13"/>
  <c r="M618" i="13" s="1"/>
  <c r="N618" i="13" s="1"/>
  <c r="P618" i="13" s="1"/>
  <c r="L636" i="1"/>
  <c r="D634" i="13"/>
  <c r="M634" i="13" s="1"/>
  <c r="N634" i="13" s="1"/>
  <c r="P634" i="13" s="1"/>
  <c r="L652" i="1"/>
  <c r="D650" i="13"/>
  <c r="M650" i="13" s="1"/>
  <c r="N650" i="13" s="1"/>
  <c r="P650" i="13" s="1"/>
  <c r="L668" i="1"/>
  <c r="D666" i="13"/>
  <c r="M666" i="13" s="1"/>
  <c r="N666" i="13" s="1"/>
  <c r="P666" i="13" s="1"/>
  <c r="L684" i="1"/>
  <c r="D682" i="13"/>
  <c r="M682" i="13" s="1"/>
  <c r="N682" i="13" s="1"/>
  <c r="P682" i="13" s="1"/>
  <c r="L700" i="1"/>
  <c r="D698" i="13"/>
  <c r="M698" i="13" s="1"/>
  <c r="N698" i="13" s="1"/>
  <c r="P698" i="13" s="1"/>
  <c r="L716" i="1"/>
  <c r="D714" i="13"/>
  <c r="M714" i="13" s="1"/>
  <c r="N714" i="13" s="1"/>
  <c r="P714" i="13" s="1"/>
  <c r="L732" i="1"/>
  <c r="D730" i="13"/>
  <c r="M730" i="13" s="1"/>
  <c r="N730" i="13" s="1"/>
  <c r="P730" i="13" s="1"/>
  <c r="L748" i="1"/>
  <c r="D746" i="13"/>
  <c r="M746" i="13" s="1"/>
  <c r="N746" i="13" s="1"/>
  <c r="P746" i="13" s="1"/>
  <c r="L764" i="1"/>
  <c r="D762" i="13"/>
  <c r="M762" i="13" s="1"/>
  <c r="N762" i="13" s="1"/>
  <c r="P762" i="13" s="1"/>
  <c r="L780" i="1"/>
  <c r="D778" i="13"/>
  <c r="M778" i="13" s="1"/>
  <c r="N778" i="13" s="1"/>
  <c r="P778" i="13" s="1"/>
  <c r="L537" i="1"/>
  <c r="D535" i="13"/>
  <c r="M535" i="13" s="1"/>
  <c r="N535" i="13" s="1"/>
  <c r="P535" i="13" s="1"/>
  <c r="L553" i="1"/>
  <c r="D551" i="13"/>
  <c r="M551" i="13" s="1"/>
  <c r="N551" i="13" s="1"/>
  <c r="P551" i="13" s="1"/>
  <c r="L569" i="1"/>
  <c r="D567" i="13"/>
  <c r="M567" i="13" s="1"/>
  <c r="N567" i="13" s="1"/>
  <c r="P567" i="13" s="1"/>
  <c r="L585" i="1"/>
  <c r="D583" i="13"/>
  <c r="M583" i="13" s="1"/>
  <c r="N583" i="13" s="1"/>
  <c r="P583" i="13" s="1"/>
  <c r="L601" i="1"/>
  <c r="D599" i="13"/>
  <c r="M599" i="13" s="1"/>
  <c r="N599" i="13" s="1"/>
  <c r="P599" i="13" s="1"/>
  <c r="L617" i="1"/>
  <c r="D615" i="13"/>
  <c r="M615" i="13" s="1"/>
  <c r="N615" i="13" s="1"/>
  <c r="P615" i="13" s="1"/>
  <c r="L633" i="1"/>
  <c r="D631" i="13"/>
  <c r="M631" i="13" s="1"/>
  <c r="N631" i="13" s="1"/>
  <c r="P631" i="13" s="1"/>
  <c r="L649" i="1"/>
  <c r="D647" i="13"/>
  <c r="M647" i="13" s="1"/>
  <c r="N647" i="13" s="1"/>
  <c r="P647" i="13" s="1"/>
  <c r="L665" i="1"/>
  <c r="D663" i="13"/>
  <c r="M663" i="13" s="1"/>
  <c r="N663" i="13" s="1"/>
  <c r="P663" i="13" s="1"/>
  <c r="L681" i="1"/>
  <c r="D679" i="13"/>
  <c r="M679" i="13" s="1"/>
  <c r="N679" i="13" s="1"/>
  <c r="P679" i="13" s="1"/>
  <c r="L697" i="1"/>
  <c r="D695" i="13"/>
  <c r="M695" i="13" s="1"/>
  <c r="N695" i="13" s="1"/>
  <c r="P695" i="13" s="1"/>
  <c r="L713" i="1"/>
  <c r="D711" i="13"/>
  <c r="M711" i="13" s="1"/>
  <c r="N711" i="13" s="1"/>
  <c r="P711" i="13" s="1"/>
  <c r="L729" i="1"/>
  <c r="D727" i="13"/>
  <c r="M727" i="13" s="1"/>
  <c r="N727" i="13" s="1"/>
  <c r="P727" i="13" s="1"/>
  <c r="L745" i="1"/>
  <c r="D743" i="13"/>
  <c r="M743" i="13" s="1"/>
  <c r="N743" i="13" s="1"/>
  <c r="P743" i="13" s="1"/>
  <c r="L761" i="1"/>
  <c r="D759" i="13"/>
  <c r="M759" i="13" s="1"/>
  <c r="N759" i="13" s="1"/>
  <c r="P759" i="13" s="1"/>
  <c r="L793" i="1"/>
  <c r="D791" i="13"/>
  <c r="M791" i="13" s="1"/>
  <c r="N791" i="13" s="1"/>
  <c r="P791" i="13" s="1"/>
  <c r="L809" i="1"/>
  <c r="D807" i="13"/>
  <c r="M807" i="13" s="1"/>
  <c r="N807" i="13" s="1"/>
  <c r="P807" i="13" s="1"/>
  <c r="L825" i="1"/>
  <c r="D823" i="13"/>
  <c r="M823" i="13" s="1"/>
  <c r="N823" i="13" s="1"/>
  <c r="P823" i="13" s="1"/>
  <c r="L841" i="1"/>
  <c r="D839" i="13"/>
  <c r="M839" i="13" s="1"/>
  <c r="N839" i="13" s="1"/>
  <c r="P839" i="13" s="1"/>
  <c r="L857" i="1"/>
  <c r="D855" i="13"/>
  <c r="M855" i="13" s="1"/>
  <c r="N855" i="13" s="1"/>
  <c r="P855" i="13" s="1"/>
  <c r="L534" i="1"/>
  <c r="D532" i="13"/>
  <c r="M532" i="13" s="1"/>
  <c r="N532" i="13" s="1"/>
  <c r="P532" i="13" s="1"/>
  <c r="L550" i="1"/>
  <c r="D548" i="13"/>
  <c r="M548" i="13" s="1"/>
  <c r="N548" i="13" s="1"/>
  <c r="P548" i="13" s="1"/>
  <c r="L566" i="1"/>
  <c r="D564" i="13"/>
  <c r="M564" i="13" s="1"/>
  <c r="N564" i="13" s="1"/>
  <c r="P564" i="13" s="1"/>
  <c r="L582" i="1"/>
  <c r="D580" i="13"/>
  <c r="M580" i="13" s="1"/>
  <c r="N580" i="13" s="1"/>
  <c r="P580" i="13" s="1"/>
  <c r="L598" i="1"/>
  <c r="D596" i="13"/>
  <c r="M596" i="13" s="1"/>
  <c r="N596" i="13" s="1"/>
  <c r="P596" i="13" s="1"/>
  <c r="L614" i="1"/>
  <c r="D612" i="13"/>
  <c r="M612" i="13" s="1"/>
  <c r="N612" i="13" s="1"/>
  <c r="P612" i="13" s="1"/>
  <c r="L630" i="1"/>
  <c r="D628" i="13"/>
  <c r="M628" i="13" s="1"/>
  <c r="N628" i="13" s="1"/>
  <c r="P628" i="13" s="1"/>
  <c r="L646" i="1"/>
  <c r="D644" i="13"/>
  <c r="M644" i="13" s="1"/>
  <c r="N644" i="13" s="1"/>
  <c r="P644" i="13" s="1"/>
  <c r="L662" i="1"/>
  <c r="D660" i="13"/>
  <c r="M660" i="13" s="1"/>
  <c r="N660" i="13" s="1"/>
  <c r="P660" i="13" s="1"/>
  <c r="L678" i="1"/>
  <c r="D676" i="13"/>
  <c r="M676" i="13" s="1"/>
  <c r="N676" i="13" s="1"/>
  <c r="P676" i="13" s="1"/>
  <c r="L694" i="1"/>
  <c r="D692" i="13"/>
  <c r="M692" i="13" s="1"/>
  <c r="N692" i="13" s="1"/>
  <c r="P692" i="13" s="1"/>
  <c r="L710" i="1"/>
  <c r="D708" i="13"/>
  <c r="M708" i="13" s="1"/>
  <c r="N708" i="13" s="1"/>
  <c r="P708" i="13" s="1"/>
  <c r="L726" i="1"/>
  <c r="D724" i="13"/>
  <c r="M724" i="13" s="1"/>
  <c r="N724" i="13" s="1"/>
  <c r="P724" i="13" s="1"/>
  <c r="L742" i="1"/>
  <c r="D740" i="13"/>
  <c r="M740" i="13" s="1"/>
  <c r="N740" i="13" s="1"/>
  <c r="P740" i="13" s="1"/>
  <c r="L758" i="1"/>
  <c r="D756" i="13"/>
  <c r="M756" i="13" s="1"/>
  <c r="N756" i="13" s="1"/>
  <c r="P756" i="13" s="1"/>
  <c r="L774" i="1"/>
  <c r="D772" i="13"/>
  <c r="M772" i="13" s="1"/>
  <c r="N772" i="13" s="1"/>
  <c r="P772" i="13" s="1"/>
  <c r="L790" i="1"/>
  <c r="D788" i="13"/>
  <c r="M788" i="13" s="1"/>
  <c r="N788" i="13" s="1"/>
  <c r="P788" i="13" s="1"/>
  <c r="L806" i="1"/>
  <c r="D804" i="13"/>
  <c r="M804" i="13" s="1"/>
  <c r="N804" i="13" s="1"/>
  <c r="P804" i="13" s="1"/>
  <c r="L822" i="1"/>
  <c r="D820" i="13"/>
  <c r="M820" i="13" s="1"/>
  <c r="N820" i="13" s="1"/>
  <c r="P820" i="13" s="1"/>
  <c r="L547" i="1"/>
  <c r="D545" i="13"/>
  <c r="M545" i="13" s="1"/>
  <c r="N545" i="13" s="1"/>
  <c r="P545" i="13" s="1"/>
  <c r="L563" i="1"/>
  <c r="D561" i="13"/>
  <c r="M561" i="13" s="1"/>
  <c r="N561" i="13" s="1"/>
  <c r="P561" i="13" s="1"/>
  <c r="L611" i="1"/>
  <c r="D609" i="13"/>
  <c r="M609" i="13" s="1"/>
  <c r="N609" i="13" s="1"/>
  <c r="P609" i="13" s="1"/>
  <c r="L643" i="1"/>
  <c r="D641" i="13"/>
  <c r="M641" i="13" s="1"/>
  <c r="N641" i="13" s="1"/>
  <c r="P641" i="13" s="1"/>
  <c r="L659" i="1"/>
  <c r="D657" i="13"/>
  <c r="M657" i="13" s="1"/>
  <c r="N657" i="13" s="1"/>
  <c r="P657" i="13" s="1"/>
  <c r="L691" i="1"/>
  <c r="D689" i="13"/>
  <c r="M689" i="13" s="1"/>
  <c r="N689" i="13" s="1"/>
  <c r="P689" i="13" s="1"/>
  <c r="L723" i="1"/>
  <c r="D721" i="13"/>
  <c r="M721" i="13" s="1"/>
  <c r="N721" i="13" s="1"/>
  <c r="P721" i="13" s="1"/>
  <c r="L755" i="1"/>
  <c r="D753" i="13"/>
  <c r="M753" i="13" s="1"/>
  <c r="N753" i="13" s="1"/>
  <c r="P753" i="13" s="1"/>
  <c r="L771" i="1"/>
  <c r="D769" i="13"/>
  <c r="M769" i="13" s="1"/>
  <c r="N769" i="13" s="1"/>
  <c r="P769" i="13" s="1"/>
  <c r="L787" i="1"/>
  <c r="D785" i="13"/>
  <c r="M785" i="13" s="1"/>
  <c r="N785" i="13" s="1"/>
  <c r="P785" i="13" s="1"/>
  <c r="L803" i="1"/>
  <c r="D801" i="13"/>
  <c r="M801" i="13" s="1"/>
  <c r="N801" i="13" s="1"/>
  <c r="P801" i="13" s="1"/>
  <c r="L579" i="1"/>
  <c r="D577" i="13"/>
  <c r="M577" i="13" s="1"/>
  <c r="N577" i="13" s="1"/>
  <c r="P577" i="13" s="1"/>
  <c r="L595" i="1"/>
  <c r="D593" i="13"/>
  <c r="M593" i="13" s="1"/>
  <c r="N593" i="13" s="1"/>
  <c r="P593" i="13" s="1"/>
  <c r="L627" i="1"/>
  <c r="D625" i="13"/>
  <c r="M625" i="13" s="1"/>
  <c r="N625" i="13" s="1"/>
  <c r="P625" i="13" s="1"/>
  <c r="L675" i="1"/>
  <c r="D673" i="13"/>
  <c r="M673" i="13" s="1"/>
  <c r="N673" i="13" s="1"/>
  <c r="P673" i="13" s="1"/>
  <c r="L525" i="1"/>
  <c r="D523" i="13"/>
  <c r="M523" i="13" s="1"/>
  <c r="N523" i="13" s="1"/>
  <c r="P523" i="13" s="1"/>
  <c r="L541" i="1"/>
  <c r="D539" i="13"/>
  <c r="M539" i="13" s="1"/>
  <c r="N539" i="13" s="1"/>
  <c r="P539" i="13" s="1"/>
  <c r="L557" i="1"/>
  <c r="D555" i="13"/>
  <c r="M555" i="13" s="1"/>
  <c r="N555" i="13" s="1"/>
  <c r="P555" i="13" s="1"/>
  <c r="L573" i="1"/>
  <c r="D571" i="13"/>
  <c r="M571" i="13" s="1"/>
  <c r="N571" i="13" s="1"/>
  <c r="P571" i="13" s="1"/>
  <c r="L589" i="1"/>
  <c r="D587" i="13"/>
  <c r="M587" i="13" s="1"/>
  <c r="N587" i="13" s="1"/>
  <c r="P587" i="13" s="1"/>
  <c r="L605" i="1"/>
  <c r="D603" i="13"/>
  <c r="M603" i="13" s="1"/>
  <c r="N603" i="13" s="1"/>
  <c r="P603" i="13" s="1"/>
  <c r="L621" i="1"/>
  <c r="D619" i="13"/>
  <c r="M619" i="13" s="1"/>
  <c r="N619" i="13" s="1"/>
  <c r="P619" i="13" s="1"/>
  <c r="L637" i="1"/>
  <c r="D635" i="13"/>
  <c r="M635" i="13" s="1"/>
  <c r="N635" i="13" s="1"/>
  <c r="P635" i="13" s="1"/>
  <c r="L653" i="1"/>
  <c r="D651" i="13"/>
  <c r="M651" i="13" s="1"/>
  <c r="N651" i="13" s="1"/>
  <c r="P651" i="13" s="1"/>
  <c r="L669" i="1"/>
  <c r="D667" i="13"/>
  <c r="M667" i="13" s="1"/>
  <c r="N667" i="13" s="1"/>
  <c r="P667" i="13" s="1"/>
  <c r="L685" i="1"/>
  <c r="D683" i="13"/>
  <c r="M683" i="13" s="1"/>
  <c r="N683" i="13" s="1"/>
  <c r="P683" i="13" s="1"/>
  <c r="L717" i="1"/>
  <c r="D715" i="13"/>
  <c r="M715" i="13" s="1"/>
  <c r="N715" i="13" s="1"/>
  <c r="P715" i="13" s="1"/>
  <c r="L733" i="1"/>
  <c r="D731" i="13"/>
  <c r="M731" i="13" s="1"/>
  <c r="N731" i="13" s="1"/>
  <c r="P731" i="13" s="1"/>
  <c r="L749" i="1"/>
  <c r="D747" i="13"/>
  <c r="M747" i="13" s="1"/>
  <c r="N747" i="13" s="1"/>
  <c r="P747" i="13" s="1"/>
  <c r="L765" i="1"/>
  <c r="D763" i="13"/>
  <c r="M763" i="13" s="1"/>
  <c r="N763" i="13" s="1"/>
  <c r="P763" i="13" s="1"/>
  <c r="L781" i="1"/>
  <c r="D779" i="13"/>
  <c r="M779" i="13" s="1"/>
  <c r="N779" i="13" s="1"/>
  <c r="P779" i="13" s="1"/>
  <c r="L797" i="1"/>
  <c r="D795" i="13"/>
  <c r="M795" i="13" s="1"/>
  <c r="N795" i="13" s="1"/>
  <c r="P795" i="13" s="1"/>
  <c r="L813" i="1"/>
  <c r="D811" i="13"/>
  <c r="M811" i="13" s="1"/>
  <c r="N811" i="13" s="1"/>
  <c r="P811" i="13" s="1"/>
  <c r="L829" i="1"/>
  <c r="D827" i="13"/>
  <c r="M827" i="13" s="1"/>
  <c r="N827" i="13" s="1"/>
  <c r="P827" i="13" s="1"/>
  <c r="L845" i="1"/>
  <c r="D843" i="13"/>
  <c r="M843" i="13" s="1"/>
  <c r="N843" i="13" s="1"/>
  <c r="P843" i="13" s="1"/>
  <c r="L535" i="1"/>
  <c r="D533" i="13"/>
  <c r="M533" i="13" s="1"/>
  <c r="N533" i="13" s="1"/>
  <c r="P533" i="13" s="1"/>
  <c r="L519" i="1"/>
  <c r="D517" i="13"/>
  <c r="M517" i="13" s="1"/>
  <c r="N517" i="13" s="1"/>
  <c r="P517" i="13" s="1"/>
  <c r="L551" i="1"/>
  <c r="D549" i="13"/>
  <c r="M549" i="13" s="1"/>
  <c r="N549" i="13" s="1"/>
  <c r="P549" i="13" s="1"/>
  <c r="L530" i="1"/>
  <c r="D528" i="13"/>
  <c r="M528" i="13" s="1"/>
  <c r="N528" i="13" s="1"/>
  <c r="P528" i="13" s="1"/>
  <c r="L546" i="1"/>
  <c r="D544" i="13"/>
  <c r="M544" i="13" s="1"/>
  <c r="N544" i="13" s="1"/>
  <c r="P544" i="13" s="1"/>
  <c r="L562" i="1"/>
  <c r="D560" i="13"/>
  <c r="M560" i="13" s="1"/>
  <c r="N560" i="13" s="1"/>
  <c r="P560" i="13" s="1"/>
  <c r="L594" i="1"/>
  <c r="D592" i="13"/>
  <c r="M592" i="13" s="1"/>
  <c r="N592" i="13" s="1"/>
  <c r="P592" i="13" s="1"/>
  <c r="L610" i="1"/>
  <c r="D608" i="13"/>
  <c r="M608" i="13" s="1"/>
  <c r="N608" i="13" s="1"/>
  <c r="P608" i="13" s="1"/>
  <c r="L626" i="1"/>
  <c r="D624" i="13"/>
  <c r="M624" i="13" s="1"/>
  <c r="N624" i="13" s="1"/>
  <c r="P624" i="13" s="1"/>
  <c r="L642" i="1"/>
  <c r="D640" i="13"/>
  <c r="M640" i="13" s="1"/>
  <c r="N640" i="13" s="1"/>
  <c r="P640" i="13" s="1"/>
  <c r="L658" i="1"/>
  <c r="D656" i="13"/>
  <c r="M656" i="13" s="1"/>
  <c r="N656" i="13" s="1"/>
  <c r="P656" i="13" s="1"/>
  <c r="L674" i="1"/>
  <c r="D672" i="13"/>
  <c r="M672" i="13" s="1"/>
  <c r="N672" i="13" s="1"/>
  <c r="P672" i="13" s="1"/>
  <c r="L722" i="1"/>
  <c r="D720" i="13"/>
  <c r="M720" i="13" s="1"/>
  <c r="N720" i="13" s="1"/>
  <c r="P720" i="13" s="1"/>
  <c r="L738" i="1"/>
  <c r="D736" i="13"/>
  <c r="M736" i="13" s="1"/>
  <c r="N736" i="13" s="1"/>
  <c r="P736" i="13" s="1"/>
  <c r="L754" i="1"/>
  <c r="D752" i="13"/>
  <c r="M752" i="13" s="1"/>
  <c r="N752" i="13" s="1"/>
  <c r="P752" i="13" s="1"/>
  <c r="L786" i="1"/>
  <c r="D784" i="13"/>
  <c r="M784" i="13" s="1"/>
  <c r="N784" i="13" s="1"/>
  <c r="P784" i="13" s="1"/>
  <c r="L802" i="1"/>
  <c r="D800" i="13"/>
  <c r="M800" i="13" s="1"/>
  <c r="N800" i="13" s="1"/>
  <c r="P800" i="13" s="1"/>
  <c r="L818" i="1"/>
  <c r="D816" i="13"/>
  <c r="M816" i="13" s="1"/>
  <c r="N816" i="13" s="1"/>
  <c r="P816" i="13" s="1"/>
  <c r="L834" i="1"/>
  <c r="D832" i="13"/>
  <c r="M832" i="13" s="1"/>
  <c r="N832" i="13" s="1"/>
  <c r="P832" i="13" s="1"/>
  <c r="L850" i="1"/>
  <c r="D848" i="13"/>
  <c r="M848" i="13" s="1"/>
  <c r="N848" i="13" s="1"/>
  <c r="P848" i="13" s="1"/>
  <c r="L527" i="1"/>
  <c r="D525" i="13"/>
  <c r="M525" i="13" s="1"/>
  <c r="N525" i="13" s="1"/>
  <c r="P525" i="13" s="1"/>
  <c r="L543" i="1"/>
  <c r="D541" i="13"/>
  <c r="M541" i="13" s="1"/>
  <c r="N541" i="13" s="1"/>
  <c r="P541" i="13" s="1"/>
  <c r="L559" i="1"/>
  <c r="D557" i="13"/>
  <c r="M557" i="13" s="1"/>
  <c r="N557" i="13" s="1"/>
  <c r="P557" i="13" s="1"/>
  <c r="L575" i="1"/>
  <c r="D573" i="13"/>
  <c r="M573" i="13" s="1"/>
  <c r="N573" i="13" s="1"/>
  <c r="P573" i="13" s="1"/>
  <c r="L591" i="1"/>
  <c r="D589" i="13"/>
  <c r="M589" i="13" s="1"/>
  <c r="N589" i="13" s="1"/>
  <c r="P589" i="13" s="1"/>
  <c r="L607" i="1"/>
  <c r="D605" i="13"/>
  <c r="M605" i="13" s="1"/>
  <c r="N605" i="13" s="1"/>
  <c r="P605" i="13" s="1"/>
  <c r="L623" i="1"/>
  <c r="D621" i="13"/>
  <c r="M621" i="13" s="1"/>
  <c r="N621" i="13" s="1"/>
  <c r="P621" i="13" s="1"/>
  <c r="L639" i="1"/>
  <c r="D637" i="13"/>
  <c r="M637" i="13" s="1"/>
  <c r="N637" i="13" s="1"/>
  <c r="P637" i="13" s="1"/>
  <c r="L655" i="1"/>
  <c r="D653" i="13"/>
  <c r="M653" i="13" s="1"/>
  <c r="N653" i="13" s="1"/>
  <c r="P653" i="13" s="1"/>
  <c r="L671" i="1"/>
  <c r="D669" i="13"/>
  <c r="M669" i="13" s="1"/>
  <c r="N669" i="13" s="1"/>
  <c r="P669" i="13" s="1"/>
  <c r="L687" i="1"/>
  <c r="D685" i="13"/>
  <c r="M685" i="13" s="1"/>
  <c r="N685" i="13" s="1"/>
  <c r="P685" i="13" s="1"/>
  <c r="L703" i="1"/>
  <c r="D701" i="13"/>
  <c r="M701" i="13" s="1"/>
  <c r="N701" i="13" s="1"/>
  <c r="P701" i="13" s="1"/>
  <c r="L719" i="1"/>
  <c r="D717" i="13"/>
  <c r="M717" i="13" s="1"/>
  <c r="N717" i="13" s="1"/>
  <c r="P717" i="13" s="1"/>
  <c r="L735" i="1"/>
  <c r="D733" i="13"/>
  <c r="M733" i="13" s="1"/>
  <c r="N733" i="13" s="1"/>
  <c r="P733" i="13" s="1"/>
  <c r="L751" i="1"/>
  <c r="D749" i="13"/>
  <c r="M749" i="13" s="1"/>
  <c r="N749" i="13" s="1"/>
  <c r="P749" i="13" s="1"/>
  <c r="L767" i="1"/>
  <c r="D765" i="13"/>
  <c r="M765" i="13" s="1"/>
  <c r="N765" i="13" s="1"/>
  <c r="P765" i="13" s="1"/>
  <c r="L783" i="1"/>
  <c r="D781" i="13"/>
  <c r="M781" i="13" s="1"/>
  <c r="N781" i="13" s="1"/>
  <c r="P781" i="13" s="1"/>
  <c r="L799" i="1"/>
  <c r="D797" i="13"/>
  <c r="M797" i="13" s="1"/>
  <c r="N797" i="13" s="1"/>
  <c r="P797" i="13" s="1"/>
  <c r="L815" i="1"/>
  <c r="D813" i="13"/>
  <c r="M813" i="13" s="1"/>
  <c r="N813" i="13" s="1"/>
  <c r="P813" i="13" s="1"/>
  <c r="L831" i="1"/>
  <c r="D829" i="13"/>
  <c r="M829" i="13" s="1"/>
  <c r="N829" i="13" s="1"/>
  <c r="P829" i="13" s="1"/>
  <c r="L847" i="1"/>
  <c r="D845" i="13"/>
  <c r="M845" i="13" s="1"/>
  <c r="N845" i="13" s="1"/>
  <c r="P845" i="13" s="1"/>
  <c r="L528" i="1"/>
  <c r="D526" i="13"/>
  <c r="M526" i="13" s="1"/>
  <c r="N526" i="13" s="1"/>
  <c r="P526" i="13" s="1"/>
  <c r="L544" i="1"/>
  <c r="D542" i="13"/>
  <c r="M542" i="13" s="1"/>
  <c r="N542" i="13" s="1"/>
  <c r="P542" i="13" s="1"/>
  <c r="L560" i="1"/>
  <c r="D558" i="13"/>
  <c r="M558" i="13" s="1"/>
  <c r="N558" i="13" s="1"/>
  <c r="P558" i="13" s="1"/>
  <c r="L576" i="1"/>
  <c r="D574" i="13"/>
  <c r="M574" i="13" s="1"/>
  <c r="N574" i="13" s="1"/>
  <c r="P574" i="13" s="1"/>
  <c r="L592" i="1"/>
  <c r="D590" i="13"/>
  <c r="M590" i="13" s="1"/>
  <c r="N590" i="13" s="1"/>
  <c r="P590" i="13" s="1"/>
  <c r="L608" i="1"/>
  <c r="D606" i="13"/>
  <c r="M606" i="13" s="1"/>
  <c r="N606" i="13" s="1"/>
  <c r="P606" i="13" s="1"/>
  <c r="L624" i="1"/>
  <c r="D622" i="13"/>
  <c r="M622" i="13" s="1"/>
  <c r="N622" i="13" s="1"/>
  <c r="P622" i="13" s="1"/>
  <c r="L640" i="1"/>
  <c r="D638" i="13"/>
  <c r="M638" i="13" s="1"/>
  <c r="N638" i="13" s="1"/>
  <c r="P638" i="13" s="1"/>
  <c r="L672" i="1"/>
  <c r="D670" i="13"/>
  <c r="M670" i="13" s="1"/>
  <c r="N670" i="13" s="1"/>
  <c r="P670" i="13" s="1"/>
  <c r="L688" i="1"/>
  <c r="D686" i="13"/>
  <c r="M686" i="13" s="1"/>
  <c r="N686" i="13" s="1"/>
  <c r="P686" i="13" s="1"/>
  <c r="L720" i="1"/>
  <c r="D718" i="13"/>
  <c r="M718" i="13" s="1"/>
  <c r="N718" i="13" s="1"/>
  <c r="P718" i="13" s="1"/>
  <c r="L736" i="1"/>
  <c r="D734" i="13"/>
  <c r="M734" i="13" s="1"/>
  <c r="N734" i="13" s="1"/>
  <c r="P734" i="13" s="1"/>
  <c r="L752" i="1"/>
  <c r="D750" i="13"/>
  <c r="M750" i="13" s="1"/>
  <c r="N750" i="13" s="1"/>
  <c r="P750" i="13" s="1"/>
  <c r="L768" i="1"/>
  <c r="D766" i="13"/>
  <c r="M766" i="13" s="1"/>
  <c r="N766" i="13" s="1"/>
  <c r="P766" i="13" s="1"/>
  <c r="L784" i="1"/>
  <c r="D782" i="13"/>
  <c r="M782" i="13" s="1"/>
  <c r="N782" i="13" s="1"/>
  <c r="P782" i="13" s="1"/>
  <c r="F154" i="1"/>
  <c r="D152" i="13"/>
  <c r="M152" i="13" s="1"/>
  <c r="L522" i="1"/>
  <c r="D520" i="13"/>
  <c r="M520" i="13" s="1"/>
  <c r="N520" i="13" s="1"/>
  <c r="P520" i="13" s="1"/>
  <c r="L538" i="1"/>
  <c r="D536" i="13"/>
  <c r="M536" i="13" s="1"/>
  <c r="N536" i="13" s="1"/>
  <c r="P536" i="13" s="1"/>
  <c r="L554" i="1"/>
  <c r="D552" i="13"/>
  <c r="M552" i="13" s="1"/>
  <c r="N552" i="13" s="1"/>
  <c r="P552" i="13" s="1"/>
  <c r="L570" i="1"/>
  <c r="D568" i="13"/>
  <c r="M568" i="13" s="1"/>
  <c r="N568" i="13" s="1"/>
  <c r="P568" i="13" s="1"/>
  <c r="L586" i="1"/>
  <c r="D584" i="13"/>
  <c r="M584" i="13" s="1"/>
  <c r="N584" i="13" s="1"/>
  <c r="P584" i="13" s="1"/>
  <c r="L602" i="1"/>
  <c r="D600" i="13"/>
  <c r="M600" i="13" s="1"/>
  <c r="N600" i="13" s="1"/>
  <c r="P600" i="13" s="1"/>
  <c r="L618" i="1"/>
  <c r="D616" i="13"/>
  <c r="M616" i="13" s="1"/>
  <c r="N616" i="13" s="1"/>
  <c r="P616" i="13" s="1"/>
  <c r="L650" i="1"/>
  <c r="D648" i="13"/>
  <c r="M648" i="13" s="1"/>
  <c r="N648" i="13" s="1"/>
  <c r="P648" i="13" s="1"/>
  <c r="L666" i="1"/>
  <c r="D664" i="13"/>
  <c r="M664" i="13" s="1"/>
  <c r="N664" i="13" s="1"/>
  <c r="P664" i="13" s="1"/>
  <c r="L682" i="1"/>
  <c r="D680" i="13"/>
  <c r="M680" i="13" s="1"/>
  <c r="N680" i="13" s="1"/>
  <c r="P680" i="13" s="1"/>
  <c r="L698" i="1"/>
  <c r="D696" i="13"/>
  <c r="M696" i="13" s="1"/>
  <c r="N696" i="13" s="1"/>
  <c r="P696" i="13" s="1"/>
  <c r="L714" i="1"/>
  <c r="D712" i="13"/>
  <c r="M712" i="13" s="1"/>
  <c r="N712" i="13" s="1"/>
  <c r="P712" i="13" s="1"/>
  <c r="L730" i="1"/>
  <c r="D728" i="13"/>
  <c r="M728" i="13" s="1"/>
  <c r="N728" i="13" s="1"/>
  <c r="P728" i="13" s="1"/>
  <c r="L762" i="1"/>
  <c r="D760" i="13"/>
  <c r="M760" i="13" s="1"/>
  <c r="N760" i="13" s="1"/>
  <c r="P760" i="13" s="1"/>
  <c r="L778" i="1"/>
  <c r="D776" i="13"/>
  <c r="M776" i="13" s="1"/>
  <c r="N776" i="13" s="1"/>
  <c r="P776" i="13" s="1"/>
  <c r="L794" i="1"/>
  <c r="D792" i="13"/>
  <c r="M792" i="13" s="1"/>
  <c r="N792" i="13" s="1"/>
  <c r="P792" i="13" s="1"/>
  <c r="L810" i="1"/>
  <c r="D808" i="13"/>
  <c r="M808" i="13" s="1"/>
  <c r="N808" i="13" s="1"/>
  <c r="P808" i="13" s="1"/>
  <c r="L826" i="1"/>
  <c r="D824" i="13"/>
  <c r="M824" i="13" s="1"/>
  <c r="N824" i="13" s="1"/>
  <c r="P824" i="13" s="1"/>
  <c r="L842" i="1"/>
  <c r="D840" i="13"/>
  <c r="M840" i="13" s="1"/>
  <c r="N840" i="13" s="1"/>
  <c r="P840" i="13" s="1"/>
  <c r="L858" i="1"/>
  <c r="D856" i="13"/>
  <c r="M856" i="13" s="1"/>
  <c r="N856" i="13" s="1"/>
  <c r="P856" i="13" s="1"/>
  <c r="L567" i="1"/>
  <c r="D565" i="13"/>
  <c r="M565" i="13" s="1"/>
  <c r="N565" i="13" s="1"/>
  <c r="P565" i="13" s="1"/>
  <c r="L583" i="1"/>
  <c r="D581" i="13"/>
  <c r="M581" i="13" s="1"/>
  <c r="N581" i="13" s="1"/>
  <c r="P581" i="13" s="1"/>
  <c r="L599" i="1"/>
  <c r="D597" i="13"/>
  <c r="M597" i="13" s="1"/>
  <c r="N597" i="13" s="1"/>
  <c r="P597" i="13" s="1"/>
  <c r="L615" i="1"/>
  <c r="D613" i="13"/>
  <c r="M613" i="13" s="1"/>
  <c r="N613" i="13" s="1"/>
  <c r="P613" i="13" s="1"/>
  <c r="L631" i="1"/>
  <c r="D629" i="13"/>
  <c r="M629" i="13" s="1"/>
  <c r="N629" i="13" s="1"/>
  <c r="P629" i="13" s="1"/>
  <c r="L647" i="1"/>
  <c r="D645" i="13"/>
  <c r="M645" i="13" s="1"/>
  <c r="N645" i="13" s="1"/>
  <c r="P645" i="13" s="1"/>
  <c r="L663" i="1"/>
  <c r="D661" i="13"/>
  <c r="M661" i="13" s="1"/>
  <c r="N661" i="13" s="1"/>
  <c r="P661" i="13" s="1"/>
  <c r="L679" i="1"/>
  <c r="D677" i="13"/>
  <c r="M677" i="13" s="1"/>
  <c r="N677" i="13" s="1"/>
  <c r="P677" i="13" s="1"/>
  <c r="L695" i="1"/>
  <c r="D693" i="13"/>
  <c r="M693" i="13" s="1"/>
  <c r="N693" i="13" s="1"/>
  <c r="P693" i="13" s="1"/>
  <c r="L711" i="1"/>
  <c r="D709" i="13"/>
  <c r="M709" i="13" s="1"/>
  <c r="N709" i="13" s="1"/>
  <c r="P709" i="13" s="1"/>
  <c r="L727" i="1"/>
  <c r="D725" i="13"/>
  <c r="M725" i="13" s="1"/>
  <c r="N725" i="13" s="1"/>
  <c r="P725" i="13" s="1"/>
  <c r="L743" i="1"/>
  <c r="D741" i="13"/>
  <c r="M741" i="13" s="1"/>
  <c r="N741" i="13" s="1"/>
  <c r="P741" i="13" s="1"/>
  <c r="L759" i="1"/>
  <c r="D757" i="13"/>
  <c r="M757" i="13" s="1"/>
  <c r="N757" i="13" s="1"/>
  <c r="P757" i="13" s="1"/>
  <c r="L775" i="1"/>
  <c r="D773" i="13"/>
  <c r="M773" i="13" s="1"/>
  <c r="N773" i="13" s="1"/>
  <c r="P773" i="13" s="1"/>
  <c r="L791" i="1"/>
  <c r="D789" i="13"/>
  <c r="M789" i="13" s="1"/>
  <c r="N789" i="13" s="1"/>
  <c r="P789" i="13" s="1"/>
  <c r="L807" i="1"/>
  <c r="D805" i="13"/>
  <c r="M805" i="13" s="1"/>
  <c r="N805" i="13" s="1"/>
  <c r="P805" i="13" s="1"/>
  <c r="L823" i="1"/>
  <c r="D821" i="13"/>
  <c r="M821" i="13" s="1"/>
  <c r="N821" i="13" s="1"/>
  <c r="P821" i="13" s="1"/>
  <c r="L839" i="1"/>
  <c r="D837" i="13"/>
  <c r="M837" i="13" s="1"/>
  <c r="N837" i="13" s="1"/>
  <c r="P837" i="13" s="1"/>
  <c r="L855" i="1"/>
  <c r="D853" i="13"/>
  <c r="M853" i="13" s="1"/>
  <c r="N853" i="13" s="1"/>
  <c r="P853" i="13" s="1"/>
  <c r="L532" i="1"/>
  <c r="D530" i="13"/>
  <c r="M530" i="13" s="1"/>
  <c r="N530" i="13" s="1"/>
  <c r="P530" i="13" s="1"/>
  <c r="L548" i="1"/>
  <c r="D546" i="13"/>
  <c r="M546" i="13" s="1"/>
  <c r="N546" i="13" s="1"/>
  <c r="P546" i="13" s="1"/>
  <c r="L564" i="1"/>
  <c r="D562" i="13"/>
  <c r="M562" i="13" s="1"/>
  <c r="N562" i="13" s="1"/>
  <c r="P562" i="13" s="1"/>
  <c r="L580" i="1"/>
  <c r="D578" i="13"/>
  <c r="M578" i="13" s="1"/>
  <c r="N578" i="13" s="1"/>
  <c r="P578" i="13" s="1"/>
  <c r="L596" i="1"/>
  <c r="D594" i="13"/>
  <c r="M594" i="13" s="1"/>
  <c r="N594" i="13" s="1"/>
  <c r="P594" i="13" s="1"/>
  <c r="L612" i="1"/>
  <c r="D610" i="13"/>
  <c r="M610" i="13" s="1"/>
  <c r="N610" i="13" s="1"/>
  <c r="P610" i="13" s="1"/>
  <c r="L628" i="1"/>
  <c r="D626" i="13"/>
  <c r="M626" i="13" s="1"/>
  <c r="N626" i="13" s="1"/>
  <c r="P626" i="13" s="1"/>
  <c r="L644" i="1"/>
  <c r="D642" i="13"/>
  <c r="M642" i="13" s="1"/>
  <c r="N642" i="13" s="1"/>
  <c r="P642" i="13" s="1"/>
  <c r="L660" i="1"/>
  <c r="D658" i="13"/>
  <c r="M658" i="13" s="1"/>
  <c r="N658" i="13" s="1"/>
  <c r="P658" i="13" s="1"/>
  <c r="L676" i="1"/>
  <c r="D674" i="13"/>
  <c r="M674" i="13" s="1"/>
  <c r="N674" i="13" s="1"/>
  <c r="P674" i="13" s="1"/>
  <c r="L692" i="1"/>
  <c r="D690" i="13"/>
  <c r="M690" i="13" s="1"/>
  <c r="N690" i="13" s="1"/>
  <c r="P690" i="13" s="1"/>
  <c r="L708" i="1"/>
  <c r="D706" i="13"/>
  <c r="M706" i="13" s="1"/>
  <c r="N706" i="13" s="1"/>
  <c r="P706" i="13" s="1"/>
  <c r="L724" i="1"/>
  <c r="D722" i="13"/>
  <c r="M722" i="13" s="1"/>
  <c r="N722" i="13" s="1"/>
  <c r="P722" i="13" s="1"/>
  <c r="L740" i="1"/>
  <c r="D738" i="13"/>
  <c r="M738" i="13" s="1"/>
  <c r="N738" i="13" s="1"/>
  <c r="P738" i="13" s="1"/>
  <c r="L756" i="1"/>
  <c r="D754" i="13"/>
  <c r="M754" i="13" s="1"/>
  <c r="N754" i="13" s="1"/>
  <c r="P754" i="13" s="1"/>
  <c r="L772" i="1"/>
  <c r="D770" i="13"/>
  <c r="M770" i="13" s="1"/>
  <c r="N770" i="13" s="1"/>
  <c r="P770" i="13" s="1"/>
  <c r="L788" i="1"/>
  <c r="D786" i="13"/>
  <c r="M786" i="13" s="1"/>
  <c r="N786" i="13" s="1"/>
  <c r="P786" i="13" s="1"/>
  <c r="L804" i="1"/>
  <c r="D802" i="13"/>
  <c r="M802" i="13" s="1"/>
  <c r="N802" i="13" s="1"/>
  <c r="P802" i="13" s="1"/>
  <c r="L820" i="1"/>
  <c r="D818" i="13"/>
  <c r="M818" i="13" s="1"/>
  <c r="N818" i="13" s="1"/>
  <c r="P818" i="13" s="1"/>
  <c r="L836" i="1"/>
  <c r="D834" i="13"/>
  <c r="M834" i="13" s="1"/>
  <c r="N834" i="13" s="1"/>
  <c r="P834" i="13" s="1"/>
  <c r="L852" i="1"/>
  <c r="D850" i="13"/>
  <c r="M850" i="13" s="1"/>
  <c r="N850" i="13" s="1"/>
  <c r="P850" i="13" s="1"/>
  <c r="L705" i="1"/>
  <c r="D703" i="13"/>
  <c r="M703" i="13" s="1"/>
  <c r="N703" i="13" s="1"/>
  <c r="P703" i="13" s="1"/>
  <c r="L721" i="1"/>
  <c r="D719" i="13"/>
  <c r="M719" i="13" s="1"/>
  <c r="N719" i="13" s="1"/>
  <c r="P719" i="13" s="1"/>
  <c r="L737" i="1"/>
  <c r="D735" i="13"/>
  <c r="M735" i="13" s="1"/>
  <c r="N735" i="13" s="1"/>
  <c r="P735" i="13" s="1"/>
  <c r="L753" i="1"/>
  <c r="D751" i="13"/>
  <c r="M751" i="13" s="1"/>
  <c r="N751" i="13" s="1"/>
  <c r="P751" i="13" s="1"/>
  <c r="L785" i="1"/>
  <c r="D783" i="13"/>
  <c r="M783" i="13" s="1"/>
  <c r="N783" i="13" s="1"/>
  <c r="P783" i="13" s="1"/>
  <c r="L801" i="1"/>
  <c r="D799" i="13"/>
  <c r="M799" i="13" s="1"/>
  <c r="N799" i="13" s="1"/>
  <c r="P799" i="13" s="1"/>
  <c r="L817" i="1"/>
  <c r="D815" i="13"/>
  <c r="M815" i="13" s="1"/>
  <c r="N815" i="13" s="1"/>
  <c r="P815" i="13" s="1"/>
  <c r="L833" i="1"/>
  <c r="D831" i="13"/>
  <c r="M831" i="13" s="1"/>
  <c r="N831" i="13" s="1"/>
  <c r="P831" i="13" s="1"/>
  <c r="L849" i="1"/>
  <c r="D847" i="13"/>
  <c r="M847" i="13" s="1"/>
  <c r="N847" i="13" s="1"/>
  <c r="P847" i="13" s="1"/>
  <c r="L734" i="1"/>
  <c r="D732" i="13"/>
  <c r="M732" i="13" s="1"/>
  <c r="N732" i="13" s="1"/>
  <c r="P732" i="13" s="1"/>
  <c r="L750" i="1"/>
  <c r="D748" i="13"/>
  <c r="M748" i="13" s="1"/>
  <c r="N748" i="13" s="1"/>
  <c r="P748" i="13" s="1"/>
  <c r="L766" i="1"/>
  <c r="D764" i="13"/>
  <c r="M764" i="13" s="1"/>
  <c r="N764" i="13" s="1"/>
  <c r="P764" i="13" s="1"/>
  <c r="L798" i="1"/>
  <c r="D796" i="13"/>
  <c r="M796" i="13" s="1"/>
  <c r="N796" i="13" s="1"/>
  <c r="P796" i="13" s="1"/>
  <c r="L814" i="1"/>
  <c r="D812" i="13"/>
  <c r="M812" i="13" s="1"/>
  <c r="N812" i="13" s="1"/>
  <c r="P812" i="13" s="1"/>
  <c r="L830" i="1"/>
  <c r="D828" i="13"/>
  <c r="M828" i="13" s="1"/>
  <c r="N828" i="13" s="1"/>
  <c r="P828" i="13" s="1"/>
  <c r="L846" i="1"/>
  <c r="D844" i="13"/>
  <c r="M844" i="13" s="1"/>
  <c r="N844" i="13" s="1"/>
  <c r="P844" i="13" s="1"/>
  <c r="L523" i="1"/>
  <c r="D521" i="13"/>
  <c r="M521" i="13" s="1"/>
  <c r="N521" i="13" s="1"/>
  <c r="P521" i="13" s="1"/>
  <c r="L539" i="1"/>
  <c r="D537" i="13"/>
  <c r="M537" i="13" s="1"/>
  <c r="N537" i="13" s="1"/>
  <c r="P537" i="13" s="1"/>
  <c r="L555" i="1"/>
  <c r="D553" i="13"/>
  <c r="M553" i="13" s="1"/>
  <c r="N553" i="13" s="1"/>
  <c r="P553" i="13" s="1"/>
  <c r="L571" i="1"/>
  <c r="D569" i="13"/>
  <c r="M569" i="13" s="1"/>
  <c r="N569" i="13" s="1"/>
  <c r="P569" i="13" s="1"/>
  <c r="L587" i="1"/>
  <c r="D585" i="13"/>
  <c r="M585" i="13" s="1"/>
  <c r="N585" i="13" s="1"/>
  <c r="P585" i="13" s="1"/>
  <c r="L603" i="1"/>
  <c r="D601" i="13"/>
  <c r="M601" i="13" s="1"/>
  <c r="N601" i="13" s="1"/>
  <c r="P601" i="13" s="1"/>
  <c r="L619" i="1"/>
  <c r="D617" i="13"/>
  <c r="M617" i="13" s="1"/>
  <c r="N617" i="13" s="1"/>
  <c r="P617" i="13" s="1"/>
  <c r="L635" i="1"/>
  <c r="D633" i="13"/>
  <c r="M633" i="13" s="1"/>
  <c r="N633" i="13" s="1"/>
  <c r="P633" i="13" s="1"/>
  <c r="L651" i="1"/>
  <c r="D649" i="13"/>
  <c r="M649" i="13" s="1"/>
  <c r="N649" i="13" s="1"/>
  <c r="P649" i="13" s="1"/>
  <c r="L667" i="1"/>
  <c r="D665" i="13"/>
  <c r="M665" i="13" s="1"/>
  <c r="N665" i="13" s="1"/>
  <c r="P665" i="13" s="1"/>
  <c r="L683" i="1"/>
  <c r="D681" i="13"/>
  <c r="M681" i="13" s="1"/>
  <c r="N681" i="13" s="1"/>
  <c r="P681" i="13" s="1"/>
  <c r="L699" i="1"/>
  <c r="D697" i="13"/>
  <c r="M697" i="13" s="1"/>
  <c r="N697" i="13" s="1"/>
  <c r="P697" i="13" s="1"/>
  <c r="L715" i="1"/>
  <c r="D713" i="13"/>
  <c r="M713" i="13" s="1"/>
  <c r="N713" i="13" s="1"/>
  <c r="P713" i="13" s="1"/>
  <c r="L731" i="1"/>
  <c r="D729" i="13"/>
  <c r="M729" i="13" s="1"/>
  <c r="N729" i="13" s="1"/>
  <c r="P729" i="13" s="1"/>
  <c r="L747" i="1"/>
  <c r="D745" i="13"/>
  <c r="M745" i="13" s="1"/>
  <c r="N745" i="13" s="1"/>
  <c r="P745" i="13" s="1"/>
  <c r="L779" i="1"/>
  <c r="D777" i="13"/>
  <c r="M777" i="13" s="1"/>
  <c r="N777" i="13" s="1"/>
  <c r="P777" i="13" s="1"/>
  <c r="L811" i="1"/>
  <c r="D809" i="13"/>
  <c r="M809" i="13" s="1"/>
  <c r="N809" i="13" s="1"/>
  <c r="P809" i="13" s="1"/>
  <c r="L827" i="1"/>
  <c r="D825" i="13"/>
  <c r="M825" i="13" s="1"/>
  <c r="N825" i="13" s="1"/>
  <c r="P825" i="13" s="1"/>
  <c r="L859" i="1"/>
  <c r="D857" i="13"/>
  <c r="M857" i="13" s="1"/>
  <c r="N857" i="13" s="1"/>
  <c r="P857" i="13" s="1"/>
  <c r="L520" i="1"/>
  <c r="D518" i="13"/>
  <c r="M518" i="13" s="1"/>
  <c r="N518" i="13" s="1"/>
  <c r="P518" i="13" s="1"/>
  <c r="L536" i="1"/>
  <c r="D534" i="13"/>
  <c r="M534" i="13" s="1"/>
  <c r="N534" i="13" s="1"/>
  <c r="P534" i="13" s="1"/>
  <c r="L552" i="1"/>
  <c r="D550" i="13"/>
  <c r="M550" i="13" s="1"/>
  <c r="N550" i="13" s="1"/>
  <c r="P550" i="13" s="1"/>
  <c r="L568" i="1"/>
  <c r="D566" i="13"/>
  <c r="M566" i="13" s="1"/>
  <c r="N566" i="13" s="1"/>
  <c r="P566" i="13" s="1"/>
  <c r="L584" i="1"/>
  <c r="D582" i="13"/>
  <c r="M582" i="13" s="1"/>
  <c r="N582" i="13" s="1"/>
  <c r="P582" i="13" s="1"/>
  <c r="L600" i="1"/>
  <c r="D598" i="13"/>
  <c r="M598" i="13" s="1"/>
  <c r="N598" i="13" s="1"/>
  <c r="P598" i="13" s="1"/>
  <c r="L616" i="1"/>
  <c r="D614" i="13"/>
  <c r="M614" i="13" s="1"/>
  <c r="N614" i="13" s="1"/>
  <c r="P614" i="13" s="1"/>
  <c r="L632" i="1"/>
  <c r="D630" i="13"/>
  <c r="M630" i="13" s="1"/>
  <c r="N630" i="13" s="1"/>
  <c r="P630" i="13" s="1"/>
  <c r="L648" i="1"/>
  <c r="D646" i="13"/>
  <c r="M646" i="13" s="1"/>
  <c r="N646" i="13" s="1"/>
  <c r="P646" i="13" s="1"/>
  <c r="L664" i="1"/>
  <c r="D662" i="13"/>
  <c r="M662" i="13" s="1"/>
  <c r="N662" i="13" s="1"/>
  <c r="P662" i="13" s="1"/>
  <c r="L680" i="1"/>
  <c r="D678" i="13"/>
  <c r="M678" i="13" s="1"/>
  <c r="N678" i="13" s="1"/>
  <c r="P678" i="13" s="1"/>
  <c r="L696" i="1"/>
  <c r="D694" i="13"/>
  <c r="M694" i="13" s="1"/>
  <c r="N694" i="13" s="1"/>
  <c r="P694" i="13" s="1"/>
  <c r="L712" i="1"/>
  <c r="D710" i="13"/>
  <c r="M710" i="13" s="1"/>
  <c r="N710" i="13" s="1"/>
  <c r="P710" i="13" s="1"/>
  <c r="L728" i="1"/>
  <c r="D726" i="13"/>
  <c r="M726" i="13" s="1"/>
  <c r="N726" i="13" s="1"/>
  <c r="P726" i="13" s="1"/>
  <c r="L744" i="1"/>
  <c r="D742" i="13"/>
  <c r="M742" i="13" s="1"/>
  <c r="N742" i="13" s="1"/>
  <c r="P742" i="13" s="1"/>
  <c r="L760" i="1"/>
  <c r="D758" i="13"/>
  <c r="M758" i="13" s="1"/>
  <c r="N758" i="13" s="1"/>
  <c r="P758" i="13" s="1"/>
  <c r="L776" i="1"/>
  <c r="D774" i="13"/>
  <c r="M774" i="13" s="1"/>
  <c r="N774" i="13" s="1"/>
  <c r="P774" i="13" s="1"/>
  <c r="L792" i="1"/>
  <c r="D790" i="13"/>
  <c r="M790" i="13" s="1"/>
  <c r="N790" i="13" s="1"/>
  <c r="P790" i="13" s="1"/>
  <c r="L808" i="1"/>
  <c r="D806" i="13"/>
  <c r="M806" i="13" s="1"/>
  <c r="N806" i="13" s="1"/>
  <c r="P806" i="13" s="1"/>
  <c r="L824" i="1"/>
  <c r="D822" i="13"/>
  <c r="M822" i="13" s="1"/>
  <c r="N822" i="13" s="1"/>
  <c r="P822" i="13" s="1"/>
  <c r="L840" i="1"/>
  <c r="D838" i="13"/>
  <c r="M838" i="13" s="1"/>
  <c r="N838" i="13" s="1"/>
  <c r="P838" i="13" s="1"/>
  <c r="L856" i="1"/>
  <c r="D854" i="13"/>
  <c r="M854" i="13" s="1"/>
  <c r="N854" i="13" s="1"/>
  <c r="P854" i="13" s="1"/>
  <c r="F389" i="1"/>
  <c r="H389" i="1" s="1"/>
  <c r="D387" i="13"/>
  <c r="M387" i="13" s="1"/>
  <c r="L533" i="1"/>
  <c r="D531" i="13"/>
  <c r="M531" i="13" s="1"/>
  <c r="N531" i="13" s="1"/>
  <c r="P531" i="13" s="1"/>
  <c r="L549" i="1"/>
  <c r="D547" i="13"/>
  <c r="M547" i="13" s="1"/>
  <c r="N547" i="13" s="1"/>
  <c r="P547" i="13" s="1"/>
  <c r="L565" i="1"/>
  <c r="D563" i="13"/>
  <c r="M563" i="13" s="1"/>
  <c r="N563" i="13" s="1"/>
  <c r="P563" i="13" s="1"/>
  <c r="L581" i="1"/>
  <c r="D579" i="13"/>
  <c r="M579" i="13" s="1"/>
  <c r="N579" i="13" s="1"/>
  <c r="P579" i="13" s="1"/>
  <c r="L597" i="1"/>
  <c r="D595" i="13"/>
  <c r="M595" i="13" s="1"/>
  <c r="N595" i="13" s="1"/>
  <c r="P595" i="13" s="1"/>
  <c r="L613" i="1"/>
  <c r="D611" i="13"/>
  <c r="M611" i="13" s="1"/>
  <c r="N611" i="13" s="1"/>
  <c r="P611" i="13" s="1"/>
  <c r="L629" i="1"/>
  <c r="D627" i="13"/>
  <c r="M627" i="13" s="1"/>
  <c r="N627" i="13" s="1"/>
  <c r="P627" i="13" s="1"/>
  <c r="L645" i="1"/>
  <c r="D643" i="13"/>
  <c r="M643" i="13" s="1"/>
  <c r="N643" i="13" s="1"/>
  <c r="P643" i="13" s="1"/>
  <c r="L661" i="1"/>
  <c r="D659" i="13"/>
  <c r="M659" i="13" s="1"/>
  <c r="N659" i="13" s="1"/>
  <c r="P659" i="13" s="1"/>
  <c r="L677" i="1"/>
  <c r="D675" i="13"/>
  <c r="M675" i="13" s="1"/>
  <c r="N675" i="13" s="1"/>
  <c r="P675" i="13" s="1"/>
  <c r="L693" i="1"/>
  <c r="D691" i="13"/>
  <c r="M691" i="13" s="1"/>
  <c r="N691" i="13" s="1"/>
  <c r="P691" i="13" s="1"/>
  <c r="L709" i="1"/>
  <c r="D707" i="13"/>
  <c r="M707" i="13" s="1"/>
  <c r="N707" i="13" s="1"/>
  <c r="P707" i="13" s="1"/>
  <c r="L725" i="1"/>
  <c r="D723" i="13"/>
  <c r="M723" i="13" s="1"/>
  <c r="N723" i="13" s="1"/>
  <c r="P723" i="13" s="1"/>
  <c r="L741" i="1"/>
  <c r="D739" i="13"/>
  <c r="M739" i="13" s="1"/>
  <c r="N739" i="13" s="1"/>
  <c r="P739" i="13" s="1"/>
  <c r="L757" i="1"/>
  <c r="D755" i="13"/>
  <c r="M755" i="13" s="1"/>
  <c r="N755" i="13" s="1"/>
  <c r="P755" i="13" s="1"/>
  <c r="L773" i="1"/>
  <c r="D771" i="13"/>
  <c r="M771" i="13" s="1"/>
  <c r="N771" i="13" s="1"/>
  <c r="P771" i="13" s="1"/>
  <c r="L789" i="1"/>
  <c r="D787" i="13"/>
  <c r="M787" i="13" s="1"/>
  <c r="N787" i="13" s="1"/>
  <c r="P787" i="13" s="1"/>
  <c r="L805" i="1"/>
  <c r="D803" i="13"/>
  <c r="M803" i="13" s="1"/>
  <c r="N803" i="13" s="1"/>
  <c r="P803" i="13" s="1"/>
  <c r="L821" i="1"/>
  <c r="D819" i="13"/>
  <c r="M819" i="13" s="1"/>
  <c r="N819" i="13" s="1"/>
  <c r="P819" i="13" s="1"/>
  <c r="L837" i="1"/>
  <c r="D835" i="13"/>
  <c r="M835" i="13" s="1"/>
  <c r="N835" i="13" s="1"/>
  <c r="P835" i="13" s="1"/>
  <c r="L853" i="1"/>
  <c r="D851" i="13"/>
  <c r="M851" i="13" s="1"/>
  <c r="N851" i="13" s="1"/>
  <c r="P851" i="13" s="1"/>
  <c r="L796" i="1"/>
  <c r="D794" i="13"/>
  <c r="M794" i="13" s="1"/>
  <c r="N794" i="13" s="1"/>
  <c r="P794" i="13" s="1"/>
  <c r="L812" i="1"/>
  <c r="D810" i="13"/>
  <c r="M810" i="13" s="1"/>
  <c r="N810" i="13" s="1"/>
  <c r="P810" i="13" s="1"/>
  <c r="L828" i="1"/>
  <c r="D826" i="13"/>
  <c r="M826" i="13" s="1"/>
  <c r="N826" i="13" s="1"/>
  <c r="P826" i="13" s="1"/>
  <c r="L844" i="1"/>
  <c r="D842" i="13"/>
  <c r="M842" i="13" s="1"/>
  <c r="N842" i="13" s="1"/>
  <c r="P842" i="13" s="1"/>
  <c r="L838" i="1"/>
  <c r="D836" i="13"/>
  <c r="M836" i="13" s="1"/>
  <c r="N836" i="13" s="1"/>
  <c r="P836" i="13" s="1"/>
  <c r="L854" i="1"/>
  <c r="D852" i="13"/>
  <c r="M852" i="13" s="1"/>
  <c r="N852" i="13" s="1"/>
  <c r="P852" i="13" s="1"/>
  <c r="L819" i="1"/>
  <c r="D817" i="13"/>
  <c r="M817" i="13" s="1"/>
  <c r="N817" i="13" s="1"/>
  <c r="P817" i="13" s="1"/>
  <c r="L835" i="1"/>
  <c r="D833" i="13"/>
  <c r="M833" i="13" s="1"/>
  <c r="N833" i="13" s="1"/>
  <c r="P833" i="13" s="1"/>
  <c r="L851" i="1"/>
  <c r="D849" i="13"/>
  <c r="M849" i="13" s="1"/>
  <c r="N849" i="13" s="1"/>
  <c r="P849" i="13" s="1"/>
  <c r="L800" i="1"/>
  <c r="D798" i="13"/>
  <c r="M798" i="13" s="1"/>
  <c r="N798" i="13" s="1"/>
  <c r="P798" i="13" s="1"/>
  <c r="L816" i="1"/>
  <c r="D814" i="13"/>
  <c r="M814" i="13" s="1"/>
  <c r="N814" i="13" s="1"/>
  <c r="P814" i="13" s="1"/>
  <c r="L832" i="1"/>
  <c r="D830" i="13"/>
  <c r="M830" i="13" s="1"/>
  <c r="N830" i="13" s="1"/>
  <c r="P830" i="13" s="1"/>
  <c r="F764" i="1"/>
  <c r="K764" i="1" s="1"/>
  <c r="F761" i="1"/>
  <c r="F818" i="1"/>
  <c r="J818" i="1" s="1"/>
  <c r="F669" i="1"/>
  <c r="H669" i="1" s="1"/>
  <c r="F743" i="1"/>
  <c r="H743" i="1" s="1"/>
  <c r="F749" i="1"/>
  <c r="J749" i="1" s="1"/>
  <c r="F584" i="1"/>
  <c r="I584" i="1" s="1"/>
  <c r="F587" i="1"/>
  <c r="K587" i="1" s="1"/>
  <c r="F566" i="1"/>
  <c r="K566" i="1" s="1"/>
  <c r="F728" i="1"/>
  <c r="G728" i="1" s="1"/>
  <c r="F637" i="1"/>
  <c r="I637" i="1" s="1"/>
  <c r="F824" i="1"/>
  <c r="G824" i="1" s="1"/>
  <c r="F836" i="1"/>
  <c r="K836" i="1" s="1"/>
  <c r="F839" i="1"/>
  <c r="J839" i="1" s="1"/>
  <c r="F842" i="1"/>
  <c r="H842" i="1" s="1"/>
  <c r="F572" i="1"/>
  <c r="G572" i="1" s="1"/>
  <c r="F541" i="1"/>
  <c r="F851" i="1"/>
  <c r="K851" i="1" s="1"/>
  <c r="F793" i="1"/>
  <c r="K793" i="1" s="1"/>
  <c r="F145" i="1"/>
  <c r="H145" i="1" s="1"/>
  <c r="F638" i="1"/>
  <c r="G638" i="1" s="1"/>
  <c r="F753" i="1"/>
  <c r="I753" i="1" s="1"/>
  <c r="F768" i="1"/>
  <c r="H768" i="1" s="1"/>
  <c r="F22" i="1"/>
  <c r="J22" i="1" s="1"/>
  <c r="F679" i="1"/>
  <c r="K679" i="1" s="1"/>
  <c r="F852" i="1"/>
  <c r="K852" i="1" s="1"/>
  <c r="F63" i="1"/>
  <c r="H63" i="1" s="1"/>
  <c r="F254" i="1"/>
  <c r="J254" i="1" s="1"/>
  <c r="F321" i="1"/>
  <c r="G321" i="1" s="1"/>
  <c r="F567" i="1"/>
  <c r="K567" i="1" s="1"/>
  <c r="F502" i="1"/>
  <c r="J502" i="1" s="1"/>
  <c r="F382" i="1"/>
  <c r="G382" i="1" s="1"/>
  <c r="F451" i="1"/>
  <c r="H451" i="1" s="1"/>
  <c r="F14" i="1"/>
  <c r="G14" i="1" s="1"/>
  <c r="F48" i="1"/>
  <c r="J48" i="1" s="1"/>
  <c r="F86" i="1"/>
  <c r="J86" i="1" s="1"/>
  <c r="F325" i="1"/>
  <c r="I325" i="1" s="1"/>
  <c r="F344" i="1"/>
  <c r="I344" i="1" s="1"/>
  <c r="F474" i="1"/>
  <c r="I474" i="1" s="1"/>
  <c r="F509" i="1"/>
  <c r="H509" i="1" s="1"/>
  <c r="F537" i="1"/>
  <c r="G537" i="1" s="1"/>
  <c r="F540" i="1"/>
  <c r="H540" i="1" s="1"/>
  <c r="F680" i="1"/>
  <c r="G680" i="1" s="1"/>
  <c r="F456" i="1"/>
  <c r="H456" i="1" s="1"/>
  <c r="F472" i="1"/>
  <c r="G472" i="1" s="1"/>
  <c r="F94" i="1"/>
  <c r="H94" i="1" s="1"/>
  <c r="F72" i="1"/>
  <c r="G72" i="1" s="1"/>
  <c r="F600" i="1"/>
  <c r="J600" i="1" s="1"/>
  <c r="F759" i="1"/>
  <c r="H759" i="1" s="1"/>
  <c r="F796" i="1"/>
  <c r="I796" i="1" s="1"/>
  <c r="F298" i="1"/>
  <c r="G298" i="1" s="1"/>
  <c r="F412" i="1"/>
  <c r="H412" i="1" s="1"/>
  <c r="F343" i="1"/>
  <c r="J343" i="1" s="1"/>
  <c r="F473" i="1"/>
  <c r="J473" i="1" s="1"/>
  <c r="F35" i="1"/>
  <c r="F318" i="1"/>
  <c r="I318" i="1" s="1"/>
  <c r="F794" i="1"/>
  <c r="H794" i="1" s="1"/>
  <c r="F95" i="1"/>
  <c r="I95" i="1" s="1"/>
  <c r="F229" i="1"/>
  <c r="J229" i="1" s="1"/>
  <c r="F331" i="1"/>
  <c r="H331" i="1" s="1"/>
  <c r="F334" i="1"/>
  <c r="J334" i="1" s="1"/>
  <c r="F350" i="1"/>
  <c r="J350" i="1" s="1"/>
  <c r="F586" i="1"/>
  <c r="G586" i="1" s="1"/>
  <c r="F739" i="1"/>
  <c r="G739" i="1" s="1"/>
  <c r="L739" i="1"/>
  <c r="F835" i="1"/>
  <c r="G835" i="1" s="1"/>
  <c r="F11" i="1"/>
  <c r="I11" i="1" s="1"/>
  <c r="F169" i="1"/>
  <c r="J169" i="1" s="1"/>
  <c r="F290" i="1"/>
  <c r="J290" i="1" s="1"/>
  <c r="F322" i="1"/>
  <c r="I322" i="1" s="1"/>
  <c r="F528" i="1"/>
  <c r="I528" i="1" s="1"/>
  <c r="F634" i="1"/>
  <c r="G634" i="1" s="1"/>
  <c r="L634" i="1"/>
  <c r="F690" i="1"/>
  <c r="G690" i="1" s="1"/>
  <c r="L690" i="1"/>
  <c r="F706" i="1"/>
  <c r="H706" i="1" s="1"/>
  <c r="L706" i="1"/>
  <c r="F770" i="1"/>
  <c r="K770" i="1" s="1"/>
  <c r="L770" i="1"/>
  <c r="F795" i="1"/>
  <c r="K795" i="1" s="1"/>
  <c r="M795" i="1" s="1"/>
  <c r="L795" i="1"/>
  <c r="F701" i="1"/>
  <c r="K701" i="1" s="1"/>
  <c r="L701" i="1"/>
  <c r="F564" i="1"/>
  <c r="K564" i="1" s="1"/>
  <c r="F763" i="1"/>
  <c r="G763" i="1" s="1"/>
  <c r="L763" i="1"/>
  <c r="F127" i="1"/>
  <c r="H127" i="1" s="1"/>
  <c r="F435" i="1"/>
  <c r="G435" i="1" s="1"/>
  <c r="F518" i="1"/>
  <c r="I518" i="1" s="1"/>
  <c r="F23" i="1"/>
  <c r="H23" i="1" s="1"/>
  <c r="F8" i="1"/>
  <c r="H8" i="1" s="1"/>
  <c r="F96" i="1"/>
  <c r="G96" i="1" s="1"/>
  <c r="F128" i="1"/>
  <c r="J128" i="1" s="1"/>
  <c r="F217" i="1"/>
  <c r="J217" i="1" s="1"/>
  <c r="F271" i="1"/>
  <c r="G271" i="1" s="1"/>
  <c r="F354" i="1"/>
  <c r="I354" i="1" s="1"/>
  <c r="F712" i="1"/>
  <c r="F746" i="1"/>
  <c r="I746" i="1" s="1"/>
  <c r="L746" i="1"/>
  <c r="F707" i="1"/>
  <c r="K707" i="1" s="1"/>
  <c r="L707" i="1"/>
  <c r="F215" i="1"/>
  <c r="H215" i="1" s="1"/>
  <c r="F843" i="1"/>
  <c r="I843" i="1" s="1"/>
  <c r="L843" i="1"/>
  <c r="F161" i="1"/>
  <c r="I161" i="1" s="1"/>
  <c r="F476" i="1"/>
  <c r="J476" i="1" s="1"/>
  <c r="F511" i="1"/>
  <c r="J511" i="1" s="1"/>
  <c r="F457" i="1"/>
  <c r="H457" i="1" s="1"/>
  <c r="F10" i="1"/>
  <c r="G10" i="1" s="1"/>
  <c r="F136" i="1"/>
  <c r="H136" i="1" s="1"/>
  <c r="F775" i="1"/>
  <c r="G775" i="1" s="1"/>
  <c r="F38" i="1"/>
  <c r="J38" i="1" s="1"/>
  <c r="F144" i="1"/>
  <c r="J144" i="1" s="1"/>
  <c r="F335" i="1"/>
  <c r="H335" i="1" s="1"/>
  <c r="F392" i="1"/>
  <c r="J392" i="1" s="1"/>
  <c r="F446" i="1"/>
  <c r="J446" i="1" s="1"/>
  <c r="F500" i="1"/>
  <c r="I500" i="1" s="1"/>
  <c r="F578" i="1"/>
  <c r="J578" i="1" s="1"/>
  <c r="L578" i="1"/>
  <c r="F656" i="1"/>
  <c r="K656" i="1" s="1"/>
  <c r="L656" i="1"/>
  <c r="F848" i="1"/>
  <c r="H848" i="1" s="1"/>
  <c r="L848" i="1"/>
  <c r="F167" i="1"/>
  <c r="I167" i="1" s="1"/>
  <c r="F469" i="1"/>
  <c r="G469" i="1" s="1"/>
  <c r="F594" i="1"/>
  <c r="K594" i="1" s="1"/>
  <c r="F542" i="1"/>
  <c r="K542" i="1" s="1"/>
  <c r="L542" i="1"/>
  <c r="F419" i="1"/>
  <c r="I419" i="1" s="1"/>
  <c r="F521" i="1"/>
  <c r="J521" i="1" s="1"/>
  <c r="L521" i="1"/>
  <c r="F46" i="1"/>
  <c r="H46" i="1" s="1"/>
  <c r="F329" i="1"/>
  <c r="G329" i="1" s="1"/>
  <c r="F43" i="1"/>
  <c r="J43" i="1" s="1"/>
  <c r="F138" i="1"/>
  <c r="J138" i="1" s="1"/>
  <c r="F192" i="1"/>
  <c r="J192" i="1" s="1"/>
  <c r="F278" i="1"/>
  <c r="G278" i="1" s="1"/>
  <c r="F361" i="1"/>
  <c r="G361" i="1" s="1"/>
  <c r="F402" i="1"/>
  <c r="I402" i="1" s="1"/>
  <c r="F535" i="1"/>
  <c r="H535" i="1" s="1"/>
  <c r="F777" i="1"/>
  <c r="G777" i="1" s="1"/>
  <c r="L777" i="1"/>
  <c r="F858" i="1"/>
  <c r="K858" i="1" s="1"/>
  <c r="F100" i="1"/>
  <c r="H100" i="1" s="1"/>
  <c r="F151" i="1"/>
  <c r="G151" i="1" s="1"/>
  <c r="F323" i="1"/>
  <c r="J323" i="1" s="1"/>
  <c r="F358" i="1"/>
  <c r="G358" i="1" s="1"/>
  <c r="F704" i="1"/>
  <c r="G704" i="1" s="1"/>
  <c r="L704" i="1"/>
  <c r="F6" i="1"/>
  <c r="G6" i="1" s="1"/>
  <c r="F91" i="1"/>
  <c r="G91" i="1" s="1"/>
  <c r="F256" i="1"/>
  <c r="G256" i="1" s="1"/>
  <c r="F713" i="1"/>
  <c r="G713" i="1" s="1"/>
  <c r="F756" i="1"/>
  <c r="K756" i="1" s="1"/>
  <c r="F390" i="1"/>
  <c r="J390" i="1" s="1"/>
  <c r="F225" i="1"/>
  <c r="I225" i="1" s="1"/>
  <c r="F279" i="1"/>
  <c r="I279" i="1" s="1"/>
  <c r="F333" i="1"/>
  <c r="H333" i="1" s="1"/>
  <c r="F735" i="1"/>
  <c r="G735" i="1" s="1"/>
  <c r="F738" i="1"/>
  <c r="G738" i="1" s="1"/>
  <c r="F155" i="1"/>
  <c r="F206" i="1"/>
  <c r="J206" i="1" s="1"/>
  <c r="F359" i="1"/>
  <c r="G359" i="1" s="1"/>
  <c r="F769" i="1"/>
  <c r="K769" i="1" s="1"/>
  <c r="L769" i="1"/>
  <c r="F7" i="1"/>
  <c r="H7" i="1" s="1"/>
  <c r="F235" i="1"/>
  <c r="G235" i="1" s="1"/>
  <c r="F270" i="1"/>
  <c r="J270" i="1" s="1"/>
  <c r="F302" i="1"/>
  <c r="H302" i="1" s="1"/>
  <c r="F642" i="1"/>
  <c r="G642" i="1" s="1"/>
  <c r="F708" i="1"/>
  <c r="G708" i="1" s="1"/>
  <c r="F592" i="1"/>
  <c r="K592" i="1" s="1"/>
  <c r="F782" i="1"/>
  <c r="G782" i="1" s="1"/>
  <c r="L782" i="1"/>
  <c r="F391" i="1"/>
  <c r="I391" i="1" s="1"/>
  <c r="F483" i="1"/>
  <c r="I483" i="1" s="1"/>
  <c r="F512" i="1"/>
  <c r="J512" i="1" s="1"/>
  <c r="F531" i="1"/>
  <c r="H531" i="1" s="1"/>
  <c r="L531" i="1"/>
  <c r="F549" i="1"/>
  <c r="G549" i="1" s="1"/>
  <c r="F655" i="1"/>
  <c r="J655" i="1" s="1"/>
  <c r="F677" i="1"/>
  <c r="G677" i="1" s="1"/>
  <c r="F727" i="1"/>
  <c r="J727" i="1" s="1"/>
  <c r="F733" i="1"/>
  <c r="K733" i="1" s="1"/>
  <c r="F844" i="1"/>
  <c r="I844" i="1" s="1"/>
  <c r="F847" i="1"/>
  <c r="J847" i="1" s="1"/>
  <c r="F856" i="1"/>
  <c r="G856" i="1" s="1"/>
  <c r="G389" i="1"/>
  <c r="G62" i="1"/>
  <c r="H62" i="1"/>
  <c r="J191" i="1"/>
  <c r="G191" i="1"/>
  <c r="A103" i="14"/>
  <c r="A103" i="15"/>
  <c r="A103" i="11"/>
  <c r="A103" i="9"/>
  <c r="A103" i="8"/>
  <c r="E77" i="15"/>
  <c r="E77" i="14"/>
  <c r="E77" i="9"/>
  <c r="E77" i="8"/>
  <c r="E77" i="11"/>
  <c r="D112" i="15"/>
  <c r="F112" i="15" s="1"/>
  <c r="D112" i="14"/>
  <c r="F112" i="14" s="1"/>
  <c r="D112" i="11"/>
  <c r="F112" i="11" s="1"/>
  <c r="D112" i="9"/>
  <c r="D112" i="8"/>
  <c r="D158" i="15"/>
  <c r="F158" i="15" s="1"/>
  <c r="D158" i="14"/>
  <c r="F158" i="14" s="1"/>
  <c r="D158" i="11"/>
  <c r="F158" i="11" s="1"/>
  <c r="D158" i="8"/>
  <c r="D158" i="9"/>
  <c r="E197" i="15"/>
  <c r="E197" i="14"/>
  <c r="E197" i="9"/>
  <c r="E197" i="11"/>
  <c r="E197" i="8"/>
  <c r="E255" i="15"/>
  <c r="E255" i="14"/>
  <c r="E255" i="11"/>
  <c r="E255" i="9"/>
  <c r="E255" i="8"/>
  <c r="A295" i="15"/>
  <c r="A295" i="14"/>
  <c r="A295" i="11"/>
  <c r="A295" i="9"/>
  <c r="A295" i="8"/>
  <c r="C337" i="14"/>
  <c r="C337" i="15"/>
  <c r="C337" i="11"/>
  <c r="C337" i="9"/>
  <c r="C337" i="8"/>
  <c r="A424" i="15"/>
  <c r="A424" i="14"/>
  <c r="A424" i="11"/>
  <c r="A424" i="9"/>
  <c r="A424" i="8"/>
  <c r="B479" i="15"/>
  <c r="B479" i="14"/>
  <c r="B479" i="11"/>
  <c r="B479" i="9"/>
  <c r="B479" i="8"/>
  <c r="E622" i="15"/>
  <c r="E622" i="14"/>
  <c r="E622" i="11"/>
  <c r="E622" i="9"/>
  <c r="E622" i="8"/>
  <c r="B670" i="15"/>
  <c r="B670" i="11"/>
  <c r="B670" i="14"/>
  <c r="B670" i="8"/>
  <c r="B670" i="9"/>
  <c r="C772" i="15"/>
  <c r="C772" i="14"/>
  <c r="C772" i="8"/>
  <c r="C772" i="9"/>
  <c r="C772" i="11"/>
  <c r="F834" i="1"/>
  <c r="J834" i="1" s="1"/>
  <c r="D834" i="14"/>
  <c r="F834" i="14" s="1"/>
  <c r="D834" i="15"/>
  <c r="F834" i="15" s="1"/>
  <c r="D834" i="9"/>
  <c r="F834" i="9" s="1"/>
  <c r="D834" i="11"/>
  <c r="F834" i="11" s="1"/>
  <c r="D834" i="8"/>
  <c r="F834" i="8" s="1"/>
  <c r="G834" i="8" s="1"/>
  <c r="A97" i="15"/>
  <c r="A97" i="14"/>
  <c r="A97" i="11"/>
  <c r="A97" i="8"/>
  <c r="A97" i="9"/>
  <c r="E152" i="15"/>
  <c r="E152" i="14"/>
  <c r="E152" i="11"/>
  <c r="E152" i="9"/>
  <c r="E152" i="8"/>
  <c r="D274" i="15"/>
  <c r="F274" i="15" s="1"/>
  <c r="D274" i="11"/>
  <c r="F274" i="11" s="1"/>
  <c r="D274" i="9"/>
  <c r="D274" i="14"/>
  <c r="F274" i="14" s="1"/>
  <c r="D274" i="8"/>
  <c r="F274" i="1"/>
  <c r="I274" i="1" s="1"/>
  <c r="B355" i="14"/>
  <c r="B355" i="11"/>
  <c r="B355" i="15"/>
  <c r="B355" i="9"/>
  <c r="B355" i="8"/>
  <c r="D499" i="14"/>
  <c r="F499" i="14" s="1"/>
  <c r="D499" i="15"/>
  <c r="F499" i="15" s="1"/>
  <c r="D499" i="11"/>
  <c r="F499" i="11" s="1"/>
  <c r="D499" i="9"/>
  <c r="D499" i="8"/>
  <c r="E706" i="15"/>
  <c r="E706" i="14"/>
  <c r="E706" i="11"/>
  <c r="E706" i="9"/>
  <c r="E706" i="8"/>
  <c r="A829" i="15"/>
  <c r="A829" i="14"/>
  <c r="A829" i="11"/>
  <c r="A829" i="9"/>
  <c r="A829" i="8"/>
  <c r="F158" i="1"/>
  <c r="A456" i="15"/>
  <c r="A456" i="14"/>
  <c r="A456" i="11"/>
  <c r="A456" i="9"/>
  <c r="A456" i="8"/>
  <c r="E490" i="14"/>
  <c r="E490" i="15"/>
  <c r="E490" i="11"/>
  <c r="E490" i="9"/>
  <c r="E490" i="8"/>
  <c r="A508" i="15"/>
  <c r="A508" i="14"/>
  <c r="A508" i="11"/>
  <c r="A508" i="9"/>
  <c r="A508" i="8"/>
  <c r="D670" i="15"/>
  <c r="F670" i="15" s="1"/>
  <c r="D670" i="14"/>
  <c r="F670" i="14" s="1"/>
  <c r="D670" i="11"/>
  <c r="F670" i="11" s="1"/>
  <c r="D670" i="8"/>
  <c r="F670" i="8" s="1"/>
  <c r="G670" i="8" s="1"/>
  <c r="D670" i="9"/>
  <c r="F670" i="9" s="1"/>
  <c r="F670" i="1"/>
  <c r="I670" i="1" s="1"/>
  <c r="C790" i="15"/>
  <c r="C790" i="14"/>
  <c r="C790" i="11"/>
  <c r="C790" i="8"/>
  <c r="C790" i="9"/>
  <c r="E798" i="15"/>
  <c r="E798" i="14"/>
  <c r="E798" i="11"/>
  <c r="E798" i="8"/>
  <c r="E798" i="9"/>
  <c r="B840" i="15"/>
  <c r="B840" i="11"/>
  <c r="B840" i="8"/>
  <c r="B840" i="14"/>
  <c r="B840" i="9"/>
  <c r="C267" i="15"/>
  <c r="C267" i="14"/>
  <c r="C267" i="11"/>
  <c r="C267" i="9"/>
  <c r="C267" i="8"/>
  <c r="F499" i="1"/>
  <c r="A707" i="15"/>
  <c r="A707" i="14"/>
  <c r="A707" i="11"/>
  <c r="A707" i="9"/>
  <c r="A707" i="8"/>
  <c r="E20" i="15"/>
  <c r="E20" i="14"/>
  <c r="E20" i="9"/>
  <c r="E20" i="11"/>
  <c r="E20" i="8"/>
  <c r="A66" i="15"/>
  <c r="A66" i="14"/>
  <c r="A66" i="11"/>
  <c r="A66" i="9"/>
  <c r="A66" i="8"/>
  <c r="C142" i="15"/>
  <c r="C142" i="14"/>
  <c r="C142" i="9"/>
  <c r="C142" i="11"/>
  <c r="C142" i="8"/>
  <c r="B462" i="15"/>
  <c r="B462" i="14"/>
  <c r="B462" i="11"/>
  <c r="B462" i="8"/>
  <c r="B462" i="9"/>
  <c r="A529" i="15"/>
  <c r="A529" i="14"/>
  <c r="A529" i="9"/>
  <c r="A529" i="11"/>
  <c r="A529" i="8"/>
  <c r="E607" i="15"/>
  <c r="E607" i="14"/>
  <c r="E607" i="11"/>
  <c r="E607" i="8"/>
  <c r="E607" i="9"/>
  <c r="D685" i="14"/>
  <c r="F685" i="14" s="1"/>
  <c r="D685" i="15"/>
  <c r="F685" i="15" s="1"/>
  <c r="D685" i="11"/>
  <c r="F685" i="11" s="1"/>
  <c r="D685" i="9"/>
  <c r="F685" i="9" s="1"/>
  <c r="D685" i="8"/>
  <c r="F685" i="8" s="1"/>
  <c r="G685" i="8" s="1"/>
  <c r="B832" i="15"/>
  <c r="B832" i="14"/>
  <c r="B832" i="11"/>
  <c r="B832" i="9"/>
  <c r="B832" i="8"/>
  <c r="B61" i="15"/>
  <c r="B61" i="14"/>
  <c r="B61" i="11"/>
  <c r="B61" i="9"/>
  <c r="B61" i="8"/>
  <c r="F90" i="1"/>
  <c r="I90" i="1" s="1"/>
  <c r="D90" i="15"/>
  <c r="F90" i="15" s="1"/>
  <c r="D90" i="14"/>
  <c r="F90" i="14" s="1"/>
  <c r="D90" i="9"/>
  <c r="D90" i="11"/>
  <c r="F90" i="11" s="1"/>
  <c r="D90" i="8"/>
  <c r="B182" i="15"/>
  <c r="B182" i="11"/>
  <c r="B182" i="14"/>
  <c r="B182" i="9"/>
  <c r="B182" i="8"/>
  <c r="B272" i="15"/>
  <c r="B272" i="14"/>
  <c r="B272" i="11"/>
  <c r="B272" i="9"/>
  <c r="B272" i="8"/>
  <c r="A350" i="15"/>
  <c r="A350" i="14"/>
  <c r="A350" i="11"/>
  <c r="A350" i="9"/>
  <c r="A350" i="8"/>
  <c r="B436" i="15"/>
  <c r="B436" i="14"/>
  <c r="B436" i="9"/>
  <c r="B436" i="11"/>
  <c r="B436" i="8"/>
  <c r="F520" i="1"/>
  <c r="I520" i="1" s="1"/>
  <c r="D520" i="14"/>
  <c r="F520" i="14" s="1"/>
  <c r="D520" i="11"/>
  <c r="F520" i="11" s="1"/>
  <c r="D520" i="15"/>
  <c r="F520" i="15" s="1"/>
  <c r="D520" i="9"/>
  <c r="F520" i="9" s="1"/>
  <c r="D520" i="8"/>
  <c r="F520" i="8" s="1"/>
  <c r="G520" i="8" s="1"/>
  <c r="A641" i="15"/>
  <c r="A641" i="14"/>
  <c r="A641" i="11"/>
  <c r="A641" i="9"/>
  <c r="A641" i="8"/>
  <c r="B668" i="14"/>
  <c r="B668" i="15"/>
  <c r="B668" i="11"/>
  <c r="B668" i="8"/>
  <c r="B668" i="9"/>
  <c r="F781" i="1"/>
  <c r="K781" i="1" s="1"/>
  <c r="D781" i="14"/>
  <c r="F781" i="14" s="1"/>
  <c r="D781" i="15"/>
  <c r="F781" i="15" s="1"/>
  <c r="D781" i="11"/>
  <c r="F781" i="11" s="1"/>
  <c r="D781" i="9"/>
  <c r="F781" i="9" s="1"/>
  <c r="D781" i="8"/>
  <c r="F781" i="8" s="1"/>
  <c r="G781" i="8" s="1"/>
  <c r="A799" i="15"/>
  <c r="A799" i="14"/>
  <c r="A799" i="11"/>
  <c r="A799" i="8"/>
  <c r="A799" i="9"/>
  <c r="D826" i="15"/>
  <c r="F826" i="15" s="1"/>
  <c r="D826" i="14"/>
  <c r="F826" i="14" s="1"/>
  <c r="D826" i="11"/>
  <c r="F826" i="11" s="1"/>
  <c r="D826" i="8"/>
  <c r="F826" i="8" s="1"/>
  <c r="G826" i="8" s="1"/>
  <c r="D826" i="9"/>
  <c r="F826" i="9" s="1"/>
  <c r="F826" i="1"/>
  <c r="I826" i="1" s="1"/>
  <c r="B858" i="15"/>
  <c r="B858" i="14"/>
  <c r="B858" i="9"/>
  <c r="B858" i="11"/>
  <c r="B858" i="8"/>
  <c r="D9" i="15"/>
  <c r="F9" i="15" s="1"/>
  <c r="D9" i="14"/>
  <c r="F9" i="14" s="1"/>
  <c r="D9" i="9"/>
  <c r="D9" i="11"/>
  <c r="F9" i="11" s="1"/>
  <c r="D9" i="8"/>
  <c r="F9" i="1"/>
  <c r="F58" i="1"/>
  <c r="J58" i="1" s="1"/>
  <c r="D58" i="15"/>
  <c r="F58" i="15" s="1"/>
  <c r="D58" i="14"/>
  <c r="F58" i="14" s="1"/>
  <c r="D58" i="9"/>
  <c r="D58" i="11"/>
  <c r="F58" i="11" s="1"/>
  <c r="D58" i="8"/>
  <c r="E90" i="15"/>
  <c r="E90" i="14"/>
  <c r="E90" i="11"/>
  <c r="E90" i="9"/>
  <c r="E90" i="8"/>
  <c r="E179" i="15"/>
  <c r="E179" i="14"/>
  <c r="E179" i="11"/>
  <c r="E179" i="8"/>
  <c r="E179" i="9"/>
  <c r="D221" i="15"/>
  <c r="F221" i="15" s="1"/>
  <c r="D221" i="11"/>
  <c r="F221" i="11" s="1"/>
  <c r="D221" i="9"/>
  <c r="D221" i="14"/>
  <c r="F221" i="14" s="1"/>
  <c r="D221" i="8"/>
  <c r="E253" i="15"/>
  <c r="E253" i="14"/>
  <c r="E253" i="9"/>
  <c r="E253" i="11"/>
  <c r="E253" i="8"/>
  <c r="C436" i="14"/>
  <c r="C436" i="15"/>
  <c r="C436" i="11"/>
  <c r="C436" i="9"/>
  <c r="C436" i="8"/>
  <c r="E520" i="14"/>
  <c r="E520" i="11"/>
  <c r="E520" i="15"/>
  <c r="E520" i="9"/>
  <c r="E520" i="8"/>
  <c r="F590" i="1"/>
  <c r="H590" i="1" s="1"/>
  <c r="D590" i="15"/>
  <c r="F590" i="15" s="1"/>
  <c r="D590" i="14"/>
  <c r="F590" i="14" s="1"/>
  <c r="D590" i="11"/>
  <c r="F590" i="11" s="1"/>
  <c r="D590" i="9"/>
  <c r="F590" i="9" s="1"/>
  <c r="D590" i="8"/>
  <c r="F590" i="8" s="1"/>
  <c r="G590" i="8" s="1"/>
  <c r="C630" i="15"/>
  <c r="C630" i="14"/>
  <c r="C630" i="11"/>
  <c r="C630" i="8"/>
  <c r="C630" i="9"/>
  <c r="C653" i="15"/>
  <c r="C653" i="14"/>
  <c r="C653" i="9"/>
  <c r="C653" i="11"/>
  <c r="C653" i="8"/>
  <c r="E721" i="15"/>
  <c r="E721" i="14"/>
  <c r="E721" i="11"/>
  <c r="E721" i="8"/>
  <c r="E721" i="9"/>
  <c r="D808" i="15"/>
  <c r="F808" i="15" s="1"/>
  <c r="D808" i="14"/>
  <c r="F808" i="14" s="1"/>
  <c r="D808" i="11"/>
  <c r="F808" i="11" s="1"/>
  <c r="D808" i="9"/>
  <c r="F808" i="9" s="1"/>
  <c r="D808" i="8"/>
  <c r="F808" i="8" s="1"/>
  <c r="G808" i="8" s="1"/>
  <c r="D855" i="15"/>
  <c r="F855" i="15" s="1"/>
  <c r="D855" i="11"/>
  <c r="F855" i="11" s="1"/>
  <c r="D855" i="9"/>
  <c r="F855" i="9" s="1"/>
  <c r="D855" i="14"/>
  <c r="F855" i="14" s="1"/>
  <c r="D855" i="8"/>
  <c r="F855" i="8" s="1"/>
  <c r="G855" i="8" s="1"/>
  <c r="F855" i="1"/>
  <c r="I855" i="1" s="1"/>
  <c r="E44" i="15"/>
  <c r="E44" i="14"/>
  <c r="E44" i="8"/>
  <c r="E44" i="11"/>
  <c r="E44" i="9"/>
  <c r="D85" i="14"/>
  <c r="F85" i="14" s="1"/>
  <c r="D85" i="11"/>
  <c r="F85" i="11" s="1"/>
  <c r="D85" i="15"/>
  <c r="F85" i="15" s="1"/>
  <c r="D85" i="9"/>
  <c r="D85" i="8"/>
  <c r="F85" i="1"/>
  <c r="G85" i="1" s="1"/>
  <c r="F125" i="1"/>
  <c r="D125" i="15"/>
  <c r="F125" i="15" s="1"/>
  <c r="D125" i="11"/>
  <c r="F125" i="11" s="1"/>
  <c r="D125" i="14"/>
  <c r="F125" i="14" s="1"/>
  <c r="D125" i="9"/>
  <c r="D125" i="8"/>
  <c r="E139" i="15"/>
  <c r="E139" i="14"/>
  <c r="E139" i="11"/>
  <c r="E139" i="9"/>
  <c r="E139" i="8"/>
  <c r="A196" i="15"/>
  <c r="A196" i="14"/>
  <c r="A196" i="11"/>
  <c r="A196" i="9"/>
  <c r="A196" i="8"/>
  <c r="E221" i="15"/>
  <c r="E221" i="11"/>
  <c r="E221" i="9"/>
  <c r="E221" i="14"/>
  <c r="E221" i="8"/>
  <c r="E236" i="15"/>
  <c r="E236" i="14"/>
  <c r="E236" i="11"/>
  <c r="E236" i="9"/>
  <c r="E236" i="8"/>
  <c r="D239" i="15"/>
  <c r="F239" i="15" s="1"/>
  <c r="D239" i="14"/>
  <c r="F239" i="14" s="1"/>
  <c r="D239" i="11"/>
  <c r="F239" i="11" s="1"/>
  <c r="D239" i="9"/>
  <c r="D239" i="8"/>
  <c r="F239" i="1"/>
  <c r="H239" i="1" s="1"/>
  <c r="A254" i="15"/>
  <c r="A254" i="11"/>
  <c r="A254" i="14"/>
  <c r="A254" i="8"/>
  <c r="A254" i="9"/>
  <c r="F262" i="1"/>
  <c r="I262" i="1" s="1"/>
  <c r="D262" i="15"/>
  <c r="F262" i="15" s="1"/>
  <c r="D262" i="14"/>
  <c r="F262" i="14" s="1"/>
  <c r="D262" i="11"/>
  <c r="F262" i="11" s="1"/>
  <c r="D262" i="9"/>
  <c r="D262" i="8"/>
  <c r="E310" i="15"/>
  <c r="E310" i="14"/>
  <c r="E310" i="11"/>
  <c r="E310" i="9"/>
  <c r="E310" i="8"/>
  <c r="D330" i="15"/>
  <c r="F330" i="15" s="1"/>
  <c r="D330" i="14"/>
  <c r="F330" i="14" s="1"/>
  <c r="D330" i="9"/>
  <c r="D330" i="11"/>
  <c r="F330" i="11" s="1"/>
  <c r="D330" i="8"/>
  <c r="C368" i="15"/>
  <c r="C368" i="14"/>
  <c r="C368" i="11"/>
  <c r="C368" i="9"/>
  <c r="C368" i="8"/>
  <c r="D371" i="15"/>
  <c r="F371" i="15" s="1"/>
  <c r="D371" i="14"/>
  <c r="F371" i="14" s="1"/>
  <c r="D371" i="9"/>
  <c r="D371" i="11"/>
  <c r="F371" i="11" s="1"/>
  <c r="D371" i="8"/>
  <c r="A397" i="14"/>
  <c r="A397" i="11"/>
  <c r="A397" i="9"/>
  <c r="A397" i="8"/>
  <c r="A397" i="15"/>
  <c r="E416" i="15"/>
  <c r="E416" i="14"/>
  <c r="E416" i="11"/>
  <c r="E416" i="9"/>
  <c r="E416" i="8"/>
  <c r="A428" i="15"/>
  <c r="A428" i="14"/>
  <c r="A428" i="11"/>
  <c r="A428" i="9"/>
  <c r="A428" i="8"/>
  <c r="E433" i="15"/>
  <c r="E433" i="14"/>
  <c r="E433" i="11"/>
  <c r="E433" i="9"/>
  <c r="E433" i="8"/>
  <c r="B454" i="15"/>
  <c r="B454" i="14"/>
  <c r="B454" i="11"/>
  <c r="B454" i="8"/>
  <c r="B454" i="9"/>
  <c r="E462" i="15"/>
  <c r="E462" i="14"/>
  <c r="E462" i="11"/>
  <c r="E462" i="8"/>
  <c r="E462" i="9"/>
  <c r="E488" i="15"/>
  <c r="E488" i="11"/>
  <c r="E488" i="14"/>
  <c r="E488" i="9"/>
  <c r="E488" i="8"/>
  <c r="C546" i="15"/>
  <c r="C546" i="14"/>
  <c r="C546" i="11"/>
  <c r="C546" i="9"/>
  <c r="C546" i="8"/>
  <c r="B552" i="15"/>
  <c r="B552" i="14"/>
  <c r="B552" i="11"/>
  <c r="B552" i="9"/>
  <c r="B552" i="8"/>
  <c r="A575" i="14"/>
  <c r="A575" i="15"/>
  <c r="A575" i="11"/>
  <c r="A575" i="9"/>
  <c r="A575" i="8"/>
  <c r="E590" i="15"/>
  <c r="E590" i="14"/>
  <c r="E590" i="11"/>
  <c r="E590" i="9"/>
  <c r="E590" i="8"/>
  <c r="B605" i="15"/>
  <c r="B605" i="11"/>
  <c r="B605" i="14"/>
  <c r="B605" i="8"/>
  <c r="B605" i="9"/>
  <c r="C627" i="15"/>
  <c r="C627" i="14"/>
  <c r="C627" i="11"/>
  <c r="C627" i="9"/>
  <c r="C627" i="8"/>
  <c r="D630" i="15"/>
  <c r="F630" i="15" s="1"/>
  <c r="D630" i="14"/>
  <c r="F630" i="14" s="1"/>
  <c r="D630" i="11"/>
  <c r="F630" i="11" s="1"/>
  <c r="D630" i="8"/>
  <c r="F630" i="8" s="1"/>
  <c r="G630" i="8" s="1"/>
  <c r="D630" i="9"/>
  <c r="F630" i="9" s="1"/>
  <c r="D633" i="14"/>
  <c r="F633" i="14" s="1"/>
  <c r="D633" i="15"/>
  <c r="F633" i="15" s="1"/>
  <c r="D633" i="11"/>
  <c r="F633" i="11" s="1"/>
  <c r="D633" i="8"/>
  <c r="F633" i="8" s="1"/>
  <c r="G633" i="8" s="1"/>
  <c r="D633" i="9"/>
  <c r="F633" i="9" s="1"/>
  <c r="A636" i="14"/>
  <c r="A636" i="15"/>
  <c r="A636" i="11"/>
  <c r="A636" i="9"/>
  <c r="A636" i="8"/>
  <c r="C641" i="11"/>
  <c r="C641" i="15"/>
  <c r="C641" i="9"/>
  <c r="C641" i="14"/>
  <c r="C641" i="8"/>
  <c r="D653" i="15"/>
  <c r="F653" i="15" s="1"/>
  <c r="D653" i="14"/>
  <c r="F653" i="14" s="1"/>
  <c r="D653" i="9"/>
  <c r="F653" i="9" s="1"/>
  <c r="D653" i="11"/>
  <c r="F653" i="11" s="1"/>
  <c r="D653" i="8"/>
  <c r="F653" i="8" s="1"/>
  <c r="G653" i="8" s="1"/>
  <c r="F653" i="1"/>
  <c r="K653" i="1" s="1"/>
  <c r="B662" i="15"/>
  <c r="B662" i="14"/>
  <c r="B662" i="9"/>
  <c r="B662" i="11"/>
  <c r="B662" i="8"/>
  <c r="C665" i="11"/>
  <c r="C665" i="14"/>
  <c r="C665" i="15"/>
  <c r="C665" i="9"/>
  <c r="C665" i="8"/>
  <c r="C680" i="15"/>
  <c r="C680" i="14"/>
  <c r="C680" i="11"/>
  <c r="C680" i="9"/>
  <c r="C680" i="8"/>
  <c r="A683" i="15"/>
  <c r="A683" i="14"/>
  <c r="A683" i="11"/>
  <c r="A683" i="9"/>
  <c r="A683" i="8"/>
  <c r="C692" i="15"/>
  <c r="C692" i="14"/>
  <c r="C692" i="11"/>
  <c r="C692" i="9"/>
  <c r="C692" i="8"/>
  <c r="A722" i="15"/>
  <c r="A722" i="14"/>
  <c r="A722" i="8"/>
  <c r="A722" i="11"/>
  <c r="A722" i="9"/>
  <c r="B744" i="15"/>
  <c r="B744" i="14"/>
  <c r="B744" i="11"/>
  <c r="B744" i="8"/>
  <c r="B744" i="9"/>
  <c r="B750" i="14"/>
  <c r="B750" i="15"/>
  <c r="B750" i="11"/>
  <c r="B750" i="9"/>
  <c r="B750" i="8"/>
  <c r="E773" i="15"/>
  <c r="E773" i="14"/>
  <c r="E773" i="11"/>
  <c r="E773" i="9"/>
  <c r="E773" i="8"/>
  <c r="E808" i="15"/>
  <c r="E808" i="14"/>
  <c r="E808" i="11"/>
  <c r="E808" i="9"/>
  <c r="E808" i="8"/>
  <c r="D811" i="15"/>
  <c r="F811" i="15" s="1"/>
  <c r="D811" i="14"/>
  <c r="F811" i="14" s="1"/>
  <c r="D811" i="11"/>
  <c r="F811" i="11" s="1"/>
  <c r="D811" i="9"/>
  <c r="F811" i="9" s="1"/>
  <c r="D811" i="8"/>
  <c r="F811" i="8" s="1"/>
  <c r="G811" i="8" s="1"/>
  <c r="F811" i="1"/>
  <c r="H811" i="1" s="1"/>
  <c r="E832" i="15"/>
  <c r="E832" i="14"/>
  <c r="E832" i="11"/>
  <c r="E832" i="9"/>
  <c r="E832" i="8"/>
  <c r="E852" i="15"/>
  <c r="E852" i="14"/>
  <c r="E852" i="11"/>
  <c r="E852" i="9"/>
  <c r="E852" i="8"/>
  <c r="E855" i="15"/>
  <c r="E855" i="14"/>
  <c r="E855" i="11"/>
  <c r="E855" i="9"/>
  <c r="E855" i="8"/>
  <c r="E28" i="15"/>
  <c r="E28" i="14"/>
  <c r="E28" i="9"/>
  <c r="E28" i="11"/>
  <c r="E28" i="8"/>
  <c r="F77" i="1"/>
  <c r="J77" i="1" s="1"/>
  <c r="D77" i="14"/>
  <c r="F77" i="14" s="1"/>
  <c r="D77" i="15"/>
  <c r="F77" i="15" s="1"/>
  <c r="D77" i="9"/>
  <c r="D77" i="11"/>
  <c r="F77" i="11" s="1"/>
  <c r="D77" i="8"/>
  <c r="E96" i="15"/>
  <c r="E96" i="14"/>
  <c r="E96" i="11"/>
  <c r="E96" i="8"/>
  <c r="E96" i="9"/>
  <c r="B115" i="15"/>
  <c r="B115" i="14"/>
  <c r="B115" i="11"/>
  <c r="B115" i="9"/>
  <c r="B115" i="8"/>
  <c r="E294" i="15"/>
  <c r="E294" i="14"/>
  <c r="E294" i="11"/>
  <c r="E294" i="9"/>
  <c r="E294" i="8"/>
  <c r="A409" i="15"/>
  <c r="A409" i="14"/>
  <c r="A409" i="11"/>
  <c r="A409" i="9"/>
  <c r="A409" i="8"/>
  <c r="B490" i="15"/>
  <c r="B490" i="14"/>
  <c r="B490" i="11"/>
  <c r="B490" i="8"/>
  <c r="B490" i="9"/>
  <c r="E584" i="15"/>
  <c r="E584" i="11"/>
  <c r="E584" i="14"/>
  <c r="E584" i="9"/>
  <c r="E584" i="8"/>
  <c r="C619" i="15"/>
  <c r="C619" i="11"/>
  <c r="C619" i="14"/>
  <c r="C619" i="9"/>
  <c r="C619" i="8"/>
  <c r="B697" i="15"/>
  <c r="B697" i="14"/>
  <c r="B697" i="11"/>
  <c r="B697" i="9"/>
  <c r="B697" i="8"/>
  <c r="E745" i="15"/>
  <c r="E745" i="14"/>
  <c r="E745" i="11"/>
  <c r="E745" i="8"/>
  <c r="E745" i="9"/>
  <c r="E842" i="15"/>
  <c r="E842" i="14"/>
  <c r="E842" i="8"/>
  <c r="E842" i="11"/>
  <c r="E842" i="9"/>
  <c r="E637" i="15"/>
  <c r="E637" i="14"/>
  <c r="E637" i="11"/>
  <c r="E637" i="9"/>
  <c r="E637" i="8"/>
  <c r="D700" i="15"/>
  <c r="F700" i="15" s="1"/>
  <c r="D700" i="14"/>
  <c r="F700" i="14" s="1"/>
  <c r="D700" i="11"/>
  <c r="F700" i="11" s="1"/>
  <c r="D700" i="9"/>
  <c r="F700" i="9" s="1"/>
  <c r="D700" i="8"/>
  <c r="F700" i="8" s="1"/>
  <c r="G700" i="8" s="1"/>
  <c r="A729" i="15"/>
  <c r="A729" i="14"/>
  <c r="A729" i="11"/>
  <c r="A729" i="9"/>
  <c r="A729" i="8"/>
  <c r="E777" i="15"/>
  <c r="E777" i="14"/>
  <c r="E777" i="11"/>
  <c r="E777" i="9"/>
  <c r="E777" i="8"/>
  <c r="B100" i="15"/>
  <c r="B100" i="14"/>
  <c r="B100" i="11"/>
  <c r="B100" i="9"/>
  <c r="B100" i="8"/>
  <c r="B190" i="15"/>
  <c r="B190" i="14"/>
  <c r="B190" i="11"/>
  <c r="B190" i="9"/>
  <c r="B190" i="8"/>
  <c r="F241" i="1"/>
  <c r="H241" i="1" s="1"/>
  <c r="D241" i="15"/>
  <c r="F241" i="15" s="1"/>
  <c r="D241" i="14"/>
  <c r="F241" i="14" s="1"/>
  <c r="D241" i="9"/>
  <c r="D241" i="11"/>
  <c r="F241" i="11" s="1"/>
  <c r="D241" i="8"/>
  <c r="E375" i="15"/>
  <c r="E375" i="14"/>
  <c r="E375" i="11"/>
  <c r="E375" i="9"/>
  <c r="E375" i="8"/>
  <c r="D406" i="15"/>
  <c r="F406" i="15" s="1"/>
  <c r="D406" i="14"/>
  <c r="F406" i="14" s="1"/>
  <c r="D406" i="11"/>
  <c r="F406" i="11" s="1"/>
  <c r="D406" i="9"/>
  <c r="D406" i="8"/>
  <c r="B548" i="15"/>
  <c r="B548" i="11"/>
  <c r="B548" i="14"/>
  <c r="B548" i="9"/>
  <c r="B548" i="8"/>
  <c r="A582" i="15"/>
  <c r="A582" i="11"/>
  <c r="A582" i="14"/>
  <c r="A582" i="8"/>
  <c r="A582" i="9"/>
  <c r="C726" i="15"/>
  <c r="C726" i="14"/>
  <c r="C726" i="11"/>
  <c r="C726" i="9"/>
  <c r="C726" i="8"/>
  <c r="D813" i="15"/>
  <c r="F813" i="15" s="1"/>
  <c r="D813" i="14"/>
  <c r="F813" i="14" s="1"/>
  <c r="D813" i="11"/>
  <c r="F813" i="11" s="1"/>
  <c r="D813" i="9"/>
  <c r="F813" i="9" s="1"/>
  <c r="D813" i="8"/>
  <c r="F813" i="8" s="1"/>
  <c r="G813" i="8" s="1"/>
  <c r="F813" i="1"/>
  <c r="G813" i="1" s="1"/>
  <c r="B324" i="11"/>
  <c r="B324" i="15"/>
  <c r="B324" i="14"/>
  <c r="B324" i="9"/>
  <c r="B324" i="8"/>
  <c r="C424" i="15"/>
  <c r="C424" i="14"/>
  <c r="C424" i="11"/>
  <c r="C424" i="8"/>
  <c r="C424" i="9"/>
  <c r="E499" i="15"/>
  <c r="E499" i="11"/>
  <c r="E499" i="9"/>
  <c r="E499" i="14"/>
  <c r="E499" i="8"/>
  <c r="C565" i="15"/>
  <c r="C565" i="14"/>
  <c r="C565" i="11"/>
  <c r="C565" i="8"/>
  <c r="C565" i="9"/>
  <c r="F598" i="1"/>
  <c r="J598" i="1" s="1"/>
  <c r="D598" i="15"/>
  <c r="F598" i="15" s="1"/>
  <c r="D598" i="14"/>
  <c r="F598" i="14" s="1"/>
  <c r="D598" i="11"/>
  <c r="F598" i="11" s="1"/>
  <c r="D598" i="9"/>
  <c r="F598" i="9" s="1"/>
  <c r="D598" i="8"/>
  <c r="F598" i="8" s="1"/>
  <c r="G598" i="8" s="1"/>
  <c r="C801" i="15"/>
  <c r="C801" i="14"/>
  <c r="C801" i="11"/>
  <c r="C801" i="8"/>
  <c r="C801" i="9"/>
  <c r="A58" i="15"/>
  <c r="A58" i="14"/>
  <c r="A58" i="11"/>
  <c r="A58" i="9"/>
  <c r="A58" i="8"/>
  <c r="B142" i="15"/>
  <c r="B142" i="14"/>
  <c r="B142" i="9"/>
  <c r="B142" i="11"/>
  <c r="B142" i="8"/>
  <c r="C212" i="15"/>
  <c r="C212" i="14"/>
  <c r="C212" i="9"/>
  <c r="C212" i="11"/>
  <c r="C212" i="8"/>
  <c r="B511" i="15"/>
  <c r="B511" i="11"/>
  <c r="B511" i="14"/>
  <c r="B511" i="8"/>
  <c r="B511" i="9"/>
  <c r="E667" i="15"/>
  <c r="E667" i="14"/>
  <c r="E667" i="11"/>
  <c r="E667" i="8"/>
  <c r="E667" i="9"/>
  <c r="C685" i="15"/>
  <c r="C685" i="14"/>
  <c r="C685" i="11"/>
  <c r="C685" i="9"/>
  <c r="C685" i="8"/>
  <c r="B826" i="15"/>
  <c r="B826" i="14"/>
  <c r="B826" i="11"/>
  <c r="B826" i="8"/>
  <c r="B826" i="9"/>
  <c r="B47" i="11"/>
  <c r="B47" i="15"/>
  <c r="B47" i="9"/>
  <c r="B47" i="14"/>
  <c r="B47" i="8"/>
  <c r="C75" i="15"/>
  <c r="C75" i="14"/>
  <c r="C75" i="9"/>
  <c r="C75" i="8"/>
  <c r="C75" i="11"/>
  <c r="B139" i="15"/>
  <c r="B139" i="14"/>
  <c r="B139" i="11"/>
  <c r="B139" i="8"/>
  <c r="B139" i="9"/>
  <c r="C195" i="15"/>
  <c r="C195" i="14"/>
  <c r="C195" i="11"/>
  <c r="C195" i="9"/>
  <c r="C195" i="8"/>
  <c r="E264" i="15"/>
  <c r="E264" i="14"/>
  <c r="E264" i="11"/>
  <c r="E264" i="9"/>
  <c r="E264" i="8"/>
  <c r="C396" i="15"/>
  <c r="C396" i="14"/>
  <c r="C396" i="9"/>
  <c r="C396" i="8"/>
  <c r="C396" i="11"/>
  <c r="A436" i="15"/>
  <c r="A436" i="14"/>
  <c r="A436" i="11"/>
  <c r="A436" i="9"/>
  <c r="A436" i="8"/>
  <c r="C508" i="15"/>
  <c r="C508" i="14"/>
  <c r="C508" i="8"/>
  <c r="C508" i="9"/>
  <c r="C508" i="11"/>
  <c r="C520" i="14"/>
  <c r="C520" i="11"/>
  <c r="C520" i="15"/>
  <c r="C520" i="9"/>
  <c r="C520" i="8"/>
  <c r="A593" i="15"/>
  <c r="A593" i="14"/>
  <c r="A593" i="11"/>
  <c r="A593" i="9"/>
  <c r="A593" i="8"/>
  <c r="B617" i="15"/>
  <c r="B617" i="14"/>
  <c r="B617" i="11"/>
  <c r="B617" i="9"/>
  <c r="B617" i="8"/>
  <c r="E643" i="14"/>
  <c r="E643" i="15"/>
  <c r="E643" i="11"/>
  <c r="E643" i="9"/>
  <c r="E643" i="8"/>
  <c r="E658" i="15"/>
  <c r="E658" i="14"/>
  <c r="E658" i="11"/>
  <c r="E658" i="8"/>
  <c r="E658" i="9"/>
  <c r="D787" i="15"/>
  <c r="F787" i="15" s="1"/>
  <c r="D787" i="14"/>
  <c r="F787" i="14" s="1"/>
  <c r="D787" i="11"/>
  <c r="F787" i="11" s="1"/>
  <c r="D787" i="9"/>
  <c r="F787" i="9" s="1"/>
  <c r="D787" i="8"/>
  <c r="F787" i="8" s="1"/>
  <c r="G787" i="8" s="1"/>
  <c r="F787" i="1"/>
  <c r="J787" i="1" s="1"/>
  <c r="C826" i="15"/>
  <c r="C826" i="14"/>
  <c r="C826" i="8"/>
  <c r="C826" i="11"/>
  <c r="C826" i="9"/>
  <c r="E87" i="15"/>
  <c r="E87" i="11"/>
  <c r="E87" i="14"/>
  <c r="E87" i="8"/>
  <c r="E87" i="9"/>
  <c r="F179" i="1"/>
  <c r="D179" i="15"/>
  <c r="F179" i="15" s="1"/>
  <c r="D179" i="14"/>
  <c r="F179" i="14" s="1"/>
  <c r="D179" i="11"/>
  <c r="F179" i="11" s="1"/>
  <c r="D179" i="8"/>
  <c r="D179" i="9"/>
  <c r="E212" i="15"/>
  <c r="E212" i="14"/>
  <c r="E212" i="9"/>
  <c r="E212" i="11"/>
  <c r="E212" i="8"/>
  <c r="F313" i="1"/>
  <c r="D313" i="15"/>
  <c r="F313" i="15" s="1"/>
  <c r="D313" i="14"/>
  <c r="F313" i="14" s="1"/>
  <c r="D313" i="11"/>
  <c r="F313" i="11" s="1"/>
  <c r="D313" i="9"/>
  <c r="D313" i="8"/>
  <c r="F465" i="1"/>
  <c r="D465" i="15"/>
  <c r="F465" i="15" s="1"/>
  <c r="D465" i="11"/>
  <c r="F465" i="11" s="1"/>
  <c r="D465" i="14"/>
  <c r="F465" i="14" s="1"/>
  <c r="D465" i="9"/>
  <c r="D465" i="8"/>
  <c r="C505" i="14"/>
  <c r="C505" i="15"/>
  <c r="C505" i="11"/>
  <c r="C505" i="9"/>
  <c r="C505" i="8"/>
  <c r="B599" i="15"/>
  <c r="B599" i="14"/>
  <c r="B599" i="11"/>
  <c r="B599" i="9"/>
  <c r="B599" i="8"/>
  <c r="D770" i="15"/>
  <c r="F770" i="15" s="1"/>
  <c r="D770" i="14"/>
  <c r="F770" i="14" s="1"/>
  <c r="D770" i="11"/>
  <c r="F770" i="11" s="1"/>
  <c r="D770" i="8"/>
  <c r="F770" i="8" s="1"/>
  <c r="G770" i="8" s="1"/>
  <c r="D770" i="9"/>
  <c r="F770" i="9" s="1"/>
  <c r="A18" i="15"/>
  <c r="A18" i="14"/>
  <c r="A18" i="11"/>
  <c r="A18" i="9"/>
  <c r="A18" i="8"/>
  <c r="F69" i="1"/>
  <c r="D69" i="15"/>
  <c r="F69" i="15" s="1"/>
  <c r="D69" i="14"/>
  <c r="F69" i="14" s="1"/>
  <c r="D69" i="11"/>
  <c r="F69" i="11" s="1"/>
  <c r="D69" i="9"/>
  <c r="D69" i="8"/>
  <c r="B82" i="15"/>
  <c r="B82" i="14"/>
  <c r="B82" i="11"/>
  <c r="B82" i="8"/>
  <c r="B82" i="9"/>
  <c r="A188" i="15"/>
  <c r="A188" i="14"/>
  <c r="A188" i="11"/>
  <c r="A188" i="9"/>
  <c r="A188" i="8"/>
  <c r="C335" i="15"/>
  <c r="C335" i="14"/>
  <c r="C335" i="11"/>
  <c r="C335" i="9"/>
  <c r="C335" i="8"/>
  <c r="E474" i="15"/>
  <c r="E474" i="14"/>
  <c r="E474" i="11"/>
  <c r="E474" i="9"/>
  <c r="E474" i="8"/>
  <c r="B665" i="11"/>
  <c r="B665" i="14"/>
  <c r="B665" i="15"/>
  <c r="B665" i="9"/>
  <c r="B665" i="8"/>
  <c r="E770" i="15"/>
  <c r="E770" i="14"/>
  <c r="E770" i="11"/>
  <c r="E770" i="8"/>
  <c r="E770" i="9"/>
  <c r="B18" i="15"/>
  <c r="B18" i="14"/>
  <c r="B18" i="11"/>
  <c r="B18" i="9"/>
  <c r="B18" i="8"/>
  <c r="C21" i="15"/>
  <c r="C21" i="14"/>
  <c r="C21" i="11"/>
  <c r="C21" i="9"/>
  <c r="C21" i="8"/>
  <c r="B24" i="15"/>
  <c r="B24" i="14"/>
  <c r="B24" i="9"/>
  <c r="B24" i="11"/>
  <c r="B24" i="8"/>
  <c r="F55" i="1"/>
  <c r="G55" i="1" s="1"/>
  <c r="D55" i="14"/>
  <c r="F55" i="14" s="1"/>
  <c r="D55" i="15"/>
  <c r="F55" i="15" s="1"/>
  <c r="D55" i="11"/>
  <c r="F55" i="11" s="1"/>
  <c r="D55" i="8"/>
  <c r="D55" i="9"/>
  <c r="F66" i="1"/>
  <c r="I66" i="1" s="1"/>
  <c r="D66" i="15"/>
  <c r="F66" i="15" s="1"/>
  <c r="D66" i="14"/>
  <c r="F66" i="14" s="1"/>
  <c r="D66" i="9"/>
  <c r="D66" i="11"/>
  <c r="F66" i="11" s="1"/>
  <c r="D66" i="8"/>
  <c r="E69" i="15"/>
  <c r="E69" i="14"/>
  <c r="E69" i="11"/>
  <c r="E69" i="8"/>
  <c r="E69" i="9"/>
  <c r="C82" i="15"/>
  <c r="C82" i="14"/>
  <c r="C82" i="11"/>
  <c r="C82" i="9"/>
  <c r="C82" i="8"/>
  <c r="E110" i="15"/>
  <c r="E110" i="14"/>
  <c r="E110" i="11"/>
  <c r="E110" i="9"/>
  <c r="E110" i="8"/>
  <c r="F122" i="1"/>
  <c r="H122" i="1" s="1"/>
  <c r="D122" i="15"/>
  <c r="F122" i="15" s="1"/>
  <c r="D122" i="14"/>
  <c r="F122" i="14" s="1"/>
  <c r="D122" i="11"/>
  <c r="F122" i="11" s="1"/>
  <c r="D122" i="9"/>
  <c r="D122" i="8"/>
  <c r="A7" i="15"/>
  <c r="A7" i="9"/>
  <c r="A7" i="14"/>
  <c r="A7" i="11"/>
  <c r="A7" i="8"/>
  <c r="C18" i="15"/>
  <c r="C18" i="14"/>
  <c r="C18" i="11"/>
  <c r="C18" i="9"/>
  <c r="C18" i="8"/>
  <c r="F21" i="1"/>
  <c r="D21" i="15"/>
  <c r="F21" i="15" s="1"/>
  <c r="D21" i="14"/>
  <c r="F21" i="14" s="1"/>
  <c r="D21" i="11"/>
  <c r="F21" i="11" s="1"/>
  <c r="D21" i="9"/>
  <c r="D21" i="8"/>
  <c r="C24" i="15"/>
  <c r="C24" i="14"/>
  <c r="C24" i="11"/>
  <c r="C24" i="9"/>
  <c r="C24" i="8"/>
  <c r="A42" i="15"/>
  <c r="A42" i="14"/>
  <c r="A42" i="11"/>
  <c r="A42" i="9"/>
  <c r="A42" i="8"/>
  <c r="E55" i="14"/>
  <c r="E55" i="15"/>
  <c r="E55" i="11"/>
  <c r="E55" i="8"/>
  <c r="E55" i="9"/>
  <c r="F82" i="1"/>
  <c r="J82" i="1" s="1"/>
  <c r="D82" i="15"/>
  <c r="F82" i="15" s="1"/>
  <c r="D82" i="14"/>
  <c r="F82" i="14" s="1"/>
  <c r="D82" i="11"/>
  <c r="F82" i="11" s="1"/>
  <c r="D82" i="9"/>
  <c r="D82" i="8"/>
  <c r="E85" i="14"/>
  <c r="E85" i="11"/>
  <c r="E85" i="15"/>
  <c r="E85" i="9"/>
  <c r="E85" i="8"/>
  <c r="E122" i="15"/>
  <c r="E122" i="14"/>
  <c r="E122" i="11"/>
  <c r="E122" i="9"/>
  <c r="E122" i="8"/>
  <c r="A137" i="15"/>
  <c r="A137" i="11"/>
  <c r="A137" i="14"/>
  <c r="A137" i="9"/>
  <c r="A137" i="8"/>
  <c r="A151" i="15"/>
  <c r="A151" i="14"/>
  <c r="A151" i="11"/>
  <c r="A151" i="8"/>
  <c r="A151" i="9"/>
  <c r="A177" i="15"/>
  <c r="A177" i="14"/>
  <c r="A177" i="11"/>
  <c r="A177" i="9"/>
  <c r="A177" i="8"/>
  <c r="A193" i="15"/>
  <c r="A193" i="14"/>
  <c r="A193" i="11"/>
  <c r="A193" i="9"/>
  <c r="A193" i="8"/>
  <c r="A207" i="15"/>
  <c r="A207" i="14"/>
  <c r="A207" i="11"/>
  <c r="A207" i="9"/>
  <c r="A207" i="8"/>
  <c r="E218" i="15"/>
  <c r="E218" i="14"/>
  <c r="E218" i="11"/>
  <c r="E218" i="9"/>
  <c r="E218" i="8"/>
  <c r="F221" i="1"/>
  <c r="E239" i="15"/>
  <c r="E239" i="14"/>
  <c r="E239" i="11"/>
  <c r="E239" i="9"/>
  <c r="E239" i="8"/>
  <c r="E262" i="15"/>
  <c r="E262" i="14"/>
  <c r="E262" i="11"/>
  <c r="E262" i="9"/>
  <c r="E262" i="8"/>
  <c r="A311" i="15"/>
  <c r="A311" i="14"/>
  <c r="A311" i="11"/>
  <c r="A311" i="8"/>
  <c r="A311" i="9"/>
  <c r="E330" i="15"/>
  <c r="E330" i="14"/>
  <c r="E330" i="9"/>
  <c r="E330" i="11"/>
  <c r="E330" i="8"/>
  <c r="F368" i="1"/>
  <c r="I368" i="1" s="1"/>
  <c r="D368" i="15"/>
  <c r="F368" i="15" s="1"/>
  <c r="D368" i="14"/>
  <c r="F368" i="14" s="1"/>
  <c r="D368" i="9"/>
  <c r="D368" i="11"/>
  <c r="F368" i="11" s="1"/>
  <c r="D368" i="8"/>
  <c r="E371" i="15"/>
  <c r="E371" i="14"/>
  <c r="E371" i="8"/>
  <c r="E371" i="11"/>
  <c r="E371" i="9"/>
  <c r="E391" i="15"/>
  <c r="E391" i="14"/>
  <c r="E391" i="11"/>
  <c r="E391" i="9"/>
  <c r="E391" i="8"/>
  <c r="A394" i="14"/>
  <c r="A394" i="11"/>
  <c r="A394" i="15"/>
  <c r="A394" i="9"/>
  <c r="A394" i="8"/>
  <c r="E413" i="14"/>
  <c r="E413" i="15"/>
  <c r="E413" i="11"/>
  <c r="E413" i="9"/>
  <c r="E413" i="8"/>
  <c r="A417" i="15"/>
  <c r="A417" i="14"/>
  <c r="A417" i="11"/>
  <c r="A417" i="9"/>
  <c r="A417" i="8"/>
  <c r="B428" i="15"/>
  <c r="B428" i="14"/>
  <c r="B428" i="11"/>
  <c r="B428" i="8"/>
  <c r="B428" i="9"/>
  <c r="A434" i="15"/>
  <c r="A434" i="14"/>
  <c r="A434" i="11"/>
  <c r="A434" i="9"/>
  <c r="A434" i="8"/>
  <c r="C451" i="15"/>
  <c r="C451" i="14"/>
  <c r="C451" i="11"/>
  <c r="C451" i="9"/>
  <c r="C451" i="8"/>
  <c r="C454" i="15"/>
  <c r="C454" i="14"/>
  <c r="C454" i="11"/>
  <c r="C454" i="8"/>
  <c r="C454" i="9"/>
  <c r="A495" i="15"/>
  <c r="A495" i="14"/>
  <c r="A495" i="11"/>
  <c r="A495" i="9"/>
  <c r="A495" i="8"/>
  <c r="A503" i="15"/>
  <c r="A503" i="14"/>
  <c r="A503" i="11"/>
  <c r="A503" i="9"/>
  <c r="A503" i="8"/>
  <c r="A518" i="15"/>
  <c r="A518" i="14"/>
  <c r="A518" i="11"/>
  <c r="A518" i="8"/>
  <c r="A518" i="9"/>
  <c r="F546" i="1"/>
  <c r="K546" i="1" s="1"/>
  <c r="D546" i="14"/>
  <c r="F546" i="14" s="1"/>
  <c r="D546" i="11"/>
  <c r="F546" i="11" s="1"/>
  <c r="D546" i="15"/>
  <c r="F546" i="15" s="1"/>
  <c r="D546" i="9"/>
  <c r="F546" i="9" s="1"/>
  <c r="D546" i="8"/>
  <c r="F546" i="8" s="1"/>
  <c r="G546" i="8" s="1"/>
  <c r="C552" i="15"/>
  <c r="C552" i="14"/>
  <c r="C552" i="11"/>
  <c r="C552" i="9"/>
  <c r="C552" i="8"/>
  <c r="B575" i="14"/>
  <c r="B575" i="15"/>
  <c r="B575" i="11"/>
  <c r="B575" i="9"/>
  <c r="B575" i="8"/>
  <c r="C605" i="15"/>
  <c r="C605" i="14"/>
  <c r="C605" i="8"/>
  <c r="C605" i="9"/>
  <c r="C605" i="11"/>
  <c r="A615" i="15"/>
  <c r="A615" i="11"/>
  <c r="A615" i="14"/>
  <c r="A615" i="9"/>
  <c r="A615" i="8"/>
  <c r="F627" i="1"/>
  <c r="G627" i="1" s="1"/>
  <c r="D627" i="15"/>
  <c r="F627" i="15" s="1"/>
  <c r="D627" i="14"/>
  <c r="F627" i="14" s="1"/>
  <c r="D627" i="11"/>
  <c r="F627" i="11" s="1"/>
  <c r="D627" i="9"/>
  <c r="F627" i="9" s="1"/>
  <c r="D627" i="8"/>
  <c r="F627" i="8" s="1"/>
  <c r="G627" i="8" s="1"/>
  <c r="E630" i="15"/>
  <c r="E630" i="14"/>
  <c r="E630" i="11"/>
  <c r="E630" i="8"/>
  <c r="E630" i="9"/>
  <c r="E633" i="15"/>
  <c r="E633" i="14"/>
  <c r="E633" i="11"/>
  <c r="E633" i="8"/>
  <c r="E633" i="9"/>
  <c r="C662" i="15"/>
  <c r="C662" i="14"/>
  <c r="C662" i="11"/>
  <c r="C662" i="9"/>
  <c r="C662" i="8"/>
  <c r="D665" i="11"/>
  <c r="F665" i="11" s="1"/>
  <c r="D665" i="14"/>
  <c r="F665" i="14" s="1"/>
  <c r="D665" i="15"/>
  <c r="F665" i="15" s="1"/>
  <c r="D665" i="9"/>
  <c r="F665" i="9" s="1"/>
  <c r="D665" i="8"/>
  <c r="F665" i="8" s="1"/>
  <c r="G665" i="8" s="1"/>
  <c r="F665" i="1"/>
  <c r="G665" i="1" s="1"/>
  <c r="D680" i="15"/>
  <c r="F680" i="15" s="1"/>
  <c r="D680" i="11"/>
  <c r="F680" i="11" s="1"/>
  <c r="D680" i="9"/>
  <c r="F680" i="9" s="1"/>
  <c r="D680" i="14"/>
  <c r="F680" i="14" s="1"/>
  <c r="D680" i="8"/>
  <c r="F680" i="8" s="1"/>
  <c r="G680" i="8" s="1"/>
  <c r="B683" i="15"/>
  <c r="B683" i="14"/>
  <c r="B683" i="9"/>
  <c r="B683" i="8"/>
  <c r="B683" i="11"/>
  <c r="D692" i="15"/>
  <c r="F692" i="15" s="1"/>
  <c r="D692" i="14"/>
  <c r="F692" i="14" s="1"/>
  <c r="D692" i="11"/>
  <c r="F692" i="11" s="1"/>
  <c r="D692" i="9"/>
  <c r="F692" i="9" s="1"/>
  <c r="D692" i="8"/>
  <c r="F692" i="8" s="1"/>
  <c r="G692" i="8" s="1"/>
  <c r="F692" i="1"/>
  <c r="H692" i="1" s="1"/>
  <c r="A705" i="15"/>
  <c r="A705" i="14"/>
  <c r="A705" i="11"/>
  <c r="A705" i="9"/>
  <c r="A705" i="8"/>
  <c r="B716" i="15"/>
  <c r="B716" i="14"/>
  <c r="B716" i="11"/>
  <c r="B716" i="9"/>
  <c r="B716" i="8"/>
  <c r="A719" i="15"/>
  <c r="A719" i="11"/>
  <c r="A719" i="14"/>
  <c r="A719" i="9"/>
  <c r="A719" i="8"/>
  <c r="B722" i="15"/>
  <c r="B722" i="14"/>
  <c r="B722" i="11"/>
  <c r="B722" i="9"/>
  <c r="B722" i="8"/>
  <c r="C744" i="15"/>
  <c r="C744" i="14"/>
  <c r="C744" i="11"/>
  <c r="C744" i="8"/>
  <c r="C744" i="9"/>
  <c r="C750" i="14"/>
  <c r="C750" i="15"/>
  <c r="C750" i="11"/>
  <c r="C750" i="9"/>
  <c r="C750" i="8"/>
  <c r="A774" i="15"/>
  <c r="A774" i="14"/>
  <c r="A774" i="11"/>
  <c r="A774" i="9"/>
  <c r="A774" i="8"/>
  <c r="D794" i="15"/>
  <c r="F794" i="15" s="1"/>
  <c r="D794" i="14"/>
  <c r="F794" i="14" s="1"/>
  <c r="D794" i="11"/>
  <c r="F794" i="11" s="1"/>
  <c r="D794" i="8"/>
  <c r="F794" i="8" s="1"/>
  <c r="G794" i="8" s="1"/>
  <c r="D794" i="9"/>
  <c r="F794" i="9" s="1"/>
  <c r="F808" i="1"/>
  <c r="I808" i="1" s="1"/>
  <c r="A821" i="14"/>
  <c r="A821" i="15"/>
  <c r="A821" i="11"/>
  <c r="A821" i="8"/>
  <c r="A821" i="9"/>
  <c r="A850" i="15"/>
  <c r="A850" i="14"/>
  <c r="A850" i="11"/>
  <c r="A850" i="8"/>
  <c r="A850" i="9"/>
  <c r="C144" i="15"/>
  <c r="C144" i="14"/>
  <c r="C144" i="11"/>
  <c r="C144" i="9"/>
  <c r="C144" i="8"/>
  <c r="B274" i="15"/>
  <c r="B274" i="14"/>
  <c r="B274" i="11"/>
  <c r="B274" i="9"/>
  <c r="B274" i="8"/>
  <c r="B337" i="14"/>
  <c r="B337" i="15"/>
  <c r="B337" i="11"/>
  <c r="B337" i="8"/>
  <c r="B337" i="9"/>
  <c r="A610" i="15"/>
  <c r="A610" i="14"/>
  <c r="A610" i="11"/>
  <c r="A610" i="9"/>
  <c r="A610" i="8"/>
  <c r="E789" i="15"/>
  <c r="E789" i="11"/>
  <c r="E789" i="14"/>
  <c r="E789" i="9"/>
  <c r="E789" i="8"/>
  <c r="C819" i="15"/>
  <c r="C819" i="14"/>
  <c r="C819" i="8"/>
  <c r="C819" i="9"/>
  <c r="C819" i="11"/>
  <c r="A289" i="15"/>
  <c r="A289" i="11"/>
  <c r="A289" i="14"/>
  <c r="A289" i="9"/>
  <c r="A289" i="8"/>
  <c r="F441" i="1"/>
  <c r="H441" i="1" s="1"/>
  <c r="D441" i="15"/>
  <c r="F441" i="15" s="1"/>
  <c r="D441" i="14"/>
  <c r="F441" i="14" s="1"/>
  <c r="D441" i="11"/>
  <c r="F441" i="11" s="1"/>
  <c r="D441" i="9"/>
  <c r="D441" i="8"/>
  <c r="C613" i="15"/>
  <c r="C613" i="14"/>
  <c r="C613" i="11"/>
  <c r="C613" i="8"/>
  <c r="C613" i="9"/>
  <c r="A801" i="15"/>
  <c r="A801" i="14"/>
  <c r="A801" i="8"/>
  <c r="A801" i="9"/>
  <c r="A801" i="11"/>
  <c r="E112" i="15"/>
  <c r="E112" i="14"/>
  <c r="E112" i="11"/>
  <c r="E112" i="9"/>
  <c r="E112" i="8"/>
  <c r="F223" i="1"/>
  <c r="H223" i="1" s="1"/>
  <c r="D223" i="15"/>
  <c r="F223" i="15" s="1"/>
  <c r="D223" i="14"/>
  <c r="F223" i="14" s="1"/>
  <c r="D223" i="11"/>
  <c r="F223" i="11" s="1"/>
  <c r="D223" i="9"/>
  <c r="D223" i="8"/>
  <c r="B289" i="15"/>
  <c r="B289" i="14"/>
  <c r="B289" i="11"/>
  <c r="B289" i="9"/>
  <c r="B289" i="8"/>
  <c r="C479" i="15"/>
  <c r="C479" i="14"/>
  <c r="C479" i="11"/>
  <c r="C479" i="9"/>
  <c r="C479" i="8"/>
  <c r="C610" i="15"/>
  <c r="C610" i="11"/>
  <c r="C610" i="14"/>
  <c r="C610" i="9"/>
  <c r="C610" i="8"/>
  <c r="B729" i="15"/>
  <c r="B729" i="14"/>
  <c r="B729" i="11"/>
  <c r="B729" i="9"/>
  <c r="B729" i="8"/>
  <c r="D772" i="15"/>
  <c r="F772" i="15" s="1"/>
  <c r="D772" i="14"/>
  <c r="F772" i="14" s="1"/>
  <c r="D772" i="9"/>
  <c r="F772" i="9" s="1"/>
  <c r="D772" i="11"/>
  <c r="F772" i="11" s="1"/>
  <c r="D772" i="8"/>
  <c r="F772" i="8" s="1"/>
  <c r="G772" i="8" s="1"/>
  <c r="F772" i="1"/>
  <c r="C26" i="15"/>
  <c r="C26" i="11"/>
  <c r="C26" i="8"/>
  <c r="C26" i="9"/>
  <c r="C26" i="14"/>
  <c r="E49" i="15"/>
  <c r="E49" i="14"/>
  <c r="E49" i="11"/>
  <c r="E49" i="9"/>
  <c r="E49" i="8"/>
  <c r="F112" i="1"/>
  <c r="H112" i="1" s="1"/>
  <c r="A209" i="15"/>
  <c r="A209" i="9"/>
  <c r="A209" i="11"/>
  <c r="A209" i="8"/>
  <c r="A209" i="14"/>
  <c r="B292" i="15"/>
  <c r="B292" i="9"/>
  <c r="B292" i="11"/>
  <c r="B292" i="8"/>
  <c r="B292" i="14"/>
  <c r="E438" i="15"/>
  <c r="E438" i="11"/>
  <c r="E438" i="9"/>
  <c r="E438" i="14"/>
  <c r="E438" i="8"/>
  <c r="D595" i="15"/>
  <c r="F595" i="15" s="1"/>
  <c r="D595" i="14"/>
  <c r="F595" i="14" s="1"/>
  <c r="D595" i="11"/>
  <c r="F595" i="11" s="1"/>
  <c r="D595" i="9"/>
  <c r="F595" i="9" s="1"/>
  <c r="D595" i="8"/>
  <c r="F595" i="8" s="1"/>
  <c r="G595" i="8" s="1"/>
  <c r="F694" i="1"/>
  <c r="J694" i="1" s="1"/>
  <c r="D694" i="15"/>
  <c r="F694" i="15" s="1"/>
  <c r="D694" i="14"/>
  <c r="F694" i="14" s="1"/>
  <c r="D694" i="11"/>
  <c r="F694" i="11" s="1"/>
  <c r="D694" i="9"/>
  <c r="F694" i="9" s="1"/>
  <c r="D694" i="8"/>
  <c r="F694" i="8" s="1"/>
  <c r="G694" i="8" s="1"/>
  <c r="E772" i="15"/>
  <c r="E772" i="14"/>
  <c r="E772" i="11"/>
  <c r="E772" i="9"/>
  <c r="E772" i="8"/>
  <c r="A784" i="14"/>
  <c r="A784" i="15"/>
  <c r="A784" i="11"/>
  <c r="A784" i="9"/>
  <c r="A784" i="8"/>
  <c r="F804" i="1"/>
  <c r="J804" i="1" s="1"/>
  <c r="D804" i="15"/>
  <c r="F804" i="15" s="1"/>
  <c r="D804" i="14"/>
  <c r="F804" i="14" s="1"/>
  <c r="D804" i="11"/>
  <c r="F804" i="11" s="1"/>
  <c r="D804" i="9"/>
  <c r="F804" i="9" s="1"/>
  <c r="D804" i="8"/>
  <c r="F804" i="8" s="1"/>
  <c r="G804" i="8" s="1"/>
  <c r="A9" i="15"/>
  <c r="A9" i="14"/>
  <c r="A9" i="11"/>
  <c r="A9" i="9"/>
  <c r="A9" i="8"/>
  <c r="A113" i="14"/>
  <c r="A113" i="15"/>
  <c r="A113" i="11"/>
  <c r="A113" i="9"/>
  <c r="A113" i="8"/>
  <c r="A617" i="15"/>
  <c r="A617" i="14"/>
  <c r="A617" i="11"/>
  <c r="A617" i="9"/>
  <c r="A617" i="8"/>
  <c r="A335" i="15"/>
  <c r="A335" i="14"/>
  <c r="A335" i="11"/>
  <c r="A335" i="9"/>
  <c r="A335" i="8"/>
  <c r="C9" i="15"/>
  <c r="C9" i="14"/>
  <c r="C9" i="11"/>
  <c r="C9" i="9"/>
  <c r="C9" i="8"/>
  <c r="C69" i="15"/>
  <c r="C69" i="14"/>
  <c r="C69" i="11"/>
  <c r="C69" i="9"/>
  <c r="C69" i="8"/>
  <c r="C110" i="15"/>
  <c r="C110" i="14"/>
  <c r="C110" i="9"/>
  <c r="C110" i="11"/>
  <c r="C110" i="8"/>
  <c r="F195" i="1"/>
  <c r="G195" i="1" s="1"/>
  <c r="D195" i="15"/>
  <c r="F195" i="15" s="1"/>
  <c r="D195" i="14"/>
  <c r="F195" i="14" s="1"/>
  <c r="D195" i="11"/>
  <c r="F195" i="11" s="1"/>
  <c r="D195" i="9"/>
  <c r="D195" i="8"/>
  <c r="C221" i="15"/>
  <c r="C221" i="11"/>
  <c r="C221" i="9"/>
  <c r="C221" i="14"/>
  <c r="C221" i="8"/>
  <c r="C462" i="15"/>
  <c r="C462" i="14"/>
  <c r="C462" i="11"/>
  <c r="C462" i="9"/>
  <c r="C462" i="8"/>
  <c r="B526" i="15"/>
  <c r="B526" i="14"/>
  <c r="B526" i="11"/>
  <c r="B526" i="9"/>
  <c r="B526" i="8"/>
  <c r="C590" i="15"/>
  <c r="C590" i="14"/>
  <c r="C590" i="11"/>
  <c r="C590" i="9"/>
  <c r="C590" i="8"/>
  <c r="D704" i="15"/>
  <c r="F704" i="15" s="1"/>
  <c r="D704" i="14"/>
  <c r="F704" i="14" s="1"/>
  <c r="D704" i="11"/>
  <c r="F704" i="11" s="1"/>
  <c r="D704" i="9"/>
  <c r="F704" i="9" s="1"/>
  <c r="D704" i="8"/>
  <c r="F704" i="8" s="1"/>
  <c r="G704" i="8" s="1"/>
  <c r="F784" i="1"/>
  <c r="D784" i="15"/>
  <c r="F784" i="15" s="1"/>
  <c r="D784" i="14"/>
  <c r="F784" i="14" s="1"/>
  <c r="D784" i="11"/>
  <c r="F784" i="11" s="1"/>
  <c r="D784" i="8"/>
  <c r="F784" i="8" s="1"/>
  <c r="G784" i="8" s="1"/>
  <c r="D784" i="9"/>
  <c r="F784" i="9" s="1"/>
  <c r="C832" i="15"/>
  <c r="C832" i="14"/>
  <c r="C832" i="11"/>
  <c r="C832" i="9"/>
  <c r="C832" i="8"/>
  <c r="A24" i="15"/>
  <c r="A24" i="14"/>
  <c r="A24" i="9"/>
  <c r="A24" i="11"/>
  <c r="A24" i="8"/>
  <c r="A265" i="15"/>
  <c r="A265" i="14"/>
  <c r="A265" i="11"/>
  <c r="A265" i="8"/>
  <c r="A265" i="9"/>
  <c r="F462" i="1"/>
  <c r="J462" i="1" s="1"/>
  <c r="D462" i="15"/>
  <c r="F462" i="15" s="1"/>
  <c r="D462" i="14"/>
  <c r="F462" i="14" s="1"/>
  <c r="D462" i="11"/>
  <c r="F462" i="11" s="1"/>
  <c r="D462" i="9"/>
  <c r="D462" i="8"/>
  <c r="B627" i="15"/>
  <c r="B627" i="14"/>
  <c r="B627" i="11"/>
  <c r="B627" i="9"/>
  <c r="B627" i="8"/>
  <c r="B641" i="15"/>
  <c r="B641" i="14"/>
  <c r="B641" i="11"/>
  <c r="B641" i="9"/>
  <c r="B641" i="8"/>
  <c r="A750" i="14"/>
  <c r="A750" i="15"/>
  <c r="A750" i="11"/>
  <c r="A750" i="9"/>
  <c r="A750" i="8"/>
  <c r="E781" i="15"/>
  <c r="E781" i="14"/>
  <c r="E781" i="11"/>
  <c r="E781" i="9"/>
  <c r="E781" i="8"/>
  <c r="D832" i="15"/>
  <c r="F832" i="15" s="1"/>
  <c r="D832" i="11"/>
  <c r="F832" i="11" s="1"/>
  <c r="D832" i="14"/>
  <c r="F832" i="14" s="1"/>
  <c r="D832" i="9"/>
  <c r="F832" i="9" s="1"/>
  <c r="D832" i="8"/>
  <c r="F832" i="8" s="1"/>
  <c r="G832" i="8" s="1"/>
  <c r="F832" i="1"/>
  <c r="K832" i="1" s="1"/>
  <c r="F18" i="1"/>
  <c r="G18" i="1" s="1"/>
  <c r="D18" i="15"/>
  <c r="F18" i="15" s="1"/>
  <c r="D18" i="14"/>
  <c r="F18" i="14" s="1"/>
  <c r="D18" i="11"/>
  <c r="F18" i="11" s="1"/>
  <c r="D18" i="9"/>
  <c r="D18" i="8"/>
  <c r="A36" i="15"/>
  <c r="A36" i="14"/>
  <c r="A36" i="11"/>
  <c r="A36" i="8"/>
  <c r="A36" i="9"/>
  <c r="A39" i="11"/>
  <c r="A39" i="14"/>
  <c r="A39" i="15"/>
  <c r="A39" i="9"/>
  <c r="A39" i="8"/>
  <c r="B42" i="15"/>
  <c r="B42" i="14"/>
  <c r="B42" i="11"/>
  <c r="B42" i="9"/>
  <c r="B42" i="8"/>
  <c r="A56" i="15"/>
  <c r="A56" i="14"/>
  <c r="A56" i="9"/>
  <c r="A56" i="11"/>
  <c r="A56" i="8"/>
  <c r="E82" i="15"/>
  <c r="E82" i="14"/>
  <c r="E82" i="11"/>
  <c r="E82" i="9"/>
  <c r="E82" i="8"/>
  <c r="A108" i="15"/>
  <c r="A108" i="14"/>
  <c r="A108" i="9"/>
  <c r="A108" i="11"/>
  <c r="A108" i="8"/>
  <c r="B131" i="15"/>
  <c r="B131" i="14"/>
  <c r="B131" i="11"/>
  <c r="B131" i="8"/>
  <c r="B131" i="9"/>
  <c r="C134" i="15"/>
  <c r="C134" i="9"/>
  <c r="C134" i="14"/>
  <c r="C134" i="11"/>
  <c r="C134" i="8"/>
  <c r="B137" i="15"/>
  <c r="B137" i="11"/>
  <c r="B137" i="14"/>
  <c r="B137" i="9"/>
  <c r="B137" i="8"/>
  <c r="B151" i="15"/>
  <c r="B151" i="14"/>
  <c r="B151" i="11"/>
  <c r="B151" i="8"/>
  <c r="B151" i="9"/>
  <c r="E170" i="15"/>
  <c r="E170" i="14"/>
  <c r="E170" i="11"/>
  <c r="E170" i="9"/>
  <c r="E170" i="8"/>
  <c r="A174" i="15"/>
  <c r="A174" i="14"/>
  <c r="A174" i="9"/>
  <c r="A174" i="11"/>
  <c r="A174" i="8"/>
  <c r="B177" i="15"/>
  <c r="B177" i="14"/>
  <c r="B177" i="9"/>
  <c r="B177" i="11"/>
  <c r="B177" i="8"/>
  <c r="B207" i="15"/>
  <c r="B207" i="14"/>
  <c r="B207" i="11"/>
  <c r="B207" i="9"/>
  <c r="B207" i="8"/>
  <c r="A219" i="15"/>
  <c r="A219" i="14"/>
  <c r="A219" i="9"/>
  <c r="A219" i="8"/>
  <c r="A219" i="11"/>
  <c r="B231" i="15"/>
  <c r="B231" i="11"/>
  <c r="B231" i="9"/>
  <c r="B231" i="14"/>
  <c r="B231" i="8"/>
  <c r="B234" i="15"/>
  <c r="B234" i="14"/>
  <c r="B234" i="11"/>
  <c r="B234" i="9"/>
  <c r="B234" i="8"/>
  <c r="B248" i="15"/>
  <c r="B248" i="14"/>
  <c r="B248" i="11"/>
  <c r="B248" i="8"/>
  <c r="B248" i="9"/>
  <c r="C251" i="15"/>
  <c r="C251" i="14"/>
  <c r="C251" i="11"/>
  <c r="C251" i="9"/>
  <c r="C251" i="8"/>
  <c r="B285" i="14"/>
  <c r="B285" i="15"/>
  <c r="B285" i="11"/>
  <c r="B285" i="9"/>
  <c r="B285" i="8"/>
  <c r="B311" i="15"/>
  <c r="B311" i="14"/>
  <c r="B311" i="11"/>
  <c r="B311" i="8"/>
  <c r="B311" i="9"/>
  <c r="A328" i="15"/>
  <c r="A328" i="14"/>
  <c r="A328" i="11"/>
  <c r="A328" i="8"/>
  <c r="A328" i="9"/>
  <c r="F330" i="1"/>
  <c r="F365" i="1"/>
  <c r="G365" i="1" s="1"/>
  <c r="D365" i="15"/>
  <c r="F365" i="15" s="1"/>
  <c r="D365" i="14"/>
  <c r="F365" i="14" s="1"/>
  <c r="D365" i="11"/>
  <c r="F365" i="11" s="1"/>
  <c r="D365" i="9"/>
  <c r="D365" i="8"/>
  <c r="E368" i="15"/>
  <c r="E368" i="14"/>
  <c r="E368" i="9"/>
  <c r="E368" i="8"/>
  <c r="E368" i="11"/>
  <c r="F371" i="1"/>
  <c r="G371" i="1" s="1"/>
  <c r="B394" i="14"/>
  <c r="B394" i="11"/>
  <c r="B394" i="15"/>
  <c r="B394" i="8"/>
  <c r="B394" i="9"/>
  <c r="A414" i="15"/>
  <c r="A414" i="14"/>
  <c r="A414" i="11"/>
  <c r="A414" i="9"/>
  <c r="A414" i="8"/>
  <c r="B417" i="15"/>
  <c r="B417" i="14"/>
  <c r="B417" i="11"/>
  <c r="B417" i="9"/>
  <c r="B417" i="8"/>
  <c r="C428" i="14"/>
  <c r="C428" i="15"/>
  <c r="C428" i="11"/>
  <c r="C428" i="9"/>
  <c r="C428" i="8"/>
  <c r="A431" i="15"/>
  <c r="A431" i="11"/>
  <c r="A431" i="14"/>
  <c r="A431" i="9"/>
  <c r="A431" i="8"/>
  <c r="B434" i="15"/>
  <c r="B434" i="14"/>
  <c r="B434" i="11"/>
  <c r="B434" i="9"/>
  <c r="B434" i="8"/>
  <c r="D451" i="14"/>
  <c r="F451" i="14" s="1"/>
  <c r="D451" i="11"/>
  <c r="F451" i="11" s="1"/>
  <c r="D451" i="15"/>
  <c r="F451" i="15" s="1"/>
  <c r="D451" i="9"/>
  <c r="D451" i="8"/>
  <c r="D454" i="15"/>
  <c r="F454" i="15" s="1"/>
  <c r="D454" i="14"/>
  <c r="F454" i="14" s="1"/>
  <c r="D454" i="11"/>
  <c r="F454" i="11" s="1"/>
  <c r="D454" i="8"/>
  <c r="D454" i="9"/>
  <c r="F454" i="1"/>
  <c r="G454" i="1" s="1"/>
  <c r="A460" i="15"/>
  <c r="A460" i="11"/>
  <c r="A460" i="14"/>
  <c r="A460" i="8"/>
  <c r="A460" i="9"/>
  <c r="C472" i="15"/>
  <c r="C472" i="14"/>
  <c r="C472" i="9"/>
  <c r="C472" i="11"/>
  <c r="C472" i="8"/>
  <c r="A486" i="15"/>
  <c r="A486" i="14"/>
  <c r="A486" i="11"/>
  <c r="A486" i="9"/>
  <c r="A486" i="8"/>
  <c r="A492" i="15"/>
  <c r="A492" i="14"/>
  <c r="A492" i="11"/>
  <c r="A492" i="8"/>
  <c r="A492" i="9"/>
  <c r="B495" i="15"/>
  <c r="B495" i="14"/>
  <c r="B495" i="11"/>
  <c r="B495" i="8"/>
  <c r="B495" i="9"/>
  <c r="A498" i="15"/>
  <c r="A498" i="14"/>
  <c r="A498" i="11"/>
  <c r="A498" i="8"/>
  <c r="A498" i="9"/>
  <c r="E500" i="15"/>
  <c r="E500" i="14"/>
  <c r="E500" i="11"/>
  <c r="E500" i="9"/>
  <c r="E500" i="8"/>
  <c r="B503" i="15"/>
  <c r="B503" i="11"/>
  <c r="B503" i="14"/>
  <c r="B503" i="9"/>
  <c r="B503" i="8"/>
  <c r="B515" i="15"/>
  <c r="B515" i="14"/>
  <c r="B515" i="9"/>
  <c r="B515" i="11"/>
  <c r="B515" i="8"/>
  <c r="B518" i="15"/>
  <c r="B518" i="14"/>
  <c r="B518" i="11"/>
  <c r="B518" i="9"/>
  <c r="B518" i="8"/>
  <c r="E546" i="14"/>
  <c r="E546" i="11"/>
  <c r="E546" i="15"/>
  <c r="E546" i="9"/>
  <c r="E546" i="8"/>
  <c r="F552" i="1"/>
  <c r="D552" i="15"/>
  <c r="F552" i="15" s="1"/>
  <c r="D552" i="14"/>
  <c r="F552" i="14" s="1"/>
  <c r="D552" i="11"/>
  <c r="F552" i="11" s="1"/>
  <c r="D552" i="8"/>
  <c r="F552" i="8" s="1"/>
  <c r="G552" i="8" s="1"/>
  <c r="D552" i="9"/>
  <c r="F552" i="9" s="1"/>
  <c r="C558" i="14"/>
  <c r="C558" i="15"/>
  <c r="C558" i="11"/>
  <c r="C558" i="9"/>
  <c r="C558" i="8"/>
  <c r="A561" i="15"/>
  <c r="A561" i="14"/>
  <c r="A561" i="11"/>
  <c r="A561" i="8"/>
  <c r="A561" i="9"/>
  <c r="D572" i="14"/>
  <c r="F572" i="14" s="1"/>
  <c r="D572" i="11"/>
  <c r="F572" i="11" s="1"/>
  <c r="D572" i="15"/>
  <c r="F572" i="15" s="1"/>
  <c r="D572" i="9"/>
  <c r="F572" i="9" s="1"/>
  <c r="D572" i="8"/>
  <c r="F572" i="8" s="1"/>
  <c r="G572" i="8" s="1"/>
  <c r="C575" i="15"/>
  <c r="C575" i="14"/>
  <c r="C575" i="11"/>
  <c r="C575" i="9"/>
  <c r="C575" i="8"/>
  <c r="A578" i="15"/>
  <c r="A578" i="14"/>
  <c r="A578" i="11"/>
  <c r="A578" i="8"/>
  <c r="A578" i="9"/>
  <c r="A588" i="14"/>
  <c r="A588" i="15"/>
  <c r="A588" i="9"/>
  <c r="A588" i="11"/>
  <c r="A588" i="8"/>
  <c r="D605" i="15"/>
  <c r="F605" i="15" s="1"/>
  <c r="D605" i="11"/>
  <c r="F605" i="11" s="1"/>
  <c r="D605" i="14"/>
  <c r="F605" i="14" s="1"/>
  <c r="D605" i="9"/>
  <c r="F605" i="9" s="1"/>
  <c r="D605" i="8"/>
  <c r="F605" i="8" s="1"/>
  <c r="G605" i="8" s="1"/>
  <c r="F605" i="1"/>
  <c r="G605" i="1" s="1"/>
  <c r="B615" i="14"/>
  <c r="B615" i="11"/>
  <c r="B615" i="15"/>
  <c r="B615" i="9"/>
  <c r="B615" i="8"/>
  <c r="E627" i="15"/>
  <c r="E627" i="14"/>
  <c r="E627" i="11"/>
  <c r="E627" i="9"/>
  <c r="E627" i="8"/>
  <c r="F630" i="1"/>
  <c r="J630" i="1" s="1"/>
  <c r="F633" i="1"/>
  <c r="G633" i="1" s="1"/>
  <c r="E650" i="14"/>
  <c r="E650" i="15"/>
  <c r="E650" i="11"/>
  <c r="E650" i="9"/>
  <c r="E650" i="8"/>
  <c r="D662" i="15"/>
  <c r="F662" i="15" s="1"/>
  <c r="D662" i="14"/>
  <c r="F662" i="14" s="1"/>
  <c r="D662" i="11"/>
  <c r="F662" i="11" s="1"/>
  <c r="D662" i="9"/>
  <c r="F662" i="9" s="1"/>
  <c r="D662" i="8"/>
  <c r="F662" i="8" s="1"/>
  <c r="G662" i="8" s="1"/>
  <c r="F662" i="1"/>
  <c r="A678" i="14"/>
  <c r="A678" i="11"/>
  <c r="A678" i="15"/>
  <c r="A678" i="9"/>
  <c r="A678" i="8"/>
  <c r="E680" i="15"/>
  <c r="E680" i="11"/>
  <c r="E680" i="9"/>
  <c r="E680" i="14"/>
  <c r="E680" i="8"/>
  <c r="F689" i="1"/>
  <c r="H689" i="1" s="1"/>
  <c r="D689" i="15"/>
  <c r="F689" i="15" s="1"/>
  <c r="D689" i="14"/>
  <c r="F689" i="14" s="1"/>
  <c r="D689" i="11"/>
  <c r="F689" i="11" s="1"/>
  <c r="D689" i="9"/>
  <c r="F689" i="9" s="1"/>
  <c r="D689" i="8"/>
  <c r="F689" i="8" s="1"/>
  <c r="G689" i="8" s="1"/>
  <c r="E692" i="15"/>
  <c r="E692" i="14"/>
  <c r="E692" i="11"/>
  <c r="E692" i="9"/>
  <c r="E692" i="8"/>
  <c r="B702" i="15"/>
  <c r="B702" i="14"/>
  <c r="B702" i="11"/>
  <c r="B702" i="9"/>
  <c r="B702" i="8"/>
  <c r="C716" i="15"/>
  <c r="C716" i="14"/>
  <c r="C716" i="11"/>
  <c r="C716" i="9"/>
  <c r="C716" i="8"/>
  <c r="E741" i="14"/>
  <c r="E741" i="15"/>
  <c r="E741" i="11"/>
  <c r="E741" i="8"/>
  <c r="E741" i="9"/>
  <c r="D750" i="15"/>
  <c r="F750" i="15" s="1"/>
  <c r="D750" i="14"/>
  <c r="F750" i="14" s="1"/>
  <c r="D750" i="11"/>
  <c r="F750" i="11" s="1"/>
  <c r="D750" i="9"/>
  <c r="F750" i="9" s="1"/>
  <c r="D750" i="8"/>
  <c r="F750" i="8" s="1"/>
  <c r="G750" i="8" s="1"/>
  <c r="F750" i="1"/>
  <c r="B765" i="15"/>
  <c r="B765" i="14"/>
  <c r="B765" i="11"/>
  <c r="B765" i="9"/>
  <c r="B765" i="8"/>
  <c r="C768" i="15"/>
  <c r="C768" i="11"/>
  <c r="C768" i="8"/>
  <c r="C768" i="9"/>
  <c r="C768" i="14"/>
  <c r="B774" i="15"/>
  <c r="B774" i="14"/>
  <c r="B774" i="11"/>
  <c r="B774" i="9"/>
  <c r="B774" i="8"/>
  <c r="B779" i="15"/>
  <c r="B779" i="14"/>
  <c r="B779" i="11"/>
  <c r="B779" i="9"/>
  <c r="B779" i="8"/>
  <c r="E794" i="15"/>
  <c r="E794" i="14"/>
  <c r="E794" i="11"/>
  <c r="E794" i="9"/>
  <c r="E794" i="8"/>
  <c r="B821" i="15"/>
  <c r="B821" i="14"/>
  <c r="B821" i="11"/>
  <c r="B821" i="8"/>
  <c r="B821" i="9"/>
  <c r="B850" i="15"/>
  <c r="B850" i="14"/>
  <c r="B850" i="9"/>
  <c r="B850" i="8"/>
  <c r="B850" i="11"/>
  <c r="A853" i="15"/>
  <c r="A853" i="14"/>
  <c r="A853" i="11"/>
  <c r="A853" i="9"/>
  <c r="A853" i="8"/>
  <c r="E13" i="15"/>
  <c r="E13" i="14"/>
  <c r="E13" i="11"/>
  <c r="E13" i="9"/>
  <c r="E13" i="8"/>
  <c r="A118" i="15"/>
  <c r="A118" i="14"/>
  <c r="A118" i="9"/>
  <c r="A118" i="11"/>
  <c r="A118" i="8"/>
  <c r="E202" i="14"/>
  <c r="E202" i="15"/>
  <c r="E202" i="11"/>
  <c r="E202" i="8"/>
  <c r="E202" i="9"/>
  <c r="B283" i="15"/>
  <c r="B283" i="11"/>
  <c r="B283" i="14"/>
  <c r="B283" i="9"/>
  <c r="B283" i="8"/>
  <c r="B734" i="14"/>
  <c r="B734" i="11"/>
  <c r="B734" i="15"/>
  <c r="B734" i="9"/>
  <c r="B734" i="8"/>
  <c r="B772" i="15"/>
  <c r="B772" i="14"/>
  <c r="B772" i="11"/>
  <c r="B772" i="8"/>
  <c r="B772" i="9"/>
  <c r="C816" i="15"/>
  <c r="C816" i="14"/>
  <c r="C816" i="11"/>
  <c r="C816" i="9"/>
  <c r="C816" i="8"/>
  <c r="E839" i="15"/>
  <c r="E839" i="11"/>
  <c r="E839" i="9"/>
  <c r="E839" i="8"/>
  <c r="E839" i="14"/>
  <c r="A29" i="15"/>
  <c r="A29" i="14"/>
  <c r="A29" i="9"/>
  <c r="A29" i="8"/>
  <c r="A29" i="11"/>
  <c r="A100" i="14"/>
  <c r="A100" i="15"/>
  <c r="A100" i="11"/>
  <c r="A100" i="9"/>
  <c r="A100" i="8"/>
  <c r="D155" i="15"/>
  <c r="F155" i="15" s="1"/>
  <c r="D155" i="14"/>
  <c r="F155" i="14" s="1"/>
  <c r="D155" i="9"/>
  <c r="D155" i="11"/>
  <c r="F155" i="11" s="1"/>
  <c r="D155" i="8"/>
  <c r="E158" i="14"/>
  <c r="E158" i="11"/>
  <c r="E158" i="15"/>
  <c r="E158" i="8"/>
  <c r="E158" i="9"/>
  <c r="E340" i="15"/>
  <c r="E340" i="11"/>
  <c r="E340" i="14"/>
  <c r="E340" i="9"/>
  <c r="E340" i="8"/>
  <c r="B565" i="15"/>
  <c r="B565" i="14"/>
  <c r="B565" i="11"/>
  <c r="B565" i="8"/>
  <c r="B565" i="9"/>
  <c r="C670" i="15"/>
  <c r="C670" i="14"/>
  <c r="C670" i="11"/>
  <c r="C670" i="8"/>
  <c r="C670" i="9"/>
  <c r="C694" i="15"/>
  <c r="C694" i="14"/>
  <c r="C694" i="11"/>
  <c r="C694" i="9"/>
  <c r="C694" i="8"/>
  <c r="B801" i="15"/>
  <c r="B801" i="14"/>
  <c r="B801" i="11"/>
  <c r="B801" i="8"/>
  <c r="B801" i="9"/>
  <c r="A840" i="15"/>
  <c r="A840" i="14"/>
  <c r="A840" i="11"/>
  <c r="A840" i="8"/>
  <c r="A840" i="9"/>
  <c r="A75" i="15"/>
  <c r="A75" i="14"/>
  <c r="A75" i="11"/>
  <c r="A75" i="9"/>
  <c r="A75" i="8"/>
  <c r="C190" i="15"/>
  <c r="C190" i="14"/>
  <c r="C190" i="11"/>
  <c r="C190" i="9"/>
  <c r="C190" i="8"/>
  <c r="E274" i="15"/>
  <c r="E274" i="11"/>
  <c r="E274" i="9"/>
  <c r="E274" i="14"/>
  <c r="E274" i="8"/>
  <c r="E406" i="15"/>
  <c r="E406" i="14"/>
  <c r="E406" i="11"/>
  <c r="E406" i="9"/>
  <c r="E406" i="8"/>
  <c r="E697" i="15"/>
  <c r="E697" i="14"/>
  <c r="E697" i="8"/>
  <c r="E697" i="9"/>
  <c r="E697" i="11"/>
  <c r="A156" i="15"/>
  <c r="A156" i="14"/>
  <c r="A156" i="11"/>
  <c r="A156" i="9"/>
  <c r="A156" i="8"/>
  <c r="F264" i="1"/>
  <c r="G264" i="1" s="1"/>
  <c r="D264" i="15"/>
  <c r="F264" i="15" s="1"/>
  <c r="D264" i="14"/>
  <c r="F264" i="14" s="1"/>
  <c r="D264" i="11"/>
  <c r="F264" i="11" s="1"/>
  <c r="D264" i="9"/>
  <c r="D264" i="8"/>
  <c r="C292" i="15"/>
  <c r="C292" i="14"/>
  <c r="C292" i="9"/>
  <c r="C292" i="11"/>
  <c r="C292" i="8"/>
  <c r="A316" i="14"/>
  <c r="A316" i="15"/>
  <c r="A316" i="11"/>
  <c r="A316" i="9"/>
  <c r="A316" i="8"/>
  <c r="D421" i="15"/>
  <c r="F421" i="15" s="1"/>
  <c r="D421" i="14"/>
  <c r="F421" i="14" s="1"/>
  <c r="D421" i="11"/>
  <c r="F421" i="11" s="1"/>
  <c r="D421" i="9"/>
  <c r="D421" i="8"/>
  <c r="F421" i="1"/>
  <c r="J421" i="1" s="1"/>
  <c r="B456" i="15"/>
  <c r="B456" i="14"/>
  <c r="B456" i="11"/>
  <c r="B456" i="9"/>
  <c r="B456" i="8"/>
  <c r="B508" i="15"/>
  <c r="B508" i="14"/>
  <c r="B508" i="11"/>
  <c r="B508" i="8"/>
  <c r="B508" i="9"/>
  <c r="D607" i="15"/>
  <c r="F607" i="15" s="1"/>
  <c r="D607" i="14"/>
  <c r="F607" i="14" s="1"/>
  <c r="D607" i="11"/>
  <c r="F607" i="11" s="1"/>
  <c r="D607" i="8"/>
  <c r="F607" i="8" s="1"/>
  <c r="G607" i="8" s="1"/>
  <c r="D607" i="9"/>
  <c r="F607" i="9" s="1"/>
  <c r="F607" i="1"/>
  <c r="G607" i="1" s="1"/>
  <c r="E726" i="15"/>
  <c r="E726" i="14"/>
  <c r="E726" i="11"/>
  <c r="E726" i="9"/>
  <c r="E726" i="8"/>
  <c r="B9" i="15"/>
  <c r="B9" i="14"/>
  <c r="B9" i="11"/>
  <c r="B9" i="9"/>
  <c r="B9" i="8"/>
  <c r="C72" i="15"/>
  <c r="C72" i="11"/>
  <c r="C72" i="14"/>
  <c r="C72" i="9"/>
  <c r="C72" i="8"/>
  <c r="C90" i="15"/>
  <c r="C90" i="14"/>
  <c r="C90" i="9"/>
  <c r="C90" i="11"/>
  <c r="C90" i="8"/>
  <c r="E349" i="15"/>
  <c r="E349" i="14"/>
  <c r="E349" i="11"/>
  <c r="E349" i="9"/>
  <c r="E349" i="8"/>
  <c r="A21" i="15"/>
  <c r="A21" i="14"/>
  <c r="A21" i="9"/>
  <c r="A21" i="8"/>
  <c r="A21" i="11"/>
  <c r="B66" i="15"/>
  <c r="B66" i="14"/>
  <c r="B66" i="11"/>
  <c r="B66" i="9"/>
  <c r="B66" i="8"/>
  <c r="F209" i="1"/>
  <c r="J209" i="1" s="1"/>
  <c r="D209" i="15"/>
  <c r="F209" i="15" s="1"/>
  <c r="D209" i="11"/>
  <c r="F209" i="11" s="1"/>
  <c r="D209" i="14"/>
  <c r="F209" i="14" s="1"/>
  <c r="D209" i="8"/>
  <c r="D209" i="9"/>
  <c r="F396" i="1"/>
  <c r="G396" i="1" s="1"/>
  <c r="D396" i="15"/>
  <c r="F396" i="15" s="1"/>
  <c r="D396" i="14"/>
  <c r="F396" i="14" s="1"/>
  <c r="D396" i="11"/>
  <c r="F396" i="11" s="1"/>
  <c r="D396" i="9"/>
  <c r="D396" i="8"/>
  <c r="B529" i="15"/>
  <c r="B529" i="14"/>
  <c r="B529" i="9"/>
  <c r="B529" i="11"/>
  <c r="B529" i="8"/>
  <c r="B653" i="15"/>
  <c r="B653" i="11"/>
  <c r="B653" i="14"/>
  <c r="B653" i="9"/>
  <c r="B653" i="8"/>
  <c r="F44" i="1"/>
  <c r="H44" i="1" s="1"/>
  <c r="D44" i="15"/>
  <c r="F44" i="15" s="1"/>
  <c r="D44" i="14"/>
  <c r="F44" i="14" s="1"/>
  <c r="D44" i="11"/>
  <c r="F44" i="11" s="1"/>
  <c r="D44" i="8"/>
  <c r="D44" i="9"/>
  <c r="C66" i="15"/>
  <c r="C66" i="14"/>
  <c r="C66" i="9"/>
  <c r="C66" i="11"/>
  <c r="C66" i="8"/>
  <c r="C85" i="11"/>
  <c r="C85" i="15"/>
  <c r="C85" i="9"/>
  <c r="C85" i="14"/>
  <c r="C85" i="8"/>
  <c r="C122" i="15"/>
  <c r="C122" i="11"/>
  <c r="C122" i="14"/>
  <c r="C122" i="9"/>
  <c r="C122" i="8"/>
  <c r="E142" i="15"/>
  <c r="E142" i="14"/>
  <c r="E142" i="9"/>
  <c r="E142" i="11"/>
  <c r="E142" i="8"/>
  <c r="E195" i="15"/>
  <c r="E195" i="14"/>
  <c r="E195" i="11"/>
  <c r="E195" i="9"/>
  <c r="E195" i="8"/>
  <c r="F236" i="1"/>
  <c r="G236" i="1" s="1"/>
  <c r="D236" i="15"/>
  <c r="F236" i="15" s="1"/>
  <c r="D236" i="14"/>
  <c r="F236" i="14" s="1"/>
  <c r="D236" i="11"/>
  <c r="F236" i="11" s="1"/>
  <c r="D236" i="9"/>
  <c r="D236" i="8"/>
  <c r="F316" i="1"/>
  <c r="D316" i="14"/>
  <c r="F316" i="14" s="1"/>
  <c r="D316" i="11"/>
  <c r="F316" i="11" s="1"/>
  <c r="D316" i="15"/>
  <c r="F316" i="15" s="1"/>
  <c r="D316" i="9"/>
  <c r="D316" i="8"/>
  <c r="E396" i="15"/>
  <c r="E396" i="14"/>
  <c r="E396" i="11"/>
  <c r="E396" i="9"/>
  <c r="E396" i="8"/>
  <c r="E465" i="15"/>
  <c r="E465" i="14"/>
  <c r="E465" i="11"/>
  <c r="E465" i="9"/>
  <c r="E465" i="8"/>
  <c r="A552" i="15"/>
  <c r="A552" i="14"/>
  <c r="A552" i="11"/>
  <c r="A552" i="9"/>
  <c r="A552" i="8"/>
  <c r="C633" i="14"/>
  <c r="C633" i="15"/>
  <c r="C633" i="8"/>
  <c r="C633" i="9"/>
  <c r="C633" i="11"/>
  <c r="B7" i="15"/>
  <c r="B7" i="14"/>
  <c r="B7" i="9"/>
  <c r="B7" i="11"/>
  <c r="B7" i="8"/>
  <c r="F15" i="1"/>
  <c r="H15" i="1" s="1"/>
  <c r="D15" i="15"/>
  <c r="F15" i="15" s="1"/>
  <c r="D15" i="14"/>
  <c r="F15" i="14" s="1"/>
  <c r="D15" i="9"/>
  <c r="D15" i="11"/>
  <c r="F15" i="11" s="1"/>
  <c r="D15" i="8"/>
  <c r="E15" i="15"/>
  <c r="E15" i="9"/>
  <c r="E15" i="14"/>
  <c r="E15" i="11"/>
  <c r="E15" i="8"/>
  <c r="D33" i="15"/>
  <c r="F33" i="15" s="1"/>
  <c r="D33" i="14"/>
  <c r="F33" i="14" s="1"/>
  <c r="D33" i="11"/>
  <c r="F33" i="11" s="1"/>
  <c r="D33" i="9"/>
  <c r="D33" i="8"/>
  <c r="B36" i="15"/>
  <c r="B36" i="14"/>
  <c r="B36" i="11"/>
  <c r="B36" i="9"/>
  <c r="B36" i="8"/>
  <c r="B39" i="15"/>
  <c r="B39" i="14"/>
  <c r="B39" i="11"/>
  <c r="B39" i="9"/>
  <c r="B39" i="8"/>
  <c r="C42" i="15"/>
  <c r="C42" i="14"/>
  <c r="C42" i="11"/>
  <c r="C42" i="9"/>
  <c r="C42" i="8"/>
  <c r="A64" i="14"/>
  <c r="A64" i="15"/>
  <c r="A64" i="11"/>
  <c r="A64" i="9"/>
  <c r="A64" i="8"/>
  <c r="B108" i="14"/>
  <c r="B108" i="15"/>
  <c r="B108" i="9"/>
  <c r="B108" i="11"/>
  <c r="B108" i="8"/>
  <c r="A120" i="15"/>
  <c r="A120" i="14"/>
  <c r="A120" i="11"/>
  <c r="A120" i="9"/>
  <c r="A120" i="8"/>
  <c r="E128" i="15"/>
  <c r="E128" i="11"/>
  <c r="E128" i="14"/>
  <c r="E128" i="9"/>
  <c r="E128" i="8"/>
  <c r="C131" i="15"/>
  <c r="C131" i="14"/>
  <c r="C131" i="11"/>
  <c r="C131" i="9"/>
  <c r="C131" i="8"/>
  <c r="F134" i="1"/>
  <c r="H134" i="1" s="1"/>
  <c r="D134" i="15"/>
  <c r="F134" i="15" s="1"/>
  <c r="D134" i="14"/>
  <c r="F134" i="14" s="1"/>
  <c r="D134" i="9"/>
  <c r="D134" i="11"/>
  <c r="F134" i="11" s="1"/>
  <c r="D134" i="8"/>
  <c r="C137" i="11"/>
  <c r="C137" i="15"/>
  <c r="C137" i="14"/>
  <c r="C137" i="9"/>
  <c r="C137" i="8"/>
  <c r="C146" i="15"/>
  <c r="C146" i="14"/>
  <c r="C146" i="11"/>
  <c r="C146" i="9"/>
  <c r="C146" i="8"/>
  <c r="F168" i="1"/>
  <c r="J168" i="1" s="1"/>
  <c r="D168" i="15"/>
  <c r="F168" i="15" s="1"/>
  <c r="D168" i="11"/>
  <c r="F168" i="11" s="1"/>
  <c r="D168" i="14"/>
  <c r="F168" i="14" s="1"/>
  <c r="D168" i="9"/>
  <c r="D168" i="8"/>
  <c r="A171" i="15"/>
  <c r="A171" i="14"/>
  <c r="A171" i="11"/>
  <c r="A171" i="9"/>
  <c r="A171" i="8"/>
  <c r="B174" i="15"/>
  <c r="B174" i="14"/>
  <c r="B174" i="11"/>
  <c r="B174" i="9"/>
  <c r="B174" i="8"/>
  <c r="C177" i="15"/>
  <c r="C177" i="11"/>
  <c r="C177" i="14"/>
  <c r="C177" i="9"/>
  <c r="C177" i="8"/>
  <c r="C207" i="15"/>
  <c r="C207" i="14"/>
  <c r="C207" i="11"/>
  <c r="C207" i="9"/>
  <c r="C207" i="8"/>
  <c r="B219" i="15"/>
  <c r="B219" i="14"/>
  <c r="B219" i="11"/>
  <c r="B219" i="9"/>
  <c r="B219" i="8"/>
  <c r="C231" i="15"/>
  <c r="C231" i="14"/>
  <c r="C231" i="11"/>
  <c r="C231" i="9"/>
  <c r="C231" i="8"/>
  <c r="C234" i="15"/>
  <c r="C234" i="14"/>
  <c r="C234" i="11"/>
  <c r="C234" i="9"/>
  <c r="C234" i="8"/>
  <c r="C248" i="15"/>
  <c r="C248" i="14"/>
  <c r="C248" i="11"/>
  <c r="C248" i="9"/>
  <c r="C248" i="8"/>
  <c r="F251" i="1"/>
  <c r="G251" i="1" s="1"/>
  <c r="D251" i="15"/>
  <c r="F251" i="15" s="1"/>
  <c r="D251" i="14"/>
  <c r="F251" i="14" s="1"/>
  <c r="D251" i="9"/>
  <c r="D251" i="11"/>
  <c r="F251" i="11" s="1"/>
  <c r="D251" i="8"/>
  <c r="C285" i="14"/>
  <c r="C285" i="15"/>
  <c r="C285" i="11"/>
  <c r="C285" i="9"/>
  <c r="C285" i="8"/>
  <c r="C311" i="15"/>
  <c r="C311" i="14"/>
  <c r="C311" i="11"/>
  <c r="C311" i="8"/>
  <c r="C311" i="9"/>
  <c r="B328" i="15"/>
  <c r="B328" i="14"/>
  <c r="B328" i="11"/>
  <c r="B328" i="8"/>
  <c r="B328" i="9"/>
  <c r="A331" i="15"/>
  <c r="A331" i="14"/>
  <c r="A331" i="9"/>
  <c r="A331" i="11"/>
  <c r="A331" i="8"/>
  <c r="F362" i="1"/>
  <c r="D362" i="15"/>
  <c r="F362" i="15" s="1"/>
  <c r="D362" i="14"/>
  <c r="F362" i="14" s="1"/>
  <c r="D362" i="8"/>
  <c r="D362" i="9"/>
  <c r="D362" i="11"/>
  <c r="F362" i="11" s="1"/>
  <c r="E365" i="15"/>
  <c r="E365" i="14"/>
  <c r="E365" i="11"/>
  <c r="E365" i="9"/>
  <c r="E365" i="8"/>
  <c r="A369" i="15"/>
  <c r="A369" i="14"/>
  <c r="A369" i="11"/>
  <c r="A369" i="8"/>
  <c r="A369" i="9"/>
  <c r="J389" i="1"/>
  <c r="B411" i="14"/>
  <c r="B411" i="15"/>
  <c r="B411" i="11"/>
  <c r="B411" i="9"/>
  <c r="B411" i="8"/>
  <c r="B414" i="15"/>
  <c r="B414" i="14"/>
  <c r="B414" i="11"/>
  <c r="B414" i="9"/>
  <c r="B414" i="8"/>
  <c r="C417" i="14"/>
  <c r="C417" i="15"/>
  <c r="C417" i="11"/>
  <c r="C417" i="9"/>
  <c r="C417" i="8"/>
  <c r="F428" i="1"/>
  <c r="H428" i="1" s="1"/>
  <c r="D428" i="15"/>
  <c r="F428" i="15" s="1"/>
  <c r="D428" i="14"/>
  <c r="F428" i="14" s="1"/>
  <c r="D428" i="11"/>
  <c r="F428" i="11" s="1"/>
  <c r="D428" i="9"/>
  <c r="D428" i="8"/>
  <c r="E451" i="14"/>
  <c r="E451" i="11"/>
  <c r="E451" i="15"/>
  <c r="E451" i="8"/>
  <c r="E451" i="9"/>
  <c r="E454" i="15"/>
  <c r="E454" i="14"/>
  <c r="E454" i="11"/>
  <c r="E454" i="8"/>
  <c r="E454" i="9"/>
  <c r="B460" i="15"/>
  <c r="B460" i="11"/>
  <c r="B460" i="14"/>
  <c r="B460" i="9"/>
  <c r="B460" i="8"/>
  <c r="D472" i="14"/>
  <c r="F472" i="14" s="1"/>
  <c r="D472" i="15"/>
  <c r="F472" i="15" s="1"/>
  <c r="D472" i="9"/>
  <c r="D472" i="11"/>
  <c r="F472" i="11" s="1"/>
  <c r="D472" i="8"/>
  <c r="B486" i="15"/>
  <c r="B486" i="14"/>
  <c r="B486" i="8"/>
  <c r="B486" i="9"/>
  <c r="B486" i="11"/>
  <c r="B492" i="15"/>
  <c r="B492" i="14"/>
  <c r="B492" i="11"/>
  <c r="B492" i="8"/>
  <c r="B492" i="9"/>
  <c r="C495" i="15"/>
  <c r="C495" i="14"/>
  <c r="C495" i="11"/>
  <c r="C495" i="8"/>
  <c r="C495" i="9"/>
  <c r="B498" i="15"/>
  <c r="B498" i="14"/>
  <c r="B498" i="11"/>
  <c r="B498" i="9"/>
  <c r="B498" i="8"/>
  <c r="C503" i="15"/>
  <c r="C503" i="11"/>
  <c r="C503" i="14"/>
  <c r="C503" i="9"/>
  <c r="C503" i="8"/>
  <c r="C515" i="15"/>
  <c r="C515" i="14"/>
  <c r="C515" i="11"/>
  <c r="C515" i="9"/>
  <c r="C515" i="8"/>
  <c r="C518" i="15"/>
  <c r="C518" i="14"/>
  <c r="C518" i="11"/>
  <c r="C518" i="9"/>
  <c r="C518" i="8"/>
  <c r="F558" i="1"/>
  <c r="J558" i="1" s="1"/>
  <c r="D558" i="14"/>
  <c r="F558" i="14" s="1"/>
  <c r="D558" i="15"/>
  <c r="F558" i="15" s="1"/>
  <c r="D558" i="11"/>
  <c r="F558" i="11" s="1"/>
  <c r="D558" i="9"/>
  <c r="F558" i="9" s="1"/>
  <c r="D558" i="8"/>
  <c r="F558" i="8" s="1"/>
  <c r="G558" i="8" s="1"/>
  <c r="E572" i="14"/>
  <c r="E572" i="11"/>
  <c r="E572" i="15"/>
  <c r="E572" i="9"/>
  <c r="E572" i="8"/>
  <c r="F575" i="1"/>
  <c r="K575" i="1" s="1"/>
  <c r="D575" i="15"/>
  <c r="F575" i="15" s="1"/>
  <c r="D575" i="14"/>
  <c r="F575" i="14" s="1"/>
  <c r="D575" i="11"/>
  <c r="F575" i="11" s="1"/>
  <c r="D575" i="9"/>
  <c r="F575" i="9" s="1"/>
  <c r="D575" i="8"/>
  <c r="F575" i="8" s="1"/>
  <c r="G575" i="8" s="1"/>
  <c r="B588" i="14"/>
  <c r="B588" i="15"/>
  <c r="B588" i="11"/>
  <c r="B588" i="8"/>
  <c r="B588" i="9"/>
  <c r="E605" i="15"/>
  <c r="E605" i="14"/>
  <c r="E605" i="11"/>
  <c r="E605" i="9"/>
  <c r="E605" i="8"/>
  <c r="C615" i="14"/>
  <c r="C615" i="11"/>
  <c r="C615" i="9"/>
  <c r="C615" i="15"/>
  <c r="C615" i="8"/>
  <c r="A651" i="15"/>
  <c r="A651" i="14"/>
  <c r="A651" i="11"/>
  <c r="A651" i="8"/>
  <c r="A651" i="9"/>
  <c r="E662" i="15"/>
  <c r="E662" i="14"/>
  <c r="E662" i="11"/>
  <c r="E662" i="9"/>
  <c r="E662" i="8"/>
  <c r="B672" i="15"/>
  <c r="B672" i="11"/>
  <c r="B672" i="14"/>
  <c r="B672" i="9"/>
  <c r="B672" i="8"/>
  <c r="C675" i="15"/>
  <c r="C675" i="14"/>
  <c r="C675" i="11"/>
  <c r="C675" i="9"/>
  <c r="C675" i="8"/>
  <c r="B678" i="14"/>
  <c r="B678" i="11"/>
  <c r="B678" i="15"/>
  <c r="B678" i="9"/>
  <c r="B678" i="8"/>
  <c r="E689" i="15"/>
  <c r="E689" i="11"/>
  <c r="E689" i="14"/>
  <c r="E689" i="8"/>
  <c r="E689" i="9"/>
  <c r="C702" i="15"/>
  <c r="C702" i="14"/>
  <c r="C702" i="11"/>
  <c r="C702" i="9"/>
  <c r="C702" i="8"/>
  <c r="E710" i="15"/>
  <c r="E710" i="14"/>
  <c r="E710" i="9"/>
  <c r="E710" i="11"/>
  <c r="E710" i="8"/>
  <c r="D713" i="14"/>
  <c r="F713" i="14" s="1"/>
  <c r="D713" i="15"/>
  <c r="F713" i="15" s="1"/>
  <c r="D713" i="11"/>
  <c r="F713" i="11" s="1"/>
  <c r="D713" i="9"/>
  <c r="F713" i="9" s="1"/>
  <c r="D713" i="8"/>
  <c r="F713" i="8" s="1"/>
  <c r="G713" i="8" s="1"/>
  <c r="F716" i="1"/>
  <c r="D716" i="15"/>
  <c r="F716" i="15" s="1"/>
  <c r="D716" i="14"/>
  <c r="F716" i="14" s="1"/>
  <c r="D716" i="11"/>
  <c r="F716" i="11" s="1"/>
  <c r="D716" i="9"/>
  <c r="F716" i="9" s="1"/>
  <c r="D716" i="8"/>
  <c r="F716" i="8" s="1"/>
  <c r="G716" i="8" s="1"/>
  <c r="C765" i="15"/>
  <c r="C765" i="14"/>
  <c r="C765" i="11"/>
  <c r="C765" i="9"/>
  <c r="C765" i="8"/>
  <c r="D768" i="15"/>
  <c r="F768" i="15" s="1"/>
  <c r="D768" i="11"/>
  <c r="F768" i="11" s="1"/>
  <c r="D768" i="9"/>
  <c r="F768" i="9" s="1"/>
  <c r="D768" i="14"/>
  <c r="F768" i="14" s="1"/>
  <c r="D768" i="8"/>
  <c r="F768" i="8" s="1"/>
  <c r="G768" i="8" s="1"/>
  <c r="C774" i="15"/>
  <c r="C774" i="14"/>
  <c r="C774" i="11"/>
  <c r="C774" i="9"/>
  <c r="C774" i="8"/>
  <c r="C779" i="15"/>
  <c r="C779" i="14"/>
  <c r="C779" i="9"/>
  <c r="C779" i="8"/>
  <c r="C779" i="11"/>
  <c r="B806" i="14"/>
  <c r="B806" i="15"/>
  <c r="B806" i="11"/>
  <c r="B806" i="8"/>
  <c r="B806" i="9"/>
  <c r="C821" i="15"/>
  <c r="C821" i="14"/>
  <c r="C821" i="11"/>
  <c r="C821" i="8"/>
  <c r="C821" i="9"/>
  <c r="E844" i="15"/>
  <c r="E844" i="11"/>
  <c r="E844" i="14"/>
  <c r="E844" i="8"/>
  <c r="E844" i="9"/>
  <c r="E847" i="15"/>
  <c r="E847" i="14"/>
  <c r="E847" i="9"/>
  <c r="E847" i="8"/>
  <c r="E847" i="11"/>
  <c r="C850" i="15"/>
  <c r="C850" i="14"/>
  <c r="C850" i="9"/>
  <c r="C850" i="8"/>
  <c r="C850" i="11"/>
  <c r="B853" i="15"/>
  <c r="B853" i="14"/>
  <c r="B853" i="11"/>
  <c r="B853" i="9"/>
  <c r="B853" i="8"/>
  <c r="E163" i="15"/>
  <c r="E163" i="11"/>
  <c r="E163" i="14"/>
  <c r="E163" i="8"/>
  <c r="E163" i="9"/>
  <c r="B226" i="15"/>
  <c r="B226" i="14"/>
  <c r="B226" i="11"/>
  <c r="B226" i="9"/>
  <c r="B226" i="8"/>
  <c r="B246" i="15"/>
  <c r="B246" i="14"/>
  <c r="B246" i="11"/>
  <c r="B246" i="9"/>
  <c r="B246" i="8"/>
  <c r="A280" i="15"/>
  <c r="A280" i="11"/>
  <c r="A280" i="14"/>
  <c r="A280" i="9"/>
  <c r="A280" i="8"/>
  <c r="A298" i="15"/>
  <c r="A298" i="14"/>
  <c r="A298" i="11"/>
  <c r="A298" i="8"/>
  <c r="A298" i="9"/>
  <c r="C340" i="15"/>
  <c r="C340" i="14"/>
  <c r="C340" i="9"/>
  <c r="C340" i="11"/>
  <c r="C340" i="8"/>
  <c r="D378" i="15"/>
  <c r="F378" i="15" s="1"/>
  <c r="D378" i="14"/>
  <c r="F378" i="14" s="1"/>
  <c r="D378" i="11"/>
  <c r="F378" i="11" s="1"/>
  <c r="D378" i="9"/>
  <c r="D378" i="8"/>
  <c r="F378" i="1"/>
  <c r="C441" i="15"/>
  <c r="C441" i="14"/>
  <c r="C441" i="11"/>
  <c r="C441" i="9"/>
  <c r="C441" i="8"/>
  <c r="A479" i="15"/>
  <c r="A479" i="14"/>
  <c r="A479" i="11"/>
  <c r="A479" i="9"/>
  <c r="A479" i="8"/>
  <c r="E603" i="14"/>
  <c r="E603" i="15"/>
  <c r="E603" i="11"/>
  <c r="E603" i="9"/>
  <c r="E603" i="8"/>
  <c r="F622" i="1"/>
  <c r="K622" i="1" s="1"/>
  <c r="D622" i="15"/>
  <c r="F622" i="15" s="1"/>
  <c r="D622" i="14"/>
  <c r="F622" i="14" s="1"/>
  <c r="D622" i="11"/>
  <c r="F622" i="11" s="1"/>
  <c r="D622" i="9"/>
  <c r="F622" i="9" s="1"/>
  <c r="D622" i="8"/>
  <c r="F622" i="8" s="1"/>
  <c r="G622" i="8" s="1"/>
  <c r="C700" i="15"/>
  <c r="C700" i="14"/>
  <c r="C700" i="11"/>
  <c r="C700" i="9"/>
  <c r="C700" i="8"/>
  <c r="F828" i="1"/>
  <c r="I828" i="1" s="1"/>
  <c r="D828" i="15"/>
  <c r="F828" i="15" s="1"/>
  <c r="D828" i="11"/>
  <c r="F828" i="11" s="1"/>
  <c r="D828" i="14"/>
  <c r="F828" i="14" s="1"/>
  <c r="D828" i="8"/>
  <c r="F828" i="8" s="1"/>
  <c r="G828" i="8" s="1"/>
  <c r="D828" i="9"/>
  <c r="F828" i="9" s="1"/>
  <c r="B103" i="14"/>
  <c r="B103" i="11"/>
  <c r="B103" i="9"/>
  <c r="B103" i="15"/>
  <c r="B103" i="8"/>
  <c r="C226" i="15"/>
  <c r="C226" i="14"/>
  <c r="C226" i="11"/>
  <c r="C226" i="9"/>
  <c r="C226" i="8"/>
  <c r="C274" i="15"/>
  <c r="C274" i="11"/>
  <c r="C274" i="9"/>
  <c r="C274" i="14"/>
  <c r="C274" i="8"/>
  <c r="B298" i="15"/>
  <c r="B298" i="14"/>
  <c r="B298" i="11"/>
  <c r="B298" i="8"/>
  <c r="B298" i="9"/>
  <c r="A355" i="15"/>
  <c r="A355" i="14"/>
  <c r="A355" i="11"/>
  <c r="A355" i="9"/>
  <c r="A355" i="8"/>
  <c r="F375" i="1"/>
  <c r="H375" i="1" s="1"/>
  <c r="D375" i="15"/>
  <c r="F375" i="15" s="1"/>
  <c r="D375" i="14"/>
  <c r="F375" i="14" s="1"/>
  <c r="D375" i="11"/>
  <c r="F375" i="11" s="1"/>
  <c r="D375" i="9"/>
  <c r="D375" i="8"/>
  <c r="C406" i="15"/>
  <c r="C406" i="14"/>
  <c r="C406" i="11"/>
  <c r="C406" i="8"/>
  <c r="C406" i="9"/>
  <c r="C490" i="15"/>
  <c r="C490" i="14"/>
  <c r="C490" i="11"/>
  <c r="C490" i="8"/>
  <c r="C490" i="9"/>
  <c r="A565" i="15"/>
  <c r="A565" i="14"/>
  <c r="A565" i="11"/>
  <c r="A565" i="8"/>
  <c r="A565" i="9"/>
  <c r="B610" i="15"/>
  <c r="B610" i="11"/>
  <c r="B610" i="14"/>
  <c r="B610" i="9"/>
  <c r="B610" i="8"/>
  <c r="B694" i="15"/>
  <c r="B694" i="14"/>
  <c r="B694" i="11"/>
  <c r="B694" i="9"/>
  <c r="B694" i="8"/>
  <c r="B726" i="15"/>
  <c r="B726" i="14"/>
  <c r="B726" i="11"/>
  <c r="B726" i="9"/>
  <c r="B726" i="8"/>
  <c r="A52" i="14"/>
  <c r="A52" i="15"/>
  <c r="A52" i="11"/>
  <c r="A52" i="9"/>
  <c r="A52" i="8"/>
  <c r="A161" i="15"/>
  <c r="A161" i="11"/>
  <c r="A161" i="14"/>
  <c r="A161" i="9"/>
  <c r="A161" i="8"/>
  <c r="F337" i="1"/>
  <c r="G337" i="1" s="1"/>
  <c r="D337" i="14"/>
  <c r="F337" i="14" s="1"/>
  <c r="D337" i="15"/>
  <c r="F337" i="15" s="1"/>
  <c r="D337" i="9"/>
  <c r="D337" i="11"/>
  <c r="F337" i="11" s="1"/>
  <c r="D337" i="8"/>
  <c r="B424" i="15"/>
  <c r="B424" i="14"/>
  <c r="B424" i="11"/>
  <c r="B424" i="9"/>
  <c r="B424" i="8"/>
  <c r="C482" i="15"/>
  <c r="C482" i="14"/>
  <c r="C482" i="11"/>
  <c r="C482" i="9"/>
  <c r="C482" i="8"/>
  <c r="E510" i="15"/>
  <c r="E510" i="14"/>
  <c r="E510" i="11"/>
  <c r="E510" i="9"/>
  <c r="E510" i="8"/>
  <c r="E619" i="15"/>
  <c r="E619" i="11"/>
  <c r="E619" i="14"/>
  <c r="E619" i="9"/>
  <c r="E619" i="8"/>
  <c r="A837" i="15"/>
  <c r="A837" i="14"/>
  <c r="A837" i="9"/>
  <c r="A837" i="11"/>
  <c r="A837" i="8"/>
  <c r="B52" i="14"/>
  <c r="B52" i="15"/>
  <c r="B52" i="11"/>
  <c r="B52" i="8"/>
  <c r="B52" i="9"/>
  <c r="B212" i="15"/>
  <c r="B212" i="14"/>
  <c r="B212" i="9"/>
  <c r="B212" i="11"/>
  <c r="B212" i="8"/>
  <c r="C349" i="15"/>
  <c r="C349" i="14"/>
  <c r="C349" i="11"/>
  <c r="C349" i="8"/>
  <c r="C349" i="9"/>
  <c r="A511" i="15"/>
  <c r="A511" i="11"/>
  <c r="A511" i="8"/>
  <c r="A511" i="14"/>
  <c r="A511" i="9"/>
  <c r="C548" i="15"/>
  <c r="C548" i="14"/>
  <c r="C548" i="9"/>
  <c r="C548" i="8"/>
  <c r="C548" i="11"/>
  <c r="C658" i="15"/>
  <c r="C658" i="14"/>
  <c r="C658" i="11"/>
  <c r="C658" i="9"/>
  <c r="C658" i="8"/>
  <c r="B752" i="15"/>
  <c r="B752" i="9"/>
  <c r="B752" i="11"/>
  <c r="B752" i="14"/>
  <c r="B752" i="8"/>
  <c r="A826" i="15"/>
  <c r="A826" i="14"/>
  <c r="A826" i="11"/>
  <c r="A826" i="8"/>
  <c r="A826" i="9"/>
  <c r="A47" i="15"/>
  <c r="A47" i="11"/>
  <c r="A47" i="9"/>
  <c r="A47" i="14"/>
  <c r="A47" i="8"/>
  <c r="B75" i="15"/>
  <c r="B75" i="14"/>
  <c r="B75" i="9"/>
  <c r="B75" i="11"/>
  <c r="B75" i="8"/>
  <c r="B209" i="15"/>
  <c r="B209" i="11"/>
  <c r="B209" i="14"/>
  <c r="B209" i="9"/>
  <c r="B209" i="8"/>
  <c r="C346" i="15"/>
  <c r="C346" i="14"/>
  <c r="C346" i="11"/>
  <c r="C346" i="8"/>
  <c r="C346" i="9"/>
  <c r="B465" i="15"/>
  <c r="B465" i="11"/>
  <c r="B465" i="14"/>
  <c r="B465" i="8"/>
  <c r="B465" i="9"/>
  <c r="D658" i="15"/>
  <c r="F658" i="15" s="1"/>
  <c r="D658" i="14"/>
  <c r="F658" i="14" s="1"/>
  <c r="D658" i="11"/>
  <c r="F658" i="11" s="1"/>
  <c r="D658" i="9"/>
  <c r="F658" i="9" s="1"/>
  <c r="D658" i="8"/>
  <c r="F658" i="8" s="1"/>
  <c r="G658" i="8" s="1"/>
  <c r="F658" i="1"/>
  <c r="B69" i="14"/>
  <c r="B69" i="15"/>
  <c r="B69" i="9"/>
  <c r="B69" i="8"/>
  <c r="B69" i="11"/>
  <c r="E190" i="15"/>
  <c r="E190" i="14"/>
  <c r="E190" i="11"/>
  <c r="E190" i="8"/>
  <c r="E190" i="9"/>
  <c r="E321" i="15"/>
  <c r="E321" i="14"/>
  <c r="E321" i="11"/>
  <c r="E321" i="9"/>
  <c r="E321" i="8"/>
  <c r="E373" i="15"/>
  <c r="E373" i="14"/>
  <c r="E373" i="11"/>
  <c r="E373" i="9"/>
  <c r="E373" i="8"/>
  <c r="F595" i="1"/>
  <c r="J595" i="1" s="1"/>
  <c r="D75" i="15"/>
  <c r="F75" i="15" s="1"/>
  <c r="D75" i="14"/>
  <c r="F75" i="14" s="1"/>
  <c r="D75" i="9"/>
  <c r="D75" i="8"/>
  <c r="D75" i="11"/>
  <c r="F75" i="11" s="1"/>
  <c r="F75" i="1"/>
  <c r="G75" i="1" s="1"/>
  <c r="C139" i="15"/>
  <c r="C139" i="14"/>
  <c r="C139" i="11"/>
  <c r="C139" i="9"/>
  <c r="C139" i="8"/>
  <c r="B239" i="15"/>
  <c r="B239" i="14"/>
  <c r="B239" i="11"/>
  <c r="B239" i="9"/>
  <c r="B239" i="8"/>
  <c r="E346" i="14"/>
  <c r="E346" i="15"/>
  <c r="E346" i="11"/>
  <c r="E346" i="8"/>
  <c r="E346" i="9"/>
  <c r="C488" i="15"/>
  <c r="C488" i="14"/>
  <c r="C488" i="11"/>
  <c r="C488" i="8"/>
  <c r="C488" i="9"/>
  <c r="C617" i="15"/>
  <c r="C617" i="14"/>
  <c r="C617" i="11"/>
  <c r="C617" i="9"/>
  <c r="C617" i="8"/>
  <c r="F721" i="1"/>
  <c r="I721" i="1" s="1"/>
  <c r="D721" i="15"/>
  <c r="F721" i="15" s="1"/>
  <c r="D721" i="14"/>
  <c r="F721" i="14" s="1"/>
  <c r="D721" i="11"/>
  <c r="F721" i="11" s="1"/>
  <c r="D721" i="8"/>
  <c r="F721" i="8" s="1"/>
  <c r="G721" i="8" s="1"/>
  <c r="D721" i="9"/>
  <c r="F721" i="9" s="1"/>
  <c r="E704" i="14"/>
  <c r="E704" i="15"/>
  <c r="E704" i="11"/>
  <c r="E704" i="9"/>
  <c r="E704" i="8"/>
  <c r="A16" i="15"/>
  <c r="A16" i="14"/>
  <c r="A16" i="11"/>
  <c r="A16" i="8"/>
  <c r="A16" i="9"/>
  <c r="D42" i="15"/>
  <c r="F42" i="15" s="1"/>
  <c r="D42" i="14"/>
  <c r="F42" i="14" s="1"/>
  <c r="D42" i="11"/>
  <c r="F42" i="11" s="1"/>
  <c r="D42" i="9"/>
  <c r="D42" i="8"/>
  <c r="F42" i="1"/>
  <c r="I42" i="1" s="1"/>
  <c r="C105" i="14"/>
  <c r="C105" i="15"/>
  <c r="C105" i="11"/>
  <c r="C105" i="9"/>
  <c r="C105" i="8"/>
  <c r="E134" i="15"/>
  <c r="E134" i="14"/>
  <c r="E134" i="11"/>
  <c r="E134" i="8"/>
  <c r="E134" i="9"/>
  <c r="F146" i="1"/>
  <c r="J146" i="1" s="1"/>
  <c r="D146" i="15"/>
  <c r="F146" i="15" s="1"/>
  <c r="D146" i="11"/>
  <c r="F146" i="11" s="1"/>
  <c r="D146" i="14"/>
  <c r="F146" i="14" s="1"/>
  <c r="D146" i="9"/>
  <c r="D146" i="8"/>
  <c r="A166" i="15"/>
  <c r="A166" i="14"/>
  <c r="A166" i="11"/>
  <c r="A166" i="9"/>
  <c r="A166" i="8"/>
  <c r="B171" i="15"/>
  <c r="B171" i="14"/>
  <c r="B171" i="11"/>
  <c r="B171" i="9"/>
  <c r="B171" i="8"/>
  <c r="F177" i="1"/>
  <c r="H177" i="1" s="1"/>
  <c r="D177" i="14"/>
  <c r="F177" i="14" s="1"/>
  <c r="D177" i="11"/>
  <c r="F177" i="11" s="1"/>
  <c r="D177" i="8"/>
  <c r="D177" i="15"/>
  <c r="F177" i="15" s="1"/>
  <c r="D177" i="9"/>
  <c r="A205" i="15"/>
  <c r="A205" i="11"/>
  <c r="A205" i="14"/>
  <c r="A205" i="9"/>
  <c r="A205" i="8"/>
  <c r="F216" i="1"/>
  <c r="J216" i="1" s="1"/>
  <c r="D216" i="15"/>
  <c r="F216" i="15" s="1"/>
  <c r="D216" i="11"/>
  <c r="F216" i="11" s="1"/>
  <c r="D216" i="14"/>
  <c r="F216" i="14" s="1"/>
  <c r="D216" i="9"/>
  <c r="D216" i="8"/>
  <c r="C219" i="15"/>
  <c r="C219" i="14"/>
  <c r="C219" i="11"/>
  <c r="C219" i="9"/>
  <c r="C219" i="8"/>
  <c r="D228" i="15"/>
  <c r="F228" i="15" s="1"/>
  <c r="D228" i="14"/>
  <c r="F228" i="14" s="1"/>
  <c r="D228" i="9"/>
  <c r="D228" i="11"/>
  <c r="F228" i="11" s="1"/>
  <c r="D228" i="8"/>
  <c r="F231" i="1"/>
  <c r="H231" i="1" s="1"/>
  <c r="D231" i="14"/>
  <c r="F231" i="14" s="1"/>
  <c r="D231" i="15"/>
  <c r="F231" i="15" s="1"/>
  <c r="D231" i="9"/>
  <c r="D231" i="11"/>
  <c r="F231" i="11" s="1"/>
  <c r="D231" i="8"/>
  <c r="F234" i="1"/>
  <c r="H234" i="1" s="1"/>
  <c r="D234" i="15"/>
  <c r="F234" i="15" s="1"/>
  <c r="D234" i="14"/>
  <c r="F234" i="14" s="1"/>
  <c r="D234" i="11"/>
  <c r="F234" i="11" s="1"/>
  <c r="D234" i="9"/>
  <c r="D234" i="8"/>
  <c r="F248" i="1"/>
  <c r="D248" i="15"/>
  <c r="F248" i="15" s="1"/>
  <c r="D248" i="14"/>
  <c r="F248" i="14" s="1"/>
  <c r="D248" i="11"/>
  <c r="F248" i="11" s="1"/>
  <c r="D248" i="9"/>
  <c r="D248" i="8"/>
  <c r="E251" i="15"/>
  <c r="E251" i="14"/>
  <c r="E251" i="11"/>
  <c r="E251" i="8"/>
  <c r="E251" i="9"/>
  <c r="B260" i="15"/>
  <c r="B260" i="14"/>
  <c r="B260" i="11"/>
  <c r="B260" i="9"/>
  <c r="B260" i="8"/>
  <c r="F285" i="1"/>
  <c r="D285" i="14"/>
  <c r="F285" i="14" s="1"/>
  <c r="D285" i="15"/>
  <c r="F285" i="15" s="1"/>
  <c r="D285" i="11"/>
  <c r="F285" i="11" s="1"/>
  <c r="D285" i="9"/>
  <c r="D285" i="8"/>
  <c r="A320" i="15"/>
  <c r="A320" i="14"/>
  <c r="A320" i="11"/>
  <c r="A320" i="9"/>
  <c r="A320" i="8"/>
  <c r="C328" i="15"/>
  <c r="C328" i="14"/>
  <c r="C328" i="11"/>
  <c r="C328" i="9"/>
  <c r="C328" i="8"/>
  <c r="B357" i="15"/>
  <c r="B357" i="14"/>
  <c r="B357" i="11"/>
  <c r="B357" i="8"/>
  <c r="B357" i="9"/>
  <c r="E362" i="15"/>
  <c r="E362" i="14"/>
  <c r="E362" i="9"/>
  <c r="E362" i="8"/>
  <c r="E362" i="11"/>
  <c r="A366" i="15"/>
  <c r="A366" i="14"/>
  <c r="A366" i="11"/>
  <c r="A366" i="9"/>
  <c r="A366" i="8"/>
  <c r="A381" i="14"/>
  <c r="A381" i="15"/>
  <c r="A381" i="8"/>
  <c r="A381" i="11"/>
  <c r="A381" i="9"/>
  <c r="E383" i="15"/>
  <c r="E383" i="14"/>
  <c r="E383" i="11"/>
  <c r="E383" i="9"/>
  <c r="E383" i="8"/>
  <c r="A387" i="14"/>
  <c r="A387" i="15"/>
  <c r="A387" i="9"/>
  <c r="A387" i="11"/>
  <c r="A387" i="8"/>
  <c r="C411" i="14"/>
  <c r="C411" i="15"/>
  <c r="C411" i="11"/>
  <c r="C411" i="9"/>
  <c r="C411" i="8"/>
  <c r="C414" i="15"/>
  <c r="C414" i="14"/>
  <c r="C414" i="11"/>
  <c r="C414" i="9"/>
  <c r="C414" i="8"/>
  <c r="E443" i="15"/>
  <c r="E443" i="14"/>
  <c r="E443" i="11"/>
  <c r="E443" i="9"/>
  <c r="E443" i="8"/>
  <c r="E457" i="15"/>
  <c r="E457" i="14"/>
  <c r="E457" i="9"/>
  <c r="E457" i="11"/>
  <c r="E457" i="8"/>
  <c r="E472" i="14"/>
  <c r="E472" i="15"/>
  <c r="E472" i="11"/>
  <c r="E472" i="8"/>
  <c r="E472" i="9"/>
  <c r="C492" i="15"/>
  <c r="C492" i="14"/>
  <c r="C492" i="11"/>
  <c r="C492" i="8"/>
  <c r="C492" i="9"/>
  <c r="F495" i="1"/>
  <c r="I495" i="1" s="1"/>
  <c r="D495" i="15"/>
  <c r="F495" i="15" s="1"/>
  <c r="D495" i="14"/>
  <c r="F495" i="14" s="1"/>
  <c r="D495" i="11"/>
  <c r="F495" i="11" s="1"/>
  <c r="D495" i="9"/>
  <c r="D495" i="8"/>
  <c r="D515" i="15"/>
  <c r="F515" i="15" s="1"/>
  <c r="D515" i="14"/>
  <c r="F515" i="14" s="1"/>
  <c r="D515" i="11"/>
  <c r="F515" i="11" s="1"/>
  <c r="D515" i="9"/>
  <c r="D515" i="8"/>
  <c r="F515" i="1"/>
  <c r="I515" i="1" s="1"/>
  <c r="E538" i="15"/>
  <c r="E538" i="14"/>
  <c r="E538" i="11"/>
  <c r="E538" i="8"/>
  <c r="E538" i="9"/>
  <c r="E541" i="15"/>
  <c r="E541" i="14"/>
  <c r="E541" i="11"/>
  <c r="E541" i="9"/>
  <c r="E541" i="8"/>
  <c r="F555" i="1"/>
  <c r="I555" i="1" s="1"/>
  <c r="D555" i="15"/>
  <c r="F555" i="15" s="1"/>
  <c r="D555" i="14"/>
  <c r="F555" i="14" s="1"/>
  <c r="D555" i="11"/>
  <c r="F555" i="11" s="1"/>
  <c r="D555" i="8"/>
  <c r="F555" i="8" s="1"/>
  <c r="G555" i="8" s="1"/>
  <c r="D555" i="9"/>
  <c r="F555" i="9" s="1"/>
  <c r="E558" i="15"/>
  <c r="E558" i="11"/>
  <c r="E558" i="14"/>
  <c r="E558" i="9"/>
  <c r="E558" i="8"/>
  <c r="F615" i="1"/>
  <c r="D615" i="14"/>
  <c r="F615" i="14" s="1"/>
  <c r="D615" i="11"/>
  <c r="F615" i="11" s="1"/>
  <c r="D615" i="15"/>
  <c r="F615" i="15" s="1"/>
  <c r="D615" i="9"/>
  <c r="F615" i="9" s="1"/>
  <c r="D615" i="8"/>
  <c r="F615" i="8" s="1"/>
  <c r="G615" i="8" s="1"/>
  <c r="A639" i="15"/>
  <c r="A639" i="14"/>
  <c r="A639" i="11"/>
  <c r="A639" i="9"/>
  <c r="A639" i="8"/>
  <c r="A648" i="14"/>
  <c r="A648" i="15"/>
  <c r="A648" i="11"/>
  <c r="A648" i="9"/>
  <c r="A648" i="8"/>
  <c r="B651" i="14"/>
  <c r="B651" i="11"/>
  <c r="B651" i="15"/>
  <c r="B651" i="9"/>
  <c r="B651" i="8"/>
  <c r="C672" i="15"/>
  <c r="C672" i="11"/>
  <c r="C672" i="14"/>
  <c r="C672" i="9"/>
  <c r="C672" i="8"/>
  <c r="D675" i="15"/>
  <c r="F675" i="15" s="1"/>
  <c r="D675" i="14"/>
  <c r="F675" i="14" s="1"/>
  <c r="D675" i="11"/>
  <c r="F675" i="11" s="1"/>
  <c r="D675" i="9"/>
  <c r="F675" i="9" s="1"/>
  <c r="D675" i="8"/>
  <c r="F675" i="8" s="1"/>
  <c r="G675" i="8" s="1"/>
  <c r="C678" i="15"/>
  <c r="C678" i="11"/>
  <c r="C678" i="14"/>
  <c r="C678" i="9"/>
  <c r="C678" i="8"/>
  <c r="A690" i="15"/>
  <c r="A690" i="14"/>
  <c r="A690" i="11"/>
  <c r="A690" i="8"/>
  <c r="A690" i="9"/>
  <c r="F702" i="1"/>
  <c r="H702" i="1" s="1"/>
  <c r="D702" i="15"/>
  <c r="F702" i="15" s="1"/>
  <c r="D702" i="14"/>
  <c r="F702" i="14" s="1"/>
  <c r="D702" i="11"/>
  <c r="F702" i="11" s="1"/>
  <c r="D702" i="9"/>
  <c r="F702" i="9" s="1"/>
  <c r="D702" i="8"/>
  <c r="F702" i="8" s="1"/>
  <c r="G702" i="8" s="1"/>
  <c r="E713" i="15"/>
  <c r="E713" i="14"/>
  <c r="E713" i="11"/>
  <c r="E713" i="9"/>
  <c r="E713" i="8"/>
  <c r="E716" i="15"/>
  <c r="E716" i="14"/>
  <c r="E716" i="11"/>
  <c r="E716" i="9"/>
  <c r="E716" i="8"/>
  <c r="A739" i="14"/>
  <c r="A739" i="15"/>
  <c r="A739" i="11"/>
  <c r="A739" i="9"/>
  <c r="A739" i="8"/>
  <c r="A742" i="14"/>
  <c r="A742" i="15"/>
  <c r="A742" i="11"/>
  <c r="A742" i="8"/>
  <c r="A742" i="9"/>
  <c r="A748" i="15"/>
  <c r="A748" i="14"/>
  <c r="A748" i="11"/>
  <c r="A748" i="8"/>
  <c r="A748" i="9"/>
  <c r="E756" i="14"/>
  <c r="E756" i="15"/>
  <c r="E756" i="8"/>
  <c r="E756" i="11"/>
  <c r="E756" i="9"/>
  <c r="E759" i="15"/>
  <c r="E759" i="14"/>
  <c r="E759" i="11"/>
  <c r="E759" i="9"/>
  <c r="E759" i="8"/>
  <c r="F762" i="1"/>
  <c r="G762" i="1" s="1"/>
  <c r="D762" i="15"/>
  <c r="F762" i="15" s="1"/>
  <c r="D762" i="14"/>
  <c r="F762" i="14" s="1"/>
  <c r="D762" i="11"/>
  <c r="F762" i="11" s="1"/>
  <c r="D762" i="9"/>
  <c r="F762" i="9" s="1"/>
  <c r="D762" i="8"/>
  <c r="F762" i="8" s="1"/>
  <c r="G762" i="8" s="1"/>
  <c r="F765" i="1"/>
  <c r="I765" i="1" s="1"/>
  <c r="D765" i="15"/>
  <c r="F765" i="15" s="1"/>
  <c r="D765" i="14"/>
  <c r="F765" i="14" s="1"/>
  <c r="D765" i="11"/>
  <c r="F765" i="11" s="1"/>
  <c r="D765" i="9"/>
  <c r="F765" i="9" s="1"/>
  <c r="D765" i="8"/>
  <c r="F765" i="8" s="1"/>
  <c r="G765" i="8" s="1"/>
  <c r="E768" i="15"/>
  <c r="E768" i="11"/>
  <c r="E768" i="14"/>
  <c r="E768" i="9"/>
  <c r="E768" i="8"/>
  <c r="D779" i="15"/>
  <c r="F779" i="15" s="1"/>
  <c r="D779" i="14"/>
  <c r="F779" i="14" s="1"/>
  <c r="D779" i="9"/>
  <c r="F779" i="9" s="1"/>
  <c r="D779" i="8"/>
  <c r="F779" i="8" s="1"/>
  <c r="G779" i="8" s="1"/>
  <c r="D779" i="11"/>
  <c r="F779" i="11" s="1"/>
  <c r="F779" i="1"/>
  <c r="H779" i="1" s="1"/>
  <c r="B792" i="15"/>
  <c r="B792" i="11"/>
  <c r="B792" i="9"/>
  <c r="B792" i="14"/>
  <c r="B792" i="8"/>
  <c r="A795" i="15"/>
  <c r="A795" i="11"/>
  <c r="A795" i="14"/>
  <c r="A795" i="9"/>
  <c r="A795" i="8"/>
  <c r="C806" i="14"/>
  <c r="C806" i="15"/>
  <c r="C806" i="11"/>
  <c r="C806" i="8"/>
  <c r="C806" i="9"/>
  <c r="F850" i="1"/>
  <c r="D850" i="15"/>
  <c r="F850" i="15" s="1"/>
  <c r="D850" i="14"/>
  <c r="F850" i="14" s="1"/>
  <c r="D850" i="9"/>
  <c r="F850" i="9" s="1"/>
  <c r="D850" i="8"/>
  <c r="F850" i="8" s="1"/>
  <c r="G850" i="8" s="1"/>
  <c r="D850" i="11"/>
  <c r="F850" i="11" s="1"/>
  <c r="E257" i="15"/>
  <c r="E257" i="14"/>
  <c r="E257" i="11"/>
  <c r="E257" i="9"/>
  <c r="E257" i="8"/>
  <c r="C277" i="15"/>
  <c r="C277" i="14"/>
  <c r="C277" i="11"/>
  <c r="C277" i="9"/>
  <c r="C277" i="8"/>
  <c r="E323" i="15"/>
  <c r="E323" i="11"/>
  <c r="E323" i="14"/>
  <c r="E323" i="9"/>
  <c r="E323" i="8"/>
  <c r="B343" i="15"/>
  <c r="B343" i="14"/>
  <c r="B343" i="11"/>
  <c r="B343" i="9"/>
  <c r="B343" i="8"/>
  <c r="A352" i="15"/>
  <c r="A352" i="11"/>
  <c r="A352" i="14"/>
  <c r="A352" i="9"/>
  <c r="A352" i="8"/>
  <c r="A482" i="15"/>
  <c r="A482" i="14"/>
  <c r="A482" i="11"/>
  <c r="A482" i="9"/>
  <c r="A482" i="8"/>
  <c r="E625" i="14"/>
  <c r="E625" i="15"/>
  <c r="E625" i="11"/>
  <c r="E625" i="8"/>
  <c r="E625" i="9"/>
  <c r="B813" i="15"/>
  <c r="B813" i="14"/>
  <c r="B813" i="11"/>
  <c r="B813" i="8"/>
  <c r="B813" i="9"/>
  <c r="C115" i="15"/>
  <c r="C115" i="14"/>
  <c r="C115" i="11"/>
  <c r="C115" i="9"/>
  <c r="C115" i="8"/>
  <c r="F277" i="1"/>
  <c r="D277" i="15"/>
  <c r="F277" i="15" s="1"/>
  <c r="D277" i="14"/>
  <c r="F277" i="14" s="1"/>
  <c r="D277" i="11"/>
  <c r="F277" i="11" s="1"/>
  <c r="D277" i="9"/>
  <c r="D277" i="8"/>
  <c r="D318" i="15"/>
  <c r="F318" i="15" s="1"/>
  <c r="D318" i="14"/>
  <c r="F318" i="14" s="1"/>
  <c r="D318" i="11"/>
  <c r="F318" i="11" s="1"/>
  <c r="D318" i="8"/>
  <c r="D318" i="9"/>
  <c r="F340" i="1"/>
  <c r="G340" i="1" s="1"/>
  <c r="D340" i="15"/>
  <c r="F340" i="15" s="1"/>
  <c r="D340" i="14"/>
  <c r="F340" i="14" s="1"/>
  <c r="D340" i="9"/>
  <c r="D340" i="11"/>
  <c r="F340" i="11" s="1"/>
  <c r="D340" i="8"/>
  <c r="E378" i="15"/>
  <c r="E378" i="14"/>
  <c r="E378" i="11"/>
  <c r="E378" i="9"/>
  <c r="E378" i="8"/>
  <c r="B482" i="15"/>
  <c r="B482" i="14"/>
  <c r="B482" i="11"/>
  <c r="B482" i="9"/>
  <c r="B482" i="8"/>
  <c r="A548" i="15"/>
  <c r="A548" i="11"/>
  <c r="A548" i="8"/>
  <c r="A548" i="14"/>
  <c r="A548" i="9"/>
  <c r="C697" i="15"/>
  <c r="C697" i="14"/>
  <c r="C697" i="11"/>
  <c r="C697" i="9"/>
  <c r="C697" i="8"/>
  <c r="E828" i="15"/>
  <c r="E828" i="14"/>
  <c r="E828" i="11"/>
  <c r="E828" i="9"/>
  <c r="E828" i="8"/>
  <c r="E155" i="15"/>
  <c r="E155" i="14"/>
  <c r="E155" i="11"/>
  <c r="E155" i="9"/>
  <c r="E155" i="8"/>
  <c r="E277" i="15"/>
  <c r="E277" i="14"/>
  <c r="E277" i="11"/>
  <c r="E277" i="8"/>
  <c r="E277" i="9"/>
  <c r="A324" i="14"/>
  <c r="A324" i="9"/>
  <c r="A324" i="15"/>
  <c r="A324" i="11"/>
  <c r="A324" i="8"/>
  <c r="B421" i="15"/>
  <c r="B421" i="14"/>
  <c r="B421" i="11"/>
  <c r="B421" i="8"/>
  <c r="B421" i="9"/>
  <c r="F490" i="1"/>
  <c r="G490" i="1" s="1"/>
  <c r="D490" i="15"/>
  <c r="F490" i="15" s="1"/>
  <c r="D490" i="14"/>
  <c r="F490" i="14" s="1"/>
  <c r="D490" i="11"/>
  <c r="F490" i="11" s="1"/>
  <c r="D490" i="9"/>
  <c r="D490" i="8"/>
  <c r="F697" i="1"/>
  <c r="D697" i="15"/>
  <c r="F697" i="15" s="1"/>
  <c r="D697" i="14"/>
  <c r="F697" i="14" s="1"/>
  <c r="D697" i="8"/>
  <c r="F697" i="8" s="1"/>
  <c r="G697" i="8" s="1"/>
  <c r="D697" i="11"/>
  <c r="F697" i="11" s="1"/>
  <c r="D697" i="9"/>
  <c r="F697" i="9" s="1"/>
  <c r="C804" i="15"/>
  <c r="C804" i="14"/>
  <c r="C804" i="11"/>
  <c r="C804" i="9"/>
  <c r="C804" i="8"/>
  <c r="B267" i="15"/>
  <c r="B267" i="14"/>
  <c r="B267" i="11"/>
  <c r="B267" i="9"/>
  <c r="B267" i="8"/>
  <c r="C321" i="15"/>
  <c r="C321" i="14"/>
  <c r="C321" i="11"/>
  <c r="C321" i="8"/>
  <c r="C321" i="9"/>
  <c r="D352" i="15"/>
  <c r="F352" i="15" s="1"/>
  <c r="D352" i="14"/>
  <c r="F352" i="14" s="1"/>
  <c r="D352" i="11"/>
  <c r="F352" i="11" s="1"/>
  <c r="D352" i="8"/>
  <c r="D352" i="9"/>
  <c r="F352" i="1"/>
  <c r="G352" i="1" s="1"/>
  <c r="F610" i="1"/>
  <c r="H610" i="1" s="1"/>
  <c r="D610" i="15"/>
  <c r="F610" i="15" s="1"/>
  <c r="D610" i="11"/>
  <c r="F610" i="11" s="1"/>
  <c r="D610" i="14"/>
  <c r="F610" i="14" s="1"/>
  <c r="D610" i="9"/>
  <c r="F610" i="9" s="1"/>
  <c r="D610" i="8"/>
  <c r="F610" i="8" s="1"/>
  <c r="G610" i="8" s="1"/>
  <c r="C643" i="15"/>
  <c r="C643" i="14"/>
  <c r="C643" i="11"/>
  <c r="C643" i="9"/>
  <c r="C643" i="8"/>
  <c r="B837" i="15"/>
  <c r="B837" i="14"/>
  <c r="B837" i="11"/>
  <c r="B837" i="9"/>
  <c r="B837" i="8"/>
  <c r="B90" i="15"/>
  <c r="B90" i="14"/>
  <c r="B90" i="11"/>
  <c r="B90" i="9"/>
  <c r="B90" i="8"/>
  <c r="D321" i="15"/>
  <c r="F321" i="15" s="1"/>
  <c r="D321" i="14"/>
  <c r="F321" i="14" s="1"/>
  <c r="D321" i="11"/>
  <c r="F321" i="11" s="1"/>
  <c r="D321" i="9"/>
  <c r="D321" i="8"/>
  <c r="E595" i="15"/>
  <c r="E595" i="11"/>
  <c r="E595" i="9"/>
  <c r="E595" i="8"/>
  <c r="E595" i="14"/>
  <c r="B784" i="15"/>
  <c r="B784" i="14"/>
  <c r="B784" i="9"/>
  <c r="B784" i="8"/>
  <c r="B784" i="11"/>
  <c r="E23" i="15"/>
  <c r="E23" i="14"/>
  <c r="E23" i="9"/>
  <c r="E23" i="11"/>
  <c r="E23" i="8"/>
  <c r="B44" i="15"/>
  <c r="B44" i="14"/>
  <c r="B44" i="11"/>
  <c r="B44" i="9"/>
  <c r="B44" i="8"/>
  <c r="A182" i="15"/>
  <c r="A182" i="11"/>
  <c r="A182" i="14"/>
  <c r="A182" i="9"/>
  <c r="A182" i="8"/>
  <c r="F212" i="1"/>
  <c r="D212" i="15"/>
  <c r="F212" i="15" s="1"/>
  <c r="D212" i="14"/>
  <c r="F212" i="14" s="1"/>
  <c r="D212" i="9"/>
  <c r="D212" i="11"/>
  <c r="F212" i="11" s="1"/>
  <c r="D212" i="8"/>
  <c r="A272" i="15"/>
  <c r="A272" i="14"/>
  <c r="A272" i="9"/>
  <c r="A272" i="11"/>
  <c r="A272" i="8"/>
  <c r="B316" i="14"/>
  <c r="B316" i="15"/>
  <c r="B316" i="11"/>
  <c r="B316" i="9"/>
  <c r="B316" i="8"/>
  <c r="F346" i="1"/>
  <c r="H346" i="1" s="1"/>
  <c r="D346" i="15"/>
  <c r="F346" i="15" s="1"/>
  <c r="D346" i="14"/>
  <c r="F346" i="14" s="1"/>
  <c r="D346" i="11"/>
  <c r="F346" i="11" s="1"/>
  <c r="D346" i="9"/>
  <c r="D346" i="8"/>
  <c r="A526" i="15"/>
  <c r="A526" i="14"/>
  <c r="A526" i="11"/>
  <c r="A526" i="8"/>
  <c r="A526" i="9"/>
  <c r="E640" i="14"/>
  <c r="E640" i="15"/>
  <c r="E640" i="9"/>
  <c r="E640" i="11"/>
  <c r="E640" i="8"/>
  <c r="C784" i="15"/>
  <c r="C784" i="14"/>
  <c r="C784" i="11"/>
  <c r="C784" i="9"/>
  <c r="C784" i="8"/>
  <c r="C823" i="15"/>
  <c r="C823" i="11"/>
  <c r="C823" i="14"/>
  <c r="C823" i="9"/>
  <c r="C823" i="8"/>
  <c r="A858" i="15"/>
  <c r="A858" i="14"/>
  <c r="A858" i="11"/>
  <c r="A858" i="9"/>
  <c r="A858" i="8"/>
  <c r="D6" i="14"/>
  <c r="F6" i="14" s="1"/>
  <c r="D6" i="15"/>
  <c r="F6" i="15" s="1"/>
  <c r="D6" i="9"/>
  <c r="D6" i="8"/>
  <c r="D6" i="11"/>
  <c r="F6" i="11" s="1"/>
  <c r="C44" i="15"/>
  <c r="C44" i="14"/>
  <c r="C44" i="9"/>
  <c r="C44" i="11"/>
  <c r="C44" i="8"/>
  <c r="D72" i="15"/>
  <c r="F72" i="15" s="1"/>
  <c r="D72" i="11"/>
  <c r="F72" i="11" s="1"/>
  <c r="D72" i="9"/>
  <c r="D72" i="14"/>
  <c r="F72" i="14" s="1"/>
  <c r="D72" i="8"/>
  <c r="D142" i="15"/>
  <c r="F142" i="15" s="1"/>
  <c r="D142" i="14"/>
  <c r="F142" i="14" s="1"/>
  <c r="D142" i="9"/>
  <c r="D142" i="11"/>
  <c r="F142" i="11" s="1"/>
  <c r="D142" i="8"/>
  <c r="F142" i="1"/>
  <c r="F253" i="1"/>
  <c r="I253" i="1" s="1"/>
  <c r="D253" i="15"/>
  <c r="F253" i="15" s="1"/>
  <c r="D253" i="14"/>
  <c r="F253" i="14" s="1"/>
  <c r="D253" i="9"/>
  <c r="D253" i="11"/>
  <c r="F253" i="11" s="1"/>
  <c r="D253" i="8"/>
  <c r="D508" i="15"/>
  <c r="F508" i="15" s="1"/>
  <c r="D508" i="14"/>
  <c r="F508" i="14" s="1"/>
  <c r="D508" i="11"/>
  <c r="F508" i="11" s="1"/>
  <c r="D508" i="9"/>
  <c r="D508" i="8"/>
  <c r="F508" i="1"/>
  <c r="H508" i="1" s="1"/>
  <c r="A665" i="15"/>
  <c r="A665" i="11"/>
  <c r="A665" i="14"/>
  <c r="A665" i="9"/>
  <c r="A665" i="8"/>
  <c r="C855" i="15"/>
  <c r="C855" i="14"/>
  <c r="C855" i="11"/>
  <c r="C855" i="9"/>
  <c r="C855" i="8"/>
  <c r="F685" i="1"/>
  <c r="E33" i="15"/>
  <c r="E33" i="14"/>
  <c r="E33" i="11"/>
  <c r="E33" i="9"/>
  <c r="E33" i="8"/>
  <c r="B64" i="15"/>
  <c r="B64" i="14"/>
  <c r="B64" i="11"/>
  <c r="B64" i="9"/>
  <c r="B64" i="8"/>
  <c r="B120" i="15"/>
  <c r="B120" i="14"/>
  <c r="B120" i="11"/>
  <c r="B120" i="9"/>
  <c r="B120" i="8"/>
  <c r="F131" i="1"/>
  <c r="H131" i="1" s="1"/>
  <c r="D131" i="15"/>
  <c r="F131" i="15" s="1"/>
  <c r="D131" i="14"/>
  <c r="F131" i="14" s="1"/>
  <c r="D131" i="11"/>
  <c r="F131" i="11" s="1"/>
  <c r="D131" i="9"/>
  <c r="D131" i="8"/>
  <c r="E168" i="15"/>
  <c r="E168" i="14"/>
  <c r="E168" i="11"/>
  <c r="E168" i="9"/>
  <c r="E168" i="8"/>
  <c r="C174" i="15"/>
  <c r="C174" i="14"/>
  <c r="C174" i="11"/>
  <c r="C174" i="9"/>
  <c r="C174" i="8"/>
  <c r="B13" i="15"/>
  <c r="B13" i="14"/>
  <c r="B13" i="9"/>
  <c r="B13" i="11"/>
  <c r="B13" i="8"/>
  <c r="F105" i="1"/>
  <c r="I105" i="1" s="1"/>
  <c r="D105" i="15"/>
  <c r="F105" i="15" s="1"/>
  <c r="D105" i="14"/>
  <c r="F105" i="14" s="1"/>
  <c r="D105" i="11"/>
  <c r="F105" i="11" s="1"/>
  <c r="D105" i="9"/>
  <c r="D105" i="8"/>
  <c r="E117" i="15"/>
  <c r="E117" i="11"/>
  <c r="E117" i="14"/>
  <c r="E117" i="9"/>
  <c r="E117" i="8"/>
  <c r="B163" i="15"/>
  <c r="B163" i="14"/>
  <c r="B163" i="11"/>
  <c r="B163" i="9"/>
  <c r="B163" i="8"/>
  <c r="D174" i="15"/>
  <c r="F174" i="15" s="1"/>
  <c r="D174" i="14"/>
  <c r="F174" i="14" s="1"/>
  <c r="D174" i="11"/>
  <c r="F174" i="11" s="1"/>
  <c r="D174" i="9"/>
  <c r="D174" i="8"/>
  <c r="F174" i="1"/>
  <c r="I174" i="1" s="1"/>
  <c r="B202" i="15"/>
  <c r="B202" i="14"/>
  <c r="B202" i="11"/>
  <c r="B202" i="9"/>
  <c r="B202" i="8"/>
  <c r="E228" i="15"/>
  <c r="E228" i="14"/>
  <c r="E228" i="9"/>
  <c r="E228" i="11"/>
  <c r="E228" i="8"/>
  <c r="E231" i="14"/>
  <c r="E231" i="15"/>
  <c r="E231" i="9"/>
  <c r="E231" i="11"/>
  <c r="E231" i="8"/>
  <c r="E248" i="15"/>
  <c r="E248" i="14"/>
  <c r="E248" i="11"/>
  <c r="E248" i="9"/>
  <c r="E248" i="8"/>
  <c r="C260" i="15"/>
  <c r="C260" i="14"/>
  <c r="C260" i="11"/>
  <c r="C260" i="9"/>
  <c r="C260" i="8"/>
  <c r="F282" i="1"/>
  <c r="I282" i="1" s="1"/>
  <c r="D282" i="15"/>
  <c r="F282" i="15" s="1"/>
  <c r="D282" i="14"/>
  <c r="F282" i="14" s="1"/>
  <c r="D282" i="11"/>
  <c r="F282" i="11" s="1"/>
  <c r="D282" i="9"/>
  <c r="D282" i="8"/>
  <c r="E285" i="15"/>
  <c r="E285" i="14"/>
  <c r="E285" i="11"/>
  <c r="E285" i="9"/>
  <c r="E285" i="8"/>
  <c r="F300" i="1"/>
  <c r="I300" i="1" s="1"/>
  <c r="D300" i="15"/>
  <c r="F300" i="15" s="1"/>
  <c r="D300" i="14"/>
  <c r="F300" i="14" s="1"/>
  <c r="D300" i="9"/>
  <c r="D300" i="8"/>
  <c r="D300" i="11"/>
  <c r="F300" i="11" s="1"/>
  <c r="D303" i="15"/>
  <c r="F303" i="15" s="1"/>
  <c r="D303" i="11"/>
  <c r="F303" i="11" s="1"/>
  <c r="D303" i="9"/>
  <c r="D303" i="14"/>
  <c r="F303" i="14" s="1"/>
  <c r="D303" i="8"/>
  <c r="F306" i="1"/>
  <c r="D306" i="15"/>
  <c r="F306" i="15" s="1"/>
  <c r="D306" i="11"/>
  <c r="F306" i="11" s="1"/>
  <c r="D306" i="14"/>
  <c r="F306" i="14" s="1"/>
  <c r="D306" i="9"/>
  <c r="D306" i="8"/>
  <c r="B320" i="15"/>
  <c r="B320" i="14"/>
  <c r="B320" i="11"/>
  <c r="B320" i="9"/>
  <c r="B320" i="8"/>
  <c r="D328" i="14"/>
  <c r="F328" i="14" s="1"/>
  <c r="D328" i="15"/>
  <c r="F328" i="15" s="1"/>
  <c r="D328" i="11"/>
  <c r="F328" i="11" s="1"/>
  <c r="D328" i="9"/>
  <c r="D328" i="8"/>
  <c r="F328" i="1"/>
  <c r="I328" i="1" s="1"/>
  <c r="C357" i="15"/>
  <c r="C357" i="14"/>
  <c r="C357" i="11"/>
  <c r="C357" i="9"/>
  <c r="C357" i="8"/>
  <c r="A360" i="15"/>
  <c r="A360" i="11"/>
  <c r="A360" i="14"/>
  <c r="A360" i="8"/>
  <c r="A360" i="9"/>
  <c r="A363" i="15"/>
  <c r="A363" i="14"/>
  <c r="A363" i="9"/>
  <c r="A363" i="11"/>
  <c r="A363" i="8"/>
  <c r="B366" i="15"/>
  <c r="B366" i="14"/>
  <c r="B366" i="11"/>
  <c r="B366" i="9"/>
  <c r="B366" i="8"/>
  <c r="B381" i="14"/>
  <c r="B381" i="15"/>
  <c r="B381" i="11"/>
  <c r="B381" i="8"/>
  <c r="B381" i="9"/>
  <c r="A384" i="15"/>
  <c r="A384" i="14"/>
  <c r="A384" i="11"/>
  <c r="A384" i="9"/>
  <c r="A384" i="8"/>
  <c r="B387" i="15"/>
  <c r="B387" i="14"/>
  <c r="B387" i="9"/>
  <c r="B387" i="11"/>
  <c r="B387" i="8"/>
  <c r="D408" i="15"/>
  <c r="F408" i="15" s="1"/>
  <c r="D408" i="14"/>
  <c r="F408" i="14" s="1"/>
  <c r="D408" i="11"/>
  <c r="F408" i="11" s="1"/>
  <c r="D408" i="9"/>
  <c r="D408" i="8"/>
  <c r="D411" i="14"/>
  <c r="F411" i="14" s="1"/>
  <c r="D411" i="15"/>
  <c r="F411" i="15" s="1"/>
  <c r="D411" i="11"/>
  <c r="F411" i="11" s="1"/>
  <c r="D411" i="9"/>
  <c r="D411" i="8"/>
  <c r="F411" i="1"/>
  <c r="H411" i="1" s="1"/>
  <c r="A444" i="15"/>
  <c r="A444" i="14"/>
  <c r="A444" i="11"/>
  <c r="A444" i="9"/>
  <c r="A444" i="8"/>
  <c r="A449" i="15"/>
  <c r="A449" i="14"/>
  <c r="A449" i="11"/>
  <c r="A449" i="8"/>
  <c r="A449" i="9"/>
  <c r="A467" i="15"/>
  <c r="A467" i="14"/>
  <c r="A467" i="11"/>
  <c r="A467" i="9"/>
  <c r="A467" i="8"/>
  <c r="E515" i="15"/>
  <c r="E515" i="14"/>
  <c r="E515" i="11"/>
  <c r="E515" i="8"/>
  <c r="E515" i="9"/>
  <c r="A536" i="15"/>
  <c r="A536" i="14"/>
  <c r="A536" i="8"/>
  <c r="A536" i="11"/>
  <c r="A536" i="9"/>
  <c r="A539" i="15"/>
  <c r="A539" i="14"/>
  <c r="A539" i="11"/>
  <c r="A539" i="8"/>
  <c r="A539" i="9"/>
  <c r="A550" i="15"/>
  <c r="A550" i="14"/>
  <c r="A550" i="11"/>
  <c r="A550" i="9"/>
  <c r="A550" i="8"/>
  <c r="E555" i="15"/>
  <c r="E555" i="14"/>
  <c r="E555" i="11"/>
  <c r="E555" i="9"/>
  <c r="E555" i="8"/>
  <c r="A559" i="15"/>
  <c r="A559" i="14"/>
  <c r="A559" i="11"/>
  <c r="A559" i="8"/>
  <c r="A559" i="9"/>
  <c r="A570" i="15"/>
  <c r="A570" i="14"/>
  <c r="A570" i="11"/>
  <c r="A570" i="8"/>
  <c r="A570" i="9"/>
  <c r="E586" i="14"/>
  <c r="E586" i="15"/>
  <c r="E586" i="9"/>
  <c r="E586" i="11"/>
  <c r="E586" i="8"/>
  <c r="B625" i="15"/>
  <c r="B625" i="14"/>
  <c r="B625" i="11"/>
  <c r="B625" i="9"/>
  <c r="B625" i="8"/>
  <c r="B639" i="15"/>
  <c r="B639" i="14"/>
  <c r="B639" i="11"/>
  <c r="B639" i="8"/>
  <c r="B639" i="9"/>
  <c r="B648" i="15"/>
  <c r="B648" i="11"/>
  <c r="B648" i="9"/>
  <c r="B648" i="14"/>
  <c r="B648" i="8"/>
  <c r="C651" i="14"/>
  <c r="C651" i="11"/>
  <c r="C651" i="9"/>
  <c r="C651" i="8"/>
  <c r="C651" i="15"/>
  <c r="A660" i="15"/>
  <c r="A660" i="14"/>
  <c r="A660" i="11"/>
  <c r="A660" i="9"/>
  <c r="A660" i="8"/>
  <c r="F672" i="1"/>
  <c r="J672" i="1" s="1"/>
  <c r="D672" i="15"/>
  <c r="F672" i="15" s="1"/>
  <c r="D672" i="11"/>
  <c r="F672" i="11" s="1"/>
  <c r="D672" i="14"/>
  <c r="F672" i="14" s="1"/>
  <c r="D672" i="9"/>
  <c r="F672" i="9" s="1"/>
  <c r="D672" i="8"/>
  <c r="F672" i="8" s="1"/>
  <c r="G672" i="8" s="1"/>
  <c r="E675" i="15"/>
  <c r="E675" i="14"/>
  <c r="E675" i="11"/>
  <c r="E675" i="9"/>
  <c r="E675" i="8"/>
  <c r="A687" i="15"/>
  <c r="A687" i="14"/>
  <c r="A687" i="11"/>
  <c r="A687" i="9"/>
  <c r="A687" i="8"/>
  <c r="B690" i="15"/>
  <c r="B690" i="14"/>
  <c r="B690" i="11"/>
  <c r="B690" i="9"/>
  <c r="B690" i="8"/>
  <c r="E702" i="15"/>
  <c r="E702" i="14"/>
  <c r="E702" i="9"/>
  <c r="E702" i="11"/>
  <c r="E702" i="8"/>
  <c r="A711" i="15"/>
  <c r="A711" i="14"/>
  <c r="A711" i="11"/>
  <c r="A711" i="8"/>
  <c r="A711" i="9"/>
  <c r="F736" i="1"/>
  <c r="H736" i="1" s="1"/>
  <c r="D736" i="15"/>
  <c r="F736" i="15" s="1"/>
  <c r="D736" i="14"/>
  <c r="F736" i="14" s="1"/>
  <c r="D736" i="11"/>
  <c r="F736" i="11" s="1"/>
  <c r="D736" i="8"/>
  <c r="F736" i="8" s="1"/>
  <c r="G736" i="8" s="1"/>
  <c r="D736" i="9"/>
  <c r="F736" i="9" s="1"/>
  <c r="B739" i="15"/>
  <c r="B739" i="11"/>
  <c r="B739" i="14"/>
  <c r="B739" i="9"/>
  <c r="B739" i="8"/>
  <c r="B742" i="14"/>
  <c r="B742" i="15"/>
  <c r="B742" i="11"/>
  <c r="B742" i="8"/>
  <c r="B742" i="9"/>
  <c r="B748" i="15"/>
  <c r="B748" i="14"/>
  <c r="B748" i="11"/>
  <c r="B748" i="8"/>
  <c r="B748" i="9"/>
  <c r="E762" i="15"/>
  <c r="E762" i="14"/>
  <c r="E762" i="11"/>
  <c r="E762" i="9"/>
  <c r="E762" i="8"/>
  <c r="E765" i="15"/>
  <c r="E765" i="14"/>
  <c r="E765" i="11"/>
  <c r="E765" i="8"/>
  <c r="E765" i="9"/>
  <c r="E779" i="15"/>
  <c r="E779" i="14"/>
  <c r="E779" i="9"/>
  <c r="E779" i="11"/>
  <c r="E779" i="8"/>
  <c r="C792" i="15"/>
  <c r="C792" i="14"/>
  <c r="C792" i="9"/>
  <c r="C792" i="11"/>
  <c r="C792" i="8"/>
  <c r="F806" i="1"/>
  <c r="K806" i="1" s="1"/>
  <c r="D806" i="14"/>
  <c r="F806" i="14" s="1"/>
  <c r="D806" i="15"/>
  <c r="F806" i="15" s="1"/>
  <c r="D806" i="11"/>
  <c r="F806" i="11" s="1"/>
  <c r="D806" i="8"/>
  <c r="F806" i="8" s="1"/>
  <c r="G806" i="8" s="1"/>
  <c r="D806" i="9"/>
  <c r="F806" i="9" s="1"/>
  <c r="A845" i="15"/>
  <c r="A845" i="14"/>
  <c r="A845" i="11"/>
  <c r="A845" i="9"/>
  <c r="A845" i="8"/>
  <c r="E99" i="15"/>
  <c r="E99" i="14"/>
  <c r="E99" i="11"/>
  <c r="E99" i="9"/>
  <c r="E99" i="8"/>
  <c r="B301" i="15"/>
  <c r="B301" i="14"/>
  <c r="B301" i="11"/>
  <c r="B301" i="9"/>
  <c r="B301" i="8"/>
  <c r="B513" i="14"/>
  <c r="B513" i="15"/>
  <c r="B513" i="11"/>
  <c r="B513" i="8"/>
  <c r="B513" i="9"/>
  <c r="F550" i="1"/>
  <c r="G550" i="1" s="1"/>
  <c r="D550" i="15"/>
  <c r="F550" i="15" s="1"/>
  <c r="D550" i="14"/>
  <c r="F550" i="14" s="1"/>
  <c r="D550" i="11"/>
  <c r="F550" i="11" s="1"/>
  <c r="D550" i="8"/>
  <c r="F550" i="8" s="1"/>
  <c r="G550" i="8" s="1"/>
  <c r="D550" i="9"/>
  <c r="F550" i="9" s="1"/>
  <c r="E567" i="14"/>
  <c r="E567" i="15"/>
  <c r="E567" i="11"/>
  <c r="E567" i="9"/>
  <c r="E567" i="8"/>
  <c r="B613" i="14"/>
  <c r="B613" i="15"/>
  <c r="B613" i="11"/>
  <c r="B613" i="9"/>
  <c r="B613" i="8"/>
  <c r="F687" i="1"/>
  <c r="D687" i="14"/>
  <c r="F687" i="14" s="1"/>
  <c r="D687" i="15"/>
  <c r="F687" i="15" s="1"/>
  <c r="D687" i="11"/>
  <c r="F687" i="11" s="1"/>
  <c r="D687" i="9"/>
  <c r="F687" i="9" s="1"/>
  <c r="D687" i="8"/>
  <c r="F687" i="8" s="1"/>
  <c r="G687" i="8" s="1"/>
  <c r="F754" i="1"/>
  <c r="I754" i="1" s="1"/>
  <c r="D754" i="14"/>
  <c r="F754" i="14" s="1"/>
  <c r="D754" i="15"/>
  <c r="F754" i="15" s="1"/>
  <c r="D754" i="11"/>
  <c r="F754" i="11" s="1"/>
  <c r="D754" i="9"/>
  <c r="F754" i="9" s="1"/>
  <c r="D754" i="8"/>
  <c r="F754" i="8" s="1"/>
  <c r="G754" i="8" s="1"/>
  <c r="A804" i="15"/>
  <c r="A804" i="14"/>
  <c r="A804" i="11"/>
  <c r="A804" i="9"/>
  <c r="A804" i="8"/>
  <c r="C246" i="15"/>
  <c r="C246" i="9"/>
  <c r="C246" i="11"/>
  <c r="C246" i="14"/>
  <c r="C246" i="8"/>
  <c r="B280" i="14"/>
  <c r="B280" i="15"/>
  <c r="B280" i="11"/>
  <c r="B280" i="9"/>
  <c r="B280" i="8"/>
  <c r="C438" i="15"/>
  <c r="C438" i="14"/>
  <c r="C438" i="11"/>
  <c r="C438" i="9"/>
  <c r="C438" i="8"/>
  <c r="F510" i="1"/>
  <c r="H510" i="1" s="1"/>
  <c r="D510" i="15"/>
  <c r="F510" i="15" s="1"/>
  <c r="D510" i="14"/>
  <c r="F510" i="14" s="1"/>
  <c r="D510" i="11"/>
  <c r="F510" i="11" s="1"/>
  <c r="D510" i="9"/>
  <c r="D510" i="8"/>
  <c r="F619" i="1"/>
  <c r="H619" i="1" s="1"/>
  <c r="D619" i="15"/>
  <c r="F619" i="15" s="1"/>
  <c r="D619" i="11"/>
  <c r="F619" i="11" s="1"/>
  <c r="D619" i="14"/>
  <c r="F619" i="14" s="1"/>
  <c r="D619" i="9"/>
  <c r="F619" i="9" s="1"/>
  <c r="D619" i="8"/>
  <c r="F619" i="8" s="1"/>
  <c r="G619" i="8" s="1"/>
  <c r="D706" i="15"/>
  <c r="F706" i="15" s="1"/>
  <c r="D706" i="14"/>
  <c r="F706" i="14" s="1"/>
  <c r="D706" i="11"/>
  <c r="F706" i="11" s="1"/>
  <c r="D706" i="9"/>
  <c r="F706" i="9" s="1"/>
  <c r="D706" i="8"/>
  <c r="F706" i="8" s="1"/>
  <c r="G706" i="8" s="1"/>
  <c r="A746" i="15"/>
  <c r="A746" i="14"/>
  <c r="A746" i="11"/>
  <c r="A746" i="8"/>
  <c r="A746" i="9"/>
  <c r="I769" i="1"/>
  <c r="B804" i="15"/>
  <c r="B804" i="14"/>
  <c r="B804" i="11"/>
  <c r="B804" i="9"/>
  <c r="B804" i="8"/>
  <c r="D816" i="15"/>
  <c r="F816" i="15" s="1"/>
  <c r="D816" i="14"/>
  <c r="F816" i="14" s="1"/>
  <c r="D816" i="11"/>
  <c r="F816" i="11" s="1"/>
  <c r="D816" i="9"/>
  <c r="F816" i="9" s="1"/>
  <c r="D816" i="8"/>
  <c r="F816" i="8" s="1"/>
  <c r="G816" i="8" s="1"/>
  <c r="F816" i="1"/>
  <c r="K816" i="1" s="1"/>
  <c r="B26" i="15"/>
  <c r="B26" i="11"/>
  <c r="B26" i="8"/>
  <c r="B26" i="9"/>
  <c r="B26" i="14"/>
  <c r="E92" i="15"/>
  <c r="E92" i="14"/>
  <c r="E92" i="9"/>
  <c r="E92" i="8"/>
  <c r="E92" i="11"/>
  <c r="A127" i="15"/>
  <c r="A127" i="14"/>
  <c r="A127" i="11"/>
  <c r="A127" i="9"/>
  <c r="A127" i="8"/>
  <c r="A267" i="15"/>
  <c r="A267" i="14"/>
  <c r="A267" i="11"/>
  <c r="A267" i="9"/>
  <c r="A267" i="8"/>
  <c r="A292" i="15"/>
  <c r="A292" i="14"/>
  <c r="A292" i="9"/>
  <c r="A292" i="11"/>
  <c r="A292" i="8"/>
  <c r="C352" i="15"/>
  <c r="C352" i="14"/>
  <c r="C352" i="11"/>
  <c r="C352" i="9"/>
  <c r="C352" i="8"/>
  <c r="F438" i="1"/>
  <c r="I438" i="1" s="1"/>
  <c r="D438" i="15"/>
  <c r="F438" i="15" s="1"/>
  <c r="D438" i="11"/>
  <c r="F438" i="11" s="1"/>
  <c r="D438" i="9"/>
  <c r="D438" i="14"/>
  <c r="F438" i="14" s="1"/>
  <c r="D438" i="8"/>
  <c r="D613" i="15"/>
  <c r="F613" i="15" s="1"/>
  <c r="D613" i="14"/>
  <c r="F613" i="14" s="1"/>
  <c r="D613" i="11"/>
  <c r="F613" i="11" s="1"/>
  <c r="D613" i="8"/>
  <c r="F613" i="8" s="1"/>
  <c r="G613" i="8" s="1"/>
  <c r="D613" i="9"/>
  <c r="F613" i="9" s="1"/>
  <c r="F613" i="1"/>
  <c r="H613" i="1" s="1"/>
  <c r="B658" i="14"/>
  <c r="B658" i="15"/>
  <c r="B658" i="11"/>
  <c r="B658" i="9"/>
  <c r="B658" i="8"/>
  <c r="E700" i="15"/>
  <c r="E700" i="14"/>
  <c r="E700" i="11"/>
  <c r="E700" i="8"/>
  <c r="E700" i="9"/>
  <c r="E11" i="14"/>
  <c r="E11" i="15"/>
  <c r="E11" i="11"/>
  <c r="E11" i="9"/>
  <c r="E11" i="8"/>
  <c r="A153" i="15"/>
  <c r="A153" i="11"/>
  <c r="A153" i="14"/>
  <c r="A153" i="9"/>
  <c r="A153" i="8"/>
  <c r="A341" i="15"/>
  <c r="A341" i="14"/>
  <c r="A341" i="11"/>
  <c r="A341" i="9"/>
  <c r="A341" i="8"/>
  <c r="E528" i="15"/>
  <c r="E528" i="14"/>
  <c r="E528" i="11"/>
  <c r="E528" i="9"/>
  <c r="E528" i="8"/>
  <c r="E562" i="15"/>
  <c r="E562" i="14"/>
  <c r="E562" i="11"/>
  <c r="E562" i="9"/>
  <c r="E562" i="8"/>
  <c r="B582" i="15"/>
  <c r="B582" i="11"/>
  <c r="B582" i="14"/>
  <c r="B582" i="9"/>
  <c r="B582" i="8"/>
  <c r="C607" i="15"/>
  <c r="C607" i="14"/>
  <c r="C607" i="11"/>
  <c r="C607" i="8"/>
  <c r="C607" i="9"/>
  <c r="F667" i="1"/>
  <c r="J667" i="1" s="1"/>
  <c r="D667" i="15"/>
  <c r="F667" i="15" s="1"/>
  <c r="D667" i="14"/>
  <c r="F667" i="14" s="1"/>
  <c r="D667" i="11"/>
  <c r="F667" i="11" s="1"/>
  <c r="D667" i="9"/>
  <c r="F667" i="9" s="1"/>
  <c r="D667" i="8"/>
  <c r="F667" i="8" s="1"/>
  <c r="G667" i="8" s="1"/>
  <c r="F726" i="1"/>
  <c r="G726" i="1" s="1"/>
  <c r="D726" i="14"/>
  <c r="F726" i="14" s="1"/>
  <c r="D726" i="15"/>
  <c r="F726" i="15" s="1"/>
  <c r="D726" i="11"/>
  <c r="F726" i="11" s="1"/>
  <c r="D726" i="9"/>
  <c r="F726" i="9" s="1"/>
  <c r="D726" i="8"/>
  <c r="F726" i="8" s="1"/>
  <c r="G726" i="8" s="1"/>
  <c r="B787" i="15"/>
  <c r="B787" i="11"/>
  <c r="B787" i="9"/>
  <c r="B787" i="14"/>
  <c r="B787" i="8"/>
  <c r="F349" i="1"/>
  <c r="D349" i="15"/>
  <c r="F349" i="15" s="1"/>
  <c r="D349" i="14"/>
  <c r="F349" i="14" s="1"/>
  <c r="D349" i="11"/>
  <c r="F349" i="11" s="1"/>
  <c r="D349" i="9"/>
  <c r="D349" i="8"/>
  <c r="A439" i="15"/>
  <c r="A439" i="11"/>
  <c r="A439" i="9"/>
  <c r="A439" i="14"/>
  <c r="A439" i="8"/>
  <c r="A523" i="15"/>
  <c r="A523" i="14"/>
  <c r="A523" i="11"/>
  <c r="A523" i="9"/>
  <c r="A523" i="8"/>
  <c r="A554" i="15"/>
  <c r="A554" i="14"/>
  <c r="A554" i="11"/>
  <c r="A554" i="9"/>
  <c r="A554" i="8"/>
  <c r="E670" i="15"/>
  <c r="E670" i="14"/>
  <c r="E670" i="11"/>
  <c r="E670" i="9"/>
  <c r="E670" i="8"/>
  <c r="C752" i="15"/>
  <c r="C752" i="11"/>
  <c r="C752" i="9"/>
  <c r="C752" i="14"/>
  <c r="C752" i="8"/>
  <c r="B58" i="15"/>
  <c r="B58" i="14"/>
  <c r="B58" i="9"/>
  <c r="B58" i="11"/>
  <c r="B58" i="8"/>
  <c r="F87" i="1"/>
  <c r="G87" i="1" s="1"/>
  <c r="D87" i="15"/>
  <c r="F87" i="15" s="1"/>
  <c r="D87" i="14"/>
  <c r="F87" i="14" s="1"/>
  <c r="D87" i="11"/>
  <c r="F87" i="11" s="1"/>
  <c r="D87" i="8"/>
  <c r="D87" i="9"/>
  <c r="A125" i="14"/>
  <c r="A125" i="15"/>
  <c r="A125" i="11"/>
  <c r="A125" i="9"/>
  <c r="A125" i="8"/>
  <c r="A185" i="15"/>
  <c r="A185" i="14"/>
  <c r="A185" i="9"/>
  <c r="A185" i="11"/>
  <c r="A185" i="8"/>
  <c r="C253" i="15"/>
  <c r="C253" i="11"/>
  <c r="C253" i="14"/>
  <c r="C253" i="9"/>
  <c r="C253" i="8"/>
  <c r="F399" i="1"/>
  <c r="H399" i="1" s="1"/>
  <c r="D399" i="14"/>
  <c r="F399" i="14" s="1"/>
  <c r="D399" i="15"/>
  <c r="F399" i="15" s="1"/>
  <c r="D399" i="11"/>
  <c r="F399" i="11" s="1"/>
  <c r="D399" i="9"/>
  <c r="D399" i="8"/>
  <c r="C465" i="15"/>
  <c r="C465" i="11"/>
  <c r="C465" i="14"/>
  <c r="C465" i="8"/>
  <c r="C465" i="9"/>
  <c r="B523" i="15"/>
  <c r="B523" i="14"/>
  <c r="B523" i="11"/>
  <c r="B523" i="9"/>
  <c r="B523" i="8"/>
  <c r="F582" i="1"/>
  <c r="J582" i="1" s="1"/>
  <c r="D582" i="15"/>
  <c r="F582" i="15" s="1"/>
  <c r="D582" i="14"/>
  <c r="F582" i="14" s="1"/>
  <c r="D582" i="11"/>
  <c r="F582" i="11" s="1"/>
  <c r="D582" i="9"/>
  <c r="F582" i="9" s="1"/>
  <c r="D582" i="8"/>
  <c r="F582" i="8" s="1"/>
  <c r="G582" i="8" s="1"/>
  <c r="A599" i="15"/>
  <c r="A599" i="14"/>
  <c r="A599" i="9"/>
  <c r="A599" i="11"/>
  <c r="A599" i="8"/>
  <c r="A653" i="15"/>
  <c r="A653" i="11"/>
  <c r="A653" i="14"/>
  <c r="A653" i="9"/>
  <c r="A653" i="8"/>
  <c r="A668" i="15"/>
  <c r="A668" i="14"/>
  <c r="A668" i="11"/>
  <c r="A668" i="8"/>
  <c r="A668" i="9"/>
  <c r="C781" i="14"/>
  <c r="C781" i="15"/>
  <c r="C781" i="11"/>
  <c r="C781" i="9"/>
  <c r="C781" i="8"/>
  <c r="A811" i="15"/>
  <c r="A811" i="14"/>
  <c r="A811" i="11"/>
  <c r="A811" i="9"/>
  <c r="A811" i="8"/>
  <c r="B855" i="15"/>
  <c r="B855" i="14"/>
  <c r="B855" i="11"/>
  <c r="B855" i="9"/>
  <c r="B855" i="8"/>
  <c r="C47" i="15"/>
  <c r="C47" i="9"/>
  <c r="C47" i="14"/>
  <c r="C47" i="11"/>
  <c r="C47" i="8"/>
  <c r="B125" i="14"/>
  <c r="B125" i="15"/>
  <c r="B125" i="11"/>
  <c r="B125" i="8"/>
  <c r="B125" i="9"/>
  <c r="B185" i="15"/>
  <c r="B185" i="14"/>
  <c r="B185" i="9"/>
  <c r="B185" i="11"/>
  <c r="B185" i="8"/>
  <c r="C316" i="14"/>
  <c r="C316" i="11"/>
  <c r="C316" i="15"/>
  <c r="C316" i="9"/>
  <c r="C316" i="8"/>
  <c r="E399" i="15"/>
  <c r="E399" i="14"/>
  <c r="E399" i="11"/>
  <c r="E399" i="9"/>
  <c r="E399" i="8"/>
  <c r="C523" i="15"/>
  <c r="C523" i="14"/>
  <c r="C523" i="11"/>
  <c r="C523" i="9"/>
  <c r="C523" i="8"/>
  <c r="B593" i="15"/>
  <c r="B593" i="14"/>
  <c r="B593" i="11"/>
  <c r="B593" i="8"/>
  <c r="B593" i="9"/>
  <c r="E685" i="15"/>
  <c r="E685" i="14"/>
  <c r="E685" i="9"/>
  <c r="E685" i="8"/>
  <c r="E685" i="11"/>
  <c r="E718" i="15"/>
  <c r="E718" i="14"/>
  <c r="E718" i="11"/>
  <c r="E718" i="9"/>
  <c r="E718" i="8"/>
  <c r="E787" i="15"/>
  <c r="E787" i="14"/>
  <c r="E787" i="11"/>
  <c r="E787" i="9"/>
  <c r="E787" i="8"/>
  <c r="D823" i="15"/>
  <c r="F823" i="15" s="1"/>
  <c r="D823" i="11"/>
  <c r="F823" i="11" s="1"/>
  <c r="D823" i="14"/>
  <c r="F823" i="14" s="1"/>
  <c r="D823" i="9"/>
  <c r="F823" i="9" s="1"/>
  <c r="D823" i="8"/>
  <c r="F823" i="8" s="1"/>
  <c r="G823" i="8" s="1"/>
  <c r="F823" i="1"/>
  <c r="I823" i="1" s="1"/>
  <c r="E6" i="15"/>
  <c r="E6" i="14"/>
  <c r="E6" i="9"/>
  <c r="E6" i="8"/>
  <c r="E6" i="11"/>
  <c r="E72" i="15"/>
  <c r="E72" i="11"/>
  <c r="E72" i="9"/>
  <c r="E72" i="14"/>
  <c r="E72" i="8"/>
  <c r="C182" i="15"/>
  <c r="C182" i="11"/>
  <c r="C182" i="14"/>
  <c r="C182" i="9"/>
  <c r="C182" i="8"/>
  <c r="C239" i="15"/>
  <c r="C239" i="14"/>
  <c r="C239" i="11"/>
  <c r="C239" i="9"/>
  <c r="C239" i="8"/>
  <c r="E313" i="15"/>
  <c r="E313" i="14"/>
  <c r="E313" i="11"/>
  <c r="E313" i="9"/>
  <c r="E313" i="8"/>
  <c r="F433" i="1"/>
  <c r="I433" i="1" s="1"/>
  <c r="D433" i="15"/>
  <c r="F433" i="15" s="1"/>
  <c r="D433" i="14"/>
  <c r="F433" i="14" s="1"/>
  <c r="D433" i="11"/>
  <c r="F433" i="11" s="1"/>
  <c r="D433" i="9"/>
  <c r="D433" i="8"/>
  <c r="A656" i="14"/>
  <c r="A656" i="15"/>
  <c r="A656" i="11"/>
  <c r="A656" i="9"/>
  <c r="A656" i="8"/>
  <c r="A744" i="15"/>
  <c r="A744" i="14"/>
  <c r="A744" i="11"/>
  <c r="A744" i="8"/>
  <c r="A744" i="9"/>
  <c r="C811" i="15"/>
  <c r="C811" i="11"/>
  <c r="C811" i="14"/>
  <c r="C811" i="9"/>
  <c r="C811" i="8"/>
  <c r="A13" i="15"/>
  <c r="A13" i="14"/>
  <c r="A13" i="9"/>
  <c r="A13" i="11"/>
  <c r="A13" i="8"/>
  <c r="C39" i="15"/>
  <c r="C39" i="14"/>
  <c r="C39" i="11"/>
  <c r="C39" i="9"/>
  <c r="C39" i="8"/>
  <c r="A80" i="15"/>
  <c r="A80" i="14"/>
  <c r="A80" i="11"/>
  <c r="A80" i="8"/>
  <c r="A80" i="9"/>
  <c r="C108" i="14"/>
  <c r="C108" i="15"/>
  <c r="C108" i="9"/>
  <c r="C108" i="11"/>
  <c r="C108" i="8"/>
  <c r="I33" i="1"/>
  <c r="H33" i="1"/>
  <c r="C64" i="14"/>
  <c r="C64" i="15"/>
  <c r="C64" i="11"/>
  <c r="C64" i="9"/>
  <c r="C64" i="8"/>
  <c r="B80" i="15"/>
  <c r="B80" i="14"/>
  <c r="B80" i="11"/>
  <c r="B80" i="8"/>
  <c r="B80" i="9"/>
  <c r="F108" i="1"/>
  <c r="D108" i="14"/>
  <c r="F108" i="14" s="1"/>
  <c r="D108" i="15"/>
  <c r="F108" i="15" s="1"/>
  <c r="D108" i="9"/>
  <c r="D108" i="11"/>
  <c r="F108" i="11" s="1"/>
  <c r="D108" i="8"/>
  <c r="C120" i="15"/>
  <c r="C120" i="14"/>
  <c r="C120" i="11"/>
  <c r="C120" i="9"/>
  <c r="C120" i="8"/>
  <c r="E131" i="15"/>
  <c r="E131" i="14"/>
  <c r="E131" i="11"/>
  <c r="E131" i="9"/>
  <c r="E131" i="8"/>
  <c r="E146" i="15"/>
  <c r="E146" i="11"/>
  <c r="E146" i="14"/>
  <c r="E146" i="9"/>
  <c r="E146" i="8"/>
  <c r="B166" i="15"/>
  <c r="B166" i="14"/>
  <c r="B166" i="11"/>
  <c r="B166" i="9"/>
  <c r="B166" i="8"/>
  <c r="C171" i="15"/>
  <c r="C171" i="14"/>
  <c r="C171" i="11"/>
  <c r="C171" i="9"/>
  <c r="C171" i="8"/>
  <c r="B205" i="15"/>
  <c r="B205" i="14"/>
  <c r="B205" i="11"/>
  <c r="B205" i="9"/>
  <c r="B205" i="8"/>
  <c r="E216" i="15"/>
  <c r="E216" i="11"/>
  <c r="E216" i="14"/>
  <c r="E216" i="9"/>
  <c r="E216" i="8"/>
  <c r="E234" i="15"/>
  <c r="E234" i="11"/>
  <c r="E234" i="9"/>
  <c r="E234" i="14"/>
  <c r="E234" i="8"/>
  <c r="B257" i="15"/>
  <c r="B257" i="11"/>
  <c r="B257" i="14"/>
  <c r="B257" i="9"/>
  <c r="B257" i="8"/>
  <c r="C13" i="15"/>
  <c r="C13" i="14"/>
  <c r="C13" i="11"/>
  <c r="C13" i="9"/>
  <c r="C13" i="8"/>
  <c r="C16" i="15"/>
  <c r="C16" i="14"/>
  <c r="C16" i="11"/>
  <c r="C16" i="9"/>
  <c r="C16" i="8"/>
  <c r="C28" i="14"/>
  <c r="C28" i="9"/>
  <c r="C28" i="15"/>
  <c r="C28" i="11"/>
  <c r="C28" i="8"/>
  <c r="A31" i="15"/>
  <c r="A31" i="14"/>
  <c r="A31" i="11"/>
  <c r="A31" i="9"/>
  <c r="A31" i="8"/>
  <c r="G33" i="1"/>
  <c r="D64" i="15"/>
  <c r="F64" i="15" s="1"/>
  <c r="D64" i="14"/>
  <c r="F64" i="14" s="1"/>
  <c r="D64" i="11"/>
  <c r="F64" i="11" s="1"/>
  <c r="D64" i="8"/>
  <c r="D64" i="9"/>
  <c r="F64" i="1"/>
  <c r="C80" i="15"/>
  <c r="C80" i="14"/>
  <c r="C80" i="11"/>
  <c r="C80" i="9"/>
  <c r="C80" i="8"/>
  <c r="F102" i="1"/>
  <c r="I102" i="1" s="1"/>
  <c r="D102" i="15"/>
  <c r="F102" i="15" s="1"/>
  <c r="D102" i="14"/>
  <c r="F102" i="14" s="1"/>
  <c r="D102" i="11"/>
  <c r="F102" i="11" s="1"/>
  <c r="D102" i="9"/>
  <c r="D102" i="8"/>
  <c r="E105" i="15"/>
  <c r="E105" i="14"/>
  <c r="E105" i="11"/>
  <c r="E105" i="9"/>
  <c r="E105" i="8"/>
  <c r="A144" i="15"/>
  <c r="A144" i="14"/>
  <c r="A144" i="11"/>
  <c r="A144" i="9"/>
  <c r="A144" i="8"/>
  <c r="C163" i="15"/>
  <c r="C163" i="11"/>
  <c r="C163" i="9"/>
  <c r="C163" i="14"/>
  <c r="C163" i="8"/>
  <c r="C166" i="15"/>
  <c r="C166" i="14"/>
  <c r="C166" i="9"/>
  <c r="C166" i="11"/>
  <c r="C166" i="8"/>
  <c r="C202" i="14"/>
  <c r="C202" i="15"/>
  <c r="C202" i="11"/>
  <c r="C202" i="9"/>
  <c r="C202" i="8"/>
  <c r="C205" i="15"/>
  <c r="C205" i="14"/>
  <c r="C205" i="9"/>
  <c r="C205" i="8"/>
  <c r="C205" i="11"/>
  <c r="A214" i="15"/>
  <c r="A214" i="11"/>
  <c r="A214" i="14"/>
  <c r="A214" i="8"/>
  <c r="A214" i="9"/>
  <c r="F228" i="1"/>
  <c r="J228" i="1" s="1"/>
  <c r="B255" i="15"/>
  <c r="B255" i="14"/>
  <c r="B255" i="11"/>
  <c r="B255" i="9"/>
  <c r="B255" i="8"/>
  <c r="C257" i="15"/>
  <c r="C257" i="14"/>
  <c r="C257" i="11"/>
  <c r="C257" i="8"/>
  <c r="C257" i="9"/>
  <c r="F260" i="1"/>
  <c r="D260" i="15"/>
  <c r="F260" i="15" s="1"/>
  <c r="D260" i="14"/>
  <c r="F260" i="14" s="1"/>
  <c r="D260" i="11"/>
  <c r="F260" i="11" s="1"/>
  <c r="D260" i="9"/>
  <c r="D260" i="8"/>
  <c r="A269" i="15"/>
  <c r="A269" i="14"/>
  <c r="A269" i="11"/>
  <c r="A269" i="9"/>
  <c r="A269" i="8"/>
  <c r="E279" i="15"/>
  <c r="E279" i="11"/>
  <c r="E279" i="14"/>
  <c r="E279" i="9"/>
  <c r="E279" i="8"/>
  <c r="E282" i="15"/>
  <c r="E282" i="14"/>
  <c r="E282" i="11"/>
  <c r="E282" i="9"/>
  <c r="E282" i="8"/>
  <c r="C294" i="14"/>
  <c r="C294" i="15"/>
  <c r="C294" i="9"/>
  <c r="C294" i="11"/>
  <c r="C294" i="8"/>
  <c r="F297" i="1"/>
  <c r="D297" i="15"/>
  <c r="F297" i="15" s="1"/>
  <c r="D297" i="14"/>
  <c r="F297" i="14" s="1"/>
  <c r="D297" i="11"/>
  <c r="F297" i="11" s="1"/>
  <c r="D297" i="8"/>
  <c r="D297" i="9"/>
  <c r="E300" i="15"/>
  <c r="E300" i="14"/>
  <c r="E300" i="11"/>
  <c r="E300" i="8"/>
  <c r="E300" i="9"/>
  <c r="E303" i="15"/>
  <c r="E303" i="9"/>
  <c r="E303" i="14"/>
  <c r="E303" i="11"/>
  <c r="E303" i="8"/>
  <c r="E306" i="15"/>
  <c r="E306" i="11"/>
  <c r="E306" i="14"/>
  <c r="E306" i="9"/>
  <c r="E306" i="8"/>
  <c r="D357" i="15"/>
  <c r="F357" i="15" s="1"/>
  <c r="D357" i="11"/>
  <c r="F357" i="11" s="1"/>
  <c r="D357" i="14"/>
  <c r="F357" i="14" s="1"/>
  <c r="D357" i="9"/>
  <c r="D357" i="8"/>
  <c r="F357" i="1"/>
  <c r="B360" i="15"/>
  <c r="B360" i="14"/>
  <c r="B360" i="11"/>
  <c r="B360" i="9"/>
  <c r="B360" i="8"/>
  <c r="B363" i="15"/>
  <c r="B363" i="14"/>
  <c r="B363" i="9"/>
  <c r="B363" i="11"/>
  <c r="B363" i="8"/>
  <c r="B378" i="15"/>
  <c r="B378" i="14"/>
  <c r="B378" i="11"/>
  <c r="B378" i="9"/>
  <c r="B378" i="8"/>
  <c r="C381" i="14"/>
  <c r="C381" i="15"/>
  <c r="C381" i="11"/>
  <c r="C381" i="8"/>
  <c r="C381" i="9"/>
  <c r="B384" i="15"/>
  <c r="B384" i="14"/>
  <c r="B384" i="11"/>
  <c r="B384" i="9"/>
  <c r="B384" i="8"/>
  <c r="C387" i="15"/>
  <c r="C387" i="14"/>
  <c r="C387" i="11"/>
  <c r="C387" i="9"/>
  <c r="C387" i="8"/>
  <c r="I389" i="1"/>
  <c r="E408" i="15"/>
  <c r="E408" i="14"/>
  <c r="E408" i="11"/>
  <c r="E408" i="8"/>
  <c r="E408" i="9"/>
  <c r="E411" i="15"/>
  <c r="E411" i="11"/>
  <c r="E411" i="14"/>
  <c r="E411" i="9"/>
  <c r="E411" i="8"/>
  <c r="A426" i="15"/>
  <c r="A426" i="14"/>
  <c r="A426" i="11"/>
  <c r="A426" i="9"/>
  <c r="A426" i="8"/>
  <c r="A441" i="15"/>
  <c r="A441" i="14"/>
  <c r="A441" i="11"/>
  <c r="A441" i="9"/>
  <c r="A441" i="8"/>
  <c r="B444" i="15"/>
  <c r="B444" i="14"/>
  <c r="B444" i="11"/>
  <c r="B444" i="9"/>
  <c r="B444" i="8"/>
  <c r="A458" i="15"/>
  <c r="A458" i="14"/>
  <c r="A458" i="9"/>
  <c r="A458" i="11"/>
  <c r="A458" i="8"/>
  <c r="B467" i="15"/>
  <c r="B467" i="14"/>
  <c r="B467" i="11"/>
  <c r="B467" i="9"/>
  <c r="B467" i="8"/>
  <c r="A470" i="14"/>
  <c r="A470" i="15"/>
  <c r="A470" i="11"/>
  <c r="A470" i="8"/>
  <c r="A470" i="9"/>
  <c r="A484" i="15"/>
  <c r="A484" i="11"/>
  <c r="A484" i="9"/>
  <c r="A484" i="14"/>
  <c r="A484" i="8"/>
  <c r="F533" i="1"/>
  <c r="G533" i="1" s="1"/>
  <c r="D533" i="15"/>
  <c r="F533" i="15" s="1"/>
  <c r="D533" i="14"/>
  <c r="F533" i="14" s="1"/>
  <c r="D533" i="11"/>
  <c r="F533" i="11" s="1"/>
  <c r="D533" i="8"/>
  <c r="F533" i="8" s="1"/>
  <c r="G533" i="8" s="1"/>
  <c r="D533" i="9"/>
  <c r="F533" i="9" s="1"/>
  <c r="B536" i="14"/>
  <c r="B536" i="15"/>
  <c r="B536" i="9"/>
  <c r="B536" i="11"/>
  <c r="B536" i="8"/>
  <c r="B539" i="15"/>
  <c r="B539" i="14"/>
  <c r="B539" i="11"/>
  <c r="B539" i="8"/>
  <c r="B539" i="9"/>
  <c r="A542" i="15"/>
  <c r="A542" i="14"/>
  <c r="A542" i="11"/>
  <c r="A542" i="9"/>
  <c r="A542" i="8"/>
  <c r="B550" i="15"/>
  <c r="B550" i="14"/>
  <c r="B550" i="11"/>
  <c r="B550" i="9"/>
  <c r="B550" i="8"/>
  <c r="A556" i="14"/>
  <c r="A556" i="15"/>
  <c r="A556" i="11"/>
  <c r="A556" i="9"/>
  <c r="A556" i="8"/>
  <c r="C567" i="14"/>
  <c r="C567" i="15"/>
  <c r="C567" i="11"/>
  <c r="C567" i="9"/>
  <c r="C567" i="8"/>
  <c r="B570" i="15"/>
  <c r="B570" i="14"/>
  <c r="B570" i="11"/>
  <c r="B570" i="9"/>
  <c r="B570" i="8"/>
  <c r="E600" i="15"/>
  <c r="E600" i="14"/>
  <c r="E600" i="11"/>
  <c r="E600" i="8"/>
  <c r="E600" i="9"/>
  <c r="C603" i="14"/>
  <c r="C603" i="15"/>
  <c r="C603" i="11"/>
  <c r="C603" i="9"/>
  <c r="C603" i="8"/>
  <c r="B622" i="15"/>
  <c r="B622" i="14"/>
  <c r="B622" i="11"/>
  <c r="B622" i="9"/>
  <c r="B622" i="8"/>
  <c r="C625" i="14"/>
  <c r="C625" i="15"/>
  <c r="C625" i="11"/>
  <c r="C625" i="8"/>
  <c r="C625" i="9"/>
  <c r="C639" i="15"/>
  <c r="C639" i="14"/>
  <c r="C639" i="11"/>
  <c r="C639" i="8"/>
  <c r="C639" i="9"/>
  <c r="C645" i="15"/>
  <c r="C645" i="14"/>
  <c r="C645" i="9"/>
  <c r="C645" i="11"/>
  <c r="C645" i="8"/>
  <c r="C648" i="15"/>
  <c r="C648" i="11"/>
  <c r="C648" i="14"/>
  <c r="C648" i="9"/>
  <c r="C648" i="8"/>
  <c r="B660" i="15"/>
  <c r="B660" i="14"/>
  <c r="B660" i="11"/>
  <c r="B660" i="9"/>
  <c r="B660" i="8"/>
  <c r="E672" i="15"/>
  <c r="E672" i="11"/>
  <c r="E672" i="14"/>
  <c r="E672" i="9"/>
  <c r="E672" i="8"/>
  <c r="F675" i="1"/>
  <c r="I675" i="1" s="1"/>
  <c r="B687" i="15"/>
  <c r="B687" i="14"/>
  <c r="B687" i="11"/>
  <c r="B687" i="9"/>
  <c r="B687" i="8"/>
  <c r="B711" i="15"/>
  <c r="B711" i="14"/>
  <c r="B711" i="11"/>
  <c r="B711" i="8"/>
  <c r="B711" i="9"/>
  <c r="A714" i="15"/>
  <c r="A714" i="14"/>
  <c r="A714" i="11"/>
  <c r="A714" i="9"/>
  <c r="A714" i="8"/>
  <c r="E736" i="15"/>
  <c r="E736" i="14"/>
  <c r="E736" i="9"/>
  <c r="E736" i="11"/>
  <c r="E736" i="8"/>
  <c r="C739" i="15"/>
  <c r="C739" i="14"/>
  <c r="C739" i="11"/>
  <c r="C739" i="9"/>
  <c r="C739" i="8"/>
  <c r="C745" i="15"/>
  <c r="C745" i="14"/>
  <c r="C745" i="11"/>
  <c r="C745" i="9"/>
  <c r="C745" i="8"/>
  <c r="C748" i="15"/>
  <c r="C748" i="14"/>
  <c r="C748" i="11"/>
  <c r="C748" i="8"/>
  <c r="C748" i="9"/>
  <c r="A757" i="15"/>
  <c r="A757" i="14"/>
  <c r="A757" i="11"/>
  <c r="A757" i="8"/>
  <c r="A757" i="9"/>
  <c r="A760" i="15"/>
  <c r="A760" i="14"/>
  <c r="A760" i="11"/>
  <c r="A760" i="9"/>
  <c r="A760" i="8"/>
  <c r="A763" i="14"/>
  <c r="A763" i="15"/>
  <c r="A763" i="11"/>
  <c r="A763" i="8"/>
  <c r="A763" i="9"/>
  <c r="D792" i="15"/>
  <c r="F792" i="15" s="1"/>
  <c r="D792" i="14"/>
  <c r="F792" i="14" s="1"/>
  <c r="D792" i="9"/>
  <c r="F792" i="9" s="1"/>
  <c r="D792" i="11"/>
  <c r="F792" i="11" s="1"/>
  <c r="D792" i="8"/>
  <c r="F792" i="8" s="1"/>
  <c r="G792" i="8" s="1"/>
  <c r="F792" i="1"/>
  <c r="I792" i="1" s="1"/>
  <c r="E806" i="14"/>
  <c r="E806" i="15"/>
  <c r="E806" i="8"/>
  <c r="E806" i="9"/>
  <c r="E806" i="11"/>
  <c r="A816" i="15"/>
  <c r="A816" i="14"/>
  <c r="A816" i="11"/>
  <c r="A816" i="9"/>
  <c r="A816" i="8"/>
  <c r="A819" i="14"/>
  <c r="A819" i="15"/>
  <c r="A819" i="11"/>
  <c r="A819" i="9"/>
  <c r="A819" i="8"/>
  <c r="C842" i="15"/>
  <c r="C842" i="14"/>
  <c r="C842" i="11"/>
  <c r="C842" i="9"/>
  <c r="C842" i="8"/>
  <c r="B845" i="15"/>
  <c r="B845" i="11"/>
  <c r="B845" i="14"/>
  <c r="B845" i="9"/>
  <c r="B845" i="8"/>
  <c r="B223" i="15"/>
  <c r="B223" i="14"/>
  <c r="B223" i="9"/>
  <c r="B223" i="11"/>
  <c r="B223" i="8"/>
  <c r="D255" i="14"/>
  <c r="F255" i="14" s="1"/>
  <c r="D255" i="15"/>
  <c r="F255" i="15" s="1"/>
  <c r="D255" i="9"/>
  <c r="D255" i="11"/>
  <c r="F255" i="11" s="1"/>
  <c r="D255" i="8"/>
  <c r="F255" i="1"/>
  <c r="I255" i="1" s="1"/>
  <c r="A304" i="15"/>
  <c r="A304" i="14"/>
  <c r="A304" i="11"/>
  <c r="A304" i="9"/>
  <c r="A304" i="8"/>
  <c r="C375" i="15"/>
  <c r="C375" i="14"/>
  <c r="C375" i="11"/>
  <c r="C375" i="9"/>
  <c r="C375" i="8"/>
  <c r="D467" i="15"/>
  <c r="F467" i="15" s="1"/>
  <c r="D467" i="14"/>
  <c r="F467" i="14" s="1"/>
  <c r="D467" i="11"/>
  <c r="F467" i="11" s="1"/>
  <c r="D467" i="9"/>
  <c r="D467" i="8"/>
  <c r="F467" i="1"/>
  <c r="J467" i="1" s="1"/>
  <c r="E645" i="14"/>
  <c r="E645" i="15"/>
  <c r="E645" i="9"/>
  <c r="E645" i="11"/>
  <c r="E645" i="8"/>
  <c r="D777" i="15"/>
  <c r="F777" i="15" s="1"/>
  <c r="D777" i="14"/>
  <c r="F777" i="14" s="1"/>
  <c r="D777" i="9"/>
  <c r="F777" i="9" s="1"/>
  <c r="D777" i="8"/>
  <c r="F777" i="8" s="1"/>
  <c r="G777" i="8" s="1"/>
  <c r="D777" i="11"/>
  <c r="F777" i="11" s="1"/>
  <c r="F152" i="1"/>
  <c r="G152" i="1" s="1"/>
  <c r="D152" i="15"/>
  <c r="F152" i="15" s="1"/>
  <c r="D152" i="14"/>
  <c r="F152" i="14" s="1"/>
  <c r="D152" i="11"/>
  <c r="F152" i="11" s="1"/>
  <c r="D152" i="9"/>
  <c r="D152" i="8"/>
  <c r="C223" i="15"/>
  <c r="C223" i="14"/>
  <c r="C223" i="9"/>
  <c r="C223" i="11"/>
  <c r="C223" i="8"/>
  <c r="B352" i="15"/>
  <c r="B352" i="14"/>
  <c r="B352" i="11"/>
  <c r="B352" i="9"/>
  <c r="B352" i="8"/>
  <c r="D476" i="15"/>
  <c r="F476" i="15" s="1"/>
  <c r="D476" i="14"/>
  <c r="F476" i="14" s="1"/>
  <c r="D476" i="11"/>
  <c r="F476" i="11" s="1"/>
  <c r="D476" i="9"/>
  <c r="D476" i="8"/>
  <c r="E754" i="14"/>
  <c r="E754" i="15"/>
  <c r="E754" i="9"/>
  <c r="E754" i="8"/>
  <c r="E754" i="11"/>
  <c r="A790" i="15"/>
  <c r="A790" i="14"/>
  <c r="A790" i="11"/>
  <c r="A790" i="9"/>
  <c r="A790" i="8"/>
  <c r="C813" i="15"/>
  <c r="C813" i="14"/>
  <c r="C813" i="11"/>
  <c r="C813" i="8"/>
  <c r="C813" i="9"/>
  <c r="D11" i="15"/>
  <c r="F11" i="15" s="1"/>
  <c r="D11" i="14"/>
  <c r="F11" i="14" s="1"/>
  <c r="D11" i="11"/>
  <c r="F11" i="11" s="1"/>
  <c r="D11" i="8"/>
  <c r="D11" i="9"/>
  <c r="A78" i="15"/>
  <c r="A78" i="14"/>
  <c r="A78" i="11"/>
  <c r="A78" i="9"/>
  <c r="A78" i="8"/>
  <c r="A200" i="15"/>
  <c r="A200" i="14"/>
  <c r="A200" i="11"/>
  <c r="A200" i="9"/>
  <c r="A200" i="8"/>
  <c r="E318" i="15"/>
  <c r="E318" i="14"/>
  <c r="E318" i="11"/>
  <c r="E318" i="9"/>
  <c r="E318" i="8"/>
  <c r="E476" i="15"/>
  <c r="E476" i="14"/>
  <c r="E476" i="11"/>
  <c r="E476" i="9"/>
  <c r="E476" i="8"/>
  <c r="D531" i="15"/>
  <c r="F531" i="15" s="1"/>
  <c r="D531" i="14"/>
  <c r="F531" i="14" s="1"/>
  <c r="D531" i="11"/>
  <c r="F531" i="11" s="1"/>
  <c r="D531" i="9"/>
  <c r="F531" i="9" s="1"/>
  <c r="D531" i="8"/>
  <c r="F531" i="8" s="1"/>
  <c r="G531" i="8" s="1"/>
  <c r="F562" i="1"/>
  <c r="H562" i="1" s="1"/>
  <c r="D562" i="14"/>
  <c r="F562" i="14" s="1"/>
  <c r="D562" i="11"/>
  <c r="F562" i="11" s="1"/>
  <c r="D562" i="15"/>
  <c r="F562" i="15" s="1"/>
  <c r="D562" i="9"/>
  <c r="F562" i="9" s="1"/>
  <c r="D562" i="8"/>
  <c r="F562" i="8" s="1"/>
  <c r="G562" i="8" s="1"/>
  <c r="B607" i="15"/>
  <c r="B607" i="14"/>
  <c r="B607" i="11"/>
  <c r="B607" i="8"/>
  <c r="B607" i="9"/>
  <c r="A752" i="14"/>
  <c r="A752" i="15"/>
  <c r="A752" i="9"/>
  <c r="A752" i="11"/>
  <c r="A752" i="8"/>
  <c r="B790" i="15"/>
  <c r="B790" i="14"/>
  <c r="B790" i="11"/>
  <c r="B790" i="9"/>
  <c r="B790" i="8"/>
  <c r="E834" i="15"/>
  <c r="E834" i="14"/>
  <c r="E834" i="11"/>
  <c r="E834" i="9"/>
  <c r="E834" i="8"/>
  <c r="E241" i="15"/>
  <c r="E241" i="14"/>
  <c r="E241" i="11"/>
  <c r="E241" i="9"/>
  <c r="E241" i="8"/>
  <c r="C289" i="15"/>
  <c r="C289" i="11"/>
  <c r="C289" i="9"/>
  <c r="C289" i="14"/>
  <c r="C289" i="8"/>
  <c r="E337" i="14"/>
  <c r="E337" i="15"/>
  <c r="E337" i="9"/>
  <c r="E337" i="8"/>
  <c r="E337" i="11"/>
  <c r="C421" i="15"/>
  <c r="C421" i="14"/>
  <c r="C421" i="11"/>
  <c r="C421" i="9"/>
  <c r="C421" i="8"/>
  <c r="E531" i="15"/>
  <c r="E531" i="14"/>
  <c r="E531" i="9"/>
  <c r="E531" i="11"/>
  <c r="E531" i="8"/>
  <c r="F700" i="1"/>
  <c r="B829" i="15"/>
  <c r="B829" i="14"/>
  <c r="B829" i="11"/>
  <c r="B829" i="9"/>
  <c r="B829" i="8"/>
  <c r="F26" i="1"/>
  <c r="G26" i="1" s="1"/>
  <c r="D26" i="15"/>
  <c r="F26" i="15" s="1"/>
  <c r="D26" i="11"/>
  <c r="F26" i="11" s="1"/>
  <c r="D26" i="9"/>
  <c r="D26" i="8"/>
  <c r="D26" i="14"/>
  <c r="F26" i="14" s="1"/>
  <c r="C52" i="15"/>
  <c r="C52" i="14"/>
  <c r="C52" i="11"/>
  <c r="C52" i="8"/>
  <c r="C52" i="9"/>
  <c r="B153" i="15"/>
  <c r="B153" i="11"/>
  <c r="B153" i="14"/>
  <c r="B153" i="9"/>
  <c r="B153" i="8"/>
  <c r="D190" i="15"/>
  <c r="F190" i="15" s="1"/>
  <c r="D190" i="14"/>
  <c r="F190" i="14" s="1"/>
  <c r="D190" i="11"/>
  <c r="F190" i="11" s="1"/>
  <c r="D190" i="9"/>
  <c r="D190" i="8"/>
  <c r="F190" i="1"/>
  <c r="F289" i="1"/>
  <c r="J289" i="1" s="1"/>
  <c r="D289" i="15"/>
  <c r="F289" i="15" s="1"/>
  <c r="D289" i="11"/>
  <c r="F289" i="11" s="1"/>
  <c r="D289" i="9"/>
  <c r="D289" i="8"/>
  <c r="D289" i="14"/>
  <c r="F289" i="14" s="1"/>
  <c r="F406" i="1"/>
  <c r="H406" i="1" s="1"/>
  <c r="A505" i="14"/>
  <c r="A505" i="15"/>
  <c r="A505" i="11"/>
  <c r="A505" i="9"/>
  <c r="A505" i="8"/>
  <c r="C582" i="15"/>
  <c r="C582" i="11"/>
  <c r="C582" i="14"/>
  <c r="C582" i="8"/>
  <c r="C582" i="9"/>
  <c r="E598" i="15"/>
  <c r="E598" i="14"/>
  <c r="E598" i="11"/>
  <c r="E598" i="9"/>
  <c r="E598" i="8"/>
  <c r="F643" i="1"/>
  <c r="D643" i="15"/>
  <c r="F643" i="15" s="1"/>
  <c r="D643" i="14"/>
  <c r="F643" i="14" s="1"/>
  <c r="D643" i="11"/>
  <c r="F643" i="11" s="1"/>
  <c r="D643" i="9"/>
  <c r="F643" i="9" s="1"/>
  <c r="D643" i="8"/>
  <c r="F643" i="8" s="1"/>
  <c r="G643" i="8" s="1"/>
  <c r="E694" i="15"/>
  <c r="E694" i="14"/>
  <c r="E694" i="11"/>
  <c r="E694" i="9"/>
  <c r="E694" i="8"/>
  <c r="C787" i="15"/>
  <c r="C787" i="9"/>
  <c r="C787" i="14"/>
  <c r="C787" i="11"/>
  <c r="C787" i="8"/>
  <c r="B823" i="15"/>
  <c r="B823" i="14"/>
  <c r="B823" i="11"/>
  <c r="B823" i="9"/>
  <c r="B823" i="8"/>
  <c r="E26" i="15"/>
  <c r="E26" i="11"/>
  <c r="E26" i="8"/>
  <c r="E26" i="9"/>
  <c r="E26" i="14"/>
  <c r="A61" i="15"/>
  <c r="A61" i="14"/>
  <c r="A61" i="11"/>
  <c r="A61" i="9"/>
  <c r="A61" i="8"/>
  <c r="B110" i="15"/>
  <c r="B110" i="14"/>
  <c r="B110" i="9"/>
  <c r="B110" i="11"/>
  <c r="B110" i="8"/>
  <c r="C209" i="15"/>
  <c r="C209" i="11"/>
  <c r="C209" i="14"/>
  <c r="C209" i="8"/>
  <c r="C209" i="9"/>
  <c r="E421" i="15"/>
  <c r="E421" i="11"/>
  <c r="E421" i="8"/>
  <c r="E421" i="9"/>
  <c r="E421" i="14"/>
  <c r="C474" i="15"/>
  <c r="C474" i="14"/>
  <c r="C474" i="11"/>
  <c r="C474" i="9"/>
  <c r="C474" i="8"/>
  <c r="B505" i="14"/>
  <c r="B505" i="15"/>
  <c r="B505" i="11"/>
  <c r="B505" i="8"/>
  <c r="B505" i="9"/>
  <c r="C58" i="14"/>
  <c r="C58" i="15"/>
  <c r="C58" i="9"/>
  <c r="C58" i="11"/>
  <c r="C58" i="8"/>
  <c r="B85" i="14"/>
  <c r="B85" i="11"/>
  <c r="B85" i="15"/>
  <c r="B85" i="8"/>
  <c r="B85" i="9"/>
  <c r="B335" i="15"/>
  <c r="B335" i="14"/>
  <c r="B335" i="11"/>
  <c r="B335" i="9"/>
  <c r="B335" i="8"/>
  <c r="D474" i="14"/>
  <c r="F474" i="14" s="1"/>
  <c r="D474" i="15"/>
  <c r="F474" i="15" s="1"/>
  <c r="D474" i="11"/>
  <c r="F474" i="11" s="1"/>
  <c r="D474" i="9"/>
  <c r="D474" i="8"/>
  <c r="A596" i="15"/>
  <c r="A596" i="11"/>
  <c r="A596" i="9"/>
  <c r="A596" i="14"/>
  <c r="A596" i="8"/>
  <c r="B811" i="15"/>
  <c r="B811" i="14"/>
  <c r="B811" i="11"/>
  <c r="B811" i="9"/>
  <c r="B811" i="8"/>
  <c r="B21" i="15"/>
  <c r="B21" i="14"/>
  <c r="B21" i="11"/>
  <c r="B21" i="9"/>
  <c r="B21" i="8"/>
  <c r="C55" i="14"/>
  <c r="C55" i="15"/>
  <c r="C55" i="11"/>
  <c r="C55" i="9"/>
  <c r="C55" i="8"/>
  <c r="D110" i="15"/>
  <c r="F110" i="15" s="1"/>
  <c r="D110" i="14"/>
  <c r="F110" i="14" s="1"/>
  <c r="D110" i="9"/>
  <c r="D110" i="11"/>
  <c r="F110" i="11" s="1"/>
  <c r="D110" i="8"/>
  <c r="F110" i="1"/>
  <c r="I110" i="1" s="1"/>
  <c r="C125" i="15"/>
  <c r="C125" i="14"/>
  <c r="C125" i="11"/>
  <c r="C125" i="9"/>
  <c r="C125" i="8"/>
  <c r="F139" i="1"/>
  <c r="G139" i="1" s="1"/>
  <c r="D139" i="15"/>
  <c r="F139" i="15" s="1"/>
  <c r="D139" i="14"/>
  <c r="F139" i="14" s="1"/>
  <c r="D139" i="11"/>
  <c r="F139" i="11" s="1"/>
  <c r="D139" i="9"/>
  <c r="D139" i="8"/>
  <c r="C185" i="15"/>
  <c r="C185" i="14"/>
  <c r="C185" i="11"/>
  <c r="C185" i="9"/>
  <c r="C185" i="8"/>
  <c r="C272" i="15"/>
  <c r="C272" i="14"/>
  <c r="C272" i="11"/>
  <c r="C272" i="9"/>
  <c r="C272" i="8"/>
  <c r="A347" i="15"/>
  <c r="A347" i="14"/>
  <c r="A347" i="11"/>
  <c r="A347" i="9"/>
  <c r="A347" i="8"/>
  <c r="F488" i="1"/>
  <c r="H488" i="1" s="1"/>
  <c r="D488" i="15"/>
  <c r="F488" i="15" s="1"/>
  <c r="D488" i="14"/>
  <c r="F488" i="14" s="1"/>
  <c r="D488" i="11"/>
  <c r="F488" i="11" s="1"/>
  <c r="D488" i="9"/>
  <c r="D488" i="8"/>
  <c r="B546" i="15"/>
  <c r="B546" i="14"/>
  <c r="B546" i="11"/>
  <c r="B546" i="9"/>
  <c r="B546" i="8"/>
  <c r="C593" i="15"/>
  <c r="C593" i="14"/>
  <c r="C593" i="11"/>
  <c r="C593" i="9"/>
  <c r="C593" i="8"/>
  <c r="B692" i="15"/>
  <c r="B692" i="14"/>
  <c r="B692" i="11"/>
  <c r="B692" i="9"/>
  <c r="B692" i="8"/>
  <c r="E823" i="15"/>
  <c r="E823" i="14"/>
  <c r="E823" i="9"/>
  <c r="E823" i="8"/>
  <c r="E823" i="11"/>
  <c r="C36" i="15"/>
  <c r="C36" i="14"/>
  <c r="C36" i="11"/>
  <c r="C36" i="9"/>
  <c r="C36" i="8"/>
  <c r="B16" i="14"/>
  <c r="B16" i="15"/>
  <c r="B16" i="11"/>
  <c r="B16" i="9"/>
  <c r="B16" i="8"/>
  <c r="D13" i="15"/>
  <c r="F13" i="15" s="1"/>
  <c r="D13" i="14"/>
  <c r="F13" i="14" s="1"/>
  <c r="D13" i="11"/>
  <c r="F13" i="11" s="1"/>
  <c r="D13" i="9"/>
  <c r="D13" i="8"/>
  <c r="F13" i="1"/>
  <c r="H13" i="1" s="1"/>
  <c r="F28" i="1"/>
  <c r="I28" i="1" s="1"/>
  <c r="D28" i="15"/>
  <c r="F28" i="15" s="1"/>
  <c r="D28" i="14"/>
  <c r="F28" i="14" s="1"/>
  <c r="D28" i="9"/>
  <c r="D28" i="11"/>
  <c r="F28" i="11" s="1"/>
  <c r="D28" i="8"/>
  <c r="J62" i="1"/>
  <c r="C77" i="14"/>
  <c r="C77" i="15"/>
  <c r="C77" i="11"/>
  <c r="C77" i="8"/>
  <c r="C77" i="9"/>
  <c r="D80" i="15"/>
  <c r="F80" i="15" s="1"/>
  <c r="D80" i="14"/>
  <c r="F80" i="14" s="1"/>
  <c r="D80" i="9"/>
  <c r="D80" i="11"/>
  <c r="F80" i="11" s="1"/>
  <c r="D80" i="8"/>
  <c r="F80" i="1"/>
  <c r="H80" i="1" s="1"/>
  <c r="D96" i="15"/>
  <c r="F96" i="15" s="1"/>
  <c r="D96" i="14"/>
  <c r="F96" i="14" s="1"/>
  <c r="D96" i="11"/>
  <c r="F96" i="11" s="1"/>
  <c r="D96" i="9"/>
  <c r="D96" i="8"/>
  <c r="F99" i="1"/>
  <c r="H99" i="1" s="1"/>
  <c r="D99" i="14"/>
  <c r="F99" i="14" s="1"/>
  <c r="D99" i="11"/>
  <c r="F99" i="11" s="1"/>
  <c r="D99" i="15"/>
  <c r="F99" i="15" s="1"/>
  <c r="D99" i="9"/>
  <c r="D99" i="8"/>
  <c r="E102" i="15"/>
  <c r="E102" i="14"/>
  <c r="E102" i="11"/>
  <c r="E102" i="9"/>
  <c r="E102" i="8"/>
  <c r="A115" i="15"/>
  <c r="A115" i="14"/>
  <c r="A115" i="11"/>
  <c r="A115" i="9"/>
  <c r="A115" i="8"/>
  <c r="B144" i="15"/>
  <c r="B144" i="14"/>
  <c r="B144" i="11"/>
  <c r="B144" i="9"/>
  <c r="B144" i="8"/>
  <c r="D163" i="15"/>
  <c r="F163" i="15" s="1"/>
  <c r="D163" i="11"/>
  <c r="F163" i="11" s="1"/>
  <c r="D163" i="14"/>
  <c r="F163" i="14" s="1"/>
  <c r="D163" i="9"/>
  <c r="D163" i="8"/>
  <c r="F163" i="1"/>
  <c r="G163" i="1" s="1"/>
  <c r="F202" i="1"/>
  <c r="H202" i="1" s="1"/>
  <c r="D202" i="14"/>
  <c r="F202" i="14" s="1"/>
  <c r="D202" i="15"/>
  <c r="F202" i="15" s="1"/>
  <c r="D202" i="11"/>
  <c r="F202" i="11" s="1"/>
  <c r="D202" i="8"/>
  <c r="D202" i="9"/>
  <c r="B214" i="15"/>
  <c r="B214" i="11"/>
  <c r="B214" i="14"/>
  <c r="B214" i="9"/>
  <c r="B214" i="8"/>
  <c r="A223" i="15"/>
  <c r="A223" i="14"/>
  <c r="A223" i="9"/>
  <c r="A223" i="11"/>
  <c r="A223" i="8"/>
  <c r="A226" i="15"/>
  <c r="A226" i="14"/>
  <c r="A226" i="11"/>
  <c r="A226" i="9"/>
  <c r="A226" i="8"/>
  <c r="A229" i="15"/>
  <c r="A229" i="11"/>
  <c r="A229" i="14"/>
  <c r="A229" i="9"/>
  <c r="A229" i="8"/>
  <c r="A246" i="15"/>
  <c r="A246" i="14"/>
  <c r="A246" i="11"/>
  <c r="A246" i="9"/>
  <c r="A246" i="8"/>
  <c r="C255" i="14"/>
  <c r="C255" i="15"/>
  <c r="C255" i="9"/>
  <c r="C255" i="8"/>
  <c r="C255" i="11"/>
  <c r="F257" i="1"/>
  <c r="D257" i="15"/>
  <c r="F257" i="15" s="1"/>
  <c r="D257" i="14"/>
  <c r="F257" i="14" s="1"/>
  <c r="D257" i="11"/>
  <c r="F257" i="11" s="1"/>
  <c r="D257" i="8"/>
  <c r="D257" i="9"/>
  <c r="E260" i="15"/>
  <c r="E260" i="14"/>
  <c r="E260" i="11"/>
  <c r="E260" i="9"/>
  <c r="E260" i="8"/>
  <c r="B269" i="15"/>
  <c r="B269" i="14"/>
  <c r="B269" i="11"/>
  <c r="B269" i="9"/>
  <c r="B269" i="8"/>
  <c r="B277" i="15"/>
  <c r="B277" i="14"/>
  <c r="B277" i="11"/>
  <c r="B277" i="9"/>
  <c r="B277" i="8"/>
  <c r="A283" i="15"/>
  <c r="A283" i="11"/>
  <c r="A283" i="14"/>
  <c r="A283" i="9"/>
  <c r="A283" i="8"/>
  <c r="F294" i="1"/>
  <c r="J294" i="1" s="1"/>
  <c r="D294" i="15"/>
  <c r="F294" i="15" s="1"/>
  <c r="D294" i="14"/>
  <c r="F294" i="14" s="1"/>
  <c r="D294" i="11"/>
  <c r="F294" i="11" s="1"/>
  <c r="D294" i="9"/>
  <c r="D294" i="8"/>
  <c r="E297" i="15"/>
  <c r="E297" i="14"/>
  <c r="E297" i="11"/>
  <c r="E297" i="8"/>
  <c r="E297" i="9"/>
  <c r="A301" i="15"/>
  <c r="A301" i="14"/>
  <c r="A301" i="11"/>
  <c r="A301" i="9"/>
  <c r="A301" i="8"/>
  <c r="F303" i="1"/>
  <c r="G303" i="1" s="1"/>
  <c r="A343" i="14"/>
  <c r="A343" i="15"/>
  <c r="A343" i="11"/>
  <c r="A343" i="9"/>
  <c r="A343" i="8"/>
  <c r="E357" i="15"/>
  <c r="E357" i="14"/>
  <c r="E357" i="11"/>
  <c r="E357" i="9"/>
  <c r="E357" i="8"/>
  <c r="B375" i="15"/>
  <c r="B375" i="14"/>
  <c r="B375" i="11"/>
  <c r="B375" i="9"/>
  <c r="B375" i="8"/>
  <c r="C378" i="15"/>
  <c r="C378" i="14"/>
  <c r="C378" i="11"/>
  <c r="C378" i="9"/>
  <c r="C378" i="8"/>
  <c r="F381" i="1"/>
  <c r="G381" i="1" s="1"/>
  <c r="D381" i="15"/>
  <c r="F381" i="15" s="1"/>
  <c r="D381" i="14"/>
  <c r="F381" i="14" s="1"/>
  <c r="D381" i="11"/>
  <c r="F381" i="11" s="1"/>
  <c r="D381" i="8"/>
  <c r="D381" i="9"/>
  <c r="C384" i="15"/>
  <c r="C384" i="14"/>
  <c r="C384" i="11"/>
  <c r="C384" i="9"/>
  <c r="C384" i="8"/>
  <c r="D387" i="15"/>
  <c r="F387" i="15" s="1"/>
  <c r="D387" i="14"/>
  <c r="F387" i="14" s="1"/>
  <c r="D387" i="11"/>
  <c r="F387" i="11" s="1"/>
  <c r="D387" i="9"/>
  <c r="D387" i="8"/>
  <c r="F387" i="1"/>
  <c r="G387" i="1" s="1"/>
  <c r="F408" i="1"/>
  <c r="G408" i="1" s="1"/>
  <c r="B441" i="15"/>
  <c r="B441" i="14"/>
  <c r="B441" i="11"/>
  <c r="B441" i="9"/>
  <c r="B441" i="8"/>
  <c r="C444" i="15"/>
  <c r="C444" i="14"/>
  <c r="C444" i="11"/>
  <c r="C444" i="9"/>
  <c r="C444" i="8"/>
  <c r="B458" i="15"/>
  <c r="B458" i="14"/>
  <c r="B458" i="9"/>
  <c r="B458" i="8"/>
  <c r="B458" i="11"/>
  <c r="C467" i="15"/>
  <c r="C467" i="14"/>
  <c r="C467" i="11"/>
  <c r="C467" i="9"/>
  <c r="C467" i="8"/>
  <c r="B470" i="14"/>
  <c r="B470" i="15"/>
  <c r="B470" i="11"/>
  <c r="B470" i="9"/>
  <c r="B470" i="8"/>
  <c r="A513" i="14"/>
  <c r="A513" i="15"/>
  <c r="A513" i="11"/>
  <c r="A513" i="9"/>
  <c r="A513" i="8"/>
  <c r="E533" i="15"/>
  <c r="E533" i="14"/>
  <c r="E533" i="11"/>
  <c r="E533" i="8"/>
  <c r="E533" i="9"/>
  <c r="C536" i="14"/>
  <c r="C536" i="15"/>
  <c r="C536" i="9"/>
  <c r="C536" i="11"/>
  <c r="C536" i="8"/>
  <c r="C539" i="15"/>
  <c r="C539" i="14"/>
  <c r="C539" i="11"/>
  <c r="C539" i="9"/>
  <c r="C539" i="8"/>
  <c r="B542" i="15"/>
  <c r="B542" i="14"/>
  <c r="B542" i="11"/>
  <c r="B542" i="9"/>
  <c r="B542" i="8"/>
  <c r="C550" i="15"/>
  <c r="C550" i="14"/>
  <c r="C550" i="11"/>
  <c r="C550" i="8"/>
  <c r="C550" i="9"/>
  <c r="B556" i="15"/>
  <c r="B556" i="14"/>
  <c r="B556" i="11"/>
  <c r="B556" i="9"/>
  <c r="B556" i="8"/>
  <c r="D567" i="14"/>
  <c r="F567" i="14" s="1"/>
  <c r="D567" i="15"/>
  <c r="F567" i="15" s="1"/>
  <c r="D567" i="11"/>
  <c r="F567" i="11" s="1"/>
  <c r="D567" i="8"/>
  <c r="F567" i="8" s="1"/>
  <c r="G567" i="8" s="1"/>
  <c r="D567" i="9"/>
  <c r="F567" i="9" s="1"/>
  <c r="C570" i="15"/>
  <c r="C570" i="14"/>
  <c r="C570" i="11"/>
  <c r="C570" i="9"/>
  <c r="C570" i="8"/>
  <c r="F603" i="1"/>
  <c r="D603" i="15"/>
  <c r="F603" i="15" s="1"/>
  <c r="D603" i="14"/>
  <c r="F603" i="14" s="1"/>
  <c r="D603" i="11"/>
  <c r="F603" i="11" s="1"/>
  <c r="D603" i="9"/>
  <c r="F603" i="9" s="1"/>
  <c r="D603" i="8"/>
  <c r="F603" i="8" s="1"/>
  <c r="G603" i="8" s="1"/>
  <c r="A613" i="14"/>
  <c r="A613" i="11"/>
  <c r="A613" i="15"/>
  <c r="A613" i="9"/>
  <c r="A613" i="8"/>
  <c r="B619" i="15"/>
  <c r="B619" i="14"/>
  <c r="B619" i="11"/>
  <c r="B619" i="9"/>
  <c r="B619" i="8"/>
  <c r="C622" i="15"/>
  <c r="C622" i="14"/>
  <c r="C622" i="11"/>
  <c r="C622" i="9"/>
  <c r="C622" i="8"/>
  <c r="D625" i="14"/>
  <c r="F625" i="14" s="1"/>
  <c r="D625" i="15"/>
  <c r="F625" i="15" s="1"/>
  <c r="D625" i="11"/>
  <c r="F625" i="11" s="1"/>
  <c r="D625" i="8"/>
  <c r="F625" i="8" s="1"/>
  <c r="G625" i="8" s="1"/>
  <c r="D625" i="9"/>
  <c r="F625" i="9" s="1"/>
  <c r="F625" i="1"/>
  <c r="G625" i="1" s="1"/>
  <c r="F645" i="1"/>
  <c r="J645" i="1" s="1"/>
  <c r="D645" i="15"/>
  <c r="F645" i="15" s="1"/>
  <c r="D645" i="14"/>
  <c r="F645" i="14" s="1"/>
  <c r="D645" i="9"/>
  <c r="F645" i="9" s="1"/>
  <c r="D645" i="11"/>
  <c r="F645" i="11" s="1"/>
  <c r="D645" i="8"/>
  <c r="F645" i="8" s="1"/>
  <c r="G645" i="8" s="1"/>
  <c r="F648" i="1"/>
  <c r="I648" i="1" s="1"/>
  <c r="D648" i="14"/>
  <c r="F648" i="14" s="1"/>
  <c r="D648" i="15"/>
  <c r="F648" i="15" s="1"/>
  <c r="D648" i="11"/>
  <c r="F648" i="11" s="1"/>
  <c r="D648" i="8"/>
  <c r="F648" i="8" s="1"/>
  <c r="G648" i="8" s="1"/>
  <c r="D648" i="9"/>
  <c r="F648" i="9" s="1"/>
  <c r="C687" i="14"/>
  <c r="C687" i="15"/>
  <c r="C687" i="11"/>
  <c r="C687" i="9"/>
  <c r="C687" i="8"/>
  <c r="E728" i="15"/>
  <c r="E728" i="14"/>
  <c r="E728" i="11"/>
  <c r="E728" i="9"/>
  <c r="E728" i="8"/>
  <c r="E731" i="15"/>
  <c r="E731" i="11"/>
  <c r="E731" i="14"/>
  <c r="E731" i="8"/>
  <c r="E731" i="9"/>
  <c r="A734" i="15"/>
  <c r="A734" i="14"/>
  <c r="A734" i="11"/>
  <c r="A734" i="8"/>
  <c r="A734" i="9"/>
  <c r="F745" i="1"/>
  <c r="I745" i="1" s="1"/>
  <c r="D745" i="15"/>
  <c r="F745" i="15" s="1"/>
  <c r="D745" i="14"/>
  <c r="F745" i="14" s="1"/>
  <c r="D745" i="11"/>
  <c r="F745" i="11" s="1"/>
  <c r="D745" i="9"/>
  <c r="F745" i="9" s="1"/>
  <c r="D745" i="8"/>
  <c r="F745" i="8" s="1"/>
  <c r="G745" i="8" s="1"/>
  <c r="C754" i="15"/>
  <c r="C754" i="14"/>
  <c r="C754" i="11"/>
  <c r="C754" i="9"/>
  <c r="C754" i="8"/>
  <c r="B757" i="15"/>
  <c r="B757" i="14"/>
  <c r="B757" i="11"/>
  <c r="B757" i="8"/>
  <c r="B757" i="9"/>
  <c r="B760" i="15"/>
  <c r="B760" i="14"/>
  <c r="B760" i="11"/>
  <c r="B760" i="9"/>
  <c r="B760" i="8"/>
  <c r="B763" i="14"/>
  <c r="B763" i="15"/>
  <c r="B763" i="11"/>
  <c r="B763" i="8"/>
  <c r="B763" i="9"/>
  <c r="E792" i="15"/>
  <c r="E792" i="14"/>
  <c r="E792" i="9"/>
  <c r="E792" i="11"/>
  <c r="E792" i="8"/>
  <c r="A813" i="15"/>
  <c r="A813" i="14"/>
  <c r="A813" i="11"/>
  <c r="A813" i="8"/>
  <c r="A813" i="9"/>
  <c r="B816" i="15"/>
  <c r="B816" i="14"/>
  <c r="B816" i="11"/>
  <c r="B816" i="8"/>
  <c r="B816" i="9"/>
  <c r="B819" i="15"/>
  <c r="B819" i="14"/>
  <c r="B819" i="11"/>
  <c r="B819" i="9"/>
  <c r="B819" i="8"/>
  <c r="A831" i="15"/>
  <c r="A831" i="11"/>
  <c r="A831" i="14"/>
  <c r="A831" i="8"/>
  <c r="A831" i="9"/>
  <c r="D842" i="15"/>
  <c r="F842" i="15" s="1"/>
  <c r="D842" i="14"/>
  <c r="F842" i="14" s="1"/>
  <c r="D842" i="8"/>
  <c r="F842" i="8" s="1"/>
  <c r="G842" i="8" s="1"/>
  <c r="D842" i="11"/>
  <c r="F842" i="11" s="1"/>
  <c r="D842" i="9"/>
  <c r="F842" i="9" s="1"/>
  <c r="E66" i="15"/>
  <c r="E66" i="14"/>
  <c r="E66" i="11"/>
  <c r="E66" i="9"/>
  <c r="E66" i="8"/>
  <c r="E108" i="15"/>
  <c r="E108" i="11"/>
  <c r="E108" i="14"/>
  <c r="E108" i="9"/>
  <c r="E108" i="8"/>
  <c r="F166" i="1"/>
  <c r="H166" i="1" s="1"/>
  <c r="D166" i="15"/>
  <c r="F166" i="15" s="1"/>
  <c r="D166" i="14"/>
  <c r="F166" i="14" s="1"/>
  <c r="D166" i="11"/>
  <c r="F166" i="11" s="1"/>
  <c r="D166" i="9"/>
  <c r="D166" i="8"/>
  <c r="B188" i="15"/>
  <c r="B188" i="14"/>
  <c r="B188" i="11"/>
  <c r="B188" i="9"/>
  <c r="B188" i="8"/>
  <c r="E209" i="15"/>
  <c r="E209" i="14"/>
  <c r="E209" i="9"/>
  <c r="E209" i="11"/>
  <c r="E209" i="8"/>
  <c r="B229" i="15"/>
  <c r="B229" i="11"/>
  <c r="B229" i="14"/>
  <c r="B229" i="9"/>
  <c r="B229" i="8"/>
  <c r="F246" i="1"/>
  <c r="G246" i="1" s="1"/>
  <c r="D246" i="15"/>
  <c r="F246" i="15" s="1"/>
  <c r="D246" i="14"/>
  <c r="F246" i="14" s="1"/>
  <c r="D246" i="9"/>
  <c r="D246" i="11"/>
  <c r="F246" i="11" s="1"/>
  <c r="D246" i="8"/>
  <c r="F267" i="1"/>
  <c r="D267" i="15"/>
  <c r="F267" i="15" s="1"/>
  <c r="D267" i="14"/>
  <c r="F267" i="14" s="1"/>
  <c r="D267" i="11"/>
  <c r="F267" i="11" s="1"/>
  <c r="D267" i="9"/>
  <c r="D267" i="8"/>
  <c r="E289" i="15"/>
  <c r="E289" i="9"/>
  <c r="E289" i="11"/>
  <c r="E289" i="14"/>
  <c r="E289" i="8"/>
  <c r="C360" i="15"/>
  <c r="C360" i="14"/>
  <c r="C360" i="11"/>
  <c r="C360" i="9"/>
  <c r="C360" i="8"/>
  <c r="E387" i="15"/>
  <c r="E387" i="14"/>
  <c r="E387" i="11"/>
  <c r="E387" i="9"/>
  <c r="E387" i="8"/>
  <c r="B409" i="15"/>
  <c r="B409" i="14"/>
  <c r="B409" i="11"/>
  <c r="B409" i="9"/>
  <c r="B409" i="8"/>
  <c r="E428" i="15"/>
  <c r="E428" i="14"/>
  <c r="E428" i="11"/>
  <c r="E428" i="9"/>
  <c r="E428" i="8"/>
  <c r="A447" i="15"/>
  <c r="A447" i="14"/>
  <c r="A447" i="11"/>
  <c r="A447" i="8"/>
  <c r="A447" i="9"/>
  <c r="E467" i="15"/>
  <c r="E467" i="14"/>
  <c r="E467" i="11"/>
  <c r="E467" i="9"/>
  <c r="E467" i="8"/>
  <c r="B484" i="15"/>
  <c r="B484" i="11"/>
  <c r="B484" i="8"/>
  <c r="B484" i="9"/>
  <c r="B484" i="14"/>
  <c r="C513" i="14"/>
  <c r="C513" i="15"/>
  <c r="C513" i="11"/>
  <c r="C513" i="9"/>
  <c r="C513" i="8"/>
  <c r="F536" i="1"/>
  <c r="G536" i="1" s="1"/>
  <c r="D536" i="15"/>
  <c r="F536" i="15" s="1"/>
  <c r="D536" i="14"/>
  <c r="F536" i="14" s="1"/>
  <c r="D536" i="9"/>
  <c r="F536" i="9" s="1"/>
  <c r="D536" i="11"/>
  <c r="F536" i="11" s="1"/>
  <c r="D536" i="8"/>
  <c r="F536" i="8" s="1"/>
  <c r="G536" i="8" s="1"/>
  <c r="C556" i="15"/>
  <c r="C556" i="14"/>
  <c r="C556" i="11"/>
  <c r="C556" i="9"/>
  <c r="C556" i="8"/>
  <c r="B578" i="15"/>
  <c r="B578" i="14"/>
  <c r="B578" i="11"/>
  <c r="B578" i="8"/>
  <c r="B578" i="9"/>
  <c r="E613" i="15"/>
  <c r="E613" i="14"/>
  <c r="E613" i="11"/>
  <c r="E613" i="8"/>
  <c r="E613" i="9"/>
  <c r="B636" i="14"/>
  <c r="B636" i="11"/>
  <c r="B636" i="15"/>
  <c r="B636" i="9"/>
  <c r="B636" i="8"/>
  <c r="E653" i="15"/>
  <c r="E653" i="14"/>
  <c r="E653" i="11"/>
  <c r="E653" i="9"/>
  <c r="E653" i="8"/>
  <c r="A676" i="15"/>
  <c r="A676" i="14"/>
  <c r="A676" i="11"/>
  <c r="A676" i="9"/>
  <c r="A676" i="8"/>
  <c r="C711" i="15"/>
  <c r="C711" i="14"/>
  <c r="C711" i="8"/>
  <c r="C711" i="9"/>
  <c r="C711" i="11"/>
  <c r="C734" i="14"/>
  <c r="C734" i="15"/>
  <c r="C734" i="9"/>
  <c r="C734" i="8"/>
  <c r="C734" i="11"/>
  <c r="D752" i="15"/>
  <c r="F752" i="15" s="1"/>
  <c r="D752" i="14"/>
  <c r="F752" i="14" s="1"/>
  <c r="D752" i="11"/>
  <c r="F752" i="11" s="1"/>
  <c r="D752" i="8"/>
  <c r="F752" i="8" s="1"/>
  <c r="G752" i="8" s="1"/>
  <c r="D752" i="9"/>
  <c r="F752" i="9" s="1"/>
  <c r="B799" i="15"/>
  <c r="B799" i="14"/>
  <c r="B799" i="11"/>
  <c r="B799" i="8"/>
  <c r="B799" i="9"/>
  <c r="D819" i="15"/>
  <c r="F819" i="15" s="1"/>
  <c r="D819" i="14"/>
  <c r="F819" i="14" s="1"/>
  <c r="D819" i="11"/>
  <c r="F819" i="11" s="1"/>
  <c r="D819" i="9"/>
  <c r="F819" i="9" s="1"/>
  <c r="D819" i="8"/>
  <c r="F819" i="8" s="1"/>
  <c r="G819" i="8" s="1"/>
  <c r="C837" i="15"/>
  <c r="C837" i="14"/>
  <c r="C837" i="9"/>
  <c r="C837" i="11"/>
  <c r="C837" i="8"/>
  <c r="A244" i="15"/>
  <c r="A244" i="14"/>
  <c r="A244" i="11"/>
  <c r="A244" i="9"/>
  <c r="A244" i="8"/>
  <c r="B287" i="15"/>
  <c r="B287" i="14"/>
  <c r="B287" i="9"/>
  <c r="B287" i="8"/>
  <c r="B287" i="11"/>
  <c r="E311" i="15"/>
  <c r="E311" i="14"/>
  <c r="E311" i="9"/>
  <c r="E311" i="8"/>
  <c r="E311" i="11"/>
  <c r="F360" i="1"/>
  <c r="J360" i="1" s="1"/>
  <c r="D360" i="15"/>
  <c r="F360" i="15" s="1"/>
  <c r="D360" i="14"/>
  <c r="F360" i="14" s="1"/>
  <c r="D360" i="11"/>
  <c r="F360" i="11" s="1"/>
  <c r="D360" i="9"/>
  <c r="D360" i="8"/>
  <c r="E384" i="15"/>
  <c r="E384" i="14"/>
  <c r="E384" i="9"/>
  <c r="E384" i="11"/>
  <c r="E384" i="8"/>
  <c r="B402" i="15"/>
  <c r="B402" i="14"/>
  <c r="B402" i="11"/>
  <c r="B402" i="8"/>
  <c r="B402" i="9"/>
  <c r="C449" i="15"/>
  <c r="C449" i="14"/>
  <c r="C449" i="11"/>
  <c r="C449" i="9"/>
  <c r="C449" i="8"/>
  <c r="A477" i="15"/>
  <c r="A477" i="14"/>
  <c r="A477" i="11"/>
  <c r="A477" i="9"/>
  <c r="A477" i="8"/>
  <c r="F486" i="1"/>
  <c r="J486" i="1" s="1"/>
  <c r="D486" i="15"/>
  <c r="F486" i="15" s="1"/>
  <c r="D486" i="14"/>
  <c r="F486" i="14" s="1"/>
  <c r="D486" i="11"/>
  <c r="F486" i="11" s="1"/>
  <c r="D486" i="9"/>
  <c r="D486" i="8"/>
  <c r="E536" i="15"/>
  <c r="E536" i="14"/>
  <c r="E536" i="9"/>
  <c r="E536" i="11"/>
  <c r="E536" i="8"/>
  <c r="C561" i="15"/>
  <c r="C561" i="14"/>
  <c r="C561" i="11"/>
  <c r="C561" i="8"/>
  <c r="C561" i="9"/>
  <c r="A580" i="15"/>
  <c r="A580" i="14"/>
  <c r="A580" i="11"/>
  <c r="A580" i="9"/>
  <c r="A580" i="8"/>
  <c r="D599" i="15"/>
  <c r="F599" i="15" s="1"/>
  <c r="D599" i="14"/>
  <c r="F599" i="14" s="1"/>
  <c r="D599" i="11"/>
  <c r="F599" i="11" s="1"/>
  <c r="D599" i="9"/>
  <c r="F599" i="9" s="1"/>
  <c r="D599" i="8"/>
  <c r="F599" i="8" s="1"/>
  <c r="G599" i="8" s="1"/>
  <c r="B628" i="15"/>
  <c r="B628" i="14"/>
  <c r="B628" i="11"/>
  <c r="B628" i="8"/>
  <c r="B628" i="9"/>
  <c r="E651" i="15"/>
  <c r="E651" i="14"/>
  <c r="E651" i="11"/>
  <c r="E651" i="9"/>
  <c r="E651" i="8"/>
  <c r="F668" i="1"/>
  <c r="J668" i="1" s="1"/>
  <c r="D668" i="15"/>
  <c r="F668" i="15" s="1"/>
  <c r="D668" i="14"/>
  <c r="F668" i="14" s="1"/>
  <c r="D668" i="8"/>
  <c r="F668" i="8" s="1"/>
  <c r="G668" i="8" s="1"/>
  <c r="D668" i="9"/>
  <c r="F668" i="9" s="1"/>
  <c r="D668" i="11"/>
  <c r="F668" i="11" s="1"/>
  <c r="B703" i="15"/>
  <c r="B703" i="14"/>
  <c r="B703" i="11"/>
  <c r="B703" i="9"/>
  <c r="B703" i="8"/>
  <c r="D722" i="15"/>
  <c r="F722" i="15" s="1"/>
  <c r="D722" i="14"/>
  <c r="F722" i="14" s="1"/>
  <c r="D722" i="11"/>
  <c r="F722" i="11" s="1"/>
  <c r="D722" i="9"/>
  <c r="F722" i="9" s="1"/>
  <c r="D722" i="8"/>
  <c r="F722" i="8" s="1"/>
  <c r="G722" i="8" s="1"/>
  <c r="F742" i="1"/>
  <c r="D742" i="14"/>
  <c r="F742" i="14" s="1"/>
  <c r="D742" i="15"/>
  <c r="F742" i="15" s="1"/>
  <c r="D742" i="11"/>
  <c r="F742" i="11" s="1"/>
  <c r="D742" i="8"/>
  <c r="F742" i="8" s="1"/>
  <c r="G742" i="8" s="1"/>
  <c r="D742" i="9"/>
  <c r="F742" i="9" s="1"/>
  <c r="B766" i="15"/>
  <c r="B766" i="14"/>
  <c r="B766" i="11"/>
  <c r="B766" i="8"/>
  <c r="B766" i="9"/>
  <c r="D840" i="15"/>
  <c r="F840" i="15" s="1"/>
  <c r="D840" i="14"/>
  <c r="F840" i="14" s="1"/>
  <c r="D840" i="11"/>
  <c r="F840" i="11" s="1"/>
  <c r="D840" i="9"/>
  <c r="F840" i="9" s="1"/>
  <c r="D840" i="8"/>
  <c r="F840" i="8" s="1"/>
  <c r="G840" i="8" s="1"/>
  <c r="E16" i="15"/>
  <c r="E16" i="14"/>
  <c r="E16" i="11"/>
  <c r="E16" i="9"/>
  <c r="E16" i="8"/>
  <c r="D29" i="14"/>
  <c r="F29" i="14" s="1"/>
  <c r="D29" i="15"/>
  <c r="F29" i="15" s="1"/>
  <c r="D29" i="11"/>
  <c r="F29" i="11" s="1"/>
  <c r="D29" i="8"/>
  <c r="D29" i="9"/>
  <c r="A45" i="15"/>
  <c r="A45" i="14"/>
  <c r="A45" i="8"/>
  <c r="A45" i="11"/>
  <c r="A45" i="9"/>
  <c r="C54" i="15"/>
  <c r="C54" i="14"/>
  <c r="C54" i="11"/>
  <c r="C54" i="9"/>
  <c r="C54" i="8"/>
  <c r="A93" i="15"/>
  <c r="A93" i="14"/>
  <c r="A93" i="11"/>
  <c r="A93" i="9"/>
  <c r="A93" i="8"/>
  <c r="F113" i="1"/>
  <c r="H113" i="1" s="1"/>
  <c r="D113" i="15"/>
  <c r="F113" i="15" s="1"/>
  <c r="D113" i="14"/>
  <c r="F113" i="14" s="1"/>
  <c r="D113" i="9"/>
  <c r="D113" i="11"/>
  <c r="F113" i="11" s="1"/>
  <c r="D113" i="8"/>
  <c r="C129" i="15"/>
  <c r="C129" i="14"/>
  <c r="C129" i="11"/>
  <c r="C129" i="9"/>
  <c r="C129" i="8"/>
  <c r="E153" i="15"/>
  <c r="E153" i="11"/>
  <c r="E153" i="14"/>
  <c r="E153" i="9"/>
  <c r="E153" i="8"/>
  <c r="A175" i="15"/>
  <c r="A175" i="14"/>
  <c r="A175" i="11"/>
  <c r="A175" i="9"/>
  <c r="A175" i="8"/>
  <c r="F193" i="1"/>
  <c r="I193" i="1" s="1"/>
  <c r="D193" i="15"/>
  <c r="F193" i="15" s="1"/>
  <c r="D193" i="14"/>
  <c r="F193" i="14" s="1"/>
  <c r="D193" i="11"/>
  <c r="F193" i="11" s="1"/>
  <c r="D193" i="9"/>
  <c r="D193" i="8"/>
  <c r="E214" i="15"/>
  <c r="E214" i="14"/>
  <c r="E214" i="11"/>
  <c r="E214" i="9"/>
  <c r="E214" i="8"/>
  <c r="B242" i="15"/>
  <c r="B242" i="14"/>
  <c r="B242" i="9"/>
  <c r="B242" i="8"/>
  <c r="B242" i="11"/>
  <c r="C263" i="15"/>
  <c r="C263" i="14"/>
  <c r="C263" i="9"/>
  <c r="C263" i="11"/>
  <c r="C263" i="8"/>
  <c r="C287" i="15"/>
  <c r="C287" i="14"/>
  <c r="C287" i="11"/>
  <c r="C287" i="9"/>
  <c r="C287" i="8"/>
  <c r="C309" i="15"/>
  <c r="C309" i="14"/>
  <c r="C309" i="11"/>
  <c r="C309" i="9"/>
  <c r="C309" i="8"/>
  <c r="E363" i="15"/>
  <c r="E363" i="14"/>
  <c r="E363" i="9"/>
  <c r="E363" i="11"/>
  <c r="E363" i="8"/>
  <c r="A388" i="15"/>
  <c r="A388" i="14"/>
  <c r="A388" i="11"/>
  <c r="A388" i="9"/>
  <c r="A388" i="8"/>
  <c r="B407" i="15"/>
  <c r="B407" i="14"/>
  <c r="B407" i="11"/>
  <c r="B407" i="8"/>
  <c r="B407" i="9"/>
  <c r="F431" i="1"/>
  <c r="J431" i="1" s="1"/>
  <c r="D431" i="15"/>
  <c r="F431" i="15" s="1"/>
  <c r="D431" i="14"/>
  <c r="F431" i="14" s="1"/>
  <c r="D431" i="9"/>
  <c r="D431" i="11"/>
  <c r="F431" i="11" s="1"/>
  <c r="D431" i="8"/>
  <c r="E456" i="15"/>
  <c r="E456" i="14"/>
  <c r="E456" i="11"/>
  <c r="E456" i="9"/>
  <c r="E456" i="8"/>
  <c r="E470" i="15"/>
  <c r="E470" i="11"/>
  <c r="E470" i="14"/>
  <c r="E470" i="9"/>
  <c r="E470" i="8"/>
  <c r="D484" i="15"/>
  <c r="F484" i="15" s="1"/>
  <c r="D484" i="11"/>
  <c r="F484" i="11" s="1"/>
  <c r="D484" i="9"/>
  <c r="D484" i="14"/>
  <c r="F484" i="14" s="1"/>
  <c r="D484" i="8"/>
  <c r="E526" i="15"/>
  <c r="E526" i="14"/>
  <c r="E526" i="11"/>
  <c r="E526" i="9"/>
  <c r="E526" i="8"/>
  <c r="C544" i="15"/>
  <c r="C544" i="14"/>
  <c r="C544" i="11"/>
  <c r="C544" i="9"/>
  <c r="C544" i="8"/>
  <c r="F561" i="1"/>
  <c r="D561" i="15"/>
  <c r="F561" i="15" s="1"/>
  <c r="D561" i="14"/>
  <c r="F561" i="14" s="1"/>
  <c r="D561" i="11"/>
  <c r="F561" i="11" s="1"/>
  <c r="D561" i="8"/>
  <c r="F561" i="8" s="1"/>
  <c r="G561" i="8" s="1"/>
  <c r="D561" i="9"/>
  <c r="F561" i="9" s="1"/>
  <c r="C573" i="15"/>
  <c r="C573" i="11"/>
  <c r="C573" i="9"/>
  <c r="C573" i="8"/>
  <c r="C573" i="14"/>
  <c r="B580" i="14"/>
  <c r="B580" i="15"/>
  <c r="B580" i="11"/>
  <c r="B580" i="8"/>
  <c r="B580" i="9"/>
  <c r="A608" i="14"/>
  <c r="A608" i="15"/>
  <c r="A608" i="11"/>
  <c r="A608" i="8"/>
  <c r="A608" i="9"/>
  <c r="B623" i="14"/>
  <c r="B623" i="15"/>
  <c r="B623" i="11"/>
  <c r="B623" i="9"/>
  <c r="B623" i="8"/>
  <c r="D636" i="11"/>
  <c r="F636" i="11" s="1"/>
  <c r="D636" i="15"/>
  <c r="F636" i="15" s="1"/>
  <c r="D636" i="14"/>
  <c r="F636" i="14" s="1"/>
  <c r="D636" i="9"/>
  <c r="F636" i="9" s="1"/>
  <c r="D636" i="8"/>
  <c r="F636" i="8" s="1"/>
  <c r="G636" i="8" s="1"/>
  <c r="B663" i="15"/>
  <c r="B663" i="14"/>
  <c r="B663" i="11"/>
  <c r="B663" i="8"/>
  <c r="B663" i="9"/>
  <c r="C676" i="15"/>
  <c r="C676" i="14"/>
  <c r="C676" i="11"/>
  <c r="C676" i="9"/>
  <c r="C676" i="8"/>
  <c r="C703" i="15"/>
  <c r="C703" i="11"/>
  <c r="C703" i="14"/>
  <c r="C703" i="9"/>
  <c r="C703" i="8"/>
  <c r="C717" i="14"/>
  <c r="C717" i="15"/>
  <c r="C717" i="11"/>
  <c r="C717" i="8"/>
  <c r="C717" i="9"/>
  <c r="A727" i="15"/>
  <c r="A727" i="14"/>
  <c r="A727" i="11"/>
  <c r="A727" i="9"/>
  <c r="A727" i="8"/>
  <c r="F752" i="1"/>
  <c r="B771" i="15"/>
  <c r="B771" i="14"/>
  <c r="B771" i="11"/>
  <c r="B771" i="9"/>
  <c r="B771" i="8"/>
  <c r="B785" i="15"/>
  <c r="B785" i="11"/>
  <c r="B785" i="14"/>
  <c r="B785" i="9"/>
  <c r="B785" i="8"/>
  <c r="F799" i="1"/>
  <c r="I799" i="1" s="1"/>
  <c r="D799" i="15"/>
  <c r="F799" i="15" s="1"/>
  <c r="D799" i="14"/>
  <c r="F799" i="14" s="1"/>
  <c r="D799" i="11"/>
  <c r="F799" i="11" s="1"/>
  <c r="D799" i="9"/>
  <c r="F799" i="9" s="1"/>
  <c r="D799" i="8"/>
  <c r="F799" i="8" s="1"/>
  <c r="G799" i="8" s="1"/>
  <c r="B835" i="15"/>
  <c r="B835" i="14"/>
  <c r="B835" i="11"/>
  <c r="B835" i="8"/>
  <c r="B835" i="9"/>
  <c r="E853" i="15"/>
  <c r="E853" i="14"/>
  <c r="E853" i="11"/>
  <c r="E853" i="8"/>
  <c r="E853" i="9"/>
  <c r="A14" i="15"/>
  <c r="A14" i="14"/>
  <c r="A14" i="11"/>
  <c r="A14" i="9"/>
  <c r="A14" i="8"/>
  <c r="B34" i="15"/>
  <c r="B34" i="11"/>
  <c r="B34" i="14"/>
  <c r="B34" i="8"/>
  <c r="B34" i="9"/>
  <c r="E56" i="15"/>
  <c r="E56" i="14"/>
  <c r="E56" i="9"/>
  <c r="E56" i="11"/>
  <c r="E56" i="8"/>
  <c r="B73" i="15"/>
  <c r="B73" i="14"/>
  <c r="B73" i="9"/>
  <c r="B73" i="11"/>
  <c r="B73" i="8"/>
  <c r="C88" i="15"/>
  <c r="C88" i="11"/>
  <c r="C88" i="14"/>
  <c r="C88" i="9"/>
  <c r="C88" i="8"/>
  <c r="A116" i="15"/>
  <c r="A116" i="14"/>
  <c r="A116" i="8"/>
  <c r="A116" i="11"/>
  <c r="A116" i="9"/>
  <c r="F129" i="1"/>
  <c r="H129" i="1" s="1"/>
  <c r="D129" i="15"/>
  <c r="F129" i="15" s="1"/>
  <c r="D129" i="14"/>
  <c r="F129" i="14" s="1"/>
  <c r="D129" i="11"/>
  <c r="F129" i="11" s="1"/>
  <c r="D129" i="9"/>
  <c r="D129" i="8"/>
  <c r="C169" i="15"/>
  <c r="C169" i="14"/>
  <c r="C169" i="11"/>
  <c r="C169" i="9"/>
  <c r="C169" i="8"/>
  <c r="B192" i="15"/>
  <c r="B192" i="14"/>
  <c r="B192" i="11"/>
  <c r="B192" i="8"/>
  <c r="B192" i="9"/>
  <c r="E229" i="15"/>
  <c r="E229" i="14"/>
  <c r="E229" i="11"/>
  <c r="E229" i="9"/>
  <c r="E229" i="8"/>
  <c r="A252" i="15"/>
  <c r="A252" i="11"/>
  <c r="A252" i="14"/>
  <c r="A252" i="9"/>
  <c r="A252" i="8"/>
  <c r="B271" i="14"/>
  <c r="B271" i="15"/>
  <c r="B271" i="9"/>
  <c r="B271" i="11"/>
  <c r="B271" i="8"/>
  <c r="C290" i="15"/>
  <c r="C290" i="14"/>
  <c r="C290" i="11"/>
  <c r="C290" i="8"/>
  <c r="C290" i="9"/>
  <c r="E331" i="15"/>
  <c r="E331" i="14"/>
  <c r="E331" i="11"/>
  <c r="E331" i="9"/>
  <c r="E331" i="8"/>
  <c r="A361" i="15"/>
  <c r="A361" i="14"/>
  <c r="A361" i="11"/>
  <c r="A361" i="9"/>
  <c r="A361" i="8"/>
  <c r="C379" i="15"/>
  <c r="C379" i="14"/>
  <c r="C379" i="11"/>
  <c r="C379" i="8"/>
  <c r="C379" i="9"/>
  <c r="C400" i="15"/>
  <c r="C400" i="14"/>
  <c r="C400" i="11"/>
  <c r="C400" i="9"/>
  <c r="C400" i="8"/>
  <c r="B418" i="15"/>
  <c r="B418" i="14"/>
  <c r="B418" i="11"/>
  <c r="B418" i="9"/>
  <c r="B418" i="8"/>
  <c r="A435" i="15"/>
  <c r="A435" i="14"/>
  <c r="A435" i="11"/>
  <c r="A435" i="9"/>
  <c r="A435" i="8"/>
  <c r="F452" i="1"/>
  <c r="H452" i="1" s="1"/>
  <c r="D452" i="14"/>
  <c r="F452" i="14" s="1"/>
  <c r="D452" i="11"/>
  <c r="F452" i="11" s="1"/>
  <c r="D452" i="15"/>
  <c r="F452" i="15" s="1"/>
  <c r="D452" i="9"/>
  <c r="D452" i="8"/>
  <c r="B468" i="15"/>
  <c r="B468" i="11"/>
  <c r="B468" i="14"/>
  <c r="B468" i="9"/>
  <c r="B468" i="8"/>
  <c r="B489" i="15"/>
  <c r="B489" i="14"/>
  <c r="B489" i="11"/>
  <c r="B489" i="9"/>
  <c r="B489" i="8"/>
  <c r="A509" i="15"/>
  <c r="A509" i="14"/>
  <c r="A509" i="11"/>
  <c r="A509" i="9"/>
  <c r="A509" i="8"/>
  <c r="B524" i="15"/>
  <c r="B524" i="14"/>
  <c r="B524" i="11"/>
  <c r="B524" i="9"/>
  <c r="B524" i="8"/>
  <c r="B537" i="15"/>
  <c r="B537" i="11"/>
  <c r="B537" i="14"/>
  <c r="B537" i="9"/>
  <c r="B537" i="8"/>
  <c r="C547" i="15"/>
  <c r="C547" i="14"/>
  <c r="C547" i="11"/>
  <c r="C547" i="8"/>
  <c r="C547" i="9"/>
  <c r="C583" i="15"/>
  <c r="C583" i="14"/>
  <c r="C583" i="9"/>
  <c r="C583" i="11"/>
  <c r="C583" i="8"/>
  <c r="F599" i="1"/>
  <c r="F620" i="1"/>
  <c r="G620" i="1" s="1"/>
  <c r="D620" i="15"/>
  <c r="F620" i="15" s="1"/>
  <c r="D620" i="11"/>
  <c r="F620" i="11" s="1"/>
  <c r="D620" i="14"/>
  <c r="F620" i="14" s="1"/>
  <c r="D620" i="9"/>
  <c r="F620" i="9" s="1"/>
  <c r="D620" i="8"/>
  <c r="F620" i="8" s="1"/>
  <c r="G620" i="8" s="1"/>
  <c r="A642" i="15"/>
  <c r="A642" i="14"/>
  <c r="A642" i="11"/>
  <c r="A642" i="8"/>
  <c r="A642" i="9"/>
  <c r="C663" i="15"/>
  <c r="C663" i="14"/>
  <c r="C663" i="11"/>
  <c r="C663" i="8"/>
  <c r="C663" i="9"/>
  <c r="F676" i="1"/>
  <c r="G676" i="1" s="1"/>
  <c r="D676" i="15"/>
  <c r="F676" i="15" s="1"/>
  <c r="D676" i="14"/>
  <c r="F676" i="14" s="1"/>
  <c r="D676" i="11"/>
  <c r="F676" i="11" s="1"/>
  <c r="D676" i="9"/>
  <c r="F676" i="9" s="1"/>
  <c r="D676" i="8"/>
  <c r="F676" i="8" s="1"/>
  <c r="G676" i="8" s="1"/>
  <c r="D703" i="15"/>
  <c r="F703" i="15" s="1"/>
  <c r="D703" i="11"/>
  <c r="F703" i="11" s="1"/>
  <c r="D703" i="14"/>
  <c r="F703" i="14" s="1"/>
  <c r="D703" i="9"/>
  <c r="F703" i="9" s="1"/>
  <c r="D703" i="8"/>
  <c r="F703" i="8" s="1"/>
  <c r="G703" i="8" s="1"/>
  <c r="D717" i="15"/>
  <c r="F717" i="15" s="1"/>
  <c r="D717" i="14"/>
  <c r="F717" i="14" s="1"/>
  <c r="D717" i="11"/>
  <c r="F717" i="11" s="1"/>
  <c r="D717" i="8"/>
  <c r="F717" i="8" s="1"/>
  <c r="G717" i="8" s="1"/>
  <c r="D717" i="9"/>
  <c r="F717" i="9" s="1"/>
  <c r="F724" i="1"/>
  <c r="I724" i="1" s="1"/>
  <c r="D724" i="14"/>
  <c r="F724" i="14" s="1"/>
  <c r="D724" i="15"/>
  <c r="F724" i="15" s="1"/>
  <c r="D724" i="9"/>
  <c r="F724" i="9" s="1"/>
  <c r="D724" i="8"/>
  <c r="F724" i="8" s="1"/>
  <c r="G724" i="8" s="1"/>
  <c r="D724" i="11"/>
  <c r="F724" i="11" s="1"/>
  <c r="A740" i="15"/>
  <c r="A740" i="14"/>
  <c r="A740" i="11"/>
  <c r="A740" i="8"/>
  <c r="A740" i="9"/>
  <c r="C771" i="15"/>
  <c r="C771" i="14"/>
  <c r="C771" i="11"/>
  <c r="C771" i="9"/>
  <c r="C771" i="8"/>
  <c r="C785" i="15"/>
  <c r="C785" i="14"/>
  <c r="C785" i="11"/>
  <c r="C785" i="9"/>
  <c r="C785" i="8"/>
  <c r="B793" i="15"/>
  <c r="B793" i="14"/>
  <c r="B793" i="9"/>
  <c r="B793" i="11"/>
  <c r="B793" i="8"/>
  <c r="B802" i="15"/>
  <c r="B802" i="11"/>
  <c r="B802" i="14"/>
  <c r="B802" i="8"/>
  <c r="B802" i="9"/>
  <c r="C809" i="15"/>
  <c r="C809" i="14"/>
  <c r="C809" i="11"/>
  <c r="C809" i="9"/>
  <c r="C809" i="8"/>
  <c r="B817" i="15"/>
  <c r="B817" i="14"/>
  <c r="B817" i="11"/>
  <c r="B817" i="8"/>
  <c r="B817" i="9"/>
  <c r="C835" i="15"/>
  <c r="C835" i="14"/>
  <c r="C835" i="11"/>
  <c r="C835" i="8"/>
  <c r="C835" i="9"/>
  <c r="A846" i="15"/>
  <c r="A846" i="14"/>
  <c r="A846" i="8"/>
  <c r="A846" i="11"/>
  <c r="A846" i="9"/>
  <c r="B851" i="15"/>
  <c r="B851" i="14"/>
  <c r="B851" i="11"/>
  <c r="B851" i="9"/>
  <c r="B851" i="8"/>
  <c r="B10" i="15"/>
  <c r="B10" i="14"/>
  <c r="B10" i="9"/>
  <c r="B10" i="11"/>
  <c r="B10" i="8"/>
  <c r="F12" i="1"/>
  <c r="D12" i="15"/>
  <c r="F12" i="15" s="1"/>
  <c r="D12" i="14"/>
  <c r="F12" i="14" s="1"/>
  <c r="D12" i="9"/>
  <c r="D12" i="11"/>
  <c r="F12" i="11" s="1"/>
  <c r="D12" i="8"/>
  <c r="B14" i="14"/>
  <c r="B14" i="15"/>
  <c r="B14" i="11"/>
  <c r="B14" i="9"/>
  <c r="B14" i="8"/>
  <c r="A17" i="15"/>
  <c r="A17" i="14"/>
  <c r="A17" i="11"/>
  <c r="A17" i="9"/>
  <c r="A17" i="8"/>
  <c r="C19" i="15"/>
  <c r="C19" i="14"/>
  <c r="C19" i="11"/>
  <c r="C19" i="9"/>
  <c r="C19" i="8"/>
  <c r="C22" i="15"/>
  <c r="C22" i="14"/>
  <c r="C22" i="11"/>
  <c r="C22" i="8"/>
  <c r="C22" i="9"/>
  <c r="A27" i="15"/>
  <c r="A27" i="14"/>
  <c r="A27" i="11"/>
  <c r="A27" i="9"/>
  <c r="A27" i="8"/>
  <c r="F29" i="1"/>
  <c r="G29" i="1" s="1"/>
  <c r="A32" i="15"/>
  <c r="A32" i="14"/>
  <c r="A32" i="9"/>
  <c r="A32" i="11"/>
  <c r="A32" i="8"/>
  <c r="C37" i="15"/>
  <c r="C37" i="14"/>
  <c r="C37" i="9"/>
  <c r="C37" i="8"/>
  <c r="C37" i="11"/>
  <c r="F88" i="1"/>
  <c r="G88" i="1" s="1"/>
  <c r="D88" i="15"/>
  <c r="F88" i="15" s="1"/>
  <c r="D88" i="11"/>
  <c r="F88" i="11" s="1"/>
  <c r="D88" i="14"/>
  <c r="F88" i="14" s="1"/>
  <c r="D88" i="9"/>
  <c r="D88" i="8"/>
  <c r="C91" i="15"/>
  <c r="C91" i="14"/>
  <c r="C91" i="11"/>
  <c r="C91" i="9"/>
  <c r="C91" i="8"/>
  <c r="C93" i="15"/>
  <c r="C93" i="11"/>
  <c r="C93" i="9"/>
  <c r="C93" i="14"/>
  <c r="C93" i="8"/>
  <c r="D95" i="15"/>
  <c r="F95" i="15" s="1"/>
  <c r="D95" i="11"/>
  <c r="F95" i="11" s="1"/>
  <c r="D95" i="14"/>
  <c r="F95" i="14" s="1"/>
  <c r="D95" i="9"/>
  <c r="D95" i="8"/>
  <c r="A98" i="15"/>
  <c r="A98" i="14"/>
  <c r="A98" i="9"/>
  <c r="A98" i="11"/>
  <c r="A98" i="8"/>
  <c r="A101" i="15"/>
  <c r="A101" i="11"/>
  <c r="A101" i="14"/>
  <c r="A101" i="9"/>
  <c r="A101" i="8"/>
  <c r="A104" i="15"/>
  <c r="A104" i="14"/>
  <c r="A104" i="11"/>
  <c r="A104" i="9"/>
  <c r="A104" i="8"/>
  <c r="C106" i="15"/>
  <c r="C106" i="14"/>
  <c r="C106" i="11"/>
  <c r="C106" i="9"/>
  <c r="C106" i="8"/>
  <c r="A111" i="14"/>
  <c r="A111" i="11"/>
  <c r="A111" i="15"/>
  <c r="A111" i="8"/>
  <c r="A111" i="9"/>
  <c r="A114" i="15"/>
  <c r="A114" i="14"/>
  <c r="A114" i="11"/>
  <c r="A114" i="8"/>
  <c r="A114" i="9"/>
  <c r="B116" i="15"/>
  <c r="B116" i="14"/>
  <c r="B116" i="8"/>
  <c r="B116" i="11"/>
  <c r="B116" i="9"/>
  <c r="C121" i="15"/>
  <c r="C121" i="14"/>
  <c r="C121" i="11"/>
  <c r="C121" i="9"/>
  <c r="C121" i="8"/>
  <c r="C123" i="15"/>
  <c r="C123" i="14"/>
  <c r="C123" i="11"/>
  <c r="C123" i="9"/>
  <c r="C123" i="8"/>
  <c r="D126" i="15"/>
  <c r="F126" i="15" s="1"/>
  <c r="D126" i="14"/>
  <c r="F126" i="14" s="1"/>
  <c r="D126" i="9"/>
  <c r="D126" i="11"/>
  <c r="F126" i="11" s="1"/>
  <c r="D126" i="8"/>
  <c r="E129" i="15"/>
  <c r="E129" i="14"/>
  <c r="E129" i="9"/>
  <c r="E129" i="11"/>
  <c r="E129" i="8"/>
  <c r="E132" i="15"/>
  <c r="E132" i="14"/>
  <c r="E132" i="11"/>
  <c r="E132" i="9"/>
  <c r="E132" i="8"/>
  <c r="C135" i="14"/>
  <c r="C135" i="11"/>
  <c r="C135" i="9"/>
  <c r="C135" i="15"/>
  <c r="C135" i="8"/>
  <c r="B138" i="15"/>
  <c r="B138" i="11"/>
  <c r="B138" i="14"/>
  <c r="B138" i="9"/>
  <c r="B138" i="8"/>
  <c r="E140" i="15"/>
  <c r="E140" i="11"/>
  <c r="E140" i="14"/>
  <c r="E140" i="9"/>
  <c r="E140" i="8"/>
  <c r="B145" i="15"/>
  <c r="B145" i="14"/>
  <c r="B145" i="9"/>
  <c r="B145" i="11"/>
  <c r="B145" i="8"/>
  <c r="D147" i="15"/>
  <c r="F147" i="15" s="1"/>
  <c r="D147" i="14"/>
  <c r="F147" i="14" s="1"/>
  <c r="D147" i="9"/>
  <c r="D147" i="11"/>
  <c r="F147" i="11" s="1"/>
  <c r="D147" i="8"/>
  <c r="E149" i="15"/>
  <c r="E149" i="9"/>
  <c r="E149" i="14"/>
  <c r="E149" i="8"/>
  <c r="E149" i="11"/>
  <c r="B154" i="15"/>
  <c r="B154" i="14"/>
  <c r="B154" i="11"/>
  <c r="B154" i="8"/>
  <c r="B154" i="9"/>
  <c r="A157" i="15"/>
  <c r="A157" i="14"/>
  <c r="A157" i="11"/>
  <c r="A157" i="9"/>
  <c r="A157" i="8"/>
  <c r="F159" i="1"/>
  <c r="G159" i="1" s="1"/>
  <c r="D159" i="15"/>
  <c r="F159" i="15" s="1"/>
  <c r="D159" i="14"/>
  <c r="F159" i="14" s="1"/>
  <c r="D159" i="11"/>
  <c r="F159" i="11" s="1"/>
  <c r="D159" i="8"/>
  <c r="D159" i="9"/>
  <c r="C164" i="15"/>
  <c r="C164" i="11"/>
  <c r="C164" i="14"/>
  <c r="C164" i="9"/>
  <c r="C164" i="8"/>
  <c r="C172" i="15"/>
  <c r="C172" i="11"/>
  <c r="C172" i="14"/>
  <c r="C172" i="8"/>
  <c r="C172" i="9"/>
  <c r="C175" i="15"/>
  <c r="C175" i="14"/>
  <c r="C175" i="11"/>
  <c r="C175" i="9"/>
  <c r="C175" i="8"/>
  <c r="C180" i="15"/>
  <c r="C180" i="14"/>
  <c r="C180" i="11"/>
  <c r="C180" i="8"/>
  <c r="C180" i="9"/>
  <c r="C183" i="15"/>
  <c r="C183" i="14"/>
  <c r="C183" i="11"/>
  <c r="C183" i="9"/>
  <c r="C183" i="8"/>
  <c r="C186" i="15"/>
  <c r="C186" i="11"/>
  <c r="C186" i="9"/>
  <c r="C186" i="14"/>
  <c r="C186" i="8"/>
  <c r="A189" i="15"/>
  <c r="A189" i="14"/>
  <c r="A189" i="11"/>
  <c r="A189" i="9"/>
  <c r="A189" i="8"/>
  <c r="C192" i="15"/>
  <c r="C192" i="11"/>
  <c r="C192" i="14"/>
  <c r="C192" i="8"/>
  <c r="C192" i="9"/>
  <c r="F198" i="1"/>
  <c r="I198" i="1" s="1"/>
  <c r="D198" i="15"/>
  <c r="F198" i="15" s="1"/>
  <c r="D198" i="14"/>
  <c r="F198" i="14" s="1"/>
  <c r="D198" i="11"/>
  <c r="F198" i="11" s="1"/>
  <c r="D198" i="9"/>
  <c r="D198" i="8"/>
  <c r="E203" i="15"/>
  <c r="E203" i="14"/>
  <c r="E203" i="9"/>
  <c r="E203" i="11"/>
  <c r="E203" i="8"/>
  <c r="C206" i="15"/>
  <c r="C206" i="11"/>
  <c r="C206" i="14"/>
  <c r="C206" i="8"/>
  <c r="C206" i="9"/>
  <c r="F210" i="1"/>
  <c r="J210" i="1" s="1"/>
  <c r="D210" i="15"/>
  <c r="F210" i="15" s="1"/>
  <c r="D210" i="14"/>
  <c r="F210" i="14" s="1"/>
  <c r="D210" i="11"/>
  <c r="F210" i="11" s="1"/>
  <c r="D210" i="9"/>
  <c r="D210" i="8"/>
  <c r="A213" i="15"/>
  <c r="A213" i="14"/>
  <c r="A213" i="11"/>
  <c r="A213" i="9"/>
  <c r="A213" i="8"/>
  <c r="B215" i="15"/>
  <c r="B215" i="14"/>
  <c r="B215" i="11"/>
  <c r="B215" i="8"/>
  <c r="B215" i="9"/>
  <c r="E217" i="14"/>
  <c r="E217" i="15"/>
  <c r="E217" i="11"/>
  <c r="E217" i="9"/>
  <c r="E217" i="8"/>
  <c r="A222" i="15"/>
  <c r="A222" i="14"/>
  <c r="A222" i="11"/>
  <c r="A222" i="8"/>
  <c r="A222" i="9"/>
  <c r="F224" i="1"/>
  <c r="J224" i="1" s="1"/>
  <c r="D224" i="15"/>
  <c r="F224" i="15" s="1"/>
  <c r="D224" i="14"/>
  <c r="F224" i="14" s="1"/>
  <c r="D224" i="11"/>
  <c r="F224" i="11" s="1"/>
  <c r="D224" i="8"/>
  <c r="D224" i="9"/>
  <c r="A227" i="15"/>
  <c r="A227" i="14"/>
  <c r="A227" i="11"/>
  <c r="A227" i="9"/>
  <c r="A227" i="8"/>
  <c r="E232" i="15"/>
  <c r="E232" i="14"/>
  <c r="E232" i="11"/>
  <c r="E232" i="9"/>
  <c r="E232" i="8"/>
  <c r="B235" i="15"/>
  <c r="B235" i="14"/>
  <c r="B235" i="11"/>
  <c r="B235" i="9"/>
  <c r="B235" i="8"/>
  <c r="E237" i="15"/>
  <c r="E237" i="14"/>
  <c r="E237" i="11"/>
  <c r="E237" i="9"/>
  <c r="E237" i="8"/>
  <c r="A240" i="15"/>
  <c r="A240" i="14"/>
  <c r="A240" i="11"/>
  <c r="A240" i="8"/>
  <c r="A240" i="9"/>
  <c r="F242" i="1"/>
  <c r="I242" i="1" s="1"/>
  <c r="D242" i="15"/>
  <c r="F242" i="15" s="1"/>
  <c r="D242" i="14"/>
  <c r="F242" i="14" s="1"/>
  <c r="D242" i="9"/>
  <c r="D242" i="8"/>
  <c r="D242" i="11"/>
  <c r="F242" i="11" s="1"/>
  <c r="F244" i="1"/>
  <c r="G244" i="1" s="1"/>
  <c r="D244" i="15"/>
  <c r="F244" i="15" s="1"/>
  <c r="D244" i="14"/>
  <c r="F244" i="14" s="1"/>
  <c r="D244" i="11"/>
  <c r="F244" i="11" s="1"/>
  <c r="D244" i="9"/>
  <c r="D244" i="8"/>
  <c r="E249" i="15"/>
  <c r="E249" i="14"/>
  <c r="E249" i="11"/>
  <c r="E249" i="9"/>
  <c r="E249" i="8"/>
  <c r="B252" i="15"/>
  <c r="B252" i="14"/>
  <c r="B252" i="11"/>
  <c r="B252" i="9"/>
  <c r="B252" i="8"/>
  <c r="D256" i="14"/>
  <c r="F256" i="14" s="1"/>
  <c r="D256" i="11"/>
  <c r="F256" i="11" s="1"/>
  <c r="D256" i="15"/>
  <c r="F256" i="15" s="1"/>
  <c r="D256" i="8"/>
  <c r="D256" i="9"/>
  <c r="F258" i="1"/>
  <c r="J258" i="1" s="1"/>
  <c r="D258" i="15"/>
  <c r="F258" i="15" s="1"/>
  <c r="D258" i="14"/>
  <c r="F258" i="14" s="1"/>
  <c r="D258" i="9"/>
  <c r="D258" i="11"/>
  <c r="F258" i="11" s="1"/>
  <c r="D258" i="8"/>
  <c r="A261" i="15"/>
  <c r="A261" i="14"/>
  <c r="A261" i="11"/>
  <c r="A261" i="9"/>
  <c r="A261" i="8"/>
  <c r="E263" i="15"/>
  <c r="E263" i="9"/>
  <c r="E263" i="14"/>
  <c r="E263" i="8"/>
  <c r="E263" i="11"/>
  <c r="A266" i="15"/>
  <c r="A266" i="14"/>
  <c r="A266" i="9"/>
  <c r="A266" i="11"/>
  <c r="A266" i="8"/>
  <c r="C271" i="9"/>
  <c r="C271" i="15"/>
  <c r="C271" i="14"/>
  <c r="C271" i="11"/>
  <c r="C271" i="8"/>
  <c r="F275" i="1"/>
  <c r="J275" i="1" s="1"/>
  <c r="D275" i="15"/>
  <c r="F275" i="15" s="1"/>
  <c r="D275" i="11"/>
  <c r="F275" i="11" s="1"/>
  <c r="D275" i="14"/>
  <c r="F275" i="14" s="1"/>
  <c r="D275" i="9"/>
  <c r="D275" i="8"/>
  <c r="D278" i="15"/>
  <c r="F278" i="15" s="1"/>
  <c r="D278" i="14"/>
  <c r="F278" i="14" s="1"/>
  <c r="D278" i="11"/>
  <c r="F278" i="11" s="1"/>
  <c r="D278" i="9"/>
  <c r="D278" i="8"/>
  <c r="A281" i="15"/>
  <c r="A281" i="14"/>
  <c r="A281" i="11"/>
  <c r="A281" i="9"/>
  <c r="A281" i="8"/>
  <c r="B284" i="15"/>
  <c r="B284" i="14"/>
  <c r="B284" i="9"/>
  <c r="B284" i="11"/>
  <c r="B284" i="8"/>
  <c r="A286" i="15"/>
  <c r="A286" i="14"/>
  <c r="A286" i="11"/>
  <c r="A286" i="9"/>
  <c r="A286" i="8"/>
  <c r="E287" i="15"/>
  <c r="E287" i="14"/>
  <c r="E287" i="11"/>
  <c r="E287" i="9"/>
  <c r="E287" i="8"/>
  <c r="D290" i="15"/>
  <c r="F290" i="15" s="1"/>
  <c r="D290" i="14"/>
  <c r="F290" i="14" s="1"/>
  <c r="D290" i="11"/>
  <c r="F290" i="11" s="1"/>
  <c r="D290" i="8"/>
  <c r="D290" i="9"/>
  <c r="C293" i="15"/>
  <c r="C293" i="14"/>
  <c r="C293" i="11"/>
  <c r="C293" i="8"/>
  <c r="C293" i="9"/>
  <c r="A296" i="15"/>
  <c r="A296" i="14"/>
  <c r="A296" i="11"/>
  <c r="A296" i="9"/>
  <c r="A296" i="8"/>
  <c r="A299" i="15"/>
  <c r="A299" i="11"/>
  <c r="A299" i="9"/>
  <c r="A299" i="8"/>
  <c r="A299" i="14"/>
  <c r="B302" i="14"/>
  <c r="B302" i="15"/>
  <c r="B302" i="11"/>
  <c r="B302" i="9"/>
  <c r="B302" i="8"/>
  <c r="A305" i="15"/>
  <c r="A305" i="14"/>
  <c r="A305" i="11"/>
  <c r="A305" i="8"/>
  <c r="A305" i="9"/>
  <c r="C307" i="15"/>
  <c r="C307" i="14"/>
  <c r="C307" i="9"/>
  <c r="C307" i="11"/>
  <c r="C307" i="8"/>
  <c r="E309" i="15"/>
  <c r="E309" i="14"/>
  <c r="E309" i="9"/>
  <c r="E309" i="11"/>
  <c r="E309" i="8"/>
  <c r="A312" i="15"/>
  <c r="A312" i="14"/>
  <c r="A312" i="9"/>
  <c r="A312" i="8"/>
  <c r="A312" i="11"/>
  <c r="F314" i="1"/>
  <c r="H314" i="1" s="1"/>
  <c r="D314" i="15"/>
  <c r="F314" i="15" s="1"/>
  <c r="D314" i="14"/>
  <c r="F314" i="14" s="1"/>
  <c r="D314" i="11"/>
  <c r="F314" i="11" s="1"/>
  <c r="D314" i="9"/>
  <c r="D314" i="8"/>
  <c r="A317" i="15"/>
  <c r="A317" i="14"/>
  <c r="A317" i="11"/>
  <c r="A317" i="9"/>
  <c r="A317" i="8"/>
  <c r="A319" i="14"/>
  <c r="A319" i="15"/>
  <c r="A319" i="11"/>
  <c r="A319" i="9"/>
  <c r="A319" i="8"/>
  <c r="E322" i="15"/>
  <c r="E322" i="14"/>
  <c r="E322" i="11"/>
  <c r="E322" i="8"/>
  <c r="E322" i="9"/>
  <c r="E326" i="15"/>
  <c r="E326" i="14"/>
  <c r="E326" i="11"/>
  <c r="E326" i="9"/>
  <c r="E326" i="8"/>
  <c r="B329" i="14"/>
  <c r="B329" i="15"/>
  <c r="B329" i="11"/>
  <c r="B329" i="8"/>
  <c r="B329" i="9"/>
  <c r="D333" i="15"/>
  <c r="F333" i="15" s="1"/>
  <c r="D333" i="14"/>
  <c r="F333" i="14" s="1"/>
  <c r="D333" i="9"/>
  <c r="D333" i="11"/>
  <c r="F333" i="11" s="1"/>
  <c r="D333" i="8"/>
  <c r="E338" i="15"/>
  <c r="E338" i="14"/>
  <c r="E338" i="11"/>
  <c r="E338" i="9"/>
  <c r="E338" i="8"/>
  <c r="A342" i="15"/>
  <c r="A342" i="14"/>
  <c r="A342" i="11"/>
  <c r="A342" i="8"/>
  <c r="A342" i="9"/>
  <c r="A345" i="15"/>
  <c r="A345" i="14"/>
  <c r="A345" i="11"/>
  <c r="A345" i="9"/>
  <c r="A345" i="8"/>
  <c r="C353" i="15"/>
  <c r="C353" i="14"/>
  <c r="C353" i="11"/>
  <c r="C353" i="8"/>
  <c r="C353" i="9"/>
  <c r="D358" i="15"/>
  <c r="F358" i="15" s="1"/>
  <c r="D358" i="14"/>
  <c r="F358" i="14" s="1"/>
  <c r="D358" i="11"/>
  <c r="F358" i="11" s="1"/>
  <c r="D358" i="9"/>
  <c r="D358" i="8"/>
  <c r="B361" i="15"/>
  <c r="B361" i="14"/>
  <c r="B361" i="11"/>
  <c r="B361" i="9"/>
  <c r="B361" i="8"/>
  <c r="B364" i="15"/>
  <c r="B364" i="14"/>
  <c r="B364" i="11"/>
  <c r="B364" i="9"/>
  <c r="B364" i="8"/>
  <c r="A367" i="15"/>
  <c r="A367" i="14"/>
  <c r="A367" i="11"/>
  <c r="A367" i="8"/>
  <c r="A367" i="9"/>
  <c r="A370" i="14"/>
  <c r="A370" i="15"/>
  <c r="A370" i="11"/>
  <c r="A370" i="9"/>
  <c r="A370" i="8"/>
  <c r="B372" i="14"/>
  <c r="B372" i="11"/>
  <c r="B372" i="15"/>
  <c r="B372" i="8"/>
  <c r="B372" i="9"/>
  <c r="F374" i="1"/>
  <c r="D374" i="15"/>
  <c r="F374" i="15" s="1"/>
  <c r="D374" i="14"/>
  <c r="F374" i="14" s="1"/>
  <c r="D374" i="11"/>
  <c r="F374" i="11" s="1"/>
  <c r="D374" i="9"/>
  <c r="D374" i="8"/>
  <c r="E376" i="15"/>
  <c r="E376" i="14"/>
  <c r="E376" i="11"/>
  <c r="E376" i="8"/>
  <c r="E376" i="9"/>
  <c r="F379" i="1"/>
  <c r="J379" i="1" s="1"/>
  <c r="D379" i="15"/>
  <c r="F379" i="15" s="1"/>
  <c r="D379" i="14"/>
  <c r="F379" i="14" s="1"/>
  <c r="D379" i="11"/>
  <c r="F379" i="11" s="1"/>
  <c r="D379" i="9"/>
  <c r="D379" i="8"/>
  <c r="D382" i="15"/>
  <c r="F382" i="15" s="1"/>
  <c r="D382" i="14"/>
  <c r="F382" i="14" s="1"/>
  <c r="D382" i="11"/>
  <c r="F382" i="11" s="1"/>
  <c r="D382" i="9"/>
  <c r="D382" i="8"/>
  <c r="C385" i="15"/>
  <c r="C385" i="11"/>
  <c r="C385" i="14"/>
  <c r="C385" i="9"/>
  <c r="C385" i="8"/>
  <c r="C388" i="15"/>
  <c r="C388" i="11"/>
  <c r="C388" i="14"/>
  <c r="C388" i="8"/>
  <c r="C388" i="9"/>
  <c r="C390" i="15"/>
  <c r="C390" i="14"/>
  <c r="C390" i="11"/>
  <c r="C390" i="8"/>
  <c r="C390" i="9"/>
  <c r="E392" i="15"/>
  <c r="E392" i="14"/>
  <c r="E392" i="11"/>
  <c r="E392" i="9"/>
  <c r="E392" i="8"/>
  <c r="A398" i="15"/>
  <c r="A398" i="11"/>
  <c r="A398" i="14"/>
  <c r="A398" i="9"/>
  <c r="A398" i="8"/>
  <c r="F400" i="1"/>
  <c r="G400" i="1" s="1"/>
  <c r="D400" i="15"/>
  <c r="F400" i="15" s="1"/>
  <c r="D400" i="14"/>
  <c r="F400" i="14" s="1"/>
  <c r="D400" i="11"/>
  <c r="F400" i="11" s="1"/>
  <c r="D400" i="9"/>
  <c r="D400" i="8"/>
  <c r="E402" i="14"/>
  <c r="E402" i="15"/>
  <c r="E402" i="11"/>
  <c r="E402" i="9"/>
  <c r="E402" i="8"/>
  <c r="E404" i="15"/>
  <c r="E404" i="14"/>
  <c r="E404" i="11"/>
  <c r="E404" i="9"/>
  <c r="E404" i="8"/>
  <c r="F407" i="1"/>
  <c r="G407" i="1" s="1"/>
  <c r="D407" i="15"/>
  <c r="F407" i="15" s="1"/>
  <c r="D407" i="14"/>
  <c r="F407" i="14" s="1"/>
  <c r="D407" i="11"/>
  <c r="F407" i="11" s="1"/>
  <c r="D407" i="9"/>
  <c r="D407" i="8"/>
  <c r="C412" i="15"/>
  <c r="C412" i="14"/>
  <c r="C412" i="11"/>
  <c r="C412" i="8"/>
  <c r="C412" i="9"/>
  <c r="C415" i="15"/>
  <c r="C415" i="14"/>
  <c r="C415" i="11"/>
  <c r="C415" i="8"/>
  <c r="C415" i="9"/>
  <c r="C418" i="15"/>
  <c r="C418" i="14"/>
  <c r="C418" i="11"/>
  <c r="C418" i="9"/>
  <c r="C418" i="8"/>
  <c r="C422" i="14"/>
  <c r="C422" i="11"/>
  <c r="C422" i="15"/>
  <c r="C422" i="9"/>
  <c r="C422" i="8"/>
  <c r="A427" i="14"/>
  <c r="A427" i="11"/>
  <c r="A427" i="9"/>
  <c r="A427" i="8"/>
  <c r="A427" i="15"/>
  <c r="F429" i="1"/>
  <c r="I429" i="1" s="1"/>
  <c r="D429" i="15"/>
  <c r="F429" i="15" s="1"/>
  <c r="D429" i="14"/>
  <c r="F429" i="14" s="1"/>
  <c r="D429" i="8"/>
  <c r="D429" i="9"/>
  <c r="D429" i="11"/>
  <c r="F429" i="11" s="1"/>
  <c r="A432" i="15"/>
  <c r="A432" i="14"/>
  <c r="A432" i="8"/>
  <c r="A432" i="11"/>
  <c r="A432" i="9"/>
  <c r="B435" i="14"/>
  <c r="B435" i="15"/>
  <c r="B435" i="8"/>
  <c r="B435" i="11"/>
  <c r="B435" i="9"/>
  <c r="B442" i="15"/>
  <c r="B442" i="14"/>
  <c r="B442" i="11"/>
  <c r="B442" i="8"/>
  <c r="B442" i="9"/>
  <c r="C445" i="14"/>
  <c r="C445" i="15"/>
  <c r="C445" i="11"/>
  <c r="C445" i="9"/>
  <c r="C445" i="8"/>
  <c r="E447" i="15"/>
  <c r="E447" i="14"/>
  <c r="E447" i="11"/>
  <c r="E447" i="9"/>
  <c r="E447" i="8"/>
  <c r="A450" i="15"/>
  <c r="A450" i="14"/>
  <c r="A450" i="11"/>
  <c r="A450" i="9"/>
  <c r="A450" i="8"/>
  <c r="E452" i="15"/>
  <c r="E452" i="11"/>
  <c r="E452" i="14"/>
  <c r="E452" i="8"/>
  <c r="E452" i="9"/>
  <c r="A455" i="15"/>
  <c r="A455" i="14"/>
  <c r="A455" i="11"/>
  <c r="A455" i="9"/>
  <c r="A455" i="8"/>
  <c r="E463" i="15"/>
  <c r="E463" i="11"/>
  <c r="E463" i="9"/>
  <c r="E463" i="14"/>
  <c r="E463" i="8"/>
  <c r="A466" i="15"/>
  <c r="A466" i="14"/>
  <c r="A466" i="11"/>
  <c r="A466" i="9"/>
  <c r="A466" i="8"/>
  <c r="C468" i="15"/>
  <c r="C468" i="11"/>
  <c r="C468" i="14"/>
  <c r="C468" i="8"/>
  <c r="C468" i="9"/>
  <c r="E473" i="15"/>
  <c r="E473" i="11"/>
  <c r="E473" i="14"/>
  <c r="E473" i="8"/>
  <c r="E473" i="9"/>
  <c r="A475" i="14"/>
  <c r="A475" i="11"/>
  <c r="A475" i="15"/>
  <c r="A475" i="9"/>
  <c r="A475" i="8"/>
  <c r="D477" i="15"/>
  <c r="F477" i="15" s="1"/>
  <c r="D477" i="14"/>
  <c r="F477" i="14" s="1"/>
  <c r="D477" i="8"/>
  <c r="D477" i="11"/>
  <c r="F477" i="11" s="1"/>
  <c r="D477" i="9"/>
  <c r="C480" i="15"/>
  <c r="C480" i="14"/>
  <c r="C480" i="11"/>
  <c r="C480" i="9"/>
  <c r="C480" i="8"/>
  <c r="B483" i="14"/>
  <c r="B483" i="15"/>
  <c r="B483" i="11"/>
  <c r="B483" i="8"/>
  <c r="B483" i="9"/>
  <c r="F484" i="1"/>
  <c r="I484" i="1" s="1"/>
  <c r="C489" i="15"/>
  <c r="C489" i="14"/>
  <c r="C489" i="11"/>
  <c r="C489" i="9"/>
  <c r="C489" i="8"/>
  <c r="A491" i="11"/>
  <c r="A491" i="14"/>
  <c r="A491" i="15"/>
  <c r="A491" i="9"/>
  <c r="A491" i="8"/>
  <c r="C493" i="15"/>
  <c r="C493" i="14"/>
  <c r="C493" i="11"/>
  <c r="C493" i="9"/>
  <c r="C493" i="8"/>
  <c r="F496" i="1"/>
  <c r="J496" i="1" s="1"/>
  <c r="D496" i="14"/>
  <c r="F496" i="14" s="1"/>
  <c r="D496" i="15"/>
  <c r="F496" i="15" s="1"/>
  <c r="D496" i="11"/>
  <c r="F496" i="11" s="1"/>
  <c r="D496" i="9"/>
  <c r="D496" i="8"/>
  <c r="D501" i="15"/>
  <c r="F501" i="15" s="1"/>
  <c r="D501" i="14"/>
  <c r="F501" i="14" s="1"/>
  <c r="D501" i="11"/>
  <c r="F501" i="11" s="1"/>
  <c r="D501" i="9"/>
  <c r="D501" i="8"/>
  <c r="C506" i="15"/>
  <c r="C506" i="14"/>
  <c r="C506" i="11"/>
  <c r="C506" i="9"/>
  <c r="C506" i="8"/>
  <c r="B509" i="15"/>
  <c r="B509" i="14"/>
  <c r="B509" i="11"/>
  <c r="B509" i="9"/>
  <c r="B509" i="8"/>
  <c r="F516" i="1"/>
  <c r="G516" i="1" s="1"/>
  <c r="D516" i="15"/>
  <c r="F516" i="15" s="1"/>
  <c r="D516" i="14"/>
  <c r="F516" i="14" s="1"/>
  <c r="D516" i="11"/>
  <c r="F516" i="11" s="1"/>
  <c r="D516" i="8"/>
  <c r="D516" i="9"/>
  <c r="E521" i="15"/>
  <c r="E521" i="14"/>
  <c r="E521" i="11"/>
  <c r="E521" i="9"/>
  <c r="E521" i="8"/>
  <c r="C524" i="15"/>
  <c r="C524" i="14"/>
  <c r="C524" i="9"/>
  <c r="C524" i="8"/>
  <c r="C524" i="11"/>
  <c r="B527" i="15"/>
  <c r="B527" i="11"/>
  <c r="B527" i="14"/>
  <c r="B527" i="9"/>
  <c r="B527" i="8"/>
  <c r="A530" i="15"/>
  <c r="A530" i="14"/>
  <c r="A530" i="11"/>
  <c r="A530" i="8"/>
  <c r="A530" i="9"/>
  <c r="A532" i="15"/>
  <c r="A532" i="14"/>
  <c r="A532" i="11"/>
  <c r="A532" i="9"/>
  <c r="A532" i="8"/>
  <c r="D534" i="15"/>
  <c r="F534" i="15" s="1"/>
  <c r="D534" i="14"/>
  <c r="F534" i="14" s="1"/>
  <c r="D534" i="11"/>
  <c r="F534" i="11" s="1"/>
  <c r="D534" i="9"/>
  <c r="F534" i="9" s="1"/>
  <c r="D534" i="8"/>
  <c r="F534" i="8" s="1"/>
  <c r="G534" i="8" s="1"/>
  <c r="C537" i="15"/>
  <c r="C537" i="11"/>
  <c r="C537" i="14"/>
  <c r="C537" i="9"/>
  <c r="C537" i="8"/>
  <c r="C540" i="15"/>
  <c r="C540" i="14"/>
  <c r="C540" i="11"/>
  <c r="C540" i="9"/>
  <c r="C540" i="8"/>
  <c r="E544" i="15"/>
  <c r="E544" i="11"/>
  <c r="E544" i="9"/>
  <c r="E544" i="8"/>
  <c r="E544" i="14"/>
  <c r="D547" i="15"/>
  <c r="F547" i="15" s="1"/>
  <c r="D547" i="14"/>
  <c r="F547" i="14" s="1"/>
  <c r="D547" i="11"/>
  <c r="F547" i="11" s="1"/>
  <c r="D547" i="9"/>
  <c r="F547" i="9" s="1"/>
  <c r="D547" i="8"/>
  <c r="F547" i="8" s="1"/>
  <c r="G547" i="8" s="1"/>
  <c r="C549" i="14"/>
  <c r="C549" i="15"/>
  <c r="C549" i="11"/>
  <c r="C549" i="9"/>
  <c r="C549" i="8"/>
  <c r="F551" i="1"/>
  <c r="D551" i="15"/>
  <c r="F551" i="15" s="1"/>
  <c r="D551" i="9"/>
  <c r="F551" i="9" s="1"/>
  <c r="D551" i="11"/>
  <c r="F551" i="11" s="1"/>
  <c r="D551" i="14"/>
  <c r="F551" i="14" s="1"/>
  <c r="D551" i="8"/>
  <c r="F551" i="8" s="1"/>
  <c r="G551" i="8" s="1"/>
  <c r="A553" i="15"/>
  <c r="A553" i="14"/>
  <c r="A553" i="11"/>
  <c r="A553" i="9"/>
  <c r="A553" i="8"/>
  <c r="D563" i="15"/>
  <c r="F563" i="15" s="1"/>
  <c r="D563" i="14"/>
  <c r="F563" i="14" s="1"/>
  <c r="D563" i="8"/>
  <c r="F563" i="8" s="1"/>
  <c r="G563" i="8" s="1"/>
  <c r="D563" i="9"/>
  <c r="F563" i="9" s="1"/>
  <c r="D563" i="11"/>
  <c r="F563" i="11" s="1"/>
  <c r="B566" i="15"/>
  <c r="B566" i="14"/>
  <c r="B566" i="11"/>
  <c r="B566" i="8"/>
  <c r="B566" i="9"/>
  <c r="F568" i="1"/>
  <c r="H568" i="1" s="1"/>
  <c r="D568" i="15"/>
  <c r="F568" i="15" s="1"/>
  <c r="D568" i="14"/>
  <c r="F568" i="14" s="1"/>
  <c r="D568" i="11"/>
  <c r="F568" i="11" s="1"/>
  <c r="D568" i="9"/>
  <c r="F568" i="9" s="1"/>
  <c r="D568" i="8"/>
  <c r="F568" i="8" s="1"/>
  <c r="G568" i="8" s="1"/>
  <c r="A571" i="14"/>
  <c r="A571" i="9"/>
  <c r="A571" i="15"/>
  <c r="A571" i="11"/>
  <c r="A571" i="8"/>
  <c r="E573" i="15"/>
  <c r="E573" i="11"/>
  <c r="E573" i="8"/>
  <c r="E573" i="9"/>
  <c r="E573" i="14"/>
  <c r="F576" i="1"/>
  <c r="G576" i="1" s="1"/>
  <c r="D576" i="15"/>
  <c r="F576" i="15" s="1"/>
  <c r="D576" i="14"/>
  <c r="F576" i="14" s="1"/>
  <c r="D576" i="11"/>
  <c r="F576" i="11" s="1"/>
  <c r="D576" i="9"/>
  <c r="F576" i="9" s="1"/>
  <c r="D576" i="8"/>
  <c r="F576" i="8" s="1"/>
  <c r="G576" i="8" s="1"/>
  <c r="F580" i="1"/>
  <c r="G580" i="1" s="1"/>
  <c r="D580" i="15"/>
  <c r="F580" i="15" s="1"/>
  <c r="D580" i="14"/>
  <c r="F580" i="14" s="1"/>
  <c r="D580" i="11"/>
  <c r="F580" i="11" s="1"/>
  <c r="D580" i="9"/>
  <c r="F580" i="9" s="1"/>
  <c r="D580" i="8"/>
  <c r="F580" i="8" s="1"/>
  <c r="G580" i="8" s="1"/>
  <c r="D583" i="15"/>
  <c r="F583" i="15" s="1"/>
  <c r="D583" i="14"/>
  <c r="F583" i="14" s="1"/>
  <c r="D583" i="9"/>
  <c r="F583" i="9" s="1"/>
  <c r="D583" i="8"/>
  <c r="F583" i="8" s="1"/>
  <c r="G583" i="8" s="1"/>
  <c r="D583" i="11"/>
  <c r="F583" i="11" s="1"/>
  <c r="D585" i="15"/>
  <c r="F585" i="15" s="1"/>
  <c r="D585" i="14"/>
  <c r="F585" i="14" s="1"/>
  <c r="D585" i="11"/>
  <c r="F585" i="11" s="1"/>
  <c r="D585" i="9"/>
  <c r="F585" i="9" s="1"/>
  <c r="D585" i="8"/>
  <c r="F585" i="8" s="1"/>
  <c r="G585" i="8" s="1"/>
  <c r="C587" i="14"/>
  <c r="C587" i="11"/>
  <c r="C587" i="15"/>
  <c r="C587" i="9"/>
  <c r="C587" i="8"/>
  <c r="D591" i="14"/>
  <c r="F591" i="14" s="1"/>
  <c r="D591" i="15"/>
  <c r="F591" i="15" s="1"/>
  <c r="D591" i="11"/>
  <c r="F591" i="11" s="1"/>
  <c r="D591" i="9"/>
  <c r="F591" i="9" s="1"/>
  <c r="D591" i="8"/>
  <c r="F591" i="8" s="1"/>
  <c r="G591" i="8" s="1"/>
  <c r="B594" i="15"/>
  <c r="B594" i="14"/>
  <c r="B594" i="9"/>
  <c r="B594" i="11"/>
  <c r="B594" i="8"/>
  <c r="A597" i="15"/>
  <c r="A597" i="14"/>
  <c r="A597" i="11"/>
  <c r="A597" i="9"/>
  <c r="A597" i="8"/>
  <c r="E601" i="15"/>
  <c r="E601" i="9"/>
  <c r="E601" i="11"/>
  <c r="E601" i="14"/>
  <c r="E601" i="8"/>
  <c r="A606" i="15"/>
  <c r="A606" i="14"/>
  <c r="A606" i="11"/>
  <c r="A606" i="9"/>
  <c r="A606" i="8"/>
  <c r="C608" i="14"/>
  <c r="C608" i="11"/>
  <c r="C608" i="15"/>
  <c r="C608" i="9"/>
  <c r="C608" i="8"/>
  <c r="C611" i="15"/>
  <c r="C611" i="11"/>
  <c r="C611" i="14"/>
  <c r="C611" i="9"/>
  <c r="C611" i="8"/>
  <c r="A614" i="15"/>
  <c r="A614" i="11"/>
  <c r="A614" i="9"/>
  <c r="A614" i="14"/>
  <c r="A614" i="8"/>
  <c r="E620" i="15"/>
  <c r="E620" i="11"/>
  <c r="E620" i="14"/>
  <c r="E620" i="8"/>
  <c r="E620" i="9"/>
  <c r="F623" i="1"/>
  <c r="I623" i="1" s="1"/>
  <c r="D623" i="15"/>
  <c r="F623" i="15" s="1"/>
  <c r="D623" i="14"/>
  <c r="F623" i="14" s="1"/>
  <c r="D623" i="11"/>
  <c r="F623" i="11" s="1"/>
  <c r="D623" i="9"/>
  <c r="F623" i="9" s="1"/>
  <c r="D623" i="8"/>
  <c r="F623" i="8" s="1"/>
  <c r="G623" i="8" s="1"/>
  <c r="A626" i="15"/>
  <c r="A626" i="14"/>
  <c r="A626" i="11"/>
  <c r="A626" i="8"/>
  <c r="A626" i="9"/>
  <c r="E628" i="14"/>
  <c r="E628" i="15"/>
  <c r="E628" i="11"/>
  <c r="E628" i="8"/>
  <c r="E628" i="9"/>
  <c r="E631" i="14"/>
  <c r="E631" i="15"/>
  <c r="E631" i="9"/>
  <c r="E631" i="11"/>
  <c r="E631" i="8"/>
  <c r="E634" i="15"/>
  <c r="E634" i="14"/>
  <c r="E634" i="11"/>
  <c r="E634" i="9"/>
  <c r="E634" i="8"/>
  <c r="F636" i="1"/>
  <c r="H636" i="1" s="1"/>
  <c r="B638" i="14"/>
  <c r="B638" i="11"/>
  <c r="B638" i="9"/>
  <c r="B638" i="15"/>
  <c r="B638" i="8"/>
  <c r="B642" i="15"/>
  <c r="B642" i="14"/>
  <c r="B642" i="11"/>
  <c r="B642" i="8"/>
  <c r="B642" i="9"/>
  <c r="A644" i="14"/>
  <c r="A644" i="15"/>
  <c r="A644" i="11"/>
  <c r="A644" i="9"/>
  <c r="A644" i="8"/>
  <c r="D646" i="14"/>
  <c r="F646" i="14" s="1"/>
  <c r="D646" i="15"/>
  <c r="F646" i="15" s="1"/>
  <c r="D646" i="11"/>
  <c r="F646" i="11" s="1"/>
  <c r="D646" i="9"/>
  <c r="F646" i="9" s="1"/>
  <c r="D646" i="8"/>
  <c r="F646" i="8" s="1"/>
  <c r="G646" i="8" s="1"/>
  <c r="B649" i="15"/>
  <c r="B649" i="14"/>
  <c r="B649" i="11"/>
  <c r="B649" i="8"/>
  <c r="B649" i="9"/>
  <c r="C654" i="15"/>
  <c r="C654" i="14"/>
  <c r="C654" i="11"/>
  <c r="C654" i="8"/>
  <c r="C654" i="9"/>
  <c r="D663" i="15"/>
  <c r="F663" i="15" s="1"/>
  <c r="D663" i="14"/>
  <c r="F663" i="14" s="1"/>
  <c r="D663" i="11"/>
  <c r="F663" i="11" s="1"/>
  <c r="D663" i="8"/>
  <c r="F663" i="8" s="1"/>
  <c r="G663" i="8" s="1"/>
  <c r="D663" i="9"/>
  <c r="F663" i="9" s="1"/>
  <c r="A666" i="15"/>
  <c r="A666" i="14"/>
  <c r="A666" i="11"/>
  <c r="A666" i="9"/>
  <c r="A666" i="8"/>
  <c r="B669" i="15"/>
  <c r="B669" i="14"/>
  <c r="B669" i="11"/>
  <c r="B669" i="9"/>
  <c r="B669" i="8"/>
  <c r="B671" i="15"/>
  <c r="B671" i="14"/>
  <c r="B671" i="11"/>
  <c r="B671" i="9"/>
  <c r="B671" i="8"/>
  <c r="E673" i="15"/>
  <c r="E673" i="14"/>
  <c r="E673" i="9"/>
  <c r="E673" i="11"/>
  <c r="E673" i="8"/>
  <c r="E676" i="15"/>
  <c r="E676" i="14"/>
  <c r="E676" i="9"/>
  <c r="E676" i="8"/>
  <c r="E676" i="11"/>
  <c r="C679" i="14"/>
  <c r="C679" i="15"/>
  <c r="C679" i="11"/>
  <c r="C679" i="9"/>
  <c r="C679" i="8"/>
  <c r="E681" i="14"/>
  <c r="E681" i="15"/>
  <c r="E681" i="11"/>
  <c r="E681" i="8"/>
  <c r="E681" i="9"/>
  <c r="A688" i="14"/>
  <c r="A688" i="11"/>
  <c r="A688" i="15"/>
  <c r="A688" i="9"/>
  <c r="A688" i="8"/>
  <c r="A691" i="14"/>
  <c r="A691" i="11"/>
  <c r="A691" i="15"/>
  <c r="A691" i="9"/>
  <c r="A691" i="8"/>
  <c r="B693" i="14"/>
  <c r="B693" i="15"/>
  <c r="B693" i="11"/>
  <c r="B693" i="8"/>
  <c r="B693" i="9"/>
  <c r="F695" i="1"/>
  <c r="J695" i="1" s="1"/>
  <c r="D695" i="15"/>
  <c r="F695" i="15" s="1"/>
  <c r="D695" i="14"/>
  <c r="F695" i="14" s="1"/>
  <c r="D695" i="11"/>
  <c r="F695" i="11" s="1"/>
  <c r="D695" i="8"/>
  <c r="F695" i="8" s="1"/>
  <c r="G695" i="8" s="1"/>
  <c r="D695" i="9"/>
  <c r="F695" i="9" s="1"/>
  <c r="E698" i="15"/>
  <c r="E698" i="14"/>
  <c r="E698" i="11"/>
  <c r="E698" i="9"/>
  <c r="E698" i="8"/>
  <c r="E701" i="14"/>
  <c r="E701" i="15"/>
  <c r="E701" i="11"/>
  <c r="E701" i="9"/>
  <c r="E701" i="8"/>
  <c r="E703" i="15"/>
  <c r="E703" i="11"/>
  <c r="E703" i="14"/>
  <c r="E703" i="9"/>
  <c r="E703" i="8"/>
  <c r="B709" i="15"/>
  <c r="B709" i="11"/>
  <c r="B709" i="9"/>
  <c r="B709" i="14"/>
  <c r="B709" i="8"/>
  <c r="B712" i="14"/>
  <c r="B712" i="15"/>
  <c r="B712" i="9"/>
  <c r="B712" i="11"/>
  <c r="B712" i="8"/>
  <c r="A715" i="15"/>
  <c r="A715" i="14"/>
  <c r="A715" i="11"/>
  <c r="A715" i="9"/>
  <c r="A715" i="8"/>
  <c r="E717" i="15"/>
  <c r="E717" i="14"/>
  <c r="E717" i="11"/>
  <c r="E717" i="9"/>
  <c r="E717" i="8"/>
  <c r="A720" i="15"/>
  <c r="A720" i="14"/>
  <c r="A720" i="11"/>
  <c r="A720" i="8"/>
  <c r="A720" i="9"/>
  <c r="E724" i="14"/>
  <c r="E724" i="15"/>
  <c r="E724" i="9"/>
  <c r="E724" i="11"/>
  <c r="E724" i="8"/>
  <c r="C727" i="15"/>
  <c r="C727" i="14"/>
  <c r="C727" i="11"/>
  <c r="C727" i="9"/>
  <c r="C727" i="8"/>
  <c r="B730" i="15"/>
  <c r="B730" i="14"/>
  <c r="B730" i="9"/>
  <c r="B730" i="11"/>
  <c r="B730" i="8"/>
  <c r="F732" i="1"/>
  <c r="D732" i="15"/>
  <c r="F732" i="15" s="1"/>
  <c r="D732" i="14"/>
  <c r="F732" i="14" s="1"/>
  <c r="D732" i="11"/>
  <c r="F732" i="11" s="1"/>
  <c r="D732" i="9"/>
  <c r="F732" i="9" s="1"/>
  <c r="D732" i="8"/>
  <c r="F732" i="8" s="1"/>
  <c r="G732" i="8" s="1"/>
  <c r="B735" i="15"/>
  <c r="B735" i="14"/>
  <c r="B735" i="11"/>
  <c r="B735" i="9"/>
  <c r="B735" i="8"/>
  <c r="C737" i="15"/>
  <c r="C737" i="14"/>
  <c r="C737" i="11"/>
  <c r="C737" i="9"/>
  <c r="C737" i="8"/>
  <c r="B740" i="15"/>
  <c r="B740" i="14"/>
  <c r="B740" i="11"/>
  <c r="B740" i="8"/>
  <c r="B740" i="9"/>
  <c r="A749" i="15"/>
  <c r="A749" i="14"/>
  <c r="A749" i="11"/>
  <c r="A749" i="9"/>
  <c r="A749" i="8"/>
  <c r="B753" i="15"/>
  <c r="B753" i="14"/>
  <c r="B753" i="11"/>
  <c r="B753" i="8"/>
  <c r="B753" i="9"/>
  <c r="C755" i="14"/>
  <c r="C755" i="11"/>
  <c r="C755" i="15"/>
  <c r="C755" i="9"/>
  <c r="C755" i="8"/>
  <c r="B758" i="15"/>
  <c r="B758" i="14"/>
  <c r="B758" i="11"/>
  <c r="B758" i="9"/>
  <c r="B758" i="8"/>
  <c r="B761" i="15"/>
  <c r="B761" i="14"/>
  <c r="B761" i="11"/>
  <c r="B761" i="8"/>
  <c r="B761" i="9"/>
  <c r="A764" i="14"/>
  <c r="A764" i="15"/>
  <c r="A764" i="8"/>
  <c r="A764" i="9"/>
  <c r="A764" i="11"/>
  <c r="E766" i="15"/>
  <c r="E766" i="11"/>
  <c r="E766" i="9"/>
  <c r="E766" i="14"/>
  <c r="E766" i="8"/>
  <c r="E769" i="15"/>
  <c r="E769" i="14"/>
  <c r="E769" i="11"/>
  <c r="E769" i="9"/>
  <c r="E769" i="8"/>
  <c r="D771" i="15"/>
  <c r="F771" i="15" s="1"/>
  <c r="D771" i="14"/>
  <c r="F771" i="14" s="1"/>
  <c r="D771" i="11"/>
  <c r="F771" i="11" s="1"/>
  <c r="D771" i="9"/>
  <c r="F771" i="9" s="1"/>
  <c r="D771" i="8"/>
  <c r="F771" i="8" s="1"/>
  <c r="G771" i="8" s="1"/>
  <c r="F776" i="1"/>
  <c r="K776" i="1" s="1"/>
  <c r="D776" i="15"/>
  <c r="F776" i="15" s="1"/>
  <c r="D776" i="14"/>
  <c r="F776" i="14" s="1"/>
  <c r="D776" i="9"/>
  <c r="F776" i="9" s="1"/>
  <c r="D776" i="11"/>
  <c r="F776" i="11" s="1"/>
  <c r="D776" i="8"/>
  <c r="F776" i="8" s="1"/>
  <c r="G776" i="8" s="1"/>
  <c r="C780" i="15"/>
  <c r="C780" i="14"/>
  <c r="C780" i="11"/>
  <c r="C780" i="9"/>
  <c r="C780" i="8"/>
  <c r="E782" i="15"/>
  <c r="E782" i="14"/>
  <c r="E782" i="11"/>
  <c r="E782" i="8"/>
  <c r="E782" i="9"/>
  <c r="F785" i="1"/>
  <c r="J785" i="1" s="1"/>
  <c r="D785" i="15"/>
  <c r="F785" i="15" s="1"/>
  <c r="D785" i="14"/>
  <c r="F785" i="14" s="1"/>
  <c r="D785" i="11"/>
  <c r="F785" i="11" s="1"/>
  <c r="D785" i="9"/>
  <c r="F785" i="9" s="1"/>
  <c r="D785" i="8"/>
  <c r="F785" i="8" s="1"/>
  <c r="G785" i="8" s="1"/>
  <c r="F788" i="1"/>
  <c r="J788" i="1" s="1"/>
  <c r="D788" i="15"/>
  <c r="F788" i="15" s="1"/>
  <c r="D788" i="14"/>
  <c r="F788" i="14" s="1"/>
  <c r="D788" i="11"/>
  <c r="F788" i="11" s="1"/>
  <c r="D788" i="8"/>
  <c r="F788" i="8" s="1"/>
  <c r="G788" i="8" s="1"/>
  <c r="D788" i="9"/>
  <c r="F788" i="9" s="1"/>
  <c r="B791" i="14"/>
  <c r="B791" i="15"/>
  <c r="B791" i="11"/>
  <c r="B791" i="9"/>
  <c r="B791" i="8"/>
  <c r="C793" i="15"/>
  <c r="C793" i="14"/>
  <c r="C793" i="11"/>
  <c r="C793" i="9"/>
  <c r="C793" i="8"/>
  <c r="B797" i="15"/>
  <c r="B797" i="14"/>
  <c r="B797" i="11"/>
  <c r="B797" i="9"/>
  <c r="B797" i="8"/>
  <c r="A800" i="15"/>
  <c r="A800" i="14"/>
  <c r="A800" i="11"/>
  <c r="A800" i="9"/>
  <c r="A800" i="8"/>
  <c r="C802" i="15"/>
  <c r="C802" i="14"/>
  <c r="C802" i="9"/>
  <c r="C802" i="8"/>
  <c r="C802" i="11"/>
  <c r="B805" i="15"/>
  <c r="B805" i="14"/>
  <c r="B805" i="11"/>
  <c r="B805" i="9"/>
  <c r="B805" i="8"/>
  <c r="B807" i="15"/>
  <c r="B807" i="9"/>
  <c r="B807" i="14"/>
  <c r="B807" i="11"/>
  <c r="B807" i="8"/>
  <c r="F809" i="1"/>
  <c r="G809" i="1" s="1"/>
  <c r="D809" i="15"/>
  <c r="F809" i="15" s="1"/>
  <c r="D809" i="14"/>
  <c r="F809" i="14" s="1"/>
  <c r="D809" i="11"/>
  <c r="F809" i="11" s="1"/>
  <c r="D809" i="9"/>
  <c r="F809" i="9" s="1"/>
  <c r="D809" i="8"/>
  <c r="F809" i="8" s="1"/>
  <c r="G809" i="8" s="1"/>
  <c r="C814" i="15"/>
  <c r="C814" i="14"/>
  <c r="C814" i="8"/>
  <c r="C814" i="9"/>
  <c r="C814" i="11"/>
  <c r="C817" i="15"/>
  <c r="C817" i="14"/>
  <c r="C817" i="11"/>
  <c r="C817" i="8"/>
  <c r="C817" i="9"/>
  <c r="A822" i="15"/>
  <c r="A822" i="14"/>
  <c r="A822" i="11"/>
  <c r="A822" i="9"/>
  <c r="A822" i="8"/>
  <c r="D824" i="15"/>
  <c r="F824" i="15" s="1"/>
  <c r="D824" i="14"/>
  <c r="F824" i="14" s="1"/>
  <c r="D824" i="11"/>
  <c r="F824" i="11" s="1"/>
  <c r="D824" i="9"/>
  <c r="F824" i="9" s="1"/>
  <c r="D824" i="8"/>
  <c r="F824" i="8" s="1"/>
  <c r="G824" i="8" s="1"/>
  <c r="A827" i="15"/>
  <c r="A827" i="14"/>
  <c r="A827" i="11"/>
  <c r="A827" i="9"/>
  <c r="A827" i="8"/>
  <c r="A830" i="15"/>
  <c r="A830" i="14"/>
  <c r="A830" i="8"/>
  <c r="A830" i="11"/>
  <c r="A830" i="9"/>
  <c r="A833" i="15"/>
  <c r="A833" i="14"/>
  <c r="A833" i="11"/>
  <c r="A833" i="9"/>
  <c r="A833" i="8"/>
  <c r="D835" i="15"/>
  <c r="F835" i="15" s="1"/>
  <c r="D835" i="14"/>
  <c r="F835" i="14" s="1"/>
  <c r="D835" i="11"/>
  <c r="F835" i="11" s="1"/>
  <c r="D835" i="8"/>
  <c r="F835" i="8" s="1"/>
  <c r="G835" i="8" s="1"/>
  <c r="D835" i="9"/>
  <c r="F835" i="9" s="1"/>
  <c r="B838" i="15"/>
  <c r="B838" i="14"/>
  <c r="B838" i="8"/>
  <c r="B838" i="11"/>
  <c r="B838" i="9"/>
  <c r="A841" i="15"/>
  <c r="A841" i="14"/>
  <c r="A841" i="11"/>
  <c r="A841" i="9"/>
  <c r="A841" i="8"/>
  <c r="E843" i="15"/>
  <c r="E843" i="14"/>
  <c r="E843" i="11"/>
  <c r="E843" i="9"/>
  <c r="E843" i="8"/>
  <c r="B846" i="15"/>
  <c r="B846" i="14"/>
  <c r="B846" i="11"/>
  <c r="B846" i="9"/>
  <c r="B846" i="8"/>
  <c r="E848" i="14"/>
  <c r="E848" i="15"/>
  <c r="E848" i="11"/>
  <c r="E848" i="8"/>
  <c r="E848" i="9"/>
  <c r="C851" i="15"/>
  <c r="C851" i="14"/>
  <c r="C851" i="11"/>
  <c r="C851" i="9"/>
  <c r="C851" i="8"/>
  <c r="A854" i="15"/>
  <c r="A854" i="14"/>
  <c r="A854" i="11"/>
  <c r="A854" i="8"/>
  <c r="A854" i="9"/>
  <c r="D856" i="14"/>
  <c r="F856" i="14" s="1"/>
  <c r="D856" i="15"/>
  <c r="F856" i="15" s="1"/>
  <c r="D856" i="11"/>
  <c r="F856" i="11" s="1"/>
  <c r="D856" i="8"/>
  <c r="F856" i="8" s="1"/>
  <c r="G856" i="8" s="1"/>
  <c r="D856" i="9"/>
  <c r="F856" i="9" s="1"/>
  <c r="E42" i="15"/>
  <c r="E42" i="14"/>
  <c r="E42" i="11"/>
  <c r="E42" i="9"/>
  <c r="E42" i="8"/>
  <c r="C61" i="15"/>
  <c r="C61" i="14"/>
  <c r="C61" i="9"/>
  <c r="C61" i="11"/>
  <c r="C61" i="8"/>
  <c r="E80" i="15"/>
  <c r="E80" i="14"/>
  <c r="E80" i="9"/>
  <c r="E80" i="11"/>
  <c r="E80" i="8"/>
  <c r="C103" i="15"/>
  <c r="C103" i="14"/>
  <c r="C103" i="11"/>
  <c r="C103" i="9"/>
  <c r="C103" i="8"/>
  <c r="E125" i="15"/>
  <c r="E125" i="14"/>
  <c r="E125" i="11"/>
  <c r="E125" i="9"/>
  <c r="E125" i="8"/>
  <c r="A149" i="15"/>
  <c r="A149" i="11"/>
  <c r="A149" i="14"/>
  <c r="A149" i="8"/>
  <c r="A149" i="9"/>
  <c r="F171" i="1"/>
  <c r="G171" i="1" s="1"/>
  <c r="D171" i="15"/>
  <c r="F171" i="15" s="1"/>
  <c r="D171" i="11"/>
  <c r="F171" i="11" s="1"/>
  <c r="D171" i="14"/>
  <c r="F171" i="14" s="1"/>
  <c r="D171" i="9"/>
  <c r="D171" i="8"/>
  <c r="B193" i="15"/>
  <c r="B193" i="14"/>
  <c r="B193" i="11"/>
  <c r="B193" i="9"/>
  <c r="B193" i="8"/>
  <c r="A217" i="15"/>
  <c r="A217" i="11"/>
  <c r="A217" i="14"/>
  <c r="A217" i="9"/>
  <c r="A217" i="8"/>
  <c r="C283" i="15"/>
  <c r="C283" i="11"/>
  <c r="C283" i="14"/>
  <c r="C283" i="9"/>
  <c r="C283" i="8"/>
  <c r="F311" i="1"/>
  <c r="G311" i="1" s="1"/>
  <c r="D311" i="15"/>
  <c r="F311" i="15" s="1"/>
  <c r="D311" i="14"/>
  <c r="F311" i="14" s="1"/>
  <c r="D311" i="11"/>
  <c r="F311" i="11" s="1"/>
  <c r="D311" i="8"/>
  <c r="D311" i="9"/>
  <c r="E328" i="14"/>
  <c r="E328" i="15"/>
  <c r="E328" i="11"/>
  <c r="E328" i="9"/>
  <c r="E328" i="8"/>
  <c r="C366" i="15"/>
  <c r="C366" i="14"/>
  <c r="C366" i="11"/>
  <c r="C366" i="9"/>
  <c r="C366" i="8"/>
  <c r="A392" i="15"/>
  <c r="A392" i="14"/>
  <c r="A392" i="9"/>
  <c r="A392" i="11"/>
  <c r="A392" i="8"/>
  <c r="C434" i="15"/>
  <c r="C434" i="14"/>
  <c r="C434" i="11"/>
  <c r="C434" i="8"/>
  <c r="C434" i="9"/>
  <c r="C456" i="15"/>
  <c r="C456" i="11"/>
  <c r="C456" i="14"/>
  <c r="C456" i="8"/>
  <c r="C456" i="9"/>
  <c r="F505" i="1"/>
  <c r="I505" i="1" s="1"/>
  <c r="D505" i="14"/>
  <c r="F505" i="14" s="1"/>
  <c r="D505" i="15"/>
  <c r="F505" i="15" s="1"/>
  <c r="D505" i="11"/>
  <c r="F505" i="11" s="1"/>
  <c r="D505" i="9"/>
  <c r="D505" i="8"/>
  <c r="C529" i="15"/>
  <c r="C529" i="14"/>
  <c r="C529" i="11"/>
  <c r="C529" i="9"/>
  <c r="C529" i="8"/>
  <c r="D565" i="15"/>
  <c r="F565" i="15" s="1"/>
  <c r="D565" i="11"/>
  <c r="F565" i="11" s="1"/>
  <c r="D565" i="14"/>
  <c r="F565" i="14" s="1"/>
  <c r="D565" i="9"/>
  <c r="F565" i="9" s="1"/>
  <c r="D565" i="8"/>
  <c r="F565" i="8" s="1"/>
  <c r="G565" i="8" s="1"/>
  <c r="E610" i="15"/>
  <c r="E610" i="11"/>
  <c r="E610" i="14"/>
  <c r="E610" i="9"/>
  <c r="E610" i="8"/>
  <c r="A634" i="15"/>
  <c r="A634" i="14"/>
  <c r="A634" i="11"/>
  <c r="A634" i="9"/>
  <c r="A634" i="8"/>
  <c r="B656" i="14"/>
  <c r="B656" i="15"/>
  <c r="B656" i="11"/>
  <c r="B656" i="9"/>
  <c r="B656" i="8"/>
  <c r="F678" i="1"/>
  <c r="I678" i="1" s="1"/>
  <c r="D678" i="15"/>
  <c r="F678" i="15" s="1"/>
  <c r="D678" i="14"/>
  <c r="F678" i="14" s="1"/>
  <c r="D678" i="11"/>
  <c r="F678" i="11" s="1"/>
  <c r="D678" i="9"/>
  <c r="F678" i="9" s="1"/>
  <c r="D678" i="8"/>
  <c r="F678" i="8" s="1"/>
  <c r="G678" i="8" s="1"/>
  <c r="A701" i="15"/>
  <c r="A701" i="14"/>
  <c r="A701" i="11"/>
  <c r="A701" i="8"/>
  <c r="A701" i="9"/>
  <c r="A717" i="15"/>
  <c r="A717" i="14"/>
  <c r="A717" i="11"/>
  <c r="A717" i="9"/>
  <c r="A717" i="8"/>
  <c r="C757" i="15"/>
  <c r="C757" i="14"/>
  <c r="C757" i="11"/>
  <c r="C757" i="9"/>
  <c r="C757" i="8"/>
  <c r="E784" i="15"/>
  <c r="E784" i="14"/>
  <c r="E784" i="11"/>
  <c r="E784" i="8"/>
  <c r="E784" i="9"/>
  <c r="B831" i="15"/>
  <c r="B831" i="11"/>
  <c r="B831" i="8"/>
  <c r="B831" i="9"/>
  <c r="B831" i="14"/>
  <c r="D16" i="15"/>
  <c r="F16" i="15" s="1"/>
  <c r="D16" i="14"/>
  <c r="F16" i="14" s="1"/>
  <c r="D16" i="11"/>
  <c r="F16" i="11" s="1"/>
  <c r="D16" i="9"/>
  <c r="D16" i="8"/>
  <c r="C56" i="15"/>
  <c r="C56" i="14"/>
  <c r="C56" i="9"/>
  <c r="C56" i="11"/>
  <c r="C56" i="8"/>
  <c r="C78" i="15"/>
  <c r="C78" i="14"/>
  <c r="C78" i="11"/>
  <c r="C78" i="9"/>
  <c r="C78" i="8"/>
  <c r="C127" i="15"/>
  <c r="C127" i="14"/>
  <c r="C127" i="11"/>
  <c r="C127" i="8"/>
  <c r="C127" i="9"/>
  <c r="A159" i="15"/>
  <c r="A159" i="14"/>
  <c r="A159" i="11"/>
  <c r="A159" i="8"/>
  <c r="A159" i="9"/>
  <c r="E182" i="15"/>
  <c r="E182" i="14"/>
  <c r="E182" i="11"/>
  <c r="E182" i="9"/>
  <c r="E182" i="8"/>
  <c r="A210" i="15"/>
  <c r="A210" i="14"/>
  <c r="A210" i="11"/>
  <c r="A210" i="9"/>
  <c r="A210" i="8"/>
  <c r="B232" i="15"/>
  <c r="B232" i="14"/>
  <c r="B232" i="11"/>
  <c r="B232" i="9"/>
  <c r="B232" i="8"/>
  <c r="C254" i="15"/>
  <c r="C254" i="11"/>
  <c r="C254" i="14"/>
  <c r="C254" i="9"/>
  <c r="C254" i="8"/>
  <c r="E272" i="15"/>
  <c r="E272" i="11"/>
  <c r="E272" i="9"/>
  <c r="E272" i="14"/>
  <c r="E272" i="8"/>
  <c r="F301" i="1"/>
  <c r="J301" i="1" s="1"/>
  <c r="D301" i="15"/>
  <c r="F301" i="15" s="1"/>
  <c r="D301" i="11"/>
  <c r="F301" i="11" s="1"/>
  <c r="D301" i="14"/>
  <c r="F301" i="14" s="1"/>
  <c r="D301" i="9"/>
  <c r="D301" i="8"/>
  <c r="C341" i="15"/>
  <c r="C341" i="14"/>
  <c r="C341" i="11"/>
  <c r="C341" i="8"/>
  <c r="C341" i="9"/>
  <c r="D366" i="15"/>
  <c r="F366" i="15" s="1"/>
  <c r="D366" i="14"/>
  <c r="F366" i="14" s="1"/>
  <c r="D366" i="9"/>
  <c r="D366" i="8"/>
  <c r="D366" i="11"/>
  <c r="F366" i="11" s="1"/>
  <c r="F394" i="1"/>
  <c r="H394" i="1" s="1"/>
  <c r="D394" i="11"/>
  <c r="F394" i="11" s="1"/>
  <c r="D394" i="14"/>
  <c r="F394" i="14" s="1"/>
  <c r="D394" i="9"/>
  <c r="D394" i="8"/>
  <c r="D394" i="15"/>
  <c r="F394" i="15" s="1"/>
  <c r="F434" i="1"/>
  <c r="J434" i="1" s="1"/>
  <c r="D434" i="15"/>
  <c r="F434" i="15" s="1"/>
  <c r="D434" i="14"/>
  <c r="F434" i="14" s="1"/>
  <c r="D434" i="11"/>
  <c r="F434" i="11" s="1"/>
  <c r="D434" i="8"/>
  <c r="D434" i="9"/>
  <c r="F458" i="1"/>
  <c r="J458" i="1" s="1"/>
  <c r="D458" i="15"/>
  <c r="F458" i="15" s="1"/>
  <c r="D458" i="14"/>
  <c r="F458" i="14" s="1"/>
  <c r="D458" i="11"/>
  <c r="F458" i="11" s="1"/>
  <c r="D458" i="9"/>
  <c r="D458" i="8"/>
  <c r="E482" i="14"/>
  <c r="E482" i="15"/>
  <c r="E482" i="11"/>
  <c r="E482" i="8"/>
  <c r="E482" i="9"/>
  <c r="A501" i="15"/>
  <c r="A501" i="14"/>
  <c r="A501" i="9"/>
  <c r="A501" i="8"/>
  <c r="A501" i="11"/>
  <c r="E518" i="15"/>
  <c r="E518" i="14"/>
  <c r="E518" i="11"/>
  <c r="E518" i="8"/>
  <c r="E518" i="9"/>
  <c r="A534" i="15"/>
  <c r="A534" i="11"/>
  <c r="A534" i="14"/>
  <c r="A534" i="9"/>
  <c r="A534" i="8"/>
  <c r="A547" i="15"/>
  <c r="A547" i="14"/>
  <c r="A547" i="11"/>
  <c r="A547" i="9"/>
  <c r="A547" i="8"/>
  <c r="A568" i="14"/>
  <c r="A568" i="15"/>
  <c r="A568" i="11"/>
  <c r="A568" i="9"/>
  <c r="A568" i="8"/>
  <c r="A591" i="15"/>
  <c r="A591" i="14"/>
  <c r="A591" i="9"/>
  <c r="A591" i="11"/>
  <c r="A591" i="8"/>
  <c r="B620" i="15"/>
  <c r="B620" i="14"/>
  <c r="B620" i="9"/>
  <c r="B620" i="11"/>
  <c r="B620" i="8"/>
  <c r="B634" i="15"/>
  <c r="B634" i="14"/>
  <c r="B634" i="11"/>
  <c r="B634" i="9"/>
  <c r="B634" i="8"/>
  <c r="A646" i="14"/>
  <c r="A646" i="15"/>
  <c r="A646" i="9"/>
  <c r="A646" i="11"/>
  <c r="A646" i="8"/>
  <c r="A695" i="15"/>
  <c r="A695" i="14"/>
  <c r="A695" i="11"/>
  <c r="A695" i="9"/>
  <c r="A695" i="8"/>
  <c r="B717" i="15"/>
  <c r="B717" i="14"/>
  <c r="B717" i="11"/>
  <c r="B717" i="9"/>
  <c r="B717" i="8"/>
  <c r="F734" i="1"/>
  <c r="H734" i="1" s="1"/>
  <c r="D734" i="14"/>
  <c r="F734" i="14" s="1"/>
  <c r="D734" i="15"/>
  <c r="F734" i="15" s="1"/>
  <c r="D734" i="9"/>
  <c r="F734" i="9" s="1"/>
  <c r="D734" i="11"/>
  <c r="F734" i="11" s="1"/>
  <c r="D734" i="8"/>
  <c r="F734" i="8" s="1"/>
  <c r="G734" i="8" s="1"/>
  <c r="E752" i="15"/>
  <c r="E752" i="14"/>
  <c r="E752" i="11"/>
  <c r="E752" i="8"/>
  <c r="E752" i="9"/>
  <c r="A776" i="15"/>
  <c r="A776" i="11"/>
  <c r="A776" i="14"/>
  <c r="A776" i="9"/>
  <c r="A776" i="8"/>
  <c r="C795" i="15"/>
  <c r="C795" i="14"/>
  <c r="C795" i="11"/>
  <c r="C795" i="9"/>
  <c r="C795" i="8"/>
  <c r="E821" i="15"/>
  <c r="E821" i="14"/>
  <c r="E821" i="11"/>
  <c r="E821" i="8"/>
  <c r="E821" i="9"/>
  <c r="D7" i="15"/>
  <c r="F7" i="15" s="1"/>
  <c r="D7" i="14"/>
  <c r="F7" i="14" s="1"/>
  <c r="D7" i="9"/>
  <c r="D7" i="11"/>
  <c r="F7" i="11" s="1"/>
  <c r="D7" i="8"/>
  <c r="F56" i="1"/>
  <c r="D56" i="15"/>
  <c r="F56" i="15" s="1"/>
  <c r="D56" i="14"/>
  <c r="F56" i="14" s="1"/>
  <c r="D56" i="9"/>
  <c r="D56" i="11"/>
  <c r="F56" i="11" s="1"/>
  <c r="D56" i="8"/>
  <c r="D78" i="15"/>
  <c r="F78" i="15" s="1"/>
  <c r="D78" i="14"/>
  <c r="F78" i="14" s="1"/>
  <c r="D78" i="11"/>
  <c r="F78" i="11" s="1"/>
  <c r="D78" i="9"/>
  <c r="D78" i="8"/>
  <c r="A106" i="15"/>
  <c r="A106" i="11"/>
  <c r="A106" i="14"/>
  <c r="A106" i="9"/>
  <c r="A106" i="8"/>
  <c r="B126" i="15"/>
  <c r="B126" i="14"/>
  <c r="B126" i="11"/>
  <c r="B126" i="9"/>
  <c r="B126" i="8"/>
  <c r="B147" i="15"/>
  <c r="B147" i="14"/>
  <c r="B147" i="11"/>
  <c r="B147" i="8"/>
  <c r="B147" i="9"/>
  <c r="A167" i="15"/>
  <c r="A167" i="14"/>
  <c r="A167" i="11"/>
  <c r="A167" i="9"/>
  <c r="A167" i="8"/>
  <c r="A183" i="15"/>
  <c r="A183" i="14"/>
  <c r="A183" i="11"/>
  <c r="A183" i="9"/>
  <c r="A183" i="8"/>
  <c r="C203" i="15"/>
  <c r="C203" i="14"/>
  <c r="C203" i="9"/>
  <c r="C203" i="11"/>
  <c r="C203" i="8"/>
  <c r="F265" i="1"/>
  <c r="D265" i="15"/>
  <c r="F265" i="15" s="1"/>
  <c r="D265" i="11"/>
  <c r="F265" i="11" s="1"/>
  <c r="D265" i="14"/>
  <c r="F265" i="14" s="1"/>
  <c r="D265" i="8"/>
  <c r="D265" i="9"/>
  <c r="B275" i="15"/>
  <c r="B275" i="11"/>
  <c r="B275" i="14"/>
  <c r="B275" i="9"/>
  <c r="B275" i="8"/>
  <c r="E301" i="11"/>
  <c r="E301" i="14"/>
  <c r="E301" i="15"/>
  <c r="E301" i="9"/>
  <c r="E301" i="8"/>
  <c r="B333" i="15"/>
  <c r="B333" i="14"/>
  <c r="B333" i="8"/>
  <c r="B333" i="9"/>
  <c r="B333" i="11"/>
  <c r="D350" i="15"/>
  <c r="F350" i="15" s="1"/>
  <c r="D350" i="11"/>
  <c r="F350" i="11" s="1"/>
  <c r="D350" i="8"/>
  <c r="D350" i="14"/>
  <c r="F350" i="14" s="1"/>
  <c r="D350" i="9"/>
  <c r="A385" i="15"/>
  <c r="A385" i="14"/>
  <c r="A385" i="11"/>
  <c r="A385" i="9"/>
  <c r="A385" i="8"/>
  <c r="F397" i="1"/>
  <c r="I397" i="1" s="1"/>
  <c r="D397" i="15"/>
  <c r="F397" i="15" s="1"/>
  <c r="D397" i="14"/>
  <c r="F397" i="14" s="1"/>
  <c r="D397" i="11"/>
  <c r="F397" i="11" s="1"/>
  <c r="D397" i="9"/>
  <c r="D397" i="8"/>
  <c r="A418" i="15"/>
  <c r="A418" i="14"/>
  <c r="A418" i="11"/>
  <c r="A418" i="9"/>
  <c r="A418" i="8"/>
  <c r="F439" i="1"/>
  <c r="I439" i="1" s="1"/>
  <c r="D439" i="15"/>
  <c r="F439" i="15" s="1"/>
  <c r="D439" i="14"/>
  <c r="F439" i="14" s="1"/>
  <c r="D439" i="11"/>
  <c r="F439" i="11" s="1"/>
  <c r="D439" i="9"/>
  <c r="D439" i="8"/>
  <c r="C452" i="14"/>
  <c r="C452" i="11"/>
  <c r="C452" i="15"/>
  <c r="C452" i="9"/>
  <c r="C452" i="8"/>
  <c r="E486" i="15"/>
  <c r="E486" i="14"/>
  <c r="E486" i="11"/>
  <c r="E486" i="9"/>
  <c r="E486" i="8"/>
  <c r="B496" i="15"/>
  <c r="B496" i="14"/>
  <c r="B496" i="11"/>
  <c r="B496" i="8"/>
  <c r="B496" i="9"/>
  <c r="B534" i="15"/>
  <c r="B534" i="11"/>
  <c r="B534" i="14"/>
  <c r="B534" i="9"/>
  <c r="B534" i="8"/>
  <c r="B547" i="15"/>
  <c r="B547" i="14"/>
  <c r="B547" i="11"/>
  <c r="B547" i="9"/>
  <c r="B547" i="8"/>
  <c r="B568" i="15"/>
  <c r="B568" i="14"/>
  <c r="B568" i="11"/>
  <c r="B568" i="9"/>
  <c r="B568" i="8"/>
  <c r="E588" i="15"/>
  <c r="E588" i="11"/>
  <c r="E588" i="8"/>
  <c r="E588" i="14"/>
  <c r="E588" i="9"/>
  <c r="D656" i="14"/>
  <c r="F656" i="14" s="1"/>
  <c r="D656" i="15"/>
  <c r="F656" i="15" s="1"/>
  <c r="D656" i="11"/>
  <c r="F656" i="11" s="1"/>
  <c r="D656" i="8"/>
  <c r="F656" i="8" s="1"/>
  <c r="G656" i="8" s="1"/>
  <c r="D656" i="9"/>
  <c r="F656" i="9" s="1"/>
  <c r="C681" i="15"/>
  <c r="C681" i="14"/>
  <c r="C681" i="11"/>
  <c r="C681" i="8"/>
  <c r="C681" i="9"/>
  <c r="F705" i="1"/>
  <c r="D705" i="15"/>
  <c r="F705" i="15" s="1"/>
  <c r="D705" i="14"/>
  <c r="F705" i="14" s="1"/>
  <c r="D705" i="11"/>
  <c r="F705" i="11" s="1"/>
  <c r="D705" i="9"/>
  <c r="F705" i="9" s="1"/>
  <c r="D705" i="8"/>
  <c r="F705" i="8" s="1"/>
  <c r="G705" i="8" s="1"/>
  <c r="E734" i="15"/>
  <c r="E734" i="14"/>
  <c r="E734" i="11"/>
  <c r="E734" i="9"/>
  <c r="E734" i="8"/>
  <c r="E760" i="15"/>
  <c r="E760" i="11"/>
  <c r="E760" i="14"/>
  <c r="E760" i="9"/>
  <c r="E760" i="8"/>
  <c r="C782" i="15"/>
  <c r="C782" i="14"/>
  <c r="C782" i="11"/>
  <c r="C782" i="8"/>
  <c r="C782" i="9"/>
  <c r="B824" i="15"/>
  <c r="B824" i="14"/>
  <c r="B824" i="8"/>
  <c r="B824" i="11"/>
  <c r="B824" i="9"/>
  <c r="E845" i="15"/>
  <c r="E845" i="14"/>
  <c r="E845" i="11"/>
  <c r="E845" i="9"/>
  <c r="E845" i="8"/>
  <c r="F16" i="1"/>
  <c r="E31" i="15"/>
  <c r="E31" i="14"/>
  <c r="E31" i="9"/>
  <c r="E31" i="11"/>
  <c r="E31" i="8"/>
  <c r="C50" i="14"/>
  <c r="C50" i="15"/>
  <c r="C50" i="11"/>
  <c r="C50" i="9"/>
  <c r="C50" i="8"/>
  <c r="F70" i="1"/>
  <c r="H70" i="1" s="1"/>
  <c r="D70" i="15"/>
  <c r="F70" i="15" s="1"/>
  <c r="D70" i="14"/>
  <c r="F70" i="14" s="1"/>
  <c r="D70" i="11"/>
  <c r="F70" i="11" s="1"/>
  <c r="D70" i="9"/>
  <c r="D70" i="8"/>
  <c r="C86" i="15"/>
  <c r="C86" i="14"/>
  <c r="C86" i="9"/>
  <c r="C86" i="11"/>
  <c r="C86" i="8"/>
  <c r="B121" i="14"/>
  <c r="B121" i="15"/>
  <c r="B121" i="9"/>
  <c r="B121" i="11"/>
  <c r="B121" i="8"/>
  <c r="A138" i="15"/>
  <c r="A138" i="14"/>
  <c r="A138" i="11"/>
  <c r="A138" i="9"/>
  <c r="A138" i="8"/>
  <c r="C159" i="15"/>
  <c r="C159" i="14"/>
  <c r="C159" i="11"/>
  <c r="C159" i="8"/>
  <c r="C159" i="9"/>
  <c r="B180" i="15"/>
  <c r="B180" i="14"/>
  <c r="B180" i="11"/>
  <c r="B180" i="8"/>
  <c r="B180" i="9"/>
  <c r="C210" i="15"/>
  <c r="C210" i="14"/>
  <c r="C210" i="11"/>
  <c r="C210" i="9"/>
  <c r="C210" i="8"/>
  <c r="C224" i="15"/>
  <c r="C224" i="11"/>
  <c r="C224" i="14"/>
  <c r="C224" i="8"/>
  <c r="C224" i="9"/>
  <c r="C258" i="15"/>
  <c r="C258" i="14"/>
  <c r="C258" i="9"/>
  <c r="C258" i="11"/>
  <c r="C258" i="8"/>
  <c r="C275" i="15"/>
  <c r="C275" i="11"/>
  <c r="C275" i="14"/>
  <c r="C275" i="9"/>
  <c r="C275" i="8"/>
  <c r="B293" i="15"/>
  <c r="B293" i="14"/>
  <c r="B293" i="11"/>
  <c r="B293" i="9"/>
  <c r="B293" i="8"/>
  <c r="B307" i="15"/>
  <c r="B307" i="14"/>
  <c r="B307" i="11"/>
  <c r="B307" i="9"/>
  <c r="B307" i="8"/>
  <c r="D326" i="15"/>
  <c r="F326" i="15" s="1"/>
  <c r="D326" i="14"/>
  <c r="F326" i="14" s="1"/>
  <c r="D326" i="11"/>
  <c r="F326" i="11" s="1"/>
  <c r="D326" i="9"/>
  <c r="D326" i="8"/>
  <c r="A364" i="15"/>
  <c r="A364" i="14"/>
  <c r="A364" i="11"/>
  <c r="A364" i="9"/>
  <c r="A364" i="8"/>
  <c r="B388" i="15"/>
  <c r="B388" i="11"/>
  <c r="B388" i="14"/>
  <c r="B388" i="8"/>
  <c r="B388" i="9"/>
  <c r="F404" i="1"/>
  <c r="I404" i="1" s="1"/>
  <c r="D404" i="15"/>
  <c r="F404" i="15" s="1"/>
  <c r="D404" i="14"/>
  <c r="F404" i="14" s="1"/>
  <c r="D404" i="11"/>
  <c r="F404" i="11" s="1"/>
  <c r="D404" i="9"/>
  <c r="D404" i="8"/>
  <c r="E426" i="14"/>
  <c r="E426" i="11"/>
  <c r="E426" i="9"/>
  <c r="E426" i="8"/>
  <c r="E426" i="15"/>
  <c r="E449" i="15"/>
  <c r="E449" i="11"/>
  <c r="E449" i="14"/>
  <c r="E449" i="9"/>
  <c r="E449" i="8"/>
  <c r="E484" i="15"/>
  <c r="E484" i="11"/>
  <c r="E484" i="14"/>
  <c r="E484" i="9"/>
  <c r="E484" i="8"/>
  <c r="C501" i="15"/>
  <c r="C501" i="14"/>
  <c r="C501" i="8"/>
  <c r="C501" i="9"/>
  <c r="C501" i="11"/>
  <c r="A527" i="15"/>
  <c r="A527" i="11"/>
  <c r="A527" i="14"/>
  <c r="A527" i="9"/>
  <c r="A527" i="8"/>
  <c r="E554" i="15"/>
  <c r="E554" i="14"/>
  <c r="E554" i="11"/>
  <c r="E554" i="9"/>
  <c r="E554" i="8"/>
  <c r="F573" i="1"/>
  <c r="H573" i="1" s="1"/>
  <c r="D573" i="15"/>
  <c r="F573" i="15" s="1"/>
  <c r="D573" i="11"/>
  <c r="F573" i="11" s="1"/>
  <c r="D573" i="9"/>
  <c r="F573" i="9" s="1"/>
  <c r="D573" i="8"/>
  <c r="F573" i="8" s="1"/>
  <c r="G573" i="8" s="1"/>
  <c r="D573" i="14"/>
  <c r="F573" i="14" s="1"/>
  <c r="C591" i="15"/>
  <c r="C591" i="14"/>
  <c r="C591" i="11"/>
  <c r="C591" i="8"/>
  <c r="C591" i="9"/>
  <c r="C623" i="14"/>
  <c r="C623" i="15"/>
  <c r="C623" i="11"/>
  <c r="C623" i="9"/>
  <c r="C623" i="8"/>
  <c r="A638" i="15"/>
  <c r="A638" i="14"/>
  <c r="A638" i="11"/>
  <c r="A638" i="9"/>
  <c r="A638" i="8"/>
  <c r="B654" i="15"/>
  <c r="B654" i="14"/>
  <c r="B654" i="11"/>
  <c r="B654" i="8"/>
  <c r="B654" i="9"/>
  <c r="F673" i="1"/>
  <c r="J673" i="1" s="1"/>
  <c r="D673" i="14"/>
  <c r="F673" i="14" s="1"/>
  <c r="D673" i="15"/>
  <c r="F673" i="15" s="1"/>
  <c r="D673" i="11"/>
  <c r="F673" i="11" s="1"/>
  <c r="D673" i="9"/>
  <c r="F673" i="9" s="1"/>
  <c r="D673" i="8"/>
  <c r="F673" i="8" s="1"/>
  <c r="G673" i="8" s="1"/>
  <c r="A693" i="14"/>
  <c r="A693" i="15"/>
  <c r="A693" i="11"/>
  <c r="A693" i="8"/>
  <c r="A693" i="9"/>
  <c r="E714" i="15"/>
  <c r="E714" i="14"/>
  <c r="E714" i="11"/>
  <c r="E714" i="8"/>
  <c r="E714" i="9"/>
  <c r="A735" i="15"/>
  <c r="A735" i="14"/>
  <c r="A735" i="11"/>
  <c r="A735" i="9"/>
  <c r="A735" i="8"/>
  <c r="A761" i="15"/>
  <c r="A761" i="11"/>
  <c r="A761" i="14"/>
  <c r="A761" i="8"/>
  <c r="A761" i="9"/>
  <c r="B780" i="15"/>
  <c r="B780" i="14"/>
  <c r="B780" i="11"/>
  <c r="B780" i="9"/>
  <c r="B780" i="8"/>
  <c r="A807" i="15"/>
  <c r="A807" i="14"/>
  <c r="A807" i="9"/>
  <c r="A807" i="11"/>
  <c r="A807" i="8"/>
  <c r="C34" i="15"/>
  <c r="C34" i="11"/>
  <c r="C34" i="14"/>
  <c r="C34" i="8"/>
  <c r="C34" i="9"/>
  <c r="C40" i="15"/>
  <c r="C40" i="14"/>
  <c r="C40" i="11"/>
  <c r="C40" i="8"/>
  <c r="C40" i="9"/>
  <c r="C43" i="15"/>
  <c r="C43" i="14"/>
  <c r="C43" i="11"/>
  <c r="C43" i="8"/>
  <c r="C43" i="9"/>
  <c r="C45" i="15"/>
  <c r="C45" i="14"/>
  <c r="C45" i="9"/>
  <c r="C45" i="8"/>
  <c r="C45" i="11"/>
  <c r="C48" i="15"/>
  <c r="C48" i="14"/>
  <c r="C48" i="11"/>
  <c r="C48" i="9"/>
  <c r="C48" i="8"/>
  <c r="F50" i="1"/>
  <c r="D50" i="15"/>
  <c r="F50" i="15" s="1"/>
  <c r="D50" i="14"/>
  <c r="F50" i="14" s="1"/>
  <c r="D50" i="11"/>
  <c r="F50" i="11" s="1"/>
  <c r="D50" i="9"/>
  <c r="D50" i="8"/>
  <c r="E54" i="15"/>
  <c r="E54" i="14"/>
  <c r="E54" i="11"/>
  <c r="E54" i="9"/>
  <c r="E54" i="8"/>
  <c r="F59" i="1"/>
  <c r="J59" i="1" s="1"/>
  <c r="D59" i="15"/>
  <c r="F59" i="15" s="1"/>
  <c r="D59" i="14"/>
  <c r="F59" i="14" s="1"/>
  <c r="D59" i="9"/>
  <c r="D59" i="11"/>
  <c r="F59" i="11" s="1"/>
  <c r="D59" i="8"/>
  <c r="C63" i="14"/>
  <c r="C63" i="15"/>
  <c r="C63" i="11"/>
  <c r="C63" i="8"/>
  <c r="C63" i="9"/>
  <c r="F67" i="1"/>
  <c r="H67" i="1" s="1"/>
  <c r="D67" i="15"/>
  <c r="F67" i="15" s="1"/>
  <c r="D67" i="14"/>
  <c r="F67" i="14" s="1"/>
  <c r="D67" i="8"/>
  <c r="D67" i="11"/>
  <c r="F67" i="11" s="1"/>
  <c r="D67" i="9"/>
  <c r="E70" i="15"/>
  <c r="E70" i="14"/>
  <c r="E70" i="9"/>
  <c r="E70" i="8"/>
  <c r="E70" i="11"/>
  <c r="C73" i="15"/>
  <c r="C73" i="14"/>
  <c r="C73" i="9"/>
  <c r="C73" i="11"/>
  <c r="C73" i="8"/>
  <c r="F78" i="1"/>
  <c r="I78" i="1" s="1"/>
  <c r="A81" i="15"/>
  <c r="A81" i="14"/>
  <c r="A81" i="9"/>
  <c r="A81" i="11"/>
  <c r="A81" i="8"/>
  <c r="E83" i="15"/>
  <c r="E83" i="14"/>
  <c r="E83" i="11"/>
  <c r="E83" i="9"/>
  <c r="E83" i="8"/>
  <c r="D86" i="15"/>
  <c r="F86" i="15" s="1"/>
  <c r="D86" i="14"/>
  <c r="F86" i="14" s="1"/>
  <c r="D86" i="9"/>
  <c r="D86" i="11"/>
  <c r="F86" i="11" s="1"/>
  <c r="D86" i="8"/>
  <c r="C167" i="15"/>
  <c r="C167" i="14"/>
  <c r="C167" i="11"/>
  <c r="C167" i="8"/>
  <c r="C167" i="9"/>
  <c r="D169" i="15"/>
  <c r="F169" i="15" s="1"/>
  <c r="D169" i="14"/>
  <c r="F169" i="14" s="1"/>
  <c r="D169" i="11"/>
  <c r="F169" i="11" s="1"/>
  <c r="D169" i="9"/>
  <c r="D169" i="8"/>
  <c r="A178" i="14"/>
  <c r="A178" i="15"/>
  <c r="A178" i="9"/>
  <c r="A178" i="11"/>
  <c r="A178" i="8"/>
  <c r="C10" i="15"/>
  <c r="C10" i="14"/>
  <c r="C10" i="9"/>
  <c r="C10" i="11"/>
  <c r="C10" i="8"/>
  <c r="E12" i="15"/>
  <c r="E12" i="14"/>
  <c r="E12" i="9"/>
  <c r="E12" i="11"/>
  <c r="E12" i="8"/>
  <c r="C14" i="14"/>
  <c r="C14" i="15"/>
  <c r="C14" i="11"/>
  <c r="C14" i="9"/>
  <c r="C14" i="8"/>
  <c r="B17" i="15"/>
  <c r="B17" i="14"/>
  <c r="B17" i="11"/>
  <c r="B17" i="9"/>
  <c r="B17" i="8"/>
  <c r="F19" i="1"/>
  <c r="D19" i="15"/>
  <c r="F19" i="15" s="1"/>
  <c r="D19" i="14"/>
  <c r="F19" i="14" s="1"/>
  <c r="D19" i="11"/>
  <c r="F19" i="11" s="1"/>
  <c r="D19" i="8"/>
  <c r="D19" i="9"/>
  <c r="D22" i="15"/>
  <c r="F22" i="15" s="1"/>
  <c r="D22" i="14"/>
  <c r="F22" i="14" s="1"/>
  <c r="D22" i="11"/>
  <c r="F22" i="11" s="1"/>
  <c r="D22" i="9"/>
  <c r="D22" i="8"/>
  <c r="A25" i="15"/>
  <c r="A25" i="14"/>
  <c r="A25" i="11"/>
  <c r="A25" i="9"/>
  <c r="A25" i="8"/>
  <c r="B27" i="15"/>
  <c r="B27" i="14"/>
  <c r="B27" i="11"/>
  <c r="B27" i="9"/>
  <c r="B27" i="8"/>
  <c r="A30" i="14"/>
  <c r="A30" i="15"/>
  <c r="A30" i="11"/>
  <c r="A30" i="8"/>
  <c r="A30" i="9"/>
  <c r="B32" i="15"/>
  <c r="B32" i="14"/>
  <c r="B32" i="9"/>
  <c r="B32" i="11"/>
  <c r="B32" i="8"/>
  <c r="F34" i="1"/>
  <c r="D34" i="15"/>
  <c r="F34" i="15" s="1"/>
  <c r="D34" i="11"/>
  <c r="F34" i="11" s="1"/>
  <c r="D34" i="14"/>
  <c r="F34" i="14" s="1"/>
  <c r="D34" i="9"/>
  <c r="D34" i="8"/>
  <c r="F37" i="1"/>
  <c r="D37" i="14"/>
  <c r="F37" i="14" s="1"/>
  <c r="D37" i="15"/>
  <c r="F37" i="15" s="1"/>
  <c r="D37" i="9"/>
  <c r="D37" i="11"/>
  <c r="F37" i="11" s="1"/>
  <c r="D37" i="8"/>
  <c r="F40" i="1"/>
  <c r="H40" i="1" s="1"/>
  <c r="D40" i="15"/>
  <c r="F40" i="15" s="1"/>
  <c r="D40" i="14"/>
  <c r="F40" i="14" s="1"/>
  <c r="D40" i="11"/>
  <c r="F40" i="11" s="1"/>
  <c r="D40" i="9"/>
  <c r="D40" i="8"/>
  <c r="D43" i="14"/>
  <c r="F43" i="14" s="1"/>
  <c r="D43" i="15"/>
  <c r="F43" i="15" s="1"/>
  <c r="D43" i="11"/>
  <c r="F43" i="11" s="1"/>
  <c r="D43" i="9"/>
  <c r="D43" i="8"/>
  <c r="F45" i="1"/>
  <c r="D45" i="15"/>
  <c r="F45" i="15" s="1"/>
  <c r="D45" i="14"/>
  <c r="F45" i="14" s="1"/>
  <c r="D45" i="9"/>
  <c r="D45" i="8"/>
  <c r="D45" i="11"/>
  <c r="F45" i="11" s="1"/>
  <c r="D48" i="15"/>
  <c r="F48" i="15" s="1"/>
  <c r="D48" i="14"/>
  <c r="F48" i="14" s="1"/>
  <c r="D48" i="11"/>
  <c r="F48" i="11" s="1"/>
  <c r="D48" i="8"/>
  <c r="D48" i="9"/>
  <c r="E50" i="15"/>
  <c r="E50" i="14"/>
  <c r="E50" i="8"/>
  <c r="E50" i="9"/>
  <c r="E50" i="11"/>
  <c r="A53" i="15"/>
  <c r="A53" i="14"/>
  <c r="A53" i="9"/>
  <c r="A53" i="8"/>
  <c r="A53" i="11"/>
  <c r="E59" i="15"/>
  <c r="E59" i="14"/>
  <c r="E59" i="9"/>
  <c r="E59" i="11"/>
  <c r="E59" i="8"/>
  <c r="D63" i="14"/>
  <c r="F63" i="14" s="1"/>
  <c r="D63" i="15"/>
  <c r="F63" i="15" s="1"/>
  <c r="D63" i="9"/>
  <c r="D63" i="11"/>
  <c r="F63" i="11" s="1"/>
  <c r="D63" i="8"/>
  <c r="E67" i="15"/>
  <c r="E67" i="14"/>
  <c r="E67" i="9"/>
  <c r="E67" i="8"/>
  <c r="E67" i="11"/>
  <c r="A71" i="15"/>
  <c r="A71" i="14"/>
  <c r="A71" i="9"/>
  <c r="A71" i="11"/>
  <c r="A71" i="8"/>
  <c r="F73" i="1"/>
  <c r="I73" i="1" s="1"/>
  <c r="D73" i="15"/>
  <c r="F73" i="15" s="1"/>
  <c r="D73" i="9"/>
  <c r="D73" i="14"/>
  <c r="F73" i="14" s="1"/>
  <c r="D73" i="11"/>
  <c r="F73" i="11" s="1"/>
  <c r="D73" i="8"/>
  <c r="A76" i="15"/>
  <c r="A76" i="14"/>
  <c r="A76" i="9"/>
  <c r="A76" i="11"/>
  <c r="A76" i="8"/>
  <c r="B81" i="15"/>
  <c r="B81" i="14"/>
  <c r="B81" i="9"/>
  <c r="B81" i="11"/>
  <c r="B81" i="8"/>
  <c r="E86" i="15"/>
  <c r="E86" i="14"/>
  <c r="E86" i="9"/>
  <c r="E86" i="11"/>
  <c r="E86" i="8"/>
  <c r="E88" i="15"/>
  <c r="E88" i="11"/>
  <c r="E88" i="14"/>
  <c r="E88" i="9"/>
  <c r="E88" i="8"/>
  <c r="D91" i="15"/>
  <c r="F91" i="15" s="1"/>
  <c r="D91" i="14"/>
  <c r="F91" i="14" s="1"/>
  <c r="D91" i="11"/>
  <c r="F91" i="11" s="1"/>
  <c r="D91" i="9"/>
  <c r="D91" i="8"/>
  <c r="F93" i="1"/>
  <c r="D93" i="15"/>
  <c r="F93" i="15" s="1"/>
  <c r="D93" i="11"/>
  <c r="F93" i="11" s="1"/>
  <c r="D93" i="9"/>
  <c r="D93" i="14"/>
  <c r="F93" i="14" s="1"/>
  <c r="D93" i="8"/>
  <c r="E95" i="15"/>
  <c r="E95" i="11"/>
  <c r="E95" i="14"/>
  <c r="E95" i="9"/>
  <c r="E95" i="8"/>
  <c r="B98" i="15"/>
  <c r="B98" i="14"/>
  <c r="B98" i="11"/>
  <c r="B98" i="9"/>
  <c r="B98" i="8"/>
  <c r="B101" i="15"/>
  <c r="B101" i="11"/>
  <c r="B101" i="14"/>
  <c r="B101" i="8"/>
  <c r="B101" i="9"/>
  <c r="B104" i="15"/>
  <c r="B104" i="11"/>
  <c r="B104" i="14"/>
  <c r="B104" i="8"/>
  <c r="B104" i="9"/>
  <c r="F106" i="1"/>
  <c r="H106" i="1" s="1"/>
  <c r="D106" i="15"/>
  <c r="F106" i="15" s="1"/>
  <c r="D106" i="14"/>
  <c r="F106" i="14" s="1"/>
  <c r="D106" i="11"/>
  <c r="F106" i="11" s="1"/>
  <c r="D106" i="8"/>
  <c r="D106" i="9"/>
  <c r="B111" i="14"/>
  <c r="B111" i="11"/>
  <c r="B111" i="15"/>
  <c r="B111" i="9"/>
  <c r="B111" i="8"/>
  <c r="B114" i="15"/>
  <c r="B114" i="14"/>
  <c r="B114" i="11"/>
  <c r="B114" i="8"/>
  <c r="B114" i="9"/>
  <c r="C116" i="15"/>
  <c r="C116" i="14"/>
  <c r="C116" i="8"/>
  <c r="C116" i="11"/>
  <c r="C116" i="9"/>
  <c r="A119" i="15"/>
  <c r="A119" i="14"/>
  <c r="A119" i="11"/>
  <c r="A119" i="9"/>
  <c r="A119" i="8"/>
  <c r="F121" i="1"/>
  <c r="D121" i="15"/>
  <c r="F121" i="15" s="1"/>
  <c r="D121" i="14"/>
  <c r="F121" i="14" s="1"/>
  <c r="D121" i="11"/>
  <c r="F121" i="11" s="1"/>
  <c r="D121" i="9"/>
  <c r="D121" i="8"/>
  <c r="F123" i="1"/>
  <c r="J123" i="1" s="1"/>
  <c r="D123" i="15"/>
  <c r="F123" i="15" s="1"/>
  <c r="D123" i="14"/>
  <c r="F123" i="14" s="1"/>
  <c r="D123" i="11"/>
  <c r="F123" i="11" s="1"/>
  <c r="D123" i="9"/>
  <c r="D123" i="8"/>
  <c r="E126" i="15"/>
  <c r="E126" i="14"/>
  <c r="E126" i="11"/>
  <c r="E126" i="9"/>
  <c r="E126" i="8"/>
  <c r="A130" i="15"/>
  <c r="A130" i="11"/>
  <c r="A130" i="9"/>
  <c r="A130" i="14"/>
  <c r="A130" i="8"/>
  <c r="A133" i="15"/>
  <c r="A133" i="14"/>
  <c r="A133" i="11"/>
  <c r="A133" i="9"/>
  <c r="A133" i="8"/>
  <c r="F135" i="1"/>
  <c r="D135" i="14"/>
  <c r="F135" i="14" s="1"/>
  <c r="D135" i="11"/>
  <c r="F135" i="11" s="1"/>
  <c r="D135" i="9"/>
  <c r="D135" i="15"/>
  <c r="F135" i="15" s="1"/>
  <c r="D135" i="8"/>
  <c r="C138" i="15"/>
  <c r="C138" i="14"/>
  <c r="C138" i="11"/>
  <c r="C138" i="8"/>
  <c r="C138" i="9"/>
  <c r="A141" i="15"/>
  <c r="A141" i="11"/>
  <c r="A141" i="14"/>
  <c r="A141" i="9"/>
  <c r="A141" i="8"/>
  <c r="A143" i="15"/>
  <c r="A143" i="14"/>
  <c r="A143" i="11"/>
  <c r="A143" i="8"/>
  <c r="A143" i="9"/>
  <c r="C145" i="15"/>
  <c r="C145" i="14"/>
  <c r="C145" i="11"/>
  <c r="C145" i="9"/>
  <c r="C145" i="8"/>
  <c r="E147" i="15"/>
  <c r="E147" i="14"/>
  <c r="E147" i="9"/>
  <c r="E147" i="11"/>
  <c r="E147" i="8"/>
  <c r="A150" i="14"/>
  <c r="A150" i="15"/>
  <c r="A150" i="9"/>
  <c r="A150" i="8"/>
  <c r="A150" i="11"/>
  <c r="C154" i="15"/>
  <c r="C154" i="14"/>
  <c r="C154" i="8"/>
  <c r="C154" i="9"/>
  <c r="C154" i="11"/>
  <c r="B157" i="15"/>
  <c r="B157" i="14"/>
  <c r="B157" i="11"/>
  <c r="B157" i="9"/>
  <c r="B157" i="8"/>
  <c r="E159" i="15"/>
  <c r="E159" i="14"/>
  <c r="E159" i="11"/>
  <c r="E159" i="8"/>
  <c r="E159" i="9"/>
  <c r="F164" i="1"/>
  <c r="H164" i="1" s="1"/>
  <c r="D164" i="14"/>
  <c r="F164" i="14" s="1"/>
  <c r="D164" i="15"/>
  <c r="F164" i="15" s="1"/>
  <c r="D164" i="11"/>
  <c r="F164" i="11" s="1"/>
  <c r="D164" i="9"/>
  <c r="D164" i="8"/>
  <c r="D167" i="15"/>
  <c r="F167" i="15" s="1"/>
  <c r="D167" i="14"/>
  <c r="F167" i="14" s="1"/>
  <c r="D167" i="11"/>
  <c r="F167" i="11" s="1"/>
  <c r="D167" i="8"/>
  <c r="D167" i="9"/>
  <c r="E169" i="15"/>
  <c r="E169" i="14"/>
  <c r="E169" i="11"/>
  <c r="E169" i="9"/>
  <c r="E169" i="8"/>
  <c r="F172" i="1"/>
  <c r="I172" i="1" s="1"/>
  <c r="D172" i="15"/>
  <c r="F172" i="15" s="1"/>
  <c r="D172" i="14"/>
  <c r="F172" i="14" s="1"/>
  <c r="D172" i="11"/>
  <c r="F172" i="11" s="1"/>
  <c r="D172" i="8"/>
  <c r="D172" i="9"/>
  <c r="F175" i="1"/>
  <c r="G175" i="1" s="1"/>
  <c r="D175" i="15"/>
  <c r="F175" i="15" s="1"/>
  <c r="D175" i="14"/>
  <c r="F175" i="14" s="1"/>
  <c r="D175" i="11"/>
  <c r="F175" i="11" s="1"/>
  <c r="D175" i="9"/>
  <c r="D175" i="8"/>
  <c r="B178" i="14"/>
  <c r="B178" i="15"/>
  <c r="B178" i="9"/>
  <c r="B178" i="11"/>
  <c r="B178" i="8"/>
  <c r="F180" i="1"/>
  <c r="G180" i="1" s="1"/>
  <c r="D180" i="15"/>
  <c r="F180" i="15" s="1"/>
  <c r="D180" i="14"/>
  <c r="F180" i="14" s="1"/>
  <c r="D180" i="8"/>
  <c r="D180" i="11"/>
  <c r="F180" i="11" s="1"/>
  <c r="D180" i="9"/>
  <c r="F183" i="1"/>
  <c r="J183" i="1" s="1"/>
  <c r="D183" i="15"/>
  <c r="F183" i="15" s="1"/>
  <c r="D183" i="14"/>
  <c r="F183" i="14" s="1"/>
  <c r="D183" i="9"/>
  <c r="D183" i="11"/>
  <c r="F183" i="11" s="1"/>
  <c r="D183" i="8"/>
  <c r="F186" i="1"/>
  <c r="D186" i="15"/>
  <c r="F186" i="15" s="1"/>
  <c r="D186" i="11"/>
  <c r="F186" i="11" s="1"/>
  <c r="D186" i="9"/>
  <c r="D186" i="14"/>
  <c r="F186" i="14" s="1"/>
  <c r="D186" i="8"/>
  <c r="B189" i="15"/>
  <c r="B189" i="14"/>
  <c r="B189" i="11"/>
  <c r="B189" i="9"/>
  <c r="B189" i="8"/>
  <c r="D192" i="15"/>
  <c r="F192" i="15" s="1"/>
  <c r="D192" i="14"/>
  <c r="F192" i="14" s="1"/>
  <c r="D192" i="11"/>
  <c r="F192" i="11" s="1"/>
  <c r="D192" i="9"/>
  <c r="D192" i="8"/>
  <c r="A194" i="15"/>
  <c r="A194" i="11"/>
  <c r="A194" i="14"/>
  <c r="A194" i="9"/>
  <c r="A194" i="8"/>
  <c r="E198" i="15"/>
  <c r="E198" i="14"/>
  <c r="E198" i="11"/>
  <c r="E198" i="9"/>
  <c r="E198" i="8"/>
  <c r="A204" i="15"/>
  <c r="A204" i="14"/>
  <c r="A204" i="11"/>
  <c r="A204" i="9"/>
  <c r="A204" i="8"/>
  <c r="D206" i="15"/>
  <c r="F206" i="15" s="1"/>
  <c r="D206" i="11"/>
  <c r="F206" i="11" s="1"/>
  <c r="D206" i="14"/>
  <c r="F206" i="14" s="1"/>
  <c r="D206" i="9"/>
  <c r="D206" i="8"/>
  <c r="E210" i="15"/>
  <c r="E210" i="14"/>
  <c r="E210" i="11"/>
  <c r="E210" i="8"/>
  <c r="E210" i="9"/>
  <c r="B213" i="15"/>
  <c r="B213" i="14"/>
  <c r="B213" i="11"/>
  <c r="B213" i="9"/>
  <c r="B213" i="8"/>
  <c r="C215" i="15"/>
  <c r="C215" i="14"/>
  <c r="C215" i="9"/>
  <c r="C215" i="11"/>
  <c r="C215" i="8"/>
  <c r="A220" i="15"/>
  <c r="A220" i="14"/>
  <c r="A220" i="11"/>
  <c r="A220" i="9"/>
  <c r="A220" i="8"/>
  <c r="B222" i="15"/>
  <c r="B222" i="14"/>
  <c r="B222" i="11"/>
  <c r="B222" i="8"/>
  <c r="B222" i="9"/>
  <c r="E224" i="15"/>
  <c r="E224" i="14"/>
  <c r="E224" i="11"/>
  <c r="E224" i="8"/>
  <c r="E224" i="9"/>
  <c r="B227" i="15"/>
  <c r="B227" i="14"/>
  <c r="B227" i="11"/>
  <c r="B227" i="9"/>
  <c r="B227" i="8"/>
  <c r="A230" i="14"/>
  <c r="A230" i="11"/>
  <c r="A230" i="15"/>
  <c r="A230" i="9"/>
  <c r="A230" i="8"/>
  <c r="A233" i="15"/>
  <c r="A233" i="14"/>
  <c r="A233" i="11"/>
  <c r="A233" i="8"/>
  <c r="A233" i="9"/>
  <c r="C235" i="15"/>
  <c r="C235" i="14"/>
  <c r="C235" i="11"/>
  <c r="C235" i="9"/>
  <c r="C235" i="8"/>
  <c r="A238" i="15"/>
  <c r="A238" i="14"/>
  <c r="A238" i="11"/>
  <c r="A238" i="9"/>
  <c r="A238" i="8"/>
  <c r="B240" i="15"/>
  <c r="B240" i="14"/>
  <c r="B240" i="11"/>
  <c r="B240" i="9"/>
  <c r="B240" i="8"/>
  <c r="E242" i="15"/>
  <c r="E242" i="11"/>
  <c r="E242" i="14"/>
  <c r="E242" i="9"/>
  <c r="E242" i="8"/>
  <c r="E244" i="15"/>
  <c r="E244" i="14"/>
  <c r="E244" i="11"/>
  <c r="E244" i="8"/>
  <c r="E244" i="9"/>
  <c r="A247" i="14"/>
  <c r="A247" i="15"/>
  <c r="A247" i="11"/>
  <c r="A247" i="9"/>
  <c r="A247" i="8"/>
  <c r="A250" i="15"/>
  <c r="A250" i="14"/>
  <c r="A250" i="11"/>
  <c r="A250" i="9"/>
  <c r="A250" i="8"/>
  <c r="C252" i="15"/>
  <c r="C252" i="14"/>
  <c r="C252" i="9"/>
  <c r="C252" i="11"/>
  <c r="C252" i="8"/>
  <c r="E256" i="15"/>
  <c r="E256" i="11"/>
  <c r="E256" i="14"/>
  <c r="E256" i="9"/>
  <c r="E256" i="8"/>
  <c r="E258" i="15"/>
  <c r="E258" i="9"/>
  <c r="E258" i="14"/>
  <c r="E258" i="11"/>
  <c r="E258" i="8"/>
  <c r="B261" i="15"/>
  <c r="B261" i="14"/>
  <c r="B261" i="11"/>
  <c r="B261" i="9"/>
  <c r="B261" i="8"/>
  <c r="B266" i="15"/>
  <c r="B266" i="14"/>
  <c r="B266" i="9"/>
  <c r="B266" i="11"/>
  <c r="B266" i="8"/>
  <c r="D271" i="14"/>
  <c r="F271" i="14" s="1"/>
  <c r="D271" i="15"/>
  <c r="F271" i="15" s="1"/>
  <c r="D271" i="9"/>
  <c r="D271" i="11"/>
  <c r="F271" i="11" s="1"/>
  <c r="D271" i="8"/>
  <c r="E275" i="15"/>
  <c r="E275" i="14"/>
  <c r="E275" i="11"/>
  <c r="E275" i="9"/>
  <c r="E275" i="8"/>
  <c r="E278" i="15"/>
  <c r="E278" i="11"/>
  <c r="E278" i="9"/>
  <c r="E278" i="14"/>
  <c r="E278" i="8"/>
  <c r="B281" i="15"/>
  <c r="B281" i="14"/>
  <c r="B281" i="11"/>
  <c r="B281" i="9"/>
  <c r="B281" i="8"/>
  <c r="C284" i="15"/>
  <c r="C284" i="14"/>
  <c r="C284" i="9"/>
  <c r="C284" i="11"/>
  <c r="C284" i="8"/>
  <c r="B286" i="15"/>
  <c r="B286" i="14"/>
  <c r="B286" i="11"/>
  <c r="B286" i="9"/>
  <c r="B286" i="8"/>
  <c r="E290" i="15"/>
  <c r="E290" i="14"/>
  <c r="E290" i="11"/>
  <c r="E290" i="8"/>
  <c r="E290" i="9"/>
  <c r="F293" i="1"/>
  <c r="D293" i="15"/>
  <c r="F293" i="15" s="1"/>
  <c r="D293" i="14"/>
  <c r="F293" i="14" s="1"/>
  <c r="D293" i="11"/>
  <c r="F293" i="11" s="1"/>
  <c r="D293" i="9"/>
  <c r="D293" i="8"/>
  <c r="B296" i="15"/>
  <c r="B296" i="14"/>
  <c r="B296" i="11"/>
  <c r="B296" i="9"/>
  <c r="B296" i="8"/>
  <c r="B299" i="15"/>
  <c r="B299" i="11"/>
  <c r="B299" i="9"/>
  <c r="B299" i="14"/>
  <c r="B299" i="8"/>
  <c r="C302" i="14"/>
  <c r="C302" i="15"/>
  <c r="C302" i="11"/>
  <c r="C302" i="8"/>
  <c r="C302" i="9"/>
  <c r="B305" i="15"/>
  <c r="B305" i="14"/>
  <c r="B305" i="11"/>
  <c r="B305" i="8"/>
  <c r="B305" i="9"/>
  <c r="F307" i="1"/>
  <c r="J307" i="1" s="1"/>
  <c r="D307" i="15"/>
  <c r="F307" i="15" s="1"/>
  <c r="D307" i="14"/>
  <c r="F307" i="14" s="1"/>
  <c r="D307" i="11"/>
  <c r="F307" i="11" s="1"/>
  <c r="D307" i="8"/>
  <c r="D307" i="9"/>
  <c r="B312" i="15"/>
  <c r="B312" i="14"/>
  <c r="B312" i="9"/>
  <c r="B312" i="8"/>
  <c r="B312" i="11"/>
  <c r="E314" i="15"/>
  <c r="E314" i="11"/>
  <c r="E314" i="14"/>
  <c r="E314" i="8"/>
  <c r="E314" i="9"/>
  <c r="B317" i="15"/>
  <c r="B317" i="14"/>
  <c r="B317" i="11"/>
  <c r="B317" i="9"/>
  <c r="B317" i="8"/>
  <c r="B319" i="15"/>
  <c r="B319" i="14"/>
  <c r="B319" i="11"/>
  <c r="B319" i="9"/>
  <c r="B319" i="8"/>
  <c r="F326" i="1"/>
  <c r="H326" i="1" s="1"/>
  <c r="C329" i="14"/>
  <c r="C329" i="15"/>
  <c r="C329" i="11"/>
  <c r="C329" i="8"/>
  <c r="C329" i="9"/>
  <c r="A332" i="15"/>
  <c r="A332" i="14"/>
  <c r="A332" i="11"/>
  <c r="A332" i="9"/>
  <c r="A332" i="8"/>
  <c r="E333" i="15"/>
  <c r="E333" i="14"/>
  <c r="E333" i="9"/>
  <c r="E333" i="11"/>
  <c r="E333" i="8"/>
  <c r="A336" i="15"/>
  <c r="A336" i="14"/>
  <c r="A336" i="11"/>
  <c r="A336" i="9"/>
  <c r="A336" i="8"/>
  <c r="A339" i="15"/>
  <c r="A339" i="14"/>
  <c r="A339" i="11"/>
  <c r="A339" i="9"/>
  <c r="A339" i="8"/>
  <c r="B342" i="14"/>
  <c r="B342" i="15"/>
  <c r="B342" i="11"/>
  <c r="B342" i="9"/>
  <c r="B342" i="8"/>
  <c r="B345" i="15"/>
  <c r="B345" i="14"/>
  <c r="B345" i="11"/>
  <c r="B345" i="8"/>
  <c r="B345" i="9"/>
  <c r="A348" i="15"/>
  <c r="A348" i="14"/>
  <c r="A348" i="9"/>
  <c r="A348" i="11"/>
  <c r="A348" i="8"/>
  <c r="F353" i="1"/>
  <c r="D353" i="15"/>
  <c r="F353" i="15" s="1"/>
  <c r="D353" i="14"/>
  <c r="F353" i="14" s="1"/>
  <c r="D353" i="9"/>
  <c r="D353" i="11"/>
  <c r="F353" i="11" s="1"/>
  <c r="D353" i="8"/>
  <c r="E358" i="15"/>
  <c r="E358" i="14"/>
  <c r="E358" i="11"/>
  <c r="E358" i="9"/>
  <c r="E358" i="8"/>
  <c r="C361" i="15"/>
  <c r="C361" i="14"/>
  <c r="C361" i="11"/>
  <c r="C361" i="9"/>
  <c r="C361" i="8"/>
  <c r="C364" i="15"/>
  <c r="C364" i="14"/>
  <c r="C364" i="11"/>
  <c r="C364" i="8"/>
  <c r="C364" i="9"/>
  <c r="B367" i="15"/>
  <c r="B367" i="11"/>
  <c r="B367" i="14"/>
  <c r="B367" i="9"/>
  <c r="B367" i="8"/>
  <c r="B370" i="15"/>
  <c r="B370" i="14"/>
  <c r="B370" i="11"/>
  <c r="B370" i="9"/>
  <c r="B370" i="8"/>
  <c r="C372" i="14"/>
  <c r="C372" i="15"/>
  <c r="C372" i="11"/>
  <c r="C372" i="9"/>
  <c r="C372" i="8"/>
  <c r="E374" i="15"/>
  <c r="E374" i="14"/>
  <c r="E374" i="11"/>
  <c r="E374" i="8"/>
  <c r="E374" i="9"/>
  <c r="A377" i="15"/>
  <c r="A377" i="14"/>
  <c r="A377" i="11"/>
  <c r="A377" i="8"/>
  <c r="A377" i="9"/>
  <c r="E379" i="15"/>
  <c r="E379" i="14"/>
  <c r="E379" i="11"/>
  <c r="E379" i="9"/>
  <c r="E379" i="8"/>
  <c r="E382" i="15"/>
  <c r="E382" i="14"/>
  <c r="E382" i="11"/>
  <c r="E382" i="9"/>
  <c r="E382" i="8"/>
  <c r="F385" i="1"/>
  <c r="D385" i="15"/>
  <c r="F385" i="15" s="1"/>
  <c r="D385" i="14"/>
  <c r="F385" i="14" s="1"/>
  <c r="D385" i="9"/>
  <c r="D385" i="8"/>
  <c r="D385" i="11"/>
  <c r="F385" i="11" s="1"/>
  <c r="F388" i="1"/>
  <c r="J388" i="1" s="1"/>
  <c r="D388" i="15"/>
  <c r="F388" i="15" s="1"/>
  <c r="D388" i="14"/>
  <c r="F388" i="14" s="1"/>
  <c r="D388" i="11"/>
  <c r="F388" i="11" s="1"/>
  <c r="D388" i="9"/>
  <c r="D388" i="8"/>
  <c r="D390" i="15"/>
  <c r="F390" i="15" s="1"/>
  <c r="D390" i="14"/>
  <c r="F390" i="14" s="1"/>
  <c r="D390" i="11"/>
  <c r="F390" i="11" s="1"/>
  <c r="D390" i="9"/>
  <c r="D390" i="8"/>
  <c r="A395" i="15"/>
  <c r="A395" i="14"/>
  <c r="A395" i="11"/>
  <c r="A395" i="9"/>
  <c r="A395" i="8"/>
  <c r="B398" i="15"/>
  <c r="B398" i="14"/>
  <c r="B398" i="11"/>
  <c r="B398" i="9"/>
  <c r="B398" i="8"/>
  <c r="E400" i="15"/>
  <c r="E400" i="14"/>
  <c r="E400" i="11"/>
  <c r="E400" i="9"/>
  <c r="E400" i="8"/>
  <c r="A405" i="15"/>
  <c r="A405" i="14"/>
  <c r="A405" i="9"/>
  <c r="A405" i="11"/>
  <c r="A405" i="8"/>
  <c r="E407" i="15"/>
  <c r="E407" i="14"/>
  <c r="E407" i="11"/>
  <c r="E407" i="9"/>
  <c r="E407" i="8"/>
  <c r="D412" i="15"/>
  <c r="F412" i="15" s="1"/>
  <c r="D412" i="14"/>
  <c r="F412" i="14" s="1"/>
  <c r="D412" i="11"/>
  <c r="F412" i="11" s="1"/>
  <c r="D412" i="8"/>
  <c r="D412" i="9"/>
  <c r="F415" i="1"/>
  <c r="D415" i="15"/>
  <c r="F415" i="15" s="1"/>
  <c r="D415" i="11"/>
  <c r="F415" i="11" s="1"/>
  <c r="D415" i="14"/>
  <c r="F415" i="14" s="1"/>
  <c r="D415" i="8"/>
  <c r="D415" i="9"/>
  <c r="F418" i="1"/>
  <c r="G418" i="1" s="1"/>
  <c r="D418" i="15"/>
  <c r="F418" i="15" s="1"/>
  <c r="D418" i="14"/>
  <c r="F418" i="14" s="1"/>
  <c r="D418" i="11"/>
  <c r="F418" i="11" s="1"/>
  <c r="D418" i="9"/>
  <c r="D418" i="8"/>
  <c r="A420" i="15"/>
  <c r="A420" i="14"/>
  <c r="A420" i="11"/>
  <c r="A420" i="8"/>
  <c r="A420" i="9"/>
  <c r="F422" i="1"/>
  <c r="G422" i="1" s="1"/>
  <c r="D422" i="14"/>
  <c r="F422" i="14" s="1"/>
  <c r="D422" i="15"/>
  <c r="F422" i="15" s="1"/>
  <c r="D422" i="11"/>
  <c r="F422" i="11" s="1"/>
  <c r="D422" i="8"/>
  <c r="D422" i="9"/>
  <c r="A425" i="15"/>
  <c r="A425" i="14"/>
  <c r="A425" i="11"/>
  <c r="A425" i="8"/>
  <c r="A425" i="9"/>
  <c r="B427" i="15"/>
  <c r="B427" i="14"/>
  <c r="B427" i="11"/>
  <c r="B427" i="8"/>
  <c r="B427" i="9"/>
  <c r="E429" i="15"/>
  <c r="E429" i="14"/>
  <c r="E429" i="11"/>
  <c r="E429" i="9"/>
  <c r="E429" i="8"/>
  <c r="B432" i="15"/>
  <c r="B432" i="14"/>
  <c r="B432" i="11"/>
  <c r="B432" i="9"/>
  <c r="B432" i="8"/>
  <c r="C435" i="14"/>
  <c r="C435" i="15"/>
  <c r="C435" i="11"/>
  <c r="C435" i="9"/>
  <c r="C435" i="8"/>
  <c r="A437" i="15"/>
  <c r="A437" i="14"/>
  <c r="A437" i="9"/>
  <c r="A437" i="11"/>
  <c r="A437" i="8"/>
  <c r="A440" i="15"/>
  <c r="A440" i="14"/>
  <c r="A440" i="8"/>
  <c r="A440" i="11"/>
  <c r="A440" i="9"/>
  <c r="C442" i="15"/>
  <c r="C442" i="11"/>
  <c r="C442" i="14"/>
  <c r="C442" i="8"/>
  <c r="C442" i="9"/>
  <c r="F445" i="1"/>
  <c r="J445" i="1" s="1"/>
  <c r="D445" i="15"/>
  <c r="F445" i="15" s="1"/>
  <c r="D445" i="14"/>
  <c r="F445" i="14" s="1"/>
  <c r="D445" i="11"/>
  <c r="F445" i="11" s="1"/>
  <c r="D445" i="9"/>
  <c r="D445" i="8"/>
  <c r="A448" i="15"/>
  <c r="A448" i="14"/>
  <c r="A448" i="11"/>
  <c r="A448" i="9"/>
  <c r="A448" i="8"/>
  <c r="B450" i="11"/>
  <c r="B450" i="15"/>
  <c r="B450" i="14"/>
  <c r="B450" i="9"/>
  <c r="B450" i="8"/>
  <c r="A453" i="15"/>
  <c r="A453" i="14"/>
  <c r="A453" i="9"/>
  <c r="A453" i="11"/>
  <c r="A453" i="8"/>
  <c r="B455" i="15"/>
  <c r="B455" i="14"/>
  <c r="B455" i="11"/>
  <c r="B455" i="9"/>
  <c r="B455" i="8"/>
  <c r="A461" i="14"/>
  <c r="A461" i="15"/>
  <c r="A461" i="9"/>
  <c r="A461" i="8"/>
  <c r="A461" i="11"/>
  <c r="A464" i="15"/>
  <c r="A464" i="14"/>
  <c r="A464" i="9"/>
  <c r="A464" i="11"/>
  <c r="A464" i="8"/>
  <c r="B466" i="14"/>
  <c r="B466" i="15"/>
  <c r="B466" i="11"/>
  <c r="B466" i="8"/>
  <c r="B466" i="9"/>
  <c r="F468" i="1"/>
  <c r="I468" i="1" s="1"/>
  <c r="D468" i="15"/>
  <c r="F468" i="15" s="1"/>
  <c r="D468" i="11"/>
  <c r="F468" i="11" s="1"/>
  <c r="D468" i="14"/>
  <c r="F468" i="14" s="1"/>
  <c r="D468" i="8"/>
  <c r="D468" i="9"/>
  <c r="A471" i="15"/>
  <c r="A471" i="11"/>
  <c r="A471" i="14"/>
  <c r="A471" i="9"/>
  <c r="A471" i="8"/>
  <c r="B475" i="14"/>
  <c r="B475" i="11"/>
  <c r="B475" i="15"/>
  <c r="B475" i="9"/>
  <c r="B475" i="8"/>
  <c r="E477" i="15"/>
  <c r="E477" i="14"/>
  <c r="E477" i="11"/>
  <c r="E477" i="8"/>
  <c r="E477" i="9"/>
  <c r="F480" i="1"/>
  <c r="G480" i="1" s="1"/>
  <c r="D480" i="15"/>
  <c r="F480" i="15" s="1"/>
  <c r="D480" i="14"/>
  <c r="F480" i="14" s="1"/>
  <c r="D480" i="9"/>
  <c r="D480" i="8"/>
  <c r="D480" i="11"/>
  <c r="F480" i="11" s="1"/>
  <c r="C483" i="14"/>
  <c r="C483" i="15"/>
  <c r="C483" i="11"/>
  <c r="C483" i="9"/>
  <c r="C483" i="8"/>
  <c r="A485" i="15"/>
  <c r="A485" i="14"/>
  <c r="A485" i="11"/>
  <c r="A485" i="9"/>
  <c r="A485" i="8"/>
  <c r="A487" i="15"/>
  <c r="A487" i="11"/>
  <c r="A487" i="9"/>
  <c r="A487" i="14"/>
  <c r="A487" i="8"/>
  <c r="F489" i="1"/>
  <c r="D489" i="15"/>
  <c r="F489" i="15" s="1"/>
  <c r="D489" i="14"/>
  <c r="F489" i="14" s="1"/>
  <c r="D489" i="11"/>
  <c r="F489" i="11" s="1"/>
  <c r="D489" i="9"/>
  <c r="D489" i="8"/>
  <c r="B491" i="11"/>
  <c r="B491" i="14"/>
  <c r="B491" i="15"/>
  <c r="B491" i="9"/>
  <c r="B491" i="8"/>
  <c r="F493" i="1"/>
  <c r="J493" i="1" s="1"/>
  <c r="D493" i="15"/>
  <c r="F493" i="15" s="1"/>
  <c r="D493" i="14"/>
  <c r="F493" i="14" s="1"/>
  <c r="D493" i="11"/>
  <c r="F493" i="11" s="1"/>
  <c r="D493" i="8"/>
  <c r="D493" i="9"/>
  <c r="E496" i="11"/>
  <c r="E496" i="14"/>
  <c r="E496" i="15"/>
  <c r="E496" i="9"/>
  <c r="E496" i="8"/>
  <c r="E501" i="15"/>
  <c r="E501" i="14"/>
  <c r="E501" i="11"/>
  <c r="E501" i="9"/>
  <c r="E501" i="8"/>
  <c r="F506" i="1"/>
  <c r="G506" i="1" s="1"/>
  <c r="D506" i="15"/>
  <c r="F506" i="15" s="1"/>
  <c r="D506" i="11"/>
  <c r="F506" i="11" s="1"/>
  <c r="D506" i="8"/>
  <c r="D506" i="9"/>
  <c r="D506" i="14"/>
  <c r="F506" i="14" s="1"/>
  <c r="C509" i="15"/>
  <c r="C509" i="14"/>
  <c r="C509" i="11"/>
  <c r="C509" i="9"/>
  <c r="C509" i="8"/>
  <c r="A514" i="15"/>
  <c r="A514" i="11"/>
  <c r="A514" i="14"/>
  <c r="A514" i="9"/>
  <c r="A514" i="8"/>
  <c r="E516" i="15"/>
  <c r="E516" i="14"/>
  <c r="E516" i="11"/>
  <c r="E516" i="8"/>
  <c r="E516" i="9"/>
  <c r="A519" i="15"/>
  <c r="A519" i="14"/>
  <c r="A519" i="11"/>
  <c r="A519" i="9"/>
  <c r="A519" i="8"/>
  <c r="F524" i="1"/>
  <c r="J524" i="1" s="1"/>
  <c r="D524" i="15"/>
  <c r="F524" i="15" s="1"/>
  <c r="D524" i="14"/>
  <c r="F524" i="14" s="1"/>
  <c r="D524" i="9"/>
  <c r="F524" i="9" s="1"/>
  <c r="D524" i="8"/>
  <c r="F524" i="8" s="1"/>
  <c r="G524" i="8" s="1"/>
  <c r="D524" i="11"/>
  <c r="F524" i="11" s="1"/>
  <c r="C527" i="15"/>
  <c r="C527" i="14"/>
  <c r="C527" i="11"/>
  <c r="C527" i="9"/>
  <c r="C527" i="8"/>
  <c r="B530" i="15"/>
  <c r="B530" i="14"/>
  <c r="B530" i="11"/>
  <c r="B530" i="9"/>
  <c r="B530" i="8"/>
  <c r="B532" i="15"/>
  <c r="B532" i="14"/>
  <c r="B532" i="11"/>
  <c r="B532" i="9"/>
  <c r="B532" i="8"/>
  <c r="E534" i="14"/>
  <c r="E534" i="11"/>
  <c r="E534" i="15"/>
  <c r="E534" i="9"/>
  <c r="E534" i="8"/>
  <c r="D537" i="15"/>
  <c r="F537" i="15" s="1"/>
  <c r="D537" i="14"/>
  <c r="F537" i="14" s="1"/>
  <c r="D537" i="11"/>
  <c r="F537" i="11" s="1"/>
  <c r="D537" i="9"/>
  <c r="F537" i="9" s="1"/>
  <c r="D537" i="8"/>
  <c r="F537" i="8" s="1"/>
  <c r="G537" i="8" s="1"/>
  <c r="D540" i="15"/>
  <c r="F540" i="15" s="1"/>
  <c r="D540" i="14"/>
  <c r="F540" i="14" s="1"/>
  <c r="D540" i="11"/>
  <c r="F540" i="11" s="1"/>
  <c r="D540" i="9"/>
  <c r="F540" i="9" s="1"/>
  <c r="D540" i="8"/>
  <c r="F540" i="8" s="1"/>
  <c r="G540" i="8" s="1"/>
  <c r="A545" i="15"/>
  <c r="A545" i="14"/>
  <c r="A545" i="11"/>
  <c r="A545" i="8"/>
  <c r="A545" i="9"/>
  <c r="E547" i="15"/>
  <c r="E547" i="14"/>
  <c r="E547" i="11"/>
  <c r="E547" i="9"/>
  <c r="E547" i="8"/>
  <c r="D549" i="14"/>
  <c r="F549" i="14" s="1"/>
  <c r="D549" i="15"/>
  <c r="F549" i="15" s="1"/>
  <c r="D549" i="11"/>
  <c r="F549" i="11" s="1"/>
  <c r="D549" i="9"/>
  <c r="F549" i="9" s="1"/>
  <c r="D549" i="8"/>
  <c r="F549" i="8" s="1"/>
  <c r="G549" i="8" s="1"/>
  <c r="E551" i="15"/>
  <c r="E551" i="14"/>
  <c r="E551" i="9"/>
  <c r="E551" i="11"/>
  <c r="E551" i="8"/>
  <c r="B553" i="15"/>
  <c r="B553" i="11"/>
  <c r="B553" i="14"/>
  <c r="B553" i="9"/>
  <c r="B553" i="8"/>
  <c r="A557" i="15"/>
  <c r="A557" i="14"/>
  <c r="A557" i="11"/>
  <c r="A557" i="9"/>
  <c r="A557" i="8"/>
  <c r="E563" i="14"/>
  <c r="E563" i="9"/>
  <c r="E563" i="11"/>
  <c r="E563" i="8"/>
  <c r="E563" i="15"/>
  <c r="C566" i="15"/>
  <c r="C566" i="14"/>
  <c r="C566" i="11"/>
  <c r="C566" i="9"/>
  <c r="C566" i="8"/>
  <c r="E568" i="15"/>
  <c r="E568" i="11"/>
  <c r="E568" i="9"/>
  <c r="E568" i="14"/>
  <c r="E568" i="8"/>
  <c r="B571" i="15"/>
  <c r="B571" i="14"/>
  <c r="B571" i="9"/>
  <c r="B571" i="11"/>
  <c r="B571" i="8"/>
  <c r="A574" i="15"/>
  <c r="A574" i="14"/>
  <c r="A574" i="11"/>
  <c r="A574" i="9"/>
  <c r="A574" i="8"/>
  <c r="E576" i="15"/>
  <c r="E576" i="14"/>
  <c r="E576" i="11"/>
  <c r="E576" i="9"/>
  <c r="E576" i="8"/>
  <c r="E580" i="15"/>
  <c r="E580" i="14"/>
  <c r="E580" i="11"/>
  <c r="E580" i="9"/>
  <c r="E580" i="8"/>
  <c r="E583" i="15"/>
  <c r="E583" i="14"/>
  <c r="E583" i="9"/>
  <c r="E583" i="11"/>
  <c r="E583" i="8"/>
  <c r="E585" i="15"/>
  <c r="E585" i="14"/>
  <c r="E585" i="11"/>
  <c r="E585" i="9"/>
  <c r="E585" i="8"/>
  <c r="D587" i="14"/>
  <c r="F587" i="14" s="1"/>
  <c r="D587" i="11"/>
  <c r="F587" i="11" s="1"/>
  <c r="D587" i="15"/>
  <c r="F587" i="15" s="1"/>
  <c r="D587" i="9"/>
  <c r="F587" i="9" s="1"/>
  <c r="D587" i="8"/>
  <c r="F587" i="8" s="1"/>
  <c r="G587" i="8" s="1"/>
  <c r="A589" i="15"/>
  <c r="A589" i="11"/>
  <c r="A589" i="14"/>
  <c r="A589" i="8"/>
  <c r="A589" i="9"/>
  <c r="E591" i="14"/>
  <c r="E591" i="15"/>
  <c r="E591" i="11"/>
  <c r="E591" i="8"/>
  <c r="E591" i="9"/>
  <c r="C594" i="15"/>
  <c r="C594" i="14"/>
  <c r="C594" i="9"/>
  <c r="C594" i="11"/>
  <c r="C594" i="8"/>
  <c r="B597" i="15"/>
  <c r="B597" i="14"/>
  <c r="B597" i="8"/>
  <c r="B597" i="9"/>
  <c r="B597" i="11"/>
  <c r="A602" i="15"/>
  <c r="A602" i="14"/>
  <c r="A602" i="11"/>
  <c r="A602" i="9"/>
  <c r="A602" i="8"/>
  <c r="B606" i="14"/>
  <c r="B606" i="15"/>
  <c r="B606" i="11"/>
  <c r="B606" i="9"/>
  <c r="B606" i="8"/>
  <c r="F608" i="1"/>
  <c r="K608" i="1" s="1"/>
  <c r="D608" i="14"/>
  <c r="F608" i="14" s="1"/>
  <c r="D608" i="11"/>
  <c r="F608" i="11" s="1"/>
  <c r="D608" i="15"/>
  <c r="F608" i="15" s="1"/>
  <c r="D608" i="9"/>
  <c r="F608" i="9" s="1"/>
  <c r="D608" i="8"/>
  <c r="F608" i="8" s="1"/>
  <c r="G608" i="8" s="1"/>
  <c r="F611" i="1"/>
  <c r="K611" i="1" s="1"/>
  <c r="D611" i="15"/>
  <c r="F611" i="15" s="1"/>
  <c r="D611" i="14"/>
  <c r="F611" i="14" s="1"/>
  <c r="D611" i="11"/>
  <c r="F611" i="11" s="1"/>
  <c r="D611" i="9"/>
  <c r="F611" i="9" s="1"/>
  <c r="D611" i="8"/>
  <c r="F611" i="8" s="1"/>
  <c r="G611" i="8" s="1"/>
  <c r="B614" i="15"/>
  <c r="B614" i="11"/>
  <c r="B614" i="9"/>
  <c r="B614" i="8"/>
  <c r="B614" i="14"/>
  <c r="A616" i="14"/>
  <c r="A616" i="15"/>
  <c r="A616" i="9"/>
  <c r="A616" i="11"/>
  <c r="A616" i="8"/>
  <c r="A621" i="15"/>
  <c r="A621" i="14"/>
  <c r="A621" i="11"/>
  <c r="A621" i="8"/>
  <c r="A621" i="9"/>
  <c r="E623" i="15"/>
  <c r="E623" i="14"/>
  <c r="E623" i="9"/>
  <c r="E623" i="8"/>
  <c r="E623" i="11"/>
  <c r="B626" i="15"/>
  <c r="B626" i="11"/>
  <c r="B626" i="14"/>
  <c r="B626" i="8"/>
  <c r="B626" i="9"/>
  <c r="A629" i="14"/>
  <c r="A629" i="15"/>
  <c r="A629" i="11"/>
  <c r="A629" i="9"/>
  <c r="A629" i="8"/>
  <c r="A632" i="14"/>
  <c r="A632" i="15"/>
  <c r="A632" i="11"/>
  <c r="A632" i="9"/>
  <c r="A632" i="8"/>
  <c r="C638" i="14"/>
  <c r="C638" i="15"/>
  <c r="C638" i="11"/>
  <c r="C638" i="9"/>
  <c r="C638" i="8"/>
  <c r="C642" i="15"/>
  <c r="C642" i="14"/>
  <c r="C642" i="11"/>
  <c r="C642" i="8"/>
  <c r="C642" i="9"/>
  <c r="B644" i="14"/>
  <c r="B644" i="15"/>
  <c r="B644" i="11"/>
  <c r="B644" i="8"/>
  <c r="B644" i="9"/>
  <c r="E646" i="14"/>
  <c r="E646" i="15"/>
  <c r="E646" i="11"/>
  <c r="E646" i="9"/>
  <c r="E646" i="8"/>
  <c r="C649" i="15"/>
  <c r="C649" i="14"/>
  <c r="C649" i="11"/>
  <c r="C649" i="8"/>
  <c r="C649" i="9"/>
  <c r="F654" i="1"/>
  <c r="H654" i="1" s="1"/>
  <c r="D654" i="15"/>
  <c r="F654" i="15" s="1"/>
  <c r="D654" i="14"/>
  <c r="F654" i="14" s="1"/>
  <c r="D654" i="11"/>
  <c r="F654" i="11" s="1"/>
  <c r="D654" i="9"/>
  <c r="F654" i="9" s="1"/>
  <c r="D654" i="8"/>
  <c r="F654" i="8" s="1"/>
  <c r="G654" i="8" s="1"/>
  <c r="A657" i="14"/>
  <c r="A657" i="15"/>
  <c r="A657" i="11"/>
  <c r="A657" i="9"/>
  <c r="A657" i="8"/>
  <c r="A659" i="15"/>
  <c r="A659" i="14"/>
  <c r="A659" i="11"/>
  <c r="A659" i="8"/>
  <c r="A659" i="9"/>
  <c r="E663" i="15"/>
  <c r="E663" i="14"/>
  <c r="E663" i="11"/>
  <c r="E663" i="8"/>
  <c r="E663" i="9"/>
  <c r="B666" i="15"/>
  <c r="B666" i="14"/>
  <c r="B666" i="11"/>
  <c r="B666" i="9"/>
  <c r="B666" i="8"/>
  <c r="C669" i="15"/>
  <c r="C669" i="14"/>
  <c r="C669" i="9"/>
  <c r="C669" i="11"/>
  <c r="C669" i="8"/>
  <c r="C671" i="15"/>
  <c r="C671" i="14"/>
  <c r="C671" i="11"/>
  <c r="C671" i="9"/>
  <c r="C671" i="8"/>
  <c r="A674" i="15"/>
  <c r="A674" i="14"/>
  <c r="A674" i="9"/>
  <c r="A674" i="11"/>
  <c r="A674" i="8"/>
  <c r="D679" i="15"/>
  <c r="F679" i="15" s="1"/>
  <c r="D679" i="14"/>
  <c r="F679" i="14" s="1"/>
  <c r="D679" i="11"/>
  <c r="F679" i="11" s="1"/>
  <c r="D679" i="9"/>
  <c r="F679" i="9" s="1"/>
  <c r="D679" i="8"/>
  <c r="F679" i="8" s="1"/>
  <c r="G679" i="8" s="1"/>
  <c r="A682" i="14"/>
  <c r="A682" i="15"/>
  <c r="A682" i="11"/>
  <c r="A682" i="8"/>
  <c r="A682" i="9"/>
  <c r="A684" i="15"/>
  <c r="A684" i="14"/>
  <c r="A684" i="11"/>
  <c r="A684" i="8"/>
  <c r="A684" i="9"/>
  <c r="B688" i="14"/>
  <c r="B688" i="15"/>
  <c r="B688" i="11"/>
  <c r="B688" i="9"/>
  <c r="B688" i="8"/>
  <c r="B691" i="11"/>
  <c r="B691" i="15"/>
  <c r="B691" i="14"/>
  <c r="B691" i="9"/>
  <c r="B691" i="8"/>
  <c r="C693" i="14"/>
  <c r="C693" i="15"/>
  <c r="C693" i="11"/>
  <c r="C693" i="8"/>
  <c r="C693" i="9"/>
  <c r="E695" i="15"/>
  <c r="E695" i="14"/>
  <c r="E695" i="11"/>
  <c r="E695" i="8"/>
  <c r="E695" i="9"/>
  <c r="A699" i="15"/>
  <c r="A699" i="14"/>
  <c r="A699" i="9"/>
  <c r="A699" i="11"/>
  <c r="A699" i="8"/>
  <c r="F703" i="1"/>
  <c r="H703" i="1" s="1"/>
  <c r="C709" i="15"/>
  <c r="C709" i="11"/>
  <c r="C709" i="14"/>
  <c r="C709" i="9"/>
  <c r="C709" i="8"/>
  <c r="C712" i="15"/>
  <c r="C712" i="14"/>
  <c r="C712" i="11"/>
  <c r="C712" i="9"/>
  <c r="C712" i="8"/>
  <c r="B715" i="15"/>
  <c r="B715" i="14"/>
  <c r="B715" i="11"/>
  <c r="B715" i="9"/>
  <c r="B715" i="8"/>
  <c r="F717" i="1"/>
  <c r="H717" i="1" s="1"/>
  <c r="B720" i="14"/>
  <c r="B720" i="15"/>
  <c r="B720" i="9"/>
  <c r="B720" i="11"/>
  <c r="B720" i="8"/>
  <c r="A723" i="15"/>
  <c r="A723" i="14"/>
  <c r="A723" i="11"/>
  <c r="A723" i="8"/>
  <c r="A723" i="9"/>
  <c r="A725" i="14"/>
  <c r="A725" i="15"/>
  <c r="A725" i="11"/>
  <c r="A725" i="9"/>
  <c r="A725" i="8"/>
  <c r="D727" i="15"/>
  <c r="F727" i="15" s="1"/>
  <c r="D727" i="14"/>
  <c r="F727" i="14" s="1"/>
  <c r="D727" i="11"/>
  <c r="F727" i="11" s="1"/>
  <c r="D727" i="9"/>
  <c r="F727" i="9" s="1"/>
  <c r="D727" i="8"/>
  <c r="F727" i="8" s="1"/>
  <c r="G727" i="8" s="1"/>
  <c r="C730" i="15"/>
  <c r="C730" i="14"/>
  <c r="C730" i="9"/>
  <c r="C730" i="11"/>
  <c r="C730" i="8"/>
  <c r="E732" i="14"/>
  <c r="E732" i="15"/>
  <c r="E732" i="11"/>
  <c r="E732" i="9"/>
  <c r="E732" i="8"/>
  <c r="C735" i="15"/>
  <c r="C735" i="14"/>
  <c r="C735" i="11"/>
  <c r="C735" i="8"/>
  <c r="C735" i="9"/>
  <c r="F737" i="1"/>
  <c r="H737" i="1" s="1"/>
  <c r="D737" i="14"/>
  <c r="F737" i="14" s="1"/>
  <c r="D737" i="15"/>
  <c r="F737" i="15" s="1"/>
  <c r="D737" i="11"/>
  <c r="F737" i="11" s="1"/>
  <c r="D737" i="9"/>
  <c r="F737" i="9" s="1"/>
  <c r="D737" i="8"/>
  <c r="F737" i="8" s="1"/>
  <c r="G737" i="8" s="1"/>
  <c r="C740" i="15"/>
  <c r="C740" i="14"/>
  <c r="C740" i="8"/>
  <c r="C740" i="9"/>
  <c r="C740" i="11"/>
  <c r="B749" i="15"/>
  <c r="B749" i="14"/>
  <c r="B749" i="11"/>
  <c r="B749" i="9"/>
  <c r="B749" i="8"/>
  <c r="A751" i="15"/>
  <c r="A751" i="14"/>
  <c r="A751" i="11"/>
  <c r="A751" i="8"/>
  <c r="A751" i="9"/>
  <c r="C753" i="15"/>
  <c r="C753" i="14"/>
  <c r="C753" i="11"/>
  <c r="C753" i="8"/>
  <c r="C753" i="9"/>
  <c r="F755" i="1"/>
  <c r="J755" i="1" s="1"/>
  <c r="D755" i="14"/>
  <c r="F755" i="14" s="1"/>
  <c r="D755" i="11"/>
  <c r="F755" i="11" s="1"/>
  <c r="D755" i="15"/>
  <c r="F755" i="15" s="1"/>
  <c r="D755" i="9"/>
  <c r="F755" i="9" s="1"/>
  <c r="D755" i="8"/>
  <c r="F755" i="8" s="1"/>
  <c r="G755" i="8" s="1"/>
  <c r="C758" i="15"/>
  <c r="C758" i="14"/>
  <c r="C758" i="11"/>
  <c r="C758" i="9"/>
  <c r="C758" i="8"/>
  <c r="C761" i="15"/>
  <c r="C761" i="14"/>
  <c r="C761" i="11"/>
  <c r="C761" i="8"/>
  <c r="C761" i="9"/>
  <c r="B764" i="15"/>
  <c r="B764" i="14"/>
  <c r="B764" i="8"/>
  <c r="B764" i="9"/>
  <c r="B764" i="11"/>
  <c r="A767" i="15"/>
  <c r="A767" i="14"/>
  <c r="A767" i="11"/>
  <c r="A767" i="9"/>
  <c r="A767" i="8"/>
  <c r="E771" i="15"/>
  <c r="E771" i="14"/>
  <c r="E771" i="11"/>
  <c r="E771" i="9"/>
  <c r="E771" i="8"/>
  <c r="A775" i="15"/>
  <c r="A775" i="14"/>
  <c r="A775" i="11"/>
  <c r="A775" i="9"/>
  <c r="A775" i="8"/>
  <c r="E776" i="15"/>
  <c r="E776" i="14"/>
  <c r="E776" i="8"/>
  <c r="E776" i="11"/>
  <c r="E776" i="9"/>
  <c r="F780" i="1"/>
  <c r="D780" i="15"/>
  <c r="F780" i="15" s="1"/>
  <c r="D780" i="14"/>
  <c r="F780" i="14" s="1"/>
  <c r="D780" i="11"/>
  <c r="F780" i="11" s="1"/>
  <c r="D780" i="8"/>
  <c r="F780" i="8" s="1"/>
  <c r="G780" i="8" s="1"/>
  <c r="D780" i="9"/>
  <c r="F780" i="9" s="1"/>
  <c r="E785" i="14"/>
  <c r="E785" i="15"/>
  <c r="E785" i="11"/>
  <c r="E785" i="9"/>
  <c r="E785" i="8"/>
  <c r="E788" i="15"/>
  <c r="E788" i="14"/>
  <c r="E788" i="11"/>
  <c r="E788" i="8"/>
  <c r="E788" i="9"/>
  <c r="C791" i="14"/>
  <c r="C791" i="15"/>
  <c r="C791" i="11"/>
  <c r="C791" i="9"/>
  <c r="C791" i="8"/>
  <c r="D793" i="15"/>
  <c r="F793" i="15" s="1"/>
  <c r="D793" i="14"/>
  <c r="F793" i="14" s="1"/>
  <c r="D793" i="11"/>
  <c r="F793" i="11" s="1"/>
  <c r="D793" i="9"/>
  <c r="F793" i="9" s="1"/>
  <c r="D793" i="8"/>
  <c r="F793" i="8" s="1"/>
  <c r="G793" i="8" s="1"/>
  <c r="C797" i="15"/>
  <c r="C797" i="14"/>
  <c r="C797" i="11"/>
  <c r="C797" i="9"/>
  <c r="C797" i="8"/>
  <c r="B800" i="15"/>
  <c r="B800" i="14"/>
  <c r="B800" i="11"/>
  <c r="B800" i="9"/>
  <c r="B800" i="8"/>
  <c r="F802" i="1"/>
  <c r="G802" i="1" s="1"/>
  <c r="D802" i="15"/>
  <c r="F802" i="15" s="1"/>
  <c r="D802" i="11"/>
  <c r="F802" i="11" s="1"/>
  <c r="D802" i="14"/>
  <c r="F802" i="14" s="1"/>
  <c r="D802" i="9"/>
  <c r="F802" i="9" s="1"/>
  <c r="D802" i="8"/>
  <c r="F802" i="8" s="1"/>
  <c r="G802" i="8" s="1"/>
  <c r="C805" i="15"/>
  <c r="C805" i="14"/>
  <c r="C805" i="11"/>
  <c r="C805" i="8"/>
  <c r="C805" i="9"/>
  <c r="C807" i="15"/>
  <c r="C807" i="11"/>
  <c r="C807" i="9"/>
  <c r="C807" i="8"/>
  <c r="C807" i="14"/>
  <c r="E809" i="15"/>
  <c r="E809" i="14"/>
  <c r="E809" i="9"/>
  <c r="E809" i="8"/>
  <c r="E809" i="11"/>
  <c r="A812" i="15"/>
  <c r="A812" i="14"/>
  <c r="A812" i="11"/>
  <c r="A812" i="8"/>
  <c r="A812" i="9"/>
  <c r="F814" i="1"/>
  <c r="H814" i="1" s="1"/>
  <c r="D814" i="15"/>
  <c r="F814" i="15" s="1"/>
  <c r="D814" i="14"/>
  <c r="F814" i="14" s="1"/>
  <c r="D814" i="8"/>
  <c r="F814" i="8" s="1"/>
  <c r="G814" i="8" s="1"/>
  <c r="D814" i="9"/>
  <c r="F814" i="9" s="1"/>
  <c r="D814" i="11"/>
  <c r="F814" i="11" s="1"/>
  <c r="F817" i="1"/>
  <c r="I817" i="1" s="1"/>
  <c r="D817" i="15"/>
  <c r="F817" i="15" s="1"/>
  <c r="D817" i="14"/>
  <c r="F817" i="14" s="1"/>
  <c r="D817" i="11"/>
  <c r="F817" i="11" s="1"/>
  <c r="D817" i="8"/>
  <c r="F817" i="8" s="1"/>
  <c r="G817" i="8" s="1"/>
  <c r="D817" i="9"/>
  <c r="F817" i="9" s="1"/>
  <c r="A820" i="15"/>
  <c r="A820" i="14"/>
  <c r="A820" i="11"/>
  <c r="A820" i="9"/>
  <c r="A820" i="8"/>
  <c r="B822" i="15"/>
  <c r="B822" i="14"/>
  <c r="B822" i="11"/>
  <c r="B822" i="9"/>
  <c r="B822" i="8"/>
  <c r="E824" i="15"/>
  <c r="E824" i="14"/>
  <c r="E824" i="11"/>
  <c r="E824" i="9"/>
  <c r="E824" i="8"/>
  <c r="B827" i="15"/>
  <c r="B827" i="14"/>
  <c r="B827" i="11"/>
  <c r="B827" i="9"/>
  <c r="B827" i="8"/>
  <c r="B830" i="15"/>
  <c r="B830" i="14"/>
  <c r="B830" i="11"/>
  <c r="B830" i="9"/>
  <c r="B830" i="8"/>
  <c r="B833" i="15"/>
  <c r="B833" i="14"/>
  <c r="B833" i="11"/>
  <c r="B833" i="9"/>
  <c r="B833" i="8"/>
  <c r="E835" i="15"/>
  <c r="E835" i="11"/>
  <c r="E835" i="14"/>
  <c r="E835" i="8"/>
  <c r="E835" i="9"/>
  <c r="C838" i="14"/>
  <c r="C838" i="11"/>
  <c r="C838" i="15"/>
  <c r="C838" i="9"/>
  <c r="C838" i="8"/>
  <c r="B841" i="15"/>
  <c r="B841" i="14"/>
  <c r="B841" i="11"/>
  <c r="B841" i="9"/>
  <c r="B841" i="8"/>
  <c r="C846" i="15"/>
  <c r="C846" i="14"/>
  <c r="C846" i="11"/>
  <c r="C846" i="9"/>
  <c r="C846" i="8"/>
  <c r="D851" i="15"/>
  <c r="F851" i="15" s="1"/>
  <c r="D851" i="14"/>
  <c r="F851" i="14" s="1"/>
  <c r="D851" i="11"/>
  <c r="F851" i="11" s="1"/>
  <c r="D851" i="9"/>
  <c r="F851" i="9" s="1"/>
  <c r="D851" i="8"/>
  <c r="F851" i="8" s="1"/>
  <c r="G851" i="8" s="1"/>
  <c r="B854" i="15"/>
  <c r="B854" i="14"/>
  <c r="B854" i="11"/>
  <c r="B854" i="8"/>
  <c r="B854" i="9"/>
  <c r="E856" i="15"/>
  <c r="E856" i="14"/>
  <c r="E856" i="11"/>
  <c r="E856" i="8"/>
  <c r="E856" i="9"/>
  <c r="B29" i="15"/>
  <c r="B29" i="14"/>
  <c r="B29" i="9"/>
  <c r="B29" i="11"/>
  <c r="B29" i="8"/>
  <c r="A54" i="15"/>
  <c r="A54" i="14"/>
  <c r="A54" i="9"/>
  <c r="A54" i="11"/>
  <c r="A54" i="8"/>
  <c r="E75" i="15"/>
  <c r="E75" i="14"/>
  <c r="E75" i="9"/>
  <c r="E75" i="8"/>
  <c r="E75" i="11"/>
  <c r="F115" i="1"/>
  <c r="J115" i="1" s="1"/>
  <c r="D115" i="14"/>
  <c r="F115" i="14" s="1"/>
  <c r="D115" i="11"/>
  <c r="F115" i="11" s="1"/>
  <c r="D115" i="9"/>
  <c r="D115" i="15"/>
  <c r="F115" i="15" s="1"/>
  <c r="D115" i="8"/>
  <c r="A132" i="15"/>
  <c r="A132" i="14"/>
  <c r="A132" i="11"/>
  <c r="A132" i="8"/>
  <c r="A132" i="9"/>
  <c r="F185" i="1"/>
  <c r="I185" i="1" s="1"/>
  <c r="D185" i="15"/>
  <c r="F185" i="15" s="1"/>
  <c r="D185" i="14"/>
  <c r="F185" i="14" s="1"/>
  <c r="D185" i="11"/>
  <c r="F185" i="11" s="1"/>
  <c r="D185" i="9"/>
  <c r="D185" i="8"/>
  <c r="A203" i="14"/>
  <c r="A203" i="15"/>
  <c r="A203" i="11"/>
  <c r="A203" i="8"/>
  <c r="A203" i="9"/>
  <c r="E223" i="15"/>
  <c r="E223" i="14"/>
  <c r="E223" i="11"/>
  <c r="E223" i="9"/>
  <c r="E223" i="8"/>
  <c r="B254" i="15"/>
  <c r="B254" i="11"/>
  <c r="B254" i="14"/>
  <c r="B254" i="8"/>
  <c r="B254" i="9"/>
  <c r="B304" i="14"/>
  <c r="B304" i="15"/>
  <c r="B304" i="11"/>
  <c r="B304" i="9"/>
  <c r="B304" i="8"/>
  <c r="A322" i="15"/>
  <c r="A322" i="14"/>
  <c r="A322" i="11"/>
  <c r="A322" i="9"/>
  <c r="A322" i="8"/>
  <c r="B341" i="15"/>
  <c r="B341" i="14"/>
  <c r="B341" i="11"/>
  <c r="B341" i="9"/>
  <c r="B341" i="8"/>
  <c r="C363" i="15"/>
  <c r="C363" i="14"/>
  <c r="C363" i="9"/>
  <c r="C363" i="11"/>
  <c r="C363" i="8"/>
  <c r="F384" i="1"/>
  <c r="G384" i="1" s="1"/>
  <c r="D384" i="15"/>
  <c r="F384" i="15" s="1"/>
  <c r="D384" i="14"/>
  <c r="F384" i="14" s="1"/>
  <c r="D384" i="11"/>
  <c r="F384" i="11" s="1"/>
  <c r="D384" i="8"/>
  <c r="D384" i="9"/>
  <c r="A404" i="15"/>
  <c r="A404" i="14"/>
  <c r="A404" i="11"/>
  <c r="A404" i="9"/>
  <c r="A404" i="8"/>
  <c r="E441" i="15"/>
  <c r="E441" i="14"/>
  <c r="E441" i="11"/>
  <c r="E441" i="9"/>
  <c r="E441" i="8"/>
  <c r="F482" i="1"/>
  <c r="H482" i="1" s="1"/>
  <c r="D482" i="14"/>
  <c r="F482" i="14" s="1"/>
  <c r="D482" i="15"/>
  <c r="F482" i="15" s="1"/>
  <c r="D482" i="11"/>
  <c r="F482" i="11" s="1"/>
  <c r="D482" i="8"/>
  <c r="D482" i="9"/>
  <c r="F503" i="1"/>
  <c r="D503" i="15"/>
  <c r="F503" i="15" s="1"/>
  <c r="D503" i="11"/>
  <c r="F503" i="11" s="1"/>
  <c r="D503" i="14"/>
  <c r="F503" i="14" s="1"/>
  <c r="D503" i="9"/>
  <c r="D503" i="8"/>
  <c r="F523" i="1"/>
  <c r="K523" i="1" s="1"/>
  <c r="D523" i="15"/>
  <c r="F523" i="15" s="1"/>
  <c r="D523" i="14"/>
  <c r="F523" i="14" s="1"/>
  <c r="D523" i="11"/>
  <c r="F523" i="11" s="1"/>
  <c r="D523" i="8"/>
  <c r="F523" i="8" s="1"/>
  <c r="G523" i="8" s="1"/>
  <c r="D523" i="9"/>
  <c r="F523" i="9" s="1"/>
  <c r="A544" i="15"/>
  <c r="A544" i="14"/>
  <c r="A544" i="9"/>
  <c r="A544" i="11"/>
  <c r="A544" i="8"/>
  <c r="B561" i="15"/>
  <c r="B561" i="11"/>
  <c r="B561" i="14"/>
  <c r="B561" i="8"/>
  <c r="B561" i="9"/>
  <c r="E582" i="15"/>
  <c r="E582" i="14"/>
  <c r="E582" i="11"/>
  <c r="E582" i="8"/>
  <c r="E582" i="9"/>
  <c r="A628" i="15"/>
  <c r="A628" i="14"/>
  <c r="A628" i="11"/>
  <c r="A628" i="9"/>
  <c r="A628" i="8"/>
  <c r="C683" i="15"/>
  <c r="C683" i="14"/>
  <c r="C683" i="11"/>
  <c r="C683" i="9"/>
  <c r="C683" i="8"/>
  <c r="A703" i="15"/>
  <c r="A703" i="14"/>
  <c r="A703" i="9"/>
  <c r="A703" i="11"/>
  <c r="A703" i="8"/>
  <c r="C722" i="15"/>
  <c r="C722" i="14"/>
  <c r="C722" i="11"/>
  <c r="C722" i="9"/>
  <c r="C722" i="8"/>
  <c r="D739" i="15"/>
  <c r="F739" i="15" s="1"/>
  <c r="D739" i="14"/>
  <c r="F739" i="14" s="1"/>
  <c r="D739" i="11"/>
  <c r="F739" i="11" s="1"/>
  <c r="D739" i="9"/>
  <c r="F739" i="9" s="1"/>
  <c r="D739" i="8"/>
  <c r="F739" i="8" s="1"/>
  <c r="G739" i="8" s="1"/>
  <c r="E811" i="15"/>
  <c r="E811" i="14"/>
  <c r="E811" i="11"/>
  <c r="E811" i="8"/>
  <c r="E811" i="9"/>
  <c r="C840" i="15"/>
  <c r="C840" i="14"/>
  <c r="C840" i="11"/>
  <c r="C840" i="9"/>
  <c r="C840" i="8"/>
  <c r="C7" i="15"/>
  <c r="C7" i="14"/>
  <c r="C7" i="9"/>
  <c r="C7" i="11"/>
  <c r="C7" i="8"/>
  <c r="E21" i="15"/>
  <c r="E21" i="14"/>
  <c r="E21" i="11"/>
  <c r="E21" i="9"/>
  <c r="E21" i="8"/>
  <c r="E36" i="15"/>
  <c r="E36" i="14"/>
  <c r="E36" i="11"/>
  <c r="E36" i="9"/>
  <c r="E36" i="8"/>
  <c r="E52" i="15"/>
  <c r="E52" i="14"/>
  <c r="E52" i="11"/>
  <c r="E52" i="9"/>
  <c r="E52" i="8"/>
  <c r="C97" i="15"/>
  <c r="C97" i="14"/>
  <c r="C97" i="11"/>
  <c r="C97" i="9"/>
  <c r="C97" i="8"/>
  <c r="C113" i="15"/>
  <c r="C113" i="14"/>
  <c r="C113" i="9"/>
  <c r="C113" i="11"/>
  <c r="C113" i="8"/>
  <c r="B149" i="15"/>
  <c r="B149" i="14"/>
  <c r="B149" i="11"/>
  <c r="B149" i="9"/>
  <c r="B149" i="8"/>
  <c r="A198" i="15"/>
  <c r="A198" i="14"/>
  <c r="A198" i="11"/>
  <c r="A198" i="9"/>
  <c r="A198" i="8"/>
  <c r="B237" i="15"/>
  <c r="B237" i="14"/>
  <c r="B237" i="11"/>
  <c r="B237" i="8"/>
  <c r="B237" i="9"/>
  <c r="A258" i="15"/>
  <c r="A258" i="9"/>
  <c r="A258" i="14"/>
  <c r="A258" i="11"/>
  <c r="A258" i="8"/>
  <c r="D280" i="15"/>
  <c r="F280" i="15" s="1"/>
  <c r="D280" i="11"/>
  <c r="F280" i="11" s="1"/>
  <c r="D280" i="14"/>
  <c r="F280" i="14" s="1"/>
  <c r="D280" i="9"/>
  <c r="D280" i="8"/>
  <c r="C304" i="14"/>
  <c r="C304" i="15"/>
  <c r="C304" i="9"/>
  <c r="C304" i="11"/>
  <c r="C304" i="8"/>
  <c r="D324" i="15"/>
  <c r="F324" i="15" s="1"/>
  <c r="D324" i="11"/>
  <c r="F324" i="11" s="1"/>
  <c r="D324" i="14"/>
  <c r="F324" i="14" s="1"/>
  <c r="D324" i="9"/>
  <c r="D324" i="8"/>
  <c r="C350" i="14"/>
  <c r="C350" i="15"/>
  <c r="C350" i="11"/>
  <c r="C350" i="8"/>
  <c r="C350" i="9"/>
  <c r="A382" i="15"/>
  <c r="A382" i="14"/>
  <c r="A382" i="11"/>
  <c r="A382" i="9"/>
  <c r="A382" i="8"/>
  <c r="B404" i="14"/>
  <c r="B404" i="11"/>
  <c r="B404" i="15"/>
  <c r="B404" i="9"/>
  <c r="B404" i="8"/>
  <c r="E424" i="15"/>
  <c r="E424" i="14"/>
  <c r="E424" i="11"/>
  <c r="E424" i="9"/>
  <c r="E424" i="8"/>
  <c r="E444" i="14"/>
  <c r="E444" i="15"/>
  <c r="E444" i="11"/>
  <c r="E444" i="9"/>
  <c r="E444" i="8"/>
  <c r="A496" i="15"/>
  <c r="A496" i="14"/>
  <c r="A496" i="11"/>
  <c r="A496" i="8"/>
  <c r="A496" i="9"/>
  <c r="E523" i="15"/>
  <c r="E523" i="14"/>
  <c r="E523" i="11"/>
  <c r="E523" i="9"/>
  <c r="E523" i="8"/>
  <c r="D542" i="15"/>
  <c r="F542" i="15" s="1"/>
  <c r="D542" i="14"/>
  <c r="F542" i="14" s="1"/>
  <c r="D542" i="11"/>
  <c r="F542" i="11" s="1"/>
  <c r="D542" i="8"/>
  <c r="F542" i="8" s="1"/>
  <c r="G542" i="8" s="1"/>
  <c r="D542" i="9"/>
  <c r="F542" i="9" s="1"/>
  <c r="C559" i="15"/>
  <c r="C559" i="14"/>
  <c r="C559" i="9"/>
  <c r="C559" i="11"/>
  <c r="C559" i="8"/>
  <c r="C578" i="14"/>
  <c r="C578" i="15"/>
  <c r="C578" i="8"/>
  <c r="C578" i="11"/>
  <c r="C578" i="9"/>
  <c r="C596" i="15"/>
  <c r="C596" i="11"/>
  <c r="C596" i="9"/>
  <c r="C596" i="14"/>
  <c r="C596" i="8"/>
  <c r="A623" i="14"/>
  <c r="A623" i="15"/>
  <c r="A623" i="11"/>
  <c r="A623" i="9"/>
  <c r="A623" i="8"/>
  <c r="B673" i="15"/>
  <c r="B673" i="14"/>
  <c r="B673" i="11"/>
  <c r="B673" i="8"/>
  <c r="B673" i="9"/>
  <c r="B701" i="15"/>
  <c r="B701" i="14"/>
  <c r="B701" i="11"/>
  <c r="B701" i="8"/>
  <c r="B701" i="9"/>
  <c r="C719" i="15"/>
  <c r="C719" i="11"/>
  <c r="C719" i="14"/>
  <c r="C719" i="9"/>
  <c r="C719" i="8"/>
  <c r="E739" i="15"/>
  <c r="E739" i="14"/>
  <c r="E739" i="11"/>
  <c r="E739" i="9"/>
  <c r="E739" i="8"/>
  <c r="F760" i="1"/>
  <c r="I760" i="1" s="1"/>
  <c r="D760" i="15"/>
  <c r="F760" i="15" s="1"/>
  <c r="D760" i="14"/>
  <c r="F760" i="14" s="1"/>
  <c r="D760" i="11"/>
  <c r="F760" i="11" s="1"/>
  <c r="D760" i="9"/>
  <c r="F760" i="9" s="1"/>
  <c r="D760" i="8"/>
  <c r="F760" i="8" s="1"/>
  <c r="G760" i="8" s="1"/>
  <c r="A785" i="15"/>
  <c r="A785" i="14"/>
  <c r="A785" i="11"/>
  <c r="A785" i="9"/>
  <c r="A785" i="8"/>
  <c r="D829" i="15"/>
  <c r="F829" i="15" s="1"/>
  <c r="D829" i="14"/>
  <c r="F829" i="14" s="1"/>
  <c r="D829" i="11"/>
  <c r="F829" i="11" s="1"/>
  <c r="D829" i="9"/>
  <c r="F829" i="9" s="1"/>
  <c r="D829" i="8"/>
  <c r="F829" i="8" s="1"/>
  <c r="G829" i="8" s="1"/>
  <c r="F853" i="1"/>
  <c r="I853" i="1" s="1"/>
  <c r="D853" i="14"/>
  <c r="F853" i="14" s="1"/>
  <c r="D853" i="15"/>
  <c r="F853" i="15" s="1"/>
  <c r="D853" i="11"/>
  <c r="F853" i="11" s="1"/>
  <c r="D853" i="9"/>
  <c r="F853" i="9" s="1"/>
  <c r="D853" i="8"/>
  <c r="F853" i="8" s="1"/>
  <c r="G853" i="8" s="1"/>
  <c r="E24" i="15"/>
  <c r="E24" i="14"/>
  <c r="E24" i="11"/>
  <c r="E24" i="9"/>
  <c r="E24" i="8"/>
  <c r="A48" i="15"/>
  <c r="A48" i="14"/>
  <c r="A48" i="11"/>
  <c r="A48" i="8"/>
  <c r="A48" i="9"/>
  <c r="C70" i="15"/>
  <c r="C70" i="14"/>
  <c r="C70" i="11"/>
  <c r="C70" i="9"/>
  <c r="C70" i="8"/>
  <c r="A91" i="15"/>
  <c r="A91" i="14"/>
  <c r="A91" i="11"/>
  <c r="A91" i="9"/>
  <c r="A91" i="8"/>
  <c r="F118" i="1"/>
  <c r="H118" i="1" s="1"/>
  <c r="D118" i="15"/>
  <c r="F118" i="15" s="1"/>
  <c r="D118" i="14"/>
  <c r="F118" i="14" s="1"/>
  <c r="D118" i="11"/>
  <c r="F118" i="11" s="1"/>
  <c r="D118" i="8"/>
  <c r="D118" i="9"/>
  <c r="A172" i="15"/>
  <c r="A172" i="14"/>
  <c r="A172" i="11"/>
  <c r="A172" i="8"/>
  <c r="A172" i="9"/>
  <c r="F200" i="1"/>
  <c r="J200" i="1" s="1"/>
  <c r="D200" i="15"/>
  <c r="F200" i="15" s="1"/>
  <c r="D200" i="14"/>
  <c r="F200" i="14" s="1"/>
  <c r="D200" i="11"/>
  <c r="F200" i="11" s="1"/>
  <c r="D200" i="9"/>
  <c r="D200" i="8"/>
  <c r="B224" i="15"/>
  <c r="B224" i="14"/>
  <c r="B224" i="11"/>
  <c r="B224" i="9"/>
  <c r="B224" i="8"/>
  <c r="B244" i="15"/>
  <c r="B244" i="14"/>
  <c r="B244" i="11"/>
  <c r="B244" i="9"/>
  <c r="B244" i="8"/>
  <c r="E283" i="15"/>
  <c r="E283" i="14"/>
  <c r="E283" i="9"/>
  <c r="E283" i="11"/>
  <c r="E283" i="8"/>
  <c r="A307" i="15"/>
  <c r="A307" i="14"/>
  <c r="A307" i="11"/>
  <c r="A307" i="9"/>
  <c r="A307" i="8"/>
  <c r="E324" i="15"/>
  <c r="E324" i="14"/>
  <c r="E324" i="9"/>
  <c r="E324" i="8"/>
  <c r="E324" i="11"/>
  <c r="F341" i="1"/>
  <c r="D341" i="15"/>
  <c r="F341" i="15" s="1"/>
  <c r="D341" i="14"/>
  <c r="F341" i="14" s="1"/>
  <c r="D341" i="11"/>
  <c r="F341" i="11" s="1"/>
  <c r="D341" i="9"/>
  <c r="D341" i="8"/>
  <c r="A353" i="15"/>
  <c r="A353" i="14"/>
  <c r="A353" i="11"/>
  <c r="A353" i="9"/>
  <c r="A353" i="8"/>
  <c r="B374" i="15"/>
  <c r="B374" i="14"/>
  <c r="B374" i="11"/>
  <c r="B374" i="9"/>
  <c r="B374" i="8"/>
  <c r="E394" i="15"/>
  <c r="E394" i="14"/>
  <c r="E394" i="9"/>
  <c r="E394" i="8"/>
  <c r="E394" i="11"/>
  <c r="A415" i="15"/>
  <c r="A415" i="11"/>
  <c r="A415" i="14"/>
  <c r="A415" i="8"/>
  <c r="A415" i="9"/>
  <c r="B429" i="15"/>
  <c r="B429" i="14"/>
  <c r="B429" i="8"/>
  <c r="B429" i="9"/>
  <c r="B429" i="11"/>
  <c r="A445" i="14"/>
  <c r="A445" i="15"/>
  <c r="A445" i="11"/>
  <c r="A445" i="9"/>
  <c r="A445" i="8"/>
  <c r="C463" i="15"/>
  <c r="C463" i="14"/>
  <c r="C463" i="11"/>
  <c r="C463" i="9"/>
  <c r="C463" i="8"/>
  <c r="A489" i="15"/>
  <c r="A489" i="14"/>
  <c r="A489" i="9"/>
  <c r="A489" i="11"/>
  <c r="A489" i="8"/>
  <c r="E511" i="15"/>
  <c r="E511" i="14"/>
  <c r="E511" i="11"/>
  <c r="E511" i="9"/>
  <c r="E511" i="8"/>
  <c r="E556" i="15"/>
  <c r="E556" i="14"/>
  <c r="E556" i="11"/>
  <c r="E556" i="9"/>
  <c r="E556" i="8"/>
  <c r="D578" i="15"/>
  <c r="F578" i="15" s="1"/>
  <c r="D578" i="14"/>
  <c r="F578" i="14" s="1"/>
  <c r="D578" i="11"/>
  <c r="F578" i="11" s="1"/>
  <c r="D578" i="9"/>
  <c r="F578" i="9" s="1"/>
  <c r="D578" i="8"/>
  <c r="F578" i="8" s="1"/>
  <c r="G578" i="8" s="1"/>
  <c r="C601" i="14"/>
  <c r="C601" i="15"/>
  <c r="C601" i="11"/>
  <c r="C601" i="9"/>
  <c r="C601" i="8"/>
  <c r="C631" i="15"/>
  <c r="C631" i="14"/>
  <c r="C631" i="11"/>
  <c r="C631" i="8"/>
  <c r="C631" i="9"/>
  <c r="E660" i="14"/>
  <c r="E660" i="11"/>
  <c r="E660" i="9"/>
  <c r="E660" i="15"/>
  <c r="E660" i="8"/>
  <c r="D746" i="15"/>
  <c r="F746" i="15" s="1"/>
  <c r="D746" i="14"/>
  <c r="F746" i="14" s="1"/>
  <c r="D746" i="11"/>
  <c r="F746" i="11" s="1"/>
  <c r="D746" i="9"/>
  <c r="F746" i="9" s="1"/>
  <c r="D746" i="8"/>
  <c r="F746" i="8" s="1"/>
  <c r="G746" i="8" s="1"/>
  <c r="A10" i="15"/>
  <c r="A10" i="14"/>
  <c r="A10" i="9"/>
  <c r="A10" i="11"/>
  <c r="A10" i="8"/>
  <c r="E29" i="14"/>
  <c r="E29" i="15"/>
  <c r="E29" i="11"/>
  <c r="E29" i="8"/>
  <c r="E29" i="9"/>
  <c r="B48" i="15"/>
  <c r="B48" i="14"/>
  <c r="B48" i="11"/>
  <c r="B48" i="9"/>
  <c r="B48" i="8"/>
  <c r="C67" i="15"/>
  <c r="C67" i="14"/>
  <c r="C67" i="8"/>
  <c r="C67" i="11"/>
  <c r="C67" i="9"/>
  <c r="B91" i="15"/>
  <c r="B91" i="14"/>
  <c r="B91" i="11"/>
  <c r="B91" i="9"/>
  <c r="B91" i="8"/>
  <c r="E127" i="15"/>
  <c r="E127" i="14"/>
  <c r="E127" i="11"/>
  <c r="E127" i="9"/>
  <c r="E127" i="8"/>
  <c r="C147" i="14"/>
  <c r="C147" i="15"/>
  <c r="C147" i="9"/>
  <c r="C147" i="11"/>
  <c r="C147" i="8"/>
  <c r="B172" i="15"/>
  <c r="B172" i="14"/>
  <c r="B172" i="9"/>
  <c r="B172" i="8"/>
  <c r="B172" i="11"/>
  <c r="C198" i="15"/>
  <c r="C198" i="14"/>
  <c r="C198" i="11"/>
  <c r="C198" i="9"/>
  <c r="C198" i="8"/>
  <c r="C242" i="15"/>
  <c r="C242" i="14"/>
  <c r="C242" i="8"/>
  <c r="C242" i="9"/>
  <c r="C242" i="11"/>
  <c r="E265" i="15"/>
  <c r="E265" i="11"/>
  <c r="E265" i="14"/>
  <c r="E265" i="8"/>
  <c r="E265" i="9"/>
  <c r="A284" i="15"/>
  <c r="A284" i="14"/>
  <c r="A284" i="9"/>
  <c r="A284" i="11"/>
  <c r="A284" i="8"/>
  <c r="E304" i="15"/>
  <c r="E304" i="14"/>
  <c r="E304" i="9"/>
  <c r="E304" i="11"/>
  <c r="E304" i="8"/>
  <c r="A329" i="15"/>
  <c r="A329" i="14"/>
  <c r="A329" i="11"/>
  <c r="A329" i="8"/>
  <c r="A329" i="9"/>
  <c r="E350" i="14"/>
  <c r="E350" i="15"/>
  <c r="E350" i="11"/>
  <c r="E350" i="9"/>
  <c r="E350" i="8"/>
  <c r="A372" i="14"/>
  <c r="A372" i="15"/>
  <c r="A372" i="11"/>
  <c r="A372" i="9"/>
  <c r="A372" i="8"/>
  <c r="B390" i="15"/>
  <c r="B390" i="14"/>
  <c r="B390" i="11"/>
  <c r="B390" i="9"/>
  <c r="B390" i="8"/>
  <c r="C407" i="15"/>
  <c r="C407" i="14"/>
  <c r="C407" i="11"/>
  <c r="C407" i="9"/>
  <c r="C407" i="8"/>
  <c r="B480" i="15"/>
  <c r="B480" i="14"/>
  <c r="B480" i="11"/>
  <c r="B480" i="9"/>
  <c r="B480" i="8"/>
  <c r="D521" i="15"/>
  <c r="F521" i="15" s="1"/>
  <c r="D521" i="14"/>
  <c r="F521" i="14" s="1"/>
  <c r="D521" i="11"/>
  <c r="F521" i="11" s="1"/>
  <c r="D521" i="9"/>
  <c r="F521" i="9" s="1"/>
  <c r="D521" i="8"/>
  <c r="F521" i="8" s="1"/>
  <c r="G521" i="8" s="1"/>
  <c r="F544" i="1"/>
  <c r="D544" i="15"/>
  <c r="F544" i="15" s="1"/>
  <c r="D544" i="14"/>
  <c r="F544" i="14" s="1"/>
  <c r="D544" i="11"/>
  <c r="F544" i="11" s="1"/>
  <c r="D544" i="9"/>
  <c r="F544" i="9" s="1"/>
  <c r="D544" i="8"/>
  <c r="F544" i="8" s="1"/>
  <c r="G544" i="8" s="1"/>
  <c r="C568" i="15"/>
  <c r="C568" i="14"/>
  <c r="C568" i="11"/>
  <c r="C568" i="9"/>
  <c r="C568" i="8"/>
  <c r="B587" i="14"/>
  <c r="B587" i="15"/>
  <c r="B587" i="9"/>
  <c r="B587" i="8"/>
  <c r="B587" i="11"/>
  <c r="F628" i="1"/>
  <c r="J628" i="1" s="1"/>
  <c r="D628" i="14"/>
  <c r="F628" i="14" s="1"/>
  <c r="D628" i="15"/>
  <c r="F628" i="15" s="1"/>
  <c r="D628" i="11"/>
  <c r="F628" i="11" s="1"/>
  <c r="D628" i="8"/>
  <c r="F628" i="8" s="1"/>
  <c r="G628" i="8" s="1"/>
  <c r="D628" i="9"/>
  <c r="F628" i="9" s="1"/>
  <c r="A753" i="15"/>
  <c r="A753" i="14"/>
  <c r="A753" i="11"/>
  <c r="A753" i="8"/>
  <c r="A753" i="9"/>
  <c r="D848" i="14"/>
  <c r="F848" i="14" s="1"/>
  <c r="D848" i="15"/>
  <c r="F848" i="15" s="1"/>
  <c r="D848" i="11"/>
  <c r="F848" i="11" s="1"/>
  <c r="D848" i="9"/>
  <c r="F848" i="9" s="1"/>
  <c r="D848" i="8"/>
  <c r="F848" i="8" s="1"/>
  <c r="G848" i="8" s="1"/>
  <c r="D10" i="15"/>
  <c r="F10" i="15" s="1"/>
  <c r="D10" i="14"/>
  <c r="F10" i="14" s="1"/>
  <c r="D10" i="11"/>
  <c r="F10" i="11" s="1"/>
  <c r="D10" i="8"/>
  <c r="D10" i="9"/>
  <c r="D14" i="15"/>
  <c r="F14" i="15" s="1"/>
  <c r="D14" i="14"/>
  <c r="F14" i="14" s="1"/>
  <c r="D14" i="11"/>
  <c r="F14" i="11" s="1"/>
  <c r="D14" i="9"/>
  <c r="D14" i="8"/>
  <c r="C17" i="15"/>
  <c r="C17" i="14"/>
  <c r="C17" i="9"/>
  <c r="C17" i="11"/>
  <c r="C17" i="8"/>
  <c r="E19" i="15"/>
  <c r="E19" i="14"/>
  <c r="E19" i="11"/>
  <c r="E19" i="8"/>
  <c r="E19" i="9"/>
  <c r="E22" i="15"/>
  <c r="E22" i="11"/>
  <c r="E22" i="14"/>
  <c r="E22" i="9"/>
  <c r="E22" i="8"/>
  <c r="B25" i="15"/>
  <c r="B25" i="14"/>
  <c r="B25" i="11"/>
  <c r="B25" i="9"/>
  <c r="B25" i="8"/>
  <c r="C27" i="15"/>
  <c r="C27" i="14"/>
  <c r="C27" i="11"/>
  <c r="C27" i="9"/>
  <c r="C27" i="8"/>
  <c r="B30" i="14"/>
  <c r="B30" i="11"/>
  <c r="B30" i="15"/>
  <c r="B30" i="8"/>
  <c r="B30" i="9"/>
  <c r="C32" i="15"/>
  <c r="C32" i="14"/>
  <c r="C32" i="9"/>
  <c r="C32" i="11"/>
  <c r="C32" i="8"/>
  <c r="E34" i="15"/>
  <c r="E34" i="11"/>
  <c r="E34" i="14"/>
  <c r="E34" i="9"/>
  <c r="E34" i="8"/>
  <c r="E37" i="15"/>
  <c r="E37" i="14"/>
  <c r="E37" i="9"/>
  <c r="E37" i="11"/>
  <c r="E37" i="8"/>
  <c r="E40" i="15"/>
  <c r="E40" i="14"/>
  <c r="E40" i="11"/>
  <c r="E40" i="9"/>
  <c r="E40" i="8"/>
  <c r="E43" i="14"/>
  <c r="E43" i="15"/>
  <c r="E43" i="11"/>
  <c r="E43" i="9"/>
  <c r="E43" i="8"/>
  <c r="E45" i="15"/>
  <c r="E45" i="14"/>
  <c r="E45" i="9"/>
  <c r="E45" i="8"/>
  <c r="E45" i="11"/>
  <c r="E48" i="15"/>
  <c r="E48" i="14"/>
  <c r="E48" i="11"/>
  <c r="E48" i="9"/>
  <c r="E48" i="8"/>
  <c r="A51" i="15"/>
  <c r="A51" i="14"/>
  <c r="A51" i="9"/>
  <c r="A51" i="8"/>
  <c r="A51" i="11"/>
  <c r="B53" i="15"/>
  <c r="B53" i="14"/>
  <c r="B53" i="9"/>
  <c r="B53" i="8"/>
  <c r="B53" i="11"/>
  <c r="A57" i="15"/>
  <c r="A57" i="14"/>
  <c r="A57" i="11"/>
  <c r="A57" i="9"/>
  <c r="A57" i="8"/>
  <c r="A60" i="15"/>
  <c r="A60" i="11"/>
  <c r="A60" i="9"/>
  <c r="A60" i="14"/>
  <c r="A60" i="8"/>
  <c r="E63" i="15"/>
  <c r="E63" i="14"/>
  <c r="E63" i="9"/>
  <c r="E63" i="11"/>
  <c r="E63" i="8"/>
  <c r="A68" i="15"/>
  <c r="A68" i="14"/>
  <c r="A68" i="11"/>
  <c r="A68" i="9"/>
  <c r="A68" i="8"/>
  <c r="B71" i="15"/>
  <c r="B71" i="14"/>
  <c r="B71" i="11"/>
  <c r="B71" i="9"/>
  <c r="B71" i="8"/>
  <c r="E73" i="15"/>
  <c r="E73" i="14"/>
  <c r="E73" i="11"/>
  <c r="E73" i="9"/>
  <c r="E73" i="8"/>
  <c r="B76" i="15"/>
  <c r="B76" i="14"/>
  <c r="B76" i="11"/>
  <c r="B76" i="9"/>
  <c r="B76" i="8"/>
  <c r="A79" i="15"/>
  <c r="A79" i="14"/>
  <c r="A79" i="11"/>
  <c r="A79" i="9"/>
  <c r="A79" i="8"/>
  <c r="C81" i="15"/>
  <c r="C81" i="14"/>
  <c r="C81" i="9"/>
  <c r="C81" i="11"/>
  <c r="C81" i="8"/>
  <c r="A84" i="15"/>
  <c r="A84" i="14"/>
  <c r="A84" i="9"/>
  <c r="A84" i="11"/>
  <c r="A84" i="8"/>
  <c r="A89" i="15"/>
  <c r="A89" i="14"/>
  <c r="A89" i="11"/>
  <c r="A89" i="9"/>
  <c r="A89" i="8"/>
  <c r="E91" i="15"/>
  <c r="E91" i="14"/>
  <c r="E91" i="9"/>
  <c r="E91" i="8"/>
  <c r="E91" i="11"/>
  <c r="E93" i="15"/>
  <c r="E93" i="9"/>
  <c r="E93" i="11"/>
  <c r="E93" i="14"/>
  <c r="E93" i="8"/>
  <c r="C98" i="15"/>
  <c r="C98" i="14"/>
  <c r="C98" i="11"/>
  <c r="C98" i="9"/>
  <c r="C98" i="8"/>
  <c r="C101" i="15"/>
  <c r="C101" i="11"/>
  <c r="C101" i="14"/>
  <c r="C101" i="9"/>
  <c r="C101" i="8"/>
  <c r="C104" i="15"/>
  <c r="C104" i="14"/>
  <c r="C104" i="11"/>
  <c r="C104" i="9"/>
  <c r="C104" i="8"/>
  <c r="E106" i="15"/>
  <c r="E106" i="14"/>
  <c r="E106" i="11"/>
  <c r="E106" i="8"/>
  <c r="E106" i="9"/>
  <c r="A109" i="15"/>
  <c r="A109" i="11"/>
  <c r="A109" i="9"/>
  <c r="A109" i="8"/>
  <c r="A109" i="14"/>
  <c r="C111" i="15"/>
  <c r="C111" i="14"/>
  <c r="C111" i="11"/>
  <c r="C111" i="9"/>
  <c r="C111" i="8"/>
  <c r="C114" i="15"/>
  <c r="C114" i="14"/>
  <c r="C114" i="11"/>
  <c r="C114" i="8"/>
  <c r="C114" i="9"/>
  <c r="F116" i="1"/>
  <c r="J116" i="1" s="1"/>
  <c r="D116" i="15"/>
  <c r="F116" i="15" s="1"/>
  <c r="D116" i="14"/>
  <c r="F116" i="14" s="1"/>
  <c r="D116" i="9"/>
  <c r="D116" i="8"/>
  <c r="D116" i="11"/>
  <c r="F116" i="11" s="1"/>
  <c r="B119" i="15"/>
  <c r="B119" i="14"/>
  <c r="B119" i="11"/>
  <c r="B119" i="9"/>
  <c r="B119" i="8"/>
  <c r="E121" i="15"/>
  <c r="E121" i="14"/>
  <c r="E121" i="11"/>
  <c r="E121" i="9"/>
  <c r="E121" i="8"/>
  <c r="E123" i="15"/>
  <c r="E123" i="14"/>
  <c r="E123" i="11"/>
  <c r="E123" i="9"/>
  <c r="E123" i="8"/>
  <c r="F126" i="1"/>
  <c r="B130" i="15"/>
  <c r="B130" i="14"/>
  <c r="B130" i="11"/>
  <c r="B130" i="9"/>
  <c r="B130" i="8"/>
  <c r="B133" i="15"/>
  <c r="B133" i="11"/>
  <c r="B133" i="14"/>
  <c r="B133" i="9"/>
  <c r="B133" i="8"/>
  <c r="E135" i="14"/>
  <c r="E135" i="11"/>
  <c r="E135" i="15"/>
  <c r="E135" i="9"/>
  <c r="E135" i="8"/>
  <c r="D138" i="15"/>
  <c r="F138" i="15" s="1"/>
  <c r="D138" i="14"/>
  <c r="F138" i="14" s="1"/>
  <c r="D138" i="11"/>
  <c r="F138" i="11" s="1"/>
  <c r="D138" i="9"/>
  <c r="D138" i="8"/>
  <c r="B141" i="15"/>
  <c r="B141" i="11"/>
  <c r="B141" i="14"/>
  <c r="B141" i="9"/>
  <c r="B141" i="8"/>
  <c r="B143" i="15"/>
  <c r="B143" i="14"/>
  <c r="B143" i="11"/>
  <c r="B143" i="8"/>
  <c r="B143" i="9"/>
  <c r="D145" i="15"/>
  <c r="F145" i="15" s="1"/>
  <c r="D145" i="14"/>
  <c r="F145" i="14" s="1"/>
  <c r="D145" i="11"/>
  <c r="F145" i="11" s="1"/>
  <c r="D145" i="9"/>
  <c r="D145" i="8"/>
  <c r="F147" i="1"/>
  <c r="G147" i="1" s="1"/>
  <c r="B150" i="14"/>
  <c r="B150" i="15"/>
  <c r="B150" i="9"/>
  <c r="B150" i="8"/>
  <c r="B150" i="11"/>
  <c r="D154" i="14"/>
  <c r="F154" i="14" s="1"/>
  <c r="D154" i="15"/>
  <c r="F154" i="15" s="1"/>
  <c r="D154" i="9"/>
  <c r="D154" i="11"/>
  <c r="F154" i="11" s="1"/>
  <c r="D154" i="8"/>
  <c r="C157" i="15"/>
  <c r="C157" i="9"/>
  <c r="C157" i="11"/>
  <c r="C157" i="14"/>
  <c r="C157" i="8"/>
  <c r="A160" i="15"/>
  <c r="A160" i="11"/>
  <c r="A160" i="9"/>
  <c r="A160" i="14"/>
  <c r="A160" i="8"/>
  <c r="A162" i="15"/>
  <c r="A162" i="14"/>
  <c r="A162" i="9"/>
  <c r="A162" i="11"/>
  <c r="A162" i="8"/>
  <c r="E164" i="14"/>
  <c r="E164" i="15"/>
  <c r="E164" i="11"/>
  <c r="E164" i="8"/>
  <c r="E164" i="9"/>
  <c r="E167" i="15"/>
  <c r="E167" i="14"/>
  <c r="E167" i="11"/>
  <c r="E167" i="8"/>
  <c r="E167" i="9"/>
  <c r="E172" i="14"/>
  <c r="E172" i="15"/>
  <c r="E172" i="11"/>
  <c r="E172" i="8"/>
  <c r="E172" i="9"/>
  <c r="E175" i="15"/>
  <c r="E175" i="14"/>
  <c r="E175" i="11"/>
  <c r="E175" i="9"/>
  <c r="E175" i="8"/>
  <c r="C178" i="14"/>
  <c r="C178" i="11"/>
  <c r="C178" i="15"/>
  <c r="C178" i="9"/>
  <c r="C178" i="8"/>
  <c r="E180" i="14"/>
  <c r="E180" i="15"/>
  <c r="E180" i="11"/>
  <c r="E180" i="9"/>
  <c r="E180" i="8"/>
  <c r="E183" i="15"/>
  <c r="E183" i="14"/>
  <c r="E183" i="9"/>
  <c r="E183" i="11"/>
  <c r="E183" i="8"/>
  <c r="E186" i="15"/>
  <c r="E186" i="11"/>
  <c r="E186" i="9"/>
  <c r="E186" i="14"/>
  <c r="E186" i="8"/>
  <c r="C189" i="15"/>
  <c r="C189" i="14"/>
  <c r="C189" i="11"/>
  <c r="C189" i="9"/>
  <c r="C189" i="8"/>
  <c r="E192" i="15"/>
  <c r="E192" i="14"/>
  <c r="E192" i="11"/>
  <c r="E192" i="9"/>
  <c r="E192" i="8"/>
  <c r="B194" i="15"/>
  <c r="B194" i="14"/>
  <c r="B194" i="11"/>
  <c r="B194" i="9"/>
  <c r="B194" i="8"/>
  <c r="A199" i="15"/>
  <c r="A199" i="14"/>
  <c r="A199" i="11"/>
  <c r="A199" i="9"/>
  <c r="A199" i="8"/>
  <c r="A201" i="15"/>
  <c r="A201" i="11"/>
  <c r="A201" i="9"/>
  <c r="A201" i="14"/>
  <c r="A201" i="8"/>
  <c r="B204" i="15"/>
  <c r="B204" i="14"/>
  <c r="B204" i="11"/>
  <c r="B204" i="9"/>
  <c r="B204" i="8"/>
  <c r="E206" i="15"/>
  <c r="E206" i="14"/>
  <c r="E206" i="11"/>
  <c r="E206" i="9"/>
  <c r="E206" i="8"/>
  <c r="A211" i="15"/>
  <c r="A211" i="14"/>
  <c r="A211" i="11"/>
  <c r="A211" i="9"/>
  <c r="A211" i="8"/>
  <c r="C213" i="15"/>
  <c r="C213" i="14"/>
  <c r="C213" i="11"/>
  <c r="C213" i="9"/>
  <c r="C213" i="8"/>
  <c r="D215" i="15"/>
  <c r="F215" i="15" s="1"/>
  <c r="D215" i="14"/>
  <c r="F215" i="14" s="1"/>
  <c r="D215" i="9"/>
  <c r="D215" i="11"/>
  <c r="F215" i="11" s="1"/>
  <c r="D215" i="8"/>
  <c r="B220" i="15"/>
  <c r="B220" i="14"/>
  <c r="B220" i="11"/>
  <c r="B220" i="9"/>
  <c r="B220" i="8"/>
  <c r="C222" i="15"/>
  <c r="C222" i="14"/>
  <c r="C222" i="11"/>
  <c r="C222" i="8"/>
  <c r="C222" i="9"/>
  <c r="C227" i="15"/>
  <c r="C227" i="14"/>
  <c r="C227" i="11"/>
  <c r="C227" i="9"/>
  <c r="C227" i="8"/>
  <c r="B230" i="15"/>
  <c r="B230" i="14"/>
  <c r="B230" i="11"/>
  <c r="B230" i="9"/>
  <c r="B230" i="8"/>
  <c r="B233" i="11"/>
  <c r="B233" i="15"/>
  <c r="B233" i="14"/>
  <c r="B233" i="8"/>
  <c r="B233" i="9"/>
  <c r="D235" i="15"/>
  <c r="F235" i="15" s="1"/>
  <c r="D235" i="14"/>
  <c r="F235" i="14" s="1"/>
  <c r="D235" i="11"/>
  <c r="F235" i="11" s="1"/>
  <c r="D235" i="9"/>
  <c r="D235" i="8"/>
  <c r="B238" i="15"/>
  <c r="B238" i="14"/>
  <c r="B238" i="11"/>
  <c r="B238" i="9"/>
  <c r="B238" i="8"/>
  <c r="C240" i="15"/>
  <c r="C240" i="14"/>
  <c r="C240" i="11"/>
  <c r="C240" i="8"/>
  <c r="C240" i="9"/>
  <c r="A245" i="15"/>
  <c r="A245" i="11"/>
  <c r="A245" i="14"/>
  <c r="A245" i="9"/>
  <c r="A245" i="8"/>
  <c r="B247" i="14"/>
  <c r="B247" i="15"/>
  <c r="B247" i="11"/>
  <c r="B247" i="8"/>
  <c r="B247" i="9"/>
  <c r="B250" i="14"/>
  <c r="B250" i="15"/>
  <c r="B250" i="11"/>
  <c r="B250" i="9"/>
  <c r="B250" i="8"/>
  <c r="F252" i="1"/>
  <c r="H252" i="1" s="1"/>
  <c r="D252" i="15"/>
  <c r="F252" i="15" s="1"/>
  <c r="D252" i="14"/>
  <c r="F252" i="14" s="1"/>
  <c r="D252" i="11"/>
  <c r="F252" i="11" s="1"/>
  <c r="D252" i="8"/>
  <c r="D252" i="9"/>
  <c r="A259" i="15"/>
  <c r="A259" i="14"/>
  <c r="A259" i="11"/>
  <c r="A259" i="9"/>
  <c r="A259" i="8"/>
  <c r="C261" i="15"/>
  <c r="C261" i="14"/>
  <c r="C261" i="11"/>
  <c r="C261" i="9"/>
  <c r="C261" i="8"/>
  <c r="C266" i="15"/>
  <c r="C266" i="14"/>
  <c r="C266" i="9"/>
  <c r="C266" i="11"/>
  <c r="C266" i="8"/>
  <c r="A268" i="15"/>
  <c r="A268" i="14"/>
  <c r="A268" i="11"/>
  <c r="A268" i="8"/>
  <c r="A268" i="9"/>
  <c r="E271" i="15"/>
  <c r="E271" i="14"/>
  <c r="E271" i="9"/>
  <c r="E271" i="11"/>
  <c r="E271" i="8"/>
  <c r="A273" i="15"/>
  <c r="A273" i="14"/>
  <c r="A273" i="11"/>
  <c r="A273" i="9"/>
  <c r="A273" i="8"/>
  <c r="A276" i="15"/>
  <c r="A276" i="14"/>
  <c r="A276" i="11"/>
  <c r="A276" i="9"/>
  <c r="A276" i="8"/>
  <c r="C281" i="15"/>
  <c r="C281" i="14"/>
  <c r="C281" i="11"/>
  <c r="C281" i="9"/>
  <c r="C281" i="8"/>
  <c r="F284" i="1"/>
  <c r="G284" i="1" s="1"/>
  <c r="D284" i="15"/>
  <c r="F284" i="15" s="1"/>
  <c r="D284" i="14"/>
  <c r="F284" i="14" s="1"/>
  <c r="D284" i="9"/>
  <c r="D284" i="11"/>
  <c r="F284" i="11" s="1"/>
  <c r="D284" i="8"/>
  <c r="C286" i="15"/>
  <c r="C286" i="14"/>
  <c r="C286" i="11"/>
  <c r="C286" i="9"/>
  <c r="C286" i="8"/>
  <c r="A288" i="15"/>
  <c r="A288" i="14"/>
  <c r="A288" i="11"/>
  <c r="A288" i="9"/>
  <c r="A288" i="8"/>
  <c r="E293" i="15"/>
  <c r="E293" i="14"/>
  <c r="E293" i="11"/>
  <c r="E293" i="8"/>
  <c r="E293" i="9"/>
  <c r="C296" i="15"/>
  <c r="C296" i="14"/>
  <c r="C296" i="11"/>
  <c r="C296" i="9"/>
  <c r="C296" i="8"/>
  <c r="C299" i="15"/>
  <c r="C299" i="14"/>
  <c r="C299" i="11"/>
  <c r="C299" i="9"/>
  <c r="C299" i="8"/>
  <c r="D302" i="14"/>
  <c r="F302" i="14" s="1"/>
  <c r="D302" i="15"/>
  <c r="F302" i="15" s="1"/>
  <c r="D302" i="11"/>
  <c r="F302" i="11" s="1"/>
  <c r="D302" i="9"/>
  <c r="D302" i="8"/>
  <c r="C305" i="15"/>
  <c r="C305" i="14"/>
  <c r="C305" i="11"/>
  <c r="C305" i="9"/>
  <c r="C305" i="8"/>
  <c r="E307" i="15"/>
  <c r="E307" i="14"/>
  <c r="E307" i="11"/>
  <c r="E307" i="9"/>
  <c r="E307" i="8"/>
  <c r="C312" i="15"/>
  <c r="C312" i="14"/>
  <c r="C312" i="9"/>
  <c r="C312" i="11"/>
  <c r="C312" i="8"/>
  <c r="C317" i="15"/>
  <c r="C317" i="14"/>
  <c r="C317" i="11"/>
  <c r="C317" i="9"/>
  <c r="C317" i="8"/>
  <c r="C319" i="15"/>
  <c r="C319" i="14"/>
  <c r="C319" i="11"/>
  <c r="C319" i="9"/>
  <c r="C319" i="8"/>
  <c r="A327" i="15"/>
  <c r="A327" i="14"/>
  <c r="A327" i="11"/>
  <c r="A327" i="9"/>
  <c r="A327" i="8"/>
  <c r="D329" i="15"/>
  <c r="F329" i="15" s="1"/>
  <c r="D329" i="11"/>
  <c r="F329" i="11" s="1"/>
  <c r="D329" i="14"/>
  <c r="F329" i="14" s="1"/>
  <c r="D329" i="8"/>
  <c r="D329" i="9"/>
  <c r="B332" i="15"/>
  <c r="B332" i="14"/>
  <c r="B332" i="11"/>
  <c r="B332" i="9"/>
  <c r="B332" i="8"/>
  <c r="B336" i="15"/>
  <c r="B336" i="14"/>
  <c r="B336" i="11"/>
  <c r="B336" i="9"/>
  <c r="B336" i="8"/>
  <c r="B339" i="15"/>
  <c r="B339" i="14"/>
  <c r="B339" i="11"/>
  <c r="B339" i="8"/>
  <c r="B339" i="9"/>
  <c r="C342" i="14"/>
  <c r="C342" i="15"/>
  <c r="C342" i="11"/>
  <c r="C342" i="8"/>
  <c r="C342" i="9"/>
  <c r="C345" i="15"/>
  <c r="C345" i="11"/>
  <c r="C345" i="14"/>
  <c r="C345" i="9"/>
  <c r="C345" i="8"/>
  <c r="B348" i="15"/>
  <c r="B348" i="14"/>
  <c r="B348" i="11"/>
  <c r="B348" i="9"/>
  <c r="B348" i="8"/>
  <c r="E353" i="15"/>
  <c r="E353" i="14"/>
  <c r="E353" i="11"/>
  <c r="E353" i="9"/>
  <c r="E353" i="8"/>
  <c r="A356" i="14"/>
  <c r="A356" i="15"/>
  <c r="A356" i="11"/>
  <c r="A356" i="9"/>
  <c r="A356" i="8"/>
  <c r="D361" i="15"/>
  <c r="F361" i="15" s="1"/>
  <c r="D361" i="14"/>
  <c r="F361" i="14" s="1"/>
  <c r="D361" i="9"/>
  <c r="D361" i="11"/>
  <c r="F361" i="11" s="1"/>
  <c r="D361" i="8"/>
  <c r="F364" i="1"/>
  <c r="I364" i="1" s="1"/>
  <c r="D364" i="15"/>
  <c r="F364" i="15" s="1"/>
  <c r="D364" i="14"/>
  <c r="F364" i="14" s="1"/>
  <c r="D364" i="11"/>
  <c r="F364" i="11" s="1"/>
  <c r="D364" i="8"/>
  <c r="D364" i="9"/>
  <c r="C367" i="15"/>
  <c r="C367" i="11"/>
  <c r="C367" i="14"/>
  <c r="C367" i="9"/>
  <c r="C367" i="8"/>
  <c r="C370" i="15"/>
  <c r="C370" i="14"/>
  <c r="C370" i="11"/>
  <c r="C370" i="9"/>
  <c r="C370" i="8"/>
  <c r="F372" i="1"/>
  <c r="J372" i="1" s="1"/>
  <c r="D372" i="14"/>
  <c r="F372" i="14" s="1"/>
  <c r="D372" i="11"/>
  <c r="F372" i="11" s="1"/>
  <c r="D372" i="15"/>
  <c r="F372" i="15" s="1"/>
  <c r="D372" i="9"/>
  <c r="D372" i="8"/>
  <c r="B377" i="15"/>
  <c r="B377" i="14"/>
  <c r="B377" i="9"/>
  <c r="B377" i="11"/>
  <c r="B377" i="8"/>
  <c r="A380" i="15"/>
  <c r="A380" i="14"/>
  <c r="A380" i="11"/>
  <c r="A380" i="9"/>
  <c r="A380" i="8"/>
  <c r="E385" i="15"/>
  <c r="E385" i="14"/>
  <c r="E385" i="11"/>
  <c r="E385" i="9"/>
  <c r="E385" i="8"/>
  <c r="E388" i="15"/>
  <c r="E388" i="11"/>
  <c r="E388" i="14"/>
  <c r="E388" i="9"/>
  <c r="E388" i="8"/>
  <c r="E390" i="15"/>
  <c r="E390" i="11"/>
  <c r="E390" i="14"/>
  <c r="E390" i="8"/>
  <c r="E390" i="9"/>
  <c r="A393" i="15"/>
  <c r="A393" i="14"/>
  <c r="A393" i="11"/>
  <c r="A393" i="9"/>
  <c r="A393" i="8"/>
  <c r="B395" i="15"/>
  <c r="B395" i="14"/>
  <c r="B395" i="11"/>
  <c r="B395" i="9"/>
  <c r="B395" i="8"/>
  <c r="C398" i="15"/>
  <c r="C398" i="14"/>
  <c r="C398" i="11"/>
  <c r="C398" i="9"/>
  <c r="C398" i="8"/>
  <c r="A401" i="15"/>
  <c r="A401" i="14"/>
  <c r="A401" i="11"/>
  <c r="A401" i="9"/>
  <c r="A401" i="8"/>
  <c r="A403" i="15"/>
  <c r="A403" i="14"/>
  <c r="A403" i="11"/>
  <c r="A403" i="8"/>
  <c r="A403" i="9"/>
  <c r="B405" i="15"/>
  <c r="B405" i="14"/>
  <c r="B405" i="9"/>
  <c r="B405" i="11"/>
  <c r="B405" i="8"/>
  <c r="A410" i="15"/>
  <c r="A410" i="14"/>
  <c r="A410" i="8"/>
  <c r="A410" i="9"/>
  <c r="A410" i="11"/>
  <c r="E412" i="15"/>
  <c r="E412" i="14"/>
  <c r="E412" i="11"/>
  <c r="E412" i="8"/>
  <c r="E412" i="9"/>
  <c r="E415" i="15"/>
  <c r="E415" i="14"/>
  <c r="E415" i="11"/>
  <c r="E415" i="8"/>
  <c r="E415" i="9"/>
  <c r="E418" i="15"/>
  <c r="E418" i="14"/>
  <c r="E418" i="9"/>
  <c r="E418" i="11"/>
  <c r="E418" i="8"/>
  <c r="B420" i="15"/>
  <c r="B420" i="14"/>
  <c r="B420" i="11"/>
  <c r="B420" i="9"/>
  <c r="B420" i="8"/>
  <c r="E422" i="14"/>
  <c r="E422" i="15"/>
  <c r="E422" i="11"/>
  <c r="E422" i="9"/>
  <c r="E422" i="8"/>
  <c r="B425" i="15"/>
  <c r="B425" i="14"/>
  <c r="B425" i="11"/>
  <c r="B425" i="9"/>
  <c r="B425" i="8"/>
  <c r="C427" i="15"/>
  <c r="C427" i="14"/>
  <c r="C427" i="11"/>
  <c r="C427" i="9"/>
  <c r="C427" i="8"/>
  <c r="C432" i="15"/>
  <c r="C432" i="14"/>
  <c r="C432" i="11"/>
  <c r="C432" i="9"/>
  <c r="C432" i="8"/>
  <c r="D435" i="14"/>
  <c r="F435" i="14" s="1"/>
  <c r="D435" i="15"/>
  <c r="F435" i="15" s="1"/>
  <c r="D435" i="11"/>
  <c r="F435" i="11" s="1"/>
  <c r="D435" i="9"/>
  <c r="D435" i="8"/>
  <c r="B437" i="15"/>
  <c r="B437" i="14"/>
  <c r="B437" i="9"/>
  <c r="B437" i="8"/>
  <c r="B437" i="11"/>
  <c r="B440" i="14"/>
  <c r="B440" i="15"/>
  <c r="B440" i="11"/>
  <c r="B440" i="8"/>
  <c r="B440" i="9"/>
  <c r="F442" i="1"/>
  <c r="J442" i="1" s="1"/>
  <c r="D442" i="15"/>
  <c r="F442" i="15" s="1"/>
  <c r="D442" i="14"/>
  <c r="F442" i="14" s="1"/>
  <c r="D442" i="11"/>
  <c r="F442" i="11" s="1"/>
  <c r="D442" i="8"/>
  <c r="D442" i="9"/>
  <c r="E445" i="15"/>
  <c r="E445" i="11"/>
  <c r="E445" i="14"/>
  <c r="E445" i="9"/>
  <c r="E445" i="8"/>
  <c r="B448" i="15"/>
  <c r="B448" i="14"/>
  <c r="B448" i="11"/>
  <c r="B448" i="9"/>
  <c r="B448" i="8"/>
  <c r="C450" i="15"/>
  <c r="C450" i="14"/>
  <c r="C450" i="11"/>
  <c r="C450" i="9"/>
  <c r="C450" i="8"/>
  <c r="B453" i="15"/>
  <c r="B453" i="14"/>
  <c r="B453" i="11"/>
  <c r="B453" i="9"/>
  <c r="B453" i="8"/>
  <c r="C455" i="15"/>
  <c r="C455" i="14"/>
  <c r="C455" i="11"/>
  <c r="C455" i="9"/>
  <c r="C455" i="8"/>
  <c r="A459" i="15"/>
  <c r="A459" i="14"/>
  <c r="A459" i="11"/>
  <c r="A459" i="9"/>
  <c r="A459" i="8"/>
  <c r="B461" i="14"/>
  <c r="B461" i="15"/>
  <c r="B461" i="11"/>
  <c r="B461" i="9"/>
  <c r="B461" i="8"/>
  <c r="B464" i="15"/>
  <c r="B464" i="14"/>
  <c r="B464" i="9"/>
  <c r="B464" i="8"/>
  <c r="B464" i="11"/>
  <c r="C466" i="14"/>
  <c r="C466" i="15"/>
  <c r="C466" i="11"/>
  <c r="C466" i="9"/>
  <c r="C466" i="8"/>
  <c r="E468" i="15"/>
  <c r="E468" i="11"/>
  <c r="E468" i="14"/>
  <c r="E468" i="9"/>
  <c r="E468" i="8"/>
  <c r="B471" i="15"/>
  <c r="B471" i="14"/>
  <c r="B471" i="11"/>
  <c r="B471" i="8"/>
  <c r="B471" i="9"/>
  <c r="C475" i="15"/>
  <c r="C475" i="14"/>
  <c r="C475" i="11"/>
  <c r="C475" i="9"/>
  <c r="C475" i="8"/>
  <c r="F477" i="1"/>
  <c r="E480" i="15"/>
  <c r="E480" i="14"/>
  <c r="E480" i="11"/>
  <c r="E480" i="9"/>
  <c r="E480" i="8"/>
  <c r="D483" i="14"/>
  <c r="F483" i="14" s="1"/>
  <c r="D483" i="15"/>
  <c r="F483" i="15" s="1"/>
  <c r="D483" i="11"/>
  <c r="F483" i="11" s="1"/>
  <c r="D483" i="9"/>
  <c r="D483" i="8"/>
  <c r="B485" i="15"/>
  <c r="B485" i="14"/>
  <c r="B485" i="9"/>
  <c r="B485" i="8"/>
  <c r="B485" i="11"/>
  <c r="B487" i="15"/>
  <c r="B487" i="11"/>
  <c r="B487" i="9"/>
  <c r="B487" i="14"/>
  <c r="B487" i="8"/>
  <c r="E489" i="15"/>
  <c r="E489" i="14"/>
  <c r="E489" i="11"/>
  <c r="E489" i="8"/>
  <c r="E489" i="9"/>
  <c r="C491" i="15"/>
  <c r="C491" i="11"/>
  <c r="C491" i="14"/>
  <c r="C491" i="9"/>
  <c r="C491" i="8"/>
  <c r="E493" i="15"/>
  <c r="E493" i="14"/>
  <c r="E493" i="11"/>
  <c r="E493" i="9"/>
  <c r="E493" i="8"/>
  <c r="A497" i="15"/>
  <c r="A497" i="14"/>
  <c r="A497" i="11"/>
  <c r="A497" i="9"/>
  <c r="A497" i="8"/>
  <c r="F501" i="1"/>
  <c r="H501" i="1" s="1"/>
  <c r="E506" i="15"/>
  <c r="E506" i="14"/>
  <c r="E506" i="11"/>
  <c r="E506" i="9"/>
  <c r="E506" i="8"/>
  <c r="D509" i="15"/>
  <c r="F509" i="15" s="1"/>
  <c r="D509" i="14"/>
  <c r="F509" i="14" s="1"/>
  <c r="D509" i="11"/>
  <c r="F509" i="11" s="1"/>
  <c r="D509" i="9"/>
  <c r="D509" i="8"/>
  <c r="B514" i="15"/>
  <c r="B514" i="14"/>
  <c r="B514" i="11"/>
  <c r="B514" i="9"/>
  <c r="B514" i="8"/>
  <c r="A517" i="15"/>
  <c r="A517" i="14"/>
  <c r="A517" i="11"/>
  <c r="A517" i="8"/>
  <c r="A517" i="9"/>
  <c r="B519" i="15"/>
  <c r="B519" i="14"/>
  <c r="B519" i="11"/>
  <c r="B519" i="9"/>
  <c r="B519" i="8"/>
  <c r="A522" i="15"/>
  <c r="A522" i="14"/>
  <c r="A522" i="11"/>
  <c r="A522" i="9"/>
  <c r="A522" i="8"/>
  <c r="E524" i="15"/>
  <c r="E524" i="14"/>
  <c r="E524" i="9"/>
  <c r="E524" i="8"/>
  <c r="E524" i="11"/>
  <c r="F527" i="1"/>
  <c r="G527" i="1" s="1"/>
  <c r="D527" i="15"/>
  <c r="F527" i="15" s="1"/>
  <c r="D527" i="14"/>
  <c r="F527" i="14" s="1"/>
  <c r="D527" i="9"/>
  <c r="F527" i="9" s="1"/>
  <c r="D527" i="8"/>
  <c r="F527" i="8" s="1"/>
  <c r="G527" i="8" s="1"/>
  <c r="D527" i="11"/>
  <c r="F527" i="11" s="1"/>
  <c r="C530" i="15"/>
  <c r="C530" i="14"/>
  <c r="C530" i="11"/>
  <c r="C530" i="9"/>
  <c r="C530" i="8"/>
  <c r="C532" i="15"/>
  <c r="C532" i="14"/>
  <c r="C532" i="11"/>
  <c r="C532" i="9"/>
  <c r="C532" i="8"/>
  <c r="F534" i="1"/>
  <c r="H534" i="1" s="1"/>
  <c r="E537" i="15"/>
  <c r="E537" i="11"/>
  <c r="E537" i="14"/>
  <c r="E537" i="9"/>
  <c r="E537" i="8"/>
  <c r="E540" i="15"/>
  <c r="E540" i="14"/>
  <c r="E540" i="11"/>
  <c r="E540" i="8"/>
  <c r="E540" i="9"/>
  <c r="B545" i="15"/>
  <c r="B545" i="14"/>
  <c r="B545" i="11"/>
  <c r="B545" i="9"/>
  <c r="B545" i="8"/>
  <c r="F547" i="1"/>
  <c r="E549" i="15"/>
  <c r="E549" i="14"/>
  <c r="E549" i="11"/>
  <c r="E549" i="9"/>
  <c r="E549" i="8"/>
  <c r="C553" i="15"/>
  <c r="C553" i="14"/>
  <c r="C553" i="11"/>
  <c r="C553" i="8"/>
  <c r="C553" i="9"/>
  <c r="B557" i="15"/>
  <c r="B557" i="14"/>
  <c r="B557" i="8"/>
  <c r="B557" i="9"/>
  <c r="B557" i="11"/>
  <c r="A560" i="15"/>
  <c r="A560" i="14"/>
  <c r="A560" i="11"/>
  <c r="A560" i="9"/>
  <c r="A560" i="8"/>
  <c r="F563" i="1"/>
  <c r="I563" i="1" s="1"/>
  <c r="D566" i="15"/>
  <c r="F566" i="15" s="1"/>
  <c r="D566" i="14"/>
  <c r="F566" i="14" s="1"/>
  <c r="D566" i="11"/>
  <c r="F566" i="11" s="1"/>
  <c r="D566" i="9"/>
  <c r="F566" i="9" s="1"/>
  <c r="D566" i="8"/>
  <c r="F566" i="8" s="1"/>
  <c r="G566" i="8" s="1"/>
  <c r="A569" i="15"/>
  <c r="A569" i="11"/>
  <c r="A569" i="14"/>
  <c r="A569" i="8"/>
  <c r="A569" i="9"/>
  <c r="C571" i="15"/>
  <c r="C571" i="14"/>
  <c r="C571" i="9"/>
  <c r="C571" i="11"/>
  <c r="C571" i="8"/>
  <c r="B574" i="15"/>
  <c r="B574" i="14"/>
  <c r="B574" i="11"/>
  <c r="B574" i="8"/>
  <c r="B574" i="9"/>
  <c r="A577" i="14"/>
  <c r="A577" i="15"/>
  <c r="A577" i="11"/>
  <c r="A577" i="8"/>
  <c r="A577" i="9"/>
  <c r="A579" i="15"/>
  <c r="A579" i="14"/>
  <c r="A579" i="11"/>
  <c r="A579" i="9"/>
  <c r="A579" i="8"/>
  <c r="A581" i="15"/>
  <c r="A581" i="14"/>
  <c r="A581" i="11"/>
  <c r="A581" i="9"/>
  <c r="A581" i="8"/>
  <c r="F583" i="1"/>
  <c r="H583" i="1" s="1"/>
  <c r="F585" i="1"/>
  <c r="I585" i="1" s="1"/>
  <c r="E587" i="14"/>
  <c r="E587" i="11"/>
  <c r="E587" i="15"/>
  <c r="E587" i="9"/>
  <c r="E587" i="8"/>
  <c r="B589" i="15"/>
  <c r="B589" i="11"/>
  <c r="B589" i="14"/>
  <c r="B589" i="8"/>
  <c r="B589" i="9"/>
  <c r="F591" i="1"/>
  <c r="D594" i="14"/>
  <c r="F594" i="14" s="1"/>
  <c r="D594" i="15"/>
  <c r="F594" i="15" s="1"/>
  <c r="D594" i="9"/>
  <c r="F594" i="9" s="1"/>
  <c r="D594" i="11"/>
  <c r="F594" i="11" s="1"/>
  <c r="D594" i="8"/>
  <c r="F594" i="8" s="1"/>
  <c r="G594" i="8" s="1"/>
  <c r="C597" i="15"/>
  <c r="C597" i="14"/>
  <c r="C597" i="8"/>
  <c r="C597" i="11"/>
  <c r="C597" i="9"/>
  <c r="B602" i="15"/>
  <c r="B602" i="14"/>
  <c r="B602" i="11"/>
  <c r="B602" i="9"/>
  <c r="B602" i="8"/>
  <c r="A604" i="15"/>
  <c r="A604" i="14"/>
  <c r="A604" i="11"/>
  <c r="A604" i="8"/>
  <c r="A604" i="9"/>
  <c r="C606" i="14"/>
  <c r="C606" i="15"/>
  <c r="C606" i="11"/>
  <c r="C606" i="8"/>
  <c r="C606" i="9"/>
  <c r="E608" i="15"/>
  <c r="E608" i="14"/>
  <c r="E608" i="11"/>
  <c r="E608" i="8"/>
  <c r="E608" i="9"/>
  <c r="E611" i="15"/>
  <c r="E611" i="14"/>
  <c r="E611" i="11"/>
  <c r="E611" i="9"/>
  <c r="E611" i="8"/>
  <c r="C614" i="15"/>
  <c r="C614" i="14"/>
  <c r="C614" i="11"/>
  <c r="C614" i="9"/>
  <c r="C614" i="8"/>
  <c r="B616" i="15"/>
  <c r="B616" i="14"/>
  <c r="B616" i="11"/>
  <c r="B616" i="9"/>
  <c r="B616" i="8"/>
  <c r="A618" i="15"/>
  <c r="A618" i="14"/>
  <c r="A618" i="8"/>
  <c r="A618" i="11"/>
  <c r="A618" i="9"/>
  <c r="B621" i="15"/>
  <c r="B621" i="14"/>
  <c r="B621" i="11"/>
  <c r="B621" i="8"/>
  <c r="B621" i="9"/>
  <c r="A624" i="15"/>
  <c r="A624" i="8"/>
  <c r="A624" i="14"/>
  <c r="A624" i="11"/>
  <c r="A624" i="9"/>
  <c r="C626" i="15"/>
  <c r="C626" i="11"/>
  <c r="C626" i="14"/>
  <c r="C626" i="8"/>
  <c r="C626" i="9"/>
  <c r="B629" i="15"/>
  <c r="B629" i="11"/>
  <c r="B629" i="14"/>
  <c r="B629" i="9"/>
  <c r="B629" i="8"/>
  <c r="B632" i="15"/>
  <c r="B632" i="14"/>
  <c r="B632" i="11"/>
  <c r="B632" i="9"/>
  <c r="B632" i="8"/>
  <c r="A635" i="15"/>
  <c r="A635" i="14"/>
  <c r="A635" i="11"/>
  <c r="A635" i="8"/>
  <c r="A635" i="9"/>
  <c r="D638" i="14"/>
  <c r="F638" i="14" s="1"/>
  <c r="D638" i="15"/>
  <c r="F638" i="15" s="1"/>
  <c r="D638" i="11"/>
  <c r="F638" i="11" s="1"/>
  <c r="D638" i="9"/>
  <c r="F638" i="9" s="1"/>
  <c r="D638" i="8"/>
  <c r="F638" i="8" s="1"/>
  <c r="G638" i="8" s="1"/>
  <c r="D642" i="15"/>
  <c r="F642" i="15" s="1"/>
  <c r="D642" i="14"/>
  <c r="F642" i="14" s="1"/>
  <c r="D642" i="11"/>
  <c r="F642" i="11" s="1"/>
  <c r="D642" i="9"/>
  <c r="F642" i="9" s="1"/>
  <c r="D642" i="8"/>
  <c r="F642" i="8" s="1"/>
  <c r="G642" i="8" s="1"/>
  <c r="C644" i="14"/>
  <c r="C644" i="15"/>
  <c r="C644" i="11"/>
  <c r="C644" i="8"/>
  <c r="C644" i="9"/>
  <c r="F646" i="1"/>
  <c r="J646" i="1" s="1"/>
  <c r="F649" i="1"/>
  <c r="J649" i="1" s="1"/>
  <c r="D649" i="15"/>
  <c r="F649" i="15" s="1"/>
  <c r="D649" i="14"/>
  <c r="F649" i="14" s="1"/>
  <c r="D649" i="11"/>
  <c r="F649" i="11" s="1"/>
  <c r="D649" i="8"/>
  <c r="F649" i="8" s="1"/>
  <c r="G649" i="8" s="1"/>
  <c r="D649" i="9"/>
  <c r="F649" i="9" s="1"/>
  <c r="E654" i="15"/>
  <c r="E654" i="14"/>
  <c r="E654" i="11"/>
  <c r="E654" i="9"/>
  <c r="E654" i="8"/>
  <c r="B657" i="14"/>
  <c r="B657" i="15"/>
  <c r="B657" i="11"/>
  <c r="B657" i="9"/>
  <c r="B657" i="8"/>
  <c r="B659" i="15"/>
  <c r="B659" i="14"/>
  <c r="B659" i="11"/>
  <c r="B659" i="8"/>
  <c r="B659" i="9"/>
  <c r="A661" i="15"/>
  <c r="A661" i="14"/>
  <c r="A661" i="8"/>
  <c r="A661" i="9"/>
  <c r="A661" i="11"/>
  <c r="F663" i="1"/>
  <c r="J663" i="1" s="1"/>
  <c r="C666" i="15"/>
  <c r="C666" i="14"/>
  <c r="C666" i="11"/>
  <c r="C666" i="9"/>
  <c r="C666" i="8"/>
  <c r="D669" i="15"/>
  <c r="F669" i="15" s="1"/>
  <c r="D669" i="14"/>
  <c r="F669" i="14" s="1"/>
  <c r="D669" i="11"/>
  <c r="F669" i="11" s="1"/>
  <c r="D669" i="9"/>
  <c r="F669" i="9" s="1"/>
  <c r="D669" i="8"/>
  <c r="F669" i="8" s="1"/>
  <c r="G669" i="8" s="1"/>
  <c r="F671" i="1"/>
  <c r="G671" i="1" s="1"/>
  <c r="D671" i="15"/>
  <c r="F671" i="15" s="1"/>
  <c r="D671" i="14"/>
  <c r="F671" i="14" s="1"/>
  <c r="D671" i="11"/>
  <c r="F671" i="11" s="1"/>
  <c r="D671" i="9"/>
  <c r="F671" i="9" s="1"/>
  <c r="D671" i="8"/>
  <c r="F671" i="8" s="1"/>
  <c r="G671" i="8" s="1"/>
  <c r="B674" i="15"/>
  <c r="B674" i="14"/>
  <c r="B674" i="8"/>
  <c r="B674" i="9"/>
  <c r="B674" i="11"/>
  <c r="E679" i="15"/>
  <c r="E679" i="14"/>
  <c r="E679" i="11"/>
  <c r="E679" i="9"/>
  <c r="E679" i="8"/>
  <c r="B682" i="14"/>
  <c r="B682" i="15"/>
  <c r="B682" i="11"/>
  <c r="B682" i="9"/>
  <c r="B682" i="8"/>
  <c r="B684" i="15"/>
  <c r="B684" i="14"/>
  <c r="B684" i="11"/>
  <c r="B684" i="8"/>
  <c r="B684" i="9"/>
  <c r="A686" i="15"/>
  <c r="A686" i="14"/>
  <c r="A686" i="11"/>
  <c r="A686" i="9"/>
  <c r="A686" i="8"/>
  <c r="C688" i="14"/>
  <c r="C688" i="15"/>
  <c r="C688" i="11"/>
  <c r="C688" i="9"/>
  <c r="C688" i="8"/>
  <c r="C691" i="11"/>
  <c r="C691" i="15"/>
  <c r="C691" i="14"/>
  <c r="C691" i="9"/>
  <c r="C691" i="8"/>
  <c r="F693" i="1"/>
  <c r="H693" i="1" s="1"/>
  <c r="D693" i="14"/>
  <c r="F693" i="14" s="1"/>
  <c r="D693" i="15"/>
  <c r="F693" i="15" s="1"/>
  <c r="D693" i="11"/>
  <c r="F693" i="11" s="1"/>
  <c r="D693" i="8"/>
  <c r="F693" i="8" s="1"/>
  <c r="G693" i="8" s="1"/>
  <c r="D693" i="9"/>
  <c r="F693" i="9" s="1"/>
  <c r="A696" i="15"/>
  <c r="A696" i="14"/>
  <c r="A696" i="11"/>
  <c r="A696" i="8"/>
  <c r="A696" i="9"/>
  <c r="B699" i="15"/>
  <c r="B699" i="14"/>
  <c r="B699" i="9"/>
  <c r="B699" i="11"/>
  <c r="B699" i="8"/>
  <c r="F709" i="1"/>
  <c r="I709" i="1" s="1"/>
  <c r="D709" i="15"/>
  <c r="F709" i="15" s="1"/>
  <c r="D709" i="11"/>
  <c r="F709" i="11" s="1"/>
  <c r="D709" i="14"/>
  <c r="F709" i="14" s="1"/>
  <c r="D709" i="8"/>
  <c r="F709" i="8" s="1"/>
  <c r="G709" i="8" s="1"/>
  <c r="D709" i="9"/>
  <c r="F709" i="9" s="1"/>
  <c r="D712" i="15"/>
  <c r="F712" i="15" s="1"/>
  <c r="D712" i="14"/>
  <c r="F712" i="14" s="1"/>
  <c r="D712" i="11"/>
  <c r="F712" i="11" s="1"/>
  <c r="D712" i="9"/>
  <c r="F712" i="9" s="1"/>
  <c r="D712" i="8"/>
  <c r="F712" i="8" s="1"/>
  <c r="G712" i="8" s="1"/>
  <c r="C715" i="15"/>
  <c r="C715" i="14"/>
  <c r="C715" i="11"/>
  <c r="C715" i="9"/>
  <c r="C715" i="8"/>
  <c r="C720" i="14"/>
  <c r="C720" i="15"/>
  <c r="C720" i="11"/>
  <c r="C720" i="9"/>
  <c r="C720" i="8"/>
  <c r="B723" i="15"/>
  <c r="B723" i="14"/>
  <c r="B723" i="11"/>
  <c r="B723" i="9"/>
  <c r="B723" i="8"/>
  <c r="B725" i="14"/>
  <c r="B725" i="15"/>
  <c r="B725" i="11"/>
  <c r="B725" i="8"/>
  <c r="B725" i="9"/>
  <c r="E727" i="15"/>
  <c r="E727" i="14"/>
  <c r="E727" i="9"/>
  <c r="E727" i="11"/>
  <c r="E727" i="8"/>
  <c r="F730" i="1"/>
  <c r="I730" i="1" s="1"/>
  <c r="D730" i="15"/>
  <c r="F730" i="15" s="1"/>
  <c r="D730" i="14"/>
  <c r="F730" i="14" s="1"/>
  <c r="D730" i="9"/>
  <c r="F730" i="9" s="1"/>
  <c r="D730" i="11"/>
  <c r="F730" i="11" s="1"/>
  <c r="D730" i="8"/>
  <c r="F730" i="8" s="1"/>
  <c r="G730" i="8" s="1"/>
  <c r="D735" i="15"/>
  <c r="F735" i="15" s="1"/>
  <c r="D735" i="14"/>
  <c r="F735" i="14" s="1"/>
  <c r="D735" i="11"/>
  <c r="F735" i="11" s="1"/>
  <c r="D735" i="8"/>
  <c r="F735" i="8" s="1"/>
  <c r="G735" i="8" s="1"/>
  <c r="D735" i="9"/>
  <c r="F735" i="9" s="1"/>
  <c r="E737" i="15"/>
  <c r="E737" i="14"/>
  <c r="E737" i="11"/>
  <c r="E737" i="9"/>
  <c r="E737" i="8"/>
  <c r="F740" i="1"/>
  <c r="D740" i="14"/>
  <c r="F740" i="14" s="1"/>
  <c r="D740" i="15"/>
  <c r="F740" i="15" s="1"/>
  <c r="D740" i="11"/>
  <c r="F740" i="11" s="1"/>
  <c r="D740" i="8"/>
  <c r="F740" i="8" s="1"/>
  <c r="G740" i="8" s="1"/>
  <c r="D740" i="9"/>
  <c r="F740" i="9" s="1"/>
  <c r="A747" i="14"/>
  <c r="A747" i="15"/>
  <c r="A747" i="11"/>
  <c r="A747" i="9"/>
  <c r="A747" i="8"/>
  <c r="C749" i="15"/>
  <c r="C749" i="14"/>
  <c r="C749" i="11"/>
  <c r="C749" i="9"/>
  <c r="C749" i="8"/>
  <c r="B751" i="15"/>
  <c r="B751" i="14"/>
  <c r="B751" i="8"/>
  <c r="B751" i="11"/>
  <c r="B751" i="9"/>
  <c r="D753" i="15"/>
  <c r="F753" i="15" s="1"/>
  <c r="D753" i="14"/>
  <c r="F753" i="14" s="1"/>
  <c r="D753" i="11"/>
  <c r="F753" i="11" s="1"/>
  <c r="D753" i="9"/>
  <c r="F753" i="9" s="1"/>
  <c r="D753" i="8"/>
  <c r="F753" i="8" s="1"/>
  <c r="G753" i="8" s="1"/>
  <c r="E755" i="14"/>
  <c r="E755" i="9"/>
  <c r="E755" i="11"/>
  <c r="E755" i="15"/>
  <c r="E755" i="8"/>
  <c r="F758" i="1"/>
  <c r="K758" i="1" s="1"/>
  <c r="D758" i="15"/>
  <c r="F758" i="15" s="1"/>
  <c r="D758" i="14"/>
  <c r="F758" i="14" s="1"/>
  <c r="D758" i="11"/>
  <c r="F758" i="11" s="1"/>
  <c r="D758" i="9"/>
  <c r="F758" i="9" s="1"/>
  <c r="D758" i="8"/>
  <c r="F758" i="8" s="1"/>
  <c r="G758" i="8" s="1"/>
  <c r="D761" i="15"/>
  <c r="F761" i="15" s="1"/>
  <c r="D761" i="14"/>
  <c r="F761" i="14" s="1"/>
  <c r="D761" i="8"/>
  <c r="F761" i="8" s="1"/>
  <c r="G761" i="8" s="1"/>
  <c r="D761" i="9"/>
  <c r="F761" i="9" s="1"/>
  <c r="D761" i="11"/>
  <c r="F761" i="11" s="1"/>
  <c r="C764" i="15"/>
  <c r="C764" i="14"/>
  <c r="C764" i="11"/>
  <c r="C764" i="9"/>
  <c r="C764" i="8"/>
  <c r="B767" i="15"/>
  <c r="B767" i="9"/>
  <c r="B767" i="11"/>
  <c r="B767" i="14"/>
  <c r="B767" i="8"/>
  <c r="F771" i="1"/>
  <c r="B775" i="15"/>
  <c r="B775" i="14"/>
  <c r="B775" i="11"/>
  <c r="B775" i="9"/>
  <c r="B775" i="8"/>
  <c r="A778" i="15"/>
  <c r="A778" i="14"/>
  <c r="A778" i="11"/>
  <c r="A778" i="9"/>
  <c r="A778" i="8"/>
  <c r="E780" i="15"/>
  <c r="E780" i="14"/>
  <c r="E780" i="11"/>
  <c r="E780" i="8"/>
  <c r="E780" i="9"/>
  <c r="A786" i="14"/>
  <c r="A786" i="15"/>
  <c r="A786" i="11"/>
  <c r="A786" i="8"/>
  <c r="A786" i="9"/>
  <c r="D791" i="14"/>
  <c r="F791" i="14" s="1"/>
  <c r="D791" i="15"/>
  <c r="F791" i="15" s="1"/>
  <c r="D791" i="9"/>
  <c r="F791" i="9" s="1"/>
  <c r="D791" i="8"/>
  <c r="F791" i="8" s="1"/>
  <c r="G791" i="8" s="1"/>
  <c r="D791" i="11"/>
  <c r="F791" i="11" s="1"/>
  <c r="E793" i="15"/>
  <c r="E793" i="14"/>
  <c r="E793" i="11"/>
  <c r="E793" i="9"/>
  <c r="E793" i="8"/>
  <c r="F797" i="1"/>
  <c r="H797" i="1" s="1"/>
  <c r="D797" i="15"/>
  <c r="F797" i="15" s="1"/>
  <c r="D797" i="14"/>
  <c r="F797" i="14" s="1"/>
  <c r="D797" i="11"/>
  <c r="F797" i="11" s="1"/>
  <c r="D797" i="9"/>
  <c r="F797" i="9" s="1"/>
  <c r="D797" i="8"/>
  <c r="F797" i="8" s="1"/>
  <c r="G797" i="8" s="1"/>
  <c r="C800" i="15"/>
  <c r="C800" i="14"/>
  <c r="C800" i="11"/>
  <c r="C800" i="9"/>
  <c r="C800" i="8"/>
  <c r="E802" i="15"/>
  <c r="E802" i="14"/>
  <c r="E802" i="9"/>
  <c r="E802" i="11"/>
  <c r="E802" i="8"/>
  <c r="F805" i="1"/>
  <c r="K805" i="1" s="1"/>
  <c r="D805" i="15"/>
  <c r="F805" i="15" s="1"/>
  <c r="D805" i="14"/>
  <c r="F805" i="14" s="1"/>
  <c r="D805" i="11"/>
  <c r="F805" i="11" s="1"/>
  <c r="D805" i="9"/>
  <c r="F805" i="9" s="1"/>
  <c r="D805" i="8"/>
  <c r="F805" i="8" s="1"/>
  <c r="G805" i="8" s="1"/>
  <c r="D807" i="15"/>
  <c r="F807" i="15" s="1"/>
  <c r="D807" i="11"/>
  <c r="F807" i="11" s="1"/>
  <c r="D807" i="14"/>
  <c r="F807" i="14" s="1"/>
  <c r="D807" i="9"/>
  <c r="F807" i="9" s="1"/>
  <c r="D807" i="8"/>
  <c r="F807" i="8" s="1"/>
  <c r="G807" i="8" s="1"/>
  <c r="B812" i="15"/>
  <c r="B812" i="14"/>
  <c r="B812" i="11"/>
  <c r="B812" i="8"/>
  <c r="B812" i="9"/>
  <c r="E814" i="15"/>
  <c r="E814" i="14"/>
  <c r="E814" i="11"/>
  <c r="E814" i="8"/>
  <c r="E814" i="9"/>
  <c r="E817" i="15"/>
  <c r="E817" i="14"/>
  <c r="E817" i="11"/>
  <c r="E817" i="9"/>
  <c r="E817" i="8"/>
  <c r="B820" i="15"/>
  <c r="B820" i="14"/>
  <c r="B820" i="11"/>
  <c r="B820" i="9"/>
  <c r="B820" i="8"/>
  <c r="C822" i="15"/>
  <c r="C822" i="14"/>
  <c r="C822" i="11"/>
  <c r="C822" i="9"/>
  <c r="C822" i="8"/>
  <c r="C827" i="15"/>
  <c r="C827" i="14"/>
  <c r="C827" i="11"/>
  <c r="C827" i="8"/>
  <c r="C827" i="9"/>
  <c r="C830" i="15"/>
  <c r="C830" i="14"/>
  <c r="C830" i="11"/>
  <c r="C830" i="8"/>
  <c r="C830" i="9"/>
  <c r="C833" i="15"/>
  <c r="C833" i="14"/>
  <c r="C833" i="11"/>
  <c r="C833" i="9"/>
  <c r="C833" i="8"/>
  <c r="F838" i="1"/>
  <c r="I838" i="1" s="1"/>
  <c r="D838" i="15"/>
  <c r="F838" i="15" s="1"/>
  <c r="D838" i="14"/>
  <c r="F838" i="14" s="1"/>
  <c r="D838" i="11"/>
  <c r="F838" i="11" s="1"/>
  <c r="D838" i="9"/>
  <c r="F838" i="9" s="1"/>
  <c r="D838" i="8"/>
  <c r="F838" i="8" s="1"/>
  <c r="G838" i="8" s="1"/>
  <c r="C841" i="15"/>
  <c r="C841" i="14"/>
  <c r="C841" i="11"/>
  <c r="C841" i="9"/>
  <c r="C841" i="8"/>
  <c r="F846" i="1"/>
  <c r="H846" i="1" s="1"/>
  <c r="D846" i="15"/>
  <c r="F846" i="15" s="1"/>
  <c r="D846" i="14"/>
  <c r="F846" i="14" s="1"/>
  <c r="D846" i="11"/>
  <c r="F846" i="11" s="1"/>
  <c r="D846" i="9"/>
  <c r="F846" i="9" s="1"/>
  <c r="D846" i="8"/>
  <c r="F846" i="8" s="1"/>
  <c r="G846" i="8" s="1"/>
  <c r="A849" i="15"/>
  <c r="A849" i="14"/>
  <c r="A849" i="11"/>
  <c r="A849" i="8"/>
  <c r="A849" i="9"/>
  <c r="E851" i="14"/>
  <c r="E851" i="11"/>
  <c r="E851" i="15"/>
  <c r="E851" i="9"/>
  <c r="E851" i="8"/>
  <c r="C854" i="15"/>
  <c r="C854" i="14"/>
  <c r="C854" i="11"/>
  <c r="C854" i="8"/>
  <c r="C854" i="9"/>
  <c r="F859" i="1"/>
  <c r="K859" i="1" s="1"/>
  <c r="D859" i="15"/>
  <c r="F859" i="15" s="1"/>
  <c r="D859" i="14"/>
  <c r="F859" i="14" s="1"/>
  <c r="D859" i="11"/>
  <c r="F859" i="11" s="1"/>
  <c r="D859" i="9"/>
  <c r="F859" i="9" s="1"/>
  <c r="D859" i="8"/>
  <c r="F859" i="8" s="1"/>
  <c r="G859" i="8" s="1"/>
  <c r="B31" i="15"/>
  <c r="B31" i="14"/>
  <c r="B31" i="11"/>
  <c r="B31" i="9"/>
  <c r="B31" i="8"/>
  <c r="F52" i="1"/>
  <c r="D52" i="14"/>
  <c r="F52" i="14" s="1"/>
  <c r="D52" i="15"/>
  <c r="F52" i="15" s="1"/>
  <c r="D52" i="11"/>
  <c r="F52" i="11" s="1"/>
  <c r="D52" i="9"/>
  <c r="D52" i="8"/>
  <c r="A70" i="15"/>
  <c r="A70" i="14"/>
  <c r="A70" i="11"/>
  <c r="A70" i="8"/>
  <c r="A70" i="9"/>
  <c r="B113" i="15"/>
  <c r="B113" i="14"/>
  <c r="B113" i="11"/>
  <c r="B113" i="9"/>
  <c r="B113" i="8"/>
  <c r="D137" i="14"/>
  <c r="F137" i="14" s="1"/>
  <c r="D137" i="15"/>
  <c r="F137" i="15" s="1"/>
  <c r="D137" i="11"/>
  <c r="F137" i="11" s="1"/>
  <c r="D137" i="9"/>
  <c r="D137" i="8"/>
  <c r="C153" i="15"/>
  <c r="C153" i="11"/>
  <c r="C153" i="14"/>
  <c r="C153" i="9"/>
  <c r="C153" i="8"/>
  <c r="B200" i="15"/>
  <c r="B200" i="14"/>
  <c r="B200" i="11"/>
  <c r="B200" i="9"/>
  <c r="B200" i="8"/>
  <c r="F226" i="1"/>
  <c r="J226" i="1" s="1"/>
  <c r="D226" i="15"/>
  <c r="F226" i="15" s="1"/>
  <c r="D226" i="14"/>
  <c r="F226" i="14" s="1"/>
  <c r="D226" i="11"/>
  <c r="F226" i="11" s="1"/>
  <c r="D226" i="9"/>
  <c r="D226" i="8"/>
  <c r="B265" i="15"/>
  <c r="B265" i="14"/>
  <c r="B265" i="11"/>
  <c r="B265" i="8"/>
  <c r="B265" i="9"/>
  <c r="C280" i="14"/>
  <c r="C280" i="11"/>
  <c r="C280" i="15"/>
  <c r="C280" i="9"/>
  <c r="C280" i="8"/>
  <c r="B295" i="15"/>
  <c r="B295" i="14"/>
  <c r="B295" i="11"/>
  <c r="B295" i="9"/>
  <c r="B295" i="8"/>
  <c r="B331" i="15"/>
  <c r="B331" i="14"/>
  <c r="B331" i="9"/>
  <c r="B331" i="11"/>
  <c r="B331" i="8"/>
  <c r="B350" i="15"/>
  <c r="B350" i="14"/>
  <c r="B350" i="11"/>
  <c r="B350" i="8"/>
  <c r="B350" i="9"/>
  <c r="C394" i="11"/>
  <c r="C394" i="14"/>
  <c r="C394" i="15"/>
  <c r="C394" i="9"/>
  <c r="C394" i="8"/>
  <c r="F417" i="1"/>
  <c r="G417" i="1" s="1"/>
  <c r="D417" i="15"/>
  <c r="F417" i="15" s="1"/>
  <c r="D417" i="14"/>
  <c r="F417" i="14" s="1"/>
  <c r="D417" i="11"/>
  <c r="F417" i="11" s="1"/>
  <c r="D417" i="9"/>
  <c r="D417" i="8"/>
  <c r="F436" i="1"/>
  <c r="G436" i="1" s="1"/>
  <c r="D436" i="14"/>
  <c r="F436" i="14" s="1"/>
  <c r="D436" i="15"/>
  <c r="F436" i="15" s="1"/>
  <c r="D436" i="11"/>
  <c r="F436" i="11" s="1"/>
  <c r="D436" i="9"/>
  <c r="D436" i="8"/>
  <c r="C458" i="15"/>
  <c r="C458" i="14"/>
  <c r="C458" i="9"/>
  <c r="C458" i="8"/>
  <c r="C458" i="11"/>
  <c r="F479" i="1"/>
  <c r="I479" i="1" s="1"/>
  <c r="D479" i="14"/>
  <c r="F479" i="14" s="1"/>
  <c r="D479" i="11"/>
  <c r="F479" i="11" s="1"/>
  <c r="D479" i="9"/>
  <c r="D479" i="15"/>
  <c r="F479" i="15" s="1"/>
  <c r="D479" i="8"/>
  <c r="C498" i="15"/>
  <c r="C498" i="14"/>
  <c r="C498" i="11"/>
  <c r="C498" i="8"/>
  <c r="C498" i="9"/>
  <c r="F539" i="1"/>
  <c r="G539" i="1" s="1"/>
  <c r="D539" i="15"/>
  <c r="F539" i="15" s="1"/>
  <c r="D539" i="14"/>
  <c r="F539" i="14" s="1"/>
  <c r="D539" i="11"/>
  <c r="F539" i="11" s="1"/>
  <c r="D539" i="9"/>
  <c r="F539" i="9" s="1"/>
  <c r="D539" i="8"/>
  <c r="F539" i="8" s="1"/>
  <c r="G539" i="8" s="1"/>
  <c r="B559" i="15"/>
  <c r="B559" i="14"/>
  <c r="B559" i="11"/>
  <c r="B559" i="9"/>
  <c r="B559" i="8"/>
  <c r="E575" i="15"/>
  <c r="E575" i="14"/>
  <c r="E575" i="11"/>
  <c r="E575" i="9"/>
  <c r="E575" i="8"/>
  <c r="B596" i="15"/>
  <c r="B596" i="11"/>
  <c r="B596" i="9"/>
  <c r="B596" i="8"/>
  <c r="B596" i="14"/>
  <c r="D617" i="15"/>
  <c r="F617" i="15" s="1"/>
  <c r="D617" i="14"/>
  <c r="F617" i="14" s="1"/>
  <c r="D617" i="9"/>
  <c r="F617" i="9" s="1"/>
  <c r="D617" i="11"/>
  <c r="F617" i="11" s="1"/>
  <c r="D617" i="8"/>
  <c r="F617" i="8" s="1"/>
  <c r="G617" i="8" s="1"/>
  <c r="D639" i="15"/>
  <c r="F639" i="15" s="1"/>
  <c r="D639" i="11"/>
  <c r="F639" i="11" s="1"/>
  <c r="D639" i="14"/>
  <c r="F639" i="14" s="1"/>
  <c r="D639" i="8"/>
  <c r="F639" i="8" s="1"/>
  <c r="G639" i="8" s="1"/>
  <c r="D639" i="9"/>
  <c r="F639" i="9" s="1"/>
  <c r="C660" i="15"/>
  <c r="C660" i="14"/>
  <c r="C660" i="11"/>
  <c r="C660" i="9"/>
  <c r="C660" i="8"/>
  <c r="A681" i="15"/>
  <c r="A681" i="14"/>
  <c r="A681" i="11"/>
  <c r="A681" i="9"/>
  <c r="A681" i="8"/>
  <c r="B714" i="15"/>
  <c r="B714" i="14"/>
  <c r="B714" i="11"/>
  <c r="B714" i="9"/>
  <c r="B714" i="8"/>
  <c r="D748" i="15"/>
  <c r="F748" i="15" s="1"/>
  <c r="D748" i="14"/>
  <c r="F748" i="14" s="1"/>
  <c r="D748" i="11"/>
  <c r="F748" i="11" s="1"/>
  <c r="D748" i="8"/>
  <c r="F748" i="8" s="1"/>
  <c r="G748" i="8" s="1"/>
  <c r="D748" i="9"/>
  <c r="F748" i="9" s="1"/>
  <c r="C763" i="14"/>
  <c r="C763" i="15"/>
  <c r="C763" i="11"/>
  <c r="C763" i="8"/>
  <c r="C763" i="9"/>
  <c r="B795" i="15"/>
  <c r="B795" i="14"/>
  <c r="B795" i="11"/>
  <c r="B795" i="9"/>
  <c r="B795" i="8"/>
  <c r="A843" i="15"/>
  <c r="A843" i="14"/>
  <c r="A843" i="11"/>
  <c r="A843" i="9"/>
  <c r="A843" i="8"/>
  <c r="E18" i="15"/>
  <c r="E18" i="14"/>
  <c r="E18" i="11"/>
  <c r="E18" i="9"/>
  <c r="E18" i="8"/>
  <c r="E39" i="15"/>
  <c r="E39" i="14"/>
  <c r="E39" i="9"/>
  <c r="E39" i="11"/>
  <c r="E39" i="8"/>
  <c r="A59" i="15"/>
  <c r="A59" i="14"/>
  <c r="A59" i="11"/>
  <c r="A59" i="8"/>
  <c r="A59" i="9"/>
  <c r="E115" i="14"/>
  <c r="E115" i="11"/>
  <c r="E115" i="9"/>
  <c r="E115" i="15"/>
  <c r="E115" i="8"/>
  <c r="E137" i="15"/>
  <c r="E137" i="14"/>
  <c r="E137" i="11"/>
  <c r="E137" i="9"/>
  <c r="E137" i="8"/>
  <c r="C156" i="15"/>
  <c r="C156" i="14"/>
  <c r="C156" i="11"/>
  <c r="C156" i="9"/>
  <c r="C156" i="8"/>
  <c r="C200" i="15"/>
  <c r="C200" i="14"/>
  <c r="C200" i="11"/>
  <c r="C200" i="9"/>
  <c r="C200" i="8"/>
  <c r="A224" i="15"/>
  <c r="A224" i="11"/>
  <c r="A224" i="14"/>
  <c r="A224" i="9"/>
  <c r="A224" i="8"/>
  <c r="E246" i="15"/>
  <c r="E246" i="14"/>
  <c r="E246" i="11"/>
  <c r="E246" i="8"/>
  <c r="E246" i="9"/>
  <c r="F269" i="1"/>
  <c r="G269" i="1" s="1"/>
  <c r="D269" i="15"/>
  <c r="F269" i="15" s="1"/>
  <c r="D269" i="14"/>
  <c r="F269" i="14" s="1"/>
  <c r="D269" i="11"/>
  <c r="F269" i="11" s="1"/>
  <c r="D269" i="9"/>
  <c r="D269" i="8"/>
  <c r="A290" i="14"/>
  <c r="A290" i="15"/>
  <c r="A290" i="11"/>
  <c r="A290" i="9"/>
  <c r="A290" i="8"/>
  <c r="D320" i="15"/>
  <c r="F320" i="15" s="1"/>
  <c r="D320" i="11"/>
  <c r="F320" i="11" s="1"/>
  <c r="D320" i="9"/>
  <c r="D320" i="14"/>
  <c r="F320" i="14" s="1"/>
  <c r="D320" i="8"/>
  <c r="D343" i="15"/>
  <c r="F343" i="15" s="1"/>
  <c r="D343" i="14"/>
  <c r="F343" i="14" s="1"/>
  <c r="D343" i="11"/>
  <c r="F343" i="11" s="1"/>
  <c r="D343" i="9"/>
  <c r="D343" i="8"/>
  <c r="C369" i="15"/>
  <c r="C369" i="14"/>
  <c r="C369" i="11"/>
  <c r="C369" i="8"/>
  <c r="C369" i="9"/>
  <c r="C397" i="15"/>
  <c r="C397" i="14"/>
  <c r="C397" i="11"/>
  <c r="C397" i="9"/>
  <c r="C397" i="8"/>
  <c r="E417" i="14"/>
  <c r="E417" i="15"/>
  <c r="E417" i="11"/>
  <c r="E417" i="9"/>
  <c r="E417" i="8"/>
  <c r="E436" i="14"/>
  <c r="E436" i="15"/>
  <c r="E436" i="11"/>
  <c r="E436" i="9"/>
  <c r="E436" i="8"/>
  <c r="D456" i="15"/>
  <c r="F456" i="15" s="1"/>
  <c r="D456" i="14"/>
  <c r="F456" i="14" s="1"/>
  <c r="D456" i="11"/>
  <c r="F456" i="11" s="1"/>
  <c r="D456" i="9"/>
  <c r="D456" i="8"/>
  <c r="E479" i="14"/>
  <c r="E479" i="11"/>
  <c r="E479" i="9"/>
  <c r="E479" i="15"/>
  <c r="E479" i="8"/>
  <c r="E505" i="15"/>
  <c r="E505" i="14"/>
  <c r="E505" i="11"/>
  <c r="E505" i="9"/>
  <c r="E505" i="8"/>
  <c r="F526" i="1"/>
  <c r="K526" i="1" s="1"/>
  <c r="D526" i="15"/>
  <c r="F526" i="15" s="1"/>
  <c r="D526" i="14"/>
  <c r="F526" i="14" s="1"/>
  <c r="D526" i="11"/>
  <c r="F526" i="11" s="1"/>
  <c r="D526" i="9"/>
  <c r="F526" i="9" s="1"/>
  <c r="D526" i="8"/>
  <c r="F526" i="8" s="1"/>
  <c r="G526" i="8" s="1"/>
  <c r="A551" i="15"/>
  <c r="A551" i="14"/>
  <c r="A551" i="11"/>
  <c r="A551" i="8"/>
  <c r="A551" i="9"/>
  <c r="E570" i="15"/>
  <c r="E570" i="14"/>
  <c r="E570" i="9"/>
  <c r="E570" i="8"/>
  <c r="E570" i="11"/>
  <c r="C636" i="15"/>
  <c r="C636" i="14"/>
  <c r="C636" i="11"/>
  <c r="C636" i="9"/>
  <c r="C636" i="8"/>
  <c r="C656" i="15"/>
  <c r="C656" i="14"/>
  <c r="C656" i="11"/>
  <c r="C656" i="8"/>
  <c r="C656" i="9"/>
  <c r="B676" i="15"/>
  <c r="B676" i="14"/>
  <c r="B676" i="11"/>
  <c r="B676" i="9"/>
  <c r="B676" i="8"/>
  <c r="F711" i="1"/>
  <c r="K711" i="1" s="1"/>
  <c r="D711" i="15"/>
  <c r="F711" i="15" s="1"/>
  <c r="D711" i="14"/>
  <c r="F711" i="14" s="1"/>
  <c r="D711" i="8"/>
  <c r="F711" i="8" s="1"/>
  <c r="G711" i="8" s="1"/>
  <c r="D711" i="11"/>
  <c r="F711" i="11" s="1"/>
  <c r="D711" i="9"/>
  <c r="F711" i="9" s="1"/>
  <c r="E748" i="15"/>
  <c r="E748" i="14"/>
  <c r="E748" i="9"/>
  <c r="E748" i="11"/>
  <c r="E748" i="8"/>
  <c r="A771" i="15"/>
  <c r="A771" i="14"/>
  <c r="A771" i="11"/>
  <c r="A771" i="9"/>
  <c r="A771" i="8"/>
  <c r="E801" i="14"/>
  <c r="E801" i="15"/>
  <c r="E801" i="11"/>
  <c r="E801" i="8"/>
  <c r="E801" i="9"/>
  <c r="F837" i="1"/>
  <c r="I837" i="1" s="1"/>
  <c r="D837" i="15"/>
  <c r="F837" i="15" s="1"/>
  <c r="D837" i="14"/>
  <c r="F837" i="14" s="1"/>
  <c r="D837" i="11"/>
  <c r="F837" i="11" s="1"/>
  <c r="D837" i="9"/>
  <c r="F837" i="9" s="1"/>
  <c r="D837" i="8"/>
  <c r="F837" i="8" s="1"/>
  <c r="G837" i="8" s="1"/>
  <c r="F31" i="1"/>
  <c r="D31" i="15"/>
  <c r="F31" i="15" s="1"/>
  <c r="D31" i="14"/>
  <c r="F31" i="14" s="1"/>
  <c r="D31" i="11"/>
  <c r="F31" i="11" s="1"/>
  <c r="D31" i="9"/>
  <c r="D31" i="8"/>
  <c r="B50" i="15"/>
  <c r="B50" i="14"/>
  <c r="B50" i="11"/>
  <c r="B50" i="9"/>
  <c r="B50" i="8"/>
  <c r="B67" i="15"/>
  <c r="B67" i="14"/>
  <c r="B67" i="8"/>
  <c r="B67" i="11"/>
  <c r="B67" i="9"/>
  <c r="B86" i="14"/>
  <c r="B86" i="15"/>
  <c r="B86" i="11"/>
  <c r="B86" i="9"/>
  <c r="B86" i="8"/>
  <c r="E100" i="15"/>
  <c r="E100" i="11"/>
  <c r="E100" i="14"/>
  <c r="E100" i="9"/>
  <c r="E100" i="8"/>
  <c r="C132" i="15"/>
  <c r="C132" i="11"/>
  <c r="C132" i="14"/>
  <c r="C132" i="9"/>
  <c r="C132" i="8"/>
  <c r="E151" i="15"/>
  <c r="E151" i="14"/>
  <c r="E151" i="11"/>
  <c r="E151" i="8"/>
  <c r="E151" i="9"/>
  <c r="B169" i="15"/>
  <c r="B169" i="14"/>
  <c r="B169" i="11"/>
  <c r="B169" i="9"/>
  <c r="B169" i="8"/>
  <c r="B198" i="15"/>
  <c r="B198" i="14"/>
  <c r="B198" i="11"/>
  <c r="B198" i="9"/>
  <c r="B198" i="8"/>
  <c r="C217" i="15"/>
  <c r="C217" i="14"/>
  <c r="C217" i="8"/>
  <c r="C217" i="9"/>
  <c r="C217" i="11"/>
  <c r="C232" i="15"/>
  <c r="C232" i="14"/>
  <c r="C232" i="11"/>
  <c r="C232" i="9"/>
  <c r="C232" i="8"/>
  <c r="A293" i="15"/>
  <c r="A293" i="14"/>
  <c r="A293" i="11"/>
  <c r="A293" i="9"/>
  <c r="A293" i="8"/>
  <c r="B314" i="15"/>
  <c r="B314" i="14"/>
  <c r="B314" i="11"/>
  <c r="B314" i="9"/>
  <c r="B314" i="8"/>
  <c r="E343" i="15"/>
  <c r="E343" i="14"/>
  <c r="E343" i="11"/>
  <c r="E343" i="9"/>
  <c r="E343" i="8"/>
  <c r="E360" i="15"/>
  <c r="E360" i="14"/>
  <c r="E360" i="11"/>
  <c r="E360" i="9"/>
  <c r="E360" i="8"/>
  <c r="B379" i="15"/>
  <c r="B379" i="14"/>
  <c r="B379" i="11"/>
  <c r="B379" i="9"/>
  <c r="B379" i="8"/>
  <c r="B400" i="15"/>
  <c r="B400" i="14"/>
  <c r="B400" i="11"/>
  <c r="B400" i="9"/>
  <c r="B400" i="8"/>
  <c r="E460" i="15"/>
  <c r="E460" i="14"/>
  <c r="E460" i="9"/>
  <c r="E460" i="8"/>
  <c r="E460" i="11"/>
  <c r="A480" i="15"/>
  <c r="A480" i="14"/>
  <c r="A480" i="8"/>
  <c r="A480" i="11"/>
  <c r="A480" i="9"/>
  <c r="A493" i="15"/>
  <c r="A493" i="14"/>
  <c r="A493" i="11"/>
  <c r="A493" i="9"/>
  <c r="A493" i="8"/>
  <c r="E513" i="14"/>
  <c r="E513" i="15"/>
  <c r="E513" i="11"/>
  <c r="E513" i="8"/>
  <c r="E513" i="9"/>
  <c r="A540" i="15"/>
  <c r="A540" i="14"/>
  <c r="A540" i="11"/>
  <c r="A540" i="8"/>
  <c r="A540" i="9"/>
  <c r="F559" i="1"/>
  <c r="J559" i="1" s="1"/>
  <c r="D559" i="15"/>
  <c r="F559" i="15" s="1"/>
  <c r="D559" i="14"/>
  <c r="F559" i="14" s="1"/>
  <c r="D559" i="11"/>
  <c r="F559" i="11" s="1"/>
  <c r="D559" i="9"/>
  <c r="F559" i="9" s="1"/>
  <c r="D559" i="8"/>
  <c r="F559" i="8" s="1"/>
  <c r="G559" i="8" s="1"/>
  <c r="B583" i="15"/>
  <c r="B583" i="14"/>
  <c r="B583" i="9"/>
  <c r="B583" i="11"/>
  <c r="B583" i="8"/>
  <c r="E599" i="14"/>
  <c r="E599" i="11"/>
  <c r="E599" i="15"/>
  <c r="E599" i="9"/>
  <c r="E599" i="8"/>
  <c r="A611" i="15"/>
  <c r="A611" i="14"/>
  <c r="A611" i="9"/>
  <c r="A611" i="11"/>
  <c r="A611" i="8"/>
  <c r="C620" i="15"/>
  <c r="C620" i="14"/>
  <c r="C620" i="9"/>
  <c r="C620" i="8"/>
  <c r="C620" i="11"/>
  <c r="C634" i="15"/>
  <c r="C634" i="14"/>
  <c r="C634" i="11"/>
  <c r="C634" i="9"/>
  <c r="C634" i="8"/>
  <c r="B646" i="14"/>
  <c r="B646" i="15"/>
  <c r="B646" i="11"/>
  <c r="B646" i="9"/>
  <c r="B646" i="8"/>
  <c r="E683" i="15"/>
  <c r="E683" i="14"/>
  <c r="E683" i="11"/>
  <c r="E683" i="9"/>
  <c r="E683" i="8"/>
  <c r="C698" i="15"/>
  <c r="C698" i="14"/>
  <c r="C698" i="11"/>
  <c r="C698" i="9"/>
  <c r="C698" i="8"/>
  <c r="E711" i="15"/>
  <c r="E711" i="14"/>
  <c r="E711" i="9"/>
  <c r="E711" i="8"/>
  <c r="E711" i="11"/>
  <c r="E722" i="15"/>
  <c r="E722" i="14"/>
  <c r="E722" i="11"/>
  <c r="E722" i="9"/>
  <c r="E722" i="8"/>
  <c r="A737" i="15"/>
  <c r="A737" i="14"/>
  <c r="A737" i="11"/>
  <c r="A737" i="9"/>
  <c r="A737" i="8"/>
  <c r="C766" i="15"/>
  <c r="C766" i="14"/>
  <c r="C766" i="11"/>
  <c r="C766" i="8"/>
  <c r="C766" i="9"/>
  <c r="A780" i="15"/>
  <c r="A780" i="14"/>
  <c r="A780" i="11"/>
  <c r="A780" i="9"/>
  <c r="A780" i="8"/>
  <c r="D795" i="15"/>
  <c r="F795" i="15" s="1"/>
  <c r="D795" i="14"/>
  <c r="F795" i="14" s="1"/>
  <c r="D795" i="11"/>
  <c r="F795" i="11" s="1"/>
  <c r="D795" i="9"/>
  <c r="F795" i="9" s="1"/>
  <c r="D795" i="8"/>
  <c r="F795" i="8" s="1"/>
  <c r="G795" i="8" s="1"/>
  <c r="A817" i="15"/>
  <c r="A817" i="14"/>
  <c r="A817" i="11"/>
  <c r="A817" i="8"/>
  <c r="A817" i="9"/>
  <c r="B856" i="15"/>
  <c r="B856" i="14"/>
  <c r="B856" i="11"/>
  <c r="B856" i="9"/>
  <c r="B856" i="8"/>
  <c r="C12" i="15"/>
  <c r="C12" i="14"/>
  <c r="C12" i="9"/>
  <c r="C12" i="8"/>
  <c r="C12" i="11"/>
  <c r="B43" i="15"/>
  <c r="B43" i="14"/>
  <c r="B43" i="11"/>
  <c r="B43" i="9"/>
  <c r="B43" i="8"/>
  <c r="B93" i="15"/>
  <c r="B93" i="11"/>
  <c r="B93" i="9"/>
  <c r="B93" i="14"/>
  <c r="B93" i="8"/>
  <c r="C126" i="15"/>
  <c r="C126" i="14"/>
  <c r="C126" i="11"/>
  <c r="C126" i="9"/>
  <c r="C126" i="8"/>
  <c r="F140" i="1"/>
  <c r="D140" i="15"/>
  <c r="F140" i="15" s="1"/>
  <c r="D140" i="14"/>
  <c r="F140" i="14" s="1"/>
  <c r="D140" i="9"/>
  <c r="D140" i="8"/>
  <c r="D140" i="11"/>
  <c r="F140" i="11" s="1"/>
  <c r="E156" i="15"/>
  <c r="E156" i="14"/>
  <c r="E156" i="11"/>
  <c r="E156" i="8"/>
  <c r="E156" i="9"/>
  <c r="B175" i="15"/>
  <c r="B175" i="14"/>
  <c r="B175" i="11"/>
  <c r="B175" i="9"/>
  <c r="B175" i="8"/>
  <c r="E193" i="15"/>
  <c r="E193" i="11"/>
  <c r="E193" i="14"/>
  <c r="E193" i="9"/>
  <c r="E193" i="8"/>
  <c r="A215" i="15"/>
  <c r="A215" i="14"/>
  <c r="A215" i="11"/>
  <c r="A215" i="8"/>
  <c r="A215" i="9"/>
  <c r="F232" i="1"/>
  <c r="I232" i="1" s="1"/>
  <c r="D232" i="15"/>
  <c r="F232" i="15" s="1"/>
  <c r="D232" i="14"/>
  <c r="F232" i="14" s="1"/>
  <c r="D232" i="9"/>
  <c r="D232" i="11"/>
  <c r="F232" i="11" s="1"/>
  <c r="D232" i="8"/>
  <c r="E254" i="15"/>
  <c r="E254" i="14"/>
  <c r="E254" i="11"/>
  <c r="E254" i="9"/>
  <c r="E254" i="8"/>
  <c r="F287" i="1"/>
  <c r="I287" i="1" s="1"/>
  <c r="D287" i="15"/>
  <c r="F287" i="15" s="1"/>
  <c r="D287" i="14"/>
  <c r="F287" i="14" s="1"/>
  <c r="D287" i="11"/>
  <c r="F287" i="11" s="1"/>
  <c r="D287" i="9"/>
  <c r="D287" i="8"/>
  <c r="F309" i="1"/>
  <c r="D309" i="15"/>
  <c r="F309" i="15" s="1"/>
  <c r="D309" i="14"/>
  <c r="F309" i="14" s="1"/>
  <c r="D309" i="9"/>
  <c r="D309" i="11"/>
  <c r="F309" i="11" s="1"/>
  <c r="D309" i="8"/>
  <c r="F320" i="1"/>
  <c r="E341" i="15"/>
  <c r="E341" i="14"/>
  <c r="E341" i="11"/>
  <c r="E341" i="9"/>
  <c r="E341" i="8"/>
  <c r="C358" i="15"/>
  <c r="C358" i="14"/>
  <c r="C358" i="11"/>
  <c r="C358" i="9"/>
  <c r="C358" i="8"/>
  <c r="F376" i="1"/>
  <c r="D376" i="15"/>
  <c r="F376" i="15" s="1"/>
  <c r="D376" i="11"/>
  <c r="F376" i="11" s="1"/>
  <c r="D376" i="14"/>
  <c r="F376" i="14" s="1"/>
  <c r="D376" i="9"/>
  <c r="D376" i="8"/>
  <c r="E397" i="15"/>
  <c r="E397" i="14"/>
  <c r="E397" i="11"/>
  <c r="E397" i="9"/>
  <c r="E397" i="8"/>
  <c r="B415" i="15"/>
  <c r="B415" i="14"/>
  <c r="B415" i="11"/>
  <c r="B415" i="8"/>
  <c r="B415" i="9"/>
  <c r="E431" i="15"/>
  <c r="E431" i="14"/>
  <c r="E431" i="11"/>
  <c r="E431" i="9"/>
  <c r="E431" i="8"/>
  <c r="F447" i="1"/>
  <c r="G447" i="1" s="1"/>
  <c r="D447" i="15"/>
  <c r="F447" i="15" s="1"/>
  <c r="D447" i="14"/>
  <c r="F447" i="14" s="1"/>
  <c r="D447" i="11"/>
  <c r="F447" i="11" s="1"/>
  <c r="D447" i="9"/>
  <c r="D447" i="8"/>
  <c r="B506" i="15"/>
  <c r="B506" i="11"/>
  <c r="B506" i="9"/>
  <c r="B506" i="8"/>
  <c r="B506" i="14"/>
  <c r="C534" i="15"/>
  <c r="C534" i="14"/>
  <c r="C534" i="11"/>
  <c r="C534" i="9"/>
  <c r="C534" i="8"/>
  <c r="E561" i="15"/>
  <c r="E561" i="14"/>
  <c r="E561" i="11"/>
  <c r="E561" i="9"/>
  <c r="E561" i="8"/>
  <c r="E578" i="15"/>
  <c r="E578" i="14"/>
  <c r="E578" i="11"/>
  <c r="E578" i="9"/>
  <c r="E578" i="8"/>
  <c r="B611" i="15"/>
  <c r="B611" i="14"/>
  <c r="B611" i="11"/>
  <c r="B611" i="9"/>
  <c r="B611" i="8"/>
  <c r="D634" i="15"/>
  <c r="F634" i="15" s="1"/>
  <c r="D634" i="14"/>
  <c r="F634" i="14" s="1"/>
  <c r="D634" i="11"/>
  <c r="F634" i="11" s="1"/>
  <c r="D634" i="9"/>
  <c r="F634" i="9" s="1"/>
  <c r="D634" i="8"/>
  <c r="F634" i="8" s="1"/>
  <c r="G634" i="8" s="1"/>
  <c r="C646" i="14"/>
  <c r="C646" i="15"/>
  <c r="C646" i="11"/>
  <c r="C646" i="9"/>
  <c r="C646" i="8"/>
  <c r="A671" i="15"/>
  <c r="A671" i="14"/>
  <c r="A671" i="11"/>
  <c r="A671" i="9"/>
  <c r="A671" i="8"/>
  <c r="D701" i="15"/>
  <c r="F701" i="15" s="1"/>
  <c r="D701" i="14"/>
  <c r="F701" i="14" s="1"/>
  <c r="D701" i="11"/>
  <c r="F701" i="11" s="1"/>
  <c r="D701" i="9"/>
  <c r="F701" i="9" s="1"/>
  <c r="D701" i="8"/>
  <c r="F701" i="8" s="1"/>
  <c r="G701" i="8" s="1"/>
  <c r="E705" i="14"/>
  <c r="E705" i="15"/>
  <c r="E705" i="11"/>
  <c r="E705" i="9"/>
  <c r="E705" i="8"/>
  <c r="E719" i="14"/>
  <c r="E719" i="15"/>
  <c r="E719" i="11"/>
  <c r="E719" i="9"/>
  <c r="E719" i="8"/>
  <c r="B727" i="15"/>
  <c r="B727" i="14"/>
  <c r="B727" i="11"/>
  <c r="B727" i="9"/>
  <c r="B727" i="8"/>
  <c r="B737" i="15"/>
  <c r="B737" i="14"/>
  <c r="B737" i="11"/>
  <c r="B737" i="9"/>
  <c r="B737" i="8"/>
  <c r="B755" i="14"/>
  <c r="B755" i="11"/>
  <c r="B755" i="15"/>
  <c r="B755" i="9"/>
  <c r="B755" i="8"/>
  <c r="F766" i="1"/>
  <c r="H766" i="1" s="1"/>
  <c r="D766" i="15"/>
  <c r="F766" i="15" s="1"/>
  <c r="D766" i="14"/>
  <c r="F766" i="14" s="1"/>
  <c r="D766" i="11"/>
  <c r="F766" i="11" s="1"/>
  <c r="D766" i="9"/>
  <c r="F766" i="9" s="1"/>
  <c r="D766" i="8"/>
  <c r="F766" i="8" s="1"/>
  <c r="G766" i="8" s="1"/>
  <c r="D782" i="15"/>
  <c r="F782" i="15" s="1"/>
  <c r="D782" i="14"/>
  <c r="F782" i="14" s="1"/>
  <c r="D782" i="11"/>
  <c r="F782" i="11" s="1"/>
  <c r="D782" i="8"/>
  <c r="F782" i="8" s="1"/>
  <c r="G782" i="8" s="1"/>
  <c r="D782" i="9"/>
  <c r="F782" i="9" s="1"/>
  <c r="C788" i="15"/>
  <c r="C788" i="14"/>
  <c r="C788" i="11"/>
  <c r="C788" i="9"/>
  <c r="C788" i="8"/>
  <c r="E799" i="15"/>
  <c r="E799" i="14"/>
  <c r="E799" i="11"/>
  <c r="E799" i="9"/>
  <c r="E799" i="8"/>
  <c r="A805" i="15"/>
  <c r="A805" i="14"/>
  <c r="A805" i="11"/>
  <c r="A805" i="9"/>
  <c r="A805" i="8"/>
  <c r="F829" i="1"/>
  <c r="I829" i="1" s="1"/>
  <c r="A838" i="15"/>
  <c r="A838" i="14"/>
  <c r="A838" i="11"/>
  <c r="A838" i="8"/>
  <c r="A838" i="9"/>
  <c r="D843" i="15"/>
  <c r="F843" i="15" s="1"/>
  <c r="D843" i="14"/>
  <c r="F843" i="14" s="1"/>
  <c r="D843" i="11"/>
  <c r="F843" i="11" s="1"/>
  <c r="D843" i="9"/>
  <c r="F843" i="9" s="1"/>
  <c r="D843" i="8"/>
  <c r="F843" i="8" s="1"/>
  <c r="G843" i="8" s="1"/>
  <c r="C856" i="15"/>
  <c r="C856" i="14"/>
  <c r="C856" i="11"/>
  <c r="C856" i="9"/>
  <c r="C856" i="8"/>
  <c r="C25" i="15"/>
  <c r="C25" i="14"/>
  <c r="C25" i="11"/>
  <c r="C25" i="9"/>
  <c r="C25" i="8"/>
  <c r="F27" i="1"/>
  <c r="D27" i="15"/>
  <c r="F27" i="15" s="1"/>
  <c r="D27" i="14"/>
  <c r="F27" i="14" s="1"/>
  <c r="D27" i="9"/>
  <c r="D27" i="11"/>
  <c r="F27" i="11" s="1"/>
  <c r="D27" i="8"/>
  <c r="C30" i="15"/>
  <c r="C30" i="14"/>
  <c r="C30" i="11"/>
  <c r="C30" i="9"/>
  <c r="C30" i="8"/>
  <c r="F32" i="1"/>
  <c r="J32" i="1" s="1"/>
  <c r="D32" i="15"/>
  <c r="F32" i="15" s="1"/>
  <c r="D32" i="14"/>
  <c r="F32" i="14" s="1"/>
  <c r="D32" i="11"/>
  <c r="F32" i="11" s="1"/>
  <c r="D32" i="8"/>
  <c r="D32" i="9"/>
  <c r="A35" i="15"/>
  <c r="A35" i="9"/>
  <c r="A35" i="11"/>
  <c r="A35" i="14"/>
  <c r="A35" i="8"/>
  <c r="A38" i="15"/>
  <c r="A38" i="14"/>
  <c r="A38" i="9"/>
  <c r="A38" i="11"/>
  <c r="A38" i="8"/>
  <c r="A41" i="15"/>
  <c r="A41" i="14"/>
  <c r="A41" i="11"/>
  <c r="A41" i="9"/>
  <c r="A41" i="8"/>
  <c r="A46" i="15"/>
  <c r="A46" i="14"/>
  <c r="A46" i="9"/>
  <c r="A46" i="11"/>
  <c r="A46" i="8"/>
  <c r="B51" i="15"/>
  <c r="B51" i="11"/>
  <c r="B51" i="14"/>
  <c r="B51" i="9"/>
  <c r="B51" i="8"/>
  <c r="C53" i="15"/>
  <c r="C53" i="14"/>
  <c r="C53" i="9"/>
  <c r="C53" i="8"/>
  <c r="C53" i="11"/>
  <c r="B57" i="15"/>
  <c r="B57" i="14"/>
  <c r="B57" i="11"/>
  <c r="B57" i="9"/>
  <c r="B57" i="8"/>
  <c r="B60" i="15"/>
  <c r="B60" i="11"/>
  <c r="B60" i="9"/>
  <c r="B60" i="14"/>
  <c r="B60" i="8"/>
  <c r="A62" i="15"/>
  <c r="A62" i="14"/>
  <c r="A62" i="11"/>
  <c r="A62" i="9"/>
  <c r="A62" i="8"/>
  <c r="A65" i="15"/>
  <c r="A65" i="14"/>
  <c r="A65" i="11"/>
  <c r="A65" i="9"/>
  <c r="A65" i="8"/>
  <c r="B68" i="14"/>
  <c r="B68" i="15"/>
  <c r="B68" i="11"/>
  <c r="B68" i="9"/>
  <c r="B68" i="8"/>
  <c r="C71" i="15"/>
  <c r="C71" i="14"/>
  <c r="C71" i="11"/>
  <c r="C71" i="9"/>
  <c r="C71" i="8"/>
  <c r="A74" i="15"/>
  <c r="A74" i="14"/>
  <c r="A74" i="11"/>
  <c r="A74" i="9"/>
  <c r="A74" i="8"/>
  <c r="C76" i="15"/>
  <c r="C76" i="14"/>
  <c r="C76" i="11"/>
  <c r="C76" i="9"/>
  <c r="C76" i="8"/>
  <c r="B79" i="15"/>
  <c r="B79" i="14"/>
  <c r="B79" i="11"/>
  <c r="B79" i="9"/>
  <c r="B79" i="8"/>
  <c r="F81" i="1"/>
  <c r="G81" i="1" s="1"/>
  <c r="D81" i="15"/>
  <c r="F81" i="15" s="1"/>
  <c r="D81" i="14"/>
  <c r="F81" i="14" s="1"/>
  <c r="D81" i="9"/>
  <c r="D81" i="11"/>
  <c r="F81" i="11" s="1"/>
  <c r="D81" i="8"/>
  <c r="B84" i="15"/>
  <c r="B84" i="14"/>
  <c r="B84" i="9"/>
  <c r="B84" i="8"/>
  <c r="B84" i="11"/>
  <c r="B89" i="15"/>
  <c r="B89" i="14"/>
  <c r="B89" i="11"/>
  <c r="B89" i="9"/>
  <c r="B89" i="8"/>
  <c r="A94" i="15"/>
  <c r="A94" i="14"/>
  <c r="A94" i="11"/>
  <c r="A94" i="9"/>
  <c r="A94" i="8"/>
  <c r="F98" i="1"/>
  <c r="D98" i="15"/>
  <c r="F98" i="15" s="1"/>
  <c r="D98" i="14"/>
  <c r="F98" i="14" s="1"/>
  <c r="D98" i="11"/>
  <c r="F98" i="11" s="1"/>
  <c r="D98" i="9"/>
  <c r="D98" i="8"/>
  <c r="F101" i="1"/>
  <c r="D101" i="15"/>
  <c r="F101" i="15" s="1"/>
  <c r="D101" i="14"/>
  <c r="F101" i="14" s="1"/>
  <c r="D101" i="9"/>
  <c r="D101" i="11"/>
  <c r="F101" i="11" s="1"/>
  <c r="D101" i="8"/>
  <c r="D104" i="15"/>
  <c r="F104" i="15" s="1"/>
  <c r="D104" i="14"/>
  <c r="F104" i="14" s="1"/>
  <c r="D104" i="11"/>
  <c r="F104" i="11" s="1"/>
  <c r="D104" i="9"/>
  <c r="D104" i="8"/>
  <c r="A107" i="15"/>
  <c r="A107" i="14"/>
  <c r="A107" i="11"/>
  <c r="A107" i="8"/>
  <c r="A107" i="9"/>
  <c r="B109" i="15"/>
  <c r="B109" i="11"/>
  <c r="B109" i="9"/>
  <c r="B109" i="8"/>
  <c r="B109" i="14"/>
  <c r="F111" i="1"/>
  <c r="G111" i="1" s="1"/>
  <c r="D111" i="15"/>
  <c r="F111" i="15" s="1"/>
  <c r="D111" i="14"/>
  <c r="F111" i="14" s="1"/>
  <c r="D111" i="11"/>
  <c r="F111" i="11" s="1"/>
  <c r="D111" i="9"/>
  <c r="D111" i="8"/>
  <c r="F114" i="1"/>
  <c r="D114" i="15"/>
  <c r="F114" i="15" s="1"/>
  <c r="D114" i="14"/>
  <c r="F114" i="14" s="1"/>
  <c r="D114" i="11"/>
  <c r="F114" i="11" s="1"/>
  <c r="D114" i="9"/>
  <c r="D114" i="8"/>
  <c r="E116" i="15"/>
  <c r="E116" i="14"/>
  <c r="E116" i="9"/>
  <c r="E116" i="8"/>
  <c r="E116" i="11"/>
  <c r="C119" i="15"/>
  <c r="C119" i="14"/>
  <c r="C119" i="11"/>
  <c r="C119" i="9"/>
  <c r="C119" i="8"/>
  <c r="A124" i="15"/>
  <c r="A124" i="14"/>
  <c r="A124" i="11"/>
  <c r="A124" i="9"/>
  <c r="A124" i="8"/>
  <c r="C130" i="15"/>
  <c r="C130" i="14"/>
  <c r="C130" i="9"/>
  <c r="C130" i="11"/>
  <c r="C130" i="8"/>
  <c r="C133" i="15"/>
  <c r="C133" i="14"/>
  <c r="C133" i="11"/>
  <c r="C133" i="9"/>
  <c r="C133" i="8"/>
  <c r="A136" i="15"/>
  <c r="A136" i="14"/>
  <c r="A136" i="11"/>
  <c r="A136" i="9"/>
  <c r="A136" i="8"/>
  <c r="E138" i="15"/>
  <c r="E138" i="14"/>
  <c r="E138" i="11"/>
  <c r="E138" i="8"/>
  <c r="E138" i="9"/>
  <c r="C141" i="15"/>
  <c r="C141" i="14"/>
  <c r="C141" i="11"/>
  <c r="C141" i="9"/>
  <c r="C141" i="8"/>
  <c r="C143" i="15"/>
  <c r="C143" i="14"/>
  <c r="C143" i="11"/>
  <c r="C143" i="9"/>
  <c r="C143" i="8"/>
  <c r="E145" i="15"/>
  <c r="E145" i="11"/>
  <c r="E145" i="14"/>
  <c r="E145" i="8"/>
  <c r="E145" i="9"/>
  <c r="A148" i="15"/>
  <c r="A148" i="14"/>
  <c r="A148" i="11"/>
  <c r="A148" i="9"/>
  <c r="A148" i="8"/>
  <c r="C150" i="15"/>
  <c r="C150" i="14"/>
  <c r="C150" i="9"/>
  <c r="C150" i="11"/>
  <c r="C150" i="8"/>
  <c r="E154" i="14"/>
  <c r="E154" i="15"/>
  <c r="E154" i="9"/>
  <c r="E154" i="11"/>
  <c r="E154" i="8"/>
  <c r="F157" i="1"/>
  <c r="D157" i="15"/>
  <c r="F157" i="15" s="1"/>
  <c r="D157" i="9"/>
  <c r="D157" i="11"/>
  <c r="F157" i="11" s="1"/>
  <c r="D157" i="14"/>
  <c r="F157" i="14" s="1"/>
  <c r="D157" i="8"/>
  <c r="B160" i="15"/>
  <c r="B160" i="11"/>
  <c r="B160" i="9"/>
  <c r="B160" i="14"/>
  <c r="B160" i="8"/>
  <c r="B162" i="15"/>
  <c r="B162" i="14"/>
  <c r="B162" i="9"/>
  <c r="B162" i="11"/>
  <c r="B162" i="8"/>
  <c r="A165" i="15"/>
  <c r="A165" i="14"/>
  <c r="A165" i="11"/>
  <c r="A165" i="9"/>
  <c r="A165" i="8"/>
  <c r="A173" i="15"/>
  <c r="A173" i="11"/>
  <c r="A173" i="14"/>
  <c r="A173" i="8"/>
  <c r="A173" i="9"/>
  <c r="A176" i="15"/>
  <c r="A176" i="14"/>
  <c r="A176" i="11"/>
  <c r="A176" i="9"/>
  <c r="A176" i="8"/>
  <c r="F178" i="1"/>
  <c r="I178" i="1" s="1"/>
  <c r="D178" i="15"/>
  <c r="F178" i="15" s="1"/>
  <c r="D178" i="14"/>
  <c r="F178" i="14" s="1"/>
  <c r="D178" i="11"/>
  <c r="F178" i="11" s="1"/>
  <c r="D178" i="9"/>
  <c r="D178" i="8"/>
  <c r="A181" i="14"/>
  <c r="A181" i="15"/>
  <c r="A181" i="11"/>
  <c r="A181" i="9"/>
  <c r="A181" i="8"/>
  <c r="A184" i="15"/>
  <c r="A184" i="14"/>
  <c r="A184" i="11"/>
  <c r="A184" i="8"/>
  <c r="A184" i="9"/>
  <c r="A187" i="15"/>
  <c r="A187" i="14"/>
  <c r="A187" i="11"/>
  <c r="A187" i="9"/>
  <c r="A187" i="8"/>
  <c r="F189" i="1"/>
  <c r="J189" i="1" s="1"/>
  <c r="D189" i="15"/>
  <c r="F189" i="15" s="1"/>
  <c r="D189" i="14"/>
  <c r="F189" i="14" s="1"/>
  <c r="D189" i="11"/>
  <c r="F189" i="11" s="1"/>
  <c r="D189" i="9"/>
  <c r="D189" i="8"/>
  <c r="A191" i="15"/>
  <c r="A191" i="14"/>
  <c r="A191" i="11"/>
  <c r="A191" i="8"/>
  <c r="A191" i="9"/>
  <c r="C194" i="15"/>
  <c r="C194" i="14"/>
  <c r="C194" i="11"/>
  <c r="C194" i="9"/>
  <c r="C194" i="8"/>
  <c r="B199" i="15"/>
  <c r="B199" i="14"/>
  <c r="B199" i="11"/>
  <c r="B199" i="9"/>
  <c r="B199" i="8"/>
  <c r="B201" i="15"/>
  <c r="B201" i="11"/>
  <c r="B201" i="9"/>
  <c r="B201" i="8"/>
  <c r="B201" i="14"/>
  <c r="C204" i="15"/>
  <c r="C204" i="11"/>
  <c r="C204" i="14"/>
  <c r="C204" i="9"/>
  <c r="C204" i="8"/>
  <c r="A208" i="14"/>
  <c r="A208" i="15"/>
  <c r="A208" i="11"/>
  <c r="A208" i="9"/>
  <c r="A208" i="8"/>
  <c r="B211" i="15"/>
  <c r="B211" i="14"/>
  <c r="B211" i="11"/>
  <c r="B211" i="9"/>
  <c r="B211" i="8"/>
  <c r="F213" i="1"/>
  <c r="D213" i="15"/>
  <c r="F213" i="15" s="1"/>
  <c r="D213" i="14"/>
  <c r="F213" i="14" s="1"/>
  <c r="D213" i="11"/>
  <c r="F213" i="11" s="1"/>
  <c r="D213" i="9"/>
  <c r="D213" i="8"/>
  <c r="E215" i="15"/>
  <c r="E215" i="14"/>
  <c r="E215" i="11"/>
  <c r="E215" i="9"/>
  <c r="E215" i="8"/>
  <c r="C220" i="14"/>
  <c r="C220" i="15"/>
  <c r="C220" i="11"/>
  <c r="C220" i="9"/>
  <c r="C220" i="8"/>
  <c r="D222" i="15"/>
  <c r="F222" i="15" s="1"/>
  <c r="D222" i="14"/>
  <c r="F222" i="14" s="1"/>
  <c r="D222" i="11"/>
  <c r="F222" i="11" s="1"/>
  <c r="D222" i="9"/>
  <c r="D222" i="8"/>
  <c r="A225" i="15"/>
  <c r="A225" i="14"/>
  <c r="A225" i="9"/>
  <c r="A225" i="11"/>
  <c r="A225" i="8"/>
  <c r="F227" i="1"/>
  <c r="J227" i="1" s="1"/>
  <c r="D227" i="15"/>
  <c r="F227" i="15" s="1"/>
  <c r="D227" i="14"/>
  <c r="F227" i="14" s="1"/>
  <c r="D227" i="11"/>
  <c r="F227" i="11" s="1"/>
  <c r="D227" i="8"/>
  <c r="D227" i="9"/>
  <c r="C230" i="15"/>
  <c r="C230" i="14"/>
  <c r="C230" i="9"/>
  <c r="C230" i="11"/>
  <c r="C230" i="8"/>
  <c r="C233" i="14"/>
  <c r="C233" i="15"/>
  <c r="C233" i="11"/>
  <c r="C233" i="8"/>
  <c r="C233" i="9"/>
  <c r="E235" i="15"/>
  <c r="E235" i="14"/>
  <c r="E235" i="11"/>
  <c r="E235" i="9"/>
  <c r="E235" i="8"/>
  <c r="C238" i="15"/>
  <c r="C238" i="14"/>
  <c r="C238" i="9"/>
  <c r="C238" i="8"/>
  <c r="C238" i="11"/>
  <c r="F240" i="1"/>
  <c r="J240" i="1" s="1"/>
  <c r="D240" i="15"/>
  <c r="F240" i="15" s="1"/>
  <c r="D240" i="14"/>
  <c r="F240" i="14" s="1"/>
  <c r="D240" i="11"/>
  <c r="F240" i="11" s="1"/>
  <c r="D240" i="9"/>
  <c r="D240" i="8"/>
  <c r="A243" i="15"/>
  <c r="A243" i="14"/>
  <c r="A243" i="11"/>
  <c r="A243" i="9"/>
  <c r="A243" i="8"/>
  <c r="B245" i="15"/>
  <c r="B245" i="14"/>
  <c r="B245" i="11"/>
  <c r="B245" i="9"/>
  <c r="B245" i="8"/>
  <c r="C247" i="14"/>
  <c r="C247" i="15"/>
  <c r="C247" i="11"/>
  <c r="C247" i="9"/>
  <c r="C247" i="8"/>
  <c r="C250" i="14"/>
  <c r="C250" i="15"/>
  <c r="C250" i="11"/>
  <c r="C250" i="9"/>
  <c r="C250" i="8"/>
  <c r="E252" i="15"/>
  <c r="E252" i="11"/>
  <c r="E252" i="14"/>
  <c r="E252" i="9"/>
  <c r="E252" i="8"/>
  <c r="B259" i="15"/>
  <c r="B259" i="14"/>
  <c r="B259" i="11"/>
  <c r="B259" i="9"/>
  <c r="B259" i="8"/>
  <c r="F261" i="1"/>
  <c r="G261" i="1" s="1"/>
  <c r="D261" i="15"/>
  <c r="F261" i="15" s="1"/>
  <c r="D261" i="11"/>
  <c r="F261" i="11" s="1"/>
  <c r="D261" i="14"/>
  <c r="F261" i="14" s="1"/>
  <c r="D261" i="9"/>
  <c r="D261" i="8"/>
  <c r="F266" i="1"/>
  <c r="D266" i="15"/>
  <c r="F266" i="15" s="1"/>
  <c r="D266" i="14"/>
  <c r="F266" i="14" s="1"/>
  <c r="D266" i="9"/>
  <c r="D266" i="11"/>
  <c r="F266" i="11" s="1"/>
  <c r="D266" i="8"/>
  <c r="B268" i="15"/>
  <c r="B268" i="14"/>
  <c r="B268" i="11"/>
  <c r="B268" i="9"/>
  <c r="B268" i="8"/>
  <c r="A270" i="15"/>
  <c r="A270" i="14"/>
  <c r="A270" i="11"/>
  <c r="A270" i="9"/>
  <c r="A270" i="8"/>
  <c r="B273" i="15"/>
  <c r="B273" i="14"/>
  <c r="B273" i="11"/>
  <c r="B273" i="9"/>
  <c r="B273" i="8"/>
  <c r="B276" i="15"/>
  <c r="B276" i="14"/>
  <c r="B276" i="11"/>
  <c r="B276" i="9"/>
  <c r="B276" i="8"/>
  <c r="F281" i="1"/>
  <c r="H281" i="1" s="1"/>
  <c r="D281" i="15"/>
  <c r="F281" i="15" s="1"/>
  <c r="D281" i="14"/>
  <c r="F281" i="14" s="1"/>
  <c r="D281" i="11"/>
  <c r="F281" i="11" s="1"/>
  <c r="D281" i="9"/>
  <c r="D281" i="8"/>
  <c r="E284" i="15"/>
  <c r="E284" i="14"/>
  <c r="E284" i="9"/>
  <c r="E284" i="11"/>
  <c r="E284" i="8"/>
  <c r="D286" i="15"/>
  <c r="F286" i="15" s="1"/>
  <c r="D286" i="14"/>
  <c r="F286" i="14" s="1"/>
  <c r="D286" i="11"/>
  <c r="F286" i="11" s="1"/>
  <c r="D286" i="9"/>
  <c r="D286" i="8"/>
  <c r="B288" i="15"/>
  <c r="B288" i="11"/>
  <c r="B288" i="14"/>
  <c r="B288" i="9"/>
  <c r="B288" i="8"/>
  <c r="A291" i="15"/>
  <c r="A291" i="14"/>
  <c r="A291" i="11"/>
  <c r="A291" i="9"/>
  <c r="A291" i="8"/>
  <c r="F296" i="1"/>
  <c r="J296" i="1" s="1"/>
  <c r="D296" i="15"/>
  <c r="F296" i="15" s="1"/>
  <c r="D296" i="14"/>
  <c r="F296" i="14" s="1"/>
  <c r="D296" i="11"/>
  <c r="F296" i="11" s="1"/>
  <c r="D296" i="9"/>
  <c r="D296" i="8"/>
  <c r="F299" i="1"/>
  <c r="G299" i="1" s="1"/>
  <c r="D299" i="15"/>
  <c r="F299" i="15" s="1"/>
  <c r="D299" i="14"/>
  <c r="F299" i="14" s="1"/>
  <c r="D299" i="11"/>
  <c r="F299" i="11" s="1"/>
  <c r="D299" i="9"/>
  <c r="D299" i="8"/>
  <c r="E302" i="14"/>
  <c r="E302" i="15"/>
  <c r="E302" i="11"/>
  <c r="E302" i="9"/>
  <c r="E302" i="8"/>
  <c r="F305" i="1"/>
  <c r="H305" i="1" s="1"/>
  <c r="D305" i="15"/>
  <c r="F305" i="15" s="1"/>
  <c r="D305" i="14"/>
  <c r="F305" i="14" s="1"/>
  <c r="D305" i="11"/>
  <c r="F305" i="11" s="1"/>
  <c r="D305" i="9"/>
  <c r="D305" i="8"/>
  <c r="A308" i="15"/>
  <c r="A308" i="14"/>
  <c r="A308" i="11"/>
  <c r="A308" i="9"/>
  <c r="A308" i="8"/>
  <c r="F312" i="1"/>
  <c r="J312" i="1" s="1"/>
  <c r="D312" i="15"/>
  <c r="F312" i="15" s="1"/>
  <c r="D312" i="14"/>
  <c r="F312" i="14" s="1"/>
  <c r="D312" i="9"/>
  <c r="D312" i="8"/>
  <c r="D312" i="11"/>
  <c r="F312" i="11" s="1"/>
  <c r="A315" i="15"/>
  <c r="A315" i="14"/>
  <c r="A315" i="11"/>
  <c r="A315" i="9"/>
  <c r="A315" i="8"/>
  <c r="F317" i="1"/>
  <c r="G317" i="1" s="1"/>
  <c r="D317" i="15"/>
  <c r="F317" i="15" s="1"/>
  <c r="D317" i="14"/>
  <c r="F317" i="14" s="1"/>
  <c r="D317" i="9"/>
  <c r="D317" i="11"/>
  <c r="F317" i="11" s="1"/>
  <c r="D317" i="8"/>
  <c r="D319" i="15"/>
  <c r="F319" i="15" s="1"/>
  <c r="D319" i="14"/>
  <c r="F319" i="14" s="1"/>
  <c r="D319" i="11"/>
  <c r="F319" i="11" s="1"/>
  <c r="D319" i="9"/>
  <c r="D319" i="8"/>
  <c r="A325" i="15"/>
  <c r="A325" i="14"/>
  <c r="A325" i="8"/>
  <c r="A325" i="11"/>
  <c r="A325" i="9"/>
  <c r="B327" i="15"/>
  <c r="B327" i="14"/>
  <c r="B327" i="11"/>
  <c r="B327" i="9"/>
  <c r="B327" i="8"/>
  <c r="E329" i="15"/>
  <c r="E329" i="11"/>
  <c r="E329" i="14"/>
  <c r="E329" i="8"/>
  <c r="E329" i="9"/>
  <c r="C332" i="15"/>
  <c r="C332" i="14"/>
  <c r="C332" i="11"/>
  <c r="C332" i="9"/>
  <c r="C332" i="8"/>
  <c r="A334" i="15"/>
  <c r="A334" i="14"/>
  <c r="A334" i="11"/>
  <c r="A334" i="9"/>
  <c r="A334" i="8"/>
  <c r="C336" i="15"/>
  <c r="C336" i="14"/>
  <c r="C336" i="11"/>
  <c r="C336" i="8"/>
  <c r="C336" i="9"/>
  <c r="C339" i="15"/>
  <c r="C339" i="14"/>
  <c r="C339" i="11"/>
  <c r="C339" i="9"/>
  <c r="C339" i="8"/>
  <c r="F342" i="1"/>
  <c r="D342" i="14"/>
  <c r="F342" i="14" s="1"/>
  <c r="D342" i="11"/>
  <c r="F342" i="11" s="1"/>
  <c r="D342" i="15"/>
  <c r="F342" i="15" s="1"/>
  <c r="D342" i="8"/>
  <c r="D342" i="9"/>
  <c r="A344" i="15"/>
  <c r="A344" i="14"/>
  <c r="A344" i="11"/>
  <c r="A344" i="9"/>
  <c r="A344" i="8"/>
  <c r="F345" i="1"/>
  <c r="J345" i="1" s="1"/>
  <c r="D345" i="15"/>
  <c r="F345" i="15" s="1"/>
  <c r="D345" i="14"/>
  <c r="F345" i="14" s="1"/>
  <c r="D345" i="9"/>
  <c r="D345" i="11"/>
  <c r="F345" i="11" s="1"/>
  <c r="D345" i="8"/>
  <c r="C348" i="14"/>
  <c r="C348" i="15"/>
  <c r="C348" i="11"/>
  <c r="C348" i="9"/>
  <c r="C348" i="8"/>
  <c r="A351" i="14"/>
  <c r="A351" i="11"/>
  <c r="A351" i="15"/>
  <c r="A351" i="9"/>
  <c r="A351" i="8"/>
  <c r="A354" i="15"/>
  <c r="A354" i="14"/>
  <c r="A354" i="11"/>
  <c r="A354" i="9"/>
  <c r="A354" i="8"/>
  <c r="B356" i="14"/>
  <c r="B356" i="15"/>
  <c r="B356" i="11"/>
  <c r="B356" i="9"/>
  <c r="B356" i="8"/>
  <c r="A359" i="14"/>
  <c r="A359" i="15"/>
  <c r="A359" i="11"/>
  <c r="A359" i="9"/>
  <c r="A359" i="8"/>
  <c r="E361" i="14"/>
  <c r="E361" i="15"/>
  <c r="E361" i="11"/>
  <c r="E361" i="9"/>
  <c r="E361" i="8"/>
  <c r="E364" i="15"/>
  <c r="E364" i="14"/>
  <c r="E364" i="11"/>
  <c r="E364" i="8"/>
  <c r="E364" i="9"/>
  <c r="D367" i="15"/>
  <c r="F367" i="15" s="1"/>
  <c r="D367" i="11"/>
  <c r="F367" i="11" s="1"/>
  <c r="D367" i="14"/>
  <c r="F367" i="14" s="1"/>
  <c r="D367" i="9"/>
  <c r="D367" i="8"/>
  <c r="F370" i="1"/>
  <c r="I370" i="1" s="1"/>
  <c r="D370" i="15"/>
  <c r="F370" i="15" s="1"/>
  <c r="D370" i="14"/>
  <c r="F370" i="14" s="1"/>
  <c r="D370" i="9"/>
  <c r="D370" i="11"/>
  <c r="F370" i="11" s="1"/>
  <c r="D370" i="8"/>
  <c r="E372" i="15"/>
  <c r="E372" i="14"/>
  <c r="E372" i="9"/>
  <c r="E372" i="11"/>
  <c r="E372" i="8"/>
  <c r="C377" i="15"/>
  <c r="C377" i="14"/>
  <c r="C377" i="9"/>
  <c r="C377" i="11"/>
  <c r="C377" i="8"/>
  <c r="B380" i="15"/>
  <c r="B380" i="11"/>
  <c r="B380" i="9"/>
  <c r="B380" i="14"/>
  <c r="B380" i="8"/>
  <c r="A386" i="15"/>
  <c r="A386" i="14"/>
  <c r="A386" i="11"/>
  <c r="A386" i="9"/>
  <c r="A386" i="8"/>
  <c r="A389" i="15"/>
  <c r="A389" i="14"/>
  <c r="A389" i="11"/>
  <c r="A389" i="9"/>
  <c r="A389" i="8"/>
  <c r="B393" i="15"/>
  <c r="B393" i="14"/>
  <c r="B393" i="11"/>
  <c r="B393" i="9"/>
  <c r="B393" i="8"/>
  <c r="C395" i="15"/>
  <c r="C395" i="14"/>
  <c r="C395" i="8"/>
  <c r="C395" i="9"/>
  <c r="C395" i="11"/>
  <c r="F398" i="1"/>
  <c r="J398" i="1" s="1"/>
  <c r="D398" i="15"/>
  <c r="F398" i="15" s="1"/>
  <c r="D398" i="14"/>
  <c r="F398" i="14" s="1"/>
  <c r="D398" i="11"/>
  <c r="F398" i="11" s="1"/>
  <c r="D398" i="8"/>
  <c r="D398" i="9"/>
  <c r="B401" i="15"/>
  <c r="B401" i="14"/>
  <c r="B401" i="9"/>
  <c r="B401" i="11"/>
  <c r="B401" i="8"/>
  <c r="B403" i="15"/>
  <c r="B403" i="14"/>
  <c r="B403" i="11"/>
  <c r="B403" i="9"/>
  <c r="B403" i="8"/>
  <c r="C405" i="15"/>
  <c r="C405" i="14"/>
  <c r="C405" i="9"/>
  <c r="C405" i="11"/>
  <c r="C405" i="8"/>
  <c r="B410" i="15"/>
  <c r="B410" i="14"/>
  <c r="B410" i="9"/>
  <c r="B410" i="11"/>
  <c r="B410" i="8"/>
  <c r="A419" i="15"/>
  <c r="A419" i="14"/>
  <c r="A419" i="9"/>
  <c r="A419" i="11"/>
  <c r="A419" i="8"/>
  <c r="C420" i="15"/>
  <c r="C420" i="14"/>
  <c r="C420" i="8"/>
  <c r="C420" i="9"/>
  <c r="C420" i="11"/>
  <c r="A423" i="15"/>
  <c r="A423" i="14"/>
  <c r="A423" i="9"/>
  <c r="A423" i="8"/>
  <c r="A423" i="11"/>
  <c r="C425" i="15"/>
  <c r="C425" i="14"/>
  <c r="C425" i="11"/>
  <c r="C425" i="9"/>
  <c r="C425" i="8"/>
  <c r="F427" i="1"/>
  <c r="D427" i="15"/>
  <c r="F427" i="15" s="1"/>
  <c r="D427" i="14"/>
  <c r="F427" i="14" s="1"/>
  <c r="D427" i="11"/>
  <c r="F427" i="11" s="1"/>
  <c r="D427" i="9"/>
  <c r="D427" i="8"/>
  <c r="A430" i="14"/>
  <c r="A430" i="15"/>
  <c r="A430" i="11"/>
  <c r="A430" i="8"/>
  <c r="A430" i="9"/>
  <c r="F432" i="1"/>
  <c r="D432" i="15"/>
  <c r="F432" i="15" s="1"/>
  <c r="D432" i="14"/>
  <c r="F432" i="14" s="1"/>
  <c r="D432" i="11"/>
  <c r="F432" i="11" s="1"/>
  <c r="D432" i="9"/>
  <c r="D432" i="8"/>
  <c r="E435" i="14"/>
  <c r="E435" i="11"/>
  <c r="E435" i="15"/>
  <c r="E435" i="9"/>
  <c r="E435" i="8"/>
  <c r="C437" i="15"/>
  <c r="C437" i="14"/>
  <c r="C437" i="11"/>
  <c r="C437" i="9"/>
  <c r="C437" i="8"/>
  <c r="C440" i="15"/>
  <c r="C440" i="14"/>
  <c r="C440" i="9"/>
  <c r="C440" i="8"/>
  <c r="C440" i="11"/>
  <c r="E442" i="15"/>
  <c r="E442" i="14"/>
  <c r="E442" i="11"/>
  <c r="E442" i="8"/>
  <c r="E442" i="9"/>
  <c r="A446" i="15"/>
  <c r="A446" i="14"/>
  <c r="A446" i="11"/>
  <c r="A446" i="9"/>
  <c r="A446" i="8"/>
  <c r="C448" i="15"/>
  <c r="C448" i="14"/>
  <c r="C448" i="11"/>
  <c r="C448" i="9"/>
  <c r="C448" i="8"/>
  <c r="F450" i="1"/>
  <c r="I450" i="1" s="1"/>
  <c r="D450" i="15"/>
  <c r="F450" i="15" s="1"/>
  <c r="D450" i="14"/>
  <c r="F450" i="14" s="1"/>
  <c r="D450" i="8"/>
  <c r="D450" i="11"/>
  <c r="F450" i="11" s="1"/>
  <c r="D450" i="9"/>
  <c r="C453" i="15"/>
  <c r="C453" i="14"/>
  <c r="C453" i="11"/>
  <c r="C453" i="9"/>
  <c r="C453" i="8"/>
  <c r="D455" i="15"/>
  <c r="F455" i="15" s="1"/>
  <c r="D455" i="14"/>
  <c r="F455" i="14" s="1"/>
  <c r="D455" i="11"/>
  <c r="F455" i="11" s="1"/>
  <c r="D455" i="9"/>
  <c r="D455" i="8"/>
  <c r="B459" i="15"/>
  <c r="B459" i="14"/>
  <c r="B459" i="11"/>
  <c r="B459" i="8"/>
  <c r="B459" i="9"/>
  <c r="C461" i="14"/>
  <c r="C461" i="15"/>
  <c r="C461" i="11"/>
  <c r="C461" i="8"/>
  <c r="C461" i="9"/>
  <c r="C464" i="15"/>
  <c r="C464" i="14"/>
  <c r="C464" i="11"/>
  <c r="C464" i="9"/>
  <c r="C464" i="8"/>
  <c r="D466" i="14"/>
  <c r="F466" i="14" s="1"/>
  <c r="D466" i="15"/>
  <c r="F466" i="15" s="1"/>
  <c r="D466" i="11"/>
  <c r="F466" i="11" s="1"/>
  <c r="D466" i="9"/>
  <c r="D466" i="8"/>
  <c r="A469" i="14"/>
  <c r="A469" i="15"/>
  <c r="A469" i="11"/>
  <c r="A469" i="9"/>
  <c r="A469" i="8"/>
  <c r="C471" i="15"/>
  <c r="C471" i="14"/>
  <c r="C471" i="11"/>
  <c r="C471" i="9"/>
  <c r="C471" i="8"/>
  <c r="F475" i="1"/>
  <c r="G475" i="1" s="1"/>
  <c r="D475" i="15"/>
  <c r="F475" i="15" s="1"/>
  <c r="D475" i="14"/>
  <c r="F475" i="14" s="1"/>
  <c r="D475" i="11"/>
  <c r="F475" i="11" s="1"/>
  <c r="D475" i="8"/>
  <c r="D475" i="9"/>
  <c r="A478" i="15"/>
  <c r="A478" i="11"/>
  <c r="A478" i="14"/>
  <c r="A478" i="9"/>
  <c r="A478" i="8"/>
  <c r="A481" i="15"/>
  <c r="A481" i="14"/>
  <c r="A481" i="11"/>
  <c r="A481" i="9"/>
  <c r="A481" i="8"/>
  <c r="E483" i="14"/>
  <c r="E483" i="15"/>
  <c r="E483" i="11"/>
  <c r="E483" i="9"/>
  <c r="E483" i="8"/>
  <c r="C485" i="15"/>
  <c r="C485" i="14"/>
  <c r="C485" i="8"/>
  <c r="C485" i="11"/>
  <c r="C485" i="9"/>
  <c r="C487" i="15"/>
  <c r="C487" i="14"/>
  <c r="C487" i="11"/>
  <c r="C487" i="8"/>
  <c r="C487" i="9"/>
  <c r="F491" i="1"/>
  <c r="D491" i="15"/>
  <c r="F491" i="15" s="1"/>
  <c r="D491" i="11"/>
  <c r="F491" i="11" s="1"/>
  <c r="D491" i="14"/>
  <c r="F491" i="14" s="1"/>
  <c r="D491" i="9"/>
  <c r="D491" i="8"/>
  <c r="A494" i="15"/>
  <c r="A494" i="14"/>
  <c r="A494" i="11"/>
  <c r="A494" i="9"/>
  <c r="A494" i="8"/>
  <c r="B497" i="15"/>
  <c r="B497" i="14"/>
  <c r="B497" i="11"/>
  <c r="B497" i="9"/>
  <c r="B497" i="8"/>
  <c r="A502" i="15"/>
  <c r="A502" i="14"/>
  <c r="A502" i="11"/>
  <c r="A502" i="9"/>
  <c r="A502" i="8"/>
  <c r="A504" i="15"/>
  <c r="A504" i="14"/>
  <c r="A504" i="11"/>
  <c r="A504" i="9"/>
  <c r="A504" i="8"/>
  <c r="A507" i="15"/>
  <c r="A507" i="14"/>
  <c r="A507" i="11"/>
  <c r="A507" i="9"/>
  <c r="A507" i="8"/>
  <c r="E509" i="15"/>
  <c r="E509" i="14"/>
  <c r="E509" i="9"/>
  <c r="E509" i="8"/>
  <c r="E509" i="11"/>
  <c r="A512" i="15"/>
  <c r="A512" i="14"/>
  <c r="A512" i="11"/>
  <c r="A512" i="9"/>
  <c r="A512" i="8"/>
  <c r="C514" i="15"/>
  <c r="C514" i="11"/>
  <c r="C514" i="14"/>
  <c r="C514" i="9"/>
  <c r="C514" i="8"/>
  <c r="B517" i="15"/>
  <c r="B517" i="14"/>
  <c r="B517" i="11"/>
  <c r="B517" i="9"/>
  <c r="B517" i="8"/>
  <c r="C519" i="15"/>
  <c r="C519" i="14"/>
  <c r="C519" i="11"/>
  <c r="C519" i="9"/>
  <c r="C519" i="8"/>
  <c r="B522" i="15"/>
  <c r="B522" i="14"/>
  <c r="B522" i="11"/>
  <c r="B522" i="9"/>
  <c r="B522" i="8"/>
  <c r="A525" i="15"/>
  <c r="A525" i="11"/>
  <c r="A525" i="9"/>
  <c r="A525" i="14"/>
  <c r="A525" i="8"/>
  <c r="E527" i="15"/>
  <c r="E527" i="14"/>
  <c r="E527" i="11"/>
  <c r="E527" i="8"/>
  <c r="E527" i="9"/>
  <c r="F530" i="1"/>
  <c r="H530" i="1" s="1"/>
  <c r="D530" i="15"/>
  <c r="F530" i="15" s="1"/>
  <c r="D530" i="14"/>
  <c r="F530" i="14" s="1"/>
  <c r="D530" i="11"/>
  <c r="F530" i="11" s="1"/>
  <c r="D530" i="8"/>
  <c r="F530" i="8" s="1"/>
  <c r="G530" i="8" s="1"/>
  <c r="D530" i="9"/>
  <c r="F530" i="9" s="1"/>
  <c r="F532" i="1"/>
  <c r="D532" i="14"/>
  <c r="F532" i="14" s="1"/>
  <c r="D532" i="15"/>
  <c r="F532" i="15" s="1"/>
  <c r="D532" i="11"/>
  <c r="F532" i="11" s="1"/>
  <c r="D532" i="9"/>
  <c r="F532" i="9" s="1"/>
  <c r="D532" i="8"/>
  <c r="F532" i="8" s="1"/>
  <c r="G532" i="8" s="1"/>
  <c r="A535" i="15"/>
  <c r="A535" i="14"/>
  <c r="A535" i="11"/>
  <c r="A535" i="9"/>
  <c r="A535" i="8"/>
  <c r="A543" i="15"/>
  <c r="A543" i="14"/>
  <c r="A543" i="11"/>
  <c r="A543" i="8"/>
  <c r="A543" i="9"/>
  <c r="C545" i="15"/>
  <c r="C545" i="11"/>
  <c r="C545" i="9"/>
  <c r="C545" i="14"/>
  <c r="C545" i="8"/>
  <c r="F553" i="1"/>
  <c r="D553" i="15"/>
  <c r="F553" i="15" s="1"/>
  <c r="D553" i="14"/>
  <c r="F553" i="14" s="1"/>
  <c r="D553" i="11"/>
  <c r="F553" i="11" s="1"/>
  <c r="D553" i="9"/>
  <c r="F553" i="9" s="1"/>
  <c r="D553" i="8"/>
  <c r="F553" i="8" s="1"/>
  <c r="G553" i="8" s="1"/>
  <c r="C557" i="14"/>
  <c r="C557" i="15"/>
  <c r="C557" i="9"/>
  <c r="C557" i="11"/>
  <c r="C557" i="8"/>
  <c r="B560" i="15"/>
  <c r="B560" i="14"/>
  <c r="B560" i="11"/>
  <c r="B560" i="9"/>
  <c r="B560" i="8"/>
  <c r="A564" i="15"/>
  <c r="A564" i="14"/>
  <c r="A564" i="11"/>
  <c r="A564" i="9"/>
  <c r="A564" i="8"/>
  <c r="E566" i="14"/>
  <c r="E566" i="15"/>
  <c r="E566" i="11"/>
  <c r="E566" i="9"/>
  <c r="E566" i="8"/>
  <c r="B569" i="15"/>
  <c r="B569" i="11"/>
  <c r="B569" i="14"/>
  <c r="B569" i="8"/>
  <c r="B569" i="9"/>
  <c r="F571" i="1"/>
  <c r="I571" i="1" s="1"/>
  <c r="D571" i="15"/>
  <c r="F571" i="15" s="1"/>
  <c r="D571" i="14"/>
  <c r="F571" i="14" s="1"/>
  <c r="D571" i="8"/>
  <c r="F571" i="8" s="1"/>
  <c r="G571" i="8" s="1"/>
  <c r="D571" i="9"/>
  <c r="F571" i="9" s="1"/>
  <c r="D571" i="11"/>
  <c r="F571" i="11" s="1"/>
  <c r="C574" i="15"/>
  <c r="C574" i="14"/>
  <c r="C574" i="11"/>
  <c r="C574" i="8"/>
  <c r="C574" i="9"/>
  <c r="B577" i="15"/>
  <c r="B577" i="14"/>
  <c r="B577" i="11"/>
  <c r="B577" i="8"/>
  <c r="B577" i="9"/>
  <c r="B579" i="15"/>
  <c r="B579" i="14"/>
  <c r="B579" i="11"/>
  <c r="B579" i="9"/>
  <c r="B579" i="8"/>
  <c r="B581" i="15"/>
  <c r="B581" i="14"/>
  <c r="B581" i="11"/>
  <c r="B581" i="9"/>
  <c r="B581" i="8"/>
  <c r="C589" i="15"/>
  <c r="C589" i="11"/>
  <c r="C589" i="14"/>
  <c r="C589" i="9"/>
  <c r="C589" i="8"/>
  <c r="A592" i="15"/>
  <c r="A592" i="11"/>
  <c r="A592" i="14"/>
  <c r="A592" i="9"/>
  <c r="A592" i="8"/>
  <c r="E594" i="14"/>
  <c r="E594" i="11"/>
  <c r="E594" i="15"/>
  <c r="E594" i="9"/>
  <c r="E594" i="8"/>
  <c r="F597" i="1"/>
  <c r="K597" i="1" s="1"/>
  <c r="D597" i="15"/>
  <c r="F597" i="15" s="1"/>
  <c r="D597" i="14"/>
  <c r="F597" i="14" s="1"/>
  <c r="D597" i="8"/>
  <c r="F597" i="8" s="1"/>
  <c r="G597" i="8" s="1"/>
  <c r="D597" i="11"/>
  <c r="F597" i="11" s="1"/>
  <c r="D597" i="9"/>
  <c r="F597" i="9" s="1"/>
  <c r="C602" i="15"/>
  <c r="C602" i="14"/>
  <c r="C602" i="11"/>
  <c r="C602" i="9"/>
  <c r="C602" i="8"/>
  <c r="B604" i="15"/>
  <c r="B604" i="14"/>
  <c r="B604" i="11"/>
  <c r="B604" i="8"/>
  <c r="B604" i="9"/>
  <c r="F606" i="1"/>
  <c r="K606" i="1" s="1"/>
  <c r="D606" i="15"/>
  <c r="F606" i="15" s="1"/>
  <c r="D606" i="14"/>
  <c r="F606" i="14" s="1"/>
  <c r="D606" i="9"/>
  <c r="F606" i="9" s="1"/>
  <c r="D606" i="11"/>
  <c r="F606" i="11" s="1"/>
  <c r="D606" i="8"/>
  <c r="F606" i="8" s="1"/>
  <c r="G606" i="8" s="1"/>
  <c r="A609" i="15"/>
  <c r="A609" i="14"/>
  <c r="A609" i="11"/>
  <c r="A609" i="9"/>
  <c r="A609" i="8"/>
  <c r="A612" i="15"/>
  <c r="A612" i="14"/>
  <c r="A612" i="11"/>
  <c r="A612" i="9"/>
  <c r="A612" i="8"/>
  <c r="D614" i="15"/>
  <c r="F614" i="15" s="1"/>
  <c r="D614" i="14"/>
  <c r="F614" i="14" s="1"/>
  <c r="D614" i="11"/>
  <c r="F614" i="11" s="1"/>
  <c r="D614" i="9"/>
  <c r="F614" i="9" s="1"/>
  <c r="D614" i="8"/>
  <c r="F614" i="8" s="1"/>
  <c r="G614" i="8" s="1"/>
  <c r="C616" i="15"/>
  <c r="C616" i="14"/>
  <c r="C616" i="9"/>
  <c r="C616" i="11"/>
  <c r="C616" i="8"/>
  <c r="B618" i="15"/>
  <c r="B618" i="14"/>
  <c r="B618" i="9"/>
  <c r="B618" i="8"/>
  <c r="B618" i="11"/>
  <c r="C621" i="15"/>
  <c r="C621" i="14"/>
  <c r="C621" i="11"/>
  <c r="C621" i="8"/>
  <c r="C621" i="9"/>
  <c r="B624" i="15"/>
  <c r="B624" i="14"/>
  <c r="B624" i="11"/>
  <c r="B624" i="9"/>
  <c r="B624" i="8"/>
  <c r="D626" i="15"/>
  <c r="F626" i="15" s="1"/>
  <c r="D626" i="11"/>
  <c r="F626" i="11" s="1"/>
  <c r="D626" i="14"/>
  <c r="F626" i="14" s="1"/>
  <c r="D626" i="9"/>
  <c r="F626" i="9" s="1"/>
  <c r="D626" i="8"/>
  <c r="F626" i="8" s="1"/>
  <c r="G626" i="8" s="1"/>
  <c r="C629" i="15"/>
  <c r="C629" i="14"/>
  <c r="C629" i="11"/>
  <c r="C629" i="9"/>
  <c r="C629" i="8"/>
  <c r="C632" i="14"/>
  <c r="C632" i="15"/>
  <c r="C632" i="11"/>
  <c r="C632" i="9"/>
  <c r="C632" i="8"/>
  <c r="B635" i="15"/>
  <c r="B635" i="14"/>
  <c r="B635" i="11"/>
  <c r="B635" i="8"/>
  <c r="B635" i="9"/>
  <c r="E638" i="15"/>
  <c r="E638" i="14"/>
  <c r="E638" i="11"/>
  <c r="E638" i="9"/>
  <c r="E638" i="8"/>
  <c r="E642" i="15"/>
  <c r="E642" i="14"/>
  <c r="E642" i="11"/>
  <c r="E642" i="9"/>
  <c r="E642" i="8"/>
  <c r="F644" i="1"/>
  <c r="K644" i="1" s="1"/>
  <c r="D644" i="14"/>
  <c r="F644" i="14" s="1"/>
  <c r="D644" i="15"/>
  <c r="F644" i="15" s="1"/>
  <c r="D644" i="11"/>
  <c r="F644" i="11" s="1"/>
  <c r="D644" i="8"/>
  <c r="F644" i="8" s="1"/>
  <c r="G644" i="8" s="1"/>
  <c r="D644" i="9"/>
  <c r="F644" i="9" s="1"/>
  <c r="A647" i="15"/>
  <c r="A647" i="11"/>
  <c r="A647" i="9"/>
  <c r="A647" i="14"/>
  <c r="A647" i="8"/>
  <c r="E649" i="15"/>
  <c r="E649" i="14"/>
  <c r="E649" i="11"/>
  <c r="E649" i="8"/>
  <c r="E649" i="9"/>
  <c r="A652" i="15"/>
  <c r="A652" i="14"/>
  <c r="A652" i="11"/>
  <c r="A652" i="8"/>
  <c r="A652" i="9"/>
  <c r="A655" i="15"/>
  <c r="A655" i="14"/>
  <c r="A655" i="11"/>
  <c r="A655" i="9"/>
  <c r="A655" i="8"/>
  <c r="C657" i="15"/>
  <c r="C657" i="14"/>
  <c r="C657" i="11"/>
  <c r="C657" i="9"/>
  <c r="C657" i="8"/>
  <c r="C659" i="15"/>
  <c r="C659" i="14"/>
  <c r="C659" i="11"/>
  <c r="C659" i="8"/>
  <c r="C659" i="9"/>
  <c r="B661" i="15"/>
  <c r="B661" i="14"/>
  <c r="B661" i="8"/>
  <c r="B661" i="9"/>
  <c r="B661" i="11"/>
  <c r="A664" i="15"/>
  <c r="A664" i="14"/>
  <c r="A664" i="11"/>
  <c r="A664" i="8"/>
  <c r="A664" i="9"/>
  <c r="F666" i="1"/>
  <c r="D666" i="15"/>
  <c r="F666" i="15" s="1"/>
  <c r="D666" i="14"/>
  <c r="F666" i="14" s="1"/>
  <c r="D666" i="11"/>
  <c r="F666" i="11" s="1"/>
  <c r="D666" i="9"/>
  <c r="F666" i="9" s="1"/>
  <c r="D666" i="8"/>
  <c r="F666" i="8" s="1"/>
  <c r="G666" i="8" s="1"/>
  <c r="E669" i="15"/>
  <c r="E669" i="14"/>
  <c r="E669" i="11"/>
  <c r="E669" i="9"/>
  <c r="E669" i="8"/>
  <c r="E671" i="15"/>
  <c r="E671" i="14"/>
  <c r="E671" i="11"/>
  <c r="E671" i="9"/>
  <c r="E671" i="8"/>
  <c r="C674" i="15"/>
  <c r="C674" i="14"/>
  <c r="C674" i="8"/>
  <c r="C674" i="11"/>
  <c r="C674" i="9"/>
  <c r="A677" i="15"/>
  <c r="A677" i="14"/>
  <c r="A677" i="8"/>
  <c r="A677" i="11"/>
  <c r="A677" i="9"/>
  <c r="C682" i="14"/>
  <c r="C682" i="15"/>
  <c r="C682" i="11"/>
  <c r="C682" i="9"/>
  <c r="C682" i="8"/>
  <c r="C684" i="14"/>
  <c r="C684" i="15"/>
  <c r="C684" i="11"/>
  <c r="C684" i="9"/>
  <c r="C684" i="8"/>
  <c r="B686" i="15"/>
  <c r="B686" i="14"/>
  <c r="B686" i="11"/>
  <c r="B686" i="8"/>
  <c r="B686" i="9"/>
  <c r="F688" i="1"/>
  <c r="K688" i="1" s="1"/>
  <c r="D688" i="14"/>
  <c r="F688" i="14" s="1"/>
  <c r="D688" i="15"/>
  <c r="F688" i="15" s="1"/>
  <c r="D688" i="11"/>
  <c r="F688" i="11" s="1"/>
  <c r="D688" i="9"/>
  <c r="F688" i="9" s="1"/>
  <c r="D688" i="8"/>
  <c r="F688" i="8" s="1"/>
  <c r="G688" i="8" s="1"/>
  <c r="F691" i="1"/>
  <c r="G691" i="1" s="1"/>
  <c r="D691" i="15"/>
  <c r="F691" i="15" s="1"/>
  <c r="D691" i="11"/>
  <c r="F691" i="11" s="1"/>
  <c r="D691" i="14"/>
  <c r="F691" i="14" s="1"/>
  <c r="D691" i="9"/>
  <c r="F691" i="9" s="1"/>
  <c r="D691" i="8"/>
  <c r="F691" i="8" s="1"/>
  <c r="G691" i="8" s="1"/>
  <c r="E693" i="15"/>
  <c r="E693" i="14"/>
  <c r="E693" i="11"/>
  <c r="E693" i="8"/>
  <c r="E693" i="9"/>
  <c r="B696" i="15"/>
  <c r="B696" i="11"/>
  <c r="B696" i="14"/>
  <c r="B696" i="9"/>
  <c r="B696" i="8"/>
  <c r="C699" i="15"/>
  <c r="C699" i="14"/>
  <c r="C699" i="11"/>
  <c r="C699" i="9"/>
  <c r="C699" i="8"/>
  <c r="A708" i="15"/>
  <c r="A708" i="14"/>
  <c r="A708" i="11"/>
  <c r="A708" i="8"/>
  <c r="A708" i="9"/>
  <c r="E709" i="15"/>
  <c r="E709" i="11"/>
  <c r="E709" i="14"/>
  <c r="E709" i="8"/>
  <c r="E709" i="9"/>
  <c r="E712" i="15"/>
  <c r="E712" i="14"/>
  <c r="E712" i="11"/>
  <c r="E712" i="9"/>
  <c r="E712" i="8"/>
  <c r="F715" i="1"/>
  <c r="D715" i="15"/>
  <c r="F715" i="15" s="1"/>
  <c r="D715" i="14"/>
  <c r="F715" i="14" s="1"/>
  <c r="D715" i="11"/>
  <c r="F715" i="11" s="1"/>
  <c r="D715" i="9"/>
  <c r="F715" i="9" s="1"/>
  <c r="D715" i="8"/>
  <c r="F715" i="8" s="1"/>
  <c r="G715" i="8" s="1"/>
  <c r="F720" i="1"/>
  <c r="K720" i="1" s="1"/>
  <c r="D720" i="15"/>
  <c r="F720" i="15" s="1"/>
  <c r="D720" i="14"/>
  <c r="F720" i="14" s="1"/>
  <c r="D720" i="9"/>
  <c r="F720" i="9" s="1"/>
  <c r="D720" i="8"/>
  <c r="F720" i="8" s="1"/>
  <c r="G720" i="8" s="1"/>
  <c r="D720" i="11"/>
  <c r="F720" i="11" s="1"/>
  <c r="C723" i="15"/>
  <c r="C723" i="14"/>
  <c r="C723" i="11"/>
  <c r="C723" i="9"/>
  <c r="C723" i="8"/>
  <c r="C725" i="15"/>
  <c r="C725" i="14"/>
  <c r="C725" i="11"/>
  <c r="C725" i="9"/>
  <c r="C725" i="8"/>
  <c r="E730" i="15"/>
  <c r="E730" i="14"/>
  <c r="E730" i="11"/>
  <c r="E730" i="9"/>
  <c r="E730" i="8"/>
  <c r="A733" i="14"/>
  <c r="A733" i="15"/>
  <c r="A733" i="11"/>
  <c r="A733" i="9"/>
  <c r="A733" i="8"/>
  <c r="E735" i="15"/>
  <c r="E735" i="14"/>
  <c r="E735" i="8"/>
  <c r="E735" i="9"/>
  <c r="E735" i="11"/>
  <c r="A738" i="15"/>
  <c r="A738" i="14"/>
  <c r="A738" i="11"/>
  <c r="A738" i="8"/>
  <c r="A738" i="9"/>
  <c r="E740" i="15"/>
  <c r="E740" i="11"/>
  <c r="E740" i="14"/>
  <c r="E740" i="9"/>
  <c r="E740" i="8"/>
  <c r="A743" i="14"/>
  <c r="A743" i="15"/>
  <c r="A743" i="11"/>
  <c r="A743" i="9"/>
  <c r="A743" i="8"/>
  <c r="B747" i="15"/>
  <c r="B747" i="14"/>
  <c r="B747" i="11"/>
  <c r="B747" i="9"/>
  <c r="B747" i="8"/>
  <c r="D749" i="15"/>
  <c r="F749" i="15" s="1"/>
  <c r="D749" i="14"/>
  <c r="F749" i="14" s="1"/>
  <c r="D749" i="11"/>
  <c r="F749" i="11" s="1"/>
  <c r="D749" i="9"/>
  <c r="F749" i="9" s="1"/>
  <c r="D749" i="8"/>
  <c r="F749" i="8" s="1"/>
  <c r="G749" i="8" s="1"/>
  <c r="C751" i="15"/>
  <c r="C751" i="14"/>
  <c r="C751" i="9"/>
  <c r="C751" i="8"/>
  <c r="C751" i="11"/>
  <c r="E753" i="15"/>
  <c r="E753" i="14"/>
  <c r="E753" i="11"/>
  <c r="E753" i="9"/>
  <c r="E753" i="8"/>
  <c r="E758" i="15"/>
  <c r="E758" i="11"/>
  <c r="E758" i="14"/>
  <c r="E758" i="9"/>
  <c r="E758" i="8"/>
  <c r="E761" i="15"/>
  <c r="E761" i="14"/>
  <c r="E761" i="8"/>
  <c r="E761" i="9"/>
  <c r="E761" i="11"/>
  <c r="D764" i="15"/>
  <c r="F764" i="15" s="1"/>
  <c r="D764" i="14"/>
  <c r="F764" i="14" s="1"/>
  <c r="D764" i="11"/>
  <c r="F764" i="11" s="1"/>
  <c r="D764" i="9"/>
  <c r="F764" i="9" s="1"/>
  <c r="D764" i="8"/>
  <c r="F764" i="8" s="1"/>
  <c r="G764" i="8" s="1"/>
  <c r="C767" i="15"/>
  <c r="C767" i="14"/>
  <c r="C767" i="9"/>
  <c r="C767" i="11"/>
  <c r="C767" i="8"/>
  <c r="C775" i="15"/>
  <c r="C775" i="14"/>
  <c r="C775" i="11"/>
  <c r="C775" i="9"/>
  <c r="C775" i="8"/>
  <c r="B778" i="15"/>
  <c r="B778" i="14"/>
  <c r="B778" i="11"/>
  <c r="B778" i="9"/>
  <c r="B778" i="8"/>
  <c r="A783" i="15"/>
  <c r="A783" i="14"/>
  <c r="A783" i="11"/>
  <c r="A783" i="8"/>
  <c r="A783" i="9"/>
  <c r="B786" i="14"/>
  <c r="B786" i="15"/>
  <c r="B786" i="11"/>
  <c r="B786" i="8"/>
  <c r="B786" i="9"/>
  <c r="E791" i="14"/>
  <c r="E791" i="15"/>
  <c r="E791" i="9"/>
  <c r="E791" i="11"/>
  <c r="E791" i="8"/>
  <c r="A796" i="15"/>
  <c r="A796" i="14"/>
  <c r="A796" i="11"/>
  <c r="A796" i="9"/>
  <c r="A796" i="8"/>
  <c r="E797" i="15"/>
  <c r="E797" i="14"/>
  <c r="E797" i="11"/>
  <c r="E797" i="9"/>
  <c r="E797" i="8"/>
  <c r="D800" i="15"/>
  <c r="F800" i="15" s="1"/>
  <c r="D800" i="14"/>
  <c r="F800" i="14" s="1"/>
  <c r="D800" i="11"/>
  <c r="F800" i="11" s="1"/>
  <c r="D800" i="9"/>
  <c r="F800" i="9" s="1"/>
  <c r="D800" i="8"/>
  <c r="F800" i="8" s="1"/>
  <c r="G800" i="8" s="1"/>
  <c r="A803" i="15"/>
  <c r="A803" i="14"/>
  <c r="A803" i="11"/>
  <c r="A803" i="9"/>
  <c r="A803" i="8"/>
  <c r="E805" i="15"/>
  <c r="E805" i="14"/>
  <c r="E805" i="11"/>
  <c r="E805" i="9"/>
  <c r="E805" i="8"/>
  <c r="E807" i="15"/>
  <c r="E807" i="14"/>
  <c r="E807" i="9"/>
  <c r="E807" i="11"/>
  <c r="E807" i="8"/>
  <c r="A810" i="15"/>
  <c r="A810" i="14"/>
  <c r="A810" i="11"/>
  <c r="A810" i="8"/>
  <c r="A810" i="9"/>
  <c r="C812" i="15"/>
  <c r="C812" i="14"/>
  <c r="C812" i="11"/>
  <c r="C812" i="8"/>
  <c r="C812" i="9"/>
  <c r="A815" i="15"/>
  <c r="A815" i="14"/>
  <c r="A815" i="9"/>
  <c r="A815" i="8"/>
  <c r="A815" i="11"/>
  <c r="A818" i="15"/>
  <c r="A818" i="14"/>
  <c r="A818" i="11"/>
  <c r="A818" i="9"/>
  <c r="A818" i="8"/>
  <c r="C820" i="15"/>
  <c r="C820" i="14"/>
  <c r="C820" i="11"/>
  <c r="C820" i="9"/>
  <c r="C820" i="8"/>
  <c r="F822" i="1"/>
  <c r="G822" i="1" s="1"/>
  <c r="D822" i="15"/>
  <c r="F822" i="15" s="1"/>
  <c r="D822" i="14"/>
  <c r="F822" i="14" s="1"/>
  <c r="D822" i="11"/>
  <c r="F822" i="11" s="1"/>
  <c r="D822" i="8"/>
  <c r="F822" i="8" s="1"/>
  <c r="G822" i="8" s="1"/>
  <c r="D822" i="9"/>
  <c r="F822" i="9" s="1"/>
  <c r="A825" i="15"/>
  <c r="A825" i="14"/>
  <c r="A825" i="11"/>
  <c r="A825" i="9"/>
  <c r="A825" i="8"/>
  <c r="F827" i="1"/>
  <c r="I827" i="1" s="1"/>
  <c r="D827" i="15"/>
  <c r="F827" i="15" s="1"/>
  <c r="D827" i="14"/>
  <c r="F827" i="14" s="1"/>
  <c r="D827" i="11"/>
  <c r="F827" i="11" s="1"/>
  <c r="D827" i="9"/>
  <c r="F827" i="9" s="1"/>
  <c r="D827" i="8"/>
  <c r="F827" i="8" s="1"/>
  <c r="G827" i="8" s="1"/>
  <c r="D830" i="15"/>
  <c r="F830" i="15" s="1"/>
  <c r="D830" i="11"/>
  <c r="F830" i="11" s="1"/>
  <c r="D830" i="14"/>
  <c r="F830" i="14" s="1"/>
  <c r="D830" i="8"/>
  <c r="F830" i="8" s="1"/>
  <c r="G830" i="8" s="1"/>
  <c r="D830" i="9"/>
  <c r="F830" i="9" s="1"/>
  <c r="F833" i="1"/>
  <c r="I833" i="1" s="1"/>
  <c r="D833" i="15"/>
  <c r="F833" i="15" s="1"/>
  <c r="D833" i="14"/>
  <c r="F833" i="14" s="1"/>
  <c r="D833" i="11"/>
  <c r="F833" i="11" s="1"/>
  <c r="D833" i="8"/>
  <c r="F833" i="8" s="1"/>
  <c r="G833" i="8" s="1"/>
  <c r="D833" i="9"/>
  <c r="F833" i="9" s="1"/>
  <c r="A836" i="15"/>
  <c r="A836" i="14"/>
  <c r="A836" i="11"/>
  <c r="A836" i="8"/>
  <c r="A836" i="9"/>
  <c r="E838" i="15"/>
  <c r="E838" i="14"/>
  <c r="E838" i="11"/>
  <c r="E838" i="8"/>
  <c r="E838" i="9"/>
  <c r="F841" i="1"/>
  <c r="I841" i="1" s="1"/>
  <c r="D841" i="15"/>
  <c r="F841" i="15" s="1"/>
  <c r="D841" i="14"/>
  <c r="F841" i="14" s="1"/>
  <c r="D841" i="11"/>
  <c r="F841" i="11" s="1"/>
  <c r="D841" i="8"/>
  <c r="F841" i="8" s="1"/>
  <c r="G841" i="8" s="1"/>
  <c r="D841" i="9"/>
  <c r="F841" i="9" s="1"/>
  <c r="E846" i="15"/>
  <c r="E846" i="11"/>
  <c r="E846" i="14"/>
  <c r="E846" i="9"/>
  <c r="E846" i="8"/>
  <c r="B849" i="15"/>
  <c r="B849" i="14"/>
  <c r="B849" i="11"/>
  <c r="B849" i="8"/>
  <c r="B849" i="9"/>
  <c r="F854" i="1"/>
  <c r="I854" i="1" s="1"/>
  <c r="D854" i="15"/>
  <c r="F854" i="15" s="1"/>
  <c r="D854" i="14"/>
  <c r="F854" i="14" s="1"/>
  <c r="D854" i="11"/>
  <c r="F854" i="11" s="1"/>
  <c r="D854" i="8"/>
  <c r="F854" i="8" s="1"/>
  <c r="G854" i="8" s="1"/>
  <c r="D854" i="9"/>
  <c r="F854" i="9" s="1"/>
  <c r="A857" i="15"/>
  <c r="A857" i="14"/>
  <c r="A857" i="8"/>
  <c r="A857" i="9"/>
  <c r="A857" i="11"/>
  <c r="E859" i="15"/>
  <c r="E859" i="14"/>
  <c r="E859" i="11"/>
  <c r="E859" i="8"/>
  <c r="E859" i="9"/>
  <c r="F47" i="1"/>
  <c r="I47" i="1" s="1"/>
  <c r="D47" i="15"/>
  <c r="F47" i="15" s="1"/>
  <c r="D47" i="9"/>
  <c r="D47" i="11"/>
  <c r="F47" i="11" s="1"/>
  <c r="D47" i="14"/>
  <c r="F47" i="14" s="1"/>
  <c r="D47" i="8"/>
  <c r="A83" i="15"/>
  <c r="A83" i="11"/>
  <c r="A83" i="14"/>
  <c r="A83" i="8"/>
  <c r="A83" i="9"/>
  <c r="B97" i="15"/>
  <c r="B97" i="14"/>
  <c r="B97" i="11"/>
  <c r="B97" i="9"/>
  <c r="B97" i="8"/>
  <c r="A129" i="15"/>
  <c r="A129" i="14"/>
  <c r="A129" i="9"/>
  <c r="A129" i="8"/>
  <c r="A129" i="11"/>
  <c r="D144" i="15"/>
  <c r="F144" i="15" s="1"/>
  <c r="D144" i="14"/>
  <c r="F144" i="14" s="1"/>
  <c r="D144" i="11"/>
  <c r="F144" i="11" s="1"/>
  <c r="D144" i="9"/>
  <c r="D144" i="8"/>
  <c r="F207" i="1"/>
  <c r="D207" i="15"/>
  <c r="F207" i="15" s="1"/>
  <c r="D207" i="14"/>
  <c r="F207" i="14" s="1"/>
  <c r="D207" i="11"/>
  <c r="F207" i="11" s="1"/>
  <c r="D207" i="8"/>
  <c r="D207" i="9"/>
  <c r="C269" i="15"/>
  <c r="C269" i="14"/>
  <c r="C269" i="11"/>
  <c r="C269" i="9"/>
  <c r="C269" i="8"/>
  <c r="F292" i="1"/>
  <c r="D292" i="15"/>
  <c r="F292" i="15" s="1"/>
  <c r="D292" i="14"/>
  <c r="F292" i="14" s="1"/>
  <c r="D292" i="9"/>
  <c r="D292" i="11"/>
  <c r="F292" i="11" s="1"/>
  <c r="D292" i="8"/>
  <c r="E316" i="15"/>
  <c r="E316" i="14"/>
  <c r="E316" i="9"/>
  <c r="E316" i="8"/>
  <c r="E316" i="11"/>
  <c r="D335" i="15"/>
  <c r="F335" i="15" s="1"/>
  <c r="D335" i="11"/>
  <c r="F335" i="11" s="1"/>
  <c r="D335" i="14"/>
  <c r="F335" i="14" s="1"/>
  <c r="D335" i="9"/>
  <c r="D335" i="8"/>
  <c r="C355" i="15"/>
  <c r="C355" i="14"/>
  <c r="C355" i="11"/>
  <c r="C355" i="9"/>
  <c r="C355" i="8"/>
  <c r="E381" i="15"/>
  <c r="E381" i="14"/>
  <c r="E381" i="8"/>
  <c r="E381" i="11"/>
  <c r="E381" i="9"/>
  <c r="A402" i="15"/>
  <c r="A402" i="14"/>
  <c r="A402" i="11"/>
  <c r="A402" i="8"/>
  <c r="A402" i="9"/>
  <c r="F424" i="1"/>
  <c r="G424" i="1" s="1"/>
  <c r="D424" i="15"/>
  <c r="F424" i="15" s="1"/>
  <c r="D424" i="14"/>
  <c r="F424" i="14" s="1"/>
  <c r="D424" i="11"/>
  <c r="F424" i="11" s="1"/>
  <c r="D424" i="9"/>
  <c r="D424" i="8"/>
  <c r="B449" i="15"/>
  <c r="B449" i="14"/>
  <c r="B449" i="11"/>
  <c r="B449" i="9"/>
  <c r="B449" i="8"/>
  <c r="C470" i="15"/>
  <c r="C470" i="14"/>
  <c r="C470" i="11"/>
  <c r="C470" i="9"/>
  <c r="C470" i="8"/>
  <c r="C511" i="15"/>
  <c r="C511" i="11"/>
  <c r="C511" i="14"/>
  <c r="C511" i="8"/>
  <c r="C511" i="9"/>
  <c r="E552" i="15"/>
  <c r="E552" i="14"/>
  <c r="E552" i="11"/>
  <c r="E552" i="8"/>
  <c r="E552" i="9"/>
  <c r="A573" i="15"/>
  <c r="A573" i="11"/>
  <c r="A573" i="14"/>
  <c r="A573" i="8"/>
  <c r="A573" i="9"/>
  <c r="C599" i="15"/>
  <c r="C599" i="14"/>
  <c r="C599" i="11"/>
  <c r="C599" i="9"/>
  <c r="C599" i="8"/>
  <c r="A620" i="15"/>
  <c r="A620" i="14"/>
  <c r="A620" i="11"/>
  <c r="A620" i="9"/>
  <c r="A620" i="8"/>
  <c r="D641" i="15"/>
  <c r="F641" i="15" s="1"/>
  <c r="D641" i="11"/>
  <c r="F641" i="11" s="1"/>
  <c r="D641" i="9"/>
  <c r="F641" i="9" s="1"/>
  <c r="D641" i="14"/>
  <c r="F641" i="14" s="1"/>
  <c r="D641" i="8"/>
  <c r="F641" i="8" s="1"/>
  <c r="G641" i="8" s="1"/>
  <c r="C668" i="15"/>
  <c r="C668" i="14"/>
  <c r="C668" i="8"/>
  <c r="C668" i="9"/>
  <c r="C668" i="11"/>
  <c r="C690" i="15"/>
  <c r="C690" i="14"/>
  <c r="C690" i="9"/>
  <c r="C690" i="11"/>
  <c r="C690" i="8"/>
  <c r="E750" i="15"/>
  <c r="E750" i="14"/>
  <c r="E750" i="11"/>
  <c r="E750" i="9"/>
  <c r="E750" i="8"/>
  <c r="F774" i="1"/>
  <c r="G774" i="1" s="1"/>
  <c r="D774" i="15"/>
  <c r="F774" i="15" s="1"/>
  <c r="D774" i="14"/>
  <c r="F774" i="14" s="1"/>
  <c r="D774" i="11"/>
  <c r="F774" i="11" s="1"/>
  <c r="D774" i="9"/>
  <c r="F774" i="9" s="1"/>
  <c r="D774" i="8"/>
  <c r="F774" i="8" s="1"/>
  <c r="G774" i="8" s="1"/>
  <c r="E813" i="15"/>
  <c r="E813" i="14"/>
  <c r="E813" i="11"/>
  <c r="E813" i="9"/>
  <c r="E813" i="8"/>
  <c r="C845" i="15"/>
  <c r="C845" i="14"/>
  <c r="C845" i="11"/>
  <c r="C845" i="9"/>
  <c r="C845" i="8"/>
  <c r="D24" i="15"/>
  <c r="F24" i="15" s="1"/>
  <c r="D24" i="14"/>
  <c r="F24" i="14" s="1"/>
  <c r="D24" i="9"/>
  <c r="D24" i="11"/>
  <c r="F24" i="11" s="1"/>
  <c r="D24" i="8"/>
  <c r="E47" i="15"/>
  <c r="E47" i="11"/>
  <c r="E47" i="9"/>
  <c r="E47" i="14"/>
  <c r="E47" i="8"/>
  <c r="B70" i="15"/>
  <c r="B70" i="14"/>
  <c r="B70" i="11"/>
  <c r="B70" i="9"/>
  <c r="B70" i="8"/>
  <c r="A88" i="15"/>
  <c r="A88" i="14"/>
  <c r="A88" i="9"/>
  <c r="A88" i="11"/>
  <c r="A88" i="8"/>
  <c r="A126" i="15"/>
  <c r="A126" i="14"/>
  <c r="A126" i="11"/>
  <c r="A126" i="9"/>
  <c r="A126" i="8"/>
  <c r="E144" i="15"/>
  <c r="E144" i="14"/>
  <c r="E144" i="11"/>
  <c r="E144" i="9"/>
  <c r="E144" i="8"/>
  <c r="E166" i="15"/>
  <c r="E166" i="14"/>
  <c r="E166" i="11"/>
  <c r="E166" i="9"/>
  <c r="E166" i="8"/>
  <c r="C188" i="14"/>
  <c r="C188" i="15"/>
  <c r="C188" i="11"/>
  <c r="C188" i="9"/>
  <c r="C188" i="8"/>
  <c r="B203" i="15"/>
  <c r="B203" i="14"/>
  <c r="B203" i="9"/>
  <c r="B203" i="11"/>
  <c r="B203" i="8"/>
  <c r="A242" i="15"/>
  <c r="A242" i="14"/>
  <c r="A242" i="9"/>
  <c r="A242" i="8"/>
  <c r="A242" i="11"/>
  <c r="E267" i="15"/>
  <c r="E267" i="14"/>
  <c r="E267" i="11"/>
  <c r="E267" i="9"/>
  <c r="E267" i="8"/>
  <c r="B309" i="15"/>
  <c r="B309" i="14"/>
  <c r="B309" i="11"/>
  <c r="B309" i="9"/>
  <c r="B309" i="8"/>
  <c r="E335" i="15"/>
  <c r="E335" i="14"/>
  <c r="E335" i="11"/>
  <c r="E335" i="9"/>
  <c r="E335" i="8"/>
  <c r="F355" i="1"/>
  <c r="D355" i="15"/>
  <c r="F355" i="15" s="1"/>
  <c r="D355" i="14"/>
  <c r="F355" i="14" s="1"/>
  <c r="D355" i="11"/>
  <c r="F355" i="11" s="1"/>
  <c r="D355" i="8"/>
  <c r="D355" i="9"/>
  <c r="E414" i="15"/>
  <c r="E414" i="14"/>
  <c r="E414" i="11"/>
  <c r="E414" i="9"/>
  <c r="E414" i="8"/>
  <c r="C431" i="15"/>
  <c r="C431" i="11"/>
  <c r="C431" i="14"/>
  <c r="C431" i="9"/>
  <c r="C431" i="8"/>
  <c r="F460" i="1"/>
  <c r="D460" i="15"/>
  <c r="F460" i="15" s="1"/>
  <c r="D460" i="14"/>
  <c r="F460" i="14" s="1"/>
  <c r="D460" i="9"/>
  <c r="D460" i="8"/>
  <c r="D460" i="11"/>
  <c r="F460" i="11" s="1"/>
  <c r="E492" i="15"/>
  <c r="E492" i="14"/>
  <c r="E492" i="11"/>
  <c r="E492" i="8"/>
  <c r="E492" i="9"/>
  <c r="D511" i="15"/>
  <c r="F511" i="15" s="1"/>
  <c r="D511" i="11"/>
  <c r="F511" i="11" s="1"/>
  <c r="D511" i="14"/>
  <c r="F511" i="14" s="1"/>
  <c r="D511" i="8"/>
  <c r="D511" i="9"/>
  <c r="F529" i="1"/>
  <c r="D529" i="15"/>
  <c r="F529" i="15" s="1"/>
  <c r="D529" i="14"/>
  <c r="F529" i="14" s="1"/>
  <c r="D529" i="11"/>
  <c r="F529" i="11" s="1"/>
  <c r="D529" i="8"/>
  <c r="F529" i="8" s="1"/>
  <c r="G529" i="8" s="1"/>
  <c r="D529" i="9"/>
  <c r="F529" i="9" s="1"/>
  <c r="E548" i="15"/>
  <c r="E548" i="14"/>
  <c r="E548" i="9"/>
  <c r="E548" i="8"/>
  <c r="E548" i="11"/>
  <c r="E565" i="15"/>
  <c r="E565" i="11"/>
  <c r="E565" i="14"/>
  <c r="E565" i="8"/>
  <c r="E565" i="9"/>
  <c r="A585" i="15"/>
  <c r="A585" i="11"/>
  <c r="A585" i="14"/>
  <c r="A585" i="8"/>
  <c r="A585" i="9"/>
  <c r="B631" i="15"/>
  <c r="B631" i="14"/>
  <c r="B631" i="11"/>
  <c r="B631" i="8"/>
  <c r="B631" i="9"/>
  <c r="F683" i="1"/>
  <c r="D683" i="15"/>
  <c r="F683" i="15" s="1"/>
  <c r="D683" i="14"/>
  <c r="F683" i="14" s="1"/>
  <c r="D683" i="11"/>
  <c r="F683" i="11" s="1"/>
  <c r="D683" i="9"/>
  <c r="F683" i="9" s="1"/>
  <c r="D683" i="8"/>
  <c r="F683" i="8" s="1"/>
  <c r="G683" i="8" s="1"/>
  <c r="C707" i="15"/>
  <c r="C707" i="14"/>
  <c r="C707" i="9"/>
  <c r="C707" i="11"/>
  <c r="C707" i="8"/>
  <c r="B724" i="15"/>
  <c r="B724" i="11"/>
  <c r="B724" i="9"/>
  <c r="B724" i="14"/>
  <c r="B724" i="8"/>
  <c r="F757" i="1"/>
  <c r="J757" i="1" s="1"/>
  <c r="D757" i="15"/>
  <c r="F757" i="15" s="1"/>
  <c r="D757" i="14"/>
  <c r="F757" i="14" s="1"/>
  <c r="D757" i="11"/>
  <c r="F757" i="11" s="1"/>
  <c r="D757" i="9"/>
  <c r="F757" i="9" s="1"/>
  <c r="D757" i="8"/>
  <c r="F757" i="8" s="1"/>
  <c r="G757" i="8" s="1"/>
  <c r="E774" i="15"/>
  <c r="E774" i="14"/>
  <c r="E774" i="11"/>
  <c r="E774" i="9"/>
  <c r="E774" i="8"/>
  <c r="C799" i="15"/>
  <c r="C799" i="14"/>
  <c r="C799" i="11"/>
  <c r="C799" i="9"/>
  <c r="C799" i="8"/>
  <c r="C831" i="15"/>
  <c r="C831" i="11"/>
  <c r="C831" i="9"/>
  <c r="C831" i="8"/>
  <c r="C831" i="14"/>
  <c r="B843" i="14"/>
  <c r="B843" i="15"/>
  <c r="B843" i="11"/>
  <c r="B843" i="9"/>
  <c r="B843" i="8"/>
  <c r="B12" i="15"/>
  <c r="B12" i="14"/>
  <c r="B12" i="9"/>
  <c r="B12" i="11"/>
  <c r="B12" i="8"/>
  <c r="A37" i="14"/>
  <c r="A37" i="15"/>
  <c r="A37" i="8"/>
  <c r="A37" i="11"/>
  <c r="A37" i="9"/>
  <c r="B59" i="15"/>
  <c r="B59" i="14"/>
  <c r="B59" i="9"/>
  <c r="B59" i="11"/>
  <c r="B59" i="8"/>
  <c r="F97" i="1"/>
  <c r="H97" i="1" s="1"/>
  <c r="D97" i="15"/>
  <c r="F97" i="15" s="1"/>
  <c r="D97" i="14"/>
  <c r="F97" i="14" s="1"/>
  <c r="D97" i="11"/>
  <c r="F97" i="11" s="1"/>
  <c r="D97" i="9"/>
  <c r="D97" i="8"/>
  <c r="A121" i="15"/>
  <c r="A121" i="14"/>
  <c r="A121" i="9"/>
  <c r="A121" i="11"/>
  <c r="A121" i="8"/>
  <c r="A135" i="15"/>
  <c r="A135" i="14"/>
  <c r="A135" i="11"/>
  <c r="A135" i="8"/>
  <c r="A135" i="9"/>
  <c r="C149" i="15"/>
  <c r="C149" i="14"/>
  <c r="C149" i="11"/>
  <c r="C149" i="9"/>
  <c r="C149" i="8"/>
  <c r="B159" i="15"/>
  <c r="B159" i="14"/>
  <c r="B159" i="11"/>
  <c r="B159" i="8"/>
  <c r="B159" i="9"/>
  <c r="A192" i="15"/>
  <c r="A192" i="14"/>
  <c r="A192" i="11"/>
  <c r="A192" i="8"/>
  <c r="A192" i="9"/>
  <c r="A206" i="15"/>
  <c r="A206" i="14"/>
  <c r="A206" i="11"/>
  <c r="A206" i="9"/>
  <c r="A206" i="8"/>
  <c r="B258" i="15"/>
  <c r="B258" i="14"/>
  <c r="B258" i="9"/>
  <c r="B258" i="11"/>
  <c r="B258" i="8"/>
  <c r="F295" i="1"/>
  <c r="H295" i="1" s="1"/>
  <c r="D295" i="14"/>
  <c r="F295" i="14" s="1"/>
  <c r="D295" i="15"/>
  <c r="F295" i="15" s="1"/>
  <c r="D295" i="11"/>
  <c r="F295" i="11" s="1"/>
  <c r="D295" i="9"/>
  <c r="D295" i="8"/>
  <c r="E320" i="15"/>
  <c r="E320" i="9"/>
  <c r="E320" i="11"/>
  <c r="E320" i="14"/>
  <c r="E320" i="8"/>
  <c r="C338" i="15"/>
  <c r="C338" i="14"/>
  <c r="C338" i="11"/>
  <c r="C338" i="8"/>
  <c r="C338" i="9"/>
  <c r="E355" i="15"/>
  <c r="E355" i="14"/>
  <c r="E355" i="11"/>
  <c r="E355" i="9"/>
  <c r="E355" i="8"/>
  <c r="C376" i="15"/>
  <c r="C376" i="11"/>
  <c r="C376" i="14"/>
  <c r="C376" i="9"/>
  <c r="C376" i="8"/>
  <c r="C402" i="15"/>
  <c r="C402" i="14"/>
  <c r="C402" i="11"/>
  <c r="C402" i="9"/>
  <c r="C402" i="8"/>
  <c r="F426" i="1"/>
  <c r="D426" i="14"/>
  <c r="F426" i="14" s="1"/>
  <c r="D426" i="11"/>
  <c r="F426" i="11" s="1"/>
  <c r="D426" i="9"/>
  <c r="D426" i="8"/>
  <c r="D426" i="15"/>
  <c r="F426" i="15" s="1"/>
  <c r="C447" i="15"/>
  <c r="C447" i="14"/>
  <c r="C447" i="11"/>
  <c r="C447" i="9"/>
  <c r="C447" i="8"/>
  <c r="A468" i="15"/>
  <c r="A468" i="14"/>
  <c r="A468" i="11"/>
  <c r="A468" i="9"/>
  <c r="A468" i="8"/>
  <c r="C521" i="15"/>
  <c r="C521" i="14"/>
  <c r="C521" i="11"/>
  <c r="C521" i="9"/>
  <c r="C521" i="8"/>
  <c r="E542" i="14"/>
  <c r="E542" i="11"/>
  <c r="E542" i="15"/>
  <c r="E542" i="8"/>
  <c r="E542" i="9"/>
  <c r="F565" i="1"/>
  <c r="I565" i="1" s="1"/>
  <c r="A587" i="14"/>
  <c r="A587" i="11"/>
  <c r="A587" i="15"/>
  <c r="A587" i="9"/>
  <c r="A587" i="8"/>
  <c r="F639" i="1"/>
  <c r="C673" i="14"/>
  <c r="C673" i="15"/>
  <c r="C673" i="11"/>
  <c r="C673" i="9"/>
  <c r="C673" i="8"/>
  <c r="C701" i="15"/>
  <c r="C701" i="14"/>
  <c r="C701" i="11"/>
  <c r="C701" i="9"/>
  <c r="C701" i="8"/>
  <c r="C724" i="14"/>
  <c r="C724" i="15"/>
  <c r="C724" i="11"/>
  <c r="C724" i="9"/>
  <c r="C724" i="8"/>
  <c r="F748" i="1"/>
  <c r="I748" i="1" s="1"/>
  <c r="B809" i="15"/>
  <c r="B809" i="14"/>
  <c r="B809" i="11"/>
  <c r="B809" i="9"/>
  <c r="B809" i="8"/>
  <c r="C848" i="15"/>
  <c r="C848" i="14"/>
  <c r="C848" i="11"/>
  <c r="C848" i="9"/>
  <c r="C848" i="8"/>
  <c r="E7" i="14"/>
  <c r="E7" i="15"/>
  <c r="E7" i="9"/>
  <c r="E7" i="11"/>
  <c r="E7" i="8"/>
  <c r="F54" i="1"/>
  <c r="I54" i="1" s="1"/>
  <c r="D54" i="15"/>
  <c r="F54" i="15" s="1"/>
  <c r="D54" i="14"/>
  <c r="F54" i="14" s="1"/>
  <c r="D54" i="11"/>
  <c r="F54" i="11" s="1"/>
  <c r="D54" i="9"/>
  <c r="D54" i="8"/>
  <c r="D322" i="15"/>
  <c r="F322" i="15" s="1"/>
  <c r="D322" i="14"/>
  <c r="F322" i="14" s="1"/>
  <c r="D322" i="11"/>
  <c r="F322" i="11" s="1"/>
  <c r="D322" i="8"/>
  <c r="D322" i="9"/>
  <c r="F698" i="1"/>
  <c r="G698" i="1" s="1"/>
  <c r="D698" i="15"/>
  <c r="F698" i="15" s="1"/>
  <c r="D698" i="14"/>
  <c r="F698" i="14" s="1"/>
  <c r="D698" i="9"/>
  <c r="F698" i="9" s="1"/>
  <c r="D698" i="11"/>
  <c r="F698" i="11" s="1"/>
  <c r="D698" i="8"/>
  <c r="F698" i="8" s="1"/>
  <c r="G698" i="8" s="1"/>
  <c r="C89" i="15"/>
  <c r="C89" i="14"/>
  <c r="C89" i="11"/>
  <c r="C89" i="9"/>
  <c r="C89" i="8"/>
  <c r="E98" i="14"/>
  <c r="E98" i="15"/>
  <c r="E98" i="11"/>
  <c r="E98" i="9"/>
  <c r="E98" i="8"/>
  <c r="E101" i="15"/>
  <c r="E101" i="14"/>
  <c r="E101" i="9"/>
  <c r="E101" i="11"/>
  <c r="E101" i="8"/>
  <c r="E104" i="15"/>
  <c r="E104" i="14"/>
  <c r="E104" i="9"/>
  <c r="E104" i="8"/>
  <c r="E104" i="11"/>
  <c r="B107" i="15"/>
  <c r="B107" i="14"/>
  <c r="B107" i="11"/>
  <c r="B107" i="8"/>
  <c r="B107" i="9"/>
  <c r="C109" i="15"/>
  <c r="C109" i="11"/>
  <c r="C109" i="9"/>
  <c r="C109" i="8"/>
  <c r="C109" i="14"/>
  <c r="E111" i="15"/>
  <c r="E111" i="14"/>
  <c r="E111" i="11"/>
  <c r="E111" i="9"/>
  <c r="E111" i="8"/>
  <c r="E114" i="15"/>
  <c r="E114" i="11"/>
  <c r="E114" i="14"/>
  <c r="E114" i="9"/>
  <c r="E114" i="8"/>
  <c r="A117" i="15"/>
  <c r="A117" i="14"/>
  <c r="A117" i="11"/>
  <c r="A117" i="9"/>
  <c r="A117" i="8"/>
  <c r="F119" i="1"/>
  <c r="D119" i="14"/>
  <c r="F119" i="14" s="1"/>
  <c r="D119" i="15"/>
  <c r="F119" i="15" s="1"/>
  <c r="D119" i="11"/>
  <c r="F119" i="11" s="1"/>
  <c r="D119" i="8"/>
  <c r="D119" i="9"/>
  <c r="B124" i="15"/>
  <c r="B124" i="11"/>
  <c r="B124" i="14"/>
  <c r="B124" i="9"/>
  <c r="B124" i="8"/>
  <c r="A128" i="15"/>
  <c r="A128" i="14"/>
  <c r="A128" i="11"/>
  <c r="A128" i="9"/>
  <c r="A128" i="8"/>
  <c r="D130" i="14"/>
  <c r="F130" i="14" s="1"/>
  <c r="D130" i="11"/>
  <c r="F130" i="11" s="1"/>
  <c r="D130" i="9"/>
  <c r="D130" i="8"/>
  <c r="D130" i="15"/>
  <c r="F130" i="15" s="1"/>
  <c r="F133" i="1"/>
  <c r="I133" i="1" s="1"/>
  <c r="D133" i="15"/>
  <c r="F133" i="15" s="1"/>
  <c r="D133" i="14"/>
  <c r="F133" i="14" s="1"/>
  <c r="D133" i="11"/>
  <c r="F133" i="11" s="1"/>
  <c r="D133" i="9"/>
  <c r="D133" i="8"/>
  <c r="B136" i="14"/>
  <c r="B136" i="11"/>
  <c r="B136" i="15"/>
  <c r="B136" i="9"/>
  <c r="B136" i="8"/>
  <c r="D141" i="15"/>
  <c r="F141" i="15" s="1"/>
  <c r="D141" i="14"/>
  <c r="F141" i="14" s="1"/>
  <c r="D141" i="11"/>
  <c r="F141" i="11" s="1"/>
  <c r="D141" i="9"/>
  <c r="D141" i="8"/>
  <c r="F143" i="1"/>
  <c r="G143" i="1" s="1"/>
  <c r="D143" i="15"/>
  <c r="F143" i="15" s="1"/>
  <c r="D143" i="14"/>
  <c r="F143" i="14" s="1"/>
  <c r="D143" i="11"/>
  <c r="F143" i="11" s="1"/>
  <c r="D143" i="9"/>
  <c r="D143" i="8"/>
  <c r="B148" i="15"/>
  <c r="B148" i="14"/>
  <c r="B148" i="11"/>
  <c r="B148" i="9"/>
  <c r="B148" i="8"/>
  <c r="D150" i="15"/>
  <c r="F150" i="15" s="1"/>
  <c r="D150" i="9"/>
  <c r="D150" i="11"/>
  <c r="F150" i="11" s="1"/>
  <c r="D150" i="14"/>
  <c r="F150" i="14" s="1"/>
  <c r="D150" i="8"/>
  <c r="E157" i="15"/>
  <c r="E157" i="9"/>
  <c r="E157" i="11"/>
  <c r="E157" i="14"/>
  <c r="E157" i="8"/>
  <c r="C160" i="15"/>
  <c r="C160" i="14"/>
  <c r="C160" i="11"/>
  <c r="C160" i="9"/>
  <c r="C160" i="8"/>
  <c r="C162" i="15"/>
  <c r="C162" i="14"/>
  <c r="C162" i="9"/>
  <c r="C162" i="11"/>
  <c r="C162" i="8"/>
  <c r="B165" i="15"/>
  <c r="B165" i="14"/>
  <c r="B165" i="11"/>
  <c r="B165" i="9"/>
  <c r="B165" i="8"/>
  <c r="A170" i="15"/>
  <c r="A170" i="14"/>
  <c r="A170" i="11"/>
  <c r="A170" i="9"/>
  <c r="A170" i="8"/>
  <c r="B173" i="15"/>
  <c r="B173" i="11"/>
  <c r="B173" i="14"/>
  <c r="B173" i="8"/>
  <c r="B173" i="9"/>
  <c r="B176" i="15"/>
  <c r="B176" i="14"/>
  <c r="B176" i="11"/>
  <c r="B176" i="9"/>
  <c r="B176" i="8"/>
  <c r="E178" i="15"/>
  <c r="E178" i="14"/>
  <c r="E178" i="11"/>
  <c r="E178" i="9"/>
  <c r="E178" i="8"/>
  <c r="B181" i="14"/>
  <c r="B181" i="15"/>
  <c r="B181" i="11"/>
  <c r="B181" i="9"/>
  <c r="B181" i="8"/>
  <c r="B184" i="15"/>
  <c r="B184" i="14"/>
  <c r="B184" i="11"/>
  <c r="B184" i="8"/>
  <c r="B184" i="9"/>
  <c r="B187" i="15"/>
  <c r="B187" i="14"/>
  <c r="B187" i="11"/>
  <c r="B187" i="8"/>
  <c r="B187" i="9"/>
  <c r="E189" i="15"/>
  <c r="E189" i="14"/>
  <c r="E189" i="11"/>
  <c r="E189" i="9"/>
  <c r="E189" i="8"/>
  <c r="B191" i="15"/>
  <c r="B191" i="14"/>
  <c r="B191" i="9"/>
  <c r="B191" i="11"/>
  <c r="B191" i="8"/>
  <c r="F194" i="1"/>
  <c r="D194" i="14"/>
  <c r="F194" i="14" s="1"/>
  <c r="D194" i="11"/>
  <c r="F194" i="11" s="1"/>
  <c r="D194" i="15"/>
  <c r="F194" i="15" s="1"/>
  <c r="D194" i="9"/>
  <c r="D194" i="8"/>
  <c r="A197" i="15"/>
  <c r="A197" i="11"/>
  <c r="A197" i="14"/>
  <c r="A197" i="9"/>
  <c r="A197" i="8"/>
  <c r="C199" i="15"/>
  <c r="C199" i="14"/>
  <c r="C199" i="11"/>
  <c r="C199" i="9"/>
  <c r="C199" i="8"/>
  <c r="C201" i="15"/>
  <c r="C201" i="11"/>
  <c r="C201" i="9"/>
  <c r="C201" i="8"/>
  <c r="C201" i="14"/>
  <c r="F204" i="1"/>
  <c r="G204" i="1" s="1"/>
  <c r="D204" i="15"/>
  <c r="F204" i="15" s="1"/>
  <c r="D204" i="14"/>
  <c r="F204" i="14" s="1"/>
  <c r="D204" i="9"/>
  <c r="D204" i="11"/>
  <c r="F204" i="11" s="1"/>
  <c r="D204" i="8"/>
  <c r="B208" i="14"/>
  <c r="B208" i="15"/>
  <c r="B208" i="11"/>
  <c r="B208" i="9"/>
  <c r="B208" i="8"/>
  <c r="C211" i="15"/>
  <c r="C211" i="14"/>
  <c r="C211" i="11"/>
  <c r="C211" i="9"/>
  <c r="C211" i="8"/>
  <c r="E213" i="15"/>
  <c r="E213" i="14"/>
  <c r="E213" i="11"/>
  <c r="E213" i="9"/>
  <c r="E213" i="8"/>
  <c r="A218" i="15"/>
  <c r="A218" i="14"/>
  <c r="A218" i="11"/>
  <c r="A218" i="9"/>
  <c r="A218" i="8"/>
  <c r="F220" i="1"/>
  <c r="D220" i="14"/>
  <c r="F220" i="14" s="1"/>
  <c r="D220" i="15"/>
  <c r="F220" i="15" s="1"/>
  <c r="D220" i="11"/>
  <c r="F220" i="11" s="1"/>
  <c r="D220" i="9"/>
  <c r="D220" i="8"/>
  <c r="E222" i="15"/>
  <c r="E222" i="14"/>
  <c r="E222" i="11"/>
  <c r="E222" i="9"/>
  <c r="E222" i="8"/>
  <c r="B225" i="15"/>
  <c r="B225" i="14"/>
  <c r="B225" i="9"/>
  <c r="B225" i="11"/>
  <c r="B225" i="8"/>
  <c r="E227" i="15"/>
  <c r="E227" i="14"/>
  <c r="E227" i="11"/>
  <c r="E227" i="8"/>
  <c r="E227" i="9"/>
  <c r="D230" i="15"/>
  <c r="F230" i="15" s="1"/>
  <c r="D230" i="14"/>
  <c r="F230" i="14" s="1"/>
  <c r="D230" i="11"/>
  <c r="F230" i="11" s="1"/>
  <c r="D230" i="9"/>
  <c r="D230" i="8"/>
  <c r="D233" i="14"/>
  <c r="F233" i="14" s="1"/>
  <c r="D233" i="15"/>
  <c r="F233" i="15" s="1"/>
  <c r="D233" i="11"/>
  <c r="F233" i="11" s="1"/>
  <c r="D233" i="9"/>
  <c r="D233" i="8"/>
  <c r="D238" i="15"/>
  <c r="F238" i="15" s="1"/>
  <c r="D238" i="14"/>
  <c r="F238" i="14" s="1"/>
  <c r="D238" i="9"/>
  <c r="D238" i="8"/>
  <c r="D238" i="11"/>
  <c r="F238" i="11" s="1"/>
  <c r="E240" i="15"/>
  <c r="E240" i="14"/>
  <c r="E240" i="11"/>
  <c r="E240" i="9"/>
  <c r="E240" i="8"/>
  <c r="B243" i="15"/>
  <c r="B243" i="14"/>
  <c r="B243" i="11"/>
  <c r="B243" i="9"/>
  <c r="B243" i="8"/>
  <c r="C245" i="15"/>
  <c r="C245" i="14"/>
  <c r="C245" i="11"/>
  <c r="C245" i="9"/>
  <c r="C245" i="8"/>
  <c r="F247" i="1"/>
  <c r="G247" i="1" s="1"/>
  <c r="D247" i="15"/>
  <c r="F247" i="15" s="1"/>
  <c r="D247" i="14"/>
  <c r="F247" i="14" s="1"/>
  <c r="D247" i="11"/>
  <c r="F247" i="11" s="1"/>
  <c r="D247" i="9"/>
  <c r="D247" i="8"/>
  <c r="F250" i="1"/>
  <c r="H250" i="1" s="1"/>
  <c r="D250" i="15"/>
  <c r="F250" i="15" s="1"/>
  <c r="D250" i="9"/>
  <c r="D250" i="14"/>
  <c r="F250" i="14" s="1"/>
  <c r="D250" i="11"/>
  <c r="F250" i="11" s="1"/>
  <c r="D250" i="8"/>
  <c r="C259" i="15"/>
  <c r="C259" i="14"/>
  <c r="C259" i="11"/>
  <c r="C259" i="8"/>
  <c r="C259" i="9"/>
  <c r="E261" i="15"/>
  <c r="E261" i="14"/>
  <c r="E261" i="11"/>
  <c r="E261" i="9"/>
  <c r="E261" i="8"/>
  <c r="E266" i="15"/>
  <c r="E266" i="14"/>
  <c r="E266" i="11"/>
  <c r="E266" i="9"/>
  <c r="E266" i="8"/>
  <c r="C268" i="15"/>
  <c r="C268" i="14"/>
  <c r="C268" i="11"/>
  <c r="C268" i="9"/>
  <c r="C268" i="8"/>
  <c r="B270" i="15"/>
  <c r="B270" i="14"/>
  <c r="B270" i="11"/>
  <c r="B270" i="9"/>
  <c r="B270" i="8"/>
  <c r="C273" i="15"/>
  <c r="C273" i="14"/>
  <c r="C273" i="11"/>
  <c r="C273" i="8"/>
  <c r="C273" i="9"/>
  <c r="C276" i="14"/>
  <c r="C276" i="15"/>
  <c r="C276" i="9"/>
  <c r="C276" i="8"/>
  <c r="C276" i="11"/>
  <c r="A279" i="15"/>
  <c r="A279" i="9"/>
  <c r="A279" i="14"/>
  <c r="A279" i="11"/>
  <c r="A279" i="8"/>
  <c r="E281" i="15"/>
  <c r="E281" i="14"/>
  <c r="E281" i="11"/>
  <c r="E281" i="9"/>
  <c r="E281" i="8"/>
  <c r="E286" i="15"/>
  <c r="E286" i="14"/>
  <c r="E286" i="11"/>
  <c r="E286" i="8"/>
  <c r="E286" i="9"/>
  <c r="C288" i="14"/>
  <c r="C288" i="15"/>
  <c r="C288" i="11"/>
  <c r="C288" i="8"/>
  <c r="C288" i="9"/>
  <c r="B291" i="15"/>
  <c r="B291" i="14"/>
  <c r="B291" i="11"/>
  <c r="B291" i="9"/>
  <c r="B291" i="8"/>
  <c r="E296" i="15"/>
  <c r="E296" i="11"/>
  <c r="E296" i="14"/>
  <c r="E296" i="9"/>
  <c r="E296" i="8"/>
  <c r="E299" i="14"/>
  <c r="E299" i="11"/>
  <c r="E299" i="15"/>
  <c r="E299" i="9"/>
  <c r="E299" i="8"/>
  <c r="E305" i="15"/>
  <c r="E305" i="14"/>
  <c r="E305" i="11"/>
  <c r="E305" i="9"/>
  <c r="E305" i="8"/>
  <c r="B308" i="15"/>
  <c r="B308" i="14"/>
  <c r="B308" i="11"/>
  <c r="B308" i="9"/>
  <c r="B308" i="8"/>
  <c r="A310" i="15"/>
  <c r="A310" i="14"/>
  <c r="A310" i="9"/>
  <c r="A310" i="11"/>
  <c r="A310" i="8"/>
  <c r="E312" i="15"/>
  <c r="E312" i="14"/>
  <c r="E312" i="9"/>
  <c r="E312" i="11"/>
  <c r="E312" i="8"/>
  <c r="B315" i="15"/>
  <c r="B315" i="11"/>
  <c r="B315" i="14"/>
  <c r="B315" i="9"/>
  <c r="B315" i="8"/>
  <c r="E317" i="15"/>
  <c r="E317" i="14"/>
  <c r="E317" i="9"/>
  <c r="E317" i="11"/>
  <c r="E317" i="8"/>
  <c r="E319" i="15"/>
  <c r="E319" i="14"/>
  <c r="E319" i="11"/>
  <c r="E319" i="9"/>
  <c r="E319" i="8"/>
  <c r="A323" i="15"/>
  <c r="A323" i="14"/>
  <c r="A323" i="11"/>
  <c r="A323" i="8"/>
  <c r="A323" i="9"/>
  <c r="B325" i="15"/>
  <c r="B325" i="14"/>
  <c r="B325" i="8"/>
  <c r="B325" i="9"/>
  <c r="B325" i="11"/>
  <c r="C327" i="15"/>
  <c r="C327" i="14"/>
  <c r="C327" i="11"/>
  <c r="C327" i="9"/>
  <c r="C327" i="8"/>
  <c r="F332" i="1"/>
  <c r="D332" i="15"/>
  <c r="F332" i="15" s="1"/>
  <c r="D332" i="14"/>
  <c r="F332" i="14" s="1"/>
  <c r="D332" i="11"/>
  <c r="F332" i="11" s="1"/>
  <c r="D332" i="8"/>
  <c r="D332" i="9"/>
  <c r="B334" i="15"/>
  <c r="B334" i="14"/>
  <c r="B334" i="11"/>
  <c r="B334" i="8"/>
  <c r="B334" i="9"/>
  <c r="D336" i="15"/>
  <c r="F336" i="15" s="1"/>
  <c r="D336" i="11"/>
  <c r="F336" i="11" s="1"/>
  <c r="D336" i="14"/>
  <c r="F336" i="14" s="1"/>
  <c r="D336" i="9"/>
  <c r="D336" i="8"/>
  <c r="F339" i="1"/>
  <c r="J339" i="1" s="1"/>
  <c r="D339" i="15"/>
  <c r="F339" i="15" s="1"/>
  <c r="D339" i="14"/>
  <c r="F339" i="14" s="1"/>
  <c r="D339" i="9"/>
  <c r="D339" i="11"/>
  <c r="F339" i="11" s="1"/>
  <c r="D339" i="8"/>
  <c r="E342" i="14"/>
  <c r="E342" i="11"/>
  <c r="E342" i="15"/>
  <c r="E342" i="9"/>
  <c r="E342" i="8"/>
  <c r="B344" i="15"/>
  <c r="B344" i="14"/>
  <c r="B344" i="11"/>
  <c r="B344" i="8"/>
  <c r="B344" i="9"/>
  <c r="E345" i="15"/>
  <c r="E345" i="14"/>
  <c r="E345" i="9"/>
  <c r="E345" i="11"/>
  <c r="E345" i="8"/>
  <c r="F348" i="1"/>
  <c r="J348" i="1" s="1"/>
  <c r="D348" i="14"/>
  <c r="F348" i="14" s="1"/>
  <c r="D348" i="15"/>
  <c r="F348" i="15" s="1"/>
  <c r="D348" i="11"/>
  <c r="F348" i="11" s="1"/>
  <c r="D348" i="8"/>
  <c r="D348" i="9"/>
  <c r="B351" i="14"/>
  <c r="B351" i="11"/>
  <c r="B351" i="15"/>
  <c r="B351" i="9"/>
  <c r="B351" i="8"/>
  <c r="B354" i="15"/>
  <c r="B354" i="14"/>
  <c r="B354" i="11"/>
  <c r="B354" i="9"/>
  <c r="B354" i="8"/>
  <c r="C356" i="14"/>
  <c r="C356" i="15"/>
  <c r="C356" i="11"/>
  <c r="C356" i="9"/>
  <c r="C356" i="8"/>
  <c r="B359" i="15"/>
  <c r="B359" i="11"/>
  <c r="B359" i="14"/>
  <c r="B359" i="8"/>
  <c r="B359" i="9"/>
  <c r="E367" i="15"/>
  <c r="E367" i="14"/>
  <c r="E367" i="8"/>
  <c r="E367" i="11"/>
  <c r="E367" i="9"/>
  <c r="E370" i="15"/>
  <c r="E370" i="14"/>
  <c r="E370" i="11"/>
  <c r="E370" i="9"/>
  <c r="E370" i="8"/>
  <c r="A373" i="15"/>
  <c r="A373" i="14"/>
  <c r="A373" i="11"/>
  <c r="A373" i="9"/>
  <c r="A373" i="8"/>
  <c r="D377" i="15"/>
  <c r="F377" i="15" s="1"/>
  <c r="D377" i="14"/>
  <c r="F377" i="14" s="1"/>
  <c r="D377" i="11"/>
  <c r="F377" i="11" s="1"/>
  <c r="D377" i="9"/>
  <c r="D377" i="8"/>
  <c r="C380" i="15"/>
  <c r="C380" i="11"/>
  <c r="C380" i="14"/>
  <c r="C380" i="9"/>
  <c r="C380" i="8"/>
  <c r="A383" i="15"/>
  <c r="A383" i="14"/>
  <c r="A383" i="11"/>
  <c r="A383" i="9"/>
  <c r="A383" i="8"/>
  <c r="B386" i="14"/>
  <c r="B386" i="15"/>
  <c r="B386" i="11"/>
  <c r="B386" i="9"/>
  <c r="B386" i="8"/>
  <c r="B389" i="14"/>
  <c r="B389" i="15"/>
  <c r="B389" i="11"/>
  <c r="B389" i="9"/>
  <c r="B389" i="8"/>
  <c r="A391" i="15"/>
  <c r="A391" i="14"/>
  <c r="A391" i="11"/>
  <c r="A391" i="8"/>
  <c r="A391" i="9"/>
  <c r="C393" i="15"/>
  <c r="C393" i="14"/>
  <c r="C393" i="11"/>
  <c r="C393" i="9"/>
  <c r="C393" i="8"/>
  <c r="F395" i="1"/>
  <c r="D395" i="15"/>
  <c r="F395" i="15" s="1"/>
  <c r="D395" i="9"/>
  <c r="D395" i="14"/>
  <c r="F395" i="14" s="1"/>
  <c r="D395" i="8"/>
  <c r="D395" i="11"/>
  <c r="F395" i="11" s="1"/>
  <c r="E398" i="15"/>
  <c r="E398" i="14"/>
  <c r="E398" i="11"/>
  <c r="E398" i="8"/>
  <c r="E398" i="9"/>
  <c r="C401" i="14"/>
  <c r="C401" i="11"/>
  <c r="C401" i="9"/>
  <c r="C401" i="8"/>
  <c r="C401" i="15"/>
  <c r="C403" i="15"/>
  <c r="C403" i="14"/>
  <c r="C403" i="11"/>
  <c r="C403" i="9"/>
  <c r="C403" i="8"/>
  <c r="F405" i="1"/>
  <c r="D405" i="15"/>
  <c r="F405" i="15" s="1"/>
  <c r="D405" i="14"/>
  <c r="F405" i="14" s="1"/>
  <c r="D405" i="9"/>
  <c r="D405" i="11"/>
  <c r="F405" i="11" s="1"/>
  <c r="D405" i="8"/>
  <c r="C410" i="15"/>
  <c r="C410" i="14"/>
  <c r="C410" i="9"/>
  <c r="C410" i="11"/>
  <c r="C410" i="8"/>
  <c r="A413" i="15"/>
  <c r="A413" i="14"/>
  <c r="A413" i="9"/>
  <c r="A413" i="11"/>
  <c r="A413" i="8"/>
  <c r="A416" i="15"/>
  <c r="A416" i="14"/>
  <c r="A416" i="11"/>
  <c r="A416" i="9"/>
  <c r="A416" i="8"/>
  <c r="B419" i="15"/>
  <c r="B419" i="11"/>
  <c r="B419" i="14"/>
  <c r="B419" i="8"/>
  <c r="B419" i="9"/>
  <c r="D420" i="14"/>
  <c r="F420" i="14" s="1"/>
  <c r="D420" i="15"/>
  <c r="F420" i="15" s="1"/>
  <c r="D420" i="9"/>
  <c r="D420" i="8"/>
  <c r="D420" i="11"/>
  <c r="F420" i="11" s="1"/>
  <c r="B423" i="15"/>
  <c r="B423" i="9"/>
  <c r="B423" i="11"/>
  <c r="B423" i="8"/>
  <c r="B423" i="14"/>
  <c r="F425" i="1"/>
  <c r="D425" i="14"/>
  <c r="F425" i="14" s="1"/>
  <c r="D425" i="15"/>
  <c r="F425" i="15" s="1"/>
  <c r="D425" i="11"/>
  <c r="F425" i="11" s="1"/>
  <c r="D425" i="9"/>
  <c r="D425" i="8"/>
  <c r="E427" i="15"/>
  <c r="E427" i="14"/>
  <c r="E427" i="11"/>
  <c r="E427" i="9"/>
  <c r="E427" i="8"/>
  <c r="B430" i="14"/>
  <c r="B430" i="15"/>
  <c r="B430" i="11"/>
  <c r="B430" i="9"/>
  <c r="B430" i="8"/>
  <c r="E432" i="15"/>
  <c r="E432" i="14"/>
  <c r="E432" i="11"/>
  <c r="E432" i="8"/>
  <c r="E432" i="9"/>
  <c r="F437" i="1"/>
  <c r="H437" i="1" s="1"/>
  <c r="D437" i="15"/>
  <c r="F437" i="15" s="1"/>
  <c r="D437" i="11"/>
  <c r="F437" i="11" s="1"/>
  <c r="D437" i="9"/>
  <c r="D437" i="14"/>
  <c r="F437" i="14" s="1"/>
  <c r="D437" i="8"/>
  <c r="F440" i="1"/>
  <c r="G440" i="1" s="1"/>
  <c r="D440" i="15"/>
  <c r="F440" i="15" s="1"/>
  <c r="D440" i="14"/>
  <c r="F440" i="14" s="1"/>
  <c r="D440" i="9"/>
  <c r="D440" i="11"/>
  <c r="F440" i="11" s="1"/>
  <c r="D440" i="8"/>
  <c r="A443" i="14"/>
  <c r="A443" i="11"/>
  <c r="A443" i="15"/>
  <c r="A443" i="9"/>
  <c r="A443" i="8"/>
  <c r="B446" i="15"/>
  <c r="B446" i="14"/>
  <c r="B446" i="11"/>
  <c r="B446" i="8"/>
  <c r="B446" i="9"/>
  <c r="D448" i="15"/>
  <c r="F448" i="15" s="1"/>
  <c r="D448" i="14"/>
  <c r="F448" i="14" s="1"/>
  <c r="D448" i="11"/>
  <c r="F448" i="11" s="1"/>
  <c r="D448" i="9"/>
  <c r="D448" i="8"/>
  <c r="E450" i="15"/>
  <c r="E450" i="14"/>
  <c r="E450" i="11"/>
  <c r="E450" i="9"/>
  <c r="E450" i="8"/>
  <c r="D453" i="15"/>
  <c r="F453" i="15" s="1"/>
  <c r="D453" i="14"/>
  <c r="F453" i="14" s="1"/>
  <c r="D453" i="11"/>
  <c r="F453" i="11" s="1"/>
  <c r="D453" i="9"/>
  <c r="D453" i="8"/>
  <c r="E455" i="15"/>
  <c r="E455" i="14"/>
  <c r="E455" i="11"/>
  <c r="E455" i="9"/>
  <c r="E455" i="8"/>
  <c r="A457" i="15"/>
  <c r="A457" i="14"/>
  <c r="A457" i="11"/>
  <c r="A457" i="8"/>
  <c r="A457" i="9"/>
  <c r="C459" i="15"/>
  <c r="C459" i="14"/>
  <c r="C459" i="11"/>
  <c r="C459" i="8"/>
  <c r="C459" i="9"/>
  <c r="D461" i="14"/>
  <c r="F461" i="14" s="1"/>
  <c r="D461" i="15"/>
  <c r="F461" i="15" s="1"/>
  <c r="D461" i="11"/>
  <c r="F461" i="11" s="1"/>
  <c r="D461" i="9"/>
  <c r="D461" i="8"/>
  <c r="D464" i="15"/>
  <c r="F464" i="15" s="1"/>
  <c r="D464" i="11"/>
  <c r="F464" i="11" s="1"/>
  <c r="D464" i="14"/>
  <c r="F464" i="14" s="1"/>
  <c r="D464" i="9"/>
  <c r="D464" i="8"/>
  <c r="E466" i="15"/>
  <c r="E466" i="14"/>
  <c r="E466" i="11"/>
  <c r="E466" i="9"/>
  <c r="E466" i="8"/>
  <c r="B469" i="14"/>
  <c r="B469" i="15"/>
  <c r="B469" i="11"/>
  <c r="B469" i="9"/>
  <c r="B469" i="8"/>
  <c r="F471" i="1"/>
  <c r="H471" i="1" s="1"/>
  <c r="D471" i="15"/>
  <c r="F471" i="15" s="1"/>
  <c r="D471" i="14"/>
  <c r="F471" i="14" s="1"/>
  <c r="D471" i="11"/>
  <c r="F471" i="11" s="1"/>
  <c r="D471" i="9"/>
  <c r="D471" i="8"/>
  <c r="E475" i="15"/>
  <c r="E475" i="14"/>
  <c r="E475" i="11"/>
  <c r="E475" i="8"/>
  <c r="E475" i="9"/>
  <c r="B478" i="15"/>
  <c r="B478" i="11"/>
  <c r="B478" i="14"/>
  <c r="B478" i="9"/>
  <c r="B478" i="8"/>
  <c r="B481" i="15"/>
  <c r="B481" i="14"/>
  <c r="B481" i="11"/>
  <c r="B481" i="9"/>
  <c r="B481" i="8"/>
  <c r="D485" i="15"/>
  <c r="F485" i="15" s="1"/>
  <c r="D485" i="14"/>
  <c r="F485" i="14" s="1"/>
  <c r="D485" i="9"/>
  <c r="D485" i="11"/>
  <c r="F485" i="11" s="1"/>
  <c r="D485" i="8"/>
  <c r="F487" i="1"/>
  <c r="J487" i="1" s="1"/>
  <c r="D487" i="15"/>
  <c r="F487" i="15" s="1"/>
  <c r="D487" i="14"/>
  <c r="F487" i="14" s="1"/>
  <c r="D487" i="11"/>
  <c r="F487" i="11" s="1"/>
  <c r="D487" i="9"/>
  <c r="D487" i="8"/>
  <c r="E491" i="15"/>
  <c r="E491" i="11"/>
  <c r="E491" i="14"/>
  <c r="E491" i="9"/>
  <c r="E491" i="8"/>
  <c r="B494" i="15"/>
  <c r="B494" i="14"/>
  <c r="B494" i="11"/>
  <c r="B494" i="9"/>
  <c r="B494" i="8"/>
  <c r="C497" i="15"/>
  <c r="C497" i="14"/>
  <c r="C497" i="11"/>
  <c r="C497" i="8"/>
  <c r="C497" i="9"/>
  <c r="A500" i="14"/>
  <c r="A500" i="15"/>
  <c r="A500" i="11"/>
  <c r="A500" i="9"/>
  <c r="A500" i="8"/>
  <c r="B502" i="15"/>
  <c r="B502" i="14"/>
  <c r="B502" i="11"/>
  <c r="B502" i="8"/>
  <c r="B502" i="9"/>
  <c r="B504" i="14"/>
  <c r="B504" i="15"/>
  <c r="B504" i="11"/>
  <c r="B504" i="9"/>
  <c r="B504" i="8"/>
  <c r="B507" i="15"/>
  <c r="B507" i="14"/>
  <c r="B507" i="11"/>
  <c r="B507" i="9"/>
  <c r="B507" i="8"/>
  <c r="B512" i="15"/>
  <c r="B512" i="14"/>
  <c r="B512" i="11"/>
  <c r="B512" i="9"/>
  <c r="B512" i="8"/>
  <c r="F514" i="1"/>
  <c r="J514" i="1" s="1"/>
  <c r="D514" i="15"/>
  <c r="F514" i="15" s="1"/>
  <c r="D514" i="14"/>
  <c r="F514" i="14" s="1"/>
  <c r="D514" i="11"/>
  <c r="F514" i="11" s="1"/>
  <c r="D514" i="9"/>
  <c r="D514" i="8"/>
  <c r="C517" i="15"/>
  <c r="C517" i="14"/>
  <c r="C517" i="11"/>
  <c r="C517" i="9"/>
  <c r="C517" i="8"/>
  <c r="F519" i="1"/>
  <c r="K519" i="1" s="1"/>
  <c r="D519" i="15"/>
  <c r="F519" i="15" s="1"/>
  <c r="D519" i="11"/>
  <c r="F519" i="11" s="1"/>
  <c r="D519" i="14"/>
  <c r="F519" i="14" s="1"/>
  <c r="D519" i="9"/>
  <c r="F519" i="9" s="1"/>
  <c r="D519" i="8"/>
  <c r="F519" i="8" s="1"/>
  <c r="G519" i="8" s="1"/>
  <c r="C522" i="15"/>
  <c r="C522" i="14"/>
  <c r="C522" i="11"/>
  <c r="C522" i="9"/>
  <c r="C522" i="8"/>
  <c r="B525" i="15"/>
  <c r="B525" i="11"/>
  <c r="B525" i="9"/>
  <c r="B525" i="14"/>
  <c r="B525" i="8"/>
  <c r="A528" i="15"/>
  <c r="A528" i="14"/>
  <c r="A528" i="11"/>
  <c r="A528" i="9"/>
  <c r="A528" i="8"/>
  <c r="E530" i="15"/>
  <c r="E530" i="11"/>
  <c r="E530" i="14"/>
  <c r="E530" i="8"/>
  <c r="E530" i="9"/>
  <c r="E532" i="14"/>
  <c r="E532" i="15"/>
  <c r="E532" i="11"/>
  <c r="E532" i="9"/>
  <c r="E532" i="8"/>
  <c r="B535" i="15"/>
  <c r="B535" i="14"/>
  <c r="B535" i="11"/>
  <c r="B535" i="9"/>
  <c r="B535" i="8"/>
  <c r="A538" i="15"/>
  <c r="A538" i="14"/>
  <c r="A538" i="11"/>
  <c r="A538" i="9"/>
  <c r="A538" i="8"/>
  <c r="A541" i="15"/>
  <c r="A541" i="14"/>
  <c r="A541" i="11"/>
  <c r="A541" i="9"/>
  <c r="A541" i="8"/>
  <c r="B543" i="15"/>
  <c r="B543" i="14"/>
  <c r="B543" i="11"/>
  <c r="B543" i="9"/>
  <c r="B543" i="8"/>
  <c r="F545" i="1"/>
  <c r="K545" i="1" s="1"/>
  <c r="D545" i="15"/>
  <c r="F545" i="15" s="1"/>
  <c r="D545" i="11"/>
  <c r="F545" i="11" s="1"/>
  <c r="D545" i="9"/>
  <c r="F545" i="9" s="1"/>
  <c r="D545" i="14"/>
  <c r="F545" i="14" s="1"/>
  <c r="D545" i="8"/>
  <c r="F545" i="8" s="1"/>
  <c r="G545" i="8" s="1"/>
  <c r="E553" i="15"/>
  <c r="E553" i="14"/>
  <c r="E553" i="11"/>
  <c r="E553" i="9"/>
  <c r="E553" i="8"/>
  <c r="F557" i="1"/>
  <c r="J557" i="1" s="1"/>
  <c r="D557" i="14"/>
  <c r="F557" i="14" s="1"/>
  <c r="D557" i="15"/>
  <c r="F557" i="15" s="1"/>
  <c r="D557" i="11"/>
  <c r="F557" i="11" s="1"/>
  <c r="D557" i="9"/>
  <c r="F557" i="9" s="1"/>
  <c r="D557" i="8"/>
  <c r="F557" i="8" s="1"/>
  <c r="G557" i="8" s="1"/>
  <c r="C560" i="15"/>
  <c r="C560" i="14"/>
  <c r="C560" i="11"/>
  <c r="C560" i="8"/>
  <c r="C560" i="9"/>
  <c r="B564" i="15"/>
  <c r="B564" i="14"/>
  <c r="B564" i="11"/>
  <c r="B564" i="9"/>
  <c r="B564" i="8"/>
  <c r="C569" i="15"/>
  <c r="C569" i="11"/>
  <c r="C569" i="14"/>
  <c r="C569" i="9"/>
  <c r="C569" i="8"/>
  <c r="E571" i="15"/>
  <c r="E571" i="14"/>
  <c r="E571" i="11"/>
  <c r="E571" i="9"/>
  <c r="E571" i="8"/>
  <c r="D574" i="15"/>
  <c r="F574" i="15" s="1"/>
  <c r="D574" i="14"/>
  <c r="F574" i="14" s="1"/>
  <c r="D574" i="11"/>
  <c r="F574" i="11" s="1"/>
  <c r="D574" i="8"/>
  <c r="F574" i="8" s="1"/>
  <c r="G574" i="8" s="1"/>
  <c r="D574" i="9"/>
  <c r="F574" i="9" s="1"/>
  <c r="C577" i="15"/>
  <c r="C577" i="14"/>
  <c r="C577" i="11"/>
  <c r="C577" i="8"/>
  <c r="C577" i="9"/>
  <c r="C579" i="15"/>
  <c r="C579" i="14"/>
  <c r="C579" i="11"/>
  <c r="C579" i="9"/>
  <c r="C579" i="8"/>
  <c r="C581" i="15"/>
  <c r="C581" i="11"/>
  <c r="C581" i="14"/>
  <c r="C581" i="9"/>
  <c r="C581" i="8"/>
  <c r="A584" i="15"/>
  <c r="A584" i="14"/>
  <c r="A584" i="9"/>
  <c r="A584" i="11"/>
  <c r="A584" i="8"/>
  <c r="A586" i="15"/>
  <c r="A586" i="14"/>
  <c r="A586" i="11"/>
  <c r="A586" i="9"/>
  <c r="A586" i="8"/>
  <c r="F589" i="1"/>
  <c r="G589" i="1" s="1"/>
  <c r="D589" i="15"/>
  <c r="F589" i="15" s="1"/>
  <c r="D589" i="14"/>
  <c r="F589" i="14" s="1"/>
  <c r="D589" i="11"/>
  <c r="F589" i="11" s="1"/>
  <c r="D589" i="9"/>
  <c r="F589" i="9" s="1"/>
  <c r="D589" i="8"/>
  <c r="F589" i="8" s="1"/>
  <c r="G589" i="8" s="1"/>
  <c r="B592" i="15"/>
  <c r="B592" i="14"/>
  <c r="B592" i="11"/>
  <c r="B592" i="9"/>
  <c r="B592" i="8"/>
  <c r="E597" i="15"/>
  <c r="E597" i="14"/>
  <c r="E597" i="11"/>
  <c r="E597" i="9"/>
  <c r="E597" i="8"/>
  <c r="A600" i="14"/>
  <c r="A600" i="15"/>
  <c r="A600" i="11"/>
  <c r="A600" i="9"/>
  <c r="A600" i="8"/>
  <c r="F602" i="1"/>
  <c r="I602" i="1" s="1"/>
  <c r="D602" i="15"/>
  <c r="F602" i="15" s="1"/>
  <c r="D602" i="14"/>
  <c r="F602" i="14" s="1"/>
  <c r="D602" i="9"/>
  <c r="F602" i="9" s="1"/>
  <c r="D602" i="11"/>
  <c r="F602" i="11" s="1"/>
  <c r="D602" i="8"/>
  <c r="F602" i="8" s="1"/>
  <c r="G602" i="8" s="1"/>
  <c r="C604" i="15"/>
  <c r="C604" i="14"/>
  <c r="C604" i="11"/>
  <c r="C604" i="8"/>
  <c r="C604" i="9"/>
  <c r="E606" i="15"/>
  <c r="E606" i="14"/>
  <c r="E606" i="9"/>
  <c r="E606" i="11"/>
  <c r="E606" i="8"/>
  <c r="B609" i="15"/>
  <c r="B609" i="14"/>
  <c r="B609" i="11"/>
  <c r="B609" i="9"/>
  <c r="B609" i="8"/>
  <c r="B612" i="15"/>
  <c r="B612" i="14"/>
  <c r="B612" i="8"/>
  <c r="B612" i="11"/>
  <c r="B612" i="9"/>
  <c r="E614" i="15"/>
  <c r="E614" i="14"/>
  <c r="E614" i="11"/>
  <c r="E614" i="8"/>
  <c r="E614" i="9"/>
  <c r="F616" i="1"/>
  <c r="D616" i="15"/>
  <c r="F616" i="15" s="1"/>
  <c r="D616" i="14"/>
  <c r="F616" i="14" s="1"/>
  <c r="D616" i="11"/>
  <c r="F616" i="11" s="1"/>
  <c r="D616" i="9"/>
  <c r="F616" i="9" s="1"/>
  <c r="D616" i="8"/>
  <c r="F616" i="8" s="1"/>
  <c r="G616" i="8" s="1"/>
  <c r="C618" i="15"/>
  <c r="C618" i="14"/>
  <c r="C618" i="11"/>
  <c r="C618" i="9"/>
  <c r="C618" i="8"/>
  <c r="D621" i="15"/>
  <c r="F621" i="15" s="1"/>
  <c r="D621" i="14"/>
  <c r="F621" i="14" s="1"/>
  <c r="D621" i="11"/>
  <c r="F621" i="11" s="1"/>
  <c r="D621" i="9"/>
  <c r="F621" i="9" s="1"/>
  <c r="D621" i="8"/>
  <c r="F621" i="8" s="1"/>
  <c r="G621" i="8" s="1"/>
  <c r="C624" i="15"/>
  <c r="C624" i="14"/>
  <c r="C624" i="9"/>
  <c r="C624" i="8"/>
  <c r="C624" i="11"/>
  <c r="E626" i="15"/>
  <c r="E626" i="14"/>
  <c r="E626" i="11"/>
  <c r="E626" i="9"/>
  <c r="E626" i="8"/>
  <c r="F629" i="1"/>
  <c r="J629" i="1" s="1"/>
  <c r="D629" i="14"/>
  <c r="F629" i="14" s="1"/>
  <c r="D629" i="15"/>
  <c r="F629" i="15" s="1"/>
  <c r="D629" i="11"/>
  <c r="F629" i="11" s="1"/>
  <c r="D629" i="9"/>
  <c r="F629" i="9" s="1"/>
  <c r="D629" i="8"/>
  <c r="F629" i="8" s="1"/>
  <c r="G629" i="8" s="1"/>
  <c r="F632" i="1"/>
  <c r="D632" i="15"/>
  <c r="F632" i="15" s="1"/>
  <c r="D632" i="14"/>
  <c r="F632" i="14" s="1"/>
  <c r="D632" i="11"/>
  <c r="F632" i="11" s="1"/>
  <c r="D632" i="9"/>
  <c r="F632" i="9" s="1"/>
  <c r="D632" i="8"/>
  <c r="F632" i="8" s="1"/>
  <c r="G632" i="8" s="1"/>
  <c r="C635" i="15"/>
  <c r="C635" i="11"/>
  <c r="C635" i="14"/>
  <c r="C635" i="8"/>
  <c r="C635" i="9"/>
  <c r="A637" i="15"/>
  <c r="A637" i="14"/>
  <c r="A637" i="9"/>
  <c r="A637" i="8"/>
  <c r="A637" i="11"/>
  <c r="A640" i="15"/>
  <c r="A640" i="14"/>
  <c r="A640" i="8"/>
  <c r="A640" i="11"/>
  <c r="A640" i="9"/>
  <c r="E644" i="14"/>
  <c r="E644" i="15"/>
  <c r="E644" i="11"/>
  <c r="E644" i="8"/>
  <c r="E644" i="9"/>
  <c r="B647" i="15"/>
  <c r="B647" i="14"/>
  <c r="B647" i="11"/>
  <c r="B647" i="8"/>
  <c r="B647" i="9"/>
  <c r="A650" i="15"/>
  <c r="A650" i="14"/>
  <c r="A650" i="11"/>
  <c r="A650" i="9"/>
  <c r="A650" i="8"/>
  <c r="B652" i="15"/>
  <c r="B652" i="14"/>
  <c r="B652" i="11"/>
  <c r="B652" i="8"/>
  <c r="B652" i="9"/>
  <c r="B655" i="15"/>
  <c r="B655" i="14"/>
  <c r="B655" i="11"/>
  <c r="B655" i="9"/>
  <c r="B655" i="8"/>
  <c r="D657" i="15"/>
  <c r="F657" i="15" s="1"/>
  <c r="D657" i="14"/>
  <c r="F657" i="14" s="1"/>
  <c r="D657" i="11"/>
  <c r="F657" i="11" s="1"/>
  <c r="D657" i="9"/>
  <c r="F657" i="9" s="1"/>
  <c r="D657" i="8"/>
  <c r="F657" i="8" s="1"/>
  <c r="G657" i="8" s="1"/>
  <c r="F659" i="1"/>
  <c r="D659" i="15"/>
  <c r="F659" i="15" s="1"/>
  <c r="D659" i="11"/>
  <c r="F659" i="11" s="1"/>
  <c r="D659" i="8"/>
  <c r="F659" i="8" s="1"/>
  <c r="G659" i="8" s="1"/>
  <c r="D659" i="14"/>
  <c r="F659" i="14" s="1"/>
  <c r="D659" i="9"/>
  <c r="F659" i="9" s="1"/>
  <c r="C661" i="15"/>
  <c r="C661" i="14"/>
  <c r="C661" i="8"/>
  <c r="C661" i="9"/>
  <c r="C661" i="11"/>
  <c r="B664" i="15"/>
  <c r="B664" i="14"/>
  <c r="B664" i="11"/>
  <c r="B664" i="9"/>
  <c r="B664" i="8"/>
  <c r="E666" i="15"/>
  <c r="E666" i="14"/>
  <c r="E666" i="11"/>
  <c r="E666" i="9"/>
  <c r="E666" i="8"/>
  <c r="F674" i="1"/>
  <c r="H674" i="1" s="1"/>
  <c r="D674" i="15"/>
  <c r="F674" i="15" s="1"/>
  <c r="D674" i="14"/>
  <c r="F674" i="14" s="1"/>
  <c r="D674" i="8"/>
  <c r="F674" i="8" s="1"/>
  <c r="G674" i="8" s="1"/>
  <c r="D674" i="11"/>
  <c r="F674" i="11" s="1"/>
  <c r="D674" i="9"/>
  <c r="F674" i="9" s="1"/>
  <c r="B677" i="15"/>
  <c r="B677" i="14"/>
  <c r="B677" i="11"/>
  <c r="B677" i="8"/>
  <c r="B677" i="9"/>
  <c r="D682" i="15"/>
  <c r="F682" i="15" s="1"/>
  <c r="D682" i="14"/>
  <c r="F682" i="14" s="1"/>
  <c r="D682" i="9"/>
  <c r="F682" i="9" s="1"/>
  <c r="D682" i="11"/>
  <c r="F682" i="11" s="1"/>
  <c r="D682" i="8"/>
  <c r="F682" i="8" s="1"/>
  <c r="G682" i="8" s="1"/>
  <c r="F684" i="1"/>
  <c r="I684" i="1" s="1"/>
  <c r="D684" i="14"/>
  <c r="F684" i="14" s="1"/>
  <c r="D684" i="15"/>
  <c r="F684" i="15" s="1"/>
  <c r="D684" i="11"/>
  <c r="F684" i="11" s="1"/>
  <c r="D684" i="9"/>
  <c r="F684" i="9" s="1"/>
  <c r="D684" i="8"/>
  <c r="F684" i="8" s="1"/>
  <c r="G684" i="8" s="1"/>
  <c r="C686" i="15"/>
  <c r="C686" i="14"/>
  <c r="C686" i="11"/>
  <c r="C686" i="8"/>
  <c r="C686" i="9"/>
  <c r="E688" i="15"/>
  <c r="E688" i="14"/>
  <c r="E688" i="11"/>
  <c r="E688" i="9"/>
  <c r="E688" i="8"/>
  <c r="E691" i="15"/>
  <c r="E691" i="11"/>
  <c r="E691" i="14"/>
  <c r="E691" i="9"/>
  <c r="E691" i="8"/>
  <c r="C696" i="15"/>
  <c r="C696" i="11"/>
  <c r="C696" i="14"/>
  <c r="C696" i="9"/>
  <c r="C696" i="8"/>
  <c r="F699" i="1"/>
  <c r="G699" i="1" s="1"/>
  <c r="D699" i="15"/>
  <c r="F699" i="15" s="1"/>
  <c r="D699" i="14"/>
  <c r="F699" i="14" s="1"/>
  <c r="D699" i="11"/>
  <c r="F699" i="11" s="1"/>
  <c r="D699" i="9"/>
  <c r="F699" i="9" s="1"/>
  <c r="D699" i="8"/>
  <c r="F699" i="8" s="1"/>
  <c r="G699" i="8" s="1"/>
  <c r="B708" i="14"/>
  <c r="B708" i="15"/>
  <c r="B708" i="11"/>
  <c r="B708" i="8"/>
  <c r="B708" i="9"/>
  <c r="A710" i="15"/>
  <c r="A710" i="14"/>
  <c r="A710" i="11"/>
  <c r="A710" i="9"/>
  <c r="A710" i="8"/>
  <c r="E715" i="15"/>
  <c r="E715" i="14"/>
  <c r="E715" i="11"/>
  <c r="E715" i="9"/>
  <c r="E715" i="8"/>
  <c r="A718" i="15"/>
  <c r="A718" i="14"/>
  <c r="A718" i="11"/>
  <c r="A718" i="9"/>
  <c r="A718" i="8"/>
  <c r="E720" i="15"/>
  <c r="E720" i="14"/>
  <c r="E720" i="11"/>
  <c r="E720" i="9"/>
  <c r="E720" i="8"/>
  <c r="D723" i="15"/>
  <c r="F723" i="15" s="1"/>
  <c r="D723" i="14"/>
  <c r="F723" i="14" s="1"/>
  <c r="D723" i="11"/>
  <c r="F723" i="11" s="1"/>
  <c r="D723" i="9"/>
  <c r="F723" i="9" s="1"/>
  <c r="D723" i="8"/>
  <c r="F723" i="8" s="1"/>
  <c r="G723" i="8" s="1"/>
  <c r="F725" i="1"/>
  <c r="G725" i="1" s="1"/>
  <c r="D725" i="15"/>
  <c r="F725" i="15" s="1"/>
  <c r="D725" i="14"/>
  <c r="F725" i="14" s="1"/>
  <c r="D725" i="11"/>
  <c r="F725" i="11" s="1"/>
  <c r="D725" i="9"/>
  <c r="F725" i="9" s="1"/>
  <c r="D725" i="8"/>
  <c r="F725" i="8" s="1"/>
  <c r="G725" i="8" s="1"/>
  <c r="A728" i="15"/>
  <c r="A728" i="14"/>
  <c r="A728" i="9"/>
  <c r="A728" i="11"/>
  <c r="A728" i="8"/>
  <c r="A731" i="15"/>
  <c r="A731" i="11"/>
  <c r="A731" i="14"/>
  <c r="A731" i="9"/>
  <c r="A731" i="8"/>
  <c r="B733" i="15"/>
  <c r="B733" i="14"/>
  <c r="B733" i="11"/>
  <c r="B733" i="9"/>
  <c r="B733" i="8"/>
  <c r="B738" i="15"/>
  <c r="B738" i="14"/>
  <c r="B738" i="11"/>
  <c r="B738" i="8"/>
  <c r="B738" i="9"/>
  <c r="A741" i="15"/>
  <c r="A741" i="14"/>
  <c r="A741" i="9"/>
  <c r="A741" i="11"/>
  <c r="A741" i="8"/>
  <c r="B743" i="15"/>
  <c r="B743" i="14"/>
  <c r="B743" i="11"/>
  <c r="B743" i="9"/>
  <c r="B743" i="8"/>
  <c r="C747" i="14"/>
  <c r="C747" i="15"/>
  <c r="C747" i="11"/>
  <c r="C747" i="9"/>
  <c r="C747" i="8"/>
  <c r="E749" i="14"/>
  <c r="E749" i="15"/>
  <c r="E749" i="11"/>
  <c r="E749" i="9"/>
  <c r="E749" i="8"/>
  <c r="F751" i="1"/>
  <c r="G751" i="1" s="1"/>
  <c r="D751" i="15"/>
  <c r="F751" i="15" s="1"/>
  <c r="D751" i="9"/>
  <c r="F751" i="9" s="1"/>
  <c r="D751" i="11"/>
  <c r="F751" i="11" s="1"/>
  <c r="D751" i="14"/>
  <c r="F751" i="14" s="1"/>
  <c r="D751" i="8"/>
  <c r="F751" i="8" s="1"/>
  <c r="G751" i="8" s="1"/>
  <c r="A756" i="15"/>
  <c r="A756" i="14"/>
  <c r="A756" i="9"/>
  <c r="A756" i="11"/>
  <c r="A756" i="8"/>
  <c r="A759" i="15"/>
  <c r="A759" i="14"/>
  <c r="A759" i="11"/>
  <c r="A759" i="8"/>
  <c r="A759" i="9"/>
  <c r="E764" i="15"/>
  <c r="E764" i="14"/>
  <c r="E764" i="9"/>
  <c r="E764" i="11"/>
  <c r="E764" i="8"/>
  <c r="F767" i="1"/>
  <c r="J767" i="1" s="1"/>
  <c r="D767" i="15"/>
  <c r="F767" i="15" s="1"/>
  <c r="D767" i="14"/>
  <c r="F767" i="14" s="1"/>
  <c r="D767" i="11"/>
  <c r="F767" i="11" s="1"/>
  <c r="D767" i="9"/>
  <c r="F767" i="9" s="1"/>
  <c r="D767" i="8"/>
  <c r="F767" i="8" s="1"/>
  <c r="G767" i="8" s="1"/>
  <c r="A773" i="15"/>
  <c r="A773" i="14"/>
  <c r="A773" i="11"/>
  <c r="A773" i="8"/>
  <c r="A773" i="9"/>
  <c r="D775" i="15"/>
  <c r="F775" i="15" s="1"/>
  <c r="D775" i="14"/>
  <c r="F775" i="14" s="1"/>
  <c r="D775" i="11"/>
  <c r="F775" i="11" s="1"/>
  <c r="D775" i="9"/>
  <c r="F775" i="9" s="1"/>
  <c r="D775" i="8"/>
  <c r="F775" i="8" s="1"/>
  <c r="G775" i="8" s="1"/>
  <c r="C778" i="15"/>
  <c r="C778" i="14"/>
  <c r="C778" i="11"/>
  <c r="C778" i="9"/>
  <c r="C778" i="8"/>
  <c r="B783" i="15"/>
  <c r="B783" i="14"/>
  <c r="B783" i="11"/>
  <c r="B783" i="8"/>
  <c r="B783" i="9"/>
  <c r="C786" i="15"/>
  <c r="C786" i="14"/>
  <c r="C786" i="11"/>
  <c r="C786" i="9"/>
  <c r="C786" i="8"/>
  <c r="A789" i="14"/>
  <c r="A789" i="15"/>
  <c r="A789" i="11"/>
  <c r="A789" i="9"/>
  <c r="A789" i="8"/>
  <c r="F791" i="1"/>
  <c r="I791" i="1" s="1"/>
  <c r="B796" i="15"/>
  <c r="B796" i="14"/>
  <c r="B796" i="11"/>
  <c r="B796" i="9"/>
  <c r="B796" i="8"/>
  <c r="A798" i="15"/>
  <c r="A798" i="14"/>
  <c r="A798" i="11"/>
  <c r="A798" i="9"/>
  <c r="A798" i="8"/>
  <c r="E800" i="15"/>
  <c r="E800" i="14"/>
  <c r="E800" i="11"/>
  <c r="E800" i="9"/>
  <c r="E800" i="8"/>
  <c r="B803" i="15"/>
  <c r="B803" i="14"/>
  <c r="B803" i="11"/>
  <c r="B803" i="9"/>
  <c r="B803" i="8"/>
  <c r="F807" i="1"/>
  <c r="G807" i="1" s="1"/>
  <c r="B810" i="14"/>
  <c r="B810" i="11"/>
  <c r="B810" i="15"/>
  <c r="B810" i="9"/>
  <c r="B810" i="8"/>
  <c r="F812" i="1"/>
  <c r="D812" i="15"/>
  <c r="F812" i="15" s="1"/>
  <c r="D812" i="14"/>
  <c r="F812" i="14" s="1"/>
  <c r="D812" i="11"/>
  <c r="F812" i="11" s="1"/>
  <c r="D812" i="9"/>
  <c r="F812" i="9" s="1"/>
  <c r="D812" i="8"/>
  <c r="F812" i="8" s="1"/>
  <c r="G812" i="8" s="1"/>
  <c r="B815" i="15"/>
  <c r="B815" i="14"/>
  <c r="B815" i="8"/>
  <c r="B815" i="11"/>
  <c r="B815" i="9"/>
  <c r="B818" i="15"/>
  <c r="B818" i="14"/>
  <c r="B818" i="9"/>
  <c r="B818" i="8"/>
  <c r="B818" i="11"/>
  <c r="F820" i="1"/>
  <c r="D820" i="14"/>
  <c r="F820" i="14" s="1"/>
  <c r="D820" i="15"/>
  <c r="F820" i="15" s="1"/>
  <c r="D820" i="11"/>
  <c r="F820" i="11" s="1"/>
  <c r="D820" i="9"/>
  <c r="F820" i="9" s="1"/>
  <c r="D820" i="8"/>
  <c r="F820" i="8" s="1"/>
  <c r="G820" i="8" s="1"/>
  <c r="E822" i="15"/>
  <c r="E822" i="14"/>
  <c r="E822" i="11"/>
  <c r="E822" i="8"/>
  <c r="E822" i="9"/>
  <c r="B825" i="15"/>
  <c r="B825" i="14"/>
  <c r="B825" i="11"/>
  <c r="B825" i="9"/>
  <c r="B825" i="8"/>
  <c r="E827" i="15"/>
  <c r="E827" i="14"/>
  <c r="E827" i="11"/>
  <c r="E827" i="9"/>
  <c r="E827" i="8"/>
  <c r="E830" i="15"/>
  <c r="E830" i="11"/>
  <c r="E830" i="14"/>
  <c r="E830" i="8"/>
  <c r="E830" i="9"/>
  <c r="E833" i="15"/>
  <c r="E833" i="14"/>
  <c r="E833" i="8"/>
  <c r="E833" i="11"/>
  <c r="E833" i="9"/>
  <c r="B836" i="15"/>
  <c r="B836" i="14"/>
  <c r="B836" i="11"/>
  <c r="B836" i="8"/>
  <c r="B836" i="9"/>
  <c r="A839" i="15"/>
  <c r="A839" i="14"/>
  <c r="A839" i="11"/>
  <c r="A839" i="9"/>
  <c r="A839" i="8"/>
  <c r="E841" i="15"/>
  <c r="E841" i="14"/>
  <c r="E841" i="11"/>
  <c r="E841" i="8"/>
  <c r="E841" i="9"/>
  <c r="A844" i="15"/>
  <c r="A844" i="11"/>
  <c r="A844" i="9"/>
  <c r="A844" i="8"/>
  <c r="A844" i="14"/>
  <c r="A847" i="15"/>
  <c r="A847" i="14"/>
  <c r="A847" i="11"/>
  <c r="A847" i="9"/>
  <c r="A847" i="8"/>
  <c r="C849" i="15"/>
  <c r="C849" i="14"/>
  <c r="C849" i="11"/>
  <c r="C849" i="8"/>
  <c r="C849" i="9"/>
  <c r="A852" i="11"/>
  <c r="A852" i="14"/>
  <c r="A852" i="9"/>
  <c r="A852" i="8"/>
  <c r="A852" i="15"/>
  <c r="E854" i="15"/>
  <c r="E854" i="14"/>
  <c r="E854" i="11"/>
  <c r="E854" i="8"/>
  <c r="E854" i="9"/>
  <c r="B857" i="15"/>
  <c r="B857" i="14"/>
  <c r="B857" i="11"/>
  <c r="B857" i="8"/>
  <c r="B857" i="9"/>
  <c r="F39" i="1"/>
  <c r="G39" i="1" s="1"/>
  <c r="D39" i="15"/>
  <c r="F39" i="15" s="1"/>
  <c r="D39" i="14"/>
  <c r="F39" i="14" s="1"/>
  <c r="D39" i="11"/>
  <c r="F39" i="11" s="1"/>
  <c r="D39" i="9"/>
  <c r="D39" i="8"/>
  <c r="E58" i="15"/>
  <c r="E58" i="9"/>
  <c r="E58" i="14"/>
  <c r="E58" i="11"/>
  <c r="E58" i="8"/>
  <c r="B118" i="15"/>
  <c r="B118" i="9"/>
  <c r="B118" i="11"/>
  <c r="B118" i="14"/>
  <c r="B118" i="8"/>
  <c r="A140" i="15"/>
  <c r="A140" i="14"/>
  <c r="A140" i="11"/>
  <c r="A140" i="9"/>
  <c r="A140" i="8"/>
  <c r="B161" i="15"/>
  <c r="B161" i="11"/>
  <c r="B161" i="14"/>
  <c r="B161" i="8"/>
  <c r="B161" i="9"/>
  <c r="F182" i="1"/>
  <c r="J182" i="1" s="1"/>
  <c r="D182" i="15"/>
  <c r="F182" i="15" s="1"/>
  <c r="D182" i="14"/>
  <c r="F182" i="14" s="1"/>
  <c r="D182" i="11"/>
  <c r="F182" i="11" s="1"/>
  <c r="D182" i="9"/>
  <c r="D182" i="8"/>
  <c r="F205" i="1"/>
  <c r="J205" i="1" s="1"/>
  <c r="D205" i="15"/>
  <c r="F205" i="15" s="1"/>
  <c r="D205" i="14"/>
  <c r="F205" i="14" s="1"/>
  <c r="D205" i="9"/>
  <c r="D205" i="8"/>
  <c r="D205" i="11"/>
  <c r="F205" i="11" s="1"/>
  <c r="A232" i="15"/>
  <c r="A232" i="14"/>
  <c r="A232" i="11"/>
  <c r="A232" i="9"/>
  <c r="A232" i="8"/>
  <c r="C298" i="15"/>
  <c r="C298" i="11"/>
  <c r="C298" i="14"/>
  <c r="C298" i="8"/>
  <c r="C298" i="9"/>
  <c r="C320" i="15"/>
  <c r="C320" i="11"/>
  <c r="C320" i="14"/>
  <c r="C320" i="9"/>
  <c r="C320" i="8"/>
  <c r="A338" i="14"/>
  <c r="A338" i="15"/>
  <c r="A338" i="11"/>
  <c r="A338" i="9"/>
  <c r="A338" i="8"/>
  <c r="E352" i="15"/>
  <c r="E352" i="14"/>
  <c r="E352" i="9"/>
  <c r="E352" i="11"/>
  <c r="E352" i="8"/>
  <c r="B369" i="15"/>
  <c r="B369" i="14"/>
  <c r="B369" i="11"/>
  <c r="B369" i="9"/>
  <c r="B369" i="8"/>
  <c r="B439" i="15"/>
  <c r="B439" i="14"/>
  <c r="B439" i="11"/>
  <c r="B439" i="9"/>
  <c r="B439" i="8"/>
  <c r="C460" i="15"/>
  <c r="C460" i="14"/>
  <c r="C460" i="11"/>
  <c r="C460" i="9"/>
  <c r="C460" i="8"/>
  <c r="F492" i="1"/>
  <c r="D492" i="15"/>
  <c r="F492" i="15" s="1"/>
  <c r="D492" i="14"/>
  <c r="F492" i="14" s="1"/>
  <c r="D492" i="11"/>
  <c r="F492" i="11" s="1"/>
  <c r="D492" i="9"/>
  <c r="D492" i="8"/>
  <c r="D518" i="15"/>
  <c r="F518" i="15" s="1"/>
  <c r="D518" i="14"/>
  <c r="F518" i="14" s="1"/>
  <c r="D518" i="11"/>
  <c r="F518" i="11" s="1"/>
  <c r="D518" i="8"/>
  <c r="D518" i="9"/>
  <c r="E550" i="15"/>
  <c r="E550" i="14"/>
  <c r="E550" i="11"/>
  <c r="E550" i="8"/>
  <c r="E550" i="9"/>
  <c r="C588" i="15"/>
  <c r="C588" i="14"/>
  <c r="C588" i="11"/>
  <c r="C588" i="9"/>
  <c r="C588" i="8"/>
  <c r="A601" i="15"/>
  <c r="A601" i="11"/>
  <c r="A601" i="14"/>
  <c r="A601" i="9"/>
  <c r="A601" i="8"/>
  <c r="E615" i="14"/>
  <c r="E615" i="15"/>
  <c r="E615" i="11"/>
  <c r="E615" i="9"/>
  <c r="E615" i="8"/>
  <c r="E648" i="14"/>
  <c r="E648" i="15"/>
  <c r="E648" i="11"/>
  <c r="E648" i="8"/>
  <c r="E648" i="9"/>
  <c r="B705" i="15"/>
  <c r="B705" i="14"/>
  <c r="B705" i="11"/>
  <c r="B705" i="8"/>
  <c r="B705" i="9"/>
  <c r="C729" i="15"/>
  <c r="C729" i="14"/>
  <c r="C729" i="11"/>
  <c r="C729" i="8"/>
  <c r="C729" i="9"/>
  <c r="B746" i="15"/>
  <c r="B746" i="14"/>
  <c r="B746" i="11"/>
  <c r="B746" i="8"/>
  <c r="B746" i="9"/>
  <c r="A769" i="15"/>
  <c r="A769" i="14"/>
  <c r="A769" i="9"/>
  <c r="A769" i="11"/>
  <c r="A769" i="8"/>
  <c r="A782" i="15"/>
  <c r="A782" i="14"/>
  <c r="A782" i="11"/>
  <c r="A782" i="8"/>
  <c r="A782" i="9"/>
  <c r="F801" i="1"/>
  <c r="G801" i="1" s="1"/>
  <c r="D801" i="14"/>
  <c r="F801" i="14" s="1"/>
  <c r="D801" i="15"/>
  <c r="F801" i="15" s="1"/>
  <c r="D801" i="11"/>
  <c r="F801" i="11" s="1"/>
  <c r="D801" i="8"/>
  <c r="F801" i="8" s="1"/>
  <c r="G801" i="8" s="1"/>
  <c r="D801" i="9"/>
  <c r="F801" i="9" s="1"/>
  <c r="E816" i="14"/>
  <c r="E816" i="15"/>
  <c r="E816" i="8"/>
  <c r="E816" i="11"/>
  <c r="E816" i="9"/>
  <c r="E826" i="15"/>
  <c r="E826" i="14"/>
  <c r="E826" i="8"/>
  <c r="E826" i="9"/>
  <c r="E826" i="11"/>
  <c r="E850" i="15"/>
  <c r="E850" i="14"/>
  <c r="E850" i="9"/>
  <c r="E850" i="11"/>
  <c r="E850" i="8"/>
  <c r="A12" i="15"/>
  <c r="A12" i="14"/>
  <c r="A12" i="11"/>
  <c r="A12" i="8"/>
  <c r="A12" i="9"/>
  <c r="C31" i="15"/>
  <c r="C31" i="14"/>
  <c r="C31" i="11"/>
  <c r="C31" i="9"/>
  <c r="C31" i="8"/>
  <c r="B54" i="15"/>
  <c r="B54" i="14"/>
  <c r="B54" i="11"/>
  <c r="B54" i="9"/>
  <c r="B54" i="8"/>
  <c r="A67" i="15"/>
  <c r="A67" i="14"/>
  <c r="A67" i="9"/>
  <c r="A67" i="8"/>
  <c r="A67" i="11"/>
  <c r="A86" i="15"/>
  <c r="A86" i="14"/>
  <c r="A86" i="11"/>
  <c r="A86" i="9"/>
  <c r="A86" i="8"/>
  <c r="F103" i="1"/>
  <c r="I103" i="1" s="1"/>
  <c r="D103" i="15"/>
  <c r="F103" i="15" s="1"/>
  <c r="D103" i="14"/>
  <c r="F103" i="14" s="1"/>
  <c r="D103" i="11"/>
  <c r="F103" i="11" s="1"/>
  <c r="D103" i="9"/>
  <c r="D103" i="8"/>
  <c r="E120" i="15"/>
  <c r="E120" i="14"/>
  <c r="E120" i="11"/>
  <c r="E120" i="9"/>
  <c r="E120" i="8"/>
  <c r="B140" i="15"/>
  <c r="B140" i="14"/>
  <c r="B140" i="11"/>
  <c r="B140" i="9"/>
  <c r="B140" i="8"/>
  <c r="F153" i="1"/>
  <c r="J153" i="1" s="1"/>
  <c r="D153" i="15"/>
  <c r="F153" i="15" s="1"/>
  <c r="D153" i="14"/>
  <c r="F153" i="14" s="1"/>
  <c r="D153" i="9"/>
  <c r="D153" i="8"/>
  <c r="D153" i="11"/>
  <c r="F153" i="11" s="1"/>
  <c r="A169" i="15"/>
  <c r="A169" i="14"/>
  <c r="A169" i="9"/>
  <c r="A169" i="11"/>
  <c r="A169" i="8"/>
  <c r="E185" i="15"/>
  <c r="E185" i="14"/>
  <c r="E185" i="11"/>
  <c r="E185" i="9"/>
  <c r="E185" i="8"/>
  <c r="C193" i="15"/>
  <c r="C193" i="14"/>
  <c r="C193" i="11"/>
  <c r="C193" i="9"/>
  <c r="C193" i="8"/>
  <c r="E205" i="15"/>
  <c r="E205" i="14"/>
  <c r="E205" i="9"/>
  <c r="E205" i="11"/>
  <c r="E205" i="8"/>
  <c r="F214" i="1"/>
  <c r="H214" i="1" s="1"/>
  <c r="D214" i="15"/>
  <c r="F214" i="15" s="1"/>
  <c r="D214" i="14"/>
  <c r="F214" i="14" s="1"/>
  <c r="D214" i="11"/>
  <c r="F214" i="11" s="1"/>
  <c r="D214" i="9"/>
  <c r="D214" i="8"/>
  <c r="E226" i="15"/>
  <c r="E226" i="14"/>
  <c r="E226" i="11"/>
  <c r="E226" i="9"/>
  <c r="E226" i="8"/>
  <c r="B263" i="15"/>
  <c r="B263" i="14"/>
  <c r="B263" i="9"/>
  <c r="B263" i="11"/>
  <c r="B263" i="8"/>
  <c r="F283" i="1"/>
  <c r="D283" i="15"/>
  <c r="F283" i="15" s="1"/>
  <c r="D283" i="14"/>
  <c r="F283" i="14" s="1"/>
  <c r="D283" i="11"/>
  <c r="F283" i="11" s="1"/>
  <c r="D283" i="9"/>
  <c r="D283" i="8"/>
  <c r="E292" i="15"/>
  <c r="E292" i="11"/>
  <c r="E292" i="8"/>
  <c r="E292" i="14"/>
  <c r="E292" i="9"/>
  <c r="B322" i="15"/>
  <c r="B322" i="14"/>
  <c r="B322" i="11"/>
  <c r="B322" i="8"/>
  <c r="B322" i="9"/>
  <c r="C331" i="15"/>
  <c r="C331" i="14"/>
  <c r="C331" i="9"/>
  <c r="C331" i="11"/>
  <c r="C331" i="8"/>
  <c r="C347" i="15"/>
  <c r="C347" i="11"/>
  <c r="C347" i="14"/>
  <c r="C347" i="9"/>
  <c r="C347" i="8"/>
  <c r="F363" i="1"/>
  <c r="J363" i="1" s="1"/>
  <c r="D363" i="15"/>
  <c r="F363" i="15" s="1"/>
  <c r="D363" i="14"/>
  <c r="F363" i="14" s="1"/>
  <c r="D363" i="9"/>
  <c r="D363" i="11"/>
  <c r="F363" i="11" s="1"/>
  <c r="D363" i="8"/>
  <c r="B376" i="15"/>
  <c r="B376" i="11"/>
  <c r="B376" i="14"/>
  <c r="B376" i="8"/>
  <c r="B376" i="9"/>
  <c r="A407" i="15"/>
  <c r="A407" i="14"/>
  <c r="A407" i="11"/>
  <c r="A407" i="8"/>
  <c r="A407" i="9"/>
  <c r="C426" i="14"/>
  <c r="C426" i="15"/>
  <c r="C426" i="11"/>
  <c r="C426" i="8"/>
  <c r="C426" i="9"/>
  <c r="B447" i="15"/>
  <c r="B447" i="14"/>
  <c r="B447" i="11"/>
  <c r="B447" i="8"/>
  <c r="B447" i="9"/>
  <c r="F470" i="1"/>
  <c r="G470" i="1" s="1"/>
  <c r="D470" i="15"/>
  <c r="F470" i="15" s="1"/>
  <c r="D470" i="14"/>
  <c r="F470" i="14" s="1"/>
  <c r="D470" i="11"/>
  <c r="F470" i="11" s="1"/>
  <c r="D470" i="9"/>
  <c r="D470" i="8"/>
  <c r="F498" i="1"/>
  <c r="D498" i="15"/>
  <c r="F498" i="15" s="1"/>
  <c r="D498" i="14"/>
  <c r="F498" i="14" s="1"/>
  <c r="D498" i="11"/>
  <c r="F498" i="11" s="1"/>
  <c r="D498" i="9"/>
  <c r="D498" i="8"/>
  <c r="F513" i="1"/>
  <c r="J513" i="1" s="1"/>
  <c r="D513" i="14"/>
  <c r="F513" i="14" s="1"/>
  <c r="D513" i="15"/>
  <c r="F513" i="15" s="1"/>
  <c r="D513" i="11"/>
  <c r="F513" i="11" s="1"/>
  <c r="D513" i="9"/>
  <c r="D513" i="8"/>
  <c r="C554" i="15"/>
  <c r="C554" i="14"/>
  <c r="C554" i="11"/>
  <c r="C554" i="9"/>
  <c r="C554" i="8"/>
  <c r="B573" i="15"/>
  <c r="B573" i="11"/>
  <c r="B573" i="14"/>
  <c r="B573" i="9"/>
  <c r="B573" i="8"/>
  <c r="F588" i="1"/>
  <c r="D588" i="15"/>
  <c r="F588" i="15" s="1"/>
  <c r="D588" i="11"/>
  <c r="F588" i="11" s="1"/>
  <c r="D588" i="8"/>
  <c r="F588" i="8" s="1"/>
  <c r="G588" i="8" s="1"/>
  <c r="D588" i="9"/>
  <c r="F588" i="9" s="1"/>
  <c r="D588" i="14"/>
  <c r="F588" i="14" s="1"/>
  <c r="F660" i="1"/>
  <c r="K660" i="1" s="1"/>
  <c r="D660" i="14"/>
  <c r="F660" i="14" s="1"/>
  <c r="D660" i="11"/>
  <c r="F660" i="11" s="1"/>
  <c r="D660" i="9"/>
  <c r="F660" i="9" s="1"/>
  <c r="D660" i="15"/>
  <c r="F660" i="15" s="1"/>
  <c r="D660" i="8"/>
  <c r="F660" i="8" s="1"/>
  <c r="G660" i="8" s="1"/>
  <c r="B681" i="15"/>
  <c r="B681" i="14"/>
  <c r="B681" i="11"/>
  <c r="B681" i="9"/>
  <c r="B681" i="8"/>
  <c r="B698" i="15"/>
  <c r="B698" i="14"/>
  <c r="B698" i="9"/>
  <c r="B698" i="11"/>
  <c r="B698" i="8"/>
  <c r="A732" i="15"/>
  <c r="A732" i="14"/>
  <c r="A732" i="11"/>
  <c r="A732" i="8"/>
  <c r="A732" i="9"/>
  <c r="B769" i="14"/>
  <c r="B769" i="15"/>
  <c r="B769" i="9"/>
  <c r="B769" i="11"/>
  <c r="B769" i="8"/>
  <c r="A788" i="15"/>
  <c r="A788" i="14"/>
  <c r="A788" i="11"/>
  <c r="A788" i="9"/>
  <c r="A788" i="8"/>
  <c r="A809" i="15"/>
  <c r="A809" i="14"/>
  <c r="A809" i="11"/>
  <c r="A809" i="9"/>
  <c r="A809" i="8"/>
  <c r="E819" i="15"/>
  <c r="E819" i="14"/>
  <c r="E819" i="11"/>
  <c r="E819" i="9"/>
  <c r="E819" i="8"/>
  <c r="A856" i="15"/>
  <c r="A856" i="14"/>
  <c r="A856" i="11"/>
  <c r="A856" i="9"/>
  <c r="A856" i="8"/>
  <c r="A34" i="15"/>
  <c r="A34" i="14"/>
  <c r="A34" i="11"/>
  <c r="A34" i="8"/>
  <c r="A34" i="9"/>
  <c r="E61" i="15"/>
  <c r="E61" i="14"/>
  <c r="E61" i="11"/>
  <c r="E61" i="9"/>
  <c r="E61" i="8"/>
  <c r="C83" i="15"/>
  <c r="C83" i="14"/>
  <c r="C83" i="11"/>
  <c r="C83" i="9"/>
  <c r="C83" i="8"/>
  <c r="E103" i="15"/>
  <c r="E103" i="14"/>
  <c r="E103" i="11"/>
  <c r="E103" i="9"/>
  <c r="E103" i="8"/>
  <c r="A123" i="15"/>
  <c r="A123" i="14"/>
  <c r="A123" i="11"/>
  <c r="A123" i="9"/>
  <c r="A123" i="8"/>
  <c r="F137" i="1"/>
  <c r="I137" i="1" s="1"/>
  <c r="A164" i="14"/>
  <c r="A164" i="15"/>
  <c r="A164" i="11"/>
  <c r="A164" i="9"/>
  <c r="A164" i="8"/>
  <c r="F188" i="1"/>
  <c r="D188" i="15"/>
  <c r="F188" i="15" s="1"/>
  <c r="D188" i="14"/>
  <c r="F188" i="14" s="1"/>
  <c r="D188" i="11"/>
  <c r="F188" i="11" s="1"/>
  <c r="D188" i="9"/>
  <c r="D188" i="8"/>
  <c r="C237" i="15"/>
  <c r="C237" i="14"/>
  <c r="C237" i="11"/>
  <c r="C237" i="9"/>
  <c r="C237" i="8"/>
  <c r="B256" i="14"/>
  <c r="B256" i="11"/>
  <c r="B256" i="15"/>
  <c r="B256" i="8"/>
  <c r="B256" i="9"/>
  <c r="B278" i="15"/>
  <c r="B278" i="14"/>
  <c r="B278" i="11"/>
  <c r="B278" i="9"/>
  <c r="B278" i="8"/>
  <c r="F304" i="1"/>
  <c r="I304" i="1" s="1"/>
  <c r="D304" i="15"/>
  <c r="F304" i="15" s="1"/>
  <c r="D304" i="14"/>
  <c r="F304" i="14" s="1"/>
  <c r="D304" i="9"/>
  <c r="D304" i="11"/>
  <c r="F304" i="11" s="1"/>
  <c r="D304" i="8"/>
  <c r="C326" i="15"/>
  <c r="C326" i="14"/>
  <c r="C326" i="9"/>
  <c r="C326" i="11"/>
  <c r="C326" i="8"/>
  <c r="E366" i="15"/>
  <c r="E366" i="14"/>
  <c r="E366" i="9"/>
  <c r="E366" i="8"/>
  <c r="E366" i="11"/>
  <c r="A390" i="15"/>
  <c r="A390" i="14"/>
  <c r="A390" i="11"/>
  <c r="A390" i="9"/>
  <c r="A390" i="8"/>
  <c r="F409" i="1"/>
  <c r="D409" i="15"/>
  <c r="F409" i="15" s="1"/>
  <c r="D409" i="14"/>
  <c r="F409" i="14" s="1"/>
  <c r="D409" i="11"/>
  <c r="F409" i="11" s="1"/>
  <c r="D409" i="9"/>
  <c r="D409" i="8"/>
  <c r="F449" i="1"/>
  <c r="J449" i="1" s="1"/>
  <c r="D449" i="15"/>
  <c r="F449" i="15" s="1"/>
  <c r="D449" i="14"/>
  <c r="F449" i="14" s="1"/>
  <c r="D449" i="11"/>
  <c r="F449" i="11" s="1"/>
  <c r="D449" i="9"/>
  <c r="D449" i="8"/>
  <c r="C473" i="15"/>
  <c r="C473" i="14"/>
  <c r="C473" i="11"/>
  <c r="C473" i="8"/>
  <c r="C473" i="9"/>
  <c r="E498" i="15"/>
  <c r="E498" i="14"/>
  <c r="E498" i="11"/>
  <c r="E498" i="9"/>
  <c r="E498" i="8"/>
  <c r="B516" i="15"/>
  <c r="B516" i="14"/>
  <c r="B516" i="11"/>
  <c r="B516" i="9"/>
  <c r="B516" i="8"/>
  <c r="A537" i="15"/>
  <c r="A537" i="14"/>
  <c r="A537" i="11"/>
  <c r="A537" i="9"/>
  <c r="A537" i="8"/>
  <c r="F554" i="1"/>
  <c r="D554" i="15"/>
  <c r="F554" i="15" s="1"/>
  <c r="D554" i="14"/>
  <c r="F554" i="14" s="1"/>
  <c r="D554" i="11"/>
  <c r="F554" i="11" s="1"/>
  <c r="D554" i="9"/>
  <c r="F554" i="9" s="1"/>
  <c r="D554" i="8"/>
  <c r="F554" i="8" s="1"/>
  <c r="G554" i="8" s="1"/>
  <c r="B576" i="15"/>
  <c r="B576" i="14"/>
  <c r="B576" i="9"/>
  <c r="B576" i="11"/>
  <c r="B576" i="8"/>
  <c r="B591" i="15"/>
  <c r="B591" i="14"/>
  <c r="B591" i="11"/>
  <c r="B591" i="9"/>
  <c r="B591" i="8"/>
  <c r="E668" i="15"/>
  <c r="E668" i="14"/>
  <c r="E668" i="8"/>
  <c r="E668" i="9"/>
  <c r="E668" i="11"/>
  <c r="B695" i="15"/>
  <c r="B695" i="14"/>
  <c r="B695" i="11"/>
  <c r="B695" i="8"/>
  <c r="B695" i="9"/>
  <c r="F719" i="1"/>
  <c r="I719" i="1" s="1"/>
  <c r="D719" i="15"/>
  <c r="F719" i="15" s="1"/>
  <c r="D719" i="14"/>
  <c r="F719" i="14" s="1"/>
  <c r="D719" i="11"/>
  <c r="F719" i="11" s="1"/>
  <c r="D719" i="9"/>
  <c r="F719" i="9" s="1"/>
  <c r="D719" i="8"/>
  <c r="F719" i="8" s="1"/>
  <c r="G719" i="8" s="1"/>
  <c r="E742" i="14"/>
  <c r="E742" i="15"/>
  <c r="E742" i="11"/>
  <c r="E742" i="9"/>
  <c r="E742" i="8"/>
  <c r="E757" i="15"/>
  <c r="E757" i="14"/>
  <c r="E757" i="11"/>
  <c r="E757" i="9"/>
  <c r="E757" i="8"/>
  <c r="B776" i="15"/>
  <c r="B776" i="14"/>
  <c r="B776" i="11"/>
  <c r="B776" i="9"/>
  <c r="B776" i="8"/>
  <c r="A793" i="15"/>
  <c r="A793" i="14"/>
  <c r="A793" i="11"/>
  <c r="A793" i="9"/>
  <c r="A793" i="8"/>
  <c r="F819" i="1"/>
  <c r="H819" i="1" s="1"/>
  <c r="F831" i="1"/>
  <c r="D831" i="15"/>
  <c r="F831" i="15" s="1"/>
  <c r="D831" i="14"/>
  <c r="F831" i="14" s="1"/>
  <c r="D831" i="11"/>
  <c r="F831" i="11" s="1"/>
  <c r="D831" i="9"/>
  <c r="F831" i="9" s="1"/>
  <c r="D831" i="8"/>
  <c r="F831" i="8" s="1"/>
  <c r="G831" i="8" s="1"/>
  <c r="E840" i="15"/>
  <c r="E840" i="14"/>
  <c r="E840" i="11"/>
  <c r="E840" i="9"/>
  <c r="E840" i="8"/>
  <c r="A851" i="15"/>
  <c r="A851" i="14"/>
  <c r="A851" i="9"/>
  <c r="A851" i="11"/>
  <c r="A851" i="8"/>
  <c r="B19" i="15"/>
  <c r="B19" i="14"/>
  <c r="B19" i="11"/>
  <c r="B19" i="9"/>
  <c r="B19" i="8"/>
  <c r="B40" i="15"/>
  <c r="B40" i="14"/>
  <c r="B40" i="11"/>
  <c r="B40" i="8"/>
  <c r="B40" i="9"/>
  <c r="C59" i="15"/>
  <c r="C59" i="14"/>
  <c r="C59" i="9"/>
  <c r="C59" i="11"/>
  <c r="C59" i="8"/>
  <c r="E78" i="15"/>
  <c r="E78" i="14"/>
  <c r="E78" i="11"/>
  <c r="E78" i="9"/>
  <c r="E78" i="8"/>
  <c r="E97" i="15"/>
  <c r="E97" i="14"/>
  <c r="E97" i="11"/>
  <c r="E97" i="9"/>
  <c r="E97" i="8"/>
  <c r="E118" i="15"/>
  <c r="E118" i="14"/>
  <c r="E118" i="11"/>
  <c r="E118" i="9"/>
  <c r="E118" i="8"/>
  <c r="B135" i="15"/>
  <c r="B135" i="14"/>
  <c r="B135" i="11"/>
  <c r="B135" i="9"/>
  <c r="B135" i="8"/>
  <c r="A154" i="15"/>
  <c r="A154" i="14"/>
  <c r="A154" i="11"/>
  <c r="A154" i="9"/>
  <c r="A154" i="8"/>
  <c r="B167" i="15"/>
  <c r="B167" i="14"/>
  <c r="B167" i="11"/>
  <c r="B167" i="8"/>
  <c r="B167" i="9"/>
  <c r="B186" i="15"/>
  <c r="B186" i="14"/>
  <c r="B186" i="11"/>
  <c r="B186" i="9"/>
  <c r="B186" i="8"/>
  <c r="E196" i="15"/>
  <c r="E196" i="11"/>
  <c r="E196" i="14"/>
  <c r="E196" i="8"/>
  <c r="E196" i="9"/>
  <c r="B206" i="15"/>
  <c r="B206" i="14"/>
  <c r="B206" i="11"/>
  <c r="B206" i="9"/>
  <c r="B206" i="8"/>
  <c r="D217" i="15"/>
  <c r="F217" i="15" s="1"/>
  <c r="D217" i="14"/>
  <c r="F217" i="14" s="1"/>
  <c r="D217" i="8"/>
  <c r="D217" i="9"/>
  <c r="D217" i="11"/>
  <c r="F217" i="11" s="1"/>
  <c r="C244" i="15"/>
  <c r="C244" i="14"/>
  <c r="C244" i="9"/>
  <c r="C244" i="11"/>
  <c r="C244" i="8"/>
  <c r="C256" i="14"/>
  <c r="C256" i="11"/>
  <c r="C256" i="15"/>
  <c r="C256" i="8"/>
  <c r="C256" i="9"/>
  <c r="F280" i="1"/>
  <c r="H280" i="1" s="1"/>
  <c r="A302" i="14"/>
  <c r="A302" i="15"/>
  <c r="A302" i="11"/>
  <c r="A302" i="9"/>
  <c r="A302" i="8"/>
  <c r="F338" i="1"/>
  <c r="D338" i="14"/>
  <c r="F338" i="14" s="1"/>
  <c r="D338" i="15"/>
  <c r="F338" i="15" s="1"/>
  <c r="D338" i="8"/>
  <c r="D338" i="9"/>
  <c r="D338" i="11"/>
  <c r="F338" i="11" s="1"/>
  <c r="C374" i="15"/>
  <c r="C374" i="14"/>
  <c r="C374" i="11"/>
  <c r="C374" i="9"/>
  <c r="C374" i="8"/>
  <c r="D392" i="15"/>
  <c r="F392" i="15" s="1"/>
  <c r="D392" i="14"/>
  <c r="F392" i="14" s="1"/>
  <c r="D392" i="11"/>
  <c r="F392" i="11" s="1"/>
  <c r="D392" i="9"/>
  <c r="D392" i="8"/>
  <c r="E409" i="15"/>
  <c r="E409" i="14"/>
  <c r="E409" i="11"/>
  <c r="E409" i="9"/>
  <c r="E409" i="8"/>
  <c r="C429" i="15"/>
  <c r="C429" i="14"/>
  <c r="C429" i="8"/>
  <c r="C429" i="9"/>
  <c r="C429" i="11"/>
  <c r="B445" i="14"/>
  <c r="B445" i="15"/>
  <c r="B445" i="11"/>
  <c r="B445" i="9"/>
  <c r="B445" i="8"/>
  <c r="C477" i="15"/>
  <c r="C477" i="14"/>
  <c r="C477" i="11"/>
  <c r="C477" i="9"/>
  <c r="C477" i="8"/>
  <c r="B549" i="14"/>
  <c r="B549" i="15"/>
  <c r="B549" i="11"/>
  <c r="B549" i="9"/>
  <c r="B549" i="8"/>
  <c r="C563" i="15"/>
  <c r="C563" i="14"/>
  <c r="C563" i="9"/>
  <c r="C563" i="11"/>
  <c r="C563" i="8"/>
  <c r="C580" i="15"/>
  <c r="C580" i="14"/>
  <c r="C580" i="11"/>
  <c r="C580" i="8"/>
  <c r="C580" i="9"/>
  <c r="A594" i="15"/>
  <c r="A594" i="14"/>
  <c r="A594" i="11"/>
  <c r="A594" i="8"/>
  <c r="A594" i="9"/>
  <c r="B608" i="14"/>
  <c r="B608" i="11"/>
  <c r="B608" i="15"/>
  <c r="B608" i="9"/>
  <c r="B608" i="8"/>
  <c r="F681" i="1"/>
  <c r="D681" i="14"/>
  <c r="F681" i="14" s="1"/>
  <c r="D681" i="15"/>
  <c r="F681" i="15" s="1"/>
  <c r="D681" i="11"/>
  <c r="F681" i="11" s="1"/>
  <c r="D681" i="8"/>
  <c r="F681" i="8" s="1"/>
  <c r="G681" i="8" s="1"/>
  <c r="D681" i="9"/>
  <c r="F681" i="9" s="1"/>
  <c r="E707" i="15"/>
  <c r="E707" i="14"/>
  <c r="E707" i="11"/>
  <c r="E707" i="9"/>
  <c r="E707" i="8"/>
  <c r="A730" i="15"/>
  <c r="A730" i="14"/>
  <c r="A730" i="9"/>
  <c r="A730" i="11"/>
  <c r="A730" i="8"/>
  <c r="C776" i="15"/>
  <c r="C776" i="14"/>
  <c r="C776" i="11"/>
  <c r="C776" i="9"/>
  <c r="C776" i="8"/>
  <c r="A797" i="15"/>
  <c r="A797" i="14"/>
  <c r="A797" i="11"/>
  <c r="A797" i="8"/>
  <c r="A797" i="9"/>
  <c r="C824" i="15"/>
  <c r="C824" i="14"/>
  <c r="C824" i="11"/>
  <c r="C824" i="9"/>
  <c r="C824" i="8"/>
  <c r="A8" i="14"/>
  <c r="A8" i="15"/>
  <c r="A8" i="11"/>
  <c r="A8" i="8"/>
  <c r="A8" i="9"/>
  <c r="D17" i="15"/>
  <c r="F17" i="15" s="1"/>
  <c r="D17" i="14"/>
  <c r="F17" i="14" s="1"/>
  <c r="D17" i="9"/>
  <c r="D17" i="11"/>
  <c r="F17" i="11" s="1"/>
  <c r="D17" i="8"/>
  <c r="B8" i="15"/>
  <c r="B8" i="14"/>
  <c r="B8" i="11"/>
  <c r="B8" i="9"/>
  <c r="B8" i="8"/>
  <c r="E17" i="15"/>
  <c r="E17" i="14"/>
  <c r="E17" i="9"/>
  <c r="E17" i="11"/>
  <c r="E17" i="8"/>
  <c r="A23" i="15"/>
  <c r="A23" i="14"/>
  <c r="A23" i="11"/>
  <c r="A23" i="9"/>
  <c r="A23" i="8"/>
  <c r="E27" i="14"/>
  <c r="E27" i="15"/>
  <c r="E27" i="9"/>
  <c r="E27" i="11"/>
  <c r="E27" i="8"/>
  <c r="B35" i="15"/>
  <c r="B35" i="14"/>
  <c r="B35" i="11"/>
  <c r="B35" i="9"/>
  <c r="B35" i="8"/>
  <c r="B41" i="15"/>
  <c r="B41" i="14"/>
  <c r="B41" i="11"/>
  <c r="B41" i="9"/>
  <c r="B41" i="8"/>
  <c r="H43" i="1"/>
  <c r="A49" i="15"/>
  <c r="A49" i="14"/>
  <c r="A49" i="9"/>
  <c r="A49" i="11"/>
  <c r="A49" i="8"/>
  <c r="F53" i="1"/>
  <c r="D53" i="15"/>
  <c r="F53" i="15" s="1"/>
  <c r="D53" i="14"/>
  <c r="F53" i="14" s="1"/>
  <c r="D53" i="9"/>
  <c r="D53" i="8"/>
  <c r="D53" i="11"/>
  <c r="F53" i="11" s="1"/>
  <c r="C57" i="15"/>
  <c r="C57" i="14"/>
  <c r="C57" i="11"/>
  <c r="C57" i="9"/>
  <c r="C57" i="8"/>
  <c r="B62" i="15"/>
  <c r="B62" i="14"/>
  <c r="B62" i="11"/>
  <c r="B62" i="8"/>
  <c r="B62" i="9"/>
  <c r="B65" i="15"/>
  <c r="B65" i="11"/>
  <c r="B65" i="14"/>
  <c r="B65" i="8"/>
  <c r="B65" i="9"/>
  <c r="C68" i="14"/>
  <c r="C68" i="15"/>
  <c r="C68" i="11"/>
  <c r="C68" i="9"/>
  <c r="C68" i="8"/>
  <c r="B74" i="15"/>
  <c r="B74" i="14"/>
  <c r="B74" i="11"/>
  <c r="B74" i="9"/>
  <c r="B74" i="8"/>
  <c r="C79" i="15"/>
  <c r="C79" i="14"/>
  <c r="C79" i="11"/>
  <c r="C79" i="9"/>
  <c r="C79" i="8"/>
  <c r="C84" i="15"/>
  <c r="C84" i="9"/>
  <c r="C84" i="14"/>
  <c r="C84" i="8"/>
  <c r="C84" i="11"/>
  <c r="B94" i="15"/>
  <c r="B94" i="14"/>
  <c r="B94" i="9"/>
  <c r="B94" i="11"/>
  <c r="B94" i="8"/>
  <c r="C8" i="15"/>
  <c r="C8" i="14"/>
  <c r="C8" i="11"/>
  <c r="C8" i="9"/>
  <c r="C8" i="8"/>
  <c r="A15" i="15"/>
  <c r="A15" i="14"/>
  <c r="A15" i="9"/>
  <c r="A15" i="11"/>
  <c r="A15" i="8"/>
  <c r="B20" i="14"/>
  <c r="B20" i="15"/>
  <c r="B20" i="11"/>
  <c r="B20" i="9"/>
  <c r="B20" i="8"/>
  <c r="B23" i="15"/>
  <c r="B23" i="14"/>
  <c r="B23" i="11"/>
  <c r="B23" i="9"/>
  <c r="B23" i="8"/>
  <c r="E30" i="15"/>
  <c r="E30" i="14"/>
  <c r="E30" i="11"/>
  <c r="E30" i="9"/>
  <c r="E30" i="8"/>
  <c r="C38" i="15"/>
  <c r="C38" i="14"/>
  <c r="C38" i="11"/>
  <c r="C38" i="9"/>
  <c r="C38" i="8"/>
  <c r="B49" i="15"/>
  <c r="B49" i="14"/>
  <c r="B49" i="9"/>
  <c r="B49" i="11"/>
  <c r="B49" i="8"/>
  <c r="F57" i="1"/>
  <c r="D57" i="15"/>
  <c r="F57" i="15" s="1"/>
  <c r="D57" i="14"/>
  <c r="F57" i="14" s="1"/>
  <c r="D57" i="11"/>
  <c r="F57" i="11" s="1"/>
  <c r="D57" i="9"/>
  <c r="D57" i="8"/>
  <c r="F60" i="1"/>
  <c r="D60" i="14"/>
  <c r="F60" i="14" s="1"/>
  <c r="D60" i="11"/>
  <c r="F60" i="11" s="1"/>
  <c r="D60" i="9"/>
  <c r="D60" i="15"/>
  <c r="F60" i="15" s="1"/>
  <c r="D60" i="8"/>
  <c r="C62" i="15"/>
  <c r="C62" i="14"/>
  <c r="C62" i="11"/>
  <c r="C62" i="9"/>
  <c r="C62" i="8"/>
  <c r="C65" i="15"/>
  <c r="C65" i="11"/>
  <c r="C65" i="14"/>
  <c r="C65" i="9"/>
  <c r="C65" i="8"/>
  <c r="E71" i="14"/>
  <c r="E71" i="15"/>
  <c r="E71" i="11"/>
  <c r="E71" i="9"/>
  <c r="E71" i="8"/>
  <c r="E76" i="14"/>
  <c r="E76" i="11"/>
  <c r="E76" i="15"/>
  <c r="E76" i="9"/>
  <c r="E76" i="8"/>
  <c r="D79" i="15"/>
  <c r="F79" i="15" s="1"/>
  <c r="D79" i="11"/>
  <c r="F79" i="11" s="1"/>
  <c r="D79" i="14"/>
  <c r="F79" i="14" s="1"/>
  <c r="D79" i="9"/>
  <c r="D79" i="8"/>
  <c r="A87" i="15"/>
  <c r="A87" i="14"/>
  <c r="A87" i="11"/>
  <c r="A87" i="8"/>
  <c r="A87" i="9"/>
  <c r="B92" i="15"/>
  <c r="B92" i="14"/>
  <c r="B92" i="11"/>
  <c r="B92" i="9"/>
  <c r="B92" i="8"/>
  <c r="C94" i="15"/>
  <c r="C94" i="14"/>
  <c r="C94" i="11"/>
  <c r="C94" i="8"/>
  <c r="C94" i="9"/>
  <c r="A96" i="15"/>
  <c r="A96" i="14"/>
  <c r="A96" i="11"/>
  <c r="A96" i="9"/>
  <c r="A96" i="8"/>
  <c r="A99" i="14"/>
  <c r="A99" i="15"/>
  <c r="A99" i="11"/>
  <c r="A99" i="8"/>
  <c r="A99" i="9"/>
  <c r="A102" i="15"/>
  <c r="A102" i="14"/>
  <c r="A102" i="11"/>
  <c r="A102" i="8"/>
  <c r="A102" i="9"/>
  <c r="F104" i="1"/>
  <c r="C107" i="15"/>
  <c r="C107" i="14"/>
  <c r="C107" i="11"/>
  <c r="C107" i="8"/>
  <c r="C107" i="9"/>
  <c r="F109" i="1"/>
  <c r="H109" i="1" s="1"/>
  <c r="D109" i="14"/>
  <c r="F109" i="14" s="1"/>
  <c r="D109" i="15"/>
  <c r="F109" i="15" s="1"/>
  <c r="D109" i="11"/>
  <c r="F109" i="11" s="1"/>
  <c r="D109" i="9"/>
  <c r="D109" i="8"/>
  <c r="A112" i="15"/>
  <c r="A112" i="14"/>
  <c r="A112" i="11"/>
  <c r="A112" i="8"/>
  <c r="A112" i="9"/>
  <c r="B117" i="15"/>
  <c r="B117" i="14"/>
  <c r="B117" i="11"/>
  <c r="B117" i="8"/>
  <c r="B117" i="9"/>
  <c r="E119" i="15"/>
  <c r="E119" i="14"/>
  <c r="E119" i="11"/>
  <c r="E119" i="8"/>
  <c r="E119" i="9"/>
  <c r="C124" i="15"/>
  <c r="C124" i="14"/>
  <c r="C124" i="11"/>
  <c r="C124" i="9"/>
  <c r="C124" i="8"/>
  <c r="B128" i="15"/>
  <c r="B128" i="14"/>
  <c r="B128" i="11"/>
  <c r="B128" i="9"/>
  <c r="B128" i="8"/>
  <c r="E130" i="11"/>
  <c r="E130" i="9"/>
  <c r="E130" i="14"/>
  <c r="E130" i="8"/>
  <c r="E130" i="15"/>
  <c r="E133" i="15"/>
  <c r="E133" i="14"/>
  <c r="E133" i="11"/>
  <c r="E133" i="9"/>
  <c r="E133" i="8"/>
  <c r="C136" i="15"/>
  <c r="C136" i="14"/>
  <c r="C136" i="11"/>
  <c r="C136" i="9"/>
  <c r="C136" i="8"/>
  <c r="E141" i="15"/>
  <c r="E141" i="14"/>
  <c r="E141" i="11"/>
  <c r="E141" i="9"/>
  <c r="E141" i="8"/>
  <c r="E143" i="15"/>
  <c r="E143" i="14"/>
  <c r="E143" i="11"/>
  <c r="E143" i="9"/>
  <c r="E143" i="8"/>
  <c r="C148" i="15"/>
  <c r="C148" i="14"/>
  <c r="C148" i="11"/>
  <c r="C148" i="9"/>
  <c r="C148" i="8"/>
  <c r="E150" i="15"/>
  <c r="E150" i="14"/>
  <c r="E150" i="9"/>
  <c r="E150" i="11"/>
  <c r="E150" i="8"/>
  <c r="A152" i="15"/>
  <c r="A152" i="14"/>
  <c r="A152" i="11"/>
  <c r="A152" i="9"/>
  <c r="A152" i="8"/>
  <c r="A155" i="14"/>
  <c r="A155" i="15"/>
  <c r="A155" i="11"/>
  <c r="A155" i="9"/>
  <c r="A155" i="8"/>
  <c r="A158" i="15"/>
  <c r="A158" i="14"/>
  <c r="A158" i="11"/>
  <c r="A158" i="9"/>
  <c r="A158" i="8"/>
  <c r="D160" i="15"/>
  <c r="F160" i="15" s="1"/>
  <c r="D160" i="14"/>
  <c r="F160" i="14" s="1"/>
  <c r="D160" i="11"/>
  <c r="F160" i="11" s="1"/>
  <c r="D160" i="9"/>
  <c r="D160" i="8"/>
  <c r="F162" i="1"/>
  <c r="D162" i="15"/>
  <c r="F162" i="15" s="1"/>
  <c r="D162" i="14"/>
  <c r="F162" i="14" s="1"/>
  <c r="D162" i="9"/>
  <c r="D162" i="11"/>
  <c r="F162" i="11" s="1"/>
  <c r="D162" i="8"/>
  <c r="C165" i="15"/>
  <c r="C165" i="11"/>
  <c r="C165" i="14"/>
  <c r="C165" i="9"/>
  <c r="C165" i="8"/>
  <c r="A168" i="15"/>
  <c r="A168" i="14"/>
  <c r="A168" i="11"/>
  <c r="A168" i="9"/>
  <c r="A168" i="8"/>
  <c r="B170" i="15"/>
  <c r="B170" i="11"/>
  <c r="B170" i="14"/>
  <c r="B170" i="9"/>
  <c r="B170" i="8"/>
  <c r="C173" i="15"/>
  <c r="C173" i="11"/>
  <c r="C173" i="14"/>
  <c r="C173" i="9"/>
  <c r="C173" i="8"/>
  <c r="C176" i="15"/>
  <c r="C176" i="14"/>
  <c r="C176" i="11"/>
  <c r="C176" i="9"/>
  <c r="C176" i="8"/>
  <c r="A179" i="15"/>
  <c r="A179" i="14"/>
  <c r="A179" i="11"/>
  <c r="A179" i="9"/>
  <c r="A179" i="8"/>
  <c r="C181" i="15"/>
  <c r="C181" i="14"/>
  <c r="C181" i="11"/>
  <c r="C181" i="9"/>
  <c r="C181" i="8"/>
  <c r="C184" i="15"/>
  <c r="C184" i="14"/>
  <c r="C184" i="11"/>
  <c r="C184" i="8"/>
  <c r="C184" i="9"/>
  <c r="C187" i="15"/>
  <c r="C187" i="14"/>
  <c r="C187" i="11"/>
  <c r="C187" i="9"/>
  <c r="C187" i="8"/>
  <c r="C191" i="15"/>
  <c r="C191" i="14"/>
  <c r="C191" i="9"/>
  <c r="C191" i="11"/>
  <c r="C191" i="8"/>
  <c r="E194" i="14"/>
  <c r="E194" i="15"/>
  <c r="E194" i="11"/>
  <c r="E194" i="9"/>
  <c r="E194" i="8"/>
  <c r="B197" i="15"/>
  <c r="B197" i="11"/>
  <c r="B197" i="14"/>
  <c r="B197" i="9"/>
  <c r="B197" i="8"/>
  <c r="F199" i="1"/>
  <c r="D199" i="15"/>
  <c r="F199" i="15" s="1"/>
  <c r="D199" i="14"/>
  <c r="F199" i="14" s="1"/>
  <c r="D199" i="11"/>
  <c r="F199" i="11" s="1"/>
  <c r="D199" i="8"/>
  <c r="D199" i="9"/>
  <c r="F201" i="1"/>
  <c r="G201" i="1" s="1"/>
  <c r="D201" i="15"/>
  <c r="F201" i="15" s="1"/>
  <c r="D201" i="11"/>
  <c r="F201" i="11" s="1"/>
  <c r="D201" i="14"/>
  <c r="F201" i="14" s="1"/>
  <c r="D201" i="9"/>
  <c r="D201" i="8"/>
  <c r="E204" i="11"/>
  <c r="E204" i="14"/>
  <c r="E204" i="15"/>
  <c r="E204" i="9"/>
  <c r="E204" i="8"/>
  <c r="C208" i="15"/>
  <c r="C208" i="14"/>
  <c r="C208" i="11"/>
  <c r="C208" i="9"/>
  <c r="C208" i="8"/>
  <c r="F211" i="1"/>
  <c r="G211" i="1" s="1"/>
  <c r="D211" i="15"/>
  <c r="F211" i="15" s="1"/>
  <c r="D211" i="14"/>
  <c r="F211" i="14" s="1"/>
  <c r="D211" i="11"/>
  <c r="F211" i="11" s="1"/>
  <c r="D211" i="9"/>
  <c r="D211" i="8"/>
  <c r="A216" i="14"/>
  <c r="A216" i="15"/>
  <c r="A216" i="11"/>
  <c r="A216" i="9"/>
  <c r="A216" i="8"/>
  <c r="B218" i="15"/>
  <c r="B218" i="14"/>
  <c r="B218" i="11"/>
  <c r="B218" i="9"/>
  <c r="B218" i="8"/>
  <c r="E220" i="14"/>
  <c r="E220" i="15"/>
  <c r="E220" i="11"/>
  <c r="E220" i="8"/>
  <c r="E220" i="9"/>
  <c r="F222" i="1"/>
  <c r="H222" i="1" s="1"/>
  <c r="C225" i="15"/>
  <c r="C225" i="14"/>
  <c r="C225" i="9"/>
  <c r="C225" i="11"/>
  <c r="C225" i="8"/>
  <c r="A228" i="15"/>
  <c r="A228" i="14"/>
  <c r="A228" i="11"/>
  <c r="A228" i="9"/>
  <c r="A228" i="8"/>
  <c r="E230" i="15"/>
  <c r="E230" i="14"/>
  <c r="E230" i="11"/>
  <c r="E230" i="9"/>
  <c r="E230" i="8"/>
  <c r="E233" i="14"/>
  <c r="E233" i="15"/>
  <c r="E233" i="11"/>
  <c r="E233" i="8"/>
  <c r="E233" i="9"/>
  <c r="A236" i="15"/>
  <c r="A236" i="14"/>
  <c r="A236" i="11"/>
  <c r="A236" i="9"/>
  <c r="A236" i="8"/>
  <c r="E238" i="15"/>
  <c r="E238" i="14"/>
  <c r="E238" i="9"/>
  <c r="E238" i="11"/>
  <c r="E238" i="8"/>
  <c r="A241" i="15"/>
  <c r="A241" i="14"/>
  <c r="A241" i="9"/>
  <c r="A241" i="11"/>
  <c r="A241" i="8"/>
  <c r="C243" i="15"/>
  <c r="C243" i="14"/>
  <c r="C243" i="11"/>
  <c r="C243" i="9"/>
  <c r="C243" i="8"/>
  <c r="F245" i="1"/>
  <c r="G245" i="1" s="1"/>
  <c r="D245" i="15"/>
  <c r="F245" i="15" s="1"/>
  <c r="D245" i="14"/>
  <c r="F245" i="14" s="1"/>
  <c r="D245" i="11"/>
  <c r="F245" i="11" s="1"/>
  <c r="D245" i="9"/>
  <c r="D245" i="8"/>
  <c r="E247" i="15"/>
  <c r="E247" i="14"/>
  <c r="E247" i="11"/>
  <c r="E247" i="9"/>
  <c r="E247" i="8"/>
  <c r="E250" i="15"/>
  <c r="E250" i="14"/>
  <c r="E250" i="9"/>
  <c r="E250" i="11"/>
  <c r="E250" i="8"/>
  <c r="F259" i="1"/>
  <c r="H259" i="1" s="1"/>
  <c r="D259" i="15"/>
  <c r="F259" i="15" s="1"/>
  <c r="D259" i="14"/>
  <c r="F259" i="14" s="1"/>
  <c r="D259" i="11"/>
  <c r="F259" i="11" s="1"/>
  <c r="D259" i="9"/>
  <c r="D259" i="8"/>
  <c r="A262" i="15"/>
  <c r="A262" i="14"/>
  <c r="A262" i="11"/>
  <c r="A262" i="9"/>
  <c r="A262" i="8"/>
  <c r="A264" i="15"/>
  <c r="A264" i="9"/>
  <c r="A264" i="14"/>
  <c r="A264" i="8"/>
  <c r="A264" i="11"/>
  <c r="F268" i="1"/>
  <c r="H268" i="1" s="1"/>
  <c r="D268" i="15"/>
  <c r="F268" i="15" s="1"/>
  <c r="D268" i="14"/>
  <c r="F268" i="14" s="1"/>
  <c r="D268" i="11"/>
  <c r="F268" i="11" s="1"/>
  <c r="D268" i="9"/>
  <c r="D268" i="8"/>
  <c r="C270" i="14"/>
  <c r="C270" i="15"/>
  <c r="C270" i="11"/>
  <c r="C270" i="9"/>
  <c r="C270" i="8"/>
  <c r="F273" i="1"/>
  <c r="G273" i="1" s="1"/>
  <c r="D273" i="15"/>
  <c r="F273" i="15" s="1"/>
  <c r="D273" i="11"/>
  <c r="F273" i="11" s="1"/>
  <c r="D273" i="14"/>
  <c r="F273" i="14" s="1"/>
  <c r="D273" i="9"/>
  <c r="D273" i="8"/>
  <c r="F276" i="1"/>
  <c r="G276" i="1" s="1"/>
  <c r="D276" i="14"/>
  <c r="F276" i="14" s="1"/>
  <c r="D276" i="15"/>
  <c r="F276" i="15" s="1"/>
  <c r="D276" i="9"/>
  <c r="D276" i="8"/>
  <c r="D276" i="11"/>
  <c r="F276" i="11" s="1"/>
  <c r="B279" i="15"/>
  <c r="B279" i="14"/>
  <c r="B279" i="9"/>
  <c r="B279" i="11"/>
  <c r="B279" i="8"/>
  <c r="A282" i="14"/>
  <c r="A282" i="15"/>
  <c r="A282" i="11"/>
  <c r="A282" i="8"/>
  <c r="A282" i="9"/>
  <c r="F286" i="1"/>
  <c r="F288" i="1"/>
  <c r="J288" i="1" s="1"/>
  <c r="D288" i="14"/>
  <c r="F288" i="14" s="1"/>
  <c r="D288" i="15"/>
  <c r="F288" i="15" s="1"/>
  <c r="D288" i="11"/>
  <c r="F288" i="11" s="1"/>
  <c r="D288" i="8"/>
  <c r="D288" i="9"/>
  <c r="C291" i="15"/>
  <c r="C291" i="14"/>
  <c r="C291" i="11"/>
  <c r="C291" i="9"/>
  <c r="C291" i="8"/>
  <c r="A297" i="15"/>
  <c r="A297" i="14"/>
  <c r="A297" i="11"/>
  <c r="A297" i="9"/>
  <c r="A297" i="8"/>
  <c r="A300" i="15"/>
  <c r="A300" i="14"/>
  <c r="A300" i="11"/>
  <c r="A300" i="9"/>
  <c r="A300" i="8"/>
  <c r="A303" i="15"/>
  <c r="A303" i="14"/>
  <c r="A303" i="11"/>
  <c r="A303" i="8"/>
  <c r="A303" i="9"/>
  <c r="A306" i="15"/>
  <c r="A306" i="14"/>
  <c r="A306" i="11"/>
  <c r="A306" i="9"/>
  <c r="A306" i="8"/>
  <c r="C308" i="15"/>
  <c r="C308" i="14"/>
  <c r="C308" i="11"/>
  <c r="C308" i="9"/>
  <c r="C308" i="8"/>
  <c r="B310" i="14"/>
  <c r="B310" i="15"/>
  <c r="B310" i="11"/>
  <c r="B310" i="9"/>
  <c r="B310" i="8"/>
  <c r="A313" i="15"/>
  <c r="A313" i="14"/>
  <c r="A313" i="11"/>
  <c r="A313" i="9"/>
  <c r="A313" i="8"/>
  <c r="C315" i="15"/>
  <c r="C315" i="14"/>
  <c r="C315" i="11"/>
  <c r="C315" i="9"/>
  <c r="C315" i="8"/>
  <c r="A318" i="15"/>
  <c r="A318" i="14"/>
  <c r="A318" i="9"/>
  <c r="A318" i="11"/>
  <c r="A318" i="8"/>
  <c r="F319" i="1"/>
  <c r="B323" i="15"/>
  <c r="B323" i="14"/>
  <c r="B323" i="11"/>
  <c r="B323" i="9"/>
  <c r="B323" i="8"/>
  <c r="C325" i="15"/>
  <c r="C325" i="14"/>
  <c r="C325" i="11"/>
  <c r="C325" i="8"/>
  <c r="C325" i="9"/>
  <c r="D327" i="15"/>
  <c r="F327" i="15" s="1"/>
  <c r="D327" i="14"/>
  <c r="F327" i="14" s="1"/>
  <c r="D327" i="11"/>
  <c r="F327" i="11" s="1"/>
  <c r="D327" i="9"/>
  <c r="D327" i="8"/>
  <c r="A330" i="15"/>
  <c r="A330" i="11"/>
  <c r="A330" i="14"/>
  <c r="A330" i="8"/>
  <c r="A330" i="9"/>
  <c r="E332" i="14"/>
  <c r="E332" i="15"/>
  <c r="E332" i="11"/>
  <c r="E332" i="9"/>
  <c r="E332" i="8"/>
  <c r="C334" i="15"/>
  <c r="C334" i="14"/>
  <c r="C334" i="11"/>
  <c r="C334" i="9"/>
  <c r="C334" i="8"/>
  <c r="E336" i="15"/>
  <c r="E336" i="14"/>
  <c r="E336" i="11"/>
  <c r="E336" i="9"/>
  <c r="E336" i="8"/>
  <c r="E339" i="14"/>
  <c r="E339" i="11"/>
  <c r="E339" i="15"/>
  <c r="E339" i="9"/>
  <c r="E339" i="8"/>
  <c r="C344" i="15"/>
  <c r="C344" i="14"/>
  <c r="C344" i="11"/>
  <c r="C344" i="9"/>
  <c r="C344" i="8"/>
  <c r="E348" i="15"/>
  <c r="E348" i="14"/>
  <c r="E348" i="9"/>
  <c r="E348" i="11"/>
  <c r="E348" i="8"/>
  <c r="C351" i="14"/>
  <c r="C351" i="15"/>
  <c r="C351" i="11"/>
  <c r="C351" i="9"/>
  <c r="C351" i="8"/>
  <c r="C354" i="15"/>
  <c r="C354" i="14"/>
  <c r="C354" i="9"/>
  <c r="C354" i="11"/>
  <c r="C354" i="8"/>
  <c r="F356" i="1"/>
  <c r="J356" i="1" s="1"/>
  <c r="D356" i="15"/>
  <c r="F356" i="15" s="1"/>
  <c r="D356" i="14"/>
  <c r="F356" i="14" s="1"/>
  <c r="D356" i="11"/>
  <c r="F356" i="11" s="1"/>
  <c r="D356" i="9"/>
  <c r="D356" i="8"/>
  <c r="C359" i="15"/>
  <c r="C359" i="11"/>
  <c r="C359" i="14"/>
  <c r="C359" i="9"/>
  <c r="C359" i="8"/>
  <c r="A362" i="15"/>
  <c r="A362" i="14"/>
  <c r="A362" i="11"/>
  <c r="A362" i="9"/>
  <c r="A362" i="8"/>
  <c r="A365" i="14"/>
  <c r="A365" i="15"/>
  <c r="A365" i="11"/>
  <c r="A365" i="8"/>
  <c r="A365" i="9"/>
  <c r="F367" i="1"/>
  <c r="J367" i="1" s="1"/>
  <c r="A371" i="15"/>
  <c r="A371" i="14"/>
  <c r="A371" i="11"/>
  <c r="A371" i="9"/>
  <c r="A371" i="8"/>
  <c r="B373" i="15"/>
  <c r="B373" i="14"/>
  <c r="B373" i="11"/>
  <c r="B373" i="9"/>
  <c r="B373" i="8"/>
  <c r="E377" i="15"/>
  <c r="E377" i="14"/>
  <c r="E377" i="9"/>
  <c r="E377" i="8"/>
  <c r="E377" i="11"/>
  <c r="D380" i="15"/>
  <c r="F380" i="15" s="1"/>
  <c r="D380" i="14"/>
  <c r="F380" i="14" s="1"/>
  <c r="D380" i="11"/>
  <c r="F380" i="11" s="1"/>
  <c r="D380" i="9"/>
  <c r="D380" i="8"/>
  <c r="B383" i="15"/>
  <c r="B383" i="14"/>
  <c r="B383" i="11"/>
  <c r="B383" i="9"/>
  <c r="B383" i="8"/>
  <c r="C386" i="14"/>
  <c r="C386" i="15"/>
  <c r="C386" i="11"/>
  <c r="C386" i="8"/>
  <c r="C386" i="9"/>
  <c r="C389" i="14"/>
  <c r="C389" i="15"/>
  <c r="C389" i="11"/>
  <c r="C389" i="9"/>
  <c r="C389" i="8"/>
  <c r="B391" i="15"/>
  <c r="B391" i="14"/>
  <c r="B391" i="11"/>
  <c r="B391" i="9"/>
  <c r="B391" i="8"/>
  <c r="F393" i="1"/>
  <c r="D393" i="15"/>
  <c r="F393" i="15" s="1"/>
  <c r="D393" i="14"/>
  <c r="F393" i="14" s="1"/>
  <c r="D393" i="11"/>
  <c r="F393" i="11" s="1"/>
  <c r="D393" i="8"/>
  <c r="D393" i="9"/>
  <c r="E395" i="15"/>
  <c r="E395" i="14"/>
  <c r="E395" i="9"/>
  <c r="E395" i="8"/>
  <c r="E395" i="11"/>
  <c r="A399" i="14"/>
  <c r="A399" i="15"/>
  <c r="A399" i="11"/>
  <c r="A399" i="9"/>
  <c r="A399" i="8"/>
  <c r="F401" i="1"/>
  <c r="D401" i="14"/>
  <c r="F401" i="14" s="1"/>
  <c r="D401" i="15"/>
  <c r="F401" i="15" s="1"/>
  <c r="D401" i="8"/>
  <c r="D401" i="9"/>
  <c r="D401" i="11"/>
  <c r="F401" i="11" s="1"/>
  <c r="D403" i="15"/>
  <c r="F403" i="15" s="1"/>
  <c r="D403" i="14"/>
  <c r="F403" i="14" s="1"/>
  <c r="D403" i="11"/>
  <c r="F403" i="11" s="1"/>
  <c r="D403" i="9"/>
  <c r="D403" i="8"/>
  <c r="E405" i="15"/>
  <c r="E405" i="14"/>
  <c r="E405" i="9"/>
  <c r="E405" i="8"/>
  <c r="E405" i="11"/>
  <c r="A408" i="15"/>
  <c r="A408" i="14"/>
  <c r="A408" i="11"/>
  <c r="A408" i="8"/>
  <c r="A408" i="9"/>
  <c r="F410" i="1"/>
  <c r="H410" i="1" s="1"/>
  <c r="D410" i="15"/>
  <c r="F410" i="15" s="1"/>
  <c r="D410" i="14"/>
  <c r="F410" i="14" s="1"/>
  <c r="D410" i="9"/>
  <c r="D410" i="11"/>
  <c r="F410" i="11" s="1"/>
  <c r="D410" i="8"/>
  <c r="B413" i="15"/>
  <c r="B413" i="14"/>
  <c r="B413" i="9"/>
  <c r="B413" i="11"/>
  <c r="B413" i="8"/>
  <c r="B416" i="15"/>
  <c r="B416" i="14"/>
  <c r="B416" i="11"/>
  <c r="B416" i="8"/>
  <c r="B416" i="9"/>
  <c r="C419" i="15"/>
  <c r="C419" i="14"/>
  <c r="C419" i="11"/>
  <c r="C419" i="9"/>
  <c r="C419" i="8"/>
  <c r="E420" i="14"/>
  <c r="E420" i="15"/>
  <c r="E420" i="11"/>
  <c r="E420" i="9"/>
  <c r="E420" i="8"/>
  <c r="C423" i="15"/>
  <c r="C423" i="9"/>
  <c r="C423" i="11"/>
  <c r="C423" i="8"/>
  <c r="C423" i="14"/>
  <c r="E425" i="14"/>
  <c r="E425" i="15"/>
  <c r="E425" i="8"/>
  <c r="E425" i="11"/>
  <c r="E425" i="9"/>
  <c r="C430" i="15"/>
  <c r="C430" i="14"/>
  <c r="C430" i="11"/>
  <c r="C430" i="9"/>
  <c r="C430" i="8"/>
  <c r="A433" i="15"/>
  <c r="A433" i="14"/>
  <c r="A433" i="11"/>
  <c r="A433" i="9"/>
  <c r="A433" i="8"/>
  <c r="H435" i="1"/>
  <c r="E437" i="15"/>
  <c r="E437" i="14"/>
  <c r="E437" i="11"/>
  <c r="E437" i="9"/>
  <c r="E437" i="8"/>
  <c r="E440" i="15"/>
  <c r="E440" i="14"/>
  <c r="E440" i="9"/>
  <c r="E440" i="11"/>
  <c r="E440" i="8"/>
  <c r="B443" i="14"/>
  <c r="B443" i="15"/>
  <c r="B443" i="11"/>
  <c r="B443" i="9"/>
  <c r="B443" i="8"/>
  <c r="C446" i="15"/>
  <c r="C446" i="14"/>
  <c r="C446" i="11"/>
  <c r="C446" i="8"/>
  <c r="C446" i="9"/>
  <c r="E448" i="15"/>
  <c r="E448" i="14"/>
  <c r="E448" i="11"/>
  <c r="E448" i="8"/>
  <c r="E448" i="9"/>
  <c r="E453" i="15"/>
  <c r="E453" i="14"/>
  <c r="E453" i="11"/>
  <c r="E453" i="8"/>
  <c r="E453" i="9"/>
  <c r="F455" i="1"/>
  <c r="B457" i="15"/>
  <c r="B457" i="14"/>
  <c r="B457" i="11"/>
  <c r="B457" i="8"/>
  <c r="B457" i="9"/>
  <c r="F459" i="1"/>
  <c r="D459" i="15"/>
  <c r="F459" i="15" s="1"/>
  <c r="D459" i="14"/>
  <c r="F459" i="14" s="1"/>
  <c r="D459" i="11"/>
  <c r="F459" i="11" s="1"/>
  <c r="D459" i="9"/>
  <c r="D459" i="8"/>
  <c r="E461" i="15"/>
  <c r="E461" i="14"/>
  <c r="E461" i="11"/>
  <c r="E461" i="9"/>
  <c r="E461" i="8"/>
  <c r="E464" i="15"/>
  <c r="E464" i="11"/>
  <c r="E464" i="14"/>
  <c r="E464" i="9"/>
  <c r="E464" i="8"/>
  <c r="F466" i="1"/>
  <c r="C469" i="14"/>
  <c r="C469" i="15"/>
  <c r="C469" i="11"/>
  <c r="C469" i="8"/>
  <c r="C469" i="9"/>
  <c r="E471" i="15"/>
  <c r="E471" i="14"/>
  <c r="E471" i="11"/>
  <c r="E471" i="9"/>
  <c r="E471" i="8"/>
  <c r="A476" i="15"/>
  <c r="A476" i="14"/>
  <c r="A476" i="11"/>
  <c r="A476" i="9"/>
  <c r="A476" i="8"/>
  <c r="C478" i="15"/>
  <c r="C478" i="11"/>
  <c r="C478" i="14"/>
  <c r="C478" i="8"/>
  <c r="C478" i="9"/>
  <c r="C481" i="15"/>
  <c r="C481" i="14"/>
  <c r="C481" i="11"/>
  <c r="C481" i="9"/>
  <c r="C481" i="8"/>
  <c r="E485" i="15"/>
  <c r="E485" i="14"/>
  <c r="E485" i="9"/>
  <c r="E485" i="11"/>
  <c r="E485" i="8"/>
  <c r="E487" i="15"/>
  <c r="E487" i="14"/>
  <c r="E487" i="11"/>
  <c r="E487" i="9"/>
  <c r="E487" i="8"/>
  <c r="C494" i="15"/>
  <c r="C494" i="14"/>
  <c r="C494" i="11"/>
  <c r="C494" i="9"/>
  <c r="C494" i="8"/>
  <c r="F497" i="1"/>
  <c r="G497" i="1" s="1"/>
  <c r="D497" i="15"/>
  <c r="F497" i="15" s="1"/>
  <c r="D497" i="14"/>
  <c r="F497" i="14" s="1"/>
  <c r="D497" i="11"/>
  <c r="F497" i="11" s="1"/>
  <c r="D497" i="9"/>
  <c r="D497" i="8"/>
  <c r="A499" i="15"/>
  <c r="A499" i="11"/>
  <c r="A499" i="14"/>
  <c r="A499" i="8"/>
  <c r="A499" i="9"/>
  <c r="B500" i="14"/>
  <c r="B500" i="15"/>
  <c r="B500" i="11"/>
  <c r="B500" i="9"/>
  <c r="B500" i="8"/>
  <c r="C502" i="15"/>
  <c r="C502" i="14"/>
  <c r="C502" i="11"/>
  <c r="C502" i="8"/>
  <c r="C502" i="9"/>
  <c r="C504" i="15"/>
  <c r="C504" i="14"/>
  <c r="C504" i="11"/>
  <c r="C504" i="9"/>
  <c r="C504" i="8"/>
  <c r="C507" i="15"/>
  <c r="C507" i="14"/>
  <c r="C507" i="11"/>
  <c r="C507" i="9"/>
  <c r="C507" i="8"/>
  <c r="A510" i="15"/>
  <c r="A510" i="14"/>
  <c r="A510" i="9"/>
  <c r="A510" i="11"/>
  <c r="A510" i="8"/>
  <c r="C512" i="15"/>
  <c r="C512" i="14"/>
  <c r="C512" i="11"/>
  <c r="C512" i="9"/>
  <c r="C512" i="8"/>
  <c r="E514" i="15"/>
  <c r="E514" i="14"/>
  <c r="E514" i="11"/>
  <c r="E514" i="9"/>
  <c r="E514" i="8"/>
  <c r="D517" i="15"/>
  <c r="F517" i="15" s="1"/>
  <c r="D517" i="14"/>
  <c r="F517" i="14" s="1"/>
  <c r="D517" i="11"/>
  <c r="F517" i="11" s="1"/>
  <c r="D517" i="9"/>
  <c r="D517" i="8"/>
  <c r="E519" i="15"/>
  <c r="E519" i="11"/>
  <c r="E519" i="14"/>
  <c r="E519" i="9"/>
  <c r="E519" i="8"/>
  <c r="D522" i="15"/>
  <c r="F522" i="15" s="1"/>
  <c r="D522" i="9"/>
  <c r="F522" i="9" s="1"/>
  <c r="D522" i="14"/>
  <c r="F522" i="14" s="1"/>
  <c r="D522" i="11"/>
  <c r="F522" i="11" s="1"/>
  <c r="D522" i="8"/>
  <c r="F522" i="8" s="1"/>
  <c r="G522" i="8" s="1"/>
  <c r="C525" i="15"/>
  <c r="C525" i="11"/>
  <c r="C525" i="14"/>
  <c r="C525" i="8"/>
  <c r="C525" i="9"/>
  <c r="B528" i="15"/>
  <c r="B528" i="14"/>
  <c r="B528" i="11"/>
  <c r="B528" i="9"/>
  <c r="B528" i="8"/>
  <c r="A531" i="15"/>
  <c r="A531" i="11"/>
  <c r="A531" i="14"/>
  <c r="A531" i="9"/>
  <c r="A531" i="8"/>
  <c r="A533" i="15"/>
  <c r="A533" i="11"/>
  <c r="A533" i="14"/>
  <c r="A533" i="8"/>
  <c r="A533" i="9"/>
  <c r="C535" i="15"/>
  <c r="C535" i="14"/>
  <c r="C535" i="11"/>
  <c r="C535" i="8"/>
  <c r="C535" i="9"/>
  <c r="B538" i="15"/>
  <c r="B538" i="14"/>
  <c r="B538" i="11"/>
  <c r="B538" i="8"/>
  <c r="B538" i="9"/>
  <c r="B541" i="15"/>
  <c r="B541" i="14"/>
  <c r="B541" i="11"/>
  <c r="B541" i="9"/>
  <c r="B541" i="8"/>
  <c r="C543" i="15"/>
  <c r="C543" i="14"/>
  <c r="C543" i="11"/>
  <c r="C543" i="9"/>
  <c r="C543" i="8"/>
  <c r="E545" i="15"/>
  <c r="E545" i="11"/>
  <c r="E545" i="14"/>
  <c r="E545" i="8"/>
  <c r="E545" i="9"/>
  <c r="A555" i="15"/>
  <c r="A555" i="14"/>
  <c r="A555" i="11"/>
  <c r="A555" i="9"/>
  <c r="A555" i="8"/>
  <c r="E557" i="15"/>
  <c r="E557" i="14"/>
  <c r="E557" i="11"/>
  <c r="E557" i="9"/>
  <c r="E557" i="8"/>
  <c r="F560" i="1"/>
  <c r="D560" i="15"/>
  <c r="F560" i="15" s="1"/>
  <c r="D560" i="11"/>
  <c r="F560" i="11" s="1"/>
  <c r="D560" i="14"/>
  <c r="F560" i="14" s="1"/>
  <c r="D560" i="8"/>
  <c r="F560" i="8" s="1"/>
  <c r="G560" i="8" s="1"/>
  <c r="D560" i="9"/>
  <c r="F560" i="9" s="1"/>
  <c r="A562" i="15"/>
  <c r="A562" i="14"/>
  <c r="A562" i="11"/>
  <c r="A562" i="9"/>
  <c r="A562" i="8"/>
  <c r="C564" i="15"/>
  <c r="C564" i="14"/>
  <c r="C564" i="11"/>
  <c r="C564" i="9"/>
  <c r="C564" i="8"/>
  <c r="F569" i="1"/>
  <c r="G569" i="1" s="1"/>
  <c r="D569" i="15"/>
  <c r="F569" i="15" s="1"/>
  <c r="D569" i="11"/>
  <c r="F569" i="11" s="1"/>
  <c r="D569" i="14"/>
  <c r="F569" i="14" s="1"/>
  <c r="D569" i="9"/>
  <c r="F569" i="9" s="1"/>
  <c r="D569" i="8"/>
  <c r="F569" i="8" s="1"/>
  <c r="G569" i="8" s="1"/>
  <c r="A572" i="15"/>
  <c r="A572" i="14"/>
  <c r="A572" i="11"/>
  <c r="A572" i="8"/>
  <c r="A572" i="9"/>
  <c r="E574" i="14"/>
  <c r="E574" i="11"/>
  <c r="E574" i="15"/>
  <c r="E574" i="9"/>
  <c r="E574" i="8"/>
  <c r="F577" i="1"/>
  <c r="D577" i="15"/>
  <c r="F577" i="15" s="1"/>
  <c r="D577" i="14"/>
  <c r="F577" i="14" s="1"/>
  <c r="D577" i="11"/>
  <c r="F577" i="11" s="1"/>
  <c r="D577" i="8"/>
  <c r="F577" i="8" s="1"/>
  <c r="G577" i="8" s="1"/>
  <c r="D577" i="9"/>
  <c r="F577" i="9" s="1"/>
  <c r="D579" i="15"/>
  <c r="F579" i="15" s="1"/>
  <c r="D579" i="14"/>
  <c r="F579" i="14" s="1"/>
  <c r="D579" i="11"/>
  <c r="F579" i="11" s="1"/>
  <c r="D579" i="9"/>
  <c r="F579" i="9" s="1"/>
  <c r="D579" i="8"/>
  <c r="F579" i="8" s="1"/>
  <c r="G579" i="8" s="1"/>
  <c r="D581" i="15"/>
  <c r="F581" i="15" s="1"/>
  <c r="D581" i="14"/>
  <c r="F581" i="14" s="1"/>
  <c r="D581" i="11"/>
  <c r="F581" i="11" s="1"/>
  <c r="D581" i="9"/>
  <c r="F581" i="9" s="1"/>
  <c r="D581" i="8"/>
  <c r="F581" i="8" s="1"/>
  <c r="G581" i="8" s="1"/>
  <c r="B584" i="15"/>
  <c r="B584" i="14"/>
  <c r="B584" i="11"/>
  <c r="B584" i="9"/>
  <c r="B584" i="8"/>
  <c r="B586" i="15"/>
  <c r="B586" i="14"/>
  <c r="B586" i="11"/>
  <c r="B586" i="9"/>
  <c r="B586" i="8"/>
  <c r="E589" i="15"/>
  <c r="E589" i="11"/>
  <c r="E589" i="14"/>
  <c r="E589" i="9"/>
  <c r="E589" i="8"/>
  <c r="C592" i="15"/>
  <c r="C592" i="14"/>
  <c r="C592" i="9"/>
  <c r="C592" i="11"/>
  <c r="C592" i="8"/>
  <c r="A595" i="14"/>
  <c r="A595" i="15"/>
  <c r="A595" i="11"/>
  <c r="A595" i="8"/>
  <c r="A595" i="9"/>
  <c r="A598" i="15"/>
  <c r="A598" i="14"/>
  <c r="A598" i="11"/>
  <c r="A598" i="8"/>
  <c r="A598" i="9"/>
  <c r="B600" i="14"/>
  <c r="B600" i="15"/>
  <c r="B600" i="11"/>
  <c r="B600" i="9"/>
  <c r="B600" i="8"/>
  <c r="E602" i="15"/>
  <c r="E602" i="14"/>
  <c r="E602" i="9"/>
  <c r="E602" i="11"/>
  <c r="E602" i="8"/>
  <c r="F604" i="1"/>
  <c r="I604" i="1" s="1"/>
  <c r="D604" i="15"/>
  <c r="F604" i="15" s="1"/>
  <c r="D604" i="11"/>
  <c r="F604" i="11" s="1"/>
  <c r="D604" i="14"/>
  <c r="F604" i="14" s="1"/>
  <c r="D604" i="8"/>
  <c r="F604" i="8" s="1"/>
  <c r="G604" i="8" s="1"/>
  <c r="D604" i="9"/>
  <c r="F604" i="9" s="1"/>
  <c r="C609" i="15"/>
  <c r="C609" i="14"/>
  <c r="C609" i="11"/>
  <c r="C609" i="9"/>
  <c r="C609" i="8"/>
  <c r="C612" i="15"/>
  <c r="C612" i="14"/>
  <c r="C612" i="11"/>
  <c r="C612" i="8"/>
  <c r="C612" i="9"/>
  <c r="F614" i="1"/>
  <c r="K614" i="1" s="1"/>
  <c r="E616" i="15"/>
  <c r="E616" i="14"/>
  <c r="E616" i="11"/>
  <c r="E616" i="9"/>
  <c r="E616" i="8"/>
  <c r="F618" i="1"/>
  <c r="H618" i="1" s="1"/>
  <c r="D618" i="14"/>
  <c r="F618" i="14" s="1"/>
  <c r="D618" i="15"/>
  <c r="F618" i="15" s="1"/>
  <c r="D618" i="11"/>
  <c r="F618" i="11" s="1"/>
  <c r="D618" i="9"/>
  <c r="F618" i="9" s="1"/>
  <c r="D618" i="8"/>
  <c r="F618" i="8" s="1"/>
  <c r="G618" i="8" s="1"/>
  <c r="E621" i="15"/>
  <c r="E621" i="14"/>
  <c r="E621" i="11"/>
  <c r="E621" i="9"/>
  <c r="E621" i="8"/>
  <c r="F624" i="1"/>
  <c r="J624" i="1" s="1"/>
  <c r="D624" i="15"/>
  <c r="F624" i="15" s="1"/>
  <c r="D624" i="14"/>
  <c r="F624" i="14" s="1"/>
  <c r="D624" i="11"/>
  <c r="F624" i="11" s="1"/>
  <c r="D624" i="9"/>
  <c r="F624" i="9" s="1"/>
  <c r="D624" i="8"/>
  <c r="F624" i="8" s="1"/>
  <c r="G624" i="8" s="1"/>
  <c r="F626" i="1"/>
  <c r="K626" i="1" s="1"/>
  <c r="E629" i="15"/>
  <c r="E629" i="11"/>
  <c r="E629" i="14"/>
  <c r="E629" i="9"/>
  <c r="E629" i="8"/>
  <c r="E632" i="15"/>
  <c r="E632" i="14"/>
  <c r="E632" i="11"/>
  <c r="E632" i="9"/>
  <c r="E632" i="8"/>
  <c r="F635" i="1"/>
  <c r="D635" i="14"/>
  <c r="F635" i="14" s="1"/>
  <c r="D635" i="15"/>
  <c r="F635" i="15" s="1"/>
  <c r="D635" i="11"/>
  <c r="F635" i="11" s="1"/>
  <c r="D635" i="8"/>
  <c r="F635" i="8" s="1"/>
  <c r="G635" i="8" s="1"/>
  <c r="D635" i="9"/>
  <c r="F635" i="9" s="1"/>
  <c r="B637" i="15"/>
  <c r="B637" i="14"/>
  <c r="B637" i="9"/>
  <c r="B637" i="8"/>
  <c r="B637" i="11"/>
  <c r="B640" i="15"/>
  <c r="B640" i="14"/>
  <c r="B640" i="11"/>
  <c r="B640" i="8"/>
  <c r="B640" i="9"/>
  <c r="C647" i="15"/>
  <c r="C647" i="14"/>
  <c r="C647" i="11"/>
  <c r="C647" i="8"/>
  <c r="C647" i="9"/>
  <c r="B650" i="15"/>
  <c r="B650" i="14"/>
  <c r="B650" i="11"/>
  <c r="B650" i="9"/>
  <c r="B650" i="8"/>
  <c r="C652" i="15"/>
  <c r="C652" i="14"/>
  <c r="C652" i="11"/>
  <c r="C652" i="9"/>
  <c r="C652" i="8"/>
  <c r="C655" i="15"/>
  <c r="C655" i="14"/>
  <c r="C655" i="11"/>
  <c r="C655" i="9"/>
  <c r="C655" i="8"/>
  <c r="E657" i="15"/>
  <c r="E657" i="14"/>
  <c r="E657" i="11"/>
  <c r="E657" i="9"/>
  <c r="E657" i="8"/>
  <c r="E659" i="14"/>
  <c r="E659" i="15"/>
  <c r="E659" i="11"/>
  <c r="E659" i="8"/>
  <c r="E659" i="9"/>
  <c r="F661" i="1"/>
  <c r="H661" i="1" s="1"/>
  <c r="D661" i="15"/>
  <c r="F661" i="15" s="1"/>
  <c r="D661" i="14"/>
  <c r="F661" i="14" s="1"/>
  <c r="D661" i="8"/>
  <c r="F661" i="8" s="1"/>
  <c r="G661" i="8" s="1"/>
  <c r="D661" i="9"/>
  <c r="F661" i="9" s="1"/>
  <c r="D661" i="11"/>
  <c r="F661" i="11" s="1"/>
  <c r="C664" i="15"/>
  <c r="C664" i="14"/>
  <c r="C664" i="11"/>
  <c r="C664" i="9"/>
  <c r="C664" i="8"/>
  <c r="A667" i="15"/>
  <c r="A667" i="14"/>
  <c r="A667" i="11"/>
  <c r="A667" i="9"/>
  <c r="A667" i="8"/>
  <c r="G669" i="1"/>
  <c r="E674" i="14"/>
  <c r="E674" i="15"/>
  <c r="E674" i="11"/>
  <c r="E674" i="8"/>
  <c r="E674" i="9"/>
  <c r="C677" i="15"/>
  <c r="C677" i="14"/>
  <c r="C677" i="11"/>
  <c r="C677" i="9"/>
  <c r="C677" i="8"/>
  <c r="E682" i="15"/>
  <c r="E682" i="14"/>
  <c r="E682" i="9"/>
  <c r="E682" i="8"/>
  <c r="E682" i="11"/>
  <c r="E684" i="15"/>
  <c r="E684" i="14"/>
  <c r="E684" i="11"/>
  <c r="E684" i="9"/>
  <c r="E684" i="8"/>
  <c r="F686" i="1"/>
  <c r="D686" i="15"/>
  <c r="F686" i="15" s="1"/>
  <c r="D686" i="14"/>
  <c r="F686" i="14" s="1"/>
  <c r="D686" i="11"/>
  <c r="F686" i="11" s="1"/>
  <c r="D686" i="8"/>
  <c r="F686" i="8" s="1"/>
  <c r="G686" i="8" s="1"/>
  <c r="D686" i="9"/>
  <c r="F686" i="9" s="1"/>
  <c r="A689" i="15"/>
  <c r="A689" i="14"/>
  <c r="A689" i="11"/>
  <c r="A689" i="8"/>
  <c r="A689" i="9"/>
  <c r="F696" i="1"/>
  <c r="D696" i="15"/>
  <c r="F696" i="15" s="1"/>
  <c r="D696" i="11"/>
  <c r="F696" i="11" s="1"/>
  <c r="D696" i="14"/>
  <c r="F696" i="14" s="1"/>
  <c r="D696" i="9"/>
  <c r="F696" i="9" s="1"/>
  <c r="D696" i="8"/>
  <c r="F696" i="8" s="1"/>
  <c r="G696" i="8" s="1"/>
  <c r="E699" i="15"/>
  <c r="E699" i="14"/>
  <c r="E699" i="11"/>
  <c r="E699" i="9"/>
  <c r="E699" i="8"/>
  <c r="A704" i="15"/>
  <c r="A704" i="11"/>
  <c r="A704" i="14"/>
  <c r="A704" i="8"/>
  <c r="A704" i="9"/>
  <c r="A706" i="15"/>
  <c r="A706" i="14"/>
  <c r="A706" i="11"/>
  <c r="A706" i="9"/>
  <c r="A706" i="8"/>
  <c r="C708" i="14"/>
  <c r="C708" i="15"/>
  <c r="C708" i="11"/>
  <c r="C708" i="9"/>
  <c r="C708" i="8"/>
  <c r="B710" i="15"/>
  <c r="B710" i="14"/>
  <c r="B710" i="11"/>
  <c r="B710" i="9"/>
  <c r="B710" i="8"/>
  <c r="A713" i="15"/>
  <c r="A713" i="14"/>
  <c r="A713" i="11"/>
  <c r="A713" i="9"/>
  <c r="A713" i="8"/>
  <c r="B718" i="15"/>
  <c r="B718" i="14"/>
  <c r="B718" i="11"/>
  <c r="B718" i="9"/>
  <c r="B718" i="8"/>
  <c r="A721" i="15"/>
  <c r="A721" i="14"/>
  <c r="A721" i="11"/>
  <c r="A721" i="9"/>
  <c r="A721" i="8"/>
  <c r="E723" i="15"/>
  <c r="E723" i="14"/>
  <c r="E723" i="11"/>
  <c r="E723" i="9"/>
  <c r="E723" i="8"/>
  <c r="E725" i="15"/>
  <c r="E725" i="14"/>
  <c r="E725" i="11"/>
  <c r="E725" i="9"/>
  <c r="E725" i="8"/>
  <c r="B728" i="15"/>
  <c r="B728" i="14"/>
  <c r="B728" i="11"/>
  <c r="B728" i="9"/>
  <c r="B728" i="8"/>
  <c r="B731" i="15"/>
  <c r="B731" i="11"/>
  <c r="B731" i="14"/>
  <c r="B731" i="8"/>
  <c r="B731" i="9"/>
  <c r="C733" i="15"/>
  <c r="C733" i="14"/>
  <c r="C733" i="11"/>
  <c r="C733" i="9"/>
  <c r="C733" i="8"/>
  <c r="A736" i="15"/>
  <c r="A736" i="14"/>
  <c r="A736" i="8"/>
  <c r="A736" i="9"/>
  <c r="A736" i="11"/>
  <c r="C738" i="15"/>
  <c r="C738" i="14"/>
  <c r="C738" i="11"/>
  <c r="C738" i="8"/>
  <c r="C738" i="9"/>
  <c r="B741" i="15"/>
  <c r="B741" i="14"/>
  <c r="B741" i="9"/>
  <c r="B741" i="11"/>
  <c r="B741" i="8"/>
  <c r="C743" i="15"/>
  <c r="C743" i="14"/>
  <c r="C743" i="11"/>
  <c r="C743" i="9"/>
  <c r="C743" i="8"/>
  <c r="F747" i="1"/>
  <c r="D747" i="15"/>
  <c r="F747" i="15" s="1"/>
  <c r="D747" i="14"/>
  <c r="F747" i="14" s="1"/>
  <c r="D747" i="11"/>
  <c r="F747" i="11" s="1"/>
  <c r="D747" i="9"/>
  <c r="F747" i="9" s="1"/>
  <c r="D747" i="8"/>
  <c r="F747" i="8" s="1"/>
  <c r="G747" i="8" s="1"/>
  <c r="E751" i="15"/>
  <c r="E751" i="14"/>
  <c r="E751" i="9"/>
  <c r="E751" i="11"/>
  <c r="E751" i="8"/>
  <c r="B756" i="15"/>
  <c r="B756" i="14"/>
  <c r="B756" i="9"/>
  <c r="B756" i="11"/>
  <c r="B756" i="8"/>
  <c r="B759" i="15"/>
  <c r="B759" i="14"/>
  <c r="B759" i="11"/>
  <c r="B759" i="8"/>
  <c r="B759" i="9"/>
  <c r="A762" i="15"/>
  <c r="A762" i="14"/>
  <c r="A762" i="11"/>
  <c r="A762" i="9"/>
  <c r="A762" i="8"/>
  <c r="E767" i="15"/>
  <c r="E767" i="14"/>
  <c r="E767" i="9"/>
  <c r="E767" i="11"/>
  <c r="E767" i="8"/>
  <c r="A770" i="15"/>
  <c r="A770" i="14"/>
  <c r="A770" i="11"/>
  <c r="A770" i="8"/>
  <c r="A770" i="9"/>
  <c r="B773" i="15"/>
  <c r="B773" i="14"/>
  <c r="B773" i="11"/>
  <c r="B773" i="8"/>
  <c r="B773" i="9"/>
  <c r="E775" i="15"/>
  <c r="E775" i="14"/>
  <c r="E775" i="11"/>
  <c r="E775" i="9"/>
  <c r="E775" i="8"/>
  <c r="A777" i="15"/>
  <c r="A777" i="14"/>
  <c r="A777" i="9"/>
  <c r="A777" i="8"/>
  <c r="A777" i="11"/>
  <c r="F778" i="1"/>
  <c r="J778" i="1" s="1"/>
  <c r="D778" i="15"/>
  <c r="F778" i="15" s="1"/>
  <c r="D778" i="14"/>
  <c r="F778" i="14" s="1"/>
  <c r="D778" i="11"/>
  <c r="F778" i="11" s="1"/>
  <c r="D778" i="9"/>
  <c r="F778" i="9" s="1"/>
  <c r="D778" i="8"/>
  <c r="F778" i="8" s="1"/>
  <c r="G778" i="8" s="1"/>
  <c r="C783" i="15"/>
  <c r="C783" i="14"/>
  <c r="C783" i="11"/>
  <c r="C783" i="8"/>
  <c r="C783" i="9"/>
  <c r="F786" i="1"/>
  <c r="J786" i="1" s="1"/>
  <c r="D786" i="15"/>
  <c r="F786" i="15" s="1"/>
  <c r="D786" i="14"/>
  <c r="F786" i="14" s="1"/>
  <c r="D786" i="9"/>
  <c r="F786" i="9" s="1"/>
  <c r="D786" i="8"/>
  <c r="F786" i="8" s="1"/>
  <c r="G786" i="8" s="1"/>
  <c r="D786" i="11"/>
  <c r="F786" i="11" s="1"/>
  <c r="B789" i="14"/>
  <c r="B789" i="11"/>
  <c r="B789" i="15"/>
  <c r="B789" i="9"/>
  <c r="B789" i="8"/>
  <c r="A794" i="14"/>
  <c r="A794" i="15"/>
  <c r="A794" i="11"/>
  <c r="A794" i="9"/>
  <c r="A794" i="8"/>
  <c r="C796" i="15"/>
  <c r="C796" i="14"/>
  <c r="C796" i="11"/>
  <c r="C796" i="9"/>
  <c r="C796" i="8"/>
  <c r="B798" i="15"/>
  <c r="B798" i="14"/>
  <c r="B798" i="11"/>
  <c r="B798" i="8"/>
  <c r="B798" i="9"/>
  <c r="F800" i="1"/>
  <c r="K800" i="1" s="1"/>
  <c r="C803" i="15"/>
  <c r="C803" i="14"/>
  <c r="C803" i="11"/>
  <c r="C803" i="9"/>
  <c r="C803" i="8"/>
  <c r="A808" i="14"/>
  <c r="A808" i="11"/>
  <c r="A808" i="15"/>
  <c r="A808" i="9"/>
  <c r="A808" i="8"/>
  <c r="C810" i="11"/>
  <c r="C810" i="14"/>
  <c r="C810" i="15"/>
  <c r="C810" i="9"/>
  <c r="C810" i="8"/>
  <c r="E812" i="14"/>
  <c r="E812" i="15"/>
  <c r="E812" i="11"/>
  <c r="E812" i="9"/>
  <c r="E812" i="8"/>
  <c r="C815" i="15"/>
  <c r="C815" i="11"/>
  <c r="C815" i="8"/>
  <c r="C815" i="9"/>
  <c r="C815" i="14"/>
  <c r="C818" i="15"/>
  <c r="C818" i="11"/>
  <c r="C818" i="14"/>
  <c r="C818" i="9"/>
  <c r="C818" i="8"/>
  <c r="E820" i="14"/>
  <c r="E820" i="15"/>
  <c r="E820" i="11"/>
  <c r="E820" i="9"/>
  <c r="E820" i="8"/>
  <c r="C825" i="15"/>
  <c r="C825" i="14"/>
  <c r="C825" i="11"/>
  <c r="C825" i="9"/>
  <c r="C825" i="8"/>
  <c r="A828" i="15"/>
  <c r="A828" i="14"/>
  <c r="A828" i="11"/>
  <c r="A828" i="8"/>
  <c r="A828" i="9"/>
  <c r="F830" i="1"/>
  <c r="A834" i="14"/>
  <c r="A834" i="15"/>
  <c r="A834" i="11"/>
  <c r="A834" i="9"/>
  <c r="A834" i="8"/>
  <c r="C836" i="15"/>
  <c r="C836" i="11"/>
  <c r="C836" i="14"/>
  <c r="C836" i="8"/>
  <c r="C836" i="9"/>
  <c r="B839" i="15"/>
  <c r="B839" i="11"/>
  <c r="B839" i="14"/>
  <c r="B839" i="9"/>
  <c r="B839" i="8"/>
  <c r="B844" i="15"/>
  <c r="B844" i="11"/>
  <c r="B844" i="9"/>
  <c r="B844" i="14"/>
  <c r="B844" i="8"/>
  <c r="B847" i="15"/>
  <c r="B847" i="11"/>
  <c r="B847" i="14"/>
  <c r="B847" i="9"/>
  <c r="B847" i="8"/>
  <c r="F849" i="1"/>
  <c r="I849" i="1" s="1"/>
  <c r="D849" i="15"/>
  <c r="F849" i="15" s="1"/>
  <c r="D849" i="14"/>
  <c r="F849" i="14" s="1"/>
  <c r="D849" i="11"/>
  <c r="F849" i="11" s="1"/>
  <c r="D849" i="9"/>
  <c r="F849" i="9" s="1"/>
  <c r="D849" i="8"/>
  <c r="F849" i="8" s="1"/>
  <c r="G849" i="8" s="1"/>
  <c r="B852" i="15"/>
  <c r="B852" i="14"/>
  <c r="B852" i="11"/>
  <c r="B852" i="8"/>
  <c r="B852" i="9"/>
  <c r="C857" i="15"/>
  <c r="C857" i="14"/>
  <c r="C857" i="8"/>
  <c r="C857" i="9"/>
  <c r="C857" i="11"/>
  <c r="F36" i="1"/>
  <c r="H36" i="1" s="1"/>
  <c r="D36" i="15"/>
  <c r="F36" i="15" s="1"/>
  <c r="D36" i="14"/>
  <c r="F36" i="14" s="1"/>
  <c r="D36" i="11"/>
  <c r="F36" i="11" s="1"/>
  <c r="D36" i="9"/>
  <c r="D36" i="8"/>
  <c r="B56" i="15"/>
  <c r="B56" i="14"/>
  <c r="B56" i="9"/>
  <c r="B56" i="11"/>
  <c r="B56" i="8"/>
  <c r="B78" i="15"/>
  <c r="B78" i="14"/>
  <c r="B78" i="11"/>
  <c r="B78" i="9"/>
  <c r="B78" i="8"/>
  <c r="C100" i="15"/>
  <c r="C100" i="11"/>
  <c r="C100" i="14"/>
  <c r="C100" i="9"/>
  <c r="C100" i="8"/>
  <c r="F120" i="1"/>
  <c r="J120" i="1" s="1"/>
  <c r="D120" i="15"/>
  <c r="F120" i="15" s="1"/>
  <c r="D120" i="14"/>
  <c r="F120" i="14" s="1"/>
  <c r="D120" i="11"/>
  <c r="F120" i="11" s="1"/>
  <c r="D120" i="9"/>
  <c r="D120" i="8"/>
  <c r="B156" i="15"/>
  <c r="B156" i="11"/>
  <c r="B156" i="9"/>
  <c r="B156" i="14"/>
  <c r="B156" i="8"/>
  <c r="E177" i="14"/>
  <c r="E177" i="11"/>
  <c r="E177" i="15"/>
  <c r="E177" i="9"/>
  <c r="E177" i="8"/>
  <c r="F219" i="1"/>
  <c r="H219" i="1" s="1"/>
  <c r="D219" i="15"/>
  <c r="F219" i="15" s="1"/>
  <c r="D219" i="14"/>
  <c r="F219" i="14" s="1"/>
  <c r="D219" i="11"/>
  <c r="F219" i="11" s="1"/>
  <c r="D219" i="9"/>
  <c r="D219" i="8"/>
  <c r="A249" i="15"/>
  <c r="A249" i="11"/>
  <c r="A249" i="14"/>
  <c r="A249" i="8"/>
  <c r="A249" i="9"/>
  <c r="F272" i="1"/>
  <c r="G272" i="1" s="1"/>
  <c r="D272" i="15"/>
  <c r="F272" i="15" s="1"/>
  <c r="D272" i="14"/>
  <c r="F272" i="14" s="1"/>
  <c r="D272" i="11"/>
  <c r="F272" i="11" s="1"/>
  <c r="D272" i="8"/>
  <c r="D272" i="9"/>
  <c r="C301" i="15"/>
  <c r="C301" i="14"/>
  <c r="C301" i="11"/>
  <c r="C301" i="9"/>
  <c r="C301" i="8"/>
  <c r="C324" i="15"/>
  <c r="C324" i="14"/>
  <c r="C324" i="11"/>
  <c r="C324" i="9"/>
  <c r="C324" i="8"/>
  <c r="B347" i="15"/>
  <c r="B347" i="11"/>
  <c r="B347" i="14"/>
  <c r="B347" i="9"/>
  <c r="B347" i="8"/>
  <c r="A376" i="15"/>
  <c r="A376" i="11"/>
  <c r="A376" i="14"/>
  <c r="A376" i="9"/>
  <c r="A376" i="8"/>
  <c r="B397" i="14"/>
  <c r="B397" i="11"/>
  <c r="B397" i="9"/>
  <c r="B397" i="8"/>
  <c r="B397" i="15"/>
  <c r="F414" i="1"/>
  <c r="J414" i="1" s="1"/>
  <c r="D414" i="15"/>
  <c r="F414" i="15" s="1"/>
  <c r="D414" i="14"/>
  <c r="F414" i="14" s="1"/>
  <c r="D414" i="9"/>
  <c r="D414" i="11"/>
  <c r="F414" i="11" s="1"/>
  <c r="D414" i="8"/>
  <c r="B431" i="15"/>
  <c r="B431" i="11"/>
  <c r="B431" i="14"/>
  <c r="B431" i="9"/>
  <c r="B431" i="8"/>
  <c r="A452" i="15"/>
  <c r="A452" i="14"/>
  <c r="A452" i="11"/>
  <c r="A452" i="8"/>
  <c r="A452" i="9"/>
  <c r="A473" i="15"/>
  <c r="A473" i="14"/>
  <c r="A473" i="8"/>
  <c r="A473" i="11"/>
  <c r="A473" i="9"/>
  <c r="E495" i="15"/>
  <c r="E495" i="14"/>
  <c r="E495" i="11"/>
  <c r="E495" i="9"/>
  <c r="E495" i="8"/>
  <c r="A521" i="15"/>
  <c r="A521" i="14"/>
  <c r="A521" i="11"/>
  <c r="A521" i="9"/>
  <c r="A521" i="8"/>
  <c r="C542" i="15"/>
  <c r="C542" i="14"/>
  <c r="C542" i="11"/>
  <c r="C542" i="8"/>
  <c r="C542" i="9"/>
  <c r="B554" i="15"/>
  <c r="B554" i="11"/>
  <c r="B554" i="14"/>
  <c r="B554" i="9"/>
  <c r="B554" i="8"/>
  <c r="F593" i="1"/>
  <c r="I593" i="1" s="1"/>
  <c r="D593" i="15"/>
  <c r="F593" i="15" s="1"/>
  <c r="D593" i="14"/>
  <c r="F593" i="14" s="1"/>
  <c r="D593" i="11"/>
  <c r="F593" i="11" s="1"/>
  <c r="D593" i="9"/>
  <c r="F593" i="9" s="1"/>
  <c r="D593" i="8"/>
  <c r="F593" i="8" s="1"/>
  <c r="G593" i="8" s="1"/>
  <c r="E665" i="11"/>
  <c r="E665" i="14"/>
  <c r="E665" i="15"/>
  <c r="E665" i="9"/>
  <c r="E665" i="8"/>
  <c r="E687" i="14"/>
  <c r="E687" i="11"/>
  <c r="E687" i="15"/>
  <c r="E687" i="9"/>
  <c r="E687" i="8"/>
  <c r="B707" i="15"/>
  <c r="B707" i="14"/>
  <c r="B707" i="9"/>
  <c r="B707" i="11"/>
  <c r="B707" i="8"/>
  <c r="A724" i="15"/>
  <c r="A724" i="14"/>
  <c r="A724" i="11"/>
  <c r="A724" i="9"/>
  <c r="A724" i="8"/>
  <c r="D744" i="15"/>
  <c r="F744" i="15" s="1"/>
  <c r="D744" i="14"/>
  <c r="F744" i="14" s="1"/>
  <c r="D744" i="9"/>
  <c r="F744" i="9" s="1"/>
  <c r="D744" i="11"/>
  <c r="F744" i="11" s="1"/>
  <c r="D744" i="8"/>
  <c r="F744" i="8" s="1"/>
  <c r="G744" i="8" s="1"/>
  <c r="C760" i="15"/>
  <c r="C760" i="14"/>
  <c r="C760" i="11"/>
  <c r="C760" i="9"/>
  <c r="C760" i="8"/>
  <c r="F790" i="1"/>
  <c r="G790" i="1" s="1"/>
  <c r="D790" i="15"/>
  <c r="F790" i="15" s="1"/>
  <c r="D790" i="14"/>
  <c r="F790" i="14" s="1"/>
  <c r="D790" i="11"/>
  <c r="F790" i="11" s="1"/>
  <c r="D790" i="8"/>
  <c r="F790" i="8" s="1"/>
  <c r="G790" i="8" s="1"/>
  <c r="D790" i="9"/>
  <c r="F790" i="9" s="1"/>
  <c r="F821" i="1"/>
  <c r="I821" i="1" s="1"/>
  <c r="D821" i="15"/>
  <c r="F821" i="15" s="1"/>
  <c r="D821" i="14"/>
  <c r="F821" i="14" s="1"/>
  <c r="D821" i="11"/>
  <c r="F821" i="11" s="1"/>
  <c r="D821" i="8"/>
  <c r="F821" i="8" s="1"/>
  <c r="G821" i="8" s="1"/>
  <c r="D821" i="9"/>
  <c r="F821" i="9" s="1"/>
  <c r="C829" i="15"/>
  <c r="C829" i="14"/>
  <c r="C829" i="11"/>
  <c r="C829" i="9"/>
  <c r="C829" i="8"/>
  <c r="A848" i="15"/>
  <c r="A848" i="14"/>
  <c r="A848" i="11"/>
  <c r="A848" i="9"/>
  <c r="A848" i="8"/>
  <c r="F61" i="1"/>
  <c r="D61" i="15"/>
  <c r="F61" i="15" s="1"/>
  <c r="D61" i="9"/>
  <c r="D61" i="11"/>
  <c r="F61" i="11" s="1"/>
  <c r="D61" i="14"/>
  <c r="F61" i="14" s="1"/>
  <c r="D61" i="8"/>
  <c r="A95" i="15"/>
  <c r="A95" i="14"/>
  <c r="A95" i="11"/>
  <c r="A95" i="8"/>
  <c r="A95" i="9"/>
  <c r="B129" i="15"/>
  <c r="B129" i="14"/>
  <c r="B129" i="9"/>
  <c r="B129" i="11"/>
  <c r="B129" i="8"/>
  <c r="A147" i="15"/>
  <c r="A147" i="14"/>
  <c r="A147" i="11"/>
  <c r="A147" i="8"/>
  <c r="A147" i="9"/>
  <c r="C161" i="15"/>
  <c r="C161" i="14"/>
  <c r="C161" i="9"/>
  <c r="C161" i="8"/>
  <c r="C161" i="11"/>
  <c r="E207" i="15"/>
  <c r="E207" i="14"/>
  <c r="E207" i="11"/>
  <c r="E207" i="9"/>
  <c r="E207" i="8"/>
  <c r="E219" i="15"/>
  <c r="E219" i="14"/>
  <c r="E219" i="11"/>
  <c r="E219" i="9"/>
  <c r="E219" i="8"/>
  <c r="C229" i="15"/>
  <c r="C229" i="11"/>
  <c r="C229" i="14"/>
  <c r="C229" i="8"/>
  <c r="C229" i="9"/>
  <c r="B249" i="15"/>
  <c r="B249" i="11"/>
  <c r="B249" i="14"/>
  <c r="B249" i="8"/>
  <c r="B249" i="9"/>
  <c r="C265" i="15"/>
  <c r="C265" i="14"/>
  <c r="C265" i="11"/>
  <c r="C265" i="8"/>
  <c r="C265" i="9"/>
  <c r="A278" i="15"/>
  <c r="A278" i="14"/>
  <c r="A278" i="11"/>
  <c r="A278" i="9"/>
  <c r="A278" i="8"/>
  <c r="C295" i="15"/>
  <c r="C295" i="14"/>
  <c r="C295" i="11"/>
  <c r="C295" i="9"/>
  <c r="C295" i="8"/>
  <c r="A314" i="15"/>
  <c r="A314" i="14"/>
  <c r="A314" i="11"/>
  <c r="A314" i="9"/>
  <c r="A314" i="8"/>
  <c r="B326" i="15"/>
  <c r="B326" i="14"/>
  <c r="B326" i="9"/>
  <c r="B326" i="11"/>
  <c r="B326" i="8"/>
  <c r="A333" i="15"/>
  <c r="A333" i="14"/>
  <c r="A333" i="11"/>
  <c r="A333" i="9"/>
  <c r="A333" i="8"/>
  <c r="A358" i="15"/>
  <c r="A358" i="14"/>
  <c r="A358" i="11"/>
  <c r="A358" i="9"/>
  <c r="A358" i="8"/>
  <c r="A374" i="15"/>
  <c r="A374" i="14"/>
  <c r="A374" i="11"/>
  <c r="A374" i="8"/>
  <c r="A374" i="9"/>
  <c r="B392" i="15"/>
  <c r="B392" i="14"/>
  <c r="B392" i="9"/>
  <c r="B392" i="8"/>
  <c r="B392" i="11"/>
  <c r="C409" i="15"/>
  <c r="C409" i="14"/>
  <c r="C409" i="11"/>
  <c r="C409" i="9"/>
  <c r="C409" i="8"/>
  <c r="C439" i="15"/>
  <c r="C439" i="14"/>
  <c r="C439" i="11"/>
  <c r="C439" i="9"/>
  <c r="C439" i="8"/>
  <c r="B463" i="15"/>
  <c r="B463" i="14"/>
  <c r="B463" i="11"/>
  <c r="B463" i="9"/>
  <c r="B463" i="8"/>
  <c r="C484" i="15"/>
  <c r="C484" i="11"/>
  <c r="C484" i="9"/>
  <c r="C484" i="14"/>
  <c r="C484" i="8"/>
  <c r="E503" i="15"/>
  <c r="E503" i="11"/>
  <c r="E503" i="14"/>
  <c r="E503" i="8"/>
  <c r="E503" i="9"/>
  <c r="B521" i="15"/>
  <c r="B521" i="14"/>
  <c r="B521" i="11"/>
  <c r="B521" i="9"/>
  <c r="B521" i="8"/>
  <c r="E539" i="15"/>
  <c r="E539" i="14"/>
  <c r="E539" i="11"/>
  <c r="E539" i="9"/>
  <c r="E539" i="8"/>
  <c r="F556" i="1"/>
  <c r="G556" i="1" s="1"/>
  <c r="D556" i="15"/>
  <c r="F556" i="15" s="1"/>
  <c r="D556" i="14"/>
  <c r="F556" i="14" s="1"/>
  <c r="D556" i="11"/>
  <c r="F556" i="11" s="1"/>
  <c r="D556" i="8"/>
  <c r="F556" i="8" s="1"/>
  <c r="G556" i="8" s="1"/>
  <c r="D556" i="9"/>
  <c r="F556" i="9" s="1"/>
  <c r="A576" i="15"/>
  <c r="A576" i="14"/>
  <c r="A576" i="8"/>
  <c r="A576" i="9"/>
  <c r="A576" i="11"/>
  <c r="E593" i="15"/>
  <c r="E593" i="14"/>
  <c r="E593" i="11"/>
  <c r="E593" i="9"/>
  <c r="E593" i="8"/>
  <c r="E639" i="11"/>
  <c r="E639" i="14"/>
  <c r="E639" i="8"/>
  <c r="E639" i="9"/>
  <c r="E639" i="15"/>
  <c r="A663" i="15"/>
  <c r="A663" i="14"/>
  <c r="A663" i="11"/>
  <c r="A663" i="9"/>
  <c r="A663" i="8"/>
  <c r="E678" i="15"/>
  <c r="E678" i="14"/>
  <c r="E678" i="9"/>
  <c r="E678" i="11"/>
  <c r="E678" i="8"/>
  <c r="D690" i="14"/>
  <c r="F690" i="14" s="1"/>
  <c r="D690" i="15"/>
  <c r="F690" i="15" s="1"/>
  <c r="D690" i="9"/>
  <c r="F690" i="9" s="1"/>
  <c r="D690" i="11"/>
  <c r="F690" i="11" s="1"/>
  <c r="D690" i="8"/>
  <c r="F690" i="8" s="1"/>
  <c r="G690" i="8" s="1"/>
  <c r="C705" i="15"/>
  <c r="C705" i="14"/>
  <c r="C705" i="11"/>
  <c r="C705" i="9"/>
  <c r="C705" i="8"/>
  <c r="F729" i="1"/>
  <c r="H729" i="1" s="1"/>
  <c r="D729" i="15"/>
  <c r="F729" i="15" s="1"/>
  <c r="D729" i="14"/>
  <c r="F729" i="14" s="1"/>
  <c r="D729" i="8"/>
  <c r="F729" i="8" s="1"/>
  <c r="G729" i="8" s="1"/>
  <c r="D729" i="9"/>
  <c r="F729" i="9" s="1"/>
  <c r="D729" i="11"/>
  <c r="F729" i="11" s="1"/>
  <c r="E744" i="15"/>
  <c r="E744" i="14"/>
  <c r="E744" i="9"/>
  <c r="E744" i="11"/>
  <c r="E744" i="8"/>
  <c r="D763" i="14"/>
  <c r="F763" i="14" s="1"/>
  <c r="D763" i="15"/>
  <c r="F763" i="15" s="1"/>
  <c r="D763" i="8"/>
  <c r="F763" i="8" s="1"/>
  <c r="G763" i="8" s="1"/>
  <c r="D763" i="9"/>
  <c r="F763" i="9" s="1"/>
  <c r="D763" i="11"/>
  <c r="F763" i="11" s="1"/>
  <c r="B782" i="15"/>
  <c r="B782" i="14"/>
  <c r="B782" i="11"/>
  <c r="B782" i="8"/>
  <c r="B782" i="9"/>
  <c r="A824" i="15"/>
  <c r="A824" i="14"/>
  <c r="A824" i="8"/>
  <c r="A824" i="11"/>
  <c r="A824" i="9"/>
  <c r="A835" i="15"/>
  <c r="A835" i="14"/>
  <c r="A835" i="11"/>
  <c r="A835" i="8"/>
  <c r="A835" i="9"/>
  <c r="B848" i="15"/>
  <c r="B848" i="14"/>
  <c r="B848" i="11"/>
  <c r="B848" i="9"/>
  <c r="B848" i="8"/>
  <c r="A19" i="15"/>
  <c r="A19" i="14"/>
  <c r="A19" i="11"/>
  <c r="A19" i="9"/>
  <c r="A19" i="8"/>
  <c r="A40" i="15"/>
  <c r="A40" i="14"/>
  <c r="A40" i="9"/>
  <c r="A40" i="8"/>
  <c r="A40" i="11"/>
  <c r="A73" i="15"/>
  <c r="A73" i="14"/>
  <c r="A73" i="11"/>
  <c r="A73" i="9"/>
  <c r="A73" i="8"/>
  <c r="B95" i="15"/>
  <c r="B95" i="14"/>
  <c r="B95" i="11"/>
  <c r="B95" i="8"/>
  <c r="B95" i="9"/>
  <c r="C140" i="15"/>
  <c r="C140" i="14"/>
  <c r="C140" i="11"/>
  <c r="C140" i="9"/>
  <c r="C140" i="8"/>
  <c r="D161" i="15"/>
  <c r="F161" i="15" s="1"/>
  <c r="D161" i="14"/>
  <c r="F161" i="14" s="1"/>
  <c r="D161" i="9"/>
  <c r="D161" i="8"/>
  <c r="D161" i="11"/>
  <c r="F161" i="11" s="1"/>
  <c r="A180" i="15"/>
  <c r="A180" i="14"/>
  <c r="A180" i="11"/>
  <c r="A180" i="9"/>
  <c r="A180" i="8"/>
  <c r="F196" i="1"/>
  <c r="D196" i="15"/>
  <c r="F196" i="15" s="1"/>
  <c r="D196" i="8"/>
  <c r="D196" i="11"/>
  <c r="F196" i="11" s="1"/>
  <c r="D196" i="14"/>
  <c r="F196" i="14" s="1"/>
  <c r="D196" i="9"/>
  <c r="B210" i="15"/>
  <c r="B210" i="14"/>
  <c r="B210" i="11"/>
  <c r="B210" i="9"/>
  <c r="B210" i="8"/>
  <c r="C249" i="15"/>
  <c r="C249" i="14"/>
  <c r="C249" i="11"/>
  <c r="C249" i="8"/>
  <c r="C249" i="9"/>
  <c r="A271" i="14"/>
  <c r="A271" i="15"/>
  <c r="A271" i="9"/>
  <c r="A271" i="11"/>
  <c r="A271" i="8"/>
  <c r="E298" i="15"/>
  <c r="E298" i="14"/>
  <c r="E298" i="11"/>
  <c r="E298" i="8"/>
  <c r="E298" i="9"/>
  <c r="C322" i="15"/>
  <c r="C322" i="14"/>
  <c r="C322" i="11"/>
  <c r="C322" i="8"/>
  <c r="C322" i="9"/>
  <c r="F347" i="1"/>
  <c r="I347" i="1" s="1"/>
  <c r="D347" i="15"/>
  <c r="F347" i="15" s="1"/>
  <c r="D347" i="11"/>
  <c r="F347" i="11" s="1"/>
  <c r="D347" i="9"/>
  <c r="D347" i="14"/>
  <c r="F347" i="14" s="1"/>
  <c r="D347" i="8"/>
  <c r="F369" i="1"/>
  <c r="J369" i="1" s="1"/>
  <c r="D369" i="14"/>
  <c r="F369" i="14" s="1"/>
  <c r="D369" i="15"/>
  <c r="F369" i="15" s="1"/>
  <c r="D369" i="11"/>
  <c r="F369" i="11" s="1"/>
  <c r="D369" i="8"/>
  <c r="D369" i="9"/>
  <c r="C392" i="15"/>
  <c r="C392" i="14"/>
  <c r="C392" i="11"/>
  <c r="C392" i="9"/>
  <c r="C392" i="8"/>
  <c r="A412" i="14"/>
  <c r="A412" i="15"/>
  <c r="A412" i="11"/>
  <c r="A412" i="9"/>
  <c r="A412" i="8"/>
  <c r="E434" i="15"/>
  <c r="E434" i="14"/>
  <c r="E434" i="11"/>
  <c r="E434" i="8"/>
  <c r="E434" i="9"/>
  <c r="E458" i="15"/>
  <c r="E458" i="14"/>
  <c r="E458" i="11"/>
  <c r="E458" i="9"/>
  <c r="E458" i="8"/>
  <c r="B501" i="15"/>
  <c r="B501" i="14"/>
  <c r="B501" i="11"/>
  <c r="B501" i="9"/>
  <c r="B501" i="8"/>
  <c r="A524" i="15"/>
  <c r="A524" i="14"/>
  <c r="A524" i="11"/>
  <c r="A524" i="8"/>
  <c r="A524" i="9"/>
  <c r="B551" i="15"/>
  <c r="B551" i="14"/>
  <c r="B551" i="9"/>
  <c r="B551" i="8"/>
  <c r="B551" i="11"/>
  <c r="F596" i="1"/>
  <c r="H596" i="1" s="1"/>
  <c r="D596" i="15"/>
  <c r="F596" i="15" s="1"/>
  <c r="D596" i="11"/>
  <c r="F596" i="11" s="1"/>
  <c r="D596" i="14"/>
  <c r="F596" i="14" s="1"/>
  <c r="D596" i="8"/>
  <c r="F596" i="8" s="1"/>
  <c r="G596" i="8" s="1"/>
  <c r="D596" i="9"/>
  <c r="F596" i="9" s="1"/>
  <c r="F617" i="1"/>
  <c r="G617" i="1" s="1"/>
  <c r="F641" i="1"/>
  <c r="G641" i="1" s="1"/>
  <c r="E690" i="14"/>
  <c r="E690" i="11"/>
  <c r="E690" i="15"/>
  <c r="E690" i="9"/>
  <c r="E690" i="8"/>
  <c r="F714" i="1"/>
  <c r="H714" i="1" s="1"/>
  <c r="D714" i="15"/>
  <c r="F714" i="15" s="1"/>
  <c r="D714" i="14"/>
  <c r="F714" i="14" s="1"/>
  <c r="D714" i="11"/>
  <c r="F714" i="11" s="1"/>
  <c r="D714" i="8"/>
  <c r="F714" i="8" s="1"/>
  <c r="G714" i="8" s="1"/>
  <c r="D714" i="9"/>
  <c r="F714" i="9" s="1"/>
  <c r="E729" i="15"/>
  <c r="E729" i="14"/>
  <c r="E729" i="8"/>
  <c r="E729" i="11"/>
  <c r="E729" i="9"/>
  <c r="F744" i="1"/>
  <c r="E763" i="14"/>
  <c r="E763" i="15"/>
  <c r="E763" i="8"/>
  <c r="E763" i="9"/>
  <c r="E763" i="11"/>
  <c r="B788" i="15"/>
  <c r="B788" i="14"/>
  <c r="B788" i="11"/>
  <c r="B788" i="9"/>
  <c r="B788" i="8"/>
  <c r="A802" i="15"/>
  <c r="A802" i="14"/>
  <c r="A802" i="11"/>
  <c r="A802" i="8"/>
  <c r="A802" i="9"/>
  <c r="A814" i="15"/>
  <c r="A814" i="14"/>
  <c r="A814" i="11"/>
  <c r="A814" i="8"/>
  <c r="A814" i="9"/>
  <c r="E829" i="15"/>
  <c r="E829" i="14"/>
  <c r="E829" i="9"/>
  <c r="E829" i="8"/>
  <c r="E829" i="11"/>
  <c r="E837" i="15"/>
  <c r="E837" i="14"/>
  <c r="E837" i="11"/>
  <c r="E837" i="9"/>
  <c r="E837" i="8"/>
  <c r="F24" i="1"/>
  <c r="J24" i="1" s="1"/>
  <c r="B45" i="14"/>
  <c r="B45" i="15"/>
  <c r="B45" i="8"/>
  <c r="B45" i="11"/>
  <c r="B45" i="9"/>
  <c r="B63" i="14"/>
  <c r="B63" i="15"/>
  <c r="B63" i="11"/>
  <c r="B63" i="9"/>
  <c r="B63" i="8"/>
  <c r="C95" i="15"/>
  <c r="C95" i="14"/>
  <c r="C95" i="11"/>
  <c r="C95" i="9"/>
  <c r="C95" i="8"/>
  <c r="E113" i="15"/>
  <c r="E113" i="14"/>
  <c r="E113" i="9"/>
  <c r="E113" i="11"/>
  <c r="E113" i="8"/>
  <c r="F132" i="1"/>
  <c r="G132" i="1" s="1"/>
  <c r="D132" i="15"/>
  <c r="F132" i="15" s="1"/>
  <c r="D132" i="14"/>
  <c r="F132" i="14" s="1"/>
  <c r="D132" i="11"/>
  <c r="F132" i="11" s="1"/>
  <c r="D132" i="9"/>
  <c r="D132" i="8"/>
  <c r="F149" i="1"/>
  <c r="G149" i="1" s="1"/>
  <c r="D149" i="15"/>
  <c r="F149" i="15" s="1"/>
  <c r="D149" i="14"/>
  <c r="F149" i="14" s="1"/>
  <c r="D149" i="9"/>
  <c r="D149" i="8"/>
  <c r="D149" i="11"/>
  <c r="F149" i="11" s="1"/>
  <c r="B164" i="14"/>
  <c r="B164" i="15"/>
  <c r="B164" i="11"/>
  <c r="B164" i="9"/>
  <c r="B164" i="8"/>
  <c r="E188" i="15"/>
  <c r="E188" i="14"/>
  <c r="E188" i="11"/>
  <c r="E188" i="9"/>
  <c r="E188" i="8"/>
  <c r="E200" i="15"/>
  <c r="E200" i="14"/>
  <c r="E200" i="11"/>
  <c r="E200" i="9"/>
  <c r="E200" i="8"/>
  <c r="F237" i="1"/>
  <c r="G237" i="1" s="1"/>
  <c r="D237" i="15"/>
  <c r="F237" i="15" s="1"/>
  <c r="D237" i="14"/>
  <c r="F237" i="14" s="1"/>
  <c r="D237" i="11"/>
  <c r="F237" i="11" s="1"/>
  <c r="D237" i="9"/>
  <c r="D237" i="8"/>
  <c r="F249" i="1"/>
  <c r="I249" i="1" s="1"/>
  <c r="D249" i="15"/>
  <c r="F249" i="15" s="1"/>
  <c r="D249" i="14"/>
  <c r="F249" i="14" s="1"/>
  <c r="D249" i="11"/>
  <c r="F249" i="11" s="1"/>
  <c r="D249" i="8"/>
  <c r="D249" i="9"/>
  <c r="F263" i="1"/>
  <c r="D263" i="14"/>
  <c r="F263" i="14" s="1"/>
  <c r="D263" i="15"/>
  <c r="F263" i="15" s="1"/>
  <c r="D263" i="9"/>
  <c r="D263" i="11"/>
  <c r="F263" i="11" s="1"/>
  <c r="D263" i="8"/>
  <c r="F324" i="1"/>
  <c r="J324" i="1" s="1"/>
  <c r="B353" i="15"/>
  <c r="B353" i="14"/>
  <c r="B353" i="11"/>
  <c r="B353" i="9"/>
  <c r="B353" i="8"/>
  <c r="E369" i="15"/>
  <c r="E369" i="14"/>
  <c r="E369" i="11"/>
  <c r="E369" i="8"/>
  <c r="E369" i="9"/>
  <c r="C382" i="15"/>
  <c r="C382" i="14"/>
  <c r="C382" i="11"/>
  <c r="C382" i="9"/>
  <c r="C382" i="8"/>
  <c r="B412" i="15"/>
  <c r="B412" i="14"/>
  <c r="B412" i="11"/>
  <c r="B412" i="8"/>
  <c r="B412" i="9"/>
  <c r="A442" i="15"/>
  <c r="A442" i="11"/>
  <c r="A442" i="14"/>
  <c r="A442" i="9"/>
  <c r="A442" i="8"/>
  <c r="D473" i="15"/>
  <c r="F473" i="15" s="1"/>
  <c r="D473" i="11"/>
  <c r="F473" i="11" s="1"/>
  <c r="D473" i="14"/>
  <c r="F473" i="14" s="1"/>
  <c r="D473" i="8"/>
  <c r="D473" i="9"/>
  <c r="A483" i="14"/>
  <c r="A483" i="15"/>
  <c r="A483" i="11"/>
  <c r="A483" i="8"/>
  <c r="A483" i="9"/>
  <c r="C496" i="15"/>
  <c r="C496" i="14"/>
  <c r="C496" i="11"/>
  <c r="C496" i="9"/>
  <c r="C496" i="8"/>
  <c r="C516" i="15"/>
  <c r="C516" i="14"/>
  <c r="C516" i="11"/>
  <c r="C516" i="8"/>
  <c r="C516" i="9"/>
  <c r="B540" i="15"/>
  <c r="B540" i="14"/>
  <c r="B540" i="11"/>
  <c r="B540" i="9"/>
  <c r="B540" i="8"/>
  <c r="E559" i="15"/>
  <c r="E559" i="14"/>
  <c r="E559" i="11"/>
  <c r="E559" i="8"/>
  <c r="E559" i="9"/>
  <c r="C576" i="15"/>
  <c r="C576" i="14"/>
  <c r="C576" i="11"/>
  <c r="C576" i="9"/>
  <c r="C576" i="8"/>
  <c r="E596" i="15"/>
  <c r="E596" i="14"/>
  <c r="E596" i="11"/>
  <c r="E596" i="9"/>
  <c r="E596" i="8"/>
  <c r="E636" i="14"/>
  <c r="E636" i="11"/>
  <c r="E636" i="9"/>
  <c r="E636" i="15"/>
  <c r="E636" i="8"/>
  <c r="A649" i="14"/>
  <c r="A649" i="15"/>
  <c r="A649" i="11"/>
  <c r="A649" i="8"/>
  <c r="A649" i="9"/>
  <c r="A669" i="15"/>
  <c r="A669" i="14"/>
  <c r="A669" i="9"/>
  <c r="A669" i="11"/>
  <c r="A669" i="8"/>
  <c r="A709" i="15"/>
  <c r="A709" i="14"/>
  <c r="A709" i="11"/>
  <c r="A709" i="9"/>
  <c r="A709" i="8"/>
  <c r="F722" i="1"/>
  <c r="G722" i="1" s="1"/>
  <c r="E746" i="15"/>
  <c r="E746" i="14"/>
  <c r="E746" i="11"/>
  <c r="E746" i="9"/>
  <c r="E746" i="8"/>
  <c r="D769" i="15"/>
  <c r="F769" i="15" s="1"/>
  <c r="D769" i="14"/>
  <c r="F769" i="14" s="1"/>
  <c r="D769" i="11"/>
  <c r="F769" i="11" s="1"/>
  <c r="D769" i="9"/>
  <c r="F769" i="9" s="1"/>
  <c r="D769" i="8"/>
  <c r="F769" i="8" s="1"/>
  <c r="G769" i="8" s="1"/>
  <c r="A791" i="15"/>
  <c r="A791" i="14"/>
  <c r="A791" i="11"/>
  <c r="A791" i="8"/>
  <c r="A791" i="9"/>
  <c r="B814" i="15"/>
  <c r="B814" i="14"/>
  <c r="B814" i="11"/>
  <c r="B814" i="8"/>
  <c r="B814" i="9"/>
  <c r="F840" i="1"/>
  <c r="G840" i="1" s="1"/>
  <c r="F68" i="1"/>
  <c r="J68" i="1" s="1"/>
  <c r="D68" i="14"/>
  <c r="F68" i="14" s="1"/>
  <c r="D68" i="15"/>
  <c r="F68" i="15" s="1"/>
  <c r="D68" i="11"/>
  <c r="F68" i="11" s="1"/>
  <c r="D68" i="9"/>
  <c r="D68" i="8"/>
  <c r="C74" i="15"/>
  <c r="C74" i="14"/>
  <c r="C74" i="11"/>
  <c r="C74" i="9"/>
  <c r="C74" i="8"/>
  <c r="F84" i="1"/>
  <c r="I84" i="1" s="1"/>
  <c r="D84" i="15"/>
  <c r="F84" i="15" s="1"/>
  <c r="D84" i="14"/>
  <c r="F84" i="14" s="1"/>
  <c r="D84" i="9"/>
  <c r="D84" i="8"/>
  <c r="D84" i="11"/>
  <c r="F84" i="11" s="1"/>
  <c r="D8" i="15"/>
  <c r="F8" i="15" s="1"/>
  <c r="D8" i="14"/>
  <c r="F8" i="14" s="1"/>
  <c r="D8" i="11"/>
  <c r="F8" i="11" s="1"/>
  <c r="D8" i="9"/>
  <c r="D8" i="8"/>
  <c r="A28" i="14"/>
  <c r="A28" i="15"/>
  <c r="A28" i="11"/>
  <c r="A28" i="9"/>
  <c r="A28" i="8"/>
  <c r="D38" i="15"/>
  <c r="F38" i="15" s="1"/>
  <c r="D38" i="14"/>
  <c r="F38" i="14" s="1"/>
  <c r="D38" i="11"/>
  <c r="F38" i="11" s="1"/>
  <c r="D38" i="8"/>
  <c r="D38" i="9"/>
  <c r="C49" i="15"/>
  <c r="C49" i="14"/>
  <c r="C49" i="11"/>
  <c r="C49" i="9"/>
  <c r="C49" i="8"/>
  <c r="E57" i="15"/>
  <c r="E57" i="14"/>
  <c r="E57" i="11"/>
  <c r="E57" i="9"/>
  <c r="E57" i="8"/>
  <c r="F74" i="1"/>
  <c r="H74" i="1" s="1"/>
  <c r="D74" i="15"/>
  <c r="F74" i="15" s="1"/>
  <c r="D74" i="14"/>
  <c r="F74" i="14" s="1"/>
  <c r="D74" i="11"/>
  <c r="F74" i="11" s="1"/>
  <c r="D74" i="9"/>
  <c r="D74" i="8"/>
  <c r="E84" i="11"/>
  <c r="E84" i="15"/>
  <c r="E84" i="14"/>
  <c r="E84" i="8"/>
  <c r="E84" i="9"/>
  <c r="D94" i="15"/>
  <c r="F94" i="15" s="1"/>
  <c r="D94" i="14"/>
  <c r="F94" i="14" s="1"/>
  <c r="D94" i="11"/>
  <c r="F94" i="11" s="1"/>
  <c r="D94" i="9"/>
  <c r="D94" i="8"/>
  <c r="F107" i="1"/>
  <c r="D107" i="15"/>
  <c r="F107" i="15" s="1"/>
  <c r="D107" i="14"/>
  <c r="F107" i="14" s="1"/>
  <c r="D107" i="11"/>
  <c r="F107" i="11" s="1"/>
  <c r="D107" i="8"/>
  <c r="D107" i="9"/>
  <c r="B112" i="15"/>
  <c r="B112" i="14"/>
  <c r="B112" i="11"/>
  <c r="B112" i="8"/>
  <c r="B112" i="9"/>
  <c r="A122" i="15"/>
  <c r="A122" i="11"/>
  <c r="A122" i="14"/>
  <c r="A122" i="9"/>
  <c r="A122" i="8"/>
  <c r="F124" i="1"/>
  <c r="I124" i="1" s="1"/>
  <c r="D124" i="15"/>
  <c r="F124" i="15" s="1"/>
  <c r="D124" i="14"/>
  <c r="F124" i="14" s="1"/>
  <c r="D124" i="11"/>
  <c r="F124" i="11" s="1"/>
  <c r="D124" i="9"/>
  <c r="D124" i="8"/>
  <c r="D136" i="15"/>
  <c r="F136" i="15" s="1"/>
  <c r="D136" i="11"/>
  <c r="F136" i="11" s="1"/>
  <c r="D136" i="14"/>
  <c r="F136" i="14" s="1"/>
  <c r="D136" i="8"/>
  <c r="D136" i="9"/>
  <c r="A146" i="15"/>
  <c r="A146" i="14"/>
  <c r="A146" i="11"/>
  <c r="A146" i="9"/>
  <c r="A146" i="8"/>
  <c r="B152" i="15"/>
  <c r="B152" i="14"/>
  <c r="B152" i="11"/>
  <c r="B152" i="9"/>
  <c r="B152" i="8"/>
  <c r="B158" i="15"/>
  <c r="B158" i="14"/>
  <c r="B158" i="9"/>
  <c r="B158" i="11"/>
  <c r="B158" i="8"/>
  <c r="E162" i="15"/>
  <c r="E162" i="14"/>
  <c r="E162" i="9"/>
  <c r="E162" i="11"/>
  <c r="E162" i="8"/>
  <c r="B168" i="15"/>
  <c r="B168" i="11"/>
  <c r="B168" i="14"/>
  <c r="B168" i="9"/>
  <c r="B168" i="8"/>
  <c r="F173" i="1"/>
  <c r="G173" i="1" s="1"/>
  <c r="D173" i="15"/>
  <c r="F173" i="15" s="1"/>
  <c r="D173" i="14"/>
  <c r="F173" i="14" s="1"/>
  <c r="D173" i="9"/>
  <c r="D173" i="11"/>
  <c r="F173" i="11" s="1"/>
  <c r="D173" i="8"/>
  <c r="F176" i="1"/>
  <c r="I176" i="1" s="1"/>
  <c r="D176" i="15"/>
  <c r="F176" i="15" s="1"/>
  <c r="D176" i="14"/>
  <c r="F176" i="14" s="1"/>
  <c r="D176" i="11"/>
  <c r="F176" i="11" s="1"/>
  <c r="D176" i="9"/>
  <c r="D176" i="8"/>
  <c r="F181" i="1"/>
  <c r="D181" i="15"/>
  <c r="F181" i="15" s="1"/>
  <c r="D181" i="14"/>
  <c r="F181" i="14" s="1"/>
  <c r="D181" i="11"/>
  <c r="F181" i="11" s="1"/>
  <c r="D181" i="9"/>
  <c r="D181" i="8"/>
  <c r="F187" i="1"/>
  <c r="H187" i="1" s="1"/>
  <c r="D187" i="14"/>
  <c r="F187" i="14" s="1"/>
  <c r="D187" i="15"/>
  <c r="F187" i="15" s="1"/>
  <c r="D187" i="11"/>
  <c r="F187" i="11" s="1"/>
  <c r="D187" i="8"/>
  <c r="D187" i="9"/>
  <c r="D191" i="15"/>
  <c r="F191" i="15" s="1"/>
  <c r="D191" i="14"/>
  <c r="F191" i="14" s="1"/>
  <c r="D191" i="11"/>
  <c r="F191" i="11" s="1"/>
  <c r="D191" i="9"/>
  <c r="D191" i="8"/>
  <c r="A195" i="15"/>
  <c r="A195" i="14"/>
  <c r="A195" i="11"/>
  <c r="A195" i="9"/>
  <c r="A195" i="8"/>
  <c r="C197" i="15"/>
  <c r="C197" i="14"/>
  <c r="C197" i="9"/>
  <c r="C197" i="11"/>
  <c r="C197" i="8"/>
  <c r="E199" i="15"/>
  <c r="E199" i="14"/>
  <c r="E199" i="11"/>
  <c r="E199" i="8"/>
  <c r="E199" i="9"/>
  <c r="E201" i="15"/>
  <c r="E201" i="14"/>
  <c r="E201" i="11"/>
  <c r="E201" i="9"/>
  <c r="E201" i="8"/>
  <c r="F208" i="1"/>
  <c r="H208" i="1" s="1"/>
  <c r="D208" i="15"/>
  <c r="F208" i="15" s="1"/>
  <c r="D208" i="14"/>
  <c r="F208" i="14" s="1"/>
  <c r="D208" i="9"/>
  <c r="D208" i="11"/>
  <c r="F208" i="11" s="1"/>
  <c r="D208" i="8"/>
  <c r="E211" i="15"/>
  <c r="E211" i="14"/>
  <c r="E211" i="11"/>
  <c r="E211" i="9"/>
  <c r="E211" i="8"/>
  <c r="B216" i="14"/>
  <c r="B216" i="15"/>
  <c r="B216" i="11"/>
  <c r="B216" i="9"/>
  <c r="B216" i="8"/>
  <c r="C218" i="15"/>
  <c r="C218" i="14"/>
  <c r="C218" i="11"/>
  <c r="C218" i="9"/>
  <c r="C218" i="8"/>
  <c r="A221" i="15"/>
  <c r="A221" i="9"/>
  <c r="A221" i="14"/>
  <c r="A221" i="11"/>
  <c r="A221" i="8"/>
  <c r="D225" i="15"/>
  <c r="F225" i="15" s="1"/>
  <c r="D225" i="14"/>
  <c r="F225" i="14" s="1"/>
  <c r="D225" i="9"/>
  <c r="D225" i="11"/>
  <c r="F225" i="11" s="1"/>
  <c r="D225" i="8"/>
  <c r="B228" i="14"/>
  <c r="B228" i="15"/>
  <c r="B228" i="9"/>
  <c r="B228" i="8"/>
  <c r="B228" i="11"/>
  <c r="F230" i="1"/>
  <c r="G230" i="1" s="1"/>
  <c r="B236" i="15"/>
  <c r="B236" i="14"/>
  <c r="B236" i="11"/>
  <c r="B236" i="9"/>
  <c r="B236" i="8"/>
  <c r="F238" i="1"/>
  <c r="H238" i="1" s="1"/>
  <c r="B241" i="15"/>
  <c r="B241" i="14"/>
  <c r="B241" i="9"/>
  <c r="B241" i="11"/>
  <c r="B241" i="8"/>
  <c r="F243" i="1"/>
  <c r="D243" i="15"/>
  <c r="F243" i="15" s="1"/>
  <c r="D243" i="14"/>
  <c r="F243" i="14" s="1"/>
  <c r="D243" i="11"/>
  <c r="F243" i="11" s="1"/>
  <c r="D243" i="9"/>
  <c r="D243" i="8"/>
  <c r="E245" i="15"/>
  <c r="E245" i="11"/>
  <c r="E245" i="9"/>
  <c r="E245" i="8"/>
  <c r="E245" i="14"/>
  <c r="A251" i="15"/>
  <c r="A251" i="14"/>
  <c r="A251" i="11"/>
  <c r="A251" i="9"/>
  <c r="A251" i="8"/>
  <c r="A253" i="15"/>
  <c r="A253" i="14"/>
  <c r="A253" i="11"/>
  <c r="A253" i="9"/>
  <c r="A253" i="8"/>
  <c r="E259" i="15"/>
  <c r="E259" i="14"/>
  <c r="E259" i="11"/>
  <c r="E259" i="8"/>
  <c r="E259" i="9"/>
  <c r="B262" i="15"/>
  <c r="B262" i="14"/>
  <c r="B262" i="11"/>
  <c r="B262" i="9"/>
  <c r="B262" i="8"/>
  <c r="B264" i="15"/>
  <c r="B264" i="11"/>
  <c r="B264" i="9"/>
  <c r="B264" i="14"/>
  <c r="B264" i="8"/>
  <c r="E268" i="15"/>
  <c r="E268" i="14"/>
  <c r="E268" i="11"/>
  <c r="E268" i="8"/>
  <c r="E268" i="9"/>
  <c r="D270" i="14"/>
  <c r="F270" i="14" s="1"/>
  <c r="D270" i="15"/>
  <c r="F270" i="15" s="1"/>
  <c r="D270" i="11"/>
  <c r="F270" i="11" s="1"/>
  <c r="D270" i="8"/>
  <c r="D270" i="9"/>
  <c r="E273" i="15"/>
  <c r="E273" i="14"/>
  <c r="E273" i="11"/>
  <c r="E273" i="9"/>
  <c r="E273" i="8"/>
  <c r="E276" i="15"/>
  <c r="E276" i="14"/>
  <c r="E276" i="9"/>
  <c r="E276" i="8"/>
  <c r="E276" i="11"/>
  <c r="C279" i="15"/>
  <c r="C279" i="14"/>
  <c r="C279" i="9"/>
  <c r="C279" i="11"/>
  <c r="C279" i="8"/>
  <c r="B282" i="15"/>
  <c r="B282" i="14"/>
  <c r="B282" i="11"/>
  <c r="B282" i="9"/>
  <c r="B282" i="8"/>
  <c r="E288" i="15"/>
  <c r="E288" i="14"/>
  <c r="E288" i="11"/>
  <c r="E288" i="9"/>
  <c r="E288" i="8"/>
  <c r="F291" i="1"/>
  <c r="I291" i="1" s="1"/>
  <c r="D291" i="15"/>
  <c r="F291" i="15" s="1"/>
  <c r="D291" i="14"/>
  <c r="F291" i="14" s="1"/>
  <c r="D291" i="9"/>
  <c r="D291" i="8"/>
  <c r="D291" i="11"/>
  <c r="F291" i="11" s="1"/>
  <c r="A294" i="15"/>
  <c r="A294" i="14"/>
  <c r="A294" i="11"/>
  <c r="A294" i="9"/>
  <c r="A294" i="8"/>
  <c r="B297" i="14"/>
  <c r="B297" i="15"/>
  <c r="B297" i="11"/>
  <c r="B297" i="9"/>
  <c r="B297" i="8"/>
  <c r="B300" i="15"/>
  <c r="B300" i="14"/>
  <c r="B300" i="9"/>
  <c r="B300" i="8"/>
  <c r="B300" i="11"/>
  <c r="B303" i="15"/>
  <c r="B303" i="14"/>
  <c r="B303" i="11"/>
  <c r="B303" i="9"/>
  <c r="B303" i="8"/>
  <c r="B306" i="15"/>
  <c r="B306" i="14"/>
  <c r="B306" i="11"/>
  <c r="B306" i="9"/>
  <c r="B306" i="8"/>
  <c r="F308" i="1"/>
  <c r="D308" i="15"/>
  <c r="F308" i="15" s="1"/>
  <c r="D308" i="14"/>
  <c r="F308" i="14" s="1"/>
  <c r="D308" i="11"/>
  <c r="F308" i="11" s="1"/>
  <c r="D308" i="9"/>
  <c r="D308" i="8"/>
  <c r="C310" i="14"/>
  <c r="C310" i="15"/>
  <c r="C310" i="11"/>
  <c r="C310" i="9"/>
  <c r="C310" i="8"/>
  <c r="B313" i="15"/>
  <c r="B313" i="14"/>
  <c r="B313" i="11"/>
  <c r="B313" i="9"/>
  <c r="B313" i="8"/>
  <c r="F315" i="1"/>
  <c r="D315" i="15"/>
  <c r="F315" i="15" s="1"/>
  <c r="D315" i="14"/>
  <c r="F315" i="14" s="1"/>
  <c r="D315" i="11"/>
  <c r="F315" i="11" s="1"/>
  <c r="D315" i="9"/>
  <c r="D315" i="8"/>
  <c r="B318" i="15"/>
  <c r="B318" i="14"/>
  <c r="B318" i="9"/>
  <c r="B318" i="11"/>
  <c r="B318" i="8"/>
  <c r="A321" i="15"/>
  <c r="A321" i="14"/>
  <c r="A321" i="11"/>
  <c r="A321" i="9"/>
  <c r="A321" i="8"/>
  <c r="C323" i="15"/>
  <c r="C323" i="14"/>
  <c r="C323" i="11"/>
  <c r="C323" i="9"/>
  <c r="C323" i="8"/>
  <c r="D325" i="14"/>
  <c r="F325" i="14" s="1"/>
  <c r="D325" i="15"/>
  <c r="F325" i="15" s="1"/>
  <c r="D325" i="11"/>
  <c r="F325" i="11" s="1"/>
  <c r="D325" i="8"/>
  <c r="D325" i="9"/>
  <c r="E327" i="15"/>
  <c r="E327" i="14"/>
  <c r="E327" i="11"/>
  <c r="E327" i="8"/>
  <c r="E327" i="9"/>
  <c r="B330" i="15"/>
  <c r="B330" i="11"/>
  <c r="B330" i="14"/>
  <c r="B330" i="9"/>
  <c r="B330" i="8"/>
  <c r="D334" i="14"/>
  <c r="F334" i="14" s="1"/>
  <c r="D334" i="15"/>
  <c r="F334" i="15" s="1"/>
  <c r="D334" i="11"/>
  <c r="F334" i="11" s="1"/>
  <c r="D334" i="8"/>
  <c r="D334" i="9"/>
  <c r="F336" i="1"/>
  <c r="I336" i="1" s="1"/>
  <c r="A340" i="15"/>
  <c r="A340" i="14"/>
  <c r="A340" i="9"/>
  <c r="A340" i="11"/>
  <c r="A340" i="8"/>
  <c r="D344" i="15"/>
  <c r="F344" i="15" s="1"/>
  <c r="D344" i="14"/>
  <c r="F344" i="14" s="1"/>
  <c r="D344" i="11"/>
  <c r="F344" i="11" s="1"/>
  <c r="D344" i="9"/>
  <c r="D344" i="8"/>
  <c r="A346" i="15"/>
  <c r="A346" i="14"/>
  <c r="A346" i="9"/>
  <c r="A346" i="11"/>
  <c r="A346" i="8"/>
  <c r="A349" i="15"/>
  <c r="A349" i="14"/>
  <c r="A349" i="11"/>
  <c r="A349" i="9"/>
  <c r="A349" i="8"/>
  <c r="F351" i="1"/>
  <c r="J351" i="1" s="1"/>
  <c r="D351" i="14"/>
  <c r="F351" i="14" s="1"/>
  <c r="D351" i="15"/>
  <c r="F351" i="15" s="1"/>
  <c r="D351" i="11"/>
  <c r="F351" i="11" s="1"/>
  <c r="D351" i="9"/>
  <c r="D351" i="8"/>
  <c r="D354" i="15"/>
  <c r="F354" i="15" s="1"/>
  <c r="D354" i="9"/>
  <c r="D354" i="14"/>
  <c r="F354" i="14" s="1"/>
  <c r="D354" i="11"/>
  <c r="F354" i="11" s="1"/>
  <c r="D354" i="8"/>
  <c r="E356" i="15"/>
  <c r="E356" i="14"/>
  <c r="E356" i="11"/>
  <c r="E356" i="9"/>
  <c r="E356" i="8"/>
  <c r="D359" i="15"/>
  <c r="F359" i="15" s="1"/>
  <c r="D359" i="14"/>
  <c r="F359" i="14" s="1"/>
  <c r="D359" i="11"/>
  <c r="F359" i="11" s="1"/>
  <c r="D359" i="8"/>
  <c r="D359" i="9"/>
  <c r="B362" i="15"/>
  <c r="B362" i="14"/>
  <c r="B362" i="11"/>
  <c r="B362" i="9"/>
  <c r="B362" i="8"/>
  <c r="B365" i="14"/>
  <c r="B365" i="15"/>
  <c r="B365" i="11"/>
  <c r="B365" i="9"/>
  <c r="B365" i="8"/>
  <c r="A368" i="15"/>
  <c r="A368" i="11"/>
  <c r="A368" i="14"/>
  <c r="A368" i="9"/>
  <c r="A368" i="8"/>
  <c r="B371" i="15"/>
  <c r="B371" i="14"/>
  <c r="B371" i="9"/>
  <c r="B371" i="11"/>
  <c r="B371" i="8"/>
  <c r="C373" i="15"/>
  <c r="C373" i="14"/>
  <c r="C373" i="11"/>
  <c r="C373" i="8"/>
  <c r="C373" i="9"/>
  <c r="F377" i="1"/>
  <c r="I377" i="1" s="1"/>
  <c r="E380" i="15"/>
  <c r="E380" i="11"/>
  <c r="E380" i="14"/>
  <c r="E380" i="9"/>
  <c r="E380" i="8"/>
  <c r="C383" i="15"/>
  <c r="C383" i="14"/>
  <c r="C383" i="11"/>
  <c r="C383" i="9"/>
  <c r="C383" i="8"/>
  <c r="F386" i="1"/>
  <c r="G386" i="1" s="1"/>
  <c r="D386" i="14"/>
  <c r="F386" i="14" s="1"/>
  <c r="D386" i="15"/>
  <c r="F386" i="15" s="1"/>
  <c r="D386" i="11"/>
  <c r="F386" i="11" s="1"/>
  <c r="D386" i="8"/>
  <c r="D386" i="9"/>
  <c r="D389" i="14"/>
  <c r="F389" i="14" s="1"/>
  <c r="D389" i="15"/>
  <c r="F389" i="15" s="1"/>
  <c r="D389" i="11"/>
  <c r="F389" i="11" s="1"/>
  <c r="D389" i="9"/>
  <c r="D389" i="8"/>
  <c r="C391" i="15"/>
  <c r="C391" i="14"/>
  <c r="C391" i="11"/>
  <c r="C391" i="9"/>
  <c r="C391" i="8"/>
  <c r="E393" i="14"/>
  <c r="E393" i="15"/>
  <c r="E393" i="11"/>
  <c r="E393" i="8"/>
  <c r="E393" i="9"/>
  <c r="A396" i="15"/>
  <c r="A396" i="14"/>
  <c r="A396" i="9"/>
  <c r="A396" i="11"/>
  <c r="A396" i="8"/>
  <c r="B399" i="14"/>
  <c r="B399" i="15"/>
  <c r="B399" i="11"/>
  <c r="B399" i="9"/>
  <c r="B399" i="8"/>
  <c r="E401" i="14"/>
  <c r="E401" i="15"/>
  <c r="E401" i="9"/>
  <c r="E401" i="11"/>
  <c r="E401" i="8"/>
  <c r="E403" i="15"/>
  <c r="E403" i="14"/>
  <c r="E403" i="11"/>
  <c r="E403" i="9"/>
  <c r="E403" i="8"/>
  <c r="A406" i="14"/>
  <c r="A406" i="15"/>
  <c r="A406" i="11"/>
  <c r="A406" i="9"/>
  <c r="A406" i="8"/>
  <c r="B408" i="14"/>
  <c r="B408" i="15"/>
  <c r="B408" i="11"/>
  <c r="B408" i="9"/>
  <c r="B408" i="8"/>
  <c r="E410" i="15"/>
  <c r="E410" i="14"/>
  <c r="E410" i="8"/>
  <c r="E410" i="11"/>
  <c r="E410" i="9"/>
  <c r="C413" i="14"/>
  <c r="C413" i="15"/>
  <c r="C413" i="9"/>
  <c r="C413" i="11"/>
  <c r="C413" i="8"/>
  <c r="C416" i="15"/>
  <c r="C416" i="14"/>
  <c r="C416" i="11"/>
  <c r="C416" i="9"/>
  <c r="C416" i="8"/>
  <c r="D419" i="15"/>
  <c r="F419" i="15" s="1"/>
  <c r="D419" i="11"/>
  <c r="F419" i="11" s="1"/>
  <c r="D419" i="14"/>
  <c r="F419" i="14" s="1"/>
  <c r="D419" i="8"/>
  <c r="D419" i="9"/>
  <c r="F420" i="1"/>
  <c r="F423" i="1"/>
  <c r="J423" i="1" s="1"/>
  <c r="D423" i="15"/>
  <c r="F423" i="15" s="1"/>
  <c r="D423" i="14"/>
  <c r="F423" i="14" s="1"/>
  <c r="D423" i="11"/>
  <c r="F423" i="11" s="1"/>
  <c r="D423" i="8"/>
  <c r="D423" i="9"/>
  <c r="F430" i="1"/>
  <c r="G430" i="1" s="1"/>
  <c r="D430" i="15"/>
  <c r="F430" i="15" s="1"/>
  <c r="D430" i="14"/>
  <c r="F430" i="14" s="1"/>
  <c r="D430" i="11"/>
  <c r="F430" i="11" s="1"/>
  <c r="D430" i="9"/>
  <c r="D430" i="8"/>
  <c r="B433" i="15"/>
  <c r="B433" i="14"/>
  <c r="B433" i="11"/>
  <c r="B433" i="9"/>
  <c r="B433" i="8"/>
  <c r="A438" i="15"/>
  <c r="A438" i="14"/>
  <c r="A438" i="11"/>
  <c r="A438" i="9"/>
  <c r="A438" i="8"/>
  <c r="C443" i="15"/>
  <c r="C443" i="11"/>
  <c r="C443" i="14"/>
  <c r="C443" i="9"/>
  <c r="C443" i="8"/>
  <c r="D446" i="15"/>
  <c r="F446" i="15" s="1"/>
  <c r="D446" i="14"/>
  <c r="F446" i="14" s="1"/>
  <c r="D446" i="11"/>
  <c r="F446" i="11" s="1"/>
  <c r="D446" i="9"/>
  <c r="D446" i="8"/>
  <c r="F448" i="1"/>
  <c r="A451" i="15"/>
  <c r="A451" i="14"/>
  <c r="A451" i="11"/>
  <c r="A451" i="9"/>
  <c r="A451" i="8"/>
  <c r="F453" i="1"/>
  <c r="J453" i="1" s="1"/>
  <c r="C457" i="15"/>
  <c r="C457" i="11"/>
  <c r="C457" i="14"/>
  <c r="C457" i="9"/>
  <c r="C457" i="8"/>
  <c r="E459" i="15"/>
  <c r="E459" i="14"/>
  <c r="E459" i="11"/>
  <c r="E459" i="8"/>
  <c r="E459" i="9"/>
  <c r="F461" i="1"/>
  <c r="J461" i="1" s="1"/>
  <c r="F464" i="1"/>
  <c r="G464" i="1" s="1"/>
  <c r="D469" i="14"/>
  <c r="F469" i="14" s="1"/>
  <c r="D469" i="15"/>
  <c r="F469" i="15" s="1"/>
  <c r="D469" i="11"/>
  <c r="F469" i="11" s="1"/>
  <c r="D469" i="8"/>
  <c r="D469" i="9"/>
  <c r="A472" i="15"/>
  <c r="A472" i="14"/>
  <c r="A472" i="11"/>
  <c r="A472" i="9"/>
  <c r="A472" i="8"/>
  <c r="A474" i="15"/>
  <c r="A474" i="14"/>
  <c r="A474" i="9"/>
  <c r="A474" i="11"/>
  <c r="A474" i="8"/>
  <c r="B476" i="15"/>
  <c r="B476" i="14"/>
  <c r="B476" i="11"/>
  <c r="B476" i="9"/>
  <c r="B476" i="8"/>
  <c r="F478" i="1"/>
  <c r="J478" i="1" s="1"/>
  <c r="D478" i="15"/>
  <c r="F478" i="15" s="1"/>
  <c r="D478" i="14"/>
  <c r="F478" i="14" s="1"/>
  <c r="D478" i="11"/>
  <c r="F478" i="11" s="1"/>
  <c r="D478" i="8"/>
  <c r="D478" i="9"/>
  <c r="F481" i="1"/>
  <c r="G481" i="1" s="1"/>
  <c r="D481" i="15"/>
  <c r="F481" i="15" s="1"/>
  <c r="D481" i="14"/>
  <c r="F481" i="14" s="1"/>
  <c r="D481" i="11"/>
  <c r="F481" i="11" s="1"/>
  <c r="D481" i="9"/>
  <c r="D481" i="8"/>
  <c r="F485" i="1"/>
  <c r="G485" i="1" s="1"/>
  <c r="A488" i="14"/>
  <c r="A488" i="15"/>
  <c r="A488" i="11"/>
  <c r="A488" i="9"/>
  <c r="A488" i="8"/>
  <c r="F494" i="1"/>
  <c r="D494" i="15"/>
  <c r="F494" i="15" s="1"/>
  <c r="D494" i="14"/>
  <c r="F494" i="14" s="1"/>
  <c r="D494" i="11"/>
  <c r="F494" i="11" s="1"/>
  <c r="D494" i="9"/>
  <c r="D494" i="8"/>
  <c r="E497" i="15"/>
  <c r="E497" i="14"/>
  <c r="E497" i="9"/>
  <c r="E497" i="11"/>
  <c r="E497" i="8"/>
  <c r="B499" i="15"/>
  <c r="B499" i="11"/>
  <c r="B499" i="9"/>
  <c r="B499" i="8"/>
  <c r="B499" i="14"/>
  <c r="C500" i="15"/>
  <c r="C500" i="14"/>
  <c r="C500" i="11"/>
  <c r="C500" i="9"/>
  <c r="C500" i="8"/>
  <c r="D502" i="15"/>
  <c r="F502" i="15" s="1"/>
  <c r="D502" i="14"/>
  <c r="F502" i="14" s="1"/>
  <c r="D502" i="11"/>
  <c r="F502" i="11" s="1"/>
  <c r="D502" i="8"/>
  <c r="D502" i="9"/>
  <c r="F504" i="1"/>
  <c r="J504" i="1" s="1"/>
  <c r="D504" i="14"/>
  <c r="F504" i="14" s="1"/>
  <c r="D504" i="15"/>
  <c r="F504" i="15" s="1"/>
  <c r="D504" i="11"/>
  <c r="F504" i="11" s="1"/>
  <c r="D504" i="8"/>
  <c r="D504" i="9"/>
  <c r="F507" i="1"/>
  <c r="G507" i="1" s="1"/>
  <c r="D507" i="15"/>
  <c r="F507" i="15" s="1"/>
  <c r="D507" i="14"/>
  <c r="F507" i="14" s="1"/>
  <c r="D507" i="11"/>
  <c r="F507" i="11" s="1"/>
  <c r="D507" i="9"/>
  <c r="D507" i="8"/>
  <c r="B510" i="15"/>
  <c r="B510" i="14"/>
  <c r="B510" i="9"/>
  <c r="B510" i="8"/>
  <c r="B510" i="11"/>
  <c r="D512" i="15"/>
  <c r="F512" i="15" s="1"/>
  <c r="D512" i="14"/>
  <c r="F512" i="14" s="1"/>
  <c r="D512" i="11"/>
  <c r="F512" i="11" s="1"/>
  <c r="D512" i="9"/>
  <c r="D512" i="8"/>
  <c r="E517" i="15"/>
  <c r="E517" i="14"/>
  <c r="E517" i="11"/>
  <c r="E517" i="9"/>
  <c r="E517" i="8"/>
  <c r="A520" i="14"/>
  <c r="A520" i="11"/>
  <c r="A520" i="9"/>
  <c r="A520" i="15"/>
  <c r="A520" i="8"/>
  <c r="E522" i="15"/>
  <c r="E522" i="14"/>
  <c r="E522" i="9"/>
  <c r="E522" i="8"/>
  <c r="E522" i="11"/>
  <c r="F525" i="1"/>
  <c r="G525" i="1" s="1"/>
  <c r="D525" i="15"/>
  <c r="F525" i="15" s="1"/>
  <c r="D525" i="11"/>
  <c r="F525" i="11" s="1"/>
  <c r="D525" i="8"/>
  <c r="F525" i="8" s="1"/>
  <c r="G525" i="8" s="1"/>
  <c r="D525" i="14"/>
  <c r="F525" i="14" s="1"/>
  <c r="D525" i="9"/>
  <c r="F525" i="9" s="1"/>
  <c r="C528" i="14"/>
  <c r="C528" i="11"/>
  <c r="C528" i="15"/>
  <c r="C528" i="9"/>
  <c r="C528" i="8"/>
  <c r="B531" i="15"/>
  <c r="B531" i="14"/>
  <c r="B531" i="11"/>
  <c r="B531" i="9"/>
  <c r="B531" i="8"/>
  <c r="B533" i="14"/>
  <c r="B533" i="15"/>
  <c r="B533" i="11"/>
  <c r="B533" i="8"/>
  <c r="B533" i="9"/>
  <c r="D535" i="15"/>
  <c r="F535" i="15" s="1"/>
  <c r="D535" i="14"/>
  <c r="F535" i="14" s="1"/>
  <c r="D535" i="11"/>
  <c r="F535" i="11" s="1"/>
  <c r="D535" i="8"/>
  <c r="F535" i="8" s="1"/>
  <c r="G535" i="8" s="1"/>
  <c r="D535" i="9"/>
  <c r="F535" i="9" s="1"/>
  <c r="C538" i="15"/>
  <c r="C538" i="14"/>
  <c r="C538" i="11"/>
  <c r="C538" i="8"/>
  <c r="C538" i="9"/>
  <c r="C541" i="15"/>
  <c r="C541" i="14"/>
  <c r="C541" i="11"/>
  <c r="C541" i="9"/>
  <c r="C541" i="8"/>
  <c r="F543" i="1"/>
  <c r="G543" i="1" s="1"/>
  <c r="D543" i="15"/>
  <c r="F543" i="15" s="1"/>
  <c r="D543" i="14"/>
  <c r="F543" i="14" s="1"/>
  <c r="D543" i="11"/>
  <c r="F543" i="11" s="1"/>
  <c r="D543" i="9"/>
  <c r="F543" i="9" s="1"/>
  <c r="D543" i="8"/>
  <c r="F543" i="8" s="1"/>
  <c r="G543" i="8" s="1"/>
  <c r="B555" i="15"/>
  <c r="B555" i="14"/>
  <c r="B555" i="11"/>
  <c r="B555" i="9"/>
  <c r="B555" i="8"/>
  <c r="A558" i="14"/>
  <c r="A558" i="11"/>
  <c r="A558" i="15"/>
  <c r="A558" i="9"/>
  <c r="A558" i="8"/>
  <c r="E560" i="15"/>
  <c r="E560" i="11"/>
  <c r="E560" i="14"/>
  <c r="E560" i="8"/>
  <c r="E560" i="9"/>
  <c r="B562" i="14"/>
  <c r="B562" i="11"/>
  <c r="B562" i="15"/>
  <c r="B562" i="9"/>
  <c r="B562" i="8"/>
  <c r="D564" i="15"/>
  <c r="F564" i="15" s="1"/>
  <c r="D564" i="14"/>
  <c r="F564" i="14" s="1"/>
  <c r="D564" i="11"/>
  <c r="F564" i="11" s="1"/>
  <c r="D564" i="8"/>
  <c r="F564" i="8" s="1"/>
  <c r="G564" i="8" s="1"/>
  <c r="D564" i="9"/>
  <c r="F564" i="9" s="1"/>
  <c r="A567" i="15"/>
  <c r="A567" i="14"/>
  <c r="A567" i="11"/>
  <c r="A567" i="8"/>
  <c r="A567" i="9"/>
  <c r="E569" i="15"/>
  <c r="E569" i="11"/>
  <c r="E569" i="14"/>
  <c r="E569" i="8"/>
  <c r="E569" i="9"/>
  <c r="B572" i="15"/>
  <c r="B572" i="14"/>
  <c r="B572" i="11"/>
  <c r="B572" i="8"/>
  <c r="B572" i="9"/>
  <c r="F574" i="1"/>
  <c r="E577" i="15"/>
  <c r="E577" i="14"/>
  <c r="E577" i="11"/>
  <c r="E577" i="8"/>
  <c r="E577" i="9"/>
  <c r="E579" i="15"/>
  <c r="E579" i="14"/>
  <c r="E579" i="11"/>
  <c r="E579" i="8"/>
  <c r="E579" i="9"/>
  <c r="E581" i="15"/>
  <c r="E581" i="11"/>
  <c r="E581" i="14"/>
  <c r="E581" i="8"/>
  <c r="E581" i="9"/>
  <c r="C584" i="14"/>
  <c r="C584" i="15"/>
  <c r="C584" i="11"/>
  <c r="C584" i="9"/>
  <c r="C584" i="8"/>
  <c r="C586" i="15"/>
  <c r="C586" i="14"/>
  <c r="C586" i="11"/>
  <c r="C586" i="9"/>
  <c r="C586" i="8"/>
  <c r="A590" i="15"/>
  <c r="A590" i="14"/>
  <c r="A590" i="11"/>
  <c r="A590" i="9"/>
  <c r="A590" i="8"/>
  <c r="D592" i="15"/>
  <c r="F592" i="15" s="1"/>
  <c r="D592" i="14"/>
  <c r="F592" i="14" s="1"/>
  <c r="D592" i="9"/>
  <c r="F592" i="9" s="1"/>
  <c r="D592" i="8"/>
  <c r="F592" i="8" s="1"/>
  <c r="G592" i="8" s="1"/>
  <c r="D592" i="11"/>
  <c r="F592" i="11" s="1"/>
  <c r="B595" i="15"/>
  <c r="B595" i="14"/>
  <c r="B595" i="9"/>
  <c r="B595" i="8"/>
  <c r="B595" i="11"/>
  <c r="B598" i="15"/>
  <c r="B598" i="14"/>
  <c r="B598" i="11"/>
  <c r="B598" i="8"/>
  <c r="B598" i="9"/>
  <c r="C600" i="14"/>
  <c r="C600" i="15"/>
  <c r="C600" i="11"/>
  <c r="C600" i="8"/>
  <c r="C600" i="9"/>
  <c r="A603" i="15"/>
  <c r="A603" i="14"/>
  <c r="A603" i="11"/>
  <c r="A603" i="9"/>
  <c r="A603" i="8"/>
  <c r="E604" i="15"/>
  <c r="E604" i="14"/>
  <c r="E604" i="11"/>
  <c r="E604" i="8"/>
  <c r="E604" i="9"/>
  <c r="F609" i="1"/>
  <c r="H609" i="1" s="1"/>
  <c r="D609" i="15"/>
  <c r="F609" i="15" s="1"/>
  <c r="D609" i="14"/>
  <c r="F609" i="14" s="1"/>
  <c r="D609" i="9"/>
  <c r="F609" i="9" s="1"/>
  <c r="D609" i="8"/>
  <c r="F609" i="8" s="1"/>
  <c r="G609" i="8" s="1"/>
  <c r="D609" i="11"/>
  <c r="F609" i="11" s="1"/>
  <c r="F612" i="1"/>
  <c r="H612" i="1" s="1"/>
  <c r="D612" i="15"/>
  <c r="F612" i="15" s="1"/>
  <c r="D612" i="14"/>
  <c r="F612" i="14" s="1"/>
  <c r="D612" i="11"/>
  <c r="F612" i="11" s="1"/>
  <c r="D612" i="8"/>
  <c r="F612" i="8" s="1"/>
  <c r="G612" i="8" s="1"/>
  <c r="D612" i="9"/>
  <c r="F612" i="9" s="1"/>
  <c r="E618" i="14"/>
  <c r="E618" i="15"/>
  <c r="E618" i="11"/>
  <c r="E618" i="9"/>
  <c r="E618" i="8"/>
  <c r="F621" i="1"/>
  <c r="G621" i="1" s="1"/>
  <c r="E624" i="15"/>
  <c r="E624" i="14"/>
  <c r="E624" i="11"/>
  <c r="E624" i="9"/>
  <c r="E624" i="8"/>
  <c r="A630" i="15"/>
  <c r="A630" i="14"/>
  <c r="A630" i="11"/>
  <c r="A630" i="8"/>
  <c r="A630" i="9"/>
  <c r="A633" i="14"/>
  <c r="A633" i="15"/>
  <c r="A633" i="9"/>
  <c r="A633" i="8"/>
  <c r="A633" i="11"/>
  <c r="E635" i="14"/>
  <c r="E635" i="15"/>
  <c r="E635" i="11"/>
  <c r="E635" i="9"/>
  <c r="E635" i="8"/>
  <c r="C637" i="15"/>
  <c r="C637" i="14"/>
  <c r="C637" i="9"/>
  <c r="C637" i="8"/>
  <c r="C637" i="11"/>
  <c r="C640" i="15"/>
  <c r="C640" i="14"/>
  <c r="C640" i="9"/>
  <c r="C640" i="8"/>
  <c r="C640" i="11"/>
  <c r="A643" i="15"/>
  <c r="A643" i="14"/>
  <c r="A643" i="11"/>
  <c r="A643" i="9"/>
  <c r="A643" i="8"/>
  <c r="A645" i="15"/>
  <c r="A645" i="14"/>
  <c r="A645" i="8"/>
  <c r="A645" i="9"/>
  <c r="A645" i="11"/>
  <c r="F647" i="1"/>
  <c r="D647" i="15"/>
  <c r="F647" i="15" s="1"/>
  <c r="D647" i="14"/>
  <c r="F647" i="14" s="1"/>
  <c r="D647" i="11"/>
  <c r="F647" i="11" s="1"/>
  <c r="D647" i="8"/>
  <c r="F647" i="8" s="1"/>
  <c r="G647" i="8" s="1"/>
  <c r="D647" i="9"/>
  <c r="F647" i="9" s="1"/>
  <c r="C650" i="15"/>
  <c r="C650" i="14"/>
  <c r="C650" i="11"/>
  <c r="C650" i="9"/>
  <c r="C650" i="8"/>
  <c r="F652" i="1"/>
  <c r="G652" i="1" s="1"/>
  <c r="D652" i="14"/>
  <c r="F652" i="14" s="1"/>
  <c r="D652" i="11"/>
  <c r="F652" i="11" s="1"/>
  <c r="D652" i="9"/>
  <c r="F652" i="9" s="1"/>
  <c r="D652" i="8"/>
  <c r="F652" i="8" s="1"/>
  <c r="G652" i="8" s="1"/>
  <c r="D652" i="15"/>
  <c r="F652" i="15" s="1"/>
  <c r="D655" i="15"/>
  <c r="F655" i="15" s="1"/>
  <c r="D655" i="14"/>
  <c r="F655" i="14" s="1"/>
  <c r="D655" i="11"/>
  <c r="F655" i="11" s="1"/>
  <c r="D655" i="9"/>
  <c r="F655" i="9" s="1"/>
  <c r="D655" i="8"/>
  <c r="F655" i="8" s="1"/>
  <c r="G655" i="8" s="1"/>
  <c r="F657" i="1"/>
  <c r="H657" i="1" s="1"/>
  <c r="E661" i="15"/>
  <c r="E661" i="14"/>
  <c r="E661" i="9"/>
  <c r="E661" i="11"/>
  <c r="E661" i="8"/>
  <c r="F664" i="1"/>
  <c r="D664" i="15"/>
  <c r="F664" i="15" s="1"/>
  <c r="D664" i="14"/>
  <c r="F664" i="14" s="1"/>
  <c r="D664" i="11"/>
  <c r="F664" i="11" s="1"/>
  <c r="D664" i="9"/>
  <c r="F664" i="9" s="1"/>
  <c r="D664" i="8"/>
  <c r="F664" i="8" s="1"/>
  <c r="G664" i="8" s="1"/>
  <c r="B667" i="15"/>
  <c r="B667" i="14"/>
  <c r="B667" i="11"/>
  <c r="B667" i="9"/>
  <c r="B667" i="8"/>
  <c r="A675" i="14"/>
  <c r="A675" i="11"/>
  <c r="A675" i="15"/>
  <c r="A675" i="8"/>
  <c r="A675" i="9"/>
  <c r="D677" i="15"/>
  <c r="F677" i="15" s="1"/>
  <c r="D677" i="14"/>
  <c r="F677" i="14" s="1"/>
  <c r="D677" i="11"/>
  <c r="F677" i="11" s="1"/>
  <c r="D677" i="9"/>
  <c r="F677" i="9" s="1"/>
  <c r="D677" i="8"/>
  <c r="F677" i="8" s="1"/>
  <c r="G677" i="8" s="1"/>
  <c r="A680" i="14"/>
  <c r="A680" i="11"/>
  <c r="A680" i="15"/>
  <c r="A680" i="9"/>
  <c r="A680" i="8"/>
  <c r="F682" i="1"/>
  <c r="H682" i="1" s="1"/>
  <c r="A685" i="15"/>
  <c r="A685" i="14"/>
  <c r="A685" i="11"/>
  <c r="A685" i="9"/>
  <c r="A685" i="8"/>
  <c r="E686" i="15"/>
  <c r="E686" i="14"/>
  <c r="E686" i="11"/>
  <c r="E686" i="8"/>
  <c r="E686" i="9"/>
  <c r="B689" i="15"/>
  <c r="B689" i="14"/>
  <c r="B689" i="11"/>
  <c r="B689" i="9"/>
  <c r="B689" i="8"/>
  <c r="E696" i="15"/>
  <c r="E696" i="11"/>
  <c r="E696" i="9"/>
  <c r="E696" i="14"/>
  <c r="E696" i="8"/>
  <c r="A700" i="15"/>
  <c r="A700" i="14"/>
  <c r="A700" i="11"/>
  <c r="A700" i="8"/>
  <c r="A700" i="9"/>
  <c r="B704" i="15"/>
  <c r="B704" i="11"/>
  <c r="B704" i="14"/>
  <c r="B704" i="8"/>
  <c r="B704" i="9"/>
  <c r="B706" i="15"/>
  <c r="B706" i="14"/>
  <c r="B706" i="11"/>
  <c r="B706" i="9"/>
  <c r="B706" i="8"/>
  <c r="D708" i="14"/>
  <c r="F708" i="14" s="1"/>
  <c r="D708" i="15"/>
  <c r="F708" i="15" s="1"/>
  <c r="D708" i="11"/>
  <c r="F708" i="11" s="1"/>
  <c r="D708" i="9"/>
  <c r="F708" i="9" s="1"/>
  <c r="D708" i="8"/>
  <c r="F708" i="8" s="1"/>
  <c r="G708" i="8" s="1"/>
  <c r="C710" i="15"/>
  <c r="C710" i="14"/>
  <c r="C710" i="11"/>
  <c r="C710" i="9"/>
  <c r="C710" i="8"/>
  <c r="B713" i="15"/>
  <c r="B713" i="14"/>
  <c r="B713" i="9"/>
  <c r="B713" i="8"/>
  <c r="B713" i="11"/>
  <c r="C718" i="15"/>
  <c r="C718" i="14"/>
  <c r="C718" i="11"/>
  <c r="C718" i="8"/>
  <c r="C718" i="9"/>
  <c r="B721" i="15"/>
  <c r="B721" i="14"/>
  <c r="B721" i="11"/>
  <c r="B721" i="9"/>
  <c r="B721" i="8"/>
  <c r="F723" i="1"/>
  <c r="C728" i="15"/>
  <c r="C728" i="14"/>
  <c r="C728" i="9"/>
  <c r="C728" i="11"/>
  <c r="C728" i="8"/>
  <c r="C731" i="15"/>
  <c r="C731" i="11"/>
  <c r="C731" i="14"/>
  <c r="C731" i="9"/>
  <c r="C731" i="8"/>
  <c r="D733" i="15"/>
  <c r="F733" i="15" s="1"/>
  <c r="D733" i="14"/>
  <c r="F733" i="14" s="1"/>
  <c r="D733" i="11"/>
  <c r="F733" i="11" s="1"/>
  <c r="D733" i="9"/>
  <c r="F733" i="9" s="1"/>
  <c r="D733" i="8"/>
  <c r="F733" i="8" s="1"/>
  <c r="G733" i="8" s="1"/>
  <c r="B736" i="15"/>
  <c r="B736" i="14"/>
  <c r="B736" i="8"/>
  <c r="B736" i="9"/>
  <c r="B736" i="11"/>
  <c r="D738" i="15"/>
  <c r="F738" i="15" s="1"/>
  <c r="D738" i="14"/>
  <c r="F738" i="14" s="1"/>
  <c r="D738" i="11"/>
  <c r="F738" i="11" s="1"/>
  <c r="D738" i="9"/>
  <c r="F738" i="9" s="1"/>
  <c r="D738" i="8"/>
  <c r="F738" i="8" s="1"/>
  <c r="G738" i="8" s="1"/>
  <c r="C741" i="15"/>
  <c r="C741" i="14"/>
  <c r="C741" i="11"/>
  <c r="C741" i="9"/>
  <c r="C741" i="8"/>
  <c r="D743" i="15"/>
  <c r="F743" i="15" s="1"/>
  <c r="D743" i="14"/>
  <c r="F743" i="14" s="1"/>
  <c r="D743" i="11"/>
  <c r="F743" i="11" s="1"/>
  <c r="D743" i="9"/>
  <c r="F743" i="9" s="1"/>
  <c r="D743" i="8"/>
  <c r="F743" i="8" s="1"/>
  <c r="G743" i="8" s="1"/>
  <c r="A745" i="15"/>
  <c r="A745" i="14"/>
  <c r="A745" i="9"/>
  <c r="A745" i="11"/>
  <c r="A745" i="8"/>
  <c r="E747" i="15"/>
  <c r="E747" i="14"/>
  <c r="E747" i="11"/>
  <c r="E747" i="8"/>
  <c r="E747" i="9"/>
  <c r="A754" i="15"/>
  <c r="A754" i="14"/>
  <c r="A754" i="11"/>
  <c r="A754" i="9"/>
  <c r="A754" i="8"/>
  <c r="C756" i="15"/>
  <c r="C756" i="14"/>
  <c r="C756" i="9"/>
  <c r="C756" i="11"/>
  <c r="C756" i="8"/>
  <c r="C759" i="15"/>
  <c r="C759" i="14"/>
  <c r="C759" i="11"/>
  <c r="C759" i="8"/>
  <c r="C759" i="9"/>
  <c r="B762" i="15"/>
  <c r="B762" i="14"/>
  <c r="B762" i="11"/>
  <c r="B762" i="9"/>
  <c r="B762" i="8"/>
  <c r="A768" i="15"/>
  <c r="A768" i="14"/>
  <c r="A768" i="11"/>
  <c r="A768" i="8"/>
  <c r="A768" i="9"/>
  <c r="B770" i="15"/>
  <c r="B770" i="14"/>
  <c r="B770" i="11"/>
  <c r="B770" i="8"/>
  <c r="B770" i="9"/>
  <c r="C773" i="15"/>
  <c r="C773" i="14"/>
  <c r="C773" i="11"/>
  <c r="C773" i="8"/>
  <c r="C773" i="9"/>
  <c r="B777" i="14"/>
  <c r="B777" i="15"/>
  <c r="B777" i="9"/>
  <c r="B777" i="8"/>
  <c r="B777" i="11"/>
  <c r="E778" i="15"/>
  <c r="E778" i="14"/>
  <c r="E778" i="11"/>
  <c r="E778" i="9"/>
  <c r="E778" i="8"/>
  <c r="A781" i="14"/>
  <c r="A781" i="15"/>
  <c r="A781" i="11"/>
  <c r="A781" i="9"/>
  <c r="A781" i="8"/>
  <c r="F783" i="1"/>
  <c r="J783" i="1" s="1"/>
  <c r="D783" i="15"/>
  <c r="F783" i="15" s="1"/>
  <c r="D783" i="14"/>
  <c r="F783" i="14" s="1"/>
  <c r="D783" i="9"/>
  <c r="F783" i="9" s="1"/>
  <c r="D783" i="11"/>
  <c r="F783" i="11" s="1"/>
  <c r="D783" i="8"/>
  <c r="F783" i="8" s="1"/>
  <c r="G783" i="8" s="1"/>
  <c r="E786" i="15"/>
  <c r="E786" i="14"/>
  <c r="E786" i="9"/>
  <c r="E786" i="11"/>
  <c r="E786" i="8"/>
  <c r="C789" i="14"/>
  <c r="C789" i="11"/>
  <c r="C789" i="9"/>
  <c r="C789" i="15"/>
  <c r="C789" i="8"/>
  <c r="B794" i="14"/>
  <c r="B794" i="15"/>
  <c r="B794" i="11"/>
  <c r="B794" i="8"/>
  <c r="B794" i="9"/>
  <c r="D796" i="15"/>
  <c r="F796" i="15" s="1"/>
  <c r="D796" i="14"/>
  <c r="F796" i="14" s="1"/>
  <c r="D796" i="11"/>
  <c r="F796" i="11" s="1"/>
  <c r="D796" i="8"/>
  <c r="F796" i="8" s="1"/>
  <c r="G796" i="8" s="1"/>
  <c r="D796" i="9"/>
  <c r="F796" i="9" s="1"/>
  <c r="C798" i="15"/>
  <c r="C798" i="14"/>
  <c r="C798" i="11"/>
  <c r="C798" i="8"/>
  <c r="C798" i="9"/>
  <c r="F803" i="1"/>
  <c r="D803" i="14"/>
  <c r="F803" i="14" s="1"/>
  <c r="D803" i="15"/>
  <c r="F803" i="15" s="1"/>
  <c r="D803" i="11"/>
  <c r="F803" i="11" s="1"/>
  <c r="D803" i="9"/>
  <c r="F803" i="9" s="1"/>
  <c r="D803" i="8"/>
  <c r="F803" i="8" s="1"/>
  <c r="G803" i="8" s="1"/>
  <c r="B808" i="14"/>
  <c r="B808" i="11"/>
  <c r="B808" i="15"/>
  <c r="B808" i="9"/>
  <c r="B808" i="8"/>
  <c r="F810" i="1"/>
  <c r="G810" i="1" s="1"/>
  <c r="D810" i="11"/>
  <c r="F810" i="11" s="1"/>
  <c r="D810" i="14"/>
  <c r="F810" i="14" s="1"/>
  <c r="D810" i="15"/>
  <c r="F810" i="15" s="1"/>
  <c r="D810" i="9"/>
  <c r="F810" i="9" s="1"/>
  <c r="D810" i="8"/>
  <c r="F810" i="8" s="1"/>
  <c r="G810" i="8" s="1"/>
  <c r="F815" i="1"/>
  <c r="G815" i="1" s="1"/>
  <c r="D815" i="15"/>
  <c r="F815" i="15" s="1"/>
  <c r="D815" i="14"/>
  <c r="F815" i="14" s="1"/>
  <c r="D815" i="11"/>
  <c r="F815" i="11" s="1"/>
  <c r="D815" i="9"/>
  <c r="F815" i="9" s="1"/>
  <c r="D815" i="8"/>
  <c r="F815" i="8" s="1"/>
  <c r="G815" i="8" s="1"/>
  <c r="D818" i="15"/>
  <c r="F818" i="15" s="1"/>
  <c r="D818" i="14"/>
  <c r="F818" i="14" s="1"/>
  <c r="D818" i="11"/>
  <c r="F818" i="11" s="1"/>
  <c r="D818" i="9"/>
  <c r="F818" i="9" s="1"/>
  <c r="D818" i="8"/>
  <c r="F818" i="8" s="1"/>
  <c r="G818" i="8" s="1"/>
  <c r="F825" i="1"/>
  <c r="G825" i="1" s="1"/>
  <c r="D825" i="14"/>
  <c r="F825" i="14" s="1"/>
  <c r="D825" i="15"/>
  <c r="F825" i="15" s="1"/>
  <c r="D825" i="11"/>
  <c r="F825" i="11" s="1"/>
  <c r="D825" i="9"/>
  <c r="F825" i="9" s="1"/>
  <c r="D825" i="8"/>
  <c r="F825" i="8" s="1"/>
  <c r="G825" i="8" s="1"/>
  <c r="B828" i="15"/>
  <c r="B828" i="14"/>
  <c r="B828" i="11"/>
  <c r="B828" i="8"/>
  <c r="B828" i="9"/>
  <c r="B834" i="14"/>
  <c r="B834" i="11"/>
  <c r="B834" i="15"/>
  <c r="B834" i="8"/>
  <c r="B834" i="9"/>
  <c r="D836" i="15"/>
  <c r="F836" i="15" s="1"/>
  <c r="D836" i="14"/>
  <c r="F836" i="14" s="1"/>
  <c r="D836" i="11"/>
  <c r="F836" i="11" s="1"/>
  <c r="D836" i="9"/>
  <c r="F836" i="9" s="1"/>
  <c r="D836" i="8"/>
  <c r="F836" i="8" s="1"/>
  <c r="G836" i="8" s="1"/>
  <c r="C839" i="15"/>
  <c r="C839" i="14"/>
  <c r="C839" i="9"/>
  <c r="C839" i="11"/>
  <c r="C839" i="8"/>
  <c r="A842" i="14"/>
  <c r="A842" i="15"/>
  <c r="A842" i="11"/>
  <c r="A842" i="9"/>
  <c r="A842" i="8"/>
  <c r="C844" i="15"/>
  <c r="C844" i="11"/>
  <c r="C844" i="9"/>
  <c r="C844" i="14"/>
  <c r="C844" i="8"/>
  <c r="C847" i="15"/>
  <c r="C847" i="14"/>
  <c r="C847" i="9"/>
  <c r="C847" i="11"/>
  <c r="C847" i="8"/>
  <c r="E849" i="15"/>
  <c r="E849" i="14"/>
  <c r="E849" i="11"/>
  <c r="E849" i="8"/>
  <c r="E849" i="9"/>
  <c r="C852" i="15"/>
  <c r="C852" i="14"/>
  <c r="C852" i="11"/>
  <c r="C852" i="8"/>
  <c r="C852" i="9"/>
  <c r="F857" i="1"/>
  <c r="D857" i="15"/>
  <c r="F857" i="15" s="1"/>
  <c r="D857" i="14"/>
  <c r="F857" i="14" s="1"/>
  <c r="D857" i="8"/>
  <c r="F857" i="8" s="1"/>
  <c r="G857" i="8" s="1"/>
  <c r="D857" i="11"/>
  <c r="F857" i="11" s="1"/>
  <c r="D857" i="9"/>
  <c r="F857" i="9" s="1"/>
  <c r="E64" i="15"/>
  <c r="E64" i="14"/>
  <c r="E64" i="11"/>
  <c r="E64" i="9"/>
  <c r="E64" i="8"/>
  <c r="B127" i="15"/>
  <c r="B127" i="14"/>
  <c r="B127" i="11"/>
  <c r="B127" i="9"/>
  <c r="B127" i="8"/>
  <c r="C151" i="15"/>
  <c r="C151" i="14"/>
  <c r="C151" i="11"/>
  <c r="C151" i="8"/>
  <c r="C151" i="9"/>
  <c r="E174" i="15"/>
  <c r="E174" i="14"/>
  <c r="E174" i="11"/>
  <c r="E174" i="9"/>
  <c r="E174" i="8"/>
  <c r="B196" i="15"/>
  <c r="B196" i="14"/>
  <c r="B196" i="11"/>
  <c r="B196" i="9"/>
  <c r="B196" i="8"/>
  <c r="C214" i="15"/>
  <c r="C214" i="11"/>
  <c r="C214" i="14"/>
  <c r="C214" i="9"/>
  <c r="C214" i="8"/>
  <c r="A237" i="15"/>
  <c r="A237" i="14"/>
  <c r="A237" i="11"/>
  <c r="A237" i="8"/>
  <c r="A237" i="9"/>
  <c r="A263" i="15"/>
  <c r="A263" i="14"/>
  <c r="A263" i="11"/>
  <c r="A263" i="9"/>
  <c r="A263" i="8"/>
  <c r="A287" i="15"/>
  <c r="A287" i="11"/>
  <c r="A287" i="14"/>
  <c r="A287" i="9"/>
  <c r="A287" i="8"/>
  <c r="A309" i="15"/>
  <c r="A309" i="14"/>
  <c r="A309" i="11"/>
  <c r="A309" i="8"/>
  <c r="A309" i="9"/>
  <c r="A326" i="14"/>
  <c r="A326" i="15"/>
  <c r="A326" i="9"/>
  <c r="A326" i="11"/>
  <c r="A326" i="8"/>
  <c r="C343" i="15"/>
  <c r="C343" i="14"/>
  <c r="C343" i="11"/>
  <c r="C343" i="9"/>
  <c r="C343" i="8"/>
  <c r="B426" i="14"/>
  <c r="B426" i="15"/>
  <c r="B426" i="9"/>
  <c r="B426" i="8"/>
  <c r="B426" i="11"/>
  <c r="F444" i="1"/>
  <c r="H444" i="1" s="1"/>
  <c r="D444" i="14"/>
  <c r="F444" i="14" s="1"/>
  <c r="D444" i="15"/>
  <c r="F444" i="15" s="1"/>
  <c r="D444" i="11"/>
  <c r="F444" i="11" s="1"/>
  <c r="D444" i="9"/>
  <c r="D444" i="8"/>
  <c r="A463" i="15"/>
  <c r="A463" i="14"/>
  <c r="A463" i="11"/>
  <c r="A463" i="8"/>
  <c r="A463" i="9"/>
  <c r="C486" i="15"/>
  <c r="C486" i="14"/>
  <c r="C486" i="11"/>
  <c r="C486" i="9"/>
  <c r="C486" i="8"/>
  <c r="E508" i="15"/>
  <c r="E508" i="14"/>
  <c r="E508" i="9"/>
  <c r="E508" i="8"/>
  <c r="E508" i="11"/>
  <c r="C526" i="15"/>
  <c r="C526" i="14"/>
  <c r="C526" i="11"/>
  <c r="C526" i="9"/>
  <c r="C526" i="8"/>
  <c r="F548" i="1"/>
  <c r="H548" i="1" s="1"/>
  <c r="D548" i="15"/>
  <c r="F548" i="15" s="1"/>
  <c r="D548" i="14"/>
  <c r="F548" i="14" s="1"/>
  <c r="D548" i="9"/>
  <c r="F548" i="9" s="1"/>
  <c r="D548" i="8"/>
  <c r="F548" i="8" s="1"/>
  <c r="G548" i="8" s="1"/>
  <c r="D548" i="11"/>
  <c r="F548" i="11" s="1"/>
  <c r="F570" i="1"/>
  <c r="G570" i="1" s="1"/>
  <c r="D570" i="15"/>
  <c r="F570" i="15" s="1"/>
  <c r="D570" i="14"/>
  <c r="F570" i="14" s="1"/>
  <c r="D570" i="9"/>
  <c r="F570" i="9" s="1"/>
  <c r="D570" i="11"/>
  <c r="F570" i="11" s="1"/>
  <c r="D570" i="8"/>
  <c r="F570" i="8" s="1"/>
  <c r="G570" i="8" s="1"/>
  <c r="A631" i="15"/>
  <c r="A631" i="14"/>
  <c r="A631" i="11"/>
  <c r="A631" i="8"/>
  <c r="A631" i="9"/>
  <c r="F651" i="1"/>
  <c r="D651" i="15"/>
  <c r="F651" i="15" s="1"/>
  <c r="D651" i="14"/>
  <c r="F651" i="14" s="1"/>
  <c r="D651" i="11"/>
  <c r="F651" i="11" s="1"/>
  <c r="D651" i="9"/>
  <c r="F651" i="9" s="1"/>
  <c r="D651" i="8"/>
  <c r="F651" i="8" s="1"/>
  <c r="G651" i="8" s="1"/>
  <c r="A673" i="15"/>
  <c r="A673" i="11"/>
  <c r="A673" i="14"/>
  <c r="A673" i="9"/>
  <c r="A673" i="8"/>
  <c r="A698" i="15"/>
  <c r="A698" i="14"/>
  <c r="A698" i="9"/>
  <c r="A698" i="11"/>
  <c r="A698" i="8"/>
  <c r="B719" i="15"/>
  <c r="B719" i="11"/>
  <c r="B719" i="14"/>
  <c r="B719" i="9"/>
  <c r="B719" i="8"/>
  <c r="C742" i="14"/>
  <c r="C742" i="15"/>
  <c r="C742" i="11"/>
  <c r="C742" i="8"/>
  <c r="C742" i="9"/>
  <c r="A766" i="15"/>
  <c r="A766" i="14"/>
  <c r="A766" i="11"/>
  <c r="A766" i="8"/>
  <c r="A766" i="9"/>
  <c r="E804" i="15"/>
  <c r="E804" i="14"/>
  <c r="E804" i="11"/>
  <c r="E804" i="9"/>
  <c r="E804" i="8"/>
  <c r="C853" i="14"/>
  <c r="C853" i="15"/>
  <c r="C853" i="11"/>
  <c r="C853" i="9"/>
  <c r="C853" i="8"/>
  <c r="E9" i="15"/>
  <c r="E9" i="14"/>
  <c r="E9" i="9"/>
  <c r="E9" i="11"/>
  <c r="E9" i="8"/>
  <c r="C29" i="15"/>
  <c r="C29" i="14"/>
  <c r="C29" i="9"/>
  <c r="C29" i="11"/>
  <c r="C29" i="8"/>
  <c r="A50" i="15"/>
  <c r="A50" i="14"/>
  <c r="A50" i="11"/>
  <c r="A50" i="8"/>
  <c r="A50" i="9"/>
  <c r="B83" i="15"/>
  <c r="B83" i="14"/>
  <c r="B83" i="11"/>
  <c r="B83" i="9"/>
  <c r="B83" i="8"/>
  <c r="D100" i="15"/>
  <c r="F100" i="15" s="1"/>
  <c r="D100" i="11"/>
  <c r="F100" i="11" s="1"/>
  <c r="D100" i="14"/>
  <c r="F100" i="14" s="1"/>
  <c r="D100" i="9"/>
  <c r="D100" i="8"/>
  <c r="C118" i="15"/>
  <c r="C118" i="14"/>
  <c r="C118" i="11"/>
  <c r="C118" i="8"/>
  <c r="C118" i="9"/>
  <c r="B132" i="15"/>
  <c r="B132" i="14"/>
  <c r="B132" i="11"/>
  <c r="B132" i="8"/>
  <c r="B132" i="9"/>
  <c r="D151" i="15"/>
  <c r="F151" i="15" s="1"/>
  <c r="D151" i="14"/>
  <c r="F151" i="14" s="1"/>
  <c r="D151" i="11"/>
  <c r="F151" i="11" s="1"/>
  <c r="D151" i="8"/>
  <c r="D151" i="9"/>
  <c r="E171" i="15"/>
  <c r="E171" i="14"/>
  <c r="E171" i="11"/>
  <c r="E171" i="9"/>
  <c r="E171" i="8"/>
  <c r="C196" i="15"/>
  <c r="C196" i="14"/>
  <c r="C196" i="11"/>
  <c r="C196" i="9"/>
  <c r="C196" i="8"/>
  <c r="B217" i="15"/>
  <c r="B217" i="14"/>
  <c r="B217" i="8"/>
  <c r="B217" i="9"/>
  <c r="B217" i="11"/>
  <c r="A256" i="14"/>
  <c r="A256" i="11"/>
  <c r="A256" i="15"/>
  <c r="A256" i="8"/>
  <c r="A256" i="9"/>
  <c r="A275" i="15"/>
  <c r="A275" i="11"/>
  <c r="A275" i="14"/>
  <c r="A275" i="9"/>
  <c r="A275" i="8"/>
  <c r="D298" i="15"/>
  <c r="F298" i="15" s="1"/>
  <c r="D298" i="11"/>
  <c r="F298" i="11" s="1"/>
  <c r="D298" i="14"/>
  <c r="F298" i="14" s="1"/>
  <c r="D298" i="8"/>
  <c r="D298" i="9"/>
  <c r="B338" i="15"/>
  <c r="B338" i="14"/>
  <c r="B338" i="11"/>
  <c r="B338" i="8"/>
  <c r="B338" i="9"/>
  <c r="A379" i="15"/>
  <c r="A379" i="14"/>
  <c r="A379" i="11"/>
  <c r="A379" i="9"/>
  <c r="A379" i="8"/>
  <c r="A400" i="15"/>
  <c r="A400" i="11"/>
  <c r="A400" i="14"/>
  <c r="A400" i="9"/>
  <c r="A400" i="8"/>
  <c r="A429" i="15"/>
  <c r="A429" i="14"/>
  <c r="A429" i="11"/>
  <c r="A429" i="8"/>
  <c r="A429" i="9"/>
  <c r="B452" i="14"/>
  <c r="B452" i="11"/>
  <c r="B452" i="15"/>
  <c r="B452" i="9"/>
  <c r="B452" i="8"/>
  <c r="B473" i="15"/>
  <c r="B473" i="14"/>
  <c r="B473" i="11"/>
  <c r="B473" i="8"/>
  <c r="B473" i="9"/>
  <c r="A516" i="15"/>
  <c r="A516" i="14"/>
  <c r="A516" i="11"/>
  <c r="A516" i="9"/>
  <c r="A516" i="8"/>
  <c r="B544" i="15"/>
  <c r="B544" i="14"/>
  <c r="B544" i="9"/>
  <c r="B544" i="11"/>
  <c r="B544" i="8"/>
  <c r="A563" i="15"/>
  <c r="A563" i="14"/>
  <c r="A563" i="11"/>
  <c r="A563" i="9"/>
  <c r="A563" i="8"/>
  <c r="A583" i="15"/>
  <c r="A583" i="14"/>
  <c r="A583" i="11"/>
  <c r="A583" i="8"/>
  <c r="A583" i="9"/>
  <c r="B601" i="15"/>
  <c r="B601" i="14"/>
  <c r="B601" i="11"/>
  <c r="B601" i="9"/>
  <c r="B601" i="8"/>
  <c r="E617" i="15"/>
  <c r="E617" i="14"/>
  <c r="E617" i="9"/>
  <c r="E617" i="11"/>
  <c r="E617" i="8"/>
  <c r="E641" i="15"/>
  <c r="E641" i="11"/>
  <c r="E641" i="14"/>
  <c r="E641" i="8"/>
  <c r="E641" i="9"/>
  <c r="C714" i="15"/>
  <c r="C714" i="14"/>
  <c r="C714" i="11"/>
  <c r="C714" i="9"/>
  <c r="C714" i="8"/>
  <c r="C746" i="15"/>
  <c r="C746" i="14"/>
  <c r="C746" i="11"/>
  <c r="C746" i="9"/>
  <c r="C746" i="8"/>
  <c r="E790" i="15"/>
  <c r="E790" i="14"/>
  <c r="E790" i="11"/>
  <c r="E790" i="8"/>
  <c r="E790" i="9"/>
  <c r="F845" i="1"/>
  <c r="G845" i="1" s="1"/>
  <c r="D845" i="15"/>
  <c r="F845" i="15" s="1"/>
  <c r="D845" i="14"/>
  <c r="F845" i="14" s="1"/>
  <c r="D845" i="11"/>
  <c r="F845" i="11" s="1"/>
  <c r="D845" i="9"/>
  <c r="F845" i="9" s="1"/>
  <c r="D845" i="8"/>
  <c r="F845" i="8" s="1"/>
  <c r="G845" i="8" s="1"/>
  <c r="A22" i="15"/>
  <c r="A22" i="11"/>
  <c r="A22" i="14"/>
  <c r="A22" i="8"/>
  <c r="A22" i="9"/>
  <c r="A43" i="15"/>
  <c r="A43" i="14"/>
  <c r="A43" i="11"/>
  <c r="A43" i="8"/>
  <c r="A43" i="9"/>
  <c r="A63" i="15"/>
  <c r="A63" i="14"/>
  <c r="A63" i="11"/>
  <c r="A63" i="8"/>
  <c r="A63" i="9"/>
  <c r="B88" i="15"/>
  <c r="B88" i="14"/>
  <c r="B88" i="11"/>
  <c r="B88" i="8"/>
  <c r="B88" i="9"/>
  <c r="D127" i="15"/>
  <c r="F127" i="15" s="1"/>
  <c r="D127" i="14"/>
  <c r="F127" i="14" s="1"/>
  <c r="D127" i="11"/>
  <c r="F127" i="11" s="1"/>
  <c r="D127" i="8"/>
  <c r="D127" i="9"/>
  <c r="F156" i="1"/>
  <c r="D156" i="15"/>
  <c r="F156" i="15" s="1"/>
  <c r="D156" i="14"/>
  <c r="F156" i="14" s="1"/>
  <c r="D156" i="11"/>
  <c r="F156" i="11" s="1"/>
  <c r="D156" i="9"/>
  <c r="D156" i="8"/>
  <c r="A186" i="15"/>
  <c r="A186" i="14"/>
  <c r="A186" i="11"/>
  <c r="A186" i="9"/>
  <c r="A186" i="8"/>
  <c r="D229" i="15"/>
  <c r="F229" i="15" s="1"/>
  <c r="D229" i="14"/>
  <c r="F229" i="14" s="1"/>
  <c r="D229" i="11"/>
  <c r="F229" i="11" s="1"/>
  <c r="D229" i="8"/>
  <c r="D229" i="9"/>
  <c r="D254" i="15"/>
  <c r="F254" i="15" s="1"/>
  <c r="D254" i="14"/>
  <c r="F254" i="14" s="1"/>
  <c r="D254" i="11"/>
  <c r="F254" i="11" s="1"/>
  <c r="D254" i="9"/>
  <c r="D254" i="8"/>
  <c r="E269" i="15"/>
  <c r="E269" i="14"/>
  <c r="E269" i="11"/>
  <c r="E269" i="8"/>
  <c r="E269" i="9"/>
  <c r="E280" i="15"/>
  <c r="E280" i="14"/>
  <c r="E280" i="11"/>
  <c r="E280" i="9"/>
  <c r="E280" i="8"/>
  <c r="B290" i="14"/>
  <c r="B290" i="15"/>
  <c r="B290" i="11"/>
  <c r="B290" i="9"/>
  <c r="B290" i="8"/>
  <c r="D331" i="15"/>
  <c r="F331" i="15" s="1"/>
  <c r="D331" i="14"/>
  <c r="F331" i="14" s="1"/>
  <c r="D331" i="11"/>
  <c r="F331" i="11" s="1"/>
  <c r="D331" i="9"/>
  <c r="D331" i="8"/>
  <c r="B358" i="15"/>
  <c r="B358" i="14"/>
  <c r="B358" i="11"/>
  <c r="B358" i="8"/>
  <c r="B358" i="9"/>
  <c r="B382" i="15"/>
  <c r="B382" i="14"/>
  <c r="B382" i="11"/>
  <c r="B382" i="9"/>
  <c r="B382" i="8"/>
  <c r="C404" i="15"/>
  <c r="C404" i="14"/>
  <c r="C404" i="11"/>
  <c r="C404" i="8"/>
  <c r="C404" i="9"/>
  <c r="A422" i="15"/>
  <c r="A422" i="11"/>
  <c r="A422" i="9"/>
  <c r="A422" i="14"/>
  <c r="A422" i="8"/>
  <c r="B477" i="15"/>
  <c r="B477" i="14"/>
  <c r="B477" i="11"/>
  <c r="B477" i="9"/>
  <c r="B477" i="8"/>
  <c r="A506" i="15"/>
  <c r="A506" i="14"/>
  <c r="A506" i="11"/>
  <c r="A506" i="9"/>
  <c r="A506" i="8"/>
  <c r="E529" i="15"/>
  <c r="E529" i="14"/>
  <c r="E529" i="11"/>
  <c r="E529" i="9"/>
  <c r="E529" i="8"/>
  <c r="A549" i="14"/>
  <c r="A549" i="15"/>
  <c r="A549" i="9"/>
  <c r="A549" i="8"/>
  <c r="A549" i="11"/>
  <c r="B563" i="15"/>
  <c r="B563" i="14"/>
  <c r="B563" i="11"/>
  <c r="B563" i="9"/>
  <c r="B563" i="8"/>
  <c r="B585" i="15"/>
  <c r="B585" i="14"/>
  <c r="B585" i="11"/>
  <c r="B585" i="9"/>
  <c r="B585" i="8"/>
  <c r="C628" i="15"/>
  <c r="C628" i="14"/>
  <c r="C628" i="11"/>
  <c r="C628" i="8"/>
  <c r="C628" i="9"/>
  <c r="A654" i="15"/>
  <c r="A654" i="14"/>
  <c r="A654" i="11"/>
  <c r="A654" i="9"/>
  <c r="A654" i="8"/>
  <c r="A679" i="14"/>
  <c r="A679" i="15"/>
  <c r="A679" i="11"/>
  <c r="A679" i="9"/>
  <c r="A679" i="8"/>
  <c r="D707" i="15"/>
  <c r="F707" i="15" s="1"/>
  <c r="D707" i="14"/>
  <c r="F707" i="14" s="1"/>
  <c r="D707" i="11"/>
  <c r="F707" i="11" s="1"/>
  <c r="D707" i="8"/>
  <c r="F707" i="8" s="1"/>
  <c r="G707" i="8" s="1"/>
  <c r="D707" i="9"/>
  <c r="F707" i="9" s="1"/>
  <c r="B732" i="15"/>
  <c r="B732" i="14"/>
  <c r="B732" i="11"/>
  <c r="B732" i="8"/>
  <c r="B732" i="9"/>
  <c r="A755" i="15"/>
  <c r="A755" i="11"/>
  <c r="A755" i="14"/>
  <c r="A755" i="8"/>
  <c r="A755" i="9"/>
  <c r="C769" i="15"/>
  <c r="C769" i="14"/>
  <c r="C769" i="9"/>
  <c r="C769" i="11"/>
  <c r="C769" i="8"/>
  <c r="C843" i="14"/>
  <c r="C843" i="15"/>
  <c r="C843" i="11"/>
  <c r="C843" i="9"/>
  <c r="C843" i="8"/>
  <c r="B22" i="15"/>
  <c r="B22" i="14"/>
  <c r="B22" i="11"/>
  <c r="B22" i="8"/>
  <c r="B22" i="9"/>
  <c r="B37" i="14"/>
  <c r="B37" i="15"/>
  <c r="B37" i="9"/>
  <c r="B37" i="8"/>
  <c r="B37" i="11"/>
  <c r="F83" i="1"/>
  <c r="I83" i="1" s="1"/>
  <c r="D83" i="15"/>
  <c r="F83" i="15" s="1"/>
  <c r="D83" i="14"/>
  <c r="F83" i="14" s="1"/>
  <c r="D83" i="11"/>
  <c r="F83" i="11" s="1"/>
  <c r="D83" i="9"/>
  <c r="D83" i="8"/>
  <c r="B106" i="15"/>
  <c r="B106" i="14"/>
  <c r="B106" i="11"/>
  <c r="B106" i="9"/>
  <c r="B106" i="8"/>
  <c r="B123" i="15"/>
  <c r="B123" i="14"/>
  <c r="B123" i="11"/>
  <c r="B123" i="9"/>
  <c r="B123" i="8"/>
  <c r="A145" i="15"/>
  <c r="A145" i="9"/>
  <c r="A145" i="14"/>
  <c r="A145" i="11"/>
  <c r="A145" i="8"/>
  <c r="E161" i="15"/>
  <c r="E161" i="14"/>
  <c r="E161" i="9"/>
  <c r="E161" i="8"/>
  <c r="E161" i="11"/>
  <c r="B183" i="15"/>
  <c r="B183" i="14"/>
  <c r="B183" i="11"/>
  <c r="B183" i="8"/>
  <c r="B183" i="9"/>
  <c r="F203" i="1"/>
  <c r="G203" i="1" s="1"/>
  <c r="D203" i="15"/>
  <c r="F203" i="15" s="1"/>
  <c r="D203" i="14"/>
  <c r="F203" i="14" s="1"/>
  <c r="D203" i="9"/>
  <c r="D203" i="11"/>
  <c r="F203" i="11" s="1"/>
  <c r="D203" i="8"/>
  <c r="A235" i="15"/>
  <c r="A235" i="11"/>
  <c r="A235" i="14"/>
  <c r="A235" i="8"/>
  <c r="A235" i="9"/>
  <c r="C278" i="15"/>
  <c r="C278" i="14"/>
  <c r="C278" i="11"/>
  <c r="C278" i="9"/>
  <c r="C278" i="8"/>
  <c r="E295" i="15"/>
  <c r="E295" i="14"/>
  <c r="E295" i="11"/>
  <c r="E295" i="9"/>
  <c r="E295" i="8"/>
  <c r="C314" i="15"/>
  <c r="C314" i="14"/>
  <c r="C314" i="11"/>
  <c r="C314" i="9"/>
  <c r="C314" i="8"/>
  <c r="C333" i="15"/>
  <c r="C333" i="14"/>
  <c r="C333" i="9"/>
  <c r="C333" i="11"/>
  <c r="C333" i="8"/>
  <c r="E347" i="15"/>
  <c r="E347" i="11"/>
  <c r="E347" i="8"/>
  <c r="E347" i="9"/>
  <c r="E347" i="14"/>
  <c r="F366" i="1"/>
  <c r="G366" i="1" s="1"/>
  <c r="B385" i="15"/>
  <c r="B385" i="14"/>
  <c r="B385" i="11"/>
  <c r="B385" i="9"/>
  <c r="B385" i="8"/>
  <c r="D402" i="15"/>
  <c r="F402" i="15" s="1"/>
  <c r="D402" i="14"/>
  <c r="F402" i="14" s="1"/>
  <c r="D402" i="11"/>
  <c r="F402" i="11" s="1"/>
  <c r="D402" i="9"/>
  <c r="D402" i="8"/>
  <c r="B422" i="15"/>
  <c r="B422" i="14"/>
  <c r="B422" i="11"/>
  <c r="B422" i="9"/>
  <c r="B422" i="8"/>
  <c r="E439" i="15"/>
  <c r="E439" i="14"/>
  <c r="E439" i="9"/>
  <c r="E439" i="11"/>
  <c r="E439" i="8"/>
  <c r="F463" i="1"/>
  <c r="I463" i="1" s="1"/>
  <c r="D463" i="15"/>
  <c r="F463" i="15" s="1"/>
  <c r="D463" i="14"/>
  <c r="F463" i="14" s="1"/>
  <c r="D463" i="11"/>
  <c r="F463" i="11" s="1"/>
  <c r="D463" i="9"/>
  <c r="D463" i="8"/>
  <c r="B493" i="14"/>
  <c r="B493" i="15"/>
  <c r="B493" i="11"/>
  <c r="B493" i="9"/>
  <c r="B493" i="8"/>
  <c r="C551" i="15"/>
  <c r="C551" i="14"/>
  <c r="C551" i="9"/>
  <c r="C551" i="11"/>
  <c r="C551" i="8"/>
  <c r="A566" i="15"/>
  <c r="A566" i="14"/>
  <c r="A566" i="11"/>
  <c r="A566" i="9"/>
  <c r="A566" i="8"/>
  <c r="C585" i="15"/>
  <c r="C585" i="14"/>
  <c r="C585" i="11"/>
  <c r="C585" i="9"/>
  <c r="C585" i="8"/>
  <c r="F601" i="1"/>
  <c r="I601" i="1" s="1"/>
  <c r="D601" i="15"/>
  <c r="F601" i="15" s="1"/>
  <c r="D601" i="9"/>
  <c r="F601" i="9" s="1"/>
  <c r="D601" i="11"/>
  <c r="F601" i="11" s="1"/>
  <c r="D601" i="14"/>
  <c r="F601" i="14" s="1"/>
  <c r="D601" i="8"/>
  <c r="F601" i="8" s="1"/>
  <c r="G601" i="8" s="1"/>
  <c r="F631" i="1"/>
  <c r="G631" i="1" s="1"/>
  <c r="D631" i="15"/>
  <c r="F631" i="15" s="1"/>
  <c r="D631" i="14"/>
  <c r="F631" i="14" s="1"/>
  <c r="D631" i="11"/>
  <c r="F631" i="11" s="1"/>
  <c r="D631" i="9"/>
  <c r="F631" i="9" s="1"/>
  <c r="D631" i="8"/>
  <c r="F631" i="8" s="1"/>
  <c r="G631" i="8" s="1"/>
  <c r="E656" i="14"/>
  <c r="E656" i="15"/>
  <c r="E656" i="9"/>
  <c r="E656" i="8"/>
  <c r="E656" i="11"/>
  <c r="B679" i="14"/>
  <c r="B679" i="15"/>
  <c r="B679" i="11"/>
  <c r="B679" i="9"/>
  <c r="B679" i="8"/>
  <c r="C695" i="15"/>
  <c r="C695" i="14"/>
  <c r="C695" i="11"/>
  <c r="C695" i="8"/>
  <c r="C695" i="9"/>
  <c r="A712" i="14"/>
  <c r="A712" i="11"/>
  <c r="A712" i="15"/>
  <c r="A712" i="9"/>
  <c r="A712" i="8"/>
  <c r="C732" i="15"/>
  <c r="C732" i="14"/>
  <c r="C732" i="11"/>
  <c r="C732" i="9"/>
  <c r="C732" i="8"/>
  <c r="A758" i="15"/>
  <c r="A758" i="14"/>
  <c r="A758" i="11"/>
  <c r="A758" i="9"/>
  <c r="A758" i="8"/>
  <c r="E795" i="14"/>
  <c r="E795" i="15"/>
  <c r="E795" i="11"/>
  <c r="E795" i="9"/>
  <c r="E795" i="8"/>
  <c r="E831" i="15"/>
  <c r="E831" i="11"/>
  <c r="E831" i="9"/>
  <c r="E831" i="8"/>
  <c r="E831" i="14"/>
  <c r="E10" i="15"/>
  <c r="E10" i="14"/>
  <c r="E10" i="11"/>
  <c r="E10" i="9"/>
  <c r="E10" i="8"/>
  <c r="E14" i="11"/>
  <c r="E14" i="15"/>
  <c r="E14" i="14"/>
  <c r="E14" i="8"/>
  <c r="E14" i="9"/>
  <c r="A20" i="14"/>
  <c r="A20" i="15"/>
  <c r="A20" i="11"/>
  <c r="A20" i="9"/>
  <c r="A20" i="8"/>
  <c r="D25" i="15"/>
  <c r="F25" i="15" s="1"/>
  <c r="D25" i="14"/>
  <c r="F25" i="14" s="1"/>
  <c r="D25" i="11"/>
  <c r="F25" i="11" s="1"/>
  <c r="D25" i="9"/>
  <c r="D25" i="8"/>
  <c r="D30" i="15"/>
  <c r="F30" i="15" s="1"/>
  <c r="D30" i="14"/>
  <c r="F30" i="14" s="1"/>
  <c r="D30" i="11"/>
  <c r="F30" i="11" s="1"/>
  <c r="D30" i="9"/>
  <c r="D30" i="8"/>
  <c r="E32" i="14"/>
  <c r="E32" i="11"/>
  <c r="E32" i="15"/>
  <c r="E32" i="8"/>
  <c r="E32" i="9"/>
  <c r="B38" i="15"/>
  <c r="B38" i="14"/>
  <c r="B38" i="9"/>
  <c r="B38" i="11"/>
  <c r="B38" i="8"/>
  <c r="B46" i="15"/>
  <c r="B46" i="14"/>
  <c r="B46" i="11"/>
  <c r="B46" i="9"/>
  <c r="B46" i="8"/>
  <c r="C51" i="15"/>
  <c r="C51" i="11"/>
  <c r="C51" i="14"/>
  <c r="C51" i="9"/>
  <c r="C51" i="8"/>
  <c r="C60" i="14"/>
  <c r="C60" i="15"/>
  <c r="C60" i="11"/>
  <c r="C60" i="9"/>
  <c r="C60" i="8"/>
  <c r="F71" i="1"/>
  <c r="G71" i="1" s="1"/>
  <c r="D71" i="15"/>
  <c r="F71" i="15" s="1"/>
  <c r="D71" i="14"/>
  <c r="F71" i="14" s="1"/>
  <c r="D71" i="11"/>
  <c r="F71" i="11" s="1"/>
  <c r="D71" i="9"/>
  <c r="D71" i="8"/>
  <c r="F76" i="1"/>
  <c r="J76" i="1" s="1"/>
  <c r="D76" i="15"/>
  <c r="F76" i="15" s="1"/>
  <c r="D76" i="14"/>
  <c r="F76" i="14" s="1"/>
  <c r="D76" i="11"/>
  <c r="F76" i="11" s="1"/>
  <c r="D76" i="9"/>
  <c r="D76" i="8"/>
  <c r="E81" i="14"/>
  <c r="E81" i="15"/>
  <c r="E81" i="11"/>
  <c r="E81" i="9"/>
  <c r="E81" i="8"/>
  <c r="A92" i="15"/>
  <c r="A92" i="14"/>
  <c r="A92" i="11"/>
  <c r="A92" i="8"/>
  <c r="A92" i="9"/>
  <c r="A6" i="14"/>
  <c r="A6" i="11"/>
  <c r="A6" i="15"/>
  <c r="A6" i="9"/>
  <c r="A6" i="8"/>
  <c r="A11" i="15"/>
  <c r="A11" i="14"/>
  <c r="A11" i="11"/>
  <c r="A11" i="9"/>
  <c r="A11" i="8"/>
  <c r="F17" i="1"/>
  <c r="G17" i="1" s="1"/>
  <c r="E25" i="15"/>
  <c r="E25" i="14"/>
  <c r="E25" i="11"/>
  <c r="E25" i="9"/>
  <c r="E25" i="8"/>
  <c r="A33" i="14"/>
  <c r="A33" i="11"/>
  <c r="A33" i="9"/>
  <c r="A33" i="15"/>
  <c r="A33" i="8"/>
  <c r="C35" i="15"/>
  <c r="C35" i="14"/>
  <c r="C35" i="11"/>
  <c r="C35" i="9"/>
  <c r="C35" i="8"/>
  <c r="C41" i="15"/>
  <c r="C41" i="11"/>
  <c r="C41" i="14"/>
  <c r="C41" i="9"/>
  <c r="C41" i="8"/>
  <c r="C46" i="14"/>
  <c r="C46" i="15"/>
  <c r="C46" i="11"/>
  <c r="C46" i="9"/>
  <c r="C46" i="8"/>
  <c r="F51" i="1"/>
  <c r="H51" i="1" s="1"/>
  <c r="D51" i="15"/>
  <c r="F51" i="15" s="1"/>
  <c r="D51" i="14"/>
  <c r="F51" i="14" s="1"/>
  <c r="D51" i="11"/>
  <c r="F51" i="11" s="1"/>
  <c r="D51" i="9"/>
  <c r="D51" i="8"/>
  <c r="E53" i="15"/>
  <c r="E53" i="14"/>
  <c r="E53" i="9"/>
  <c r="E53" i="8"/>
  <c r="E53" i="11"/>
  <c r="F89" i="1"/>
  <c r="D89" i="15"/>
  <c r="F89" i="15" s="1"/>
  <c r="D89" i="14"/>
  <c r="F89" i="14" s="1"/>
  <c r="D89" i="11"/>
  <c r="F89" i="11" s="1"/>
  <c r="D89" i="9"/>
  <c r="D89" i="8"/>
  <c r="B6" i="14"/>
  <c r="B6" i="15"/>
  <c r="B6" i="9"/>
  <c r="B6" i="8"/>
  <c r="B6" i="11"/>
  <c r="B11" i="15"/>
  <c r="B11" i="11"/>
  <c r="B11" i="14"/>
  <c r="B11" i="8"/>
  <c r="B11" i="9"/>
  <c r="B15" i="15"/>
  <c r="B15" i="14"/>
  <c r="B15" i="9"/>
  <c r="B15" i="11"/>
  <c r="B15" i="8"/>
  <c r="C20" i="15"/>
  <c r="C20" i="14"/>
  <c r="C20" i="11"/>
  <c r="C20" i="9"/>
  <c r="C20" i="8"/>
  <c r="C23" i="15"/>
  <c r="C23" i="14"/>
  <c r="C23" i="9"/>
  <c r="C23" i="11"/>
  <c r="C23" i="8"/>
  <c r="F25" i="1"/>
  <c r="I25" i="1" s="1"/>
  <c r="F30" i="1"/>
  <c r="B33" i="15"/>
  <c r="B33" i="14"/>
  <c r="B33" i="11"/>
  <c r="B33" i="9"/>
  <c r="B33" i="8"/>
  <c r="D35" i="15"/>
  <c r="F35" i="15" s="1"/>
  <c r="D35" i="14"/>
  <c r="F35" i="14" s="1"/>
  <c r="D35" i="11"/>
  <c r="F35" i="11" s="1"/>
  <c r="D35" i="9"/>
  <c r="D35" i="8"/>
  <c r="F41" i="1"/>
  <c r="G41" i="1" s="1"/>
  <c r="D41" i="15"/>
  <c r="F41" i="15" s="1"/>
  <c r="D41" i="11"/>
  <c r="F41" i="11" s="1"/>
  <c r="D41" i="14"/>
  <c r="F41" i="14" s="1"/>
  <c r="D41" i="9"/>
  <c r="D41" i="8"/>
  <c r="D46" i="15"/>
  <c r="F46" i="15" s="1"/>
  <c r="D46" i="14"/>
  <c r="F46" i="14" s="1"/>
  <c r="D46" i="11"/>
  <c r="F46" i="11" s="1"/>
  <c r="D46" i="9"/>
  <c r="D46" i="8"/>
  <c r="E51" i="15"/>
  <c r="E51" i="14"/>
  <c r="E51" i="11"/>
  <c r="E51" i="9"/>
  <c r="E51" i="8"/>
  <c r="A55" i="14"/>
  <c r="A55" i="15"/>
  <c r="A55" i="11"/>
  <c r="A55" i="9"/>
  <c r="A55" i="8"/>
  <c r="E60" i="14"/>
  <c r="E60" i="11"/>
  <c r="E60" i="9"/>
  <c r="E60" i="15"/>
  <c r="E60" i="8"/>
  <c r="D62" i="15"/>
  <c r="F62" i="15" s="1"/>
  <c r="D62" i="14"/>
  <c r="F62" i="14" s="1"/>
  <c r="D62" i="9"/>
  <c r="D62" i="11"/>
  <c r="F62" i="11" s="1"/>
  <c r="D62" i="8"/>
  <c r="F65" i="1"/>
  <c r="D65" i="15"/>
  <c r="F65" i="15" s="1"/>
  <c r="D65" i="14"/>
  <c r="F65" i="14" s="1"/>
  <c r="D65" i="11"/>
  <c r="F65" i="11" s="1"/>
  <c r="D65" i="9"/>
  <c r="D65" i="8"/>
  <c r="E68" i="15"/>
  <c r="E68" i="14"/>
  <c r="E68" i="11"/>
  <c r="E68" i="9"/>
  <c r="E68" i="8"/>
  <c r="A72" i="14"/>
  <c r="A72" i="15"/>
  <c r="A72" i="11"/>
  <c r="A72" i="9"/>
  <c r="A72" i="8"/>
  <c r="A77" i="14"/>
  <c r="A77" i="15"/>
  <c r="A77" i="11"/>
  <c r="A77" i="9"/>
  <c r="A77" i="8"/>
  <c r="E79" i="15"/>
  <c r="E79" i="11"/>
  <c r="E79" i="14"/>
  <c r="E79" i="9"/>
  <c r="E79" i="8"/>
  <c r="B87" i="15"/>
  <c r="B87" i="14"/>
  <c r="B87" i="11"/>
  <c r="B87" i="8"/>
  <c r="B87" i="9"/>
  <c r="E89" i="15"/>
  <c r="E89" i="14"/>
  <c r="E89" i="11"/>
  <c r="E89" i="8"/>
  <c r="E89" i="9"/>
  <c r="C92" i="15"/>
  <c r="C92" i="14"/>
  <c r="C92" i="11"/>
  <c r="C92" i="9"/>
  <c r="C92" i="8"/>
  <c r="B96" i="15"/>
  <c r="B96" i="14"/>
  <c r="B96" i="11"/>
  <c r="B96" i="9"/>
  <c r="B96" i="8"/>
  <c r="B99" i="14"/>
  <c r="B99" i="15"/>
  <c r="B99" i="11"/>
  <c r="B99" i="8"/>
  <c r="B99" i="9"/>
  <c r="B102" i="15"/>
  <c r="B102" i="14"/>
  <c r="B102" i="9"/>
  <c r="B102" i="8"/>
  <c r="B102" i="11"/>
  <c r="A105" i="14"/>
  <c r="A105" i="15"/>
  <c r="A105" i="11"/>
  <c r="A105" i="9"/>
  <c r="A105" i="8"/>
  <c r="E109" i="15"/>
  <c r="E109" i="14"/>
  <c r="E109" i="11"/>
  <c r="E109" i="9"/>
  <c r="E109" i="8"/>
  <c r="C117" i="15"/>
  <c r="C117" i="11"/>
  <c r="C117" i="14"/>
  <c r="C117" i="9"/>
  <c r="C117" i="8"/>
  <c r="C128" i="15"/>
  <c r="C128" i="14"/>
  <c r="C128" i="11"/>
  <c r="C128" i="9"/>
  <c r="C128" i="8"/>
  <c r="F130" i="1"/>
  <c r="H130" i="1" s="1"/>
  <c r="A134" i="15"/>
  <c r="A134" i="14"/>
  <c r="A134" i="11"/>
  <c r="A134" i="8"/>
  <c r="A134" i="9"/>
  <c r="F141" i="1"/>
  <c r="I141" i="1" s="1"/>
  <c r="F148" i="1"/>
  <c r="D148" i="15"/>
  <c r="F148" i="15" s="1"/>
  <c r="D148" i="11"/>
  <c r="F148" i="11" s="1"/>
  <c r="D148" i="14"/>
  <c r="F148" i="14" s="1"/>
  <c r="D148" i="9"/>
  <c r="D148" i="8"/>
  <c r="F150" i="1"/>
  <c r="G150" i="1" s="1"/>
  <c r="B155" i="14"/>
  <c r="B155" i="15"/>
  <c r="B155" i="11"/>
  <c r="B155" i="9"/>
  <c r="B155" i="8"/>
  <c r="E160" i="15"/>
  <c r="E160" i="14"/>
  <c r="E160" i="11"/>
  <c r="E160" i="9"/>
  <c r="E160" i="8"/>
  <c r="F165" i="1"/>
  <c r="D165" i="15"/>
  <c r="F165" i="15" s="1"/>
  <c r="D165" i="14"/>
  <c r="F165" i="14" s="1"/>
  <c r="D165" i="11"/>
  <c r="F165" i="11" s="1"/>
  <c r="D165" i="9"/>
  <c r="D165" i="8"/>
  <c r="C170" i="15"/>
  <c r="C170" i="14"/>
  <c r="C170" i="11"/>
  <c r="C170" i="9"/>
  <c r="C170" i="8"/>
  <c r="B179" i="15"/>
  <c r="B179" i="14"/>
  <c r="B179" i="11"/>
  <c r="B179" i="9"/>
  <c r="B179" i="8"/>
  <c r="F184" i="1"/>
  <c r="I184" i="1" s="1"/>
  <c r="D184" i="15"/>
  <c r="F184" i="15" s="1"/>
  <c r="D184" i="14"/>
  <c r="F184" i="14" s="1"/>
  <c r="D184" i="11"/>
  <c r="F184" i="11" s="1"/>
  <c r="D184" i="8"/>
  <c r="D184" i="9"/>
  <c r="C6" i="14"/>
  <c r="C6" i="15"/>
  <c r="C6" i="9"/>
  <c r="C6" i="8"/>
  <c r="C6" i="11"/>
  <c r="E8" i="15"/>
  <c r="E8" i="14"/>
  <c r="E8" i="11"/>
  <c r="E8" i="8"/>
  <c r="E8" i="9"/>
  <c r="C11" i="14"/>
  <c r="C11" i="15"/>
  <c r="C11" i="11"/>
  <c r="C11" i="8"/>
  <c r="C11" i="9"/>
  <c r="C15" i="15"/>
  <c r="C15" i="14"/>
  <c r="C15" i="9"/>
  <c r="C15" i="11"/>
  <c r="C15" i="8"/>
  <c r="F20" i="1"/>
  <c r="H20" i="1" s="1"/>
  <c r="D20" i="14"/>
  <c r="F20" i="14" s="1"/>
  <c r="D20" i="15"/>
  <c r="F20" i="15" s="1"/>
  <c r="D20" i="11"/>
  <c r="F20" i="11" s="1"/>
  <c r="D20" i="8"/>
  <c r="D20" i="9"/>
  <c r="D23" i="15"/>
  <c r="F23" i="15" s="1"/>
  <c r="D23" i="14"/>
  <c r="F23" i="14" s="1"/>
  <c r="D23" i="9"/>
  <c r="D23" i="8"/>
  <c r="D23" i="11"/>
  <c r="F23" i="11" s="1"/>
  <c r="A26" i="15"/>
  <c r="A26" i="14"/>
  <c r="A26" i="11"/>
  <c r="A26" i="8"/>
  <c r="A26" i="9"/>
  <c r="B28" i="15"/>
  <c r="B28" i="11"/>
  <c r="B28" i="14"/>
  <c r="B28" i="9"/>
  <c r="B28" i="8"/>
  <c r="C33" i="15"/>
  <c r="C33" i="14"/>
  <c r="C33" i="11"/>
  <c r="C33" i="9"/>
  <c r="C33" i="8"/>
  <c r="E35" i="15"/>
  <c r="E35" i="14"/>
  <c r="E35" i="11"/>
  <c r="E35" i="9"/>
  <c r="E35" i="8"/>
  <c r="E38" i="15"/>
  <c r="E38" i="14"/>
  <c r="E38" i="11"/>
  <c r="E38" i="9"/>
  <c r="E38" i="8"/>
  <c r="E41" i="15"/>
  <c r="E41" i="14"/>
  <c r="E41" i="11"/>
  <c r="E41" i="9"/>
  <c r="E41" i="8"/>
  <c r="A44" i="15"/>
  <c r="A44" i="14"/>
  <c r="A44" i="11"/>
  <c r="A44" i="9"/>
  <c r="A44" i="8"/>
  <c r="E46" i="15"/>
  <c r="E46" i="11"/>
  <c r="E46" i="9"/>
  <c r="E46" i="14"/>
  <c r="E46" i="8"/>
  <c r="F49" i="1"/>
  <c r="D49" i="15"/>
  <c r="F49" i="15" s="1"/>
  <c r="D49" i="14"/>
  <c r="F49" i="14" s="1"/>
  <c r="D49" i="11"/>
  <c r="F49" i="11" s="1"/>
  <c r="D49" i="9"/>
  <c r="D49" i="8"/>
  <c r="B55" i="14"/>
  <c r="B55" i="11"/>
  <c r="B55" i="15"/>
  <c r="B55" i="9"/>
  <c r="B55" i="8"/>
  <c r="E62" i="15"/>
  <c r="E62" i="14"/>
  <c r="E62" i="9"/>
  <c r="E62" i="11"/>
  <c r="E62" i="8"/>
  <c r="E65" i="15"/>
  <c r="E65" i="11"/>
  <c r="E65" i="14"/>
  <c r="E65" i="9"/>
  <c r="E65" i="8"/>
  <c r="A69" i="14"/>
  <c r="A69" i="15"/>
  <c r="A69" i="11"/>
  <c r="A69" i="9"/>
  <c r="A69" i="8"/>
  <c r="B72" i="15"/>
  <c r="B72" i="14"/>
  <c r="B72" i="11"/>
  <c r="B72" i="8"/>
  <c r="B72" i="9"/>
  <c r="E74" i="15"/>
  <c r="E74" i="14"/>
  <c r="E74" i="11"/>
  <c r="E74" i="8"/>
  <c r="E74" i="9"/>
  <c r="B77" i="15"/>
  <c r="B77" i="14"/>
  <c r="B77" i="11"/>
  <c r="B77" i="9"/>
  <c r="B77" i="8"/>
  <c r="F79" i="1"/>
  <c r="A82" i="15"/>
  <c r="A82" i="14"/>
  <c r="A82" i="11"/>
  <c r="A82" i="9"/>
  <c r="A82" i="8"/>
  <c r="A85" i="11"/>
  <c r="A85" i="15"/>
  <c r="A85" i="14"/>
  <c r="A85" i="9"/>
  <c r="A85" i="8"/>
  <c r="C87" i="15"/>
  <c r="C87" i="14"/>
  <c r="C87" i="11"/>
  <c r="C87" i="8"/>
  <c r="C87" i="9"/>
  <c r="A90" i="14"/>
  <c r="A90" i="15"/>
  <c r="A90" i="11"/>
  <c r="A90" i="8"/>
  <c r="A90" i="9"/>
  <c r="F92" i="1"/>
  <c r="D92" i="15"/>
  <c r="F92" i="15" s="1"/>
  <c r="D92" i="14"/>
  <c r="F92" i="14" s="1"/>
  <c r="D92" i="11"/>
  <c r="F92" i="11" s="1"/>
  <c r="D92" i="9"/>
  <c r="D92" i="8"/>
  <c r="E94" i="15"/>
  <c r="E94" i="14"/>
  <c r="E94" i="11"/>
  <c r="E94" i="9"/>
  <c r="E94" i="8"/>
  <c r="C96" i="15"/>
  <c r="C96" i="14"/>
  <c r="C96" i="9"/>
  <c r="C96" i="11"/>
  <c r="C96" i="8"/>
  <c r="C99" i="14"/>
  <c r="C99" i="11"/>
  <c r="C99" i="15"/>
  <c r="C99" i="8"/>
  <c r="C99" i="9"/>
  <c r="C102" i="15"/>
  <c r="C102" i="14"/>
  <c r="C102" i="9"/>
  <c r="C102" i="8"/>
  <c r="C102" i="11"/>
  <c r="B105" i="14"/>
  <c r="B105" i="15"/>
  <c r="B105" i="11"/>
  <c r="B105" i="9"/>
  <c r="B105" i="8"/>
  <c r="E107" i="15"/>
  <c r="E107" i="14"/>
  <c r="E107" i="9"/>
  <c r="E107" i="11"/>
  <c r="E107" i="8"/>
  <c r="A110" i="14"/>
  <c r="A110" i="15"/>
  <c r="A110" i="11"/>
  <c r="A110" i="9"/>
  <c r="A110" i="8"/>
  <c r="C112" i="15"/>
  <c r="C112" i="14"/>
  <c r="C112" i="11"/>
  <c r="C112" i="9"/>
  <c r="C112" i="8"/>
  <c r="F117" i="1"/>
  <c r="H117" i="1" s="1"/>
  <c r="D117" i="15"/>
  <c r="F117" i="15" s="1"/>
  <c r="D117" i="11"/>
  <c r="F117" i="11" s="1"/>
  <c r="D117" i="14"/>
  <c r="F117" i="14" s="1"/>
  <c r="D117" i="9"/>
  <c r="D117" i="8"/>
  <c r="B122" i="15"/>
  <c r="B122" i="11"/>
  <c r="B122" i="14"/>
  <c r="B122" i="8"/>
  <c r="B122" i="9"/>
  <c r="E124" i="15"/>
  <c r="E124" i="14"/>
  <c r="E124" i="11"/>
  <c r="E124" i="9"/>
  <c r="E124" i="8"/>
  <c r="D128" i="15"/>
  <c r="F128" i="15" s="1"/>
  <c r="D128" i="11"/>
  <c r="F128" i="11" s="1"/>
  <c r="D128" i="14"/>
  <c r="F128" i="14" s="1"/>
  <c r="D128" i="9"/>
  <c r="D128" i="8"/>
  <c r="A131" i="15"/>
  <c r="A131" i="14"/>
  <c r="A131" i="11"/>
  <c r="A131" i="8"/>
  <c r="A131" i="9"/>
  <c r="B134" i="15"/>
  <c r="B134" i="14"/>
  <c r="B134" i="9"/>
  <c r="B134" i="11"/>
  <c r="B134" i="8"/>
  <c r="E136" i="15"/>
  <c r="E136" i="11"/>
  <c r="E136" i="14"/>
  <c r="E136" i="9"/>
  <c r="E136" i="8"/>
  <c r="A139" i="15"/>
  <c r="A139" i="14"/>
  <c r="A139" i="11"/>
  <c r="A139" i="8"/>
  <c r="A139" i="9"/>
  <c r="A142" i="15"/>
  <c r="A142" i="14"/>
  <c r="A142" i="11"/>
  <c r="A142" i="8"/>
  <c r="A142" i="9"/>
  <c r="B146" i="15"/>
  <c r="B146" i="14"/>
  <c r="B146" i="11"/>
  <c r="B146" i="9"/>
  <c r="B146" i="8"/>
  <c r="E148" i="15"/>
  <c r="E148" i="11"/>
  <c r="E148" i="14"/>
  <c r="E148" i="9"/>
  <c r="E148" i="8"/>
  <c r="C152" i="15"/>
  <c r="C152" i="11"/>
  <c r="C152" i="14"/>
  <c r="C152" i="9"/>
  <c r="C152" i="8"/>
  <c r="C155" i="15"/>
  <c r="C155" i="14"/>
  <c r="C155" i="9"/>
  <c r="C155" i="11"/>
  <c r="C155" i="8"/>
  <c r="C158" i="15"/>
  <c r="C158" i="14"/>
  <c r="C158" i="11"/>
  <c r="C158" i="8"/>
  <c r="C158" i="9"/>
  <c r="F160" i="1"/>
  <c r="A163" i="15"/>
  <c r="A163" i="14"/>
  <c r="A163" i="9"/>
  <c r="A163" i="11"/>
  <c r="A163" i="8"/>
  <c r="E165" i="15"/>
  <c r="E165" i="14"/>
  <c r="E165" i="11"/>
  <c r="E165" i="9"/>
  <c r="E165" i="8"/>
  <c r="C168" i="15"/>
  <c r="C168" i="11"/>
  <c r="C168" i="14"/>
  <c r="C168" i="9"/>
  <c r="C168" i="8"/>
  <c r="F170" i="1"/>
  <c r="I170" i="1" s="1"/>
  <c r="D170" i="15"/>
  <c r="F170" i="15" s="1"/>
  <c r="D170" i="14"/>
  <c r="F170" i="14" s="1"/>
  <c r="D170" i="11"/>
  <c r="F170" i="11" s="1"/>
  <c r="D170" i="9"/>
  <c r="D170" i="8"/>
  <c r="E173" i="15"/>
  <c r="E173" i="14"/>
  <c r="E173" i="9"/>
  <c r="E173" i="11"/>
  <c r="E173" i="8"/>
  <c r="E176" i="15"/>
  <c r="E176" i="14"/>
  <c r="E176" i="11"/>
  <c r="E176" i="9"/>
  <c r="E176" i="8"/>
  <c r="C179" i="15"/>
  <c r="C179" i="14"/>
  <c r="C179" i="11"/>
  <c r="C179" i="8"/>
  <c r="C179" i="9"/>
  <c r="E181" i="15"/>
  <c r="E181" i="11"/>
  <c r="E181" i="14"/>
  <c r="E181" i="9"/>
  <c r="E181" i="8"/>
  <c r="E184" i="15"/>
  <c r="E184" i="14"/>
  <c r="E184" i="11"/>
  <c r="E184" i="8"/>
  <c r="E184" i="9"/>
  <c r="E187" i="14"/>
  <c r="E187" i="15"/>
  <c r="E187" i="11"/>
  <c r="E187" i="8"/>
  <c r="E187" i="9"/>
  <c r="A190" i="14"/>
  <c r="A190" i="15"/>
  <c r="A190" i="11"/>
  <c r="A190" i="9"/>
  <c r="A190" i="8"/>
  <c r="E191" i="15"/>
  <c r="E191" i="14"/>
  <c r="E191" i="11"/>
  <c r="E191" i="9"/>
  <c r="E191" i="8"/>
  <c r="B195" i="15"/>
  <c r="B195" i="14"/>
  <c r="B195" i="11"/>
  <c r="B195" i="8"/>
  <c r="B195" i="9"/>
  <c r="F197" i="1"/>
  <c r="D197" i="15"/>
  <c r="F197" i="15" s="1"/>
  <c r="D197" i="14"/>
  <c r="F197" i="14" s="1"/>
  <c r="D197" i="9"/>
  <c r="D197" i="8"/>
  <c r="D197" i="11"/>
  <c r="F197" i="11" s="1"/>
  <c r="A202" i="15"/>
  <c r="A202" i="11"/>
  <c r="A202" i="14"/>
  <c r="A202" i="9"/>
  <c r="A202" i="8"/>
  <c r="E208" i="15"/>
  <c r="E208" i="11"/>
  <c r="E208" i="14"/>
  <c r="E208" i="8"/>
  <c r="E208" i="9"/>
  <c r="A212" i="15"/>
  <c r="A212" i="14"/>
  <c r="A212" i="9"/>
  <c r="A212" i="11"/>
  <c r="A212" i="8"/>
  <c r="C216" i="15"/>
  <c r="C216" i="14"/>
  <c r="C216" i="9"/>
  <c r="C216" i="8"/>
  <c r="C216" i="11"/>
  <c r="F218" i="1"/>
  <c r="H218" i="1" s="1"/>
  <c r="D218" i="15"/>
  <c r="F218" i="15" s="1"/>
  <c r="D218" i="14"/>
  <c r="F218" i="14" s="1"/>
  <c r="D218" i="11"/>
  <c r="F218" i="11" s="1"/>
  <c r="D218" i="9"/>
  <c r="D218" i="8"/>
  <c r="B221" i="15"/>
  <c r="B221" i="9"/>
  <c r="B221" i="14"/>
  <c r="B221" i="11"/>
  <c r="B221" i="8"/>
  <c r="E225" i="15"/>
  <c r="E225" i="14"/>
  <c r="E225" i="11"/>
  <c r="E225" i="9"/>
  <c r="E225" i="8"/>
  <c r="C228" i="15"/>
  <c r="C228" i="14"/>
  <c r="C228" i="9"/>
  <c r="C228" i="11"/>
  <c r="C228" i="8"/>
  <c r="A231" i="15"/>
  <c r="A231" i="14"/>
  <c r="A231" i="11"/>
  <c r="A231" i="9"/>
  <c r="A231" i="8"/>
  <c r="A234" i="15"/>
  <c r="A234" i="14"/>
  <c r="A234" i="11"/>
  <c r="A234" i="9"/>
  <c r="A234" i="8"/>
  <c r="C236" i="15"/>
  <c r="C236" i="14"/>
  <c r="C236" i="11"/>
  <c r="C236" i="9"/>
  <c r="C236" i="8"/>
  <c r="A239" i="15"/>
  <c r="A239" i="14"/>
  <c r="A239" i="11"/>
  <c r="A239" i="9"/>
  <c r="A239" i="8"/>
  <c r="C241" i="15"/>
  <c r="C241" i="14"/>
  <c r="C241" i="9"/>
  <c r="C241" i="11"/>
  <c r="C241" i="8"/>
  <c r="E243" i="15"/>
  <c r="E243" i="14"/>
  <c r="E243" i="11"/>
  <c r="E243" i="9"/>
  <c r="E243" i="8"/>
  <c r="A248" i="15"/>
  <c r="A248" i="14"/>
  <c r="A248" i="11"/>
  <c r="A248" i="9"/>
  <c r="A248" i="8"/>
  <c r="B251" i="15"/>
  <c r="B251" i="14"/>
  <c r="B251" i="11"/>
  <c r="B251" i="9"/>
  <c r="B251" i="8"/>
  <c r="B253" i="15"/>
  <c r="B253" i="14"/>
  <c r="B253" i="11"/>
  <c r="B253" i="9"/>
  <c r="B253" i="8"/>
  <c r="A255" i="15"/>
  <c r="A255" i="14"/>
  <c r="A255" i="11"/>
  <c r="A255" i="9"/>
  <c r="A255" i="8"/>
  <c r="A257" i="15"/>
  <c r="A257" i="11"/>
  <c r="A257" i="14"/>
  <c r="A257" i="8"/>
  <c r="A257" i="9"/>
  <c r="A260" i="15"/>
  <c r="A260" i="14"/>
  <c r="A260" i="11"/>
  <c r="A260" i="9"/>
  <c r="A260" i="8"/>
  <c r="C262" i="15"/>
  <c r="C262" i="14"/>
  <c r="C262" i="11"/>
  <c r="C262" i="9"/>
  <c r="C262" i="8"/>
  <c r="C264" i="15"/>
  <c r="C264" i="14"/>
  <c r="C264" i="11"/>
  <c r="C264" i="9"/>
  <c r="C264" i="8"/>
  <c r="E270" i="14"/>
  <c r="E270" i="15"/>
  <c r="E270" i="11"/>
  <c r="E270" i="9"/>
  <c r="E270" i="8"/>
  <c r="A274" i="15"/>
  <c r="A274" i="14"/>
  <c r="A274" i="11"/>
  <c r="A274" i="9"/>
  <c r="A274" i="8"/>
  <c r="A277" i="14"/>
  <c r="A277" i="15"/>
  <c r="A277" i="11"/>
  <c r="A277" i="9"/>
  <c r="A277" i="8"/>
  <c r="D279" i="14"/>
  <c r="F279" i="14" s="1"/>
  <c r="D279" i="15"/>
  <c r="F279" i="15" s="1"/>
  <c r="D279" i="9"/>
  <c r="D279" i="11"/>
  <c r="F279" i="11" s="1"/>
  <c r="D279" i="8"/>
  <c r="C282" i="14"/>
  <c r="C282" i="15"/>
  <c r="C282" i="11"/>
  <c r="C282" i="9"/>
  <c r="C282" i="8"/>
  <c r="A285" i="15"/>
  <c r="A285" i="14"/>
  <c r="A285" i="11"/>
  <c r="A285" i="9"/>
  <c r="A285" i="8"/>
  <c r="E291" i="15"/>
  <c r="E291" i="14"/>
  <c r="E291" i="9"/>
  <c r="E291" i="11"/>
  <c r="E291" i="8"/>
  <c r="B294" i="15"/>
  <c r="B294" i="11"/>
  <c r="B294" i="14"/>
  <c r="B294" i="9"/>
  <c r="B294" i="8"/>
  <c r="C297" i="15"/>
  <c r="C297" i="14"/>
  <c r="C297" i="11"/>
  <c r="C297" i="9"/>
  <c r="C297" i="8"/>
  <c r="C300" i="15"/>
  <c r="C300" i="14"/>
  <c r="C300" i="9"/>
  <c r="C300" i="8"/>
  <c r="C300" i="11"/>
  <c r="C303" i="15"/>
  <c r="C303" i="14"/>
  <c r="C303" i="11"/>
  <c r="C303" i="9"/>
  <c r="C303" i="8"/>
  <c r="C306" i="15"/>
  <c r="C306" i="11"/>
  <c r="C306" i="14"/>
  <c r="C306" i="9"/>
  <c r="C306" i="8"/>
  <c r="E308" i="15"/>
  <c r="E308" i="14"/>
  <c r="E308" i="11"/>
  <c r="E308" i="9"/>
  <c r="E308" i="8"/>
  <c r="F310" i="1"/>
  <c r="D310" i="14"/>
  <c r="F310" i="14" s="1"/>
  <c r="D310" i="15"/>
  <c r="F310" i="15" s="1"/>
  <c r="D310" i="11"/>
  <c r="F310" i="11" s="1"/>
  <c r="D310" i="8"/>
  <c r="D310" i="9"/>
  <c r="C313" i="15"/>
  <c r="C313" i="14"/>
  <c r="C313" i="11"/>
  <c r="C313" i="9"/>
  <c r="C313" i="8"/>
  <c r="E315" i="15"/>
  <c r="E315" i="11"/>
  <c r="E315" i="9"/>
  <c r="E315" i="14"/>
  <c r="E315" i="8"/>
  <c r="C318" i="15"/>
  <c r="C318" i="14"/>
  <c r="C318" i="11"/>
  <c r="C318" i="9"/>
  <c r="C318" i="8"/>
  <c r="B321" i="15"/>
  <c r="B321" i="14"/>
  <c r="B321" i="11"/>
  <c r="B321" i="8"/>
  <c r="B321" i="9"/>
  <c r="D323" i="15"/>
  <c r="F323" i="15" s="1"/>
  <c r="D323" i="11"/>
  <c r="F323" i="11" s="1"/>
  <c r="D323" i="14"/>
  <c r="F323" i="14" s="1"/>
  <c r="D323" i="9"/>
  <c r="D323" i="8"/>
  <c r="E325" i="15"/>
  <c r="E325" i="14"/>
  <c r="E325" i="11"/>
  <c r="E325" i="8"/>
  <c r="E325" i="9"/>
  <c r="F327" i="1"/>
  <c r="H327" i="1" s="1"/>
  <c r="C330" i="15"/>
  <c r="C330" i="14"/>
  <c r="C330" i="11"/>
  <c r="C330" i="8"/>
  <c r="C330" i="9"/>
  <c r="E334" i="14"/>
  <c r="E334" i="15"/>
  <c r="E334" i="11"/>
  <c r="E334" i="9"/>
  <c r="E334" i="8"/>
  <c r="A337" i="15"/>
  <c r="A337" i="14"/>
  <c r="A337" i="11"/>
  <c r="A337" i="9"/>
  <c r="A337" i="8"/>
  <c r="B340" i="15"/>
  <c r="B340" i="14"/>
  <c r="B340" i="9"/>
  <c r="B340" i="11"/>
  <c r="B340" i="8"/>
  <c r="E344" i="15"/>
  <c r="E344" i="14"/>
  <c r="E344" i="9"/>
  <c r="E344" i="11"/>
  <c r="E344" i="8"/>
  <c r="B346" i="15"/>
  <c r="B346" i="14"/>
  <c r="B346" i="11"/>
  <c r="B346" i="9"/>
  <c r="B346" i="8"/>
  <c r="B349" i="15"/>
  <c r="B349" i="14"/>
  <c r="B349" i="11"/>
  <c r="B349" i="9"/>
  <c r="B349" i="8"/>
  <c r="E351" i="15"/>
  <c r="E351" i="11"/>
  <c r="E351" i="9"/>
  <c r="E351" i="14"/>
  <c r="E351" i="8"/>
  <c r="E354" i="15"/>
  <c r="E354" i="14"/>
  <c r="E354" i="9"/>
  <c r="E354" i="11"/>
  <c r="E354" i="8"/>
  <c r="A357" i="15"/>
  <c r="A357" i="14"/>
  <c r="A357" i="11"/>
  <c r="A357" i="8"/>
  <c r="A357" i="9"/>
  <c r="E359" i="15"/>
  <c r="E359" i="11"/>
  <c r="E359" i="14"/>
  <c r="E359" i="9"/>
  <c r="E359" i="8"/>
  <c r="C362" i="15"/>
  <c r="C362" i="14"/>
  <c r="C362" i="11"/>
  <c r="C362" i="9"/>
  <c r="C362" i="8"/>
  <c r="C365" i="15"/>
  <c r="C365" i="14"/>
  <c r="C365" i="11"/>
  <c r="C365" i="9"/>
  <c r="C365" i="8"/>
  <c r="B368" i="15"/>
  <c r="B368" i="11"/>
  <c r="B368" i="14"/>
  <c r="B368" i="9"/>
  <c r="B368" i="8"/>
  <c r="C371" i="15"/>
  <c r="C371" i="14"/>
  <c r="C371" i="9"/>
  <c r="C371" i="11"/>
  <c r="C371" i="8"/>
  <c r="F373" i="1"/>
  <c r="D373" i="15"/>
  <c r="F373" i="15" s="1"/>
  <c r="D373" i="14"/>
  <c r="F373" i="14" s="1"/>
  <c r="D373" i="11"/>
  <c r="F373" i="11" s="1"/>
  <c r="D373" i="9"/>
  <c r="D373" i="8"/>
  <c r="A375" i="15"/>
  <c r="A375" i="14"/>
  <c r="A375" i="11"/>
  <c r="A375" i="9"/>
  <c r="A375" i="8"/>
  <c r="A378" i="15"/>
  <c r="A378" i="14"/>
  <c r="A378" i="8"/>
  <c r="A378" i="11"/>
  <c r="A378" i="9"/>
  <c r="F380" i="1"/>
  <c r="J380" i="1" s="1"/>
  <c r="F383" i="1"/>
  <c r="J383" i="1" s="1"/>
  <c r="D383" i="15"/>
  <c r="F383" i="15" s="1"/>
  <c r="D383" i="14"/>
  <c r="F383" i="14" s="1"/>
  <c r="D383" i="11"/>
  <c r="F383" i="11" s="1"/>
  <c r="D383" i="8"/>
  <c r="D383" i="9"/>
  <c r="E386" i="14"/>
  <c r="E386" i="15"/>
  <c r="E386" i="11"/>
  <c r="E386" i="9"/>
  <c r="E386" i="8"/>
  <c r="E389" i="14"/>
  <c r="E389" i="15"/>
  <c r="E389" i="9"/>
  <c r="E389" i="11"/>
  <c r="E389" i="8"/>
  <c r="D391" i="15"/>
  <c r="F391" i="15" s="1"/>
  <c r="D391" i="14"/>
  <c r="F391" i="14" s="1"/>
  <c r="D391" i="11"/>
  <c r="F391" i="11" s="1"/>
  <c r="D391" i="9"/>
  <c r="D391" i="8"/>
  <c r="B396" i="15"/>
  <c r="B396" i="14"/>
  <c r="B396" i="11"/>
  <c r="B396" i="9"/>
  <c r="B396" i="8"/>
  <c r="C399" i="14"/>
  <c r="C399" i="15"/>
  <c r="C399" i="11"/>
  <c r="C399" i="9"/>
  <c r="C399" i="8"/>
  <c r="F403" i="1"/>
  <c r="G403" i="1" s="1"/>
  <c r="B406" i="15"/>
  <c r="B406" i="14"/>
  <c r="B406" i="11"/>
  <c r="B406" i="9"/>
  <c r="B406" i="8"/>
  <c r="C408" i="14"/>
  <c r="C408" i="15"/>
  <c r="C408" i="11"/>
  <c r="C408" i="9"/>
  <c r="C408" i="8"/>
  <c r="A411" i="14"/>
  <c r="A411" i="15"/>
  <c r="A411" i="11"/>
  <c r="A411" i="9"/>
  <c r="A411" i="8"/>
  <c r="F413" i="1"/>
  <c r="D413" i="15"/>
  <c r="F413" i="15" s="1"/>
  <c r="D413" i="14"/>
  <c r="F413" i="14" s="1"/>
  <c r="D413" i="11"/>
  <c r="F413" i="11" s="1"/>
  <c r="D413" i="8"/>
  <c r="D413" i="9"/>
  <c r="F416" i="1"/>
  <c r="G416" i="1" s="1"/>
  <c r="D416" i="15"/>
  <c r="F416" i="15" s="1"/>
  <c r="D416" i="14"/>
  <c r="F416" i="14" s="1"/>
  <c r="D416" i="11"/>
  <c r="F416" i="11" s="1"/>
  <c r="D416" i="9"/>
  <c r="D416" i="8"/>
  <c r="E419" i="15"/>
  <c r="E419" i="14"/>
  <c r="E419" i="11"/>
  <c r="E419" i="8"/>
  <c r="E419" i="9"/>
  <c r="A421" i="14"/>
  <c r="A421" i="15"/>
  <c r="A421" i="11"/>
  <c r="A421" i="8"/>
  <c r="A421" i="9"/>
  <c r="E423" i="15"/>
  <c r="E423" i="14"/>
  <c r="E423" i="11"/>
  <c r="E423" i="9"/>
  <c r="E423" i="8"/>
  <c r="E430" i="15"/>
  <c r="E430" i="14"/>
  <c r="E430" i="11"/>
  <c r="E430" i="9"/>
  <c r="E430" i="8"/>
  <c r="C433" i="15"/>
  <c r="C433" i="14"/>
  <c r="C433" i="11"/>
  <c r="C433" i="9"/>
  <c r="C433" i="8"/>
  <c r="J435" i="1"/>
  <c r="B438" i="15"/>
  <c r="B438" i="14"/>
  <c r="B438" i="11"/>
  <c r="B438" i="9"/>
  <c r="B438" i="8"/>
  <c r="F443" i="1"/>
  <c r="H443" i="1" s="1"/>
  <c r="D443" i="15"/>
  <c r="F443" i="15" s="1"/>
  <c r="D443" i="14"/>
  <c r="F443" i="14" s="1"/>
  <c r="D443" i="11"/>
  <c r="F443" i="11" s="1"/>
  <c r="D443" i="9"/>
  <c r="D443" i="8"/>
  <c r="E446" i="15"/>
  <c r="E446" i="14"/>
  <c r="E446" i="11"/>
  <c r="E446" i="9"/>
  <c r="E446" i="8"/>
  <c r="B451" i="15"/>
  <c r="B451" i="14"/>
  <c r="B451" i="11"/>
  <c r="B451" i="9"/>
  <c r="B451" i="8"/>
  <c r="A454" i="15"/>
  <c r="A454" i="14"/>
  <c r="A454" i="11"/>
  <c r="A454" i="8"/>
  <c r="A454" i="9"/>
  <c r="D457" i="15"/>
  <c r="F457" i="15" s="1"/>
  <c r="D457" i="14"/>
  <c r="F457" i="14" s="1"/>
  <c r="D457" i="11"/>
  <c r="F457" i="11" s="1"/>
  <c r="D457" i="9"/>
  <c r="D457" i="8"/>
  <c r="A462" i="15"/>
  <c r="A462" i="11"/>
  <c r="A462" i="8"/>
  <c r="A462" i="9"/>
  <c r="A462" i="14"/>
  <c r="A465" i="15"/>
  <c r="A465" i="11"/>
  <c r="A465" i="8"/>
  <c r="A465" i="14"/>
  <c r="A465" i="9"/>
  <c r="E469" i="14"/>
  <c r="E469" i="15"/>
  <c r="E469" i="11"/>
  <c r="E469" i="8"/>
  <c r="E469" i="9"/>
  <c r="B472" i="15"/>
  <c r="B472" i="14"/>
  <c r="B472" i="9"/>
  <c r="B472" i="11"/>
  <c r="B472" i="8"/>
  <c r="B474" i="15"/>
  <c r="B474" i="14"/>
  <c r="B474" i="11"/>
  <c r="B474" i="9"/>
  <c r="B474" i="8"/>
  <c r="C476" i="15"/>
  <c r="C476" i="14"/>
  <c r="C476" i="11"/>
  <c r="C476" i="9"/>
  <c r="C476" i="8"/>
  <c r="E478" i="15"/>
  <c r="E478" i="14"/>
  <c r="E478" i="11"/>
  <c r="E478" i="9"/>
  <c r="E478" i="8"/>
  <c r="E481" i="15"/>
  <c r="E481" i="14"/>
  <c r="E481" i="9"/>
  <c r="E481" i="11"/>
  <c r="E481" i="8"/>
  <c r="B488" i="15"/>
  <c r="B488" i="14"/>
  <c r="B488" i="11"/>
  <c r="B488" i="9"/>
  <c r="B488" i="8"/>
  <c r="A490" i="15"/>
  <c r="A490" i="14"/>
  <c r="A490" i="11"/>
  <c r="A490" i="8"/>
  <c r="A490" i="9"/>
  <c r="E494" i="15"/>
  <c r="E494" i="14"/>
  <c r="E494" i="11"/>
  <c r="E494" i="9"/>
  <c r="E494" i="8"/>
  <c r="C499" i="15"/>
  <c r="C499" i="11"/>
  <c r="C499" i="9"/>
  <c r="C499" i="8"/>
  <c r="C499" i="14"/>
  <c r="D500" i="15"/>
  <c r="F500" i="15" s="1"/>
  <c r="D500" i="14"/>
  <c r="F500" i="14" s="1"/>
  <c r="D500" i="11"/>
  <c r="F500" i="11" s="1"/>
  <c r="D500" i="9"/>
  <c r="D500" i="8"/>
  <c r="E502" i="15"/>
  <c r="E502" i="14"/>
  <c r="E502" i="11"/>
  <c r="E502" i="8"/>
  <c r="E502" i="9"/>
  <c r="E504" i="14"/>
  <c r="E504" i="11"/>
  <c r="E504" i="15"/>
  <c r="E504" i="9"/>
  <c r="E504" i="8"/>
  <c r="E507" i="15"/>
  <c r="E507" i="14"/>
  <c r="E507" i="11"/>
  <c r="E507" i="9"/>
  <c r="E507" i="8"/>
  <c r="C510" i="14"/>
  <c r="C510" i="15"/>
  <c r="C510" i="11"/>
  <c r="C510" i="8"/>
  <c r="C510" i="9"/>
  <c r="E512" i="15"/>
  <c r="E512" i="14"/>
  <c r="E512" i="11"/>
  <c r="E512" i="9"/>
  <c r="E512" i="8"/>
  <c r="A515" i="15"/>
  <c r="A515" i="14"/>
  <c r="A515" i="9"/>
  <c r="A515" i="8"/>
  <c r="A515" i="11"/>
  <c r="F517" i="1"/>
  <c r="I517" i="1" s="1"/>
  <c r="B520" i="14"/>
  <c r="B520" i="11"/>
  <c r="B520" i="9"/>
  <c r="B520" i="8"/>
  <c r="B520" i="15"/>
  <c r="F522" i="1"/>
  <c r="J522" i="1" s="1"/>
  <c r="E525" i="14"/>
  <c r="E525" i="15"/>
  <c r="E525" i="11"/>
  <c r="E525" i="8"/>
  <c r="E525" i="9"/>
  <c r="D528" i="15"/>
  <c r="F528" i="15" s="1"/>
  <c r="D528" i="14"/>
  <c r="F528" i="14" s="1"/>
  <c r="D528" i="11"/>
  <c r="F528" i="11" s="1"/>
  <c r="D528" i="9"/>
  <c r="F528" i="9" s="1"/>
  <c r="D528" i="8"/>
  <c r="F528" i="8" s="1"/>
  <c r="G528" i="8" s="1"/>
  <c r="C531" i="15"/>
  <c r="C531" i="14"/>
  <c r="C531" i="11"/>
  <c r="C531" i="9"/>
  <c r="C531" i="8"/>
  <c r="C533" i="15"/>
  <c r="C533" i="11"/>
  <c r="C533" i="14"/>
  <c r="C533" i="8"/>
  <c r="C533" i="9"/>
  <c r="E535" i="15"/>
  <c r="E535" i="14"/>
  <c r="E535" i="9"/>
  <c r="E535" i="11"/>
  <c r="E535" i="8"/>
  <c r="F538" i="1"/>
  <c r="G538" i="1" s="1"/>
  <c r="D538" i="15"/>
  <c r="F538" i="15" s="1"/>
  <c r="D538" i="14"/>
  <c r="F538" i="14" s="1"/>
  <c r="D538" i="11"/>
  <c r="F538" i="11" s="1"/>
  <c r="D538" i="8"/>
  <c r="F538" i="8" s="1"/>
  <c r="G538" i="8" s="1"/>
  <c r="D538" i="9"/>
  <c r="F538" i="9" s="1"/>
  <c r="D541" i="15"/>
  <c r="F541" i="15" s="1"/>
  <c r="D541" i="14"/>
  <c r="F541" i="14" s="1"/>
  <c r="D541" i="11"/>
  <c r="F541" i="11" s="1"/>
  <c r="D541" i="9"/>
  <c r="F541" i="9" s="1"/>
  <c r="D541" i="8"/>
  <c r="F541" i="8" s="1"/>
  <c r="G541" i="8" s="1"/>
  <c r="E543" i="15"/>
  <c r="E543" i="14"/>
  <c r="E543" i="11"/>
  <c r="E543" i="9"/>
  <c r="E543" i="8"/>
  <c r="A546" i="15"/>
  <c r="A546" i="14"/>
  <c r="A546" i="11"/>
  <c r="A546" i="8"/>
  <c r="A546" i="9"/>
  <c r="K549" i="1"/>
  <c r="C555" i="15"/>
  <c r="C555" i="14"/>
  <c r="C555" i="11"/>
  <c r="C555" i="9"/>
  <c r="C555" i="8"/>
  <c r="B558" i="14"/>
  <c r="B558" i="11"/>
  <c r="B558" i="15"/>
  <c r="B558" i="9"/>
  <c r="B558" i="8"/>
  <c r="C562" i="14"/>
  <c r="C562" i="11"/>
  <c r="C562" i="9"/>
  <c r="C562" i="15"/>
  <c r="C562" i="8"/>
  <c r="E564" i="15"/>
  <c r="E564" i="14"/>
  <c r="E564" i="11"/>
  <c r="E564" i="9"/>
  <c r="E564" i="8"/>
  <c r="B567" i="14"/>
  <c r="B567" i="15"/>
  <c r="B567" i="11"/>
  <c r="B567" i="9"/>
  <c r="B567" i="8"/>
  <c r="C572" i="14"/>
  <c r="C572" i="11"/>
  <c r="C572" i="15"/>
  <c r="C572" i="9"/>
  <c r="C572" i="8"/>
  <c r="F579" i="1"/>
  <c r="F581" i="1"/>
  <c r="K581" i="1" s="1"/>
  <c r="D584" i="15"/>
  <c r="F584" i="15" s="1"/>
  <c r="D584" i="11"/>
  <c r="F584" i="11" s="1"/>
  <c r="D584" i="14"/>
  <c r="F584" i="14" s="1"/>
  <c r="D584" i="9"/>
  <c r="F584" i="9" s="1"/>
  <c r="D584" i="8"/>
  <c r="F584" i="8" s="1"/>
  <c r="G584" i="8" s="1"/>
  <c r="D586" i="15"/>
  <c r="F586" i="15" s="1"/>
  <c r="D586" i="14"/>
  <c r="F586" i="14" s="1"/>
  <c r="D586" i="9"/>
  <c r="F586" i="9" s="1"/>
  <c r="D586" i="11"/>
  <c r="F586" i="11" s="1"/>
  <c r="D586" i="8"/>
  <c r="F586" i="8" s="1"/>
  <c r="G586" i="8" s="1"/>
  <c r="B590" i="15"/>
  <c r="B590" i="11"/>
  <c r="B590" i="14"/>
  <c r="B590" i="9"/>
  <c r="B590" i="8"/>
  <c r="E592" i="15"/>
  <c r="E592" i="14"/>
  <c r="E592" i="11"/>
  <c r="E592" i="8"/>
  <c r="E592" i="9"/>
  <c r="C595" i="15"/>
  <c r="C595" i="14"/>
  <c r="C595" i="11"/>
  <c r="C595" i="9"/>
  <c r="C595" i="8"/>
  <c r="C598" i="15"/>
  <c r="C598" i="14"/>
  <c r="C598" i="11"/>
  <c r="C598" i="9"/>
  <c r="C598" i="8"/>
  <c r="D600" i="14"/>
  <c r="F600" i="14" s="1"/>
  <c r="D600" i="15"/>
  <c r="F600" i="15" s="1"/>
  <c r="D600" i="11"/>
  <c r="F600" i="11" s="1"/>
  <c r="D600" i="8"/>
  <c r="F600" i="8" s="1"/>
  <c r="G600" i="8" s="1"/>
  <c r="D600" i="9"/>
  <c r="F600" i="9" s="1"/>
  <c r="B603" i="14"/>
  <c r="B603" i="15"/>
  <c r="B603" i="11"/>
  <c r="B603" i="9"/>
  <c r="B603" i="8"/>
  <c r="A605" i="15"/>
  <c r="A605" i="14"/>
  <c r="A605" i="11"/>
  <c r="A605" i="8"/>
  <c r="A605" i="9"/>
  <c r="A607" i="15"/>
  <c r="A607" i="14"/>
  <c r="A607" i="11"/>
  <c r="A607" i="9"/>
  <c r="A607" i="8"/>
  <c r="E609" i="15"/>
  <c r="E609" i="14"/>
  <c r="E609" i="9"/>
  <c r="E609" i="8"/>
  <c r="E609" i="11"/>
  <c r="E612" i="15"/>
  <c r="E612" i="14"/>
  <c r="E612" i="11"/>
  <c r="E612" i="8"/>
  <c r="E612" i="9"/>
  <c r="A619" i="15"/>
  <c r="A619" i="14"/>
  <c r="A619" i="11"/>
  <c r="A619" i="9"/>
  <c r="A619" i="8"/>
  <c r="A622" i="15"/>
  <c r="A622" i="11"/>
  <c r="A622" i="14"/>
  <c r="A622" i="9"/>
  <c r="A622" i="8"/>
  <c r="A625" i="15"/>
  <c r="A625" i="14"/>
  <c r="A625" i="11"/>
  <c r="A625" i="9"/>
  <c r="A625" i="8"/>
  <c r="A627" i="15"/>
  <c r="A627" i="14"/>
  <c r="A627" i="11"/>
  <c r="A627" i="9"/>
  <c r="A627" i="8"/>
  <c r="B630" i="15"/>
  <c r="B630" i="14"/>
  <c r="B630" i="11"/>
  <c r="B630" i="8"/>
  <c r="B630" i="9"/>
  <c r="B633" i="14"/>
  <c r="B633" i="15"/>
  <c r="B633" i="9"/>
  <c r="B633" i="11"/>
  <c r="B633" i="8"/>
  <c r="D637" i="15"/>
  <c r="F637" i="15" s="1"/>
  <c r="D637" i="14"/>
  <c r="F637" i="14" s="1"/>
  <c r="D637" i="9"/>
  <c r="F637" i="9" s="1"/>
  <c r="D637" i="8"/>
  <c r="F637" i="8" s="1"/>
  <c r="G637" i="8" s="1"/>
  <c r="D637" i="11"/>
  <c r="F637" i="11" s="1"/>
  <c r="F640" i="1"/>
  <c r="H640" i="1" s="1"/>
  <c r="D640" i="15"/>
  <c r="F640" i="15" s="1"/>
  <c r="D640" i="14"/>
  <c r="F640" i="14" s="1"/>
  <c r="D640" i="9"/>
  <c r="F640" i="9" s="1"/>
  <c r="D640" i="11"/>
  <c r="F640" i="11" s="1"/>
  <c r="D640" i="8"/>
  <c r="F640" i="8" s="1"/>
  <c r="G640" i="8" s="1"/>
  <c r="B643" i="15"/>
  <c r="B643" i="14"/>
  <c r="B643" i="11"/>
  <c r="B643" i="9"/>
  <c r="B643" i="8"/>
  <c r="B645" i="15"/>
  <c r="B645" i="14"/>
  <c r="B645" i="9"/>
  <c r="B645" i="8"/>
  <c r="B645" i="11"/>
  <c r="E647" i="15"/>
  <c r="E647" i="14"/>
  <c r="E647" i="11"/>
  <c r="E647" i="8"/>
  <c r="E647" i="9"/>
  <c r="F650" i="1"/>
  <c r="G650" i="1" s="1"/>
  <c r="D650" i="15"/>
  <c r="F650" i="15" s="1"/>
  <c r="D650" i="14"/>
  <c r="F650" i="14" s="1"/>
  <c r="D650" i="11"/>
  <c r="F650" i="11" s="1"/>
  <c r="D650" i="9"/>
  <c r="F650" i="9" s="1"/>
  <c r="D650" i="8"/>
  <c r="F650" i="8" s="1"/>
  <c r="G650" i="8" s="1"/>
  <c r="E652" i="14"/>
  <c r="E652" i="15"/>
  <c r="E652" i="11"/>
  <c r="E652" i="9"/>
  <c r="E652" i="8"/>
  <c r="E655" i="15"/>
  <c r="E655" i="14"/>
  <c r="E655" i="11"/>
  <c r="E655" i="9"/>
  <c r="E655" i="8"/>
  <c r="A658" i="15"/>
  <c r="A658" i="14"/>
  <c r="A658" i="11"/>
  <c r="A658" i="9"/>
  <c r="A658" i="8"/>
  <c r="A662" i="15"/>
  <c r="A662" i="14"/>
  <c r="A662" i="11"/>
  <c r="A662" i="8"/>
  <c r="A662" i="9"/>
  <c r="E664" i="15"/>
  <c r="E664" i="14"/>
  <c r="E664" i="11"/>
  <c r="E664" i="9"/>
  <c r="E664" i="8"/>
  <c r="C667" i="15"/>
  <c r="C667" i="11"/>
  <c r="C667" i="9"/>
  <c r="C667" i="14"/>
  <c r="C667" i="8"/>
  <c r="A670" i="15"/>
  <c r="A670" i="14"/>
  <c r="A670" i="11"/>
  <c r="A670" i="8"/>
  <c r="A670" i="9"/>
  <c r="A672" i="15"/>
  <c r="A672" i="14"/>
  <c r="A672" i="9"/>
  <c r="A672" i="11"/>
  <c r="A672" i="8"/>
  <c r="B675" i="15"/>
  <c r="B675" i="14"/>
  <c r="B675" i="11"/>
  <c r="B675" i="9"/>
  <c r="B675" i="8"/>
  <c r="E677" i="15"/>
  <c r="E677" i="14"/>
  <c r="E677" i="11"/>
  <c r="E677" i="9"/>
  <c r="E677" i="8"/>
  <c r="B680" i="14"/>
  <c r="B680" i="11"/>
  <c r="B680" i="15"/>
  <c r="B680" i="9"/>
  <c r="B680" i="8"/>
  <c r="B685" i="15"/>
  <c r="B685" i="14"/>
  <c r="B685" i="11"/>
  <c r="B685" i="9"/>
  <c r="B685" i="8"/>
  <c r="C689" i="15"/>
  <c r="C689" i="14"/>
  <c r="C689" i="11"/>
  <c r="C689" i="8"/>
  <c r="C689" i="9"/>
  <c r="A692" i="15"/>
  <c r="A692" i="14"/>
  <c r="A692" i="11"/>
  <c r="A692" i="9"/>
  <c r="A692" i="8"/>
  <c r="A694" i="15"/>
  <c r="A694" i="14"/>
  <c r="A694" i="11"/>
  <c r="A694" i="9"/>
  <c r="A694" i="8"/>
  <c r="A697" i="15"/>
  <c r="A697" i="14"/>
  <c r="A697" i="11"/>
  <c r="A697" i="9"/>
  <c r="A697" i="8"/>
  <c r="B700" i="15"/>
  <c r="B700" i="14"/>
  <c r="B700" i="11"/>
  <c r="B700" i="9"/>
  <c r="B700" i="8"/>
  <c r="A702" i="15"/>
  <c r="A702" i="14"/>
  <c r="A702" i="11"/>
  <c r="A702" i="9"/>
  <c r="A702" i="8"/>
  <c r="C704" i="15"/>
  <c r="C704" i="11"/>
  <c r="C704" i="8"/>
  <c r="C704" i="14"/>
  <c r="C704" i="9"/>
  <c r="C706" i="15"/>
  <c r="C706" i="14"/>
  <c r="C706" i="11"/>
  <c r="C706" i="9"/>
  <c r="C706" i="8"/>
  <c r="E708" i="15"/>
  <c r="E708" i="14"/>
  <c r="E708" i="11"/>
  <c r="E708" i="9"/>
  <c r="E708" i="8"/>
  <c r="F710" i="1"/>
  <c r="I710" i="1" s="1"/>
  <c r="D710" i="15"/>
  <c r="F710" i="15" s="1"/>
  <c r="D710" i="14"/>
  <c r="F710" i="14" s="1"/>
  <c r="D710" i="11"/>
  <c r="F710" i="11" s="1"/>
  <c r="D710" i="9"/>
  <c r="F710" i="9" s="1"/>
  <c r="D710" i="8"/>
  <c r="F710" i="8" s="1"/>
  <c r="G710" i="8" s="1"/>
  <c r="C713" i="14"/>
  <c r="C713" i="15"/>
  <c r="C713" i="9"/>
  <c r="C713" i="8"/>
  <c r="C713" i="11"/>
  <c r="A716" i="15"/>
  <c r="A716" i="14"/>
  <c r="A716" i="11"/>
  <c r="A716" i="9"/>
  <c r="A716" i="8"/>
  <c r="F718" i="1"/>
  <c r="G718" i="1" s="1"/>
  <c r="D718" i="15"/>
  <c r="F718" i="15" s="1"/>
  <c r="D718" i="14"/>
  <c r="F718" i="14" s="1"/>
  <c r="D718" i="11"/>
  <c r="F718" i="11" s="1"/>
  <c r="D718" i="9"/>
  <c r="F718" i="9" s="1"/>
  <c r="D718" i="8"/>
  <c r="F718" i="8" s="1"/>
  <c r="G718" i="8" s="1"/>
  <c r="C721" i="15"/>
  <c r="C721" i="14"/>
  <c r="C721" i="11"/>
  <c r="C721" i="8"/>
  <c r="C721" i="9"/>
  <c r="A726" i="15"/>
  <c r="A726" i="11"/>
  <c r="A726" i="9"/>
  <c r="A726" i="14"/>
  <c r="A726" i="8"/>
  <c r="D728" i="15"/>
  <c r="F728" i="15" s="1"/>
  <c r="D728" i="11"/>
  <c r="F728" i="11" s="1"/>
  <c r="D728" i="9"/>
  <c r="F728" i="9" s="1"/>
  <c r="D728" i="14"/>
  <c r="F728" i="14" s="1"/>
  <c r="D728" i="8"/>
  <c r="F728" i="8" s="1"/>
  <c r="G728" i="8" s="1"/>
  <c r="F731" i="1"/>
  <c r="D731" i="15"/>
  <c r="F731" i="15" s="1"/>
  <c r="D731" i="11"/>
  <c r="F731" i="11" s="1"/>
  <c r="D731" i="14"/>
  <c r="F731" i="14" s="1"/>
  <c r="D731" i="8"/>
  <c r="F731" i="8" s="1"/>
  <c r="G731" i="8" s="1"/>
  <c r="D731" i="9"/>
  <c r="F731" i="9" s="1"/>
  <c r="E733" i="15"/>
  <c r="E733" i="14"/>
  <c r="E733" i="11"/>
  <c r="E733" i="9"/>
  <c r="E733" i="8"/>
  <c r="C736" i="15"/>
  <c r="C736" i="14"/>
  <c r="C736" i="8"/>
  <c r="C736" i="9"/>
  <c r="C736" i="11"/>
  <c r="E738" i="15"/>
  <c r="E738" i="14"/>
  <c r="E738" i="11"/>
  <c r="E738" i="9"/>
  <c r="E738" i="8"/>
  <c r="F741" i="1"/>
  <c r="D741" i="15"/>
  <c r="F741" i="15" s="1"/>
  <c r="D741" i="14"/>
  <c r="F741" i="14" s="1"/>
  <c r="D741" i="11"/>
  <c r="F741" i="11" s="1"/>
  <c r="D741" i="9"/>
  <c r="F741" i="9" s="1"/>
  <c r="D741" i="8"/>
  <c r="F741" i="8" s="1"/>
  <c r="G741" i="8" s="1"/>
  <c r="E743" i="15"/>
  <c r="E743" i="14"/>
  <c r="E743" i="9"/>
  <c r="E743" i="11"/>
  <c r="E743" i="8"/>
  <c r="B745" i="15"/>
  <c r="B745" i="14"/>
  <c r="B745" i="11"/>
  <c r="B745" i="9"/>
  <c r="B745" i="8"/>
  <c r="B754" i="15"/>
  <c r="B754" i="14"/>
  <c r="B754" i="11"/>
  <c r="B754" i="9"/>
  <c r="B754" i="8"/>
  <c r="D756" i="15"/>
  <c r="F756" i="15" s="1"/>
  <c r="D756" i="14"/>
  <c r="F756" i="14" s="1"/>
  <c r="D756" i="9"/>
  <c r="F756" i="9" s="1"/>
  <c r="D756" i="11"/>
  <c r="F756" i="11" s="1"/>
  <c r="D756" i="8"/>
  <c r="F756" i="8" s="1"/>
  <c r="G756" i="8" s="1"/>
  <c r="D759" i="15"/>
  <c r="F759" i="15" s="1"/>
  <c r="D759" i="14"/>
  <c r="F759" i="14" s="1"/>
  <c r="D759" i="11"/>
  <c r="F759" i="11" s="1"/>
  <c r="D759" i="8"/>
  <c r="F759" i="8" s="1"/>
  <c r="G759" i="8" s="1"/>
  <c r="D759" i="9"/>
  <c r="F759" i="9" s="1"/>
  <c r="C762" i="15"/>
  <c r="C762" i="14"/>
  <c r="C762" i="11"/>
  <c r="C762" i="9"/>
  <c r="C762" i="8"/>
  <c r="A765" i="15"/>
  <c r="A765" i="14"/>
  <c r="A765" i="11"/>
  <c r="A765" i="9"/>
  <c r="A765" i="8"/>
  <c r="B768" i="15"/>
  <c r="B768" i="11"/>
  <c r="B768" i="8"/>
  <c r="B768" i="9"/>
  <c r="B768" i="14"/>
  <c r="C770" i="15"/>
  <c r="C770" i="14"/>
  <c r="C770" i="11"/>
  <c r="C770" i="8"/>
  <c r="C770" i="9"/>
  <c r="A772" i="15"/>
  <c r="A772" i="14"/>
  <c r="A772" i="11"/>
  <c r="A772" i="8"/>
  <c r="A772" i="9"/>
  <c r="F773" i="1"/>
  <c r="I773" i="1" s="1"/>
  <c r="D773" i="15"/>
  <c r="F773" i="15" s="1"/>
  <c r="D773" i="14"/>
  <c r="F773" i="14" s="1"/>
  <c r="D773" i="11"/>
  <c r="F773" i="11" s="1"/>
  <c r="D773" i="9"/>
  <c r="F773" i="9" s="1"/>
  <c r="D773" i="8"/>
  <c r="F773" i="8" s="1"/>
  <c r="G773" i="8" s="1"/>
  <c r="C777" i="14"/>
  <c r="C777" i="15"/>
  <c r="C777" i="9"/>
  <c r="C777" i="8"/>
  <c r="C777" i="11"/>
  <c r="A779" i="15"/>
  <c r="A779" i="14"/>
  <c r="A779" i="11"/>
  <c r="A779" i="9"/>
  <c r="A779" i="8"/>
  <c r="B781" i="14"/>
  <c r="B781" i="15"/>
  <c r="B781" i="11"/>
  <c r="B781" i="9"/>
  <c r="B781" i="8"/>
  <c r="E783" i="15"/>
  <c r="E783" i="14"/>
  <c r="E783" i="9"/>
  <c r="E783" i="11"/>
  <c r="E783" i="8"/>
  <c r="A787" i="15"/>
  <c r="A787" i="14"/>
  <c r="A787" i="11"/>
  <c r="A787" i="9"/>
  <c r="A787" i="8"/>
  <c r="F789" i="1"/>
  <c r="K789" i="1" s="1"/>
  <c r="D789" i="15"/>
  <c r="F789" i="15" s="1"/>
  <c r="D789" i="14"/>
  <c r="F789" i="14" s="1"/>
  <c r="D789" i="11"/>
  <c r="F789" i="11" s="1"/>
  <c r="D789" i="9"/>
  <c r="F789" i="9" s="1"/>
  <c r="D789" i="8"/>
  <c r="F789" i="8" s="1"/>
  <c r="G789" i="8" s="1"/>
  <c r="A792" i="15"/>
  <c r="A792" i="14"/>
  <c r="A792" i="9"/>
  <c r="A792" i="8"/>
  <c r="A792" i="11"/>
  <c r="C794" i="15"/>
  <c r="C794" i="14"/>
  <c r="C794" i="11"/>
  <c r="C794" i="8"/>
  <c r="C794" i="9"/>
  <c r="E796" i="15"/>
  <c r="E796" i="14"/>
  <c r="E796" i="11"/>
  <c r="E796" i="8"/>
  <c r="E796" i="9"/>
  <c r="F798" i="1"/>
  <c r="H798" i="1" s="1"/>
  <c r="D798" i="15"/>
  <c r="F798" i="15" s="1"/>
  <c r="D798" i="14"/>
  <c r="F798" i="14" s="1"/>
  <c r="D798" i="11"/>
  <c r="F798" i="11" s="1"/>
  <c r="D798" i="8"/>
  <c r="F798" i="8" s="1"/>
  <c r="G798" i="8" s="1"/>
  <c r="D798" i="9"/>
  <c r="F798" i="9" s="1"/>
  <c r="E803" i="14"/>
  <c r="E803" i="11"/>
  <c r="E803" i="15"/>
  <c r="E803" i="9"/>
  <c r="E803" i="8"/>
  <c r="A806" i="15"/>
  <c r="A806" i="14"/>
  <c r="A806" i="11"/>
  <c r="A806" i="8"/>
  <c r="A806" i="9"/>
  <c r="C808" i="15"/>
  <c r="C808" i="14"/>
  <c r="C808" i="11"/>
  <c r="C808" i="9"/>
  <c r="C808" i="8"/>
  <c r="E810" i="15"/>
  <c r="E810" i="11"/>
  <c r="E810" i="14"/>
  <c r="E810" i="9"/>
  <c r="E810" i="8"/>
  <c r="E815" i="15"/>
  <c r="E815" i="11"/>
  <c r="E815" i="14"/>
  <c r="E815" i="9"/>
  <c r="E815" i="8"/>
  <c r="E818" i="15"/>
  <c r="E818" i="14"/>
  <c r="E818" i="11"/>
  <c r="E818" i="9"/>
  <c r="E818" i="8"/>
  <c r="A823" i="15"/>
  <c r="A823" i="14"/>
  <c r="A823" i="11"/>
  <c r="A823" i="9"/>
  <c r="A823" i="8"/>
  <c r="E825" i="14"/>
  <c r="E825" i="15"/>
  <c r="E825" i="11"/>
  <c r="E825" i="9"/>
  <c r="E825" i="8"/>
  <c r="C828" i="15"/>
  <c r="C828" i="11"/>
  <c r="C828" i="14"/>
  <c r="C828" i="8"/>
  <c r="C828" i="9"/>
  <c r="A832" i="15"/>
  <c r="A832" i="14"/>
  <c r="A832" i="11"/>
  <c r="A832" i="9"/>
  <c r="A832" i="8"/>
  <c r="C834" i="14"/>
  <c r="C834" i="15"/>
  <c r="C834" i="9"/>
  <c r="C834" i="11"/>
  <c r="C834" i="8"/>
  <c r="E836" i="15"/>
  <c r="E836" i="14"/>
  <c r="E836" i="11"/>
  <c r="E836" i="9"/>
  <c r="E836" i="8"/>
  <c r="D839" i="15"/>
  <c r="F839" i="15" s="1"/>
  <c r="D839" i="14"/>
  <c r="F839" i="14" s="1"/>
  <c r="D839" i="11"/>
  <c r="F839" i="11" s="1"/>
  <c r="D839" i="9"/>
  <c r="F839" i="9" s="1"/>
  <c r="D839" i="8"/>
  <c r="F839" i="8" s="1"/>
  <c r="G839" i="8" s="1"/>
  <c r="B842" i="14"/>
  <c r="B842" i="15"/>
  <c r="B842" i="11"/>
  <c r="B842" i="9"/>
  <c r="B842" i="8"/>
  <c r="D844" i="15"/>
  <c r="F844" i="15" s="1"/>
  <c r="D844" i="11"/>
  <c r="F844" i="11" s="1"/>
  <c r="D844" i="14"/>
  <c r="F844" i="14" s="1"/>
  <c r="D844" i="9"/>
  <c r="F844" i="9" s="1"/>
  <c r="D844" i="8"/>
  <c r="F844" i="8" s="1"/>
  <c r="G844" i="8" s="1"/>
  <c r="D847" i="15"/>
  <c r="F847" i="15" s="1"/>
  <c r="D847" i="14"/>
  <c r="F847" i="14" s="1"/>
  <c r="D847" i="9"/>
  <c r="F847" i="9" s="1"/>
  <c r="D847" i="11"/>
  <c r="F847" i="11" s="1"/>
  <c r="D847" i="8"/>
  <c r="F847" i="8" s="1"/>
  <c r="G847" i="8" s="1"/>
  <c r="D852" i="15"/>
  <c r="F852" i="15" s="1"/>
  <c r="D852" i="11"/>
  <c r="F852" i="11" s="1"/>
  <c r="D852" i="14"/>
  <c r="F852" i="14" s="1"/>
  <c r="D852" i="9"/>
  <c r="F852" i="9" s="1"/>
  <c r="D852" i="8"/>
  <c r="F852" i="8" s="1"/>
  <c r="G852" i="8" s="1"/>
  <c r="A855" i="15"/>
  <c r="A855" i="14"/>
  <c r="A855" i="11"/>
  <c r="A855" i="8"/>
  <c r="A855" i="9"/>
  <c r="E857" i="15"/>
  <c r="E857" i="14"/>
  <c r="E857" i="11"/>
  <c r="E857" i="8"/>
  <c r="E857" i="9"/>
  <c r="C858" i="15"/>
  <c r="C858" i="14"/>
  <c r="C858" i="9"/>
  <c r="C858" i="11"/>
  <c r="C858" i="8"/>
  <c r="D858" i="14"/>
  <c r="F858" i="14" s="1"/>
  <c r="D858" i="15"/>
  <c r="F858" i="15" s="1"/>
  <c r="D858" i="11"/>
  <c r="F858" i="11" s="1"/>
  <c r="D858" i="9"/>
  <c r="F858" i="9" s="1"/>
  <c r="D858" i="8"/>
  <c r="F858" i="8" s="1"/>
  <c r="G858" i="8" s="1"/>
  <c r="E858" i="15"/>
  <c r="E858" i="14"/>
  <c r="E858" i="11"/>
  <c r="E858" i="9"/>
  <c r="E858" i="8"/>
  <c r="A859" i="15"/>
  <c r="A859" i="14"/>
  <c r="A859" i="11"/>
  <c r="A859" i="9"/>
  <c r="A859" i="8"/>
  <c r="B859" i="15"/>
  <c r="B859" i="14"/>
  <c r="B859" i="11"/>
  <c r="B859" i="9"/>
  <c r="B859" i="8"/>
  <c r="C859" i="15"/>
  <c r="C859" i="14"/>
  <c r="C859" i="11"/>
  <c r="C859" i="9"/>
  <c r="C859" i="8"/>
  <c r="H9" i="1"/>
  <c r="I15" i="1"/>
  <c r="J35" i="1"/>
  <c r="I35" i="1"/>
  <c r="H35" i="1"/>
  <c r="G35" i="1"/>
  <c r="H362" i="1"/>
  <c r="J362" i="1"/>
  <c r="I362" i="1"/>
  <c r="G362" i="1"/>
  <c r="G155" i="1"/>
  <c r="J155" i="1"/>
  <c r="I155" i="1"/>
  <c r="H155" i="1"/>
  <c r="H761" i="1"/>
  <c r="K761" i="1"/>
  <c r="I761" i="1"/>
  <c r="J761" i="1"/>
  <c r="G761" i="1"/>
  <c r="K823" i="1"/>
  <c r="H154" i="1"/>
  <c r="I154" i="1"/>
  <c r="J154" i="1"/>
  <c r="G154" i="1"/>
  <c r="H278" i="1"/>
  <c r="J396" i="1"/>
  <c r="J235" i="1"/>
  <c r="G768" i="1"/>
  <c r="J768" i="1"/>
  <c r="I768" i="1"/>
  <c r="K677" i="1"/>
  <c r="J677" i="1"/>
  <c r="H264" i="1"/>
  <c r="J509" i="1"/>
  <c r="I509" i="1"/>
  <c r="K521" i="1"/>
  <c r="H521" i="1"/>
  <c r="H58" i="1"/>
  <c r="G58" i="1"/>
  <c r="J541" i="1"/>
  <c r="G541" i="1"/>
  <c r="G22" i="1"/>
  <c r="I144" i="1"/>
  <c r="K576" i="1"/>
  <c r="J851" i="1"/>
  <c r="J91" i="1"/>
  <c r="K541" i="1"/>
  <c r="J713" i="1"/>
  <c r="I713" i="1"/>
  <c r="J759" i="1"/>
  <c r="K759" i="1"/>
  <c r="G759" i="1"/>
  <c r="H541" i="1"/>
  <c r="I759" i="1"/>
  <c r="J537" i="1"/>
  <c r="J781" i="1"/>
  <c r="M781" i="1" s="1"/>
  <c r="J634" i="1"/>
  <c r="G528" i="1"/>
  <c r="K528" i="1"/>
  <c r="J528" i="1"/>
  <c r="H144" i="1"/>
  <c r="G144" i="1"/>
  <c r="I541" i="1"/>
  <c r="G512" i="1"/>
  <c r="I512" i="1"/>
  <c r="H512" i="1"/>
  <c r="K620" i="1"/>
  <c r="J233" i="1"/>
  <c r="G852" i="1"/>
  <c r="G161" i="1"/>
  <c r="J33" i="1"/>
  <c r="I127" i="1"/>
  <c r="J158" i="1"/>
  <c r="I158" i="1"/>
  <c r="J546" i="1"/>
  <c r="M546" i="1" s="1"/>
  <c r="I566" i="1"/>
  <c r="I712" i="1"/>
  <c r="J712" i="1"/>
  <c r="H712" i="1"/>
  <c r="G712" i="1"/>
  <c r="G764" i="1"/>
  <c r="J764" i="1"/>
  <c r="M764" i="1" s="1"/>
  <c r="I764" i="1"/>
  <c r="G394" i="1"/>
  <c r="G46" i="1"/>
  <c r="H138" i="1"/>
  <c r="I138" i="1"/>
  <c r="G138" i="1"/>
  <c r="G322" i="1"/>
  <c r="K712" i="1"/>
  <c r="H764" i="1"/>
  <c r="J844" i="1"/>
  <c r="G215" i="1"/>
  <c r="G451" i="1"/>
  <c r="J794" i="1"/>
  <c r="G613" i="1"/>
  <c r="I728" i="1"/>
  <c r="K728" i="1"/>
  <c r="J728" i="1"/>
  <c r="H728" i="1"/>
  <c r="I451" i="1"/>
  <c r="H174" i="1"/>
  <c r="G192" i="1"/>
  <c r="J451" i="1"/>
  <c r="G518" i="1"/>
  <c r="G552" i="1"/>
  <c r="I191" i="1"/>
  <c r="H191" i="1"/>
  <c r="I192" i="1"/>
  <c r="H843" i="1"/>
  <c r="G733" i="1"/>
  <c r="G847" i="1"/>
  <c r="H474" i="1"/>
  <c r="G584" i="1"/>
  <c r="I818" i="1"/>
  <c r="K818" i="1"/>
  <c r="G587" i="1"/>
  <c r="G412" i="1" l="1"/>
  <c r="I46" i="1"/>
  <c r="H704" i="1"/>
  <c r="G546" i="1"/>
  <c r="G769" i="1"/>
  <c r="J46" i="1"/>
  <c r="G818" i="1"/>
  <c r="H169" i="1"/>
  <c r="I169" i="1"/>
  <c r="J145" i="1"/>
  <c r="K743" i="1"/>
  <c r="H446" i="1"/>
  <c r="H638" i="1"/>
  <c r="I549" i="1"/>
  <c r="H818" i="1"/>
  <c r="I707" i="1"/>
  <c r="J707" i="1"/>
  <c r="H86" i="1"/>
  <c r="H329" i="1"/>
  <c r="G233" i="1"/>
  <c r="I743" i="1"/>
  <c r="I669" i="1"/>
  <c r="I704" i="1"/>
  <c r="J763" i="1"/>
  <c r="K669" i="1"/>
  <c r="I412" i="1"/>
  <c r="G145" i="1"/>
  <c r="K704" i="1"/>
  <c r="M704" i="1" s="1"/>
  <c r="I223" i="1"/>
  <c r="J669" i="1"/>
  <c r="G446" i="1"/>
  <c r="G86" i="1"/>
  <c r="J704" i="1"/>
  <c r="J549" i="1"/>
  <c r="K446" i="1"/>
  <c r="I446" i="1"/>
  <c r="I145" i="1"/>
  <c r="H781" i="1"/>
  <c r="G564" i="1"/>
  <c r="I233" i="1"/>
  <c r="J638" i="1"/>
  <c r="G781" i="1"/>
  <c r="J564" i="1"/>
  <c r="I781" i="1"/>
  <c r="H564" i="1"/>
  <c r="G102" i="1"/>
  <c r="K537" i="1"/>
  <c r="K843" i="1"/>
  <c r="M843" i="1" s="1"/>
  <c r="N843" i="1" s="1"/>
  <c r="K844" i="1"/>
  <c r="J180" i="1"/>
  <c r="J769" i="1"/>
  <c r="G707" i="1"/>
  <c r="I22" i="1"/>
  <c r="G258" i="1"/>
  <c r="I564" i="1"/>
  <c r="I329" i="1"/>
  <c r="H235" i="1"/>
  <c r="K235" i="1" s="1"/>
  <c r="J223" i="1"/>
  <c r="K223" i="1" s="1"/>
  <c r="H476" i="1"/>
  <c r="H192" i="1"/>
  <c r="J127" i="1"/>
  <c r="G843" i="1"/>
  <c r="G169" i="1"/>
  <c r="I655" i="1"/>
  <c r="I749" i="1"/>
  <c r="I91" i="1"/>
  <c r="G509" i="1"/>
  <c r="G290" i="1"/>
  <c r="I235" i="1"/>
  <c r="G223" i="1"/>
  <c r="J480" i="1"/>
  <c r="J412" i="1"/>
  <c r="G655" i="1"/>
  <c r="H566" i="1"/>
  <c r="J656" i="1"/>
  <c r="G343" i="1"/>
  <c r="H290" i="1"/>
  <c r="H769" i="1"/>
  <c r="G325" i="1"/>
  <c r="H823" i="1"/>
  <c r="K848" i="1"/>
  <c r="M848" i="1" s="1"/>
  <c r="H598" i="1"/>
  <c r="G476" i="1"/>
  <c r="K476" i="1" s="1"/>
  <c r="I23" i="1"/>
  <c r="K598" i="1"/>
  <c r="K670" i="1"/>
  <c r="M670" i="1" s="1"/>
  <c r="Q670" i="1" s="1"/>
  <c r="F668" i="13" s="1"/>
  <c r="J575" i="1"/>
  <c r="G598" i="1"/>
  <c r="J23" i="1"/>
  <c r="H694" i="1"/>
  <c r="I558" i="1"/>
  <c r="I540" i="1"/>
  <c r="K690" i="1"/>
  <c r="M690" i="1" s="1"/>
  <c r="N690" i="1" s="1"/>
  <c r="I8" i="1"/>
  <c r="I598" i="1"/>
  <c r="G390" i="1"/>
  <c r="G164" i="1"/>
  <c r="H675" i="1"/>
  <c r="H433" i="1"/>
  <c r="I756" i="1"/>
  <c r="J823" i="1"/>
  <c r="I665" i="1"/>
  <c r="H490" i="1"/>
  <c r="J848" i="1"/>
  <c r="H390" i="1"/>
  <c r="G558" i="1"/>
  <c r="K558" i="1"/>
  <c r="M558" i="1" s="1"/>
  <c r="G23" i="1"/>
  <c r="G823" i="1"/>
  <c r="G756" i="1"/>
  <c r="I848" i="1"/>
  <c r="I680" i="1"/>
  <c r="M707" i="1"/>
  <c r="J361" i="1"/>
  <c r="G43" i="1"/>
  <c r="K43" i="1" s="1"/>
  <c r="J670" i="1"/>
  <c r="I229" i="1"/>
  <c r="H518" i="1"/>
  <c r="I361" i="1"/>
  <c r="H537" i="1"/>
  <c r="J303" i="1"/>
  <c r="G844" i="1"/>
  <c r="J594" i="1"/>
  <c r="I537" i="1"/>
  <c r="G535" i="1"/>
  <c r="H303" i="1"/>
  <c r="I638" i="1"/>
  <c r="J592" i="1"/>
  <c r="H229" i="1"/>
  <c r="G540" i="1"/>
  <c r="I7" i="1"/>
  <c r="I264" i="1"/>
  <c r="G44" i="1"/>
  <c r="G848" i="1"/>
  <c r="H844" i="1"/>
  <c r="K540" i="1"/>
  <c r="M540" i="1" s="1"/>
  <c r="P540" i="1" s="1"/>
  <c r="J7" i="1"/>
  <c r="J264" i="1"/>
  <c r="G743" i="1"/>
  <c r="G442" i="1"/>
  <c r="I77" i="1"/>
  <c r="H852" i="1"/>
  <c r="H707" i="1"/>
  <c r="J762" i="1"/>
  <c r="J242" i="1"/>
  <c r="H77" i="1"/>
  <c r="I43" i="1"/>
  <c r="J215" i="1"/>
  <c r="G8" i="1"/>
  <c r="K713" i="1"/>
  <c r="M713" i="1" s="1"/>
  <c r="G77" i="1"/>
  <c r="K794" i="1"/>
  <c r="M794" i="1" s="1"/>
  <c r="O794" i="1" s="1"/>
  <c r="K680" i="1"/>
  <c r="M680" i="1" s="1"/>
  <c r="I677" i="1"/>
  <c r="J452" i="1"/>
  <c r="K739" i="1"/>
  <c r="M739" i="1" s="1"/>
  <c r="I480" i="1"/>
  <c r="H677" i="1"/>
  <c r="J329" i="1"/>
  <c r="I452" i="1"/>
  <c r="J402" i="1"/>
  <c r="H493" i="1"/>
  <c r="H721" i="1"/>
  <c r="J66" i="1"/>
  <c r="G136" i="1"/>
  <c r="K847" i="1"/>
  <c r="M847" i="1" s="1"/>
  <c r="G575" i="1"/>
  <c r="H653" i="1"/>
  <c r="G225" i="1"/>
  <c r="H733" i="1"/>
  <c r="J222" i="1"/>
  <c r="I634" i="1"/>
  <c r="G307" i="1"/>
  <c r="I733" i="1"/>
  <c r="H95" i="1"/>
  <c r="H592" i="1"/>
  <c r="H161" i="1"/>
  <c r="J161" i="1"/>
  <c r="I706" i="1"/>
  <c r="K634" i="1"/>
  <c r="I379" i="1"/>
  <c r="H690" i="1"/>
  <c r="I302" i="1"/>
  <c r="J8" i="1"/>
  <c r="K702" i="1"/>
  <c r="M702" i="1" s="1"/>
  <c r="Q702" i="1" s="1"/>
  <c r="F700" i="13" s="1"/>
  <c r="J540" i="1"/>
  <c r="K642" i="1"/>
  <c r="M642" i="1" s="1"/>
  <c r="H575" i="1"/>
  <c r="G679" i="1"/>
  <c r="I441" i="1"/>
  <c r="J96" i="1"/>
  <c r="J706" i="1"/>
  <c r="H634" i="1"/>
  <c r="G379" i="1"/>
  <c r="J690" i="1"/>
  <c r="H22" i="1"/>
  <c r="H128" i="1"/>
  <c r="J302" i="1"/>
  <c r="J580" i="1"/>
  <c r="I575" i="1"/>
  <c r="I642" i="1"/>
  <c r="J620" i="1"/>
  <c r="H656" i="1"/>
  <c r="H379" i="1"/>
  <c r="I690" i="1"/>
  <c r="J856" i="1"/>
  <c r="I128" i="1"/>
  <c r="H580" i="1"/>
  <c r="I278" i="1"/>
  <c r="G721" i="1"/>
  <c r="H90" i="1"/>
  <c r="J72" i="1"/>
  <c r="J721" i="1"/>
  <c r="G66" i="1"/>
  <c r="G566" i="1"/>
  <c r="H713" i="1"/>
  <c r="I702" i="1"/>
  <c r="I653" i="1"/>
  <c r="I390" i="1"/>
  <c r="H642" i="1"/>
  <c r="G656" i="1"/>
  <c r="J278" i="1"/>
  <c r="K721" i="1"/>
  <c r="M721" i="1" s="1"/>
  <c r="P721" i="1" s="1"/>
  <c r="G90" i="1"/>
  <c r="I493" i="1"/>
  <c r="G302" i="1"/>
  <c r="H225" i="1"/>
  <c r="G653" i="1"/>
  <c r="H180" i="1"/>
  <c r="J679" i="1"/>
  <c r="M679" i="1" s="1"/>
  <c r="P679" i="1" s="1"/>
  <c r="I794" i="1"/>
  <c r="H620" i="1"/>
  <c r="H856" i="1"/>
  <c r="H756" i="1"/>
  <c r="G836" i="1"/>
  <c r="H847" i="1"/>
  <c r="J653" i="1"/>
  <c r="H361" i="1"/>
  <c r="G794" i="1"/>
  <c r="J852" i="1"/>
  <c r="I620" i="1"/>
  <c r="I656" i="1"/>
  <c r="G70" i="1"/>
  <c r="H680" i="1"/>
  <c r="K856" i="1"/>
  <c r="M856" i="1" s="1"/>
  <c r="I535" i="1"/>
  <c r="I10" i="1"/>
  <c r="J756" i="1"/>
  <c r="I258" i="1"/>
  <c r="H66" i="1"/>
  <c r="I303" i="1"/>
  <c r="J642" i="1"/>
  <c r="H279" i="1"/>
  <c r="G702" i="1"/>
  <c r="H679" i="1"/>
  <c r="J836" i="1"/>
  <c r="M836" i="1" s="1"/>
  <c r="N836" i="1" s="1"/>
  <c r="I852" i="1"/>
  <c r="K757" i="1"/>
  <c r="M757" i="1" s="1"/>
  <c r="N757" i="1" s="1"/>
  <c r="J535" i="1"/>
  <c r="H836" i="1"/>
  <c r="J733" i="1"/>
  <c r="M733" i="1" s="1"/>
  <c r="I567" i="1"/>
  <c r="G95" i="1"/>
  <c r="G350" i="1"/>
  <c r="J680" i="1"/>
  <c r="I856" i="1"/>
  <c r="K535" i="1"/>
  <c r="M535" i="1" s="1"/>
  <c r="G452" i="1"/>
  <c r="K452" i="1" s="1"/>
  <c r="I587" i="1"/>
  <c r="J106" i="1"/>
  <c r="H442" i="1"/>
  <c r="H584" i="1"/>
  <c r="H251" i="1"/>
  <c r="H528" i="1"/>
  <c r="K727" i="1"/>
  <c r="M727" i="1" s="1"/>
  <c r="P727" i="1" s="1"/>
  <c r="K768" i="1"/>
  <c r="J587" i="1"/>
  <c r="M587" i="1" s="1"/>
  <c r="P587" i="1" s="1"/>
  <c r="J566" i="1"/>
  <c r="M566" i="1" s="1"/>
  <c r="Q566" i="1" s="1"/>
  <c r="F564" i="13" s="1"/>
  <c r="J518" i="1"/>
  <c r="H91" i="1"/>
  <c r="K91" i="1" s="1"/>
  <c r="G727" i="1"/>
  <c r="G127" i="1"/>
  <c r="K127" i="1" s="1"/>
  <c r="J584" i="1"/>
  <c r="K584" i="1"/>
  <c r="M584" i="1" s="1"/>
  <c r="I435" i="1"/>
  <c r="K435" i="1" s="1"/>
  <c r="H727" i="1"/>
  <c r="J633" i="1"/>
  <c r="G737" i="1"/>
  <c r="I727" i="1"/>
  <c r="K633" i="1"/>
  <c r="G94" i="1"/>
  <c r="J828" i="1"/>
  <c r="G753" i="1"/>
  <c r="G511" i="1"/>
  <c r="G500" i="1"/>
  <c r="I824" i="1"/>
  <c r="J322" i="1"/>
  <c r="G706" i="1"/>
  <c r="I762" i="1"/>
  <c r="G578" i="1"/>
  <c r="J225" i="1"/>
  <c r="K839" i="1"/>
  <c r="M839" i="1" s="1"/>
  <c r="N839" i="1" s="1"/>
  <c r="K763" i="1"/>
  <c r="M763" i="1" s="1"/>
  <c r="O763" i="1" s="1"/>
  <c r="J331" i="1"/>
  <c r="G334" i="1"/>
  <c r="H167" i="1"/>
  <c r="I290" i="1"/>
  <c r="J702" i="1"/>
  <c r="H10" i="1"/>
  <c r="J174" i="1"/>
  <c r="H502" i="1"/>
  <c r="H472" i="1"/>
  <c r="H826" i="1"/>
  <c r="K706" i="1"/>
  <c r="M706" i="1" s="1"/>
  <c r="H762" i="1"/>
  <c r="I331" i="1"/>
  <c r="J10" i="1"/>
  <c r="J457" i="1"/>
  <c r="K824" i="1"/>
  <c r="M824" i="1" s="1"/>
  <c r="J730" i="1"/>
  <c r="H96" i="1"/>
  <c r="K762" i="1"/>
  <c r="M762" i="1" s="1"/>
  <c r="G331" i="1"/>
  <c r="H391" i="1"/>
  <c r="J858" i="1"/>
  <c r="H483" i="1"/>
  <c r="H839" i="1"/>
  <c r="I271" i="1"/>
  <c r="H500" i="1"/>
  <c r="I343" i="1"/>
  <c r="G839" i="1"/>
  <c r="I763" i="1"/>
  <c r="H334" i="1"/>
  <c r="H782" i="1"/>
  <c r="J824" i="1"/>
  <c r="I96" i="1"/>
  <c r="I163" i="1"/>
  <c r="H343" i="1"/>
  <c r="I839" i="1"/>
  <c r="H763" i="1"/>
  <c r="I334" i="1"/>
  <c r="I6" i="1"/>
  <c r="J743" i="1"/>
  <c r="J18" i="1"/>
  <c r="H325" i="1"/>
  <c r="K655" i="1"/>
  <c r="M655" i="1" s="1"/>
  <c r="P655" i="1" s="1"/>
  <c r="H858" i="1"/>
  <c r="G134" i="1"/>
  <c r="H72" i="1"/>
  <c r="G795" i="1"/>
  <c r="I542" i="1"/>
  <c r="H824" i="1"/>
  <c r="H578" i="1"/>
  <c r="J321" i="1"/>
  <c r="K782" i="1"/>
  <c r="I592" i="1"/>
  <c r="H655" i="1"/>
  <c r="H749" i="1"/>
  <c r="G217" i="1"/>
  <c r="J6" i="1"/>
  <c r="G333" i="1"/>
  <c r="G15" i="1"/>
  <c r="G229" i="1"/>
  <c r="G391" i="1"/>
  <c r="H567" i="1"/>
  <c r="J333" i="1"/>
  <c r="I473" i="1"/>
  <c r="K473" i="1" s="1"/>
  <c r="I694" i="1"/>
  <c r="H770" i="1"/>
  <c r="H607" i="1"/>
  <c r="K753" i="1"/>
  <c r="I215" i="1"/>
  <c r="G174" i="1"/>
  <c r="G592" i="1"/>
  <c r="I600" i="1"/>
  <c r="H735" i="1"/>
  <c r="I578" i="1"/>
  <c r="I88" i="1"/>
  <c r="I375" i="1"/>
  <c r="I321" i="1"/>
  <c r="J472" i="1"/>
  <c r="K472" i="1" s="1"/>
  <c r="H352" i="1"/>
  <c r="H6" i="1"/>
  <c r="J15" i="1"/>
  <c r="I502" i="1"/>
  <c r="J136" i="1"/>
  <c r="I782" i="1"/>
  <c r="H350" i="1"/>
  <c r="J469" i="1"/>
  <c r="J782" i="1"/>
  <c r="I350" i="1"/>
  <c r="G567" i="1"/>
  <c r="G279" i="1"/>
  <c r="I836" i="1"/>
  <c r="J611" i="1"/>
  <c r="H88" i="1"/>
  <c r="I842" i="1"/>
  <c r="J63" i="1"/>
  <c r="I63" i="1"/>
  <c r="K578" i="1"/>
  <c r="M578" i="1" s="1"/>
  <c r="O578" i="1" s="1"/>
  <c r="H271" i="1"/>
  <c r="H217" i="1"/>
  <c r="G826" i="1"/>
  <c r="K749" i="1"/>
  <c r="M749" i="1" s="1"/>
  <c r="G814" i="1"/>
  <c r="I217" i="1"/>
  <c r="I469" i="1"/>
  <c r="H469" i="1"/>
  <c r="G167" i="1"/>
  <c r="I472" i="1"/>
  <c r="I594" i="1"/>
  <c r="J352" i="1"/>
  <c r="I770" i="1"/>
  <c r="I457" i="1"/>
  <c r="G749" i="1"/>
  <c r="G7" i="1"/>
  <c r="I333" i="1"/>
  <c r="G694" i="1"/>
  <c r="G770" i="1"/>
  <c r="H753" i="1"/>
  <c r="G457" i="1"/>
  <c r="H520" i="1"/>
  <c r="I735" i="1"/>
  <c r="J375" i="1"/>
  <c r="I136" i="1"/>
  <c r="G402" i="1"/>
  <c r="H832" i="1"/>
  <c r="K694" i="1"/>
  <c r="M694" i="1" s="1"/>
  <c r="H645" i="1"/>
  <c r="I511" i="1"/>
  <c r="J753" i="1"/>
  <c r="H739" i="1"/>
  <c r="G594" i="1"/>
  <c r="J300" i="1"/>
  <c r="J75" i="1"/>
  <c r="G375" i="1"/>
  <c r="J842" i="1"/>
  <c r="H321" i="1"/>
  <c r="J167" i="1"/>
  <c r="I100" i="1"/>
  <c r="H402" i="1"/>
  <c r="G590" i="1"/>
  <c r="J505" i="1"/>
  <c r="I739" i="1"/>
  <c r="J325" i="1"/>
  <c r="G354" i="1"/>
  <c r="J279" i="1"/>
  <c r="H594" i="1"/>
  <c r="G433" i="1"/>
  <c r="J724" i="1"/>
  <c r="I858" i="1"/>
  <c r="G828" i="1"/>
  <c r="K842" i="1"/>
  <c r="M842" i="1" s="1"/>
  <c r="Q842" i="1" s="1"/>
  <c r="F840" i="13" s="1"/>
  <c r="I445" i="1"/>
  <c r="H840" i="1"/>
  <c r="J433" i="1"/>
  <c r="H757" i="1"/>
  <c r="H526" i="1"/>
  <c r="J526" i="1"/>
  <c r="H258" i="1"/>
  <c r="G767" i="1"/>
  <c r="I580" i="1"/>
  <c r="G305" i="1"/>
  <c r="I180" i="1"/>
  <c r="I646" i="1"/>
  <c r="G431" i="1"/>
  <c r="I418" i="1"/>
  <c r="G785" i="1"/>
  <c r="G646" i="1"/>
  <c r="H418" i="1"/>
  <c r="J418" i="1"/>
  <c r="K646" i="1"/>
  <c r="M646" i="1" s="1"/>
  <c r="Q646" i="1" s="1"/>
  <c r="F644" i="13" s="1"/>
  <c r="G645" i="1"/>
  <c r="J163" i="1"/>
  <c r="G757" i="1"/>
  <c r="G411" i="1"/>
  <c r="J411" i="1"/>
  <c r="H289" i="1"/>
  <c r="K648" i="1"/>
  <c r="G38" i="1"/>
  <c r="H38" i="1"/>
  <c r="J100" i="1"/>
  <c r="H572" i="1"/>
  <c r="H795" i="1"/>
  <c r="I38" i="1"/>
  <c r="I795" i="1"/>
  <c r="I590" i="1"/>
  <c r="J572" i="1"/>
  <c r="I289" i="1"/>
  <c r="K735" i="1"/>
  <c r="M735" i="1" s="1"/>
  <c r="I738" i="1"/>
  <c r="J555" i="1"/>
  <c r="G462" i="1"/>
  <c r="K462" i="1" s="1"/>
  <c r="J508" i="1"/>
  <c r="I572" i="1"/>
  <c r="G289" i="1"/>
  <c r="J735" i="1"/>
  <c r="H738" i="1"/>
  <c r="G842" i="1"/>
  <c r="J808" i="1"/>
  <c r="G542" i="1"/>
  <c r="K572" i="1"/>
  <c r="M572" i="1" s="1"/>
  <c r="J738" i="1"/>
  <c r="G502" i="1"/>
  <c r="I72" i="1"/>
  <c r="I406" i="1"/>
  <c r="I508" i="1"/>
  <c r="H558" i="1"/>
  <c r="J520" i="1"/>
  <c r="J198" i="1"/>
  <c r="G100" i="1"/>
  <c r="J354" i="1"/>
  <c r="H382" i="1"/>
  <c r="G520" i="1"/>
  <c r="G262" i="1"/>
  <c r="J382" i="1"/>
  <c r="G198" i="1"/>
  <c r="I456" i="1"/>
  <c r="H198" i="1"/>
  <c r="K738" i="1"/>
  <c r="M738" i="1" s="1"/>
  <c r="O738" i="1" s="1"/>
  <c r="K520" i="1"/>
  <c r="M520" i="1" s="1"/>
  <c r="H262" i="1"/>
  <c r="I382" i="1"/>
  <c r="K828" i="1"/>
  <c r="M828" i="1" s="1"/>
  <c r="G508" i="1"/>
  <c r="K508" i="1" s="1"/>
  <c r="J236" i="1"/>
  <c r="I576" i="1"/>
  <c r="J456" i="1"/>
  <c r="G128" i="1"/>
  <c r="H828" i="1"/>
  <c r="H354" i="1"/>
  <c r="K600" i="1"/>
  <c r="M600" i="1" s="1"/>
  <c r="Q600" i="1" s="1"/>
  <c r="F598" i="13" s="1"/>
  <c r="G571" i="1"/>
  <c r="G858" i="1"/>
  <c r="G600" i="1"/>
  <c r="G106" i="1"/>
  <c r="H628" i="1"/>
  <c r="I411" i="1"/>
  <c r="H511" i="1"/>
  <c r="J739" i="1"/>
  <c r="J88" i="1"/>
  <c r="J406" i="1"/>
  <c r="I352" i="1"/>
  <c r="G483" i="1"/>
  <c r="I654" i="1"/>
  <c r="H47" i="1"/>
  <c r="J737" i="1"/>
  <c r="K730" i="1"/>
  <c r="M730" i="1" s="1"/>
  <c r="J837" i="1"/>
  <c r="G776" i="1"/>
  <c r="I224" i="1"/>
  <c r="G294" i="1"/>
  <c r="G441" i="1"/>
  <c r="J193" i="1"/>
  <c r="G314" i="1"/>
  <c r="H408" i="1"/>
  <c r="G555" i="1"/>
  <c r="H422" i="1"/>
  <c r="H172" i="1"/>
  <c r="J510" i="1"/>
  <c r="H407" i="1"/>
  <c r="J311" i="1"/>
  <c r="I408" i="1"/>
  <c r="H555" i="1"/>
  <c r="G654" i="1"/>
  <c r="I510" i="1"/>
  <c r="K737" i="1"/>
  <c r="M737" i="1" s="1"/>
  <c r="I407" i="1"/>
  <c r="J408" i="1"/>
  <c r="G326" i="1"/>
  <c r="H387" i="1"/>
  <c r="H193" i="1"/>
  <c r="I222" i="1"/>
  <c r="I737" i="1"/>
  <c r="G799" i="1"/>
  <c r="H730" i="1"/>
  <c r="I496" i="1"/>
  <c r="I106" i="1"/>
  <c r="G224" i="1"/>
  <c r="H837" i="1"/>
  <c r="G717" i="1"/>
  <c r="G730" i="1"/>
  <c r="H611" i="1"/>
  <c r="H224" i="1"/>
  <c r="I326" i="1"/>
  <c r="I442" i="1"/>
  <c r="K837" i="1"/>
  <c r="M837" i="1" s="1"/>
  <c r="H637" i="1"/>
  <c r="G837" i="1"/>
  <c r="H436" i="1"/>
  <c r="I228" i="1"/>
  <c r="K840" i="1"/>
  <c r="M840" i="1" s="1"/>
  <c r="J840" i="1"/>
  <c r="I139" i="1"/>
  <c r="J326" i="1"/>
  <c r="I840" i="1"/>
  <c r="K667" i="1"/>
  <c r="M667" i="1" s="1"/>
  <c r="Q667" i="1" s="1"/>
  <c r="F665" i="13" s="1"/>
  <c r="I422" i="1"/>
  <c r="H294" i="1"/>
  <c r="J671" i="1"/>
  <c r="G80" i="1"/>
  <c r="J422" i="1"/>
  <c r="I294" i="1"/>
  <c r="H809" i="1"/>
  <c r="G703" i="1"/>
  <c r="J255" i="1"/>
  <c r="H439" i="1"/>
  <c r="K555" i="1"/>
  <c r="M555" i="1" s="1"/>
  <c r="Q555" i="1" s="1"/>
  <c r="F553" i="13" s="1"/>
  <c r="G510" i="1"/>
  <c r="J809" i="1"/>
  <c r="J799" i="1"/>
  <c r="K809" i="1"/>
  <c r="M809" i="1" s="1"/>
  <c r="K799" i="1"/>
  <c r="M799" i="1" s="1"/>
  <c r="H571" i="1"/>
  <c r="H28" i="1"/>
  <c r="K745" i="1"/>
  <c r="I166" i="1"/>
  <c r="J40" i="1"/>
  <c r="J28" i="1"/>
  <c r="H473" i="1"/>
  <c r="H369" i="1"/>
  <c r="H404" i="1"/>
  <c r="J166" i="1"/>
  <c r="I59" i="1"/>
  <c r="I447" i="1"/>
  <c r="J484" i="1"/>
  <c r="H59" i="1"/>
  <c r="J447" i="1"/>
  <c r="H506" i="1"/>
  <c r="H849" i="1"/>
  <c r="G849" i="1"/>
  <c r="G59" i="1"/>
  <c r="I506" i="1"/>
  <c r="J849" i="1"/>
  <c r="K814" i="1"/>
  <c r="M814" i="1" s="1"/>
  <c r="P814" i="1" s="1"/>
  <c r="I372" i="1"/>
  <c r="K22" i="1"/>
  <c r="J814" i="1"/>
  <c r="G388" i="1"/>
  <c r="G514" i="1"/>
  <c r="J827" i="1"/>
  <c r="J586" i="1"/>
  <c r="G473" i="1"/>
  <c r="I586" i="1"/>
  <c r="H322" i="1"/>
  <c r="J708" i="1"/>
  <c r="K586" i="1"/>
  <c r="M586" i="1" s="1"/>
  <c r="O586" i="1" s="1"/>
  <c r="H26" i="1"/>
  <c r="I388" i="1"/>
  <c r="H799" i="1"/>
  <c r="H479" i="1"/>
  <c r="J621" i="1"/>
  <c r="H388" i="1"/>
  <c r="H801" i="1"/>
  <c r="I809" i="1"/>
  <c r="J36" i="1"/>
  <c r="H597" i="1"/>
  <c r="J618" i="1"/>
  <c r="H68" i="1"/>
  <c r="G296" i="1"/>
  <c r="K668" i="1"/>
  <c r="M668" i="1" s="1"/>
  <c r="G68" i="1"/>
  <c r="H545" i="1"/>
  <c r="H296" i="1"/>
  <c r="G618" i="1"/>
  <c r="I240" i="1"/>
  <c r="K854" i="1"/>
  <c r="G351" i="1"/>
  <c r="I618" i="1"/>
  <c r="G854" i="1"/>
  <c r="H504" i="1"/>
  <c r="I475" i="1"/>
  <c r="J475" i="1"/>
  <c r="I597" i="1"/>
  <c r="J637" i="1"/>
  <c r="I847" i="1"/>
  <c r="K637" i="1"/>
  <c r="M637" i="1" s="1"/>
  <c r="G637" i="1"/>
  <c r="G456" i="1"/>
  <c r="I476" i="1"/>
  <c r="G755" i="1"/>
  <c r="H817" i="1"/>
  <c r="H755" i="1"/>
  <c r="G479" i="1"/>
  <c r="H810" i="1"/>
  <c r="J654" i="1"/>
  <c r="K654" i="1"/>
  <c r="M654" i="1" s="1"/>
  <c r="I757" i="1"/>
  <c r="H480" i="1"/>
  <c r="H514" i="1"/>
  <c r="I801" i="1"/>
  <c r="J801" i="1"/>
  <c r="K801" i="1"/>
  <c r="M801" i="1" s="1"/>
  <c r="I755" i="1"/>
  <c r="I514" i="1"/>
  <c r="H646" i="1"/>
  <c r="I254" i="1"/>
  <c r="I299" i="1"/>
  <c r="K767" i="1"/>
  <c r="M767" i="1" s="1"/>
  <c r="Q767" i="1" s="1"/>
  <c r="F765" i="13" s="1"/>
  <c r="J305" i="1"/>
  <c r="I94" i="1"/>
  <c r="J256" i="1"/>
  <c r="G660" i="1"/>
  <c r="I111" i="1"/>
  <c r="I201" i="1"/>
  <c r="K708" i="1"/>
  <c r="M708" i="1" s="1"/>
  <c r="O708" i="1" s="1"/>
  <c r="J474" i="1"/>
  <c r="G523" i="1"/>
  <c r="G339" i="1"/>
  <c r="H339" i="1"/>
  <c r="I339" i="1"/>
  <c r="I628" i="1"/>
  <c r="H270" i="1"/>
  <c r="H523" i="1"/>
  <c r="I523" i="1"/>
  <c r="H424" i="1"/>
  <c r="G504" i="1"/>
  <c r="J567" i="1"/>
  <c r="I679" i="1"/>
  <c r="I626" i="1"/>
  <c r="I434" i="1"/>
  <c r="G434" i="1"/>
  <c r="H587" i="1"/>
  <c r="H434" i="1"/>
  <c r="H708" i="1"/>
  <c r="G189" i="1"/>
  <c r="I714" i="1"/>
  <c r="J184" i="1"/>
  <c r="J714" i="1"/>
  <c r="K714" i="1"/>
  <c r="M714" i="1" s="1"/>
  <c r="J281" i="1"/>
  <c r="H312" i="1"/>
  <c r="H626" i="1"/>
  <c r="J74" i="1"/>
  <c r="G714" i="1"/>
  <c r="H249" i="1"/>
  <c r="G227" i="1"/>
  <c r="J249" i="1"/>
  <c r="H227" i="1"/>
  <c r="J770" i="1"/>
  <c r="J20" i="1"/>
  <c r="H542" i="1"/>
  <c r="G474" i="1"/>
  <c r="K777" i="1"/>
  <c r="M777" i="1" s="1"/>
  <c r="O777" i="1" s="1"/>
  <c r="K849" i="1"/>
  <c r="M849" i="1" s="1"/>
  <c r="I208" i="1"/>
  <c r="H777" i="1"/>
  <c r="I777" i="1"/>
  <c r="G626" i="1"/>
  <c r="I612" i="1"/>
  <c r="I281" i="1"/>
  <c r="G312" i="1"/>
  <c r="G208" i="1"/>
  <c r="I20" i="1"/>
  <c r="J203" i="1"/>
  <c r="G281" i="1"/>
  <c r="I312" i="1"/>
  <c r="J208" i="1"/>
  <c r="H497" i="1"/>
  <c r="G612" i="1"/>
  <c r="I845" i="1"/>
  <c r="G24" i="1"/>
  <c r="G74" i="1"/>
  <c r="H775" i="1"/>
  <c r="G184" i="1"/>
  <c r="H24" i="1"/>
  <c r="I74" i="1"/>
  <c r="I708" i="1"/>
  <c r="H348" i="1"/>
  <c r="J835" i="1"/>
  <c r="J253" i="1"/>
  <c r="I335" i="1"/>
  <c r="H835" i="1"/>
  <c r="H709" i="1"/>
  <c r="H851" i="1"/>
  <c r="I521" i="1"/>
  <c r="G410" i="1"/>
  <c r="J111" i="1"/>
  <c r="G793" i="1"/>
  <c r="G622" i="1"/>
  <c r="J793" i="1"/>
  <c r="M793" i="1" s="1"/>
  <c r="P793" i="1" s="1"/>
  <c r="I410" i="1"/>
  <c r="J807" i="1"/>
  <c r="G253" i="1"/>
  <c r="J335" i="1"/>
  <c r="I835" i="1"/>
  <c r="K610" i="1"/>
  <c r="I851" i="1"/>
  <c r="H287" i="1"/>
  <c r="G521" i="1"/>
  <c r="K628" i="1"/>
  <c r="M628" i="1" s="1"/>
  <c r="G397" i="1"/>
  <c r="H111" i="1"/>
  <c r="H462" i="1"/>
  <c r="H253" i="1"/>
  <c r="G628" i="1"/>
  <c r="H793" i="1"/>
  <c r="I462" i="1"/>
  <c r="K796" i="1"/>
  <c r="M796" i="1" s="1"/>
  <c r="H431" i="1"/>
  <c r="H195" i="1"/>
  <c r="G804" i="1"/>
  <c r="G851" i="1"/>
  <c r="J298" i="1"/>
  <c r="H171" i="1"/>
  <c r="G829" i="1"/>
  <c r="I195" i="1"/>
  <c r="H159" i="1"/>
  <c r="J796" i="1"/>
  <c r="I431" i="1"/>
  <c r="I298" i="1"/>
  <c r="H804" i="1"/>
  <c r="H298" i="1"/>
  <c r="I171" i="1"/>
  <c r="J195" i="1"/>
  <c r="I159" i="1"/>
  <c r="I358" i="1"/>
  <c r="H206" i="1"/>
  <c r="J171" i="1"/>
  <c r="J159" i="1"/>
  <c r="J358" i="1"/>
  <c r="H151" i="1"/>
  <c r="H358" i="1"/>
  <c r="J11" i="1"/>
  <c r="I97" i="1"/>
  <c r="H672" i="1"/>
  <c r="G649" i="1"/>
  <c r="I614" i="1"/>
  <c r="J795" i="1"/>
  <c r="I151" i="1"/>
  <c r="J299" i="1"/>
  <c r="G392" i="1"/>
  <c r="G746" i="1"/>
  <c r="H421" i="1"/>
  <c r="J644" i="1"/>
  <c r="M644" i="1" s="1"/>
  <c r="Q644" i="1" s="1"/>
  <c r="F642" i="13" s="1"/>
  <c r="I392" i="1"/>
  <c r="G11" i="1"/>
  <c r="J97" i="1"/>
  <c r="I672" i="1"/>
  <c r="K787" i="1"/>
  <c r="M787" i="1" s="1"/>
  <c r="I649" i="1"/>
  <c r="G48" i="1"/>
  <c r="J614" i="1"/>
  <c r="J151" i="1"/>
  <c r="J777" i="1"/>
  <c r="J746" i="1"/>
  <c r="H392" i="1"/>
  <c r="H14" i="1"/>
  <c r="H787" i="1"/>
  <c r="G323" i="1"/>
  <c r="H48" i="1"/>
  <c r="K754" i="1"/>
  <c r="K746" i="1"/>
  <c r="M746" i="1" s="1"/>
  <c r="I810" i="1"/>
  <c r="H845" i="1"/>
  <c r="H359" i="1"/>
  <c r="I14" i="1"/>
  <c r="J113" i="1"/>
  <c r="H323" i="1"/>
  <c r="I48" i="1"/>
  <c r="J391" i="1"/>
  <c r="I793" i="1"/>
  <c r="H746" i="1"/>
  <c r="K835" i="1"/>
  <c r="M835" i="1" s="1"/>
  <c r="I206" i="1"/>
  <c r="H419" i="1"/>
  <c r="I421" i="1"/>
  <c r="I359" i="1"/>
  <c r="J14" i="1"/>
  <c r="G97" i="1"/>
  <c r="I323" i="1"/>
  <c r="J359" i="1"/>
  <c r="I622" i="1"/>
  <c r="J410" i="1"/>
  <c r="H351" i="1"/>
  <c r="J701" i="1"/>
  <c r="I775" i="1"/>
  <c r="H366" i="1"/>
  <c r="G419" i="1"/>
  <c r="G335" i="1"/>
  <c r="I366" i="1"/>
  <c r="G318" i="1"/>
  <c r="H318" i="1"/>
  <c r="K522" i="1"/>
  <c r="M522" i="1" s="1"/>
  <c r="Q522" i="1" s="1"/>
  <c r="F520" i="13" s="1"/>
  <c r="J589" i="1"/>
  <c r="I701" i="1"/>
  <c r="J843" i="1"/>
  <c r="I531" i="1"/>
  <c r="H600" i="1"/>
  <c r="H586" i="1"/>
  <c r="J531" i="1"/>
  <c r="H256" i="1"/>
  <c r="K638" i="1"/>
  <c r="M638" i="1" s="1"/>
  <c r="I522" i="1"/>
  <c r="I270" i="1"/>
  <c r="J542" i="1"/>
  <c r="H522" i="1"/>
  <c r="G796" i="1"/>
  <c r="G819" i="1"/>
  <c r="G270" i="1"/>
  <c r="J775" i="1"/>
  <c r="H796" i="1"/>
  <c r="I256" i="1"/>
  <c r="K362" i="1"/>
  <c r="G461" i="1"/>
  <c r="J773" i="1"/>
  <c r="K169" i="1"/>
  <c r="G531" i="1"/>
  <c r="J95" i="1"/>
  <c r="K531" i="1"/>
  <c r="M531" i="1" s="1"/>
  <c r="J318" i="1"/>
  <c r="G344" i="1"/>
  <c r="K512" i="1"/>
  <c r="K145" i="1"/>
  <c r="K154" i="1"/>
  <c r="K442" i="1"/>
  <c r="J94" i="1"/>
  <c r="K94" i="1" s="1"/>
  <c r="K775" i="1"/>
  <c r="M775" i="1" s="1"/>
  <c r="O775" i="1" s="1"/>
  <c r="J483" i="1"/>
  <c r="K62" i="1"/>
  <c r="J626" i="1"/>
  <c r="M626" i="1" s="1"/>
  <c r="N626" i="1" s="1"/>
  <c r="K350" i="1"/>
  <c r="H549" i="1"/>
  <c r="K33" i="1"/>
  <c r="H344" i="1"/>
  <c r="G63" i="1"/>
  <c r="G254" i="1"/>
  <c r="G701" i="1"/>
  <c r="J344" i="1"/>
  <c r="I86" i="1"/>
  <c r="K86" i="1" s="1"/>
  <c r="H254" i="1"/>
  <c r="H701" i="1"/>
  <c r="H11" i="1"/>
  <c r="G206" i="1"/>
  <c r="J500" i="1"/>
  <c r="K518" i="1"/>
  <c r="K469" i="1"/>
  <c r="J271" i="1"/>
  <c r="M701" i="1"/>
  <c r="Q701" i="1" s="1"/>
  <c r="F699" i="13" s="1"/>
  <c r="J419" i="1"/>
  <c r="K174" i="1"/>
  <c r="K480" i="1"/>
  <c r="M541" i="1"/>
  <c r="P541" i="1" s="1"/>
  <c r="M567" i="1"/>
  <c r="P567" i="1" s="1"/>
  <c r="K857" i="1"/>
  <c r="J857" i="1"/>
  <c r="I857" i="1"/>
  <c r="I647" i="1"/>
  <c r="J647" i="1"/>
  <c r="K647" i="1"/>
  <c r="H647" i="1"/>
  <c r="G647" i="1"/>
  <c r="H181" i="1"/>
  <c r="G181" i="1"/>
  <c r="J181" i="1"/>
  <c r="I181" i="1"/>
  <c r="H630" i="1"/>
  <c r="G640" i="1"/>
  <c r="K640" i="1"/>
  <c r="J640" i="1"/>
  <c r="I640" i="1"/>
  <c r="I165" i="1"/>
  <c r="J165" i="1"/>
  <c r="H165" i="1"/>
  <c r="G165" i="1"/>
  <c r="I356" i="1"/>
  <c r="J810" i="1"/>
  <c r="H718" i="1"/>
  <c r="G238" i="1"/>
  <c r="I24" i="1"/>
  <c r="J365" i="1"/>
  <c r="H356" i="1"/>
  <c r="K144" i="1"/>
  <c r="I238" i="1"/>
  <c r="G630" i="1"/>
  <c r="H767" i="1"/>
  <c r="K302" i="1"/>
  <c r="K290" i="1"/>
  <c r="I310" i="1"/>
  <c r="J310" i="1"/>
  <c r="H79" i="1"/>
  <c r="G79" i="1"/>
  <c r="H89" i="1"/>
  <c r="I89" i="1"/>
  <c r="J89" i="1"/>
  <c r="G89" i="1"/>
  <c r="J574" i="1"/>
  <c r="H574" i="1"/>
  <c r="I574" i="1"/>
  <c r="K574" i="1"/>
  <c r="J162" i="1"/>
  <c r="I162" i="1"/>
  <c r="G162" i="1"/>
  <c r="H162" i="1"/>
  <c r="I188" i="1"/>
  <c r="H188" i="1"/>
  <c r="G188" i="1"/>
  <c r="J188" i="1"/>
  <c r="I365" i="1"/>
  <c r="J149" i="1"/>
  <c r="I149" i="1"/>
  <c r="H593" i="1"/>
  <c r="G593" i="1"/>
  <c r="K593" i="1"/>
  <c r="M593" i="1" s="1"/>
  <c r="J276" i="1"/>
  <c r="I276" i="1"/>
  <c r="I722" i="1"/>
  <c r="K604" i="1"/>
  <c r="J238" i="1"/>
  <c r="K630" i="1"/>
  <c r="M630" i="1" s="1"/>
  <c r="I767" i="1"/>
  <c r="H622" i="1"/>
  <c r="H276" i="1"/>
  <c r="H365" i="1"/>
  <c r="I630" i="1"/>
  <c r="G526" i="1"/>
  <c r="M656" i="1"/>
  <c r="P656" i="1" s="1"/>
  <c r="J622" i="1"/>
  <c r="M622" i="1" s="1"/>
  <c r="P622" i="1" s="1"/>
  <c r="I36" i="1"/>
  <c r="J593" i="1"/>
  <c r="H203" i="1"/>
  <c r="K412" i="1"/>
  <c r="K46" i="1"/>
  <c r="H722" i="1"/>
  <c r="I526" i="1"/>
  <c r="G610" i="1"/>
  <c r="K215" i="1"/>
  <c r="K457" i="1"/>
  <c r="M542" i="1"/>
  <c r="O542" i="1" s="1"/>
  <c r="H212" i="1"/>
  <c r="G212" i="1"/>
  <c r="J610" i="1"/>
  <c r="I610" i="1"/>
  <c r="K850" i="1"/>
  <c r="J850" i="1"/>
  <c r="I850" i="1"/>
  <c r="H850" i="1"/>
  <c r="G850" i="1"/>
  <c r="K716" i="1"/>
  <c r="M716" i="1" s="1"/>
  <c r="H716" i="1"/>
  <c r="J716" i="1"/>
  <c r="I716" i="1"/>
  <c r="G716" i="1"/>
  <c r="H316" i="1"/>
  <c r="G316" i="1"/>
  <c r="K750" i="1"/>
  <c r="G750" i="1"/>
  <c r="G21" i="1"/>
  <c r="J21" i="1"/>
  <c r="I21" i="1"/>
  <c r="H21" i="1"/>
  <c r="G36" i="1"/>
  <c r="J107" i="1"/>
  <c r="I107" i="1"/>
  <c r="H107" i="1"/>
  <c r="H686" i="1"/>
  <c r="I686" i="1"/>
  <c r="J686" i="1"/>
  <c r="H681" i="1"/>
  <c r="I681" i="1"/>
  <c r="J247" i="1"/>
  <c r="I247" i="1"/>
  <c r="G740" i="1"/>
  <c r="I740" i="1"/>
  <c r="I544" i="1"/>
  <c r="G544" i="1"/>
  <c r="H544" i="1"/>
  <c r="H623" i="1"/>
  <c r="J623" i="1"/>
  <c r="J607" i="1"/>
  <c r="K607" i="1"/>
  <c r="I607" i="1"/>
  <c r="J330" i="1"/>
  <c r="G330" i="1"/>
  <c r="H330" i="1"/>
  <c r="I330" i="1"/>
  <c r="J353" i="1"/>
  <c r="I353" i="1"/>
  <c r="H353" i="1"/>
  <c r="G353" i="1"/>
  <c r="I307" i="1"/>
  <c r="H307" i="1"/>
  <c r="I70" i="1"/>
  <c r="J70" i="1"/>
  <c r="J732" i="1"/>
  <c r="H732" i="1"/>
  <c r="I732" i="1"/>
  <c r="K732" i="1"/>
  <c r="G732" i="1"/>
  <c r="G228" i="1"/>
  <c r="H228" i="1"/>
  <c r="K582" i="1"/>
  <c r="M582" i="1" s="1"/>
  <c r="N582" i="1" s="1"/>
  <c r="I582" i="1"/>
  <c r="G582" i="1"/>
  <c r="H582" i="1"/>
  <c r="G438" i="1"/>
  <c r="J438" i="1"/>
  <c r="H438" i="1"/>
  <c r="H697" i="1"/>
  <c r="G697" i="1"/>
  <c r="J697" i="1"/>
  <c r="K697" i="1"/>
  <c r="M697" i="1" s="1"/>
  <c r="I697" i="1"/>
  <c r="H662" i="1"/>
  <c r="I662" i="1"/>
  <c r="I69" i="1"/>
  <c r="G69" i="1"/>
  <c r="J69" i="1"/>
  <c r="H69" i="1"/>
  <c r="G574" i="1"/>
  <c r="I725" i="1"/>
  <c r="J725" i="1"/>
  <c r="H725" i="1"/>
  <c r="K192" i="1"/>
  <c r="I156" i="1"/>
  <c r="J156" i="1"/>
  <c r="J803" i="1"/>
  <c r="I803" i="1"/>
  <c r="H803" i="1"/>
  <c r="G803" i="1"/>
  <c r="K803" i="1"/>
  <c r="M803" i="1" s="1"/>
  <c r="I494" i="1"/>
  <c r="G494" i="1"/>
  <c r="J494" i="1"/>
  <c r="H494" i="1"/>
  <c r="G409" i="1"/>
  <c r="H409" i="1"/>
  <c r="I205" i="1"/>
  <c r="G205" i="1"/>
  <c r="I405" i="1"/>
  <c r="H405" i="1"/>
  <c r="J405" i="1"/>
  <c r="I683" i="1"/>
  <c r="H683" i="1"/>
  <c r="I157" i="1"/>
  <c r="J157" i="1"/>
  <c r="H157" i="1"/>
  <c r="G157" i="1"/>
  <c r="H771" i="1"/>
  <c r="G771" i="1"/>
  <c r="K591" i="1"/>
  <c r="H591" i="1"/>
  <c r="J591" i="1"/>
  <c r="I591" i="1"/>
  <c r="G591" i="1"/>
  <c r="J265" i="1"/>
  <c r="I265" i="1"/>
  <c r="H265" i="1"/>
  <c r="G265" i="1"/>
  <c r="H700" i="1"/>
  <c r="J700" i="1"/>
  <c r="G700" i="1"/>
  <c r="K700" i="1"/>
  <c r="M700" i="1" s="1"/>
  <c r="P700" i="1" s="1"/>
  <c r="I700" i="1"/>
  <c r="J102" i="1"/>
  <c r="H102" i="1"/>
  <c r="J277" i="1"/>
  <c r="I277" i="1"/>
  <c r="G378" i="1"/>
  <c r="J378" i="1"/>
  <c r="I378" i="1"/>
  <c r="H378" i="1"/>
  <c r="I529" i="1"/>
  <c r="H529" i="1"/>
  <c r="G529" i="1"/>
  <c r="J529" i="1"/>
  <c r="J376" i="1"/>
  <c r="I376" i="1"/>
  <c r="H376" i="1"/>
  <c r="G376" i="1"/>
  <c r="M858" i="1"/>
  <c r="N858" i="1" s="1"/>
  <c r="H310" i="1"/>
  <c r="G249" i="1"/>
  <c r="H149" i="1"/>
  <c r="J741" i="1"/>
  <c r="K741" i="1"/>
  <c r="J413" i="1"/>
  <c r="I413" i="1"/>
  <c r="K810" i="1"/>
  <c r="M810" i="1" s="1"/>
  <c r="K514" i="1"/>
  <c r="I305" i="1"/>
  <c r="K664" i="1"/>
  <c r="M664" i="1" s="1"/>
  <c r="I664" i="1"/>
  <c r="G821" i="1"/>
  <c r="H821" i="1"/>
  <c r="K696" i="1"/>
  <c r="M696" i="1" s="1"/>
  <c r="J696" i="1"/>
  <c r="H696" i="1"/>
  <c r="J104" i="1"/>
  <c r="H104" i="1"/>
  <c r="I104" i="1"/>
  <c r="G104" i="1"/>
  <c r="I57" i="1"/>
  <c r="H57" i="1"/>
  <c r="G57" i="1"/>
  <c r="J57" i="1"/>
  <c r="H820" i="1"/>
  <c r="G820" i="1"/>
  <c r="H715" i="1"/>
  <c r="G715" i="1"/>
  <c r="G345" i="1"/>
  <c r="H345" i="1"/>
  <c r="G611" i="1"/>
  <c r="I611" i="1"/>
  <c r="H186" i="1"/>
  <c r="J186" i="1"/>
  <c r="G186" i="1"/>
  <c r="I186" i="1"/>
  <c r="G93" i="1"/>
  <c r="J93" i="1"/>
  <c r="H93" i="1"/>
  <c r="I93" i="1"/>
  <c r="H50" i="1"/>
  <c r="I50" i="1"/>
  <c r="G50" i="1"/>
  <c r="J50" i="1"/>
  <c r="J56" i="1"/>
  <c r="G56" i="1"/>
  <c r="I210" i="1"/>
  <c r="G210" i="1"/>
  <c r="H210" i="1"/>
  <c r="G257" i="1"/>
  <c r="J257" i="1"/>
  <c r="I257" i="1"/>
  <c r="H257" i="1"/>
  <c r="H125" i="1"/>
  <c r="J125" i="1"/>
  <c r="G125" i="1"/>
  <c r="I632" i="1"/>
  <c r="J632" i="1"/>
  <c r="G632" i="1"/>
  <c r="K632" i="1"/>
  <c r="M632" i="1" s="1"/>
  <c r="H632" i="1"/>
  <c r="H460" i="1"/>
  <c r="G460" i="1"/>
  <c r="I532" i="1"/>
  <c r="J532" i="1"/>
  <c r="G532" i="1"/>
  <c r="H532" i="1"/>
  <c r="K532" i="1"/>
  <c r="M532" i="1" s="1"/>
  <c r="N532" i="1" s="1"/>
  <c r="H427" i="1"/>
  <c r="G427" i="1"/>
  <c r="J817" i="1"/>
  <c r="G817" i="1"/>
  <c r="K817" i="1"/>
  <c r="M817" i="1" s="1"/>
  <c r="H34" i="1"/>
  <c r="J34" i="1"/>
  <c r="G34" i="1"/>
  <c r="I34" i="1"/>
  <c r="G496" i="1"/>
  <c r="H496" i="1"/>
  <c r="K752" i="1"/>
  <c r="G752" i="1"/>
  <c r="I752" i="1"/>
  <c r="J752" i="1"/>
  <c r="H752" i="1"/>
  <c r="G772" i="1"/>
  <c r="I772" i="1"/>
  <c r="H85" i="1"/>
  <c r="J85" i="1"/>
  <c r="I85" i="1"/>
  <c r="G9" i="1"/>
  <c r="J9" i="1"/>
  <c r="I9" i="1"/>
  <c r="G194" i="1"/>
  <c r="J194" i="1"/>
  <c r="I194" i="1"/>
  <c r="H194" i="1"/>
  <c r="I822" i="1"/>
  <c r="J822" i="1"/>
  <c r="H688" i="1"/>
  <c r="J688" i="1"/>
  <c r="G688" i="1"/>
  <c r="I688" i="1"/>
  <c r="K475" i="1"/>
  <c r="H475" i="1"/>
  <c r="H240" i="1"/>
  <c r="G240" i="1"/>
  <c r="G27" i="1"/>
  <c r="J27" i="1"/>
  <c r="I27" i="1"/>
  <c r="G309" i="1"/>
  <c r="I309" i="1"/>
  <c r="H309" i="1"/>
  <c r="J501" i="1"/>
  <c r="I501" i="1"/>
  <c r="J780" i="1"/>
  <c r="I780" i="1"/>
  <c r="G172" i="1"/>
  <c r="J172" i="1"/>
  <c r="H135" i="1"/>
  <c r="G135" i="1"/>
  <c r="J135" i="1"/>
  <c r="I135" i="1"/>
  <c r="I121" i="1"/>
  <c r="G121" i="1"/>
  <c r="I314" i="1"/>
  <c r="J314" i="1"/>
  <c r="J387" i="1"/>
  <c r="I387" i="1"/>
  <c r="H139" i="1"/>
  <c r="J139" i="1"/>
  <c r="J357" i="1"/>
  <c r="G357" i="1"/>
  <c r="I357" i="1"/>
  <c r="H357" i="1"/>
  <c r="H297" i="1"/>
  <c r="I297" i="1"/>
  <c r="J297" i="1"/>
  <c r="G297" i="1"/>
  <c r="K726" i="1"/>
  <c r="H726" i="1"/>
  <c r="H687" i="1"/>
  <c r="K687" i="1"/>
  <c r="I248" i="1"/>
  <c r="H248" i="1"/>
  <c r="J784" i="1"/>
  <c r="H784" i="1"/>
  <c r="G784" i="1"/>
  <c r="G313" i="1"/>
  <c r="I313" i="1"/>
  <c r="M770" i="1"/>
  <c r="Q770" i="1" s="1"/>
  <c r="F768" i="13" s="1"/>
  <c r="G283" i="1"/>
  <c r="J283" i="1"/>
  <c r="I283" i="1"/>
  <c r="H283" i="1"/>
  <c r="J812" i="1"/>
  <c r="H812" i="1"/>
  <c r="K812" i="1"/>
  <c r="M812" i="1" s="1"/>
  <c r="I292" i="1"/>
  <c r="J292" i="1"/>
  <c r="H292" i="1"/>
  <c r="G292" i="1"/>
  <c r="G666" i="1"/>
  <c r="I666" i="1"/>
  <c r="K666" i="1"/>
  <c r="M666" i="1" s="1"/>
  <c r="J666" i="1"/>
  <c r="H666" i="1"/>
  <c r="J571" i="1"/>
  <c r="K571" i="1"/>
  <c r="G477" i="1"/>
  <c r="J477" i="1"/>
  <c r="G372" i="1"/>
  <c r="H372" i="1"/>
  <c r="H415" i="1"/>
  <c r="G415" i="1"/>
  <c r="J415" i="1"/>
  <c r="I415" i="1"/>
  <c r="I40" i="1"/>
  <c r="G40" i="1"/>
  <c r="J78" i="1"/>
  <c r="G78" i="1"/>
  <c r="G404" i="1"/>
  <c r="J404" i="1"/>
  <c r="H576" i="1"/>
  <c r="J576" i="1"/>
  <c r="J400" i="1"/>
  <c r="I400" i="1"/>
  <c r="H400" i="1"/>
  <c r="G596" i="1"/>
  <c r="I596" i="1"/>
  <c r="K596" i="1"/>
  <c r="M596" i="1" s="1"/>
  <c r="J596" i="1"/>
  <c r="J747" i="1"/>
  <c r="K747" i="1"/>
  <c r="I747" i="1"/>
  <c r="H747" i="1"/>
  <c r="G747" i="1"/>
  <c r="K725" i="1"/>
  <c r="M725" i="1" s="1"/>
  <c r="G117" i="1"/>
  <c r="G356" i="1"/>
  <c r="K529" i="1"/>
  <c r="M529" i="1" s="1"/>
  <c r="P529" i="1" s="1"/>
  <c r="H461" i="1"/>
  <c r="K502" i="1"/>
  <c r="G405" i="1"/>
  <c r="I227" i="1"/>
  <c r="H413" i="1"/>
  <c r="G501" i="1"/>
  <c r="K773" i="1"/>
  <c r="M773" i="1" s="1"/>
  <c r="G484" i="1"/>
  <c r="H652" i="1"/>
  <c r="K155" i="1"/>
  <c r="G369" i="1"/>
  <c r="K500" i="1"/>
  <c r="H484" i="1"/>
  <c r="J652" i="1"/>
  <c r="K509" i="1"/>
  <c r="K35" i="1"/>
  <c r="K389" i="1"/>
  <c r="M769" i="1"/>
  <c r="P769" i="1" s="1"/>
  <c r="H773" i="1"/>
  <c r="I652" i="1"/>
  <c r="K483" i="1"/>
  <c r="H525" i="1"/>
  <c r="K511" i="1"/>
  <c r="K474" i="1"/>
  <c r="K451" i="1"/>
  <c r="J525" i="1"/>
  <c r="K138" i="1"/>
  <c r="H569" i="1"/>
  <c r="J845" i="1"/>
  <c r="H71" i="1"/>
  <c r="K456" i="1"/>
  <c r="K710" i="1"/>
  <c r="M710" i="1" s="1"/>
  <c r="I569" i="1"/>
  <c r="K845" i="1"/>
  <c r="M845" i="1" s="1"/>
  <c r="P845" i="1" s="1"/>
  <c r="I337" i="1"/>
  <c r="G783" i="1"/>
  <c r="M549" i="1"/>
  <c r="O549" i="1" s="1"/>
  <c r="K191" i="1"/>
  <c r="G42" i="1"/>
  <c r="J745" i="1"/>
  <c r="G724" i="1"/>
  <c r="K662" i="1"/>
  <c r="M662" i="1" s="1"/>
  <c r="G328" i="1"/>
  <c r="I239" i="1"/>
  <c r="I689" i="1"/>
  <c r="H665" i="1"/>
  <c r="I674" i="1"/>
  <c r="H495" i="1"/>
  <c r="H505" i="1"/>
  <c r="G711" i="1"/>
  <c r="J463" i="1"/>
  <c r="H385" i="1"/>
  <c r="G429" i="1"/>
  <c r="I245" i="1"/>
  <c r="G668" i="1"/>
  <c r="H740" i="1"/>
  <c r="H585" i="1"/>
  <c r="G855" i="1"/>
  <c r="K672" i="1"/>
  <c r="M672" i="1" s="1"/>
  <c r="J813" i="1"/>
  <c r="I209" i="1"/>
  <c r="H785" i="1"/>
  <c r="J838" i="1"/>
  <c r="I123" i="1"/>
  <c r="H37" i="1"/>
  <c r="J368" i="1"/>
  <c r="H178" i="1"/>
  <c r="H649" i="1"/>
  <c r="J397" i="1"/>
  <c r="I29" i="1"/>
  <c r="I67" i="1"/>
  <c r="I340" i="1"/>
  <c r="J573" i="1"/>
  <c r="H175" i="1"/>
  <c r="J130" i="1"/>
  <c r="G673" i="1"/>
  <c r="G116" i="1"/>
  <c r="I280" i="1"/>
  <c r="J42" i="1"/>
  <c r="G745" i="1"/>
  <c r="H724" i="1"/>
  <c r="J29" i="1"/>
  <c r="G406" i="1"/>
  <c r="J282" i="1"/>
  <c r="G122" i="1"/>
  <c r="H132" i="1"/>
  <c r="J124" i="1"/>
  <c r="J536" i="1"/>
  <c r="G385" i="1"/>
  <c r="J523" i="1"/>
  <c r="I385" i="1"/>
  <c r="G124" i="1"/>
  <c r="K649" i="1"/>
  <c r="M649" i="1" s="1"/>
  <c r="K784" i="1"/>
  <c r="M784" i="1" s="1"/>
  <c r="Q784" i="1" s="1"/>
  <c r="F782" i="13" s="1"/>
  <c r="G107" i="1"/>
  <c r="I819" i="1"/>
  <c r="I562" i="1"/>
  <c r="G252" i="1"/>
  <c r="J674" i="1"/>
  <c r="H711" i="1"/>
  <c r="H463" i="1"/>
  <c r="J385" i="1"/>
  <c r="H676" i="1"/>
  <c r="H429" i="1"/>
  <c r="J245" i="1"/>
  <c r="I112" i="1"/>
  <c r="H668" i="1"/>
  <c r="I437" i="1"/>
  <c r="K585" i="1"/>
  <c r="I51" i="1"/>
  <c r="H855" i="1"/>
  <c r="I125" i="1"/>
  <c r="G99" i="1"/>
  <c r="I785" i="1"/>
  <c r="J748" i="1"/>
  <c r="H123" i="1"/>
  <c r="I37" i="1"/>
  <c r="I216" i="1"/>
  <c r="G368" i="1"/>
  <c r="J178" i="1"/>
  <c r="J340" i="1"/>
  <c r="I175" i="1"/>
  <c r="H673" i="1"/>
  <c r="H745" i="1"/>
  <c r="H383" i="1"/>
  <c r="J792" i="1"/>
  <c r="K792" i="1"/>
  <c r="M792" i="1" s="1"/>
  <c r="G689" i="1"/>
  <c r="J110" i="1"/>
  <c r="J248" i="1"/>
  <c r="G146" i="1"/>
  <c r="J175" i="1"/>
  <c r="I695" i="1"/>
  <c r="G486" i="1"/>
  <c r="G505" i="1"/>
  <c r="H337" i="1"/>
  <c r="G37" i="1"/>
  <c r="J349" i="1"/>
  <c r="H340" i="1"/>
  <c r="H772" i="1"/>
  <c r="K691" i="1"/>
  <c r="H200" i="1"/>
  <c r="K674" i="1"/>
  <c r="M674" i="1" s="1"/>
  <c r="H242" i="1"/>
  <c r="J711" i="1"/>
  <c r="I619" i="1"/>
  <c r="J429" i="1"/>
  <c r="J112" i="1"/>
  <c r="I668" i="1"/>
  <c r="J437" i="1"/>
  <c r="I202" i="1"/>
  <c r="G209" i="1"/>
  <c r="J855" i="1"/>
  <c r="K785" i="1"/>
  <c r="M785" i="1" s="1"/>
  <c r="O785" i="1" s="1"/>
  <c r="K748" i="1"/>
  <c r="M748" i="1" s="1"/>
  <c r="G123" i="1"/>
  <c r="J337" i="1"/>
  <c r="G467" i="1"/>
  <c r="I82" i="1"/>
  <c r="J37" i="1"/>
  <c r="J346" i="1"/>
  <c r="G178" i="1"/>
  <c r="H602" i="1"/>
  <c r="H516" i="1"/>
  <c r="I698" i="1"/>
  <c r="J152" i="1"/>
  <c r="I673" i="1"/>
  <c r="G16" i="1"/>
  <c r="H42" i="1"/>
  <c r="K233" i="1"/>
  <c r="K484" i="1"/>
  <c r="K853" i="1"/>
  <c r="M853" i="1" s="1"/>
  <c r="G113" i="1"/>
  <c r="H116" i="1"/>
  <c r="J689" i="1"/>
  <c r="G248" i="1"/>
  <c r="H695" i="1"/>
  <c r="G437" i="1"/>
  <c r="H368" i="1"/>
  <c r="G674" i="1"/>
  <c r="G463" i="1"/>
  <c r="G274" i="1"/>
  <c r="I98" i="1"/>
  <c r="G806" i="1"/>
  <c r="J691" i="1"/>
  <c r="G112" i="1"/>
  <c r="I58" i="1"/>
  <c r="K58" i="1" s="1"/>
  <c r="H209" i="1"/>
  <c r="G341" i="1"/>
  <c r="K855" i="1"/>
  <c r="M855" i="1" s="1"/>
  <c r="I115" i="1"/>
  <c r="J377" i="1"/>
  <c r="J627" i="1"/>
  <c r="H467" i="1"/>
  <c r="G82" i="1"/>
  <c r="H29" i="1"/>
  <c r="I667" i="1"/>
  <c r="K602" i="1"/>
  <c r="I516" i="1"/>
  <c r="K673" i="1"/>
  <c r="M673" i="1" s="1"/>
  <c r="G280" i="1"/>
  <c r="I568" i="1"/>
  <c r="J662" i="1"/>
  <c r="G383" i="1"/>
  <c r="J853" i="1"/>
  <c r="G282" i="1"/>
  <c r="J428" i="1"/>
  <c r="G200" i="1"/>
  <c r="H299" i="1"/>
  <c r="G255" i="1"/>
  <c r="H625" i="1"/>
  <c r="K595" i="1"/>
  <c r="M595" i="1" s="1"/>
  <c r="Q595" i="1" s="1"/>
  <c r="F593" i="13" s="1"/>
  <c r="G568" i="1"/>
  <c r="H328" i="1"/>
  <c r="G439" i="1"/>
  <c r="J202" i="1"/>
  <c r="I482" i="1"/>
  <c r="H115" i="1"/>
  <c r="J55" i="1"/>
  <c r="G720" i="1"/>
  <c r="H627" i="1"/>
  <c r="I467" i="1"/>
  <c r="H82" i="1"/>
  <c r="H765" i="1"/>
  <c r="I550" i="1"/>
  <c r="G346" i="1"/>
  <c r="G667" i="1"/>
  <c r="I315" i="1"/>
  <c r="J602" i="1"/>
  <c r="J274" i="1"/>
  <c r="H349" i="1"/>
  <c r="G515" i="1"/>
  <c r="H98" i="1"/>
  <c r="G231" i="1"/>
  <c r="J829" i="1"/>
  <c r="J131" i="1"/>
  <c r="I784" i="1"/>
  <c r="I423" i="1"/>
  <c r="G300" i="1"/>
  <c r="G792" i="1"/>
  <c r="I116" i="1"/>
  <c r="H543" i="1"/>
  <c r="G495" i="1"/>
  <c r="G585" i="1"/>
  <c r="H76" i="1"/>
  <c r="H792" i="1"/>
  <c r="H247" i="1"/>
  <c r="K663" i="1"/>
  <c r="M663" i="1" s="1"/>
  <c r="P663" i="1" s="1"/>
  <c r="H201" i="1"/>
  <c r="H806" i="1"/>
  <c r="K689" i="1"/>
  <c r="M689" i="1" s="1"/>
  <c r="G428" i="1"/>
  <c r="H255" i="1"/>
  <c r="G604" i="1"/>
  <c r="I625" i="1"/>
  <c r="J619" i="1"/>
  <c r="G420" i="1"/>
  <c r="G202" i="1"/>
  <c r="J709" i="1"/>
  <c r="G748" i="1"/>
  <c r="J482" i="1"/>
  <c r="G115" i="1"/>
  <c r="H55" i="1"/>
  <c r="K813" i="1"/>
  <c r="M813" i="1" s="1"/>
  <c r="M759" i="1"/>
  <c r="P759" i="1" s="1"/>
  <c r="I627" i="1"/>
  <c r="I99" i="1"/>
  <c r="G787" i="1"/>
  <c r="J766" i="1"/>
  <c r="J287" i="1"/>
  <c r="J765" i="1"/>
  <c r="J550" i="1"/>
  <c r="I346" i="1"/>
  <c r="H667" i="1"/>
  <c r="H315" i="1"/>
  <c r="G675" i="1"/>
  <c r="G602" i="1"/>
  <c r="I349" i="1"/>
  <c r="H515" i="1"/>
  <c r="G98" i="1"/>
  <c r="J16" i="1"/>
  <c r="J98" i="1"/>
  <c r="I231" i="1"/>
  <c r="H16" i="1"/>
  <c r="H829" i="1"/>
  <c r="I131" i="1"/>
  <c r="I113" i="1"/>
  <c r="I536" i="1"/>
  <c r="G493" i="1"/>
  <c r="K493" i="1" s="1"/>
  <c r="H450" i="1"/>
  <c r="H397" i="1"/>
  <c r="H282" i="1"/>
  <c r="J495" i="1"/>
  <c r="I295" i="1"/>
  <c r="G672" i="1"/>
  <c r="H384" i="1"/>
  <c r="J201" i="1"/>
  <c r="H604" i="1"/>
  <c r="H546" i="1"/>
  <c r="G619" i="1"/>
  <c r="J13" i="1"/>
  <c r="K709" i="1"/>
  <c r="M709" i="1" s="1"/>
  <c r="H300" i="1"/>
  <c r="K724" i="1"/>
  <c r="M724" i="1" s="1"/>
  <c r="P724" i="1" s="1"/>
  <c r="H601" i="1"/>
  <c r="I55" i="1"/>
  <c r="H813" i="1"/>
  <c r="K838" i="1"/>
  <c r="K627" i="1"/>
  <c r="J99" i="1"/>
  <c r="I787" i="1"/>
  <c r="G766" i="1"/>
  <c r="G765" i="1"/>
  <c r="G662" i="1"/>
  <c r="K550" i="1"/>
  <c r="M550" i="1" s="1"/>
  <c r="J675" i="1"/>
  <c r="K580" i="1"/>
  <c r="M580" i="1" s="1"/>
  <c r="Q580" i="1" s="1"/>
  <c r="F578" i="13" s="1"/>
  <c r="H274" i="1"/>
  <c r="G349" i="1"/>
  <c r="J515" i="1"/>
  <c r="G259" i="1"/>
  <c r="I16" i="1"/>
  <c r="K510" i="1"/>
  <c r="J231" i="1"/>
  <c r="K829" i="1"/>
  <c r="G131" i="1"/>
  <c r="I383" i="1"/>
  <c r="G421" i="1"/>
  <c r="K544" i="1"/>
  <c r="G758" i="1"/>
  <c r="J604" i="1"/>
  <c r="I546" i="1"/>
  <c r="J328" i="1"/>
  <c r="I814" i="1"/>
  <c r="H163" i="1"/>
  <c r="G709" i="1"/>
  <c r="G482" i="1"/>
  <c r="I813" i="1"/>
  <c r="G287" i="1"/>
  <c r="G336" i="1"/>
  <c r="I129" i="1"/>
  <c r="K675" i="1"/>
  <c r="M675" i="1" s="1"/>
  <c r="I259" i="1"/>
  <c r="G28" i="1"/>
  <c r="I617" i="1"/>
  <c r="G773" i="1"/>
  <c r="G13" i="1"/>
  <c r="K619" i="1"/>
  <c r="M619" i="1" s="1"/>
  <c r="K740" i="1"/>
  <c r="M740" i="1" s="1"/>
  <c r="I13" i="1"/>
  <c r="G315" i="1"/>
  <c r="J295" i="1"/>
  <c r="G183" i="1"/>
  <c r="J336" i="1"/>
  <c r="G413" i="1"/>
  <c r="J280" i="1"/>
  <c r="H367" i="1"/>
  <c r="M711" i="1"/>
  <c r="O711" i="1" s="1"/>
  <c r="G681" i="1"/>
  <c r="I130" i="1"/>
  <c r="M823" i="1"/>
  <c r="P823" i="1" s="1"/>
  <c r="I530" i="1"/>
  <c r="G65" i="1"/>
  <c r="H420" i="1"/>
  <c r="I644" i="1"/>
  <c r="G644" i="1"/>
  <c r="G25" i="1"/>
  <c r="G288" i="1"/>
  <c r="J681" i="1"/>
  <c r="K530" i="1"/>
  <c r="M530" i="1" s="1"/>
  <c r="I583" i="1"/>
  <c r="H641" i="1"/>
  <c r="H65" i="1"/>
  <c r="I815" i="1"/>
  <c r="G130" i="1"/>
  <c r="K681" i="1"/>
  <c r="G398" i="1"/>
  <c r="K695" i="1"/>
  <c r="M695" i="1" s="1"/>
  <c r="K717" i="1"/>
  <c r="I428" i="1"/>
  <c r="G517" i="1"/>
  <c r="J65" i="1"/>
  <c r="H664" i="1"/>
  <c r="K536" i="1"/>
  <c r="M536" i="1" s="1"/>
  <c r="I846" i="1"/>
  <c r="J41" i="1"/>
  <c r="H386" i="1"/>
  <c r="J698" i="1"/>
  <c r="I275" i="1"/>
  <c r="K623" i="1"/>
  <c r="M623" i="1" s="1"/>
  <c r="H360" i="1"/>
  <c r="H825" i="1"/>
  <c r="J103" i="1"/>
  <c r="G853" i="1"/>
  <c r="G736" i="1"/>
  <c r="K808" i="1"/>
  <c r="M808" i="1" s="1"/>
  <c r="G695" i="1"/>
  <c r="K692" i="1"/>
  <c r="G663" i="1"/>
  <c r="G310" i="1"/>
  <c r="G595" i="1"/>
  <c r="I802" i="1"/>
  <c r="J293" i="1"/>
  <c r="G606" i="1"/>
  <c r="I464" i="1"/>
  <c r="I173" i="1"/>
  <c r="J79" i="1"/>
  <c r="J612" i="1"/>
  <c r="H173" i="1"/>
  <c r="J173" i="1"/>
  <c r="J185" i="1"/>
  <c r="J443" i="1"/>
  <c r="G664" i="1"/>
  <c r="I461" i="1"/>
  <c r="G156" i="1"/>
  <c r="G182" i="1"/>
  <c r="H838" i="1"/>
  <c r="H536" i="1"/>
  <c r="H815" i="1"/>
  <c r="K846" i="1"/>
  <c r="M846" i="1" s="1"/>
  <c r="H507" i="1"/>
  <c r="H41" i="1"/>
  <c r="I386" i="1"/>
  <c r="G696" i="1"/>
  <c r="J384" i="1"/>
  <c r="I183" i="1"/>
  <c r="K548" i="1"/>
  <c r="M548" i="1" s="1"/>
  <c r="K698" i="1"/>
  <c r="M698" i="1" s="1"/>
  <c r="J170" i="1"/>
  <c r="G275" i="1"/>
  <c r="K719" i="1"/>
  <c r="G623" i="1"/>
  <c r="G360" i="1"/>
  <c r="G47" i="1"/>
  <c r="I152" i="1"/>
  <c r="I825" i="1"/>
  <c r="I834" i="1"/>
  <c r="G692" i="1"/>
  <c r="H184" i="1"/>
  <c r="H663" i="1"/>
  <c r="G583" i="1"/>
  <c r="I237" i="1"/>
  <c r="H595" i="1"/>
  <c r="J802" i="1"/>
  <c r="H606" i="1"/>
  <c r="I444" i="1"/>
  <c r="J464" i="1"/>
  <c r="H748" i="1"/>
  <c r="G557" i="1"/>
  <c r="G76" i="1"/>
  <c r="I797" i="1"/>
  <c r="K612" i="1"/>
  <c r="J664" i="1"/>
  <c r="H156" i="1"/>
  <c r="G838" i="1"/>
  <c r="G443" i="1"/>
  <c r="G119" i="1"/>
  <c r="K815" i="1"/>
  <c r="J846" i="1"/>
  <c r="I507" i="1"/>
  <c r="J386" i="1"/>
  <c r="G129" i="1"/>
  <c r="I696" i="1"/>
  <c r="I384" i="1"/>
  <c r="G548" i="1"/>
  <c r="H698" i="1"/>
  <c r="G170" i="1"/>
  <c r="H275" i="1"/>
  <c r="G719" i="1"/>
  <c r="G453" i="1"/>
  <c r="I360" i="1"/>
  <c r="J47" i="1"/>
  <c r="J825" i="1"/>
  <c r="J230" i="1"/>
  <c r="G846" i="1"/>
  <c r="J641" i="1"/>
  <c r="G118" i="1"/>
  <c r="I492" i="1"/>
  <c r="H288" i="1"/>
  <c r="I548" i="1"/>
  <c r="H853" i="1"/>
  <c r="G684" i="1"/>
  <c r="G492" i="1"/>
  <c r="I288" i="1"/>
  <c r="H185" i="1"/>
  <c r="I443" i="1"/>
  <c r="J815" i="1"/>
  <c r="J129" i="1"/>
  <c r="J548" i="1"/>
  <c r="H152" i="1"/>
  <c r="H398" i="1"/>
  <c r="G683" i="1"/>
  <c r="H857" i="1"/>
  <c r="G686" i="1"/>
  <c r="I481" i="1"/>
  <c r="I663" i="1"/>
  <c r="J237" i="1"/>
  <c r="I595" i="1"/>
  <c r="K798" i="1"/>
  <c r="J444" i="1"/>
  <c r="I741" i="1"/>
  <c r="K557" i="1"/>
  <c r="M557" i="1" s="1"/>
  <c r="G797" i="1"/>
  <c r="K601" i="1"/>
  <c r="M601" i="1" s="1"/>
  <c r="G377" i="1"/>
  <c r="G185" i="1"/>
  <c r="K765" i="1"/>
  <c r="M765" i="1" s="1"/>
  <c r="N765" i="1" s="1"/>
  <c r="J507" i="1"/>
  <c r="I41" i="1"/>
  <c r="H205" i="1"/>
  <c r="H336" i="1"/>
  <c r="H719" i="1"/>
  <c r="I203" i="1"/>
  <c r="H453" i="1"/>
  <c r="K825" i="1"/>
  <c r="M825" i="1" s="1"/>
  <c r="G218" i="1"/>
  <c r="H103" i="1"/>
  <c r="H644" i="1"/>
  <c r="J492" i="1"/>
  <c r="I230" i="1"/>
  <c r="J530" i="1"/>
  <c r="I641" i="1"/>
  <c r="M712" i="1"/>
  <c r="P712" i="1" s="1"/>
  <c r="H464" i="1"/>
  <c r="H492" i="1"/>
  <c r="G857" i="1"/>
  <c r="K686" i="1"/>
  <c r="M686" i="1" s="1"/>
  <c r="J544" i="1"/>
  <c r="H807" i="1"/>
  <c r="G304" i="1"/>
  <c r="I798" i="1"/>
  <c r="J439" i="1"/>
  <c r="J585" i="1"/>
  <c r="I557" i="1"/>
  <c r="J25" i="1"/>
  <c r="I76" i="1"/>
  <c r="J601" i="1"/>
  <c r="H25" i="1"/>
  <c r="H377" i="1"/>
  <c r="G137" i="1"/>
  <c r="H550" i="1"/>
  <c r="J315" i="1"/>
  <c r="G20" i="1"/>
  <c r="I573" i="1"/>
  <c r="J719" i="1"/>
  <c r="K453" i="1"/>
  <c r="K629" i="1"/>
  <c r="M629" i="1" s="1"/>
  <c r="J218" i="1"/>
  <c r="K641" i="1"/>
  <c r="J481" i="1"/>
  <c r="G786" i="1"/>
  <c r="J304" i="1"/>
  <c r="H557" i="1"/>
  <c r="G601" i="1"/>
  <c r="I453" i="1"/>
  <c r="I218" i="1"/>
  <c r="H481" i="1"/>
  <c r="I807" i="1"/>
  <c r="H758" i="1"/>
  <c r="H304" i="1"/>
  <c r="J740" i="1"/>
  <c r="H137" i="1"/>
  <c r="I766" i="1"/>
  <c r="G295" i="1"/>
  <c r="K573" i="1"/>
  <c r="G629" i="1"/>
  <c r="G609" i="15"/>
  <c r="J609" i="15"/>
  <c r="K609" i="15" s="1"/>
  <c r="K607" i="13" s="1"/>
  <c r="I609" i="15"/>
  <c r="H609" i="15"/>
  <c r="G380" i="15"/>
  <c r="I380" i="15"/>
  <c r="H380" i="15"/>
  <c r="H160" i="11"/>
  <c r="G160" i="11"/>
  <c r="I160" i="11"/>
  <c r="H831" i="8"/>
  <c r="K831" i="8"/>
  <c r="L831" i="8" s="1"/>
  <c r="G829" i="13" s="1"/>
  <c r="J831" i="8"/>
  <c r="I831" i="8"/>
  <c r="J699" i="9"/>
  <c r="K699" i="9" s="1"/>
  <c r="H697" i="13" s="1"/>
  <c r="I699" i="9"/>
  <c r="H699" i="9"/>
  <c r="G699" i="9"/>
  <c r="J659" i="1"/>
  <c r="G659" i="1"/>
  <c r="K659" i="1"/>
  <c r="G616" i="14"/>
  <c r="J616" i="14"/>
  <c r="K616" i="14" s="1"/>
  <c r="J614" i="13" s="1"/>
  <c r="I616" i="14"/>
  <c r="H616" i="14"/>
  <c r="H574" i="9"/>
  <c r="J574" i="9"/>
  <c r="K574" i="9" s="1"/>
  <c r="H572" i="13" s="1"/>
  <c r="G574" i="9"/>
  <c r="I574" i="9"/>
  <c r="G464" i="14"/>
  <c r="I464" i="14"/>
  <c r="H464" i="14"/>
  <c r="J425" i="1"/>
  <c r="I425" i="1"/>
  <c r="J644" i="9"/>
  <c r="K644" i="9" s="1"/>
  <c r="H642" i="13" s="1"/>
  <c r="I644" i="9"/>
  <c r="H644" i="9"/>
  <c r="G644" i="9"/>
  <c r="G450" i="11"/>
  <c r="I450" i="11"/>
  <c r="H450" i="11"/>
  <c r="H398" i="11"/>
  <c r="I398" i="11"/>
  <c r="G398" i="11"/>
  <c r="H539" i="15"/>
  <c r="G539" i="15"/>
  <c r="J539" i="15"/>
  <c r="K539" i="15" s="1"/>
  <c r="K537" i="13" s="1"/>
  <c r="I539" i="15"/>
  <c r="J735" i="9"/>
  <c r="K735" i="9" s="1"/>
  <c r="H733" i="13" s="1"/>
  <c r="I735" i="9"/>
  <c r="H735" i="9"/>
  <c r="G735" i="9"/>
  <c r="I628" i="9"/>
  <c r="H628" i="9"/>
  <c r="G628" i="9"/>
  <c r="J628" i="9"/>
  <c r="K628" i="9" s="1"/>
  <c r="H626" i="13" s="1"/>
  <c r="K793" i="8"/>
  <c r="L793" i="8" s="1"/>
  <c r="G791" i="13" s="1"/>
  <c r="J793" i="8"/>
  <c r="I793" i="8"/>
  <c r="H793" i="8"/>
  <c r="H608" i="11"/>
  <c r="I608" i="11"/>
  <c r="J608" i="11"/>
  <c r="K608" i="11" s="1"/>
  <c r="I606" i="13" s="1"/>
  <c r="G608" i="11"/>
  <c r="H468" i="11"/>
  <c r="I468" i="11"/>
  <c r="G468" i="11"/>
  <c r="I155" i="11"/>
  <c r="H155" i="11"/>
  <c r="G155" i="11"/>
  <c r="J649" i="14"/>
  <c r="K649" i="14" s="1"/>
  <c r="J647" i="13" s="1"/>
  <c r="I649" i="14"/>
  <c r="H649" i="14"/>
  <c r="G649" i="14"/>
  <c r="I544" i="9"/>
  <c r="G544" i="9"/>
  <c r="J544" i="9"/>
  <c r="K544" i="9" s="1"/>
  <c r="H542" i="13" s="1"/>
  <c r="H544" i="9"/>
  <c r="I829" i="8"/>
  <c r="K829" i="8"/>
  <c r="L829" i="8" s="1"/>
  <c r="G827" i="13" s="1"/>
  <c r="J829" i="8"/>
  <c r="H829" i="8"/>
  <c r="G385" i="14"/>
  <c r="I385" i="14"/>
  <c r="H385" i="14"/>
  <c r="H556" i="1"/>
  <c r="K678" i="1"/>
  <c r="K568" i="1"/>
  <c r="J327" i="1"/>
  <c r="G83" i="1"/>
  <c r="J677" i="11"/>
  <c r="K677" i="11" s="1"/>
  <c r="I675" i="13" s="1"/>
  <c r="I677" i="11"/>
  <c r="G677" i="11"/>
  <c r="H677" i="11"/>
  <c r="I469" i="11"/>
  <c r="G469" i="11"/>
  <c r="H469" i="11"/>
  <c r="J187" i="1"/>
  <c r="I187" i="1"/>
  <c r="J682" i="8"/>
  <c r="I682" i="8"/>
  <c r="K682" i="8"/>
  <c r="L682" i="8" s="1"/>
  <c r="G680" i="13" s="1"/>
  <c r="H682" i="8"/>
  <c r="K556" i="1"/>
  <c r="H470" i="1"/>
  <c r="J758" i="1"/>
  <c r="M758" i="1" s="1"/>
  <c r="H684" i="1"/>
  <c r="H381" i="1"/>
  <c r="H140" i="1"/>
  <c r="H380" i="1"/>
  <c r="J858" i="9"/>
  <c r="K858" i="9" s="1"/>
  <c r="H856" i="13" s="1"/>
  <c r="I858" i="9"/>
  <c r="H858" i="9"/>
  <c r="G858" i="9"/>
  <c r="K718" i="8"/>
  <c r="L718" i="8" s="1"/>
  <c r="G716" i="13" s="1"/>
  <c r="H718" i="8"/>
  <c r="I718" i="8"/>
  <c r="J718" i="8"/>
  <c r="J857" i="9"/>
  <c r="K857" i="9" s="1"/>
  <c r="H855" i="13" s="1"/>
  <c r="I857" i="9"/>
  <c r="H857" i="9"/>
  <c r="G857" i="9"/>
  <c r="G647" i="9"/>
  <c r="J647" i="9"/>
  <c r="K647" i="9" s="1"/>
  <c r="H645" i="13" s="1"/>
  <c r="I647" i="9"/>
  <c r="H647" i="9"/>
  <c r="G494" i="11"/>
  <c r="I494" i="11"/>
  <c r="H494" i="11"/>
  <c r="I821" i="8"/>
  <c r="K821" i="8"/>
  <c r="L821" i="8" s="1"/>
  <c r="G819" i="13" s="1"/>
  <c r="H821" i="8"/>
  <c r="J821" i="8"/>
  <c r="G686" i="15"/>
  <c r="J686" i="15"/>
  <c r="K686" i="15" s="1"/>
  <c r="K684" i="13" s="1"/>
  <c r="H686" i="15"/>
  <c r="I686" i="15"/>
  <c r="I517" i="14"/>
  <c r="H517" i="14"/>
  <c r="G517" i="14"/>
  <c r="I403" i="11"/>
  <c r="H403" i="11"/>
  <c r="G403" i="11"/>
  <c r="G319" i="1"/>
  <c r="I319" i="1"/>
  <c r="H319" i="1"/>
  <c r="J319" i="1"/>
  <c r="G660" i="11"/>
  <c r="H660" i="11"/>
  <c r="J660" i="11"/>
  <c r="K660" i="11" s="1"/>
  <c r="I658" i="13" s="1"/>
  <c r="I660" i="11"/>
  <c r="J801" i="8"/>
  <c r="H801" i="8"/>
  <c r="K801" i="8"/>
  <c r="L801" i="8" s="1"/>
  <c r="G799" i="13" s="1"/>
  <c r="I801" i="8"/>
  <c r="I485" i="14"/>
  <c r="H485" i="14"/>
  <c r="G485" i="14"/>
  <c r="H405" i="11"/>
  <c r="I405" i="11"/>
  <c r="G405" i="11"/>
  <c r="H233" i="14"/>
  <c r="I233" i="14"/>
  <c r="G233" i="14"/>
  <c r="I715" i="8"/>
  <c r="H715" i="8"/>
  <c r="J715" i="8"/>
  <c r="K715" i="8"/>
  <c r="L715" i="8" s="1"/>
  <c r="G713" i="13" s="1"/>
  <c r="G626" i="9"/>
  <c r="J626" i="9"/>
  <c r="K626" i="9" s="1"/>
  <c r="H624" i="13" s="1"/>
  <c r="I626" i="9"/>
  <c r="H626" i="9"/>
  <c r="H455" i="14"/>
  <c r="G455" i="14"/>
  <c r="I455" i="14"/>
  <c r="J526" i="11"/>
  <c r="K526" i="11" s="1"/>
  <c r="I524" i="13" s="1"/>
  <c r="I526" i="11"/>
  <c r="H526" i="11"/>
  <c r="G526" i="11"/>
  <c r="I730" i="8"/>
  <c r="H730" i="8"/>
  <c r="K730" i="8"/>
  <c r="L730" i="8" s="1"/>
  <c r="G728" i="13" s="1"/>
  <c r="J730" i="8"/>
  <c r="H671" i="9"/>
  <c r="G671" i="9"/>
  <c r="J671" i="9"/>
  <c r="K671" i="9" s="1"/>
  <c r="H669" i="13" s="1"/>
  <c r="I671" i="9"/>
  <c r="G509" i="15"/>
  <c r="I509" i="15"/>
  <c r="H509" i="15"/>
  <c r="H138" i="11"/>
  <c r="G138" i="11"/>
  <c r="I138" i="11"/>
  <c r="K786" i="1"/>
  <c r="M786" i="1" s="1"/>
  <c r="I420" i="1"/>
  <c r="I534" i="1"/>
  <c r="I381" i="1"/>
  <c r="J81" i="1"/>
  <c r="M634" i="1"/>
  <c r="Q634" i="1" s="1"/>
  <c r="F632" i="13" s="1"/>
  <c r="J581" i="1"/>
  <c r="M581" i="1" s="1"/>
  <c r="Q581" i="1" s="1"/>
  <c r="F579" i="13" s="1"/>
  <c r="I140" i="1"/>
  <c r="J83" i="1"/>
  <c r="J416" i="1"/>
  <c r="J232" i="1"/>
  <c r="G449" i="1"/>
  <c r="I609" i="1"/>
  <c r="H833" i="1"/>
  <c r="J244" i="1"/>
  <c r="I261" i="1"/>
  <c r="H417" i="1"/>
  <c r="J565" i="1"/>
  <c r="G608" i="1"/>
  <c r="I153" i="1"/>
  <c r="J631" i="1"/>
  <c r="K539" i="1"/>
  <c r="I250" i="1"/>
  <c r="J259" i="1"/>
  <c r="I211" i="1"/>
  <c r="I661" i="1"/>
  <c r="J338" i="1"/>
  <c r="J71" i="1"/>
  <c r="I398" i="1"/>
  <c r="J858" i="11"/>
  <c r="K858" i="11" s="1"/>
  <c r="I856" i="13" s="1"/>
  <c r="I858" i="11"/>
  <c r="G858" i="11"/>
  <c r="H858" i="11"/>
  <c r="J847" i="15"/>
  <c r="K847" i="15" s="1"/>
  <c r="K845" i="13" s="1"/>
  <c r="I847" i="15"/>
  <c r="H847" i="15"/>
  <c r="G847" i="15"/>
  <c r="G839" i="11"/>
  <c r="H839" i="11"/>
  <c r="J839" i="11"/>
  <c r="K839" i="11" s="1"/>
  <c r="I837" i="13" s="1"/>
  <c r="I839" i="11"/>
  <c r="J798" i="15"/>
  <c r="K798" i="15" s="1"/>
  <c r="K796" i="13" s="1"/>
  <c r="I798" i="15"/>
  <c r="H798" i="15"/>
  <c r="G798" i="15"/>
  <c r="K759" i="8"/>
  <c r="L759" i="8" s="1"/>
  <c r="G757" i="13" s="1"/>
  <c r="I759" i="8"/>
  <c r="H759" i="8"/>
  <c r="J759" i="8"/>
  <c r="J741" i="14"/>
  <c r="K741" i="14" s="1"/>
  <c r="J739" i="13" s="1"/>
  <c r="I741" i="14"/>
  <c r="G741" i="14"/>
  <c r="H741" i="14"/>
  <c r="J728" i="11"/>
  <c r="K728" i="11" s="1"/>
  <c r="I726" i="13" s="1"/>
  <c r="G728" i="11"/>
  <c r="H728" i="11"/>
  <c r="I728" i="11"/>
  <c r="J718" i="9"/>
  <c r="K718" i="9" s="1"/>
  <c r="H716" i="13" s="1"/>
  <c r="I718" i="9"/>
  <c r="H718" i="9"/>
  <c r="G718" i="9"/>
  <c r="I640" i="8"/>
  <c r="H640" i="8"/>
  <c r="K640" i="8"/>
  <c r="L640" i="8" s="1"/>
  <c r="G638" i="13" s="1"/>
  <c r="J640" i="8"/>
  <c r="I600" i="9"/>
  <c r="H600" i="9"/>
  <c r="J600" i="9"/>
  <c r="K600" i="9" s="1"/>
  <c r="H598" i="13" s="1"/>
  <c r="G600" i="9"/>
  <c r="I586" i="9"/>
  <c r="H586" i="9"/>
  <c r="G586" i="9"/>
  <c r="J586" i="9"/>
  <c r="K586" i="9" s="1"/>
  <c r="H584" i="13" s="1"/>
  <c r="J541" i="14"/>
  <c r="K541" i="14" s="1"/>
  <c r="J539" i="13" s="1"/>
  <c r="I541" i="14"/>
  <c r="H541" i="14"/>
  <c r="G541" i="14"/>
  <c r="J528" i="15"/>
  <c r="K528" i="15" s="1"/>
  <c r="K526" i="13" s="1"/>
  <c r="H528" i="15"/>
  <c r="I528" i="15"/>
  <c r="G528" i="15"/>
  <c r="I413" i="14"/>
  <c r="H413" i="14"/>
  <c r="G413" i="14"/>
  <c r="G197" i="1"/>
  <c r="J197" i="1"/>
  <c r="H197" i="1"/>
  <c r="I197" i="1"/>
  <c r="H160" i="1"/>
  <c r="J160" i="1"/>
  <c r="I160" i="1"/>
  <c r="G128" i="11"/>
  <c r="I128" i="11"/>
  <c r="H128" i="11"/>
  <c r="H20" i="11"/>
  <c r="G20" i="11"/>
  <c r="I20" i="11"/>
  <c r="I184" i="14"/>
  <c r="H184" i="14"/>
  <c r="G184" i="14"/>
  <c r="G41" i="15"/>
  <c r="I41" i="15"/>
  <c r="H41" i="15"/>
  <c r="H25" i="14"/>
  <c r="G25" i="14"/>
  <c r="I25" i="14"/>
  <c r="G601" i="15"/>
  <c r="J601" i="15"/>
  <c r="K601" i="15" s="1"/>
  <c r="K599" i="13" s="1"/>
  <c r="I601" i="15"/>
  <c r="H601" i="15"/>
  <c r="G402" i="11"/>
  <c r="I402" i="11"/>
  <c r="H402" i="11"/>
  <c r="I203" i="11"/>
  <c r="H203" i="11"/>
  <c r="G203" i="11"/>
  <c r="J707" i="8"/>
  <c r="H707" i="8"/>
  <c r="K707" i="8"/>
  <c r="L707" i="8" s="1"/>
  <c r="G705" i="13" s="1"/>
  <c r="I707" i="8"/>
  <c r="I156" i="11"/>
  <c r="H156" i="11"/>
  <c r="G156" i="11"/>
  <c r="I151" i="14"/>
  <c r="G151" i="14"/>
  <c r="H151" i="14"/>
  <c r="I857" i="11"/>
  <c r="H857" i="11"/>
  <c r="J857" i="11"/>
  <c r="K857" i="11" s="1"/>
  <c r="I855" i="13" s="1"/>
  <c r="G857" i="11"/>
  <c r="G825" i="14"/>
  <c r="I825" i="14"/>
  <c r="J825" i="14"/>
  <c r="K825" i="14" s="1"/>
  <c r="J823" i="13" s="1"/>
  <c r="H825" i="14"/>
  <c r="H810" i="8"/>
  <c r="K810" i="8"/>
  <c r="L810" i="8" s="1"/>
  <c r="G808" i="13" s="1"/>
  <c r="J810" i="8"/>
  <c r="I810" i="8"/>
  <c r="J803" i="15"/>
  <c r="K803" i="15" s="1"/>
  <c r="K801" i="13" s="1"/>
  <c r="I803" i="15"/>
  <c r="H803" i="15"/>
  <c r="G803" i="15"/>
  <c r="J738" i="11"/>
  <c r="K738" i="11" s="1"/>
  <c r="I736" i="13" s="1"/>
  <c r="I738" i="11"/>
  <c r="G738" i="11"/>
  <c r="H738" i="11"/>
  <c r="G859" i="1"/>
  <c r="H800" i="1"/>
  <c r="K788" i="1"/>
  <c r="M788" i="1" s="1"/>
  <c r="N788" i="1" s="1"/>
  <c r="K779" i="1"/>
  <c r="M779" i="1" s="1"/>
  <c r="H364" i="1"/>
  <c r="G226" i="1"/>
  <c r="K755" i="1"/>
  <c r="M755" i="1" s="1"/>
  <c r="N755" i="1" s="1"/>
  <c r="J699" i="1"/>
  <c r="I369" i="1"/>
  <c r="G432" i="1"/>
  <c r="M844" i="1"/>
  <c r="N844" i="1" s="1"/>
  <c r="K527" i="1"/>
  <c r="I487" i="1"/>
  <c r="I786" i="1"/>
  <c r="J684" i="1"/>
  <c r="J534" i="1"/>
  <c r="J420" i="1"/>
  <c r="J381" i="1"/>
  <c r="H449" i="1"/>
  <c r="I68" i="1"/>
  <c r="H414" i="1"/>
  <c r="J816" i="1"/>
  <c r="J137" i="1"/>
  <c r="G741" i="1"/>
  <c r="G220" i="1"/>
  <c r="J609" i="1"/>
  <c r="H120" i="1"/>
  <c r="I79" i="1"/>
  <c r="J833" i="1"/>
  <c r="G176" i="1"/>
  <c r="I633" i="1"/>
  <c r="J261" i="1"/>
  <c r="K565" i="1"/>
  <c r="M565" i="1" s="1"/>
  <c r="J471" i="1"/>
  <c r="H608" i="1"/>
  <c r="G109" i="1"/>
  <c r="I539" i="1"/>
  <c r="J250" i="1"/>
  <c r="G370" i="1"/>
  <c r="J211" i="1"/>
  <c r="I351" i="1"/>
  <c r="K661" i="1"/>
  <c r="G338" i="1"/>
  <c r="I296" i="1"/>
  <c r="G31" i="1"/>
  <c r="I71" i="1"/>
  <c r="I657" i="1"/>
  <c r="J756" i="15"/>
  <c r="K756" i="15" s="1"/>
  <c r="K754" i="13" s="1"/>
  <c r="I756" i="15"/>
  <c r="H756" i="15"/>
  <c r="G756" i="15"/>
  <c r="I416" i="14"/>
  <c r="H416" i="14"/>
  <c r="G416" i="14"/>
  <c r="H651" i="11"/>
  <c r="I651" i="11"/>
  <c r="G651" i="11"/>
  <c r="J651" i="11"/>
  <c r="K651" i="11" s="1"/>
  <c r="I649" i="13" s="1"/>
  <c r="I815" i="8"/>
  <c r="H815" i="8"/>
  <c r="K815" i="8"/>
  <c r="L815" i="8" s="1"/>
  <c r="G813" i="13" s="1"/>
  <c r="J815" i="8"/>
  <c r="H502" i="15"/>
  <c r="I502" i="15"/>
  <c r="G502" i="15"/>
  <c r="J786" i="9"/>
  <c r="K786" i="9" s="1"/>
  <c r="H784" i="13" s="1"/>
  <c r="I786" i="9"/>
  <c r="H786" i="9"/>
  <c r="G786" i="9"/>
  <c r="G554" i="9"/>
  <c r="H554" i="9"/>
  <c r="I554" i="9"/>
  <c r="J554" i="9"/>
  <c r="K554" i="9" s="1"/>
  <c r="H552" i="13" s="1"/>
  <c r="I487" i="15"/>
  <c r="H487" i="15"/>
  <c r="G487" i="15"/>
  <c r="G114" i="1"/>
  <c r="J114" i="1"/>
  <c r="I114" i="1"/>
  <c r="H114" i="1"/>
  <c r="G669" i="15"/>
  <c r="J669" i="15"/>
  <c r="K669" i="15" s="1"/>
  <c r="K667" i="13" s="1"/>
  <c r="I669" i="15"/>
  <c r="H669" i="15"/>
  <c r="G527" i="14"/>
  <c r="I527" i="14"/>
  <c r="H527" i="14"/>
  <c r="J527" i="14"/>
  <c r="K527" i="14" s="1"/>
  <c r="J525" i="13" s="1"/>
  <c r="H252" i="11"/>
  <c r="G252" i="11"/>
  <c r="I252" i="11"/>
  <c r="G10" i="11"/>
  <c r="H10" i="11"/>
  <c r="I10" i="11"/>
  <c r="J760" i="8"/>
  <c r="K760" i="8"/>
  <c r="L760" i="8" s="1"/>
  <c r="G758" i="13" s="1"/>
  <c r="I760" i="8"/>
  <c r="H760" i="8"/>
  <c r="I814" i="8"/>
  <c r="H814" i="8"/>
  <c r="K814" i="8"/>
  <c r="L814" i="8" s="1"/>
  <c r="G812" i="13" s="1"/>
  <c r="J814" i="8"/>
  <c r="I768" i="11"/>
  <c r="J768" i="11"/>
  <c r="K768" i="11" s="1"/>
  <c r="I766" i="13" s="1"/>
  <c r="H768" i="11"/>
  <c r="G768" i="11"/>
  <c r="J605" i="9"/>
  <c r="K605" i="9" s="1"/>
  <c r="H603" i="13" s="1"/>
  <c r="I605" i="9"/>
  <c r="H605" i="9"/>
  <c r="G605" i="9"/>
  <c r="H160" i="14"/>
  <c r="G160" i="14"/>
  <c r="I160" i="14"/>
  <c r="I758" i="14"/>
  <c r="H758" i="14"/>
  <c r="J758" i="14"/>
  <c r="K758" i="14" s="1"/>
  <c r="J756" i="13" s="1"/>
  <c r="G758" i="14"/>
  <c r="H709" i="9"/>
  <c r="G709" i="9"/>
  <c r="J709" i="9"/>
  <c r="K709" i="9" s="1"/>
  <c r="H707" i="13" s="1"/>
  <c r="I709" i="9"/>
  <c r="H649" i="9"/>
  <c r="J649" i="9"/>
  <c r="K649" i="9" s="1"/>
  <c r="H647" i="13" s="1"/>
  <c r="I649" i="9"/>
  <c r="G649" i="9"/>
  <c r="I10" i="14"/>
  <c r="G10" i="14"/>
  <c r="H10" i="14"/>
  <c r="I118" i="14"/>
  <c r="H118" i="14"/>
  <c r="G118" i="14"/>
  <c r="I482" i="11"/>
  <c r="H482" i="11"/>
  <c r="G482" i="11"/>
  <c r="I493" i="14"/>
  <c r="H493" i="14"/>
  <c r="G493" i="14"/>
  <c r="G445" i="14"/>
  <c r="H445" i="14"/>
  <c r="I445" i="14"/>
  <c r="H86" i="15"/>
  <c r="G86" i="15"/>
  <c r="I86" i="15"/>
  <c r="I7" i="15"/>
  <c r="H7" i="15"/>
  <c r="G7" i="15"/>
  <c r="G171" i="14"/>
  <c r="H171" i="14"/>
  <c r="I171" i="14"/>
  <c r="G695" i="15"/>
  <c r="J695" i="15"/>
  <c r="K695" i="15" s="1"/>
  <c r="K693" i="13" s="1"/>
  <c r="I695" i="15"/>
  <c r="H695" i="15"/>
  <c r="G477" i="15"/>
  <c r="I477" i="15"/>
  <c r="H477" i="15"/>
  <c r="G290" i="11"/>
  <c r="H290" i="11"/>
  <c r="I290" i="11"/>
  <c r="J567" i="11"/>
  <c r="K567" i="11" s="1"/>
  <c r="I565" i="13" s="1"/>
  <c r="G567" i="11"/>
  <c r="I567" i="11"/>
  <c r="H567" i="11"/>
  <c r="H488" i="11"/>
  <c r="I488" i="11"/>
  <c r="G488" i="11"/>
  <c r="I349" i="15"/>
  <c r="H349" i="15"/>
  <c r="G349" i="15"/>
  <c r="G282" i="15"/>
  <c r="I282" i="15"/>
  <c r="H282" i="15"/>
  <c r="I248" i="11"/>
  <c r="H248" i="11"/>
  <c r="G248" i="11"/>
  <c r="I164" i="1"/>
  <c r="H633" i="1"/>
  <c r="H363" i="1"/>
  <c r="H396" i="1"/>
  <c r="K827" i="1"/>
  <c r="M827" i="1" s="1"/>
  <c r="H65" i="15"/>
  <c r="G65" i="15"/>
  <c r="I65" i="15"/>
  <c r="G298" i="14"/>
  <c r="I298" i="14"/>
  <c r="H298" i="14"/>
  <c r="J543" i="15"/>
  <c r="K543" i="15" s="1"/>
  <c r="K541" i="13" s="1"/>
  <c r="I543" i="15"/>
  <c r="H543" i="15"/>
  <c r="G543" i="15"/>
  <c r="I270" i="11"/>
  <c r="H270" i="11"/>
  <c r="G270" i="11"/>
  <c r="K744" i="1"/>
  <c r="J744" i="1"/>
  <c r="I744" i="1"/>
  <c r="H744" i="1"/>
  <c r="G744" i="1"/>
  <c r="H161" i="11"/>
  <c r="I161" i="11"/>
  <c r="G161" i="11"/>
  <c r="J786" i="15"/>
  <c r="K786" i="15" s="1"/>
  <c r="K784" i="13" s="1"/>
  <c r="I786" i="15"/>
  <c r="H786" i="15"/>
  <c r="G786" i="15"/>
  <c r="G579" i="11"/>
  <c r="H579" i="11"/>
  <c r="J579" i="11"/>
  <c r="K579" i="11" s="1"/>
  <c r="I577" i="13" s="1"/>
  <c r="I579" i="11"/>
  <c r="G410" i="11"/>
  <c r="I410" i="11"/>
  <c r="H410" i="11"/>
  <c r="G684" i="14"/>
  <c r="J684" i="14"/>
  <c r="K684" i="14" s="1"/>
  <c r="J682" i="13" s="1"/>
  <c r="I684" i="14"/>
  <c r="H684" i="14"/>
  <c r="G141" i="11"/>
  <c r="H141" i="11"/>
  <c r="I141" i="11"/>
  <c r="I757" i="8"/>
  <c r="H757" i="8"/>
  <c r="J757" i="8"/>
  <c r="K757" i="8"/>
  <c r="L757" i="8" s="1"/>
  <c r="G755" i="13" s="1"/>
  <c r="J553" i="15"/>
  <c r="K553" i="15" s="1"/>
  <c r="K551" i="13" s="1"/>
  <c r="I553" i="15"/>
  <c r="H553" i="15"/>
  <c r="G553" i="15"/>
  <c r="H178" i="11"/>
  <c r="I178" i="11"/>
  <c r="G178" i="11"/>
  <c r="I31" i="11"/>
  <c r="H31" i="11"/>
  <c r="G31" i="11"/>
  <c r="J838" i="11"/>
  <c r="K838" i="11" s="1"/>
  <c r="I836" i="13" s="1"/>
  <c r="I838" i="11"/>
  <c r="H838" i="11"/>
  <c r="G838" i="11"/>
  <c r="G797" i="11"/>
  <c r="I797" i="11"/>
  <c r="H797" i="11"/>
  <c r="J797" i="11"/>
  <c r="K797" i="11" s="1"/>
  <c r="I795" i="13" s="1"/>
  <c r="J746" i="8"/>
  <c r="I746" i="8"/>
  <c r="H746" i="8"/>
  <c r="K746" i="8"/>
  <c r="L746" i="8" s="1"/>
  <c r="G744" i="13" s="1"/>
  <c r="H760" i="11"/>
  <c r="I760" i="11"/>
  <c r="G760" i="11"/>
  <c r="J760" i="11"/>
  <c r="K760" i="11" s="1"/>
  <c r="I758" i="13" s="1"/>
  <c r="G63" i="14"/>
  <c r="H63" i="14"/>
  <c r="I63" i="14"/>
  <c r="G573" i="15"/>
  <c r="J573" i="15"/>
  <c r="K573" i="15" s="1"/>
  <c r="K571" i="13" s="1"/>
  <c r="I573" i="15"/>
  <c r="H573" i="15"/>
  <c r="G366" i="14"/>
  <c r="H366" i="14"/>
  <c r="I366" i="14"/>
  <c r="K559" i="1"/>
  <c r="M559" i="1" s="1"/>
  <c r="H147" i="1"/>
  <c r="I731" i="1"/>
  <c r="K731" i="1"/>
  <c r="G731" i="1"/>
  <c r="H731" i="1"/>
  <c r="J731" i="1"/>
  <c r="I733" i="11"/>
  <c r="G733" i="11"/>
  <c r="H733" i="11"/>
  <c r="J733" i="11"/>
  <c r="K733" i="11" s="1"/>
  <c r="I731" i="13" s="1"/>
  <c r="I446" i="15"/>
  <c r="H446" i="15"/>
  <c r="G446" i="15"/>
  <c r="G560" i="1"/>
  <c r="H560" i="1"/>
  <c r="I560" i="1"/>
  <c r="K560" i="1"/>
  <c r="J560" i="1"/>
  <c r="H513" i="1"/>
  <c r="H220" i="15"/>
  <c r="G220" i="15"/>
  <c r="I220" i="15"/>
  <c r="G757" i="9"/>
  <c r="H757" i="9"/>
  <c r="I757" i="9"/>
  <c r="J757" i="9"/>
  <c r="K757" i="9" s="1"/>
  <c r="H755" i="13" s="1"/>
  <c r="I720" i="15"/>
  <c r="H720" i="15"/>
  <c r="G720" i="15"/>
  <c r="J720" i="15"/>
  <c r="K720" i="15" s="1"/>
  <c r="K718" i="13" s="1"/>
  <c r="G370" i="15"/>
  <c r="I370" i="15"/>
  <c r="H370" i="15"/>
  <c r="G711" i="15"/>
  <c r="J711" i="15"/>
  <c r="K711" i="15" s="1"/>
  <c r="K709" i="13" s="1"/>
  <c r="I711" i="15"/>
  <c r="H711" i="15"/>
  <c r="J805" i="1"/>
  <c r="M805" i="1" s="1"/>
  <c r="I805" i="1"/>
  <c r="H805" i="1"/>
  <c r="J735" i="14"/>
  <c r="K735" i="14" s="1"/>
  <c r="J733" i="13" s="1"/>
  <c r="H735" i="14"/>
  <c r="G735" i="14"/>
  <c r="I735" i="14"/>
  <c r="H649" i="11"/>
  <c r="G649" i="11"/>
  <c r="J649" i="11"/>
  <c r="K649" i="11" s="1"/>
  <c r="I647" i="13" s="1"/>
  <c r="I649" i="11"/>
  <c r="J628" i="15"/>
  <c r="K628" i="15" s="1"/>
  <c r="K626" i="13" s="1"/>
  <c r="I628" i="15"/>
  <c r="H628" i="15"/>
  <c r="G628" i="15"/>
  <c r="J760" i="14"/>
  <c r="K760" i="14" s="1"/>
  <c r="J758" i="13" s="1"/>
  <c r="I760" i="14"/>
  <c r="H760" i="14"/>
  <c r="G760" i="14"/>
  <c r="G482" i="14"/>
  <c r="I482" i="14"/>
  <c r="H482" i="14"/>
  <c r="J727" i="11"/>
  <c r="K727" i="11" s="1"/>
  <c r="I725" i="13" s="1"/>
  <c r="I727" i="11"/>
  <c r="H727" i="11"/>
  <c r="G727" i="11"/>
  <c r="I37" i="15"/>
  <c r="G37" i="15"/>
  <c r="H37" i="15"/>
  <c r="I78" i="14"/>
  <c r="H78" i="14"/>
  <c r="G78" i="14"/>
  <c r="H341" i="1"/>
  <c r="J773" i="14"/>
  <c r="K773" i="14" s="1"/>
  <c r="J771" i="13" s="1"/>
  <c r="I773" i="14"/>
  <c r="H773" i="14"/>
  <c r="G773" i="14"/>
  <c r="G601" i="14"/>
  <c r="J601" i="14"/>
  <c r="K601" i="14" s="1"/>
  <c r="J599" i="13" s="1"/>
  <c r="I601" i="14"/>
  <c r="H601" i="14"/>
  <c r="H298" i="15"/>
  <c r="G298" i="15"/>
  <c r="I298" i="15"/>
  <c r="G651" i="1"/>
  <c r="K651" i="1"/>
  <c r="H651" i="1"/>
  <c r="J651" i="1"/>
  <c r="I651" i="1"/>
  <c r="H796" i="14"/>
  <c r="J796" i="14"/>
  <c r="K796" i="14" s="1"/>
  <c r="J794" i="13" s="1"/>
  <c r="G796" i="14"/>
  <c r="I796" i="14"/>
  <c r="G107" i="11"/>
  <c r="H107" i="11"/>
  <c r="I107" i="11"/>
  <c r="I201" i="11"/>
  <c r="H201" i="11"/>
  <c r="G201" i="11"/>
  <c r="H54" i="15"/>
  <c r="I54" i="15"/>
  <c r="G54" i="15"/>
  <c r="I749" i="9"/>
  <c r="J749" i="9"/>
  <c r="K749" i="9" s="1"/>
  <c r="H747" i="13" s="1"/>
  <c r="H749" i="9"/>
  <c r="G749" i="9"/>
  <c r="I614" i="9"/>
  <c r="J614" i="9"/>
  <c r="K614" i="9" s="1"/>
  <c r="H612" i="13" s="1"/>
  <c r="H614" i="9"/>
  <c r="G614" i="9"/>
  <c r="I178" i="15"/>
  <c r="G178" i="15"/>
  <c r="H178" i="15"/>
  <c r="I846" i="9"/>
  <c r="H846" i="9"/>
  <c r="G846" i="9"/>
  <c r="J846" i="9"/>
  <c r="K846" i="9" s="1"/>
  <c r="H844" i="13" s="1"/>
  <c r="I509" i="11"/>
  <c r="H509" i="11"/>
  <c r="G509" i="11"/>
  <c r="H115" i="14"/>
  <c r="G115" i="14"/>
  <c r="I115" i="14"/>
  <c r="I412" i="15"/>
  <c r="H412" i="15"/>
  <c r="G412" i="15"/>
  <c r="H175" i="14"/>
  <c r="I175" i="14"/>
  <c r="G175" i="14"/>
  <c r="I123" i="14"/>
  <c r="H123" i="14"/>
  <c r="G123" i="14"/>
  <c r="H397" i="14"/>
  <c r="G397" i="14"/>
  <c r="I397" i="14"/>
  <c r="I505" i="15"/>
  <c r="H505" i="15"/>
  <c r="G505" i="15"/>
  <c r="I758" i="1"/>
  <c r="J341" i="1"/>
  <c r="J417" i="1"/>
  <c r="H827" i="1"/>
  <c r="H858" i="8"/>
  <c r="K858" i="8"/>
  <c r="L858" i="8" s="1"/>
  <c r="G856" i="13" s="1"/>
  <c r="I858" i="8"/>
  <c r="J858" i="8"/>
  <c r="H773" i="15"/>
  <c r="G773" i="15"/>
  <c r="J773" i="15"/>
  <c r="K773" i="15" s="1"/>
  <c r="K771" i="13" s="1"/>
  <c r="I773" i="15"/>
  <c r="I728" i="14"/>
  <c r="J728" i="14"/>
  <c r="K728" i="14" s="1"/>
  <c r="J726" i="13" s="1"/>
  <c r="H728" i="14"/>
  <c r="G728" i="14"/>
  <c r="I541" i="9"/>
  <c r="G541" i="9"/>
  <c r="J541" i="9"/>
  <c r="K541" i="9" s="1"/>
  <c r="H539" i="13" s="1"/>
  <c r="H541" i="9"/>
  <c r="H41" i="14"/>
  <c r="I41" i="14"/>
  <c r="G41" i="14"/>
  <c r="G76" i="14"/>
  <c r="I76" i="14"/>
  <c r="H76" i="14"/>
  <c r="G107" i="14"/>
  <c r="I107" i="14"/>
  <c r="H107" i="14"/>
  <c r="I767" i="9"/>
  <c r="H767" i="9"/>
  <c r="G767" i="9"/>
  <c r="J767" i="9"/>
  <c r="K767" i="9" s="1"/>
  <c r="H765" i="13" s="1"/>
  <c r="J204" i="1"/>
  <c r="I204" i="1"/>
  <c r="J691" i="15"/>
  <c r="K691" i="15" s="1"/>
  <c r="K689" i="13" s="1"/>
  <c r="G691" i="15"/>
  <c r="I691" i="15"/>
  <c r="H691" i="15"/>
  <c r="H491" i="14"/>
  <c r="G491" i="14"/>
  <c r="I491" i="14"/>
  <c r="I299" i="15"/>
  <c r="G299" i="15"/>
  <c r="H299" i="15"/>
  <c r="I380" i="1"/>
  <c r="H847" i="14"/>
  <c r="I847" i="14"/>
  <c r="J847" i="14"/>
  <c r="K847" i="14" s="1"/>
  <c r="J845" i="13" s="1"/>
  <c r="G847" i="14"/>
  <c r="J798" i="14"/>
  <c r="K798" i="14" s="1"/>
  <c r="J796" i="13" s="1"/>
  <c r="I798" i="14"/>
  <c r="H798" i="14"/>
  <c r="G798" i="14"/>
  <c r="G373" i="1"/>
  <c r="I373" i="1"/>
  <c r="H373" i="1"/>
  <c r="J373" i="1"/>
  <c r="H128" i="14"/>
  <c r="G128" i="14"/>
  <c r="I128" i="14"/>
  <c r="G30" i="1"/>
  <c r="J30" i="1"/>
  <c r="I30" i="1"/>
  <c r="H30" i="1"/>
  <c r="I76" i="15"/>
  <c r="H76" i="15"/>
  <c r="G76" i="15"/>
  <c r="I601" i="9"/>
  <c r="J601" i="9"/>
  <c r="K601" i="9" s="1"/>
  <c r="H599" i="13" s="1"/>
  <c r="H601" i="9"/>
  <c r="G601" i="9"/>
  <c r="I738" i="9"/>
  <c r="H738" i="9"/>
  <c r="G738" i="9"/>
  <c r="J738" i="9"/>
  <c r="K738" i="9" s="1"/>
  <c r="H736" i="13" s="1"/>
  <c r="I677" i="14"/>
  <c r="H677" i="14"/>
  <c r="J677" i="14"/>
  <c r="K677" i="14" s="1"/>
  <c r="J675" i="13" s="1"/>
  <c r="G677" i="14"/>
  <c r="I469" i="15"/>
  <c r="H469" i="15"/>
  <c r="G469" i="15"/>
  <c r="H107" i="15"/>
  <c r="G107" i="15"/>
  <c r="I107" i="15"/>
  <c r="I245" i="14"/>
  <c r="H245" i="14"/>
  <c r="G245" i="14"/>
  <c r="J682" i="11"/>
  <c r="K682" i="11" s="1"/>
  <c r="I680" i="13" s="1"/>
  <c r="I682" i="11"/>
  <c r="G682" i="11"/>
  <c r="H682" i="11"/>
  <c r="J698" i="15"/>
  <c r="K698" i="15" s="1"/>
  <c r="K696" i="13" s="1"/>
  <c r="I698" i="15"/>
  <c r="H698" i="15"/>
  <c r="G698" i="15"/>
  <c r="G757" i="15"/>
  <c r="J757" i="15"/>
  <c r="K757" i="15" s="1"/>
  <c r="K755" i="13" s="1"/>
  <c r="I757" i="15"/>
  <c r="H757" i="15"/>
  <c r="J795" i="8"/>
  <c r="I795" i="8"/>
  <c r="K795" i="8"/>
  <c r="L795" i="8" s="1"/>
  <c r="G793" i="13" s="1"/>
  <c r="H795" i="8"/>
  <c r="G748" i="9"/>
  <c r="J748" i="9"/>
  <c r="K748" i="9" s="1"/>
  <c r="H746" i="13" s="1"/>
  <c r="I748" i="9"/>
  <c r="H748" i="9"/>
  <c r="J846" i="14"/>
  <c r="K846" i="14" s="1"/>
  <c r="J844" i="13" s="1"/>
  <c r="I846" i="14"/>
  <c r="H846" i="14"/>
  <c r="G846" i="14"/>
  <c r="G154" i="11"/>
  <c r="I154" i="11"/>
  <c r="H154" i="11"/>
  <c r="J848" i="11"/>
  <c r="K848" i="11" s="1"/>
  <c r="I846" i="13" s="1"/>
  <c r="I848" i="11"/>
  <c r="G848" i="11"/>
  <c r="H848" i="11"/>
  <c r="H544" i="14"/>
  <c r="G544" i="14"/>
  <c r="I544" i="14"/>
  <c r="J544" i="14"/>
  <c r="K544" i="14" s="1"/>
  <c r="J542" i="13" s="1"/>
  <c r="G746" i="15"/>
  <c r="I746" i="15"/>
  <c r="H746" i="15"/>
  <c r="J746" i="15"/>
  <c r="K746" i="15" s="1"/>
  <c r="K744" i="13" s="1"/>
  <c r="G829" i="11"/>
  <c r="H829" i="11"/>
  <c r="J829" i="11"/>
  <c r="K829" i="11" s="1"/>
  <c r="I827" i="13" s="1"/>
  <c r="I829" i="11"/>
  <c r="I432" i="1"/>
  <c r="I471" i="1"/>
  <c r="I779" i="1"/>
  <c r="J355" i="1"/>
  <c r="K699" i="1"/>
  <c r="H204" i="1"/>
  <c r="I426" i="1"/>
  <c r="H650" i="1"/>
  <c r="H220" i="1"/>
  <c r="K609" i="1"/>
  <c r="M609" i="1" s="1"/>
  <c r="G729" i="1"/>
  <c r="H176" i="1"/>
  <c r="J516" i="1"/>
  <c r="H84" i="1"/>
  <c r="I624" i="1"/>
  <c r="I109" i="1"/>
  <c r="H539" i="1"/>
  <c r="H370" i="1"/>
  <c r="J661" i="1"/>
  <c r="M761" i="1"/>
  <c r="Q761" i="1" s="1"/>
  <c r="F759" i="13" s="1"/>
  <c r="H338" i="1"/>
  <c r="H31" i="1"/>
  <c r="J657" i="1"/>
  <c r="K844" i="8"/>
  <c r="L844" i="8" s="1"/>
  <c r="G842" i="13" s="1"/>
  <c r="J844" i="8"/>
  <c r="H844" i="8"/>
  <c r="I844" i="8"/>
  <c r="G839" i="15"/>
  <c r="J839" i="15"/>
  <c r="K839" i="15" s="1"/>
  <c r="K837" i="13" s="1"/>
  <c r="I839" i="15"/>
  <c r="H839" i="15"/>
  <c r="J798" i="1"/>
  <c r="G798" i="1"/>
  <c r="G759" i="14"/>
  <c r="H759" i="14"/>
  <c r="J759" i="14"/>
  <c r="K759" i="14" s="1"/>
  <c r="J757" i="13" s="1"/>
  <c r="I759" i="14"/>
  <c r="J718" i="14"/>
  <c r="K718" i="14" s="1"/>
  <c r="J716" i="13" s="1"/>
  <c r="I718" i="14"/>
  <c r="H718" i="14"/>
  <c r="G718" i="14"/>
  <c r="J710" i="8"/>
  <c r="H710" i="8"/>
  <c r="I710" i="8"/>
  <c r="K710" i="8"/>
  <c r="L710" i="8" s="1"/>
  <c r="G708" i="13" s="1"/>
  <c r="J640" i="9"/>
  <c r="K640" i="9" s="1"/>
  <c r="H638" i="13" s="1"/>
  <c r="H640" i="9"/>
  <c r="G640" i="9"/>
  <c r="I640" i="9"/>
  <c r="H600" i="11"/>
  <c r="G600" i="11"/>
  <c r="J600" i="11"/>
  <c r="K600" i="11" s="1"/>
  <c r="I598" i="13" s="1"/>
  <c r="I600" i="11"/>
  <c r="J586" i="15"/>
  <c r="K586" i="15" s="1"/>
  <c r="K584" i="13" s="1"/>
  <c r="I586" i="15"/>
  <c r="H586" i="15"/>
  <c r="G586" i="15"/>
  <c r="I310" i="15"/>
  <c r="H310" i="15"/>
  <c r="G310" i="15"/>
  <c r="H117" i="11"/>
  <c r="G117" i="11"/>
  <c r="I117" i="11"/>
  <c r="I20" i="14"/>
  <c r="H20" i="14"/>
  <c r="G20" i="14"/>
  <c r="G165" i="11"/>
  <c r="H165" i="11"/>
  <c r="I165" i="11"/>
  <c r="I62" i="15"/>
  <c r="G62" i="15"/>
  <c r="H62" i="15"/>
  <c r="G89" i="14"/>
  <c r="H89" i="14"/>
  <c r="I89" i="14"/>
  <c r="G51" i="1"/>
  <c r="J51" i="1"/>
  <c r="H17" i="1"/>
  <c r="J17" i="1"/>
  <c r="I17" i="1"/>
  <c r="H402" i="15"/>
  <c r="G402" i="15"/>
  <c r="I402" i="15"/>
  <c r="I203" i="14"/>
  <c r="H203" i="14"/>
  <c r="G203" i="14"/>
  <c r="I707" i="14"/>
  <c r="H707" i="14"/>
  <c r="J707" i="14"/>
  <c r="K707" i="14" s="1"/>
  <c r="J705" i="13" s="1"/>
  <c r="G707" i="14"/>
  <c r="H156" i="15"/>
  <c r="G156" i="15"/>
  <c r="I156" i="15"/>
  <c r="H845" i="8"/>
  <c r="I845" i="8"/>
  <c r="K845" i="8"/>
  <c r="L845" i="8" s="1"/>
  <c r="G843" i="13" s="1"/>
  <c r="J845" i="8"/>
  <c r="I100" i="11"/>
  <c r="G100" i="11"/>
  <c r="H100" i="11"/>
  <c r="J857" i="14"/>
  <c r="K857" i="14" s="1"/>
  <c r="J855" i="13" s="1"/>
  <c r="I857" i="14"/>
  <c r="H857" i="14"/>
  <c r="G857" i="14"/>
  <c r="J810" i="15"/>
  <c r="K810" i="15" s="1"/>
  <c r="K808" i="13" s="1"/>
  <c r="I810" i="15"/>
  <c r="H810" i="15"/>
  <c r="G810" i="15"/>
  <c r="K783" i="8"/>
  <c r="L783" i="8" s="1"/>
  <c r="G781" i="13" s="1"/>
  <c r="J783" i="8"/>
  <c r="H783" i="8"/>
  <c r="I783" i="8"/>
  <c r="I743" i="8"/>
  <c r="H743" i="8"/>
  <c r="K743" i="8"/>
  <c r="L743" i="8" s="1"/>
  <c r="G741" i="13" s="1"/>
  <c r="J743" i="8"/>
  <c r="J738" i="15"/>
  <c r="K738" i="15" s="1"/>
  <c r="K736" i="13" s="1"/>
  <c r="I738" i="15"/>
  <c r="H738" i="15"/>
  <c r="G738" i="15"/>
  <c r="G664" i="15"/>
  <c r="J664" i="15"/>
  <c r="K664" i="15" s="1"/>
  <c r="K662" i="13" s="1"/>
  <c r="I664" i="15"/>
  <c r="H664" i="15"/>
  <c r="G652" i="15"/>
  <c r="J652" i="15"/>
  <c r="K652" i="15" s="1"/>
  <c r="K650" i="13" s="1"/>
  <c r="I652" i="15"/>
  <c r="H652" i="15"/>
  <c r="G647" i="14"/>
  <c r="J647" i="14"/>
  <c r="K647" i="14" s="1"/>
  <c r="J645" i="13" s="1"/>
  <c r="I647" i="14"/>
  <c r="H647" i="14"/>
  <c r="J612" i="15"/>
  <c r="K612" i="15" s="1"/>
  <c r="K610" i="13" s="1"/>
  <c r="I612" i="15"/>
  <c r="G612" i="15"/>
  <c r="H612" i="15"/>
  <c r="G525" i="9"/>
  <c r="I525" i="9"/>
  <c r="H525" i="9"/>
  <c r="J525" i="9"/>
  <c r="K525" i="9" s="1"/>
  <c r="H523" i="13" s="1"/>
  <c r="H504" i="14"/>
  <c r="I504" i="14"/>
  <c r="G504" i="14"/>
  <c r="G419" i="14"/>
  <c r="I419" i="14"/>
  <c r="H419" i="14"/>
  <c r="G386" i="14"/>
  <c r="I386" i="14"/>
  <c r="H386" i="14"/>
  <c r="I359" i="11"/>
  <c r="H359" i="11"/>
  <c r="G359" i="11"/>
  <c r="G308" i="14"/>
  <c r="I308" i="14"/>
  <c r="H308" i="14"/>
  <c r="H181" i="14"/>
  <c r="G181" i="14"/>
  <c r="I181" i="14"/>
  <c r="J631" i="15"/>
  <c r="K631" i="15" s="1"/>
  <c r="K629" i="13" s="1"/>
  <c r="I631" i="15"/>
  <c r="H631" i="15"/>
  <c r="G631" i="15"/>
  <c r="G708" i="14"/>
  <c r="I708" i="14"/>
  <c r="H708" i="14"/>
  <c r="J708" i="14"/>
  <c r="K708" i="14" s="1"/>
  <c r="J706" i="13" s="1"/>
  <c r="H132" i="11"/>
  <c r="I132" i="11"/>
  <c r="G132" i="11"/>
  <c r="J790" i="15"/>
  <c r="K790" i="15" s="1"/>
  <c r="K788" i="13" s="1"/>
  <c r="I790" i="15"/>
  <c r="H790" i="15"/>
  <c r="G790" i="15"/>
  <c r="G393" i="14"/>
  <c r="I393" i="14"/>
  <c r="H393" i="14"/>
  <c r="I553" i="11"/>
  <c r="H553" i="11"/>
  <c r="G553" i="11"/>
  <c r="J553" i="11"/>
  <c r="K553" i="11" s="1"/>
  <c r="I551" i="13" s="1"/>
  <c r="H766" i="8"/>
  <c r="I766" i="8"/>
  <c r="K766" i="8"/>
  <c r="L766" i="8" s="1"/>
  <c r="G764" i="13" s="1"/>
  <c r="J766" i="8"/>
  <c r="J639" i="14"/>
  <c r="K639" i="14" s="1"/>
  <c r="J637" i="13" s="1"/>
  <c r="I639" i="14"/>
  <c r="G639" i="14"/>
  <c r="H639" i="14"/>
  <c r="I493" i="11"/>
  <c r="H493" i="11"/>
  <c r="G493" i="11"/>
  <c r="K689" i="8"/>
  <c r="L689" i="8" s="1"/>
  <c r="G687" i="13" s="1"/>
  <c r="J689" i="8"/>
  <c r="I689" i="8"/>
  <c r="H689" i="8"/>
  <c r="H592" i="11"/>
  <c r="G592" i="11"/>
  <c r="J592" i="11"/>
  <c r="K592" i="11" s="1"/>
  <c r="I590" i="13" s="1"/>
  <c r="I592" i="11"/>
  <c r="I446" i="11"/>
  <c r="H446" i="11"/>
  <c r="G446" i="11"/>
  <c r="G124" i="11"/>
  <c r="I124" i="11"/>
  <c r="H124" i="11"/>
  <c r="J661" i="14"/>
  <c r="K661" i="14" s="1"/>
  <c r="J659" i="13" s="1"/>
  <c r="I661" i="14"/>
  <c r="H661" i="14"/>
  <c r="G661" i="14"/>
  <c r="H273" i="11"/>
  <c r="G273" i="11"/>
  <c r="I273" i="11"/>
  <c r="I109" i="11"/>
  <c r="H109" i="11"/>
  <c r="G109" i="11"/>
  <c r="J719" i="9"/>
  <c r="K719" i="9" s="1"/>
  <c r="H717" i="13" s="1"/>
  <c r="I719" i="9"/>
  <c r="H719" i="9"/>
  <c r="G719" i="9"/>
  <c r="G304" i="14"/>
  <c r="I304" i="14"/>
  <c r="H304" i="14"/>
  <c r="G513" i="14"/>
  <c r="I513" i="14"/>
  <c r="H513" i="14"/>
  <c r="G751" i="15"/>
  <c r="J751" i="15"/>
  <c r="K751" i="15" s="1"/>
  <c r="K749" i="13" s="1"/>
  <c r="I751" i="15"/>
  <c r="H751" i="15"/>
  <c r="J616" i="15"/>
  <c r="K616" i="15" s="1"/>
  <c r="K614" i="13" s="1"/>
  <c r="H616" i="15"/>
  <c r="G616" i="15"/>
  <c r="I616" i="15"/>
  <c r="H574" i="8"/>
  <c r="K574" i="8"/>
  <c r="L574" i="8" s="1"/>
  <c r="G572" i="13" s="1"/>
  <c r="J574" i="8"/>
  <c r="I574" i="8"/>
  <c r="J766" i="9"/>
  <c r="K766" i="9" s="1"/>
  <c r="H764" i="13" s="1"/>
  <c r="I766" i="9"/>
  <c r="H766" i="9"/>
  <c r="G766" i="9"/>
  <c r="H417" i="15"/>
  <c r="I417" i="15"/>
  <c r="G417" i="15"/>
  <c r="G791" i="14"/>
  <c r="I791" i="14"/>
  <c r="J791" i="14"/>
  <c r="K791" i="14" s="1"/>
  <c r="J789" i="13" s="1"/>
  <c r="H791" i="14"/>
  <c r="I735" i="8"/>
  <c r="H735" i="8"/>
  <c r="K735" i="8"/>
  <c r="L735" i="8" s="1"/>
  <c r="G733" i="13" s="1"/>
  <c r="J735" i="8"/>
  <c r="H566" i="14"/>
  <c r="G566" i="14"/>
  <c r="J566" i="14"/>
  <c r="K566" i="14" s="1"/>
  <c r="J564" i="13" s="1"/>
  <c r="I566" i="14"/>
  <c r="J760" i="9"/>
  <c r="K760" i="9" s="1"/>
  <c r="H758" i="13" s="1"/>
  <c r="I760" i="9"/>
  <c r="H760" i="9"/>
  <c r="G760" i="9"/>
  <c r="I523" i="9"/>
  <c r="H523" i="9"/>
  <c r="G523" i="9"/>
  <c r="J523" i="9"/>
  <c r="K523" i="9" s="1"/>
  <c r="H521" i="13" s="1"/>
  <c r="G608" i="14"/>
  <c r="J608" i="14"/>
  <c r="K608" i="14" s="1"/>
  <c r="J606" i="13" s="1"/>
  <c r="I608" i="14"/>
  <c r="H608" i="14"/>
  <c r="I385" i="11"/>
  <c r="H385" i="11"/>
  <c r="G385" i="11"/>
  <c r="I271" i="15"/>
  <c r="H271" i="15"/>
  <c r="G271" i="15"/>
  <c r="I91" i="15"/>
  <c r="H91" i="15"/>
  <c r="G91" i="15"/>
  <c r="I788" i="1"/>
  <c r="H788" i="1"/>
  <c r="K663" i="8"/>
  <c r="L663" i="8" s="1"/>
  <c r="G661" i="13" s="1"/>
  <c r="I663" i="8"/>
  <c r="J663" i="8"/>
  <c r="H663" i="8"/>
  <c r="I278" i="15"/>
  <c r="H278" i="15"/>
  <c r="G278" i="15"/>
  <c r="G676" i="11"/>
  <c r="J676" i="11"/>
  <c r="K676" i="11" s="1"/>
  <c r="I674" i="13" s="1"/>
  <c r="I676" i="11"/>
  <c r="H676" i="11"/>
  <c r="H742" i="8"/>
  <c r="J742" i="8"/>
  <c r="I742" i="8"/>
  <c r="K742" i="8"/>
  <c r="L742" i="8" s="1"/>
  <c r="G740" i="13" s="1"/>
  <c r="J550" i="15"/>
  <c r="K550" i="15" s="1"/>
  <c r="K548" i="13" s="1"/>
  <c r="H550" i="15"/>
  <c r="G550" i="15"/>
  <c r="I550" i="15"/>
  <c r="H177" i="14"/>
  <c r="I177" i="14"/>
  <c r="G177" i="14"/>
  <c r="J366" i="1"/>
  <c r="I650" i="15"/>
  <c r="H650" i="15"/>
  <c r="G650" i="15"/>
  <c r="J650" i="15"/>
  <c r="K650" i="15" s="1"/>
  <c r="K648" i="13" s="1"/>
  <c r="G548" i="11"/>
  <c r="J548" i="11"/>
  <c r="K548" i="11" s="1"/>
  <c r="I546" i="13" s="1"/>
  <c r="I548" i="11"/>
  <c r="H548" i="11"/>
  <c r="I661" i="15"/>
  <c r="H661" i="15"/>
  <c r="G661" i="15"/>
  <c r="J661" i="15"/>
  <c r="K661" i="15" s="1"/>
  <c r="K659" i="13" s="1"/>
  <c r="G459" i="15"/>
  <c r="I459" i="15"/>
  <c r="H459" i="15"/>
  <c r="G259" i="14"/>
  <c r="I259" i="14"/>
  <c r="H259" i="14"/>
  <c r="H449" i="15"/>
  <c r="G449" i="15"/>
  <c r="I449" i="15"/>
  <c r="I103" i="15"/>
  <c r="H103" i="15"/>
  <c r="G103" i="15"/>
  <c r="I492" i="15"/>
  <c r="H492" i="15"/>
  <c r="G492" i="15"/>
  <c r="G699" i="14"/>
  <c r="J699" i="14"/>
  <c r="K699" i="14" s="1"/>
  <c r="J697" i="13" s="1"/>
  <c r="I699" i="14"/>
  <c r="H699" i="14"/>
  <c r="J557" i="14"/>
  <c r="K557" i="14" s="1"/>
  <c r="J555" i="13" s="1"/>
  <c r="I557" i="14"/>
  <c r="H557" i="14"/>
  <c r="G557" i="14"/>
  <c r="H437" i="14"/>
  <c r="G437" i="14"/>
  <c r="I437" i="14"/>
  <c r="G220" i="11"/>
  <c r="H220" i="11"/>
  <c r="I220" i="11"/>
  <c r="H698" i="8"/>
  <c r="J698" i="8"/>
  <c r="I698" i="8"/>
  <c r="K698" i="8"/>
  <c r="L698" i="8" s="1"/>
  <c r="G696" i="13" s="1"/>
  <c r="H295" i="11"/>
  <c r="G295" i="11"/>
  <c r="I295" i="11"/>
  <c r="H800" i="14"/>
  <c r="I800" i="14"/>
  <c r="J800" i="14"/>
  <c r="K800" i="14" s="1"/>
  <c r="J798" i="13" s="1"/>
  <c r="G800" i="14"/>
  <c r="J530" i="15"/>
  <c r="K530" i="15" s="1"/>
  <c r="K528" i="13" s="1"/>
  <c r="I530" i="15"/>
  <c r="H530" i="15"/>
  <c r="G530" i="15"/>
  <c r="J735" i="11"/>
  <c r="K735" i="11" s="1"/>
  <c r="I733" i="13" s="1"/>
  <c r="I735" i="11"/>
  <c r="H735" i="11"/>
  <c r="G735" i="11"/>
  <c r="G252" i="15"/>
  <c r="H252" i="15"/>
  <c r="I252" i="15"/>
  <c r="I116" i="14"/>
  <c r="H116" i="14"/>
  <c r="G116" i="14"/>
  <c r="H793" i="11"/>
  <c r="G793" i="11"/>
  <c r="J793" i="11"/>
  <c r="K793" i="11" s="1"/>
  <c r="I791" i="13" s="1"/>
  <c r="I793" i="11"/>
  <c r="J537" i="15"/>
  <c r="K537" i="15" s="1"/>
  <c r="K535" i="13" s="1"/>
  <c r="I537" i="15"/>
  <c r="H537" i="15"/>
  <c r="G537" i="15"/>
  <c r="I341" i="1"/>
  <c r="J140" i="1"/>
  <c r="J164" i="1"/>
  <c r="G153" i="1"/>
  <c r="H631" i="1"/>
  <c r="G827" i="1"/>
  <c r="I373" i="14"/>
  <c r="H373" i="14"/>
  <c r="G373" i="14"/>
  <c r="I298" i="11"/>
  <c r="H298" i="11"/>
  <c r="G298" i="11"/>
  <c r="I548" i="8"/>
  <c r="H548" i="8"/>
  <c r="J548" i="8"/>
  <c r="K548" i="8"/>
  <c r="L548" i="8" s="1"/>
  <c r="G546" i="13" s="1"/>
  <c r="I836" i="11"/>
  <c r="J836" i="11"/>
  <c r="K836" i="11" s="1"/>
  <c r="I834" i="13" s="1"/>
  <c r="H836" i="11"/>
  <c r="G836" i="11"/>
  <c r="H677" i="8"/>
  <c r="J677" i="8"/>
  <c r="I677" i="8"/>
  <c r="K677" i="8"/>
  <c r="L677" i="8" s="1"/>
  <c r="G675" i="13" s="1"/>
  <c r="H535" i="11"/>
  <c r="G535" i="11"/>
  <c r="I535" i="11"/>
  <c r="J535" i="11"/>
  <c r="K535" i="11" s="1"/>
  <c r="I533" i="13" s="1"/>
  <c r="H187" i="14"/>
  <c r="G187" i="14"/>
  <c r="I187" i="14"/>
  <c r="I272" i="1"/>
  <c r="J272" i="1"/>
  <c r="I160" i="15"/>
  <c r="H160" i="15"/>
  <c r="G160" i="15"/>
  <c r="I109" i="14"/>
  <c r="H109" i="14"/>
  <c r="G109" i="14"/>
  <c r="K751" i="1"/>
  <c r="I751" i="1"/>
  <c r="H751" i="1"/>
  <c r="J751" i="1"/>
  <c r="H339" i="11"/>
  <c r="G339" i="11"/>
  <c r="I339" i="11"/>
  <c r="G130" i="15"/>
  <c r="I130" i="15"/>
  <c r="H130" i="15"/>
  <c r="K749" i="8"/>
  <c r="L749" i="8" s="1"/>
  <c r="G747" i="13" s="1"/>
  <c r="J749" i="8"/>
  <c r="H749" i="8"/>
  <c r="I749" i="8"/>
  <c r="I111" i="11"/>
  <c r="H111" i="11"/>
  <c r="G111" i="11"/>
  <c r="G31" i="14"/>
  <c r="I31" i="14"/>
  <c r="H31" i="14"/>
  <c r="G52" i="1"/>
  <c r="J52" i="1"/>
  <c r="I52" i="1"/>
  <c r="J740" i="9"/>
  <c r="K740" i="9" s="1"/>
  <c r="H738" i="13" s="1"/>
  <c r="I740" i="9"/>
  <c r="H740" i="9"/>
  <c r="G740" i="9"/>
  <c r="I642" i="15"/>
  <c r="H642" i="15"/>
  <c r="G642" i="15"/>
  <c r="J642" i="15"/>
  <c r="K642" i="15" s="1"/>
  <c r="K640" i="13" s="1"/>
  <c r="G116" i="15"/>
  <c r="I116" i="15"/>
  <c r="H116" i="15"/>
  <c r="H656" i="9"/>
  <c r="G656" i="9"/>
  <c r="J656" i="9"/>
  <c r="K656" i="9" s="1"/>
  <c r="H654" i="13" s="1"/>
  <c r="I656" i="9"/>
  <c r="H559" i="1"/>
  <c r="G678" i="1"/>
  <c r="I147" i="1"/>
  <c r="I528" i="9"/>
  <c r="G528" i="9"/>
  <c r="J528" i="9"/>
  <c r="K528" i="9" s="1"/>
  <c r="H526" i="13" s="1"/>
  <c r="H528" i="9"/>
  <c r="H803" i="8"/>
  <c r="K803" i="8"/>
  <c r="L803" i="8" s="1"/>
  <c r="G801" i="13" s="1"/>
  <c r="J803" i="8"/>
  <c r="I803" i="8"/>
  <c r="J733" i="14"/>
  <c r="K733" i="14" s="1"/>
  <c r="J731" i="13" s="1"/>
  <c r="I733" i="14"/>
  <c r="G733" i="14"/>
  <c r="H733" i="14"/>
  <c r="H655" i="9"/>
  <c r="G655" i="9"/>
  <c r="J655" i="9"/>
  <c r="K655" i="9" s="1"/>
  <c r="H653" i="13" s="1"/>
  <c r="I655" i="9"/>
  <c r="H263" i="14"/>
  <c r="G263" i="14"/>
  <c r="I263" i="14"/>
  <c r="I410" i="14"/>
  <c r="H410" i="14"/>
  <c r="G410" i="14"/>
  <c r="K681" i="8"/>
  <c r="L681" i="8" s="1"/>
  <c r="G679" i="13" s="1"/>
  <c r="H681" i="8"/>
  <c r="J681" i="8"/>
  <c r="I681" i="8"/>
  <c r="J831" i="15"/>
  <c r="K831" i="15" s="1"/>
  <c r="K829" i="13" s="1"/>
  <c r="I831" i="15"/>
  <c r="H831" i="15"/>
  <c r="G831" i="15"/>
  <c r="K767" i="8"/>
  <c r="L767" i="8" s="1"/>
  <c r="G765" i="13" s="1"/>
  <c r="J767" i="8"/>
  <c r="I767" i="8"/>
  <c r="H767" i="8"/>
  <c r="J621" i="14"/>
  <c r="K621" i="14" s="1"/>
  <c r="J619" i="13" s="1"/>
  <c r="I621" i="14"/>
  <c r="H621" i="14"/>
  <c r="G621" i="14"/>
  <c r="J693" i="9"/>
  <c r="K693" i="9" s="1"/>
  <c r="H691" i="13" s="1"/>
  <c r="I693" i="9"/>
  <c r="G693" i="9"/>
  <c r="H693" i="9"/>
  <c r="J623" i="9"/>
  <c r="K623" i="9" s="1"/>
  <c r="H621" i="13" s="1"/>
  <c r="I623" i="9"/>
  <c r="H623" i="9"/>
  <c r="G623" i="9"/>
  <c r="I182" i="1"/>
  <c r="I65" i="1"/>
  <c r="G444" i="14"/>
  <c r="I444" i="14"/>
  <c r="H444" i="14"/>
  <c r="H836" i="15"/>
  <c r="G836" i="15"/>
  <c r="J836" i="15"/>
  <c r="K836" i="15" s="1"/>
  <c r="K834" i="13" s="1"/>
  <c r="I836" i="15"/>
  <c r="G173" i="11"/>
  <c r="I173" i="11"/>
  <c r="H173" i="11"/>
  <c r="I288" i="11"/>
  <c r="H288" i="11"/>
  <c r="G288" i="11"/>
  <c r="I801" i="9"/>
  <c r="H801" i="9"/>
  <c r="G801" i="9"/>
  <c r="J801" i="9"/>
  <c r="K801" i="9" s="1"/>
  <c r="H799" i="13" s="1"/>
  <c r="H725" i="9"/>
  <c r="G725" i="9"/>
  <c r="I725" i="9"/>
  <c r="J725" i="9"/>
  <c r="K725" i="9" s="1"/>
  <c r="H723" i="13" s="1"/>
  <c r="J674" i="15"/>
  <c r="K674" i="15" s="1"/>
  <c r="K672" i="13" s="1"/>
  <c r="I674" i="15"/>
  <c r="H674" i="15"/>
  <c r="G674" i="15"/>
  <c r="H233" i="15"/>
  <c r="G233" i="15"/>
  <c r="I233" i="15"/>
  <c r="G698" i="14"/>
  <c r="I698" i="14"/>
  <c r="J698" i="14"/>
  <c r="K698" i="14" s="1"/>
  <c r="J696" i="13" s="1"/>
  <c r="H698" i="14"/>
  <c r="G483" i="11"/>
  <c r="I483" i="11"/>
  <c r="H483" i="11"/>
  <c r="G187" i="1"/>
  <c r="I416" i="1"/>
  <c r="I244" i="1"/>
  <c r="J370" i="1"/>
  <c r="H211" i="1"/>
  <c r="I338" i="1"/>
  <c r="G657" i="1"/>
  <c r="H741" i="11"/>
  <c r="J741" i="11"/>
  <c r="K741" i="11" s="1"/>
  <c r="I739" i="13" s="1"/>
  <c r="G741" i="11"/>
  <c r="I741" i="11"/>
  <c r="J541" i="11"/>
  <c r="K541" i="11" s="1"/>
  <c r="I539" i="13" s="1"/>
  <c r="I541" i="11"/>
  <c r="H541" i="11"/>
  <c r="G541" i="11"/>
  <c r="I218" i="15"/>
  <c r="H218" i="15"/>
  <c r="G218" i="15"/>
  <c r="G51" i="14"/>
  <c r="H51" i="14"/>
  <c r="I51" i="14"/>
  <c r="I25" i="11"/>
  <c r="H25" i="11"/>
  <c r="G25" i="11"/>
  <c r="I463" i="15"/>
  <c r="H463" i="15"/>
  <c r="G463" i="15"/>
  <c r="G707" i="9"/>
  <c r="J707" i="9"/>
  <c r="K707" i="9" s="1"/>
  <c r="H705" i="13" s="1"/>
  <c r="I707" i="9"/>
  <c r="H707" i="9"/>
  <c r="G655" i="14"/>
  <c r="J655" i="14"/>
  <c r="K655" i="14" s="1"/>
  <c r="J653" i="13" s="1"/>
  <c r="H655" i="14"/>
  <c r="I655" i="14"/>
  <c r="J263" i="1"/>
  <c r="I263" i="1"/>
  <c r="H263" i="1"/>
  <c r="G263" i="1"/>
  <c r="I217" i="11"/>
  <c r="H217" i="11"/>
  <c r="G217" i="11"/>
  <c r="I725" i="11"/>
  <c r="J725" i="11"/>
  <c r="K725" i="11" s="1"/>
  <c r="I723" i="13" s="1"/>
  <c r="H725" i="11"/>
  <c r="G725" i="11"/>
  <c r="J683" i="9"/>
  <c r="K683" i="9" s="1"/>
  <c r="H681" i="13" s="1"/>
  <c r="I683" i="9"/>
  <c r="H683" i="9"/>
  <c r="G683" i="9"/>
  <c r="H424" i="11"/>
  <c r="I424" i="11"/>
  <c r="G424" i="11"/>
  <c r="H830" i="8"/>
  <c r="I830" i="8"/>
  <c r="J830" i="8"/>
  <c r="K830" i="8"/>
  <c r="L830" i="8" s="1"/>
  <c r="G828" i="13" s="1"/>
  <c r="J614" i="14"/>
  <c r="K614" i="14" s="1"/>
  <c r="J612" i="13" s="1"/>
  <c r="I614" i="14"/>
  <c r="H614" i="14"/>
  <c r="G614" i="14"/>
  <c r="G342" i="11"/>
  <c r="I342" i="11"/>
  <c r="H342" i="11"/>
  <c r="I157" i="14"/>
  <c r="H157" i="14"/>
  <c r="G157" i="14"/>
  <c r="I837" i="8"/>
  <c r="K837" i="8"/>
  <c r="L837" i="8" s="1"/>
  <c r="G835" i="13" s="1"/>
  <c r="J837" i="8"/>
  <c r="H837" i="8"/>
  <c r="H235" i="14"/>
  <c r="G235" i="14"/>
  <c r="I235" i="14"/>
  <c r="I384" i="15"/>
  <c r="H384" i="15"/>
  <c r="G384" i="15"/>
  <c r="G522" i="1"/>
  <c r="H659" i="1"/>
  <c r="H790" i="1"/>
  <c r="K684" i="1"/>
  <c r="M684" i="1" s="1"/>
  <c r="G414" i="1"/>
  <c r="H273" i="1"/>
  <c r="I816" i="1"/>
  <c r="H416" i="1"/>
  <c r="M564" i="1"/>
  <c r="N564" i="1" s="1"/>
  <c r="I120" i="1"/>
  <c r="K833" i="1"/>
  <c r="H244" i="1"/>
  <c r="I608" i="1"/>
  <c r="G519" i="1"/>
  <c r="I774" i="1"/>
  <c r="I659" i="1"/>
  <c r="J432" i="1"/>
  <c r="H699" i="1"/>
  <c r="K790" i="1"/>
  <c r="M790" i="1" s="1"/>
  <c r="H621" i="1"/>
  <c r="J426" i="1"/>
  <c r="J141" i="1"/>
  <c r="G816" i="1"/>
  <c r="I220" i="1"/>
  <c r="I729" i="1"/>
  <c r="H347" i="1"/>
  <c r="H45" i="1"/>
  <c r="G84" i="1"/>
  <c r="H624" i="1"/>
  <c r="G471" i="1"/>
  <c r="K471" i="1" s="1"/>
  <c r="H538" i="1"/>
  <c r="H183" i="1"/>
  <c r="J608" i="1"/>
  <c r="J109" i="1"/>
  <c r="H519" i="1"/>
  <c r="J539" i="1"/>
  <c r="G250" i="1"/>
  <c r="G661" i="1"/>
  <c r="I31" i="1"/>
  <c r="J133" i="1"/>
  <c r="K657" i="1"/>
  <c r="M657" i="1" s="1"/>
  <c r="G844" i="9"/>
  <c r="I844" i="9"/>
  <c r="H844" i="9"/>
  <c r="J844" i="9"/>
  <c r="K844" i="9" s="1"/>
  <c r="H842" i="13" s="1"/>
  <c r="G759" i="15"/>
  <c r="J759" i="15"/>
  <c r="K759" i="15" s="1"/>
  <c r="K757" i="13" s="1"/>
  <c r="I759" i="15"/>
  <c r="H759" i="15"/>
  <c r="G718" i="15"/>
  <c r="H718" i="15"/>
  <c r="I718" i="15"/>
  <c r="J718" i="15"/>
  <c r="K718" i="15" s="1"/>
  <c r="K716" i="13" s="1"/>
  <c r="H710" i="9"/>
  <c r="G710" i="9"/>
  <c r="J710" i="9"/>
  <c r="K710" i="9" s="1"/>
  <c r="H708" i="13" s="1"/>
  <c r="I710" i="9"/>
  <c r="H640" i="14"/>
  <c r="I640" i="14"/>
  <c r="G640" i="14"/>
  <c r="J640" i="14"/>
  <c r="K640" i="14" s="1"/>
  <c r="J638" i="13" s="1"/>
  <c r="G600" i="15"/>
  <c r="I600" i="15"/>
  <c r="J600" i="15"/>
  <c r="K600" i="15" s="1"/>
  <c r="K598" i="13" s="1"/>
  <c r="H600" i="15"/>
  <c r="H538" i="9"/>
  <c r="G538" i="9"/>
  <c r="I538" i="9"/>
  <c r="J538" i="9"/>
  <c r="K538" i="9" s="1"/>
  <c r="H536" i="13" s="1"/>
  <c r="G323" i="14"/>
  <c r="I323" i="14"/>
  <c r="H323" i="14"/>
  <c r="I310" i="14"/>
  <c r="H310" i="14"/>
  <c r="G310" i="14"/>
  <c r="I117" i="15"/>
  <c r="H117" i="15"/>
  <c r="G117" i="15"/>
  <c r="G49" i="11"/>
  <c r="I49" i="11"/>
  <c r="H49" i="11"/>
  <c r="H165" i="14"/>
  <c r="I165" i="14"/>
  <c r="G165" i="14"/>
  <c r="H150" i="1"/>
  <c r="I150" i="1"/>
  <c r="J150" i="1"/>
  <c r="G89" i="15"/>
  <c r="H89" i="15"/>
  <c r="I89" i="15"/>
  <c r="G203" i="15"/>
  <c r="I203" i="15"/>
  <c r="H203" i="15"/>
  <c r="H229" i="11"/>
  <c r="G229" i="11"/>
  <c r="I229" i="11"/>
  <c r="I845" i="9"/>
  <c r="J845" i="9"/>
  <c r="K845" i="9" s="1"/>
  <c r="H843" i="13" s="1"/>
  <c r="G845" i="9"/>
  <c r="H845" i="9"/>
  <c r="I100" i="15"/>
  <c r="G100" i="15"/>
  <c r="H100" i="15"/>
  <c r="G65" i="11"/>
  <c r="H65" i="11"/>
  <c r="I65" i="11"/>
  <c r="I120" i="14"/>
  <c r="H120" i="14"/>
  <c r="G120" i="14"/>
  <c r="G401" i="1"/>
  <c r="I401" i="1"/>
  <c r="J401" i="1"/>
  <c r="H401" i="1"/>
  <c r="I268" i="15"/>
  <c r="H268" i="15"/>
  <c r="G268" i="15"/>
  <c r="G588" i="1"/>
  <c r="J588" i="1"/>
  <c r="H182" i="15"/>
  <c r="G182" i="15"/>
  <c r="I182" i="15"/>
  <c r="J684" i="11"/>
  <c r="K684" i="11" s="1"/>
  <c r="I682" i="13" s="1"/>
  <c r="I684" i="11"/>
  <c r="H684" i="11"/>
  <c r="G684" i="11"/>
  <c r="J557" i="11"/>
  <c r="K557" i="11" s="1"/>
  <c r="I555" i="13" s="1"/>
  <c r="I557" i="11"/>
  <c r="H557" i="11"/>
  <c r="G557" i="11"/>
  <c r="J440" i="1"/>
  <c r="I133" i="15"/>
  <c r="G133" i="15"/>
  <c r="H133" i="15"/>
  <c r="H511" i="15"/>
  <c r="G511" i="15"/>
  <c r="I511" i="15"/>
  <c r="I144" i="14"/>
  <c r="H144" i="14"/>
  <c r="G144" i="14"/>
  <c r="G800" i="9"/>
  <c r="I800" i="9"/>
  <c r="H800" i="9"/>
  <c r="J800" i="9"/>
  <c r="K800" i="9" s="1"/>
  <c r="H798" i="13" s="1"/>
  <c r="K797" i="8"/>
  <c r="L797" i="8" s="1"/>
  <c r="G795" i="13" s="1"/>
  <c r="J797" i="8"/>
  <c r="H797" i="8"/>
  <c r="I797" i="8"/>
  <c r="I428" i="11"/>
  <c r="H428" i="11"/>
  <c r="G428" i="11"/>
  <c r="K773" i="8"/>
  <c r="L773" i="8" s="1"/>
  <c r="G771" i="13" s="1"/>
  <c r="H773" i="8"/>
  <c r="I773" i="8"/>
  <c r="J773" i="8"/>
  <c r="J731" i="15"/>
  <c r="K731" i="15" s="1"/>
  <c r="K729" i="13" s="1"/>
  <c r="I731" i="15"/>
  <c r="H731" i="15"/>
  <c r="G731" i="15"/>
  <c r="J650" i="14"/>
  <c r="K650" i="14" s="1"/>
  <c r="J648" i="13" s="1"/>
  <c r="G650" i="14"/>
  <c r="I650" i="14"/>
  <c r="H650" i="14"/>
  <c r="I92" i="15"/>
  <c r="H92" i="15"/>
  <c r="G92" i="15"/>
  <c r="I46" i="15"/>
  <c r="H46" i="15"/>
  <c r="G46" i="15"/>
  <c r="G30" i="14"/>
  <c r="I30" i="14"/>
  <c r="H30" i="14"/>
  <c r="K836" i="8"/>
  <c r="L836" i="8" s="1"/>
  <c r="G834" i="13" s="1"/>
  <c r="H836" i="8"/>
  <c r="J836" i="8"/>
  <c r="I836" i="8"/>
  <c r="I347" i="14"/>
  <c r="H347" i="14"/>
  <c r="G347" i="14"/>
  <c r="G120" i="15"/>
  <c r="H120" i="15"/>
  <c r="I120" i="15"/>
  <c r="J786" i="14"/>
  <c r="K786" i="14" s="1"/>
  <c r="J784" i="13" s="1"/>
  <c r="H786" i="14"/>
  <c r="G786" i="14"/>
  <c r="I786" i="14"/>
  <c r="H393" i="15"/>
  <c r="I393" i="15"/>
  <c r="G393" i="15"/>
  <c r="G211" i="15"/>
  <c r="H211" i="15"/>
  <c r="I211" i="15"/>
  <c r="J470" i="1"/>
  <c r="H699" i="11"/>
  <c r="G699" i="11"/>
  <c r="J699" i="11"/>
  <c r="K699" i="11" s="1"/>
  <c r="I697" i="13" s="1"/>
  <c r="I699" i="11"/>
  <c r="K621" i="8"/>
  <c r="L621" i="8" s="1"/>
  <c r="G619" i="13" s="1"/>
  <c r="H621" i="8"/>
  <c r="J621" i="8"/>
  <c r="I621" i="8"/>
  <c r="H150" i="15"/>
  <c r="G150" i="15"/>
  <c r="I150" i="15"/>
  <c r="H691" i="8"/>
  <c r="K691" i="8"/>
  <c r="L691" i="8" s="1"/>
  <c r="G689" i="13" s="1"/>
  <c r="J691" i="8"/>
  <c r="I691" i="8"/>
  <c r="I530" i="14"/>
  <c r="J530" i="14"/>
  <c r="K530" i="14" s="1"/>
  <c r="J528" i="13" s="1"/>
  <c r="G530" i="14"/>
  <c r="H530" i="14"/>
  <c r="H711" i="8"/>
  <c r="K711" i="8"/>
  <c r="L711" i="8" s="1"/>
  <c r="G709" i="13" s="1"/>
  <c r="J711" i="8"/>
  <c r="I711" i="8"/>
  <c r="J642" i="11"/>
  <c r="K642" i="11" s="1"/>
  <c r="I640" i="13" s="1"/>
  <c r="G642" i="11"/>
  <c r="I642" i="11"/>
  <c r="H642" i="11"/>
  <c r="H252" i="14"/>
  <c r="G252" i="14"/>
  <c r="I252" i="14"/>
  <c r="K739" i="8"/>
  <c r="L739" i="8" s="1"/>
  <c r="G737" i="13" s="1"/>
  <c r="J739" i="8"/>
  <c r="I739" i="8"/>
  <c r="H739" i="8"/>
  <c r="K727" i="8"/>
  <c r="L727" i="8" s="1"/>
  <c r="G725" i="13" s="1"/>
  <c r="J727" i="8"/>
  <c r="I727" i="8"/>
  <c r="H727" i="8"/>
  <c r="I468" i="15"/>
  <c r="H468" i="15"/>
  <c r="G468" i="15"/>
  <c r="H63" i="15"/>
  <c r="I63" i="15"/>
  <c r="G63" i="15"/>
  <c r="G573" i="11"/>
  <c r="J573" i="11"/>
  <c r="K573" i="11" s="1"/>
  <c r="I571" i="13" s="1"/>
  <c r="I573" i="11"/>
  <c r="H573" i="11"/>
  <c r="G516" i="14"/>
  <c r="I516" i="14"/>
  <c r="H516" i="14"/>
  <c r="I382" i="14"/>
  <c r="H382" i="14"/>
  <c r="G382" i="14"/>
  <c r="I360" i="15"/>
  <c r="H360" i="15"/>
  <c r="G360" i="15"/>
  <c r="G536" i="14"/>
  <c r="J536" i="14"/>
  <c r="K536" i="14" s="1"/>
  <c r="J534" i="13" s="1"/>
  <c r="H536" i="14"/>
  <c r="I536" i="14"/>
  <c r="J842" i="14"/>
  <c r="K842" i="14" s="1"/>
  <c r="J840" i="13" s="1"/>
  <c r="I842" i="14"/>
  <c r="H842" i="14"/>
  <c r="G842" i="14"/>
  <c r="G28" i="15"/>
  <c r="H28" i="15"/>
  <c r="I28" i="15"/>
  <c r="K667" i="8"/>
  <c r="L667" i="8" s="1"/>
  <c r="G665" i="13" s="1"/>
  <c r="J667" i="8"/>
  <c r="I667" i="8"/>
  <c r="H667" i="8"/>
  <c r="J806" i="14"/>
  <c r="K806" i="14" s="1"/>
  <c r="J804" i="13" s="1"/>
  <c r="I806" i="14"/>
  <c r="G806" i="14"/>
  <c r="H806" i="14"/>
  <c r="I142" i="14"/>
  <c r="H142" i="14"/>
  <c r="G142" i="14"/>
  <c r="H75" i="14"/>
  <c r="I75" i="14"/>
  <c r="G75" i="14"/>
  <c r="K579" i="1"/>
  <c r="J579" i="1"/>
  <c r="G579" i="1"/>
  <c r="H579" i="1"/>
  <c r="I579" i="1"/>
  <c r="I373" i="11"/>
  <c r="H373" i="11"/>
  <c r="G373" i="11"/>
  <c r="H23" i="14"/>
  <c r="I23" i="14"/>
  <c r="G23" i="14"/>
  <c r="I30" i="15"/>
  <c r="H30" i="15"/>
  <c r="G30" i="15"/>
  <c r="J733" i="9"/>
  <c r="K733" i="9" s="1"/>
  <c r="H731" i="13" s="1"/>
  <c r="I733" i="9"/>
  <c r="H733" i="9"/>
  <c r="G733" i="9"/>
  <c r="I507" i="15"/>
  <c r="H507" i="15"/>
  <c r="G507" i="15"/>
  <c r="H243" i="11"/>
  <c r="I243" i="11"/>
  <c r="G243" i="11"/>
  <c r="G187" i="15"/>
  <c r="I187" i="15"/>
  <c r="H187" i="15"/>
  <c r="I237" i="15"/>
  <c r="H237" i="15"/>
  <c r="G237" i="15"/>
  <c r="J554" i="14"/>
  <c r="K554" i="14" s="1"/>
  <c r="J552" i="13" s="1"/>
  <c r="I554" i="14"/>
  <c r="H554" i="14"/>
  <c r="G554" i="14"/>
  <c r="J674" i="11"/>
  <c r="K674" i="11" s="1"/>
  <c r="I672" i="13" s="1"/>
  <c r="I674" i="11"/>
  <c r="G674" i="11"/>
  <c r="H674" i="11"/>
  <c r="H629" i="14"/>
  <c r="J629" i="14"/>
  <c r="K629" i="14" s="1"/>
  <c r="J627" i="13" s="1"/>
  <c r="I629" i="14"/>
  <c r="G629" i="14"/>
  <c r="J574" i="11"/>
  <c r="K574" i="11" s="1"/>
  <c r="I572" i="13" s="1"/>
  <c r="I574" i="11"/>
  <c r="H574" i="11"/>
  <c r="G574" i="11"/>
  <c r="G395" i="15"/>
  <c r="H395" i="15"/>
  <c r="I395" i="15"/>
  <c r="I204" i="14"/>
  <c r="H204" i="14"/>
  <c r="G204" i="14"/>
  <c r="J833" i="15"/>
  <c r="K833" i="15" s="1"/>
  <c r="K831" i="13" s="1"/>
  <c r="I833" i="15"/>
  <c r="H833" i="15"/>
  <c r="G833" i="15"/>
  <c r="G450" i="14"/>
  <c r="I450" i="14"/>
  <c r="H450" i="14"/>
  <c r="I370" i="14"/>
  <c r="H370" i="14"/>
  <c r="G370" i="14"/>
  <c r="I566" i="15"/>
  <c r="J566" i="15"/>
  <c r="K566" i="15" s="1"/>
  <c r="K564" i="13" s="1"/>
  <c r="H566" i="15"/>
  <c r="G566" i="15"/>
  <c r="G628" i="11"/>
  <c r="I628" i="11"/>
  <c r="J628" i="11"/>
  <c r="K628" i="11" s="1"/>
  <c r="I626" i="13" s="1"/>
  <c r="H628" i="11"/>
  <c r="I523" i="8"/>
  <c r="H523" i="8"/>
  <c r="K523" i="8"/>
  <c r="L523" i="8" s="1"/>
  <c r="G521" i="13" s="1"/>
  <c r="J523" i="8"/>
  <c r="J673" i="15"/>
  <c r="K673" i="15" s="1"/>
  <c r="K671" i="13" s="1"/>
  <c r="H673" i="15"/>
  <c r="I673" i="15"/>
  <c r="G673" i="15"/>
  <c r="K785" i="8"/>
  <c r="L785" i="8" s="1"/>
  <c r="G783" i="13" s="1"/>
  <c r="J785" i="8"/>
  <c r="I785" i="8"/>
  <c r="H785" i="8"/>
  <c r="G663" i="11"/>
  <c r="J663" i="11"/>
  <c r="K663" i="11" s="1"/>
  <c r="I661" i="13" s="1"/>
  <c r="I663" i="11"/>
  <c r="H663" i="11"/>
  <c r="K580" i="8"/>
  <c r="L580" i="8" s="1"/>
  <c r="G578" i="13" s="1"/>
  <c r="H580" i="8"/>
  <c r="J580" i="8"/>
  <c r="I580" i="8"/>
  <c r="H291" i="1"/>
  <c r="I363" i="1"/>
  <c r="I396" i="1"/>
  <c r="I773" i="11"/>
  <c r="J773" i="11"/>
  <c r="K773" i="11" s="1"/>
  <c r="I771" i="13" s="1"/>
  <c r="G773" i="11"/>
  <c r="H773" i="11"/>
  <c r="I528" i="8"/>
  <c r="K528" i="8"/>
  <c r="L528" i="8" s="1"/>
  <c r="G526" i="13" s="1"/>
  <c r="J528" i="8"/>
  <c r="H528" i="8"/>
  <c r="G443" i="11"/>
  <c r="H443" i="11"/>
  <c r="I443" i="11"/>
  <c r="J92" i="1"/>
  <c r="I92" i="1"/>
  <c r="H92" i="1"/>
  <c r="G92" i="1"/>
  <c r="J796" i="11"/>
  <c r="K796" i="11" s="1"/>
  <c r="I794" i="13" s="1"/>
  <c r="I796" i="11"/>
  <c r="H796" i="11"/>
  <c r="G796" i="11"/>
  <c r="G423" i="15"/>
  <c r="H423" i="15"/>
  <c r="I423" i="15"/>
  <c r="G389" i="14"/>
  <c r="I389" i="14"/>
  <c r="H389" i="14"/>
  <c r="I270" i="15"/>
  <c r="H270" i="15"/>
  <c r="G270" i="15"/>
  <c r="G393" i="1"/>
  <c r="H393" i="1"/>
  <c r="I393" i="1"/>
  <c r="G259" i="15"/>
  <c r="I259" i="15"/>
  <c r="H259" i="15"/>
  <c r="G201" i="14"/>
  <c r="H201" i="14"/>
  <c r="I201" i="14"/>
  <c r="H392" i="14"/>
  <c r="G392" i="14"/>
  <c r="I392" i="14"/>
  <c r="H554" i="15"/>
  <c r="G554" i="15"/>
  <c r="J554" i="15"/>
  <c r="K554" i="15" s="1"/>
  <c r="K552" i="13" s="1"/>
  <c r="I554" i="15"/>
  <c r="G657" i="11"/>
  <c r="J657" i="11"/>
  <c r="K657" i="11" s="1"/>
  <c r="I655" i="13" s="1"/>
  <c r="H657" i="11"/>
  <c r="I657" i="11"/>
  <c r="J616" i="1"/>
  <c r="H616" i="1"/>
  <c r="K616" i="1"/>
  <c r="I204" i="15"/>
  <c r="H204" i="15"/>
  <c r="G204" i="15"/>
  <c r="I698" i="11"/>
  <c r="H698" i="11"/>
  <c r="G698" i="11"/>
  <c r="J698" i="11"/>
  <c r="K698" i="11" s="1"/>
  <c r="I696" i="13" s="1"/>
  <c r="G178" i="14"/>
  <c r="H178" i="14"/>
  <c r="I178" i="14"/>
  <c r="G98" i="11"/>
  <c r="I98" i="11"/>
  <c r="H98" i="11"/>
  <c r="H287" i="15"/>
  <c r="G287" i="15"/>
  <c r="I287" i="15"/>
  <c r="J793" i="14"/>
  <c r="K793" i="14" s="1"/>
  <c r="J791" i="13" s="1"/>
  <c r="I793" i="14"/>
  <c r="H793" i="14"/>
  <c r="G793" i="14"/>
  <c r="I412" i="14"/>
  <c r="H412" i="14"/>
  <c r="G412" i="14"/>
  <c r="J568" i="1"/>
  <c r="I631" i="1"/>
  <c r="G380" i="1"/>
  <c r="H798" i="8"/>
  <c r="K798" i="8"/>
  <c r="L798" i="8" s="1"/>
  <c r="G796" i="13" s="1"/>
  <c r="J798" i="8"/>
  <c r="I798" i="8"/>
  <c r="K741" i="8"/>
  <c r="L741" i="8" s="1"/>
  <c r="G739" i="13" s="1"/>
  <c r="J741" i="8"/>
  <c r="I741" i="8"/>
  <c r="H741" i="8"/>
  <c r="H197" i="14"/>
  <c r="G197" i="14"/>
  <c r="I197" i="14"/>
  <c r="I23" i="15"/>
  <c r="H23" i="15"/>
  <c r="G23" i="15"/>
  <c r="H548" i="9"/>
  <c r="G548" i="9"/>
  <c r="J548" i="9"/>
  <c r="K548" i="9" s="1"/>
  <c r="H546" i="13" s="1"/>
  <c r="I548" i="9"/>
  <c r="H836" i="14"/>
  <c r="G836" i="14"/>
  <c r="J836" i="14"/>
  <c r="K836" i="14" s="1"/>
  <c r="J834" i="13" s="1"/>
  <c r="I836" i="14"/>
  <c r="G677" i="9"/>
  <c r="J677" i="9"/>
  <c r="K677" i="9" s="1"/>
  <c r="H675" i="13" s="1"/>
  <c r="I677" i="9"/>
  <c r="H677" i="9"/>
  <c r="K543" i="1"/>
  <c r="J543" i="1"/>
  <c r="I543" i="1"/>
  <c r="G354" i="11"/>
  <c r="H354" i="11"/>
  <c r="I354" i="11"/>
  <c r="I79" i="11"/>
  <c r="H79" i="11"/>
  <c r="G79" i="11"/>
  <c r="H392" i="15"/>
  <c r="G392" i="15"/>
  <c r="I392" i="15"/>
  <c r="H674" i="14"/>
  <c r="J674" i="14"/>
  <c r="K674" i="14" s="1"/>
  <c r="J672" i="13" s="1"/>
  <c r="I674" i="14"/>
  <c r="G674" i="14"/>
  <c r="G602" i="9"/>
  <c r="J602" i="9"/>
  <c r="K602" i="9" s="1"/>
  <c r="H600" i="13" s="1"/>
  <c r="I602" i="9"/>
  <c r="H602" i="9"/>
  <c r="G485" i="11"/>
  <c r="I485" i="11"/>
  <c r="H485" i="11"/>
  <c r="H233" i="11"/>
  <c r="I233" i="11"/>
  <c r="G233" i="11"/>
  <c r="H698" i="9"/>
  <c r="J698" i="9"/>
  <c r="K698" i="9" s="1"/>
  <c r="H696" i="13" s="1"/>
  <c r="I698" i="9"/>
  <c r="G698" i="9"/>
  <c r="H295" i="14"/>
  <c r="I295" i="14"/>
  <c r="G295" i="14"/>
  <c r="K740" i="8"/>
  <c r="L740" i="8" s="1"/>
  <c r="G738" i="13" s="1"/>
  <c r="H740" i="8"/>
  <c r="J740" i="8"/>
  <c r="I740" i="8"/>
  <c r="J252" i="1"/>
  <c r="H480" i="11"/>
  <c r="G480" i="11"/>
  <c r="I480" i="11"/>
  <c r="K732" i="8"/>
  <c r="L732" i="8" s="1"/>
  <c r="G730" i="13" s="1"/>
  <c r="H732" i="8"/>
  <c r="J732" i="8"/>
  <c r="I732" i="8"/>
  <c r="G547" i="11"/>
  <c r="J547" i="11"/>
  <c r="K547" i="11" s="1"/>
  <c r="I545" i="13" s="1"/>
  <c r="I547" i="11"/>
  <c r="H547" i="11"/>
  <c r="H52" i="1"/>
  <c r="G534" i="1"/>
  <c r="H565" i="1"/>
  <c r="H586" i="8"/>
  <c r="I586" i="8"/>
  <c r="J586" i="8"/>
  <c r="K586" i="8"/>
  <c r="L586" i="8" s="1"/>
  <c r="G584" i="13" s="1"/>
  <c r="G254" i="14"/>
  <c r="I254" i="14"/>
  <c r="H254" i="14"/>
  <c r="H803" i="9"/>
  <c r="I803" i="9"/>
  <c r="G803" i="9"/>
  <c r="J803" i="9"/>
  <c r="K803" i="9" s="1"/>
  <c r="H801" i="13" s="1"/>
  <c r="H354" i="14"/>
  <c r="I354" i="14"/>
  <c r="G354" i="14"/>
  <c r="I800" i="1"/>
  <c r="G800" i="1"/>
  <c r="J800" i="1"/>
  <c r="M800" i="1" s="1"/>
  <c r="H614" i="1"/>
  <c r="G614" i="1"/>
  <c r="H410" i="15"/>
  <c r="I410" i="15"/>
  <c r="G410" i="15"/>
  <c r="I245" i="11"/>
  <c r="H245" i="11"/>
  <c r="G245" i="11"/>
  <c r="I60" i="1"/>
  <c r="J60" i="1"/>
  <c r="I621" i="15"/>
  <c r="H621" i="15"/>
  <c r="G621" i="15"/>
  <c r="J621" i="15"/>
  <c r="K621" i="15" s="1"/>
  <c r="K619" i="13" s="1"/>
  <c r="I683" i="8"/>
  <c r="H683" i="8"/>
  <c r="K683" i="8"/>
  <c r="L683" i="8" s="1"/>
  <c r="G681" i="13" s="1"/>
  <c r="J683" i="8"/>
  <c r="H606" i="8"/>
  <c r="I606" i="8"/>
  <c r="K606" i="8"/>
  <c r="L606" i="8" s="1"/>
  <c r="G604" i="13" s="1"/>
  <c r="J606" i="8"/>
  <c r="J693" i="8"/>
  <c r="I693" i="8"/>
  <c r="H693" i="8"/>
  <c r="K693" i="8"/>
  <c r="L693" i="8" s="1"/>
  <c r="G691" i="13" s="1"/>
  <c r="K671" i="8"/>
  <c r="L671" i="8" s="1"/>
  <c r="G669" i="13" s="1"/>
  <c r="I671" i="8"/>
  <c r="J671" i="8"/>
  <c r="H671" i="8"/>
  <c r="J638" i="8"/>
  <c r="K638" i="8"/>
  <c r="L638" i="8" s="1"/>
  <c r="G636" i="13" s="1"/>
  <c r="H638" i="8"/>
  <c r="I638" i="8"/>
  <c r="H413" i="11"/>
  <c r="G413" i="11"/>
  <c r="I413" i="11"/>
  <c r="G254" i="15"/>
  <c r="H254" i="15"/>
  <c r="I254" i="15"/>
  <c r="J548" i="15"/>
  <c r="K548" i="15" s="1"/>
  <c r="K546" i="13" s="1"/>
  <c r="G548" i="15"/>
  <c r="I548" i="15"/>
  <c r="H548" i="15"/>
  <c r="H315" i="14"/>
  <c r="I315" i="14"/>
  <c r="G315" i="14"/>
  <c r="G577" i="9"/>
  <c r="J577" i="9"/>
  <c r="K577" i="9" s="1"/>
  <c r="H575" i="13" s="1"/>
  <c r="H577" i="9"/>
  <c r="I577" i="9"/>
  <c r="K820" i="8"/>
  <c r="L820" i="8" s="1"/>
  <c r="G818" i="13" s="1"/>
  <c r="I820" i="8"/>
  <c r="H820" i="8"/>
  <c r="J820" i="8"/>
  <c r="J764" i="9"/>
  <c r="K764" i="9" s="1"/>
  <c r="H762" i="13" s="1"/>
  <c r="I764" i="9"/>
  <c r="H764" i="9"/>
  <c r="G764" i="9"/>
  <c r="H319" i="11"/>
  <c r="I319" i="11"/>
  <c r="G319" i="11"/>
  <c r="I376" i="14"/>
  <c r="H376" i="14"/>
  <c r="G376" i="14"/>
  <c r="J740" i="15"/>
  <c r="K740" i="15" s="1"/>
  <c r="K738" i="13" s="1"/>
  <c r="I740" i="15"/>
  <c r="H740" i="15"/>
  <c r="G740" i="15"/>
  <c r="I693" i="11"/>
  <c r="J693" i="11"/>
  <c r="K693" i="11" s="1"/>
  <c r="I691" i="13" s="1"/>
  <c r="H693" i="11"/>
  <c r="G693" i="11"/>
  <c r="G361" i="14"/>
  <c r="I361" i="14"/>
  <c r="H361" i="14"/>
  <c r="H841" i="1"/>
  <c r="H440" i="1"/>
  <c r="H527" i="1"/>
  <c r="H760" i="1"/>
  <c r="I449" i="1"/>
  <c r="H581" i="1"/>
  <c r="G789" i="1"/>
  <c r="G858" i="14"/>
  <c r="H858" i="14"/>
  <c r="J858" i="14"/>
  <c r="K858" i="14" s="1"/>
  <c r="J856" i="13" s="1"/>
  <c r="I858" i="14"/>
  <c r="I859" i="1"/>
  <c r="M818" i="1"/>
  <c r="P818" i="1" s="1"/>
  <c r="J779" i="1"/>
  <c r="H430" i="1"/>
  <c r="H783" i="1"/>
  <c r="H517" i="1"/>
  <c r="G60" i="1"/>
  <c r="G487" i="1"/>
  <c r="J760" i="1"/>
  <c r="G513" i="1"/>
  <c r="J450" i="1"/>
  <c r="M620" i="1"/>
  <c r="N620" i="1" s="1"/>
  <c r="I414" i="1"/>
  <c r="I273" i="1"/>
  <c r="G445" i="1"/>
  <c r="H182" i="1"/>
  <c r="G73" i="1"/>
  <c r="I650" i="1"/>
  <c r="H789" i="1"/>
  <c r="M851" i="1"/>
  <c r="N851" i="1" s="1"/>
  <c r="G160" i="1"/>
  <c r="K791" i="1"/>
  <c r="J859" i="1"/>
  <c r="G425" i="1"/>
  <c r="I430" i="1"/>
  <c r="I699" i="1"/>
  <c r="H588" i="1"/>
  <c r="H272" i="1"/>
  <c r="K783" i="1"/>
  <c r="M783" i="1" s="1"/>
  <c r="P783" i="1" s="1"/>
  <c r="G563" i="1"/>
  <c r="H60" i="1"/>
  <c r="I790" i="1"/>
  <c r="G760" i="1"/>
  <c r="J678" i="1"/>
  <c r="J393" i="1"/>
  <c r="I621" i="1"/>
  <c r="G291" i="1"/>
  <c r="J597" i="1"/>
  <c r="I327" i="1"/>
  <c r="G426" i="1"/>
  <c r="G348" i="1"/>
  <c r="I395" i="1"/>
  <c r="J273" i="1"/>
  <c r="H445" i="1"/>
  <c r="H816" i="1"/>
  <c r="H73" i="1"/>
  <c r="J650" i="1"/>
  <c r="G734" i="1"/>
  <c r="J220" i="1"/>
  <c r="G597" i="1"/>
  <c r="G423" i="1"/>
  <c r="H230" i="1"/>
  <c r="G101" i="1"/>
  <c r="I789" i="1"/>
  <c r="G120" i="1"/>
  <c r="I214" i="1"/>
  <c r="J729" i="1"/>
  <c r="J347" i="1"/>
  <c r="G45" i="1"/>
  <c r="H477" i="1"/>
  <c r="K778" i="1"/>
  <c r="M778" i="1" s="1"/>
  <c r="G624" i="1"/>
  <c r="I538" i="1"/>
  <c r="I519" i="1"/>
  <c r="J317" i="1"/>
  <c r="I32" i="1"/>
  <c r="H39" i="1"/>
  <c r="J31" i="1"/>
  <c r="J844" i="14"/>
  <c r="K844" i="14" s="1"/>
  <c r="J842" i="13" s="1"/>
  <c r="G844" i="14"/>
  <c r="H844" i="14"/>
  <c r="I844" i="14"/>
  <c r="J710" i="11"/>
  <c r="K710" i="11" s="1"/>
  <c r="I708" i="13" s="1"/>
  <c r="I710" i="11"/>
  <c r="H710" i="11"/>
  <c r="G710" i="11"/>
  <c r="J640" i="15"/>
  <c r="K640" i="15" s="1"/>
  <c r="K638" i="13" s="1"/>
  <c r="H640" i="15"/>
  <c r="G640" i="15"/>
  <c r="I640" i="15"/>
  <c r="I600" i="14"/>
  <c r="H600" i="14"/>
  <c r="G600" i="14"/>
  <c r="J600" i="14"/>
  <c r="K600" i="14" s="1"/>
  <c r="J598" i="13" s="1"/>
  <c r="K584" i="8"/>
  <c r="L584" i="8" s="1"/>
  <c r="G582" i="13" s="1"/>
  <c r="J584" i="8"/>
  <c r="I584" i="8"/>
  <c r="H584" i="8"/>
  <c r="H538" i="8"/>
  <c r="I538" i="8"/>
  <c r="K538" i="8"/>
  <c r="L538" i="8" s="1"/>
  <c r="G536" i="13" s="1"/>
  <c r="J538" i="8"/>
  <c r="I457" i="11"/>
  <c r="H457" i="11"/>
  <c r="G457" i="11"/>
  <c r="G323" i="11"/>
  <c r="I323" i="11"/>
  <c r="H323" i="11"/>
  <c r="I852" i="11"/>
  <c r="H852" i="11"/>
  <c r="G852" i="11"/>
  <c r="J852" i="11"/>
  <c r="K852" i="11" s="1"/>
  <c r="I850" i="13" s="1"/>
  <c r="I507" i="11"/>
  <c r="G507" i="11"/>
  <c r="H507" i="11"/>
  <c r="I769" i="15"/>
  <c r="H769" i="15"/>
  <c r="G769" i="15"/>
  <c r="J769" i="15"/>
  <c r="K769" i="15" s="1"/>
  <c r="K767" i="13" s="1"/>
  <c r="H272" i="14"/>
  <c r="G272" i="14"/>
  <c r="I272" i="14"/>
  <c r="J579" i="8"/>
  <c r="I579" i="8"/>
  <c r="K579" i="8"/>
  <c r="L579" i="8" s="1"/>
  <c r="G577" i="13" s="1"/>
  <c r="H579" i="8"/>
  <c r="I39" i="15"/>
  <c r="H39" i="15"/>
  <c r="G39" i="15"/>
  <c r="I751" i="9"/>
  <c r="H751" i="9"/>
  <c r="G751" i="9"/>
  <c r="J751" i="9"/>
  <c r="K751" i="9" s="1"/>
  <c r="H749" i="13" s="1"/>
  <c r="G238" i="15"/>
  <c r="I238" i="15"/>
  <c r="H238" i="15"/>
  <c r="K720" i="8"/>
  <c r="L720" i="8" s="1"/>
  <c r="G718" i="13" s="1"/>
  <c r="I720" i="8"/>
  <c r="H720" i="8"/>
  <c r="J720" i="8"/>
  <c r="H530" i="11"/>
  <c r="J530" i="11"/>
  <c r="K530" i="11" s="1"/>
  <c r="I528" i="13" s="1"/>
  <c r="I530" i="11"/>
  <c r="G530" i="11"/>
  <c r="G370" i="11"/>
  <c r="H370" i="11"/>
  <c r="I370" i="11"/>
  <c r="I261" i="11"/>
  <c r="H261" i="11"/>
  <c r="G261" i="11"/>
  <c r="I81" i="1"/>
  <c r="H81" i="1"/>
  <c r="I559" i="1"/>
  <c r="G559" i="1"/>
  <c r="G805" i="14"/>
  <c r="I805" i="14"/>
  <c r="J805" i="14"/>
  <c r="K805" i="14" s="1"/>
  <c r="J803" i="13" s="1"/>
  <c r="H805" i="14"/>
  <c r="I364" i="15"/>
  <c r="G364" i="15"/>
  <c r="H364" i="15"/>
  <c r="I341" i="15"/>
  <c r="H341" i="15"/>
  <c r="G341" i="15"/>
  <c r="G802" i="11"/>
  <c r="J802" i="11"/>
  <c r="K802" i="11" s="1"/>
  <c r="I800" i="13" s="1"/>
  <c r="I802" i="11"/>
  <c r="H802" i="11"/>
  <c r="H713" i="8"/>
  <c r="K713" i="8"/>
  <c r="L713" i="8" s="1"/>
  <c r="G711" i="13" s="1"/>
  <c r="J713" i="8"/>
  <c r="I713" i="8"/>
  <c r="G637" i="9"/>
  <c r="J637" i="9"/>
  <c r="K637" i="9" s="1"/>
  <c r="H635" i="13" s="1"/>
  <c r="H637" i="9"/>
  <c r="I637" i="9"/>
  <c r="I507" i="14"/>
  <c r="H507" i="14"/>
  <c r="G507" i="14"/>
  <c r="G423" i="11"/>
  <c r="I423" i="11"/>
  <c r="H423" i="11"/>
  <c r="I187" i="11"/>
  <c r="H187" i="11"/>
  <c r="G187" i="11"/>
  <c r="I763" i="15"/>
  <c r="H763" i="15"/>
  <c r="G763" i="15"/>
  <c r="J763" i="15"/>
  <c r="K763" i="15" s="1"/>
  <c r="K761" i="13" s="1"/>
  <c r="I449" i="14"/>
  <c r="H449" i="14"/>
  <c r="G449" i="14"/>
  <c r="I54" i="11"/>
  <c r="H54" i="11"/>
  <c r="G54" i="11"/>
  <c r="I335" i="15"/>
  <c r="G335" i="15"/>
  <c r="H335" i="15"/>
  <c r="H37" i="11"/>
  <c r="I37" i="11"/>
  <c r="G37" i="11"/>
  <c r="I533" i="14"/>
  <c r="H533" i="14"/>
  <c r="G533" i="14"/>
  <c r="J533" i="14"/>
  <c r="K533" i="14" s="1"/>
  <c r="J531" i="13" s="1"/>
  <c r="J836" i="9"/>
  <c r="K836" i="9" s="1"/>
  <c r="H834" i="13" s="1"/>
  <c r="I836" i="9"/>
  <c r="H836" i="9"/>
  <c r="G836" i="9"/>
  <c r="H763" i="14"/>
  <c r="G763" i="14"/>
  <c r="J763" i="14"/>
  <c r="K763" i="14" s="1"/>
  <c r="J761" i="13" s="1"/>
  <c r="I763" i="14"/>
  <c r="H272" i="15"/>
  <c r="I272" i="15"/>
  <c r="G272" i="15"/>
  <c r="I601" i="8"/>
  <c r="K601" i="8"/>
  <c r="L601" i="8" s="1"/>
  <c r="G599" i="13" s="1"/>
  <c r="J601" i="8"/>
  <c r="H601" i="8"/>
  <c r="I815" i="14"/>
  <c r="J815" i="14"/>
  <c r="K815" i="14" s="1"/>
  <c r="J813" i="13" s="1"/>
  <c r="G815" i="14"/>
  <c r="H815" i="14"/>
  <c r="J592" i="9"/>
  <c r="K592" i="9" s="1"/>
  <c r="H590" i="13" s="1"/>
  <c r="I592" i="9"/>
  <c r="H592" i="9"/>
  <c r="G592" i="9"/>
  <c r="H124" i="15"/>
  <c r="I124" i="15"/>
  <c r="G124" i="15"/>
  <c r="I347" i="11"/>
  <c r="H347" i="11"/>
  <c r="G347" i="11"/>
  <c r="J602" i="11"/>
  <c r="K602" i="11" s="1"/>
  <c r="I600" i="13" s="1"/>
  <c r="I602" i="11"/>
  <c r="H602" i="11"/>
  <c r="G602" i="11"/>
  <c r="J728" i="8"/>
  <c r="K728" i="8"/>
  <c r="L728" i="8" s="1"/>
  <c r="G726" i="13" s="1"/>
  <c r="I728" i="8"/>
  <c r="H728" i="8"/>
  <c r="J541" i="8"/>
  <c r="K541" i="8"/>
  <c r="L541" i="8" s="1"/>
  <c r="G539" i="13" s="1"/>
  <c r="H541" i="8"/>
  <c r="I541" i="8"/>
  <c r="I443" i="14"/>
  <c r="H443" i="14"/>
  <c r="G443" i="14"/>
  <c r="G373" i="15"/>
  <c r="I373" i="15"/>
  <c r="H373" i="15"/>
  <c r="H463" i="11"/>
  <c r="G463" i="11"/>
  <c r="I463" i="11"/>
  <c r="I254" i="11"/>
  <c r="G254" i="11"/>
  <c r="H254" i="11"/>
  <c r="G535" i="14"/>
  <c r="J535" i="14"/>
  <c r="K535" i="14" s="1"/>
  <c r="J533" i="13" s="1"/>
  <c r="I535" i="14"/>
  <c r="H535" i="14"/>
  <c r="H686" i="11"/>
  <c r="J686" i="11"/>
  <c r="K686" i="11" s="1"/>
  <c r="I684" i="13" s="1"/>
  <c r="I686" i="11"/>
  <c r="G686" i="11"/>
  <c r="H657" i="14"/>
  <c r="J657" i="14"/>
  <c r="K657" i="14" s="1"/>
  <c r="J655" i="13" s="1"/>
  <c r="I657" i="14"/>
  <c r="G657" i="14"/>
  <c r="I553" i="1"/>
  <c r="H553" i="1"/>
  <c r="G553" i="1"/>
  <c r="K553" i="1"/>
  <c r="J553" i="1"/>
  <c r="J797" i="15"/>
  <c r="K797" i="15" s="1"/>
  <c r="K795" i="13" s="1"/>
  <c r="H797" i="15"/>
  <c r="G797" i="15"/>
  <c r="I797" i="15"/>
  <c r="I709" i="11"/>
  <c r="J709" i="11"/>
  <c r="K709" i="11" s="1"/>
  <c r="I707" i="13" s="1"/>
  <c r="H709" i="11"/>
  <c r="G709" i="11"/>
  <c r="I361" i="11"/>
  <c r="G361" i="11"/>
  <c r="H361" i="11"/>
  <c r="H145" i="11"/>
  <c r="I145" i="11"/>
  <c r="G145" i="11"/>
  <c r="K848" i="8"/>
  <c r="L848" i="8" s="1"/>
  <c r="G846" i="13" s="1"/>
  <c r="I848" i="8"/>
  <c r="H848" i="8"/>
  <c r="J848" i="8"/>
  <c r="G200" i="14"/>
  <c r="I200" i="14"/>
  <c r="H200" i="14"/>
  <c r="H739" i="14"/>
  <c r="I739" i="14"/>
  <c r="J739" i="14"/>
  <c r="K739" i="14" s="1"/>
  <c r="J737" i="13" s="1"/>
  <c r="G739" i="14"/>
  <c r="K656" i="8"/>
  <c r="L656" i="8" s="1"/>
  <c r="G654" i="13" s="1"/>
  <c r="H656" i="8"/>
  <c r="J656" i="8"/>
  <c r="I656" i="8"/>
  <c r="H429" i="14"/>
  <c r="I429" i="14"/>
  <c r="G429" i="14"/>
  <c r="H786" i="1"/>
  <c r="H847" i="9"/>
  <c r="G847" i="9"/>
  <c r="J847" i="9"/>
  <c r="K847" i="9" s="1"/>
  <c r="H845" i="13" s="1"/>
  <c r="I847" i="9"/>
  <c r="H218" i="14"/>
  <c r="G218" i="14"/>
  <c r="I218" i="14"/>
  <c r="I463" i="14"/>
  <c r="H463" i="14"/>
  <c r="G463" i="14"/>
  <c r="J796" i="15"/>
  <c r="K796" i="15" s="1"/>
  <c r="K794" i="13" s="1"/>
  <c r="I796" i="15"/>
  <c r="H796" i="15"/>
  <c r="G796" i="15"/>
  <c r="I512" i="14"/>
  <c r="H512" i="14"/>
  <c r="G512" i="14"/>
  <c r="G243" i="15"/>
  <c r="H243" i="15"/>
  <c r="I243" i="15"/>
  <c r="H821" i="9"/>
  <c r="G821" i="9"/>
  <c r="I821" i="9"/>
  <c r="J821" i="9"/>
  <c r="K821" i="9" s="1"/>
  <c r="H819" i="13" s="1"/>
  <c r="I517" i="11"/>
  <c r="G517" i="11"/>
  <c r="H517" i="11"/>
  <c r="G660" i="9"/>
  <c r="H660" i="9"/>
  <c r="J660" i="9"/>
  <c r="K660" i="9" s="1"/>
  <c r="H658" i="13" s="1"/>
  <c r="I660" i="9"/>
  <c r="I339" i="14"/>
  <c r="H339" i="14"/>
  <c r="G339" i="14"/>
  <c r="K764" i="8"/>
  <c r="L764" i="8" s="1"/>
  <c r="G762" i="13" s="1"/>
  <c r="J764" i="8"/>
  <c r="H764" i="8"/>
  <c r="I764" i="8"/>
  <c r="I626" i="8"/>
  <c r="K626" i="8"/>
  <c r="L626" i="8" s="1"/>
  <c r="G624" i="13" s="1"/>
  <c r="J626" i="8"/>
  <c r="H626" i="8"/>
  <c r="K563" i="1"/>
  <c r="M563" i="1" s="1"/>
  <c r="H124" i="1"/>
  <c r="G581" i="1"/>
  <c r="H83" i="1"/>
  <c r="G833" i="1"/>
  <c r="J176" i="1"/>
  <c r="H261" i="1"/>
  <c r="G363" i="1"/>
  <c r="G728" i="9"/>
  <c r="J728" i="9"/>
  <c r="K728" i="9" s="1"/>
  <c r="H726" i="13" s="1"/>
  <c r="I728" i="9"/>
  <c r="H728" i="9"/>
  <c r="H586" i="11"/>
  <c r="G586" i="11"/>
  <c r="J586" i="11"/>
  <c r="K586" i="11" s="1"/>
  <c r="I584" i="13" s="1"/>
  <c r="I586" i="11"/>
  <c r="G528" i="14"/>
  <c r="J528" i="14"/>
  <c r="K528" i="14" s="1"/>
  <c r="J526" i="13" s="1"/>
  <c r="I528" i="14"/>
  <c r="H528" i="14"/>
  <c r="K612" i="8"/>
  <c r="L612" i="8" s="1"/>
  <c r="G610" i="13" s="1"/>
  <c r="H612" i="8"/>
  <c r="J612" i="8"/>
  <c r="I612" i="8"/>
  <c r="I481" i="14"/>
  <c r="H481" i="14"/>
  <c r="G481" i="14"/>
  <c r="I696" i="9"/>
  <c r="H696" i="9"/>
  <c r="J696" i="9"/>
  <c r="K696" i="9" s="1"/>
  <c r="H694" i="13" s="1"/>
  <c r="G696" i="9"/>
  <c r="G681" i="15"/>
  <c r="J681" i="15"/>
  <c r="K681" i="15" s="1"/>
  <c r="K679" i="13" s="1"/>
  <c r="I681" i="15"/>
  <c r="H681" i="15"/>
  <c r="G767" i="11"/>
  <c r="H767" i="11"/>
  <c r="I767" i="11"/>
  <c r="J767" i="11"/>
  <c r="K767" i="11" s="1"/>
  <c r="I765" i="13" s="1"/>
  <c r="J602" i="15"/>
  <c r="K602" i="15" s="1"/>
  <c r="K600" i="13" s="1"/>
  <c r="I602" i="15"/>
  <c r="H602" i="15"/>
  <c r="G602" i="15"/>
  <c r="I130" i="11"/>
  <c r="H130" i="11"/>
  <c r="G130" i="11"/>
  <c r="G305" i="11"/>
  <c r="I305" i="11"/>
  <c r="H305" i="11"/>
  <c r="I638" i="9"/>
  <c r="J638" i="9"/>
  <c r="K638" i="9" s="1"/>
  <c r="H636" i="13" s="1"/>
  <c r="H638" i="9"/>
  <c r="G638" i="9"/>
  <c r="I594" i="11"/>
  <c r="H594" i="11"/>
  <c r="G594" i="11"/>
  <c r="J594" i="11"/>
  <c r="K594" i="11" s="1"/>
  <c r="I592" i="13" s="1"/>
  <c r="H302" i="15"/>
  <c r="G302" i="15"/>
  <c r="I302" i="15"/>
  <c r="G805" i="1"/>
  <c r="J364" i="1"/>
  <c r="K760" i="1"/>
  <c r="H720" i="1"/>
  <c r="G141" i="1"/>
  <c r="G468" i="1"/>
  <c r="K650" i="1"/>
  <c r="M650" i="1" s="1"/>
  <c r="H423" i="1"/>
  <c r="I348" i="1"/>
  <c r="H101" i="1"/>
  <c r="K729" i="1"/>
  <c r="I477" i="1"/>
  <c r="G19" i="1"/>
  <c r="K718" i="1"/>
  <c r="I718" i="1"/>
  <c r="J718" i="1"/>
  <c r="G584" i="9"/>
  <c r="J584" i="9"/>
  <c r="K584" i="9" s="1"/>
  <c r="H582" i="13" s="1"/>
  <c r="I584" i="9"/>
  <c r="H584" i="9"/>
  <c r="G538" i="11"/>
  <c r="H538" i="11"/>
  <c r="J538" i="11"/>
  <c r="K538" i="11" s="1"/>
  <c r="I536" i="13" s="1"/>
  <c r="I538" i="11"/>
  <c r="H457" i="14"/>
  <c r="G457" i="14"/>
  <c r="I457" i="14"/>
  <c r="I391" i="11"/>
  <c r="H391" i="11"/>
  <c r="G391" i="11"/>
  <c r="G323" i="15"/>
  <c r="H323" i="15"/>
  <c r="I323" i="15"/>
  <c r="J117" i="1"/>
  <c r="I117" i="1"/>
  <c r="H49" i="15"/>
  <c r="I49" i="15"/>
  <c r="G49" i="15"/>
  <c r="I35" i="11"/>
  <c r="G35" i="11"/>
  <c r="H35" i="11"/>
  <c r="I71" i="14"/>
  <c r="H71" i="14"/>
  <c r="G71" i="14"/>
  <c r="K631" i="8"/>
  <c r="L631" i="8" s="1"/>
  <c r="G629" i="13" s="1"/>
  <c r="J631" i="8"/>
  <c r="I631" i="8"/>
  <c r="H631" i="8"/>
  <c r="G331" i="11"/>
  <c r="H331" i="11"/>
  <c r="I331" i="11"/>
  <c r="I229" i="15"/>
  <c r="H229" i="15"/>
  <c r="G229" i="15"/>
  <c r="G845" i="14"/>
  <c r="J845" i="14"/>
  <c r="K845" i="14" s="1"/>
  <c r="J843" i="13" s="1"/>
  <c r="I845" i="14"/>
  <c r="H845" i="14"/>
  <c r="G570" i="11"/>
  <c r="J570" i="11"/>
  <c r="K570" i="11" s="1"/>
  <c r="I568" i="13" s="1"/>
  <c r="I570" i="11"/>
  <c r="H570" i="11"/>
  <c r="I818" i="11"/>
  <c r="J818" i="11"/>
  <c r="K818" i="11" s="1"/>
  <c r="I816" i="13" s="1"/>
  <c r="G818" i="11"/>
  <c r="H818" i="11"/>
  <c r="H783" i="14"/>
  <c r="I783" i="14"/>
  <c r="J783" i="14"/>
  <c r="K783" i="14" s="1"/>
  <c r="J781" i="13" s="1"/>
  <c r="G783" i="14"/>
  <c r="I743" i="14"/>
  <c r="G743" i="14"/>
  <c r="J743" i="14"/>
  <c r="K743" i="14" s="1"/>
  <c r="J741" i="13" s="1"/>
  <c r="H743" i="14"/>
  <c r="H708" i="8"/>
  <c r="I708" i="8"/>
  <c r="K708" i="8"/>
  <c r="L708" i="8" s="1"/>
  <c r="G706" i="13" s="1"/>
  <c r="J708" i="8"/>
  <c r="G682" i="1"/>
  <c r="I682" i="1"/>
  <c r="K682" i="1"/>
  <c r="J682" i="1"/>
  <c r="I652" i="11"/>
  <c r="H652" i="11"/>
  <c r="J652" i="11"/>
  <c r="K652" i="11" s="1"/>
  <c r="I650" i="13" s="1"/>
  <c r="G652" i="11"/>
  <c r="J609" i="11"/>
  <c r="K609" i="11" s="1"/>
  <c r="I607" i="13" s="1"/>
  <c r="I609" i="11"/>
  <c r="H609" i="11"/>
  <c r="G609" i="11"/>
  <c r="G789" i="15"/>
  <c r="J789" i="15"/>
  <c r="K789" i="15" s="1"/>
  <c r="K787" i="13" s="1"/>
  <c r="I789" i="15"/>
  <c r="H789" i="15"/>
  <c r="I383" i="15"/>
  <c r="H383" i="15"/>
  <c r="G383" i="15"/>
  <c r="I170" i="11"/>
  <c r="H170" i="11"/>
  <c r="G170" i="11"/>
  <c r="H46" i="14"/>
  <c r="G46" i="14"/>
  <c r="I46" i="14"/>
  <c r="J543" i="11"/>
  <c r="K543" i="11" s="1"/>
  <c r="I541" i="13" s="1"/>
  <c r="I543" i="11"/>
  <c r="H543" i="11"/>
  <c r="G543" i="11"/>
  <c r="I344" i="15"/>
  <c r="H344" i="15"/>
  <c r="G344" i="15"/>
  <c r="J763" i="8"/>
  <c r="I763" i="8"/>
  <c r="K763" i="8"/>
  <c r="L763" i="8" s="1"/>
  <c r="G761" i="13" s="1"/>
  <c r="H763" i="8"/>
  <c r="J219" i="1"/>
  <c r="I219" i="1"/>
  <c r="G273" i="14"/>
  <c r="I273" i="14"/>
  <c r="H273" i="14"/>
  <c r="G211" i="14"/>
  <c r="I211" i="14"/>
  <c r="H211" i="14"/>
  <c r="G338" i="14"/>
  <c r="I338" i="14"/>
  <c r="H338" i="14"/>
  <c r="G449" i="11"/>
  <c r="I449" i="11"/>
  <c r="H449" i="11"/>
  <c r="H513" i="15"/>
  <c r="I513" i="15"/>
  <c r="G513" i="15"/>
  <c r="I453" i="15"/>
  <c r="H453" i="15"/>
  <c r="G453" i="15"/>
  <c r="I395" i="14"/>
  <c r="H395" i="14"/>
  <c r="G395" i="14"/>
  <c r="I250" i="15"/>
  <c r="H250" i="15"/>
  <c r="G250" i="15"/>
  <c r="J838" i="8"/>
  <c r="I838" i="8"/>
  <c r="H838" i="8"/>
  <c r="K838" i="8"/>
  <c r="L838" i="8" s="1"/>
  <c r="G836" i="13" s="1"/>
  <c r="J758" i="11"/>
  <c r="K758" i="11" s="1"/>
  <c r="I756" i="13" s="1"/>
  <c r="I758" i="11"/>
  <c r="H758" i="11"/>
  <c r="G758" i="11"/>
  <c r="H524" i="15"/>
  <c r="G524" i="15"/>
  <c r="J524" i="15"/>
  <c r="K524" i="15" s="1"/>
  <c r="K522" i="13" s="1"/>
  <c r="I524" i="15"/>
  <c r="I489" i="15"/>
  <c r="H489" i="15"/>
  <c r="G489" i="15"/>
  <c r="G445" i="11"/>
  <c r="I445" i="11"/>
  <c r="H445" i="11"/>
  <c r="G65" i="14"/>
  <c r="I65" i="14"/>
  <c r="H65" i="14"/>
  <c r="J570" i="1"/>
  <c r="K570" i="1"/>
  <c r="I535" i="9"/>
  <c r="H535" i="9"/>
  <c r="J535" i="9"/>
  <c r="K535" i="9" s="1"/>
  <c r="H533" i="13" s="1"/>
  <c r="G535" i="9"/>
  <c r="H485" i="1"/>
  <c r="I485" i="1"/>
  <c r="J485" i="1"/>
  <c r="I263" i="11"/>
  <c r="H263" i="11"/>
  <c r="G263" i="11"/>
  <c r="I459" i="14"/>
  <c r="H459" i="14"/>
  <c r="G459" i="14"/>
  <c r="G554" i="11"/>
  <c r="I554" i="11"/>
  <c r="H554" i="11"/>
  <c r="J554" i="11"/>
  <c r="K554" i="11" s="1"/>
  <c r="I552" i="13" s="1"/>
  <c r="I103" i="14"/>
  <c r="H103" i="14"/>
  <c r="G103" i="14"/>
  <c r="G684" i="15"/>
  <c r="J684" i="15"/>
  <c r="K684" i="15" s="1"/>
  <c r="K682" i="13" s="1"/>
  <c r="I684" i="15"/>
  <c r="H684" i="15"/>
  <c r="G557" i="15"/>
  <c r="J557" i="15"/>
  <c r="K557" i="15" s="1"/>
  <c r="K555" i="13" s="1"/>
  <c r="I557" i="15"/>
  <c r="H557" i="15"/>
  <c r="I144" i="15"/>
  <c r="H144" i="15"/>
  <c r="G144" i="15"/>
  <c r="J800" i="11"/>
  <c r="K800" i="11" s="1"/>
  <c r="I798" i="13" s="1"/>
  <c r="I800" i="11"/>
  <c r="H800" i="11"/>
  <c r="G800" i="11"/>
  <c r="G553" i="14"/>
  <c r="J553" i="14"/>
  <c r="K553" i="14" s="1"/>
  <c r="J551" i="13" s="1"/>
  <c r="I553" i="14"/>
  <c r="H553" i="14"/>
  <c r="I398" i="14"/>
  <c r="H398" i="14"/>
  <c r="G398" i="14"/>
  <c r="G52" i="14"/>
  <c r="H52" i="14"/>
  <c r="I52" i="14"/>
  <c r="I527" i="15"/>
  <c r="H527" i="15"/>
  <c r="G527" i="15"/>
  <c r="J527" i="15"/>
  <c r="K527" i="15" s="1"/>
  <c r="K525" i="13" s="1"/>
  <c r="K628" i="8"/>
  <c r="L628" i="8" s="1"/>
  <c r="G626" i="13" s="1"/>
  <c r="J628" i="8"/>
  <c r="H628" i="8"/>
  <c r="I628" i="8"/>
  <c r="J853" i="14"/>
  <c r="K853" i="14" s="1"/>
  <c r="J851" i="13" s="1"/>
  <c r="I853" i="14"/>
  <c r="H853" i="14"/>
  <c r="G853" i="14"/>
  <c r="H793" i="9"/>
  <c r="G793" i="9"/>
  <c r="J793" i="9"/>
  <c r="K793" i="9" s="1"/>
  <c r="H791" i="13" s="1"/>
  <c r="I793" i="9"/>
  <c r="I429" i="11"/>
  <c r="H429" i="11"/>
  <c r="G429" i="11"/>
  <c r="H486" i="14"/>
  <c r="G486" i="14"/>
  <c r="I486" i="14"/>
  <c r="G387" i="11"/>
  <c r="H387" i="11"/>
  <c r="I387" i="11"/>
  <c r="I190" i="14"/>
  <c r="H190" i="14"/>
  <c r="G190" i="14"/>
  <c r="J658" i="14"/>
  <c r="K658" i="14" s="1"/>
  <c r="J656" i="13" s="1"/>
  <c r="I658" i="14"/>
  <c r="H658" i="14"/>
  <c r="G658" i="14"/>
  <c r="K796" i="8"/>
  <c r="L796" i="8" s="1"/>
  <c r="G794" i="13" s="1"/>
  <c r="H796" i="8"/>
  <c r="J796" i="8"/>
  <c r="I796" i="8"/>
  <c r="I592" i="8"/>
  <c r="H592" i="8"/>
  <c r="K592" i="8"/>
  <c r="L592" i="8" s="1"/>
  <c r="G590" i="13" s="1"/>
  <c r="J592" i="8"/>
  <c r="I389" i="15"/>
  <c r="H389" i="15"/>
  <c r="G389" i="15"/>
  <c r="J686" i="9"/>
  <c r="K686" i="9" s="1"/>
  <c r="H684" i="13" s="1"/>
  <c r="I686" i="9"/>
  <c r="H686" i="9"/>
  <c r="G686" i="9"/>
  <c r="J604" i="9"/>
  <c r="K604" i="9" s="1"/>
  <c r="H602" i="13" s="1"/>
  <c r="I604" i="9"/>
  <c r="G604" i="9"/>
  <c r="H604" i="9"/>
  <c r="I273" i="15"/>
  <c r="H273" i="15"/>
  <c r="G273" i="15"/>
  <c r="I109" i="15"/>
  <c r="H109" i="15"/>
  <c r="G109" i="15"/>
  <c r="I60" i="11"/>
  <c r="H60" i="11"/>
  <c r="G60" i="11"/>
  <c r="H392" i="11"/>
  <c r="I392" i="11"/>
  <c r="G392" i="11"/>
  <c r="I304" i="15"/>
  <c r="H304" i="15"/>
  <c r="G304" i="15"/>
  <c r="I602" i="8"/>
  <c r="K602" i="8"/>
  <c r="L602" i="8" s="1"/>
  <c r="G600" i="13" s="1"/>
  <c r="J602" i="8"/>
  <c r="H602" i="8"/>
  <c r="H54" i="14"/>
  <c r="I54" i="14"/>
  <c r="G54" i="14"/>
  <c r="H691" i="9"/>
  <c r="G691" i="9"/>
  <c r="J691" i="9"/>
  <c r="K691" i="9" s="1"/>
  <c r="H689" i="13" s="1"/>
  <c r="I691" i="9"/>
  <c r="I766" i="11"/>
  <c r="H766" i="11"/>
  <c r="G766" i="11"/>
  <c r="J766" i="11"/>
  <c r="K766" i="11" s="1"/>
  <c r="I764" i="13" s="1"/>
  <c r="I758" i="15"/>
  <c r="J758" i="15"/>
  <c r="K758" i="15" s="1"/>
  <c r="K756" i="13" s="1"/>
  <c r="H758" i="15"/>
  <c r="G758" i="15"/>
  <c r="J739" i="9"/>
  <c r="K739" i="9" s="1"/>
  <c r="H737" i="13" s="1"/>
  <c r="I739" i="9"/>
  <c r="H739" i="9"/>
  <c r="G739" i="9"/>
  <c r="H824" i="8"/>
  <c r="J824" i="8"/>
  <c r="K824" i="8"/>
  <c r="L824" i="8" s="1"/>
  <c r="G822" i="13" s="1"/>
  <c r="I824" i="8"/>
  <c r="H678" i="1"/>
  <c r="G232" i="1"/>
  <c r="H447" i="1"/>
  <c r="K447" i="1" s="1"/>
  <c r="I564" i="15"/>
  <c r="G564" i="15"/>
  <c r="J564" i="15"/>
  <c r="K564" i="15" s="1"/>
  <c r="K562" i="13" s="1"/>
  <c r="H564" i="15"/>
  <c r="I79" i="14"/>
  <c r="H79" i="14"/>
  <c r="G79" i="14"/>
  <c r="G681" i="9"/>
  <c r="J681" i="9"/>
  <c r="K681" i="9" s="1"/>
  <c r="H679" i="13" s="1"/>
  <c r="I681" i="9"/>
  <c r="H681" i="9"/>
  <c r="I719" i="14"/>
  <c r="H719" i="14"/>
  <c r="G719" i="14"/>
  <c r="J719" i="14"/>
  <c r="K719" i="14" s="1"/>
  <c r="J717" i="13" s="1"/>
  <c r="I660" i="8"/>
  <c r="H660" i="8"/>
  <c r="J660" i="8"/>
  <c r="K660" i="8"/>
  <c r="L660" i="8" s="1"/>
  <c r="G658" i="13" s="1"/>
  <c r="G699" i="15"/>
  <c r="J699" i="15"/>
  <c r="K699" i="15" s="1"/>
  <c r="K697" i="13" s="1"/>
  <c r="I699" i="15"/>
  <c r="H699" i="15"/>
  <c r="I691" i="14"/>
  <c r="H691" i="14"/>
  <c r="G691" i="14"/>
  <c r="J691" i="14"/>
  <c r="K691" i="14" s="1"/>
  <c r="J689" i="13" s="1"/>
  <c r="H644" i="15"/>
  <c r="J644" i="15"/>
  <c r="K644" i="15" s="1"/>
  <c r="K642" i="13" s="1"/>
  <c r="I644" i="15"/>
  <c r="G644" i="15"/>
  <c r="G450" i="15"/>
  <c r="H450" i="15"/>
  <c r="I450" i="15"/>
  <c r="J766" i="14"/>
  <c r="K766" i="14" s="1"/>
  <c r="J764" i="13" s="1"/>
  <c r="I766" i="14"/>
  <c r="H766" i="14"/>
  <c r="G766" i="14"/>
  <c r="G797" i="14"/>
  <c r="J797" i="14"/>
  <c r="K797" i="14" s="1"/>
  <c r="J795" i="13" s="1"/>
  <c r="I797" i="14"/>
  <c r="H797" i="14"/>
  <c r="I709" i="14"/>
  <c r="J709" i="14"/>
  <c r="K709" i="14" s="1"/>
  <c r="J707" i="13" s="1"/>
  <c r="H709" i="14"/>
  <c r="G709" i="14"/>
  <c r="I123" i="11"/>
  <c r="G123" i="11"/>
  <c r="H123" i="11"/>
  <c r="G169" i="11"/>
  <c r="I169" i="11"/>
  <c r="H169" i="11"/>
  <c r="H232" i="1"/>
  <c r="G565" i="1"/>
  <c r="I279" i="11"/>
  <c r="H279" i="11"/>
  <c r="G279" i="11"/>
  <c r="I76" i="11"/>
  <c r="H76" i="11"/>
  <c r="G76" i="11"/>
  <c r="I444" i="15"/>
  <c r="H444" i="15"/>
  <c r="G444" i="15"/>
  <c r="I815" i="15"/>
  <c r="H815" i="15"/>
  <c r="G815" i="15"/>
  <c r="J815" i="15"/>
  <c r="K815" i="15" s="1"/>
  <c r="K813" i="13" s="1"/>
  <c r="G592" i="14"/>
  <c r="H592" i="14"/>
  <c r="J592" i="14"/>
  <c r="K592" i="14" s="1"/>
  <c r="J590" i="13" s="1"/>
  <c r="I592" i="14"/>
  <c r="I270" i="14"/>
  <c r="H270" i="14"/>
  <c r="G270" i="14"/>
  <c r="I347" i="15"/>
  <c r="H347" i="15"/>
  <c r="G347" i="15"/>
  <c r="I61" i="11"/>
  <c r="H61" i="11"/>
  <c r="G61" i="11"/>
  <c r="J579" i="15"/>
  <c r="K579" i="15" s="1"/>
  <c r="K577" i="13" s="1"/>
  <c r="I579" i="15"/>
  <c r="H579" i="15"/>
  <c r="G579" i="15"/>
  <c r="I719" i="15"/>
  <c r="H719" i="15"/>
  <c r="G719" i="15"/>
  <c r="J719" i="15"/>
  <c r="K719" i="15" s="1"/>
  <c r="K717" i="13" s="1"/>
  <c r="H660" i="15"/>
  <c r="J660" i="15"/>
  <c r="K660" i="15" s="1"/>
  <c r="K658" i="13" s="1"/>
  <c r="I660" i="15"/>
  <c r="G660" i="15"/>
  <c r="J725" i="8"/>
  <c r="I725" i="8"/>
  <c r="H725" i="8"/>
  <c r="K725" i="8"/>
  <c r="L725" i="8" s="1"/>
  <c r="G723" i="13" s="1"/>
  <c r="I141" i="15"/>
  <c r="H141" i="15"/>
  <c r="G141" i="15"/>
  <c r="G97" i="14"/>
  <c r="I97" i="14"/>
  <c r="H97" i="14"/>
  <c r="J529" i="9"/>
  <c r="K529" i="9" s="1"/>
  <c r="H527" i="13" s="1"/>
  <c r="G529" i="9"/>
  <c r="H529" i="9"/>
  <c r="I529" i="9"/>
  <c r="G299" i="14"/>
  <c r="I299" i="14"/>
  <c r="H299" i="14"/>
  <c r="J766" i="15"/>
  <c r="K766" i="15" s="1"/>
  <c r="K764" i="13" s="1"/>
  <c r="I766" i="15"/>
  <c r="H766" i="15"/>
  <c r="G766" i="15"/>
  <c r="G31" i="15"/>
  <c r="I31" i="15"/>
  <c r="H31" i="15"/>
  <c r="J628" i="14"/>
  <c r="K628" i="14" s="1"/>
  <c r="J626" i="13" s="1"/>
  <c r="I628" i="14"/>
  <c r="H628" i="14"/>
  <c r="G628" i="14"/>
  <c r="G523" i="14"/>
  <c r="I523" i="14"/>
  <c r="H523" i="14"/>
  <c r="J523" i="14"/>
  <c r="K523" i="14" s="1"/>
  <c r="J521" i="13" s="1"/>
  <c r="I206" i="14"/>
  <c r="H206" i="14"/>
  <c r="G206" i="14"/>
  <c r="G37" i="14"/>
  <c r="I37" i="14"/>
  <c r="H37" i="14"/>
  <c r="G434" i="14"/>
  <c r="H434" i="14"/>
  <c r="I434" i="14"/>
  <c r="I646" i="11"/>
  <c r="H646" i="11"/>
  <c r="J646" i="11"/>
  <c r="K646" i="11" s="1"/>
  <c r="I644" i="13" s="1"/>
  <c r="G646" i="11"/>
  <c r="K841" i="1"/>
  <c r="G364" i="1"/>
  <c r="G140" i="1"/>
  <c r="G609" i="1"/>
  <c r="H153" i="1"/>
  <c r="K631" i="1"/>
  <c r="M631" i="1" s="1"/>
  <c r="K524" i="1"/>
  <c r="M524" i="1" s="1"/>
  <c r="P524" i="1" s="1"/>
  <c r="H798" i="11"/>
  <c r="G798" i="11"/>
  <c r="J798" i="11"/>
  <c r="K798" i="11" s="1"/>
  <c r="I796" i="13" s="1"/>
  <c r="I798" i="11"/>
  <c r="I197" i="15"/>
  <c r="G197" i="15"/>
  <c r="H197" i="15"/>
  <c r="J548" i="14"/>
  <c r="K548" i="14" s="1"/>
  <c r="J546" i="13" s="1"/>
  <c r="I548" i="14"/>
  <c r="H548" i="14"/>
  <c r="G548" i="14"/>
  <c r="I535" i="15"/>
  <c r="H535" i="15"/>
  <c r="G535" i="15"/>
  <c r="J535" i="15"/>
  <c r="K535" i="15" s="1"/>
  <c r="K533" i="13" s="1"/>
  <c r="G481" i="11"/>
  <c r="H481" i="11"/>
  <c r="I481" i="11"/>
  <c r="I161" i="14"/>
  <c r="G161" i="14"/>
  <c r="H161" i="14"/>
  <c r="H696" i="8"/>
  <c r="J696" i="8"/>
  <c r="K696" i="8"/>
  <c r="L696" i="8" s="1"/>
  <c r="G694" i="13" s="1"/>
  <c r="I696" i="8"/>
  <c r="J604" i="11"/>
  <c r="K604" i="11" s="1"/>
  <c r="I602" i="13" s="1"/>
  <c r="G604" i="11"/>
  <c r="I604" i="11"/>
  <c r="H604" i="11"/>
  <c r="I247" i="11"/>
  <c r="H247" i="11"/>
  <c r="G247" i="11"/>
  <c r="G455" i="11"/>
  <c r="I455" i="11"/>
  <c r="H455" i="11"/>
  <c r="H432" i="1"/>
  <c r="H487" i="1"/>
  <c r="J839" i="9"/>
  <c r="K839" i="9" s="1"/>
  <c r="H837" i="13" s="1"/>
  <c r="I839" i="9"/>
  <c r="H839" i="9"/>
  <c r="G839" i="9"/>
  <c r="G759" i="9"/>
  <c r="J759" i="9"/>
  <c r="K759" i="9" s="1"/>
  <c r="H757" i="13" s="1"/>
  <c r="I759" i="9"/>
  <c r="H759" i="9"/>
  <c r="I279" i="15"/>
  <c r="H279" i="15"/>
  <c r="G279" i="15"/>
  <c r="G184" i="11"/>
  <c r="I184" i="11"/>
  <c r="H184" i="11"/>
  <c r="I62" i="11"/>
  <c r="H62" i="11"/>
  <c r="G62" i="11"/>
  <c r="G151" i="11"/>
  <c r="I151" i="11"/>
  <c r="H151" i="11"/>
  <c r="H825" i="15"/>
  <c r="J825" i="15"/>
  <c r="K825" i="15" s="1"/>
  <c r="K823" i="13" s="1"/>
  <c r="I825" i="15"/>
  <c r="G825" i="15"/>
  <c r="I196" i="14"/>
  <c r="H196" i="14"/>
  <c r="G196" i="14"/>
  <c r="G327" i="11"/>
  <c r="I327" i="11"/>
  <c r="H327" i="11"/>
  <c r="H288" i="15"/>
  <c r="G288" i="15"/>
  <c r="I288" i="15"/>
  <c r="H498" i="11"/>
  <c r="G498" i="11"/>
  <c r="I498" i="11"/>
  <c r="I461" i="11"/>
  <c r="H461" i="11"/>
  <c r="G461" i="11"/>
  <c r="G339" i="15"/>
  <c r="I339" i="15"/>
  <c r="H339" i="15"/>
  <c r="J529" i="11"/>
  <c r="K529" i="11" s="1"/>
  <c r="I527" i="13" s="1"/>
  <c r="I529" i="11"/>
  <c r="H529" i="11"/>
  <c r="G529" i="11"/>
  <c r="G641" i="9"/>
  <c r="J641" i="9"/>
  <c r="K641" i="9" s="1"/>
  <c r="H639" i="13" s="1"/>
  <c r="H641" i="9"/>
  <c r="I641" i="9"/>
  <c r="G749" i="14"/>
  <c r="J749" i="14"/>
  <c r="K749" i="14" s="1"/>
  <c r="J747" i="13" s="1"/>
  <c r="I749" i="14"/>
  <c r="H749" i="14"/>
  <c r="I222" i="11"/>
  <c r="H222" i="11"/>
  <c r="G222" i="11"/>
  <c r="G617" i="9"/>
  <c r="J617" i="9"/>
  <c r="K617" i="9" s="1"/>
  <c r="H615" i="13" s="1"/>
  <c r="I617" i="9"/>
  <c r="H617" i="9"/>
  <c r="G483" i="15"/>
  <c r="I483" i="15"/>
  <c r="H483" i="15"/>
  <c r="H145" i="15"/>
  <c r="G145" i="15"/>
  <c r="I145" i="15"/>
  <c r="H280" i="11"/>
  <c r="G280" i="11"/>
  <c r="I280" i="11"/>
  <c r="J523" i="15"/>
  <c r="K523" i="15" s="1"/>
  <c r="K521" i="13" s="1"/>
  <c r="I523" i="15"/>
  <c r="H523" i="15"/>
  <c r="G523" i="15"/>
  <c r="H185" i="14"/>
  <c r="G185" i="14"/>
  <c r="I185" i="14"/>
  <c r="I470" i="1"/>
  <c r="J527" i="1"/>
  <c r="G219" i="1"/>
  <c r="H859" i="1"/>
  <c r="G788" i="1"/>
  <c r="H791" i="1"/>
  <c r="H425" i="1"/>
  <c r="I588" i="1"/>
  <c r="G199" i="1"/>
  <c r="M753" i="1"/>
  <c r="P753" i="1" s="1"/>
  <c r="H570" i="1"/>
  <c r="I783" i="1"/>
  <c r="H563" i="1"/>
  <c r="J479" i="1"/>
  <c r="J790" i="1"/>
  <c r="H710" i="1"/>
  <c r="I466" i="1"/>
  <c r="I132" i="1"/>
  <c r="G444" i="1"/>
  <c r="K444" i="1" s="1"/>
  <c r="K621" i="1"/>
  <c r="M621" i="1" s="1"/>
  <c r="O621" i="1" s="1"/>
  <c r="G450" i="1"/>
  <c r="K450" i="1" s="1"/>
  <c r="J291" i="1"/>
  <c r="G301" i="1"/>
  <c r="H426" i="1"/>
  <c r="G395" i="1"/>
  <c r="I734" i="1"/>
  <c r="J789" i="1"/>
  <c r="M789" i="1" s="1"/>
  <c r="J214" i="1"/>
  <c r="I45" i="1"/>
  <c r="G778" i="1"/>
  <c r="K538" i="1"/>
  <c r="J84" i="1"/>
  <c r="J67" i="1"/>
  <c r="J519" i="1"/>
  <c r="H317" i="1"/>
  <c r="H589" i="1"/>
  <c r="I39" i="1"/>
  <c r="K618" i="1"/>
  <c r="M618" i="1" s="1"/>
  <c r="Q618" i="1" s="1"/>
  <c r="F616" i="13" s="1"/>
  <c r="G133" i="1"/>
  <c r="H844" i="11"/>
  <c r="I844" i="11"/>
  <c r="G844" i="11"/>
  <c r="J844" i="11"/>
  <c r="K844" i="11" s="1"/>
  <c r="I842" i="13" s="1"/>
  <c r="K789" i="8"/>
  <c r="L789" i="8" s="1"/>
  <c r="G787" i="13" s="1"/>
  <c r="I789" i="8"/>
  <c r="J789" i="8"/>
  <c r="H789" i="8"/>
  <c r="K756" i="8"/>
  <c r="L756" i="8" s="1"/>
  <c r="G754" i="13" s="1"/>
  <c r="J756" i="8"/>
  <c r="I756" i="8"/>
  <c r="H756" i="8"/>
  <c r="J710" i="14"/>
  <c r="K710" i="14" s="1"/>
  <c r="J708" i="13" s="1"/>
  <c r="H710" i="14"/>
  <c r="I710" i="14"/>
  <c r="G710" i="14"/>
  <c r="M669" i="1"/>
  <c r="N669" i="1" s="1"/>
  <c r="K588" i="1"/>
  <c r="I118" i="1"/>
  <c r="H27" i="1"/>
  <c r="J710" i="1"/>
  <c r="H802" i="1"/>
  <c r="K652" i="1"/>
  <c r="J466" i="1"/>
  <c r="J132" i="1"/>
  <c r="H301" i="1"/>
  <c r="J720" i="1"/>
  <c r="M720" i="1" s="1"/>
  <c r="P720" i="1" s="1"/>
  <c r="H395" i="1"/>
  <c r="H141" i="1"/>
  <c r="J797" i="1"/>
  <c r="H741" i="1"/>
  <c r="J468" i="1"/>
  <c r="J73" i="1"/>
  <c r="K734" i="1"/>
  <c r="I101" i="1"/>
  <c r="G545" i="1"/>
  <c r="G347" i="1"/>
  <c r="J45" i="1"/>
  <c r="H778" i="1"/>
  <c r="H19" i="1"/>
  <c r="J538" i="1"/>
  <c r="H524" i="1"/>
  <c r="I317" i="1"/>
  <c r="H32" i="1"/>
  <c r="J506" i="1"/>
  <c r="K506" i="1" s="1"/>
  <c r="K589" i="1"/>
  <c r="M589" i="1" s="1"/>
  <c r="O589" i="1" s="1"/>
  <c r="J39" i="1"/>
  <c r="G32" i="1"/>
  <c r="H629" i="1"/>
  <c r="G367" i="1"/>
  <c r="H133" i="1"/>
  <c r="H852" i="8"/>
  <c r="J852" i="8"/>
  <c r="K852" i="8"/>
  <c r="L852" i="8" s="1"/>
  <c r="G850" i="13" s="1"/>
  <c r="I852" i="8"/>
  <c r="J844" i="15"/>
  <c r="K844" i="15" s="1"/>
  <c r="K842" i="13" s="1"/>
  <c r="I844" i="15"/>
  <c r="H844" i="15"/>
  <c r="G844" i="15"/>
  <c r="J789" i="9"/>
  <c r="K789" i="9" s="1"/>
  <c r="H787" i="13" s="1"/>
  <c r="I789" i="9"/>
  <c r="H789" i="9"/>
  <c r="G789" i="9"/>
  <c r="H756" i="11"/>
  <c r="I756" i="11"/>
  <c r="J756" i="11"/>
  <c r="K756" i="11" s="1"/>
  <c r="I754" i="13" s="1"/>
  <c r="G756" i="11"/>
  <c r="J731" i="9"/>
  <c r="K731" i="9" s="1"/>
  <c r="H729" i="13" s="1"/>
  <c r="I731" i="9"/>
  <c r="H731" i="9"/>
  <c r="G731" i="9"/>
  <c r="J710" i="15"/>
  <c r="K710" i="15" s="1"/>
  <c r="K708" i="13" s="1"/>
  <c r="I710" i="15"/>
  <c r="H710" i="15"/>
  <c r="G710" i="15"/>
  <c r="J584" i="14"/>
  <c r="K584" i="14" s="1"/>
  <c r="J582" i="13" s="1"/>
  <c r="I584" i="14"/>
  <c r="G584" i="14"/>
  <c r="H584" i="14"/>
  <c r="J538" i="14"/>
  <c r="K538" i="14" s="1"/>
  <c r="J536" i="13" s="1"/>
  <c r="G538" i="14"/>
  <c r="H538" i="14"/>
  <c r="I538" i="14"/>
  <c r="I500" i="11"/>
  <c r="H500" i="11"/>
  <c r="G500" i="11"/>
  <c r="I457" i="15"/>
  <c r="H457" i="15"/>
  <c r="G457" i="15"/>
  <c r="J403" i="1"/>
  <c r="I403" i="1"/>
  <c r="H403" i="1"/>
  <c r="G391" i="14"/>
  <c r="I391" i="14"/>
  <c r="H391" i="14"/>
  <c r="H637" i="8"/>
  <c r="J637" i="8"/>
  <c r="I637" i="8"/>
  <c r="K637" i="8"/>
  <c r="L637" i="8" s="1"/>
  <c r="G635" i="13" s="1"/>
  <c r="I92" i="14"/>
  <c r="H92" i="14"/>
  <c r="G92" i="14"/>
  <c r="G30" i="11"/>
  <c r="I30" i="11"/>
  <c r="H30" i="11"/>
  <c r="I176" i="14"/>
  <c r="H176" i="14"/>
  <c r="G176" i="14"/>
  <c r="I661" i="8"/>
  <c r="H661" i="8"/>
  <c r="J661" i="8"/>
  <c r="K661" i="8"/>
  <c r="L661" i="8" s="1"/>
  <c r="G659" i="13" s="1"/>
  <c r="G214" i="15"/>
  <c r="H214" i="15"/>
  <c r="I214" i="15"/>
  <c r="I492" i="11"/>
  <c r="H492" i="11"/>
  <c r="G492" i="11"/>
  <c r="J629" i="11"/>
  <c r="K629" i="11" s="1"/>
  <c r="I627" i="13" s="1"/>
  <c r="I629" i="11"/>
  <c r="H629" i="11"/>
  <c r="G629" i="11"/>
  <c r="I335" i="11"/>
  <c r="H335" i="11"/>
  <c r="G335" i="11"/>
  <c r="G52" i="15"/>
  <c r="I52" i="15"/>
  <c r="H52" i="15"/>
  <c r="J853" i="15"/>
  <c r="K853" i="15" s="1"/>
  <c r="K851" i="13" s="1"/>
  <c r="I853" i="15"/>
  <c r="H853" i="15"/>
  <c r="G853" i="15"/>
  <c r="G828" i="15"/>
  <c r="J828" i="15"/>
  <c r="K828" i="15" s="1"/>
  <c r="K826" i="13" s="1"/>
  <c r="H828" i="15"/>
  <c r="I828" i="15"/>
  <c r="I170" i="14"/>
  <c r="H170" i="14"/>
  <c r="G170" i="14"/>
  <c r="G148" i="1"/>
  <c r="J148" i="1"/>
  <c r="I148" i="1"/>
  <c r="H148" i="1"/>
  <c r="J815" i="9"/>
  <c r="K815" i="9" s="1"/>
  <c r="H813" i="13" s="1"/>
  <c r="I815" i="9"/>
  <c r="H815" i="9"/>
  <c r="G815" i="9"/>
  <c r="K733" i="8"/>
  <c r="L733" i="8" s="1"/>
  <c r="G731" i="13" s="1"/>
  <c r="J733" i="8"/>
  <c r="I733" i="8"/>
  <c r="H733" i="8"/>
  <c r="G543" i="14"/>
  <c r="I543" i="14"/>
  <c r="H543" i="14"/>
  <c r="J543" i="14"/>
  <c r="K543" i="14" s="1"/>
  <c r="J541" i="13" s="1"/>
  <c r="I389" i="11"/>
  <c r="H389" i="11"/>
  <c r="G389" i="11"/>
  <c r="I132" i="14"/>
  <c r="H132" i="14"/>
  <c r="G132" i="14"/>
  <c r="J579" i="9"/>
  <c r="K579" i="9" s="1"/>
  <c r="H577" i="13" s="1"/>
  <c r="H579" i="9"/>
  <c r="G579" i="9"/>
  <c r="I579" i="9"/>
  <c r="J674" i="9"/>
  <c r="K674" i="9" s="1"/>
  <c r="H672" i="13" s="1"/>
  <c r="I674" i="9"/>
  <c r="H674" i="9"/>
  <c r="G674" i="9"/>
  <c r="I464" i="11"/>
  <c r="H464" i="11"/>
  <c r="G464" i="11"/>
  <c r="G833" i="14"/>
  <c r="J833" i="14"/>
  <c r="K833" i="14" s="1"/>
  <c r="J831" i="13" s="1"/>
  <c r="I833" i="14"/>
  <c r="H833" i="14"/>
  <c r="K644" i="8"/>
  <c r="L644" i="8" s="1"/>
  <c r="G642" i="13" s="1"/>
  <c r="I644" i="8"/>
  <c r="H644" i="8"/>
  <c r="J644" i="8"/>
  <c r="H261" i="15"/>
  <c r="I261" i="15"/>
  <c r="G261" i="15"/>
  <c r="I287" i="11"/>
  <c r="G287" i="11"/>
  <c r="H287" i="11"/>
  <c r="G639" i="11"/>
  <c r="H639" i="11"/>
  <c r="J639" i="11"/>
  <c r="K639" i="11" s="1"/>
  <c r="I637" i="13" s="1"/>
  <c r="I639" i="11"/>
  <c r="J805" i="15"/>
  <c r="K805" i="15" s="1"/>
  <c r="K803" i="13" s="1"/>
  <c r="I805" i="15"/>
  <c r="H805" i="15"/>
  <c r="G805" i="15"/>
  <c r="H802" i="15"/>
  <c r="G802" i="15"/>
  <c r="J802" i="15"/>
  <c r="K802" i="15" s="1"/>
  <c r="K800" i="13" s="1"/>
  <c r="I802" i="15"/>
  <c r="H823" i="14"/>
  <c r="G823" i="14"/>
  <c r="J823" i="14"/>
  <c r="K823" i="14" s="1"/>
  <c r="J821" i="13" s="1"/>
  <c r="I823" i="14"/>
  <c r="K613" i="8"/>
  <c r="L613" i="8" s="1"/>
  <c r="G611" i="13" s="1"/>
  <c r="J613" i="8"/>
  <c r="I613" i="8"/>
  <c r="H613" i="8"/>
  <c r="H736" i="14"/>
  <c r="G736" i="14"/>
  <c r="J736" i="14"/>
  <c r="K736" i="14" s="1"/>
  <c r="J734" i="13" s="1"/>
  <c r="I736" i="14"/>
  <c r="G411" i="11"/>
  <c r="I411" i="11"/>
  <c r="H411" i="11"/>
  <c r="I440" i="1"/>
  <c r="J773" i="9"/>
  <c r="K773" i="9" s="1"/>
  <c r="H771" i="13" s="1"/>
  <c r="I773" i="9"/>
  <c r="G773" i="9"/>
  <c r="H773" i="9"/>
  <c r="G637" i="14"/>
  <c r="J637" i="14"/>
  <c r="K637" i="14" s="1"/>
  <c r="J635" i="13" s="1"/>
  <c r="H637" i="14"/>
  <c r="I637" i="14"/>
  <c r="I170" i="15"/>
  <c r="H170" i="15"/>
  <c r="G170" i="15"/>
  <c r="J815" i="11"/>
  <c r="K815" i="11" s="1"/>
  <c r="I813" i="13" s="1"/>
  <c r="I815" i="11"/>
  <c r="H815" i="11"/>
  <c r="G815" i="11"/>
  <c r="J564" i="14"/>
  <c r="K564" i="14" s="1"/>
  <c r="J562" i="13" s="1"/>
  <c r="I564" i="14"/>
  <c r="H564" i="14"/>
  <c r="G564" i="14"/>
  <c r="H423" i="14"/>
  <c r="G423" i="14"/>
  <c r="I423" i="14"/>
  <c r="H124" i="14"/>
  <c r="I124" i="14"/>
  <c r="G124" i="14"/>
  <c r="G132" i="15"/>
  <c r="I132" i="15"/>
  <c r="H132" i="15"/>
  <c r="J831" i="11"/>
  <c r="K831" i="11" s="1"/>
  <c r="I829" i="13" s="1"/>
  <c r="I831" i="11"/>
  <c r="H831" i="11"/>
  <c r="G831" i="11"/>
  <c r="G657" i="9"/>
  <c r="I657" i="9"/>
  <c r="H657" i="9"/>
  <c r="J657" i="9"/>
  <c r="K657" i="9" s="1"/>
  <c r="H655" i="13" s="1"/>
  <c r="H621" i="9"/>
  <c r="J621" i="9"/>
  <c r="K621" i="9" s="1"/>
  <c r="H619" i="13" s="1"/>
  <c r="I621" i="9"/>
  <c r="G621" i="9"/>
  <c r="G720" i="14"/>
  <c r="J720" i="14"/>
  <c r="K720" i="14" s="1"/>
  <c r="J718" i="13" s="1"/>
  <c r="I720" i="14"/>
  <c r="H720" i="14"/>
  <c r="I398" i="15"/>
  <c r="H398" i="15"/>
  <c r="G398" i="15"/>
  <c r="I287" i="14"/>
  <c r="H287" i="14"/>
  <c r="G287" i="14"/>
  <c r="G639" i="15"/>
  <c r="J639" i="15"/>
  <c r="K639" i="15" s="1"/>
  <c r="K637" i="13" s="1"/>
  <c r="I639" i="15"/>
  <c r="H639" i="15"/>
  <c r="H642" i="14"/>
  <c r="G642" i="14"/>
  <c r="J642" i="14"/>
  <c r="K642" i="14" s="1"/>
  <c r="J640" i="13" s="1"/>
  <c r="I642" i="14"/>
  <c r="I482" i="15"/>
  <c r="H482" i="15"/>
  <c r="G482" i="15"/>
  <c r="G814" i="15"/>
  <c r="J814" i="15"/>
  <c r="K814" i="15" s="1"/>
  <c r="K812" i="13" s="1"/>
  <c r="I814" i="15"/>
  <c r="H814" i="15"/>
  <c r="G727" i="9"/>
  <c r="J727" i="9"/>
  <c r="K727" i="9" s="1"/>
  <c r="H725" i="13" s="1"/>
  <c r="I727" i="9"/>
  <c r="H727" i="9"/>
  <c r="H493" i="15"/>
  <c r="G493" i="15"/>
  <c r="I493" i="15"/>
  <c r="G445" i="15"/>
  <c r="I445" i="15"/>
  <c r="H445" i="15"/>
  <c r="G271" i="14"/>
  <c r="H271" i="14"/>
  <c r="I271" i="14"/>
  <c r="I350" i="15"/>
  <c r="H350" i="15"/>
  <c r="G350" i="15"/>
  <c r="H171" i="11"/>
  <c r="G171" i="11"/>
  <c r="I171" i="11"/>
  <c r="I18" i="1"/>
  <c r="J847" i="8"/>
  <c r="I847" i="8"/>
  <c r="H847" i="8"/>
  <c r="K847" i="8"/>
  <c r="L847" i="8" s="1"/>
  <c r="G845" i="13" s="1"/>
  <c r="J798" i="9"/>
  <c r="K798" i="9" s="1"/>
  <c r="H796" i="13" s="1"/>
  <c r="I798" i="9"/>
  <c r="H798" i="9"/>
  <c r="G798" i="9"/>
  <c r="J637" i="15"/>
  <c r="K637" i="15" s="1"/>
  <c r="K635" i="13" s="1"/>
  <c r="I637" i="15"/>
  <c r="H637" i="15"/>
  <c r="G637" i="15"/>
  <c r="I444" i="11"/>
  <c r="G444" i="11"/>
  <c r="H444" i="11"/>
  <c r="K825" i="8"/>
  <c r="L825" i="8" s="1"/>
  <c r="G823" i="13" s="1"/>
  <c r="J825" i="8"/>
  <c r="H825" i="8"/>
  <c r="I825" i="8"/>
  <c r="G723" i="1"/>
  <c r="H723" i="1"/>
  <c r="K723" i="1"/>
  <c r="J723" i="1"/>
  <c r="I723" i="1"/>
  <c r="H655" i="8"/>
  <c r="K655" i="8"/>
  <c r="L655" i="8" s="1"/>
  <c r="G653" i="13" s="1"/>
  <c r="J655" i="8"/>
  <c r="I655" i="8"/>
  <c r="G263" i="15"/>
  <c r="I263" i="15"/>
  <c r="H263" i="15"/>
  <c r="J686" i="8"/>
  <c r="H686" i="8"/>
  <c r="K686" i="8"/>
  <c r="L686" i="8" s="1"/>
  <c r="G684" i="13" s="1"/>
  <c r="I686" i="8"/>
  <c r="G60" i="14"/>
  <c r="I60" i="14"/>
  <c r="H60" i="14"/>
  <c r="H831" i="14"/>
  <c r="G831" i="14"/>
  <c r="J831" i="14"/>
  <c r="K831" i="14" s="1"/>
  <c r="J829" i="13" s="1"/>
  <c r="I831" i="14"/>
  <c r="I295" i="15"/>
  <c r="H295" i="15"/>
  <c r="G295" i="15"/>
  <c r="H800" i="15"/>
  <c r="G800" i="15"/>
  <c r="J800" i="15"/>
  <c r="K800" i="15" s="1"/>
  <c r="K798" i="13" s="1"/>
  <c r="I800" i="15"/>
  <c r="H614" i="8"/>
  <c r="J614" i="8"/>
  <c r="I614" i="8"/>
  <c r="K614" i="8"/>
  <c r="L614" i="8" s="1"/>
  <c r="G612" i="13" s="1"/>
  <c r="H838" i="14"/>
  <c r="J838" i="14"/>
  <c r="K838" i="14" s="1"/>
  <c r="J836" i="13" s="1"/>
  <c r="I838" i="14"/>
  <c r="G838" i="14"/>
  <c r="J739" i="11"/>
  <c r="K739" i="11" s="1"/>
  <c r="I737" i="13" s="1"/>
  <c r="I739" i="11"/>
  <c r="H739" i="11"/>
  <c r="G739" i="11"/>
  <c r="H673" i="14"/>
  <c r="I673" i="14"/>
  <c r="G673" i="14"/>
  <c r="J673" i="14"/>
  <c r="K673" i="14" s="1"/>
  <c r="J671" i="13" s="1"/>
  <c r="G841" i="1"/>
  <c r="K534" i="1"/>
  <c r="M534" i="1" s="1"/>
  <c r="J847" i="11"/>
  <c r="K847" i="11" s="1"/>
  <c r="I845" i="13" s="1"/>
  <c r="H847" i="11"/>
  <c r="G847" i="11"/>
  <c r="I847" i="11"/>
  <c r="I218" i="11"/>
  <c r="H218" i="11"/>
  <c r="G218" i="11"/>
  <c r="G512" i="11"/>
  <c r="H512" i="11"/>
  <c r="I512" i="11"/>
  <c r="I604" i="14"/>
  <c r="H604" i="14"/>
  <c r="G604" i="14"/>
  <c r="J604" i="14"/>
  <c r="K604" i="14" s="1"/>
  <c r="J602" i="13" s="1"/>
  <c r="J574" i="15"/>
  <c r="K574" i="15" s="1"/>
  <c r="K572" i="13" s="1"/>
  <c r="G574" i="15"/>
  <c r="I574" i="15"/>
  <c r="H574" i="15"/>
  <c r="H98" i="14"/>
  <c r="I98" i="14"/>
  <c r="G98" i="14"/>
  <c r="J526" i="8"/>
  <c r="K526" i="8"/>
  <c r="L526" i="8" s="1"/>
  <c r="G524" i="13" s="1"/>
  <c r="I526" i="8"/>
  <c r="H526" i="8"/>
  <c r="H617" i="8"/>
  <c r="K617" i="8"/>
  <c r="L617" i="8" s="1"/>
  <c r="G615" i="13" s="1"/>
  <c r="J617" i="8"/>
  <c r="I617" i="8"/>
  <c r="G418" i="11"/>
  <c r="I418" i="11"/>
  <c r="H418" i="11"/>
  <c r="H78" i="15"/>
  <c r="G78" i="15"/>
  <c r="I78" i="15"/>
  <c r="G663" i="15"/>
  <c r="J663" i="15"/>
  <c r="K663" i="15" s="1"/>
  <c r="K661" i="13" s="1"/>
  <c r="H663" i="15"/>
  <c r="I663" i="15"/>
  <c r="I580" i="11"/>
  <c r="H580" i="11"/>
  <c r="G580" i="11"/>
  <c r="J580" i="11"/>
  <c r="K580" i="11" s="1"/>
  <c r="I578" i="13" s="1"/>
  <c r="I501" i="14"/>
  <c r="G501" i="14"/>
  <c r="H501" i="14"/>
  <c r="M688" i="1"/>
  <c r="Q688" i="1" s="1"/>
  <c r="F686" i="13" s="1"/>
  <c r="J147" i="1"/>
  <c r="H839" i="8"/>
  <c r="K839" i="8"/>
  <c r="L839" i="8" s="1"/>
  <c r="G837" i="13" s="1"/>
  <c r="J839" i="8"/>
  <c r="I839" i="8"/>
  <c r="H741" i="9"/>
  <c r="G741" i="9"/>
  <c r="J741" i="9"/>
  <c r="K741" i="9" s="1"/>
  <c r="H739" i="13" s="1"/>
  <c r="I741" i="9"/>
  <c r="H825" i="11"/>
  <c r="G825" i="11"/>
  <c r="J825" i="11"/>
  <c r="K825" i="11" s="1"/>
  <c r="I823" i="13" s="1"/>
  <c r="I825" i="11"/>
  <c r="K738" i="8"/>
  <c r="L738" i="8" s="1"/>
  <c r="G736" i="13" s="1"/>
  <c r="J738" i="8"/>
  <c r="I738" i="8"/>
  <c r="H738" i="8"/>
  <c r="J655" i="11"/>
  <c r="K655" i="11" s="1"/>
  <c r="I653" i="13" s="1"/>
  <c r="I655" i="11"/>
  <c r="H655" i="11"/>
  <c r="G655" i="11"/>
  <c r="J686" i="14"/>
  <c r="K686" i="14" s="1"/>
  <c r="J684" i="13" s="1"/>
  <c r="G686" i="14"/>
  <c r="I686" i="14"/>
  <c r="H686" i="14"/>
  <c r="K554" i="1"/>
  <c r="J554" i="1"/>
  <c r="I554" i="1"/>
  <c r="H554" i="1"/>
  <c r="G554" i="1"/>
  <c r="J657" i="15"/>
  <c r="K657" i="15" s="1"/>
  <c r="K655" i="13" s="1"/>
  <c r="H657" i="15"/>
  <c r="I657" i="15"/>
  <c r="G657" i="15"/>
  <c r="H602" i="14"/>
  <c r="J602" i="14"/>
  <c r="K602" i="14" s="1"/>
  <c r="J600" i="13" s="1"/>
  <c r="I602" i="14"/>
  <c r="G602" i="14"/>
  <c r="G437" i="15"/>
  <c r="H437" i="15"/>
  <c r="I437" i="15"/>
  <c r="G54" i="1"/>
  <c r="J54" i="1"/>
  <c r="H529" i="8"/>
  <c r="I529" i="8"/>
  <c r="K529" i="8"/>
  <c r="L529" i="8" s="1"/>
  <c r="G527" i="13" s="1"/>
  <c r="J529" i="8"/>
  <c r="H641" i="14"/>
  <c r="J641" i="14"/>
  <c r="K641" i="14" s="1"/>
  <c r="J639" i="13" s="1"/>
  <c r="I641" i="14"/>
  <c r="G641" i="14"/>
  <c r="J830" i="9"/>
  <c r="K830" i="9" s="1"/>
  <c r="H828" i="13" s="1"/>
  <c r="G830" i="9"/>
  <c r="I830" i="9"/>
  <c r="H830" i="9"/>
  <c r="I749" i="11"/>
  <c r="H749" i="11"/>
  <c r="G749" i="11"/>
  <c r="J749" i="11"/>
  <c r="K749" i="11" s="1"/>
  <c r="I747" i="13" s="1"/>
  <c r="J841" i="1"/>
  <c r="I527" i="1"/>
  <c r="K624" i="1"/>
  <c r="M624" i="1" s="1"/>
  <c r="Q624" i="1" s="1"/>
  <c r="F622" i="13" s="1"/>
  <c r="G41" i="11"/>
  <c r="I41" i="11"/>
  <c r="H41" i="11"/>
  <c r="J803" i="11"/>
  <c r="K803" i="11" s="1"/>
  <c r="I801" i="13" s="1"/>
  <c r="I803" i="11"/>
  <c r="H803" i="11"/>
  <c r="G803" i="11"/>
  <c r="J664" i="9"/>
  <c r="K664" i="9" s="1"/>
  <c r="H662" i="13" s="1"/>
  <c r="H664" i="9"/>
  <c r="I664" i="9"/>
  <c r="G664" i="9"/>
  <c r="G512" i="15"/>
  <c r="H512" i="15"/>
  <c r="I512" i="15"/>
  <c r="G243" i="1"/>
  <c r="H243" i="1"/>
  <c r="J243" i="1"/>
  <c r="I243" i="1"/>
  <c r="H161" i="15"/>
  <c r="G161" i="15"/>
  <c r="I161" i="15"/>
  <c r="G604" i="15"/>
  <c r="I604" i="15"/>
  <c r="H604" i="15"/>
  <c r="J604" i="15"/>
  <c r="K604" i="15" s="1"/>
  <c r="K602" i="13" s="1"/>
  <c r="G831" i="1"/>
  <c r="K831" i="1"/>
  <c r="J831" i="1"/>
  <c r="I831" i="1"/>
  <c r="H831" i="1"/>
  <c r="I247" i="14"/>
  <c r="H247" i="14"/>
  <c r="G247" i="14"/>
  <c r="G47" i="14"/>
  <c r="I47" i="14"/>
  <c r="H47" i="14"/>
  <c r="J606" i="11"/>
  <c r="K606" i="11" s="1"/>
  <c r="I604" i="13" s="1"/>
  <c r="I606" i="11"/>
  <c r="H606" i="11"/>
  <c r="G606" i="11"/>
  <c r="H491" i="11"/>
  <c r="G491" i="11"/>
  <c r="I491" i="11"/>
  <c r="G104" i="11"/>
  <c r="I104" i="11"/>
  <c r="H104" i="11"/>
  <c r="J701" i="9"/>
  <c r="K701" i="9" s="1"/>
  <c r="H699" i="13" s="1"/>
  <c r="I701" i="9"/>
  <c r="H701" i="9"/>
  <c r="G701" i="9"/>
  <c r="G779" i="1"/>
  <c r="G616" i="1"/>
  <c r="H54" i="1"/>
  <c r="K807" i="1"/>
  <c r="M807" i="1" s="1"/>
  <c r="N807" i="1" s="1"/>
  <c r="J563" i="1"/>
  <c r="I711" i="1"/>
  <c r="M526" i="1"/>
  <c r="O526" i="1" s="1"/>
  <c r="H237" i="1"/>
  <c r="J118" i="1"/>
  <c r="G277" i="1"/>
  <c r="G710" i="1"/>
  <c r="K802" i="1"/>
  <c r="I301" i="1"/>
  <c r="J395" i="1"/>
  <c r="I720" i="1"/>
  <c r="K797" i="1"/>
  <c r="H468" i="1"/>
  <c r="J734" i="1"/>
  <c r="J101" i="1"/>
  <c r="K766" i="1"/>
  <c r="M766" i="1" s="1"/>
  <c r="I545" i="1"/>
  <c r="G214" i="1"/>
  <c r="I778" i="1"/>
  <c r="I417" i="1"/>
  <c r="I19" i="1"/>
  <c r="M743" i="1"/>
  <c r="G67" i="1"/>
  <c r="G573" i="1"/>
  <c r="I589" i="1"/>
  <c r="I629" i="1"/>
  <c r="G166" i="1"/>
  <c r="I367" i="1"/>
  <c r="G530" i="1"/>
  <c r="H852" i="9"/>
  <c r="G852" i="9"/>
  <c r="J852" i="9"/>
  <c r="K852" i="9" s="1"/>
  <c r="H850" i="13" s="1"/>
  <c r="I852" i="9"/>
  <c r="G789" i="11"/>
  <c r="J789" i="11"/>
  <c r="K789" i="11" s="1"/>
  <c r="I787" i="13" s="1"/>
  <c r="I789" i="11"/>
  <c r="H789" i="11"/>
  <c r="J756" i="9"/>
  <c r="K756" i="9" s="1"/>
  <c r="H754" i="13" s="1"/>
  <c r="I756" i="9"/>
  <c r="H756" i="9"/>
  <c r="G756" i="9"/>
  <c r="I731" i="8"/>
  <c r="H731" i="8"/>
  <c r="J731" i="8"/>
  <c r="K731" i="8"/>
  <c r="L731" i="8" s="1"/>
  <c r="G729" i="13" s="1"/>
  <c r="K650" i="8"/>
  <c r="L650" i="8" s="1"/>
  <c r="G648" i="13" s="1"/>
  <c r="I650" i="8"/>
  <c r="H650" i="8"/>
  <c r="J650" i="8"/>
  <c r="G584" i="11"/>
  <c r="I584" i="11"/>
  <c r="J584" i="11"/>
  <c r="K584" i="11" s="1"/>
  <c r="I582" i="13" s="1"/>
  <c r="H584" i="11"/>
  <c r="H538" i="15"/>
  <c r="J538" i="15"/>
  <c r="K538" i="15" s="1"/>
  <c r="K536" i="13" s="1"/>
  <c r="I538" i="15"/>
  <c r="G538" i="15"/>
  <c r="H500" i="14"/>
  <c r="G500" i="14"/>
  <c r="I500" i="14"/>
  <c r="I391" i="15"/>
  <c r="H391" i="15"/>
  <c r="G391" i="15"/>
  <c r="I383" i="11"/>
  <c r="H383" i="11"/>
  <c r="G383" i="11"/>
  <c r="G49" i="1"/>
  <c r="J49" i="1"/>
  <c r="I49" i="1"/>
  <c r="H49" i="1"/>
  <c r="I148" i="11"/>
  <c r="G148" i="11"/>
  <c r="H148" i="11"/>
  <c r="I35" i="15"/>
  <c r="H35" i="15"/>
  <c r="G35" i="15"/>
  <c r="H631" i="11"/>
  <c r="G631" i="11"/>
  <c r="I631" i="11"/>
  <c r="J631" i="11"/>
  <c r="K631" i="11" s="1"/>
  <c r="I629" i="13" s="1"/>
  <c r="G83" i="14"/>
  <c r="I83" i="14"/>
  <c r="H83" i="14"/>
  <c r="I331" i="15"/>
  <c r="H331" i="15"/>
  <c r="G331" i="15"/>
  <c r="I127" i="14"/>
  <c r="H127" i="14"/>
  <c r="G127" i="14"/>
  <c r="H651" i="8"/>
  <c r="K651" i="8"/>
  <c r="L651" i="8" s="1"/>
  <c r="G649" i="13" s="1"/>
  <c r="J651" i="8"/>
  <c r="I651" i="8"/>
  <c r="I570" i="14"/>
  <c r="H570" i="14"/>
  <c r="J570" i="14"/>
  <c r="K570" i="14" s="1"/>
  <c r="J568" i="13" s="1"/>
  <c r="G570" i="14"/>
  <c r="J818" i="15"/>
  <c r="K818" i="15" s="1"/>
  <c r="K816" i="13" s="1"/>
  <c r="I818" i="15"/>
  <c r="H818" i="15"/>
  <c r="G818" i="15"/>
  <c r="H708" i="11"/>
  <c r="G708" i="11"/>
  <c r="J708" i="11"/>
  <c r="K708" i="11" s="1"/>
  <c r="I706" i="13" s="1"/>
  <c r="I708" i="11"/>
  <c r="J609" i="9"/>
  <c r="K609" i="9" s="1"/>
  <c r="H607" i="13" s="1"/>
  <c r="I609" i="9"/>
  <c r="H609" i="9"/>
  <c r="G609" i="9"/>
  <c r="J543" i="8"/>
  <c r="I543" i="8"/>
  <c r="K543" i="8"/>
  <c r="L543" i="8" s="1"/>
  <c r="G541" i="13" s="1"/>
  <c r="H543" i="8"/>
  <c r="I502" i="11"/>
  <c r="H502" i="11"/>
  <c r="G502" i="11"/>
  <c r="I478" i="15"/>
  <c r="H478" i="15"/>
  <c r="G478" i="15"/>
  <c r="G448" i="1"/>
  <c r="H448" i="1"/>
  <c r="J448" i="1"/>
  <c r="I448" i="1"/>
  <c r="J430" i="1"/>
  <c r="I344" i="11"/>
  <c r="G344" i="11"/>
  <c r="H344" i="11"/>
  <c r="H325" i="15"/>
  <c r="G325" i="15"/>
  <c r="I325" i="15"/>
  <c r="G291" i="14"/>
  <c r="I291" i="14"/>
  <c r="H291" i="14"/>
  <c r="H225" i="14"/>
  <c r="I225" i="14"/>
  <c r="G225" i="14"/>
  <c r="I136" i="15"/>
  <c r="H136" i="15"/>
  <c r="G136" i="15"/>
  <c r="G84" i="14"/>
  <c r="I84" i="14"/>
  <c r="H84" i="14"/>
  <c r="I769" i="11"/>
  <c r="G769" i="11"/>
  <c r="J769" i="11"/>
  <c r="K769" i="11" s="1"/>
  <c r="I767" i="13" s="1"/>
  <c r="H769" i="11"/>
  <c r="H473" i="11"/>
  <c r="I473" i="11"/>
  <c r="G473" i="11"/>
  <c r="I763" i="11"/>
  <c r="G763" i="11"/>
  <c r="J763" i="11"/>
  <c r="K763" i="11" s="1"/>
  <c r="I761" i="13" s="1"/>
  <c r="H763" i="11"/>
  <c r="J729" i="15"/>
  <c r="K729" i="15" s="1"/>
  <c r="K727" i="13" s="1"/>
  <c r="I729" i="15"/>
  <c r="H729" i="15"/>
  <c r="G729" i="15"/>
  <c r="J556" i="14"/>
  <c r="K556" i="14" s="1"/>
  <c r="J554" i="13" s="1"/>
  <c r="I556" i="14"/>
  <c r="H556" i="14"/>
  <c r="G556" i="14"/>
  <c r="G790" i="11"/>
  <c r="J790" i="11"/>
  <c r="K790" i="11" s="1"/>
  <c r="I788" i="13" s="1"/>
  <c r="I790" i="11"/>
  <c r="H790" i="11"/>
  <c r="G219" i="15"/>
  <c r="I219" i="15"/>
  <c r="H219" i="15"/>
  <c r="H830" i="1"/>
  <c r="G830" i="1"/>
  <c r="K830" i="1"/>
  <c r="J830" i="1"/>
  <c r="I830" i="1"/>
  <c r="J786" i="11"/>
  <c r="K786" i="11" s="1"/>
  <c r="I784" i="13" s="1"/>
  <c r="I786" i="11"/>
  <c r="H786" i="11"/>
  <c r="G786" i="11"/>
  <c r="I778" i="14"/>
  <c r="H778" i="14"/>
  <c r="J778" i="14"/>
  <c r="K778" i="14" s="1"/>
  <c r="J776" i="13" s="1"/>
  <c r="G778" i="14"/>
  <c r="I661" i="11"/>
  <c r="H661" i="11"/>
  <c r="J661" i="11"/>
  <c r="K661" i="11" s="1"/>
  <c r="I659" i="13" s="1"/>
  <c r="G661" i="11"/>
  <c r="G624" i="14"/>
  <c r="J624" i="14"/>
  <c r="K624" i="14" s="1"/>
  <c r="J622" i="13" s="1"/>
  <c r="I624" i="14"/>
  <c r="H624" i="14"/>
  <c r="J581" i="15"/>
  <c r="K581" i="15" s="1"/>
  <c r="K579" i="13" s="1"/>
  <c r="I581" i="15"/>
  <c r="H581" i="15"/>
  <c r="G581" i="15"/>
  <c r="K560" i="8"/>
  <c r="L560" i="8" s="1"/>
  <c r="G558" i="13" s="1"/>
  <c r="H560" i="8"/>
  <c r="J560" i="8"/>
  <c r="I560" i="8"/>
  <c r="H401" i="14"/>
  <c r="G401" i="14"/>
  <c r="I401" i="14"/>
  <c r="I380" i="11"/>
  <c r="G380" i="11"/>
  <c r="H380" i="11"/>
  <c r="G268" i="11"/>
  <c r="I268" i="11"/>
  <c r="H268" i="11"/>
  <c r="H199" i="1"/>
  <c r="I199" i="1"/>
  <c r="J199" i="1"/>
  <c r="H588" i="15"/>
  <c r="J588" i="15"/>
  <c r="K588" i="15" s="1"/>
  <c r="K586" i="13" s="1"/>
  <c r="I588" i="15"/>
  <c r="G588" i="15"/>
  <c r="H470" i="14"/>
  <c r="G470" i="14"/>
  <c r="I470" i="14"/>
  <c r="G363" i="15"/>
  <c r="I363" i="15"/>
  <c r="H363" i="15"/>
  <c r="I214" i="11"/>
  <c r="G214" i="11"/>
  <c r="H214" i="11"/>
  <c r="H153" i="14"/>
  <c r="I153" i="14"/>
  <c r="G153" i="14"/>
  <c r="G182" i="11"/>
  <c r="I182" i="11"/>
  <c r="H182" i="11"/>
  <c r="J751" i="14"/>
  <c r="K751" i="14" s="1"/>
  <c r="J749" i="13" s="1"/>
  <c r="I751" i="14"/>
  <c r="H751" i="14"/>
  <c r="G751" i="14"/>
  <c r="J723" i="14"/>
  <c r="K723" i="14" s="1"/>
  <c r="J721" i="13" s="1"/>
  <c r="H723" i="14"/>
  <c r="I723" i="14"/>
  <c r="G723" i="14"/>
  <c r="K684" i="8"/>
  <c r="L684" i="8" s="1"/>
  <c r="G682" i="13" s="1"/>
  <c r="H684" i="8"/>
  <c r="J684" i="8"/>
  <c r="I684" i="8"/>
  <c r="G659" i="15"/>
  <c r="J659" i="15"/>
  <c r="K659" i="15" s="1"/>
  <c r="K657" i="13" s="1"/>
  <c r="I659" i="15"/>
  <c r="H659" i="15"/>
  <c r="H629" i="8"/>
  <c r="K629" i="8"/>
  <c r="L629" i="8" s="1"/>
  <c r="G627" i="13" s="1"/>
  <c r="J629" i="8"/>
  <c r="I629" i="8"/>
  <c r="H616" i="9"/>
  <c r="G616" i="9"/>
  <c r="J616" i="9"/>
  <c r="K616" i="9" s="1"/>
  <c r="H614" i="13" s="1"/>
  <c r="I616" i="9"/>
  <c r="H589" i="14"/>
  <c r="J589" i="14"/>
  <c r="K589" i="14" s="1"/>
  <c r="J587" i="13" s="1"/>
  <c r="G589" i="14"/>
  <c r="I589" i="14"/>
  <c r="J557" i="8"/>
  <c r="K557" i="8"/>
  <c r="L557" i="8" s="1"/>
  <c r="G555" i="13" s="1"/>
  <c r="I557" i="8"/>
  <c r="H557" i="8"/>
  <c r="J545" i="11"/>
  <c r="K545" i="11" s="1"/>
  <c r="I543" i="13" s="1"/>
  <c r="I545" i="11"/>
  <c r="H545" i="11"/>
  <c r="G545" i="11"/>
  <c r="G487" i="11"/>
  <c r="I487" i="11"/>
  <c r="H487" i="11"/>
  <c r="I471" i="14"/>
  <c r="H471" i="14"/>
  <c r="G471" i="14"/>
  <c r="I453" i="11"/>
  <c r="G453" i="11"/>
  <c r="H453" i="11"/>
  <c r="I440" i="15"/>
  <c r="H440" i="15"/>
  <c r="G440" i="15"/>
  <c r="G425" i="14"/>
  <c r="I425" i="14"/>
  <c r="H425" i="14"/>
  <c r="G395" i="11"/>
  <c r="I395" i="11"/>
  <c r="H395" i="11"/>
  <c r="H250" i="14"/>
  <c r="G250" i="14"/>
  <c r="I250" i="14"/>
  <c r="G150" i="14"/>
  <c r="I150" i="14"/>
  <c r="H150" i="14"/>
  <c r="I133" i="11"/>
  <c r="H133" i="11"/>
  <c r="G133" i="11"/>
  <c r="G426" i="11"/>
  <c r="I426" i="11"/>
  <c r="H426" i="11"/>
  <c r="G511" i="11"/>
  <c r="I511" i="11"/>
  <c r="H511" i="11"/>
  <c r="G355" i="15"/>
  <c r="I355" i="15"/>
  <c r="H355" i="15"/>
  <c r="G774" i="14"/>
  <c r="J774" i="14"/>
  <c r="K774" i="14" s="1"/>
  <c r="J772" i="13" s="1"/>
  <c r="I774" i="14"/>
  <c r="H774" i="14"/>
  <c r="J854" i="1"/>
  <c r="H854" i="1"/>
  <c r="J841" i="14"/>
  <c r="K841" i="14" s="1"/>
  <c r="J839" i="13" s="1"/>
  <c r="G841" i="14"/>
  <c r="H841" i="14"/>
  <c r="I841" i="14"/>
  <c r="J833" i="9"/>
  <c r="K833" i="9" s="1"/>
  <c r="H831" i="13" s="1"/>
  <c r="I833" i="9"/>
  <c r="H833" i="9"/>
  <c r="G833" i="9"/>
  <c r="H827" i="14"/>
  <c r="G827" i="14"/>
  <c r="I827" i="14"/>
  <c r="J827" i="14"/>
  <c r="K827" i="14" s="1"/>
  <c r="J825" i="13" s="1"/>
  <c r="K822" i="1"/>
  <c r="M822" i="1" s="1"/>
  <c r="H822" i="1"/>
  <c r="J553" i="8"/>
  <c r="I553" i="8"/>
  <c r="H553" i="8"/>
  <c r="K553" i="8"/>
  <c r="L553" i="8" s="1"/>
  <c r="G551" i="13" s="1"/>
  <c r="J530" i="9"/>
  <c r="K530" i="9" s="1"/>
  <c r="H528" i="13" s="1"/>
  <c r="I530" i="9"/>
  <c r="H530" i="9"/>
  <c r="G530" i="9"/>
  <c r="I466" i="15"/>
  <c r="H466" i="15"/>
  <c r="G466" i="15"/>
  <c r="G432" i="15"/>
  <c r="I432" i="15"/>
  <c r="H432" i="15"/>
  <c r="I317" i="15"/>
  <c r="H317" i="15"/>
  <c r="G317" i="15"/>
  <c r="H286" i="14"/>
  <c r="I286" i="14"/>
  <c r="G286" i="14"/>
  <c r="I114" i="15"/>
  <c r="H114" i="15"/>
  <c r="G114" i="15"/>
  <c r="I101" i="14"/>
  <c r="H101" i="14"/>
  <c r="G101" i="14"/>
  <c r="H81" i="15"/>
  <c r="I81" i="15"/>
  <c r="G81" i="15"/>
  <c r="H32" i="14"/>
  <c r="G32" i="14"/>
  <c r="I32" i="14"/>
  <c r="H843" i="14"/>
  <c r="J843" i="14"/>
  <c r="K843" i="14" s="1"/>
  <c r="J841" i="13" s="1"/>
  <c r="I843" i="14"/>
  <c r="G843" i="14"/>
  <c r="J782" i="15"/>
  <c r="K782" i="15" s="1"/>
  <c r="K780" i="13" s="1"/>
  <c r="I782" i="15"/>
  <c r="H782" i="15"/>
  <c r="G782" i="15"/>
  <c r="I447" i="14"/>
  <c r="H447" i="14"/>
  <c r="G447" i="14"/>
  <c r="J309" i="1"/>
  <c r="G140" i="14"/>
  <c r="H140" i="14"/>
  <c r="I140" i="14"/>
  <c r="G559" i="15"/>
  <c r="J559" i="15"/>
  <c r="K559" i="15" s="1"/>
  <c r="K557" i="13" s="1"/>
  <c r="I559" i="15"/>
  <c r="H559" i="15"/>
  <c r="I320" i="11"/>
  <c r="H320" i="11"/>
  <c r="G320" i="11"/>
  <c r="J639" i="9"/>
  <c r="K639" i="9" s="1"/>
  <c r="H637" i="13" s="1"/>
  <c r="I639" i="9"/>
  <c r="H639" i="9"/>
  <c r="G639" i="9"/>
  <c r="H539" i="11"/>
  <c r="G539" i="11"/>
  <c r="J539" i="11"/>
  <c r="K539" i="11" s="1"/>
  <c r="I537" i="13" s="1"/>
  <c r="I539" i="11"/>
  <c r="H226" i="1"/>
  <c r="I226" i="1"/>
  <c r="G137" i="15"/>
  <c r="I137" i="15"/>
  <c r="H137" i="15"/>
  <c r="J859" i="15"/>
  <c r="K859" i="15" s="1"/>
  <c r="K857" i="13" s="1"/>
  <c r="I859" i="15"/>
  <c r="H859" i="15"/>
  <c r="G859" i="15"/>
  <c r="I805" i="9"/>
  <c r="H805" i="9"/>
  <c r="G805" i="9"/>
  <c r="J805" i="9"/>
  <c r="K805" i="9" s="1"/>
  <c r="H803" i="13" s="1"/>
  <c r="J791" i="8"/>
  <c r="I791" i="8"/>
  <c r="K791" i="8"/>
  <c r="L791" i="8" s="1"/>
  <c r="G789" i="13" s="1"/>
  <c r="H791" i="8"/>
  <c r="I758" i="8"/>
  <c r="K758" i="8"/>
  <c r="L758" i="8" s="1"/>
  <c r="G756" i="13" s="1"/>
  <c r="J758" i="8"/>
  <c r="H758" i="8"/>
  <c r="I753" i="14"/>
  <c r="H753" i="14"/>
  <c r="G753" i="14"/>
  <c r="J753" i="14"/>
  <c r="K753" i="14" s="1"/>
  <c r="J751" i="13" s="1"/>
  <c r="J712" i="14"/>
  <c r="K712" i="14" s="1"/>
  <c r="J710" i="13" s="1"/>
  <c r="G712" i="14"/>
  <c r="H712" i="14"/>
  <c r="I712" i="14"/>
  <c r="I669" i="11"/>
  <c r="H669" i="11"/>
  <c r="G669" i="11"/>
  <c r="J669" i="11"/>
  <c r="K669" i="11" s="1"/>
  <c r="I667" i="13" s="1"/>
  <c r="K566" i="8"/>
  <c r="L566" i="8" s="1"/>
  <c r="G564" i="13" s="1"/>
  <c r="I566" i="8"/>
  <c r="J566" i="8"/>
  <c r="H566" i="8"/>
  <c r="J527" i="8"/>
  <c r="I527" i="8"/>
  <c r="K527" i="8"/>
  <c r="L527" i="8" s="1"/>
  <c r="G525" i="13" s="1"/>
  <c r="H527" i="8"/>
  <c r="H435" i="15"/>
  <c r="I435" i="15"/>
  <c r="G435" i="15"/>
  <c r="G364" i="11"/>
  <c r="I364" i="11"/>
  <c r="H364" i="11"/>
  <c r="J521" i="15"/>
  <c r="K521" i="15" s="1"/>
  <c r="K519" i="13" s="1"/>
  <c r="I521" i="15"/>
  <c r="H521" i="15"/>
  <c r="G521" i="15"/>
  <c r="H578" i="15"/>
  <c r="G578" i="15"/>
  <c r="J578" i="15"/>
  <c r="K578" i="15" s="1"/>
  <c r="K576" i="13" s="1"/>
  <c r="I578" i="15"/>
  <c r="I341" i="11"/>
  <c r="H341" i="11"/>
  <c r="G341" i="11"/>
  <c r="G853" i="9"/>
  <c r="H853" i="9"/>
  <c r="J853" i="9"/>
  <c r="K853" i="9" s="1"/>
  <c r="H851" i="13" s="1"/>
  <c r="I853" i="9"/>
  <c r="H503" i="1"/>
  <c r="J503" i="1"/>
  <c r="G503" i="1"/>
  <c r="I503" i="1"/>
  <c r="G814" i="11"/>
  <c r="J814" i="11"/>
  <c r="K814" i="11" s="1"/>
  <c r="I812" i="13" s="1"/>
  <c r="I814" i="11"/>
  <c r="H814" i="11"/>
  <c r="J802" i="9"/>
  <c r="K802" i="9" s="1"/>
  <c r="H800" i="13" s="1"/>
  <c r="H802" i="9"/>
  <c r="G802" i="9"/>
  <c r="I802" i="9"/>
  <c r="K780" i="1"/>
  <c r="H780" i="1"/>
  <c r="G780" i="1"/>
  <c r="J608" i="9"/>
  <c r="K608" i="9" s="1"/>
  <c r="H606" i="13" s="1"/>
  <c r="I608" i="9"/>
  <c r="H608" i="9"/>
  <c r="G608" i="9"/>
  <c r="J537" i="8"/>
  <c r="H537" i="8"/>
  <c r="K537" i="8"/>
  <c r="L537" i="8" s="1"/>
  <c r="G535" i="13" s="1"/>
  <c r="I537" i="8"/>
  <c r="G524" i="9"/>
  <c r="J524" i="9"/>
  <c r="K524" i="9" s="1"/>
  <c r="H522" i="13" s="1"/>
  <c r="I524" i="9"/>
  <c r="H524" i="9"/>
  <c r="G506" i="11"/>
  <c r="H506" i="11"/>
  <c r="I506" i="11"/>
  <c r="H489" i="14"/>
  <c r="I489" i="14"/>
  <c r="G489" i="14"/>
  <c r="I388" i="15"/>
  <c r="H388" i="15"/>
  <c r="G388" i="15"/>
  <c r="H192" i="15"/>
  <c r="I192" i="15"/>
  <c r="G192" i="15"/>
  <c r="G183" i="11"/>
  <c r="I183" i="11"/>
  <c r="H183" i="11"/>
  <c r="I164" i="15"/>
  <c r="H164" i="15"/>
  <c r="G164" i="15"/>
  <c r="J121" i="1"/>
  <c r="H121" i="1"/>
  <c r="I19" i="11"/>
  <c r="H19" i="11"/>
  <c r="G19" i="11"/>
  <c r="H86" i="11"/>
  <c r="G86" i="11"/>
  <c r="I86" i="11"/>
  <c r="H573" i="14"/>
  <c r="J573" i="14"/>
  <c r="K573" i="14" s="1"/>
  <c r="J571" i="13" s="1"/>
  <c r="I573" i="14"/>
  <c r="G573" i="14"/>
  <c r="I326" i="11"/>
  <c r="H326" i="11"/>
  <c r="G326" i="11"/>
  <c r="H350" i="14"/>
  <c r="G350" i="14"/>
  <c r="I350" i="14"/>
  <c r="I7" i="11"/>
  <c r="H7" i="11"/>
  <c r="G7" i="11"/>
  <c r="J734" i="15"/>
  <c r="K734" i="15" s="1"/>
  <c r="K732" i="13" s="1"/>
  <c r="I734" i="15"/>
  <c r="H734" i="15"/>
  <c r="G734" i="15"/>
  <c r="H731" i="11"/>
  <c r="J731" i="11"/>
  <c r="K731" i="11" s="1"/>
  <c r="I729" i="13" s="1"/>
  <c r="I731" i="11"/>
  <c r="G731" i="11"/>
  <c r="I650" i="11"/>
  <c r="H650" i="11"/>
  <c r="J650" i="11"/>
  <c r="K650" i="11" s="1"/>
  <c r="I648" i="13" s="1"/>
  <c r="G650" i="11"/>
  <c r="J564" i="8"/>
  <c r="K564" i="8"/>
  <c r="L564" i="8" s="1"/>
  <c r="G562" i="13" s="1"/>
  <c r="I564" i="8"/>
  <c r="H564" i="8"/>
  <c r="G237" i="11"/>
  <c r="I237" i="11"/>
  <c r="H237" i="11"/>
  <c r="G560" i="11"/>
  <c r="H560" i="11"/>
  <c r="J560" i="11"/>
  <c r="K560" i="11" s="1"/>
  <c r="I558" i="13" s="1"/>
  <c r="I560" i="11"/>
  <c r="G459" i="11"/>
  <c r="I459" i="11"/>
  <c r="H459" i="11"/>
  <c r="I60" i="15"/>
  <c r="H60" i="15"/>
  <c r="G60" i="15"/>
  <c r="H719" i="8"/>
  <c r="K719" i="8"/>
  <c r="L719" i="8" s="1"/>
  <c r="G717" i="13" s="1"/>
  <c r="J719" i="8"/>
  <c r="I719" i="8"/>
  <c r="I103" i="11"/>
  <c r="H103" i="11"/>
  <c r="G103" i="11"/>
  <c r="I204" i="11"/>
  <c r="H204" i="11"/>
  <c r="G204" i="11"/>
  <c r="G355" i="1"/>
  <c r="I355" i="1"/>
  <c r="H355" i="1"/>
  <c r="J833" i="11"/>
  <c r="K833" i="11" s="1"/>
  <c r="I831" i="13" s="1"/>
  <c r="I833" i="11"/>
  <c r="H833" i="11"/>
  <c r="G833" i="11"/>
  <c r="I232" i="15"/>
  <c r="H232" i="15"/>
  <c r="G232" i="15"/>
  <c r="G711" i="11"/>
  <c r="H711" i="11"/>
  <c r="J711" i="11"/>
  <c r="K711" i="11" s="1"/>
  <c r="I709" i="13" s="1"/>
  <c r="I711" i="11"/>
  <c r="I417" i="14"/>
  <c r="H417" i="14"/>
  <c r="G417" i="14"/>
  <c r="G791" i="15"/>
  <c r="J791" i="15"/>
  <c r="K791" i="15" s="1"/>
  <c r="K789" i="13" s="1"/>
  <c r="I791" i="15"/>
  <c r="H791" i="15"/>
  <c r="J642" i="9"/>
  <c r="K642" i="9" s="1"/>
  <c r="H640" i="13" s="1"/>
  <c r="H642" i="9"/>
  <c r="I642" i="9"/>
  <c r="G642" i="9"/>
  <c r="G566" i="11"/>
  <c r="H566" i="11"/>
  <c r="I566" i="11"/>
  <c r="J566" i="11"/>
  <c r="K566" i="11" s="1"/>
  <c r="I564" i="13" s="1"/>
  <c r="H118" i="11"/>
  <c r="I118" i="11"/>
  <c r="G118" i="11"/>
  <c r="J537" i="11"/>
  <c r="K537" i="11" s="1"/>
  <c r="I535" i="13" s="1"/>
  <c r="I537" i="11"/>
  <c r="H537" i="11"/>
  <c r="G537" i="11"/>
  <c r="J852" i="15"/>
  <c r="K852" i="15" s="1"/>
  <c r="K850" i="13" s="1"/>
  <c r="I852" i="15"/>
  <c r="H852" i="15"/>
  <c r="G852" i="15"/>
  <c r="G416" i="15"/>
  <c r="I416" i="15"/>
  <c r="H416" i="15"/>
  <c r="G197" i="11"/>
  <c r="I197" i="11"/>
  <c r="H197" i="11"/>
  <c r="J651" i="14"/>
  <c r="K651" i="14" s="1"/>
  <c r="J649" i="13" s="1"/>
  <c r="G651" i="14"/>
  <c r="I651" i="14"/>
  <c r="H651" i="14"/>
  <c r="J796" i="9"/>
  <c r="K796" i="9" s="1"/>
  <c r="H794" i="13" s="1"/>
  <c r="I796" i="9"/>
  <c r="H796" i="9"/>
  <c r="G796" i="9"/>
  <c r="J564" i="11"/>
  <c r="K564" i="11" s="1"/>
  <c r="I562" i="13" s="1"/>
  <c r="I564" i="11"/>
  <c r="H564" i="11"/>
  <c r="G564" i="11"/>
  <c r="I176" i="15"/>
  <c r="H176" i="15"/>
  <c r="G176" i="15"/>
  <c r="I237" i="14"/>
  <c r="H237" i="14"/>
  <c r="G237" i="14"/>
  <c r="J556" i="1"/>
  <c r="I556" i="1"/>
  <c r="G560" i="15"/>
  <c r="J560" i="15"/>
  <c r="K560" i="15" s="1"/>
  <c r="K558" i="13" s="1"/>
  <c r="I560" i="15"/>
  <c r="H560" i="15"/>
  <c r="H466" i="1"/>
  <c r="G466" i="1"/>
  <c r="G259" i="11"/>
  <c r="I259" i="11"/>
  <c r="H259" i="11"/>
  <c r="I831" i="9"/>
  <c r="H831" i="9"/>
  <c r="J831" i="9"/>
  <c r="K831" i="9" s="1"/>
  <c r="H829" i="13" s="1"/>
  <c r="G831" i="9"/>
  <c r="I492" i="14"/>
  <c r="H492" i="14"/>
  <c r="G492" i="14"/>
  <c r="I657" i="8"/>
  <c r="K657" i="8"/>
  <c r="L657" i="8" s="1"/>
  <c r="G655" i="13" s="1"/>
  <c r="J657" i="8"/>
  <c r="H657" i="8"/>
  <c r="J629" i="15"/>
  <c r="K629" i="15" s="1"/>
  <c r="K627" i="13" s="1"/>
  <c r="I629" i="15"/>
  <c r="H629" i="15"/>
  <c r="G629" i="15"/>
  <c r="J774" i="1"/>
  <c r="H774" i="1"/>
  <c r="K774" i="1"/>
  <c r="G720" i="9"/>
  <c r="J720" i="9"/>
  <c r="K720" i="9" s="1"/>
  <c r="H718" i="13" s="1"/>
  <c r="I720" i="9"/>
  <c r="H720" i="9"/>
  <c r="J838" i="9"/>
  <c r="K838" i="9" s="1"/>
  <c r="H836" i="13" s="1"/>
  <c r="I838" i="9"/>
  <c r="H838" i="9"/>
  <c r="G838" i="9"/>
  <c r="J797" i="9"/>
  <c r="K797" i="9" s="1"/>
  <c r="H795" i="13" s="1"/>
  <c r="I797" i="9"/>
  <c r="G797" i="9"/>
  <c r="H797" i="9"/>
  <c r="H115" i="15"/>
  <c r="G115" i="15"/>
  <c r="I115" i="15"/>
  <c r="G814" i="14"/>
  <c r="J814" i="14"/>
  <c r="K814" i="14" s="1"/>
  <c r="J812" i="13" s="1"/>
  <c r="I814" i="14"/>
  <c r="H814" i="14"/>
  <c r="G537" i="14"/>
  <c r="J537" i="14"/>
  <c r="K537" i="14" s="1"/>
  <c r="J535" i="13" s="1"/>
  <c r="I537" i="14"/>
  <c r="H537" i="14"/>
  <c r="G489" i="1"/>
  <c r="J489" i="1"/>
  <c r="I489" i="1"/>
  <c r="H489" i="1"/>
  <c r="I183" i="15"/>
  <c r="H183" i="15"/>
  <c r="G183" i="15"/>
  <c r="G673" i="11"/>
  <c r="J673" i="11"/>
  <c r="K673" i="11" s="1"/>
  <c r="I671" i="13" s="1"/>
  <c r="I673" i="11"/>
  <c r="H673" i="11"/>
  <c r="I95" i="14"/>
  <c r="H95" i="14"/>
  <c r="G95" i="14"/>
  <c r="I484" i="15"/>
  <c r="H484" i="15"/>
  <c r="G484" i="15"/>
  <c r="G267" i="1"/>
  <c r="I267" i="1"/>
  <c r="H267" i="1"/>
  <c r="J267" i="1"/>
  <c r="G648" i="1"/>
  <c r="H648" i="1"/>
  <c r="I340" i="14"/>
  <c r="H340" i="14"/>
  <c r="G340" i="14"/>
  <c r="G765" i="14"/>
  <c r="I765" i="14"/>
  <c r="J765" i="14"/>
  <c r="K765" i="14" s="1"/>
  <c r="J763" i="13" s="1"/>
  <c r="H765" i="14"/>
  <c r="I231" i="14"/>
  <c r="G231" i="14"/>
  <c r="H231" i="14"/>
  <c r="H18" i="1"/>
  <c r="I651" i="15"/>
  <c r="G651" i="15"/>
  <c r="H651" i="15"/>
  <c r="J651" i="15"/>
  <c r="K651" i="15" s="1"/>
  <c r="K649" i="13" s="1"/>
  <c r="J535" i="8"/>
  <c r="H535" i="8"/>
  <c r="K535" i="8"/>
  <c r="L535" i="8" s="1"/>
  <c r="G533" i="13" s="1"/>
  <c r="I535" i="8"/>
  <c r="H446" i="14"/>
  <c r="I446" i="14"/>
  <c r="G446" i="14"/>
  <c r="G268" i="1"/>
  <c r="I268" i="1"/>
  <c r="J268" i="1"/>
  <c r="J719" i="11"/>
  <c r="K719" i="11" s="1"/>
  <c r="I717" i="13" s="1"/>
  <c r="I719" i="11"/>
  <c r="H719" i="11"/>
  <c r="G719" i="11"/>
  <c r="I464" i="15"/>
  <c r="H464" i="15"/>
  <c r="G464" i="15"/>
  <c r="J644" i="11"/>
  <c r="K644" i="11" s="1"/>
  <c r="I642" i="13" s="1"/>
  <c r="I644" i="11"/>
  <c r="H644" i="11"/>
  <c r="G644" i="11"/>
  <c r="G711" i="14"/>
  <c r="J711" i="14"/>
  <c r="K711" i="14" s="1"/>
  <c r="J709" i="13" s="1"/>
  <c r="H711" i="14"/>
  <c r="I711" i="14"/>
  <c r="H709" i="8"/>
  <c r="K709" i="8"/>
  <c r="L709" i="8" s="1"/>
  <c r="G707" i="13" s="1"/>
  <c r="J709" i="8"/>
  <c r="I709" i="8"/>
  <c r="J649" i="8"/>
  <c r="I649" i="8"/>
  <c r="K649" i="8"/>
  <c r="L649" i="8" s="1"/>
  <c r="G647" i="13" s="1"/>
  <c r="H649" i="8"/>
  <c r="I10" i="15"/>
  <c r="H10" i="15"/>
  <c r="G10" i="15"/>
  <c r="I118" i="15"/>
  <c r="H118" i="15"/>
  <c r="G118" i="15"/>
  <c r="H412" i="11"/>
  <c r="G412" i="11"/>
  <c r="I412" i="11"/>
  <c r="I397" i="11"/>
  <c r="H397" i="11"/>
  <c r="G397" i="11"/>
  <c r="H78" i="11"/>
  <c r="G78" i="11"/>
  <c r="I78" i="11"/>
  <c r="J646" i="8"/>
  <c r="K646" i="8"/>
  <c r="L646" i="8" s="1"/>
  <c r="G644" i="13" s="1"/>
  <c r="H646" i="8"/>
  <c r="I646" i="8"/>
  <c r="K547" i="8"/>
  <c r="L547" i="8" s="1"/>
  <c r="G545" i="13" s="1"/>
  <c r="H547" i="8"/>
  <c r="I547" i="8"/>
  <c r="J547" i="8"/>
  <c r="G516" i="15"/>
  <c r="I516" i="15"/>
  <c r="H516" i="15"/>
  <c r="H382" i="15"/>
  <c r="G382" i="15"/>
  <c r="I382" i="15"/>
  <c r="G290" i="14"/>
  <c r="I290" i="14"/>
  <c r="H290" i="14"/>
  <c r="G243" i="14"/>
  <c r="I243" i="14"/>
  <c r="H243" i="14"/>
  <c r="I61" i="14"/>
  <c r="H61" i="14"/>
  <c r="G61" i="14"/>
  <c r="H604" i="8"/>
  <c r="K604" i="8"/>
  <c r="L604" i="8" s="1"/>
  <c r="G602" i="13" s="1"/>
  <c r="J604" i="8"/>
  <c r="I604" i="8"/>
  <c r="J579" i="14"/>
  <c r="K579" i="14" s="1"/>
  <c r="J577" i="13" s="1"/>
  <c r="G579" i="14"/>
  <c r="I579" i="14"/>
  <c r="H579" i="14"/>
  <c r="H674" i="8"/>
  <c r="K674" i="8"/>
  <c r="L674" i="8" s="1"/>
  <c r="G672" i="13" s="1"/>
  <c r="I674" i="8"/>
  <c r="J674" i="8"/>
  <c r="G621" i="11"/>
  <c r="J621" i="11"/>
  <c r="K621" i="11" s="1"/>
  <c r="I619" i="13" s="1"/>
  <c r="I621" i="11"/>
  <c r="H621" i="11"/>
  <c r="G574" i="14"/>
  <c r="J574" i="14"/>
  <c r="K574" i="14" s="1"/>
  <c r="J572" i="13" s="1"/>
  <c r="I574" i="14"/>
  <c r="H574" i="14"/>
  <c r="I141" i="14"/>
  <c r="H141" i="14"/>
  <c r="G141" i="14"/>
  <c r="H97" i="11"/>
  <c r="I97" i="11"/>
  <c r="G97" i="11"/>
  <c r="H299" i="11"/>
  <c r="I299" i="11"/>
  <c r="G299" i="11"/>
  <c r="K846" i="8"/>
  <c r="L846" i="8" s="1"/>
  <c r="G844" i="13" s="1"/>
  <c r="H846" i="8"/>
  <c r="I846" i="8"/>
  <c r="J846" i="8"/>
  <c r="K544" i="8"/>
  <c r="L544" i="8" s="1"/>
  <c r="G542" i="13" s="1"/>
  <c r="J544" i="8"/>
  <c r="I544" i="8"/>
  <c r="H544" i="8"/>
  <c r="J746" i="9"/>
  <c r="K746" i="9" s="1"/>
  <c r="H744" i="13" s="1"/>
  <c r="I746" i="9"/>
  <c r="H746" i="9"/>
  <c r="G746" i="9"/>
  <c r="I200" i="11"/>
  <c r="H200" i="11"/>
  <c r="G200" i="11"/>
  <c r="G523" i="11"/>
  <c r="J523" i="11"/>
  <c r="K523" i="11" s="1"/>
  <c r="I521" i="13" s="1"/>
  <c r="I523" i="11"/>
  <c r="H523" i="11"/>
  <c r="I115" i="11"/>
  <c r="H115" i="11"/>
  <c r="G115" i="11"/>
  <c r="I175" i="11"/>
  <c r="H175" i="11"/>
  <c r="G175" i="11"/>
  <c r="G478" i="1"/>
  <c r="G524" i="1"/>
  <c r="J825" i="9"/>
  <c r="K825" i="9" s="1"/>
  <c r="H823" i="13" s="1"/>
  <c r="I825" i="9"/>
  <c r="H825" i="9"/>
  <c r="G825" i="9"/>
  <c r="H459" i="1"/>
  <c r="J459" i="1"/>
  <c r="I459" i="1"/>
  <c r="I437" i="11"/>
  <c r="H437" i="11"/>
  <c r="G437" i="11"/>
  <c r="I220" i="14"/>
  <c r="H220" i="14"/>
  <c r="G220" i="14"/>
  <c r="G757" i="11"/>
  <c r="H757" i="11"/>
  <c r="I757" i="11"/>
  <c r="J757" i="11"/>
  <c r="K757" i="11" s="1"/>
  <c r="I755" i="13" s="1"/>
  <c r="H641" i="8"/>
  <c r="K641" i="8"/>
  <c r="L641" i="8" s="1"/>
  <c r="G639" i="13" s="1"/>
  <c r="J641" i="8"/>
  <c r="I641" i="8"/>
  <c r="J691" i="11"/>
  <c r="K691" i="11" s="1"/>
  <c r="I689" i="13" s="1"/>
  <c r="H691" i="11"/>
  <c r="G691" i="11"/>
  <c r="I691" i="11"/>
  <c r="G644" i="14"/>
  <c r="J644" i="14"/>
  <c r="K644" i="14" s="1"/>
  <c r="J642" i="13" s="1"/>
  <c r="I644" i="14"/>
  <c r="H644" i="14"/>
  <c r="G111" i="14"/>
  <c r="I111" i="14"/>
  <c r="H111" i="14"/>
  <c r="I838" i="15"/>
  <c r="J838" i="15"/>
  <c r="K838" i="15" s="1"/>
  <c r="K836" i="13" s="1"/>
  <c r="H838" i="15"/>
  <c r="G838" i="15"/>
  <c r="G735" i="15"/>
  <c r="J735" i="15"/>
  <c r="K735" i="15" s="1"/>
  <c r="K733" i="13" s="1"/>
  <c r="I735" i="15"/>
  <c r="H735" i="15"/>
  <c r="J746" i="11"/>
  <c r="K746" i="11" s="1"/>
  <c r="I744" i="13" s="1"/>
  <c r="I746" i="11"/>
  <c r="H746" i="11"/>
  <c r="G746" i="11"/>
  <c r="G760" i="15"/>
  <c r="J760" i="15"/>
  <c r="K760" i="15" s="1"/>
  <c r="K758" i="13" s="1"/>
  <c r="I760" i="15"/>
  <c r="H760" i="15"/>
  <c r="I384" i="11"/>
  <c r="H384" i="11"/>
  <c r="G384" i="11"/>
  <c r="G793" i="15"/>
  <c r="J793" i="15"/>
  <c r="K793" i="15" s="1"/>
  <c r="K791" i="13" s="1"/>
  <c r="I793" i="15"/>
  <c r="H793" i="15"/>
  <c r="H727" i="14"/>
  <c r="G727" i="14"/>
  <c r="J727" i="14"/>
  <c r="K727" i="14" s="1"/>
  <c r="J725" i="13" s="1"/>
  <c r="I727" i="14"/>
  <c r="G169" i="14"/>
  <c r="I169" i="14"/>
  <c r="H169" i="14"/>
  <c r="H824" i="11"/>
  <c r="I824" i="11"/>
  <c r="J824" i="11"/>
  <c r="K824" i="11" s="1"/>
  <c r="I822" i="13" s="1"/>
  <c r="G824" i="11"/>
  <c r="J785" i="11"/>
  <c r="K785" i="11" s="1"/>
  <c r="I783" i="13" s="1"/>
  <c r="H785" i="11"/>
  <c r="G785" i="11"/>
  <c r="I785" i="11"/>
  <c r="H374" i="14"/>
  <c r="G374" i="14"/>
  <c r="I374" i="14"/>
  <c r="I478" i="1"/>
  <c r="H170" i="1"/>
  <c r="H528" i="11"/>
  <c r="J528" i="11"/>
  <c r="K528" i="11" s="1"/>
  <c r="I526" i="13" s="1"/>
  <c r="I528" i="11"/>
  <c r="G528" i="11"/>
  <c r="H443" i="15"/>
  <c r="G443" i="15"/>
  <c r="I443" i="15"/>
  <c r="I51" i="11"/>
  <c r="H51" i="11"/>
  <c r="G51" i="11"/>
  <c r="J601" i="11"/>
  <c r="K601" i="11" s="1"/>
  <c r="I599" i="13" s="1"/>
  <c r="H601" i="11"/>
  <c r="G601" i="11"/>
  <c r="I601" i="11"/>
  <c r="G733" i="15"/>
  <c r="J733" i="15"/>
  <c r="K733" i="15" s="1"/>
  <c r="K731" i="13" s="1"/>
  <c r="I733" i="15"/>
  <c r="H733" i="15"/>
  <c r="H664" i="8"/>
  <c r="K664" i="8"/>
  <c r="L664" i="8" s="1"/>
  <c r="G662" i="13" s="1"/>
  <c r="J664" i="8"/>
  <c r="I664" i="8"/>
  <c r="I612" i="9"/>
  <c r="H612" i="9"/>
  <c r="G612" i="9"/>
  <c r="J612" i="9"/>
  <c r="K612" i="9" s="1"/>
  <c r="H610" i="13" s="1"/>
  <c r="H592" i="15"/>
  <c r="G592" i="15"/>
  <c r="J592" i="15"/>
  <c r="K592" i="15" s="1"/>
  <c r="K590" i="13" s="1"/>
  <c r="I592" i="15"/>
  <c r="H315" i="11"/>
  <c r="G315" i="11"/>
  <c r="I315" i="11"/>
  <c r="G201" i="15"/>
  <c r="H201" i="15"/>
  <c r="I201" i="15"/>
  <c r="G79" i="15"/>
  <c r="H79" i="15"/>
  <c r="I79" i="15"/>
  <c r="I681" i="11"/>
  <c r="H681" i="11"/>
  <c r="G681" i="11"/>
  <c r="J681" i="11"/>
  <c r="K681" i="11" s="1"/>
  <c r="I679" i="13" s="1"/>
  <c r="G205" i="11"/>
  <c r="I205" i="11"/>
  <c r="H205" i="11"/>
  <c r="I97" i="15"/>
  <c r="G97" i="15"/>
  <c r="H97" i="15"/>
  <c r="H757" i="14"/>
  <c r="J757" i="14"/>
  <c r="K757" i="14" s="1"/>
  <c r="J755" i="13" s="1"/>
  <c r="I757" i="14"/>
  <c r="G757" i="14"/>
  <c r="J614" i="11"/>
  <c r="K614" i="11" s="1"/>
  <c r="I612" i="13" s="1"/>
  <c r="I614" i="11"/>
  <c r="H614" i="11"/>
  <c r="G614" i="11"/>
  <c r="I342" i="15"/>
  <c r="G342" i="15"/>
  <c r="H342" i="15"/>
  <c r="G111" i="15"/>
  <c r="H111" i="15"/>
  <c r="I111" i="15"/>
  <c r="I98" i="15"/>
  <c r="G98" i="15"/>
  <c r="H98" i="15"/>
  <c r="K701" i="8"/>
  <c r="L701" i="8" s="1"/>
  <c r="G699" i="13" s="1"/>
  <c r="J701" i="8"/>
  <c r="I701" i="8"/>
  <c r="H701" i="8"/>
  <c r="G526" i="9"/>
  <c r="J526" i="9"/>
  <c r="K526" i="9" s="1"/>
  <c r="H524" i="13" s="1"/>
  <c r="I526" i="9"/>
  <c r="H526" i="9"/>
  <c r="J617" i="11"/>
  <c r="K617" i="11" s="1"/>
  <c r="I615" i="13" s="1"/>
  <c r="I617" i="11"/>
  <c r="H617" i="11"/>
  <c r="G617" i="11"/>
  <c r="J846" i="11"/>
  <c r="K846" i="11" s="1"/>
  <c r="I844" i="13" s="1"/>
  <c r="I846" i="11"/>
  <c r="H846" i="11"/>
  <c r="G846" i="11"/>
  <c r="H740" i="11"/>
  <c r="G740" i="11"/>
  <c r="J740" i="11"/>
  <c r="K740" i="11" s="1"/>
  <c r="I738" i="13" s="1"/>
  <c r="I740" i="11"/>
  <c r="J709" i="15"/>
  <c r="K709" i="15" s="1"/>
  <c r="K707" i="13" s="1"/>
  <c r="H709" i="15"/>
  <c r="G709" i="15"/>
  <c r="I709" i="15"/>
  <c r="G649" i="15"/>
  <c r="H649" i="15"/>
  <c r="J649" i="15"/>
  <c r="K649" i="15" s="1"/>
  <c r="K647" i="13" s="1"/>
  <c r="I649" i="15"/>
  <c r="I594" i="8"/>
  <c r="K594" i="8"/>
  <c r="L594" i="8" s="1"/>
  <c r="G592" i="13" s="1"/>
  <c r="J594" i="8"/>
  <c r="H594" i="8"/>
  <c r="I509" i="14"/>
  <c r="H509" i="14"/>
  <c r="G509" i="14"/>
  <c r="J648" i="1"/>
  <c r="I616" i="1"/>
  <c r="I570" i="1"/>
  <c r="H478" i="1"/>
  <c r="I252" i="1"/>
  <c r="H277" i="1"/>
  <c r="J517" i="1"/>
  <c r="G459" i="1"/>
  <c r="I513" i="1"/>
  <c r="K513" i="1" s="1"/>
  <c r="G103" i="1"/>
  <c r="I581" i="1"/>
  <c r="G327" i="1"/>
  <c r="J545" i="1"/>
  <c r="M545" i="1" s="1"/>
  <c r="J19" i="1"/>
  <c r="I524" i="1"/>
  <c r="H852" i="14"/>
  <c r="G852" i="14"/>
  <c r="J852" i="14"/>
  <c r="K852" i="14" s="1"/>
  <c r="J850" i="13" s="1"/>
  <c r="I852" i="14"/>
  <c r="J789" i="14"/>
  <c r="K789" i="14" s="1"/>
  <c r="J787" i="13" s="1"/>
  <c r="I789" i="14"/>
  <c r="H789" i="14"/>
  <c r="G789" i="14"/>
  <c r="J756" i="14"/>
  <c r="K756" i="14" s="1"/>
  <c r="J754" i="13" s="1"/>
  <c r="I756" i="14"/>
  <c r="H756" i="14"/>
  <c r="G756" i="14"/>
  <c r="H731" i="14"/>
  <c r="I731" i="14"/>
  <c r="G731" i="14"/>
  <c r="J731" i="14"/>
  <c r="K731" i="14" s="1"/>
  <c r="J729" i="13" s="1"/>
  <c r="J650" i="9"/>
  <c r="K650" i="9" s="1"/>
  <c r="H648" i="13" s="1"/>
  <c r="G650" i="9"/>
  <c r="H650" i="9"/>
  <c r="I650" i="9"/>
  <c r="H637" i="11"/>
  <c r="J637" i="11"/>
  <c r="K637" i="11" s="1"/>
  <c r="I635" i="13" s="1"/>
  <c r="I637" i="11"/>
  <c r="G637" i="11"/>
  <c r="J584" i="15"/>
  <c r="K584" i="15" s="1"/>
  <c r="K582" i="13" s="1"/>
  <c r="I584" i="15"/>
  <c r="H584" i="15"/>
  <c r="G584" i="15"/>
  <c r="H500" i="15"/>
  <c r="G500" i="15"/>
  <c r="I500" i="15"/>
  <c r="I416" i="11"/>
  <c r="H416" i="11"/>
  <c r="G416" i="11"/>
  <c r="H383" i="14"/>
  <c r="G383" i="14"/>
  <c r="I383" i="14"/>
  <c r="H92" i="11"/>
  <c r="G92" i="11"/>
  <c r="I92" i="11"/>
  <c r="I23" i="11"/>
  <c r="H23" i="11"/>
  <c r="G23" i="11"/>
  <c r="G148" i="15"/>
  <c r="I148" i="15"/>
  <c r="H148" i="15"/>
  <c r="G46" i="11"/>
  <c r="H46" i="11"/>
  <c r="I46" i="11"/>
  <c r="J631" i="14"/>
  <c r="K631" i="14" s="1"/>
  <c r="J629" i="13" s="1"/>
  <c r="I631" i="14"/>
  <c r="H631" i="14"/>
  <c r="G631" i="14"/>
  <c r="I83" i="15"/>
  <c r="H83" i="15"/>
  <c r="G83" i="15"/>
  <c r="G127" i="15"/>
  <c r="H127" i="15"/>
  <c r="I127" i="15"/>
  <c r="J651" i="9"/>
  <c r="K651" i="9" s="1"/>
  <c r="H649" i="13" s="1"/>
  <c r="I651" i="9"/>
  <c r="H651" i="9"/>
  <c r="G651" i="9"/>
  <c r="H570" i="15"/>
  <c r="G570" i="15"/>
  <c r="J570" i="15"/>
  <c r="K570" i="15" s="1"/>
  <c r="K568" i="13" s="1"/>
  <c r="I570" i="15"/>
  <c r="G708" i="15"/>
  <c r="J708" i="15"/>
  <c r="K708" i="15" s="1"/>
  <c r="K706" i="13" s="1"/>
  <c r="I708" i="15"/>
  <c r="H708" i="15"/>
  <c r="J609" i="14"/>
  <c r="K609" i="14" s="1"/>
  <c r="J607" i="13" s="1"/>
  <c r="G609" i="14"/>
  <c r="H609" i="14"/>
  <c r="I609" i="14"/>
  <c r="I564" i="9"/>
  <c r="G564" i="9"/>
  <c r="J564" i="9"/>
  <c r="K564" i="9" s="1"/>
  <c r="H562" i="13" s="1"/>
  <c r="H564" i="9"/>
  <c r="J543" i="9"/>
  <c r="K543" i="9" s="1"/>
  <c r="H541" i="13" s="1"/>
  <c r="I543" i="9"/>
  <c r="H543" i="9"/>
  <c r="G543" i="9"/>
  <c r="K525" i="1"/>
  <c r="M525" i="1" s="1"/>
  <c r="I525" i="1"/>
  <c r="H502" i="14"/>
  <c r="G502" i="14"/>
  <c r="I502" i="14"/>
  <c r="I344" i="14"/>
  <c r="H344" i="14"/>
  <c r="G344" i="14"/>
  <c r="I325" i="14"/>
  <c r="G325" i="14"/>
  <c r="H325" i="14"/>
  <c r="G291" i="15"/>
  <c r="I291" i="15"/>
  <c r="H291" i="15"/>
  <c r="G225" i="15"/>
  <c r="I225" i="15"/>
  <c r="H225" i="15"/>
  <c r="I176" i="11"/>
  <c r="H176" i="11"/>
  <c r="G176" i="11"/>
  <c r="I84" i="15"/>
  <c r="H84" i="15"/>
  <c r="G84" i="15"/>
  <c r="J769" i="14"/>
  <c r="K769" i="14" s="1"/>
  <c r="J767" i="13" s="1"/>
  <c r="I769" i="14"/>
  <c r="H769" i="14"/>
  <c r="G769" i="14"/>
  <c r="H473" i="15"/>
  <c r="G473" i="15"/>
  <c r="I473" i="15"/>
  <c r="I324" i="1"/>
  <c r="H324" i="1"/>
  <c r="G324" i="1"/>
  <c r="J763" i="9"/>
  <c r="K763" i="9" s="1"/>
  <c r="H761" i="13" s="1"/>
  <c r="I763" i="9"/>
  <c r="H763" i="9"/>
  <c r="G763" i="9"/>
  <c r="I556" i="15"/>
  <c r="H556" i="15"/>
  <c r="G556" i="15"/>
  <c r="J556" i="15"/>
  <c r="K556" i="15" s="1"/>
  <c r="K554" i="13" s="1"/>
  <c r="I790" i="14"/>
  <c r="J790" i="14"/>
  <c r="K790" i="14" s="1"/>
  <c r="J788" i="13" s="1"/>
  <c r="H790" i="14"/>
  <c r="G790" i="14"/>
  <c r="I272" i="11"/>
  <c r="H272" i="11"/>
  <c r="G272" i="11"/>
  <c r="G120" i="11"/>
  <c r="H120" i="11"/>
  <c r="I120" i="11"/>
  <c r="J786" i="8"/>
  <c r="H786" i="8"/>
  <c r="I786" i="8"/>
  <c r="K786" i="8"/>
  <c r="L786" i="8" s="1"/>
  <c r="G784" i="13" s="1"/>
  <c r="G778" i="15"/>
  <c r="J778" i="15"/>
  <c r="K778" i="15" s="1"/>
  <c r="K776" i="13" s="1"/>
  <c r="I778" i="15"/>
  <c r="H778" i="15"/>
  <c r="G661" i="9"/>
  <c r="J661" i="9"/>
  <c r="K661" i="9" s="1"/>
  <c r="H659" i="13" s="1"/>
  <c r="I661" i="9"/>
  <c r="H661" i="9"/>
  <c r="H624" i="15"/>
  <c r="G624" i="15"/>
  <c r="J624" i="15"/>
  <c r="K624" i="15" s="1"/>
  <c r="K622" i="13" s="1"/>
  <c r="I624" i="15"/>
  <c r="J569" i="1"/>
  <c r="K569" i="1"/>
  <c r="H560" i="14"/>
  <c r="G560" i="14"/>
  <c r="J560" i="14"/>
  <c r="K560" i="14" s="1"/>
  <c r="J558" i="13" s="1"/>
  <c r="I560" i="14"/>
  <c r="I497" i="1"/>
  <c r="J497" i="1"/>
  <c r="H393" i="11"/>
  <c r="I393" i="11"/>
  <c r="G393" i="11"/>
  <c r="G380" i="14"/>
  <c r="I380" i="14"/>
  <c r="H380" i="14"/>
  <c r="G268" i="14"/>
  <c r="I268" i="14"/>
  <c r="H268" i="14"/>
  <c r="H211" i="11"/>
  <c r="G211" i="11"/>
  <c r="I211" i="11"/>
  <c r="I338" i="15"/>
  <c r="G338" i="15"/>
  <c r="H338" i="15"/>
  <c r="J554" i="8"/>
  <c r="I554" i="8"/>
  <c r="H554" i="8"/>
  <c r="K554" i="8"/>
  <c r="L554" i="8" s="1"/>
  <c r="G552" i="13" s="1"/>
  <c r="I304" i="11"/>
  <c r="H304" i="11"/>
  <c r="G304" i="11"/>
  <c r="H513" i="11"/>
  <c r="G513" i="11"/>
  <c r="I513" i="11"/>
  <c r="G470" i="15"/>
  <c r="H470" i="15"/>
  <c r="I470" i="15"/>
  <c r="G214" i="14"/>
  <c r="I214" i="14"/>
  <c r="H214" i="14"/>
  <c r="G153" i="15"/>
  <c r="I153" i="15"/>
  <c r="H153" i="15"/>
  <c r="H182" i="14"/>
  <c r="I182" i="14"/>
  <c r="G182" i="14"/>
  <c r="H39" i="14"/>
  <c r="I39" i="14"/>
  <c r="G39" i="14"/>
  <c r="I812" i="1"/>
  <c r="G812" i="1"/>
  <c r="J791" i="1"/>
  <c r="G791" i="1"/>
  <c r="H751" i="11"/>
  <c r="G751" i="11"/>
  <c r="J751" i="11"/>
  <c r="K751" i="11" s="1"/>
  <c r="I749" i="13" s="1"/>
  <c r="I751" i="11"/>
  <c r="I723" i="15"/>
  <c r="H723" i="15"/>
  <c r="G723" i="15"/>
  <c r="J723" i="15"/>
  <c r="K723" i="15" s="1"/>
  <c r="K721" i="13" s="1"/>
  <c r="H699" i="8"/>
  <c r="K699" i="8"/>
  <c r="L699" i="8" s="1"/>
  <c r="G697" i="13" s="1"/>
  <c r="J699" i="8"/>
  <c r="I699" i="8"/>
  <c r="G684" i="9"/>
  <c r="J684" i="9"/>
  <c r="K684" i="9" s="1"/>
  <c r="H682" i="13" s="1"/>
  <c r="I684" i="9"/>
  <c r="H684" i="9"/>
  <c r="J629" i="9"/>
  <c r="K629" i="9" s="1"/>
  <c r="H627" i="13" s="1"/>
  <c r="I629" i="9"/>
  <c r="H629" i="9"/>
  <c r="G629" i="9"/>
  <c r="I616" i="11"/>
  <c r="H616" i="11"/>
  <c r="G616" i="11"/>
  <c r="J616" i="11"/>
  <c r="K616" i="11" s="1"/>
  <c r="I614" i="13" s="1"/>
  <c r="H589" i="15"/>
  <c r="J589" i="15"/>
  <c r="K589" i="15" s="1"/>
  <c r="K587" i="13" s="1"/>
  <c r="G589" i="15"/>
  <c r="I589" i="15"/>
  <c r="G557" i="9"/>
  <c r="J557" i="9"/>
  <c r="K557" i="9" s="1"/>
  <c r="H555" i="13" s="1"/>
  <c r="H557" i="9"/>
  <c r="I557" i="9"/>
  <c r="H545" i="15"/>
  <c r="G545" i="15"/>
  <c r="J545" i="15"/>
  <c r="K545" i="15" s="1"/>
  <c r="K543" i="13" s="1"/>
  <c r="I545" i="15"/>
  <c r="G487" i="14"/>
  <c r="I487" i="14"/>
  <c r="H487" i="14"/>
  <c r="I471" i="15"/>
  <c r="H471" i="15"/>
  <c r="G471" i="15"/>
  <c r="H453" i="14"/>
  <c r="G453" i="14"/>
  <c r="I453" i="14"/>
  <c r="G238" i="14"/>
  <c r="I238" i="14"/>
  <c r="H238" i="14"/>
  <c r="H150" i="11"/>
  <c r="I150" i="11"/>
  <c r="G150" i="11"/>
  <c r="I143" i="1"/>
  <c r="H143" i="1"/>
  <c r="J143" i="1"/>
  <c r="G133" i="14"/>
  <c r="I133" i="14"/>
  <c r="H133" i="14"/>
  <c r="G426" i="14"/>
  <c r="H426" i="14"/>
  <c r="I426" i="14"/>
  <c r="J774" i="15"/>
  <c r="K774" i="15" s="1"/>
  <c r="K772" i="13" s="1"/>
  <c r="I774" i="15"/>
  <c r="H774" i="15"/>
  <c r="G774" i="15"/>
  <c r="I335" i="14"/>
  <c r="H335" i="14"/>
  <c r="G335" i="14"/>
  <c r="I144" i="11"/>
  <c r="H144" i="11"/>
  <c r="G144" i="11"/>
  <c r="H841" i="15"/>
  <c r="G841" i="15"/>
  <c r="J841" i="15"/>
  <c r="K841" i="15" s="1"/>
  <c r="K839" i="13" s="1"/>
  <c r="I841" i="15"/>
  <c r="I833" i="8"/>
  <c r="J833" i="8"/>
  <c r="H833" i="8"/>
  <c r="K833" i="8"/>
  <c r="L833" i="8" s="1"/>
  <c r="G831" i="13" s="1"/>
  <c r="H827" i="15"/>
  <c r="G827" i="15"/>
  <c r="J827" i="15"/>
  <c r="K827" i="15" s="1"/>
  <c r="K825" i="13" s="1"/>
  <c r="I827" i="15"/>
  <c r="K800" i="8"/>
  <c r="L800" i="8" s="1"/>
  <c r="G798" i="13" s="1"/>
  <c r="J800" i="8"/>
  <c r="I800" i="8"/>
  <c r="H800" i="8"/>
  <c r="H720" i="11"/>
  <c r="G720" i="11"/>
  <c r="J720" i="11"/>
  <c r="K720" i="11" s="1"/>
  <c r="I718" i="13" s="1"/>
  <c r="I720" i="11"/>
  <c r="J553" i="9"/>
  <c r="K553" i="9" s="1"/>
  <c r="H551" i="13" s="1"/>
  <c r="I553" i="9"/>
  <c r="G553" i="9"/>
  <c r="H553" i="9"/>
  <c r="K530" i="8"/>
  <c r="L530" i="8" s="1"/>
  <c r="G528" i="13" s="1"/>
  <c r="J530" i="8"/>
  <c r="I530" i="8"/>
  <c r="H530" i="8"/>
  <c r="I466" i="14"/>
  <c r="H466" i="14"/>
  <c r="G466" i="14"/>
  <c r="G286" i="15"/>
  <c r="I286" i="15"/>
  <c r="H286" i="15"/>
  <c r="I261" i="14"/>
  <c r="G261" i="14"/>
  <c r="H261" i="14"/>
  <c r="I101" i="15"/>
  <c r="H101" i="15"/>
  <c r="G101" i="15"/>
  <c r="I32" i="15"/>
  <c r="H32" i="15"/>
  <c r="G32" i="15"/>
  <c r="J843" i="15"/>
  <c r="K843" i="15" s="1"/>
  <c r="K841" i="13" s="1"/>
  <c r="I843" i="15"/>
  <c r="H843" i="15"/>
  <c r="G843" i="15"/>
  <c r="I447" i="15"/>
  <c r="H447" i="15"/>
  <c r="G447" i="15"/>
  <c r="H232" i="14"/>
  <c r="G232" i="14"/>
  <c r="I232" i="14"/>
  <c r="H140" i="15"/>
  <c r="G140" i="15"/>
  <c r="I140" i="15"/>
  <c r="H711" i="9"/>
  <c r="J711" i="9"/>
  <c r="K711" i="9" s="1"/>
  <c r="H709" i="13" s="1"/>
  <c r="I711" i="9"/>
  <c r="G711" i="9"/>
  <c r="H320" i="15"/>
  <c r="G320" i="15"/>
  <c r="I320" i="15"/>
  <c r="I639" i="8"/>
  <c r="H639" i="8"/>
  <c r="K639" i="8"/>
  <c r="L639" i="8" s="1"/>
  <c r="G637" i="13" s="1"/>
  <c r="J639" i="8"/>
  <c r="I539" i="14"/>
  <c r="H539" i="14"/>
  <c r="J539" i="14"/>
  <c r="K539" i="14" s="1"/>
  <c r="J537" i="13" s="1"/>
  <c r="G539" i="14"/>
  <c r="I417" i="11"/>
  <c r="H417" i="11"/>
  <c r="G417" i="11"/>
  <c r="I137" i="14"/>
  <c r="H137" i="14"/>
  <c r="G137" i="14"/>
  <c r="I52" i="11"/>
  <c r="G52" i="11"/>
  <c r="H52" i="11"/>
  <c r="H805" i="11"/>
  <c r="G805" i="11"/>
  <c r="J805" i="11"/>
  <c r="K805" i="11" s="1"/>
  <c r="I803" i="13" s="1"/>
  <c r="I805" i="11"/>
  <c r="G791" i="9"/>
  <c r="H791" i="9"/>
  <c r="J791" i="9"/>
  <c r="K791" i="9" s="1"/>
  <c r="H789" i="13" s="1"/>
  <c r="I791" i="9"/>
  <c r="J758" i="9"/>
  <c r="K758" i="9" s="1"/>
  <c r="H756" i="13" s="1"/>
  <c r="I758" i="9"/>
  <c r="H758" i="9"/>
  <c r="G758" i="9"/>
  <c r="J753" i="15"/>
  <c r="K753" i="15" s="1"/>
  <c r="K751" i="13" s="1"/>
  <c r="I753" i="15"/>
  <c r="H753" i="15"/>
  <c r="G753" i="15"/>
  <c r="J712" i="15"/>
  <c r="K712" i="15" s="1"/>
  <c r="K710" i="13" s="1"/>
  <c r="I712" i="15"/>
  <c r="H712" i="15"/>
  <c r="G712" i="15"/>
  <c r="J669" i="14"/>
  <c r="K669" i="14" s="1"/>
  <c r="J667" i="13" s="1"/>
  <c r="G669" i="14"/>
  <c r="I669" i="14"/>
  <c r="H669" i="14"/>
  <c r="K642" i="8"/>
  <c r="L642" i="8" s="1"/>
  <c r="G640" i="13" s="1"/>
  <c r="I642" i="8"/>
  <c r="H642" i="8"/>
  <c r="J642" i="8"/>
  <c r="I566" i="9"/>
  <c r="G566" i="9"/>
  <c r="J566" i="9"/>
  <c r="K566" i="9" s="1"/>
  <c r="H564" i="13" s="1"/>
  <c r="H566" i="9"/>
  <c r="J527" i="9"/>
  <c r="K527" i="9" s="1"/>
  <c r="H525" i="13" s="1"/>
  <c r="I527" i="9"/>
  <c r="H527" i="9"/>
  <c r="G527" i="9"/>
  <c r="H435" i="14"/>
  <c r="G435" i="14"/>
  <c r="I435" i="14"/>
  <c r="I364" i="14"/>
  <c r="H364" i="14"/>
  <c r="G364" i="14"/>
  <c r="I116" i="11"/>
  <c r="H116" i="11"/>
  <c r="G116" i="11"/>
  <c r="I341" i="14"/>
  <c r="H341" i="14"/>
  <c r="G341" i="14"/>
  <c r="H853" i="11"/>
  <c r="J853" i="11"/>
  <c r="K853" i="11" s="1"/>
  <c r="I851" i="13" s="1"/>
  <c r="I853" i="11"/>
  <c r="G853" i="11"/>
  <c r="H814" i="9"/>
  <c r="G814" i="9"/>
  <c r="J814" i="9"/>
  <c r="K814" i="9" s="1"/>
  <c r="H812" i="13" s="1"/>
  <c r="I814" i="9"/>
  <c r="J802" i="14"/>
  <c r="K802" i="14" s="1"/>
  <c r="J800" i="13" s="1"/>
  <c r="I802" i="14"/>
  <c r="H802" i="14"/>
  <c r="G802" i="14"/>
  <c r="J608" i="15"/>
  <c r="K608" i="15" s="1"/>
  <c r="K606" i="13" s="1"/>
  <c r="I608" i="15"/>
  <c r="H608" i="15"/>
  <c r="G608" i="15"/>
  <c r="H537" i="9"/>
  <c r="J537" i="9"/>
  <c r="K537" i="9" s="1"/>
  <c r="H535" i="13" s="1"/>
  <c r="I537" i="9"/>
  <c r="G537" i="9"/>
  <c r="H524" i="14"/>
  <c r="G524" i="14"/>
  <c r="J524" i="14"/>
  <c r="K524" i="14" s="1"/>
  <c r="J522" i="13" s="1"/>
  <c r="I524" i="14"/>
  <c r="G506" i="15"/>
  <c r="I506" i="15"/>
  <c r="H506" i="15"/>
  <c r="I468" i="14"/>
  <c r="H468" i="14"/>
  <c r="G468" i="14"/>
  <c r="I271" i="11"/>
  <c r="H271" i="11"/>
  <c r="G271" i="11"/>
  <c r="G164" i="14"/>
  <c r="H164" i="14"/>
  <c r="I164" i="14"/>
  <c r="G91" i="11"/>
  <c r="I91" i="11"/>
  <c r="H91" i="11"/>
  <c r="G73" i="15"/>
  <c r="I73" i="15"/>
  <c r="H73" i="15"/>
  <c r="I63" i="11"/>
  <c r="H63" i="11"/>
  <c r="G63" i="11"/>
  <c r="I45" i="14"/>
  <c r="H45" i="14"/>
  <c r="G45" i="14"/>
  <c r="G19" i="14"/>
  <c r="H19" i="14"/>
  <c r="I19" i="14"/>
  <c r="H78" i="1"/>
  <c r="I67" i="14"/>
  <c r="H67" i="14"/>
  <c r="G67" i="14"/>
  <c r="J673" i="8"/>
  <c r="I673" i="8"/>
  <c r="H673" i="8"/>
  <c r="K673" i="8"/>
  <c r="L673" i="8" s="1"/>
  <c r="G671" i="13" s="1"/>
  <c r="K573" i="8"/>
  <c r="L573" i="8" s="1"/>
  <c r="G571" i="13" s="1"/>
  <c r="H573" i="8"/>
  <c r="J573" i="8"/>
  <c r="I573" i="8"/>
  <c r="G326" i="14"/>
  <c r="I326" i="14"/>
  <c r="H326" i="14"/>
  <c r="G734" i="14"/>
  <c r="J734" i="14"/>
  <c r="K734" i="14" s="1"/>
  <c r="J732" i="13" s="1"/>
  <c r="I734" i="14"/>
  <c r="H734" i="14"/>
  <c r="G366" i="11"/>
  <c r="H366" i="11"/>
  <c r="I366" i="11"/>
  <c r="I301" i="15"/>
  <c r="G301" i="15"/>
  <c r="H301" i="15"/>
  <c r="H678" i="14"/>
  <c r="G678" i="14"/>
  <c r="J678" i="14"/>
  <c r="K678" i="14" s="1"/>
  <c r="J676" i="13" s="1"/>
  <c r="I678" i="14"/>
  <c r="I788" i="15"/>
  <c r="J788" i="15"/>
  <c r="K788" i="15" s="1"/>
  <c r="K786" i="13" s="1"/>
  <c r="H788" i="15"/>
  <c r="G788" i="15"/>
  <c r="J771" i="14"/>
  <c r="K771" i="14" s="1"/>
  <c r="J769" i="13" s="1"/>
  <c r="I771" i="14"/>
  <c r="G771" i="14"/>
  <c r="H771" i="14"/>
  <c r="J695" i="11"/>
  <c r="K695" i="11" s="1"/>
  <c r="I693" i="13" s="1"/>
  <c r="I695" i="11"/>
  <c r="H695" i="11"/>
  <c r="G695" i="11"/>
  <c r="H583" i="14"/>
  <c r="J583" i="14"/>
  <c r="K583" i="14" s="1"/>
  <c r="J581" i="13" s="1"/>
  <c r="I583" i="14"/>
  <c r="G583" i="14"/>
  <c r="H568" i="14"/>
  <c r="G568" i="14"/>
  <c r="J568" i="14"/>
  <c r="K568" i="14" s="1"/>
  <c r="J566" i="13" s="1"/>
  <c r="I568" i="14"/>
  <c r="G278" i="11"/>
  <c r="H278" i="11"/>
  <c r="I278" i="11"/>
  <c r="G244" i="15"/>
  <c r="H244" i="15"/>
  <c r="I244" i="15"/>
  <c r="H724" i="15"/>
  <c r="G724" i="15"/>
  <c r="J724" i="15"/>
  <c r="K724" i="15" s="1"/>
  <c r="K722" i="13" s="1"/>
  <c r="I724" i="15"/>
  <c r="J676" i="8"/>
  <c r="I676" i="8"/>
  <c r="H676" i="8"/>
  <c r="K676" i="8"/>
  <c r="L676" i="8" s="1"/>
  <c r="G674" i="13" s="1"/>
  <c r="G636" i="15"/>
  <c r="J636" i="15"/>
  <c r="K636" i="15" s="1"/>
  <c r="K634" i="13" s="1"/>
  <c r="I636" i="15"/>
  <c r="H636" i="15"/>
  <c r="G360" i="11"/>
  <c r="I360" i="11"/>
  <c r="H360" i="11"/>
  <c r="J819" i="14"/>
  <c r="K819" i="14" s="1"/>
  <c r="J817" i="13" s="1"/>
  <c r="I819" i="14"/>
  <c r="H819" i="14"/>
  <c r="G819" i="14"/>
  <c r="G536" i="11"/>
  <c r="J536" i="11"/>
  <c r="K536" i="11" s="1"/>
  <c r="I534" i="13" s="1"/>
  <c r="I536" i="11"/>
  <c r="H536" i="11"/>
  <c r="I267" i="15"/>
  <c r="H267" i="15"/>
  <c r="G267" i="15"/>
  <c r="I166" i="15"/>
  <c r="H166" i="15"/>
  <c r="G166" i="15"/>
  <c r="J842" i="11"/>
  <c r="K842" i="11" s="1"/>
  <c r="I840" i="13" s="1"/>
  <c r="I842" i="11"/>
  <c r="H842" i="11"/>
  <c r="G842" i="11"/>
  <c r="I745" i="14"/>
  <c r="H745" i="14"/>
  <c r="J745" i="14"/>
  <c r="K745" i="14" s="1"/>
  <c r="J743" i="13" s="1"/>
  <c r="G745" i="14"/>
  <c r="J648" i="14"/>
  <c r="K648" i="14" s="1"/>
  <c r="J646" i="13" s="1"/>
  <c r="I648" i="14"/>
  <c r="H648" i="14"/>
  <c r="G648" i="14"/>
  <c r="J567" i="9"/>
  <c r="K567" i="9" s="1"/>
  <c r="H565" i="13" s="1"/>
  <c r="I567" i="9"/>
  <c r="G567" i="9"/>
  <c r="H567" i="9"/>
  <c r="H381" i="15"/>
  <c r="G381" i="15"/>
  <c r="I381" i="15"/>
  <c r="H643" i="14"/>
  <c r="J643" i="14"/>
  <c r="K643" i="14" s="1"/>
  <c r="J641" i="13" s="1"/>
  <c r="G643" i="14"/>
  <c r="I643" i="14"/>
  <c r="G531" i="15"/>
  <c r="J531" i="15"/>
  <c r="K531" i="15" s="1"/>
  <c r="K529" i="13" s="1"/>
  <c r="I531" i="15"/>
  <c r="H531" i="15"/>
  <c r="J777" i="15"/>
  <c r="K777" i="15" s="1"/>
  <c r="K775" i="13" s="1"/>
  <c r="I777" i="15"/>
  <c r="H777" i="15"/>
  <c r="G777" i="15"/>
  <c r="I255" i="14"/>
  <c r="H255" i="14"/>
  <c r="G255" i="14"/>
  <c r="K533" i="8"/>
  <c r="L533" i="8" s="1"/>
  <c r="G531" i="13" s="1"/>
  <c r="J533" i="8"/>
  <c r="H533" i="8"/>
  <c r="I533" i="8"/>
  <c r="J260" i="1"/>
  <c r="I260" i="1"/>
  <c r="G260" i="1"/>
  <c r="H260" i="1"/>
  <c r="J823" i="8"/>
  <c r="I823" i="8"/>
  <c r="H823" i="8"/>
  <c r="K823" i="8"/>
  <c r="L823" i="8" s="1"/>
  <c r="G821" i="13" s="1"/>
  <c r="J399" i="1"/>
  <c r="G399" i="1"/>
  <c r="I399" i="1"/>
  <c r="G349" i="11"/>
  <c r="I349" i="11"/>
  <c r="H349" i="11"/>
  <c r="K613" i="1"/>
  <c r="J613" i="1"/>
  <c r="I613" i="1"/>
  <c r="J619" i="14"/>
  <c r="K619" i="14" s="1"/>
  <c r="J617" i="13" s="1"/>
  <c r="H619" i="14"/>
  <c r="I619" i="14"/>
  <c r="G619" i="14"/>
  <c r="J550" i="11"/>
  <c r="K550" i="11" s="1"/>
  <c r="I548" i="13" s="1"/>
  <c r="I550" i="11"/>
  <c r="H550" i="11"/>
  <c r="G550" i="11"/>
  <c r="J806" i="11"/>
  <c r="K806" i="11" s="1"/>
  <c r="I804" i="13" s="1"/>
  <c r="G806" i="11"/>
  <c r="I806" i="11"/>
  <c r="H806" i="11"/>
  <c r="K736" i="8"/>
  <c r="L736" i="8" s="1"/>
  <c r="G734" i="13" s="1"/>
  <c r="H736" i="8"/>
  <c r="J736" i="8"/>
  <c r="I736" i="8"/>
  <c r="H282" i="11"/>
  <c r="G282" i="11"/>
  <c r="I282" i="11"/>
  <c r="J627" i="8"/>
  <c r="H627" i="8"/>
  <c r="K627" i="8"/>
  <c r="L627" i="8" s="1"/>
  <c r="G625" i="13" s="1"/>
  <c r="I627" i="8"/>
  <c r="H546" i="9"/>
  <c r="G546" i="9"/>
  <c r="I546" i="9"/>
  <c r="J546" i="9"/>
  <c r="K546" i="9" s="1"/>
  <c r="H544" i="13" s="1"/>
  <c r="I368" i="11"/>
  <c r="H368" i="11"/>
  <c r="G368" i="11"/>
  <c r="H21" i="14"/>
  <c r="G21" i="14"/>
  <c r="I21" i="14"/>
  <c r="H69" i="11"/>
  <c r="G69" i="11"/>
  <c r="I69" i="11"/>
  <c r="G465" i="11"/>
  <c r="I465" i="11"/>
  <c r="H465" i="11"/>
  <c r="I700" i="8"/>
  <c r="H700" i="8"/>
  <c r="K700" i="8"/>
  <c r="L700" i="8" s="1"/>
  <c r="G698" i="13" s="1"/>
  <c r="J700" i="8"/>
  <c r="J653" i="9"/>
  <c r="K653" i="9" s="1"/>
  <c r="H651" i="13" s="1"/>
  <c r="I653" i="9"/>
  <c r="H653" i="9"/>
  <c r="G653" i="9"/>
  <c r="J633" i="9"/>
  <c r="K633" i="9" s="1"/>
  <c r="H631" i="13" s="1"/>
  <c r="I633" i="9"/>
  <c r="H633" i="9"/>
  <c r="G633" i="9"/>
  <c r="G371" i="15"/>
  <c r="I371" i="15"/>
  <c r="H371" i="15"/>
  <c r="I85" i="14"/>
  <c r="H85" i="14"/>
  <c r="G85" i="14"/>
  <c r="G808" i="9"/>
  <c r="I808" i="9"/>
  <c r="H808" i="9"/>
  <c r="J808" i="9"/>
  <c r="K808" i="9" s="1"/>
  <c r="H806" i="13" s="1"/>
  <c r="K590" i="1"/>
  <c r="J590" i="1"/>
  <c r="H9" i="14"/>
  <c r="G9" i="14"/>
  <c r="I9" i="14"/>
  <c r="G499" i="11"/>
  <c r="I499" i="11"/>
  <c r="H499" i="11"/>
  <c r="J834" i="15"/>
  <c r="K834" i="15" s="1"/>
  <c r="K832" i="13" s="1"/>
  <c r="I834" i="15"/>
  <c r="H834" i="15"/>
  <c r="G834" i="15"/>
  <c r="G158" i="14"/>
  <c r="I158" i="14"/>
  <c r="H158" i="14"/>
  <c r="G242" i="11"/>
  <c r="H242" i="11"/>
  <c r="I242" i="11"/>
  <c r="I159" i="11"/>
  <c r="H159" i="11"/>
  <c r="G159" i="11"/>
  <c r="I95" i="11"/>
  <c r="H95" i="11"/>
  <c r="G95" i="11"/>
  <c r="H676" i="14"/>
  <c r="I676" i="14"/>
  <c r="J676" i="14"/>
  <c r="K676" i="14" s="1"/>
  <c r="J674" i="13" s="1"/>
  <c r="G676" i="14"/>
  <c r="K620" i="8"/>
  <c r="L620" i="8" s="1"/>
  <c r="G618" i="13" s="1"/>
  <c r="H620" i="8"/>
  <c r="J620" i="8"/>
  <c r="I620" i="8"/>
  <c r="G431" i="14"/>
  <c r="I431" i="14"/>
  <c r="H431" i="14"/>
  <c r="I113" i="14"/>
  <c r="H113" i="14"/>
  <c r="G113" i="14"/>
  <c r="J742" i="11"/>
  <c r="K742" i="11" s="1"/>
  <c r="I740" i="13" s="1"/>
  <c r="I742" i="11"/>
  <c r="G742" i="11"/>
  <c r="H742" i="11"/>
  <c r="H486" i="15"/>
  <c r="I486" i="15"/>
  <c r="G486" i="15"/>
  <c r="J536" i="15"/>
  <c r="K536" i="15" s="1"/>
  <c r="K534" i="13" s="1"/>
  <c r="I536" i="15"/>
  <c r="H536" i="15"/>
  <c r="G536" i="15"/>
  <c r="I842" i="15"/>
  <c r="J842" i="15"/>
  <c r="K842" i="15" s="1"/>
  <c r="K840" i="13" s="1"/>
  <c r="H842" i="15"/>
  <c r="G842" i="15"/>
  <c r="J645" i="8"/>
  <c r="I645" i="8"/>
  <c r="H645" i="8"/>
  <c r="K645" i="8"/>
  <c r="L645" i="8" s="1"/>
  <c r="G643" i="13" s="1"/>
  <c r="H603" i="8"/>
  <c r="J603" i="8"/>
  <c r="I603" i="8"/>
  <c r="K603" i="8"/>
  <c r="L603" i="8" s="1"/>
  <c r="G601" i="13" s="1"/>
  <c r="G567" i="15"/>
  <c r="I567" i="15"/>
  <c r="H567" i="15"/>
  <c r="J567" i="15"/>
  <c r="K567" i="15" s="1"/>
  <c r="K565" i="13" s="1"/>
  <c r="I387" i="14"/>
  <c r="H387" i="14"/>
  <c r="G387" i="14"/>
  <c r="H80" i="14"/>
  <c r="G80" i="14"/>
  <c r="I80" i="14"/>
  <c r="G488" i="14"/>
  <c r="I488" i="14"/>
  <c r="H488" i="14"/>
  <c r="H643" i="1"/>
  <c r="K643" i="1"/>
  <c r="I643" i="1"/>
  <c r="J643" i="1"/>
  <c r="G643" i="1"/>
  <c r="I190" i="15"/>
  <c r="H190" i="15"/>
  <c r="G190" i="15"/>
  <c r="J533" i="15"/>
  <c r="K533" i="15" s="1"/>
  <c r="K531" i="13" s="1"/>
  <c r="I533" i="15"/>
  <c r="H533" i="15"/>
  <c r="G533" i="15"/>
  <c r="G823" i="11"/>
  <c r="J823" i="11"/>
  <c r="K823" i="11" s="1"/>
  <c r="I821" i="13" s="1"/>
  <c r="I823" i="11"/>
  <c r="H823" i="11"/>
  <c r="J667" i="9"/>
  <c r="K667" i="9" s="1"/>
  <c r="H665" i="13" s="1"/>
  <c r="G667" i="9"/>
  <c r="I667" i="9"/>
  <c r="H667" i="9"/>
  <c r="J613" i="11"/>
  <c r="K613" i="11" s="1"/>
  <c r="I611" i="13" s="1"/>
  <c r="I613" i="11"/>
  <c r="H613" i="11"/>
  <c r="G613" i="11"/>
  <c r="K816" i="8"/>
  <c r="L816" i="8" s="1"/>
  <c r="G814" i="13" s="1"/>
  <c r="I816" i="8"/>
  <c r="J816" i="8"/>
  <c r="H816" i="8"/>
  <c r="G619" i="15"/>
  <c r="J619" i="15"/>
  <c r="K619" i="15" s="1"/>
  <c r="K617" i="13" s="1"/>
  <c r="I619" i="15"/>
  <c r="H619" i="15"/>
  <c r="H736" i="15"/>
  <c r="J736" i="15"/>
  <c r="K736" i="15" s="1"/>
  <c r="K734" i="13" s="1"/>
  <c r="I736" i="15"/>
  <c r="G736" i="15"/>
  <c r="H411" i="15"/>
  <c r="I411" i="15"/>
  <c r="G411" i="15"/>
  <c r="I142" i="15"/>
  <c r="H142" i="15"/>
  <c r="G142" i="15"/>
  <c r="G321" i="11"/>
  <c r="I321" i="11"/>
  <c r="H321" i="11"/>
  <c r="I352" i="11"/>
  <c r="H352" i="11"/>
  <c r="G352" i="11"/>
  <c r="I340" i="15"/>
  <c r="H340" i="15"/>
  <c r="G340" i="15"/>
  <c r="J779" i="11"/>
  <c r="K779" i="11" s="1"/>
  <c r="I777" i="13" s="1"/>
  <c r="I779" i="11"/>
  <c r="H779" i="11"/>
  <c r="G779" i="11"/>
  <c r="J765" i="15"/>
  <c r="K765" i="15" s="1"/>
  <c r="K763" i="13" s="1"/>
  <c r="H765" i="15"/>
  <c r="G765" i="15"/>
  <c r="I765" i="15"/>
  <c r="G285" i="1"/>
  <c r="I285" i="1"/>
  <c r="H285" i="1"/>
  <c r="J285" i="1"/>
  <c r="G248" i="14"/>
  <c r="I248" i="14"/>
  <c r="H248" i="14"/>
  <c r="I216" i="14"/>
  <c r="H216" i="14"/>
  <c r="G216" i="14"/>
  <c r="I146" i="14"/>
  <c r="H146" i="14"/>
  <c r="G146" i="14"/>
  <c r="I75" i="15"/>
  <c r="G75" i="15"/>
  <c r="H75" i="15"/>
  <c r="G658" i="15"/>
  <c r="J658" i="15"/>
  <c r="K658" i="15" s="1"/>
  <c r="K656" i="13" s="1"/>
  <c r="I658" i="15"/>
  <c r="H658" i="15"/>
  <c r="G337" i="11"/>
  <c r="I337" i="11"/>
  <c r="H337" i="11"/>
  <c r="H768" i="15"/>
  <c r="G768" i="15"/>
  <c r="J768" i="15"/>
  <c r="K768" i="15" s="1"/>
  <c r="K766" i="13" s="1"/>
  <c r="I768" i="15"/>
  <c r="H713" i="9"/>
  <c r="G713" i="9"/>
  <c r="J713" i="9"/>
  <c r="K713" i="9" s="1"/>
  <c r="H711" i="13" s="1"/>
  <c r="I713" i="9"/>
  <c r="I428" i="14"/>
  <c r="H428" i="14"/>
  <c r="G428" i="14"/>
  <c r="I316" i="1"/>
  <c r="J316" i="1"/>
  <c r="H750" i="1"/>
  <c r="J750" i="1"/>
  <c r="I750" i="1"/>
  <c r="G689" i="9"/>
  <c r="I689" i="9"/>
  <c r="J689" i="9"/>
  <c r="K689" i="9" s="1"/>
  <c r="H687" i="13" s="1"/>
  <c r="H689" i="9"/>
  <c r="J605" i="14"/>
  <c r="K605" i="14" s="1"/>
  <c r="J603" i="13" s="1"/>
  <c r="I605" i="14"/>
  <c r="G605" i="14"/>
  <c r="H605" i="14"/>
  <c r="G832" i="1"/>
  <c r="I832" i="1"/>
  <c r="J832" i="1"/>
  <c r="M832" i="1" s="1"/>
  <c r="J680" i="8"/>
  <c r="I680" i="8"/>
  <c r="H680" i="8"/>
  <c r="K680" i="8"/>
  <c r="L680" i="8" s="1"/>
  <c r="G678" i="13" s="1"/>
  <c r="G627" i="9"/>
  <c r="J627" i="9"/>
  <c r="K627" i="9" s="1"/>
  <c r="H625" i="13" s="1"/>
  <c r="I627" i="9"/>
  <c r="H627" i="9"/>
  <c r="H546" i="15"/>
  <c r="G546" i="15"/>
  <c r="J546" i="15"/>
  <c r="K546" i="15" s="1"/>
  <c r="K544" i="13" s="1"/>
  <c r="I546" i="15"/>
  <c r="H21" i="15"/>
  <c r="I21" i="15"/>
  <c r="G21" i="15"/>
  <c r="G69" i="14"/>
  <c r="I69" i="14"/>
  <c r="H69" i="14"/>
  <c r="I465" i="15"/>
  <c r="H465" i="15"/>
  <c r="G465" i="15"/>
  <c r="J700" i="9"/>
  <c r="K700" i="9" s="1"/>
  <c r="H698" i="13" s="1"/>
  <c r="I700" i="9"/>
  <c r="H700" i="9"/>
  <c r="G700" i="9"/>
  <c r="G653" i="14"/>
  <c r="J653" i="14"/>
  <c r="K653" i="14" s="1"/>
  <c r="J651" i="13" s="1"/>
  <c r="I653" i="14"/>
  <c r="H653" i="14"/>
  <c r="J633" i="8"/>
  <c r="I633" i="8"/>
  <c r="H633" i="8"/>
  <c r="K633" i="8"/>
  <c r="L633" i="8" s="1"/>
  <c r="G631" i="13" s="1"/>
  <c r="G808" i="11"/>
  <c r="J808" i="11"/>
  <c r="K808" i="11" s="1"/>
  <c r="I806" i="13" s="1"/>
  <c r="I808" i="11"/>
  <c r="H808" i="11"/>
  <c r="G9" i="15"/>
  <c r="I9" i="15"/>
  <c r="H9" i="15"/>
  <c r="I499" i="15"/>
  <c r="H499" i="15"/>
  <c r="G499" i="15"/>
  <c r="J834" i="14"/>
  <c r="K834" i="14" s="1"/>
  <c r="J832" i="13" s="1"/>
  <c r="H834" i="14"/>
  <c r="G834" i="14"/>
  <c r="I834" i="14"/>
  <c r="I158" i="15"/>
  <c r="H158" i="15"/>
  <c r="G158" i="15"/>
  <c r="I434" i="11"/>
  <c r="H434" i="11"/>
  <c r="G434" i="11"/>
  <c r="H366" i="15"/>
  <c r="G366" i="15"/>
  <c r="I366" i="15"/>
  <c r="H505" i="11"/>
  <c r="I505" i="11"/>
  <c r="G505" i="11"/>
  <c r="I171" i="15"/>
  <c r="G171" i="15"/>
  <c r="H171" i="15"/>
  <c r="J824" i="9"/>
  <c r="K824" i="9" s="1"/>
  <c r="H822" i="13" s="1"/>
  <c r="I824" i="9"/>
  <c r="H824" i="9"/>
  <c r="G824" i="9"/>
  <c r="I785" i="9"/>
  <c r="H785" i="9"/>
  <c r="G785" i="9"/>
  <c r="J785" i="9"/>
  <c r="K785" i="9" s="1"/>
  <c r="H783" i="13" s="1"/>
  <c r="J663" i="14"/>
  <c r="K663" i="14" s="1"/>
  <c r="J661" i="13" s="1"/>
  <c r="G663" i="14"/>
  <c r="I663" i="14"/>
  <c r="H663" i="14"/>
  <c r="J646" i="9"/>
  <c r="K646" i="9" s="1"/>
  <c r="H644" i="13" s="1"/>
  <c r="I646" i="9"/>
  <c r="H646" i="9"/>
  <c r="G646" i="9"/>
  <c r="H623" i="8"/>
  <c r="K623" i="8"/>
  <c r="L623" i="8" s="1"/>
  <c r="G621" i="13" s="1"/>
  <c r="J623" i="8"/>
  <c r="I623" i="8"/>
  <c r="I580" i="9"/>
  <c r="H580" i="9"/>
  <c r="G580" i="9"/>
  <c r="J580" i="9"/>
  <c r="K580" i="9" s="1"/>
  <c r="H578" i="13" s="1"/>
  <c r="G547" i="9"/>
  <c r="I547" i="9"/>
  <c r="J547" i="9"/>
  <c r="K547" i="9" s="1"/>
  <c r="H545" i="13" s="1"/>
  <c r="H547" i="9"/>
  <c r="H501" i="11"/>
  <c r="I501" i="11"/>
  <c r="G501" i="11"/>
  <c r="G374" i="11"/>
  <c r="I374" i="11"/>
  <c r="H374" i="11"/>
  <c r="G290" i="15"/>
  <c r="I290" i="15"/>
  <c r="H290" i="15"/>
  <c r="I258" i="11"/>
  <c r="H258" i="11"/>
  <c r="G258" i="11"/>
  <c r="G159" i="14"/>
  <c r="I159" i="14"/>
  <c r="H159" i="14"/>
  <c r="H95" i="15"/>
  <c r="G95" i="15"/>
  <c r="I95" i="15"/>
  <c r="I88" i="14"/>
  <c r="H88" i="14"/>
  <c r="G88" i="14"/>
  <c r="H717" i="9"/>
  <c r="J717" i="9"/>
  <c r="K717" i="9" s="1"/>
  <c r="H715" i="13" s="1"/>
  <c r="I717" i="9"/>
  <c r="G717" i="9"/>
  <c r="H676" i="15"/>
  <c r="I676" i="15"/>
  <c r="G676" i="15"/>
  <c r="J676" i="15"/>
  <c r="K676" i="15" s="1"/>
  <c r="K674" i="13" s="1"/>
  <c r="H620" i="9"/>
  <c r="G620" i="9"/>
  <c r="I620" i="9"/>
  <c r="J620" i="9"/>
  <c r="K620" i="9" s="1"/>
  <c r="H618" i="13" s="1"/>
  <c r="I431" i="15"/>
  <c r="H431" i="15"/>
  <c r="G431" i="15"/>
  <c r="J742" i="15"/>
  <c r="K742" i="15" s="1"/>
  <c r="K740" i="13" s="1"/>
  <c r="H742" i="15"/>
  <c r="I742" i="15"/>
  <c r="G742" i="15"/>
  <c r="J668" i="11"/>
  <c r="K668" i="11" s="1"/>
  <c r="I666" i="13" s="1"/>
  <c r="G668" i="11"/>
  <c r="I668" i="11"/>
  <c r="H668" i="11"/>
  <c r="I246" i="11"/>
  <c r="G246" i="11"/>
  <c r="H246" i="11"/>
  <c r="J645" i="11"/>
  <c r="K645" i="11" s="1"/>
  <c r="I643" i="13" s="1"/>
  <c r="H645" i="11"/>
  <c r="G645" i="11"/>
  <c r="I645" i="11"/>
  <c r="H603" i="9"/>
  <c r="J603" i="9"/>
  <c r="K603" i="9" s="1"/>
  <c r="H601" i="13" s="1"/>
  <c r="I603" i="9"/>
  <c r="G603" i="9"/>
  <c r="J567" i="14"/>
  <c r="K567" i="14" s="1"/>
  <c r="J565" i="13" s="1"/>
  <c r="I567" i="14"/>
  <c r="H567" i="14"/>
  <c r="G567" i="14"/>
  <c r="G387" i="15"/>
  <c r="I387" i="15"/>
  <c r="H387" i="15"/>
  <c r="H202" i="11"/>
  <c r="G202" i="11"/>
  <c r="I202" i="11"/>
  <c r="I99" i="15"/>
  <c r="H99" i="15"/>
  <c r="G99" i="15"/>
  <c r="I80" i="15"/>
  <c r="H80" i="15"/>
  <c r="G80" i="15"/>
  <c r="I488" i="15"/>
  <c r="H488" i="15"/>
  <c r="G488" i="15"/>
  <c r="I26" i="11"/>
  <c r="H26" i="11"/>
  <c r="G26" i="11"/>
  <c r="I476" i="11"/>
  <c r="H476" i="11"/>
  <c r="G476" i="11"/>
  <c r="G357" i="14"/>
  <c r="I357" i="14"/>
  <c r="H357" i="14"/>
  <c r="G823" i="15"/>
  <c r="H823" i="15"/>
  <c r="J823" i="15"/>
  <c r="K823" i="15" s="1"/>
  <c r="K821" i="13" s="1"/>
  <c r="I823" i="15"/>
  <c r="I667" i="11"/>
  <c r="G667" i="11"/>
  <c r="J667" i="11"/>
  <c r="K667" i="11" s="1"/>
  <c r="I665" i="13" s="1"/>
  <c r="H667" i="11"/>
  <c r="H613" i="14"/>
  <c r="I613" i="14"/>
  <c r="G613" i="14"/>
  <c r="J613" i="14"/>
  <c r="K613" i="14" s="1"/>
  <c r="J611" i="13" s="1"/>
  <c r="G816" i="9"/>
  <c r="J816" i="9"/>
  <c r="K816" i="9" s="1"/>
  <c r="H814" i="13" s="1"/>
  <c r="I816" i="9"/>
  <c r="H816" i="9"/>
  <c r="H754" i="8"/>
  <c r="J754" i="8"/>
  <c r="I754" i="8"/>
  <c r="K754" i="8"/>
  <c r="L754" i="8" s="1"/>
  <c r="G752" i="13" s="1"/>
  <c r="I806" i="1"/>
  <c r="J806" i="1"/>
  <c r="M806" i="1" s="1"/>
  <c r="J672" i="8"/>
  <c r="K672" i="8"/>
  <c r="L672" i="8" s="1"/>
  <c r="G670" i="13" s="1"/>
  <c r="I672" i="8"/>
  <c r="H672" i="8"/>
  <c r="G411" i="14"/>
  <c r="I411" i="14"/>
  <c r="H411" i="14"/>
  <c r="H300" i="14"/>
  <c r="I300" i="14"/>
  <c r="G300" i="14"/>
  <c r="H6" i="15"/>
  <c r="I6" i="15"/>
  <c r="G6" i="15"/>
  <c r="G321" i="14"/>
  <c r="I321" i="14"/>
  <c r="H321" i="14"/>
  <c r="H352" i="14"/>
  <c r="I352" i="14"/>
  <c r="G352" i="14"/>
  <c r="I490" i="11"/>
  <c r="H490" i="11"/>
  <c r="G490" i="11"/>
  <c r="K779" i="8"/>
  <c r="L779" i="8" s="1"/>
  <c r="G777" i="13" s="1"/>
  <c r="J779" i="8"/>
  <c r="I779" i="8"/>
  <c r="H779" i="8"/>
  <c r="H495" i="11"/>
  <c r="I495" i="11"/>
  <c r="G495" i="11"/>
  <c r="I248" i="15"/>
  <c r="H248" i="15"/>
  <c r="G248" i="15"/>
  <c r="H216" i="11"/>
  <c r="G216" i="11"/>
  <c r="I216" i="11"/>
  <c r="G177" i="1"/>
  <c r="J177" i="1"/>
  <c r="I177" i="1"/>
  <c r="I146" i="11"/>
  <c r="H146" i="11"/>
  <c r="G146" i="11"/>
  <c r="I713" i="11"/>
  <c r="G713" i="11"/>
  <c r="J713" i="11"/>
  <c r="K713" i="11" s="1"/>
  <c r="I711" i="13" s="1"/>
  <c r="H713" i="11"/>
  <c r="I428" i="15"/>
  <c r="H428" i="15"/>
  <c r="G428" i="15"/>
  <c r="I168" i="14"/>
  <c r="H168" i="14"/>
  <c r="G168" i="14"/>
  <c r="G155" i="14"/>
  <c r="I155" i="14"/>
  <c r="H155" i="14"/>
  <c r="H750" i="8"/>
  <c r="I750" i="8"/>
  <c r="K750" i="8"/>
  <c r="L750" i="8" s="1"/>
  <c r="G748" i="13" s="1"/>
  <c r="J750" i="8"/>
  <c r="I689" i="11"/>
  <c r="H689" i="11"/>
  <c r="G689" i="11"/>
  <c r="J689" i="11"/>
  <c r="K689" i="11" s="1"/>
  <c r="I687" i="13" s="1"/>
  <c r="I605" i="11"/>
  <c r="J605" i="11"/>
  <c r="K605" i="11" s="1"/>
  <c r="I603" i="13" s="1"/>
  <c r="H605" i="11"/>
  <c r="G605" i="11"/>
  <c r="I454" i="1"/>
  <c r="J454" i="1"/>
  <c r="H454" i="1"/>
  <c r="J832" i="8"/>
  <c r="I832" i="8"/>
  <c r="H832" i="8"/>
  <c r="K832" i="8"/>
  <c r="L832" i="8" s="1"/>
  <c r="G830" i="13" s="1"/>
  <c r="J784" i="9"/>
  <c r="K784" i="9" s="1"/>
  <c r="H782" i="13" s="1"/>
  <c r="I784" i="9"/>
  <c r="H784" i="9"/>
  <c r="G784" i="9"/>
  <c r="K595" i="8"/>
  <c r="L595" i="8" s="1"/>
  <c r="G593" i="13" s="1"/>
  <c r="J595" i="8"/>
  <c r="I595" i="8"/>
  <c r="H595" i="8"/>
  <c r="H680" i="14"/>
  <c r="I680" i="14"/>
  <c r="J680" i="14"/>
  <c r="K680" i="14" s="1"/>
  <c r="J678" i="13" s="1"/>
  <c r="G680" i="14"/>
  <c r="H627" i="11"/>
  <c r="G627" i="11"/>
  <c r="J627" i="11"/>
  <c r="K627" i="11" s="1"/>
  <c r="I625" i="13" s="1"/>
  <c r="I627" i="11"/>
  <c r="J546" i="11"/>
  <c r="K546" i="11" s="1"/>
  <c r="I544" i="13" s="1"/>
  <c r="H546" i="11"/>
  <c r="G546" i="11"/>
  <c r="I546" i="11"/>
  <c r="G368" i="14"/>
  <c r="I368" i="14"/>
  <c r="H368" i="14"/>
  <c r="H69" i="15"/>
  <c r="G69" i="15"/>
  <c r="I69" i="15"/>
  <c r="H241" i="11"/>
  <c r="I241" i="11"/>
  <c r="G241" i="11"/>
  <c r="J700" i="11"/>
  <c r="K700" i="11" s="1"/>
  <c r="I698" i="13" s="1"/>
  <c r="I700" i="11"/>
  <c r="G700" i="11"/>
  <c r="H700" i="11"/>
  <c r="J653" i="15"/>
  <c r="K653" i="15" s="1"/>
  <c r="K651" i="13" s="1"/>
  <c r="I653" i="15"/>
  <c r="H653" i="15"/>
  <c r="G653" i="15"/>
  <c r="J633" i="11"/>
  <c r="K633" i="11" s="1"/>
  <c r="I631" i="13" s="1"/>
  <c r="I633" i="11"/>
  <c r="H633" i="11"/>
  <c r="G633" i="11"/>
  <c r="J808" i="14"/>
  <c r="K808" i="14" s="1"/>
  <c r="J806" i="13" s="1"/>
  <c r="I808" i="14"/>
  <c r="H808" i="14"/>
  <c r="G808" i="14"/>
  <c r="G499" i="14"/>
  <c r="I499" i="14"/>
  <c r="H499" i="14"/>
  <c r="G159" i="15"/>
  <c r="I159" i="15"/>
  <c r="H159" i="15"/>
  <c r="G126" i="11"/>
  <c r="I126" i="11"/>
  <c r="H126" i="11"/>
  <c r="G88" i="11"/>
  <c r="I88" i="11"/>
  <c r="H88" i="11"/>
  <c r="I12" i="11"/>
  <c r="H12" i="11"/>
  <c r="G12" i="11"/>
  <c r="K717" i="8"/>
  <c r="L717" i="8" s="1"/>
  <c r="G715" i="13" s="1"/>
  <c r="J717" i="8"/>
  <c r="I717" i="8"/>
  <c r="H717" i="8"/>
  <c r="G620" i="14"/>
  <c r="I620" i="14"/>
  <c r="H620" i="14"/>
  <c r="J620" i="14"/>
  <c r="K620" i="14" s="1"/>
  <c r="J618" i="13" s="1"/>
  <c r="G113" i="15"/>
  <c r="I113" i="15"/>
  <c r="H113" i="15"/>
  <c r="K840" i="8"/>
  <c r="L840" i="8" s="1"/>
  <c r="G838" i="13" s="1"/>
  <c r="I840" i="8"/>
  <c r="J840" i="8"/>
  <c r="H840" i="8"/>
  <c r="I742" i="14"/>
  <c r="J742" i="14"/>
  <c r="K742" i="14" s="1"/>
  <c r="J740" i="13" s="1"/>
  <c r="G742" i="14"/>
  <c r="H742" i="14"/>
  <c r="J668" i="9"/>
  <c r="K668" i="9" s="1"/>
  <c r="H666" i="13" s="1"/>
  <c r="I668" i="9"/>
  <c r="H668" i="9"/>
  <c r="G668" i="9"/>
  <c r="H486" i="1"/>
  <c r="I486" i="1"/>
  <c r="J645" i="9"/>
  <c r="K645" i="9" s="1"/>
  <c r="H643" i="13" s="1"/>
  <c r="I645" i="9"/>
  <c r="H645" i="9"/>
  <c r="G645" i="9"/>
  <c r="H603" i="11"/>
  <c r="G603" i="11"/>
  <c r="J603" i="11"/>
  <c r="K603" i="11" s="1"/>
  <c r="I601" i="13" s="1"/>
  <c r="I603" i="11"/>
  <c r="I202" i="15"/>
  <c r="H202" i="15"/>
  <c r="G202" i="15"/>
  <c r="I99" i="11"/>
  <c r="H99" i="11"/>
  <c r="G99" i="11"/>
  <c r="K562" i="8"/>
  <c r="L562" i="8" s="1"/>
  <c r="G560" i="13" s="1"/>
  <c r="J562" i="8"/>
  <c r="H562" i="8"/>
  <c r="I562" i="8"/>
  <c r="G476" i="14"/>
  <c r="I476" i="14"/>
  <c r="H476" i="14"/>
  <c r="H533" i="1"/>
  <c r="K533" i="1"/>
  <c r="J533" i="1"/>
  <c r="I533" i="1"/>
  <c r="H357" i="11"/>
  <c r="I357" i="11"/>
  <c r="G357" i="11"/>
  <c r="J64" i="1"/>
  <c r="H64" i="1"/>
  <c r="I64" i="1"/>
  <c r="G64" i="1"/>
  <c r="G87" i="11"/>
  <c r="H87" i="11"/>
  <c r="I87" i="11"/>
  <c r="J667" i="14"/>
  <c r="K667" i="14" s="1"/>
  <c r="J665" i="13" s="1"/>
  <c r="H667" i="14"/>
  <c r="G667" i="14"/>
  <c r="I667" i="14"/>
  <c r="J613" i="15"/>
  <c r="K613" i="15" s="1"/>
  <c r="K611" i="13" s="1"/>
  <c r="I613" i="15"/>
  <c r="H613" i="15"/>
  <c r="G613" i="15"/>
  <c r="G816" i="11"/>
  <c r="J816" i="11"/>
  <c r="K816" i="11" s="1"/>
  <c r="I814" i="13" s="1"/>
  <c r="I816" i="11"/>
  <c r="H816" i="11"/>
  <c r="J754" i="9"/>
  <c r="K754" i="9" s="1"/>
  <c r="H752" i="13" s="1"/>
  <c r="G754" i="9"/>
  <c r="I754" i="9"/>
  <c r="H754" i="9"/>
  <c r="K736" i="1"/>
  <c r="I736" i="1"/>
  <c r="J736" i="1"/>
  <c r="G672" i="9"/>
  <c r="J672" i="9"/>
  <c r="K672" i="9" s="1"/>
  <c r="H670" i="13" s="1"/>
  <c r="I672" i="9"/>
  <c r="H672" i="9"/>
  <c r="G300" i="15"/>
  <c r="I300" i="15"/>
  <c r="H300" i="15"/>
  <c r="G6" i="14"/>
  <c r="H6" i="14"/>
  <c r="I6" i="14"/>
  <c r="G321" i="15"/>
  <c r="H321" i="15"/>
  <c r="I321" i="15"/>
  <c r="I352" i="15"/>
  <c r="H352" i="15"/>
  <c r="G352" i="15"/>
  <c r="I490" i="14"/>
  <c r="G490" i="14"/>
  <c r="H490" i="14"/>
  <c r="I779" i="9"/>
  <c r="H779" i="9"/>
  <c r="G779" i="9"/>
  <c r="J779" i="9"/>
  <c r="K779" i="9" s="1"/>
  <c r="H777" i="13" s="1"/>
  <c r="G555" i="9"/>
  <c r="J555" i="9"/>
  <c r="K555" i="9" s="1"/>
  <c r="H553" i="13" s="1"/>
  <c r="I555" i="9"/>
  <c r="H555" i="9"/>
  <c r="I495" i="14"/>
  <c r="H495" i="14"/>
  <c r="G495" i="14"/>
  <c r="H216" i="15"/>
  <c r="G216" i="15"/>
  <c r="I216" i="15"/>
  <c r="H146" i="15"/>
  <c r="I146" i="15"/>
  <c r="G146" i="15"/>
  <c r="H337" i="15"/>
  <c r="G337" i="15"/>
  <c r="I337" i="15"/>
  <c r="J713" i="15"/>
  <c r="K713" i="15" s="1"/>
  <c r="K711" i="13" s="1"/>
  <c r="I713" i="15"/>
  <c r="H713" i="15"/>
  <c r="G713" i="15"/>
  <c r="I168" i="11"/>
  <c r="H168" i="11"/>
  <c r="G168" i="11"/>
  <c r="G209" i="14"/>
  <c r="H209" i="14"/>
  <c r="I209" i="14"/>
  <c r="J607" i="9"/>
  <c r="K607" i="9" s="1"/>
  <c r="H605" i="13" s="1"/>
  <c r="I607" i="9"/>
  <c r="H607" i="9"/>
  <c r="G607" i="9"/>
  <c r="H155" i="15"/>
  <c r="G155" i="15"/>
  <c r="I155" i="15"/>
  <c r="J750" i="9"/>
  <c r="K750" i="9" s="1"/>
  <c r="H748" i="13" s="1"/>
  <c r="I750" i="9"/>
  <c r="H750" i="9"/>
  <c r="G750" i="9"/>
  <c r="J689" i="14"/>
  <c r="K689" i="14" s="1"/>
  <c r="J687" i="13" s="1"/>
  <c r="H689" i="14"/>
  <c r="I689" i="14"/>
  <c r="G689" i="14"/>
  <c r="I605" i="15"/>
  <c r="H605" i="15"/>
  <c r="G605" i="15"/>
  <c r="J605" i="15"/>
  <c r="K605" i="15" s="1"/>
  <c r="K603" i="13" s="1"/>
  <c r="G832" i="9"/>
  <c r="J832" i="9"/>
  <c r="K832" i="9" s="1"/>
  <c r="H830" i="13" s="1"/>
  <c r="I832" i="9"/>
  <c r="H832" i="9"/>
  <c r="H784" i="8"/>
  <c r="I784" i="8"/>
  <c r="J784" i="8"/>
  <c r="K784" i="8"/>
  <c r="L784" i="8" s="1"/>
  <c r="G782" i="13" s="1"/>
  <c r="I595" i="9"/>
  <c r="J595" i="9"/>
  <c r="K595" i="9" s="1"/>
  <c r="H593" i="13" s="1"/>
  <c r="H595" i="9"/>
  <c r="G595" i="9"/>
  <c r="H808" i="1"/>
  <c r="G808" i="1"/>
  <c r="I680" i="9"/>
  <c r="H680" i="9"/>
  <c r="J680" i="9"/>
  <c r="K680" i="9" s="1"/>
  <c r="H678" i="13" s="1"/>
  <c r="G680" i="9"/>
  <c r="G627" i="14"/>
  <c r="I627" i="14"/>
  <c r="H627" i="14"/>
  <c r="J627" i="14"/>
  <c r="K627" i="14" s="1"/>
  <c r="J625" i="13" s="1"/>
  <c r="I546" i="14"/>
  <c r="J546" i="14"/>
  <c r="K546" i="14" s="1"/>
  <c r="J544" i="13" s="1"/>
  <c r="G546" i="14"/>
  <c r="H546" i="14"/>
  <c r="I368" i="15"/>
  <c r="H368" i="15"/>
  <c r="G368" i="15"/>
  <c r="I221" i="1"/>
  <c r="H221" i="1"/>
  <c r="G221" i="1"/>
  <c r="J221" i="1"/>
  <c r="I122" i="11"/>
  <c r="H122" i="11"/>
  <c r="G122" i="11"/>
  <c r="I55" i="11"/>
  <c r="H55" i="11"/>
  <c r="G55" i="11"/>
  <c r="I465" i="1"/>
  <c r="G465" i="1"/>
  <c r="J465" i="1"/>
  <c r="H465" i="1"/>
  <c r="H179" i="11"/>
  <c r="I179" i="11"/>
  <c r="G179" i="11"/>
  <c r="G700" i="14"/>
  <c r="I700" i="14"/>
  <c r="H700" i="14"/>
  <c r="J700" i="14"/>
  <c r="K700" i="14" s="1"/>
  <c r="J698" i="13" s="1"/>
  <c r="I633" i="15"/>
  <c r="J633" i="15"/>
  <c r="K633" i="15" s="1"/>
  <c r="K631" i="13" s="1"/>
  <c r="H633" i="15"/>
  <c r="G633" i="15"/>
  <c r="G808" i="15"/>
  <c r="J808" i="15"/>
  <c r="K808" i="15" s="1"/>
  <c r="K806" i="13" s="1"/>
  <c r="I808" i="15"/>
  <c r="H808" i="15"/>
  <c r="K834" i="1"/>
  <c r="M834" i="1" s="1"/>
  <c r="H834" i="1"/>
  <c r="G834" i="1"/>
  <c r="H302" i="11"/>
  <c r="G302" i="11"/>
  <c r="I302" i="11"/>
  <c r="I235" i="11"/>
  <c r="H235" i="11"/>
  <c r="G235" i="11"/>
  <c r="I145" i="14"/>
  <c r="H145" i="14"/>
  <c r="G145" i="14"/>
  <c r="I848" i="9"/>
  <c r="J848" i="9"/>
  <c r="K848" i="9" s="1"/>
  <c r="H846" i="13" s="1"/>
  <c r="G848" i="9"/>
  <c r="H848" i="9"/>
  <c r="J544" i="11"/>
  <c r="K544" i="11" s="1"/>
  <c r="I542" i="13" s="1"/>
  <c r="I544" i="11"/>
  <c r="G544" i="11"/>
  <c r="H544" i="11"/>
  <c r="I746" i="14"/>
  <c r="H746" i="14"/>
  <c r="G746" i="14"/>
  <c r="J746" i="14"/>
  <c r="K746" i="14" s="1"/>
  <c r="J744" i="13" s="1"/>
  <c r="H200" i="15"/>
  <c r="I200" i="15"/>
  <c r="G200" i="15"/>
  <c r="J829" i="9"/>
  <c r="K829" i="9" s="1"/>
  <c r="H827" i="13" s="1"/>
  <c r="H829" i="9"/>
  <c r="G829" i="9"/>
  <c r="I829" i="9"/>
  <c r="H280" i="14"/>
  <c r="I280" i="14"/>
  <c r="G280" i="14"/>
  <c r="I739" i="15"/>
  <c r="H739" i="15"/>
  <c r="G739" i="15"/>
  <c r="J739" i="15"/>
  <c r="K739" i="15" s="1"/>
  <c r="K737" i="13" s="1"/>
  <c r="H384" i="14"/>
  <c r="G384" i="14"/>
  <c r="I384" i="14"/>
  <c r="H185" i="11"/>
  <c r="G185" i="11"/>
  <c r="I185" i="11"/>
  <c r="I851" i="8"/>
  <c r="H851" i="8"/>
  <c r="J851" i="8"/>
  <c r="K851" i="8"/>
  <c r="L851" i="8" s="1"/>
  <c r="G849" i="13" s="1"/>
  <c r="G727" i="15"/>
  <c r="J727" i="15"/>
  <c r="K727" i="15" s="1"/>
  <c r="K725" i="13" s="1"/>
  <c r="I727" i="15"/>
  <c r="H727" i="15"/>
  <c r="I418" i="14"/>
  <c r="H418" i="14"/>
  <c r="G418" i="14"/>
  <c r="I385" i="15"/>
  <c r="H385" i="15"/>
  <c r="G385" i="15"/>
  <c r="I353" i="11"/>
  <c r="H353" i="11"/>
  <c r="G353" i="11"/>
  <c r="I293" i="11"/>
  <c r="H293" i="11"/>
  <c r="G293" i="11"/>
  <c r="I206" i="11"/>
  <c r="H206" i="11"/>
  <c r="G206" i="11"/>
  <c r="I180" i="11"/>
  <c r="G180" i="11"/>
  <c r="H180" i="11"/>
  <c r="H123" i="15"/>
  <c r="G123" i="15"/>
  <c r="I123" i="15"/>
  <c r="H43" i="11"/>
  <c r="G43" i="11"/>
  <c r="I43" i="11"/>
  <c r="G169" i="15"/>
  <c r="I169" i="15"/>
  <c r="H169" i="15"/>
  <c r="I656" i="11"/>
  <c r="H656" i="11"/>
  <c r="G656" i="11"/>
  <c r="J656" i="11"/>
  <c r="K656" i="11" s="1"/>
  <c r="I654" i="13" s="1"/>
  <c r="H439" i="11"/>
  <c r="I439" i="11"/>
  <c r="G439" i="11"/>
  <c r="I397" i="15"/>
  <c r="H397" i="15"/>
  <c r="G397" i="15"/>
  <c r="I434" i="15"/>
  <c r="H434" i="15"/>
  <c r="G434" i="15"/>
  <c r="K565" i="8"/>
  <c r="L565" i="8" s="1"/>
  <c r="G563" i="13" s="1"/>
  <c r="H565" i="8"/>
  <c r="J565" i="8"/>
  <c r="I565" i="8"/>
  <c r="G505" i="14"/>
  <c r="I505" i="14"/>
  <c r="H505" i="14"/>
  <c r="J824" i="14"/>
  <c r="K824" i="14" s="1"/>
  <c r="J822" i="13" s="1"/>
  <c r="G824" i="14"/>
  <c r="I824" i="14"/>
  <c r="H824" i="14"/>
  <c r="I785" i="14"/>
  <c r="H785" i="14"/>
  <c r="G785" i="14"/>
  <c r="J785" i="14"/>
  <c r="K785" i="14" s="1"/>
  <c r="J783" i="13" s="1"/>
  <c r="H776" i="8"/>
  <c r="K776" i="8"/>
  <c r="L776" i="8" s="1"/>
  <c r="G774" i="13" s="1"/>
  <c r="I776" i="8"/>
  <c r="J776" i="8"/>
  <c r="H732" i="9"/>
  <c r="G732" i="9"/>
  <c r="J732" i="9"/>
  <c r="K732" i="9" s="1"/>
  <c r="H730" i="13" s="1"/>
  <c r="I732" i="9"/>
  <c r="H646" i="15"/>
  <c r="J646" i="15"/>
  <c r="K646" i="15" s="1"/>
  <c r="K644" i="13" s="1"/>
  <c r="I646" i="15"/>
  <c r="G646" i="15"/>
  <c r="J623" i="11"/>
  <c r="K623" i="11" s="1"/>
  <c r="I621" i="13" s="1"/>
  <c r="I623" i="11"/>
  <c r="H623" i="11"/>
  <c r="G623" i="11"/>
  <c r="G580" i="14"/>
  <c r="H580" i="14"/>
  <c r="J580" i="14"/>
  <c r="K580" i="14" s="1"/>
  <c r="J578" i="13" s="1"/>
  <c r="I580" i="14"/>
  <c r="K551" i="8"/>
  <c r="L551" i="8" s="1"/>
  <c r="G549" i="13" s="1"/>
  <c r="J551" i="8"/>
  <c r="I551" i="8"/>
  <c r="H551" i="8"/>
  <c r="J547" i="14"/>
  <c r="K547" i="14" s="1"/>
  <c r="J545" i="13" s="1"/>
  <c r="G547" i="14"/>
  <c r="I547" i="14"/>
  <c r="H547" i="14"/>
  <c r="I501" i="15"/>
  <c r="H501" i="15"/>
  <c r="G501" i="15"/>
  <c r="G429" i="15"/>
  <c r="H429" i="15"/>
  <c r="I429" i="15"/>
  <c r="I374" i="15"/>
  <c r="G374" i="15"/>
  <c r="H374" i="15"/>
  <c r="I333" i="11"/>
  <c r="H333" i="11"/>
  <c r="G333" i="11"/>
  <c r="G275" i="14"/>
  <c r="I275" i="14"/>
  <c r="H275" i="14"/>
  <c r="I258" i="14"/>
  <c r="H258" i="14"/>
  <c r="G258" i="14"/>
  <c r="G242" i="14"/>
  <c r="I242" i="14"/>
  <c r="H242" i="14"/>
  <c r="H88" i="15"/>
  <c r="G88" i="15"/>
  <c r="I88" i="15"/>
  <c r="J717" i="11"/>
  <c r="K717" i="11" s="1"/>
  <c r="I715" i="13" s="1"/>
  <c r="I717" i="11"/>
  <c r="H717" i="11"/>
  <c r="G717" i="11"/>
  <c r="K676" i="1"/>
  <c r="J676" i="1"/>
  <c r="I676" i="1"/>
  <c r="H620" i="11"/>
  <c r="G620" i="11"/>
  <c r="J620" i="11"/>
  <c r="K620" i="11" s="1"/>
  <c r="I618" i="13" s="1"/>
  <c r="I620" i="11"/>
  <c r="G129" i="11"/>
  <c r="I129" i="11"/>
  <c r="H129" i="11"/>
  <c r="G840" i="9"/>
  <c r="J840" i="9"/>
  <c r="K840" i="9" s="1"/>
  <c r="H838" i="13" s="1"/>
  <c r="I840" i="9"/>
  <c r="H840" i="9"/>
  <c r="J668" i="8"/>
  <c r="K668" i="8"/>
  <c r="L668" i="8" s="1"/>
  <c r="G666" i="13" s="1"/>
  <c r="I668" i="8"/>
  <c r="H668" i="8"/>
  <c r="H246" i="14"/>
  <c r="I246" i="14"/>
  <c r="G246" i="14"/>
  <c r="I645" i="14"/>
  <c r="J645" i="14"/>
  <c r="K645" i="14" s="1"/>
  <c r="J643" i="13" s="1"/>
  <c r="H645" i="14"/>
  <c r="G645" i="14"/>
  <c r="G603" i="14"/>
  <c r="J603" i="14"/>
  <c r="K603" i="14" s="1"/>
  <c r="J601" i="13" s="1"/>
  <c r="I603" i="14"/>
  <c r="H603" i="14"/>
  <c r="H202" i="14"/>
  <c r="G202" i="14"/>
  <c r="I202" i="14"/>
  <c r="G99" i="14"/>
  <c r="H99" i="14"/>
  <c r="I99" i="14"/>
  <c r="G488" i="1"/>
  <c r="J488" i="1"/>
  <c r="I488" i="1"/>
  <c r="G110" i="1"/>
  <c r="H110" i="1"/>
  <c r="I26" i="15"/>
  <c r="H26" i="15"/>
  <c r="G26" i="15"/>
  <c r="J562" i="9"/>
  <c r="K562" i="9" s="1"/>
  <c r="H560" i="13" s="1"/>
  <c r="I562" i="9"/>
  <c r="H562" i="9"/>
  <c r="G562" i="9"/>
  <c r="G152" i="11"/>
  <c r="I152" i="11"/>
  <c r="H152" i="11"/>
  <c r="H357" i="15"/>
  <c r="I357" i="15"/>
  <c r="G357" i="15"/>
  <c r="H87" i="14"/>
  <c r="G87" i="14"/>
  <c r="I87" i="14"/>
  <c r="J667" i="15"/>
  <c r="K667" i="15" s="1"/>
  <c r="K665" i="13" s="1"/>
  <c r="I667" i="15"/>
  <c r="H667" i="15"/>
  <c r="G667" i="15"/>
  <c r="I816" i="14"/>
  <c r="G816" i="14"/>
  <c r="H816" i="14"/>
  <c r="J816" i="14"/>
  <c r="K816" i="14" s="1"/>
  <c r="J814" i="13" s="1"/>
  <c r="J754" i="11"/>
  <c r="K754" i="11" s="1"/>
  <c r="I752" i="13" s="1"/>
  <c r="I754" i="11"/>
  <c r="H754" i="11"/>
  <c r="G754" i="11"/>
  <c r="J672" i="14"/>
  <c r="K672" i="14" s="1"/>
  <c r="J670" i="13" s="1"/>
  <c r="I672" i="14"/>
  <c r="H672" i="14"/>
  <c r="G672" i="14"/>
  <c r="I306" i="14"/>
  <c r="H306" i="14"/>
  <c r="G306" i="14"/>
  <c r="I174" i="11"/>
  <c r="H174" i="11"/>
  <c r="G174" i="11"/>
  <c r="G72" i="14"/>
  <c r="H72" i="14"/>
  <c r="I72" i="14"/>
  <c r="I490" i="15"/>
  <c r="H490" i="15"/>
  <c r="G490" i="15"/>
  <c r="H779" i="14"/>
  <c r="J779" i="14"/>
  <c r="K779" i="14" s="1"/>
  <c r="J777" i="13" s="1"/>
  <c r="I779" i="14"/>
  <c r="G779" i="14"/>
  <c r="K762" i="8"/>
  <c r="L762" i="8" s="1"/>
  <c r="G760" i="13" s="1"/>
  <c r="J762" i="8"/>
  <c r="I762" i="8"/>
  <c r="H762" i="8"/>
  <c r="K555" i="8"/>
  <c r="L555" i="8" s="1"/>
  <c r="G553" i="13" s="1"/>
  <c r="J555" i="8"/>
  <c r="I555" i="8"/>
  <c r="H555" i="8"/>
  <c r="H495" i="15"/>
  <c r="I495" i="15"/>
  <c r="G495" i="15"/>
  <c r="I228" i="11"/>
  <c r="G228" i="11"/>
  <c r="H228" i="11"/>
  <c r="I337" i="14"/>
  <c r="H337" i="14"/>
  <c r="G337" i="14"/>
  <c r="J713" i="14"/>
  <c r="K713" i="14" s="1"/>
  <c r="J711" i="13" s="1"/>
  <c r="I713" i="14"/>
  <c r="H713" i="14"/>
  <c r="G713" i="14"/>
  <c r="I134" i="11"/>
  <c r="H134" i="11"/>
  <c r="G134" i="11"/>
  <c r="G236" i="11"/>
  <c r="H236" i="11"/>
  <c r="I236" i="11"/>
  <c r="I209" i="11"/>
  <c r="G209" i="11"/>
  <c r="H209" i="11"/>
  <c r="I607" i="8"/>
  <c r="H607" i="8"/>
  <c r="J607" i="8"/>
  <c r="K607" i="8"/>
  <c r="L607" i="8" s="1"/>
  <c r="G605" i="13" s="1"/>
  <c r="G750" i="11"/>
  <c r="J750" i="11"/>
  <c r="K750" i="11" s="1"/>
  <c r="I748" i="13" s="1"/>
  <c r="H750" i="11"/>
  <c r="I750" i="11"/>
  <c r="J689" i="15"/>
  <c r="K689" i="15" s="1"/>
  <c r="K687" i="13" s="1"/>
  <c r="H689" i="15"/>
  <c r="I689" i="15"/>
  <c r="G689" i="15"/>
  <c r="J662" i="8"/>
  <c r="K662" i="8"/>
  <c r="L662" i="8" s="1"/>
  <c r="G660" i="13" s="1"/>
  <c r="I662" i="8"/>
  <c r="H662" i="8"/>
  <c r="H371" i="1"/>
  <c r="J371" i="1"/>
  <c r="I371" i="1"/>
  <c r="H832" i="14"/>
  <c r="J832" i="14"/>
  <c r="K832" i="14" s="1"/>
  <c r="J830" i="13" s="1"/>
  <c r="I832" i="14"/>
  <c r="G832" i="14"/>
  <c r="J784" i="11"/>
  <c r="K784" i="11" s="1"/>
  <c r="I782" i="13" s="1"/>
  <c r="I784" i="11"/>
  <c r="H784" i="11"/>
  <c r="G784" i="11"/>
  <c r="G595" i="11"/>
  <c r="J595" i="11"/>
  <c r="K595" i="11" s="1"/>
  <c r="I593" i="13" s="1"/>
  <c r="I595" i="11"/>
  <c r="H595" i="11"/>
  <c r="J794" i="9"/>
  <c r="K794" i="9" s="1"/>
  <c r="H792" i="13" s="1"/>
  <c r="I794" i="9"/>
  <c r="H794" i="9"/>
  <c r="G794" i="9"/>
  <c r="I692" i="1"/>
  <c r="J692" i="1"/>
  <c r="H680" i="11"/>
  <c r="I680" i="11"/>
  <c r="G680" i="11"/>
  <c r="J680" i="11"/>
  <c r="K680" i="11" s="1"/>
  <c r="I678" i="13" s="1"/>
  <c r="J627" i="15"/>
  <c r="K627" i="15" s="1"/>
  <c r="K625" i="13" s="1"/>
  <c r="I627" i="15"/>
  <c r="H627" i="15"/>
  <c r="G627" i="15"/>
  <c r="H122" i="14"/>
  <c r="G122" i="14"/>
  <c r="I122" i="14"/>
  <c r="I55" i="15"/>
  <c r="H55" i="15"/>
  <c r="G55" i="15"/>
  <c r="G179" i="14"/>
  <c r="H179" i="14"/>
  <c r="I179" i="14"/>
  <c r="I241" i="14"/>
  <c r="G241" i="14"/>
  <c r="H241" i="14"/>
  <c r="J700" i="15"/>
  <c r="K700" i="15" s="1"/>
  <c r="K698" i="13" s="1"/>
  <c r="I700" i="15"/>
  <c r="H700" i="15"/>
  <c r="G700" i="15"/>
  <c r="J633" i="14"/>
  <c r="K633" i="14" s="1"/>
  <c r="J631" i="13" s="1"/>
  <c r="G633" i="14"/>
  <c r="I633" i="14"/>
  <c r="H633" i="14"/>
  <c r="I221" i="14"/>
  <c r="H221" i="14"/>
  <c r="G221" i="14"/>
  <c r="H670" i="1"/>
  <c r="G670" i="1"/>
  <c r="H851" i="9"/>
  <c r="I851" i="9"/>
  <c r="G851" i="9"/>
  <c r="J851" i="9"/>
  <c r="K851" i="9" s="1"/>
  <c r="H849" i="13" s="1"/>
  <c r="K611" i="8"/>
  <c r="L611" i="8" s="1"/>
  <c r="G609" i="13" s="1"/>
  <c r="J611" i="8"/>
  <c r="I611" i="8"/>
  <c r="H611" i="8"/>
  <c r="J549" i="8"/>
  <c r="I549" i="8"/>
  <c r="H549" i="8"/>
  <c r="K549" i="8"/>
  <c r="L549" i="8" s="1"/>
  <c r="G547" i="13" s="1"/>
  <c r="I418" i="15"/>
  <c r="H418" i="15"/>
  <c r="G418" i="15"/>
  <c r="I390" i="11"/>
  <c r="H390" i="11"/>
  <c r="G390" i="11"/>
  <c r="H307" i="11"/>
  <c r="I307" i="11"/>
  <c r="G307" i="11"/>
  <c r="G293" i="14"/>
  <c r="H293" i="14"/>
  <c r="I293" i="14"/>
  <c r="H206" i="15"/>
  <c r="I206" i="15"/>
  <c r="G206" i="15"/>
  <c r="I175" i="15"/>
  <c r="H175" i="15"/>
  <c r="G175" i="15"/>
  <c r="G43" i="15"/>
  <c r="H43" i="15"/>
  <c r="I43" i="15"/>
  <c r="I70" i="11"/>
  <c r="G70" i="11"/>
  <c r="H70" i="11"/>
  <c r="H705" i="8"/>
  <c r="J705" i="8"/>
  <c r="I705" i="8"/>
  <c r="K705" i="8"/>
  <c r="L705" i="8" s="1"/>
  <c r="G703" i="13" s="1"/>
  <c r="J656" i="15"/>
  <c r="K656" i="15" s="1"/>
  <c r="K654" i="13" s="1"/>
  <c r="I656" i="15"/>
  <c r="G656" i="15"/>
  <c r="H656" i="15"/>
  <c r="H439" i="14"/>
  <c r="G439" i="14"/>
  <c r="I439" i="14"/>
  <c r="J565" i="9"/>
  <c r="K565" i="9" s="1"/>
  <c r="H563" i="13" s="1"/>
  <c r="I565" i="9"/>
  <c r="H565" i="9"/>
  <c r="G565" i="9"/>
  <c r="G824" i="15"/>
  <c r="J824" i="15"/>
  <c r="K824" i="15" s="1"/>
  <c r="K822" i="13" s="1"/>
  <c r="I824" i="15"/>
  <c r="H824" i="15"/>
  <c r="J785" i="15"/>
  <c r="K785" i="15" s="1"/>
  <c r="K783" i="13" s="1"/>
  <c r="I785" i="15"/>
  <c r="H785" i="15"/>
  <c r="G785" i="15"/>
  <c r="J776" i="11"/>
  <c r="K776" i="11" s="1"/>
  <c r="I774" i="13" s="1"/>
  <c r="H776" i="11"/>
  <c r="G776" i="11"/>
  <c r="I776" i="11"/>
  <c r="J732" i="11"/>
  <c r="K732" i="11" s="1"/>
  <c r="I730" i="13" s="1"/>
  <c r="I732" i="11"/>
  <c r="H732" i="11"/>
  <c r="G732" i="11"/>
  <c r="J646" i="14"/>
  <c r="K646" i="14" s="1"/>
  <c r="J644" i="13" s="1"/>
  <c r="I646" i="14"/>
  <c r="H646" i="14"/>
  <c r="G646" i="14"/>
  <c r="J623" i="14"/>
  <c r="K623" i="14" s="1"/>
  <c r="J621" i="13" s="1"/>
  <c r="H623" i="14"/>
  <c r="G623" i="14"/>
  <c r="I623" i="14"/>
  <c r="J585" i="8"/>
  <c r="I585" i="8"/>
  <c r="H585" i="8"/>
  <c r="K585" i="8"/>
  <c r="L585" i="8" s="1"/>
  <c r="G583" i="13" s="1"/>
  <c r="J580" i="15"/>
  <c r="K580" i="15" s="1"/>
  <c r="K578" i="13" s="1"/>
  <c r="I580" i="15"/>
  <c r="G580" i="15"/>
  <c r="H580" i="15"/>
  <c r="G551" i="14"/>
  <c r="H551" i="14"/>
  <c r="J551" i="14"/>
  <c r="K551" i="14" s="1"/>
  <c r="J549" i="13" s="1"/>
  <c r="I551" i="14"/>
  <c r="G547" i="15"/>
  <c r="J547" i="15"/>
  <c r="K547" i="15" s="1"/>
  <c r="K545" i="13" s="1"/>
  <c r="H547" i="15"/>
  <c r="I547" i="15"/>
  <c r="H379" i="11"/>
  <c r="I379" i="11"/>
  <c r="G379" i="11"/>
  <c r="G275" i="11"/>
  <c r="H275" i="11"/>
  <c r="I275" i="11"/>
  <c r="I258" i="15"/>
  <c r="H258" i="15"/>
  <c r="G258" i="15"/>
  <c r="I242" i="15"/>
  <c r="H242" i="15"/>
  <c r="G242" i="15"/>
  <c r="G126" i="14"/>
  <c r="H126" i="14"/>
  <c r="I126" i="14"/>
  <c r="G12" i="14"/>
  <c r="I12" i="14"/>
  <c r="H12" i="14"/>
  <c r="H717" i="14"/>
  <c r="G717" i="14"/>
  <c r="J717" i="14"/>
  <c r="K717" i="14" s="1"/>
  <c r="J715" i="13" s="1"/>
  <c r="I717" i="14"/>
  <c r="I620" i="15"/>
  <c r="J620" i="15"/>
  <c r="K620" i="15" s="1"/>
  <c r="K618" i="13" s="1"/>
  <c r="H620" i="15"/>
  <c r="G620" i="15"/>
  <c r="I452" i="15"/>
  <c r="H452" i="15"/>
  <c r="G452" i="15"/>
  <c r="I129" i="14"/>
  <c r="H129" i="14"/>
  <c r="G129" i="14"/>
  <c r="G840" i="11"/>
  <c r="J840" i="11"/>
  <c r="K840" i="11" s="1"/>
  <c r="I838" i="13" s="1"/>
  <c r="I840" i="11"/>
  <c r="H840" i="11"/>
  <c r="G742" i="1"/>
  <c r="H742" i="1"/>
  <c r="K742" i="1"/>
  <c r="J742" i="1"/>
  <c r="I742" i="1"/>
  <c r="H668" i="14"/>
  <c r="I668" i="14"/>
  <c r="G668" i="14"/>
  <c r="J668" i="14"/>
  <c r="K668" i="14" s="1"/>
  <c r="J666" i="13" s="1"/>
  <c r="H599" i="8"/>
  <c r="I599" i="8"/>
  <c r="J599" i="8"/>
  <c r="K599" i="8"/>
  <c r="L599" i="8" s="1"/>
  <c r="G597" i="13" s="1"/>
  <c r="I246" i="15"/>
  <c r="H246" i="15"/>
  <c r="G246" i="15"/>
  <c r="G645" i="15"/>
  <c r="J645" i="15"/>
  <c r="K645" i="15" s="1"/>
  <c r="K643" i="13" s="1"/>
  <c r="I645" i="15"/>
  <c r="H645" i="15"/>
  <c r="J603" i="15"/>
  <c r="K603" i="15" s="1"/>
  <c r="K601" i="13" s="1"/>
  <c r="I603" i="15"/>
  <c r="H603" i="15"/>
  <c r="G603" i="15"/>
  <c r="I289" i="14"/>
  <c r="G289" i="14"/>
  <c r="H289" i="14"/>
  <c r="J26" i="1"/>
  <c r="I26" i="1"/>
  <c r="I562" i="15"/>
  <c r="H562" i="15"/>
  <c r="G562" i="15"/>
  <c r="J562" i="15"/>
  <c r="K562" i="15" s="1"/>
  <c r="K560" i="13" s="1"/>
  <c r="H476" i="15"/>
  <c r="G476" i="15"/>
  <c r="I476" i="15"/>
  <c r="G152" i="14"/>
  <c r="I152" i="14"/>
  <c r="H152" i="14"/>
  <c r="J792" i="8"/>
  <c r="K792" i="8"/>
  <c r="L792" i="8" s="1"/>
  <c r="G790" i="13" s="1"/>
  <c r="I792" i="8"/>
  <c r="H792" i="8"/>
  <c r="I582" i="8"/>
  <c r="J582" i="8"/>
  <c r="H582" i="8"/>
  <c r="K582" i="8"/>
  <c r="L582" i="8" s="1"/>
  <c r="G580" i="13" s="1"/>
  <c r="I87" i="15"/>
  <c r="H87" i="15"/>
  <c r="G87" i="15"/>
  <c r="H816" i="15"/>
  <c r="J816" i="15"/>
  <c r="K816" i="15" s="1"/>
  <c r="K814" i="13" s="1"/>
  <c r="I816" i="15"/>
  <c r="G816" i="15"/>
  <c r="I510" i="11"/>
  <c r="G510" i="11"/>
  <c r="H510" i="11"/>
  <c r="J754" i="15"/>
  <c r="K754" i="15" s="1"/>
  <c r="K752" i="13" s="1"/>
  <c r="I754" i="15"/>
  <c r="H754" i="15"/>
  <c r="G754" i="15"/>
  <c r="J672" i="11"/>
  <c r="K672" i="11" s="1"/>
  <c r="I670" i="13" s="1"/>
  <c r="I672" i="11"/>
  <c r="H672" i="11"/>
  <c r="G672" i="11"/>
  <c r="G306" i="11"/>
  <c r="H306" i="11"/>
  <c r="I306" i="11"/>
  <c r="G174" i="14"/>
  <c r="H174" i="14"/>
  <c r="I174" i="14"/>
  <c r="G131" i="11"/>
  <c r="I131" i="11"/>
  <c r="H131" i="11"/>
  <c r="I346" i="11"/>
  <c r="H346" i="11"/>
  <c r="G346" i="11"/>
  <c r="J779" i="15"/>
  <c r="K779" i="15" s="1"/>
  <c r="K777" i="13" s="1"/>
  <c r="I779" i="15"/>
  <c r="H779" i="15"/>
  <c r="G779" i="15"/>
  <c r="I762" i="9"/>
  <c r="H762" i="9"/>
  <c r="G762" i="9"/>
  <c r="J762" i="9"/>
  <c r="K762" i="9" s="1"/>
  <c r="H760" i="13" s="1"/>
  <c r="I702" i="8"/>
  <c r="H702" i="8"/>
  <c r="K702" i="8"/>
  <c r="L702" i="8" s="1"/>
  <c r="G700" i="13" s="1"/>
  <c r="J702" i="8"/>
  <c r="I555" i="11"/>
  <c r="J555" i="11"/>
  <c r="K555" i="11" s="1"/>
  <c r="I553" i="13" s="1"/>
  <c r="H555" i="11"/>
  <c r="G555" i="11"/>
  <c r="H216" i="1"/>
  <c r="G216" i="1"/>
  <c r="I146" i="1"/>
  <c r="H146" i="1"/>
  <c r="I42" i="11"/>
  <c r="G42" i="11"/>
  <c r="H42" i="11"/>
  <c r="H378" i="11"/>
  <c r="G378" i="11"/>
  <c r="I378" i="11"/>
  <c r="J558" i="8"/>
  <c r="I558" i="8"/>
  <c r="H558" i="8"/>
  <c r="K558" i="8"/>
  <c r="L558" i="8" s="1"/>
  <c r="G556" i="13" s="1"/>
  <c r="G362" i="11"/>
  <c r="H362" i="11"/>
  <c r="I362" i="11"/>
  <c r="I168" i="15"/>
  <c r="H168" i="15"/>
  <c r="G168" i="15"/>
  <c r="H236" i="14"/>
  <c r="I236" i="14"/>
  <c r="G236" i="14"/>
  <c r="G209" i="15"/>
  <c r="I209" i="15"/>
  <c r="H209" i="15"/>
  <c r="J607" i="11"/>
  <c r="K607" i="11" s="1"/>
  <c r="I605" i="13" s="1"/>
  <c r="I607" i="11"/>
  <c r="H607" i="11"/>
  <c r="G607" i="11"/>
  <c r="J750" i="14"/>
  <c r="K750" i="14" s="1"/>
  <c r="J748" i="13" s="1"/>
  <c r="I750" i="14"/>
  <c r="H750" i="14"/>
  <c r="G750" i="14"/>
  <c r="J662" i="9"/>
  <c r="K662" i="9" s="1"/>
  <c r="H660" i="13" s="1"/>
  <c r="I662" i="9"/>
  <c r="G662" i="9"/>
  <c r="H662" i="9"/>
  <c r="I454" i="11"/>
  <c r="H454" i="11"/>
  <c r="G454" i="11"/>
  <c r="H832" i="11"/>
  <c r="I832" i="11"/>
  <c r="J832" i="11"/>
  <c r="K832" i="11" s="1"/>
  <c r="I830" i="13" s="1"/>
  <c r="G832" i="11"/>
  <c r="H784" i="14"/>
  <c r="G784" i="14"/>
  <c r="I784" i="14"/>
  <c r="J784" i="14"/>
  <c r="K784" i="14" s="1"/>
  <c r="J782" i="13" s="1"/>
  <c r="I595" i="14"/>
  <c r="H595" i="14"/>
  <c r="J595" i="14"/>
  <c r="K595" i="14" s="1"/>
  <c r="J593" i="13" s="1"/>
  <c r="G595" i="14"/>
  <c r="J794" i="8"/>
  <c r="I794" i="8"/>
  <c r="H794" i="8"/>
  <c r="K794" i="8"/>
  <c r="L794" i="8" s="1"/>
  <c r="G792" i="13" s="1"/>
  <c r="J692" i="8"/>
  <c r="I692" i="8"/>
  <c r="H692" i="8"/>
  <c r="K692" i="8"/>
  <c r="L692" i="8" s="1"/>
  <c r="G690" i="13" s="1"/>
  <c r="G680" i="15"/>
  <c r="J680" i="15"/>
  <c r="K680" i="15" s="1"/>
  <c r="K678" i="13" s="1"/>
  <c r="I680" i="15"/>
  <c r="H680" i="15"/>
  <c r="I122" i="15"/>
  <c r="H122" i="15"/>
  <c r="G122" i="15"/>
  <c r="I55" i="14"/>
  <c r="H55" i="14"/>
  <c r="G55" i="14"/>
  <c r="I179" i="15"/>
  <c r="H179" i="15"/>
  <c r="G179" i="15"/>
  <c r="H406" i="11"/>
  <c r="G406" i="11"/>
  <c r="I406" i="11"/>
  <c r="I241" i="15"/>
  <c r="H241" i="15"/>
  <c r="G241" i="15"/>
  <c r="G239" i="1"/>
  <c r="J239" i="1"/>
  <c r="J670" i="9"/>
  <c r="K670" i="9" s="1"/>
  <c r="H668" i="13" s="1"/>
  <c r="I670" i="9"/>
  <c r="H670" i="9"/>
  <c r="G670" i="9"/>
  <c r="G112" i="11"/>
  <c r="I112" i="11"/>
  <c r="H112" i="11"/>
  <c r="H677" i="15"/>
  <c r="G677" i="15"/>
  <c r="J677" i="15"/>
  <c r="K677" i="15" s="1"/>
  <c r="K675" i="13" s="1"/>
  <c r="I677" i="15"/>
  <c r="I664" i="11"/>
  <c r="G664" i="11"/>
  <c r="J664" i="11"/>
  <c r="K664" i="11" s="1"/>
  <c r="I662" i="13" s="1"/>
  <c r="H664" i="11"/>
  <c r="I655" i="15"/>
  <c r="H655" i="15"/>
  <c r="G655" i="15"/>
  <c r="J655" i="15"/>
  <c r="K655" i="15" s="1"/>
  <c r="K653" i="13" s="1"/>
  <c r="H647" i="8"/>
  <c r="K647" i="8"/>
  <c r="L647" i="8" s="1"/>
  <c r="G645" i="13" s="1"/>
  <c r="J647" i="8"/>
  <c r="I647" i="8"/>
  <c r="G612" i="11"/>
  <c r="H612" i="11"/>
  <c r="J612" i="11"/>
  <c r="K612" i="11" s="1"/>
  <c r="I610" i="13" s="1"/>
  <c r="I612" i="11"/>
  <c r="H504" i="11"/>
  <c r="G504" i="11"/>
  <c r="I504" i="11"/>
  <c r="G494" i="14"/>
  <c r="I494" i="14"/>
  <c r="H494" i="14"/>
  <c r="I481" i="15"/>
  <c r="H481" i="15"/>
  <c r="G481" i="15"/>
  <c r="G469" i="14"/>
  <c r="I469" i="14"/>
  <c r="H469" i="14"/>
  <c r="I386" i="11"/>
  <c r="H386" i="11"/>
  <c r="G386" i="11"/>
  <c r="H354" i="15"/>
  <c r="G354" i="15"/>
  <c r="I354" i="15"/>
  <c r="I315" i="15"/>
  <c r="G315" i="15"/>
  <c r="H315" i="15"/>
  <c r="I173" i="14"/>
  <c r="H173" i="14"/>
  <c r="G173" i="14"/>
  <c r="I74" i="11"/>
  <c r="G74" i="11"/>
  <c r="H74" i="11"/>
  <c r="G8" i="11"/>
  <c r="I8" i="11"/>
  <c r="H8" i="11"/>
  <c r="I149" i="11"/>
  <c r="H149" i="11"/>
  <c r="G149" i="11"/>
  <c r="H617" i="1"/>
  <c r="J617" i="1"/>
  <c r="K617" i="1"/>
  <c r="I196" i="11"/>
  <c r="G196" i="11"/>
  <c r="H196" i="11"/>
  <c r="J690" i="8"/>
  <c r="K690" i="8"/>
  <c r="L690" i="8" s="1"/>
  <c r="G688" i="13" s="1"/>
  <c r="I690" i="8"/>
  <c r="H690" i="8"/>
  <c r="I61" i="15"/>
  <c r="H61" i="15"/>
  <c r="G61" i="15"/>
  <c r="J821" i="11"/>
  <c r="K821" i="11" s="1"/>
  <c r="I819" i="13" s="1"/>
  <c r="I821" i="11"/>
  <c r="H821" i="11"/>
  <c r="G821" i="11"/>
  <c r="I593" i="8"/>
  <c r="J593" i="8"/>
  <c r="H593" i="8"/>
  <c r="K593" i="8"/>
  <c r="L593" i="8" s="1"/>
  <c r="G591" i="13" s="1"/>
  <c r="J696" i="14"/>
  <c r="K696" i="14" s="1"/>
  <c r="J694" i="13" s="1"/>
  <c r="H696" i="14"/>
  <c r="G696" i="14"/>
  <c r="I696" i="14"/>
  <c r="I635" i="9"/>
  <c r="H635" i="9"/>
  <c r="G635" i="9"/>
  <c r="J635" i="9"/>
  <c r="K635" i="9" s="1"/>
  <c r="H633" i="13" s="1"/>
  <c r="J577" i="8"/>
  <c r="I577" i="8"/>
  <c r="H577" i="8"/>
  <c r="K577" i="8"/>
  <c r="L577" i="8" s="1"/>
  <c r="G575" i="13" s="1"/>
  <c r="H522" i="8"/>
  <c r="K522" i="8"/>
  <c r="L522" i="8" s="1"/>
  <c r="G520" i="13" s="1"/>
  <c r="J522" i="8"/>
  <c r="I522" i="8"/>
  <c r="G517" i="15"/>
  <c r="H517" i="15"/>
  <c r="I517" i="15"/>
  <c r="I403" i="14"/>
  <c r="H403" i="14"/>
  <c r="G403" i="14"/>
  <c r="G327" i="14"/>
  <c r="I327" i="14"/>
  <c r="H327" i="14"/>
  <c r="G288" i="14"/>
  <c r="I288" i="14"/>
  <c r="H288" i="14"/>
  <c r="I276" i="11"/>
  <c r="H276" i="11"/>
  <c r="G276" i="11"/>
  <c r="I245" i="15"/>
  <c r="H245" i="15"/>
  <c r="G245" i="15"/>
  <c r="I53" i="11"/>
  <c r="H53" i="11"/>
  <c r="G53" i="11"/>
  <c r="J681" i="14"/>
  <c r="K681" i="14" s="1"/>
  <c r="J679" i="13" s="1"/>
  <c r="I681" i="14"/>
  <c r="H681" i="14"/>
  <c r="G681" i="14"/>
  <c r="K819" i="1"/>
  <c r="J819" i="1"/>
  <c r="I409" i="11"/>
  <c r="H409" i="11"/>
  <c r="G409" i="11"/>
  <c r="I660" i="14"/>
  <c r="H660" i="14"/>
  <c r="G660" i="14"/>
  <c r="J660" i="14"/>
  <c r="K660" i="14" s="1"/>
  <c r="J658" i="13" s="1"/>
  <c r="G498" i="14"/>
  <c r="I498" i="14"/>
  <c r="H498" i="14"/>
  <c r="J801" i="11"/>
  <c r="K801" i="11" s="1"/>
  <c r="I799" i="13" s="1"/>
  <c r="H801" i="11"/>
  <c r="G801" i="11"/>
  <c r="I801" i="11"/>
  <c r="J820" i="9"/>
  <c r="K820" i="9" s="1"/>
  <c r="H818" i="13" s="1"/>
  <c r="I820" i="9"/>
  <c r="H820" i="9"/>
  <c r="G820" i="9"/>
  <c r="J767" i="14"/>
  <c r="K767" i="14" s="1"/>
  <c r="J765" i="13" s="1"/>
  <c r="I767" i="14"/>
  <c r="H767" i="14"/>
  <c r="G767" i="14"/>
  <c r="G725" i="14"/>
  <c r="J725" i="14"/>
  <c r="K725" i="14" s="1"/>
  <c r="J723" i="13" s="1"/>
  <c r="I725" i="14"/>
  <c r="H725" i="14"/>
  <c r="J682" i="9"/>
  <c r="K682" i="9" s="1"/>
  <c r="H680" i="13" s="1"/>
  <c r="I682" i="9"/>
  <c r="H682" i="9"/>
  <c r="G682" i="9"/>
  <c r="K632" i="8"/>
  <c r="L632" i="8" s="1"/>
  <c r="G630" i="13" s="1"/>
  <c r="I632" i="8"/>
  <c r="H632" i="8"/>
  <c r="J632" i="8"/>
  <c r="I514" i="11"/>
  <c r="H514" i="11"/>
  <c r="G514" i="11"/>
  <c r="H485" i="15"/>
  <c r="I485" i="15"/>
  <c r="G485" i="15"/>
  <c r="H461" i="15"/>
  <c r="G461" i="15"/>
  <c r="I461" i="15"/>
  <c r="H420" i="11"/>
  <c r="G420" i="11"/>
  <c r="I420" i="11"/>
  <c r="G332" i="11"/>
  <c r="I332" i="11"/>
  <c r="H332" i="11"/>
  <c r="I247" i="15"/>
  <c r="H247" i="15"/>
  <c r="G247" i="15"/>
  <c r="H130" i="14"/>
  <c r="I130" i="14"/>
  <c r="G130" i="14"/>
  <c r="H119" i="11"/>
  <c r="G119" i="11"/>
  <c r="I119" i="11"/>
  <c r="I683" i="11"/>
  <c r="G683" i="11"/>
  <c r="H683" i="11"/>
  <c r="J683" i="11"/>
  <c r="K683" i="11" s="1"/>
  <c r="I681" i="13" s="1"/>
  <c r="J529" i="14"/>
  <c r="K529" i="14" s="1"/>
  <c r="J527" i="13" s="1"/>
  <c r="G529" i="14"/>
  <c r="I529" i="14"/>
  <c r="H529" i="14"/>
  <c r="I460" i="11"/>
  <c r="H460" i="11"/>
  <c r="G460" i="11"/>
  <c r="J641" i="11"/>
  <c r="K641" i="11" s="1"/>
  <c r="I639" i="13" s="1"/>
  <c r="I641" i="11"/>
  <c r="H641" i="11"/>
  <c r="G641" i="11"/>
  <c r="H47" i="11"/>
  <c r="G47" i="11"/>
  <c r="I47" i="11"/>
  <c r="G830" i="14"/>
  <c r="J830" i="14"/>
  <c r="K830" i="14" s="1"/>
  <c r="J828" i="13" s="1"/>
  <c r="I830" i="14"/>
  <c r="H830" i="14"/>
  <c r="I764" i="11"/>
  <c r="J764" i="11"/>
  <c r="K764" i="11" s="1"/>
  <c r="I762" i="13" s="1"/>
  <c r="H764" i="11"/>
  <c r="G764" i="11"/>
  <c r="I749" i="15"/>
  <c r="H749" i="15"/>
  <c r="G749" i="15"/>
  <c r="J749" i="15"/>
  <c r="K749" i="15" s="1"/>
  <c r="K747" i="13" s="1"/>
  <c r="H715" i="9"/>
  <c r="G715" i="9"/>
  <c r="I715" i="9"/>
  <c r="J715" i="9"/>
  <c r="K715" i="9" s="1"/>
  <c r="H713" i="13" s="1"/>
  <c r="I691" i="1"/>
  <c r="H691" i="1"/>
  <c r="G626" i="14"/>
  <c r="I626" i="14"/>
  <c r="J626" i="14"/>
  <c r="K626" i="14" s="1"/>
  <c r="J624" i="13" s="1"/>
  <c r="H626" i="14"/>
  <c r="I614" i="15"/>
  <c r="H614" i="15"/>
  <c r="G614" i="15"/>
  <c r="J614" i="15"/>
  <c r="K614" i="15" s="1"/>
  <c r="K612" i="13" s="1"/>
  <c r="J606" i="9"/>
  <c r="K606" i="9" s="1"/>
  <c r="H604" i="13" s="1"/>
  <c r="I606" i="9"/>
  <c r="G606" i="9"/>
  <c r="H606" i="9"/>
  <c r="K532" i="8"/>
  <c r="L532" i="8" s="1"/>
  <c r="G530" i="13" s="1"/>
  <c r="J532" i="8"/>
  <c r="I532" i="8"/>
  <c r="H532" i="8"/>
  <c r="I491" i="15"/>
  <c r="H491" i="15"/>
  <c r="G491" i="15"/>
  <c r="I455" i="15"/>
  <c r="H455" i="15"/>
  <c r="G455" i="15"/>
  <c r="I345" i="11"/>
  <c r="H345" i="11"/>
  <c r="G345" i="11"/>
  <c r="H342" i="14"/>
  <c r="I342" i="14"/>
  <c r="G342" i="14"/>
  <c r="G319" i="14"/>
  <c r="H319" i="14"/>
  <c r="I319" i="14"/>
  <c r="I312" i="11"/>
  <c r="G312" i="11"/>
  <c r="H312" i="11"/>
  <c r="H305" i="14"/>
  <c r="I305" i="14"/>
  <c r="G305" i="14"/>
  <c r="I266" i="11"/>
  <c r="H266" i="11"/>
  <c r="G266" i="11"/>
  <c r="H222" i="14"/>
  <c r="I222" i="14"/>
  <c r="G222" i="14"/>
  <c r="G157" i="11"/>
  <c r="I157" i="11"/>
  <c r="H157" i="11"/>
  <c r="H104" i="14"/>
  <c r="I104" i="14"/>
  <c r="G104" i="14"/>
  <c r="J701" i="11"/>
  <c r="K701" i="11" s="1"/>
  <c r="I699" i="13" s="1"/>
  <c r="I701" i="11"/>
  <c r="H701" i="11"/>
  <c r="G701" i="11"/>
  <c r="I634" i="8"/>
  <c r="K634" i="8"/>
  <c r="L634" i="8" s="1"/>
  <c r="G632" i="13" s="1"/>
  <c r="J634" i="8"/>
  <c r="H634" i="8"/>
  <c r="I376" i="11"/>
  <c r="H376" i="11"/>
  <c r="G376" i="11"/>
  <c r="J320" i="1"/>
  <c r="I320" i="1"/>
  <c r="H320" i="1"/>
  <c r="G320" i="1"/>
  <c r="J795" i="9"/>
  <c r="K795" i="9" s="1"/>
  <c r="H793" i="13" s="1"/>
  <c r="I795" i="9"/>
  <c r="H795" i="9"/>
  <c r="G795" i="9"/>
  <c r="H837" i="9"/>
  <c r="G837" i="9"/>
  <c r="J837" i="9"/>
  <c r="K837" i="9" s="1"/>
  <c r="H835" i="13" s="1"/>
  <c r="I837" i="9"/>
  <c r="G526" i="14"/>
  <c r="I526" i="14"/>
  <c r="J526" i="14"/>
  <c r="K526" i="14" s="1"/>
  <c r="J524" i="13" s="1"/>
  <c r="H526" i="14"/>
  <c r="I343" i="11"/>
  <c r="H343" i="11"/>
  <c r="G343" i="11"/>
  <c r="J748" i="8"/>
  <c r="I748" i="8"/>
  <c r="K748" i="8"/>
  <c r="L748" i="8" s="1"/>
  <c r="G746" i="13" s="1"/>
  <c r="H748" i="8"/>
  <c r="J617" i="14"/>
  <c r="K617" i="14" s="1"/>
  <c r="J615" i="13" s="1"/>
  <c r="I617" i="14"/>
  <c r="H617" i="14"/>
  <c r="G617" i="14"/>
  <c r="J846" i="15"/>
  <c r="K846" i="15" s="1"/>
  <c r="K844" i="13" s="1"/>
  <c r="I846" i="15"/>
  <c r="H846" i="15"/>
  <c r="G846" i="15"/>
  <c r="K807" i="8"/>
  <c r="L807" i="8" s="1"/>
  <c r="G805" i="13" s="1"/>
  <c r="J807" i="8"/>
  <c r="I807" i="8"/>
  <c r="H807" i="8"/>
  <c r="J740" i="14"/>
  <c r="K740" i="14" s="1"/>
  <c r="J738" i="13" s="1"/>
  <c r="H740" i="14"/>
  <c r="G740" i="14"/>
  <c r="I740" i="14"/>
  <c r="J730" i="11"/>
  <c r="K730" i="11" s="1"/>
  <c r="I728" i="13" s="1"/>
  <c r="H730" i="11"/>
  <c r="I730" i="11"/>
  <c r="G730" i="11"/>
  <c r="J693" i="15"/>
  <c r="K693" i="15" s="1"/>
  <c r="K691" i="13" s="1"/>
  <c r="I693" i="15"/>
  <c r="H693" i="15"/>
  <c r="G693" i="15"/>
  <c r="H671" i="11"/>
  <c r="J671" i="11"/>
  <c r="K671" i="11" s="1"/>
  <c r="I669" i="13" s="1"/>
  <c r="I671" i="11"/>
  <c r="G671" i="11"/>
  <c r="J638" i="11"/>
  <c r="K638" i="11" s="1"/>
  <c r="I636" i="13" s="1"/>
  <c r="H638" i="11"/>
  <c r="I638" i="11"/>
  <c r="G638" i="11"/>
  <c r="J594" i="9"/>
  <c r="K594" i="9" s="1"/>
  <c r="H592" i="13" s="1"/>
  <c r="H594" i="9"/>
  <c r="G594" i="9"/>
  <c r="I594" i="9"/>
  <c r="G483" i="14"/>
  <c r="I483" i="14"/>
  <c r="H483" i="14"/>
  <c r="I361" i="15"/>
  <c r="H361" i="15"/>
  <c r="G361" i="15"/>
  <c r="H302" i="14"/>
  <c r="G302" i="14"/>
  <c r="I302" i="14"/>
  <c r="G235" i="15"/>
  <c r="H235" i="15"/>
  <c r="I235" i="15"/>
  <c r="H138" i="14"/>
  <c r="G138" i="14"/>
  <c r="I138" i="14"/>
  <c r="H848" i="15"/>
  <c r="J848" i="15"/>
  <c r="K848" i="15" s="1"/>
  <c r="K846" i="13" s="1"/>
  <c r="I848" i="15"/>
  <c r="G848" i="15"/>
  <c r="J544" i="15"/>
  <c r="K544" i="15" s="1"/>
  <c r="K542" i="13" s="1"/>
  <c r="I544" i="15"/>
  <c r="H544" i="15"/>
  <c r="G544" i="15"/>
  <c r="I200" i="1"/>
  <c r="G829" i="14"/>
  <c r="J829" i="14"/>
  <c r="K829" i="14" s="1"/>
  <c r="J827" i="13" s="1"/>
  <c r="I829" i="14"/>
  <c r="H829" i="14"/>
  <c r="J542" i="9"/>
  <c r="K542" i="9" s="1"/>
  <c r="H540" i="13" s="1"/>
  <c r="I542" i="9"/>
  <c r="H542" i="9"/>
  <c r="G542" i="9"/>
  <c r="H280" i="15"/>
  <c r="G280" i="15"/>
  <c r="I280" i="15"/>
  <c r="I185" i="15"/>
  <c r="H185" i="15"/>
  <c r="G185" i="15"/>
  <c r="H851" i="11"/>
  <c r="G851" i="11"/>
  <c r="J851" i="11"/>
  <c r="K851" i="11" s="1"/>
  <c r="I849" i="13" s="1"/>
  <c r="I851" i="11"/>
  <c r="J817" i="9"/>
  <c r="K817" i="9" s="1"/>
  <c r="H815" i="13" s="1"/>
  <c r="I817" i="9"/>
  <c r="H817" i="9"/>
  <c r="G817" i="9"/>
  <c r="K679" i="8"/>
  <c r="L679" i="8" s="1"/>
  <c r="G677" i="13" s="1"/>
  <c r="J679" i="8"/>
  <c r="I679" i="8"/>
  <c r="H679" i="8"/>
  <c r="I654" i="8"/>
  <c r="J654" i="8"/>
  <c r="H654" i="8"/>
  <c r="K654" i="8"/>
  <c r="L654" i="8" s="1"/>
  <c r="G652" i="13" s="1"/>
  <c r="J611" i="9"/>
  <c r="K611" i="9" s="1"/>
  <c r="H609" i="13" s="1"/>
  <c r="I611" i="9"/>
  <c r="G611" i="9"/>
  <c r="H611" i="9"/>
  <c r="J549" i="9"/>
  <c r="K549" i="9" s="1"/>
  <c r="H547" i="13" s="1"/>
  <c r="I549" i="9"/>
  <c r="G549" i="9"/>
  <c r="H549" i="9"/>
  <c r="H480" i="14"/>
  <c r="G480" i="14"/>
  <c r="I480" i="14"/>
  <c r="H422" i="11"/>
  <c r="G422" i="11"/>
  <c r="I422" i="11"/>
  <c r="I390" i="14"/>
  <c r="H390" i="14"/>
  <c r="G390" i="14"/>
  <c r="H353" i="14"/>
  <c r="G353" i="14"/>
  <c r="I353" i="14"/>
  <c r="G307" i="14"/>
  <c r="H307" i="14"/>
  <c r="I307" i="14"/>
  <c r="I293" i="15"/>
  <c r="H293" i="15"/>
  <c r="G293" i="15"/>
  <c r="H186" i="14"/>
  <c r="G186" i="14"/>
  <c r="I186" i="14"/>
  <c r="I180" i="14"/>
  <c r="H180" i="14"/>
  <c r="G180" i="14"/>
  <c r="I167" i="11"/>
  <c r="H167" i="11"/>
  <c r="G167" i="11"/>
  <c r="I93" i="14"/>
  <c r="H93" i="14"/>
  <c r="G93" i="14"/>
  <c r="H43" i="14"/>
  <c r="G43" i="14"/>
  <c r="I43" i="14"/>
  <c r="I70" i="14"/>
  <c r="H70" i="14"/>
  <c r="G70" i="14"/>
  <c r="G705" i="9"/>
  <c r="J705" i="9"/>
  <c r="K705" i="9" s="1"/>
  <c r="H703" i="13" s="1"/>
  <c r="H705" i="9"/>
  <c r="I705" i="9"/>
  <c r="G656" i="14"/>
  <c r="H656" i="14"/>
  <c r="I656" i="14"/>
  <c r="J656" i="14"/>
  <c r="K656" i="14" s="1"/>
  <c r="J654" i="13" s="1"/>
  <c r="I439" i="15"/>
  <c r="G439" i="15"/>
  <c r="H439" i="15"/>
  <c r="I265" i="14"/>
  <c r="G265" i="14"/>
  <c r="H265" i="14"/>
  <c r="G56" i="11"/>
  <c r="I56" i="11"/>
  <c r="H56" i="11"/>
  <c r="J565" i="14"/>
  <c r="K565" i="14" s="1"/>
  <c r="J563" i="13" s="1"/>
  <c r="I565" i="14"/>
  <c r="H565" i="14"/>
  <c r="G565" i="14"/>
  <c r="G776" i="9"/>
  <c r="J776" i="9"/>
  <c r="K776" i="9" s="1"/>
  <c r="H774" i="13" s="1"/>
  <c r="I776" i="9"/>
  <c r="H776" i="9"/>
  <c r="H732" i="14"/>
  <c r="G732" i="14"/>
  <c r="J732" i="14"/>
  <c r="K732" i="14" s="1"/>
  <c r="J730" i="13" s="1"/>
  <c r="I732" i="14"/>
  <c r="J623" i="15"/>
  <c r="K623" i="15" s="1"/>
  <c r="K621" i="13" s="1"/>
  <c r="I623" i="15"/>
  <c r="H623" i="15"/>
  <c r="G623" i="15"/>
  <c r="I585" i="9"/>
  <c r="G585" i="9"/>
  <c r="J585" i="9"/>
  <c r="K585" i="9" s="1"/>
  <c r="H583" i="13" s="1"/>
  <c r="H585" i="9"/>
  <c r="I551" i="11"/>
  <c r="H551" i="11"/>
  <c r="J551" i="11"/>
  <c r="K551" i="11" s="1"/>
  <c r="I549" i="13" s="1"/>
  <c r="G551" i="11"/>
  <c r="I379" i="14"/>
  <c r="H379" i="14"/>
  <c r="G379" i="14"/>
  <c r="G374" i="1"/>
  <c r="J374" i="1"/>
  <c r="I374" i="1"/>
  <c r="H374" i="1"/>
  <c r="H333" i="14"/>
  <c r="G333" i="14"/>
  <c r="I333" i="14"/>
  <c r="I275" i="15"/>
  <c r="G275" i="15"/>
  <c r="H275" i="15"/>
  <c r="H717" i="15"/>
  <c r="G717" i="15"/>
  <c r="J717" i="15"/>
  <c r="K717" i="15" s="1"/>
  <c r="K715" i="13" s="1"/>
  <c r="I717" i="15"/>
  <c r="H452" i="11"/>
  <c r="I452" i="11"/>
  <c r="G452" i="11"/>
  <c r="H129" i="15"/>
  <c r="I129" i="15"/>
  <c r="G129" i="15"/>
  <c r="J840" i="14"/>
  <c r="K840" i="14" s="1"/>
  <c r="J838" i="13" s="1"/>
  <c r="H840" i="14"/>
  <c r="I840" i="14"/>
  <c r="G840" i="14"/>
  <c r="I722" i="8"/>
  <c r="J722" i="8"/>
  <c r="H722" i="8"/>
  <c r="K722" i="8"/>
  <c r="L722" i="8" s="1"/>
  <c r="G720" i="13" s="1"/>
  <c r="H668" i="15"/>
  <c r="G668" i="15"/>
  <c r="J668" i="15"/>
  <c r="K668" i="15" s="1"/>
  <c r="K666" i="13" s="1"/>
  <c r="I668" i="15"/>
  <c r="J599" i="9"/>
  <c r="K599" i="9" s="1"/>
  <c r="H597" i="13" s="1"/>
  <c r="I599" i="9"/>
  <c r="H599" i="9"/>
  <c r="G599" i="9"/>
  <c r="G13" i="11"/>
  <c r="I13" i="11"/>
  <c r="H13" i="11"/>
  <c r="H110" i="11"/>
  <c r="I110" i="11"/>
  <c r="G110" i="11"/>
  <c r="J562" i="11"/>
  <c r="K562" i="11" s="1"/>
  <c r="I560" i="13" s="1"/>
  <c r="H562" i="11"/>
  <c r="G562" i="11"/>
  <c r="I562" i="11"/>
  <c r="H152" i="15"/>
  <c r="I152" i="15"/>
  <c r="G152" i="15"/>
  <c r="G792" i="11"/>
  <c r="J792" i="11"/>
  <c r="K792" i="11" s="1"/>
  <c r="I790" i="13" s="1"/>
  <c r="I792" i="11"/>
  <c r="H792" i="11"/>
  <c r="I64" i="11"/>
  <c r="H64" i="11"/>
  <c r="G64" i="11"/>
  <c r="H582" i="9"/>
  <c r="J582" i="9"/>
  <c r="K582" i="9" s="1"/>
  <c r="H580" i="13" s="1"/>
  <c r="I582" i="9"/>
  <c r="G582" i="9"/>
  <c r="G438" i="14"/>
  <c r="I438" i="14"/>
  <c r="H438" i="14"/>
  <c r="K706" i="8"/>
  <c r="L706" i="8" s="1"/>
  <c r="G704" i="13" s="1"/>
  <c r="J706" i="8"/>
  <c r="H706" i="8"/>
  <c r="I706" i="8"/>
  <c r="I510" i="14"/>
  <c r="H510" i="14"/>
  <c r="G510" i="14"/>
  <c r="I754" i="14"/>
  <c r="H754" i="14"/>
  <c r="G754" i="14"/>
  <c r="J754" i="14"/>
  <c r="K754" i="14" s="1"/>
  <c r="J752" i="13" s="1"/>
  <c r="J672" i="15"/>
  <c r="K672" i="15" s="1"/>
  <c r="K670" i="13" s="1"/>
  <c r="I672" i="15"/>
  <c r="H672" i="15"/>
  <c r="G672" i="15"/>
  <c r="H408" i="11"/>
  <c r="I408" i="11"/>
  <c r="G408" i="11"/>
  <c r="G306" i="15"/>
  <c r="H306" i="15"/>
  <c r="I306" i="15"/>
  <c r="H174" i="15"/>
  <c r="I174" i="15"/>
  <c r="G174" i="15"/>
  <c r="G131" i="14"/>
  <c r="I131" i="14"/>
  <c r="H131" i="14"/>
  <c r="G253" i="11"/>
  <c r="I253" i="11"/>
  <c r="H253" i="11"/>
  <c r="G72" i="11"/>
  <c r="I72" i="11"/>
  <c r="H72" i="11"/>
  <c r="G346" i="14"/>
  <c r="I346" i="14"/>
  <c r="H346" i="14"/>
  <c r="J490" i="1"/>
  <c r="I490" i="1"/>
  <c r="I318" i="11"/>
  <c r="H318" i="11"/>
  <c r="G318" i="11"/>
  <c r="I762" i="11"/>
  <c r="H762" i="11"/>
  <c r="G762" i="11"/>
  <c r="J762" i="11"/>
  <c r="K762" i="11" s="1"/>
  <c r="I760" i="13" s="1"/>
  <c r="J702" i="9"/>
  <c r="K702" i="9" s="1"/>
  <c r="H700" i="13" s="1"/>
  <c r="I702" i="9"/>
  <c r="H702" i="9"/>
  <c r="G702" i="9"/>
  <c r="H615" i="8"/>
  <c r="J615" i="8"/>
  <c r="I615" i="8"/>
  <c r="K615" i="8"/>
  <c r="L615" i="8" s="1"/>
  <c r="G613" i="13" s="1"/>
  <c r="J555" i="14"/>
  <c r="K555" i="14" s="1"/>
  <c r="J553" i="13" s="1"/>
  <c r="I555" i="14"/>
  <c r="G555" i="14"/>
  <c r="H555" i="14"/>
  <c r="G228" i="14"/>
  <c r="I228" i="14"/>
  <c r="H228" i="14"/>
  <c r="I42" i="14"/>
  <c r="H42" i="14"/>
  <c r="G42" i="14"/>
  <c r="G378" i="14"/>
  <c r="I378" i="14"/>
  <c r="H378" i="14"/>
  <c r="J558" i="9"/>
  <c r="K558" i="9" s="1"/>
  <c r="H556" i="13" s="1"/>
  <c r="I558" i="9"/>
  <c r="H558" i="9"/>
  <c r="G558" i="9"/>
  <c r="I168" i="1"/>
  <c r="H168" i="1"/>
  <c r="G168" i="1"/>
  <c r="G134" i="14"/>
  <c r="I134" i="14"/>
  <c r="H134" i="14"/>
  <c r="I236" i="15"/>
  <c r="H236" i="15"/>
  <c r="G236" i="15"/>
  <c r="J607" i="14"/>
  <c r="K607" i="14" s="1"/>
  <c r="J605" i="13" s="1"/>
  <c r="I607" i="14"/>
  <c r="G607" i="14"/>
  <c r="H607" i="14"/>
  <c r="J750" i="15"/>
  <c r="K750" i="15" s="1"/>
  <c r="K748" i="13" s="1"/>
  <c r="I750" i="15"/>
  <c r="H750" i="15"/>
  <c r="G750" i="15"/>
  <c r="J662" i="11"/>
  <c r="K662" i="11" s="1"/>
  <c r="I660" i="13" s="1"/>
  <c r="I662" i="11"/>
  <c r="H662" i="11"/>
  <c r="G662" i="11"/>
  <c r="I454" i="14"/>
  <c r="H454" i="14"/>
  <c r="G454" i="14"/>
  <c r="J832" i="15"/>
  <c r="K832" i="15" s="1"/>
  <c r="K830" i="13" s="1"/>
  <c r="I832" i="15"/>
  <c r="H832" i="15"/>
  <c r="G832" i="15"/>
  <c r="J784" i="15"/>
  <c r="K784" i="15" s="1"/>
  <c r="K782" i="13" s="1"/>
  <c r="I784" i="15"/>
  <c r="G784" i="15"/>
  <c r="H784" i="15"/>
  <c r="G595" i="15"/>
  <c r="J595" i="15"/>
  <c r="K595" i="15" s="1"/>
  <c r="K593" i="13" s="1"/>
  <c r="I595" i="15"/>
  <c r="H595" i="15"/>
  <c r="G794" i="11"/>
  <c r="J794" i="11"/>
  <c r="K794" i="11" s="1"/>
  <c r="I792" i="13" s="1"/>
  <c r="I794" i="11"/>
  <c r="H794" i="11"/>
  <c r="H692" i="9"/>
  <c r="G692" i="9"/>
  <c r="J692" i="9"/>
  <c r="K692" i="9" s="1"/>
  <c r="H690" i="13" s="1"/>
  <c r="I692" i="9"/>
  <c r="I82" i="11"/>
  <c r="H82" i="11"/>
  <c r="G82" i="11"/>
  <c r="G313" i="11"/>
  <c r="I313" i="11"/>
  <c r="H313" i="11"/>
  <c r="H406" i="14"/>
  <c r="G406" i="14"/>
  <c r="I406" i="14"/>
  <c r="I630" i="9"/>
  <c r="H630" i="9"/>
  <c r="G630" i="9"/>
  <c r="J630" i="9"/>
  <c r="K630" i="9" s="1"/>
  <c r="H628" i="13" s="1"/>
  <c r="G125" i="14"/>
  <c r="I125" i="14"/>
  <c r="H125" i="14"/>
  <c r="G221" i="11"/>
  <c r="I221" i="11"/>
  <c r="H221" i="11"/>
  <c r="G58" i="11"/>
  <c r="H58" i="11"/>
  <c r="I58" i="11"/>
  <c r="K781" i="8"/>
  <c r="L781" i="8" s="1"/>
  <c r="G779" i="13" s="1"/>
  <c r="J781" i="8"/>
  <c r="H781" i="8"/>
  <c r="I781" i="8"/>
  <c r="H670" i="8"/>
  <c r="I670" i="8"/>
  <c r="J670" i="8"/>
  <c r="K670" i="8"/>
  <c r="L670" i="8" s="1"/>
  <c r="G668" i="13" s="1"/>
  <c r="H112" i="14"/>
  <c r="G112" i="14"/>
  <c r="I112" i="14"/>
  <c r="J858" i="15"/>
  <c r="K858" i="15" s="1"/>
  <c r="K856" i="13" s="1"/>
  <c r="I858" i="15"/>
  <c r="G858" i="15"/>
  <c r="H858" i="15"/>
  <c r="G839" i="14"/>
  <c r="H839" i="14"/>
  <c r="J839" i="14"/>
  <c r="K839" i="14" s="1"/>
  <c r="J837" i="13" s="1"/>
  <c r="I839" i="14"/>
  <c r="H759" i="11"/>
  <c r="G759" i="11"/>
  <c r="J759" i="11"/>
  <c r="K759" i="11" s="1"/>
  <c r="I757" i="13" s="1"/>
  <c r="I759" i="11"/>
  <c r="J741" i="15"/>
  <c r="K741" i="15" s="1"/>
  <c r="K739" i="13" s="1"/>
  <c r="I741" i="15"/>
  <c r="H741" i="15"/>
  <c r="G741" i="15"/>
  <c r="J728" i="15"/>
  <c r="K728" i="15" s="1"/>
  <c r="K726" i="13" s="1"/>
  <c r="I728" i="15"/>
  <c r="H728" i="15"/>
  <c r="G728" i="15"/>
  <c r="G718" i="11"/>
  <c r="H718" i="11"/>
  <c r="J718" i="11"/>
  <c r="K718" i="11" s="1"/>
  <c r="I716" i="13" s="1"/>
  <c r="I718" i="11"/>
  <c r="J640" i="11"/>
  <c r="K640" i="11" s="1"/>
  <c r="I638" i="13" s="1"/>
  <c r="G640" i="11"/>
  <c r="H640" i="11"/>
  <c r="I640" i="11"/>
  <c r="H600" i="8"/>
  <c r="I600" i="8"/>
  <c r="J600" i="8"/>
  <c r="K600" i="8"/>
  <c r="L600" i="8" s="1"/>
  <c r="G598" i="13" s="1"/>
  <c r="G586" i="14"/>
  <c r="J586" i="14"/>
  <c r="K586" i="14" s="1"/>
  <c r="J584" i="13" s="1"/>
  <c r="I586" i="14"/>
  <c r="H586" i="14"/>
  <c r="I541" i="15"/>
  <c r="H541" i="15"/>
  <c r="G541" i="15"/>
  <c r="J541" i="15"/>
  <c r="K541" i="15" s="1"/>
  <c r="K539" i="13" s="1"/>
  <c r="G413" i="15"/>
  <c r="I413" i="15"/>
  <c r="H413" i="15"/>
  <c r="G310" i="11"/>
  <c r="I310" i="11"/>
  <c r="H310" i="11"/>
  <c r="I279" i="14"/>
  <c r="H279" i="14"/>
  <c r="G279" i="14"/>
  <c r="I128" i="15"/>
  <c r="H128" i="15"/>
  <c r="G128" i="15"/>
  <c r="I117" i="14"/>
  <c r="H117" i="14"/>
  <c r="G117" i="14"/>
  <c r="I20" i="15"/>
  <c r="H20" i="15"/>
  <c r="G20" i="15"/>
  <c r="H184" i="15"/>
  <c r="I184" i="15"/>
  <c r="G184" i="15"/>
  <c r="G62" i="14"/>
  <c r="I62" i="14"/>
  <c r="H62" i="14"/>
  <c r="I89" i="11"/>
  <c r="H89" i="11"/>
  <c r="G89" i="11"/>
  <c r="I51" i="15"/>
  <c r="H51" i="15"/>
  <c r="G51" i="15"/>
  <c r="G25" i="15"/>
  <c r="I25" i="15"/>
  <c r="H25" i="15"/>
  <c r="H402" i="14"/>
  <c r="G402" i="14"/>
  <c r="I402" i="14"/>
  <c r="J707" i="11"/>
  <c r="K707" i="11" s="1"/>
  <c r="I705" i="13" s="1"/>
  <c r="I707" i="11"/>
  <c r="H707" i="11"/>
  <c r="G707" i="11"/>
  <c r="I156" i="14"/>
  <c r="H156" i="14"/>
  <c r="G156" i="14"/>
  <c r="I151" i="15"/>
  <c r="H151" i="15"/>
  <c r="G151" i="15"/>
  <c r="G100" i="14"/>
  <c r="I100" i="14"/>
  <c r="H100" i="14"/>
  <c r="J857" i="8"/>
  <c r="H857" i="8"/>
  <c r="I857" i="8"/>
  <c r="K857" i="8"/>
  <c r="L857" i="8" s="1"/>
  <c r="G855" i="13" s="1"/>
  <c r="J810" i="9"/>
  <c r="K810" i="9" s="1"/>
  <c r="H808" i="13" s="1"/>
  <c r="I810" i="9"/>
  <c r="H810" i="9"/>
  <c r="G810" i="9"/>
  <c r="J803" i="14"/>
  <c r="K803" i="14" s="1"/>
  <c r="J801" i="13" s="1"/>
  <c r="I803" i="14"/>
  <c r="H803" i="14"/>
  <c r="G803" i="14"/>
  <c r="J738" i="14"/>
  <c r="K738" i="14" s="1"/>
  <c r="J736" i="13" s="1"/>
  <c r="H738" i="14"/>
  <c r="I738" i="14"/>
  <c r="G738" i="14"/>
  <c r="J664" i="14"/>
  <c r="K664" i="14" s="1"/>
  <c r="J662" i="13" s="1"/>
  <c r="I664" i="14"/>
  <c r="H664" i="14"/>
  <c r="G664" i="14"/>
  <c r="G647" i="11"/>
  <c r="J647" i="11"/>
  <c r="K647" i="11" s="1"/>
  <c r="I645" i="13" s="1"/>
  <c r="I647" i="11"/>
  <c r="H647" i="11"/>
  <c r="J612" i="14"/>
  <c r="K612" i="14" s="1"/>
  <c r="J610" i="13" s="1"/>
  <c r="I612" i="14"/>
  <c r="H612" i="14"/>
  <c r="G612" i="14"/>
  <c r="I504" i="15"/>
  <c r="H504" i="15"/>
  <c r="G504" i="15"/>
  <c r="I494" i="15"/>
  <c r="H494" i="15"/>
  <c r="G494" i="15"/>
  <c r="G386" i="15"/>
  <c r="I386" i="15"/>
  <c r="H386" i="15"/>
  <c r="I308" i="11"/>
  <c r="H308" i="11"/>
  <c r="G308" i="11"/>
  <c r="G181" i="11"/>
  <c r="H181" i="11"/>
  <c r="I181" i="11"/>
  <c r="I173" i="15"/>
  <c r="H173" i="15"/>
  <c r="G173" i="15"/>
  <c r="H74" i="14"/>
  <c r="G74" i="14"/>
  <c r="I74" i="14"/>
  <c r="G8" i="14"/>
  <c r="I8" i="14"/>
  <c r="H8" i="14"/>
  <c r="J722" i="1"/>
  <c r="K722" i="1"/>
  <c r="J596" i="9"/>
  <c r="K596" i="9" s="1"/>
  <c r="H594" i="13" s="1"/>
  <c r="H596" i="9"/>
  <c r="I596" i="9"/>
  <c r="G596" i="9"/>
  <c r="G690" i="11"/>
  <c r="J690" i="11"/>
  <c r="K690" i="11" s="1"/>
  <c r="I688" i="13" s="1"/>
  <c r="I690" i="11"/>
  <c r="H690" i="11"/>
  <c r="G61" i="1"/>
  <c r="H61" i="1"/>
  <c r="J61" i="1"/>
  <c r="I61" i="1"/>
  <c r="G821" i="14"/>
  <c r="J821" i="14"/>
  <c r="K821" i="14" s="1"/>
  <c r="J819" i="13" s="1"/>
  <c r="I821" i="14"/>
  <c r="H821" i="14"/>
  <c r="J593" i="9"/>
  <c r="K593" i="9" s="1"/>
  <c r="H591" i="13" s="1"/>
  <c r="I593" i="9"/>
  <c r="H593" i="9"/>
  <c r="G593" i="9"/>
  <c r="H36" i="11"/>
  <c r="G36" i="11"/>
  <c r="I36" i="11"/>
  <c r="K747" i="8"/>
  <c r="L747" i="8" s="1"/>
  <c r="G745" i="13" s="1"/>
  <c r="J747" i="8"/>
  <c r="I747" i="8"/>
  <c r="H747" i="8"/>
  <c r="I696" i="11"/>
  <c r="G696" i="11"/>
  <c r="J696" i="11"/>
  <c r="K696" i="11" s="1"/>
  <c r="I694" i="13" s="1"/>
  <c r="H696" i="11"/>
  <c r="H635" i="8"/>
  <c r="I635" i="8"/>
  <c r="K635" i="8"/>
  <c r="L635" i="8" s="1"/>
  <c r="G633" i="13" s="1"/>
  <c r="J635" i="8"/>
  <c r="K618" i="8"/>
  <c r="L618" i="8" s="1"/>
  <c r="G616" i="13" s="1"/>
  <c r="I618" i="8"/>
  <c r="H618" i="8"/>
  <c r="J618" i="8"/>
  <c r="J577" i="11"/>
  <c r="K577" i="11" s="1"/>
  <c r="I575" i="13" s="1"/>
  <c r="I577" i="11"/>
  <c r="G577" i="11"/>
  <c r="H577" i="11"/>
  <c r="J522" i="11"/>
  <c r="K522" i="11" s="1"/>
  <c r="I520" i="13" s="1"/>
  <c r="I522" i="11"/>
  <c r="H522" i="11"/>
  <c r="G522" i="11"/>
  <c r="I403" i="15"/>
  <c r="H403" i="15"/>
  <c r="G403" i="15"/>
  <c r="I327" i="15"/>
  <c r="H327" i="15"/>
  <c r="G327" i="15"/>
  <c r="H162" i="11"/>
  <c r="G162" i="11"/>
  <c r="I162" i="11"/>
  <c r="H57" i="11"/>
  <c r="I57" i="11"/>
  <c r="G57" i="11"/>
  <c r="G409" i="14"/>
  <c r="H409" i="14"/>
  <c r="I409" i="14"/>
  <c r="I498" i="15"/>
  <c r="H498" i="15"/>
  <c r="G498" i="15"/>
  <c r="J801" i="15"/>
  <c r="K801" i="15" s="1"/>
  <c r="K799" i="13" s="1"/>
  <c r="I801" i="15"/>
  <c r="H801" i="15"/>
  <c r="G801" i="15"/>
  <c r="H205" i="14"/>
  <c r="G205" i="14"/>
  <c r="I205" i="14"/>
  <c r="J820" i="11"/>
  <c r="K820" i="11" s="1"/>
  <c r="I818" i="13" s="1"/>
  <c r="H820" i="11"/>
  <c r="G820" i="11"/>
  <c r="I820" i="11"/>
  <c r="K775" i="8"/>
  <c r="L775" i="8" s="1"/>
  <c r="G773" i="13" s="1"/>
  <c r="J775" i="8"/>
  <c r="I775" i="8"/>
  <c r="H775" i="8"/>
  <c r="J767" i="15"/>
  <c r="K767" i="15" s="1"/>
  <c r="K765" i="13" s="1"/>
  <c r="I767" i="15"/>
  <c r="H767" i="15"/>
  <c r="G767" i="15"/>
  <c r="J725" i="15"/>
  <c r="K725" i="15" s="1"/>
  <c r="K723" i="13" s="1"/>
  <c r="I725" i="15"/>
  <c r="H725" i="15"/>
  <c r="G725" i="15"/>
  <c r="J682" i="14"/>
  <c r="K682" i="14" s="1"/>
  <c r="J680" i="13" s="1"/>
  <c r="H682" i="14"/>
  <c r="I682" i="14"/>
  <c r="G682" i="14"/>
  <c r="I632" i="9"/>
  <c r="G632" i="9"/>
  <c r="H632" i="9"/>
  <c r="J632" i="9"/>
  <c r="K632" i="9" s="1"/>
  <c r="H630" i="13" s="1"/>
  <c r="I519" i="8"/>
  <c r="H519" i="8"/>
  <c r="K519" i="8"/>
  <c r="L519" i="8" s="1"/>
  <c r="G517" i="13" s="1"/>
  <c r="J519" i="8"/>
  <c r="G514" i="14"/>
  <c r="H514" i="14"/>
  <c r="I514" i="14"/>
  <c r="H461" i="14"/>
  <c r="G461" i="14"/>
  <c r="I461" i="14"/>
  <c r="I405" i="14"/>
  <c r="H405" i="14"/>
  <c r="G405" i="14"/>
  <c r="I332" i="14"/>
  <c r="H332" i="14"/>
  <c r="G332" i="14"/>
  <c r="I119" i="15"/>
  <c r="H119" i="15"/>
  <c r="G119" i="15"/>
  <c r="J683" i="14"/>
  <c r="K683" i="14" s="1"/>
  <c r="J681" i="13" s="1"/>
  <c r="H683" i="14"/>
  <c r="G683" i="14"/>
  <c r="I683" i="14"/>
  <c r="J529" i="15"/>
  <c r="K529" i="15" s="1"/>
  <c r="K527" i="13" s="1"/>
  <c r="H529" i="15"/>
  <c r="I529" i="15"/>
  <c r="G529" i="15"/>
  <c r="I641" i="15"/>
  <c r="G641" i="15"/>
  <c r="J641" i="15"/>
  <c r="K641" i="15" s="1"/>
  <c r="K639" i="13" s="1"/>
  <c r="H641" i="15"/>
  <c r="G424" i="14"/>
  <c r="H424" i="14"/>
  <c r="I424" i="14"/>
  <c r="H207" i="11"/>
  <c r="I207" i="11"/>
  <c r="G207" i="11"/>
  <c r="I854" i="9"/>
  <c r="J854" i="9"/>
  <c r="K854" i="9" s="1"/>
  <c r="H852" i="13" s="1"/>
  <c r="H854" i="9"/>
  <c r="G854" i="9"/>
  <c r="J830" i="11"/>
  <c r="K830" i="11" s="1"/>
  <c r="I828" i="13" s="1"/>
  <c r="I830" i="11"/>
  <c r="H830" i="11"/>
  <c r="G830" i="11"/>
  <c r="J822" i="9"/>
  <c r="K822" i="9" s="1"/>
  <c r="H820" i="13" s="1"/>
  <c r="I822" i="9"/>
  <c r="H822" i="9"/>
  <c r="G822" i="9"/>
  <c r="J764" i="14"/>
  <c r="K764" i="14" s="1"/>
  <c r="J762" i="13" s="1"/>
  <c r="I764" i="14"/>
  <c r="G764" i="14"/>
  <c r="H764" i="14"/>
  <c r="H715" i="11"/>
  <c r="I715" i="11"/>
  <c r="G715" i="11"/>
  <c r="J715" i="11"/>
  <c r="K715" i="11" s="1"/>
  <c r="I713" i="13" s="1"/>
  <c r="J688" i="8"/>
  <c r="K688" i="8"/>
  <c r="L688" i="8" s="1"/>
  <c r="G686" i="13" s="1"/>
  <c r="I688" i="8"/>
  <c r="H688" i="8"/>
  <c r="I626" i="11"/>
  <c r="H626" i="11"/>
  <c r="J626" i="11"/>
  <c r="K626" i="11" s="1"/>
  <c r="I624" i="13" s="1"/>
  <c r="G626" i="11"/>
  <c r="G606" i="14"/>
  <c r="J606" i="14"/>
  <c r="K606" i="14" s="1"/>
  <c r="J604" i="13" s="1"/>
  <c r="I606" i="14"/>
  <c r="H606" i="14"/>
  <c r="H597" i="9"/>
  <c r="J597" i="9"/>
  <c r="K597" i="9" s="1"/>
  <c r="H595" i="13" s="1"/>
  <c r="I597" i="9"/>
  <c r="G597" i="9"/>
  <c r="J532" i="9"/>
  <c r="K532" i="9" s="1"/>
  <c r="H530" i="13" s="1"/>
  <c r="I532" i="9"/>
  <c r="H532" i="9"/>
  <c r="G532" i="9"/>
  <c r="G367" i="14"/>
  <c r="I367" i="14"/>
  <c r="H367" i="14"/>
  <c r="I222" i="15"/>
  <c r="H222" i="15"/>
  <c r="G222" i="15"/>
  <c r="G213" i="11"/>
  <c r="I213" i="11"/>
  <c r="H213" i="11"/>
  <c r="H104" i="15"/>
  <c r="G104" i="15"/>
  <c r="I104" i="15"/>
  <c r="I701" i="14"/>
  <c r="J701" i="14"/>
  <c r="K701" i="14" s="1"/>
  <c r="J699" i="13" s="1"/>
  <c r="H701" i="14"/>
  <c r="G701" i="14"/>
  <c r="G634" i="9"/>
  <c r="J634" i="9"/>
  <c r="K634" i="9" s="1"/>
  <c r="H632" i="13" s="1"/>
  <c r="I634" i="9"/>
  <c r="H634" i="9"/>
  <c r="I376" i="15"/>
  <c r="G376" i="15"/>
  <c r="H376" i="15"/>
  <c r="J795" i="11"/>
  <c r="K795" i="11" s="1"/>
  <c r="I793" i="13" s="1"/>
  <c r="I795" i="11"/>
  <c r="H795" i="11"/>
  <c r="G795" i="11"/>
  <c r="I837" i="11"/>
  <c r="H837" i="11"/>
  <c r="G837" i="11"/>
  <c r="J837" i="11"/>
  <c r="K837" i="11" s="1"/>
  <c r="I835" i="13" s="1"/>
  <c r="I343" i="14"/>
  <c r="G343" i="14"/>
  <c r="H343" i="14"/>
  <c r="G748" i="11"/>
  <c r="J748" i="11"/>
  <c r="K748" i="11" s="1"/>
  <c r="I746" i="13" s="1"/>
  <c r="H748" i="11"/>
  <c r="I748" i="11"/>
  <c r="G617" i="15"/>
  <c r="J617" i="15"/>
  <c r="K617" i="15" s="1"/>
  <c r="K615" i="13" s="1"/>
  <c r="I617" i="15"/>
  <c r="H617" i="15"/>
  <c r="I436" i="11"/>
  <c r="H436" i="11"/>
  <c r="G436" i="11"/>
  <c r="J807" i="9"/>
  <c r="K807" i="9" s="1"/>
  <c r="H805" i="13" s="1"/>
  <c r="I807" i="9"/>
  <c r="H807" i="9"/>
  <c r="G807" i="9"/>
  <c r="J761" i="11"/>
  <c r="K761" i="11" s="1"/>
  <c r="I759" i="13" s="1"/>
  <c r="H761" i="11"/>
  <c r="G761" i="11"/>
  <c r="I761" i="11"/>
  <c r="H730" i="9"/>
  <c r="G730" i="9"/>
  <c r="J730" i="9"/>
  <c r="K730" i="9" s="1"/>
  <c r="H728" i="13" s="1"/>
  <c r="I730" i="9"/>
  <c r="G693" i="14"/>
  <c r="J693" i="14"/>
  <c r="K693" i="14" s="1"/>
  <c r="J691" i="13" s="1"/>
  <c r="I693" i="14"/>
  <c r="H693" i="14"/>
  <c r="H671" i="14"/>
  <c r="J671" i="14"/>
  <c r="K671" i="14" s="1"/>
  <c r="J669" i="13" s="1"/>
  <c r="I671" i="14"/>
  <c r="G671" i="14"/>
  <c r="J638" i="15"/>
  <c r="K638" i="15" s="1"/>
  <c r="K636" i="13" s="1"/>
  <c r="H638" i="15"/>
  <c r="I638" i="15"/>
  <c r="G638" i="15"/>
  <c r="I594" i="15"/>
  <c r="H594" i="15"/>
  <c r="G594" i="15"/>
  <c r="J594" i="15"/>
  <c r="K594" i="15" s="1"/>
  <c r="K592" i="13" s="1"/>
  <c r="I284" i="11"/>
  <c r="H284" i="11"/>
  <c r="G284" i="11"/>
  <c r="I215" i="11"/>
  <c r="H215" i="11"/>
  <c r="G215" i="11"/>
  <c r="I154" i="15"/>
  <c r="H154" i="15"/>
  <c r="G154" i="15"/>
  <c r="I138" i="15"/>
  <c r="H138" i="15"/>
  <c r="G138" i="15"/>
  <c r="G848" i="14"/>
  <c r="H848" i="14"/>
  <c r="I848" i="14"/>
  <c r="J848" i="14"/>
  <c r="K848" i="14" s="1"/>
  <c r="J846" i="13" s="1"/>
  <c r="J829" i="15"/>
  <c r="K829" i="15" s="1"/>
  <c r="K827" i="13" s="1"/>
  <c r="I829" i="15"/>
  <c r="H829" i="15"/>
  <c r="G829" i="15"/>
  <c r="K542" i="8"/>
  <c r="L542" i="8" s="1"/>
  <c r="G540" i="13" s="1"/>
  <c r="J542" i="8"/>
  <c r="I542" i="8"/>
  <c r="H542" i="8"/>
  <c r="I851" i="14"/>
  <c r="H851" i="14"/>
  <c r="G851" i="14"/>
  <c r="J851" i="14"/>
  <c r="K851" i="14" s="1"/>
  <c r="J849" i="13" s="1"/>
  <c r="J817" i="8"/>
  <c r="I817" i="8"/>
  <c r="H817" i="8"/>
  <c r="K817" i="8"/>
  <c r="L817" i="8" s="1"/>
  <c r="G815" i="13" s="1"/>
  <c r="I780" i="9"/>
  <c r="J780" i="9"/>
  <c r="K780" i="9" s="1"/>
  <c r="H778" i="13" s="1"/>
  <c r="G780" i="9"/>
  <c r="H780" i="9"/>
  <c r="K737" i="8"/>
  <c r="L737" i="8" s="1"/>
  <c r="G735" i="13" s="1"/>
  <c r="J737" i="8"/>
  <c r="I737" i="8"/>
  <c r="H737" i="8"/>
  <c r="G679" i="9"/>
  <c r="J679" i="9"/>
  <c r="K679" i="9" s="1"/>
  <c r="H677" i="13" s="1"/>
  <c r="I679" i="9"/>
  <c r="H679" i="9"/>
  <c r="H654" i="9"/>
  <c r="G654" i="9"/>
  <c r="J654" i="9"/>
  <c r="K654" i="9" s="1"/>
  <c r="H652" i="13" s="1"/>
  <c r="I654" i="9"/>
  <c r="G611" i="11"/>
  <c r="J611" i="11"/>
  <c r="K611" i="11" s="1"/>
  <c r="I609" i="13" s="1"/>
  <c r="I611" i="11"/>
  <c r="H611" i="11"/>
  <c r="J587" i="8"/>
  <c r="K587" i="8"/>
  <c r="L587" i="8" s="1"/>
  <c r="G585" i="13" s="1"/>
  <c r="H587" i="8"/>
  <c r="I587" i="8"/>
  <c r="J549" i="11"/>
  <c r="K549" i="11" s="1"/>
  <c r="I547" i="13" s="1"/>
  <c r="I549" i="11"/>
  <c r="H549" i="11"/>
  <c r="G549" i="11"/>
  <c r="I540" i="8"/>
  <c r="K540" i="8"/>
  <c r="L540" i="8" s="1"/>
  <c r="G538" i="13" s="1"/>
  <c r="J540" i="8"/>
  <c r="H540" i="8"/>
  <c r="G422" i="15"/>
  <c r="I422" i="15"/>
  <c r="H422" i="15"/>
  <c r="H390" i="15"/>
  <c r="I390" i="15"/>
  <c r="G390" i="15"/>
  <c r="I353" i="15"/>
  <c r="H353" i="15"/>
  <c r="G353" i="15"/>
  <c r="G307" i="15"/>
  <c r="I307" i="15"/>
  <c r="H307" i="15"/>
  <c r="G180" i="15"/>
  <c r="I180" i="15"/>
  <c r="H180" i="15"/>
  <c r="H167" i="14"/>
  <c r="G167" i="14"/>
  <c r="I167" i="14"/>
  <c r="I48" i="11"/>
  <c r="H48" i="11"/>
  <c r="G48" i="11"/>
  <c r="G22" i="11"/>
  <c r="I22" i="11"/>
  <c r="H22" i="11"/>
  <c r="I50" i="11"/>
  <c r="H50" i="11"/>
  <c r="G50" i="11"/>
  <c r="G705" i="11"/>
  <c r="I705" i="11"/>
  <c r="H705" i="11"/>
  <c r="J705" i="11"/>
  <c r="K705" i="11" s="1"/>
  <c r="I703" i="13" s="1"/>
  <c r="I265" i="11"/>
  <c r="G265" i="11"/>
  <c r="H265" i="11"/>
  <c r="H394" i="15"/>
  <c r="I394" i="15"/>
  <c r="G394" i="15"/>
  <c r="H565" i="11"/>
  <c r="I565" i="11"/>
  <c r="J565" i="11"/>
  <c r="K565" i="11" s="1"/>
  <c r="I563" i="13" s="1"/>
  <c r="G565" i="11"/>
  <c r="I311" i="11"/>
  <c r="H311" i="11"/>
  <c r="G311" i="11"/>
  <c r="J776" i="14"/>
  <c r="K776" i="14" s="1"/>
  <c r="J774" i="13" s="1"/>
  <c r="I776" i="14"/>
  <c r="G776" i="14"/>
  <c r="H776" i="14"/>
  <c r="J732" i="15"/>
  <c r="K732" i="15" s="1"/>
  <c r="K730" i="13" s="1"/>
  <c r="I732" i="15"/>
  <c r="H732" i="15"/>
  <c r="G732" i="15"/>
  <c r="I585" i="11"/>
  <c r="H585" i="11"/>
  <c r="G585" i="11"/>
  <c r="J585" i="11"/>
  <c r="K585" i="11" s="1"/>
  <c r="I583" i="13" s="1"/>
  <c r="J551" i="9"/>
  <c r="K551" i="9" s="1"/>
  <c r="H549" i="13" s="1"/>
  <c r="I551" i="9"/>
  <c r="H551" i="9"/>
  <c r="G551" i="9"/>
  <c r="I407" i="11"/>
  <c r="H407" i="11"/>
  <c r="G407" i="11"/>
  <c r="I379" i="15"/>
  <c r="H379" i="15"/>
  <c r="G379" i="15"/>
  <c r="H358" i="11"/>
  <c r="G358" i="11"/>
  <c r="I358" i="11"/>
  <c r="I333" i="15"/>
  <c r="H333" i="15"/>
  <c r="G333" i="15"/>
  <c r="G242" i="1"/>
  <c r="I210" i="11"/>
  <c r="G210" i="11"/>
  <c r="H210" i="11"/>
  <c r="I126" i="15"/>
  <c r="H126" i="15"/>
  <c r="G126" i="15"/>
  <c r="H12" i="15"/>
  <c r="G12" i="15"/>
  <c r="I12" i="15"/>
  <c r="G452" i="14"/>
  <c r="I452" i="14"/>
  <c r="H452" i="14"/>
  <c r="H193" i="11"/>
  <c r="I193" i="11"/>
  <c r="G193" i="11"/>
  <c r="G840" i="15"/>
  <c r="J840" i="15"/>
  <c r="K840" i="15" s="1"/>
  <c r="K838" i="13" s="1"/>
  <c r="I840" i="15"/>
  <c r="H840" i="15"/>
  <c r="J722" i="9"/>
  <c r="K722" i="9" s="1"/>
  <c r="H720" i="13" s="1"/>
  <c r="G722" i="9"/>
  <c r="I722" i="9"/>
  <c r="H722" i="9"/>
  <c r="G599" i="11"/>
  <c r="J599" i="11"/>
  <c r="K599" i="11" s="1"/>
  <c r="I597" i="13" s="1"/>
  <c r="H599" i="11"/>
  <c r="I599" i="11"/>
  <c r="G752" i="9"/>
  <c r="I752" i="9"/>
  <c r="H752" i="9"/>
  <c r="J752" i="9"/>
  <c r="K752" i="9" s="1"/>
  <c r="H750" i="13" s="1"/>
  <c r="I246" i="1"/>
  <c r="H246" i="1"/>
  <c r="J246" i="1"/>
  <c r="K645" i="1"/>
  <c r="M645" i="1" s="1"/>
  <c r="Q645" i="1" s="1"/>
  <c r="F643" i="13" s="1"/>
  <c r="I645" i="1"/>
  <c r="K603" i="1"/>
  <c r="J603" i="1"/>
  <c r="I603" i="1"/>
  <c r="H603" i="1"/>
  <c r="G603" i="1"/>
  <c r="H257" i="11"/>
  <c r="I257" i="11"/>
  <c r="G257" i="11"/>
  <c r="I13" i="14"/>
  <c r="H13" i="14"/>
  <c r="G13" i="14"/>
  <c r="G562" i="14"/>
  <c r="H562" i="14"/>
  <c r="J562" i="14"/>
  <c r="K562" i="14" s="1"/>
  <c r="J560" i="13" s="1"/>
  <c r="I562" i="14"/>
  <c r="J792" i="9"/>
  <c r="K792" i="9" s="1"/>
  <c r="H790" i="13" s="1"/>
  <c r="I792" i="9"/>
  <c r="H792" i="9"/>
  <c r="G792" i="9"/>
  <c r="H64" i="14"/>
  <c r="G64" i="14"/>
  <c r="I64" i="14"/>
  <c r="I582" i="11"/>
  <c r="J582" i="11"/>
  <c r="K582" i="11" s="1"/>
  <c r="I580" i="13" s="1"/>
  <c r="H582" i="11"/>
  <c r="G582" i="11"/>
  <c r="J87" i="1"/>
  <c r="H87" i="1"/>
  <c r="I87" i="1"/>
  <c r="J706" i="9"/>
  <c r="K706" i="9" s="1"/>
  <c r="H704" i="13" s="1"/>
  <c r="I706" i="9"/>
  <c r="H706" i="9"/>
  <c r="G706" i="9"/>
  <c r="I510" i="15"/>
  <c r="H510" i="15"/>
  <c r="G510" i="15"/>
  <c r="H408" i="14"/>
  <c r="G408" i="14"/>
  <c r="I408" i="14"/>
  <c r="I328" i="11"/>
  <c r="H328" i="11"/>
  <c r="G328" i="11"/>
  <c r="I105" i="11"/>
  <c r="H105" i="11"/>
  <c r="G105" i="11"/>
  <c r="I131" i="15"/>
  <c r="H131" i="15"/>
  <c r="G131" i="15"/>
  <c r="G72" i="15"/>
  <c r="I72" i="15"/>
  <c r="H72" i="15"/>
  <c r="I346" i="15"/>
  <c r="H346" i="15"/>
  <c r="G346" i="15"/>
  <c r="G212" i="11"/>
  <c r="H212" i="11"/>
  <c r="I212" i="11"/>
  <c r="J610" i="8"/>
  <c r="H610" i="8"/>
  <c r="K610" i="8"/>
  <c r="L610" i="8" s="1"/>
  <c r="G608" i="13" s="1"/>
  <c r="I610" i="8"/>
  <c r="I318" i="14"/>
  <c r="H318" i="14"/>
  <c r="G318" i="14"/>
  <c r="J850" i="11"/>
  <c r="K850" i="11" s="1"/>
  <c r="I848" i="13" s="1"/>
  <c r="I850" i="11"/>
  <c r="H850" i="11"/>
  <c r="G850" i="11"/>
  <c r="G762" i="14"/>
  <c r="J762" i="14"/>
  <c r="K762" i="14" s="1"/>
  <c r="J760" i="13" s="1"/>
  <c r="I762" i="14"/>
  <c r="H762" i="14"/>
  <c r="H702" i="11"/>
  <c r="J702" i="11"/>
  <c r="K702" i="11" s="1"/>
  <c r="I700" i="13" s="1"/>
  <c r="I702" i="11"/>
  <c r="G702" i="11"/>
  <c r="J615" i="9"/>
  <c r="K615" i="9" s="1"/>
  <c r="H613" i="13" s="1"/>
  <c r="I615" i="9"/>
  <c r="H615" i="9"/>
  <c r="G615" i="9"/>
  <c r="J555" i="15"/>
  <c r="K555" i="15" s="1"/>
  <c r="K553" i="13" s="1"/>
  <c r="I555" i="15"/>
  <c r="H555" i="15"/>
  <c r="G555" i="15"/>
  <c r="H234" i="11"/>
  <c r="G234" i="11"/>
  <c r="I234" i="11"/>
  <c r="I228" i="15"/>
  <c r="H228" i="15"/>
  <c r="G228" i="15"/>
  <c r="I42" i="15"/>
  <c r="H42" i="15"/>
  <c r="G42" i="15"/>
  <c r="J721" i="9"/>
  <c r="K721" i="9" s="1"/>
  <c r="H719" i="13" s="1"/>
  <c r="H721" i="9"/>
  <c r="G721" i="9"/>
  <c r="I721" i="9"/>
  <c r="I378" i="15"/>
  <c r="H378" i="15"/>
  <c r="G378" i="15"/>
  <c r="J558" i="11"/>
  <c r="K558" i="11" s="1"/>
  <c r="I556" i="13" s="1"/>
  <c r="I558" i="11"/>
  <c r="H558" i="11"/>
  <c r="G558" i="11"/>
  <c r="I472" i="11"/>
  <c r="H472" i="11"/>
  <c r="G472" i="11"/>
  <c r="I134" i="15"/>
  <c r="H134" i="15"/>
  <c r="G134" i="15"/>
  <c r="I15" i="11"/>
  <c r="H15" i="11"/>
  <c r="G15" i="11"/>
  <c r="I607" i="15"/>
  <c r="H607" i="15"/>
  <c r="G607" i="15"/>
  <c r="J607" i="15"/>
  <c r="K607" i="15" s="1"/>
  <c r="K605" i="13" s="1"/>
  <c r="G662" i="14"/>
  <c r="J662" i="14"/>
  <c r="K662" i="14" s="1"/>
  <c r="J660" i="13" s="1"/>
  <c r="I662" i="14"/>
  <c r="H662" i="14"/>
  <c r="J572" i="8"/>
  <c r="H572" i="8"/>
  <c r="I572" i="8"/>
  <c r="K572" i="8"/>
  <c r="L572" i="8" s="1"/>
  <c r="G570" i="13" s="1"/>
  <c r="G454" i="15"/>
  <c r="I454" i="15"/>
  <c r="H454" i="15"/>
  <c r="J772" i="1"/>
  <c r="K772" i="1"/>
  <c r="J794" i="14"/>
  <c r="K794" i="14" s="1"/>
  <c r="J792" i="13" s="1"/>
  <c r="I794" i="14"/>
  <c r="H794" i="14"/>
  <c r="G794" i="14"/>
  <c r="I692" i="11"/>
  <c r="H692" i="11"/>
  <c r="J692" i="11"/>
  <c r="K692" i="11" s="1"/>
  <c r="I690" i="13" s="1"/>
  <c r="G692" i="11"/>
  <c r="K665" i="1"/>
  <c r="J665" i="1"/>
  <c r="I82" i="14"/>
  <c r="H82" i="14"/>
  <c r="G82" i="14"/>
  <c r="J122" i="1"/>
  <c r="I122" i="1"/>
  <c r="G313" i="14"/>
  <c r="I313" i="14"/>
  <c r="H313" i="14"/>
  <c r="G179" i="1"/>
  <c r="J179" i="1"/>
  <c r="I179" i="1"/>
  <c r="H179" i="1"/>
  <c r="J787" i="8"/>
  <c r="I787" i="8"/>
  <c r="H787" i="8"/>
  <c r="K787" i="8"/>
  <c r="L787" i="8" s="1"/>
  <c r="G785" i="13" s="1"/>
  <c r="I406" i="15"/>
  <c r="G406" i="15"/>
  <c r="H406" i="15"/>
  <c r="G241" i="1"/>
  <c r="I241" i="1"/>
  <c r="J241" i="1"/>
  <c r="J630" i="8"/>
  <c r="I630" i="8"/>
  <c r="H630" i="8"/>
  <c r="K630" i="8"/>
  <c r="L630" i="8" s="1"/>
  <c r="G628" i="13" s="1"/>
  <c r="I125" i="11"/>
  <c r="H125" i="11"/>
  <c r="G125" i="11"/>
  <c r="H221" i="15"/>
  <c r="I221" i="15"/>
  <c r="G221" i="15"/>
  <c r="I781" i="9"/>
  <c r="H781" i="9"/>
  <c r="G781" i="9"/>
  <c r="J781" i="9"/>
  <c r="K781" i="9" s="1"/>
  <c r="H779" i="13" s="1"/>
  <c r="H670" i="11"/>
  <c r="I670" i="11"/>
  <c r="G670" i="11"/>
  <c r="J670" i="11"/>
  <c r="K670" i="11" s="1"/>
  <c r="I668" i="13" s="1"/>
  <c r="I112" i="15"/>
  <c r="H112" i="15"/>
  <c r="G112" i="15"/>
  <c r="I74" i="15"/>
  <c r="H74" i="15"/>
  <c r="G74" i="15"/>
  <c r="H8" i="15"/>
  <c r="G8" i="15"/>
  <c r="I8" i="15"/>
  <c r="H249" i="11"/>
  <c r="I249" i="11"/>
  <c r="G249" i="11"/>
  <c r="J714" i="9"/>
  <c r="K714" i="9" s="1"/>
  <c r="H712" i="13" s="1"/>
  <c r="G714" i="9"/>
  <c r="I714" i="9"/>
  <c r="H714" i="9"/>
  <c r="J596" i="8"/>
  <c r="K596" i="8"/>
  <c r="L596" i="8" s="1"/>
  <c r="G594" i="13" s="1"/>
  <c r="I596" i="8"/>
  <c r="H596" i="8"/>
  <c r="H196" i="15"/>
  <c r="I196" i="15"/>
  <c r="G196" i="15"/>
  <c r="G690" i="9"/>
  <c r="J690" i="9"/>
  <c r="K690" i="9" s="1"/>
  <c r="H688" i="13" s="1"/>
  <c r="I690" i="9"/>
  <c r="H690" i="9"/>
  <c r="I821" i="15"/>
  <c r="H821" i="15"/>
  <c r="G821" i="15"/>
  <c r="J821" i="15"/>
  <c r="K821" i="15" s="1"/>
  <c r="K819" i="13" s="1"/>
  <c r="H744" i="8"/>
  <c r="K744" i="8"/>
  <c r="L744" i="8" s="1"/>
  <c r="G742" i="13" s="1"/>
  <c r="J744" i="8"/>
  <c r="I744" i="8"/>
  <c r="J593" i="11"/>
  <c r="K593" i="11" s="1"/>
  <c r="I591" i="13" s="1"/>
  <c r="I593" i="11"/>
  <c r="H593" i="11"/>
  <c r="G593" i="11"/>
  <c r="H414" i="11"/>
  <c r="G414" i="11"/>
  <c r="I414" i="11"/>
  <c r="G36" i="14"/>
  <c r="I36" i="14"/>
  <c r="H36" i="14"/>
  <c r="I849" i="8"/>
  <c r="K849" i="8"/>
  <c r="L849" i="8" s="1"/>
  <c r="G847" i="13" s="1"/>
  <c r="J849" i="8"/>
  <c r="H849" i="8"/>
  <c r="J747" i="9"/>
  <c r="K747" i="9" s="1"/>
  <c r="H745" i="13" s="1"/>
  <c r="I747" i="9"/>
  <c r="H747" i="9"/>
  <c r="G747" i="9"/>
  <c r="H696" i="15"/>
  <c r="J696" i="15"/>
  <c r="K696" i="15" s="1"/>
  <c r="K694" i="13" s="1"/>
  <c r="I696" i="15"/>
  <c r="G696" i="15"/>
  <c r="J635" i="11"/>
  <c r="K635" i="11" s="1"/>
  <c r="I633" i="13" s="1"/>
  <c r="H635" i="11"/>
  <c r="I635" i="11"/>
  <c r="G635" i="11"/>
  <c r="G618" i="9"/>
  <c r="J618" i="9"/>
  <c r="K618" i="9" s="1"/>
  <c r="H616" i="13" s="1"/>
  <c r="I618" i="9"/>
  <c r="H618" i="9"/>
  <c r="J577" i="14"/>
  <c r="K577" i="14" s="1"/>
  <c r="J575" i="13" s="1"/>
  <c r="I577" i="14"/>
  <c r="H577" i="14"/>
  <c r="G577" i="14"/>
  <c r="K569" i="8"/>
  <c r="L569" i="8" s="1"/>
  <c r="G567" i="13" s="1"/>
  <c r="J569" i="8"/>
  <c r="I569" i="8"/>
  <c r="H569" i="8"/>
  <c r="H522" i="14"/>
  <c r="G522" i="14"/>
  <c r="J522" i="14"/>
  <c r="K522" i="14" s="1"/>
  <c r="J520" i="13" s="1"/>
  <c r="I522" i="14"/>
  <c r="I356" i="11"/>
  <c r="H356" i="11"/>
  <c r="G356" i="11"/>
  <c r="H245" i="1"/>
  <c r="H57" i="14"/>
  <c r="G57" i="14"/>
  <c r="I57" i="14"/>
  <c r="H217" i="14"/>
  <c r="I217" i="14"/>
  <c r="G217" i="14"/>
  <c r="I409" i="15"/>
  <c r="H409" i="15"/>
  <c r="G409" i="15"/>
  <c r="G188" i="11"/>
  <c r="I188" i="11"/>
  <c r="H188" i="11"/>
  <c r="H660" i="1"/>
  <c r="J660" i="1"/>
  <c r="M660" i="1" s="1"/>
  <c r="I660" i="1"/>
  <c r="J801" i="14"/>
  <c r="K801" i="14" s="1"/>
  <c r="J799" i="13" s="1"/>
  <c r="I801" i="14"/>
  <c r="H801" i="14"/>
  <c r="G801" i="14"/>
  <c r="I205" i="15"/>
  <c r="H205" i="15"/>
  <c r="G205" i="15"/>
  <c r="I820" i="15"/>
  <c r="H820" i="15"/>
  <c r="G820" i="15"/>
  <c r="J820" i="15"/>
  <c r="K820" i="15" s="1"/>
  <c r="K818" i="13" s="1"/>
  <c r="I812" i="8"/>
  <c r="H812" i="8"/>
  <c r="J812" i="8"/>
  <c r="K812" i="8"/>
  <c r="L812" i="8" s="1"/>
  <c r="G810" i="13" s="1"/>
  <c r="G775" i="9"/>
  <c r="J775" i="9"/>
  <c r="K775" i="9" s="1"/>
  <c r="H773" i="13" s="1"/>
  <c r="I775" i="9"/>
  <c r="H775" i="9"/>
  <c r="H682" i="15"/>
  <c r="G682" i="15"/>
  <c r="J682" i="15"/>
  <c r="K682" i="15" s="1"/>
  <c r="K680" i="13" s="1"/>
  <c r="I682" i="15"/>
  <c r="G632" i="11"/>
  <c r="I632" i="11"/>
  <c r="H632" i="11"/>
  <c r="J632" i="11"/>
  <c r="K632" i="11" s="1"/>
  <c r="I630" i="13" s="1"/>
  <c r="H519" i="9"/>
  <c r="G519" i="9"/>
  <c r="J519" i="9"/>
  <c r="K519" i="9" s="1"/>
  <c r="H517" i="13" s="1"/>
  <c r="I519" i="9"/>
  <c r="G514" i="15"/>
  <c r="I514" i="15"/>
  <c r="H514" i="15"/>
  <c r="G405" i="15"/>
  <c r="I405" i="15"/>
  <c r="H405" i="15"/>
  <c r="G332" i="15"/>
  <c r="I332" i="15"/>
  <c r="H332" i="15"/>
  <c r="I119" i="14"/>
  <c r="H119" i="14"/>
  <c r="G119" i="14"/>
  <c r="G683" i="15"/>
  <c r="J683" i="15"/>
  <c r="K683" i="15" s="1"/>
  <c r="K681" i="13" s="1"/>
  <c r="H683" i="15"/>
  <c r="I683" i="15"/>
  <c r="I424" i="15"/>
  <c r="H424" i="15"/>
  <c r="G424" i="15"/>
  <c r="G207" i="14"/>
  <c r="H207" i="14"/>
  <c r="I207" i="14"/>
  <c r="H47" i="15"/>
  <c r="G47" i="15"/>
  <c r="I47" i="15"/>
  <c r="H854" i="8"/>
  <c r="K854" i="8"/>
  <c r="L854" i="8" s="1"/>
  <c r="G852" i="13" s="1"/>
  <c r="J854" i="8"/>
  <c r="I854" i="8"/>
  <c r="J830" i="15"/>
  <c r="K830" i="15" s="1"/>
  <c r="K828" i="13" s="1"/>
  <c r="I830" i="15"/>
  <c r="H830" i="15"/>
  <c r="G830" i="15"/>
  <c r="H822" i="8"/>
  <c r="J822" i="8"/>
  <c r="I822" i="8"/>
  <c r="K822" i="8"/>
  <c r="L822" i="8" s="1"/>
  <c r="G820" i="13" s="1"/>
  <c r="H764" i="15"/>
  <c r="G764" i="15"/>
  <c r="J764" i="15"/>
  <c r="K764" i="15" s="1"/>
  <c r="K762" i="13" s="1"/>
  <c r="I764" i="15"/>
  <c r="J715" i="14"/>
  <c r="K715" i="14" s="1"/>
  <c r="J713" i="13" s="1"/>
  <c r="I715" i="14"/>
  <c r="G715" i="14"/>
  <c r="H715" i="14"/>
  <c r="I688" i="9"/>
  <c r="H688" i="9"/>
  <c r="G688" i="9"/>
  <c r="J688" i="9"/>
  <c r="K688" i="9" s="1"/>
  <c r="H686" i="13" s="1"/>
  <c r="I666" i="8"/>
  <c r="H666" i="8"/>
  <c r="K666" i="8"/>
  <c r="L666" i="8" s="1"/>
  <c r="G664" i="13" s="1"/>
  <c r="J666" i="8"/>
  <c r="J626" i="15"/>
  <c r="K626" i="15" s="1"/>
  <c r="K624" i="13" s="1"/>
  <c r="I626" i="15"/>
  <c r="H626" i="15"/>
  <c r="G626" i="15"/>
  <c r="J606" i="15"/>
  <c r="K606" i="15" s="1"/>
  <c r="K604" i="13" s="1"/>
  <c r="I606" i="15"/>
  <c r="H606" i="15"/>
  <c r="G606" i="15"/>
  <c r="I597" i="11"/>
  <c r="J597" i="11"/>
  <c r="K597" i="11" s="1"/>
  <c r="I595" i="13" s="1"/>
  <c r="H597" i="11"/>
  <c r="G597" i="11"/>
  <c r="I571" i="11"/>
  <c r="H571" i="11"/>
  <c r="G571" i="11"/>
  <c r="J571" i="11"/>
  <c r="K571" i="11" s="1"/>
  <c r="I569" i="13" s="1"/>
  <c r="I532" i="11"/>
  <c r="H532" i="11"/>
  <c r="G532" i="11"/>
  <c r="J532" i="11"/>
  <c r="K532" i="11" s="1"/>
  <c r="I530" i="13" s="1"/>
  <c r="G491" i="1"/>
  <c r="J491" i="1"/>
  <c r="I491" i="1"/>
  <c r="H491" i="1"/>
  <c r="I427" i="11"/>
  <c r="G427" i="11"/>
  <c r="H427" i="11"/>
  <c r="I367" i="11"/>
  <c r="H367" i="11"/>
  <c r="G367" i="11"/>
  <c r="G345" i="14"/>
  <c r="I345" i="14"/>
  <c r="H345" i="14"/>
  <c r="I342" i="1"/>
  <c r="H342" i="1"/>
  <c r="G342" i="1"/>
  <c r="J342" i="1"/>
  <c r="H319" i="15"/>
  <c r="G319" i="15"/>
  <c r="I319" i="15"/>
  <c r="I305" i="15"/>
  <c r="H305" i="15"/>
  <c r="G305" i="15"/>
  <c r="H281" i="11"/>
  <c r="G281" i="11"/>
  <c r="I281" i="11"/>
  <c r="I266" i="14"/>
  <c r="H266" i="14"/>
  <c r="G266" i="14"/>
  <c r="G227" i="11"/>
  <c r="I227" i="11"/>
  <c r="H227" i="11"/>
  <c r="I213" i="14"/>
  <c r="G213" i="14"/>
  <c r="H213" i="14"/>
  <c r="G189" i="11"/>
  <c r="I189" i="11"/>
  <c r="H189" i="11"/>
  <c r="I157" i="15"/>
  <c r="H157" i="15"/>
  <c r="G157" i="15"/>
  <c r="I27" i="11"/>
  <c r="H27" i="11"/>
  <c r="G27" i="11"/>
  <c r="J701" i="15"/>
  <c r="K701" i="15" s="1"/>
  <c r="K699" i="13" s="1"/>
  <c r="I701" i="15"/>
  <c r="H701" i="15"/>
  <c r="G701" i="15"/>
  <c r="G634" i="11"/>
  <c r="I634" i="11"/>
  <c r="J634" i="11"/>
  <c r="K634" i="11" s="1"/>
  <c r="I632" i="13" s="1"/>
  <c r="H634" i="11"/>
  <c r="H309" i="11"/>
  <c r="I309" i="11"/>
  <c r="G309" i="11"/>
  <c r="H795" i="14"/>
  <c r="J795" i="14"/>
  <c r="K795" i="14" s="1"/>
  <c r="J793" i="13" s="1"/>
  <c r="I795" i="14"/>
  <c r="G795" i="14"/>
  <c r="G837" i="14"/>
  <c r="J837" i="14"/>
  <c r="K837" i="14" s="1"/>
  <c r="J835" i="13" s="1"/>
  <c r="I837" i="14"/>
  <c r="H837" i="14"/>
  <c r="H526" i="15"/>
  <c r="I526" i="15"/>
  <c r="G526" i="15"/>
  <c r="J526" i="15"/>
  <c r="K526" i="15" s="1"/>
  <c r="K524" i="13" s="1"/>
  <c r="H456" i="11"/>
  <c r="G456" i="11"/>
  <c r="I456" i="11"/>
  <c r="I343" i="15"/>
  <c r="H343" i="15"/>
  <c r="G343" i="15"/>
  <c r="I269" i="11"/>
  <c r="H269" i="11"/>
  <c r="G269" i="11"/>
  <c r="I748" i="14"/>
  <c r="H748" i="14"/>
  <c r="G748" i="14"/>
  <c r="J748" i="14"/>
  <c r="K748" i="14" s="1"/>
  <c r="J746" i="13" s="1"/>
  <c r="I436" i="15"/>
  <c r="H436" i="15"/>
  <c r="G436" i="15"/>
  <c r="H807" i="14"/>
  <c r="J807" i="14"/>
  <c r="K807" i="14" s="1"/>
  <c r="J805" i="13" s="1"/>
  <c r="I807" i="14"/>
  <c r="G807" i="14"/>
  <c r="G761" i="9"/>
  <c r="J761" i="9"/>
  <c r="K761" i="9" s="1"/>
  <c r="H759" i="13" s="1"/>
  <c r="I761" i="9"/>
  <c r="H761" i="9"/>
  <c r="J730" i="14"/>
  <c r="K730" i="14" s="1"/>
  <c r="J728" i="13" s="1"/>
  <c r="I730" i="14"/>
  <c r="H730" i="14"/>
  <c r="G730" i="14"/>
  <c r="I671" i="15"/>
  <c r="H671" i="15"/>
  <c r="G671" i="15"/>
  <c r="J671" i="15"/>
  <c r="K671" i="15" s="1"/>
  <c r="K669" i="13" s="1"/>
  <c r="H638" i="14"/>
  <c r="G638" i="14"/>
  <c r="I638" i="14"/>
  <c r="J638" i="14"/>
  <c r="K638" i="14" s="1"/>
  <c r="J636" i="13" s="1"/>
  <c r="H594" i="14"/>
  <c r="J594" i="14"/>
  <c r="K594" i="14" s="1"/>
  <c r="J592" i="13" s="1"/>
  <c r="I594" i="14"/>
  <c r="G594" i="14"/>
  <c r="K583" i="1"/>
  <c r="J583" i="1"/>
  <c r="I154" i="14"/>
  <c r="H154" i="14"/>
  <c r="G154" i="14"/>
  <c r="J542" i="11"/>
  <c r="K542" i="11" s="1"/>
  <c r="I540" i="13" s="1"/>
  <c r="I542" i="11"/>
  <c r="H542" i="11"/>
  <c r="G542" i="11"/>
  <c r="H324" i="14"/>
  <c r="G324" i="14"/>
  <c r="I324" i="14"/>
  <c r="J851" i="15"/>
  <c r="K851" i="15" s="1"/>
  <c r="K849" i="13" s="1"/>
  <c r="I851" i="15"/>
  <c r="H851" i="15"/>
  <c r="G851" i="15"/>
  <c r="I817" i="11"/>
  <c r="H817" i="11"/>
  <c r="G817" i="11"/>
  <c r="J817" i="11"/>
  <c r="K817" i="11" s="1"/>
  <c r="I815" i="13" s="1"/>
  <c r="H780" i="8"/>
  <c r="K780" i="8"/>
  <c r="L780" i="8" s="1"/>
  <c r="G778" i="13" s="1"/>
  <c r="J780" i="8"/>
  <c r="I780" i="8"/>
  <c r="H755" i="8"/>
  <c r="K755" i="8"/>
  <c r="L755" i="8" s="1"/>
  <c r="G753" i="13" s="1"/>
  <c r="J755" i="8"/>
  <c r="I755" i="8"/>
  <c r="J737" i="9"/>
  <c r="K737" i="9" s="1"/>
  <c r="H735" i="13" s="1"/>
  <c r="G737" i="9"/>
  <c r="I737" i="9"/>
  <c r="H737" i="9"/>
  <c r="J717" i="1"/>
  <c r="I717" i="1"/>
  <c r="J679" i="11"/>
  <c r="K679" i="11" s="1"/>
  <c r="I677" i="13" s="1"/>
  <c r="I679" i="11"/>
  <c r="H679" i="11"/>
  <c r="G679" i="11"/>
  <c r="G654" i="11"/>
  <c r="H654" i="11"/>
  <c r="J654" i="11"/>
  <c r="K654" i="11" s="1"/>
  <c r="I652" i="13" s="1"/>
  <c r="I654" i="11"/>
  <c r="J611" i="14"/>
  <c r="K611" i="14" s="1"/>
  <c r="J609" i="13" s="1"/>
  <c r="H611" i="14"/>
  <c r="G611" i="14"/>
  <c r="I611" i="14"/>
  <c r="J587" i="9"/>
  <c r="K587" i="9" s="1"/>
  <c r="H585" i="13" s="1"/>
  <c r="G587" i="9"/>
  <c r="I587" i="9"/>
  <c r="H587" i="9"/>
  <c r="I549" i="15"/>
  <c r="H549" i="15"/>
  <c r="G549" i="15"/>
  <c r="J549" i="15"/>
  <c r="K549" i="15" s="1"/>
  <c r="K547" i="13" s="1"/>
  <c r="G540" i="9"/>
  <c r="J540" i="9"/>
  <c r="K540" i="9" s="1"/>
  <c r="H538" i="13" s="1"/>
  <c r="I540" i="9"/>
  <c r="H540" i="9"/>
  <c r="I480" i="15"/>
  <c r="H480" i="15"/>
  <c r="G480" i="15"/>
  <c r="I422" i="14"/>
  <c r="H422" i="14"/>
  <c r="G422" i="14"/>
  <c r="I293" i="1"/>
  <c r="H293" i="1"/>
  <c r="G293" i="1"/>
  <c r="I186" i="11"/>
  <c r="H186" i="11"/>
  <c r="G186" i="11"/>
  <c r="I167" i="15"/>
  <c r="H167" i="15"/>
  <c r="G167" i="15"/>
  <c r="I135" i="15"/>
  <c r="H135" i="15"/>
  <c r="G135" i="15"/>
  <c r="H106" i="11"/>
  <c r="I106" i="11"/>
  <c r="G106" i="11"/>
  <c r="G93" i="11"/>
  <c r="I93" i="11"/>
  <c r="H93" i="11"/>
  <c r="H48" i="14"/>
  <c r="G48" i="14"/>
  <c r="I48" i="14"/>
  <c r="G34" i="14"/>
  <c r="I34" i="14"/>
  <c r="H34" i="14"/>
  <c r="G22" i="14"/>
  <c r="I22" i="14"/>
  <c r="H22" i="14"/>
  <c r="G50" i="14"/>
  <c r="I50" i="14"/>
  <c r="H50" i="14"/>
  <c r="I70" i="15"/>
  <c r="H70" i="15"/>
  <c r="G70" i="15"/>
  <c r="H705" i="14"/>
  <c r="G705" i="14"/>
  <c r="J705" i="14"/>
  <c r="K705" i="14" s="1"/>
  <c r="J703" i="13" s="1"/>
  <c r="I705" i="14"/>
  <c r="G265" i="15"/>
  <c r="I265" i="15"/>
  <c r="H265" i="15"/>
  <c r="H56" i="14"/>
  <c r="G56" i="14"/>
  <c r="I56" i="14"/>
  <c r="J565" i="15"/>
  <c r="K565" i="15" s="1"/>
  <c r="K563" i="13" s="1"/>
  <c r="I565" i="15"/>
  <c r="H565" i="15"/>
  <c r="G565" i="15"/>
  <c r="I311" i="14"/>
  <c r="G311" i="14"/>
  <c r="H311" i="14"/>
  <c r="H776" i="15"/>
  <c r="G776" i="15"/>
  <c r="J776" i="15"/>
  <c r="K776" i="15" s="1"/>
  <c r="K774" i="13" s="1"/>
  <c r="I776" i="15"/>
  <c r="G585" i="14"/>
  <c r="J585" i="14"/>
  <c r="K585" i="14" s="1"/>
  <c r="J583" i="13" s="1"/>
  <c r="I585" i="14"/>
  <c r="H585" i="14"/>
  <c r="H576" i="8"/>
  <c r="K576" i="8"/>
  <c r="L576" i="8" s="1"/>
  <c r="G574" i="13" s="1"/>
  <c r="J576" i="8"/>
  <c r="I576" i="8"/>
  <c r="I563" i="11"/>
  <c r="J563" i="11"/>
  <c r="K563" i="11" s="1"/>
  <c r="I561" i="13" s="1"/>
  <c r="H563" i="11"/>
  <c r="G563" i="11"/>
  <c r="J551" i="15"/>
  <c r="K551" i="15" s="1"/>
  <c r="K549" i="13" s="1"/>
  <c r="G551" i="15"/>
  <c r="I551" i="15"/>
  <c r="H551" i="15"/>
  <c r="H496" i="11"/>
  <c r="G496" i="11"/>
  <c r="I496" i="11"/>
  <c r="I407" i="14"/>
  <c r="H407" i="14"/>
  <c r="G407" i="14"/>
  <c r="G358" i="14"/>
  <c r="I358" i="14"/>
  <c r="H358" i="14"/>
  <c r="I224" i="11"/>
  <c r="G224" i="11"/>
  <c r="H224" i="11"/>
  <c r="G210" i="14"/>
  <c r="I210" i="14"/>
  <c r="H210" i="14"/>
  <c r="J12" i="1"/>
  <c r="I12" i="1"/>
  <c r="H12" i="1"/>
  <c r="G12" i="1"/>
  <c r="K703" i="8"/>
  <c r="L703" i="8" s="1"/>
  <c r="G701" i="13" s="1"/>
  <c r="H703" i="8"/>
  <c r="J703" i="8"/>
  <c r="I703" i="8"/>
  <c r="G599" i="1"/>
  <c r="K599" i="1"/>
  <c r="J599" i="1"/>
  <c r="I599" i="1"/>
  <c r="H599" i="1"/>
  <c r="G193" i="14"/>
  <c r="I193" i="14"/>
  <c r="H193" i="14"/>
  <c r="J722" i="11"/>
  <c r="K722" i="11" s="1"/>
  <c r="I720" i="13" s="1"/>
  <c r="I722" i="11"/>
  <c r="H722" i="11"/>
  <c r="G722" i="11"/>
  <c r="G599" i="14"/>
  <c r="H599" i="14"/>
  <c r="I599" i="14"/>
  <c r="J599" i="14"/>
  <c r="K599" i="14" s="1"/>
  <c r="J597" i="13" s="1"/>
  <c r="I752" i="8"/>
  <c r="H752" i="8"/>
  <c r="K752" i="8"/>
  <c r="L752" i="8" s="1"/>
  <c r="G750" i="13" s="1"/>
  <c r="J752" i="8"/>
  <c r="J625" i="1"/>
  <c r="K625" i="1"/>
  <c r="H294" i="11"/>
  <c r="I294" i="11"/>
  <c r="G294" i="11"/>
  <c r="I13" i="15"/>
  <c r="H13" i="15"/>
  <c r="G13" i="15"/>
  <c r="H110" i="14"/>
  <c r="I110" i="14"/>
  <c r="G110" i="14"/>
  <c r="I474" i="11"/>
  <c r="H474" i="11"/>
  <c r="G474" i="11"/>
  <c r="G289" i="11"/>
  <c r="I289" i="11"/>
  <c r="H289" i="11"/>
  <c r="J792" i="14"/>
  <c r="K792" i="14" s="1"/>
  <c r="J790" i="13" s="1"/>
  <c r="I792" i="14"/>
  <c r="H792" i="14"/>
  <c r="G792" i="14"/>
  <c r="I102" i="11"/>
  <c r="H102" i="11"/>
  <c r="G102" i="11"/>
  <c r="H64" i="15"/>
  <c r="G64" i="15"/>
  <c r="I64" i="15"/>
  <c r="H582" i="14"/>
  <c r="G582" i="14"/>
  <c r="J582" i="14"/>
  <c r="K582" i="14" s="1"/>
  <c r="J580" i="13" s="1"/>
  <c r="I582" i="14"/>
  <c r="I438" i="11"/>
  <c r="G438" i="11"/>
  <c r="H438" i="11"/>
  <c r="J706" i="11"/>
  <c r="K706" i="11" s="1"/>
  <c r="I704" i="13" s="1"/>
  <c r="I706" i="11"/>
  <c r="H706" i="11"/>
  <c r="G706" i="11"/>
  <c r="J754" i="1"/>
  <c r="H754" i="1"/>
  <c r="G754" i="1"/>
  <c r="I408" i="15"/>
  <c r="G408" i="15"/>
  <c r="H408" i="15"/>
  <c r="I328" i="15"/>
  <c r="H328" i="15"/>
  <c r="G328" i="15"/>
  <c r="G306" i="1"/>
  <c r="J306" i="1"/>
  <c r="H306" i="1"/>
  <c r="I306" i="1"/>
  <c r="I105" i="14"/>
  <c r="G105" i="14"/>
  <c r="H105" i="14"/>
  <c r="I253" i="14"/>
  <c r="H253" i="14"/>
  <c r="G253" i="14"/>
  <c r="J610" i="9"/>
  <c r="K610" i="9" s="1"/>
  <c r="H608" i="13" s="1"/>
  <c r="I610" i="9"/>
  <c r="H610" i="9"/>
  <c r="G610" i="9"/>
  <c r="H318" i="15"/>
  <c r="I318" i="15"/>
  <c r="G318" i="15"/>
  <c r="K850" i="8"/>
  <c r="L850" i="8" s="1"/>
  <c r="G848" i="13" s="1"/>
  <c r="J850" i="8"/>
  <c r="H850" i="8"/>
  <c r="I850" i="8"/>
  <c r="I762" i="15"/>
  <c r="J762" i="15"/>
  <c r="K762" i="15" s="1"/>
  <c r="K760" i="13" s="1"/>
  <c r="G762" i="15"/>
  <c r="H762" i="15"/>
  <c r="H702" i="14"/>
  <c r="G702" i="14"/>
  <c r="I702" i="14"/>
  <c r="J702" i="14"/>
  <c r="K702" i="14" s="1"/>
  <c r="J700" i="13" s="1"/>
  <c r="H675" i="8"/>
  <c r="K675" i="8"/>
  <c r="L675" i="8" s="1"/>
  <c r="G673" i="13" s="1"/>
  <c r="I675" i="8"/>
  <c r="J675" i="8"/>
  <c r="J615" i="15"/>
  <c r="K615" i="15" s="1"/>
  <c r="K613" i="13" s="1"/>
  <c r="I615" i="15"/>
  <c r="H615" i="15"/>
  <c r="G615" i="15"/>
  <c r="I234" i="14"/>
  <c r="H234" i="14"/>
  <c r="G234" i="14"/>
  <c r="K721" i="8"/>
  <c r="L721" i="8" s="1"/>
  <c r="G719" i="13" s="1"/>
  <c r="J721" i="8"/>
  <c r="I721" i="8"/>
  <c r="H721" i="8"/>
  <c r="K575" i="8"/>
  <c r="L575" i="8" s="1"/>
  <c r="G573" i="13" s="1"/>
  <c r="H575" i="8"/>
  <c r="I575" i="8"/>
  <c r="J575" i="8"/>
  <c r="J558" i="15"/>
  <c r="K558" i="15" s="1"/>
  <c r="K556" i="13" s="1"/>
  <c r="G558" i="15"/>
  <c r="I558" i="15"/>
  <c r="H558" i="15"/>
  <c r="I362" i="14"/>
  <c r="H362" i="14"/>
  <c r="G362" i="14"/>
  <c r="I236" i="1"/>
  <c r="H236" i="1"/>
  <c r="I421" i="11"/>
  <c r="H421" i="11"/>
  <c r="G421" i="11"/>
  <c r="J662" i="15"/>
  <c r="K662" i="15" s="1"/>
  <c r="K660" i="13" s="1"/>
  <c r="G662" i="15"/>
  <c r="H662" i="15"/>
  <c r="I662" i="15"/>
  <c r="H572" i="9"/>
  <c r="G572" i="9"/>
  <c r="J572" i="9"/>
  <c r="K572" i="9" s="1"/>
  <c r="H570" i="13" s="1"/>
  <c r="I572" i="9"/>
  <c r="I462" i="11"/>
  <c r="H462" i="11"/>
  <c r="G462" i="11"/>
  <c r="K804" i="8"/>
  <c r="L804" i="8" s="1"/>
  <c r="G802" i="13" s="1"/>
  <c r="J804" i="8"/>
  <c r="H804" i="8"/>
  <c r="I804" i="8"/>
  <c r="I772" i="8"/>
  <c r="H772" i="8"/>
  <c r="J772" i="8"/>
  <c r="K772" i="8"/>
  <c r="L772" i="8" s="1"/>
  <c r="G770" i="13" s="1"/>
  <c r="H223" i="11"/>
  <c r="G223" i="11"/>
  <c r="I223" i="11"/>
  <c r="I441" i="11"/>
  <c r="H441" i="11"/>
  <c r="G441" i="11"/>
  <c r="H794" i="15"/>
  <c r="G794" i="15"/>
  <c r="J794" i="15"/>
  <c r="K794" i="15" s="1"/>
  <c r="K792" i="13" s="1"/>
  <c r="I794" i="15"/>
  <c r="H692" i="14"/>
  <c r="G692" i="14"/>
  <c r="I692" i="14"/>
  <c r="J692" i="14"/>
  <c r="K692" i="14" s="1"/>
  <c r="J690" i="13" s="1"/>
  <c r="J665" i="8"/>
  <c r="K665" i="8"/>
  <c r="L665" i="8" s="1"/>
  <c r="G663" i="13" s="1"/>
  <c r="I665" i="8"/>
  <c r="H665" i="8"/>
  <c r="I82" i="15"/>
  <c r="H82" i="15"/>
  <c r="G82" i="15"/>
  <c r="H313" i="15"/>
  <c r="I313" i="15"/>
  <c r="G313" i="15"/>
  <c r="G787" i="9"/>
  <c r="J787" i="9"/>
  <c r="K787" i="9" s="1"/>
  <c r="H785" i="13" s="1"/>
  <c r="H787" i="9"/>
  <c r="I787" i="9"/>
  <c r="G630" i="11"/>
  <c r="J630" i="11"/>
  <c r="K630" i="11" s="1"/>
  <c r="I628" i="13" s="1"/>
  <c r="I630" i="11"/>
  <c r="H630" i="11"/>
  <c r="H239" i="11"/>
  <c r="I239" i="11"/>
  <c r="G239" i="11"/>
  <c r="I125" i="15"/>
  <c r="H125" i="15"/>
  <c r="G125" i="15"/>
  <c r="I58" i="14"/>
  <c r="H58" i="14"/>
  <c r="G58" i="14"/>
  <c r="J781" i="11"/>
  <c r="K781" i="11" s="1"/>
  <c r="I779" i="13" s="1"/>
  <c r="I781" i="11"/>
  <c r="H781" i="11"/>
  <c r="G781" i="11"/>
  <c r="H670" i="14"/>
  <c r="G670" i="14"/>
  <c r="I670" i="14"/>
  <c r="J670" i="14"/>
  <c r="K670" i="14" s="1"/>
  <c r="J668" i="13" s="1"/>
  <c r="I857" i="15"/>
  <c r="H857" i="15"/>
  <c r="G857" i="15"/>
  <c r="J857" i="15"/>
  <c r="K857" i="15" s="1"/>
  <c r="K855" i="13" s="1"/>
  <c r="H818" i="8"/>
  <c r="K818" i="8"/>
  <c r="L818" i="8" s="1"/>
  <c r="G816" i="13" s="1"/>
  <c r="J818" i="8"/>
  <c r="I818" i="8"/>
  <c r="J810" i="14"/>
  <c r="K810" i="14" s="1"/>
  <c r="J808" i="13" s="1"/>
  <c r="I810" i="14"/>
  <c r="H810" i="14"/>
  <c r="G810" i="14"/>
  <c r="G783" i="11"/>
  <c r="J783" i="11"/>
  <c r="K783" i="11" s="1"/>
  <c r="I781" i="13" s="1"/>
  <c r="I783" i="11"/>
  <c r="H783" i="11"/>
  <c r="G743" i="9"/>
  <c r="I743" i="9"/>
  <c r="H743" i="9"/>
  <c r="J743" i="9"/>
  <c r="K743" i="9" s="1"/>
  <c r="H741" i="13" s="1"/>
  <c r="H652" i="8"/>
  <c r="I652" i="8"/>
  <c r="K652" i="8"/>
  <c r="L652" i="8" s="1"/>
  <c r="G650" i="13" s="1"/>
  <c r="J652" i="8"/>
  <c r="G647" i="15"/>
  <c r="J647" i="15"/>
  <c r="K647" i="15" s="1"/>
  <c r="K645" i="13" s="1"/>
  <c r="I647" i="15"/>
  <c r="H647" i="15"/>
  <c r="I525" i="14"/>
  <c r="J525" i="14"/>
  <c r="K525" i="14" s="1"/>
  <c r="J523" i="13" s="1"/>
  <c r="H525" i="14"/>
  <c r="G525" i="14"/>
  <c r="I430" i="11"/>
  <c r="H430" i="11"/>
  <c r="G430" i="11"/>
  <c r="I419" i="11"/>
  <c r="H419" i="11"/>
  <c r="G419" i="11"/>
  <c r="I359" i="14"/>
  <c r="H359" i="14"/>
  <c r="G359" i="14"/>
  <c r="I308" i="15"/>
  <c r="H308" i="15"/>
  <c r="G308" i="15"/>
  <c r="H208" i="11"/>
  <c r="I208" i="11"/>
  <c r="G208" i="11"/>
  <c r="I181" i="15"/>
  <c r="G181" i="15"/>
  <c r="H181" i="15"/>
  <c r="I68" i="11"/>
  <c r="H68" i="11"/>
  <c r="G68" i="11"/>
  <c r="I249" i="14"/>
  <c r="G249" i="14"/>
  <c r="H249" i="14"/>
  <c r="I149" i="14"/>
  <c r="H149" i="14"/>
  <c r="G149" i="14"/>
  <c r="I714" i="8"/>
  <c r="J714" i="8"/>
  <c r="H714" i="8"/>
  <c r="K714" i="8"/>
  <c r="L714" i="8" s="1"/>
  <c r="G712" i="13" s="1"/>
  <c r="G596" i="14"/>
  <c r="J596" i="14"/>
  <c r="K596" i="14" s="1"/>
  <c r="J594" i="13" s="1"/>
  <c r="I596" i="14"/>
  <c r="H596" i="14"/>
  <c r="J729" i="11"/>
  <c r="K729" i="11" s="1"/>
  <c r="I727" i="13" s="1"/>
  <c r="I729" i="11"/>
  <c r="H729" i="11"/>
  <c r="G729" i="11"/>
  <c r="J690" i="15"/>
  <c r="K690" i="15" s="1"/>
  <c r="K688" i="13" s="1"/>
  <c r="I690" i="15"/>
  <c r="H690" i="15"/>
  <c r="G690" i="15"/>
  <c r="I744" i="11"/>
  <c r="J744" i="11"/>
  <c r="K744" i="11" s="1"/>
  <c r="I742" i="13" s="1"/>
  <c r="H744" i="11"/>
  <c r="G744" i="11"/>
  <c r="H593" i="14"/>
  <c r="I593" i="14"/>
  <c r="J593" i="14"/>
  <c r="K593" i="14" s="1"/>
  <c r="J591" i="13" s="1"/>
  <c r="G593" i="14"/>
  <c r="G36" i="15"/>
  <c r="I36" i="15"/>
  <c r="H36" i="15"/>
  <c r="J849" i="9"/>
  <c r="K849" i="9" s="1"/>
  <c r="H847" i="13" s="1"/>
  <c r="I849" i="9"/>
  <c r="H849" i="9"/>
  <c r="G849" i="9"/>
  <c r="J747" i="11"/>
  <c r="K747" i="11" s="1"/>
  <c r="I745" i="13" s="1"/>
  <c r="H747" i="11"/>
  <c r="I747" i="11"/>
  <c r="G747" i="11"/>
  <c r="I635" i="15"/>
  <c r="J635" i="15"/>
  <c r="K635" i="15" s="1"/>
  <c r="K633" i="13" s="1"/>
  <c r="H635" i="15"/>
  <c r="G635" i="15"/>
  <c r="J618" i="11"/>
  <c r="K618" i="11" s="1"/>
  <c r="I616" i="13" s="1"/>
  <c r="I618" i="11"/>
  <c r="H618" i="11"/>
  <c r="G618" i="11"/>
  <c r="K581" i="8"/>
  <c r="L581" i="8" s="1"/>
  <c r="G579" i="13" s="1"/>
  <c r="J581" i="8"/>
  <c r="I581" i="8"/>
  <c r="H581" i="8"/>
  <c r="I577" i="15"/>
  <c r="J577" i="15"/>
  <c r="K577" i="15" s="1"/>
  <c r="K575" i="13" s="1"/>
  <c r="H577" i="15"/>
  <c r="G577" i="15"/>
  <c r="H569" i="9"/>
  <c r="G569" i="9"/>
  <c r="I569" i="9"/>
  <c r="J569" i="9"/>
  <c r="K569" i="9" s="1"/>
  <c r="H567" i="13" s="1"/>
  <c r="J522" i="9"/>
  <c r="K522" i="9" s="1"/>
  <c r="H520" i="13" s="1"/>
  <c r="I522" i="9"/>
  <c r="H522" i="9"/>
  <c r="G522" i="9"/>
  <c r="G401" i="11"/>
  <c r="H401" i="11"/>
  <c r="I401" i="11"/>
  <c r="G356" i="14"/>
  <c r="H356" i="14"/>
  <c r="I356" i="14"/>
  <c r="H286" i="1"/>
  <c r="G286" i="1"/>
  <c r="J286" i="1"/>
  <c r="I286" i="1"/>
  <c r="H276" i="15"/>
  <c r="I276" i="15"/>
  <c r="G276" i="15"/>
  <c r="G222" i="1"/>
  <c r="I199" i="11"/>
  <c r="H199" i="11"/>
  <c r="G199" i="11"/>
  <c r="H162" i="14"/>
  <c r="G162" i="14"/>
  <c r="I162" i="14"/>
  <c r="G57" i="15"/>
  <c r="I57" i="15"/>
  <c r="H57" i="15"/>
  <c r="I53" i="14"/>
  <c r="H53" i="14"/>
  <c r="G53" i="14"/>
  <c r="I17" i="11"/>
  <c r="G17" i="11"/>
  <c r="H17" i="11"/>
  <c r="G188" i="14"/>
  <c r="I188" i="14"/>
  <c r="H188" i="14"/>
  <c r="G588" i="14"/>
  <c r="J588" i="14"/>
  <c r="K588" i="14" s="1"/>
  <c r="J586" i="13" s="1"/>
  <c r="I588" i="14"/>
  <c r="H588" i="14"/>
  <c r="G498" i="1"/>
  <c r="H498" i="1"/>
  <c r="J498" i="1"/>
  <c r="I498" i="1"/>
  <c r="H518" i="11"/>
  <c r="I518" i="11"/>
  <c r="G518" i="11"/>
  <c r="I820" i="14"/>
  <c r="J820" i="14"/>
  <c r="K820" i="14" s="1"/>
  <c r="J818" i="13" s="1"/>
  <c r="H820" i="14"/>
  <c r="G820" i="14"/>
  <c r="J812" i="9"/>
  <c r="K812" i="9" s="1"/>
  <c r="H810" i="13" s="1"/>
  <c r="I812" i="9"/>
  <c r="H812" i="9"/>
  <c r="G812" i="9"/>
  <c r="G775" i="11"/>
  <c r="I775" i="11"/>
  <c r="H775" i="11"/>
  <c r="J775" i="11"/>
  <c r="K775" i="11" s="1"/>
  <c r="I773" i="13" s="1"/>
  <c r="J659" i="9"/>
  <c r="K659" i="9" s="1"/>
  <c r="H657" i="13" s="1"/>
  <c r="I659" i="9"/>
  <c r="H659" i="9"/>
  <c r="G659" i="9"/>
  <c r="G632" i="14"/>
  <c r="I632" i="14"/>
  <c r="H632" i="14"/>
  <c r="J632" i="14"/>
  <c r="K632" i="14" s="1"/>
  <c r="J630" i="13" s="1"/>
  <c r="G519" i="14"/>
  <c r="J519" i="14"/>
  <c r="K519" i="14" s="1"/>
  <c r="J517" i="13" s="1"/>
  <c r="I519" i="14"/>
  <c r="H519" i="14"/>
  <c r="G448" i="11"/>
  <c r="I448" i="11"/>
  <c r="H448" i="11"/>
  <c r="I420" i="15"/>
  <c r="H420" i="15"/>
  <c r="G420" i="15"/>
  <c r="I230" i="11"/>
  <c r="G230" i="11"/>
  <c r="H230" i="11"/>
  <c r="H194" i="15"/>
  <c r="I194" i="15"/>
  <c r="G194" i="15"/>
  <c r="H460" i="14"/>
  <c r="I460" i="14"/>
  <c r="G460" i="14"/>
  <c r="G24" i="11"/>
  <c r="I24" i="11"/>
  <c r="H24" i="11"/>
  <c r="J424" i="1"/>
  <c r="I424" i="1"/>
  <c r="I292" i="11"/>
  <c r="H292" i="11"/>
  <c r="G292" i="11"/>
  <c r="G207" i="15"/>
  <c r="I207" i="15"/>
  <c r="H207" i="15"/>
  <c r="G854" i="11"/>
  <c r="J854" i="11"/>
  <c r="K854" i="11" s="1"/>
  <c r="I852" i="13" s="1"/>
  <c r="I854" i="11"/>
  <c r="H854" i="11"/>
  <c r="J822" i="11"/>
  <c r="K822" i="11" s="1"/>
  <c r="I820" i="13" s="1"/>
  <c r="I822" i="11"/>
  <c r="G822" i="11"/>
  <c r="H822" i="11"/>
  <c r="J715" i="15"/>
  <c r="K715" i="15" s="1"/>
  <c r="K713" i="13" s="1"/>
  <c r="I715" i="15"/>
  <c r="H715" i="15"/>
  <c r="G715" i="15"/>
  <c r="I688" i="11"/>
  <c r="J688" i="11"/>
  <c r="K688" i="11" s="1"/>
  <c r="I686" i="13" s="1"/>
  <c r="G688" i="11"/>
  <c r="H688" i="11"/>
  <c r="H666" i="9"/>
  <c r="G666" i="9"/>
  <c r="I666" i="9"/>
  <c r="J666" i="9"/>
  <c r="K666" i="9" s="1"/>
  <c r="H664" i="13" s="1"/>
  <c r="I597" i="8"/>
  <c r="H597" i="8"/>
  <c r="J597" i="8"/>
  <c r="K597" i="8"/>
  <c r="L597" i="8" s="1"/>
  <c r="G595" i="13" s="1"/>
  <c r="H571" i="9"/>
  <c r="G571" i="9"/>
  <c r="J571" i="9"/>
  <c r="K571" i="9" s="1"/>
  <c r="H569" i="13" s="1"/>
  <c r="I571" i="9"/>
  <c r="I532" i="15"/>
  <c r="J532" i="15"/>
  <c r="K532" i="15" s="1"/>
  <c r="K530" i="13" s="1"/>
  <c r="G532" i="15"/>
  <c r="H532" i="15"/>
  <c r="G475" i="11"/>
  <c r="I475" i="11"/>
  <c r="H475" i="11"/>
  <c r="I427" i="14"/>
  <c r="G427" i="14"/>
  <c r="H427" i="14"/>
  <c r="I367" i="15"/>
  <c r="H367" i="15"/>
  <c r="G367" i="15"/>
  <c r="I345" i="15"/>
  <c r="H345" i="15"/>
  <c r="G345" i="15"/>
  <c r="I312" i="14"/>
  <c r="G312" i="14"/>
  <c r="H312" i="14"/>
  <c r="I296" i="11"/>
  <c r="H296" i="11"/>
  <c r="G296" i="11"/>
  <c r="H281" i="14"/>
  <c r="G281" i="14"/>
  <c r="I281" i="14"/>
  <c r="H266" i="15"/>
  <c r="G266" i="15"/>
  <c r="I266" i="15"/>
  <c r="I240" i="11"/>
  <c r="H240" i="11"/>
  <c r="G240" i="11"/>
  <c r="I227" i="14"/>
  <c r="H227" i="14"/>
  <c r="G227" i="14"/>
  <c r="I213" i="15"/>
  <c r="H213" i="15"/>
  <c r="G213" i="15"/>
  <c r="I189" i="14"/>
  <c r="H189" i="14"/>
  <c r="G189" i="14"/>
  <c r="I782" i="9"/>
  <c r="H782" i="9"/>
  <c r="G782" i="9"/>
  <c r="J782" i="9"/>
  <c r="K782" i="9" s="1"/>
  <c r="H780" i="13" s="1"/>
  <c r="H634" i="14"/>
  <c r="J634" i="14"/>
  <c r="K634" i="14" s="1"/>
  <c r="J632" i="13" s="1"/>
  <c r="G634" i="14"/>
  <c r="I634" i="14"/>
  <c r="H795" i="15"/>
  <c r="G795" i="15"/>
  <c r="J795" i="15"/>
  <c r="K795" i="15" s="1"/>
  <c r="K793" i="13" s="1"/>
  <c r="I795" i="15"/>
  <c r="J559" i="8"/>
  <c r="K559" i="8"/>
  <c r="L559" i="8" s="1"/>
  <c r="G557" i="13" s="1"/>
  <c r="I559" i="8"/>
  <c r="H559" i="8"/>
  <c r="G837" i="15"/>
  <c r="J837" i="15"/>
  <c r="K837" i="15" s="1"/>
  <c r="K835" i="13" s="1"/>
  <c r="I837" i="15"/>
  <c r="H837" i="15"/>
  <c r="G456" i="14"/>
  <c r="H456" i="14"/>
  <c r="I456" i="14"/>
  <c r="G269" i="14"/>
  <c r="I269" i="14"/>
  <c r="H269" i="14"/>
  <c r="H748" i="15"/>
  <c r="G748" i="15"/>
  <c r="J748" i="15"/>
  <c r="K748" i="15" s="1"/>
  <c r="K746" i="13" s="1"/>
  <c r="I748" i="15"/>
  <c r="G479" i="15"/>
  <c r="I479" i="15"/>
  <c r="H479" i="15"/>
  <c r="G436" i="14"/>
  <c r="I436" i="14"/>
  <c r="H436" i="14"/>
  <c r="G226" i="11"/>
  <c r="H226" i="11"/>
  <c r="I226" i="11"/>
  <c r="H859" i="8"/>
  <c r="J859" i="8"/>
  <c r="I859" i="8"/>
  <c r="K859" i="8"/>
  <c r="L859" i="8" s="1"/>
  <c r="G857" i="13" s="1"/>
  <c r="G807" i="11"/>
  <c r="J807" i="11"/>
  <c r="K807" i="11" s="1"/>
  <c r="I805" i="13" s="1"/>
  <c r="I807" i="11"/>
  <c r="H807" i="11"/>
  <c r="J761" i="8"/>
  <c r="I761" i="8"/>
  <c r="K761" i="8"/>
  <c r="L761" i="8" s="1"/>
  <c r="G759" i="13" s="1"/>
  <c r="H761" i="8"/>
  <c r="H730" i="15"/>
  <c r="G730" i="15"/>
  <c r="J730" i="15"/>
  <c r="K730" i="15" s="1"/>
  <c r="K728" i="13" s="1"/>
  <c r="I730" i="15"/>
  <c r="G693" i="1"/>
  <c r="K693" i="1"/>
  <c r="J693" i="1"/>
  <c r="I693" i="1"/>
  <c r="I442" i="11"/>
  <c r="H442" i="11"/>
  <c r="G442" i="11"/>
  <c r="I284" i="14"/>
  <c r="H284" i="14"/>
  <c r="G284" i="14"/>
  <c r="I215" i="14"/>
  <c r="G215" i="14"/>
  <c r="H215" i="14"/>
  <c r="G14" i="11"/>
  <c r="I14" i="11"/>
  <c r="H14" i="11"/>
  <c r="J521" i="8"/>
  <c r="I521" i="8"/>
  <c r="H521" i="8"/>
  <c r="K521" i="8"/>
  <c r="L521" i="8" s="1"/>
  <c r="G519" i="13" s="1"/>
  <c r="H578" i="8"/>
  <c r="K578" i="8"/>
  <c r="L578" i="8" s="1"/>
  <c r="G576" i="13" s="1"/>
  <c r="J578" i="8"/>
  <c r="I578" i="8"/>
  <c r="I542" i="14"/>
  <c r="H542" i="14"/>
  <c r="G542" i="14"/>
  <c r="J542" i="14"/>
  <c r="K542" i="14" s="1"/>
  <c r="J540" i="13" s="1"/>
  <c r="I324" i="11"/>
  <c r="H324" i="11"/>
  <c r="G324" i="11"/>
  <c r="I503" i="14"/>
  <c r="H503" i="14"/>
  <c r="G503" i="14"/>
  <c r="J817" i="14"/>
  <c r="K817" i="14" s="1"/>
  <c r="J815" i="13" s="1"/>
  <c r="G817" i="14"/>
  <c r="H817" i="14"/>
  <c r="I817" i="14"/>
  <c r="G780" i="11"/>
  <c r="J780" i="11"/>
  <c r="K780" i="11" s="1"/>
  <c r="I778" i="13" s="1"/>
  <c r="I780" i="11"/>
  <c r="H780" i="11"/>
  <c r="J755" i="9"/>
  <c r="K755" i="9" s="1"/>
  <c r="H753" i="13" s="1"/>
  <c r="I755" i="9"/>
  <c r="G755" i="9"/>
  <c r="H755" i="9"/>
  <c r="H737" i="11"/>
  <c r="G737" i="11"/>
  <c r="J737" i="11"/>
  <c r="K737" i="11" s="1"/>
  <c r="I735" i="13" s="1"/>
  <c r="I737" i="11"/>
  <c r="J679" i="14"/>
  <c r="K679" i="14" s="1"/>
  <c r="J677" i="13" s="1"/>
  <c r="I679" i="14"/>
  <c r="H679" i="14"/>
  <c r="G679" i="14"/>
  <c r="I654" i="14"/>
  <c r="H654" i="14"/>
  <c r="G654" i="14"/>
  <c r="J654" i="14"/>
  <c r="K654" i="14" s="1"/>
  <c r="J652" i="13" s="1"/>
  <c r="G611" i="15"/>
  <c r="J611" i="15"/>
  <c r="K611" i="15" s="1"/>
  <c r="K609" i="13" s="1"/>
  <c r="I611" i="15"/>
  <c r="H611" i="15"/>
  <c r="I587" i="15"/>
  <c r="J587" i="15"/>
  <c r="K587" i="15" s="1"/>
  <c r="K585" i="13" s="1"/>
  <c r="G587" i="15"/>
  <c r="H587" i="15"/>
  <c r="I540" i="11"/>
  <c r="J540" i="11"/>
  <c r="K540" i="11" s="1"/>
  <c r="I538" i="13" s="1"/>
  <c r="H540" i="11"/>
  <c r="G540" i="11"/>
  <c r="G186" i="15"/>
  <c r="H186" i="15"/>
  <c r="I186" i="15"/>
  <c r="I172" i="11"/>
  <c r="H172" i="11"/>
  <c r="G172" i="11"/>
  <c r="I121" i="11"/>
  <c r="H121" i="11"/>
  <c r="G121" i="11"/>
  <c r="I93" i="15"/>
  <c r="H93" i="15"/>
  <c r="G93" i="15"/>
  <c r="I48" i="15"/>
  <c r="H48" i="15"/>
  <c r="G48" i="15"/>
  <c r="I34" i="11"/>
  <c r="H34" i="11"/>
  <c r="G34" i="11"/>
  <c r="H22" i="15"/>
  <c r="I22" i="15"/>
  <c r="G22" i="15"/>
  <c r="G59" i="11"/>
  <c r="I59" i="11"/>
  <c r="H59" i="11"/>
  <c r="H50" i="15"/>
  <c r="I50" i="15"/>
  <c r="G50" i="15"/>
  <c r="J705" i="15"/>
  <c r="K705" i="15" s="1"/>
  <c r="K703" i="13" s="1"/>
  <c r="G705" i="15"/>
  <c r="I705" i="15"/>
  <c r="H705" i="15"/>
  <c r="H56" i="15"/>
  <c r="G56" i="15"/>
  <c r="I56" i="15"/>
  <c r="G16" i="11"/>
  <c r="H16" i="11"/>
  <c r="I16" i="11"/>
  <c r="I311" i="15"/>
  <c r="H311" i="15"/>
  <c r="G311" i="15"/>
  <c r="J856" i="9"/>
  <c r="K856" i="9" s="1"/>
  <c r="H854" i="13" s="1"/>
  <c r="I856" i="9"/>
  <c r="H856" i="9"/>
  <c r="G856" i="9"/>
  <c r="J835" i="9"/>
  <c r="K835" i="9" s="1"/>
  <c r="H833" i="13" s="1"/>
  <c r="I835" i="9"/>
  <c r="H835" i="9"/>
  <c r="G835" i="9"/>
  <c r="K809" i="8"/>
  <c r="L809" i="8" s="1"/>
  <c r="G807" i="13" s="1"/>
  <c r="J809" i="8"/>
  <c r="H809" i="8"/>
  <c r="I809" i="8"/>
  <c r="G636" i="1"/>
  <c r="K636" i="1"/>
  <c r="J636" i="1"/>
  <c r="I636" i="1"/>
  <c r="K591" i="8"/>
  <c r="L591" i="8" s="1"/>
  <c r="G589" i="13" s="1"/>
  <c r="I591" i="8"/>
  <c r="J591" i="8"/>
  <c r="H591" i="8"/>
  <c r="G585" i="15"/>
  <c r="J585" i="15"/>
  <c r="K585" i="15" s="1"/>
  <c r="K583" i="13" s="1"/>
  <c r="I585" i="15"/>
  <c r="H585" i="15"/>
  <c r="G576" i="9"/>
  <c r="I576" i="9"/>
  <c r="H576" i="9"/>
  <c r="J576" i="9"/>
  <c r="K576" i="9" s="1"/>
  <c r="H574" i="13" s="1"/>
  <c r="J563" i="9"/>
  <c r="K563" i="9" s="1"/>
  <c r="H561" i="13" s="1"/>
  <c r="I563" i="9"/>
  <c r="G563" i="9"/>
  <c r="H563" i="9"/>
  <c r="K534" i="8"/>
  <c r="L534" i="8" s="1"/>
  <c r="G532" i="13" s="1"/>
  <c r="I534" i="8"/>
  <c r="H534" i="8"/>
  <c r="J534" i="8"/>
  <c r="I496" i="15"/>
  <c r="H496" i="15"/>
  <c r="G496" i="15"/>
  <c r="I407" i="15"/>
  <c r="H407" i="15"/>
  <c r="G407" i="15"/>
  <c r="I358" i="15"/>
  <c r="H358" i="15"/>
  <c r="G358" i="15"/>
  <c r="I314" i="11"/>
  <c r="H314" i="11"/>
  <c r="G314" i="11"/>
  <c r="I224" i="14"/>
  <c r="H224" i="14"/>
  <c r="G224" i="14"/>
  <c r="I210" i="15"/>
  <c r="H210" i="15"/>
  <c r="G210" i="15"/>
  <c r="I147" i="11"/>
  <c r="H147" i="11"/>
  <c r="G147" i="11"/>
  <c r="G703" i="9"/>
  <c r="I703" i="9"/>
  <c r="J703" i="9"/>
  <c r="K703" i="9" s="1"/>
  <c r="H701" i="13" s="1"/>
  <c r="H703" i="9"/>
  <c r="H799" i="8"/>
  <c r="K799" i="8"/>
  <c r="L799" i="8" s="1"/>
  <c r="G797" i="13" s="1"/>
  <c r="J799" i="8"/>
  <c r="I799" i="8"/>
  <c r="G561" i="9"/>
  <c r="J561" i="9"/>
  <c r="K561" i="9" s="1"/>
  <c r="H559" i="13" s="1"/>
  <c r="H561" i="9"/>
  <c r="I561" i="9"/>
  <c r="G193" i="15"/>
  <c r="I193" i="15"/>
  <c r="H193" i="15"/>
  <c r="H29" i="11"/>
  <c r="G29" i="11"/>
  <c r="I29" i="11"/>
  <c r="G722" i="14"/>
  <c r="H722" i="14"/>
  <c r="I722" i="14"/>
  <c r="J722" i="14"/>
  <c r="K722" i="14" s="1"/>
  <c r="J720" i="13" s="1"/>
  <c r="I599" i="15"/>
  <c r="G599" i="15"/>
  <c r="H599" i="15"/>
  <c r="J599" i="15"/>
  <c r="K599" i="15" s="1"/>
  <c r="K597" i="13" s="1"/>
  <c r="H752" i="11"/>
  <c r="J752" i="11"/>
  <c r="K752" i="11" s="1"/>
  <c r="I750" i="13" s="1"/>
  <c r="I752" i="11"/>
  <c r="G752" i="11"/>
  <c r="I625" i="9"/>
  <c r="H625" i="9"/>
  <c r="J625" i="9"/>
  <c r="K625" i="9" s="1"/>
  <c r="H623" i="13" s="1"/>
  <c r="G625" i="9"/>
  <c r="I294" i="14"/>
  <c r="H294" i="14"/>
  <c r="G294" i="14"/>
  <c r="I257" i="14"/>
  <c r="H257" i="14"/>
  <c r="G257" i="14"/>
  <c r="I96" i="11"/>
  <c r="H96" i="11"/>
  <c r="G96" i="11"/>
  <c r="I139" i="11"/>
  <c r="H139" i="11"/>
  <c r="G139" i="11"/>
  <c r="G110" i="15"/>
  <c r="H110" i="15"/>
  <c r="I110" i="15"/>
  <c r="H474" i="15"/>
  <c r="G474" i="15"/>
  <c r="I474" i="15"/>
  <c r="G289" i="15"/>
  <c r="I289" i="15"/>
  <c r="H289" i="15"/>
  <c r="G562" i="1"/>
  <c r="K562" i="1"/>
  <c r="J562" i="1"/>
  <c r="H467" i="11"/>
  <c r="G467" i="11"/>
  <c r="I467" i="11"/>
  <c r="J792" i="15"/>
  <c r="K792" i="15" s="1"/>
  <c r="K790" i="13" s="1"/>
  <c r="I792" i="15"/>
  <c r="H792" i="15"/>
  <c r="G792" i="15"/>
  <c r="I102" i="14"/>
  <c r="H102" i="14"/>
  <c r="G102" i="14"/>
  <c r="J582" i="15"/>
  <c r="K582" i="15" s="1"/>
  <c r="K580" i="13" s="1"/>
  <c r="I582" i="15"/>
  <c r="H582" i="15"/>
  <c r="G582" i="15"/>
  <c r="K726" i="8"/>
  <c r="L726" i="8" s="1"/>
  <c r="G724" i="13" s="1"/>
  <c r="J726" i="8"/>
  <c r="I726" i="8"/>
  <c r="H726" i="8"/>
  <c r="I438" i="15"/>
  <c r="G438" i="15"/>
  <c r="H438" i="15"/>
  <c r="J706" i="14"/>
  <c r="K706" i="14" s="1"/>
  <c r="J704" i="13" s="1"/>
  <c r="I706" i="14"/>
  <c r="H706" i="14"/>
  <c r="G706" i="14"/>
  <c r="H687" i="8"/>
  <c r="K687" i="8"/>
  <c r="L687" i="8" s="1"/>
  <c r="G685" i="13" s="1"/>
  <c r="J687" i="8"/>
  <c r="I687" i="8"/>
  <c r="I328" i="14"/>
  <c r="G328" i="14"/>
  <c r="H328" i="14"/>
  <c r="G105" i="15"/>
  <c r="I105" i="15"/>
  <c r="H105" i="15"/>
  <c r="H212" i="14"/>
  <c r="I212" i="14"/>
  <c r="G212" i="14"/>
  <c r="J610" i="14"/>
  <c r="K610" i="14" s="1"/>
  <c r="J608" i="13" s="1"/>
  <c r="H610" i="14"/>
  <c r="G610" i="14"/>
  <c r="I610" i="14"/>
  <c r="J697" i="9"/>
  <c r="K697" i="9" s="1"/>
  <c r="H695" i="13" s="1"/>
  <c r="I697" i="9"/>
  <c r="H697" i="9"/>
  <c r="G697" i="9"/>
  <c r="I850" i="9"/>
  <c r="H850" i="9"/>
  <c r="G850" i="9"/>
  <c r="J850" i="9"/>
  <c r="K850" i="9" s="1"/>
  <c r="H848" i="13" s="1"/>
  <c r="J702" i="15"/>
  <c r="K702" i="15" s="1"/>
  <c r="K700" i="13" s="1"/>
  <c r="I702" i="15"/>
  <c r="H702" i="15"/>
  <c r="G702" i="15"/>
  <c r="J675" i="9"/>
  <c r="K675" i="9" s="1"/>
  <c r="H673" i="13" s="1"/>
  <c r="I675" i="9"/>
  <c r="H675" i="9"/>
  <c r="G675" i="9"/>
  <c r="H615" i="11"/>
  <c r="G615" i="11"/>
  <c r="J615" i="11"/>
  <c r="K615" i="11" s="1"/>
  <c r="I613" i="13" s="1"/>
  <c r="I615" i="11"/>
  <c r="G234" i="15"/>
  <c r="I234" i="15"/>
  <c r="H234" i="15"/>
  <c r="G721" i="11"/>
  <c r="J721" i="11"/>
  <c r="K721" i="11" s="1"/>
  <c r="I719" i="13" s="1"/>
  <c r="I721" i="11"/>
  <c r="H721" i="11"/>
  <c r="I375" i="11"/>
  <c r="H375" i="11"/>
  <c r="G375" i="11"/>
  <c r="I622" i="8"/>
  <c r="K622" i="8"/>
  <c r="L622" i="8" s="1"/>
  <c r="G620" i="13" s="1"/>
  <c r="J622" i="8"/>
  <c r="H622" i="8"/>
  <c r="K716" i="8"/>
  <c r="L716" i="8" s="1"/>
  <c r="G714" i="13" s="1"/>
  <c r="J716" i="8"/>
  <c r="I716" i="8"/>
  <c r="H716" i="8"/>
  <c r="J575" i="9"/>
  <c r="K575" i="9" s="1"/>
  <c r="H573" i="13" s="1"/>
  <c r="G575" i="9"/>
  <c r="I575" i="9"/>
  <c r="H575" i="9"/>
  <c r="G558" i="14"/>
  <c r="J558" i="14"/>
  <c r="K558" i="14" s="1"/>
  <c r="J556" i="13" s="1"/>
  <c r="I558" i="14"/>
  <c r="H558" i="14"/>
  <c r="I472" i="15"/>
  <c r="H472" i="15"/>
  <c r="G472" i="15"/>
  <c r="I362" i="15"/>
  <c r="H362" i="15"/>
  <c r="G362" i="15"/>
  <c r="J134" i="1"/>
  <c r="I134" i="1"/>
  <c r="H15" i="14"/>
  <c r="G15" i="14"/>
  <c r="I15" i="14"/>
  <c r="I44" i="11"/>
  <c r="H44" i="11"/>
  <c r="G44" i="11"/>
  <c r="G421" i="14"/>
  <c r="H421" i="14"/>
  <c r="I421" i="14"/>
  <c r="J572" i="15"/>
  <c r="K572" i="15" s="1"/>
  <c r="K570" i="13" s="1"/>
  <c r="H572" i="15"/>
  <c r="G572" i="15"/>
  <c r="I572" i="15"/>
  <c r="G552" i="9"/>
  <c r="I552" i="9"/>
  <c r="J552" i="9"/>
  <c r="K552" i="9" s="1"/>
  <c r="H550" i="13" s="1"/>
  <c r="H552" i="9"/>
  <c r="G462" i="14"/>
  <c r="I462" i="14"/>
  <c r="H462" i="14"/>
  <c r="J704" i="8"/>
  <c r="I704" i="8"/>
  <c r="K704" i="8"/>
  <c r="L704" i="8" s="1"/>
  <c r="G702" i="13" s="1"/>
  <c r="H704" i="8"/>
  <c r="I195" i="11"/>
  <c r="G195" i="11"/>
  <c r="H195" i="11"/>
  <c r="J804" i="9"/>
  <c r="K804" i="9" s="1"/>
  <c r="H802" i="13" s="1"/>
  <c r="I804" i="9"/>
  <c r="H804" i="9"/>
  <c r="G804" i="9"/>
  <c r="J772" i="11"/>
  <c r="K772" i="11" s="1"/>
  <c r="I770" i="13" s="1"/>
  <c r="I772" i="11"/>
  <c r="H772" i="11"/>
  <c r="G772" i="11"/>
  <c r="I223" i="14"/>
  <c r="H223" i="14"/>
  <c r="G223" i="14"/>
  <c r="G441" i="14"/>
  <c r="I441" i="14"/>
  <c r="H441" i="14"/>
  <c r="H692" i="15"/>
  <c r="G692" i="15"/>
  <c r="J692" i="15"/>
  <c r="K692" i="15" s="1"/>
  <c r="K690" i="13" s="1"/>
  <c r="I692" i="15"/>
  <c r="J665" i="9"/>
  <c r="K665" i="9" s="1"/>
  <c r="H663" i="13" s="1"/>
  <c r="I665" i="9"/>
  <c r="H665" i="9"/>
  <c r="G665" i="9"/>
  <c r="I787" i="11"/>
  <c r="G787" i="11"/>
  <c r="J787" i="11"/>
  <c r="K787" i="11" s="1"/>
  <c r="I785" i="13" s="1"/>
  <c r="H787" i="11"/>
  <c r="G811" i="1"/>
  <c r="J811" i="1"/>
  <c r="K811" i="1"/>
  <c r="I811" i="1"/>
  <c r="G630" i="14"/>
  <c r="J630" i="14"/>
  <c r="K630" i="14" s="1"/>
  <c r="J628" i="13" s="1"/>
  <c r="I630" i="14"/>
  <c r="H630" i="14"/>
  <c r="H239" i="14"/>
  <c r="I239" i="14"/>
  <c r="G239" i="14"/>
  <c r="J855" i="8"/>
  <c r="I855" i="8"/>
  <c r="H855" i="8"/>
  <c r="K855" i="8"/>
  <c r="L855" i="8" s="1"/>
  <c r="G853" i="13" s="1"/>
  <c r="I58" i="15"/>
  <c r="H58" i="15"/>
  <c r="G58" i="15"/>
  <c r="J826" i="1"/>
  <c r="K826" i="1"/>
  <c r="G781" i="15"/>
  <c r="J781" i="15"/>
  <c r="K781" i="15" s="1"/>
  <c r="K779" i="13" s="1"/>
  <c r="I781" i="15"/>
  <c r="H781" i="15"/>
  <c r="J520" i="8"/>
  <c r="I520" i="8"/>
  <c r="H520" i="8"/>
  <c r="K520" i="8"/>
  <c r="L520" i="8" s="1"/>
  <c r="G518" i="13" s="1"/>
  <c r="G90" i="11"/>
  <c r="I90" i="11"/>
  <c r="H90" i="11"/>
  <c r="J670" i="15"/>
  <c r="K670" i="15" s="1"/>
  <c r="K668" i="13" s="1"/>
  <c r="H670" i="15"/>
  <c r="G670" i="15"/>
  <c r="I670" i="15"/>
  <c r="I49" i="14"/>
  <c r="H49" i="14"/>
  <c r="G49" i="14"/>
  <c r="I165" i="15"/>
  <c r="H165" i="15"/>
  <c r="G165" i="15"/>
  <c r="H71" i="11"/>
  <c r="G71" i="11"/>
  <c r="I71" i="11"/>
  <c r="H707" i="15"/>
  <c r="G707" i="15"/>
  <c r="J707" i="15"/>
  <c r="K707" i="15" s="1"/>
  <c r="K705" i="13" s="1"/>
  <c r="I707" i="15"/>
  <c r="I229" i="14"/>
  <c r="H229" i="14"/>
  <c r="G229" i="14"/>
  <c r="H845" i="11"/>
  <c r="J845" i="11"/>
  <c r="K845" i="11" s="1"/>
  <c r="I843" i="13" s="1"/>
  <c r="I845" i="11"/>
  <c r="G845" i="11"/>
  <c r="I570" i="8"/>
  <c r="H570" i="8"/>
  <c r="K570" i="8"/>
  <c r="L570" i="8" s="1"/>
  <c r="G568" i="13" s="1"/>
  <c r="J570" i="8"/>
  <c r="J818" i="9"/>
  <c r="K818" i="9" s="1"/>
  <c r="H816" i="13" s="1"/>
  <c r="I818" i="9"/>
  <c r="H818" i="9"/>
  <c r="G818" i="9"/>
  <c r="G810" i="11"/>
  <c r="J810" i="11"/>
  <c r="K810" i="11" s="1"/>
  <c r="I808" i="13" s="1"/>
  <c r="I810" i="11"/>
  <c r="H810" i="11"/>
  <c r="J783" i="9"/>
  <c r="K783" i="9" s="1"/>
  <c r="H781" i="13" s="1"/>
  <c r="I783" i="9"/>
  <c r="H783" i="9"/>
  <c r="G783" i="9"/>
  <c r="J743" i="11"/>
  <c r="K743" i="11" s="1"/>
  <c r="I741" i="13" s="1"/>
  <c r="I743" i="11"/>
  <c r="H743" i="11"/>
  <c r="G743" i="11"/>
  <c r="I652" i="9"/>
  <c r="H652" i="9"/>
  <c r="G652" i="9"/>
  <c r="J652" i="9"/>
  <c r="K652" i="9" s="1"/>
  <c r="H650" i="13" s="1"/>
  <c r="K525" i="8"/>
  <c r="L525" i="8" s="1"/>
  <c r="G523" i="13" s="1"/>
  <c r="J525" i="8"/>
  <c r="I525" i="8"/>
  <c r="H525" i="8"/>
  <c r="I504" i="1"/>
  <c r="K504" i="1" s="1"/>
  <c r="G430" i="14"/>
  <c r="I430" i="14"/>
  <c r="H430" i="14"/>
  <c r="I419" i="15"/>
  <c r="H419" i="15"/>
  <c r="G419" i="15"/>
  <c r="I359" i="15"/>
  <c r="H359" i="15"/>
  <c r="G359" i="15"/>
  <c r="H351" i="11"/>
  <c r="G351" i="11"/>
  <c r="I351" i="11"/>
  <c r="I334" i="11"/>
  <c r="H334" i="11"/>
  <c r="G334" i="11"/>
  <c r="G291" i="11"/>
  <c r="I291" i="11"/>
  <c r="H291" i="11"/>
  <c r="H191" i="11"/>
  <c r="G191" i="11"/>
  <c r="I191" i="11"/>
  <c r="G136" i="14"/>
  <c r="I136" i="14"/>
  <c r="H136" i="14"/>
  <c r="G94" i="11"/>
  <c r="H94" i="11"/>
  <c r="I94" i="11"/>
  <c r="H38" i="11"/>
  <c r="G38" i="11"/>
  <c r="I38" i="11"/>
  <c r="H84" i="11"/>
  <c r="G84" i="11"/>
  <c r="I84" i="11"/>
  <c r="G68" i="15"/>
  <c r="I68" i="15"/>
  <c r="H68" i="15"/>
  <c r="I249" i="15"/>
  <c r="H249" i="15"/>
  <c r="G249" i="15"/>
  <c r="G149" i="15"/>
  <c r="I149" i="15"/>
  <c r="H149" i="15"/>
  <c r="J714" i="11"/>
  <c r="K714" i="11" s="1"/>
  <c r="I712" i="13" s="1"/>
  <c r="I714" i="11"/>
  <c r="H714" i="11"/>
  <c r="G714" i="11"/>
  <c r="I596" i="11"/>
  <c r="H596" i="11"/>
  <c r="G596" i="11"/>
  <c r="J596" i="11"/>
  <c r="K596" i="11" s="1"/>
  <c r="I594" i="13" s="1"/>
  <c r="I369" i="11"/>
  <c r="H369" i="11"/>
  <c r="G369" i="11"/>
  <c r="G196" i="1"/>
  <c r="J196" i="1"/>
  <c r="I196" i="1"/>
  <c r="H196" i="1"/>
  <c r="J729" i="9"/>
  <c r="K729" i="9" s="1"/>
  <c r="H727" i="13" s="1"/>
  <c r="I729" i="9"/>
  <c r="H729" i="9"/>
  <c r="G729" i="9"/>
  <c r="H690" i="14"/>
  <c r="G690" i="14"/>
  <c r="J690" i="14"/>
  <c r="K690" i="14" s="1"/>
  <c r="J688" i="13" s="1"/>
  <c r="I690" i="14"/>
  <c r="I556" i="9"/>
  <c r="G556" i="9"/>
  <c r="J556" i="9"/>
  <c r="K556" i="9" s="1"/>
  <c r="H554" i="13" s="1"/>
  <c r="H556" i="9"/>
  <c r="J821" i="1"/>
  <c r="K821" i="1"/>
  <c r="G744" i="9"/>
  <c r="J744" i="9"/>
  <c r="K744" i="9" s="1"/>
  <c r="H742" i="13" s="1"/>
  <c r="I744" i="9"/>
  <c r="H744" i="9"/>
  <c r="J593" i="15"/>
  <c r="K593" i="15" s="1"/>
  <c r="K591" i="13" s="1"/>
  <c r="G593" i="15"/>
  <c r="I593" i="15"/>
  <c r="H593" i="15"/>
  <c r="I414" i="14"/>
  <c r="H414" i="14"/>
  <c r="G414" i="14"/>
  <c r="J849" i="11"/>
  <c r="K849" i="11" s="1"/>
  <c r="I847" i="13" s="1"/>
  <c r="I849" i="11"/>
  <c r="G849" i="11"/>
  <c r="H849" i="11"/>
  <c r="H778" i="8"/>
  <c r="K778" i="8"/>
  <c r="L778" i="8" s="1"/>
  <c r="G776" i="13" s="1"/>
  <c r="I778" i="8"/>
  <c r="J778" i="8"/>
  <c r="G747" i="14"/>
  <c r="H747" i="14"/>
  <c r="I747" i="14"/>
  <c r="J747" i="14"/>
  <c r="K747" i="14" s="1"/>
  <c r="J745" i="13" s="1"/>
  <c r="I635" i="14"/>
  <c r="G635" i="14"/>
  <c r="J635" i="14"/>
  <c r="K635" i="14" s="1"/>
  <c r="J633" i="13" s="1"/>
  <c r="H635" i="14"/>
  <c r="K624" i="8"/>
  <c r="L624" i="8" s="1"/>
  <c r="G622" i="13" s="1"/>
  <c r="J624" i="8"/>
  <c r="I624" i="8"/>
  <c r="H624" i="8"/>
  <c r="J618" i="15"/>
  <c r="K618" i="15" s="1"/>
  <c r="K616" i="13" s="1"/>
  <c r="I618" i="15"/>
  <c r="H618" i="15"/>
  <c r="G618" i="15"/>
  <c r="G581" i="9"/>
  <c r="H581" i="9"/>
  <c r="J581" i="9"/>
  <c r="K581" i="9" s="1"/>
  <c r="H579" i="13" s="1"/>
  <c r="I581" i="9"/>
  <c r="G569" i="14"/>
  <c r="J569" i="14"/>
  <c r="K569" i="14" s="1"/>
  <c r="J567" i="13" s="1"/>
  <c r="H569" i="14"/>
  <c r="I569" i="14"/>
  <c r="H522" i="15"/>
  <c r="J522" i="15"/>
  <c r="K522" i="15" s="1"/>
  <c r="K520" i="13" s="1"/>
  <c r="I522" i="15"/>
  <c r="G522" i="15"/>
  <c r="I497" i="11"/>
  <c r="H497" i="11"/>
  <c r="G497" i="11"/>
  <c r="H455" i="1"/>
  <c r="G455" i="1"/>
  <c r="J455" i="1"/>
  <c r="I455" i="1"/>
  <c r="I356" i="15"/>
  <c r="H356" i="15"/>
  <c r="G356" i="15"/>
  <c r="I276" i="14"/>
  <c r="G276" i="14"/>
  <c r="H276" i="14"/>
  <c r="I199" i="14"/>
  <c r="H199" i="14"/>
  <c r="G199" i="14"/>
  <c r="H162" i="15"/>
  <c r="I162" i="15"/>
  <c r="G162" i="15"/>
  <c r="G53" i="15"/>
  <c r="I53" i="15"/>
  <c r="H53" i="15"/>
  <c r="G217" i="15"/>
  <c r="H217" i="15"/>
  <c r="I217" i="15"/>
  <c r="J409" i="1"/>
  <c r="I409" i="1"/>
  <c r="I188" i="15"/>
  <c r="H188" i="15"/>
  <c r="G188" i="15"/>
  <c r="J588" i="9"/>
  <c r="K588" i="9" s="1"/>
  <c r="H586" i="13" s="1"/>
  <c r="I588" i="9"/>
  <c r="H588" i="9"/>
  <c r="G588" i="9"/>
  <c r="H363" i="11"/>
  <c r="I363" i="11"/>
  <c r="G363" i="11"/>
  <c r="H283" i="11"/>
  <c r="G283" i="11"/>
  <c r="I283" i="11"/>
  <c r="H153" i="11"/>
  <c r="G153" i="11"/>
  <c r="I153" i="11"/>
  <c r="I518" i="14"/>
  <c r="H518" i="14"/>
  <c r="G518" i="14"/>
  <c r="G812" i="11"/>
  <c r="J812" i="11"/>
  <c r="K812" i="11" s="1"/>
  <c r="I810" i="13" s="1"/>
  <c r="I812" i="11"/>
  <c r="H812" i="11"/>
  <c r="G775" i="14"/>
  <c r="J775" i="14"/>
  <c r="K775" i="14" s="1"/>
  <c r="J773" i="13" s="1"/>
  <c r="I775" i="14"/>
  <c r="H775" i="14"/>
  <c r="I723" i="8"/>
  <c r="J723" i="8"/>
  <c r="K723" i="8"/>
  <c r="L723" i="8" s="1"/>
  <c r="G721" i="13" s="1"/>
  <c r="H723" i="8"/>
  <c r="G659" i="14"/>
  <c r="J659" i="14"/>
  <c r="K659" i="14" s="1"/>
  <c r="J657" i="13" s="1"/>
  <c r="I659" i="14"/>
  <c r="H659" i="14"/>
  <c r="I632" i="15"/>
  <c r="H632" i="15"/>
  <c r="G632" i="15"/>
  <c r="J632" i="15"/>
  <c r="K632" i="15" s="1"/>
  <c r="K630" i="13" s="1"/>
  <c r="K589" i="8"/>
  <c r="L589" i="8" s="1"/>
  <c r="G587" i="13" s="1"/>
  <c r="J589" i="8"/>
  <c r="I589" i="8"/>
  <c r="H589" i="8"/>
  <c r="J545" i="8"/>
  <c r="I545" i="8"/>
  <c r="H545" i="8"/>
  <c r="K545" i="8"/>
  <c r="L545" i="8" s="1"/>
  <c r="G543" i="13" s="1"/>
  <c r="I519" i="11"/>
  <c r="H519" i="11"/>
  <c r="G519" i="11"/>
  <c r="J519" i="11"/>
  <c r="K519" i="11" s="1"/>
  <c r="I517" i="13" s="1"/>
  <c r="I448" i="14"/>
  <c r="H448" i="14"/>
  <c r="G448" i="14"/>
  <c r="H440" i="11"/>
  <c r="G440" i="11"/>
  <c r="I440" i="11"/>
  <c r="I420" i="14"/>
  <c r="H420" i="14"/>
  <c r="G420" i="14"/>
  <c r="I377" i="11"/>
  <c r="H377" i="11"/>
  <c r="G377" i="11"/>
  <c r="G348" i="11"/>
  <c r="H348" i="11"/>
  <c r="I348" i="11"/>
  <c r="G336" i="14"/>
  <c r="H336" i="14"/>
  <c r="I336" i="14"/>
  <c r="H332" i="1"/>
  <c r="G332" i="1"/>
  <c r="J332" i="1"/>
  <c r="I332" i="1"/>
  <c r="I230" i="14"/>
  <c r="H230" i="14"/>
  <c r="G230" i="14"/>
  <c r="G194" i="11"/>
  <c r="H194" i="11"/>
  <c r="I194" i="11"/>
  <c r="G143" i="11"/>
  <c r="I143" i="11"/>
  <c r="H143" i="11"/>
  <c r="I119" i="1"/>
  <c r="H119" i="1"/>
  <c r="J119" i="1"/>
  <c r="G322" i="11"/>
  <c r="I322" i="11"/>
  <c r="H322" i="11"/>
  <c r="G639" i="1"/>
  <c r="H639" i="1"/>
  <c r="K639" i="1"/>
  <c r="J639" i="1"/>
  <c r="I639" i="1"/>
  <c r="H426" i="15"/>
  <c r="I426" i="15"/>
  <c r="G426" i="15"/>
  <c r="J683" i="1"/>
  <c r="K683" i="1"/>
  <c r="I460" i="15"/>
  <c r="H460" i="15"/>
  <c r="G460" i="15"/>
  <c r="H774" i="8"/>
  <c r="K774" i="8"/>
  <c r="L774" i="8" s="1"/>
  <c r="G772" i="13" s="1"/>
  <c r="J774" i="8"/>
  <c r="I774" i="8"/>
  <c r="J854" i="14"/>
  <c r="K854" i="14" s="1"/>
  <c r="J852" i="13" s="1"/>
  <c r="G854" i="14"/>
  <c r="I854" i="14"/>
  <c r="H854" i="14"/>
  <c r="I841" i="9"/>
  <c r="H841" i="9"/>
  <c r="G841" i="9"/>
  <c r="J841" i="9"/>
  <c r="K841" i="9" s="1"/>
  <c r="H839" i="13" s="1"/>
  <c r="H827" i="8"/>
  <c r="K827" i="8"/>
  <c r="L827" i="8" s="1"/>
  <c r="G825" i="13" s="1"/>
  <c r="I827" i="8"/>
  <c r="J827" i="8"/>
  <c r="J822" i="14"/>
  <c r="K822" i="14" s="1"/>
  <c r="J820" i="13" s="1"/>
  <c r="G822" i="14"/>
  <c r="H822" i="14"/>
  <c r="I822" i="14"/>
  <c r="J688" i="15"/>
  <c r="K688" i="15" s="1"/>
  <c r="K686" i="13" s="1"/>
  <c r="I688" i="15"/>
  <c r="H688" i="15"/>
  <c r="G688" i="15"/>
  <c r="H666" i="11"/>
  <c r="J666" i="11"/>
  <c r="K666" i="11" s="1"/>
  <c r="I664" i="13" s="1"/>
  <c r="I666" i="11"/>
  <c r="G666" i="11"/>
  <c r="J606" i="1"/>
  <c r="M606" i="1" s="1"/>
  <c r="I606" i="1"/>
  <c r="G597" i="14"/>
  <c r="H597" i="14"/>
  <c r="J597" i="14"/>
  <c r="K597" i="14" s="1"/>
  <c r="J595" i="13" s="1"/>
  <c r="I597" i="14"/>
  <c r="K571" i="8"/>
  <c r="L571" i="8" s="1"/>
  <c r="G569" i="13" s="1"/>
  <c r="H571" i="8"/>
  <c r="J571" i="8"/>
  <c r="I571" i="8"/>
  <c r="G532" i="14"/>
  <c r="H532" i="14"/>
  <c r="J532" i="14"/>
  <c r="K532" i="14" s="1"/>
  <c r="J530" i="13" s="1"/>
  <c r="I532" i="14"/>
  <c r="G475" i="14"/>
  <c r="I475" i="14"/>
  <c r="H475" i="14"/>
  <c r="I427" i="15"/>
  <c r="H427" i="15"/>
  <c r="G427" i="15"/>
  <c r="G317" i="11"/>
  <c r="I317" i="11"/>
  <c r="H317" i="11"/>
  <c r="I312" i="15"/>
  <c r="H312" i="15"/>
  <c r="G312" i="15"/>
  <c r="H296" i="14"/>
  <c r="G296" i="14"/>
  <c r="I296" i="14"/>
  <c r="H281" i="15"/>
  <c r="G281" i="15"/>
  <c r="I281" i="15"/>
  <c r="H240" i="14"/>
  <c r="G240" i="14"/>
  <c r="I240" i="14"/>
  <c r="G227" i="15"/>
  <c r="H227" i="15"/>
  <c r="I227" i="15"/>
  <c r="I189" i="15"/>
  <c r="H189" i="15"/>
  <c r="G189" i="15"/>
  <c r="G101" i="11"/>
  <c r="H101" i="11"/>
  <c r="I101" i="11"/>
  <c r="I81" i="11"/>
  <c r="H81" i="11"/>
  <c r="G81" i="11"/>
  <c r="H27" i="14"/>
  <c r="I27" i="14"/>
  <c r="G27" i="14"/>
  <c r="H843" i="8"/>
  <c r="K843" i="8"/>
  <c r="L843" i="8" s="1"/>
  <c r="G841" i="13" s="1"/>
  <c r="I843" i="8"/>
  <c r="J843" i="8"/>
  <c r="J782" i="8"/>
  <c r="I782" i="8"/>
  <c r="K782" i="8"/>
  <c r="L782" i="8" s="1"/>
  <c r="G780" i="13" s="1"/>
  <c r="H782" i="8"/>
  <c r="I634" i="15"/>
  <c r="H634" i="15"/>
  <c r="G634" i="15"/>
  <c r="J634" i="15"/>
  <c r="K634" i="15" s="1"/>
  <c r="K632" i="13" s="1"/>
  <c r="I309" i="14"/>
  <c r="H309" i="14"/>
  <c r="G309" i="14"/>
  <c r="G140" i="11"/>
  <c r="H140" i="11"/>
  <c r="I140" i="11"/>
  <c r="J559" i="9"/>
  <c r="K559" i="9" s="1"/>
  <c r="H557" i="13" s="1"/>
  <c r="I559" i="9"/>
  <c r="H559" i="9"/>
  <c r="G559" i="9"/>
  <c r="I456" i="15"/>
  <c r="H456" i="15"/>
  <c r="G456" i="15"/>
  <c r="G269" i="15"/>
  <c r="H269" i="15"/>
  <c r="I269" i="15"/>
  <c r="H226" i="14"/>
  <c r="I226" i="14"/>
  <c r="G226" i="14"/>
  <c r="J859" i="9"/>
  <c r="K859" i="9" s="1"/>
  <c r="H857" i="13" s="1"/>
  <c r="I859" i="9"/>
  <c r="H859" i="9"/>
  <c r="G859" i="9"/>
  <c r="G807" i="15"/>
  <c r="H807" i="15"/>
  <c r="J807" i="15"/>
  <c r="K807" i="15" s="1"/>
  <c r="K805" i="13" s="1"/>
  <c r="I807" i="15"/>
  <c r="K771" i="1"/>
  <c r="J771" i="1"/>
  <c r="I771" i="1"/>
  <c r="H761" i="14"/>
  <c r="G761" i="14"/>
  <c r="J761" i="14"/>
  <c r="K761" i="14" s="1"/>
  <c r="J759" i="13" s="1"/>
  <c r="I761" i="14"/>
  <c r="K753" i="8"/>
  <c r="L753" i="8" s="1"/>
  <c r="G751" i="13" s="1"/>
  <c r="H753" i="8"/>
  <c r="J753" i="8"/>
  <c r="I753" i="8"/>
  <c r="K712" i="8"/>
  <c r="L712" i="8" s="1"/>
  <c r="G710" i="13" s="1"/>
  <c r="J712" i="8"/>
  <c r="H712" i="8"/>
  <c r="I712" i="8"/>
  <c r="K671" i="1"/>
  <c r="M671" i="1" s="1"/>
  <c r="I671" i="1"/>
  <c r="H671" i="1"/>
  <c r="G442" i="14"/>
  <c r="H442" i="14"/>
  <c r="I442" i="14"/>
  <c r="I372" i="15"/>
  <c r="H372" i="15"/>
  <c r="G372" i="15"/>
  <c r="G329" i="14"/>
  <c r="I329" i="14"/>
  <c r="H329" i="14"/>
  <c r="I284" i="15"/>
  <c r="H284" i="15"/>
  <c r="G284" i="15"/>
  <c r="G215" i="15"/>
  <c r="I215" i="15"/>
  <c r="H215" i="15"/>
  <c r="H14" i="14"/>
  <c r="G14" i="14"/>
  <c r="I14" i="14"/>
  <c r="H521" i="9"/>
  <c r="J521" i="9"/>
  <c r="K521" i="9" s="1"/>
  <c r="H519" i="13" s="1"/>
  <c r="I521" i="9"/>
  <c r="G521" i="9"/>
  <c r="J578" i="9"/>
  <c r="K578" i="9" s="1"/>
  <c r="H576" i="13" s="1"/>
  <c r="I578" i="9"/>
  <c r="H578" i="9"/>
  <c r="G578" i="9"/>
  <c r="J542" i="15"/>
  <c r="K542" i="15" s="1"/>
  <c r="K540" i="13" s="1"/>
  <c r="G542" i="15"/>
  <c r="I542" i="15"/>
  <c r="H542" i="15"/>
  <c r="I324" i="15"/>
  <c r="H324" i="15"/>
  <c r="G324" i="15"/>
  <c r="H503" i="11"/>
  <c r="G503" i="11"/>
  <c r="I503" i="11"/>
  <c r="I817" i="15"/>
  <c r="H817" i="15"/>
  <c r="G817" i="15"/>
  <c r="J817" i="15"/>
  <c r="K817" i="15" s="1"/>
  <c r="K815" i="13" s="1"/>
  <c r="J780" i="14"/>
  <c r="K780" i="14" s="1"/>
  <c r="J778" i="13" s="1"/>
  <c r="H780" i="14"/>
  <c r="I780" i="14"/>
  <c r="G780" i="14"/>
  <c r="G755" i="15"/>
  <c r="J755" i="15"/>
  <c r="K755" i="15" s="1"/>
  <c r="K753" i="13" s="1"/>
  <c r="I755" i="15"/>
  <c r="H755" i="15"/>
  <c r="J737" i="15"/>
  <c r="K737" i="15" s="1"/>
  <c r="K735" i="13" s="1"/>
  <c r="I737" i="15"/>
  <c r="H737" i="15"/>
  <c r="G737" i="15"/>
  <c r="J679" i="15"/>
  <c r="K679" i="15" s="1"/>
  <c r="K677" i="13" s="1"/>
  <c r="I679" i="15"/>
  <c r="H679" i="15"/>
  <c r="G679" i="15"/>
  <c r="J654" i="15"/>
  <c r="K654" i="15" s="1"/>
  <c r="K652" i="13" s="1"/>
  <c r="H654" i="15"/>
  <c r="G654" i="15"/>
  <c r="I654" i="15"/>
  <c r="H587" i="11"/>
  <c r="G587" i="11"/>
  <c r="J587" i="11"/>
  <c r="K587" i="11" s="1"/>
  <c r="I585" i="13" s="1"/>
  <c r="I587" i="11"/>
  <c r="J549" i="14"/>
  <c r="K549" i="14" s="1"/>
  <c r="J547" i="13" s="1"/>
  <c r="I549" i="14"/>
  <c r="H549" i="14"/>
  <c r="G549" i="14"/>
  <c r="J540" i="14"/>
  <c r="K540" i="14" s="1"/>
  <c r="J538" i="13" s="1"/>
  <c r="I540" i="14"/>
  <c r="H540" i="14"/>
  <c r="G540" i="14"/>
  <c r="I506" i="14"/>
  <c r="H506" i="14"/>
  <c r="G506" i="14"/>
  <c r="I415" i="14"/>
  <c r="H415" i="14"/>
  <c r="G415" i="14"/>
  <c r="H172" i="14"/>
  <c r="I172" i="14"/>
  <c r="G172" i="14"/>
  <c r="I135" i="11"/>
  <c r="H135" i="11"/>
  <c r="G135" i="11"/>
  <c r="H121" i="14"/>
  <c r="I121" i="14"/>
  <c r="G121" i="14"/>
  <c r="I106" i="14"/>
  <c r="H106" i="14"/>
  <c r="G106" i="14"/>
  <c r="G40" i="11"/>
  <c r="H40" i="11"/>
  <c r="I40" i="11"/>
  <c r="G34" i="15"/>
  <c r="H34" i="15"/>
  <c r="I34" i="15"/>
  <c r="H404" i="11"/>
  <c r="I404" i="11"/>
  <c r="G404" i="11"/>
  <c r="H734" i="8"/>
  <c r="K734" i="8"/>
  <c r="L734" i="8" s="1"/>
  <c r="G732" i="13" s="1"/>
  <c r="J734" i="8"/>
  <c r="I734" i="8"/>
  <c r="I394" i="14"/>
  <c r="G394" i="14"/>
  <c r="H394" i="14"/>
  <c r="H16" i="14"/>
  <c r="G16" i="14"/>
  <c r="I16" i="14"/>
  <c r="I856" i="8"/>
  <c r="H856" i="8"/>
  <c r="J856" i="8"/>
  <c r="K856" i="8"/>
  <c r="L856" i="8" s="1"/>
  <c r="G854" i="13" s="1"/>
  <c r="K835" i="8"/>
  <c r="L835" i="8" s="1"/>
  <c r="G833" i="13" s="1"/>
  <c r="J835" i="8"/>
  <c r="I835" i="8"/>
  <c r="H835" i="8"/>
  <c r="J809" i="9"/>
  <c r="K809" i="9" s="1"/>
  <c r="H807" i="13" s="1"/>
  <c r="I809" i="9"/>
  <c r="H809" i="9"/>
  <c r="G809" i="9"/>
  <c r="J788" i="9"/>
  <c r="K788" i="9" s="1"/>
  <c r="H786" i="13" s="1"/>
  <c r="I788" i="9"/>
  <c r="H788" i="9"/>
  <c r="G788" i="9"/>
  <c r="J776" i="1"/>
  <c r="M776" i="1" s="1"/>
  <c r="I776" i="1"/>
  <c r="H776" i="1"/>
  <c r="J591" i="9"/>
  <c r="K591" i="9" s="1"/>
  <c r="H589" i="13" s="1"/>
  <c r="H591" i="9"/>
  <c r="I591" i="9"/>
  <c r="G591" i="9"/>
  <c r="J576" i="11"/>
  <c r="K576" i="11" s="1"/>
  <c r="I574" i="13" s="1"/>
  <c r="I576" i="11"/>
  <c r="H576" i="11"/>
  <c r="G576" i="11"/>
  <c r="H563" i="8"/>
  <c r="K563" i="8"/>
  <c r="L563" i="8" s="1"/>
  <c r="G561" i="13" s="1"/>
  <c r="J563" i="8"/>
  <c r="I563" i="8"/>
  <c r="K551" i="1"/>
  <c r="J551" i="1"/>
  <c r="I551" i="1"/>
  <c r="H551" i="1"/>
  <c r="G551" i="1"/>
  <c r="J534" i="9"/>
  <c r="K534" i="9" s="1"/>
  <c r="H532" i="13" s="1"/>
  <c r="H534" i="9"/>
  <c r="G534" i="9"/>
  <c r="I534" i="9"/>
  <c r="I496" i="14"/>
  <c r="G496" i="14"/>
  <c r="H496" i="14"/>
  <c r="H400" i="11"/>
  <c r="G400" i="11"/>
  <c r="I400" i="11"/>
  <c r="I314" i="14"/>
  <c r="H314" i="14"/>
  <c r="G314" i="14"/>
  <c r="H256" i="15"/>
  <c r="I256" i="15"/>
  <c r="G256" i="15"/>
  <c r="I224" i="15"/>
  <c r="H224" i="15"/>
  <c r="G224" i="15"/>
  <c r="I198" i="11"/>
  <c r="H198" i="11"/>
  <c r="G198" i="11"/>
  <c r="H703" i="14"/>
  <c r="G703" i="14"/>
  <c r="J703" i="14"/>
  <c r="K703" i="14" s="1"/>
  <c r="J701" i="13" s="1"/>
  <c r="I703" i="14"/>
  <c r="J799" i="9"/>
  <c r="K799" i="9" s="1"/>
  <c r="H797" i="13" s="1"/>
  <c r="I799" i="9"/>
  <c r="H799" i="9"/>
  <c r="G799" i="9"/>
  <c r="H561" i="8"/>
  <c r="K561" i="8"/>
  <c r="L561" i="8" s="1"/>
  <c r="G559" i="13" s="1"/>
  <c r="I561" i="8"/>
  <c r="J561" i="8"/>
  <c r="I29" i="15"/>
  <c r="H29" i="15"/>
  <c r="G29" i="15"/>
  <c r="J722" i="15"/>
  <c r="K722" i="15" s="1"/>
  <c r="K720" i="13" s="1"/>
  <c r="I722" i="15"/>
  <c r="H722" i="15"/>
  <c r="G722" i="15"/>
  <c r="I752" i="14"/>
  <c r="J752" i="14"/>
  <c r="K752" i="14" s="1"/>
  <c r="J750" i="13" s="1"/>
  <c r="H752" i="14"/>
  <c r="G752" i="14"/>
  <c r="J648" i="9"/>
  <c r="K648" i="9" s="1"/>
  <c r="H646" i="13" s="1"/>
  <c r="I648" i="9"/>
  <c r="H648" i="9"/>
  <c r="G648" i="9"/>
  <c r="K625" i="8"/>
  <c r="L625" i="8" s="1"/>
  <c r="G623" i="13" s="1"/>
  <c r="J625" i="8"/>
  <c r="H625" i="8"/>
  <c r="I625" i="8"/>
  <c r="G257" i="15"/>
  <c r="H257" i="15"/>
  <c r="I257" i="15"/>
  <c r="G163" i="14"/>
  <c r="I163" i="14"/>
  <c r="H163" i="14"/>
  <c r="H96" i="14"/>
  <c r="G96" i="14"/>
  <c r="I96" i="14"/>
  <c r="I139" i="14"/>
  <c r="H139" i="14"/>
  <c r="G139" i="14"/>
  <c r="I474" i="14"/>
  <c r="H474" i="14"/>
  <c r="G474" i="14"/>
  <c r="H531" i="8"/>
  <c r="K531" i="8"/>
  <c r="L531" i="8" s="1"/>
  <c r="G529" i="13" s="1"/>
  <c r="J531" i="8"/>
  <c r="I531" i="8"/>
  <c r="G11" i="11"/>
  <c r="I11" i="11"/>
  <c r="H11" i="11"/>
  <c r="G777" i="11"/>
  <c r="J777" i="11"/>
  <c r="K777" i="11" s="1"/>
  <c r="I775" i="13" s="1"/>
  <c r="I777" i="11"/>
  <c r="H777" i="11"/>
  <c r="G467" i="14"/>
  <c r="I467" i="14"/>
  <c r="H467" i="14"/>
  <c r="I260" i="11"/>
  <c r="G260" i="11"/>
  <c r="H260" i="11"/>
  <c r="I102" i="15"/>
  <c r="H102" i="15"/>
  <c r="G102" i="15"/>
  <c r="I108" i="11"/>
  <c r="H108" i="11"/>
  <c r="G108" i="11"/>
  <c r="G433" i="11"/>
  <c r="H433" i="11"/>
  <c r="I433" i="11"/>
  <c r="H399" i="11"/>
  <c r="I399" i="11"/>
  <c r="G399" i="11"/>
  <c r="J726" i="9"/>
  <c r="K726" i="9" s="1"/>
  <c r="H724" i="13" s="1"/>
  <c r="I726" i="9"/>
  <c r="H726" i="9"/>
  <c r="G726" i="9"/>
  <c r="J706" i="15"/>
  <c r="K706" i="15" s="1"/>
  <c r="K704" i="13" s="1"/>
  <c r="I706" i="15"/>
  <c r="H706" i="15"/>
  <c r="G706" i="15"/>
  <c r="J687" i="9"/>
  <c r="K687" i="9" s="1"/>
  <c r="H685" i="13" s="1"/>
  <c r="I687" i="9"/>
  <c r="H687" i="9"/>
  <c r="G687" i="9"/>
  <c r="I303" i="14"/>
  <c r="H303" i="14"/>
  <c r="G303" i="14"/>
  <c r="I253" i="15"/>
  <c r="H253" i="15"/>
  <c r="G253" i="15"/>
  <c r="G212" i="15"/>
  <c r="I212" i="15"/>
  <c r="H212" i="15"/>
  <c r="J610" i="11"/>
  <c r="K610" i="11" s="1"/>
  <c r="I608" i="13" s="1"/>
  <c r="I610" i="11"/>
  <c r="H610" i="11"/>
  <c r="G610" i="11"/>
  <c r="J697" i="11"/>
  <c r="K697" i="11" s="1"/>
  <c r="I695" i="13" s="1"/>
  <c r="I697" i="11"/>
  <c r="H697" i="11"/>
  <c r="G697" i="11"/>
  <c r="H850" i="14"/>
  <c r="G850" i="14"/>
  <c r="J850" i="14"/>
  <c r="K850" i="14" s="1"/>
  <c r="J848" i="13" s="1"/>
  <c r="I850" i="14"/>
  <c r="H675" i="11"/>
  <c r="J675" i="11"/>
  <c r="K675" i="11" s="1"/>
  <c r="I673" i="13" s="1"/>
  <c r="G675" i="11"/>
  <c r="I675" i="11"/>
  <c r="J615" i="14"/>
  <c r="K615" i="14" s="1"/>
  <c r="J613" i="13" s="1"/>
  <c r="G615" i="14"/>
  <c r="I615" i="14"/>
  <c r="H615" i="14"/>
  <c r="I721" i="14"/>
  <c r="H721" i="14"/>
  <c r="G721" i="14"/>
  <c r="J721" i="14"/>
  <c r="K721" i="14" s="1"/>
  <c r="J719" i="13" s="1"/>
  <c r="G375" i="14"/>
  <c r="I375" i="14"/>
  <c r="H375" i="14"/>
  <c r="H622" i="9"/>
  <c r="G622" i="9"/>
  <c r="J622" i="9"/>
  <c r="K622" i="9" s="1"/>
  <c r="H620" i="13" s="1"/>
  <c r="I622" i="9"/>
  <c r="J716" i="9"/>
  <c r="K716" i="9" s="1"/>
  <c r="H714" i="13" s="1"/>
  <c r="I716" i="9"/>
  <c r="H716" i="9"/>
  <c r="G716" i="9"/>
  <c r="I575" i="11"/>
  <c r="H575" i="11"/>
  <c r="J575" i="11"/>
  <c r="K575" i="11" s="1"/>
  <c r="I573" i="13" s="1"/>
  <c r="G575" i="11"/>
  <c r="H472" i="14"/>
  <c r="G472" i="14"/>
  <c r="I472" i="14"/>
  <c r="I251" i="11"/>
  <c r="H251" i="11"/>
  <c r="G251" i="11"/>
  <c r="H15" i="15"/>
  <c r="I15" i="15"/>
  <c r="G15" i="15"/>
  <c r="G44" i="14"/>
  <c r="I44" i="14"/>
  <c r="H44" i="14"/>
  <c r="I421" i="15"/>
  <c r="H421" i="15"/>
  <c r="G421" i="15"/>
  <c r="H264" i="11"/>
  <c r="G264" i="11"/>
  <c r="I264" i="11"/>
  <c r="J572" i="11"/>
  <c r="K572" i="11" s="1"/>
  <c r="I570" i="13" s="1"/>
  <c r="I572" i="11"/>
  <c r="H572" i="11"/>
  <c r="G572" i="11"/>
  <c r="J552" i="8"/>
  <c r="I552" i="8"/>
  <c r="H552" i="8"/>
  <c r="K552" i="8"/>
  <c r="L552" i="8" s="1"/>
  <c r="G550" i="13" s="1"/>
  <c r="I462" i="15"/>
  <c r="H462" i="15"/>
  <c r="G462" i="15"/>
  <c r="G704" i="9"/>
  <c r="J704" i="9"/>
  <c r="K704" i="9" s="1"/>
  <c r="H702" i="13" s="1"/>
  <c r="I704" i="9"/>
  <c r="H704" i="9"/>
  <c r="G195" i="14"/>
  <c r="I195" i="14"/>
  <c r="H195" i="14"/>
  <c r="J804" i="11"/>
  <c r="K804" i="11" s="1"/>
  <c r="I802" i="13" s="1"/>
  <c r="I804" i="11"/>
  <c r="H804" i="11"/>
  <c r="G804" i="11"/>
  <c r="J772" i="9"/>
  <c r="K772" i="9" s="1"/>
  <c r="H770" i="13" s="1"/>
  <c r="I772" i="9"/>
  <c r="H772" i="9"/>
  <c r="G772" i="9"/>
  <c r="I223" i="15"/>
  <c r="H223" i="15"/>
  <c r="G223" i="15"/>
  <c r="H441" i="15"/>
  <c r="I441" i="15"/>
  <c r="G441" i="15"/>
  <c r="I665" i="15"/>
  <c r="J665" i="15"/>
  <c r="K665" i="15" s="1"/>
  <c r="K663" i="13" s="1"/>
  <c r="H665" i="15"/>
  <c r="G665" i="15"/>
  <c r="J313" i="1"/>
  <c r="H313" i="1"/>
  <c r="I787" i="14"/>
  <c r="H787" i="14"/>
  <c r="J787" i="14"/>
  <c r="K787" i="14" s="1"/>
  <c r="J785" i="13" s="1"/>
  <c r="G787" i="14"/>
  <c r="K811" i="8"/>
  <c r="L811" i="8" s="1"/>
  <c r="G809" i="13" s="1"/>
  <c r="J811" i="8"/>
  <c r="H811" i="8"/>
  <c r="I811" i="8"/>
  <c r="G630" i="15"/>
  <c r="H630" i="15"/>
  <c r="J630" i="15"/>
  <c r="K630" i="15" s="1"/>
  <c r="K628" i="13" s="1"/>
  <c r="I630" i="15"/>
  <c r="H262" i="11"/>
  <c r="G262" i="11"/>
  <c r="I262" i="11"/>
  <c r="J855" i="14"/>
  <c r="K855" i="14" s="1"/>
  <c r="J853" i="13" s="1"/>
  <c r="G855" i="14"/>
  <c r="I855" i="14"/>
  <c r="H855" i="14"/>
  <c r="H590" i="8"/>
  <c r="J590" i="8"/>
  <c r="I590" i="8"/>
  <c r="K590" i="8"/>
  <c r="L590" i="8" s="1"/>
  <c r="G588" i="13" s="1"/>
  <c r="J826" i="9"/>
  <c r="K826" i="9" s="1"/>
  <c r="H824" i="13" s="1"/>
  <c r="I826" i="9"/>
  <c r="H826" i="9"/>
  <c r="G826" i="9"/>
  <c r="J781" i="14"/>
  <c r="K781" i="14" s="1"/>
  <c r="J779" i="13" s="1"/>
  <c r="H781" i="14"/>
  <c r="I781" i="14"/>
  <c r="G781" i="14"/>
  <c r="J520" i="9"/>
  <c r="K520" i="9" s="1"/>
  <c r="H518" i="13" s="1"/>
  <c r="I520" i="9"/>
  <c r="H520" i="9"/>
  <c r="G520" i="9"/>
  <c r="J525" i="11"/>
  <c r="K525" i="11" s="1"/>
  <c r="I523" i="13" s="1"/>
  <c r="I525" i="11"/>
  <c r="G525" i="11"/>
  <c r="H525" i="11"/>
  <c r="H478" i="11"/>
  <c r="G478" i="11"/>
  <c r="I478" i="11"/>
  <c r="G430" i="15"/>
  <c r="I430" i="15"/>
  <c r="H430" i="15"/>
  <c r="G351" i="15"/>
  <c r="H351" i="15"/>
  <c r="I351" i="15"/>
  <c r="G334" i="15"/>
  <c r="I334" i="15"/>
  <c r="H334" i="15"/>
  <c r="G308" i="1"/>
  <c r="I308" i="1"/>
  <c r="J308" i="1"/>
  <c r="H308" i="1"/>
  <c r="H225" i="11"/>
  <c r="I225" i="11"/>
  <c r="G225" i="11"/>
  <c r="G208" i="14"/>
  <c r="I208" i="14"/>
  <c r="H208" i="14"/>
  <c r="H191" i="14"/>
  <c r="G191" i="14"/>
  <c r="I191" i="14"/>
  <c r="G136" i="11"/>
  <c r="I136" i="11"/>
  <c r="H136" i="11"/>
  <c r="I94" i="14"/>
  <c r="H94" i="14"/>
  <c r="G94" i="14"/>
  <c r="I38" i="14"/>
  <c r="H38" i="14"/>
  <c r="G38" i="14"/>
  <c r="H68" i="14"/>
  <c r="G68" i="14"/>
  <c r="I68" i="14"/>
  <c r="I769" i="8"/>
  <c r="H769" i="8"/>
  <c r="K769" i="8"/>
  <c r="L769" i="8" s="1"/>
  <c r="G767" i="13" s="1"/>
  <c r="J769" i="8"/>
  <c r="I714" i="14"/>
  <c r="H714" i="14"/>
  <c r="G714" i="14"/>
  <c r="J714" i="14"/>
  <c r="K714" i="14" s="1"/>
  <c r="J712" i="13" s="1"/>
  <c r="J596" i="15"/>
  <c r="K596" i="15" s="1"/>
  <c r="K594" i="13" s="1"/>
  <c r="I596" i="15"/>
  <c r="G596" i="15"/>
  <c r="H596" i="15"/>
  <c r="I369" i="15"/>
  <c r="H369" i="15"/>
  <c r="G369" i="15"/>
  <c r="I729" i="8"/>
  <c r="K729" i="8"/>
  <c r="L729" i="8" s="1"/>
  <c r="G727" i="13" s="1"/>
  <c r="H729" i="8"/>
  <c r="J729" i="8"/>
  <c r="I556" i="8"/>
  <c r="K556" i="8"/>
  <c r="L556" i="8" s="1"/>
  <c r="G554" i="13" s="1"/>
  <c r="J556" i="8"/>
  <c r="H556" i="8"/>
  <c r="G790" i="9"/>
  <c r="J790" i="9"/>
  <c r="K790" i="9" s="1"/>
  <c r="H788" i="13" s="1"/>
  <c r="I790" i="9"/>
  <c r="H790" i="9"/>
  <c r="J744" i="14"/>
  <c r="K744" i="14" s="1"/>
  <c r="J742" i="13" s="1"/>
  <c r="H744" i="14"/>
  <c r="I744" i="14"/>
  <c r="G744" i="14"/>
  <c r="I414" i="15"/>
  <c r="H414" i="15"/>
  <c r="G414" i="15"/>
  <c r="I219" i="11"/>
  <c r="G219" i="11"/>
  <c r="H219" i="11"/>
  <c r="J849" i="14"/>
  <c r="K849" i="14" s="1"/>
  <c r="J847" i="13" s="1"/>
  <c r="I849" i="14"/>
  <c r="H849" i="14"/>
  <c r="G849" i="14"/>
  <c r="G778" i="9"/>
  <c r="J778" i="9"/>
  <c r="K778" i="9" s="1"/>
  <c r="H776" i="13" s="1"/>
  <c r="I778" i="9"/>
  <c r="H778" i="9"/>
  <c r="J747" i="15"/>
  <c r="K747" i="15" s="1"/>
  <c r="K745" i="13" s="1"/>
  <c r="I747" i="15"/>
  <c r="H747" i="15"/>
  <c r="G747" i="15"/>
  <c r="J624" i="9"/>
  <c r="K624" i="9" s="1"/>
  <c r="H622" i="13" s="1"/>
  <c r="G624" i="9"/>
  <c r="I624" i="9"/>
  <c r="H624" i="9"/>
  <c r="H618" i="14"/>
  <c r="G618" i="14"/>
  <c r="J618" i="14"/>
  <c r="K618" i="14" s="1"/>
  <c r="J616" i="13" s="1"/>
  <c r="I618" i="14"/>
  <c r="J581" i="11"/>
  <c r="K581" i="11" s="1"/>
  <c r="I579" i="13" s="1"/>
  <c r="H581" i="11"/>
  <c r="I581" i="11"/>
  <c r="G581" i="11"/>
  <c r="K577" i="1"/>
  <c r="G577" i="1"/>
  <c r="H577" i="1"/>
  <c r="J577" i="1"/>
  <c r="I577" i="1"/>
  <c r="I569" i="11"/>
  <c r="J569" i="11"/>
  <c r="K569" i="11" s="1"/>
  <c r="I567" i="13" s="1"/>
  <c r="H569" i="11"/>
  <c r="G569" i="11"/>
  <c r="H497" i="14"/>
  <c r="G497" i="14"/>
  <c r="I497" i="14"/>
  <c r="G199" i="15"/>
  <c r="I199" i="15"/>
  <c r="H199" i="15"/>
  <c r="I17" i="14"/>
  <c r="H17" i="14"/>
  <c r="G17" i="14"/>
  <c r="H338" i="11"/>
  <c r="G338" i="11"/>
  <c r="I338" i="11"/>
  <c r="K588" i="8"/>
  <c r="L588" i="8" s="1"/>
  <c r="G586" i="13" s="1"/>
  <c r="J588" i="8"/>
  <c r="I588" i="8"/>
  <c r="H588" i="8"/>
  <c r="G283" i="14"/>
  <c r="I283" i="14"/>
  <c r="H283" i="14"/>
  <c r="I518" i="15"/>
  <c r="H518" i="15"/>
  <c r="G518" i="15"/>
  <c r="J820" i="1"/>
  <c r="I820" i="1"/>
  <c r="K820" i="1"/>
  <c r="G812" i="14"/>
  <c r="J812" i="14"/>
  <c r="K812" i="14" s="1"/>
  <c r="J810" i="13" s="1"/>
  <c r="I812" i="14"/>
  <c r="H812" i="14"/>
  <c r="G775" i="15"/>
  <c r="J775" i="15"/>
  <c r="K775" i="15" s="1"/>
  <c r="K773" i="13" s="1"/>
  <c r="I775" i="15"/>
  <c r="H775" i="15"/>
  <c r="H723" i="9"/>
  <c r="G723" i="9"/>
  <c r="J723" i="9"/>
  <c r="K723" i="9" s="1"/>
  <c r="H721" i="13" s="1"/>
  <c r="I723" i="9"/>
  <c r="K659" i="8"/>
  <c r="L659" i="8" s="1"/>
  <c r="G657" i="13" s="1"/>
  <c r="H659" i="8"/>
  <c r="J659" i="8"/>
  <c r="I659" i="8"/>
  <c r="I589" i="9"/>
  <c r="J589" i="9"/>
  <c r="K589" i="9" s="1"/>
  <c r="H587" i="13" s="1"/>
  <c r="H589" i="9"/>
  <c r="G589" i="9"/>
  <c r="J545" i="14"/>
  <c r="K545" i="14" s="1"/>
  <c r="J543" i="13" s="1"/>
  <c r="I545" i="14"/>
  <c r="H545" i="14"/>
  <c r="G545" i="14"/>
  <c r="G519" i="15"/>
  <c r="H519" i="15"/>
  <c r="I519" i="15"/>
  <c r="J519" i="15"/>
  <c r="K519" i="15" s="1"/>
  <c r="K517" i="13" s="1"/>
  <c r="H448" i="15"/>
  <c r="G448" i="15"/>
  <c r="I448" i="15"/>
  <c r="G425" i="11"/>
  <c r="I425" i="11"/>
  <c r="H425" i="11"/>
  <c r="G377" i="14"/>
  <c r="I377" i="14"/>
  <c r="H377" i="14"/>
  <c r="H348" i="15"/>
  <c r="G348" i="15"/>
  <c r="I348" i="15"/>
  <c r="I336" i="11"/>
  <c r="H336" i="11"/>
  <c r="G336" i="11"/>
  <c r="I238" i="11"/>
  <c r="G238" i="11"/>
  <c r="H238" i="11"/>
  <c r="G230" i="15"/>
  <c r="H230" i="15"/>
  <c r="I230" i="15"/>
  <c r="I194" i="14"/>
  <c r="G194" i="14"/>
  <c r="H194" i="14"/>
  <c r="I143" i="14"/>
  <c r="H143" i="14"/>
  <c r="G143" i="14"/>
  <c r="G322" i="14"/>
  <c r="I322" i="14"/>
  <c r="H322" i="14"/>
  <c r="G355" i="11"/>
  <c r="I355" i="11"/>
  <c r="H355" i="11"/>
  <c r="G24" i="14"/>
  <c r="I24" i="14"/>
  <c r="H24" i="14"/>
  <c r="I774" i="9"/>
  <c r="H774" i="9"/>
  <c r="G774" i="9"/>
  <c r="J774" i="9"/>
  <c r="K774" i="9" s="1"/>
  <c r="H772" i="13" s="1"/>
  <c r="H292" i="14"/>
  <c r="G292" i="14"/>
  <c r="I292" i="14"/>
  <c r="G207" i="1"/>
  <c r="J207" i="1"/>
  <c r="I207" i="1"/>
  <c r="H207" i="1"/>
  <c r="J854" i="15"/>
  <c r="K854" i="15" s="1"/>
  <c r="K852" i="13" s="1"/>
  <c r="H854" i="15"/>
  <c r="I854" i="15"/>
  <c r="G854" i="15"/>
  <c r="K841" i="8"/>
  <c r="L841" i="8" s="1"/>
  <c r="G839" i="13" s="1"/>
  <c r="H841" i="8"/>
  <c r="J841" i="8"/>
  <c r="I841" i="8"/>
  <c r="J827" i="9"/>
  <c r="K827" i="9" s="1"/>
  <c r="H825" i="13" s="1"/>
  <c r="I827" i="9"/>
  <c r="H827" i="9"/>
  <c r="G827" i="9"/>
  <c r="J822" i="15"/>
  <c r="K822" i="15" s="1"/>
  <c r="K820" i="13" s="1"/>
  <c r="H822" i="15"/>
  <c r="G822" i="15"/>
  <c r="I822" i="15"/>
  <c r="K715" i="1"/>
  <c r="J715" i="1"/>
  <c r="I715" i="1"/>
  <c r="G688" i="14"/>
  <c r="H688" i="14"/>
  <c r="I688" i="14"/>
  <c r="J688" i="14"/>
  <c r="K688" i="14" s="1"/>
  <c r="J686" i="13" s="1"/>
  <c r="G666" i="14"/>
  <c r="J666" i="14"/>
  <c r="K666" i="14" s="1"/>
  <c r="J664" i="13" s="1"/>
  <c r="I666" i="14"/>
  <c r="H666" i="14"/>
  <c r="J597" i="15"/>
  <c r="K597" i="15" s="1"/>
  <c r="K595" i="13" s="1"/>
  <c r="I597" i="15"/>
  <c r="H597" i="15"/>
  <c r="G597" i="15"/>
  <c r="G571" i="14"/>
  <c r="J571" i="14"/>
  <c r="K571" i="14" s="1"/>
  <c r="J569" i="13" s="1"/>
  <c r="I571" i="14"/>
  <c r="H571" i="14"/>
  <c r="I475" i="15"/>
  <c r="H475" i="15"/>
  <c r="G475" i="15"/>
  <c r="I432" i="11"/>
  <c r="H432" i="11"/>
  <c r="G432" i="11"/>
  <c r="I345" i="1"/>
  <c r="H296" i="15"/>
  <c r="G296" i="15"/>
  <c r="I296" i="15"/>
  <c r="H266" i="1"/>
  <c r="J266" i="1"/>
  <c r="I266" i="1"/>
  <c r="G266" i="1"/>
  <c r="G240" i="15"/>
  <c r="H240" i="15"/>
  <c r="I240" i="15"/>
  <c r="I213" i="1"/>
  <c r="H213" i="1"/>
  <c r="G213" i="1"/>
  <c r="J213" i="1"/>
  <c r="H114" i="11"/>
  <c r="G114" i="11"/>
  <c r="I114" i="11"/>
  <c r="G27" i="15"/>
  <c r="I27" i="15"/>
  <c r="H27" i="15"/>
  <c r="I843" i="9"/>
  <c r="H843" i="9"/>
  <c r="G843" i="9"/>
  <c r="J843" i="9"/>
  <c r="K843" i="9" s="1"/>
  <c r="H841" i="13" s="1"/>
  <c r="H782" i="11"/>
  <c r="G782" i="11"/>
  <c r="J782" i="11"/>
  <c r="K782" i="11" s="1"/>
  <c r="I780" i="13" s="1"/>
  <c r="I782" i="11"/>
  <c r="I309" i="15"/>
  <c r="G309" i="15"/>
  <c r="H309" i="15"/>
  <c r="J559" i="11"/>
  <c r="K559" i="11" s="1"/>
  <c r="I557" i="13" s="1"/>
  <c r="G559" i="11"/>
  <c r="H559" i="11"/>
  <c r="I559" i="11"/>
  <c r="G320" i="14"/>
  <c r="I320" i="14"/>
  <c r="H320" i="14"/>
  <c r="K539" i="8"/>
  <c r="L539" i="8" s="1"/>
  <c r="G537" i="13" s="1"/>
  <c r="J539" i="8"/>
  <c r="I539" i="8"/>
  <c r="H539" i="8"/>
  <c r="I479" i="11"/>
  <c r="H479" i="11"/>
  <c r="G479" i="11"/>
  <c r="I436" i="1"/>
  <c r="J436" i="1"/>
  <c r="I226" i="15"/>
  <c r="H226" i="15"/>
  <c r="G226" i="15"/>
  <c r="J859" i="11"/>
  <c r="K859" i="11" s="1"/>
  <c r="I857" i="13" s="1"/>
  <c r="I859" i="11"/>
  <c r="H859" i="11"/>
  <c r="G859" i="11"/>
  <c r="G761" i="15"/>
  <c r="J761" i="15"/>
  <c r="K761" i="15" s="1"/>
  <c r="K759" i="13" s="1"/>
  <c r="I761" i="15"/>
  <c r="H761" i="15"/>
  <c r="J753" i="9"/>
  <c r="K753" i="9" s="1"/>
  <c r="H751" i="13" s="1"/>
  <c r="G753" i="9"/>
  <c r="I753" i="9"/>
  <c r="H753" i="9"/>
  <c r="J712" i="9"/>
  <c r="K712" i="9" s="1"/>
  <c r="H710" i="13" s="1"/>
  <c r="I712" i="9"/>
  <c r="H712" i="9"/>
  <c r="G712" i="9"/>
  <c r="K669" i="8"/>
  <c r="L669" i="8" s="1"/>
  <c r="G667" i="13" s="1"/>
  <c r="I669" i="8"/>
  <c r="H669" i="8"/>
  <c r="J669" i="8"/>
  <c r="I442" i="15"/>
  <c r="H442" i="15"/>
  <c r="G442" i="15"/>
  <c r="H372" i="11"/>
  <c r="G372" i="11"/>
  <c r="I372" i="11"/>
  <c r="I329" i="11"/>
  <c r="H329" i="11"/>
  <c r="G329" i="11"/>
  <c r="J126" i="1"/>
  <c r="I126" i="1"/>
  <c r="H126" i="1"/>
  <c r="G126" i="1"/>
  <c r="G521" i="11"/>
  <c r="J521" i="11"/>
  <c r="K521" i="11" s="1"/>
  <c r="I519" i="13" s="1"/>
  <c r="I521" i="11"/>
  <c r="H521" i="11"/>
  <c r="H578" i="11"/>
  <c r="I578" i="11"/>
  <c r="G578" i="11"/>
  <c r="J578" i="11"/>
  <c r="K578" i="11" s="1"/>
  <c r="I576" i="13" s="1"/>
  <c r="I503" i="15"/>
  <c r="H503" i="15"/>
  <c r="G503" i="15"/>
  <c r="G780" i="15"/>
  <c r="I780" i="15"/>
  <c r="H780" i="15"/>
  <c r="J780" i="15"/>
  <c r="K780" i="15" s="1"/>
  <c r="K778" i="13" s="1"/>
  <c r="J755" i="11"/>
  <c r="K755" i="11" s="1"/>
  <c r="I753" i="13" s="1"/>
  <c r="I755" i="11"/>
  <c r="H755" i="11"/>
  <c r="G755" i="11"/>
  <c r="J737" i="14"/>
  <c r="K737" i="14" s="1"/>
  <c r="J735" i="13" s="1"/>
  <c r="I737" i="14"/>
  <c r="H737" i="14"/>
  <c r="G737" i="14"/>
  <c r="I703" i="1"/>
  <c r="K703" i="1"/>
  <c r="J703" i="1"/>
  <c r="J587" i="14"/>
  <c r="K587" i="14" s="1"/>
  <c r="J585" i="13" s="1"/>
  <c r="I587" i="14"/>
  <c r="H587" i="14"/>
  <c r="G587" i="14"/>
  <c r="J540" i="15"/>
  <c r="K540" i="15" s="1"/>
  <c r="K538" i="13" s="1"/>
  <c r="I540" i="15"/>
  <c r="H540" i="15"/>
  <c r="G540" i="15"/>
  <c r="G524" i="11"/>
  <c r="H524" i="11"/>
  <c r="J524" i="11"/>
  <c r="K524" i="11" s="1"/>
  <c r="I522" i="13" s="1"/>
  <c r="I524" i="11"/>
  <c r="I415" i="11"/>
  <c r="H415" i="11"/>
  <c r="G415" i="11"/>
  <c r="G388" i="11"/>
  <c r="H388" i="11"/>
  <c r="I388" i="11"/>
  <c r="G192" i="11"/>
  <c r="I192" i="11"/>
  <c r="H192" i="11"/>
  <c r="I172" i="15"/>
  <c r="H172" i="15"/>
  <c r="G172" i="15"/>
  <c r="H135" i="14"/>
  <c r="I135" i="14"/>
  <c r="G135" i="14"/>
  <c r="I106" i="15"/>
  <c r="H106" i="15"/>
  <c r="G106" i="15"/>
  <c r="H73" i="11"/>
  <c r="G73" i="11"/>
  <c r="I73" i="11"/>
  <c r="I45" i="11"/>
  <c r="G45" i="11"/>
  <c r="H45" i="11"/>
  <c r="I40" i="14"/>
  <c r="G40" i="14"/>
  <c r="H40" i="14"/>
  <c r="H59" i="14"/>
  <c r="G59" i="14"/>
  <c r="I59" i="14"/>
  <c r="G404" i="14"/>
  <c r="I404" i="14"/>
  <c r="H404" i="14"/>
  <c r="K705" i="1"/>
  <c r="J705" i="1"/>
  <c r="I705" i="1"/>
  <c r="H705" i="1"/>
  <c r="G705" i="1"/>
  <c r="I56" i="1"/>
  <c r="H56" i="1"/>
  <c r="H734" i="11"/>
  <c r="J734" i="11"/>
  <c r="K734" i="11" s="1"/>
  <c r="I732" i="13" s="1"/>
  <c r="I734" i="11"/>
  <c r="G734" i="11"/>
  <c r="H458" i="11"/>
  <c r="I458" i="11"/>
  <c r="G458" i="11"/>
  <c r="G394" i="11"/>
  <c r="H394" i="11"/>
  <c r="I394" i="11"/>
  <c r="I16" i="15"/>
  <c r="H16" i="15"/>
  <c r="G16" i="15"/>
  <c r="I678" i="8"/>
  <c r="J678" i="8"/>
  <c r="H678" i="8"/>
  <c r="K678" i="8"/>
  <c r="L678" i="8" s="1"/>
  <c r="G676" i="13" s="1"/>
  <c r="H311" i="1"/>
  <c r="I311" i="1"/>
  <c r="J856" i="11"/>
  <c r="K856" i="11" s="1"/>
  <c r="I854" i="13" s="1"/>
  <c r="I856" i="11"/>
  <c r="H856" i="11"/>
  <c r="G856" i="11"/>
  <c r="G835" i="11"/>
  <c r="J835" i="11"/>
  <c r="K835" i="11" s="1"/>
  <c r="I833" i="13" s="1"/>
  <c r="H835" i="11"/>
  <c r="I835" i="11"/>
  <c r="I809" i="11"/>
  <c r="J809" i="11"/>
  <c r="K809" i="11" s="1"/>
  <c r="I807" i="13" s="1"/>
  <c r="G809" i="11"/>
  <c r="H809" i="11"/>
  <c r="K788" i="8"/>
  <c r="L788" i="8" s="1"/>
  <c r="G786" i="13" s="1"/>
  <c r="J788" i="8"/>
  <c r="I788" i="8"/>
  <c r="H788" i="8"/>
  <c r="I771" i="8"/>
  <c r="H771" i="8"/>
  <c r="K771" i="8"/>
  <c r="L771" i="8" s="1"/>
  <c r="G769" i="13" s="1"/>
  <c r="J771" i="8"/>
  <c r="I591" i="11"/>
  <c r="H591" i="11"/>
  <c r="G591" i="11"/>
  <c r="J591" i="11"/>
  <c r="K591" i="11" s="1"/>
  <c r="I589" i="13" s="1"/>
  <c r="G583" i="11"/>
  <c r="J583" i="11"/>
  <c r="K583" i="11" s="1"/>
  <c r="I581" i="13" s="1"/>
  <c r="I583" i="11"/>
  <c r="H583" i="11"/>
  <c r="J576" i="14"/>
  <c r="K576" i="14" s="1"/>
  <c r="J574" i="13" s="1"/>
  <c r="I576" i="14"/>
  <c r="H576" i="14"/>
  <c r="G576" i="14"/>
  <c r="K568" i="8"/>
  <c r="L568" i="8" s="1"/>
  <c r="G566" i="13" s="1"/>
  <c r="J568" i="8"/>
  <c r="I568" i="8"/>
  <c r="H568" i="8"/>
  <c r="J563" i="14"/>
  <c r="K563" i="14" s="1"/>
  <c r="J561" i="13" s="1"/>
  <c r="G563" i="14"/>
  <c r="I563" i="14"/>
  <c r="H563" i="14"/>
  <c r="G534" i="11"/>
  <c r="J534" i="11"/>
  <c r="K534" i="11" s="1"/>
  <c r="I532" i="13" s="1"/>
  <c r="H534" i="11"/>
  <c r="I534" i="11"/>
  <c r="J407" i="1"/>
  <c r="I400" i="14"/>
  <c r="H400" i="14"/>
  <c r="G400" i="14"/>
  <c r="I314" i="15"/>
  <c r="H314" i="15"/>
  <c r="G314" i="15"/>
  <c r="G256" i="11"/>
  <c r="I256" i="11"/>
  <c r="H256" i="11"/>
  <c r="G198" i="14"/>
  <c r="H198" i="14"/>
  <c r="I198" i="14"/>
  <c r="G147" i="14"/>
  <c r="H147" i="14"/>
  <c r="I147" i="14"/>
  <c r="J724" i="11"/>
  <c r="K724" i="11" s="1"/>
  <c r="I722" i="13" s="1"/>
  <c r="I724" i="11"/>
  <c r="H724" i="11"/>
  <c r="G724" i="11"/>
  <c r="H703" i="11"/>
  <c r="J703" i="11"/>
  <c r="K703" i="11" s="1"/>
  <c r="I701" i="13" s="1"/>
  <c r="G703" i="11"/>
  <c r="I703" i="11"/>
  <c r="G799" i="11"/>
  <c r="J799" i="11"/>
  <c r="K799" i="11" s="1"/>
  <c r="I797" i="13" s="1"/>
  <c r="I799" i="11"/>
  <c r="H799" i="11"/>
  <c r="H636" i="8"/>
  <c r="J636" i="8"/>
  <c r="K636" i="8"/>
  <c r="L636" i="8" s="1"/>
  <c r="G634" i="13" s="1"/>
  <c r="I636" i="8"/>
  <c r="J561" i="11"/>
  <c r="K561" i="11" s="1"/>
  <c r="I559" i="13" s="1"/>
  <c r="I561" i="11"/>
  <c r="H561" i="11"/>
  <c r="G561" i="11"/>
  <c r="G193" i="1"/>
  <c r="I29" i="14"/>
  <c r="H29" i="14"/>
  <c r="G29" i="14"/>
  <c r="K819" i="8"/>
  <c r="L819" i="8" s="1"/>
  <c r="G817" i="13" s="1"/>
  <c r="J819" i="8"/>
  <c r="I819" i="8"/>
  <c r="H819" i="8"/>
  <c r="J752" i="15"/>
  <c r="K752" i="15" s="1"/>
  <c r="K750" i="13" s="1"/>
  <c r="G752" i="15"/>
  <c r="I752" i="15"/>
  <c r="H752" i="15"/>
  <c r="K745" i="8"/>
  <c r="L745" i="8" s="1"/>
  <c r="G743" i="13" s="1"/>
  <c r="J745" i="8"/>
  <c r="I745" i="8"/>
  <c r="H745" i="8"/>
  <c r="H648" i="8"/>
  <c r="K648" i="8"/>
  <c r="L648" i="8" s="1"/>
  <c r="G646" i="13" s="1"/>
  <c r="J648" i="8"/>
  <c r="I648" i="8"/>
  <c r="H625" i="11"/>
  <c r="G625" i="11"/>
  <c r="I625" i="11"/>
  <c r="J625" i="11"/>
  <c r="K625" i="11" s="1"/>
  <c r="I623" i="13" s="1"/>
  <c r="I294" i="15"/>
  <c r="H294" i="15"/>
  <c r="G294" i="15"/>
  <c r="G163" i="11"/>
  <c r="I163" i="11"/>
  <c r="H163" i="11"/>
  <c r="I96" i="15"/>
  <c r="H96" i="15"/>
  <c r="G96" i="15"/>
  <c r="H139" i="15"/>
  <c r="I139" i="15"/>
  <c r="G139" i="15"/>
  <c r="K643" i="8"/>
  <c r="L643" i="8" s="1"/>
  <c r="G641" i="13" s="1"/>
  <c r="J643" i="8"/>
  <c r="I643" i="8"/>
  <c r="H643" i="8"/>
  <c r="J531" i="9"/>
  <c r="K531" i="9" s="1"/>
  <c r="H529" i="13" s="1"/>
  <c r="H531" i="9"/>
  <c r="I531" i="9"/>
  <c r="G531" i="9"/>
  <c r="H11" i="14"/>
  <c r="I11" i="14"/>
  <c r="G11" i="14"/>
  <c r="K777" i="8"/>
  <c r="L777" i="8" s="1"/>
  <c r="G775" i="13" s="1"/>
  <c r="J777" i="8"/>
  <c r="I777" i="8"/>
  <c r="H777" i="8"/>
  <c r="H467" i="15"/>
  <c r="I467" i="15"/>
  <c r="G467" i="15"/>
  <c r="I255" i="11"/>
  <c r="G255" i="11"/>
  <c r="H255" i="11"/>
  <c r="G297" i="11"/>
  <c r="I297" i="11"/>
  <c r="H297" i="11"/>
  <c r="I260" i="14"/>
  <c r="H260" i="14"/>
  <c r="G260" i="14"/>
  <c r="H433" i="14"/>
  <c r="G433" i="14"/>
  <c r="I433" i="14"/>
  <c r="I399" i="15"/>
  <c r="H399" i="15"/>
  <c r="G399" i="15"/>
  <c r="G726" i="11"/>
  <c r="J726" i="11"/>
  <c r="K726" i="11" s="1"/>
  <c r="I724" i="13" s="1"/>
  <c r="I726" i="11"/>
  <c r="H726" i="11"/>
  <c r="G687" i="11"/>
  <c r="J687" i="11"/>
  <c r="K687" i="11" s="1"/>
  <c r="I685" i="13" s="1"/>
  <c r="I687" i="11"/>
  <c r="H687" i="11"/>
  <c r="H105" i="1"/>
  <c r="J105" i="1"/>
  <c r="G105" i="1"/>
  <c r="H610" i="15"/>
  <c r="G610" i="15"/>
  <c r="J610" i="15"/>
  <c r="K610" i="15" s="1"/>
  <c r="K608" i="13" s="1"/>
  <c r="I610" i="15"/>
  <c r="I697" i="8"/>
  <c r="H697" i="8"/>
  <c r="K697" i="8"/>
  <c r="L697" i="8" s="1"/>
  <c r="G695" i="13" s="1"/>
  <c r="J697" i="8"/>
  <c r="J850" i="15"/>
  <c r="K850" i="15" s="1"/>
  <c r="K848" i="13" s="1"/>
  <c r="I850" i="15"/>
  <c r="H850" i="15"/>
  <c r="G850" i="15"/>
  <c r="I675" i="14"/>
  <c r="H675" i="14"/>
  <c r="G675" i="14"/>
  <c r="J675" i="14"/>
  <c r="K675" i="14" s="1"/>
  <c r="J673" i="13" s="1"/>
  <c r="I234" i="1"/>
  <c r="G234" i="1"/>
  <c r="J234" i="1"/>
  <c r="J721" i="15"/>
  <c r="K721" i="15" s="1"/>
  <c r="K719" i="13" s="1"/>
  <c r="I721" i="15"/>
  <c r="H721" i="15"/>
  <c r="G721" i="15"/>
  <c r="I375" i="15"/>
  <c r="H375" i="15"/>
  <c r="G375" i="15"/>
  <c r="J622" i="11"/>
  <c r="K622" i="11" s="1"/>
  <c r="I620" i="13" s="1"/>
  <c r="I622" i="11"/>
  <c r="H622" i="11"/>
  <c r="G622" i="11"/>
  <c r="J716" i="11"/>
  <c r="K716" i="11" s="1"/>
  <c r="I714" i="13" s="1"/>
  <c r="I716" i="11"/>
  <c r="H716" i="11"/>
  <c r="G716" i="11"/>
  <c r="I575" i="14"/>
  <c r="H575" i="14"/>
  <c r="G575" i="14"/>
  <c r="J575" i="14"/>
  <c r="K575" i="14" s="1"/>
  <c r="J573" i="13" s="1"/>
  <c r="H44" i="15"/>
  <c r="I44" i="15"/>
  <c r="G44" i="15"/>
  <c r="H264" i="14"/>
  <c r="G264" i="14"/>
  <c r="I264" i="14"/>
  <c r="H572" i="14"/>
  <c r="I572" i="14"/>
  <c r="G572" i="14"/>
  <c r="J572" i="14"/>
  <c r="K572" i="14" s="1"/>
  <c r="J570" i="13" s="1"/>
  <c r="J552" i="11"/>
  <c r="K552" i="11" s="1"/>
  <c r="I550" i="13" s="1"/>
  <c r="I552" i="11"/>
  <c r="H552" i="11"/>
  <c r="G552" i="11"/>
  <c r="H451" i="15"/>
  <c r="I451" i="15"/>
  <c r="G451" i="15"/>
  <c r="H704" i="11"/>
  <c r="I704" i="11"/>
  <c r="G704" i="11"/>
  <c r="J704" i="11"/>
  <c r="K704" i="11" s="1"/>
  <c r="I702" i="13" s="1"/>
  <c r="I195" i="15"/>
  <c r="H195" i="15"/>
  <c r="G195" i="15"/>
  <c r="J804" i="14"/>
  <c r="K804" i="14" s="1"/>
  <c r="J802" i="13" s="1"/>
  <c r="H804" i="14"/>
  <c r="G804" i="14"/>
  <c r="I804" i="14"/>
  <c r="K694" i="8"/>
  <c r="L694" i="8" s="1"/>
  <c r="G692" i="13" s="1"/>
  <c r="J694" i="8"/>
  <c r="H694" i="8"/>
  <c r="I694" i="8"/>
  <c r="J772" i="14"/>
  <c r="K772" i="14" s="1"/>
  <c r="J770" i="13" s="1"/>
  <c r="H772" i="14"/>
  <c r="G772" i="14"/>
  <c r="I772" i="14"/>
  <c r="J665" i="14"/>
  <c r="K665" i="14" s="1"/>
  <c r="J663" i="13" s="1"/>
  <c r="I665" i="14"/>
  <c r="H665" i="14"/>
  <c r="G665" i="14"/>
  <c r="I66" i="11"/>
  <c r="H66" i="11"/>
  <c r="G66" i="11"/>
  <c r="J770" i="9"/>
  <c r="K770" i="9" s="1"/>
  <c r="H768" i="13" s="1"/>
  <c r="I770" i="9"/>
  <c r="H770" i="9"/>
  <c r="G770" i="9"/>
  <c r="I787" i="15"/>
  <c r="H787" i="15"/>
  <c r="G787" i="15"/>
  <c r="J787" i="15"/>
  <c r="K787" i="15" s="1"/>
  <c r="K785" i="13" s="1"/>
  <c r="I598" i="8"/>
  <c r="K598" i="8"/>
  <c r="L598" i="8" s="1"/>
  <c r="G596" i="13" s="1"/>
  <c r="J598" i="8"/>
  <c r="H598" i="8"/>
  <c r="H813" i="8"/>
  <c r="K813" i="8"/>
  <c r="L813" i="8" s="1"/>
  <c r="G811" i="13" s="1"/>
  <c r="J813" i="8"/>
  <c r="I813" i="8"/>
  <c r="I77" i="11"/>
  <c r="H77" i="11"/>
  <c r="G77" i="11"/>
  <c r="J811" i="9"/>
  <c r="K811" i="9" s="1"/>
  <c r="H809" i="13" s="1"/>
  <c r="I811" i="9"/>
  <c r="H811" i="9"/>
  <c r="G811" i="9"/>
  <c r="I330" i="11"/>
  <c r="G330" i="11"/>
  <c r="H330" i="11"/>
  <c r="G262" i="14"/>
  <c r="I262" i="14"/>
  <c r="H262" i="14"/>
  <c r="G239" i="15"/>
  <c r="I239" i="15"/>
  <c r="H239" i="15"/>
  <c r="J855" i="9"/>
  <c r="K855" i="9" s="1"/>
  <c r="H853" i="13" s="1"/>
  <c r="I855" i="9"/>
  <c r="H855" i="9"/>
  <c r="G855" i="9"/>
  <c r="H590" i="9"/>
  <c r="J590" i="9"/>
  <c r="K590" i="9" s="1"/>
  <c r="H588" i="13" s="1"/>
  <c r="I590" i="9"/>
  <c r="G590" i="9"/>
  <c r="H826" i="8"/>
  <c r="K826" i="8"/>
  <c r="L826" i="8" s="1"/>
  <c r="G824" i="13" s="1"/>
  <c r="J826" i="8"/>
  <c r="I826" i="8"/>
  <c r="J520" i="15"/>
  <c r="K520" i="15" s="1"/>
  <c r="K518" i="13" s="1"/>
  <c r="I520" i="15"/>
  <c r="H520" i="15"/>
  <c r="G520" i="15"/>
  <c r="I90" i="14"/>
  <c r="G90" i="14"/>
  <c r="H90" i="14"/>
  <c r="J685" i="8"/>
  <c r="K685" i="8"/>
  <c r="L685" i="8" s="1"/>
  <c r="G683" i="13" s="1"/>
  <c r="I685" i="8"/>
  <c r="H685" i="8"/>
  <c r="J499" i="1"/>
  <c r="I499" i="1"/>
  <c r="H499" i="1"/>
  <c r="G499" i="1"/>
  <c r="I148" i="14"/>
  <c r="H148" i="14"/>
  <c r="G148" i="14"/>
  <c r="G35" i="14"/>
  <c r="I35" i="14"/>
  <c r="H35" i="14"/>
  <c r="I71" i="15"/>
  <c r="H71" i="15"/>
  <c r="G71" i="15"/>
  <c r="J631" i="9"/>
  <c r="K631" i="9" s="1"/>
  <c r="H629" i="13" s="1"/>
  <c r="I631" i="9"/>
  <c r="H631" i="9"/>
  <c r="G631" i="9"/>
  <c r="I83" i="11"/>
  <c r="G83" i="11"/>
  <c r="H83" i="11"/>
  <c r="G331" i="14"/>
  <c r="I331" i="14"/>
  <c r="H331" i="14"/>
  <c r="I127" i="11"/>
  <c r="H127" i="11"/>
  <c r="G127" i="11"/>
  <c r="J845" i="15"/>
  <c r="K845" i="15" s="1"/>
  <c r="K843" i="13" s="1"/>
  <c r="I845" i="15"/>
  <c r="H845" i="15"/>
  <c r="G845" i="15"/>
  <c r="G570" i="9"/>
  <c r="J570" i="9"/>
  <c r="K570" i="9" s="1"/>
  <c r="H568" i="13" s="1"/>
  <c r="I570" i="9"/>
  <c r="H570" i="9"/>
  <c r="J818" i="14"/>
  <c r="K818" i="14" s="1"/>
  <c r="J816" i="13" s="1"/>
  <c r="H818" i="14"/>
  <c r="I818" i="14"/>
  <c r="G818" i="14"/>
  <c r="J783" i="15"/>
  <c r="K783" i="15" s="1"/>
  <c r="K781" i="13" s="1"/>
  <c r="H783" i="15"/>
  <c r="I783" i="15"/>
  <c r="G783" i="15"/>
  <c r="G743" i="15"/>
  <c r="J743" i="15"/>
  <c r="K743" i="15" s="1"/>
  <c r="K741" i="13" s="1"/>
  <c r="I743" i="15"/>
  <c r="H743" i="15"/>
  <c r="H708" i="9"/>
  <c r="G708" i="9"/>
  <c r="J708" i="9"/>
  <c r="K708" i="9" s="1"/>
  <c r="H706" i="13" s="1"/>
  <c r="I708" i="9"/>
  <c r="G652" i="14"/>
  <c r="J652" i="14"/>
  <c r="K652" i="14" s="1"/>
  <c r="J650" i="13" s="1"/>
  <c r="I652" i="14"/>
  <c r="H652" i="14"/>
  <c r="K609" i="8"/>
  <c r="L609" i="8" s="1"/>
  <c r="G607" i="13" s="1"/>
  <c r="H609" i="8"/>
  <c r="I609" i="8"/>
  <c r="J609" i="8"/>
  <c r="G525" i="15"/>
  <c r="J525" i="15"/>
  <c r="K525" i="15" s="1"/>
  <c r="K523" i="13" s="1"/>
  <c r="I525" i="15"/>
  <c r="H525" i="15"/>
  <c r="H478" i="14"/>
  <c r="I478" i="14"/>
  <c r="G478" i="14"/>
  <c r="I351" i="14"/>
  <c r="H351" i="14"/>
  <c r="G351" i="14"/>
  <c r="G334" i="14"/>
  <c r="I334" i="14"/>
  <c r="H334" i="14"/>
  <c r="I325" i="11"/>
  <c r="H325" i="11"/>
  <c r="G325" i="11"/>
  <c r="H208" i="15"/>
  <c r="G208" i="15"/>
  <c r="I208" i="15"/>
  <c r="I191" i="15"/>
  <c r="H191" i="15"/>
  <c r="G191" i="15"/>
  <c r="G94" i="15"/>
  <c r="H94" i="15"/>
  <c r="I94" i="15"/>
  <c r="H38" i="15"/>
  <c r="I38" i="15"/>
  <c r="G38" i="15"/>
  <c r="J769" i="9"/>
  <c r="K769" i="9" s="1"/>
  <c r="H767" i="13" s="1"/>
  <c r="I769" i="9"/>
  <c r="H769" i="9"/>
  <c r="G769" i="9"/>
  <c r="G473" i="14"/>
  <c r="I473" i="14"/>
  <c r="H473" i="14"/>
  <c r="J714" i="15"/>
  <c r="K714" i="15" s="1"/>
  <c r="K712" i="13" s="1"/>
  <c r="H714" i="15"/>
  <c r="G714" i="15"/>
  <c r="I714" i="15"/>
  <c r="H369" i="14"/>
  <c r="G369" i="14"/>
  <c r="I369" i="14"/>
  <c r="G729" i="14"/>
  <c r="J729" i="14"/>
  <c r="K729" i="14" s="1"/>
  <c r="J727" i="13" s="1"/>
  <c r="I729" i="14"/>
  <c r="H729" i="14"/>
  <c r="J556" i="11"/>
  <c r="K556" i="11" s="1"/>
  <c r="I554" i="13" s="1"/>
  <c r="I556" i="11"/>
  <c r="H556" i="11"/>
  <c r="G556" i="11"/>
  <c r="I790" i="8"/>
  <c r="J790" i="8"/>
  <c r="K790" i="8"/>
  <c r="L790" i="8" s="1"/>
  <c r="G788" i="13" s="1"/>
  <c r="H790" i="8"/>
  <c r="J744" i="15"/>
  <c r="K744" i="15" s="1"/>
  <c r="K742" i="13" s="1"/>
  <c r="I744" i="15"/>
  <c r="H744" i="15"/>
  <c r="G744" i="15"/>
  <c r="I219" i="14"/>
  <c r="H219" i="14"/>
  <c r="G219" i="14"/>
  <c r="G849" i="15"/>
  <c r="J849" i="15"/>
  <c r="K849" i="15" s="1"/>
  <c r="K847" i="13" s="1"/>
  <c r="I849" i="15"/>
  <c r="H849" i="15"/>
  <c r="G778" i="11"/>
  <c r="J778" i="11"/>
  <c r="K778" i="11" s="1"/>
  <c r="I776" i="13" s="1"/>
  <c r="I778" i="11"/>
  <c r="H778" i="11"/>
  <c r="H635" i="1"/>
  <c r="G635" i="1"/>
  <c r="K635" i="1"/>
  <c r="I635" i="1"/>
  <c r="J635" i="1"/>
  <c r="G624" i="11"/>
  <c r="J624" i="11"/>
  <c r="K624" i="11" s="1"/>
  <c r="I622" i="13" s="1"/>
  <c r="I624" i="11"/>
  <c r="H624" i="11"/>
  <c r="J581" i="14"/>
  <c r="K581" i="14" s="1"/>
  <c r="J579" i="13" s="1"/>
  <c r="I581" i="14"/>
  <c r="H581" i="14"/>
  <c r="G581" i="14"/>
  <c r="H569" i="15"/>
  <c r="J569" i="15"/>
  <c r="K569" i="15" s="1"/>
  <c r="K567" i="13" s="1"/>
  <c r="I569" i="15"/>
  <c r="G569" i="15"/>
  <c r="J560" i="9"/>
  <c r="K560" i="9" s="1"/>
  <c r="H558" i="13" s="1"/>
  <c r="H560" i="9"/>
  <c r="I560" i="9"/>
  <c r="G560" i="9"/>
  <c r="I497" i="15"/>
  <c r="H497" i="15"/>
  <c r="G497" i="15"/>
  <c r="H401" i="15"/>
  <c r="G401" i="15"/>
  <c r="I401" i="15"/>
  <c r="G53" i="1"/>
  <c r="I53" i="1"/>
  <c r="H53" i="1"/>
  <c r="J53" i="1"/>
  <c r="G17" i="15"/>
  <c r="H17" i="15"/>
  <c r="I17" i="15"/>
  <c r="J588" i="11"/>
  <c r="K588" i="11" s="1"/>
  <c r="I586" i="13" s="1"/>
  <c r="I588" i="11"/>
  <c r="H588" i="11"/>
  <c r="G588" i="11"/>
  <c r="H470" i="11"/>
  <c r="I470" i="11"/>
  <c r="G470" i="11"/>
  <c r="G363" i="14"/>
  <c r="I363" i="14"/>
  <c r="H363" i="14"/>
  <c r="I283" i="15"/>
  <c r="H283" i="15"/>
  <c r="G283" i="15"/>
  <c r="I39" i="11"/>
  <c r="H39" i="11"/>
  <c r="G39" i="11"/>
  <c r="I812" i="15"/>
  <c r="H812" i="15"/>
  <c r="G812" i="15"/>
  <c r="J812" i="15"/>
  <c r="K812" i="15" s="1"/>
  <c r="K810" i="13" s="1"/>
  <c r="K751" i="8"/>
  <c r="L751" i="8" s="1"/>
  <c r="G749" i="13" s="1"/>
  <c r="J751" i="8"/>
  <c r="I751" i="8"/>
  <c r="H751" i="8"/>
  <c r="I723" i="11"/>
  <c r="H723" i="11"/>
  <c r="G723" i="11"/>
  <c r="J723" i="11"/>
  <c r="K723" i="11" s="1"/>
  <c r="I721" i="13" s="1"/>
  <c r="J659" i="11"/>
  <c r="K659" i="11" s="1"/>
  <c r="I657" i="13" s="1"/>
  <c r="I659" i="11"/>
  <c r="H659" i="11"/>
  <c r="G659" i="11"/>
  <c r="J616" i="8"/>
  <c r="I616" i="8"/>
  <c r="K616" i="8"/>
  <c r="L616" i="8" s="1"/>
  <c r="G614" i="13" s="1"/>
  <c r="H616" i="8"/>
  <c r="G589" i="11"/>
  <c r="J589" i="11"/>
  <c r="K589" i="11" s="1"/>
  <c r="I587" i="13" s="1"/>
  <c r="I589" i="11"/>
  <c r="H589" i="11"/>
  <c r="H545" i="9"/>
  <c r="G545" i="9"/>
  <c r="J545" i="9"/>
  <c r="K545" i="9" s="1"/>
  <c r="H543" i="13" s="1"/>
  <c r="I545" i="9"/>
  <c r="I471" i="11"/>
  <c r="H471" i="11"/>
  <c r="G471" i="11"/>
  <c r="I440" i="14"/>
  <c r="H440" i="14"/>
  <c r="G440" i="14"/>
  <c r="H425" i="15"/>
  <c r="G425" i="15"/>
  <c r="I425" i="15"/>
  <c r="I377" i="15"/>
  <c r="H377" i="15"/>
  <c r="G377" i="15"/>
  <c r="G348" i="14"/>
  <c r="H348" i="14"/>
  <c r="I348" i="14"/>
  <c r="I336" i="15"/>
  <c r="H336" i="15"/>
  <c r="G336" i="15"/>
  <c r="I250" i="11"/>
  <c r="H250" i="11"/>
  <c r="G250" i="11"/>
  <c r="I143" i="15"/>
  <c r="G143" i="15"/>
  <c r="H143" i="15"/>
  <c r="H322" i="15"/>
  <c r="G322" i="15"/>
  <c r="I322" i="15"/>
  <c r="I511" i="14"/>
  <c r="G511" i="14"/>
  <c r="H511" i="14"/>
  <c r="I460" i="1"/>
  <c r="J460" i="1"/>
  <c r="G355" i="14"/>
  <c r="I355" i="14"/>
  <c r="H355" i="14"/>
  <c r="I24" i="15"/>
  <c r="H24" i="15"/>
  <c r="G24" i="15"/>
  <c r="H774" i="11"/>
  <c r="G774" i="11"/>
  <c r="J774" i="11"/>
  <c r="K774" i="11" s="1"/>
  <c r="I772" i="13" s="1"/>
  <c r="I774" i="11"/>
  <c r="G292" i="15"/>
  <c r="H292" i="15"/>
  <c r="I292" i="15"/>
  <c r="H841" i="11"/>
  <c r="J841" i="11"/>
  <c r="K841" i="11" s="1"/>
  <c r="I839" i="13" s="1"/>
  <c r="I841" i="11"/>
  <c r="G841" i="11"/>
  <c r="J827" i="11"/>
  <c r="K827" i="11" s="1"/>
  <c r="I825" i="13" s="1"/>
  <c r="I827" i="11"/>
  <c r="H827" i="11"/>
  <c r="G827" i="11"/>
  <c r="H666" i="15"/>
  <c r="G666" i="15"/>
  <c r="J666" i="15"/>
  <c r="K666" i="15" s="1"/>
  <c r="K664" i="13" s="1"/>
  <c r="I666" i="15"/>
  <c r="G571" i="15"/>
  <c r="J571" i="15"/>
  <c r="K571" i="15" s="1"/>
  <c r="K569" i="13" s="1"/>
  <c r="I571" i="15"/>
  <c r="H571" i="15"/>
  <c r="G466" i="11"/>
  <c r="I466" i="11"/>
  <c r="H466" i="11"/>
  <c r="I432" i="14"/>
  <c r="H432" i="14"/>
  <c r="G432" i="14"/>
  <c r="J427" i="1"/>
  <c r="I427" i="1"/>
  <c r="H317" i="14"/>
  <c r="G317" i="14"/>
  <c r="I317" i="14"/>
  <c r="I286" i="11"/>
  <c r="H286" i="11"/>
  <c r="G286" i="11"/>
  <c r="I189" i="1"/>
  <c r="H189" i="1"/>
  <c r="G114" i="14"/>
  <c r="I114" i="14"/>
  <c r="H114" i="14"/>
  <c r="I81" i="14"/>
  <c r="G81" i="14"/>
  <c r="H81" i="14"/>
  <c r="I32" i="11"/>
  <c r="H32" i="11"/>
  <c r="G32" i="11"/>
  <c r="J843" i="11"/>
  <c r="K843" i="11" s="1"/>
  <c r="I841" i="13" s="1"/>
  <c r="I843" i="11"/>
  <c r="H843" i="11"/>
  <c r="G843" i="11"/>
  <c r="J782" i="14"/>
  <c r="K782" i="14" s="1"/>
  <c r="J780" i="13" s="1"/>
  <c r="I782" i="14"/>
  <c r="H782" i="14"/>
  <c r="G782" i="14"/>
  <c r="G447" i="11"/>
  <c r="I447" i="11"/>
  <c r="H447" i="11"/>
  <c r="I232" i="11"/>
  <c r="H232" i="11"/>
  <c r="G232" i="11"/>
  <c r="G559" i="14"/>
  <c r="J559" i="14"/>
  <c r="K559" i="14" s="1"/>
  <c r="J557" i="13" s="1"/>
  <c r="I559" i="14"/>
  <c r="H559" i="14"/>
  <c r="H269" i="1"/>
  <c r="I269" i="1"/>
  <c r="J269" i="1"/>
  <c r="J539" i="9"/>
  <c r="K539" i="9" s="1"/>
  <c r="H537" i="13" s="1"/>
  <c r="I539" i="9"/>
  <c r="H539" i="9"/>
  <c r="G539" i="9"/>
  <c r="G479" i="14"/>
  <c r="I479" i="14"/>
  <c r="H479" i="14"/>
  <c r="I137" i="11"/>
  <c r="H137" i="11"/>
  <c r="G137" i="11"/>
  <c r="J859" i="14"/>
  <c r="K859" i="14" s="1"/>
  <c r="J857" i="13" s="1"/>
  <c r="I859" i="14"/>
  <c r="H859" i="14"/>
  <c r="G859" i="14"/>
  <c r="K805" i="8"/>
  <c r="L805" i="8" s="1"/>
  <c r="G803" i="13" s="1"/>
  <c r="J805" i="8"/>
  <c r="I805" i="8"/>
  <c r="H805" i="8"/>
  <c r="G791" i="11"/>
  <c r="J791" i="11"/>
  <c r="K791" i="11" s="1"/>
  <c r="I789" i="13" s="1"/>
  <c r="I791" i="11"/>
  <c r="H791" i="11"/>
  <c r="I753" i="11"/>
  <c r="G753" i="11"/>
  <c r="J753" i="11"/>
  <c r="K753" i="11" s="1"/>
  <c r="I751" i="13" s="1"/>
  <c r="H753" i="11"/>
  <c r="I712" i="11"/>
  <c r="J712" i="11"/>
  <c r="K712" i="11" s="1"/>
  <c r="I710" i="13" s="1"/>
  <c r="H712" i="11"/>
  <c r="G712" i="11"/>
  <c r="G669" i="9"/>
  <c r="H669" i="9"/>
  <c r="J669" i="9"/>
  <c r="K669" i="9" s="1"/>
  <c r="H667" i="13" s="1"/>
  <c r="I669" i="9"/>
  <c r="K547" i="1"/>
  <c r="J547" i="1"/>
  <c r="I547" i="1"/>
  <c r="H547" i="1"/>
  <c r="G547" i="1"/>
  <c r="J527" i="11"/>
  <c r="K527" i="11" s="1"/>
  <c r="I525" i="13" s="1"/>
  <c r="I527" i="11"/>
  <c r="H527" i="11"/>
  <c r="G527" i="11"/>
  <c r="G435" i="11"/>
  <c r="I435" i="11"/>
  <c r="H435" i="11"/>
  <c r="G372" i="14"/>
  <c r="I372" i="14"/>
  <c r="H372" i="14"/>
  <c r="H329" i="15"/>
  <c r="G329" i="15"/>
  <c r="I329" i="15"/>
  <c r="J284" i="1"/>
  <c r="I284" i="1"/>
  <c r="H284" i="1"/>
  <c r="I14" i="15"/>
  <c r="H14" i="15"/>
  <c r="G14" i="15"/>
  <c r="G521" i="14"/>
  <c r="J521" i="14"/>
  <c r="K521" i="14" s="1"/>
  <c r="J519" i="13" s="1"/>
  <c r="I521" i="14"/>
  <c r="H521" i="14"/>
  <c r="H578" i="14"/>
  <c r="J578" i="14"/>
  <c r="K578" i="14" s="1"/>
  <c r="J576" i="13" s="1"/>
  <c r="G578" i="14"/>
  <c r="I578" i="14"/>
  <c r="I853" i="8"/>
  <c r="H853" i="8"/>
  <c r="K853" i="8"/>
  <c r="L853" i="8" s="1"/>
  <c r="G851" i="13" s="1"/>
  <c r="J853" i="8"/>
  <c r="K802" i="8"/>
  <c r="L802" i="8" s="1"/>
  <c r="G800" i="13" s="1"/>
  <c r="J802" i="8"/>
  <c r="I802" i="8"/>
  <c r="H802" i="8"/>
  <c r="H755" i="14"/>
  <c r="G755" i="14"/>
  <c r="I755" i="14"/>
  <c r="J755" i="14"/>
  <c r="K755" i="14" s="1"/>
  <c r="J753" i="13" s="1"/>
  <c r="I608" i="8"/>
  <c r="K608" i="8"/>
  <c r="L608" i="8" s="1"/>
  <c r="G606" i="13" s="1"/>
  <c r="J608" i="8"/>
  <c r="H608" i="8"/>
  <c r="H524" i="8"/>
  <c r="K524" i="8"/>
  <c r="L524" i="8" s="1"/>
  <c r="G522" i="13" s="1"/>
  <c r="J524" i="8"/>
  <c r="I524" i="8"/>
  <c r="I489" i="11"/>
  <c r="H489" i="11"/>
  <c r="G489" i="11"/>
  <c r="I415" i="15"/>
  <c r="H415" i="15"/>
  <c r="G415" i="15"/>
  <c r="G388" i="14"/>
  <c r="I388" i="14"/>
  <c r="H388" i="14"/>
  <c r="G192" i="14"/>
  <c r="I192" i="14"/>
  <c r="H192" i="14"/>
  <c r="H164" i="11"/>
  <c r="I164" i="11"/>
  <c r="G164" i="11"/>
  <c r="G121" i="15"/>
  <c r="I121" i="15"/>
  <c r="H121" i="15"/>
  <c r="I73" i="14"/>
  <c r="G73" i="14"/>
  <c r="H73" i="14"/>
  <c r="I40" i="15"/>
  <c r="H40" i="15"/>
  <c r="G40" i="15"/>
  <c r="I67" i="11"/>
  <c r="H67" i="11"/>
  <c r="G67" i="11"/>
  <c r="I59" i="15"/>
  <c r="G59" i="15"/>
  <c r="H59" i="15"/>
  <c r="I404" i="15"/>
  <c r="H404" i="15"/>
  <c r="G404" i="15"/>
  <c r="J734" i="9"/>
  <c r="K734" i="9" s="1"/>
  <c r="H732" i="13" s="1"/>
  <c r="I734" i="9"/>
  <c r="H734" i="9"/>
  <c r="G734" i="9"/>
  <c r="G458" i="14"/>
  <c r="H458" i="14"/>
  <c r="I458" i="14"/>
  <c r="I301" i="14"/>
  <c r="H301" i="14"/>
  <c r="G301" i="14"/>
  <c r="J678" i="9"/>
  <c r="K678" i="9" s="1"/>
  <c r="H676" i="13" s="1"/>
  <c r="I678" i="9"/>
  <c r="G678" i="9"/>
  <c r="H678" i="9"/>
  <c r="J856" i="15"/>
  <c r="K856" i="15" s="1"/>
  <c r="K854" i="13" s="1"/>
  <c r="I856" i="15"/>
  <c r="H856" i="15"/>
  <c r="G856" i="15"/>
  <c r="J835" i="14"/>
  <c r="K835" i="14" s="1"/>
  <c r="J833" i="13" s="1"/>
  <c r="I835" i="14"/>
  <c r="H835" i="14"/>
  <c r="G835" i="14"/>
  <c r="G809" i="14"/>
  <c r="H809" i="14"/>
  <c r="I809" i="14"/>
  <c r="J809" i="14"/>
  <c r="K809" i="14" s="1"/>
  <c r="J807" i="13" s="1"/>
  <c r="J788" i="11"/>
  <c r="K788" i="11" s="1"/>
  <c r="I786" i="13" s="1"/>
  <c r="H788" i="11"/>
  <c r="G788" i="11"/>
  <c r="I788" i="11"/>
  <c r="I771" i="9"/>
  <c r="H771" i="9"/>
  <c r="G771" i="9"/>
  <c r="J771" i="9"/>
  <c r="K771" i="9" s="1"/>
  <c r="H769" i="13" s="1"/>
  <c r="G695" i="9"/>
  <c r="J695" i="9"/>
  <c r="K695" i="9" s="1"/>
  <c r="H693" i="13" s="1"/>
  <c r="I695" i="9"/>
  <c r="H695" i="9"/>
  <c r="J591" i="15"/>
  <c r="K591" i="15" s="1"/>
  <c r="K589" i="13" s="1"/>
  <c r="I591" i="15"/>
  <c r="H591" i="15"/>
  <c r="G591" i="15"/>
  <c r="H583" i="8"/>
  <c r="J583" i="8"/>
  <c r="I583" i="8"/>
  <c r="K583" i="8"/>
  <c r="L583" i="8" s="1"/>
  <c r="G581" i="13" s="1"/>
  <c r="J576" i="15"/>
  <c r="K576" i="15" s="1"/>
  <c r="K574" i="13" s="1"/>
  <c r="H576" i="15"/>
  <c r="G576" i="15"/>
  <c r="I576" i="15"/>
  <c r="J568" i="9"/>
  <c r="K568" i="9" s="1"/>
  <c r="H566" i="13" s="1"/>
  <c r="G568" i="9"/>
  <c r="I568" i="9"/>
  <c r="H568" i="9"/>
  <c r="J563" i="15"/>
  <c r="K563" i="15" s="1"/>
  <c r="K561" i="13" s="1"/>
  <c r="I563" i="15"/>
  <c r="H563" i="15"/>
  <c r="G563" i="15"/>
  <c r="J534" i="14"/>
  <c r="K534" i="14" s="1"/>
  <c r="J532" i="13" s="1"/>
  <c r="I534" i="14"/>
  <c r="H534" i="14"/>
  <c r="G534" i="14"/>
  <c r="I400" i="15"/>
  <c r="G400" i="15"/>
  <c r="H400" i="15"/>
  <c r="H256" i="14"/>
  <c r="G256" i="14"/>
  <c r="I256" i="14"/>
  <c r="I244" i="11"/>
  <c r="G244" i="11"/>
  <c r="H244" i="11"/>
  <c r="I198" i="15"/>
  <c r="H198" i="15"/>
  <c r="G198" i="15"/>
  <c r="G147" i="15"/>
  <c r="H147" i="15"/>
  <c r="I147" i="15"/>
  <c r="K724" i="8"/>
  <c r="L724" i="8" s="1"/>
  <c r="G722" i="13" s="1"/>
  <c r="I724" i="8"/>
  <c r="H724" i="8"/>
  <c r="J724" i="8"/>
  <c r="J703" i="15"/>
  <c r="K703" i="15" s="1"/>
  <c r="K701" i="13" s="1"/>
  <c r="I703" i="15"/>
  <c r="H703" i="15"/>
  <c r="G703" i="15"/>
  <c r="I799" i="14"/>
  <c r="H799" i="14"/>
  <c r="J799" i="14"/>
  <c r="K799" i="14" s="1"/>
  <c r="J797" i="13" s="1"/>
  <c r="G799" i="14"/>
  <c r="G636" i="9"/>
  <c r="H636" i="9"/>
  <c r="I636" i="9"/>
  <c r="J636" i="9"/>
  <c r="K636" i="9" s="1"/>
  <c r="H634" i="13" s="1"/>
  <c r="J561" i="14"/>
  <c r="K561" i="14" s="1"/>
  <c r="J559" i="13" s="1"/>
  <c r="I561" i="14"/>
  <c r="H561" i="14"/>
  <c r="G561" i="14"/>
  <c r="J819" i="9"/>
  <c r="K819" i="9" s="1"/>
  <c r="H817" i="13" s="1"/>
  <c r="I819" i="9"/>
  <c r="H819" i="9"/>
  <c r="G819" i="9"/>
  <c r="G267" i="11"/>
  <c r="I267" i="11"/>
  <c r="H267" i="11"/>
  <c r="I166" i="11"/>
  <c r="H166" i="11"/>
  <c r="G166" i="11"/>
  <c r="G745" i="9"/>
  <c r="J745" i="9"/>
  <c r="K745" i="9" s="1"/>
  <c r="H743" i="13" s="1"/>
  <c r="I745" i="9"/>
  <c r="H745" i="9"/>
  <c r="J648" i="11"/>
  <c r="K648" i="11" s="1"/>
  <c r="I646" i="13" s="1"/>
  <c r="H648" i="11"/>
  <c r="I648" i="11"/>
  <c r="G648" i="11"/>
  <c r="H625" i="15"/>
  <c r="J625" i="15"/>
  <c r="K625" i="15" s="1"/>
  <c r="K623" i="13" s="1"/>
  <c r="I625" i="15"/>
  <c r="G625" i="15"/>
  <c r="G381" i="11"/>
  <c r="I381" i="11"/>
  <c r="H381" i="11"/>
  <c r="I163" i="15"/>
  <c r="H163" i="15"/>
  <c r="G163" i="15"/>
  <c r="J643" i="9"/>
  <c r="K643" i="9" s="1"/>
  <c r="H641" i="13" s="1"/>
  <c r="I643" i="9"/>
  <c r="G643" i="9"/>
  <c r="H643" i="9"/>
  <c r="G190" i="1"/>
  <c r="I190" i="1"/>
  <c r="H190" i="1"/>
  <c r="J190" i="1"/>
  <c r="H531" i="11"/>
  <c r="G531" i="11"/>
  <c r="J531" i="11"/>
  <c r="K531" i="11" s="1"/>
  <c r="I529" i="13" s="1"/>
  <c r="I531" i="11"/>
  <c r="H11" i="15"/>
  <c r="G11" i="15"/>
  <c r="I11" i="15"/>
  <c r="H777" i="9"/>
  <c r="I777" i="9"/>
  <c r="G777" i="9"/>
  <c r="J777" i="9"/>
  <c r="K777" i="9" s="1"/>
  <c r="H775" i="13" s="1"/>
  <c r="H297" i="14"/>
  <c r="I297" i="14"/>
  <c r="G297" i="14"/>
  <c r="G260" i="15"/>
  <c r="I260" i="15"/>
  <c r="H260" i="15"/>
  <c r="H108" i="15"/>
  <c r="G108" i="15"/>
  <c r="I108" i="15"/>
  <c r="I433" i="15"/>
  <c r="H433" i="15"/>
  <c r="G433" i="15"/>
  <c r="G399" i="14"/>
  <c r="I399" i="14"/>
  <c r="H399" i="14"/>
  <c r="J726" i="15"/>
  <c r="K726" i="15" s="1"/>
  <c r="K724" i="13" s="1"/>
  <c r="I726" i="15"/>
  <c r="H726" i="15"/>
  <c r="G726" i="15"/>
  <c r="J619" i="8"/>
  <c r="I619" i="8"/>
  <c r="H619" i="8"/>
  <c r="K619" i="8"/>
  <c r="L619" i="8" s="1"/>
  <c r="G617" i="13" s="1"/>
  <c r="J687" i="15"/>
  <c r="K687" i="15" s="1"/>
  <c r="K685" i="13" s="1"/>
  <c r="G687" i="15"/>
  <c r="I687" i="15"/>
  <c r="H687" i="15"/>
  <c r="J550" i="9"/>
  <c r="K550" i="9" s="1"/>
  <c r="H548" i="13" s="1"/>
  <c r="I550" i="9"/>
  <c r="G550" i="9"/>
  <c r="H550" i="9"/>
  <c r="J806" i="9"/>
  <c r="K806" i="9" s="1"/>
  <c r="H804" i="13" s="1"/>
  <c r="I806" i="9"/>
  <c r="H806" i="9"/>
  <c r="G806" i="9"/>
  <c r="I303" i="11"/>
  <c r="H303" i="11"/>
  <c r="G303" i="11"/>
  <c r="J685" i="1"/>
  <c r="G685" i="1"/>
  <c r="K685" i="1"/>
  <c r="I685" i="1"/>
  <c r="H685" i="1"/>
  <c r="I508" i="11"/>
  <c r="H508" i="11"/>
  <c r="G508" i="11"/>
  <c r="G142" i="1"/>
  <c r="I142" i="1"/>
  <c r="J142" i="1"/>
  <c r="H142" i="1"/>
  <c r="I212" i="1"/>
  <c r="J212" i="1"/>
  <c r="J697" i="14"/>
  <c r="K697" i="14" s="1"/>
  <c r="J695" i="13" s="1"/>
  <c r="I697" i="14"/>
  <c r="H697" i="14"/>
  <c r="G697" i="14"/>
  <c r="G277" i="11"/>
  <c r="I277" i="11"/>
  <c r="H277" i="11"/>
  <c r="G675" i="15"/>
  <c r="J675" i="15"/>
  <c r="K675" i="15" s="1"/>
  <c r="K673" i="13" s="1"/>
  <c r="I675" i="15"/>
  <c r="H675" i="15"/>
  <c r="J615" i="1"/>
  <c r="I615" i="1"/>
  <c r="H615" i="1"/>
  <c r="G615" i="1"/>
  <c r="K615" i="1"/>
  <c r="H515" i="11"/>
  <c r="I515" i="11"/>
  <c r="G515" i="11"/>
  <c r="H75" i="1"/>
  <c r="I75" i="1"/>
  <c r="G658" i="1"/>
  <c r="J658" i="1"/>
  <c r="I658" i="1"/>
  <c r="H658" i="1"/>
  <c r="K658" i="1"/>
  <c r="G828" i="9"/>
  <c r="J828" i="9"/>
  <c r="K828" i="9" s="1"/>
  <c r="H826" i="13" s="1"/>
  <c r="I828" i="9"/>
  <c r="H828" i="9"/>
  <c r="G622" i="14"/>
  <c r="J622" i="14"/>
  <c r="K622" i="14" s="1"/>
  <c r="J620" i="13" s="1"/>
  <c r="I622" i="14"/>
  <c r="H622" i="14"/>
  <c r="J716" i="14"/>
  <c r="K716" i="14" s="1"/>
  <c r="J714" i="13" s="1"/>
  <c r="I716" i="14"/>
  <c r="G716" i="14"/>
  <c r="H716" i="14"/>
  <c r="I575" i="15"/>
  <c r="J575" i="15"/>
  <c r="K575" i="15" s="1"/>
  <c r="K573" i="13" s="1"/>
  <c r="G575" i="15"/>
  <c r="H575" i="15"/>
  <c r="H251" i="14"/>
  <c r="G251" i="14"/>
  <c r="I251" i="14"/>
  <c r="I33" i="11"/>
  <c r="G33" i="11"/>
  <c r="H33" i="11"/>
  <c r="I396" i="11"/>
  <c r="H396" i="11"/>
  <c r="G396" i="11"/>
  <c r="I264" i="15"/>
  <c r="G264" i="15"/>
  <c r="H264" i="15"/>
  <c r="I552" i="14"/>
  <c r="J552" i="14"/>
  <c r="K552" i="14" s="1"/>
  <c r="J550" i="13" s="1"/>
  <c r="H552" i="14"/>
  <c r="G552" i="14"/>
  <c r="G451" i="11"/>
  <c r="H451" i="11"/>
  <c r="I451" i="11"/>
  <c r="I18" i="11"/>
  <c r="H18" i="11"/>
  <c r="G18" i="11"/>
  <c r="I704" i="14"/>
  <c r="J704" i="14"/>
  <c r="K704" i="14" s="1"/>
  <c r="J702" i="13" s="1"/>
  <c r="H704" i="14"/>
  <c r="G704" i="14"/>
  <c r="H804" i="15"/>
  <c r="G804" i="15"/>
  <c r="J804" i="15"/>
  <c r="K804" i="15" s="1"/>
  <c r="K802" i="13" s="1"/>
  <c r="I804" i="15"/>
  <c r="I694" i="9"/>
  <c r="H694" i="9"/>
  <c r="G694" i="9"/>
  <c r="J694" i="9"/>
  <c r="K694" i="9" s="1"/>
  <c r="H692" i="13" s="1"/>
  <c r="H772" i="15"/>
  <c r="G772" i="15"/>
  <c r="J772" i="15"/>
  <c r="K772" i="15" s="1"/>
  <c r="K770" i="13" s="1"/>
  <c r="I772" i="15"/>
  <c r="J441" i="1"/>
  <c r="I665" i="11"/>
  <c r="H665" i="11"/>
  <c r="G665" i="11"/>
  <c r="J665" i="11"/>
  <c r="K665" i="11" s="1"/>
  <c r="I663" i="13" s="1"/>
  <c r="H770" i="8"/>
  <c r="J770" i="8"/>
  <c r="I770" i="8"/>
  <c r="K770" i="8"/>
  <c r="L770" i="8" s="1"/>
  <c r="G768" i="13" s="1"/>
  <c r="I598" i="9"/>
  <c r="J598" i="9"/>
  <c r="K598" i="9" s="1"/>
  <c r="H596" i="13" s="1"/>
  <c r="G598" i="9"/>
  <c r="H598" i="9"/>
  <c r="J813" i="9"/>
  <c r="K813" i="9" s="1"/>
  <c r="H811" i="13" s="1"/>
  <c r="I813" i="9"/>
  <c r="H813" i="9"/>
  <c r="G813" i="9"/>
  <c r="J811" i="11"/>
  <c r="K811" i="11" s="1"/>
  <c r="I809" i="13" s="1"/>
  <c r="I811" i="11"/>
  <c r="H811" i="11"/>
  <c r="G811" i="11"/>
  <c r="I262" i="15"/>
  <c r="G262" i="15"/>
  <c r="H262" i="15"/>
  <c r="G855" i="11"/>
  <c r="J855" i="11"/>
  <c r="K855" i="11" s="1"/>
  <c r="I853" i="13" s="1"/>
  <c r="I855" i="11"/>
  <c r="H855" i="11"/>
  <c r="G590" i="11"/>
  <c r="J590" i="11"/>
  <c r="K590" i="11" s="1"/>
  <c r="I588" i="13" s="1"/>
  <c r="I590" i="11"/>
  <c r="H590" i="11"/>
  <c r="J826" i="11"/>
  <c r="K826" i="11" s="1"/>
  <c r="I824" i="13" s="1"/>
  <c r="I826" i="11"/>
  <c r="H826" i="11"/>
  <c r="G826" i="11"/>
  <c r="I520" i="11"/>
  <c r="G520" i="11"/>
  <c r="J520" i="11"/>
  <c r="K520" i="11" s="1"/>
  <c r="I518" i="13" s="1"/>
  <c r="H520" i="11"/>
  <c r="I90" i="15"/>
  <c r="H90" i="15"/>
  <c r="G90" i="15"/>
  <c r="I685" i="9"/>
  <c r="H685" i="9"/>
  <c r="J685" i="9"/>
  <c r="K685" i="9" s="1"/>
  <c r="H683" i="13" s="1"/>
  <c r="G685" i="9"/>
  <c r="I274" i="14"/>
  <c r="G274" i="14"/>
  <c r="H274" i="14"/>
  <c r="I458" i="15"/>
  <c r="H458" i="15"/>
  <c r="G458" i="15"/>
  <c r="I394" i="1"/>
  <c r="J394" i="1"/>
  <c r="I301" i="11"/>
  <c r="H301" i="11"/>
  <c r="G301" i="11"/>
  <c r="I678" i="11"/>
  <c r="H678" i="11"/>
  <c r="G678" i="11"/>
  <c r="J678" i="11"/>
  <c r="K678" i="11" s="1"/>
  <c r="I676" i="13" s="1"/>
  <c r="J856" i="14"/>
  <c r="K856" i="14" s="1"/>
  <c r="J854" i="13" s="1"/>
  <c r="I856" i="14"/>
  <c r="H856" i="14"/>
  <c r="G856" i="14"/>
  <c r="H835" i="15"/>
  <c r="J835" i="15"/>
  <c r="K835" i="15" s="1"/>
  <c r="K833" i="13" s="1"/>
  <c r="I835" i="15"/>
  <c r="G835" i="15"/>
  <c r="J809" i="15"/>
  <c r="K809" i="15" s="1"/>
  <c r="K807" i="13" s="1"/>
  <c r="G809" i="15"/>
  <c r="I809" i="15"/>
  <c r="H809" i="15"/>
  <c r="J788" i="14"/>
  <c r="K788" i="14" s="1"/>
  <c r="J786" i="13" s="1"/>
  <c r="I788" i="14"/>
  <c r="H788" i="14"/>
  <c r="G788" i="14"/>
  <c r="J771" i="11"/>
  <c r="K771" i="11" s="1"/>
  <c r="I769" i="13" s="1"/>
  <c r="I771" i="11"/>
  <c r="H771" i="11"/>
  <c r="G771" i="11"/>
  <c r="H695" i="8"/>
  <c r="K695" i="8"/>
  <c r="L695" i="8" s="1"/>
  <c r="G693" i="13" s="1"/>
  <c r="J695" i="8"/>
  <c r="I695" i="8"/>
  <c r="I591" i="14"/>
  <c r="H591" i="14"/>
  <c r="G591" i="14"/>
  <c r="J591" i="14"/>
  <c r="K591" i="14" s="1"/>
  <c r="J589" i="13" s="1"/>
  <c r="H583" i="9"/>
  <c r="G583" i="9"/>
  <c r="J583" i="9"/>
  <c r="K583" i="9" s="1"/>
  <c r="H581" i="13" s="1"/>
  <c r="I583" i="9"/>
  <c r="J568" i="11"/>
  <c r="K568" i="11" s="1"/>
  <c r="I566" i="13" s="1"/>
  <c r="G568" i="11"/>
  <c r="H568" i="11"/>
  <c r="I568" i="11"/>
  <c r="J534" i="15"/>
  <c r="K534" i="15" s="1"/>
  <c r="K532" i="13" s="1"/>
  <c r="I534" i="15"/>
  <c r="H534" i="15"/>
  <c r="G534" i="15"/>
  <c r="H477" i="11"/>
  <c r="I477" i="11"/>
  <c r="G477" i="11"/>
  <c r="H244" i="14"/>
  <c r="I244" i="14"/>
  <c r="G244" i="14"/>
  <c r="H724" i="9"/>
  <c r="G724" i="9"/>
  <c r="J724" i="9"/>
  <c r="K724" i="9" s="1"/>
  <c r="H722" i="13" s="1"/>
  <c r="I724" i="9"/>
  <c r="H799" i="15"/>
  <c r="G799" i="15"/>
  <c r="J799" i="15"/>
  <c r="K799" i="15" s="1"/>
  <c r="K797" i="13" s="1"/>
  <c r="I799" i="15"/>
  <c r="J636" i="14"/>
  <c r="K636" i="14" s="1"/>
  <c r="J634" i="13" s="1"/>
  <c r="H636" i="14"/>
  <c r="I636" i="14"/>
  <c r="G636" i="14"/>
  <c r="J561" i="15"/>
  <c r="K561" i="15" s="1"/>
  <c r="K559" i="13" s="1"/>
  <c r="H561" i="15"/>
  <c r="I561" i="15"/>
  <c r="G561" i="15"/>
  <c r="H484" i="14"/>
  <c r="G484" i="14"/>
  <c r="I484" i="14"/>
  <c r="H819" i="11"/>
  <c r="G819" i="11"/>
  <c r="J819" i="11"/>
  <c r="K819" i="11" s="1"/>
  <c r="I817" i="13" s="1"/>
  <c r="I819" i="11"/>
  <c r="K536" i="8"/>
  <c r="L536" i="8" s="1"/>
  <c r="G534" i="13" s="1"/>
  <c r="J536" i="8"/>
  <c r="I536" i="8"/>
  <c r="H536" i="8"/>
  <c r="I267" i="14"/>
  <c r="H267" i="14"/>
  <c r="G267" i="14"/>
  <c r="G166" i="14"/>
  <c r="I166" i="14"/>
  <c r="H166" i="14"/>
  <c r="J842" i="9"/>
  <c r="K842" i="9" s="1"/>
  <c r="H840" i="13" s="1"/>
  <c r="I842" i="9"/>
  <c r="H842" i="9"/>
  <c r="G842" i="9"/>
  <c r="H745" i="11"/>
  <c r="G745" i="11"/>
  <c r="I745" i="11"/>
  <c r="J745" i="11"/>
  <c r="K745" i="11" s="1"/>
  <c r="I743" i="13" s="1"/>
  <c r="J648" i="15"/>
  <c r="K648" i="15" s="1"/>
  <c r="K646" i="13" s="1"/>
  <c r="I648" i="15"/>
  <c r="G648" i="15"/>
  <c r="H648" i="15"/>
  <c r="J625" i="14"/>
  <c r="K625" i="14" s="1"/>
  <c r="J623" i="13" s="1"/>
  <c r="I625" i="14"/>
  <c r="H625" i="14"/>
  <c r="G625" i="14"/>
  <c r="I381" i="14"/>
  <c r="H381" i="14"/>
  <c r="G381" i="14"/>
  <c r="I80" i="1"/>
  <c r="J80" i="1"/>
  <c r="I28" i="11"/>
  <c r="H28" i="11"/>
  <c r="G28" i="11"/>
  <c r="I643" i="11"/>
  <c r="H643" i="11"/>
  <c r="G643" i="11"/>
  <c r="J643" i="11"/>
  <c r="K643" i="11" s="1"/>
  <c r="I641" i="13" s="1"/>
  <c r="J531" i="14"/>
  <c r="K531" i="14" s="1"/>
  <c r="J529" i="13" s="1"/>
  <c r="I531" i="14"/>
  <c r="G531" i="14"/>
  <c r="H531" i="14"/>
  <c r="I777" i="14"/>
  <c r="H777" i="14"/>
  <c r="G777" i="14"/>
  <c r="J777" i="14"/>
  <c r="K777" i="14" s="1"/>
  <c r="J775" i="13" s="1"/>
  <c r="I255" i="15"/>
  <c r="G255" i="15"/>
  <c r="H255" i="15"/>
  <c r="J533" i="9"/>
  <c r="K533" i="9" s="1"/>
  <c r="H531" i="13" s="1"/>
  <c r="I533" i="9"/>
  <c r="G533" i="9"/>
  <c r="H533" i="9"/>
  <c r="G297" i="15"/>
  <c r="I297" i="15"/>
  <c r="H297" i="15"/>
  <c r="I108" i="14"/>
  <c r="H108" i="14"/>
  <c r="G108" i="14"/>
  <c r="J726" i="14"/>
  <c r="K726" i="14" s="1"/>
  <c r="J724" i="13" s="1"/>
  <c r="H726" i="14"/>
  <c r="G726" i="14"/>
  <c r="I726" i="14"/>
  <c r="J619" i="9"/>
  <c r="K619" i="9" s="1"/>
  <c r="H617" i="13" s="1"/>
  <c r="I619" i="9"/>
  <c r="H619" i="9"/>
  <c r="G619" i="9"/>
  <c r="H687" i="14"/>
  <c r="I687" i="14"/>
  <c r="J687" i="14"/>
  <c r="K687" i="14" s="1"/>
  <c r="J685" i="13" s="1"/>
  <c r="G687" i="14"/>
  <c r="K550" i="8"/>
  <c r="L550" i="8" s="1"/>
  <c r="G548" i="13" s="1"/>
  <c r="J550" i="8"/>
  <c r="I550" i="8"/>
  <c r="H550" i="8"/>
  <c r="J806" i="8"/>
  <c r="K806" i="8"/>
  <c r="L806" i="8" s="1"/>
  <c r="G804" i="13" s="1"/>
  <c r="H806" i="8"/>
  <c r="I806" i="8"/>
  <c r="J736" i="9"/>
  <c r="K736" i="9" s="1"/>
  <c r="H734" i="13" s="1"/>
  <c r="I736" i="9"/>
  <c r="G736" i="9"/>
  <c r="H736" i="9"/>
  <c r="H303" i="15"/>
  <c r="G303" i="15"/>
  <c r="I303" i="15"/>
  <c r="G508" i="14"/>
  <c r="H508" i="14"/>
  <c r="I508" i="14"/>
  <c r="J697" i="15"/>
  <c r="K697" i="15" s="1"/>
  <c r="K695" i="13" s="1"/>
  <c r="I697" i="15"/>
  <c r="H697" i="15"/>
  <c r="G697" i="15"/>
  <c r="H277" i="14"/>
  <c r="G277" i="14"/>
  <c r="I277" i="14"/>
  <c r="J765" i="8"/>
  <c r="I765" i="8"/>
  <c r="H765" i="8"/>
  <c r="K765" i="8"/>
  <c r="L765" i="8" s="1"/>
  <c r="G763" i="13" s="1"/>
  <c r="I515" i="14"/>
  <c r="H515" i="14"/>
  <c r="G515" i="14"/>
  <c r="G285" i="11"/>
  <c r="I285" i="11"/>
  <c r="H285" i="11"/>
  <c r="G231" i="11"/>
  <c r="H231" i="11"/>
  <c r="I231" i="11"/>
  <c r="I177" i="15"/>
  <c r="H177" i="15"/>
  <c r="G177" i="15"/>
  <c r="G75" i="11"/>
  <c r="H75" i="11"/>
  <c r="I75" i="11"/>
  <c r="J658" i="8"/>
  <c r="K658" i="8"/>
  <c r="L658" i="8" s="1"/>
  <c r="G656" i="13" s="1"/>
  <c r="H658" i="8"/>
  <c r="I658" i="8"/>
  <c r="J828" i="8"/>
  <c r="K828" i="8"/>
  <c r="L828" i="8" s="1"/>
  <c r="G826" i="13" s="1"/>
  <c r="I828" i="8"/>
  <c r="H828" i="8"/>
  <c r="J622" i="15"/>
  <c r="K622" i="15" s="1"/>
  <c r="K620" i="13" s="1"/>
  <c r="G622" i="15"/>
  <c r="I622" i="15"/>
  <c r="H622" i="15"/>
  <c r="H768" i="8"/>
  <c r="J768" i="8"/>
  <c r="I768" i="8"/>
  <c r="K768" i="8"/>
  <c r="L768" i="8" s="1"/>
  <c r="G766" i="13" s="1"/>
  <c r="H716" i="15"/>
  <c r="G716" i="15"/>
  <c r="J716" i="15"/>
  <c r="K716" i="15" s="1"/>
  <c r="K714" i="13" s="1"/>
  <c r="I716" i="15"/>
  <c r="G251" i="15"/>
  <c r="I251" i="15"/>
  <c r="H251" i="15"/>
  <c r="G33" i="14"/>
  <c r="I33" i="14"/>
  <c r="H33" i="14"/>
  <c r="G316" i="15"/>
  <c r="I316" i="15"/>
  <c r="H316" i="15"/>
  <c r="I44" i="1"/>
  <c r="J44" i="1"/>
  <c r="I396" i="14"/>
  <c r="G396" i="14"/>
  <c r="H396" i="14"/>
  <c r="J552" i="15"/>
  <c r="K552" i="15" s="1"/>
  <c r="K550" i="13" s="1"/>
  <c r="H552" i="15"/>
  <c r="I552" i="15"/>
  <c r="G552" i="15"/>
  <c r="I451" i="14"/>
  <c r="H451" i="14"/>
  <c r="G451" i="14"/>
  <c r="H365" i="11"/>
  <c r="I365" i="11"/>
  <c r="G365" i="11"/>
  <c r="G704" i="15"/>
  <c r="J704" i="15"/>
  <c r="K704" i="15" s="1"/>
  <c r="K702" i="13" s="1"/>
  <c r="I704" i="15"/>
  <c r="H704" i="15"/>
  <c r="J694" i="11"/>
  <c r="K694" i="11" s="1"/>
  <c r="I692" i="13" s="1"/>
  <c r="I694" i="11"/>
  <c r="H694" i="11"/>
  <c r="G694" i="11"/>
  <c r="I66" i="14"/>
  <c r="H66" i="14"/>
  <c r="G66" i="14"/>
  <c r="G770" i="11"/>
  <c r="I770" i="11"/>
  <c r="H770" i="11"/>
  <c r="J770" i="11"/>
  <c r="K770" i="11" s="1"/>
  <c r="I768" i="13" s="1"/>
  <c r="J598" i="11"/>
  <c r="K598" i="11" s="1"/>
  <c r="I596" i="13" s="1"/>
  <c r="I598" i="11"/>
  <c r="H598" i="11"/>
  <c r="G598" i="11"/>
  <c r="H813" i="11"/>
  <c r="I813" i="11"/>
  <c r="J813" i="11"/>
  <c r="K813" i="11" s="1"/>
  <c r="I811" i="13" s="1"/>
  <c r="G813" i="11"/>
  <c r="I77" i="15"/>
  <c r="H77" i="15"/>
  <c r="G77" i="15"/>
  <c r="J811" i="14"/>
  <c r="K811" i="14" s="1"/>
  <c r="J809" i="13" s="1"/>
  <c r="I811" i="14"/>
  <c r="H811" i="14"/>
  <c r="G811" i="14"/>
  <c r="I371" i="11"/>
  <c r="H371" i="11"/>
  <c r="G371" i="11"/>
  <c r="I330" i="14"/>
  <c r="H330" i="14"/>
  <c r="G330" i="14"/>
  <c r="G855" i="15"/>
  <c r="H855" i="15"/>
  <c r="I855" i="15"/>
  <c r="J855" i="15"/>
  <c r="K855" i="15" s="1"/>
  <c r="K853" i="13" s="1"/>
  <c r="G590" i="14"/>
  <c r="J590" i="14"/>
  <c r="K590" i="14" s="1"/>
  <c r="J588" i="13" s="1"/>
  <c r="I590" i="14"/>
  <c r="H590" i="14"/>
  <c r="J826" i="14"/>
  <c r="K826" i="14" s="1"/>
  <c r="J824" i="13" s="1"/>
  <c r="G826" i="14"/>
  <c r="I826" i="14"/>
  <c r="H826" i="14"/>
  <c r="J520" i="14"/>
  <c r="K520" i="14" s="1"/>
  <c r="J518" i="13" s="1"/>
  <c r="G520" i="14"/>
  <c r="H520" i="14"/>
  <c r="I520" i="14"/>
  <c r="H685" i="11"/>
  <c r="I685" i="11"/>
  <c r="J685" i="11"/>
  <c r="K685" i="11" s="1"/>
  <c r="I683" i="13" s="1"/>
  <c r="G685" i="11"/>
  <c r="H158" i="1"/>
  <c r="G158" i="1"/>
  <c r="H834" i="8"/>
  <c r="K834" i="8"/>
  <c r="L834" i="8" s="1"/>
  <c r="G832" i="13" s="1"/>
  <c r="J834" i="8"/>
  <c r="I834" i="8"/>
  <c r="I508" i="15"/>
  <c r="H508" i="15"/>
  <c r="G508" i="15"/>
  <c r="I142" i="11"/>
  <c r="H142" i="11"/>
  <c r="G142" i="11"/>
  <c r="I340" i="11"/>
  <c r="H340" i="11"/>
  <c r="G340" i="11"/>
  <c r="I277" i="15"/>
  <c r="G277" i="15"/>
  <c r="H277" i="15"/>
  <c r="G765" i="9"/>
  <c r="H765" i="9"/>
  <c r="J765" i="9"/>
  <c r="K765" i="9" s="1"/>
  <c r="H763" i="13" s="1"/>
  <c r="I765" i="9"/>
  <c r="I515" i="15"/>
  <c r="G515" i="15"/>
  <c r="H515" i="15"/>
  <c r="H285" i="15"/>
  <c r="G285" i="15"/>
  <c r="I285" i="15"/>
  <c r="J658" i="9"/>
  <c r="K658" i="9" s="1"/>
  <c r="H656" i="13" s="1"/>
  <c r="I658" i="9"/>
  <c r="H658" i="9"/>
  <c r="G658" i="9"/>
  <c r="G828" i="14"/>
  <c r="J828" i="14"/>
  <c r="K828" i="14" s="1"/>
  <c r="J826" i="13" s="1"/>
  <c r="I828" i="14"/>
  <c r="H828" i="14"/>
  <c r="J768" i="14"/>
  <c r="K768" i="14" s="1"/>
  <c r="J766" i="13" s="1"/>
  <c r="I768" i="14"/>
  <c r="H768" i="14"/>
  <c r="G768" i="14"/>
  <c r="I33" i="15"/>
  <c r="G33" i="15"/>
  <c r="H33" i="15"/>
  <c r="I316" i="11"/>
  <c r="H316" i="11"/>
  <c r="G316" i="11"/>
  <c r="I396" i="15"/>
  <c r="H396" i="15"/>
  <c r="G396" i="15"/>
  <c r="K605" i="1"/>
  <c r="H605" i="1"/>
  <c r="J605" i="1"/>
  <c r="I605" i="1"/>
  <c r="G365" i="14"/>
  <c r="I365" i="14"/>
  <c r="H365" i="14"/>
  <c r="H18" i="14"/>
  <c r="G18" i="14"/>
  <c r="I18" i="14"/>
  <c r="K804" i="1"/>
  <c r="M804" i="1" s="1"/>
  <c r="Q804" i="1" s="1"/>
  <c r="F802" i="13" s="1"/>
  <c r="I804" i="1"/>
  <c r="J694" i="14"/>
  <c r="K694" i="14" s="1"/>
  <c r="J692" i="13" s="1"/>
  <c r="I694" i="14"/>
  <c r="G694" i="14"/>
  <c r="H694" i="14"/>
  <c r="H66" i="15"/>
  <c r="G66" i="15"/>
  <c r="I66" i="15"/>
  <c r="J770" i="14"/>
  <c r="K770" i="14" s="1"/>
  <c r="J768" i="13" s="1"/>
  <c r="I770" i="14"/>
  <c r="G770" i="14"/>
  <c r="H770" i="14"/>
  <c r="G598" i="14"/>
  <c r="H598" i="14"/>
  <c r="J598" i="14"/>
  <c r="K598" i="14" s="1"/>
  <c r="J596" i="13" s="1"/>
  <c r="I598" i="14"/>
  <c r="G813" i="14"/>
  <c r="J813" i="14"/>
  <c r="K813" i="14" s="1"/>
  <c r="J811" i="13" s="1"/>
  <c r="I813" i="14"/>
  <c r="H813" i="14"/>
  <c r="I77" i="14"/>
  <c r="H77" i="14"/>
  <c r="G77" i="14"/>
  <c r="J811" i="15"/>
  <c r="K811" i="15" s="1"/>
  <c r="K809" i="13" s="1"/>
  <c r="I811" i="15"/>
  <c r="H811" i="15"/>
  <c r="G811" i="15"/>
  <c r="J653" i="8"/>
  <c r="I653" i="8"/>
  <c r="K653" i="8"/>
  <c r="L653" i="8" s="1"/>
  <c r="G651" i="13" s="1"/>
  <c r="H653" i="8"/>
  <c r="I330" i="15"/>
  <c r="H330" i="15"/>
  <c r="G330" i="15"/>
  <c r="J262" i="1"/>
  <c r="G85" i="15"/>
  <c r="I85" i="15"/>
  <c r="H85" i="15"/>
  <c r="I590" i="15"/>
  <c r="J590" i="15"/>
  <c r="K590" i="15" s="1"/>
  <c r="K588" i="13" s="1"/>
  <c r="G590" i="15"/>
  <c r="H590" i="15"/>
  <c r="G9" i="11"/>
  <c r="I9" i="11"/>
  <c r="H9" i="11"/>
  <c r="J826" i="15"/>
  <c r="K826" i="15" s="1"/>
  <c r="K824" i="13" s="1"/>
  <c r="H826" i="15"/>
  <c r="G826" i="15"/>
  <c r="I826" i="15"/>
  <c r="J90" i="1"/>
  <c r="J685" i="15"/>
  <c r="K685" i="15" s="1"/>
  <c r="K683" i="13" s="1"/>
  <c r="G685" i="15"/>
  <c r="I685" i="15"/>
  <c r="H685" i="15"/>
  <c r="H274" i="11"/>
  <c r="G274" i="11"/>
  <c r="I274" i="11"/>
  <c r="I834" i="11"/>
  <c r="H834" i="11"/>
  <c r="G834" i="11"/>
  <c r="J834" i="11"/>
  <c r="K834" i="11" s="1"/>
  <c r="I832" i="13" s="1"/>
  <c r="G183" i="14"/>
  <c r="I183" i="14"/>
  <c r="H183" i="14"/>
  <c r="H91" i="14"/>
  <c r="G91" i="14"/>
  <c r="I91" i="14"/>
  <c r="I45" i="15"/>
  <c r="H45" i="15"/>
  <c r="G45" i="15"/>
  <c r="I19" i="15"/>
  <c r="H19" i="15"/>
  <c r="G19" i="15"/>
  <c r="G86" i="14"/>
  <c r="I86" i="14"/>
  <c r="H86" i="14"/>
  <c r="I67" i="15"/>
  <c r="H67" i="15"/>
  <c r="G67" i="15"/>
  <c r="G673" i="9"/>
  <c r="J673" i="9"/>
  <c r="K673" i="9" s="1"/>
  <c r="H671" i="13" s="1"/>
  <c r="I673" i="9"/>
  <c r="H673" i="9"/>
  <c r="J573" i="9"/>
  <c r="K573" i="9" s="1"/>
  <c r="H571" i="13" s="1"/>
  <c r="I573" i="9"/>
  <c r="H573" i="9"/>
  <c r="G573" i="9"/>
  <c r="I326" i="15"/>
  <c r="H326" i="15"/>
  <c r="G326" i="15"/>
  <c r="I350" i="11"/>
  <c r="H350" i="11"/>
  <c r="G350" i="11"/>
  <c r="I7" i="14"/>
  <c r="H7" i="14"/>
  <c r="G7" i="14"/>
  <c r="G458" i="1"/>
  <c r="I458" i="1"/>
  <c r="H458" i="1"/>
  <c r="I678" i="15"/>
  <c r="H678" i="15"/>
  <c r="G678" i="15"/>
  <c r="J678" i="15"/>
  <c r="K678" i="15" s="1"/>
  <c r="K676" i="13" s="1"/>
  <c r="G771" i="15"/>
  <c r="H771" i="15"/>
  <c r="J771" i="15"/>
  <c r="K771" i="15" s="1"/>
  <c r="K769" i="13" s="1"/>
  <c r="I771" i="15"/>
  <c r="I695" i="14"/>
  <c r="J695" i="14"/>
  <c r="K695" i="14" s="1"/>
  <c r="J693" i="13" s="1"/>
  <c r="H695" i="14"/>
  <c r="G695" i="14"/>
  <c r="J663" i="9"/>
  <c r="K663" i="9" s="1"/>
  <c r="H661" i="13" s="1"/>
  <c r="G663" i="9"/>
  <c r="I663" i="9"/>
  <c r="H663" i="9"/>
  <c r="J583" i="15"/>
  <c r="K583" i="15" s="1"/>
  <c r="K581" i="13" s="1"/>
  <c r="I583" i="15"/>
  <c r="H583" i="15"/>
  <c r="G583" i="15"/>
  <c r="G568" i="15"/>
  <c r="J568" i="15"/>
  <c r="K568" i="15" s="1"/>
  <c r="K566" i="13" s="1"/>
  <c r="I568" i="15"/>
  <c r="H568" i="15"/>
  <c r="G516" i="11"/>
  <c r="I516" i="11"/>
  <c r="H516" i="11"/>
  <c r="I477" i="14"/>
  <c r="H477" i="14"/>
  <c r="G477" i="14"/>
  <c r="I382" i="11"/>
  <c r="H382" i="11"/>
  <c r="G382" i="11"/>
  <c r="G278" i="14"/>
  <c r="I278" i="14"/>
  <c r="H278" i="14"/>
  <c r="H724" i="14"/>
  <c r="G724" i="14"/>
  <c r="J724" i="14"/>
  <c r="K724" i="14" s="1"/>
  <c r="J722" i="13" s="1"/>
  <c r="I724" i="14"/>
  <c r="G676" i="9"/>
  <c r="J676" i="9"/>
  <c r="K676" i="9" s="1"/>
  <c r="H674" i="13" s="1"/>
  <c r="I676" i="9"/>
  <c r="H676" i="9"/>
  <c r="G636" i="11"/>
  <c r="J636" i="11"/>
  <c r="K636" i="11" s="1"/>
  <c r="I634" i="13" s="1"/>
  <c r="I636" i="11"/>
  <c r="H636" i="11"/>
  <c r="G561" i="1"/>
  <c r="K561" i="1"/>
  <c r="J561" i="1"/>
  <c r="I561" i="1"/>
  <c r="H561" i="1"/>
  <c r="G484" i="11"/>
  <c r="I484" i="11"/>
  <c r="H484" i="11"/>
  <c r="H431" i="11"/>
  <c r="G431" i="11"/>
  <c r="I431" i="11"/>
  <c r="I113" i="11"/>
  <c r="H113" i="11"/>
  <c r="G113" i="11"/>
  <c r="J742" i="9"/>
  <c r="K742" i="9" s="1"/>
  <c r="H740" i="13" s="1"/>
  <c r="I742" i="9"/>
  <c r="H742" i="9"/>
  <c r="G742" i="9"/>
  <c r="G486" i="11"/>
  <c r="H486" i="11"/>
  <c r="I486" i="11"/>
  <c r="H360" i="14"/>
  <c r="G360" i="14"/>
  <c r="I360" i="14"/>
  <c r="J819" i="15"/>
  <c r="K819" i="15" s="1"/>
  <c r="K817" i="13" s="1"/>
  <c r="I819" i="15"/>
  <c r="H819" i="15"/>
  <c r="G819" i="15"/>
  <c r="J536" i="9"/>
  <c r="K536" i="9" s="1"/>
  <c r="H534" i="13" s="1"/>
  <c r="G536" i="9"/>
  <c r="I536" i="9"/>
  <c r="H536" i="9"/>
  <c r="K842" i="8"/>
  <c r="L842" i="8" s="1"/>
  <c r="G840" i="13" s="1"/>
  <c r="J842" i="8"/>
  <c r="I842" i="8"/>
  <c r="H842" i="8"/>
  <c r="J745" i="15"/>
  <c r="K745" i="15" s="1"/>
  <c r="K743" i="13" s="1"/>
  <c r="I745" i="15"/>
  <c r="H745" i="15"/>
  <c r="G745" i="15"/>
  <c r="H567" i="8"/>
  <c r="I567" i="8"/>
  <c r="K567" i="8"/>
  <c r="L567" i="8" s="1"/>
  <c r="G565" i="13" s="1"/>
  <c r="J567" i="8"/>
  <c r="H80" i="11"/>
  <c r="I80" i="11"/>
  <c r="G80" i="11"/>
  <c r="I28" i="14"/>
  <c r="H28" i="14"/>
  <c r="G28" i="14"/>
  <c r="J643" i="15"/>
  <c r="K643" i="15" s="1"/>
  <c r="K641" i="13" s="1"/>
  <c r="I643" i="15"/>
  <c r="H643" i="15"/>
  <c r="G643" i="15"/>
  <c r="I190" i="11"/>
  <c r="H190" i="11"/>
  <c r="G190" i="11"/>
  <c r="H26" i="14"/>
  <c r="G26" i="14"/>
  <c r="I26" i="14"/>
  <c r="H533" i="11"/>
  <c r="G533" i="11"/>
  <c r="J533" i="11"/>
  <c r="K533" i="11" s="1"/>
  <c r="I531" i="13" s="1"/>
  <c r="I533" i="11"/>
  <c r="H108" i="1"/>
  <c r="I108" i="1"/>
  <c r="G108" i="1"/>
  <c r="J108" i="1"/>
  <c r="J823" i="9"/>
  <c r="K823" i="9" s="1"/>
  <c r="H821" i="13" s="1"/>
  <c r="I823" i="9"/>
  <c r="H823" i="9"/>
  <c r="G823" i="9"/>
  <c r="I349" i="14"/>
  <c r="H349" i="14"/>
  <c r="G349" i="14"/>
  <c r="I726" i="1"/>
  <c r="J726" i="1"/>
  <c r="G613" i="9"/>
  <c r="J613" i="9"/>
  <c r="K613" i="9" s="1"/>
  <c r="H611" i="13" s="1"/>
  <c r="I613" i="9"/>
  <c r="H613" i="9"/>
  <c r="G619" i="11"/>
  <c r="J619" i="11"/>
  <c r="K619" i="11" s="1"/>
  <c r="I617" i="13" s="1"/>
  <c r="I619" i="11"/>
  <c r="H619" i="11"/>
  <c r="G687" i="1"/>
  <c r="J687" i="1"/>
  <c r="I687" i="1"/>
  <c r="J550" i="14"/>
  <c r="K550" i="14" s="1"/>
  <c r="J548" i="13" s="1"/>
  <c r="H550" i="14"/>
  <c r="G550" i="14"/>
  <c r="I550" i="14"/>
  <c r="I806" i="15"/>
  <c r="H806" i="15"/>
  <c r="G806" i="15"/>
  <c r="J806" i="15"/>
  <c r="K806" i="15" s="1"/>
  <c r="K804" i="13" s="1"/>
  <c r="H736" i="11"/>
  <c r="G736" i="11"/>
  <c r="J736" i="11"/>
  <c r="K736" i="11" s="1"/>
  <c r="I734" i="13" s="1"/>
  <c r="I736" i="11"/>
  <c r="G300" i="11"/>
  <c r="I300" i="11"/>
  <c r="H300" i="11"/>
  <c r="I282" i="14"/>
  <c r="H282" i="14"/>
  <c r="G282" i="14"/>
  <c r="G6" i="11"/>
  <c r="H6" i="11"/>
  <c r="I6" i="11"/>
  <c r="J765" i="11"/>
  <c r="K765" i="11" s="1"/>
  <c r="I763" i="13" s="1"/>
  <c r="I765" i="11"/>
  <c r="H765" i="11"/>
  <c r="G765" i="11"/>
  <c r="G285" i="14"/>
  <c r="I285" i="14"/>
  <c r="H285" i="14"/>
  <c r="I231" i="15"/>
  <c r="H231" i="15"/>
  <c r="G231" i="15"/>
  <c r="I177" i="11"/>
  <c r="G177" i="11"/>
  <c r="H177" i="11"/>
  <c r="J658" i="11"/>
  <c r="K658" i="11" s="1"/>
  <c r="I656" i="13" s="1"/>
  <c r="I658" i="11"/>
  <c r="H658" i="11"/>
  <c r="G658" i="11"/>
  <c r="G828" i="11"/>
  <c r="J828" i="11"/>
  <c r="K828" i="11" s="1"/>
  <c r="I826" i="13" s="1"/>
  <c r="I828" i="11"/>
  <c r="H828" i="11"/>
  <c r="H768" i="9"/>
  <c r="G768" i="9"/>
  <c r="J768" i="9"/>
  <c r="K768" i="9" s="1"/>
  <c r="H766" i="13" s="1"/>
  <c r="I768" i="9"/>
  <c r="J251" i="1"/>
  <c r="I251" i="1"/>
  <c r="G316" i="14"/>
  <c r="H316" i="14"/>
  <c r="I316" i="14"/>
  <c r="I605" i="8"/>
  <c r="H605" i="8"/>
  <c r="J605" i="8"/>
  <c r="K605" i="8"/>
  <c r="L605" i="8" s="1"/>
  <c r="G603" i="13" s="1"/>
  <c r="H552" i="1"/>
  <c r="J552" i="1"/>
  <c r="K552" i="1"/>
  <c r="I552" i="1"/>
  <c r="G365" i="15"/>
  <c r="H365" i="15"/>
  <c r="I365" i="15"/>
  <c r="G18" i="15"/>
  <c r="H18" i="15"/>
  <c r="I18" i="15"/>
  <c r="I694" i="15"/>
  <c r="H694" i="15"/>
  <c r="G694" i="15"/>
  <c r="J694" i="15"/>
  <c r="K694" i="15" s="1"/>
  <c r="K692" i="13" s="1"/>
  <c r="I546" i="8"/>
  <c r="H546" i="8"/>
  <c r="K546" i="8"/>
  <c r="L546" i="8" s="1"/>
  <c r="G544" i="13" s="1"/>
  <c r="J546" i="8"/>
  <c r="I21" i="11"/>
  <c r="H21" i="11"/>
  <c r="G21" i="11"/>
  <c r="J770" i="15"/>
  <c r="K770" i="15" s="1"/>
  <c r="K768" i="13" s="1"/>
  <c r="I770" i="15"/>
  <c r="H770" i="15"/>
  <c r="G770" i="15"/>
  <c r="H465" i="14"/>
  <c r="G465" i="14"/>
  <c r="I465" i="14"/>
  <c r="J598" i="15"/>
  <c r="K598" i="15" s="1"/>
  <c r="K596" i="13" s="1"/>
  <c r="H598" i="15"/>
  <c r="G598" i="15"/>
  <c r="I598" i="15"/>
  <c r="J813" i="15"/>
  <c r="K813" i="15" s="1"/>
  <c r="K811" i="13" s="1"/>
  <c r="I813" i="15"/>
  <c r="H813" i="15"/>
  <c r="G813" i="15"/>
  <c r="H653" i="11"/>
  <c r="J653" i="11"/>
  <c r="K653" i="11" s="1"/>
  <c r="I651" i="13" s="1"/>
  <c r="I653" i="11"/>
  <c r="G653" i="11"/>
  <c r="H371" i="14"/>
  <c r="G371" i="14"/>
  <c r="I371" i="14"/>
  <c r="I85" i="11"/>
  <c r="H85" i="11"/>
  <c r="G85" i="11"/>
  <c r="J808" i="8"/>
  <c r="I808" i="8"/>
  <c r="H808" i="8"/>
  <c r="K808" i="8"/>
  <c r="L808" i="8" s="1"/>
  <c r="G806" i="13" s="1"/>
  <c r="I685" i="14"/>
  <c r="H685" i="14"/>
  <c r="J685" i="14"/>
  <c r="K685" i="14" s="1"/>
  <c r="J683" i="13" s="1"/>
  <c r="G685" i="14"/>
  <c r="H274" i="15"/>
  <c r="I274" i="15"/>
  <c r="G274" i="15"/>
  <c r="J834" i="9"/>
  <c r="K834" i="9" s="1"/>
  <c r="H832" i="13" s="1"/>
  <c r="I834" i="9"/>
  <c r="H834" i="9"/>
  <c r="G834" i="9"/>
  <c r="I158" i="11"/>
  <c r="H158" i="11"/>
  <c r="G158" i="11"/>
  <c r="N733" i="1"/>
  <c r="P733" i="1"/>
  <c r="Q733" i="1"/>
  <c r="F731" i="13" s="1"/>
  <c r="O733" i="1"/>
  <c r="N781" i="1"/>
  <c r="O781" i="1"/>
  <c r="Q781" i="1"/>
  <c r="F779" i="13" s="1"/>
  <c r="P781" i="1"/>
  <c r="Q546" i="1"/>
  <c r="F544" i="13" s="1"/>
  <c r="P546" i="1"/>
  <c r="O546" i="1"/>
  <c r="N546" i="1"/>
  <c r="O764" i="1"/>
  <c r="Q764" i="1"/>
  <c r="F762" i="13" s="1"/>
  <c r="P764" i="1"/>
  <c r="N764" i="1"/>
  <c r="M756" i="1"/>
  <c r="M677" i="1"/>
  <c r="Q847" i="1"/>
  <c r="F845" i="13" s="1"/>
  <c r="P847" i="1"/>
  <c r="N847" i="1"/>
  <c r="O847" i="1"/>
  <c r="M633" i="1"/>
  <c r="M597" i="1"/>
  <c r="Q795" i="1"/>
  <c r="F793" i="13" s="1"/>
  <c r="P795" i="1"/>
  <c r="O795" i="1"/>
  <c r="N795" i="1"/>
  <c r="M614" i="1"/>
  <c r="M519" i="1"/>
  <c r="M833" i="1"/>
  <c r="M653" i="1"/>
  <c r="M728" i="1"/>
  <c r="N749" i="1"/>
  <c r="Q749" i="1"/>
  <c r="F747" i="13" s="1"/>
  <c r="O749" i="1"/>
  <c r="P749" i="1"/>
  <c r="M594" i="1"/>
  <c r="M816" i="1"/>
  <c r="M576" i="1"/>
  <c r="M537" i="1"/>
  <c r="M611" i="1"/>
  <c r="M592" i="1"/>
  <c r="M608" i="1"/>
  <c r="M575" i="1"/>
  <c r="M523" i="1"/>
  <c r="M768" i="1"/>
  <c r="Q679" i="1"/>
  <c r="F677" i="13" s="1"/>
  <c r="O679" i="1"/>
  <c r="M521" i="1"/>
  <c r="M782" i="1"/>
  <c r="N707" i="1"/>
  <c r="P707" i="1"/>
  <c r="Q707" i="1"/>
  <c r="F705" i="13" s="1"/>
  <c r="L705" i="13" s="1"/>
  <c r="O707" i="1"/>
  <c r="M859" i="1"/>
  <c r="M598" i="1"/>
  <c r="M852" i="1"/>
  <c r="N566" i="1"/>
  <c r="M528" i="1"/>
  <c r="M648" i="1" l="1"/>
  <c r="L779" i="13"/>
  <c r="L747" i="13"/>
  <c r="L762" i="13"/>
  <c r="L845" i="13"/>
  <c r="L731" i="13"/>
  <c r="P836" i="1"/>
  <c r="L765" i="13"/>
  <c r="L643" i="13"/>
  <c r="L632" i="13"/>
  <c r="L578" i="13"/>
  <c r="L768" i="13"/>
  <c r="L699" i="13"/>
  <c r="L782" i="13"/>
  <c r="L759" i="13"/>
  <c r="K390" i="1"/>
  <c r="L677" i="13"/>
  <c r="L616" i="13"/>
  <c r="L700" i="13"/>
  <c r="L644" i="13"/>
  <c r="L564" i="13"/>
  <c r="L686" i="13"/>
  <c r="K322" i="1"/>
  <c r="L665" i="13"/>
  <c r="L668" i="13"/>
  <c r="L622" i="13"/>
  <c r="L520" i="13"/>
  <c r="L598" i="13"/>
  <c r="L840" i="13"/>
  <c r="L642" i="13"/>
  <c r="L593" i="13"/>
  <c r="L793" i="13"/>
  <c r="L544" i="13"/>
  <c r="L553" i="13"/>
  <c r="L802" i="13"/>
  <c r="L579" i="13"/>
  <c r="K325" i="1"/>
  <c r="K180" i="1"/>
  <c r="K329" i="1"/>
  <c r="O587" i="1"/>
  <c r="N587" i="1"/>
  <c r="Q587" i="1"/>
  <c r="F585" i="13" s="1"/>
  <c r="L585" i="13" s="1"/>
  <c r="N679" i="1"/>
  <c r="K361" i="1"/>
  <c r="K8" i="1"/>
  <c r="K10" i="1"/>
  <c r="K225" i="1"/>
  <c r="K379" i="1"/>
  <c r="K23" i="1"/>
  <c r="K375" i="1"/>
  <c r="K229" i="1"/>
  <c r="K402" i="1"/>
  <c r="K66" i="1"/>
  <c r="K264" i="1"/>
  <c r="K6" i="1"/>
  <c r="K314" i="1"/>
  <c r="K236" i="1"/>
  <c r="K77" i="1"/>
  <c r="K289" i="1"/>
  <c r="K38" i="1"/>
  <c r="K431" i="1"/>
  <c r="K313" i="1"/>
  <c r="K222" i="1"/>
  <c r="K106" i="1"/>
  <c r="K383" i="1"/>
  <c r="K125" i="1"/>
  <c r="K258" i="1"/>
  <c r="K7" i="1"/>
  <c r="K331" i="1"/>
  <c r="Q836" i="1"/>
  <c r="F834" i="13" s="1"/>
  <c r="L834" i="13" s="1"/>
  <c r="O644" i="1"/>
  <c r="P644" i="1"/>
  <c r="O836" i="1"/>
  <c r="N644" i="1"/>
  <c r="P600" i="1"/>
  <c r="K15" i="1"/>
  <c r="K72" i="1"/>
  <c r="K279" i="1"/>
  <c r="K88" i="1"/>
  <c r="K134" i="1"/>
  <c r="K303" i="1"/>
  <c r="K224" i="1"/>
  <c r="K28" i="1"/>
  <c r="K391" i="1"/>
  <c r="K100" i="1"/>
  <c r="K351" i="1"/>
  <c r="K433" i="1"/>
  <c r="K333" i="1"/>
  <c r="K96" i="1"/>
  <c r="K334" i="1"/>
  <c r="K278" i="1"/>
  <c r="K161" i="1"/>
  <c r="K231" i="1"/>
  <c r="K411" i="1"/>
  <c r="K421" i="1"/>
  <c r="K294" i="1"/>
  <c r="K392" i="1"/>
  <c r="K281" i="1"/>
  <c r="K418" i="1"/>
  <c r="K382" i="1"/>
  <c r="K128" i="1"/>
  <c r="K406" i="1"/>
  <c r="K95" i="1"/>
  <c r="K249" i="1"/>
  <c r="K217" i="1"/>
  <c r="K136" i="1"/>
  <c r="K321" i="1"/>
  <c r="K343" i="1"/>
  <c r="K167" i="1"/>
  <c r="P566" i="1"/>
  <c r="O566" i="1"/>
  <c r="O655" i="1"/>
  <c r="Q655" i="1"/>
  <c r="F653" i="13" s="1"/>
  <c r="L653" i="13" s="1"/>
  <c r="N655" i="1"/>
  <c r="N670" i="1"/>
  <c r="N694" i="1"/>
  <c r="Q694" i="1"/>
  <c r="F692" i="13" s="1"/>
  <c r="L692" i="13" s="1"/>
  <c r="K372" i="1"/>
  <c r="K198" i="1"/>
  <c r="K326" i="1"/>
  <c r="K408" i="1"/>
  <c r="K354" i="1"/>
  <c r="K184" i="1"/>
  <c r="N646" i="1"/>
  <c r="K153" i="1"/>
  <c r="K14" i="1"/>
  <c r="K24" i="1"/>
  <c r="K63" i="1"/>
  <c r="K242" i="1"/>
  <c r="K304" i="1"/>
  <c r="K195" i="1"/>
  <c r="K271" i="1"/>
  <c r="K151" i="1"/>
  <c r="K352" i="1"/>
  <c r="K171" i="1"/>
  <c r="P646" i="1"/>
  <c r="K256" i="1"/>
  <c r="K291" i="1"/>
  <c r="K348" i="1"/>
  <c r="K163" i="1"/>
  <c r="K422" i="1"/>
  <c r="K187" i="1"/>
  <c r="K193" i="1"/>
  <c r="K434" i="1"/>
  <c r="P580" i="1"/>
  <c r="N580" i="1"/>
  <c r="Q711" i="1"/>
  <c r="F709" i="13" s="1"/>
  <c r="L709" i="13" s="1"/>
  <c r="O646" i="1"/>
  <c r="P840" i="1"/>
  <c r="O840" i="1"/>
  <c r="K415" i="1"/>
  <c r="K345" i="1"/>
  <c r="K111" i="1"/>
  <c r="K410" i="1"/>
  <c r="K400" i="1"/>
  <c r="K131" i="1"/>
  <c r="K388" i="1"/>
  <c r="K208" i="1"/>
  <c r="K110" i="1"/>
  <c r="K403" i="1"/>
  <c r="K83" i="1"/>
  <c r="K380" i="1"/>
  <c r="K364" i="1"/>
  <c r="K397" i="1"/>
  <c r="K270" i="1"/>
  <c r="K359" i="1"/>
  <c r="K298" i="1"/>
  <c r="K335" i="1"/>
  <c r="K424" i="1"/>
  <c r="K48" i="1"/>
  <c r="K305" i="1"/>
  <c r="P794" i="1"/>
  <c r="Q823" i="1"/>
  <c r="F821" i="13" s="1"/>
  <c r="L821" i="13" s="1"/>
  <c r="K407" i="1"/>
  <c r="K103" i="1"/>
  <c r="K120" i="1"/>
  <c r="K318" i="1"/>
  <c r="K323" i="1"/>
  <c r="K20" i="1"/>
  <c r="K358" i="1"/>
  <c r="N794" i="1"/>
  <c r="K162" i="1"/>
  <c r="K159" i="1"/>
  <c r="K253" i="1"/>
  <c r="O842" i="1"/>
  <c r="N600" i="1"/>
  <c r="K409" i="1"/>
  <c r="K12" i="1"/>
  <c r="K299" i="1"/>
  <c r="K429" i="1"/>
  <c r="K70" i="1"/>
  <c r="K254" i="1"/>
  <c r="Q753" i="1"/>
  <c r="F751" i="13" s="1"/>
  <c r="L751" i="13" s="1"/>
  <c r="K97" i="1"/>
  <c r="K339" i="1"/>
  <c r="K59" i="1"/>
  <c r="P669" i="1"/>
  <c r="O600" i="1"/>
  <c r="O669" i="1"/>
  <c r="K139" i="1"/>
  <c r="K74" i="1"/>
  <c r="K11" i="1"/>
  <c r="N711" i="1"/>
  <c r="Q669" i="1"/>
  <c r="F667" i="13" s="1"/>
  <c r="L667" i="13" s="1"/>
  <c r="K114" i="1"/>
  <c r="K194" i="1"/>
  <c r="N634" i="1"/>
  <c r="O634" i="1"/>
  <c r="Q840" i="1"/>
  <c r="F838" i="13" s="1"/>
  <c r="L838" i="13" s="1"/>
  <c r="P634" i="1"/>
  <c r="N840" i="1"/>
  <c r="M717" i="1"/>
  <c r="Q717" i="1" s="1"/>
  <c r="F715" i="13" s="1"/>
  <c r="L715" i="13" s="1"/>
  <c r="O580" i="1"/>
  <c r="K287" i="1"/>
  <c r="K189" i="1"/>
  <c r="K227" i="1"/>
  <c r="K252" i="1"/>
  <c r="N842" i="1"/>
  <c r="K68" i="1"/>
  <c r="K21" i="1"/>
  <c r="K239" i="1"/>
  <c r="K371" i="1"/>
  <c r="K230" i="1"/>
  <c r="K160" i="1"/>
  <c r="K205" i="1"/>
  <c r="K9" i="1"/>
  <c r="M610" i="1"/>
  <c r="O610" i="1" s="1"/>
  <c r="K276" i="1"/>
  <c r="N759" i="1"/>
  <c r="O694" i="1"/>
  <c r="P842" i="1"/>
  <c r="Q620" i="1"/>
  <c r="F618" i="13" s="1"/>
  <c r="L618" i="13" s="1"/>
  <c r="O759" i="1"/>
  <c r="P690" i="1"/>
  <c r="P694" i="1"/>
  <c r="P843" i="1"/>
  <c r="N814" i="1"/>
  <c r="P581" i="1"/>
  <c r="K26" i="1"/>
  <c r="M745" i="1"/>
  <c r="P745" i="1" s="1"/>
  <c r="K206" i="1"/>
  <c r="K436" i="1"/>
  <c r="P785" i="1"/>
  <c r="K203" i="1"/>
  <c r="Q690" i="1"/>
  <c r="F688" i="13" s="1"/>
  <c r="L688" i="13" s="1"/>
  <c r="P755" i="1"/>
  <c r="Q621" i="1"/>
  <c r="F619" i="13" s="1"/>
  <c r="L619" i="13" s="1"/>
  <c r="K27" i="1"/>
  <c r="K250" i="1"/>
  <c r="K315" i="1"/>
  <c r="Q785" i="1"/>
  <c r="F783" i="13" s="1"/>
  <c r="L783" i="13" s="1"/>
  <c r="K78" i="1"/>
  <c r="O690" i="1"/>
  <c r="M687" i="1"/>
  <c r="O687" i="1" s="1"/>
  <c r="K71" i="1"/>
  <c r="K85" i="1"/>
  <c r="K57" i="1"/>
  <c r="K312" i="1"/>
  <c r="K387" i="1"/>
  <c r="K373" i="1"/>
  <c r="Q843" i="1"/>
  <c r="F841" i="13" s="1"/>
  <c r="L841" i="13" s="1"/>
  <c r="Q663" i="1"/>
  <c r="F661" i="13" s="1"/>
  <c r="L661" i="13" s="1"/>
  <c r="O755" i="1"/>
  <c r="O656" i="1"/>
  <c r="N663" i="1"/>
  <c r="Q755" i="1"/>
  <c r="F753" i="13" s="1"/>
  <c r="L753" i="13" s="1"/>
  <c r="Q656" i="1"/>
  <c r="F654" i="13" s="1"/>
  <c r="L654" i="13" s="1"/>
  <c r="K51" i="1"/>
  <c r="K319" i="1"/>
  <c r="K152" i="1"/>
  <c r="K112" i="1"/>
  <c r="P711" i="1"/>
  <c r="K182" i="1"/>
  <c r="K296" i="1"/>
  <c r="K65" i="1"/>
  <c r="M754" i="1"/>
  <c r="N754" i="1" s="1"/>
  <c r="K140" i="1"/>
  <c r="K119" i="1"/>
  <c r="K179" i="1"/>
  <c r="K327" i="1"/>
  <c r="K166" i="1"/>
  <c r="K360" i="1"/>
  <c r="N785" i="1"/>
  <c r="K124" i="1"/>
  <c r="K200" i="1"/>
  <c r="K419" i="1"/>
  <c r="Q541" i="1"/>
  <c r="F539" i="13" s="1"/>
  <c r="L539" i="13" s="1"/>
  <c r="K170" i="1"/>
  <c r="K133" i="1"/>
  <c r="K300" i="1"/>
  <c r="K40" i="1"/>
  <c r="P714" i="1"/>
  <c r="O714" i="1"/>
  <c r="N714" i="1"/>
  <c r="Q714" i="1"/>
  <c r="F712" i="13" s="1"/>
  <c r="L712" i="13" s="1"/>
  <c r="N540" i="1"/>
  <c r="O540" i="1"/>
  <c r="N753" i="1"/>
  <c r="Q783" i="1"/>
  <c r="F781" i="13" s="1"/>
  <c r="L781" i="13" s="1"/>
  <c r="Q540" i="1"/>
  <c r="F538" i="13" s="1"/>
  <c r="L538" i="13" s="1"/>
  <c r="Q765" i="1"/>
  <c r="F763" i="13" s="1"/>
  <c r="L763" i="13" s="1"/>
  <c r="O620" i="1"/>
  <c r="N589" i="1"/>
  <c r="N783" i="1"/>
  <c r="O765" i="1"/>
  <c r="P620" i="1"/>
  <c r="M750" i="1"/>
  <c r="N750" i="1" s="1"/>
  <c r="Q724" i="1"/>
  <c r="F722" i="13" s="1"/>
  <c r="L722" i="13" s="1"/>
  <c r="N529" i="1"/>
  <c r="Q708" i="1"/>
  <c r="F706" i="13" s="1"/>
  <c r="L706" i="13" s="1"/>
  <c r="P708" i="1"/>
  <c r="P765" i="1"/>
  <c r="O783" i="1"/>
  <c r="N770" i="1"/>
  <c r="O529" i="1"/>
  <c r="P589" i="1"/>
  <c r="O753" i="1"/>
  <c r="N724" i="1"/>
  <c r="O839" i="1"/>
  <c r="N542" i="1"/>
  <c r="N823" i="1"/>
  <c r="N624" i="1"/>
  <c r="P670" i="1"/>
  <c r="Q529" i="1"/>
  <c r="F527" i="13" s="1"/>
  <c r="L527" i="13" s="1"/>
  <c r="O624" i="1"/>
  <c r="P839" i="1"/>
  <c r="O823" i="1"/>
  <c r="P624" i="1"/>
  <c r="O670" i="1"/>
  <c r="M854" i="1"/>
  <c r="N854" i="1" s="1"/>
  <c r="Q839" i="1"/>
  <c r="F837" i="13" s="1"/>
  <c r="L837" i="13" s="1"/>
  <c r="P621" i="1"/>
  <c r="N645" i="1"/>
  <c r="O645" i="1"/>
  <c r="P835" i="1"/>
  <c r="O835" i="1"/>
  <c r="Q835" i="1"/>
  <c r="F833" i="13" s="1"/>
  <c r="L833" i="13" s="1"/>
  <c r="N835" i="1"/>
  <c r="O582" i="1"/>
  <c r="M726" i="1"/>
  <c r="P726" i="1" s="1"/>
  <c r="Q814" i="1"/>
  <c r="F812" i="13" s="1"/>
  <c r="L812" i="13" s="1"/>
  <c r="O626" i="1"/>
  <c r="O564" i="1"/>
  <c r="O818" i="1"/>
  <c r="P738" i="1"/>
  <c r="O843" i="1"/>
  <c r="O814" i="1"/>
  <c r="N581" i="1"/>
  <c r="O663" i="1"/>
  <c r="P788" i="1"/>
  <c r="Q788" i="1"/>
  <c r="F786" i="13" s="1"/>
  <c r="L786" i="13" s="1"/>
  <c r="Q564" i="1"/>
  <c r="F562" i="13" s="1"/>
  <c r="L562" i="13" s="1"/>
  <c r="O851" i="1"/>
  <c r="Q818" i="1"/>
  <c r="F816" i="13" s="1"/>
  <c r="L816" i="13" s="1"/>
  <c r="Q700" i="1"/>
  <c r="F698" i="13" s="1"/>
  <c r="L698" i="13" s="1"/>
  <c r="Q759" i="1"/>
  <c r="F757" i="13" s="1"/>
  <c r="L757" i="13" s="1"/>
  <c r="O581" i="1"/>
  <c r="M591" i="1"/>
  <c r="N591" i="1" s="1"/>
  <c r="M678" i="1"/>
  <c r="O678" i="1" s="1"/>
  <c r="M539" i="1"/>
  <c r="Q539" i="1" s="1"/>
  <c r="F537" i="13" s="1"/>
  <c r="L537" i="13" s="1"/>
  <c r="P626" i="1"/>
  <c r="P582" i="1"/>
  <c r="N700" i="1"/>
  <c r="P564" i="1"/>
  <c r="Q626" i="1"/>
  <c r="F624" i="13" s="1"/>
  <c r="L624" i="13" s="1"/>
  <c r="Q582" i="1"/>
  <c r="F580" i="13" s="1"/>
  <c r="L580" i="13" s="1"/>
  <c r="O700" i="1"/>
  <c r="Q738" i="1"/>
  <c r="F736" i="13" s="1"/>
  <c r="L736" i="13" s="1"/>
  <c r="N818" i="1"/>
  <c r="Q757" i="1"/>
  <c r="F755" i="13" s="1"/>
  <c r="L755" i="13" s="1"/>
  <c r="N738" i="1"/>
  <c r="P757" i="1"/>
  <c r="N666" i="1"/>
  <c r="P666" i="1"/>
  <c r="Q666" i="1"/>
  <c r="F664" i="13" s="1"/>
  <c r="L664" i="13" s="1"/>
  <c r="O666" i="1"/>
  <c r="Q794" i="1"/>
  <c r="F792" i="13" s="1"/>
  <c r="L792" i="13" s="1"/>
  <c r="Q622" i="1"/>
  <c r="F620" i="13" s="1"/>
  <c r="L620" i="13" s="1"/>
  <c r="P763" i="1"/>
  <c r="N793" i="1"/>
  <c r="Q769" i="1"/>
  <c r="F767" i="13" s="1"/>
  <c r="L767" i="13" s="1"/>
  <c r="O793" i="1"/>
  <c r="N769" i="1"/>
  <c r="O769" i="1"/>
  <c r="M798" i="1"/>
  <c r="Q798" i="1" s="1"/>
  <c r="F796" i="13" s="1"/>
  <c r="L796" i="13" s="1"/>
  <c r="Q793" i="1"/>
  <c r="F791" i="13" s="1"/>
  <c r="L791" i="13" s="1"/>
  <c r="N784" i="1"/>
  <c r="Q721" i="1"/>
  <c r="F719" i="13" s="1"/>
  <c r="L719" i="13" s="1"/>
  <c r="O532" i="1"/>
  <c r="O784" i="1"/>
  <c r="N721" i="1"/>
  <c r="N586" i="1"/>
  <c r="Q532" i="1"/>
  <c r="F530" i="13" s="1"/>
  <c r="L530" i="13" s="1"/>
  <c r="P532" i="1"/>
  <c r="P784" i="1"/>
  <c r="O721" i="1"/>
  <c r="P586" i="1"/>
  <c r="N549" i="1"/>
  <c r="Q586" i="1"/>
  <c r="F584" i="13" s="1"/>
  <c r="L584" i="13" s="1"/>
  <c r="N622" i="1"/>
  <c r="P549" i="1"/>
  <c r="O622" i="1"/>
  <c r="Q549" i="1"/>
  <c r="F547" i="13" s="1"/>
  <c r="L547" i="13" s="1"/>
  <c r="N775" i="1"/>
  <c r="P638" i="1"/>
  <c r="O638" i="1"/>
  <c r="N638" i="1"/>
  <c r="Q638" i="1"/>
  <c r="F636" i="13" s="1"/>
  <c r="L636" i="13" s="1"/>
  <c r="Q803" i="1"/>
  <c r="F801" i="13" s="1"/>
  <c r="L801" i="13" s="1"/>
  <c r="O803" i="1"/>
  <c r="O701" i="1"/>
  <c r="P701" i="1"/>
  <c r="N701" i="1"/>
  <c r="M571" i="1"/>
  <c r="M602" i="1"/>
  <c r="P602" i="1" s="1"/>
  <c r="M605" i="1"/>
  <c r="P605" i="1" s="1"/>
  <c r="J260" i="14"/>
  <c r="K260" i="14" s="1"/>
  <c r="J258" i="13" s="1"/>
  <c r="P804" i="1"/>
  <c r="J163" i="15"/>
  <c r="K163" i="15" s="1"/>
  <c r="K161" i="13" s="1"/>
  <c r="Q775" i="1"/>
  <c r="F773" i="13" s="1"/>
  <c r="L773" i="13" s="1"/>
  <c r="P775" i="1"/>
  <c r="K121" i="1"/>
  <c r="K458" i="1"/>
  <c r="K454" i="1"/>
  <c r="K109" i="1"/>
  <c r="K265" i="1"/>
  <c r="K82" i="1"/>
  <c r="K368" i="1"/>
  <c r="K76" i="1"/>
  <c r="M829" i="1"/>
  <c r="N829" i="1" s="1"/>
  <c r="K158" i="1"/>
  <c r="K427" i="1"/>
  <c r="K105" i="1"/>
  <c r="K317" i="1"/>
  <c r="K202" i="1"/>
  <c r="K337" i="1"/>
  <c r="K496" i="1"/>
  <c r="K149" i="1"/>
  <c r="K307" i="1"/>
  <c r="K241" i="1"/>
  <c r="J57" i="11"/>
  <c r="K57" i="11" s="1"/>
  <c r="I55" i="13" s="1"/>
  <c r="K132" i="1"/>
  <c r="K219" i="1"/>
  <c r="K413" i="1"/>
  <c r="M640" i="1"/>
  <c r="Q640" i="1" s="1"/>
  <c r="F638" i="13" s="1"/>
  <c r="L638" i="13" s="1"/>
  <c r="K107" i="1"/>
  <c r="K42" i="1"/>
  <c r="K353" i="1"/>
  <c r="K148" i="1"/>
  <c r="K92" i="1"/>
  <c r="K464" i="1"/>
  <c r="K461" i="1"/>
  <c r="K25" i="1"/>
  <c r="K240" i="1"/>
  <c r="K102" i="1"/>
  <c r="K69" i="1"/>
  <c r="K489" i="1"/>
  <c r="K142" i="1"/>
  <c r="K377" i="1"/>
  <c r="K178" i="1"/>
  <c r="K365" i="1"/>
  <c r="K52" i="1"/>
  <c r="K220" i="1"/>
  <c r="K330" i="1"/>
  <c r="K232" i="1"/>
  <c r="K370" i="1"/>
  <c r="M612" i="1"/>
  <c r="K398" i="1"/>
  <c r="K404" i="1"/>
  <c r="K344" i="1"/>
  <c r="K346" i="1"/>
  <c r="K385" i="1"/>
  <c r="K186" i="1"/>
  <c r="K104" i="1"/>
  <c r="K251" i="1"/>
  <c r="K141" i="1"/>
  <c r="J245" i="11"/>
  <c r="K245" i="11" s="1"/>
  <c r="I243" i="13" s="1"/>
  <c r="K41" i="1"/>
  <c r="K13" i="1"/>
  <c r="K247" i="1"/>
  <c r="K274" i="1"/>
  <c r="M752" i="1"/>
  <c r="K356" i="1"/>
  <c r="J443" i="11"/>
  <c r="K443" i="11" s="1"/>
  <c r="I441" i="13" s="1"/>
  <c r="J243" i="11"/>
  <c r="K243" i="11" s="1"/>
  <c r="I241" i="13" s="1"/>
  <c r="J203" i="14"/>
  <c r="K203" i="14" s="1"/>
  <c r="J201" i="13" s="1"/>
  <c r="J201" i="11"/>
  <c r="K201" i="11" s="1"/>
  <c r="I199" i="13" s="1"/>
  <c r="J200" i="11"/>
  <c r="K200" i="11" s="1"/>
  <c r="I198" i="13" s="1"/>
  <c r="J489" i="15"/>
  <c r="K489" i="15" s="1"/>
  <c r="K487" i="13" s="1"/>
  <c r="J75" i="11"/>
  <c r="K75" i="11" s="1"/>
  <c r="I73" i="13" s="1"/>
  <c r="J28" i="11"/>
  <c r="K28" i="11" s="1"/>
  <c r="I26" i="13" s="1"/>
  <c r="J139" i="15"/>
  <c r="K139" i="15" s="1"/>
  <c r="K137" i="13" s="1"/>
  <c r="J46" i="11"/>
  <c r="K46" i="11" s="1"/>
  <c r="I44" i="13" s="1"/>
  <c r="J492" i="14"/>
  <c r="K492" i="14" s="1"/>
  <c r="J490" i="13" s="1"/>
  <c r="J432" i="14"/>
  <c r="K432" i="14" s="1"/>
  <c r="J430" i="13" s="1"/>
  <c r="J272" i="11"/>
  <c r="K272" i="11" s="1"/>
  <c r="I270" i="13" s="1"/>
  <c r="J421" i="15"/>
  <c r="K421" i="15" s="1"/>
  <c r="K419" i="13" s="1"/>
  <c r="J42" i="14"/>
  <c r="K42" i="14" s="1"/>
  <c r="J40" i="13" s="1"/>
  <c r="J113" i="14"/>
  <c r="K113" i="14" s="1"/>
  <c r="J111" i="13" s="1"/>
  <c r="J323" i="15"/>
  <c r="K323" i="15" s="1"/>
  <c r="K321" i="13" s="1"/>
  <c r="J512" i="14"/>
  <c r="K512" i="14" s="1"/>
  <c r="J510" i="13" s="1"/>
  <c r="J277" i="15"/>
  <c r="K277" i="15" s="1"/>
  <c r="K275" i="13" s="1"/>
  <c r="J103" i="14"/>
  <c r="K103" i="14" s="1"/>
  <c r="J101" i="13" s="1"/>
  <c r="J61" i="14"/>
  <c r="K61" i="14" s="1"/>
  <c r="J59" i="13" s="1"/>
  <c r="J30" i="14"/>
  <c r="K30" i="14" s="1"/>
  <c r="J28" i="13" s="1"/>
  <c r="J219" i="14"/>
  <c r="K219" i="14" s="1"/>
  <c r="J217" i="13" s="1"/>
  <c r="J191" i="15"/>
  <c r="K191" i="15" s="1"/>
  <c r="K189" i="13" s="1"/>
  <c r="J223" i="15"/>
  <c r="K223" i="15" s="1"/>
  <c r="K221" i="13" s="1"/>
  <c r="J119" i="15"/>
  <c r="K119" i="15" s="1"/>
  <c r="K117" i="13" s="1"/>
  <c r="J197" i="15"/>
  <c r="K197" i="15" s="1"/>
  <c r="K195" i="13" s="1"/>
  <c r="J120" i="14"/>
  <c r="K120" i="14" s="1"/>
  <c r="J118" i="13" s="1"/>
  <c r="J197" i="11"/>
  <c r="K197" i="11" s="1"/>
  <c r="I195" i="13" s="1"/>
  <c r="J273" i="15"/>
  <c r="K273" i="15" s="1"/>
  <c r="K271" i="13" s="1"/>
  <c r="J472" i="14"/>
  <c r="K472" i="14" s="1"/>
  <c r="J470" i="13" s="1"/>
  <c r="J470" i="11"/>
  <c r="K470" i="11" s="1"/>
  <c r="I468" i="13" s="1"/>
  <c r="J382" i="11"/>
  <c r="K382" i="11" s="1"/>
  <c r="I380" i="13" s="1"/>
  <c r="J350" i="11"/>
  <c r="K350" i="11" s="1"/>
  <c r="I348" i="13" s="1"/>
  <c r="J142" i="11"/>
  <c r="K142" i="11" s="1"/>
  <c r="I140" i="13" s="1"/>
  <c r="J371" i="11"/>
  <c r="K371" i="11" s="1"/>
  <c r="I369" i="13" s="1"/>
  <c r="J324" i="15"/>
  <c r="K324" i="15" s="1"/>
  <c r="K322" i="13" s="1"/>
  <c r="J249" i="11"/>
  <c r="K249" i="11" s="1"/>
  <c r="I247" i="13" s="1"/>
  <c r="J275" i="15"/>
  <c r="K275" i="15" s="1"/>
  <c r="K273" i="13" s="1"/>
  <c r="J236" i="14"/>
  <c r="K236" i="14" s="1"/>
  <c r="J234" i="13" s="1"/>
  <c r="J254" i="15"/>
  <c r="K254" i="15" s="1"/>
  <c r="K252" i="13" s="1"/>
  <c r="J507" i="15"/>
  <c r="K507" i="15" s="1"/>
  <c r="K505" i="13" s="1"/>
  <c r="J125" i="15"/>
  <c r="K125" i="15" s="1"/>
  <c r="K123" i="13" s="1"/>
  <c r="J110" i="14"/>
  <c r="K110" i="14" s="1"/>
  <c r="J108" i="13" s="1"/>
  <c r="J228" i="15"/>
  <c r="K228" i="15" s="1"/>
  <c r="K226" i="13" s="1"/>
  <c r="J286" i="15"/>
  <c r="K286" i="15" s="1"/>
  <c r="K284" i="13" s="1"/>
  <c r="J455" i="11"/>
  <c r="K455" i="11" s="1"/>
  <c r="I453" i="13" s="1"/>
  <c r="J270" i="14"/>
  <c r="K270" i="14" s="1"/>
  <c r="J268" i="13" s="1"/>
  <c r="J152" i="15"/>
  <c r="K152" i="15" s="1"/>
  <c r="K150" i="13" s="1"/>
  <c r="J474" i="14"/>
  <c r="K474" i="14" s="1"/>
  <c r="J472" i="13" s="1"/>
  <c r="J40" i="11"/>
  <c r="K40" i="11" s="1"/>
  <c r="I38" i="13" s="1"/>
  <c r="J300" i="14"/>
  <c r="K300" i="14" s="1"/>
  <c r="J298" i="13" s="1"/>
  <c r="J99" i="15"/>
  <c r="K99" i="15" s="1"/>
  <c r="K97" i="13" s="1"/>
  <c r="J109" i="14"/>
  <c r="K109" i="14" s="1"/>
  <c r="J107" i="13" s="1"/>
  <c r="J473" i="15"/>
  <c r="K473" i="15" s="1"/>
  <c r="K471" i="13" s="1"/>
  <c r="J212" i="11"/>
  <c r="K212" i="11" s="1"/>
  <c r="I210" i="13" s="1"/>
  <c r="J88" i="14"/>
  <c r="K88" i="14" s="1"/>
  <c r="J86" i="13" s="1"/>
  <c r="J365" i="11"/>
  <c r="K365" i="11" s="1"/>
  <c r="I363" i="13" s="1"/>
  <c r="J353" i="15"/>
  <c r="K353" i="15" s="1"/>
  <c r="K351" i="13" s="1"/>
  <c r="J174" i="11"/>
  <c r="K174" i="11" s="1"/>
  <c r="I172" i="13" s="1"/>
  <c r="J206" i="11"/>
  <c r="K206" i="11" s="1"/>
  <c r="I204" i="13" s="1"/>
  <c r="J190" i="15"/>
  <c r="K190" i="15" s="1"/>
  <c r="K188" i="13" s="1"/>
  <c r="J141" i="14"/>
  <c r="K141" i="14" s="1"/>
  <c r="J139" i="13" s="1"/>
  <c r="J262" i="15"/>
  <c r="K262" i="15" s="1"/>
  <c r="K260" i="13" s="1"/>
  <c r="J136" i="14"/>
  <c r="K136" i="14" s="1"/>
  <c r="J134" i="13" s="1"/>
  <c r="J503" i="14"/>
  <c r="K503" i="14" s="1"/>
  <c r="J501" i="13" s="1"/>
  <c r="J13" i="15"/>
  <c r="K13" i="15" s="1"/>
  <c r="K11" i="13" s="1"/>
  <c r="J13" i="11"/>
  <c r="K13" i="11" s="1"/>
  <c r="I11" i="13" s="1"/>
  <c r="J480" i="11"/>
  <c r="K480" i="11" s="1"/>
  <c r="I478" i="13" s="1"/>
  <c r="J290" i="11"/>
  <c r="K290" i="11" s="1"/>
  <c r="I288" i="13" s="1"/>
  <c r="J375" i="15"/>
  <c r="K375" i="15" s="1"/>
  <c r="K373" i="13" s="1"/>
  <c r="J16" i="15"/>
  <c r="K16" i="15" s="1"/>
  <c r="K14" i="13" s="1"/>
  <c r="J212" i="15"/>
  <c r="K212" i="15" s="1"/>
  <c r="K210" i="13" s="1"/>
  <c r="J184" i="15"/>
  <c r="K184" i="15" s="1"/>
  <c r="K182" i="13" s="1"/>
  <c r="J274" i="15"/>
  <c r="K274" i="15" s="1"/>
  <c r="K272" i="13" s="1"/>
  <c r="J53" i="15"/>
  <c r="K53" i="15" s="1"/>
  <c r="K51" i="13" s="1"/>
  <c r="J72" i="15"/>
  <c r="K72" i="15" s="1"/>
  <c r="K70" i="13" s="1"/>
  <c r="J381" i="15"/>
  <c r="K381" i="15" s="1"/>
  <c r="K379" i="13" s="1"/>
  <c r="J407" i="14"/>
  <c r="K407" i="14" s="1"/>
  <c r="J405" i="13" s="1"/>
  <c r="J318" i="14"/>
  <c r="K318" i="14" s="1"/>
  <c r="J316" i="13" s="1"/>
  <c r="J437" i="14"/>
  <c r="K437" i="14" s="1"/>
  <c r="J435" i="13" s="1"/>
  <c r="J37" i="15"/>
  <c r="K37" i="15" s="1"/>
  <c r="K35" i="13" s="1"/>
  <c r="J289" i="14"/>
  <c r="K289" i="14" s="1"/>
  <c r="J287" i="13" s="1"/>
  <c r="J288" i="15"/>
  <c r="K288" i="15" s="1"/>
  <c r="K286" i="13" s="1"/>
  <c r="J79" i="11"/>
  <c r="K79" i="11" s="1"/>
  <c r="I77" i="13" s="1"/>
  <c r="J111" i="11"/>
  <c r="K111" i="11" s="1"/>
  <c r="I109" i="13" s="1"/>
  <c r="J511" i="14"/>
  <c r="K511" i="14" s="1"/>
  <c r="J509" i="13" s="1"/>
  <c r="J148" i="14"/>
  <c r="K148" i="14" s="1"/>
  <c r="J146" i="13" s="1"/>
  <c r="J442" i="15"/>
  <c r="K442" i="15" s="1"/>
  <c r="K440" i="13" s="1"/>
  <c r="J369" i="15"/>
  <c r="K369" i="15" s="1"/>
  <c r="K367" i="13" s="1"/>
  <c r="J441" i="15"/>
  <c r="K441" i="15" s="1"/>
  <c r="K439" i="13" s="1"/>
  <c r="J400" i="11"/>
  <c r="K400" i="11" s="1"/>
  <c r="I398" i="13" s="1"/>
  <c r="J475" i="11"/>
  <c r="K475" i="11" s="1"/>
  <c r="I473" i="13" s="1"/>
  <c r="J36" i="15"/>
  <c r="K36" i="15" s="1"/>
  <c r="K34" i="13" s="1"/>
  <c r="J309" i="11"/>
  <c r="K309" i="11" s="1"/>
  <c r="I307" i="13" s="1"/>
  <c r="J281" i="11"/>
  <c r="K281" i="11" s="1"/>
  <c r="I279" i="13" s="1"/>
  <c r="J257" i="11"/>
  <c r="K257" i="11" s="1"/>
  <c r="I255" i="13" s="1"/>
  <c r="J439" i="11"/>
  <c r="K439" i="11" s="1"/>
  <c r="I437" i="13" s="1"/>
  <c r="J374" i="11"/>
  <c r="K374" i="11" s="1"/>
  <c r="I372" i="13" s="1"/>
  <c r="J465" i="11"/>
  <c r="K465" i="11" s="1"/>
  <c r="I463" i="13" s="1"/>
  <c r="J166" i="15"/>
  <c r="K166" i="15" s="1"/>
  <c r="K164" i="13" s="1"/>
  <c r="J360" i="11"/>
  <c r="K360" i="11" s="1"/>
  <c r="I358" i="13" s="1"/>
  <c r="J491" i="14"/>
  <c r="K491" i="14" s="1"/>
  <c r="J489" i="13" s="1"/>
  <c r="N667" i="1"/>
  <c r="N845" i="1"/>
  <c r="O618" i="1"/>
  <c r="P667" i="1"/>
  <c r="O844" i="1"/>
  <c r="P542" i="1"/>
  <c r="Q526" i="1"/>
  <c r="F524" i="13" s="1"/>
  <c r="L524" i="13" s="1"/>
  <c r="P555" i="1"/>
  <c r="N767" i="1"/>
  <c r="P858" i="1"/>
  <c r="O770" i="1"/>
  <c r="O667" i="1"/>
  <c r="P618" i="1"/>
  <c r="O555" i="1"/>
  <c r="P844" i="1"/>
  <c r="Q542" i="1"/>
  <c r="F540" i="13" s="1"/>
  <c r="L540" i="13" s="1"/>
  <c r="N526" i="1"/>
  <c r="Q567" i="1"/>
  <c r="F565" i="13" s="1"/>
  <c r="L565" i="13" s="1"/>
  <c r="O767" i="1"/>
  <c r="O858" i="1"/>
  <c r="P770" i="1"/>
  <c r="N727" i="1"/>
  <c r="O845" i="1"/>
  <c r="N555" i="1"/>
  <c r="P526" i="1"/>
  <c r="N712" i="1"/>
  <c r="N578" i="1"/>
  <c r="N567" i="1"/>
  <c r="P767" i="1"/>
  <c r="N522" i="1"/>
  <c r="Q858" i="1"/>
  <c r="F856" i="13" s="1"/>
  <c r="L856" i="13" s="1"/>
  <c r="O727" i="1"/>
  <c r="N621" i="1"/>
  <c r="Q844" i="1"/>
  <c r="F842" i="13" s="1"/>
  <c r="L842" i="13" s="1"/>
  <c r="P688" i="1"/>
  <c r="O712" i="1"/>
  <c r="P578" i="1"/>
  <c r="O567" i="1"/>
  <c r="O522" i="1"/>
  <c r="N761" i="1"/>
  <c r="Q727" i="1"/>
  <c r="F725" i="13" s="1"/>
  <c r="L725" i="13" s="1"/>
  <c r="O688" i="1"/>
  <c r="Q712" i="1"/>
  <c r="F710" i="13" s="1"/>
  <c r="L710" i="13" s="1"/>
  <c r="Q578" i="1"/>
  <c r="F576" i="13" s="1"/>
  <c r="L576" i="13" s="1"/>
  <c r="N702" i="1"/>
  <c r="P522" i="1"/>
  <c r="O761" i="1"/>
  <c r="Q807" i="1"/>
  <c r="F805" i="13" s="1"/>
  <c r="L805" i="13" s="1"/>
  <c r="N688" i="1"/>
  <c r="O702" i="1"/>
  <c r="N541" i="1"/>
  <c r="P761" i="1"/>
  <c r="N803" i="1"/>
  <c r="Q845" i="1"/>
  <c r="F843" i="13" s="1"/>
  <c r="L843" i="13" s="1"/>
  <c r="N708" i="1"/>
  <c r="O807" i="1"/>
  <c r="O757" i="1"/>
  <c r="P702" i="1"/>
  <c r="O541" i="1"/>
  <c r="P803" i="1"/>
  <c r="N720" i="1"/>
  <c r="N618" i="1"/>
  <c r="J414" i="15"/>
  <c r="K414" i="15" s="1"/>
  <c r="K412" i="13" s="1"/>
  <c r="J430" i="15"/>
  <c r="K430" i="15" s="1"/>
  <c r="K428" i="13" s="1"/>
  <c r="J314" i="14"/>
  <c r="K314" i="14" s="1"/>
  <c r="J312" i="13" s="1"/>
  <c r="J49" i="14"/>
  <c r="K49" i="14" s="1"/>
  <c r="J47" i="13" s="1"/>
  <c r="J213" i="15"/>
  <c r="K213" i="15" s="1"/>
  <c r="K211" i="13" s="1"/>
  <c r="J162" i="14"/>
  <c r="K162" i="14" s="1"/>
  <c r="J160" i="13" s="1"/>
  <c r="J332" i="15"/>
  <c r="K332" i="15" s="1"/>
  <c r="K330" i="13" s="1"/>
  <c r="J188" i="11"/>
  <c r="K188" i="11" s="1"/>
  <c r="I186" i="13" s="1"/>
  <c r="J504" i="15"/>
  <c r="K504" i="15" s="1"/>
  <c r="K502" i="13" s="1"/>
  <c r="J146" i="15"/>
  <c r="K146" i="15" s="1"/>
  <c r="K144" i="13" s="1"/>
  <c r="J501" i="11"/>
  <c r="K501" i="11" s="1"/>
  <c r="I499" i="13" s="1"/>
  <c r="J101" i="15"/>
  <c r="K101" i="15" s="1"/>
  <c r="K99" i="13" s="1"/>
  <c r="J502" i="15"/>
  <c r="K502" i="15" s="1"/>
  <c r="K500" i="13" s="1"/>
  <c r="J59" i="15"/>
  <c r="K59" i="15" s="1"/>
  <c r="K57" i="13" s="1"/>
  <c r="J114" i="11"/>
  <c r="K114" i="11" s="1"/>
  <c r="I112" i="13" s="1"/>
  <c r="J518" i="15"/>
  <c r="K518" i="15" s="1"/>
  <c r="K516" i="13" s="1"/>
  <c r="J195" i="14"/>
  <c r="K195" i="14" s="1"/>
  <c r="J193" i="13" s="1"/>
  <c r="J16" i="14"/>
  <c r="K16" i="14" s="1"/>
  <c r="J14" i="13" s="1"/>
  <c r="J420" i="14"/>
  <c r="K420" i="14" s="1"/>
  <c r="J418" i="13" s="1"/>
  <c r="J257" i="14"/>
  <c r="K257" i="14" s="1"/>
  <c r="J255" i="13" s="1"/>
  <c r="J409" i="15"/>
  <c r="K409" i="15" s="1"/>
  <c r="K407" i="13" s="1"/>
  <c r="J36" i="14"/>
  <c r="K36" i="14" s="1"/>
  <c r="J34" i="13" s="1"/>
  <c r="J60" i="15"/>
  <c r="K60" i="15" s="1"/>
  <c r="K58" i="13" s="1"/>
  <c r="J506" i="11"/>
  <c r="K506" i="11" s="1"/>
  <c r="I504" i="13" s="1"/>
  <c r="J98" i="14"/>
  <c r="K98" i="14" s="1"/>
  <c r="J96" i="13" s="1"/>
  <c r="J347" i="14"/>
  <c r="K347" i="14" s="1"/>
  <c r="J345" i="13" s="1"/>
  <c r="J156" i="15"/>
  <c r="K156" i="15" s="1"/>
  <c r="K154" i="13" s="1"/>
  <c r="J107" i="11"/>
  <c r="K107" i="11" s="1"/>
  <c r="I105" i="13" s="1"/>
  <c r="J288" i="14"/>
  <c r="K288" i="14" s="1"/>
  <c r="J286" i="13" s="1"/>
  <c r="J406" i="11"/>
  <c r="K406" i="11" s="1"/>
  <c r="I404" i="13" s="1"/>
  <c r="J384" i="11"/>
  <c r="K384" i="11" s="1"/>
  <c r="I382" i="13" s="1"/>
  <c r="J60" i="14"/>
  <c r="K60" i="14" s="1"/>
  <c r="J58" i="13" s="1"/>
  <c r="J79" i="14"/>
  <c r="K79" i="14" s="1"/>
  <c r="J77" i="13" s="1"/>
  <c r="N777" i="1"/>
  <c r="J348" i="15"/>
  <c r="K348" i="15" s="1"/>
  <c r="K346" i="13" s="1"/>
  <c r="J198" i="11"/>
  <c r="K198" i="11" s="1"/>
  <c r="I196" i="13" s="1"/>
  <c r="J503" i="11"/>
  <c r="K503" i="11" s="1"/>
  <c r="I501" i="13" s="1"/>
  <c r="J324" i="11"/>
  <c r="K324" i="11" s="1"/>
  <c r="I322" i="13" s="1"/>
  <c r="J70" i="15"/>
  <c r="K70" i="15" s="1"/>
  <c r="K68" i="13" s="1"/>
  <c r="J217" i="14"/>
  <c r="K217" i="14" s="1"/>
  <c r="J215" i="13" s="1"/>
  <c r="J409" i="14"/>
  <c r="K409" i="14" s="1"/>
  <c r="J407" i="13" s="1"/>
  <c r="J327" i="14"/>
  <c r="K327" i="14" s="1"/>
  <c r="J325" i="13" s="1"/>
  <c r="J173" i="14"/>
  <c r="K173" i="14" s="1"/>
  <c r="J171" i="13" s="1"/>
  <c r="J510" i="11"/>
  <c r="K510" i="11" s="1"/>
  <c r="I508" i="13" s="1"/>
  <c r="J307" i="11"/>
  <c r="K307" i="11" s="1"/>
  <c r="I305" i="13" s="1"/>
  <c r="J357" i="15"/>
  <c r="K357" i="15" s="1"/>
  <c r="K355" i="13" s="1"/>
  <c r="J113" i="15"/>
  <c r="K113" i="15" s="1"/>
  <c r="K111" i="13" s="1"/>
  <c r="J259" i="11"/>
  <c r="K259" i="11" s="1"/>
  <c r="I257" i="13" s="1"/>
  <c r="J416" i="15"/>
  <c r="K416" i="15" s="1"/>
  <c r="K414" i="13" s="1"/>
  <c r="J320" i="11"/>
  <c r="K320" i="11" s="1"/>
  <c r="I318" i="13" s="1"/>
  <c r="J323" i="11"/>
  <c r="K323" i="11" s="1"/>
  <c r="I321" i="13" s="1"/>
  <c r="J92" i="15"/>
  <c r="K92" i="15" s="1"/>
  <c r="K90" i="13" s="1"/>
  <c r="J493" i="14"/>
  <c r="K493" i="14" s="1"/>
  <c r="J491" i="13" s="1"/>
  <c r="J403" i="11"/>
  <c r="K403" i="11" s="1"/>
  <c r="I401" i="13" s="1"/>
  <c r="P777" i="1"/>
  <c r="O788" i="1"/>
  <c r="J334" i="14"/>
  <c r="K334" i="14" s="1"/>
  <c r="J332" i="13" s="1"/>
  <c r="J467" i="15"/>
  <c r="K467" i="15" s="1"/>
  <c r="K465" i="13" s="1"/>
  <c r="J15" i="15"/>
  <c r="K15" i="15" s="1"/>
  <c r="K13" i="13" s="1"/>
  <c r="J518" i="14"/>
  <c r="K518" i="14" s="1"/>
  <c r="J516" i="13" s="1"/>
  <c r="J162" i="15"/>
  <c r="K162" i="15" s="1"/>
  <c r="K160" i="13" s="1"/>
  <c r="J71" i="11"/>
  <c r="K71" i="11" s="1"/>
  <c r="I69" i="13" s="1"/>
  <c r="J441" i="14"/>
  <c r="K441" i="14" s="1"/>
  <c r="J439" i="13" s="1"/>
  <c r="J438" i="15"/>
  <c r="K438" i="15" s="1"/>
  <c r="K436" i="13" s="1"/>
  <c r="J362" i="14"/>
  <c r="K362" i="14" s="1"/>
  <c r="J360" i="13" s="1"/>
  <c r="J358" i="11"/>
  <c r="K358" i="11" s="1"/>
  <c r="I356" i="13" s="1"/>
  <c r="J346" i="14"/>
  <c r="K346" i="14" s="1"/>
  <c r="J344" i="13" s="1"/>
  <c r="J64" i="11"/>
  <c r="K64" i="11" s="1"/>
  <c r="I62" i="13" s="1"/>
  <c r="J468" i="14"/>
  <c r="K468" i="14" s="1"/>
  <c r="J466" i="13" s="1"/>
  <c r="J137" i="14"/>
  <c r="K137" i="14" s="1"/>
  <c r="J135" i="13" s="1"/>
  <c r="J450" i="15"/>
  <c r="K450" i="15" s="1"/>
  <c r="K448" i="13" s="1"/>
  <c r="J46" i="14"/>
  <c r="K46" i="14" s="1"/>
  <c r="J44" i="13" s="1"/>
  <c r="J485" i="11"/>
  <c r="K485" i="11" s="1"/>
  <c r="I483" i="13" s="1"/>
  <c r="Q777" i="1"/>
  <c r="F775" i="13" s="1"/>
  <c r="L775" i="13" s="1"/>
  <c r="J409" i="11"/>
  <c r="K409" i="11" s="1"/>
  <c r="I407" i="13" s="1"/>
  <c r="J91" i="11"/>
  <c r="K91" i="11" s="1"/>
  <c r="I89" i="13" s="1"/>
  <c r="J110" i="15"/>
  <c r="K110" i="15" s="1"/>
  <c r="K108" i="13" s="1"/>
  <c r="J17" i="11"/>
  <c r="K17" i="11" s="1"/>
  <c r="I15" i="13" s="1"/>
  <c r="J294" i="11"/>
  <c r="K294" i="11" s="1"/>
  <c r="I292" i="13" s="1"/>
  <c r="J422" i="14"/>
  <c r="K422" i="14" s="1"/>
  <c r="J420" i="13" s="1"/>
  <c r="J436" i="15"/>
  <c r="K436" i="15" s="1"/>
  <c r="K434" i="13" s="1"/>
  <c r="J456" i="11"/>
  <c r="K456" i="11" s="1"/>
  <c r="I454" i="13" s="1"/>
  <c r="J196" i="15"/>
  <c r="K196" i="15" s="1"/>
  <c r="K194" i="13" s="1"/>
  <c r="J154" i="15"/>
  <c r="K154" i="15" s="1"/>
  <c r="K152" i="13" s="1"/>
  <c r="J112" i="14"/>
  <c r="K112" i="14" s="1"/>
  <c r="J110" i="13" s="1"/>
  <c r="J454" i="14"/>
  <c r="K454" i="14" s="1"/>
  <c r="J452" i="13" s="1"/>
  <c r="J167" i="11"/>
  <c r="K167" i="11" s="1"/>
  <c r="I165" i="13" s="1"/>
  <c r="J152" i="11"/>
  <c r="K152" i="11" s="1"/>
  <c r="I150" i="13" s="1"/>
  <c r="J200" i="15"/>
  <c r="K200" i="15" s="1"/>
  <c r="K198" i="13" s="1"/>
  <c r="J84" i="15"/>
  <c r="K84" i="15" s="1"/>
  <c r="K82" i="13" s="1"/>
  <c r="J232" i="15"/>
  <c r="K232" i="15" s="1"/>
  <c r="K230" i="13" s="1"/>
  <c r="J103" i="11"/>
  <c r="K103" i="11" s="1"/>
  <c r="I101" i="13" s="1"/>
  <c r="J418" i="11"/>
  <c r="K418" i="11" s="1"/>
  <c r="I416" i="13" s="1"/>
  <c r="J512" i="11"/>
  <c r="K512" i="11" s="1"/>
  <c r="I510" i="13" s="1"/>
  <c r="J35" i="11"/>
  <c r="K35" i="11" s="1"/>
  <c r="I33" i="13" s="1"/>
  <c r="J270" i="15"/>
  <c r="K270" i="15" s="1"/>
  <c r="K268" i="13" s="1"/>
  <c r="J229" i="11"/>
  <c r="K229" i="11" s="1"/>
  <c r="I227" i="13" s="1"/>
  <c r="J463" i="15"/>
  <c r="K463" i="15" s="1"/>
  <c r="K461" i="13" s="1"/>
  <c r="J393" i="14"/>
  <c r="K393" i="14" s="1"/>
  <c r="J391" i="13" s="1"/>
  <c r="J412" i="15"/>
  <c r="K412" i="15" s="1"/>
  <c r="K410" i="13" s="1"/>
  <c r="J349" i="14"/>
  <c r="K349" i="14" s="1"/>
  <c r="J347" i="13" s="1"/>
  <c r="J66" i="15"/>
  <c r="K66" i="15" s="1"/>
  <c r="K64" i="13" s="1"/>
  <c r="J415" i="15"/>
  <c r="K415" i="15" s="1"/>
  <c r="K413" i="13" s="1"/>
  <c r="J400" i="14"/>
  <c r="K400" i="14" s="1"/>
  <c r="J398" i="13" s="1"/>
  <c r="J458" i="11"/>
  <c r="K458" i="11" s="1"/>
  <c r="I456" i="13" s="1"/>
  <c r="J338" i="11"/>
  <c r="K338" i="11" s="1"/>
  <c r="I336" i="13" s="1"/>
  <c r="J394" i="14"/>
  <c r="K394" i="14" s="1"/>
  <c r="J392" i="13" s="1"/>
  <c r="J234" i="15"/>
  <c r="K234" i="15" s="1"/>
  <c r="K232" i="13" s="1"/>
  <c r="J448" i="11"/>
  <c r="K448" i="11" s="1"/>
  <c r="I446" i="13" s="1"/>
  <c r="J313" i="14"/>
  <c r="K313" i="14" s="1"/>
  <c r="J311" i="13" s="1"/>
  <c r="J225" i="14"/>
  <c r="K225" i="14" s="1"/>
  <c r="J223" i="13" s="1"/>
  <c r="J411" i="11"/>
  <c r="K411" i="11" s="1"/>
  <c r="I409" i="13" s="1"/>
  <c r="J500" i="11"/>
  <c r="K500" i="11" s="1"/>
  <c r="I498" i="13" s="1"/>
  <c r="M652" i="1"/>
  <c r="J28" i="15"/>
  <c r="K28" i="15" s="1"/>
  <c r="K26" i="13" s="1"/>
  <c r="M699" i="1"/>
  <c r="J171" i="14"/>
  <c r="K171" i="14" s="1"/>
  <c r="J169" i="13" s="1"/>
  <c r="J230" i="15"/>
  <c r="K230" i="15" s="1"/>
  <c r="K228" i="13" s="1"/>
  <c r="P645" i="1"/>
  <c r="J300" i="11"/>
  <c r="K300" i="11" s="1"/>
  <c r="I298" i="13" s="1"/>
  <c r="J277" i="14"/>
  <c r="K277" i="14" s="1"/>
  <c r="J275" i="13" s="1"/>
  <c r="J18" i="11"/>
  <c r="K18" i="11" s="1"/>
  <c r="I16" i="13" s="1"/>
  <c r="J396" i="11"/>
  <c r="K396" i="11" s="1"/>
  <c r="I394" i="13" s="1"/>
  <c r="J303" i="11"/>
  <c r="K303" i="11" s="1"/>
  <c r="I301" i="13" s="1"/>
  <c r="J137" i="11"/>
  <c r="K137" i="11" s="1"/>
  <c r="I135" i="13" s="1"/>
  <c r="J71" i="15"/>
  <c r="K71" i="15" s="1"/>
  <c r="K69" i="13" s="1"/>
  <c r="J262" i="14"/>
  <c r="K262" i="14" s="1"/>
  <c r="J260" i="13" s="1"/>
  <c r="J195" i="15"/>
  <c r="K195" i="15" s="1"/>
  <c r="K193" i="13" s="1"/>
  <c r="J53" i="14"/>
  <c r="K53" i="14" s="1"/>
  <c r="J51" i="13" s="1"/>
  <c r="J461" i="15"/>
  <c r="K461" i="15" s="1"/>
  <c r="K459" i="13" s="1"/>
  <c r="J234" i="14"/>
  <c r="K234" i="14" s="1"/>
  <c r="J232" i="13" s="1"/>
  <c r="J480" i="15"/>
  <c r="K480" i="15" s="1"/>
  <c r="K478" i="13" s="1"/>
  <c r="J150" i="14"/>
  <c r="K150" i="14" s="1"/>
  <c r="J148" i="13" s="1"/>
  <c r="J268" i="11"/>
  <c r="K268" i="11" s="1"/>
  <c r="I266" i="13" s="1"/>
  <c r="J21" i="11"/>
  <c r="K21" i="11" s="1"/>
  <c r="I19" i="13" s="1"/>
  <c r="J316" i="14"/>
  <c r="K316" i="14" s="1"/>
  <c r="J314" i="13" s="1"/>
  <c r="J108" i="14"/>
  <c r="K108" i="14" s="1"/>
  <c r="J106" i="13" s="1"/>
  <c r="J17" i="14"/>
  <c r="K17" i="14" s="1"/>
  <c r="J15" i="13" s="1"/>
  <c r="J497" i="14"/>
  <c r="K497" i="14" s="1"/>
  <c r="J495" i="13" s="1"/>
  <c r="J223" i="14"/>
  <c r="K223" i="14" s="1"/>
  <c r="J221" i="13" s="1"/>
  <c r="J34" i="11"/>
  <c r="K34" i="11" s="1"/>
  <c r="I32" i="13" s="1"/>
  <c r="J292" i="11"/>
  <c r="K292" i="11" s="1"/>
  <c r="I290" i="13" s="1"/>
  <c r="J66" i="14"/>
  <c r="K66" i="14" s="1"/>
  <c r="J64" i="13" s="1"/>
  <c r="J351" i="14"/>
  <c r="K351" i="14" s="1"/>
  <c r="J349" i="13" s="1"/>
  <c r="J448" i="14"/>
  <c r="K448" i="14" s="1"/>
  <c r="J446" i="13" s="1"/>
  <c r="J102" i="14"/>
  <c r="K102" i="14" s="1"/>
  <c r="J100" i="13" s="1"/>
  <c r="J358" i="15"/>
  <c r="K358" i="15" s="1"/>
  <c r="K356" i="13" s="1"/>
  <c r="J311" i="15"/>
  <c r="K311" i="15" s="1"/>
  <c r="K309" i="13" s="1"/>
  <c r="J441" i="11"/>
  <c r="K441" i="11" s="1"/>
  <c r="I439" i="13" s="1"/>
  <c r="J421" i="11"/>
  <c r="K421" i="11" s="1"/>
  <c r="I419" i="13" s="1"/>
  <c r="J245" i="15"/>
  <c r="K245" i="15" s="1"/>
  <c r="K243" i="13" s="1"/>
  <c r="J61" i="15"/>
  <c r="K61" i="15" s="1"/>
  <c r="K59" i="13" s="1"/>
  <c r="J379" i="11"/>
  <c r="K379" i="11" s="1"/>
  <c r="I377" i="13" s="1"/>
  <c r="J209" i="11"/>
  <c r="K209" i="11" s="1"/>
  <c r="I207" i="13" s="1"/>
  <c r="J337" i="14"/>
  <c r="K337" i="14" s="1"/>
  <c r="J335" i="13" s="1"/>
  <c r="J321" i="15"/>
  <c r="K321" i="15" s="1"/>
  <c r="K319" i="13" s="1"/>
  <c r="J349" i="11"/>
  <c r="K349" i="11" s="1"/>
  <c r="I347" i="13" s="1"/>
  <c r="J32" i="15"/>
  <c r="K32" i="15" s="1"/>
  <c r="K30" i="13" s="1"/>
  <c r="J325" i="14"/>
  <c r="K325" i="14" s="1"/>
  <c r="J323" i="13" s="1"/>
  <c r="J397" i="11"/>
  <c r="K397" i="11" s="1"/>
  <c r="I395" i="13" s="1"/>
  <c r="J95" i="14"/>
  <c r="K95" i="14" s="1"/>
  <c r="J93" i="13" s="1"/>
  <c r="J354" i="11"/>
  <c r="K354" i="11" s="1"/>
  <c r="I352" i="13" s="1"/>
  <c r="J370" i="15"/>
  <c r="K370" i="15" s="1"/>
  <c r="K368" i="13" s="1"/>
  <c r="J366" i="14"/>
  <c r="K366" i="14" s="1"/>
  <c r="J364" i="13" s="1"/>
  <c r="J7" i="15"/>
  <c r="K7" i="15" s="1"/>
  <c r="K5" i="13" s="1"/>
  <c r="M647" i="1"/>
  <c r="J331" i="11"/>
  <c r="K331" i="11" s="1"/>
  <c r="I329" i="13" s="1"/>
  <c r="J302" i="15"/>
  <c r="K302" i="15" s="1"/>
  <c r="K300" i="13" s="1"/>
  <c r="J238" i="15"/>
  <c r="K238" i="15" s="1"/>
  <c r="K236" i="13" s="1"/>
  <c r="J410" i="14"/>
  <c r="K410" i="14" s="1"/>
  <c r="J408" i="13" s="1"/>
  <c r="J273" i="11"/>
  <c r="K273" i="11" s="1"/>
  <c r="I271" i="13" s="1"/>
  <c r="J62" i="15"/>
  <c r="K62" i="15" s="1"/>
  <c r="K60" i="13" s="1"/>
  <c r="J40" i="15"/>
  <c r="K40" i="15" s="1"/>
  <c r="K38" i="13" s="1"/>
  <c r="J348" i="14"/>
  <c r="K348" i="14" s="1"/>
  <c r="J346" i="13" s="1"/>
  <c r="J38" i="14"/>
  <c r="K38" i="14" s="1"/>
  <c r="J36" i="13" s="1"/>
  <c r="J506" i="14"/>
  <c r="K506" i="14" s="1"/>
  <c r="J504" i="13" s="1"/>
  <c r="J284" i="15"/>
  <c r="K284" i="15" s="1"/>
  <c r="K282" i="13" s="1"/>
  <c r="J165" i="15"/>
  <c r="K165" i="15" s="1"/>
  <c r="K163" i="13" s="1"/>
  <c r="J479" i="15"/>
  <c r="K479" i="15" s="1"/>
  <c r="K477" i="13" s="1"/>
  <c r="J189" i="14"/>
  <c r="K189" i="14" s="1"/>
  <c r="J187" i="13" s="1"/>
  <c r="J253" i="14"/>
  <c r="K253" i="14" s="1"/>
  <c r="J251" i="13" s="1"/>
  <c r="J265" i="15"/>
  <c r="K265" i="15" s="1"/>
  <c r="K263" i="13" s="1"/>
  <c r="J207" i="14"/>
  <c r="K207" i="14" s="1"/>
  <c r="J205" i="13" s="1"/>
  <c r="J193" i="11"/>
  <c r="K193" i="11" s="1"/>
  <c r="I191" i="13" s="1"/>
  <c r="J222" i="15"/>
  <c r="K222" i="15" s="1"/>
  <c r="K220" i="13" s="1"/>
  <c r="J508" i="11"/>
  <c r="K508" i="11" s="1"/>
  <c r="I506" i="13" s="1"/>
  <c r="J329" i="14"/>
  <c r="K329" i="14" s="1"/>
  <c r="J327" i="13" s="1"/>
  <c r="J134" i="15"/>
  <c r="K134" i="15" s="1"/>
  <c r="K132" i="13" s="1"/>
  <c r="J498" i="15"/>
  <c r="K498" i="15" s="1"/>
  <c r="K496" i="13" s="1"/>
  <c r="J63" i="11"/>
  <c r="K63" i="11" s="1"/>
  <c r="I61" i="13" s="1"/>
  <c r="J355" i="15"/>
  <c r="K355" i="15" s="1"/>
  <c r="K353" i="13" s="1"/>
  <c r="J383" i="11"/>
  <c r="K383" i="11" s="1"/>
  <c r="I381" i="13" s="1"/>
  <c r="J201" i="14"/>
  <c r="K201" i="14" s="1"/>
  <c r="J199" i="13" s="1"/>
  <c r="J504" i="14"/>
  <c r="K504" i="14" s="1"/>
  <c r="J502" i="13" s="1"/>
  <c r="J330" i="14"/>
  <c r="K330" i="14" s="1"/>
  <c r="J328" i="13" s="1"/>
  <c r="J134" i="14"/>
  <c r="K134" i="14" s="1"/>
  <c r="J132" i="13" s="1"/>
  <c r="J56" i="11"/>
  <c r="K56" i="11" s="1"/>
  <c r="I54" i="13" s="1"/>
  <c r="J242" i="14"/>
  <c r="K242" i="14" s="1"/>
  <c r="J240" i="13" s="1"/>
  <c r="J6" i="15"/>
  <c r="K6" i="15" s="1"/>
  <c r="K4" i="13" s="1"/>
  <c r="J222" i="11"/>
  <c r="K222" i="11" s="1"/>
  <c r="I220" i="13" s="1"/>
  <c r="J254" i="11"/>
  <c r="K254" i="11" s="1"/>
  <c r="I252" i="13" s="1"/>
  <c r="J287" i="15"/>
  <c r="K287" i="15" s="1"/>
  <c r="K285" i="13" s="1"/>
  <c r="J271" i="15"/>
  <c r="K271" i="15" s="1"/>
  <c r="K269" i="13" s="1"/>
  <c r="J132" i="11"/>
  <c r="K132" i="11" s="1"/>
  <c r="I130" i="13" s="1"/>
  <c r="J86" i="15"/>
  <c r="K86" i="15" s="1"/>
  <c r="K84" i="13" s="1"/>
  <c r="J399" i="15"/>
  <c r="K399" i="15" s="1"/>
  <c r="K397" i="13" s="1"/>
  <c r="J497" i="11"/>
  <c r="K497" i="11" s="1"/>
  <c r="I495" i="13" s="1"/>
  <c r="J378" i="15"/>
  <c r="K378" i="15" s="1"/>
  <c r="K376" i="13" s="1"/>
  <c r="J215" i="11"/>
  <c r="K215" i="11" s="1"/>
  <c r="I213" i="13" s="1"/>
  <c r="J424" i="14"/>
  <c r="K424" i="14" s="1"/>
  <c r="J422" i="13" s="1"/>
  <c r="J89" i="11"/>
  <c r="K89" i="11" s="1"/>
  <c r="I87" i="13" s="1"/>
  <c r="J43" i="14"/>
  <c r="K43" i="14" s="1"/>
  <c r="J41" i="13" s="1"/>
  <c r="J180" i="14"/>
  <c r="K180" i="14" s="1"/>
  <c r="J178" i="13" s="1"/>
  <c r="J158" i="11"/>
  <c r="K158" i="11" s="1"/>
  <c r="I156" i="13" s="1"/>
  <c r="J486" i="11"/>
  <c r="K486" i="11" s="1"/>
  <c r="I484" i="13" s="1"/>
  <c r="J255" i="15"/>
  <c r="K255" i="15" s="1"/>
  <c r="K253" i="13" s="1"/>
  <c r="J14" i="15"/>
  <c r="K14" i="15" s="1"/>
  <c r="K12" i="13" s="1"/>
  <c r="J94" i="15"/>
  <c r="K94" i="15" s="1"/>
  <c r="K92" i="13" s="1"/>
  <c r="J325" i="11"/>
  <c r="K325" i="11" s="1"/>
  <c r="I323" i="13" s="1"/>
  <c r="J94" i="14"/>
  <c r="K94" i="14" s="1"/>
  <c r="J92" i="13" s="1"/>
  <c r="J328" i="11"/>
  <c r="K328" i="11" s="1"/>
  <c r="I326" i="13" s="1"/>
  <c r="J26" i="14"/>
  <c r="K26" i="14" s="1"/>
  <c r="J24" i="13" s="1"/>
  <c r="J255" i="11"/>
  <c r="K255" i="11" s="1"/>
  <c r="I253" i="13" s="1"/>
  <c r="J282" i="14"/>
  <c r="K282" i="14" s="1"/>
  <c r="J280" i="13" s="1"/>
  <c r="J91" i="14"/>
  <c r="K91" i="14" s="1"/>
  <c r="J89" i="13" s="1"/>
  <c r="J396" i="14"/>
  <c r="K396" i="14" s="1"/>
  <c r="J394" i="13" s="1"/>
  <c r="J515" i="11"/>
  <c r="K515" i="11" s="1"/>
  <c r="I513" i="13" s="1"/>
  <c r="J497" i="15"/>
  <c r="K497" i="15" s="1"/>
  <c r="K495" i="13" s="1"/>
  <c r="J297" i="11"/>
  <c r="K297" i="11" s="1"/>
  <c r="I295" i="13" s="1"/>
  <c r="J475" i="15"/>
  <c r="K475" i="15" s="1"/>
  <c r="K473" i="13" s="1"/>
  <c r="J139" i="14"/>
  <c r="K139" i="14" s="1"/>
  <c r="J137" i="13" s="1"/>
  <c r="J419" i="15"/>
  <c r="K419" i="15" s="1"/>
  <c r="K417" i="13" s="1"/>
  <c r="J8" i="15"/>
  <c r="K8" i="15" s="1"/>
  <c r="K6" i="13" s="1"/>
  <c r="J150" i="11"/>
  <c r="K150" i="11" s="1"/>
  <c r="I148" i="13" s="1"/>
  <c r="J263" i="14"/>
  <c r="K263" i="14" s="1"/>
  <c r="J261" i="13" s="1"/>
  <c r="J413" i="15"/>
  <c r="K413" i="15" s="1"/>
  <c r="K411" i="13" s="1"/>
  <c r="J214" i="14"/>
  <c r="K214" i="14" s="1"/>
  <c r="J212" i="13" s="1"/>
  <c r="J502" i="14"/>
  <c r="K502" i="14" s="1"/>
  <c r="J500" i="13" s="1"/>
  <c r="J127" i="15"/>
  <c r="K127" i="15" s="1"/>
  <c r="K125" i="13" s="1"/>
  <c r="J115" i="11"/>
  <c r="K115" i="11" s="1"/>
  <c r="I113" i="13" s="1"/>
  <c r="J231" i="14"/>
  <c r="K231" i="14" s="1"/>
  <c r="J229" i="13" s="1"/>
  <c r="J347" i="15"/>
  <c r="K347" i="15" s="1"/>
  <c r="K345" i="13" s="1"/>
  <c r="J304" i="15"/>
  <c r="K304" i="15" s="1"/>
  <c r="K302" i="13" s="1"/>
  <c r="J117" i="15"/>
  <c r="K117" i="15" s="1"/>
  <c r="K115" i="13" s="1"/>
  <c r="J116" i="15"/>
  <c r="K116" i="15" s="1"/>
  <c r="K114" i="13" s="1"/>
  <c r="J255" i="14"/>
  <c r="K255" i="14" s="1"/>
  <c r="J253" i="13" s="1"/>
  <c r="J506" i="15"/>
  <c r="K506" i="15" s="1"/>
  <c r="K504" i="13" s="1"/>
  <c r="J342" i="15"/>
  <c r="K342" i="15" s="1"/>
  <c r="K340" i="13" s="1"/>
  <c r="J79" i="15"/>
  <c r="K79" i="15" s="1"/>
  <c r="K77" i="13" s="1"/>
  <c r="J169" i="14"/>
  <c r="K169" i="14" s="1"/>
  <c r="J167" i="13" s="1"/>
  <c r="J78" i="11"/>
  <c r="K78" i="11" s="1"/>
  <c r="I76" i="13" s="1"/>
  <c r="J45" i="14"/>
  <c r="K45" i="14" s="1"/>
  <c r="J43" i="13" s="1"/>
  <c r="J416" i="11"/>
  <c r="K416" i="11" s="1"/>
  <c r="I414" i="13" s="1"/>
  <c r="N763" i="1"/>
  <c r="Q763" i="1"/>
  <c r="F761" i="13" s="1"/>
  <c r="L761" i="13" s="1"/>
  <c r="J483" i="15"/>
  <c r="K483" i="15" s="1"/>
  <c r="K481" i="13" s="1"/>
  <c r="J90" i="14"/>
  <c r="K90" i="14" s="1"/>
  <c r="J88" i="13" s="1"/>
  <c r="J12" i="15"/>
  <c r="K12" i="15" s="1"/>
  <c r="K10" i="13" s="1"/>
  <c r="J311" i="11"/>
  <c r="K311" i="11" s="1"/>
  <c r="I309" i="13" s="1"/>
  <c r="J48" i="11"/>
  <c r="K48" i="11" s="1"/>
  <c r="I46" i="13" s="1"/>
  <c r="J202" i="14"/>
  <c r="K202" i="14" s="1"/>
  <c r="J200" i="13" s="1"/>
  <c r="J488" i="14"/>
  <c r="K488" i="14" s="1"/>
  <c r="J486" i="13" s="1"/>
  <c r="J22" i="14"/>
  <c r="K22" i="14" s="1"/>
  <c r="J20" i="13" s="1"/>
  <c r="J18" i="15"/>
  <c r="K18" i="15" s="1"/>
  <c r="K16" i="13" s="1"/>
  <c r="J96" i="14"/>
  <c r="K96" i="14" s="1"/>
  <c r="J94" i="13" s="1"/>
  <c r="J249" i="15"/>
  <c r="K249" i="15" s="1"/>
  <c r="K247" i="13" s="1"/>
  <c r="J424" i="15"/>
  <c r="K424" i="15" s="1"/>
  <c r="K422" i="13" s="1"/>
  <c r="J321" i="11"/>
  <c r="K321" i="11" s="1"/>
  <c r="I319" i="13" s="1"/>
  <c r="J149" i="14"/>
  <c r="K149" i="14" s="1"/>
  <c r="J147" i="13" s="1"/>
  <c r="J34" i="14"/>
  <c r="K34" i="14" s="1"/>
  <c r="J32" i="13" s="1"/>
  <c r="J514" i="15"/>
  <c r="K514" i="15" s="1"/>
  <c r="K512" i="13" s="1"/>
  <c r="J55" i="15"/>
  <c r="K55" i="15" s="1"/>
  <c r="K53" i="13" s="1"/>
  <c r="J470" i="15"/>
  <c r="K470" i="15" s="1"/>
  <c r="K468" i="13" s="1"/>
  <c r="J148" i="15"/>
  <c r="K148" i="15" s="1"/>
  <c r="K146" i="13" s="1"/>
  <c r="J63" i="15"/>
  <c r="K63" i="15" s="1"/>
  <c r="K61" i="13" s="1"/>
  <c r="J252" i="11"/>
  <c r="K252" i="11" s="1"/>
  <c r="I250" i="13" s="1"/>
  <c r="J106" i="14"/>
  <c r="K106" i="14" s="1"/>
  <c r="J104" i="13" s="1"/>
  <c r="J372" i="15"/>
  <c r="K372" i="15" s="1"/>
  <c r="K370" i="13" s="1"/>
  <c r="J16" i="11"/>
  <c r="K16" i="11" s="1"/>
  <c r="I14" i="13" s="1"/>
  <c r="J180" i="11"/>
  <c r="K180" i="11" s="1"/>
  <c r="I178" i="13" s="1"/>
  <c r="J280" i="14"/>
  <c r="K280" i="14" s="1"/>
  <c r="J278" i="13" s="1"/>
  <c r="J171" i="15"/>
  <c r="K171" i="15" s="1"/>
  <c r="K169" i="13" s="1"/>
  <c r="J465" i="15"/>
  <c r="K465" i="15" s="1"/>
  <c r="K463" i="13" s="1"/>
  <c r="J499" i="11"/>
  <c r="K499" i="11" s="1"/>
  <c r="I497" i="13" s="1"/>
  <c r="J325" i="15"/>
  <c r="K325" i="15" s="1"/>
  <c r="K323" i="13" s="1"/>
  <c r="J331" i="15"/>
  <c r="K331" i="15" s="1"/>
  <c r="K329" i="13" s="1"/>
  <c r="J41" i="11"/>
  <c r="K41" i="11" s="1"/>
  <c r="I39" i="13" s="1"/>
  <c r="J423" i="14"/>
  <c r="K423" i="14" s="1"/>
  <c r="J421" i="13" s="1"/>
  <c r="J492" i="11"/>
  <c r="K492" i="11" s="1"/>
  <c r="I490" i="13" s="1"/>
  <c r="J415" i="11"/>
  <c r="K415" i="11" s="1"/>
  <c r="I413" i="13" s="1"/>
  <c r="J336" i="11"/>
  <c r="K336" i="11" s="1"/>
  <c r="I334" i="13" s="1"/>
  <c r="J329" i="15"/>
  <c r="K329" i="15" s="1"/>
  <c r="K327" i="13" s="1"/>
  <c r="J27" i="15"/>
  <c r="K27" i="15" s="1"/>
  <c r="K25" i="13" s="1"/>
  <c r="J239" i="15"/>
  <c r="K239" i="15" s="1"/>
  <c r="K237" i="13" s="1"/>
  <c r="J66" i="11"/>
  <c r="K66" i="11" s="1"/>
  <c r="I64" i="13" s="1"/>
  <c r="J44" i="15"/>
  <c r="K44" i="15" s="1"/>
  <c r="K42" i="13" s="1"/>
  <c r="J309" i="15"/>
  <c r="K309" i="15" s="1"/>
  <c r="K307" i="13" s="1"/>
  <c r="J85" i="15"/>
  <c r="K85" i="15" s="1"/>
  <c r="K83" i="13" s="1"/>
  <c r="J466" i="11"/>
  <c r="K466" i="11" s="1"/>
  <c r="I464" i="13" s="1"/>
  <c r="J471" i="11"/>
  <c r="K471" i="11" s="1"/>
  <c r="I469" i="13" s="1"/>
  <c r="J163" i="14"/>
  <c r="K163" i="14" s="1"/>
  <c r="J161" i="13" s="1"/>
  <c r="J289" i="15"/>
  <c r="K289" i="15" s="1"/>
  <c r="K287" i="13" s="1"/>
  <c r="J228" i="11"/>
  <c r="K228" i="11" s="1"/>
  <c r="I226" i="13" s="1"/>
  <c r="J302" i="11"/>
  <c r="K302" i="11" s="1"/>
  <c r="I300" i="13" s="1"/>
  <c r="J6" i="14"/>
  <c r="K6" i="14" s="1"/>
  <c r="J4" i="13" s="1"/>
  <c r="J183" i="14"/>
  <c r="K183" i="14" s="1"/>
  <c r="J181" i="13" s="1"/>
  <c r="J478" i="11"/>
  <c r="K478" i="11" s="1"/>
  <c r="I476" i="13" s="1"/>
  <c r="J456" i="15"/>
  <c r="K456" i="15" s="1"/>
  <c r="K454" i="13" s="1"/>
  <c r="J68" i="15"/>
  <c r="K68" i="15" s="1"/>
  <c r="K66" i="13" s="1"/>
  <c r="J15" i="14"/>
  <c r="K15" i="14" s="1"/>
  <c r="J13" i="13" s="1"/>
  <c r="J474" i="15"/>
  <c r="K474" i="15" s="1"/>
  <c r="K472" i="13" s="1"/>
  <c r="J50" i="15"/>
  <c r="K50" i="15" s="1"/>
  <c r="K48" i="13" s="1"/>
  <c r="J48" i="15"/>
  <c r="K48" i="15" s="1"/>
  <c r="K46" i="13" s="1"/>
  <c r="J250" i="14"/>
  <c r="K250" i="14" s="1"/>
  <c r="J248" i="13" s="1"/>
  <c r="J147" i="14"/>
  <c r="K147" i="14" s="1"/>
  <c r="J145" i="13" s="1"/>
  <c r="J208" i="14"/>
  <c r="K208" i="14" s="1"/>
  <c r="J206" i="13" s="1"/>
  <c r="J334" i="15"/>
  <c r="K334" i="15" s="1"/>
  <c r="K332" i="13" s="1"/>
  <c r="J415" i="14"/>
  <c r="K415" i="14" s="1"/>
  <c r="J413" i="13" s="1"/>
  <c r="J351" i="11"/>
  <c r="K351" i="11" s="1"/>
  <c r="I349" i="13" s="1"/>
  <c r="J195" i="11"/>
  <c r="K195" i="11" s="1"/>
  <c r="I193" i="13" s="1"/>
  <c r="J442" i="11"/>
  <c r="K442" i="11" s="1"/>
  <c r="I440" i="13" s="1"/>
  <c r="J296" i="11"/>
  <c r="K296" i="11" s="1"/>
  <c r="I294" i="13" s="1"/>
  <c r="J194" i="15"/>
  <c r="K194" i="15" s="1"/>
  <c r="K192" i="13" s="1"/>
  <c r="J359" i="14"/>
  <c r="K359" i="14" s="1"/>
  <c r="J357" i="13" s="1"/>
  <c r="J20" i="15"/>
  <c r="K20" i="15" s="1"/>
  <c r="K18" i="13" s="1"/>
  <c r="J228" i="14"/>
  <c r="K228" i="14" s="1"/>
  <c r="J226" i="13" s="1"/>
  <c r="J302" i="14"/>
  <c r="K302" i="14" s="1"/>
  <c r="J300" i="13" s="1"/>
  <c r="J306" i="11"/>
  <c r="K306" i="11" s="1"/>
  <c r="I304" i="13" s="1"/>
  <c r="J175" i="15"/>
  <c r="K175" i="15" s="1"/>
  <c r="K173" i="13" s="1"/>
  <c r="J241" i="14"/>
  <c r="K241" i="14" s="1"/>
  <c r="J239" i="13" s="1"/>
  <c r="J368" i="15"/>
  <c r="K368" i="15" s="1"/>
  <c r="K366" i="13" s="1"/>
  <c r="J216" i="15"/>
  <c r="K216" i="15" s="1"/>
  <c r="K214" i="13" s="1"/>
  <c r="J344" i="11"/>
  <c r="K344" i="11" s="1"/>
  <c r="I342" i="13" s="1"/>
  <c r="J80" i="11"/>
  <c r="K80" i="11" s="1"/>
  <c r="I78" i="13" s="1"/>
  <c r="J135" i="14"/>
  <c r="K135" i="14" s="1"/>
  <c r="J133" i="13" s="1"/>
  <c r="J113" i="11"/>
  <c r="K113" i="11" s="1"/>
  <c r="I111" i="13" s="1"/>
  <c r="J122" i="14"/>
  <c r="K122" i="14" s="1"/>
  <c r="J120" i="13" s="1"/>
  <c r="J499" i="15"/>
  <c r="K499" i="15" s="1"/>
  <c r="K497" i="13" s="1"/>
  <c r="J388" i="15"/>
  <c r="K388" i="15" s="1"/>
  <c r="K386" i="13" s="1"/>
  <c r="J511" i="11"/>
  <c r="K511" i="11" s="1"/>
  <c r="I509" i="13" s="1"/>
  <c r="J376" i="14"/>
  <c r="K376" i="14" s="1"/>
  <c r="J374" i="13" s="1"/>
  <c r="J410" i="15"/>
  <c r="K410" i="15" s="1"/>
  <c r="K408" i="13" s="1"/>
  <c r="J91" i="15"/>
  <c r="K91" i="15" s="1"/>
  <c r="K89" i="13" s="1"/>
  <c r="J292" i="15"/>
  <c r="K292" i="15" s="1"/>
  <c r="K290" i="13" s="1"/>
  <c r="J238" i="11"/>
  <c r="K238" i="11" s="1"/>
  <c r="I236" i="13" s="1"/>
  <c r="J442" i="14"/>
  <c r="K442" i="14" s="1"/>
  <c r="J440" i="13" s="1"/>
  <c r="J427" i="15"/>
  <c r="K427" i="15" s="1"/>
  <c r="K425" i="13" s="1"/>
  <c r="J105" i="15"/>
  <c r="K105" i="15" s="1"/>
  <c r="K103" i="13" s="1"/>
  <c r="J405" i="14"/>
  <c r="K405" i="14" s="1"/>
  <c r="J403" i="13" s="1"/>
  <c r="J82" i="11"/>
  <c r="K82" i="11" s="1"/>
  <c r="I80" i="13" s="1"/>
  <c r="J386" i="11"/>
  <c r="K386" i="11" s="1"/>
  <c r="I384" i="13" s="1"/>
  <c r="J6" i="11"/>
  <c r="K6" i="11" s="1"/>
  <c r="I4" i="13" s="1"/>
  <c r="N656" i="1"/>
  <c r="J77" i="14"/>
  <c r="K77" i="14" s="1"/>
  <c r="J75" i="13" s="1"/>
  <c r="J285" i="15"/>
  <c r="K285" i="15" s="1"/>
  <c r="K283" i="13" s="1"/>
  <c r="J372" i="14"/>
  <c r="K372" i="14" s="1"/>
  <c r="J370" i="13" s="1"/>
  <c r="J478" i="14"/>
  <c r="K478" i="14" s="1"/>
  <c r="J476" i="13" s="1"/>
  <c r="J331" i="14"/>
  <c r="K331" i="14" s="1"/>
  <c r="J329" i="13" s="1"/>
  <c r="J251" i="11"/>
  <c r="K251" i="11" s="1"/>
  <c r="I249" i="13" s="1"/>
  <c r="J34" i="15"/>
  <c r="K34" i="15" s="1"/>
  <c r="K32" i="13" s="1"/>
  <c r="J215" i="15"/>
  <c r="K215" i="15" s="1"/>
  <c r="K213" i="13" s="1"/>
  <c r="J81" i="11"/>
  <c r="K81" i="11" s="1"/>
  <c r="I79" i="13" s="1"/>
  <c r="J281" i="15"/>
  <c r="K281" i="15" s="1"/>
  <c r="K279" i="13" s="1"/>
  <c r="J229" i="14"/>
  <c r="K229" i="14" s="1"/>
  <c r="J227" i="13" s="1"/>
  <c r="J90" i="11"/>
  <c r="K90" i="11" s="1"/>
  <c r="I88" i="13" s="1"/>
  <c r="J125" i="14"/>
  <c r="K125" i="14" s="1"/>
  <c r="J123" i="13" s="1"/>
  <c r="J379" i="14"/>
  <c r="K379" i="14" s="1"/>
  <c r="J377" i="13" s="1"/>
  <c r="J222" i="14"/>
  <c r="K222" i="14" s="1"/>
  <c r="J220" i="13" s="1"/>
  <c r="J312" i="11"/>
  <c r="K312" i="11" s="1"/>
  <c r="I310" i="13" s="1"/>
  <c r="J221" i="14"/>
  <c r="K221" i="14" s="1"/>
  <c r="J219" i="13" s="1"/>
  <c r="J218" i="14"/>
  <c r="K218" i="14" s="1"/>
  <c r="J216" i="13" s="1"/>
  <c r="J124" i="15"/>
  <c r="K124" i="15" s="1"/>
  <c r="K122" i="13" s="1"/>
  <c r="J89" i="14"/>
  <c r="K89" i="14" s="1"/>
  <c r="J87" i="13" s="1"/>
  <c r="J160" i="11"/>
  <c r="K160" i="11" s="1"/>
  <c r="I158" i="13" s="1"/>
  <c r="J319" i="11"/>
  <c r="K319" i="11" s="1"/>
  <c r="I317" i="13" s="1"/>
  <c r="J392" i="14"/>
  <c r="K392" i="14" s="1"/>
  <c r="J390" i="13" s="1"/>
  <c r="J310" i="14"/>
  <c r="K310" i="14" s="1"/>
  <c r="J308" i="13" s="1"/>
  <c r="J218" i="15"/>
  <c r="K218" i="15" s="1"/>
  <c r="K216" i="13" s="1"/>
  <c r="J310" i="15"/>
  <c r="K310" i="15" s="1"/>
  <c r="K308" i="13" s="1"/>
  <c r="J220" i="15"/>
  <c r="K220" i="15" s="1"/>
  <c r="K218" i="13" s="1"/>
  <c r="J31" i="11"/>
  <c r="K31" i="11" s="1"/>
  <c r="I29" i="13" s="1"/>
  <c r="J203" i="11"/>
  <c r="K203" i="11" s="1"/>
  <c r="I201" i="13" s="1"/>
  <c r="J424" i="11"/>
  <c r="K424" i="11" s="1"/>
  <c r="I422" i="13" s="1"/>
  <c r="J410" i="11"/>
  <c r="K410" i="11" s="1"/>
  <c r="I408" i="13" s="1"/>
  <c r="J487" i="15"/>
  <c r="K487" i="15" s="1"/>
  <c r="K485" i="13" s="1"/>
  <c r="J341" i="15"/>
  <c r="K341" i="15" s="1"/>
  <c r="K339" i="13" s="1"/>
  <c r="J511" i="15"/>
  <c r="K511" i="15" s="1"/>
  <c r="K509" i="13" s="1"/>
  <c r="J173" i="11"/>
  <c r="K173" i="11" s="1"/>
  <c r="I171" i="13" s="1"/>
  <c r="J187" i="14"/>
  <c r="K187" i="14" s="1"/>
  <c r="J185" i="13" s="1"/>
  <c r="J115" i="14"/>
  <c r="K115" i="14" s="1"/>
  <c r="J113" i="13" s="1"/>
  <c r="J476" i="11"/>
  <c r="K476" i="11" s="1"/>
  <c r="I474" i="13" s="1"/>
  <c r="J337" i="11"/>
  <c r="K337" i="11" s="1"/>
  <c r="I335" i="13" s="1"/>
  <c r="J248" i="14"/>
  <c r="K248" i="14" s="1"/>
  <c r="J246" i="13" s="1"/>
  <c r="J426" i="14"/>
  <c r="K426" i="14" s="1"/>
  <c r="J424" i="13" s="1"/>
  <c r="J344" i="14"/>
  <c r="K344" i="14" s="1"/>
  <c r="J342" i="13" s="1"/>
  <c r="J83" i="15"/>
  <c r="K83" i="15" s="1"/>
  <c r="K81" i="13" s="1"/>
  <c r="J446" i="14"/>
  <c r="K446" i="14" s="1"/>
  <c r="J444" i="13" s="1"/>
  <c r="J350" i="14"/>
  <c r="K350" i="14" s="1"/>
  <c r="J348" i="13" s="1"/>
  <c r="J341" i="11"/>
  <c r="K341" i="11" s="1"/>
  <c r="I339" i="13" s="1"/>
  <c r="J114" i="15"/>
  <c r="K114" i="15" s="1"/>
  <c r="K112" i="13" s="1"/>
  <c r="J432" i="15"/>
  <c r="K432" i="15" s="1"/>
  <c r="K430" i="13" s="1"/>
  <c r="J247" i="11"/>
  <c r="K247" i="11" s="1"/>
  <c r="I245" i="13" s="1"/>
  <c r="J76" i="11"/>
  <c r="K76" i="11" s="1"/>
  <c r="I74" i="13" s="1"/>
  <c r="J463" i="11"/>
  <c r="K463" i="11" s="1"/>
  <c r="I461" i="13" s="1"/>
  <c r="J382" i="14"/>
  <c r="K382" i="14" s="1"/>
  <c r="J380" i="13" s="1"/>
  <c r="J31" i="14"/>
  <c r="K31" i="14" s="1"/>
  <c r="J29" i="13" s="1"/>
  <c r="J385" i="11"/>
  <c r="K385" i="11" s="1"/>
  <c r="I383" i="13" s="1"/>
  <c r="J245" i="14"/>
  <c r="K245" i="14" s="1"/>
  <c r="J243" i="13" s="1"/>
  <c r="J482" i="14"/>
  <c r="K482" i="14" s="1"/>
  <c r="J480" i="13" s="1"/>
  <c r="J402" i="11"/>
  <c r="K402" i="11" s="1"/>
  <c r="I400" i="13" s="1"/>
  <c r="J517" i="14"/>
  <c r="K517" i="14" s="1"/>
  <c r="J515" i="13" s="1"/>
  <c r="J370" i="11"/>
  <c r="K370" i="11" s="1"/>
  <c r="I368" i="13" s="1"/>
  <c r="J154" i="11"/>
  <c r="K154" i="11" s="1"/>
  <c r="I152" i="13" s="1"/>
  <c r="J128" i="11"/>
  <c r="K128" i="11" s="1"/>
  <c r="I126" i="13" s="1"/>
  <c r="J459" i="11"/>
  <c r="K459" i="11" s="1"/>
  <c r="I457" i="13" s="1"/>
  <c r="J433" i="14"/>
  <c r="K433" i="14" s="1"/>
  <c r="J431" i="13" s="1"/>
  <c r="J136" i="11"/>
  <c r="K136" i="11" s="1"/>
  <c r="I134" i="13" s="1"/>
  <c r="J440" i="11"/>
  <c r="K440" i="11" s="1"/>
  <c r="I438" i="13" s="1"/>
  <c r="J167" i="15"/>
  <c r="K167" i="15" s="1"/>
  <c r="K165" i="13" s="1"/>
  <c r="J74" i="15"/>
  <c r="K74" i="15" s="1"/>
  <c r="K72" i="13" s="1"/>
  <c r="J13" i="14"/>
  <c r="K13" i="14" s="1"/>
  <c r="J11" i="13" s="1"/>
  <c r="J318" i="11"/>
  <c r="K318" i="11" s="1"/>
  <c r="I316" i="13" s="1"/>
  <c r="J110" i="11"/>
  <c r="K110" i="11" s="1"/>
  <c r="I108" i="13" s="1"/>
  <c r="J88" i="15"/>
  <c r="K88" i="15" s="1"/>
  <c r="K86" i="13" s="1"/>
  <c r="J397" i="15"/>
  <c r="K397" i="15" s="1"/>
  <c r="K395" i="13" s="1"/>
  <c r="J293" i="11"/>
  <c r="K293" i="11" s="1"/>
  <c r="I291" i="13" s="1"/>
  <c r="J490" i="14"/>
  <c r="K490" i="14" s="1"/>
  <c r="J488" i="13" s="1"/>
  <c r="J99" i="11"/>
  <c r="K99" i="11" s="1"/>
  <c r="I97" i="13" s="1"/>
  <c r="J21" i="14"/>
  <c r="K21" i="14" s="1"/>
  <c r="J19" i="13" s="1"/>
  <c r="J326" i="11"/>
  <c r="K326" i="11" s="1"/>
  <c r="I324" i="13" s="1"/>
  <c r="J263" i="15"/>
  <c r="K263" i="15" s="1"/>
  <c r="K261" i="13" s="1"/>
  <c r="J482" i="15"/>
  <c r="K482" i="15" s="1"/>
  <c r="K480" i="13" s="1"/>
  <c r="J434" i="14"/>
  <c r="K434" i="14" s="1"/>
  <c r="J432" i="13" s="1"/>
  <c r="J133" i="15"/>
  <c r="K133" i="15" s="1"/>
  <c r="K131" i="13" s="1"/>
  <c r="J323" i="14"/>
  <c r="K323" i="14" s="1"/>
  <c r="J321" i="13" s="1"/>
  <c r="J359" i="11"/>
  <c r="K359" i="11" s="1"/>
  <c r="I357" i="13" s="1"/>
  <c r="J270" i="11"/>
  <c r="K270" i="11" s="1"/>
  <c r="I268" i="13" s="1"/>
  <c r="J416" i="14"/>
  <c r="K416" i="14" s="1"/>
  <c r="J414" i="13" s="1"/>
  <c r="M544" i="1"/>
  <c r="P544" i="1" s="1"/>
  <c r="J223" i="11"/>
  <c r="K223" i="11" s="1"/>
  <c r="I221" i="13" s="1"/>
  <c r="J48" i="14"/>
  <c r="K48" i="14" s="1"/>
  <c r="J46" i="13" s="1"/>
  <c r="J47" i="15"/>
  <c r="K47" i="15" s="1"/>
  <c r="K45" i="13" s="1"/>
  <c r="J367" i="14"/>
  <c r="K367" i="14" s="1"/>
  <c r="J365" i="13" s="1"/>
  <c r="J128" i="15"/>
  <c r="K128" i="15" s="1"/>
  <c r="K126" i="13" s="1"/>
  <c r="J186" i="14"/>
  <c r="K186" i="14" s="1"/>
  <c r="J184" i="13" s="1"/>
  <c r="J280" i="15"/>
  <c r="K280" i="15" s="1"/>
  <c r="K278" i="13" s="1"/>
  <c r="J43" i="15"/>
  <c r="K43" i="15" s="1"/>
  <c r="K41" i="13" s="1"/>
  <c r="J12" i="11"/>
  <c r="K12" i="11" s="1"/>
  <c r="I10" i="13" s="1"/>
  <c r="J366" i="15"/>
  <c r="K366" i="15" s="1"/>
  <c r="K364" i="13" s="1"/>
  <c r="J305" i="11"/>
  <c r="K305" i="11" s="1"/>
  <c r="I303" i="13" s="1"/>
  <c r="J354" i="14"/>
  <c r="K354" i="14" s="1"/>
  <c r="J352" i="13" s="1"/>
  <c r="J233" i="11"/>
  <c r="K233" i="11" s="1"/>
  <c r="I231" i="13" s="1"/>
  <c r="J342" i="11"/>
  <c r="K342" i="11" s="1"/>
  <c r="I340" i="13" s="1"/>
  <c r="J124" i="11"/>
  <c r="K124" i="11" s="1"/>
  <c r="I122" i="13" s="1"/>
  <c r="J178" i="11"/>
  <c r="K178" i="11" s="1"/>
  <c r="I176" i="13" s="1"/>
  <c r="J116" i="11"/>
  <c r="K116" i="11" s="1"/>
  <c r="I114" i="13" s="1"/>
  <c r="J320" i="15"/>
  <c r="K320" i="15" s="1"/>
  <c r="K318" i="13" s="1"/>
  <c r="J144" i="11"/>
  <c r="K144" i="11" s="1"/>
  <c r="I142" i="13" s="1"/>
  <c r="J205" i="11"/>
  <c r="K205" i="11" s="1"/>
  <c r="I203" i="13" s="1"/>
  <c r="J315" i="11"/>
  <c r="K315" i="11" s="1"/>
  <c r="I313" i="13" s="1"/>
  <c r="J443" i="15"/>
  <c r="K443" i="15" s="1"/>
  <c r="K441" i="13" s="1"/>
  <c r="J440" i="15"/>
  <c r="K440" i="15" s="1"/>
  <c r="K438" i="13" s="1"/>
  <c r="J214" i="11"/>
  <c r="K214" i="11" s="1"/>
  <c r="I212" i="13" s="1"/>
  <c r="J473" i="11"/>
  <c r="K473" i="11" s="1"/>
  <c r="I471" i="13" s="1"/>
  <c r="J78" i="15"/>
  <c r="K78" i="15" s="1"/>
  <c r="K76" i="13" s="1"/>
  <c r="J151" i="11"/>
  <c r="K151" i="11" s="1"/>
  <c r="I149" i="13" s="1"/>
  <c r="J338" i="14"/>
  <c r="K338" i="14" s="1"/>
  <c r="J336" i="13" s="1"/>
  <c r="J130" i="11"/>
  <c r="K130" i="11" s="1"/>
  <c r="I128" i="13" s="1"/>
  <c r="J373" i="15"/>
  <c r="K373" i="15" s="1"/>
  <c r="K371" i="13" s="1"/>
  <c r="J107" i="15"/>
  <c r="K107" i="15" s="1"/>
  <c r="K105" i="13" s="1"/>
  <c r="J10" i="14"/>
  <c r="K10" i="14" s="1"/>
  <c r="J8" i="13" s="1"/>
  <c r="J464" i="14"/>
  <c r="K464" i="14" s="1"/>
  <c r="J462" i="13" s="1"/>
  <c r="J380" i="15"/>
  <c r="K380" i="15" s="1"/>
  <c r="K378" i="13" s="1"/>
  <c r="J269" i="15"/>
  <c r="K269" i="15" s="1"/>
  <c r="K267" i="13" s="1"/>
  <c r="J309" i="14"/>
  <c r="K309" i="14" s="1"/>
  <c r="J307" i="13" s="1"/>
  <c r="J189" i="15"/>
  <c r="K189" i="15" s="1"/>
  <c r="K187" i="13" s="1"/>
  <c r="J426" i="15"/>
  <c r="K426" i="15" s="1"/>
  <c r="K424" i="13" s="1"/>
  <c r="J239" i="14"/>
  <c r="K239" i="14" s="1"/>
  <c r="J237" i="13" s="1"/>
  <c r="J139" i="11"/>
  <c r="K139" i="11" s="1"/>
  <c r="I137" i="13" s="1"/>
  <c r="J314" i="11"/>
  <c r="K314" i="11" s="1"/>
  <c r="I312" i="13" s="1"/>
  <c r="J269" i="14"/>
  <c r="K269" i="14" s="1"/>
  <c r="J267" i="13" s="1"/>
  <c r="J193" i="14"/>
  <c r="K193" i="14" s="1"/>
  <c r="J191" i="13" s="1"/>
  <c r="J213" i="14"/>
  <c r="K213" i="14" s="1"/>
  <c r="J211" i="13" s="1"/>
  <c r="J42" i="15"/>
  <c r="K42" i="15" s="1"/>
  <c r="K40" i="13" s="1"/>
  <c r="J93" i="14"/>
  <c r="K93" i="14" s="1"/>
  <c r="J91" i="13" s="1"/>
  <c r="J266" i="11"/>
  <c r="K266" i="11" s="1"/>
  <c r="I264" i="13" s="1"/>
  <c r="J517" i="15"/>
  <c r="K517" i="15" s="1"/>
  <c r="K515" i="13" s="1"/>
  <c r="J112" i="11"/>
  <c r="K112" i="11" s="1"/>
  <c r="I110" i="13" s="1"/>
  <c r="J152" i="14"/>
  <c r="K152" i="14" s="1"/>
  <c r="J150" i="13" s="1"/>
  <c r="J418" i="15"/>
  <c r="K418" i="15" s="1"/>
  <c r="K416" i="13" s="1"/>
  <c r="J179" i="14"/>
  <c r="K179" i="14" s="1"/>
  <c r="J177" i="13" s="1"/>
  <c r="J374" i="15"/>
  <c r="K374" i="15" s="1"/>
  <c r="K372" i="13" s="1"/>
  <c r="J209" i="14"/>
  <c r="K209" i="14" s="1"/>
  <c r="J207" i="13" s="1"/>
  <c r="J428" i="15"/>
  <c r="K428" i="15" s="1"/>
  <c r="K426" i="13" s="1"/>
  <c r="J478" i="15"/>
  <c r="K478" i="15" s="1"/>
  <c r="K476" i="13" s="1"/>
  <c r="J464" i="11"/>
  <c r="K464" i="11" s="1"/>
  <c r="I462" i="13" s="1"/>
  <c r="J250" i="15"/>
  <c r="K250" i="15" s="1"/>
  <c r="K248" i="13" s="1"/>
  <c r="J391" i="11"/>
  <c r="K391" i="11" s="1"/>
  <c r="I389" i="13" s="1"/>
  <c r="J23" i="15"/>
  <c r="K23" i="15" s="1"/>
  <c r="K21" i="13" s="1"/>
  <c r="M747" i="1"/>
  <c r="J316" i="11"/>
  <c r="K316" i="11" s="1"/>
  <c r="I314" i="13" s="1"/>
  <c r="J251" i="15"/>
  <c r="K251" i="15" s="1"/>
  <c r="K249" i="13" s="1"/>
  <c r="J39" i="11"/>
  <c r="K39" i="11" s="1"/>
  <c r="I37" i="13" s="1"/>
  <c r="J96" i="15"/>
  <c r="K96" i="15" s="1"/>
  <c r="K94" i="13" s="1"/>
  <c r="J172" i="15"/>
  <c r="K172" i="15" s="1"/>
  <c r="K170" i="13" s="1"/>
  <c r="J240" i="15"/>
  <c r="K240" i="15" s="1"/>
  <c r="K238" i="13" s="1"/>
  <c r="J191" i="14"/>
  <c r="K191" i="14" s="1"/>
  <c r="J189" i="13" s="1"/>
  <c r="J44" i="14"/>
  <c r="K44" i="14" s="1"/>
  <c r="J42" i="13" s="1"/>
  <c r="J29" i="15"/>
  <c r="K29" i="15" s="1"/>
  <c r="K27" i="13" s="1"/>
  <c r="J404" i="11"/>
  <c r="K404" i="11" s="1"/>
  <c r="I402" i="13" s="1"/>
  <c r="J27" i="14"/>
  <c r="K27" i="14" s="1"/>
  <c r="J25" i="13" s="1"/>
  <c r="J475" i="14"/>
  <c r="K475" i="14" s="1"/>
  <c r="J473" i="13" s="1"/>
  <c r="J377" i="11"/>
  <c r="K377" i="11" s="1"/>
  <c r="I375" i="13" s="1"/>
  <c r="J363" i="11"/>
  <c r="K363" i="11" s="1"/>
  <c r="I361" i="13" s="1"/>
  <c r="J291" i="11"/>
  <c r="K291" i="11" s="1"/>
  <c r="I289" i="13" s="1"/>
  <c r="J472" i="15"/>
  <c r="K472" i="15" s="1"/>
  <c r="K470" i="13" s="1"/>
  <c r="J147" i="11"/>
  <c r="K147" i="11" s="1"/>
  <c r="I145" i="13" s="1"/>
  <c r="J56" i="15"/>
  <c r="K56" i="15" s="1"/>
  <c r="K54" i="13" s="1"/>
  <c r="J121" i="11"/>
  <c r="K121" i="11" s="1"/>
  <c r="I119" i="13" s="1"/>
  <c r="J419" i="11"/>
  <c r="K419" i="11" s="1"/>
  <c r="I417" i="13" s="1"/>
  <c r="J105" i="14"/>
  <c r="K105" i="14" s="1"/>
  <c r="J103" i="13" s="1"/>
  <c r="J93" i="11"/>
  <c r="K93" i="11" s="1"/>
  <c r="I91" i="13" s="1"/>
  <c r="J131" i="15"/>
  <c r="K131" i="15" s="1"/>
  <c r="K129" i="13" s="1"/>
  <c r="J379" i="15"/>
  <c r="K379" i="15" s="1"/>
  <c r="K377" i="13" s="1"/>
  <c r="J50" i="11"/>
  <c r="K50" i="11" s="1"/>
  <c r="I48" i="13" s="1"/>
  <c r="J461" i="14"/>
  <c r="K461" i="14" s="1"/>
  <c r="J459" i="13" s="1"/>
  <c r="J279" i="14"/>
  <c r="K279" i="14" s="1"/>
  <c r="J277" i="13" s="1"/>
  <c r="J58" i="11"/>
  <c r="K58" i="11" s="1"/>
  <c r="I56" i="13" s="1"/>
  <c r="J406" i="14"/>
  <c r="K406" i="14" s="1"/>
  <c r="J404" i="13" s="1"/>
  <c r="J378" i="14"/>
  <c r="K378" i="14" s="1"/>
  <c r="J376" i="13" s="1"/>
  <c r="J235" i="15"/>
  <c r="K235" i="15" s="1"/>
  <c r="K233" i="13" s="1"/>
  <c r="J411" i="15"/>
  <c r="K411" i="15" s="1"/>
  <c r="K409" i="13" s="1"/>
  <c r="J387" i="14"/>
  <c r="K387" i="14" s="1"/>
  <c r="J385" i="13" s="1"/>
  <c r="J237" i="14"/>
  <c r="K237" i="14" s="1"/>
  <c r="J235" i="13" s="1"/>
  <c r="J35" i="15"/>
  <c r="K35" i="15" s="1"/>
  <c r="K33" i="13" s="1"/>
  <c r="J132" i="15"/>
  <c r="K132" i="15" s="1"/>
  <c r="K130" i="13" s="1"/>
  <c r="J97" i="14"/>
  <c r="K97" i="14" s="1"/>
  <c r="J95" i="13" s="1"/>
  <c r="J211" i="14"/>
  <c r="K211" i="14" s="1"/>
  <c r="J209" i="13" s="1"/>
  <c r="J507" i="11"/>
  <c r="K507" i="11" s="1"/>
  <c r="I505" i="13" s="1"/>
  <c r="J412" i="14"/>
  <c r="K412" i="14" s="1"/>
  <c r="J410" i="13" s="1"/>
  <c r="J444" i="14"/>
  <c r="K444" i="14" s="1"/>
  <c r="J442" i="13" s="1"/>
  <c r="J295" i="11"/>
  <c r="K295" i="11" s="1"/>
  <c r="I293" i="13" s="1"/>
  <c r="J259" i="14"/>
  <c r="K259" i="14" s="1"/>
  <c r="J257" i="13" s="1"/>
  <c r="J385" i="14"/>
  <c r="K385" i="14" s="1"/>
  <c r="J383" i="13" s="1"/>
  <c r="J398" i="11"/>
  <c r="K398" i="11" s="1"/>
  <c r="I396" i="13" s="1"/>
  <c r="M741" i="1"/>
  <c r="J376" i="11"/>
  <c r="K376" i="11" s="1"/>
  <c r="I374" i="13" s="1"/>
  <c r="J447" i="15"/>
  <c r="K447" i="15" s="1"/>
  <c r="K445" i="13" s="1"/>
  <c r="J395" i="14"/>
  <c r="K395" i="14" s="1"/>
  <c r="J393" i="13" s="1"/>
  <c r="J10" i="11"/>
  <c r="K10" i="11" s="1"/>
  <c r="I8" i="13" s="1"/>
  <c r="J509" i="15"/>
  <c r="K509" i="15" s="1"/>
  <c r="K507" i="13" s="1"/>
  <c r="M838" i="1"/>
  <c r="P838" i="1" s="1"/>
  <c r="J221" i="15"/>
  <c r="K221" i="15" s="1"/>
  <c r="K219" i="13" s="1"/>
  <c r="J207" i="11"/>
  <c r="K207" i="11" s="1"/>
  <c r="I205" i="13" s="1"/>
  <c r="J386" i="15"/>
  <c r="K386" i="15" s="1"/>
  <c r="K384" i="13" s="1"/>
  <c r="J156" i="14"/>
  <c r="K156" i="14" s="1"/>
  <c r="J154" i="13" s="1"/>
  <c r="J354" i="15"/>
  <c r="K354" i="15" s="1"/>
  <c r="K352" i="13" s="1"/>
  <c r="J476" i="15"/>
  <c r="K476" i="15" s="1"/>
  <c r="K474" i="13" s="1"/>
  <c r="J87" i="14"/>
  <c r="K87" i="14" s="1"/>
  <c r="J85" i="13" s="1"/>
  <c r="J337" i="15"/>
  <c r="K337" i="15" s="1"/>
  <c r="K335" i="13" s="1"/>
  <c r="J453" i="11"/>
  <c r="K453" i="11" s="1"/>
  <c r="I451" i="13" s="1"/>
  <c r="J219" i="15"/>
  <c r="K219" i="15" s="1"/>
  <c r="K217" i="13" s="1"/>
  <c r="J437" i="15"/>
  <c r="K437" i="15" s="1"/>
  <c r="K435" i="13" s="1"/>
  <c r="J169" i="11"/>
  <c r="K169" i="11" s="1"/>
  <c r="I167" i="13" s="1"/>
  <c r="J178" i="14"/>
  <c r="K178" i="14" s="1"/>
  <c r="J176" i="13" s="1"/>
  <c r="J51" i="14"/>
  <c r="K51" i="14" s="1"/>
  <c r="J49" i="13" s="1"/>
  <c r="J278" i="15"/>
  <c r="K278" i="15" s="1"/>
  <c r="K276" i="13" s="1"/>
  <c r="J178" i="15"/>
  <c r="K178" i="15" s="1"/>
  <c r="K176" i="13" s="1"/>
  <c r="J446" i="15"/>
  <c r="K446" i="15" s="1"/>
  <c r="K444" i="13" s="1"/>
  <c r="J445" i="14"/>
  <c r="K445" i="14" s="1"/>
  <c r="J443" i="13" s="1"/>
  <c r="J184" i="14"/>
  <c r="K184" i="14" s="1"/>
  <c r="J182" i="13" s="1"/>
  <c r="J177" i="11"/>
  <c r="K177" i="11" s="1"/>
  <c r="I175" i="13" s="1"/>
  <c r="J28" i="14"/>
  <c r="K28" i="14" s="1"/>
  <c r="J26" i="13" s="1"/>
  <c r="J477" i="14"/>
  <c r="K477" i="14" s="1"/>
  <c r="J475" i="13" s="1"/>
  <c r="J18" i="14"/>
  <c r="K18" i="14" s="1"/>
  <c r="J16" i="13" s="1"/>
  <c r="J33" i="15"/>
  <c r="K33" i="15" s="1"/>
  <c r="K31" i="13" s="1"/>
  <c r="J251" i="14"/>
  <c r="K251" i="14" s="1"/>
  <c r="J249" i="13" s="1"/>
  <c r="J277" i="11"/>
  <c r="K277" i="11" s="1"/>
  <c r="I275" i="13" s="1"/>
  <c r="J399" i="14"/>
  <c r="K399" i="14" s="1"/>
  <c r="J397" i="13" s="1"/>
  <c r="J32" i="11"/>
  <c r="K32" i="11" s="1"/>
  <c r="I30" i="13" s="1"/>
  <c r="J127" i="11"/>
  <c r="K127" i="11" s="1"/>
  <c r="I125" i="13" s="1"/>
  <c r="J35" i="14"/>
  <c r="K35" i="14" s="1"/>
  <c r="J33" i="13" s="1"/>
  <c r="J425" i="11"/>
  <c r="K425" i="11" s="1"/>
  <c r="I423" i="13" s="1"/>
  <c r="J399" i="11"/>
  <c r="K399" i="11" s="1"/>
  <c r="I397" i="13" s="1"/>
  <c r="J121" i="14"/>
  <c r="K121" i="14" s="1"/>
  <c r="J119" i="13" s="1"/>
  <c r="J369" i="11"/>
  <c r="K369" i="11" s="1"/>
  <c r="I367" i="13" s="1"/>
  <c r="J430" i="11"/>
  <c r="K430" i="11" s="1"/>
  <c r="I428" i="13" s="1"/>
  <c r="J102" i="11"/>
  <c r="K102" i="11" s="1"/>
  <c r="I100" i="13" s="1"/>
  <c r="J358" i="14"/>
  <c r="K358" i="14" s="1"/>
  <c r="J356" i="13" s="1"/>
  <c r="J324" i="14"/>
  <c r="K324" i="14" s="1"/>
  <c r="J322" i="13" s="1"/>
  <c r="J57" i="14"/>
  <c r="K57" i="14" s="1"/>
  <c r="J55" i="13" s="1"/>
  <c r="J15" i="11"/>
  <c r="K15" i="11" s="1"/>
  <c r="I13" i="13" s="1"/>
  <c r="J105" i="11"/>
  <c r="K105" i="11" s="1"/>
  <c r="I103" i="13" s="1"/>
  <c r="J407" i="11"/>
  <c r="K407" i="11" s="1"/>
  <c r="I405" i="13" s="1"/>
  <c r="J332" i="14"/>
  <c r="K332" i="14" s="1"/>
  <c r="J330" i="13" s="1"/>
  <c r="J310" i="11"/>
  <c r="K310" i="11" s="1"/>
  <c r="I308" i="13" s="1"/>
  <c r="J439" i="15"/>
  <c r="K439" i="15" s="1"/>
  <c r="K437" i="13" s="1"/>
  <c r="J307" i="14"/>
  <c r="K307" i="14" s="1"/>
  <c r="J305" i="13" s="1"/>
  <c r="J196" i="11"/>
  <c r="K196" i="11" s="1"/>
  <c r="I194" i="13" s="1"/>
  <c r="J346" i="11"/>
  <c r="K346" i="11" s="1"/>
  <c r="I344" i="13" s="1"/>
  <c r="J366" i="11"/>
  <c r="K366" i="11" s="1"/>
  <c r="I364" i="13" s="1"/>
  <c r="J364" i="14"/>
  <c r="K364" i="14" s="1"/>
  <c r="J362" i="13" s="1"/>
  <c r="J153" i="15"/>
  <c r="K153" i="15" s="1"/>
  <c r="K151" i="13" s="1"/>
  <c r="J461" i="11"/>
  <c r="K461" i="11" s="1"/>
  <c r="I459" i="13" s="1"/>
  <c r="J263" i="11"/>
  <c r="K263" i="11" s="1"/>
  <c r="I261" i="13" s="1"/>
  <c r="J145" i="11"/>
  <c r="K145" i="11" s="1"/>
  <c r="I143" i="13" s="1"/>
  <c r="J75" i="14"/>
  <c r="K75" i="14" s="1"/>
  <c r="J73" i="13" s="1"/>
  <c r="J160" i="15"/>
  <c r="K160" i="15" s="1"/>
  <c r="K158" i="13" s="1"/>
  <c r="J419" i="14"/>
  <c r="K419" i="14" s="1"/>
  <c r="J417" i="13" s="1"/>
  <c r="J469" i="15"/>
  <c r="K469" i="15" s="1"/>
  <c r="K467" i="13" s="1"/>
  <c r="J505" i="15"/>
  <c r="K505" i="15" s="1"/>
  <c r="K503" i="13" s="1"/>
  <c r="J25" i="14"/>
  <c r="K25" i="14" s="1"/>
  <c r="J23" i="13" s="1"/>
  <c r="J450" i="11"/>
  <c r="K450" i="11" s="1"/>
  <c r="I448" i="13" s="1"/>
  <c r="M604" i="1"/>
  <c r="Q604" i="1" s="1"/>
  <c r="F602" i="13" s="1"/>
  <c r="L602" i="13" s="1"/>
  <c r="J355" i="11"/>
  <c r="K355" i="11" s="1"/>
  <c r="I353" i="13" s="1"/>
  <c r="J264" i="15"/>
  <c r="K264" i="15" s="1"/>
  <c r="K262" i="13" s="1"/>
  <c r="J198" i="15"/>
  <c r="K198" i="15" s="1"/>
  <c r="K196" i="13" s="1"/>
  <c r="J67" i="11"/>
  <c r="K67" i="11" s="1"/>
  <c r="I65" i="13" s="1"/>
  <c r="K499" i="1"/>
  <c r="J253" i="15"/>
  <c r="K253" i="15" s="1"/>
  <c r="K251" i="13" s="1"/>
  <c r="J172" i="11"/>
  <c r="K172" i="11" s="1"/>
  <c r="I170" i="13" s="1"/>
  <c r="J365" i="14"/>
  <c r="K365" i="14" s="1"/>
  <c r="J363" i="13" s="1"/>
  <c r="K44" i="1"/>
  <c r="J194" i="14"/>
  <c r="K194" i="14" s="1"/>
  <c r="J192" i="13" s="1"/>
  <c r="J260" i="11"/>
  <c r="K260" i="11" s="1"/>
  <c r="I258" i="13" s="1"/>
  <c r="J367" i="15"/>
  <c r="K367" i="15" s="1"/>
  <c r="K365" i="13" s="1"/>
  <c r="J311" i="14"/>
  <c r="K311" i="14" s="1"/>
  <c r="J309" i="13" s="1"/>
  <c r="J408" i="15"/>
  <c r="K408" i="15" s="1"/>
  <c r="K406" i="13" s="1"/>
  <c r="J462" i="14"/>
  <c r="K462" i="14" s="1"/>
  <c r="J460" i="13" s="1"/>
  <c r="J328" i="14"/>
  <c r="K328" i="14" s="1"/>
  <c r="J326" i="13" s="1"/>
  <c r="J50" i="14"/>
  <c r="K50" i="14" s="1"/>
  <c r="J48" i="13" s="1"/>
  <c r="J320" i="14"/>
  <c r="K320" i="14" s="1"/>
  <c r="J318" i="13" s="1"/>
  <c r="J278" i="14"/>
  <c r="K278" i="14" s="1"/>
  <c r="J276" i="13" s="1"/>
  <c r="J163" i="11"/>
  <c r="K163" i="11" s="1"/>
  <c r="I161" i="13" s="1"/>
  <c r="J59" i="14"/>
  <c r="K59" i="14" s="1"/>
  <c r="J57" i="13" s="1"/>
  <c r="K246" i="1"/>
  <c r="J208" i="11"/>
  <c r="K208" i="11" s="1"/>
  <c r="I206" i="13" s="1"/>
  <c r="J7" i="14"/>
  <c r="K7" i="14" s="1"/>
  <c r="J5" i="13" s="1"/>
  <c r="J431" i="11"/>
  <c r="K431" i="11" s="1"/>
  <c r="I429" i="13" s="1"/>
  <c r="J294" i="15"/>
  <c r="K294" i="15" s="1"/>
  <c r="K292" i="13" s="1"/>
  <c r="J296" i="14"/>
  <c r="K296" i="14" s="1"/>
  <c r="J294" i="13" s="1"/>
  <c r="J285" i="14"/>
  <c r="K285" i="14" s="1"/>
  <c r="J283" i="13" s="1"/>
  <c r="J462" i="15"/>
  <c r="K462" i="15" s="1"/>
  <c r="K460" i="13" s="1"/>
  <c r="J119" i="14"/>
  <c r="K119" i="14" s="1"/>
  <c r="J117" i="13" s="1"/>
  <c r="J286" i="11"/>
  <c r="K286" i="11" s="1"/>
  <c r="I284" i="13" s="1"/>
  <c r="J73" i="14"/>
  <c r="K73" i="14" s="1"/>
  <c r="J71" i="13" s="1"/>
  <c r="J225" i="11"/>
  <c r="K225" i="11" s="1"/>
  <c r="I223" i="13" s="1"/>
  <c r="J205" i="15"/>
  <c r="K205" i="15" s="1"/>
  <c r="K203" i="13" s="1"/>
  <c r="J64" i="14"/>
  <c r="K64" i="14" s="1"/>
  <c r="J62" i="13" s="1"/>
  <c r="J100" i="14"/>
  <c r="K100" i="14" s="1"/>
  <c r="J98" i="13" s="1"/>
  <c r="J209" i="15"/>
  <c r="K209" i="15" s="1"/>
  <c r="K207" i="13" s="1"/>
  <c r="J495" i="14"/>
  <c r="K495" i="14" s="1"/>
  <c r="J493" i="13" s="1"/>
  <c r="J202" i="15"/>
  <c r="K202" i="15" s="1"/>
  <c r="K200" i="13" s="1"/>
  <c r="J142" i="15"/>
  <c r="K142" i="15" s="1"/>
  <c r="K140" i="13" s="1"/>
  <c r="J69" i="11"/>
  <c r="K69" i="11" s="1"/>
  <c r="I67" i="13" s="1"/>
  <c r="J435" i="15"/>
  <c r="K435" i="15" s="1"/>
  <c r="K433" i="13" s="1"/>
  <c r="J466" i="15"/>
  <c r="K466" i="15" s="1"/>
  <c r="K464" i="13" s="1"/>
  <c r="J244" i="14"/>
  <c r="K244" i="14" s="1"/>
  <c r="J242" i="13" s="1"/>
  <c r="J458" i="15"/>
  <c r="K458" i="15" s="1"/>
  <c r="K456" i="13" s="1"/>
  <c r="J336" i="15"/>
  <c r="K336" i="15" s="1"/>
  <c r="K334" i="13" s="1"/>
  <c r="J283" i="15"/>
  <c r="K283" i="15" s="1"/>
  <c r="K281" i="13" s="1"/>
  <c r="J198" i="14"/>
  <c r="K198" i="14" s="1"/>
  <c r="J196" i="13" s="1"/>
  <c r="J45" i="11"/>
  <c r="K45" i="11" s="1"/>
  <c r="I43" i="13" s="1"/>
  <c r="J11" i="11"/>
  <c r="K11" i="11" s="1"/>
  <c r="I9" i="13" s="1"/>
  <c r="J256" i="15"/>
  <c r="K256" i="15" s="1"/>
  <c r="K254" i="13" s="1"/>
  <c r="J362" i="15"/>
  <c r="K362" i="15" s="1"/>
  <c r="K360" i="13" s="1"/>
  <c r="J224" i="14"/>
  <c r="K224" i="14" s="1"/>
  <c r="J222" i="13" s="1"/>
  <c r="J266" i="15"/>
  <c r="K266" i="15" s="1"/>
  <c r="K264" i="13" s="1"/>
  <c r="J474" i="11"/>
  <c r="K474" i="11" s="1"/>
  <c r="I472" i="13" s="1"/>
  <c r="J56" i="14"/>
  <c r="K56" i="14" s="1"/>
  <c r="J54" i="13" s="1"/>
  <c r="J135" i="15"/>
  <c r="K135" i="15" s="1"/>
  <c r="K133" i="13" s="1"/>
  <c r="J343" i="15"/>
  <c r="K343" i="15" s="1"/>
  <c r="K341" i="13" s="1"/>
  <c r="J157" i="15"/>
  <c r="K157" i="15" s="1"/>
  <c r="K155" i="13" s="1"/>
  <c r="J266" i="14"/>
  <c r="K266" i="14" s="1"/>
  <c r="J264" i="13" s="1"/>
  <c r="J319" i="15"/>
  <c r="K319" i="15" s="1"/>
  <c r="K317" i="13" s="1"/>
  <c r="J332" i="11"/>
  <c r="K332" i="11" s="1"/>
  <c r="I330" i="13" s="1"/>
  <c r="J454" i="11"/>
  <c r="K454" i="11" s="1"/>
  <c r="I452" i="13" s="1"/>
  <c r="J95" i="15"/>
  <c r="K95" i="15" s="1"/>
  <c r="K93" i="13" s="1"/>
  <c r="J489" i="14"/>
  <c r="K489" i="14" s="1"/>
  <c r="J487" i="13" s="1"/>
  <c r="J8" i="14"/>
  <c r="K8" i="14" s="1"/>
  <c r="J6" i="13" s="1"/>
  <c r="J151" i="15"/>
  <c r="K151" i="15" s="1"/>
  <c r="K149" i="13" s="1"/>
  <c r="J315" i="15"/>
  <c r="K315" i="15" s="1"/>
  <c r="K313" i="13" s="1"/>
  <c r="J131" i="11"/>
  <c r="K131" i="11" s="1"/>
  <c r="I129" i="13" s="1"/>
  <c r="J488" i="15"/>
  <c r="K488" i="15" s="1"/>
  <c r="K486" i="13" s="1"/>
  <c r="J192" i="15"/>
  <c r="K192" i="15" s="1"/>
  <c r="K190" i="13" s="1"/>
  <c r="J140" i="14"/>
  <c r="K140" i="14" s="1"/>
  <c r="J138" i="13" s="1"/>
  <c r="J116" i="14"/>
  <c r="K116" i="14" s="1"/>
  <c r="J114" i="13" s="1"/>
  <c r="J284" i="11"/>
  <c r="K284" i="11" s="1"/>
  <c r="I282" i="13" s="1"/>
  <c r="J47" i="11"/>
  <c r="K47" i="11" s="1"/>
  <c r="I45" i="13" s="1"/>
  <c r="J481" i="15"/>
  <c r="K481" i="15" s="1"/>
  <c r="K479" i="13" s="1"/>
  <c r="J122" i="15"/>
  <c r="K122" i="15" s="1"/>
  <c r="K120" i="13" s="1"/>
  <c r="J385" i="15"/>
  <c r="K385" i="15" s="1"/>
  <c r="K383" i="13" s="1"/>
  <c r="J216" i="11"/>
  <c r="K216" i="11" s="1"/>
  <c r="I214" i="13" s="1"/>
  <c r="J352" i="14"/>
  <c r="K352" i="14" s="1"/>
  <c r="J350" i="13" s="1"/>
  <c r="J390" i="15"/>
  <c r="K390" i="15" s="1"/>
  <c r="K388" i="13" s="1"/>
  <c r="J402" i="14"/>
  <c r="K402" i="14" s="1"/>
  <c r="J400" i="13" s="1"/>
  <c r="J138" i="14"/>
  <c r="K138" i="14" s="1"/>
  <c r="J136" i="13" s="1"/>
  <c r="J53" i="11"/>
  <c r="K53" i="11" s="1"/>
  <c r="I51" i="13" s="1"/>
  <c r="J241" i="15"/>
  <c r="K241" i="15" s="1"/>
  <c r="K239" i="13" s="1"/>
  <c r="K488" i="1"/>
  <c r="J129" i="11"/>
  <c r="K129" i="11" s="1"/>
  <c r="I127" i="13" s="1"/>
  <c r="J275" i="14"/>
  <c r="K275" i="14" s="1"/>
  <c r="J273" i="13" s="1"/>
  <c r="J126" i="11"/>
  <c r="K126" i="11" s="1"/>
  <c r="I124" i="13" s="1"/>
  <c r="J69" i="15"/>
  <c r="K69" i="15" s="1"/>
  <c r="K67" i="13" s="1"/>
  <c r="J237" i="11"/>
  <c r="K237" i="11" s="1"/>
  <c r="I235" i="13" s="1"/>
  <c r="J32" i="14"/>
  <c r="K32" i="14" s="1"/>
  <c r="J30" i="13" s="1"/>
  <c r="J210" i="14"/>
  <c r="K210" i="14" s="1"/>
  <c r="J208" i="13" s="1"/>
  <c r="K491" i="1"/>
  <c r="J210" i="11"/>
  <c r="K210" i="11" s="1"/>
  <c r="I208" i="13" s="1"/>
  <c r="J74" i="14"/>
  <c r="K74" i="14" s="1"/>
  <c r="J72" i="13" s="1"/>
  <c r="J377" i="14"/>
  <c r="K377" i="14" s="1"/>
  <c r="J375" i="13" s="1"/>
  <c r="J153" i="11"/>
  <c r="K153" i="11" s="1"/>
  <c r="I151" i="13" s="1"/>
  <c r="J29" i="11"/>
  <c r="K29" i="11" s="1"/>
  <c r="I27" i="13" s="1"/>
  <c r="J414" i="11"/>
  <c r="K414" i="11" s="1"/>
  <c r="I412" i="13" s="1"/>
  <c r="J234" i="11"/>
  <c r="K234" i="11" s="1"/>
  <c r="I232" i="13" s="1"/>
  <c r="J104" i="15"/>
  <c r="K104" i="15" s="1"/>
  <c r="K102" i="13" s="1"/>
  <c r="J333" i="11"/>
  <c r="K333" i="11" s="1"/>
  <c r="I331" i="13" s="1"/>
  <c r="K221" i="1"/>
  <c r="J168" i="11"/>
  <c r="K168" i="11" s="1"/>
  <c r="I166" i="13" s="1"/>
  <c r="J201" i="15"/>
  <c r="K201" i="15" s="1"/>
  <c r="K199" i="13" s="1"/>
  <c r="J191" i="11"/>
  <c r="K191" i="11" s="1"/>
  <c r="I189" i="13" s="1"/>
  <c r="J45" i="15"/>
  <c r="K45" i="15" s="1"/>
  <c r="K43" i="13" s="1"/>
  <c r="J363" i="14"/>
  <c r="K363" i="14" s="1"/>
  <c r="J361" i="13" s="1"/>
  <c r="K455" i="1"/>
  <c r="J388" i="14"/>
  <c r="K388" i="14" s="1"/>
  <c r="J386" i="13" s="1"/>
  <c r="J17" i="15"/>
  <c r="K17" i="15" s="1"/>
  <c r="K15" i="13" s="1"/>
  <c r="J208" i="15"/>
  <c r="K208" i="15" s="1"/>
  <c r="K206" i="13" s="1"/>
  <c r="J83" i="11"/>
  <c r="K83" i="11" s="1"/>
  <c r="I81" i="13" s="1"/>
  <c r="J256" i="11"/>
  <c r="K256" i="11" s="1"/>
  <c r="I254" i="13" s="1"/>
  <c r="J372" i="11"/>
  <c r="K372" i="11" s="1"/>
  <c r="I370" i="13" s="1"/>
  <c r="J226" i="15"/>
  <c r="K226" i="15" s="1"/>
  <c r="K224" i="13" s="1"/>
  <c r="J67" i="15"/>
  <c r="K67" i="15" s="1"/>
  <c r="K65" i="13" s="1"/>
  <c r="K90" i="1"/>
  <c r="J451" i="14"/>
  <c r="K451" i="14" s="1"/>
  <c r="J449" i="13" s="1"/>
  <c r="J381" i="14"/>
  <c r="K381" i="14" s="1"/>
  <c r="J379" i="13" s="1"/>
  <c r="K75" i="1"/>
  <c r="J108" i="15"/>
  <c r="K108" i="15" s="1"/>
  <c r="K106" i="13" s="1"/>
  <c r="J11" i="15"/>
  <c r="K11" i="15" s="1"/>
  <c r="K9" i="13" s="1"/>
  <c r="K284" i="1"/>
  <c r="J81" i="14"/>
  <c r="K81" i="14" s="1"/>
  <c r="J79" i="13" s="1"/>
  <c r="J369" i="14"/>
  <c r="K369" i="14" s="1"/>
  <c r="J367" i="13" s="1"/>
  <c r="J106" i="15"/>
  <c r="K106" i="15" s="1"/>
  <c r="K104" i="13" s="1"/>
  <c r="J432" i="11"/>
  <c r="K432" i="11" s="1"/>
  <c r="I430" i="13" s="1"/>
  <c r="J227" i="15"/>
  <c r="K227" i="15" s="1"/>
  <c r="K225" i="13" s="1"/>
  <c r="J194" i="11"/>
  <c r="K194" i="11" s="1"/>
  <c r="I192" i="13" s="1"/>
  <c r="J129" i="15"/>
  <c r="K129" i="15" s="1"/>
  <c r="K127" i="13" s="1"/>
  <c r="J390" i="14"/>
  <c r="K390" i="14" s="1"/>
  <c r="J388" i="13" s="1"/>
  <c r="J361" i="15"/>
  <c r="K361" i="15" s="1"/>
  <c r="K359" i="13" s="1"/>
  <c r="J420" i="11"/>
  <c r="K420" i="11" s="1"/>
  <c r="I418" i="13" s="1"/>
  <c r="J246" i="14"/>
  <c r="K246" i="14" s="1"/>
  <c r="J244" i="13" s="1"/>
  <c r="J51" i="11"/>
  <c r="K51" i="11" s="1"/>
  <c r="I49" i="13" s="1"/>
  <c r="J374" i="14"/>
  <c r="K374" i="14" s="1"/>
  <c r="J372" i="13" s="1"/>
  <c r="J301" i="14"/>
  <c r="K301" i="14" s="1"/>
  <c r="J299" i="13" s="1"/>
  <c r="J377" i="15"/>
  <c r="K377" i="15" s="1"/>
  <c r="K375" i="13" s="1"/>
  <c r="J314" i="15"/>
  <c r="K314" i="15" s="1"/>
  <c r="K312" i="13" s="1"/>
  <c r="J322" i="14"/>
  <c r="K322" i="14" s="1"/>
  <c r="J320" i="13" s="1"/>
  <c r="J68" i="14"/>
  <c r="K68" i="14" s="1"/>
  <c r="J66" i="13" s="1"/>
  <c r="J433" i="11"/>
  <c r="K433" i="11" s="1"/>
  <c r="I431" i="13" s="1"/>
  <c r="J257" i="15"/>
  <c r="K257" i="15" s="1"/>
  <c r="K255" i="13" s="1"/>
  <c r="J226" i="14"/>
  <c r="K226" i="14" s="1"/>
  <c r="J224" i="13" s="1"/>
  <c r="J317" i="11"/>
  <c r="K317" i="11" s="1"/>
  <c r="I315" i="13" s="1"/>
  <c r="J84" i="11"/>
  <c r="K84" i="11" s="1"/>
  <c r="I82" i="13" s="1"/>
  <c r="J58" i="15"/>
  <c r="K58" i="15" s="1"/>
  <c r="K56" i="13" s="1"/>
  <c r="J375" i="11"/>
  <c r="K375" i="11" s="1"/>
  <c r="I373" i="13" s="1"/>
  <c r="J193" i="15"/>
  <c r="K193" i="15" s="1"/>
  <c r="K191" i="13" s="1"/>
  <c r="J59" i="11"/>
  <c r="K59" i="11" s="1"/>
  <c r="I57" i="13" s="1"/>
  <c r="J93" i="15"/>
  <c r="K93" i="15" s="1"/>
  <c r="K91" i="13" s="1"/>
  <c r="J318" i="15"/>
  <c r="K318" i="15" s="1"/>
  <c r="K316" i="13" s="1"/>
  <c r="J345" i="14"/>
  <c r="K345" i="14" s="1"/>
  <c r="J343" i="13" s="1"/>
  <c r="J422" i="15"/>
  <c r="K422" i="15" s="1"/>
  <c r="K420" i="13" s="1"/>
  <c r="J138" i="15"/>
  <c r="K138" i="15" s="1"/>
  <c r="K136" i="13" s="1"/>
  <c r="J436" i="11"/>
  <c r="K436" i="11" s="1"/>
  <c r="I434" i="13" s="1"/>
  <c r="J376" i="15"/>
  <c r="K376" i="15" s="1"/>
  <c r="K374" i="13" s="1"/>
  <c r="J36" i="11"/>
  <c r="K36" i="11" s="1"/>
  <c r="I34" i="13" s="1"/>
  <c r="J51" i="15"/>
  <c r="K51" i="15" s="1"/>
  <c r="K49" i="13" s="1"/>
  <c r="J452" i="11"/>
  <c r="K452" i="11" s="1"/>
  <c r="I450" i="13" s="1"/>
  <c r="J99" i="14"/>
  <c r="K99" i="14" s="1"/>
  <c r="J97" i="13" s="1"/>
  <c r="J169" i="15"/>
  <c r="K169" i="15" s="1"/>
  <c r="K167" i="13" s="1"/>
  <c r="J418" i="14"/>
  <c r="K418" i="14" s="1"/>
  <c r="J416" i="13" s="1"/>
  <c r="J111" i="14"/>
  <c r="K111" i="14" s="1"/>
  <c r="J109" i="13" s="1"/>
  <c r="J77" i="15"/>
  <c r="K77" i="15" s="1"/>
  <c r="K75" i="13" s="1"/>
  <c r="J274" i="14"/>
  <c r="K274" i="14" s="1"/>
  <c r="J272" i="13" s="1"/>
  <c r="J348" i="11"/>
  <c r="K348" i="11" s="1"/>
  <c r="I346" i="13" s="1"/>
  <c r="J427" i="14"/>
  <c r="K427" i="14" s="1"/>
  <c r="J425" i="13" s="1"/>
  <c r="J85" i="11"/>
  <c r="K85" i="11" s="1"/>
  <c r="I83" i="13" s="1"/>
  <c r="J86" i="14"/>
  <c r="K86" i="14" s="1"/>
  <c r="J84" i="13" s="1"/>
  <c r="J330" i="15"/>
  <c r="K330" i="15" s="1"/>
  <c r="K328" i="13" s="1"/>
  <c r="J340" i="11"/>
  <c r="K340" i="11" s="1"/>
  <c r="I338" i="13" s="1"/>
  <c r="J303" i="15"/>
  <c r="K303" i="15" s="1"/>
  <c r="K301" i="13" s="1"/>
  <c r="J256" i="14"/>
  <c r="K256" i="14" s="1"/>
  <c r="J254" i="13" s="1"/>
  <c r="J121" i="15"/>
  <c r="K121" i="15" s="1"/>
  <c r="K119" i="13" s="1"/>
  <c r="K269" i="1"/>
  <c r="J447" i="11"/>
  <c r="K447" i="11" s="1"/>
  <c r="I445" i="13" s="1"/>
  <c r="J114" i="14"/>
  <c r="K114" i="14" s="1"/>
  <c r="J112" i="13" s="1"/>
  <c r="J425" i="15"/>
  <c r="K425" i="15" s="1"/>
  <c r="K423" i="13" s="1"/>
  <c r="J38" i="15"/>
  <c r="K38" i="15" s="1"/>
  <c r="K36" i="13" s="1"/>
  <c r="J108" i="11"/>
  <c r="K108" i="11" s="1"/>
  <c r="I106" i="13" s="1"/>
  <c r="J224" i="15"/>
  <c r="K224" i="15" s="1"/>
  <c r="K222" i="13" s="1"/>
  <c r="J240" i="14"/>
  <c r="K240" i="14" s="1"/>
  <c r="J238" i="13" s="1"/>
  <c r="J230" i="14"/>
  <c r="K230" i="14" s="1"/>
  <c r="J228" i="13" s="1"/>
  <c r="J199" i="14"/>
  <c r="K199" i="14" s="1"/>
  <c r="J197" i="13" s="1"/>
  <c r="J359" i="15"/>
  <c r="K359" i="15" s="1"/>
  <c r="K357" i="13" s="1"/>
  <c r="J212" i="14"/>
  <c r="K212" i="14" s="1"/>
  <c r="J210" i="13" s="1"/>
  <c r="J96" i="11"/>
  <c r="K96" i="11" s="1"/>
  <c r="I94" i="13" s="1"/>
  <c r="J22" i="15"/>
  <c r="K22" i="15" s="1"/>
  <c r="K20" i="13" s="1"/>
  <c r="J215" i="14"/>
  <c r="K215" i="14" s="1"/>
  <c r="J213" i="13" s="1"/>
  <c r="J227" i="14"/>
  <c r="K227" i="14" s="1"/>
  <c r="J225" i="13" s="1"/>
  <c r="J420" i="15"/>
  <c r="K420" i="15" s="1"/>
  <c r="K418" i="13" s="1"/>
  <c r="K286" i="1"/>
  <c r="J64" i="15"/>
  <c r="K64" i="15" s="1"/>
  <c r="K62" i="13" s="1"/>
  <c r="J186" i="11"/>
  <c r="K186" i="11" s="1"/>
  <c r="I184" i="13" s="1"/>
  <c r="J305" i="15"/>
  <c r="K305" i="15" s="1"/>
  <c r="K303" i="13" s="1"/>
  <c r="J367" i="11"/>
  <c r="K367" i="11" s="1"/>
  <c r="I365" i="13" s="1"/>
  <c r="J346" i="15"/>
  <c r="K346" i="15" s="1"/>
  <c r="K344" i="13" s="1"/>
  <c r="J394" i="15"/>
  <c r="K394" i="15" s="1"/>
  <c r="K392" i="13" s="1"/>
  <c r="J333" i="14"/>
  <c r="K333" i="14" s="1"/>
  <c r="J331" i="13" s="1"/>
  <c r="J174" i="14"/>
  <c r="K174" i="14" s="1"/>
  <c r="J172" i="13" s="1"/>
  <c r="J70" i="11"/>
  <c r="K70" i="11" s="1"/>
  <c r="I68" i="13" s="1"/>
  <c r="J293" i="14"/>
  <c r="K293" i="14" s="1"/>
  <c r="J291" i="13" s="1"/>
  <c r="J236" i="11"/>
  <c r="K236" i="11" s="1"/>
  <c r="I234" i="13" s="1"/>
  <c r="J85" i="14"/>
  <c r="K85" i="14" s="1"/>
  <c r="J83" i="13" s="1"/>
  <c r="J301" i="15"/>
  <c r="K301" i="15" s="1"/>
  <c r="K299" i="13" s="1"/>
  <c r="J124" i="14"/>
  <c r="K124" i="14" s="1"/>
  <c r="J122" i="13" s="1"/>
  <c r="J170" i="15"/>
  <c r="K170" i="15" s="1"/>
  <c r="K168" i="13" s="1"/>
  <c r="J389" i="11"/>
  <c r="K389" i="11" s="1"/>
  <c r="I387" i="13" s="1"/>
  <c r="J52" i="15"/>
  <c r="K52" i="15" s="1"/>
  <c r="K50" i="13" s="1"/>
  <c r="J176" i="14"/>
  <c r="K176" i="14" s="1"/>
  <c r="J174" i="13" s="1"/>
  <c r="J145" i="15"/>
  <c r="K145" i="15" s="1"/>
  <c r="K143" i="13" s="1"/>
  <c r="J143" i="15"/>
  <c r="K143" i="15" s="1"/>
  <c r="K141" i="13" s="1"/>
  <c r="J192" i="11"/>
  <c r="K192" i="11" s="1"/>
  <c r="I190" i="13" s="1"/>
  <c r="K80" i="1"/>
  <c r="J70" i="14"/>
  <c r="K70" i="14" s="1"/>
  <c r="J68" i="13" s="1"/>
  <c r="J422" i="11"/>
  <c r="K422" i="11" s="1"/>
  <c r="I420" i="13" s="1"/>
  <c r="J202" i="11"/>
  <c r="K202" i="11" s="1"/>
  <c r="I200" i="13" s="1"/>
  <c r="J136" i="15"/>
  <c r="K136" i="15" s="1"/>
  <c r="K134" i="13" s="1"/>
  <c r="J360" i="14"/>
  <c r="K360" i="14" s="1"/>
  <c r="J358" i="13" s="1"/>
  <c r="J73" i="11"/>
  <c r="K73" i="11" s="1"/>
  <c r="I71" i="13" s="1"/>
  <c r="J421" i="14"/>
  <c r="K421" i="14" s="1"/>
  <c r="J419" i="13" s="1"/>
  <c r="J496" i="15"/>
  <c r="K496" i="15" s="1"/>
  <c r="K494" i="13" s="1"/>
  <c r="J484" i="11"/>
  <c r="K484" i="11" s="1"/>
  <c r="I482" i="13" s="1"/>
  <c r="J177" i="15"/>
  <c r="K177" i="15" s="1"/>
  <c r="K175" i="13" s="1"/>
  <c r="J77" i="11"/>
  <c r="K77" i="11" s="1"/>
  <c r="I75" i="13" s="1"/>
  <c r="J264" i="14"/>
  <c r="K264" i="14" s="1"/>
  <c r="J262" i="13" s="1"/>
  <c r="J394" i="11"/>
  <c r="K394" i="11" s="1"/>
  <c r="I392" i="13" s="1"/>
  <c r="J375" i="14"/>
  <c r="K375" i="14" s="1"/>
  <c r="J373" i="13" s="1"/>
  <c r="J467" i="14"/>
  <c r="K467" i="14" s="1"/>
  <c r="J465" i="13" s="1"/>
  <c r="J276" i="14"/>
  <c r="K276" i="14" s="1"/>
  <c r="J274" i="13" s="1"/>
  <c r="J230" i="11"/>
  <c r="K230" i="11" s="1"/>
  <c r="I228" i="13" s="1"/>
  <c r="J496" i="11"/>
  <c r="K496" i="11" s="1"/>
  <c r="I494" i="13" s="1"/>
  <c r="K207" i="1"/>
  <c r="J477" i="11"/>
  <c r="K477" i="11" s="1"/>
  <c r="I475" i="13" s="1"/>
  <c r="J90" i="15"/>
  <c r="K90" i="15" s="1"/>
  <c r="K88" i="13" s="1"/>
  <c r="J465" i="14"/>
  <c r="K465" i="14" s="1"/>
  <c r="J463" i="13" s="1"/>
  <c r="J365" i="15"/>
  <c r="K365" i="15" s="1"/>
  <c r="K363" i="13" s="1"/>
  <c r="J19" i="15"/>
  <c r="K19" i="15" s="1"/>
  <c r="K17" i="13" s="1"/>
  <c r="J267" i="14"/>
  <c r="K267" i="14" s="1"/>
  <c r="J265" i="13" s="1"/>
  <c r="J301" i="11"/>
  <c r="K301" i="11" s="1"/>
  <c r="I299" i="13" s="1"/>
  <c r="J451" i="11"/>
  <c r="K451" i="11" s="1"/>
  <c r="I449" i="13" s="1"/>
  <c r="J33" i="11"/>
  <c r="K33" i="11" s="1"/>
  <c r="I31" i="13" s="1"/>
  <c r="J297" i="14"/>
  <c r="K297" i="14" s="1"/>
  <c r="J295" i="13" s="1"/>
  <c r="J381" i="11"/>
  <c r="K381" i="11" s="1"/>
  <c r="I379" i="13" s="1"/>
  <c r="J440" i="14"/>
  <c r="K440" i="14" s="1"/>
  <c r="J438" i="13" s="1"/>
  <c r="J473" i="14"/>
  <c r="K473" i="14" s="1"/>
  <c r="J471" i="13" s="1"/>
  <c r="J11" i="14"/>
  <c r="K11" i="14" s="1"/>
  <c r="J9" i="13" s="1"/>
  <c r="J503" i="15"/>
  <c r="K503" i="15" s="1"/>
  <c r="K501" i="13" s="1"/>
  <c r="J479" i="11"/>
  <c r="K479" i="11" s="1"/>
  <c r="I477" i="13" s="1"/>
  <c r="J24" i="14"/>
  <c r="K24" i="14" s="1"/>
  <c r="J22" i="13" s="1"/>
  <c r="J283" i="14"/>
  <c r="K283" i="14" s="1"/>
  <c r="J281" i="13" s="1"/>
  <c r="J460" i="15"/>
  <c r="K460" i="15" s="1"/>
  <c r="K458" i="13" s="1"/>
  <c r="K332" i="1"/>
  <c r="J149" i="15"/>
  <c r="K149" i="15" s="1"/>
  <c r="K147" i="13" s="1"/>
  <c r="J94" i="11"/>
  <c r="K94" i="11" s="1"/>
  <c r="I92" i="13" s="1"/>
  <c r="J284" i="14"/>
  <c r="K284" i="14" s="1"/>
  <c r="J282" i="13" s="1"/>
  <c r="J240" i="11"/>
  <c r="K240" i="11" s="1"/>
  <c r="I238" i="13" s="1"/>
  <c r="J518" i="11"/>
  <c r="K518" i="11" s="1"/>
  <c r="I516" i="13" s="1"/>
  <c r="J227" i="11"/>
  <c r="K227" i="11" s="1"/>
  <c r="I225" i="13" s="1"/>
  <c r="J265" i="14"/>
  <c r="K265" i="14" s="1"/>
  <c r="J263" i="13" s="1"/>
  <c r="J246" i="11"/>
  <c r="K246" i="11" s="1"/>
  <c r="I244" i="13" s="1"/>
  <c r="J95" i="11"/>
  <c r="K95" i="11" s="1"/>
  <c r="I93" i="13" s="1"/>
  <c r="J364" i="11"/>
  <c r="K364" i="11" s="1"/>
  <c r="I362" i="13" s="1"/>
  <c r="J334" i="11"/>
  <c r="K334" i="11" s="1"/>
  <c r="I332" i="13" s="1"/>
  <c r="J316" i="15"/>
  <c r="K316" i="15" s="1"/>
  <c r="K314" i="13" s="1"/>
  <c r="J143" i="11"/>
  <c r="K143" i="11" s="1"/>
  <c r="I141" i="13" s="1"/>
  <c r="J231" i="15"/>
  <c r="K231" i="15" s="1"/>
  <c r="K229" i="13" s="1"/>
  <c r="J285" i="11"/>
  <c r="K285" i="11" s="1"/>
  <c r="I283" i="13" s="1"/>
  <c r="J166" i="14"/>
  <c r="K166" i="14" s="1"/>
  <c r="J164" i="13" s="1"/>
  <c r="J371" i="14"/>
  <c r="K371" i="14" s="1"/>
  <c r="J369" i="13" s="1"/>
  <c r="J190" i="11"/>
  <c r="K190" i="11" s="1"/>
  <c r="I188" i="13" s="1"/>
  <c r="J516" i="11"/>
  <c r="K516" i="11" s="1"/>
  <c r="I514" i="13" s="1"/>
  <c r="J515" i="15"/>
  <c r="K515" i="15" s="1"/>
  <c r="K513" i="13" s="1"/>
  <c r="J508" i="15"/>
  <c r="K508" i="15" s="1"/>
  <c r="K506" i="13" s="1"/>
  <c r="J515" i="14"/>
  <c r="K515" i="14" s="1"/>
  <c r="J513" i="13" s="1"/>
  <c r="J489" i="11"/>
  <c r="K489" i="11" s="1"/>
  <c r="I487" i="13" s="1"/>
  <c r="J40" i="14"/>
  <c r="K40" i="14" s="1"/>
  <c r="J38" i="13" s="1"/>
  <c r="J448" i="15"/>
  <c r="K448" i="15" s="1"/>
  <c r="K446" i="13" s="1"/>
  <c r="J210" i="15"/>
  <c r="K210" i="15" s="1"/>
  <c r="K208" i="13" s="1"/>
  <c r="J356" i="14"/>
  <c r="K356" i="14" s="1"/>
  <c r="J354" i="13" s="1"/>
  <c r="J181" i="15"/>
  <c r="K181" i="15" s="1"/>
  <c r="K179" i="13" s="1"/>
  <c r="J269" i="11"/>
  <c r="K269" i="11" s="1"/>
  <c r="I267" i="13" s="1"/>
  <c r="J472" i="11"/>
  <c r="K472" i="11" s="1"/>
  <c r="I470" i="13" s="1"/>
  <c r="J510" i="15"/>
  <c r="K510" i="15" s="1"/>
  <c r="K508" i="13" s="1"/>
  <c r="J403" i="15"/>
  <c r="K403" i="15" s="1"/>
  <c r="K401" i="13" s="1"/>
  <c r="J308" i="11"/>
  <c r="K308" i="11" s="1"/>
  <c r="I306" i="13" s="1"/>
  <c r="J72" i="11"/>
  <c r="K72" i="11" s="1"/>
  <c r="I70" i="13" s="1"/>
  <c r="J480" i="14"/>
  <c r="K480" i="14" s="1"/>
  <c r="J478" i="13" s="1"/>
  <c r="J362" i="11"/>
  <c r="K362" i="11" s="1"/>
  <c r="I360" i="13" s="1"/>
  <c r="J258" i="11"/>
  <c r="K258" i="11" s="1"/>
  <c r="I256" i="13" s="1"/>
  <c r="K316" i="1"/>
  <c r="J80" i="14"/>
  <c r="K80" i="14" s="1"/>
  <c r="J78" i="13" s="1"/>
  <c r="J244" i="15"/>
  <c r="K244" i="15" s="1"/>
  <c r="K242" i="13" s="1"/>
  <c r="J335" i="14"/>
  <c r="K335" i="14" s="1"/>
  <c r="J333" i="13" s="1"/>
  <c r="J133" i="11"/>
  <c r="K133" i="11" s="1"/>
  <c r="I131" i="13" s="1"/>
  <c r="J425" i="14"/>
  <c r="K425" i="14" s="1"/>
  <c r="J423" i="13" s="1"/>
  <c r="K199" i="1"/>
  <c r="J401" i="14"/>
  <c r="K401" i="14" s="1"/>
  <c r="J399" i="13" s="1"/>
  <c r="J351" i="15"/>
  <c r="K351" i="15" s="1"/>
  <c r="K349" i="13" s="1"/>
  <c r="K212" i="1"/>
  <c r="J317" i="14"/>
  <c r="K317" i="14" s="1"/>
  <c r="J315" i="13" s="1"/>
  <c r="J484" i="14"/>
  <c r="K484" i="14" s="1"/>
  <c r="J482" i="13" s="1"/>
  <c r="J267" i="11"/>
  <c r="K267" i="11" s="1"/>
  <c r="I265" i="13" s="1"/>
  <c r="J400" i="15"/>
  <c r="K400" i="15" s="1"/>
  <c r="K398" i="13" s="1"/>
  <c r="J24" i="15"/>
  <c r="K24" i="15" s="1"/>
  <c r="K22" i="13" s="1"/>
  <c r="J322" i="15"/>
  <c r="K322" i="15" s="1"/>
  <c r="K320" i="13" s="1"/>
  <c r="M635" i="1"/>
  <c r="N635" i="1" s="1"/>
  <c r="J451" i="15"/>
  <c r="K451" i="15" s="1"/>
  <c r="K449" i="13" s="1"/>
  <c r="J296" i="15"/>
  <c r="K296" i="15" s="1"/>
  <c r="K294" i="13" s="1"/>
  <c r="J143" i="14"/>
  <c r="K143" i="14" s="1"/>
  <c r="J141" i="13" s="1"/>
  <c r="J322" i="11"/>
  <c r="K322" i="11" s="1"/>
  <c r="I320" i="13" s="1"/>
  <c r="J345" i="15"/>
  <c r="K345" i="15" s="1"/>
  <c r="K343" i="13" s="1"/>
  <c r="J207" i="15"/>
  <c r="K207" i="15" s="1"/>
  <c r="K205" i="13" s="1"/>
  <c r="J188" i="14"/>
  <c r="K188" i="14" s="1"/>
  <c r="J186" i="13" s="1"/>
  <c r="J249" i="14"/>
  <c r="K249" i="14" s="1"/>
  <c r="J247" i="13" s="1"/>
  <c r="J82" i="15"/>
  <c r="K82" i="15" s="1"/>
  <c r="K80" i="13" s="1"/>
  <c r="J213" i="11"/>
  <c r="K213" i="11" s="1"/>
  <c r="I211" i="13" s="1"/>
  <c r="J62" i="14"/>
  <c r="K62" i="14" s="1"/>
  <c r="J60" i="13" s="1"/>
  <c r="J117" i="14"/>
  <c r="K117" i="14" s="1"/>
  <c r="J115" i="13" s="1"/>
  <c r="J236" i="15"/>
  <c r="K236" i="15" s="1"/>
  <c r="K234" i="13" s="1"/>
  <c r="J306" i="15"/>
  <c r="K306" i="15" s="1"/>
  <c r="K304" i="13" s="1"/>
  <c r="J510" i="14"/>
  <c r="K510" i="14" s="1"/>
  <c r="J508" i="13" s="1"/>
  <c r="J342" i="14"/>
  <c r="K342" i="14" s="1"/>
  <c r="J340" i="13" s="1"/>
  <c r="J439" i="14"/>
  <c r="K439" i="14" s="1"/>
  <c r="J437" i="13" s="1"/>
  <c r="J352" i="15"/>
  <c r="K352" i="15" s="1"/>
  <c r="K350" i="13" s="1"/>
  <c r="J168" i="14"/>
  <c r="K168" i="14" s="1"/>
  <c r="J166" i="13" s="1"/>
  <c r="J490" i="11"/>
  <c r="K490" i="11" s="1"/>
  <c r="I488" i="13" s="1"/>
  <c r="J387" i="15"/>
  <c r="K387" i="15" s="1"/>
  <c r="K385" i="13" s="1"/>
  <c r="J505" i="11"/>
  <c r="K505" i="11" s="1"/>
  <c r="I503" i="13" s="1"/>
  <c r="J431" i="14"/>
  <c r="K431" i="14" s="1"/>
  <c r="J429" i="13" s="1"/>
  <c r="J371" i="15"/>
  <c r="K371" i="15" s="1"/>
  <c r="K369" i="13" s="1"/>
  <c r="J487" i="11"/>
  <c r="K487" i="11" s="1"/>
  <c r="I485" i="13" s="1"/>
  <c r="J153" i="14"/>
  <c r="K153" i="14" s="1"/>
  <c r="J151" i="13" s="1"/>
  <c r="K67" i="1"/>
  <c r="J280" i="11"/>
  <c r="K280" i="11" s="1"/>
  <c r="I278" i="13" s="1"/>
  <c r="J327" i="11"/>
  <c r="K327" i="11" s="1"/>
  <c r="I325" i="13" s="1"/>
  <c r="K487" i="1"/>
  <c r="J203" i="15"/>
  <c r="K203" i="15" s="1"/>
  <c r="K201" i="13" s="1"/>
  <c r="J62" i="11"/>
  <c r="K62" i="11" s="1"/>
  <c r="I60" i="13" s="1"/>
  <c r="J54" i="11"/>
  <c r="K54" i="11" s="1"/>
  <c r="I52" i="13" s="1"/>
  <c r="K393" i="1"/>
  <c r="J457" i="11"/>
  <c r="K457" i="11" s="1"/>
  <c r="I455" i="13" s="1"/>
  <c r="K164" i="1"/>
  <c r="J327" i="15"/>
  <c r="K327" i="15" s="1"/>
  <c r="K325" i="13" s="1"/>
  <c r="J173" i="15"/>
  <c r="K173" i="15" s="1"/>
  <c r="K171" i="13" s="1"/>
  <c r="J253" i="11"/>
  <c r="K253" i="11" s="1"/>
  <c r="I251" i="13" s="1"/>
  <c r="J343" i="11"/>
  <c r="K343" i="11" s="1"/>
  <c r="I341" i="13" s="1"/>
  <c r="J126" i="14"/>
  <c r="K126" i="14" s="1"/>
  <c r="J124" i="13" s="1"/>
  <c r="J134" i="11"/>
  <c r="K134" i="11" s="1"/>
  <c r="I132" i="13" s="1"/>
  <c r="J179" i="11"/>
  <c r="K179" i="11" s="1"/>
  <c r="I177" i="13" s="1"/>
  <c r="J155" i="15"/>
  <c r="K155" i="15" s="1"/>
  <c r="K153" i="13" s="1"/>
  <c r="J300" i="15"/>
  <c r="K300" i="15" s="1"/>
  <c r="K298" i="13" s="1"/>
  <c r="J87" i="11"/>
  <c r="K87" i="11" s="1"/>
  <c r="I85" i="13" s="1"/>
  <c r="J155" i="14"/>
  <c r="K155" i="14" s="1"/>
  <c r="J153" i="13" s="1"/>
  <c r="J9" i="15"/>
  <c r="K9" i="15" s="1"/>
  <c r="K7" i="13" s="1"/>
  <c r="J428" i="14"/>
  <c r="K428" i="14" s="1"/>
  <c r="J426" i="13" s="1"/>
  <c r="J9" i="14"/>
  <c r="K9" i="14" s="1"/>
  <c r="J7" i="13" s="1"/>
  <c r="J341" i="14"/>
  <c r="K341" i="14" s="1"/>
  <c r="J339" i="13" s="1"/>
  <c r="K367" i="1"/>
  <c r="K84" i="1"/>
  <c r="J104" i="14"/>
  <c r="K104" i="14" s="1"/>
  <c r="J102" i="13" s="1"/>
  <c r="J319" i="14"/>
  <c r="K319" i="14" s="1"/>
  <c r="J317" i="13" s="1"/>
  <c r="J494" i="14"/>
  <c r="K494" i="14" s="1"/>
  <c r="J492" i="13" s="1"/>
  <c r="J505" i="14"/>
  <c r="K505" i="14" s="1"/>
  <c r="J503" i="13" s="1"/>
  <c r="J476" i="14"/>
  <c r="K476" i="14" s="1"/>
  <c r="J474" i="13" s="1"/>
  <c r="J411" i="14"/>
  <c r="K411" i="14" s="1"/>
  <c r="J409" i="13" s="1"/>
  <c r="J357" i="14"/>
  <c r="K357" i="14" s="1"/>
  <c r="J355" i="13" s="1"/>
  <c r="J80" i="15"/>
  <c r="K80" i="15" s="1"/>
  <c r="K78" i="13" s="1"/>
  <c r="J184" i="11"/>
  <c r="K184" i="11" s="1"/>
  <c r="I182" i="13" s="1"/>
  <c r="K428" i="1"/>
  <c r="J14" i="14"/>
  <c r="K14" i="14" s="1"/>
  <c r="J12" i="13" s="1"/>
  <c r="J336" i="14"/>
  <c r="K336" i="14" s="1"/>
  <c r="J334" i="13" s="1"/>
  <c r="J414" i="14"/>
  <c r="K414" i="14" s="1"/>
  <c r="J412" i="13" s="1"/>
  <c r="J294" i="14"/>
  <c r="K294" i="14" s="1"/>
  <c r="J292" i="13" s="1"/>
  <c r="J460" i="14"/>
  <c r="K460" i="14" s="1"/>
  <c r="J458" i="13" s="1"/>
  <c r="J199" i="11"/>
  <c r="K199" i="11" s="1"/>
  <c r="I197" i="13" s="1"/>
  <c r="J401" i="11"/>
  <c r="K401" i="11" s="1"/>
  <c r="I399" i="13" s="1"/>
  <c r="J68" i="11"/>
  <c r="K68" i="11" s="1"/>
  <c r="I66" i="13" s="1"/>
  <c r="J289" i="11"/>
  <c r="K289" i="11" s="1"/>
  <c r="I287" i="13" s="1"/>
  <c r="J27" i="11"/>
  <c r="K27" i="11" s="1"/>
  <c r="I25" i="13" s="1"/>
  <c r="J356" i="11"/>
  <c r="K356" i="11" s="1"/>
  <c r="I354" i="13" s="1"/>
  <c r="J454" i="15"/>
  <c r="K454" i="15" s="1"/>
  <c r="K452" i="13" s="1"/>
  <c r="J452" i="14"/>
  <c r="K452" i="14" s="1"/>
  <c r="J450" i="13" s="1"/>
  <c r="K61" i="1"/>
  <c r="J408" i="11"/>
  <c r="K408" i="11" s="1"/>
  <c r="I406" i="13" s="1"/>
  <c r="J293" i="15"/>
  <c r="K293" i="15" s="1"/>
  <c r="K291" i="13" s="1"/>
  <c r="K320" i="1"/>
  <c r="J130" i="14"/>
  <c r="K130" i="14" s="1"/>
  <c r="J128" i="13" s="1"/>
  <c r="J504" i="11"/>
  <c r="K504" i="11" s="1"/>
  <c r="I502" i="13" s="1"/>
  <c r="J26" i="15"/>
  <c r="K26" i="15" s="1"/>
  <c r="K24" i="13" s="1"/>
  <c r="J321" i="14"/>
  <c r="K321" i="14" s="1"/>
  <c r="J319" i="13" s="1"/>
  <c r="J290" i="15"/>
  <c r="K290" i="15" s="1"/>
  <c r="K288" i="13" s="1"/>
  <c r="J434" i="11"/>
  <c r="K434" i="11" s="1"/>
  <c r="I432" i="13" s="1"/>
  <c r="J271" i="11"/>
  <c r="K271" i="11" s="1"/>
  <c r="I269" i="13" s="1"/>
  <c r="J380" i="14"/>
  <c r="K380" i="14" s="1"/>
  <c r="J378" i="13" s="1"/>
  <c r="J225" i="15"/>
  <c r="K225" i="15" s="1"/>
  <c r="K223" i="13" s="1"/>
  <c r="J98" i="15"/>
  <c r="K98" i="15" s="1"/>
  <c r="K96" i="13" s="1"/>
  <c r="J7" i="11"/>
  <c r="K7" i="11" s="1"/>
  <c r="I5" i="13" s="1"/>
  <c r="J286" i="14"/>
  <c r="K286" i="14" s="1"/>
  <c r="J284" i="13" s="1"/>
  <c r="J271" i="14"/>
  <c r="K271" i="14" s="1"/>
  <c r="J269" i="13" s="1"/>
  <c r="J287" i="14"/>
  <c r="K287" i="14" s="1"/>
  <c r="J285" i="13" s="1"/>
  <c r="J170" i="14"/>
  <c r="K170" i="14" s="1"/>
  <c r="J168" i="13" s="1"/>
  <c r="K32" i="1"/>
  <c r="J492" i="15"/>
  <c r="K492" i="15" s="1"/>
  <c r="K490" i="13" s="1"/>
  <c r="J308" i="14"/>
  <c r="K308" i="14" s="1"/>
  <c r="J306" i="13" s="1"/>
  <c r="J131" i="14"/>
  <c r="K131" i="14" s="1"/>
  <c r="J129" i="13" s="1"/>
  <c r="K374" i="1"/>
  <c r="J460" i="11"/>
  <c r="K460" i="11" s="1"/>
  <c r="I458" i="13" s="1"/>
  <c r="J247" i="15"/>
  <c r="K247" i="15" s="1"/>
  <c r="K245" i="13" s="1"/>
  <c r="J485" i="15"/>
  <c r="K485" i="15" s="1"/>
  <c r="K483" i="13" s="1"/>
  <c r="J403" i="14"/>
  <c r="K403" i="14" s="1"/>
  <c r="J401" i="13" s="1"/>
  <c r="J149" i="11"/>
  <c r="K149" i="11" s="1"/>
  <c r="I147" i="13" s="1"/>
  <c r="J123" i="15"/>
  <c r="K123" i="15" s="1"/>
  <c r="K121" i="13" s="1"/>
  <c r="J384" i="14"/>
  <c r="K384" i="14" s="1"/>
  <c r="J382" i="13" s="1"/>
  <c r="J368" i="11"/>
  <c r="K368" i="11" s="1"/>
  <c r="I366" i="13" s="1"/>
  <c r="K260" i="1"/>
  <c r="J120" i="11"/>
  <c r="K120" i="11" s="1"/>
  <c r="I118" i="13" s="1"/>
  <c r="J204" i="11"/>
  <c r="K204" i="11" s="1"/>
  <c r="I202" i="13" s="1"/>
  <c r="J86" i="11"/>
  <c r="K86" i="11" s="1"/>
  <c r="I84" i="13" s="1"/>
  <c r="J491" i="11"/>
  <c r="K491" i="11" s="1"/>
  <c r="I489" i="13" s="1"/>
  <c r="J107" i="14"/>
  <c r="K107" i="14" s="1"/>
  <c r="J105" i="13" s="1"/>
  <c r="K282" i="1"/>
  <c r="M780" i="1"/>
  <c r="O780" i="1" s="1"/>
  <c r="K54" i="1"/>
  <c r="K122" i="1"/>
  <c r="J333" i="15"/>
  <c r="K333" i="15" s="1"/>
  <c r="K331" i="13" s="1"/>
  <c r="J167" i="14"/>
  <c r="K167" i="14" s="1"/>
  <c r="J165" i="13" s="1"/>
  <c r="J307" i="15"/>
  <c r="K307" i="15" s="1"/>
  <c r="K305" i="13" s="1"/>
  <c r="K168" i="1"/>
  <c r="J438" i="14"/>
  <c r="K438" i="14" s="1"/>
  <c r="J436" i="13" s="1"/>
  <c r="J491" i="15"/>
  <c r="K491" i="15" s="1"/>
  <c r="K489" i="13" s="1"/>
  <c r="J498" i="14"/>
  <c r="K498" i="14" s="1"/>
  <c r="J496" i="13" s="1"/>
  <c r="J179" i="15"/>
  <c r="K179" i="15" s="1"/>
  <c r="K177" i="13" s="1"/>
  <c r="J87" i="15"/>
  <c r="K87" i="15" s="1"/>
  <c r="K85" i="13" s="1"/>
  <c r="J242" i="15"/>
  <c r="K242" i="15" s="1"/>
  <c r="K240" i="13" s="1"/>
  <c r="J390" i="11"/>
  <c r="K390" i="11" s="1"/>
  <c r="I388" i="13" s="1"/>
  <c r="J495" i="15"/>
  <c r="K495" i="15" s="1"/>
  <c r="K493" i="13" s="1"/>
  <c r="K465" i="1"/>
  <c r="J158" i="15"/>
  <c r="K158" i="15" s="1"/>
  <c r="K156" i="13" s="1"/>
  <c r="J146" i="14"/>
  <c r="K146" i="14" s="1"/>
  <c r="J144" i="13" s="1"/>
  <c r="J73" i="15"/>
  <c r="K73" i="15" s="1"/>
  <c r="K71" i="13" s="1"/>
  <c r="J140" i="15"/>
  <c r="K140" i="15" s="1"/>
  <c r="K138" i="13" s="1"/>
  <c r="J471" i="15"/>
  <c r="K471" i="15" s="1"/>
  <c r="K469" i="13" s="1"/>
  <c r="J39" i="14"/>
  <c r="K39" i="14" s="1"/>
  <c r="J37" i="13" s="1"/>
  <c r="J211" i="11"/>
  <c r="K211" i="11" s="1"/>
  <c r="I209" i="13" s="1"/>
  <c r="J393" i="11"/>
  <c r="K393" i="11" s="1"/>
  <c r="I391" i="13" s="1"/>
  <c r="J291" i="15"/>
  <c r="K291" i="15" s="1"/>
  <c r="K289" i="13" s="1"/>
  <c r="J299" i="11"/>
  <c r="K299" i="11" s="1"/>
  <c r="I297" i="13" s="1"/>
  <c r="J19" i="11"/>
  <c r="K19" i="11" s="1"/>
  <c r="I17" i="13" s="1"/>
  <c r="J501" i="14"/>
  <c r="K501" i="14" s="1"/>
  <c r="J499" i="13" s="1"/>
  <c r="J295" i="15"/>
  <c r="K295" i="15" s="1"/>
  <c r="K293" i="13" s="1"/>
  <c r="J444" i="11"/>
  <c r="K444" i="11" s="1"/>
  <c r="I442" i="13" s="1"/>
  <c r="J171" i="11"/>
  <c r="K171" i="11" s="1"/>
  <c r="I169" i="13" s="1"/>
  <c r="J246" i="15"/>
  <c r="K246" i="15" s="1"/>
  <c r="K244" i="13" s="1"/>
  <c r="J434" i="15"/>
  <c r="K434" i="15" s="1"/>
  <c r="K432" i="13" s="1"/>
  <c r="J368" i="14"/>
  <c r="K368" i="14" s="1"/>
  <c r="J366" i="13" s="1"/>
  <c r="J340" i="14"/>
  <c r="K340" i="14" s="1"/>
  <c r="J338" i="13" s="1"/>
  <c r="J164" i="15"/>
  <c r="K164" i="15" s="1"/>
  <c r="K162" i="13" s="1"/>
  <c r="J103" i="15"/>
  <c r="K103" i="15" s="1"/>
  <c r="K101" i="13" s="1"/>
  <c r="J112" i="15"/>
  <c r="K112" i="15" s="1"/>
  <c r="K110" i="13" s="1"/>
  <c r="J82" i="14"/>
  <c r="K82" i="14" s="1"/>
  <c r="J80" i="13" s="1"/>
  <c r="J162" i="11"/>
  <c r="K162" i="11" s="1"/>
  <c r="I160" i="13" s="1"/>
  <c r="J494" i="15"/>
  <c r="K494" i="15" s="1"/>
  <c r="K492" i="13" s="1"/>
  <c r="J174" i="15"/>
  <c r="K174" i="15" s="1"/>
  <c r="K172" i="13" s="1"/>
  <c r="J353" i="14"/>
  <c r="K353" i="14" s="1"/>
  <c r="J351" i="13" s="1"/>
  <c r="J514" i="11"/>
  <c r="K514" i="11" s="1"/>
  <c r="I512" i="13" s="1"/>
  <c r="J276" i="11"/>
  <c r="K276" i="11" s="1"/>
  <c r="I274" i="13" s="1"/>
  <c r="K216" i="1"/>
  <c r="J258" i="15"/>
  <c r="K258" i="15" s="1"/>
  <c r="K256" i="13" s="1"/>
  <c r="J490" i="15"/>
  <c r="K490" i="15" s="1"/>
  <c r="K488" i="13" s="1"/>
  <c r="J55" i="11"/>
  <c r="K55" i="11" s="1"/>
  <c r="I53" i="13" s="1"/>
  <c r="J241" i="11"/>
  <c r="K241" i="11" s="1"/>
  <c r="I239" i="13" s="1"/>
  <c r="J146" i="11"/>
  <c r="K146" i="11" s="1"/>
  <c r="I144" i="13" s="1"/>
  <c r="J158" i="14"/>
  <c r="K158" i="14" s="1"/>
  <c r="J156" i="13" s="1"/>
  <c r="J52" i="11"/>
  <c r="K52" i="11" s="1"/>
  <c r="I50" i="13" s="1"/>
  <c r="J232" i="14"/>
  <c r="K232" i="14" s="1"/>
  <c r="J230" i="13" s="1"/>
  <c r="J97" i="15"/>
  <c r="K97" i="15" s="1"/>
  <c r="K95" i="13" s="1"/>
  <c r="J437" i="11"/>
  <c r="K437" i="11" s="1"/>
  <c r="I435" i="13" s="1"/>
  <c r="J516" i="15"/>
  <c r="K516" i="15" s="1"/>
  <c r="K514" i="13" s="1"/>
  <c r="J412" i="11"/>
  <c r="K412" i="11" s="1"/>
  <c r="I410" i="13" s="1"/>
  <c r="J471" i="14"/>
  <c r="K471" i="14" s="1"/>
  <c r="J469" i="13" s="1"/>
  <c r="J83" i="14"/>
  <c r="K83" i="14" s="1"/>
  <c r="J81" i="13" s="1"/>
  <c r="J118" i="14"/>
  <c r="K118" i="14" s="1"/>
  <c r="J116" i="13" s="1"/>
  <c r="J499" i="14"/>
  <c r="K499" i="14" s="1"/>
  <c r="J497" i="13" s="1"/>
  <c r="J495" i="11"/>
  <c r="K495" i="11" s="1"/>
  <c r="I493" i="13" s="1"/>
  <c r="J242" i="11"/>
  <c r="K242" i="11" s="1"/>
  <c r="I240" i="13" s="1"/>
  <c r="J282" i="11"/>
  <c r="K282" i="11" s="1"/>
  <c r="I280" i="13" s="1"/>
  <c r="J290" i="14"/>
  <c r="K290" i="14" s="1"/>
  <c r="J288" i="13" s="1"/>
  <c r="J447" i="14"/>
  <c r="K447" i="14" s="1"/>
  <c r="J445" i="13" s="1"/>
  <c r="J317" i="15"/>
  <c r="K317" i="15" s="1"/>
  <c r="K315" i="13" s="1"/>
  <c r="J148" i="11"/>
  <c r="K148" i="11" s="1"/>
  <c r="I146" i="13" s="1"/>
  <c r="J398" i="15"/>
  <c r="K398" i="15" s="1"/>
  <c r="K396" i="13" s="1"/>
  <c r="J92" i="14"/>
  <c r="K92" i="14" s="1"/>
  <c r="J90" i="13" s="1"/>
  <c r="J206" i="14"/>
  <c r="K206" i="14" s="1"/>
  <c r="J204" i="13" s="1"/>
  <c r="J61" i="11"/>
  <c r="K61" i="11" s="1"/>
  <c r="I59" i="13" s="1"/>
  <c r="J54" i="14"/>
  <c r="K54" i="14" s="1"/>
  <c r="J52" i="13" s="1"/>
  <c r="J389" i="15"/>
  <c r="K389" i="15" s="1"/>
  <c r="K387" i="13" s="1"/>
  <c r="J190" i="14"/>
  <c r="K190" i="14" s="1"/>
  <c r="J188" i="13" s="1"/>
  <c r="J449" i="11"/>
  <c r="K449" i="11" s="1"/>
  <c r="I447" i="13" s="1"/>
  <c r="J170" i="11"/>
  <c r="K170" i="11" s="1"/>
  <c r="I168" i="13" s="1"/>
  <c r="J481" i="14"/>
  <c r="K481" i="14" s="1"/>
  <c r="J479" i="13" s="1"/>
  <c r="K147" i="1"/>
  <c r="J443" i="14"/>
  <c r="K443" i="14" s="1"/>
  <c r="J441" i="13" s="1"/>
  <c r="K60" i="1"/>
  <c r="J187" i="15"/>
  <c r="K187" i="15" s="1"/>
  <c r="K185" i="13" s="1"/>
  <c r="J23" i="14"/>
  <c r="K23" i="14" s="1"/>
  <c r="J21" i="13" s="1"/>
  <c r="J46" i="15"/>
  <c r="K46" i="15" s="1"/>
  <c r="K44" i="13" s="1"/>
  <c r="J268" i="15"/>
  <c r="K268" i="15" s="1"/>
  <c r="K266" i="13" s="1"/>
  <c r="J165" i="14"/>
  <c r="K165" i="14" s="1"/>
  <c r="J163" i="13" s="1"/>
  <c r="J488" i="11"/>
  <c r="K488" i="11" s="1"/>
  <c r="I486" i="13" s="1"/>
  <c r="J156" i="11"/>
  <c r="K156" i="11" s="1"/>
  <c r="I154" i="13" s="1"/>
  <c r="J138" i="11"/>
  <c r="K138" i="11" s="1"/>
  <c r="I136" i="13" s="1"/>
  <c r="K275" i="1"/>
  <c r="K201" i="1"/>
  <c r="K378" i="1"/>
  <c r="J469" i="14"/>
  <c r="K469" i="14" s="1"/>
  <c r="J467" i="13" s="1"/>
  <c r="J306" i="14"/>
  <c r="K306" i="14" s="1"/>
  <c r="J304" i="13" s="1"/>
  <c r="J258" i="14"/>
  <c r="K258" i="14" s="1"/>
  <c r="J256" i="13" s="1"/>
  <c r="J353" i="11"/>
  <c r="K353" i="11" s="1"/>
  <c r="I351" i="13" s="1"/>
  <c r="J357" i="11"/>
  <c r="K357" i="11" s="1"/>
  <c r="I355" i="13" s="1"/>
  <c r="J159" i="14"/>
  <c r="K159" i="14" s="1"/>
  <c r="J157" i="13" s="1"/>
  <c r="J75" i="15"/>
  <c r="K75" i="15" s="1"/>
  <c r="K73" i="13" s="1"/>
  <c r="J19" i="14"/>
  <c r="K19" i="14" s="1"/>
  <c r="J17" i="13" s="1"/>
  <c r="J164" i="14"/>
  <c r="K164" i="14" s="1"/>
  <c r="J162" i="13" s="1"/>
  <c r="J238" i="14"/>
  <c r="K238" i="14" s="1"/>
  <c r="J236" i="13" s="1"/>
  <c r="K118" i="1"/>
  <c r="K18" i="1"/>
  <c r="K267" i="1"/>
  <c r="K355" i="1"/>
  <c r="J183" i="11"/>
  <c r="K183" i="11" s="1"/>
  <c r="I181" i="13" s="1"/>
  <c r="J81" i="15"/>
  <c r="K81" i="15" s="1"/>
  <c r="K79" i="13" s="1"/>
  <c r="J363" i="15"/>
  <c r="K363" i="15" s="1"/>
  <c r="K361" i="13" s="1"/>
  <c r="K448" i="1"/>
  <c r="J391" i="15"/>
  <c r="K391" i="15" s="1"/>
  <c r="K389" i="13" s="1"/>
  <c r="J47" i="14"/>
  <c r="K47" i="14" s="1"/>
  <c r="J45" i="13" s="1"/>
  <c r="J287" i="11"/>
  <c r="K287" i="11" s="1"/>
  <c r="I285" i="13" s="1"/>
  <c r="J141" i="15"/>
  <c r="K141" i="15" s="1"/>
  <c r="K139" i="13" s="1"/>
  <c r="J444" i="15"/>
  <c r="K444" i="15" s="1"/>
  <c r="K442" i="13" s="1"/>
  <c r="J109" i="15"/>
  <c r="K109" i="15" s="1"/>
  <c r="K107" i="13" s="1"/>
  <c r="J229" i="15"/>
  <c r="K229" i="15" s="1"/>
  <c r="K227" i="13" s="1"/>
  <c r="J364" i="15"/>
  <c r="K364" i="15" s="1"/>
  <c r="K362" i="13" s="1"/>
  <c r="J39" i="15"/>
  <c r="K39" i="15" s="1"/>
  <c r="K37" i="13" s="1"/>
  <c r="J392" i="15"/>
  <c r="K392" i="15" s="1"/>
  <c r="K390" i="13" s="1"/>
  <c r="J252" i="14"/>
  <c r="K252" i="14" s="1"/>
  <c r="J250" i="13" s="1"/>
  <c r="J384" i="15"/>
  <c r="K384" i="15" s="1"/>
  <c r="K382" i="13" s="1"/>
  <c r="J181" i="14"/>
  <c r="K181" i="14" s="1"/>
  <c r="J179" i="13" s="1"/>
  <c r="J402" i="15"/>
  <c r="K402" i="15" s="1"/>
  <c r="K400" i="13" s="1"/>
  <c r="J175" i="14"/>
  <c r="K175" i="14" s="1"/>
  <c r="J173" i="13" s="1"/>
  <c r="K449" i="1"/>
  <c r="K425" i="1"/>
  <c r="K183" i="1"/>
  <c r="J338" i="15"/>
  <c r="K338" i="15" s="1"/>
  <c r="K336" i="13" s="1"/>
  <c r="J382" i="15"/>
  <c r="K382" i="15" s="1"/>
  <c r="K380" i="13" s="1"/>
  <c r="J10" i="15"/>
  <c r="K10" i="15" s="1"/>
  <c r="K8" i="13" s="1"/>
  <c r="J176" i="15"/>
  <c r="K176" i="15" s="1"/>
  <c r="K174" i="13" s="1"/>
  <c r="J417" i="14"/>
  <c r="K417" i="14" s="1"/>
  <c r="J415" i="13" s="1"/>
  <c r="J101" i="14"/>
  <c r="K101" i="14" s="1"/>
  <c r="J99" i="13" s="1"/>
  <c r="J247" i="14"/>
  <c r="K247" i="14" s="1"/>
  <c r="J245" i="13" s="1"/>
  <c r="J261" i="15"/>
  <c r="K261" i="15" s="1"/>
  <c r="K259" i="13" s="1"/>
  <c r="J132" i="14"/>
  <c r="K132" i="14" s="1"/>
  <c r="J130" i="13" s="1"/>
  <c r="J498" i="11"/>
  <c r="K498" i="11" s="1"/>
  <c r="I496" i="13" s="1"/>
  <c r="J387" i="11"/>
  <c r="K387" i="11" s="1"/>
  <c r="I385" i="13" s="1"/>
  <c r="K468" i="1"/>
  <c r="J361" i="14"/>
  <c r="K361" i="14" s="1"/>
  <c r="J359" i="13" s="1"/>
  <c r="J423" i="15"/>
  <c r="K423" i="15" s="1"/>
  <c r="K421" i="13" s="1"/>
  <c r="J204" i="14"/>
  <c r="K204" i="14" s="1"/>
  <c r="J202" i="13" s="1"/>
  <c r="J100" i="15"/>
  <c r="K100" i="15" s="1"/>
  <c r="K98" i="13" s="1"/>
  <c r="J483" i="11"/>
  <c r="K483" i="11" s="1"/>
  <c r="I481" i="13" s="1"/>
  <c r="J493" i="11"/>
  <c r="K493" i="11" s="1"/>
  <c r="I491" i="13" s="1"/>
  <c r="J78" i="14"/>
  <c r="K78" i="14" s="1"/>
  <c r="J76" i="13" s="1"/>
  <c r="J141" i="11"/>
  <c r="K141" i="11" s="1"/>
  <c r="I139" i="13" s="1"/>
  <c r="J482" i="11"/>
  <c r="K482" i="11" s="1"/>
  <c r="I480" i="13" s="1"/>
  <c r="K197" i="1"/>
  <c r="M585" i="1"/>
  <c r="N585" i="1" s="1"/>
  <c r="K386" i="1"/>
  <c r="K172" i="1"/>
  <c r="K93" i="1"/>
  <c r="K438" i="1"/>
  <c r="M607" i="1"/>
  <c r="K188" i="1"/>
  <c r="K238" i="1"/>
  <c r="K181" i="1"/>
  <c r="K401" i="1"/>
  <c r="K173" i="1"/>
  <c r="M681" i="1"/>
  <c r="P681" i="1" s="1"/>
  <c r="K516" i="1"/>
  <c r="J417" i="11"/>
  <c r="K417" i="11" s="1"/>
  <c r="I415" i="13" s="1"/>
  <c r="J466" i="14"/>
  <c r="K466" i="14" s="1"/>
  <c r="J464" i="13" s="1"/>
  <c r="J487" i="14"/>
  <c r="K487" i="14" s="1"/>
  <c r="J485" i="13" s="1"/>
  <c r="K324" i="1"/>
  <c r="J176" i="11"/>
  <c r="K176" i="11" s="1"/>
  <c r="I174" i="13" s="1"/>
  <c r="J137" i="15"/>
  <c r="K137" i="15" s="1"/>
  <c r="K135" i="13" s="1"/>
  <c r="J291" i="14"/>
  <c r="K291" i="14" s="1"/>
  <c r="J289" i="13" s="1"/>
  <c r="J127" i="14"/>
  <c r="K127" i="14" s="1"/>
  <c r="J125" i="13" s="1"/>
  <c r="J104" i="11"/>
  <c r="K104" i="11" s="1"/>
  <c r="I102" i="13" s="1"/>
  <c r="J350" i="15"/>
  <c r="K350" i="15" s="1"/>
  <c r="K348" i="13" s="1"/>
  <c r="M797" i="1"/>
  <c r="O797" i="1" s="1"/>
  <c r="J279" i="15"/>
  <c r="K279" i="15" s="1"/>
  <c r="K277" i="13" s="1"/>
  <c r="J459" i="14"/>
  <c r="K459" i="14" s="1"/>
  <c r="J457" i="13" s="1"/>
  <c r="J243" i="15"/>
  <c r="K243" i="15" s="1"/>
  <c r="K241" i="13" s="1"/>
  <c r="J187" i="11"/>
  <c r="K187" i="11" s="1"/>
  <c r="I185" i="13" s="1"/>
  <c r="J468" i="15"/>
  <c r="K468" i="15" s="1"/>
  <c r="K466" i="13" s="1"/>
  <c r="J211" i="15"/>
  <c r="K211" i="15" s="1"/>
  <c r="K209" i="13" s="1"/>
  <c r="J130" i="15"/>
  <c r="K130" i="15" s="1"/>
  <c r="K128" i="13" s="1"/>
  <c r="J373" i="14"/>
  <c r="K373" i="14" s="1"/>
  <c r="J371" i="13" s="1"/>
  <c r="J177" i="14"/>
  <c r="K177" i="14" s="1"/>
  <c r="J175" i="13" s="1"/>
  <c r="J446" i="11"/>
  <c r="K446" i="11" s="1"/>
  <c r="I444" i="13" s="1"/>
  <c r="J165" i="11"/>
  <c r="K165" i="11" s="1"/>
  <c r="I163" i="13" s="1"/>
  <c r="J65" i="15"/>
  <c r="K65" i="15" s="1"/>
  <c r="K63" i="13" s="1"/>
  <c r="J455" i="14"/>
  <c r="K455" i="14" s="1"/>
  <c r="J453" i="13" s="1"/>
  <c r="J485" i="14"/>
  <c r="K485" i="14" s="1"/>
  <c r="J483" i="13" s="1"/>
  <c r="K146" i="1"/>
  <c r="K357" i="1"/>
  <c r="K257" i="1"/>
  <c r="K376" i="1"/>
  <c r="J133" i="14"/>
  <c r="K133" i="14" s="1"/>
  <c r="J131" i="13" s="1"/>
  <c r="J513" i="11"/>
  <c r="K513" i="11" s="1"/>
  <c r="I511" i="13" s="1"/>
  <c r="J243" i="14"/>
  <c r="K243" i="14" s="1"/>
  <c r="J241" i="13" s="1"/>
  <c r="K268" i="1"/>
  <c r="J183" i="15"/>
  <c r="K183" i="15" s="1"/>
  <c r="K181" i="13" s="1"/>
  <c r="J470" i="14"/>
  <c r="K470" i="14" s="1"/>
  <c r="J468" i="13" s="1"/>
  <c r="K214" i="1"/>
  <c r="J493" i="15"/>
  <c r="K493" i="15" s="1"/>
  <c r="K491" i="13" s="1"/>
  <c r="J457" i="15"/>
  <c r="K457" i="15" s="1"/>
  <c r="K455" i="13" s="1"/>
  <c r="J481" i="11"/>
  <c r="K481" i="11" s="1"/>
  <c r="I479" i="13" s="1"/>
  <c r="J486" i="14"/>
  <c r="K486" i="14" s="1"/>
  <c r="J484" i="13" s="1"/>
  <c r="J344" i="15"/>
  <c r="K344" i="15" s="1"/>
  <c r="K342" i="13" s="1"/>
  <c r="K477" i="1"/>
  <c r="J142" i="14"/>
  <c r="K142" i="14" s="1"/>
  <c r="J140" i="13" s="1"/>
  <c r="J393" i="15"/>
  <c r="K393" i="15" s="1"/>
  <c r="K391" i="13" s="1"/>
  <c r="J144" i="14"/>
  <c r="K144" i="14" s="1"/>
  <c r="J142" i="13" s="1"/>
  <c r="J49" i="11"/>
  <c r="K49" i="11" s="1"/>
  <c r="I47" i="13" s="1"/>
  <c r="J235" i="14"/>
  <c r="K235" i="14" s="1"/>
  <c r="J233" i="13" s="1"/>
  <c r="J25" i="11"/>
  <c r="K25" i="11" s="1"/>
  <c r="I23" i="13" s="1"/>
  <c r="J459" i="15"/>
  <c r="K459" i="15" s="1"/>
  <c r="K457" i="13" s="1"/>
  <c r="J109" i="11"/>
  <c r="K109" i="11" s="1"/>
  <c r="I107" i="13" s="1"/>
  <c r="K30" i="1"/>
  <c r="J282" i="15"/>
  <c r="K282" i="15" s="1"/>
  <c r="K280" i="13" s="1"/>
  <c r="J20" i="11"/>
  <c r="K20" i="11" s="1"/>
  <c r="I18" i="13" s="1"/>
  <c r="J235" i="11"/>
  <c r="K235" i="11" s="1"/>
  <c r="I233" i="13" s="1"/>
  <c r="J69" i="14"/>
  <c r="K69" i="14" s="1"/>
  <c r="J67" i="13" s="1"/>
  <c r="J216" i="14"/>
  <c r="K216" i="14" s="1"/>
  <c r="J214" i="13" s="1"/>
  <c r="J67" i="14"/>
  <c r="K67" i="14" s="1"/>
  <c r="J65" i="13" s="1"/>
  <c r="J435" i="14"/>
  <c r="K435" i="14" s="1"/>
  <c r="J433" i="13" s="1"/>
  <c r="J304" i="11"/>
  <c r="K304" i="11" s="1"/>
  <c r="I302" i="13" s="1"/>
  <c r="J23" i="11"/>
  <c r="K23" i="11" s="1"/>
  <c r="I21" i="13" s="1"/>
  <c r="J509" i="14"/>
  <c r="K509" i="14" s="1"/>
  <c r="J507" i="13" s="1"/>
  <c r="J484" i="15"/>
  <c r="K484" i="15" s="1"/>
  <c r="K482" i="13" s="1"/>
  <c r="J380" i="11"/>
  <c r="K380" i="11" s="1"/>
  <c r="I378" i="13" s="1"/>
  <c r="J502" i="11"/>
  <c r="K502" i="11" s="1"/>
  <c r="I500" i="13" s="1"/>
  <c r="J500" i="14"/>
  <c r="K500" i="14" s="1"/>
  <c r="J498" i="13" s="1"/>
  <c r="J299" i="14"/>
  <c r="K299" i="14" s="1"/>
  <c r="J297" i="13" s="1"/>
  <c r="J52" i="14"/>
  <c r="K52" i="14" s="1"/>
  <c r="J50" i="13" s="1"/>
  <c r="J361" i="11"/>
  <c r="K361" i="11" s="1"/>
  <c r="I359" i="13" s="1"/>
  <c r="K445" i="1"/>
  <c r="J98" i="11"/>
  <c r="K98" i="11" s="1"/>
  <c r="I96" i="13" s="1"/>
  <c r="J259" i="15"/>
  <c r="K259" i="15" s="1"/>
  <c r="K257" i="13" s="1"/>
  <c r="J339" i="11"/>
  <c r="K339" i="11" s="1"/>
  <c r="I337" i="13" s="1"/>
  <c r="J20" i="14"/>
  <c r="K20" i="14" s="1"/>
  <c r="J18" i="13" s="1"/>
  <c r="K507" i="1"/>
  <c r="K130" i="1"/>
  <c r="K336" i="1"/>
  <c r="K420" i="1"/>
  <c r="K280" i="1"/>
  <c r="K501" i="1"/>
  <c r="K292" i="1"/>
  <c r="K494" i="1"/>
  <c r="K36" i="1"/>
  <c r="K165" i="1"/>
  <c r="J429" i="11"/>
  <c r="K429" i="11" s="1"/>
  <c r="I427" i="13" s="1"/>
  <c r="K81" i="1"/>
  <c r="J272" i="14"/>
  <c r="K272" i="14" s="1"/>
  <c r="J270" i="13" s="1"/>
  <c r="M729" i="1"/>
  <c r="N729" i="1" s="1"/>
  <c r="J413" i="11"/>
  <c r="K413" i="11" s="1"/>
  <c r="I411" i="13" s="1"/>
  <c r="J370" i="14"/>
  <c r="K370" i="14" s="1"/>
  <c r="J368" i="13" s="1"/>
  <c r="J150" i="15"/>
  <c r="K150" i="15" s="1"/>
  <c r="K148" i="13" s="1"/>
  <c r="J182" i="15"/>
  <c r="K182" i="15" s="1"/>
  <c r="K180" i="13" s="1"/>
  <c r="J220" i="11"/>
  <c r="K220" i="11" s="1"/>
  <c r="I218" i="13" s="1"/>
  <c r="J513" i="14"/>
  <c r="K513" i="14" s="1"/>
  <c r="J511" i="13" s="1"/>
  <c r="J386" i="14"/>
  <c r="K386" i="14" s="1"/>
  <c r="J384" i="13" s="1"/>
  <c r="K17" i="1"/>
  <c r="J128" i="14"/>
  <c r="K128" i="14" s="1"/>
  <c r="J126" i="13" s="1"/>
  <c r="J397" i="14"/>
  <c r="K397" i="14" s="1"/>
  <c r="J395" i="13" s="1"/>
  <c r="J349" i="15"/>
  <c r="K349" i="15" s="1"/>
  <c r="K347" i="13" s="1"/>
  <c r="K470" i="1"/>
  <c r="J469" i="11"/>
  <c r="K469" i="11" s="1"/>
  <c r="I467" i="13" s="1"/>
  <c r="K129" i="1"/>
  <c r="M627" i="1"/>
  <c r="K340" i="1"/>
  <c r="K245" i="1"/>
  <c r="K328" i="1"/>
  <c r="K157" i="1"/>
  <c r="J453" i="15"/>
  <c r="K453" i="15" s="1"/>
  <c r="K451" i="13" s="1"/>
  <c r="J273" i="14"/>
  <c r="K273" i="14" s="1"/>
  <c r="J271" i="13" s="1"/>
  <c r="J457" i="14"/>
  <c r="K457" i="14" s="1"/>
  <c r="J455" i="13" s="1"/>
  <c r="J315" i="14"/>
  <c r="K315" i="14" s="1"/>
  <c r="J313" i="13" s="1"/>
  <c r="J295" i="14"/>
  <c r="K295" i="14" s="1"/>
  <c r="J293" i="13" s="1"/>
  <c r="J395" i="15"/>
  <c r="K395" i="15" s="1"/>
  <c r="K393" i="13" s="1"/>
  <c r="J89" i="15"/>
  <c r="K89" i="15" s="1"/>
  <c r="K87" i="13" s="1"/>
  <c r="K416" i="1"/>
  <c r="J54" i="15"/>
  <c r="K54" i="15" s="1"/>
  <c r="K52" i="13" s="1"/>
  <c r="J63" i="14"/>
  <c r="K63" i="14" s="1"/>
  <c r="J61" i="13" s="1"/>
  <c r="J41" i="15"/>
  <c r="K41" i="15" s="1"/>
  <c r="K39" i="13" s="1"/>
  <c r="J494" i="11"/>
  <c r="K494" i="11" s="1"/>
  <c r="I492" i="13" s="1"/>
  <c r="J155" i="11"/>
  <c r="K155" i="11" s="1"/>
  <c r="I153" i="13" s="1"/>
  <c r="K210" i="1"/>
  <c r="K228" i="1"/>
  <c r="M574" i="1"/>
  <c r="M573" i="1"/>
  <c r="K288" i="1"/>
  <c r="K47" i="1"/>
  <c r="K16" i="1"/>
  <c r="M850" i="1"/>
  <c r="M857" i="1"/>
  <c r="J335" i="11"/>
  <c r="K335" i="11" s="1"/>
  <c r="I333" i="13" s="1"/>
  <c r="J339" i="15"/>
  <c r="K339" i="15" s="1"/>
  <c r="K337" i="13" s="1"/>
  <c r="J196" i="14"/>
  <c r="K196" i="14" s="1"/>
  <c r="J194" i="13" s="1"/>
  <c r="J279" i="11"/>
  <c r="K279" i="11" s="1"/>
  <c r="I277" i="13" s="1"/>
  <c r="J392" i="11"/>
  <c r="K392" i="11" s="1"/>
  <c r="I390" i="13" s="1"/>
  <c r="J49" i="15"/>
  <c r="K49" i="15" s="1"/>
  <c r="K47" i="13" s="1"/>
  <c r="K363" i="1"/>
  <c r="J272" i="15"/>
  <c r="K272" i="15" s="1"/>
  <c r="K270" i="13" s="1"/>
  <c r="J37" i="11"/>
  <c r="K37" i="11" s="1"/>
  <c r="I35" i="13" s="1"/>
  <c r="J261" i="11"/>
  <c r="K261" i="11" s="1"/>
  <c r="I259" i="13" s="1"/>
  <c r="J197" i="14"/>
  <c r="K197" i="14" s="1"/>
  <c r="J195" i="13" s="1"/>
  <c r="K273" i="1"/>
  <c r="J157" i="14"/>
  <c r="K157" i="14" s="1"/>
  <c r="J155" i="13" s="1"/>
  <c r="K338" i="1"/>
  <c r="J298" i="11"/>
  <c r="K298" i="11" s="1"/>
  <c r="I296" i="13" s="1"/>
  <c r="J304" i="14"/>
  <c r="K304" i="14" s="1"/>
  <c r="J302" i="13" s="1"/>
  <c r="J76" i="14"/>
  <c r="K76" i="14" s="1"/>
  <c r="J74" i="13" s="1"/>
  <c r="J160" i="14"/>
  <c r="K160" i="14" s="1"/>
  <c r="J158" i="13" s="1"/>
  <c r="J413" i="14"/>
  <c r="K413" i="14" s="1"/>
  <c r="J411" i="13" s="1"/>
  <c r="K381" i="1"/>
  <c r="K295" i="1"/>
  <c r="K259" i="1"/>
  <c r="K384" i="1"/>
  <c r="J144" i="15"/>
  <c r="K144" i="15" s="1"/>
  <c r="K142" i="13" s="1"/>
  <c r="J445" i="11"/>
  <c r="K445" i="11" s="1"/>
  <c r="I443" i="13" s="1"/>
  <c r="J513" i="15"/>
  <c r="K513" i="15" s="1"/>
  <c r="K511" i="13" s="1"/>
  <c r="K261" i="1"/>
  <c r="J339" i="14"/>
  <c r="K339" i="14" s="1"/>
  <c r="J337" i="13" s="1"/>
  <c r="J507" i="14"/>
  <c r="K507" i="14" s="1"/>
  <c r="J505" i="13" s="1"/>
  <c r="K101" i="1"/>
  <c r="J450" i="14"/>
  <c r="K450" i="14" s="1"/>
  <c r="J448" i="13" s="1"/>
  <c r="J360" i="15"/>
  <c r="K360" i="15" s="1"/>
  <c r="K358" i="13" s="1"/>
  <c r="J516" i="14"/>
  <c r="K516" i="14" s="1"/>
  <c r="J514" i="13" s="1"/>
  <c r="K414" i="1"/>
  <c r="J217" i="11"/>
  <c r="K217" i="11" s="1"/>
  <c r="I215" i="13" s="1"/>
  <c r="K211" i="1"/>
  <c r="J233" i="15"/>
  <c r="K233" i="15" s="1"/>
  <c r="K231" i="13" s="1"/>
  <c r="J100" i="11"/>
  <c r="K100" i="11" s="1"/>
  <c r="I98" i="13" s="1"/>
  <c r="J117" i="11"/>
  <c r="K117" i="11" s="1"/>
  <c r="I115" i="13" s="1"/>
  <c r="K426" i="1"/>
  <c r="J299" i="15"/>
  <c r="K299" i="15" s="1"/>
  <c r="K297" i="13" s="1"/>
  <c r="J41" i="14"/>
  <c r="K41" i="14" s="1"/>
  <c r="J39" i="13" s="1"/>
  <c r="J509" i="11"/>
  <c r="K509" i="11" s="1"/>
  <c r="I507" i="13" s="1"/>
  <c r="J468" i="11"/>
  <c r="K468" i="11" s="1"/>
  <c r="I466" i="13" s="1"/>
  <c r="K467" i="1"/>
  <c r="K405" i="1"/>
  <c r="M732" i="1"/>
  <c r="J463" i="14"/>
  <c r="K463" i="14" s="1"/>
  <c r="J461" i="13" s="1"/>
  <c r="J429" i="14"/>
  <c r="K429" i="14" s="1"/>
  <c r="J427" i="13" s="1"/>
  <c r="K39" i="1"/>
  <c r="J417" i="15"/>
  <c r="K417" i="15" s="1"/>
  <c r="K415" i="13" s="1"/>
  <c r="K204" i="1"/>
  <c r="J123" i="14"/>
  <c r="K123" i="14" s="1"/>
  <c r="J121" i="13" s="1"/>
  <c r="J298" i="14"/>
  <c r="K298" i="14" s="1"/>
  <c r="J296" i="13" s="1"/>
  <c r="K369" i="1"/>
  <c r="J151" i="14"/>
  <c r="K151" i="14" s="1"/>
  <c r="J149" i="13" s="1"/>
  <c r="K137" i="1"/>
  <c r="K492" i="1"/>
  <c r="K156" i="1"/>
  <c r="K116" i="1"/>
  <c r="K505" i="1"/>
  <c r="K34" i="1"/>
  <c r="K89" i="1"/>
  <c r="J31" i="15"/>
  <c r="K31" i="15" s="1"/>
  <c r="K29" i="13" s="1"/>
  <c r="J60" i="11"/>
  <c r="K60" i="11" s="1"/>
  <c r="I58" i="13" s="1"/>
  <c r="J398" i="14"/>
  <c r="K398" i="14" s="1"/>
  <c r="J396" i="13" s="1"/>
  <c r="J71" i="14"/>
  <c r="K71" i="14" s="1"/>
  <c r="J69" i="13" s="1"/>
  <c r="J200" i="14"/>
  <c r="K200" i="14" s="1"/>
  <c r="J198" i="13" s="1"/>
  <c r="K423" i="1"/>
  <c r="J254" i="14"/>
  <c r="K254" i="14" s="1"/>
  <c r="J252" i="13" s="1"/>
  <c r="J237" i="15"/>
  <c r="K237" i="15" s="1"/>
  <c r="K235" i="13" s="1"/>
  <c r="J30" i="15"/>
  <c r="K30" i="15" s="1"/>
  <c r="K28" i="13" s="1"/>
  <c r="J120" i="15"/>
  <c r="K120" i="15" s="1"/>
  <c r="K118" i="13" s="1"/>
  <c r="J65" i="11"/>
  <c r="K65" i="11" s="1"/>
  <c r="I63" i="13" s="1"/>
  <c r="K150" i="1"/>
  <c r="K244" i="1"/>
  <c r="J288" i="11"/>
  <c r="K288" i="11" s="1"/>
  <c r="I286" i="13" s="1"/>
  <c r="J252" i="15"/>
  <c r="K252" i="15" s="1"/>
  <c r="K250" i="13" s="1"/>
  <c r="J76" i="15"/>
  <c r="K76" i="15" s="1"/>
  <c r="K74" i="13" s="1"/>
  <c r="J248" i="11"/>
  <c r="K248" i="11" s="1"/>
  <c r="I246" i="13" s="1"/>
  <c r="J477" i="15"/>
  <c r="K477" i="15" s="1"/>
  <c r="K475" i="13" s="1"/>
  <c r="J233" i="14"/>
  <c r="K233" i="14" s="1"/>
  <c r="J231" i="13" s="1"/>
  <c r="K481" i="1"/>
  <c r="K310" i="1"/>
  <c r="K349" i="1"/>
  <c r="K123" i="1"/>
  <c r="K463" i="1"/>
  <c r="K283" i="1"/>
  <c r="K297" i="1"/>
  <c r="K135" i="1"/>
  <c r="K50" i="1"/>
  <c r="J140" i="11"/>
  <c r="K140" i="11" s="1"/>
  <c r="I138" i="13" s="1"/>
  <c r="J101" i="11"/>
  <c r="K101" i="11" s="1"/>
  <c r="I99" i="13" s="1"/>
  <c r="J186" i="15"/>
  <c r="K186" i="15" s="1"/>
  <c r="K184" i="13" s="1"/>
  <c r="O743" i="1"/>
  <c r="N743" i="1"/>
  <c r="P743" i="1"/>
  <c r="J72" i="14"/>
  <c r="K72" i="14" s="1"/>
  <c r="J70" i="13" s="1"/>
  <c r="J430" i="14"/>
  <c r="K430" i="14" s="1"/>
  <c r="J428" i="13" s="1"/>
  <c r="J25" i="15"/>
  <c r="K25" i="15" s="1"/>
  <c r="K23" i="13" s="1"/>
  <c r="J297" i="15"/>
  <c r="K297" i="15" s="1"/>
  <c r="K295" i="13" s="1"/>
  <c r="J8" i="11"/>
  <c r="K8" i="11" s="1"/>
  <c r="I6" i="13" s="1"/>
  <c r="J43" i="11"/>
  <c r="K43" i="11" s="1"/>
  <c r="I41" i="13" s="1"/>
  <c r="J404" i="14"/>
  <c r="K404" i="14" s="1"/>
  <c r="J402" i="13" s="1"/>
  <c r="J281" i="14"/>
  <c r="K281" i="14" s="1"/>
  <c r="J279" i="13" s="1"/>
  <c r="J180" i="15"/>
  <c r="K180" i="15" s="1"/>
  <c r="K178" i="13" s="1"/>
  <c r="J205" i="14"/>
  <c r="K205" i="14" s="1"/>
  <c r="J203" i="13" s="1"/>
  <c r="J157" i="11"/>
  <c r="K157" i="11" s="1"/>
  <c r="I155" i="13" s="1"/>
  <c r="J84" i="14"/>
  <c r="K84" i="14" s="1"/>
  <c r="J82" i="13" s="1"/>
  <c r="J355" i="14"/>
  <c r="K355" i="14" s="1"/>
  <c r="J353" i="13" s="1"/>
  <c r="K53" i="1"/>
  <c r="J388" i="11"/>
  <c r="K388" i="11" s="1"/>
  <c r="I386" i="13" s="1"/>
  <c r="K213" i="1"/>
  <c r="K498" i="1"/>
  <c r="J508" i="14"/>
  <c r="K508" i="14" s="1"/>
  <c r="J506" i="13" s="1"/>
  <c r="K190" i="1"/>
  <c r="K126" i="1"/>
  <c r="K308" i="1"/>
  <c r="J264" i="11"/>
  <c r="K264" i="11" s="1"/>
  <c r="I262" i="13" s="1"/>
  <c r="J312" i="15"/>
  <c r="K312" i="15" s="1"/>
  <c r="K310" i="13" s="1"/>
  <c r="J356" i="15"/>
  <c r="K356" i="15" s="1"/>
  <c r="K354" i="13" s="1"/>
  <c r="J343" i="14"/>
  <c r="K343" i="14" s="1"/>
  <c r="J341" i="13" s="1"/>
  <c r="J221" i="11"/>
  <c r="K221" i="11" s="1"/>
  <c r="I219" i="13" s="1"/>
  <c r="J313" i="11"/>
  <c r="K313" i="11" s="1"/>
  <c r="I311" i="13" s="1"/>
  <c r="J345" i="11"/>
  <c r="K345" i="11" s="1"/>
  <c r="I343" i="13" s="1"/>
  <c r="J129" i="14"/>
  <c r="K129" i="14" s="1"/>
  <c r="J127" i="13" s="1"/>
  <c r="J12" i="14"/>
  <c r="K12" i="14" s="1"/>
  <c r="J10" i="13" s="1"/>
  <c r="J426" i="11"/>
  <c r="K426" i="11" s="1"/>
  <c r="I424" i="13" s="1"/>
  <c r="Q743" i="1"/>
  <c r="F741" i="13" s="1"/>
  <c r="L741" i="13" s="1"/>
  <c r="J244" i="11"/>
  <c r="K244" i="11" s="1"/>
  <c r="I242" i="13" s="1"/>
  <c r="J278" i="11"/>
  <c r="K278" i="11" s="1"/>
  <c r="I276" i="13" s="1"/>
  <c r="J330" i="11"/>
  <c r="K330" i="11" s="1"/>
  <c r="I328" i="13" s="1"/>
  <c r="J479" i="14"/>
  <c r="K479" i="14" s="1"/>
  <c r="J477" i="13" s="1"/>
  <c r="J44" i="11"/>
  <c r="K44" i="11" s="1"/>
  <c r="I42" i="13" s="1"/>
  <c r="J391" i="14"/>
  <c r="K391" i="14" s="1"/>
  <c r="J389" i="13" s="1"/>
  <c r="J9" i="11"/>
  <c r="K9" i="11" s="1"/>
  <c r="I7" i="13" s="1"/>
  <c r="J260" i="15"/>
  <c r="K260" i="15" s="1"/>
  <c r="K258" i="13" s="1"/>
  <c r="J192" i="14"/>
  <c r="K192" i="14" s="1"/>
  <c r="J190" i="13" s="1"/>
  <c r="J458" i="14"/>
  <c r="K458" i="14" s="1"/>
  <c r="J456" i="13" s="1"/>
  <c r="J435" i="11"/>
  <c r="K435" i="11" s="1"/>
  <c r="I433" i="13" s="1"/>
  <c r="K56" i="1"/>
  <c r="J329" i="11"/>
  <c r="K329" i="11" s="1"/>
  <c r="I327" i="13" s="1"/>
  <c r="J303" i="14"/>
  <c r="K303" i="14" s="1"/>
  <c r="J301" i="13" s="1"/>
  <c r="J467" i="11"/>
  <c r="K467" i="11" s="1"/>
  <c r="I465" i="13" s="1"/>
  <c r="J407" i="15"/>
  <c r="K407" i="15" s="1"/>
  <c r="K405" i="13" s="1"/>
  <c r="J427" i="11"/>
  <c r="K427" i="11" s="1"/>
  <c r="I425" i="13" s="1"/>
  <c r="J405" i="15"/>
  <c r="K405" i="15" s="1"/>
  <c r="K403" i="13" s="1"/>
  <c r="J22" i="11"/>
  <c r="K22" i="11" s="1"/>
  <c r="I20" i="13" s="1"/>
  <c r="J378" i="11"/>
  <c r="K378" i="11" s="1"/>
  <c r="I376" i="13" s="1"/>
  <c r="J340" i="15"/>
  <c r="K340" i="15" s="1"/>
  <c r="K338" i="13" s="1"/>
  <c r="J147" i="15"/>
  <c r="K147" i="15" s="1"/>
  <c r="K145" i="13" s="1"/>
  <c r="J199" i="15"/>
  <c r="K199" i="15" s="1"/>
  <c r="K197" i="13" s="1"/>
  <c r="K306" i="1"/>
  <c r="J438" i="11"/>
  <c r="K438" i="11" s="1"/>
  <c r="I436" i="13" s="1"/>
  <c r="J126" i="15"/>
  <c r="K126" i="15" s="1"/>
  <c r="K124" i="13" s="1"/>
  <c r="J305" i="14"/>
  <c r="K305" i="14" s="1"/>
  <c r="J303" i="13" s="1"/>
  <c r="J429" i="15"/>
  <c r="K429" i="15" s="1"/>
  <c r="K427" i="13" s="1"/>
  <c r="K64" i="1"/>
  <c r="J159" i="15"/>
  <c r="K159" i="15" s="1"/>
  <c r="K157" i="13" s="1"/>
  <c r="J189" i="11"/>
  <c r="K189" i="11" s="1"/>
  <c r="I187" i="13" s="1"/>
  <c r="O804" i="1"/>
  <c r="N804" i="1"/>
  <c r="J483" i="14"/>
  <c r="K483" i="14" s="1"/>
  <c r="J481" i="13" s="1"/>
  <c r="K497" i="1"/>
  <c r="K441" i="1"/>
  <c r="J406" i="15"/>
  <c r="K406" i="15" s="1"/>
  <c r="K404" i="13" s="1"/>
  <c r="K108" i="1"/>
  <c r="J326" i="15"/>
  <c r="K326" i="15" s="1"/>
  <c r="K324" i="13" s="1"/>
  <c r="J396" i="15"/>
  <c r="K396" i="15" s="1"/>
  <c r="K394" i="13" s="1"/>
  <c r="J231" i="11"/>
  <c r="K231" i="11" s="1"/>
  <c r="I229" i="13" s="1"/>
  <c r="J433" i="15"/>
  <c r="K433" i="15" s="1"/>
  <c r="K431" i="13" s="1"/>
  <c r="J164" i="11"/>
  <c r="K164" i="11" s="1"/>
  <c r="I162" i="13" s="1"/>
  <c r="J250" i="11"/>
  <c r="K250" i="11" s="1"/>
  <c r="I248" i="13" s="1"/>
  <c r="J292" i="14"/>
  <c r="K292" i="14" s="1"/>
  <c r="J290" i="13" s="1"/>
  <c r="J262" i="11"/>
  <c r="K262" i="11" s="1"/>
  <c r="I260" i="13" s="1"/>
  <c r="J135" i="11"/>
  <c r="K135" i="11" s="1"/>
  <c r="I133" i="13" s="1"/>
  <c r="J226" i="11"/>
  <c r="K226" i="11" s="1"/>
  <c r="I224" i="13" s="1"/>
  <c r="J312" i="14"/>
  <c r="K312" i="14" s="1"/>
  <c r="J310" i="13" s="1"/>
  <c r="J154" i="14"/>
  <c r="K154" i="14" s="1"/>
  <c r="J152" i="13" s="1"/>
  <c r="K285" i="1"/>
  <c r="J206" i="15"/>
  <c r="K206" i="15" s="1"/>
  <c r="K204" i="13" s="1"/>
  <c r="J383" i="14"/>
  <c r="K383" i="14" s="1"/>
  <c r="J381" i="13" s="1"/>
  <c r="K478" i="1"/>
  <c r="K395" i="1"/>
  <c r="J123" i="11"/>
  <c r="K123" i="11" s="1"/>
  <c r="I121" i="13" s="1"/>
  <c r="J383" i="15"/>
  <c r="K383" i="15" s="1"/>
  <c r="K381" i="13" s="1"/>
  <c r="J204" i="15"/>
  <c r="K204" i="15" s="1"/>
  <c r="K202" i="13" s="1"/>
  <c r="J145" i="14"/>
  <c r="K145" i="14" s="1"/>
  <c r="J143" i="13" s="1"/>
  <c r="K399" i="1"/>
  <c r="K143" i="1"/>
  <c r="O720" i="1"/>
  <c r="Q720" i="1"/>
  <c r="F718" i="13" s="1"/>
  <c r="L718" i="13" s="1"/>
  <c r="J389" i="14"/>
  <c r="K389" i="14" s="1"/>
  <c r="J387" i="13" s="1"/>
  <c r="K440" i="1"/>
  <c r="J276" i="15"/>
  <c r="K276" i="15" s="1"/>
  <c r="K274" i="13" s="1"/>
  <c r="J313" i="15"/>
  <c r="K313" i="15" s="1"/>
  <c r="K311" i="13" s="1"/>
  <c r="J106" i="11"/>
  <c r="K106" i="11" s="1"/>
  <c r="I104" i="13" s="1"/>
  <c r="J125" i="11"/>
  <c r="K125" i="11" s="1"/>
  <c r="I123" i="13" s="1"/>
  <c r="K87" i="1"/>
  <c r="J514" i="14"/>
  <c r="K514" i="14" s="1"/>
  <c r="J512" i="13" s="1"/>
  <c r="J97" i="11"/>
  <c r="K97" i="11" s="1"/>
  <c r="I95" i="13" s="1"/>
  <c r="J37" i="14"/>
  <c r="K37" i="14" s="1"/>
  <c r="J35" i="13" s="1"/>
  <c r="J449" i="15"/>
  <c r="K449" i="15" s="1"/>
  <c r="K447" i="13" s="1"/>
  <c r="K341" i="1"/>
  <c r="J111" i="15"/>
  <c r="K111" i="15" s="1"/>
  <c r="K109" i="13" s="1"/>
  <c r="K243" i="1"/>
  <c r="J239" i="11"/>
  <c r="K239" i="11" s="1"/>
  <c r="I237" i="13" s="1"/>
  <c r="J408" i="14"/>
  <c r="K408" i="14" s="1"/>
  <c r="J406" i="13" s="1"/>
  <c r="M722" i="1"/>
  <c r="P722" i="1" s="1"/>
  <c r="K177" i="1"/>
  <c r="J21" i="15"/>
  <c r="K21" i="15" s="1"/>
  <c r="K19" i="13" s="1"/>
  <c r="J175" i="11"/>
  <c r="K175" i="11" s="1"/>
  <c r="I173" i="13" s="1"/>
  <c r="J218" i="11"/>
  <c r="K218" i="11" s="1"/>
  <c r="I216" i="13" s="1"/>
  <c r="J30" i="11"/>
  <c r="K30" i="11" s="1"/>
  <c r="I28" i="13" s="1"/>
  <c r="J161" i="14"/>
  <c r="K161" i="14" s="1"/>
  <c r="J159" i="13" s="1"/>
  <c r="Q851" i="1"/>
  <c r="F849" i="13" s="1"/>
  <c r="L849" i="13" s="1"/>
  <c r="P851" i="1"/>
  <c r="K432" i="1"/>
  <c r="K517" i="1"/>
  <c r="K443" i="1"/>
  <c r="J102" i="15"/>
  <c r="K102" i="15" s="1"/>
  <c r="K100" i="13" s="1"/>
  <c r="J265" i="11"/>
  <c r="K265" i="11" s="1"/>
  <c r="I263" i="13" s="1"/>
  <c r="J74" i="11"/>
  <c r="K74" i="11" s="1"/>
  <c r="I72" i="13" s="1"/>
  <c r="J42" i="11"/>
  <c r="K42" i="11" s="1"/>
  <c r="I40" i="13" s="1"/>
  <c r="J267" i="15"/>
  <c r="K267" i="15" s="1"/>
  <c r="K265" i="13" s="1"/>
  <c r="J453" i="14"/>
  <c r="K453" i="14" s="1"/>
  <c r="J451" i="13" s="1"/>
  <c r="J500" i="15"/>
  <c r="K500" i="15" s="1"/>
  <c r="K498" i="13" s="1"/>
  <c r="J182" i="11"/>
  <c r="K182" i="11" s="1"/>
  <c r="I180" i="13" s="1"/>
  <c r="J214" i="15"/>
  <c r="K214" i="15" s="1"/>
  <c r="K212" i="13" s="1"/>
  <c r="J274" i="11"/>
  <c r="K274" i="11" s="1"/>
  <c r="I272" i="13" s="1"/>
  <c r="J33" i="14"/>
  <c r="K33" i="14" s="1"/>
  <c r="J31" i="13" s="1"/>
  <c r="J404" i="15"/>
  <c r="K404" i="15" s="1"/>
  <c r="K402" i="13" s="1"/>
  <c r="K234" i="1"/>
  <c r="J219" i="11"/>
  <c r="K219" i="11" s="1"/>
  <c r="I217" i="13" s="1"/>
  <c r="J188" i="15"/>
  <c r="K188" i="15" s="1"/>
  <c r="K186" i="13" s="1"/>
  <c r="K196" i="1"/>
  <c r="J38" i="11"/>
  <c r="K38" i="11" s="1"/>
  <c r="I36" i="13" s="1"/>
  <c r="J456" i="14"/>
  <c r="K456" i="14" s="1"/>
  <c r="J454" i="13" s="1"/>
  <c r="J57" i="15"/>
  <c r="K57" i="15" s="1"/>
  <c r="K55" i="13" s="1"/>
  <c r="J462" i="11"/>
  <c r="K462" i="11" s="1"/>
  <c r="I460" i="13" s="1"/>
  <c r="K293" i="1"/>
  <c r="J181" i="11"/>
  <c r="K181" i="11" s="1"/>
  <c r="I179" i="13" s="1"/>
  <c r="J185" i="15"/>
  <c r="K185" i="15" s="1"/>
  <c r="K183" i="13" s="1"/>
  <c r="J168" i="15"/>
  <c r="K168" i="15" s="1"/>
  <c r="K166" i="13" s="1"/>
  <c r="J431" i="15"/>
  <c r="K431" i="15" s="1"/>
  <c r="K429" i="13" s="1"/>
  <c r="J326" i="14"/>
  <c r="K326" i="14" s="1"/>
  <c r="J324" i="13" s="1"/>
  <c r="J268" i="14"/>
  <c r="K268" i="14" s="1"/>
  <c r="J266" i="13" s="1"/>
  <c r="K459" i="1"/>
  <c r="K309" i="1"/>
  <c r="M830" i="1"/>
  <c r="K49" i="1"/>
  <c r="M570" i="1"/>
  <c r="K430" i="1"/>
  <c r="K396" i="1"/>
  <c r="K185" i="1"/>
  <c r="K482" i="1"/>
  <c r="J395" i="11"/>
  <c r="K395" i="11" s="1"/>
  <c r="I393" i="13" s="1"/>
  <c r="J449" i="14"/>
  <c r="K449" i="14" s="1"/>
  <c r="J447" i="13" s="1"/>
  <c r="J423" i="11"/>
  <c r="K423" i="11" s="1"/>
  <c r="I421" i="13" s="1"/>
  <c r="K73" i="1"/>
  <c r="J428" i="11"/>
  <c r="K428" i="11" s="1"/>
  <c r="I426" i="13" s="1"/>
  <c r="K366" i="1"/>
  <c r="K31" i="1"/>
  <c r="K226" i="1"/>
  <c r="J92" i="11"/>
  <c r="K92" i="11" s="1"/>
  <c r="I90" i="13" s="1"/>
  <c r="K45" i="1"/>
  <c r="M751" i="1"/>
  <c r="O751" i="1" s="1"/>
  <c r="J401" i="15"/>
  <c r="K401" i="15" s="1"/>
  <c r="K399" i="13" s="1"/>
  <c r="J172" i="14"/>
  <c r="K172" i="14" s="1"/>
  <c r="J170" i="13" s="1"/>
  <c r="J283" i="11"/>
  <c r="K283" i="11" s="1"/>
  <c r="I281" i="13" s="1"/>
  <c r="J436" i="14"/>
  <c r="K436" i="14" s="1"/>
  <c r="J434" i="13" s="1"/>
  <c r="J224" i="11"/>
  <c r="K224" i="11" s="1"/>
  <c r="I222" i="13" s="1"/>
  <c r="K342" i="1"/>
  <c r="J455" i="15"/>
  <c r="K455" i="15" s="1"/>
  <c r="K453" i="13" s="1"/>
  <c r="J275" i="11"/>
  <c r="K275" i="11" s="1"/>
  <c r="I273" i="13" s="1"/>
  <c r="J501" i="15"/>
  <c r="K501" i="15" s="1"/>
  <c r="K499" i="13" s="1"/>
  <c r="K486" i="1"/>
  <c r="J248" i="15"/>
  <c r="K248" i="15" s="1"/>
  <c r="K246" i="13" s="1"/>
  <c r="J352" i="11"/>
  <c r="K352" i="11" s="1"/>
  <c r="I350" i="13" s="1"/>
  <c r="J159" i="11"/>
  <c r="K159" i="11" s="1"/>
  <c r="I157" i="13" s="1"/>
  <c r="J220" i="14"/>
  <c r="K220" i="14" s="1"/>
  <c r="J218" i="13" s="1"/>
  <c r="J115" i="15"/>
  <c r="K115" i="15" s="1"/>
  <c r="K113" i="13" s="1"/>
  <c r="J512" i="15"/>
  <c r="K512" i="15" s="1"/>
  <c r="K510" i="13" s="1"/>
  <c r="K263" i="1"/>
  <c r="K417" i="1"/>
  <c r="K98" i="1"/>
  <c r="K218" i="1"/>
  <c r="K37" i="1"/>
  <c r="J24" i="11"/>
  <c r="K24" i="11" s="1"/>
  <c r="I22" i="13" s="1"/>
  <c r="J308" i="15"/>
  <c r="K308" i="15" s="1"/>
  <c r="K306" i="13" s="1"/>
  <c r="J328" i="15"/>
  <c r="K328" i="15" s="1"/>
  <c r="K326" i="13" s="1"/>
  <c r="J119" i="11"/>
  <c r="K119" i="11" s="1"/>
  <c r="I117" i="13" s="1"/>
  <c r="J55" i="14"/>
  <c r="K55" i="14" s="1"/>
  <c r="J53" i="13" s="1"/>
  <c r="J452" i="15"/>
  <c r="K452" i="15" s="1"/>
  <c r="K450" i="13" s="1"/>
  <c r="J185" i="11"/>
  <c r="K185" i="11" s="1"/>
  <c r="I183" i="13" s="1"/>
  <c r="J122" i="11"/>
  <c r="K122" i="11" s="1"/>
  <c r="I120" i="13" s="1"/>
  <c r="J26" i="11"/>
  <c r="K26" i="11" s="1"/>
  <c r="I24" i="13" s="1"/>
  <c r="J486" i="15"/>
  <c r="K486" i="15" s="1"/>
  <c r="K484" i="13" s="1"/>
  <c r="J261" i="14"/>
  <c r="K261" i="14" s="1"/>
  <c r="J259" i="13" s="1"/>
  <c r="J464" i="15"/>
  <c r="K464" i="15" s="1"/>
  <c r="K462" i="13" s="1"/>
  <c r="K277" i="1"/>
  <c r="J161" i="15"/>
  <c r="K161" i="15" s="1"/>
  <c r="K159" i="13" s="1"/>
  <c r="J445" i="15"/>
  <c r="K445" i="15" s="1"/>
  <c r="K443" i="13" s="1"/>
  <c r="J65" i="14"/>
  <c r="K65" i="14" s="1"/>
  <c r="J63" i="13" s="1"/>
  <c r="K117" i="1"/>
  <c r="J335" i="15"/>
  <c r="K335" i="15" s="1"/>
  <c r="K333" i="13" s="1"/>
  <c r="K176" i="1"/>
  <c r="N848" i="1"/>
  <c r="O848" i="1"/>
  <c r="Q848" i="1"/>
  <c r="F846" i="13" s="1"/>
  <c r="L846" i="13" s="1"/>
  <c r="P848" i="1"/>
  <c r="K19" i="1"/>
  <c r="K272" i="1"/>
  <c r="K439" i="1"/>
  <c r="J232" i="11"/>
  <c r="K232" i="11" s="1"/>
  <c r="I230" i="13" s="1"/>
  <c r="J29" i="14"/>
  <c r="K29" i="14" s="1"/>
  <c r="J27" i="13" s="1"/>
  <c r="J496" i="14"/>
  <c r="K496" i="14" s="1"/>
  <c r="J494" i="13" s="1"/>
  <c r="J14" i="11"/>
  <c r="K14" i="11" s="1"/>
  <c r="I12" i="13" s="1"/>
  <c r="J58" i="14"/>
  <c r="K58" i="14" s="1"/>
  <c r="J56" i="13" s="1"/>
  <c r="K490" i="1"/>
  <c r="J182" i="14"/>
  <c r="K182" i="14" s="1"/>
  <c r="J180" i="13" s="1"/>
  <c r="J118" i="11"/>
  <c r="K118" i="11" s="1"/>
  <c r="I116" i="13" s="1"/>
  <c r="K503" i="1"/>
  <c r="K237" i="1"/>
  <c r="K347" i="1"/>
  <c r="K479" i="1"/>
  <c r="J185" i="14"/>
  <c r="K185" i="14" s="1"/>
  <c r="J183" i="13" s="1"/>
  <c r="O524" i="1"/>
  <c r="Q524" i="1"/>
  <c r="F522" i="13" s="1"/>
  <c r="L522" i="13" s="1"/>
  <c r="N524" i="1"/>
  <c r="K55" i="1"/>
  <c r="K394" i="1"/>
  <c r="J166" i="11"/>
  <c r="K166" i="11" s="1"/>
  <c r="I164" i="13" s="1"/>
  <c r="J217" i="15"/>
  <c r="K217" i="15" s="1"/>
  <c r="K215" i="13" s="1"/>
  <c r="J88" i="11"/>
  <c r="K88" i="11" s="1"/>
  <c r="I86" i="13" s="1"/>
  <c r="J118" i="15"/>
  <c r="K118" i="15" s="1"/>
  <c r="K116" i="13" s="1"/>
  <c r="K466" i="1"/>
  <c r="J517" i="11"/>
  <c r="K517" i="11" s="1"/>
  <c r="I515" i="13" s="1"/>
  <c r="M553" i="1"/>
  <c r="P553" i="1" s="1"/>
  <c r="J347" i="11"/>
  <c r="K347" i="11" s="1"/>
  <c r="I345" i="13" s="1"/>
  <c r="J373" i="11"/>
  <c r="K373" i="11" s="1"/>
  <c r="I371" i="13" s="1"/>
  <c r="J298" i="15"/>
  <c r="K298" i="15" s="1"/>
  <c r="K296" i="13" s="1"/>
  <c r="J161" i="11"/>
  <c r="K161" i="11" s="1"/>
  <c r="I159" i="13" s="1"/>
  <c r="J405" i="11"/>
  <c r="K405" i="11" s="1"/>
  <c r="I403" i="13" s="1"/>
  <c r="K115" i="1"/>
  <c r="K248" i="1"/>
  <c r="K437" i="1"/>
  <c r="K29" i="1"/>
  <c r="K99" i="1"/>
  <c r="K515" i="1"/>
  <c r="M815" i="1"/>
  <c r="P815" i="1" s="1"/>
  <c r="K175" i="1"/>
  <c r="M676" i="1"/>
  <c r="K79" i="1"/>
  <c r="K495" i="1"/>
  <c r="K266" i="1"/>
  <c r="M771" i="1"/>
  <c r="Q771" i="1" s="1"/>
  <c r="F769" i="13" s="1"/>
  <c r="L769" i="13" s="1"/>
  <c r="M683" i="1"/>
  <c r="O683" i="1" s="1"/>
  <c r="M562" i="1"/>
  <c r="M719" i="1"/>
  <c r="K460" i="1"/>
  <c r="M736" i="1"/>
  <c r="O736" i="1" s="1"/>
  <c r="K301" i="1"/>
  <c r="M568" i="1"/>
  <c r="M658" i="1"/>
  <c r="O658" i="1" s="1"/>
  <c r="K485" i="1"/>
  <c r="M691" i="1"/>
  <c r="M692" i="1"/>
  <c r="Q692" i="1" s="1"/>
  <c r="F690" i="13" s="1"/>
  <c r="L690" i="13" s="1"/>
  <c r="M734" i="1"/>
  <c r="N734" i="1" s="1"/>
  <c r="K255" i="1"/>
  <c r="K262" i="1"/>
  <c r="K311" i="1"/>
  <c r="K113" i="1"/>
  <c r="K209" i="1"/>
  <c r="M533" i="1"/>
  <c r="M791" i="1"/>
  <c r="M577" i="1"/>
  <c r="N577" i="1" s="1"/>
  <c r="M665" i="1"/>
  <c r="O665" i="1" s="1"/>
  <c r="M819" i="1"/>
  <c r="M560" i="1"/>
  <c r="P807" i="1"/>
  <c r="O595" i="1"/>
  <c r="M615" i="1"/>
  <c r="O615" i="1" s="1"/>
  <c r="M639" i="1"/>
  <c r="P639" i="1" s="1"/>
  <c r="M826" i="1"/>
  <c r="Q826" i="1" s="1"/>
  <c r="F824" i="13" s="1"/>
  <c r="L824" i="13" s="1"/>
  <c r="M772" i="1"/>
  <c r="N772" i="1" s="1"/>
  <c r="P531" i="1"/>
  <c r="Q531" i="1"/>
  <c r="F529" i="13" s="1"/>
  <c r="L529" i="13" s="1"/>
  <c r="N531" i="1"/>
  <c r="O531" i="1"/>
  <c r="M613" i="1"/>
  <c r="P613" i="1" s="1"/>
  <c r="P595" i="1"/>
  <c r="N595" i="1"/>
  <c r="O724" i="1"/>
  <c r="M831" i="1"/>
  <c r="N831" i="1" s="1"/>
  <c r="M723" i="1"/>
  <c r="M636" i="1"/>
  <c r="M625" i="1"/>
  <c r="M551" i="1"/>
  <c r="Q551" i="1" s="1"/>
  <c r="F549" i="13" s="1"/>
  <c r="L549" i="13" s="1"/>
  <c r="M760" i="1"/>
  <c r="M588" i="1"/>
  <c r="M718" i="1"/>
  <c r="M651" i="1"/>
  <c r="M811" i="1"/>
  <c r="M603" i="1"/>
  <c r="Q603" i="1" s="1"/>
  <c r="F601" i="13" s="1"/>
  <c r="L601" i="13" s="1"/>
  <c r="M802" i="1"/>
  <c r="M641" i="1"/>
  <c r="Q589" i="1"/>
  <c r="F587" i="13" s="1"/>
  <c r="L587" i="13" s="1"/>
  <c r="M774" i="1"/>
  <c r="Q774" i="1" s="1"/>
  <c r="F772" i="13" s="1"/>
  <c r="L772" i="13" s="1"/>
  <c r="M841" i="1"/>
  <c r="M616" i="1"/>
  <c r="N616" i="1" s="1"/>
  <c r="M579" i="1"/>
  <c r="Q800" i="1"/>
  <c r="F798" i="13" s="1"/>
  <c r="L798" i="13" s="1"/>
  <c r="O800" i="1"/>
  <c r="P800" i="1"/>
  <c r="N800" i="1"/>
  <c r="Q805" i="1"/>
  <c r="F803" i="13" s="1"/>
  <c r="L803" i="13" s="1"/>
  <c r="N805" i="1"/>
  <c r="P805" i="1"/>
  <c r="O805" i="1"/>
  <c r="O671" i="1"/>
  <c r="N671" i="1"/>
  <c r="Q671" i="1"/>
  <c r="F669" i="13" s="1"/>
  <c r="L669" i="13" s="1"/>
  <c r="P671" i="1"/>
  <c r="P660" i="1"/>
  <c r="N660" i="1"/>
  <c r="O660" i="1"/>
  <c r="Q660" i="1"/>
  <c r="F658" i="13" s="1"/>
  <c r="L658" i="13" s="1"/>
  <c r="Q525" i="1"/>
  <c r="F523" i="13" s="1"/>
  <c r="L523" i="13" s="1"/>
  <c r="O525" i="1"/>
  <c r="N525" i="1"/>
  <c r="P525" i="1"/>
  <c r="P776" i="1"/>
  <c r="Q776" i="1"/>
  <c r="F774" i="13" s="1"/>
  <c r="L774" i="13" s="1"/>
  <c r="N776" i="1"/>
  <c r="O776" i="1"/>
  <c r="Q758" i="1"/>
  <c r="F756" i="13" s="1"/>
  <c r="L756" i="13" s="1"/>
  <c r="P758" i="1"/>
  <c r="O758" i="1"/>
  <c r="N758" i="1"/>
  <c r="O606" i="1"/>
  <c r="N606" i="1"/>
  <c r="Q606" i="1"/>
  <c r="F604" i="13" s="1"/>
  <c r="L604" i="13" s="1"/>
  <c r="P606" i="1"/>
  <c r="N545" i="1"/>
  <c r="Q545" i="1"/>
  <c r="F543" i="13" s="1"/>
  <c r="L543" i="13" s="1"/>
  <c r="P545" i="1"/>
  <c r="O545" i="1"/>
  <c r="N832" i="1"/>
  <c r="P832" i="1"/>
  <c r="O832" i="1"/>
  <c r="Q832" i="1"/>
  <c r="F830" i="13" s="1"/>
  <c r="L830" i="13" s="1"/>
  <c r="P834" i="1"/>
  <c r="O834" i="1"/>
  <c r="Q834" i="1"/>
  <c r="F832" i="13" s="1"/>
  <c r="L832" i="13" s="1"/>
  <c r="N834" i="1"/>
  <c r="Q806" i="1"/>
  <c r="F804" i="13" s="1"/>
  <c r="L804" i="13" s="1"/>
  <c r="P806" i="1"/>
  <c r="O806" i="1"/>
  <c r="N806" i="1"/>
  <c r="P822" i="1"/>
  <c r="O822" i="1"/>
  <c r="Q822" i="1"/>
  <c r="F820" i="13" s="1"/>
  <c r="L820" i="13" s="1"/>
  <c r="N822" i="1"/>
  <c r="P796" i="1"/>
  <c r="O796" i="1"/>
  <c r="Q796" i="1"/>
  <c r="F794" i="13" s="1"/>
  <c r="L794" i="13" s="1"/>
  <c r="N796" i="1"/>
  <c r="M590" i="1"/>
  <c r="M554" i="1"/>
  <c r="M744" i="1"/>
  <c r="M599" i="1"/>
  <c r="M561" i="1"/>
  <c r="M820" i="1"/>
  <c r="O637" i="1"/>
  <c r="Q637" i="1"/>
  <c r="F635" i="13" s="1"/>
  <c r="L635" i="13" s="1"/>
  <c r="P637" i="1"/>
  <c r="N637" i="1"/>
  <c r="M682" i="1"/>
  <c r="M742" i="1"/>
  <c r="M643" i="1"/>
  <c r="Q584" i="1"/>
  <c r="F582" i="13" s="1"/>
  <c r="L582" i="13" s="1"/>
  <c r="O584" i="1"/>
  <c r="N584" i="1"/>
  <c r="P584" i="1"/>
  <c r="M583" i="1"/>
  <c r="M617" i="1"/>
  <c r="M715" i="1"/>
  <c r="M821" i="1"/>
  <c r="M685" i="1"/>
  <c r="M705" i="1"/>
  <c r="M527" i="1"/>
  <c r="M538" i="1"/>
  <c r="M543" i="1"/>
  <c r="Q859" i="1"/>
  <c r="F857" i="13" s="1"/>
  <c r="L857" i="13" s="1"/>
  <c r="P859" i="1"/>
  <c r="M552" i="1"/>
  <c r="M547" i="1"/>
  <c r="M703" i="1"/>
  <c r="M661" i="1"/>
  <c r="M556" i="1"/>
  <c r="M569" i="1"/>
  <c r="M659" i="1"/>
  <c r="M693" i="1"/>
  <c r="M731" i="1"/>
  <c r="N537" i="1"/>
  <c r="Q537" i="1"/>
  <c r="F535" i="13" s="1"/>
  <c r="L535" i="13" s="1"/>
  <c r="P537" i="1"/>
  <c r="O537" i="1"/>
  <c r="Q824" i="1"/>
  <c r="F822" i="13" s="1"/>
  <c r="L822" i="13" s="1"/>
  <c r="N824" i="1"/>
  <c r="P824" i="1"/>
  <c r="O824" i="1"/>
  <c r="O768" i="1"/>
  <c r="N768" i="1"/>
  <c r="Q768" i="1"/>
  <c r="F766" i="13" s="1"/>
  <c r="L766" i="13" s="1"/>
  <c r="P768" i="1"/>
  <c r="P782" i="1"/>
  <c r="O782" i="1"/>
  <c r="N782" i="1"/>
  <c r="Q782" i="1"/>
  <c r="F780" i="13" s="1"/>
  <c r="L780" i="13" s="1"/>
  <c r="O653" i="1"/>
  <c r="P653" i="1"/>
  <c r="N653" i="1"/>
  <c r="Q653" i="1"/>
  <c r="F651" i="13" s="1"/>
  <c r="L651" i="13" s="1"/>
  <c r="P528" i="1"/>
  <c r="O528" i="1"/>
  <c r="Q528" i="1"/>
  <c r="F526" i="13" s="1"/>
  <c r="L526" i="13" s="1"/>
  <c r="N528" i="1"/>
  <c r="Q737" i="1"/>
  <c r="F735" i="13" s="1"/>
  <c r="L735" i="13" s="1"/>
  <c r="N737" i="1"/>
  <c r="P737" i="1"/>
  <c r="O737" i="1"/>
  <c r="P519" i="1"/>
  <c r="Q519" i="1"/>
  <c r="F517" i="13" s="1"/>
  <c r="L517" i="13" s="1"/>
  <c r="N519" i="1"/>
  <c r="O519" i="1"/>
  <c r="Q739" i="1"/>
  <c r="F737" i="13" s="1"/>
  <c r="L737" i="13" s="1"/>
  <c r="N739" i="1"/>
  <c r="P739" i="1"/>
  <c r="O739" i="1"/>
  <c r="Q608" i="1"/>
  <c r="F606" i="13" s="1"/>
  <c r="L606" i="13" s="1"/>
  <c r="N608" i="1"/>
  <c r="P608" i="1"/>
  <c r="O608" i="1"/>
  <c r="P684" i="1"/>
  <c r="Q684" i="1"/>
  <c r="F682" i="13" s="1"/>
  <c r="L682" i="13" s="1"/>
  <c r="N684" i="1"/>
  <c r="O684" i="1"/>
  <c r="N816" i="1"/>
  <c r="Q816" i="1"/>
  <c r="F814" i="13" s="1"/>
  <c r="L814" i="13" s="1"/>
  <c r="P816" i="1"/>
  <c r="O816" i="1"/>
  <c r="P710" i="1"/>
  <c r="N710" i="1"/>
  <c r="O710" i="1"/>
  <c r="Q710" i="1"/>
  <c r="F708" i="13" s="1"/>
  <c r="L708" i="13" s="1"/>
  <c r="P609" i="1"/>
  <c r="N609" i="1"/>
  <c r="O609" i="1"/>
  <c r="Q609" i="1"/>
  <c r="F607" i="13" s="1"/>
  <c r="L607" i="13" s="1"/>
  <c r="Q597" i="1"/>
  <c r="F595" i="13" s="1"/>
  <c r="L595" i="13" s="1"/>
  <c r="N597" i="1"/>
  <c r="P597" i="1"/>
  <c r="O597" i="1"/>
  <c r="O849" i="1"/>
  <c r="N849" i="1"/>
  <c r="P849" i="1"/>
  <c r="Q849" i="1"/>
  <c r="F847" i="13" s="1"/>
  <c r="L847" i="13" s="1"/>
  <c r="Q762" i="1"/>
  <c r="F760" i="13" s="1"/>
  <c r="L760" i="13" s="1"/>
  <c r="P762" i="1"/>
  <c r="O762" i="1"/>
  <c r="N762" i="1"/>
  <c r="Q650" i="1"/>
  <c r="F648" i="13" s="1"/>
  <c r="L648" i="13" s="1"/>
  <c r="N650" i="1"/>
  <c r="P650" i="1"/>
  <c r="O650" i="1"/>
  <c r="O520" i="1"/>
  <c r="Q520" i="1"/>
  <c r="F518" i="13" s="1"/>
  <c r="L518" i="13" s="1"/>
  <c r="P520" i="1"/>
  <c r="N520" i="1"/>
  <c r="Q677" i="1"/>
  <c r="F675" i="13" s="1"/>
  <c r="L675" i="13" s="1"/>
  <c r="P677" i="1"/>
  <c r="O677" i="1"/>
  <c r="N677" i="1"/>
  <c r="O523" i="1"/>
  <c r="N523" i="1"/>
  <c r="P523" i="1"/>
  <c r="Q523" i="1"/>
  <c r="F521" i="13" s="1"/>
  <c r="L521" i="13" s="1"/>
  <c r="O642" i="1"/>
  <c r="Q642" i="1"/>
  <c r="F640" i="13" s="1"/>
  <c r="L640" i="13" s="1"/>
  <c r="P642" i="1"/>
  <c r="N642" i="1"/>
  <c r="N521" i="1"/>
  <c r="P521" i="1"/>
  <c r="Q521" i="1"/>
  <c r="F519" i="13" s="1"/>
  <c r="L519" i="13" s="1"/>
  <c r="O521" i="1"/>
  <c r="Q632" i="1"/>
  <c r="F630" i="13" s="1"/>
  <c r="L630" i="13" s="1"/>
  <c r="P632" i="1"/>
  <c r="O632" i="1"/>
  <c r="N632" i="1"/>
  <c r="Q598" i="1"/>
  <c r="F596" i="13" s="1"/>
  <c r="L596" i="13" s="1"/>
  <c r="O598" i="1"/>
  <c r="N598" i="1"/>
  <c r="P598" i="1"/>
  <c r="P709" i="1"/>
  <c r="Q709" i="1"/>
  <c r="F707" i="13" s="1"/>
  <c r="L707" i="13" s="1"/>
  <c r="O709" i="1"/>
  <c r="N709" i="1"/>
  <c r="Q686" i="1"/>
  <c r="F684" i="13" s="1"/>
  <c r="L684" i="13" s="1"/>
  <c r="N686" i="1"/>
  <c r="P686" i="1"/>
  <c r="O686" i="1"/>
  <c r="P572" i="1"/>
  <c r="O572" i="1"/>
  <c r="N572" i="1"/>
  <c r="Q572" i="1"/>
  <c r="F570" i="13" s="1"/>
  <c r="L570" i="13" s="1"/>
  <c r="P740" i="1"/>
  <c r="N740" i="1"/>
  <c r="O740" i="1"/>
  <c r="Q740" i="1"/>
  <c r="F738" i="13" s="1"/>
  <c r="L738" i="13" s="1"/>
  <c r="O817" i="1"/>
  <c r="Q817" i="1"/>
  <c r="F815" i="13" s="1"/>
  <c r="L815" i="13" s="1"/>
  <c r="P817" i="1"/>
  <c r="N817" i="1"/>
  <c r="P756" i="1"/>
  <c r="Q756" i="1"/>
  <c r="F754" i="13" s="1"/>
  <c r="L754" i="13" s="1"/>
  <c r="O756" i="1"/>
  <c r="N756" i="1"/>
  <c r="O630" i="1"/>
  <c r="N630" i="1"/>
  <c r="P630" i="1"/>
  <c r="Q630" i="1"/>
  <c r="F628" i="13" s="1"/>
  <c r="L628" i="13" s="1"/>
  <c r="O536" i="1"/>
  <c r="Q536" i="1"/>
  <c r="F534" i="13" s="1"/>
  <c r="L534" i="13" s="1"/>
  <c r="P536" i="1"/>
  <c r="N536" i="1"/>
  <c r="Q594" i="1"/>
  <c r="F592" i="13" s="1"/>
  <c r="L592" i="13" s="1"/>
  <c r="P594" i="1"/>
  <c r="O594" i="1"/>
  <c r="N594" i="1"/>
  <c r="Q778" i="1"/>
  <c r="F776" i="13" s="1"/>
  <c r="L776" i="13" s="1"/>
  <c r="P778" i="1"/>
  <c r="O778" i="1"/>
  <c r="N778" i="1"/>
  <c r="P535" i="1"/>
  <c r="O535" i="1"/>
  <c r="N535" i="1"/>
  <c r="Q535" i="1"/>
  <c r="F533" i="13" s="1"/>
  <c r="L533" i="13" s="1"/>
  <c r="P680" i="1"/>
  <c r="Q680" i="1"/>
  <c r="F678" i="13" s="1"/>
  <c r="L678" i="13" s="1"/>
  <c r="O680" i="1"/>
  <c r="N680" i="1"/>
  <c r="Q596" i="1"/>
  <c r="F594" i="13" s="1"/>
  <c r="L594" i="13" s="1"/>
  <c r="P596" i="1"/>
  <c r="O596" i="1"/>
  <c r="N596" i="1"/>
  <c r="P689" i="1"/>
  <c r="Q689" i="1"/>
  <c r="F687" i="13" s="1"/>
  <c r="L687" i="13" s="1"/>
  <c r="O689" i="1"/>
  <c r="N689" i="1"/>
  <c r="Q792" i="1"/>
  <c r="F790" i="13" s="1"/>
  <c r="L790" i="13" s="1"/>
  <c r="N792" i="1"/>
  <c r="O792" i="1"/>
  <c r="P792" i="1"/>
  <c r="Q787" i="1"/>
  <c r="F785" i="13" s="1"/>
  <c r="L785" i="13" s="1"/>
  <c r="O787" i="1"/>
  <c r="P787" i="1"/>
  <c r="N787" i="1"/>
  <c r="N593" i="1"/>
  <c r="Q593" i="1"/>
  <c r="F591" i="13" s="1"/>
  <c r="L591" i="13" s="1"/>
  <c r="O593" i="1"/>
  <c r="P593" i="1"/>
  <c r="Q808" i="1"/>
  <c r="F806" i="13" s="1"/>
  <c r="L806" i="13" s="1"/>
  <c r="P808" i="1"/>
  <c r="O808" i="1"/>
  <c r="N808" i="1"/>
  <c r="N799" i="1"/>
  <c r="O799" i="1"/>
  <c r="P799" i="1"/>
  <c r="Q799" i="1"/>
  <c r="F797" i="13" s="1"/>
  <c r="L797" i="13" s="1"/>
  <c r="P664" i="1"/>
  <c r="N664" i="1"/>
  <c r="Q664" i="1"/>
  <c r="F662" i="13" s="1"/>
  <c r="L662" i="13" s="1"/>
  <c r="O664" i="1"/>
  <c r="Q672" i="1"/>
  <c r="F670" i="13" s="1"/>
  <c r="L670" i="13" s="1"/>
  <c r="N672" i="1"/>
  <c r="O672" i="1"/>
  <c r="P672" i="1"/>
  <c r="Q619" i="1"/>
  <c r="F617" i="13" s="1"/>
  <c r="L617" i="13" s="1"/>
  <c r="P619" i="1"/>
  <c r="N619" i="1"/>
  <c r="O619" i="1"/>
  <c r="Q534" i="1"/>
  <c r="F532" i="13" s="1"/>
  <c r="L532" i="13" s="1"/>
  <c r="N534" i="1"/>
  <c r="O534" i="1"/>
  <c r="P534" i="1"/>
  <c r="O853" i="1"/>
  <c r="Q853" i="1"/>
  <c r="F851" i="13" s="1"/>
  <c r="L851" i="13" s="1"/>
  <c r="P853" i="1"/>
  <c r="N853" i="1"/>
  <c r="Q623" i="1"/>
  <c r="F621" i="13" s="1"/>
  <c r="L621" i="13" s="1"/>
  <c r="P623" i="1"/>
  <c r="O623" i="1"/>
  <c r="N623" i="1"/>
  <c r="Q837" i="1"/>
  <c r="F835" i="13" s="1"/>
  <c r="L835" i="13" s="1"/>
  <c r="P837" i="1"/>
  <c r="O837" i="1"/>
  <c r="N837" i="1"/>
  <c r="O859" i="1"/>
  <c r="N859" i="1"/>
  <c r="P576" i="1"/>
  <c r="O576" i="1"/>
  <c r="N576" i="1"/>
  <c r="Q576" i="1"/>
  <c r="F574" i="13" s="1"/>
  <c r="L574" i="13" s="1"/>
  <c r="O695" i="1"/>
  <c r="Q695" i="1"/>
  <c r="F693" i="13" s="1"/>
  <c r="L693" i="13" s="1"/>
  <c r="P695" i="1"/>
  <c r="N695" i="1"/>
  <c r="P696" i="1"/>
  <c r="N696" i="1"/>
  <c r="Q696" i="1"/>
  <c r="F694" i="13" s="1"/>
  <c r="L694" i="13" s="1"/>
  <c r="O696" i="1"/>
  <c r="P631" i="1"/>
  <c r="Q631" i="1"/>
  <c r="F629" i="13" s="1"/>
  <c r="L629" i="13" s="1"/>
  <c r="O631" i="1"/>
  <c r="N631" i="1"/>
  <c r="P730" i="1"/>
  <c r="O730" i="1"/>
  <c r="N730" i="1"/>
  <c r="Q730" i="1"/>
  <c r="F728" i="13" s="1"/>
  <c r="L728" i="13" s="1"/>
  <c r="N675" i="1"/>
  <c r="O675" i="1"/>
  <c r="P675" i="1"/>
  <c r="Q675" i="1"/>
  <c r="F673" i="13" s="1"/>
  <c r="L673" i="13" s="1"/>
  <c r="O592" i="1"/>
  <c r="N592" i="1"/>
  <c r="P592" i="1"/>
  <c r="Q592" i="1"/>
  <c r="F590" i="13" s="1"/>
  <c r="L590" i="13" s="1"/>
  <c r="N855" i="1"/>
  <c r="P855" i="1"/>
  <c r="O855" i="1"/>
  <c r="Q855" i="1"/>
  <c r="F853" i="13" s="1"/>
  <c r="L853" i="13" s="1"/>
  <c r="N629" i="1"/>
  <c r="Q629" i="1"/>
  <c r="F627" i="13" s="1"/>
  <c r="L627" i="13" s="1"/>
  <c r="P629" i="1"/>
  <c r="O629" i="1"/>
  <c r="P614" i="1"/>
  <c r="O614" i="1"/>
  <c r="Q614" i="1"/>
  <c r="F612" i="13" s="1"/>
  <c r="L612" i="13" s="1"/>
  <c r="N614" i="1"/>
  <c r="N846" i="1"/>
  <c r="P846" i="1"/>
  <c r="O846" i="1"/>
  <c r="Q846" i="1"/>
  <c r="F844" i="13" s="1"/>
  <c r="L844" i="13" s="1"/>
  <c r="N558" i="1"/>
  <c r="P558" i="1"/>
  <c r="Q558" i="1"/>
  <c r="F556" i="13" s="1"/>
  <c r="L556" i="13" s="1"/>
  <c r="O558" i="1"/>
  <c r="P725" i="1"/>
  <c r="Q725" i="1"/>
  <c r="F723" i="13" s="1"/>
  <c r="L723" i="13" s="1"/>
  <c r="O725" i="1"/>
  <c r="N725" i="1"/>
  <c r="P673" i="1"/>
  <c r="Q673" i="1"/>
  <c r="F671" i="13" s="1"/>
  <c r="L671" i="13" s="1"/>
  <c r="O673" i="1"/>
  <c r="N673" i="1"/>
  <c r="P601" i="1"/>
  <c r="Q601" i="1"/>
  <c r="F599" i="13" s="1"/>
  <c r="L599" i="13" s="1"/>
  <c r="N601" i="1"/>
  <c r="O601" i="1"/>
  <c r="N530" i="1"/>
  <c r="O530" i="1"/>
  <c r="Q530" i="1"/>
  <c r="F528" i="13" s="1"/>
  <c r="L528" i="13" s="1"/>
  <c r="P530" i="1"/>
  <c r="Q633" i="1"/>
  <c r="F631" i="13" s="1"/>
  <c r="L631" i="13" s="1"/>
  <c r="P633" i="1"/>
  <c r="N633" i="1"/>
  <c r="O633" i="1"/>
  <c r="P812" i="1"/>
  <c r="O812" i="1"/>
  <c r="Q812" i="1"/>
  <c r="F810" i="13" s="1"/>
  <c r="L810" i="13" s="1"/>
  <c r="N812" i="1"/>
  <c r="P828" i="1"/>
  <c r="O828" i="1"/>
  <c r="Q828" i="1"/>
  <c r="F826" i="13" s="1"/>
  <c r="L826" i="13" s="1"/>
  <c r="N828" i="1"/>
  <c r="P746" i="1"/>
  <c r="O746" i="1"/>
  <c r="N746" i="1"/>
  <c r="Q746" i="1"/>
  <c r="F744" i="13" s="1"/>
  <c r="L744" i="13" s="1"/>
  <c r="Q704" i="1"/>
  <c r="F702" i="13" s="1"/>
  <c r="L702" i="13" s="1"/>
  <c r="O704" i="1"/>
  <c r="P704" i="1"/>
  <c r="N704" i="1"/>
  <c r="O557" i="1"/>
  <c r="N557" i="1"/>
  <c r="P557" i="1"/>
  <c r="Q557" i="1"/>
  <c r="F555" i="13" s="1"/>
  <c r="L555" i="13" s="1"/>
  <c r="O748" i="1"/>
  <c r="Q748" i="1"/>
  <c r="F746" i="13" s="1"/>
  <c r="L746" i="13" s="1"/>
  <c r="P748" i="1"/>
  <c r="N748" i="1"/>
  <c r="Q833" i="1"/>
  <c r="F831" i="13" s="1"/>
  <c r="L831" i="13" s="1"/>
  <c r="N833" i="1"/>
  <c r="O833" i="1"/>
  <c r="P833" i="1"/>
  <c r="N852" i="1"/>
  <c r="P852" i="1"/>
  <c r="O852" i="1"/>
  <c r="Q852" i="1"/>
  <c r="F850" i="13" s="1"/>
  <c r="L850" i="13" s="1"/>
  <c r="O813" i="1"/>
  <c r="N813" i="1"/>
  <c r="P813" i="1"/>
  <c r="Q813" i="1"/>
  <c r="F811" i="13" s="1"/>
  <c r="L811" i="13" s="1"/>
  <c r="O706" i="1"/>
  <c r="P706" i="1"/>
  <c r="Q706" i="1"/>
  <c r="F704" i="13" s="1"/>
  <c r="L704" i="13" s="1"/>
  <c r="N706" i="1"/>
  <c r="O674" i="1"/>
  <c r="N674" i="1"/>
  <c r="P674" i="1"/>
  <c r="Q674" i="1"/>
  <c r="F672" i="13" s="1"/>
  <c r="L672" i="13" s="1"/>
  <c r="Q810" i="1"/>
  <c r="F808" i="13" s="1"/>
  <c r="L808" i="13" s="1"/>
  <c r="N810" i="1"/>
  <c r="P810" i="1"/>
  <c r="O810" i="1"/>
  <c r="O716" i="1"/>
  <c r="P716" i="1"/>
  <c r="N716" i="1"/>
  <c r="Q716" i="1"/>
  <c r="F714" i="13" s="1"/>
  <c r="L714" i="13" s="1"/>
  <c r="N611" i="1"/>
  <c r="P611" i="1"/>
  <c r="Q611" i="1"/>
  <c r="F609" i="13" s="1"/>
  <c r="L609" i="13" s="1"/>
  <c r="O611" i="1"/>
  <c r="N735" i="1"/>
  <c r="Q735" i="1"/>
  <c r="F733" i="13" s="1"/>
  <c r="L733" i="13" s="1"/>
  <c r="O735" i="1"/>
  <c r="P735" i="1"/>
  <c r="P825" i="1"/>
  <c r="Q825" i="1"/>
  <c r="F823" i="13" s="1"/>
  <c r="L823" i="13" s="1"/>
  <c r="O825" i="1"/>
  <c r="N825" i="1"/>
  <c r="N790" i="1"/>
  <c r="Q790" i="1"/>
  <c r="F788" i="13" s="1"/>
  <c r="L788" i="13" s="1"/>
  <c r="P790" i="1"/>
  <c r="O790" i="1"/>
  <c r="P766" i="1"/>
  <c r="O766" i="1"/>
  <c r="Q766" i="1"/>
  <c r="F764" i="13" s="1"/>
  <c r="L764" i="13" s="1"/>
  <c r="N766" i="1"/>
  <c r="P575" i="1"/>
  <c r="N575" i="1"/>
  <c r="Q575" i="1"/>
  <c r="F573" i="13" s="1"/>
  <c r="L573" i="13" s="1"/>
  <c r="O575" i="1"/>
  <c r="P728" i="1"/>
  <c r="Q728" i="1"/>
  <c r="F726" i="13" s="1"/>
  <c r="L726" i="13" s="1"/>
  <c r="O728" i="1"/>
  <c r="N728" i="1"/>
  <c r="Q648" i="1"/>
  <c r="F646" i="13" s="1"/>
  <c r="L646" i="13" s="1"/>
  <c r="P648" i="1"/>
  <c r="N648" i="1"/>
  <c r="O648" i="1"/>
  <c r="Q550" i="1"/>
  <c r="F548" i="13" s="1"/>
  <c r="L548" i="13" s="1"/>
  <c r="N550" i="1"/>
  <c r="P550" i="1"/>
  <c r="O550" i="1"/>
  <c r="P713" i="1"/>
  <c r="O713" i="1"/>
  <c r="Q713" i="1"/>
  <c r="F711" i="13" s="1"/>
  <c r="L711" i="13" s="1"/>
  <c r="N713" i="1"/>
  <c r="P809" i="1"/>
  <c r="O809" i="1"/>
  <c r="Q809" i="1"/>
  <c r="F807" i="13" s="1"/>
  <c r="L807" i="13" s="1"/>
  <c r="N809" i="1"/>
  <c r="P786" i="1"/>
  <c r="O786" i="1"/>
  <c r="Q786" i="1"/>
  <c r="F784" i="13" s="1"/>
  <c r="L784" i="13" s="1"/>
  <c r="N786" i="1"/>
  <c r="P662" i="1"/>
  <c r="Q662" i="1"/>
  <c r="F660" i="13" s="1"/>
  <c r="L660" i="13" s="1"/>
  <c r="O662" i="1"/>
  <c r="N662" i="1"/>
  <c r="Q649" i="1"/>
  <c r="F647" i="13" s="1"/>
  <c r="L647" i="13" s="1"/>
  <c r="N649" i="1"/>
  <c r="P649" i="1"/>
  <c r="O649" i="1"/>
  <c r="P565" i="1"/>
  <c r="O565" i="1"/>
  <c r="N565" i="1"/>
  <c r="Q565" i="1"/>
  <c r="F563" i="13" s="1"/>
  <c r="L563" i="13" s="1"/>
  <c r="Q654" i="1"/>
  <c r="F652" i="13" s="1"/>
  <c r="L652" i="13" s="1"/>
  <c r="N654" i="1"/>
  <c r="P654" i="1"/>
  <c r="O654" i="1"/>
  <c r="Q559" i="1"/>
  <c r="F557" i="13" s="1"/>
  <c r="L557" i="13" s="1"/>
  <c r="P559" i="1"/>
  <c r="O559" i="1"/>
  <c r="N559" i="1"/>
  <c r="P789" i="1"/>
  <c r="O789" i="1"/>
  <c r="Q789" i="1"/>
  <c r="F787" i="13" s="1"/>
  <c r="L787" i="13" s="1"/>
  <c r="N789" i="1"/>
  <c r="P779" i="1"/>
  <c r="Q779" i="1"/>
  <c r="F777" i="13" s="1"/>
  <c r="L777" i="13" s="1"/>
  <c r="N779" i="1"/>
  <c r="O779" i="1"/>
  <c r="Q801" i="1"/>
  <c r="F799" i="13" s="1"/>
  <c r="L799" i="13" s="1"/>
  <c r="N801" i="1"/>
  <c r="P801" i="1"/>
  <c r="O801" i="1"/>
  <c r="P657" i="1"/>
  <c r="O657" i="1"/>
  <c r="Q657" i="1"/>
  <c r="F655" i="13" s="1"/>
  <c r="L655" i="13" s="1"/>
  <c r="N657" i="1"/>
  <c r="P628" i="1"/>
  <c r="O628" i="1"/>
  <c r="N628" i="1"/>
  <c r="Q628" i="1"/>
  <c r="F626" i="13" s="1"/>
  <c r="L626" i="13" s="1"/>
  <c r="Q548" i="1"/>
  <c r="F546" i="13" s="1"/>
  <c r="L546" i="13" s="1"/>
  <c r="N548" i="1"/>
  <c r="O548" i="1"/>
  <c r="P548" i="1"/>
  <c r="Q698" i="1"/>
  <c r="F696" i="13" s="1"/>
  <c r="L696" i="13" s="1"/>
  <c r="P698" i="1"/>
  <c r="N698" i="1"/>
  <c r="O698" i="1"/>
  <c r="Q697" i="1"/>
  <c r="F695" i="13" s="1"/>
  <c r="L695" i="13" s="1"/>
  <c r="P697" i="1"/>
  <c r="O697" i="1"/>
  <c r="N697" i="1"/>
  <c r="O668" i="1"/>
  <c r="N668" i="1"/>
  <c r="Q668" i="1"/>
  <c r="F666" i="13" s="1"/>
  <c r="L666" i="13" s="1"/>
  <c r="P668" i="1"/>
  <c r="Q827" i="1"/>
  <c r="F825" i="13" s="1"/>
  <c r="L825" i="13" s="1"/>
  <c r="P827" i="1"/>
  <c r="O827" i="1"/>
  <c r="N827" i="1"/>
  <c r="Q856" i="1"/>
  <c r="F854" i="13" s="1"/>
  <c r="L854" i="13" s="1"/>
  <c r="P856" i="1"/>
  <c r="O856" i="1"/>
  <c r="N856" i="1"/>
  <c r="N563" i="1"/>
  <c r="P563" i="1"/>
  <c r="Q563" i="1"/>
  <c r="F561" i="13" s="1"/>
  <c r="L561" i="13" s="1"/>
  <c r="O563" i="1"/>
  <c r="N773" i="1"/>
  <c r="O773" i="1"/>
  <c r="P773" i="1"/>
  <c r="Q773" i="1"/>
  <c r="F771" i="13" s="1"/>
  <c r="L771" i="13" s="1"/>
  <c r="Q610" i="1" l="1"/>
  <c r="F608" i="13" s="1"/>
  <c r="L608" i="13" s="1"/>
  <c r="P610" i="1"/>
  <c r="P640" i="1"/>
  <c r="O717" i="1"/>
  <c r="P717" i="1"/>
  <c r="N717" i="1"/>
  <c r="N745" i="1"/>
  <c r="N678" i="1"/>
  <c r="O745" i="1"/>
  <c r="P678" i="1"/>
  <c r="O754" i="1"/>
  <c r="P754" i="1"/>
  <c r="Q745" i="1"/>
  <c r="F743" i="13" s="1"/>
  <c r="L743" i="13" s="1"/>
  <c r="P687" i="1"/>
  <c r="N687" i="1"/>
  <c r="Q687" i="1"/>
  <c r="F685" i="13" s="1"/>
  <c r="L685" i="13" s="1"/>
  <c r="Q726" i="1"/>
  <c r="F724" i="13" s="1"/>
  <c r="L724" i="13" s="1"/>
  <c r="P829" i="1"/>
  <c r="P750" i="1"/>
  <c r="N610" i="1"/>
  <c r="Q829" i="1"/>
  <c r="F827" i="13" s="1"/>
  <c r="L827" i="13" s="1"/>
  <c r="Q750" i="1"/>
  <c r="F748" i="13" s="1"/>
  <c r="L748" i="13" s="1"/>
  <c r="O750" i="1"/>
  <c r="O726" i="1"/>
  <c r="Q754" i="1"/>
  <c r="F752" i="13" s="1"/>
  <c r="L752" i="13" s="1"/>
  <c r="N726" i="1"/>
  <c r="Q678" i="1"/>
  <c r="F676" i="13" s="1"/>
  <c r="L676" i="13" s="1"/>
  <c r="N539" i="1"/>
  <c r="Q854" i="1"/>
  <c r="F852" i="13" s="1"/>
  <c r="L852" i="13" s="1"/>
  <c r="P539" i="1"/>
  <c r="P854" i="1"/>
  <c r="O539" i="1"/>
  <c r="O854" i="1"/>
  <c r="Q591" i="1"/>
  <c r="F589" i="13" s="1"/>
  <c r="L589" i="13" s="1"/>
  <c r="P591" i="1"/>
  <c r="O591" i="1"/>
  <c r="O544" i="1"/>
  <c r="O798" i="1"/>
  <c r="N544" i="1"/>
  <c r="O829" i="1"/>
  <c r="Q613" i="1"/>
  <c r="F611" i="13" s="1"/>
  <c r="L611" i="13" s="1"/>
  <c r="Q605" i="1"/>
  <c r="F603" i="13" s="1"/>
  <c r="L603" i="13" s="1"/>
  <c r="N602" i="1"/>
  <c r="O605" i="1"/>
  <c r="Q602" i="1"/>
  <c r="F600" i="13" s="1"/>
  <c r="L600" i="13" s="1"/>
  <c r="N605" i="1"/>
  <c r="O729" i="1"/>
  <c r="Q729" i="1"/>
  <c r="F727" i="13" s="1"/>
  <c r="L727" i="13" s="1"/>
  <c r="P798" i="1"/>
  <c r="Q544" i="1"/>
  <c r="F542" i="13" s="1"/>
  <c r="L542" i="13" s="1"/>
  <c r="P736" i="1"/>
  <c r="N798" i="1"/>
  <c r="P729" i="1"/>
  <c r="O602" i="1"/>
  <c r="O640" i="1"/>
  <c r="P571" i="1"/>
  <c r="N571" i="1"/>
  <c r="O571" i="1"/>
  <c r="Q571" i="1"/>
  <c r="F569" i="13" s="1"/>
  <c r="L569" i="13" s="1"/>
  <c r="Q658" i="1"/>
  <c r="F656" i="13" s="1"/>
  <c r="L656" i="13" s="1"/>
  <c r="N658" i="1"/>
  <c r="P658" i="1"/>
  <c r="O722" i="1"/>
  <c r="N722" i="1"/>
  <c r="Q734" i="1"/>
  <c r="F732" i="13" s="1"/>
  <c r="L732" i="13" s="1"/>
  <c r="O752" i="1"/>
  <c r="N752" i="1"/>
  <c r="P752" i="1"/>
  <c r="Q752" i="1"/>
  <c r="F750" i="13" s="1"/>
  <c r="L750" i="13" s="1"/>
  <c r="N612" i="1"/>
  <c r="O612" i="1"/>
  <c r="Q612" i="1"/>
  <c r="F610" i="13" s="1"/>
  <c r="L610" i="13" s="1"/>
  <c r="P612" i="1"/>
  <c r="N640" i="1"/>
  <c r="Q615" i="1"/>
  <c r="F613" i="13" s="1"/>
  <c r="L613" i="13" s="1"/>
  <c r="N615" i="1"/>
  <c r="O585" i="1"/>
  <c r="P585" i="1"/>
  <c r="Q699" i="1"/>
  <c r="F697" i="13" s="1"/>
  <c r="L697" i="13" s="1"/>
  <c r="N699" i="1"/>
  <c r="O699" i="1"/>
  <c r="P699" i="1"/>
  <c r="Q647" i="1"/>
  <c r="F645" i="13" s="1"/>
  <c r="L645" i="13" s="1"/>
  <c r="O647" i="1"/>
  <c r="N647" i="1"/>
  <c r="P647" i="1"/>
  <c r="O774" i="1"/>
  <c r="O815" i="1"/>
  <c r="N652" i="1"/>
  <c r="P652" i="1"/>
  <c r="O652" i="1"/>
  <c r="Q652" i="1"/>
  <c r="F650" i="13" s="1"/>
  <c r="L650" i="13" s="1"/>
  <c r="N774" i="1"/>
  <c r="N815" i="1"/>
  <c r="P774" i="1"/>
  <c r="Q722" i="1"/>
  <c r="F720" i="13" s="1"/>
  <c r="L720" i="13" s="1"/>
  <c r="Q751" i="1"/>
  <c r="F749" i="13" s="1"/>
  <c r="L749" i="13" s="1"/>
  <c r="Q585" i="1"/>
  <c r="F583" i="13" s="1"/>
  <c r="L583" i="13" s="1"/>
  <c r="N683" i="1"/>
  <c r="Q683" i="1"/>
  <c r="F681" i="13" s="1"/>
  <c r="L681" i="13" s="1"/>
  <c r="Q838" i="1"/>
  <c r="F836" i="13" s="1"/>
  <c r="L836" i="13" s="1"/>
  <c r="P797" i="1"/>
  <c r="N838" i="1"/>
  <c r="Q797" i="1"/>
  <c r="F795" i="13" s="1"/>
  <c r="L795" i="13" s="1"/>
  <c r="O639" i="1"/>
  <c r="O838" i="1"/>
  <c r="P615" i="1"/>
  <c r="N797" i="1"/>
  <c r="O747" i="1"/>
  <c r="P747" i="1"/>
  <c r="Q747" i="1"/>
  <c r="F745" i="13" s="1"/>
  <c r="L745" i="13" s="1"/>
  <c r="N747" i="1"/>
  <c r="N741" i="1"/>
  <c r="O741" i="1"/>
  <c r="Q741" i="1"/>
  <c r="F739" i="13" s="1"/>
  <c r="L739" i="13" s="1"/>
  <c r="P741" i="1"/>
  <c r="P604" i="1"/>
  <c r="O604" i="1"/>
  <c r="N780" i="1"/>
  <c r="N604" i="1"/>
  <c r="Q665" i="1"/>
  <c r="F663" i="13" s="1"/>
  <c r="L663" i="13" s="1"/>
  <c r="N639" i="1"/>
  <c r="P607" i="1"/>
  <c r="N607" i="1"/>
  <c r="Q607" i="1"/>
  <c r="F605" i="13" s="1"/>
  <c r="L605" i="13" s="1"/>
  <c r="O607" i="1"/>
  <c r="Q736" i="1"/>
  <c r="F734" i="13" s="1"/>
  <c r="L734" i="13" s="1"/>
  <c r="P692" i="1"/>
  <c r="Q639" i="1"/>
  <c r="F637" i="13" s="1"/>
  <c r="L637" i="13" s="1"/>
  <c r="N681" i="1"/>
  <c r="N736" i="1"/>
  <c r="P627" i="1"/>
  <c r="Q627" i="1"/>
  <c r="F625" i="13" s="1"/>
  <c r="L625" i="13" s="1"/>
  <c r="N627" i="1"/>
  <c r="O627" i="1"/>
  <c r="O734" i="1"/>
  <c r="P573" i="1"/>
  <c r="N573" i="1"/>
  <c r="Q573" i="1"/>
  <c r="F571" i="13" s="1"/>
  <c r="L571" i="13" s="1"/>
  <c r="O573" i="1"/>
  <c r="O616" i="1"/>
  <c r="O850" i="1"/>
  <c r="N850" i="1"/>
  <c r="P850" i="1"/>
  <c r="Q850" i="1"/>
  <c r="F848" i="13" s="1"/>
  <c r="L848" i="13" s="1"/>
  <c r="O692" i="1"/>
  <c r="O635" i="1"/>
  <c r="Q553" i="1"/>
  <c r="F551" i="13" s="1"/>
  <c r="L551" i="13" s="1"/>
  <c r="Q616" i="1"/>
  <c r="F614" i="13" s="1"/>
  <c r="L614" i="13" s="1"/>
  <c r="P780" i="1"/>
  <c r="Q780" i="1"/>
  <c r="F778" i="13" s="1"/>
  <c r="L778" i="13" s="1"/>
  <c r="N692" i="1"/>
  <c r="P635" i="1"/>
  <c r="O553" i="1"/>
  <c r="P616" i="1"/>
  <c r="Q681" i="1"/>
  <c r="F679" i="13" s="1"/>
  <c r="L679" i="13" s="1"/>
  <c r="Q635" i="1"/>
  <c r="F633" i="13" s="1"/>
  <c r="L633" i="13" s="1"/>
  <c r="N553" i="1"/>
  <c r="N751" i="1"/>
  <c r="O681" i="1"/>
  <c r="Q574" i="1"/>
  <c r="F572" i="13" s="1"/>
  <c r="L572" i="13" s="1"/>
  <c r="O574" i="1"/>
  <c r="P574" i="1"/>
  <c r="N574" i="1"/>
  <c r="P751" i="1"/>
  <c r="Q732" i="1"/>
  <c r="F730" i="13" s="1"/>
  <c r="L730" i="13" s="1"/>
  <c r="P732" i="1"/>
  <c r="N732" i="1"/>
  <c r="O732" i="1"/>
  <c r="P857" i="1"/>
  <c r="Q857" i="1"/>
  <c r="F855" i="13" s="1"/>
  <c r="L855" i="13" s="1"/>
  <c r="O857" i="1"/>
  <c r="N857" i="1"/>
  <c r="N625" i="1"/>
  <c r="P625" i="1"/>
  <c r="Q625" i="1"/>
  <c r="F623" i="13" s="1"/>
  <c r="L623" i="13" s="1"/>
  <c r="O625" i="1"/>
  <c r="O819" i="1"/>
  <c r="Q819" i="1"/>
  <c r="F817" i="13" s="1"/>
  <c r="L817" i="13" s="1"/>
  <c r="N819" i="1"/>
  <c r="P819" i="1"/>
  <c r="N562" i="1"/>
  <c r="Q562" i="1"/>
  <c r="F560" i="13" s="1"/>
  <c r="L560" i="13" s="1"/>
  <c r="O562" i="1"/>
  <c r="P562" i="1"/>
  <c r="N570" i="1"/>
  <c r="Q570" i="1"/>
  <c r="F568" i="13" s="1"/>
  <c r="L568" i="13" s="1"/>
  <c r="P570" i="1"/>
  <c r="O570" i="1"/>
  <c r="Q815" i="1"/>
  <c r="F813" i="13" s="1"/>
  <c r="L813" i="13" s="1"/>
  <c r="N551" i="1"/>
  <c r="P551" i="1"/>
  <c r="O551" i="1"/>
  <c r="O719" i="1"/>
  <c r="Q719" i="1"/>
  <c r="F717" i="13" s="1"/>
  <c r="L717" i="13" s="1"/>
  <c r="N719" i="1"/>
  <c r="P719" i="1"/>
  <c r="O771" i="1"/>
  <c r="N691" i="1"/>
  <c r="O691" i="1"/>
  <c r="Q691" i="1"/>
  <c r="F689" i="13" s="1"/>
  <c r="L689" i="13" s="1"/>
  <c r="P691" i="1"/>
  <c r="P683" i="1"/>
  <c r="P771" i="1"/>
  <c r="P831" i="1"/>
  <c r="N826" i="1"/>
  <c r="O568" i="1"/>
  <c r="P568" i="1"/>
  <c r="Q568" i="1"/>
  <c r="F566" i="13" s="1"/>
  <c r="L566" i="13" s="1"/>
  <c r="N568" i="1"/>
  <c r="Q831" i="1"/>
  <c r="F829" i="13" s="1"/>
  <c r="L829" i="13" s="1"/>
  <c r="O826" i="1"/>
  <c r="O831" i="1"/>
  <c r="P826" i="1"/>
  <c r="P734" i="1"/>
  <c r="N771" i="1"/>
  <c r="N603" i="1"/>
  <c r="P830" i="1"/>
  <c r="O830" i="1"/>
  <c r="Q830" i="1"/>
  <c r="F828" i="13" s="1"/>
  <c r="L828" i="13" s="1"/>
  <c r="N830" i="1"/>
  <c r="N676" i="1"/>
  <c r="P676" i="1"/>
  <c r="Q676" i="1"/>
  <c r="F674" i="13" s="1"/>
  <c r="L674" i="13" s="1"/>
  <c r="O676" i="1"/>
  <c r="P651" i="1"/>
  <c r="N651" i="1"/>
  <c r="Q651" i="1"/>
  <c r="F649" i="13" s="1"/>
  <c r="L649" i="13" s="1"/>
  <c r="O651" i="1"/>
  <c r="Q841" i="1"/>
  <c r="F839" i="13" s="1"/>
  <c r="L839" i="13" s="1"/>
  <c r="N841" i="1"/>
  <c r="P841" i="1"/>
  <c r="O841" i="1"/>
  <c r="P772" i="1"/>
  <c r="N613" i="1"/>
  <c r="O613" i="1"/>
  <c r="O772" i="1"/>
  <c r="Q772" i="1"/>
  <c r="F770" i="13" s="1"/>
  <c r="L770" i="13" s="1"/>
  <c r="N718" i="1"/>
  <c r="Q718" i="1"/>
  <c r="F716" i="13" s="1"/>
  <c r="L716" i="13" s="1"/>
  <c r="P718" i="1"/>
  <c r="O718" i="1"/>
  <c r="N560" i="1"/>
  <c r="Q560" i="1"/>
  <c r="F558" i="13" s="1"/>
  <c r="L558" i="13" s="1"/>
  <c r="P560" i="1"/>
  <c r="O560" i="1"/>
  <c r="Q588" i="1"/>
  <c r="F586" i="13" s="1"/>
  <c r="L586" i="13" s="1"/>
  <c r="P588" i="1"/>
  <c r="O588" i="1"/>
  <c r="N588" i="1"/>
  <c r="P641" i="1"/>
  <c r="Q641" i="1"/>
  <c r="F639" i="13" s="1"/>
  <c r="L639" i="13" s="1"/>
  <c r="N641" i="1"/>
  <c r="O641" i="1"/>
  <c r="O760" i="1"/>
  <c r="N760" i="1"/>
  <c r="Q760" i="1"/>
  <c r="F758" i="13" s="1"/>
  <c r="L758" i="13" s="1"/>
  <c r="P760" i="1"/>
  <c r="P533" i="1"/>
  <c r="O533" i="1"/>
  <c r="Q533" i="1"/>
  <c r="F531" i="13" s="1"/>
  <c r="L531" i="13" s="1"/>
  <c r="N533" i="1"/>
  <c r="N636" i="1"/>
  <c r="Q636" i="1"/>
  <c r="F634" i="13" s="1"/>
  <c r="L634" i="13" s="1"/>
  <c r="O636" i="1"/>
  <c r="P636" i="1"/>
  <c r="P603" i="1"/>
  <c r="N811" i="1"/>
  <c r="Q811" i="1"/>
  <c r="F809" i="13" s="1"/>
  <c r="L809" i="13" s="1"/>
  <c r="P811" i="1"/>
  <c r="O811" i="1"/>
  <c r="P802" i="1"/>
  <c r="N802" i="1"/>
  <c r="Q802" i="1"/>
  <c r="F800" i="13" s="1"/>
  <c r="L800" i="13" s="1"/>
  <c r="O802" i="1"/>
  <c r="P665" i="1"/>
  <c r="N665" i="1"/>
  <c r="O791" i="1"/>
  <c r="Q791" i="1"/>
  <c r="F789" i="13" s="1"/>
  <c r="L789" i="13" s="1"/>
  <c r="P791" i="1"/>
  <c r="N791" i="1"/>
  <c r="O603" i="1"/>
  <c r="N723" i="1"/>
  <c r="P723" i="1"/>
  <c r="O723" i="1"/>
  <c r="Q723" i="1"/>
  <c r="F721" i="13" s="1"/>
  <c r="L721" i="13" s="1"/>
  <c r="O579" i="1"/>
  <c r="P579" i="1"/>
  <c r="N579" i="1"/>
  <c r="Q579" i="1"/>
  <c r="F577" i="13" s="1"/>
  <c r="L577" i="13" s="1"/>
  <c r="O577" i="1"/>
  <c r="Q577" i="1"/>
  <c r="F575" i="13" s="1"/>
  <c r="L575" i="13" s="1"/>
  <c r="P577" i="1"/>
  <c r="N744" i="1"/>
  <c r="O744" i="1"/>
  <c r="Q744" i="1"/>
  <c r="F742" i="13" s="1"/>
  <c r="L742" i="13" s="1"/>
  <c r="P744" i="1"/>
  <c r="O554" i="1"/>
  <c r="Q554" i="1"/>
  <c r="F552" i="13" s="1"/>
  <c r="L552" i="13" s="1"/>
  <c r="N554" i="1"/>
  <c r="P554" i="1"/>
  <c r="O693" i="1"/>
  <c r="Q693" i="1"/>
  <c r="F691" i="13" s="1"/>
  <c r="L691" i="13" s="1"/>
  <c r="N693" i="1"/>
  <c r="P693" i="1"/>
  <c r="Q556" i="1"/>
  <c r="F554" i="13" s="1"/>
  <c r="L554" i="13" s="1"/>
  <c r="P556" i="1"/>
  <c r="O556" i="1"/>
  <c r="N556" i="1"/>
  <c r="Q527" i="1"/>
  <c r="F525" i="13" s="1"/>
  <c r="L525" i="13" s="1"/>
  <c r="N527" i="1"/>
  <c r="P527" i="1"/>
  <c r="O527" i="1"/>
  <c r="P583" i="1"/>
  <c r="Q583" i="1"/>
  <c r="F581" i="13" s="1"/>
  <c r="L581" i="13" s="1"/>
  <c r="O583" i="1"/>
  <c r="N583" i="1"/>
  <c r="N659" i="1"/>
  <c r="P659" i="1"/>
  <c r="Q659" i="1"/>
  <c r="F657" i="13" s="1"/>
  <c r="L657" i="13" s="1"/>
  <c r="O659" i="1"/>
  <c r="N715" i="1"/>
  <c r="P715" i="1"/>
  <c r="O715" i="1"/>
  <c r="Q715" i="1"/>
  <c r="F713" i="13" s="1"/>
  <c r="L713" i="13" s="1"/>
  <c r="Q590" i="1"/>
  <c r="F588" i="13" s="1"/>
  <c r="L588" i="13" s="1"/>
  <c r="P590" i="1"/>
  <c r="O590" i="1"/>
  <c r="N590" i="1"/>
  <c r="Q552" i="1"/>
  <c r="F550" i="13" s="1"/>
  <c r="L550" i="13" s="1"/>
  <c r="P552" i="1"/>
  <c r="N552" i="1"/>
  <c r="O552" i="1"/>
  <c r="P543" i="1"/>
  <c r="Q543" i="1"/>
  <c r="F541" i="13" s="1"/>
  <c r="L541" i="13" s="1"/>
  <c r="N543" i="1"/>
  <c r="O543" i="1"/>
  <c r="P661" i="1"/>
  <c r="Q661" i="1"/>
  <c r="F659" i="13" s="1"/>
  <c r="L659" i="13" s="1"/>
  <c r="N661" i="1"/>
  <c r="O661" i="1"/>
  <c r="N538" i="1"/>
  <c r="O538" i="1"/>
  <c r="Q538" i="1"/>
  <c r="F536" i="13" s="1"/>
  <c r="L536" i="13" s="1"/>
  <c r="P538" i="1"/>
  <c r="O682" i="1"/>
  <c r="N682" i="1"/>
  <c r="Q682" i="1"/>
  <c r="F680" i="13" s="1"/>
  <c r="L680" i="13" s="1"/>
  <c r="P682" i="1"/>
  <c r="N561" i="1"/>
  <c r="Q561" i="1"/>
  <c r="F559" i="13" s="1"/>
  <c r="L559" i="13" s="1"/>
  <c r="P561" i="1"/>
  <c r="O561" i="1"/>
  <c r="P599" i="1"/>
  <c r="N599" i="1"/>
  <c r="Q599" i="1"/>
  <c r="F597" i="13" s="1"/>
  <c r="L597" i="13" s="1"/>
  <c r="O599" i="1"/>
  <c r="Q569" i="1"/>
  <c r="F567" i="13" s="1"/>
  <c r="L567" i="13" s="1"/>
  <c r="O569" i="1"/>
  <c r="P569" i="1"/>
  <c r="N569" i="1"/>
  <c r="P731" i="1"/>
  <c r="O731" i="1"/>
  <c r="Q731" i="1"/>
  <c r="F729" i="13" s="1"/>
  <c r="L729" i="13" s="1"/>
  <c r="N731" i="1"/>
  <c r="N742" i="1"/>
  <c r="P742" i="1"/>
  <c r="Q742" i="1"/>
  <c r="F740" i="13" s="1"/>
  <c r="L740" i="13" s="1"/>
  <c r="O742" i="1"/>
  <c r="P703" i="1"/>
  <c r="Q703" i="1"/>
  <c r="F701" i="13" s="1"/>
  <c r="L701" i="13" s="1"/>
  <c r="O703" i="1"/>
  <c r="N703" i="1"/>
  <c r="O820" i="1"/>
  <c r="N820" i="1"/>
  <c r="Q820" i="1"/>
  <c r="F818" i="13" s="1"/>
  <c r="L818" i="13" s="1"/>
  <c r="P820" i="1"/>
  <c r="O547" i="1"/>
  <c r="N547" i="1"/>
  <c r="P547" i="1"/>
  <c r="Q547" i="1"/>
  <c r="F545" i="13" s="1"/>
  <c r="L545" i="13" s="1"/>
  <c r="N705" i="1"/>
  <c r="O705" i="1"/>
  <c r="P705" i="1"/>
  <c r="Q705" i="1"/>
  <c r="F703" i="13" s="1"/>
  <c r="L703" i="13" s="1"/>
  <c r="N685" i="1"/>
  <c r="P685" i="1"/>
  <c r="Q685" i="1"/>
  <c r="F683" i="13" s="1"/>
  <c r="L683" i="13" s="1"/>
  <c r="O685" i="1"/>
  <c r="O821" i="1"/>
  <c r="N821" i="1"/>
  <c r="Q821" i="1"/>
  <c r="F819" i="13" s="1"/>
  <c r="L819" i="13" s="1"/>
  <c r="P821" i="1"/>
  <c r="Q643" i="1"/>
  <c r="F641" i="13" s="1"/>
  <c r="L641" i="13" s="1"/>
  <c r="P643" i="1"/>
  <c r="N643" i="1"/>
  <c r="O643" i="1"/>
  <c r="P617" i="1"/>
  <c r="N617" i="1"/>
  <c r="O617" i="1"/>
  <c r="Q617" i="1"/>
  <c r="F615" i="13" s="1"/>
  <c r="L615" i="13" s="1"/>
  <c r="J1" i="13"/>
  <c r="E5" i="1"/>
  <c r="D5" i="1"/>
  <c r="C5" i="1"/>
  <c r="B5" i="1"/>
  <c r="A5" i="1"/>
  <c r="F5" i="1" l="1"/>
  <c r="J5" i="1" s="1"/>
  <c r="J1" i="15"/>
  <c r="J1" i="14"/>
  <c r="J1" i="11"/>
  <c r="J1" i="9"/>
  <c r="J1" i="8"/>
  <c r="K1" i="1"/>
  <c r="I5" i="1" l="1"/>
  <c r="E3" i="13"/>
  <c r="D3" i="13"/>
  <c r="M3" i="13" s="1"/>
  <c r="C3" i="13"/>
  <c r="B3" i="13"/>
  <c r="A3" i="13"/>
  <c r="A5" i="15" l="1"/>
  <c r="D5" i="9" l="1"/>
  <c r="E5" i="8"/>
  <c r="H5" i="1"/>
  <c r="D5" i="14"/>
  <c r="F5" i="14" s="1"/>
  <c r="D5" i="15"/>
  <c r="F5" i="15" s="1"/>
  <c r="D5" i="11"/>
  <c r="F5" i="11" s="1"/>
  <c r="E5" i="15"/>
  <c r="E5" i="14"/>
  <c r="E5" i="11"/>
  <c r="E5" i="9"/>
  <c r="I5" i="11" l="1"/>
  <c r="H5" i="11"/>
  <c r="G5" i="1"/>
  <c r="K5" i="1" s="1"/>
  <c r="G5" i="15"/>
  <c r="I5" i="15"/>
  <c r="H5" i="15"/>
  <c r="I5" i="14"/>
  <c r="H5" i="14"/>
  <c r="G5" i="14"/>
  <c r="G5" i="11" l="1"/>
  <c r="J5" i="11" s="1"/>
  <c r="K5" i="11" s="1"/>
  <c r="J5" i="15"/>
  <c r="K5" i="15" s="1"/>
  <c r="J5" i="14"/>
  <c r="K5" i="14" s="1"/>
  <c r="B5" i="15" l="1"/>
  <c r="B5" i="14"/>
  <c r="B5" i="11"/>
  <c r="B5" i="9"/>
  <c r="C5" i="15"/>
  <c r="C5" i="14"/>
  <c r="C5" i="11"/>
  <c r="C5" i="9"/>
  <c r="A5" i="14" l="1"/>
  <c r="A5" i="11" l="1"/>
  <c r="A5" i="9"/>
  <c r="D5" i="8"/>
  <c r="C5" i="8"/>
  <c r="B5" i="8"/>
  <c r="A5" i="8"/>
  <c r="K3" i="13" l="1"/>
  <c r="J3" i="13" l="1"/>
  <c r="I3" i="13"/>
  <c r="L518" i="1" l="1"/>
  <c r="M518" i="1" s="1"/>
  <c r="L517" i="1"/>
  <c r="M517" i="1" s="1"/>
  <c r="L516" i="1"/>
  <c r="M516" i="1" s="1"/>
  <c r="L515" i="1"/>
  <c r="M515" i="1" s="1"/>
  <c r="L514" i="1"/>
  <c r="M514" i="1" s="1"/>
  <c r="L513" i="1"/>
  <c r="M513" i="1" s="1"/>
  <c r="L512" i="1"/>
  <c r="M512" i="1" s="1"/>
  <c r="L511" i="1"/>
  <c r="M511" i="1" s="1"/>
  <c r="L510" i="1"/>
  <c r="M510" i="1" s="1"/>
  <c r="L509" i="1"/>
  <c r="M509" i="1" s="1"/>
  <c r="L508" i="1"/>
  <c r="M508" i="1" s="1"/>
  <c r="L507" i="1"/>
  <c r="M507" i="1" s="1"/>
  <c r="L506" i="1"/>
  <c r="M506" i="1" s="1"/>
  <c r="L505" i="1"/>
  <c r="M505" i="1" s="1"/>
  <c r="L504" i="1"/>
  <c r="M504" i="1" s="1"/>
  <c r="L503" i="1"/>
  <c r="M503" i="1" s="1"/>
  <c r="L502" i="1"/>
  <c r="M502" i="1" s="1"/>
  <c r="L501" i="1"/>
  <c r="M501" i="1" s="1"/>
  <c r="L500" i="1"/>
  <c r="M500" i="1" s="1"/>
  <c r="L499" i="1"/>
  <c r="M499" i="1" s="1"/>
  <c r="L498" i="1"/>
  <c r="M498" i="1" s="1"/>
  <c r="L497" i="1"/>
  <c r="M497" i="1" s="1"/>
  <c r="L496" i="1"/>
  <c r="M496" i="1" s="1"/>
  <c r="L495" i="1"/>
  <c r="M495" i="1" s="1"/>
  <c r="L494" i="1"/>
  <c r="M494" i="1" s="1"/>
  <c r="L493" i="1"/>
  <c r="M493" i="1" s="1"/>
  <c r="L492" i="1"/>
  <c r="M492" i="1" s="1"/>
  <c r="L491" i="1"/>
  <c r="M491" i="1" s="1"/>
  <c r="L490" i="1"/>
  <c r="M490" i="1" s="1"/>
  <c r="L489" i="1"/>
  <c r="M489" i="1" s="1"/>
  <c r="L488" i="1"/>
  <c r="M488" i="1" s="1"/>
  <c r="L487" i="1"/>
  <c r="M487" i="1" s="1"/>
  <c r="L486" i="1"/>
  <c r="M486" i="1" s="1"/>
  <c r="L485" i="1"/>
  <c r="M485" i="1" s="1"/>
  <c r="L484" i="1"/>
  <c r="M484" i="1" s="1"/>
  <c r="L483" i="1"/>
  <c r="M483" i="1" s="1"/>
  <c r="L482" i="1"/>
  <c r="M482" i="1" s="1"/>
  <c r="L481" i="1"/>
  <c r="M481" i="1" s="1"/>
  <c r="L480" i="1"/>
  <c r="M480" i="1" s="1"/>
  <c r="L479" i="1"/>
  <c r="M479" i="1" s="1"/>
  <c r="L478" i="1"/>
  <c r="M478" i="1" s="1"/>
  <c r="L477" i="1"/>
  <c r="M477" i="1" s="1"/>
  <c r="L476" i="1"/>
  <c r="M476" i="1" s="1"/>
  <c r="L475" i="1"/>
  <c r="M475" i="1" s="1"/>
  <c r="L474" i="1"/>
  <c r="M474" i="1" s="1"/>
  <c r="L473" i="1"/>
  <c r="M473" i="1" s="1"/>
  <c r="L472" i="1"/>
  <c r="M472" i="1" s="1"/>
  <c r="L471" i="1"/>
  <c r="M471" i="1" s="1"/>
  <c r="L470" i="1"/>
  <c r="M470" i="1" s="1"/>
  <c r="L469" i="1"/>
  <c r="M469" i="1" s="1"/>
  <c r="L468" i="1"/>
  <c r="M468" i="1" s="1"/>
  <c r="L467" i="1"/>
  <c r="M467" i="1" s="1"/>
  <c r="L466" i="1"/>
  <c r="M466" i="1" s="1"/>
  <c r="L465" i="1"/>
  <c r="M465" i="1" s="1"/>
  <c r="L464" i="1"/>
  <c r="M464" i="1" s="1"/>
  <c r="L463" i="1"/>
  <c r="M463" i="1" s="1"/>
  <c r="L462" i="1"/>
  <c r="M462" i="1" s="1"/>
  <c r="L461" i="1"/>
  <c r="M461" i="1" s="1"/>
  <c r="L460" i="1"/>
  <c r="M460" i="1" s="1"/>
  <c r="L459" i="1"/>
  <c r="M459" i="1" s="1"/>
  <c r="L458" i="1"/>
  <c r="M458" i="1" s="1"/>
  <c r="L457" i="1"/>
  <c r="M457" i="1" s="1"/>
  <c r="L456" i="1"/>
  <c r="M456" i="1" s="1"/>
  <c r="L455" i="1"/>
  <c r="M455" i="1" s="1"/>
  <c r="L454" i="1"/>
  <c r="M454" i="1" s="1"/>
  <c r="L453" i="1"/>
  <c r="M453" i="1" s="1"/>
  <c r="L452" i="1"/>
  <c r="M452" i="1" s="1"/>
  <c r="L451" i="1"/>
  <c r="M451" i="1" s="1"/>
  <c r="L450" i="1"/>
  <c r="M450" i="1" s="1"/>
  <c r="L449" i="1"/>
  <c r="M449" i="1" s="1"/>
  <c r="L448" i="1"/>
  <c r="M448" i="1" s="1"/>
  <c r="L447" i="1"/>
  <c r="M447" i="1" s="1"/>
  <c r="L446" i="1"/>
  <c r="M446" i="1" s="1"/>
  <c r="L445" i="1"/>
  <c r="M445" i="1" s="1"/>
  <c r="L444" i="1"/>
  <c r="M444" i="1" s="1"/>
  <c r="L443" i="1"/>
  <c r="M443" i="1" s="1"/>
  <c r="L442" i="1"/>
  <c r="M442" i="1" s="1"/>
  <c r="L441" i="1"/>
  <c r="M441" i="1" s="1"/>
  <c r="L440" i="1"/>
  <c r="M440" i="1" s="1"/>
  <c r="L439" i="1"/>
  <c r="M439" i="1" s="1"/>
  <c r="L438" i="1"/>
  <c r="M438" i="1" s="1"/>
  <c r="L437" i="1"/>
  <c r="M437" i="1" s="1"/>
  <c r="L436" i="1"/>
  <c r="M436" i="1" s="1"/>
  <c r="L435" i="1"/>
  <c r="M435" i="1" s="1"/>
  <c r="L434" i="1"/>
  <c r="M434" i="1" s="1"/>
  <c r="L433" i="1"/>
  <c r="M433" i="1" s="1"/>
  <c r="L432" i="1"/>
  <c r="M432" i="1" s="1"/>
  <c r="L431" i="1"/>
  <c r="M431" i="1" s="1"/>
  <c r="L430" i="1"/>
  <c r="M430" i="1" s="1"/>
  <c r="L429" i="1"/>
  <c r="M429" i="1" s="1"/>
  <c r="L428" i="1"/>
  <c r="M428" i="1" s="1"/>
  <c r="L427" i="1"/>
  <c r="M427" i="1" s="1"/>
  <c r="L426" i="1"/>
  <c r="M426" i="1" s="1"/>
  <c r="L425" i="1"/>
  <c r="M425" i="1" s="1"/>
  <c r="L424" i="1"/>
  <c r="M424" i="1" s="1"/>
  <c r="L423" i="1"/>
  <c r="M423" i="1" s="1"/>
  <c r="L422" i="1"/>
  <c r="M422" i="1" s="1"/>
  <c r="L421" i="1"/>
  <c r="M421" i="1" s="1"/>
  <c r="L420" i="1"/>
  <c r="M420" i="1" s="1"/>
  <c r="L419" i="1"/>
  <c r="M419" i="1" s="1"/>
  <c r="L418" i="1"/>
  <c r="M418" i="1" s="1"/>
  <c r="L417" i="1"/>
  <c r="M417" i="1" s="1"/>
  <c r="L416" i="1"/>
  <c r="M416" i="1" s="1"/>
  <c r="L415" i="1"/>
  <c r="M415" i="1" s="1"/>
  <c r="L414" i="1"/>
  <c r="M414" i="1" s="1"/>
  <c r="L413" i="1"/>
  <c r="M413" i="1" s="1"/>
  <c r="L412" i="1"/>
  <c r="M412" i="1" s="1"/>
  <c r="L411" i="1"/>
  <c r="M411" i="1" s="1"/>
  <c r="L410" i="1"/>
  <c r="M410" i="1" s="1"/>
  <c r="L409" i="1"/>
  <c r="M409" i="1" s="1"/>
  <c r="L408" i="1"/>
  <c r="M408" i="1" s="1"/>
  <c r="L407" i="1"/>
  <c r="M407" i="1" s="1"/>
  <c r="L406" i="1"/>
  <c r="M406" i="1" s="1"/>
  <c r="L405" i="1"/>
  <c r="M405" i="1" s="1"/>
  <c r="L404" i="1"/>
  <c r="M404" i="1" s="1"/>
  <c r="L403" i="1"/>
  <c r="M403" i="1" s="1"/>
  <c r="L402" i="1"/>
  <c r="M402" i="1" s="1"/>
  <c r="L401" i="1"/>
  <c r="M401" i="1" s="1"/>
  <c r="L400" i="1"/>
  <c r="M400" i="1" s="1"/>
  <c r="L399" i="1"/>
  <c r="M399" i="1" s="1"/>
  <c r="L398" i="1"/>
  <c r="M398" i="1" s="1"/>
  <c r="L397" i="1"/>
  <c r="M397" i="1" s="1"/>
  <c r="L396" i="1"/>
  <c r="M396" i="1" s="1"/>
  <c r="L395" i="1"/>
  <c r="M395" i="1" s="1"/>
  <c r="L394" i="1"/>
  <c r="M394" i="1" s="1"/>
  <c r="L393" i="1"/>
  <c r="M393" i="1" s="1"/>
  <c r="L392" i="1"/>
  <c r="M392" i="1" s="1"/>
  <c r="L391" i="1"/>
  <c r="M391" i="1" s="1"/>
  <c r="L390" i="1"/>
  <c r="M390" i="1" s="1"/>
  <c r="L389" i="1"/>
  <c r="M389" i="1" s="1"/>
  <c r="L388" i="1"/>
  <c r="M388" i="1" s="1"/>
  <c r="L387" i="1"/>
  <c r="M387" i="1" s="1"/>
  <c r="L386" i="1"/>
  <c r="M386" i="1" s="1"/>
  <c r="L385" i="1"/>
  <c r="M385" i="1" s="1"/>
  <c r="L384" i="1"/>
  <c r="M384" i="1" s="1"/>
  <c r="L383" i="1"/>
  <c r="M383" i="1" s="1"/>
  <c r="L382" i="1"/>
  <c r="M382" i="1" s="1"/>
  <c r="L381" i="1"/>
  <c r="M381" i="1" s="1"/>
  <c r="L380" i="1"/>
  <c r="M380" i="1" s="1"/>
  <c r="L379" i="1"/>
  <c r="M379" i="1" s="1"/>
  <c r="L378" i="1"/>
  <c r="M378" i="1" s="1"/>
  <c r="L377" i="1"/>
  <c r="M377" i="1" s="1"/>
  <c r="L376" i="1"/>
  <c r="M376" i="1" s="1"/>
  <c r="L375" i="1"/>
  <c r="M375" i="1" s="1"/>
  <c r="L374" i="1"/>
  <c r="M374" i="1" s="1"/>
  <c r="L373" i="1"/>
  <c r="M373" i="1" s="1"/>
  <c r="L372" i="1"/>
  <c r="M372" i="1" s="1"/>
  <c r="L371" i="1"/>
  <c r="M371" i="1" s="1"/>
  <c r="L370" i="1"/>
  <c r="M370" i="1" s="1"/>
  <c r="L369" i="1"/>
  <c r="M369" i="1" s="1"/>
  <c r="L368" i="1"/>
  <c r="M368" i="1" s="1"/>
  <c r="L367" i="1"/>
  <c r="M367" i="1" s="1"/>
  <c r="L366" i="1"/>
  <c r="M366" i="1" s="1"/>
  <c r="L365" i="1"/>
  <c r="M365" i="1" s="1"/>
  <c r="L364" i="1"/>
  <c r="M364" i="1" s="1"/>
  <c r="L363" i="1"/>
  <c r="M363" i="1" s="1"/>
  <c r="L362" i="1"/>
  <c r="M362" i="1" s="1"/>
  <c r="L361" i="1"/>
  <c r="M361" i="1" s="1"/>
  <c r="L360" i="1"/>
  <c r="M360" i="1" s="1"/>
  <c r="L359" i="1"/>
  <c r="M359" i="1" s="1"/>
  <c r="L358" i="1"/>
  <c r="M358" i="1" s="1"/>
  <c r="L357" i="1"/>
  <c r="M357" i="1" s="1"/>
  <c r="L356" i="1"/>
  <c r="M356" i="1" s="1"/>
  <c r="L355" i="1"/>
  <c r="M355" i="1" s="1"/>
  <c r="L354" i="1"/>
  <c r="M354" i="1" s="1"/>
  <c r="L353" i="1"/>
  <c r="M353" i="1" s="1"/>
  <c r="L352" i="1"/>
  <c r="M352" i="1" s="1"/>
  <c r="L351" i="1"/>
  <c r="M351" i="1" s="1"/>
  <c r="L350" i="1"/>
  <c r="M350" i="1" s="1"/>
  <c r="L349" i="1"/>
  <c r="M349" i="1" s="1"/>
  <c r="L348" i="1"/>
  <c r="M348" i="1" s="1"/>
  <c r="L347" i="1"/>
  <c r="M347" i="1" s="1"/>
  <c r="L346" i="1"/>
  <c r="M346" i="1" s="1"/>
  <c r="L345" i="1"/>
  <c r="M345" i="1" s="1"/>
  <c r="L344" i="1"/>
  <c r="M344" i="1" s="1"/>
  <c r="L343" i="1"/>
  <c r="M343" i="1" s="1"/>
  <c r="L342" i="1"/>
  <c r="M342" i="1" s="1"/>
  <c r="L341" i="1"/>
  <c r="M341" i="1" s="1"/>
  <c r="L340" i="1"/>
  <c r="M340" i="1" s="1"/>
  <c r="L339" i="1"/>
  <c r="M339" i="1" s="1"/>
  <c r="L338" i="1"/>
  <c r="M338" i="1" s="1"/>
  <c r="L337" i="1"/>
  <c r="M337" i="1" s="1"/>
  <c r="L336" i="1"/>
  <c r="M336" i="1" s="1"/>
  <c r="L335" i="1"/>
  <c r="M335" i="1" s="1"/>
  <c r="L334" i="1"/>
  <c r="M334" i="1" s="1"/>
  <c r="L333" i="1"/>
  <c r="M333" i="1" s="1"/>
  <c r="L332" i="1"/>
  <c r="M332" i="1" s="1"/>
  <c r="L331" i="1"/>
  <c r="M331" i="1" s="1"/>
  <c r="L330" i="1"/>
  <c r="M330" i="1" s="1"/>
  <c r="L329" i="1"/>
  <c r="M329" i="1" s="1"/>
  <c r="L328" i="1"/>
  <c r="M328" i="1" s="1"/>
  <c r="L327" i="1"/>
  <c r="M327" i="1" s="1"/>
  <c r="L326" i="1"/>
  <c r="M326" i="1" s="1"/>
  <c r="L325" i="1"/>
  <c r="M325" i="1" s="1"/>
  <c r="L324" i="1"/>
  <c r="M324" i="1" s="1"/>
  <c r="L323" i="1"/>
  <c r="M323" i="1" s="1"/>
  <c r="L322" i="1"/>
  <c r="M322" i="1" s="1"/>
  <c r="L321" i="1"/>
  <c r="M321" i="1" s="1"/>
  <c r="L320" i="1"/>
  <c r="M320" i="1" s="1"/>
  <c r="L319" i="1"/>
  <c r="M319" i="1" s="1"/>
  <c r="L318" i="1"/>
  <c r="M318" i="1" s="1"/>
  <c r="L317" i="1"/>
  <c r="M317" i="1" s="1"/>
  <c r="L316" i="1"/>
  <c r="M316" i="1" s="1"/>
  <c r="L315" i="1"/>
  <c r="M315" i="1" s="1"/>
  <c r="L314" i="1"/>
  <c r="M314" i="1" s="1"/>
  <c r="L313" i="1"/>
  <c r="M313" i="1" s="1"/>
  <c r="L312" i="1"/>
  <c r="M312" i="1" s="1"/>
  <c r="L311" i="1"/>
  <c r="M311" i="1" s="1"/>
  <c r="L310" i="1"/>
  <c r="M310" i="1" s="1"/>
  <c r="L309" i="1"/>
  <c r="M309" i="1" s="1"/>
  <c r="L308" i="1"/>
  <c r="M308" i="1" s="1"/>
  <c r="L307" i="1"/>
  <c r="M307" i="1" s="1"/>
  <c r="L306" i="1"/>
  <c r="M306" i="1" s="1"/>
  <c r="L305" i="1"/>
  <c r="M305" i="1" s="1"/>
  <c r="L304" i="1"/>
  <c r="M304" i="1" s="1"/>
  <c r="L303" i="1"/>
  <c r="M303" i="1" s="1"/>
  <c r="L302" i="1"/>
  <c r="M302" i="1" s="1"/>
  <c r="L301" i="1"/>
  <c r="M301" i="1" s="1"/>
  <c r="L300" i="1"/>
  <c r="M300" i="1" s="1"/>
  <c r="L299" i="1"/>
  <c r="M299" i="1" s="1"/>
  <c r="L298" i="1"/>
  <c r="M298" i="1" s="1"/>
  <c r="L297" i="1"/>
  <c r="M297" i="1" s="1"/>
  <c r="L296" i="1"/>
  <c r="M296" i="1" s="1"/>
  <c r="L295" i="1"/>
  <c r="M295" i="1" s="1"/>
  <c r="L294" i="1"/>
  <c r="M294" i="1" s="1"/>
  <c r="L293" i="1"/>
  <c r="M293" i="1" s="1"/>
  <c r="L292" i="1"/>
  <c r="M292" i="1" s="1"/>
  <c r="L291" i="1"/>
  <c r="M291" i="1" s="1"/>
  <c r="L290" i="1"/>
  <c r="M290" i="1" s="1"/>
  <c r="L289" i="1"/>
  <c r="M289" i="1" s="1"/>
  <c r="L288" i="1"/>
  <c r="M288" i="1" s="1"/>
  <c r="L287" i="1"/>
  <c r="M287" i="1" s="1"/>
  <c r="L286" i="1"/>
  <c r="M286" i="1" s="1"/>
  <c r="L285" i="1"/>
  <c r="M285" i="1" s="1"/>
  <c r="L284" i="1"/>
  <c r="M284" i="1" s="1"/>
  <c r="L283" i="1"/>
  <c r="M283" i="1" s="1"/>
  <c r="L282" i="1"/>
  <c r="M282" i="1" s="1"/>
  <c r="L281" i="1"/>
  <c r="M281" i="1" s="1"/>
  <c r="L280" i="1"/>
  <c r="M280" i="1" s="1"/>
  <c r="L279" i="1"/>
  <c r="M279" i="1" s="1"/>
  <c r="L278" i="1"/>
  <c r="M278" i="1" s="1"/>
  <c r="L277" i="1"/>
  <c r="M277" i="1" s="1"/>
  <c r="L276" i="1"/>
  <c r="M276" i="1" s="1"/>
  <c r="L275" i="1"/>
  <c r="M275" i="1" s="1"/>
  <c r="L274" i="1"/>
  <c r="M274" i="1" s="1"/>
  <c r="L273" i="1"/>
  <c r="M273" i="1" s="1"/>
  <c r="L272" i="1"/>
  <c r="M272" i="1" s="1"/>
  <c r="L271" i="1"/>
  <c r="M271" i="1" s="1"/>
  <c r="L270" i="1"/>
  <c r="M270" i="1" s="1"/>
  <c r="L269" i="1"/>
  <c r="M269" i="1" s="1"/>
  <c r="L268" i="1"/>
  <c r="M268" i="1" s="1"/>
  <c r="L267" i="1"/>
  <c r="M267" i="1" s="1"/>
  <c r="L266" i="1"/>
  <c r="M266" i="1" s="1"/>
  <c r="L265" i="1"/>
  <c r="M265" i="1" s="1"/>
  <c r="L264" i="1"/>
  <c r="M264" i="1" s="1"/>
  <c r="L263" i="1"/>
  <c r="M263" i="1" s="1"/>
  <c r="L262" i="1"/>
  <c r="M262" i="1" s="1"/>
  <c r="L261" i="1"/>
  <c r="M261" i="1" s="1"/>
  <c r="L260" i="1"/>
  <c r="M260" i="1" s="1"/>
  <c r="L259" i="1"/>
  <c r="M259" i="1" s="1"/>
  <c r="L258" i="1"/>
  <c r="M258" i="1" s="1"/>
  <c r="L257" i="1"/>
  <c r="M257" i="1" s="1"/>
  <c r="L256" i="1"/>
  <c r="M256" i="1" s="1"/>
  <c r="L255" i="1"/>
  <c r="M255" i="1" s="1"/>
  <c r="L254" i="1"/>
  <c r="M254" i="1" s="1"/>
  <c r="L253" i="1"/>
  <c r="M253" i="1" s="1"/>
  <c r="L252" i="1"/>
  <c r="M252" i="1" s="1"/>
  <c r="L251" i="1"/>
  <c r="M251" i="1" s="1"/>
  <c r="L250" i="1"/>
  <c r="M250" i="1" s="1"/>
  <c r="L249" i="1"/>
  <c r="M249" i="1" s="1"/>
  <c r="L248" i="1"/>
  <c r="M248" i="1" s="1"/>
  <c r="L247" i="1"/>
  <c r="M247" i="1" s="1"/>
  <c r="L246" i="1"/>
  <c r="M246" i="1" s="1"/>
  <c r="L245" i="1"/>
  <c r="M245" i="1" s="1"/>
  <c r="L244" i="1"/>
  <c r="M244" i="1" s="1"/>
  <c r="L243" i="1"/>
  <c r="M243" i="1" s="1"/>
  <c r="L242" i="1"/>
  <c r="M242" i="1" s="1"/>
  <c r="L241" i="1"/>
  <c r="M241" i="1" s="1"/>
  <c r="L240" i="1"/>
  <c r="M240" i="1" s="1"/>
  <c r="L239" i="1"/>
  <c r="M239" i="1" s="1"/>
  <c r="L238" i="1"/>
  <c r="M238" i="1" s="1"/>
  <c r="L237" i="1"/>
  <c r="M237" i="1" s="1"/>
  <c r="L236" i="1"/>
  <c r="M236" i="1" s="1"/>
  <c r="L235" i="1"/>
  <c r="M235" i="1" s="1"/>
  <c r="L234" i="1"/>
  <c r="M234" i="1" s="1"/>
  <c r="L233" i="1"/>
  <c r="M233" i="1" s="1"/>
  <c r="L232" i="1"/>
  <c r="M232" i="1" s="1"/>
  <c r="L231" i="1"/>
  <c r="M231" i="1" s="1"/>
  <c r="L230" i="1"/>
  <c r="M230" i="1" s="1"/>
  <c r="L229" i="1"/>
  <c r="M229" i="1" s="1"/>
  <c r="L228" i="1"/>
  <c r="M228" i="1" s="1"/>
  <c r="L227" i="1"/>
  <c r="M227" i="1" s="1"/>
  <c r="L226" i="1"/>
  <c r="M226" i="1" s="1"/>
  <c r="L225" i="1"/>
  <c r="M225" i="1" s="1"/>
  <c r="L224" i="1"/>
  <c r="M224" i="1" s="1"/>
  <c r="L223" i="1"/>
  <c r="M223" i="1" s="1"/>
  <c r="L222" i="1"/>
  <c r="M222" i="1" s="1"/>
  <c r="L221" i="1"/>
  <c r="M221" i="1" s="1"/>
  <c r="L220" i="1"/>
  <c r="M220" i="1" s="1"/>
  <c r="L219" i="1"/>
  <c r="M219" i="1" s="1"/>
  <c r="L218" i="1"/>
  <c r="M218" i="1" s="1"/>
  <c r="L217" i="1"/>
  <c r="M217" i="1" s="1"/>
  <c r="L216" i="1"/>
  <c r="M216" i="1" s="1"/>
  <c r="L215" i="1"/>
  <c r="M215" i="1" s="1"/>
  <c r="L214" i="1"/>
  <c r="M214" i="1" s="1"/>
  <c r="L213" i="1"/>
  <c r="M213" i="1" s="1"/>
  <c r="L212" i="1"/>
  <c r="M212" i="1" s="1"/>
  <c r="L211" i="1"/>
  <c r="M211" i="1" s="1"/>
  <c r="L210" i="1"/>
  <c r="M210" i="1" s="1"/>
  <c r="L209" i="1"/>
  <c r="M209" i="1" s="1"/>
  <c r="L208" i="1"/>
  <c r="M208" i="1" s="1"/>
  <c r="L207" i="1"/>
  <c r="M207" i="1" s="1"/>
  <c r="L206" i="1"/>
  <c r="M206" i="1" s="1"/>
  <c r="L205" i="1"/>
  <c r="M205" i="1" s="1"/>
  <c r="L204" i="1"/>
  <c r="M204" i="1" s="1"/>
  <c r="L203" i="1"/>
  <c r="M203" i="1" s="1"/>
  <c r="L202" i="1"/>
  <c r="M202" i="1" s="1"/>
  <c r="L201" i="1"/>
  <c r="M201" i="1" s="1"/>
  <c r="L200" i="1"/>
  <c r="M200" i="1" s="1"/>
  <c r="L199" i="1"/>
  <c r="M199" i="1" s="1"/>
  <c r="L198" i="1"/>
  <c r="M198" i="1" s="1"/>
  <c r="L197" i="1"/>
  <c r="M197" i="1" s="1"/>
  <c r="L196" i="1"/>
  <c r="M196" i="1" s="1"/>
  <c r="L195" i="1"/>
  <c r="M195" i="1" s="1"/>
  <c r="L194" i="1"/>
  <c r="M194" i="1" s="1"/>
  <c r="L193" i="1"/>
  <c r="M193" i="1" s="1"/>
  <c r="L192" i="1"/>
  <c r="M192" i="1" s="1"/>
  <c r="L191" i="1"/>
  <c r="M191" i="1" s="1"/>
  <c r="L190" i="1"/>
  <c r="M190" i="1" s="1"/>
  <c r="L189" i="1"/>
  <c r="M189" i="1" s="1"/>
  <c r="L188" i="1"/>
  <c r="M188" i="1" s="1"/>
  <c r="L187" i="1"/>
  <c r="M187" i="1" s="1"/>
  <c r="L186" i="1"/>
  <c r="M186" i="1" s="1"/>
  <c r="L185" i="1"/>
  <c r="M185" i="1" s="1"/>
  <c r="L184" i="1"/>
  <c r="M184" i="1" s="1"/>
  <c r="L183" i="1"/>
  <c r="M183" i="1" s="1"/>
  <c r="L182" i="1"/>
  <c r="M182" i="1" s="1"/>
  <c r="L181" i="1"/>
  <c r="M181" i="1" s="1"/>
  <c r="L180" i="1"/>
  <c r="M180" i="1" s="1"/>
  <c r="L179" i="1"/>
  <c r="M179" i="1" s="1"/>
  <c r="L178" i="1"/>
  <c r="M178" i="1" s="1"/>
  <c r="L177" i="1"/>
  <c r="M177" i="1" s="1"/>
  <c r="L176" i="1"/>
  <c r="M176" i="1" s="1"/>
  <c r="L175" i="1"/>
  <c r="M175" i="1" s="1"/>
  <c r="L174" i="1"/>
  <c r="M174" i="1" s="1"/>
  <c r="L173" i="1"/>
  <c r="M173" i="1" s="1"/>
  <c r="L172" i="1"/>
  <c r="M172" i="1" s="1"/>
  <c r="L171" i="1"/>
  <c r="M171" i="1" s="1"/>
  <c r="L170" i="1"/>
  <c r="M170" i="1" s="1"/>
  <c r="L169" i="1"/>
  <c r="M169" i="1" s="1"/>
  <c r="L168" i="1"/>
  <c r="M168" i="1" s="1"/>
  <c r="L167" i="1"/>
  <c r="M167" i="1" s="1"/>
  <c r="L166" i="1"/>
  <c r="M166" i="1" s="1"/>
  <c r="L165" i="1"/>
  <c r="M165" i="1" s="1"/>
  <c r="L164" i="1"/>
  <c r="M164" i="1" s="1"/>
  <c r="L163" i="1"/>
  <c r="M163" i="1" s="1"/>
  <c r="L162" i="1"/>
  <c r="M162" i="1" s="1"/>
  <c r="L161" i="1"/>
  <c r="M161" i="1" s="1"/>
  <c r="L160" i="1"/>
  <c r="M160" i="1" s="1"/>
  <c r="L159" i="1"/>
  <c r="M159" i="1" s="1"/>
  <c r="L158" i="1"/>
  <c r="M158" i="1" s="1"/>
  <c r="L157" i="1"/>
  <c r="M157" i="1" s="1"/>
  <c r="L156" i="1"/>
  <c r="M156" i="1" s="1"/>
  <c r="L155" i="1"/>
  <c r="M155" i="1" s="1"/>
  <c r="L154" i="1"/>
  <c r="M154" i="1" s="1"/>
  <c r="L153" i="1"/>
  <c r="M153" i="1" s="1"/>
  <c r="L152" i="1"/>
  <c r="M152" i="1" s="1"/>
  <c r="L151" i="1"/>
  <c r="M151" i="1" s="1"/>
  <c r="L150" i="1"/>
  <c r="M150" i="1" s="1"/>
  <c r="L149" i="1"/>
  <c r="M149" i="1" s="1"/>
  <c r="L148" i="1"/>
  <c r="M148" i="1" s="1"/>
  <c r="L147" i="1"/>
  <c r="M147" i="1" s="1"/>
  <c r="L146" i="1"/>
  <c r="M146" i="1" s="1"/>
  <c r="L145" i="1"/>
  <c r="M145" i="1" s="1"/>
  <c r="L144" i="1"/>
  <c r="M144" i="1" s="1"/>
  <c r="L143" i="1"/>
  <c r="M143" i="1" s="1"/>
  <c r="L142" i="1"/>
  <c r="M142" i="1" s="1"/>
  <c r="L141" i="1"/>
  <c r="M141" i="1" s="1"/>
  <c r="L140" i="1"/>
  <c r="M140" i="1" s="1"/>
  <c r="L139" i="1"/>
  <c r="M139" i="1" s="1"/>
  <c r="L138" i="1"/>
  <c r="M138" i="1" s="1"/>
  <c r="L137" i="1"/>
  <c r="M137" i="1" s="1"/>
  <c r="L136" i="1"/>
  <c r="M136" i="1" s="1"/>
  <c r="L135" i="1"/>
  <c r="M135" i="1" s="1"/>
  <c r="L134" i="1"/>
  <c r="M134" i="1" s="1"/>
  <c r="L133" i="1"/>
  <c r="M133" i="1" s="1"/>
  <c r="L132" i="1"/>
  <c r="M132" i="1" s="1"/>
  <c r="L131" i="1"/>
  <c r="M131" i="1" s="1"/>
  <c r="L130" i="1"/>
  <c r="M130" i="1" s="1"/>
  <c r="L129" i="1"/>
  <c r="M129" i="1" s="1"/>
  <c r="L128" i="1"/>
  <c r="M128" i="1" s="1"/>
  <c r="L127" i="1"/>
  <c r="M127" i="1" s="1"/>
  <c r="L126" i="1"/>
  <c r="M126" i="1" s="1"/>
  <c r="L125" i="1"/>
  <c r="M125" i="1" s="1"/>
  <c r="L124" i="1"/>
  <c r="M124" i="1" s="1"/>
  <c r="L123" i="1"/>
  <c r="M123" i="1" s="1"/>
  <c r="L122" i="1"/>
  <c r="M122" i="1" s="1"/>
  <c r="L121" i="1"/>
  <c r="M121" i="1" s="1"/>
  <c r="L120" i="1"/>
  <c r="M120" i="1" s="1"/>
  <c r="L119" i="1"/>
  <c r="M119" i="1" s="1"/>
  <c r="L118" i="1"/>
  <c r="M118" i="1" s="1"/>
  <c r="L117" i="1"/>
  <c r="M117" i="1" s="1"/>
  <c r="L116" i="1"/>
  <c r="M116" i="1" s="1"/>
  <c r="L115" i="1"/>
  <c r="M115" i="1" s="1"/>
  <c r="L114" i="1"/>
  <c r="M114" i="1" s="1"/>
  <c r="L113" i="1"/>
  <c r="M113" i="1" s="1"/>
  <c r="L112" i="1"/>
  <c r="M112" i="1" s="1"/>
  <c r="L111" i="1"/>
  <c r="M111" i="1" s="1"/>
  <c r="L110" i="1"/>
  <c r="M110" i="1" s="1"/>
  <c r="L109" i="1"/>
  <c r="M109" i="1" s="1"/>
  <c r="L108" i="1"/>
  <c r="M108" i="1" s="1"/>
  <c r="L107" i="1"/>
  <c r="M107" i="1" s="1"/>
  <c r="L106" i="1"/>
  <c r="M106" i="1" s="1"/>
  <c r="L105" i="1"/>
  <c r="M105" i="1" s="1"/>
  <c r="L104" i="1"/>
  <c r="M104" i="1" s="1"/>
  <c r="L103" i="1"/>
  <c r="M103" i="1" s="1"/>
  <c r="L102" i="1"/>
  <c r="M102" i="1" s="1"/>
  <c r="L101" i="1"/>
  <c r="M101" i="1" s="1"/>
  <c r="L100" i="1"/>
  <c r="M100" i="1" s="1"/>
  <c r="L99" i="1"/>
  <c r="M99" i="1" s="1"/>
  <c r="L98" i="1"/>
  <c r="M98" i="1" s="1"/>
  <c r="L97" i="1"/>
  <c r="M97" i="1" s="1"/>
  <c r="L96" i="1"/>
  <c r="M96" i="1" s="1"/>
  <c r="L95" i="1"/>
  <c r="M95" i="1" s="1"/>
  <c r="L94" i="1"/>
  <c r="M94" i="1" s="1"/>
  <c r="L93" i="1"/>
  <c r="M93" i="1" s="1"/>
  <c r="L92" i="1"/>
  <c r="M92" i="1" s="1"/>
  <c r="L91" i="1"/>
  <c r="M91" i="1" s="1"/>
  <c r="L90" i="1"/>
  <c r="M90" i="1" s="1"/>
  <c r="L89" i="1"/>
  <c r="M89" i="1" s="1"/>
  <c r="L88" i="1"/>
  <c r="M88" i="1" s="1"/>
  <c r="L87" i="1"/>
  <c r="M87" i="1" s="1"/>
  <c r="L86" i="1"/>
  <c r="M86" i="1" s="1"/>
  <c r="L85" i="1"/>
  <c r="M85" i="1" s="1"/>
  <c r="L84" i="1"/>
  <c r="M84" i="1" s="1"/>
  <c r="L83" i="1"/>
  <c r="M83" i="1" s="1"/>
  <c r="L82" i="1"/>
  <c r="M82" i="1" s="1"/>
  <c r="L81" i="1"/>
  <c r="M81" i="1" s="1"/>
  <c r="L80" i="1"/>
  <c r="M80" i="1" s="1"/>
  <c r="L79" i="1"/>
  <c r="M79" i="1" s="1"/>
  <c r="L78" i="1"/>
  <c r="M78" i="1" s="1"/>
  <c r="L77" i="1"/>
  <c r="M77" i="1" s="1"/>
  <c r="L76" i="1"/>
  <c r="M76" i="1" s="1"/>
  <c r="L75" i="1"/>
  <c r="M75" i="1" s="1"/>
  <c r="L74" i="1"/>
  <c r="M74" i="1" s="1"/>
  <c r="L73" i="1"/>
  <c r="M73" i="1" s="1"/>
  <c r="L72" i="1"/>
  <c r="M72" i="1" s="1"/>
  <c r="L71" i="1"/>
  <c r="M71" i="1" s="1"/>
  <c r="L70" i="1"/>
  <c r="M70" i="1" s="1"/>
  <c r="L69" i="1"/>
  <c r="M69" i="1" s="1"/>
  <c r="L68" i="1"/>
  <c r="M68" i="1" s="1"/>
  <c r="L67" i="1"/>
  <c r="M67" i="1" s="1"/>
  <c r="L66" i="1"/>
  <c r="M66" i="1" s="1"/>
  <c r="L65" i="1"/>
  <c r="M65" i="1" s="1"/>
  <c r="L64" i="1"/>
  <c r="M64" i="1" s="1"/>
  <c r="L63" i="1"/>
  <c r="M63" i="1" s="1"/>
  <c r="L62" i="1"/>
  <c r="M62" i="1" s="1"/>
  <c r="L61" i="1"/>
  <c r="M61" i="1" s="1"/>
  <c r="L60" i="1"/>
  <c r="M60" i="1" s="1"/>
  <c r="L59" i="1"/>
  <c r="M59" i="1" s="1"/>
  <c r="L58" i="1"/>
  <c r="M58" i="1" s="1"/>
  <c r="L57" i="1"/>
  <c r="M57" i="1" s="1"/>
  <c r="L56" i="1"/>
  <c r="M56" i="1" s="1"/>
  <c r="L55" i="1"/>
  <c r="M55" i="1" s="1"/>
  <c r="L54" i="1"/>
  <c r="M54" i="1" s="1"/>
  <c r="L53" i="1"/>
  <c r="M53" i="1" s="1"/>
  <c r="L52" i="1"/>
  <c r="M52" i="1" s="1"/>
  <c r="L51" i="1"/>
  <c r="M51" i="1" s="1"/>
  <c r="L50" i="1"/>
  <c r="M50" i="1" s="1"/>
  <c r="L49" i="1"/>
  <c r="M49" i="1" s="1"/>
  <c r="L48" i="1"/>
  <c r="M48" i="1" s="1"/>
  <c r="L47" i="1"/>
  <c r="M47" i="1" s="1"/>
  <c r="L46" i="1"/>
  <c r="M46" i="1" s="1"/>
  <c r="L45" i="1"/>
  <c r="M45" i="1" s="1"/>
  <c r="L44" i="1"/>
  <c r="M44" i="1" s="1"/>
  <c r="L43" i="1"/>
  <c r="M43" i="1" s="1"/>
  <c r="L42" i="1"/>
  <c r="M42" i="1" s="1"/>
  <c r="L41" i="1"/>
  <c r="M41" i="1" s="1"/>
  <c r="L40" i="1"/>
  <c r="M40" i="1" s="1"/>
  <c r="L39" i="1"/>
  <c r="M39" i="1" s="1"/>
  <c r="L38" i="1"/>
  <c r="M38" i="1" s="1"/>
  <c r="L37" i="1"/>
  <c r="M37" i="1" s="1"/>
  <c r="L36" i="1"/>
  <c r="M36" i="1" s="1"/>
  <c r="L35" i="1"/>
  <c r="M35" i="1" s="1"/>
  <c r="L34" i="1"/>
  <c r="M34" i="1" s="1"/>
  <c r="L33" i="1"/>
  <c r="M33" i="1" s="1"/>
  <c r="L32" i="1"/>
  <c r="M32" i="1" s="1"/>
  <c r="L31" i="1"/>
  <c r="M31" i="1" s="1"/>
  <c r="L30" i="1"/>
  <c r="M30" i="1" s="1"/>
  <c r="L29" i="1"/>
  <c r="M29" i="1" s="1"/>
  <c r="L28" i="1"/>
  <c r="M28" i="1" s="1"/>
  <c r="L27" i="1"/>
  <c r="M27" i="1" s="1"/>
  <c r="L26" i="1"/>
  <c r="M26" i="1" s="1"/>
  <c r="L25" i="1"/>
  <c r="M25" i="1" s="1"/>
  <c r="L24" i="1"/>
  <c r="M24" i="1" s="1"/>
  <c r="L23" i="1"/>
  <c r="M23" i="1" s="1"/>
  <c r="L22" i="1"/>
  <c r="M22" i="1" s="1"/>
  <c r="L21" i="1"/>
  <c r="M21" i="1" s="1"/>
  <c r="L20" i="1"/>
  <c r="M20" i="1" s="1"/>
  <c r="L19" i="1"/>
  <c r="M19" i="1" s="1"/>
  <c r="L18" i="1"/>
  <c r="M18" i="1" s="1"/>
  <c r="L17" i="1"/>
  <c r="M17" i="1" s="1"/>
  <c r="L16" i="1"/>
  <c r="M16" i="1" s="1"/>
  <c r="L15" i="1"/>
  <c r="M15" i="1" s="1"/>
  <c r="L14" i="1"/>
  <c r="M14" i="1" s="1"/>
  <c r="L13" i="1"/>
  <c r="M13" i="1" s="1"/>
  <c r="L12" i="1"/>
  <c r="M12" i="1" s="1"/>
  <c r="L11" i="1"/>
  <c r="M11" i="1" s="1"/>
  <c r="L10" i="1"/>
  <c r="M10" i="1" s="1"/>
  <c r="L9" i="1"/>
  <c r="M9" i="1" s="1"/>
  <c r="L8" i="1"/>
  <c r="M8" i="1" s="1"/>
  <c r="L7" i="1"/>
  <c r="M7" i="1" s="1"/>
  <c r="L6" i="1"/>
  <c r="M6" i="1" s="1"/>
  <c r="L5" i="1"/>
  <c r="M5" i="1" s="1"/>
  <c r="N67" i="1" l="1"/>
  <c r="O67" i="1"/>
  <c r="P67" i="1"/>
  <c r="N243" i="1"/>
  <c r="O243" i="1"/>
  <c r="P243" i="1"/>
  <c r="N371" i="1"/>
  <c r="P371" i="1"/>
  <c r="O371" i="1"/>
  <c r="O100" i="1"/>
  <c r="N100" i="1"/>
  <c r="P100" i="1"/>
  <c r="P164" i="1"/>
  <c r="N164" i="1"/>
  <c r="O164" i="1"/>
  <c r="O69" i="1"/>
  <c r="P69" i="1"/>
  <c r="N69" i="1"/>
  <c r="O197" i="1"/>
  <c r="N197" i="1"/>
  <c r="P197" i="1"/>
  <c r="N7" i="1"/>
  <c r="O7" i="1"/>
  <c r="P7" i="1"/>
  <c r="P135" i="1"/>
  <c r="N135" i="1"/>
  <c r="O135" i="1"/>
  <c r="N247" i="1"/>
  <c r="P247" i="1"/>
  <c r="O247" i="1"/>
  <c r="P27" i="1"/>
  <c r="O27" i="1"/>
  <c r="N27" i="1"/>
  <c r="O91" i="1"/>
  <c r="N91" i="1"/>
  <c r="P91" i="1"/>
  <c r="O107" i="1"/>
  <c r="P107" i="1"/>
  <c r="N107" i="1"/>
  <c r="P123" i="1"/>
  <c r="N123" i="1"/>
  <c r="O123" i="1"/>
  <c r="P139" i="1"/>
  <c r="O139" i="1"/>
  <c r="N139" i="1"/>
  <c r="O155" i="1"/>
  <c r="N155" i="1"/>
  <c r="P155" i="1"/>
  <c r="P171" i="1"/>
  <c r="O171" i="1"/>
  <c r="N171" i="1"/>
  <c r="P187" i="1"/>
  <c r="O187" i="1"/>
  <c r="N187" i="1"/>
  <c r="N203" i="1"/>
  <c r="P203" i="1"/>
  <c r="O203" i="1"/>
  <c r="O219" i="1"/>
  <c r="P219" i="1"/>
  <c r="N219" i="1"/>
  <c r="P235" i="1"/>
  <c r="O235" i="1"/>
  <c r="N235" i="1"/>
  <c r="O251" i="1"/>
  <c r="P251" i="1"/>
  <c r="N251" i="1"/>
  <c r="O267" i="1"/>
  <c r="P267" i="1"/>
  <c r="N267" i="1"/>
  <c r="O283" i="1"/>
  <c r="N283" i="1"/>
  <c r="P283" i="1"/>
  <c r="O299" i="1"/>
  <c r="N299" i="1"/>
  <c r="P299" i="1"/>
  <c r="O315" i="1"/>
  <c r="P315" i="1"/>
  <c r="N315" i="1"/>
  <c r="P331" i="1"/>
  <c r="N331" i="1"/>
  <c r="O331" i="1"/>
  <c r="P347" i="1"/>
  <c r="O347" i="1"/>
  <c r="N347" i="1"/>
  <c r="P363" i="1"/>
  <c r="N363" i="1"/>
  <c r="O363" i="1"/>
  <c r="P379" i="1"/>
  <c r="O379" i="1"/>
  <c r="N379" i="1"/>
  <c r="O395" i="1"/>
  <c r="P395" i="1"/>
  <c r="N395" i="1"/>
  <c r="P411" i="1"/>
  <c r="N411" i="1"/>
  <c r="O411" i="1"/>
  <c r="P427" i="1"/>
  <c r="N427" i="1"/>
  <c r="O427" i="1"/>
  <c r="O443" i="1"/>
  <c r="N443" i="1"/>
  <c r="P443" i="1"/>
  <c r="N459" i="1"/>
  <c r="P459" i="1"/>
  <c r="O459" i="1"/>
  <c r="O475" i="1"/>
  <c r="P475" i="1"/>
  <c r="N475" i="1"/>
  <c r="Q475" i="1" s="1"/>
  <c r="F473" i="13" s="1"/>
  <c r="N491" i="1"/>
  <c r="O491" i="1"/>
  <c r="P491" i="1"/>
  <c r="Q491" i="1"/>
  <c r="F489" i="13" s="1"/>
  <c r="O507" i="1"/>
  <c r="P507" i="1"/>
  <c r="N507" i="1"/>
  <c r="Q507" i="1" s="1"/>
  <c r="F505" i="13" s="1"/>
  <c r="F9" i="8"/>
  <c r="G9" i="8" s="1"/>
  <c r="F25" i="8"/>
  <c r="G25" i="8" s="1"/>
  <c r="F41" i="8"/>
  <c r="G41" i="8" s="1"/>
  <c r="F57" i="8"/>
  <c r="G57" i="8" s="1"/>
  <c r="F73" i="8"/>
  <c r="G73" i="8" s="1"/>
  <c r="F89" i="8"/>
  <c r="G89" i="8" s="1"/>
  <c r="F105" i="8"/>
  <c r="G105" i="8" s="1"/>
  <c r="F121" i="8"/>
  <c r="G121" i="8" s="1"/>
  <c r="F137" i="8"/>
  <c r="G137" i="8" s="1"/>
  <c r="F153" i="8"/>
  <c r="G153" i="8" s="1"/>
  <c r="F169" i="8"/>
  <c r="G169" i="8" s="1"/>
  <c r="F185" i="8"/>
  <c r="G185" i="8" s="1"/>
  <c r="F201" i="8"/>
  <c r="G201" i="8" s="1"/>
  <c r="F217" i="8"/>
  <c r="G217" i="8" s="1"/>
  <c r="F233" i="8"/>
  <c r="G233" i="8" s="1"/>
  <c r="F249" i="8"/>
  <c r="G249" i="8" s="1"/>
  <c r="F265" i="8"/>
  <c r="G265" i="8" s="1"/>
  <c r="F281" i="8"/>
  <c r="G281" i="8" s="1"/>
  <c r="F297" i="8"/>
  <c r="G297" i="8" s="1"/>
  <c r="F313" i="8"/>
  <c r="G313" i="8" s="1"/>
  <c r="F329" i="8"/>
  <c r="G329" i="8" s="1"/>
  <c r="F345" i="8"/>
  <c r="G345" i="8" s="1"/>
  <c r="F361" i="8"/>
  <c r="G361" i="8" s="1"/>
  <c r="F377" i="8"/>
  <c r="G377" i="8" s="1"/>
  <c r="F393" i="8"/>
  <c r="G393" i="8" s="1"/>
  <c r="F409" i="8"/>
  <c r="G409" i="8" s="1"/>
  <c r="F425" i="8"/>
  <c r="G425" i="8" s="1"/>
  <c r="F441" i="8"/>
  <c r="G441" i="8" s="1"/>
  <c r="F457" i="8"/>
  <c r="G457" i="8" s="1"/>
  <c r="F473" i="8"/>
  <c r="G473" i="8" s="1"/>
  <c r="F489" i="8"/>
  <c r="G489" i="8" s="1"/>
  <c r="F505" i="8"/>
  <c r="G505" i="8" s="1"/>
  <c r="F7" i="9"/>
  <c r="F23" i="9"/>
  <c r="F39" i="9"/>
  <c r="F55" i="9"/>
  <c r="F71" i="9"/>
  <c r="F87" i="9"/>
  <c r="F103" i="9"/>
  <c r="F119" i="9"/>
  <c r="F135" i="9"/>
  <c r="F151" i="9"/>
  <c r="F167" i="9"/>
  <c r="F183" i="9"/>
  <c r="F199" i="9"/>
  <c r="F215" i="9"/>
  <c r="F231" i="9"/>
  <c r="F247" i="9"/>
  <c r="F263" i="9"/>
  <c r="F279" i="9"/>
  <c r="F295" i="9"/>
  <c r="F311" i="9"/>
  <c r="F327" i="9"/>
  <c r="F343" i="9"/>
  <c r="F359" i="9"/>
  <c r="F375" i="9"/>
  <c r="F391" i="9"/>
  <c r="F407" i="9"/>
  <c r="F423" i="9"/>
  <c r="F439" i="9"/>
  <c r="F455" i="9"/>
  <c r="F471" i="9"/>
  <c r="F487" i="9"/>
  <c r="F503" i="9"/>
  <c r="P19" i="1"/>
  <c r="O19" i="1"/>
  <c r="N19" i="1"/>
  <c r="O259" i="1"/>
  <c r="P259" i="1"/>
  <c r="N259" i="1"/>
  <c r="N419" i="1"/>
  <c r="P419" i="1"/>
  <c r="O419" i="1"/>
  <c r="P5" i="1"/>
  <c r="O5" i="1"/>
  <c r="N5" i="1"/>
  <c r="O229" i="1"/>
  <c r="N229" i="1"/>
  <c r="P229" i="1"/>
  <c r="P167" i="1"/>
  <c r="O167" i="1"/>
  <c r="N167" i="1"/>
  <c r="P279" i="1"/>
  <c r="O279" i="1"/>
  <c r="N279" i="1"/>
  <c r="P76" i="1"/>
  <c r="N76" i="1"/>
  <c r="O76" i="1"/>
  <c r="P140" i="1"/>
  <c r="N140" i="1"/>
  <c r="O140" i="1"/>
  <c r="N204" i="1"/>
  <c r="P204" i="1"/>
  <c r="O204" i="1"/>
  <c r="P252" i="1"/>
  <c r="N252" i="1"/>
  <c r="O252" i="1"/>
  <c r="O300" i="1"/>
  <c r="N300" i="1"/>
  <c r="P300" i="1"/>
  <c r="N316" i="1"/>
  <c r="P316" i="1"/>
  <c r="O316" i="1"/>
  <c r="P332" i="1"/>
  <c r="N332" i="1"/>
  <c r="O332" i="1"/>
  <c r="P348" i="1"/>
  <c r="N348" i="1"/>
  <c r="O348" i="1"/>
  <c r="P364" i="1"/>
  <c r="O364" i="1"/>
  <c r="N364" i="1"/>
  <c r="Q364" i="1" s="1"/>
  <c r="F362" i="13" s="1"/>
  <c r="O380" i="1"/>
  <c r="P380" i="1"/>
  <c r="N380" i="1"/>
  <c r="O396" i="1"/>
  <c r="P396" i="1"/>
  <c r="N396" i="1"/>
  <c r="O412" i="1"/>
  <c r="P412" i="1"/>
  <c r="N412" i="1"/>
  <c r="O428" i="1"/>
  <c r="N428" i="1"/>
  <c r="P428" i="1"/>
  <c r="N444" i="1"/>
  <c r="O444" i="1"/>
  <c r="Q444" i="1" s="1"/>
  <c r="F442" i="13" s="1"/>
  <c r="P444" i="1"/>
  <c r="P460" i="1"/>
  <c r="O460" i="1"/>
  <c r="N460" i="1"/>
  <c r="Q460" i="1" s="1"/>
  <c r="F458" i="13" s="1"/>
  <c r="P476" i="1"/>
  <c r="O476" i="1"/>
  <c r="N476" i="1"/>
  <c r="Q476" i="1" s="1"/>
  <c r="F474" i="13" s="1"/>
  <c r="O492" i="1"/>
  <c r="N492" i="1"/>
  <c r="P492" i="1"/>
  <c r="P508" i="1"/>
  <c r="N508" i="1"/>
  <c r="Q508" i="1"/>
  <c r="F506" i="13" s="1"/>
  <c r="O508" i="1"/>
  <c r="F10" i="8"/>
  <c r="G10" i="8" s="1"/>
  <c r="F26" i="8"/>
  <c r="G26" i="8" s="1"/>
  <c r="F42" i="8"/>
  <c r="G42" i="8" s="1"/>
  <c r="F58" i="8"/>
  <c r="G58" i="8" s="1"/>
  <c r="F74" i="8"/>
  <c r="G74" i="8" s="1"/>
  <c r="F90" i="8"/>
  <c r="G90" i="8" s="1"/>
  <c r="F106" i="8"/>
  <c r="G106" i="8" s="1"/>
  <c r="F122" i="8"/>
  <c r="G122" i="8" s="1"/>
  <c r="F138" i="8"/>
  <c r="G138" i="8" s="1"/>
  <c r="F154" i="8"/>
  <c r="G154" i="8" s="1"/>
  <c r="F170" i="8"/>
  <c r="G170" i="8" s="1"/>
  <c r="F186" i="8"/>
  <c r="G186" i="8" s="1"/>
  <c r="F202" i="8"/>
  <c r="G202" i="8" s="1"/>
  <c r="F218" i="8"/>
  <c r="G218" i="8" s="1"/>
  <c r="F234" i="8"/>
  <c r="G234" i="8" s="1"/>
  <c r="F250" i="8"/>
  <c r="G250" i="8" s="1"/>
  <c r="F266" i="8"/>
  <c r="G266" i="8" s="1"/>
  <c r="F282" i="8"/>
  <c r="G282" i="8" s="1"/>
  <c r="F298" i="8"/>
  <c r="G298" i="8" s="1"/>
  <c r="F314" i="8"/>
  <c r="G314" i="8" s="1"/>
  <c r="F330" i="8"/>
  <c r="G330" i="8" s="1"/>
  <c r="F346" i="8"/>
  <c r="G346" i="8" s="1"/>
  <c r="F362" i="8"/>
  <c r="G362" i="8" s="1"/>
  <c r="F378" i="8"/>
  <c r="G378" i="8" s="1"/>
  <c r="F394" i="8"/>
  <c r="G394" i="8" s="1"/>
  <c r="F410" i="8"/>
  <c r="G410" i="8" s="1"/>
  <c r="F426" i="8"/>
  <c r="G426" i="8" s="1"/>
  <c r="F442" i="8"/>
  <c r="G442" i="8" s="1"/>
  <c r="F458" i="8"/>
  <c r="G458" i="8" s="1"/>
  <c r="F474" i="8"/>
  <c r="G474" i="8" s="1"/>
  <c r="F490" i="8"/>
  <c r="G490" i="8" s="1"/>
  <c r="F506" i="8"/>
  <c r="G506" i="8" s="1"/>
  <c r="F8" i="9"/>
  <c r="F24" i="9"/>
  <c r="F40" i="9"/>
  <c r="F56" i="9"/>
  <c r="F72" i="9"/>
  <c r="F88" i="9"/>
  <c r="F104" i="9"/>
  <c r="F120" i="9"/>
  <c r="F136" i="9"/>
  <c r="F152" i="9"/>
  <c r="F168" i="9"/>
  <c r="F184" i="9"/>
  <c r="F200" i="9"/>
  <c r="F216" i="9"/>
  <c r="F232" i="9"/>
  <c r="F248" i="9"/>
  <c r="F264" i="9"/>
  <c r="F280" i="9"/>
  <c r="F296" i="9"/>
  <c r="F312" i="9"/>
  <c r="F328" i="9"/>
  <c r="F344" i="9"/>
  <c r="F360" i="9"/>
  <c r="F376" i="9"/>
  <c r="F392" i="9"/>
  <c r="F408" i="9"/>
  <c r="F424" i="9"/>
  <c r="F440" i="9"/>
  <c r="F456" i="9"/>
  <c r="F472" i="9"/>
  <c r="F488" i="9"/>
  <c r="F504" i="9"/>
  <c r="O99" i="1"/>
  <c r="P99" i="1"/>
  <c r="N99" i="1"/>
  <c r="P227" i="1"/>
  <c r="N227" i="1"/>
  <c r="O227" i="1"/>
  <c r="N84" i="1"/>
  <c r="P84" i="1"/>
  <c r="O84" i="1"/>
  <c r="P212" i="1"/>
  <c r="O212" i="1"/>
  <c r="N212" i="1"/>
  <c r="P11" i="1"/>
  <c r="N11" i="1"/>
  <c r="O11" i="1"/>
  <c r="N28" i="1"/>
  <c r="O28" i="1"/>
  <c r="P28" i="1"/>
  <c r="O108" i="1"/>
  <c r="N108" i="1"/>
  <c r="P108" i="1"/>
  <c r="N284" i="1"/>
  <c r="P284" i="1"/>
  <c r="O284" i="1"/>
  <c r="P45" i="1"/>
  <c r="N45" i="1"/>
  <c r="O45" i="1"/>
  <c r="P125" i="1"/>
  <c r="O125" i="1"/>
  <c r="N125" i="1"/>
  <c r="N141" i="1"/>
  <c r="O141" i="1"/>
  <c r="P141" i="1"/>
  <c r="P157" i="1"/>
  <c r="N157" i="1"/>
  <c r="O157" i="1"/>
  <c r="P173" i="1"/>
  <c r="N173" i="1"/>
  <c r="O173" i="1"/>
  <c r="O189" i="1"/>
  <c r="P189" i="1"/>
  <c r="N189" i="1"/>
  <c r="N205" i="1"/>
  <c r="P205" i="1"/>
  <c r="O205" i="1"/>
  <c r="N221" i="1"/>
  <c r="P221" i="1"/>
  <c r="O221" i="1"/>
  <c r="N237" i="1"/>
  <c r="P237" i="1"/>
  <c r="O237" i="1"/>
  <c r="O253" i="1"/>
  <c r="P253" i="1"/>
  <c r="N253" i="1"/>
  <c r="P269" i="1"/>
  <c r="O269" i="1"/>
  <c r="N269" i="1"/>
  <c r="P285" i="1"/>
  <c r="O285" i="1"/>
  <c r="N285" i="1"/>
  <c r="N301" i="1"/>
  <c r="O301" i="1"/>
  <c r="P301" i="1"/>
  <c r="O317" i="1"/>
  <c r="N317" i="1"/>
  <c r="P317" i="1"/>
  <c r="P333" i="1"/>
  <c r="O333" i="1"/>
  <c r="N333" i="1"/>
  <c r="P349" i="1"/>
  <c r="O349" i="1"/>
  <c r="N349" i="1"/>
  <c r="P365" i="1"/>
  <c r="O365" i="1"/>
  <c r="N365" i="1"/>
  <c r="P381" i="1"/>
  <c r="O381" i="1"/>
  <c r="N381" i="1"/>
  <c r="O397" i="1"/>
  <c r="N397" i="1"/>
  <c r="P397" i="1"/>
  <c r="P413" i="1"/>
  <c r="O413" i="1"/>
  <c r="N413" i="1"/>
  <c r="N429" i="1"/>
  <c r="O429" i="1"/>
  <c r="P429" i="1"/>
  <c r="N445" i="1"/>
  <c r="O445" i="1"/>
  <c r="P445" i="1"/>
  <c r="P461" i="1"/>
  <c r="N461" i="1"/>
  <c r="Q461" i="1" s="1"/>
  <c r="F459" i="13" s="1"/>
  <c r="O461" i="1"/>
  <c r="P477" i="1"/>
  <c r="N477" i="1"/>
  <c r="O477" i="1"/>
  <c r="Q477" i="1"/>
  <c r="F475" i="13" s="1"/>
  <c r="N493" i="1"/>
  <c r="Q493" i="1" s="1"/>
  <c r="F491" i="13" s="1"/>
  <c r="O493" i="1"/>
  <c r="P493" i="1"/>
  <c r="P509" i="1"/>
  <c r="N509" i="1"/>
  <c r="O509" i="1"/>
  <c r="F11" i="8"/>
  <c r="G11" i="8" s="1"/>
  <c r="F27" i="8"/>
  <c r="G27" i="8" s="1"/>
  <c r="F43" i="8"/>
  <c r="G43" i="8" s="1"/>
  <c r="F59" i="8"/>
  <c r="G59" i="8" s="1"/>
  <c r="F75" i="8"/>
  <c r="G75" i="8" s="1"/>
  <c r="F91" i="8"/>
  <c r="G91" i="8" s="1"/>
  <c r="F107" i="8"/>
  <c r="G107" i="8" s="1"/>
  <c r="F123" i="8"/>
  <c r="G123" i="8" s="1"/>
  <c r="F139" i="8"/>
  <c r="G139" i="8" s="1"/>
  <c r="F155" i="8"/>
  <c r="G155" i="8" s="1"/>
  <c r="F171" i="8"/>
  <c r="G171" i="8" s="1"/>
  <c r="F187" i="8"/>
  <c r="G187" i="8" s="1"/>
  <c r="F203" i="8"/>
  <c r="G203" i="8" s="1"/>
  <c r="F219" i="8"/>
  <c r="G219" i="8" s="1"/>
  <c r="F235" i="8"/>
  <c r="G235" i="8" s="1"/>
  <c r="F251" i="8"/>
  <c r="G251" i="8" s="1"/>
  <c r="F267" i="8"/>
  <c r="G267" i="8" s="1"/>
  <c r="F283" i="8"/>
  <c r="G283" i="8" s="1"/>
  <c r="F299" i="8"/>
  <c r="G299" i="8" s="1"/>
  <c r="F315" i="8"/>
  <c r="G315" i="8" s="1"/>
  <c r="F331" i="8"/>
  <c r="G331" i="8" s="1"/>
  <c r="F347" i="8"/>
  <c r="G347" i="8" s="1"/>
  <c r="F363" i="8"/>
  <c r="G363" i="8" s="1"/>
  <c r="F379" i="8"/>
  <c r="G379" i="8" s="1"/>
  <c r="F395" i="8"/>
  <c r="G395" i="8" s="1"/>
  <c r="F411" i="8"/>
  <c r="G411" i="8" s="1"/>
  <c r="F427" i="8"/>
  <c r="G427" i="8" s="1"/>
  <c r="F443" i="8"/>
  <c r="G443" i="8" s="1"/>
  <c r="F459" i="8"/>
  <c r="G459" i="8" s="1"/>
  <c r="F475" i="8"/>
  <c r="G475" i="8" s="1"/>
  <c r="F491" i="8"/>
  <c r="G491" i="8" s="1"/>
  <c r="F507" i="8"/>
  <c r="G507" i="8" s="1"/>
  <c r="F9" i="9"/>
  <c r="F25" i="9"/>
  <c r="F41" i="9"/>
  <c r="F57" i="9"/>
  <c r="F73" i="9"/>
  <c r="F89" i="9"/>
  <c r="F105" i="9"/>
  <c r="F121" i="9"/>
  <c r="F137" i="9"/>
  <c r="F153" i="9"/>
  <c r="F169" i="9"/>
  <c r="F185" i="9"/>
  <c r="F201" i="9"/>
  <c r="F217" i="9"/>
  <c r="F233" i="9"/>
  <c r="F249" i="9"/>
  <c r="F265" i="9"/>
  <c r="F281" i="9"/>
  <c r="F297" i="9"/>
  <c r="F313" i="9"/>
  <c r="F329" i="9"/>
  <c r="F345" i="9"/>
  <c r="F361" i="9"/>
  <c r="F377" i="9"/>
  <c r="F393" i="9"/>
  <c r="F409" i="9"/>
  <c r="F425" i="9"/>
  <c r="F441" i="9"/>
  <c r="F457" i="9"/>
  <c r="F473" i="9"/>
  <c r="F489" i="9"/>
  <c r="F505" i="9"/>
  <c r="P35" i="1"/>
  <c r="N35" i="1"/>
  <c r="O35" i="1"/>
  <c r="O147" i="1"/>
  <c r="P147" i="1"/>
  <c r="N147" i="1"/>
  <c r="O323" i="1"/>
  <c r="N323" i="1"/>
  <c r="P323" i="1"/>
  <c r="N68" i="1"/>
  <c r="P68" i="1"/>
  <c r="O68" i="1"/>
  <c r="P181" i="1"/>
  <c r="N181" i="1"/>
  <c r="O181" i="1"/>
  <c r="O55" i="1"/>
  <c r="P55" i="1"/>
  <c r="N55" i="1"/>
  <c r="N231" i="1"/>
  <c r="O231" i="1"/>
  <c r="P231" i="1"/>
  <c r="P59" i="1"/>
  <c r="O59" i="1"/>
  <c r="N59" i="1"/>
  <c r="P12" i="1"/>
  <c r="N12" i="1"/>
  <c r="O12" i="1"/>
  <c r="O60" i="1"/>
  <c r="P60" i="1"/>
  <c r="N60" i="1"/>
  <c r="P172" i="1"/>
  <c r="N172" i="1"/>
  <c r="O172" i="1"/>
  <c r="P93" i="1"/>
  <c r="N93" i="1"/>
  <c r="O93" i="1"/>
  <c r="O14" i="1"/>
  <c r="P14" i="1"/>
  <c r="N14" i="1"/>
  <c r="O62" i="1"/>
  <c r="N62" i="1"/>
  <c r="P62" i="1"/>
  <c r="O78" i="1"/>
  <c r="P78" i="1"/>
  <c r="N78" i="1"/>
  <c r="N94" i="1"/>
  <c r="P94" i="1"/>
  <c r="O94" i="1"/>
  <c r="P110" i="1"/>
  <c r="O110" i="1"/>
  <c r="N110" i="1"/>
  <c r="P126" i="1"/>
  <c r="O126" i="1"/>
  <c r="N126" i="1"/>
  <c r="N142" i="1"/>
  <c r="P142" i="1"/>
  <c r="O142" i="1"/>
  <c r="P158" i="1"/>
  <c r="N158" i="1"/>
  <c r="O158" i="1"/>
  <c r="O174" i="1"/>
  <c r="N174" i="1"/>
  <c r="P174" i="1"/>
  <c r="O190" i="1"/>
  <c r="N190" i="1"/>
  <c r="P190" i="1"/>
  <c r="P206" i="1"/>
  <c r="O206" i="1"/>
  <c r="N206" i="1"/>
  <c r="N222" i="1"/>
  <c r="P222" i="1"/>
  <c r="O222" i="1"/>
  <c r="N238" i="1"/>
  <c r="O238" i="1"/>
  <c r="P238" i="1"/>
  <c r="P254" i="1"/>
  <c r="O254" i="1"/>
  <c r="N254" i="1"/>
  <c r="N270" i="1"/>
  <c r="O270" i="1"/>
  <c r="P270" i="1"/>
  <c r="N286" i="1"/>
  <c r="P286" i="1"/>
  <c r="O286" i="1"/>
  <c r="N302" i="1"/>
  <c r="O302" i="1"/>
  <c r="P302" i="1"/>
  <c r="O318" i="1"/>
  <c r="P318" i="1"/>
  <c r="N318" i="1"/>
  <c r="P334" i="1"/>
  <c r="N334" i="1"/>
  <c r="O334" i="1"/>
  <c r="N350" i="1"/>
  <c r="P350" i="1"/>
  <c r="O350" i="1"/>
  <c r="O366" i="1"/>
  <c r="N366" i="1"/>
  <c r="P366" i="1"/>
  <c r="P382" i="1"/>
  <c r="O382" i="1"/>
  <c r="N382" i="1"/>
  <c r="O398" i="1"/>
  <c r="N398" i="1"/>
  <c r="P398" i="1"/>
  <c r="N414" i="1"/>
  <c r="O414" i="1"/>
  <c r="P414" i="1"/>
  <c r="N430" i="1"/>
  <c r="P430" i="1"/>
  <c r="O430" i="1"/>
  <c r="P446" i="1"/>
  <c r="N446" i="1"/>
  <c r="O446" i="1"/>
  <c r="N462" i="1"/>
  <c r="P462" i="1"/>
  <c r="O462" i="1"/>
  <c r="Q462" i="1" s="1"/>
  <c r="F460" i="13" s="1"/>
  <c r="N478" i="1"/>
  <c r="P478" i="1"/>
  <c r="O478" i="1"/>
  <c r="N494" i="1"/>
  <c r="P494" i="1"/>
  <c r="O494" i="1"/>
  <c r="Q494" i="1" s="1"/>
  <c r="F492" i="13" s="1"/>
  <c r="N510" i="1"/>
  <c r="P510" i="1"/>
  <c r="O510" i="1"/>
  <c r="F12" i="8"/>
  <c r="G12" i="8" s="1"/>
  <c r="F28" i="8"/>
  <c r="G28" i="8" s="1"/>
  <c r="F44" i="8"/>
  <c r="G44" i="8" s="1"/>
  <c r="F60" i="8"/>
  <c r="G60" i="8" s="1"/>
  <c r="F76" i="8"/>
  <c r="G76" i="8" s="1"/>
  <c r="F92" i="8"/>
  <c r="G92" i="8" s="1"/>
  <c r="F108" i="8"/>
  <c r="G108" i="8" s="1"/>
  <c r="F124" i="8"/>
  <c r="G124" i="8" s="1"/>
  <c r="F140" i="8"/>
  <c r="G140" i="8" s="1"/>
  <c r="F156" i="8"/>
  <c r="G156" i="8" s="1"/>
  <c r="F172" i="8"/>
  <c r="G172" i="8" s="1"/>
  <c r="F188" i="8"/>
  <c r="G188" i="8" s="1"/>
  <c r="F204" i="8"/>
  <c r="G204" i="8" s="1"/>
  <c r="F220" i="8"/>
  <c r="G220" i="8" s="1"/>
  <c r="F236" i="8"/>
  <c r="G236" i="8" s="1"/>
  <c r="F252" i="8"/>
  <c r="G252" i="8" s="1"/>
  <c r="F268" i="8"/>
  <c r="G268" i="8" s="1"/>
  <c r="F284" i="8"/>
  <c r="G284" i="8" s="1"/>
  <c r="F300" i="8"/>
  <c r="G300" i="8" s="1"/>
  <c r="F316" i="8"/>
  <c r="G316" i="8" s="1"/>
  <c r="F332" i="8"/>
  <c r="G332" i="8" s="1"/>
  <c r="F348" i="8"/>
  <c r="G348" i="8" s="1"/>
  <c r="F364" i="8"/>
  <c r="G364" i="8" s="1"/>
  <c r="F380" i="8"/>
  <c r="G380" i="8" s="1"/>
  <c r="F396" i="8"/>
  <c r="G396" i="8" s="1"/>
  <c r="F412" i="8"/>
  <c r="G412" i="8" s="1"/>
  <c r="F428" i="8"/>
  <c r="G428" i="8" s="1"/>
  <c r="F444" i="8"/>
  <c r="G444" i="8" s="1"/>
  <c r="F460" i="8"/>
  <c r="G460" i="8" s="1"/>
  <c r="F476" i="8"/>
  <c r="G476" i="8" s="1"/>
  <c r="F492" i="8"/>
  <c r="G492" i="8" s="1"/>
  <c r="F508" i="8"/>
  <c r="G508" i="8" s="1"/>
  <c r="F10" i="9"/>
  <c r="F26" i="9"/>
  <c r="F42" i="9"/>
  <c r="F58" i="9"/>
  <c r="F74" i="9"/>
  <c r="F90" i="9"/>
  <c r="F106" i="9"/>
  <c r="F122" i="9"/>
  <c r="F138" i="9"/>
  <c r="F154" i="9"/>
  <c r="F170" i="9"/>
  <c r="F186" i="9"/>
  <c r="F202" i="9"/>
  <c r="F218" i="9"/>
  <c r="F234" i="9"/>
  <c r="F250" i="9"/>
  <c r="F266" i="9"/>
  <c r="F282" i="9"/>
  <c r="F298" i="9"/>
  <c r="F314" i="9"/>
  <c r="F330" i="9"/>
  <c r="F346" i="9"/>
  <c r="F362" i="9"/>
  <c r="F378" i="9"/>
  <c r="F394" i="9"/>
  <c r="F410" i="9"/>
  <c r="F426" i="9"/>
  <c r="F442" i="9"/>
  <c r="F458" i="9"/>
  <c r="F474" i="9"/>
  <c r="F490" i="9"/>
  <c r="F506" i="9"/>
  <c r="N51" i="1"/>
  <c r="P51" i="1"/>
  <c r="O51" i="1"/>
  <c r="O179" i="1"/>
  <c r="N179" i="1"/>
  <c r="P179" i="1"/>
  <c r="P387" i="1"/>
  <c r="O387" i="1"/>
  <c r="N387" i="1"/>
  <c r="N116" i="1"/>
  <c r="P116" i="1"/>
  <c r="O116" i="1"/>
  <c r="P196" i="1"/>
  <c r="N196" i="1"/>
  <c r="O196" i="1"/>
  <c r="O117" i="1"/>
  <c r="N117" i="1"/>
  <c r="P117" i="1"/>
  <c r="P23" i="1"/>
  <c r="O23" i="1"/>
  <c r="N23" i="1"/>
  <c r="N263" i="1"/>
  <c r="P263" i="1"/>
  <c r="O263" i="1"/>
  <c r="N75" i="1"/>
  <c r="P75" i="1"/>
  <c r="O75" i="1"/>
  <c r="O92" i="1"/>
  <c r="P92" i="1"/>
  <c r="N92" i="1"/>
  <c r="P220" i="1"/>
  <c r="O220" i="1"/>
  <c r="N220" i="1"/>
  <c r="N268" i="1"/>
  <c r="O268" i="1"/>
  <c r="P268" i="1"/>
  <c r="N13" i="1"/>
  <c r="P13" i="1"/>
  <c r="O13" i="1"/>
  <c r="P61" i="1"/>
  <c r="O61" i="1"/>
  <c r="N61" i="1"/>
  <c r="P109" i="1"/>
  <c r="O109" i="1"/>
  <c r="N109" i="1"/>
  <c r="O31" i="1"/>
  <c r="N31" i="1"/>
  <c r="P31" i="1"/>
  <c r="O47" i="1"/>
  <c r="N47" i="1"/>
  <c r="P47" i="1"/>
  <c r="P63" i="1"/>
  <c r="O63" i="1"/>
  <c r="N63" i="1"/>
  <c r="N79" i="1"/>
  <c r="P79" i="1"/>
  <c r="O79" i="1"/>
  <c r="P95" i="1"/>
  <c r="O95" i="1"/>
  <c r="N95" i="1"/>
  <c r="P111" i="1"/>
  <c r="O111" i="1"/>
  <c r="N111" i="1"/>
  <c r="O127" i="1"/>
  <c r="P127" i="1"/>
  <c r="N127" i="1"/>
  <c r="P143" i="1"/>
  <c r="N143" i="1"/>
  <c r="O143" i="1"/>
  <c r="O159" i="1"/>
  <c r="N159" i="1"/>
  <c r="P159" i="1"/>
  <c r="P175" i="1"/>
  <c r="O175" i="1"/>
  <c r="N175" i="1"/>
  <c r="P191" i="1"/>
  <c r="N191" i="1"/>
  <c r="O191" i="1"/>
  <c r="O207" i="1"/>
  <c r="N207" i="1"/>
  <c r="P207" i="1"/>
  <c r="P223" i="1"/>
  <c r="O223" i="1"/>
  <c r="N223" i="1"/>
  <c r="O239" i="1"/>
  <c r="P239" i="1"/>
  <c r="N239" i="1"/>
  <c r="N255" i="1"/>
  <c r="P255" i="1"/>
  <c r="O255" i="1"/>
  <c r="O271" i="1"/>
  <c r="P271" i="1"/>
  <c r="N271" i="1"/>
  <c r="N287" i="1"/>
  <c r="O287" i="1"/>
  <c r="P287" i="1"/>
  <c r="O303" i="1"/>
  <c r="N303" i="1"/>
  <c r="P303" i="1"/>
  <c r="O319" i="1"/>
  <c r="N319" i="1"/>
  <c r="P319" i="1"/>
  <c r="P335" i="1"/>
  <c r="N335" i="1"/>
  <c r="O335" i="1"/>
  <c r="N351" i="1"/>
  <c r="O351" i="1"/>
  <c r="P351" i="1"/>
  <c r="N367" i="1"/>
  <c r="O367" i="1"/>
  <c r="P367" i="1"/>
  <c r="O383" i="1"/>
  <c r="N383" i="1"/>
  <c r="P383" i="1"/>
  <c r="P399" i="1"/>
  <c r="O399" i="1"/>
  <c r="N399" i="1"/>
  <c r="P415" i="1"/>
  <c r="O415" i="1"/>
  <c r="N415" i="1"/>
  <c r="P431" i="1"/>
  <c r="N431" i="1"/>
  <c r="O431" i="1"/>
  <c r="N447" i="1"/>
  <c r="Q447" i="1" s="1"/>
  <c r="F445" i="13" s="1"/>
  <c r="P447" i="1"/>
  <c r="O447" i="1"/>
  <c r="N463" i="1"/>
  <c r="P463" i="1"/>
  <c r="O463" i="1"/>
  <c r="Q463" i="1" s="1"/>
  <c r="F461" i="13" s="1"/>
  <c r="P479" i="1"/>
  <c r="O479" i="1"/>
  <c r="N479" i="1"/>
  <c r="Q479" i="1" s="1"/>
  <c r="F477" i="13" s="1"/>
  <c r="O495" i="1"/>
  <c r="N495" i="1"/>
  <c r="Q495" i="1" s="1"/>
  <c r="F493" i="13" s="1"/>
  <c r="P495" i="1"/>
  <c r="P511" i="1"/>
  <c r="O511" i="1"/>
  <c r="N511" i="1"/>
  <c r="F13" i="8"/>
  <c r="G13" i="8" s="1"/>
  <c r="F29" i="8"/>
  <c r="G29" i="8" s="1"/>
  <c r="F45" i="8"/>
  <c r="G45" i="8" s="1"/>
  <c r="F61" i="8"/>
  <c r="G61" i="8" s="1"/>
  <c r="F77" i="8"/>
  <c r="G77" i="8" s="1"/>
  <c r="F93" i="8"/>
  <c r="G93" i="8" s="1"/>
  <c r="F109" i="8"/>
  <c r="G109" i="8" s="1"/>
  <c r="F125" i="8"/>
  <c r="G125" i="8" s="1"/>
  <c r="F141" i="8"/>
  <c r="G141" i="8" s="1"/>
  <c r="F157" i="8"/>
  <c r="G157" i="8" s="1"/>
  <c r="F173" i="8"/>
  <c r="G173" i="8" s="1"/>
  <c r="F189" i="8"/>
  <c r="G189" i="8" s="1"/>
  <c r="F205" i="8"/>
  <c r="G205" i="8" s="1"/>
  <c r="F221" i="8"/>
  <c r="G221" i="8" s="1"/>
  <c r="F237" i="8"/>
  <c r="G237" i="8" s="1"/>
  <c r="F253" i="8"/>
  <c r="G253" i="8" s="1"/>
  <c r="F269" i="8"/>
  <c r="G269" i="8" s="1"/>
  <c r="F285" i="8"/>
  <c r="G285" i="8" s="1"/>
  <c r="F301" i="8"/>
  <c r="G301" i="8" s="1"/>
  <c r="F317" i="8"/>
  <c r="G317" i="8" s="1"/>
  <c r="F333" i="8"/>
  <c r="G333" i="8" s="1"/>
  <c r="F349" i="8"/>
  <c r="G349" i="8" s="1"/>
  <c r="F365" i="8"/>
  <c r="G365" i="8" s="1"/>
  <c r="F381" i="8"/>
  <c r="G381" i="8" s="1"/>
  <c r="F397" i="8"/>
  <c r="G397" i="8" s="1"/>
  <c r="F413" i="8"/>
  <c r="G413" i="8" s="1"/>
  <c r="F429" i="8"/>
  <c r="G429" i="8" s="1"/>
  <c r="F445" i="8"/>
  <c r="G445" i="8" s="1"/>
  <c r="F461" i="8"/>
  <c r="G461" i="8" s="1"/>
  <c r="F477" i="8"/>
  <c r="G477" i="8" s="1"/>
  <c r="F493" i="8"/>
  <c r="G493" i="8" s="1"/>
  <c r="F509" i="8"/>
  <c r="G509" i="8" s="1"/>
  <c r="F11" i="9"/>
  <c r="F27" i="9"/>
  <c r="F43" i="9"/>
  <c r="F59" i="9"/>
  <c r="F75" i="9"/>
  <c r="F91" i="9"/>
  <c r="F107" i="9"/>
  <c r="F123" i="9"/>
  <c r="F139" i="9"/>
  <c r="F155" i="9"/>
  <c r="F171" i="9"/>
  <c r="F187" i="9"/>
  <c r="F203" i="9"/>
  <c r="F219" i="9"/>
  <c r="F235" i="9"/>
  <c r="F251" i="9"/>
  <c r="F267" i="9"/>
  <c r="F283" i="9"/>
  <c r="F299" i="9"/>
  <c r="F315" i="9"/>
  <c r="F331" i="9"/>
  <c r="F347" i="9"/>
  <c r="F363" i="9"/>
  <c r="F379" i="9"/>
  <c r="F395" i="9"/>
  <c r="F411" i="9"/>
  <c r="F427" i="9"/>
  <c r="F443" i="9"/>
  <c r="F459" i="9"/>
  <c r="F475" i="9"/>
  <c r="F491" i="9"/>
  <c r="F507" i="9"/>
  <c r="P149" i="1"/>
  <c r="O149" i="1"/>
  <c r="N149" i="1"/>
  <c r="O39" i="1"/>
  <c r="N39" i="1"/>
  <c r="P39" i="1"/>
  <c r="P103" i="1"/>
  <c r="O103" i="1"/>
  <c r="N103" i="1"/>
  <c r="P215" i="1"/>
  <c r="N215" i="1"/>
  <c r="O215" i="1"/>
  <c r="N295" i="1"/>
  <c r="P295" i="1"/>
  <c r="O295" i="1"/>
  <c r="P43" i="1"/>
  <c r="N43" i="1"/>
  <c r="O43" i="1"/>
  <c r="O124" i="1"/>
  <c r="N124" i="1"/>
  <c r="P124" i="1"/>
  <c r="O188" i="1"/>
  <c r="P188" i="1"/>
  <c r="N188" i="1"/>
  <c r="O29" i="1"/>
  <c r="N29" i="1"/>
  <c r="P29" i="1"/>
  <c r="P30" i="1"/>
  <c r="O30" i="1"/>
  <c r="N30" i="1"/>
  <c r="P15" i="1"/>
  <c r="O15" i="1"/>
  <c r="N15" i="1"/>
  <c r="N32" i="1"/>
  <c r="O32" i="1"/>
  <c r="P32" i="1"/>
  <c r="P64" i="1"/>
  <c r="N64" i="1"/>
  <c r="O64" i="1"/>
  <c r="O112" i="1"/>
  <c r="P112" i="1"/>
  <c r="N112" i="1"/>
  <c r="O128" i="1"/>
  <c r="N128" i="1"/>
  <c r="P128" i="1"/>
  <c r="N160" i="1"/>
  <c r="O160" i="1"/>
  <c r="P160" i="1"/>
  <c r="O192" i="1"/>
  <c r="N192" i="1"/>
  <c r="P192" i="1"/>
  <c r="N208" i="1"/>
  <c r="O208" i="1"/>
  <c r="P208" i="1"/>
  <c r="P224" i="1"/>
  <c r="O224" i="1"/>
  <c r="N224" i="1"/>
  <c r="P240" i="1"/>
  <c r="O240" i="1"/>
  <c r="N240" i="1"/>
  <c r="P256" i="1"/>
  <c r="N256" i="1"/>
  <c r="O256" i="1"/>
  <c r="P272" i="1"/>
  <c r="O272" i="1"/>
  <c r="N272" i="1"/>
  <c r="P288" i="1"/>
  <c r="O288" i="1"/>
  <c r="N288" i="1"/>
  <c r="N304" i="1"/>
  <c r="P304" i="1"/>
  <c r="O304" i="1"/>
  <c r="O320" i="1"/>
  <c r="N320" i="1"/>
  <c r="P320" i="1"/>
  <c r="P336" i="1"/>
  <c r="O336" i="1"/>
  <c r="N336" i="1"/>
  <c r="N352" i="1"/>
  <c r="O352" i="1"/>
  <c r="P352" i="1"/>
  <c r="N368" i="1"/>
  <c r="O368" i="1"/>
  <c r="P368" i="1"/>
  <c r="P384" i="1"/>
  <c r="O384" i="1"/>
  <c r="N384" i="1"/>
  <c r="O400" i="1"/>
  <c r="N400" i="1"/>
  <c r="P400" i="1"/>
  <c r="P416" i="1"/>
  <c r="O416" i="1"/>
  <c r="N416" i="1"/>
  <c r="O432" i="1"/>
  <c r="N432" i="1"/>
  <c r="P432" i="1"/>
  <c r="N448" i="1"/>
  <c r="Q448" i="1" s="1"/>
  <c r="F446" i="13" s="1"/>
  <c r="O448" i="1"/>
  <c r="P448" i="1"/>
  <c r="P464" i="1"/>
  <c r="N464" i="1"/>
  <c r="O464" i="1"/>
  <c r="N480" i="1"/>
  <c r="P480" i="1"/>
  <c r="O480" i="1"/>
  <c r="Q480" i="1" s="1"/>
  <c r="F478" i="13" s="1"/>
  <c r="N496" i="1"/>
  <c r="O496" i="1"/>
  <c r="P496" i="1"/>
  <c r="P512" i="1"/>
  <c r="O512" i="1"/>
  <c r="N512" i="1"/>
  <c r="Q512" i="1"/>
  <c r="F510" i="13" s="1"/>
  <c r="F14" i="8"/>
  <c r="G14" i="8" s="1"/>
  <c r="F30" i="8"/>
  <c r="G30" i="8" s="1"/>
  <c r="F46" i="8"/>
  <c r="G46" i="8" s="1"/>
  <c r="F62" i="8"/>
  <c r="G62" i="8" s="1"/>
  <c r="F78" i="8"/>
  <c r="G78" i="8" s="1"/>
  <c r="F94" i="8"/>
  <c r="G94" i="8" s="1"/>
  <c r="F110" i="8"/>
  <c r="G110" i="8" s="1"/>
  <c r="F126" i="8"/>
  <c r="G126" i="8" s="1"/>
  <c r="F142" i="8"/>
  <c r="G142" i="8" s="1"/>
  <c r="F158" i="8"/>
  <c r="G158" i="8" s="1"/>
  <c r="F174" i="8"/>
  <c r="G174" i="8" s="1"/>
  <c r="F190" i="8"/>
  <c r="G190" i="8" s="1"/>
  <c r="F206" i="8"/>
  <c r="G206" i="8" s="1"/>
  <c r="F222" i="8"/>
  <c r="G222" i="8" s="1"/>
  <c r="F238" i="8"/>
  <c r="G238" i="8" s="1"/>
  <c r="F254" i="8"/>
  <c r="G254" i="8" s="1"/>
  <c r="F270" i="8"/>
  <c r="G270" i="8" s="1"/>
  <c r="F286" i="8"/>
  <c r="G286" i="8" s="1"/>
  <c r="F302" i="8"/>
  <c r="G302" i="8" s="1"/>
  <c r="F318" i="8"/>
  <c r="G318" i="8" s="1"/>
  <c r="F334" i="8"/>
  <c r="G334" i="8" s="1"/>
  <c r="F350" i="8"/>
  <c r="G350" i="8" s="1"/>
  <c r="F366" i="8"/>
  <c r="G366" i="8" s="1"/>
  <c r="F382" i="8"/>
  <c r="G382" i="8" s="1"/>
  <c r="F398" i="8"/>
  <c r="G398" i="8" s="1"/>
  <c r="F414" i="8"/>
  <c r="G414" i="8" s="1"/>
  <c r="F430" i="8"/>
  <c r="G430" i="8" s="1"/>
  <c r="F446" i="8"/>
  <c r="G446" i="8" s="1"/>
  <c r="F462" i="8"/>
  <c r="G462" i="8" s="1"/>
  <c r="F478" i="8"/>
  <c r="G478" i="8" s="1"/>
  <c r="F494" i="8"/>
  <c r="G494" i="8" s="1"/>
  <c r="F510" i="8"/>
  <c r="G510" i="8" s="1"/>
  <c r="F12" i="9"/>
  <c r="F28" i="9"/>
  <c r="F44" i="9"/>
  <c r="F60" i="9"/>
  <c r="F76" i="9"/>
  <c r="F92" i="9"/>
  <c r="F108" i="9"/>
  <c r="F124" i="9"/>
  <c r="F140" i="9"/>
  <c r="F156" i="9"/>
  <c r="F172" i="9"/>
  <c r="F188" i="9"/>
  <c r="F204" i="9"/>
  <c r="F220" i="9"/>
  <c r="F236" i="9"/>
  <c r="F252" i="9"/>
  <c r="F268" i="9"/>
  <c r="F284" i="9"/>
  <c r="F300" i="9"/>
  <c r="F316" i="9"/>
  <c r="F332" i="9"/>
  <c r="F348" i="9"/>
  <c r="F364" i="9"/>
  <c r="F380" i="9"/>
  <c r="F396" i="9"/>
  <c r="F412" i="9"/>
  <c r="F428" i="9"/>
  <c r="F444" i="9"/>
  <c r="F460" i="9"/>
  <c r="F476" i="9"/>
  <c r="F492" i="9"/>
  <c r="F508" i="9"/>
  <c r="O44" i="1"/>
  <c r="P44" i="1"/>
  <c r="N44" i="1"/>
  <c r="P156" i="1"/>
  <c r="O156" i="1"/>
  <c r="N156" i="1"/>
  <c r="P236" i="1"/>
  <c r="N236" i="1"/>
  <c r="O236" i="1"/>
  <c r="P77" i="1"/>
  <c r="O77" i="1"/>
  <c r="N77" i="1"/>
  <c r="P46" i="1"/>
  <c r="N46" i="1"/>
  <c r="O46" i="1"/>
  <c r="P16" i="1"/>
  <c r="O16" i="1"/>
  <c r="N16" i="1"/>
  <c r="N48" i="1"/>
  <c r="O48" i="1"/>
  <c r="P48" i="1"/>
  <c r="P80" i="1"/>
  <c r="O80" i="1"/>
  <c r="N80" i="1"/>
  <c r="P96" i="1"/>
  <c r="O96" i="1"/>
  <c r="N96" i="1"/>
  <c r="P144" i="1"/>
  <c r="O144" i="1"/>
  <c r="N144" i="1"/>
  <c r="N176" i="1"/>
  <c r="O176" i="1"/>
  <c r="P176" i="1"/>
  <c r="O17" i="1"/>
  <c r="N17" i="1"/>
  <c r="P17" i="1"/>
  <c r="P33" i="1"/>
  <c r="N33" i="1"/>
  <c r="O33" i="1"/>
  <c r="O49" i="1"/>
  <c r="N49" i="1"/>
  <c r="P49" i="1"/>
  <c r="N65" i="1"/>
  <c r="P65" i="1"/>
  <c r="O65" i="1"/>
  <c r="N81" i="1"/>
  <c r="O81" i="1"/>
  <c r="P81" i="1"/>
  <c r="P97" i="1"/>
  <c r="O97" i="1"/>
  <c r="N97" i="1"/>
  <c r="N113" i="1"/>
  <c r="O113" i="1"/>
  <c r="P113" i="1"/>
  <c r="P129" i="1"/>
  <c r="N129" i="1"/>
  <c r="O129" i="1"/>
  <c r="O145" i="1"/>
  <c r="N145" i="1"/>
  <c r="P145" i="1"/>
  <c r="O161" i="1"/>
  <c r="N161" i="1"/>
  <c r="P161" i="1"/>
  <c r="N177" i="1"/>
  <c r="O177" i="1"/>
  <c r="P177" i="1"/>
  <c r="P193" i="1"/>
  <c r="O193" i="1"/>
  <c r="N193" i="1"/>
  <c r="P209" i="1"/>
  <c r="O209" i="1"/>
  <c r="N209" i="1"/>
  <c r="P225" i="1"/>
  <c r="O225" i="1"/>
  <c r="N225" i="1"/>
  <c r="O241" i="1"/>
  <c r="P241" i="1"/>
  <c r="N241" i="1"/>
  <c r="P257" i="1"/>
  <c r="O257" i="1"/>
  <c r="N257" i="1"/>
  <c r="O273" i="1"/>
  <c r="P273" i="1"/>
  <c r="N273" i="1"/>
  <c r="P289" i="1"/>
  <c r="O289" i="1"/>
  <c r="N289" i="1"/>
  <c r="N305" i="1"/>
  <c r="O305" i="1"/>
  <c r="P305" i="1"/>
  <c r="N321" i="1"/>
  <c r="P321" i="1"/>
  <c r="O321" i="1"/>
  <c r="O337" i="1"/>
  <c r="N337" i="1"/>
  <c r="P337" i="1"/>
  <c r="N353" i="1"/>
  <c r="P353" i="1"/>
  <c r="O353" i="1"/>
  <c r="O369" i="1"/>
  <c r="N369" i="1"/>
  <c r="P369" i="1"/>
  <c r="P385" i="1"/>
  <c r="N385" i="1"/>
  <c r="O385" i="1"/>
  <c r="N401" i="1"/>
  <c r="P401" i="1"/>
  <c r="O401" i="1"/>
  <c r="O417" i="1"/>
  <c r="P417" i="1"/>
  <c r="N417" i="1"/>
  <c r="O433" i="1"/>
  <c r="P433" i="1"/>
  <c r="N433" i="1"/>
  <c r="P449" i="1"/>
  <c r="N449" i="1"/>
  <c r="Q449" i="1" s="1"/>
  <c r="F447" i="13" s="1"/>
  <c r="O449" i="1"/>
  <c r="O465" i="1"/>
  <c r="N465" i="1"/>
  <c r="P465" i="1"/>
  <c r="Q465" i="1"/>
  <c r="F463" i="13" s="1"/>
  <c r="N481" i="1"/>
  <c r="Q481" i="1" s="1"/>
  <c r="F479" i="13" s="1"/>
  <c r="P481" i="1"/>
  <c r="O481" i="1"/>
  <c r="P497" i="1"/>
  <c r="O497" i="1"/>
  <c r="N497" i="1"/>
  <c r="O513" i="1"/>
  <c r="P513" i="1"/>
  <c r="N513" i="1"/>
  <c r="F15" i="8"/>
  <c r="G15" i="8" s="1"/>
  <c r="F31" i="8"/>
  <c r="G31" i="8" s="1"/>
  <c r="F47" i="8"/>
  <c r="G47" i="8" s="1"/>
  <c r="F63" i="8"/>
  <c r="G63" i="8" s="1"/>
  <c r="F79" i="8"/>
  <c r="G79" i="8" s="1"/>
  <c r="F95" i="8"/>
  <c r="G95" i="8" s="1"/>
  <c r="F111" i="8"/>
  <c r="G111" i="8" s="1"/>
  <c r="F127" i="8"/>
  <c r="G127" i="8" s="1"/>
  <c r="F143" i="8"/>
  <c r="G143" i="8" s="1"/>
  <c r="F159" i="8"/>
  <c r="G159" i="8" s="1"/>
  <c r="F175" i="8"/>
  <c r="G175" i="8" s="1"/>
  <c r="F191" i="8"/>
  <c r="G191" i="8" s="1"/>
  <c r="F207" i="8"/>
  <c r="G207" i="8" s="1"/>
  <c r="F223" i="8"/>
  <c r="G223" i="8" s="1"/>
  <c r="F239" i="8"/>
  <c r="G239" i="8" s="1"/>
  <c r="F255" i="8"/>
  <c r="G255" i="8" s="1"/>
  <c r="F271" i="8"/>
  <c r="G271" i="8" s="1"/>
  <c r="F287" i="8"/>
  <c r="G287" i="8" s="1"/>
  <c r="F303" i="8"/>
  <c r="G303" i="8" s="1"/>
  <c r="F319" i="8"/>
  <c r="G319" i="8" s="1"/>
  <c r="F335" i="8"/>
  <c r="G335" i="8" s="1"/>
  <c r="F351" i="8"/>
  <c r="G351" i="8" s="1"/>
  <c r="F367" i="8"/>
  <c r="G367" i="8" s="1"/>
  <c r="F383" i="8"/>
  <c r="G383" i="8" s="1"/>
  <c r="F399" i="8"/>
  <c r="G399" i="8" s="1"/>
  <c r="F415" i="8"/>
  <c r="G415" i="8" s="1"/>
  <c r="F431" i="8"/>
  <c r="G431" i="8" s="1"/>
  <c r="F447" i="8"/>
  <c r="G447" i="8" s="1"/>
  <c r="F463" i="8"/>
  <c r="G463" i="8" s="1"/>
  <c r="F479" i="8"/>
  <c r="G479" i="8" s="1"/>
  <c r="F495" i="8"/>
  <c r="G495" i="8" s="1"/>
  <c r="F511" i="8"/>
  <c r="G511" i="8" s="1"/>
  <c r="F13" i="9"/>
  <c r="F29" i="9"/>
  <c r="F45" i="9"/>
  <c r="F61" i="9"/>
  <c r="F77" i="9"/>
  <c r="F93" i="9"/>
  <c r="F109" i="9"/>
  <c r="F125" i="9"/>
  <c r="F141" i="9"/>
  <c r="F157" i="9"/>
  <c r="F173" i="9"/>
  <c r="F189" i="9"/>
  <c r="F205" i="9"/>
  <c r="F221" i="9"/>
  <c r="F237" i="9"/>
  <c r="F253" i="9"/>
  <c r="F269" i="9"/>
  <c r="F285" i="9"/>
  <c r="F301" i="9"/>
  <c r="F317" i="9"/>
  <c r="F333" i="9"/>
  <c r="F349" i="9"/>
  <c r="F365" i="9"/>
  <c r="F381" i="9"/>
  <c r="F397" i="9"/>
  <c r="F413" i="9"/>
  <c r="F429" i="9"/>
  <c r="F445" i="9"/>
  <c r="F461" i="9"/>
  <c r="F477" i="9"/>
  <c r="F493" i="9"/>
  <c r="F509" i="9"/>
  <c r="O83" i="1"/>
  <c r="P83" i="1"/>
  <c r="N83" i="1"/>
  <c r="P18" i="1"/>
  <c r="O18" i="1"/>
  <c r="N18" i="1"/>
  <c r="N34" i="1"/>
  <c r="P34" i="1"/>
  <c r="O34" i="1"/>
  <c r="O50" i="1"/>
  <c r="P50" i="1"/>
  <c r="N50" i="1"/>
  <c r="N66" i="1"/>
  <c r="P66" i="1"/>
  <c r="O66" i="1"/>
  <c r="N82" i="1"/>
  <c r="O82" i="1"/>
  <c r="P82" i="1"/>
  <c r="O98" i="1"/>
  <c r="P98" i="1"/>
  <c r="N98" i="1"/>
  <c r="N114" i="1"/>
  <c r="P114" i="1"/>
  <c r="O114" i="1"/>
  <c r="O130" i="1"/>
  <c r="N130" i="1"/>
  <c r="P130" i="1"/>
  <c r="P146" i="1"/>
  <c r="O146" i="1"/>
  <c r="N146" i="1"/>
  <c r="P162" i="1"/>
  <c r="N162" i="1"/>
  <c r="O162" i="1"/>
  <c r="P178" i="1"/>
  <c r="N178" i="1"/>
  <c r="O178" i="1"/>
  <c r="P194" i="1"/>
  <c r="O194" i="1"/>
  <c r="N194" i="1"/>
  <c r="P210" i="1"/>
  <c r="N210" i="1"/>
  <c r="O210" i="1"/>
  <c r="P226" i="1"/>
  <c r="O226" i="1"/>
  <c r="N226" i="1"/>
  <c r="P242" i="1"/>
  <c r="N242" i="1"/>
  <c r="O242" i="1"/>
  <c r="P258" i="1"/>
  <c r="O258" i="1"/>
  <c r="N258" i="1"/>
  <c r="P274" i="1"/>
  <c r="N274" i="1"/>
  <c r="O274" i="1"/>
  <c r="P290" i="1"/>
  <c r="N290" i="1"/>
  <c r="O290" i="1"/>
  <c r="N306" i="1"/>
  <c r="P306" i="1"/>
  <c r="O306" i="1"/>
  <c r="N322" i="1"/>
  <c r="O322" i="1"/>
  <c r="P322" i="1"/>
  <c r="N338" i="1"/>
  <c r="P338" i="1"/>
  <c r="O338" i="1"/>
  <c r="O354" i="1"/>
  <c r="P354" i="1"/>
  <c r="N354" i="1"/>
  <c r="N370" i="1"/>
  <c r="P370" i="1"/>
  <c r="O370" i="1"/>
  <c r="P386" i="1"/>
  <c r="O386" i="1"/>
  <c r="N386" i="1"/>
  <c r="N402" i="1"/>
  <c r="P402" i="1"/>
  <c r="O402" i="1"/>
  <c r="O418" i="1"/>
  <c r="P418" i="1"/>
  <c r="N418" i="1"/>
  <c r="P434" i="1"/>
  <c r="O434" i="1"/>
  <c r="N434" i="1"/>
  <c r="O450" i="1"/>
  <c r="Q450" i="1" s="1"/>
  <c r="F448" i="13" s="1"/>
  <c r="N450" i="1"/>
  <c r="P450" i="1"/>
  <c r="O466" i="1"/>
  <c r="N466" i="1"/>
  <c r="Q466" i="1"/>
  <c r="F464" i="13" s="1"/>
  <c r="P466" i="1"/>
  <c r="N482" i="1"/>
  <c r="Q482" i="1" s="1"/>
  <c r="F480" i="13" s="1"/>
  <c r="O482" i="1"/>
  <c r="P482" i="1"/>
  <c r="N498" i="1"/>
  <c r="O498" i="1"/>
  <c r="P498" i="1"/>
  <c r="Q498" i="1" s="1"/>
  <c r="F496" i="13" s="1"/>
  <c r="P514" i="1"/>
  <c r="O514" i="1"/>
  <c r="N514" i="1"/>
  <c r="Q514" i="1" s="1"/>
  <c r="F512" i="13" s="1"/>
  <c r="F16" i="8"/>
  <c r="G16" i="8" s="1"/>
  <c r="F32" i="8"/>
  <c r="G32" i="8" s="1"/>
  <c r="F48" i="8"/>
  <c r="G48" i="8" s="1"/>
  <c r="F64" i="8"/>
  <c r="G64" i="8" s="1"/>
  <c r="F80" i="8"/>
  <c r="G80" i="8" s="1"/>
  <c r="F96" i="8"/>
  <c r="G96" i="8" s="1"/>
  <c r="F112" i="8"/>
  <c r="G112" i="8" s="1"/>
  <c r="F128" i="8"/>
  <c r="G128" i="8" s="1"/>
  <c r="F144" i="8"/>
  <c r="G144" i="8" s="1"/>
  <c r="F160" i="8"/>
  <c r="G160" i="8" s="1"/>
  <c r="F176" i="8"/>
  <c r="G176" i="8" s="1"/>
  <c r="F192" i="8"/>
  <c r="G192" i="8" s="1"/>
  <c r="F208" i="8"/>
  <c r="G208" i="8" s="1"/>
  <c r="F224" i="8"/>
  <c r="G224" i="8" s="1"/>
  <c r="F240" i="8"/>
  <c r="G240" i="8" s="1"/>
  <c r="F256" i="8"/>
  <c r="G256" i="8" s="1"/>
  <c r="F272" i="8"/>
  <c r="G272" i="8" s="1"/>
  <c r="F288" i="8"/>
  <c r="G288" i="8" s="1"/>
  <c r="F304" i="8"/>
  <c r="G304" i="8" s="1"/>
  <c r="F320" i="8"/>
  <c r="G320" i="8" s="1"/>
  <c r="F336" i="8"/>
  <c r="G336" i="8" s="1"/>
  <c r="F352" i="8"/>
  <c r="G352" i="8" s="1"/>
  <c r="F368" i="8"/>
  <c r="G368" i="8" s="1"/>
  <c r="F384" i="8"/>
  <c r="G384" i="8" s="1"/>
  <c r="F400" i="8"/>
  <c r="G400" i="8" s="1"/>
  <c r="F416" i="8"/>
  <c r="G416" i="8" s="1"/>
  <c r="F432" i="8"/>
  <c r="G432" i="8" s="1"/>
  <c r="F448" i="8"/>
  <c r="G448" i="8" s="1"/>
  <c r="F464" i="8"/>
  <c r="G464" i="8" s="1"/>
  <c r="F480" i="8"/>
  <c r="G480" i="8" s="1"/>
  <c r="F496" i="8"/>
  <c r="G496" i="8" s="1"/>
  <c r="F512" i="8"/>
  <c r="G512" i="8" s="1"/>
  <c r="F14" i="9"/>
  <c r="F30" i="9"/>
  <c r="F46" i="9"/>
  <c r="F62" i="9"/>
  <c r="F78" i="9"/>
  <c r="F94" i="9"/>
  <c r="F110" i="9"/>
  <c r="F126" i="9"/>
  <c r="F142" i="9"/>
  <c r="F158" i="9"/>
  <c r="F174" i="9"/>
  <c r="F190" i="9"/>
  <c r="F206" i="9"/>
  <c r="F222" i="9"/>
  <c r="F238" i="9"/>
  <c r="F254" i="9"/>
  <c r="F270" i="9"/>
  <c r="F286" i="9"/>
  <c r="F302" i="9"/>
  <c r="F318" i="9"/>
  <c r="F334" i="9"/>
  <c r="F350" i="9"/>
  <c r="F366" i="9"/>
  <c r="F382" i="9"/>
  <c r="F398" i="9"/>
  <c r="F414" i="9"/>
  <c r="F430" i="9"/>
  <c r="F446" i="9"/>
  <c r="F462" i="9"/>
  <c r="F478" i="9"/>
  <c r="F494" i="9"/>
  <c r="F510" i="9"/>
  <c r="N435" i="1"/>
  <c r="P435" i="1"/>
  <c r="O435" i="1"/>
  <c r="P451" i="1"/>
  <c r="Q451" i="1" s="1"/>
  <c r="F449" i="13" s="1"/>
  <c r="O451" i="1"/>
  <c r="N451" i="1"/>
  <c r="O467" i="1"/>
  <c r="P467" i="1"/>
  <c r="N467" i="1"/>
  <c r="Q467" i="1"/>
  <c r="F465" i="13" s="1"/>
  <c r="P483" i="1"/>
  <c r="O483" i="1"/>
  <c r="N483" i="1"/>
  <c r="Q483" i="1" s="1"/>
  <c r="F481" i="13" s="1"/>
  <c r="N499" i="1"/>
  <c r="P499" i="1"/>
  <c r="O499" i="1"/>
  <c r="Q499" i="1"/>
  <c r="F497" i="13" s="1"/>
  <c r="N515" i="1"/>
  <c r="Q515" i="1" s="1"/>
  <c r="F513" i="13" s="1"/>
  <c r="P515" i="1"/>
  <c r="O515" i="1"/>
  <c r="F17" i="8"/>
  <c r="G17" i="8" s="1"/>
  <c r="F33" i="8"/>
  <c r="G33" i="8" s="1"/>
  <c r="F49" i="8"/>
  <c r="G49" i="8" s="1"/>
  <c r="F65" i="8"/>
  <c r="G65" i="8" s="1"/>
  <c r="F81" i="8"/>
  <c r="G81" i="8" s="1"/>
  <c r="F97" i="8"/>
  <c r="G97" i="8" s="1"/>
  <c r="F113" i="8"/>
  <c r="G113" i="8" s="1"/>
  <c r="F129" i="8"/>
  <c r="G129" i="8" s="1"/>
  <c r="F145" i="8"/>
  <c r="G145" i="8" s="1"/>
  <c r="F161" i="8"/>
  <c r="G161" i="8" s="1"/>
  <c r="F177" i="8"/>
  <c r="G177" i="8" s="1"/>
  <c r="F193" i="8"/>
  <c r="G193" i="8" s="1"/>
  <c r="F209" i="8"/>
  <c r="G209" i="8" s="1"/>
  <c r="F225" i="8"/>
  <c r="G225" i="8" s="1"/>
  <c r="F241" i="8"/>
  <c r="G241" i="8" s="1"/>
  <c r="F257" i="8"/>
  <c r="G257" i="8" s="1"/>
  <c r="F273" i="8"/>
  <c r="G273" i="8" s="1"/>
  <c r="F289" i="8"/>
  <c r="G289" i="8" s="1"/>
  <c r="F305" i="8"/>
  <c r="G305" i="8" s="1"/>
  <c r="F321" i="8"/>
  <c r="G321" i="8" s="1"/>
  <c r="F337" i="8"/>
  <c r="G337" i="8" s="1"/>
  <c r="F353" i="8"/>
  <c r="G353" i="8" s="1"/>
  <c r="F369" i="8"/>
  <c r="G369" i="8" s="1"/>
  <c r="F385" i="8"/>
  <c r="G385" i="8" s="1"/>
  <c r="F401" i="8"/>
  <c r="G401" i="8" s="1"/>
  <c r="F417" i="8"/>
  <c r="G417" i="8" s="1"/>
  <c r="F433" i="8"/>
  <c r="G433" i="8" s="1"/>
  <c r="F449" i="8"/>
  <c r="G449" i="8" s="1"/>
  <c r="F465" i="8"/>
  <c r="G465" i="8" s="1"/>
  <c r="F481" i="8"/>
  <c r="G481" i="8" s="1"/>
  <c r="F497" i="8"/>
  <c r="G497" i="8" s="1"/>
  <c r="F513" i="8"/>
  <c r="G513" i="8" s="1"/>
  <c r="F15" i="9"/>
  <c r="F31" i="9"/>
  <c r="F47" i="9"/>
  <c r="F63" i="9"/>
  <c r="F79" i="9"/>
  <c r="F95" i="9"/>
  <c r="F111" i="9"/>
  <c r="F127" i="9"/>
  <c r="F143" i="9"/>
  <c r="F159" i="9"/>
  <c r="F175" i="9"/>
  <c r="F191" i="9"/>
  <c r="F207" i="9"/>
  <c r="F223" i="9"/>
  <c r="F239" i="9"/>
  <c r="F255" i="9"/>
  <c r="F271" i="9"/>
  <c r="F287" i="9"/>
  <c r="F303" i="9"/>
  <c r="F319" i="9"/>
  <c r="F335" i="9"/>
  <c r="F351" i="9"/>
  <c r="F367" i="9"/>
  <c r="F383" i="9"/>
  <c r="F399" i="9"/>
  <c r="F415" i="9"/>
  <c r="F431" i="9"/>
  <c r="F447" i="9"/>
  <c r="F463" i="9"/>
  <c r="F479" i="9"/>
  <c r="F495" i="9"/>
  <c r="F511" i="9"/>
  <c r="P163" i="1"/>
  <c r="N163" i="1"/>
  <c r="O163" i="1"/>
  <c r="N355" i="1"/>
  <c r="P355" i="1"/>
  <c r="O355" i="1"/>
  <c r="P228" i="1"/>
  <c r="O228" i="1"/>
  <c r="N228" i="1"/>
  <c r="P244" i="1"/>
  <c r="O244" i="1"/>
  <c r="N244" i="1"/>
  <c r="O260" i="1"/>
  <c r="N260" i="1"/>
  <c r="P260" i="1"/>
  <c r="N276" i="1"/>
  <c r="P276" i="1"/>
  <c r="O276" i="1"/>
  <c r="N292" i="1"/>
  <c r="P292" i="1"/>
  <c r="O292" i="1"/>
  <c r="O308" i="1"/>
  <c r="N308" i="1"/>
  <c r="P308" i="1"/>
  <c r="O324" i="1"/>
  <c r="N324" i="1"/>
  <c r="P324" i="1"/>
  <c r="P340" i="1"/>
  <c r="O340" i="1"/>
  <c r="N340" i="1"/>
  <c r="O356" i="1"/>
  <c r="P356" i="1"/>
  <c r="N356" i="1"/>
  <c r="P372" i="1"/>
  <c r="N372" i="1"/>
  <c r="O372" i="1"/>
  <c r="N388" i="1"/>
  <c r="P388" i="1"/>
  <c r="O388" i="1"/>
  <c r="N404" i="1"/>
  <c r="P404" i="1"/>
  <c r="O404" i="1"/>
  <c r="N420" i="1"/>
  <c r="P420" i="1"/>
  <c r="O420" i="1"/>
  <c r="P436" i="1"/>
  <c r="N436" i="1"/>
  <c r="O436" i="1"/>
  <c r="P452" i="1"/>
  <c r="O452" i="1"/>
  <c r="N452" i="1"/>
  <c r="O468" i="1"/>
  <c r="N468" i="1"/>
  <c r="P468" i="1"/>
  <c r="P484" i="1"/>
  <c r="N484" i="1"/>
  <c r="Q484" i="1" s="1"/>
  <c r="F482" i="13" s="1"/>
  <c r="O484" i="1"/>
  <c r="P500" i="1"/>
  <c r="O500" i="1"/>
  <c r="N500" i="1"/>
  <c r="Q500" i="1" s="1"/>
  <c r="F498" i="13" s="1"/>
  <c r="N516" i="1"/>
  <c r="Q516" i="1" s="1"/>
  <c r="F514" i="13" s="1"/>
  <c r="P516" i="1"/>
  <c r="O516" i="1"/>
  <c r="F18" i="8"/>
  <c r="G18" i="8" s="1"/>
  <c r="F34" i="8"/>
  <c r="G34" i="8" s="1"/>
  <c r="F50" i="8"/>
  <c r="G50" i="8" s="1"/>
  <c r="F66" i="8"/>
  <c r="G66" i="8" s="1"/>
  <c r="F82" i="8"/>
  <c r="G82" i="8" s="1"/>
  <c r="F98" i="8"/>
  <c r="G98" i="8" s="1"/>
  <c r="F114" i="8"/>
  <c r="G114" i="8" s="1"/>
  <c r="F130" i="8"/>
  <c r="G130" i="8" s="1"/>
  <c r="F146" i="8"/>
  <c r="G146" i="8" s="1"/>
  <c r="F162" i="8"/>
  <c r="G162" i="8" s="1"/>
  <c r="F178" i="8"/>
  <c r="G178" i="8" s="1"/>
  <c r="F194" i="8"/>
  <c r="G194" i="8" s="1"/>
  <c r="F210" i="8"/>
  <c r="G210" i="8" s="1"/>
  <c r="F226" i="8"/>
  <c r="G226" i="8" s="1"/>
  <c r="F242" i="8"/>
  <c r="G242" i="8" s="1"/>
  <c r="F258" i="8"/>
  <c r="G258" i="8" s="1"/>
  <c r="F274" i="8"/>
  <c r="G274" i="8" s="1"/>
  <c r="F290" i="8"/>
  <c r="G290" i="8" s="1"/>
  <c r="F306" i="8"/>
  <c r="G306" i="8" s="1"/>
  <c r="F322" i="8"/>
  <c r="G322" i="8" s="1"/>
  <c r="F338" i="8"/>
  <c r="G338" i="8" s="1"/>
  <c r="F354" i="8"/>
  <c r="G354" i="8" s="1"/>
  <c r="F370" i="8"/>
  <c r="G370" i="8" s="1"/>
  <c r="F386" i="8"/>
  <c r="G386" i="8" s="1"/>
  <c r="F402" i="8"/>
  <c r="G402" i="8" s="1"/>
  <c r="F418" i="8"/>
  <c r="G418" i="8" s="1"/>
  <c r="F434" i="8"/>
  <c r="G434" i="8" s="1"/>
  <c r="F450" i="8"/>
  <c r="G450" i="8" s="1"/>
  <c r="F466" i="8"/>
  <c r="G466" i="8" s="1"/>
  <c r="F482" i="8"/>
  <c r="G482" i="8" s="1"/>
  <c r="F498" i="8"/>
  <c r="G498" i="8" s="1"/>
  <c r="F514" i="8"/>
  <c r="G514" i="8" s="1"/>
  <c r="F16" i="9"/>
  <c r="F32" i="9"/>
  <c r="F48" i="9"/>
  <c r="F64" i="9"/>
  <c r="F80" i="9"/>
  <c r="F96" i="9"/>
  <c r="F112" i="9"/>
  <c r="F128" i="9"/>
  <c r="F144" i="9"/>
  <c r="F160" i="9"/>
  <c r="F176" i="9"/>
  <c r="F192" i="9"/>
  <c r="F208" i="9"/>
  <c r="F224" i="9"/>
  <c r="F240" i="9"/>
  <c r="F256" i="9"/>
  <c r="F272" i="9"/>
  <c r="F288" i="9"/>
  <c r="F304" i="9"/>
  <c r="F320" i="9"/>
  <c r="F336" i="9"/>
  <c r="F352" i="9"/>
  <c r="F368" i="9"/>
  <c r="F384" i="9"/>
  <c r="F400" i="9"/>
  <c r="F416" i="9"/>
  <c r="F432" i="9"/>
  <c r="F448" i="9"/>
  <c r="F464" i="9"/>
  <c r="F480" i="9"/>
  <c r="F496" i="9"/>
  <c r="F512" i="9"/>
  <c r="N341" i="1"/>
  <c r="P341" i="1"/>
  <c r="O341" i="1"/>
  <c r="O357" i="1"/>
  <c r="P357" i="1"/>
  <c r="N357" i="1"/>
  <c r="O373" i="1"/>
  <c r="N373" i="1"/>
  <c r="P373" i="1"/>
  <c r="O389" i="1"/>
  <c r="N389" i="1"/>
  <c r="P389" i="1"/>
  <c r="N405" i="1"/>
  <c r="P405" i="1"/>
  <c r="O405" i="1"/>
  <c r="P421" i="1"/>
  <c r="N421" i="1"/>
  <c r="O421" i="1"/>
  <c r="P437" i="1"/>
  <c r="N437" i="1"/>
  <c r="O437" i="1"/>
  <c r="O453" i="1"/>
  <c r="N453" i="1"/>
  <c r="P453" i="1"/>
  <c r="P469" i="1"/>
  <c r="O469" i="1"/>
  <c r="N469" i="1"/>
  <c r="Q469" i="1" s="1"/>
  <c r="F467" i="13" s="1"/>
  <c r="O485" i="1"/>
  <c r="P485" i="1"/>
  <c r="N485" i="1"/>
  <c r="O501" i="1"/>
  <c r="N501" i="1"/>
  <c r="P501" i="1"/>
  <c r="P517" i="1"/>
  <c r="N517" i="1"/>
  <c r="Q517" i="1" s="1"/>
  <c r="F515" i="13" s="1"/>
  <c r="O517" i="1"/>
  <c r="F19" i="8"/>
  <c r="G19" i="8" s="1"/>
  <c r="F35" i="8"/>
  <c r="G35" i="8" s="1"/>
  <c r="F51" i="8"/>
  <c r="G51" i="8" s="1"/>
  <c r="F67" i="8"/>
  <c r="G67" i="8" s="1"/>
  <c r="F83" i="8"/>
  <c r="G83" i="8" s="1"/>
  <c r="F99" i="8"/>
  <c r="G99" i="8" s="1"/>
  <c r="F115" i="8"/>
  <c r="G115" i="8" s="1"/>
  <c r="F131" i="8"/>
  <c r="G131" i="8" s="1"/>
  <c r="F147" i="8"/>
  <c r="G147" i="8" s="1"/>
  <c r="F163" i="8"/>
  <c r="G163" i="8" s="1"/>
  <c r="F179" i="8"/>
  <c r="G179" i="8" s="1"/>
  <c r="F195" i="8"/>
  <c r="G195" i="8" s="1"/>
  <c r="F211" i="8"/>
  <c r="G211" i="8" s="1"/>
  <c r="F227" i="8"/>
  <c r="G227" i="8" s="1"/>
  <c r="F243" i="8"/>
  <c r="G243" i="8" s="1"/>
  <c r="F259" i="8"/>
  <c r="G259" i="8" s="1"/>
  <c r="F275" i="8"/>
  <c r="G275" i="8" s="1"/>
  <c r="F291" i="8"/>
  <c r="G291" i="8" s="1"/>
  <c r="F307" i="8"/>
  <c r="G307" i="8" s="1"/>
  <c r="F323" i="8"/>
  <c r="G323" i="8" s="1"/>
  <c r="F339" i="8"/>
  <c r="G339" i="8" s="1"/>
  <c r="F355" i="8"/>
  <c r="G355" i="8" s="1"/>
  <c r="F371" i="8"/>
  <c r="G371" i="8" s="1"/>
  <c r="F387" i="8"/>
  <c r="G387" i="8" s="1"/>
  <c r="F403" i="8"/>
  <c r="G403" i="8" s="1"/>
  <c r="F419" i="8"/>
  <c r="G419" i="8" s="1"/>
  <c r="F435" i="8"/>
  <c r="G435" i="8" s="1"/>
  <c r="F451" i="8"/>
  <c r="G451" i="8" s="1"/>
  <c r="F467" i="8"/>
  <c r="G467" i="8" s="1"/>
  <c r="F483" i="8"/>
  <c r="G483" i="8" s="1"/>
  <c r="F499" i="8"/>
  <c r="G499" i="8" s="1"/>
  <c r="F515" i="8"/>
  <c r="G515" i="8" s="1"/>
  <c r="F17" i="9"/>
  <c r="F33" i="9"/>
  <c r="F49" i="9"/>
  <c r="F65" i="9"/>
  <c r="F81" i="9"/>
  <c r="F97" i="9"/>
  <c r="F113" i="9"/>
  <c r="F129" i="9"/>
  <c r="F145" i="9"/>
  <c r="F161" i="9"/>
  <c r="F177" i="9"/>
  <c r="F193" i="9"/>
  <c r="F209" i="9"/>
  <c r="F225" i="9"/>
  <c r="F241" i="9"/>
  <c r="F257" i="9"/>
  <c r="F273" i="9"/>
  <c r="F289" i="9"/>
  <c r="F305" i="9"/>
  <c r="F321" i="9"/>
  <c r="F337" i="9"/>
  <c r="F353" i="9"/>
  <c r="F369" i="9"/>
  <c r="F385" i="9"/>
  <c r="F401" i="9"/>
  <c r="F417" i="9"/>
  <c r="F433" i="9"/>
  <c r="F449" i="9"/>
  <c r="F465" i="9"/>
  <c r="F481" i="9"/>
  <c r="F497" i="9"/>
  <c r="F513" i="9"/>
  <c r="O291" i="1"/>
  <c r="N291" i="1"/>
  <c r="P291" i="1"/>
  <c r="N20" i="1"/>
  <c r="P20" i="1"/>
  <c r="O20" i="1"/>
  <c r="N133" i="1"/>
  <c r="O133" i="1"/>
  <c r="P133" i="1"/>
  <c r="N245" i="1"/>
  <c r="P245" i="1"/>
  <c r="O245" i="1"/>
  <c r="P261" i="1"/>
  <c r="O261" i="1"/>
  <c r="N261" i="1"/>
  <c r="P277" i="1"/>
  <c r="O277" i="1"/>
  <c r="N277" i="1"/>
  <c r="O293" i="1"/>
  <c r="N293" i="1"/>
  <c r="P293" i="1"/>
  <c r="P309" i="1"/>
  <c r="O309" i="1"/>
  <c r="N309" i="1"/>
  <c r="O325" i="1"/>
  <c r="N325" i="1"/>
  <c r="P325" i="1"/>
  <c r="N6" i="1"/>
  <c r="O6" i="1"/>
  <c r="P6" i="1"/>
  <c r="O22" i="1"/>
  <c r="N22" i="1"/>
  <c r="P22" i="1"/>
  <c r="N38" i="1"/>
  <c r="O38" i="1"/>
  <c r="P38" i="1"/>
  <c r="O54" i="1"/>
  <c r="N54" i="1"/>
  <c r="P54" i="1"/>
  <c r="P70" i="1"/>
  <c r="O70" i="1"/>
  <c r="N70" i="1"/>
  <c r="P86" i="1"/>
  <c r="O86" i="1"/>
  <c r="N86" i="1"/>
  <c r="P102" i="1"/>
  <c r="N102" i="1"/>
  <c r="O102" i="1"/>
  <c r="N118" i="1"/>
  <c r="O118" i="1"/>
  <c r="P118" i="1"/>
  <c r="N134" i="1"/>
  <c r="O134" i="1"/>
  <c r="P134" i="1"/>
  <c r="N150" i="1"/>
  <c r="P150" i="1"/>
  <c r="O150" i="1"/>
  <c r="P166" i="1"/>
  <c r="N166" i="1"/>
  <c r="O166" i="1"/>
  <c r="N182" i="1"/>
  <c r="O182" i="1"/>
  <c r="P182" i="1"/>
  <c r="N198" i="1"/>
  <c r="O198" i="1"/>
  <c r="P198" i="1"/>
  <c r="O214" i="1"/>
  <c r="N214" i="1"/>
  <c r="P214" i="1"/>
  <c r="O230" i="1"/>
  <c r="P230" i="1"/>
  <c r="N230" i="1"/>
  <c r="P246" i="1"/>
  <c r="O246" i="1"/>
  <c r="N246" i="1"/>
  <c r="N262" i="1"/>
  <c r="O262" i="1"/>
  <c r="P262" i="1"/>
  <c r="N278" i="1"/>
  <c r="P278" i="1"/>
  <c r="O278" i="1"/>
  <c r="O294" i="1"/>
  <c r="N294" i="1"/>
  <c r="P294" i="1"/>
  <c r="P310" i="1"/>
  <c r="O310" i="1"/>
  <c r="N310" i="1"/>
  <c r="O326" i="1"/>
  <c r="P326" i="1"/>
  <c r="N326" i="1"/>
  <c r="P342" i="1"/>
  <c r="O342" i="1"/>
  <c r="N342" i="1"/>
  <c r="O358" i="1"/>
  <c r="N358" i="1"/>
  <c r="P358" i="1"/>
  <c r="O374" i="1"/>
  <c r="N374" i="1"/>
  <c r="P374" i="1"/>
  <c r="O390" i="1"/>
  <c r="P390" i="1"/>
  <c r="N390" i="1"/>
  <c r="N406" i="1"/>
  <c r="P406" i="1"/>
  <c r="O406" i="1"/>
  <c r="O422" i="1"/>
  <c r="N422" i="1"/>
  <c r="P422" i="1"/>
  <c r="P438" i="1"/>
  <c r="N438" i="1"/>
  <c r="O438" i="1"/>
  <c r="O454" i="1"/>
  <c r="P454" i="1"/>
  <c r="N454" i="1"/>
  <c r="Q454" i="1" s="1"/>
  <c r="F452" i="13" s="1"/>
  <c r="O470" i="1"/>
  <c r="N470" i="1"/>
  <c r="P470" i="1"/>
  <c r="O486" i="1"/>
  <c r="P486" i="1"/>
  <c r="N486" i="1"/>
  <c r="O502" i="1"/>
  <c r="N502" i="1"/>
  <c r="P502" i="1"/>
  <c r="Q502" i="1"/>
  <c r="F500" i="13" s="1"/>
  <c r="P518" i="1"/>
  <c r="N518" i="1"/>
  <c r="Q518" i="1" s="1"/>
  <c r="F516" i="13" s="1"/>
  <c r="O518" i="1"/>
  <c r="F20" i="8"/>
  <c r="G20" i="8" s="1"/>
  <c r="F36" i="8"/>
  <c r="G36" i="8" s="1"/>
  <c r="F52" i="8"/>
  <c r="G52" i="8" s="1"/>
  <c r="F68" i="8"/>
  <c r="G68" i="8" s="1"/>
  <c r="F84" i="8"/>
  <c r="G84" i="8" s="1"/>
  <c r="F100" i="8"/>
  <c r="G100" i="8" s="1"/>
  <c r="F116" i="8"/>
  <c r="G116" i="8" s="1"/>
  <c r="F132" i="8"/>
  <c r="G132" i="8" s="1"/>
  <c r="F148" i="8"/>
  <c r="G148" i="8" s="1"/>
  <c r="F164" i="8"/>
  <c r="G164" i="8" s="1"/>
  <c r="F180" i="8"/>
  <c r="G180" i="8" s="1"/>
  <c r="F196" i="8"/>
  <c r="G196" i="8" s="1"/>
  <c r="F212" i="8"/>
  <c r="G212" i="8" s="1"/>
  <c r="F228" i="8"/>
  <c r="G228" i="8" s="1"/>
  <c r="F244" i="8"/>
  <c r="G244" i="8" s="1"/>
  <c r="F260" i="8"/>
  <c r="G260" i="8" s="1"/>
  <c r="F276" i="8"/>
  <c r="G276" i="8" s="1"/>
  <c r="F292" i="8"/>
  <c r="G292" i="8" s="1"/>
  <c r="F308" i="8"/>
  <c r="G308" i="8" s="1"/>
  <c r="F324" i="8"/>
  <c r="G324" i="8" s="1"/>
  <c r="F340" i="8"/>
  <c r="G340" i="8" s="1"/>
  <c r="F356" i="8"/>
  <c r="G356" i="8" s="1"/>
  <c r="F372" i="8"/>
  <c r="G372" i="8" s="1"/>
  <c r="F388" i="8"/>
  <c r="G388" i="8" s="1"/>
  <c r="F404" i="8"/>
  <c r="G404" i="8" s="1"/>
  <c r="F420" i="8"/>
  <c r="G420" i="8" s="1"/>
  <c r="F436" i="8"/>
  <c r="G436" i="8" s="1"/>
  <c r="F452" i="8"/>
  <c r="G452" i="8" s="1"/>
  <c r="F468" i="8"/>
  <c r="G468" i="8" s="1"/>
  <c r="F484" i="8"/>
  <c r="G484" i="8" s="1"/>
  <c r="F500" i="8"/>
  <c r="G500" i="8" s="1"/>
  <c r="F516" i="8"/>
  <c r="G516" i="8" s="1"/>
  <c r="F18" i="9"/>
  <c r="F34" i="9"/>
  <c r="F50" i="9"/>
  <c r="F66" i="9"/>
  <c r="F82" i="9"/>
  <c r="F98" i="9"/>
  <c r="F114" i="9"/>
  <c r="F130" i="9"/>
  <c r="F146" i="9"/>
  <c r="F162" i="9"/>
  <c r="F178" i="9"/>
  <c r="F194" i="9"/>
  <c r="F210" i="9"/>
  <c r="F226" i="9"/>
  <c r="F242" i="9"/>
  <c r="F258" i="9"/>
  <c r="F274" i="9"/>
  <c r="F290" i="9"/>
  <c r="F306" i="9"/>
  <c r="F322" i="9"/>
  <c r="F338" i="9"/>
  <c r="F354" i="9"/>
  <c r="F370" i="9"/>
  <c r="F386" i="9"/>
  <c r="F402" i="9"/>
  <c r="F418" i="9"/>
  <c r="F434" i="9"/>
  <c r="F450" i="9"/>
  <c r="F466" i="9"/>
  <c r="F482" i="9"/>
  <c r="F498" i="9"/>
  <c r="F514" i="9"/>
  <c r="O339" i="1"/>
  <c r="P339" i="1"/>
  <c r="N339" i="1"/>
  <c r="P36" i="1"/>
  <c r="O36" i="1"/>
  <c r="N36" i="1"/>
  <c r="N180" i="1"/>
  <c r="P180" i="1"/>
  <c r="O180" i="1"/>
  <c r="P85" i="1"/>
  <c r="O85" i="1"/>
  <c r="N85" i="1"/>
  <c r="O213" i="1"/>
  <c r="N213" i="1"/>
  <c r="P213" i="1"/>
  <c r="O119" i="1"/>
  <c r="N119" i="1"/>
  <c r="P119" i="1"/>
  <c r="N199" i="1"/>
  <c r="O199" i="1"/>
  <c r="P199" i="1"/>
  <c r="O407" i="1"/>
  <c r="N407" i="1"/>
  <c r="P407" i="1"/>
  <c r="P423" i="1"/>
  <c r="N423" i="1"/>
  <c r="O423" i="1"/>
  <c r="O439" i="1"/>
  <c r="N439" i="1"/>
  <c r="P439" i="1"/>
  <c r="O455" i="1"/>
  <c r="P455" i="1"/>
  <c r="N455" i="1"/>
  <c r="P471" i="1"/>
  <c r="O471" i="1"/>
  <c r="N471" i="1"/>
  <c r="Q471" i="1"/>
  <c r="F469" i="13" s="1"/>
  <c r="O487" i="1"/>
  <c r="N487" i="1"/>
  <c r="P487" i="1"/>
  <c r="Q487" i="1" s="1"/>
  <c r="F485" i="13" s="1"/>
  <c r="P503" i="1"/>
  <c r="O503" i="1"/>
  <c r="Q503" i="1" s="1"/>
  <c r="F501" i="13" s="1"/>
  <c r="N503" i="1"/>
  <c r="F5" i="8"/>
  <c r="G5" i="8" s="1"/>
  <c r="F21" i="8"/>
  <c r="G21" i="8" s="1"/>
  <c r="F37" i="8"/>
  <c r="G37" i="8" s="1"/>
  <c r="F53" i="8"/>
  <c r="G53" i="8" s="1"/>
  <c r="F69" i="8"/>
  <c r="G69" i="8" s="1"/>
  <c r="F85" i="8"/>
  <c r="G85" i="8" s="1"/>
  <c r="F101" i="8"/>
  <c r="G101" i="8" s="1"/>
  <c r="F117" i="8"/>
  <c r="G117" i="8" s="1"/>
  <c r="F133" i="8"/>
  <c r="G133" i="8" s="1"/>
  <c r="F149" i="8"/>
  <c r="G149" i="8" s="1"/>
  <c r="F165" i="8"/>
  <c r="G165" i="8" s="1"/>
  <c r="F181" i="8"/>
  <c r="G181" i="8" s="1"/>
  <c r="F197" i="8"/>
  <c r="G197" i="8" s="1"/>
  <c r="F213" i="8"/>
  <c r="G213" i="8" s="1"/>
  <c r="F229" i="8"/>
  <c r="G229" i="8" s="1"/>
  <c r="F245" i="8"/>
  <c r="G245" i="8" s="1"/>
  <c r="F261" i="8"/>
  <c r="G261" i="8" s="1"/>
  <c r="F277" i="8"/>
  <c r="G277" i="8" s="1"/>
  <c r="F293" i="8"/>
  <c r="G293" i="8" s="1"/>
  <c r="F309" i="8"/>
  <c r="G309" i="8" s="1"/>
  <c r="F325" i="8"/>
  <c r="G325" i="8" s="1"/>
  <c r="F341" i="8"/>
  <c r="G341" i="8" s="1"/>
  <c r="F357" i="8"/>
  <c r="G357" i="8" s="1"/>
  <c r="F373" i="8"/>
  <c r="G373" i="8" s="1"/>
  <c r="F389" i="8"/>
  <c r="G389" i="8" s="1"/>
  <c r="F405" i="8"/>
  <c r="G405" i="8" s="1"/>
  <c r="F421" i="8"/>
  <c r="G421" i="8" s="1"/>
  <c r="F437" i="8"/>
  <c r="G437" i="8" s="1"/>
  <c r="F453" i="8"/>
  <c r="G453" i="8" s="1"/>
  <c r="F469" i="8"/>
  <c r="G469" i="8" s="1"/>
  <c r="F485" i="8"/>
  <c r="G485" i="8" s="1"/>
  <c r="F501" i="8"/>
  <c r="G501" i="8" s="1"/>
  <c r="F517" i="8"/>
  <c r="G517" i="8" s="1"/>
  <c r="F19" i="9"/>
  <c r="F35" i="9"/>
  <c r="F51" i="9"/>
  <c r="F67" i="9"/>
  <c r="F83" i="9"/>
  <c r="F99" i="9"/>
  <c r="F115" i="9"/>
  <c r="F131" i="9"/>
  <c r="F147" i="9"/>
  <c r="F163" i="9"/>
  <c r="F179" i="9"/>
  <c r="F195" i="9"/>
  <c r="F211" i="9"/>
  <c r="F227" i="9"/>
  <c r="F243" i="9"/>
  <c r="F259" i="9"/>
  <c r="F275" i="9"/>
  <c r="F291" i="9"/>
  <c r="F307" i="9"/>
  <c r="F323" i="9"/>
  <c r="F339" i="9"/>
  <c r="F355" i="9"/>
  <c r="F371" i="9"/>
  <c r="F387" i="9"/>
  <c r="F403" i="9"/>
  <c r="F419" i="9"/>
  <c r="F435" i="9"/>
  <c r="F451" i="9"/>
  <c r="F467" i="9"/>
  <c r="F483" i="9"/>
  <c r="F499" i="9"/>
  <c r="F515" i="9"/>
  <c r="P131" i="1"/>
  <c r="N131" i="1"/>
  <c r="O131" i="1"/>
  <c r="O195" i="1"/>
  <c r="N195" i="1"/>
  <c r="P195" i="1"/>
  <c r="P307" i="1"/>
  <c r="N307" i="1"/>
  <c r="O307" i="1"/>
  <c r="N403" i="1"/>
  <c r="O403" i="1"/>
  <c r="P403" i="1"/>
  <c r="O132" i="1"/>
  <c r="N132" i="1"/>
  <c r="P132" i="1"/>
  <c r="P53" i="1"/>
  <c r="N53" i="1"/>
  <c r="O53" i="1"/>
  <c r="N101" i="1"/>
  <c r="O101" i="1"/>
  <c r="P101" i="1"/>
  <c r="P71" i="1"/>
  <c r="N71" i="1"/>
  <c r="O71" i="1"/>
  <c r="N151" i="1"/>
  <c r="P151" i="1"/>
  <c r="O151" i="1"/>
  <c r="P343" i="1"/>
  <c r="O343" i="1"/>
  <c r="N343" i="1"/>
  <c r="N359" i="1"/>
  <c r="O359" i="1"/>
  <c r="P359" i="1"/>
  <c r="O391" i="1"/>
  <c r="N391" i="1"/>
  <c r="P391" i="1"/>
  <c r="P8" i="1"/>
  <c r="O8" i="1"/>
  <c r="N8" i="1"/>
  <c r="O24" i="1"/>
  <c r="N24" i="1"/>
  <c r="P24" i="1"/>
  <c r="O40" i="1"/>
  <c r="P40" i="1"/>
  <c r="N40" i="1"/>
  <c r="P56" i="1"/>
  <c r="O56" i="1"/>
  <c r="N56" i="1"/>
  <c r="P72" i="1"/>
  <c r="N72" i="1"/>
  <c r="O72" i="1"/>
  <c r="P88" i="1"/>
  <c r="N88" i="1"/>
  <c r="O88" i="1"/>
  <c r="N104" i="1"/>
  <c r="P104" i="1"/>
  <c r="O104" i="1"/>
  <c r="N120" i="1"/>
  <c r="O120" i="1"/>
  <c r="P120" i="1"/>
  <c r="P136" i="1"/>
  <c r="N136" i="1"/>
  <c r="O136" i="1"/>
  <c r="P152" i="1"/>
  <c r="N152" i="1"/>
  <c r="O152" i="1"/>
  <c r="N168" i="1"/>
  <c r="P168" i="1"/>
  <c r="O168" i="1"/>
  <c r="P184" i="1"/>
  <c r="O184" i="1"/>
  <c r="N184" i="1"/>
  <c r="P200" i="1"/>
  <c r="N200" i="1"/>
  <c r="O200" i="1"/>
  <c r="N216" i="1"/>
  <c r="P216" i="1"/>
  <c r="O216" i="1"/>
  <c r="P232" i="1"/>
  <c r="O232" i="1"/>
  <c r="N232" i="1"/>
  <c r="N248" i="1"/>
  <c r="P248" i="1"/>
  <c r="O248" i="1"/>
  <c r="P264" i="1"/>
  <c r="O264" i="1"/>
  <c r="N264" i="1"/>
  <c r="P280" i="1"/>
  <c r="O280" i="1"/>
  <c r="N280" i="1"/>
  <c r="O296" i="1"/>
  <c r="N296" i="1"/>
  <c r="P296" i="1"/>
  <c r="N312" i="1"/>
  <c r="O312" i="1"/>
  <c r="P312" i="1"/>
  <c r="N328" i="1"/>
  <c r="O328" i="1"/>
  <c r="P328" i="1"/>
  <c r="O344" i="1"/>
  <c r="P344" i="1"/>
  <c r="N344" i="1"/>
  <c r="P360" i="1"/>
  <c r="O360" i="1"/>
  <c r="N360" i="1"/>
  <c r="P376" i="1"/>
  <c r="N376" i="1"/>
  <c r="O376" i="1"/>
  <c r="P392" i="1"/>
  <c r="O392" i="1"/>
  <c r="N392" i="1"/>
  <c r="O408" i="1"/>
  <c r="N408" i="1"/>
  <c r="P408" i="1"/>
  <c r="O424" i="1"/>
  <c r="N424" i="1"/>
  <c r="P424" i="1"/>
  <c r="O440" i="1"/>
  <c r="P440" i="1"/>
  <c r="N440" i="1"/>
  <c r="P456" i="1"/>
  <c r="N456" i="1"/>
  <c r="O456" i="1"/>
  <c r="P472" i="1"/>
  <c r="O472" i="1"/>
  <c r="N472" i="1"/>
  <c r="Q472" i="1" s="1"/>
  <c r="F470" i="13" s="1"/>
  <c r="P488" i="1"/>
  <c r="N488" i="1"/>
  <c r="O488" i="1"/>
  <c r="Q488" i="1"/>
  <c r="F486" i="13" s="1"/>
  <c r="N504" i="1"/>
  <c r="O504" i="1"/>
  <c r="Q504" i="1" s="1"/>
  <c r="F502" i="13" s="1"/>
  <c r="P504" i="1"/>
  <c r="F6" i="8"/>
  <c r="G6" i="8" s="1"/>
  <c r="F22" i="8"/>
  <c r="G22" i="8" s="1"/>
  <c r="F38" i="8"/>
  <c r="G38" i="8" s="1"/>
  <c r="F54" i="8"/>
  <c r="G54" i="8" s="1"/>
  <c r="F70" i="8"/>
  <c r="G70" i="8" s="1"/>
  <c r="F86" i="8"/>
  <c r="G86" i="8" s="1"/>
  <c r="F102" i="8"/>
  <c r="G102" i="8" s="1"/>
  <c r="F118" i="8"/>
  <c r="G118" i="8" s="1"/>
  <c r="F134" i="8"/>
  <c r="G134" i="8" s="1"/>
  <c r="F150" i="8"/>
  <c r="G150" i="8" s="1"/>
  <c r="F166" i="8"/>
  <c r="G166" i="8" s="1"/>
  <c r="F182" i="8"/>
  <c r="G182" i="8" s="1"/>
  <c r="F198" i="8"/>
  <c r="G198" i="8" s="1"/>
  <c r="F214" i="8"/>
  <c r="G214" i="8" s="1"/>
  <c r="F230" i="8"/>
  <c r="G230" i="8" s="1"/>
  <c r="F246" i="8"/>
  <c r="G246" i="8" s="1"/>
  <c r="F262" i="8"/>
  <c r="G262" i="8" s="1"/>
  <c r="F278" i="8"/>
  <c r="G278" i="8" s="1"/>
  <c r="F294" i="8"/>
  <c r="G294" i="8" s="1"/>
  <c r="F310" i="8"/>
  <c r="G310" i="8" s="1"/>
  <c r="F326" i="8"/>
  <c r="G326" i="8" s="1"/>
  <c r="F342" i="8"/>
  <c r="G342" i="8" s="1"/>
  <c r="F358" i="8"/>
  <c r="G358" i="8" s="1"/>
  <c r="F374" i="8"/>
  <c r="G374" i="8" s="1"/>
  <c r="F390" i="8"/>
  <c r="G390" i="8" s="1"/>
  <c r="F406" i="8"/>
  <c r="G406" i="8" s="1"/>
  <c r="F422" i="8"/>
  <c r="G422" i="8" s="1"/>
  <c r="F438" i="8"/>
  <c r="G438" i="8" s="1"/>
  <c r="F454" i="8"/>
  <c r="G454" i="8" s="1"/>
  <c r="F470" i="8"/>
  <c r="G470" i="8" s="1"/>
  <c r="F486" i="8"/>
  <c r="G486" i="8" s="1"/>
  <c r="F502" i="8"/>
  <c r="G502" i="8" s="1"/>
  <c r="F518" i="8"/>
  <c r="G518" i="8" s="1"/>
  <c r="F20" i="9"/>
  <c r="F36" i="9"/>
  <c r="F52" i="9"/>
  <c r="F68" i="9"/>
  <c r="F84" i="9"/>
  <c r="F100" i="9"/>
  <c r="F116" i="9"/>
  <c r="F132" i="9"/>
  <c r="F148" i="9"/>
  <c r="F164" i="9"/>
  <c r="F180" i="9"/>
  <c r="F196" i="9"/>
  <c r="F212" i="9"/>
  <c r="F228" i="9"/>
  <c r="F244" i="9"/>
  <c r="F260" i="9"/>
  <c r="F276" i="9"/>
  <c r="F292" i="9"/>
  <c r="F308" i="9"/>
  <c r="F324" i="9"/>
  <c r="F340" i="9"/>
  <c r="F356" i="9"/>
  <c r="F372" i="9"/>
  <c r="F388" i="9"/>
  <c r="F404" i="9"/>
  <c r="F420" i="9"/>
  <c r="F436" i="9"/>
  <c r="F452" i="9"/>
  <c r="F468" i="9"/>
  <c r="F484" i="9"/>
  <c r="F500" i="9"/>
  <c r="F516" i="9"/>
  <c r="P275" i="1"/>
  <c r="N275" i="1"/>
  <c r="O275" i="1"/>
  <c r="P148" i="1"/>
  <c r="O148" i="1"/>
  <c r="N148" i="1"/>
  <c r="O21" i="1"/>
  <c r="N21" i="1"/>
  <c r="P21" i="1"/>
  <c r="N165" i="1"/>
  <c r="O165" i="1"/>
  <c r="P165" i="1"/>
  <c r="O87" i="1"/>
  <c r="P87" i="1"/>
  <c r="N87" i="1"/>
  <c r="P183" i="1"/>
  <c r="N183" i="1"/>
  <c r="O183" i="1"/>
  <c r="P311" i="1"/>
  <c r="O311" i="1"/>
  <c r="N311" i="1"/>
  <c r="N375" i="1"/>
  <c r="P375" i="1"/>
  <c r="O375" i="1"/>
  <c r="O9" i="1"/>
  <c r="N9" i="1"/>
  <c r="P9" i="1"/>
  <c r="O25" i="1"/>
  <c r="N25" i="1"/>
  <c r="P25" i="1"/>
  <c r="O41" i="1"/>
  <c r="N41" i="1"/>
  <c r="P41" i="1"/>
  <c r="O57" i="1"/>
  <c r="P57" i="1"/>
  <c r="N57" i="1"/>
  <c r="P73" i="1"/>
  <c r="N73" i="1"/>
  <c r="O73" i="1"/>
  <c r="O89" i="1"/>
  <c r="P89" i="1"/>
  <c r="N89" i="1"/>
  <c r="O105" i="1"/>
  <c r="N105" i="1"/>
  <c r="P105" i="1"/>
  <c r="O121" i="1"/>
  <c r="N121" i="1"/>
  <c r="P121" i="1"/>
  <c r="N137" i="1"/>
  <c r="P137" i="1"/>
  <c r="O137" i="1"/>
  <c r="N153" i="1"/>
  <c r="O153" i="1"/>
  <c r="P153" i="1"/>
  <c r="O169" i="1"/>
  <c r="P169" i="1"/>
  <c r="N169" i="1"/>
  <c r="Q169" i="1" s="1"/>
  <c r="F167" i="13" s="1"/>
  <c r="O185" i="1"/>
  <c r="N185" i="1"/>
  <c r="P185" i="1"/>
  <c r="P201" i="1"/>
  <c r="O201" i="1"/>
  <c r="N201" i="1"/>
  <c r="P217" i="1"/>
  <c r="O217" i="1"/>
  <c r="N217" i="1"/>
  <c r="N233" i="1"/>
  <c r="P233" i="1"/>
  <c r="O233" i="1"/>
  <c r="P249" i="1"/>
  <c r="N249" i="1"/>
  <c r="O249" i="1"/>
  <c r="O265" i="1"/>
  <c r="N265" i="1"/>
  <c r="P265" i="1"/>
  <c r="P281" i="1"/>
  <c r="N281" i="1"/>
  <c r="O281" i="1"/>
  <c r="O297" i="1"/>
  <c r="P297" i="1"/>
  <c r="N297" i="1"/>
  <c r="O313" i="1"/>
  <c r="P313" i="1"/>
  <c r="N313" i="1"/>
  <c r="O329" i="1"/>
  <c r="N329" i="1"/>
  <c r="P329" i="1"/>
  <c r="P345" i="1"/>
  <c r="O345" i="1"/>
  <c r="N345" i="1"/>
  <c r="P361" i="1"/>
  <c r="O361" i="1"/>
  <c r="N361" i="1"/>
  <c r="P377" i="1"/>
  <c r="O377" i="1"/>
  <c r="N377" i="1"/>
  <c r="N393" i="1"/>
  <c r="O393" i="1"/>
  <c r="P393" i="1"/>
  <c r="N409" i="1"/>
  <c r="O409" i="1"/>
  <c r="P409" i="1"/>
  <c r="N425" i="1"/>
  <c r="O425" i="1"/>
  <c r="P425" i="1"/>
  <c r="P441" i="1"/>
  <c r="O441" i="1"/>
  <c r="N441" i="1"/>
  <c r="Q441" i="1" s="1"/>
  <c r="F439" i="13" s="1"/>
  <c r="N457" i="1"/>
  <c r="P457" i="1"/>
  <c r="O457" i="1"/>
  <c r="Q457" i="1" s="1"/>
  <c r="F455" i="13" s="1"/>
  <c r="N473" i="1"/>
  <c r="P473" i="1"/>
  <c r="O473" i="1"/>
  <c r="O489" i="1"/>
  <c r="P489" i="1"/>
  <c r="N489" i="1"/>
  <c r="Q489" i="1" s="1"/>
  <c r="F487" i="13" s="1"/>
  <c r="P505" i="1"/>
  <c r="N505" i="1"/>
  <c r="O505" i="1"/>
  <c r="Q505" i="1" s="1"/>
  <c r="F503" i="13" s="1"/>
  <c r="F7" i="8"/>
  <c r="G7" i="8" s="1"/>
  <c r="F23" i="8"/>
  <c r="G23" i="8" s="1"/>
  <c r="F39" i="8"/>
  <c r="G39" i="8" s="1"/>
  <c r="F55" i="8"/>
  <c r="G55" i="8" s="1"/>
  <c r="F71" i="8"/>
  <c r="G71" i="8" s="1"/>
  <c r="F87" i="8"/>
  <c r="G87" i="8" s="1"/>
  <c r="F103" i="8"/>
  <c r="G103" i="8" s="1"/>
  <c r="F119" i="8"/>
  <c r="G119" i="8" s="1"/>
  <c r="F135" i="8"/>
  <c r="G135" i="8" s="1"/>
  <c r="F151" i="8"/>
  <c r="G151" i="8" s="1"/>
  <c r="F167" i="8"/>
  <c r="G167" i="8" s="1"/>
  <c r="F183" i="8"/>
  <c r="G183" i="8" s="1"/>
  <c r="F199" i="8"/>
  <c r="G199" i="8" s="1"/>
  <c r="F215" i="8"/>
  <c r="G215" i="8" s="1"/>
  <c r="F231" i="8"/>
  <c r="G231" i="8" s="1"/>
  <c r="F247" i="8"/>
  <c r="G247" i="8" s="1"/>
  <c r="F263" i="8"/>
  <c r="G263" i="8" s="1"/>
  <c r="F279" i="8"/>
  <c r="G279" i="8" s="1"/>
  <c r="F295" i="8"/>
  <c r="G295" i="8" s="1"/>
  <c r="F311" i="8"/>
  <c r="G311" i="8" s="1"/>
  <c r="F327" i="8"/>
  <c r="G327" i="8" s="1"/>
  <c r="F343" i="8"/>
  <c r="G343" i="8" s="1"/>
  <c r="F359" i="8"/>
  <c r="G359" i="8" s="1"/>
  <c r="F375" i="8"/>
  <c r="G375" i="8" s="1"/>
  <c r="F391" i="8"/>
  <c r="G391" i="8" s="1"/>
  <c r="F407" i="8"/>
  <c r="G407" i="8" s="1"/>
  <c r="F423" i="8"/>
  <c r="G423" i="8" s="1"/>
  <c r="F439" i="8"/>
  <c r="G439" i="8" s="1"/>
  <c r="F455" i="8"/>
  <c r="G455" i="8" s="1"/>
  <c r="F471" i="8"/>
  <c r="G471" i="8" s="1"/>
  <c r="F487" i="8"/>
  <c r="G487" i="8" s="1"/>
  <c r="F503" i="8"/>
  <c r="G503" i="8" s="1"/>
  <c r="F5" i="9"/>
  <c r="F21" i="9"/>
  <c r="F37" i="9"/>
  <c r="F53" i="9"/>
  <c r="F69" i="9"/>
  <c r="F85" i="9"/>
  <c r="F101" i="9"/>
  <c r="F117" i="9"/>
  <c r="F133" i="9"/>
  <c r="F149" i="9"/>
  <c r="F165" i="9"/>
  <c r="F181" i="9"/>
  <c r="F197" i="9"/>
  <c r="F213" i="9"/>
  <c r="F229" i="9"/>
  <c r="F245" i="9"/>
  <c r="F261" i="9"/>
  <c r="F277" i="9"/>
  <c r="F293" i="9"/>
  <c r="F309" i="9"/>
  <c r="F325" i="9"/>
  <c r="F341" i="9"/>
  <c r="F357" i="9"/>
  <c r="F373" i="9"/>
  <c r="F389" i="9"/>
  <c r="F405" i="9"/>
  <c r="F421" i="9"/>
  <c r="F437" i="9"/>
  <c r="F453" i="9"/>
  <c r="F469" i="9"/>
  <c r="F485" i="9"/>
  <c r="F501" i="9"/>
  <c r="F517" i="9"/>
  <c r="N115" i="1"/>
  <c r="P115" i="1"/>
  <c r="O115" i="1"/>
  <c r="O211" i="1"/>
  <c r="N211" i="1"/>
  <c r="P211" i="1"/>
  <c r="O52" i="1"/>
  <c r="N52" i="1"/>
  <c r="P52" i="1"/>
  <c r="P37" i="1"/>
  <c r="O37" i="1"/>
  <c r="N37" i="1"/>
  <c r="N327" i="1"/>
  <c r="O327" i="1"/>
  <c r="P327" i="1"/>
  <c r="N10" i="1"/>
  <c r="O10" i="1"/>
  <c r="P10" i="1"/>
  <c r="N26" i="1"/>
  <c r="O26" i="1"/>
  <c r="P26" i="1"/>
  <c r="P42" i="1"/>
  <c r="N42" i="1"/>
  <c r="O42" i="1"/>
  <c r="O58" i="1"/>
  <c r="N58" i="1"/>
  <c r="P58" i="1"/>
  <c r="P74" i="1"/>
  <c r="O74" i="1"/>
  <c r="N74" i="1"/>
  <c r="O90" i="1"/>
  <c r="N90" i="1"/>
  <c r="P90" i="1"/>
  <c r="N106" i="1"/>
  <c r="P106" i="1"/>
  <c r="O106" i="1"/>
  <c r="N122" i="1"/>
  <c r="O122" i="1"/>
  <c r="P122" i="1"/>
  <c r="O138" i="1"/>
  <c r="N138" i="1"/>
  <c r="P138" i="1"/>
  <c r="P154" i="1"/>
  <c r="O154" i="1"/>
  <c r="N154" i="1"/>
  <c r="O170" i="1"/>
  <c r="P170" i="1"/>
  <c r="N170" i="1"/>
  <c r="O186" i="1"/>
  <c r="P186" i="1"/>
  <c r="N186" i="1"/>
  <c r="P202" i="1"/>
  <c r="N202" i="1"/>
  <c r="O202" i="1"/>
  <c r="P218" i="1"/>
  <c r="O218" i="1"/>
  <c r="N218" i="1"/>
  <c r="N234" i="1"/>
  <c r="O234" i="1"/>
  <c r="P234" i="1"/>
  <c r="N250" i="1"/>
  <c r="O250" i="1"/>
  <c r="P250" i="1"/>
  <c r="O266" i="1"/>
  <c r="P266" i="1"/>
  <c r="N266" i="1"/>
  <c r="N282" i="1"/>
  <c r="P282" i="1"/>
  <c r="O282" i="1"/>
  <c r="O298" i="1"/>
  <c r="P298" i="1"/>
  <c r="N298" i="1"/>
  <c r="N314" i="1"/>
  <c r="P314" i="1"/>
  <c r="O314" i="1"/>
  <c r="N330" i="1"/>
  <c r="O330" i="1"/>
  <c r="P330" i="1"/>
  <c r="P346" i="1"/>
  <c r="O346" i="1"/>
  <c r="N346" i="1"/>
  <c r="P362" i="1"/>
  <c r="O362" i="1"/>
  <c r="N362" i="1"/>
  <c r="P378" i="1"/>
  <c r="N378" i="1"/>
  <c r="O378" i="1"/>
  <c r="O394" i="1"/>
  <c r="N394" i="1"/>
  <c r="P394" i="1"/>
  <c r="N410" i="1"/>
  <c r="O410" i="1"/>
  <c r="P410" i="1"/>
  <c r="P426" i="1"/>
  <c r="O426" i="1"/>
  <c r="N426" i="1"/>
  <c r="P442" i="1"/>
  <c r="N442" i="1"/>
  <c r="Q442" i="1" s="1"/>
  <c r="F440" i="13" s="1"/>
  <c r="O442" i="1"/>
  <c r="P458" i="1"/>
  <c r="O458" i="1"/>
  <c r="N458" i="1"/>
  <c r="Q458" i="1"/>
  <c r="F456" i="13" s="1"/>
  <c r="P474" i="1"/>
  <c r="O474" i="1"/>
  <c r="N474" i="1"/>
  <c r="P490" i="1"/>
  <c r="N490" i="1"/>
  <c r="O490" i="1"/>
  <c r="Q490" i="1"/>
  <c r="F488" i="13" s="1"/>
  <c r="N506" i="1"/>
  <c r="Q506" i="1" s="1"/>
  <c r="F504" i="13" s="1"/>
  <c r="P506" i="1"/>
  <c r="O506" i="1"/>
  <c r="F8" i="8"/>
  <c r="G8" i="8" s="1"/>
  <c r="F24" i="8"/>
  <c r="G24" i="8" s="1"/>
  <c r="F40" i="8"/>
  <c r="G40" i="8" s="1"/>
  <c r="F56" i="8"/>
  <c r="G56" i="8" s="1"/>
  <c r="F72" i="8"/>
  <c r="G72" i="8" s="1"/>
  <c r="F88" i="8"/>
  <c r="G88" i="8" s="1"/>
  <c r="F104" i="8"/>
  <c r="G104" i="8" s="1"/>
  <c r="F120" i="8"/>
  <c r="G120" i="8" s="1"/>
  <c r="F136" i="8"/>
  <c r="G136" i="8" s="1"/>
  <c r="F152" i="8"/>
  <c r="G152" i="8" s="1"/>
  <c r="F168" i="8"/>
  <c r="G168" i="8" s="1"/>
  <c r="F184" i="8"/>
  <c r="G184" i="8" s="1"/>
  <c r="F200" i="8"/>
  <c r="G200" i="8" s="1"/>
  <c r="F216" i="8"/>
  <c r="G216" i="8" s="1"/>
  <c r="F232" i="8"/>
  <c r="G232" i="8" s="1"/>
  <c r="F248" i="8"/>
  <c r="G248" i="8" s="1"/>
  <c r="F264" i="8"/>
  <c r="G264" i="8" s="1"/>
  <c r="F280" i="8"/>
  <c r="G280" i="8" s="1"/>
  <c r="F296" i="8"/>
  <c r="G296" i="8" s="1"/>
  <c r="F312" i="8"/>
  <c r="G312" i="8" s="1"/>
  <c r="F328" i="8"/>
  <c r="G328" i="8" s="1"/>
  <c r="F344" i="8"/>
  <c r="G344" i="8" s="1"/>
  <c r="F360" i="8"/>
  <c r="G360" i="8" s="1"/>
  <c r="F376" i="8"/>
  <c r="G376" i="8" s="1"/>
  <c r="F392" i="8"/>
  <c r="G392" i="8" s="1"/>
  <c r="F408" i="8"/>
  <c r="G408" i="8" s="1"/>
  <c r="F424" i="8"/>
  <c r="G424" i="8" s="1"/>
  <c r="F440" i="8"/>
  <c r="G440" i="8" s="1"/>
  <c r="F456" i="8"/>
  <c r="G456" i="8" s="1"/>
  <c r="F472" i="8"/>
  <c r="G472" i="8" s="1"/>
  <c r="F488" i="8"/>
  <c r="G488" i="8" s="1"/>
  <c r="F504" i="8"/>
  <c r="G504" i="8" s="1"/>
  <c r="F6" i="9"/>
  <c r="F22" i="9"/>
  <c r="F38" i="9"/>
  <c r="F54" i="9"/>
  <c r="F70" i="9"/>
  <c r="F86" i="9"/>
  <c r="F102" i="9"/>
  <c r="F118" i="9"/>
  <c r="F134" i="9"/>
  <c r="F150" i="9"/>
  <c r="F166" i="9"/>
  <c r="F182" i="9"/>
  <c r="F198" i="9"/>
  <c r="F214" i="9"/>
  <c r="F230" i="9"/>
  <c r="F246" i="9"/>
  <c r="F262" i="9"/>
  <c r="F278" i="9"/>
  <c r="F294" i="9"/>
  <c r="F310" i="9"/>
  <c r="F326" i="9"/>
  <c r="F342" i="9"/>
  <c r="F358" i="9"/>
  <c r="F374" i="9"/>
  <c r="F390" i="9"/>
  <c r="F406" i="9"/>
  <c r="F422" i="9"/>
  <c r="F438" i="9"/>
  <c r="F454" i="9"/>
  <c r="F470" i="9"/>
  <c r="F486" i="9"/>
  <c r="F502" i="9"/>
  <c r="F518" i="9"/>
  <c r="Q63" i="1" l="1"/>
  <c r="F61" i="13" s="1"/>
  <c r="Q219" i="1"/>
  <c r="F217" i="13" s="1"/>
  <c r="Q29" i="1"/>
  <c r="F27" i="13" s="1"/>
  <c r="Q399" i="1"/>
  <c r="F397" i="13" s="1"/>
  <c r="Q371" i="1"/>
  <c r="F369" i="13" s="1"/>
  <c r="Q345" i="1"/>
  <c r="F343" i="13" s="1"/>
  <c r="Q13" i="1"/>
  <c r="F11" i="13" s="1"/>
  <c r="Q299" i="1"/>
  <c r="F297" i="13" s="1"/>
  <c r="Q112" i="1"/>
  <c r="F110" i="13" s="1"/>
  <c r="Q279" i="1"/>
  <c r="F277" i="13" s="1"/>
  <c r="Q252" i="1"/>
  <c r="F250" i="13" s="1"/>
  <c r="Q425" i="1"/>
  <c r="F423" i="13" s="1"/>
  <c r="Q261" i="1"/>
  <c r="F259" i="13" s="1"/>
  <c r="Q210" i="1"/>
  <c r="F208" i="13" s="1"/>
  <c r="Q212" i="1"/>
  <c r="F210" i="13" s="1"/>
  <c r="Q426" i="1"/>
  <c r="F424" i="13" s="1"/>
  <c r="Q259" i="1"/>
  <c r="F257" i="13" s="1"/>
  <c r="Q340" i="1"/>
  <c r="F338" i="13" s="1"/>
  <c r="Q156" i="1"/>
  <c r="F154" i="13" s="1"/>
  <c r="Q383" i="1"/>
  <c r="F381" i="13" s="1"/>
  <c r="Q280" i="1"/>
  <c r="F278" i="13" s="1"/>
  <c r="Q70" i="1"/>
  <c r="F68" i="13" s="1"/>
  <c r="Q47" i="1"/>
  <c r="F45" i="13" s="1"/>
  <c r="Q7" i="1"/>
  <c r="F5" i="13" s="1"/>
  <c r="Q188" i="1"/>
  <c r="F186" i="13" s="1"/>
  <c r="Q208" i="1"/>
  <c r="F206" i="13" s="1"/>
  <c r="Q16" i="1"/>
  <c r="F14" i="13" s="1"/>
  <c r="Q138" i="1"/>
  <c r="F136" i="13" s="1"/>
  <c r="Q176" i="1"/>
  <c r="F174" i="13" s="1"/>
  <c r="Q227" i="1"/>
  <c r="F225" i="13" s="1"/>
  <c r="Q248" i="1"/>
  <c r="F246" i="13" s="1"/>
  <c r="Q344" i="1"/>
  <c r="F342" i="13" s="1"/>
  <c r="Q129" i="1"/>
  <c r="F127" i="13" s="1"/>
  <c r="Q180" i="1"/>
  <c r="F178" i="13" s="1"/>
  <c r="Q390" i="1"/>
  <c r="F388" i="13" s="1"/>
  <c r="Q418" i="1"/>
  <c r="F416" i="13" s="1"/>
  <c r="Q97" i="1"/>
  <c r="F95" i="13" s="1"/>
  <c r="Q207" i="1"/>
  <c r="F205" i="13" s="1"/>
  <c r="Q220" i="1"/>
  <c r="F218" i="13" s="1"/>
  <c r="Q253" i="1"/>
  <c r="F251" i="13" s="1"/>
  <c r="Q42" i="1"/>
  <c r="F40" i="13" s="1"/>
  <c r="Q313" i="1"/>
  <c r="F311" i="13" s="1"/>
  <c r="Q272" i="1"/>
  <c r="F270" i="13" s="1"/>
  <c r="Q184" i="1"/>
  <c r="F182" i="13" s="1"/>
  <c r="Q422" i="1"/>
  <c r="F420" i="13" s="1"/>
  <c r="Q435" i="1"/>
  <c r="F433" i="13" s="1"/>
  <c r="Q282" i="1"/>
  <c r="F280" i="13" s="1"/>
  <c r="Q104" i="1"/>
  <c r="F102" i="13" s="1"/>
  <c r="Q161" i="1"/>
  <c r="F159" i="13" s="1"/>
  <c r="Q318" i="1"/>
  <c r="F316" i="13" s="1"/>
  <c r="Q397" i="1"/>
  <c r="F395" i="13" s="1"/>
  <c r="Q246" i="1"/>
  <c r="F244" i="13" s="1"/>
  <c r="Q201" i="1"/>
  <c r="F199" i="13" s="1"/>
  <c r="Q424" i="1"/>
  <c r="F422" i="13" s="1"/>
  <c r="Q321" i="1"/>
  <c r="F319" i="13" s="1"/>
  <c r="Q141" i="1"/>
  <c r="F139" i="13" s="1"/>
  <c r="Q228" i="1"/>
  <c r="F226" i="13" s="1"/>
  <c r="Q358" i="1"/>
  <c r="F356" i="13" s="1"/>
  <c r="Q198" i="1"/>
  <c r="F196" i="13" s="1"/>
  <c r="Q22" i="1"/>
  <c r="F20" i="13" s="1"/>
  <c r="Q236" i="1"/>
  <c r="F234" i="13" s="1"/>
  <c r="Q293" i="1"/>
  <c r="F291" i="13" s="1"/>
  <c r="Q107" i="1"/>
  <c r="F105" i="13" s="1"/>
  <c r="Q320" i="1"/>
  <c r="F318" i="13" s="1"/>
  <c r="Q14" i="1"/>
  <c r="F12" i="13" s="1"/>
  <c r="Q291" i="1"/>
  <c r="F289" i="13" s="1"/>
  <c r="Q386" i="1"/>
  <c r="F384" i="13" s="1"/>
  <c r="Q241" i="1"/>
  <c r="F239" i="13" s="1"/>
  <c r="Q57" i="1"/>
  <c r="F55" i="13" s="1"/>
  <c r="Q225" i="1"/>
  <c r="F223" i="13" s="1"/>
  <c r="Q115" i="1"/>
  <c r="F113" i="13" s="1"/>
  <c r="Q281" i="1"/>
  <c r="F279" i="13" s="1"/>
  <c r="Q151" i="1"/>
  <c r="F149" i="13" s="1"/>
  <c r="Q61" i="1"/>
  <c r="F59" i="13" s="1"/>
  <c r="Q373" i="1"/>
  <c r="F371" i="13" s="1"/>
  <c r="Q346" i="1"/>
  <c r="F344" i="13" s="1"/>
  <c r="Q10" i="1"/>
  <c r="F8" i="13" s="1"/>
  <c r="Q24" i="1"/>
  <c r="F22" i="13" s="1"/>
  <c r="Q49" i="1"/>
  <c r="F47" i="13" s="1"/>
  <c r="Q400" i="1"/>
  <c r="F398" i="13" s="1"/>
  <c r="Q285" i="1"/>
  <c r="F283" i="13" s="1"/>
  <c r="Q66" i="1"/>
  <c r="F64" i="13" s="1"/>
  <c r="Q337" i="1"/>
  <c r="F335" i="13" s="1"/>
  <c r="Q190" i="1"/>
  <c r="F188" i="13" s="1"/>
  <c r="Q350" i="1"/>
  <c r="F348" i="13" s="1"/>
  <c r="Q94" i="1"/>
  <c r="F92" i="13" s="1"/>
  <c r="Q74" i="1"/>
  <c r="F72" i="13" s="1"/>
  <c r="Q54" i="1"/>
  <c r="F52" i="13" s="1"/>
  <c r="Q436" i="1"/>
  <c r="F434" i="13" s="1"/>
  <c r="Q367" i="1"/>
  <c r="F365" i="13" s="1"/>
  <c r="Q92" i="1"/>
  <c r="F90" i="13" s="1"/>
  <c r="Q196" i="1"/>
  <c r="F194" i="13" s="1"/>
  <c r="Q413" i="1"/>
  <c r="F411" i="13" s="1"/>
  <c r="Q140" i="1"/>
  <c r="F138" i="13" s="1"/>
  <c r="Q113" i="1"/>
  <c r="F111" i="13" s="1"/>
  <c r="Q430" i="1"/>
  <c r="F428" i="13" s="1"/>
  <c r="Q314" i="1"/>
  <c r="F312" i="13" s="1"/>
  <c r="Q234" i="1"/>
  <c r="F232" i="13" s="1"/>
  <c r="Q195" i="1"/>
  <c r="F193" i="13" s="1"/>
  <c r="Q385" i="1"/>
  <c r="F383" i="13" s="1"/>
  <c r="Q15" i="1"/>
  <c r="F13" i="13" s="1"/>
  <c r="Q109" i="1"/>
  <c r="F107" i="13" s="1"/>
  <c r="Q68" i="1"/>
  <c r="F66" i="13" s="1"/>
  <c r="Q433" i="1"/>
  <c r="F431" i="13" s="1"/>
  <c r="Q177" i="1"/>
  <c r="F175" i="13" s="1"/>
  <c r="Q163" i="1"/>
  <c r="F161" i="13" s="1"/>
  <c r="Q172" i="1"/>
  <c r="F170" i="13" s="1"/>
  <c r="Q325" i="1"/>
  <c r="F323" i="13" s="1"/>
  <c r="Q245" i="1"/>
  <c r="F243" i="13" s="1"/>
  <c r="Q287" i="1"/>
  <c r="F285" i="13" s="1"/>
  <c r="Q31" i="1"/>
  <c r="F29" i="13" s="1"/>
  <c r="Q298" i="1"/>
  <c r="F296" i="13" s="1"/>
  <c r="Q218" i="1"/>
  <c r="F216" i="13" s="1"/>
  <c r="Q101" i="1"/>
  <c r="F99" i="13" s="1"/>
  <c r="Q389" i="1"/>
  <c r="F387" i="13" s="1"/>
  <c r="Q274" i="1"/>
  <c r="F272" i="13" s="1"/>
  <c r="Q95" i="1"/>
  <c r="F93" i="13" s="1"/>
  <c r="Q347" i="1"/>
  <c r="F345" i="13" s="1"/>
  <c r="Q439" i="1"/>
  <c r="F437" i="13" s="1"/>
  <c r="Q118" i="1"/>
  <c r="F116" i="13" s="1"/>
  <c r="Q354" i="1"/>
  <c r="F352" i="13" s="1"/>
  <c r="Q77" i="1"/>
  <c r="F75" i="13" s="1"/>
  <c r="Q332" i="1"/>
  <c r="F330" i="13" s="1"/>
  <c r="Q35" i="1"/>
  <c r="F33" i="13" s="1"/>
  <c r="Q146" i="1"/>
  <c r="F144" i="13" s="1"/>
  <c r="Q356" i="1"/>
  <c r="F354" i="13" s="1"/>
  <c r="Q148" i="1"/>
  <c r="F146" i="13" s="1"/>
  <c r="Q434" i="1"/>
  <c r="F432" i="13" s="1"/>
  <c r="Q351" i="1"/>
  <c r="F349" i="13" s="1"/>
  <c r="Q205" i="1"/>
  <c r="F203" i="13" s="1"/>
  <c r="Q226" i="1"/>
  <c r="F224" i="13" s="1"/>
  <c r="Q217" i="1"/>
  <c r="F215" i="13" s="1"/>
  <c r="Q258" i="1"/>
  <c r="F256" i="13" s="1"/>
  <c r="Q193" i="1"/>
  <c r="F191" i="13" s="1"/>
  <c r="Q33" i="1"/>
  <c r="F31" i="13" s="1"/>
  <c r="Q377" i="1"/>
  <c r="F375" i="13" s="1"/>
  <c r="Q415" i="1"/>
  <c r="F413" i="13" s="1"/>
  <c r="Q255" i="1"/>
  <c r="F253" i="13" s="1"/>
  <c r="Q263" i="1"/>
  <c r="F261" i="13" s="1"/>
  <c r="Q382" i="1"/>
  <c r="F380" i="13" s="1"/>
  <c r="Q126" i="1"/>
  <c r="F124" i="13" s="1"/>
  <c r="Q331" i="1"/>
  <c r="F329" i="13" s="1"/>
  <c r="Q67" i="1"/>
  <c r="F65" i="13" s="1"/>
  <c r="Q405" i="1"/>
  <c r="F403" i="13" s="1"/>
  <c r="Q158" i="1"/>
  <c r="F156" i="13" s="1"/>
  <c r="Q278" i="1"/>
  <c r="F276" i="13" s="1"/>
  <c r="Q116" i="1"/>
  <c r="F114" i="13" s="1"/>
  <c r="Q361" i="1"/>
  <c r="F359" i="13" s="1"/>
  <c r="Q330" i="1"/>
  <c r="F328" i="13" s="1"/>
  <c r="Q403" i="1"/>
  <c r="F401" i="13" s="1"/>
  <c r="Q369" i="1"/>
  <c r="F367" i="13" s="1"/>
  <c r="Q209" i="1"/>
  <c r="F207" i="13" s="1"/>
  <c r="Q432" i="1"/>
  <c r="F430" i="13" s="1"/>
  <c r="Q323" i="1"/>
  <c r="F321" i="13" s="1"/>
  <c r="Q153" i="1"/>
  <c r="F151" i="13" s="1"/>
  <c r="Q122" i="1"/>
  <c r="F120" i="13" s="1"/>
  <c r="Q181" i="1"/>
  <c r="F179" i="13" s="1"/>
  <c r="Q38" i="1"/>
  <c r="F36" i="13" s="1"/>
  <c r="Q420" i="1"/>
  <c r="F418" i="13" s="1"/>
  <c r="Q85" i="1"/>
  <c r="F83" i="13" s="1"/>
  <c r="Q41" i="1"/>
  <c r="F39" i="13" s="1"/>
  <c r="Q380" i="1"/>
  <c r="F378" i="13" s="1"/>
  <c r="Q410" i="1"/>
  <c r="F408" i="13" s="1"/>
  <c r="Q105" i="1"/>
  <c r="F103" i="13" s="1"/>
  <c r="Q406" i="1"/>
  <c r="F404" i="13" s="1"/>
  <c r="Q166" i="1"/>
  <c r="F164" i="13" s="1"/>
  <c r="Q437" i="1"/>
  <c r="F435" i="13" s="1"/>
  <c r="Q388" i="1"/>
  <c r="F386" i="13" s="1"/>
  <c r="Q82" i="1"/>
  <c r="F80" i="13" s="1"/>
  <c r="Q192" i="1"/>
  <c r="F190" i="13" s="1"/>
  <c r="Q32" i="1"/>
  <c r="F30" i="13" s="1"/>
  <c r="Q127" i="1"/>
  <c r="F125" i="13" s="1"/>
  <c r="Q381" i="1"/>
  <c r="F379" i="13" s="1"/>
  <c r="Q221" i="1"/>
  <c r="F219" i="13" s="1"/>
  <c r="Q99" i="1"/>
  <c r="F97" i="13" s="1"/>
  <c r="Q187" i="1"/>
  <c r="F185" i="13" s="1"/>
  <c r="Q243" i="1"/>
  <c r="F241" i="13" s="1"/>
  <c r="Q309" i="1"/>
  <c r="F307" i="13" s="1"/>
  <c r="Q133" i="1"/>
  <c r="F131" i="13" s="1"/>
  <c r="Q370" i="1"/>
  <c r="F368" i="13" s="1"/>
  <c r="Q360" i="1"/>
  <c r="F358" i="13" s="1"/>
  <c r="Q262" i="1"/>
  <c r="F260" i="13" s="1"/>
  <c r="Q62" i="1"/>
  <c r="F60" i="13" s="1"/>
  <c r="Q303" i="1"/>
  <c r="F301" i="13" s="1"/>
  <c r="Q143" i="1"/>
  <c r="F141" i="13" s="1"/>
  <c r="Q154" i="1"/>
  <c r="F152" i="13" s="1"/>
  <c r="Q185" i="1"/>
  <c r="F183" i="13" s="1"/>
  <c r="Q264" i="1"/>
  <c r="F262" i="13" s="1"/>
  <c r="Q307" i="1"/>
  <c r="F305" i="13" s="1"/>
  <c r="Q6" i="1"/>
  <c r="F4" i="13" s="1"/>
  <c r="Q273" i="1"/>
  <c r="F271" i="13" s="1"/>
  <c r="Q286" i="1"/>
  <c r="F284" i="13" s="1"/>
  <c r="Q301" i="1"/>
  <c r="F299" i="13" s="1"/>
  <c r="Q379" i="1"/>
  <c r="F377" i="13" s="1"/>
  <c r="Q60" i="1"/>
  <c r="F58" i="13" s="1"/>
  <c r="Q157" i="1"/>
  <c r="F155" i="13" s="1"/>
  <c r="Q404" i="1"/>
  <c r="F402" i="13" s="1"/>
  <c r="Q44" i="1"/>
  <c r="F42" i="13" s="1"/>
  <c r="Q203" i="1"/>
  <c r="F201" i="13" s="1"/>
  <c r="Q37" i="1"/>
  <c r="F35" i="13" s="1"/>
  <c r="Q292" i="1"/>
  <c r="F290" i="13" s="1"/>
  <c r="Q355" i="1"/>
  <c r="F353" i="13" s="1"/>
  <c r="Q242" i="1"/>
  <c r="F240" i="13" s="1"/>
  <c r="Q96" i="1"/>
  <c r="F94" i="13" s="1"/>
  <c r="Q160" i="1"/>
  <c r="F158" i="13" s="1"/>
  <c r="Q268" i="1"/>
  <c r="F266" i="13" s="1"/>
  <c r="Q366" i="1"/>
  <c r="F364" i="13" s="1"/>
  <c r="Q270" i="1"/>
  <c r="F268" i="13" s="1"/>
  <c r="Q110" i="1"/>
  <c r="F108" i="13" s="1"/>
  <c r="Q11" i="1"/>
  <c r="F9" i="13" s="1"/>
  <c r="Q229" i="1"/>
  <c r="F227" i="13" s="1"/>
  <c r="Q215" i="1"/>
  <c r="F213" i="13" s="1"/>
  <c r="Q304" i="1"/>
  <c r="F302" i="13" s="1"/>
  <c r="Q305" i="1"/>
  <c r="F303" i="13" s="1"/>
  <c r="Q145" i="1"/>
  <c r="F143" i="13" s="1"/>
  <c r="Q249" i="1"/>
  <c r="F247" i="13" s="1"/>
  <c r="Q9" i="1"/>
  <c r="F7" i="13" s="1"/>
  <c r="Q165" i="1"/>
  <c r="F163" i="13" s="1"/>
  <c r="Q408" i="1"/>
  <c r="F406" i="13" s="1"/>
  <c r="Q88" i="1"/>
  <c r="F86" i="13" s="1"/>
  <c r="Q199" i="1"/>
  <c r="F197" i="13" s="1"/>
  <c r="Q402" i="1"/>
  <c r="F400" i="13" s="1"/>
  <c r="Q256" i="1"/>
  <c r="F254" i="13" s="1"/>
  <c r="Q43" i="1"/>
  <c r="F41" i="13" s="1"/>
  <c r="Q431" i="1"/>
  <c r="F429" i="13" s="1"/>
  <c r="Q365" i="1"/>
  <c r="F363" i="13" s="1"/>
  <c r="Q204" i="1"/>
  <c r="F202" i="13" s="1"/>
  <c r="Q56" i="1"/>
  <c r="F54" i="13" s="1"/>
  <c r="Q53" i="1"/>
  <c r="F51" i="13" s="1"/>
  <c r="Q34" i="1"/>
  <c r="F32" i="13" s="1"/>
  <c r="Q100" i="1"/>
  <c r="F98" i="13" s="1"/>
  <c r="Q266" i="1"/>
  <c r="F264" i="13" s="1"/>
  <c r="Q121" i="1"/>
  <c r="F119" i="13" s="1"/>
  <c r="Q89" i="1"/>
  <c r="F87" i="13" s="1"/>
  <c r="Q168" i="1"/>
  <c r="F166" i="13" s="1"/>
  <c r="Q421" i="1"/>
  <c r="F419" i="13" s="1"/>
  <c r="Q80" i="1"/>
  <c r="F78" i="13" s="1"/>
  <c r="Q117" i="1"/>
  <c r="F115" i="13" s="1"/>
  <c r="Q93" i="1"/>
  <c r="F91" i="13" s="1"/>
  <c r="Q5" i="1"/>
  <c r="F3" i="13" s="1"/>
  <c r="Q130" i="1"/>
  <c r="F128" i="13" s="1"/>
  <c r="Q17" i="1"/>
  <c r="F15" i="13" s="1"/>
  <c r="Q335" i="1"/>
  <c r="F333" i="13" s="1"/>
  <c r="Q296" i="1"/>
  <c r="F294" i="13" s="1"/>
  <c r="Q48" i="1"/>
  <c r="F46" i="13" s="1"/>
  <c r="Q275" i="1"/>
  <c r="F273" i="13" s="1"/>
  <c r="Q423" i="1"/>
  <c r="F421" i="13" s="1"/>
  <c r="Q79" i="1"/>
  <c r="F77" i="13" s="1"/>
  <c r="Q123" i="1"/>
  <c r="F121" i="13" s="1"/>
  <c r="Q222" i="1"/>
  <c r="F220" i="13" s="1"/>
  <c r="Q363" i="1"/>
  <c r="F361" i="13" s="1"/>
  <c r="Q342" i="1"/>
  <c r="F340" i="13" s="1"/>
  <c r="Q182" i="1"/>
  <c r="F180" i="13" s="1"/>
  <c r="Q378" i="1"/>
  <c r="F376" i="13" s="1"/>
  <c r="Q375" i="1"/>
  <c r="F373" i="13" s="1"/>
  <c r="Q392" i="1"/>
  <c r="F390" i="13" s="1"/>
  <c r="Q312" i="1"/>
  <c r="F310" i="13" s="1"/>
  <c r="Q214" i="1"/>
  <c r="F212" i="13" s="1"/>
  <c r="Q306" i="1"/>
  <c r="F304" i="13" s="1"/>
  <c r="Q240" i="1"/>
  <c r="F238" i="13" s="1"/>
  <c r="Q254" i="1"/>
  <c r="F252" i="13" s="1"/>
  <c r="Q55" i="1"/>
  <c r="F53" i="13" s="1"/>
  <c r="Q189" i="1"/>
  <c r="F187" i="13" s="1"/>
  <c r="Q45" i="1"/>
  <c r="F43" i="13" s="1"/>
  <c r="Q412" i="1"/>
  <c r="F410" i="13" s="1"/>
  <c r="Q235" i="1"/>
  <c r="F233" i="13" s="1"/>
  <c r="Q290" i="1"/>
  <c r="F288" i="13" s="1"/>
  <c r="Q284" i="1"/>
  <c r="F282" i="13" s="1"/>
  <c r="Q84" i="1"/>
  <c r="F82" i="13" s="1"/>
  <c r="Q300" i="1"/>
  <c r="F298" i="13" s="1"/>
  <c r="Q102" i="1"/>
  <c r="F100" i="13" s="1"/>
  <c r="Q20" i="1"/>
  <c r="F18" i="13" s="1"/>
  <c r="Q142" i="1"/>
  <c r="F140" i="13" s="1"/>
  <c r="Q12" i="1"/>
  <c r="F10" i="13" s="1"/>
  <c r="Q73" i="1"/>
  <c r="F71" i="13" s="1"/>
  <c r="Q232" i="1"/>
  <c r="F230" i="13" s="1"/>
  <c r="Q152" i="1"/>
  <c r="F150" i="13" s="1"/>
  <c r="Q374" i="1"/>
  <c r="F372" i="13" s="1"/>
  <c r="Q294" i="1"/>
  <c r="F292" i="13" s="1"/>
  <c r="Q50" i="1"/>
  <c r="F48" i="13" s="1"/>
  <c r="Q295" i="1"/>
  <c r="F293" i="13" s="1"/>
  <c r="Q174" i="1"/>
  <c r="F172" i="13" s="1"/>
  <c r="Q269" i="1"/>
  <c r="F267" i="13" s="1"/>
  <c r="Q164" i="1"/>
  <c r="F162" i="13" s="1"/>
  <c r="I358" i="9"/>
  <c r="H358" i="9"/>
  <c r="G358" i="9"/>
  <c r="H226" i="9"/>
  <c r="I226" i="9"/>
  <c r="G226" i="9"/>
  <c r="I415" i="9"/>
  <c r="H415" i="9"/>
  <c r="G415" i="9"/>
  <c r="I33" i="8"/>
  <c r="J33" i="8"/>
  <c r="H33" i="8"/>
  <c r="H350" i="9"/>
  <c r="G350" i="9"/>
  <c r="I350" i="9"/>
  <c r="I94" i="9"/>
  <c r="G94" i="9"/>
  <c r="H94" i="9"/>
  <c r="I352" i="8"/>
  <c r="H352" i="8"/>
  <c r="J352" i="8"/>
  <c r="J239" i="8"/>
  <c r="I239" i="8"/>
  <c r="H239" i="8"/>
  <c r="I229" i="9"/>
  <c r="G229" i="9"/>
  <c r="H229" i="9"/>
  <c r="H231" i="8"/>
  <c r="J231" i="8"/>
  <c r="I231" i="8"/>
  <c r="G212" i="9"/>
  <c r="I212" i="9"/>
  <c r="H212" i="9"/>
  <c r="I470" i="8"/>
  <c r="H470" i="8"/>
  <c r="K470" i="8" s="1"/>
  <c r="L470" i="8" s="1"/>
  <c r="G468" i="13" s="1"/>
  <c r="J470" i="8"/>
  <c r="I214" i="8"/>
  <c r="H214" i="8"/>
  <c r="J214" i="8"/>
  <c r="Q202" i="1"/>
  <c r="F200" i="13" s="1"/>
  <c r="Q186" i="1"/>
  <c r="F184" i="13" s="1"/>
  <c r="Q26" i="1"/>
  <c r="F24" i="13" s="1"/>
  <c r="Q329" i="1"/>
  <c r="F327" i="13" s="1"/>
  <c r="I436" i="9"/>
  <c r="H436" i="9"/>
  <c r="G436" i="9"/>
  <c r="H308" i="9"/>
  <c r="I308" i="9"/>
  <c r="G308" i="9"/>
  <c r="H180" i="9"/>
  <c r="G180" i="9"/>
  <c r="I180" i="9"/>
  <c r="H52" i="9"/>
  <c r="G52" i="9"/>
  <c r="I52" i="9"/>
  <c r="H438" i="8"/>
  <c r="I438" i="8"/>
  <c r="J438" i="8"/>
  <c r="H310" i="8"/>
  <c r="J310" i="8"/>
  <c r="I310" i="8"/>
  <c r="H182" i="8"/>
  <c r="J182" i="8"/>
  <c r="I182" i="8"/>
  <c r="I54" i="8"/>
  <c r="J54" i="8"/>
  <c r="H54" i="8"/>
  <c r="Q120" i="1"/>
  <c r="F118" i="13" s="1"/>
  <c r="Q40" i="1"/>
  <c r="F38" i="13" s="1"/>
  <c r="Q343" i="1"/>
  <c r="F341" i="13" s="1"/>
  <c r="Q131" i="1"/>
  <c r="F129" i="13" s="1"/>
  <c r="Q455" i="1"/>
  <c r="F453" i="13" s="1"/>
  <c r="Q36" i="1"/>
  <c r="F34" i="13" s="1"/>
  <c r="Q357" i="1"/>
  <c r="F355" i="13" s="1"/>
  <c r="G432" i="9"/>
  <c r="I432" i="9"/>
  <c r="H432" i="9"/>
  <c r="H304" i="9"/>
  <c r="G304" i="9"/>
  <c r="I304" i="9"/>
  <c r="H176" i="9"/>
  <c r="I176" i="9"/>
  <c r="G176" i="9"/>
  <c r="I48" i="9"/>
  <c r="H48" i="9"/>
  <c r="G48" i="9"/>
  <c r="H434" i="8"/>
  <c r="J434" i="8"/>
  <c r="I434" i="8"/>
  <c r="I306" i="8"/>
  <c r="H306" i="8"/>
  <c r="J306" i="8"/>
  <c r="J178" i="8"/>
  <c r="I178" i="8"/>
  <c r="H178" i="8"/>
  <c r="H50" i="8"/>
  <c r="I50" i="8"/>
  <c r="J50" i="8"/>
  <c r="Q324" i="1"/>
  <c r="F322" i="13" s="1"/>
  <c r="I495" i="9"/>
  <c r="H495" i="9"/>
  <c r="G495" i="9"/>
  <c r="J495" i="9" s="1"/>
  <c r="K495" i="9" s="1"/>
  <c r="H493" i="13" s="1"/>
  <c r="H367" i="9"/>
  <c r="I367" i="9"/>
  <c r="G367" i="9"/>
  <c r="I239" i="9"/>
  <c r="H239" i="9"/>
  <c r="G239" i="9"/>
  <c r="H111" i="9"/>
  <c r="G111" i="9"/>
  <c r="I111" i="9"/>
  <c r="I497" i="8"/>
  <c r="H497" i="8"/>
  <c r="K497" i="8" s="1"/>
  <c r="L497" i="8" s="1"/>
  <c r="G495" i="13" s="1"/>
  <c r="J497" i="8"/>
  <c r="J369" i="8"/>
  <c r="I369" i="8"/>
  <c r="H369" i="8"/>
  <c r="H241" i="8"/>
  <c r="J241" i="8"/>
  <c r="I241" i="8"/>
  <c r="J113" i="8"/>
  <c r="I113" i="8"/>
  <c r="H113" i="8"/>
  <c r="G430" i="9"/>
  <c r="I430" i="9"/>
  <c r="H430" i="9"/>
  <c r="I302" i="9"/>
  <c r="H302" i="9"/>
  <c r="G302" i="9"/>
  <c r="G174" i="9"/>
  <c r="I174" i="9"/>
  <c r="H174" i="9"/>
  <c r="H46" i="9"/>
  <c r="I46" i="9"/>
  <c r="G46" i="9"/>
  <c r="H432" i="8"/>
  <c r="J432" i="8"/>
  <c r="I432" i="8"/>
  <c r="I304" i="8"/>
  <c r="J304" i="8"/>
  <c r="H304" i="8"/>
  <c r="I176" i="8"/>
  <c r="J176" i="8"/>
  <c r="H176" i="8"/>
  <c r="I48" i="8"/>
  <c r="J48" i="8"/>
  <c r="H48" i="8"/>
  <c r="Q98" i="1"/>
  <c r="F96" i="13" s="1"/>
  <c r="H445" i="9"/>
  <c r="G445" i="9"/>
  <c r="J445" i="9" s="1"/>
  <c r="K445" i="9" s="1"/>
  <c r="H443" i="13" s="1"/>
  <c r="I445" i="9"/>
  <c r="I317" i="9"/>
  <c r="H317" i="9"/>
  <c r="G317" i="9"/>
  <c r="G189" i="9"/>
  <c r="I189" i="9"/>
  <c r="H189" i="9"/>
  <c r="G61" i="9"/>
  <c r="H61" i="9"/>
  <c r="I61" i="9"/>
  <c r="I447" i="8"/>
  <c r="H447" i="8"/>
  <c r="K447" i="8" s="1"/>
  <c r="L447" i="8" s="1"/>
  <c r="G445" i="13" s="1"/>
  <c r="L445" i="13" s="1"/>
  <c r="J447" i="8"/>
  <c r="H319" i="8"/>
  <c r="J319" i="8"/>
  <c r="I319" i="8"/>
  <c r="I191" i="8"/>
  <c r="H191" i="8"/>
  <c r="J191" i="8"/>
  <c r="I63" i="8"/>
  <c r="H63" i="8"/>
  <c r="J63" i="8"/>
  <c r="Q257" i="1"/>
  <c r="F255" i="13" s="1"/>
  <c r="I396" i="9"/>
  <c r="G396" i="9"/>
  <c r="H396" i="9"/>
  <c r="G268" i="9"/>
  <c r="H268" i="9"/>
  <c r="I268" i="9"/>
  <c r="G140" i="9"/>
  <c r="H140" i="9"/>
  <c r="I140" i="9"/>
  <c r="H12" i="9"/>
  <c r="G12" i="9"/>
  <c r="I12" i="9"/>
  <c r="I398" i="8"/>
  <c r="J398" i="8"/>
  <c r="H398" i="8"/>
  <c r="H270" i="8"/>
  <c r="J270" i="8"/>
  <c r="I270" i="8"/>
  <c r="H142" i="8"/>
  <c r="J142" i="8"/>
  <c r="I142" i="8"/>
  <c r="I14" i="8"/>
  <c r="J14" i="8"/>
  <c r="H14" i="8"/>
  <c r="I507" i="9"/>
  <c r="H507" i="9"/>
  <c r="G507" i="9"/>
  <c r="J507" i="9"/>
  <c r="K507" i="9" s="1"/>
  <c r="H505" i="13" s="1"/>
  <c r="I379" i="9"/>
  <c r="G379" i="9"/>
  <c r="H379" i="9"/>
  <c r="I251" i="9"/>
  <c r="H251" i="9"/>
  <c r="G251" i="9"/>
  <c r="G123" i="9"/>
  <c r="I123" i="9"/>
  <c r="H123" i="9"/>
  <c r="H509" i="8"/>
  <c r="J509" i="8"/>
  <c r="I509" i="8"/>
  <c r="K509" i="8"/>
  <c r="L509" i="8" s="1"/>
  <c r="G507" i="13" s="1"/>
  <c r="J381" i="8"/>
  <c r="H381" i="8"/>
  <c r="I381" i="8"/>
  <c r="J253" i="8"/>
  <c r="H253" i="8"/>
  <c r="I253" i="8"/>
  <c r="H125" i="8"/>
  <c r="I125" i="8"/>
  <c r="J125" i="8"/>
  <c r="Q511" i="1"/>
  <c r="F509" i="13" s="1"/>
  <c r="H393" i="9"/>
  <c r="G393" i="9"/>
  <c r="I393" i="9"/>
  <c r="I265" i="9"/>
  <c r="H265" i="9"/>
  <c r="G265" i="9"/>
  <c r="I137" i="9"/>
  <c r="G137" i="9"/>
  <c r="H137" i="9"/>
  <c r="H9" i="9"/>
  <c r="I9" i="9"/>
  <c r="G9" i="9"/>
  <c r="I395" i="8"/>
  <c r="H395" i="8"/>
  <c r="J395" i="8"/>
  <c r="I267" i="8"/>
  <c r="H267" i="8"/>
  <c r="J267" i="8"/>
  <c r="J139" i="8"/>
  <c r="H139" i="8"/>
  <c r="I139" i="8"/>
  <c r="H11" i="8"/>
  <c r="I11" i="8"/>
  <c r="J11" i="8"/>
  <c r="Q237" i="1"/>
  <c r="F235" i="13" s="1"/>
  <c r="Q492" i="1"/>
  <c r="F490" i="13" s="1"/>
  <c r="G503" i="9"/>
  <c r="J503" i="9" s="1"/>
  <c r="K503" i="9" s="1"/>
  <c r="H501" i="13" s="1"/>
  <c r="I503" i="9"/>
  <c r="H503" i="9"/>
  <c r="I375" i="9"/>
  <c r="H375" i="9"/>
  <c r="G375" i="9"/>
  <c r="G247" i="9"/>
  <c r="H247" i="9"/>
  <c r="I247" i="9"/>
  <c r="I119" i="9"/>
  <c r="H119" i="9"/>
  <c r="G119" i="9"/>
  <c r="I505" i="8"/>
  <c r="K505" i="8" s="1"/>
  <c r="L505" i="8" s="1"/>
  <c r="G503" i="13" s="1"/>
  <c r="H505" i="8"/>
  <c r="J505" i="8"/>
  <c r="H377" i="8"/>
  <c r="I377" i="8"/>
  <c r="J377" i="8"/>
  <c r="J249" i="8"/>
  <c r="H249" i="8"/>
  <c r="I249" i="8"/>
  <c r="I121" i="8"/>
  <c r="H121" i="8"/>
  <c r="J121" i="8"/>
  <c r="Q443" i="1"/>
  <c r="F441" i="13" s="1"/>
  <c r="Q135" i="1"/>
  <c r="F133" i="13" s="1"/>
  <c r="H503" i="8"/>
  <c r="J503" i="8"/>
  <c r="I503" i="8"/>
  <c r="K503" i="8"/>
  <c r="L503" i="8" s="1"/>
  <c r="G501" i="13" s="1"/>
  <c r="J213" i="8"/>
  <c r="I213" i="8"/>
  <c r="H213" i="8"/>
  <c r="G161" i="9"/>
  <c r="I161" i="9"/>
  <c r="H161" i="9"/>
  <c r="I226" i="8"/>
  <c r="H226" i="8"/>
  <c r="J226" i="8"/>
  <c r="I422" i="9"/>
  <c r="H422" i="9"/>
  <c r="G422" i="9"/>
  <c r="G294" i="9"/>
  <c r="I294" i="9"/>
  <c r="H294" i="9"/>
  <c r="I166" i="9"/>
  <c r="H166" i="9"/>
  <c r="G166" i="9"/>
  <c r="I38" i="9"/>
  <c r="H38" i="9"/>
  <c r="G38" i="9"/>
  <c r="J424" i="8"/>
  <c r="H424" i="8"/>
  <c r="I424" i="8"/>
  <c r="H296" i="8"/>
  <c r="J296" i="8"/>
  <c r="I296" i="8"/>
  <c r="H168" i="8"/>
  <c r="J168" i="8"/>
  <c r="I168" i="8"/>
  <c r="H40" i="8"/>
  <c r="I40" i="8"/>
  <c r="J40" i="8"/>
  <c r="Q106" i="1"/>
  <c r="F104" i="13" s="1"/>
  <c r="Q211" i="1"/>
  <c r="F209" i="13" s="1"/>
  <c r="H437" i="9"/>
  <c r="I437" i="9"/>
  <c r="G437" i="9"/>
  <c r="I309" i="9"/>
  <c r="H309" i="9"/>
  <c r="G309" i="9"/>
  <c r="H181" i="9"/>
  <c r="I181" i="9"/>
  <c r="G181" i="9"/>
  <c r="G53" i="9"/>
  <c r="I53" i="9"/>
  <c r="H53" i="9"/>
  <c r="J439" i="8"/>
  <c r="H439" i="8"/>
  <c r="I439" i="8"/>
  <c r="J311" i="8"/>
  <c r="H311" i="8"/>
  <c r="I311" i="8"/>
  <c r="J183" i="8"/>
  <c r="H183" i="8"/>
  <c r="I183" i="8"/>
  <c r="I55" i="8"/>
  <c r="H55" i="8"/>
  <c r="J55" i="8"/>
  <c r="Q393" i="1"/>
  <c r="F391" i="13" s="1"/>
  <c r="I403" i="9"/>
  <c r="H403" i="9"/>
  <c r="G403" i="9"/>
  <c r="I275" i="9"/>
  <c r="G275" i="9"/>
  <c r="H275" i="9"/>
  <c r="I147" i="9"/>
  <c r="G147" i="9"/>
  <c r="H147" i="9"/>
  <c r="G19" i="9"/>
  <c r="I19" i="9"/>
  <c r="H19" i="9"/>
  <c r="H405" i="8"/>
  <c r="J405" i="8"/>
  <c r="I405" i="8"/>
  <c r="H277" i="8"/>
  <c r="J277" i="8"/>
  <c r="I277" i="8"/>
  <c r="H149" i="8"/>
  <c r="I149" i="8"/>
  <c r="J149" i="8"/>
  <c r="H21" i="8"/>
  <c r="I21" i="8"/>
  <c r="J21" i="8"/>
  <c r="I418" i="9"/>
  <c r="H418" i="9"/>
  <c r="G418" i="9"/>
  <c r="I290" i="9"/>
  <c r="G290" i="9"/>
  <c r="H290" i="9"/>
  <c r="H162" i="9"/>
  <c r="I162" i="9"/>
  <c r="G162" i="9"/>
  <c r="I34" i="9"/>
  <c r="H34" i="9"/>
  <c r="G34" i="9"/>
  <c r="I420" i="8"/>
  <c r="J420" i="8"/>
  <c r="H420" i="8"/>
  <c r="H292" i="8"/>
  <c r="J292" i="8"/>
  <c r="I292" i="8"/>
  <c r="J164" i="8"/>
  <c r="I164" i="8"/>
  <c r="H164" i="8"/>
  <c r="I36" i="8"/>
  <c r="J36" i="8"/>
  <c r="H36" i="8"/>
  <c r="Q470" i="1"/>
  <c r="F468" i="13" s="1"/>
  <c r="G481" i="9"/>
  <c r="I481" i="9"/>
  <c r="H481" i="9"/>
  <c r="J481" i="9"/>
  <c r="K481" i="9" s="1"/>
  <c r="H479" i="13" s="1"/>
  <c r="G353" i="9"/>
  <c r="H353" i="9"/>
  <c r="I353" i="9"/>
  <c r="H225" i="9"/>
  <c r="I225" i="9"/>
  <c r="G225" i="9"/>
  <c r="G97" i="9"/>
  <c r="I97" i="9"/>
  <c r="H97" i="9"/>
  <c r="H483" i="8"/>
  <c r="J483" i="8"/>
  <c r="I483" i="8"/>
  <c r="K483" i="8"/>
  <c r="L483" i="8" s="1"/>
  <c r="G481" i="13" s="1"/>
  <c r="H355" i="8"/>
  <c r="I355" i="8"/>
  <c r="J355" i="8"/>
  <c r="I227" i="8"/>
  <c r="H227" i="8"/>
  <c r="J227" i="8"/>
  <c r="J99" i="8"/>
  <c r="I99" i="8"/>
  <c r="H99" i="8"/>
  <c r="Q501" i="1"/>
  <c r="F499" i="13" s="1"/>
  <c r="Q468" i="1"/>
  <c r="F466" i="13" s="1"/>
  <c r="Q178" i="1"/>
  <c r="F176" i="13" s="1"/>
  <c r="Q288" i="1"/>
  <c r="F286" i="13" s="1"/>
  <c r="Q223" i="1"/>
  <c r="F221" i="13" s="1"/>
  <c r="I490" i="9"/>
  <c r="H490" i="9"/>
  <c r="G490" i="9"/>
  <c r="J490" i="9" s="1"/>
  <c r="K490" i="9" s="1"/>
  <c r="H488" i="13" s="1"/>
  <c r="H362" i="9"/>
  <c r="I362" i="9"/>
  <c r="G362" i="9"/>
  <c r="G234" i="9"/>
  <c r="I234" i="9"/>
  <c r="H234" i="9"/>
  <c r="I106" i="9"/>
  <c r="H106" i="9"/>
  <c r="G106" i="9"/>
  <c r="J492" i="8"/>
  <c r="I492" i="8"/>
  <c r="H492" i="8"/>
  <c r="K492" i="8" s="1"/>
  <c r="L492" i="8" s="1"/>
  <c r="G490" i="13" s="1"/>
  <c r="H364" i="8"/>
  <c r="J364" i="8"/>
  <c r="I364" i="8"/>
  <c r="J236" i="8"/>
  <c r="I236" i="8"/>
  <c r="H236" i="8"/>
  <c r="J108" i="8"/>
  <c r="H108" i="8"/>
  <c r="I108" i="8"/>
  <c r="Q206" i="1"/>
  <c r="F204" i="13" s="1"/>
  <c r="G456" i="9"/>
  <c r="J456" i="9" s="1"/>
  <c r="K456" i="9" s="1"/>
  <c r="H454" i="13" s="1"/>
  <c r="H456" i="9"/>
  <c r="I456" i="9"/>
  <c r="I328" i="9"/>
  <c r="G328" i="9"/>
  <c r="H328" i="9"/>
  <c r="H200" i="9"/>
  <c r="G200" i="9"/>
  <c r="I200" i="9"/>
  <c r="G72" i="9"/>
  <c r="I72" i="9"/>
  <c r="H72" i="9"/>
  <c r="J458" i="8"/>
  <c r="I458" i="8"/>
  <c r="H458" i="8"/>
  <c r="K458" i="8" s="1"/>
  <c r="L458" i="8" s="1"/>
  <c r="G456" i="13" s="1"/>
  <c r="H330" i="8"/>
  <c r="I330" i="8"/>
  <c r="J330" i="8"/>
  <c r="J202" i="8"/>
  <c r="I202" i="8"/>
  <c r="H202" i="8"/>
  <c r="J74" i="8"/>
  <c r="H74" i="8"/>
  <c r="I74" i="8"/>
  <c r="Q283" i="1"/>
  <c r="F281" i="13" s="1"/>
  <c r="H83" i="9"/>
  <c r="I83" i="9"/>
  <c r="G83" i="9"/>
  <c r="I480" i="9"/>
  <c r="H480" i="9"/>
  <c r="G480" i="9"/>
  <c r="J480" i="9"/>
  <c r="K480" i="9" s="1"/>
  <c r="H478" i="13" s="1"/>
  <c r="H36" i="9"/>
  <c r="I36" i="9"/>
  <c r="G36" i="9"/>
  <c r="J38" i="8"/>
  <c r="I38" i="8"/>
  <c r="H38" i="8"/>
  <c r="G160" i="9"/>
  <c r="H160" i="9"/>
  <c r="I160" i="9"/>
  <c r="J34" i="8"/>
  <c r="H34" i="8"/>
  <c r="I34" i="8"/>
  <c r="I479" i="9"/>
  <c r="H479" i="9"/>
  <c r="G479" i="9"/>
  <c r="J479" i="9"/>
  <c r="K479" i="9" s="1"/>
  <c r="H477" i="13" s="1"/>
  <c r="H223" i="9"/>
  <c r="G223" i="9"/>
  <c r="I223" i="9"/>
  <c r="I95" i="9"/>
  <c r="H95" i="9"/>
  <c r="G95" i="9"/>
  <c r="H481" i="8"/>
  <c r="K481" i="8" s="1"/>
  <c r="L481" i="8" s="1"/>
  <c r="G479" i="13" s="1"/>
  <c r="L479" i="13" s="1"/>
  <c r="J481" i="8"/>
  <c r="I481" i="8"/>
  <c r="H353" i="8"/>
  <c r="I353" i="8"/>
  <c r="J353" i="8"/>
  <c r="J225" i="8"/>
  <c r="I225" i="8"/>
  <c r="H225" i="8"/>
  <c r="I97" i="8"/>
  <c r="H97" i="8"/>
  <c r="J97" i="8"/>
  <c r="H414" i="9"/>
  <c r="G414" i="9"/>
  <c r="I414" i="9"/>
  <c r="I286" i="9"/>
  <c r="H286" i="9"/>
  <c r="G286" i="9"/>
  <c r="I30" i="9"/>
  <c r="G30" i="9"/>
  <c r="H30" i="9"/>
  <c r="J416" i="8"/>
  <c r="H416" i="8"/>
  <c r="I416" i="8"/>
  <c r="J288" i="8"/>
  <c r="I288" i="8"/>
  <c r="H288" i="8"/>
  <c r="J160" i="8"/>
  <c r="H160" i="8"/>
  <c r="I160" i="8"/>
  <c r="I32" i="8"/>
  <c r="J32" i="8"/>
  <c r="H32" i="8"/>
  <c r="G429" i="9"/>
  <c r="I429" i="9"/>
  <c r="H429" i="9"/>
  <c r="H301" i="9"/>
  <c r="I301" i="9"/>
  <c r="G301" i="9"/>
  <c r="I173" i="9"/>
  <c r="H173" i="9"/>
  <c r="G173" i="9"/>
  <c r="H45" i="9"/>
  <c r="I45" i="9"/>
  <c r="G45" i="9"/>
  <c r="I431" i="8"/>
  <c r="H431" i="8"/>
  <c r="J431" i="8"/>
  <c r="I303" i="8"/>
  <c r="H303" i="8"/>
  <c r="J303" i="8"/>
  <c r="I175" i="8"/>
  <c r="H175" i="8"/>
  <c r="J175" i="8"/>
  <c r="J47" i="8"/>
  <c r="H47" i="8"/>
  <c r="I47" i="8"/>
  <c r="G508" i="9"/>
  <c r="I508" i="9"/>
  <c r="H508" i="9"/>
  <c r="J508" i="9" s="1"/>
  <c r="K508" i="9" s="1"/>
  <c r="H506" i="13" s="1"/>
  <c r="I380" i="9"/>
  <c r="H380" i="9"/>
  <c r="G380" i="9"/>
  <c r="H252" i="9"/>
  <c r="G252" i="9"/>
  <c r="I252" i="9"/>
  <c r="I124" i="9"/>
  <c r="G124" i="9"/>
  <c r="H124" i="9"/>
  <c r="J510" i="8"/>
  <c r="I510" i="8"/>
  <c r="H510" i="8"/>
  <c r="K510" i="8" s="1"/>
  <c r="L510" i="8" s="1"/>
  <c r="G508" i="13" s="1"/>
  <c r="H382" i="8"/>
  <c r="I382" i="8"/>
  <c r="J382" i="8"/>
  <c r="H254" i="8"/>
  <c r="I254" i="8"/>
  <c r="J254" i="8"/>
  <c r="J126" i="8"/>
  <c r="I126" i="8"/>
  <c r="H126" i="8"/>
  <c r="H491" i="9"/>
  <c r="G491" i="9"/>
  <c r="J491" i="9" s="1"/>
  <c r="K491" i="9" s="1"/>
  <c r="H489" i="13" s="1"/>
  <c r="I491" i="9"/>
  <c r="I363" i="9"/>
  <c r="H363" i="9"/>
  <c r="G363" i="9"/>
  <c r="H235" i="9"/>
  <c r="G235" i="9"/>
  <c r="I235" i="9"/>
  <c r="I107" i="9"/>
  <c r="H107" i="9"/>
  <c r="G107" i="9"/>
  <c r="H493" i="8"/>
  <c r="K493" i="8" s="1"/>
  <c r="L493" i="8" s="1"/>
  <c r="G491" i="13" s="1"/>
  <c r="L491" i="13" s="1"/>
  <c r="J493" i="8"/>
  <c r="I493" i="8"/>
  <c r="I365" i="8"/>
  <c r="H365" i="8"/>
  <c r="J365" i="8"/>
  <c r="I237" i="8"/>
  <c r="J237" i="8"/>
  <c r="H237" i="8"/>
  <c r="I109" i="8"/>
  <c r="J109" i="8"/>
  <c r="H109" i="8"/>
  <c r="Q75" i="1"/>
  <c r="F73" i="13" s="1"/>
  <c r="G505" i="9"/>
  <c r="H505" i="9"/>
  <c r="J505" i="9" s="1"/>
  <c r="K505" i="9" s="1"/>
  <c r="H503" i="13" s="1"/>
  <c r="I505" i="9"/>
  <c r="G377" i="9"/>
  <c r="H377" i="9"/>
  <c r="I377" i="9"/>
  <c r="H249" i="9"/>
  <c r="G249" i="9"/>
  <c r="I249" i="9"/>
  <c r="H121" i="9"/>
  <c r="I121" i="9"/>
  <c r="G121" i="9"/>
  <c r="I507" i="8"/>
  <c r="H507" i="8"/>
  <c r="K507" i="8" s="1"/>
  <c r="L507" i="8" s="1"/>
  <c r="G505" i="13" s="1"/>
  <c r="J507" i="8"/>
  <c r="I379" i="8"/>
  <c r="H379" i="8"/>
  <c r="J379" i="8"/>
  <c r="J251" i="8"/>
  <c r="I251" i="8"/>
  <c r="H251" i="8"/>
  <c r="J123" i="8"/>
  <c r="I123" i="8"/>
  <c r="H123" i="8"/>
  <c r="G487" i="9"/>
  <c r="J487" i="9" s="1"/>
  <c r="K487" i="9" s="1"/>
  <c r="H485" i="13" s="1"/>
  <c r="I487" i="9"/>
  <c r="H487" i="9"/>
  <c r="H359" i="9"/>
  <c r="G359" i="9"/>
  <c r="I359" i="9"/>
  <c r="H231" i="9"/>
  <c r="I231" i="9"/>
  <c r="G231" i="9"/>
  <c r="I103" i="9"/>
  <c r="H103" i="9"/>
  <c r="G103" i="9"/>
  <c r="H489" i="8"/>
  <c r="K489" i="8" s="1"/>
  <c r="L489" i="8" s="1"/>
  <c r="G487" i="13" s="1"/>
  <c r="L487" i="13" s="1"/>
  <c r="J489" i="8"/>
  <c r="I489" i="8"/>
  <c r="I361" i="8"/>
  <c r="J361" i="8"/>
  <c r="H361" i="8"/>
  <c r="H233" i="8"/>
  <c r="J233" i="8"/>
  <c r="I233" i="8"/>
  <c r="I105" i="8"/>
  <c r="H105" i="8"/>
  <c r="J105" i="8"/>
  <c r="J104" i="8"/>
  <c r="I104" i="8"/>
  <c r="H104" i="8"/>
  <c r="H339" i="9"/>
  <c r="G339" i="9"/>
  <c r="I339" i="9"/>
  <c r="I420" i="9"/>
  <c r="G420" i="9"/>
  <c r="H420" i="9"/>
  <c r="H164" i="9"/>
  <c r="I164" i="9"/>
  <c r="G164" i="9"/>
  <c r="H294" i="8"/>
  <c r="I294" i="8"/>
  <c r="J294" i="8"/>
  <c r="G416" i="9"/>
  <c r="H416" i="9"/>
  <c r="I416" i="9"/>
  <c r="I288" i="9"/>
  <c r="G288" i="9"/>
  <c r="H288" i="9"/>
  <c r="G32" i="9"/>
  <c r="H32" i="9"/>
  <c r="I32" i="9"/>
  <c r="I290" i="8"/>
  <c r="H290" i="8"/>
  <c r="J290" i="8"/>
  <c r="H162" i="8"/>
  <c r="J162" i="8"/>
  <c r="I162" i="8"/>
  <c r="I351" i="9"/>
  <c r="H351" i="9"/>
  <c r="G351" i="9"/>
  <c r="H158" i="9"/>
  <c r="G158" i="9"/>
  <c r="I158" i="9"/>
  <c r="H406" i="9"/>
  <c r="G406" i="9"/>
  <c r="I406" i="9"/>
  <c r="I278" i="9"/>
  <c r="H278" i="9"/>
  <c r="G278" i="9"/>
  <c r="H150" i="9"/>
  <c r="I150" i="9"/>
  <c r="G150" i="9"/>
  <c r="G22" i="9"/>
  <c r="I22" i="9"/>
  <c r="H22" i="9"/>
  <c r="J408" i="8"/>
  <c r="I408" i="8"/>
  <c r="H408" i="8"/>
  <c r="I280" i="8"/>
  <c r="J280" i="8"/>
  <c r="H280" i="8"/>
  <c r="J152" i="8"/>
  <c r="I152" i="8"/>
  <c r="H152" i="8"/>
  <c r="J24" i="8"/>
  <c r="H24" i="8"/>
  <c r="I24" i="8"/>
  <c r="Q394" i="1"/>
  <c r="F392" i="13" s="1"/>
  <c r="Q170" i="1"/>
  <c r="F168" i="13" s="1"/>
  <c r="I421" i="9"/>
  <c r="H421" i="9"/>
  <c r="G421" i="9"/>
  <c r="I293" i="9"/>
  <c r="H293" i="9"/>
  <c r="G293" i="9"/>
  <c r="G165" i="9"/>
  <c r="H165" i="9"/>
  <c r="I165" i="9"/>
  <c r="G37" i="9"/>
  <c r="H37" i="9"/>
  <c r="I37" i="9"/>
  <c r="H423" i="8"/>
  <c r="J423" i="8"/>
  <c r="I423" i="8"/>
  <c r="J295" i="8"/>
  <c r="I295" i="8"/>
  <c r="H295" i="8"/>
  <c r="J167" i="8"/>
  <c r="I167" i="8"/>
  <c r="H167" i="8"/>
  <c r="J39" i="8"/>
  <c r="I39" i="8"/>
  <c r="H39" i="8"/>
  <c r="Q233" i="1"/>
  <c r="F231" i="13" s="1"/>
  <c r="Q183" i="1"/>
  <c r="F181" i="13" s="1"/>
  <c r="Q456" i="1"/>
  <c r="F454" i="13" s="1"/>
  <c r="I515" i="9"/>
  <c r="G515" i="9"/>
  <c r="H515" i="9"/>
  <c r="J515" i="9" s="1"/>
  <c r="K515" i="9" s="1"/>
  <c r="H513" i="13" s="1"/>
  <c r="G387" i="9"/>
  <c r="H387" i="9"/>
  <c r="I387" i="9"/>
  <c r="G259" i="9"/>
  <c r="I259" i="9"/>
  <c r="H259" i="9"/>
  <c r="H131" i="9"/>
  <c r="I131" i="9"/>
  <c r="G131" i="9"/>
  <c r="J517" i="8"/>
  <c r="H517" i="8"/>
  <c r="I517" i="8"/>
  <c r="K517" i="8" s="1"/>
  <c r="L517" i="8" s="1"/>
  <c r="G515" i="13" s="1"/>
  <c r="I389" i="8"/>
  <c r="H389" i="8"/>
  <c r="J389" i="8"/>
  <c r="H261" i="8"/>
  <c r="I261" i="8"/>
  <c r="J261" i="8"/>
  <c r="J133" i="8"/>
  <c r="I133" i="8"/>
  <c r="H133" i="8"/>
  <c r="I5" i="8"/>
  <c r="H5" i="8"/>
  <c r="J5" i="8"/>
  <c r="Q119" i="1"/>
  <c r="F117" i="13" s="1"/>
  <c r="I402" i="9"/>
  <c r="H402" i="9"/>
  <c r="G402" i="9"/>
  <c r="I274" i="9"/>
  <c r="G274" i="9"/>
  <c r="H274" i="9"/>
  <c r="H146" i="9"/>
  <c r="G146" i="9"/>
  <c r="I146" i="9"/>
  <c r="I18" i="9"/>
  <c r="H18" i="9"/>
  <c r="G18" i="9"/>
  <c r="J404" i="8"/>
  <c r="I404" i="8"/>
  <c r="H404" i="8"/>
  <c r="I276" i="8"/>
  <c r="H276" i="8"/>
  <c r="J276" i="8"/>
  <c r="H148" i="8"/>
  <c r="I148" i="8"/>
  <c r="J148" i="8"/>
  <c r="J20" i="8"/>
  <c r="I20" i="8"/>
  <c r="H20" i="8"/>
  <c r="Q326" i="1"/>
  <c r="F324" i="13" s="1"/>
  <c r="Q86" i="1"/>
  <c r="F84" i="13" s="1"/>
  <c r="I465" i="9"/>
  <c r="H465" i="9"/>
  <c r="G465" i="9"/>
  <c r="J465" i="9"/>
  <c r="K465" i="9" s="1"/>
  <c r="H463" i="13" s="1"/>
  <c r="I337" i="9"/>
  <c r="G337" i="9"/>
  <c r="H337" i="9"/>
  <c r="I209" i="9"/>
  <c r="H209" i="9"/>
  <c r="G209" i="9"/>
  <c r="H81" i="9"/>
  <c r="G81" i="9"/>
  <c r="I81" i="9"/>
  <c r="H467" i="8"/>
  <c r="I467" i="8"/>
  <c r="J467" i="8"/>
  <c r="K467" i="8"/>
  <c r="L467" i="8" s="1"/>
  <c r="G465" i="13" s="1"/>
  <c r="H339" i="8"/>
  <c r="I339" i="8"/>
  <c r="J339" i="8"/>
  <c r="I211" i="8"/>
  <c r="J211" i="8"/>
  <c r="H211" i="8"/>
  <c r="H83" i="8"/>
  <c r="I83" i="8"/>
  <c r="J83" i="8"/>
  <c r="Q485" i="1"/>
  <c r="F483" i="13" s="1"/>
  <c r="Q308" i="1"/>
  <c r="F306" i="13" s="1"/>
  <c r="Q322" i="1"/>
  <c r="F320" i="13" s="1"/>
  <c r="Q162" i="1"/>
  <c r="F160" i="13" s="1"/>
  <c r="Q18" i="1"/>
  <c r="F16" i="13" s="1"/>
  <c r="Q401" i="1"/>
  <c r="F399" i="13" s="1"/>
  <c r="Q368" i="1"/>
  <c r="F366" i="13" s="1"/>
  <c r="H474" i="9"/>
  <c r="G474" i="9"/>
  <c r="J474" i="9" s="1"/>
  <c r="K474" i="9" s="1"/>
  <c r="H472" i="13" s="1"/>
  <c r="I474" i="9"/>
  <c r="H346" i="9"/>
  <c r="G346" i="9"/>
  <c r="I346" i="9"/>
  <c r="I218" i="9"/>
  <c r="H218" i="9"/>
  <c r="G218" i="9"/>
  <c r="H90" i="9"/>
  <c r="I90" i="9"/>
  <c r="G90" i="9"/>
  <c r="J476" i="8"/>
  <c r="I476" i="8"/>
  <c r="H476" i="8"/>
  <c r="K476" i="8" s="1"/>
  <c r="L476" i="8" s="1"/>
  <c r="G474" i="13" s="1"/>
  <c r="H348" i="8"/>
  <c r="J348" i="8"/>
  <c r="I348" i="8"/>
  <c r="J220" i="8"/>
  <c r="H220" i="8"/>
  <c r="I220" i="8"/>
  <c r="H92" i="8"/>
  <c r="J92" i="8"/>
  <c r="I92" i="8"/>
  <c r="Q509" i="1"/>
  <c r="F507" i="13" s="1"/>
  <c r="Q445" i="1"/>
  <c r="F443" i="13" s="1"/>
  <c r="Q108" i="1"/>
  <c r="F106" i="13" s="1"/>
  <c r="G440" i="9"/>
  <c r="H440" i="9"/>
  <c r="I440" i="9"/>
  <c r="J440" i="9"/>
  <c r="K440" i="9" s="1"/>
  <c r="H438" i="13" s="1"/>
  <c r="I312" i="9"/>
  <c r="H312" i="9"/>
  <c r="G312" i="9"/>
  <c r="H184" i="9"/>
  <c r="I184" i="9"/>
  <c r="G184" i="9"/>
  <c r="I56" i="9"/>
  <c r="H56" i="9"/>
  <c r="G56" i="9"/>
  <c r="I442" i="8"/>
  <c r="J442" i="8"/>
  <c r="H442" i="8"/>
  <c r="K442" i="8"/>
  <c r="L442" i="8" s="1"/>
  <c r="G440" i="13" s="1"/>
  <c r="H314" i="8"/>
  <c r="I314" i="8"/>
  <c r="J314" i="8"/>
  <c r="J186" i="8"/>
  <c r="I186" i="8"/>
  <c r="H186" i="8"/>
  <c r="H58" i="8"/>
  <c r="J58" i="8"/>
  <c r="I58" i="8"/>
  <c r="Q396" i="1"/>
  <c r="F394" i="13" s="1"/>
  <c r="Q427" i="1"/>
  <c r="F425" i="13" s="1"/>
  <c r="Q267" i="1"/>
  <c r="F265" i="13" s="1"/>
  <c r="H98" i="9"/>
  <c r="I98" i="9"/>
  <c r="G98" i="9"/>
  <c r="I100" i="8"/>
  <c r="J100" i="8"/>
  <c r="H100" i="8"/>
  <c r="I35" i="8"/>
  <c r="H35" i="8"/>
  <c r="J35" i="8"/>
  <c r="H356" i="9"/>
  <c r="I356" i="9"/>
  <c r="G356" i="9"/>
  <c r="J358" i="8"/>
  <c r="I358" i="8"/>
  <c r="H358" i="8"/>
  <c r="I292" i="9"/>
  <c r="G292" i="9"/>
  <c r="H292" i="9"/>
  <c r="J422" i="8"/>
  <c r="I422" i="8"/>
  <c r="H422" i="8"/>
  <c r="I166" i="8"/>
  <c r="J166" i="8"/>
  <c r="H166" i="8"/>
  <c r="Q339" i="1"/>
  <c r="F337" i="13" s="1"/>
  <c r="H418" i="8"/>
  <c r="I418" i="8"/>
  <c r="J418" i="8"/>
  <c r="Q250" i="1"/>
  <c r="F248" i="13" s="1"/>
  <c r="H404" i="9"/>
  <c r="G404" i="9"/>
  <c r="I404" i="9"/>
  <c r="I276" i="9"/>
  <c r="H276" i="9"/>
  <c r="G276" i="9"/>
  <c r="I148" i="9"/>
  <c r="G148" i="9"/>
  <c r="H148" i="9"/>
  <c r="I20" i="9"/>
  <c r="H20" i="9"/>
  <c r="G20" i="9"/>
  <c r="I406" i="8"/>
  <c r="H406" i="8"/>
  <c r="J406" i="8"/>
  <c r="J278" i="8"/>
  <c r="H278" i="8"/>
  <c r="I278" i="8"/>
  <c r="J150" i="8"/>
  <c r="H150" i="8"/>
  <c r="I150" i="8"/>
  <c r="I22" i="8"/>
  <c r="J22" i="8"/>
  <c r="H22" i="8"/>
  <c r="Q132" i="1"/>
  <c r="F130" i="13" s="1"/>
  <c r="G400" i="9"/>
  <c r="I400" i="9"/>
  <c r="H400" i="9"/>
  <c r="G144" i="9"/>
  <c r="H144" i="9"/>
  <c r="I144" i="9"/>
  <c r="H16" i="9"/>
  <c r="G16" i="9"/>
  <c r="I16" i="9"/>
  <c r="J402" i="8"/>
  <c r="I402" i="8"/>
  <c r="H402" i="8"/>
  <c r="I274" i="8"/>
  <c r="H274" i="8"/>
  <c r="J274" i="8"/>
  <c r="J146" i="8"/>
  <c r="I146" i="8"/>
  <c r="H146" i="8"/>
  <c r="I18" i="8"/>
  <c r="H18" i="8"/>
  <c r="J18" i="8"/>
  <c r="I463" i="9"/>
  <c r="H463" i="9"/>
  <c r="G463" i="9"/>
  <c r="J463" i="9"/>
  <c r="K463" i="9" s="1"/>
  <c r="H461" i="13" s="1"/>
  <c r="G335" i="9"/>
  <c r="I335" i="9"/>
  <c r="H335" i="9"/>
  <c r="I79" i="9"/>
  <c r="H79" i="9"/>
  <c r="G79" i="9"/>
  <c r="H465" i="8"/>
  <c r="I465" i="8"/>
  <c r="J465" i="8"/>
  <c r="K465" i="8" s="1"/>
  <c r="L465" i="8" s="1"/>
  <c r="G463" i="13" s="1"/>
  <c r="H337" i="8"/>
  <c r="J337" i="8"/>
  <c r="I337" i="8"/>
  <c r="I209" i="8"/>
  <c r="J209" i="8"/>
  <c r="H209" i="8"/>
  <c r="J81" i="8"/>
  <c r="I81" i="8"/>
  <c r="H81" i="8"/>
  <c r="H398" i="9"/>
  <c r="G398" i="9"/>
  <c r="I398" i="9"/>
  <c r="G270" i="9"/>
  <c r="I270" i="9"/>
  <c r="H270" i="9"/>
  <c r="G142" i="9"/>
  <c r="I142" i="9"/>
  <c r="H142" i="9"/>
  <c r="G14" i="9"/>
  <c r="H14" i="9"/>
  <c r="I14" i="9"/>
  <c r="H400" i="8"/>
  <c r="J400" i="8"/>
  <c r="I400" i="8"/>
  <c r="H272" i="8"/>
  <c r="J272" i="8"/>
  <c r="I272" i="8"/>
  <c r="H144" i="8"/>
  <c r="J144" i="8"/>
  <c r="I144" i="8"/>
  <c r="J16" i="8"/>
  <c r="I16" i="8"/>
  <c r="H16" i="8"/>
  <c r="G413" i="9"/>
  <c r="I413" i="9"/>
  <c r="H413" i="9"/>
  <c r="H285" i="9"/>
  <c r="I285" i="9"/>
  <c r="G285" i="9"/>
  <c r="G157" i="9"/>
  <c r="I157" i="9"/>
  <c r="H157" i="9"/>
  <c r="H29" i="9"/>
  <c r="I29" i="9"/>
  <c r="G29" i="9"/>
  <c r="J415" i="8"/>
  <c r="H415" i="8"/>
  <c r="I415" i="8"/>
  <c r="I287" i="8"/>
  <c r="H287" i="8"/>
  <c r="J287" i="8"/>
  <c r="H159" i="8"/>
  <c r="I159" i="8"/>
  <c r="J159" i="8"/>
  <c r="I31" i="8"/>
  <c r="H31" i="8"/>
  <c r="J31" i="8"/>
  <c r="I492" i="9"/>
  <c r="G492" i="9"/>
  <c r="H492" i="9"/>
  <c r="J492" i="9" s="1"/>
  <c r="K492" i="9" s="1"/>
  <c r="H490" i="13" s="1"/>
  <c r="H364" i="9"/>
  <c r="G364" i="9"/>
  <c r="I364" i="9"/>
  <c r="G236" i="9"/>
  <c r="I236" i="9"/>
  <c r="H236" i="9"/>
  <c r="G108" i="9"/>
  <c r="H108" i="9"/>
  <c r="I108" i="9"/>
  <c r="J494" i="8"/>
  <c r="I494" i="8"/>
  <c r="H494" i="8"/>
  <c r="K494" i="8" s="1"/>
  <c r="L494" i="8" s="1"/>
  <c r="G492" i="13" s="1"/>
  <c r="J366" i="8"/>
  <c r="H366" i="8"/>
  <c r="I366" i="8"/>
  <c r="I238" i="8"/>
  <c r="J238" i="8"/>
  <c r="H238" i="8"/>
  <c r="J110" i="8"/>
  <c r="I110" i="8"/>
  <c r="H110" i="8"/>
  <c r="I475" i="9"/>
  <c r="G475" i="9"/>
  <c r="J475" i="9" s="1"/>
  <c r="K475" i="9" s="1"/>
  <c r="H473" i="13" s="1"/>
  <c r="H475" i="9"/>
  <c r="H347" i="9"/>
  <c r="G347" i="9"/>
  <c r="I347" i="9"/>
  <c r="H219" i="9"/>
  <c r="I219" i="9"/>
  <c r="G219" i="9"/>
  <c r="H91" i="9"/>
  <c r="G91" i="9"/>
  <c r="I91" i="9"/>
  <c r="J477" i="8"/>
  <c r="I477" i="8"/>
  <c r="H477" i="8"/>
  <c r="H349" i="8"/>
  <c r="I349" i="8"/>
  <c r="J349" i="8"/>
  <c r="H221" i="8"/>
  <c r="J221" i="8"/>
  <c r="I221" i="8"/>
  <c r="I93" i="8"/>
  <c r="H93" i="8"/>
  <c r="J93" i="8"/>
  <c r="H489" i="9"/>
  <c r="I489" i="9"/>
  <c r="G489" i="9"/>
  <c r="J489" i="9"/>
  <c r="K489" i="9" s="1"/>
  <c r="H487" i="13" s="1"/>
  <c r="H361" i="9"/>
  <c r="G361" i="9"/>
  <c r="I361" i="9"/>
  <c r="I233" i="9"/>
  <c r="H233" i="9"/>
  <c r="G233" i="9"/>
  <c r="H105" i="9"/>
  <c r="I105" i="9"/>
  <c r="G105" i="9"/>
  <c r="J491" i="8"/>
  <c r="K491" i="8" s="1"/>
  <c r="L491" i="8" s="1"/>
  <c r="G489" i="13" s="1"/>
  <c r="L489" i="13" s="1"/>
  <c r="H491" i="8"/>
  <c r="I491" i="8"/>
  <c r="H363" i="8"/>
  <c r="J363" i="8"/>
  <c r="I363" i="8"/>
  <c r="J235" i="8"/>
  <c r="I235" i="8"/>
  <c r="H235" i="8"/>
  <c r="H107" i="8"/>
  <c r="I107" i="8"/>
  <c r="J107" i="8"/>
  <c r="G471" i="9"/>
  <c r="J471" i="9" s="1"/>
  <c r="K471" i="9" s="1"/>
  <c r="H469" i="13" s="1"/>
  <c r="H471" i="9"/>
  <c r="I471" i="9"/>
  <c r="H343" i="9"/>
  <c r="G343" i="9"/>
  <c r="I343" i="9"/>
  <c r="I215" i="9"/>
  <c r="H215" i="9"/>
  <c r="G215" i="9"/>
  <c r="H87" i="9"/>
  <c r="G87" i="9"/>
  <c r="I87" i="9"/>
  <c r="H473" i="8"/>
  <c r="K473" i="8" s="1"/>
  <c r="L473" i="8" s="1"/>
  <c r="G471" i="13" s="1"/>
  <c r="J473" i="8"/>
  <c r="I473" i="8"/>
  <c r="I345" i="8"/>
  <c r="H345" i="8"/>
  <c r="J345" i="8"/>
  <c r="H217" i="8"/>
  <c r="J217" i="8"/>
  <c r="I217" i="8"/>
  <c r="H89" i="8"/>
  <c r="J89" i="8"/>
  <c r="I89" i="8"/>
  <c r="J136" i="8"/>
  <c r="I136" i="8"/>
  <c r="H136" i="8"/>
  <c r="H405" i="9"/>
  <c r="I405" i="9"/>
  <c r="G405" i="9"/>
  <c r="H21" i="9"/>
  <c r="G21" i="9"/>
  <c r="I21" i="9"/>
  <c r="I151" i="8"/>
  <c r="H151" i="8"/>
  <c r="J151" i="8"/>
  <c r="G499" i="9"/>
  <c r="H499" i="9"/>
  <c r="I499" i="9"/>
  <c r="J499" i="9"/>
  <c r="K499" i="9" s="1"/>
  <c r="H497" i="13" s="1"/>
  <c r="H115" i="9"/>
  <c r="I115" i="9"/>
  <c r="G115" i="9"/>
  <c r="J117" i="8"/>
  <c r="I117" i="8"/>
  <c r="H117" i="8"/>
  <c r="H386" i="9"/>
  <c r="G386" i="9"/>
  <c r="I386" i="9"/>
  <c r="G258" i="9"/>
  <c r="H258" i="9"/>
  <c r="I258" i="9"/>
  <c r="J516" i="8"/>
  <c r="H516" i="8"/>
  <c r="K516" i="8" s="1"/>
  <c r="L516" i="8" s="1"/>
  <c r="G514" i="13" s="1"/>
  <c r="I516" i="8"/>
  <c r="H260" i="8"/>
  <c r="I260" i="8"/>
  <c r="J260" i="8"/>
  <c r="J132" i="8"/>
  <c r="I132" i="8"/>
  <c r="H132" i="8"/>
  <c r="Q310" i="1"/>
  <c r="F308" i="13" s="1"/>
  <c r="I449" i="9"/>
  <c r="H449" i="9"/>
  <c r="J449" i="9" s="1"/>
  <c r="K449" i="9" s="1"/>
  <c r="H447" i="13" s="1"/>
  <c r="G449" i="9"/>
  <c r="I321" i="9"/>
  <c r="H321" i="9"/>
  <c r="G321" i="9"/>
  <c r="G193" i="9"/>
  <c r="H193" i="9"/>
  <c r="I193" i="9"/>
  <c r="I65" i="9"/>
  <c r="H65" i="9"/>
  <c r="G65" i="9"/>
  <c r="I451" i="8"/>
  <c r="J451" i="8"/>
  <c r="K451" i="8" s="1"/>
  <c r="L451" i="8" s="1"/>
  <c r="G449" i="13" s="1"/>
  <c r="H451" i="8"/>
  <c r="I323" i="8"/>
  <c r="H323" i="8"/>
  <c r="J323" i="8"/>
  <c r="J67" i="8"/>
  <c r="I67" i="8"/>
  <c r="H67" i="8"/>
  <c r="Q341" i="1"/>
  <c r="F339" i="13" s="1"/>
  <c r="Q452" i="1"/>
  <c r="F450" i="13" s="1"/>
  <c r="Q64" i="1"/>
  <c r="F62" i="13" s="1"/>
  <c r="I458" i="9"/>
  <c r="H458" i="9"/>
  <c r="G458" i="9"/>
  <c r="G330" i="9"/>
  <c r="H330" i="9"/>
  <c r="I330" i="9"/>
  <c r="I202" i="9"/>
  <c r="H202" i="9"/>
  <c r="G202" i="9"/>
  <c r="I74" i="9"/>
  <c r="H74" i="9"/>
  <c r="G74" i="9"/>
  <c r="J460" i="8"/>
  <c r="I460" i="8"/>
  <c r="H460" i="8"/>
  <c r="J332" i="8"/>
  <c r="I332" i="8"/>
  <c r="H332" i="8"/>
  <c r="H204" i="8"/>
  <c r="J204" i="8"/>
  <c r="I204" i="8"/>
  <c r="J76" i="8"/>
  <c r="I76" i="8"/>
  <c r="H76" i="8"/>
  <c r="Q28" i="1"/>
  <c r="F26" i="13" s="1"/>
  <c r="G424" i="9"/>
  <c r="I424" i="9"/>
  <c r="H424" i="9"/>
  <c r="I296" i="9"/>
  <c r="G296" i="9"/>
  <c r="H296" i="9"/>
  <c r="H168" i="9"/>
  <c r="G168" i="9"/>
  <c r="I168" i="9"/>
  <c r="I40" i="9"/>
  <c r="H40" i="9"/>
  <c r="G40" i="9"/>
  <c r="I426" i="8"/>
  <c r="H426" i="8"/>
  <c r="J426" i="8"/>
  <c r="I298" i="8"/>
  <c r="H298" i="8"/>
  <c r="J298" i="8"/>
  <c r="J170" i="8"/>
  <c r="I170" i="8"/>
  <c r="H170" i="8"/>
  <c r="J42" i="8"/>
  <c r="H42" i="8"/>
  <c r="I42" i="8"/>
  <c r="Q411" i="1"/>
  <c r="F409" i="13" s="1"/>
  <c r="H272" i="9"/>
  <c r="G272" i="9"/>
  <c r="I272" i="9"/>
  <c r="H207" i="9"/>
  <c r="I207" i="9"/>
  <c r="G207" i="9"/>
  <c r="I518" i="9"/>
  <c r="G518" i="9"/>
  <c r="H518" i="9"/>
  <c r="J518" i="9" s="1"/>
  <c r="K518" i="9" s="1"/>
  <c r="H516" i="13" s="1"/>
  <c r="G390" i="9"/>
  <c r="I390" i="9"/>
  <c r="H390" i="9"/>
  <c r="H262" i="9"/>
  <c r="G262" i="9"/>
  <c r="I262" i="9"/>
  <c r="I134" i="9"/>
  <c r="G134" i="9"/>
  <c r="H134" i="9"/>
  <c r="H6" i="9"/>
  <c r="I6" i="9"/>
  <c r="G6" i="9"/>
  <c r="I392" i="8"/>
  <c r="H392" i="8"/>
  <c r="J392" i="8"/>
  <c r="I264" i="8"/>
  <c r="H264" i="8"/>
  <c r="J264" i="8"/>
  <c r="J8" i="8"/>
  <c r="H8" i="8"/>
  <c r="I8" i="8"/>
  <c r="I277" i="9"/>
  <c r="G277" i="9"/>
  <c r="H277" i="9"/>
  <c r="H149" i="9"/>
  <c r="G149" i="9"/>
  <c r="I149" i="9"/>
  <c r="J407" i="8"/>
  <c r="I407" i="8"/>
  <c r="H407" i="8"/>
  <c r="H279" i="8"/>
  <c r="J279" i="8"/>
  <c r="I279" i="8"/>
  <c r="H23" i="8"/>
  <c r="J23" i="8"/>
  <c r="I23" i="8"/>
  <c r="Q25" i="1"/>
  <c r="F23" i="13" s="1"/>
  <c r="Q87" i="1"/>
  <c r="F85" i="13" s="1"/>
  <c r="Q376" i="1"/>
  <c r="F374" i="13" s="1"/>
  <c r="G371" i="9"/>
  <c r="I371" i="9"/>
  <c r="H371" i="9"/>
  <c r="G243" i="9"/>
  <c r="I243" i="9"/>
  <c r="H243" i="9"/>
  <c r="J501" i="8"/>
  <c r="I501" i="8"/>
  <c r="K501" i="8" s="1"/>
  <c r="L501" i="8" s="1"/>
  <c r="G499" i="13" s="1"/>
  <c r="H501" i="8"/>
  <c r="I373" i="8"/>
  <c r="H373" i="8"/>
  <c r="J373" i="8"/>
  <c r="J245" i="8"/>
  <c r="I245" i="8"/>
  <c r="H245" i="8"/>
  <c r="I514" i="9"/>
  <c r="H514" i="9"/>
  <c r="G514" i="9"/>
  <c r="G130" i="9"/>
  <c r="I130" i="9"/>
  <c r="H130" i="9"/>
  <c r="J388" i="8"/>
  <c r="H388" i="8"/>
  <c r="I388" i="8"/>
  <c r="H195" i="8"/>
  <c r="J195" i="8"/>
  <c r="I195" i="8"/>
  <c r="Q90" i="1"/>
  <c r="F88" i="13" s="1"/>
  <c r="Q297" i="1"/>
  <c r="F295" i="13" s="1"/>
  <c r="I516" i="9"/>
  <c r="H516" i="9"/>
  <c r="G516" i="9"/>
  <c r="J516" i="9" s="1"/>
  <c r="K516" i="9" s="1"/>
  <c r="H514" i="13" s="1"/>
  <c r="I388" i="9"/>
  <c r="H388" i="9"/>
  <c r="G388" i="9"/>
  <c r="H260" i="9"/>
  <c r="G260" i="9"/>
  <c r="I260" i="9"/>
  <c r="G132" i="9"/>
  <c r="I132" i="9"/>
  <c r="H132" i="9"/>
  <c r="J518" i="8"/>
  <c r="I518" i="8"/>
  <c r="H518" i="8"/>
  <c r="K518" i="8" s="1"/>
  <c r="L518" i="8" s="1"/>
  <c r="G516" i="13" s="1"/>
  <c r="H390" i="8"/>
  <c r="I390" i="8"/>
  <c r="J390" i="8"/>
  <c r="I262" i="8"/>
  <c r="J262" i="8"/>
  <c r="H262" i="8"/>
  <c r="J134" i="8"/>
  <c r="I134" i="8"/>
  <c r="H134" i="8"/>
  <c r="H6" i="8"/>
  <c r="I6" i="8"/>
  <c r="J6" i="8"/>
  <c r="Q440" i="1"/>
  <c r="F438" i="13" s="1"/>
  <c r="Q213" i="1"/>
  <c r="F211" i="13" s="1"/>
  <c r="Q230" i="1"/>
  <c r="F228" i="13" s="1"/>
  <c r="Q277" i="1"/>
  <c r="F275" i="13" s="1"/>
  <c r="G512" i="9"/>
  <c r="I512" i="9"/>
  <c r="H512" i="9"/>
  <c r="J512" i="9"/>
  <c r="K512" i="9" s="1"/>
  <c r="H510" i="13" s="1"/>
  <c r="H384" i="9"/>
  <c r="G384" i="9"/>
  <c r="I384" i="9"/>
  <c r="H256" i="9"/>
  <c r="G256" i="9"/>
  <c r="I256" i="9"/>
  <c r="H128" i="9"/>
  <c r="I128" i="9"/>
  <c r="G128" i="9"/>
  <c r="H514" i="8"/>
  <c r="K514" i="8" s="1"/>
  <c r="L514" i="8" s="1"/>
  <c r="G512" i="13" s="1"/>
  <c r="J514" i="8"/>
  <c r="I514" i="8"/>
  <c r="I386" i="8"/>
  <c r="H386" i="8"/>
  <c r="J386" i="8"/>
  <c r="I258" i="8"/>
  <c r="H258" i="8"/>
  <c r="J258" i="8"/>
  <c r="I130" i="8"/>
  <c r="J130" i="8"/>
  <c r="H130" i="8"/>
  <c r="H447" i="9"/>
  <c r="I447" i="9"/>
  <c r="G447" i="9"/>
  <c r="J447" i="9" s="1"/>
  <c r="K447" i="9" s="1"/>
  <c r="H445" i="13" s="1"/>
  <c r="I319" i="9"/>
  <c r="H319" i="9"/>
  <c r="G319" i="9"/>
  <c r="G191" i="9"/>
  <c r="I191" i="9"/>
  <c r="H191" i="9"/>
  <c r="I63" i="9"/>
  <c r="H63" i="9"/>
  <c r="G63" i="9"/>
  <c r="H449" i="8"/>
  <c r="K449" i="8" s="1"/>
  <c r="L449" i="8" s="1"/>
  <c r="G447" i="13" s="1"/>
  <c r="J449" i="8"/>
  <c r="I449" i="8"/>
  <c r="H321" i="8"/>
  <c r="I321" i="8"/>
  <c r="J321" i="8"/>
  <c r="J193" i="8"/>
  <c r="I193" i="8"/>
  <c r="H193" i="8"/>
  <c r="H65" i="8"/>
  <c r="J65" i="8"/>
  <c r="I65" i="8"/>
  <c r="I510" i="9"/>
  <c r="H510" i="9"/>
  <c r="J510" i="9" s="1"/>
  <c r="K510" i="9" s="1"/>
  <c r="H508" i="13" s="1"/>
  <c r="G510" i="9"/>
  <c r="H382" i="9"/>
  <c r="I382" i="9"/>
  <c r="G382" i="9"/>
  <c r="H254" i="9"/>
  <c r="G254" i="9"/>
  <c r="I254" i="9"/>
  <c r="I126" i="9"/>
  <c r="G126" i="9"/>
  <c r="H126" i="9"/>
  <c r="H512" i="8"/>
  <c r="K512" i="8" s="1"/>
  <c r="L512" i="8" s="1"/>
  <c r="G510" i="13" s="1"/>
  <c r="L510" i="13" s="1"/>
  <c r="J512" i="8"/>
  <c r="I512" i="8"/>
  <c r="I384" i="8"/>
  <c r="J384" i="8"/>
  <c r="H384" i="8"/>
  <c r="H256" i="8"/>
  <c r="J256" i="8"/>
  <c r="I256" i="8"/>
  <c r="H128" i="8"/>
  <c r="J128" i="8"/>
  <c r="I128" i="8"/>
  <c r="H397" i="9"/>
  <c r="G397" i="9"/>
  <c r="I397" i="9"/>
  <c r="I269" i="9"/>
  <c r="H269" i="9"/>
  <c r="G269" i="9"/>
  <c r="G141" i="9"/>
  <c r="H141" i="9"/>
  <c r="I141" i="9"/>
  <c r="G13" i="9"/>
  <c r="I13" i="9"/>
  <c r="H13" i="9"/>
  <c r="J399" i="8"/>
  <c r="I399" i="8"/>
  <c r="H399" i="8"/>
  <c r="H271" i="8"/>
  <c r="J271" i="8"/>
  <c r="I271" i="8"/>
  <c r="H143" i="8"/>
  <c r="J143" i="8"/>
  <c r="I143" i="8"/>
  <c r="I15" i="8"/>
  <c r="H15" i="8"/>
  <c r="J15" i="8"/>
  <c r="G476" i="9"/>
  <c r="J476" i="9" s="1"/>
  <c r="K476" i="9" s="1"/>
  <c r="H474" i="13" s="1"/>
  <c r="I476" i="9"/>
  <c r="H476" i="9"/>
  <c r="G348" i="9"/>
  <c r="I348" i="9"/>
  <c r="H348" i="9"/>
  <c r="G220" i="9"/>
  <c r="H220" i="9"/>
  <c r="I220" i="9"/>
  <c r="H92" i="9"/>
  <c r="I92" i="9"/>
  <c r="G92" i="9"/>
  <c r="J478" i="8"/>
  <c r="I478" i="8"/>
  <c r="H478" i="8"/>
  <c r="K478" i="8" s="1"/>
  <c r="L478" i="8" s="1"/>
  <c r="G476" i="13" s="1"/>
  <c r="H350" i="8"/>
  <c r="I350" i="8"/>
  <c r="J350" i="8"/>
  <c r="J222" i="8"/>
  <c r="H222" i="8"/>
  <c r="I222" i="8"/>
  <c r="H94" i="8"/>
  <c r="J94" i="8"/>
  <c r="I94" i="8"/>
  <c r="Q352" i="1"/>
  <c r="F350" i="13" s="1"/>
  <c r="H459" i="9"/>
  <c r="G459" i="9"/>
  <c r="J459" i="9" s="1"/>
  <c r="K459" i="9" s="1"/>
  <c r="H457" i="13" s="1"/>
  <c r="I459" i="9"/>
  <c r="H331" i="9"/>
  <c r="G331" i="9"/>
  <c r="I331" i="9"/>
  <c r="G203" i="9"/>
  <c r="H203" i="9"/>
  <c r="I203" i="9"/>
  <c r="H75" i="9"/>
  <c r="G75" i="9"/>
  <c r="I75" i="9"/>
  <c r="J461" i="8"/>
  <c r="I461" i="8"/>
  <c r="H461" i="8"/>
  <c r="K461" i="8" s="1"/>
  <c r="L461" i="8" s="1"/>
  <c r="G459" i="13" s="1"/>
  <c r="H333" i="8"/>
  <c r="J333" i="8"/>
  <c r="I333" i="8"/>
  <c r="H205" i="8"/>
  <c r="J205" i="8"/>
  <c r="I205" i="8"/>
  <c r="J77" i="8"/>
  <c r="I77" i="8"/>
  <c r="H77" i="8"/>
  <c r="Q387" i="1"/>
  <c r="F385" i="13" s="1"/>
  <c r="Q414" i="1"/>
  <c r="F412" i="13" s="1"/>
  <c r="Q334" i="1"/>
  <c r="F332" i="13" s="1"/>
  <c r="Q59" i="1"/>
  <c r="F57" i="13" s="1"/>
  <c r="I473" i="9"/>
  <c r="G473" i="9"/>
  <c r="H473" i="9"/>
  <c r="J473" i="9"/>
  <c r="K473" i="9" s="1"/>
  <c r="H471" i="13" s="1"/>
  <c r="I345" i="9"/>
  <c r="H345" i="9"/>
  <c r="G345" i="9"/>
  <c r="I217" i="9"/>
  <c r="H217" i="9"/>
  <c r="G217" i="9"/>
  <c r="I89" i="9"/>
  <c r="G89" i="9"/>
  <c r="H89" i="9"/>
  <c r="I475" i="8"/>
  <c r="J475" i="8"/>
  <c r="H475" i="8"/>
  <c r="K475" i="8"/>
  <c r="L475" i="8" s="1"/>
  <c r="G473" i="13" s="1"/>
  <c r="I347" i="8"/>
  <c r="J347" i="8"/>
  <c r="H347" i="8"/>
  <c r="I219" i="8"/>
  <c r="H219" i="8"/>
  <c r="J219" i="8"/>
  <c r="I91" i="8"/>
  <c r="H91" i="8"/>
  <c r="J91" i="8"/>
  <c r="Q429" i="1"/>
  <c r="F427" i="13" s="1"/>
  <c r="Q316" i="1"/>
  <c r="F314" i="13" s="1"/>
  <c r="H455" i="9"/>
  <c r="I455" i="9"/>
  <c r="G455" i="9"/>
  <c r="J455" i="9"/>
  <c r="K455" i="9" s="1"/>
  <c r="H453" i="13" s="1"/>
  <c r="I327" i="9"/>
  <c r="H327" i="9"/>
  <c r="G327" i="9"/>
  <c r="G199" i="9"/>
  <c r="I199" i="9"/>
  <c r="H199" i="9"/>
  <c r="I71" i="9"/>
  <c r="G71" i="9"/>
  <c r="H71" i="9"/>
  <c r="H457" i="8"/>
  <c r="K457" i="8" s="1"/>
  <c r="L457" i="8" s="1"/>
  <c r="G455" i="13" s="1"/>
  <c r="J457" i="8"/>
  <c r="I457" i="8"/>
  <c r="H329" i="8"/>
  <c r="I329" i="8"/>
  <c r="J329" i="8"/>
  <c r="H201" i="8"/>
  <c r="I201" i="8"/>
  <c r="J201" i="8"/>
  <c r="J73" i="8"/>
  <c r="H73" i="8"/>
  <c r="I73" i="8"/>
  <c r="Q251" i="1"/>
  <c r="F249" i="13" s="1"/>
  <c r="Q171" i="1"/>
  <c r="F169" i="13" s="1"/>
  <c r="I247" i="8"/>
  <c r="H247" i="8"/>
  <c r="J247" i="8"/>
  <c r="H341" i="8"/>
  <c r="J341" i="8"/>
  <c r="I341" i="8"/>
  <c r="H289" i="9"/>
  <c r="G289" i="9"/>
  <c r="I289" i="9"/>
  <c r="I228" i="9"/>
  <c r="H228" i="9"/>
  <c r="G228" i="9"/>
  <c r="I374" i="9"/>
  <c r="H374" i="9"/>
  <c r="G374" i="9"/>
  <c r="H248" i="8"/>
  <c r="I248" i="8"/>
  <c r="J248" i="8"/>
  <c r="Q327" i="1"/>
  <c r="F325" i="13" s="1"/>
  <c r="I5" i="9"/>
  <c r="G5" i="9"/>
  <c r="H5" i="9"/>
  <c r="H135" i="8"/>
  <c r="I135" i="8"/>
  <c r="J135" i="8"/>
  <c r="Q8" i="1"/>
  <c r="F6" i="13" s="1"/>
  <c r="G483" i="9"/>
  <c r="I483" i="9"/>
  <c r="H483" i="9"/>
  <c r="J483" i="9"/>
  <c r="K483" i="9" s="1"/>
  <c r="H481" i="13" s="1"/>
  <c r="H355" i="9"/>
  <c r="G355" i="9"/>
  <c r="I355" i="9"/>
  <c r="I227" i="9"/>
  <c r="H227" i="9"/>
  <c r="G227" i="9"/>
  <c r="H99" i="9"/>
  <c r="I99" i="9"/>
  <c r="G99" i="9"/>
  <c r="J485" i="8"/>
  <c r="H485" i="8"/>
  <c r="I485" i="8"/>
  <c r="K485" i="8"/>
  <c r="L485" i="8" s="1"/>
  <c r="G483" i="13" s="1"/>
  <c r="I357" i="8"/>
  <c r="J357" i="8"/>
  <c r="H357" i="8"/>
  <c r="J229" i="8"/>
  <c r="I229" i="8"/>
  <c r="H229" i="8"/>
  <c r="I101" i="8"/>
  <c r="J101" i="8"/>
  <c r="H101" i="8"/>
  <c r="G498" i="9"/>
  <c r="I498" i="9"/>
  <c r="H498" i="9"/>
  <c r="J498" i="9"/>
  <c r="K498" i="9" s="1"/>
  <c r="H496" i="13" s="1"/>
  <c r="I370" i="9"/>
  <c r="H370" i="9"/>
  <c r="G370" i="9"/>
  <c r="G242" i="9"/>
  <c r="I242" i="9"/>
  <c r="H242" i="9"/>
  <c r="G114" i="9"/>
  <c r="I114" i="9"/>
  <c r="H114" i="9"/>
  <c r="J500" i="8"/>
  <c r="I500" i="8"/>
  <c r="H500" i="8"/>
  <c r="K500" i="8" s="1"/>
  <c r="L500" i="8" s="1"/>
  <c r="G498" i="13" s="1"/>
  <c r="H372" i="8"/>
  <c r="J372" i="8"/>
  <c r="I372" i="8"/>
  <c r="I244" i="8"/>
  <c r="H244" i="8"/>
  <c r="J244" i="8"/>
  <c r="I116" i="8"/>
  <c r="J116" i="8"/>
  <c r="H116" i="8"/>
  <c r="I433" i="9"/>
  <c r="G433" i="9"/>
  <c r="H433" i="9"/>
  <c r="H305" i="9"/>
  <c r="I305" i="9"/>
  <c r="G305" i="9"/>
  <c r="H177" i="9"/>
  <c r="G177" i="9"/>
  <c r="I177" i="9"/>
  <c r="G49" i="9"/>
  <c r="I49" i="9"/>
  <c r="H49" i="9"/>
  <c r="J435" i="8"/>
  <c r="I435" i="8"/>
  <c r="H435" i="8"/>
  <c r="J307" i="8"/>
  <c r="I307" i="8"/>
  <c r="H307" i="8"/>
  <c r="H179" i="8"/>
  <c r="J179" i="8"/>
  <c r="I179" i="8"/>
  <c r="J51" i="8"/>
  <c r="I51" i="8"/>
  <c r="H51" i="8"/>
  <c r="Q372" i="1"/>
  <c r="F370" i="13" s="1"/>
  <c r="Q83" i="1"/>
  <c r="F81" i="13" s="1"/>
  <c r="Q496" i="1"/>
  <c r="F494" i="13" s="1"/>
  <c r="Q416" i="1"/>
  <c r="F414" i="13" s="1"/>
  <c r="Q103" i="1"/>
  <c r="F101" i="13" s="1"/>
  <c r="Q271" i="1"/>
  <c r="F269" i="13" s="1"/>
  <c r="Q111" i="1"/>
  <c r="F109" i="13" s="1"/>
  <c r="G442" i="9"/>
  <c r="H442" i="9"/>
  <c r="I442" i="9"/>
  <c r="J442" i="9"/>
  <c r="K442" i="9" s="1"/>
  <c r="H440" i="13" s="1"/>
  <c r="H314" i="9"/>
  <c r="G314" i="9"/>
  <c r="I314" i="9"/>
  <c r="I186" i="9"/>
  <c r="H186" i="9"/>
  <c r="G186" i="9"/>
  <c r="H58" i="9"/>
  <c r="G58" i="9"/>
  <c r="I58" i="9"/>
  <c r="J444" i="8"/>
  <c r="I444" i="8"/>
  <c r="K444" i="8" s="1"/>
  <c r="L444" i="8" s="1"/>
  <c r="G442" i="13" s="1"/>
  <c r="H444" i="8"/>
  <c r="J316" i="8"/>
  <c r="H316" i="8"/>
  <c r="I316" i="8"/>
  <c r="H188" i="8"/>
  <c r="J188" i="8"/>
  <c r="I188" i="8"/>
  <c r="I60" i="8"/>
  <c r="J60" i="8"/>
  <c r="H60" i="8"/>
  <c r="Q478" i="1"/>
  <c r="F476" i="13" s="1"/>
  <c r="Q349" i="1"/>
  <c r="F347" i="13" s="1"/>
  <c r="I408" i="9"/>
  <c r="G408" i="9"/>
  <c r="H408" i="9"/>
  <c r="I280" i="9"/>
  <c r="G280" i="9"/>
  <c r="H280" i="9"/>
  <c r="G152" i="9"/>
  <c r="H152" i="9"/>
  <c r="I152" i="9"/>
  <c r="I24" i="9"/>
  <c r="H24" i="9"/>
  <c r="G24" i="9"/>
  <c r="J410" i="8"/>
  <c r="I410" i="8"/>
  <c r="H410" i="8"/>
  <c r="H282" i="8"/>
  <c r="I282" i="8"/>
  <c r="J282" i="8"/>
  <c r="H154" i="8"/>
  <c r="J154" i="8"/>
  <c r="I154" i="8"/>
  <c r="I26" i="8"/>
  <c r="H26" i="8"/>
  <c r="J26" i="8"/>
  <c r="Q76" i="1"/>
  <c r="F74" i="13" s="1"/>
  <c r="Q419" i="1"/>
  <c r="F417" i="13" s="1"/>
  <c r="H488" i="8"/>
  <c r="K488" i="8" s="1"/>
  <c r="L488" i="8" s="1"/>
  <c r="G486" i="13" s="1"/>
  <c r="I488" i="8"/>
  <c r="J488" i="8"/>
  <c r="G501" i="9"/>
  <c r="I501" i="9"/>
  <c r="H501" i="9"/>
  <c r="H354" i="9"/>
  <c r="G354" i="9"/>
  <c r="I354" i="9"/>
  <c r="I228" i="8"/>
  <c r="H228" i="8"/>
  <c r="J228" i="8"/>
  <c r="I419" i="8"/>
  <c r="H419" i="8"/>
  <c r="J419" i="8"/>
  <c r="Q362" i="1"/>
  <c r="F360" i="13" s="1"/>
  <c r="J486" i="8"/>
  <c r="H486" i="8"/>
  <c r="I486" i="8"/>
  <c r="K486" i="8"/>
  <c r="L486" i="8" s="1"/>
  <c r="G484" i="13" s="1"/>
  <c r="H502" i="9"/>
  <c r="G502" i="9"/>
  <c r="J502" i="9" s="1"/>
  <c r="K502" i="9" s="1"/>
  <c r="H500" i="13" s="1"/>
  <c r="I502" i="9"/>
  <c r="I246" i="9"/>
  <c r="H246" i="9"/>
  <c r="G246" i="9"/>
  <c r="I118" i="9"/>
  <c r="G118" i="9"/>
  <c r="H118" i="9"/>
  <c r="J504" i="8"/>
  <c r="I504" i="8"/>
  <c r="H504" i="8"/>
  <c r="K504" i="8"/>
  <c r="L504" i="8" s="1"/>
  <c r="G502" i="13" s="1"/>
  <c r="L502" i="13" s="1"/>
  <c r="J376" i="8"/>
  <c r="I376" i="8"/>
  <c r="H376" i="8"/>
  <c r="J120" i="8"/>
  <c r="I120" i="8"/>
  <c r="H120" i="8"/>
  <c r="G517" i="9"/>
  <c r="J517" i="9" s="1"/>
  <c r="K517" i="9" s="1"/>
  <c r="H515" i="13" s="1"/>
  <c r="I517" i="9"/>
  <c r="H517" i="9"/>
  <c r="I389" i="9"/>
  <c r="H389" i="9"/>
  <c r="G389" i="9"/>
  <c r="H261" i="9"/>
  <c r="G261" i="9"/>
  <c r="I261" i="9"/>
  <c r="I133" i="9"/>
  <c r="G133" i="9"/>
  <c r="H133" i="9"/>
  <c r="J391" i="8"/>
  <c r="I391" i="8"/>
  <c r="H391" i="8"/>
  <c r="H263" i="8"/>
  <c r="J263" i="8"/>
  <c r="I263" i="8"/>
  <c r="I7" i="8"/>
  <c r="J7" i="8"/>
  <c r="H7" i="8"/>
  <c r="H500" i="9"/>
  <c r="G500" i="9"/>
  <c r="I500" i="9"/>
  <c r="J500" i="9"/>
  <c r="K500" i="9" s="1"/>
  <c r="H498" i="13" s="1"/>
  <c r="I372" i="9"/>
  <c r="G372" i="9"/>
  <c r="H372" i="9"/>
  <c r="I244" i="9"/>
  <c r="H244" i="9"/>
  <c r="G244" i="9"/>
  <c r="G116" i="9"/>
  <c r="H116" i="9"/>
  <c r="I116" i="9"/>
  <c r="I502" i="8"/>
  <c r="H502" i="8"/>
  <c r="J502" i="8"/>
  <c r="K502" i="8"/>
  <c r="L502" i="8" s="1"/>
  <c r="G500" i="13" s="1"/>
  <c r="L500" i="13" s="1"/>
  <c r="J374" i="8"/>
  <c r="H374" i="8"/>
  <c r="I374" i="8"/>
  <c r="H246" i="8"/>
  <c r="J246" i="8"/>
  <c r="I246" i="8"/>
  <c r="H118" i="8"/>
  <c r="J118" i="8"/>
  <c r="I118" i="8"/>
  <c r="Q71" i="1"/>
  <c r="F69" i="13" s="1"/>
  <c r="Q438" i="1"/>
  <c r="F436" i="13" s="1"/>
  <c r="Q150" i="1"/>
  <c r="F148" i="13" s="1"/>
  <c r="H496" i="9"/>
  <c r="I496" i="9"/>
  <c r="G496" i="9"/>
  <c r="J496" i="9" s="1"/>
  <c r="K496" i="9" s="1"/>
  <c r="H494" i="13" s="1"/>
  <c r="I368" i="9"/>
  <c r="H368" i="9"/>
  <c r="G368" i="9"/>
  <c r="I240" i="9"/>
  <c r="H240" i="9"/>
  <c r="G240" i="9"/>
  <c r="H112" i="9"/>
  <c r="I112" i="9"/>
  <c r="G112" i="9"/>
  <c r="I498" i="8"/>
  <c r="J498" i="8"/>
  <c r="H498" i="8"/>
  <c r="K498" i="8"/>
  <c r="L498" i="8" s="1"/>
  <c r="G496" i="13" s="1"/>
  <c r="L496" i="13" s="1"/>
  <c r="J370" i="8"/>
  <c r="H370" i="8"/>
  <c r="I370" i="8"/>
  <c r="J242" i="8"/>
  <c r="I242" i="8"/>
  <c r="H242" i="8"/>
  <c r="J114" i="8"/>
  <c r="I114" i="8"/>
  <c r="H114" i="8"/>
  <c r="I431" i="9"/>
  <c r="H431" i="9"/>
  <c r="G431" i="9"/>
  <c r="G303" i="9"/>
  <c r="I303" i="9"/>
  <c r="H303" i="9"/>
  <c r="I175" i="9"/>
  <c r="H175" i="9"/>
  <c r="G175" i="9"/>
  <c r="I47" i="9"/>
  <c r="H47" i="9"/>
  <c r="G47" i="9"/>
  <c r="H433" i="8"/>
  <c r="J433" i="8"/>
  <c r="I433" i="8"/>
  <c r="I305" i="8"/>
  <c r="H305" i="8"/>
  <c r="J305" i="8"/>
  <c r="H177" i="8"/>
  <c r="I177" i="8"/>
  <c r="J177" i="8"/>
  <c r="H49" i="8"/>
  <c r="J49" i="8"/>
  <c r="I49" i="8"/>
  <c r="H494" i="9"/>
  <c r="G494" i="9"/>
  <c r="I494" i="9"/>
  <c r="J494" i="9"/>
  <c r="K494" i="9" s="1"/>
  <c r="H492" i="13" s="1"/>
  <c r="I366" i="9"/>
  <c r="G366" i="9"/>
  <c r="H366" i="9"/>
  <c r="G238" i="9"/>
  <c r="H238" i="9"/>
  <c r="I238" i="9"/>
  <c r="G110" i="9"/>
  <c r="I110" i="9"/>
  <c r="H110" i="9"/>
  <c r="I496" i="8"/>
  <c r="J496" i="8"/>
  <c r="H496" i="8"/>
  <c r="K496" i="8"/>
  <c r="L496" i="8" s="1"/>
  <c r="G494" i="13" s="1"/>
  <c r="J368" i="8"/>
  <c r="H368" i="8"/>
  <c r="I368" i="8"/>
  <c r="H240" i="8"/>
  <c r="I240" i="8"/>
  <c r="J240" i="8"/>
  <c r="J112" i="8"/>
  <c r="I112" i="8"/>
  <c r="H112" i="8"/>
  <c r="G509" i="9"/>
  <c r="I509" i="9"/>
  <c r="H509" i="9"/>
  <c r="H381" i="9"/>
  <c r="G381" i="9"/>
  <c r="I381" i="9"/>
  <c r="G253" i="9"/>
  <c r="I253" i="9"/>
  <c r="H253" i="9"/>
  <c r="H125" i="9"/>
  <c r="G125" i="9"/>
  <c r="I125" i="9"/>
  <c r="H511" i="8"/>
  <c r="K511" i="8" s="1"/>
  <c r="L511" i="8" s="1"/>
  <c r="G509" i="13" s="1"/>
  <c r="I511" i="8"/>
  <c r="J511" i="8"/>
  <c r="J383" i="8"/>
  <c r="I383" i="8"/>
  <c r="H383" i="8"/>
  <c r="J255" i="8"/>
  <c r="I255" i="8"/>
  <c r="H255" i="8"/>
  <c r="I127" i="8"/>
  <c r="J127" i="8"/>
  <c r="H127" i="8"/>
  <c r="Q513" i="1"/>
  <c r="F511" i="13" s="1"/>
  <c r="Q81" i="1"/>
  <c r="F79" i="13" s="1"/>
  <c r="I460" i="9"/>
  <c r="H460" i="9"/>
  <c r="G460" i="9"/>
  <c r="J460" i="9"/>
  <c r="K460" i="9" s="1"/>
  <c r="H458" i="13" s="1"/>
  <c r="H332" i="9"/>
  <c r="G332" i="9"/>
  <c r="I332" i="9"/>
  <c r="I204" i="9"/>
  <c r="G204" i="9"/>
  <c r="H204" i="9"/>
  <c r="I76" i="9"/>
  <c r="G76" i="9"/>
  <c r="H76" i="9"/>
  <c r="J462" i="8"/>
  <c r="I462" i="8"/>
  <c r="H462" i="8"/>
  <c r="K462" i="8"/>
  <c r="L462" i="8" s="1"/>
  <c r="G460" i="13" s="1"/>
  <c r="L460" i="13" s="1"/>
  <c r="J334" i="8"/>
  <c r="H334" i="8"/>
  <c r="I334" i="8"/>
  <c r="J206" i="8"/>
  <c r="I206" i="8"/>
  <c r="H206" i="8"/>
  <c r="I78" i="8"/>
  <c r="J78" i="8"/>
  <c r="H78" i="8"/>
  <c r="Q336" i="1"/>
  <c r="F334" i="13" s="1"/>
  <c r="H443" i="9"/>
  <c r="G443" i="9"/>
  <c r="J443" i="9" s="1"/>
  <c r="K443" i="9" s="1"/>
  <c r="H441" i="13" s="1"/>
  <c r="I443" i="9"/>
  <c r="H315" i="9"/>
  <c r="G315" i="9"/>
  <c r="I315" i="9"/>
  <c r="H187" i="9"/>
  <c r="G187" i="9"/>
  <c r="I187" i="9"/>
  <c r="I59" i="9"/>
  <c r="H59" i="9"/>
  <c r="G59" i="9"/>
  <c r="J445" i="8"/>
  <c r="H445" i="8"/>
  <c r="I445" i="8"/>
  <c r="K445" i="8"/>
  <c r="L445" i="8" s="1"/>
  <c r="G443" i="13" s="1"/>
  <c r="I317" i="8"/>
  <c r="H317" i="8"/>
  <c r="J317" i="8"/>
  <c r="J189" i="8"/>
  <c r="H189" i="8"/>
  <c r="I189" i="8"/>
  <c r="J61" i="8"/>
  <c r="H61" i="8"/>
  <c r="I61" i="8"/>
  <c r="Q23" i="1"/>
  <c r="F21" i="13" s="1"/>
  <c r="Q398" i="1"/>
  <c r="F396" i="13" s="1"/>
  <c r="I457" i="9"/>
  <c r="H457" i="9"/>
  <c r="G457" i="9"/>
  <c r="J457" i="9" s="1"/>
  <c r="K457" i="9" s="1"/>
  <c r="H455" i="13" s="1"/>
  <c r="I329" i="9"/>
  <c r="H329" i="9"/>
  <c r="G329" i="9"/>
  <c r="I201" i="9"/>
  <c r="H201" i="9"/>
  <c r="G201" i="9"/>
  <c r="H73" i="9"/>
  <c r="I73" i="9"/>
  <c r="G73" i="9"/>
  <c r="I459" i="8"/>
  <c r="H459" i="8"/>
  <c r="K459" i="8" s="1"/>
  <c r="L459" i="8" s="1"/>
  <c r="G457" i="13" s="1"/>
  <c r="J459" i="8"/>
  <c r="H331" i="8"/>
  <c r="J331" i="8"/>
  <c r="I331" i="8"/>
  <c r="H203" i="8"/>
  <c r="J203" i="8"/>
  <c r="I203" i="8"/>
  <c r="H75" i="8"/>
  <c r="I75" i="8"/>
  <c r="J75" i="8"/>
  <c r="Q125" i="1"/>
  <c r="F123" i="13" s="1"/>
  <c r="H439" i="9"/>
  <c r="G439" i="9"/>
  <c r="I439" i="9"/>
  <c r="H311" i="9"/>
  <c r="G311" i="9"/>
  <c r="I311" i="9"/>
  <c r="H183" i="9"/>
  <c r="G183" i="9"/>
  <c r="I183" i="9"/>
  <c r="G55" i="9"/>
  <c r="H55" i="9"/>
  <c r="I55" i="9"/>
  <c r="I441" i="8"/>
  <c r="J441" i="8"/>
  <c r="H441" i="8"/>
  <c r="I313" i="8"/>
  <c r="H313" i="8"/>
  <c r="J313" i="8"/>
  <c r="I185" i="8"/>
  <c r="H185" i="8"/>
  <c r="J185" i="8"/>
  <c r="J57" i="8"/>
  <c r="I57" i="8"/>
  <c r="H57" i="8"/>
  <c r="Q91" i="1"/>
  <c r="F89" i="13" s="1"/>
  <c r="Q197" i="1"/>
  <c r="F195" i="13" s="1"/>
  <c r="Q289" i="1"/>
  <c r="F287" i="13" s="1"/>
  <c r="Q191" i="1"/>
  <c r="F189" i="13" s="1"/>
  <c r="Q179" i="1"/>
  <c r="F177" i="13" s="1"/>
  <c r="H426" i="9"/>
  <c r="I426" i="9"/>
  <c r="G426" i="9"/>
  <c r="I298" i="9"/>
  <c r="H298" i="9"/>
  <c r="G298" i="9"/>
  <c r="H170" i="9"/>
  <c r="I170" i="9"/>
  <c r="G170" i="9"/>
  <c r="G42" i="9"/>
  <c r="I42" i="9"/>
  <c r="H42" i="9"/>
  <c r="H428" i="8"/>
  <c r="I428" i="8"/>
  <c r="J428" i="8"/>
  <c r="J300" i="8"/>
  <c r="I300" i="8"/>
  <c r="H300" i="8"/>
  <c r="H172" i="8"/>
  <c r="J172" i="8"/>
  <c r="I172" i="8"/>
  <c r="I44" i="8"/>
  <c r="H44" i="8"/>
  <c r="J44" i="8"/>
  <c r="H392" i="9"/>
  <c r="G392" i="9"/>
  <c r="I392" i="9"/>
  <c r="H264" i="9"/>
  <c r="I264" i="9"/>
  <c r="G264" i="9"/>
  <c r="I136" i="9"/>
  <c r="H136" i="9"/>
  <c r="G136" i="9"/>
  <c r="I8" i="9"/>
  <c r="G8" i="9"/>
  <c r="H8" i="9"/>
  <c r="J394" i="8"/>
  <c r="H394" i="8"/>
  <c r="I394" i="8"/>
  <c r="J266" i="8"/>
  <c r="I266" i="8"/>
  <c r="H266" i="8"/>
  <c r="J138" i="8"/>
  <c r="I138" i="8"/>
  <c r="H138" i="8"/>
  <c r="H10" i="8"/>
  <c r="J10" i="8"/>
  <c r="I10" i="8"/>
  <c r="I360" i="8"/>
  <c r="H360" i="8"/>
  <c r="J360" i="8"/>
  <c r="I373" i="9"/>
  <c r="H373" i="9"/>
  <c r="G373" i="9"/>
  <c r="J289" i="8"/>
  <c r="I289" i="8"/>
  <c r="H289" i="8"/>
  <c r="H478" i="9"/>
  <c r="I478" i="9"/>
  <c r="G478" i="9"/>
  <c r="J478" i="9" s="1"/>
  <c r="K478" i="9" s="1"/>
  <c r="H476" i="13" s="1"/>
  <c r="H96" i="8"/>
  <c r="J96" i="8"/>
  <c r="I96" i="8"/>
  <c r="I493" i="9"/>
  <c r="G493" i="9"/>
  <c r="J493" i="9" s="1"/>
  <c r="K493" i="9" s="1"/>
  <c r="H491" i="13" s="1"/>
  <c r="H493" i="9"/>
  <c r="H365" i="9"/>
  <c r="I365" i="9"/>
  <c r="G365" i="9"/>
  <c r="G237" i="9"/>
  <c r="I237" i="9"/>
  <c r="H237" i="9"/>
  <c r="G109" i="9"/>
  <c r="H109" i="9"/>
  <c r="I109" i="9"/>
  <c r="I495" i="8"/>
  <c r="H495" i="8"/>
  <c r="K495" i="8" s="1"/>
  <c r="L495" i="8" s="1"/>
  <c r="G493" i="13" s="1"/>
  <c r="L493" i="13" s="1"/>
  <c r="J495" i="8"/>
  <c r="I111" i="8"/>
  <c r="H111" i="8"/>
  <c r="J111" i="8"/>
  <c r="I444" i="9"/>
  <c r="G444" i="9"/>
  <c r="H444" i="9"/>
  <c r="J444" i="9" s="1"/>
  <c r="K444" i="9" s="1"/>
  <c r="H442" i="13" s="1"/>
  <c r="H316" i="9"/>
  <c r="I316" i="9"/>
  <c r="G316" i="9"/>
  <c r="G188" i="9"/>
  <c r="I188" i="9"/>
  <c r="H188" i="9"/>
  <c r="H60" i="9"/>
  <c r="I60" i="9"/>
  <c r="G60" i="9"/>
  <c r="I446" i="8"/>
  <c r="H446" i="8"/>
  <c r="J446" i="8"/>
  <c r="K446" i="8" s="1"/>
  <c r="L446" i="8" s="1"/>
  <c r="G444" i="13" s="1"/>
  <c r="H318" i="8"/>
  <c r="I318" i="8"/>
  <c r="J318" i="8"/>
  <c r="J190" i="8"/>
  <c r="H190" i="8"/>
  <c r="I190" i="8"/>
  <c r="I62" i="8"/>
  <c r="J62" i="8"/>
  <c r="H62" i="8"/>
  <c r="H427" i="9"/>
  <c r="G427" i="9"/>
  <c r="I427" i="9"/>
  <c r="I299" i="9"/>
  <c r="H299" i="9"/>
  <c r="G299" i="9"/>
  <c r="I171" i="9"/>
  <c r="G171" i="9"/>
  <c r="H171" i="9"/>
  <c r="H43" i="9"/>
  <c r="G43" i="9"/>
  <c r="I43" i="9"/>
  <c r="H429" i="8"/>
  <c r="J429" i="8"/>
  <c r="I429" i="8"/>
  <c r="H301" i="8"/>
  <c r="J301" i="8"/>
  <c r="I301" i="8"/>
  <c r="J173" i="8"/>
  <c r="I173" i="8"/>
  <c r="H173" i="8"/>
  <c r="J45" i="8"/>
  <c r="I45" i="8"/>
  <c r="H45" i="8"/>
  <c r="H441" i="9"/>
  <c r="G441" i="9"/>
  <c r="J441" i="9" s="1"/>
  <c r="K441" i="9" s="1"/>
  <c r="H439" i="13" s="1"/>
  <c r="I441" i="9"/>
  <c r="H313" i="9"/>
  <c r="I313" i="9"/>
  <c r="G313" i="9"/>
  <c r="I185" i="9"/>
  <c r="H185" i="9"/>
  <c r="G185" i="9"/>
  <c r="G57" i="9"/>
  <c r="I57" i="9"/>
  <c r="H57" i="9"/>
  <c r="J443" i="8"/>
  <c r="H443" i="8"/>
  <c r="K443" i="8" s="1"/>
  <c r="L443" i="8" s="1"/>
  <c r="G441" i="13" s="1"/>
  <c r="I443" i="8"/>
  <c r="J315" i="8"/>
  <c r="I315" i="8"/>
  <c r="H315" i="8"/>
  <c r="I187" i="8"/>
  <c r="H187" i="8"/>
  <c r="J187" i="8"/>
  <c r="I59" i="8"/>
  <c r="J59" i="8"/>
  <c r="H59" i="8"/>
  <c r="I423" i="9"/>
  <c r="G423" i="9"/>
  <c r="H423" i="9"/>
  <c r="I295" i="9"/>
  <c r="H295" i="9"/>
  <c r="G295" i="9"/>
  <c r="G167" i="9"/>
  <c r="H167" i="9"/>
  <c r="I167" i="9"/>
  <c r="H39" i="9"/>
  <c r="I39" i="9"/>
  <c r="G39" i="9"/>
  <c r="J425" i="8"/>
  <c r="I425" i="8"/>
  <c r="H425" i="8"/>
  <c r="I297" i="8"/>
  <c r="H297" i="8"/>
  <c r="J297" i="8"/>
  <c r="H169" i="8"/>
  <c r="I169" i="8"/>
  <c r="J169" i="8"/>
  <c r="H41" i="8"/>
  <c r="J41" i="8"/>
  <c r="I41" i="8"/>
  <c r="Q395" i="1"/>
  <c r="F393" i="13" s="1"/>
  <c r="Q315" i="1"/>
  <c r="F313" i="13" s="1"/>
  <c r="Q27" i="1"/>
  <c r="F25" i="13" s="1"/>
  <c r="Q69" i="1"/>
  <c r="F67" i="13" s="1"/>
  <c r="I102" i="9"/>
  <c r="G102" i="9"/>
  <c r="H102" i="9"/>
  <c r="I117" i="9"/>
  <c r="H117" i="9"/>
  <c r="G117" i="9"/>
  <c r="I119" i="8"/>
  <c r="J119" i="8"/>
  <c r="H119" i="8"/>
  <c r="H85" i="8"/>
  <c r="I85" i="8"/>
  <c r="J85" i="8"/>
  <c r="G482" i="9"/>
  <c r="H482" i="9"/>
  <c r="I482" i="9"/>
  <c r="J482" i="9"/>
  <c r="K482" i="9" s="1"/>
  <c r="H480" i="13" s="1"/>
  <c r="I291" i="8"/>
  <c r="J291" i="8"/>
  <c r="H291" i="8"/>
  <c r="H484" i="9"/>
  <c r="G484" i="9"/>
  <c r="J484" i="9" s="1"/>
  <c r="K484" i="9" s="1"/>
  <c r="H482" i="13" s="1"/>
  <c r="I484" i="9"/>
  <c r="H230" i="8"/>
  <c r="I230" i="8"/>
  <c r="J230" i="8"/>
  <c r="G352" i="9"/>
  <c r="I352" i="9"/>
  <c r="H352" i="9"/>
  <c r="H96" i="9"/>
  <c r="I96" i="9"/>
  <c r="G96" i="9"/>
  <c r="I224" i="8"/>
  <c r="H224" i="8"/>
  <c r="J224" i="8"/>
  <c r="H214" i="9"/>
  <c r="G214" i="9"/>
  <c r="I214" i="9"/>
  <c r="H472" i="8"/>
  <c r="K472" i="8" s="1"/>
  <c r="L472" i="8" s="1"/>
  <c r="G470" i="13" s="1"/>
  <c r="L470" i="13" s="1"/>
  <c r="J472" i="8"/>
  <c r="I472" i="8"/>
  <c r="H344" i="8"/>
  <c r="J344" i="8"/>
  <c r="I344" i="8"/>
  <c r="J88" i="8"/>
  <c r="I88" i="8"/>
  <c r="H88" i="8"/>
  <c r="Q58" i="1"/>
  <c r="F56" i="13" s="1"/>
  <c r="H357" i="9"/>
  <c r="G357" i="9"/>
  <c r="I357" i="9"/>
  <c r="J103" i="8"/>
  <c r="I103" i="8"/>
  <c r="H103" i="8"/>
  <c r="Q72" i="1"/>
  <c r="F70" i="13" s="1"/>
  <c r="Q391" i="1"/>
  <c r="F389" i="13" s="1"/>
  <c r="H451" i="9"/>
  <c r="G451" i="9"/>
  <c r="I451" i="9"/>
  <c r="J451" i="9"/>
  <c r="K451" i="9" s="1"/>
  <c r="H449" i="13" s="1"/>
  <c r="I323" i="9"/>
  <c r="H323" i="9"/>
  <c r="G323" i="9"/>
  <c r="I195" i="9"/>
  <c r="H195" i="9"/>
  <c r="G195" i="9"/>
  <c r="G67" i="9"/>
  <c r="H67" i="9"/>
  <c r="I67" i="9"/>
  <c r="I453" i="8"/>
  <c r="H453" i="8"/>
  <c r="J453" i="8"/>
  <c r="K453" i="8"/>
  <c r="L453" i="8" s="1"/>
  <c r="G451" i="13" s="1"/>
  <c r="H325" i="8"/>
  <c r="J325" i="8"/>
  <c r="I325" i="8"/>
  <c r="H197" i="8"/>
  <c r="J197" i="8"/>
  <c r="I197" i="8"/>
  <c r="I69" i="8"/>
  <c r="H69" i="8"/>
  <c r="J69" i="8"/>
  <c r="H466" i="9"/>
  <c r="I466" i="9"/>
  <c r="G466" i="9"/>
  <c r="J466" i="9" s="1"/>
  <c r="K466" i="9" s="1"/>
  <c r="H464" i="13" s="1"/>
  <c r="I338" i="9"/>
  <c r="H338" i="9"/>
  <c r="G338" i="9"/>
  <c r="H210" i="9"/>
  <c r="G210" i="9"/>
  <c r="I210" i="9"/>
  <c r="H82" i="9"/>
  <c r="G82" i="9"/>
  <c r="I82" i="9"/>
  <c r="I468" i="8"/>
  <c r="H468" i="8"/>
  <c r="K468" i="8" s="1"/>
  <c r="L468" i="8" s="1"/>
  <c r="G466" i="13" s="1"/>
  <c r="J468" i="8"/>
  <c r="H340" i="8"/>
  <c r="J340" i="8"/>
  <c r="I340" i="8"/>
  <c r="H212" i="8"/>
  <c r="J212" i="8"/>
  <c r="I212" i="8"/>
  <c r="J84" i="8"/>
  <c r="I84" i="8"/>
  <c r="H84" i="8"/>
  <c r="Q134" i="1"/>
  <c r="F132" i="13" s="1"/>
  <c r="I401" i="9"/>
  <c r="H401" i="9"/>
  <c r="G401" i="9"/>
  <c r="I273" i="9"/>
  <c r="H273" i="9"/>
  <c r="G273" i="9"/>
  <c r="G145" i="9"/>
  <c r="I145" i="9"/>
  <c r="H145" i="9"/>
  <c r="G17" i="9"/>
  <c r="H17" i="9"/>
  <c r="I17" i="9"/>
  <c r="H403" i="8"/>
  <c r="J403" i="8"/>
  <c r="I403" i="8"/>
  <c r="I275" i="8"/>
  <c r="H275" i="8"/>
  <c r="J275" i="8"/>
  <c r="H147" i="8"/>
  <c r="J147" i="8"/>
  <c r="I147" i="8"/>
  <c r="I19" i="8"/>
  <c r="J19" i="8"/>
  <c r="H19" i="8"/>
  <c r="Q453" i="1"/>
  <c r="F451" i="13" s="1"/>
  <c r="Q276" i="1"/>
  <c r="F274" i="13" s="1"/>
  <c r="Q39" i="1"/>
  <c r="F37" i="13" s="1"/>
  <c r="Q175" i="1"/>
  <c r="F173" i="13" s="1"/>
  <c r="I410" i="9"/>
  <c r="H410" i="9"/>
  <c r="G410" i="9"/>
  <c r="G282" i="9"/>
  <c r="I282" i="9"/>
  <c r="H282" i="9"/>
  <c r="I154" i="9"/>
  <c r="G154" i="9"/>
  <c r="H154" i="9"/>
  <c r="G26" i="9"/>
  <c r="H26" i="9"/>
  <c r="I26" i="9"/>
  <c r="H412" i="8"/>
  <c r="J412" i="8"/>
  <c r="I412" i="8"/>
  <c r="H284" i="8"/>
  <c r="J284" i="8"/>
  <c r="I284" i="8"/>
  <c r="H156" i="8"/>
  <c r="J156" i="8"/>
  <c r="I156" i="8"/>
  <c r="J28" i="8"/>
  <c r="H28" i="8"/>
  <c r="I28" i="8"/>
  <c r="Q231" i="1"/>
  <c r="F229" i="13" s="1"/>
  <c r="Q147" i="1"/>
  <c r="F145" i="13" s="1"/>
  <c r="Q333" i="1"/>
  <c r="F331" i="13" s="1"/>
  <c r="H504" i="9"/>
  <c r="I504" i="9"/>
  <c r="G504" i="9"/>
  <c r="J504" i="9"/>
  <c r="K504" i="9" s="1"/>
  <c r="H502" i="13" s="1"/>
  <c r="G376" i="9"/>
  <c r="H376" i="9"/>
  <c r="I376" i="9"/>
  <c r="G248" i="9"/>
  <c r="H248" i="9"/>
  <c r="I248" i="9"/>
  <c r="I120" i="9"/>
  <c r="G120" i="9"/>
  <c r="H120" i="9"/>
  <c r="H506" i="8"/>
  <c r="I506" i="8"/>
  <c r="J506" i="8"/>
  <c r="K506" i="8"/>
  <c r="L506" i="8" s="1"/>
  <c r="G504" i="13" s="1"/>
  <c r="L504" i="13" s="1"/>
  <c r="J378" i="8"/>
  <c r="I378" i="8"/>
  <c r="H378" i="8"/>
  <c r="J250" i="8"/>
  <c r="I250" i="8"/>
  <c r="H250" i="8"/>
  <c r="J122" i="8"/>
  <c r="I122" i="8"/>
  <c r="H122" i="8"/>
  <c r="Q155" i="1"/>
  <c r="F153" i="13" s="1"/>
  <c r="J356" i="8"/>
  <c r="I356" i="8"/>
  <c r="H356" i="8"/>
  <c r="I100" i="9"/>
  <c r="H100" i="9"/>
  <c r="G100" i="9"/>
  <c r="J482" i="8"/>
  <c r="I482" i="8"/>
  <c r="H482" i="8"/>
  <c r="K482" i="8" s="1"/>
  <c r="L482" i="8" s="1"/>
  <c r="G480" i="13" s="1"/>
  <c r="I342" i="9"/>
  <c r="H342" i="9"/>
  <c r="G342" i="9"/>
  <c r="J216" i="8"/>
  <c r="H216" i="8"/>
  <c r="I216" i="8"/>
  <c r="G101" i="9"/>
  <c r="H101" i="9"/>
  <c r="I101" i="9"/>
  <c r="H44" i="9"/>
  <c r="G44" i="9"/>
  <c r="I44" i="9"/>
  <c r="J430" i="8"/>
  <c r="H430" i="8"/>
  <c r="I430" i="8"/>
  <c r="H302" i="8"/>
  <c r="J302" i="8"/>
  <c r="I302" i="8"/>
  <c r="H174" i="8"/>
  <c r="I174" i="8"/>
  <c r="J174" i="8"/>
  <c r="H46" i="8"/>
  <c r="J46" i="8"/>
  <c r="I46" i="8"/>
  <c r="Q124" i="1"/>
  <c r="F122" i="13" s="1"/>
  <c r="I411" i="9"/>
  <c r="H411" i="9"/>
  <c r="G411" i="9"/>
  <c r="H283" i="9"/>
  <c r="I283" i="9"/>
  <c r="G283" i="9"/>
  <c r="H155" i="9"/>
  <c r="G155" i="9"/>
  <c r="I155" i="9"/>
  <c r="H27" i="9"/>
  <c r="G27" i="9"/>
  <c r="I27" i="9"/>
  <c r="I413" i="8"/>
  <c r="J413" i="8"/>
  <c r="H413" i="8"/>
  <c r="J285" i="8"/>
  <c r="H285" i="8"/>
  <c r="I285" i="8"/>
  <c r="J157" i="8"/>
  <c r="I157" i="8"/>
  <c r="H157" i="8"/>
  <c r="I29" i="8"/>
  <c r="H29" i="8"/>
  <c r="J29" i="8"/>
  <c r="G425" i="9"/>
  <c r="H425" i="9"/>
  <c r="I425" i="9"/>
  <c r="H297" i="9"/>
  <c r="G297" i="9"/>
  <c r="I297" i="9"/>
  <c r="I169" i="9"/>
  <c r="H169" i="9"/>
  <c r="G169" i="9"/>
  <c r="H41" i="9"/>
  <c r="G41" i="9"/>
  <c r="I41" i="9"/>
  <c r="H427" i="8"/>
  <c r="J427" i="8"/>
  <c r="I427" i="8"/>
  <c r="J299" i="8"/>
  <c r="H299" i="8"/>
  <c r="I299" i="8"/>
  <c r="J171" i="8"/>
  <c r="I171" i="8"/>
  <c r="H171" i="8"/>
  <c r="J43" i="8"/>
  <c r="H43" i="8"/>
  <c r="I43" i="8"/>
  <c r="G407" i="9"/>
  <c r="H407" i="9"/>
  <c r="I407" i="9"/>
  <c r="I279" i="9"/>
  <c r="H279" i="9"/>
  <c r="G279" i="9"/>
  <c r="G151" i="9"/>
  <c r="I151" i="9"/>
  <c r="H151" i="9"/>
  <c r="I23" i="9"/>
  <c r="H23" i="9"/>
  <c r="G23" i="9"/>
  <c r="J409" i="8"/>
  <c r="I409" i="8"/>
  <c r="H409" i="8"/>
  <c r="I281" i="8"/>
  <c r="J281" i="8"/>
  <c r="H281" i="8"/>
  <c r="J153" i="8"/>
  <c r="I153" i="8"/>
  <c r="H153" i="8"/>
  <c r="I25" i="8"/>
  <c r="H25" i="8"/>
  <c r="J25" i="8"/>
  <c r="H417" i="9"/>
  <c r="G417" i="9"/>
  <c r="I417" i="9"/>
  <c r="J102" i="8"/>
  <c r="I102" i="8"/>
  <c r="H102" i="8"/>
  <c r="H98" i="8"/>
  <c r="J98" i="8"/>
  <c r="I98" i="8"/>
  <c r="H367" i="8"/>
  <c r="J367" i="8"/>
  <c r="I367" i="8"/>
  <c r="I208" i="9"/>
  <c r="H208" i="9"/>
  <c r="G208" i="9"/>
  <c r="J466" i="8"/>
  <c r="I466" i="8"/>
  <c r="H466" i="8"/>
  <c r="K466" i="8"/>
  <c r="L466" i="8" s="1"/>
  <c r="G464" i="13" s="1"/>
  <c r="J82" i="8"/>
  <c r="I82" i="8"/>
  <c r="H82" i="8"/>
  <c r="H399" i="9"/>
  <c r="G399" i="9"/>
  <c r="I399" i="9"/>
  <c r="G143" i="9"/>
  <c r="I143" i="9"/>
  <c r="H143" i="9"/>
  <c r="I15" i="9"/>
  <c r="H15" i="9"/>
  <c r="G15" i="9"/>
  <c r="J401" i="8"/>
  <c r="H401" i="8"/>
  <c r="I401" i="8"/>
  <c r="I17" i="8"/>
  <c r="J17" i="8"/>
  <c r="H17" i="8"/>
  <c r="I462" i="9"/>
  <c r="H462" i="9"/>
  <c r="J462" i="9" s="1"/>
  <c r="K462" i="9" s="1"/>
  <c r="H460" i="13" s="1"/>
  <c r="G462" i="9"/>
  <c r="I78" i="9"/>
  <c r="H78" i="9"/>
  <c r="G78" i="9"/>
  <c r="J464" i="8"/>
  <c r="H464" i="8"/>
  <c r="K464" i="8" s="1"/>
  <c r="L464" i="8" s="1"/>
  <c r="G462" i="13" s="1"/>
  <c r="I464" i="8"/>
  <c r="J80" i="8"/>
  <c r="H80" i="8"/>
  <c r="I80" i="8"/>
  <c r="I477" i="9"/>
  <c r="G477" i="9"/>
  <c r="J477" i="9" s="1"/>
  <c r="K477" i="9" s="1"/>
  <c r="H475" i="13" s="1"/>
  <c r="H477" i="9"/>
  <c r="H349" i="9"/>
  <c r="G349" i="9"/>
  <c r="I349" i="9"/>
  <c r="I221" i="9"/>
  <c r="H221" i="9"/>
  <c r="G221" i="9"/>
  <c r="H93" i="9"/>
  <c r="I93" i="9"/>
  <c r="G93" i="9"/>
  <c r="H479" i="8"/>
  <c r="J479" i="8"/>
  <c r="I479" i="8"/>
  <c r="K479" i="8" s="1"/>
  <c r="L479" i="8" s="1"/>
  <c r="G477" i="13" s="1"/>
  <c r="J351" i="8"/>
  <c r="I351" i="8"/>
  <c r="H351" i="8"/>
  <c r="I223" i="8"/>
  <c r="H223" i="8"/>
  <c r="J223" i="8"/>
  <c r="J95" i="8"/>
  <c r="I95" i="8"/>
  <c r="H95" i="8"/>
  <c r="G428" i="9"/>
  <c r="I428" i="9"/>
  <c r="H428" i="9"/>
  <c r="G300" i="9"/>
  <c r="I300" i="9"/>
  <c r="H300" i="9"/>
  <c r="H172" i="9"/>
  <c r="I172" i="9"/>
  <c r="G172" i="9"/>
  <c r="H454" i="9"/>
  <c r="G454" i="9"/>
  <c r="J454" i="9" s="1"/>
  <c r="K454" i="9" s="1"/>
  <c r="H452" i="13" s="1"/>
  <c r="I454" i="9"/>
  <c r="H326" i="9"/>
  <c r="G326" i="9"/>
  <c r="I326" i="9"/>
  <c r="I198" i="9"/>
  <c r="H198" i="9"/>
  <c r="G198" i="9"/>
  <c r="H70" i="9"/>
  <c r="I70" i="9"/>
  <c r="G70" i="9"/>
  <c r="J456" i="8"/>
  <c r="H456" i="8"/>
  <c r="K456" i="8" s="1"/>
  <c r="L456" i="8" s="1"/>
  <c r="G454" i="13" s="1"/>
  <c r="I456" i="8"/>
  <c r="I328" i="8"/>
  <c r="H328" i="8"/>
  <c r="J328" i="8"/>
  <c r="J200" i="8"/>
  <c r="I200" i="8"/>
  <c r="H200" i="8"/>
  <c r="H72" i="8"/>
  <c r="J72" i="8"/>
  <c r="I72" i="8"/>
  <c r="Q52" i="1"/>
  <c r="F50" i="13" s="1"/>
  <c r="H469" i="9"/>
  <c r="G469" i="9"/>
  <c r="I469" i="9"/>
  <c r="J469" i="9"/>
  <c r="K469" i="9" s="1"/>
  <c r="H467" i="13" s="1"/>
  <c r="I341" i="9"/>
  <c r="H341" i="9"/>
  <c r="G341" i="9"/>
  <c r="G213" i="9"/>
  <c r="H213" i="9"/>
  <c r="I213" i="9"/>
  <c r="I85" i="9"/>
  <c r="G85" i="9"/>
  <c r="H85" i="9"/>
  <c r="H471" i="8"/>
  <c r="J471" i="8"/>
  <c r="I471" i="8"/>
  <c r="K471" i="8"/>
  <c r="L471" i="8" s="1"/>
  <c r="G469" i="13" s="1"/>
  <c r="L469" i="13" s="1"/>
  <c r="I343" i="8"/>
  <c r="H343" i="8"/>
  <c r="J343" i="8"/>
  <c r="H215" i="8"/>
  <c r="J215" i="8"/>
  <c r="I215" i="8"/>
  <c r="J87" i="8"/>
  <c r="I87" i="8"/>
  <c r="H87" i="8"/>
  <c r="Q265" i="1"/>
  <c r="F263" i="13" s="1"/>
  <c r="Q200" i="1"/>
  <c r="F198" i="13" s="1"/>
  <c r="Q136" i="1"/>
  <c r="F134" i="13" s="1"/>
  <c r="H435" i="9"/>
  <c r="G435" i="9"/>
  <c r="I435" i="9"/>
  <c r="I307" i="9"/>
  <c r="H307" i="9"/>
  <c r="G307" i="9"/>
  <c r="G179" i="9"/>
  <c r="I179" i="9"/>
  <c r="H179" i="9"/>
  <c r="H51" i="9"/>
  <c r="G51" i="9"/>
  <c r="I51" i="9"/>
  <c r="H437" i="8"/>
  <c r="J437" i="8"/>
  <c r="I437" i="8"/>
  <c r="J309" i="8"/>
  <c r="I309" i="8"/>
  <c r="H309" i="8"/>
  <c r="I181" i="8"/>
  <c r="J181" i="8"/>
  <c r="H181" i="8"/>
  <c r="H53" i="8"/>
  <c r="I53" i="8"/>
  <c r="J53" i="8"/>
  <c r="I450" i="9"/>
  <c r="H450" i="9"/>
  <c r="G450" i="9"/>
  <c r="J450" i="9" s="1"/>
  <c r="K450" i="9" s="1"/>
  <c r="H448" i="13" s="1"/>
  <c r="G322" i="9"/>
  <c r="H322" i="9"/>
  <c r="I322" i="9"/>
  <c r="G194" i="9"/>
  <c r="I194" i="9"/>
  <c r="H194" i="9"/>
  <c r="I66" i="9"/>
  <c r="H66" i="9"/>
  <c r="G66" i="9"/>
  <c r="J452" i="8"/>
  <c r="H452" i="8"/>
  <c r="I452" i="8"/>
  <c r="K452" i="8" s="1"/>
  <c r="L452" i="8" s="1"/>
  <c r="G450" i="13" s="1"/>
  <c r="I324" i="8"/>
  <c r="H324" i="8"/>
  <c r="J324" i="8"/>
  <c r="H196" i="8"/>
  <c r="J196" i="8"/>
  <c r="I196" i="8"/>
  <c r="J68" i="8"/>
  <c r="I68" i="8"/>
  <c r="H68" i="8"/>
  <c r="Q486" i="1"/>
  <c r="F484" i="13" s="1"/>
  <c r="I513" i="9"/>
  <c r="H513" i="9"/>
  <c r="G513" i="9"/>
  <c r="J513" i="9"/>
  <c r="K513" i="9" s="1"/>
  <c r="H511" i="13" s="1"/>
  <c r="G385" i="9"/>
  <c r="I385" i="9"/>
  <c r="H385" i="9"/>
  <c r="G257" i="9"/>
  <c r="I257" i="9"/>
  <c r="H257" i="9"/>
  <c r="G129" i="9"/>
  <c r="I129" i="9"/>
  <c r="H129" i="9"/>
  <c r="I515" i="8"/>
  <c r="H515" i="8"/>
  <c r="J515" i="8"/>
  <c r="K515" i="8"/>
  <c r="L515" i="8" s="1"/>
  <c r="G513" i="13" s="1"/>
  <c r="L513" i="13" s="1"/>
  <c r="J387" i="8"/>
  <c r="I387" i="8"/>
  <c r="H387" i="8"/>
  <c r="J259" i="8"/>
  <c r="I259" i="8"/>
  <c r="H259" i="8"/>
  <c r="I131" i="8"/>
  <c r="J131" i="8"/>
  <c r="H131" i="8"/>
  <c r="Q260" i="1"/>
  <c r="F258" i="13" s="1"/>
  <c r="Q194" i="1"/>
  <c r="F192" i="13" s="1"/>
  <c r="Q497" i="1"/>
  <c r="F495" i="13" s="1"/>
  <c r="Q353" i="1"/>
  <c r="F351" i="13" s="1"/>
  <c r="Q65" i="1"/>
  <c r="F63" i="13" s="1"/>
  <c r="Q464" i="1"/>
  <c r="F462" i="13" s="1"/>
  <c r="Q128" i="1"/>
  <c r="F126" i="13" s="1"/>
  <c r="Q149" i="1"/>
  <c r="F147" i="13" s="1"/>
  <c r="Q319" i="1"/>
  <c r="F317" i="13" s="1"/>
  <c r="G394" i="9"/>
  <c r="I394" i="9"/>
  <c r="H394" i="9"/>
  <c r="I266" i="9"/>
  <c r="H266" i="9"/>
  <c r="G266" i="9"/>
  <c r="I138" i="9"/>
  <c r="G138" i="9"/>
  <c r="H138" i="9"/>
  <c r="I10" i="9"/>
  <c r="H10" i="9"/>
  <c r="G10" i="9"/>
  <c r="I396" i="8"/>
  <c r="H396" i="8"/>
  <c r="J396" i="8"/>
  <c r="H268" i="8"/>
  <c r="J268" i="8"/>
  <c r="I268" i="8"/>
  <c r="J140" i="8"/>
  <c r="I140" i="8"/>
  <c r="H140" i="8"/>
  <c r="I12" i="8"/>
  <c r="J12" i="8"/>
  <c r="H12" i="8"/>
  <c r="Q302" i="1"/>
  <c r="F300" i="13" s="1"/>
  <c r="Q238" i="1"/>
  <c r="F236" i="13" s="1"/>
  <c r="G488" i="9"/>
  <c r="J488" i="9" s="1"/>
  <c r="K488" i="9" s="1"/>
  <c r="H486" i="13" s="1"/>
  <c r="I488" i="9"/>
  <c r="H488" i="9"/>
  <c r="G360" i="9"/>
  <c r="I360" i="9"/>
  <c r="H360" i="9"/>
  <c r="I232" i="9"/>
  <c r="G232" i="9"/>
  <c r="H232" i="9"/>
  <c r="H104" i="9"/>
  <c r="G104" i="9"/>
  <c r="I104" i="9"/>
  <c r="H490" i="8"/>
  <c r="K490" i="8" s="1"/>
  <c r="L490" i="8" s="1"/>
  <c r="G488" i="13" s="1"/>
  <c r="L488" i="13" s="1"/>
  <c r="J490" i="8"/>
  <c r="I490" i="8"/>
  <c r="H362" i="8"/>
  <c r="J362" i="8"/>
  <c r="I362" i="8"/>
  <c r="J234" i="8"/>
  <c r="H234" i="8"/>
  <c r="I234" i="8"/>
  <c r="J106" i="8"/>
  <c r="H106" i="8"/>
  <c r="I106" i="8"/>
  <c r="Q428" i="1"/>
  <c r="F426" i="13" s="1"/>
  <c r="Q348" i="1"/>
  <c r="F346" i="13" s="1"/>
  <c r="Q167" i="1"/>
  <c r="F165" i="13" s="1"/>
  <c r="Q19" i="1"/>
  <c r="F17" i="13" s="1"/>
  <c r="I486" i="9"/>
  <c r="G486" i="9"/>
  <c r="H486" i="9"/>
  <c r="J486" i="9"/>
  <c r="K486" i="9" s="1"/>
  <c r="H484" i="13" s="1"/>
  <c r="I230" i="9"/>
  <c r="H230" i="9"/>
  <c r="G230" i="9"/>
  <c r="H232" i="8"/>
  <c r="J232" i="8"/>
  <c r="I232" i="8"/>
  <c r="I375" i="8"/>
  <c r="J375" i="8"/>
  <c r="H375" i="8"/>
  <c r="I211" i="9"/>
  <c r="H211" i="9"/>
  <c r="G211" i="9"/>
  <c r="J469" i="8"/>
  <c r="I469" i="8"/>
  <c r="H469" i="8"/>
  <c r="K469" i="8" s="1"/>
  <c r="L469" i="8" s="1"/>
  <c r="G467" i="13" s="1"/>
  <c r="L467" i="13" s="1"/>
  <c r="J484" i="8"/>
  <c r="I484" i="8"/>
  <c r="H484" i="8"/>
  <c r="K484" i="8"/>
  <c r="L484" i="8" s="1"/>
  <c r="G482" i="13" s="1"/>
  <c r="I33" i="9"/>
  <c r="H33" i="9"/>
  <c r="G33" i="9"/>
  <c r="I224" i="9"/>
  <c r="H224" i="9"/>
  <c r="G224" i="9"/>
  <c r="G287" i="9"/>
  <c r="I287" i="9"/>
  <c r="H287" i="9"/>
  <c r="I159" i="9"/>
  <c r="H159" i="9"/>
  <c r="G159" i="9"/>
  <c r="I31" i="9"/>
  <c r="G31" i="9"/>
  <c r="H31" i="9"/>
  <c r="J417" i="8"/>
  <c r="H417" i="8"/>
  <c r="I417" i="8"/>
  <c r="J161" i="8"/>
  <c r="H161" i="8"/>
  <c r="I161" i="8"/>
  <c r="H222" i="9"/>
  <c r="G222" i="9"/>
  <c r="I222" i="9"/>
  <c r="J480" i="8"/>
  <c r="I480" i="8"/>
  <c r="H480" i="8"/>
  <c r="K480" i="8"/>
  <c r="L480" i="8" s="1"/>
  <c r="G478" i="13" s="1"/>
  <c r="H470" i="9"/>
  <c r="I470" i="9"/>
  <c r="G470" i="9"/>
  <c r="J470" i="9" s="1"/>
  <c r="K470" i="9" s="1"/>
  <c r="H468" i="13" s="1"/>
  <c r="G485" i="9"/>
  <c r="J485" i="9" s="1"/>
  <c r="K485" i="9" s="1"/>
  <c r="H483" i="13" s="1"/>
  <c r="I485" i="9"/>
  <c r="H485" i="9"/>
  <c r="J359" i="8"/>
  <c r="I359" i="8"/>
  <c r="H359" i="8"/>
  <c r="Q137" i="1"/>
  <c r="F135" i="13" s="1"/>
  <c r="I468" i="9"/>
  <c r="H468" i="9"/>
  <c r="G468" i="9"/>
  <c r="J468" i="9" s="1"/>
  <c r="K468" i="9" s="1"/>
  <c r="H466" i="13" s="1"/>
  <c r="I84" i="9"/>
  <c r="H84" i="9"/>
  <c r="G84" i="9"/>
  <c r="I86" i="8"/>
  <c r="H86" i="8"/>
  <c r="J86" i="8"/>
  <c r="G336" i="9"/>
  <c r="I336" i="9"/>
  <c r="H336" i="9"/>
  <c r="J338" i="8"/>
  <c r="I338" i="8"/>
  <c r="H338" i="8"/>
  <c r="I273" i="8"/>
  <c r="J273" i="8"/>
  <c r="H273" i="8"/>
  <c r="I334" i="9"/>
  <c r="G334" i="9"/>
  <c r="H334" i="9"/>
  <c r="I336" i="8"/>
  <c r="H336" i="8"/>
  <c r="J336" i="8"/>
  <c r="Q21" i="1"/>
  <c r="F19" i="13" s="1"/>
  <c r="G452" i="9"/>
  <c r="J452" i="9" s="1"/>
  <c r="K452" i="9" s="1"/>
  <c r="H450" i="13" s="1"/>
  <c r="H452" i="9"/>
  <c r="I452" i="9"/>
  <c r="G324" i="9"/>
  <c r="I324" i="9"/>
  <c r="H324" i="9"/>
  <c r="I196" i="9"/>
  <c r="H196" i="9"/>
  <c r="G196" i="9"/>
  <c r="I68" i="9"/>
  <c r="H68" i="9"/>
  <c r="G68" i="9"/>
  <c r="H454" i="8"/>
  <c r="K454" i="8" s="1"/>
  <c r="L454" i="8" s="1"/>
  <c r="G452" i="13" s="1"/>
  <c r="I454" i="8"/>
  <c r="J454" i="8"/>
  <c r="I326" i="8"/>
  <c r="H326" i="8"/>
  <c r="J326" i="8"/>
  <c r="I198" i="8"/>
  <c r="J198" i="8"/>
  <c r="H198" i="8"/>
  <c r="I70" i="8"/>
  <c r="J70" i="8"/>
  <c r="H70" i="8"/>
  <c r="G448" i="9"/>
  <c r="I448" i="9"/>
  <c r="H448" i="9"/>
  <c r="J448" i="9" s="1"/>
  <c r="K448" i="9" s="1"/>
  <c r="H446" i="13" s="1"/>
  <c r="I320" i="9"/>
  <c r="H320" i="9"/>
  <c r="G320" i="9"/>
  <c r="I192" i="9"/>
  <c r="H192" i="9"/>
  <c r="G192" i="9"/>
  <c r="I64" i="9"/>
  <c r="H64" i="9"/>
  <c r="G64" i="9"/>
  <c r="J450" i="8"/>
  <c r="H450" i="8"/>
  <c r="I450" i="8"/>
  <c r="K450" i="8" s="1"/>
  <c r="L450" i="8" s="1"/>
  <c r="G448" i="13" s="1"/>
  <c r="L448" i="13" s="1"/>
  <c r="H322" i="8"/>
  <c r="J322" i="8"/>
  <c r="I322" i="8"/>
  <c r="H194" i="8"/>
  <c r="J194" i="8"/>
  <c r="I194" i="8"/>
  <c r="H66" i="8"/>
  <c r="I66" i="8"/>
  <c r="J66" i="8"/>
  <c r="G511" i="9"/>
  <c r="I511" i="9"/>
  <c r="H511" i="9"/>
  <c r="J511" i="9"/>
  <c r="K511" i="9" s="1"/>
  <c r="H509" i="13" s="1"/>
  <c r="I383" i="9"/>
  <c r="H383" i="9"/>
  <c r="G383" i="9"/>
  <c r="H255" i="9"/>
  <c r="I255" i="9"/>
  <c r="G255" i="9"/>
  <c r="I127" i="9"/>
  <c r="H127" i="9"/>
  <c r="G127" i="9"/>
  <c r="I513" i="8"/>
  <c r="J513" i="8"/>
  <c r="H513" i="8"/>
  <c r="K513" i="8"/>
  <c r="L513" i="8" s="1"/>
  <c r="G511" i="13" s="1"/>
  <c r="H385" i="8"/>
  <c r="J385" i="8"/>
  <c r="I385" i="8"/>
  <c r="I257" i="8"/>
  <c r="J257" i="8"/>
  <c r="H257" i="8"/>
  <c r="H129" i="8"/>
  <c r="J129" i="8"/>
  <c r="I129" i="8"/>
  <c r="I446" i="9"/>
  <c r="H446" i="9"/>
  <c r="G446" i="9"/>
  <c r="J446" i="9"/>
  <c r="K446" i="9" s="1"/>
  <c r="H444" i="13" s="1"/>
  <c r="I318" i="9"/>
  <c r="G318" i="9"/>
  <c r="H318" i="9"/>
  <c r="I190" i="9"/>
  <c r="H190" i="9"/>
  <c r="G190" i="9"/>
  <c r="G62" i="9"/>
  <c r="I62" i="9"/>
  <c r="H62" i="9"/>
  <c r="H448" i="8"/>
  <c r="J448" i="8"/>
  <c r="I448" i="8"/>
  <c r="K448" i="8"/>
  <c r="L448" i="8" s="1"/>
  <c r="G446" i="13" s="1"/>
  <c r="L446" i="13" s="1"/>
  <c r="J320" i="8"/>
  <c r="H320" i="8"/>
  <c r="I320" i="8"/>
  <c r="J192" i="8"/>
  <c r="I192" i="8"/>
  <c r="H192" i="8"/>
  <c r="J64" i="8"/>
  <c r="I64" i="8"/>
  <c r="H64" i="8"/>
  <c r="I461" i="9"/>
  <c r="H461" i="9"/>
  <c r="G461" i="9"/>
  <c r="J461" i="9"/>
  <c r="K461" i="9" s="1"/>
  <c r="H459" i="13" s="1"/>
  <c r="I333" i="9"/>
  <c r="H333" i="9"/>
  <c r="G333" i="9"/>
  <c r="I205" i="9"/>
  <c r="H205" i="9"/>
  <c r="G205" i="9"/>
  <c r="H77" i="9"/>
  <c r="G77" i="9"/>
  <c r="I77" i="9"/>
  <c r="H463" i="8"/>
  <c r="I463" i="8"/>
  <c r="J463" i="8"/>
  <c r="K463" i="8"/>
  <c r="L463" i="8" s="1"/>
  <c r="G461" i="13" s="1"/>
  <c r="J335" i="8"/>
  <c r="H335" i="8"/>
  <c r="I335" i="8"/>
  <c r="J207" i="8"/>
  <c r="I207" i="8"/>
  <c r="H207" i="8"/>
  <c r="J79" i="8"/>
  <c r="I79" i="8"/>
  <c r="H79" i="8"/>
  <c r="Q417" i="1"/>
  <c r="F415" i="13" s="1"/>
  <c r="Q144" i="1"/>
  <c r="F142" i="13" s="1"/>
  <c r="H412" i="9"/>
  <c r="I412" i="9"/>
  <c r="G412" i="9"/>
  <c r="I284" i="9"/>
  <c r="G284" i="9"/>
  <c r="H284" i="9"/>
  <c r="G156" i="9"/>
  <c r="H156" i="9"/>
  <c r="I156" i="9"/>
  <c r="I28" i="9"/>
  <c r="H28" i="9"/>
  <c r="G28" i="9"/>
  <c r="J414" i="8"/>
  <c r="H414" i="8"/>
  <c r="I414" i="8"/>
  <c r="H286" i="8"/>
  <c r="J286" i="8"/>
  <c r="I286" i="8"/>
  <c r="J158" i="8"/>
  <c r="I158" i="8"/>
  <c r="H158" i="8"/>
  <c r="J30" i="8"/>
  <c r="H30" i="8"/>
  <c r="I30" i="8"/>
  <c r="Q384" i="1"/>
  <c r="F382" i="13" s="1"/>
  <c r="I395" i="9"/>
  <c r="H395" i="9"/>
  <c r="G395" i="9"/>
  <c r="H267" i="9"/>
  <c r="G267" i="9"/>
  <c r="I267" i="9"/>
  <c r="H139" i="9"/>
  <c r="I139" i="9"/>
  <c r="G139" i="9"/>
  <c r="I11" i="9"/>
  <c r="H11" i="9"/>
  <c r="G11" i="9"/>
  <c r="J397" i="8"/>
  <c r="I397" i="8"/>
  <c r="H397" i="8"/>
  <c r="J269" i="8"/>
  <c r="H269" i="8"/>
  <c r="I269" i="8"/>
  <c r="J141" i="8"/>
  <c r="H141" i="8"/>
  <c r="I141" i="8"/>
  <c r="J13" i="8"/>
  <c r="I13" i="8"/>
  <c r="H13" i="8"/>
  <c r="Q239" i="1"/>
  <c r="F237" i="13" s="1"/>
  <c r="Q159" i="1"/>
  <c r="F157" i="13" s="1"/>
  <c r="Q51" i="1"/>
  <c r="F49" i="13" s="1"/>
  <c r="Q446" i="1"/>
  <c r="F444" i="13" s="1"/>
  <c r="G409" i="9"/>
  <c r="I409" i="9"/>
  <c r="H409" i="9"/>
  <c r="H281" i="9"/>
  <c r="I281" i="9"/>
  <c r="G281" i="9"/>
  <c r="H153" i="9"/>
  <c r="I153" i="9"/>
  <c r="G153" i="9"/>
  <c r="H25" i="9"/>
  <c r="G25" i="9"/>
  <c r="I25" i="9"/>
  <c r="I411" i="8"/>
  <c r="J411" i="8"/>
  <c r="H411" i="8"/>
  <c r="H283" i="8"/>
  <c r="I283" i="8"/>
  <c r="J283" i="8"/>
  <c r="J155" i="8"/>
  <c r="H155" i="8"/>
  <c r="I155" i="8"/>
  <c r="H27" i="8"/>
  <c r="J27" i="8"/>
  <c r="I27" i="8"/>
  <c r="Q317" i="1"/>
  <c r="F315" i="13" s="1"/>
  <c r="Q173" i="1"/>
  <c r="F171" i="13" s="1"/>
  <c r="I391" i="9"/>
  <c r="H391" i="9"/>
  <c r="G391" i="9"/>
  <c r="G263" i="9"/>
  <c r="H263" i="9"/>
  <c r="I263" i="9"/>
  <c r="G135" i="9"/>
  <c r="I135" i="9"/>
  <c r="H135" i="9"/>
  <c r="H7" i="9"/>
  <c r="I7" i="9"/>
  <c r="G7" i="9"/>
  <c r="H393" i="8"/>
  <c r="I393" i="8"/>
  <c r="J393" i="8"/>
  <c r="J265" i="8"/>
  <c r="I265" i="8"/>
  <c r="H265" i="8"/>
  <c r="I137" i="8"/>
  <c r="H137" i="8"/>
  <c r="J137" i="8"/>
  <c r="H9" i="8"/>
  <c r="J9" i="8"/>
  <c r="I9" i="8"/>
  <c r="Q459" i="1"/>
  <c r="F457" i="13" s="1"/>
  <c r="Q139" i="1"/>
  <c r="F137" i="13" s="1"/>
  <c r="G245" i="9"/>
  <c r="H245" i="9"/>
  <c r="I245" i="9"/>
  <c r="I467" i="9"/>
  <c r="J467" i="9" s="1"/>
  <c r="K467" i="9" s="1"/>
  <c r="H465" i="13" s="1"/>
  <c r="H467" i="9"/>
  <c r="G467" i="9"/>
  <c r="J163" i="8"/>
  <c r="I163" i="8"/>
  <c r="H163" i="8"/>
  <c r="H354" i="8"/>
  <c r="I354" i="8"/>
  <c r="J354" i="8"/>
  <c r="H86" i="9"/>
  <c r="I86" i="9"/>
  <c r="G86" i="9"/>
  <c r="J487" i="8"/>
  <c r="K487" i="8" s="1"/>
  <c r="L487" i="8" s="1"/>
  <c r="G485" i="13" s="1"/>
  <c r="L485" i="13" s="1"/>
  <c r="I487" i="8"/>
  <c r="H487" i="8"/>
  <c r="I340" i="9"/>
  <c r="G340" i="9"/>
  <c r="H340" i="9"/>
  <c r="I342" i="8"/>
  <c r="J342" i="8"/>
  <c r="H342" i="8"/>
  <c r="Q216" i="1"/>
  <c r="F214" i="13" s="1"/>
  <c r="Q407" i="1"/>
  <c r="F405" i="13" s="1"/>
  <c r="I464" i="9"/>
  <c r="H464" i="9"/>
  <c r="J464" i="9" s="1"/>
  <c r="K464" i="9" s="1"/>
  <c r="H462" i="13" s="1"/>
  <c r="G464" i="9"/>
  <c r="G80" i="9"/>
  <c r="H80" i="9"/>
  <c r="I80" i="9"/>
  <c r="I210" i="8"/>
  <c r="H210" i="8"/>
  <c r="J210" i="8"/>
  <c r="H271" i="9"/>
  <c r="I271" i="9"/>
  <c r="G271" i="9"/>
  <c r="H145" i="8"/>
  <c r="J145" i="8"/>
  <c r="I145" i="8"/>
  <c r="I206" i="9"/>
  <c r="G206" i="9"/>
  <c r="H206" i="9"/>
  <c r="I208" i="8"/>
  <c r="H208" i="8"/>
  <c r="J208" i="8"/>
  <c r="G438" i="9"/>
  <c r="I438" i="9"/>
  <c r="H438" i="9"/>
  <c r="I310" i="9"/>
  <c r="H310" i="9"/>
  <c r="G310" i="9"/>
  <c r="I182" i="9"/>
  <c r="H182" i="9"/>
  <c r="G182" i="9"/>
  <c r="G54" i="9"/>
  <c r="I54" i="9"/>
  <c r="H54" i="9"/>
  <c r="J440" i="8"/>
  <c r="K440" i="8" s="1"/>
  <c r="L440" i="8" s="1"/>
  <c r="G438" i="13" s="1"/>
  <c r="H440" i="8"/>
  <c r="I440" i="8"/>
  <c r="J312" i="8"/>
  <c r="H312" i="8"/>
  <c r="I312" i="8"/>
  <c r="I184" i="8"/>
  <c r="J184" i="8"/>
  <c r="H184" i="8"/>
  <c r="J56" i="8"/>
  <c r="I56" i="8"/>
  <c r="H56" i="8"/>
  <c r="Q474" i="1"/>
  <c r="F472" i="13" s="1"/>
  <c r="G453" i="9"/>
  <c r="I453" i="9"/>
  <c r="H453" i="9"/>
  <c r="J453" i="9"/>
  <c r="K453" i="9" s="1"/>
  <c r="H451" i="13" s="1"/>
  <c r="I325" i="9"/>
  <c r="H325" i="9"/>
  <c r="G325" i="9"/>
  <c r="G197" i="9"/>
  <c r="I197" i="9"/>
  <c r="H197" i="9"/>
  <c r="G69" i="9"/>
  <c r="H69" i="9"/>
  <c r="I69" i="9"/>
  <c r="I455" i="8"/>
  <c r="H455" i="8"/>
  <c r="J455" i="8"/>
  <c r="K455" i="8"/>
  <c r="L455" i="8" s="1"/>
  <c r="G453" i="13" s="1"/>
  <c r="J327" i="8"/>
  <c r="I327" i="8"/>
  <c r="H327" i="8"/>
  <c r="H199" i="8"/>
  <c r="J199" i="8"/>
  <c r="I199" i="8"/>
  <c r="H71" i="8"/>
  <c r="J71" i="8"/>
  <c r="I71" i="8"/>
  <c r="Q473" i="1"/>
  <c r="F471" i="13" s="1"/>
  <c r="Q409" i="1"/>
  <c r="F407" i="13" s="1"/>
  <c r="Q311" i="1"/>
  <c r="F309" i="13" s="1"/>
  <c r="Q328" i="1"/>
  <c r="F326" i="13" s="1"/>
  <c r="Q359" i="1"/>
  <c r="F357" i="13" s="1"/>
  <c r="I419" i="9"/>
  <c r="G419" i="9"/>
  <c r="H419" i="9"/>
  <c r="G291" i="9"/>
  <c r="I291" i="9"/>
  <c r="H291" i="9"/>
  <c r="I163" i="9"/>
  <c r="G163" i="9"/>
  <c r="H163" i="9"/>
  <c r="H35" i="9"/>
  <c r="G35" i="9"/>
  <c r="I35" i="9"/>
  <c r="H421" i="8"/>
  <c r="J421" i="8"/>
  <c r="I421" i="8"/>
  <c r="J293" i="8"/>
  <c r="H293" i="8"/>
  <c r="I293" i="8"/>
  <c r="H165" i="8"/>
  <c r="J165" i="8"/>
  <c r="I165" i="8"/>
  <c r="J37" i="8"/>
  <c r="I37" i="8"/>
  <c r="H37" i="8"/>
  <c r="H434" i="9"/>
  <c r="G434" i="9"/>
  <c r="I434" i="9"/>
  <c r="I306" i="9"/>
  <c r="G306" i="9"/>
  <c r="H306" i="9"/>
  <c r="H178" i="9"/>
  <c r="G178" i="9"/>
  <c r="I178" i="9"/>
  <c r="G50" i="9"/>
  <c r="I50" i="9"/>
  <c r="H50" i="9"/>
  <c r="I436" i="8"/>
  <c r="J436" i="8"/>
  <c r="H436" i="8"/>
  <c r="I308" i="8"/>
  <c r="J308" i="8"/>
  <c r="H308" i="8"/>
  <c r="I180" i="8"/>
  <c r="J180" i="8"/>
  <c r="H180" i="8"/>
  <c r="H52" i="8"/>
  <c r="J52" i="8"/>
  <c r="I52" i="8"/>
  <c r="H497" i="9"/>
  <c r="G497" i="9"/>
  <c r="I497" i="9"/>
  <c r="J497" i="9" s="1"/>
  <c r="K497" i="9" s="1"/>
  <c r="H495" i="13" s="1"/>
  <c r="I369" i="9"/>
  <c r="H369" i="9"/>
  <c r="G369" i="9"/>
  <c r="I241" i="9"/>
  <c r="H241" i="9"/>
  <c r="G241" i="9"/>
  <c r="I113" i="9"/>
  <c r="G113" i="9"/>
  <c r="H113" i="9"/>
  <c r="J499" i="8"/>
  <c r="I499" i="8"/>
  <c r="H499" i="8"/>
  <c r="K499" i="8" s="1"/>
  <c r="L499" i="8" s="1"/>
  <c r="G497" i="13" s="1"/>
  <c r="L497" i="13" s="1"/>
  <c r="H371" i="8"/>
  <c r="J371" i="8"/>
  <c r="I371" i="8"/>
  <c r="I243" i="8"/>
  <c r="J243" i="8"/>
  <c r="H243" i="8"/>
  <c r="I115" i="8"/>
  <c r="H115" i="8"/>
  <c r="J115" i="8"/>
  <c r="Q244" i="1"/>
  <c r="F242" i="13" s="1"/>
  <c r="Q338" i="1"/>
  <c r="F336" i="13" s="1"/>
  <c r="Q114" i="1"/>
  <c r="F112" i="13" s="1"/>
  <c r="Q46" i="1"/>
  <c r="F44" i="13" s="1"/>
  <c r="Q224" i="1"/>
  <c r="F222" i="13" s="1"/>
  <c r="Q30" i="1"/>
  <c r="F28" i="13" s="1"/>
  <c r="H506" i="9"/>
  <c r="J506" i="9" s="1"/>
  <c r="K506" i="9" s="1"/>
  <c r="H504" i="13" s="1"/>
  <c r="G506" i="9"/>
  <c r="I506" i="9"/>
  <c r="G378" i="9"/>
  <c r="I378" i="9"/>
  <c r="H378" i="9"/>
  <c r="G250" i="9"/>
  <c r="I250" i="9"/>
  <c r="H250" i="9"/>
  <c r="I122" i="9"/>
  <c r="G122" i="9"/>
  <c r="H122" i="9"/>
  <c r="I508" i="8"/>
  <c r="K508" i="8" s="1"/>
  <c r="L508" i="8" s="1"/>
  <c r="G506" i="13" s="1"/>
  <c r="J508" i="8"/>
  <c r="H508" i="8"/>
  <c r="J380" i="8"/>
  <c r="H380" i="8"/>
  <c r="I380" i="8"/>
  <c r="H252" i="8"/>
  <c r="J252" i="8"/>
  <c r="I252" i="8"/>
  <c r="I124" i="8"/>
  <c r="H124" i="8"/>
  <c r="J124" i="8"/>
  <c r="Q510" i="1"/>
  <c r="F508" i="13" s="1"/>
  <c r="L508" i="13" s="1"/>
  <c r="Q78" i="1"/>
  <c r="F76" i="13" s="1"/>
  <c r="I472" i="9"/>
  <c r="G472" i="9"/>
  <c r="J472" i="9" s="1"/>
  <c r="K472" i="9" s="1"/>
  <c r="H470" i="13" s="1"/>
  <c r="H472" i="9"/>
  <c r="I344" i="9"/>
  <c r="G344" i="9"/>
  <c r="H344" i="9"/>
  <c r="G216" i="9"/>
  <c r="H216" i="9"/>
  <c r="I216" i="9"/>
  <c r="G88" i="9"/>
  <c r="H88" i="9"/>
  <c r="I88" i="9"/>
  <c r="J474" i="8"/>
  <c r="H474" i="8"/>
  <c r="K474" i="8" s="1"/>
  <c r="L474" i="8" s="1"/>
  <c r="G472" i="13" s="1"/>
  <c r="I474" i="8"/>
  <c r="H346" i="8"/>
  <c r="J346" i="8"/>
  <c r="I346" i="8"/>
  <c r="J218" i="8"/>
  <c r="I218" i="8"/>
  <c r="H218" i="8"/>
  <c r="J90" i="8"/>
  <c r="I90" i="8"/>
  <c r="H90" i="8"/>
  <c r="Q247" i="1"/>
  <c r="F245" i="13" s="1"/>
  <c r="L459" i="13" l="1"/>
  <c r="L474" i="13"/>
  <c r="L452" i="13"/>
  <c r="L478" i="13"/>
  <c r="L442" i="13"/>
  <c r="L505" i="13"/>
  <c r="L506" i="13"/>
  <c r="L447" i="13"/>
  <c r="L461" i="13"/>
  <c r="L503" i="13"/>
  <c r="L477" i="13"/>
  <c r="L498" i="13"/>
  <c r="L455" i="13"/>
  <c r="L516" i="13"/>
  <c r="L472" i="13"/>
  <c r="L463" i="13"/>
  <c r="L465" i="13"/>
  <c r="L486" i="13"/>
  <c r="L449" i="13"/>
  <c r="L471" i="13"/>
  <c r="L473" i="13"/>
  <c r="L464" i="13"/>
  <c r="L440" i="13"/>
  <c r="L501" i="13"/>
  <c r="L481" i="13"/>
  <c r="L480" i="13"/>
  <c r="L514" i="13"/>
  <c r="L492" i="13"/>
  <c r="L515" i="13"/>
  <c r="J74" i="9"/>
  <c r="K74" i="9" s="1"/>
  <c r="H72" i="13" s="1"/>
  <c r="L466" i="13"/>
  <c r="L509" i="13"/>
  <c r="L482" i="13"/>
  <c r="L462" i="13"/>
  <c r="L484" i="13"/>
  <c r="L511" i="13"/>
  <c r="L454" i="13"/>
  <c r="L495" i="13"/>
  <c r="L438" i="13"/>
  <c r="L490" i="13"/>
  <c r="L494" i="13"/>
  <c r="L453" i="13"/>
  <c r="L443" i="13"/>
  <c r="L483" i="13"/>
  <c r="L457" i="13"/>
  <c r="L476" i="13"/>
  <c r="L468" i="13"/>
  <c r="L450" i="13"/>
  <c r="L444" i="13"/>
  <c r="L451" i="13"/>
  <c r="L441" i="13"/>
  <c r="K141" i="8"/>
  <c r="L141" i="8" s="1"/>
  <c r="G139" i="13" s="1"/>
  <c r="J301" i="9"/>
  <c r="K301" i="9" s="1"/>
  <c r="H299" i="13" s="1"/>
  <c r="K27" i="8"/>
  <c r="L27" i="8" s="1"/>
  <c r="G25" i="13" s="1"/>
  <c r="K416" i="8"/>
  <c r="L416" i="8" s="1"/>
  <c r="G414" i="13" s="1"/>
  <c r="J356" i="9"/>
  <c r="K356" i="9" s="1"/>
  <c r="H354" i="13" s="1"/>
  <c r="J323" i="9"/>
  <c r="K323" i="9" s="1"/>
  <c r="H321" i="13" s="1"/>
  <c r="J201" i="9"/>
  <c r="K201" i="9" s="1"/>
  <c r="H199" i="13" s="1"/>
  <c r="J389" i="9"/>
  <c r="K389" i="9" s="1"/>
  <c r="H387" i="13" s="1"/>
  <c r="J84" i="9"/>
  <c r="K84" i="9" s="1"/>
  <c r="H82" i="13" s="1"/>
  <c r="J159" i="9"/>
  <c r="K159" i="9" s="1"/>
  <c r="H157" i="13" s="1"/>
  <c r="J184" i="9"/>
  <c r="K184" i="9" s="1"/>
  <c r="H182" i="13" s="1"/>
  <c r="K276" i="8"/>
  <c r="L276" i="8" s="1"/>
  <c r="G274" i="13" s="1"/>
  <c r="J355" i="9"/>
  <c r="K355" i="9" s="1"/>
  <c r="H353" i="13" s="1"/>
  <c r="K248" i="8"/>
  <c r="L248" i="8" s="1"/>
  <c r="G246" i="13" s="1"/>
  <c r="K307" i="8"/>
  <c r="L307" i="8" s="1"/>
  <c r="G305" i="13" s="1"/>
  <c r="K107" i="8"/>
  <c r="L107" i="8" s="1"/>
  <c r="G105" i="13" s="1"/>
  <c r="K97" i="8"/>
  <c r="L97" i="8" s="1"/>
  <c r="G95" i="13" s="1"/>
  <c r="J122" i="9"/>
  <c r="K122" i="9" s="1"/>
  <c r="H120" i="13" s="1"/>
  <c r="J363" i="9"/>
  <c r="K363" i="9" s="1"/>
  <c r="H361" i="13" s="1"/>
  <c r="K231" i="8"/>
  <c r="L231" i="8" s="1"/>
  <c r="G229" i="13" s="1"/>
  <c r="J211" i="9"/>
  <c r="K211" i="9" s="1"/>
  <c r="H209" i="13" s="1"/>
  <c r="J342" i="9"/>
  <c r="K342" i="9" s="1"/>
  <c r="H340" i="13" s="1"/>
  <c r="K212" i="8"/>
  <c r="L212" i="8" s="1"/>
  <c r="G210" i="13" s="1"/>
  <c r="J420" i="9"/>
  <c r="K420" i="9" s="1"/>
  <c r="H418" i="13" s="1"/>
  <c r="K361" i="8"/>
  <c r="L361" i="8" s="1"/>
  <c r="G359" i="13" s="1"/>
  <c r="K128" i="8"/>
  <c r="L128" i="8" s="1"/>
  <c r="G126" i="13" s="1"/>
  <c r="J241" i="9"/>
  <c r="K241" i="9" s="1"/>
  <c r="H239" i="13" s="1"/>
  <c r="K383" i="8"/>
  <c r="L383" i="8" s="1"/>
  <c r="G381" i="13" s="1"/>
  <c r="K244" i="8"/>
  <c r="L244" i="8" s="1"/>
  <c r="G242" i="13" s="1"/>
  <c r="J58" i="9"/>
  <c r="K58" i="9" s="1"/>
  <c r="H56" i="13" s="1"/>
  <c r="K81" i="8"/>
  <c r="L81" i="8" s="1"/>
  <c r="G79" i="13" s="1"/>
  <c r="K310" i="8"/>
  <c r="L310" i="8" s="1"/>
  <c r="G308" i="13" s="1"/>
  <c r="K306" i="8"/>
  <c r="L306" i="8" s="1"/>
  <c r="G304" i="13" s="1"/>
  <c r="K92" i="8"/>
  <c r="L92" i="8" s="1"/>
  <c r="G90" i="13" s="1"/>
  <c r="K420" i="8"/>
  <c r="L420" i="8" s="1"/>
  <c r="G418" i="13" s="1"/>
  <c r="K229" i="8"/>
  <c r="L229" i="8" s="1"/>
  <c r="G227" i="13" s="1"/>
  <c r="J217" i="9"/>
  <c r="K217" i="9" s="1"/>
  <c r="H215" i="13" s="1"/>
  <c r="J105" i="9"/>
  <c r="K105" i="9" s="1"/>
  <c r="H103" i="13" s="1"/>
  <c r="J433" i="9"/>
  <c r="K433" i="9" s="1"/>
  <c r="H431" i="13" s="1"/>
  <c r="J71" i="9"/>
  <c r="K71" i="9" s="1"/>
  <c r="H69" i="13" s="1"/>
  <c r="J346" i="9"/>
  <c r="K346" i="9" s="1"/>
  <c r="H344" i="13" s="1"/>
  <c r="K396" i="8"/>
  <c r="L396" i="8" s="1"/>
  <c r="G394" i="13" s="1"/>
  <c r="J370" i="9"/>
  <c r="K370" i="9" s="1"/>
  <c r="H368" i="13" s="1"/>
  <c r="K37" i="8"/>
  <c r="L37" i="8" s="1"/>
  <c r="G35" i="13" s="1"/>
  <c r="J255" i="9"/>
  <c r="K255" i="9" s="1"/>
  <c r="H253" i="13" s="1"/>
  <c r="K78" i="8"/>
  <c r="L78" i="8" s="1"/>
  <c r="G76" i="13" s="1"/>
  <c r="J207" i="9"/>
  <c r="K207" i="9" s="1"/>
  <c r="H205" i="13" s="1"/>
  <c r="K294" i="8"/>
  <c r="L294" i="8" s="1"/>
  <c r="G292" i="13" s="1"/>
  <c r="J106" i="9"/>
  <c r="K106" i="9" s="1"/>
  <c r="H104" i="13" s="1"/>
  <c r="J375" i="9"/>
  <c r="K375" i="9" s="1"/>
  <c r="H373" i="13" s="1"/>
  <c r="K142" i="8"/>
  <c r="L142" i="8" s="1"/>
  <c r="G140" i="13" s="1"/>
  <c r="K402" i="8"/>
  <c r="L402" i="8" s="1"/>
  <c r="G400" i="13" s="1"/>
  <c r="J225" i="9"/>
  <c r="K225" i="9" s="1"/>
  <c r="H223" i="13" s="1"/>
  <c r="J410" i="9"/>
  <c r="K410" i="9" s="1"/>
  <c r="H408" i="13" s="1"/>
  <c r="J204" i="9"/>
  <c r="K204" i="9" s="1"/>
  <c r="H202" i="13" s="1"/>
  <c r="J14" i="9"/>
  <c r="K14" i="9" s="1"/>
  <c r="H12" i="13" s="1"/>
  <c r="J236" i="9"/>
  <c r="K236" i="9" s="1"/>
  <c r="H234" i="13" s="1"/>
  <c r="J178" i="9"/>
  <c r="K178" i="9" s="1"/>
  <c r="H176" i="13" s="1"/>
  <c r="J369" i="9"/>
  <c r="K369" i="9" s="1"/>
  <c r="H367" i="13" s="1"/>
  <c r="J338" i="9"/>
  <c r="K338" i="9" s="1"/>
  <c r="H336" i="13" s="1"/>
  <c r="J254" i="9"/>
  <c r="K254" i="9" s="1"/>
  <c r="H252" i="13" s="1"/>
  <c r="J182" i="9"/>
  <c r="K182" i="9" s="1"/>
  <c r="H180" i="13" s="1"/>
  <c r="J60" i="9"/>
  <c r="K60" i="9" s="1"/>
  <c r="H58" i="13" s="1"/>
  <c r="K120" i="8"/>
  <c r="L120" i="8" s="1"/>
  <c r="G118" i="13" s="1"/>
  <c r="K321" i="8"/>
  <c r="L321" i="8" s="1"/>
  <c r="G319" i="13" s="1"/>
  <c r="K407" i="8"/>
  <c r="L407" i="8" s="1"/>
  <c r="G405" i="13" s="1"/>
  <c r="K430" i="8"/>
  <c r="L430" i="8" s="1"/>
  <c r="G428" i="13" s="1"/>
  <c r="K59" i="8"/>
  <c r="L59" i="8" s="1"/>
  <c r="G57" i="13" s="1"/>
  <c r="K62" i="8"/>
  <c r="L62" i="8" s="1"/>
  <c r="G60" i="13" s="1"/>
  <c r="J382" i="9"/>
  <c r="K382" i="9" s="1"/>
  <c r="H380" i="13" s="1"/>
  <c r="K35" i="8"/>
  <c r="L35" i="8" s="1"/>
  <c r="G33" i="13" s="1"/>
  <c r="J13" i="9"/>
  <c r="K13" i="9" s="1"/>
  <c r="H11" i="13" s="1"/>
  <c r="K55" i="8"/>
  <c r="L55" i="8" s="1"/>
  <c r="G53" i="13" s="1"/>
  <c r="J291" i="9"/>
  <c r="K291" i="9" s="1"/>
  <c r="H289" i="13" s="1"/>
  <c r="K378" i="8"/>
  <c r="L378" i="8" s="1"/>
  <c r="G376" i="13" s="1"/>
  <c r="J117" i="9"/>
  <c r="K117" i="9" s="1"/>
  <c r="H115" i="13" s="1"/>
  <c r="J59" i="9"/>
  <c r="K59" i="9" s="1"/>
  <c r="H57" i="13" s="1"/>
  <c r="K206" i="8"/>
  <c r="L206" i="8" s="1"/>
  <c r="G204" i="13" s="1"/>
  <c r="K130" i="8"/>
  <c r="L130" i="8" s="1"/>
  <c r="G128" i="13" s="1"/>
  <c r="J6" i="9"/>
  <c r="K6" i="9" s="1"/>
  <c r="H4" i="13" s="1"/>
  <c r="K117" i="8"/>
  <c r="L117" i="8" s="1"/>
  <c r="G115" i="13" s="1"/>
  <c r="K16" i="8"/>
  <c r="L16" i="8" s="1"/>
  <c r="G14" i="13" s="1"/>
  <c r="K165" i="8"/>
  <c r="L165" i="8" s="1"/>
  <c r="G163" i="13" s="1"/>
  <c r="L163" i="13" s="1"/>
  <c r="N163" i="13" s="1"/>
  <c r="P163" i="13" s="1"/>
  <c r="J283" i="9"/>
  <c r="K283" i="9" s="1"/>
  <c r="H281" i="13" s="1"/>
  <c r="K277" i="8"/>
  <c r="L277" i="8" s="1"/>
  <c r="G275" i="13" s="1"/>
  <c r="J210" i="9"/>
  <c r="K210" i="9" s="1"/>
  <c r="H208" i="13" s="1"/>
  <c r="K390" i="8"/>
  <c r="L390" i="8" s="1"/>
  <c r="G388" i="13" s="1"/>
  <c r="K425" i="8"/>
  <c r="L425" i="8" s="1"/>
  <c r="G423" i="13" s="1"/>
  <c r="J134" i="9"/>
  <c r="K134" i="9" s="1"/>
  <c r="H132" i="13" s="1"/>
  <c r="K319" i="8"/>
  <c r="L319" i="8" s="1"/>
  <c r="G317" i="13" s="1"/>
  <c r="J41" i="9"/>
  <c r="K41" i="9" s="1"/>
  <c r="H39" i="13" s="1"/>
  <c r="J313" i="9"/>
  <c r="K313" i="9" s="1"/>
  <c r="H311" i="13" s="1"/>
  <c r="J277" i="9"/>
  <c r="K277" i="9" s="1"/>
  <c r="H275" i="13" s="1"/>
  <c r="J192" i="9"/>
  <c r="K192" i="9" s="1"/>
  <c r="H190" i="13" s="1"/>
  <c r="K281" i="8"/>
  <c r="L281" i="8" s="1"/>
  <c r="G279" i="13" s="1"/>
  <c r="K350" i="8"/>
  <c r="L350" i="8" s="1"/>
  <c r="G348" i="13" s="1"/>
  <c r="J79" i="9"/>
  <c r="K79" i="9" s="1"/>
  <c r="H77" i="13" s="1"/>
  <c r="K325" i="8"/>
  <c r="L325" i="8" s="1"/>
  <c r="G323" i="13" s="1"/>
  <c r="J230" i="9"/>
  <c r="K230" i="9" s="1"/>
  <c r="H228" i="13" s="1"/>
  <c r="K77" i="8"/>
  <c r="L77" i="8" s="1"/>
  <c r="G75" i="13" s="1"/>
  <c r="J141" i="9"/>
  <c r="K141" i="9" s="1"/>
  <c r="H139" i="13" s="1"/>
  <c r="L139" i="13" s="1"/>
  <c r="N139" i="13" s="1"/>
  <c r="P139" i="13" s="1"/>
  <c r="K282" i="8"/>
  <c r="L282" i="8" s="1"/>
  <c r="G280" i="13" s="1"/>
  <c r="K115" i="8"/>
  <c r="L115" i="8" s="1"/>
  <c r="G113" i="13" s="1"/>
  <c r="K273" i="8"/>
  <c r="L273" i="8" s="1"/>
  <c r="G271" i="13" s="1"/>
  <c r="J222" i="9"/>
  <c r="K222" i="9" s="1"/>
  <c r="H220" i="13" s="1"/>
  <c r="K185" i="8"/>
  <c r="L185" i="8" s="1"/>
  <c r="G183" i="13" s="1"/>
  <c r="J227" i="9"/>
  <c r="K227" i="9" s="1"/>
  <c r="H225" i="13" s="1"/>
  <c r="K341" i="8"/>
  <c r="L341" i="8" s="1"/>
  <c r="G339" i="13" s="1"/>
  <c r="K186" i="8"/>
  <c r="L186" i="8" s="1"/>
  <c r="G184" i="13" s="1"/>
  <c r="J293" i="9"/>
  <c r="K293" i="9" s="1"/>
  <c r="H291" i="13" s="1"/>
  <c r="J252" i="9"/>
  <c r="K252" i="9" s="1"/>
  <c r="H250" i="13" s="1"/>
  <c r="K303" i="8"/>
  <c r="L303" i="8" s="1"/>
  <c r="G301" i="13" s="1"/>
  <c r="K113" i="8"/>
  <c r="L113" i="8" s="1"/>
  <c r="G111" i="13" s="1"/>
  <c r="K33" i="8"/>
  <c r="L33" i="8" s="1"/>
  <c r="G31" i="13" s="1"/>
  <c r="J94" i="9"/>
  <c r="K94" i="9" s="1"/>
  <c r="H92" i="13" s="1"/>
  <c r="K271" i="8"/>
  <c r="L271" i="8" s="1"/>
  <c r="G269" i="13" s="1"/>
  <c r="K70" i="8"/>
  <c r="L70" i="8" s="1"/>
  <c r="G68" i="13" s="1"/>
  <c r="J287" i="9"/>
  <c r="K287" i="9" s="1"/>
  <c r="H285" i="13" s="1"/>
  <c r="K394" i="8"/>
  <c r="L394" i="8" s="1"/>
  <c r="G392" i="13" s="1"/>
  <c r="J388" i="9"/>
  <c r="K388" i="9" s="1"/>
  <c r="H386" i="13" s="1"/>
  <c r="K11" i="8"/>
  <c r="L11" i="8" s="1"/>
  <c r="G9" i="13" s="1"/>
  <c r="J229" i="9"/>
  <c r="K229" i="9" s="1"/>
  <c r="H227" i="13" s="1"/>
  <c r="J67" i="9"/>
  <c r="K67" i="9" s="1"/>
  <c r="H65" i="13" s="1"/>
  <c r="J317" i="9"/>
  <c r="K317" i="9" s="1"/>
  <c r="H315" i="13" s="1"/>
  <c r="J214" i="9"/>
  <c r="K214" i="9" s="1"/>
  <c r="H212" i="13" s="1"/>
  <c r="J280" i="9"/>
  <c r="K280" i="9" s="1"/>
  <c r="H278" i="13" s="1"/>
  <c r="J53" i="9"/>
  <c r="K53" i="9" s="1"/>
  <c r="H51" i="13" s="1"/>
  <c r="K14" i="8"/>
  <c r="L14" i="8" s="1"/>
  <c r="G12" i="13" s="1"/>
  <c r="J140" i="9"/>
  <c r="K140" i="9" s="1"/>
  <c r="H138" i="13" s="1"/>
  <c r="J64" i="9"/>
  <c r="K64" i="9" s="1"/>
  <c r="H62" i="13" s="1"/>
  <c r="J324" i="9"/>
  <c r="K324" i="9" s="1"/>
  <c r="H322" i="13" s="1"/>
  <c r="K338" i="8"/>
  <c r="L338" i="8" s="1"/>
  <c r="G336" i="13" s="1"/>
  <c r="K250" i="8"/>
  <c r="L250" i="8" s="1"/>
  <c r="G248" i="13" s="1"/>
  <c r="J376" i="9"/>
  <c r="K376" i="9" s="1"/>
  <c r="H374" i="13" s="1"/>
  <c r="K403" i="8"/>
  <c r="L403" i="8" s="1"/>
  <c r="G401" i="13" s="1"/>
  <c r="K84" i="8"/>
  <c r="L84" i="8" s="1"/>
  <c r="G82" i="13" s="1"/>
  <c r="J242" i="9"/>
  <c r="K242" i="9" s="1"/>
  <c r="H240" i="13" s="1"/>
  <c r="J398" i="9"/>
  <c r="K398" i="9" s="1"/>
  <c r="H396" i="13" s="1"/>
  <c r="K38" i="8"/>
  <c r="L38" i="8" s="1"/>
  <c r="G36" i="13" s="1"/>
  <c r="K124" i="8"/>
  <c r="L124" i="8" s="1"/>
  <c r="G122" i="13" s="1"/>
  <c r="K218" i="8"/>
  <c r="L218" i="8" s="1"/>
  <c r="G216" i="13" s="1"/>
  <c r="K52" i="8"/>
  <c r="L52" i="8" s="1"/>
  <c r="G50" i="13" s="1"/>
  <c r="J412" i="9"/>
  <c r="K412" i="9" s="1"/>
  <c r="H410" i="13" s="1"/>
  <c r="K153" i="8"/>
  <c r="L153" i="8" s="1"/>
  <c r="G151" i="13" s="1"/>
  <c r="J381" i="9"/>
  <c r="K381" i="9" s="1"/>
  <c r="H379" i="13" s="1"/>
  <c r="K49" i="8"/>
  <c r="L49" i="8" s="1"/>
  <c r="G47" i="13" s="1"/>
  <c r="J246" i="9"/>
  <c r="K246" i="9" s="1"/>
  <c r="H244" i="13" s="1"/>
  <c r="K357" i="8"/>
  <c r="L357" i="8" s="1"/>
  <c r="G355" i="13" s="1"/>
  <c r="K363" i="8"/>
  <c r="L363" i="8" s="1"/>
  <c r="G361" i="13" s="1"/>
  <c r="K100" i="8"/>
  <c r="L100" i="8" s="1"/>
  <c r="G98" i="13" s="1"/>
  <c r="K20" i="8"/>
  <c r="L20" i="8" s="1"/>
  <c r="G18" i="13" s="1"/>
  <c r="J113" i="9"/>
  <c r="K113" i="9" s="1"/>
  <c r="H111" i="13" s="1"/>
  <c r="K180" i="8"/>
  <c r="L180" i="8" s="1"/>
  <c r="G178" i="13" s="1"/>
  <c r="K157" i="8"/>
  <c r="L157" i="8" s="1"/>
  <c r="G155" i="13" s="1"/>
  <c r="K263" i="8"/>
  <c r="L263" i="8" s="1"/>
  <c r="G261" i="13" s="1"/>
  <c r="J125" i="9"/>
  <c r="K125" i="9" s="1"/>
  <c r="H123" i="13" s="1"/>
  <c r="K94" i="8"/>
  <c r="L94" i="8" s="1"/>
  <c r="G92" i="13" s="1"/>
  <c r="J69" i="9"/>
  <c r="K69" i="9" s="1"/>
  <c r="H67" i="13" s="1"/>
  <c r="J267" i="9"/>
  <c r="K267" i="9" s="1"/>
  <c r="H265" i="13" s="1"/>
  <c r="J348" i="9"/>
  <c r="K348" i="9" s="1"/>
  <c r="H346" i="13" s="1"/>
  <c r="J274" i="9"/>
  <c r="K274" i="9" s="1"/>
  <c r="H272" i="13" s="1"/>
  <c r="K10" i="8"/>
  <c r="L10" i="8" s="1"/>
  <c r="G8" i="13" s="1"/>
  <c r="K227" i="8"/>
  <c r="L227" i="8" s="1"/>
  <c r="G225" i="13" s="1"/>
  <c r="K311" i="8"/>
  <c r="L311" i="8" s="1"/>
  <c r="G309" i="13" s="1"/>
  <c r="J251" i="9"/>
  <c r="K251" i="9" s="1"/>
  <c r="H249" i="13" s="1"/>
  <c r="K433" i="8"/>
  <c r="L433" i="8" s="1"/>
  <c r="G431" i="13" s="1"/>
  <c r="K135" i="8"/>
  <c r="L135" i="8" s="1"/>
  <c r="G133" i="13" s="1"/>
  <c r="J396" i="9"/>
  <c r="K396" i="9" s="1"/>
  <c r="H394" i="13" s="1"/>
  <c r="J180" i="9"/>
  <c r="K180" i="9" s="1"/>
  <c r="H178" i="13" s="1"/>
  <c r="K428" i="8"/>
  <c r="L428" i="8" s="1"/>
  <c r="G426" i="13" s="1"/>
  <c r="J144" i="9"/>
  <c r="K144" i="9" s="1"/>
  <c r="H142" i="13" s="1"/>
  <c r="K43" i="8"/>
  <c r="L43" i="8" s="1"/>
  <c r="G41" i="13" s="1"/>
  <c r="J109" i="9"/>
  <c r="K109" i="9" s="1"/>
  <c r="H107" i="13" s="1"/>
  <c r="K435" i="8"/>
  <c r="L435" i="8" s="1"/>
  <c r="G433" i="13" s="1"/>
  <c r="K58" i="8"/>
  <c r="L58" i="8" s="1"/>
  <c r="G56" i="13" s="1"/>
  <c r="L56" i="13" s="1"/>
  <c r="N56" i="13" s="1"/>
  <c r="P56" i="13" s="1"/>
  <c r="J9" i="9"/>
  <c r="K9" i="9" s="1"/>
  <c r="H7" i="13" s="1"/>
  <c r="J61" i="9"/>
  <c r="K61" i="9" s="1"/>
  <c r="H59" i="13" s="1"/>
  <c r="J358" i="9"/>
  <c r="K358" i="9" s="1"/>
  <c r="H356" i="13" s="1"/>
  <c r="J340" i="9"/>
  <c r="K340" i="9" s="1"/>
  <c r="H338" i="13" s="1"/>
  <c r="K326" i="8"/>
  <c r="L326" i="8" s="1"/>
  <c r="G324" i="13" s="1"/>
  <c r="K86" i="8"/>
  <c r="L86" i="8" s="1"/>
  <c r="G84" i="13" s="1"/>
  <c r="J309" i="9"/>
  <c r="K309" i="9" s="1"/>
  <c r="H307" i="13" s="1"/>
  <c r="J395" i="9"/>
  <c r="K395" i="9" s="1"/>
  <c r="H393" i="13" s="1"/>
  <c r="J56" i="9"/>
  <c r="K56" i="9" s="1"/>
  <c r="H54" i="13" s="1"/>
  <c r="K418" i="8"/>
  <c r="L418" i="8" s="1"/>
  <c r="G416" i="13" s="1"/>
  <c r="K269" i="8"/>
  <c r="L269" i="8" s="1"/>
  <c r="G267" i="13" s="1"/>
  <c r="J409" i="9"/>
  <c r="K409" i="9" s="1"/>
  <c r="H407" i="13" s="1"/>
  <c r="J50" i="9"/>
  <c r="K50" i="9" s="1"/>
  <c r="H48" i="13" s="1"/>
  <c r="J206" i="9"/>
  <c r="K206" i="9" s="1"/>
  <c r="H204" i="13" s="1"/>
  <c r="K283" i="8"/>
  <c r="L283" i="8" s="1"/>
  <c r="G281" i="13" s="1"/>
  <c r="J196" i="9"/>
  <c r="K196" i="9" s="1"/>
  <c r="H194" i="13" s="1"/>
  <c r="K102" i="8"/>
  <c r="L102" i="8" s="1"/>
  <c r="G100" i="13" s="1"/>
  <c r="J185" i="9"/>
  <c r="K185" i="9" s="1"/>
  <c r="H183" i="13" s="1"/>
  <c r="K57" i="8"/>
  <c r="L57" i="8" s="1"/>
  <c r="G55" i="13" s="1"/>
  <c r="J191" i="9"/>
  <c r="K191" i="9" s="1"/>
  <c r="H189" i="13" s="1"/>
  <c r="K386" i="8"/>
  <c r="L386" i="8" s="1"/>
  <c r="G384" i="13" s="1"/>
  <c r="K144" i="8"/>
  <c r="L144" i="8" s="1"/>
  <c r="G142" i="13" s="1"/>
  <c r="K360" i="8"/>
  <c r="L360" i="8" s="1"/>
  <c r="G358" i="13" s="1"/>
  <c r="K261" i="8"/>
  <c r="L261" i="8" s="1"/>
  <c r="G259" i="13" s="1"/>
  <c r="K184" i="8"/>
  <c r="L184" i="8" s="1"/>
  <c r="G182" i="13" s="1"/>
  <c r="K173" i="8"/>
  <c r="L173" i="8" s="1"/>
  <c r="G171" i="13" s="1"/>
  <c r="K343" i="8"/>
  <c r="L343" i="8" s="1"/>
  <c r="G341" i="13" s="1"/>
  <c r="K242" i="8"/>
  <c r="L242" i="8" s="1"/>
  <c r="G240" i="13" s="1"/>
  <c r="L240" i="13" s="1"/>
  <c r="N240" i="13" s="1"/>
  <c r="P240" i="13" s="1"/>
  <c r="K214" i="8"/>
  <c r="L214" i="8" s="1"/>
  <c r="G212" i="13" s="1"/>
  <c r="J163" i="9"/>
  <c r="K163" i="9" s="1"/>
  <c r="H161" i="13" s="1"/>
  <c r="J281" i="9"/>
  <c r="K281" i="9" s="1"/>
  <c r="H279" i="13" s="1"/>
  <c r="K285" i="8"/>
  <c r="L285" i="8" s="1"/>
  <c r="G283" i="13" s="1"/>
  <c r="J423" i="9"/>
  <c r="K423" i="9" s="1"/>
  <c r="H421" i="13" s="1"/>
  <c r="K293" i="8"/>
  <c r="L293" i="8" s="1"/>
  <c r="G291" i="13" s="1"/>
  <c r="L291" i="13" s="1"/>
  <c r="N291" i="13" s="1"/>
  <c r="P291" i="13" s="1"/>
  <c r="J419" i="9"/>
  <c r="K419" i="9" s="1"/>
  <c r="H417" i="13" s="1"/>
  <c r="J102" i="9"/>
  <c r="K102" i="9" s="1"/>
  <c r="H100" i="13" s="1"/>
  <c r="J170" i="9"/>
  <c r="K170" i="9" s="1"/>
  <c r="H168" i="13" s="1"/>
  <c r="J431" i="9"/>
  <c r="K431" i="9" s="1"/>
  <c r="H429" i="13" s="1"/>
  <c r="K353" i="8"/>
  <c r="L353" i="8" s="1"/>
  <c r="G351" i="13" s="1"/>
  <c r="J83" i="9"/>
  <c r="K83" i="9" s="1"/>
  <c r="H81" i="13" s="1"/>
  <c r="J31" i="9"/>
  <c r="K31" i="9" s="1"/>
  <c r="H29" i="13" s="1"/>
  <c r="K127" i="8"/>
  <c r="L127" i="8" s="1"/>
  <c r="G125" i="13" s="1"/>
  <c r="K226" i="8"/>
  <c r="L226" i="8" s="1"/>
  <c r="G224" i="13" s="1"/>
  <c r="K340" i="8"/>
  <c r="L340" i="8" s="1"/>
  <c r="G338" i="13" s="1"/>
  <c r="K69" i="8"/>
  <c r="L69" i="8" s="1"/>
  <c r="G67" i="13" s="1"/>
  <c r="K65" i="8"/>
  <c r="L65" i="8" s="1"/>
  <c r="G63" i="13" s="1"/>
  <c r="J350" i="9"/>
  <c r="K350" i="9" s="1"/>
  <c r="H348" i="13" s="1"/>
  <c r="K66" i="8"/>
  <c r="L66" i="8" s="1"/>
  <c r="G64" i="13" s="1"/>
  <c r="K222" i="8"/>
  <c r="L222" i="8" s="1"/>
  <c r="G220" i="13" s="1"/>
  <c r="J197" i="9"/>
  <c r="K197" i="9" s="1"/>
  <c r="H195" i="13" s="1"/>
  <c r="K148" i="8"/>
  <c r="L148" i="8" s="1"/>
  <c r="G146" i="13" s="1"/>
  <c r="K137" i="8"/>
  <c r="L137" i="8" s="1"/>
  <c r="G135" i="13" s="1"/>
  <c r="L135" i="13" s="1"/>
  <c r="N135" i="13" s="1"/>
  <c r="P135" i="13" s="1"/>
  <c r="K163" i="8"/>
  <c r="L163" i="8" s="1"/>
  <c r="G161" i="13" s="1"/>
  <c r="K411" i="8"/>
  <c r="L411" i="8" s="1"/>
  <c r="G409" i="13" s="1"/>
  <c r="K64" i="8"/>
  <c r="L64" i="8" s="1"/>
  <c r="G62" i="13" s="1"/>
  <c r="J190" i="9"/>
  <c r="K190" i="9" s="1"/>
  <c r="H188" i="13" s="1"/>
  <c r="K385" i="8"/>
  <c r="L385" i="8" s="1"/>
  <c r="G383" i="13" s="1"/>
  <c r="K198" i="8"/>
  <c r="L198" i="8" s="1"/>
  <c r="G196" i="13" s="1"/>
  <c r="K131" i="8"/>
  <c r="L131" i="8" s="1"/>
  <c r="G129" i="13" s="1"/>
  <c r="K351" i="8"/>
  <c r="L351" i="8" s="1"/>
  <c r="G349" i="13" s="1"/>
  <c r="K61" i="8"/>
  <c r="L61" i="8" s="1"/>
  <c r="G59" i="13" s="1"/>
  <c r="J258" i="9"/>
  <c r="K258" i="9" s="1"/>
  <c r="H256" i="13" s="1"/>
  <c r="K400" i="8"/>
  <c r="L400" i="8" s="1"/>
  <c r="G398" i="13" s="1"/>
  <c r="J160" i="9"/>
  <c r="K160" i="9" s="1"/>
  <c r="H158" i="13" s="1"/>
  <c r="J162" i="9"/>
  <c r="K162" i="9" s="1"/>
  <c r="H160" i="13" s="1"/>
  <c r="J33" i="9"/>
  <c r="K33" i="9" s="1"/>
  <c r="H31" i="13" s="1"/>
  <c r="K232" i="8"/>
  <c r="L232" i="8" s="1"/>
  <c r="G230" i="13" s="1"/>
  <c r="J139" i="9"/>
  <c r="K139" i="9" s="1"/>
  <c r="H137" i="13" s="1"/>
  <c r="J341" i="9"/>
  <c r="K341" i="9" s="1"/>
  <c r="H339" i="13" s="1"/>
  <c r="J365" i="9"/>
  <c r="K365" i="9" s="1"/>
  <c r="H363" i="13" s="1"/>
  <c r="J298" i="9"/>
  <c r="K298" i="9" s="1"/>
  <c r="H296" i="13" s="1"/>
  <c r="K114" i="8"/>
  <c r="L114" i="8" s="1"/>
  <c r="G112" i="13" s="1"/>
  <c r="J133" i="9"/>
  <c r="K133" i="9" s="1"/>
  <c r="H131" i="13" s="1"/>
  <c r="K60" i="8"/>
  <c r="L60" i="8" s="1"/>
  <c r="G58" i="13" s="1"/>
  <c r="L58" i="13" s="1"/>
  <c r="N58" i="13" s="1"/>
  <c r="P58" i="13" s="1"/>
  <c r="J126" i="9"/>
  <c r="K126" i="9" s="1"/>
  <c r="H124" i="13" s="1"/>
  <c r="J128" i="9"/>
  <c r="K128" i="9" s="1"/>
  <c r="H126" i="13" s="1"/>
  <c r="J285" i="9"/>
  <c r="K285" i="9" s="1"/>
  <c r="H283" i="13" s="1"/>
  <c r="J276" i="9"/>
  <c r="K276" i="9" s="1"/>
  <c r="H274" i="13" s="1"/>
  <c r="J259" i="9"/>
  <c r="K259" i="9" s="1"/>
  <c r="H257" i="13" s="1"/>
  <c r="K295" i="8"/>
  <c r="L295" i="8" s="1"/>
  <c r="G293" i="13" s="1"/>
  <c r="K364" i="8"/>
  <c r="L364" i="8" s="1"/>
  <c r="G362" i="13" s="1"/>
  <c r="J367" i="9"/>
  <c r="K367" i="9" s="1"/>
  <c r="H365" i="13" s="1"/>
  <c r="K74" i="8"/>
  <c r="L74" i="8" s="1"/>
  <c r="G72" i="13" s="1"/>
  <c r="J111" i="9"/>
  <c r="K111" i="9" s="1"/>
  <c r="H109" i="13" s="1"/>
  <c r="K264" i="8"/>
  <c r="L264" i="8" s="1"/>
  <c r="G262" i="13" s="1"/>
  <c r="J25" i="9"/>
  <c r="K25" i="9" s="1"/>
  <c r="H23" i="13" s="1"/>
  <c r="J390" i="9"/>
  <c r="K390" i="9" s="1"/>
  <c r="H388" i="13" s="1"/>
  <c r="K272" i="8"/>
  <c r="L272" i="8" s="1"/>
  <c r="G270" i="13" s="1"/>
  <c r="J189" i="9"/>
  <c r="K189" i="9" s="1"/>
  <c r="H187" i="13" s="1"/>
  <c r="J198" i="9"/>
  <c r="K198" i="9" s="1"/>
  <c r="H196" i="13" s="1"/>
  <c r="K290" i="8"/>
  <c r="L290" i="8" s="1"/>
  <c r="G288" i="13" s="1"/>
  <c r="J359" i="9"/>
  <c r="K359" i="9" s="1"/>
  <c r="H357" i="13" s="1"/>
  <c r="J167" i="9"/>
  <c r="K167" i="9" s="1"/>
  <c r="H165" i="13" s="1"/>
  <c r="K118" i="8"/>
  <c r="L118" i="8" s="1"/>
  <c r="G116" i="13" s="1"/>
  <c r="K73" i="8"/>
  <c r="L73" i="8" s="1"/>
  <c r="G71" i="13" s="1"/>
  <c r="J63" i="9"/>
  <c r="K63" i="9" s="1"/>
  <c r="H61" i="13" s="1"/>
  <c r="J384" i="9"/>
  <c r="K384" i="9" s="1"/>
  <c r="H382" i="13" s="1"/>
  <c r="K262" i="8"/>
  <c r="L262" i="8" s="1"/>
  <c r="G260" i="13" s="1"/>
  <c r="J149" i="9"/>
  <c r="K149" i="9" s="1"/>
  <c r="H147" i="13" s="1"/>
  <c r="K76" i="8"/>
  <c r="L76" i="8" s="1"/>
  <c r="G74" i="13" s="1"/>
  <c r="K287" i="8"/>
  <c r="L287" i="8" s="1"/>
  <c r="G285" i="13" s="1"/>
  <c r="L285" i="13" s="1"/>
  <c r="N285" i="13" s="1"/>
  <c r="P285" i="13" s="1"/>
  <c r="K39" i="8"/>
  <c r="L39" i="8" s="1"/>
  <c r="G37" i="13" s="1"/>
  <c r="K225" i="8"/>
  <c r="L225" i="8" s="1"/>
  <c r="G223" i="13" s="1"/>
  <c r="L223" i="13" s="1"/>
  <c r="N223" i="13" s="1"/>
  <c r="P223" i="13" s="1"/>
  <c r="K183" i="8"/>
  <c r="L183" i="8" s="1"/>
  <c r="G181" i="13" s="1"/>
  <c r="L181" i="13" s="1"/>
  <c r="N181" i="13" s="1"/>
  <c r="P181" i="13" s="1"/>
  <c r="K267" i="8"/>
  <c r="L267" i="8" s="1"/>
  <c r="G265" i="13" s="1"/>
  <c r="J123" i="9"/>
  <c r="K123" i="9" s="1"/>
  <c r="H121" i="13" s="1"/>
  <c r="J46" i="9"/>
  <c r="K46" i="9" s="1"/>
  <c r="H44" i="13" s="1"/>
  <c r="J151" i="9"/>
  <c r="K151" i="9" s="1"/>
  <c r="H149" i="13" s="1"/>
  <c r="J401" i="9"/>
  <c r="K401" i="9" s="1"/>
  <c r="H399" i="13" s="1"/>
  <c r="J152" i="9"/>
  <c r="K152" i="9" s="1"/>
  <c r="H150" i="13" s="1"/>
  <c r="J435" i="9"/>
  <c r="K435" i="9" s="1"/>
  <c r="H433" i="13" s="1"/>
  <c r="K7" i="8"/>
  <c r="L7" i="8" s="1"/>
  <c r="G5" i="13" s="1"/>
  <c r="J334" i="9"/>
  <c r="K334" i="9" s="1"/>
  <c r="H332" i="13" s="1"/>
  <c r="K156" i="8"/>
  <c r="L156" i="8" s="1"/>
  <c r="G154" i="13" s="1"/>
  <c r="K162" i="8"/>
  <c r="L162" i="8" s="1"/>
  <c r="G160" i="13" s="1"/>
  <c r="K393" i="8"/>
  <c r="L393" i="8" s="1"/>
  <c r="G391" i="13" s="1"/>
  <c r="J132" i="9"/>
  <c r="K132" i="9" s="1"/>
  <c r="H130" i="13" s="1"/>
  <c r="K302" i="8"/>
  <c r="L302" i="8" s="1"/>
  <c r="G300" i="13" s="1"/>
  <c r="K437" i="8"/>
  <c r="L437" i="8" s="1"/>
  <c r="G435" i="13" s="1"/>
  <c r="J399" i="9"/>
  <c r="K399" i="9" s="1"/>
  <c r="H397" i="13" s="1"/>
  <c r="J306" i="9"/>
  <c r="K306" i="9" s="1"/>
  <c r="H304" i="13" s="1"/>
  <c r="K308" i="8"/>
  <c r="L308" i="8" s="1"/>
  <c r="G306" i="13" s="1"/>
  <c r="K192" i="8"/>
  <c r="L192" i="8" s="1"/>
  <c r="G190" i="13" s="1"/>
  <c r="L190" i="13" s="1"/>
  <c r="N190" i="13" s="1"/>
  <c r="P190" i="13" s="1"/>
  <c r="J138" i="9"/>
  <c r="K138" i="9" s="1"/>
  <c r="H136" i="13" s="1"/>
  <c r="K196" i="8"/>
  <c r="L196" i="8" s="1"/>
  <c r="G194" i="13" s="1"/>
  <c r="J51" i="9"/>
  <c r="K51" i="9" s="1"/>
  <c r="H49" i="13" s="1"/>
  <c r="K87" i="8"/>
  <c r="L87" i="8" s="1"/>
  <c r="G85" i="13" s="1"/>
  <c r="J349" i="9"/>
  <c r="K349" i="9" s="1"/>
  <c r="H347" i="13" s="1"/>
  <c r="K82" i="8"/>
  <c r="L82" i="8" s="1"/>
  <c r="G80" i="13" s="1"/>
  <c r="K409" i="8"/>
  <c r="L409" i="8" s="1"/>
  <c r="G407" i="13" s="1"/>
  <c r="J169" i="9"/>
  <c r="K169" i="9" s="1"/>
  <c r="H167" i="13" s="1"/>
  <c r="J411" i="9"/>
  <c r="K411" i="9" s="1"/>
  <c r="H409" i="13" s="1"/>
  <c r="J295" i="9"/>
  <c r="K295" i="9" s="1"/>
  <c r="H293" i="13" s="1"/>
  <c r="K45" i="8"/>
  <c r="L45" i="8" s="1"/>
  <c r="G43" i="13" s="1"/>
  <c r="J171" i="9"/>
  <c r="K171" i="9" s="1"/>
  <c r="H169" i="13" s="1"/>
  <c r="K384" i="8"/>
  <c r="L384" i="8" s="1"/>
  <c r="G382" i="13" s="1"/>
  <c r="K314" i="8"/>
  <c r="L314" i="8" s="1"/>
  <c r="G312" i="13" s="1"/>
  <c r="K5" i="8"/>
  <c r="L5" i="8" s="1"/>
  <c r="G3" i="13" s="1"/>
  <c r="J131" i="9"/>
  <c r="K131" i="9" s="1"/>
  <c r="H129" i="13" s="1"/>
  <c r="K366" i="8"/>
  <c r="L366" i="8" s="1"/>
  <c r="G364" i="13" s="1"/>
  <c r="J304" i="9"/>
  <c r="K304" i="9" s="1"/>
  <c r="H302" i="13" s="1"/>
  <c r="K381" i="8"/>
  <c r="L381" i="8" s="1"/>
  <c r="G379" i="13" s="1"/>
  <c r="J183" i="9"/>
  <c r="K183" i="9" s="1"/>
  <c r="H181" i="13" s="1"/>
  <c r="J143" i="9"/>
  <c r="K143" i="9" s="1"/>
  <c r="H141" i="13" s="1"/>
  <c r="J80" i="9"/>
  <c r="K80" i="9" s="1"/>
  <c r="H78" i="13" s="1"/>
  <c r="J260" i="9"/>
  <c r="K260" i="9" s="1"/>
  <c r="H258" i="13" s="1"/>
  <c r="J265" i="9"/>
  <c r="K265" i="9" s="1"/>
  <c r="H263" i="13" s="1"/>
  <c r="J129" i="9"/>
  <c r="K129" i="9" s="1"/>
  <c r="H127" i="13" s="1"/>
  <c r="K334" i="8"/>
  <c r="L334" i="8" s="1"/>
  <c r="G332" i="13" s="1"/>
  <c r="K150" i="8"/>
  <c r="L150" i="8" s="1"/>
  <c r="G148" i="13" s="1"/>
  <c r="K152" i="8"/>
  <c r="L152" i="8" s="1"/>
  <c r="G150" i="13" s="1"/>
  <c r="K243" i="8"/>
  <c r="L243" i="8" s="1"/>
  <c r="G241" i="13" s="1"/>
  <c r="J135" i="9"/>
  <c r="K135" i="9" s="1"/>
  <c r="H133" i="13" s="1"/>
  <c r="K414" i="8"/>
  <c r="L414" i="8" s="1"/>
  <c r="G412" i="13" s="1"/>
  <c r="K161" i="8"/>
  <c r="L161" i="8" s="1"/>
  <c r="G159" i="13" s="1"/>
  <c r="K140" i="8"/>
  <c r="L140" i="8" s="1"/>
  <c r="G138" i="13" s="1"/>
  <c r="L138" i="13" s="1"/>
  <c r="N138" i="13" s="1"/>
  <c r="P138" i="13" s="1"/>
  <c r="K230" i="8"/>
  <c r="L230" i="8" s="1"/>
  <c r="G228" i="13" s="1"/>
  <c r="K189" i="8"/>
  <c r="L189" i="8" s="1"/>
  <c r="G187" i="13" s="1"/>
  <c r="L187" i="13" s="1"/>
  <c r="N187" i="13" s="1"/>
  <c r="P187" i="13" s="1"/>
  <c r="J315" i="9"/>
  <c r="K315" i="9" s="1"/>
  <c r="H313" i="13" s="1"/>
  <c r="J366" i="9"/>
  <c r="K366" i="9" s="1"/>
  <c r="H364" i="13" s="1"/>
  <c r="J240" i="9"/>
  <c r="K240" i="9" s="1"/>
  <c r="H238" i="13" s="1"/>
  <c r="K410" i="8"/>
  <c r="L410" i="8" s="1"/>
  <c r="G408" i="13" s="1"/>
  <c r="J199" i="9"/>
  <c r="K199" i="9" s="1"/>
  <c r="H197" i="13" s="1"/>
  <c r="K110" i="8"/>
  <c r="L110" i="8" s="1"/>
  <c r="G108" i="13" s="1"/>
  <c r="K278" i="8"/>
  <c r="L278" i="8" s="1"/>
  <c r="G276" i="13" s="1"/>
  <c r="J18" i="9"/>
  <c r="K18" i="9" s="1"/>
  <c r="H16" i="13" s="1"/>
  <c r="J288" i="9"/>
  <c r="K288" i="9" s="1"/>
  <c r="H286" i="13" s="1"/>
  <c r="K108" i="8"/>
  <c r="L108" i="8" s="1"/>
  <c r="G106" i="13" s="1"/>
  <c r="J147" i="9"/>
  <c r="K147" i="9" s="1"/>
  <c r="H145" i="13" s="1"/>
  <c r="K369" i="8"/>
  <c r="L369" i="8" s="1"/>
  <c r="G367" i="13" s="1"/>
  <c r="J48" i="9"/>
  <c r="K48" i="9" s="1"/>
  <c r="H46" i="13" s="1"/>
  <c r="K25" i="8"/>
  <c r="L25" i="8" s="1"/>
  <c r="G23" i="13" s="1"/>
  <c r="L23" i="13" s="1"/>
  <c r="N23" i="13" s="1"/>
  <c r="P23" i="13" s="1"/>
  <c r="K335" i="8"/>
  <c r="L335" i="8" s="1"/>
  <c r="G333" i="13" s="1"/>
  <c r="J430" i="9"/>
  <c r="K430" i="9" s="1"/>
  <c r="H428" i="13" s="1"/>
  <c r="K228" i="8"/>
  <c r="L228" i="8" s="1"/>
  <c r="G226" i="13" s="1"/>
  <c r="K279" i="8"/>
  <c r="L279" i="8" s="1"/>
  <c r="G277" i="13" s="1"/>
  <c r="K382" i="8"/>
  <c r="L382" i="8" s="1"/>
  <c r="G380" i="13" s="1"/>
  <c r="J237" i="9"/>
  <c r="K237" i="9" s="1"/>
  <c r="H235" i="13" s="1"/>
  <c r="K15" i="8"/>
  <c r="L15" i="8" s="1"/>
  <c r="G13" i="13" s="1"/>
  <c r="J92" i="9"/>
  <c r="K92" i="9" s="1"/>
  <c r="H90" i="13" s="1"/>
  <c r="J234" i="9"/>
  <c r="K234" i="9" s="1"/>
  <c r="H232" i="13" s="1"/>
  <c r="K203" i="8"/>
  <c r="L203" i="8" s="1"/>
  <c r="G201" i="13" s="1"/>
  <c r="K179" i="8"/>
  <c r="L179" i="8" s="1"/>
  <c r="G177" i="13" s="1"/>
  <c r="K275" i="8"/>
  <c r="L275" i="8" s="1"/>
  <c r="G273" i="13" s="1"/>
  <c r="K105" i="8"/>
  <c r="L105" i="8" s="1"/>
  <c r="G103" i="13" s="1"/>
  <c r="L103" i="13" s="1"/>
  <c r="N103" i="13" s="1"/>
  <c r="P103" i="13" s="1"/>
  <c r="K30" i="8"/>
  <c r="L30" i="8" s="1"/>
  <c r="G28" i="13" s="1"/>
  <c r="L28" i="13" s="1"/>
  <c r="N28" i="13" s="1"/>
  <c r="P28" i="13" s="1"/>
  <c r="K6" i="8"/>
  <c r="L6" i="8" s="1"/>
  <c r="G4" i="13" s="1"/>
  <c r="L4" i="13" s="1"/>
  <c r="N4" i="13" s="1"/>
  <c r="P4" i="13" s="1"/>
  <c r="J244" i="9"/>
  <c r="K244" i="9" s="1"/>
  <c r="H242" i="13" s="1"/>
  <c r="J216" i="9"/>
  <c r="K216" i="9" s="1"/>
  <c r="H214" i="13" s="1"/>
  <c r="J205" i="9"/>
  <c r="K205" i="9" s="1"/>
  <c r="H203" i="13" s="1"/>
  <c r="J23" i="9"/>
  <c r="K23" i="9" s="1"/>
  <c r="H21" i="13" s="1"/>
  <c r="K300" i="8"/>
  <c r="L300" i="8" s="1"/>
  <c r="G298" i="13" s="1"/>
  <c r="J47" i="9"/>
  <c r="K47" i="9" s="1"/>
  <c r="H45" i="13" s="1"/>
  <c r="K136" i="8"/>
  <c r="L136" i="8" s="1"/>
  <c r="G134" i="13" s="1"/>
  <c r="J87" i="9"/>
  <c r="K87" i="9" s="1"/>
  <c r="H85" i="13" s="1"/>
  <c r="K415" i="8"/>
  <c r="L415" i="8" s="1"/>
  <c r="G413" i="13" s="1"/>
  <c r="J90" i="9"/>
  <c r="K90" i="9" s="1"/>
  <c r="H88" i="13" s="1"/>
  <c r="J146" i="9"/>
  <c r="K146" i="9" s="1"/>
  <c r="H144" i="13" s="1"/>
  <c r="J72" i="9"/>
  <c r="K72" i="9" s="1"/>
  <c r="H70" i="13" s="1"/>
  <c r="J362" i="9"/>
  <c r="K362" i="9" s="1"/>
  <c r="H360" i="13" s="1"/>
  <c r="J38" i="9"/>
  <c r="K38" i="9" s="1"/>
  <c r="H36" i="13" s="1"/>
  <c r="K48" i="8"/>
  <c r="L48" i="8" s="1"/>
  <c r="G46" i="13" s="1"/>
  <c r="K89" i="8"/>
  <c r="L89" i="8" s="1"/>
  <c r="G87" i="13" s="1"/>
  <c r="K322" i="8"/>
  <c r="L322" i="8" s="1"/>
  <c r="G320" i="13" s="1"/>
  <c r="J428" i="9"/>
  <c r="K428" i="9" s="1"/>
  <c r="H426" i="13" s="1"/>
  <c r="J235" i="9"/>
  <c r="K235" i="9" s="1"/>
  <c r="H233" i="13" s="1"/>
  <c r="J62" i="9"/>
  <c r="K62" i="9" s="1"/>
  <c r="H60" i="13" s="1"/>
  <c r="K24" i="8"/>
  <c r="L24" i="8" s="1"/>
  <c r="G22" i="13" s="1"/>
  <c r="K208" i="8"/>
  <c r="L208" i="8" s="1"/>
  <c r="G206" i="13" s="1"/>
  <c r="J326" i="9"/>
  <c r="K326" i="9" s="1"/>
  <c r="H324" i="13" s="1"/>
  <c r="J35" i="9"/>
  <c r="K35" i="9" s="1"/>
  <c r="H33" i="13" s="1"/>
  <c r="K79" i="8"/>
  <c r="L79" i="8" s="1"/>
  <c r="G77" i="13" s="1"/>
  <c r="K371" i="8"/>
  <c r="L371" i="8" s="1"/>
  <c r="G369" i="13" s="1"/>
  <c r="J232" i="9"/>
  <c r="K232" i="9" s="1"/>
  <c r="H230" i="13" s="1"/>
  <c r="K268" i="8"/>
  <c r="L268" i="8" s="1"/>
  <c r="G266" i="13" s="1"/>
  <c r="J394" i="9"/>
  <c r="K394" i="9" s="1"/>
  <c r="H392" i="13" s="1"/>
  <c r="J297" i="9"/>
  <c r="K297" i="9" s="1"/>
  <c r="H295" i="13" s="1"/>
  <c r="J273" i="9"/>
  <c r="K273" i="9" s="1"/>
  <c r="H271" i="13" s="1"/>
  <c r="K297" i="8"/>
  <c r="L297" i="8" s="1"/>
  <c r="G295" i="13" s="1"/>
  <c r="J76" i="9"/>
  <c r="K76" i="9" s="1"/>
  <c r="H74" i="13" s="1"/>
  <c r="K51" i="8"/>
  <c r="L51" i="8" s="1"/>
  <c r="G49" i="13" s="1"/>
  <c r="K372" i="8"/>
  <c r="L372" i="8" s="1"/>
  <c r="G370" i="13" s="1"/>
  <c r="J397" i="9"/>
  <c r="K397" i="9" s="1"/>
  <c r="H395" i="13" s="1"/>
  <c r="K337" i="8"/>
  <c r="L337" i="8" s="1"/>
  <c r="G335" i="13" s="1"/>
  <c r="K406" i="8"/>
  <c r="L406" i="8" s="1"/>
  <c r="G404" i="13" s="1"/>
  <c r="K126" i="8"/>
  <c r="L126" i="8" s="1"/>
  <c r="G124" i="13" s="1"/>
  <c r="K174" i="8"/>
  <c r="L174" i="8" s="1"/>
  <c r="G172" i="13" s="1"/>
  <c r="J414" i="9"/>
  <c r="K414" i="9" s="1"/>
  <c r="H412" i="13" s="1"/>
  <c r="K93" i="8"/>
  <c r="L93" i="8" s="1"/>
  <c r="G91" i="13" s="1"/>
  <c r="J95" i="9"/>
  <c r="K95" i="9" s="1"/>
  <c r="H93" i="13" s="1"/>
  <c r="J284" i="9"/>
  <c r="K284" i="9" s="1"/>
  <c r="H282" i="13" s="1"/>
  <c r="J256" i="9"/>
  <c r="K256" i="9" s="1"/>
  <c r="H254" i="13" s="1"/>
  <c r="J85" i="9"/>
  <c r="K85" i="9" s="1"/>
  <c r="H83" i="13" s="1"/>
  <c r="J43" i="9"/>
  <c r="K43" i="9" s="1"/>
  <c r="H41" i="13" s="1"/>
  <c r="J319" i="9"/>
  <c r="K319" i="9" s="1"/>
  <c r="H317" i="13" s="1"/>
  <c r="J270" i="9"/>
  <c r="K270" i="9" s="1"/>
  <c r="H268" i="13" s="1"/>
  <c r="J103" i="9"/>
  <c r="K103" i="9" s="1"/>
  <c r="H101" i="13" s="1"/>
  <c r="J34" i="9"/>
  <c r="K34" i="9" s="1"/>
  <c r="H32" i="13" s="1"/>
  <c r="K213" i="8"/>
  <c r="L213" i="8" s="1"/>
  <c r="G211" i="13" s="1"/>
  <c r="K253" i="8"/>
  <c r="L253" i="8" s="1"/>
  <c r="G251" i="13" s="1"/>
  <c r="J302" i="9"/>
  <c r="K302" i="9" s="1"/>
  <c r="H300" i="13" s="1"/>
  <c r="K389" i="8"/>
  <c r="L389" i="8" s="1"/>
  <c r="G387" i="13" s="1"/>
  <c r="K379" i="8"/>
  <c r="L379" i="8" s="1"/>
  <c r="G377" i="13" s="1"/>
  <c r="K160" i="8"/>
  <c r="L160" i="8" s="1"/>
  <c r="G158" i="13" s="1"/>
  <c r="L158" i="13" s="1"/>
  <c r="N158" i="13" s="1"/>
  <c r="P158" i="13" s="1"/>
  <c r="K398" i="8"/>
  <c r="L398" i="8" s="1"/>
  <c r="G396" i="13" s="1"/>
  <c r="K170" i="8"/>
  <c r="L170" i="8" s="1"/>
  <c r="G168" i="13" s="1"/>
  <c r="L168" i="13" s="1"/>
  <c r="N168" i="13" s="1"/>
  <c r="P168" i="13" s="1"/>
  <c r="J157" i="9"/>
  <c r="K157" i="9" s="1"/>
  <c r="H155" i="13" s="1"/>
  <c r="J37" i="9"/>
  <c r="K37" i="9" s="1"/>
  <c r="H35" i="13" s="1"/>
  <c r="J391" i="9"/>
  <c r="K391" i="9" s="1"/>
  <c r="H389" i="13" s="1"/>
  <c r="J320" i="9"/>
  <c r="K320" i="9" s="1"/>
  <c r="H318" i="13" s="1"/>
  <c r="K147" i="8"/>
  <c r="L147" i="8" s="1"/>
  <c r="G145" i="13" s="1"/>
  <c r="L145" i="13" s="1"/>
  <c r="N145" i="13" s="1"/>
  <c r="P145" i="13" s="1"/>
  <c r="J329" i="9"/>
  <c r="K329" i="9" s="1"/>
  <c r="H327" i="13" s="1"/>
  <c r="K265" i="8"/>
  <c r="L265" i="8" s="1"/>
  <c r="G263" i="13" s="1"/>
  <c r="L263" i="13" s="1"/>
  <c r="N263" i="13" s="1"/>
  <c r="P263" i="13" s="1"/>
  <c r="K397" i="8"/>
  <c r="L397" i="8" s="1"/>
  <c r="G395" i="13" s="1"/>
  <c r="K46" i="8"/>
  <c r="L46" i="8" s="1"/>
  <c r="G44" i="13" s="1"/>
  <c r="K138" i="8"/>
  <c r="L138" i="8" s="1"/>
  <c r="G136" i="13" s="1"/>
  <c r="J175" i="9"/>
  <c r="K175" i="9" s="1"/>
  <c r="H173" i="13" s="1"/>
  <c r="J75" i="9"/>
  <c r="K75" i="9" s="1"/>
  <c r="H73" i="13" s="1"/>
  <c r="K193" i="8"/>
  <c r="L193" i="8" s="1"/>
  <c r="G191" i="13" s="1"/>
  <c r="J262" i="9"/>
  <c r="K262" i="9" s="1"/>
  <c r="H260" i="13" s="1"/>
  <c r="K146" i="8"/>
  <c r="L146" i="8" s="1"/>
  <c r="G144" i="13" s="1"/>
  <c r="L144" i="13" s="1"/>
  <c r="N144" i="13" s="1"/>
  <c r="P144" i="13" s="1"/>
  <c r="J218" i="9"/>
  <c r="K218" i="9" s="1"/>
  <c r="H216" i="13" s="1"/>
  <c r="J403" i="9"/>
  <c r="K403" i="9" s="1"/>
  <c r="H401" i="13" s="1"/>
  <c r="J166" i="9"/>
  <c r="K166" i="9" s="1"/>
  <c r="H164" i="13" s="1"/>
  <c r="K50" i="8"/>
  <c r="L50" i="8" s="1"/>
  <c r="G48" i="13" s="1"/>
  <c r="J176" i="9"/>
  <c r="K176" i="9" s="1"/>
  <c r="H174" i="13" s="1"/>
  <c r="K106" i="8"/>
  <c r="L106" i="8" s="1"/>
  <c r="G104" i="13" s="1"/>
  <c r="L104" i="13" s="1"/>
  <c r="N104" i="13" s="1"/>
  <c r="P104" i="13" s="1"/>
  <c r="J213" i="9"/>
  <c r="K213" i="9" s="1"/>
  <c r="H211" i="13" s="1"/>
  <c r="J5" i="9"/>
  <c r="K5" i="9" s="1"/>
  <c r="H3" i="13" s="1"/>
  <c r="K324" i="8"/>
  <c r="L324" i="8" s="1"/>
  <c r="G322" i="13" s="1"/>
  <c r="J347" i="9"/>
  <c r="K347" i="9" s="1"/>
  <c r="H345" i="13" s="1"/>
  <c r="K133" i="8"/>
  <c r="L133" i="8" s="1"/>
  <c r="G131" i="13" s="1"/>
  <c r="K167" i="8"/>
  <c r="L167" i="8" s="1"/>
  <c r="G165" i="13" s="1"/>
  <c r="J165" i="9"/>
  <c r="K165" i="9" s="1"/>
  <c r="H163" i="13" s="1"/>
  <c r="J406" i="9"/>
  <c r="K406" i="9" s="1"/>
  <c r="H404" i="13" s="1"/>
  <c r="J32" i="9"/>
  <c r="K32" i="9" s="1"/>
  <c r="H30" i="13" s="1"/>
  <c r="K47" i="8"/>
  <c r="L47" i="8" s="1"/>
  <c r="G45" i="13" s="1"/>
  <c r="J173" i="9"/>
  <c r="K173" i="9" s="1"/>
  <c r="H171" i="13" s="1"/>
  <c r="J353" i="9"/>
  <c r="K353" i="9" s="1"/>
  <c r="H351" i="13" s="1"/>
  <c r="J275" i="9"/>
  <c r="K275" i="9" s="1"/>
  <c r="H273" i="13" s="1"/>
  <c r="J437" i="9"/>
  <c r="K437" i="9" s="1"/>
  <c r="H435" i="13" s="1"/>
  <c r="J161" i="9"/>
  <c r="K161" i="9" s="1"/>
  <c r="H159" i="13" s="1"/>
  <c r="K249" i="8"/>
  <c r="L249" i="8" s="1"/>
  <c r="G247" i="13" s="1"/>
  <c r="J393" i="9"/>
  <c r="K393" i="9" s="1"/>
  <c r="H391" i="13" s="1"/>
  <c r="K191" i="8"/>
  <c r="L191" i="8" s="1"/>
  <c r="G189" i="13" s="1"/>
  <c r="J239" i="9"/>
  <c r="K239" i="9" s="1"/>
  <c r="H237" i="13" s="1"/>
  <c r="K182" i="8"/>
  <c r="L182" i="8" s="1"/>
  <c r="G180" i="13" s="1"/>
  <c r="L180" i="13" s="1"/>
  <c r="N180" i="13" s="1"/>
  <c r="P180" i="13" s="1"/>
  <c r="J308" i="9"/>
  <c r="K308" i="9" s="1"/>
  <c r="H306" i="13" s="1"/>
  <c r="J212" i="9"/>
  <c r="K212" i="9" s="1"/>
  <c r="H210" i="13" s="1"/>
  <c r="J82" i="9"/>
  <c r="K82" i="9" s="1"/>
  <c r="H80" i="13" s="1"/>
  <c r="K392" i="8"/>
  <c r="L392" i="8" s="1"/>
  <c r="G390" i="13" s="1"/>
  <c r="K318" i="8"/>
  <c r="L318" i="8" s="1"/>
  <c r="G316" i="13" s="1"/>
  <c r="L316" i="13" s="1"/>
  <c r="N316" i="13" s="1"/>
  <c r="P316" i="13" s="1"/>
  <c r="J42" i="9"/>
  <c r="K42" i="9" s="1"/>
  <c r="H40" i="13" s="1"/>
  <c r="K368" i="8"/>
  <c r="L368" i="8" s="1"/>
  <c r="G366" i="13" s="1"/>
  <c r="K391" i="8"/>
  <c r="L391" i="8" s="1"/>
  <c r="G389" i="13" s="1"/>
  <c r="K154" i="8"/>
  <c r="L154" i="8" s="1"/>
  <c r="G152" i="13" s="1"/>
  <c r="K215" i="8"/>
  <c r="L215" i="8" s="1"/>
  <c r="G213" i="13" s="1"/>
  <c r="K328" i="8"/>
  <c r="L328" i="8" s="1"/>
  <c r="G326" i="13" s="1"/>
  <c r="L326" i="13" s="1"/>
  <c r="N326" i="13" s="1"/>
  <c r="P326" i="13" s="1"/>
  <c r="K345" i="8"/>
  <c r="L345" i="8" s="1"/>
  <c r="G343" i="13" s="1"/>
  <c r="K234" i="8"/>
  <c r="L234" i="8" s="1"/>
  <c r="G232" i="13" s="1"/>
  <c r="L232" i="13" s="1"/>
  <c r="N232" i="13" s="1"/>
  <c r="P232" i="13" s="1"/>
  <c r="K259" i="8"/>
  <c r="L259" i="8" s="1"/>
  <c r="G257" i="13" s="1"/>
  <c r="L257" i="13" s="1"/>
  <c r="N257" i="13" s="1"/>
  <c r="P257" i="13" s="1"/>
  <c r="K158" i="8"/>
  <c r="L158" i="8" s="1"/>
  <c r="G156" i="13" s="1"/>
  <c r="K217" i="8"/>
  <c r="L217" i="8" s="1"/>
  <c r="G215" i="13" s="1"/>
  <c r="L215" i="13" s="1"/>
  <c r="N215" i="13" s="1"/>
  <c r="P215" i="13" s="1"/>
  <c r="K56" i="8"/>
  <c r="L56" i="8" s="1"/>
  <c r="G54" i="13" s="1"/>
  <c r="J114" i="9"/>
  <c r="K114" i="9" s="1"/>
  <c r="H112" i="13" s="1"/>
  <c r="J357" i="9"/>
  <c r="K357" i="9" s="1"/>
  <c r="H355" i="13" s="1"/>
  <c r="K329" i="8"/>
  <c r="L329" i="8" s="1"/>
  <c r="G327" i="13" s="1"/>
  <c r="J81" i="9"/>
  <c r="K81" i="9" s="1"/>
  <c r="H79" i="13" s="1"/>
  <c r="K354" i="8"/>
  <c r="L354" i="8" s="1"/>
  <c r="G352" i="13" s="1"/>
  <c r="J400" i="9"/>
  <c r="K400" i="9" s="1"/>
  <c r="H398" i="13" s="1"/>
  <c r="J179" i="9"/>
  <c r="K179" i="9" s="1"/>
  <c r="H177" i="13" s="1"/>
  <c r="K346" i="8"/>
  <c r="L346" i="8" s="1"/>
  <c r="G344" i="13" s="1"/>
  <c r="J195" i="9"/>
  <c r="K195" i="9" s="1"/>
  <c r="H193" i="13" s="1"/>
  <c r="J55" i="9"/>
  <c r="K55" i="9" s="1"/>
  <c r="H53" i="13" s="1"/>
  <c r="K288" i="8"/>
  <c r="L288" i="8" s="1"/>
  <c r="G286" i="13" s="1"/>
  <c r="J200" i="9"/>
  <c r="K200" i="9" s="1"/>
  <c r="H198" i="13" s="1"/>
  <c r="K21" i="8"/>
  <c r="L21" i="8" s="1"/>
  <c r="G19" i="13" s="1"/>
  <c r="J354" i="9"/>
  <c r="K354" i="9" s="1"/>
  <c r="H352" i="13" s="1"/>
  <c r="J20" i="9"/>
  <c r="K20" i="9" s="1"/>
  <c r="H18" i="13" s="1"/>
  <c r="J386" i="9"/>
  <c r="K386" i="9" s="1"/>
  <c r="H384" i="13" s="1"/>
  <c r="K221" i="8"/>
  <c r="L221" i="8" s="1"/>
  <c r="G219" i="13" s="1"/>
  <c r="K159" i="8"/>
  <c r="L159" i="8" s="1"/>
  <c r="G157" i="13" s="1"/>
  <c r="K83" i="8"/>
  <c r="L83" i="8" s="1"/>
  <c r="G81" i="13" s="1"/>
  <c r="K280" i="8"/>
  <c r="L280" i="8" s="1"/>
  <c r="G278" i="13" s="1"/>
  <c r="L278" i="13" s="1"/>
  <c r="N278" i="13" s="1"/>
  <c r="P278" i="13" s="1"/>
  <c r="J121" i="9"/>
  <c r="K121" i="9" s="1"/>
  <c r="H119" i="13" s="1"/>
  <c r="J328" i="9"/>
  <c r="K328" i="9" s="1"/>
  <c r="H326" i="13" s="1"/>
  <c r="K331" i="8"/>
  <c r="L331" i="8" s="1"/>
  <c r="G329" i="13" s="1"/>
  <c r="K365" i="8"/>
  <c r="L365" i="8" s="1"/>
  <c r="G363" i="13" s="1"/>
  <c r="L363" i="13" s="1"/>
  <c r="N363" i="13" s="1"/>
  <c r="P363" i="13" s="1"/>
  <c r="K377" i="8"/>
  <c r="L377" i="8" s="1"/>
  <c r="G375" i="13" s="1"/>
  <c r="K241" i="8"/>
  <c r="L241" i="8" s="1"/>
  <c r="G239" i="13" s="1"/>
  <c r="K301" i="8"/>
  <c r="L301" i="8" s="1"/>
  <c r="G299" i="13" s="1"/>
  <c r="L299" i="13" s="1"/>
  <c r="N299" i="13" s="1"/>
  <c r="P299" i="13" s="1"/>
  <c r="K349" i="8"/>
  <c r="L349" i="8" s="1"/>
  <c r="G347" i="13" s="1"/>
  <c r="L347" i="13" s="1"/>
  <c r="N347" i="13" s="1"/>
  <c r="P347" i="13" s="1"/>
  <c r="J335" i="9"/>
  <c r="K335" i="9" s="1"/>
  <c r="H333" i="13" s="1"/>
  <c r="K22" i="8"/>
  <c r="L22" i="8" s="1"/>
  <c r="G20" i="13" s="1"/>
  <c r="J387" i="9"/>
  <c r="K387" i="9" s="1"/>
  <c r="H385" i="13" s="1"/>
  <c r="K123" i="8"/>
  <c r="L123" i="8" s="1"/>
  <c r="G121" i="13" s="1"/>
  <c r="K330" i="8"/>
  <c r="L330" i="8" s="1"/>
  <c r="G328" i="13" s="1"/>
  <c r="K434" i="8"/>
  <c r="L434" i="8" s="1"/>
  <c r="G432" i="13" s="1"/>
  <c r="K90" i="8"/>
  <c r="L90" i="8" s="1"/>
  <c r="G88" i="13" s="1"/>
  <c r="J325" i="9"/>
  <c r="K325" i="9" s="1"/>
  <c r="H323" i="13" s="1"/>
  <c r="K210" i="8"/>
  <c r="L210" i="8" s="1"/>
  <c r="G208" i="13" s="1"/>
  <c r="L208" i="13" s="1"/>
  <c r="N208" i="13" s="1"/>
  <c r="P208" i="13" s="1"/>
  <c r="K320" i="8"/>
  <c r="L320" i="8" s="1"/>
  <c r="G318" i="13" s="1"/>
  <c r="J127" i="9"/>
  <c r="K127" i="9" s="1"/>
  <c r="H125" i="13" s="1"/>
  <c r="K362" i="8"/>
  <c r="L362" i="8" s="1"/>
  <c r="G360" i="13" s="1"/>
  <c r="J10" i="9"/>
  <c r="K10" i="9" s="1"/>
  <c r="H8" i="13" s="1"/>
  <c r="J66" i="9"/>
  <c r="K66" i="9" s="1"/>
  <c r="H64" i="13" s="1"/>
  <c r="K181" i="8"/>
  <c r="L181" i="8" s="1"/>
  <c r="G179" i="13" s="1"/>
  <c r="J300" i="9"/>
  <c r="K300" i="9" s="1"/>
  <c r="H298" i="13" s="1"/>
  <c r="K80" i="8"/>
  <c r="L80" i="8" s="1"/>
  <c r="G78" i="13" s="1"/>
  <c r="K171" i="8"/>
  <c r="L171" i="8" s="1"/>
  <c r="G169" i="13" s="1"/>
  <c r="K413" i="8"/>
  <c r="L413" i="8" s="1"/>
  <c r="G411" i="13" s="1"/>
  <c r="K19" i="8"/>
  <c r="L19" i="8" s="1"/>
  <c r="G17" i="13" s="1"/>
  <c r="L17" i="13" s="1"/>
  <c r="N17" i="13" s="1"/>
  <c r="P17" i="13" s="1"/>
  <c r="K344" i="8"/>
  <c r="L344" i="8" s="1"/>
  <c r="G342" i="13" s="1"/>
  <c r="J39" i="9"/>
  <c r="K39" i="9" s="1"/>
  <c r="H37" i="13" s="1"/>
  <c r="K187" i="8"/>
  <c r="L187" i="8" s="1"/>
  <c r="G185" i="13" s="1"/>
  <c r="J427" i="9"/>
  <c r="K427" i="9" s="1"/>
  <c r="H425" i="13" s="1"/>
  <c r="J8" i="9"/>
  <c r="K8" i="9" s="1"/>
  <c r="H6" i="13" s="1"/>
  <c r="K172" i="8"/>
  <c r="L172" i="8" s="1"/>
  <c r="G170" i="13" s="1"/>
  <c r="J332" i="9"/>
  <c r="K332" i="9" s="1"/>
  <c r="H330" i="13" s="1"/>
  <c r="K370" i="8"/>
  <c r="L370" i="8" s="1"/>
  <c r="G368" i="13" s="1"/>
  <c r="J261" i="9"/>
  <c r="K261" i="9" s="1"/>
  <c r="H259" i="13" s="1"/>
  <c r="J374" i="9"/>
  <c r="K374" i="9" s="1"/>
  <c r="H372" i="13" s="1"/>
  <c r="K219" i="8"/>
  <c r="L219" i="8" s="1"/>
  <c r="G217" i="13" s="1"/>
  <c r="K256" i="8"/>
  <c r="L256" i="8" s="1"/>
  <c r="G254" i="13" s="1"/>
  <c r="J40" i="9"/>
  <c r="K40" i="9" s="1"/>
  <c r="H38" i="13" s="1"/>
  <c r="K422" i="8"/>
  <c r="L422" i="8" s="1"/>
  <c r="G420" i="13" s="1"/>
  <c r="K220" i="8"/>
  <c r="L220" i="8" s="1"/>
  <c r="G218" i="13" s="1"/>
  <c r="K211" i="8"/>
  <c r="L211" i="8" s="1"/>
  <c r="G209" i="13" s="1"/>
  <c r="L209" i="13" s="1"/>
  <c r="N209" i="13" s="1"/>
  <c r="P209" i="13" s="1"/>
  <c r="J351" i="9"/>
  <c r="K351" i="9" s="1"/>
  <c r="H349" i="13" s="1"/>
  <c r="J416" i="9"/>
  <c r="K416" i="9" s="1"/>
  <c r="H414" i="13" s="1"/>
  <c r="J30" i="9"/>
  <c r="K30" i="9" s="1"/>
  <c r="H28" i="13" s="1"/>
  <c r="K36" i="8"/>
  <c r="L36" i="8" s="1"/>
  <c r="G34" i="13" s="1"/>
  <c r="J268" i="9"/>
  <c r="K268" i="9" s="1"/>
  <c r="H266" i="13" s="1"/>
  <c r="J408" i="9"/>
  <c r="K408" i="9" s="1"/>
  <c r="H406" i="13" s="1"/>
  <c r="K432" i="8"/>
  <c r="L432" i="8" s="1"/>
  <c r="G430" i="13" s="1"/>
  <c r="L430" i="13" s="1"/>
  <c r="N430" i="13" s="1"/>
  <c r="P430" i="13" s="1"/>
  <c r="K342" i="8"/>
  <c r="L342" i="8" s="1"/>
  <c r="G340" i="13" s="1"/>
  <c r="L340" i="13" s="1"/>
  <c r="N340" i="13" s="1"/>
  <c r="P340" i="13" s="1"/>
  <c r="J108" i="9"/>
  <c r="K108" i="9" s="1"/>
  <c r="H106" i="13" s="1"/>
  <c r="J339" i="9"/>
  <c r="K339" i="9" s="1"/>
  <c r="H337" i="13" s="1"/>
  <c r="K175" i="8"/>
  <c r="L175" i="8" s="1"/>
  <c r="G173" i="13" s="1"/>
  <c r="K149" i="8"/>
  <c r="L149" i="8" s="1"/>
  <c r="G147" i="13" s="1"/>
  <c r="L147" i="13" s="1"/>
  <c r="N147" i="13" s="1"/>
  <c r="P147" i="13" s="1"/>
  <c r="J88" i="9"/>
  <c r="K88" i="9" s="1"/>
  <c r="H86" i="13" s="1"/>
  <c r="K91" i="8"/>
  <c r="L91" i="8" s="1"/>
  <c r="G89" i="13" s="1"/>
  <c r="J70" i="9"/>
  <c r="K70" i="9" s="1"/>
  <c r="H68" i="13" s="1"/>
  <c r="J15" i="9"/>
  <c r="K15" i="9" s="1"/>
  <c r="H13" i="13" s="1"/>
  <c r="J26" i="9"/>
  <c r="K26" i="9" s="1"/>
  <c r="H24" i="13" s="1"/>
  <c r="K119" i="8"/>
  <c r="L119" i="8" s="1"/>
  <c r="G117" i="13" s="1"/>
  <c r="J73" i="9"/>
  <c r="K73" i="9" s="1"/>
  <c r="H71" i="13" s="1"/>
  <c r="J110" i="9"/>
  <c r="K110" i="9" s="1"/>
  <c r="H108" i="13" s="1"/>
  <c r="K177" i="8"/>
  <c r="L177" i="8" s="1"/>
  <c r="G175" i="13" s="1"/>
  <c r="J49" i="9"/>
  <c r="K49" i="9" s="1"/>
  <c r="H47" i="13" s="1"/>
  <c r="K205" i="8"/>
  <c r="L205" i="8" s="1"/>
  <c r="G203" i="13" s="1"/>
  <c r="K209" i="8"/>
  <c r="L209" i="8" s="1"/>
  <c r="G207" i="13" s="1"/>
  <c r="L207" i="13" s="1"/>
  <c r="N207" i="13" s="1"/>
  <c r="P207" i="13" s="1"/>
  <c r="J421" i="9"/>
  <c r="K421" i="9" s="1"/>
  <c r="H419" i="13" s="1"/>
  <c r="K104" i="8"/>
  <c r="L104" i="8" s="1"/>
  <c r="G102" i="13" s="1"/>
  <c r="J429" i="9"/>
  <c r="K429" i="9" s="1"/>
  <c r="H427" i="13" s="1"/>
  <c r="K40" i="8"/>
  <c r="L40" i="8" s="1"/>
  <c r="G38" i="13" s="1"/>
  <c r="K438" i="8"/>
  <c r="L438" i="8" s="1"/>
  <c r="G436" i="13" s="1"/>
  <c r="J223" i="9"/>
  <c r="K223" i="9" s="1"/>
  <c r="H221" i="13" s="1"/>
  <c r="K71" i="8"/>
  <c r="L71" i="8" s="1"/>
  <c r="G69" i="13" s="1"/>
  <c r="J311" i="9"/>
  <c r="K311" i="9" s="1"/>
  <c r="H309" i="13" s="1"/>
  <c r="J158" i="9"/>
  <c r="K158" i="9" s="1"/>
  <c r="H156" i="13" s="1"/>
  <c r="J249" i="9"/>
  <c r="K249" i="9" s="1"/>
  <c r="H247" i="13" s="1"/>
  <c r="K125" i="8"/>
  <c r="L125" i="8" s="1"/>
  <c r="G123" i="13" s="1"/>
  <c r="J331" i="9"/>
  <c r="K331" i="9" s="1"/>
  <c r="H329" i="13" s="1"/>
  <c r="J337" i="9"/>
  <c r="K337" i="9" s="1"/>
  <c r="H335" i="13" s="1"/>
  <c r="K327" i="8"/>
  <c r="L327" i="8" s="1"/>
  <c r="G325" i="13" s="1"/>
  <c r="K312" i="8"/>
  <c r="L312" i="8" s="1"/>
  <c r="G310" i="13" s="1"/>
  <c r="L310" i="13" s="1"/>
  <c r="N310" i="13" s="1"/>
  <c r="P310" i="13" s="1"/>
  <c r="J438" i="9"/>
  <c r="K438" i="9" s="1"/>
  <c r="H436" i="13" s="1"/>
  <c r="K194" i="8"/>
  <c r="L194" i="8" s="1"/>
  <c r="G192" i="13" s="1"/>
  <c r="K359" i="8"/>
  <c r="L359" i="8" s="1"/>
  <c r="G357" i="13" s="1"/>
  <c r="J93" i="9"/>
  <c r="K93" i="9" s="1"/>
  <c r="H91" i="13" s="1"/>
  <c r="J208" i="9"/>
  <c r="K208" i="9" s="1"/>
  <c r="H206" i="13" s="1"/>
  <c r="J44" i="9"/>
  <c r="K44" i="9" s="1"/>
  <c r="H42" i="13" s="1"/>
  <c r="K252" i="8"/>
  <c r="L252" i="8" s="1"/>
  <c r="G250" i="13" s="1"/>
  <c r="L250" i="13" s="1"/>
  <c r="N250" i="13" s="1"/>
  <c r="P250" i="13" s="1"/>
  <c r="J378" i="9"/>
  <c r="K378" i="9" s="1"/>
  <c r="H376" i="13" s="1"/>
  <c r="J28" i="9"/>
  <c r="K28" i="9" s="1"/>
  <c r="H26" i="13" s="1"/>
  <c r="K207" i="8"/>
  <c r="L207" i="8" s="1"/>
  <c r="G205" i="13" s="1"/>
  <c r="J333" i="9"/>
  <c r="K333" i="9" s="1"/>
  <c r="H331" i="13" s="1"/>
  <c r="J336" i="9"/>
  <c r="K336" i="9" s="1"/>
  <c r="H334" i="13" s="1"/>
  <c r="K12" i="8"/>
  <c r="L12" i="8" s="1"/>
  <c r="G10" i="13" s="1"/>
  <c r="K309" i="8"/>
  <c r="L309" i="8" s="1"/>
  <c r="G307" i="13" s="1"/>
  <c r="L307" i="13" s="1"/>
  <c r="N307" i="13" s="1"/>
  <c r="P307" i="13" s="1"/>
  <c r="K356" i="8"/>
  <c r="L356" i="8" s="1"/>
  <c r="G354" i="13" s="1"/>
  <c r="L354" i="13" s="1"/>
  <c r="N354" i="13" s="1"/>
  <c r="P354" i="13" s="1"/>
  <c r="J145" i="9"/>
  <c r="K145" i="9" s="1"/>
  <c r="H143" i="13" s="1"/>
  <c r="K41" i="8"/>
  <c r="L41" i="8" s="1"/>
  <c r="G39" i="13" s="1"/>
  <c r="K429" i="8"/>
  <c r="L429" i="8" s="1"/>
  <c r="G427" i="13" s="1"/>
  <c r="J136" i="9"/>
  <c r="K136" i="9" s="1"/>
  <c r="H134" i="13" s="1"/>
  <c r="J426" i="9"/>
  <c r="K426" i="9" s="1"/>
  <c r="H424" i="13" s="1"/>
  <c r="K313" i="8"/>
  <c r="L313" i="8" s="1"/>
  <c r="G311" i="13" s="1"/>
  <c r="J187" i="9"/>
  <c r="K187" i="9" s="1"/>
  <c r="H185" i="13" s="1"/>
  <c r="J303" i="9"/>
  <c r="K303" i="9" s="1"/>
  <c r="H301" i="13" s="1"/>
  <c r="J228" i="9"/>
  <c r="K228" i="9" s="1"/>
  <c r="H226" i="13" s="1"/>
  <c r="K373" i="8"/>
  <c r="L373" i="8" s="1"/>
  <c r="G371" i="13" s="1"/>
  <c r="J272" i="9"/>
  <c r="K272" i="9" s="1"/>
  <c r="H270" i="13" s="1"/>
  <c r="J361" i="9"/>
  <c r="K361" i="9" s="1"/>
  <c r="H359" i="13" s="1"/>
  <c r="K238" i="8"/>
  <c r="L238" i="8" s="1"/>
  <c r="G236" i="13" s="1"/>
  <c r="J364" i="9"/>
  <c r="K364" i="9" s="1"/>
  <c r="H362" i="13" s="1"/>
  <c r="J16" i="9"/>
  <c r="K16" i="9" s="1"/>
  <c r="H14" i="13" s="1"/>
  <c r="J312" i="9"/>
  <c r="K312" i="9" s="1"/>
  <c r="H310" i="13" s="1"/>
  <c r="K348" i="8"/>
  <c r="L348" i="8" s="1"/>
  <c r="G346" i="13" s="1"/>
  <c r="L346" i="13" s="1"/>
  <c r="N346" i="13" s="1"/>
  <c r="P346" i="13" s="1"/>
  <c r="J402" i="9"/>
  <c r="K402" i="9" s="1"/>
  <c r="H400" i="13" s="1"/>
  <c r="L400" i="13" s="1"/>
  <c r="N400" i="13" s="1"/>
  <c r="P400" i="13" s="1"/>
  <c r="J22" i="9"/>
  <c r="K22" i="9" s="1"/>
  <c r="H20" i="13" s="1"/>
  <c r="K251" i="8"/>
  <c r="L251" i="8" s="1"/>
  <c r="G249" i="13" s="1"/>
  <c r="L249" i="13" s="1"/>
  <c r="N249" i="13" s="1"/>
  <c r="P249" i="13" s="1"/>
  <c r="J377" i="9"/>
  <c r="K377" i="9" s="1"/>
  <c r="H375" i="13" s="1"/>
  <c r="J380" i="9"/>
  <c r="K380" i="9" s="1"/>
  <c r="H378" i="13" s="1"/>
  <c r="K32" i="8"/>
  <c r="L32" i="8" s="1"/>
  <c r="G30" i="13" s="1"/>
  <c r="J286" i="9"/>
  <c r="K286" i="9" s="1"/>
  <c r="H284" i="13" s="1"/>
  <c r="K34" i="8"/>
  <c r="L34" i="8" s="1"/>
  <c r="G32" i="13" s="1"/>
  <c r="J290" i="9"/>
  <c r="K290" i="9" s="1"/>
  <c r="H288" i="13" s="1"/>
  <c r="K168" i="8"/>
  <c r="L168" i="8" s="1"/>
  <c r="G166" i="13" s="1"/>
  <c r="J119" i="9"/>
  <c r="K119" i="9" s="1"/>
  <c r="H117" i="13" s="1"/>
  <c r="J137" i="9"/>
  <c r="K137" i="9" s="1"/>
  <c r="H135" i="13" s="1"/>
  <c r="K270" i="8"/>
  <c r="L270" i="8" s="1"/>
  <c r="G268" i="13" s="1"/>
  <c r="J174" i="9"/>
  <c r="K174" i="9" s="1"/>
  <c r="H172" i="13" s="1"/>
  <c r="J52" i="9"/>
  <c r="K52" i="9" s="1"/>
  <c r="H50" i="13" s="1"/>
  <c r="K239" i="8"/>
  <c r="L239" i="8" s="1"/>
  <c r="G237" i="13" s="1"/>
  <c r="K237" i="8"/>
  <c r="L237" i="8" s="1"/>
  <c r="G235" i="13" s="1"/>
  <c r="K202" i="8"/>
  <c r="L202" i="8" s="1"/>
  <c r="G200" i="13" s="1"/>
  <c r="J385" i="9"/>
  <c r="K385" i="9" s="1"/>
  <c r="H383" i="13" s="1"/>
  <c r="J124" i="9"/>
  <c r="K124" i="9" s="1"/>
  <c r="H122" i="13" s="1"/>
  <c r="K399" i="8"/>
  <c r="L399" i="8" s="1"/>
  <c r="G397" i="13" s="1"/>
  <c r="L397" i="13" s="1"/>
  <c r="N397" i="13" s="1"/>
  <c r="P397" i="13" s="1"/>
  <c r="K23" i="8"/>
  <c r="L23" i="8" s="1"/>
  <c r="G21" i="13" s="1"/>
  <c r="L21" i="13" s="1"/>
  <c r="N21" i="13" s="1"/>
  <c r="P21" i="13" s="1"/>
  <c r="K8" i="8"/>
  <c r="L8" i="8" s="1"/>
  <c r="G6" i="13" s="1"/>
  <c r="K332" i="8"/>
  <c r="L332" i="8" s="1"/>
  <c r="G330" i="13" s="1"/>
  <c r="J29" i="9"/>
  <c r="K29" i="9" s="1"/>
  <c r="H27" i="13" s="1"/>
  <c r="J142" i="9"/>
  <c r="K142" i="9" s="1"/>
  <c r="H140" i="13" s="1"/>
  <c r="K339" i="8"/>
  <c r="L339" i="8" s="1"/>
  <c r="G337" i="13" s="1"/>
  <c r="K404" i="8"/>
  <c r="L404" i="8" s="1"/>
  <c r="G402" i="13" s="1"/>
  <c r="K423" i="8"/>
  <c r="L423" i="8" s="1"/>
  <c r="G421" i="13" s="1"/>
  <c r="L421" i="13" s="1"/>
  <c r="N421" i="13" s="1"/>
  <c r="P421" i="13" s="1"/>
  <c r="K254" i="8"/>
  <c r="L254" i="8" s="1"/>
  <c r="G252" i="13" s="1"/>
  <c r="K431" i="8"/>
  <c r="L431" i="8" s="1"/>
  <c r="G429" i="13" s="1"/>
  <c r="L429" i="13" s="1"/>
  <c r="N429" i="13" s="1"/>
  <c r="P429" i="13" s="1"/>
  <c r="K99" i="8"/>
  <c r="L99" i="8" s="1"/>
  <c r="G97" i="13" s="1"/>
  <c r="J97" i="9"/>
  <c r="K97" i="9" s="1"/>
  <c r="H95" i="13" s="1"/>
  <c r="L95" i="13" s="1"/>
  <c r="N95" i="13" s="1"/>
  <c r="P95" i="13" s="1"/>
  <c r="K164" i="8"/>
  <c r="L164" i="8" s="1"/>
  <c r="G162" i="13" s="1"/>
  <c r="K405" i="8"/>
  <c r="L405" i="8" s="1"/>
  <c r="G403" i="13" s="1"/>
  <c r="L403" i="13" s="1"/>
  <c r="N403" i="13" s="1"/>
  <c r="P403" i="13" s="1"/>
  <c r="J181" i="9"/>
  <c r="K181" i="9" s="1"/>
  <c r="H179" i="13" s="1"/>
  <c r="J294" i="9"/>
  <c r="K294" i="9" s="1"/>
  <c r="H292" i="13" s="1"/>
  <c r="J379" i="9"/>
  <c r="K379" i="9" s="1"/>
  <c r="H377" i="13" s="1"/>
  <c r="L377" i="13" s="1"/>
  <c r="N377" i="13" s="1"/>
  <c r="P377" i="13" s="1"/>
  <c r="K355" i="8"/>
  <c r="L355" i="8" s="1"/>
  <c r="G353" i="13" s="1"/>
  <c r="L353" i="13" s="1"/>
  <c r="N353" i="13" s="1"/>
  <c r="P353" i="13" s="1"/>
  <c r="J263" i="9"/>
  <c r="K263" i="9" s="1"/>
  <c r="H261" i="13" s="1"/>
  <c r="J172" i="9"/>
  <c r="K172" i="9" s="1"/>
  <c r="H170" i="13" s="1"/>
  <c r="J432" i="9"/>
  <c r="K432" i="9" s="1"/>
  <c r="H430" i="13" s="1"/>
  <c r="K412" i="8"/>
  <c r="L412" i="8" s="1"/>
  <c r="G410" i="13" s="1"/>
  <c r="L410" i="13" s="1"/>
  <c r="N410" i="13" s="1"/>
  <c r="P410" i="13" s="1"/>
  <c r="J413" i="9"/>
  <c r="K413" i="9" s="1"/>
  <c r="H411" i="13" s="1"/>
  <c r="J148" i="9"/>
  <c r="K148" i="9" s="1"/>
  <c r="H146" i="13" s="1"/>
  <c r="J250" i="9"/>
  <c r="K250" i="9" s="1"/>
  <c r="H248" i="13" s="1"/>
  <c r="J7" i="9"/>
  <c r="K7" i="9" s="1"/>
  <c r="H5" i="13" s="1"/>
  <c r="J11" i="9"/>
  <c r="K11" i="9" s="1"/>
  <c r="H9" i="13" s="1"/>
  <c r="K336" i="8"/>
  <c r="L336" i="8" s="1"/>
  <c r="G334" i="13" s="1"/>
  <c r="L334" i="13" s="1"/>
  <c r="N334" i="13" s="1"/>
  <c r="P334" i="13" s="1"/>
  <c r="K68" i="8"/>
  <c r="L68" i="8" s="1"/>
  <c r="G66" i="13" s="1"/>
  <c r="J194" i="9"/>
  <c r="K194" i="9" s="1"/>
  <c r="H192" i="13" s="1"/>
  <c r="K95" i="8"/>
  <c r="L95" i="8" s="1"/>
  <c r="G93" i="13" s="1"/>
  <c r="L93" i="13" s="1"/>
  <c r="N93" i="13" s="1"/>
  <c r="P93" i="13" s="1"/>
  <c r="J221" i="9"/>
  <c r="K221" i="9" s="1"/>
  <c r="H219" i="13" s="1"/>
  <c r="K367" i="8"/>
  <c r="L367" i="8" s="1"/>
  <c r="G365" i="13" s="1"/>
  <c r="L365" i="13" s="1"/>
  <c r="N365" i="13" s="1"/>
  <c r="P365" i="13" s="1"/>
  <c r="K299" i="8"/>
  <c r="L299" i="8" s="1"/>
  <c r="G297" i="13" s="1"/>
  <c r="J425" i="9"/>
  <c r="K425" i="9" s="1"/>
  <c r="H423" i="13" s="1"/>
  <c r="J27" i="9"/>
  <c r="K27" i="9" s="1"/>
  <c r="H25" i="13" s="1"/>
  <c r="J120" i="9"/>
  <c r="K120" i="9" s="1"/>
  <c r="H118" i="13" s="1"/>
  <c r="K28" i="8"/>
  <c r="L28" i="8" s="1"/>
  <c r="G26" i="13" s="1"/>
  <c r="L26" i="13" s="1"/>
  <c r="N26" i="13" s="1"/>
  <c r="P26" i="13" s="1"/>
  <c r="K103" i="8"/>
  <c r="L103" i="8" s="1"/>
  <c r="G101" i="13" s="1"/>
  <c r="K112" i="8"/>
  <c r="L112" i="8" s="1"/>
  <c r="G110" i="13" s="1"/>
  <c r="J238" i="9"/>
  <c r="K238" i="9" s="1"/>
  <c r="H236" i="13" s="1"/>
  <c r="K419" i="8"/>
  <c r="L419" i="8" s="1"/>
  <c r="G417" i="13" s="1"/>
  <c r="L417" i="13" s="1"/>
  <c r="N417" i="13" s="1"/>
  <c r="P417" i="13" s="1"/>
  <c r="J177" i="9"/>
  <c r="K177" i="9" s="1"/>
  <c r="H175" i="13" s="1"/>
  <c r="J327" i="9"/>
  <c r="K327" i="9" s="1"/>
  <c r="H325" i="13" s="1"/>
  <c r="K260" i="8"/>
  <c r="L260" i="8" s="1"/>
  <c r="G258" i="13" s="1"/>
  <c r="L258" i="13" s="1"/>
  <c r="N258" i="13" s="1"/>
  <c r="P258" i="13" s="1"/>
  <c r="J91" i="9"/>
  <c r="K91" i="9" s="1"/>
  <c r="H89" i="13" s="1"/>
  <c r="K18" i="8"/>
  <c r="L18" i="8" s="1"/>
  <c r="G16" i="13" s="1"/>
  <c r="L16" i="13" s="1"/>
  <c r="N16" i="13" s="1"/>
  <c r="P16" i="13" s="1"/>
  <c r="J150" i="9"/>
  <c r="K150" i="9" s="1"/>
  <c r="H148" i="13" s="1"/>
  <c r="J231" i="9"/>
  <c r="K231" i="9" s="1"/>
  <c r="H229" i="13" s="1"/>
  <c r="J107" i="9"/>
  <c r="K107" i="9" s="1"/>
  <c r="H105" i="13" s="1"/>
  <c r="J19" i="9"/>
  <c r="K19" i="9" s="1"/>
  <c r="H17" i="13" s="1"/>
  <c r="J422" i="9"/>
  <c r="K422" i="9" s="1"/>
  <c r="H420" i="13" s="1"/>
  <c r="K139" i="8"/>
  <c r="L139" i="8" s="1"/>
  <c r="G137" i="13" s="1"/>
  <c r="J415" i="9"/>
  <c r="K415" i="9" s="1"/>
  <c r="H413" i="13" s="1"/>
  <c r="K424" i="8"/>
  <c r="L424" i="8" s="1"/>
  <c r="G422" i="13" s="1"/>
  <c r="J12" i="9"/>
  <c r="K12" i="9" s="1"/>
  <c r="H10" i="13" s="1"/>
  <c r="J257" i="9"/>
  <c r="K257" i="9" s="1"/>
  <c r="H255" i="13" s="1"/>
  <c r="K197" i="8"/>
  <c r="L197" i="8" s="1"/>
  <c r="G195" i="13" s="1"/>
  <c r="L195" i="13" s="1"/>
  <c r="N195" i="13" s="1"/>
  <c r="P195" i="13" s="1"/>
  <c r="J373" i="9"/>
  <c r="K373" i="9" s="1"/>
  <c r="H371" i="13" s="1"/>
  <c r="J360" i="9"/>
  <c r="K360" i="9" s="1"/>
  <c r="H358" i="13" s="1"/>
  <c r="J96" i="9"/>
  <c r="K96" i="9" s="1"/>
  <c r="H94" i="13" s="1"/>
  <c r="K274" i="8"/>
  <c r="L274" i="8" s="1"/>
  <c r="G272" i="13" s="1"/>
  <c r="L272" i="13" s="1"/>
  <c r="N272" i="13" s="1"/>
  <c r="P272" i="13" s="1"/>
  <c r="K53" i="8"/>
  <c r="L53" i="8" s="1"/>
  <c r="G51" i="13" s="1"/>
  <c r="L51" i="13" s="1"/>
  <c r="N51" i="13" s="1"/>
  <c r="P51" i="13" s="1"/>
  <c r="K116" i="8"/>
  <c r="L116" i="8" s="1"/>
  <c r="G114" i="13" s="1"/>
  <c r="J36" i="9"/>
  <c r="K36" i="9" s="1"/>
  <c r="H34" i="13" s="1"/>
  <c r="K439" i="8"/>
  <c r="L439" i="8" s="1"/>
  <c r="G437" i="13" s="1"/>
  <c r="J310" i="9"/>
  <c r="K310" i="9" s="1"/>
  <c r="H308" i="13" s="1"/>
  <c r="J307" i="9"/>
  <c r="K307" i="9" s="1"/>
  <c r="H305" i="13" s="1"/>
  <c r="J352" i="9"/>
  <c r="K352" i="9" s="1"/>
  <c r="H350" i="13" s="1"/>
  <c r="K421" i="8"/>
  <c r="L421" i="8" s="1"/>
  <c r="G419" i="13" s="1"/>
  <c r="J245" i="9"/>
  <c r="K245" i="9" s="1"/>
  <c r="H243" i="13" s="1"/>
  <c r="J344" i="9"/>
  <c r="K344" i="9" s="1"/>
  <c r="H342" i="13" s="1"/>
  <c r="K380" i="8"/>
  <c r="L380" i="8" s="1"/>
  <c r="G378" i="13" s="1"/>
  <c r="J434" i="9"/>
  <c r="K434" i="9" s="1"/>
  <c r="H432" i="13" s="1"/>
  <c r="K13" i="8"/>
  <c r="L13" i="8" s="1"/>
  <c r="G11" i="13" s="1"/>
  <c r="J156" i="9"/>
  <c r="K156" i="9" s="1"/>
  <c r="H154" i="13" s="1"/>
  <c r="K129" i="8"/>
  <c r="L129" i="8" s="1"/>
  <c r="G127" i="13" s="1"/>
  <c r="K417" i="8"/>
  <c r="L417" i="8" s="1"/>
  <c r="G415" i="13" s="1"/>
  <c r="L415" i="13" s="1"/>
  <c r="N415" i="13" s="1"/>
  <c r="P415" i="13" s="1"/>
  <c r="J224" i="9"/>
  <c r="K224" i="9" s="1"/>
  <c r="H222" i="13" s="1"/>
  <c r="K375" i="8"/>
  <c r="L375" i="8" s="1"/>
  <c r="G373" i="13" s="1"/>
  <c r="L373" i="13" s="1"/>
  <c r="N373" i="13" s="1"/>
  <c r="P373" i="13" s="1"/>
  <c r="J104" i="9"/>
  <c r="K104" i="9" s="1"/>
  <c r="H102" i="13" s="1"/>
  <c r="K72" i="8"/>
  <c r="L72" i="8" s="1"/>
  <c r="G70" i="13" s="1"/>
  <c r="J78" i="9"/>
  <c r="K78" i="9" s="1"/>
  <c r="H76" i="13" s="1"/>
  <c r="K169" i="8"/>
  <c r="L169" i="8" s="1"/>
  <c r="G167" i="13" s="1"/>
  <c r="J188" i="9"/>
  <c r="K188" i="9" s="1"/>
  <c r="H186" i="13" s="1"/>
  <c r="K75" i="8"/>
  <c r="L75" i="8" s="1"/>
  <c r="G73" i="13" s="1"/>
  <c r="L73" i="13" s="1"/>
  <c r="N73" i="13" s="1"/>
  <c r="P73" i="13" s="1"/>
  <c r="K305" i="8"/>
  <c r="L305" i="8" s="1"/>
  <c r="G303" i="13" s="1"/>
  <c r="J118" i="9"/>
  <c r="K118" i="9" s="1"/>
  <c r="H116" i="13" s="1"/>
  <c r="K26" i="8"/>
  <c r="L26" i="8" s="1"/>
  <c r="G24" i="13" s="1"/>
  <c r="J99" i="9"/>
  <c r="K99" i="9" s="1"/>
  <c r="H97" i="13" s="1"/>
  <c r="K201" i="8"/>
  <c r="L201" i="8" s="1"/>
  <c r="G199" i="13" s="1"/>
  <c r="K143" i="8"/>
  <c r="L143" i="8" s="1"/>
  <c r="G141" i="13" s="1"/>
  <c r="K42" i="8"/>
  <c r="L42" i="8" s="1"/>
  <c r="G40" i="13" s="1"/>
  <c r="J404" i="9"/>
  <c r="K404" i="9" s="1"/>
  <c r="H402" i="13" s="1"/>
  <c r="J98" i="9"/>
  <c r="K98" i="9" s="1"/>
  <c r="H96" i="13" s="1"/>
  <c r="J164" i="9"/>
  <c r="K164" i="9" s="1"/>
  <c r="H162" i="13" s="1"/>
  <c r="J418" i="9"/>
  <c r="K418" i="9" s="1"/>
  <c r="H416" i="13" s="1"/>
  <c r="K54" i="8"/>
  <c r="L54" i="8" s="1"/>
  <c r="G52" i="13" s="1"/>
  <c r="J226" i="9"/>
  <c r="K226" i="9" s="1"/>
  <c r="H224" i="13" s="1"/>
  <c r="J77" i="9"/>
  <c r="K77" i="9" s="1"/>
  <c r="H75" i="13" s="1"/>
  <c r="J371" i="9"/>
  <c r="K371" i="9" s="1"/>
  <c r="H369" i="13" s="1"/>
  <c r="J271" i="9"/>
  <c r="K271" i="9" s="1"/>
  <c r="H269" i="13" s="1"/>
  <c r="K111" i="8"/>
  <c r="L111" i="8" s="1"/>
  <c r="G109" i="13" s="1"/>
  <c r="K376" i="8"/>
  <c r="L376" i="8" s="1"/>
  <c r="G374" i="13" s="1"/>
  <c r="L374" i="13" s="1"/>
  <c r="N374" i="13" s="1"/>
  <c r="P374" i="13" s="1"/>
  <c r="K387" i="8"/>
  <c r="L387" i="8" s="1"/>
  <c r="G385" i="13" s="1"/>
  <c r="L385" i="13" s="1"/>
  <c r="N385" i="13" s="1"/>
  <c r="P385" i="13" s="1"/>
  <c r="K401" i="8"/>
  <c r="L401" i="8" s="1"/>
  <c r="G399" i="13" s="1"/>
  <c r="K436" i="8"/>
  <c r="L436" i="8" s="1"/>
  <c r="G434" i="13" s="1"/>
  <c r="L434" i="13" s="1"/>
  <c r="N434" i="13" s="1"/>
  <c r="P434" i="13" s="1"/>
  <c r="J153" i="9"/>
  <c r="K153" i="9" s="1"/>
  <c r="H151" i="13" s="1"/>
  <c r="K257" i="8"/>
  <c r="L257" i="8" s="1"/>
  <c r="G255" i="13" s="1"/>
  <c r="J68" i="9"/>
  <c r="K68" i="9" s="1"/>
  <c r="H66" i="13" s="1"/>
  <c r="J279" i="9"/>
  <c r="K279" i="9" s="1"/>
  <c r="H277" i="13" s="1"/>
  <c r="K427" i="8"/>
  <c r="L427" i="8" s="1"/>
  <c r="G425" i="13" s="1"/>
  <c r="J316" i="9"/>
  <c r="K316" i="9" s="1"/>
  <c r="H314" i="13" s="1"/>
  <c r="J269" i="9"/>
  <c r="K269" i="9" s="1"/>
  <c r="H267" i="13" s="1"/>
  <c r="K258" i="8"/>
  <c r="L258" i="8" s="1"/>
  <c r="G256" i="13" s="1"/>
  <c r="K134" i="8"/>
  <c r="L134" i="8" s="1"/>
  <c r="G132" i="13" s="1"/>
  <c r="K358" i="8"/>
  <c r="L358" i="8" s="1"/>
  <c r="G356" i="13" s="1"/>
  <c r="K233" i="8"/>
  <c r="L233" i="8" s="1"/>
  <c r="G231" i="13" s="1"/>
  <c r="L231" i="13" s="1"/>
  <c r="N231" i="13" s="1"/>
  <c r="P231" i="13" s="1"/>
  <c r="K236" i="8"/>
  <c r="L236" i="8" s="1"/>
  <c r="G234" i="13" s="1"/>
  <c r="K292" i="8"/>
  <c r="L292" i="8" s="1"/>
  <c r="G290" i="13" s="1"/>
  <c r="K176" i="8"/>
  <c r="L176" i="8" s="1"/>
  <c r="G174" i="13" s="1"/>
  <c r="K352" i="8"/>
  <c r="L352" i="8" s="1"/>
  <c r="G350" i="13" s="1"/>
  <c r="K291" i="8"/>
  <c r="L291" i="8" s="1"/>
  <c r="G289" i="13" s="1"/>
  <c r="K151" i="8"/>
  <c r="L151" i="8" s="1"/>
  <c r="G149" i="13" s="1"/>
  <c r="J407" i="9"/>
  <c r="K407" i="9" s="1"/>
  <c r="H405" i="13" s="1"/>
  <c r="J392" i="9"/>
  <c r="K392" i="9" s="1"/>
  <c r="H390" i="13" s="1"/>
  <c r="K145" i="8"/>
  <c r="L145" i="8" s="1"/>
  <c r="G143" i="13" s="1"/>
  <c r="K284" i="8"/>
  <c r="L284" i="8" s="1"/>
  <c r="G282" i="13" s="1"/>
  <c r="L282" i="13" s="1"/>
  <c r="N282" i="13" s="1"/>
  <c r="P282" i="13" s="1"/>
  <c r="J57" i="9"/>
  <c r="K57" i="9" s="1"/>
  <c r="H55" i="13" s="1"/>
  <c r="K246" i="8"/>
  <c r="L246" i="8" s="1"/>
  <c r="G244" i="13" s="1"/>
  <c r="J130" i="9"/>
  <c r="K130" i="9" s="1"/>
  <c r="H128" i="13" s="1"/>
  <c r="K298" i="8"/>
  <c r="L298" i="8" s="1"/>
  <c r="G296" i="13" s="1"/>
  <c r="K286" i="8"/>
  <c r="L286" i="8" s="1"/>
  <c r="G284" i="13" s="1"/>
  <c r="K44" i="8"/>
  <c r="L44" i="8" s="1"/>
  <c r="G42" i="13" s="1"/>
  <c r="J209" i="9"/>
  <c r="K209" i="9" s="1"/>
  <c r="H207" i="13" s="1"/>
  <c r="K395" i="8"/>
  <c r="L395" i="8" s="1"/>
  <c r="G393" i="13" s="1"/>
  <c r="J436" i="9"/>
  <c r="K436" i="9" s="1"/>
  <c r="H434" i="13" s="1"/>
  <c r="J318" i="9"/>
  <c r="K318" i="9" s="1"/>
  <c r="H316" i="13" s="1"/>
  <c r="K17" i="8"/>
  <c r="L17" i="8" s="1"/>
  <c r="G15" i="13" s="1"/>
  <c r="L15" i="13" s="1"/>
  <c r="N15" i="13" s="1"/>
  <c r="P15" i="13" s="1"/>
  <c r="J299" i="9"/>
  <c r="K299" i="9" s="1"/>
  <c r="H297" i="13" s="1"/>
  <c r="J417" i="9"/>
  <c r="K417" i="9" s="1"/>
  <c r="H415" i="13" s="1"/>
  <c r="J383" i="9"/>
  <c r="K383" i="9" s="1"/>
  <c r="H381" i="13" s="1"/>
  <c r="J155" i="9"/>
  <c r="K155" i="9" s="1"/>
  <c r="H153" i="13" s="1"/>
  <c r="K122" i="8"/>
  <c r="L122" i="8" s="1"/>
  <c r="G120" i="13" s="1"/>
  <c r="L120" i="13" s="1"/>
  <c r="N120" i="13" s="1"/>
  <c r="P120" i="13" s="1"/>
  <c r="K289" i="8"/>
  <c r="L289" i="8" s="1"/>
  <c r="G287" i="13" s="1"/>
  <c r="J54" i="9"/>
  <c r="K54" i="9" s="1"/>
  <c r="H52" i="13" s="1"/>
  <c r="J86" i="9"/>
  <c r="K86" i="9" s="1"/>
  <c r="H84" i="13" s="1"/>
  <c r="K9" i="8"/>
  <c r="L9" i="8" s="1"/>
  <c r="G7" i="13" s="1"/>
  <c r="L7" i="13" s="1"/>
  <c r="N7" i="13" s="1"/>
  <c r="P7" i="13" s="1"/>
  <c r="J266" i="9"/>
  <c r="K266" i="9" s="1"/>
  <c r="H264" i="13" s="1"/>
  <c r="J322" i="9"/>
  <c r="K322" i="9" s="1"/>
  <c r="H320" i="13" s="1"/>
  <c r="K200" i="8"/>
  <c r="L200" i="8" s="1"/>
  <c r="G198" i="13" s="1"/>
  <c r="K223" i="8"/>
  <c r="L223" i="8" s="1"/>
  <c r="G221" i="13" s="1"/>
  <c r="K29" i="8"/>
  <c r="L29" i="8" s="1"/>
  <c r="G27" i="13" s="1"/>
  <c r="L27" i="13" s="1"/>
  <c r="N27" i="13" s="1"/>
  <c r="P27" i="13" s="1"/>
  <c r="J248" i="9"/>
  <c r="K248" i="9" s="1"/>
  <c r="H246" i="13" s="1"/>
  <c r="J282" i="9"/>
  <c r="K282" i="9" s="1"/>
  <c r="H280" i="13" s="1"/>
  <c r="K190" i="8"/>
  <c r="L190" i="8" s="1"/>
  <c r="G188" i="13" s="1"/>
  <c r="L188" i="13" s="1"/>
  <c r="N188" i="13" s="1"/>
  <c r="P188" i="13" s="1"/>
  <c r="K240" i="8"/>
  <c r="L240" i="8" s="1"/>
  <c r="G238" i="13" s="1"/>
  <c r="J112" i="9"/>
  <c r="K112" i="9" s="1"/>
  <c r="H110" i="13" s="1"/>
  <c r="J305" i="9"/>
  <c r="K305" i="9" s="1"/>
  <c r="H303" i="13" s="1"/>
  <c r="K101" i="8"/>
  <c r="L101" i="8" s="1"/>
  <c r="G99" i="13" s="1"/>
  <c r="L99" i="13" s="1"/>
  <c r="N99" i="13" s="1"/>
  <c r="P99" i="13" s="1"/>
  <c r="J220" i="9"/>
  <c r="K220" i="9" s="1"/>
  <c r="H218" i="13" s="1"/>
  <c r="K388" i="8"/>
  <c r="L388" i="8" s="1"/>
  <c r="G386" i="13" s="1"/>
  <c r="L386" i="13" s="1"/>
  <c r="N386" i="13" s="1"/>
  <c r="P386" i="13" s="1"/>
  <c r="J296" i="9"/>
  <c r="K296" i="9" s="1"/>
  <c r="H294" i="13" s="1"/>
  <c r="J343" i="9"/>
  <c r="K343" i="9" s="1"/>
  <c r="H341" i="13" s="1"/>
  <c r="J278" i="9"/>
  <c r="K278" i="9" s="1"/>
  <c r="H276" i="13" s="1"/>
  <c r="J45" i="9"/>
  <c r="K45" i="9" s="1"/>
  <c r="H43" i="13" s="1"/>
  <c r="K296" i="8"/>
  <c r="L296" i="8" s="1"/>
  <c r="G294" i="13" s="1"/>
  <c r="K121" i="8"/>
  <c r="L121" i="8" s="1"/>
  <c r="G119" i="13" s="1"/>
  <c r="J247" i="9"/>
  <c r="K247" i="9" s="1"/>
  <c r="H245" i="13" s="1"/>
  <c r="K63" i="8"/>
  <c r="L63" i="8" s="1"/>
  <c r="G61" i="13" s="1"/>
  <c r="L61" i="13" s="1"/>
  <c r="N61" i="13" s="1"/>
  <c r="P61" i="13" s="1"/>
  <c r="K304" i="8"/>
  <c r="L304" i="8" s="1"/>
  <c r="G302" i="13" s="1"/>
  <c r="K178" i="8"/>
  <c r="L178" i="8" s="1"/>
  <c r="G176" i="13" s="1"/>
  <c r="J368" i="9"/>
  <c r="K368" i="9" s="1"/>
  <c r="H366" i="13" s="1"/>
  <c r="J372" i="9"/>
  <c r="K372" i="9" s="1"/>
  <c r="H370" i="13" s="1"/>
  <c r="K426" i="8"/>
  <c r="L426" i="8" s="1"/>
  <c r="G424" i="13" s="1"/>
  <c r="L424" i="13" s="1"/>
  <c r="N424" i="13" s="1"/>
  <c r="P424" i="13" s="1"/>
  <c r="J321" i="9"/>
  <c r="K321" i="9" s="1"/>
  <c r="H319" i="13" s="1"/>
  <c r="J215" i="9"/>
  <c r="K215" i="9" s="1"/>
  <c r="H213" i="13" s="1"/>
  <c r="K166" i="8"/>
  <c r="L166" i="8" s="1"/>
  <c r="G164" i="13" s="1"/>
  <c r="J202" i="9"/>
  <c r="K202" i="9" s="1"/>
  <c r="H200" i="13" s="1"/>
  <c r="K477" i="8"/>
  <c r="L477" i="8" s="1"/>
  <c r="G475" i="13" s="1"/>
  <c r="L475" i="13" s="1"/>
  <c r="K408" i="8"/>
  <c r="L408" i="8" s="1"/>
  <c r="G406" i="13" s="1"/>
  <c r="J17" i="9"/>
  <c r="K17" i="9" s="1"/>
  <c r="H15" i="13" s="1"/>
  <c r="K317" i="8"/>
  <c r="L317" i="8" s="1"/>
  <c r="G315" i="13" s="1"/>
  <c r="K374" i="8"/>
  <c r="L374" i="8" s="1"/>
  <c r="G372" i="13" s="1"/>
  <c r="J89" i="9"/>
  <c r="K89" i="9" s="1"/>
  <c r="H87" i="13" s="1"/>
  <c r="J154" i="9"/>
  <c r="K154" i="9" s="1"/>
  <c r="H152" i="13" s="1"/>
  <c r="K441" i="8"/>
  <c r="L441" i="8" s="1"/>
  <c r="G439" i="13" s="1"/>
  <c r="L439" i="13" s="1"/>
  <c r="J439" i="9"/>
  <c r="K439" i="9" s="1"/>
  <c r="H437" i="13" s="1"/>
  <c r="J24" i="9"/>
  <c r="K24" i="9" s="1"/>
  <c r="H22" i="13" s="1"/>
  <c r="K323" i="8"/>
  <c r="L323" i="8" s="1"/>
  <c r="G321" i="13" s="1"/>
  <c r="L321" i="13" s="1"/>
  <c r="N321" i="13" s="1"/>
  <c r="P321" i="13" s="1"/>
  <c r="J100" i="9"/>
  <c r="K100" i="9" s="1"/>
  <c r="H98" i="13" s="1"/>
  <c r="L98" i="13" s="1"/>
  <c r="N98" i="13" s="1"/>
  <c r="P98" i="13" s="1"/>
  <c r="J243" i="9"/>
  <c r="K243" i="9" s="1"/>
  <c r="H241" i="13" s="1"/>
  <c r="J21" i="9"/>
  <c r="K21" i="9" s="1"/>
  <c r="H19" i="13" s="1"/>
  <c r="J509" i="9"/>
  <c r="K509" i="9" s="1"/>
  <c r="H507" i="13" s="1"/>
  <c r="L507" i="13" s="1"/>
  <c r="J203" i="9"/>
  <c r="K203" i="9" s="1"/>
  <c r="H201" i="13" s="1"/>
  <c r="J514" i="9"/>
  <c r="K514" i="9" s="1"/>
  <c r="H512" i="13" s="1"/>
  <c r="L512" i="13" s="1"/>
  <c r="K204" i="8"/>
  <c r="L204" i="8" s="1"/>
  <c r="G202" i="13" s="1"/>
  <c r="J330" i="9"/>
  <c r="K330" i="9" s="1"/>
  <c r="H328" i="13" s="1"/>
  <c r="J101" i="9"/>
  <c r="K101" i="9" s="1"/>
  <c r="H99" i="13" s="1"/>
  <c r="J264" i="9"/>
  <c r="K264" i="9" s="1"/>
  <c r="H262" i="13" s="1"/>
  <c r="J186" i="9"/>
  <c r="K186" i="9" s="1"/>
  <c r="H184" i="13" s="1"/>
  <c r="J168" i="9"/>
  <c r="K168" i="9" s="1"/>
  <c r="H166" i="13" s="1"/>
  <c r="J458" i="9"/>
  <c r="K458" i="9" s="1"/>
  <c r="H456" i="13" s="1"/>
  <c r="L456" i="13" s="1"/>
  <c r="K132" i="8"/>
  <c r="L132" i="8" s="1"/>
  <c r="G130" i="13" s="1"/>
  <c r="L130" i="13" s="1"/>
  <c r="N130" i="13" s="1"/>
  <c r="P130" i="13" s="1"/>
  <c r="J405" i="9"/>
  <c r="K405" i="9" s="1"/>
  <c r="H403" i="13" s="1"/>
  <c r="J219" i="9"/>
  <c r="K219" i="9" s="1"/>
  <c r="H217" i="13" s="1"/>
  <c r="J292" i="9"/>
  <c r="K292" i="9" s="1"/>
  <c r="H290" i="13" s="1"/>
  <c r="K266" i="8"/>
  <c r="L266" i="8" s="1"/>
  <c r="G264" i="13" s="1"/>
  <c r="J289" i="9"/>
  <c r="K289" i="9" s="1"/>
  <c r="H287" i="13" s="1"/>
  <c r="J345" i="9"/>
  <c r="K345" i="9" s="1"/>
  <c r="H343" i="13" s="1"/>
  <c r="K31" i="8"/>
  <c r="L31" i="8" s="1"/>
  <c r="G29" i="13" s="1"/>
  <c r="K98" i="8"/>
  <c r="L98" i="8" s="1"/>
  <c r="G96" i="13" s="1"/>
  <c r="J116" i="9"/>
  <c r="K116" i="9" s="1"/>
  <c r="H114" i="13" s="1"/>
  <c r="K188" i="8"/>
  <c r="L188" i="8" s="1"/>
  <c r="G186" i="13" s="1"/>
  <c r="L186" i="13" s="1"/>
  <c r="N186" i="13" s="1"/>
  <c r="P186" i="13" s="1"/>
  <c r="J314" i="9"/>
  <c r="K314" i="9" s="1"/>
  <c r="H312" i="13" s="1"/>
  <c r="K347" i="8"/>
  <c r="L347" i="8" s="1"/>
  <c r="G345" i="13" s="1"/>
  <c r="L345" i="13" s="1"/>
  <c r="N345" i="13" s="1"/>
  <c r="P345" i="13" s="1"/>
  <c r="K333" i="8"/>
  <c r="L333" i="8" s="1"/>
  <c r="G331" i="13" s="1"/>
  <c r="K245" i="8"/>
  <c r="L245" i="8" s="1"/>
  <c r="G243" i="13" s="1"/>
  <c r="K460" i="8"/>
  <c r="L460" i="8" s="1"/>
  <c r="G458" i="13" s="1"/>
  <c r="L458" i="13" s="1"/>
  <c r="J65" i="9"/>
  <c r="K65" i="9" s="1"/>
  <c r="H63" i="13" s="1"/>
  <c r="J115" i="9"/>
  <c r="K115" i="9" s="1"/>
  <c r="H113" i="13" s="1"/>
  <c r="L113" i="13" s="1"/>
  <c r="N113" i="13" s="1"/>
  <c r="P113" i="13" s="1"/>
  <c r="K96" i="8"/>
  <c r="L96" i="8" s="1"/>
  <c r="G94" i="13" s="1"/>
  <c r="K216" i="8"/>
  <c r="L216" i="8" s="1"/>
  <c r="G214" i="13" s="1"/>
  <c r="K199" i="8"/>
  <c r="L199" i="8" s="1"/>
  <c r="G197" i="13" s="1"/>
  <c r="L197" i="13" s="1"/>
  <c r="N197" i="13" s="1"/>
  <c r="P197" i="13" s="1"/>
  <c r="K315" i="8"/>
  <c r="L315" i="8" s="1"/>
  <c r="G313" i="13" s="1"/>
  <c r="K316" i="8"/>
  <c r="L316" i="8" s="1"/>
  <c r="G314" i="13" s="1"/>
  <c r="J233" i="9"/>
  <c r="K233" i="9" s="1"/>
  <c r="H231" i="13" s="1"/>
  <c r="J501" i="9"/>
  <c r="K501" i="9" s="1"/>
  <c r="H499" i="13" s="1"/>
  <c r="L499" i="13" s="1"/>
  <c r="K109" i="8"/>
  <c r="L109" i="8" s="1"/>
  <c r="G107" i="13" s="1"/>
  <c r="K195" i="8"/>
  <c r="L195" i="8" s="1"/>
  <c r="G193" i="13" s="1"/>
  <c r="J424" i="9"/>
  <c r="K424" i="9" s="1"/>
  <c r="H422" i="13" s="1"/>
  <c r="J193" i="9"/>
  <c r="K193" i="9" s="1"/>
  <c r="H191" i="13" s="1"/>
  <c r="K235" i="8"/>
  <c r="L235" i="8" s="1"/>
  <c r="G233" i="13" s="1"/>
  <c r="K155" i="8"/>
  <c r="L155" i="8" s="1"/>
  <c r="G153" i="13" s="1"/>
  <c r="K88" i="8"/>
  <c r="L88" i="8" s="1"/>
  <c r="G86" i="13" s="1"/>
  <c r="K224" i="8"/>
  <c r="L224" i="8" s="1"/>
  <c r="G222" i="13" s="1"/>
  <c r="K85" i="8"/>
  <c r="L85" i="8" s="1"/>
  <c r="G83" i="13" s="1"/>
  <c r="L83" i="13" s="1"/>
  <c r="N83" i="13" s="1"/>
  <c r="P83" i="13" s="1"/>
  <c r="K255" i="8"/>
  <c r="L255" i="8" s="1"/>
  <c r="G253" i="13" s="1"/>
  <c r="J253" i="9"/>
  <c r="K253" i="9" s="1"/>
  <c r="H251" i="13" s="1"/>
  <c r="L251" i="13" s="1"/>
  <c r="N251" i="13" s="1"/>
  <c r="P251" i="13" s="1"/>
  <c r="K247" i="8"/>
  <c r="L247" i="8" s="1"/>
  <c r="G245" i="13" s="1"/>
  <c r="L245" i="13" s="1"/>
  <c r="N245" i="13" s="1"/>
  <c r="P245" i="13" s="1"/>
  <c r="K67" i="8"/>
  <c r="L67" i="8" s="1"/>
  <c r="G65" i="13" s="1"/>
  <c r="L65" i="13" s="1"/>
  <c r="N65" i="13" s="1"/>
  <c r="P65" i="13" s="1"/>
  <c r="L368" i="13" l="1"/>
  <c r="N368" i="13" s="1"/>
  <c r="P368" i="13" s="1"/>
  <c r="L344" i="13"/>
  <c r="N344" i="13" s="1"/>
  <c r="P344" i="13" s="1"/>
  <c r="L86" i="13"/>
  <c r="N86" i="13" s="1"/>
  <c r="P86" i="13" s="1"/>
  <c r="L237" i="13"/>
  <c r="N237" i="13" s="1"/>
  <c r="P237" i="13" s="1"/>
  <c r="L150" i="13"/>
  <c r="N150" i="13" s="1"/>
  <c r="P150" i="13" s="1"/>
  <c r="L435" i="13"/>
  <c r="N435" i="13" s="1"/>
  <c r="P435" i="13" s="1"/>
  <c r="L431" i="13"/>
  <c r="N431" i="13" s="1"/>
  <c r="P431" i="13" s="1"/>
  <c r="L243" i="13"/>
  <c r="N243" i="13" s="1"/>
  <c r="P243" i="13" s="1"/>
  <c r="L399" i="13"/>
  <c r="N399" i="13" s="1"/>
  <c r="P399" i="13" s="1"/>
  <c r="L216" i="13"/>
  <c r="N216" i="13" s="1"/>
  <c r="P216" i="13" s="1"/>
  <c r="L275" i="13"/>
  <c r="N275" i="13" s="1"/>
  <c r="P275" i="13" s="1"/>
  <c r="L49" i="13"/>
  <c r="N49" i="13" s="1"/>
  <c r="P49" i="13" s="1"/>
  <c r="L311" i="13"/>
  <c r="N311" i="13" s="1"/>
  <c r="P311" i="13" s="1"/>
  <c r="L253" i="13"/>
  <c r="N253" i="13" s="1"/>
  <c r="P253" i="13" s="1"/>
  <c r="L239" i="13"/>
  <c r="N239" i="13" s="1"/>
  <c r="P239" i="13" s="1"/>
  <c r="L367" i="13"/>
  <c r="N367" i="13" s="1"/>
  <c r="P367" i="13" s="1"/>
  <c r="L176" i="13"/>
  <c r="N176" i="13" s="1"/>
  <c r="P176" i="13" s="1"/>
  <c r="L39" i="13"/>
  <c r="N39" i="13" s="1"/>
  <c r="P39" i="13" s="1"/>
  <c r="L360" i="13"/>
  <c r="N360" i="13" s="1"/>
  <c r="P360" i="13" s="1"/>
  <c r="L106" i="13"/>
  <c r="N106" i="13" s="1"/>
  <c r="P106" i="13" s="1"/>
  <c r="L289" i="13"/>
  <c r="N289" i="13" s="1"/>
  <c r="P289" i="13" s="1"/>
  <c r="L174" i="13"/>
  <c r="N174" i="13" s="1"/>
  <c r="P174" i="13" s="1"/>
  <c r="L252" i="13"/>
  <c r="N252" i="13" s="1"/>
  <c r="P252" i="13" s="1"/>
  <c r="L161" i="13"/>
  <c r="N161" i="13" s="1"/>
  <c r="P161" i="13" s="1"/>
  <c r="L336" i="13"/>
  <c r="N336" i="13" s="1"/>
  <c r="P336" i="13" s="1"/>
  <c r="L57" i="13"/>
  <c r="N57" i="13" s="1"/>
  <c r="P57" i="13" s="1"/>
  <c r="L102" i="13"/>
  <c r="N102" i="13" s="1"/>
  <c r="P102" i="13" s="1"/>
  <c r="L82" i="13"/>
  <c r="N82" i="13" s="1"/>
  <c r="P82" i="13" s="1"/>
  <c r="L203" i="13"/>
  <c r="N203" i="13" s="1"/>
  <c r="P203" i="13" s="1"/>
  <c r="L401" i="13"/>
  <c r="N401" i="13" s="1"/>
  <c r="P401" i="13" s="1"/>
  <c r="L428" i="13"/>
  <c r="N428" i="13" s="1"/>
  <c r="P428" i="13" s="1"/>
  <c r="L212" i="13"/>
  <c r="N212" i="13" s="1"/>
  <c r="P212" i="13" s="1"/>
  <c r="L357" i="13"/>
  <c r="N357" i="13" s="1"/>
  <c r="P357" i="13" s="1"/>
  <c r="L11" i="13"/>
  <c r="N11" i="13" s="1"/>
  <c r="P11" i="13" s="1"/>
  <c r="L389" i="13"/>
  <c r="N389" i="13" s="1"/>
  <c r="P389" i="13" s="1"/>
  <c r="L119" i="13"/>
  <c r="N119" i="13" s="1"/>
  <c r="P119" i="13" s="1"/>
  <c r="L290" i="13"/>
  <c r="N290" i="13" s="1"/>
  <c r="P290" i="13" s="1"/>
  <c r="L10" i="13"/>
  <c r="N10" i="13" s="1"/>
  <c r="P10" i="13" s="1"/>
  <c r="L225" i="13"/>
  <c r="N225" i="13" s="1"/>
  <c r="P225" i="13" s="1"/>
  <c r="L42" i="13"/>
  <c r="N42" i="13" s="1"/>
  <c r="P42" i="13" s="1"/>
  <c r="L337" i="13"/>
  <c r="N337" i="13" s="1"/>
  <c r="P337" i="13" s="1"/>
  <c r="L117" i="13"/>
  <c r="N117" i="13" s="1"/>
  <c r="P117" i="13" s="1"/>
  <c r="L432" i="13"/>
  <c r="N432" i="13" s="1"/>
  <c r="P432" i="13" s="1"/>
  <c r="L387" i="13"/>
  <c r="N387" i="13" s="1"/>
  <c r="P387" i="13" s="1"/>
  <c r="L124" i="13"/>
  <c r="N124" i="13" s="1"/>
  <c r="P124" i="13" s="1"/>
  <c r="L408" i="13"/>
  <c r="N408" i="13" s="1"/>
  <c r="P408" i="13" s="1"/>
  <c r="L407" i="13"/>
  <c r="N407" i="13" s="1"/>
  <c r="P407" i="13" s="1"/>
  <c r="L111" i="13"/>
  <c r="N111" i="13" s="1"/>
  <c r="P111" i="13" s="1"/>
  <c r="L115" i="13"/>
  <c r="N115" i="13" s="1"/>
  <c r="P115" i="13" s="1"/>
  <c r="L48" i="13"/>
  <c r="N48" i="13" s="1"/>
  <c r="P48" i="13" s="1"/>
  <c r="L222" i="13"/>
  <c r="N222" i="13" s="1"/>
  <c r="P222" i="13" s="1"/>
  <c r="L74" i="13"/>
  <c r="N74" i="13" s="1"/>
  <c r="P74" i="13" s="1"/>
  <c r="L315" i="13"/>
  <c r="N315" i="13" s="1"/>
  <c r="P315" i="13" s="1"/>
  <c r="L81" i="13"/>
  <c r="N81" i="13" s="1"/>
  <c r="P81" i="13" s="1"/>
  <c r="L419" i="13"/>
  <c r="N419" i="13" s="1"/>
  <c r="P419" i="13" s="1"/>
  <c r="L107" i="13"/>
  <c r="N107" i="13" s="1"/>
  <c r="P107" i="13" s="1"/>
  <c r="L202" i="13"/>
  <c r="N202" i="13" s="1"/>
  <c r="P202" i="13" s="1"/>
  <c r="L284" i="13"/>
  <c r="N284" i="13" s="1"/>
  <c r="P284" i="13" s="1"/>
  <c r="L356" i="13"/>
  <c r="N356" i="13" s="1"/>
  <c r="P356" i="13" s="1"/>
  <c r="L137" i="13"/>
  <c r="N137" i="13" s="1"/>
  <c r="P137" i="13" s="1"/>
  <c r="L166" i="13"/>
  <c r="N166" i="13" s="1"/>
  <c r="P166" i="13" s="1"/>
  <c r="L210" i="13"/>
  <c r="N210" i="13" s="1"/>
  <c r="P210" i="13" s="1"/>
  <c r="L165" i="13"/>
  <c r="N165" i="13" s="1"/>
  <c r="P165" i="13" s="1"/>
  <c r="L404" i="13"/>
  <c r="N404" i="13" s="1"/>
  <c r="P404" i="13" s="1"/>
  <c r="L206" i="13"/>
  <c r="N206" i="13" s="1"/>
  <c r="P206" i="13" s="1"/>
  <c r="L380" i="13"/>
  <c r="N380" i="13" s="1"/>
  <c r="P380" i="13" s="1"/>
  <c r="L220" i="13"/>
  <c r="N220" i="13" s="1"/>
  <c r="P220" i="13" s="1"/>
  <c r="L100" i="13"/>
  <c r="N100" i="13" s="1"/>
  <c r="P100" i="13" s="1"/>
  <c r="L38" i="13"/>
  <c r="N38" i="13" s="1"/>
  <c r="P38" i="13" s="1"/>
  <c r="L214" i="13"/>
  <c r="N214" i="13" s="1"/>
  <c r="P214" i="13" s="1"/>
  <c r="L46" i="13"/>
  <c r="N46" i="13" s="1"/>
  <c r="P46" i="13" s="1"/>
  <c r="L297" i="13"/>
  <c r="N297" i="13" s="1"/>
  <c r="P297" i="13" s="1"/>
  <c r="L352" i="13"/>
  <c r="N352" i="13" s="1"/>
  <c r="P352" i="13" s="1"/>
  <c r="L396" i="13"/>
  <c r="N396" i="13" s="1"/>
  <c r="P396" i="13" s="1"/>
  <c r="L372" i="13"/>
  <c r="N372" i="13" s="1"/>
  <c r="P372" i="13" s="1"/>
  <c r="L393" i="13"/>
  <c r="N393" i="13" s="1"/>
  <c r="P393" i="13" s="1"/>
  <c r="L110" i="13"/>
  <c r="N110" i="13" s="1"/>
  <c r="P110" i="13" s="1"/>
  <c r="L268" i="13"/>
  <c r="N268" i="13" s="1"/>
  <c r="P268" i="13" s="1"/>
  <c r="L34" i="13"/>
  <c r="N34" i="13" s="1"/>
  <c r="P34" i="13" s="1"/>
  <c r="L30" i="13"/>
  <c r="N30" i="13" s="1"/>
  <c r="P30" i="13" s="1"/>
  <c r="L391" i="13"/>
  <c r="N391" i="13" s="1"/>
  <c r="P391" i="13" s="1"/>
  <c r="L101" i="13"/>
  <c r="N101" i="13" s="1"/>
  <c r="P101" i="13" s="1"/>
  <c r="L123" i="13"/>
  <c r="N123" i="13" s="1"/>
  <c r="P123" i="13" s="1"/>
  <c r="L72" i="13"/>
  <c r="N72" i="13" s="1"/>
  <c r="P72" i="13" s="1"/>
  <c r="L132" i="13"/>
  <c r="N132" i="13" s="1"/>
  <c r="P132" i="13" s="1"/>
  <c r="L121" i="13"/>
  <c r="N121" i="13" s="1"/>
  <c r="P121" i="13" s="1"/>
  <c r="L54" i="13"/>
  <c r="N54" i="13" s="1"/>
  <c r="P54" i="13" s="1"/>
  <c r="L131" i="13"/>
  <c r="N131" i="13" s="1"/>
  <c r="P131" i="13" s="1"/>
  <c r="L136" i="13"/>
  <c r="N136" i="13" s="1"/>
  <c r="P136" i="13" s="1"/>
  <c r="L335" i="13"/>
  <c r="N335" i="13" s="1"/>
  <c r="P335" i="13" s="1"/>
  <c r="L283" i="13"/>
  <c r="N283" i="13" s="1"/>
  <c r="P283" i="13" s="1"/>
  <c r="L182" i="13"/>
  <c r="N182" i="13" s="1"/>
  <c r="P182" i="13" s="1"/>
  <c r="L149" i="13"/>
  <c r="N149" i="13" s="1"/>
  <c r="P149" i="13" s="1"/>
  <c r="L133" i="13"/>
  <c r="N133" i="13" s="1"/>
  <c r="P133" i="13" s="1"/>
  <c r="L302" i="13"/>
  <c r="N302" i="13" s="1"/>
  <c r="P302" i="13" s="1"/>
  <c r="L233" i="13"/>
  <c r="N233" i="13" s="1"/>
  <c r="P233" i="13" s="1"/>
  <c r="L221" i="13"/>
  <c r="N221" i="13" s="1"/>
  <c r="P221" i="13" s="1"/>
  <c r="L329" i="13"/>
  <c r="N329" i="13" s="1"/>
  <c r="P329" i="13" s="1"/>
  <c r="L198" i="13"/>
  <c r="N198" i="13" s="1"/>
  <c r="P198" i="13" s="1"/>
  <c r="L234" i="13"/>
  <c r="N234" i="13" s="1"/>
  <c r="P234" i="13" s="1"/>
  <c r="L193" i="13"/>
  <c r="N193" i="13" s="1"/>
  <c r="P193" i="13" s="1"/>
  <c r="L167" i="13"/>
  <c r="N167" i="13" s="1"/>
  <c r="P167" i="13" s="1"/>
  <c r="L29" i="13"/>
  <c r="N29" i="13" s="1"/>
  <c r="P29" i="13" s="1"/>
  <c r="L256" i="13"/>
  <c r="N256" i="13" s="1"/>
  <c r="P256" i="13" s="1"/>
  <c r="L32" i="13"/>
  <c r="N32" i="13" s="1"/>
  <c r="P32" i="13" s="1"/>
  <c r="L69" i="13"/>
  <c r="N69" i="13" s="1"/>
  <c r="P69" i="13" s="1"/>
  <c r="L411" i="13"/>
  <c r="N411" i="13" s="1"/>
  <c r="P411" i="13" s="1"/>
  <c r="L85" i="13"/>
  <c r="N85" i="13" s="1"/>
  <c r="P85" i="13" s="1"/>
  <c r="L264" i="13"/>
  <c r="N264" i="13" s="1"/>
  <c r="P264" i="13" s="1"/>
  <c r="L143" i="13"/>
  <c r="N143" i="13" s="1"/>
  <c r="P143" i="13" s="1"/>
  <c r="L238" i="13"/>
  <c r="N238" i="13" s="1"/>
  <c r="P238" i="13" s="1"/>
  <c r="L255" i="13"/>
  <c r="N255" i="13" s="1"/>
  <c r="P255" i="13" s="1"/>
  <c r="L40" i="13"/>
  <c r="N40" i="13" s="1"/>
  <c r="P40" i="13" s="1"/>
  <c r="L127" i="13"/>
  <c r="N127" i="13" s="1"/>
  <c r="P127" i="13" s="1"/>
  <c r="L66" i="13"/>
  <c r="N66" i="13" s="1"/>
  <c r="P66" i="13" s="1"/>
  <c r="L162" i="13"/>
  <c r="N162" i="13" s="1"/>
  <c r="P162" i="13" s="1"/>
  <c r="L200" i="13"/>
  <c r="N200" i="13" s="1"/>
  <c r="P200" i="13" s="1"/>
  <c r="L427" i="13"/>
  <c r="N427" i="13" s="1"/>
  <c r="P427" i="13" s="1"/>
  <c r="L192" i="13"/>
  <c r="N192" i="13" s="1"/>
  <c r="P192" i="13" s="1"/>
  <c r="L375" i="13"/>
  <c r="N375" i="13" s="1"/>
  <c r="P375" i="13" s="1"/>
  <c r="L213" i="13"/>
  <c r="N213" i="13" s="1"/>
  <c r="P213" i="13" s="1"/>
  <c r="L312" i="13"/>
  <c r="N312" i="13" s="1"/>
  <c r="P312" i="13" s="1"/>
  <c r="L265" i="13"/>
  <c r="N265" i="13" s="1"/>
  <c r="P265" i="13" s="1"/>
  <c r="L383" i="13"/>
  <c r="N383" i="13" s="1"/>
  <c r="P383" i="13" s="1"/>
  <c r="L271" i="13"/>
  <c r="N271" i="13" s="1"/>
  <c r="P271" i="13" s="1"/>
  <c r="L423" i="13"/>
  <c r="N423" i="13" s="1"/>
  <c r="P423" i="13" s="1"/>
  <c r="L12" i="13"/>
  <c r="N12" i="13" s="1"/>
  <c r="P12" i="13" s="1"/>
  <c r="L152" i="13"/>
  <c r="N152" i="13" s="1"/>
  <c r="P152" i="13" s="1"/>
  <c r="L273" i="13"/>
  <c r="N273" i="13" s="1"/>
  <c r="P273" i="13" s="1"/>
  <c r="L241" i="13"/>
  <c r="N241" i="13" s="1"/>
  <c r="P241" i="13" s="1"/>
  <c r="L382" i="13"/>
  <c r="N382" i="13" s="1"/>
  <c r="P382" i="13" s="1"/>
  <c r="L270" i="13"/>
  <c r="N270" i="13" s="1"/>
  <c r="P270" i="13" s="1"/>
  <c r="L112" i="13"/>
  <c r="N112" i="13" s="1"/>
  <c r="P112" i="13" s="1"/>
  <c r="L259" i="13"/>
  <c r="N259" i="13" s="1"/>
  <c r="P259" i="13" s="1"/>
  <c r="L18" i="13"/>
  <c r="N18" i="13" s="1"/>
  <c r="P18" i="13" s="1"/>
  <c r="L388" i="13"/>
  <c r="N388" i="13" s="1"/>
  <c r="P388" i="13" s="1"/>
  <c r="L33" i="13"/>
  <c r="N33" i="13" s="1"/>
  <c r="P33" i="13" s="1"/>
  <c r="L351" i="13"/>
  <c r="N351" i="13" s="1"/>
  <c r="P351" i="13" s="1"/>
  <c r="L358" i="13"/>
  <c r="N358" i="13" s="1"/>
  <c r="P358" i="13" s="1"/>
  <c r="L280" i="13"/>
  <c r="N280" i="13" s="1"/>
  <c r="P280" i="13" s="1"/>
  <c r="L177" i="13"/>
  <c r="N177" i="13" s="1"/>
  <c r="P177" i="13" s="1"/>
  <c r="L153" i="13"/>
  <c r="N153" i="13" s="1"/>
  <c r="P153" i="13" s="1"/>
  <c r="L350" i="13"/>
  <c r="N350" i="13" s="1"/>
  <c r="P350" i="13" s="1"/>
  <c r="L325" i="13"/>
  <c r="N325" i="13" s="1"/>
  <c r="P325" i="13" s="1"/>
  <c r="L170" i="13"/>
  <c r="N170" i="13" s="1"/>
  <c r="P170" i="13" s="1"/>
  <c r="L318" i="13"/>
  <c r="N318" i="13" s="1"/>
  <c r="P318" i="13" s="1"/>
  <c r="L366" i="13"/>
  <c r="N366" i="13" s="1"/>
  <c r="P366" i="13" s="1"/>
  <c r="L201" i="13"/>
  <c r="N201" i="13" s="1"/>
  <c r="P201" i="13" s="1"/>
  <c r="L148" i="13"/>
  <c r="N148" i="13" s="1"/>
  <c r="P148" i="13" s="1"/>
  <c r="L43" i="13"/>
  <c r="N43" i="13" s="1"/>
  <c r="P43" i="13" s="1"/>
  <c r="L300" i="13"/>
  <c r="N300" i="13" s="1"/>
  <c r="P300" i="13" s="1"/>
  <c r="L37" i="13"/>
  <c r="N37" i="13" s="1"/>
  <c r="P37" i="13" s="1"/>
  <c r="L409" i="13"/>
  <c r="N409" i="13" s="1"/>
  <c r="P409" i="13" s="1"/>
  <c r="L142" i="13"/>
  <c r="N142" i="13" s="1"/>
  <c r="P142" i="13" s="1"/>
  <c r="L84" i="13"/>
  <c r="N84" i="13" s="1"/>
  <c r="P84" i="13" s="1"/>
  <c r="L248" i="13"/>
  <c r="N248" i="13" s="1"/>
  <c r="P248" i="13" s="1"/>
  <c r="L68" i="13"/>
  <c r="N68" i="13" s="1"/>
  <c r="P68" i="13" s="1"/>
  <c r="L60" i="13"/>
  <c r="N60" i="13" s="1"/>
  <c r="P60" i="13" s="1"/>
  <c r="L331" i="13"/>
  <c r="N331" i="13" s="1"/>
  <c r="P331" i="13" s="1"/>
  <c r="L24" i="13"/>
  <c r="N24" i="13" s="1"/>
  <c r="P24" i="13" s="1"/>
  <c r="L378" i="13"/>
  <c r="N378" i="13" s="1"/>
  <c r="P378" i="13" s="1"/>
  <c r="L175" i="13"/>
  <c r="N175" i="13" s="1"/>
  <c r="P175" i="13" s="1"/>
  <c r="L266" i="13"/>
  <c r="N266" i="13" s="1"/>
  <c r="P266" i="13" s="1"/>
  <c r="L91" i="13"/>
  <c r="N91" i="13" s="1"/>
  <c r="P91" i="13" s="1"/>
  <c r="L369" i="13"/>
  <c r="N369" i="13" s="1"/>
  <c r="P369" i="13" s="1"/>
  <c r="L276" i="13"/>
  <c r="N276" i="13" s="1"/>
  <c r="P276" i="13" s="1"/>
  <c r="L332" i="13"/>
  <c r="N332" i="13" s="1"/>
  <c r="P332" i="13" s="1"/>
  <c r="L262" i="13"/>
  <c r="N262" i="13" s="1"/>
  <c r="P262" i="13" s="1"/>
  <c r="L384" i="13"/>
  <c r="N384" i="13" s="1"/>
  <c r="P384" i="13" s="1"/>
  <c r="L324" i="13"/>
  <c r="N324" i="13" s="1"/>
  <c r="P324" i="13" s="1"/>
  <c r="L309" i="13"/>
  <c r="N309" i="13" s="1"/>
  <c r="P309" i="13" s="1"/>
  <c r="L355" i="13"/>
  <c r="N355" i="13" s="1"/>
  <c r="P355" i="13" s="1"/>
  <c r="L269" i="13"/>
  <c r="N269" i="13" s="1"/>
  <c r="P269" i="13" s="1"/>
  <c r="L227" i="13"/>
  <c r="N227" i="13" s="1"/>
  <c r="P227" i="13" s="1"/>
  <c r="L229" i="13"/>
  <c r="N229" i="13" s="1"/>
  <c r="P229" i="13" s="1"/>
  <c r="L414" i="13"/>
  <c r="N414" i="13" s="1"/>
  <c r="P414" i="13" s="1"/>
  <c r="L413" i="13"/>
  <c r="N413" i="13" s="1"/>
  <c r="P413" i="13" s="1"/>
  <c r="L25" i="13"/>
  <c r="N25" i="13" s="1"/>
  <c r="P25" i="13" s="1"/>
  <c r="L294" i="13"/>
  <c r="N294" i="13" s="1"/>
  <c r="P294" i="13" s="1"/>
  <c r="L303" i="13"/>
  <c r="N303" i="13" s="1"/>
  <c r="P303" i="13" s="1"/>
  <c r="L422" i="13"/>
  <c r="N422" i="13" s="1"/>
  <c r="P422" i="13" s="1"/>
  <c r="L402" i="13"/>
  <c r="N402" i="13" s="1"/>
  <c r="P402" i="13" s="1"/>
  <c r="L236" i="13"/>
  <c r="N236" i="13" s="1"/>
  <c r="P236" i="13" s="1"/>
  <c r="L185" i="13"/>
  <c r="N185" i="13" s="1"/>
  <c r="P185" i="13" s="1"/>
  <c r="L88" i="13"/>
  <c r="N88" i="13" s="1"/>
  <c r="P88" i="13" s="1"/>
  <c r="L327" i="13"/>
  <c r="N327" i="13" s="1"/>
  <c r="P327" i="13" s="1"/>
  <c r="L390" i="13"/>
  <c r="N390" i="13" s="1"/>
  <c r="P390" i="13" s="1"/>
  <c r="L191" i="13"/>
  <c r="N191" i="13" s="1"/>
  <c r="P191" i="13" s="1"/>
  <c r="L13" i="13"/>
  <c r="N13" i="13" s="1"/>
  <c r="P13" i="13" s="1"/>
  <c r="L160" i="13"/>
  <c r="N160" i="13" s="1"/>
  <c r="P160" i="13" s="1"/>
  <c r="L230" i="13"/>
  <c r="N230" i="13" s="1"/>
  <c r="P230" i="13" s="1"/>
  <c r="L146" i="13"/>
  <c r="N146" i="13" s="1"/>
  <c r="P146" i="13" s="1"/>
  <c r="L55" i="13"/>
  <c r="N55" i="13" s="1"/>
  <c r="P55" i="13" s="1"/>
  <c r="L8" i="13"/>
  <c r="N8" i="13" s="1"/>
  <c r="P8" i="13" s="1"/>
  <c r="L47" i="13"/>
  <c r="N47" i="13" s="1"/>
  <c r="P47" i="13" s="1"/>
  <c r="L31" i="13"/>
  <c r="N31" i="13" s="1"/>
  <c r="P31" i="13" s="1"/>
  <c r="L323" i="13"/>
  <c r="N323" i="13" s="1"/>
  <c r="P323" i="13" s="1"/>
  <c r="L14" i="13"/>
  <c r="N14" i="13" s="1"/>
  <c r="P14" i="13" s="1"/>
  <c r="L405" i="13"/>
  <c r="N405" i="13" s="1"/>
  <c r="P405" i="13" s="1"/>
  <c r="L90" i="13"/>
  <c r="N90" i="13" s="1"/>
  <c r="P90" i="13" s="1"/>
  <c r="L134" i="13"/>
  <c r="N134" i="13" s="1"/>
  <c r="P134" i="13" s="1"/>
  <c r="L154" i="13"/>
  <c r="N154" i="13" s="1"/>
  <c r="P154" i="13" s="1"/>
  <c r="L260" i="13"/>
  <c r="N260" i="13" s="1"/>
  <c r="P260" i="13" s="1"/>
  <c r="L319" i="13"/>
  <c r="N319" i="13" s="1"/>
  <c r="P319" i="13" s="1"/>
  <c r="L304" i="13"/>
  <c r="N304" i="13" s="1"/>
  <c r="P304" i="13" s="1"/>
  <c r="L151" i="13"/>
  <c r="N151" i="13" s="1"/>
  <c r="P151" i="13" s="1"/>
  <c r="L301" i="13"/>
  <c r="N301" i="13" s="1"/>
  <c r="P301" i="13" s="1"/>
  <c r="L348" i="13"/>
  <c r="N348" i="13" s="1"/>
  <c r="P348" i="13" s="1"/>
  <c r="L118" i="13"/>
  <c r="N118" i="13" s="1"/>
  <c r="P118" i="13" s="1"/>
  <c r="L292" i="13"/>
  <c r="N292" i="13" s="1"/>
  <c r="P292" i="13" s="1"/>
  <c r="L308" i="13"/>
  <c r="N308" i="13" s="1"/>
  <c r="P308" i="13" s="1"/>
  <c r="L105" i="13"/>
  <c r="N105" i="13" s="1"/>
  <c r="P105" i="13" s="1"/>
  <c r="L219" i="13"/>
  <c r="N219" i="13" s="1"/>
  <c r="P219" i="13" s="1"/>
  <c r="L22" i="13"/>
  <c r="N22" i="13" s="1"/>
  <c r="P22" i="13" s="1"/>
  <c r="L298" i="13"/>
  <c r="N298" i="13" s="1"/>
  <c r="P298" i="13" s="1"/>
  <c r="L277" i="13"/>
  <c r="N277" i="13" s="1"/>
  <c r="P277" i="13" s="1"/>
  <c r="L5" i="13"/>
  <c r="N5" i="13" s="1"/>
  <c r="P5" i="13" s="1"/>
  <c r="L293" i="13"/>
  <c r="N293" i="13" s="1"/>
  <c r="P293" i="13" s="1"/>
  <c r="L64" i="13"/>
  <c r="N64" i="13" s="1"/>
  <c r="P64" i="13" s="1"/>
  <c r="L279" i="13"/>
  <c r="N279" i="13" s="1"/>
  <c r="P279" i="13" s="1"/>
  <c r="L128" i="13"/>
  <c r="N128" i="13" s="1"/>
  <c r="P128" i="13" s="1"/>
  <c r="L79" i="13"/>
  <c r="N79" i="13" s="1"/>
  <c r="P79" i="13" s="1"/>
  <c r="L305" i="13"/>
  <c r="N305" i="13" s="1"/>
  <c r="P305" i="13" s="1"/>
  <c r="L211" i="13"/>
  <c r="N211" i="13" s="1"/>
  <c r="P211" i="13" s="1"/>
  <c r="L226" i="13"/>
  <c r="N226" i="13" s="1"/>
  <c r="P226" i="13" s="1"/>
  <c r="L71" i="13"/>
  <c r="N71" i="13" s="1"/>
  <c r="P71" i="13" s="1"/>
  <c r="L398" i="13"/>
  <c r="N398" i="13" s="1"/>
  <c r="P398" i="13" s="1"/>
  <c r="L281" i="13"/>
  <c r="N281" i="13" s="1"/>
  <c r="P281" i="13" s="1"/>
  <c r="L433" i="13"/>
  <c r="N433" i="13" s="1"/>
  <c r="P433" i="13" s="1"/>
  <c r="L50" i="13"/>
  <c r="N50" i="13" s="1"/>
  <c r="P50" i="13" s="1"/>
  <c r="L76" i="13"/>
  <c r="N76" i="13" s="1"/>
  <c r="P76" i="13" s="1"/>
  <c r="L246" i="13"/>
  <c r="N246" i="13" s="1"/>
  <c r="P246" i="13" s="1"/>
  <c r="L342" i="13"/>
  <c r="N342" i="13" s="1"/>
  <c r="P342" i="13" s="1"/>
  <c r="L80" i="13"/>
  <c r="N80" i="13" s="1"/>
  <c r="P80" i="13" s="1"/>
  <c r="L296" i="13"/>
  <c r="N296" i="13" s="1"/>
  <c r="P296" i="13" s="1"/>
  <c r="L330" i="13"/>
  <c r="N330" i="13" s="1"/>
  <c r="P330" i="13" s="1"/>
  <c r="L218" i="13"/>
  <c r="N218" i="13" s="1"/>
  <c r="P218" i="13" s="1"/>
  <c r="L314" i="13"/>
  <c r="N314" i="13" s="1"/>
  <c r="P314" i="13" s="1"/>
  <c r="L164" i="13"/>
  <c r="N164" i="13" s="1"/>
  <c r="P164" i="13" s="1"/>
  <c r="L244" i="13"/>
  <c r="N244" i="13" s="1"/>
  <c r="P244" i="13" s="1"/>
  <c r="L52" i="13"/>
  <c r="N52" i="13" s="1"/>
  <c r="P52" i="13" s="1"/>
  <c r="L70" i="13"/>
  <c r="N70" i="13" s="1"/>
  <c r="P70" i="13" s="1"/>
  <c r="L6" i="13"/>
  <c r="N6" i="13" s="1"/>
  <c r="P6" i="13" s="1"/>
  <c r="L89" i="13"/>
  <c r="N89" i="13" s="1"/>
  <c r="P89" i="13" s="1"/>
  <c r="L420" i="13"/>
  <c r="N420" i="13" s="1"/>
  <c r="P420" i="13" s="1"/>
  <c r="L169" i="13"/>
  <c r="N169" i="13" s="1"/>
  <c r="P169" i="13" s="1"/>
  <c r="L20" i="13"/>
  <c r="N20" i="13" s="1"/>
  <c r="P20" i="13" s="1"/>
  <c r="L322" i="13"/>
  <c r="N322" i="13" s="1"/>
  <c r="P322" i="13" s="1"/>
  <c r="L395" i="13"/>
  <c r="N395" i="13" s="1"/>
  <c r="P395" i="13" s="1"/>
  <c r="L370" i="13"/>
  <c r="N370" i="13" s="1"/>
  <c r="P370" i="13" s="1"/>
  <c r="L379" i="13"/>
  <c r="N379" i="13" s="1"/>
  <c r="P379" i="13" s="1"/>
  <c r="L116" i="13"/>
  <c r="N116" i="13" s="1"/>
  <c r="P116" i="13" s="1"/>
  <c r="L63" i="13"/>
  <c r="N63" i="13" s="1"/>
  <c r="P63" i="13" s="1"/>
  <c r="L92" i="13"/>
  <c r="N92" i="13" s="1"/>
  <c r="P92" i="13" s="1"/>
  <c r="L184" i="13"/>
  <c r="N184" i="13" s="1"/>
  <c r="P184" i="13" s="1"/>
  <c r="L242" i="13"/>
  <c r="N242" i="13" s="1"/>
  <c r="P242" i="13" s="1"/>
  <c r="L96" i="13"/>
  <c r="N96" i="13" s="1"/>
  <c r="P96" i="13" s="1"/>
  <c r="L371" i="13"/>
  <c r="N371" i="13" s="1"/>
  <c r="P371" i="13" s="1"/>
  <c r="L287" i="13"/>
  <c r="N287" i="13" s="1"/>
  <c r="P287" i="13" s="1"/>
  <c r="L436" i="13"/>
  <c r="N436" i="13" s="1"/>
  <c r="P436" i="13" s="1"/>
  <c r="L78" i="13"/>
  <c r="N78" i="13" s="1"/>
  <c r="P78" i="13" s="1"/>
  <c r="L19" i="13"/>
  <c r="N19" i="13" s="1"/>
  <c r="P19" i="13" s="1"/>
  <c r="L333" i="13"/>
  <c r="N333" i="13" s="1"/>
  <c r="P333" i="13" s="1"/>
  <c r="L228" i="13"/>
  <c r="N228" i="13" s="1"/>
  <c r="P228" i="13" s="1"/>
  <c r="L194" i="13"/>
  <c r="N194" i="13" s="1"/>
  <c r="P194" i="13" s="1"/>
  <c r="L59" i="13"/>
  <c r="N59" i="13" s="1"/>
  <c r="P59" i="13" s="1"/>
  <c r="L67" i="13"/>
  <c r="N67" i="13" s="1"/>
  <c r="P67" i="13" s="1"/>
  <c r="L41" i="13"/>
  <c r="N41" i="13" s="1"/>
  <c r="P41" i="13" s="1"/>
  <c r="L122" i="13"/>
  <c r="N122" i="13" s="1"/>
  <c r="P122" i="13" s="1"/>
  <c r="L339" i="13"/>
  <c r="N339" i="13" s="1"/>
  <c r="P339" i="13" s="1"/>
  <c r="L35" i="13"/>
  <c r="N35" i="13" s="1"/>
  <c r="P35" i="13" s="1"/>
  <c r="L381" i="13"/>
  <c r="N381" i="13" s="1"/>
  <c r="P381" i="13" s="1"/>
  <c r="L274" i="13"/>
  <c r="N274" i="13" s="1"/>
  <c r="P274" i="13" s="1"/>
  <c r="L254" i="13"/>
  <c r="N254" i="13" s="1"/>
  <c r="P254" i="13" s="1"/>
  <c r="L320" i="13"/>
  <c r="N320" i="13" s="1"/>
  <c r="P320" i="13" s="1"/>
  <c r="L364" i="13"/>
  <c r="N364" i="13" s="1"/>
  <c r="P364" i="13" s="1"/>
  <c r="L349" i="13"/>
  <c r="N349" i="13" s="1"/>
  <c r="P349" i="13" s="1"/>
  <c r="L338" i="13"/>
  <c r="N338" i="13" s="1"/>
  <c r="P338" i="13" s="1"/>
  <c r="L261" i="13"/>
  <c r="N261" i="13" s="1"/>
  <c r="P261" i="13" s="1"/>
  <c r="L36" i="13"/>
  <c r="N36" i="13" s="1"/>
  <c r="P36" i="13" s="1"/>
  <c r="L425" i="13"/>
  <c r="N425" i="13" s="1"/>
  <c r="P425" i="13" s="1"/>
  <c r="L217" i="13"/>
  <c r="N217" i="13" s="1"/>
  <c r="P217" i="13" s="1"/>
  <c r="L179" i="13"/>
  <c r="N179" i="13" s="1"/>
  <c r="P179" i="13" s="1"/>
  <c r="L286" i="13"/>
  <c r="N286" i="13" s="1"/>
  <c r="P286" i="13" s="1"/>
  <c r="L343" i="13"/>
  <c r="N343" i="13" s="1"/>
  <c r="P343" i="13" s="1"/>
  <c r="L247" i="13"/>
  <c r="N247" i="13" s="1"/>
  <c r="P247" i="13" s="1"/>
  <c r="L295" i="13"/>
  <c r="N295" i="13" s="1"/>
  <c r="P295" i="13" s="1"/>
  <c r="L87" i="13"/>
  <c r="N87" i="13" s="1"/>
  <c r="P87" i="13" s="1"/>
  <c r="L159" i="13"/>
  <c r="N159" i="13" s="1"/>
  <c r="P159" i="13" s="1"/>
  <c r="L288" i="13"/>
  <c r="N288" i="13" s="1"/>
  <c r="P288" i="13" s="1"/>
  <c r="L129" i="13"/>
  <c r="N129" i="13" s="1"/>
  <c r="P129" i="13" s="1"/>
  <c r="L224" i="13"/>
  <c r="N224" i="13" s="1"/>
  <c r="P224" i="13" s="1"/>
  <c r="L341" i="13"/>
  <c r="N341" i="13" s="1"/>
  <c r="P341" i="13" s="1"/>
  <c r="L267" i="13"/>
  <c r="N267" i="13" s="1"/>
  <c r="P267" i="13" s="1"/>
  <c r="L426" i="13"/>
  <c r="N426" i="13" s="1"/>
  <c r="P426" i="13" s="1"/>
  <c r="L155" i="13"/>
  <c r="N155" i="13" s="1"/>
  <c r="P155" i="13" s="1"/>
  <c r="L183" i="13"/>
  <c r="N183" i="13" s="1"/>
  <c r="P183" i="13" s="1"/>
  <c r="L317" i="13"/>
  <c r="N317" i="13" s="1"/>
  <c r="P317" i="13" s="1"/>
  <c r="L394" i="13"/>
  <c r="N394" i="13" s="1"/>
  <c r="P394" i="13" s="1"/>
  <c r="L126" i="13"/>
  <c r="N126" i="13" s="1"/>
  <c r="P126" i="13" s="1"/>
  <c r="L114" i="13"/>
  <c r="N114" i="13" s="1"/>
  <c r="P114" i="13" s="1"/>
  <c r="L412" i="13"/>
  <c r="N412" i="13" s="1"/>
  <c r="P412" i="13" s="1"/>
  <c r="L306" i="13"/>
  <c r="N306" i="13" s="1"/>
  <c r="P306" i="13" s="1"/>
  <c r="L196" i="13"/>
  <c r="N196" i="13" s="1"/>
  <c r="P196" i="13" s="1"/>
  <c r="L171" i="13"/>
  <c r="N171" i="13" s="1"/>
  <c r="P171" i="13" s="1"/>
  <c r="L416" i="13"/>
  <c r="N416" i="13" s="1"/>
  <c r="P416" i="13" s="1"/>
  <c r="L178" i="13"/>
  <c r="N178" i="13" s="1"/>
  <c r="P178" i="13" s="1"/>
  <c r="L9" i="13"/>
  <c r="N9" i="13" s="1"/>
  <c r="P9" i="13" s="1"/>
  <c r="L53" i="13"/>
  <c r="N53" i="13" s="1"/>
  <c r="P53" i="13" s="1"/>
  <c r="L359" i="13"/>
  <c r="N359" i="13" s="1"/>
  <c r="P359" i="13" s="1"/>
  <c r="L406" i="13"/>
  <c r="N406" i="13" s="1"/>
  <c r="P406" i="13" s="1"/>
  <c r="L75" i="13"/>
  <c r="N75" i="13" s="1"/>
  <c r="P75" i="13" s="1"/>
  <c r="L108" i="13"/>
  <c r="N108" i="13" s="1"/>
  <c r="P108" i="13" s="1"/>
  <c r="L109" i="13"/>
  <c r="N109" i="13" s="1"/>
  <c r="P109" i="13" s="1"/>
  <c r="L189" i="13"/>
  <c r="N189" i="13" s="1"/>
  <c r="P189" i="13" s="1"/>
  <c r="L140" i="13"/>
  <c r="N140" i="13" s="1"/>
  <c r="P140" i="13" s="1"/>
  <c r="L418" i="13"/>
  <c r="N418" i="13" s="1"/>
  <c r="P418" i="13" s="1"/>
  <c r="L361" i="13"/>
  <c r="N361" i="13" s="1"/>
  <c r="P361" i="13" s="1"/>
  <c r="L172" i="13"/>
  <c r="N172" i="13" s="1"/>
  <c r="P172" i="13" s="1"/>
  <c r="L62" i="13"/>
  <c r="N62" i="13" s="1"/>
  <c r="P62" i="13" s="1"/>
  <c r="L235" i="13"/>
  <c r="N235" i="13" s="1"/>
  <c r="P235" i="13" s="1"/>
  <c r="L77" i="13"/>
  <c r="N77" i="13" s="1"/>
  <c r="P77" i="13" s="1"/>
  <c r="L173" i="13"/>
  <c r="N173" i="13" s="1"/>
  <c r="P173" i="13" s="1"/>
  <c r="L45" i="13"/>
  <c r="N45" i="13" s="1"/>
  <c r="P45" i="13" s="1"/>
  <c r="L362" i="13"/>
  <c r="N362" i="13" s="1"/>
  <c r="P362" i="13" s="1"/>
  <c r="L328" i="13"/>
  <c r="N328" i="13" s="1"/>
  <c r="P328" i="13" s="1"/>
  <c r="L141" i="13"/>
  <c r="N141" i="13" s="1"/>
  <c r="P141" i="13" s="1"/>
  <c r="L205" i="13"/>
  <c r="N205" i="13" s="1"/>
  <c r="P205" i="13" s="1"/>
  <c r="L44" i="13"/>
  <c r="N44" i="13" s="1"/>
  <c r="P44" i="13" s="1"/>
  <c r="L313" i="13"/>
  <c r="N313" i="13" s="1"/>
  <c r="P313" i="13" s="1"/>
  <c r="L204" i="13"/>
  <c r="N204" i="13" s="1"/>
  <c r="P204" i="13" s="1"/>
  <c r="L437" i="13"/>
  <c r="N437" i="13" s="1"/>
  <c r="P437" i="13" s="1"/>
  <c r="L156" i="13"/>
  <c r="N156" i="13" s="1"/>
  <c r="P156" i="13" s="1"/>
  <c r="L376" i="13"/>
  <c r="N376" i="13" s="1"/>
  <c r="P376" i="13" s="1"/>
  <c r="L157" i="13"/>
  <c r="N157" i="13" s="1"/>
  <c r="P157" i="13" s="1"/>
  <c r="L94" i="13"/>
  <c r="N94" i="13" s="1"/>
  <c r="P94" i="13" s="1"/>
  <c r="L392" i="13"/>
  <c r="N392" i="13" s="1"/>
  <c r="P392" i="13" s="1"/>
  <c r="L199" i="13"/>
  <c r="N199" i="13" s="1"/>
  <c r="P199" i="13" s="1"/>
  <c r="L97" i="13"/>
  <c r="N97" i="13" s="1"/>
  <c r="P97" i="13" s="1"/>
  <c r="L125" i="13"/>
  <c r="N125" i="13" s="1"/>
  <c r="P125" i="13" s="1"/>
  <c r="L3" i="13"/>
  <c r="N3" i="13" s="1"/>
  <c r="P3" i="13" s="1"/>
</calcChain>
</file>

<file path=xl/sharedStrings.xml><?xml version="1.0" encoding="utf-8"?>
<sst xmlns="http://schemas.openxmlformats.org/spreadsheetml/2006/main" count="152" uniqueCount="98">
  <si>
    <t>No</t>
  </si>
  <si>
    <t>w</t>
  </si>
  <si>
    <t>s</t>
  </si>
  <si>
    <t>f</t>
  </si>
  <si>
    <t>Rnet</t>
  </si>
  <si>
    <t>Susut Jagung</t>
  </si>
  <si>
    <t>Produksi Bersih jagung</t>
  </si>
  <si>
    <t>Susut Ubi Kayu</t>
  </si>
  <si>
    <t>Produksi Kotor Ubi Kayu (ton)</t>
  </si>
  <si>
    <t>Produksi Bersih Ubi Kayu</t>
  </si>
  <si>
    <t>C</t>
  </si>
  <si>
    <t xml:space="preserve"> (Cnet)</t>
  </si>
  <si>
    <t>Produksi Kotor Ubi Jalar (ton)</t>
  </si>
  <si>
    <t>Susut Ubi Jalar</t>
  </si>
  <si>
    <t>Produksi Bersih Ubi Jalar</t>
  </si>
  <si>
    <t>No.</t>
  </si>
  <si>
    <t>Produksi Kotor Sagu (ton)</t>
  </si>
  <si>
    <t>Susut Sagu</t>
  </si>
  <si>
    <t>Produksi Bersih Sagu</t>
  </si>
  <si>
    <t>Produksi Bersih Beras Konsumsi
(ton)</t>
  </si>
  <si>
    <t>Pakan (0,17%)</t>
  </si>
  <si>
    <t>Tercecer (2,5%)</t>
  </si>
  <si>
    <t>fr</t>
  </si>
  <si>
    <t>wr</t>
  </si>
  <si>
    <t>Tercecer (4,62%)</t>
  </si>
  <si>
    <t>Total Ketersediaan Pangan  (Ton)</t>
  </si>
  <si>
    <t>Ketersediaan Pangan per Kapita per Hari (g)</t>
  </si>
  <si>
    <t>Susut Pisang</t>
  </si>
  <si>
    <t>Produksi Kotor Pisang (ton)</t>
  </si>
  <si>
    <t>Produksi Bersih Pisang</t>
  </si>
  <si>
    <t>Produksi Beras (ton)</t>
  </si>
  <si>
    <t xml:space="preserve"> (Cr)</t>
  </si>
  <si>
    <t xml:space="preserve"> (Jr)</t>
  </si>
  <si>
    <t xml:space="preserve"> (Sr)</t>
  </si>
  <si>
    <t xml:space="preserve"> (Br)</t>
  </si>
  <si>
    <t>Produksi Bersih 
Ubi kayu setara Beras(Ton)</t>
  </si>
  <si>
    <t>Susut Gabah</t>
  </si>
  <si>
    <t>Konversi Padi Ke Beras</t>
  </si>
  <si>
    <t>Produksi Kotor            Padi (ton)</t>
  </si>
  <si>
    <t>P</t>
  </si>
  <si>
    <t>Susut Beras</t>
  </si>
  <si>
    <t>Produksi Bersih Ketersediaan Padi (ton)</t>
  </si>
  <si>
    <t>Benih
(0,9%)</t>
  </si>
  <si>
    <t>Pakan
(0,44%)</t>
  </si>
  <si>
    <t>Tercecer
(4,92%)</t>
  </si>
  <si>
    <t xml:space="preserve"> Pnet</t>
  </si>
  <si>
    <t>c</t>
  </si>
  <si>
    <t>Rc</t>
  </si>
  <si>
    <t>Produksi Jagung (ton)</t>
  </si>
  <si>
    <t>M</t>
  </si>
  <si>
    <t xml:space="preserve"> Mnet</t>
  </si>
  <si>
    <t>Mr</t>
  </si>
  <si>
    <t>Benih
(0 %)</t>
  </si>
  <si>
    <t>Benih
(0%)</t>
  </si>
  <si>
    <t>J</t>
  </si>
  <si>
    <t xml:space="preserve"> (Jnet)</t>
  </si>
  <si>
    <t>Pakan
(0%)</t>
  </si>
  <si>
    <t>Tercecer
(0,72%)</t>
  </si>
  <si>
    <t>Tercecer
(1,11%)</t>
  </si>
  <si>
    <t>S</t>
  </si>
  <si>
    <t xml:space="preserve"> (Snet)</t>
  </si>
  <si>
    <t>B</t>
  </si>
  <si>
    <t xml:space="preserve"> (Bnet)</t>
  </si>
  <si>
    <t>Rasio Konsumsi Normatif terhadap Ketersediaan Pangan</t>
  </si>
  <si>
    <t>Kab/Kota:</t>
  </si>
  <si>
    <t>Kode Desa/Kelurahan Kemendagri</t>
  </si>
  <si>
    <t>Kode Desa/Kelurahan BPS</t>
  </si>
  <si>
    <t>Nama Kecamatan</t>
  </si>
  <si>
    <t>Nama Desa/Kelurahan</t>
  </si>
  <si>
    <t>DATA PRODUKSI PADI TAHUN 2025</t>
  </si>
  <si>
    <t>DATA PRODUKSI JAGUNG TAHUN 2025</t>
  </si>
  <si>
    <t>DATA PRODUKSI UBI KAYU TAHUN 2025</t>
  </si>
  <si>
    <t>DATA PRODUKSI UBI JALAR TAHUN 2025</t>
  </si>
  <si>
    <t>DATA PRODUKSI SAGU TAHUN 2025</t>
  </si>
  <si>
    <t>DATA PRODUKSI PISANG TAHUN 2025</t>
  </si>
  <si>
    <t>INDIKATOR NCPR FSVA 2025</t>
  </si>
  <si>
    <t>Produksi Bersih Beras 2025
(Ton)</t>
  </si>
  <si>
    <t>Produksi Bersih Jagung setara beras 2025
(Ton)</t>
  </si>
  <si>
    <t>Produksi Bersih Ubi Jalar setara Beras 2025 (Ton)</t>
  </si>
  <si>
    <t>Produksi Bersih 
Sagu setara Beras 2025 (Ton)</t>
  </si>
  <si>
    <t>Produksi Bersih 
Pisang setara Beras 2025 (Ton)</t>
  </si>
  <si>
    <t>Total Populasi 2025 (Jiwa)</t>
  </si>
  <si>
    <t>Industri Non Makanan (0.56%)</t>
  </si>
  <si>
    <t>i</t>
  </si>
  <si>
    <t>Industri Non Makanan (0.66%)</t>
  </si>
  <si>
    <t>Ir</t>
  </si>
  <si>
    <t>Produksi Jagung Siap Pakai (73,9252%) (ton)</t>
  </si>
  <si>
    <t>Benih (0,345%)</t>
  </si>
  <si>
    <t>Pakan (78,806%)</t>
  </si>
  <si>
    <t>Produksi Bersih Jagung setara Beras (1,017)</t>
  </si>
  <si>
    <t>Pakan
(0.43%)</t>
  </si>
  <si>
    <t>Tercecer
(4,23%)</t>
  </si>
  <si>
    <t>Produksi Bersih Ubi Kayu setara Beras (0,363)</t>
  </si>
  <si>
    <t>Pakan
(0,77%)</t>
  </si>
  <si>
    <t>Tercecer
(4,9%)</t>
  </si>
  <si>
    <t>Produksi Bersih Ubi Jalar setara Beras (0,259)</t>
  </si>
  <si>
    <t>Produksi Bersih Sagu setara Beras (0,640)</t>
  </si>
  <si>
    <t>Produksi Bersih Pisang setara Beras (0,134)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</si>
</sst>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#,##0.0000"/>
  </numFmts>
  <fonts count="15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0"/>
      <name val="Courier"/>
      <family val="3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8"/>
      <name val="Arial"/>
      <family val="2"/>
    </font>
    <font>
      <b/>
      <sz val="11"/>
      <name val="Arial"/>
      <family val="2"/>
    </font>
    <font>
      <b/>
      <sz val="12"/>
      <color theme="1"/>
      <name val="Arial"/>
      <family val="2"/>
    </font>
    <font>
      <b/>
      <sz val="16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0EA00"/>
        <bgColor indexed="64"/>
      </patternFill>
    </fill>
    <fill>
      <patternFill patternType="solid">
        <fgColor rgb="FFFFFF79"/>
        <bgColor indexed="64"/>
      </patternFill>
    </fill>
    <fill>
      <patternFill patternType="solid">
        <fgColor rgb="FFA692C0"/>
        <bgColor indexed="64"/>
      </patternFill>
    </fill>
    <fill>
      <patternFill patternType="solid">
        <fgColor rgb="FFD48482"/>
        <bgColor indexed="64"/>
      </patternFill>
    </fill>
    <fill>
      <patternFill patternType="solid">
        <fgColor rgb="FF8CADD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57E1B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165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" fillId="0" borderId="0" applyFont="0" applyFill="0" applyBorder="0" applyAlignment="0" applyProtection="0"/>
    <xf numFmtId="37" fontId="8" fillId="0" borderId="0"/>
    <xf numFmtId="0" fontId="9" fillId="0" borderId="0"/>
    <xf numFmtId="0" fontId="9" fillId="0" borderId="0"/>
    <xf numFmtId="0" fontId="5" fillId="0" borderId="0"/>
    <xf numFmtId="3" fontId="7" fillId="0" borderId="0">
      <protection hidden="1"/>
    </xf>
    <xf numFmtId="0" fontId="5" fillId="0" borderId="0"/>
    <xf numFmtId="0" fontId="5" fillId="0" borderId="0"/>
    <xf numFmtId="0" fontId="9" fillId="0" borderId="0"/>
  </cellStyleXfs>
  <cellXfs count="90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2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4" borderId="0" xfId="0" applyFill="1"/>
    <xf numFmtId="0" fontId="2" fillId="9" borderId="0" xfId="0" applyFont="1" applyFill="1" applyAlignment="1">
      <alignment horizontal="center" vertical="center"/>
    </xf>
    <xf numFmtId="0" fontId="2" fillId="9" borderId="2" xfId="0" applyFont="1" applyFill="1" applyBorder="1" applyAlignment="1">
      <alignment vertical="center"/>
    </xf>
    <xf numFmtId="43" fontId="0" fillId="0" borderId="0" xfId="0" applyNumberFormat="1"/>
    <xf numFmtId="0" fontId="0" fillId="9" borderId="0" xfId="0" applyFill="1"/>
    <xf numFmtId="165" fontId="3" fillId="0" borderId="1" xfId="1" applyFont="1" applyBorder="1" applyAlignment="1">
      <alignment horizontal="right" vertical="center"/>
    </xf>
    <xf numFmtId="3" fontId="10" fillId="8" borderId="1" xfId="0" applyNumberFormat="1" applyFont="1" applyFill="1" applyBorder="1" applyAlignment="1">
      <alignment horizontal="right" vertical="center"/>
    </xf>
    <xf numFmtId="166" fontId="3" fillId="9" borderId="1" xfId="1" applyNumberFormat="1" applyFont="1" applyFill="1" applyBorder="1" applyAlignment="1">
      <alignment horizontal="right" vertical="center"/>
    </xf>
    <xf numFmtId="0" fontId="0" fillId="4" borderId="0" xfId="0" applyFill="1" applyAlignment="1">
      <alignment horizontal="right" vertical="center"/>
    </xf>
    <xf numFmtId="0" fontId="11" fillId="9" borderId="2" xfId="0" applyFont="1" applyFill="1" applyBorder="1" applyAlignment="1">
      <alignment vertical="center"/>
    </xf>
    <xf numFmtId="0" fontId="2" fillId="11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 wrapText="1"/>
    </xf>
    <xf numFmtId="165" fontId="3" fillId="10" borderId="1" xfId="1" applyFont="1" applyFill="1" applyBorder="1" applyAlignment="1">
      <alignment horizontal="right" vertical="center"/>
    </xf>
    <xf numFmtId="166" fontId="3" fillId="5" borderId="1" xfId="1" applyNumberFormat="1" applyFont="1" applyFill="1" applyBorder="1" applyAlignment="1">
      <alignment horizontal="right" vertical="center"/>
    </xf>
    <xf numFmtId="4" fontId="3" fillId="0" borderId="1" xfId="1" applyNumberFormat="1" applyFont="1" applyBorder="1" applyAlignment="1" applyProtection="1">
      <alignment horizontal="right" vertical="center"/>
    </xf>
    <xf numFmtId="4" fontId="3" fillId="0" borderId="1" xfId="0" applyNumberFormat="1" applyFont="1" applyBorder="1" applyAlignment="1">
      <alignment horizontal="right" vertical="center"/>
    </xf>
    <xf numFmtId="4" fontId="3" fillId="0" borderId="1" xfId="1" applyNumberFormat="1" applyFont="1" applyBorder="1" applyAlignment="1">
      <alignment horizontal="right" vertical="center"/>
    </xf>
    <xf numFmtId="4" fontId="3" fillId="0" borderId="1" xfId="1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4" fillId="9" borderId="0" xfId="0" applyFont="1" applyFill="1" applyAlignment="1">
      <alignment horizontal="center" vertical="center"/>
    </xf>
    <xf numFmtId="0" fontId="14" fillId="9" borderId="2" xfId="0" applyFont="1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4" fontId="3" fillId="0" borderId="0" xfId="0" applyNumberFormat="1" applyFont="1" applyAlignment="1">
      <alignment horizontal="right" vertical="center"/>
    </xf>
    <xf numFmtId="4" fontId="3" fillId="0" borderId="0" xfId="1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165" fontId="3" fillId="0" borderId="4" xfId="1" applyFont="1" applyBorder="1" applyAlignment="1">
      <alignment horizontal="right" vertical="center"/>
    </xf>
    <xf numFmtId="166" fontId="3" fillId="9" borderId="4" xfId="1" applyNumberFormat="1" applyFont="1" applyFill="1" applyBorder="1" applyAlignment="1">
      <alignment horizontal="right" vertical="center"/>
    </xf>
    <xf numFmtId="166" fontId="3" fillId="5" borderId="4" xfId="1" applyNumberFormat="1" applyFont="1" applyFill="1" applyBorder="1" applyAlignment="1">
      <alignment horizontal="right" vertical="center"/>
    </xf>
    <xf numFmtId="165" fontId="3" fillId="10" borderId="4" xfId="1" applyFont="1" applyFill="1" applyBorder="1" applyAlignment="1">
      <alignment horizontal="right" vertical="center"/>
    </xf>
    <xf numFmtId="0" fontId="3" fillId="0" borderId="9" xfId="0" applyFont="1" applyBorder="1" applyAlignment="1">
      <alignment horizontal="center"/>
    </xf>
    <xf numFmtId="0" fontId="3" fillId="0" borderId="9" xfId="0" applyFont="1" applyBorder="1" applyAlignment="1">
      <alignment horizontal="left"/>
    </xf>
    <xf numFmtId="165" fontId="3" fillId="0" borderId="9" xfId="1" applyFont="1" applyFill="1" applyBorder="1" applyAlignment="1">
      <alignment horizontal="right" vertical="center"/>
    </xf>
    <xf numFmtId="166" fontId="3" fillId="0" borderId="9" xfId="1" applyNumberFormat="1" applyFont="1" applyFill="1" applyBorder="1" applyAlignment="1">
      <alignment horizontal="right" vertical="center"/>
    </xf>
    <xf numFmtId="3" fontId="10" fillId="0" borderId="9" xfId="0" applyNumberFormat="1" applyFont="1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9" xfId="0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5" fontId="3" fillId="0" borderId="0" xfId="1" applyFont="1" applyFill="1" applyBorder="1" applyAlignment="1">
      <alignment horizontal="right" vertical="center"/>
    </xf>
    <xf numFmtId="166" fontId="3" fillId="0" borderId="0" xfId="1" applyNumberFormat="1" applyFont="1" applyFill="1" applyBorder="1" applyAlignment="1">
      <alignment horizontal="right" vertical="center"/>
    </xf>
    <xf numFmtId="3" fontId="10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13" fillId="11" borderId="1" xfId="0" applyFont="1" applyFill="1" applyBorder="1" applyAlignment="1">
      <alignment horizontal="center" vertical="center" wrapText="1"/>
    </xf>
    <xf numFmtId="4" fontId="3" fillId="0" borderId="1" xfId="0" quotePrefix="1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right" vertical="center"/>
    </xf>
    <xf numFmtId="3" fontId="0" fillId="0" borderId="0" xfId="0" applyNumberFormat="1"/>
    <xf numFmtId="167" fontId="0" fillId="0" borderId="0" xfId="0" applyNumberFormat="1"/>
    <xf numFmtId="0" fontId="11" fillId="12" borderId="2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11" fillId="13" borderId="2" xfId="0" applyFont="1" applyFill="1" applyBorder="1" applyAlignment="1">
      <alignment horizontal="center" vertical="center"/>
    </xf>
    <xf numFmtId="0" fontId="2" fillId="14" borderId="4" xfId="0" applyFont="1" applyFill="1" applyBorder="1" applyAlignment="1">
      <alignment horizontal="center" vertical="center" wrapText="1"/>
    </xf>
    <xf numFmtId="0" fontId="2" fillId="14" borderId="5" xfId="0" applyFont="1" applyFill="1" applyBorder="1" applyAlignment="1">
      <alignment horizontal="center" vertical="center" wrapText="1"/>
    </xf>
    <xf numFmtId="0" fontId="12" fillId="14" borderId="4" xfId="0" applyFont="1" applyFill="1" applyBorder="1" applyAlignment="1">
      <alignment horizontal="center" vertical="center" wrapText="1"/>
    </xf>
    <xf numFmtId="0" fontId="12" fillId="14" borderId="5" xfId="0" applyFont="1" applyFill="1" applyBorder="1" applyAlignment="1">
      <alignment horizontal="center" vertical="center" wrapText="1"/>
    </xf>
    <xf numFmtId="0" fontId="11" fillId="15" borderId="2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11" fillId="16" borderId="2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11" fillId="17" borderId="2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 wrapText="1"/>
    </xf>
    <xf numFmtId="0" fontId="11" fillId="19" borderId="2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 wrapText="1"/>
    </xf>
    <xf numFmtId="0" fontId="11" fillId="21" borderId="2" xfId="0" applyFont="1" applyFill="1" applyBorder="1" applyAlignment="1">
      <alignment horizontal="center" vertical="center"/>
    </xf>
  </cellXfs>
  <cellStyles count="16">
    <cellStyle name="Comma" xfId="1" builtinId="3"/>
    <cellStyle name="Comma [0] 2" xfId="2" xr:uid="{00000000-0005-0000-0000-000001000000}"/>
    <cellStyle name="Comma [0] 2 2" xfId="3" xr:uid="{00000000-0005-0000-0000-000002000000}"/>
    <cellStyle name="Comma [0] 3" xfId="4" xr:uid="{00000000-0005-0000-0000-000003000000}"/>
    <cellStyle name="Comma [0] 5 2" xfId="5" xr:uid="{00000000-0005-0000-0000-000004000000}"/>
    <cellStyle name="Comma 154" xfId="6" xr:uid="{00000000-0005-0000-0000-000005000000}"/>
    <cellStyle name="Comma 2" xfId="7" xr:uid="{00000000-0005-0000-0000-000006000000}"/>
    <cellStyle name="Normal" xfId="0" builtinId="0"/>
    <cellStyle name="Normal 11" xfId="8" xr:uid="{00000000-0005-0000-0000-000008000000}"/>
    <cellStyle name="Normal 12" xfId="9" xr:uid="{00000000-0005-0000-0000-000009000000}"/>
    <cellStyle name="Normal 13" xfId="10" xr:uid="{00000000-0005-0000-0000-00000A000000}"/>
    <cellStyle name="Normal 2" xfId="11" xr:uid="{00000000-0005-0000-0000-00000B000000}"/>
    <cellStyle name="Normal 2 32" xfId="12" xr:uid="{00000000-0005-0000-0000-00000C000000}"/>
    <cellStyle name="Normal 3" xfId="13" xr:uid="{00000000-0005-0000-0000-00000D000000}"/>
    <cellStyle name="Normal 5 3" xfId="14" xr:uid="{00000000-0005-0000-0000-00000E000000}"/>
    <cellStyle name="Normal 7" xfId="15" xr:uid="{00000000-0005-0000-0000-00000F000000}"/>
  </cellStyles>
  <dxfs count="0"/>
  <tableStyles count="0" defaultTableStyle="TableStyleMedium9" defaultPivotStyle="PivotStyleLight16"/>
  <colors>
    <mruColors>
      <color rgb="FFFFFF7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INKPAD/.gemini/antigravity/scratch/dss-fsva/public/Form_Analisis_2026_Kab_Ver2/Form%20Analisis%202026_Kabupaten%20Kota_Ver2/0.%20Form%20Validasi%20Data%20FSVA%20Kabupaten%20Kota%202026%20ver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.1 Produksi Pangan &amp; Penduduk"/>
      <sheetName val="0.2 Konsumsi Energi"/>
      <sheetName val="0.3 Konsumsi Protein Hewani"/>
      <sheetName val="0.4 Stok_Cadangan"/>
      <sheetName val="0.5 Indikator Keterjangkauan"/>
      <sheetName val="0.6 Indikator Pemanfaatan"/>
    </sheetNames>
    <sheetDataSet>
      <sheetData sheetId="0">
        <row r="5">
          <cell r="D5" t="str">
            <v>Kode Desa/Kelurahan Kemendagri</v>
          </cell>
          <cell r="E5" t="str">
            <v>Kode Desa/Kelurahan BPS</v>
          </cell>
          <cell r="F5" t="str">
            <v>Nama Desa/Kelurahan</v>
          </cell>
          <cell r="G5" t="str">
            <v>Sumber: 
Dinas Pertanian</v>
          </cell>
          <cell r="H5" t="str">
            <v xml:space="preserve">Sumber: 
BPS </v>
          </cell>
          <cell r="I5" t="str">
            <v>Sumber: 
Validasi Desa</v>
          </cell>
          <cell r="J5" t="str">
            <v>KESEPAKATAN: Data yang Dipakai di FSVA</v>
          </cell>
          <cell r="K5" t="str">
            <v>Keterangan</v>
          </cell>
          <cell r="M5" t="str">
            <v>KESEPAKATAN: Data yang Dipakai di FSVA</v>
          </cell>
          <cell r="N5" t="str">
            <v>Keterangan</v>
          </cell>
          <cell r="P5" t="str">
            <v>Sumber: 
Dinas Pertanian</v>
          </cell>
          <cell r="Q5" t="str">
            <v xml:space="preserve">Sumber: 
BPS </v>
          </cell>
          <cell r="R5" t="str">
            <v>Sumber: 
Validasi Desa</v>
          </cell>
          <cell r="S5" t="str">
            <v>KESEPAKATAN: Data yang Dipakai di FSVA</v>
          </cell>
          <cell r="T5" t="str">
            <v>Keterangan</v>
          </cell>
          <cell r="V5" t="str">
            <v>Sumber: 
Dinas Pertanian</v>
          </cell>
          <cell r="W5" t="str">
            <v xml:space="preserve">Sumber: 
BPS </v>
          </cell>
          <cell r="X5" t="str">
            <v>Sumber: 
Validasi Desa</v>
          </cell>
          <cell r="Y5" t="str">
            <v>KESEPAKATAN: Data yang Dipakai di FSVA</v>
          </cell>
          <cell r="Z5" t="str">
            <v>Keterangan</v>
          </cell>
          <cell r="AB5" t="str">
            <v>Sumber: 
Dinas Pertanian</v>
          </cell>
          <cell r="AC5" t="str">
            <v xml:space="preserve">Sumber: 
BPS </v>
          </cell>
          <cell r="AD5" t="str">
            <v>Sumber: 
Validasi Desa</v>
          </cell>
          <cell r="AE5" t="str">
            <v>KESEPAKATAN: Data yang Dipakai di FSVA</v>
          </cell>
          <cell r="AF5" t="str">
            <v>Keterangan</v>
          </cell>
          <cell r="AH5" t="str">
            <v>Sumber: 
Dinas Pertanian</v>
          </cell>
          <cell r="AI5" t="str">
            <v xml:space="preserve">Sumber: 
BPS </v>
          </cell>
          <cell r="AJ5" t="str">
            <v>Sumber: 
Validasi Desa</v>
          </cell>
          <cell r="AK5" t="str">
            <v>KESEPAKATAN: Data yang Dipakai di FSVA</v>
          </cell>
          <cell r="AL5" t="str">
            <v>Keterangan</v>
          </cell>
          <cell r="AN5" t="str">
            <v>Sumber: 
Dinas Pertanian</v>
          </cell>
          <cell r="AO5" t="str">
            <v xml:space="preserve">Sumber: 
BPS </v>
          </cell>
          <cell r="AP5" t="str">
            <v>Sumber: 
Validasi Desa</v>
          </cell>
          <cell r="AQ5" t="str">
            <v>KESEPAKATAN: Data yang Dipakai di FSVA</v>
          </cell>
          <cell r="AR5" t="str">
            <v>Keterangan</v>
          </cell>
          <cell r="AT5" t="str">
            <v>Sumber: 
Dinas Dukcapil</v>
          </cell>
          <cell r="AU5" t="str">
            <v>KESEPAKATAN: Data yang Dipakai di FSVA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59999389629810485"/>
  </sheetPr>
  <dimension ref="A1:V859"/>
  <sheetViews>
    <sheetView showGridLines="0" tabSelected="1"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sqref="A1:H1"/>
    </sheetView>
  </sheetViews>
  <sheetFormatPr defaultRowHeight="13.2" x14ac:dyDescent="0.25"/>
  <cols>
    <col min="1" max="1" width="6.44140625" customWidth="1"/>
    <col min="2" max="2" width="24.21875" customWidth="1"/>
    <col min="3" max="3" width="28.77734375" customWidth="1"/>
    <col min="4" max="5" width="20.6640625" customWidth="1"/>
    <col min="6" max="6" width="18.6640625" customWidth="1"/>
    <col min="7" max="10" width="14.109375" customWidth="1"/>
    <col min="11" max="11" width="18.6640625" customWidth="1"/>
    <col min="12" max="12" width="18.6640625" style="62" customWidth="1"/>
    <col min="13" max="13" width="18.6640625" customWidth="1"/>
    <col min="14" max="16" width="14.109375" customWidth="1"/>
    <col min="17" max="17" width="18.6640625" customWidth="1"/>
    <col min="20" max="21" width="11.77734375" bestFit="1" customWidth="1"/>
    <col min="22" max="22" width="9.6640625" bestFit="1" customWidth="1"/>
  </cols>
  <sheetData>
    <row r="1" spans="1:22" ht="30" customHeight="1" x14ac:dyDescent="0.25">
      <c r="A1" s="63" t="s">
        <v>69</v>
      </c>
      <c r="B1" s="63"/>
      <c r="C1" s="63"/>
      <c r="D1" s="63"/>
      <c r="E1" s="63"/>
      <c r="F1" s="63"/>
      <c r="G1" s="63"/>
      <c r="H1" s="63"/>
      <c r="I1" s="33" t="s">
        <v>64</v>
      </c>
      <c r="J1" s="33"/>
      <c r="K1" s="34" t="str">
        <f>IF('[1]0.1 Produksi Pangan &amp; Penduduk'!$C$3="","",'[1]0.1 Produksi Pangan &amp; Penduduk'!$C$3)</f>
        <v/>
      </c>
      <c r="L1" s="10"/>
      <c r="M1" s="17"/>
      <c r="N1" s="12"/>
      <c r="O1" s="12"/>
      <c r="P1" s="12"/>
      <c r="Q1" s="12"/>
    </row>
    <row r="2" spans="1:22" ht="16.05" customHeight="1" x14ac:dyDescent="0.25">
      <c r="A2" s="64" t="s">
        <v>15</v>
      </c>
      <c r="B2" s="64" t="s">
        <v>67</v>
      </c>
      <c r="C2" s="64" t="s">
        <v>68</v>
      </c>
      <c r="D2" s="64" t="s">
        <v>65</v>
      </c>
      <c r="E2" s="64" t="s">
        <v>66</v>
      </c>
      <c r="F2" s="64" t="s">
        <v>38</v>
      </c>
      <c r="G2" s="67" t="s">
        <v>36</v>
      </c>
      <c r="H2" s="68"/>
      <c r="I2" s="68"/>
      <c r="J2" s="69"/>
      <c r="K2" s="64" t="s">
        <v>41</v>
      </c>
      <c r="L2" s="65" t="s">
        <v>37</v>
      </c>
      <c r="M2" s="64" t="s">
        <v>30</v>
      </c>
      <c r="N2" s="67" t="s">
        <v>40</v>
      </c>
      <c r="O2" s="68"/>
      <c r="P2" s="69"/>
      <c r="Q2" s="64" t="s">
        <v>19</v>
      </c>
    </row>
    <row r="3" spans="1:22" ht="57.45" customHeight="1" x14ac:dyDescent="0.25">
      <c r="A3" s="64"/>
      <c r="B3" s="64"/>
      <c r="C3" s="64"/>
      <c r="D3" s="64"/>
      <c r="E3" s="64"/>
      <c r="F3" s="64"/>
      <c r="G3" s="18" t="s">
        <v>42</v>
      </c>
      <c r="H3" s="18" t="s">
        <v>43</v>
      </c>
      <c r="I3" s="18" t="s">
        <v>44</v>
      </c>
      <c r="J3" s="18" t="s">
        <v>82</v>
      </c>
      <c r="K3" s="64"/>
      <c r="L3" s="66"/>
      <c r="M3" s="64"/>
      <c r="N3" s="18" t="s">
        <v>20</v>
      </c>
      <c r="O3" s="18" t="s">
        <v>21</v>
      </c>
      <c r="P3" s="18" t="s">
        <v>84</v>
      </c>
      <c r="Q3" s="64"/>
    </row>
    <row r="4" spans="1:22" ht="16.05" customHeight="1" x14ac:dyDescent="0.25">
      <c r="A4" s="64"/>
      <c r="B4" s="64"/>
      <c r="C4" s="64"/>
      <c r="D4" s="64"/>
      <c r="E4" s="64"/>
      <c r="F4" s="18" t="s">
        <v>39</v>
      </c>
      <c r="G4" s="18" t="s">
        <v>2</v>
      </c>
      <c r="H4" s="18" t="s">
        <v>3</v>
      </c>
      <c r="I4" s="18" t="s">
        <v>1</v>
      </c>
      <c r="J4" s="18" t="s">
        <v>83</v>
      </c>
      <c r="K4" s="18" t="s">
        <v>45</v>
      </c>
      <c r="L4" s="18" t="s">
        <v>46</v>
      </c>
      <c r="M4" s="18" t="s">
        <v>4</v>
      </c>
      <c r="N4" s="58" t="s">
        <v>22</v>
      </c>
      <c r="O4" s="58" t="s">
        <v>23</v>
      </c>
      <c r="P4" s="58" t="s">
        <v>85</v>
      </c>
      <c r="Q4" s="18" t="s">
        <v>47</v>
      </c>
    </row>
    <row r="5" spans="1:22" ht="15" customHeight="1" x14ac:dyDescent="0.25">
      <c r="A5" s="3" t="str">
        <f>IF('[1]0.1 Produksi Pangan &amp; Penduduk'!A6="","",'[1]0.1 Produksi Pangan &amp; Penduduk'!A6)</f>
        <v/>
      </c>
      <c r="B5" s="2" t="str">
        <f>IF('[1]0.1 Produksi Pangan &amp; Penduduk'!B6="","",'[1]0.1 Produksi Pangan &amp; Penduduk'!B6)</f>
        <v/>
      </c>
      <c r="C5" s="2" t="str">
        <f>IF('[1]0.1 Produksi Pangan &amp; Penduduk'!F6="","",'[1]0.1 Produksi Pangan &amp; Penduduk'!F6)</f>
        <v/>
      </c>
      <c r="D5" s="3" t="str">
        <f>IF('[1]0.1 Produksi Pangan &amp; Penduduk'!D6="","",'[1]0.1 Produksi Pangan &amp; Penduduk'!D6)</f>
        <v/>
      </c>
      <c r="E5" s="3" t="str">
        <f>IF('[1]0.1 Produksi Pangan &amp; Penduduk'!E6="","",'[1]0.1 Produksi Pangan &amp; Penduduk'!E6)</f>
        <v/>
      </c>
      <c r="F5" s="59" t="str">
        <f>IF(D5="","",VLOOKUP(D5,'[1]0.1 Produksi Pangan &amp; Penduduk'!$D$5:$J$860,7,0))</f>
        <v/>
      </c>
      <c r="G5" s="27" t="str">
        <f>IF(F5="","",F5*0.9%)</f>
        <v/>
      </c>
      <c r="H5" s="27" t="str">
        <f>IF(F5="","",F5*0.44%)</f>
        <v/>
      </c>
      <c r="I5" s="27" t="str">
        <f>IF(F5="","",F5*4.92%)</f>
        <v/>
      </c>
      <c r="J5" s="27" t="str">
        <f>IF(F5="","",F5*0.56%)</f>
        <v/>
      </c>
      <c r="K5" s="27" t="str">
        <f>IF(F5="","",F5-(G5+H5+I5+J5))</f>
        <v/>
      </c>
      <c r="L5" s="59" t="str">
        <f>IF(D5="","",VLOOKUP(D5,'[1]0.1 Produksi Pangan &amp; Penduduk'!$D$5:$M$860,10,0))</f>
        <v/>
      </c>
      <c r="M5" s="28" t="str">
        <f>IFERROR(K5*L5,"")</f>
        <v/>
      </c>
      <c r="N5" s="60" t="str">
        <f>IF(M5="","",M5*0.17%)</f>
        <v/>
      </c>
      <c r="O5" s="60" t="str">
        <f>IF(M5="","",M5*2.5%)</f>
        <v/>
      </c>
      <c r="P5" s="60" t="str">
        <f>IF(M5="","",M5*0.66%)</f>
        <v/>
      </c>
      <c r="Q5" s="28" t="str">
        <f>IF(M5="","",M5-(N5+O5+P5))</f>
        <v/>
      </c>
      <c r="T5" s="61"/>
      <c r="U5" s="61"/>
      <c r="V5" s="61"/>
    </row>
    <row r="6" spans="1:22" ht="15" x14ac:dyDescent="0.25">
      <c r="A6" s="3" t="str">
        <f>IF('[1]0.1 Produksi Pangan &amp; Penduduk'!A7="","",'[1]0.1 Produksi Pangan &amp; Penduduk'!A7)</f>
        <v/>
      </c>
      <c r="B6" s="2" t="str">
        <f>IF('[1]0.1 Produksi Pangan &amp; Penduduk'!B7="","",'[1]0.1 Produksi Pangan &amp; Penduduk'!B7)</f>
        <v/>
      </c>
      <c r="C6" s="2" t="str">
        <f>IF('[1]0.1 Produksi Pangan &amp; Penduduk'!F7="","",'[1]0.1 Produksi Pangan &amp; Penduduk'!F7)</f>
        <v/>
      </c>
      <c r="D6" s="3" t="str">
        <f>IF('[1]0.1 Produksi Pangan &amp; Penduduk'!D7="","",'[1]0.1 Produksi Pangan &amp; Penduduk'!D7)</f>
        <v/>
      </c>
      <c r="E6" s="3" t="str">
        <f>IF('[1]0.1 Produksi Pangan &amp; Penduduk'!E7="","",'[1]0.1 Produksi Pangan &amp; Penduduk'!E7)</f>
        <v/>
      </c>
      <c r="F6" s="59" t="str">
        <f>IF(D6="","",VLOOKUP(D6,'[1]0.1 Produksi Pangan &amp; Penduduk'!$D$5:$J$860,7,0))</f>
        <v/>
      </c>
      <c r="G6" s="27" t="str">
        <f t="shared" ref="G6:G69" si="0">IF(F6="","",F6*0.9%)</f>
        <v/>
      </c>
      <c r="H6" s="27" t="str">
        <f t="shared" ref="H6:H69" si="1">IF(F6="","",F6*0.44%)</f>
        <v/>
      </c>
      <c r="I6" s="27" t="str">
        <f t="shared" ref="I6:I69" si="2">IF(F6="","",F6*4.92%)</f>
        <v/>
      </c>
      <c r="J6" s="27" t="str">
        <f t="shared" ref="J6:J69" si="3">IF(F6="","",F6*0.56%)</f>
        <v/>
      </c>
      <c r="K6" s="27" t="str">
        <f t="shared" ref="K6:K69" si="4">IF(F6="","",F6-(G6+H6+I6+J6))</f>
        <v/>
      </c>
      <c r="L6" s="59" t="str">
        <f>IF(D6="","",VLOOKUP(D6,'[1]0.1 Produksi Pangan &amp; Penduduk'!$D$5:$M$860,10,0))</f>
        <v/>
      </c>
      <c r="M6" s="28" t="str">
        <f t="shared" ref="M6:M69" si="5">IFERROR(K6*L6,"")</f>
        <v/>
      </c>
      <c r="N6" s="60" t="str">
        <f t="shared" ref="N6:N69" si="6">IF(M6="","",M6*0.17%)</f>
        <v/>
      </c>
      <c r="O6" s="60" t="str">
        <f t="shared" ref="O6:O69" si="7">IF(M6="","",M6*2.5%)</f>
        <v/>
      </c>
      <c r="P6" s="60" t="str">
        <f t="shared" ref="P6:P69" si="8">IF(M6="","",M6*0.66%)</f>
        <v/>
      </c>
      <c r="Q6" s="28" t="str">
        <f t="shared" ref="Q6:Q69" si="9">IF(M6="","",M6-(N6+O6+P6))</f>
        <v/>
      </c>
    </row>
    <row r="7" spans="1:22" ht="15" x14ac:dyDescent="0.25">
      <c r="A7" s="3" t="str">
        <f>IF('[1]0.1 Produksi Pangan &amp; Penduduk'!A8="","",'[1]0.1 Produksi Pangan &amp; Penduduk'!A8)</f>
        <v/>
      </c>
      <c r="B7" s="2" t="str">
        <f>IF('[1]0.1 Produksi Pangan &amp; Penduduk'!B8="","",'[1]0.1 Produksi Pangan &amp; Penduduk'!B8)</f>
        <v/>
      </c>
      <c r="C7" s="2" t="str">
        <f>IF('[1]0.1 Produksi Pangan &amp; Penduduk'!F8="","",'[1]0.1 Produksi Pangan &amp; Penduduk'!F8)</f>
        <v/>
      </c>
      <c r="D7" s="3" t="str">
        <f>IF('[1]0.1 Produksi Pangan &amp; Penduduk'!D8="","",'[1]0.1 Produksi Pangan &amp; Penduduk'!D8)</f>
        <v/>
      </c>
      <c r="E7" s="3" t="str">
        <f>IF('[1]0.1 Produksi Pangan &amp; Penduduk'!E8="","",'[1]0.1 Produksi Pangan &amp; Penduduk'!E8)</f>
        <v/>
      </c>
      <c r="F7" s="59" t="str">
        <f>IF(D7="","",VLOOKUP(D7,'[1]0.1 Produksi Pangan &amp; Penduduk'!$D$5:$J$860,7,0))</f>
        <v/>
      </c>
      <c r="G7" s="27" t="str">
        <f t="shared" si="0"/>
        <v/>
      </c>
      <c r="H7" s="27" t="str">
        <f t="shared" si="1"/>
        <v/>
      </c>
      <c r="I7" s="27" t="str">
        <f t="shared" si="2"/>
        <v/>
      </c>
      <c r="J7" s="27" t="str">
        <f t="shared" si="3"/>
        <v/>
      </c>
      <c r="K7" s="27" t="str">
        <f t="shared" si="4"/>
        <v/>
      </c>
      <c r="L7" s="59" t="str">
        <f>IF(D7="","",VLOOKUP(D7,'[1]0.1 Produksi Pangan &amp; Penduduk'!$D$5:$M$860,10,0))</f>
        <v/>
      </c>
      <c r="M7" s="28" t="str">
        <f t="shared" si="5"/>
        <v/>
      </c>
      <c r="N7" s="60" t="str">
        <f t="shared" si="6"/>
        <v/>
      </c>
      <c r="O7" s="60" t="str">
        <f t="shared" si="7"/>
        <v/>
      </c>
      <c r="P7" s="60" t="str">
        <f t="shared" si="8"/>
        <v/>
      </c>
      <c r="Q7" s="28" t="str">
        <f t="shared" si="9"/>
        <v/>
      </c>
    </row>
    <row r="8" spans="1:22" ht="15" x14ac:dyDescent="0.25">
      <c r="A8" s="3" t="str">
        <f>IF('[1]0.1 Produksi Pangan &amp; Penduduk'!A9="","",'[1]0.1 Produksi Pangan &amp; Penduduk'!A9)</f>
        <v/>
      </c>
      <c r="B8" s="2" t="str">
        <f>IF('[1]0.1 Produksi Pangan &amp; Penduduk'!B9="","",'[1]0.1 Produksi Pangan &amp; Penduduk'!B9)</f>
        <v/>
      </c>
      <c r="C8" s="2" t="str">
        <f>IF('[1]0.1 Produksi Pangan &amp; Penduduk'!F9="","",'[1]0.1 Produksi Pangan &amp; Penduduk'!F9)</f>
        <v/>
      </c>
      <c r="D8" s="3" t="str">
        <f>IF('[1]0.1 Produksi Pangan &amp; Penduduk'!D9="","",'[1]0.1 Produksi Pangan &amp; Penduduk'!D9)</f>
        <v/>
      </c>
      <c r="E8" s="3" t="str">
        <f>IF('[1]0.1 Produksi Pangan &amp; Penduduk'!E9="","",'[1]0.1 Produksi Pangan &amp; Penduduk'!E9)</f>
        <v/>
      </c>
      <c r="F8" s="59" t="str">
        <f>IF(D8="","",VLOOKUP(D8,'[1]0.1 Produksi Pangan &amp; Penduduk'!$D$5:$J$860,7,0))</f>
        <v/>
      </c>
      <c r="G8" s="27" t="str">
        <f t="shared" si="0"/>
        <v/>
      </c>
      <c r="H8" s="27" t="str">
        <f t="shared" si="1"/>
        <v/>
      </c>
      <c r="I8" s="27" t="str">
        <f t="shared" si="2"/>
        <v/>
      </c>
      <c r="J8" s="27" t="str">
        <f t="shared" si="3"/>
        <v/>
      </c>
      <c r="K8" s="27" t="str">
        <f t="shared" si="4"/>
        <v/>
      </c>
      <c r="L8" s="59" t="str">
        <f>IF(D8="","",VLOOKUP(D8,'[1]0.1 Produksi Pangan &amp; Penduduk'!$D$5:$M$860,10,0))</f>
        <v/>
      </c>
      <c r="M8" s="28" t="str">
        <f t="shared" si="5"/>
        <v/>
      </c>
      <c r="N8" s="60" t="str">
        <f t="shared" si="6"/>
        <v/>
      </c>
      <c r="O8" s="60" t="str">
        <f t="shared" si="7"/>
        <v/>
      </c>
      <c r="P8" s="60" t="str">
        <f t="shared" si="8"/>
        <v/>
      </c>
      <c r="Q8" s="28" t="str">
        <f t="shared" si="9"/>
        <v/>
      </c>
    </row>
    <row r="9" spans="1:22" ht="15" x14ac:dyDescent="0.25">
      <c r="A9" s="3" t="str">
        <f>IF('[1]0.1 Produksi Pangan &amp; Penduduk'!A10="","",'[1]0.1 Produksi Pangan &amp; Penduduk'!A10)</f>
        <v/>
      </c>
      <c r="B9" s="2" t="str">
        <f>IF('[1]0.1 Produksi Pangan &amp; Penduduk'!B10="","",'[1]0.1 Produksi Pangan &amp; Penduduk'!B10)</f>
        <v/>
      </c>
      <c r="C9" s="2" t="str">
        <f>IF('[1]0.1 Produksi Pangan &amp; Penduduk'!F10="","",'[1]0.1 Produksi Pangan &amp; Penduduk'!F10)</f>
        <v/>
      </c>
      <c r="D9" s="3" t="str">
        <f>IF('[1]0.1 Produksi Pangan &amp; Penduduk'!D10="","",'[1]0.1 Produksi Pangan &amp; Penduduk'!D10)</f>
        <v/>
      </c>
      <c r="E9" s="3" t="str">
        <f>IF('[1]0.1 Produksi Pangan &amp; Penduduk'!E10="","",'[1]0.1 Produksi Pangan &amp; Penduduk'!E10)</f>
        <v/>
      </c>
      <c r="F9" s="59" t="str">
        <f>IF(D9="","",VLOOKUP(D9,'[1]0.1 Produksi Pangan &amp; Penduduk'!$D$5:$J$860,7,0))</f>
        <v/>
      </c>
      <c r="G9" s="27" t="str">
        <f t="shared" si="0"/>
        <v/>
      </c>
      <c r="H9" s="27" t="str">
        <f t="shared" si="1"/>
        <v/>
      </c>
      <c r="I9" s="27" t="str">
        <f t="shared" si="2"/>
        <v/>
      </c>
      <c r="J9" s="27" t="str">
        <f t="shared" si="3"/>
        <v/>
      </c>
      <c r="K9" s="27" t="str">
        <f t="shared" si="4"/>
        <v/>
      </c>
      <c r="L9" s="59" t="str">
        <f>IF(D9="","",VLOOKUP(D9,'[1]0.1 Produksi Pangan &amp; Penduduk'!$D$5:$M$860,10,0))</f>
        <v/>
      </c>
      <c r="M9" s="28" t="str">
        <f t="shared" si="5"/>
        <v/>
      </c>
      <c r="N9" s="60" t="str">
        <f t="shared" si="6"/>
        <v/>
      </c>
      <c r="O9" s="60" t="str">
        <f t="shared" si="7"/>
        <v/>
      </c>
      <c r="P9" s="60" t="str">
        <f t="shared" si="8"/>
        <v/>
      </c>
      <c r="Q9" s="28" t="str">
        <f t="shared" si="9"/>
        <v/>
      </c>
    </row>
    <row r="10" spans="1:22" ht="15" x14ac:dyDescent="0.25">
      <c r="A10" s="3" t="str">
        <f>IF('[1]0.1 Produksi Pangan &amp; Penduduk'!A11="","",'[1]0.1 Produksi Pangan &amp; Penduduk'!A11)</f>
        <v/>
      </c>
      <c r="B10" s="2" t="str">
        <f>IF('[1]0.1 Produksi Pangan &amp; Penduduk'!B11="","",'[1]0.1 Produksi Pangan &amp; Penduduk'!B11)</f>
        <v/>
      </c>
      <c r="C10" s="2" t="str">
        <f>IF('[1]0.1 Produksi Pangan &amp; Penduduk'!F11="","",'[1]0.1 Produksi Pangan &amp; Penduduk'!F11)</f>
        <v/>
      </c>
      <c r="D10" s="3" t="str">
        <f>IF('[1]0.1 Produksi Pangan &amp; Penduduk'!D11="","",'[1]0.1 Produksi Pangan &amp; Penduduk'!D11)</f>
        <v/>
      </c>
      <c r="E10" s="3" t="str">
        <f>IF('[1]0.1 Produksi Pangan &amp; Penduduk'!E11="","",'[1]0.1 Produksi Pangan &amp; Penduduk'!E11)</f>
        <v/>
      </c>
      <c r="F10" s="59" t="str">
        <f>IF(D10="","",VLOOKUP(D10,'[1]0.1 Produksi Pangan &amp; Penduduk'!$D$5:$J$860,7,0))</f>
        <v/>
      </c>
      <c r="G10" s="27" t="str">
        <f t="shared" si="0"/>
        <v/>
      </c>
      <c r="H10" s="27" t="str">
        <f t="shared" si="1"/>
        <v/>
      </c>
      <c r="I10" s="27" t="str">
        <f t="shared" si="2"/>
        <v/>
      </c>
      <c r="J10" s="27" t="str">
        <f t="shared" si="3"/>
        <v/>
      </c>
      <c r="K10" s="27" t="str">
        <f t="shared" si="4"/>
        <v/>
      </c>
      <c r="L10" s="59" t="str">
        <f>IF(D10="","",VLOOKUP(D10,'[1]0.1 Produksi Pangan &amp; Penduduk'!$D$5:$M$860,10,0))</f>
        <v/>
      </c>
      <c r="M10" s="28" t="str">
        <f t="shared" si="5"/>
        <v/>
      </c>
      <c r="N10" s="60" t="str">
        <f t="shared" si="6"/>
        <v/>
      </c>
      <c r="O10" s="60" t="str">
        <f t="shared" si="7"/>
        <v/>
      </c>
      <c r="P10" s="60" t="str">
        <f t="shared" si="8"/>
        <v/>
      </c>
      <c r="Q10" s="28" t="str">
        <f t="shared" si="9"/>
        <v/>
      </c>
    </row>
    <row r="11" spans="1:22" ht="15" x14ac:dyDescent="0.25">
      <c r="A11" s="3" t="str">
        <f>IF('[1]0.1 Produksi Pangan &amp; Penduduk'!A12="","",'[1]0.1 Produksi Pangan &amp; Penduduk'!A12)</f>
        <v/>
      </c>
      <c r="B11" s="2" t="str">
        <f>IF('[1]0.1 Produksi Pangan &amp; Penduduk'!B12="","",'[1]0.1 Produksi Pangan &amp; Penduduk'!B12)</f>
        <v/>
      </c>
      <c r="C11" s="2" t="str">
        <f>IF('[1]0.1 Produksi Pangan &amp; Penduduk'!F12="","",'[1]0.1 Produksi Pangan &amp; Penduduk'!F12)</f>
        <v/>
      </c>
      <c r="D11" s="3" t="str">
        <f>IF('[1]0.1 Produksi Pangan &amp; Penduduk'!D12="","",'[1]0.1 Produksi Pangan &amp; Penduduk'!D12)</f>
        <v/>
      </c>
      <c r="E11" s="3" t="str">
        <f>IF('[1]0.1 Produksi Pangan &amp; Penduduk'!E12="","",'[1]0.1 Produksi Pangan &amp; Penduduk'!E12)</f>
        <v/>
      </c>
      <c r="F11" s="59" t="str">
        <f>IF(D11="","",VLOOKUP(D11,'[1]0.1 Produksi Pangan &amp; Penduduk'!$D$5:$J$860,7,0))</f>
        <v/>
      </c>
      <c r="G11" s="27" t="str">
        <f t="shared" si="0"/>
        <v/>
      </c>
      <c r="H11" s="27" t="str">
        <f t="shared" si="1"/>
        <v/>
      </c>
      <c r="I11" s="27" t="str">
        <f t="shared" si="2"/>
        <v/>
      </c>
      <c r="J11" s="27" t="str">
        <f t="shared" si="3"/>
        <v/>
      </c>
      <c r="K11" s="27" t="str">
        <f t="shared" si="4"/>
        <v/>
      </c>
      <c r="L11" s="59" t="str">
        <f>IF(D11="","",VLOOKUP(D11,'[1]0.1 Produksi Pangan &amp; Penduduk'!$D$5:$M$860,10,0))</f>
        <v/>
      </c>
      <c r="M11" s="28" t="str">
        <f t="shared" si="5"/>
        <v/>
      </c>
      <c r="N11" s="60" t="str">
        <f t="shared" si="6"/>
        <v/>
      </c>
      <c r="O11" s="60" t="str">
        <f t="shared" si="7"/>
        <v/>
      </c>
      <c r="P11" s="60" t="str">
        <f t="shared" si="8"/>
        <v/>
      </c>
      <c r="Q11" s="28" t="str">
        <f t="shared" si="9"/>
        <v/>
      </c>
    </row>
    <row r="12" spans="1:22" ht="15" x14ac:dyDescent="0.25">
      <c r="A12" s="3" t="str">
        <f>IF('[1]0.1 Produksi Pangan &amp; Penduduk'!A13="","",'[1]0.1 Produksi Pangan &amp; Penduduk'!A13)</f>
        <v/>
      </c>
      <c r="B12" s="2" t="str">
        <f>IF('[1]0.1 Produksi Pangan &amp; Penduduk'!B13="","",'[1]0.1 Produksi Pangan &amp; Penduduk'!B13)</f>
        <v/>
      </c>
      <c r="C12" s="2" t="str">
        <f>IF('[1]0.1 Produksi Pangan &amp; Penduduk'!F13="","",'[1]0.1 Produksi Pangan &amp; Penduduk'!F13)</f>
        <v/>
      </c>
      <c r="D12" s="3" t="str">
        <f>IF('[1]0.1 Produksi Pangan &amp; Penduduk'!D13="","",'[1]0.1 Produksi Pangan &amp; Penduduk'!D13)</f>
        <v/>
      </c>
      <c r="E12" s="3" t="str">
        <f>IF('[1]0.1 Produksi Pangan &amp; Penduduk'!E13="","",'[1]0.1 Produksi Pangan &amp; Penduduk'!E13)</f>
        <v/>
      </c>
      <c r="F12" s="59" t="str">
        <f>IF(D12="","",VLOOKUP(D12,'[1]0.1 Produksi Pangan &amp; Penduduk'!$D$5:$J$860,7,0))</f>
        <v/>
      </c>
      <c r="G12" s="27" t="str">
        <f t="shared" si="0"/>
        <v/>
      </c>
      <c r="H12" s="27" t="str">
        <f t="shared" si="1"/>
        <v/>
      </c>
      <c r="I12" s="27" t="str">
        <f t="shared" si="2"/>
        <v/>
      </c>
      <c r="J12" s="27" t="str">
        <f t="shared" si="3"/>
        <v/>
      </c>
      <c r="K12" s="27" t="str">
        <f t="shared" si="4"/>
        <v/>
      </c>
      <c r="L12" s="59" t="str">
        <f>IF(D12="","",VLOOKUP(D12,'[1]0.1 Produksi Pangan &amp; Penduduk'!$D$5:$M$860,10,0))</f>
        <v/>
      </c>
      <c r="M12" s="28" t="str">
        <f t="shared" si="5"/>
        <v/>
      </c>
      <c r="N12" s="60" t="str">
        <f t="shared" si="6"/>
        <v/>
      </c>
      <c r="O12" s="60" t="str">
        <f t="shared" si="7"/>
        <v/>
      </c>
      <c r="P12" s="60" t="str">
        <f t="shared" si="8"/>
        <v/>
      </c>
      <c r="Q12" s="28" t="str">
        <f t="shared" si="9"/>
        <v/>
      </c>
    </row>
    <row r="13" spans="1:22" ht="15" x14ac:dyDescent="0.25">
      <c r="A13" s="3" t="str">
        <f>IF('[1]0.1 Produksi Pangan &amp; Penduduk'!A14="","",'[1]0.1 Produksi Pangan &amp; Penduduk'!A14)</f>
        <v/>
      </c>
      <c r="B13" s="2" t="str">
        <f>IF('[1]0.1 Produksi Pangan &amp; Penduduk'!B14="","",'[1]0.1 Produksi Pangan &amp; Penduduk'!B14)</f>
        <v/>
      </c>
      <c r="C13" s="2" t="str">
        <f>IF('[1]0.1 Produksi Pangan &amp; Penduduk'!F14="","",'[1]0.1 Produksi Pangan &amp; Penduduk'!F14)</f>
        <v/>
      </c>
      <c r="D13" s="3" t="str">
        <f>IF('[1]0.1 Produksi Pangan &amp; Penduduk'!D14="","",'[1]0.1 Produksi Pangan &amp; Penduduk'!D14)</f>
        <v/>
      </c>
      <c r="E13" s="3" t="str">
        <f>IF('[1]0.1 Produksi Pangan &amp; Penduduk'!E14="","",'[1]0.1 Produksi Pangan &amp; Penduduk'!E14)</f>
        <v/>
      </c>
      <c r="F13" s="59" t="str">
        <f>IF(D13="","",VLOOKUP(D13,'[1]0.1 Produksi Pangan &amp; Penduduk'!$D$5:$J$860,7,0))</f>
        <v/>
      </c>
      <c r="G13" s="27" t="str">
        <f t="shared" si="0"/>
        <v/>
      </c>
      <c r="H13" s="27" t="str">
        <f t="shared" si="1"/>
        <v/>
      </c>
      <c r="I13" s="27" t="str">
        <f t="shared" si="2"/>
        <v/>
      </c>
      <c r="J13" s="27" t="str">
        <f t="shared" si="3"/>
        <v/>
      </c>
      <c r="K13" s="27" t="str">
        <f t="shared" si="4"/>
        <v/>
      </c>
      <c r="L13" s="59" t="str">
        <f>IF(D13="","",VLOOKUP(D13,'[1]0.1 Produksi Pangan &amp; Penduduk'!$D$5:$M$860,10,0))</f>
        <v/>
      </c>
      <c r="M13" s="28" t="str">
        <f t="shared" si="5"/>
        <v/>
      </c>
      <c r="N13" s="60" t="str">
        <f t="shared" si="6"/>
        <v/>
      </c>
      <c r="O13" s="60" t="str">
        <f t="shared" si="7"/>
        <v/>
      </c>
      <c r="P13" s="60" t="str">
        <f t="shared" si="8"/>
        <v/>
      </c>
      <c r="Q13" s="28" t="str">
        <f t="shared" si="9"/>
        <v/>
      </c>
    </row>
    <row r="14" spans="1:22" ht="15" x14ac:dyDescent="0.25">
      <c r="A14" s="3" t="str">
        <f>IF('[1]0.1 Produksi Pangan &amp; Penduduk'!A15="","",'[1]0.1 Produksi Pangan &amp; Penduduk'!A15)</f>
        <v/>
      </c>
      <c r="B14" s="2" t="str">
        <f>IF('[1]0.1 Produksi Pangan &amp; Penduduk'!B15="","",'[1]0.1 Produksi Pangan &amp; Penduduk'!B15)</f>
        <v/>
      </c>
      <c r="C14" s="2" t="str">
        <f>IF('[1]0.1 Produksi Pangan &amp; Penduduk'!F15="","",'[1]0.1 Produksi Pangan &amp; Penduduk'!F15)</f>
        <v/>
      </c>
      <c r="D14" s="3" t="str">
        <f>IF('[1]0.1 Produksi Pangan &amp; Penduduk'!D15="","",'[1]0.1 Produksi Pangan &amp; Penduduk'!D15)</f>
        <v/>
      </c>
      <c r="E14" s="3" t="str">
        <f>IF('[1]0.1 Produksi Pangan &amp; Penduduk'!E15="","",'[1]0.1 Produksi Pangan &amp; Penduduk'!E15)</f>
        <v/>
      </c>
      <c r="F14" s="59" t="str">
        <f>IF(D14="","",VLOOKUP(D14,'[1]0.1 Produksi Pangan &amp; Penduduk'!$D$5:$J$860,7,0))</f>
        <v/>
      </c>
      <c r="G14" s="27" t="str">
        <f t="shared" si="0"/>
        <v/>
      </c>
      <c r="H14" s="27" t="str">
        <f t="shared" si="1"/>
        <v/>
      </c>
      <c r="I14" s="27" t="str">
        <f t="shared" si="2"/>
        <v/>
      </c>
      <c r="J14" s="27" t="str">
        <f t="shared" si="3"/>
        <v/>
      </c>
      <c r="K14" s="27" t="str">
        <f t="shared" si="4"/>
        <v/>
      </c>
      <c r="L14" s="59" t="str">
        <f>IF(D14="","",VLOOKUP(D14,'[1]0.1 Produksi Pangan &amp; Penduduk'!$D$5:$M$860,10,0))</f>
        <v/>
      </c>
      <c r="M14" s="28" t="str">
        <f t="shared" si="5"/>
        <v/>
      </c>
      <c r="N14" s="60" t="str">
        <f t="shared" si="6"/>
        <v/>
      </c>
      <c r="O14" s="60" t="str">
        <f t="shared" si="7"/>
        <v/>
      </c>
      <c r="P14" s="60" t="str">
        <f t="shared" si="8"/>
        <v/>
      </c>
      <c r="Q14" s="28" t="str">
        <f t="shared" si="9"/>
        <v/>
      </c>
    </row>
    <row r="15" spans="1:22" ht="15" x14ac:dyDescent="0.25">
      <c r="A15" s="3" t="str">
        <f>IF('[1]0.1 Produksi Pangan &amp; Penduduk'!A16="","",'[1]0.1 Produksi Pangan &amp; Penduduk'!A16)</f>
        <v/>
      </c>
      <c r="B15" s="2" t="str">
        <f>IF('[1]0.1 Produksi Pangan &amp; Penduduk'!B16="","",'[1]0.1 Produksi Pangan &amp; Penduduk'!B16)</f>
        <v/>
      </c>
      <c r="C15" s="2" t="str">
        <f>IF('[1]0.1 Produksi Pangan &amp; Penduduk'!F16="","",'[1]0.1 Produksi Pangan &amp; Penduduk'!F16)</f>
        <v/>
      </c>
      <c r="D15" s="3" t="str">
        <f>IF('[1]0.1 Produksi Pangan &amp; Penduduk'!D16="","",'[1]0.1 Produksi Pangan &amp; Penduduk'!D16)</f>
        <v/>
      </c>
      <c r="E15" s="3" t="str">
        <f>IF('[1]0.1 Produksi Pangan &amp; Penduduk'!E16="","",'[1]0.1 Produksi Pangan &amp; Penduduk'!E16)</f>
        <v/>
      </c>
      <c r="F15" s="59" t="str">
        <f>IF(D15="","",VLOOKUP(D15,'[1]0.1 Produksi Pangan &amp; Penduduk'!$D$5:$J$860,7,0))</f>
        <v/>
      </c>
      <c r="G15" s="27" t="str">
        <f t="shared" si="0"/>
        <v/>
      </c>
      <c r="H15" s="27" t="str">
        <f t="shared" si="1"/>
        <v/>
      </c>
      <c r="I15" s="27" t="str">
        <f t="shared" si="2"/>
        <v/>
      </c>
      <c r="J15" s="27" t="str">
        <f t="shared" si="3"/>
        <v/>
      </c>
      <c r="K15" s="27" t="str">
        <f t="shared" si="4"/>
        <v/>
      </c>
      <c r="L15" s="59" t="str">
        <f>IF(D15="","",VLOOKUP(D15,'[1]0.1 Produksi Pangan &amp; Penduduk'!$D$5:$M$860,10,0))</f>
        <v/>
      </c>
      <c r="M15" s="28" t="str">
        <f t="shared" si="5"/>
        <v/>
      </c>
      <c r="N15" s="60" t="str">
        <f t="shared" si="6"/>
        <v/>
      </c>
      <c r="O15" s="60" t="str">
        <f t="shared" si="7"/>
        <v/>
      </c>
      <c r="P15" s="60" t="str">
        <f t="shared" si="8"/>
        <v/>
      </c>
      <c r="Q15" s="28" t="str">
        <f t="shared" si="9"/>
        <v/>
      </c>
    </row>
    <row r="16" spans="1:22" ht="15" x14ac:dyDescent="0.25">
      <c r="A16" s="3" t="str">
        <f>IF('[1]0.1 Produksi Pangan &amp; Penduduk'!A17="","",'[1]0.1 Produksi Pangan &amp; Penduduk'!A17)</f>
        <v/>
      </c>
      <c r="B16" s="2" t="str">
        <f>IF('[1]0.1 Produksi Pangan &amp; Penduduk'!B17="","",'[1]0.1 Produksi Pangan &amp; Penduduk'!B17)</f>
        <v/>
      </c>
      <c r="C16" s="2" t="str">
        <f>IF('[1]0.1 Produksi Pangan &amp; Penduduk'!F17="","",'[1]0.1 Produksi Pangan &amp; Penduduk'!F17)</f>
        <v/>
      </c>
      <c r="D16" s="3" t="str">
        <f>IF('[1]0.1 Produksi Pangan &amp; Penduduk'!D17="","",'[1]0.1 Produksi Pangan &amp; Penduduk'!D17)</f>
        <v/>
      </c>
      <c r="E16" s="3" t="str">
        <f>IF('[1]0.1 Produksi Pangan &amp; Penduduk'!E17="","",'[1]0.1 Produksi Pangan &amp; Penduduk'!E17)</f>
        <v/>
      </c>
      <c r="F16" s="59" t="str">
        <f>IF(D16="","",VLOOKUP(D16,'[1]0.1 Produksi Pangan &amp; Penduduk'!$D$5:$J$860,7,0))</f>
        <v/>
      </c>
      <c r="G16" s="27" t="str">
        <f t="shared" si="0"/>
        <v/>
      </c>
      <c r="H16" s="27" t="str">
        <f t="shared" si="1"/>
        <v/>
      </c>
      <c r="I16" s="27" t="str">
        <f t="shared" si="2"/>
        <v/>
      </c>
      <c r="J16" s="27" t="str">
        <f t="shared" si="3"/>
        <v/>
      </c>
      <c r="K16" s="27" t="str">
        <f t="shared" si="4"/>
        <v/>
      </c>
      <c r="L16" s="59" t="str">
        <f>IF(D16="","",VLOOKUP(D16,'[1]0.1 Produksi Pangan &amp; Penduduk'!$D$5:$M$860,10,0))</f>
        <v/>
      </c>
      <c r="M16" s="28" t="str">
        <f t="shared" si="5"/>
        <v/>
      </c>
      <c r="N16" s="60" t="str">
        <f t="shared" si="6"/>
        <v/>
      </c>
      <c r="O16" s="60" t="str">
        <f t="shared" si="7"/>
        <v/>
      </c>
      <c r="P16" s="60" t="str">
        <f t="shared" si="8"/>
        <v/>
      </c>
      <c r="Q16" s="28" t="str">
        <f t="shared" si="9"/>
        <v/>
      </c>
    </row>
    <row r="17" spans="1:17" ht="15" x14ac:dyDescent="0.25">
      <c r="A17" s="3" t="str">
        <f>IF('[1]0.1 Produksi Pangan &amp; Penduduk'!A18="","",'[1]0.1 Produksi Pangan &amp; Penduduk'!A18)</f>
        <v/>
      </c>
      <c r="B17" s="2" t="str">
        <f>IF('[1]0.1 Produksi Pangan &amp; Penduduk'!B18="","",'[1]0.1 Produksi Pangan &amp; Penduduk'!B18)</f>
        <v/>
      </c>
      <c r="C17" s="2" t="str">
        <f>IF('[1]0.1 Produksi Pangan &amp; Penduduk'!F18="","",'[1]0.1 Produksi Pangan &amp; Penduduk'!F18)</f>
        <v/>
      </c>
      <c r="D17" s="3" t="str">
        <f>IF('[1]0.1 Produksi Pangan &amp; Penduduk'!D18="","",'[1]0.1 Produksi Pangan &amp; Penduduk'!D18)</f>
        <v/>
      </c>
      <c r="E17" s="3" t="str">
        <f>IF('[1]0.1 Produksi Pangan &amp; Penduduk'!E18="","",'[1]0.1 Produksi Pangan &amp; Penduduk'!E18)</f>
        <v/>
      </c>
      <c r="F17" s="59" t="str">
        <f>IF(D17="","",VLOOKUP(D17,'[1]0.1 Produksi Pangan &amp; Penduduk'!$D$5:$J$860,7,0))</f>
        <v/>
      </c>
      <c r="G17" s="27" t="str">
        <f t="shared" si="0"/>
        <v/>
      </c>
      <c r="H17" s="27" t="str">
        <f t="shared" si="1"/>
        <v/>
      </c>
      <c r="I17" s="27" t="str">
        <f t="shared" si="2"/>
        <v/>
      </c>
      <c r="J17" s="27" t="str">
        <f t="shared" si="3"/>
        <v/>
      </c>
      <c r="K17" s="27" t="str">
        <f t="shared" si="4"/>
        <v/>
      </c>
      <c r="L17" s="59" t="str">
        <f>IF(D17="","",VLOOKUP(D17,'[1]0.1 Produksi Pangan &amp; Penduduk'!$D$5:$M$860,10,0))</f>
        <v/>
      </c>
      <c r="M17" s="28" t="str">
        <f t="shared" si="5"/>
        <v/>
      </c>
      <c r="N17" s="60" t="str">
        <f t="shared" si="6"/>
        <v/>
      </c>
      <c r="O17" s="60" t="str">
        <f t="shared" si="7"/>
        <v/>
      </c>
      <c r="P17" s="60" t="str">
        <f t="shared" si="8"/>
        <v/>
      </c>
      <c r="Q17" s="28" t="str">
        <f t="shared" si="9"/>
        <v/>
      </c>
    </row>
    <row r="18" spans="1:17" ht="15" x14ac:dyDescent="0.25">
      <c r="A18" s="3" t="str">
        <f>IF('[1]0.1 Produksi Pangan &amp; Penduduk'!A19="","",'[1]0.1 Produksi Pangan &amp; Penduduk'!A19)</f>
        <v/>
      </c>
      <c r="B18" s="2" t="str">
        <f>IF('[1]0.1 Produksi Pangan &amp; Penduduk'!B19="","",'[1]0.1 Produksi Pangan &amp; Penduduk'!B19)</f>
        <v/>
      </c>
      <c r="C18" s="2" t="str">
        <f>IF('[1]0.1 Produksi Pangan &amp; Penduduk'!F19="","",'[1]0.1 Produksi Pangan &amp; Penduduk'!F19)</f>
        <v/>
      </c>
      <c r="D18" s="3" t="str">
        <f>IF('[1]0.1 Produksi Pangan &amp; Penduduk'!D19="","",'[1]0.1 Produksi Pangan &amp; Penduduk'!D19)</f>
        <v/>
      </c>
      <c r="E18" s="3" t="str">
        <f>IF('[1]0.1 Produksi Pangan &amp; Penduduk'!E19="","",'[1]0.1 Produksi Pangan &amp; Penduduk'!E19)</f>
        <v/>
      </c>
      <c r="F18" s="59" t="str">
        <f>IF(D18="","",VLOOKUP(D18,'[1]0.1 Produksi Pangan &amp; Penduduk'!$D$5:$J$860,7,0))</f>
        <v/>
      </c>
      <c r="G18" s="27" t="str">
        <f t="shared" si="0"/>
        <v/>
      </c>
      <c r="H18" s="27" t="str">
        <f t="shared" si="1"/>
        <v/>
      </c>
      <c r="I18" s="27" t="str">
        <f t="shared" si="2"/>
        <v/>
      </c>
      <c r="J18" s="27" t="str">
        <f t="shared" si="3"/>
        <v/>
      </c>
      <c r="K18" s="27" t="str">
        <f t="shared" si="4"/>
        <v/>
      </c>
      <c r="L18" s="59" t="str">
        <f>IF(D18="","",VLOOKUP(D18,'[1]0.1 Produksi Pangan &amp; Penduduk'!$D$5:$M$860,10,0))</f>
        <v/>
      </c>
      <c r="M18" s="28" t="str">
        <f t="shared" si="5"/>
        <v/>
      </c>
      <c r="N18" s="60" t="str">
        <f t="shared" si="6"/>
        <v/>
      </c>
      <c r="O18" s="60" t="str">
        <f t="shared" si="7"/>
        <v/>
      </c>
      <c r="P18" s="60" t="str">
        <f t="shared" si="8"/>
        <v/>
      </c>
      <c r="Q18" s="28" t="str">
        <f t="shared" si="9"/>
        <v/>
      </c>
    </row>
    <row r="19" spans="1:17" ht="15" x14ac:dyDescent="0.25">
      <c r="A19" s="3" t="str">
        <f>IF('[1]0.1 Produksi Pangan &amp; Penduduk'!A20="","",'[1]0.1 Produksi Pangan &amp; Penduduk'!A20)</f>
        <v/>
      </c>
      <c r="B19" s="2" t="str">
        <f>IF('[1]0.1 Produksi Pangan &amp; Penduduk'!B20="","",'[1]0.1 Produksi Pangan &amp; Penduduk'!B20)</f>
        <v/>
      </c>
      <c r="C19" s="2" t="str">
        <f>IF('[1]0.1 Produksi Pangan &amp; Penduduk'!F20="","",'[1]0.1 Produksi Pangan &amp; Penduduk'!F20)</f>
        <v/>
      </c>
      <c r="D19" s="3" t="str">
        <f>IF('[1]0.1 Produksi Pangan &amp; Penduduk'!D20="","",'[1]0.1 Produksi Pangan &amp; Penduduk'!D20)</f>
        <v/>
      </c>
      <c r="E19" s="3" t="str">
        <f>IF('[1]0.1 Produksi Pangan &amp; Penduduk'!E20="","",'[1]0.1 Produksi Pangan &amp; Penduduk'!E20)</f>
        <v/>
      </c>
      <c r="F19" s="59" t="str">
        <f>IF(D19="","",VLOOKUP(D19,'[1]0.1 Produksi Pangan &amp; Penduduk'!$D$5:$J$860,7,0))</f>
        <v/>
      </c>
      <c r="G19" s="27" t="str">
        <f t="shared" si="0"/>
        <v/>
      </c>
      <c r="H19" s="27" t="str">
        <f t="shared" si="1"/>
        <v/>
      </c>
      <c r="I19" s="27" t="str">
        <f t="shared" si="2"/>
        <v/>
      </c>
      <c r="J19" s="27" t="str">
        <f t="shared" si="3"/>
        <v/>
      </c>
      <c r="K19" s="27" t="str">
        <f t="shared" si="4"/>
        <v/>
      </c>
      <c r="L19" s="59" t="str">
        <f>IF(D19="","",VLOOKUP(D19,'[1]0.1 Produksi Pangan &amp; Penduduk'!$D$5:$M$860,10,0))</f>
        <v/>
      </c>
      <c r="M19" s="28" t="str">
        <f t="shared" si="5"/>
        <v/>
      </c>
      <c r="N19" s="60" t="str">
        <f t="shared" si="6"/>
        <v/>
      </c>
      <c r="O19" s="60" t="str">
        <f t="shared" si="7"/>
        <v/>
      </c>
      <c r="P19" s="60" t="str">
        <f t="shared" si="8"/>
        <v/>
      </c>
      <c r="Q19" s="28" t="str">
        <f t="shared" si="9"/>
        <v/>
      </c>
    </row>
    <row r="20" spans="1:17" ht="15" x14ac:dyDescent="0.25">
      <c r="A20" s="3" t="str">
        <f>IF('[1]0.1 Produksi Pangan &amp; Penduduk'!A21="","",'[1]0.1 Produksi Pangan &amp; Penduduk'!A21)</f>
        <v/>
      </c>
      <c r="B20" s="2" t="str">
        <f>IF('[1]0.1 Produksi Pangan &amp; Penduduk'!B21="","",'[1]0.1 Produksi Pangan &amp; Penduduk'!B21)</f>
        <v/>
      </c>
      <c r="C20" s="2" t="str">
        <f>IF('[1]0.1 Produksi Pangan &amp; Penduduk'!F21="","",'[1]0.1 Produksi Pangan &amp; Penduduk'!F21)</f>
        <v/>
      </c>
      <c r="D20" s="3" t="str">
        <f>IF('[1]0.1 Produksi Pangan &amp; Penduduk'!D21="","",'[1]0.1 Produksi Pangan &amp; Penduduk'!D21)</f>
        <v/>
      </c>
      <c r="E20" s="3" t="str">
        <f>IF('[1]0.1 Produksi Pangan &amp; Penduduk'!E21="","",'[1]0.1 Produksi Pangan &amp; Penduduk'!E21)</f>
        <v/>
      </c>
      <c r="F20" s="59" t="str">
        <f>IF(D20="","",VLOOKUP(D20,'[1]0.1 Produksi Pangan &amp; Penduduk'!$D$5:$J$860,7,0))</f>
        <v/>
      </c>
      <c r="G20" s="27" t="str">
        <f t="shared" si="0"/>
        <v/>
      </c>
      <c r="H20" s="27" t="str">
        <f t="shared" si="1"/>
        <v/>
      </c>
      <c r="I20" s="27" t="str">
        <f t="shared" si="2"/>
        <v/>
      </c>
      <c r="J20" s="27" t="str">
        <f t="shared" si="3"/>
        <v/>
      </c>
      <c r="K20" s="27" t="str">
        <f t="shared" si="4"/>
        <v/>
      </c>
      <c r="L20" s="59" t="str">
        <f>IF(D20="","",VLOOKUP(D20,'[1]0.1 Produksi Pangan &amp; Penduduk'!$D$5:$M$860,10,0))</f>
        <v/>
      </c>
      <c r="M20" s="28" t="str">
        <f t="shared" si="5"/>
        <v/>
      </c>
      <c r="N20" s="60" t="str">
        <f t="shared" si="6"/>
        <v/>
      </c>
      <c r="O20" s="60" t="str">
        <f t="shared" si="7"/>
        <v/>
      </c>
      <c r="P20" s="60" t="str">
        <f t="shared" si="8"/>
        <v/>
      </c>
      <c r="Q20" s="28" t="str">
        <f t="shared" si="9"/>
        <v/>
      </c>
    </row>
    <row r="21" spans="1:17" ht="15" x14ac:dyDescent="0.25">
      <c r="A21" s="3" t="str">
        <f>IF('[1]0.1 Produksi Pangan &amp; Penduduk'!A22="","",'[1]0.1 Produksi Pangan &amp; Penduduk'!A22)</f>
        <v/>
      </c>
      <c r="B21" s="2" t="str">
        <f>IF('[1]0.1 Produksi Pangan &amp; Penduduk'!B22="","",'[1]0.1 Produksi Pangan &amp; Penduduk'!B22)</f>
        <v/>
      </c>
      <c r="C21" s="2" t="str">
        <f>IF('[1]0.1 Produksi Pangan &amp; Penduduk'!F22="","",'[1]0.1 Produksi Pangan &amp; Penduduk'!F22)</f>
        <v/>
      </c>
      <c r="D21" s="3" t="str">
        <f>IF('[1]0.1 Produksi Pangan &amp; Penduduk'!D22="","",'[1]0.1 Produksi Pangan &amp; Penduduk'!D22)</f>
        <v/>
      </c>
      <c r="E21" s="3" t="str">
        <f>IF('[1]0.1 Produksi Pangan &amp; Penduduk'!E22="","",'[1]0.1 Produksi Pangan &amp; Penduduk'!E22)</f>
        <v/>
      </c>
      <c r="F21" s="59" t="str">
        <f>IF(D21="","",VLOOKUP(D21,'[1]0.1 Produksi Pangan &amp; Penduduk'!$D$5:$J$860,7,0))</f>
        <v/>
      </c>
      <c r="G21" s="27" t="str">
        <f t="shared" si="0"/>
        <v/>
      </c>
      <c r="H21" s="27" t="str">
        <f t="shared" si="1"/>
        <v/>
      </c>
      <c r="I21" s="27" t="str">
        <f t="shared" si="2"/>
        <v/>
      </c>
      <c r="J21" s="27" t="str">
        <f t="shared" si="3"/>
        <v/>
      </c>
      <c r="K21" s="27" t="str">
        <f t="shared" si="4"/>
        <v/>
      </c>
      <c r="L21" s="59" t="str">
        <f>IF(D21="","",VLOOKUP(D21,'[1]0.1 Produksi Pangan &amp; Penduduk'!$D$5:$M$860,10,0))</f>
        <v/>
      </c>
      <c r="M21" s="28" t="str">
        <f t="shared" si="5"/>
        <v/>
      </c>
      <c r="N21" s="60" t="str">
        <f t="shared" si="6"/>
        <v/>
      </c>
      <c r="O21" s="60" t="str">
        <f t="shared" si="7"/>
        <v/>
      </c>
      <c r="P21" s="60" t="str">
        <f t="shared" si="8"/>
        <v/>
      </c>
      <c r="Q21" s="28" t="str">
        <f t="shared" si="9"/>
        <v/>
      </c>
    </row>
    <row r="22" spans="1:17" ht="15" x14ac:dyDescent="0.25">
      <c r="A22" s="3" t="str">
        <f>IF('[1]0.1 Produksi Pangan &amp; Penduduk'!A23="","",'[1]0.1 Produksi Pangan &amp; Penduduk'!A23)</f>
        <v/>
      </c>
      <c r="B22" s="2" t="str">
        <f>IF('[1]0.1 Produksi Pangan &amp; Penduduk'!B23="","",'[1]0.1 Produksi Pangan &amp; Penduduk'!B23)</f>
        <v/>
      </c>
      <c r="C22" s="2" t="str">
        <f>IF('[1]0.1 Produksi Pangan &amp; Penduduk'!F23="","",'[1]0.1 Produksi Pangan &amp; Penduduk'!F23)</f>
        <v/>
      </c>
      <c r="D22" s="3" t="str">
        <f>IF('[1]0.1 Produksi Pangan &amp; Penduduk'!D23="","",'[1]0.1 Produksi Pangan &amp; Penduduk'!D23)</f>
        <v/>
      </c>
      <c r="E22" s="3" t="str">
        <f>IF('[1]0.1 Produksi Pangan &amp; Penduduk'!E23="","",'[1]0.1 Produksi Pangan &amp; Penduduk'!E23)</f>
        <v/>
      </c>
      <c r="F22" s="59" t="str">
        <f>IF(D22="","",VLOOKUP(D22,'[1]0.1 Produksi Pangan &amp; Penduduk'!$D$5:$J$860,7,0))</f>
        <v/>
      </c>
      <c r="G22" s="27" t="str">
        <f t="shared" si="0"/>
        <v/>
      </c>
      <c r="H22" s="27" t="str">
        <f t="shared" si="1"/>
        <v/>
      </c>
      <c r="I22" s="27" t="str">
        <f t="shared" si="2"/>
        <v/>
      </c>
      <c r="J22" s="27" t="str">
        <f t="shared" si="3"/>
        <v/>
      </c>
      <c r="K22" s="27" t="str">
        <f t="shared" si="4"/>
        <v/>
      </c>
      <c r="L22" s="59" t="str">
        <f>IF(D22="","",VLOOKUP(D22,'[1]0.1 Produksi Pangan &amp; Penduduk'!$D$5:$M$860,10,0))</f>
        <v/>
      </c>
      <c r="M22" s="28" t="str">
        <f t="shared" si="5"/>
        <v/>
      </c>
      <c r="N22" s="60" t="str">
        <f t="shared" si="6"/>
        <v/>
      </c>
      <c r="O22" s="60" t="str">
        <f t="shared" si="7"/>
        <v/>
      </c>
      <c r="P22" s="60" t="str">
        <f t="shared" si="8"/>
        <v/>
      </c>
      <c r="Q22" s="28" t="str">
        <f t="shared" si="9"/>
        <v/>
      </c>
    </row>
    <row r="23" spans="1:17" ht="15" x14ac:dyDescent="0.25">
      <c r="A23" s="3" t="str">
        <f>IF('[1]0.1 Produksi Pangan &amp; Penduduk'!A24="","",'[1]0.1 Produksi Pangan &amp; Penduduk'!A24)</f>
        <v/>
      </c>
      <c r="B23" s="2" t="str">
        <f>IF('[1]0.1 Produksi Pangan &amp; Penduduk'!B24="","",'[1]0.1 Produksi Pangan &amp; Penduduk'!B24)</f>
        <v/>
      </c>
      <c r="C23" s="2" t="str">
        <f>IF('[1]0.1 Produksi Pangan &amp; Penduduk'!F24="","",'[1]0.1 Produksi Pangan &amp; Penduduk'!F24)</f>
        <v/>
      </c>
      <c r="D23" s="3" t="str">
        <f>IF('[1]0.1 Produksi Pangan &amp; Penduduk'!D24="","",'[1]0.1 Produksi Pangan &amp; Penduduk'!D24)</f>
        <v/>
      </c>
      <c r="E23" s="3" t="str">
        <f>IF('[1]0.1 Produksi Pangan &amp; Penduduk'!E24="","",'[1]0.1 Produksi Pangan &amp; Penduduk'!E24)</f>
        <v/>
      </c>
      <c r="F23" s="59" t="str">
        <f>IF(D23="","",VLOOKUP(D23,'[1]0.1 Produksi Pangan &amp; Penduduk'!$D$5:$J$860,7,0))</f>
        <v/>
      </c>
      <c r="G23" s="27" t="str">
        <f t="shared" si="0"/>
        <v/>
      </c>
      <c r="H23" s="27" t="str">
        <f t="shared" si="1"/>
        <v/>
      </c>
      <c r="I23" s="27" t="str">
        <f t="shared" si="2"/>
        <v/>
      </c>
      <c r="J23" s="27" t="str">
        <f t="shared" si="3"/>
        <v/>
      </c>
      <c r="K23" s="27" t="str">
        <f t="shared" si="4"/>
        <v/>
      </c>
      <c r="L23" s="59" t="str">
        <f>IF(D23="","",VLOOKUP(D23,'[1]0.1 Produksi Pangan &amp; Penduduk'!$D$5:$M$860,10,0))</f>
        <v/>
      </c>
      <c r="M23" s="28" t="str">
        <f t="shared" si="5"/>
        <v/>
      </c>
      <c r="N23" s="60" t="str">
        <f t="shared" si="6"/>
        <v/>
      </c>
      <c r="O23" s="60" t="str">
        <f t="shared" si="7"/>
        <v/>
      </c>
      <c r="P23" s="60" t="str">
        <f t="shared" si="8"/>
        <v/>
      </c>
      <c r="Q23" s="28" t="str">
        <f t="shared" si="9"/>
        <v/>
      </c>
    </row>
    <row r="24" spans="1:17" ht="15" x14ac:dyDescent="0.25">
      <c r="A24" s="3" t="str">
        <f>IF('[1]0.1 Produksi Pangan &amp; Penduduk'!A25="","",'[1]0.1 Produksi Pangan &amp; Penduduk'!A25)</f>
        <v/>
      </c>
      <c r="B24" s="2" t="str">
        <f>IF('[1]0.1 Produksi Pangan &amp; Penduduk'!B25="","",'[1]0.1 Produksi Pangan &amp; Penduduk'!B25)</f>
        <v/>
      </c>
      <c r="C24" s="2" t="str">
        <f>IF('[1]0.1 Produksi Pangan &amp; Penduduk'!F25="","",'[1]0.1 Produksi Pangan &amp; Penduduk'!F25)</f>
        <v/>
      </c>
      <c r="D24" s="3" t="str">
        <f>IF('[1]0.1 Produksi Pangan &amp; Penduduk'!D25="","",'[1]0.1 Produksi Pangan &amp; Penduduk'!D25)</f>
        <v/>
      </c>
      <c r="E24" s="3" t="str">
        <f>IF('[1]0.1 Produksi Pangan &amp; Penduduk'!E25="","",'[1]0.1 Produksi Pangan &amp; Penduduk'!E25)</f>
        <v/>
      </c>
      <c r="F24" s="59" t="str">
        <f>IF(D24="","",VLOOKUP(D24,'[1]0.1 Produksi Pangan &amp; Penduduk'!$D$5:$J$860,7,0))</f>
        <v/>
      </c>
      <c r="G24" s="27" t="str">
        <f t="shared" si="0"/>
        <v/>
      </c>
      <c r="H24" s="27" t="str">
        <f t="shared" si="1"/>
        <v/>
      </c>
      <c r="I24" s="27" t="str">
        <f t="shared" si="2"/>
        <v/>
      </c>
      <c r="J24" s="27" t="str">
        <f t="shared" si="3"/>
        <v/>
      </c>
      <c r="K24" s="27" t="str">
        <f t="shared" si="4"/>
        <v/>
      </c>
      <c r="L24" s="59" t="str">
        <f>IF(D24="","",VLOOKUP(D24,'[1]0.1 Produksi Pangan &amp; Penduduk'!$D$5:$M$860,10,0))</f>
        <v/>
      </c>
      <c r="M24" s="28" t="str">
        <f t="shared" si="5"/>
        <v/>
      </c>
      <c r="N24" s="60" t="str">
        <f t="shared" si="6"/>
        <v/>
      </c>
      <c r="O24" s="60" t="str">
        <f t="shared" si="7"/>
        <v/>
      </c>
      <c r="P24" s="60" t="str">
        <f t="shared" si="8"/>
        <v/>
      </c>
      <c r="Q24" s="28" t="str">
        <f t="shared" si="9"/>
        <v/>
      </c>
    </row>
    <row r="25" spans="1:17" ht="15" x14ac:dyDescent="0.25">
      <c r="A25" s="3" t="str">
        <f>IF('[1]0.1 Produksi Pangan &amp; Penduduk'!A26="","",'[1]0.1 Produksi Pangan &amp; Penduduk'!A26)</f>
        <v/>
      </c>
      <c r="B25" s="2" t="str">
        <f>IF('[1]0.1 Produksi Pangan &amp; Penduduk'!B26="","",'[1]0.1 Produksi Pangan &amp; Penduduk'!B26)</f>
        <v/>
      </c>
      <c r="C25" s="2" t="str">
        <f>IF('[1]0.1 Produksi Pangan &amp; Penduduk'!F26="","",'[1]0.1 Produksi Pangan &amp; Penduduk'!F26)</f>
        <v/>
      </c>
      <c r="D25" s="3" t="str">
        <f>IF('[1]0.1 Produksi Pangan &amp; Penduduk'!D26="","",'[1]0.1 Produksi Pangan &amp; Penduduk'!D26)</f>
        <v/>
      </c>
      <c r="E25" s="3" t="str">
        <f>IF('[1]0.1 Produksi Pangan &amp; Penduduk'!E26="","",'[1]0.1 Produksi Pangan &amp; Penduduk'!E26)</f>
        <v/>
      </c>
      <c r="F25" s="59" t="str">
        <f>IF(D25="","",VLOOKUP(D25,'[1]0.1 Produksi Pangan &amp; Penduduk'!$D$5:$J$860,7,0))</f>
        <v/>
      </c>
      <c r="G25" s="27" t="str">
        <f t="shared" si="0"/>
        <v/>
      </c>
      <c r="H25" s="27" t="str">
        <f t="shared" si="1"/>
        <v/>
      </c>
      <c r="I25" s="27" t="str">
        <f t="shared" si="2"/>
        <v/>
      </c>
      <c r="J25" s="27" t="str">
        <f t="shared" si="3"/>
        <v/>
      </c>
      <c r="K25" s="27" t="str">
        <f t="shared" si="4"/>
        <v/>
      </c>
      <c r="L25" s="59" t="str">
        <f>IF(D25="","",VLOOKUP(D25,'[1]0.1 Produksi Pangan &amp; Penduduk'!$D$5:$M$860,10,0))</f>
        <v/>
      </c>
      <c r="M25" s="28" t="str">
        <f t="shared" si="5"/>
        <v/>
      </c>
      <c r="N25" s="60" t="str">
        <f t="shared" si="6"/>
        <v/>
      </c>
      <c r="O25" s="60" t="str">
        <f t="shared" si="7"/>
        <v/>
      </c>
      <c r="P25" s="60" t="str">
        <f t="shared" si="8"/>
        <v/>
      </c>
      <c r="Q25" s="28" t="str">
        <f t="shared" si="9"/>
        <v/>
      </c>
    </row>
    <row r="26" spans="1:17" ht="15" x14ac:dyDescent="0.25">
      <c r="A26" s="3" t="str">
        <f>IF('[1]0.1 Produksi Pangan &amp; Penduduk'!A27="","",'[1]0.1 Produksi Pangan &amp; Penduduk'!A27)</f>
        <v/>
      </c>
      <c r="B26" s="2" t="str">
        <f>IF('[1]0.1 Produksi Pangan &amp; Penduduk'!B27="","",'[1]0.1 Produksi Pangan &amp; Penduduk'!B27)</f>
        <v/>
      </c>
      <c r="C26" s="2" t="str">
        <f>IF('[1]0.1 Produksi Pangan &amp; Penduduk'!F27="","",'[1]0.1 Produksi Pangan &amp; Penduduk'!F27)</f>
        <v/>
      </c>
      <c r="D26" s="3" t="str">
        <f>IF('[1]0.1 Produksi Pangan &amp; Penduduk'!D27="","",'[1]0.1 Produksi Pangan &amp; Penduduk'!D27)</f>
        <v/>
      </c>
      <c r="E26" s="3" t="str">
        <f>IF('[1]0.1 Produksi Pangan &amp; Penduduk'!E27="","",'[1]0.1 Produksi Pangan &amp; Penduduk'!E27)</f>
        <v/>
      </c>
      <c r="F26" s="59" t="str">
        <f>IF(D26="","",VLOOKUP(D26,'[1]0.1 Produksi Pangan &amp; Penduduk'!$D$5:$J$860,7,0))</f>
        <v/>
      </c>
      <c r="G26" s="27" t="str">
        <f t="shared" si="0"/>
        <v/>
      </c>
      <c r="H26" s="27" t="str">
        <f t="shared" si="1"/>
        <v/>
      </c>
      <c r="I26" s="27" t="str">
        <f t="shared" si="2"/>
        <v/>
      </c>
      <c r="J26" s="27" t="str">
        <f t="shared" si="3"/>
        <v/>
      </c>
      <c r="K26" s="27" t="str">
        <f t="shared" si="4"/>
        <v/>
      </c>
      <c r="L26" s="59" t="str">
        <f>IF(D26="","",VLOOKUP(D26,'[1]0.1 Produksi Pangan &amp; Penduduk'!$D$5:$M$860,10,0))</f>
        <v/>
      </c>
      <c r="M26" s="28" t="str">
        <f t="shared" si="5"/>
        <v/>
      </c>
      <c r="N26" s="60" t="str">
        <f t="shared" si="6"/>
        <v/>
      </c>
      <c r="O26" s="60" t="str">
        <f t="shared" si="7"/>
        <v/>
      </c>
      <c r="P26" s="60" t="str">
        <f t="shared" si="8"/>
        <v/>
      </c>
      <c r="Q26" s="28" t="str">
        <f t="shared" si="9"/>
        <v/>
      </c>
    </row>
    <row r="27" spans="1:17" ht="15" x14ac:dyDescent="0.25">
      <c r="A27" s="3" t="str">
        <f>IF('[1]0.1 Produksi Pangan &amp; Penduduk'!A28="","",'[1]0.1 Produksi Pangan &amp; Penduduk'!A28)</f>
        <v/>
      </c>
      <c r="B27" s="2" t="str">
        <f>IF('[1]0.1 Produksi Pangan &amp; Penduduk'!B28="","",'[1]0.1 Produksi Pangan &amp; Penduduk'!B28)</f>
        <v/>
      </c>
      <c r="C27" s="2" t="str">
        <f>IF('[1]0.1 Produksi Pangan &amp; Penduduk'!F28="","",'[1]0.1 Produksi Pangan &amp; Penduduk'!F28)</f>
        <v/>
      </c>
      <c r="D27" s="3" t="str">
        <f>IF('[1]0.1 Produksi Pangan &amp; Penduduk'!D28="","",'[1]0.1 Produksi Pangan &amp; Penduduk'!D28)</f>
        <v/>
      </c>
      <c r="E27" s="3" t="str">
        <f>IF('[1]0.1 Produksi Pangan &amp; Penduduk'!E28="","",'[1]0.1 Produksi Pangan &amp; Penduduk'!E28)</f>
        <v/>
      </c>
      <c r="F27" s="59" t="str">
        <f>IF(D27="","",VLOOKUP(D27,'[1]0.1 Produksi Pangan &amp; Penduduk'!$D$5:$J$860,7,0))</f>
        <v/>
      </c>
      <c r="G27" s="27" t="str">
        <f t="shared" si="0"/>
        <v/>
      </c>
      <c r="H27" s="27" t="str">
        <f t="shared" si="1"/>
        <v/>
      </c>
      <c r="I27" s="27" t="str">
        <f t="shared" si="2"/>
        <v/>
      </c>
      <c r="J27" s="27" t="str">
        <f t="shared" si="3"/>
        <v/>
      </c>
      <c r="K27" s="27" t="str">
        <f t="shared" si="4"/>
        <v/>
      </c>
      <c r="L27" s="59" t="str">
        <f>IF(D27="","",VLOOKUP(D27,'[1]0.1 Produksi Pangan &amp; Penduduk'!$D$5:$M$860,10,0))</f>
        <v/>
      </c>
      <c r="M27" s="28" t="str">
        <f t="shared" si="5"/>
        <v/>
      </c>
      <c r="N27" s="60" t="str">
        <f t="shared" si="6"/>
        <v/>
      </c>
      <c r="O27" s="60" t="str">
        <f t="shared" si="7"/>
        <v/>
      </c>
      <c r="P27" s="60" t="str">
        <f t="shared" si="8"/>
        <v/>
      </c>
      <c r="Q27" s="28" t="str">
        <f t="shared" si="9"/>
        <v/>
      </c>
    </row>
    <row r="28" spans="1:17" ht="15" x14ac:dyDescent="0.25">
      <c r="A28" s="3" t="str">
        <f>IF('[1]0.1 Produksi Pangan &amp; Penduduk'!A29="","",'[1]0.1 Produksi Pangan &amp; Penduduk'!A29)</f>
        <v/>
      </c>
      <c r="B28" s="2" t="str">
        <f>IF('[1]0.1 Produksi Pangan &amp; Penduduk'!B29="","",'[1]0.1 Produksi Pangan &amp; Penduduk'!B29)</f>
        <v/>
      </c>
      <c r="C28" s="2" t="str">
        <f>IF('[1]0.1 Produksi Pangan &amp; Penduduk'!F29="","",'[1]0.1 Produksi Pangan &amp; Penduduk'!F29)</f>
        <v/>
      </c>
      <c r="D28" s="3" t="str">
        <f>IF('[1]0.1 Produksi Pangan &amp; Penduduk'!D29="","",'[1]0.1 Produksi Pangan &amp; Penduduk'!D29)</f>
        <v/>
      </c>
      <c r="E28" s="3" t="str">
        <f>IF('[1]0.1 Produksi Pangan &amp; Penduduk'!E29="","",'[1]0.1 Produksi Pangan &amp; Penduduk'!E29)</f>
        <v/>
      </c>
      <c r="F28" s="59" t="str">
        <f>IF(D28="","",VLOOKUP(D28,'[1]0.1 Produksi Pangan &amp; Penduduk'!$D$5:$J$860,7,0))</f>
        <v/>
      </c>
      <c r="G28" s="27" t="str">
        <f t="shared" si="0"/>
        <v/>
      </c>
      <c r="H28" s="27" t="str">
        <f t="shared" si="1"/>
        <v/>
      </c>
      <c r="I28" s="27" t="str">
        <f t="shared" si="2"/>
        <v/>
      </c>
      <c r="J28" s="27" t="str">
        <f t="shared" si="3"/>
        <v/>
      </c>
      <c r="K28" s="27" t="str">
        <f t="shared" si="4"/>
        <v/>
      </c>
      <c r="L28" s="59" t="str">
        <f>IF(D28="","",VLOOKUP(D28,'[1]0.1 Produksi Pangan &amp; Penduduk'!$D$5:$M$860,10,0))</f>
        <v/>
      </c>
      <c r="M28" s="28" t="str">
        <f t="shared" si="5"/>
        <v/>
      </c>
      <c r="N28" s="60" t="str">
        <f t="shared" si="6"/>
        <v/>
      </c>
      <c r="O28" s="60" t="str">
        <f t="shared" si="7"/>
        <v/>
      </c>
      <c r="P28" s="60" t="str">
        <f t="shared" si="8"/>
        <v/>
      </c>
      <c r="Q28" s="28" t="str">
        <f t="shared" si="9"/>
        <v/>
      </c>
    </row>
    <row r="29" spans="1:17" ht="15" x14ac:dyDescent="0.25">
      <c r="A29" s="3" t="str">
        <f>IF('[1]0.1 Produksi Pangan &amp; Penduduk'!A30="","",'[1]0.1 Produksi Pangan &amp; Penduduk'!A30)</f>
        <v/>
      </c>
      <c r="B29" s="2" t="str">
        <f>IF('[1]0.1 Produksi Pangan &amp; Penduduk'!B30="","",'[1]0.1 Produksi Pangan &amp; Penduduk'!B30)</f>
        <v/>
      </c>
      <c r="C29" s="2" t="str">
        <f>IF('[1]0.1 Produksi Pangan &amp; Penduduk'!F30="","",'[1]0.1 Produksi Pangan &amp; Penduduk'!F30)</f>
        <v/>
      </c>
      <c r="D29" s="3" t="str">
        <f>IF('[1]0.1 Produksi Pangan &amp; Penduduk'!D30="","",'[1]0.1 Produksi Pangan &amp; Penduduk'!D30)</f>
        <v/>
      </c>
      <c r="E29" s="3" t="str">
        <f>IF('[1]0.1 Produksi Pangan &amp; Penduduk'!E30="","",'[1]0.1 Produksi Pangan &amp; Penduduk'!E30)</f>
        <v/>
      </c>
      <c r="F29" s="59" t="str">
        <f>IF(D29="","",VLOOKUP(D29,'[1]0.1 Produksi Pangan &amp; Penduduk'!$D$5:$J$860,7,0))</f>
        <v/>
      </c>
      <c r="G29" s="27" t="str">
        <f t="shared" si="0"/>
        <v/>
      </c>
      <c r="H29" s="27" t="str">
        <f t="shared" si="1"/>
        <v/>
      </c>
      <c r="I29" s="27" t="str">
        <f t="shared" si="2"/>
        <v/>
      </c>
      <c r="J29" s="27" t="str">
        <f t="shared" si="3"/>
        <v/>
      </c>
      <c r="K29" s="27" t="str">
        <f t="shared" si="4"/>
        <v/>
      </c>
      <c r="L29" s="59" t="str">
        <f>IF(D29="","",VLOOKUP(D29,'[1]0.1 Produksi Pangan &amp; Penduduk'!$D$5:$M$860,10,0))</f>
        <v/>
      </c>
      <c r="M29" s="28" t="str">
        <f t="shared" si="5"/>
        <v/>
      </c>
      <c r="N29" s="60" t="str">
        <f t="shared" si="6"/>
        <v/>
      </c>
      <c r="O29" s="60" t="str">
        <f t="shared" si="7"/>
        <v/>
      </c>
      <c r="P29" s="60" t="str">
        <f t="shared" si="8"/>
        <v/>
      </c>
      <c r="Q29" s="28" t="str">
        <f t="shared" si="9"/>
        <v/>
      </c>
    </row>
    <row r="30" spans="1:17" ht="15" x14ac:dyDescent="0.25">
      <c r="A30" s="3" t="str">
        <f>IF('[1]0.1 Produksi Pangan &amp; Penduduk'!A31="","",'[1]0.1 Produksi Pangan &amp; Penduduk'!A31)</f>
        <v/>
      </c>
      <c r="B30" s="2" t="str">
        <f>IF('[1]0.1 Produksi Pangan &amp; Penduduk'!B31="","",'[1]0.1 Produksi Pangan &amp; Penduduk'!B31)</f>
        <v/>
      </c>
      <c r="C30" s="2" t="str">
        <f>IF('[1]0.1 Produksi Pangan &amp; Penduduk'!F31="","",'[1]0.1 Produksi Pangan &amp; Penduduk'!F31)</f>
        <v/>
      </c>
      <c r="D30" s="3" t="str">
        <f>IF('[1]0.1 Produksi Pangan &amp; Penduduk'!D31="","",'[1]0.1 Produksi Pangan &amp; Penduduk'!D31)</f>
        <v/>
      </c>
      <c r="E30" s="3" t="str">
        <f>IF('[1]0.1 Produksi Pangan &amp; Penduduk'!E31="","",'[1]0.1 Produksi Pangan &amp; Penduduk'!E31)</f>
        <v/>
      </c>
      <c r="F30" s="59" t="str">
        <f>IF(D30="","",VLOOKUP(D30,'[1]0.1 Produksi Pangan &amp; Penduduk'!$D$5:$J$860,7,0))</f>
        <v/>
      </c>
      <c r="G30" s="27" t="str">
        <f t="shared" si="0"/>
        <v/>
      </c>
      <c r="H30" s="27" t="str">
        <f t="shared" si="1"/>
        <v/>
      </c>
      <c r="I30" s="27" t="str">
        <f t="shared" si="2"/>
        <v/>
      </c>
      <c r="J30" s="27" t="str">
        <f t="shared" si="3"/>
        <v/>
      </c>
      <c r="K30" s="27" t="str">
        <f t="shared" si="4"/>
        <v/>
      </c>
      <c r="L30" s="59" t="str">
        <f>IF(D30="","",VLOOKUP(D30,'[1]0.1 Produksi Pangan &amp; Penduduk'!$D$5:$M$860,10,0))</f>
        <v/>
      </c>
      <c r="M30" s="28" t="str">
        <f t="shared" si="5"/>
        <v/>
      </c>
      <c r="N30" s="60" t="str">
        <f t="shared" si="6"/>
        <v/>
      </c>
      <c r="O30" s="60" t="str">
        <f t="shared" si="7"/>
        <v/>
      </c>
      <c r="P30" s="60" t="str">
        <f t="shared" si="8"/>
        <v/>
      </c>
      <c r="Q30" s="28" t="str">
        <f t="shared" si="9"/>
        <v/>
      </c>
    </row>
    <row r="31" spans="1:17" ht="15" x14ac:dyDescent="0.25">
      <c r="A31" s="3" t="str">
        <f>IF('[1]0.1 Produksi Pangan &amp; Penduduk'!A32="","",'[1]0.1 Produksi Pangan &amp; Penduduk'!A32)</f>
        <v/>
      </c>
      <c r="B31" s="2" t="str">
        <f>IF('[1]0.1 Produksi Pangan &amp; Penduduk'!B32="","",'[1]0.1 Produksi Pangan &amp; Penduduk'!B32)</f>
        <v/>
      </c>
      <c r="C31" s="2" t="str">
        <f>IF('[1]0.1 Produksi Pangan &amp; Penduduk'!F32="","",'[1]0.1 Produksi Pangan &amp; Penduduk'!F32)</f>
        <v/>
      </c>
      <c r="D31" s="3" t="str">
        <f>IF('[1]0.1 Produksi Pangan &amp; Penduduk'!D32="","",'[1]0.1 Produksi Pangan &amp; Penduduk'!D32)</f>
        <v/>
      </c>
      <c r="E31" s="3" t="str">
        <f>IF('[1]0.1 Produksi Pangan &amp; Penduduk'!E32="","",'[1]0.1 Produksi Pangan &amp; Penduduk'!E32)</f>
        <v/>
      </c>
      <c r="F31" s="59" t="str">
        <f>IF(D31="","",VLOOKUP(D31,'[1]0.1 Produksi Pangan &amp; Penduduk'!$D$5:$J$860,7,0))</f>
        <v/>
      </c>
      <c r="G31" s="27" t="str">
        <f t="shared" si="0"/>
        <v/>
      </c>
      <c r="H31" s="27" t="str">
        <f t="shared" si="1"/>
        <v/>
      </c>
      <c r="I31" s="27" t="str">
        <f t="shared" si="2"/>
        <v/>
      </c>
      <c r="J31" s="27" t="str">
        <f t="shared" si="3"/>
        <v/>
      </c>
      <c r="K31" s="27" t="str">
        <f t="shared" si="4"/>
        <v/>
      </c>
      <c r="L31" s="59" t="str">
        <f>IF(D31="","",VLOOKUP(D31,'[1]0.1 Produksi Pangan &amp; Penduduk'!$D$5:$M$860,10,0))</f>
        <v/>
      </c>
      <c r="M31" s="28" t="str">
        <f t="shared" si="5"/>
        <v/>
      </c>
      <c r="N31" s="60" t="str">
        <f t="shared" si="6"/>
        <v/>
      </c>
      <c r="O31" s="60" t="str">
        <f t="shared" si="7"/>
        <v/>
      </c>
      <c r="P31" s="60" t="str">
        <f t="shared" si="8"/>
        <v/>
      </c>
      <c r="Q31" s="28" t="str">
        <f t="shared" si="9"/>
        <v/>
      </c>
    </row>
    <row r="32" spans="1:17" ht="15" x14ac:dyDescent="0.25">
      <c r="A32" s="3" t="str">
        <f>IF('[1]0.1 Produksi Pangan &amp; Penduduk'!A33="","",'[1]0.1 Produksi Pangan &amp; Penduduk'!A33)</f>
        <v/>
      </c>
      <c r="B32" s="2" t="str">
        <f>IF('[1]0.1 Produksi Pangan &amp; Penduduk'!B33="","",'[1]0.1 Produksi Pangan &amp; Penduduk'!B33)</f>
        <v/>
      </c>
      <c r="C32" s="2" t="str">
        <f>IF('[1]0.1 Produksi Pangan &amp; Penduduk'!F33="","",'[1]0.1 Produksi Pangan &amp; Penduduk'!F33)</f>
        <v/>
      </c>
      <c r="D32" s="3" t="str">
        <f>IF('[1]0.1 Produksi Pangan &amp; Penduduk'!D33="","",'[1]0.1 Produksi Pangan &amp; Penduduk'!D33)</f>
        <v/>
      </c>
      <c r="E32" s="3" t="str">
        <f>IF('[1]0.1 Produksi Pangan &amp; Penduduk'!E33="","",'[1]0.1 Produksi Pangan &amp; Penduduk'!E33)</f>
        <v/>
      </c>
      <c r="F32" s="59" t="str">
        <f>IF(D32="","",VLOOKUP(D32,'[1]0.1 Produksi Pangan &amp; Penduduk'!$D$5:$J$860,7,0))</f>
        <v/>
      </c>
      <c r="G32" s="27" t="str">
        <f t="shared" si="0"/>
        <v/>
      </c>
      <c r="H32" s="27" t="str">
        <f t="shared" si="1"/>
        <v/>
      </c>
      <c r="I32" s="27" t="str">
        <f t="shared" si="2"/>
        <v/>
      </c>
      <c r="J32" s="27" t="str">
        <f t="shared" si="3"/>
        <v/>
      </c>
      <c r="K32" s="27" t="str">
        <f t="shared" si="4"/>
        <v/>
      </c>
      <c r="L32" s="59" t="str">
        <f>IF(D32="","",VLOOKUP(D32,'[1]0.1 Produksi Pangan &amp; Penduduk'!$D$5:$M$860,10,0))</f>
        <v/>
      </c>
      <c r="M32" s="28" t="str">
        <f t="shared" si="5"/>
        <v/>
      </c>
      <c r="N32" s="60" t="str">
        <f t="shared" si="6"/>
        <v/>
      </c>
      <c r="O32" s="60" t="str">
        <f t="shared" si="7"/>
        <v/>
      </c>
      <c r="P32" s="60" t="str">
        <f t="shared" si="8"/>
        <v/>
      </c>
      <c r="Q32" s="28" t="str">
        <f t="shared" si="9"/>
        <v/>
      </c>
    </row>
    <row r="33" spans="1:17" ht="15" x14ac:dyDescent="0.25">
      <c r="A33" s="3" t="str">
        <f>IF('[1]0.1 Produksi Pangan &amp; Penduduk'!A34="","",'[1]0.1 Produksi Pangan &amp; Penduduk'!A34)</f>
        <v/>
      </c>
      <c r="B33" s="2" t="str">
        <f>IF('[1]0.1 Produksi Pangan &amp; Penduduk'!B34="","",'[1]0.1 Produksi Pangan &amp; Penduduk'!B34)</f>
        <v/>
      </c>
      <c r="C33" s="2" t="str">
        <f>IF('[1]0.1 Produksi Pangan &amp; Penduduk'!F34="","",'[1]0.1 Produksi Pangan &amp; Penduduk'!F34)</f>
        <v/>
      </c>
      <c r="D33" s="3" t="str">
        <f>IF('[1]0.1 Produksi Pangan &amp; Penduduk'!D34="","",'[1]0.1 Produksi Pangan &amp; Penduduk'!D34)</f>
        <v/>
      </c>
      <c r="E33" s="3" t="str">
        <f>IF('[1]0.1 Produksi Pangan &amp; Penduduk'!E34="","",'[1]0.1 Produksi Pangan &amp; Penduduk'!E34)</f>
        <v/>
      </c>
      <c r="F33" s="59" t="str">
        <f>IF(D33="","",VLOOKUP(D33,'[1]0.1 Produksi Pangan &amp; Penduduk'!$D$5:$J$860,7,0))</f>
        <v/>
      </c>
      <c r="G33" s="27" t="str">
        <f t="shared" si="0"/>
        <v/>
      </c>
      <c r="H33" s="27" t="str">
        <f t="shared" si="1"/>
        <v/>
      </c>
      <c r="I33" s="27" t="str">
        <f t="shared" si="2"/>
        <v/>
      </c>
      <c r="J33" s="27" t="str">
        <f t="shared" si="3"/>
        <v/>
      </c>
      <c r="K33" s="27" t="str">
        <f t="shared" si="4"/>
        <v/>
      </c>
      <c r="L33" s="59" t="str">
        <f>IF(D33="","",VLOOKUP(D33,'[1]0.1 Produksi Pangan &amp; Penduduk'!$D$5:$M$860,10,0))</f>
        <v/>
      </c>
      <c r="M33" s="28" t="str">
        <f t="shared" si="5"/>
        <v/>
      </c>
      <c r="N33" s="60" t="str">
        <f t="shared" si="6"/>
        <v/>
      </c>
      <c r="O33" s="60" t="str">
        <f t="shared" si="7"/>
        <v/>
      </c>
      <c r="P33" s="60" t="str">
        <f t="shared" si="8"/>
        <v/>
      </c>
      <c r="Q33" s="28" t="str">
        <f t="shared" si="9"/>
        <v/>
      </c>
    </row>
    <row r="34" spans="1:17" ht="15" x14ac:dyDescent="0.25">
      <c r="A34" s="3" t="str">
        <f>IF('[1]0.1 Produksi Pangan &amp; Penduduk'!A35="","",'[1]0.1 Produksi Pangan &amp; Penduduk'!A35)</f>
        <v/>
      </c>
      <c r="B34" s="2" t="str">
        <f>IF('[1]0.1 Produksi Pangan &amp; Penduduk'!B35="","",'[1]0.1 Produksi Pangan &amp; Penduduk'!B35)</f>
        <v/>
      </c>
      <c r="C34" s="2" t="str">
        <f>IF('[1]0.1 Produksi Pangan &amp; Penduduk'!F35="","",'[1]0.1 Produksi Pangan &amp; Penduduk'!F35)</f>
        <v/>
      </c>
      <c r="D34" s="3" t="str">
        <f>IF('[1]0.1 Produksi Pangan &amp; Penduduk'!D35="","",'[1]0.1 Produksi Pangan &amp; Penduduk'!D35)</f>
        <v/>
      </c>
      <c r="E34" s="3" t="str">
        <f>IF('[1]0.1 Produksi Pangan &amp; Penduduk'!E35="","",'[1]0.1 Produksi Pangan &amp; Penduduk'!E35)</f>
        <v/>
      </c>
      <c r="F34" s="59" t="str">
        <f>IF(D34="","",VLOOKUP(D34,'[1]0.1 Produksi Pangan &amp; Penduduk'!$D$5:$J$860,7,0))</f>
        <v/>
      </c>
      <c r="G34" s="27" t="str">
        <f t="shared" si="0"/>
        <v/>
      </c>
      <c r="H34" s="27" t="str">
        <f t="shared" si="1"/>
        <v/>
      </c>
      <c r="I34" s="27" t="str">
        <f t="shared" si="2"/>
        <v/>
      </c>
      <c r="J34" s="27" t="str">
        <f t="shared" si="3"/>
        <v/>
      </c>
      <c r="K34" s="27" t="str">
        <f t="shared" si="4"/>
        <v/>
      </c>
      <c r="L34" s="59" t="str">
        <f>IF(D34="","",VLOOKUP(D34,'[1]0.1 Produksi Pangan &amp; Penduduk'!$D$5:$M$860,10,0))</f>
        <v/>
      </c>
      <c r="M34" s="28" t="str">
        <f t="shared" si="5"/>
        <v/>
      </c>
      <c r="N34" s="60" t="str">
        <f t="shared" si="6"/>
        <v/>
      </c>
      <c r="O34" s="60" t="str">
        <f t="shared" si="7"/>
        <v/>
      </c>
      <c r="P34" s="60" t="str">
        <f t="shared" si="8"/>
        <v/>
      </c>
      <c r="Q34" s="28" t="str">
        <f t="shared" si="9"/>
        <v/>
      </c>
    </row>
    <row r="35" spans="1:17" ht="15" x14ac:dyDescent="0.25">
      <c r="A35" s="3" t="str">
        <f>IF('[1]0.1 Produksi Pangan &amp; Penduduk'!A36="","",'[1]0.1 Produksi Pangan &amp; Penduduk'!A36)</f>
        <v/>
      </c>
      <c r="B35" s="2" t="str">
        <f>IF('[1]0.1 Produksi Pangan &amp; Penduduk'!B36="","",'[1]0.1 Produksi Pangan &amp; Penduduk'!B36)</f>
        <v/>
      </c>
      <c r="C35" s="2" t="str">
        <f>IF('[1]0.1 Produksi Pangan &amp; Penduduk'!F36="","",'[1]0.1 Produksi Pangan &amp; Penduduk'!F36)</f>
        <v/>
      </c>
      <c r="D35" s="3" t="str">
        <f>IF('[1]0.1 Produksi Pangan &amp; Penduduk'!D36="","",'[1]0.1 Produksi Pangan &amp; Penduduk'!D36)</f>
        <v/>
      </c>
      <c r="E35" s="3" t="str">
        <f>IF('[1]0.1 Produksi Pangan &amp; Penduduk'!E36="","",'[1]0.1 Produksi Pangan &amp; Penduduk'!E36)</f>
        <v/>
      </c>
      <c r="F35" s="59" t="str">
        <f>IF(D35="","",VLOOKUP(D35,'[1]0.1 Produksi Pangan &amp; Penduduk'!$D$5:$J$860,7,0))</f>
        <v/>
      </c>
      <c r="G35" s="27" t="str">
        <f t="shared" si="0"/>
        <v/>
      </c>
      <c r="H35" s="27" t="str">
        <f t="shared" si="1"/>
        <v/>
      </c>
      <c r="I35" s="27" t="str">
        <f t="shared" si="2"/>
        <v/>
      </c>
      <c r="J35" s="27" t="str">
        <f t="shared" si="3"/>
        <v/>
      </c>
      <c r="K35" s="27" t="str">
        <f t="shared" si="4"/>
        <v/>
      </c>
      <c r="L35" s="59" t="str">
        <f>IF(D35="","",VLOOKUP(D35,'[1]0.1 Produksi Pangan &amp; Penduduk'!$D$5:$M$860,10,0))</f>
        <v/>
      </c>
      <c r="M35" s="28" t="str">
        <f t="shared" si="5"/>
        <v/>
      </c>
      <c r="N35" s="60" t="str">
        <f t="shared" si="6"/>
        <v/>
      </c>
      <c r="O35" s="60" t="str">
        <f t="shared" si="7"/>
        <v/>
      </c>
      <c r="P35" s="60" t="str">
        <f t="shared" si="8"/>
        <v/>
      </c>
      <c r="Q35" s="28" t="str">
        <f t="shared" si="9"/>
        <v/>
      </c>
    </row>
    <row r="36" spans="1:17" ht="15" x14ac:dyDescent="0.25">
      <c r="A36" s="3" t="str">
        <f>IF('[1]0.1 Produksi Pangan &amp; Penduduk'!A37="","",'[1]0.1 Produksi Pangan &amp; Penduduk'!A37)</f>
        <v/>
      </c>
      <c r="B36" s="2" t="str">
        <f>IF('[1]0.1 Produksi Pangan &amp; Penduduk'!B37="","",'[1]0.1 Produksi Pangan &amp; Penduduk'!B37)</f>
        <v/>
      </c>
      <c r="C36" s="2" t="str">
        <f>IF('[1]0.1 Produksi Pangan &amp; Penduduk'!F37="","",'[1]0.1 Produksi Pangan &amp; Penduduk'!F37)</f>
        <v/>
      </c>
      <c r="D36" s="3" t="str">
        <f>IF('[1]0.1 Produksi Pangan &amp; Penduduk'!D37="","",'[1]0.1 Produksi Pangan &amp; Penduduk'!D37)</f>
        <v/>
      </c>
      <c r="E36" s="3" t="str">
        <f>IF('[1]0.1 Produksi Pangan &amp; Penduduk'!E37="","",'[1]0.1 Produksi Pangan &amp; Penduduk'!E37)</f>
        <v/>
      </c>
      <c r="F36" s="59" t="str">
        <f>IF(D36="","",VLOOKUP(D36,'[1]0.1 Produksi Pangan &amp; Penduduk'!$D$5:$J$860,7,0))</f>
        <v/>
      </c>
      <c r="G36" s="27" t="str">
        <f t="shared" si="0"/>
        <v/>
      </c>
      <c r="H36" s="27" t="str">
        <f t="shared" si="1"/>
        <v/>
      </c>
      <c r="I36" s="27" t="str">
        <f t="shared" si="2"/>
        <v/>
      </c>
      <c r="J36" s="27" t="str">
        <f t="shared" si="3"/>
        <v/>
      </c>
      <c r="K36" s="27" t="str">
        <f t="shared" si="4"/>
        <v/>
      </c>
      <c r="L36" s="59" t="str">
        <f>IF(D36="","",VLOOKUP(D36,'[1]0.1 Produksi Pangan &amp; Penduduk'!$D$5:$M$860,10,0))</f>
        <v/>
      </c>
      <c r="M36" s="28" t="str">
        <f t="shared" si="5"/>
        <v/>
      </c>
      <c r="N36" s="60" t="str">
        <f t="shared" si="6"/>
        <v/>
      </c>
      <c r="O36" s="60" t="str">
        <f t="shared" si="7"/>
        <v/>
      </c>
      <c r="P36" s="60" t="str">
        <f t="shared" si="8"/>
        <v/>
      </c>
      <c r="Q36" s="28" t="str">
        <f t="shared" si="9"/>
        <v/>
      </c>
    </row>
    <row r="37" spans="1:17" ht="15" x14ac:dyDescent="0.25">
      <c r="A37" s="3" t="str">
        <f>IF('[1]0.1 Produksi Pangan &amp; Penduduk'!A38="","",'[1]0.1 Produksi Pangan &amp; Penduduk'!A38)</f>
        <v/>
      </c>
      <c r="B37" s="2" t="str">
        <f>IF('[1]0.1 Produksi Pangan &amp; Penduduk'!B38="","",'[1]0.1 Produksi Pangan &amp; Penduduk'!B38)</f>
        <v/>
      </c>
      <c r="C37" s="2" t="str">
        <f>IF('[1]0.1 Produksi Pangan &amp; Penduduk'!F38="","",'[1]0.1 Produksi Pangan &amp; Penduduk'!F38)</f>
        <v/>
      </c>
      <c r="D37" s="3" t="str">
        <f>IF('[1]0.1 Produksi Pangan &amp; Penduduk'!D38="","",'[1]0.1 Produksi Pangan &amp; Penduduk'!D38)</f>
        <v/>
      </c>
      <c r="E37" s="3" t="str">
        <f>IF('[1]0.1 Produksi Pangan &amp; Penduduk'!E38="","",'[1]0.1 Produksi Pangan &amp; Penduduk'!E38)</f>
        <v/>
      </c>
      <c r="F37" s="59" t="str">
        <f>IF(D37="","",VLOOKUP(D37,'[1]0.1 Produksi Pangan &amp; Penduduk'!$D$5:$J$860,7,0))</f>
        <v/>
      </c>
      <c r="G37" s="27" t="str">
        <f t="shared" si="0"/>
        <v/>
      </c>
      <c r="H37" s="27" t="str">
        <f t="shared" si="1"/>
        <v/>
      </c>
      <c r="I37" s="27" t="str">
        <f t="shared" si="2"/>
        <v/>
      </c>
      <c r="J37" s="27" t="str">
        <f t="shared" si="3"/>
        <v/>
      </c>
      <c r="K37" s="27" t="str">
        <f t="shared" si="4"/>
        <v/>
      </c>
      <c r="L37" s="59" t="str">
        <f>IF(D37="","",VLOOKUP(D37,'[1]0.1 Produksi Pangan &amp; Penduduk'!$D$5:$M$860,10,0))</f>
        <v/>
      </c>
      <c r="M37" s="28" t="str">
        <f t="shared" si="5"/>
        <v/>
      </c>
      <c r="N37" s="60" t="str">
        <f t="shared" si="6"/>
        <v/>
      </c>
      <c r="O37" s="60" t="str">
        <f t="shared" si="7"/>
        <v/>
      </c>
      <c r="P37" s="60" t="str">
        <f t="shared" si="8"/>
        <v/>
      </c>
      <c r="Q37" s="28" t="str">
        <f t="shared" si="9"/>
        <v/>
      </c>
    </row>
    <row r="38" spans="1:17" ht="15" x14ac:dyDescent="0.25">
      <c r="A38" s="3" t="str">
        <f>IF('[1]0.1 Produksi Pangan &amp; Penduduk'!A39="","",'[1]0.1 Produksi Pangan &amp; Penduduk'!A39)</f>
        <v/>
      </c>
      <c r="B38" s="2" t="str">
        <f>IF('[1]0.1 Produksi Pangan &amp; Penduduk'!B39="","",'[1]0.1 Produksi Pangan &amp; Penduduk'!B39)</f>
        <v/>
      </c>
      <c r="C38" s="2" t="str">
        <f>IF('[1]0.1 Produksi Pangan &amp; Penduduk'!F39="","",'[1]0.1 Produksi Pangan &amp; Penduduk'!F39)</f>
        <v/>
      </c>
      <c r="D38" s="3" t="str">
        <f>IF('[1]0.1 Produksi Pangan &amp; Penduduk'!D39="","",'[1]0.1 Produksi Pangan &amp; Penduduk'!D39)</f>
        <v/>
      </c>
      <c r="E38" s="3" t="str">
        <f>IF('[1]0.1 Produksi Pangan &amp; Penduduk'!E39="","",'[1]0.1 Produksi Pangan &amp; Penduduk'!E39)</f>
        <v/>
      </c>
      <c r="F38" s="59" t="str">
        <f>IF(D38="","",VLOOKUP(D38,'[1]0.1 Produksi Pangan &amp; Penduduk'!$D$5:$J$860,7,0))</f>
        <v/>
      </c>
      <c r="G38" s="27" t="str">
        <f t="shared" si="0"/>
        <v/>
      </c>
      <c r="H38" s="27" t="str">
        <f t="shared" si="1"/>
        <v/>
      </c>
      <c r="I38" s="27" t="str">
        <f t="shared" si="2"/>
        <v/>
      </c>
      <c r="J38" s="27" t="str">
        <f t="shared" si="3"/>
        <v/>
      </c>
      <c r="K38" s="27" t="str">
        <f t="shared" si="4"/>
        <v/>
      </c>
      <c r="L38" s="59" t="str">
        <f>IF(D38="","",VLOOKUP(D38,'[1]0.1 Produksi Pangan &amp; Penduduk'!$D$5:$M$860,10,0))</f>
        <v/>
      </c>
      <c r="M38" s="28" t="str">
        <f t="shared" si="5"/>
        <v/>
      </c>
      <c r="N38" s="60" t="str">
        <f t="shared" si="6"/>
        <v/>
      </c>
      <c r="O38" s="60" t="str">
        <f t="shared" si="7"/>
        <v/>
      </c>
      <c r="P38" s="60" t="str">
        <f t="shared" si="8"/>
        <v/>
      </c>
      <c r="Q38" s="28" t="str">
        <f t="shared" si="9"/>
        <v/>
      </c>
    </row>
    <row r="39" spans="1:17" ht="15" x14ac:dyDescent="0.25">
      <c r="A39" s="3" t="str">
        <f>IF('[1]0.1 Produksi Pangan &amp; Penduduk'!A40="","",'[1]0.1 Produksi Pangan &amp; Penduduk'!A40)</f>
        <v/>
      </c>
      <c r="B39" s="2" t="str">
        <f>IF('[1]0.1 Produksi Pangan &amp; Penduduk'!B40="","",'[1]0.1 Produksi Pangan &amp; Penduduk'!B40)</f>
        <v/>
      </c>
      <c r="C39" s="2" t="str">
        <f>IF('[1]0.1 Produksi Pangan &amp; Penduduk'!F40="","",'[1]0.1 Produksi Pangan &amp; Penduduk'!F40)</f>
        <v/>
      </c>
      <c r="D39" s="3" t="str">
        <f>IF('[1]0.1 Produksi Pangan &amp; Penduduk'!D40="","",'[1]0.1 Produksi Pangan &amp; Penduduk'!D40)</f>
        <v/>
      </c>
      <c r="E39" s="3" t="str">
        <f>IF('[1]0.1 Produksi Pangan &amp; Penduduk'!E40="","",'[1]0.1 Produksi Pangan &amp; Penduduk'!E40)</f>
        <v/>
      </c>
      <c r="F39" s="59" t="str">
        <f>IF(D39="","",VLOOKUP(D39,'[1]0.1 Produksi Pangan &amp; Penduduk'!$D$5:$J$860,7,0))</f>
        <v/>
      </c>
      <c r="G39" s="27" t="str">
        <f t="shared" si="0"/>
        <v/>
      </c>
      <c r="H39" s="27" t="str">
        <f t="shared" si="1"/>
        <v/>
      </c>
      <c r="I39" s="27" t="str">
        <f t="shared" si="2"/>
        <v/>
      </c>
      <c r="J39" s="27" t="str">
        <f t="shared" si="3"/>
        <v/>
      </c>
      <c r="K39" s="27" t="str">
        <f t="shared" si="4"/>
        <v/>
      </c>
      <c r="L39" s="59" t="str">
        <f>IF(D39="","",VLOOKUP(D39,'[1]0.1 Produksi Pangan &amp; Penduduk'!$D$5:$M$860,10,0))</f>
        <v/>
      </c>
      <c r="M39" s="28" t="str">
        <f t="shared" si="5"/>
        <v/>
      </c>
      <c r="N39" s="60" t="str">
        <f t="shared" si="6"/>
        <v/>
      </c>
      <c r="O39" s="60" t="str">
        <f t="shared" si="7"/>
        <v/>
      </c>
      <c r="P39" s="60" t="str">
        <f t="shared" si="8"/>
        <v/>
      </c>
      <c r="Q39" s="28" t="str">
        <f t="shared" si="9"/>
        <v/>
      </c>
    </row>
    <row r="40" spans="1:17" ht="15" x14ac:dyDescent="0.25">
      <c r="A40" s="3" t="str">
        <f>IF('[1]0.1 Produksi Pangan &amp; Penduduk'!A41="","",'[1]0.1 Produksi Pangan &amp; Penduduk'!A41)</f>
        <v/>
      </c>
      <c r="B40" s="2" t="str">
        <f>IF('[1]0.1 Produksi Pangan &amp; Penduduk'!B41="","",'[1]0.1 Produksi Pangan &amp; Penduduk'!B41)</f>
        <v/>
      </c>
      <c r="C40" s="2" t="str">
        <f>IF('[1]0.1 Produksi Pangan &amp; Penduduk'!F41="","",'[1]0.1 Produksi Pangan &amp; Penduduk'!F41)</f>
        <v/>
      </c>
      <c r="D40" s="3" t="str">
        <f>IF('[1]0.1 Produksi Pangan &amp; Penduduk'!D41="","",'[1]0.1 Produksi Pangan &amp; Penduduk'!D41)</f>
        <v/>
      </c>
      <c r="E40" s="3" t="str">
        <f>IF('[1]0.1 Produksi Pangan &amp; Penduduk'!E41="","",'[1]0.1 Produksi Pangan &amp; Penduduk'!E41)</f>
        <v/>
      </c>
      <c r="F40" s="59" t="str">
        <f>IF(D40="","",VLOOKUP(D40,'[1]0.1 Produksi Pangan &amp; Penduduk'!$D$5:$J$860,7,0))</f>
        <v/>
      </c>
      <c r="G40" s="27" t="str">
        <f t="shared" si="0"/>
        <v/>
      </c>
      <c r="H40" s="27" t="str">
        <f t="shared" si="1"/>
        <v/>
      </c>
      <c r="I40" s="27" t="str">
        <f t="shared" si="2"/>
        <v/>
      </c>
      <c r="J40" s="27" t="str">
        <f t="shared" si="3"/>
        <v/>
      </c>
      <c r="K40" s="27" t="str">
        <f t="shared" si="4"/>
        <v/>
      </c>
      <c r="L40" s="59" t="str">
        <f>IF(D40="","",VLOOKUP(D40,'[1]0.1 Produksi Pangan &amp; Penduduk'!$D$5:$M$860,10,0))</f>
        <v/>
      </c>
      <c r="M40" s="28" t="str">
        <f t="shared" si="5"/>
        <v/>
      </c>
      <c r="N40" s="60" t="str">
        <f t="shared" si="6"/>
        <v/>
      </c>
      <c r="O40" s="60" t="str">
        <f t="shared" si="7"/>
        <v/>
      </c>
      <c r="P40" s="60" t="str">
        <f t="shared" si="8"/>
        <v/>
      </c>
      <c r="Q40" s="28" t="str">
        <f t="shared" si="9"/>
        <v/>
      </c>
    </row>
    <row r="41" spans="1:17" ht="15" x14ac:dyDescent="0.25">
      <c r="A41" s="3" t="str">
        <f>IF('[1]0.1 Produksi Pangan &amp; Penduduk'!A42="","",'[1]0.1 Produksi Pangan &amp; Penduduk'!A42)</f>
        <v/>
      </c>
      <c r="B41" s="2" t="str">
        <f>IF('[1]0.1 Produksi Pangan &amp; Penduduk'!B42="","",'[1]0.1 Produksi Pangan &amp; Penduduk'!B42)</f>
        <v/>
      </c>
      <c r="C41" s="2" t="str">
        <f>IF('[1]0.1 Produksi Pangan &amp; Penduduk'!F42="","",'[1]0.1 Produksi Pangan &amp; Penduduk'!F42)</f>
        <v/>
      </c>
      <c r="D41" s="3" t="str">
        <f>IF('[1]0.1 Produksi Pangan &amp; Penduduk'!D42="","",'[1]0.1 Produksi Pangan &amp; Penduduk'!D42)</f>
        <v/>
      </c>
      <c r="E41" s="3" t="str">
        <f>IF('[1]0.1 Produksi Pangan &amp; Penduduk'!E42="","",'[1]0.1 Produksi Pangan &amp; Penduduk'!E42)</f>
        <v/>
      </c>
      <c r="F41" s="59" t="str">
        <f>IF(D41="","",VLOOKUP(D41,'[1]0.1 Produksi Pangan &amp; Penduduk'!$D$5:$J$860,7,0))</f>
        <v/>
      </c>
      <c r="G41" s="27" t="str">
        <f t="shared" si="0"/>
        <v/>
      </c>
      <c r="H41" s="27" t="str">
        <f t="shared" si="1"/>
        <v/>
      </c>
      <c r="I41" s="27" t="str">
        <f t="shared" si="2"/>
        <v/>
      </c>
      <c r="J41" s="27" t="str">
        <f t="shared" si="3"/>
        <v/>
      </c>
      <c r="K41" s="27" t="str">
        <f t="shared" si="4"/>
        <v/>
      </c>
      <c r="L41" s="59" t="str">
        <f>IF(D41="","",VLOOKUP(D41,'[1]0.1 Produksi Pangan &amp; Penduduk'!$D$5:$M$860,10,0))</f>
        <v/>
      </c>
      <c r="M41" s="28" t="str">
        <f t="shared" si="5"/>
        <v/>
      </c>
      <c r="N41" s="60" t="str">
        <f t="shared" si="6"/>
        <v/>
      </c>
      <c r="O41" s="60" t="str">
        <f t="shared" si="7"/>
        <v/>
      </c>
      <c r="P41" s="60" t="str">
        <f t="shared" si="8"/>
        <v/>
      </c>
      <c r="Q41" s="28" t="str">
        <f t="shared" si="9"/>
        <v/>
      </c>
    </row>
    <row r="42" spans="1:17" ht="15" x14ac:dyDescent="0.25">
      <c r="A42" s="3" t="str">
        <f>IF('[1]0.1 Produksi Pangan &amp; Penduduk'!A43="","",'[1]0.1 Produksi Pangan &amp; Penduduk'!A43)</f>
        <v/>
      </c>
      <c r="B42" s="2" t="str">
        <f>IF('[1]0.1 Produksi Pangan &amp; Penduduk'!B43="","",'[1]0.1 Produksi Pangan &amp; Penduduk'!B43)</f>
        <v/>
      </c>
      <c r="C42" s="2" t="str">
        <f>IF('[1]0.1 Produksi Pangan &amp; Penduduk'!F43="","",'[1]0.1 Produksi Pangan &amp; Penduduk'!F43)</f>
        <v/>
      </c>
      <c r="D42" s="3" t="str">
        <f>IF('[1]0.1 Produksi Pangan &amp; Penduduk'!D43="","",'[1]0.1 Produksi Pangan &amp; Penduduk'!D43)</f>
        <v/>
      </c>
      <c r="E42" s="3" t="str">
        <f>IF('[1]0.1 Produksi Pangan &amp; Penduduk'!E43="","",'[1]0.1 Produksi Pangan &amp; Penduduk'!E43)</f>
        <v/>
      </c>
      <c r="F42" s="59" t="str">
        <f>IF(D42="","",VLOOKUP(D42,'[1]0.1 Produksi Pangan &amp; Penduduk'!$D$5:$J$860,7,0))</f>
        <v/>
      </c>
      <c r="G42" s="27" t="str">
        <f t="shared" si="0"/>
        <v/>
      </c>
      <c r="H42" s="27" t="str">
        <f t="shared" si="1"/>
        <v/>
      </c>
      <c r="I42" s="27" t="str">
        <f t="shared" si="2"/>
        <v/>
      </c>
      <c r="J42" s="27" t="str">
        <f t="shared" si="3"/>
        <v/>
      </c>
      <c r="K42" s="27" t="str">
        <f t="shared" si="4"/>
        <v/>
      </c>
      <c r="L42" s="59" t="str">
        <f>IF(D42="","",VLOOKUP(D42,'[1]0.1 Produksi Pangan &amp; Penduduk'!$D$5:$M$860,10,0))</f>
        <v/>
      </c>
      <c r="M42" s="28" t="str">
        <f t="shared" si="5"/>
        <v/>
      </c>
      <c r="N42" s="60" t="str">
        <f t="shared" si="6"/>
        <v/>
      </c>
      <c r="O42" s="60" t="str">
        <f t="shared" si="7"/>
        <v/>
      </c>
      <c r="P42" s="60" t="str">
        <f t="shared" si="8"/>
        <v/>
      </c>
      <c r="Q42" s="28" t="str">
        <f t="shared" si="9"/>
        <v/>
      </c>
    </row>
    <row r="43" spans="1:17" ht="15" x14ac:dyDescent="0.25">
      <c r="A43" s="3" t="str">
        <f>IF('[1]0.1 Produksi Pangan &amp; Penduduk'!A44="","",'[1]0.1 Produksi Pangan &amp; Penduduk'!A44)</f>
        <v/>
      </c>
      <c r="B43" s="2" t="str">
        <f>IF('[1]0.1 Produksi Pangan &amp; Penduduk'!B44="","",'[1]0.1 Produksi Pangan &amp; Penduduk'!B44)</f>
        <v/>
      </c>
      <c r="C43" s="2" t="str">
        <f>IF('[1]0.1 Produksi Pangan &amp; Penduduk'!F44="","",'[1]0.1 Produksi Pangan &amp; Penduduk'!F44)</f>
        <v/>
      </c>
      <c r="D43" s="3" t="str">
        <f>IF('[1]0.1 Produksi Pangan &amp; Penduduk'!D44="","",'[1]0.1 Produksi Pangan &amp; Penduduk'!D44)</f>
        <v/>
      </c>
      <c r="E43" s="3" t="str">
        <f>IF('[1]0.1 Produksi Pangan &amp; Penduduk'!E44="","",'[1]0.1 Produksi Pangan &amp; Penduduk'!E44)</f>
        <v/>
      </c>
      <c r="F43" s="59" t="str">
        <f>IF(D43="","",VLOOKUP(D43,'[1]0.1 Produksi Pangan &amp; Penduduk'!$D$5:$J$860,7,0))</f>
        <v/>
      </c>
      <c r="G43" s="27" t="str">
        <f t="shared" si="0"/>
        <v/>
      </c>
      <c r="H43" s="27" t="str">
        <f t="shared" si="1"/>
        <v/>
      </c>
      <c r="I43" s="27" t="str">
        <f t="shared" si="2"/>
        <v/>
      </c>
      <c r="J43" s="27" t="str">
        <f t="shared" si="3"/>
        <v/>
      </c>
      <c r="K43" s="27" t="str">
        <f t="shared" si="4"/>
        <v/>
      </c>
      <c r="L43" s="59" t="str">
        <f>IF(D43="","",VLOOKUP(D43,'[1]0.1 Produksi Pangan &amp; Penduduk'!$D$5:$M$860,10,0))</f>
        <v/>
      </c>
      <c r="M43" s="28" t="str">
        <f t="shared" si="5"/>
        <v/>
      </c>
      <c r="N43" s="60" t="str">
        <f t="shared" si="6"/>
        <v/>
      </c>
      <c r="O43" s="60" t="str">
        <f t="shared" si="7"/>
        <v/>
      </c>
      <c r="P43" s="60" t="str">
        <f t="shared" si="8"/>
        <v/>
      </c>
      <c r="Q43" s="28" t="str">
        <f t="shared" si="9"/>
        <v/>
      </c>
    </row>
    <row r="44" spans="1:17" ht="15" x14ac:dyDescent="0.25">
      <c r="A44" s="3" t="str">
        <f>IF('[1]0.1 Produksi Pangan &amp; Penduduk'!A45="","",'[1]0.1 Produksi Pangan &amp; Penduduk'!A45)</f>
        <v/>
      </c>
      <c r="B44" s="2" t="str">
        <f>IF('[1]0.1 Produksi Pangan &amp; Penduduk'!B45="","",'[1]0.1 Produksi Pangan &amp; Penduduk'!B45)</f>
        <v/>
      </c>
      <c r="C44" s="2" t="str">
        <f>IF('[1]0.1 Produksi Pangan &amp; Penduduk'!F45="","",'[1]0.1 Produksi Pangan &amp; Penduduk'!F45)</f>
        <v/>
      </c>
      <c r="D44" s="3" t="str">
        <f>IF('[1]0.1 Produksi Pangan &amp; Penduduk'!D45="","",'[1]0.1 Produksi Pangan &amp; Penduduk'!D45)</f>
        <v/>
      </c>
      <c r="E44" s="3" t="str">
        <f>IF('[1]0.1 Produksi Pangan &amp; Penduduk'!E45="","",'[1]0.1 Produksi Pangan &amp; Penduduk'!E45)</f>
        <v/>
      </c>
      <c r="F44" s="59" t="str">
        <f>IF(D44="","",VLOOKUP(D44,'[1]0.1 Produksi Pangan &amp; Penduduk'!$D$5:$J$860,7,0))</f>
        <v/>
      </c>
      <c r="G44" s="27" t="str">
        <f t="shared" si="0"/>
        <v/>
      </c>
      <c r="H44" s="27" t="str">
        <f t="shared" si="1"/>
        <v/>
      </c>
      <c r="I44" s="27" t="str">
        <f t="shared" si="2"/>
        <v/>
      </c>
      <c r="J44" s="27" t="str">
        <f t="shared" si="3"/>
        <v/>
      </c>
      <c r="K44" s="27" t="str">
        <f t="shared" si="4"/>
        <v/>
      </c>
      <c r="L44" s="59" t="str">
        <f>IF(D44="","",VLOOKUP(D44,'[1]0.1 Produksi Pangan &amp; Penduduk'!$D$5:$M$860,10,0))</f>
        <v/>
      </c>
      <c r="M44" s="28" t="str">
        <f t="shared" si="5"/>
        <v/>
      </c>
      <c r="N44" s="60" t="str">
        <f t="shared" si="6"/>
        <v/>
      </c>
      <c r="O44" s="60" t="str">
        <f t="shared" si="7"/>
        <v/>
      </c>
      <c r="P44" s="60" t="str">
        <f t="shared" si="8"/>
        <v/>
      </c>
      <c r="Q44" s="28" t="str">
        <f t="shared" si="9"/>
        <v/>
      </c>
    </row>
    <row r="45" spans="1:17" ht="15" x14ac:dyDescent="0.25">
      <c r="A45" s="3" t="str">
        <f>IF('[1]0.1 Produksi Pangan &amp; Penduduk'!A46="","",'[1]0.1 Produksi Pangan &amp; Penduduk'!A46)</f>
        <v/>
      </c>
      <c r="B45" s="2" t="str">
        <f>IF('[1]0.1 Produksi Pangan &amp; Penduduk'!B46="","",'[1]0.1 Produksi Pangan &amp; Penduduk'!B46)</f>
        <v/>
      </c>
      <c r="C45" s="2" t="str">
        <f>IF('[1]0.1 Produksi Pangan &amp; Penduduk'!F46="","",'[1]0.1 Produksi Pangan &amp; Penduduk'!F46)</f>
        <v/>
      </c>
      <c r="D45" s="3" t="str">
        <f>IF('[1]0.1 Produksi Pangan &amp; Penduduk'!D46="","",'[1]0.1 Produksi Pangan &amp; Penduduk'!D46)</f>
        <v/>
      </c>
      <c r="E45" s="3" t="str">
        <f>IF('[1]0.1 Produksi Pangan &amp; Penduduk'!E46="","",'[1]0.1 Produksi Pangan &amp; Penduduk'!E46)</f>
        <v/>
      </c>
      <c r="F45" s="59" t="str">
        <f>IF(D45="","",VLOOKUP(D45,'[1]0.1 Produksi Pangan &amp; Penduduk'!$D$5:$J$860,7,0))</f>
        <v/>
      </c>
      <c r="G45" s="27" t="str">
        <f t="shared" si="0"/>
        <v/>
      </c>
      <c r="H45" s="27" t="str">
        <f t="shared" si="1"/>
        <v/>
      </c>
      <c r="I45" s="27" t="str">
        <f t="shared" si="2"/>
        <v/>
      </c>
      <c r="J45" s="27" t="str">
        <f t="shared" si="3"/>
        <v/>
      </c>
      <c r="K45" s="27" t="str">
        <f t="shared" si="4"/>
        <v/>
      </c>
      <c r="L45" s="59" t="str">
        <f>IF(D45="","",VLOOKUP(D45,'[1]0.1 Produksi Pangan &amp; Penduduk'!$D$5:$M$860,10,0))</f>
        <v/>
      </c>
      <c r="M45" s="28" t="str">
        <f t="shared" si="5"/>
        <v/>
      </c>
      <c r="N45" s="60" t="str">
        <f t="shared" si="6"/>
        <v/>
      </c>
      <c r="O45" s="60" t="str">
        <f t="shared" si="7"/>
        <v/>
      </c>
      <c r="P45" s="60" t="str">
        <f t="shared" si="8"/>
        <v/>
      </c>
      <c r="Q45" s="28" t="str">
        <f t="shared" si="9"/>
        <v/>
      </c>
    </row>
    <row r="46" spans="1:17" ht="15" x14ac:dyDescent="0.25">
      <c r="A46" s="3" t="str">
        <f>IF('[1]0.1 Produksi Pangan &amp; Penduduk'!A47="","",'[1]0.1 Produksi Pangan &amp; Penduduk'!A47)</f>
        <v/>
      </c>
      <c r="B46" s="2" t="str">
        <f>IF('[1]0.1 Produksi Pangan &amp; Penduduk'!B47="","",'[1]0.1 Produksi Pangan &amp; Penduduk'!B47)</f>
        <v/>
      </c>
      <c r="C46" s="2" t="str">
        <f>IF('[1]0.1 Produksi Pangan &amp; Penduduk'!F47="","",'[1]0.1 Produksi Pangan &amp; Penduduk'!F47)</f>
        <v/>
      </c>
      <c r="D46" s="3" t="str">
        <f>IF('[1]0.1 Produksi Pangan &amp; Penduduk'!D47="","",'[1]0.1 Produksi Pangan &amp; Penduduk'!D47)</f>
        <v/>
      </c>
      <c r="E46" s="3" t="str">
        <f>IF('[1]0.1 Produksi Pangan &amp; Penduduk'!E47="","",'[1]0.1 Produksi Pangan &amp; Penduduk'!E47)</f>
        <v/>
      </c>
      <c r="F46" s="59" t="str">
        <f>IF(D46="","",VLOOKUP(D46,'[1]0.1 Produksi Pangan &amp; Penduduk'!$D$5:$J$860,7,0))</f>
        <v/>
      </c>
      <c r="G46" s="27" t="str">
        <f t="shared" si="0"/>
        <v/>
      </c>
      <c r="H46" s="27" t="str">
        <f t="shared" si="1"/>
        <v/>
      </c>
      <c r="I46" s="27" t="str">
        <f t="shared" si="2"/>
        <v/>
      </c>
      <c r="J46" s="27" t="str">
        <f t="shared" si="3"/>
        <v/>
      </c>
      <c r="K46" s="27" t="str">
        <f t="shared" si="4"/>
        <v/>
      </c>
      <c r="L46" s="59" t="str">
        <f>IF(D46="","",VLOOKUP(D46,'[1]0.1 Produksi Pangan &amp; Penduduk'!$D$5:$M$860,10,0))</f>
        <v/>
      </c>
      <c r="M46" s="28" t="str">
        <f t="shared" si="5"/>
        <v/>
      </c>
      <c r="N46" s="60" t="str">
        <f t="shared" si="6"/>
        <v/>
      </c>
      <c r="O46" s="60" t="str">
        <f t="shared" si="7"/>
        <v/>
      </c>
      <c r="P46" s="60" t="str">
        <f t="shared" si="8"/>
        <v/>
      </c>
      <c r="Q46" s="28" t="str">
        <f t="shared" si="9"/>
        <v/>
      </c>
    </row>
    <row r="47" spans="1:17" ht="15" x14ac:dyDescent="0.25">
      <c r="A47" s="3" t="str">
        <f>IF('[1]0.1 Produksi Pangan &amp; Penduduk'!A48="","",'[1]0.1 Produksi Pangan &amp; Penduduk'!A48)</f>
        <v/>
      </c>
      <c r="B47" s="2" t="str">
        <f>IF('[1]0.1 Produksi Pangan &amp; Penduduk'!B48="","",'[1]0.1 Produksi Pangan &amp; Penduduk'!B48)</f>
        <v/>
      </c>
      <c r="C47" s="2" t="str">
        <f>IF('[1]0.1 Produksi Pangan &amp; Penduduk'!F48="","",'[1]0.1 Produksi Pangan &amp; Penduduk'!F48)</f>
        <v/>
      </c>
      <c r="D47" s="3" t="str">
        <f>IF('[1]0.1 Produksi Pangan &amp; Penduduk'!D48="","",'[1]0.1 Produksi Pangan &amp; Penduduk'!D48)</f>
        <v/>
      </c>
      <c r="E47" s="3" t="str">
        <f>IF('[1]0.1 Produksi Pangan &amp; Penduduk'!E48="","",'[1]0.1 Produksi Pangan &amp; Penduduk'!E48)</f>
        <v/>
      </c>
      <c r="F47" s="59" t="str">
        <f>IF(D47="","",VLOOKUP(D47,'[1]0.1 Produksi Pangan &amp; Penduduk'!$D$5:$J$860,7,0))</f>
        <v/>
      </c>
      <c r="G47" s="27" t="str">
        <f t="shared" si="0"/>
        <v/>
      </c>
      <c r="H47" s="27" t="str">
        <f t="shared" si="1"/>
        <v/>
      </c>
      <c r="I47" s="27" t="str">
        <f t="shared" si="2"/>
        <v/>
      </c>
      <c r="J47" s="27" t="str">
        <f t="shared" si="3"/>
        <v/>
      </c>
      <c r="K47" s="27" t="str">
        <f t="shared" si="4"/>
        <v/>
      </c>
      <c r="L47" s="59" t="str">
        <f>IF(D47="","",VLOOKUP(D47,'[1]0.1 Produksi Pangan &amp; Penduduk'!$D$5:$M$860,10,0))</f>
        <v/>
      </c>
      <c r="M47" s="28" t="str">
        <f t="shared" si="5"/>
        <v/>
      </c>
      <c r="N47" s="60" t="str">
        <f t="shared" si="6"/>
        <v/>
      </c>
      <c r="O47" s="60" t="str">
        <f t="shared" si="7"/>
        <v/>
      </c>
      <c r="P47" s="60" t="str">
        <f t="shared" si="8"/>
        <v/>
      </c>
      <c r="Q47" s="28" t="str">
        <f t="shared" si="9"/>
        <v/>
      </c>
    </row>
    <row r="48" spans="1:17" ht="15" x14ac:dyDescent="0.25">
      <c r="A48" s="3" t="str">
        <f>IF('[1]0.1 Produksi Pangan &amp; Penduduk'!A49="","",'[1]0.1 Produksi Pangan &amp; Penduduk'!A49)</f>
        <v/>
      </c>
      <c r="B48" s="2" t="str">
        <f>IF('[1]0.1 Produksi Pangan &amp; Penduduk'!B49="","",'[1]0.1 Produksi Pangan &amp; Penduduk'!B49)</f>
        <v/>
      </c>
      <c r="C48" s="2" t="str">
        <f>IF('[1]0.1 Produksi Pangan &amp; Penduduk'!F49="","",'[1]0.1 Produksi Pangan &amp; Penduduk'!F49)</f>
        <v/>
      </c>
      <c r="D48" s="3" t="str">
        <f>IF('[1]0.1 Produksi Pangan &amp; Penduduk'!D49="","",'[1]0.1 Produksi Pangan &amp; Penduduk'!D49)</f>
        <v/>
      </c>
      <c r="E48" s="3" t="str">
        <f>IF('[1]0.1 Produksi Pangan &amp; Penduduk'!E49="","",'[1]0.1 Produksi Pangan &amp; Penduduk'!E49)</f>
        <v/>
      </c>
      <c r="F48" s="59" t="str">
        <f>IF(D48="","",VLOOKUP(D48,'[1]0.1 Produksi Pangan &amp; Penduduk'!$D$5:$J$860,7,0))</f>
        <v/>
      </c>
      <c r="G48" s="27" t="str">
        <f t="shared" si="0"/>
        <v/>
      </c>
      <c r="H48" s="27" t="str">
        <f t="shared" si="1"/>
        <v/>
      </c>
      <c r="I48" s="27" t="str">
        <f t="shared" si="2"/>
        <v/>
      </c>
      <c r="J48" s="27" t="str">
        <f t="shared" si="3"/>
        <v/>
      </c>
      <c r="K48" s="27" t="str">
        <f t="shared" si="4"/>
        <v/>
      </c>
      <c r="L48" s="59" t="str">
        <f>IF(D48="","",VLOOKUP(D48,'[1]0.1 Produksi Pangan &amp; Penduduk'!$D$5:$M$860,10,0))</f>
        <v/>
      </c>
      <c r="M48" s="28" t="str">
        <f t="shared" si="5"/>
        <v/>
      </c>
      <c r="N48" s="60" t="str">
        <f t="shared" si="6"/>
        <v/>
      </c>
      <c r="O48" s="60" t="str">
        <f t="shared" si="7"/>
        <v/>
      </c>
      <c r="P48" s="60" t="str">
        <f t="shared" si="8"/>
        <v/>
      </c>
      <c r="Q48" s="28" t="str">
        <f t="shared" si="9"/>
        <v/>
      </c>
    </row>
    <row r="49" spans="1:17" ht="15" x14ac:dyDescent="0.25">
      <c r="A49" s="3" t="str">
        <f>IF('[1]0.1 Produksi Pangan &amp; Penduduk'!A50="","",'[1]0.1 Produksi Pangan &amp; Penduduk'!A50)</f>
        <v/>
      </c>
      <c r="B49" s="2" t="str">
        <f>IF('[1]0.1 Produksi Pangan &amp; Penduduk'!B50="","",'[1]0.1 Produksi Pangan &amp; Penduduk'!B50)</f>
        <v/>
      </c>
      <c r="C49" s="2" t="str">
        <f>IF('[1]0.1 Produksi Pangan &amp; Penduduk'!F50="","",'[1]0.1 Produksi Pangan &amp; Penduduk'!F50)</f>
        <v/>
      </c>
      <c r="D49" s="3" t="str">
        <f>IF('[1]0.1 Produksi Pangan &amp; Penduduk'!D50="","",'[1]0.1 Produksi Pangan &amp; Penduduk'!D50)</f>
        <v/>
      </c>
      <c r="E49" s="3" t="str">
        <f>IF('[1]0.1 Produksi Pangan &amp; Penduduk'!E50="","",'[1]0.1 Produksi Pangan &amp; Penduduk'!E50)</f>
        <v/>
      </c>
      <c r="F49" s="59" t="str">
        <f>IF(D49="","",VLOOKUP(D49,'[1]0.1 Produksi Pangan &amp; Penduduk'!$D$5:$J$860,7,0))</f>
        <v/>
      </c>
      <c r="G49" s="27" t="str">
        <f t="shared" si="0"/>
        <v/>
      </c>
      <c r="H49" s="27" t="str">
        <f t="shared" si="1"/>
        <v/>
      </c>
      <c r="I49" s="27" t="str">
        <f t="shared" si="2"/>
        <v/>
      </c>
      <c r="J49" s="27" t="str">
        <f t="shared" si="3"/>
        <v/>
      </c>
      <c r="K49" s="27" t="str">
        <f t="shared" si="4"/>
        <v/>
      </c>
      <c r="L49" s="59" t="str">
        <f>IF(D49="","",VLOOKUP(D49,'[1]0.1 Produksi Pangan &amp; Penduduk'!$D$5:$M$860,10,0))</f>
        <v/>
      </c>
      <c r="M49" s="28" t="str">
        <f t="shared" si="5"/>
        <v/>
      </c>
      <c r="N49" s="60" t="str">
        <f t="shared" si="6"/>
        <v/>
      </c>
      <c r="O49" s="60" t="str">
        <f t="shared" si="7"/>
        <v/>
      </c>
      <c r="P49" s="60" t="str">
        <f t="shared" si="8"/>
        <v/>
      </c>
      <c r="Q49" s="28" t="str">
        <f t="shared" si="9"/>
        <v/>
      </c>
    </row>
    <row r="50" spans="1:17" ht="15" x14ac:dyDescent="0.25">
      <c r="A50" s="3" t="str">
        <f>IF('[1]0.1 Produksi Pangan &amp; Penduduk'!A51="","",'[1]0.1 Produksi Pangan &amp; Penduduk'!A51)</f>
        <v/>
      </c>
      <c r="B50" s="2" t="str">
        <f>IF('[1]0.1 Produksi Pangan &amp; Penduduk'!B51="","",'[1]0.1 Produksi Pangan &amp; Penduduk'!B51)</f>
        <v/>
      </c>
      <c r="C50" s="2" t="str">
        <f>IF('[1]0.1 Produksi Pangan &amp; Penduduk'!F51="","",'[1]0.1 Produksi Pangan &amp; Penduduk'!F51)</f>
        <v/>
      </c>
      <c r="D50" s="3" t="str">
        <f>IF('[1]0.1 Produksi Pangan &amp; Penduduk'!D51="","",'[1]0.1 Produksi Pangan &amp; Penduduk'!D51)</f>
        <v/>
      </c>
      <c r="E50" s="3" t="str">
        <f>IF('[1]0.1 Produksi Pangan &amp; Penduduk'!E51="","",'[1]0.1 Produksi Pangan &amp; Penduduk'!E51)</f>
        <v/>
      </c>
      <c r="F50" s="59" t="str">
        <f>IF(D50="","",VLOOKUP(D50,'[1]0.1 Produksi Pangan &amp; Penduduk'!$D$5:$J$860,7,0))</f>
        <v/>
      </c>
      <c r="G50" s="27" t="str">
        <f t="shared" si="0"/>
        <v/>
      </c>
      <c r="H50" s="27" t="str">
        <f t="shared" si="1"/>
        <v/>
      </c>
      <c r="I50" s="27" t="str">
        <f t="shared" si="2"/>
        <v/>
      </c>
      <c r="J50" s="27" t="str">
        <f t="shared" si="3"/>
        <v/>
      </c>
      <c r="K50" s="27" t="str">
        <f t="shared" si="4"/>
        <v/>
      </c>
      <c r="L50" s="59" t="str">
        <f>IF(D50="","",VLOOKUP(D50,'[1]0.1 Produksi Pangan &amp; Penduduk'!$D$5:$M$860,10,0))</f>
        <v/>
      </c>
      <c r="M50" s="28" t="str">
        <f t="shared" si="5"/>
        <v/>
      </c>
      <c r="N50" s="60" t="str">
        <f t="shared" si="6"/>
        <v/>
      </c>
      <c r="O50" s="60" t="str">
        <f t="shared" si="7"/>
        <v/>
      </c>
      <c r="P50" s="60" t="str">
        <f t="shared" si="8"/>
        <v/>
      </c>
      <c r="Q50" s="28" t="str">
        <f t="shared" si="9"/>
        <v/>
      </c>
    </row>
    <row r="51" spans="1:17" ht="15" x14ac:dyDescent="0.25">
      <c r="A51" s="3" t="str">
        <f>IF('[1]0.1 Produksi Pangan &amp; Penduduk'!A52="","",'[1]0.1 Produksi Pangan &amp; Penduduk'!A52)</f>
        <v/>
      </c>
      <c r="B51" s="2" t="str">
        <f>IF('[1]0.1 Produksi Pangan &amp; Penduduk'!B52="","",'[1]0.1 Produksi Pangan &amp; Penduduk'!B52)</f>
        <v/>
      </c>
      <c r="C51" s="2" t="str">
        <f>IF('[1]0.1 Produksi Pangan &amp; Penduduk'!F52="","",'[1]0.1 Produksi Pangan &amp; Penduduk'!F52)</f>
        <v/>
      </c>
      <c r="D51" s="3" t="str">
        <f>IF('[1]0.1 Produksi Pangan &amp; Penduduk'!D52="","",'[1]0.1 Produksi Pangan &amp; Penduduk'!D52)</f>
        <v/>
      </c>
      <c r="E51" s="3" t="str">
        <f>IF('[1]0.1 Produksi Pangan &amp; Penduduk'!E52="","",'[1]0.1 Produksi Pangan &amp; Penduduk'!E52)</f>
        <v/>
      </c>
      <c r="F51" s="59" t="str">
        <f>IF(D51="","",VLOOKUP(D51,'[1]0.1 Produksi Pangan &amp; Penduduk'!$D$5:$J$860,7,0))</f>
        <v/>
      </c>
      <c r="G51" s="27" t="str">
        <f t="shared" si="0"/>
        <v/>
      </c>
      <c r="H51" s="27" t="str">
        <f t="shared" si="1"/>
        <v/>
      </c>
      <c r="I51" s="27" t="str">
        <f t="shared" si="2"/>
        <v/>
      </c>
      <c r="J51" s="27" t="str">
        <f t="shared" si="3"/>
        <v/>
      </c>
      <c r="K51" s="27" t="str">
        <f t="shared" si="4"/>
        <v/>
      </c>
      <c r="L51" s="59" t="str">
        <f>IF(D51="","",VLOOKUP(D51,'[1]0.1 Produksi Pangan &amp; Penduduk'!$D$5:$M$860,10,0))</f>
        <v/>
      </c>
      <c r="M51" s="28" t="str">
        <f t="shared" si="5"/>
        <v/>
      </c>
      <c r="N51" s="60" t="str">
        <f t="shared" si="6"/>
        <v/>
      </c>
      <c r="O51" s="60" t="str">
        <f t="shared" si="7"/>
        <v/>
      </c>
      <c r="P51" s="60" t="str">
        <f t="shared" si="8"/>
        <v/>
      </c>
      <c r="Q51" s="28" t="str">
        <f t="shared" si="9"/>
        <v/>
      </c>
    </row>
    <row r="52" spans="1:17" ht="15" x14ac:dyDescent="0.25">
      <c r="A52" s="3" t="str">
        <f>IF('[1]0.1 Produksi Pangan &amp; Penduduk'!A53="","",'[1]0.1 Produksi Pangan &amp; Penduduk'!A53)</f>
        <v/>
      </c>
      <c r="B52" s="2" t="str">
        <f>IF('[1]0.1 Produksi Pangan &amp; Penduduk'!B53="","",'[1]0.1 Produksi Pangan &amp; Penduduk'!B53)</f>
        <v/>
      </c>
      <c r="C52" s="2" t="str">
        <f>IF('[1]0.1 Produksi Pangan &amp; Penduduk'!F53="","",'[1]0.1 Produksi Pangan &amp; Penduduk'!F53)</f>
        <v/>
      </c>
      <c r="D52" s="3" t="str">
        <f>IF('[1]0.1 Produksi Pangan &amp; Penduduk'!D53="","",'[1]0.1 Produksi Pangan &amp; Penduduk'!D53)</f>
        <v/>
      </c>
      <c r="E52" s="3" t="str">
        <f>IF('[1]0.1 Produksi Pangan &amp; Penduduk'!E53="","",'[1]0.1 Produksi Pangan &amp; Penduduk'!E53)</f>
        <v/>
      </c>
      <c r="F52" s="59" t="str">
        <f>IF(D52="","",VLOOKUP(D52,'[1]0.1 Produksi Pangan &amp; Penduduk'!$D$5:$J$860,7,0))</f>
        <v/>
      </c>
      <c r="G52" s="27" t="str">
        <f t="shared" si="0"/>
        <v/>
      </c>
      <c r="H52" s="27" t="str">
        <f t="shared" si="1"/>
        <v/>
      </c>
      <c r="I52" s="27" t="str">
        <f t="shared" si="2"/>
        <v/>
      </c>
      <c r="J52" s="27" t="str">
        <f t="shared" si="3"/>
        <v/>
      </c>
      <c r="K52" s="27" t="str">
        <f t="shared" si="4"/>
        <v/>
      </c>
      <c r="L52" s="59" t="str">
        <f>IF(D52="","",VLOOKUP(D52,'[1]0.1 Produksi Pangan &amp; Penduduk'!$D$5:$M$860,10,0))</f>
        <v/>
      </c>
      <c r="M52" s="28" t="str">
        <f t="shared" si="5"/>
        <v/>
      </c>
      <c r="N52" s="60" t="str">
        <f t="shared" si="6"/>
        <v/>
      </c>
      <c r="O52" s="60" t="str">
        <f t="shared" si="7"/>
        <v/>
      </c>
      <c r="P52" s="60" t="str">
        <f t="shared" si="8"/>
        <v/>
      </c>
      <c r="Q52" s="28" t="str">
        <f t="shared" si="9"/>
        <v/>
      </c>
    </row>
    <row r="53" spans="1:17" ht="15" x14ac:dyDescent="0.25">
      <c r="A53" s="3" t="str">
        <f>IF('[1]0.1 Produksi Pangan &amp; Penduduk'!A54="","",'[1]0.1 Produksi Pangan &amp; Penduduk'!A54)</f>
        <v/>
      </c>
      <c r="B53" s="2" t="str">
        <f>IF('[1]0.1 Produksi Pangan &amp; Penduduk'!B54="","",'[1]0.1 Produksi Pangan &amp; Penduduk'!B54)</f>
        <v/>
      </c>
      <c r="C53" s="2" t="str">
        <f>IF('[1]0.1 Produksi Pangan &amp; Penduduk'!F54="","",'[1]0.1 Produksi Pangan &amp; Penduduk'!F54)</f>
        <v/>
      </c>
      <c r="D53" s="3" t="str">
        <f>IF('[1]0.1 Produksi Pangan &amp; Penduduk'!D54="","",'[1]0.1 Produksi Pangan &amp; Penduduk'!D54)</f>
        <v/>
      </c>
      <c r="E53" s="3" t="str">
        <f>IF('[1]0.1 Produksi Pangan &amp; Penduduk'!E54="","",'[1]0.1 Produksi Pangan &amp; Penduduk'!E54)</f>
        <v/>
      </c>
      <c r="F53" s="59" t="str">
        <f>IF(D53="","",VLOOKUP(D53,'[1]0.1 Produksi Pangan &amp; Penduduk'!$D$5:$J$860,7,0))</f>
        <v/>
      </c>
      <c r="G53" s="27" t="str">
        <f t="shared" si="0"/>
        <v/>
      </c>
      <c r="H53" s="27" t="str">
        <f t="shared" si="1"/>
        <v/>
      </c>
      <c r="I53" s="27" t="str">
        <f t="shared" si="2"/>
        <v/>
      </c>
      <c r="J53" s="27" t="str">
        <f t="shared" si="3"/>
        <v/>
      </c>
      <c r="K53" s="27" t="str">
        <f t="shared" si="4"/>
        <v/>
      </c>
      <c r="L53" s="59" t="str">
        <f>IF(D53="","",VLOOKUP(D53,'[1]0.1 Produksi Pangan &amp; Penduduk'!$D$5:$M$860,10,0))</f>
        <v/>
      </c>
      <c r="M53" s="28" t="str">
        <f t="shared" si="5"/>
        <v/>
      </c>
      <c r="N53" s="60" t="str">
        <f t="shared" si="6"/>
        <v/>
      </c>
      <c r="O53" s="60" t="str">
        <f t="shared" si="7"/>
        <v/>
      </c>
      <c r="P53" s="60" t="str">
        <f t="shared" si="8"/>
        <v/>
      </c>
      <c r="Q53" s="28" t="str">
        <f t="shared" si="9"/>
        <v/>
      </c>
    </row>
    <row r="54" spans="1:17" ht="15" x14ac:dyDescent="0.25">
      <c r="A54" s="3" t="str">
        <f>IF('[1]0.1 Produksi Pangan &amp; Penduduk'!A55="","",'[1]0.1 Produksi Pangan &amp; Penduduk'!A55)</f>
        <v/>
      </c>
      <c r="B54" s="2" t="str">
        <f>IF('[1]0.1 Produksi Pangan &amp; Penduduk'!B55="","",'[1]0.1 Produksi Pangan &amp; Penduduk'!B55)</f>
        <v/>
      </c>
      <c r="C54" s="2" t="str">
        <f>IF('[1]0.1 Produksi Pangan &amp; Penduduk'!F55="","",'[1]0.1 Produksi Pangan &amp; Penduduk'!F55)</f>
        <v/>
      </c>
      <c r="D54" s="3" t="str">
        <f>IF('[1]0.1 Produksi Pangan &amp; Penduduk'!D55="","",'[1]0.1 Produksi Pangan &amp; Penduduk'!D55)</f>
        <v/>
      </c>
      <c r="E54" s="3" t="str">
        <f>IF('[1]0.1 Produksi Pangan &amp; Penduduk'!E55="","",'[1]0.1 Produksi Pangan &amp; Penduduk'!E55)</f>
        <v/>
      </c>
      <c r="F54" s="59" t="str">
        <f>IF(D54="","",VLOOKUP(D54,'[1]0.1 Produksi Pangan &amp; Penduduk'!$D$5:$J$860,7,0))</f>
        <v/>
      </c>
      <c r="G54" s="27" t="str">
        <f t="shared" si="0"/>
        <v/>
      </c>
      <c r="H54" s="27" t="str">
        <f t="shared" si="1"/>
        <v/>
      </c>
      <c r="I54" s="27" t="str">
        <f t="shared" si="2"/>
        <v/>
      </c>
      <c r="J54" s="27" t="str">
        <f t="shared" si="3"/>
        <v/>
      </c>
      <c r="K54" s="27" t="str">
        <f t="shared" si="4"/>
        <v/>
      </c>
      <c r="L54" s="59" t="str">
        <f>IF(D54="","",VLOOKUP(D54,'[1]0.1 Produksi Pangan &amp; Penduduk'!$D$5:$M$860,10,0))</f>
        <v/>
      </c>
      <c r="M54" s="28" t="str">
        <f t="shared" si="5"/>
        <v/>
      </c>
      <c r="N54" s="60" t="str">
        <f t="shared" si="6"/>
        <v/>
      </c>
      <c r="O54" s="60" t="str">
        <f t="shared" si="7"/>
        <v/>
      </c>
      <c r="P54" s="60" t="str">
        <f t="shared" si="8"/>
        <v/>
      </c>
      <c r="Q54" s="28" t="str">
        <f t="shared" si="9"/>
        <v/>
      </c>
    </row>
    <row r="55" spans="1:17" ht="15" x14ac:dyDescent="0.25">
      <c r="A55" s="3" t="str">
        <f>IF('[1]0.1 Produksi Pangan &amp; Penduduk'!A56="","",'[1]0.1 Produksi Pangan &amp; Penduduk'!A56)</f>
        <v/>
      </c>
      <c r="B55" s="2" t="str">
        <f>IF('[1]0.1 Produksi Pangan &amp; Penduduk'!B56="","",'[1]0.1 Produksi Pangan &amp; Penduduk'!B56)</f>
        <v/>
      </c>
      <c r="C55" s="2" t="str">
        <f>IF('[1]0.1 Produksi Pangan &amp; Penduduk'!F56="","",'[1]0.1 Produksi Pangan &amp; Penduduk'!F56)</f>
        <v/>
      </c>
      <c r="D55" s="3" t="str">
        <f>IF('[1]0.1 Produksi Pangan &amp; Penduduk'!D56="","",'[1]0.1 Produksi Pangan &amp; Penduduk'!D56)</f>
        <v/>
      </c>
      <c r="E55" s="3" t="str">
        <f>IF('[1]0.1 Produksi Pangan &amp; Penduduk'!E56="","",'[1]0.1 Produksi Pangan &amp; Penduduk'!E56)</f>
        <v/>
      </c>
      <c r="F55" s="59" t="str">
        <f>IF(D55="","",VLOOKUP(D55,'[1]0.1 Produksi Pangan &amp; Penduduk'!$D$5:$J$860,7,0))</f>
        <v/>
      </c>
      <c r="G55" s="27" t="str">
        <f t="shared" si="0"/>
        <v/>
      </c>
      <c r="H55" s="27" t="str">
        <f t="shared" si="1"/>
        <v/>
      </c>
      <c r="I55" s="27" t="str">
        <f t="shared" si="2"/>
        <v/>
      </c>
      <c r="J55" s="27" t="str">
        <f t="shared" si="3"/>
        <v/>
      </c>
      <c r="K55" s="27" t="str">
        <f t="shared" si="4"/>
        <v/>
      </c>
      <c r="L55" s="59" t="str">
        <f>IF(D55="","",VLOOKUP(D55,'[1]0.1 Produksi Pangan &amp; Penduduk'!$D$5:$M$860,10,0))</f>
        <v/>
      </c>
      <c r="M55" s="28" t="str">
        <f t="shared" si="5"/>
        <v/>
      </c>
      <c r="N55" s="60" t="str">
        <f t="shared" si="6"/>
        <v/>
      </c>
      <c r="O55" s="60" t="str">
        <f t="shared" si="7"/>
        <v/>
      </c>
      <c r="P55" s="60" t="str">
        <f t="shared" si="8"/>
        <v/>
      </c>
      <c r="Q55" s="28" t="str">
        <f t="shared" si="9"/>
        <v/>
      </c>
    </row>
    <row r="56" spans="1:17" ht="15" x14ac:dyDescent="0.25">
      <c r="A56" s="3" t="str">
        <f>IF('[1]0.1 Produksi Pangan &amp; Penduduk'!A57="","",'[1]0.1 Produksi Pangan &amp; Penduduk'!A57)</f>
        <v/>
      </c>
      <c r="B56" s="2" t="str">
        <f>IF('[1]0.1 Produksi Pangan &amp; Penduduk'!B57="","",'[1]0.1 Produksi Pangan &amp; Penduduk'!B57)</f>
        <v/>
      </c>
      <c r="C56" s="2" t="str">
        <f>IF('[1]0.1 Produksi Pangan &amp; Penduduk'!F57="","",'[1]0.1 Produksi Pangan &amp; Penduduk'!F57)</f>
        <v/>
      </c>
      <c r="D56" s="3" t="str">
        <f>IF('[1]0.1 Produksi Pangan &amp; Penduduk'!D57="","",'[1]0.1 Produksi Pangan &amp; Penduduk'!D57)</f>
        <v/>
      </c>
      <c r="E56" s="3" t="str">
        <f>IF('[1]0.1 Produksi Pangan &amp; Penduduk'!E57="","",'[1]0.1 Produksi Pangan &amp; Penduduk'!E57)</f>
        <v/>
      </c>
      <c r="F56" s="59" t="str">
        <f>IF(D56="","",VLOOKUP(D56,'[1]0.1 Produksi Pangan &amp; Penduduk'!$D$5:$J$860,7,0))</f>
        <v/>
      </c>
      <c r="G56" s="27" t="str">
        <f t="shared" si="0"/>
        <v/>
      </c>
      <c r="H56" s="27" t="str">
        <f t="shared" si="1"/>
        <v/>
      </c>
      <c r="I56" s="27" t="str">
        <f t="shared" si="2"/>
        <v/>
      </c>
      <c r="J56" s="27" t="str">
        <f t="shared" si="3"/>
        <v/>
      </c>
      <c r="K56" s="27" t="str">
        <f t="shared" si="4"/>
        <v/>
      </c>
      <c r="L56" s="59" t="str">
        <f>IF(D56="","",VLOOKUP(D56,'[1]0.1 Produksi Pangan &amp; Penduduk'!$D$5:$M$860,10,0))</f>
        <v/>
      </c>
      <c r="M56" s="28" t="str">
        <f t="shared" si="5"/>
        <v/>
      </c>
      <c r="N56" s="60" t="str">
        <f t="shared" si="6"/>
        <v/>
      </c>
      <c r="O56" s="60" t="str">
        <f t="shared" si="7"/>
        <v/>
      </c>
      <c r="P56" s="60" t="str">
        <f t="shared" si="8"/>
        <v/>
      </c>
      <c r="Q56" s="28" t="str">
        <f t="shared" si="9"/>
        <v/>
      </c>
    </row>
    <row r="57" spans="1:17" ht="15" x14ac:dyDescent="0.25">
      <c r="A57" s="3" t="str">
        <f>IF('[1]0.1 Produksi Pangan &amp; Penduduk'!A58="","",'[1]0.1 Produksi Pangan &amp; Penduduk'!A58)</f>
        <v/>
      </c>
      <c r="B57" s="2" t="str">
        <f>IF('[1]0.1 Produksi Pangan &amp; Penduduk'!B58="","",'[1]0.1 Produksi Pangan &amp; Penduduk'!B58)</f>
        <v/>
      </c>
      <c r="C57" s="2" t="str">
        <f>IF('[1]0.1 Produksi Pangan &amp; Penduduk'!F58="","",'[1]0.1 Produksi Pangan &amp; Penduduk'!F58)</f>
        <v/>
      </c>
      <c r="D57" s="3" t="str">
        <f>IF('[1]0.1 Produksi Pangan &amp; Penduduk'!D58="","",'[1]0.1 Produksi Pangan &amp; Penduduk'!D58)</f>
        <v/>
      </c>
      <c r="E57" s="3" t="str">
        <f>IF('[1]0.1 Produksi Pangan &amp; Penduduk'!E58="","",'[1]0.1 Produksi Pangan &amp; Penduduk'!E58)</f>
        <v/>
      </c>
      <c r="F57" s="59" t="str">
        <f>IF(D57="","",VLOOKUP(D57,'[1]0.1 Produksi Pangan &amp; Penduduk'!$D$5:$J$860,7,0))</f>
        <v/>
      </c>
      <c r="G57" s="27" t="str">
        <f t="shared" si="0"/>
        <v/>
      </c>
      <c r="H57" s="27" t="str">
        <f t="shared" si="1"/>
        <v/>
      </c>
      <c r="I57" s="27" t="str">
        <f t="shared" si="2"/>
        <v/>
      </c>
      <c r="J57" s="27" t="str">
        <f t="shared" si="3"/>
        <v/>
      </c>
      <c r="K57" s="27" t="str">
        <f t="shared" si="4"/>
        <v/>
      </c>
      <c r="L57" s="59" t="str">
        <f>IF(D57="","",VLOOKUP(D57,'[1]0.1 Produksi Pangan &amp; Penduduk'!$D$5:$M$860,10,0))</f>
        <v/>
      </c>
      <c r="M57" s="28" t="str">
        <f t="shared" si="5"/>
        <v/>
      </c>
      <c r="N57" s="60" t="str">
        <f t="shared" si="6"/>
        <v/>
      </c>
      <c r="O57" s="60" t="str">
        <f t="shared" si="7"/>
        <v/>
      </c>
      <c r="P57" s="60" t="str">
        <f t="shared" si="8"/>
        <v/>
      </c>
      <c r="Q57" s="28" t="str">
        <f t="shared" si="9"/>
        <v/>
      </c>
    </row>
    <row r="58" spans="1:17" ht="15" x14ac:dyDescent="0.25">
      <c r="A58" s="3" t="str">
        <f>IF('[1]0.1 Produksi Pangan &amp; Penduduk'!A59="","",'[1]0.1 Produksi Pangan &amp; Penduduk'!A59)</f>
        <v/>
      </c>
      <c r="B58" s="2" t="str">
        <f>IF('[1]0.1 Produksi Pangan &amp; Penduduk'!B59="","",'[1]0.1 Produksi Pangan &amp; Penduduk'!B59)</f>
        <v/>
      </c>
      <c r="C58" s="2" t="str">
        <f>IF('[1]0.1 Produksi Pangan &amp; Penduduk'!F59="","",'[1]0.1 Produksi Pangan &amp; Penduduk'!F59)</f>
        <v/>
      </c>
      <c r="D58" s="3" t="str">
        <f>IF('[1]0.1 Produksi Pangan &amp; Penduduk'!D59="","",'[1]0.1 Produksi Pangan &amp; Penduduk'!D59)</f>
        <v/>
      </c>
      <c r="E58" s="3" t="str">
        <f>IF('[1]0.1 Produksi Pangan &amp; Penduduk'!E59="","",'[1]0.1 Produksi Pangan &amp; Penduduk'!E59)</f>
        <v/>
      </c>
      <c r="F58" s="59" t="str">
        <f>IF(D58="","",VLOOKUP(D58,'[1]0.1 Produksi Pangan &amp; Penduduk'!$D$5:$J$860,7,0))</f>
        <v/>
      </c>
      <c r="G58" s="27" t="str">
        <f t="shared" si="0"/>
        <v/>
      </c>
      <c r="H58" s="27" t="str">
        <f t="shared" si="1"/>
        <v/>
      </c>
      <c r="I58" s="27" t="str">
        <f t="shared" si="2"/>
        <v/>
      </c>
      <c r="J58" s="27" t="str">
        <f t="shared" si="3"/>
        <v/>
      </c>
      <c r="K58" s="27" t="str">
        <f t="shared" si="4"/>
        <v/>
      </c>
      <c r="L58" s="59" t="str">
        <f>IF(D58="","",VLOOKUP(D58,'[1]0.1 Produksi Pangan &amp; Penduduk'!$D$5:$M$860,10,0))</f>
        <v/>
      </c>
      <c r="M58" s="28" t="str">
        <f t="shared" si="5"/>
        <v/>
      </c>
      <c r="N58" s="60" t="str">
        <f t="shared" si="6"/>
        <v/>
      </c>
      <c r="O58" s="60" t="str">
        <f t="shared" si="7"/>
        <v/>
      </c>
      <c r="P58" s="60" t="str">
        <f t="shared" si="8"/>
        <v/>
      </c>
      <c r="Q58" s="28" t="str">
        <f t="shared" si="9"/>
        <v/>
      </c>
    </row>
    <row r="59" spans="1:17" ht="15" x14ac:dyDescent="0.25">
      <c r="A59" s="3" t="str">
        <f>IF('[1]0.1 Produksi Pangan &amp; Penduduk'!A60="","",'[1]0.1 Produksi Pangan &amp; Penduduk'!A60)</f>
        <v/>
      </c>
      <c r="B59" s="2" t="str">
        <f>IF('[1]0.1 Produksi Pangan &amp; Penduduk'!B60="","",'[1]0.1 Produksi Pangan &amp; Penduduk'!B60)</f>
        <v/>
      </c>
      <c r="C59" s="2" t="str">
        <f>IF('[1]0.1 Produksi Pangan &amp; Penduduk'!F60="","",'[1]0.1 Produksi Pangan &amp; Penduduk'!F60)</f>
        <v/>
      </c>
      <c r="D59" s="3" t="str">
        <f>IF('[1]0.1 Produksi Pangan &amp; Penduduk'!D60="","",'[1]0.1 Produksi Pangan &amp; Penduduk'!D60)</f>
        <v/>
      </c>
      <c r="E59" s="3" t="str">
        <f>IF('[1]0.1 Produksi Pangan &amp; Penduduk'!E60="","",'[1]0.1 Produksi Pangan &amp; Penduduk'!E60)</f>
        <v/>
      </c>
      <c r="F59" s="59" t="str">
        <f>IF(D59="","",VLOOKUP(D59,'[1]0.1 Produksi Pangan &amp; Penduduk'!$D$5:$J$860,7,0))</f>
        <v/>
      </c>
      <c r="G59" s="27" t="str">
        <f t="shared" si="0"/>
        <v/>
      </c>
      <c r="H59" s="27" t="str">
        <f t="shared" si="1"/>
        <v/>
      </c>
      <c r="I59" s="27" t="str">
        <f t="shared" si="2"/>
        <v/>
      </c>
      <c r="J59" s="27" t="str">
        <f t="shared" si="3"/>
        <v/>
      </c>
      <c r="K59" s="27" t="str">
        <f t="shared" si="4"/>
        <v/>
      </c>
      <c r="L59" s="59" t="str">
        <f>IF(D59="","",VLOOKUP(D59,'[1]0.1 Produksi Pangan &amp; Penduduk'!$D$5:$M$860,10,0))</f>
        <v/>
      </c>
      <c r="M59" s="28" t="str">
        <f t="shared" si="5"/>
        <v/>
      </c>
      <c r="N59" s="60" t="str">
        <f t="shared" si="6"/>
        <v/>
      </c>
      <c r="O59" s="60" t="str">
        <f t="shared" si="7"/>
        <v/>
      </c>
      <c r="P59" s="60" t="str">
        <f t="shared" si="8"/>
        <v/>
      </c>
      <c r="Q59" s="28" t="str">
        <f t="shared" si="9"/>
        <v/>
      </c>
    </row>
    <row r="60" spans="1:17" ht="15" x14ac:dyDescent="0.25">
      <c r="A60" s="3" t="str">
        <f>IF('[1]0.1 Produksi Pangan &amp; Penduduk'!A61="","",'[1]0.1 Produksi Pangan &amp; Penduduk'!A61)</f>
        <v/>
      </c>
      <c r="B60" s="2" t="str">
        <f>IF('[1]0.1 Produksi Pangan &amp; Penduduk'!B61="","",'[1]0.1 Produksi Pangan &amp; Penduduk'!B61)</f>
        <v/>
      </c>
      <c r="C60" s="2" t="str">
        <f>IF('[1]0.1 Produksi Pangan &amp; Penduduk'!F61="","",'[1]0.1 Produksi Pangan &amp; Penduduk'!F61)</f>
        <v/>
      </c>
      <c r="D60" s="3" t="str">
        <f>IF('[1]0.1 Produksi Pangan &amp; Penduduk'!D61="","",'[1]0.1 Produksi Pangan &amp; Penduduk'!D61)</f>
        <v/>
      </c>
      <c r="E60" s="3" t="str">
        <f>IF('[1]0.1 Produksi Pangan &amp; Penduduk'!E61="","",'[1]0.1 Produksi Pangan &amp; Penduduk'!E61)</f>
        <v/>
      </c>
      <c r="F60" s="59" t="str">
        <f>IF(D60="","",VLOOKUP(D60,'[1]0.1 Produksi Pangan &amp; Penduduk'!$D$5:$J$860,7,0))</f>
        <v/>
      </c>
      <c r="G60" s="27" t="str">
        <f t="shared" si="0"/>
        <v/>
      </c>
      <c r="H60" s="27" t="str">
        <f t="shared" si="1"/>
        <v/>
      </c>
      <c r="I60" s="27" t="str">
        <f t="shared" si="2"/>
        <v/>
      </c>
      <c r="J60" s="27" t="str">
        <f t="shared" si="3"/>
        <v/>
      </c>
      <c r="K60" s="27" t="str">
        <f t="shared" si="4"/>
        <v/>
      </c>
      <c r="L60" s="59" t="str">
        <f>IF(D60="","",VLOOKUP(D60,'[1]0.1 Produksi Pangan &amp; Penduduk'!$D$5:$M$860,10,0))</f>
        <v/>
      </c>
      <c r="M60" s="28" t="str">
        <f t="shared" si="5"/>
        <v/>
      </c>
      <c r="N60" s="60" t="str">
        <f t="shared" si="6"/>
        <v/>
      </c>
      <c r="O60" s="60" t="str">
        <f t="shared" si="7"/>
        <v/>
      </c>
      <c r="P60" s="60" t="str">
        <f t="shared" si="8"/>
        <v/>
      </c>
      <c r="Q60" s="28" t="str">
        <f t="shared" si="9"/>
        <v/>
      </c>
    </row>
    <row r="61" spans="1:17" ht="15" x14ac:dyDescent="0.25">
      <c r="A61" s="3" t="str">
        <f>IF('[1]0.1 Produksi Pangan &amp; Penduduk'!A62="","",'[1]0.1 Produksi Pangan &amp; Penduduk'!A62)</f>
        <v/>
      </c>
      <c r="B61" s="2" t="str">
        <f>IF('[1]0.1 Produksi Pangan &amp; Penduduk'!B62="","",'[1]0.1 Produksi Pangan &amp; Penduduk'!B62)</f>
        <v/>
      </c>
      <c r="C61" s="2" t="str">
        <f>IF('[1]0.1 Produksi Pangan &amp; Penduduk'!F62="","",'[1]0.1 Produksi Pangan &amp; Penduduk'!F62)</f>
        <v/>
      </c>
      <c r="D61" s="3" t="str">
        <f>IF('[1]0.1 Produksi Pangan &amp; Penduduk'!D62="","",'[1]0.1 Produksi Pangan &amp; Penduduk'!D62)</f>
        <v/>
      </c>
      <c r="E61" s="3" t="str">
        <f>IF('[1]0.1 Produksi Pangan &amp; Penduduk'!E62="","",'[1]0.1 Produksi Pangan &amp; Penduduk'!E62)</f>
        <v/>
      </c>
      <c r="F61" s="59" t="str">
        <f>IF(D61="","",VLOOKUP(D61,'[1]0.1 Produksi Pangan &amp; Penduduk'!$D$5:$J$860,7,0))</f>
        <v/>
      </c>
      <c r="G61" s="27" t="str">
        <f t="shared" si="0"/>
        <v/>
      </c>
      <c r="H61" s="27" t="str">
        <f t="shared" si="1"/>
        <v/>
      </c>
      <c r="I61" s="27" t="str">
        <f t="shared" si="2"/>
        <v/>
      </c>
      <c r="J61" s="27" t="str">
        <f t="shared" si="3"/>
        <v/>
      </c>
      <c r="K61" s="27" t="str">
        <f t="shared" si="4"/>
        <v/>
      </c>
      <c r="L61" s="59" t="str">
        <f>IF(D61="","",VLOOKUP(D61,'[1]0.1 Produksi Pangan &amp; Penduduk'!$D$5:$M$860,10,0))</f>
        <v/>
      </c>
      <c r="M61" s="28" t="str">
        <f t="shared" si="5"/>
        <v/>
      </c>
      <c r="N61" s="60" t="str">
        <f t="shared" si="6"/>
        <v/>
      </c>
      <c r="O61" s="60" t="str">
        <f t="shared" si="7"/>
        <v/>
      </c>
      <c r="P61" s="60" t="str">
        <f t="shared" si="8"/>
        <v/>
      </c>
      <c r="Q61" s="28" t="str">
        <f t="shared" si="9"/>
        <v/>
      </c>
    </row>
    <row r="62" spans="1:17" ht="15" x14ac:dyDescent="0.25">
      <c r="A62" s="3" t="str">
        <f>IF('[1]0.1 Produksi Pangan &amp; Penduduk'!A63="","",'[1]0.1 Produksi Pangan &amp; Penduduk'!A63)</f>
        <v/>
      </c>
      <c r="B62" s="2" t="str">
        <f>IF('[1]0.1 Produksi Pangan &amp; Penduduk'!B63="","",'[1]0.1 Produksi Pangan &amp; Penduduk'!B63)</f>
        <v/>
      </c>
      <c r="C62" s="2" t="str">
        <f>IF('[1]0.1 Produksi Pangan &amp; Penduduk'!F63="","",'[1]0.1 Produksi Pangan &amp; Penduduk'!F63)</f>
        <v/>
      </c>
      <c r="D62" s="3" t="str">
        <f>IF('[1]0.1 Produksi Pangan &amp; Penduduk'!D63="","",'[1]0.1 Produksi Pangan &amp; Penduduk'!D63)</f>
        <v/>
      </c>
      <c r="E62" s="3" t="str">
        <f>IF('[1]0.1 Produksi Pangan &amp; Penduduk'!E63="","",'[1]0.1 Produksi Pangan &amp; Penduduk'!E63)</f>
        <v/>
      </c>
      <c r="F62" s="59" t="str">
        <f>IF(D62="","",VLOOKUP(D62,'[1]0.1 Produksi Pangan &amp; Penduduk'!$D$5:$J$860,7,0))</f>
        <v/>
      </c>
      <c r="G62" s="27" t="str">
        <f t="shared" si="0"/>
        <v/>
      </c>
      <c r="H62" s="27" t="str">
        <f t="shared" si="1"/>
        <v/>
      </c>
      <c r="I62" s="27" t="str">
        <f t="shared" si="2"/>
        <v/>
      </c>
      <c r="J62" s="27" t="str">
        <f t="shared" si="3"/>
        <v/>
      </c>
      <c r="K62" s="27" t="str">
        <f t="shared" si="4"/>
        <v/>
      </c>
      <c r="L62" s="59" t="str">
        <f>IF(D62="","",VLOOKUP(D62,'[1]0.1 Produksi Pangan &amp; Penduduk'!$D$5:$M$860,10,0))</f>
        <v/>
      </c>
      <c r="M62" s="28" t="str">
        <f t="shared" si="5"/>
        <v/>
      </c>
      <c r="N62" s="60" t="str">
        <f t="shared" si="6"/>
        <v/>
      </c>
      <c r="O62" s="60" t="str">
        <f t="shared" si="7"/>
        <v/>
      </c>
      <c r="P62" s="60" t="str">
        <f t="shared" si="8"/>
        <v/>
      </c>
      <c r="Q62" s="28" t="str">
        <f t="shared" si="9"/>
        <v/>
      </c>
    </row>
    <row r="63" spans="1:17" ht="15" x14ac:dyDescent="0.25">
      <c r="A63" s="3" t="str">
        <f>IF('[1]0.1 Produksi Pangan &amp; Penduduk'!A64="","",'[1]0.1 Produksi Pangan &amp; Penduduk'!A64)</f>
        <v/>
      </c>
      <c r="B63" s="2" t="str">
        <f>IF('[1]0.1 Produksi Pangan &amp; Penduduk'!B64="","",'[1]0.1 Produksi Pangan &amp; Penduduk'!B64)</f>
        <v/>
      </c>
      <c r="C63" s="2" t="str">
        <f>IF('[1]0.1 Produksi Pangan &amp; Penduduk'!F64="","",'[1]0.1 Produksi Pangan &amp; Penduduk'!F64)</f>
        <v/>
      </c>
      <c r="D63" s="3" t="str">
        <f>IF('[1]0.1 Produksi Pangan &amp; Penduduk'!D64="","",'[1]0.1 Produksi Pangan &amp; Penduduk'!D64)</f>
        <v/>
      </c>
      <c r="E63" s="3" t="str">
        <f>IF('[1]0.1 Produksi Pangan &amp; Penduduk'!E64="","",'[1]0.1 Produksi Pangan &amp; Penduduk'!E64)</f>
        <v/>
      </c>
      <c r="F63" s="59" t="str">
        <f>IF(D63="","",VLOOKUP(D63,'[1]0.1 Produksi Pangan &amp; Penduduk'!$D$5:$J$860,7,0))</f>
        <v/>
      </c>
      <c r="G63" s="27" t="str">
        <f t="shared" si="0"/>
        <v/>
      </c>
      <c r="H63" s="27" t="str">
        <f t="shared" si="1"/>
        <v/>
      </c>
      <c r="I63" s="27" t="str">
        <f t="shared" si="2"/>
        <v/>
      </c>
      <c r="J63" s="27" t="str">
        <f t="shared" si="3"/>
        <v/>
      </c>
      <c r="K63" s="27" t="str">
        <f t="shared" si="4"/>
        <v/>
      </c>
      <c r="L63" s="59" t="str">
        <f>IF(D63="","",VLOOKUP(D63,'[1]0.1 Produksi Pangan &amp; Penduduk'!$D$5:$M$860,10,0))</f>
        <v/>
      </c>
      <c r="M63" s="28" t="str">
        <f t="shared" si="5"/>
        <v/>
      </c>
      <c r="N63" s="60" t="str">
        <f t="shared" si="6"/>
        <v/>
      </c>
      <c r="O63" s="60" t="str">
        <f t="shared" si="7"/>
        <v/>
      </c>
      <c r="P63" s="60" t="str">
        <f t="shared" si="8"/>
        <v/>
      </c>
      <c r="Q63" s="28" t="str">
        <f t="shared" si="9"/>
        <v/>
      </c>
    </row>
    <row r="64" spans="1:17" ht="15" x14ac:dyDescent="0.25">
      <c r="A64" s="3" t="str">
        <f>IF('[1]0.1 Produksi Pangan &amp; Penduduk'!A65="","",'[1]0.1 Produksi Pangan &amp; Penduduk'!A65)</f>
        <v/>
      </c>
      <c r="B64" s="2" t="str">
        <f>IF('[1]0.1 Produksi Pangan &amp; Penduduk'!B65="","",'[1]0.1 Produksi Pangan &amp; Penduduk'!B65)</f>
        <v/>
      </c>
      <c r="C64" s="2" t="str">
        <f>IF('[1]0.1 Produksi Pangan &amp; Penduduk'!F65="","",'[1]0.1 Produksi Pangan &amp; Penduduk'!F65)</f>
        <v/>
      </c>
      <c r="D64" s="3" t="str">
        <f>IF('[1]0.1 Produksi Pangan &amp; Penduduk'!D65="","",'[1]0.1 Produksi Pangan &amp; Penduduk'!D65)</f>
        <v/>
      </c>
      <c r="E64" s="3" t="str">
        <f>IF('[1]0.1 Produksi Pangan &amp; Penduduk'!E65="","",'[1]0.1 Produksi Pangan &amp; Penduduk'!E65)</f>
        <v/>
      </c>
      <c r="F64" s="59" t="str">
        <f>IF(D64="","",VLOOKUP(D64,'[1]0.1 Produksi Pangan &amp; Penduduk'!$D$5:$J$860,7,0))</f>
        <v/>
      </c>
      <c r="G64" s="27" t="str">
        <f t="shared" si="0"/>
        <v/>
      </c>
      <c r="H64" s="27" t="str">
        <f t="shared" si="1"/>
        <v/>
      </c>
      <c r="I64" s="27" t="str">
        <f t="shared" si="2"/>
        <v/>
      </c>
      <c r="J64" s="27" t="str">
        <f t="shared" si="3"/>
        <v/>
      </c>
      <c r="K64" s="27" t="str">
        <f t="shared" si="4"/>
        <v/>
      </c>
      <c r="L64" s="59" t="str">
        <f>IF(D64="","",VLOOKUP(D64,'[1]0.1 Produksi Pangan &amp; Penduduk'!$D$5:$M$860,10,0))</f>
        <v/>
      </c>
      <c r="M64" s="28" t="str">
        <f t="shared" si="5"/>
        <v/>
      </c>
      <c r="N64" s="60" t="str">
        <f t="shared" si="6"/>
        <v/>
      </c>
      <c r="O64" s="60" t="str">
        <f t="shared" si="7"/>
        <v/>
      </c>
      <c r="P64" s="60" t="str">
        <f t="shared" si="8"/>
        <v/>
      </c>
      <c r="Q64" s="28" t="str">
        <f t="shared" si="9"/>
        <v/>
      </c>
    </row>
    <row r="65" spans="1:17" ht="15" x14ac:dyDescent="0.25">
      <c r="A65" s="3" t="str">
        <f>IF('[1]0.1 Produksi Pangan &amp; Penduduk'!A66="","",'[1]0.1 Produksi Pangan &amp; Penduduk'!A66)</f>
        <v/>
      </c>
      <c r="B65" s="2" t="str">
        <f>IF('[1]0.1 Produksi Pangan &amp; Penduduk'!B66="","",'[1]0.1 Produksi Pangan &amp; Penduduk'!B66)</f>
        <v/>
      </c>
      <c r="C65" s="2" t="str">
        <f>IF('[1]0.1 Produksi Pangan &amp; Penduduk'!F66="","",'[1]0.1 Produksi Pangan &amp; Penduduk'!F66)</f>
        <v/>
      </c>
      <c r="D65" s="3" t="str">
        <f>IF('[1]0.1 Produksi Pangan &amp; Penduduk'!D66="","",'[1]0.1 Produksi Pangan &amp; Penduduk'!D66)</f>
        <v/>
      </c>
      <c r="E65" s="3" t="str">
        <f>IF('[1]0.1 Produksi Pangan &amp; Penduduk'!E66="","",'[1]0.1 Produksi Pangan &amp; Penduduk'!E66)</f>
        <v/>
      </c>
      <c r="F65" s="59" t="str">
        <f>IF(D65="","",VLOOKUP(D65,'[1]0.1 Produksi Pangan &amp; Penduduk'!$D$5:$J$860,7,0))</f>
        <v/>
      </c>
      <c r="G65" s="27" t="str">
        <f t="shared" si="0"/>
        <v/>
      </c>
      <c r="H65" s="27" t="str">
        <f t="shared" si="1"/>
        <v/>
      </c>
      <c r="I65" s="27" t="str">
        <f t="shared" si="2"/>
        <v/>
      </c>
      <c r="J65" s="27" t="str">
        <f t="shared" si="3"/>
        <v/>
      </c>
      <c r="K65" s="27" t="str">
        <f t="shared" si="4"/>
        <v/>
      </c>
      <c r="L65" s="59" t="str">
        <f>IF(D65="","",VLOOKUP(D65,'[1]0.1 Produksi Pangan &amp; Penduduk'!$D$5:$M$860,10,0))</f>
        <v/>
      </c>
      <c r="M65" s="28" t="str">
        <f t="shared" si="5"/>
        <v/>
      </c>
      <c r="N65" s="60" t="str">
        <f t="shared" si="6"/>
        <v/>
      </c>
      <c r="O65" s="60" t="str">
        <f t="shared" si="7"/>
        <v/>
      </c>
      <c r="P65" s="60" t="str">
        <f t="shared" si="8"/>
        <v/>
      </c>
      <c r="Q65" s="28" t="str">
        <f t="shared" si="9"/>
        <v/>
      </c>
    </row>
    <row r="66" spans="1:17" ht="15" x14ac:dyDescent="0.25">
      <c r="A66" s="3" t="str">
        <f>IF('[1]0.1 Produksi Pangan &amp; Penduduk'!A67="","",'[1]0.1 Produksi Pangan &amp; Penduduk'!A67)</f>
        <v/>
      </c>
      <c r="B66" s="2" t="str">
        <f>IF('[1]0.1 Produksi Pangan &amp; Penduduk'!B67="","",'[1]0.1 Produksi Pangan &amp; Penduduk'!B67)</f>
        <v/>
      </c>
      <c r="C66" s="2" t="str">
        <f>IF('[1]0.1 Produksi Pangan &amp; Penduduk'!F67="","",'[1]0.1 Produksi Pangan &amp; Penduduk'!F67)</f>
        <v/>
      </c>
      <c r="D66" s="3" t="str">
        <f>IF('[1]0.1 Produksi Pangan &amp; Penduduk'!D67="","",'[1]0.1 Produksi Pangan &amp; Penduduk'!D67)</f>
        <v/>
      </c>
      <c r="E66" s="3" t="str">
        <f>IF('[1]0.1 Produksi Pangan &amp; Penduduk'!E67="","",'[1]0.1 Produksi Pangan &amp; Penduduk'!E67)</f>
        <v/>
      </c>
      <c r="F66" s="59" t="str">
        <f>IF(D66="","",VLOOKUP(D66,'[1]0.1 Produksi Pangan &amp; Penduduk'!$D$5:$J$860,7,0))</f>
        <v/>
      </c>
      <c r="G66" s="27" t="str">
        <f t="shared" si="0"/>
        <v/>
      </c>
      <c r="H66" s="27" t="str">
        <f t="shared" si="1"/>
        <v/>
      </c>
      <c r="I66" s="27" t="str">
        <f t="shared" si="2"/>
        <v/>
      </c>
      <c r="J66" s="27" t="str">
        <f t="shared" si="3"/>
        <v/>
      </c>
      <c r="K66" s="27" t="str">
        <f t="shared" si="4"/>
        <v/>
      </c>
      <c r="L66" s="59" t="str">
        <f>IF(D66="","",VLOOKUP(D66,'[1]0.1 Produksi Pangan &amp; Penduduk'!$D$5:$M$860,10,0))</f>
        <v/>
      </c>
      <c r="M66" s="28" t="str">
        <f t="shared" si="5"/>
        <v/>
      </c>
      <c r="N66" s="60" t="str">
        <f t="shared" si="6"/>
        <v/>
      </c>
      <c r="O66" s="60" t="str">
        <f t="shared" si="7"/>
        <v/>
      </c>
      <c r="P66" s="60" t="str">
        <f t="shared" si="8"/>
        <v/>
      </c>
      <c r="Q66" s="28" t="str">
        <f t="shared" si="9"/>
        <v/>
      </c>
    </row>
    <row r="67" spans="1:17" ht="15" x14ac:dyDescent="0.25">
      <c r="A67" s="3" t="str">
        <f>IF('[1]0.1 Produksi Pangan &amp; Penduduk'!A68="","",'[1]0.1 Produksi Pangan &amp; Penduduk'!A68)</f>
        <v/>
      </c>
      <c r="B67" s="2" t="str">
        <f>IF('[1]0.1 Produksi Pangan &amp; Penduduk'!B68="","",'[1]0.1 Produksi Pangan &amp; Penduduk'!B68)</f>
        <v/>
      </c>
      <c r="C67" s="2" t="str">
        <f>IF('[1]0.1 Produksi Pangan &amp; Penduduk'!F68="","",'[1]0.1 Produksi Pangan &amp; Penduduk'!F68)</f>
        <v/>
      </c>
      <c r="D67" s="3" t="str">
        <f>IF('[1]0.1 Produksi Pangan &amp; Penduduk'!D68="","",'[1]0.1 Produksi Pangan &amp; Penduduk'!D68)</f>
        <v/>
      </c>
      <c r="E67" s="3" t="str">
        <f>IF('[1]0.1 Produksi Pangan &amp; Penduduk'!E68="","",'[1]0.1 Produksi Pangan &amp; Penduduk'!E68)</f>
        <v/>
      </c>
      <c r="F67" s="59" t="str">
        <f>IF(D67="","",VLOOKUP(D67,'[1]0.1 Produksi Pangan &amp; Penduduk'!$D$5:$J$860,7,0))</f>
        <v/>
      </c>
      <c r="G67" s="27" t="str">
        <f t="shared" si="0"/>
        <v/>
      </c>
      <c r="H67" s="27" t="str">
        <f t="shared" si="1"/>
        <v/>
      </c>
      <c r="I67" s="27" t="str">
        <f t="shared" si="2"/>
        <v/>
      </c>
      <c r="J67" s="27" t="str">
        <f t="shared" si="3"/>
        <v/>
      </c>
      <c r="K67" s="27" t="str">
        <f t="shared" si="4"/>
        <v/>
      </c>
      <c r="L67" s="59" t="str">
        <f>IF(D67="","",VLOOKUP(D67,'[1]0.1 Produksi Pangan &amp; Penduduk'!$D$5:$M$860,10,0))</f>
        <v/>
      </c>
      <c r="M67" s="28" t="str">
        <f t="shared" si="5"/>
        <v/>
      </c>
      <c r="N67" s="60" t="str">
        <f t="shared" si="6"/>
        <v/>
      </c>
      <c r="O67" s="60" t="str">
        <f t="shared" si="7"/>
        <v/>
      </c>
      <c r="P67" s="60" t="str">
        <f t="shared" si="8"/>
        <v/>
      </c>
      <c r="Q67" s="28" t="str">
        <f t="shared" si="9"/>
        <v/>
      </c>
    </row>
    <row r="68" spans="1:17" ht="15" x14ac:dyDescent="0.25">
      <c r="A68" s="3" t="str">
        <f>IF('[1]0.1 Produksi Pangan &amp; Penduduk'!A69="","",'[1]0.1 Produksi Pangan &amp; Penduduk'!A69)</f>
        <v/>
      </c>
      <c r="B68" s="2" t="str">
        <f>IF('[1]0.1 Produksi Pangan &amp; Penduduk'!B69="","",'[1]0.1 Produksi Pangan &amp; Penduduk'!B69)</f>
        <v/>
      </c>
      <c r="C68" s="2" t="str">
        <f>IF('[1]0.1 Produksi Pangan &amp; Penduduk'!F69="","",'[1]0.1 Produksi Pangan &amp; Penduduk'!F69)</f>
        <v/>
      </c>
      <c r="D68" s="3" t="str">
        <f>IF('[1]0.1 Produksi Pangan &amp; Penduduk'!D69="","",'[1]0.1 Produksi Pangan &amp; Penduduk'!D69)</f>
        <v/>
      </c>
      <c r="E68" s="3" t="str">
        <f>IF('[1]0.1 Produksi Pangan &amp; Penduduk'!E69="","",'[1]0.1 Produksi Pangan &amp; Penduduk'!E69)</f>
        <v/>
      </c>
      <c r="F68" s="59" t="str">
        <f>IF(D68="","",VLOOKUP(D68,'[1]0.1 Produksi Pangan &amp; Penduduk'!$D$5:$J$860,7,0))</f>
        <v/>
      </c>
      <c r="G68" s="27" t="str">
        <f t="shared" si="0"/>
        <v/>
      </c>
      <c r="H68" s="27" t="str">
        <f t="shared" si="1"/>
        <v/>
      </c>
      <c r="I68" s="27" t="str">
        <f t="shared" si="2"/>
        <v/>
      </c>
      <c r="J68" s="27" t="str">
        <f t="shared" si="3"/>
        <v/>
      </c>
      <c r="K68" s="27" t="str">
        <f t="shared" si="4"/>
        <v/>
      </c>
      <c r="L68" s="59" t="str">
        <f>IF(D68="","",VLOOKUP(D68,'[1]0.1 Produksi Pangan &amp; Penduduk'!$D$5:$M$860,10,0))</f>
        <v/>
      </c>
      <c r="M68" s="28" t="str">
        <f t="shared" si="5"/>
        <v/>
      </c>
      <c r="N68" s="60" t="str">
        <f t="shared" si="6"/>
        <v/>
      </c>
      <c r="O68" s="60" t="str">
        <f t="shared" si="7"/>
        <v/>
      </c>
      <c r="P68" s="60" t="str">
        <f t="shared" si="8"/>
        <v/>
      </c>
      <c r="Q68" s="28" t="str">
        <f t="shared" si="9"/>
        <v/>
      </c>
    </row>
    <row r="69" spans="1:17" ht="15" x14ac:dyDescent="0.25">
      <c r="A69" s="3" t="str">
        <f>IF('[1]0.1 Produksi Pangan &amp; Penduduk'!A70="","",'[1]0.1 Produksi Pangan &amp; Penduduk'!A70)</f>
        <v/>
      </c>
      <c r="B69" s="2" t="str">
        <f>IF('[1]0.1 Produksi Pangan &amp; Penduduk'!B70="","",'[1]0.1 Produksi Pangan &amp; Penduduk'!B70)</f>
        <v/>
      </c>
      <c r="C69" s="2" t="str">
        <f>IF('[1]0.1 Produksi Pangan &amp; Penduduk'!F70="","",'[1]0.1 Produksi Pangan &amp; Penduduk'!F70)</f>
        <v/>
      </c>
      <c r="D69" s="3" t="str">
        <f>IF('[1]0.1 Produksi Pangan &amp; Penduduk'!D70="","",'[1]0.1 Produksi Pangan &amp; Penduduk'!D70)</f>
        <v/>
      </c>
      <c r="E69" s="3" t="str">
        <f>IF('[1]0.1 Produksi Pangan &amp; Penduduk'!E70="","",'[1]0.1 Produksi Pangan &amp; Penduduk'!E70)</f>
        <v/>
      </c>
      <c r="F69" s="59" t="str">
        <f>IF(D69="","",VLOOKUP(D69,'[1]0.1 Produksi Pangan &amp; Penduduk'!$D$5:$J$860,7,0))</f>
        <v/>
      </c>
      <c r="G69" s="27" t="str">
        <f t="shared" si="0"/>
        <v/>
      </c>
      <c r="H69" s="27" t="str">
        <f t="shared" si="1"/>
        <v/>
      </c>
      <c r="I69" s="27" t="str">
        <f t="shared" si="2"/>
        <v/>
      </c>
      <c r="J69" s="27" t="str">
        <f t="shared" si="3"/>
        <v/>
      </c>
      <c r="K69" s="27" t="str">
        <f t="shared" si="4"/>
        <v/>
      </c>
      <c r="L69" s="59" t="str">
        <f>IF(D69="","",VLOOKUP(D69,'[1]0.1 Produksi Pangan &amp; Penduduk'!$D$5:$M$860,10,0))</f>
        <v/>
      </c>
      <c r="M69" s="28" t="str">
        <f t="shared" si="5"/>
        <v/>
      </c>
      <c r="N69" s="60" t="str">
        <f t="shared" si="6"/>
        <v/>
      </c>
      <c r="O69" s="60" t="str">
        <f t="shared" si="7"/>
        <v/>
      </c>
      <c r="P69" s="60" t="str">
        <f t="shared" si="8"/>
        <v/>
      </c>
      <c r="Q69" s="28" t="str">
        <f t="shared" si="9"/>
        <v/>
      </c>
    </row>
    <row r="70" spans="1:17" ht="15" x14ac:dyDescent="0.25">
      <c r="A70" s="3" t="str">
        <f>IF('[1]0.1 Produksi Pangan &amp; Penduduk'!A71="","",'[1]0.1 Produksi Pangan &amp; Penduduk'!A71)</f>
        <v/>
      </c>
      <c r="B70" s="2" t="str">
        <f>IF('[1]0.1 Produksi Pangan &amp; Penduduk'!B71="","",'[1]0.1 Produksi Pangan &amp; Penduduk'!B71)</f>
        <v/>
      </c>
      <c r="C70" s="2" t="str">
        <f>IF('[1]0.1 Produksi Pangan &amp; Penduduk'!F71="","",'[1]0.1 Produksi Pangan &amp; Penduduk'!F71)</f>
        <v/>
      </c>
      <c r="D70" s="3" t="str">
        <f>IF('[1]0.1 Produksi Pangan &amp; Penduduk'!D71="","",'[1]0.1 Produksi Pangan &amp; Penduduk'!D71)</f>
        <v/>
      </c>
      <c r="E70" s="3" t="str">
        <f>IF('[1]0.1 Produksi Pangan &amp; Penduduk'!E71="","",'[1]0.1 Produksi Pangan &amp; Penduduk'!E71)</f>
        <v/>
      </c>
      <c r="F70" s="59" t="str">
        <f>IF(D70="","",VLOOKUP(D70,'[1]0.1 Produksi Pangan &amp; Penduduk'!$D$5:$J$860,7,0))</f>
        <v/>
      </c>
      <c r="G70" s="27" t="str">
        <f t="shared" ref="G70:G133" si="10">IF(F70="","",F70*0.9%)</f>
        <v/>
      </c>
      <c r="H70" s="27" t="str">
        <f t="shared" ref="H70:H133" si="11">IF(F70="","",F70*0.44%)</f>
        <v/>
      </c>
      <c r="I70" s="27" t="str">
        <f t="shared" ref="I70:I133" si="12">IF(F70="","",F70*4.92%)</f>
        <v/>
      </c>
      <c r="J70" s="27" t="str">
        <f t="shared" ref="J70:J133" si="13">IF(F70="","",F70*0.56%)</f>
        <v/>
      </c>
      <c r="K70" s="27" t="str">
        <f t="shared" ref="K70:K133" si="14">IF(F70="","",F70-(G70+H70+I70+J70))</f>
        <v/>
      </c>
      <c r="L70" s="59" t="str">
        <f>IF(D70="","",VLOOKUP(D70,'[1]0.1 Produksi Pangan &amp; Penduduk'!$D$5:$M$860,10,0))</f>
        <v/>
      </c>
      <c r="M70" s="28" t="str">
        <f t="shared" ref="M70:M133" si="15">IFERROR(K70*L70,"")</f>
        <v/>
      </c>
      <c r="N70" s="60" t="str">
        <f t="shared" ref="N70:N133" si="16">IF(M70="","",M70*0.17%)</f>
        <v/>
      </c>
      <c r="O70" s="60" t="str">
        <f t="shared" ref="O70:O133" si="17">IF(M70="","",M70*2.5%)</f>
        <v/>
      </c>
      <c r="P70" s="60" t="str">
        <f t="shared" ref="P70:P133" si="18">IF(M70="","",M70*0.66%)</f>
        <v/>
      </c>
      <c r="Q70" s="28" t="str">
        <f t="shared" ref="Q70:Q133" si="19">IF(M70="","",M70-(N70+O70+P70))</f>
        <v/>
      </c>
    </row>
    <row r="71" spans="1:17" ht="15" x14ac:dyDescent="0.25">
      <c r="A71" s="3" t="str">
        <f>IF('[1]0.1 Produksi Pangan &amp; Penduduk'!A72="","",'[1]0.1 Produksi Pangan &amp; Penduduk'!A72)</f>
        <v/>
      </c>
      <c r="B71" s="2" t="str">
        <f>IF('[1]0.1 Produksi Pangan &amp; Penduduk'!B72="","",'[1]0.1 Produksi Pangan &amp; Penduduk'!B72)</f>
        <v/>
      </c>
      <c r="C71" s="2" t="str">
        <f>IF('[1]0.1 Produksi Pangan &amp; Penduduk'!F72="","",'[1]0.1 Produksi Pangan &amp; Penduduk'!F72)</f>
        <v/>
      </c>
      <c r="D71" s="3" t="str">
        <f>IF('[1]0.1 Produksi Pangan &amp; Penduduk'!D72="","",'[1]0.1 Produksi Pangan &amp; Penduduk'!D72)</f>
        <v/>
      </c>
      <c r="E71" s="3" t="str">
        <f>IF('[1]0.1 Produksi Pangan &amp; Penduduk'!E72="","",'[1]0.1 Produksi Pangan &amp; Penduduk'!E72)</f>
        <v/>
      </c>
      <c r="F71" s="59" t="str">
        <f>IF(D71="","",VLOOKUP(D71,'[1]0.1 Produksi Pangan &amp; Penduduk'!$D$5:$J$860,7,0))</f>
        <v/>
      </c>
      <c r="G71" s="27" t="str">
        <f t="shared" si="10"/>
        <v/>
      </c>
      <c r="H71" s="27" t="str">
        <f t="shared" si="11"/>
        <v/>
      </c>
      <c r="I71" s="27" t="str">
        <f t="shared" si="12"/>
        <v/>
      </c>
      <c r="J71" s="27" t="str">
        <f t="shared" si="13"/>
        <v/>
      </c>
      <c r="K71" s="27" t="str">
        <f t="shared" si="14"/>
        <v/>
      </c>
      <c r="L71" s="59" t="str">
        <f>IF(D71="","",VLOOKUP(D71,'[1]0.1 Produksi Pangan &amp; Penduduk'!$D$5:$M$860,10,0))</f>
        <v/>
      </c>
      <c r="M71" s="28" t="str">
        <f t="shared" si="15"/>
        <v/>
      </c>
      <c r="N71" s="60" t="str">
        <f t="shared" si="16"/>
        <v/>
      </c>
      <c r="O71" s="60" t="str">
        <f t="shared" si="17"/>
        <v/>
      </c>
      <c r="P71" s="60" t="str">
        <f t="shared" si="18"/>
        <v/>
      </c>
      <c r="Q71" s="28" t="str">
        <f t="shared" si="19"/>
        <v/>
      </c>
    </row>
    <row r="72" spans="1:17" ht="15" x14ac:dyDescent="0.25">
      <c r="A72" s="3" t="str">
        <f>IF('[1]0.1 Produksi Pangan &amp; Penduduk'!A73="","",'[1]0.1 Produksi Pangan &amp; Penduduk'!A73)</f>
        <v/>
      </c>
      <c r="B72" s="2" t="str">
        <f>IF('[1]0.1 Produksi Pangan &amp; Penduduk'!B73="","",'[1]0.1 Produksi Pangan &amp; Penduduk'!B73)</f>
        <v/>
      </c>
      <c r="C72" s="2" t="str">
        <f>IF('[1]0.1 Produksi Pangan &amp; Penduduk'!F73="","",'[1]0.1 Produksi Pangan &amp; Penduduk'!F73)</f>
        <v/>
      </c>
      <c r="D72" s="3" t="str">
        <f>IF('[1]0.1 Produksi Pangan &amp; Penduduk'!D73="","",'[1]0.1 Produksi Pangan &amp; Penduduk'!D73)</f>
        <v/>
      </c>
      <c r="E72" s="3" t="str">
        <f>IF('[1]0.1 Produksi Pangan &amp; Penduduk'!E73="","",'[1]0.1 Produksi Pangan &amp; Penduduk'!E73)</f>
        <v/>
      </c>
      <c r="F72" s="59" t="str">
        <f>IF(D72="","",VLOOKUP(D72,'[1]0.1 Produksi Pangan &amp; Penduduk'!$D$5:$J$860,7,0))</f>
        <v/>
      </c>
      <c r="G72" s="27" t="str">
        <f t="shared" si="10"/>
        <v/>
      </c>
      <c r="H72" s="27" t="str">
        <f t="shared" si="11"/>
        <v/>
      </c>
      <c r="I72" s="27" t="str">
        <f t="shared" si="12"/>
        <v/>
      </c>
      <c r="J72" s="27" t="str">
        <f t="shared" si="13"/>
        <v/>
      </c>
      <c r="K72" s="27" t="str">
        <f t="shared" si="14"/>
        <v/>
      </c>
      <c r="L72" s="59" t="str">
        <f>IF(D72="","",VLOOKUP(D72,'[1]0.1 Produksi Pangan &amp; Penduduk'!$D$5:$M$860,10,0))</f>
        <v/>
      </c>
      <c r="M72" s="28" t="str">
        <f t="shared" si="15"/>
        <v/>
      </c>
      <c r="N72" s="60" t="str">
        <f t="shared" si="16"/>
        <v/>
      </c>
      <c r="O72" s="60" t="str">
        <f t="shared" si="17"/>
        <v/>
      </c>
      <c r="P72" s="60" t="str">
        <f t="shared" si="18"/>
        <v/>
      </c>
      <c r="Q72" s="28" t="str">
        <f t="shared" si="19"/>
        <v/>
      </c>
    </row>
    <row r="73" spans="1:17" ht="15" x14ac:dyDescent="0.25">
      <c r="A73" s="3" t="str">
        <f>IF('[1]0.1 Produksi Pangan &amp; Penduduk'!A74="","",'[1]0.1 Produksi Pangan &amp; Penduduk'!A74)</f>
        <v/>
      </c>
      <c r="B73" s="2" t="str">
        <f>IF('[1]0.1 Produksi Pangan &amp; Penduduk'!B74="","",'[1]0.1 Produksi Pangan &amp; Penduduk'!B74)</f>
        <v/>
      </c>
      <c r="C73" s="2" t="str">
        <f>IF('[1]0.1 Produksi Pangan &amp; Penduduk'!F74="","",'[1]0.1 Produksi Pangan &amp; Penduduk'!F74)</f>
        <v/>
      </c>
      <c r="D73" s="3" t="str">
        <f>IF('[1]0.1 Produksi Pangan &amp; Penduduk'!D74="","",'[1]0.1 Produksi Pangan &amp; Penduduk'!D74)</f>
        <v/>
      </c>
      <c r="E73" s="3" t="str">
        <f>IF('[1]0.1 Produksi Pangan &amp; Penduduk'!E74="","",'[1]0.1 Produksi Pangan &amp; Penduduk'!E74)</f>
        <v/>
      </c>
      <c r="F73" s="59" t="str">
        <f>IF(D73="","",VLOOKUP(D73,'[1]0.1 Produksi Pangan &amp; Penduduk'!$D$5:$J$860,7,0))</f>
        <v/>
      </c>
      <c r="G73" s="27" t="str">
        <f t="shared" si="10"/>
        <v/>
      </c>
      <c r="H73" s="27" t="str">
        <f t="shared" si="11"/>
        <v/>
      </c>
      <c r="I73" s="27" t="str">
        <f t="shared" si="12"/>
        <v/>
      </c>
      <c r="J73" s="27" t="str">
        <f t="shared" si="13"/>
        <v/>
      </c>
      <c r="K73" s="27" t="str">
        <f t="shared" si="14"/>
        <v/>
      </c>
      <c r="L73" s="59" t="str">
        <f>IF(D73="","",VLOOKUP(D73,'[1]0.1 Produksi Pangan &amp; Penduduk'!$D$5:$M$860,10,0))</f>
        <v/>
      </c>
      <c r="M73" s="28" t="str">
        <f t="shared" si="15"/>
        <v/>
      </c>
      <c r="N73" s="60" t="str">
        <f t="shared" si="16"/>
        <v/>
      </c>
      <c r="O73" s="60" t="str">
        <f t="shared" si="17"/>
        <v/>
      </c>
      <c r="P73" s="60" t="str">
        <f t="shared" si="18"/>
        <v/>
      </c>
      <c r="Q73" s="28" t="str">
        <f t="shared" si="19"/>
        <v/>
      </c>
    </row>
    <row r="74" spans="1:17" ht="15" x14ac:dyDescent="0.25">
      <c r="A74" s="3" t="str">
        <f>IF('[1]0.1 Produksi Pangan &amp; Penduduk'!A75="","",'[1]0.1 Produksi Pangan &amp; Penduduk'!A75)</f>
        <v/>
      </c>
      <c r="B74" s="2" t="str">
        <f>IF('[1]0.1 Produksi Pangan &amp; Penduduk'!B75="","",'[1]0.1 Produksi Pangan &amp; Penduduk'!B75)</f>
        <v/>
      </c>
      <c r="C74" s="2" t="str">
        <f>IF('[1]0.1 Produksi Pangan &amp; Penduduk'!F75="","",'[1]0.1 Produksi Pangan &amp; Penduduk'!F75)</f>
        <v/>
      </c>
      <c r="D74" s="3" t="str">
        <f>IF('[1]0.1 Produksi Pangan &amp; Penduduk'!D75="","",'[1]0.1 Produksi Pangan &amp; Penduduk'!D75)</f>
        <v/>
      </c>
      <c r="E74" s="3" t="str">
        <f>IF('[1]0.1 Produksi Pangan &amp; Penduduk'!E75="","",'[1]0.1 Produksi Pangan &amp; Penduduk'!E75)</f>
        <v/>
      </c>
      <c r="F74" s="59" t="str">
        <f>IF(D74="","",VLOOKUP(D74,'[1]0.1 Produksi Pangan &amp; Penduduk'!$D$5:$J$860,7,0))</f>
        <v/>
      </c>
      <c r="G74" s="27" t="str">
        <f t="shared" si="10"/>
        <v/>
      </c>
      <c r="H74" s="27" t="str">
        <f t="shared" si="11"/>
        <v/>
      </c>
      <c r="I74" s="27" t="str">
        <f t="shared" si="12"/>
        <v/>
      </c>
      <c r="J74" s="27" t="str">
        <f t="shared" si="13"/>
        <v/>
      </c>
      <c r="K74" s="27" t="str">
        <f t="shared" si="14"/>
        <v/>
      </c>
      <c r="L74" s="59" t="str">
        <f>IF(D74="","",VLOOKUP(D74,'[1]0.1 Produksi Pangan &amp; Penduduk'!$D$5:$M$860,10,0))</f>
        <v/>
      </c>
      <c r="M74" s="28" t="str">
        <f t="shared" si="15"/>
        <v/>
      </c>
      <c r="N74" s="60" t="str">
        <f t="shared" si="16"/>
        <v/>
      </c>
      <c r="O74" s="60" t="str">
        <f t="shared" si="17"/>
        <v/>
      </c>
      <c r="P74" s="60" t="str">
        <f t="shared" si="18"/>
        <v/>
      </c>
      <c r="Q74" s="28" t="str">
        <f t="shared" si="19"/>
        <v/>
      </c>
    </row>
    <row r="75" spans="1:17" ht="15" x14ac:dyDescent="0.25">
      <c r="A75" s="3" t="str">
        <f>IF('[1]0.1 Produksi Pangan &amp; Penduduk'!A76="","",'[1]0.1 Produksi Pangan &amp; Penduduk'!A76)</f>
        <v/>
      </c>
      <c r="B75" s="2" t="str">
        <f>IF('[1]0.1 Produksi Pangan &amp; Penduduk'!B76="","",'[1]0.1 Produksi Pangan &amp; Penduduk'!B76)</f>
        <v/>
      </c>
      <c r="C75" s="2" t="str">
        <f>IF('[1]0.1 Produksi Pangan &amp; Penduduk'!F76="","",'[1]0.1 Produksi Pangan &amp; Penduduk'!F76)</f>
        <v/>
      </c>
      <c r="D75" s="3" t="str">
        <f>IF('[1]0.1 Produksi Pangan &amp; Penduduk'!D76="","",'[1]0.1 Produksi Pangan &amp; Penduduk'!D76)</f>
        <v/>
      </c>
      <c r="E75" s="3" t="str">
        <f>IF('[1]0.1 Produksi Pangan &amp; Penduduk'!E76="","",'[1]0.1 Produksi Pangan &amp; Penduduk'!E76)</f>
        <v/>
      </c>
      <c r="F75" s="59" t="str">
        <f>IF(D75="","",VLOOKUP(D75,'[1]0.1 Produksi Pangan &amp; Penduduk'!$D$5:$J$860,7,0))</f>
        <v/>
      </c>
      <c r="G75" s="27" t="str">
        <f t="shared" si="10"/>
        <v/>
      </c>
      <c r="H75" s="27" t="str">
        <f t="shared" si="11"/>
        <v/>
      </c>
      <c r="I75" s="27" t="str">
        <f t="shared" si="12"/>
        <v/>
      </c>
      <c r="J75" s="27" t="str">
        <f t="shared" si="13"/>
        <v/>
      </c>
      <c r="K75" s="27" t="str">
        <f t="shared" si="14"/>
        <v/>
      </c>
      <c r="L75" s="59" t="str">
        <f>IF(D75="","",VLOOKUP(D75,'[1]0.1 Produksi Pangan &amp; Penduduk'!$D$5:$M$860,10,0))</f>
        <v/>
      </c>
      <c r="M75" s="28" t="str">
        <f t="shared" si="15"/>
        <v/>
      </c>
      <c r="N75" s="60" t="str">
        <f t="shared" si="16"/>
        <v/>
      </c>
      <c r="O75" s="60" t="str">
        <f t="shared" si="17"/>
        <v/>
      </c>
      <c r="P75" s="60" t="str">
        <f t="shared" si="18"/>
        <v/>
      </c>
      <c r="Q75" s="28" t="str">
        <f t="shared" si="19"/>
        <v/>
      </c>
    </row>
    <row r="76" spans="1:17" ht="15" x14ac:dyDescent="0.25">
      <c r="A76" s="3" t="str">
        <f>IF('[1]0.1 Produksi Pangan &amp; Penduduk'!A77="","",'[1]0.1 Produksi Pangan &amp; Penduduk'!A77)</f>
        <v/>
      </c>
      <c r="B76" s="2" t="str">
        <f>IF('[1]0.1 Produksi Pangan &amp; Penduduk'!B77="","",'[1]0.1 Produksi Pangan &amp; Penduduk'!B77)</f>
        <v/>
      </c>
      <c r="C76" s="2" t="str">
        <f>IF('[1]0.1 Produksi Pangan &amp; Penduduk'!F77="","",'[1]0.1 Produksi Pangan &amp; Penduduk'!F77)</f>
        <v/>
      </c>
      <c r="D76" s="3" t="str">
        <f>IF('[1]0.1 Produksi Pangan &amp; Penduduk'!D77="","",'[1]0.1 Produksi Pangan &amp; Penduduk'!D77)</f>
        <v/>
      </c>
      <c r="E76" s="3" t="str">
        <f>IF('[1]0.1 Produksi Pangan &amp; Penduduk'!E77="","",'[1]0.1 Produksi Pangan &amp; Penduduk'!E77)</f>
        <v/>
      </c>
      <c r="F76" s="59" t="str">
        <f>IF(D76="","",VLOOKUP(D76,'[1]0.1 Produksi Pangan &amp; Penduduk'!$D$5:$J$860,7,0))</f>
        <v/>
      </c>
      <c r="G76" s="27" t="str">
        <f t="shared" si="10"/>
        <v/>
      </c>
      <c r="H76" s="27" t="str">
        <f t="shared" si="11"/>
        <v/>
      </c>
      <c r="I76" s="27" t="str">
        <f t="shared" si="12"/>
        <v/>
      </c>
      <c r="J76" s="27" t="str">
        <f t="shared" si="13"/>
        <v/>
      </c>
      <c r="K76" s="27" t="str">
        <f t="shared" si="14"/>
        <v/>
      </c>
      <c r="L76" s="59" t="str">
        <f>IF(D76="","",VLOOKUP(D76,'[1]0.1 Produksi Pangan &amp; Penduduk'!$D$5:$M$860,10,0))</f>
        <v/>
      </c>
      <c r="M76" s="28" t="str">
        <f t="shared" si="15"/>
        <v/>
      </c>
      <c r="N76" s="60" t="str">
        <f t="shared" si="16"/>
        <v/>
      </c>
      <c r="O76" s="60" t="str">
        <f t="shared" si="17"/>
        <v/>
      </c>
      <c r="P76" s="60" t="str">
        <f t="shared" si="18"/>
        <v/>
      </c>
      <c r="Q76" s="28" t="str">
        <f t="shared" si="19"/>
        <v/>
      </c>
    </row>
    <row r="77" spans="1:17" ht="15" x14ac:dyDescent="0.25">
      <c r="A77" s="3" t="str">
        <f>IF('[1]0.1 Produksi Pangan &amp; Penduduk'!A78="","",'[1]0.1 Produksi Pangan &amp; Penduduk'!A78)</f>
        <v/>
      </c>
      <c r="B77" s="2" t="str">
        <f>IF('[1]0.1 Produksi Pangan &amp; Penduduk'!B78="","",'[1]0.1 Produksi Pangan &amp; Penduduk'!B78)</f>
        <v/>
      </c>
      <c r="C77" s="2" t="str">
        <f>IF('[1]0.1 Produksi Pangan &amp; Penduduk'!F78="","",'[1]0.1 Produksi Pangan &amp; Penduduk'!F78)</f>
        <v/>
      </c>
      <c r="D77" s="3" t="str">
        <f>IF('[1]0.1 Produksi Pangan &amp; Penduduk'!D78="","",'[1]0.1 Produksi Pangan &amp; Penduduk'!D78)</f>
        <v/>
      </c>
      <c r="E77" s="3" t="str">
        <f>IF('[1]0.1 Produksi Pangan &amp; Penduduk'!E78="","",'[1]0.1 Produksi Pangan &amp; Penduduk'!E78)</f>
        <v/>
      </c>
      <c r="F77" s="59" t="str">
        <f>IF(D77="","",VLOOKUP(D77,'[1]0.1 Produksi Pangan &amp; Penduduk'!$D$5:$J$860,7,0))</f>
        <v/>
      </c>
      <c r="G77" s="27" t="str">
        <f t="shared" si="10"/>
        <v/>
      </c>
      <c r="H77" s="27" t="str">
        <f t="shared" si="11"/>
        <v/>
      </c>
      <c r="I77" s="27" t="str">
        <f t="shared" si="12"/>
        <v/>
      </c>
      <c r="J77" s="27" t="str">
        <f t="shared" si="13"/>
        <v/>
      </c>
      <c r="K77" s="27" t="str">
        <f t="shared" si="14"/>
        <v/>
      </c>
      <c r="L77" s="59" t="str">
        <f>IF(D77="","",VLOOKUP(D77,'[1]0.1 Produksi Pangan &amp; Penduduk'!$D$5:$M$860,10,0))</f>
        <v/>
      </c>
      <c r="M77" s="28" t="str">
        <f t="shared" si="15"/>
        <v/>
      </c>
      <c r="N77" s="60" t="str">
        <f t="shared" si="16"/>
        <v/>
      </c>
      <c r="O77" s="60" t="str">
        <f t="shared" si="17"/>
        <v/>
      </c>
      <c r="P77" s="60" t="str">
        <f t="shared" si="18"/>
        <v/>
      </c>
      <c r="Q77" s="28" t="str">
        <f t="shared" si="19"/>
        <v/>
      </c>
    </row>
    <row r="78" spans="1:17" ht="15" x14ac:dyDescent="0.25">
      <c r="A78" s="3" t="str">
        <f>IF('[1]0.1 Produksi Pangan &amp; Penduduk'!A79="","",'[1]0.1 Produksi Pangan &amp; Penduduk'!A79)</f>
        <v/>
      </c>
      <c r="B78" s="2" t="str">
        <f>IF('[1]0.1 Produksi Pangan &amp; Penduduk'!B79="","",'[1]0.1 Produksi Pangan &amp; Penduduk'!B79)</f>
        <v/>
      </c>
      <c r="C78" s="2" t="str">
        <f>IF('[1]0.1 Produksi Pangan &amp; Penduduk'!F79="","",'[1]0.1 Produksi Pangan &amp; Penduduk'!F79)</f>
        <v/>
      </c>
      <c r="D78" s="3" t="str">
        <f>IF('[1]0.1 Produksi Pangan &amp; Penduduk'!D79="","",'[1]0.1 Produksi Pangan &amp; Penduduk'!D79)</f>
        <v/>
      </c>
      <c r="E78" s="3" t="str">
        <f>IF('[1]0.1 Produksi Pangan &amp; Penduduk'!E79="","",'[1]0.1 Produksi Pangan &amp; Penduduk'!E79)</f>
        <v/>
      </c>
      <c r="F78" s="59" t="str">
        <f>IF(D78="","",VLOOKUP(D78,'[1]0.1 Produksi Pangan &amp; Penduduk'!$D$5:$J$860,7,0))</f>
        <v/>
      </c>
      <c r="G78" s="27" t="str">
        <f t="shared" si="10"/>
        <v/>
      </c>
      <c r="H78" s="27" t="str">
        <f t="shared" si="11"/>
        <v/>
      </c>
      <c r="I78" s="27" t="str">
        <f t="shared" si="12"/>
        <v/>
      </c>
      <c r="J78" s="27" t="str">
        <f t="shared" si="13"/>
        <v/>
      </c>
      <c r="K78" s="27" t="str">
        <f t="shared" si="14"/>
        <v/>
      </c>
      <c r="L78" s="59" t="str">
        <f>IF(D78="","",VLOOKUP(D78,'[1]0.1 Produksi Pangan &amp; Penduduk'!$D$5:$M$860,10,0))</f>
        <v/>
      </c>
      <c r="M78" s="28" t="str">
        <f t="shared" si="15"/>
        <v/>
      </c>
      <c r="N78" s="60" t="str">
        <f t="shared" si="16"/>
        <v/>
      </c>
      <c r="O78" s="60" t="str">
        <f t="shared" si="17"/>
        <v/>
      </c>
      <c r="P78" s="60" t="str">
        <f t="shared" si="18"/>
        <v/>
      </c>
      <c r="Q78" s="28" t="str">
        <f t="shared" si="19"/>
        <v/>
      </c>
    </row>
    <row r="79" spans="1:17" ht="15" x14ac:dyDescent="0.25">
      <c r="A79" s="3" t="str">
        <f>IF('[1]0.1 Produksi Pangan &amp; Penduduk'!A80="","",'[1]0.1 Produksi Pangan &amp; Penduduk'!A80)</f>
        <v/>
      </c>
      <c r="B79" s="2" t="str">
        <f>IF('[1]0.1 Produksi Pangan &amp; Penduduk'!B80="","",'[1]0.1 Produksi Pangan &amp; Penduduk'!B80)</f>
        <v/>
      </c>
      <c r="C79" s="2" t="str">
        <f>IF('[1]0.1 Produksi Pangan &amp; Penduduk'!F80="","",'[1]0.1 Produksi Pangan &amp; Penduduk'!F80)</f>
        <v/>
      </c>
      <c r="D79" s="3" t="str">
        <f>IF('[1]0.1 Produksi Pangan &amp; Penduduk'!D80="","",'[1]0.1 Produksi Pangan &amp; Penduduk'!D80)</f>
        <v/>
      </c>
      <c r="E79" s="3" t="str">
        <f>IF('[1]0.1 Produksi Pangan &amp; Penduduk'!E80="","",'[1]0.1 Produksi Pangan &amp; Penduduk'!E80)</f>
        <v/>
      </c>
      <c r="F79" s="59" t="str">
        <f>IF(D79="","",VLOOKUP(D79,'[1]0.1 Produksi Pangan &amp; Penduduk'!$D$5:$J$860,7,0))</f>
        <v/>
      </c>
      <c r="G79" s="27" t="str">
        <f t="shared" si="10"/>
        <v/>
      </c>
      <c r="H79" s="27" t="str">
        <f t="shared" si="11"/>
        <v/>
      </c>
      <c r="I79" s="27" t="str">
        <f t="shared" si="12"/>
        <v/>
      </c>
      <c r="J79" s="27" t="str">
        <f t="shared" si="13"/>
        <v/>
      </c>
      <c r="K79" s="27" t="str">
        <f t="shared" si="14"/>
        <v/>
      </c>
      <c r="L79" s="59" t="str">
        <f>IF(D79="","",VLOOKUP(D79,'[1]0.1 Produksi Pangan &amp; Penduduk'!$D$5:$M$860,10,0))</f>
        <v/>
      </c>
      <c r="M79" s="28" t="str">
        <f t="shared" si="15"/>
        <v/>
      </c>
      <c r="N79" s="60" t="str">
        <f t="shared" si="16"/>
        <v/>
      </c>
      <c r="O79" s="60" t="str">
        <f t="shared" si="17"/>
        <v/>
      </c>
      <c r="P79" s="60" t="str">
        <f t="shared" si="18"/>
        <v/>
      </c>
      <c r="Q79" s="28" t="str">
        <f t="shared" si="19"/>
        <v/>
      </c>
    </row>
    <row r="80" spans="1:17" ht="15" x14ac:dyDescent="0.25">
      <c r="A80" s="3" t="str">
        <f>IF('[1]0.1 Produksi Pangan &amp; Penduduk'!A81="","",'[1]0.1 Produksi Pangan &amp; Penduduk'!A81)</f>
        <v/>
      </c>
      <c r="B80" s="2" t="str">
        <f>IF('[1]0.1 Produksi Pangan &amp; Penduduk'!B81="","",'[1]0.1 Produksi Pangan &amp; Penduduk'!B81)</f>
        <v/>
      </c>
      <c r="C80" s="2" t="str">
        <f>IF('[1]0.1 Produksi Pangan &amp; Penduduk'!F81="","",'[1]0.1 Produksi Pangan &amp; Penduduk'!F81)</f>
        <v/>
      </c>
      <c r="D80" s="3" t="str">
        <f>IF('[1]0.1 Produksi Pangan &amp; Penduduk'!D81="","",'[1]0.1 Produksi Pangan &amp; Penduduk'!D81)</f>
        <v/>
      </c>
      <c r="E80" s="3" t="str">
        <f>IF('[1]0.1 Produksi Pangan &amp; Penduduk'!E81="","",'[1]0.1 Produksi Pangan &amp; Penduduk'!E81)</f>
        <v/>
      </c>
      <c r="F80" s="59" t="str">
        <f>IF(D80="","",VLOOKUP(D80,'[1]0.1 Produksi Pangan &amp; Penduduk'!$D$5:$J$860,7,0))</f>
        <v/>
      </c>
      <c r="G80" s="27" t="str">
        <f t="shared" si="10"/>
        <v/>
      </c>
      <c r="H80" s="27" t="str">
        <f t="shared" si="11"/>
        <v/>
      </c>
      <c r="I80" s="27" t="str">
        <f t="shared" si="12"/>
        <v/>
      </c>
      <c r="J80" s="27" t="str">
        <f t="shared" si="13"/>
        <v/>
      </c>
      <c r="K80" s="27" t="str">
        <f t="shared" si="14"/>
        <v/>
      </c>
      <c r="L80" s="59" t="str">
        <f>IF(D80="","",VLOOKUP(D80,'[1]0.1 Produksi Pangan &amp; Penduduk'!$D$5:$M$860,10,0))</f>
        <v/>
      </c>
      <c r="M80" s="28" t="str">
        <f t="shared" si="15"/>
        <v/>
      </c>
      <c r="N80" s="60" t="str">
        <f t="shared" si="16"/>
        <v/>
      </c>
      <c r="O80" s="60" t="str">
        <f t="shared" si="17"/>
        <v/>
      </c>
      <c r="P80" s="60" t="str">
        <f t="shared" si="18"/>
        <v/>
      </c>
      <c r="Q80" s="28" t="str">
        <f t="shared" si="19"/>
        <v/>
      </c>
    </row>
    <row r="81" spans="1:17" ht="15" x14ac:dyDescent="0.25">
      <c r="A81" s="3" t="str">
        <f>IF('[1]0.1 Produksi Pangan &amp; Penduduk'!A82="","",'[1]0.1 Produksi Pangan &amp; Penduduk'!A82)</f>
        <v/>
      </c>
      <c r="B81" s="2" t="str">
        <f>IF('[1]0.1 Produksi Pangan &amp; Penduduk'!B82="","",'[1]0.1 Produksi Pangan &amp; Penduduk'!B82)</f>
        <v/>
      </c>
      <c r="C81" s="2" t="str">
        <f>IF('[1]0.1 Produksi Pangan &amp; Penduduk'!F82="","",'[1]0.1 Produksi Pangan &amp; Penduduk'!F82)</f>
        <v/>
      </c>
      <c r="D81" s="3" t="str">
        <f>IF('[1]0.1 Produksi Pangan &amp; Penduduk'!D82="","",'[1]0.1 Produksi Pangan &amp; Penduduk'!D82)</f>
        <v/>
      </c>
      <c r="E81" s="3" t="str">
        <f>IF('[1]0.1 Produksi Pangan &amp; Penduduk'!E82="","",'[1]0.1 Produksi Pangan &amp; Penduduk'!E82)</f>
        <v/>
      </c>
      <c r="F81" s="59" t="str">
        <f>IF(D81="","",VLOOKUP(D81,'[1]0.1 Produksi Pangan &amp; Penduduk'!$D$5:$J$860,7,0))</f>
        <v/>
      </c>
      <c r="G81" s="27" t="str">
        <f t="shared" si="10"/>
        <v/>
      </c>
      <c r="H81" s="27" t="str">
        <f t="shared" si="11"/>
        <v/>
      </c>
      <c r="I81" s="27" t="str">
        <f t="shared" si="12"/>
        <v/>
      </c>
      <c r="J81" s="27" t="str">
        <f t="shared" si="13"/>
        <v/>
      </c>
      <c r="K81" s="27" t="str">
        <f t="shared" si="14"/>
        <v/>
      </c>
      <c r="L81" s="59" t="str">
        <f>IF(D81="","",VLOOKUP(D81,'[1]0.1 Produksi Pangan &amp; Penduduk'!$D$5:$M$860,10,0))</f>
        <v/>
      </c>
      <c r="M81" s="28" t="str">
        <f t="shared" si="15"/>
        <v/>
      </c>
      <c r="N81" s="60" t="str">
        <f t="shared" si="16"/>
        <v/>
      </c>
      <c r="O81" s="60" t="str">
        <f t="shared" si="17"/>
        <v/>
      </c>
      <c r="P81" s="60" t="str">
        <f t="shared" si="18"/>
        <v/>
      </c>
      <c r="Q81" s="28" t="str">
        <f t="shared" si="19"/>
        <v/>
      </c>
    </row>
    <row r="82" spans="1:17" ht="15" x14ac:dyDescent="0.25">
      <c r="A82" s="3" t="str">
        <f>IF('[1]0.1 Produksi Pangan &amp; Penduduk'!A83="","",'[1]0.1 Produksi Pangan &amp; Penduduk'!A83)</f>
        <v/>
      </c>
      <c r="B82" s="2" t="str">
        <f>IF('[1]0.1 Produksi Pangan &amp; Penduduk'!B83="","",'[1]0.1 Produksi Pangan &amp; Penduduk'!B83)</f>
        <v/>
      </c>
      <c r="C82" s="2" t="str">
        <f>IF('[1]0.1 Produksi Pangan &amp; Penduduk'!F83="","",'[1]0.1 Produksi Pangan &amp; Penduduk'!F83)</f>
        <v/>
      </c>
      <c r="D82" s="3" t="str">
        <f>IF('[1]0.1 Produksi Pangan &amp; Penduduk'!D83="","",'[1]0.1 Produksi Pangan &amp; Penduduk'!D83)</f>
        <v/>
      </c>
      <c r="E82" s="3" t="str">
        <f>IF('[1]0.1 Produksi Pangan &amp; Penduduk'!E83="","",'[1]0.1 Produksi Pangan &amp; Penduduk'!E83)</f>
        <v/>
      </c>
      <c r="F82" s="59" t="str">
        <f>IF(D82="","",VLOOKUP(D82,'[1]0.1 Produksi Pangan &amp; Penduduk'!$D$5:$J$860,7,0))</f>
        <v/>
      </c>
      <c r="G82" s="27" t="str">
        <f t="shared" si="10"/>
        <v/>
      </c>
      <c r="H82" s="27" t="str">
        <f t="shared" si="11"/>
        <v/>
      </c>
      <c r="I82" s="27" t="str">
        <f t="shared" si="12"/>
        <v/>
      </c>
      <c r="J82" s="27" t="str">
        <f t="shared" si="13"/>
        <v/>
      </c>
      <c r="K82" s="27" t="str">
        <f t="shared" si="14"/>
        <v/>
      </c>
      <c r="L82" s="59" t="str">
        <f>IF(D82="","",VLOOKUP(D82,'[1]0.1 Produksi Pangan &amp; Penduduk'!$D$5:$M$860,10,0))</f>
        <v/>
      </c>
      <c r="M82" s="28" t="str">
        <f t="shared" si="15"/>
        <v/>
      </c>
      <c r="N82" s="60" t="str">
        <f t="shared" si="16"/>
        <v/>
      </c>
      <c r="O82" s="60" t="str">
        <f t="shared" si="17"/>
        <v/>
      </c>
      <c r="P82" s="60" t="str">
        <f t="shared" si="18"/>
        <v/>
      </c>
      <c r="Q82" s="28" t="str">
        <f t="shared" si="19"/>
        <v/>
      </c>
    </row>
    <row r="83" spans="1:17" ht="15" x14ac:dyDescent="0.25">
      <c r="A83" s="3" t="str">
        <f>IF('[1]0.1 Produksi Pangan &amp; Penduduk'!A84="","",'[1]0.1 Produksi Pangan &amp; Penduduk'!A84)</f>
        <v/>
      </c>
      <c r="B83" s="2" t="str">
        <f>IF('[1]0.1 Produksi Pangan &amp; Penduduk'!B84="","",'[1]0.1 Produksi Pangan &amp; Penduduk'!B84)</f>
        <v/>
      </c>
      <c r="C83" s="2" t="str">
        <f>IF('[1]0.1 Produksi Pangan &amp; Penduduk'!F84="","",'[1]0.1 Produksi Pangan &amp; Penduduk'!F84)</f>
        <v/>
      </c>
      <c r="D83" s="3" t="str">
        <f>IF('[1]0.1 Produksi Pangan &amp; Penduduk'!D84="","",'[1]0.1 Produksi Pangan &amp; Penduduk'!D84)</f>
        <v/>
      </c>
      <c r="E83" s="3" t="str">
        <f>IF('[1]0.1 Produksi Pangan &amp; Penduduk'!E84="","",'[1]0.1 Produksi Pangan &amp; Penduduk'!E84)</f>
        <v/>
      </c>
      <c r="F83" s="59" t="str">
        <f>IF(D83="","",VLOOKUP(D83,'[1]0.1 Produksi Pangan &amp; Penduduk'!$D$5:$J$860,7,0))</f>
        <v/>
      </c>
      <c r="G83" s="27" t="str">
        <f t="shared" si="10"/>
        <v/>
      </c>
      <c r="H83" s="27" t="str">
        <f t="shared" si="11"/>
        <v/>
      </c>
      <c r="I83" s="27" t="str">
        <f t="shared" si="12"/>
        <v/>
      </c>
      <c r="J83" s="27" t="str">
        <f t="shared" si="13"/>
        <v/>
      </c>
      <c r="K83" s="27" t="str">
        <f t="shared" si="14"/>
        <v/>
      </c>
      <c r="L83" s="59" t="str">
        <f>IF(D83="","",VLOOKUP(D83,'[1]0.1 Produksi Pangan &amp; Penduduk'!$D$5:$M$860,10,0))</f>
        <v/>
      </c>
      <c r="M83" s="28" t="str">
        <f t="shared" si="15"/>
        <v/>
      </c>
      <c r="N83" s="60" t="str">
        <f t="shared" si="16"/>
        <v/>
      </c>
      <c r="O83" s="60" t="str">
        <f t="shared" si="17"/>
        <v/>
      </c>
      <c r="P83" s="60" t="str">
        <f t="shared" si="18"/>
        <v/>
      </c>
      <c r="Q83" s="28" t="str">
        <f t="shared" si="19"/>
        <v/>
      </c>
    </row>
    <row r="84" spans="1:17" ht="15" x14ac:dyDescent="0.25">
      <c r="A84" s="3" t="str">
        <f>IF('[1]0.1 Produksi Pangan &amp; Penduduk'!A85="","",'[1]0.1 Produksi Pangan &amp; Penduduk'!A85)</f>
        <v/>
      </c>
      <c r="B84" s="2" t="str">
        <f>IF('[1]0.1 Produksi Pangan &amp; Penduduk'!B85="","",'[1]0.1 Produksi Pangan &amp; Penduduk'!B85)</f>
        <v/>
      </c>
      <c r="C84" s="2" t="str">
        <f>IF('[1]0.1 Produksi Pangan &amp; Penduduk'!F85="","",'[1]0.1 Produksi Pangan &amp; Penduduk'!F85)</f>
        <v/>
      </c>
      <c r="D84" s="3" t="str">
        <f>IF('[1]0.1 Produksi Pangan &amp; Penduduk'!D85="","",'[1]0.1 Produksi Pangan &amp; Penduduk'!D85)</f>
        <v/>
      </c>
      <c r="E84" s="3" t="str">
        <f>IF('[1]0.1 Produksi Pangan &amp; Penduduk'!E85="","",'[1]0.1 Produksi Pangan &amp; Penduduk'!E85)</f>
        <v/>
      </c>
      <c r="F84" s="59" t="str">
        <f>IF(D84="","",VLOOKUP(D84,'[1]0.1 Produksi Pangan &amp; Penduduk'!$D$5:$J$860,7,0))</f>
        <v/>
      </c>
      <c r="G84" s="27" t="str">
        <f t="shared" si="10"/>
        <v/>
      </c>
      <c r="H84" s="27" t="str">
        <f t="shared" si="11"/>
        <v/>
      </c>
      <c r="I84" s="27" t="str">
        <f t="shared" si="12"/>
        <v/>
      </c>
      <c r="J84" s="27" t="str">
        <f t="shared" si="13"/>
        <v/>
      </c>
      <c r="K84" s="27" t="str">
        <f t="shared" si="14"/>
        <v/>
      </c>
      <c r="L84" s="59" t="str">
        <f>IF(D84="","",VLOOKUP(D84,'[1]0.1 Produksi Pangan &amp; Penduduk'!$D$5:$M$860,10,0))</f>
        <v/>
      </c>
      <c r="M84" s="28" t="str">
        <f t="shared" si="15"/>
        <v/>
      </c>
      <c r="N84" s="60" t="str">
        <f t="shared" si="16"/>
        <v/>
      </c>
      <c r="O84" s="60" t="str">
        <f t="shared" si="17"/>
        <v/>
      </c>
      <c r="P84" s="60" t="str">
        <f t="shared" si="18"/>
        <v/>
      </c>
      <c r="Q84" s="28" t="str">
        <f t="shared" si="19"/>
        <v/>
      </c>
    </row>
    <row r="85" spans="1:17" ht="15" x14ac:dyDescent="0.25">
      <c r="A85" s="3" t="str">
        <f>IF('[1]0.1 Produksi Pangan &amp; Penduduk'!A86="","",'[1]0.1 Produksi Pangan &amp; Penduduk'!A86)</f>
        <v/>
      </c>
      <c r="B85" s="2" t="str">
        <f>IF('[1]0.1 Produksi Pangan &amp; Penduduk'!B86="","",'[1]0.1 Produksi Pangan &amp; Penduduk'!B86)</f>
        <v/>
      </c>
      <c r="C85" s="2" t="str">
        <f>IF('[1]0.1 Produksi Pangan &amp; Penduduk'!F86="","",'[1]0.1 Produksi Pangan &amp; Penduduk'!F86)</f>
        <v/>
      </c>
      <c r="D85" s="3" t="str">
        <f>IF('[1]0.1 Produksi Pangan &amp; Penduduk'!D86="","",'[1]0.1 Produksi Pangan &amp; Penduduk'!D86)</f>
        <v/>
      </c>
      <c r="E85" s="3" t="str">
        <f>IF('[1]0.1 Produksi Pangan &amp; Penduduk'!E86="","",'[1]0.1 Produksi Pangan &amp; Penduduk'!E86)</f>
        <v/>
      </c>
      <c r="F85" s="59" t="str">
        <f>IF(D85="","",VLOOKUP(D85,'[1]0.1 Produksi Pangan &amp; Penduduk'!$D$5:$J$860,7,0))</f>
        <v/>
      </c>
      <c r="G85" s="27" t="str">
        <f t="shared" si="10"/>
        <v/>
      </c>
      <c r="H85" s="27" t="str">
        <f t="shared" si="11"/>
        <v/>
      </c>
      <c r="I85" s="27" t="str">
        <f t="shared" si="12"/>
        <v/>
      </c>
      <c r="J85" s="27" t="str">
        <f t="shared" si="13"/>
        <v/>
      </c>
      <c r="K85" s="27" t="str">
        <f t="shared" si="14"/>
        <v/>
      </c>
      <c r="L85" s="59" t="str">
        <f>IF(D85="","",VLOOKUP(D85,'[1]0.1 Produksi Pangan &amp; Penduduk'!$D$5:$M$860,10,0))</f>
        <v/>
      </c>
      <c r="M85" s="28" t="str">
        <f t="shared" si="15"/>
        <v/>
      </c>
      <c r="N85" s="60" t="str">
        <f t="shared" si="16"/>
        <v/>
      </c>
      <c r="O85" s="60" t="str">
        <f t="shared" si="17"/>
        <v/>
      </c>
      <c r="P85" s="60" t="str">
        <f t="shared" si="18"/>
        <v/>
      </c>
      <c r="Q85" s="28" t="str">
        <f t="shared" si="19"/>
        <v/>
      </c>
    </row>
    <row r="86" spans="1:17" ht="15" x14ac:dyDescent="0.25">
      <c r="A86" s="3" t="str">
        <f>IF('[1]0.1 Produksi Pangan &amp; Penduduk'!A87="","",'[1]0.1 Produksi Pangan &amp; Penduduk'!A87)</f>
        <v/>
      </c>
      <c r="B86" s="2" t="str">
        <f>IF('[1]0.1 Produksi Pangan &amp; Penduduk'!B87="","",'[1]0.1 Produksi Pangan &amp; Penduduk'!B87)</f>
        <v/>
      </c>
      <c r="C86" s="2" t="str">
        <f>IF('[1]0.1 Produksi Pangan &amp; Penduduk'!F87="","",'[1]0.1 Produksi Pangan &amp; Penduduk'!F87)</f>
        <v/>
      </c>
      <c r="D86" s="3" t="str">
        <f>IF('[1]0.1 Produksi Pangan &amp; Penduduk'!D87="","",'[1]0.1 Produksi Pangan &amp; Penduduk'!D87)</f>
        <v/>
      </c>
      <c r="E86" s="3" t="str">
        <f>IF('[1]0.1 Produksi Pangan &amp; Penduduk'!E87="","",'[1]0.1 Produksi Pangan &amp; Penduduk'!E87)</f>
        <v/>
      </c>
      <c r="F86" s="59" t="str">
        <f>IF(D86="","",VLOOKUP(D86,'[1]0.1 Produksi Pangan &amp; Penduduk'!$D$5:$J$860,7,0))</f>
        <v/>
      </c>
      <c r="G86" s="27" t="str">
        <f t="shared" si="10"/>
        <v/>
      </c>
      <c r="H86" s="27" t="str">
        <f t="shared" si="11"/>
        <v/>
      </c>
      <c r="I86" s="27" t="str">
        <f t="shared" si="12"/>
        <v/>
      </c>
      <c r="J86" s="27" t="str">
        <f t="shared" si="13"/>
        <v/>
      </c>
      <c r="K86" s="27" t="str">
        <f t="shared" si="14"/>
        <v/>
      </c>
      <c r="L86" s="59" t="str">
        <f>IF(D86="","",VLOOKUP(D86,'[1]0.1 Produksi Pangan &amp; Penduduk'!$D$5:$M$860,10,0))</f>
        <v/>
      </c>
      <c r="M86" s="28" t="str">
        <f t="shared" si="15"/>
        <v/>
      </c>
      <c r="N86" s="60" t="str">
        <f t="shared" si="16"/>
        <v/>
      </c>
      <c r="O86" s="60" t="str">
        <f t="shared" si="17"/>
        <v/>
      </c>
      <c r="P86" s="60" t="str">
        <f t="shared" si="18"/>
        <v/>
      </c>
      <c r="Q86" s="28" t="str">
        <f t="shared" si="19"/>
        <v/>
      </c>
    </row>
    <row r="87" spans="1:17" ht="15" x14ac:dyDescent="0.25">
      <c r="A87" s="3" t="str">
        <f>IF('[1]0.1 Produksi Pangan &amp; Penduduk'!A88="","",'[1]0.1 Produksi Pangan &amp; Penduduk'!A88)</f>
        <v/>
      </c>
      <c r="B87" s="2" t="str">
        <f>IF('[1]0.1 Produksi Pangan &amp; Penduduk'!B88="","",'[1]0.1 Produksi Pangan &amp; Penduduk'!B88)</f>
        <v/>
      </c>
      <c r="C87" s="2" t="str">
        <f>IF('[1]0.1 Produksi Pangan &amp; Penduduk'!F88="","",'[1]0.1 Produksi Pangan &amp; Penduduk'!F88)</f>
        <v/>
      </c>
      <c r="D87" s="3" t="str">
        <f>IF('[1]0.1 Produksi Pangan &amp; Penduduk'!D88="","",'[1]0.1 Produksi Pangan &amp; Penduduk'!D88)</f>
        <v/>
      </c>
      <c r="E87" s="3" t="str">
        <f>IF('[1]0.1 Produksi Pangan &amp; Penduduk'!E88="","",'[1]0.1 Produksi Pangan &amp; Penduduk'!E88)</f>
        <v/>
      </c>
      <c r="F87" s="59" t="str">
        <f>IF(D87="","",VLOOKUP(D87,'[1]0.1 Produksi Pangan &amp; Penduduk'!$D$5:$J$860,7,0))</f>
        <v/>
      </c>
      <c r="G87" s="27" t="str">
        <f t="shared" si="10"/>
        <v/>
      </c>
      <c r="H87" s="27" t="str">
        <f t="shared" si="11"/>
        <v/>
      </c>
      <c r="I87" s="27" t="str">
        <f t="shared" si="12"/>
        <v/>
      </c>
      <c r="J87" s="27" t="str">
        <f t="shared" si="13"/>
        <v/>
      </c>
      <c r="K87" s="27" t="str">
        <f t="shared" si="14"/>
        <v/>
      </c>
      <c r="L87" s="59" t="str">
        <f>IF(D87="","",VLOOKUP(D87,'[1]0.1 Produksi Pangan &amp; Penduduk'!$D$5:$M$860,10,0))</f>
        <v/>
      </c>
      <c r="M87" s="28" t="str">
        <f t="shared" si="15"/>
        <v/>
      </c>
      <c r="N87" s="60" t="str">
        <f t="shared" si="16"/>
        <v/>
      </c>
      <c r="O87" s="60" t="str">
        <f t="shared" si="17"/>
        <v/>
      </c>
      <c r="P87" s="60" t="str">
        <f t="shared" si="18"/>
        <v/>
      </c>
      <c r="Q87" s="28" t="str">
        <f t="shared" si="19"/>
        <v/>
      </c>
    </row>
    <row r="88" spans="1:17" ht="15" x14ac:dyDescent="0.25">
      <c r="A88" s="3" t="str">
        <f>IF('[1]0.1 Produksi Pangan &amp; Penduduk'!A89="","",'[1]0.1 Produksi Pangan &amp; Penduduk'!A89)</f>
        <v/>
      </c>
      <c r="B88" s="2" t="str">
        <f>IF('[1]0.1 Produksi Pangan &amp; Penduduk'!B89="","",'[1]0.1 Produksi Pangan &amp; Penduduk'!B89)</f>
        <v/>
      </c>
      <c r="C88" s="2" t="str">
        <f>IF('[1]0.1 Produksi Pangan &amp; Penduduk'!F89="","",'[1]0.1 Produksi Pangan &amp; Penduduk'!F89)</f>
        <v/>
      </c>
      <c r="D88" s="3" t="str">
        <f>IF('[1]0.1 Produksi Pangan &amp; Penduduk'!D89="","",'[1]0.1 Produksi Pangan &amp; Penduduk'!D89)</f>
        <v/>
      </c>
      <c r="E88" s="3" t="str">
        <f>IF('[1]0.1 Produksi Pangan &amp; Penduduk'!E89="","",'[1]0.1 Produksi Pangan &amp; Penduduk'!E89)</f>
        <v/>
      </c>
      <c r="F88" s="59" t="str">
        <f>IF(D88="","",VLOOKUP(D88,'[1]0.1 Produksi Pangan &amp; Penduduk'!$D$5:$J$860,7,0))</f>
        <v/>
      </c>
      <c r="G88" s="27" t="str">
        <f t="shared" si="10"/>
        <v/>
      </c>
      <c r="H88" s="27" t="str">
        <f t="shared" si="11"/>
        <v/>
      </c>
      <c r="I88" s="27" t="str">
        <f t="shared" si="12"/>
        <v/>
      </c>
      <c r="J88" s="27" t="str">
        <f t="shared" si="13"/>
        <v/>
      </c>
      <c r="K88" s="27" t="str">
        <f t="shared" si="14"/>
        <v/>
      </c>
      <c r="L88" s="59" t="str">
        <f>IF(D88="","",VLOOKUP(D88,'[1]0.1 Produksi Pangan &amp; Penduduk'!$D$5:$M$860,10,0))</f>
        <v/>
      </c>
      <c r="M88" s="28" t="str">
        <f t="shared" si="15"/>
        <v/>
      </c>
      <c r="N88" s="60" t="str">
        <f t="shared" si="16"/>
        <v/>
      </c>
      <c r="O88" s="60" t="str">
        <f t="shared" si="17"/>
        <v/>
      </c>
      <c r="P88" s="60" t="str">
        <f t="shared" si="18"/>
        <v/>
      </c>
      <c r="Q88" s="28" t="str">
        <f t="shared" si="19"/>
        <v/>
      </c>
    </row>
    <row r="89" spans="1:17" ht="15" x14ac:dyDescent="0.25">
      <c r="A89" s="3" t="str">
        <f>IF('[1]0.1 Produksi Pangan &amp; Penduduk'!A90="","",'[1]0.1 Produksi Pangan &amp; Penduduk'!A90)</f>
        <v/>
      </c>
      <c r="B89" s="2" t="str">
        <f>IF('[1]0.1 Produksi Pangan &amp; Penduduk'!B90="","",'[1]0.1 Produksi Pangan &amp; Penduduk'!B90)</f>
        <v/>
      </c>
      <c r="C89" s="2" t="str">
        <f>IF('[1]0.1 Produksi Pangan &amp; Penduduk'!F90="","",'[1]0.1 Produksi Pangan &amp; Penduduk'!F90)</f>
        <v/>
      </c>
      <c r="D89" s="3" t="str">
        <f>IF('[1]0.1 Produksi Pangan &amp; Penduduk'!D90="","",'[1]0.1 Produksi Pangan &amp; Penduduk'!D90)</f>
        <v/>
      </c>
      <c r="E89" s="3" t="str">
        <f>IF('[1]0.1 Produksi Pangan &amp; Penduduk'!E90="","",'[1]0.1 Produksi Pangan &amp; Penduduk'!E90)</f>
        <v/>
      </c>
      <c r="F89" s="59" t="str">
        <f>IF(D89="","",VLOOKUP(D89,'[1]0.1 Produksi Pangan &amp; Penduduk'!$D$5:$J$860,7,0))</f>
        <v/>
      </c>
      <c r="G89" s="27" t="str">
        <f t="shared" si="10"/>
        <v/>
      </c>
      <c r="H89" s="27" t="str">
        <f t="shared" si="11"/>
        <v/>
      </c>
      <c r="I89" s="27" t="str">
        <f t="shared" si="12"/>
        <v/>
      </c>
      <c r="J89" s="27" t="str">
        <f t="shared" si="13"/>
        <v/>
      </c>
      <c r="K89" s="27" t="str">
        <f t="shared" si="14"/>
        <v/>
      </c>
      <c r="L89" s="59" t="str">
        <f>IF(D89="","",VLOOKUP(D89,'[1]0.1 Produksi Pangan &amp; Penduduk'!$D$5:$M$860,10,0))</f>
        <v/>
      </c>
      <c r="M89" s="28" t="str">
        <f t="shared" si="15"/>
        <v/>
      </c>
      <c r="N89" s="60" t="str">
        <f t="shared" si="16"/>
        <v/>
      </c>
      <c r="O89" s="60" t="str">
        <f t="shared" si="17"/>
        <v/>
      </c>
      <c r="P89" s="60" t="str">
        <f t="shared" si="18"/>
        <v/>
      </c>
      <c r="Q89" s="28" t="str">
        <f t="shared" si="19"/>
        <v/>
      </c>
    </row>
    <row r="90" spans="1:17" ht="15" x14ac:dyDescent="0.25">
      <c r="A90" s="3" t="str">
        <f>IF('[1]0.1 Produksi Pangan &amp; Penduduk'!A91="","",'[1]0.1 Produksi Pangan &amp; Penduduk'!A91)</f>
        <v/>
      </c>
      <c r="B90" s="2" t="str">
        <f>IF('[1]0.1 Produksi Pangan &amp; Penduduk'!B91="","",'[1]0.1 Produksi Pangan &amp; Penduduk'!B91)</f>
        <v/>
      </c>
      <c r="C90" s="2" t="str">
        <f>IF('[1]0.1 Produksi Pangan &amp; Penduduk'!F91="","",'[1]0.1 Produksi Pangan &amp; Penduduk'!F91)</f>
        <v/>
      </c>
      <c r="D90" s="3" t="str">
        <f>IF('[1]0.1 Produksi Pangan &amp; Penduduk'!D91="","",'[1]0.1 Produksi Pangan &amp; Penduduk'!D91)</f>
        <v/>
      </c>
      <c r="E90" s="3" t="str">
        <f>IF('[1]0.1 Produksi Pangan &amp; Penduduk'!E91="","",'[1]0.1 Produksi Pangan &amp; Penduduk'!E91)</f>
        <v/>
      </c>
      <c r="F90" s="59" t="str">
        <f>IF(D90="","",VLOOKUP(D90,'[1]0.1 Produksi Pangan &amp; Penduduk'!$D$5:$J$860,7,0))</f>
        <v/>
      </c>
      <c r="G90" s="27" t="str">
        <f t="shared" si="10"/>
        <v/>
      </c>
      <c r="H90" s="27" t="str">
        <f t="shared" si="11"/>
        <v/>
      </c>
      <c r="I90" s="27" t="str">
        <f t="shared" si="12"/>
        <v/>
      </c>
      <c r="J90" s="27" t="str">
        <f t="shared" si="13"/>
        <v/>
      </c>
      <c r="K90" s="27" t="str">
        <f t="shared" si="14"/>
        <v/>
      </c>
      <c r="L90" s="59" t="str">
        <f>IF(D90="","",VLOOKUP(D90,'[1]0.1 Produksi Pangan &amp; Penduduk'!$D$5:$M$860,10,0))</f>
        <v/>
      </c>
      <c r="M90" s="28" t="str">
        <f t="shared" si="15"/>
        <v/>
      </c>
      <c r="N90" s="60" t="str">
        <f t="shared" si="16"/>
        <v/>
      </c>
      <c r="O90" s="60" t="str">
        <f t="shared" si="17"/>
        <v/>
      </c>
      <c r="P90" s="60" t="str">
        <f t="shared" si="18"/>
        <v/>
      </c>
      <c r="Q90" s="28" t="str">
        <f t="shared" si="19"/>
        <v/>
      </c>
    </row>
    <row r="91" spans="1:17" ht="15" x14ac:dyDescent="0.25">
      <c r="A91" s="3" t="str">
        <f>IF('[1]0.1 Produksi Pangan &amp; Penduduk'!A92="","",'[1]0.1 Produksi Pangan &amp; Penduduk'!A92)</f>
        <v/>
      </c>
      <c r="B91" s="2" t="str">
        <f>IF('[1]0.1 Produksi Pangan &amp; Penduduk'!B92="","",'[1]0.1 Produksi Pangan &amp; Penduduk'!B92)</f>
        <v/>
      </c>
      <c r="C91" s="2" t="str">
        <f>IF('[1]0.1 Produksi Pangan &amp; Penduduk'!F92="","",'[1]0.1 Produksi Pangan &amp; Penduduk'!F92)</f>
        <v/>
      </c>
      <c r="D91" s="3" t="str">
        <f>IF('[1]0.1 Produksi Pangan &amp; Penduduk'!D92="","",'[1]0.1 Produksi Pangan &amp; Penduduk'!D92)</f>
        <v/>
      </c>
      <c r="E91" s="3" t="str">
        <f>IF('[1]0.1 Produksi Pangan &amp; Penduduk'!E92="","",'[1]0.1 Produksi Pangan &amp; Penduduk'!E92)</f>
        <v/>
      </c>
      <c r="F91" s="59" t="str">
        <f>IF(D91="","",VLOOKUP(D91,'[1]0.1 Produksi Pangan &amp; Penduduk'!$D$5:$J$860,7,0))</f>
        <v/>
      </c>
      <c r="G91" s="27" t="str">
        <f t="shared" si="10"/>
        <v/>
      </c>
      <c r="H91" s="27" t="str">
        <f t="shared" si="11"/>
        <v/>
      </c>
      <c r="I91" s="27" t="str">
        <f t="shared" si="12"/>
        <v/>
      </c>
      <c r="J91" s="27" t="str">
        <f t="shared" si="13"/>
        <v/>
      </c>
      <c r="K91" s="27" t="str">
        <f t="shared" si="14"/>
        <v/>
      </c>
      <c r="L91" s="59" t="str">
        <f>IF(D91="","",VLOOKUP(D91,'[1]0.1 Produksi Pangan &amp; Penduduk'!$D$5:$M$860,10,0))</f>
        <v/>
      </c>
      <c r="M91" s="28" t="str">
        <f t="shared" si="15"/>
        <v/>
      </c>
      <c r="N91" s="60" t="str">
        <f t="shared" si="16"/>
        <v/>
      </c>
      <c r="O91" s="60" t="str">
        <f t="shared" si="17"/>
        <v/>
      </c>
      <c r="P91" s="60" t="str">
        <f t="shared" si="18"/>
        <v/>
      </c>
      <c r="Q91" s="28" t="str">
        <f t="shared" si="19"/>
        <v/>
      </c>
    </row>
    <row r="92" spans="1:17" ht="15" x14ac:dyDescent="0.25">
      <c r="A92" s="3" t="str">
        <f>IF('[1]0.1 Produksi Pangan &amp; Penduduk'!A93="","",'[1]0.1 Produksi Pangan &amp; Penduduk'!A93)</f>
        <v/>
      </c>
      <c r="B92" s="2" t="str">
        <f>IF('[1]0.1 Produksi Pangan &amp; Penduduk'!B93="","",'[1]0.1 Produksi Pangan &amp; Penduduk'!B93)</f>
        <v/>
      </c>
      <c r="C92" s="2" t="str">
        <f>IF('[1]0.1 Produksi Pangan &amp; Penduduk'!F93="","",'[1]0.1 Produksi Pangan &amp; Penduduk'!F93)</f>
        <v/>
      </c>
      <c r="D92" s="3" t="str">
        <f>IF('[1]0.1 Produksi Pangan &amp; Penduduk'!D93="","",'[1]0.1 Produksi Pangan &amp; Penduduk'!D93)</f>
        <v/>
      </c>
      <c r="E92" s="3" t="str">
        <f>IF('[1]0.1 Produksi Pangan &amp; Penduduk'!E93="","",'[1]0.1 Produksi Pangan &amp; Penduduk'!E93)</f>
        <v/>
      </c>
      <c r="F92" s="59" t="str">
        <f>IF(D92="","",VLOOKUP(D92,'[1]0.1 Produksi Pangan &amp; Penduduk'!$D$5:$J$860,7,0))</f>
        <v/>
      </c>
      <c r="G92" s="27" t="str">
        <f t="shared" si="10"/>
        <v/>
      </c>
      <c r="H92" s="27" t="str">
        <f t="shared" si="11"/>
        <v/>
      </c>
      <c r="I92" s="27" t="str">
        <f t="shared" si="12"/>
        <v/>
      </c>
      <c r="J92" s="27" t="str">
        <f t="shared" si="13"/>
        <v/>
      </c>
      <c r="K92" s="27" t="str">
        <f t="shared" si="14"/>
        <v/>
      </c>
      <c r="L92" s="59" t="str">
        <f>IF(D92="","",VLOOKUP(D92,'[1]0.1 Produksi Pangan &amp; Penduduk'!$D$5:$M$860,10,0))</f>
        <v/>
      </c>
      <c r="M92" s="28" t="str">
        <f t="shared" si="15"/>
        <v/>
      </c>
      <c r="N92" s="60" t="str">
        <f t="shared" si="16"/>
        <v/>
      </c>
      <c r="O92" s="60" t="str">
        <f t="shared" si="17"/>
        <v/>
      </c>
      <c r="P92" s="60" t="str">
        <f t="shared" si="18"/>
        <v/>
      </c>
      <c r="Q92" s="28" t="str">
        <f t="shared" si="19"/>
        <v/>
      </c>
    </row>
    <row r="93" spans="1:17" ht="15" x14ac:dyDescent="0.25">
      <c r="A93" s="3" t="str">
        <f>IF('[1]0.1 Produksi Pangan &amp; Penduduk'!A94="","",'[1]0.1 Produksi Pangan &amp; Penduduk'!A94)</f>
        <v/>
      </c>
      <c r="B93" s="2" t="str">
        <f>IF('[1]0.1 Produksi Pangan &amp; Penduduk'!B94="","",'[1]0.1 Produksi Pangan &amp; Penduduk'!B94)</f>
        <v/>
      </c>
      <c r="C93" s="2" t="str">
        <f>IF('[1]0.1 Produksi Pangan &amp; Penduduk'!F94="","",'[1]0.1 Produksi Pangan &amp; Penduduk'!F94)</f>
        <v/>
      </c>
      <c r="D93" s="3" t="str">
        <f>IF('[1]0.1 Produksi Pangan &amp; Penduduk'!D94="","",'[1]0.1 Produksi Pangan &amp; Penduduk'!D94)</f>
        <v/>
      </c>
      <c r="E93" s="3" t="str">
        <f>IF('[1]0.1 Produksi Pangan &amp; Penduduk'!E94="","",'[1]0.1 Produksi Pangan &amp; Penduduk'!E94)</f>
        <v/>
      </c>
      <c r="F93" s="59" t="str">
        <f>IF(D93="","",VLOOKUP(D93,'[1]0.1 Produksi Pangan &amp; Penduduk'!$D$5:$J$860,7,0))</f>
        <v/>
      </c>
      <c r="G93" s="27" t="str">
        <f t="shared" si="10"/>
        <v/>
      </c>
      <c r="H93" s="27" t="str">
        <f t="shared" si="11"/>
        <v/>
      </c>
      <c r="I93" s="27" t="str">
        <f t="shared" si="12"/>
        <v/>
      </c>
      <c r="J93" s="27" t="str">
        <f t="shared" si="13"/>
        <v/>
      </c>
      <c r="K93" s="27" t="str">
        <f t="shared" si="14"/>
        <v/>
      </c>
      <c r="L93" s="59" t="str">
        <f>IF(D93="","",VLOOKUP(D93,'[1]0.1 Produksi Pangan &amp; Penduduk'!$D$5:$M$860,10,0))</f>
        <v/>
      </c>
      <c r="M93" s="28" t="str">
        <f t="shared" si="15"/>
        <v/>
      </c>
      <c r="N93" s="60" t="str">
        <f t="shared" si="16"/>
        <v/>
      </c>
      <c r="O93" s="60" t="str">
        <f t="shared" si="17"/>
        <v/>
      </c>
      <c r="P93" s="60" t="str">
        <f t="shared" si="18"/>
        <v/>
      </c>
      <c r="Q93" s="28" t="str">
        <f t="shared" si="19"/>
        <v/>
      </c>
    </row>
    <row r="94" spans="1:17" ht="15" x14ac:dyDescent="0.25">
      <c r="A94" s="3" t="str">
        <f>IF('[1]0.1 Produksi Pangan &amp; Penduduk'!A95="","",'[1]0.1 Produksi Pangan &amp; Penduduk'!A95)</f>
        <v/>
      </c>
      <c r="B94" s="2" t="str">
        <f>IF('[1]0.1 Produksi Pangan &amp; Penduduk'!B95="","",'[1]0.1 Produksi Pangan &amp; Penduduk'!B95)</f>
        <v/>
      </c>
      <c r="C94" s="2" t="str">
        <f>IF('[1]0.1 Produksi Pangan &amp; Penduduk'!F95="","",'[1]0.1 Produksi Pangan &amp; Penduduk'!F95)</f>
        <v/>
      </c>
      <c r="D94" s="3" t="str">
        <f>IF('[1]0.1 Produksi Pangan &amp; Penduduk'!D95="","",'[1]0.1 Produksi Pangan &amp; Penduduk'!D95)</f>
        <v/>
      </c>
      <c r="E94" s="3" t="str">
        <f>IF('[1]0.1 Produksi Pangan &amp; Penduduk'!E95="","",'[1]0.1 Produksi Pangan &amp; Penduduk'!E95)</f>
        <v/>
      </c>
      <c r="F94" s="59" t="str">
        <f>IF(D94="","",VLOOKUP(D94,'[1]0.1 Produksi Pangan &amp; Penduduk'!$D$5:$J$860,7,0))</f>
        <v/>
      </c>
      <c r="G94" s="27" t="str">
        <f t="shared" si="10"/>
        <v/>
      </c>
      <c r="H94" s="27" t="str">
        <f t="shared" si="11"/>
        <v/>
      </c>
      <c r="I94" s="27" t="str">
        <f t="shared" si="12"/>
        <v/>
      </c>
      <c r="J94" s="27" t="str">
        <f t="shared" si="13"/>
        <v/>
      </c>
      <c r="K94" s="27" t="str">
        <f t="shared" si="14"/>
        <v/>
      </c>
      <c r="L94" s="59" t="str">
        <f>IF(D94="","",VLOOKUP(D94,'[1]0.1 Produksi Pangan &amp; Penduduk'!$D$5:$M$860,10,0))</f>
        <v/>
      </c>
      <c r="M94" s="28" t="str">
        <f t="shared" si="15"/>
        <v/>
      </c>
      <c r="N94" s="60" t="str">
        <f t="shared" si="16"/>
        <v/>
      </c>
      <c r="O94" s="60" t="str">
        <f t="shared" si="17"/>
        <v/>
      </c>
      <c r="P94" s="60" t="str">
        <f t="shared" si="18"/>
        <v/>
      </c>
      <c r="Q94" s="28" t="str">
        <f t="shared" si="19"/>
        <v/>
      </c>
    </row>
    <row r="95" spans="1:17" ht="15" x14ac:dyDescent="0.25">
      <c r="A95" s="3" t="str">
        <f>IF('[1]0.1 Produksi Pangan &amp; Penduduk'!A96="","",'[1]0.1 Produksi Pangan &amp; Penduduk'!A96)</f>
        <v/>
      </c>
      <c r="B95" s="2" t="str">
        <f>IF('[1]0.1 Produksi Pangan &amp; Penduduk'!B96="","",'[1]0.1 Produksi Pangan &amp; Penduduk'!B96)</f>
        <v/>
      </c>
      <c r="C95" s="2" t="str">
        <f>IF('[1]0.1 Produksi Pangan &amp; Penduduk'!F96="","",'[1]0.1 Produksi Pangan &amp; Penduduk'!F96)</f>
        <v/>
      </c>
      <c r="D95" s="3" t="str">
        <f>IF('[1]0.1 Produksi Pangan &amp; Penduduk'!D96="","",'[1]0.1 Produksi Pangan &amp; Penduduk'!D96)</f>
        <v/>
      </c>
      <c r="E95" s="3" t="str">
        <f>IF('[1]0.1 Produksi Pangan &amp; Penduduk'!E96="","",'[1]0.1 Produksi Pangan &amp; Penduduk'!E96)</f>
        <v/>
      </c>
      <c r="F95" s="59" t="str">
        <f>IF(D95="","",VLOOKUP(D95,'[1]0.1 Produksi Pangan &amp; Penduduk'!$D$5:$J$860,7,0))</f>
        <v/>
      </c>
      <c r="G95" s="27" t="str">
        <f t="shared" si="10"/>
        <v/>
      </c>
      <c r="H95" s="27" t="str">
        <f t="shared" si="11"/>
        <v/>
      </c>
      <c r="I95" s="27" t="str">
        <f t="shared" si="12"/>
        <v/>
      </c>
      <c r="J95" s="27" t="str">
        <f t="shared" si="13"/>
        <v/>
      </c>
      <c r="K95" s="27" t="str">
        <f t="shared" si="14"/>
        <v/>
      </c>
      <c r="L95" s="59" t="str">
        <f>IF(D95="","",VLOOKUP(D95,'[1]0.1 Produksi Pangan &amp; Penduduk'!$D$5:$M$860,10,0))</f>
        <v/>
      </c>
      <c r="M95" s="28" t="str">
        <f t="shared" si="15"/>
        <v/>
      </c>
      <c r="N95" s="60" t="str">
        <f t="shared" si="16"/>
        <v/>
      </c>
      <c r="O95" s="60" t="str">
        <f t="shared" si="17"/>
        <v/>
      </c>
      <c r="P95" s="60" t="str">
        <f t="shared" si="18"/>
        <v/>
      </c>
      <c r="Q95" s="28" t="str">
        <f t="shared" si="19"/>
        <v/>
      </c>
    </row>
    <row r="96" spans="1:17" ht="15" x14ac:dyDescent="0.25">
      <c r="A96" s="3" t="str">
        <f>IF('[1]0.1 Produksi Pangan &amp; Penduduk'!A97="","",'[1]0.1 Produksi Pangan &amp; Penduduk'!A97)</f>
        <v/>
      </c>
      <c r="B96" s="2" t="str">
        <f>IF('[1]0.1 Produksi Pangan &amp; Penduduk'!B97="","",'[1]0.1 Produksi Pangan &amp; Penduduk'!B97)</f>
        <v/>
      </c>
      <c r="C96" s="2" t="str">
        <f>IF('[1]0.1 Produksi Pangan &amp; Penduduk'!F97="","",'[1]0.1 Produksi Pangan &amp; Penduduk'!F97)</f>
        <v/>
      </c>
      <c r="D96" s="3" t="str">
        <f>IF('[1]0.1 Produksi Pangan &amp; Penduduk'!D97="","",'[1]0.1 Produksi Pangan &amp; Penduduk'!D97)</f>
        <v/>
      </c>
      <c r="E96" s="3" t="str">
        <f>IF('[1]0.1 Produksi Pangan &amp; Penduduk'!E97="","",'[1]0.1 Produksi Pangan &amp; Penduduk'!E97)</f>
        <v/>
      </c>
      <c r="F96" s="59" t="str">
        <f>IF(D96="","",VLOOKUP(D96,'[1]0.1 Produksi Pangan &amp; Penduduk'!$D$5:$J$860,7,0))</f>
        <v/>
      </c>
      <c r="G96" s="27" t="str">
        <f t="shared" si="10"/>
        <v/>
      </c>
      <c r="H96" s="27" t="str">
        <f t="shared" si="11"/>
        <v/>
      </c>
      <c r="I96" s="27" t="str">
        <f t="shared" si="12"/>
        <v/>
      </c>
      <c r="J96" s="27" t="str">
        <f t="shared" si="13"/>
        <v/>
      </c>
      <c r="K96" s="27" t="str">
        <f t="shared" si="14"/>
        <v/>
      </c>
      <c r="L96" s="59" t="str">
        <f>IF(D96="","",VLOOKUP(D96,'[1]0.1 Produksi Pangan &amp; Penduduk'!$D$5:$M$860,10,0))</f>
        <v/>
      </c>
      <c r="M96" s="28" t="str">
        <f t="shared" si="15"/>
        <v/>
      </c>
      <c r="N96" s="60" t="str">
        <f t="shared" si="16"/>
        <v/>
      </c>
      <c r="O96" s="60" t="str">
        <f t="shared" si="17"/>
        <v/>
      </c>
      <c r="P96" s="60" t="str">
        <f t="shared" si="18"/>
        <v/>
      </c>
      <c r="Q96" s="28" t="str">
        <f t="shared" si="19"/>
        <v/>
      </c>
    </row>
    <row r="97" spans="1:17" ht="15" x14ac:dyDescent="0.25">
      <c r="A97" s="3" t="str">
        <f>IF('[1]0.1 Produksi Pangan &amp; Penduduk'!A98="","",'[1]0.1 Produksi Pangan &amp; Penduduk'!A98)</f>
        <v/>
      </c>
      <c r="B97" s="2" t="str">
        <f>IF('[1]0.1 Produksi Pangan &amp; Penduduk'!B98="","",'[1]0.1 Produksi Pangan &amp; Penduduk'!B98)</f>
        <v/>
      </c>
      <c r="C97" s="2" t="str">
        <f>IF('[1]0.1 Produksi Pangan &amp; Penduduk'!F98="","",'[1]0.1 Produksi Pangan &amp; Penduduk'!F98)</f>
        <v/>
      </c>
      <c r="D97" s="3" t="str">
        <f>IF('[1]0.1 Produksi Pangan &amp; Penduduk'!D98="","",'[1]0.1 Produksi Pangan &amp; Penduduk'!D98)</f>
        <v/>
      </c>
      <c r="E97" s="3" t="str">
        <f>IF('[1]0.1 Produksi Pangan &amp; Penduduk'!E98="","",'[1]0.1 Produksi Pangan &amp; Penduduk'!E98)</f>
        <v/>
      </c>
      <c r="F97" s="59" t="str">
        <f>IF(D97="","",VLOOKUP(D97,'[1]0.1 Produksi Pangan &amp; Penduduk'!$D$5:$J$860,7,0))</f>
        <v/>
      </c>
      <c r="G97" s="27" t="str">
        <f t="shared" si="10"/>
        <v/>
      </c>
      <c r="H97" s="27" t="str">
        <f t="shared" si="11"/>
        <v/>
      </c>
      <c r="I97" s="27" t="str">
        <f t="shared" si="12"/>
        <v/>
      </c>
      <c r="J97" s="27" t="str">
        <f t="shared" si="13"/>
        <v/>
      </c>
      <c r="K97" s="27" t="str">
        <f t="shared" si="14"/>
        <v/>
      </c>
      <c r="L97" s="59" t="str">
        <f>IF(D97="","",VLOOKUP(D97,'[1]0.1 Produksi Pangan &amp; Penduduk'!$D$5:$M$860,10,0))</f>
        <v/>
      </c>
      <c r="M97" s="28" t="str">
        <f t="shared" si="15"/>
        <v/>
      </c>
      <c r="N97" s="60" t="str">
        <f t="shared" si="16"/>
        <v/>
      </c>
      <c r="O97" s="60" t="str">
        <f t="shared" si="17"/>
        <v/>
      </c>
      <c r="P97" s="60" t="str">
        <f t="shared" si="18"/>
        <v/>
      </c>
      <c r="Q97" s="28" t="str">
        <f t="shared" si="19"/>
        <v/>
      </c>
    </row>
    <row r="98" spans="1:17" ht="15" x14ac:dyDescent="0.25">
      <c r="A98" s="3" t="str">
        <f>IF('[1]0.1 Produksi Pangan &amp; Penduduk'!A99="","",'[1]0.1 Produksi Pangan &amp; Penduduk'!A99)</f>
        <v/>
      </c>
      <c r="B98" s="2" t="str">
        <f>IF('[1]0.1 Produksi Pangan &amp; Penduduk'!B99="","",'[1]0.1 Produksi Pangan &amp; Penduduk'!B99)</f>
        <v/>
      </c>
      <c r="C98" s="2" t="str">
        <f>IF('[1]0.1 Produksi Pangan &amp; Penduduk'!F99="","",'[1]0.1 Produksi Pangan &amp; Penduduk'!F99)</f>
        <v/>
      </c>
      <c r="D98" s="3" t="str">
        <f>IF('[1]0.1 Produksi Pangan &amp; Penduduk'!D99="","",'[1]0.1 Produksi Pangan &amp; Penduduk'!D99)</f>
        <v/>
      </c>
      <c r="E98" s="3" t="str">
        <f>IF('[1]0.1 Produksi Pangan &amp; Penduduk'!E99="","",'[1]0.1 Produksi Pangan &amp; Penduduk'!E99)</f>
        <v/>
      </c>
      <c r="F98" s="59" t="str">
        <f>IF(D98="","",VLOOKUP(D98,'[1]0.1 Produksi Pangan &amp; Penduduk'!$D$5:$J$860,7,0))</f>
        <v/>
      </c>
      <c r="G98" s="27" t="str">
        <f t="shared" si="10"/>
        <v/>
      </c>
      <c r="H98" s="27" t="str">
        <f t="shared" si="11"/>
        <v/>
      </c>
      <c r="I98" s="27" t="str">
        <f t="shared" si="12"/>
        <v/>
      </c>
      <c r="J98" s="27" t="str">
        <f t="shared" si="13"/>
        <v/>
      </c>
      <c r="K98" s="27" t="str">
        <f t="shared" si="14"/>
        <v/>
      </c>
      <c r="L98" s="59" t="str">
        <f>IF(D98="","",VLOOKUP(D98,'[1]0.1 Produksi Pangan &amp; Penduduk'!$D$5:$M$860,10,0))</f>
        <v/>
      </c>
      <c r="M98" s="28" t="str">
        <f t="shared" si="15"/>
        <v/>
      </c>
      <c r="N98" s="60" t="str">
        <f t="shared" si="16"/>
        <v/>
      </c>
      <c r="O98" s="60" t="str">
        <f t="shared" si="17"/>
        <v/>
      </c>
      <c r="P98" s="60" t="str">
        <f t="shared" si="18"/>
        <v/>
      </c>
      <c r="Q98" s="28" t="str">
        <f t="shared" si="19"/>
        <v/>
      </c>
    </row>
    <row r="99" spans="1:17" ht="15" x14ac:dyDescent="0.25">
      <c r="A99" s="3" t="str">
        <f>IF('[1]0.1 Produksi Pangan &amp; Penduduk'!A100="","",'[1]0.1 Produksi Pangan &amp; Penduduk'!A100)</f>
        <v/>
      </c>
      <c r="B99" s="2" t="str">
        <f>IF('[1]0.1 Produksi Pangan &amp; Penduduk'!B100="","",'[1]0.1 Produksi Pangan &amp; Penduduk'!B100)</f>
        <v/>
      </c>
      <c r="C99" s="2" t="str">
        <f>IF('[1]0.1 Produksi Pangan &amp; Penduduk'!F100="","",'[1]0.1 Produksi Pangan &amp; Penduduk'!F100)</f>
        <v/>
      </c>
      <c r="D99" s="3" t="str">
        <f>IF('[1]0.1 Produksi Pangan &amp; Penduduk'!D100="","",'[1]0.1 Produksi Pangan &amp; Penduduk'!D100)</f>
        <v/>
      </c>
      <c r="E99" s="3" t="str">
        <f>IF('[1]0.1 Produksi Pangan &amp; Penduduk'!E100="","",'[1]0.1 Produksi Pangan &amp; Penduduk'!E100)</f>
        <v/>
      </c>
      <c r="F99" s="59" t="str">
        <f>IF(D99="","",VLOOKUP(D99,'[1]0.1 Produksi Pangan &amp; Penduduk'!$D$5:$J$860,7,0))</f>
        <v/>
      </c>
      <c r="G99" s="27" t="str">
        <f t="shared" si="10"/>
        <v/>
      </c>
      <c r="H99" s="27" t="str">
        <f t="shared" si="11"/>
        <v/>
      </c>
      <c r="I99" s="27" t="str">
        <f t="shared" si="12"/>
        <v/>
      </c>
      <c r="J99" s="27" t="str">
        <f t="shared" si="13"/>
        <v/>
      </c>
      <c r="K99" s="27" t="str">
        <f t="shared" si="14"/>
        <v/>
      </c>
      <c r="L99" s="59" t="str">
        <f>IF(D99="","",VLOOKUP(D99,'[1]0.1 Produksi Pangan &amp; Penduduk'!$D$5:$M$860,10,0))</f>
        <v/>
      </c>
      <c r="M99" s="28" t="str">
        <f t="shared" si="15"/>
        <v/>
      </c>
      <c r="N99" s="60" t="str">
        <f t="shared" si="16"/>
        <v/>
      </c>
      <c r="O99" s="60" t="str">
        <f t="shared" si="17"/>
        <v/>
      </c>
      <c r="P99" s="60" t="str">
        <f t="shared" si="18"/>
        <v/>
      </c>
      <c r="Q99" s="28" t="str">
        <f t="shared" si="19"/>
        <v/>
      </c>
    </row>
    <row r="100" spans="1:17" ht="15" x14ac:dyDescent="0.25">
      <c r="A100" s="3" t="str">
        <f>IF('[1]0.1 Produksi Pangan &amp; Penduduk'!A101="","",'[1]0.1 Produksi Pangan &amp; Penduduk'!A101)</f>
        <v/>
      </c>
      <c r="B100" s="2" t="str">
        <f>IF('[1]0.1 Produksi Pangan &amp; Penduduk'!B101="","",'[1]0.1 Produksi Pangan &amp; Penduduk'!B101)</f>
        <v/>
      </c>
      <c r="C100" s="2" t="str">
        <f>IF('[1]0.1 Produksi Pangan &amp; Penduduk'!F101="","",'[1]0.1 Produksi Pangan &amp; Penduduk'!F101)</f>
        <v/>
      </c>
      <c r="D100" s="3" t="str">
        <f>IF('[1]0.1 Produksi Pangan &amp; Penduduk'!D101="","",'[1]0.1 Produksi Pangan &amp; Penduduk'!D101)</f>
        <v/>
      </c>
      <c r="E100" s="3" t="str">
        <f>IF('[1]0.1 Produksi Pangan &amp; Penduduk'!E101="","",'[1]0.1 Produksi Pangan &amp; Penduduk'!E101)</f>
        <v/>
      </c>
      <c r="F100" s="59" t="str">
        <f>IF(D100="","",VLOOKUP(D100,'[1]0.1 Produksi Pangan &amp; Penduduk'!$D$5:$J$860,7,0))</f>
        <v/>
      </c>
      <c r="G100" s="27" t="str">
        <f t="shared" si="10"/>
        <v/>
      </c>
      <c r="H100" s="27" t="str">
        <f t="shared" si="11"/>
        <v/>
      </c>
      <c r="I100" s="27" t="str">
        <f t="shared" si="12"/>
        <v/>
      </c>
      <c r="J100" s="27" t="str">
        <f t="shared" si="13"/>
        <v/>
      </c>
      <c r="K100" s="27" t="str">
        <f t="shared" si="14"/>
        <v/>
      </c>
      <c r="L100" s="59" t="str">
        <f>IF(D100="","",VLOOKUP(D100,'[1]0.1 Produksi Pangan &amp; Penduduk'!$D$5:$M$860,10,0))</f>
        <v/>
      </c>
      <c r="M100" s="28" t="str">
        <f t="shared" si="15"/>
        <v/>
      </c>
      <c r="N100" s="60" t="str">
        <f t="shared" si="16"/>
        <v/>
      </c>
      <c r="O100" s="60" t="str">
        <f t="shared" si="17"/>
        <v/>
      </c>
      <c r="P100" s="60" t="str">
        <f t="shared" si="18"/>
        <v/>
      </c>
      <c r="Q100" s="28" t="str">
        <f t="shared" si="19"/>
        <v/>
      </c>
    </row>
    <row r="101" spans="1:17" ht="15" x14ac:dyDescent="0.25">
      <c r="A101" s="3" t="str">
        <f>IF('[1]0.1 Produksi Pangan &amp; Penduduk'!A102="","",'[1]0.1 Produksi Pangan &amp; Penduduk'!A102)</f>
        <v/>
      </c>
      <c r="B101" s="2" t="str">
        <f>IF('[1]0.1 Produksi Pangan &amp; Penduduk'!B102="","",'[1]0.1 Produksi Pangan &amp; Penduduk'!B102)</f>
        <v/>
      </c>
      <c r="C101" s="2" t="str">
        <f>IF('[1]0.1 Produksi Pangan &amp; Penduduk'!F102="","",'[1]0.1 Produksi Pangan &amp; Penduduk'!F102)</f>
        <v/>
      </c>
      <c r="D101" s="3" t="str">
        <f>IF('[1]0.1 Produksi Pangan &amp; Penduduk'!D102="","",'[1]0.1 Produksi Pangan &amp; Penduduk'!D102)</f>
        <v/>
      </c>
      <c r="E101" s="3" t="str">
        <f>IF('[1]0.1 Produksi Pangan &amp; Penduduk'!E102="","",'[1]0.1 Produksi Pangan &amp; Penduduk'!E102)</f>
        <v/>
      </c>
      <c r="F101" s="59" t="str">
        <f>IF(D101="","",VLOOKUP(D101,'[1]0.1 Produksi Pangan &amp; Penduduk'!$D$5:$J$860,7,0))</f>
        <v/>
      </c>
      <c r="G101" s="27" t="str">
        <f t="shared" si="10"/>
        <v/>
      </c>
      <c r="H101" s="27" t="str">
        <f t="shared" si="11"/>
        <v/>
      </c>
      <c r="I101" s="27" t="str">
        <f t="shared" si="12"/>
        <v/>
      </c>
      <c r="J101" s="27" t="str">
        <f t="shared" si="13"/>
        <v/>
      </c>
      <c r="K101" s="27" t="str">
        <f t="shared" si="14"/>
        <v/>
      </c>
      <c r="L101" s="59" t="str">
        <f>IF(D101="","",VLOOKUP(D101,'[1]0.1 Produksi Pangan &amp; Penduduk'!$D$5:$M$860,10,0))</f>
        <v/>
      </c>
      <c r="M101" s="28" t="str">
        <f t="shared" si="15"/>
        <v/>
      </c>
      <c r="N101" s="60" t="str">
        <f t="shared" si="16"/>
        <v/>
      </c>
      <c r="O101" s="60" t="str">
        <f t="shared" si="17"/>
        <v/>
      </c>
      <c r="P101" s="60" t="str">
        <f t="shared" si="18"/>
        <v/>
      </c>
      <c r="Q101" s="28" t="str">
        <f t="shared" si="19"/>
        <v/>
      </c>
    </row>
    <row r="102" spans="1:17" ht="15" x14ac:dyDescent="0.25">
      <c r="A102" s="3" t="str">
        <f>IF('[1]0.1 Produksi Pangan &amp; Penduduk'!A103="","",'[1]0.1 Produksi Pangan &amp; Penduduk'!A103)</f>
        <v/>
      </c>
      <c r="B102" s="2" t="str">
        <f>IF('[1]0.1 Produksi Pangan &amp; Penduduk'!B103="","",'[1]0.1 Produksi Pangan &amp; Penduduk'!B103)</f>
        <v/>
      </c>
      <c r="C102" s="2" t="str">
        <f>IF('[1]0.1 Produksi Pangan &amp; Penduduk'!F103="","",'[1]0.1 Produksi Pangan &amp; Penduduk'!F103)</f>
        <v/>
      </c>
      <c r="D102" s="3" t="str">
        <f>IF('[1]0.1 Produksi Pangan &amp; Penduduk'!D103="","",'[1]0.1 Produksi Pangan &amp; Penduduk'!D103)</f>
        <v/>
      </c>
      <c r="E102" s="3" t="str">
        <f>IF('[1]0.1 Produksi Pangan &amp; Penduduk'!E103="","",'[1]0.1 Produksi Pangan &amp; Penduduk'!E103)</f>
        <v/>
      </c>
      <c r="F102" s="59" t="str">
        <f>IF(D102="","",VLOOKUP(D102,'[1]0.1 Produksi Pangan &amp; Penduduk'!$D$5:$J$860,7,0))</f>
        <v/>
      </c>
      <c r="G102" s="27" t="str">
        <f t="shared" si="10"/>
        <v/>
      </c>
      <c r="H102" s="27" t="str">
        <f t="shared" si="11"/>
        <v/>
      </c>
      <c r="I102" s="27" t="str">
        <f t="shared" si="12"/>
        <v/>
      </c>
      <c r="J102" s="27" t="str">
        <f t="shared" si="13"/>
        <v/>
      </c>
      <c r="K102" s="27" t="str">
        <f t="shared" si="14"/>
        <v/>
      </c>
      <c r="L102" s="59" t="str">
        <f>IF(D102="","",VLOOKUP(D102,'[1]0.1 Produksi Pangan &amp; Penduduk'!$D$5:$M$860,10,0))</f>
        <v/>
      </c>
      <c r="M102" s="28" t="str">
        <f t="shared" si="15"/>
        <v/>
      </c>
      <c r="N102" s="60" t="str">
        <f t="shared" si="16"/>
        <v/>
      </c>
      <c r="O102" s="60" t="str">
        <f t="shared" si="17"/>
        <v/>
      </c>
      <c r="P102" s="60" t="str">
        <f t="shared" si="18"/>
        <v/>
      </c>
      <c r="Q102" s="28" t="str">
        <f t="shared" si="19"/>
        <v/>
      </c>
    </row>
    <row r="103" spans="1:17" ht="15" x14ac:dyDescent="0.25">
      <c r="A103" s="3" t="str">
        <f>IF('[1]0.1 Produksi Pangan &amp; Penduduk'!A104="","",'[1]0.1 Produksi Pangan &amp; Penduduk'!A104)</f>
        <v/>
      </c>
      <c r="B103" s="2" t="str">
        <f>IF('[1]0.1 Produksi Pangan &amp; Penduduk'!B104="","",'[1]0.1 Produksi Pangan &amp; Penduduk'!B104)</f>
        <v/>
      </c>
      <c r="C103" s="2" t="str">
        <f>IF('[1]0.1 Produksi Pangan &amp; Penduduk'!F104="","",'[1]0.1 Produksi Pangan &amp; Penduduk'!F104)</f>
        <v/>
      </c>
      <c r="D103" s="3" t="str">
        <f>IF('[1]0.1 Produksi Pangan &amp; Penduduk'!D104="","",'[1]0.1 Produksi Pangan &amp; Penduduk'!D104)</f>
        <v/>
      </c>
      <c r="E103" s="3" t="str">
        <f>IF('[1]0.1 Produksi Pangan &amp; Penduduk'!E104="","",'[1]0.1 Produksi Pangan &amp; Penduduk'!E104)</f>
        <v/>
      </c>
      <c r="F103" s="59" t="str">
        <f>IF(D103="","",VLOOKUP(D103,'[1]0.1 Produksi Pangan &amp; Penduduk'!$D$5:$J$860,7,0))</f>
        <v/>
      </c>
      <c r="G103" s="27" t="str">
        <f t="shared" si="10"/>
        <v/>
      </c>
      <c r="H103" s="27" t="str">
        <f t="shared" si="11"/>
        <v/>
      </c>
      <c r="I103" s="27" t="str">
        <f t="shared" si="12"/>
        <v/>
      </c>
      <c r="J103" s="27" t="str">
        <f t="shared" si="13"/>
        <v/>
      </c>
      <c r="K103" s="27" t="str">
        <f t="shared" si="14"/>
        <v/>
      </c>
      <c r="L103" s="59" t="str">
        <f>IF(D103="","",VLOOKUP(D103,'[1]0.1 Produksi Pangan &amp; Penduduk'!$D$5:$M$860,10,0))</f>
        <v/>
      </c>
      <c r="M103" s="28" t="str">
        <f t="shared" si="15"/>
        <v/>
      </c>
      <c r="N103" s="60" t="str">
        <f t="shared" si="16"/>
        <v/>
      </c>
      <c r="O103" s="60" t="str">
        <f t="shared" si="17"/>
        <v/>
      </c>
      <c r="P103" s="60" t="str">
        <f t="shared" si="18"/>
        <v/>
      </c>
      <c r="Q103" s="28" t="str">
        <f t="shared" si="19"/>
        <v/>
      </c>
    </row>
    <row r="104" spans="1:17" ht="15" x14ac:dyDescent="0.25">
      <c r="A104" s="3" t="str">
        <f>IF('[1]0.1 Produksi Pangan &amp; Penduduk'!A105="","",'[1]0.1 Produksi Pangan &amp; Penduduk'!A105)</f>
        <v/>
      </c>
      <c r="B104" s="2" t="str">
        <f>IF('[1]0.1 Produksi Pangan &amp; Penduduk'!B105="","",'[1]0.1 Produksi Pangan &amp; Penduduk'!B105)</f>
        <v/>
      </c>
      <c r="C104" s="2" t="str">
        <f>IF('[1]0.1 Produksi Pangan &amp; Penduduk'!F105="","",'[1]0.1 Produksi Pangan &amp; Penduduk'!F105)</f>
        <v/>
      </c>
      <c r="D104" s="3" t="str">
        <f>IF('[1]0.1 Produksi Pangan &amp; Penduduk'!D105="","",'[1]0.1 Produksi Pangan &amp; Penduduk'!D105)</f>
        <v/>
      </c>
      <c r="E104" s="3" t="str">
        <f>IF('[1]0.1 Produksi Pangan &amp; Penduduk'!E105="","",'[1]0.1 Produksi Pangan &amp; Penduduk'!E105)</f>
        <v/>
      </c>
      <c r="F104" s="59" t="str">
        <f>IF(D104="","",VLOOKUP(D104,'[1]0.1 Produksi Pangan &amp; Penduduk'!$D$5:$J$860,7,0))</f>
        <v/>
      </c>
      <c r="G104" s="27" t="str">
        <f t="shared" si="10"/>
        <v/>
      </c>
      <c r="H104" s="27" t="str">
        <f t="shared" si="11"/>
        <v/>
      </c>
      <c r="I104" s="27" t="str">
        <f t="shared" si="12"/>
        <v/>
      </c>
      <c r="J104" s="27" t="str">
        <f t="shared" si="13"/>
        <v/>
      </c>
      <c r="K104" s="27" t="str">
        <f t="shared" si="14"/>
        <v/>
      </c>
      <c r="L104" s="59" t="str">
        <f>IF(D104="","",VLOOKUP(D104,'[1]0.1 Produksi Pangan &amp; Penduduk'!$D$5:$M$860,10,0))</f>
        <v/>
      </c>
      <c r="M104" s="28" t="str">
        <f t="shared" si="15"/>
        <v/>
      </c>
      <c r="N104" s="60" t="str">
        <f t="shared" si="16"/>
        <v/>
      </c>
      <c r="O104" s="60" t="str">
        <f t="shared" si="17"/>
        <v/>
      </c>
      <c r="P104" s="60" t="str">
        <f t="shared" si="18"/>
        <v/>
      </c>
      <c r="Q104" s="28" t="str">
        <f t="shared" si="19"/>
        <v/>
      </c>
    </row>
    <row r="105" spans="1:17" ht="15" x14ac:dyDescent="0.25">
      <c r="A105" s="3" t="str">
        <f>IF('[1]0.1 Produksi Pangan &amp; Penduduk'!A106="","",'[1]0.1 Produksi Pangan &amp; Penduduk'!A106)</f>
        <v/>
      </c>
      <c r="B105" s="2" t="str">
        <f>IF('[1]0.1 Produksi Pangan &amp; Penduduk'!B106="","",'[1]0.1 Produksi Pangan &amp; Penduduk'!B106)</f>
        <v/>
      </c>
      <c r="C105" s="2" t="str">
        <f>IF('[1]0.1 Produksi Pangan &amp; Penduduk'!F106="","",'[1]0.1 Produksi Pangan &amp; Penduduk'!F106)</f>
        <v/>
      </c>
      <c r="D105" s="3" t="str">
        <f>IF('[1]0.1 Produksi Pangan &amp; Penduduk'!D106="","",'[1]0.1 Produksi Pangan &amp; Penduduk'!D106)</f>
        <v/>
      </c>
      <c r="E105" s="3" t="str">
        <f>IF('[1]0.1 Produksi Pangan &amp; Penduduk'!E106="","",'[1]0.1 Produksi Pangan &amp; Penduduk'!E106)</f>
        <v/>
      </c>
      <c r="F105" s="59" t="str">
        <f>IF(D105="","",VLOOKUP(D105,'[1]0.1 Produksi Pangan &amp; Penduduk'!$D$5:$J$860,7,0))</f>
        <v/>
      </c>
      <c r="G105" s="27" t="str">
        <f t="shared" si="10"/>
        <v/>
      </c>
      <c r="H105" s="27" t="str">
        <f t="shared" si="11"/>
        <v/>
      </c>
      <c r="I105" s="27" t="str">
        <f t="shared" si="12"/>
        <v/>
      </c>
      <c r="J105" s="27" t="str">
        <f t="shared" si="13"/>
        <v/>
      </c>
      <c r="K105" s="27" t="str">
        <f t="shared" si="14"/>
        <v/>
      </c>
      <c r="L105" s="59" t="str">
        <f>IF(D105="","",VLOOKUP(D105,'[1]0.1 Produksi Pangan &amp; Penduduk'!$D$5:$M$860,10,0))</f>
        <v/>
      </c>
      <c r="M105" s="28" t="str">
        <f t="shared" si="15"/>
        <v/>
      </c>
      <c r="N105" s="60" t="str">
        <f t="shared" si="16"/>
        <v/>
      </c>
      <c r="O105" s="60" t="str">
        <f t="shared" si="17"/>
        <v/>
      </c>
      <c r="P105" s="60" t="str">
        <f t="shared" si="18"/>
        <v/>
      </c>
      <c r="Q105" s="28" t="str">
        <f t="shared" si="19"/>
        <v/>
      </c>
    </row>
    <row r="106" spans="1:17" ht="15" x14ac:dyDescent="0.25">
      <c r="A106" s="3" t="str">
        <f>IF('[1]0.1 Produksi Pangan &amp; Penduduk'!A107="","",'[1]0.1 Produksi Pangan &amp; Penduduk'!A107)</f>
        <v/>
      </c>
      <c r="B106" s="2" t="str">
        <f>IF('[1]0.1 Produksi Pangan &amp; Penduduk'!B107="","",'[1]0.1 Produksi Pangan &amp; Penduduk'!B107)</f>
        <v/>
      </c>
      <c r="C106" s="2" t="str">
        <f>IF('[1]0.1 Produksi Pangan &amp; Penduduk'!F107="","",'[1]0.1 Produksi Pangan &amp; Penduduk'!F107)</f>
        <v/>
      </c>
      <c r="D106" s="3" t="str">
        <f>IF('[1]0.1 Produksi Pangan &amp; Penduduk'!D107="","",'[1]0.1 Produksi Pangan &amp; Penduduk'!D107)</f>
        <v/>
      </c>
      <c r="E106" s="3" t="str">
        <f>IF('[1]0.1 Produksi Pangan &amp; Penduduk'!E107="","",'[1]0.1 Produksi Pangan &amp; Penduduk'!E107)</f>
        <v/>
      </c>
      <c r="F106" s="59" t="str">
        <f>IF(D106="","",VLOOKUP(D106,'[1]0.1 Produksi Pangan &amp; Penduduk'!$D$5:$J$860,7,0))</f>
        <v/>
      </c>
      <c r="G106" s="27" t="str">
        <f t="shared" si="10"/>
        <v/>
      </c>
      <c r="H106" s="27" t="str">
        <f t="shared" si="11"/>
        <v/>
      </c>
      <c r="I106" s="27" t="str">
        <f t="shared" si="12"/>
        <v/>
      </c>
      <c r="J106" s="27" t="str">
        <f t="shared" si="13"/>
        <v/>
      </c>
      <c r="K106" s="27" t="str">
        <f t="shared" si="14"/>
        <v/>
      </c>
      <c r="L106" s="59" t="str">
        <f>IF(D106="","",VLOOKUP(D106,'[1]0.1 Produksi Pangan &amp; Penduduk'!$D$5:$M$860,10,0))</f>
        <v/>
      </c>
      <c r="M106" s="28" t="str">
        <f t="shared" si="15"/>
        <v/>
      </c>
      <c r="N106" s="60" t="str">
        <f t="shared" si="16"/>
        <v/>
      </c>
      <c r="O106" s="60" t="str">
        <f t="shared" si="17"/>
        <v/>
      </c>
      <c r="P106" s="60" t="str">
        <f t="shared" si="18"/>
        <v/>
      </c>
      <c r="Q106" s="28" t="str">
        <f t="shared" si="19"/>
        <v/>
      </c>
    </row>
    <row r="107" spans="1:17" ht="15" x14ac:dyDescent="0.25">
      <c r="A107" s="3" t="str">
        <f>IF('[1]0.1 Produksi Pangan &amp; Penduduk'!A108="","",'[1]0.1 Produksi Pangan &amp; Penduduk'!A108)</f>
        <v/>
      </c>
      <c r="B107" s="2" t="str">
        <f>IF('[1]0.1 Produksi Pangan &amp; Penduduk'!B108="","",'[1]0.1 Produksi Pangan &amp; Penduduk'!B108)</f>
        <v/>
      </c>
      <c r="C107" s="2" t="str">
        <f>IF('[1]0.1 Produksi Pangan &amp; Penduduk'!F108="","",'[1]0.1 Produksi Pangan &amp; Penduduk'!F108)</f>
        <v/>
      </c>
      <c r="D107" s="3" t="str">
        <f>IF('[1]0.1 Produksi Pangan &amp; Penduduk'!D108="","",'[1]0.1 Produksi Pangan &amp; Penduduk'!D108)</f>
        <v/>
      </c>
      <c r="E107" s="3" t="str">
        <f>IF('[1]0.1 Produksi Pangan &amp; Penduduk'!E108="","",'[1]0.1 Produksi Pangan &amp; Penduduk'!E108)</f>
        <v/>
      </c>
      <c r="F107" s="59" t="str">
        <f>IF(D107="","",VLOOKUP(D107,'[1]0.1 Produksi Pangan &amp; Penduduk'!$D$5:$J$860,7,0))</f>
        <v/>
      </c>
      <c r="G107" s="27" t="str">
        <f t="shared" si="10"/>
        <v/>
      </c>
      <c r="H107" s="27" t="str">
        <f t="shared" si="11"/>
        <v/>
      </c>
      <c r="I107" s="27" t="str">
        <f t="shared" si="12"/>
        <v/>
      </c>
      <c r="J107" s="27" t="str">
        <f t="shared" si="13"/>
        <v/>
      </c>
      <c r="K107" s="27" t="str">
        <f t="shared" si="14"/>
        <v/>
      </c>
      <c r="L107" s="59" t="str">
        <f>IF(D107="","",VLOOKUP(D107,'[1]0.1 Produksi Pangan &amp; Penduduk'!$D$5:$M$860,10,0))</f>
        <v/>
      </c>
      <c r="M107" s="28" t="str">
        <f t="shared" si="15"/>
        <v/>
      </c>
      <c r="N107" s="60" t="str">
        <f t="shared" si="16"/>
        <v/>
      </c>
      <c r="O107" s="60" t="str">
        <f t="shared" si="17"/>
        <v/>
      </c>
      <c r="P107" s="60" t="str">
        <f t="shared" si="18"/>
        <v/>
      </c>
      <c r="Q107" s="28" t="str">
        <f t="shared" si="19"/>
        <v/>
      </c>
    </row>
    <row r="108" spans="1:17" ht="15" x14ac:dyDescent="0.25">
      <c r="A108" s="3" t="str">
        <f>IF('[1]0.1 Produksi Pangan &amp; Penduduk'!A109="","",'[1]0.1 Produksi Pangan &amp; Penduduk'!A109)</f>
        <v/>
      </c>
      <c r="B108" s="2" t="str">
        <f>IF('[1]0.1 Produksi Pangan &amp; Penduduk'!B109="","",'[1]0.1 Produksi Pangan &amp; Penduduk'!B109)</f>
        <v/>
      </c>
      <c r="C108" s="2" t="str">
        <f>IF('[1]0.1 Produksi Pangan &amp; Penduduk'!F109="","",'[1]0.1 Produksi Pangan &amp; Penduduk'!F109)</f>
        <v/>
      </c>
      <c r="D108" s="3" t="str">
        <f>IF('[1]0.1 Produksi Pangan &amp; Penduduk'!D109="","",'[1]0.1 Produksi Pangan &amp; Penduduk'!D109)</f>
        <v/>
      </c>
      <c r="E108" s="3" t="str">
        <f>IF('[1]0.1 Produksi Pangan &amp; Penduduk'!E109="","",'[1]0.1 Produksi Pangan &amp; Penduduk'!E109)</f>
        <v/>
      </c>
      <c r="F108" s="59" t="str">
        <f>IF(D108="","",VLOOKUP(D108,'[1]0.1 Produksi Pangan &amp; Penduduk'!$D$5:$J$860,7,0))</f>
        <v/>
      </c>
      <c r="G108" s="27" t="str">
        <f t="shared" si="10"/>
        <v/>
      </c>
      <c r="H108" s="27" t="str">
        <f t="shared" si="11"/>
        <v/>
      </c>
      <c r="I108" s="27" t="str">
        <f t="shared" si="12"/>
        <v/>
      </c>
      <c r="J108" s="27" t="str">
        <f t="shared" si="13"/>
        <v/>
      </c>
      <c r="K108" s="27" t="str">
        <f t="shared" si="14"/>
        <v/>
      </c>
      <c r="L108" s="59" t="str">
        <f>IF(D108="","",VLOOKUP(D108,'[1]0.1 Produksi Pangan &amp; Penduduk'!$D$5:$M$860,10,0))</f>
        <v/>
      </c>
      <c r="M108" s="28" t="str">
        <f t="shared" si="15"/>
        <v/>
      </c>
      <c r="N108" s="60" t="str">
        <f t="shared" si="16"/>
        <v/>
      </c>
      <c r="O108" s="60" t="str">
        <f t="shared" si="17"/>
        <v/>
      </c>
      <c r="P108" s="60" t="str">
        <f t="shared" si="18"/>
        <v/>
      </c>
      <c r="Q108" s="28" t="str">
        <f t="shared" si="19"/>
        <v/>
      </c>
    </row>
    <row r="109" spans="1:17" ht="15" x14ac:dyDescent="0.25">
      <c r="A109" s="3" t="str">
        <f>IF('[1]0.1 Produksi Pangan &amp; Penduduk'!A110="","",'[1]0.1 Produksi Pangan &amp; Penduduk'!A110)</f>
        <v/>
      </c>
      <c r="B109" s="2" t="str">
        <f>IF('[1]0.1 Produksi Pangan &amp; Penduduk'!B110="","",'[1]0.1 Produksi Pangan &amp; Penduduk'!B110)</f>
        <v/>
      </c>
      <c r="C109" s="2" t="str">
        <f>IF('[1]0.1 Produksi Pangan &amp; Penduduk'!F110="","",'[1]0.1 Produksi Pangan &amp; Penduduk'!F110)</f>
        <v/>
      </c>
      <c r="D109" s="3" t="str">
        <f>IF('[1]0.1 Produksi Pangan &amp; Penduduk'!D110="","",'[1]0.1 Produksi Pangan &amp; Penduduk'!D110)</f>
        <v/>
      </c>
      <c r="E109" s="3" t="str">
        <f>IF('[1]0.1 Produksi Pangan &amp; Penduduk'!E110="","",'[1]0.1 Produksi Pangan &amp; Penduduk'!E110)</f>
        <v/>
      </c>
      <c r="F109" s="59" t="str">
        <f>IF(D109="","",VLOOKUP(D109,'[1]0.1 Produksi Pangan &amp; Penduduk'!$D$5:$J$860,7,0))</f>
        <v/>
      </c>
      <c r="G109" s="27" t="str">
        <f t="shared" si="10"/>
        <v/>
      </c>
      <c r="H109" s="27" t="str">
        <f t="shared" si="11"/>
        <v/>
      </c>
      <c r="I109" s="27" t="str">
        <f t="shared" si="12"/>
        <v/>
      </c>
      <c r="J109" s="27" t="str">
        <f t="shared" si="13"/>
        <v/>
      </c>
      <c r="K109" s="27" t="str">
        <f t="shared" si="14"/>
        <v/>
      </c>
      <c r="L109" s="59" t="str">
        <f>IF(D109="","",VLOOKUP(D109,'[1]0.1 Produksi Pangan &amp; Penduduk'!$D$5:$M$860,10,0))</f>
        <v/>
      </c>
      <c r="M109" s="28" t="str">
        <f t="shared" si="15"/>
        <v/>
      </c>
      <c r="N109" s="60" t="str">
        <f t="shared" si="16"/>
        <v/>
      </c>
      <c r="O109" s="60" t="str">
        <f t="shared" si="17"/>
        <v/>
      </c>
      <c r="P109" s="60" t="str">
        <f t="shared" si="18"/>
        <v/>
      </c>
      <c r="Q109" s="28" t="str">
        <f t="shared" si="19"/>
        <v/>
      </c>
    </row>
    <row r="110" spans="1:17" ht="15" x14ac:dyDescent="0.25">
      <c r="A110" s="3" t="str">
        <f>IF('[1]0.1 Produksi Pangan &amp; Penduduk'!A111="","",'[1]0.1 Produksi Pangan &amp; Penduduk'!A111)</f>
        <v/>
      </c>
      <c r="B110" s="2" t="str">
        <f>IF('[1]0.1 Produksi Pangan &amp; Penduduk'!B111="","",'[1]0.1 Produksi Pangan &amp; Penduduk'!B111)</f>
        <v/>
      </c>
      <c r="C110" s="2" t="str">
        <f>IF('[1]0.1 Produksi Pangan &amp; Penduduk'!F111="","",'[1]0.1 Produksi Pangan &amp; Penduduk'!F111)</f>
        <v/>
      </c>
      <c r="D110" s="3" t="str">
        <f>IF('[1]0.1 Produksi Pangan &amp; Penduduk'!D111="","",'[1]0.1 Produksi Pangan &amp; Penduduk'!D111)</f>
        <v/>
      </c>
      <c r="E110" s="3" t="str">
        <f>IF('[1]0.1 Produksi Pangan &amp; Penduduk'!E111="","",'[1]0.1 Produksi Pangan &amp; Penduduk'!E111)</f>
        <v/>
      </c>
      <c r="F110" s="59" t="str">
        <f>IF(D110="","",VLOOKUP(D110,'[1]0.1 Produksi Pangan &amp; Penduduk'!$D$5:$J$860,7,0))</f>
        <v/>
      </c>
      <c r="G110" s="27" t="str">
        <f t="shared" si="10"/>
        <v/>
      </c>
      <c r="H110" s="27" t="str">
        <f t="shared" si="11"/>
        <v/>
      </c>
      <c r="I110" s="27" t="str">
        <f t="shared" si="12"/>
        <v/>
      </c>
      <c r="J110" s="27" t="str">
        <f t="shared" si="13"/>
        <v/>
      </c>
      <c r="K110" s="27" t="str">
        <f t="shared" si="14"/>
        <v/>
      </c>
      <c r="L110" s="59" t="str">
        <f>IF(D110="","",VLOOKUP(D110,'[1]0.1 Produksi Pangan &amp; Penduduk'!$D$5:$M$860,10,0))</f>
        <v/>
      </c>
      <c r="M110" s="28" t="str">
        <f t="shared" si="15"/>
        <v/>
      </c>
      <c r="N110" s="60" t="str">
        <f t="shared" si="16"/>
        <v/>
      </c>
      <c r="O110" s="60" t="str">
        <f t="shared" si="17"/>
        <v/>
      </c>
      <c r="P110" s="60" t="str">
        <f t="shared" si="18"/>
        <v/>
      </c>
      <c r="Q110" s="28" t="str">
        <f t="shared" si="19"/>
        <v/>
      </c>
    </row>
    <row r="111" spans="1:17" ht="15" x14ac:dyDescent="0.25">
      <c r="A111" s="3" t="str">
        <f>IF('[1]0.1 Produksi Pangan &amp; Penduduk'!A112="","",'[1]0.1 Produksi Pangan &amp; Penduduk'!A112)</f>
        <v/>
      </c>
      <c r="B111" s="2" t="str">
        <f>IF('[1]0.1 Produksi Pangan &amp; Penduduk'!B112="","",'[1]0.1 Produksi Pangan &amp; Penduduk'!B112)</f>
        <v/>
      </c>
      <c r="C111" s="2" t="str">
        <f>IF('[1]0.1 Produksi Pangan &amp; Penduduk'!F112="","",'[1]0.1 Produksi Pangan &amp; Penduduk'!F112)</f>
        <v/>
      </c>
      <c r="D111" s="3" t="str">
        <f>IF('[1]0.1 Produksi Pangan &amp; Penduduk'!D112="","",'[1]0.1 Produksi Pangan &amp; Penduduk'!D112)</f>
        <v/>
      </c>
      <c r="E111" s="3" t="str">
        <f>IF('[1]0.1 Produksi Pangan &amp; Penduduk'!E112="","",'[1]0.1 Produksi Pangan &amp; Penduduk'!E112)</f>
        <v/>
      </c>
      <c r="F111" s="59" t="str">
        <f>IF(D111="","",VLOOKUP(D111,'[1]0.1 Produksi Pangan &amp; Penduduk'!$D$5:$J$860,7,0))</f>
        <v/>
      </c>
      <c r="G111" s="27" t="str">
        <f t="shared" si="10"/>
        <v/>
      </c>
      <c r="H111" s="27" t="str">
        <f t="shared" si="11"/>
        <v/>
      </c>
      <c r="I111" s="27" t="str">
        <f t="shared" si="12"/>
        <v/>
      </c>
      <c r="J111" s="27" t="str">
        <f t="shared" si="13"/>
        <v/>
      </c>
      <c r="K111" s="27" t="str">
        <f t="shared" si="14"/>
        <v/>
      </c>
      <c r="L111" s="59" t="str">
        <f>IF(D111="","",VLOOKUP(D111,'[1]0.1 Produksi Pangan &amp; Penduduk'!$D$5:$M$860,10,0))</f>
        <v/>
      </c>
      <c r="M111" s="28" t="str">
        <f t="shared" si="15"/>
        <v/>
      </c>
      <c r="N111" s="60" t="str">
        <f t="shared" si="16"/>
        <v/>
      </c>
      <c r="O111" s="60" t="str">
        <f t="shared" si="17"/>
        <v/>
      </c>
      <c r="P111" s="60" t="str">
        <f t="shared" si="18"/>
        <v/>
      </c>
      <c r="Q111" s="28" t="str">
        <f t="shared" si="19"/>
        <v/>
      </c>
    </row>
    <row r="112" spans="1:17" ht="15" x14ac:dyDescent="0.25">
      <c r="A112" s="3" t="str">
        <f>IF('[1]0.1 Produksi Pangan &amp; Penduduk'!A113="","",'[1]0.1 Produksi Pangan &amp; Penduduk'!A113)</f>
        <v/>
      </c>
      <c r="B112" s="2" t="str">
        <f>IF('[1]0.1 Produksi Pangan &amp; Penduduk'!B113="","",'[1]0.1 Produksi Pangan &amp; Penduduk'!B113)</f>
        <v/>
      </c>
      <c r="C112" s="2" t="str">
        <f>IF('[1]0.1 Produksi Pangan &amp; Penduduk'!F113="","",'[1]0.1 Produksi Pangan &amp; Penduduk'!F113)</f>
        <v/>
      </c>
      <c r="D112" s="3" t="str">
        <f>IF('[1]0.1 Produksi Pangan &amp; Penduduk'!D113="","",'[1]0.1 Produksi Pangan &amp; Penduduk'!D113)</f>
        <v/>
      </c>
      <c r="E112" s="3" t="str">
        <f>IF('[1]0.1 Produksi Pangan &amp; Penduduk'!E113="","",'[1]0.1 Produksi Pangan &amp; Penduduk'!E113)</f>
        <v/>
      </c>
      <c r="F112" s="59" t="str">
        <f>IF(D112="","",VLOOKUP(D112,'[1]0.1 Produksi Pangan &amp; Penduduk'!$D$5:$J$860,7,0))</f>
        <v/>
      </c>
      <c r="G112" s="27" t="str">
        <f t="shared" si="10"/>
        <v/>
      </c>
      <c r="H112" s="27" t="str">
        <f t="shared" si="11"/>
        <v/>
      </c>
      <c r="I112" s="27" t="str">
        <f t="shared" si="12"/>
        <v/>
      </c>
      <c r="J112" s="27" t="str">
        <f t="shared" si="13"/>
        <v/>
      </c>
      <c r="K112" s="27" t="str">
        <f t="shared" si="14"/>
        <v/>
      </c>
      <c r="L112" s="59" t="str">
        <f>IF(D112="","",VLOOKUP(D112,'[1]0.1 Produksi Pangan &amp; Penduduk'!$D$5:$M$860,10,0))</f>
        <v/>
      </c>
      <c r="M112" s="28" t="str">
        <f t="shared" si="15"/>
        <v/>
      </c>
      <c r="N112" s="60" t="str">
        <f t="shared" si="16"/>
        <v/>
      </c>
      <c r="O112" s="60" t="str">
        <f t="shared" si="17"/>
        <v/>
      </c>
      <c r="P112" s="60" t="str">
        <f t="shared" si="18"/>
        <v/>
      </c>
      <c r="Q112" s="28" t="str">
        <f t="shared" si="19"/>
        <v/>
      </c>
    </row>
    <row r="113" spans="1:17" ht="15" x14ac:dyDescent="0.25">
      <c r="A113" s="3" t="str">
        <f>IF('[1]0.1 Produksi Pangan &amp; Penduduk'!A114="","",'[1]0.1 Produksi Pangan &amp; Penduduk'!A114)</f>
        <v/>
      </c>
      <c r="B113" s="2" t="str">
        <f>IF('[1]0.1 Produksi Pangan &amp; Penduduk'!B114="","",'[1]0.1 Produksi Pangan &amp; Penduduk'!B114)</f>
        <v/>
      </c>
      <c r="C113" s="2" t="str">
        <f>IF('[1]0.1 Produksi Pangan &amp; Penduduk'!F114="","",'[1]0.1 Produksi Pangan &amp; Penduduk'!F114)</f>
        <v/>
      </c>
      <c r="D113" s="3" t="str">
        <f>IF('[1]0.1 Produksi Pangan &amp; Penduduk'!D114="","",'[1]0.1 Produksi Pangan &amp; Penduduk'!D114)</f>
        <v/>
      </c>
      <c r="E113" s="3" t="str">
        <f>IF('[1]0.1 Produksi Pangan &amp; Penduduk'!E114="","",'[1]0.1 Produksi Pangan &amp; Penduduk'!E114)</f>
        <v/>
      </c>
      <c r="F113" s="59" t="str">
        <f>IF(D113="","",VLOOKUP(D113,'[1]0.1 Produksi Pangan &amp; Penduduk'!$D$5:$J$860,7,0))</f>
        <v/>
      </c>
      <c r="G113" s="27" t="str">
        <f t="shared" si="10"/>
        <v/>
      </c>
      <c r="H113" s="27" t="str">
        <f t="shared" si="11"/>
        <v/>
      </c>
      <c r="I113" s="27" t="str">
        <f t="shared" si="12"/>
        <v/>
      </c>
      <c r="J113" s="27" t="str">
        <f t="shared" si="13"/>
        <v/>
      </c>
      <c r="K113" s="27" t="str">
        <f t="shared" si="14"/>
        <v/>
      </c>
      <c r="L113" s="59" t="str">
        <f>IF(D113="","",VLOOKUP(D113,'[1]0.1 Produksi Pangan &amp; Penduduk'!$D$5:$M$860,10,0))</f>
        <v/>
      </c>
      <c r="M113" s="28" t="str">
        <f t="shared" si="15"/>
        <v/>
      </c>
      <c r="N113" s="60" t="str">
        <f t="shared" si="16"/>
        <v/>
      </c>
      <c r="O113" s="60" t="str">
        <f t="shared" si="17"/>
        <v/>
      </c>
      <c r="P113" s="60" t="str">
        <f t="shared" si="18"/>
        <v/>
      </c>
      <c r="Q113" s="28" t="str">
        <f t="shared" si="19"/>
        <v/>
      </c>
    </row>
    <row r="114" spans="1:17" ht="15" x14ac:dyDescent="0.25">
      <c r="A114" s="3" t="str">
        <f>IF('[1]0.1 Produksi Pangan &amp; Penduduk'!A115="","",'[1]0.1 Produksi Pangan &amp; Penduduk'!A115)</f>
        <v/>
      </c>
      <c r="B114" s="2" t="str">
        <f>IF('[1]0.1 Produksi Pangan &amp; Penduduk'!B115="","",'[1]0.1 Produksi Pangan &amp; Penduduk'!B115)</f>
        <v/>
      </c>
      <c r="C114" s="2" t="str">
        <f>IF('[1]0.1 Produksi Pangan &amp; Penduduk'!F115="","",'[1]0.1 Produksi Pangan &amp; Penduduk'!F115)</f>
        <v/>
      </c>
      <c r="D114" s="3" t="str">
        <f>IF('[1]0.1 Produksi Pangan &amp; Penduduk'!D115="","",'[1]0.1 Produksi Pangan &amp; Penduduk'!D115)</f>
        <v/>
      </c>
      <c r="E114" s="3" t="str">
        <f>IF('[1]0.1 Produksi Pangan &amp; Penduduk'!E115="","",'[1]0.1 Produksi Pangan &amp; Penduduk'!E115)</f>
        <v/>
      </c>
      <c r="F114" s="59" t="str">
        <f>IF(D114="","",VLOOKUP(D114,'[1]0.1 Produksi Pangan &amp; Penduduk'!$D$5:$J$860,7,0))</f>
        <v/>
      </c>
      <c r="G114" s="27" t="str">
        <f t="shared" si="10"/>
        <v/>
      </c>
      <c r="H114" s="27" t="str">
        <f t="shared" si="11"/>
        <v/>
      </c>
      <c r="I114" s="27" t="str">
        <f t="shared" si="12"/>
        <v/>
      </c>
      <c r="J114" s="27" t="str">
        <f t="shared" si="13"/>
        <v/>
      </c>
      <c r="K114" s="27" t="str">
        <f t="shared" si="14"/>
        <v/>
      </c>
      <c r="L114" s="59" t="str">
        <f>IF(D114="","",VLOOKUP(D114,'[1]0.1 Produksi Pangan &amp; Penduduk'!$D$5:$M$860,10,0))</f>
        <v/>
      </c>
      <c r="M114" s="28" t="str">
        <f t="shared" si="15"/>
        <v/>
      </c>
      <c r="N114" s="60" t="str">
        <f t="shared" si="16"/>
        <v/>
      </c>
      <c r="O114" s="60" t="str">
        <f t="shared" si="17"/>
        <v/>
      </c>
      <c r="P114" s="60" t="str">
        <f t="shared" si="18"/>
        <v/>
      </c>
      <c r="Q114" s="28" t="str">
        <f t="shared" si="19"/>
        <v/>
      </c>
    </row>
    <row r="115" spans="1:17" ht="15" x14ac:dyDescent="0.25">
      <c r="A115" s="3" t="str">
        <f>IF('[1]0.1 Produksi Pangan &amp; Penduduk'!A116="","",'[1]0.1 Produksi Pangan &amp; Penduduk'!A116)</f>
        <v/>
      </c>
      <c r="B115" s="2" t="str">
        <f>IF('[1]0.1 Produksi Pangan &amp; Penduduk'!B116="","",'[1]0.1 Produksi Pangan &amp; Penduduk'!B116)</f>
        <v/>
      </c>
      <c r="C115" s="2" t="str">
        <f>IF('[1]0.1 Produksi Pangan &amp; Penduduk'!F116="","",'[1]0.1 Produksi Pangan &amp; Penduduk'!F116)</f>
        <v/>
      </c>
      <c r="D115" s="3" t="str">
        <f>IF('[1]0.1 Produksi Pangan &amp; Penduduk'!D116="","",'[1]0.1 Produksi Pangan &amp; Penduduk'!D116)</f>
        <v/>
      </c>
      <c r="E115" s="3" t="str">
        <f>IF('[1]0.1 Produksi Pangan &amp; Penduduk'!E116="","",'[1]0.1 Produksi Pangan &amp; Penduduk'!E116)</f>
        <v/>
      </c>
      <c r="F115" s="59" t="str">
        <f>IF(D115="","",VLOOKUP(D115,'[1]0.1 Produksi Pangan &amp; Penduduk'!$D$5:$J$860,7,0))</f>
        <v/>
      </c>
      <c r="G115" s="27" t="str">
        <f t="shared" si="10"/>
        <v/>
      </c>
      <c r="H115" s="27" t="str">
        <f t="shared" si="11"/>
        <v/>
      </c>
      <c r="I115" s="27" t="str">
        <f t="shared" si="12"/>
        <v/>
      </c>
      <c r="J115" s="27" t="str">
        <f t="shared" si="13"/>
        <v/>
      </c>
      <c r="K115" s="27" t="str">
        <f t="shared" si="14"/>
        <v/>
      </c>
      <c r="L115" s="59" t="str">
        <f>IF(D115="","",VLOOKUP(D115,'[1]0.1 Produksi Pangan &amp; Penduduk'!$D$5:$M$860,10,0))</f>
        <v/>
      </c>
      <c r="M115" s="28" t="str">
        <f t="shared" si="15"/>
        <v/>
      </c>
      <c r="N115" s="60" t="str">
        <f t="shared" si="16"/>
        <v/>
      </c>
      <c r="O115" s="60" t="str">
        <f t="shared" si="17"/>
        <v/>
      </c>
      <c r="P115" s="60" t="str">
        <f t="shared" si="18"/>
        <v/>
      </c>
      <c r="Q115" s="28" t="str">
        <f t="shared" si="19"/>
        <v/>
      </c>
    </row>
    <row r="116" spans="1:17" ht="15" x14ac:dyDescent="0.25">
      <c r="A116" s="3" t="str">
        <f>IF('[1]0.1 Produksi Pangan &amp; Penduduk'!A117="","",'[1]0.1 Produksi Pangan &amp; Penduduk'!A117)</f>
        <v/>
      </c>
      <c r="B116" s="2" t="str">
        <f>IF('[1]0.1 Produksi Pangan &amp; Penduduk'!B117="","",'[1]0.1 Produksi Pangan &amp; Penduduk'!B117)</f>
        <v/>
      </c>
      <c r="C116" s="2" t="str">
        <f>IF('[1]0.1 Produksi Pangan &amp; Penduduk'!F117="","",'[1]0.1 Produksi Pangan &amp; Penduduk'!F117)</f>
        <v/>
      </c>
      <c r="D116" s="3" t="str">
        <f>IF('[1]0.1 Produksi Pangan &amp; Penduduk'!D117="","",'[1]0.1 Produksi Pangan &amp; Penduduk'!D117)</f>
        <v/>
      </c>
      <c r="E116" s="3" t="str">
        <f>IF('[1]0.1 Produksi Pangan &amp; Penduduk'!E117="","",'[1]0.1 Produksi Pangan &amp; Penduduk'!E117)</f>
        <v/>
      </c>
      <c r="F116" s="59" t="str">
        <f>IF(D116="","",VLOOKUP(D116,'[1]0.1 Produksi Pangan &amp; Penduduk'!$D$5:$J$860,7,0))</f>
        <v/>
      </c>
      <c r="G116" s="27" t="str">
        <f t="shared" si="10"/>
        <v/>
      </c>
      <c r="H116" s="27" t="str">
        <f t="shared" si="11"/>
        <v/>
      </c>
      <c r="I116" s="27" t="str">
        <f t="shared" si="12"/>
        <v/>
      </c>
      <c r="J116" s="27" t="str">
        <f t="shared" si="13"/>
        <v/>
      </c>
      <c r="K116" s="27" t="str">
        <f t="shared" si="14"/>
        <v/>
      </c>
      <c r="L116" s="59" t="str">
        <f>IF(D116="","",VLOOKUP(D116,'[1]0.1 Produksi Pangan &amp; Penduduk'!$D$5:$M$860,10,0))</f>
        <v/>
      </c>
      <c r="M116" s="28" t="str">
        <f t="shared" si="15"/>
        <v/>
      </c>
      <c r="N116" s="60" t="str">
        <f t="shared" si="16"/>
        <v/>
      </c>
      <c r="O116" s="60" t="str">
        <f t="shared" si="17"/>
        <v/>
      </c>
      <c r="P116" s="60" t="str">
        <f t="shared" si="18"/>
        <v/>
      </c>
      <c r="Q116" s="28" t="str">
        <f t="shared" si="19"/>
        <v/>
      </c>
    </row>
    <row r="117" spans="1:17" ht="15" x14ac:dyDescent="0.25">
      <c r="A117" s="3" t="str">
        <f>IF('[1]0.1 Produksi Pangan &amp; Penduduk'!A118="","",'[1]0.1 Produksi Pangan &amp; Penduduk'!A118)</f>
        <v/>
      </c>
      <c r="B117" s="2" t="str">
        <f>IF('[1]0.1 Produksi Pangan &amp; Penduduk'!B118="","",'[1]0.1 Produksi Pangan &amp; Penduduk'!B118)</f>
        <v/>
      </c>
      <c r="C117" s="2" t="str">
        <f>IF('[1]0.1 Produksi Pangan &amp; Penduduk'!F118="","",'[1]0.1 Produksi Pangan &amp; Penduduk'!F118)</f>
        <v/>
      </c>
      <c r="D117" s="3" t="str">
        <f>IF('[1]0.1 Produksi Pangan &amp; Penduduk'!D118="","",'[1]0.1 Produksi Pangan &amp; Penduduk'!D118)</f>
        <v/>
      </c>
      <c r="E117" s="3" t="str">
        <f>IF('[1]0.1 Produksi Pangan &amp; Penduduk'!E118="","",'[1]0.1 Produksi Pangan &amp; Penduduk'!E118)</f>
        <v/>
      </c>
      <c r="F117" s="59" t="str">
        <f>IF(D117="","",VLOOKUP(D117,'[1]0.1 Produksi Pangan &amp; Penduduk'!$D$5:$J$860,7,0))</f>
        <v/>
      </c>
      <c r="G117" s="27" t="str">
        <f t="shared" si="10"/>
        <v/>
      </c>
      <c r="H117" s="27" t="str">
        <f t="shared" si="11"/>
        <v/>
      </c>
      <c r="I117" s="27" t="str">
        <f t="shared" si="12"/>
        <v/>
      </c>
      <c r="J117" s="27" t="str">
        <f t="shared" si="13"/>
        <v/>
      </c>
      <c r="K117" s="27" t="str">
        <f t="shared" si="14"/>
        <v/>
      </c>
      <c r="L117" s="59" t="str">
        <f>IF(D117="","",VLOOKUP(D117,'[1]0.1 Produksi Pangan &amp; Penduduk'!$D$5:$M$860,10,0))</f>
        <v/>
      </c>
      <c r="M117" s="28" t="str">
        <f t="shared" si="15"/>
        <v/>
      </c>
      <c r="N117" s="60" t="str">
        <f t="shared" si="16"/>
        <v/>
      </c>
      <c r="O117" s="60" t="str">
        <f t="shared" si="17"/>
        <v/>
      </c>
      <c r="P117" s="60" t="str">
        <f t="shared" si="18"/>
        <v/>
      </c>
      <c r="Q117" s="28" t="str">
        <f t="shared" si="19"/>
        <v/>
      </c>
    </row>
    <row r="118" spans="1:17" ht="15" x14ac:dyDescent="0.25">
      <c r="A118" s="3" t="str">
        <f>IF('[1]0.1 Produksi Pangan &amp; Penduduk'!A119="","",'[1]0.1 Produksi Pangan &amp; Penduduk'!A119)</f>
        <v/>
      </c>
      <c r="B118" s="2" t="str">
        <f>IF('[1]0.1 Produksi Pangan &amp; Penduduk'!B119="","",'[1]0.1 Produksi Pangan &amp; Penduduk'!B119)</f>
        <v/>
      </c>
      <c r="C118" s="2" t="str">
        <f>IF('[1]0.1 Produksi Pangan &amp; Penduduk'!F119="","",'[1]0.1 Produksi Pangan &amp; Penduduk'!F119)</f>
        <v/>
      </c>
      <c r="D118" s="3" t="str">
        <f>IF('[1]0.1 Produksi Pangan &amp; Penduduk'!D119="","",'[1]0.1 Produksi Pangan &amp; Penduduk'!D119)</f>
        <v/>
      </c>
      <c r="E118" s="3" t="str">
        <f>IF('[1]0.1 Produksi Pangan &amp; Penduduk'!E119="","",'[1]0.1 Produksi Pangan &amp; Penduduk'!E119)</f>
        <v/>
      </c>
      <c r="F118" s="59" t="str">
        <f>IF(D118="","",VLOOKUP(D118,'[1]0.1 Produksi Pangan &amp; Penduduk'!$D$5:$J$860,7,0))</f>
        <v/>
      </c>
      <c r="G118" s="27" t="str">
        <f t="shared" si="10"/>
        <v/>
      </c>
      <c r="H118" s="27" t="str">
        <f t="shared" si="11"/>
        <v/>
      </c>
      <c r="I118" s="27" t="str">
        <f t="shared" si="12"/>
        <v/>
      </c>
      <c r="J118" s="27" t="str">
        <f t="shared" si="13"/>
        <v/>
      </c>
      <c r="K118" s="27" t="str">
        <f t="shared" si="14"/>
        <v/>
      </c>
      <c r="L118" s="59" t="str">
        <f>IF(D118="","",VLOOKUP(D118,'[1]0.1 Produksi Pangan &amp; Penduduk'!$D$5:$M$860,10,0))</f>
        <v/>
      </c>
      <c r="M118" s="28" t="str">
        <f t="shared" si="15"/>
        <v/>
      </c>
      <c r="N118" s="60" t="str">
        <f t="shared" si="16"/>
        <v/>
      </c>
      <c r="O118" s="60" t="str">
        <f t="shared" si="17"/>
        <v/>
      </c>
      <c r="P118" s="60" t="str">
        <f t="shared" si="18"/>
        <v/>
      </c>
      <c r="Q118" s="28" t="str">
        <f t="shared" si="19"/>
        <v/>
      </c>
    </row>
    <row r="119" spans="1:17" ht="15" x14ac:dyDescent="0.25">
      <c r="A119" s="3" t="str">
        <f>IF('[1]0.1 Produksi Pangan &amp; Penduduk'!A120="","",'[1]0.1 Produksi Pangan &amp; Penduduk'!A120)</f>
        <v/>
      </c>
      <c r="B119" s="2" t="str">
        <f>IF('[1]0.1 Produksi Pangan &amp; Penduduk'!B120="","",'[1]0.1 Produksi Pangan &amp; Penduduk'!B120)</f>
        <v/>
      </c>
      <c r="C119" s="2" t="str">
        <f>IF('[1]0.1 Produksi Pangan &amp; Penduduk'!F120="","",'[1]0.1 Produksi Pangan &amp; Penduduk'!F120)</f>
        <v/>
      </c>
      <c r="D119" s="3" t="str">
        <f>IF('[1]0.1 Produksi Pangan &amp; Penduduk'!D120="","",'[1]0.1 Produksi Pangan &amp; Penduduk'!D120)</f>
        <v/>
      </c>
      <c r="E119" s="3" t="str">
        <f>IF('[1]0.1 Produksi Pangan &amp; Penduduk'!E120="","",'[1]0.1 Produksi Pangan &amp; Penduduk'!E120)</f>
        <v/>
      </c>
      <c r="F119" s="59" t="str">
        <f>IF(D119="","",VLOOKUP(D119,'[1]0.1 Produksi Pangan &amp; Penduduk'!$D$5:$J$860,7,0))</f>
        <v/>
      </c>
      <c r="G119" s="27" t="str">
        <f t="shared" si="10"/>
        <v/>
      </c>
      <c r="H119" s="27" t="str">
        <f t="shared" si="11"/>
        <v/>
      </c>
      <c r="I119" s="27" t="str">
        <f t="shared" si="12"/>
        <v/>
      </c>
      <c r="J119" s="27" t="str">
        <f t="shared" si="13"/>
        <v/>
      </c>
      <c r="K119" s="27" t="str">
        <f t="shared" si="14"/>
        <v/>
      </c>
      <c r="L119" s="59" t="str">
        <f>IF(D119="","",VLOOKUP(D119,'[1]0.1 Produksi Pangan &amp; Penduduk'!$D$5:$M$860,10,0))</f>
        <v/>
      </c>
      <c r="M119" s="28" t="str">
        <f t="shared" si="15"/>
        <v/>
      </c>
      <c r="N119" s="60" t="str">
        <f t="shared" si="16"/>
        <v/>
      </c>
      <c r="O119" s="60" t="str">
        <f t="shared" si="17"/>
        <v/>
      </c>
      <c r="P119" s="60" t="str">
        <f t="shared" si="18"/>
        <v/>
      </c>
      <c r="Q119" s="28" t="str">
        <f t="shared" si="19"/>
        <v/>
      </c>
    </row>
    <row r="120" spans="1:17" ht="15" x14ac:dyDescent="0.25">
      <c r="A120" s="3" t="str">
        <f>IF('[1]0.1 Produksi Pangan &amp; Penduduk'!A121="","",'[1]0.1 Produksi Pangan &amp; Penduduk'!A121)</f>
        <v/>
      </c>
      <c r="B120" s="2" t="str">
        <f>IF('[1]0.1 Produksi Pangan &amp; Penduduk'!B121="","",'[1]0.1 Produksi Pangan &amp; Penduduk'!B121)</f>
        <v/>
      </c>
      <c r="C120" s="2" t="str">
        <f>IF('[1]0.1 Produksi Pangan &amp; Penduduk'!F121="","",'[1]0.1 Produksi Pangan &amp; Penduduk'!F121)</f>
        <v/>
      </c>
      <c r="D120" s="3" t="str">
        <f>IF('[1]0.1 Produksi Pangan &amp; Penduduk'!D121="","",'[1]0.1 Produksi Pangan &amp; Penduduk'!D121)</f>
        <v/>
      </c>
      <c r="E120" s="3" t="str">
        <f>IF('[1]0.1 Produksi Pangan &amp; Penduduk'!E121="","",'[1]0.1 Produksi Pangan &amp; Penduduk'!E121)</f>
        <v/>
      </c>
      <c r="F120" s="59" t="str">
        <f>IF(D120="","",VLOOKUP(D120,'[1]0.1 Produksi Pangan &amp; Penduduk'!$D$5:$J$860,7,0))</f>
        <v/>
      </c>
      <c r="G120" s="27" t="str">
        <f t="shared" si="10"/>
        <v/>
      </c>
      <c r="H120" s="27" t="str">
        <f t="shared" si="11"/>
        <v/>
      </c>
      <c r="I120" s="27" t="str">
        <f t="shared" si="12"/>
        <v/>
      </c>
      <c r="J120" s="27" t="str">
        <f t="shared" si="13"/>
        <v/>
      </c>
      <c r="K120" s="27" t="str">
        <f t="shared" si="14"/>
        <v/>
      </c>
      <c r="L120" s="59" t="str">
        <f>IF(D120="","",VLOOKUP(D120,'[1]0.1 Produksi Pangan &amp; Penduduk'!$D$5:$M$860,10,0))</f>
        <v/>
      </c>
      <c r="M120" s="28" t="str">
        <f t="shared" si="15"/>
        <v/>
      </c>
      <c r="N120" s="60" t="str">
        <f t="shared" si="16"/>
        <v/>
      </c>
      <c r="O120" s="60" t="str">
        <f t="shared" si="17"/>
        <v/>
      </c>
      <c r="P120" s="60" t="str">
        <f t="shared" si="18"/>
        <v/>
      </c>
      <c r="Q120" s="28" t="str">
        <f t="shared" si="19"/>
        <v/>
      </c>
    </row>
    <row r="121" spans="1:17" ht="15" x14ac:dyDescent="0.25">
      <c r="A121" s="3" t="str">
        <f>IF('[1]0.1 Produksi Pangan &amp; Penduduk'!A122="","",'[1]0.1 Produksi Pangan &amp; Penduduk'!A122)</f>
        <v/>
      </c>
      <c r="B121" s="2" t="str">
        <f>IF('[1]0.1 Produksi Pangan &amp; Penduduk'!B122="","",'[1]0.1 Produksi Pangan &amp; Penduduk'!B122)</f>
        <v/>
      </c>
      <c r="C121" s="2" t="str">
        <f>IF('[1]0.1 Produksi Pangan &amp; Penduduk'!F122="","",'[1]0.1 Produksi Pangan &amp; Penduduk'!F122)</f>
        <v/>
      </c>
      <c r="D121" s="3" t="str">
        <f>IF('[1]0.1 Produksi Pangan &amp; Penduduk'!D122="","",'[1]0.1 Produksi Pangan &amp; Penduduk'!D122)</f>
        <v/>
      </c>
      <c r="E121" s="3" t="str">
        <f>IF('[1]0.1 Produksi Pangan &amp; Penduduk'!E122="","",'[1]0.1 Produksi Pangan &amp; Penduduk'!E122)</f>
        <v/>
      </c>
      <c r="F121" s="59" t="str">
        <f>IF(D121="","",VLOOKUP(D121,'[1]0.1 Produksi Pangan &amp; Penduduk'!$D$5:$J$860,7,0))</f>
        <v/>
      </c>
      <c r="G121" s="27" t="str">
        <f t="shared" si="10"/>
        <v/>
      </c>
      <c r="H121" s="27" t="str">
        <f t="shared" si="11"/>
        <v/>
      </c>
      <c r="I121" s="27" t="str">
        <f t="shared" si="12"/>
        <v/>
      </c>
      <c r="J121" s="27" t="str">
        <f t="shared" si="13"/>
        <v/>
      </c>
      <c r="K121" s="27" t="str">
        <f t="shared" si="14"/>
        <v/>
      </c>
      <c r="L121" s="59" t="str">
        <f>IF(D121="","",VLOOKUP(D121,'[1]0.1 Produksi Pangan &amp; Penduduk'!$D$5:$M$860,10,0))</f>
        <v/>
      </c>
      <c r="M121" s="28" t="str">
        <f t="shared" si="15"/>
        <v/>
      </c>
      <c r="N121" s="60" t="str">
        <f t="shared" si="16"/>
        <v/>
      </c>
      <c r="O121" s="60" t="str">
        <f t="shared" si="17"/>
        <v/>
      </c>
      <c r="P121" s="60" t="str">
        <f t="shared" si="18"/>
        <v/>
      </c>
      <c r="Q121" s="28" t="str">
        <f t="shared" si="19"/>
        <v/>
      </c>
    </row>
    <row r="122" spans="1:17" ht="15" x14ac:dyDescent="0.25">
      <c r="A122" s="3" t="str">
        <f>IF('[1]0.1 Produksi Pangan &amp; Penduduk'!A123="","",'[1]0.1 Produksi Pangan &amp; Penduduk'!A123)</f>
        <v/>
      </c>
      <c r="B122" s="2" t="str">
        <f>IF('[1]0.1 Produksi Pangan &amp; Penduduk'!B123="","",'[1]0.1 Produksi Pangan &amp; Penduduk'!B123)</f>
        <v/>
      </c>
      <c r="C122" s="2" t="str">
        <f>IF('[1]0.1 Produksi Pangan &amp; Penduduk'!F123="","",'[1]0.1 Produksi Pangan &amp; Penduduk'!F123)</f>
        <v/>
      </c>
      <c r="D122" s="3" t="str">
        <f>IF('[1]0.1 Produksi Pangan &amp; Penduduk'!D123="","",'[1]0.1 Produksi Pangan &amp; Penduduk'!D123)</f>
        <v/>
      </c>
      <c r="E122" s="3" t="str">
        <f>IF('[1]0.1 Produksi Pangan &amp; Penduduk'!E123="","",'[1]0.1 Produksi Pangan &amp; Penduduk'!E123)</f>
        <v/>
      </c>
      <c r="F122" s="59" t="str">
        <f>IF(D122="","",VLOOKUP(D122,'[1]0.1 Produksi Pangan &amp; Penduduk'!$D$5:$J$860,7,0))</f>
        <v/>
      </c>
      <c r="G122" s="27" t="str">
        <f t="shared" si="10"/>
        <v/>
      </c>
      <c r="H122" s="27" t="str">
        <f t="shared" si="11"/>
        <v/>
      </c>
      <c r="I122" s="27" t="str">
        <f t="shared" si="12"/>
        <v/>
      </c>
      <c r="J122" s="27" t="str">
        <f t="shared" si="13"/>
        <v/>
      </c>
      <c r="K122" s="27" t="str">
        <f t="shared" si="14"/>
        <v/>
      </c>
      <c r="L122" s="59" t="str">
        <f>IF(D122="","",VLOOKUP(D122,'[1]0.1 Produksi Pangan &amp; Penduduk'!$D$5:$M$860,10,0))</f>
        <v/>
      </c>
      <c r="M122" s="28" t="str">
        <f t="shared" si="15"/>
        <v/>
      </c>
      <c r="N122" s="60" t="str">
        <f t="shared" si="16"/>
        <v/>
      </c>
      <c r="O122" s="60" t="str">
        <f t="shared" si="17"/>
        <v/>
      </c>
      <c r="P122" s="60" t="str">
        <f t="shared" si="18"/>
        <v/>
      </c>
      <c r="Q122" s="28" t="str">
        <f t="shared" si="19"/>
        <v/>
      </c>
    </row>
    <row r="123" spans="1:17" ht="15" x14ac:dyDescent="0.25">
      <c r="A123" s="3" t="str">
        <f>IF('[1]0.1 Produksi Pangan &amp; Penduduk'!A124="","",'[1]0.1 Produksi Pangan &amp; Penduduk'!A124)</f>
        <v/>
      </c>
      <c r="B123" s="2" t="str">
        <f>IF('[1]0.1 Produksi Pangan &amp; Penduduk'!B124="","",'[1]0.1 Produksi Pangan &amp; Penduduk'!B124)</f>
        <v/>
      </c>
      <c r="C123" s="2" t="str">
        <f>IF('[1]0.1 Produksi Pangan &amp; Penduduk'!F124="","",'[1]0.1 Produksi Pangan &amp; Penduduk'!F124)</f>
        <v/>
      </c>
      <c r="D123" s="3" t="str">
        <f>IF('[1]0.1 Produksi Pangan &amp; Penduduk'!D124="","",'[1]0.1 Produksi Pangan &amp; Penduduk'!D124)</f>
        <v/>
      </c>
      <c r="E123" s="3" t="str">
        <f>IF('[1]0.1 Produksi Pangan &amp; Penduduk'!E124="","",'[1]0.1 Produksi Pangan &amp; Penduduk'!E124)</f>
        <v/>
      </c>
      <c r="F123" s="59" t="str">
        <f>IF(D123="","",VLOOKUP(D123,'[1]0.1 Produksi Pangan &amp; Penduduk'!$D$5:$J$860,7,0))</f>
        <v/>
      </c>
      <c r="G123" s="27" t="str">
        <f t="shared" si="10"/>
        <v/>
      </c>
      <c r="H123" s="27" t="str">
        <f t="shared" si="11"/>
        <v/>
      </c>
      <c r="I123" s="27" t="str">
        <f t="shared" si="12"/>
        <v/>
      </c>
      <c r="J123" s="27" t="str">
        <f t="shared" si="13"/>
        <v/>
      </c>
      <c r="K123" s="27" t="str">
        <f t="shared" si="14"/>
        <v/>
      </c>
      <c r="L123" s="59" t="str">
        <f>IF(D123="","",VLOOKUP(D123,'[1]0.1 Produksi Pangan &amp; Penduduk'!$D$5:$M$860,10,0))</f>
        <v/>
      </c>
      <c r="M123" s="28" t="str">
        <f t="shared" si="15"/>
        <v/>
      </c>
      <c r="N123" s="60" t="str">
        <f t="shared" si="16"/>
        <v/>
      </c>
      <c r="O123" s="60" t="str">
        <f t="shared" si="17"/>
        <v/>
      </c>
      <c r="P123" s="60" t="str">
        <f t="shared" si="18"/>
        <v/>
      </c>
      <c r="Q123" s="28" t="str">
        <f t="shared" si="19"/>
        <v/>
      </c>
    </row>
    <row r="124" spans="1:17" ht="15" x14ac:dyDescent="0.25">
      <c r="A124" s="3" t="str">
        <f>IF('[1]0.1 Produksi Pangan &amp; Penduduk'!A125="","",'[1]0.1 Produksi Pangan &amp; Penduduk'!A125)</f>
        <v/>
      </c>
      <c r="B124" s="2" t="str">
        <f>IF('[1]0.1 Produksi Pangan &amp; Penduduk'!B125="","",'[1]0.1 Produksi Pangan &amp; Penduduk'!B125)</f>
        <v/>
      </c>
      <c r="C124" s="2" t="str">
        <f>IF('[1]0.1 Produksi Pangan &amp; Penduduk'!F125="","",'[1]0.1 Produksi Pangan &amp; Penduduk'!F125)</f>
        <v/>
      </c>
      <c r="D124" s="3" t="str">
        <f>IF('[1]0.1 Produksi Pangan &amp; Penduduk'!D125="","",'[1]0.1 Produksi Pangan &amp; Penduduk'!D125)</f>
        <v/>
      </c>
      <c r="E124" s="3" t="str">
        <f>IF('[1]0.1 Produksi Pangan &amp; Penduduk'!E125="","",'[1]0.1 Produksi Pangan &amp; Penduduk'!E125)</f>
        <v/>
      </c>
      <c r="F124" s="59" t="str">
        <f>IF(D124="","",VLOOKUP(D124,'[1]0.1 Produksi Pangan &amp; Penduduk'!$D$5:$J$860,7,0))</f>
        <v/>
      </c>
      <c r="G124" s="27" t="str">
        <f t="shared" si="10"/>
        <v/>
      </c>
      <c r="H124" s="27" t="str">
        <f t="shared" si="11"/>
        <v/>
      </c>
      <c r="I124" s="27" t="str">
        <f t="shared" si="12"/>
        <v/>
      </c>
      <c r="J124" s="27" t="str">
        <f t="shared" si="13"/>
        <v/>
      </c>
      <c r="K124" s="27" t="str">
        <f t="shared" si="14"/>
        <v/>
      </c>
      <c r="L124" s="59" t="str">
        <f>IF(D124="","",VLOOKUP(D124,'[1]0.1 Produksi Pangan &amp; Penduduk'!$D$5:$M$860,10,0))</f>
        <v/>
      </c>
      <c r="M124" s="28" t="str">
        <f t="shared" si="15"/>
        <v/>
      </c>
      <c r="N124" s="60" t="str">
        <f t="shared" si="16"/>
        <v/>
      </c>
      <c r="O124" s="60" t="str">
        <f t="shared" si="17"/>
        <v/>
      </c>
      <c r="P124" s="60" t="str">
        <f t="shared" si="18"/>
        <v/>
      </c>
      <c r="Q124" s="28" t="str">
        <f t="shared" si="19"/>
        <v/>
      </c>
    </row>
    <row r="125" spans="1:17" ht="15" x14ac:dyDescent="0.25">
      <c r="A125" s="3" t="str">
        <f>IF('[1]0.1 Produksi Pangan &amp; Penduduk'!A126="","",'[1]0.1 Produksi Pangan &amp; Penduduk'!A126)</f>
        <v/>
      </c>
      <c r="B125" s="2" t="str">
        <f>IF('[1]0.1 Produksi Pangan &amp; Penduduk'!B126="","",'[1]0.1 Produksi Pangan &amp; Penduduk'!B126)</f>
        <v/>
      </c>
      <c r="C125" s="2" t="str">
        <f>IF('[1]0.1 Produksi Pangan &amp; Penduduk'!F126="","",'[1]0.1 Produksi Pangan &amp; Penduduk'!F126)</f>
        <v/>
      </c>
      <c r="D125" s="3" t="str">
        <f>IF('[1]0.1 Produksi Pangan &amp; Penduduk'!D126="","",'[1]0.1 Produksi Pangan &amp; Penduduk'!D126)</f>
        <v/>
      </c>
      <c r="E125" s="3" t="str">
        <f>IF('[1]0.1 Produksi Pangan &amp; Penduduk'!E126="","",'[1]0.1 Produksi Pangan &amp; Penduduk'!E126)</f>
        <v/>
      </c>
      <c r="F125" s="59" t="str">
        <f>IF(D125="","",VLOOKUP(D125,'[1]0.1 Produksi Pangan &amp; Penduduk'!$D$5:$J$860,7,0))</f>
        <v/>
      </c>
      <c r="G125" s="27" t="str">
        <f t="shared" si="10"/>
        <v/>
      </c>
      <c r="H125" s="27" t="str">
        <f t="shared" si="11"/>
        <v/>
      </c>
      <c r="I125" s="27" t="str">
        <f t="shared" si="12"/>
        <v/>
      </c>
      <c r="J125" s="27" t="str">
        <f t="shared" si="13"/>
        <v/>
      </c>
      <c r="K125" s="27" t="str">
        <f t="shared" si="14"/>
        <v/>
      </c>
      <c r="L125" s="59" t="str">
        <f>IF(D125="","",VLOOKUP(D125,'[1]0.1 Produksi Pangan &amp; Penduduk'!$D$5:$M$860,10,0))</f>
        <v/>
      </c>
      <c r="M125" s="28" t="str">
        <f t="shared" si="15"/>
        <v/>
      </c>
      <c r="N125" s="60" t="str">
        <f t="shared" si="16"/>
        <v/>
      </c>
      <c r="O125" s="60" t="str">
        <f t="shared" si="17"/>
        <v/>
      </c>
      <c r="P125" s="60" t="str">
        <f t="shared" si="18"/>
        <v/>
      </c>
      <c r="Q125" s="28" t="str">
        <f t="shared" si="19"/>
        <v/>
      </c>
    </row>
    <row r="126" spans="1:17" ht="15" x14ac:dyDescent="0.25">
      <c r="A126" s="3" t="str">
        <f>IF('[1]0.1 Produksi Pangan &amp; Penduduk'!A127="","",'[1]0.1 Produksi Pangan &amp; Penduduk'!A127)</f>
        <v/>
      </c>
      <c r="B126" s="2" t="str">
        <f>IF('[1]0.1 Produksi Pangan &amp; Penduduk'!B127="","",'[1]0.1 Produksi Pangan &amp; Penduduk'!B127)</f>
        <v/>
      </c>
      <c r="C126" s="2" t="str">
        <f>IF('[1]0.1 Produksi Pangan &amp; Penduduk'!F127="","",'[1]0.1 Produksi Pangan &amp; Penduduk'!F127)</f>
        <v/>
      </c>
      <c r="D126" s="3" t="str">
        <f>IF('[1]0.1 Produksi Pangan &amp; Penduduk'!D127="","",'[1]0.1 Produksi Pangan &amp; Penduduk'!D127)</f>
        <v/>
      </c>
      <c r="E126" s="3" t="str">
        <f>IF('[1]0.1 Produksi Pangan &amp; Penduduk'!E127="","",'[1]0.1 Produksi Pangan &amp; Penduduk'!E127)</f>
        <v/>
      </c>
      <c r="F126" s="59" t="str">
        <f>IF(D126="","",VLOOKUP(D126,'[1]0.1 Produksi Pangan &amp; Penduduk'!$D$5:$J$860,7,0))</f>
        <v/>
      </c>
      <c r="G126" s="27" t="str">
        <f t="shared" si="10"/>
        <v/>
      </c>
      <c r="H126" s="27" t="str">
        <f t="shared" si="11"/>
        <v/>
      </c>
      <c r="I126" s="27" t="str">
        <f t="shared" si="12"/>
        <v/>
      </c>
      <c r="J126" s="27" t="str">
        <f t="shared" si="13"/>
        <v/>
      </c>
      <c r="K126" s="27" t="str">
        <f t="shared" si="14"/>
        <v/>
      </c>
      <c r="L126" s="59" t="str">
        <f>IF(D126="","",VLOOKUP(D126,'[1]0.1 Produksi Pangan &amp; Penduduk'!$D$5:$M$860,10,0))</f>
        <v/>
      </c>
      <c r="M126" s="28" t="str">
        <f t="shared" si="15"/>
        <v/>
      </c>
      <c r="N126" s="60" t="str">
        <f t="shared" si="16"/>
        <v/>
      </c>
      <c r="O126" s="60" t="str">
        <f t="shared" si="17"/>
        <v/>
      </c>
      <c r="P126" s="60" t="str">
        <f t="shared" si="18"/>
        <v/>
      </c>
      <c r="Q126" s="28" t="str">
        <f t="shared" si="19"/>
        <v/>
      </c>
    </row>
    <row r="127" spans="1:17" ht="15" x14ac:dyDescent="0.25">
      <c r="A127" s="3" t="str">
        <f>IF('[1]0.1 Produksi Pangan &amp; Penduduk'!A128="","",'[1]0.1 Produksi Pangan &amp; Penduduk'!A128)</f>
        <v/>
      </c>
      <c r="B127" s="2" t="str">
        <f>IF('[1]0.1 Produksi Pangan &amp; Penduduk'!B128="","",'[1]0.1 Produksi Pangan &amp; Penduduk'!B128)</f>
        <v/>
      </c>
      <c r="C127" s="2" t="str">
        <f>IF('[1]0.1 Produksi Pangan &amp; Penduduk'!F128="","",'[1]0.1 Produksi Pangan &amp; Penduduk'!F128)</f>
        <v/>
      </c>
      <c r="D127" s="3" t="str">
        <f>IF('[1]0.1 Produksi Pangan &amp; Penduduk'!D128="","",'[1]0.1 Produksi Pangan &amp; Penduduk'!D128)</f>
        <v/>
      </c>
      <c r="E127" s="3" t="str">
        <f>IF('[1]0.1 Produksi Pangan &amp; Penduduk'!E128="","",'[1]0.1 Produksi Pangan &amp; Penduduk'!E128)</f>
        <v/>
      </c>
      <c r="F127" s="59" t="str">
        <f>IF(D127="","",VLOOKUP(D127,'[1]0.1 Produksi Pangan &amp; Penduduk'!$D$5:$J$860,7,0))</f>
        <v/>
      </c>
      <c r="G127" s="27" t="str">
        <f t="shared" si="10"/>
        <v/>
      </c>
      <c r="H127" s="27" t="str">
        <f t="shared" si="11"/>
        <v/>
      </c>
      <c r="I127" s="27" t="str">
        <f t="shared" si="12"/>
        <v/>
      </c>
      <c r="J127" s="27" t="str">
        <f t="shared" si="13"/>
        <v/>
      </c>
      <c r="K127" s="27" t="str">
        <f t="shared" si="14"/>
        <v/>
      </c>
      <c r="L127" s="59" t="str">
        <f>IF(D127="","",VLOOKUP(D127,'[1]0.1 Produksi Pangan &amp; Penduduk'!$D$5:$M$860,10,0))</f>
        <v/>
      </c>
      <c r="M127" s="28" t="str">
        <f t="shared" si="15"/>
        <v/>
      </c>
      <c r="N127" s="60" t="str">
        <f t="shared" si="16"/>
        <v/>
      </c>
      <c r="O127" s="60" t="str">
        <f t="shared" si="17"/>
        <v/>
      </c>
      <c r="P127" s="60" t="str">
        <f t="shared" si="18"/>
        <v/>
      </c>
      <c r="Q127" s="28" t="str">
        <f t="shared" si="19"/>
        <v/>
      </c>
    </row>
    <row r="128" spans="1:17" ht="15" x14ac:dyDescent="0.25">
      <c r="A128" s="3" t="str">
        <f>IF('[1]0.1 Produksi Pangan &amp; Penduduk'!A129="","",'[1]0.1 Produksi Pangan &amp; Penduduk'!A129)</f>
        <v/>
      </c>
      <c r="B128" s="2" t="str">
        <f>IF('[1]0.1 Produksi Pangan &amp; Penduduk'!B129="","",'[1]0.1 Produksi Pangan &amp; Penduduk'!B129)</f>
        <v/>
      </c>
      <c r="C128" s="2" t="str">
        <f>IF('[1]0.1 Produksi Pangan &amp; Penduduk'!F129="","",'[1]0.1 Produksi Pangan &amp; Penduduk'!F129)</f>
        <v/>
      </c>
      <c r="D128" s="3" t="str">
        <f>IF('[1]0.1 Produksi Pangan &amp; Penduduk'!D129="","",'[1]0.1 Produksi Pangan &amp; Penduduk'!D129)</f>
        <v/>
      </c>
      <c r="E128" s="3" t="str">
        <f>IF('[1]0.1 Produksi Pangan &amp; Penduduk'!E129="","",'[1]0.1 Produksi Pangan &amp; Penduduk'!E129)</f>
        <v/>
      </c>
      <c r="F128" s="59" t="str">
        <f>IF(D128="","",VLOOKUP(D128,'[1]0.1 Produksi Pangan &amp; Penduduk'!$D$5:$J$860,7,0))</f>
        <v/>
      </c>
      <c r="G128" s="27" t="str">
        <f t="shared" si="10"/>
        <v/>
      </c>
      <c r="H128" s="27" t="str">
        <f t="shared" si="11"/>
        <v/>
      </c>
      <c r="I128" s="27" t="str">
        <f t="shared" si="12"/>
        <v/>
      </c>
      <c r="J128" s="27" t="str">
        <f t="shared" si="13"/>
        <v/>
      </c>
      <c r="K128" s="27" t="str">
        <f t="shared" si="14"/>
        <v/>
      </c>
      <c r="L128" s="59" t="str">
        <f>IF(D128="","",VLOOKUP(D128,'[1]0.1 Produksi Pangan &amp; Penduduk'!$D$5:$M$860,10,0))</f>
        <v/>
      </c>
      <c r="M128" s="28" t="str">
        <f t="shared" si="15"/>
        <v/>
      </c>
      <c r="N128" s="60" t="str">
        <f t="shared" si="16"/>
        <v/>
      </c>
      <c r="O128" s="60" t="str">
        <f t="shared" si="17"/>
        <v/>
      </c>
      <c r="P128" s="60" t="str">
        <f t="shared" si="18"/>
        <v/>
      </c>
      <c r="Q128" s="28" t="str">
        <f t="shared" si="19"/>
        <v/>
      </c>
    </row>
    <row r="129" spans="1:17" ht="15" x14ac:dyDescent="0.25">
      <c r="A129" s="3" t="str">
        <f>IF('[1]0.1 Produksi Pangan &amp; Penduduk'!A130="","",'[1]0.1 Produksi Pangan &amp; Penduduk'!A130)</f>
        <v/>
      </c>
      <c r="B129" s="2" t="str">
        <f>IF('[1]0.1 Produksi Pangan &amp; Penduduk'!B130="","",'[1]0.1 Produksi Pangan &amp; Penduduk'!B130)</f>
        <v/>
      </c>
      <c r="C129" s="2" t="str">
        <f>IF('[1]0.1 Produksi Pangan &amp; Penduduk'!F130="","",'[1]0.1 Produksi Pangan &amp; Penduduk'!F130)</f>
        <v/>
      </c>
      <c r="D129" s="3" t="str">
        <f>IF('[1]0.1 Produksi Pangan &amp; Penduduk'!D130="","",'[1]0.1 Produksi Pangan &amp; Penduduk'!D130)</f>
        <v/>
      </c>
      <c r="E129" s="3" t="str">
        <f>IF('[1]0.1 Produksi Pangan &amp; Penduduk'!E130="","",'[1]0.1 Produksi Pangan &amp; Penduduk'!E130)</f>
        <v/>
      </c>
      <c r="F129" s="59" t="str">
        <f>IF(D129="","",VLOOKUP(D129,'[1]0.1 Produksi Pangan &amp; Penduduk'!$D$5:$J$860,7,0))</f>
        <v/>
      </c>
      <c r="G129" s="27" t="str">
        <f t="shared" si="10"/>
        <v/>
      </c>
      <c r="H129" s="27" t="str">
        <f t="shared" si="11"/>
        <v/>
      </c>
      <c r="I129" s="27" t="str">
        <f t="shared" si="12"/>
        <v/>
      </c>
      <c r="J129" s="27" t="str">
        <f t="shared" si="13"/>
        <v/>
      </c>
      <c r="K129" s="27" t="str">
        <f t="shared" si="14"/>
        <v/>
      </c>
      <c r="L129" s="59" t="str">
        <f>IF(D129="","",VLOOKUP(D129,'[1]0.1 Produksi Pangan &amp; Penduduk'!$D$5:$M$860,10,0))</f>
        <v/>
      </c>
      <c r="M129" s="28" t="str">
        <f t="shared" si="15"/>
        <v/>
      </c>
      <c r="N129" s="60" t="str">
        <f t="shared" si="16"/>
        <v/>
      </c>
      <c r="O129" s="60" t="str">
        <f t="shared" si="17"/>
        <v/>
      </c>
      <c r="P129" s="60" t="str">
        <f t="shared" si="18"/>
        <v/>
      </c>
      <c r="Q129" s="28" t="str">
        <f t="shared" si="19"/>
        <v/>
      </c>
    </row>
    <row r="130" spans="1:17" ht="15" x14ac:dyDescent="0.25">
      <c r="A130" s="3" t="str">
        <f>IF('[1]0.1 Produksi Pangan &amp; Penduduk'!A131="","",'[1]0.1 Produksi Pangan &amp; Penduduk'!A131)</f>
        <v/>
      </c>
      <c r="B130" s="2" t="str">
        <f>IF('[1]0.1 Produksi Pangan &amp; Penduduk'!B131="","",'[1]0.1 Produksi Pangan &amp; Penduduk'!B131)</f>
        <v/>
      </c>
      <c r="C130" s="2" t="str">
        <f>IF('[1]0.1 Produksi Pangan &amp; Penduduk'!F131="","",'[1]0.1 Produksi Pangan &amp; Penduduk'!F131)</f>
        <v/>
      </c>
      <c r="D130" s="3" t="str">
        <f>IF('[1]0.1 Produksi Pangan &amp; Penduduk'!D131="","",'[1]0.1 Produksi Pangan &amp; Penduduk'!D131)</f>
        <v/>
      </c>
      <c r="E130" s="3" t="str">
        <f>IF('[1]0.1 Produksi Pangan &amp; Penduduk'!E131="","",'[1]0.1 Produksi Pangan &amp; Penduduk'!E131)</f>
        <v/>
      </c>
      <c r="F130" s="59" t="str">
        <f>IF(D130="","",VLOOKUP(D130,'[1]0.1 Produksi Pangan &amp; Penduduk'!$D$5:$J$860,7,0))</f>
        <v/>
      </c>
      <c r="G130" s="27" t="str">
        <f t="shared" si="10"/>
        <v/>
      </c>
      <c r="H130" s="27" t="str">
        <f t="shared" si="11"/>
        <v/>
      </c>
      <c r="I130" s="27" t="str">
        <f t="shared" si="12"/>
        <v/>
      </c>
      <c r="J130" s="27" t="str">
        <f t="shared" si="13"/>
        <v/>
      </c>
      <c r="K130" s="27" t="str">
        <f t="shared" si="14"/>
        <v/>
      </c>
      <c r="L130" s="59" t="str">
        <f>IF(D130="","",VLOOKUP(D130,'[1]0.1 Produksi Pangan &amp; Penduduk'!$D$5:$M$860,10,0))</f>
        <v/>
      </c>
      <c r="M130" s="28" t="str">
        <f t="shared" si="15"/>
        <v/>
      </c>
      <c r="N130" s="60" t="str">
        <f t="shared" si="16"/>
        <v/>
      </c>
      <c r="O130" s="60" t="str">
        <f t="shared" si="17"/>
        <v/>
      </c>
      <c r="P130" s="60" t="str">
        <f t="shared" si="18"/>
        <v/>
      </c>
      <c r="Q130" s="28" t="str">
        <f t="shared" si="19"/>
        <v/>
      </c>
    </row>
    <row r="131" spans="1:17" ht="15" x14ac:dyDescent="0.25">
      <c r="A131" s="3" t="str">
        <f>IF('[1]0.1 Produksi Pangan &amp; Penduduk'!A132="","",'[1]0.1 Produksi Pangan &amp; Penduduk'!A132)</f>
        <v/>
      </c>
      <c r="B131" s="2" t="str">
        <f>IF('[1]0.1 Produksi Pangan &amp; Penduduk'!B132="","",'[1]0.1 Produksi Pangan &amp; Penduduk'!B132)</f>
        <v/>
      </c>
      <c r="C131" s="2" t="str">
        <f>IF('[1]0.1 Produksi Pangan &amp; Penduduk'!F132="","",'[1]0.1 Produksi Pangan &amp; Penduduk'!F132)</f>
        <v/>
      </c>
      <c r="D131" s="3" t="str">
        <f>IF('[1]0.1 Produksi Pangan &amp; Penduduk'!D132="","",'[1]0.1 Produksi Pangan &amp; Penduduk'!D132)</f>
        <v/>
      </c>
      <c r="E131" s="3" t="str">
        <f>IF('[1]0.1 Produksi Pangan &amp; Penduduk'!E132="","",'[1]0.1 Produksi Pangan &amp; Penduduk'!E132)</f>
        <v/>
      </c>
      <c r="F131" s="59" t="str">
        <f>IF(D131="","",VLOOKUP(D131,'[1]0.1 Produksi Pangan &amp; Penduduk'!$D$5:$J$860,7,0))</f>
        <v/>
      </c>
      <c r="G131" s="27" t="str">
        <f t="shared" si="10"/>
        <v/>
      </c>
      <c r="H131" s="27" t="str">
        <f t="shared" si="11"/>
        <v/>
      </c>
      <c r="I131" s="27" t="str">
        <f t="shared" si="12"/>
        <v/>
      </c>
      <c r="J131" s="27" t="str">
        <f t="shared" si="13"/>
        <v/>
      </c>
      <c r="K131" s="27" t="str">
        <f t="shared" si="14"/>
        <v/>
      </c>
      <c r="L131" s="59" t="str">
        <f>IF(D131="","",VLOOKUP(D131,'[1]0.1 Produksi Pangan &amp; Penduduk'!$D$5:$M$860,10,0))</f>
        <v/>
      </c>
      <c r="M131" s="28" t="str">
        <f t="shared" si="15"/>
        <v/>
      </c>
      <c r="N131" s="60" t="str">
        <f t="shared" si="16"/>
        <v/>
      </c>
      <c r="O131" s="60" t="str">
        <f t="shared" si="17"/>
        <v/>
      </c>
      <c r="P131" s="60" t="str">
        <f t="shared" si="18"/>
        <v/>
      </c>
      <c r="Q131" s="28" t="str">
        <f t="shared" si="19"/>
        <v/>
      </c>
    </row>
    <row r="132" spans="1:17" ht="15" x14ac:dyDescent="0.25">
      <c r="A132" s="3" t="str">
        <f>IF('[1]0.1 Produksi Pangan &amp; Penduduk'!A133="","",'[1]0.1 Produksi Pangan &amp; Penduduk'!A133)</f>
        <v/>
      </c>
      <c r="B132" s="2" t="str">
        <f>IF('[1]0.1 Produksi Pangan &amp; Penduduk'!B133="","",'[1]0.1 Produksi Pangan &amp; Penduduk'!B133)</f>
        <v/>
      </c>
      <c r="C132" s="2" t="str">
        <f>IF('[1]0.1 Produksi Pangan &amp; Penduduk'!F133="","",'[1]0.1 Produksi Pangan &amp; Penduduk'!F133)</f>
        <v/>
      </c>
      <c r="D132" s="3" t="str">
        <f>IF('[1]0.1 Produksi Pangan &amp; Penduduk'!D133="","",'[1]0.1 Produksi Pangan &amp; Penduduk'!D133)</f>
        <v/>
      </c>
      <c r="E132" s="3" t="str">
        <f>IF('[1]0.1 Produksi Pangan &amp; Penduduk'!E133="","",'[1]0.1 Produksi Pangan &amp; Penduduk'!E133)</f>
        <v/>
      </c>
      <c r="F132" s="59" t="str">
        <f>IF(D132="","",VLOOKUP(D132,'[1]0.1 Produksi Pangan &amp; Penduduk'!$D$5:$J$860,7,0))</f>
        <v/>
      </c>
      <c r="G132" s="27" t="str">
        <f t="shared" si="10"/>
        <v/>
      </c>
      <c r="H132" s="27" t="str">
        <f t="shared" si="11"/>
        <v/>
      </c>
      <c r="I132" s="27" t="str">
        <f t="shared" si="12"/>
        <v/>
      </c>
      <c r="J132" s="27" t="str">
        <f t="shared" si="13"/>
        <v/>
      </c>
      <c r="K132" s="27" t="str">
        <f t="shared" si="14"/>
        <v/>
      </c>
      <c r="L132" s="59" t="str">
        <f>IF(D132="","",VLOOKUP(D132,'[1]0.1 Produksi Pangan &amp; Penduduk'!$D$5:$M$860,10,0))</f>
        <v/>
      </c>
      <c r="M132" s="28" t="str">
        <f t="shared" si="15"/>
        <v/>
      </c>
      <c r="N132" s="60" t="str">
        <f t="shared" si="16"/>
        <v/>
      </c>
      <c r="O132" s="60" t="str">
        <f t="shared" si="17"/>
        <v/>
      </c>
      <c r="P132" s="60" t="str">
        <f t="shared" si="18"/>
        <v/>
      </c>
      <c r="Q132" s="28" t="str">
        <f t="shared" si="19"/>
        <v/>
      </c>
    </row>
    <row r="133" spans="1:17" ht="15" x14ac:dyDescent="0.25">
      <c r="A133" s="3" t="str">
        <f>IF('[1]0.1 Produksi Pangan &amp; Penduduk'!A134="","",'[1]0.1 Produksi Pangan &amp; Penduduk'!A134)</f>
        <v/>
      </c>
      <c r="B133" s="2" t="str">
        <f>IF('[1]0.1 Produksi Pangan &amp; Penduduk'!B134="","",'[1]0.1 Produksi Pangan &amp; Penduduk'!B134)</f>
        <v/>
      </c>
      <c r="C133" s="2" t="str">
        <f>IF('[1]0.1 Produksi Pangan &amp; Penduduk'!F134="","",'[1]0.1 Produksi Pangan &amp; Penduduk'!F134)</f>
        <v/>
      </c>
      <c r="D133" s="3" t="str">
        <f>IF('[1]0.1 Produksi Pangan &amp; Penduduk'!D134="","",'[1]0.1 Produksi Pangan &amp; Penduduk'!D134)</f>
        <v/>
      </c>
      <c r="E133" s="3" t="str">
        <f>IF('[1]0.1 Produksi Pangan &amp; Penduduk'!E134="","",'[1]0.1 Produksi Pangan &amp; Penduduk'!E134)</f>
        <v/>
      </c>
      <c r="F133" s="59" t="str">
        <f>IF(D133="","",VLOOKUP(D133,'[1]0.1 Produksi Pangan &amp; Penduduk'!$D$5:$J$860,7,0))</f>
        <v/>
      </c>
      <c r="G133" s="27" t="str">
        <f t="shared" si="10"/>
        <v/>
      </c>
      <c r="H133" s="27" t="str">
        <f t="shared" si="11"/>
        <v/>
      </c>
      <c r="I133" s="27" t="str">
        <f t="shared" si="12"/>
        <v/>
      </c>
      <c r="J133" s="27" t="str">
        <f t="shared" si="13"/>
        <v/>
      </c>
      <c r="K133" s="27" t="str">
        <f t="shared" si="14"/>
        <v/>
      </c>
      <c r="L133" s="59" t="str">
        <f>IF(D133="","",VLOOKUP(D133,'[1]0.1 Produksi Pangan &amp; Penduduk'!$D$5:$M$860,10,0))</f>
        <v/>
      </c>
      <c r="M133" s="28" t="str">
        <f t="shared" si="15"/>
        <v/>
      </c>
      <c r="N133" s="60" t="str">
        <f t="shared" si="16"/>
        <v/>
      </c>
      <c r="O133" s="60" t="str">
        <f t="shared" si="17"/>
        <v/>
      </c>
      <c r="P133" s="60" t="str">
        <f t="shared" si="18"/>
        <v/>
      </c>
      <c r="Q133" s="28" t="str">
        <f t="shared" si="19"/>
        <v/>
      </c>
    </row>
    <row r="134" spans="1:17" ht="15" x14ac:dyDescent="0.25">
      <c r="A134" s="3" t="str">
        <f>IF('[1]0.1 Produksi Pangan &amp; Penduduk'!A135="","",'[1]0.1 Produksi Pangan &amp; Penduduk'!A135)</f>
        <v/>
      </c>
      <c r="B134" s="2" t="str">
        <f>IF('[1]0.1 Produksi Pangan &amp; Penduduk'!B135="","",'[1]0.1 Produksi Pangan &amp; Penduduk'!B135)</f>
        <v/>
      </c>
      <c r="C134" s="2" t="str">
        <f>IF('[1]0.1 Produksi Pangan &amp; Penduduk'!F135="","",'[1]0.1 Produksi Pangan &amp; Penduduk'!F135)</f>
        <v/>
      </c>
      <c r="D134" s="3" t="str">
        <f>IF('[1]0.1 Produksi Pangan &amp; Penduduk'!D135="","",'[1]0.1 Produksi Pangan &amp; Penduduk'!D135)</f>
        <v/>
      </c>
      <c r="E134" s="3" t="str">
        <f>IF('[1]0.1 Produksi Pangan &amp; Penduduk'!E135="","",'[1]0.1 Produksi Pangan &amp; Penduduk'!E135)</f>
        <v/>
      </c>
      <c r="F134" s="59" t="str">
        <f>IF(D134="","",VLOOKUP(D134,'[1]0.1 Produksi Pangan &amp; Penduduk'!$D$5:$J$860,7,0))</f>
        <v/>
      </c>
      <c r="G134" s="27" t="str">
        <f t="shared" ref="G134:G197" si="20">IF(F134="","",F134*0.9%)</f>
        <v/>
      </c>
      <c r="H134" s="27" t="str">
        <f t="shared" ref="H134:H197" si="21">IF(F134="","",F134*0.44%)</f>
        <v/>
      </c>
      <c r="I134" s="27" t="str">
        <f t="shared" ref="I134:I197" si="22">IF(F134="","",F134*4.92%)</f>
        <v/>
      </c>
      <c r="J134" s="27" t="str">
        <f t="shared" ref="J134:J197" si="23">IF(F134="","",F134*0.56%)</f>
        <v/>
      </c>
      <c r="K134" s="27" t="str">
        <f t="shared" ref="K134:K197" si="24">IF(F134="","",F134-(G134+H134+I134+J134))</f>
        <v/>
      </c>
      <c r="L134" s="59" t="str">
        <f>IF(D134="","",VLOOKUP(D134,'[1]0.1 Produksi Pangan &amp; Penduduk'!$D$5:$M$860,10,0))</f>
        <v/>
      </c>
      <c r="M134" s="28" t="str">
        <f t="shared" ref="M134:M197" si="25">IFERROR(K134*L134,"")</f>
        <v/>
      </c>
      <c r="N134" s="60" t="str">
        <f t="shared" ref="N134:N197" si="26">IF(M134="","",M134*0.17%)</f>
        <v/>
      </c>
      <c r="O134" s="60" t="str">
        <f t="shared" ref="O134:O197" si="27">IF(M134="","",M134*2.5%)</f>
        <v/>
      </c>
      <c r="P134" s="60" t="str">
        <f t="shared" ref="P134:P197" si="28">IF(M134="","",M134*0.66%)</f>
        <v/>
      </c>
      <c r="Q134" s="28" t="str">
        <f t="shared" ref="Q134:Q197" si="29">IF(M134="","",M134-(N134+O134+P134))</f>
        <v/>
      </c>
    </row>
    <row r="135" spans="1:17" ht="15" x14ac:dyDescent="0.25">
      <c r="A135" s="3" t="str">
        <f>IF('[1]0.1 Produksi Pangan &amp; Penduduk'!A136="","",'[1]0.1 Produksi Pangan &amp; Penduduk'!A136)</f>
        <v/>
      </c>
      <c r="B135" s="2" t="str">
        <f>IF('[1]0.1 Produksi Pangan &amp; Penduduk'!B136="","",'[1]0.1 Produksi Pangan &amp; Penduduk'!B136)</f>
        <v/>
      </c>
      <c r="C135" s="2" t="str">
        <f>IF('[1]0.1 Produksi Pangan &amp; Penduduk'!F136="","",'[1]0.1 Produksi Pangan &amp; Penduduk'!F136)</f>
        <v/>
      </c>
      <c r="D135" s="3" t="str">
        <f>IF('[1]0.1 Produksi Pangan &amp; Penduduk'!D136="","",'[1]0.1 Produksi Pangan &amp; Penduduk'!D136)</f>
        <v/>
      </c>
      <c r="E135" s="3" t="str">
        <f>IF('[1]0.1 Produksi Pangan &amp; Penduduk'!E136="","",'[1]0.1 Produksi Pangan &amp; Penduduk'!E136)</f>
        <v/>
      </c>
      <c r="F135" s="59" t="str">
        <f>IF(D135="","",VLOOKUP(D135,'[1]0.1 Produksi Pangan &amp; Penduduk'!$D$5:$J$860,7,0))</f>
        <v/>
      </c>
      <c r="G135" s="27" t="str">
        <f t="shared" si="20"/>
        <v/>
      </c>
      <c r="H135" s="27" t="str">
        <f t="shared" si="21"/>
        <v/>
      </c>
      <c r="I135" s="27" t="str">
        <f t="shared" si="22"/>
        <v/>
      </c>
      <c r="J135" s="27" t="str">
        <f t="shared" si="23"/>
        <v/>
      </c>
      <c r="K135" s="27" t="str">
        <f t="shared" si="24"/>
        <v/>
      </c>
      <c r="L135" s="59" t="str">
        <f>IF(D135="","",VLOOKUP(D135,'[1]0.1 Produksi Pangan &amp; Penduduk'!$D$5:$M$860,10,0))</f>
        <v/>
      </c>
      <c r="M135" s="28" t="str">
        <f t="shared" si="25"/>
        <v/>
      </c>
      <c r="N135" s="60" t="str">
        <f t="shared" si="26"/>
        <v/>
      </c>
      <c r="O135" s="60" t="str">
        <f t="shared" si="27"/>
        <v/>
      </c>
      <c r="P135" s="60" t="str">
        <f t="shared" si="28"/>
        <v/>
      </c>
      <c r="Q135" s="28" t="str">
        <f t="shared" si="29"/>
        <v/>
      </c>
    </row>
    <row r="136" spans="1:17" ht="15" x14ac:dyDescent="0.25">
      <c r="A136" s="3" t="str">
        <f>IF('[1]0.1 Produksi Pangan &amp; Penduduk'!A137="","",'[1]0.1 Produksi Pangan &amp; Penduduk'!A137)</f>
        <v/>
      </c>
      <c r="B136" s="2" t="str">
        <f>IF('[1]0.1 Produksi Pangan &amp; Penduduk'!B137="","",'[1]0.1 Produksi Pangan &amp; Penduduk'!B137)</f>
        <v/>
      </c>
      <c r="C136" s="2" t="str">
        <f>IF('[1]0.1 Produksi Pangan &amp; Penduduk'!F137="","",'[1]0.1 Produksi Pangan &amp; Penduduk'!F137)</f>
        <v/>
      </c>
      <c r="D136" s="3" t="str">
        <f>IF('[1]0.1 Produksi Pangan &amp; Penduduk'!D137="","",'[1]0.1 Produksi Pangan &amp; Penduduk'!D137)</f>
        <v/>
      </c>
      <c r="E136" s="3" t="str">
        <f>IF('[1]0.1 Produksi Pangan &amp; Penduduk'!E137="","",'[1]0.1 Produksi Pangan &amp; Penduduk'!E137)</f>
        <v/>
      </c>
      <c r="F136" s="59" t="str">
        <f>IF(D136="","",VLOOKUP(D136,'[1]0.1 Produksi Pangan &amp; Penduduk'!$D$5:$J$860,7,0))</f>
        <v/>
      </c>
      <c r="G136" s="27" t="str">
        <f t="shared" si="20"/>
        <v/>
      </c>
      <c r="H136" s="27" t="str">
        <f t="shared" si="21"/>
        <v/>
      </c>
      <c r="I136" s="27" t="str">
        <f t="shared" si="22"/>
        <v/>
      </c>
      <c r="J136" s="27" t="str">
        <f t="shared" si="23"/>
        <v/>
      </c>
      <c r="K136" s="27" t="str">
        <f t="shared" si="24"/>
        <v/>
      </c>
      <c r="L136" s="59" t="str">
        <f>IF(D136="","",VLOOKUP(D136,'[1]0.1 Produksi Pangan &amp; Penduduk'!$D$5:$M$860,10,0))</f>
        <v/>
      </c>
      <c r="M136" s="28" t="str">
        <f t="shared" si="25"/>
        <v/>
      </c>
      <c r="N136" s="60" t="str">
        <f t="shared" si="26"/>
        <v/>
      </c>
      <c r="O136" s="60" t="str">
        <f t="shared" si="27"/>
        <v/>
      </c>
      <c r="P136" s="60" t="str">
        <f t="shared" si="28"/>
        <v/>
      </c>
      <c r="Q136" s="28" t="str">
        <f t="shared" si="29"/>
        <v/>
      </c>
    </row>
    <row r="137" spans="1:17" ht="15" x14ac:dyDescent="0.25">
      <c r="A137" s="3" t="str">
        <f>IF('[1]0.1 Produksi Pangan &amp; Penduduk'!A138="","",'[1]0.1 Produksi Pangan &amp; Penduduk'!A138)</f>
        <v/>
      </c>
      <c r="B137" s="2" t="str">
        <f>IF('[1]0.1 Produksi Pangan &amp; Penduduk'!B138="","",'[1]0.1 Produksi Pangan &amp; Penduduk'!B138)</f>
        <v/>
      </c>
      <c r="C137" s="2" t="str">
        <f>IF('[1]0.1 Produksi Pangan &amp; Penduduk'!F138="","",'[1]0.1 Produksi Pangan &amp; Penduduk'!F138)</f>
        <v/>
      </c>
      <c r="D137" s="3" t="str">
        <f>IF('[1]0.1 Produksi Pangan &amp; Penduduk'!D138="","",'[1]0.1 Produksi Pangan &amp; Penduduk'!D138)</f>
        <v/>
      </c>
      <c r="E137" s="3" t="str">
        <f>IF('[1]0.1 Produksi Pangan &amp; Penduduk'!E138="","",'[1]0.1 Produksi Pangan &amp; Penduduk'!E138)</f>
        <v/>
      </c>
      <c r="F137" s="59" t="str">
        <f>IF(D137="","",VLOOKUP(D137,'[1]0.1 Produksi Pangan &amp; Penduduk'!$D$5:$J$860,7,0))</f>
        <v/>
      </c>
      <c r="G137" s="27" t="str">
        <f t="shared" si="20"/>
        <v/>
      </c>
      <c r="H137" s="27" t="str">
        <f t="shared" si="21"/>
        <v/>
      </c>
      <c r="I137" s="27" t="str">
        <f t="shared" si="22"/>
        <v/>
      </c>
      <c r="J137" s="27" t="str">
        <f t="shared" si="23"/>
        <v/>
      </c>
      <c r="K137" s="27" t="str">
        <f t="shared" si="24"/>
        <v/>
      </c>
      <c r="L137" s="59" t="str">
        <f>IF(D137="","",VLOOKUP(D137,'[1]0.1 Produksi Pangan &amp; Penduduk'!$D$5:$M$860,10,0))</f>
        <v/>
      </c>
      <c r="M137" s="28" t="str">
        <f t="shared" si="25"/>
        <v/>
      </c>
      <c r="N137" s="60" t="str">
        <f t="shared" si="26"/>
        <v/>
      </c>
      <c r="O137" s="60" t="str">
        <f t="shared" si="27"/>
        <v/>
      </c>
      <c r="P137" s="60" t="str">
        <f t="shared" si="28"/>
        <v/>
      </c>
      <c r="Q137" s="28" t="str">
        <f t="shared" si="29"/>
        <v/>
      </c>
    </row>
    <row r="138" spans="1:17" ht="15" x14ac:dyDescent="0.25">
      <c r="A138" s="3" t="str">
        <f>IF('[1]0.1 Produksi Pangan &amp; Penduduk'!A139="","",'[1]0.1 Produksi Pangan &amp; Penduduk'!A139)</f>
        <v/>
      </c>
      <c r="B138" s="2" t="str">
        <f>IF('[1]0.1 Produksi Pangan &amp; Penduduk'!B139="","",'[1]0.1 Produksi Pangan &amp; Penduduk'!B139)</f>
        <v/>
      </c>
      <c r="C138" s="2" t="str">
        <f>IF('[1]0.1 Produksi Pangan &amp; Penduduk'!F139="","",'[1]0.1 Produksi Pangan &amp; Penduduk'!F139)</f>
        <v/>
      </c>
      <c r="D138" s="3" t="str">
        <f>IF('[1]0.1 Produksi Pangan &amp; Penduduk'!D139="","",'[1]0.1 Produksi Pangan &amp; Penduduk'!D139)</f>
        <v/>
      </c>
      <c r="E138" s="3" t="str">
        <f>IF('[1]0.1 Produksi Pangan &amp; Penduduk'!E139="","",'[1]0.1 Produksi Pangan &amp; Penduduk'!E139)</f>
        <v/>
      </c>
      <c r="F138" s="59" t="str">
        <f>IF(D138="","",VLOOKUP(D138,'[1]0.1 Produksi Pangan &amp; Penduduk'!$D$5:$J$860,7,0))</f>
        <v/>
      </c>
      <c r="G138" s="27" t="str">
        <f t="shared" si="20"/>
        <v/>
      </c>
      <c r="H138" s="27" t="str">
        <f t="shared" si="21"/>
        <v/>
      </c>
      <c r="I138" s="27" t="str">
        <f t="shared" si="22"/>
        <v/>
      </c>
      <c r="J138" s="27" t="str">
        <f t="shared" si="23"/>
        <v/>
      </c>
      <c r="K138" s="27" t="str">
        <f t="shared" si="24"/>
        <v/>
      </c>
      <c r="L138" s="59" t="str">
        <f>IF(D138="","",VLOOKUP(D138,'[1]0.1 Produksi Pangan &amp; Penduduk'!$D$5:$M$860,10,0))</f>
        <v/>
      </c>
      <c r="M138" s="28" t="str">
        <f t="shared" si="25"/>
        <v/>
      </c>
      <c r="N138" s="60" t="str">
        <f t="shared" si="26"/>
        <v/>
      </c>
      <c r="O138" s="60" t="str">
        <f t="shared" si="27"/>
        <v/>
      </c>
      <c r="P138" s="60" t="str">
        <f t="shared" si="28"/>
        <v/>
      </c>
      <c r="Q138" s="28" t="str">
        <f t="shared" si="29"/>
        <v/>
      </c>
    </row>
    <row r="139" spans="1:17" ht="15" x14ac:dyDescent="0.25">
      <c r="A139" s="3" t="str">
        <f>IF('[1]0.1 Produksi Pangan &amp; Penduduk'!A140="","",'[1]0.1 Produksi Pangan &amp; Penduduk'!A140)</f>
        <v/>
      </c>
      <c r="B139" s="2" t="str">
        <f>IF('[1]0.1 Produksi Pangan &amp; Penduduk'!B140="","",'[1]0.1 Produksi Pangan &amp; Penduduk'!B140)</f>
        <v/>
      </c>
      <c r="C139" s="2" t="str">
        <f>IF('[1]0.1 Produksi Pangan &amp; Penduduk'!F140="","",'[1]0.1 Produksi Pangan &amp; Penduduk'!F140)</f>
        <v/>
      </c>
      <c r="D139" s="3" t="str">
        <f>IF('[1]0.1 Produksi Pangan &amp; Penduduk'!D140="","",'[1]0.1 Produksi Pangan &amp; Penduduk'!D140)</f>
        <v/>
      </c>
      <c r="E139" s="3" t="str">
        <f>IF('[1]0.1 Produksi Pangan &amp; Penduduk'!E140="","",'[1]0.1 Produksi Pangan &amp; Penduduk'!E140)</f>
        <v/>
      </c>
      <c r="F139" s="59" t="str">
        <f>IF(D139="","",VLOOKUP(D139,'[1]0.1 Produksi Pangan &amp; Penduduk'!$D$5:$J$860,7,0))</f>
        <v/>
      </c>
      <c r="G139" s="27" t="str">
        <f t="shared" si="20"/>
        <v/>
      </c>
      <c r="H139" s="27" t="str">
        <f t="shared" si="21"/>
        <v/>
      </c>
      <c r="I139" s="27" t="str">
        <f t="shared" si="22"/>
        <v/>
      </c>
      <c r="J139" s="27" t="str">
        <f t="shared" si="23"/>
        <v/>
      </c>
      <c r="K139" s="27" t="str">
        <f t="shared" si="24"/>
        <v/>
      </c>
      <c r="L139" s="59" t="str">
        <f>IF(D139="","",VLOOKUP(D139,'[1]0.1 Produksi Pangan &amp; Penduduk'!$D$5:$M$860,10,0))</f>
        <v/>
      </c>
      <c r="M139" s="28" t="str">
        <f t="shared" si="25"/>
        <v/>
      </c>
      <c r="N139" s="60" t="str">
        <f t="shared" si="26"/>
        <v/>
      </c>
      <c r="O139" s="60" t="str">
        <f t="shared" si="27"/>
        <v/>
      </c>
      <c r="P139" s="60" t="str">
        <f t="shared" si="28"/>
        <v/>
      </c>
      <c r="Q139" s="28" t="str">
        <f t="shared" si="29"/>
        <v/>
      </c>
    </row>
    <row r="140" spans="1:17" ht="15" x14ac:dyDescent="0.25">
      <c r="A140" s="3" t="str">
        <f>IF('[1]0.1 Produksi Pangan &amp; Penduduk'!A141="","",'[1]0.1 Produksi Pangan &amp; Penduduk'!A141)</f>
        <v/>
      </c>
      <c r="B140" s="2" t="str">
        <f>IF('[1]0.1 Produksi Pangan &amp; Penduduk'!B141="","",'[1]0.1 Produksi Pangan &amp; Penduduk'!B141)</f>
        <v/>
      </c>
      <c r="C140" s="2" t="str">
        <f>IF('[1]0.1 Produksi Pangan &amp; Penduduk'!F141="","",'[1]0.1 Produksi Pangan &amp; Penduduk'!F141)</f>
        <v/>
      </c>
      <c r="D140" s="3" t="str">
        <f>IF('[1]0.1 Produksi Pangan &amp; Penduduk'!D141="","",'[1]0.1 Produksi Pangan &amp; Penduduk'!D141)</f>
        <v/>
      </c>
      <c r="E140" s="3" t="str">
        <f>IF('[1]0.1 Produksi Pangan &amp; Penduduk'!E141="","",'[1]0.1 Produksi Pangan &amp; Penduduk'!E141)</f>
        <v/>
      </c>
      <c r="F140" s="59" t="str">
        <f>IF(D140="","",VLOOKUP(D140,'[1]0.1 Produksi Pangan &amp; Penduduk'!$D$5:$J$860,7,0))</f>
        <v/>
      </c>
      <c r="G140" s="27" t="str">
        <f t="shared" si="20"/>
        <v/>
      </c>
      <c r="H140" s="27" t="str">
        <f t="shared" si="21"/>
        <v/>
      </c>
      <c r="I140" s="27" t="str">
        <f t="shared" si="22"/>
        <v/>
      </c>
      <c r="J140" s="27" t="str">
        <f t="shared" si="23"/>
        <v/>
      </c>
      <c r="K140" s="27" t="str">
        <f t="shared" si="24"/>
        <v/>
      </c>
      <c r="L140" s="59" t="str">
        <f>IF(D140="","",VLOOKUP(D140,'[1]0.1 Produksi Pangan &amp; Penduduk'!$D$5:$M$860,10,0))</f>
        <v/>
      </c>
      <c r="M140" s="28" t="str">
        <f t="shared" si="25"/>
        <v/>
      </c>
      <c r="N140" s="60" t="str">
        <f t="shared" si="26"/>
        <v/>
      </c>
      <c r="O140" s="60" t="str">
        <f t="shared" si="27"/>
        <v/>
      </c>
      <c r="P140" s="60" t="str">
        <f t="shared" si="28"/>
        <v/>
      </c>
      <c r="Q140" s="28" t="str">
        <f t="shared" si="29"/>
        <v/>
      </c>
    </row>
    <row r="141" spans="1:17" ht="15" x14ac:dyDescent="0.25">
      <c r="A141" s="3" t="str">
        <f>IF('[1]0.1 Produksi Pangan &amp; Penduduk'!A142="","",'[1]0.1 Produksi Pangan &amp; Penduduk'!A142)</f>
        <v/>
      </c>
      <c r="B141" s="2" t="str">
        <f>IF('[1]0.1 Produksi Pangan &amp; Penduduk'!B142="","",'[1]0.1 Produksi Pangan &amp; Penduduk'!B142)</f>
        <v/>
      </c>
      <c r="C141" s="2" t="str">
        <f>IF('[1]0.1 Produksi Pangan &amp; Penduduk'!F142="","",'[1]0.1 Produksi Pangan &amp; Penduduk'!F142)</f>
        <v/>
      </c>
      <c r="D141" s="3" t="str">
        <f>IF('[1]0.1 Produksi Pangan &amp; Penduduk'!D142="","",'[1]0.1 Produksi Pangan &amp; Penduduk'!D142)</f>
        <v/>
      </c>
      <c r="E141" s="3" t="str">
        <f>IF('[1]0.1 Produksi Pangan &amp; Penduduk'!E142="","",'[1]0.1 Produksi Pangan &amp; Penduduk'!E142)</f>
        <v/>
      </c>
      <c r="F141" s="59" t="str">
        <f>IF(D141="","",VLOOKUP(D141,'[1]0.1 Produksi Pangan &amp; Penduduk'!$D$5:$J$860,7,0))</f>
        <v/>
      </c>
      <c r="G141" s="27" t="str">
        <f t="shared" si="20"/>
        <v/>
      </c>
      <c r="H141" s="27" t="str">
        <f t="shared" si="21"/>
        <v/>
      </c>
      <c r="I141" s="27" t="str">
        <f t="shared" si="22"/>
        <v/>
      </c>
      <c r="J141" s="27" t="str">
        <f t="shared" si="23"/>
        <v/>
      </c>
      <c r="K141" s="27" t="str">
        <f t="shared" si="24"/>
        <v/>
      </c>
      <c r="L141" s="59" t="str">
        <f>IF(D141="","",VLOOKUP(D141,'[1]0.1 Produksi Pangan &amp; Penduduk'!$D$5:$M$860,10,0))</f>
        <v/>
      </c>
      <c r="M141" s="28" t="str">
        <f t="shared" si="25"/>
        <v/>
      </c>
      <c r="N141" s="60" t="str">
        <f t="shared" si="26"/>
        <v/>
      </c>
      <c r="O141" s="60" t="str">
        <f t="shared" si="27"/>
        <v/>
      </c>
      <c r="P141" s="60" t="str">
        <f t="shared" si="28"/>
        <v/>
      </c>
      <c r="Q141" s="28" t="str">
        <f t="shared" si="29"/>
        <v/>
      </c>
    </row>
    <row r="142" spans="1:17" ht="15" x14ac:dyDescent="0.25">
      <c r="A142" s="3" t="str">
        <f>IF('[1]0.1 Produksi Pangan &amp; Penduduk'!A143="","",'[1]0.1 Produksi Pangan &amp; Penduduk'!A143)</f>
        <v/>
      </c>
      <c r="B142" s="2" t="str">
        <f>IF('[1]0.1 Produksi Pangan &amp; Penduduk'!B143="","",'[1]0.1 Produksi Pangan &amp; Penduduk'!B143)</f>
        <v/>
      </c>
      <c r="C142" s="2" t="str">
        <f>IF('[1]0.1 Produksi Pangan &amp; Penduduk'!F143="","",'[1]0.1 Produksi Pangan &amp; Penduduk'!F143)</f>
        <v/>
      </c>
      <c r="D142" s="3" t="str">
        <f>IF('[1]0.1 Produksi Pangan &amp; Penduduk'!D143="","",'[1]0.1 Produksi Pangan &amp; Penduduk'!D143)</f>
        <v/>
      </c>
      <c r="E142" s="3" t="str">
        <f>IF('[1]0.1 Produksi Pangan &amp; Penduduk'!E143="","",'[1]0.1 Produksi Pangan &amp; Penduduk'!E143)</f>
        <v/>
      </c>
      <c r="F142" s="59" t="str">
        <f>IF(D142="","",VLOOKUP(D142,'[1]0.1 Produksi Pangan &amp; Penduduk'!$D$5:$J$860,7,0))</f>
        <v/>
      </c>
      <c r="G142" s="27" t="str">
        <f t="shared" si="20"/>
        <v/>
      </c>
      <c r="H142" s="27" t="str">
        <f t="shared" si="21"/>
        <v/>
      </c>
      <c r="I142" s="27" t="str">
        <f t="shared" si="22"/>
        <v/>
      </c>
      <c r="J142" s="27" t="str">
        <f t="shared" si="23"/>
        <v/>
      </c>
      <c r="K142" s="27" t="str">
        <f t="shared" si="24"/>
        <v/>
      </c>
      <c r="L142" s="59" t="str">
        <f>IF(D142="","",VLOOKUP(D142,'[1]0.1 Produksi Pangan &amp; Penduduk'!$D$5:$M$860,10,0))</f>
        <v/>
      </c>
      <c r="M142" s="28" t="str">
        <f t="shared" si="25"/>
        <v/>
      </c>
      <c r="N142" s="60" t="str">
        <f t="shared" si="26"/>
        <v/>
      </c>
      <c r="O142" s="60" t="str">
        <f t="shared" si="27"/>
        <v/>
      </c>
      <c r="P142" s="60" t="str">
        <f t="shared" si="28"/>
        <v/>
      </c>
      <c r="Q142" s="28" t="str">
        <f t="shared" si="29"/>
        <v/>
      </c>
    </row>
    <row r="143" spans="1:17" ht="15" x14ac:dyDescent="0.25">
      <c r="A143" s="3" t="str">
        <f>IF('[1]0.1 Produksi Pangan &amp; Penduduk'!A144="","",'[1]0.1 Produksi Pangan &amp; Penduduk'!A144)</f>
        <v/>
      </c>
      <c r="B143" s="2" t="str">
        <f>IF('[1]0.1 Produksi Pangan &amp; Penduduk'!B144="","",'[1]0.1 Produksi Pangan &amp; Penduduk'!B144)</f>
        <v/>
      </c>
      <c r="C143" s="2" t="str">
        <f>IF('[1]0.1 Produksi Pangan &amp; Penduduk'!F144="","",'[1]0.1 Produksi Pangan &amp; Penduduk'!F144)</f>
        <v/>
      </c>
      <c r="D143" s="3" t="str">
        <f>IF('[1]0.1 Produksi Pangan &amp; Penduduk'!D144="","",'[1]0.1 Produksi Pangan &amp; Penduduk'!D144)</f>
        <v/>
      </c>
      <c r="E143" s="3" t="str">
        <f>IF('[1]0.1 Produksi Pangan &amp; Penduduk'!E144="","",'[1]0.1 Produksi Pangan &amp; Penduduk'!E144)</f>
        <v/>
      </c>
      <c r="F143" s="59" t="str">
        <f>IF(D143="","",VLOOKUP(D143,'[1]0.1 Produksi Pangan &amp; Penduduk'!$D$5:$J$860,7,0))</f>
        <v/>
      </c>
      <c r="G143" s="27" t="str">
        <f t="shared" si="20"/>
        <v/>
      </c>
      <c r="H143" s="27" t="str">
        <f t="shared" si="21"/>
        <v/>
      </c>
      <c r="I143" s="27" t="str">
        <f t="shared" si="22"/>
        <v/>
      </c>
      <c r="J143" s="27" t="str">
        <f t="shared" si="23"/>
        <v/>
      </c>
      <c r="K143" s="27" t="str">
        <f t="shared" si="24"/>
        <v/>
      </c>
      <c r="L143" s="59" t="str">
        <f>IF(D143="","",VLOOKUP(D143,'[1]0.1 Produksi Pangan &amp; Penduduk'!$D$5:$M$860,10,0))</f>
        <v/>
      </c>
      <c r="M143" s="28" t="str">
        <f t="shared" si="25"/>
        <v/>
      </c>
      <c r="N143" s="60" t="str">
        <f t="shared" si="26"/>
        <v/>
      </c>
      <c r="O143" s="60" t="str">
        <f t="shared" si="27"/>
        <v/>
      </c>
      <c r="P143" s="60" t="str">
        <f t="shared" si="28"/>
        <v/>
      </c>
      <c r="Q143" s="28" t="str">
        <f t="shared" si="29"/>
        <v/>
      </c>
    </row>
    <row r="144" spans="1:17" ht="15" x14ac:dyDescent="0.25">
      <c r="A144" s="3" t="str">
        <f>IF('[1]0.1 Produksi Pangan &amp; Penduduk'!A145="","",'[1]0.1 Produksi Pangan &amp; Penduduk'!A145)</f>
        <v/>
      </c>
      <c r="B144" s="2" t="str">
        <f>IF('[1]0.1 Produksi Pangan &amp; Penduduk'!B145="","",'[1]0.1 Produksi Pangan &amp; Penduduk'!B145)</f>
        <v/>
      </c>
      <c r="C144" s="2" t="str">
        <f>IF('[1]0.1 Produksi Pangan &amp; Penduduk'!F145="","",'[1]0.1 Produksi Pangan &amp; Penduduk'!F145)</f>
        <v/>
      </c>
      <c r="D144" s="3" t="str">
        <f>IF('[1]0.1 Produksi Pangan &amp; Penduduk'!D145="","",'[1]0.1 Produksi Pangan &amp; Penduduk'!D145)</f>
        <v/>
      </c>
      <c r="E144" s="3" t="str">
        <f>IF('[1]0.1 Produksi Pangan &amp; Penduduk'!E145="","",'[1]0.1 Produksi Pangan &amp; Penduduk'!E145)</f>
        <v/>
      </c>
      <c r="F144" s="59" t="str">
        <f>IF(D144="","",VLOOKUP(D144,'[1]0.1 Produksi Pangan &amp; Penduduk'!$D$5:$J$860,7,0))</f>
        <v/>
      </c>
      <c r="G144" s="27" t="str">
        <f t="shared" si="20"/>
        <v/>
      </c>
      <c r="H144" s="27" t="str">
        <f t="shared" si="21"/>
        <v/>
      </c>
      <c r="I144" s="27" t="str">
        <f t="shared" si="22"/>
        <v/>
      </c>
      <c r="J144" s="27" t="str">
        <f t="shared" si="23"/>
        <v/>
      </c>
      <c r="K144" s="27" t="str">
        <f t="shared" si="24"/>
        <v/>
      </c>
      <c r="L144" s="59" t="str">
        <f>IF(D144="","",VLOOKUP(D144,'[1]0.1 Produksi Pangan &amp; Penduduk'!$D$5:$M$860,10,0))</f>
        <v/>
      </c>
      <c r="M144" s="28" t="str">
        <f t="shared" si="25"/>
        <v/>
      </c>
      <c r="N144" s="60" t="str">
        <f t="shared" si="26"/>
        <v/>
      </c>
      <c r="O144" s="60" t="str">
        <f t="shared" si="27"/>
        <v/>
      </c>
      <c r="P144" s="60" t="str">
        <f t="shared" si="28"/>
        <v/>
      </c>
      <c r="Q144" s="28" t="str">
        <f t="shared" si="29"/>
        <v/>
      </c>
    </row>
    <row r="145" spans="1:17" ht="15" x14ac:dyDescent="0.25">
      <c r="A145" s="3" t="str">
        <f>IF('[1]0.1 Produksi Pangan &amp; Penduduk'!A146="","",'[1]0.1 Produksi Pangan &amp; Penduduk'!A146)</f>
        <v/>
      </c>
      <c r="B145" s="2" t="str">
        <f>IF('[1]0.1 Produksi Pangan &amp; Penduduk'!B146="","",'[1]0.1 Produksi Pangan &amp; Penduduk'!B146)</f>
        <v/>
      </c>
      <c r="C145" s="2" t="str">
        <f>IF('[1]0.1 Produksi Pangan &amp; Penduduk'!F146="","",'[1]0.1 Produksi Pangan &amp; Penduduk'!F146)</f>
        <v/>
      </c>
      <c r="D145" s="3" t="str">
        <f>IF('[1]0.1 Produksi Pangan &amp; Penduduk'!D146="","",'[1]0.1 Produksi Pangan &amp; Penduduk'!D146)</f>
        <v/>
      </c>
      <c r="E145" s="3" t="str">
        <f>IF('[1]0.1 Produksi Pangan &amp; Penduduk'!E146="","",'[1]0.1 Produksi Pangan &amp; Penduduk'!E146)</f>
        <v/>
      </c>
      <c r="F145" s="59" t="str">
        <f>IF(D145="","",VLOOKUP(D145,'[1]0.1 Produksi Pangan &amp; Penduduk'!$D$5:$J$860,7,0))</f>
        <v/>
      </c>
      <c r="G145" s="27" t="str">
        <f t="shared" si="20"/>
        <v/>
      </c>
      <c r="H145" s="27" t="str">
        <f t="shared" si="21"/>
        <v/>
      </c>
      <c r="I145" s="27" t="str">
        <f t="shared" si="22"/>
        <v/>
      </c>
      <c r="J145" s="27" t="str">
        <f t="shared" si="23"/>
        <v/>
      </c>
      <c r="K145" s="27" t="str">
        <f t="shared" si="24"/>
        <v/>
      </c>
      <c r="L145" s="59" t="str">
        <f>IF(D145="","",VLOOKUP(D145,'[1]0.1 Produksi Pangan &amp; Penduduk'!$D$5:$M$860,10,0))</f>
        <v/>
      </c>
      <c r="M145" s="28" t="str">
        <f t="shared" si="25"/>
        <v/>
      </c>
      <c r="N145" s="60" t="str">
        <f t="shared" si="26"/>
        <v/>
      </c>
      <c r="O145" s="60" t="str">
        <f t="shared" si="27"/>
        <v/>
      </c>
      <c r="P145" s="60" t="str">
        <f t="shared" si="28"/>
        <v/>
      </c>
      <c r="Q145" s="28" t="str">
        <f t="shared" si="29"/>
        <v/>
      </c>
    </row>
    <row r="146" spans="1:17" ht="15" x14ac:dyDescent="0.25">
      <c r="A146" s="3" t="str">
        <f>IF('[1]0.1 Produksi Pangan &amp; Penduduk'!A147="","",'[1]0.1 Produksi Pangan &amp; Penduduk'!A147)</f>
        <v/>
      </c>
      <c r="B146" s="2" t="str">
        <f>IF('[1]0.1 Produksi Pangan &amp; Penduduk'!B147="","",'[1]0.1 Produksi Pangan &amp; Penduduk'!B147)</f>
        <v/>
      </c>
      <c r="C146" s="2" t="str">
        <f>IF('[1]0.1 Produksi Pangan &amp; Penduduk'!F147="","",'[1]0.1 Produksi Pangan &amp; Penduduk'!F147)</f>
        <v/>
      </c>
      <c r="D146" s="3" t="str">
        <f>IF('[1]0.1 Produksi Pangan &amp; Penduduk'!D147="","",'[1]0.1 Produksi Pangan &amp; Penduduk'!D147)</f>
        <v/>
      </c>
      <c r="E146" s="3" t="str">
        <f>IF('[1]0.1 Produksi Pangan &amp; Penduduk'!E147="","",'[1]0.1 Produksi Pangan &amp; Penduduk'!E147)</f>
        <v/>
      </c>
      <c r="F146" s="59" t="str">
        <f>IF(D146="","",VLOOKUP(D146,'[1]0.1 Produksi Pangan &amp; Penduduk'!$D$5:$J$860,7,0))</f>
        <v/>
      </c>
      <c r="G146" s="27" t="str">
        <f t="shared" si="20"/>
        <v/>
      </c>
      <c r="H146" s="27" t="str">
        <f t="shared" si="21"/>
        <v/>
      </c>
      <c r="I146" s="27" t="str">
        <f t="shared" si="22"/>
        <v/>
      </c>
      <c r="J146" s="27" t="str">
        <f t="shared" si="23"/>
        <v/>
      </c>
      <c r="K146" s="27" t="str">
        <f t="shared" si="24"/>
        <v/>
      </c>
      <c r="L146" s="59" t="str">
        <f>IF(D146="","",VLOOKUP(D146,'[1]0.1 Produksi Pangan &amp; Penduduk'!$D$5:$M$860,10,0))</f>
        <v/>
      </c>
      <c r="M146" s="28" t="str">
        <f t="shared" si="25"/>
        <v/>
      </c>
      <c r="N146" s="60" t="str">
        <f t="shared" si="26"/>
        <v/>
      </c>
      <c r="O146" s="60" t="str">
        <f t="shared" si="27"/>
        <v/>
      </c>
      <c r="P146" s="60" t="str">
        <f t="shared" si="28"/>
        <v/>
      </c>
      <c r="Q146" s="28" t="str">
        <f t="shared" si="29"/>
        <v/>
      </c>
    </row>
    <row r="147" spans="1:17" ht="15" x14ac:dyDescent="0.25">
      <c r="A147" s="3" t="str">
        <f>IF('[1]0.1 Produksi Pangan &amp; Penduduk'!A148="","",'[1]0.1 Produksi Pangan &amp; Penduduk'!A148)</f>
        <v/>
      </c>
      <c r="B147" s="2" t="str">
        <f>IF('[1]0.1 Produksi Pangan &amp; Penduduk'!B148="","",'[1]0.1 Produksi Pangan &amp; Penduduk'!B148)</f>
        <v/>
      </c>
      <c r="C147" s="2" t="str">
        <f>IF('[1]0.1 Produksi Pangan &amp; Penduduk'!F148="","",'[1]0.1 Produksi Pangan &amp; Penduduk'!F148)</f>
        <v/>
      </c>
      <c r="D147" s="3" t="str">
        <f>IF('[1]0.1 Produksi Pangan &amp; Penduduk'!D148="","",'[1]0.1 Produksi Pangan &amp; Penduduk'!D148)</f>
        <v/>
      </c>
      <c r="E147" s="3" t="str">
        <f>IF('[1]0.1 Produksi Pangan &amp; Penduduk'!E148="","",'[1]0.1 Produksi Pangan &amp; Penduduk'!E148)</f>
        <v/>
      </c>
      <c r="F147" s="59" t="str">
        <f>IF(D147="","",VLOOKUP(D147,'[1]0.1 Produksi Pangan &amp; Penduduk'!$D$5:$J$860,7,0))</f>
        <v/>
      </c>
      <c r="G147" s="27" t="str">
        <f t="shared" si="20"/>
        <v/>
      </c>
      <c r="H147" s="27" t="str">
        <f t="shared" si="21"/>
        <v/>
      </c>
      <c r="I147" s="27" t="str">
        <f t="shared" si="22"/>
        <v/>
      </c>
      <c r="J147" s="27" t="str">
        <f t="shared" si="23"/>
        <v/>
      </c>
      <c r="K147" s="27" t="str">
        <f t="shared" si="24"/>
        <v/>
      </c>
      <c r="L147" s="59" t="str">
        <f>IF(D147="","",VLOOKUP(D147,'[1]0.1 Produksi Pangan &amp; Penduduk'!$D$5:$M$860,10,0))</f>
        <v/>
      </c>
      <c r="M147" s="28" t="str">
        <f t="shared" si="25"/>
        <v/>
      </c>
      <c r="N147" s="60" t="str">
        <f t="shared" si="26"/>
        <v/>
      </c>
      <c r="O147" s="60" t="str">
        <f t="shared" si="27"/>
        <v/>
      </c>
      <c r="P147" s="60" t="str">
        <f t="shared" si="28"/>
        <v/>
      </c>
      <c r="Q147" s="28" t="str">
        <f t="shared" si="29"/>
        <v/>
      </c>
    </row>
    <row r="148" spans="1:17" ht="15" x14ac:dyDescent="0.25">
      <c r="A148" s="3" t="str">
        <f>IF('[1]0.1 Produksi Pangan &amp; Penduduk'!A149="","",'[1]0.1 Produksi Pangan &amp; Penduduk'!A149)</f>
        <v/>
      </c>
      <c r="B148" s="2" t="str">
        <f>IF('[1]0.1 Produksi Pangan &amp; Penduduk'!B149="","",'[1]0.1 Produksi Pangan &amp; Penduduk'!B149)</f>
        <v/>
      </c>
      <c r="C148" s="2" t="str">
        <f>IF('[1]0.1 Produksi Pangan &amp; Penduduk'!F149="","",'[1]0.1 Produksi Pangan &amp; Penduduk'!F149)</f>
        <v/>
      </c>
      <c r="D148" s="3" t="str">
        <f>IF('[1]0.1 Produksi Pangan &amp; Penduduk'!D149="","",'[1]0.1 Produksi Pangan &amp; Penduduk'!D149)</f>
        <v/>
      </c>
      <c r="E148" s="3" t="str">
        <f>IF('[1]0.1 Produksi Pangan &amp; Penduduk'!E149="","",'[1]0.1 Produksi Pangan &amp; Penduduk'!E149)</f>
        <v/>
      </c>
      <c r="F148" s="59" t="str">
        <f>IF(D148="","",VLOOKUP(D148,'[1]0.1 Produksi Pangan &amp; Penduduk'!$D$5:$J$860,7,0))</f>
        <v/>
      </c>
      <c r="G148" s="27" t="str">
        <f t="shared" si="20"/>
        <v/>
      </c>
      <c r="H148" s="27" t="str">
        <f t="shared" si="21"/>
        <v/>
      </c>
      <c r="I148" s="27" t="str">
        <f t="shared" si="22"/>
        <v/>
      </c>
      <c r="J148" s="27" t="str">
        <f t="shared" si="23"/>
        <v/>
      </c>
      <c r="K148" s="27" t="str">
        <f t="shared" si="24"/>
        <v/>
      </c>
      <c r="L148" s="59" t="str">
        <f>IF(D148="","",VLOOKUP(D148,'[1]0.1 Produksi Pangan &amp; Penduduk'!$D$5:$M$860,10,0))</f>
        <v/>
      </c>
      <c r="M148" s="28" t="str">
        <f t="shared" si="25"/>
        <v/>
      </c>
      <c r="N148" s="60" t="str">
        <f t="shared" si="26"/>
        <v/>
      </c>
      <c r="O148" s="60" t="str">
        <f t="shared" si="27"/>
        <v/>
      </c>
      <c r="P148" s="60" t="str">
        <f t="shared" si="28"/>
        <v/>
      </c>
      <c r="Q148" s="28" t="str">
        <f t="shared" si="29"/>
        <v/>
      </c>
    </row>
    <row r="149" spans="1:17" ht="15" x14ac:dyDescent="0.25">
      <c r="A149" s="3" t="str">
        <f>IF('[1]0.1 Produksi Pangan &amp; Penduduk'!A150="","",'[1]0.1 Produksi Pangan &amp; Penduduk'!A150)</f>
        <v/>
      </c>
      <c r="B149" s="2" t="str">
        <f>IF('[1]0.1 Produksi Pangan &amp; Penduduk'!B150="","",'[1]0.1 Produksi Pangan &amp; Penduduk'!B150)</f>
        <v/>
      </c>
      <c r="C149" s="2" t="str">
        <f>IF('[1]0.1 Produksi Pangan &amp; Penduduk'!F150="","",'[1]0.1 Produksi Pangan &amp; Penduduk'!F150)</f>
        <v/>
      </c>
      <c r="D149" s="3" t="str">
        <f>IF('[1]0.1 Produksi Pangan &amp; Penduduk'!D150="","",'[1]0.1 Produksi Pangan &amp; Penduduk'!D150)</f>
        <v/>
      </c>
      <c r="E149" s="3" t="str">
        <f>IF('[1]0.1 Produksi Pangan &amp; Penduduk'!E150="","",'[1]0.1 Produksi Pangan &amp; Penduduk'!E150)</f>
        <v/>
      </c>
      <c r="F149" s="59" t="str">
        <f>IF(D149="","",VLOOKUP(D149,'[1]0.1 Produksi Pangan &amp; Penduduk'!$D$5:$J$860,7,0))</f>
        <v/>
      </c>
      <c r="G149" s="27" t="str">
        <f t="shared" si="20"/>
        <v/>
      </c>
      <c r="H149" s="27" t="str">
        <f t="shared" si="21"/>
        <v/>
      </c>
      <c r="I149" s="27" t="str">
        <f t="shared" si="22"/>
        <v/>
      </c>
      <c r="J149" s="27" t="str">
        <f t="shared" si="23"/>
        <v/>
      </c>
      <c r="K149" s="27" t="str">
        <f t="shared" si="24"/>
        <v/>
      </c>
      <c r="L149" s="59" t="str">
        <f>IF(D149="","",VLOOKUP(D149,'[1]0.1 Produksi Pangan &amp; Penduduk'!$D$5:$M$860,10,0))</f>
        <v/>
      </c>
      <c r="M149" s="28" t="str">
        <f t="shared" si="25"/>
        <v/>
      </c>
      <c r="N149" s="60" t="str">
        <f t="shared" si="26"/>
        <v/>
      </c>
      <c r="O149" s="60" t="str">
        <f t="shared" si="27"/>
        <v/>
      </c>
      <c r="P149" s="60" t="str">
        <f t="shared" si="28"/>
        <v/>
      </c>
      <c r="Q149" s="28" t="str">
        <f t="shared" si="29"/>
        <v/>
      </c>
    </row>
    <row r="150" spans="1:17" ht="15" x14ac:dyDescent="0.25">
      <c r="A150" s="3" t="str">
        <f>IF('[1]0.1 Produksi Pangan &amp; Penduduk'!A151="","",'[1]0.1 Produksi Pangan &amp; Penduduk'!A151)</f>
        <v/>
      </c>
      <c r="B150" s="2" t="str">
        <f>IF('[1]0.1 Produksi Pangan &amp; Penduduk'!B151="","",'[1]0.1 Produksi Pangan &amp; Penduduk'!B151)</f>
        <v/>
      </c>
      <c r="C150" s="2" t="str">
        <f>IF('[1]0.1 Produksi Pangan &amp; Penduduk'!F151="","",'[1]0.1 Produksi Pangan &amp; Penduduk'!F151)</f>
        <v/>
      </c>
      <c r="D150" s="3" t="str">
        <f>IF('[1]0.1 Produksi Pangan &amp; Penduduk'!D151="","",'[1]0.1 Produksi Pangan &amp; Penduduk'!D151)</f>
        <v/>
      </c>
      <c r="E150" s="3" t="str">
        <f>IF('[1]0.1 Produksi Pangan &amp; Penduduk'!E151="","",'[1]0.1 Produksi Pangan &amp; Penduduk'!E151)</f>
        <v/>
      </c>
      <c r="F150" s="59" t="str">
        <f>IF(D150="","",VLOOKUP(D150,'[1]0.1 Produksi Pangan &amp; Penduduk'!$D$5:$J$860,7,0))</f>
        <v/>
      </c>
      <c r="G150" s="27" t="str">
        <f t="shared" si="20"/>
        <v/>
      </c>
      <c r="H150" s="27" t="str">
        <f t="shared" si="21"/>
        <v/>
      </c>
      <c r="I150" s="27" t="str">
        <f t="shared" si="22"/>
        <v/>
      </c>
      <c r="J150" s="27" t="str">
        <f t="shared" si="23"/>
        <v/>
      </c>
      <c r="K150" s="27" t="str">
        <f t="shared" si="24"/>
        <v/>
      </c>
      <c r="L150" s="59" t="str">
        <f>IF(D150="","",VLOOKUP(D150,'[1]0.1 Produksi Pangan &amp; Penduduk'!$D$5:$M$860,10,0))</f>
        <v/>
      </c>
      <c r="M150" s="28" t="str">
        <f t="shared" si="25"/>
        <v/>
      </c>
      <c r="N150" s="60" t="str">
        <f t="shared" si="26"/>
        <v/>
      </c>
      <c r="O150" s="60" t="str">
        <f t="shared" si="27"/>
        <v/>
      </c>
      <c r="P150" s="60" t="str">
        <f t="shared" si="28"/>
        <v/>
      </c>
      <c r="Q150" s="28" t="str">
        <f t="shared" si="29"/>
        <v/>
      </c>
    </row>
    <row r="151" spans="1:17" ht="15" x14ac:dyDescent="0.25">
      <c r="A151" s="3" t="str">
        <f>IF('[1]0.1 Produksi Pangan &amp; Penduduk'!A152="","",'[1]0.1 Produksi Pangan &amp; Penduduk'!A152)</f>
        <v/>
      </c>
      <c r="B151" s="2" t="str">
        <f>IF('[1]0.1 Produksi Pangan &amp; Penduduk'!B152="","",'[1]0.1 Produksi Pangan &amp; Penduduk'!B152)</f>
        <v/>
      </c>
      <c r="C151" s="2" t="str">
        <f>IF('[1]0.1 Produksi Pangan &amp; Penduduk'!F152="","",'[1]0.1 Produksi Pangan &amp; Penduduk'!F152)</f>
        <v/>
      </c>
      <c r="D151" s="3" t="str">
        <f>IF('[1]0.1 Produksi Pangan &amp; Penduduk'!D152="","",'[1]0.1 Produksi Pangan &amp; Penduduk'!D152)</f>
        <v/>
      </c>
      <c r="E151" s="3" t="str">
        <f>IF('[1]0.1 Produksi Pangan &amp; Penduduk'!E152="","",'[1]0.1 Produksi Pangan &amp; Penduduk'!E152)</f>
        <v/>
      </c>
      <c r="F151" s="59" t="str">
        <f>IF(D151="","",VLOOKUP(D151,'[1]0.1 Produksi Pangan &amp; Penduduk'!$D$5:$J$860,7,0))</f>
        <v/>
      </c>
      <c r="G151" s="27" t="str">
        <f t="shared" si="20"/>
        <v/>
      </c>
      <c r="H151" s="27" t="str">
        <f t="shared" si="21"/>
        <v/>
      </c>
      <c r="I151" s="27" t="str">
        <f t="shared" si="22"/>
        <v/>
      </c>
      <c r="J151" s="27" t="str">
        <f t="shared" si="23"/>
        <v/>
      </c>
      <c r="K151" s="27" t="str">
        <f t="shared" si="24"/>
        <v/>
      </c>
      <c r="L151" s="59" t="str">
        <f>IF(D151="","",VLOOKUP(D151,'[1]0.1 Produksi Pangan &amp; Penduduk'!$D$5:$M$860,10,0))</f>
        <v/>
      </c>
      <c r="M151" s="28" t="str">
        <f t="shared" si="25"/>
        <v/>
      </c>
      <c r="N151" s="60" t="str">
        <f t="shared" si="26"/>
        <v/>
      </c>
      <c r="O151" s="60" t="str">
        <f t="shared" si="27"/>
        <v/>
      </c>
      <c r="P151" s="60" t="str">
        <f t="shared" si="28"/>
        <v/>
      </c>
      <c r="Q151" s="28" t="str">
        <f t="shared" si="29"/>
        <v/>
      </c>
    </row>
    <row r="152" spans="1:17" ht="15" x14ac:dyDescent="0.25">
      <c r="A152" s="3" t="str">
        <f>IF('[1]0.1 Produksi Pangan &amp; Penduduk'!A153="","",'[1]0.1 Produksi Pangan &amp; Penduduk'!A153)</f>
        <v/>
      </c>
      <c r="B152" s="2" t="str">
        <f>IF('[1]0.1 Produksi Pangan &amp; Penduduk'!B153="","",'[1]0.1 Produksi Pangan &amp; Penduduk'!B153)</f>
        <v/>
      </c>
      <c r="C152" s="2" t="str">
        <f>IF('[1]0.1 Produksi Pangan &amp; Penduduk'!F153="","",'[1]0.1 Produksi Pangan &amp; Penduduk'!F153)</f>
        <v/>
      </c>
      <c r="D152" s="3" t="str">
        <f>IF('[1]0.1 Produksi Pangan &amp; Penduduk'!D153="","",'[1]0.1 Produksi Pangan &amp; Penduduk'!D153)</f>
        <v/>
      </c>
      <c r="E152" s="3" t="str">
        <f>IF('[1]0.1 Produksi Pangan &amp; Penduduk'!E153="","",'[1]0.1 Produksi Pangan &amp; Penduduk'!E153)</f>
        <v/>
      </c>
      <c r="F152" s="59" t="str">
        <f>IF(D152="","",VLOOKUP(D152,'[1]0.1 Produksi Pangan &amp; Penduduk'!$D$5:$J$860,7,0))</f>
        <v/>
      </c>
      <c r="G152" s="27" t="str">
        <f t="shared" si="20"/>
        <v/>
      </c>
      <c r="H152" s="27" t="str">
        <f t="shared" si="21"/>
        <v/>
      </c>
      <c r="I152" s="27" t="str">
        <f t="shared" si="22"/>
        <v/>
      </c>
      <c r="J152" s="27" t="str">
        <f t="shared" si="23"/>
        <v/>
      </c>
      <c r="K152" s="27" t="str">
        <f t="shared" si="24"/>
        <v/>
      </c>
      <c r="L152" s="59" t="str">
        <f>IF(D152="","",VLOOKUP(D152,'[1]0.1 Produksi Pangan &amp; Penduduk'!$D$5:$M$860,10,0))</f>
        <v/>
      </c>
      <c r="M152" s="28" t="str">
        <f t="shared" si="25"/>
        <v/>
      </c>
      <c r="N152" s="60" t="str">
        <f t="shared" si="26"/>
        <v/>
      </c>
      <c r="O152" s="60" t="str">
        <f t="shared" si="27"/>
        <v/>
      </c>
      <c r="P152" s="60" t="str">
        <f t="shared" si="28"/>
        <v/>
      </c>
      <c r="Q152" s="28" t="str">
        <f t="shared" si="29"/>
        <v/>
      </c>
    </row>
    <row r="153" spans="1:17" ht="15" x14ac:dyDescent="0.25">
      <c r="A153" s="3" t="str">
        <f>IF('[1]0.1 Produksi Pangan &amp; Penduduk'!A154="","",'[1]0.1 Produksi Pangan &amp; Penduduk'!A154)</f>
        <v/>
      </c>
      <c r="B153" s="2" t="str">
        <f>IF('[1]0.1 Produksi Pangan &amp; Penduduk'!B154="","",'[1]0.1 Produksi Pangan &amp; Penduduk'!B154)</f>
        <v/>
      </c>
      <c r="C153" s="2" t="str">
        <f>IF('[1]0.1 Produksi Pangan &amp; Penduduk'!F154="","",'[1]0.1 Produksi Pangan &amp; Penduduk'!F154)</f>
        <v/>
      </c>
      <c r="D153" s="3" t="str">
        <f>IF('[1]0.1 Produksi Pangan &amp; Penduduk'!D154="","",'[1]0.1 Produksi Pangan &amp; Penduduk'!D154)</f>
        <v/>
      </c>
      <c r="E153" s="3" t="str">
        <f>IF('[1]0.1 Produksi Pangan &amp; Penduduk'!E154="","",'[1]0.1 Produksi Pangan &amp; Penduduk'!E154)</f>
        <v/>
      </c>
      <c r="F153" s="59" t="str">
        <f>IF(D153="","",VLOOKUP(D153,'[1]0.1 Produksi Pangan &amp; Penduduk'!$D$5:$J$860,7,0))</f>
        <v/>
      </c>
      <c r="G153" s="27" t="str">
        <f t="shared" si="20"/>
        <v/>
      </c>
      <c r="H153" s="27" t="str">
        <f t="shared" si="21"/>
        <v/>
      </c>
      <c r="I153" s="27" t="str">
        <f t="shared" si="22"/>
        <v/>
      </c>
      <c r="J153" s="27" t="str">
        <f t="shared" si="23"/>
        <v/>
      </c>
      <c r="K153" s="27" t="str">
        <f t="shared" si="24"/>
        <v/>
      </c>
      <c r="L153" s="59" t="str">
        <f>IF(D153="","",VLOOKUP(D153,'[1]0.1 Produksi Pangan &amp; Penduduk'!$D$5:$M$860,10,0))</f>
        <v/>
      </c>
      <c r="M153" s="28" t="str">
        <f t="shared" si="25"/>
        <v/>
      </c>
      <c r="N153" s="60" t="str">
        <f t="shared" si="26"/>
        <v/>
      </c>
      <c r="O153" s="60" t="str">
        <f t="shared" si="27"/>
        <v/>
      </c>
      <c r="P153" s="60" t="str">
        <f t="shared" si="28"/>
        <v/>
      </c>
      <c r="Q153" s="28" t="str">
        <f t="shared" si="29"/>
        <v/>
      </c>
    </row>
    <row r="154" spans="1:17" ht="15" x14ac:dyDescent="0.25">
      <c r="A154" s="3" t="str">
        <f>IF('[1]0.1 Produksi Pangan &amp; Penduduk'!A155="","",'[1]0.1 Produksi Pangan &amp; Penduduk'!A155)</f>
        <v/>
      </c>
      <c r="B154" s="2" t="str">
        <f>IF('[1]0.1 Produksi Pangan &amp; Penduduk'!B155="","",'[1]0.1 Produksi Pangan &amp; Penduduk'!B155)</f>
        <v/>
      </c>
      <c r="C154" s="2" t="str">
        <f>IF('[1]0.1 Produksi Pangan &amp; Penduduk'!F155="","",'[1]0.1 Produksi Pangan &amp; Penduduk'!F155)</f>
        <v/>
      </c>
      <c r="D154" s="3" t="str">
        <f>IF('[1]0.1 Produksi Pangan &amp; Penduduk'!D155="","",'[1]0.1 Produksi Pangan &amp; Penduduk'!D155)</f>
        <v/>
      </c>
      <c r="E154" s="3" t="str">
        <f>IF('[1]0.1 Produksi Pangan &amp; Penduduk'!E155="","",'[1]0.1 Produksi Pangan &amp; Penduduk'!E155)</f>
        <v/>
      </c>
      <c r="F154" s="59" t="str">
        <f>IF(D154="","",VLOOKUP(D154,'[1]0.1 Produksi Pangan &amp; Penduduk'!$D$5:$J$860,7,0))</f>
        <v/>
      </c>
      <c r="G154" s="27" t="str">
        <f t="shared" si="20"/>
        <v/>
      </c>
      <c r="H154" s="27" t="str">
        <f t="shared" si="21"/>
        <v/>
      </c>
      <c r="I154" s="27" t="str">
        <f t="shared" si="22"/>
        <v/>
      </c>
      <c r="J154" s="27" t="str">
        <f t="shared" si="23"/>
        <v/>
      </c>
      <c r="K154" s="27" t="str">
        <f t="shared" si="24"/>
        <v/>
      </c>
      <c r="L154" s="59" t="str">
        <f>IF(D154="","",VLOOKUP(D154,'[1]0.1 Produksi Pangan &amp; Penduduk'!$D$5:$M$860,10,0))</f>
        <v/>
      </c>
      <c r="M154" s="28" t="str">
        <f t="shared" si="25"/>
        <v/>
      </c>
      <c r="N154" s="60" t="str">
        <f t="shared" si="26"/>
        <v/>
      </c>
      <c r="O154" s="60" t="str">
        <f t="shared" si="27"/>
        <v/>
      </c>
      <c r="P154" s="60" t="str">
        <f t="shared" si="28"/>
        <v/>
      </c>
      <c r="Q154" s="28" t="str">
        <f t="shared" si="29"/>
        <v/>
      </c>
    </row>
    <row r="155" spans="1:17" ht="15" x14ac:dyDescent="0.25">
      <c r="A155" s="3" t="str">
        <f>IF('[1]0.1 Produksi Pangan &amp; Penduduk'!A156="","",'[1]0.1 Produksi Pangan &amp; Penduduk'!A156)</f>
        <v/>
      </c>
      <c r="B155" s="2" t="str">
        <f>IF('[1]0.1 Produksi Pangan &amp; Penduduk'!B156="","",'[1]0.1 Produksi Pangan &amp; Penduduk'!B156)</f>
        <v/>
      </c>
      <c r="C155" s="2" t="str">
        <f>IF('[1]0.1 Produksi Pangan &amp; Penduduk'!F156="","",'[1]0.1 Produksi Pangan &amp; Penduduk'!F156)</f>
        <v/>
      </c>
      <c r="D155" s="3" t="str">
        <f>IF('[1]0.1 Produksi Pangan &amp; Penduduk'!D156="","",'[1]0.1 Produksi Pangan &amp; Penduduk'!D156)</f>
        <v/>
      </c>
      <c r="E155" s="3" t="str">
        <f>IF('[1]0.1 Produksi Pangan &amp; Penduduk'!E156="","",'[1]0.1 Produksi Pangan &amp; Penduduk'!E156)</f>
        <v/>
      </c>
      <c r="F155" s="59" t="str">
        <f>IF(D155="","",VLOOKUP(D155,'[1]0.1 Produksi Pangan &amp; Penduduk'!$D$5:$J$860,7,0))</f>
        <v/>
      </c>
      <c r="G155" s="27" t="str">
        <f t="shared" si="20"/>
        <v/>
      </c>
      <c r="H155" s="27" t="str">
        <f t="shared" si="21"/>
        <v/>
      </c>
      <c r="I155" s="27" t="str">
        <f t="shared" si="22"/>
        <v/>
      </c>
      <c r="J155" s="27" t="str">
        <f t="shared" si="23"/>
        <v/>
      </c>
      <c r="K155" s="27" t="str">
        <f t="shared" si="24"/>
        <v/>
      </c>
      <c r="L155" s="59" t="str">
        <f>IF(D155="","",VLOOKUP(D155,'[1]0.1 Produksi Pangan &amp; Penduduk'!$D$5:$M$860,10,0))</f>
        <v/>
      </c>
      <c r="M155" s="28" t="str">
        <f t="shared" si="25"/>
        <v/>
      </c>
      <c r="N155" s="60" t="str">
        <f t="shared" si="26"/>
        <v/>
      </c>
      <c r="O155" s="60" t="str">
        <f t="shared" si="27"/>
        <v/>
      </c>
      <c r="P155" s="60" t="str">
        <f t="shared" si="28"/>
        <v/>
      </c>
      <c r="Q155" s="28" t="str">
        <f t="shared" si="29"/>
        <v/>
      </c>
    </row>
    <row r="156" spans="1:17" ht="15" x14ac:dyDescent="0.25">
      <c r="A156" s="3" t="str">
        <f>IF('[1]0.1 Produksi Pangan &amp; Penduduk'!A157="","",'[1]0.1 Produksi Pangan &amp; Penduduk'!A157)</f>
        <v/>
      </c>
      <c r="B156" s="2" t="str">
        <f>IF('[1]0.1 Produksi Pangan &amp; Penduduk'!B157="","",'[1]0.1 Produksi Pangan &amp; Penduduk'!B157)</f>
        <v/>
      </c>
      <c r="C156" s="2" t="str">
        <f>IF('[1]0.1 Produksi Pangan &amp; Penduduk'!F157="","",'[1]0.1 Produksi Pangan &amp; Penduduk'!F157)</f>
        <v/>
      </c>
      <c r="D156" s="3" t="str">
        <f>IF('[1]0.1 Produksi Pangan &amp; Penduduk'!D157="","",'[1]0.1 Produksi Pangan &amp; Penduduk'!D157)</f>
        <v/>
      </c>
      <c r="E156" s="3" t="str">
        <f>IF('[1]0.1 Produksi Pangan &amp; Penduduk'!E157="","",'[1]0.1 Produksi Pangan &amp; Penduduk'!E157)</f>
        <v/>
      </c>
      <c r="F156" s="59" t="str">
        <f>IF(D156="","",VLOOKUP(D156,'[1]0.1 Produksi Pangan &amp; Penduduk'!$D$5:$J$860,7,0))</f>
        <v/>
      </c>
      <c r="G156" s="27" t="str">
        <f t="shared" si="20"/>
        <v/>
      </c>
      <c r="H156" s="27" t="str">
        <f t="shared" si="21"/>
        <v/>
      </c>
      <c r="I156" s="27" t="str">
        <f t="shared" si="22"/>
        <v/>
      </c>
      <c r="J156" s="27" t="str">
        <f t="shared" si="23"/>
        <v/>
      </c>
      <c r="K156" s="27" t="str">
        <f t="shared" si="24"/>
        <v/>
      </c>
      <c r="L156" s="59" t="str">
        <f>IF(D156="","",VLOOKUP(D156,'[1]0.1 Produksi Pangan &amp; Penduduk'!$D$5:$M$860,10,0))</f>
        <v/>
      </c>
      <c r="M156" s="28" t="str">
        <f t="shared" si="25"/>
        <v/>
      </c>
      <c r="N156" s="60" t="str">
        <f t="shared" si="26"/>
        <v/>
      </c>
      <c r="O156" s="60" t="str">
        <f t="shared" si="27"/>
        <v/>
      </c>
      <c r="P156" s="60" t="str">
        <f t="shared" si="28"/>
        <v/>
      </c>
      <c r="Q156" s="28" t="str">
        <f t="shared" si="29"/>
        <v/>
      </c>
    </row>
    <row r="157" spans="1:17" ht="15" x14ac:dyDescent="0.25">
      <c r="A157" s="3" t="str">
        <f>IF('[1]0.1 Produksi Pangan &amp; Penduduk'!A158="","",'[1]0.1 Produksi Pangan &amp; Penduduk'!A158)</f>
        <v/>
      </c>
      <c r="B157" s="2" t="str">
        <f>IF('[1]0.1 Produksi Pangan &amp; Penduduk'!B158="","",'[1]0.1 Produksi Pangan &amp; Penduduk'!B158)</f>
        <v/>
      </c>
      <c r="C157" s="2" t="str">
        <f>IF('[1]0.1 Produksi Pangan &amp; Penduduk'!F158="","",'[1]0.1 Produksi Pangan &amp; Penduduk'!F158)</f>
        <v/>
      </c>
      <c r="D157" s="3" t="str">
        <f>IF('[1]0.1 Produksi Pangan &amp; Penduduk'!D158="","",'[1]0.1 Produksi Pangan &amp; Penduduk'!D158)</f>
        <v/>
      </c>
      <c r="E157" s="3" t="str">
        <f>IF('[1]0.1 Produksi Pangan &amp; Penduduk'!E158="","",'[1]0.1 Produksi Pangan &amp; Penduduk'!E158)</f>
        <v/>
      </c>
      <c r="F157" s="59" t="str">
        <f>IF(D157="","",VLOOKUP(D157,'[1]0.1 Produksi Pangan &amp; Penduduk'!$D$5:$J$860,7,0))</f>
        <v/>
      </c>
      <c r="G157" s="27" t="str">
        <f t="shared" si="20"/>
        <v/>
      </c>
      <c r="H157" s="27" t="str">
        <f t="shared" si="21"/>
        <v/>
      </c>
      <c r="I157" s="27" t="str">
        <f t="shared" si="22"/>
        <v/>
      </c>
      <c r="J157" s="27" t="str">
        <f t="shared" si="23"/>
        <v/>
      </c>
      <c r="K157" s="27" t="str">
        <f t="shared" si="24"/>
        <v/>
      </c>
      <c r="L157" s="59" t="str">
        <f>IF(D157="","",VLOOKUP(D157,'[1]0.1 Produksi Pangan &amp; Penduduk'!$D$5:$M$860,10,0))</f>
        <v/>
      </c>
      <c r="M157" s="28" t="str">
        <f t="shared" si="25"/>
        <v/>
      </c>
      <c r="N157" s="60" t="str">
        <f t="shared" si="26"/>
        <v/>
      </c>
      <c r="O157" s="60" t="str">
        <f t="shared" si="27"/>
        <v/>
      </c>
      <c r="P157" s="60" t="str">
        <f t="shared" si="28"/>
        <v/>
      </c>
      <c r="Q157" s="28" t="str">
        <f t="shared" si="29"/>
        <v/>
      </c>
    </row>
    <row r="158" spans="1:17" ht="15" x14ac:dyDescent="0.25">
      <c r="A158" s="3" t="str">
        <f>IF('[1]0.1 Produksi Pangan &amp; Penduduk'!A159="","",'[1]0.1 Produksi Pangan &amp; Penduduk'!A159)</f>
        <v/>
      </c>
      <c r="B158" s="2" t="str">
        <f>IF('[1]0.1 Produksi Pangan &amp; Penduduk'!B159="","",'[1]0.1 Produksi Pangan &amp; Penduduk'!B159)</f>
        <v/>
      </c>
      <c r="C158" s="2" t="str">
        <f>IF('[1]0.1 Produksi Pangan &amp; Penduduk'!F159="","",'[1]0.1 Produksi Pangan &amp; Penduduk'!F159)</f>
        <v/>
      </c>
      <c r="D158" s="3" t="str">
        <f>IF('[1]0.1 Produksi Pangan &amp; Penduduk'!D159="","",'[1]0.1 Produksi Pangan &amp; Penduduk'!D159)</f>
        <v/>
      </c>
      <c r="E158" s="3" t="str">
        <f>IF('[1]0.1 Produksi Pangan &amp; Penduduk'!E159="","",'[1]0.1 Produksi Pangan &amp; Penduduk'!E159)</f>
        <v/>
      </c>
      <c r="F158" s="59" t="str">
        <f>IF(D158="","",VLOOKUP(D158,'[1]0.1 Produksi Pangan &amp; Penduduk'!$D$5:$J$860,7,0))</f>
        <v/>
      </c>
      <c r="G158" s="27" t="str">
        <f t="shared" si="20"/>
        <v/>
      </c>
      <c r="H158" s="27" t="str">
        <f t="shared" si="21"/>
        <v/>
      </c>
      <c r="I158" s="27" t="str">
        <f t="shared" si="22"/>
        <v/>
      </c>
      <c r="J158" s="27" t="str">
        <f t="shared" si="23"/>
        <v/>
      </c>
      <c r="K158" s="27" t="str">
        <f t="shared" si="24"/>
        <v/>
      </c>
      <c r="L158" s="59" t="str">
        <f>IF(D158="","",VLOOKUP(D158,'[1]0.1 Produksi Pangan &amp; Penduduk'!$D$5:$M$860,10,0))</f>
        <v/>
      </c>
      <c r="M158" s="28" t="str">
        <f t="shared" si="25"/>
        <v/>
      </c>
      <c r="N158" s="60" t="str">
        <f t="shared" si="26"/>
        <v/>
      </c>
      <c r="O158" s="60" t="str">
        <f t="shared" si="27"/>
        <v/>
      </c>
      <c r="P158" s="60" t="str">
        <f t="shared" si="28"/>
        <v/>
      </c>
      <c r="Q158" s="28" t="str">
        <f t="shared" si="29"/>
        <v/>
      </c>
    </row>
    <row r="159" spans="1:17" ht="15" x14ac:dyDescent="0.25">
      <c r="A159" s="3" t="str">
        <f>IF('[1]0.1 Produksi Pangan &amp; Penduduk'!A160="","",'[1]0.1 Produksi Pangan &amp; Penduduk'!A160)</f>
        <v/>
      </c>
      <c r="B159" s="2" t="str">
        <f>IF('[1]0.1 Produksi Pangan &amp; Penduduk'!B160="","",'[1]0.1 Produksi Pangan &amp; Penduduk'!B160)</f>
        <v/>
      </c>
      <c r="C159" s="2" t="str">
        <f>IF('[1]0.1 Produksi Pangan &amp; Penduduk'!F160="","",'[1]0.1 Produksi Pangan &amp; Penduduk'!F160)</f>
        <v/>
      </c>
      <c r="D159" s="3" t="str">
        <f>IF('[1]0.1 Produksi Pangan &amp; Penduduk'!D160="","",'[1]0.1 Produksi Pangan &amp; Penduduk'!D160)</f>
        <v/>
      </c>
      <c r="E159" s="3" t="str">
        <f>IF('[1]0.1 Produksi Pangan &amp; Penduduk'!E160="","",'[1]0.1 Produksi Pangan &amp; Penduduk'!E160)</f>
        <v/>
      </c>
      <c r="F159" s="59" t="str">
        <f>IF(D159="","",VLOOKUP(D159,'[1]0.1 Produksi Pangan &amp; Penduduk'!$D$5:$J$860,7,0))</f>
        <v/>
      </c>
      <c r="G159" s="27" t="str">
        <f t="shared" si="20"/>
        <v/>
      </c>
      <c r="H159" s="27" t="str">
        <f t="shared" si="21"/>
        <v/>
      </c>
      <c r="I159" s="27" t="str">
        <f t="shared" si="22"/>
        <v/>
      </c>
      <c r="J159" s="27" t="str">
        <f t="shared" si="23"/>
        <v/>
      </c>
      <c r="K159" s="27" t="str">
        <f t="shared" si="24"/>
        <v/>
      </c>
      <c r="L159" s="59" t="str">
        <f>IF(D159="","",VLOOKUP(D159,'[1]0.1 Produksi Pangan &amp; Penduduk'!$D$5:$M$860,10,0))</f>
        <v/>
      </c>
      <c r="M159" s="28" t="str">
        <f t="shared" si="25"/>
        <v/>
      </c>
      <c r="N159" s="60" t="str">
        <f t="shared" si="26"/>
        <v/>
      </c>
      <c r="O159" s="60" t="str">
        <f t="shared" si="27"/>
        <v/>
      </c>
      <c r="P159" s="60" t="str">
        <f t="shared" si="28"/>
        <v/>
      </c>
      <c r="Q159" s="28" t="str">
        <f t="shared" si="29"/>
        <v/>
      </c>
    </row>
    <row r="160" spans="1:17" ht="15" x14ac:dyDescent="0.25">
      <c r="A160" s="3" t="str">
        <f>IF('[1]0.1 Produksi Pangan &amp; Penduduk'!A161="","",'[1]0.1 Produksi Pangan &amp; Penduduk'!A161)</f>
        <v/>
      </c>
      <c r="B160" s="2" t="str">
        <f>IF('[1]0.1 Produksi Pangan &amp; Penduduk'!B161="","",'[1]0.1 Produksi Pangan &amp; Penduduk'!B161)</f>
        <v/>
      </c>
      <c r="C160" s="2" t="str">
        <f>IF('[1]0.1 Produksi Pangan &amp; Penduduk'!F161="","",'[1]0.1 Produksi Pangan &amp; Penduduk'!F161)</f>
        <v/>
      </c>
      <c r="D160" s="3" t="str">
        <f>IF('[1]0.1 Produksi Pangan &amp; Penduduk'!D161="","",'[1]0.1 Produksi Pangan &amp; Penduduk'!D161)</f>
        <v/>
      </c>
      <c r="E160" s="3" t="str">
        <f>IF('[1]0.1 Produksi Pangan &amp; Penduduk'!E161="","",'[1]0.1 Produksi Pangan &amp; Penduduk'!E161)</f>
        <v/>
      </c>
      <c r="F160" s="59" t="str">
        <f>IF(D160="","",VLOOKUP(D160,'[1]0.1 Produksi Pangan &amp; Penduduk'!$D$5:$J$860,7,0))</f>
        <v/>
      </c>
      <c r="G160" s="27" t="str">
        <f t="shared" si="20"/>
        <v/>
      </c>
      <c r="H160" s="27" t="str">
        <f t="shared" si="21"/>
        <v/>
      </c>
      <c r="I160" s="27" t="str">
        <f t="shared" si="22"/>
        <v/>
      </c>
      <c r="J160" s="27" t="str">
        <f t="shared" si="23"/>
        <v/>
      </c>
      <c r="K160" s="27" t="str">
        <f t="shared" si="24"/>
        <v/>
      </c>
      <c r="L160" s="59" t="str">
        <f>IF(D160="","",VLOOKUP(D160,'[1]0.1 Produksi Pangan &amp; Penduduk'!$D$5:$M$860,10,0))</f>
        <v/>
      </c>
      <c r="M160" s="28" t="str">
        <f t="shared" si="25"/>
        <v/>
      </c>
      <c r="N160" s="60" t="str">
        <f t="shared" si="26"/>
        <v/>
      </c>
      <c r="O160" s="60" t="str">
        <f t="shared" si="27"/>
        <v/>
      </c>
      <c r="P160" s="60" t="str">
        <f t="shared" si="28"/>
        <v/>
      </c>
      <c r="Q160" s="28" t="str">
        <f t="shared" si="29"/>
        <v/>
      </c>
    </row>
    <row r="161" spans="1:17" ht="15" x14ac:dyDescent="0.25">
      <c r="A161" s="3" t="str">
        <f>IF('[1]0.1 Produksi Pangan &amp; Penduduk'!A162="","",'[1]0.1 Produksi Pangan &amp; Penduduk'!A162)</f>
        <v/>
      </c>
      <c r="B161" s="2" t="str">
        <f>IF('[1]0.1 Produksi Pangan &amp; Penduduk'!B162="","",'[1]0.1 Produksi Pangan &amp; Penduduk'!B162)</f>
        <v/>
      </c>
      <c r="C161" s="2" t="str">
        <f>IF('[1]0.1 Produksi Pangan &amp; Penduduk'!F162="","",'[1]0.1 Produksi Pangan &amp; Penduduk'!F162)</f>
        <v/>
      </c>
      <c r="D161" s="3" t="str">
        <f>IF('[1]0.1 Produksi Pangan &amp; Penduduk'!D162="","",'[1]0.1 Produksi Pangan &amp; Penduduk'!D162)</f>
        <v/>
      </c>
      <c r="E161" s="3" t="str">
        <f>IF('[1]0.1 Produksi Pangan &amp; Penduduk'!E162="","",'[1]0.1 Produksi Pangan &amp; Penduduk'!E162)</f>
        <v/>
      </c>
      <c r="F161" s="59" t="str">
        <f>IF(D161="","",VLOOKUP(D161,'[1]0.1 Produksi Pangan &amp; Penduduk'!$D$5:$J$860,7,0))</f>
        <v/>
      </c>
      <c r="G161" s="27" t="str">
        <f t="shared" si="20"/>
        <v/>
      </c>
      <c r="H161" s="27" t="str">
        <f t="shared" si="21"/>
        <v/>
      </c>
      <c r="I161" s="27" t="str">
        <f t="shared" si="22"/>
        <v/>
      </c>
      <c r="J161" s="27" t="str">
        <f t="shared" si="23"/>
        <v/>
      </c>
      <c r="K161" s="27" t="str">
        <f t="shared" si="24"/>
        <v/>
      </c>
      <c r="L161" s="59" t="str">
        <f>IF(D161="","",VLOOKUP(D161,'[1]0.1 Produksi Pangan &amp; Penduduk'!$D$5:$M$860,10,0))</f>
        <v/>
      </c>
      <c r="M161" s="28" t="str">
        <f t="shared" si="25"/>
        <v/>
      </c>
      <c r="N161" s="60" t="str">
        <f t="shared" si="26"/>
        <v/>
      </c>
      <c r="O161" s="60" t="str">
        <f t="shared" si="27"/>
        <v/>
      </c>
      <c r="P161" s="60" t="str">
        <f t="shared" si="28"/>
        <v/>
      </c>
      <c r="Q161" s="28" t="str">
        <f t="shared" si="29"/>
        <v/>
      </c>
    </row>
    <row r="162" spans="1:17" ht="15" x14ac:dyDescent="0.25">
      <c r="A162" s="3" t="str">
        <f>IF('[1]0.1 Produksi Pangan &amp; Penduduk'!A163="","",'[1]0.1 Produksi Pangan &amp; Penduduk'!A163)</f>
        <v/>
      </c>
      <c r="B162" s="2" t="str">
        <f>IF('[1]0.1 Produksi Pangan &amp; Penduduk'!B163="","",'[1]0.1 Produksi Pangan &amp; Penduduk'!B163)</f>
        <v/>
      </c>
      <c r="C162" s="2" t="str">
        <f>IF('[1]0.1 Produksi Pangan &amp; Penduduk'!F163="","",'[1]0.1 Produksi Pangan &amp; Penduduk'!F163)</f>
        <v/>
      </c>
      <c r="D162" s="3" t="str">
        <f>IF('[1]0.1 Produksi Pangan &amp; Penduduk'!D163="","",'[1]0.1 Produksi Pangan &amp; Penduduk'!D163)</f>
        <v/>
      </c>
      <c r="E162" s="3" t="str">
        <f>IF('[1]0.1 Produksi Pangan &amp; Penduduk'!E163="","",'[1]0.1 Produksi Pangan &amp; Penduduk'!E163)</f>
        <v/>
      </c>
      <c r="F162" s="59" t="str">
        <f>IF(D162="","",VLOOKUP(D162,'[1]0.1 Produksi Pangan &amp; Penduduk'!$D$5:$J$860,7,0))</f>
        <v/>
      </c>
      <c r="G162" s="27" t="str">
        <f t="shared" si="20"/>
        <v/>
      </c>
      <c r="H162" s="27" t="str">
        <f t="shared" si="21"/>
        <v/>
      </c>
      <c r="I162" s="27" t="str">
        <f t="shared" si="22"/>
        <v/>
      </c>
      <c r="J162" s="27" t="str">
        <f t="shared" si="23"/>
        <v/>
      </c>
      <c r="K162" s="27" t="str">
        <f t="shared" si="24"/>
        <v/>
      </c>
      <c r="L162" s="59" t="str">
        <f>IF(D162="","",VLOOKUP(D162,'[1]0.1 Produksi Pangan &amp; Penduduk'!$D$5:$M$860,10,0))</f>
        <v/>
      </c>
      <c r="M162" s="28" t="str">
        <f t="shared" si="25"/>
        <v/>
      </c>
      <c r="N162" s="60" t="str">
        <f t="shared" si="26"/>
        <v/>
      </c>
      <c r="O162" s="60" t="str">
        <f t="shared" si="27"/>
        <v/>
      </c>
      <c r="P162" s="60" t="str">
        <f t="shared" si="28"/>
        <v/>
      </c>
      <c r="Q162" s="28" t="str">
        <f t="shared" si="29"/>
        <v/>
      </c>
    </row>
    <row r="163" spans="1:17" ht="15" x14ac:dyDescent="0.25">
      <c r="A163" s="3" t="str">
        <f>IF('[1]0.1 Produksi Pangan &amp; Penduduk'!A164="","",'[1]0.1 Produksi Pangan &amp; Penduduk'!A164)</f>
        <v/>
      </c>
      <c r="B163" s="2" t="str">
        <f>IF('[1]0.1 Produksi Pangan &amp; Penduduk'!B164="","",'[1]0.1 Produksi Pangan &amp; Penduduk'!B164)</f>
        <v/>
      </c>
      <c r="C163" s="2" t="str">
        <f>IF('[1]0.1 Produksi Pangan &amp; Penduduk'!F164="","",'[1]0.1 Produksi Pangan &amp; Penduduk'!F164)</f>
        <v/>
      </c>
      <c r="D163" s="3" t="str">
        <f>IF('[1]0.1 Produksi Pangan &amp; Penduduk'!D164="","",'[1]0.1 Produksi Pangan &amp; Penduduk'!D164)</f>
        <v/>
      </c>
      <c r="E163" s="3" t="str">
        <f>IF('[1]0.1 Produksi Pangan &amp; Penduduk'!E164="","",'[1]0.1 Produksi Pangan &amp; Penduduk'!E164)</f>
        <v/>
      </c>
      <c r="F163" s="59" t="str">
        <f>IF(D163="","",VLOOKUP(D163,'[1]0.1 Produksi Pangan &amp; Penduduk'!$D$5:$J$860,7,0))</f>
        <v/>
      </c>
      <c r="G163" s="27" t="str">
        <f t="shared" si="20"/>
        <v/>
      </c>
      <c r="H163" s="27" t="str">
        <f t="shared" si="21"/>
        <v/>
      </c>
      <c r="I163" s="27" t="str">
        <f t="shared" si="22"/>
        <v/>
      </c>
      <c r="J163" s="27" t="str">
        <f t="shared" si="23"/>
        <v/>
      </c>
      <c r="K163" s="27" t="str">
        <f t="shared" si="24"/>
        <v/>
      </c>
      <c r="L163" s="59" t="str">
        <f>IF(D163="","",VLOOKUP(D163,'[1]0.1 Produksi Pangan &amp; Penduduk'!$D$5:$M$860,10,0))</f>
        <v/>
      </c>
      <c r="M163" s="28" t="str">
        <f t="shared" si="25"/>
        <v/>
      </c>
      <c r="N163" s="60" t="str">
        <f t="shared" si="26"/>
        <v/>
      </c>
      <c r="O163" s="60" t="str">
        <f t="shared" si="27"/>
        <v/>
      </c>
      <c r="P163" s="60" t="str">
        <f t="shared" si="28"/>
        <v/>
      </c>
      <c r="Q163" s="28" t="str">
        <f t="shared" si="29"/>
        <v/>
      </c>
    </row>
    <row r="164" spans="1:17" ht="15" x14ac:dyDescent="0.25">
      <c r="A164" s="3" t="str">
        <f>IF('[1]0.1 Produksi Pangan &amp; Penduduk'!A165="","",'[1]0.1 Produksi Pangan &amp; Penduduk'!A165)</f>
        <v/>
      </c>
      <c r="B164" s="2" t="str">
        <f>IF('[1]0.1 Produksi Pangan &amp; Penduduk'!B165="","",'[1]0.1 Produksi Pangan &amp; Penduduk'!B165)</f>
        <v/>
      </c>
      <c r="C164" s="2" t="str">
        <f>IF('[1]0.1 Produksi Pangan &amp; Penduduk'!F165="","",'[1]0.1 Produksi Pangan &amp; Penduduk'!F165)</f>
        <v/>
      </c>
      <c r="D164" s="3" t="str">
        <f>IF('[1]0.1 Produksi Pangan &amp; Penduduk'!D165="","",'[1]0.1 Produksi Pangan &amp; Penduduk'!D165)</f>
        <v/>
      </c>
      <c r="E164" s="3" t="str">
        <f>IF('[1]0.1 Produksi Pangan &amp; Penduduk'!E165="","",'[1]0.1 Produksi Pangan &amp; Penduduk'!E165)</f>
        <v/>
      </c>
      <c r="F164" s="59" t="str">
        <f>IF(D164="","",VLOOKUP(D164,'[1]0.1 Produksi Pangan &amp; Penduduk'!$D$5:$J$860,7,0))</f>
        <v/>
      </c>
      <c r="G164" s="27" t="str">
        <f t="shared" si="20"/>
        <v/>
      </c>
      <c r="H164" s="27" t="str">
        <f t="shared" si="21"/>
        <v/>
      </c>
      <c r="I164" s="27" t="str">
        <f t="shared" si="22"/>
        <v/>
      </c>
      <c r="J164" s="27" t="str">
        <f t="shared" si="23"/>
        <v/>
      </c>
      <c r="K164" s="27" t="str">
        <f t="shared" si="24"/>
        <v/>
      </c>
      <c r="L164" s="59" t="str">
        <f>IF(D164="","",VLOOKUP(D164,'[1]0.1 Produksi Pangan &amp; Penduduk'!$D$5:$M$860,10,0))</f>
        <v/>
      </c>
      <c r="M164" s="28" t="str">
        <f t="shared" si="25"/>
        <v/>
      </c>
      <c r="N164" s="60" t="str">
        <f t="shared" si="26"/>
        <v/>
      </c>
      <c r="O164" s="60" t="str">
        <f t="shared" si="27"/>
        <v/>
      </c>
      <c r="P164" s="60" t="str">
        <f t="shared" si="28"/>
        <v/>
      </c>
      <c r="Q164" s="28" t="str">
        <f t="shared" si="29"/>
        <v/>
      </c>
    </row>
    <row r="165" spans="1:17" ht="15" x14ac:dyDescent="0.25">
      <c r="A165" s="3" t="str">
        <f>IF('[1]0.1 Produksi Pangan &amp; Penduduk'!A166="","",'[1]0.1 Produksi Pangan &amp; Penduduk'!A166)</f>
        <v/>
      </c>
      <c r="B165" s="2" t="str">
        <f>IF('[1]0.1 Produksi Pangan &amp; Penduduk'!B166="","",'[1]0.1 Produksi Pangan &amp; Penduduk'!B166)</f>
        <v/>
      </c>
      <c r="C165" s="2" t="str">
        <f>IF('[1]0.1 Produksi Pangan &amp; Penduduk'!F166="","",'[1]0.1 Produksi Pangan &amp; Penduduk'!F166)</f>
        <v/>
      </c>
      <c r="D165" s="3" t="str">
        <f>IF('[1]0.1 Produksi Pangan &amp; Penduduk'!D166="","",'[1]0.1 Produksi Pangan &amp; Penduduk'!D166)</f>
        <v/>
      </c>
      <c r="E165" s="3" t="str">
        <f>IF('[1]0.1 Produksi Pangan &amp; Penduduk'!E166="","",'[1]0.1 Produksi Pangan &amp; Penduduk'!E166)</f>
        <v/>
      </c>
      <c r="F165" s="59" t="str">
        <f>IF(D165="","",VLOOKUP(D165,'[1]0.1 Produksi Pangan &amp; Penduduk'!$D$5:$J$860,7,0))</f>
        <v/>
      </c>
      <c r="G165" s="27" t="str">
        <f t="shared" si="20"/>
        <v/>
      </c>
      <c r="H165" s="27" t="str">
        <f t="shared" si="21"/>
        <v/>
      </c>
      <c r="I165" s="27" t="str">
        <f t="shared" si="22"/>
        <v/>
      </c>
      <c r="J165" s="27" t="str">
        <f t="shared" si="23"/>
        <v/>
      </c>
      <c r="K165" s="27" t="str">
        <f t="shared" si="24"/>
        <v/>
      </c>
      <c r="L165" s="59" t="str">
        <f>IF(D165="","",VLOOKUP(D165,'[1]0.1 Produksi Pangan &amp; Penduduk'!$D$5:$M$860,10,0))</f>
        <v/>
      </c>
      <c r="M165" s="28" t="str">
        <f t="shared" si="25"/>
        <v/>
      </c>
      <c r="N165" s="60" t="str">
        <f t="shared" si="26"/>
        <v/>
      </c>
      <c r="O165" s="60" t="str">
        <f t="shared" si="27"/>
        <v/>
      </c>
      <c r="P165" s="60" t="str">
        <f t="shared" si="28"/>
        <v/>
      </c>
      <c r="Q165" s="28" t="str">
        <f t="shared" si="29"/>
        <v/>
      </c>
    </row>
    <row r="166" spans="1:17" ht="15" x14ac:dyDescent="0.25">
      <c r="A166" s="3" t="str">
        <f>IF('[1]0.1 Produksi Pangan &amp; Penduduk'!A167="","",'[1]0.1 Produksi Pangan &amp; Penduduk'!A167)</f>
        <v/>
      </c>
      <c r="B166" s="2" t="str">
        <f>IF('[1]0.1 Produksi Pangan &amp; Penduduk'!B167="","",'[1]0.1 Produksi Pangan &amp; Penduduk'!B167)</f>
        <v/>
      </c>
      <c r="C166" s="2" t="str">
        <f>IF('[1]0.1 Produksi Pangan &amp; Penduduk'!F167="","",'[1]0.1 Produksi Pangan &amp; Penduduk'!F167)</f>
        <v/>
      </c>
      <c r="D166" s="3" t="str">
        <f>IF('[1]0.1 Produksi Pangan &amp; Penduduk'!D167="","",'[1]0.1 Produksi Pangan &amp; Penduduk'!D167)</f>
        <v/>
      </c>
      <c r="E166" s="3" t="str">
        <f>IF('[1]0.1 Produksi Pangan &amp; Penduduk'!E167="","",'[1]0.1 Produksi Pangan &amp; Penduduk'!E167)</f>
        <v/>
      </c>
      <c r="F166" s="59" t="str">
        <f>IF(D166="","",VLOOKUP(D166,'[1]0.1 Produksi Pangan &amp; Penduduk'!$D$5:$J$860,7,0))</f>
        <v/>
      </c>
      <c r="G166" s="27" t="str">
        <f t="shared" si="20"/>
        <v/>
      </c>
      <c r="H166" s="27" t="str">
        <f t="shared" si="21"/>
        <v/>
      </c>
      <c r="I166" s="27" t="str">
        <f t="shared" si="22"/>
        <v/>
      </c>
      <c r="J166" s="27" t="str">
        <f t="shared" si="23"/>
        <v/>
      </c>
      <c r="K166" s="27" t="str">
        <f t="shared" si="24"/>
        <v/>
      </c>
      <c r="L166" s="59" t="str">
        <f>IF(D166="","",VLOOKUP(D166,'[1]0.1 Produksi Pangan &amp; Penduduk'!$D$5:$M$860,10,0))</f>
        <v/>
      </c>
      <c r="M166" s="28" t="str">
        <f t="shared" si="25"/>
        <v/>
      </c>
      <c r="N166" s="60" t="str">
        <f t="shared" si="26"/>
        <v/>
      </c>
      <c r="O166" s="60" t="str">
        <f t="shared" si="27"/>
        <v/>
      </c>
      <c r="P166" s="60" t="str">
        <f t="shared" si="28"/>
        <v/>
      </c>
      <c r="Q166" s="28" t="str">
        <f t="shared" si="29"/>
        <v/>
      </c>
    </row>
    <row r="167" spans="1:17" ht="15" x14ac:dyDescent="0.25">
      <c r="A167" s="3" t="str">
        <f>IF('[1]0.1 Produksi Pangan &amp; Penduduk'!A168="","",'[1]0.1 Produksi Pangan &amp; Penduduk'!A168)</f>
        <v/>
      </c>
      <c r="B167" s="2" t="str">
        <f>IF('[1]0.1 Produksi Pangan &amp; Penduduk'!B168="","",'[1]0.1 Produksi Pangan &amp; Penduduk'!B168)</f>
        <v/>
      </c>
      <c r="C167" s="2" t="str">
        <f>IF('[1]0.1 Produksi Pangan &amp; Penduduk'!F168="","",'[1]0.1 Produksi Pangan &amp; Penduduk'!F168)</f>
        <v/>
      </c>
      <c r="D167" s="3" t="str">
        <f>IF('[1]0.1 Produksi Pangan &amp; Penduduk'!D168="","",'[1]0.1 Produksi Pangan &amp; Penduduk'!D168)</f>
        <v/>
      </c>
      <c r="E167" s="3" t="str">
        <f>IF('[1]0.1 Produksi Pangan &amp; Penduduk'!E168="","",'[1]0.1 Produksi Pangan &amp; Penduduk'!E168)</f>
        <v/>
      </c>
      <c r="F167" s="59" t="str">
        <f>IF(D167="","",VLOOKUP(D167,'[1]0.1 Produksi Pangan &amp; Penduduk'!$D$5:$J$860,7,0))</f>
        <v/>
      </c>
      <c r="G167" s="27" t="str">
        <f t="shared" si="20"/>
        <v/>
      </c>
      <c r="H167" s="27" t="str">
        <f t="shared" si="21"/>
        <v/>
      </c>
      <c r="I167" s="27" t="str">
        <f t="shared" si="22"/>
        <v/>
      </c>
      <c r="J167" s="27" t="str">
        <f t="shared" si="23"/>
        <v/>
      </c>
      <c r="K167" s="27" t="str">
        <f t="shared" si="24"/>
        <v/>
      </c>
      <c r="L167" s="59" t="str">
        <f>IF(D167="","",VLOOKUP(D167,'[1]0.1 Produksi Pangan &amp; Penduduk'!$D$5:$M$860,10,0))</f>
        <v/>
      </c>
      <c r="M167" s="28" t="str">
        <f t="shared" si="25"/>
        <v/>
      </c>
      <c r="N167" s="60" t="str">
        <f t="shared" si="26"/>
        <v/>
      </c>
      <c r="O167" s="60" t="str">
        <f t="shared" si="27"/>
        <v/>
      </c>
      <c r="P167" s="60" t="str">
        <f t="shared" si="28"/>
        <v/>
      </c>
      <c r="Q167" s="28" t="str">
        <f t="shared" si="29"/>
        <v/>
      </c>
    </row>
    <row r="168" spans="1:17" ht="15" x14ac:dyDescent="0.25">
      <c r="A168" s="3" t="str">
        <f>IF('[1]0.1 Produksi Pangan &amp; Penduduk'!A169="","",'[1]0.1 Produksi Pangan &amp; Penduduk'!A169)</f>
        <v/>
      </c>
      <c r="B168" s="2" t="str">
        <f>IF('[1]0.1 Produksi Pangan &amp; Penduduk'!B169="","",'[1]0.1 Produksi Pangan &amp; Penduduk'!B169)</f>
        <v/>
      </c>
      <c r="C168" s="2" t="str">
        <f>IF('[1]0.1 Produksi Pangan &amp; Penduduk'!F169="","",'[1]0.1 Produksi Pangan &amp; Penduduk'!F169)</f>
        <v/>
      </c>
      <c r="D168" s="3" t="str">
        <f>IF('[1]0.1 Produksi Pangan &amp; Penduduk'!D169="","",'[1]0.1 Produksi Pangan &amp; Penduduk'!D169)</f>
        <v/>
      </c>
      <c r="E168" s="3" t="str">
        <f>IF('[1]0.1 Produksi Pangan &amp; Penduduk'!E169="","",'[1]0.1 Produksi Pangan &amp; Penduduk'!E169)</f>
        <v/>
      </c>
      <c r="F168" s="59" t="str">
        <f>IF(D168="","",VLOOKUP(D168,'[1]0.1 Produksi Pangan &amp; Penduduk'!$D$5:$J$860,7,0))</f>
        <v/>
      </c>
      <c r="G168" s="27" t="str">
        <f t="shared" si="20"/>
        <v/>
      </c>
      <c r="H168" s="27" t="str">
        <f t="shared" si="21"/>
        <v/>
      </c>
      <c r="I168" s="27" t="str">
        <f t="shared" si="22"/>
        <v/>
      </c>
      <c r="J168" s="27" t="str">
        <f t="shared" si="23"/>
        <v/>
      </c>
      <c r="K168" s="27" t="str">
        <f t="shared" si="24"/>
        <v/>
      </c>
      <c r="L168" s="59" t="str">
        <f>IF(D168="","",VLOOKUP(D168,'[1]0.1 Produksi Pangan &amp; Penduduk'!$D$5:$M$860,10,0))</f>
        <v/>
      </c>
      <c r="M168" s="28" t="str">
        <f t="shared" si="25"/>
        <v/>
      </c>
      <c r="N168" s="60" t="str">
        <f t="shared" si="26"/>
        <v/>
      </c>
      <c r="O168" s="60" t="str">
        <f t="shared" si="27"/>
        <v/>
      </c>
      <c r="P168" s="60" t="str">
        <f t="shared" si="28"/>
        <v/>
      </c>
      <c r="Q168" s="28" t="str">
        <f t="shared" si="29"/>
        <v/>
      </c>
    </row>
    <row r="169" spans="1:17" ht="15" x14ac:dyDescent="0.25">
      <c r="A169" s="3" t="str">
        <f>IF('[1]0.1 Produksi Pangan &amp; Penduduk'!A170="","",'[1]0.1 Produksi Pangan &amp; Penduduk'!A170)</f>
        <v/>
      </c>
      <c r="B169" s="2" t="str">
        <f>IF('[1]0.1 Produksi Pangan &amp; Penduduk'!B170="","",'[1]0.1 Produksi Pangan &amp; Penduduk'!B170)</f>
        <v/>
      </c>
      <c r="C169" s="2" t="str">
        <f>IF('[1]0.1 Produksi Pangan &amp; Penduduk'!F170="","",'[1]0.1 Produksi Pangan &amp; Penduduk'!F170)</f>
        <v/>
      </c>
      <c r="D169" s="3" t="str">
        <f>IF('[1]0.1 Produksi Pangan &amp; Penduduk'!D170="","",'[1]0.1 Produksi Pangan &amp; Penduduk'!D170)</f>
        <v/>
      </c>
      <c r="E169" s="3" t="str">
        <f>IF('[1]0.1 Produksi Pangan &amp; Penduduk'!E170="","",'[1]0.1 Produksi Pangan &amp; Penduduk'!E170)</f>
        <v/>
      </c>
      <c r="F169" s="59" t="str">
        <f>IF(D169="","",VLOOKUP(D169,'[1]0.1 Produksi Pangan &amp; Penduduk'!$D$5:$J$860,7,0))</f>
        <v/>
      </c>
      <c r="G169" s="27" t="str">
        <f t="shared" si="20"/>
        <v/>
      </c>
      <c r="H169" s="27" t="str">
        <f t="shared" si="21"/>
        <v/>
      </c>
      <c r="I169" s="27" t="str">
        <f t="shared" si="22"/>
        <v/>
      </c>
      <c r="J169" s="27" t="str">
        <f t="shared" si="23"/>
        <v/>
      </c>
      <c r="K169" s="27" t="str">
        <f t="shared" si="24"/>
        <v/>
      </c>
      <c r="L169" s="59" t="str">
        <f>IF(D169="","",VLOOKUP(D169,'[1]0.1 Produksi Pangan &amp; Penduduk'!$D$5:$M$860,10,0))</f>
        <v/>
      </c>
      <c r="M169" s="28" t="str">
        <f t="shared" si="25"/>
        <v/>
      </c>
      <c r="N169" s="60" t="str">
        <f t="shared" si="26"/>
        <v/>
      </c>
      <c r="O169" s="60" t="str">
        <f t="shared" si="27"/>
        <v/>
      </c>
      <c r="P169" s="60" t="str">
        <f t="shared" si="28"/>
        <v/>
      </c>
      <c r="Q169" s="28" t="str">
        <f t="shared" si="29"/>
        <v/>
      </c>
    </row>
    <row r="170" spans="1:17" ht="15" x14ac:dyDescent="0.25">
      <c r="A170" s="3" t="str">
        <f>IF('[1]0.1 Produksi Pangan &amp; Penduduk'!A171="","",'[1]0.1 Produksi Pangan &amp; Penduduk'!A171)</f>
        <v/>
      </c>
      <c r="B170" s="2" t="str">
        <f>IF('[1]0.1 Produksi Pangan &amp; Penduduk'!B171="","",'[1]0.1 Produksi Pangan &amp; Penduduk'!B171)</f>
        <v/>
      </c>
      <c r="C170" s="2" t="str">
        <f>IF('[1]0.1 Produksi Pangan &amp; Penduduk'!F171="","",'[1]0.1 Produksi Pangan &amp; Penduduk'!F171)</f>
        <v/>
      </c>
      <c r="D170" s="3" t="str">
        <f>IF('[1]0.1 Produksi Pangan &amp; Penduduk'!D171="","",'[1]0.1 Produksi Pangan &amp; Penduduk'!D171)</f>
        <v/>
      </c>
      <c r="E170" s="3" t="str">
        <f>IF('[1]0.1 Produksi Pangan &amp; Penduduk'!E171="","",'[1]0.1 Produksi Pangan &amp; Penduduk'!E171)</f>
        <v/>
      </c>
      <c r="F170" s="59" t="str">
        <f>IF(D170="","",VLOOKUP(D170,'[1]0.1 Produksi Pangan &amp; Penduduk'!$D$5:$J$860,7,0))</f>
        <v/>
      </c>
      <c r="G170" s="27" t="str">
        <f t="shared" si="20"/>
        <v/>
      </c>
      <c r="H170" s="27" t="str">
        <f t="shared" si="21"/>
        <v/>
      </c>
      <c r="I170" s="27" t="str">
        <f t="shared" si="22"/>
        <v/>
      </c>
      <c r="J170" s="27" t="str">
        <f t="shared" si="23"/>
        <v/>
      </c>
      <c r="K170" s="27" t="str">
        <f t="shared" si="24"/>
        <v/>
      </c>
      <c r="L170" s="59" t="str">
        <f>IF(D170="","",VLOOKUP(D170,'[1]0.1 Produksi Pangan &amp; Penduduk'!$D$5:$M$860,10,0))</f>
        <v/>
      </c>
      <c r="M170" s="28" t="str">
        <f t="shared" si="25"/>
        <v/>
      </c>
      <c r="N170" s="60" t="str">
        <f t="shared" si="26"/>
        <v/>
      </c>
      <c r="O170" s="60" t="str">
        <f t="shared" si="27"/>
        <v/>
      </c>
      <c r="P170" s="60" t="str">
        <f t="shared" si="28"/>
        <v/>
      </c>
      <c r="Q170" s="28" t="str">
        <f t="shared" si="29"/>
        <v/>
      </c>
    </row>
    <row r="171" spans="1:17" ht="15" x14ac:dyDescent="0.25">
      <c r="A171" s="3" t="str">
        <f>IF('[1]0.1 Produksi Pangan &amp; Penduduk'!A172="","",'[1]0.1 Produksi Pangan &amp; Penduduk'!A172)</f>
        <v/>
      </c>
      <c r="B171" s="2" t="str">
        <f>IF('[1]0.1 Produksi Pangan &amp; Penduduk'!B172="","",'[1]0.1 Produksi Pangan &amp; Penduduk'!B172)</f>
        <v/>
      </c>
      <c r="C171" s="2" t="str">
        <f>IF('[1]0.1 Produksi Pangan &amp; Penduduk'!F172="","",'[1]0.1 Produksi Pangan &amp; Penduduk'!F172)</f>
        <v/>
      </c>
      <c r="D171" s="3" t="str">
        <f>IF('[1]0.1 Produksi Pangan &amp; Penduduk'!D172="","",'[1]0.1 Produksi Pangan &amp; Penduduk'!D172)</f>
        <v/>
      </c>
      <c r="E171" s="3" t="str">
        <f>IF('[1]0.1 Produksi Pangan &amp; Penduduk'!E172="","",'[1]0.1 Produksi Pangan &amp; Penduduk'!E172)</f>
        <v/>
      </c>
      <c r="F171" s="59" t="str">
        <f>IF(D171="","",VLOOKUP(D171,'[1]0.1 Produksi Pangan &amp; Penduduk'!$D$5:$J$860,7,0))</f>
        <v/>
      </c>
      <c r="G171" s="27" t="str">
        <f t="shared" si="20"/>
        <v/>
      </c>
      <c r="H171" s="27" t="str">
        <f t="shared" si="21"/>
        <v/>
      </c>
      <c r="I171" s="27" t="str">
        <f t="shared" si="22"/>
        <v/>
      </c>
      <c r="J171" s="27" t="str">
        <f t="shared" si="23"/>
        <v/>
      </c>
      <c r="K171" s="27" t="str">
        <f t="shared" si="24"/>
        <v/>
      </c>
      <c r="L171" s="59" t="str">
        <f>IF(D171="","",VLOOKUP(D171,'[1]0.1 Produksi Pangan &amp; Penduduk'!$D$5:$M$860,10,0))</f>
        <v/>
      </c>
      <c r="M171" s="28" t="str">
        <f t="shared" si="25"/>
        <v/>
      </c>
      <c r="N171" s="60" t="str">
        <f t="shared" si="26"/>
        <v/>
      </c>
      <c r="O171" s="60" t="str">
        <f t="shared" si="27"/>
        <v/>
      </c>
      <c r="P171" s="60" t="str">
        <f t="shared" si="28"/>
        <v/>
      </c>
      <c r="Q171" s="28" t="str">
        <f t="shared" si="29"/>
        <v/>
      </c>
    </row>
    <row r="172" spans="1:17" ht="15" x14ac:dyDescent="0.25">
      <c r="A172" s="3" t="str">
        <f>IF('[1]0.1 Produksi Pangan &amp; Penduduk'!A173="","",'[1]0.1 Produksi Pangan &amp; Penduduk'!A173)</f>
        <v/>
      </c>
      <c r="B172" s="2" t="str">
        <f>IF('[1]0.1 Produksi Pangan &amp; Penduduk'!B173="","",'[1]0.1 Produksi Pangan &amp; Penduduk'!B173)</f>
        <v/>
      </c>
      <c r="C172" s="2" t="str">
        <f>IF('[1]0.1 Produksi Pangan &amp; Penduduk'!F173="","",'[1]0.1 Produksi Pangan &amp; Penduduk'!F173)</f>
        <v/>
      </c>
      <c r="D172" s="3" t="str">
        <f>IF('[1]0.1 Produksi Pangan &amp; Penduduk'!D173="","",'[1]0.1 Produksi Pangan &amp; Penduduk'!D173)</f>
        <v/>
      </c>
      <c r="E172" s="3" t="str">
        <f>IF('[1]0.1 Produksi Pangan &amp; Penduduk'!E173="","",'[1]0.1 Produksi Pangan &amp; Penduduk'!E173)</f>
        <v/>
      </c>
      <c r="F172" s="59" t="str">
        <f>IF(D172="","",VLOOKUP(D172,'[1]0.1 Produksi Pangan &amp; Penduduk'!$D$5:$J$860,7,0))</f>
        <v/>
      </c>
      <c r="G172" s="27" t="str">
        <f t="shared" si="20"/>
        <v/>
      </c>
      <c r="H172" s="27" t="str">
        <f t="shared" si="21"/>
        <v/>
      </c>
      <c r="I172" s="27" t="str">
        <f t="shared" si="22"/>
        <v/>
      </c>
      <c r="J172" s="27" t="str">
        <f t="shared" si="23"/>
        <v/>
      </c>
      <c r="K172" s="27" t="str">
        <f t="shared" si="24"/>
        <v/>
      </c>
      <c r="L172" s="59" t="str">
        <f>IF(D172="","",VLOOKUP(D172,'[1]0.1 Produksi Pangan &amp; Penduduk'!$D$5:$M$860,10,0))</f>
        <v/>
      </c>
      <c r="M172" s="28" t="str">
        <f t="shared" si="25"/>
        <v/>
      </c>
      <c r="N172" s="60" t="str">
        <f t="shared" si="26"/>
        <v/>
      </c>
      <c r="O172" s="60" t="str">
        <f t="shared" si="27"/>
        <v/>
      </c>
      <c r="P172" s="60" t="str">
        <f t="shared" si="28"/>
        <v/>
      </c>
      <c r="Q172" s="28" t="str">
        <f t="shared" si="29"/>
        <v/>
      </c>
    </row>
    <row r="173" spans="1:17" ht="15" x14ac:dyDescent="0.25">
      <c r="A173" s="3" t="str">
        <f>IF('[1]0.1 Produksi Pangan &amp; Penduduk'!A174="","",'[1]0.1 Produksi Pangan &amp; Penduduk'!A174)</f>
        <v/>
      </c>
      <c r="B173" s="2" t="str">
        <f>IF('[1]0.1 Produksi Pangan &amp; Penduduk'!B174="","",'[1]0.1 Produksi Pangan &amp; Penduduk'!B174)</f>
        <v/>
      </c>
      <c r="C173" s="2" t="str">
        <f>IF('[1]0.1 Produksi Pangan &amp; Penduduk'!F174="","",'[1]0.1 Produksi Pangan &amp; Penduduk'!F174)</f>
        <v/>
      </c>
      <c r="D173" s="3" t="str">
        <f>IF('[1]0.1 Produksi Pangan &amp; Penduduk'!D174="","",'[1]0.1 Produksi Pangan &amp; Penduduk'!D174)</f>
        <v/>
      </c>
      <c r="E173" s="3" t="str">
        <f>IF('[1]0.1 Produksi Pangan &amp; Penduduk'!E174="","",'[1]0.1 Produksi Pangan &amp; Penduduk'!E174)</f>
        <v/>
      </c>
      <c r="F173" s="59" t="str">
        <f>IF(D173="","",VLOOKUP(D173,'[1]0.1 Produksi Pangan &amp; Penduduk'!$D$5:$J$860,7,0))</f>
        <v/>
      </c>
      <c r="G173" s="27" t="str">
        <f t="shared" si="20"/>
        <v/>
      </c>
      <c r="H173" s="27" t="str">
        <f t="shared" si="21"/>
        <v/>
      </c>
      <c r="I173" s="27" t="str">
        <f t="shared" si="22"/>
        <v/>
      </c>
      <c r="J173" s="27" t="str">
        <f t="shared" si="23"/>
        <v/>
      </c>
      <c r="K173" s="27" t="str">
        <f t="shared" si="24"/>
        <v/>
      </c>
      <c r="L173" s="59" t="str">
        <f>IF(D173="","",VLOOKUP(D173,'[1]0.1 Produksi Pangan &amp; Penduduk'!$D$5:$M$860,10,0))</f>
        <v/>
      </c>
      <c r="M173" s="28" t="str">
        <f t="shared" si="25"/>
        <v/>
      </c>
      <c r="N173" s="60" t="str">
        <f t="shared" si="26"/>
        <v/>
      </c>
      <c r="O173" s="60" t="str">
        <f t="shared" si="27"/>
        <v/>
      </c>
      <c r="P173" s="60" t="str">
        <f t="shared" si="28"/>
        <v/>
      </c>
      <c r="Q173" s="28" t="str">
        <f t="shared" si="29"/>
        <v/>
      </c>
    </row>
    <row r="174" spans="1:17" ht="15" x14ac:dyDescent="0.25">
      <c r="A174" s="3" t="str">
        <f>IF('[1]0.1 Produksi Pangan &amp; Penduduk'!A175="","",'[1]0.1 Produksi Pangan &amp; Penduduk'!A175)</f>
        <v/>
      </c>
      <c r="B174" s="2" t="str">
        <f>IF('[1]0.1 Produksi Pangan &amp; Penduduk'!B175="","",'[1]0.1 Produksi Pangan &amp; Penduduk'!B175)</f>
        <v/>
      </c>
      <c r="C174" s="2" t="str">
        <f>IF('[1]0.1 Produksi Pangan &amp; Penduduk'!F175="","",'[1]0.1 Produksi Pangan &amp; Penduduk'!F175)</f>
        <v/>
      </c>
      <c r="D174" s="3" t="str">
        <f>IF('[1]0.1 Produksi Pangan &amp; Penduduk'!D175="","",'[1]0.1 Produksi Pangan &amp; Penduduk'!D175)</f>
        <v/>
      </c>
      <c r="E174" s="3" t="str">
        <f>IF('[1]0.1 Produksi Pangan &amp; Penduduk'!E175="","",'[1]0.1 Produksi Pangan &amp; Penduduk'!E175)</f>
        <v/>
      </c>
      <c r="F174" s="59" t="str">
        <f>IF(D174="","",VLOOKUP(D174,'[1]0.1 Produksi Pangan &amp; Penduduk'!$D$5:$J$860,7,0))</f>
        <v/>
      </c>
      <c r="G174" s="27" t="str">
        <f t="shared" si="20"/>
        <v/>
      </c>
      <c r="H174" s="27" t="str">
        <f t="shared" si="21"/>
        <v/>
      </c>
      <c r="I174" s="27" t="str">
        <f t="shared" si="22"/>
        <v/>
      </c>
      <c r="J174" s="27" t="str">
        <f t="shared" si="23"/>
        <v/>
      </c>
      <c r="K174" s="27" t="str">
        <f t="shared" si="24"/>
        <v/>
      </c>
      <c r="L174" s="59" t="str">
        <f>IF(D174="","",VLOOKUP(D174,'[1]0.1 Produksi Pangan &amp; Penduduk'!$D$5:$M$860,10,0))</f>
        <v/>
      </c>
      <c r="M174" s="28" t="str">
        <f t="shared" si="25"/>
        <v/>
      </c>
      <c r="N174" s="60" t="str">
        <f t="shared" si="26"/>
        <v/>
      </c>
      <c r="O174" s="60" t="str">
        <f t="shared" si="27"/>
        <v/>
      </c>
      <c r="P174" s="60" t="str">
        <f t="shared" si="28"/>
        <v/>
      </c>
      <c r="Q174" s="28" t="str">
        <f t="shared" si="29"/>
        <v/>
      </c>
    </row>
    <row r="175" spans="1:17" ht="15" x14ac:dyDescent="0.25">
      <c r="A175" s="3" t="str">
        <f>IF('[1]0.1 Produksi Pangan &amp; Penduduk'!A176="","",'[1]0.1 Produksi Pangan &amp; Penduduk'!A176)</f>
        <v/>
      </c>
      <c r="B175" s="2" t="str">
        <f>IF('[1]0.1 Produksi Pangan &amp; Penduduk'!B176="","",'[1]0.1 Produksi Pangan &amp; Penduduk'!B176)</f>
        <v/>
      </c>
      <c r="C175" s="2" t="str">
        <f>IF('[1]0.1 Produksi Pangan &amp; Penduduk'!F176="","",'[1]0.1 Produksi Pangan &amp; Penduduk'!F176)</f>
        <v/>
      </c>
      <c r="D175" s="3" t="str">
        <f>IF('[1]0.1 Produksi Pangan &amp; Penduduk'!D176="","",'[1]0.1 Produksi Pangan &amp; Penduduk'!D176)</f>
        <v/>
      </c>
      <c r="E175" s="3" t="str">
        <f>IF('[1]0.1 Produksi Pangan &amp; Penduduk'!E176="","",'[1]0.1 Produksi Pangan &amp; Penduduk'!E176)</f>
        <v/>
      </c>
      <c r="F175" s="59" t="str">
        <f>IF(D175="","",VLOOKUP(D175,'[1]0.1 Produksi Pangan &amp; Penduduk'!$D$5:$J$860,7,0))</f>
        <v/>
      </c>
      <c r="G175" s="27" t="str">
        <f t="shared" si="20"/>
        <v/>
      </c>
      <c r="H175" s="27" t="str">
        <f t="shared" si="21"/>
        <v/>
      </c>
      <c r="I175" s="27" t="str">
        <f t="shared" si="22"/>
        <v/>
      </c>
      <c r="J175" s="27" t="str">
        <f t="shared" si="23"/>
        <v/>
      </c>
      <c r="K175" s="27" t="str">
        <f t="shared" si="24"/>
        <v/>
      </c>
      <c r="L175" s="59" t="str">
        <f>IF(D175="","",VLOOKUP(D175,'[1]0.1 Produksi Pangan &amp; Penduduk'!$D$5:$M$860,10,0))</f>
        <v/>
      </c>
      <c r="M175" s="28" t="str">
        <f t="shared" si="25"/>
        <v/>
      </c>
      <c r="N175" s="60" t="str">
        <f t="shared" si="26"/>
        <v/>
      </c>
      <c r="O175" s="60" t="str">
        <f t="shared" si="27"/>
        <v/>
      </c>
      <c r="P175" s="60" t="str">
        <f t="shared" si="28"/>
        <v/>
      </c>
      <c r="Q175" s="28" t="str">
        <f t="shared" si="29"/>
        <v/>
      </c>
    </row>
    <row r="176" spans="1:17" ht="15" x14ac:dyDescent="0.25">
      <c r="A176" s="3" t="str">
        <f>IF('[1]0.1 Produksi Pangan &amp; Penduduk'!A177="","",'[1]0.1 Produksi Pangan &amp; Penduduk'!A177)</f>
        <v/>
      </c>
      <c r="B176" s="2" t="str">
        <f>IF('[1]0.1 Produksi Pangan &amp; Penduduk'!B177="","",'[1]0.1 Produksi Pangan &amp; Penduduk'!B177)</f>
        <v/>
      </c>
      <c r="C176" s="2" t="str">
        <f>IF('[1]0.1 Produksi Pangan &amp; Penduduk'!F177="","",'[1]0.1 Produksi Pangan &amp; Penduduk'!F177)</f>
        <v/>
      </c>
      <c r="D176" s="3" t="str">
        <f>IF('[1]0.1 Produksi Pangan &amp; Penduduk'!D177="","",'[1]0.1 Produksi Pangan &amp; Penduduk'!D177)</f>
        <v/>
      </c>
      <c r="E176" s="3" t="str">
        <f>IF('[1]0.1 Produksi Pangan &amp; Penduduk'!E177="","",'[1]0.1 Produksi Pangan &amp; Penduduk'!E177)</f>
        <v/>
      </c>
      <c r="F176" s="59" t="str">
        <f>IF(D176="","",VLOOKUP(D176,'[1]0.1 Produksi Pangan &amp; Penduduk'!$D$5:$J$860,7,0))</f>
        <v/>
      </c>
      <c r="G176" s="27" t="str">
        <f t="shared" si="20"/>
        <v/>
      </c>
      <c r="H176" s="27" t="str">
        <f t="shared" si="21"/>
        <v/>
      </c>
      <c r="I176" s="27" t="str">
        <f t="shared" si="22"/>
        <v/>
      </c>
      <c r="J176" s="27" t="str">
        <f t="shared" si="23"/>
        <v/>
      </c>
      <c r="K176" s="27" t="str">
        <f t="shared" si="24"/>
        <v/>
      </c>
      <c r="L176" s="59" t="str">
        <f>IF(D176="","",VLOOKUP(D176,'[1]0.1 Produksi Pangan &amp; Penduduk'!$D$5:$M$860,10,0))</f>
        <v/>
      </c>
      <c r="M176" s="28" t="str">
        <f t="shared" si="25"/>
        <v/>
      </c>
      <c r="N176" s="60" t="str">
        <f t="shared" si="26"/>
        <v/>
      </c>
      <c r="O176" s="60" t="str">
        <f t="shared" si="27"/>
        <v/>
      </c>
      <c r="P176" s="60" t="str">
        <f t="shared" si="28"/>
        <v/>
      </c>
      <c r="Q176" s="28" t="str">
        <f t="shared" si="29"/>
        <v/>
      </c>
    </row>
    <row r="177" spans="1:17" ht="15" x14ac:dyDescent="0.25">
      <c r="A177" s="3" t="str">
        <f>IF('[1]0.1 Produksi Pangan &amp; Penduduk'!A178="","",'[1]0.1 Produksi Pangan &amp; Penduduk'!A178)</f>
        <v/>
      </c>
      <c r="B177" s="2" t="str">
        <f>IF('[1]0.1 Produksi Pangan &amp; Penduduk'!B178="","",'[1]0.1 Produksi Pangan &amp; Penduduk'!B178)</f>
        <v/>
      </c>
      <c r="C177" s="2" t="str">
        <f>IF('[1]0.1 Produksi Pangan &amp; Penduduk'!F178="","",'[1]0.1 Produksi Pangan &amp; Penduduk'!F178)</f>
        <v/>
      </c>
      <c r="D177" s="3" t="str">
        <f>IF('[1]0.1 Produksi Pangan &amp; Penduduk'!D178="","",'[1]0.1 Produksi Pangan &amp; Penduduk'!D178)</f>
        <v/>
      </c>
      <c r="E177" s="3" t="str">
        <f>IF('[1]0.1 Produksi Pangan &amp; Penduduk'!E178="","",'[1]0.1 Produksi Pangan &amp; Penduduk'!E178)</f>
        <v/>
      </c>
      <c r="F177" s="59" t="str">
        <f>IF(D177="","",VLOOKUP(D177,'[1]0.1 Produksi Pangan &amp; Penduduk'!$D$5:$J$860,7,0))</f>
        <v/>
      </c>
      <c r="G177" s="27" t="str">
        <f t="shared" si="20"/>
        <v/>
      </c>
      <c r="H177" s="27" t="str">
        <f t="shared" si="21"/>
        <v/>
      </c>
      <c r="I177" s="27" t="str">
        <f t="shared" si="22"/>
        <v/>
      </c>
      <c r="J177" s="27" t="str">
        <f t="shared" si="23"/>
        <v/>
      </c>
      <c r="K177" s="27" t="str">
        <f t="shared" si="24"/>
        <v/>
      </c>
      <c r="L177" s="59" t="str">
        <f>IF(D177="","",VLOOKUP(D177,'[1]0.1 Produksi Pangan &amp; Penduduk'!$D$5:$M$860,10,0))</f>
        <v/>
      </c>
      <c r="M177" s="28" t="str">
        <f t="shared" si="25"/>
        <v/>
      </c>
      <c r="N177" s="60" t="str">
        <f t="shared" si="26"/>
        <v/>
      </c>
      <c r="O177" s="60" t="str">
        <f t="shared" si="27"/>
        <v/>
      </c>
      <c r="P177" s="60" t="str">
        <f t="shared" si="28"/>
        <v/>
      </c>
      <c r="Q177" s="28" t="str">
        <f t="shared" si="29"/>
        <v/>
      </c>
    </row>
    <row r="178" spans="1:17" ht="15" x14ac:dyDescent="0.25">
      <c r="A178" s="3" t="str">
        <f>IF('[1]0.1 Produksi Pangan &amp; Penduduk'!A179="","",'[1]0.1 Produksi Pangan &amp; Penduduk'!A179)</f>
        <v/>
      </c>
      <c r="B178" s="2" t="str">
        <f>IF('[1]0.1 Produksi Pangan &amp; Penduduk'!B179="","",'[1]0.1 Produksi Pangan &amp; Penduduk'!B179)</f>
        <v/>
      </c>
      <c r="C178" s="2" t="str">
        <f>IF('[1]0.1 Produksi Pangan &amp; Penduduk'!F179="","",'[1]0.1 Produksi Pangan &amp; Penduduk'!F179)</f>
        <v/>
      </c>
      <c r="D178" s="3" t="str">
        <f>IF('[1]0.1 Produksi Pangan &amp; Penduduk'!D179="","",'[1]0.1 Produksi Pangan &amp; Penduduk'!D179)</f>
        <v/>
      </c>
      <c r="E178" s="3" t="str">
        <f>IF('[1]0.1 Produksi Pangan &amp; Penduduk'!E179="","",'[1]0.1 Produksi Pangan &amp; Penduduk'!E179)</f>
        <v/>
      </c>
      <c r="F178" s="59" t="str">
        <f>IF(D178="","",VLOOKUP(D178,'[1]0.1 Produksi Pangan &amp; Penduduk'!$D$5:$J$860,7,0))</f>
        <v/>
      </c>
      <c r="G178" s="27" t="str">
        <f t="shared" si="20"/>
        <v/>
      </c>
      <c r="H178" s="27" t="str">
        <f t="shared" si="21"/>
        <v/>
      </c>
      <c r="I178" s="27" t="str">
        <f t="shared" si="22"/>
        <v/>
      </c>
      <c r="J178" s="27" t="str">
        <f t="shared" si="23"/>
        <v/>
      </c>
      <c r="K178" s="27" t="str">
        <f t="shared" si="24"/>
        <v/>
      </c>
      <c r="L178" s="59" t="str">
        <f>IF(D178="","",VLOOKUP(D178,'[1]0.1 Produksi Pangan &amp; Penduduk'!$D$5:$M$860,10,0))</f>
        <v/>
      </c>
      <c r="M178" s="28" t="str">
        <f t="shared" si="25"/>
        <v/>
      </c>
      <c r="N178" s="60" t="str">
        <f t="shared" si="26"/>
        <v/>
      </c>
      <c r="O178" s="60" t="str">
        <f t="shared" si="27"/>
        <v/>
      </c>
      <c r="P178" s="60" t="str">
        <f t="shared" si="28"/>
        <v/>
      </c>
      <c r="Q178" s="28" t="str">
        <f t="shared" si="29"/>
        <v/>
      </c>
    </row>
    <row r="179" spans="1:17" ht="15" x14ac:dyDescent="0.25">
      <c r="A179" s="3" t="str">
        <f>IF('[1]0.1 Produksi Pangan &amp; Penduduk'!A180="","",'[1]0.1 Produksi Pangan &amp; Penduduk'!A180)</f>
        <v/>
      </c>
      <c r="B179" s="2" t="str">
        <f>IF('[1]0.1 Produksi Pangan &amp; Penduduk'!B180="","",'[1]0.1 Produksi Pangan &amp; Penduduk'!B180)</f>
        <v/>
      </c>
      <c r="C179" s="2" t="str">
        <f>IF('[1]0.1 Produksi Pangan &amp; Penduduk'!F180="","",'[1]0.1 Produksi Pangan &amp; Penduduk'!F180)</f>
        <v/>
      </c>
      <c r="D179" s="3" t="str">
        <f>IF('[1]0.1 Produksi Pangan &amp; Penduduk'!D180="","",'[1]0.1 Produksi Pangan &amp; Penduduk'!D180)</f>
        <v/>
      </c>
      <c r="E179" s="3" t="str">
        <f>IF('[1]0.1 Produksi Pangan &amp; Penduduk'!E180="","",'[1]0.1 Produksi Pangan &amp; Penduduk'!E180)</f>
        <v/>
      </c>
      <c r="F179" s="59" t="str">
        <f>IF(D179="","",VLOOKUP(D179,'[1]0.1 Produksi Pangan &amp; Penduduk'!$D$5:$J$860,7,0))</f>
        <v/>
      </c>
      <c r="G179" s="27" t="str">
        <f t="shared" si="20"/>
        <v/>
      </c>
      <c r="H179" s="27" t="str">
        <f t="shared" si="21"/>
        <v/>
      </c>
      <c r="I179" s="27" t="str">
        <f t="shared" si="22"/>
        <v/>
      </c>
      <c r="J179" s="27" t="str">
        <f t="shared" si="23"/>
        <v/>
      </c>
      <c r="K179" s="27" t="str">
        <f t="shared" si="24"/>
        <v/>
      </c>
      <c r="L179" s="59" t="str">
        <f>IF(D179="","",VLOOKUP(D179,'[1]0.1 Produksi Pangan &amp; Penduduk'!$D$5:$M$860,10,0))</f>
        <v/>
      </c>
      <c r="M179" s="28" t="str">
        <f t="shared" si="25"/>
        <v/>
      </c>
      <c r="N179" s="60" t="str">
        <f t="shared" si="26"/>
        <v/>
      </c>
      <c r="O179" s="60" t="str">
        <f t="shared" si="27"/>
        <v/>
      </c>
      <c r="P179" s="60" t="str">
        <f t="shared" si="28"/>
        <v/>
      </c>
      <c r="Q179" s="28" t="str">
        <f t="shared" si="29"/>
        <v/>
      </c>
    </row>
    <row r="180" spans="1:17" ht="15" x14ac:dyDescent="0.25">
      <c r="A180" s="3" t="str">
        <f>IF('[1]0.1 Produksi Pangan &amp; Penduduk'!A181="","",'[1]0.1 Produksi Pangan &amp; Penduduk'!A181)</f>
        <v/>
      </c>
      <c r="B180" s="2" t="str">
        <f>IF('[1]0.1 Produksi Pangan &amp; Penduduk'!B181="","",'[1]0.1 Produksi Pangan &amp; Penduduk'!B181)</f>
        <v/>
      </c>
      <c r="C180" s="2" t="str">
        <f>IF('[1]0.1 Produksi Pangan &amp; Penduduk'!F181="","",'[1]0.1 Produksi Pangan &amp; Penduduk'!F181)</f>
        <v/>
      </c>
      <c r="D180" s="3" t="str">
        <f>IF('[1]0.1 Produksi Pangan &amp; Penduduk'!D181="","",'[1]0.1 Produksi Pangan &amp; Penduduk'!D181)</f>
        <v/>
      </c>
      <c r="E180" s="3" t="str">
        <f>IF('[1]0.1 Produksi Pangan &amp; Penduduk'!E181="","",'[1]0.1 Produksi Pangan &amp; Penduduk'!E181)</f>
        <v/>
      </c>
      <c r="F180" s="59" t="str">
        <f>IF(D180="","",VLOOKUP(D180,'[1]0.1 Produksi Pangan &amp; Penduduk'!$D$5:$J$860,7,0))</f>
        <v/>
      </c>
      <c r="G180" s="27" t="str">
        <f t="shared" si="20"/>
        <v/>
      </c>
      <c r="H180" s="27" t="str">
        <f t="shared" si="21"/>
        <v/>
      </c>
      <c r="I180" s="27" t="str">
        <f t="shared" si="22"/>
        <v/>
      </c>
      <c r="J180" s="27" t="str">
        <f t="shared" si="23"/>
        <v/>
      </c>
      <c r="K180" s="27" t="str">
        <f t="shared" si="24"/>
        <v/>
      </c>
      <c r="L180" s="59" t="str">
        <f>IF(D180="","",VLOOKUP(D180,'[1]0.1 Produksi Pangan &amp; Penduduk'!$D$5:$M$860,10,0))</f>
        <v/>
      </c>
      <c r="M180" s="28" t="str">
        <f t="shared" si="25"/>
        <v/>
      </c>
      <c r="N180" s="60" t="str">
        <f t="shared" si="26"/>
        <v/>
      </c>
      <c r="O180" s="60" t="str">
        <f t="shared" si="27"/>
        <v/>
      </c>
      <c r="P180" s="60" t="str">
        <f t="shared" si="28"/>
        <v/>
      </c>
      <c r="Q180" s="28" t="str">
        <f t="shared" si="29"/>
        <v/>
      </c>
    </row>
    <row r="181" spans="1:17" ht="15" x14ac:dyDescent="0.25">
      <c r="A181" s="3" t="str">
        <f>IF('[1]0.1 Produksi Pangan &amp; Penduduk'!A182="","",'[1]0.1 Produksi Pangan &amp; Penduduk'!A182)</f>
        <v/>
      </c>
      <c r="B181" s="2" t="str">
        <f>IF('[1]0.1 Produksi Pangan &amp; Penduduk'!B182="","",'[1]0.1 Produksi Pangan &amp; Penduduk'!B182)</f>
        <v/>
      </c>
      <c r="C181" s="2" t="str">
        <f>IF('[1]0.1 Produksi Pangan &amp; Penduduk'!F182="","",'[1]0.1 Produksi Pangan &amp; Penduduk'!F182)</f>
        <v/>
      </c>
      <c r="D181" s="3" t="str">
        <f>IF('[1]0.1 Produksi Pangan &amp; Penduduk'!D182="","",'[1]0.1 Produksi Pangan &amp; Penduduk'!D182)</f>
        <v/>
      </c>
      <c r="E181" s="3" t="str">
        <f>IF('[1]0.1 Produksi Pangan &amp; Penduduk'!E182="","",'[1]0.1 Produksi Pangan &amp; Penduduk'!E182)</f>
        <v/>
      </c>
      <c r="F181" s="59" t="str">
        <f>IF(D181="","",VLOOKUP(D181,'[1]0.1 Produksi Pangan &amp; Penduduk'!$D$5:$J$860,7,0))</f>
        <v/>
      </c>
      <c r="G181" s="27" t="str">
        <f t="shared" si="20"/>
        <v/>
      </c>
      <c r="H181" s="27" t="str">
        <f t="shared" si="21"/>
        <v/>
      </c>
      <c r="I181" s="27" t="str">
        <f t="shared" si="22"/>
        <v/>
      </c>
      <c r="J181" s="27" t="str">
        <f t="shared" si="23"/>
        <v/>
      </c>
      <c r="K181" s="27" t="str">
        <f t="shared" si="24"/>
        <v/>
      </c>
      <c r="L181" s="59" t="str">
        <f>IF(D181="","",VLOOKUP(D181,'[1]0.1 Produksi Pangan &amp; Penduduk'!$D$5:$M$860,10,0))</f>
        <v/>
      </c>
      <c r="M181" s="28" t="str">
        <f t="shared" si="25"/>
        <v/>
      </c>
      <c r="N181" s="60" t="str">
        <f t="shared" si="26"/>
        <v/>
      </c>
      <c r="O181" s="60" t="str">
        <f t="shared" si="27"/>
        <v/>
      </c>
      <c r="P181" s="60" t="str">
        <f t="shared" si="28"/>
        <v/>
      </c>
      <c r="Q181" s="28" t="str">
        <f t="shared" si="29"/>
        <v/>
      </c>
    </row>
    <row r="182" spans="1:17" ht="15" x14ac:dyDescent="0.25">
      <c r="A182" s="3" t="str">
        <f>IF('[1]0.1 Produksi Pangan &amp; Penduduk'!A183="","",'[1]0.1 Produksi Pangan &amp; Penduduk'!A183)</f>
        <v/>
      </c>
      <c r="B182" s="2" t="str">
        <f>IF('[1]0.1 Produksi Pangan &amp; Penduduk'!B183="","",'[1]0.1 Produksi Pangan &amp; Penduduk'!B183)</f>
        <v/>
      </c>
      <c r="C182" s="2" t="str">
        <f>IF('[1]0.1 Produksi Pangan &amp; Penduduk'!F183="","",'[1]0.1 Produksi Pangan &amp; Penduduk'!F183)</f>
        <v/>
      </c>
      <c r="D182" s="3" t="str">
        <f>IF('[1]0.1 Produksi Pangan &amp; Penduduk'!D183="","",'[1]0.1 Produksi Pangan &amp; Penduduk'!D183)</f>
        <v/>
      </c>
      <c r="E182" s="3" t="str">
        <f>IF('[1]0.1 Produksi Pangan &amp; Penduduk'!E183="","",'[1]0.1 Produksi Pangan &amp; Penduduk'!E183)</f>
        <v/>
      </c>
      <c r="F182" s="59" t="str">
        <f>IF(D182="","",VLOOKUP(D182,'[1]0.1 Produksi Pangan &amp; Penduduk'!$D$5:$J$860,7,0))</f>
        <v/>
      </c>
      <c r="G182" s="27" t="str">
        <f t="shared" si="20"/>
        <v/>
      </c>
      <c r="H182" s="27" t="str">
        <f t="shared" si="21"/>
        <v/>
      </c>
      <c r="I182" s="27" t="str">
        <f t="shared" si="22"/>
        <v/>
      </c>
      <c r="J182" s="27" t="str">
        <f t="shared" si="23"/>
        <v/>
      </c>
      <c r="K182" s="27" t="str">
        <f t="shared" si="24"/>
        <v/>
      </c>
      <c r="L182" s="59" t="str">
        <f>IF(D182="","",VLOOKUP(D182,'[1]0.1 Produksi Pangan &amp; Penduduk'!$D$5:$M$860,10,0))</f>
        <v/>
      </c>
      <c r="M182" s="28" t="str">
        <f t="shared" si="25"/>
        <v/>
      </c>
      <c r="N182" s="60" t="str">
        <f t="shared" si="26"/>
        <v/>
      </c>
      <c r="O182" s="60" t="str">
        <f t="shared" si="27"/>
        <v/>
      </c>
      <c r="P182" s="60" t="str">
        <f t="shared" si="28"/>
        <v/>
      </c>
      <c r="Q182" s="28" t="str">
        <f t="shared" si="29"/>
        <v/>
      </c>
    </row>
    <row r="183" spans="1:17" ht="15" x14ac:dyDescent="0.25">
      <c r="A183" s="3" t="str">
        <f>IF('[1]0.1 Produksi Pangan &amp; Penduduk'!A184="","",'[1]0.1 Produksi Pangan &amp; Penduduk'!A184)</f>
        <v/>
      </c>
      <c r="B183" s="2" t="str">
        <f>IF('[1]0.1 Produksi Pangan &amp; Penduduk'!B184="","",'[1]0.1 Produksi Pangan &amp; Penduduk'!B184)</f>
        <v/>
      </c>
      <c r="C183" s="2" t="str">
        <f>IF('[1]0.1 Produksi Pangan &amp; Penduduk'!F184="","",'[1]0.1 Produksi Pangan &amp; Penduduk'!F184)</f>
        <v/>
      </c>
      <c r="D183" s="3" t="str">
        <f>IF('[1]0.1 Produksi Pangan &amp; Penduduk'!D184="","",'[1]0.1 Produksi Pangan &amp; Penduduk'!D184)</f>
        <v/>
      </c>
      <c r="E183" s="3" t="str">
        <f>IF('[1]0.1 Produksi Pangan &amp; Penduduk'!E184="","",'[1]0.1 Produksi Pangan &amp; Penduduk'!E184)</f>
        <v/>
      </c>
      <c r="F183" s="59" t="str">
        <f>IF(D183="","",VLOOKUP(D183,'[1]0.1 Produksi Pangan &amp; Penduduk'!$D$5:$J$860,7,0))</f>
        <v/>
      </c>
      <c r="G183" s="27" t="str">
        <f t="shared" si="20"/>
        <v/>
      </c>
      <c r="H183" s="27" t="str">
        <f t="shared" si="21"/>
        <v/>
      </c>
      <c r="I183" s="27" t="str">
        <f t="shared" si="22"/>
        <v/>
      </c>
      <c r="J183" s="27" t="str">
        <f t="shared" si="23"/>
        <v/>
      </c>
      <c r="K183" s="27" t="str">
        <f t="shared" si="24"/>
        <v/>
      </c>
      <c r="L183" s="59" t="str">
        <f>IF(D183="","",VLOOKUP(D183,'[1]0.1 Produksi Pangan &amp; Penduduk'!$D$5:$M$860,10,0))</f>
        <v/>
      </c>
      <c r="M183" s="28" t="str">
        <f t="shared" si="25"/>
        <v/>
      </c>
      <c r="N183" s="60" t="str">
        <f t="shared" si="26"/>
        <v/>
      </c>
      <c r="O183" s="60" t="str">
        <f t="shared" si="27"/>
        <v/>
      </c>
      <c r="P183" s="60" t="str">
        <f t="shared" si="28"/>
        <v/>
      </c>
      <c r="Q183" s="28" t="str">
        <f t="shared" si="29"/>
        <v/>
      </c>
    </row>
    <row r="184" spans="1:17" ht="15" x14ac:dyDescent="0.25">
      <c r="A184" s="3" t="str">
        <f>IF('[1]0.1 Produksi Pangan &amp; Penduduk'!A185="","",'[1]0.1 Produksi Pangan &amp; Penduduk'!A185)</f>
        <v/>
      </c>
      <c r="B184" s="2" t="str">
        <f>IF('[1]0.1 Produksi Pangan &amp; Penduduk'!B185="","",'[1]0.1 Produksi Pangan &amp; Penduduk'!B185)</f>
        <v/>
      </c>
      <c r="C184" s="2" t="str">
        <f>IF('[1]0.1 Produksi Pangan &amp; Penduduk'!F185="","",'[1]0.1 Produksi Pangan &amp; Penduduk'!F185)</f>
        <v/>
      </c>
      <c r="D184" s="3" t="str">
        <f>IF('[1]0.1 Produksi Pangan &amp; Penduduk'!D185="","",'[1]0.1 Produksi Pangan &amp; Penduduk'!D185)</f>
        <v/>
      </c>
      <c r="E184" s="3" t="str">
        <f>IF('[1]0.1 Produksi Pangan &amp; Penduduk'!E185="","",'[1]0.1 Produksi Pangan &amp; Penduduk'!E185)</f>
        <v/>
      </c>
      <c r="F184" s="59" t="str">
        <f>IF(D184="","",VLOOKUP(D184,'[1]0.1 Produksi Pangan &amp; Penduduk'!$D$5:$J$860,7,0))</f>
        <v/>
      </c>
      <c r="G184" s="27" t="str">
        <f t="shared" si="20"/>
        <v/>
      </c>
      <c r="H184" s="27" t="str">
        <f t="shared" si="21"/>
        <v/>
      </c>
      <c r="I184" s="27" t="str">
        <f t="shared" si="22"/>
        <v/>
      </c>
      <c r="J184" s="27" t="str">
        <f t="shared" si="23"/>
        <v/>
      </c>
      <c r="K184" s="27" t="str">
        <f t="shared" si="24"/>
        <v/>
      </c>
      <c r="L184" s="59" t="str">
        <f>IF(D184="","",VLOOKUP(D184,'[1]0.1 Produksi Pangan &amp; Penduduk'!$D$5:$M$860,10,0))</f>
        <v/>
      </c>
      <c r="M184" s="28" t="str">
        <f t="shared" si="25"/>
        <v/>
      </c>
      <c r="N184" s="60" t="str">
        <f t="shared" si="26"/>
        <v/>
      </c>
      <c r="O184" s="60" t="str">
        <f t="shared" si="27"/>
        <v/>
      </c>
      <c r="P184" s="60" t="str">
        <f t="shared" si="28"/>
        <v/>
      </c>
      <c r="Q184" s="28" t="str">
        <f t="shared" si="29"/>
        <v/>
      </c>
    </row>
    <row r="185" spans="1:17" ht="15" x14ac:dyDescent="0.25">
      <c r="A185" s="3" t="str">
        <f>IF('[1]0.1 Produksi Pangan &amp; Penduduk'!A186="","",'[1]0.1 Produksi Pangan &amp; Penduduk'!A186)</f>
        <v/>
      </c>
      <c r="B185" s="2" t="str">
        <f>IF('[1]0.1 Produksi Pangan &amp; Penduduk'!B186="","",'[1]0.1 Produksi Pangan &amp; Penduduk'!B186)</f>
        <v/>
      </c>
      <c r="C185" s="2" t="str">
        <f>IF('[1]0.1 Produksi Pangan &amp; Penduduk'!F186="","",'[1]0.1 Produksi Pangan &amp; Penduduk'!F186)</f>
        <v/>
      </c>
      <c r="D185" s="3" t="str">
        <f>IF('[1]0.1 Produksi Pangan &amp; Penduduk'!D186="","",'[1]0.1 Produksi Pangan &amp; Penduduk'!D186)</f>
        <v/>
      </c>
      <c r="E185" s="3" t="str">
        <f>IF('[1]0.1 Produksi Pangan &amp; Penduduk'!E186="","",'[1]0.1 Produksi Pangan &amp; Penduduk'!E186)</f>
        <v/>
      </c>
      <c r="F185" s="59" t="str">
        <f>IF(D185="","",VLOOKUP(D185,'[1]0.1 Produksi Pangan &amp; Penduduk'!$D$5:$J$860,7,0))</f>
        <v/>
      </c>
      <c r="G185" s="27" t="str">
        <f t="shared" si="20"/>
        <v/>
      </c>
      <c r="H185" s="27" t="str">
        <f t="shared" si="21"/>
        <v/>
      </c>
      <c r="I185" s="27" t="str">
        <f t="shared" si="22"/>
        <v/>
      </c>
      <c r="J185" s="27" t="str">
        <f t="shared" si="23"/>
        <v/>
      </c>
      <c r="K185" s="27" t="str">
        <f t="shared" si="24"/>
        <v/>
      </c>
      <c r="L185" s="59" t="str">
        <f>IF(D185="","",VLOOKUP(D185,'[1]0.1 Produksi Pangan &amp; Penduduk'!$D$5:$M$860,10,0))</f>
        <v/>
      </c>
      <c r="M185" s="28" t="str">
        <f t="shared" si="25"/>
        <v/>
      </c>
      <c r="N185" s="60" t="str">
        <f t="shared" si="26"/>
        <v/>
      </c>
      <c r="O185" s="60" t="str">
        <f t="shared" si="27"/>
        <v/>
      </c>
      <c r="P185" s="60" t="str">
        <f t="shared" si="28"/>
        <v/>
      </c>
      <c r="Q185" s="28" t="str">
        <f t="shared" si="29"/>
        <v/>
      </c>
    </row>
    <row r="186" spans="1:17" ht="15" x14ac:dyDescent="0.25">
      <c r="A186" s="3" t="str">
        <f>IF('[1]0.1 Produksi Pangan &amp; Penduduk'!A187="","",'[1]0.1 Produksi Pangan &amp; Penduduk'!A187)</f>
        <v/>
      </c>
      <c r="B186" s="2" t="str">
        <f>IF('[1]0.1 Produksi Pangan &amp; Penduduk'!B187="","",'[1]0.1 Produksi Pangan &amp; Penduduk'!B187)</f>
        <v/>
      </c>
      <c r="C186" s="2" t="str">
        <f>IF('[1]0.1 Produksi Pangan &amp; Penduduk'!F187="","",'[1]0.1 Produksi Pangan &amp; Penduduk'!F187)</f>
        <v/>
      </c>
      <c r="D186" s="3" t="str">
        <f>IF('[1]0.1 Produksi Pangan &amp; Penduduk'!D187="","",'[1]0.1 Produksi Pangan &amp; Penduduk'!D187)</f>
        <v/>
      </c>
      <c r="E186" s="3" t="str">
        <f>IF('[1]0.1 Produksi Pangan &amp; Penduduk'!E187="","",'[1]0.1 Produksi Pangan &amp; Penduduk'!E187)</f>
        <v/>
      </c>
      <c r="F186" s="59" t="str">
        <f>IF(D186="","",VLOOKUP(D186,'[1]0.1 Produksi Pangan &amp; Penduduk'!$D$5:$J$860,7,0))</f>
        <v/>
      </c>
      <c r="G186" s="27" t="str">
        <f t="shared" si="20"/>
        <v/>
      </c>
      <c r="H186" s="27" t="str">
        <f t="shared" si="21"/>
        <v/>
      </c>
      <c r="I186" s="27" t="str">
        <f t="shared" si="22"/>
        <v/>
      </c>
      <c r="J186" s="27" t="str">
        <f t="shared" si="23"/>
        <v/>
      </c>
      <c r="K186" s="27" t="str">
        <f t="shared" si="24"/>
        <v/>
      </c>
      <c r="L186" s="59" t="str">
        <f>IF(D186="","",VLOOKUP(D186,'[1]0.1 Produksi Pangan &amp; Penduduk'!$D$5:$M$860,10,0))</f>
        <v/>
      </c>
      <c r="M186" s="28" t="str">
        <f t="shared" si="25"/>
        <v/>
      </c>
      <c r="N186" s="60" t="str">
        <f t="shared" si="26"/>
        <v/>
      </c>
      <c r="O186" s="60" t="str">
        <f t="shared" si="27"/>
        <v/>
      </c>
      <c r="P186" s="60" t="str">
        <f t="shared" si="28"/>
        <v/>
      </c>
      <c r="Q186" s="28" t="str">
        <f t="shared" si="29"/>
        <v/>
      </c>
    </row>
    <row r="187" spans="1:17" ht="15" x14ac:dyDescent="0.25">
      <c r="A187" s="3" t="str">
        <f>IF('[1]0.1 Produksi Pangan &amp; Penduduk'!A188="","",'[1]0.1 Produksi Pangan &amp; Penduduk'!A188)</f>
        <v/>
      </c>
      <c r="B187" s="2" t="str">
        <f>IF('[1]0.1 Produksi Pangan &amp; Penduduk'!B188="","",'[1]0.1 Produksi Pangan &amp; Penduduk'!B188)</f>
        <v/>
      </c>
      <c r="C187" s="2" t="str">
        <f>IF('[1]0.1 Produksi Pangan &amp; Penduduk'!F188="","",'[1]0.1 Produksi Pangan &amp; Penduduk'!F188)</f>
        <v/>
      </c>
      <c r="D187" s="3" t="str">
        <f>IF('[1]0.1 Produksi Pangan &amp; Penduduk'!D188="","",'[1]0.1 Produksi Pangan &amp; Penduduk'!D188)</f>
        <v/>
      </c>
      <c r="E187" s="3" t="str">
        <f>IF('[1]0.1 Produksi Pangan &amp; Penduduk'!E188="","",'[1]0.1 Produksi Pangan &amp; Penduduk'!E188)</f>
        <v/>
      </c>
      <c r="F187" s="59" t="str">
        <f>IF(D187="","",VLOOKUP(D187,'[1]0.1 Produksi Pangan &amp; Penduduk'!$D$5:$J$860,7,0))</f>
        <v/>
      </c>
      <c r="G187" s="27" t="str">
        <f t="shared" si="20"/>
        <v/>
      </c>
      <c r="H187" s="27" t="str">
        <f t="shared" si="21"/>
        <v/>
      </c>
      <c r="I187" s="27" t="str">
        <f t="shared" si="22"/>
        <v/>
      </c>
      <c r="J187" s="27" t="str">
        <f t="shared" si="23"/>
        <v/>
      </c>
      <c r="K187" s="27" t="str">
        <f t="shared" si="24"/>
        <v/>
      </c>
      <c r="L187" s="59" t="str">
        <f>IF(D187="","",VLOOKUP(D187,'[1]0.1 Produksi Pangan &amp; Penduduk'!$D$5:$M$860,10,0))</f>
        <v/>
      </c>
      <c r="M187" s="28" t="str">
        <f t="shared" si="25"/>
        <v/>
      </c>
      <c r="N187" s="60" t="str">
        <f t="shared" si="26"/>
        <v/>
      </c>
      <c r="O187" s="60" t="str">
        <f t="shared" si="27"/>
        <v/>
      </c>
      <c r="P187" s="60" t="str">
        <f t="shared" si="28"/>
        <v/>
      </c>
      <c r="Q187" s="28" t="str">
        <f t="shared" si="29"/>
        <v/>
      </c>
    </row>
    <row r="188" spans="1:17" ht="15" x14ac:dyDescent="0.25">
      <c r="A188" s="3" t="str">
        <f>IF('[1]0.1 Produksi Pangan &amp; Penduduk'!A189="","",'[1]0.1 Produksi Pangan &amp; Penduduk'!A189)</f>
        <v/>
      </c>
      <c r="B188" s="2" t="str">
        <f>IF('[1]0.1 Produksi Pangan &amp; Penduduk'!B189="","",'[1]0.1 Produksi Pangan &amp; Penduduk'!B189)</f>
        <v/>
      </c>
      <c r="C188" s="2" t="str">
        <f>IF('[1]0.1 Produksi Pangan &amp; Penduduk'!F189="","",'[1]0.1 Produksi Pangan &amp; Penduduk'!F189)</f>
        <v/>
      </c>
      <c r="D188" s="3" t="str">
        <f>IF('[1]0.1 Produksi Pangan &amp; Penduduk'!D189="","",'[1]0.1 Produksi Pangan &amp; Penduduk'!D189)</f>
        <v/>
      </c>
      <c r="E188" s="3" t="str">
        <f>IF('[1]0.1 Produksi Pangan &amp; Penduduk'!E189="","",'[1]0.1 Produksi Pangan &amp; Penduduk'!E189)</f>
        <v/>
      </c>
      <c r="F188" s="59" t="str">
        <f>IF(D188="","",VLOOKUP(D188,'[1]0.1 Produksi Pangan &amp; Penduduk'!$D$5:$J$860,7,0))</f>
        <v/>
      </c>
      <c r="G188" s="27" t="str">
        <f t="shared" si="20"/>
        <v/>
      </c>
      <c r="H188" s="27" t="str">
        <f t="shared" si="21"/>
        <v/>
      </c>
      <c r="I188" s="27" t="str">
        <f t="shared" si="22"/>
        <v/>
      </c>
      <c r="J188" s="27" t="str">
        <f t="shared" si="23"/>
        <v/>
      </c>
      <c r="K188" s="27" t="str">
        <f t="shared" si="24"/>
        <v/>
      </c>
      <c r="L188" s="59" t="str">
        <f>IF(D188="","",VLOOKUP(D188,'[1]0.1 Produksi Pangan &amp; Penduduk'!$D$5:$M$860,10,0))</f>
        <v/>
      </c>
      <c r="M188" s="28" t="str">
        <f t="shared" si="25"/>
        <v/>
      </c>
      <c r="N188" s="60" t="str">
        <f t="shared" si="26"/>
        <v/>
      </c>
      <c r="O188" s="60" t="str">
        <f t="shared" si="27"/>
        <v/>
      </c>
      <c r="P188" s="60" t="str">
        <f t="shared" si="28"/>
        <v/>
      </c>
      <c r="Q188" s="28" t="str">
        <f t="shared" si="29"/>
        <v/>
      </c>
    </row>
    <row r="189" spans="1:17" ht="15" x14ac:dyDescent="0.25">
      <c r="A189" s="3" t="str">
        <f>IF('[1]0.1 Produksi Pangan &amp; Penduduk'!A190="","",'[1]0.1 Produksi Pangan &amp; Penduduk'!A190)</f>
        <v/>
      </c>
      <c r="B189" s="2" t="str">
        <f>IF('[1]0.1 Produksi Pangan &amp; Penduduk'!B190="","",'[1]0.1 Produksi Pangan &amp; Penduduk'!B190)</f>
        <v/>
      </c>
      <c r="C189" s="2" t="str">
        <f>IF('[1]0.1 Produksi Pangan &amp; Penduduk'!F190="","",'[1]0.1 Produksi Pangan &amp; Penduduk'!F190)</f>
        <v/>
      </c>
      <c r="D189" s="3" t="str">
        <f>IF('[1]0.1 Produksi Pangan &amp; Penduduk'!D190="","",'[1]0.1 Produksi Pangan &amp; Penduduk'!D190)</f>
        <v/>
      </c>
      <c r="E189" s="3" t="str">
        <f>IF('[1]0.1 Produksi Pangan &amp; Penduduk'!E190="","",'[1]0.1 Produksi Pangan &amp; Penduduk'!E190)</f>
        <v/>
      </c>
      <c r="F189" s="59" t="str">
        <f>IF(D189="","",VLOOKUP(D189,'[1]0.1 Produksi Pangan &amp; Penduduk'!$D$5:$J$860,7,0))</f>
        <v/>
      </c>
      <c r="G189" s="27" t="str">
        <f t="shared" si="20"/>
        <v/>
      </c>
      <c r="H189" s="27" t="str">
        <f t="shared" si="21"/>
        <v/>
      </c>
      <c r="I189" s="27" t="str">
        <f t="shared" si="22"/>
        <v/>
      </c>
      <c r="J189" s="27" t="str">
        <f t="shared" si="23"/>
        <v/>
      </c>
      <c r="K189" s="27" t="str">
        <f t="shared" si="24"/>
        <v/>
      </c>
      <c r="L189" s="59" t="str">
        <f>IF(D189="","",VLOOKUP(D189,'[1]0.1 Produksi Pangan &amp; Penduduk'!$D$5:$M$860,10,0))</f>
        <v/>
      </c>
      <c r="M189" s="28" t="str">
        <f t="shared" si="25"/>
        <v/>
      </c>
      <c r="N189" s="60" t="str">
        <f t="shared" si="26"/>
        <v/>
      </c>
      <c r="O189" s="60" t="str">
        <f t="shared" si="27"/>
        <v/>
      </c>
      <c r="P189" s="60" t="str">
        <f t="shared" si="28"/>
        <v/>
      </c>
      <c r="Q189" s="28" t="str">
        <f t="shared" si="29"/>
        <v/>
      </c>
    </row>
    <row r="190" spans="1:17" ht="15" x14ac:dyDescent="0.25">
      <c r="A190" s="3" t="str">
        <f>IF('[1]0.1 Produksi Pangan &amp; Penduduk'!A191="","",'[1]0.1 Produksi Pangan &amp; Penduduk'!A191)</f>
        <v/>
      </c>
      <c r="B190" s="2" t="str">
        <f>IF('[1]0.1 Produksi Pangan &amp; Penduduk'!B191="","",'[1]0.1 Produksi Pangan &amp; Penduduk'!B191)</f>
        <v/>
      </c>
      <c r="C190" s="2" t="str">
        <f>IF('[1]0.1 Produksi Pangan &amp; Penduduk'!F191="","",'[1]0.1 Produksi Pangan &amp; Penduduk'!F191)</f>
        <v/>
      </c>
      <c r="D190" s="3" t="str">
        <f>IF('[1]0.1 Produksi Pangan &amp; Penduduk'!D191="","",'[1]0.1 Produksi Pangan &amp; Penduduk'!D191)</f>
        <v/>
      </c>
      <c r="E190" s="3" t="str">
        <f>IF('[1]0.1 Produksi Pangan &amp; Penduduk'!E191="","",'[1]0.1 Produksi Pangan &amp; Penduduk'!E191)</f>
        <v/>
      </c>
      <c r="F190" s="59" t="str">
        <f>IF(D190="","",VLOOKUP(D190,'[1]0.1 Produksi Pangan &amp; Penduduk'!$D$5:$J$860,7,0))</f>
        <v/>
      </c>
      <c r="G190" s="27" t="str">
        <f t="shared" si="20"/>
        <v/>
      </c>
      <c r="H190" s="27" t="str">
        <f t="shared" si="21"/>
        <v/>
      </c>
      <c r="I190" s="27" t="str">
        <f t="shared" si="22"/>
        <v/>
      </c>
      <c r="J190" s="27" t="str">
        <f t="shared" si="23"/>
        <v/>
      </c>
      <c r="K190" s="27" t="str">
        <f t="shared" si="24"/>
        <v/>
      </c>
      <c r="L190" s="59" t="str">
        <f>IF(D190="","",VLOOKUP(D190,'[1]0.1 Produksi Pangan &amp; Penduduk'!$D$5:$M$860,10,0))</f>
        <v/>
      </c>
      <c r="M190" s="28" t="str">
        <f t="shared" si="25"/>
        <v/>
      </c>
      <c r="N190" s="60" t="str">
        <f t="shared" si="26"/>
        <v/>
      </c>
      <c r="O190" s="60" t="str">
        <f t="shared" si="27"/>
        <v/>
      </c>
      <c r="P190" s="60" t="str">
        <f t="shared" si="28"/>
        <v/>
      </c>
      <c r="Q190" s="28" t="str">
        <f t="shared" si="29"/>
        <v/>
      </c>
    </row>
    <row r="191" spans="1:17" ht="15" x14ac:dyDescent="0.25">
      <c r="A191" s="3" t="str">
        <f>IF('[1]0.1 Produksi Pangan &amp; Penduduk'!A192="","",'[1]0.1 Produksi Pangan &amp; Penduduk'!A192)</f>
        <v/>
      </c>
      <c r="B191" s="2" t="str">
        <f>IF('[1]0.1 Produksi Pangan &amp; Penduduk'!B192="","",'[1]0.1 Produksi Pangan &amp; Penduduk'!B192)</f>
        <v/>
      </c>
      <c r="C191" s="2" t="str">
        <f>IF('[1]0.1 Produksi Pangan &amp; Penduduk'!F192="","",'[1]0.1 Produksi Pangan &amp; Penduduk'!F192)</f>
        <v/>
      </c>
      <c r="D191" s="3" t="str">
        <f>IF('[1]0.1 Produksi Pangan &amp; Penduduk'!D192="","",'[1]0.1 Produksi Pangan &amp; Penduduk'!D192)</f>
        <v/>
      </c>
      <c r="E191" s="3" t="str">
        <f>IF('[1]0.1 Produksi Pangan &amp; Penduduk'!E192="","",'[1]0.1 Produksi Pangan &amp; Penduduk'!E192)</f>
        <v/>
      </c>
      <c r="F191" s="59" t="str">
        <f>IF(D191="","",VLOOKUP(D191,'[1]0.1 Produksi Pangan &amp; Penduduk'!$D$5:$J$860,7,0))</f>
        <v/>
      </c>
      <c r="G191" s="27" t="str">
        <f t="shared" si="20"/>
        <v/>
      </c>
      <c r="H191" s="27" t="str">
        <f t="shared" si="21"/>
        <v/>
      </c>
      <c r="I191" s="27" t="str">
        <f t="shared" si="22"/>
        <v/>
      </c>
      <c r="J191" s="27" t="str">
        <f t="shared" si="23"/>
        <v/>
      </c>
      <c r="K191" s="27" t="str">
        <f t="shared" si="24"/>
        <v/>
      </c>
      <c r="L191" s="59" t="str">
        <f>IF(D191="","",VLOOKUP(D191,'[1]0.1 Produksi Pangan &amp; Penduduk'!$D$5:$M$860,10,0))</f>
        <v/>
      </c>
      <c r="M191" s="28" t="str">
        <f t="shared" si="25"/>
        <v/>
      </c>
      <c r="N191" s="60" t="str">
        <f t="shared" si="26"/>
        <v/>
      </c>
      <c r="O191" s="60" t="str">
        <f t="shared" si="27"/>
        <v/>
      </c>
      <c r="P191" s="60" t="str">
        <f t="shared" si="28"/>
        <v/>
      </c>
      <c r="Q191" s="28" t="str">
        <f t="shared" si="29"/>
        <v/>
      </c>
    </row>
    <row r="192" spans="1:17" ht="15" x14ac:dyDescent="0.25">
      <c r="A192" s="3" t="str">
        <f>IF('[1]0.1 Produksi Pangan &amp; Penduduk'!A193="","",'[1]0.1 Produksi Pangan &amp; Penduduk'!A193)</f>
        <v/>
      </c>
      <c r="B192" s="2" t="str">
        <f>IF('[1]0.1 Produksi Pangan &amp; Penduduk'!B193="","",'[1]0.1 Produksi Pangan &amp; Penduduk'!B193)</f>
        <v/>
      </c>
      <c r="C192" s="2" t="str">
        <f>IF('[1]0.1 Produksi Pangan &amp; Penduduk'!F193="","",'[1]0.1 Produksi Pangan &amp; Penduduk'!F193)</f>
        <v/>
      </c>
      <c r="D192" s="3" t="str">
        <f>IF('[1]0.1 Produksi Pangan &amp; Penduduk'!D193="","",'[1]0.1 Produksi Pangan &amp; Penduduk'!D193)</f>
        <v/>
      </c>
      <c r="E192" s="3" t="str">
        <f>IF('[1]0.1 Produksi Pangan &amp; Penduduk'!E193="","",'[1]0.1 Produksi Pangan &amp; Penduduk'!E193)</f>
        <v/>
      </c>
      <c r="F192" s="59" t="str">
        <f>IF(D192="","",VLOOKUP(D192,'[1]0.1 Produksi Pangan &amp; Penduduk'!$D$5:$J$860,7,0))</f>
        <v/>
      </c>
      <c r="G192" s="27" t="str">
        <f t="shared" si="20"/>
        <v/>
      </c>
      <c r="H192" s="27" t="str">
        <f t="shared" si="21"/>
        <v/>
      </c>
      <c r="I192" s="27" t="str">
        <f t="shared" si="22"/>
        <v/>
      </c>
      <c r="J192" s="27" t="str">
        <f t="shared" si="23"/>
        <v/>
      </c>
      <c r="K192" s="27" t="str">
        <f t="shared" si="24"/>
        <v/>
      </c>
      <c r="L192" s="59" t="str">
        <f>IF(D192="","",VLOOKUP(D192,'[1]0.1 Produksi Pangan &amp; Penduduk'!$D$5:$M$860,10,0))</f>
        <v/>
      </c>
      <c r="M192" s="28" t="str">
        <f t="shared" si="25"/>
        <v/>
      </c>
      <c r="N192" s="60" t="str">
        <f t="shared" si="26"/>
        <v/>
      </c>
      <c r="O192" s="60" t="str">
        <f t="shared" si="27"/>
        <v/>
      </c>
      <c r="P192" s="60" t="str">
        <f t="shared" si="28"/>
        <v/>
      </c>
      <c r="Q192" s="28" t="str">
        <f t="shared" si="29"/>
        <v/>
      </c>
    </row>
    <row r="193" spans="1:17" ht="15" x14ac:dyDescent="0.25">
      <c r="A193" s="3" t="str">
        <f>IF('[1]0.1 Produksi Pangan &amp; Penduduk'!A194="","",'[1]0.1 Produksi Pangan &amp; Penduduk'!A194)</f>
        <v/>
      </c>
      <c r="B193" s="2" t="str">
        <f>IF('[1]0.1 Produksi Pangan &amp; Penduduk'!B194="","",'[1]0.1 Produksi Pangan &amp; Penduduk'!B194)</f>
        <v/>
      </c>
      <c r="C193" s="2" t="str">
        <f>IF('[1]0.1 Produksi Pangan &amp; Penduduk'!F194="","",'[1]0.1 Produksi Pangan &amp; Penduduk'!F194)</f>
        <v/>
      </c>
      <c r="D193" s="3" t="str">
        <f>IF('[1]0.1 Produksi Pangan &amp; Penduduk'!D194="","",'[1]0.1 Produksi Pangan &amp; Penduduk'!D194)</f>
        <v/>
      </c>
      <c r="E193" s="3" t="str">
        <f>IF('[1]0.1 Produksi Pangan &amp; Penduduk'!E194="","",'[1]0.1 Produksi Pangan &amp; Penduduk'!E194)</f>
        <v/>
      </c>
      <c r="F193" s="59" t="str">
        <f>IF(D193="","",VLOOKUP(D193,'[1]0.1 Produksi Pangan &amp; Penduduk'!$D$5:$J$860,7,0))</f>
        <v/>
      </c>
      <c r="G193" s="27" t="str">
        <f t="shared" si="20"/>
        <v/>
      </c>
      <c r="H193" s="27" t="str">
        <f t="shared" si="21"/>
        <v/>
      </c>
      <c r="I193" s="27" t="str">
        <f t="shared" si="22"/>
        <v/>
      </c>
      <c r="J193" s="27" t="str">
        <f t="shared" si="23"/>
        <v/>
      </c>
      <c r="K193" s="27" t="str">
        <f t="shared" si="24"/>
        <v/>
      </c>
      <c r="L193" s="59" t="str">
        <f>IF(D193="","",VLOOKUP(D193,'[1]0.1 Produksi Pangan &amp; Penduduk'!$D$5:$M$860,10,0))</f>
        <v/>
      </c>
      <c r="M193" s="28" t="str">
        <f t="shared" si="25"/>
        <v/>
      </c>
      <c r="N193" s="60" t="str">
        <f t="shared" si="26"/>
        <v/>
      </c>
      <c r="O193" s="60" t="str">
        <f t="shared" si="27"/>
        <v/>
      </c>
      <c r="P193" s="60" t="str">
        <f t="shared" si="28"/>
        <v/>
      </c>
      <c r="Q193" s="28" t="str">
        <f t="shared" si="29"/>
        <v/>
      </c>
    </row>
    <row r="194" spans="1:17" ht="15" x14ac:dyDescent="0.25">
      <c r="A194" s="3" t="str">
        <f>IF('[1]0.1 Produksi Pangan &amp; Penduduk'!A195="","",'[1]0.1 Produksi Pangan &amp; Penduduk'!A195)</f>
        <v/>
      </c>
      <c r="B194" s="2" t="str">
        <f>IF('[1]0.1 Produksi Pangan &amp; Penduduk'!B195="","",'[1]0.1 Produksi Pangan &amp; Penduduk'!B195)</f>
        <v/>
      </c>
      <c r="C194" s="2" t="str">
        <f>IF('[1]0.1 Produksi Pangan &amp; Penduduk'!F195="","",'[1]0.1 Produksi Pangan &amp; Penduduk'!F195)</f>
        <v/>
      </c>
      <c r="D194" s="3" t="str">
        <f>IF('[1]0.1 Produksi Pangan &amp; Penduduk'!D195="","",'[1]0.1 Produksi Pangan &amp; Penduduk'!D195)</f>
        <v/>
      </c>
      <c r="E194" s="3" t="str">
        <f>IF('[1]0.1 Produksi Pangan &amp; Penduduk'!E195="","",'[1]0.1 Produksi Pangan &amp; Penduduk'!E195)</f>
        <v/>
      </c>
      <c r="F194" s="59" t="str">
        <f>IF(D194="","",VLOOKUP(D194,'[1]0.1 Produksi Pangan &amp; Penduduk'!$D$5:$J$860,7,0))</f>
        <v/>
      </c>
      <c r="G194" s="27" t="str">
        <f t="shared" si="20"/>
        <v/>
      </c>
      <c r="H194" s="27" t="str">
        <f t="shared" si="21"/>
        <v/>
      </c>
      <c r="I194" s="27" t="str">
        <f t="shared" si="22"/>
        <v/>
      </c>
      <c r="J194" s="27" t="str">
        <f t="shared" si="23"/>
        <v/>
      </c>
      <c r="K194" s="27" t="str">
        <f t="shared" si="24"/>
        <v/>
      </c>
      <c r="L194" s="59" t="str">
        <f>IF(D194="","",VLOOKUP(D194,'[1]0.1 Produksi Pangan &amp; Penduduk'!$D$5:$M$860,10,0))</f>
        <v/>
      </c>
      <c r="M194" s="28" t="str">
        <f t="shared" si="25"/>
        <v/>
      </c>
      <c r="N194" s="60" t="str">
        <f t="shared" si="26"/>
        <v/>
      </c>
      <c r="O194" s="60" t="str">
        <f t="shared" si="27"/>
        <v/>
      </c>
      <c r="P194" s="60" t="str">
        <f t="shared" si="28"/>
        <v/>
      </c>
      <c r="Q194" s="28" t="str">
        <f t="shared" si="29"/>
        <v/>
      </c>
    </row>
    <row r="195" spans="1:17" ht="15" x14ac:dyDescent="0.25">
      <c r="A195" s="3" t="str">
        <f>IF('[1]0.1 Produksi Pangan &amp; Penduduk'!A196="","",'[1]0.1 Produksi Pangan &amp; Penduduk'!A196)</f>
        <v/>
      </c>
      <c r="B195" s="2" t="str">
        <f>IF('[1]0.1 Produksi Pangan &amp; Penduduk'!B196="","",'[1]0.1 Produksi Pangan &amp; Penduduk'!B196)</f>
        <v/>
      </c>
      <c r="C195" s="2" t="str">
        <f>IF('[1]0.1 Produksi Pangan &amp; Penduduk'!F196="","",'[1]0.1 Produksi Pangan &amp; Penduduk'!F196)</f>
        <v/>
      </c>
      <c r="D195" s="3" t="str">
        <f>IF('[1]0.1 Produksi Pangan &amp; Penduduk'!D196="","",'[1]0.1 Produksi Pangan &amp; Penduduk'!D196)</f>
        <v/>
      </c>
      <c r="E195" s="3" t="str">
        <f>IF('[1]0.1 Produksi Pangan &amp; Penduduk'!E196="","",'[1]0.1 Produksi Pangan &amp; Penduduk'!E196)</f>
        <v/>
      </c>
      <c r="F195" s="59" t="str">
        <f>IF(D195="","",VLOOKUP(D195,'[1]0.1 Produksi Pangan &amp; Penduduk'!$D$5:$J$860,7,0))</f>
        <v/>
      </c>
      <c r="G195" s="27" t="str">
        <f t="shared" si="20"/>
        <v/>
      </c>
      <c r="H195" s="27" t="str">
        <f t="shared" si="21"/>
        <v/>
      </c>
      <c r="I195" s="27" t="str">
        <f t="shared" si="22"/>
        <v/>
      </c>
      <c r="J195" s="27" t="str">
        <f t="shared" si="23"/>
        <v/>
      </c>
      <c r="K195" s="27" t="str">
        <f t="shared" si="24"/>
        <v/>
      </c>
      <c r="L195" s="59" t="str">
        <f>IF(D195="","",VLOOKUP(D195,'[1]0.1 Produksi Pangan &amp; Penduduk'!$D$5:$M$860,10,0))</f>
        <v/>
      </c>
      <c r="M195" s="28" t="str">
        <f t="shared" si="25"/>
        <v/>
      </c>
      <c r="N195" s="60" t="str">
        <f t="shared" si="26"/>
        <v/>
      </c>
      <c r="O195" s="60" t="str">
        <f t="shared" si="27"/>
        <v/>
      </c>
      <c r="P195" s="60" t="str">
        <f t="shared" si="28"/>
        <v/>
      </c>
      <c r="Q195" s="28" t="str">
        <f t="shared" si="29"/>
        <v/>
      </c>
    </row>
    <row r="196" spans="1:17" ht="15" x14ac:dyDescent="0.25">
      <c r="A196" s="3" t="str">
        <f>IF('[1]0.1 Produksi Pangan &amp; Penduduk'!A197="","",'[1]0.1 Produksi Pangan &amp; Penduduk'!A197)</f>
        <v/>
      </c>
      <c r="B196" s="2" t="str">
        <f>IF('[1]0.1 Produksi Pangan &amp; Penduduk'!B197="","",'[1]0.1 Produksi Pangan &amp; Penduduk'!B197)</f>
        <v/>
      </c>
      <c r="C196" s="2" t="str">
        <f>IF('[1]0.1 Produksi Pangan &amp; Penduduk'!F197="","",'[1]0.1 Produksi Pangan &amp; Penduduk'!F197)</f>
        <v/>
      </c>
      <c r="D196" s="3" t="str">
        <f>IF('[1]0.1 Produksi Pangan &amp; Penduduk'!D197="","",'[1]0.1 Produksi Pangan &amp; Penduduk'!D197)</f>
        <v/>
      </c>
      <c r="E196" s="3" t="str">
        <f>IF('[1]0.1 Produksi Pangan &amp; Penduduk'!E197="","",'[1]0.1 Produksi Pangan &amp; Penduduk'!E197)</f>
        <v/>
      </c>
      <c r="F196" s="59" t="str">
        <f>IF(D196="","",VLOOKUP(D196,'[1]0.1 Produksi Pangan &amp; Penduduk'!$D$5:$J$860,7,0))</f>
        <v/>
      </c>
      <c r="G196" s="27" t="str">
        <f t="shared" si="20"/>
        <v/>
      </c>
      <c r="H196" s="27" t="str">
        <f t="shared" si="21"/>
        <v/>
      </c>
      <c r="I196" s="27" t="str">
        <f t="shared" si="22"/>
        <v/>
      </c>
      <c r="J196" s="27" t="str">
        <f t="shared" si="23"/>
        <v/>
      </c>
      <c r="K196" s="27" t="str">
        <f t="shared" si="24"/>
        <v/>
      </c>
      <c r="L196" s="59" t="str">
        <f>IF(D196="","",VLOOKUP(D196,'[1]0.1 Produksi Pangan &amp; Penduduk'!$D$5:$M$860,10,0))</f>
        <v/>
      </c>
      <c r="M196" s="28" t="str">
        <f t="shared" si="25"/>
        <v/>
      </c>
      <c r="N196" s="60" t="str">
        <f t="shared" si="26"/>
        <v/>
      </c>
      <c r="O196" s="60" t="str">
        <f t="shared" si="27"/>
        <v/>
      </c>
      <c r="P196" s="60" t="str">
        <f t="shared" si="28"/>
        <v/>
      </c>
      <c r="Q196" s="28" t="str">
        <f t="shared" si="29"/>
        <v/>
      </c>
    </row>
    <row r="197" spans="1:17" ht="15" x14ac:dyDescent="0.25">
      <c r="A197" s="3" t="str">
        <f>IF('[1]0.1 Produksi Pangan &amp; Penduduk'!A198="","",'[1]0.1 Produksi Pangan &amp; Penduduk'!A198)</f>
        <v/>
      </c>
      <c r="B197" s="2" t="str">
        <f>IF('[1]0.1 Produksi Pangan &amp; Penduduk'!B198="","",'[1]0.1 Produksi Pangan &amp; Penduduk'!B198)</f>
        <v/>
      </c>
      <c r="C197" s="2" t="str">
        <f>IF('[1]0.1 Produksi Pangan &amp; Penduduk'!F198="","",'[1]0.1 Produksi Pangan &amp; Penduduk'!F198)</f>
        <v/>
      </c>
      <c r="D197" s="3" t="str">
        <f>IF('[1]0.1 Produksi Pangan &amp; Penduduk'!D198="","",'[1]0.1 Produksi Pangan &amp; Penduduk'!D198)</f>
        <v/>
      </c>
      <c r="E197" s="3" t="str">
        <f>IF('[1]0.1 Produksi Pangan &amp; Penduduk'!E198="","",'[1]0.1 Produksi Pangan &amp; Penduduk'!E198)</f>
        <v/>
      </c>
      <c r="F197" s="59" t="str">
        <f>IF(D197="","",VLOOKUP(D197,'[1]0.1 Produksi Pangan &amp; Penduduk'!$D$5:$J$860,7,0))</f>
        <v/>
      </c>
      <c r="G197" s="27" t="str">
        <f t="shared" si="20"/>
        <v/>
      </c>
      <c r="H197" s="27" t="str">
        <f t="shared" si="21"/>
        <v/>
      </c>
      <c r="I197" s="27" t="str">
        <f t="shared" si="22"/>
        <v/>
      </c>
      <c r="J197" s="27" t="str">
        <f t="shared" si="23"/>
        <v/>
      </c>
      <c r="K197" s="27" t="str">
        <f t="shared" si="24"/>
        <v/>
      </c>
      <c r="L197" s="59" t="str">
        <f>IF(D197="","",VLOOKUP(D197,'[1]0.1 Produksi Pangan &amp; Penduduk'!$D$5:$M$860,10,0))</f>
        <v/>
      </c>
      <c r="M197" s="28" t="str">
        <f t="shared" si="25"/>
        <v/>
      </c>
      <c r="N197" s="60" t="str">
        <f t="shared" si="26"/>
        <v/>
      </c>
      <c r="O197" s="60" t="str">
        <f t="shared" si="27"/>
        <v/>
      </c>
      <c r="P197" s="60" t="str">
        <f t="shared" si="28"/>
        <v/>
      </c>
      <c r="Q197" s="28" t="str">
        <f t="shared" si="29"/>
        <v/>
      </c>
    </row>
    <row r="198" spans="1:17" ht="15" x14ac:dyDescent="0.25">
      <c r="A198" s="3" t="str">
        <f>IF('[1]0.1 Produksi Pangan &amp; Penduduk'!A199="","",'[1]0.1 Produksi Pangan &amp; Penduduk'!A199)</f>
        <v/>
      </c>
      <c r="B198" s="2" t="str">
        <f>IF('[1]0.1 Produksi Pangan &amp; Penduduk'!B199="","",'[1]0.1 Produksi Pangan &amp; Penduduk'!B199)</f>
        <v/>
      </c>
      <c r="C198" s="2" t="str">
        <f>IF('[1]0.1 Produksi Pangan &amp; Penduduk'!F199="","",'[1]0.1 Produksi Pangan &amp; Penduduk'!F199)</f>
        <v/>
      </c>
      <c r="D198" s="3" t="str">
        <f>IF('[1]0.1 Produksi Pangan &amp; Penduduk'!D199="","",'[1]0.1 Produksi Pangan &amp; Penduduk'!D199)</f>
        <v/>
      </c>
      <c r="E198" s="3" t="str">
        <f>IF('[1]0.1 Produksi Pangan &amp; Penduduk'!E199="","",'[1]0.1 Produksi Pangan &amp; Penduduk'!E199)</f>
        <v/>
      </c>
      <c r="F198" s="59" t="str">
        <f>IF(D198="","",VLOOKUP(D198,'[1]0.1 Produksi Pangan &amp; Penduduk'!$D$5:$J$860,7,0))</f>
        <v/>
      </c>
      <c r="G198" s="27" t="str">
        <f t="shared" ref="G198:G261" si="30">IF(F198="","",F198*0.9%)</f>
        <v/>
      </c>
      <c r="H198" s="27" t="str">
        <f t="shared" ref="H198:H261" si="31">IF(F198="","",F198*0.44%)</f>
        <v/>
      </c>
      <c r="I198" s="27" t="str">
        <f t="shared" ref="I198:I261" si="32">IF(F198="","",F198*4.92%)</f>
        <v/>
      </c>
      <c r="J198" s="27" t="str">
        <f t="shared" ref="J198:J261" si="33">IF(F198="","",F198*0.56%)</f>
        <v/>
      </c>
      <c r="K198" s="27" t="str">
        <f t="shared" ref="K198:K261" si="34">IF(F198="","",F198-(G198+H198+I198+J198))</f>
        <v/>
      </c>
      <c r="L198" s="59" t="str">
        <f>IF(D198="","",VLOOKUP(D198,'[1]0.1 Produksi Pangan &amp; Penduduk'!$D$5:$M$860,10,0))</f>
        <v/>
      </c>
      <c r="M198" s="28" t="str">
        <f t="shared" ref="M198:M261" si="35">IFERROR(K198*L198,"")</f>
        <v/>
      </c>
      <c r="N198" s="60" t="str">
        <f t="shared" ref="N198:N261" si="36">IF(M198="","",M198*0.17%)</f>
        <v/>
      </c>
      <c r="O198" s="60" t="str">
        <f t="shared" ref="O198:O261" si="37">IF(M198="","",M198*2.5%)</f>
        <v/>
      </c>
      <c r="P198" s="60" t="str">
        <f t="shared" ref="P198:P261" si="38">IF(M198="","",M198*0.66%)</f>
        <v/>
      </c>
      <c r="Q198" s="28" t="str">
        <f t="shared" ref="Q198:Q261" si="39">IF(M198="","",M198-(N198+O198+P198))</f>
        <v/>
      </c>
    </row>
    <row r="199" spans="1:17" ht="15" x14ac:dyDescent="0.25">
      <c r="A199" s="3" t="str">
        <f>IF('[1]0.1 Produksi Pangan &amp; Penduduk'!A200="","",'[1]0.1 Produksi Pangan &amp; Penduduk'!A200)</f>
        <v/>
      </c>
      <c r="B199" s="2" t="str">
        <f>IF('[1]0.1 Produksi Pangan &amp; Penduduk'!B200="","",'[1]0.1 Produksi Pangan &amp; Penduduk'!B200)</f>
        <v/>
      </c>
      <c r="C199" s="2" t="str">
        <f>IF('[1]0.1 Produksi Pangan &amp; Penduduk'!F200="","",'[1]0.1 Produksi Pangan &amp; Penduduk'!F200)</f>
        <v/>
      </c>
      <c r="D199" s="3" t="str">
        <f>IF('[1]0.1 Produksi Pangan &amp; Penduduk'!D200="","",'[1]0.1 Produksi Pangan &amp; Penduduk'!D200)</f>
        <v/>
      </c>
      <c r="E199" s="3" t="str">
        <f>IF('[1]0.1 Produksi Pangan &amp; Penduduk'!E200="","",'[1]0.1 Produksi Pangan &amp; Penduduk'!E200)</f>
        <v/>
      </c>
      <c r="F199" s="59" t="str">
        <f>IF(D199="","",VLOOKUP(D199,'[1]0.1 Produksi Pangan &amp; Penduduk'!$D$5:$J$860,7,0))</f>
        <v/>
      </c>
      <c r="G199" s="27" t="str">
        <f t="shared" si="30"/>
        <v/>
      </c>
      <c r="H199" s="27" t="str">
        <f t="shared" si="31"/>
        <v/>
      </c>
      <c r="I199" s="27" t="str">
        <f t="shared" si="32"/>
        <v/>
      </c>
      <c r="J199" s="27" t="str">
        <f t="shared" si="33"/>
        <v/>
      </c>
      <c r="K199" s="27" t="str">
        <f t="shared" si="34"/>
        <v/>
      </c>
      <c r="L199" s="59" t="str">
        <f>IF(D199="","",VLOOKUP(D199,'[1]0.1 Produksi Pangan &amp; Penduduk'!$D$5:$M$860,10,0))</f>
        <v/>
      </c>
      <c r="M199" s="28" t="str">
        <f t="shared" si="35"/>
        <v/>
      </c>
      <c r="N199" s="60" t="str">
        <f t="shared" si="36"/>
        <v/>
      </c>
      <c r="O199" s="60" t="str">
        <f t="shared" si="37"/>
        <v/>
      </c>
      <c r="P199" s="60" t="str">
        <f t="shared" si="38"/>
        <v/>
      </c>
      <c r="Q199" s="28" t="str">
        <f t="shared" si="39"/>
        <v/>
      </c>
    </row>
    <row r="200" spans="1:17" ht="15" x14ac:dyDescent="0.25">
      <c r="A200" s="3" t="str">
        <f>IF('[1]0.1 Produksi Pangan &amp; Penduduk'!A201="","",'[1]0.1 Produksi Pangan &amp; Penduduk'!A201)</f>
        <v/>
      </c>
      <c r="B200" s="2" t="str">
        <f>IF('[1]0.1 Produksi Pangan &amp; Penduduk'!B201="","",'[1]0.1 Produksi Pangan &amp; Penduduk'!B201)</f>
        <v/>
      </c>
      <c r="C200" s="2" t="str">
        <f>IF('[1]0.1 Produksi Pangan &amp; Penduduk'!F201="","",'[1]0.1 Produksi Pangan &amp; Penduduk'!F201)</f>
        <v/>
      </c>
      <c r="D200" s="3" t="str">
        <f>IF('[1]0.1 Produksi Pangan &amp; Penduduk'!D201="","",'[1]0.1 Produksi Pangan &amp; Penduduk'!D201)</f>
        <v/>
      </c>
      <c r="E200" s="3" t="str">
        <f>IF('[1]0.1 Produksi Pangan &amp; Penduduk'!E201="","",'[1]0.1 Produksi Pangan &amp; Penduduk'!E201)</f>
        <v/>
      </c>
      <c r="F200" s="59" t="str">
        <f>IF(D200="","",VLOOKUP(D200,'[1]0.1 Produksi Pangan &amp; Penduduk'!$D$5:$J$860,7,0))</f>
        <v/>
      </c>
      <c r="G200" s="27" t="str">
        <f t="shared" si="30"/>
        <v/>
      </c>
      <c r="H200" s="27" t="str">
        <f t="shared" si="31"/>
        <v/>
      </c>
      <c r="I200" s="27" t="str">
        <f t="shared" si="32"/>
        <v/>
      </c>
      <c r="J200" s="27" t="str">
        <f t="shared" si="33"/>
        <v/>
      </c>
      <c r="K200" s="27" t="str">
        <f t="shared" si="34"/>
        <v/>
      </c>
      <c r="L200" s="59" t="str">
        <f>IF(D200="","",VLOOKUP(D200,'[1]0.1 Produksi Pangan &amp; Penduduk'!$D$5:$M$860,10,0))</f>
        <v/>
      </c>
      <c r="M200" s="28" t="str">
        <f t="shared" si="35"/>
        <v/>
      </c>
      <c r="N200" s="60" t="str">
        <f t="shared" si="36"/>
        <v/>
      </c>
      <c r="O200" s="60" t="str">
        <f t="shared" si="37"/>
        <v/>
      </c>
      <c r="P200" s="60" t="str">
        <f t="shared" si="38"/>
        <v/>
      </c>
      <c r="Q200" s="28" t="str">
        <f t="shared" si="39"/>
        <v/>
      </c>
    </row>
    <row r="201" spans="1:17" ht="15" x14ac:dyDescent="0.25">
      <c r="A201" s="3" t="str">
        <f>IF('[1]0.1 Produksi Pangan &amp; Penduduk'!A202="","",'[1]0.1 Produksi Pangan &amp; Penduduk'!A202)</f>
        <v/>
      </c>
      <c r="B201" s="2" t="str">
        <f>IF('[1]0.1 Produksi Pangan &amp; Penduduk'!B202="","",'[1]0.1 Produksi Pangan &amp; Penduduk'!B202)</f>
        <v/>
      </c>
      <c r="C201" s="2" t="str">
        <f>IF('[1]0.1 Produksi Pangan &amp; Penduduk'!F202="","",'[1]0.1 Produksi Pangan &amp; Penduduk'!F202)</f>
        <v/>
      </c>
      <c r="D201" s="3" t="str">
        <f>IF('[1]0.1 Produksi Pangan &amp; Penduduk'!D202="","",'[1]0.1 Produksi Pangan &amp; Penduduk'!D202)</f>
        <v/>
      </c>
      <c r="E201" s="3" t="str">
        <f>IF('[1]0.1 Produksi Pangan &amp; Penduduk'!E202="","",'[1]0.1 Produksi Pangan &amp; Penduduk'!E202)</f>
        <v/>
      </c>
      <c r="F201" s="59" t="str">
        <f>IF(D201="","",VLOOKUP(D201,'[1]0.1 Produksi Pangan &amp; Penduduk'!$D$5:$J$860,7,0))</f>
        <v/>
      </c>
      <c r="G201" s="27" t="str">
        <f t="shared" si="30"/>
        <v/>
      </c>
      <c r="H201" s="27" t="str">
        <f t="shared" si="31"/>
        <v/>
      </c>
      <c r="I201" s="27" t="str">
        <f t="shared" si="32"/>
        <v/>
      </c>
      <c r="J201" s="27" t="str">
        <f t="shared" si="33"/>
        <v/>
      </c>
      <c r="K201" s="27" t="str">
        <f t="shared" si="34"/>
        <v/>
      </c>
      <c r="L201" s="59" t="str">
        <f>IF(D201="","",VLOOKUP(D201,'[1]0.1 Produksi Pangan &amp; Penduduk'!$D$5:$M$860,10,0))</f>
        <v/>
      </c>
      <c r="M201" s="28" t="str">
        <f t="shared" si="35"/>
        <v/>
      </c>
      <c r="N201" s="60" t="str">
        <f t="shared" si="36"/>
        <v/>
      </c>
      <c r="O201" s="60" t="str">
        <f t="shared" si="37"/>
        <v/>
      </c>
      <c r="P201" s="60" t="str">
        <f t="shared" si="38"/>
        <v/>
      </c>
      <c r="Q201" s="28" t="str">
        <f t="shared" si="39"/>
        <v/>
      </c>
    </row>
    <row r="202" spans="1:17" ht="15" x14ac:dyDescent="0.25">
      <c r="A202" s="3" t="str">
        <f>IF('[1]0.1 Produksi Pangan &amp; Penduduk'!A203="","",'[1]0.1 Produksi Pangan &amp; Penduduk'!A203)</f>
        <v/>
      </c>
      <c r="B202" s="2" t="str">
        <f>IF('[1]0.1 Produksi Pangan &amp; Penduduk'!B203="","",'[1]0.1 Produksi Pangan &amp; Penduduk'!B203)</f>
        <v/>
      </c>
      <c r="C202" s="2" t="str">
        <f>IF('[1]0.1 Produksi Pangan &amp; Penduduk'!F203="","",'[1]0.1 Produksi Pangan &amp; Penduduk'!F203)</f>
        <v/>
      </c>
      <c r="D202" s="3" t="str">
        <f>IF('[1]0.1 Produksi Pangan &amp; Penduduk'!D203="","",'[1]0.1 Produksi Pangan &amp; Penduduk'!D203)</f>
        <v/>
      </c>
      <c r="E202" s="3" t="str">
        <f>IF('[1]0.1 Produksi Pangan &amp; Penduduk'!E203="","",'[1]0.1 Produksi Pangan &amp; Penduduk'!E203)</f>
        <v/>
      </c>
      <c r="F202" s="59" t="str">
        <f>IF(D202="","",VLOOKUP(D202,'[1]0.1 Produksi Pangan &amp; Penduduk'!$D$5:$J$860,7,0))</f>
        <v/>
      </c>
      <c r="G202" s="27" t="str">
        <f t="shared" si="30"/>
        <v/>
      </c>
      <c r="H202" s="27" t="str">
        <f t="shared" si="31"/>
        <v/>
      </c>
      <c r="I202" s="27" t="str">
        <f t="shared" si="32"/>
        <v/>
      </c>
      <c r="J202" s="27" t="str">
        <f t="shared" si="33"/>
        <v/>
      </c>
      <c r="K202" s="27" t="str">
        <f t="shared" si="34"/>
        <v/>
      </c>
      <c r="L202" s="59" t="str">
        <f>IF(D202="","",VLOOKUP(D202,'[1]0.1 Produksi Pangan &amp; Penduduk'!$D$5:$M$860,10,0))</f>
        <v/>
      </c>
      <c r="M202" s="28" t="str">
        <f t="shared" si="35"/>
        <v/>
      </c>
      <c r="N202" s="60" t="str">
        <f t="shared" si="36"/>
        <v/>
      </c>
      <c r="O202" s="60" t="str">
        <f t="shared" si="37"/>
        <v/>
      </c>
      <c r="P202" s="60" t="str">
        <f t="shared" si="38"/>
        <v/>
      </c>
      <c r="Q202" s="28" t="str">
        <f t="shared" si="39"/>
        <v/>
      </c>
    </row>
    <row r="203" spans="1:17" ht="15" x14ac:dyDescent="0.25">
      <c r="A203" s="3" t="str">
        <f>IF('[1]0.1 Produksi Pangan &amp; Penduduk'!A204="","",'[1]0.1 Produksi Pangan &amp; Penduduk'!A204)</f>
        <v/>
      </c>
      <c r="B203" s="2" t="str">
        <f>IF('[1]0.1 Produksi Pangan &amp; Penduduk'!B204="","",'[1]0.1 Produksi Pangan &amp; Penduduk'!B204)</f>
        <v/>
      </c>
      <c r="C203" s="2" t="str">
        <f>IF('[1]0.1 Produksi Pangan &amp; Penduduk'!F204="","",'[1]0.1 Produksi Pangan &amp; Penduduk'!F204)</f>
        <v/>
      </c>
      <c r="D203" s="3" t="str">
        <f>IF('[1]0.1 Produksi Pangan &amp; Penduduk'!D204="","",'[1]0.1 Produksi Pangan &amp; Penduduk'!D204)</f>
        <v/>
      </c>
      <c r="E203" s="3" t="str">
        <f>IF('[1]0.1 Produksi Pangan &amp; Penduduk'!E204="","",'[1]0.1 Produksi Pangan &amp; Penduduk'!E204)</f>
        <v/>
      </c>
      <c r="F203" s="59" t="str">
        <f>IF(D203="","",VLOOKUP(D203,'[1]0.1 Produksi Pangan &amp; Penduduk'!$D$5:$J$860,7,0))</f>
        <v/>
      </c>
      <c r="G203" s="27" t="str">
        <f t="shared" si="30"/>
        <v/>
      </c>
      <c r="H203" s="27" t="str">
        <f t="shared" si="31"/>
        <v/>
      </c>
      <c r="I203" s="27" t="str">
        <f t="shared" si="32"/>
        <v/>
      </c>
      <c r="J203" s="27" t="str">
        <f t="shared" si="33"/>
        <v/>
      </c>
      <c r="K203" s="27" t="str">
        <f t="shared" si="34"/>
        <v/>
      </c>
      <c r="L203" s="59" t="str">
        <f>IF(D203="","",VLOOKUP(D203,'[1]0.1 Produksi Pangan &amp; Penduduk'!$D$5:$M$860,10,0))</f>
        <v/>
      </c>
      <c r="M203" s="28" t="str">
        <f t="shared" si="35"/>
        <v/>
      </c>
      <c r="N203" s="60" t="str">
        <f t="shared" si="36"/>
        <v/>
      </c>
      <c r="O203" s="60" t="str">
        <f t="shared" si="37"/>
        <v/>
      </c>
      <c r="P203" s="60" t="str">
        <f t="shared" si="38"/>
        <v/>
      </c>
      <c r="Q203" s="28" t="str">
        <f t="shared" si="39"/>
        <v/>
      </c>
    </row>
    <row r="204" spans="1:17" ht="15" x14ac:dyDescent="0.25">
      <c r="A204" s="3" t="str">
        <f>IF('[1]0.1 Produksi Pangan &amp; Penduduk'!A205="","",'[1]0.1 Produksi Pangan &amp; Penduduk'!A205)</f>
        <v/>
      </c>
      <c r="B204" s="2" t="str">
        <f>IF('[1]0.1 Produksi Pangan &amp; Penduduk'!B205="","",'[1]0.1 Produksi Pangan &amp; Penduduk'!B205)</f>
        <v/>
      </c>
      <c r="C204" s="2" t="str">
        <f>IF('[1]0.1 Produksi Pangan &amp; Penduduk'!F205="","",'[1]0.1 Produksi Pangan &amp; Penduduk'!F205)</f>
        <v/>
      </c>
      <c r="D204" s="3" t="str">
        <f>IF('[1]0.1 Produksi Pangan &amp; Penduduk'!D205="","",'[1]0.1 Produksi Pangan &amp; Penduduk'!D205)</f>
        <v/>
      </c>
      <c r="E204" s="3" t="str">
        <f>IF('[1]0.1 Produksi Pangan &amp; Penduduk'!E205="","",'[1]0.1 Produksi Pangan &amp; Penduduk'!E205)</f>
        <v/>
      </c>
      <c r="F204" s="59" t="str">
        <f>IF(D204="","",VLOOKUP(D204,'[1]0.1 Produksi Pangan &amp; Penduduk'!$D$5:$J$860,7,0))</f>
        <v/>
      </c>
      <c r="G204" s="27" t="str">
        <f t="shared" si="30"/>
        <v/>
      </c>
      <c r="H204" s="27" t="str">
        <f t="shared" si="31"/>
        <v/>
      </c>
      <c r="I204" s="27" t="str">
        <f t="shared" si="32"/>
        <v/>
      </c>
      <c r="J204" s="27" t="str">
        <f t="shared" si="33"/>
        <v/>
      </c>
      <c r="K204" s="27" t="str">
        <f t="shared" si="34"/>
        <v/>
      </c>
      <c r="L204" s="59" t="str">
        <f>IF(D204="","",VLOOKUP(D204,'[1]0.1 Produksi Pangan &amp; Penduduk'!$D$5:$M$860,10,0))</f>
        <v/>
      </c>
      <c r="M204" s="28" t="str">
        <f t="shared" si="35"/>
        <v/>
      </c>
      <c r="N204" s="60" t="str">
        <f t="shared" si="36"/>
        <v/>
      </c>
      <c r="O204" s="60" t="str">
        <f t="shared" si="37"/>
        <v/>
      </c>
      <c r="P204" s="60" t="str">
        <f t="shared" si="38"/>
        <v/>
      </c>
      <c r="Q204" s="28" t="str">
        <f t="shared" si="39"/>
        <v/>
      </c>
    </row>
    <row r="205" spans="1:17" ht="15" x14ac:dyDescent="0.25">
      <c r="A205" s="3" t="str">
        <f>IF('[1]0.1 Produksi Pangan &amp; Penduduk'!A206="","",'[1]0.1 Produksi Pangan &amp; Penduduk'!A206)</f>
        <v/>
      </c>
      <c r="B205" s="2" t="str">
        <f>IF('[1]0.1 Produksi Pangan &amp; Penduduk'!B206="","",'[1]0.1 Produksi Pangan &amp; Penduduk'!B206)</f>
        <v/>
      </c>
      <c r="C205" s="2" t="str">
        <f>IF('[1]0.1 Produksi Pangan &amp; Penduduk'!F206="","",'[1]0.1 Produksi Pangan &amp; Penduduk'!F206)</f>
        <v/>
      </c>
      <c r="D205" s="3" t="str">
        <f>IF('[1]0.1 Produksi Pangan &amp; Penduduk'!D206="","",'[1]0.1 Produksi Pangan &amp; Penduduk'!D206)</f>
        <v/>
      </c>
      <c r="E205" s="3" t="str">
        <f>IF('[1]0.1 Produksi Pangan &amp; Penduduk'!E206="","",'[1]0.1 Produksi Pangan &amp; Penduduk'!E206)</f>
        <v/>
      </c>
      <c r="F205" s="59" t="str">
        <f>IF(D205="","",VLOOKUP(D205,'[1]0.1 Produksi Pangan &amp; Penduduk'!$D$5:$J$860,7,0))</f>
        <v/>
      </c>
      <c r="G205" s="27" t="str">
        <f t="shared" si="30"/>
        <v/>
      </c>
      <c r="H205" s="27" t="str">
        <f t="shared" si="31"/>
        <v/>
      </c>
      <c r="I205" s="27" t="str">
        <f t="shared" si="32"/>
        <v/>
      </c>
      <c r="J205" s="27" t="str">
        <f t="shared" si="33"/>
        <v/>
      </c>
      <c r="K205" s="27" t="str">
        <f t="shared" si="34"/>
        <v/>
      </c>
      <c r="L205" s="59" t="str">
        <f>IF(D205="","",VLOOKUP(D205,'[1]0.1 Produksi Pangan &amp; Penduduk'!$D$5:$M$860,10,0))</f>
        <v/>
      </c>
      <c r="M205" s="28" t="str">
        <f t="shared" si="35"/>
        <v/>
      </c>
      <c r="N205" s="60" t="str">
        <f t="shared" si="36"/>
        <v/>
      </c>
      <c r="O205" s="60" t="str">
        <f t="shared" si="37"/>
        <v/>
      </c>
      <c r="P205" s="60" t="str">
        <f t="shared" si="38"/>
        <v/>
      </c>
      <c r="Q205" s="28" t="str">
        <f t="shared" si="39"/>
        <v/>
      </c>
    </row>
    <row r="206" spans="1:17" ht="15" x14ac:dyDescent="0.25">
      <c r="A206" s="3" t="str">
        <f>IF('[1]0.1 Produksi Pangan &amp; Penduduk'!A207="","",'[1]0.1 Produksi Pangan &amp; Penduduk'!A207)</f>
        <v/>
      </c>
      <c r="B206" s="2" t="str">
        <f>IF('[1]0.1 Produksi Pangan &amp; Penduduk'!B207="","",'[1]0.1 Produksi Pangan &amp; Penduduk'!B207)</f>
        <v/>
      </c>
      <c r="C206" s="2" t="str">
        <f>IF('[1]0.1 Produksi Pangan &amp; Penduduk'!F207="","",'[1]0.1 Produksi Pangan &amp; Penduduk'!F207)</f>
        <v/>
      </c>
      <c r="D206" s="3" t="str">
        <f>IF('[1]0.1 Produksi Pangan &amp; Penduduk'!D207="","",'[1]0.1 Produksi Pangan &amp; Penduduk'!D207)</f>
        <v/>
      </c>
      <c r="E206" s="3" t="str">
        <f>IF('[1]0.1 Produksi Pangan &amp; Penduduk'!E207="","",'[1]0.1 Produksi Pangan &amp; Penduduk'!E207)</f>
        <v/>
      </c>
      <c r="F206" s="59" t="str">
        <f>IF(D206="","",VLOOKUP(D206,'[1]0.1 Produksi Pangan &amp; Penduduk'!$D$5:$J$860,7,0))</f>
        <v/>
      </c>
      <c r="G206" s="27" t="str">
        <f t="shared" si="30"/>
        <v/>
      </c>
      <c r="H206" s="27" t="str">
        <f t="shared" si="31"/>
        <v/>
      </c>
      <c r="I206" s="27" t="str">
        <f t="shared" si="32"/>
        <v/>
      </c>
      <c r="J206" s="27" t="str">
        <f t="shared" si="33"/>
        <v/>
      </c>
      <c r="K206" s="27" t="str">
        <f t="shared" si="34"/>
        <v/>
      </c>
      <c r="L206" s="59" t="str">
        <f>IF(D206="","",VLOOKUP(D206,'[1]0.1 Produksi Pangan &amp; Penduduk'!$D$5:$M$860,10,0))</f>
        <v/>
      </c>
      <c r="M206" s="28" t="str">
        <f t="shared" si="35"/>
        <v/>
      </c>
      <c r="N206" s="60" t="str">
        <f t="shared" si="36"/>
        <v/>
      </c>
      <c r="O206" s="60" t="str">
        <f t="shared" si="37"/>
        <v/>
      </c>
      <c r="P206" s="60" t="str">
        <f t="shared" si="38"/>
        <v/>
      </c>
      <c r="Q206" s="28" t="str">
        <f t="shared" si="39"/>
        <v/>
      </c>
    </row>
    <row r="207" spans="1:17" ht="15" x14ac:dyDescent="0.25">
      <c r="A207" s="3" t="str">
        <f>IF('[1]0.1 Produksi Pangan &amp; Penduduk'!A208="","",'[1]0.1 Produksi Pangan &amp; Penduduk'!A208)</f>
        <v/>
      </c>
      <c r="B207" s="2" t="str">
        <f>IF('[1]0.1 Produksi Pangan &amp; Penduduk'!B208="","",'[1]0.1 Produksi Pangan &amp; Penduduk'!B208)</f>
        <v/>
      </c>
      <c r="C207" s="2" t="str">
        <f>IF('[1]0.1 Produksi Pangan &amp; Penduduk'!F208="","",'[1]0.1 Produksi Pangan &amp; Penduduk'!F208)</f>
        <v/>
      </c>
      <c r="D207" s="3" t="str">
        <f>IF('[1]0.1 Produksi Pangan &amp; Penduduk'!D208="","",'[1]0.1 Produksi Pangan &amp; Penduduk'!D208)</f>
        <v/>
      </c>
      <c r="E207" s="3" t="str">
        <f>IF('[1]0.1 Produksi Pangan &amp; Penduduk'!E208="","",'[1]0.1 Produksi Pangan &amp; Penduduk'!E208)</f>
        <v/>
      </c>
      <c r="F207" s="59" t="str">
        <f>IF(D207="","",VLOOKUP(D207,'[1]0.1 Produksi Pangan &amp; Penduduk'!$D$5:$J$860,7,0))</f>
        <v/>
      </c>
      <c r="G207" s="27" t="str">
        <f t="shared" si="30"/>
        <v/>
      </c>
      <c r="H207" s="27" t="str">
        <f t="shared" si="31"/>
        <v/>
      </c>
      <c r="I207" s="27" t="str">
        <f t="shared" si="32"/>
        <v/>
      </c>
      <c r="J207" s="27" t="str">
        <f t="shared" si="33"/>
        <v/>
      </c>
      <c r="K207" s="27" t="str">
        <f t="shared" si="34"/>
        <v/>
      </c>
      <c r="L207" s="59" t="str">
        <f>IF(D207="","",VLOOKUP(D207,'[1]0.1 Produksi Pangan &amp; Penduduk'!$D$5:$M$860,10,0))</f>
        <v/>
      </c>
      <c r="M207" s="28" t="str">
        <f t="shared" si="35"/>
        <v/>
      </c>
      <c r="N207" s="60" t="str">
        <f t="shared" si="36"/>
        <v/>
      </c>
      <c r="O207" s="60" t="str">
        <f t="shared" si="37"/>
        <v/>
      </c>
      <c r="P207" s="60" t="str">
        <f t="shared" si="38"/>
        <v/>
      </c>
      <c r="Q207" s="28" t="str">
        <f t="shared" si="39"/>
        <v/>
      </c>
    </row>
    <row r="208" spans="1:17" ht="15" x14ac:dyDescent="0.25">
      <c r="A208" s="3" t="str">
        <f>IF('[1]0.1 Produksi Pangan &amp; Penduduk'!A209="","",'[1]0.1 Produksi Pangan &amp; Penduduk'!A209)</f>
        <v/>
      </c>
      <c r="B208" s="2" t="str">
        <f>IF('[1]0.1 Produksi Pangan &amp; Penduduk'!B209="","",'[1]0.1 Produksi Pangan &amp; Penduduk'!B209)</f>
        <v/>
      </c>
      <c r="C208" s="2" t="str">
        <f>IF('[1]0.1 Produksi Pangan &amp; Penduduk'!F209="","",'[1]0.1 Produksi Pangan &amp; Penduduk'!F209)</f>
        <v/>
      </c>
      <c r="D208" s="3" t="str">
        <f>IF('[1]0.1 Produksi Pangan &amp; Penduduk'!D209="","",'[1]0.1 Produksi Pangan &amp; Penduduk'!D209)</f>
        <v/>
      </c>
      <c r="E208" s="3" t="str">
        <f>IF('[1]0.1 Produksi Pangan &amp; Penduduk'!E209="","",'[1]0.1 Produksi Pangan &amp; Penduduk'!E209)</f>
        <v/>
      </c>
      <c r="F208" s="59" t="str">
        <f>IF(D208="","",VLOOKUP(D208,'[1]0.1 Produksi Pangan &amp; Penduduk'!$D$5:$J$860,7,0))</f>
        <v/>
      </c>
      <c r="G208" s="27" t="str">
        <f t="shared" si="30"/>
        <v/>
      </c>
      <c r="H208" s="27" t="str">
        <f t="shared" si="31"/>
        <v/>
      </c>
      <c r="I208" s="27" t="str">
        <f t="shared" si="32"/>
        <v/>
      </c>
      <c r="J208" s="27" t="str">
        <f t="shared" si="33"/>
        <v/>
      </c>
      <c r="K208" s="27" t="str">
        <f t="shared" si="34"/>
        <v/>
      </c>
      <c r="L208" s="59" t="str">
        <f>IF(D208="","",VLOOKUP(D208,'[1]0.1 Produksi Pangan &amp; Penduduk'!$D$5:$M$860,10,0))</f>
        <v/>
      </c>
      <c r="M208" s="28" t="str">
        <f t="shared" si="35"/>
        <v/>
      </c>
      <c r="N208" s="60" t="str">
        <f t="shared" si="36"/>
        <v/>
      </c>
      <c r="O208" s="60" t="str">
        <f t="shared" si="37"/>
        <v/>
      </c>
      <c r="P208" s="60" t="str">
        <f t="shared" si="38"/>
        <v/>
      </c>
      <c r="Q208" s="28" t="str">
        <f t="shared" si="39"/>
        <v/>
      </c>
    </row>
    <row r="209" spans="1:17" ht="15" x14ac:dyDescent="0.25">
      <c r="A209" s="3" t="str">
        <f>IF('[1]0.1 Produksi Pangan &amp; Penduduk'!A210="","",'[1]0.1 Produksi Pangan &amp; Penduduk'!A210)</f>
        <v/>
      </c>
      <c r="B209" s="2" t="str">
        <f>IF('[1]0.1 Produksi Pangan &amp; Penduduk'!B210="","",'[1]0.1 Produksi Pangan &amp; Penduduk'!B210)</f>
        <v/>
      </c>
      <c r="C209" s="2" t="str">
        <f>IF('[1]0.1 Produksi Pangan &amp; Penduduk'!F210="","",'[1]0.1 Produksi Pangan &amp; Penduduk'!F210)</f>
        <v/>
      </c>
      <c r="D209" s="3" t="str">
        <f>IF('[1]0.1 Produksi Pangan &amp; Penduduk'!D210="","",'[1]0.1 Produksi Pangan &amp; Penduduk'!D210)</f>
        <v/>
      </c>
      <c r="E209" s="3" t="str">
        <f>IF('[1]0.1 Produksi Pangan &amp; Penduduk'!E210="","",'[1]0.1 Produksi Pangan &amp; Penduduk'!E210)</f>
        <v/>
      </c>
      <c r="F209" s="59" t="str">
        <f>IF(D209="","",VLOOKUP(D209,'[1]0.1 Produksi Pangan &amp; Penduduk'!$D$5:$J$860,7,0))</f>
        <v/>
      </c>
      <c r="G209" s="27" t="str">
        <f t="shared" si="30"/>
        <v/>
      </c>
      <c r="H209" s="27" t="str">
        <f t="shared" si="31"/>
        <v/>
      </c>
      <c r="I209" s="27" t="str">
        <f t="shared" si="32"/>
        <v/>
      </c>
      <c r="J209" s="27" t="str">
        <f t="shared" si="33"/>
        <v/>
      </c>
      <c r="K209" s="27" t="str">
        <f t="shared" si="34"/>
        <v/>
      </c>
      <c r="L209" s="59" t="str">
        <f>IF(D209="","",VLOOKUP(D209,'[1]0.1 Produksi Pangan &amp; Penduduk'!$D$5:$M$860,10,0))</f>
        <v/>
      </c>
      <c r="M209" s="28" t="str">
        <f t="shared" si="35"/>
        <v/>
      </c>
      <c r="N209" s="60" t="str">
        <f t="shared" si="36"/>
        <v/>
      </c>
      <c r="O209" s="60" t="str">
        <f t="shared" si="37"/>
        <v/>
      </c>
      <c r="P209" s="60" t="str">
        <f t="shared" si="38"/>
        <v/>
      </c>
      <c r="Q209" s="28" t="str">
        <f t="shared" si="39"/>
        <v/>
      </c>
    </row>
    <row r="210" spans="1:17" ht="15" x14ac:dyDescent="0.25">
      <c r="A210" s="3" t="str">
        <f>IF('[1]0.1 Produksi Pangan &amp; Penduduk'!A211="","",'[1]0.1 Produksi Pangan &amp; Penduduk'!A211)</f>
        <v/>
      </c>
      <c r="B210" s="2" t="str">
        <f>IF('[1]0.1 Produksi Pangan &amp; Penduduk'!B211="","",'[1]0.1 Produksi Pangan &amp; Penduduk'!B211)</f>
        <v/>
      </c>
      <c r="C210" s="2" t="str">
        <f>IF('[1]0.1 Produksi Pangan &amp; Penduduk'!F211="","",'[1]0.1 Produksi Pangan &amp; Penduduk'!F211)</f>
        <v/>
      </c>
      <c r="D210" s="3" t="str">
        <f>IF('[1]0.1 Produksi Pangan &amp; Penduduk'!D211="","",'[1]0.1 Produksi Pangan &amp; Penduduk'!D211)</f>
        <v/>
      </c>
      <c r="E210" s="3" t="str">
        <f>IF('[1]0.1 Produksi Pangan &amp; Penduduk'!E211="","",'[1]0.1 Produksi Pangan &amp; Penduduk'!E211)</f>
        <v/>
      </c>
      <c r="F210" s="59" t="str">
        <f>IF(D210="","",VLOOKUP(D210,'[1]0.1 Produksi Pangan &amp; Penduduk'!$D$5:$J$860,7,0))</f>
        <v/>
      </c>
      <c r="G210" s="27" t="str">
        <f t="shared" si="30"/>
        <v/>
      </c>
      <c r="H210" s="27" t="str">
        <f t="shared" si="31"/>
        <v/>
      </c>
      <c r="I210" s="27" t="str">
        <f t="shared" si="32"/>
        <v/>
      </c>
      <c r="J210" s="27" t="str">
        <f t="shared" si="33"/>
        <v/>
      </c>
      <c r="K210" s="27" t="str">
        <f t="shared" si="34"/>
        <v/>
      </c>
      <c r="L210" s="59" t="str">
        <f>IF(D210="","",VLOOKUP(D210,'[1]0.1 Produksi Pangan &amp; Penduduk'!$D$5:$M$860,10,0))</f>
        <v/>
      </c>
      <c r="M210" s="28" t="str">
        <f t="shared" si="35"/>
        <v/>
      </c>
      <c r="N210" s="60" t="str">
        <f t="shared" si="36"/>
        <v/>
      </c>
      <c r="O210" s="60" t="str">
        <f t="shared" si="37"/>
        <v/>
      </c>
      <c r="P210" s="60" t="str">
        <f t="shared" si="38"/>
        <v/>
      </c>
      <c r="Q210" s="28" t="str">
        <f t="shared" si="39"/>
        <v/>
      </c>
    </row>
    <row r="211" spans="1:17" ht="15" x14ac:dyDescent="0.25">
      <c r="A211" s="3" t="str">
        <f>IF('[1]0.1 Produksi Pangan &amp; Penduduk'!A212="","",'[1]0.1 Produksi Pangan &amp; Penduduk'!A212)</f>
        <v/>
      </c>
      <c r="B211" s="2" t="str">
        <f>IF('[1]0.1 Produksi Pangan &amp; Penduduk'!B212="","",'[1]0.1 Produksi Pangan &amp; Penduduk'!B212)</f>
        <v/>
      </c>
      <c r="C211" s="2" t="str">
        <f>IF('[1]0.1 Produksi Pangan &amp; Penduduk'!F212="","",'[1]0.1 Produksi Pangan &amp; Penduduk'!F212)</f>
        <v/>
      </c>
      <c r="D211" s="3" t="str">
        <f>IF('[1]0.1 Produksi Pangan &amp; Penduduk'!D212="","",'[1]0.1 Produksi Pangan &amp; Penduduk'!D212)</f>
        <v/>
      </c>
      <c r="E211" s="3" t="str">
        <f>IF('[1]0.1 Produksi Pangan &amp; Penduduk'!E212="","",'[1]0.1 Produksi Pangan &amp; Penduduk'!E212)</f>
        <v/>
      </c>
      <c r="F211" s="59" t="str">
        <f>IF(D211="","",VLOOKUP(D211,'[1]0.1 Produksi Pangan &amp; Penduduk'!$D$5:$J$860,7,0))</f>
        <v/>
      </c>
      <c r="G211" s="27" t="str">
        <f t="shared" si="30"/>
        <v/>
      </c>
      <c r="H211" s="27" t="str">
        <f t="shared" si="31"/>
        <v/>
      </c>
      <c r="I211" s="27" t="str">
        <f t="shared" si="32"/>
        <v/>
      </c>
      <c r="J211" s="27" t="str">
        <f t="shared" si="33"/>
        <v/>
      </c>
      <c r="K211" s="27" t="str">
        <f t="shared" si="34"/>
        <v/>
      </c>
      <c r="L211" s="59" t="str">
        <f>IF(D211="","",VLOOKUP(D211,'[1]0.1 Produksi Pangan &amp; Penduduk'!$D$5:$M$860,10,0))</f>
        <v/>
      </c>
      <c r="M211" s="28" t="str">
        <f t="shared" si="35"/>
        <v/>
      </c>
      <c r="N211" s="60" t="str">
        <f t="shared" si="36"/>
        <v/>
      </c>
      <c r="O211" s="60" t="str">
        <f t="shared" si="37"/>
        <v/>
      </c>
      <c r="P211" s="60" t="str">
        <f t="shared" si="38"/>
        <v/>
      </c>
      <c r="Q211" s="28" t="str">
        <f t="shared" si="39"/>
        <v/>
      </c>
    </row>
    <row r="212" spans="1:17" ht="15" x14ac:dyDescent="0.25">
      <c r="A212" s="3" t="str">
        <f>IF('[1]0.1 Produksi Pangan &amp; Penduduk'!A213="","",'[1]0.1 Produksi Pangan &amp; Penduduk'!A213)</f>
        <v/>
      </c>
      <c r="B212" s="2" t="str">
        <f>IF('[1]0.1 Produksi Pangan &amp; Penduduk'!B213="","",'[1]0.1 Produksi Pangan &amp; Penduduk'!B213)</f>
        <v/>
      </c>
      <c r="C212" s="2" t="str">
        <f>IF('[1]0.1 Produksi Pangan &amp; Penduduk'!F213="","",'[1]0.1 Produksi Pangan &amp; Penduduk'!F213)</f>
        <v/>
      </c>
      <c r="D212" s="3" t="str">
        <f>IF('[1]0.1 Produksi Pangan &amp; Penduduk'!D213="","",'[1]0.1 Produksi Pangan &amp; Penduduk'!D213)</f>
        <v/>
      </c>
      <c r="E212" s="3" t="str">
        <f>IF('[1]0.1 Produksi Pangan &amp; Penduduk'!E213="","",'[1]0.1 Produksi Pangan &amp; Penduduk'!E213)</f>
        <v/>
      </c>
      <c r="F212" s="59" t="str">
        <f>IF(D212="","",VLOOKUP(D212,'[1]0.1 Produksi Pangan &amp; Penduduk'!$D$5:$J$860,7,0))</f>
        <v/>
      </c>
      <c r="G212" s="27" t="str">
        <f t="shared" si="30"/>
        <v/>
      </c>
      <c r="H212" s="27" t="str">
        <f t="shared" si="31"/>
        <v/>
      </c>
      <c r="I212" s="27" t="str">
        <f t="shared" si="32"/>
        <v/>
      </c>
      <c r="J212" s="27" t="str">
        <f t="shared" si="33"/>
        <v/>
      </c>
      <c r="K212" s="27" t="str">
        <f t="shared" si="34"/>
        <v/>
      </c>
      <c r="L212" s="59" t="str">
        <f>IF(D212="","",VLOOKUP(D212,'[1]0.1 Produksi Pangan &amp; Penduduk'!$D$5:$M$860,10,0))</f>
        <v/>
      </c>
      <c r="M212" s="28" t="str">
        <f t="shared" si="35"/>
        <v/>
      </c>
      <c r="N212" s="60" t="str">
        <f t="shared" si="36"/>
        <v/>
      </c>
      <c r="O212" s="60" t="str">
        <f t="shared" si="37"/>
        <v/>
      </c>
      <c r="P212" s="60" t="str">
        <f t="shared" si="38"/>
        <v/>
      </c>
      <c r="Q212" s="28" t="str">
        <f t="shared" si="39"/>
        <v/>
      </c>
    </row>
    <row r="213" spans="1:17" ht="15" x14ac:dyDescent="0.25">
      <c r="A213" s="3" t="str">
        <f>IF('[1]0.1 Produksi Pangan &amp; Penduduk'!A214="","",'[1]0.1 Produksi Pangan &amp; Penduduk'!A214)</f>
        <v/>
      </c>
      <c r="B213" s="2" t="str">
        <f>IF('[1]0.1 Produksi Pangan &amp; Penduduk'!B214="","",'[1]0.1 Produksi Pangan &amp; Penduduk'!B214)</f>
        <v/>
      </c>
      <c r="C213" s="2" t="str">
        <f>IF('[1]0.1 Produksi Pangan &amp; Penduduk'!F214="","",'[1]0.1 Produksi Pangan &amp; Penduduk'!F214)</f>
        <v/>
      </c>
      <c r="D213" s="3" t="str">
        <f>IF('[1]0.1 Produksi Pangan &amp; Penduduk'!D214="","",'[1]0.1 Produksi Pangan &amp; Penduduk'!D214)</f>
        <v/>
      </c>
      <c r="E213" s="3" t="str">
        <f>IF('[1]0.1 Produksi Pangan &amp; Penduduk'!E214="","",'[1]0.1 Produksi Pangan &amp; Penduduk'!E214)</f>
        <v/>
      </c>
      <c r="F213" s="59" t="str">
        <f>IF(D213="","",VLOOKUP(D213,'[1]0.1 Produksi Pangan &amp; Penduduk'!$D$5:$J$860,7,0))</f>
        <v/>
      </c>
      <c r="G213" s="27" t="str">
        <f t="shared" si="30"/>
        <v/>
      </c>
      <c r="H213" s="27" t="str">
        <f t="shared" si="31"/>
        <v/>
      </c>
      <c r="I213" s="27" t="str">
        <f t="shared" si="32"/>
        <v/>
      </c>
      <c r="J213" s="27" t="str">
        <f t="shared" si="33"/>
        <v/>
      </c>
      <c r="K213" s="27" t="str">
        <f t="shared" si="34"/>
        <v/>
      </c>
      <c r="L213" s="59" t="str">
        <f>IF(D213="","",VLOOKUP(D213,'[1]0.1 Produksi Pangan &amp; Penduduk'!$D$5:$M$860,10,0))</f>
        <v/>
      </c>
      <c r="M213" s="28" t="str">
        <f t="shared" si="35"/>
        <v/>
      </c>
      <c r="N213" s="60" t="str">
        <f t="shared" si="36"/>
        <v/>
      </c>
      <c r="O213" s="60" t="str">
        <f t="shared" si="37"/>
        <v/>
      </c>
      <c r="P213" s="60" t="str">
        <f t="shared" si="38"/>
        <v/>
      </c>
      <c r="Q213" s="28" t="str">
        <f t="shared" si="39"/>
        <v/>
      </c>
    </row>
    <row r="214" spans="1:17" ht="15" x14ac:dyDescent="0.25">
      <c r="A214" s="3" t="str">
        <f>IF('[1]0.1 Produksi Pangan &amp; Penduduk'!A215="","",'[1]0.1 Produksi Pangan &amp; Penduduk'!A215)</f>
        <v/>
      </c>
      <c r="B214" s="2" t="str">
        <f>IF('[1]0.1 Produksi Pangan &amp; Penduduk'!B215="","",'[1]0.1 Produksi Pangan &amp; Penduduk'!B215)</f>
        <v/>
      </c>
      <c r="C214" s="2" t="str">
        <f>IF('[1]0.1 Produksi Pangan &amp; Penduduk'!F215="","",'[1]0.1 Produksi Pangan &amp; Penduduk'!F215)</f>
        <v/>
      </c>
      <c r="D214" s="3" t="str">
        <f>IF('[1]0.1 Produksi Pangan &amp; Penduduk'!D215="","",'[1]0.1 Produksi Pangan &amp; Penduduk'!D215)</f>
        <v/>
      </c>
      <c r="E214" s="3" t="str">
        <f>IF('[1]0.1 Produksi Pangan &amp; Penduduk'!E215="","",'[1]0.1 Produksi Pangan &amp; Penduduk'!E215)</f>
        <v/>
      </c>
      <c r="F214" s="59" t="str">
        <f>IF(D214="","",VLOOKUP(D214,'[1]0.1 Produksi Pangan &amp; Penduduk'!$D$5:$J$860,7,0))</f>
        <v/>
      </c>
      <c r="G214" s="27" t="str">
        <f t="shared" si="30"/>
        <v/>
      </c>
      <c r="H214" s="27" t="str">
        <f t="shared" si="31"/>
        <v/>
      </c>
      <c r="I214" s="27" t="str">
        <f t="shared" si="32"/>
        <v/>
      </c>
      <c r="J214" s="27" t="str">
        <f t="shared" si="33"/>
        <v/>
      </c>
      <c r="K214" s="27" t="str">
        <f t="shared" si="34"/>
        <v/>
      </c>
      <c r="L214" s="59" t="str">
        <f>IF(D214="","",VLOOKUP(D214,'[1]0.1 Produksi Pangan &amp; Penduduk'!$D$5:$M$860,10,0))</f>
        <v/>
      </c>
      <c r="M214" s="28" t="str">
        <f t="shared" si="35"/>
        <v/>
      </c>
      <c r="N214" s="60" t="str">
        <f t="shared" si="36"/>
        <v/>
      </c>
      <c r="O214" s="60" t="str">
        <f t="shared" si="37"/>
        <v/>
      </c>
      <c r="P214" s="60" t="str">
        <f t="shared" si="38"/>
        <v/>
      </c>
      <c r="Q214" s="28" t="str">
        <f t="shared" si="39"/>
        <v/>
      </c>
    </row>
    <row r="215" spans="1:17" ht="15" x14ac:dyDescent="0.25">
      <c r="A215" s="3" t="str">
        <f>IF('[1]0.1 Produksi Pangan &amp; Penduduk'!A216="","",'[1]0.1 Produksi Pangan &amp; Penduduk'!A216)</f>
        <v/>
      </c>
      <c r="B215" s="2" t="str">
        <f>IF('[1]0.1 Produksi Pangan &amp; Penduduk'!B216="","",'[1]0.1 Produksi Pangan &amp; Penduduk'!B216)</f>
        <v/>
      </c>
      <c r="C215" s="2" t="str">
        <f>IF('[1]0.1 Produksi Pangan &amp; Penduduk'!F216="","",'[1]0.1 Produksi Pangan &amp; Penduduk'!F216)</f>
        <v/>
      </c>
      <c r="D215" s="3" t="str">
        <f>IF('[1]0.1 Produksi Pangan &amp; Penduduk'!D216="","",'[1]0.1 Produksi Pangan &amp; Penduduk'!D216)</f>
        <v/>
      </c>
      <c r="E215" s="3" t="str">
        <f>IF('[1]0.1 Produksi Pangan &amp; Penduduk'!E216="","",'[1]0.1 Produksi Pangan &amp; Penduduk'!E216)</f>
        <v/>
      </c>
      <c r="F215" s="59" t="str">
        <f>IF(D215="","",VLOOKUP(D215,'[1]0.1 Produksi Pangan &amp; Penduduk'!$D$5:$J$860,7,0))</f>
        <v/>
      </c>
      <c r="G215" s="27" t="str">
        <f t="shared" si="30"/>
        <v/>
      </c>
      <c r="H215" s="27" t="str">
        <f t="shared" si="31"/>
        <v/>
      </c>
      <c r="I215" s="27" t="str">
        <f t="shared" si="32"/>
        <v/>
      </c>
      <c r="J215" s="27" t="str">
        <f t="shared" si="33"/>
        <v/>
      </c>
      <c r="K215" s="27" t="str">
        <f t="shared" si="34"/>
        <v/>
      </c>
      <c r="L215" s="59" t="str">
        <f>IF(D215="","",VLOOKUP(D215,'[1]0.1 Produksi Pangan &amp; Penduduk'!$D$5:$M$860,10,0))</f>
        <v/>
      </c>
      <c r="M215" s="28" t="str">
        <f t="shared" si="35"/>
        <v/>
      </c>
      <c r="N215" s="60" t="str">
        <f t="shared" si="36"/>
        <v/>
      </c>
      <c r="O215" s="60" t="str">
        <f t="shared" si="37"/>
        <v/>
      </c>
      <c r="P215" s="60" t="str">
        <f t="shared" si="38"/>
        <v/>
      </c>
      <c r="Q215" s="28" t="str">
        <f t="shared" si="39"/>
        <v/>
      </c>
    </row>
    <row r="216" spans="1:17" ht="15" x14ac:dyDescent="0.25">
      <c r="A216" s="3" t="str">
        <f>IF('[1]0.1 Produksi Pangan &amp; Penduduk'!A217="","",'[1]0.1 Produksi Pangan &amp; Penduduk'!A217)</f>
        <v/>
      </c>
      <c r="B216" s="2" t="str">
        <f>IF('[1]0.1 Produksi Pangan &amp; Penduduk'!B217="","",'[1]0.1 Produksi Pangan &amp; Penduduk'!B217)</f>
        <v/>
      </c>
      <c r="C216" s="2" t="str">
        <f>IF('[1]0.1 Produksi Pangan &amp; Penduduk'!F217="","",'[1]0.1 Produksi Pangan &amp; Penduduk'!F217)</f>
        <v/>
      </c>
      <c r="D216" s="3" t="str">
        <f>IF('[1]0.1 Produksi Pangan &amp; Penduduk'!D217="","",'[1]0.1 Produksi Pangan &amp; Penduduk'!D217)</f>
        <v/>
      </c>
      <c r="E216" s="3" t="str">
        <f>IF('[1]0.1 Produksi Pangan &amp; Penduduk'!E217="","",'[1]0.1 Produksi Pangan &amp; Penduduk'!E217)</f>
        <v/>
      </c>
      <c r="F216" s="59" t="str">
        <f>IF(D216="","",VLOOKUP(D216,'[1]0.1 Produksi Pangan &amp; Penduduk'!$D$5:$J$860,7,0))</f>
        <v/>
      </c>
      <c r="G216" s="27" t="str">
        <f t="shared" si="30"/>
        <v/>
      </c>
      <c r="H216" s="27" t="str">
        <f t="shared" si="31"/>
        <v/>
      </c>
      <c r="I216" s="27" t="str">
        <f t="shared" si="32"/>
        <v/>
      </c>
      <c r="J216" s="27" t="str">
        <f t="shared" si="33"/>
        <v/>
      </c>
      <c r="K216" s="27" t="str">
        <f t="shared" si="34"/>
        <v/>
      </c>
      <c r="L216" s="59" t="str">
        <f>IF(D216="","",VLOOKUP(D216,'[1]0.1 Produksi Pangan &amp; Penduduk'!$D$5:$M$860,10,0))</f>
        <v/>
      </c>
      <c r="M216" s="28" t="str">
        <f t="shared" si="35"/>
        <v/>
      </c>
      <c r="N216" s="60" t="str">
        <f t="shared" si="36"/>
        <v/>
      </c>
      <c r="O216" s="60" t="str">
        <f t="shared" si="37"/>
        <v/>
      </c>
      <c r="P216" s="60" t="str">
        <f t="shared" si="38"/>
        <v/>
      </c>
      <c r="Q216" s="28" t="str">
        <f t="shared" si="39"/>
        <v/>
      </c>
    </row>
    <row r="217" spans="1:17" ht="15" x14ac:dyDescent="0.25">
      <c r="A217" s="3" t="str">
        <f>IF('[1]0.1 Produksi Pangan &amp; Penduduk'!A218="","",'[1]0.1 Produksi Pangan &amp; Penduduk'!A218)</f>
        <v/>
      </c>
      <c r="B217" s="2" t="str">
        <f>IF('[1]0.1 Produksi Pangan &amp; Penduduk'!B218="","",'[1]0.1 Produksi Pangan &amp; Penduduk'!B218)</f>
        <v/>
      </c>
      <c r="C217" s="2" t="str">
        <f>IF('[1]0.1 Produksi Pangan &amp; Penduduk'!F218="","",'[1]0.1 Produksi Pangan &amp; Penduduk'!F218)</f>
        <v/>
      </c>
      <c r="D217" s="3" t="str">
        <f>IF('[1]0.1 Produksi Pangan &amp; Penduduk'!D218="","",'[1]0.1 Produksi Pangan &amp; Penduduk'!D218)</f>
        <v/>
      </c>
      <c r="E217" s="3" t="str">
        <f>IF('[1]0.1 Produksi Pangan &amp; Penduduk'!E218="","",'[1]0.1 Produksi Pangan &amp; Penduduk'!E218)</f>
        <v/>
      </c>
      <c r="F217" s="59" t="str">
        <f>IF(D217="","",VLOOKUP(D217,'[1]0.1 Produksi Pangan &amp; Penduduk'!$D$5:$J$860,7,0))</f>
        <v/>
      </c>
      <c r="G217" s="27" t="str">
        <f t="shared" si="30"/>
        <v/>
      </c>
      <c r="H217" s="27" t="str">
        <f t="shared" si="31"/>
        <v/>
      </c>
      <c r="I217" s="27" t="str">
        <f t="shared" si="32"/>
        <v/>
      </c>
      <c r="J217" s="27" t="str">
        <f t="shared" si="33"/>
        <v/>
      </c>
      <c r="K217" s="27" t="str">
        <f t="shared" si="34"/>
        <v/>
      </c>
      <c r="L217" s="59" t="str">
        <f>IF(D217="","",VLOOKUP(D217,'[1]0.1 Produksi Pangan &amp; Penduduk'!$D$5:$M$860,10,0))</f>
        <v/>
      </c>
      <c r="M217" s="28" t="str">
        <f t="shared" si="35"/>
        <v/>
      </c>
      <c r="N217" s="60" t="str">
        <f t="shared" si="36"/>
        <v/>
      </c>
      <c r="O217" s="60" t="str">
        <f t="shared" si="37"/>
        <v/>
      </c>
      <c r="P217" s="60" t="str">
        <f t="shared" si="38"/>
        <v/>
      </c>
      <c r="Q217" s="28" t="str">
        <f t="shared" si="39"/>
        <v/>
      </c>
    </row>
    <row r="218" spans="1:17" ht="15" x14ac:dyDescent="0.25">
      <c r="A218" s="3" t="str">
        <f>IF('[1]0.1 Produksi Pangan &amp; Penduduk'!A219="","",'[1]0.1 Produksi Pangan &amp; Penduduk'!A219)</f>
        <v/>
      </c>
      <c r="B218" s="2" t="str">
        <f>IF('[1]0.1 Produksi Pangan &amp; Penduduk'!B219="","",'[1]0.1 Produksi Pangan &amp; Penduduk'!B219)</f>
        <v/>
      </c>
      <c r="C218" s="2" t="str">
        <f>IF('[1]0.1 Produksi Pangan &amp; Penduduk'!F219="","",'[1]0.1 Produksi Pangan &amp; Penduduk'!F219)</f>
        <v/>
      </c>
      <c r="D218" s="3" t="str">
        <f>IF('[1]0.1 Produksi Pangan &amp; Penduduk'!D219="","",'[1]0.1 Produksi Pangan &amp; Penduduk'!D219)</f>
        <v/>
      </c>
      <c r="E218" s="3" t="str">
        <f>IF('[1]0.1 Produksi Pangan &amp; Penduduk'!E219="","",'[1]0.1 Produksi Pangan &amp; Penduduk'!E219)</f>
        <v/>
      </c>
      <c r="F218" s="59" t="str">
        <f>IF(D218="","",VLOOKUP(D218,'[1]0.1 Produksi Pangan &amp; Penduduk'!$D$5:$J$860,7,0))</f>
        <v/>
      </c>
      <c r="G218" s="27" t="str">
        <f t="shared" si="30"/>
        <v/>
      </c>
      <c r="H218" s="27" t="str">
        <f t="shared" si="31"/>
        <v/>
      </c>
      <c r="I218" s="27" t="str">
        <f t="shared" si="32"/>
        <v/>
      </c>
      <c r="J218" s="27" t="str">
        <f t="shared" si="33"/>
        <v/>
      </c>
      <c r="K218" s="27" t="str">
        <f t="shared" si="34"/>
        <v/>
      </c>
      <c r="L218" s="59" t="str">
        <f>IF(D218="","",VLOOKUP(D218,'[1]0.1 Produksi Pangan &amp; Penduduk'!$D$5:$M$860,10,0))</f>
        <v/>
      </c>
      <c r="M218" s="28" t="str">
        <f t="shared" si="35"/>
        <v/>
      </c>
      <c r="N218" s="60" t="str">
        <f t="shared" si="36"/>
        <v/>
      </c>
      <c r="O218" s="60" t="str">
        <f t="shared" si="37"/>
        <v/>
      </c>
      <c r="P218" s="60" t="str">
        <f t="shared" si="38"/>
        <v/>
      </c>
      <c r="Q218" s="28" t="str">
        <f t="shared" si="39"/>
        <v/>
      </c>
    </row>
    <row r="219" spans="1:17" ht="15" x14ac:dyDescent="0.25">
      <c r="A219" s="3" t="str">
        <f>IF('[1]0.1 Produksi Pangan &amp; Penduduk'!A220="","",'[1]0.1 Produksi Pangan &amp; Penduduk'!A220)</f>
        <v/>
      </c>
      <c r="B219" s="2" t="str">
        <f>IF('[1]0.1 Produksi Pangan &amp; Penduduk'!B220="","",'[1]0.1 Produksi Pangan &amp; Penduduk'!B220)</f>
        <v/>
      </c>
      <c r="C219" s="2" t="str">
        <f>IF('[1]0.1 Produksi Pangan &amp; Penduduk'!F220="","",'[1]0.1 Produksi Pangan &amp; Penduduk'!F220)</f>
        <v/>
      </c>
      <c r="D219" s="3" t="str">
        <f>IF('[1]0.1 Produksi Pangan &amp; Penduduk'!D220="","",'[1]0.1 Produksi Pangan &amp; Penduduk'!D220)</f>
        <v/>
      </c>
      <c r="E219" s="3" t="str">
        <f>IF('[1]0.1 Produksi Pangan &amp; Penduduk'!E220="","",'[1]0.1 Produksi Pangan &amp; Penduduk'!E220)</f>
        <v/>
      </c>
      <c r="F219" s="59" t="str">
        <f>IF(D219="","",VLOOKUP(D219,'[1]0.1 Produksi Pangan &amp; Penduduk'!$D$5:$J$860,7,0))</f>
        <v/>
      </c>
      <c r="G219" s="27" t="str">
        <f t="shared" si="30"/>
        <v/>
      </c>
      <c r="H219" s="27" t="str">
        <f t="shared" si="31"/>
        <v/>
      </c>
      <c r="I219" s="27" t="str">
        <f t="shared" si="32"/>
        <v/>
      </c>
      <c r="J219" s="27" t="str">
        <f t="shared" si="33"/>
        <v/>
      </c>
      <c r="K219" s="27" t="str">
        <f t="shared" si="34"/>
        <v/>
      </c>
      <c r="L219" s="59" t="str">
        <f>IF(D219="","",VLOOKUP(D219,'[1]0.1 Produksi Pangan &amp; Penduduk'!$D$5:$M$860,10,0))</f>
        <v/>
      </c>
      <c r="M219" s="28" t="str">
        <f t="shared" si="35"/>
        <v/>
      </c>
      <c r="N219" s="60" t="str">
        <f t="shared" si="36"/>
        <v/>
      </c>
      <c r="O219" s="60" t="str">
        <f t="shared" si="37"/>
        <v/>
      </c>
      <c r="P219" s="60" t="str">
        <f t="shared" si="38"/>
        <v/>
      </c>
      <c r="Q219" s="28" t="str">
        <f t="shared" si="39"/>
        <v/>
      </c>
    </row>
    <row r="220" spans="1:17" ht="15" x14ac:dyDescent="0.25">
      <c r="A220" s="3" t="str">
        <f>IF('[1]0.1 Produksi Pangan &amp; Penduduk'!A221="","",'[1]0.1 Produksi Pangan &amp; Penduduk'!A221)</f>
        <v/>
      </c>
      <c r="B220" s="2" t="str">
        <f>IF('[1]0.1 Produksi Pangan &amp; Penduduk'!B221="","",'[1]0.1 Produksi Pangan &amp; Penduduk'!B221)</f>
        <v/>
      </c>
      <c r="C220" s="2" t="str">
        <f>IF('[1]0.1 Produksi Pangan &amp; Penduduk'!F221="","",'[1]0.1 Produksi Pangan &amp; Penduduk'!F221)</f>
        <v/>
      </c>
      <c r="D220" s="3" t="str">
        <f>IF('[1]0.1 Produksi Pangan &amp; Penduduk'!D221="","",'[1]0.1 Produksi Pangan &amp; Penduduk'!D221)</f>
        <v/>
      </c>
      <c r="E220" s="3" t="str">
        <f>IF('[1]0.1 Produksi Pangan &amp; Penduduk'!E221="","",'[1]0.1 Produksi Pangan &amp; Penduduk'!E221)</f>
        <v/>
      </c>
      <c r="F220" s="59" t="str">
        <f>IF(D220="","",VLOOKUP(D220,'[1]0.1 Produksi Pangan &amp; Penduduk'!$D$5:$J$860,7,0))</f>
        <v/>
      </c>
      <c r="G220" s="27" t="str">
        <f t="shared" si="30"/>
        <v/>
      </c>
      <c r="H220" s="27" t="str">
        <f t="shared" si="31"/>
        <v/>
      </c>
      <c r="I220" s="27" t="str">
        <f t="shared" si="32"/>
        <v/>
      </c>
      <c r="J220" s="27" t="str">
        <f t="shared" si="33"/>
        <v/>
      </c>
      <c r="K220" s="27" t="str">
        <f t="shared" si="34"/>
        <v/>
      </c>
      <c r="L220" s="59" t="str">
        <f>IF(D220="","",VLOOKUP(D220,'[1]0.1 Produksi Pangan &amp; Penduduk'!$D$5:$M$860,10,0))</f>
        <v/>
      </c>
      <c r="M220" s="28" t="str">
        <f t="shared" si="35"/>
        <v/>
      </c>
      <c r="N220" s="60" t="str">
        <f t="shared" si="36"/>
        <v/>
      </c>
      <c r="O220" s="60" t="str">
        <f t="shared" si="37"/>
        <v/>
      </c>
      <c r="P220" s="60" t="str">
        <f t="shared" si="38"/>
        <v/>
      </c>
      <c r="Q220" s="28" t="str">
        <f t="shared" si="39"/>
        <v/>
      </c>
    </row>
    <row r="221" spans="1:17" ht="15" x14ac:dyDescent="0.25">
      <c r="A221" s="3" t="str">
        <f>IF('[1]0.1 Produksi Pangan &amp; Penduduk'!A222="","",'[1]0.1 Produksi Pangan &amp; Penduduk'!A222)</f>
        <v/>
      </c>
      <c r="B221" s="2" t="str">
        <f>IF('[1]0.1 Produksi Pangan &amp; Penduduk'!B222="","",'[1]0.1 Produksi Pangan &amp; Penduduk'!B222)</f>
        <v/>
      </c>
      <c r="C221" s="2" t="str">
        <f>IF('[1]0.1 Produksi Pangan &amp; Penduduk'!F222="","",'[1]0.1 Produksi Pangan &amp; Penduduk'!F222)</f>
        <v/>
      </c>
      <c r="D221" s="3" t="str">
        <f>IF('[1]0.1 Produksi Pangan &amp; Penduduk'!D222="","",'[1]0.1 Produksi Pangan &amp; Penduduk'!D222)</f>
        <v/>
      </c>
      <c r="E221" s="3" t="str">
        <f>IF('[1]0.1 Produksi Pangan &amp; Penduduk'!E222="","",'[1]0.1 Produksi Pangan &amp; Penduduk'!E222)</f>
        <v/>
      </c>
      <c r="F221" s="59" t="str">
        <f>IF(D221="","",VLOOKUP(D221,'[1]0.1 Produksi Pangan &amp; Penduduk'!$D$5:$J$860,7,0))</f>
        <v/>
      </c>
      <c r="G221" s="27" t="str">
        <f t="shared" si="30"/>
        <v/>
      </c>
      <c r="H221" s="27" t="str">
        <f t="shared" si="31"/>
        <v/>
      </c>
      <c r="I221" s="27" t="str">
        <f t="shared" si="32"/>
        <v/>
      </c>
      <c r="J221" s="27" t="str">
        <f t="shared" si="33"/>
        <v/>
      </c>
      <c r="K221" s="27" t="str">
        <f t="shared" si="34"/>
        <v/>
      </c>
      <c r="L221" s="59" t="str">
        <f>IF(D221="","",VLOOKUP(D221,'[1]0.1 Produksi Pangan &amp; Penduduk'!$D$5:$M$860,10,0))</f>
        <v/>
      </c>
      <c r="M221" s="28" t="str">
        <f t="shared" si="35"/>
        <v/>
      </c>
      <c r="N221" s="60" t="str">
        <f t="shared" si="36"/>
        <v/>
      </c>
      <c r="O221" s="60" t="str">
        <f t="shared" si="37"/>
        <v/>
      </c>
      <c r="P221" s="60" t="str">
        <f t="shared" si="38"/>
        <v/>
      </c>
      <c r="Q221" s="28" t="str">
        <f t="shared" si="39"/>
        <v/>
      </c>
    </row>
    <row r="222" spans="1:17" ht="15" x14ac:dyDescent="0.25">
      <c r="A222" s="3" t="str">
        <f>IF('[1]0.1 Produksi Pangan &amp; Penduduk'!A223="","",'[1]0.1 Produksi Pangan &amp; Penduduk'!A223)</f>
        <v/>
      </c>
      <c r="B222" s="2" t="str">
        <f>IF('[1]0.1 Produksi Pangan &amp; Penduduk'!B223="","",'[1]0.1 Produksi Pangan &amp; Penduduk'!B223)</f>
        <v/>
      </c>
      <c r="C222" s="2" t="str">
        <f>IF('[1]0.1 Produksi Pangan &amp; Penduduk'!F223="","",'[1]0.1 Produksi Pangan &amp; Penduduk'!F223)</f>
        <v/>
      </c>
      <c r="D222" s="3" t="str">
        <f>IF('[1]0.1 Produksi Pangan &amp; Penduduk'!D223="","",'[1]0.1 Produksi Pangan &amp; Penduduk'!D223)</f>
        <v/>
      </c>
      <c r="E222" s="3" t="str">
        <f>IF('[1]0.1 Produksi Pangan &amp; Penduduk'!E223="","",'[1]0.1 Produksi Pangan &amp; Penduduk'!E223)</f>
        <v/>
      </c>
      <c r="F222" s="59" t="str">
        <f>IF(D222="","",VLOOKUP(D222,'[1]0.1 Produksi Pangan &amp; Penduduk'!$D$5:$J$860,7,0))</f>
        <v/>
      </c>
      <c r="G222" s="27" t="str">
        <f t="shared" si="30"/>
        <v/>
      </c>
      <c r="H222" s="27" t="str">
        <f t="shared" si="31"/>
        <v/>
      </c>
      <c r="I222" s="27" t="str">
        <f t="shared" si="32"/>
        <v/>
      </c>
      <c r="J222" s="27" t="str">
        <f t="shared" si="33"/>
        <v/>
      </c>
      <c r="K222" s="27" t="str">
        <f t="shared" si="34"/>
        <v/>
      </c>
      <c r="L222" s="59" t="str">
        <f>IF(D222="","",VLOOKUP(D222,'[1]0.1 Produksi Pangan &amp; Penduduk'!$D$5:$M$860,10,0))</f>
        <v/>
      </c>
      <c r="M222" s="28" t="str">
        <f t="shared" si="35"/>
        <v/>
      </c>
      <c r="N222" s="60" t="str">
        <f t="shared" si="36"/>
        <v/>
      </c>
      <c r="O222" s="60" t="str">
        <f t="shared" si="37"/>
        <v/>
      </c>
      <c r="P222" s="60" t="str">
        <f t="shared" si="38"/>
        <v/>
      </c>
      <c r="Q222" s="28" t="str">
        <f t="shared" si="39"/>
        <v/>
      </c>
    </row>
    <row r="223" spans="1:17" ht="15" x14ac:dyDescent="0.25">
      <c r="A223" s="3" t="str">
        <f>IF('[1]0.1 Produksi Pangan &amp; Penduduk'!A224="","",'[1]0.1 Produksi Pangan &amp; Penduduk'!A224)</f>
        <v/>
      </c>
      <c r="B223" s="2" t="str">
        <f>IF('[1]0.1 Produksi Pangan &amp; Penduduk'!B224="","",'[1]0.1 Produksi Pangan &amp; Penduduk'!B224)</f>
        <v/>
      </c>
      <c r="C223" s="2" t="str">
        <f>IF('[1]0.1 Produksi Pangan &amp; Penduduk'!F224="","",'[1]0.1 Produksi Pangan &amp; Penduduk'!F224)</f>
        <v/>
      </c>
      <c r="D223" s="3" t="str">
        <f>IF('[1]0.1 Produksi Pangan &amp; Penduduk'!D224="","",'[1]0.1 Produksi Pangan &amp; Penduduk'!D224)</f>
        <v/>
      </c>
      <c r="E223" s="3" t="str">
        <f>IF('[1]0.1 Produksi Pangan &amp; Penduduk'!E224="","",'[1]0.1 Produksi Pangan &amp; Penduduk'!E224)</f>
        <v/>
      </c>
      <c r="F223" s="59" t="str">
        <f>IF(D223="","",VLOOKUP(D223,'[1]0.1 Produksi Pangan &amp; Penduduk'!$D$5:$J$860,7,0))</f>
        <v/>
      </c>
      <c r="G223" s="27" t="str">
        <f t="shared" si="30"/>
        <v/>
      </c>
      <c r="H223" s="27" t="str">
        <f t="shared" si="31"/>
        <v/>
      </c>
      <c r="I223" s="27" t="str">
        <f t="shared" si="32"/>
        <v/>
      </c>
      <c r="J223" s="27" t="str">
        <f t="shared" si="33"/>
        <v/>
      </c>
      <c r="K223" s="27" t="str">
        <f t="shared" si="34"/>
        <v/>
      </c>
      <c r="L223" s="59" t="str">
        <f>IF(D223="","",VLOOKUP(D223,'[1]0.1 Produksi Pangan &amp; Penduduk'!$D$5:$M$860,10,0))</f>
        <v/>
      </c>
      <c r="M223" s="28" t="str">
        <f t="shared" si="35"/>
        <v/>
      </c>
      <c r="N223" s="60" t="str">
        <f t="shared" si="36"/>
        <v/>
      </c>
      <c r="O223" s="60" t="str">
        <f t="shared" si="37"/>
        <v/>
      </c>
      <c r="P223" s="60" t="str">
        <f t="shared" si="38"/>
        <v/>
      </c>
      <c r="Q223" s="28" t="str">
        <f t="shared" si="39"/>
        <v/>
      </c>
    </row>
    <row r="224" spans="1:17" ht="15" x14ac:dyDescent="0.25">
      <c r="A224" s="3" t="str">
        <f>IF('[1]0.1 Produksi Pangan &amp; Penduduk'!A225="","",'[1]0.1 Produksi Pangan &amp; Penduduk'!A225)</f>
        <v/>
      </c>
      <c r="B224" s="2" t="str">
        <f>IF('[1]0.1 Produksi Pangan &amp; Penduduk'!B225="","",'[1]0.1 Produksi Pangan &amp; Penduduk'!B225)</f>
        <v/>
      </c>
      <c r="C224" s="2" t="str">
        <f>IF('[1]0.1 Produksi Pangan &amp; Penduduk'!F225="","",'[1]0.1 Produksi Pangan &amp; Penduduk'!F225)</f>
        <v/>
      </c>
      <c r="D224" s="3" t="str">
        <f>IF('[1]0.1 Produksi Pangan &amp; Penduduk'!D225="","",'[1]0.1 Produksi Pangan &amp; Penduduk'!D225)</f>
        <v/>
      </c>
      <c r="E224" s="3" t="str">
        <f>IF('[1]0.1 Produksi Pangan &amp; Penduduk'!E225="","",'[1]0.1 Produksi Pangan &amp; Penduduk'!E225)</f>
        <v/>
      </c>
      <c r="F224" s="59" t="str">
        <f>IF(D224="","",VLOOKUP(D224,'[1]0.1 Produksi Pangan &amp; Penduduk'!$D$5:$J$860,7,0))</f>
        <v/>
      </c>
      <c r="G224" s="27" t="str">
        <f t="shared" si="30"/>
        <v/>
      </c>
      <c r="H224" s="27" t="str">
        <f t="shared" si="31"/>
        <v/>
      </c>
      <c r="I224" s="27" t="str">
        <f t="shared" si="32"/>
        <v/>
      </c>
      <c r="J224" s="27" t="str">
        <f t="shared" si="33"/>
        <v/>
      </c>
      <c r="K224" s="27" t="str">
        <f t="shared" si="34"/>
        <v/>
      </c>
      <c r="L224" s="59" t="str">
        <f>IF(D224="","",VLOOKUP(D224,'[1]0.1 Produksi Pangan &amp; Penduduk'!$D$5:$M$860,10,0))</f>
        <v/>
      </c>
      <c r="M224" s="28" t="str">
        <f t="shared" si="35"/>
        <v/>
      </c>
      <c r="N224" s="60" t="str">
        <f t="shared" si="36"/>
        <v/>
      </c>
      <c r="O224" s="60" t="str">
        <f t="shared" si="37"/>
        <v/>
      </c>
      <c r="P224" s="60" t="str">
        <f t="shared" si="38"/>
        <v/>
      </c>
      <c r="Q224" s="28" t="str">
        <f t="shared" si="39"/>
        <v/>
      </c>
    </row>
    <row r="225" spans="1:17" ht="15" x14ac:dyDescent="0.25">
      <c r="A225" s="3" t="str">
        <f>IF('[1]0.1 Produksi Pangan &amp; Penduduk'!A226="","",'[1]0.1 Produksi Pangan &amp; Penduduk'!A226)</f>
        <v/>
      </c>
      <c r="B225" s="2" t="str">
        <f>IF('[1]0.1 Produksi Pangan &amp; Penduduk'!B226="","",'[1]0.1 Produksi Pangan &amp; Penduduk'!B226)</f>
        <v/>
      </c>
      <c r="C225" s="2" t="str">
        <f>IF('[1]0.1 Produksi Pangan &amp; Penduduk'!F226="","",'[1]0.1 Produksi Pangan &amp; Penduduk'!F226)</f>
        <v/>
      </c>
      <c r="D225" s="3" t="str">
        <f>IF('[1]0.1 Produksi Pangan &amp; Penduduk'!D226="","",'[1]0.1 Produksi Pangan &amp; Penduduk'!D226)</f>
        <v/>
      </c>
      <c r="E225" s="3" t="str">
        <f>IF('[1]0.1 Produksi Pangan &amp; Penduduk'!E226="","",'[1]0.1 Produksi Pangan &amp; Penduduk'!E226)</f>
        <v/>
      </c>
      <c r="F225" s="59" t="str">
        <f>IF(D225="","",VLOOKUP(D225,'[1]0.1 Produksi Pangan &amp; Penduduk'!$D$5:$J$860,7,0))</f>
        <v/>
      </c>
      <c r="G225" s="27" t="str">
        <f t="shared" si="30"/>
        <v/>
      </c>
      <c r="H225" s="27" t="str">
        <f t="shared" si="31"/>
        <v/>
      </c>
      <c r="I225" s="27" t="str">
        <f t="shared" si="32"/>
        <v/>
      </c>
      <c r="J225" s="27" t="str">
        <f t="shared" si="33"/>
        <v/>
      </c>
      <c r="K225" s="27" t="str">
        <f t="shared" si="34"/>
        <v/>
      </c>
      <c r="L225" s="59" t="str">
        <f>IF(D225="","",VLOOKUP(D225,'[1]0.1 Produksi Pangan &amp; Penduduk'!$D$5:$M$860,10,0))</f>
        <v/>
      </c>
      <c r="M225" s="28" t="str">
        <f t="shared" si="35"/>
        <v/>
      </c>
      <c r="N225" s="60" t="str">
        <f t="shared" si="36"/>
        <v/>
      </c>
      <c r="O225" s="60" t="str">
        <f t="shared" si="37"/>
        <v/>
      </c>
      <c r="P225" s="60" t="str">
        <f t="shared" si="38"/>
        <v/>
      </c>
      <c r="Q225" s="28" t="str">
        <f t="shared" si="39"/>
        <v/>
      </c>
    </row>
    <row r="226" spans="1:17" ht="15" x14ac:dyDescent="0.25">
      <c r="A226" s="3" t="str">
        <f>IF('[1]0.1 Produksi Pangan &amp; Penduduk'!A227="","",'[1]0.1 Produksi Pangan &amp; Penduduk'!A227)</f>
        <v/>
      </c>
      <c r="B226" s="2" t="str">
        <f>IF('[1]0.1 Produksi Pangan &amp; Penduduk'!B227="","",'[1]0.1 Produksi Pangan &amp; Penduduk'!B227)</f>
        <v/>
      </c>
      <c r="C226" s="2" t="str">
        <f>IF('[1]0.1 Produksi Pangan &amp; Penduduk'!F227="","",'[1]0.1 Produksi Pangan &amp; Penduduk'!F227)</f>
        <v/>
      </c>
      <c r="D226" s="3" t="str">
        <f>IF('[1]0.1 Produksi Pangan &amp; Penduduk'!D227="","",'[1]0.1 Produksi Pangan &amp; Penduduk'!D227)</f>
        <v/>
      </c>
      <c r="E226" s="3" t="str">
        <f>IF('[1]0.1 Produksi Pangan &amp; Penduduk'!E227="","",'[1]0.1 Produksi Pangan &amp; Penduduk'!E227)</f>
        <v/>
      </c>
      <c r="F226" s="59" t="str">
        <f>IF(D226="","",VLOOKUP(D226,'[1]0.1 Produksi Pangan &amp; Penduduk'!$D$5:$J$860,7,0))</f>
        <v/>
      </c>
      <c r="G226" s="27" t="str">
        <f t="shared" si="30"/>
        <v/>
      </c>
      <c r="H226" s="27" t="str">
        <f t="shared" si="31"/>
        <v/>
      </c>
      <c r="I226" s="27" t="str">
        <f t="shared" si="32"/>
        <v/>
      </c>
      <c r="J226" s="27" t="str">
        <f t="shared" si="33"/>
        <v/>
      </c>
      <c r="K226" s="27" t="str">
        <f t="shared" si="34"/>
        <v/>
      </c>
      <c r="L226" s="59" t="str">
        <f>IF(D226="","",VLOOKUP(D226,'[1]0.1 Produksi Pangan &amp; Penduduk'!$D$5:$M$860,10,0))</f>
        <v/>
      </c>
      <c r="M226" s="28" t="str">
        <f t="shared" si="35"/>
        <v/>
      </c>
      <c r="N226" s="60" t="str">
        <f t="shared" si="36"/>
        <v/>
      </c>
      <c r="O226" s="60" t="str">
        <f t="shared" si="37"/>
        <v/>
      </c>
      <c r="P226" s="60" t="str">
        <f t="shared" si="38"/>
        <v/>
      </c>
      <c r="Q226" s="28" t="str">
        <f t="shared" si="39"/>
        <v/>
      </c>
    </row>
    <row r="227" spans="1:17" ht="15" x14ac:dyDescent="0.25">
      <c r="A227" s="3" t="str">
        <f>IF('[1]0.1 Produksi Pangan &amp; Penduduk'!A228="","",'[1]0.1 Produksi Pangan &amp; Penduduk'!A228)</f>
        <v/>
      </c>
      <c r="B227" s="2" t="str">
        <f>IF('[1]0.1 Produksi Pangan &amp; Penduduk'!B228="","",'[1]0.1 Produksi Pangan &amp; Penduduk'!B228)</f>
        <v/>
      </c>
      <c r="C227" s="2" t="str">
        <f>IF('[1]0.1 Produksi Pangan &amp; Penduduk'!F228="","",'[1]0.1 Produksi Pangan &amp; Penduduk'!F228)</f>
        <v/>
      </c>
      <c r="D227" s="3" t="str">
        <f>IF('[1]0.1 Produksi Pangan &amp; Penduduk'!D228="","",'[1]0.1 Produksi Pangan &amp; Penduduk'!D228)</f>
        <v/>
      </c>
      <c r="E227" s="3" t="str">
        <f>IF('[1]0.1 Produksi Pangan &amp; Penduduk'!E228="","",'[1]0.1 Produksi Pangan &amp; Penduduk'!E228)</f>
        <v/>
      </c>
      <c r="F227" s="59" t="str">
        <f>IF(D227="","",VLOOKUP(D227,'[1]0.1 Produksi Pangan &amp; Penduduk'!$D$5:$J$860,7,0))</f>
        <v/>
      </c>
      <c r="G227" s="27" t="str">
        <f t="shared" si="30"/>
        <v/>
      </c>
      <c r="H227" s="27" t="str">
        <f t="shared" si="31"/>
        <v/>
      </c>
      <c r="I227" s="27" t="str">
        <f t="shared" si="32"/>
        <v/>
      </c>
      <c r="J227" s="27" t="str">
        <f t="shared" si="33"/>
        <v/>
      </c>
      <c r="K227" s="27" t="str">
        <f t="shared" si="34"/>
        <v/>
      </c>
      <c r="L227" s="59" t="str">
        <f>IF(D227="","",VLOOKUP(D227,'[1]0.1 Produksi Pangan &amp; Penduduk'!$D$5:$M$860,10,0))</f>
        <v/>
      </c>
      <c r="M227" s="28" t="str">
        <f t="shared" si="35"/>
        <v/>
      </c>
      <c r="N227" s="60" t="str">
        <f t="shared" si="36"/>
        <v/>
      </c>
      <c r="O227" s="60" t="str">
        <f t="shared" si="37"/>
        <v/>
      </c>
      <c r="P227" s="60" t="str">
        <f t="shared" si="38"/>
        <v/>
      </c>
      <c r="Q227" s="28" t="str">
        <f t="shared" si="39"/>
        <v/>
      </c>
    </row>
    <row r="228" spans="1:17" ht="15" x14ac:dyDescent="0.25">
      <c r="A228" s="3" t="str">
        <f>IF('[1]0.1 Produksi Pangan &amp; Penduduk'!A229="","",'[1]0.1 Produksi Pangan &amp; Penduduk'!A229)</f>
        <v/>
      </c>
      <c r="B228" s="2" t="str">
        <f>IF('[1]0.1 Produksi Pangan &amp; Penduduk'!B229="","",'[1]0.1 Produksi Pangan &amp; Penduduk'!B229)</f>
        <v/>
      </c>
      <c r="C228" s="2" t="str">
        <f>IF('[1]0.1 Produksi Pangan &amp; Penduduk'!F229="","",'[1]0.1 Produksi Pangan &amp; Penduduk'!F229)</f>
        <v/>
      </c>
      <c r="D228" s="3" t="str">
        <f>IF('[1]0.1 Produksi Pangan &amp; Penduduk'!D229="","",'[1]0.1 Produksi Pangan &amp; Penduduk'!D229)</f>
        <v/>
      </c>
      <c r="E228" s="3" t="str">
        <f>IF('[1]0.1 Produksi Pangan &amp; Penduduk'!E229="","",'[1]0.1 Produksi Pangan &amp; Penduduk'!E229)</f>
        <v/>
      </c>
      <c r="F228" s="59" t="str">
        <f>IF(D228="","",VLOOKUP(D228,'[1]0.1 Produksi Pangan &amp; Penduduk'!$D$5:$J$860,7,0))</f>
        <v/>
      </c>
      <c r="G228" s="27" t="str">
        <f t="shared" si="30"/>
        <v/>
      </c>
      <c r="H228" s="27" t="str">
        <f t="shared" si="31"/>
        <v/>
      </c>
      <c r="I228" s="27" t="str">
        <f t="shared" si="32"/>
        <v/>
      </c>
      <c r="J228" s="27" t="str">
        <f t="shared" si="33"/>
        <v/>
      </c>
      <c r="K228" s="27" t="str">
        <f t="shared" si="34"/>
        <v/>
      </c>
      <c r="L228" s="59" t="str">
        <f>IF(D228="","",VLOOKUP(D228,'[1]0.1 Produksi Pangan &amp; Penduduk'!$D$5:$M$860,10,0))</f>
        <v/>
      </c>
      <c r="M228" s="28" t="str">
        <f t="shared" si="35"/>
        <v/>
      </c>
      <c r="N228" s="60" t="str">
        <f t="shared" si="36"/>
        <v/>
      </c>
      <c r="O228" s="60" t="str">
        <f t="shared" si="37"/>
        <v/>
      </c>
      <c r="P228" s="60" t="str">
        <f t="shared" si="38"/>
        <v/>
      </c>
      <c r="Q228" s="28" t="str">
        <f t="shared" si="39"/>
        <v/>
      </c>
    </row>
    <row r="229" spans="1:17" ht="15" x14ac:dyDescent="0.25">
      <c r="A229" s="3" t="str">
        <f>IF('[1]0.1 Produksi Pangan &amp; Penduduk'!A230="","",'[1]0.1 Produksi Pangan &amp; Penduduk'!A230)</f>
        <v/>
      </c>
      <c r="B229" s="2" t="str">
        <f>IF('[1]0.1 Produksi Pangan &amp; Penduduk'!B230="","",'[1]0.1 Produksi Pangan &amp; Penduduk'!B230)</f>
        <v/>
      </c>
      <c r="C229" s="2" t="str">
        <f>IF('[1]0.1 Produksi Pangan &amp; Penduduk'!F230="","",'[1]0.1 Produksi Pangan &amp; Penduduk'!F230)</f>
        <v/>
      </c>
      <c r="D229" s="3" t="str">
        <f>IF('[1]0.1 Produksi Pangan &amp; Penduduk'!D230="","",'[1]0.1 Produksi Pangan &amp; Penduduk'!D230)</f>
        <v/>
      </c>
      <c r="E229" s="3" t="str">
        <f>IF('[1]0.1 Produksi Pangan &amp; Penduduk'!E230="","",'[1]0.1 Produksi Pangan &amp; Penduduk'!E230)</f>
        <v/>
      </c>
      <c r="F229" s="59" t="str">
        <f>IF(D229="","",VLOOKUP(D229,'[1]0.1 Produksi Pangan &amp; Penduduk'!$D$5:$J$860,7,0))</f>
        <v/>
      </c>
      <c r="G229" s="27" t="str">
        <f t="shared" si="30"/>
        <v/>
      </c>
      <c r="H229" s="27" t="str">
        <f t="shared" si="31"/>
        <v/>
      </c>
      <c r="I229" s="27" t="str">
        <f t="shared" si="32"/>
        <v/>
      </c>
      <c r="J229" s="27" t="str">
        <f t="shared" si="33"/>
        <v/>
      </c>
      <c r="K229" s="27" t="str">
        <f t="shared" si="34"/>
        <v/>
      </c>
      <c r="L229" s="59" t="str">
        <f>IF(D229="","",VLOOKUP(D229,'[1]0.1 Produksi Pangan &amp; Penduduk'!$D$5:$M$860,10,0))</f>
        <v/>
      </c>
      <c r="M229" s="28" t="str">
        <f t="shared" si="35"/>
        <v/>
      </c>
      <c r="N229" s="60" t="str">
        <f t="shared" si="36"/>
        <v/>
      </c>
      <c r="O229" s="60" t="str">
        <f t="shared" si="37"/>
        <v/>
      </c>
      <c r="P229" s="60" t="str">
        <f t="shared" si="38"/>
        <v/>
      </c>
      <c r="Q229" s="28" t="str">
        <f t="shared" si="39"/>
        <v/>
      </c>
    </row>
    <row r="230" spans="1:17" ht="15" x14ac:dyDescent="0.25">
      <c r="A230" s="3" t="str">
        <f>IF('[1]0.1 Produksi Pangan &amp; Penduduk'!A231="","",'[1]0.1 Produksi Pangan &amp; Penduduk'!A231)</f>
        <v/>
      </c>
      <c r="B230" s="2" t="str">
        <f>IF('[1]0.1 Produksi Pangan &amp; Penduduk'!B231="","",'[1]0.1 Produksi Pangan &amp; Penduduk'!B231)</f>
        <v/>
      </c>
      <c r="C230" s="2" t="str">
        <f>IF('[1]0.1 Produksi Pangan &amp; Penduduk'!F231="","",'[1]0.1 Produksi Pangan &amp; Penduduk'!F231)</f>
        <v/>
      </c>
      <c r="D230" s="3" t="str">
        <f>IF('[1]0.1 Produksi Pangan &amp; Penduduk'!D231="","",'[1]0.1 Produksi Pangan &amp; Penduduk'!D231)</f>
        <v/>
      </c>
      <c r="E230" s="3" t="str">
        <f>IF('[1]0.1 Produksi Pangan &amp; Penduduk'!E231="","",'[1]0.1 Produksi Pangan &amp; Penduduk'!E231)</f>
        <v/>
      </c>
      <c r="F230" s="59" t="str">
        <f>IF(D230="","",VLOOKUP(D230,'[1]0.1 Produksi Pangan &amp; Penduduk'!$D$5:$J$860,7,0))</f>
        <v/>
      </c>
      <c r="G230" s="27" t="str">
        <f t="shared" si="30"/>
        <v/>
      </c>
      <c r="H230" s="27" t="str">
        <f t="shared" si="31"/>
        <v/>
      </c>
      <c r="I230" s="27" t="str">
        <f t="shared" si="32"/>
        <v/>
      </c>
      <c r="J230" s="27" t="str">
        <f t="shared" si="33"/>
        <v/>
      </c>
      <c r="K230" s="27" t="str">
        <f t="shared" si="34"/>
        <v/>
      </c>
      <c r="L230" s="59" t="str">
        <f>IF(D230="","",VLOOKUP(D230,'[1]0.1 Produksi Pangan &amp; Penduduk'!$D$5:$M$860,10,0))</f>
        <v/>
      </c>
      <c r="M230" s="28" t="str">
        <f t="shared" si="35"/>
        <v/>
      </c>
      <c r="N230" s="60" t="str">
        <f t="shared" si="36"/>
        <v/>
      </c>
      <c r="O230" s="60" t="str">
        <f t="shared" si="37"/>
        <v/>
      </c>
      <c r="P230" s="60" t="str">
        <f t="shared" si="38"/>
        <v/>
      </c>
      <c r="Q230" s="28" t="str">
        <f t="shared" si="39"/>
        <v/>
      </c>
    </row>
    <row r="231" spans="1:17" ht="15" x14ac:dyDescent="0.25">
      <c r="A231" s="3" t="str">
        <f>IF('[1]0.1 Produksi Pangan &amp; Penduduk'!A232="","",'[1]0.1 Produksi Pangan &amp; Penduduk'!A232)</f>
        <v/>
      </c>
      <c r="B231" s="2" t="str">
        <f>IF('[1]0.1 Produksi Pangan &amp; Penduduk'!B232="","",'[1]0.1 Produksi Pangan &amp; Penduduk'!B232)</f>
        <v/>
      </c>
      <c r="C231" s="2" t="str">
        <f>IF('[1]0.1 Produksi Pangan &amp; Penduduk'!F232="","",'[1]0.1 Produksi Pangan &amp; Penduduk'!F232)</f>
        <v/>
      </c>
      <c r="D231" s="3" t="str">
        <f>IF('[1]0.1 Produksi Pangan &amp; Penduduk'!D232="","",'[1]0.1 Produksi Pangan &amp; Penduduk'!D232)</f>
        <v/>
      </c>
      <c r="E231" s="3" t="str">
        <f>IF('[1]0.1 Produksi Pangan &amp; Penduduk'!E232="","",'[1]0.1 Produksi Pangan &amp; Penduduk'!E232)</f>
        <v/>
      </c>
      <c r="F231" s="59" t="str">
        <f>IF(D231="","",VLOOKUP(D231,'[1]0.1 Produksi Pangan &amp; Penduduk'!$D$5:$J$860,7,0))</f>
        <v/>
      </c>
      <c r="G231" s="27" t="str">
        <f t="shared" si="30"/>
        <v/>
      </c>
      <c r="H231" s="27" t="str">
        <f t="shared" si="31"/>
        <v/>
      </c>
      <c r="I231" s="27" t="str">
        <f t="shared" si="32"/>
        <v/>
      </c>
      <c r="J231" s="27" t="str">
        <f t="shared" si="33"/>
        <v/>
      </c>
      <c r="K231" s="27" t="str">
        <f t="shared" si="34"/>
        <v/>
      </c>
      <c r="L231" s="59" t="str">
        <f>IF(D231="","",VLOOKUP(D231,'[1]0.1 Produksi Pangan &amp; Penduduk'!$D$5:$M$860,10,0))</f>
        <v/>
      </c>
      <c r="M231" s="28" t="str">
        <f t="shared" si="35"/>
        <v/>
      </c>
      <c r="N231" s="60" t="str">
        <f t="shared" si="36"/>
        <v/>
      </c>
      <c r="O231" s="60" t="str">
        <f t="shared" si="37"/>
        <v/>
      </c>
      <c r="P231" s="60" t="str">
        <f t="shared" si="38"/>
        <v/>
      </c>
      <c r="Q231" s="28" t="str">
        <f t="shared" si="39"/>
        <v/>
      </c>
    </row>
    <row r="232" spans="1:17" ht="15" x14ac:dyDescent="0.25">
      <c r="A232" s="3" t="str">
        <f>IF('[1]0.1 Produksi Pangan &amp; Penduduk'!A233="","",'[1]0.1 Produksi Pangan &amp; Penduduk'!A233)</f>
        <v/>
      </c>
      <c r="B232" s="2" t="str">
        <f>IF('[1]0.1 Produksi Pangan &amp; Penduduk'!B233="","",'[1]0.1 Produksi Pangan &amp; Penduduk'!B233)</f>
        <v/>
      </c>
      <c r="C232" s="2" t="str">
        <f>IF('[1]0.1 Produksi Pangan &amp; Penduduk'!F233="","",'[1]0.1 Produksi Pangan &amp; Penduduk'!F233)</f>
        <v/>
      </c>
      <c r="D232" s="3" t="str">
        <f>IF('[1]0.1 Produksi Pangan &amp; Penduduk'!D233="","",'[1]0.1 Produksi Pangan &amp; Penduduk'!D233)</f>
        <v/>
      </c>
      <c r="E232" s="3" t="str">
        <f>IF('[1]0.1 Produksi Pangan &amp; Penduduk'!E233="","",'[1]0.1 Produksi Pangan &amp; Penduduk'!E233)</f>
        <v/>
      </c>
      <c r="F232" s="59" t="str">
        <f>IF(D232="","",VLOOKUP(D232,'[1]0.1 Produksi Pangan &amp; Penduduk'!$D$5:$J$860,7,0))</f>
        <v/>
      </c>
      <c r="G232" s="27" t="str">
        <f t="shared" si="30"/>
        <v/>
      </c>
      <c r="H232" s="27" t="str">
        <f t="shared" si="31"/>
        <v/>
      </c>
      <c r="I232" s="27" t="str">
        <f t="shared" si="32"/>
        <v/>
      </c>
      <c r="J232" s="27" t="str">
        <f t="shared" si="33"/>
        <v/>
      </c>
      <c r="K232" s="27" t="str">
        <f t="shared" si="34"/>
        <v/>
      </c>
      <c r="L232" s="59" t="str">
        <f>IF(D232="","",VLOOKUP(D232,'[1]0.1 Produksi Pangan &amp; Penduduk'!$D$5:$M$860,10,0))</f>
        <v/>
      </c>
      <c r="M232" s="28" t="str">
        <f t="shared" si="35"/>
        <v/>
      </c>
      <c r="N232" s="60" t="str">
        <f t="shared" si="36"/>
        <v/>
      </c>
      <c r="O232" s="60" t="str">
        <f t="shared" si="37"/>
        <v/>
      </c>
      <c r="P232" s="60" t="str">
        <f t="shared" si="38"/>
        <v/>
      </c>
      <c r="Q232" s="28" t="str">
        <f t="shared" si="39"/>
        <v/>
      </c>
    </row>
    <row r="233" spans="1:17" ht="15" x14ac:dyDescent="0.25">
      <c r="A233" s="3" t="str">
        <f>IF('[1]0.1 Produksi Pangan &amp; Penduduk'!A234="","",'[1]0.1 Produksi Pangan &amp; Penduduk'!A234)</f>
        <v/>
      </c>
      <c r="B233" s="2" t="str">
        <f>IF('[1]0.1 Produksi Pangan &amp; Penduduk'!B234="","",'[1]0.1 Produksi Pangan &amp; Penduduk'!B234)</f>
        <v/>
      </c>
      <c r="C233" s="2" t="str">
        <f>IF('[1]0.1 Produksi Pangan &amp; Penduduk'!F234="","",'[1]0.1 Produksi Pangan &amp; Penduduk'!F234)</f>
        <v/>
      </c>
      <c r="D233" s="3" t="str">
        <f>IF('[1]0.1 Produksi Pangan &amp; Penduduk'!D234="","",'[1]0.1 Produksi Pangan &amp; Penduduk'!D234)</f>
        <v/>
      </c>
      <c r="E233" s="3" t="str">
        <f>IF('[1]0.1 Produksi Pangan &amp; Penduduk'!E234="","",'[1]0.1 Produksi Pangan &amp; Penduduk'!E234)</f>
        <v/>
      </c>
      <c r="F233" s="59" t="str">
        <f>IF(D233="","",VLOOKUP(D233,'[1]0.1 Produksi Pangan &amp; Penduduk'!$D$5:$J$860,7,0))</f>
        <v/>
      </c>
      <c r="G233" s="27" t="str">
        <f t="shared" si="30"/>
        <v/>
      </c>
      <c r="H233" s="27" t="str">
        <f t="shared" si="31"/>
        <v/>
      </c>
      <c r="I233" s="27" t="str">
        <f t="shared" si="32"/>
        <v/>
      </c>
      <c r="J233" s="27" t="str">
        <f t="shared" si="33"/>
        <v/>
      </c>
      <c r="K233" s="27" t="str">
        <f t="shared" si="34"/>
        <v/>
      </c>
      <c r="L233" s="59" t="str">
        <f>IF(D233="","",VLOOKUP(D233,'[1]0.1 Produksi Pangan &amp; Penduduk'!$D$5:$M$860,10,0))</f>
        <v/>
      </c>
      <c r="M233" s="28" t="str">
        <f t="shared" si="35"/>
        <v/>
      </c>
      <c r="N233" s="60" t="str">
        <f t="shared" si="36"/>
        <v/>
      </c>
      <c r="O233" s="60" t="str">
        <f t="shared" si="37"/>
        <v/>
      </c>
      <c r="P233" s="60" t="str">
        <f t="shared" si="38"/>
        <v/>
      </c>
      <c r="Q233" s="28" t="str">
        <f t="shared" si="39"/>
        <v/>
      </c>
    </row>
    <row r="234" spans="1:17" ht="15" x14ac:dyDescent="0.25">
      <c r="A234" s="3" t="str">
        <f>IF('[1]0.1 Produksi Pangan &amp; Penduduk'!A235="","",'[1]0.1 Produksi Pangan &amp; Penduduk'!A235)</f>
        <v/>
      </c>
      <c r="B234" s="2" t="str">
        <f>IF('[1]0.1 Produksi Pangan &amp; Penduduk'!B235="","",'[1]0.1 Produksi Pangan &amp; Penduduk'!B235)</f>
        <v/>
      </c>
      <c r="C234" s="2" t="str">
        <f>IF('[1]0.1 Produksi Pangan &amp; Penduduk'!F235="","",'[1]0.1 Produksi Pangan &amp; Penduduk'!F235)</f>
        <v/>
      </c>
      <c r="D234" s="3" t="str">
        <f>IF('[1]0.1 Produksi Pangan &amp; Penduduk'!D235="","",'[1]0.1 Produksi Pangan &amp; Penduduk'!D235)</f>
        <v/>
      </c>
      <c r="E234" s="3" t="str">
        <f>IF('[1]0.1 Produksi Pangan &amp; Penduduk'!E235="","",'[1]0.1 Produksi Pangan &amp; Penduduk'!E235)</f>
        <v/>
      </c>
      <c r="F234" s="59" t="str">
        <f>IF(D234="","",VLOOKUP(D234,'[1]0.1 Produksi Pangan &amp; Penduduk'!$D$5:$J$860,7,0))</f>
        <v/>
      </c>
      <c r="G234" s="27" t="str">
        <f t="shared" si="30"/>
        <v/>
      </c>
      <c r="H234" s="27" t="str">
        <f t="shared" si="31"/>
        <v/>
      </c>
      <c r="I234" s="27" t="str">
        <f t="shared" si="32"/>
        <v/>
      </c>
      <c r="J234" s="27" t="str">
        <f t="shared" si="33"/>
        <v/>
      </c>
      <c r="K234" s="27" t="str">
        <f t="shared" si="34"/>
        <v/>
      </c>
      <c r="L234" s="59" t="str">
        <f>IF(D234="","",VLOOKUP(D234,'[1]0.1 Produksi Pangan &amp; Penduduk'!$D$5:$M$860,10,0))</f>
        <v/>
      </c>
      <c r="M234" s="28" t="str">
        <f t="shared" si="35"/>
        <v/>
      </c>
      <c r="N234" s="60" t="str">
        <f t="shared" si="36"/>
        <v/>
      </c>
      <c r="O234" s="60" t="str">
        <f t="shared" si="37"/>
        <v/>
      </c>
      <c r="P234" s="60" t="str">
        <f t="shared" si="38"/>
        <v/>
      </c>
      <c r="Q234" s="28" t="str">
        <f t="shared" si="39"/>
        <v/>
      </c>
    </row>
    <row r="235" spans="1:17" ht="15" x14ac:dyDescent="0.25">
      <c r="A235" s="3" t="str">
        <f>IF('[1]0.1 Produksi Pangan &amp; Penduduk'!A236="","",'[1]0.1 Produksi Pangan &amp; Penduduk'!A236)</f>
        <v/>
      </c>
      <c r="B235" s="2" t="str">
        <f>IF('[1]0.1 Produksi Pangan &amp; Penduduk'!B236="","",'[1]0.1 Produksi Pangan &amp; Penduduk'!B236)</f>
        <v/>
      </c>
      <c r="C235" s="2" t="str">
        <f>IF('[1]0.1 Produksi Pangan &amp; Penduduk'!F236="","",'[1]0.1 Produksi Pangan &amp; Penduduk'!F236)</f>
        <v/>
      </c>
      <c r="D235" s="3" t="str">
        <f>IF('[1]0.1 Produksi Pangan &amp; Penduduk'!D236="","",'[1]0.1 Produksi Pangan &amp; Penduduk'!D236)</f>
        <v/>
      </c>
      <c r="E235" s="3" t="str">
        <f>IF('[1]0.1 Produksi Pangan &amp; Penduduk'!E236="","",'[1]0.1 Produksi Pangan &amp; Penduduk'!E236)</f>
        <v/>
      </c>
      <c r="F235" s="59" t="str">
        <f>IF(D235="","",VLOOKUP(D235,'[1]0.1 Produksi Pangan &amp; Penduduk'!$D$5:$J$860,7,0))</f>
        <v/>
      </c>
      <c r="G235" s="27" t="str">
        <f t="shared" si="30"/>
        <v/>
      </c>
      <c r="H235" s="27" t="str">
        <f t="shared" si="31"/>
        <v/>
      </c>
      <c r="I235" s="27" t="str">
        <f t="shared" si="32"/>
        <v/>
      </c>
      <c r="J235" s="27" t="str">
        <f t="shared" si="33"/>
        <v/>
      </c>
      <c r="K235" s="27" t="str">
        <f t="shared" si="34"/>
        <v/>
      </c>
      <c r="L235" s="59" t="str">
        <f>IF(D235="","",VLOOKUP(D235,'[1]0.1 Produksi Pangan &amp; Penduduk'!$D$5:$M$860,10,0))</f>
        <v/>
      </c>
      <c r="M235" s="28" t="str">
        <f t="shared" si="35"/>
        <v/>
      </c>
      <c r="N235" s="60" t="str">
        <f t="shared" si="36"/>
        <v/>
      </c>
      <c r="O235" s="60" t="str">
        <f t="shared" si="37"/>
        <v/>
      </c>
      <c r="P235" s="60" t="str">
        <f t="shared" si="38"/>
        <v/>
      </c>
      <c r="Q235" s="28" t="str">
        <f t="shared" si="39"/>
        <v/>
      </c>
    </row>
    <row r="236" spans="1:17" ht="15" x14ac:dyDescent="0.25">
      <c r="A236" s="3" t="str">
        <f>IF('[1]0.1 Produksi Pangan &amp; Penduduk'!A237="","",'[1]0.1 Produksi Pangan &amp; Penduduk'!A237)</f>
        <v/>
      </c>
      <c r="B236" s="2" t="str">
        <f>IF('[1]0.1 Produksi Pangan &amp; Penduduk'!B237="","",'[1]0.1 Produksi Pangan &amp; Penduduk'!B237)</f>
        <v/>
      </c>
      <c r="C236" s="2" t="str">
        <f>IF('[1]0.1 Produksi Pangan &amp; Penduduk'!F237="","",'[1]0.1 Produksi Pangan &amp; Penduduk'!F237)</f>
        <v/>
      </c>
      <c r="D236" s="3" t="str">
        <f>IF('[1]0.1 Produksi Pangan &amp; Penduduk'!D237="","",'[1]0.1 Produksi Pangan &amp; Penduduk'!D237)</f>
        <v/>
      </c>
      <c r="E236" s="3" t="str">
        <f>IF('[1]0.1 Produksi Pangan &amp; Penduduk'!E237="","",'[1]0.1 Produksi Pangan &amp; Penduduk'!E237)</f>
        <v/>
      </c>
      <c r="F236" s="59" t="str">
        <f>IF(D236="","",VLOOKUP(D236,'[1]0.1 Produksi Pangan &amp; Penduduk'!$D$5:$J$860,7,0))</f>
        <v/>
      </c>
      <c r="G236" s="27" t="str">
        <f t="shared" si="30"/>
        <v/>
      </c>
      <c r="H236" s="27" t="str">
        <f t="shared" si="31"/>
        <v/>
      </c>
      <c r="I236" s="27" t="str">
        <f t="shared" si="32"/>
        <v/>
      </c>
      <c r="J236" s="27" t="str">
        <f t="shared" si="33"/>
        <v/>
      </c>
      <c r="K236" s="27" t="str">
        <f t="shared" si="34"/>
        <v/>
      </c>
      <c r="L236" s="59" t="str">
        <f>IF(D236="","",VLOOKUP(D236,'[1]0.1 Produksi Pangan &amp; Penduduk'!$D$5:$M$860,10,0))</f>
        <v/>
      </c>
      <c r="M236" s="28" t="str">
        <f t="shared" si="35"/>
        <v/>
      </c>
      <c r="N236" s="60" t="str">
        <f t="shared" si="36"/>
        <v/>
      </c>
      <c r="O236" s="60" t="str">
        <f t="shared" si="37"/>
        <v/>
      </c>
      <c r="P236" s="60" t="str">
        <f t="shared" si="38"/>
        <v/>
      </c>
      <c r="Q236" s="28" t="str">
        <f t="shared" si="39"/>
        <v/>
      </c>
    </row>
    <row r="237" spans="1:17" ht="15" x14ac:dyDescent="0.25">
      <c r="A237" s="3" t="str">
        <f>IF('[1]0.1 Produksi Pangan &amp; Penduduk'!A238="","",'[1]0.1 Produksi Pangan &amp; Penduduk'!A238)</f>
        <v/>
      </c>
      <c r="B237" s="2" t="str">
        <f>IF('[1]0.1 Produksi Pangan &amp; Penduduk'!B238="","",'[1]0.1 Produksi Pangan &amp; Penduduk'!B238)</f>
        <v/>
      </c>
      <c r="C237" s="2" t="str">
        <f>IF('[1]0.1 Produksi Pangan &amp; Penduduk'!F238="","",'[1]0.1 Produksi Pangan &amp; Penduduk'!F238)</f>
        <v/>
      </c>
      <c r="D237" s="3" t="str">
        <f>IF('[1]0.1 Produksi Pangan &amp; Penduduk'!D238="","",'[1]0.1 Produksi Pangan &amp; Penduduk'!D238)</f>
        <v/>
      </c>
      <c r="E237" s="3" t="str">
        <f>IF('[1]0.1 Produksi Pangan &amp; Penduduk'!E238="","",'[1]0.1 Produksi Pangan &amp; Penduduk'!E238)</f>
        <v/>
      </c>
      <c r="F237" s="59" t="str">
        <f>IF(D237="","",VLOOKUP(D237,'[1]0.1 Produksi Pangan &amp; Penduduk'!$D$5:$J$860,7,0))</f>
        <v/>
      </c>
      <c r="G237" s="27" t="str">
        <f t="shared" si="30"/>
        <v/>
      </c>
      <c r="H237" s="27" t="str">
        <f t="shared" si="31"/>
        <v/>
      </c>
      <c r="I237" s="27" t="str">
        <f t="shared" si="32"/>
        <v/>
      </c>
      <c r="J237" s="27" t="str">
        <f t="shared" si="33"/>
        <v/>
      </c>
      <c r="K237" s="27" t="str">
        <f t="shared" si="34"/>
        <v/>
      </c>
      <c r="L237" s="59" t="str">
        <f>IF(D237="","",VLOOKUP(D237,'[1]0.1 Produksi Pangan &amp; Penduduk'!$D$5:$M$860,10,0))</f>
        <v/>
      </c>
      <c r="M237" s="28" t="str">
        <f t="shared" si="35"/>
        <v/>
      </c>
      <c r="N237" s="60" t="str">
        <f t="shared" si="36"/>
        <v/>
      </c>
      <c r="O237" s="60" t="str">
        <f t="shared" si="37"/>
        <v/>
      </c>
      <c r="P237" s="60" t="str">
        <f t="shared" si="38"/>
        <v/>
      </c>
      <c r="Q237" s="28" t="str">
        <f t="shared" si="39"/>
        <v/>
      </c>
    </row>
    <row r="238" spans="1:17" ht="15" x14ac:dyDescent="0.25">
      <c r="A238" s="3" t="str">
        <f>IF('[1]0.1 Produksi Pangan &amp; Penduduk'!A239="","",'[1]0.1 Produksi Pangan &amp; Penduduk'!A239)</f>
        <v/>
      </c>
      <c r="B238" s="2" t="str">
        <f>IF('[1]0.1 Produksi Pangan &amp; Penduduk'!B239="","",'[1]0.1 Produksi Pangan &amp; Penduduk'!B239)</f>
        <v/>
      </c>
      <c r="C238" s="2" t="str">
        <f>IF('[1]0.1 Produksi Pangan &amp; Penduduk'!F239="","",'[1]0.1 Produksi Pangan &amp; Penduduk'!F239)</f>
        <v/>
      </c>
      <c r="D238" s="3" t="str">
        <f>IF('[1]0.1 Produksi Pangan &amp; Penduduk'!D239="","",'[1]0.1 Produksi Pangan &amp; Penduduk'!D239)</f>
        <v/>
      </c>
      <c r="E238" s="3" t="str">
        <f>IF('[1]0.1 Produksi Pangan &amp; Penduduk'!E239="","",'[1]0.1 Produksi Pangan &amp; Penduduk'!E239)</f>
        <v/>
      </c>
      <c r="F238" s="59" t="str">
        <f>IF(D238="","",VLOOKUP(D238,'[1]0.1 Produksi Pangan &amp; Penduduk'!$D$5:$J$860,7,0))</f>
        <v/>
      </c>
      <c r="G238" s="27" t="str">
        <f t="shared" si="30"/>
        <v/>
      </c>
      <c r="H238" s="27" t="str">
        <f t="shared" si="31"/>
        <v/>
      </c>
      <c r="I238" s="27" t="str">
        <f t="shared" si="32"/>
        <v/>
      </c>
      <c r="J238" s="27" t="str">
        <f t="shared" si="33"/>
        <v/>
      </c>
      <c r="K238" s="27" t="str">
        <f t="shared" si="34"/>
        <v/>
      </c>
      <c r="L238" s="59" t="str">
        <f>IF(D238="","",VLOOKUP(D238,'[1]0.1 Produksi Pangan &amp; Penduduk'!$D$5:$M$860,10,0))</f>
        <v/>
      </c>
      <c r="M238" s="28" t="str">
        <f t="shared" si="35"/>
        <v/>
      </c>
      <c r="N238" s="60" t="str">
        <f t="shared" si="36"/>
        <v/>
      </c>
      <c r="O238" s="60" t="str">
        <f t="shared" si="37"/>
        <v/>
      </c>
      <c r="P238" s="60" t="str">
        <f t="shared" si="38"/>
        <v/>
      </c>
      <c r="Q238" s="28" t="str">
        <f t="shared" si="39"/>
        <v/>
      </c>
    </row>
    <row r="239" spans="1:17" ht="15" x14ac:dyDescent="0.25">
      <c r="A239" s="3" t="str">
        <f>IF('[1]0.1 Produksi Pangan &amp; Penduduk'!A240="","",'[1]0.1 Produksi Pangan &amp; Penduduk'!A240)</f>
        <v/>
      </c>
      <c r="B239" s="2" t="str">
        <f>IF('[1]0.1 Produksi Pangan &amp; Penduduk'!B240="","",'[1]0.1 Produksi Pangan &amp; Penduduk'!B240)</f>
        <v/>
      </c>
      <c r="C239" s="2" t="str">
        <f>IF('[1]0.1 Produksi Pangan &amp; Penduduk'!F240="","",'[1]0.1 Produksi Pangan &amp; Penduduk'!F240)</f>
        <v/>
      </c>
      <c r="D239" s="3" t="str">
        <f>IF('[1]0.1 Produksi Pangan &amp; Penduduk'!D240="","",'[1]0.1 Produksi Pangan &amp; Penduduk'!D240)</f>
        <v/>
      </c>
      <c r="E239" s="3" t="str">
        <f>IF('[1]0.1 Produksi Pangan &amp; Penduduk'!E240="","",'[1]0.1 Produksi Pangan &amp; Penduduk'!E240)</f>
        <v/>
      </c>
      <c r="F239" s="59" t="str">
        <f>IF(D239="","",VLOOKUP(D239,'[1]0.1 Produksi Pangan &amp; Penduduk'!$D$5:$J$860,7,0))</f>
        <v/>
      </c>
      <c r="G239" s="27" t="str">
        <f t="shared" si="30"/>
        <v/>
      </c>
      <c r="H239" s="27" t="str">
        <f t="shared" si="31"/>
        <v/>
      </c>
      <c r="I239" s="27" t="str">
        <f t="shared" si="32"/>
        <v/>
      </c>
      <c r="J239" s="27" t="str">
        <f t="shared" si="33"/>
        <v/>
      </c>
      <c r="K239" s="27" t="str">
        <f t="shared" si="34"/>
        <v/>
      </c>
      <c r="L239" s="59" t="str">
        <f>IF(D239="","",VLOOKUP(D239,'[1]0.1 Produksi Pangan &amp; Penduduk'!$D$5:$M$860,10,0))</f>
        <v/>
      </c>
      <c r="M239" s="28" t="str">
        <f t="shared" si="35"/>
        <v/>
      </c>
      <c r="N239" s="60" t="str">
        <f t="shared" si="36"/>
        <v/>
      </c>
      <c r="O239" s="60" t="str">
        <f t="shared" si="37"/>
        <v/>
      </c>
      <c r="P239" s="60" t="str">
        <f t="shared" si="38"/>
        <v/>
      </c>
      <c r="Q239" s="28" t="str">
        <f t="shared" si="39"/>
        <v/>
      </c>
    </row>
    <row r="240" spans="1:17" ht="15" x14ac:dyDescent="0.25">
      <c r="A240" s="3" t="str">
        <f>IF('[1]0.1 Produksi Pangan &amp; Penduduk'!A241="","",'[1]0.1 Produksi Pangan &amp; Penduduk'!A241)</f>
        <v/>
      </c>
      <c r="B240" s="2" t="str">
        <f>IF('[1]0.1 Produksi Pangan &amp; Penduduk'!B241="","",'[1]0.1 Produksi Pangan &amp; Penduduk'!B241)</f>
        <v/>
      </c>
      <c r="C240" s="2" t="str">
        <f>IF('[1]0.1 Produksi Pangan &amp; Penduduk'!F241="","",'[1]0.1 Produksi Pangan &amp; Penduduk'!F241)</f>
        <v/>
      </c>
      <c r="D240" s="3" t="str">
        <f>IF('[1]0.1 Produksi Pangan &amp; Penduduk'!D241="","",'[1]0.1 Produksi Pangan &amp; Penduduk'!D241)</f>
        <v/>
      </c>
      <c r="E240" s="3" t="str">
        <f>IF('[1]0.1 Produksi Pangan &amp; Penduduk'!E241="","",'[1]0.1 Produksi Pangan &amp; Penduduk'!E241)</f>
        <v/>
      </c>
      <c r="F240" s="59" t="str">
        <f>IF(D240="","",VLOOKUP(D240,'[1]0.1 Produksi Pangan &amp; Penduduk'!$D$5:$J$860,7,0))</f>
        <v/>
      </c>
      <c r="G240" s="27" t="str">
        <f t="shared" si="30"/>
        <v/>
      </c>
      <c r="H240" s="27" t="str">
        <f t="shared" si="31"/>
        <v/>
      </c>
      <c r="I240" s="27" t="str">
        <f t="shared" si="32"/>
        <v/>
      </c>
      <c r="J240" s="27" t="str">
        <f t="shared" si="33"/>
        <v/>
      </c>
      <c r="K240" s="27" t="str">
        <f t="shared" si="34"/>
        <v/>
      </c>
      <c r="L240" s="59" t="str">
        <f>IF(D240="","",VLOOKUP(D240,'[1]0.1 Produksi Pangan &amp; Penduduk'!$D$5:$M$860,10,0))</f>
        <v/>
      </c>
      <c r="M240" s="28" t="str">
        <f t="shared" si="35"/>
        <v/>
      </c>
      <c r="N240" s="60" t="str">
        <f t="shared" si="36"/>
        <v/>
      </c>
      <c r="O240" s="60" t="str">
        <f t="shared" si="37"/>
        <v/>
      </c>
      <c r="P240" s="60" t="str">
        <f t="shared" si="38"/>
        <v/>
      </c>
      <c r="Q240" s="28" t="str">
        <f t="shared" si="39"/>
        <v/>
      </c>
    </row>
    <row r="241" spans="1:17" ht="15" x14ac:dyDescent="0.25">
      <c r="A241" s="3" t="str">
        <f>IF('[1]0.1 Produksi Pangan &amp; Penduduk'!A242="","",'[1]0.1 Produksi Pangan &amp; Penduduk'!A242)</f>
        <v/>
      </c>
      <c r="B241" s="2" t="str">
        <f>IF('[1]0.1 Produksi Pangan &amp; Penduduk'!B242="","",'[1]0.1 Produksi Pangan &amp; Penduduk'!B242)</f>
        <v/>
      </c>
      <c r="C241" s="2" t="str">
        <f>IF('[1]0.1 Produksi Pangan &amp; Penduduk'!F242="","",'[1]0.1 Produksi Pangan &amp; Penduduk'!F242)</f>
        <v/>
      </c>
      <c r="D241" s="3" t="str">
        <f>IF('[1]0.1 Produksi Pangan &amp; Penduduk'!D242="","",'[1]0.1 Produksi Pangan &amp; Penduduk'!D242)</f>
        <v/>
      </c>
      <c r="E241" s="3" t="str">
        <f>IF('[1]0.1 Produksi Pangan &amp; Penduduk'!E242="","",'[1]0.1 Produksi Pangan &amp; Penduduk'!E242)</f>
        <v/>
      </c>
      <c r="F241" s="59" t="str">
        <f>IF(D241="","",VLOOKUP(D241,'[1]0.1 Produksi Pangan &amp; Penduduk'!$D$5:$J$860,7,0))</f>
        <v/>
      </c>
      <c r="G241" s="27" t="str">
        <f t="shared" si="30"/>
        <v/>
      </c>
      <c r="H241" s="27" t="str">
        <f t="shared" si="31"/>
        <v/>
      </c>
      <c r="I241" s="27" t="str">
        <f t="shared" si="32"/>
        <v/>
      </c>
      <c r="J241" s="27" t="str">
        <f t="shared" si="33"/>
        <v/>
      </c>
      <c r="K241" s="27" t="str">
        <f t="shared" si="34"/>
        <v/>
      </c>
      <c r="L241" s="59" t="str">
        <f>IF(D241="","",VLOOKUP(D241,'[1]0.1 Produksi Pangan &amp; Penduduk'!$D$5:$M$860,10,0))</f>
        <v/>
      </c>
      <c r="M241" s="28" t="str">
        <f t="shared" si="35"/>
        <v/>
      </c>
      <c r="N241" s="60" t="str">
        <f t="shared" si="36"/>
        <v/>
      </c>
      <c r="O241" s="60" t="str">
        <f t="shared" si="37"/>
        <v/>
      </c>
      <c r="P241" s="60" t="str">
        <f t="shared" si="38"/>
        <v/>
      </c>
      <c r="Q241" s="28" t="str">
        <f t="shared" si="39"/>
        <v/>
      </c>
    </row>
    <row r="242" spans="1:17" ht="15" x14ac:dyDescent="0.25">
      <c r="A242" s="3" t="str">
        <f>IF('[1]0.1 Produksi Pangan &amp; Penduduk'!A243="","",'[1]0.1 Produksi Pangan &amp; Penduduk'!A243)</f>
        <v/>
      </c>
      <c r="B242" s="2" t="str">
        <f>IF('[1]0.1 Produksi Pangan &amp; Penduduk'!B243="","",'[1]0.1 Produksi Pangan &amp; Penduduk'!B243)</f>
        <v/>
      </c>
      <c r="C242" s="2" t="str">
        <f>IF('[1]0.1 Produksi Pangan &amp; Penduduk'!F243="","",'[1]0.1 Produksi Pangan &amp; Penduduk'!F243)</f>
        <v/>
      </c>
      <c r="D242" s="3" t="str">
        <f>IF('[1]0.1 Produksi Pangan &amp; Penduduk'!D243="","",'[1]0.1 Produksi Pangan &amp; Penduduk'!D243)</f>
        <v/>
      </c>
      <c r="E242" s="3" t="str">
        <f>IF('[1]0.1 Produksi Pangan &amp; Penduduk'!E243="","",'[1]0.1 Produksi Pangan &amp; Penduduk'!E243)</f>
        <v/>
      </c>
      <c r="F242" s="59" t="str">
        <f>IF(D242="","",VLOOKUP(D242,'[1]0.1 Produksi Pangan &amp; Penduduk'!$D$5:$J$860,7,0))</f>
        <v/>
      </c>
      <c r="G242" s="27" t="str">
        <f t="shared" si="30"/>
        <v/>
      </c>
      <c r="H242" s="27" t="str">
        <f t="shared" si="31"/>
        <v/>
      </c>
      <c r="I242" s="27" t="str">
        <f t="shared" si="32"/>
        <v/>
      </c>
      <c r="J242" s="27" t="str">
        <f t="shared" si="33"/>
        <v/>
      </c>
      <c r="K242" s="27" t="str">
        <f t="shared" si="34"/>
        <v/>
      </c>
      <c r="L242" s="59" t="str">
        <f>IF(D242="","",VLOOKUP(D242,'[1]0.1 Produksi Pangan &amp; Penduduk'!$D$5:$M$860,10,0))</f>
        <v/>
      </c>
      <c r="M242" s="28" t="str">
        <f t="shared" si="35"/>
        <v/>
      </c>
      <c r="N242" s="60" t="str">
        <f t="shared" si="36"/>
        <v/>
      </c>
      <c r="O242" s="60" t="str">
        <f t="shared" si="37"/>
        <v/>
      </c>
      <c r="P242" s="60" t="str">
        <f t="shared" si="38"/>
        <v/>
      </c>
      <c r="Q242" s="28" t="str">
        <f t="shared" si="39"/>
        <v/>
      </c>
    </row>
    <row r="243" spans="1:17" ht="15" x14ac:dyDescent="0.25">
      <c r="A243" s="3" t="str">
        <f>IF('[1]0.1 Produksi Pangan &amp; Penduduk'!A244="","",'[1]0.1 Produksi Pangan &amp; Penduduk'!A244)</f>
        <v/>
      </c>
      <c r="B243" s="2" t="str">
        <f>IF('[1]0.1 Produksi Pangan &amp; Penduduk'!B244="","",'[1]0.1 Produksi Pangan &amp; Penduduk'!B244)</f>
        <v/>
      </c>
      <c r="C243" s="2" t="str">
        <f>IF('[1]0.1 Produksi Pangan &amp; Penduduk'!F244="","",'[1]0.1 Produksi Pangan &amp; Penduduk'!F244)</f>
        <v/>
      </c>
      <c r="D243" s="3" t="str">
        <f>IF('[1]0.1 Produksi Pangan &amp; Penduduk'!D244="","",'[1]0.1 Produksi Pangan &amp; Penduduk'!D244)</f>
        <v/>
      </c>
      <c r="E243" s="3" t="str">
        <f>IF('[1]0.1 Produksi Pangan &amp; Penduduk'!E244="","",'[1]0.1 Produksi Pangan &amp; Penduduk'!E244)</f>
        <v/>
      </c>
      <c r="F243" s="59" t="str">
        <f>IF(D243="","",VLOOKUP(D243,'[1]0.1 Produksi Pangan &amp; Penduduk'!$D$5:$J$860,7,0))</f>
        <v/>
      </c>
      <c r="G243" s="27" t="str">
        <f t="shared" si="30"/>
        <v/>
      </c>
      <c r="H243" s="27" t="str">
        <f t="shared" si="31"/>
        <v/>
      </c>
      <c r="I243" s="27" t="str">
        <f t="shared" si="32"/>
        <v/>
      </c>
      <c r="J243" s="27" t="str">
        <f t="shared" si="33"/>
        <v/>
      </c>
      <c r="K243" s="27" t="str">
        <f t="shared" si="34"/>
        <v/>
      </c>
      <c r="L243" s="59" t="str">
        <f>IF(D243="","",VLOOKUP(D243,'[1]0.1 Produksi Pangan &amp; Penduduk'!$D$5:$M$860,10,0))</f>
        <v/>
      </c>
      <c r="M243" s="28" t="str">
        <f t="shared" si="35"/>
        <v/>
      </c>
      <c r="N243" s="60" t="str">
        <f t="shared" si="36"/>
        <v/>
      </c>
      <c r="O243" s="60" t="str">
        <f t="shared" si="37"/>
        <v/>
      </c>
      <c r="P243" s="60" t="str">
        <f t="shared" si="38"/>
        <v/>
      </c>
      <c r="Q243" s="28" t="str">
        <f t="shared" si="39"/>
        <v/>
      </c>
    </row>
    <row r="244" spans="1:17" ht="15" x14ac:dyDescent="0.25">
      <c r="A244" s="3" t="str">
        <f>IF('[1]0.1 Produksi Pangan &amp; Penduduk'!A245="","",'[1]0.1 Produksi Pangan &amp; Penduduk'!A245)</f>
        <v/>
      </c>
      <c r="B244" s="2" t="str">
        <f>IF('[1]0.1 Produksi Pangan &amp; Penduduk'!B245="","",'[1]0.1 Produksi Pangan &amp; Penduduk'!B245)</f>
        <v/>
      </c>
      <c r="C244" s="2" t="str">
        <f>IF('[1]0.1 Produksi Pangan &amp; Penduduk'!F245="","",'[1]0.1 Produksi Pangan &amp; Penduduk'!F245)</f>
        <v/>
      </c>
      <c r="D244" s="3" t="str">
        <f>IF('[1]0.1 Produksi Pangan &amp; Penduduk'!D245="","",'[1]0.1 Produksi Pangan &amp; Penduduk'!D245)</f>
        <v/>
      </c>
      <c r="E244" s="3" t="str">
        <f>IF('[1]0.1 Produksi Pangan &amp; Penduduk'!E245="","",'[1]0.1 Produksi Pangan &amp; Penduduk'!E245)</f>
        <v/>
      </c>
      <c r="F244" s="59" t="str">
        <f>IF(D244="","",VLOOKUP(D244,'[1]0.1 Produksi Pangan &amp; Penduduk'!$D$5:$J$860,7,0))</f>
        <v/>
      </c>
      <c r="G244" s="27" t="str">
        <f t="shared" si="30"/>
        <v/>
      </c>
      <c r="H244" s="27" t="str">
        <f t="shared" si="31"/>
        <v/>
      </c>
      <c r="I244" s="27" t="str">
        <f t="shared" si="32"/>
        <v/>
      </c>
      <c r="J244" s="27" t="str">
        <f t="shared" si="33"/>
        <v/>
      </c>
      <c r="K244" s="27" t="str">
        <f t="shared" si="34"/>
        <v/>
      </c>
      <c r="L244" s="59" t="str">
        <f>IF(D244="","",VLOOKUP(D244,'[1]0.1 Produksi Pangan &amp; Penduduk'!$D$5:$M$860,10,0))</f>
        <v/>
      </c>
      <c r="M244" s="28" t="str">
        <f t="shared" si="35"/>
        <v/>
      </c>
      <c r="N244" s="60" t="str">
        <f t="shared" si="36"/>
        <v/>
      </c>
      <c r="O244" s="60" t="str">
        <f t="shared" si="37"/>
        <v/>
      </c>
      <c r="P244" s="60" t="str">
        <f t="shared" si="38"/>
        <v/>
      </c>
      <c r="Q244" s="28" t="str">
        <f t="shared" si="39"/>
        <v/>
      </c>
    </row>
    <row r="245" spans="1:17" ht="15" x14ac:dyDescent="0.25">
      <c r="A245" s="3" t="str">
        <f>IF('[1]0.1 Produksi Pangan &amp; Penduduk'!A246="","",'[1]0.1 Produksi Pangan &amp; Penduduk'!A246)</f>
        <v/>
      </c>
      <c r="B245" s="2" t="str">
        <f>IF('[1]0.1 Produksi Pangan &amp; Penduduk'!B246="","",'[1]0.1 Produksi Pangan &amp; Penduduk'!B246)</f>
        <v/>
      </c>
      <c r="C245" s="2" t="str">
        <f>IF('[1]0.1 Produksi Pangan &amp; Penduduk'!F246="","",'[1]0.1 Produksi Pangan &amp; Penduduk'!F246)</f>
        <v/>
      </c>
      <c r="D245" s="3" t="str">
        <f>IF('[1]0.1 Produksi Pangan &amp; Penduduk'!D246="","",'[1]0.1 Produksi Pangan &amp; Penduduk'!D246)</f>
        <v/>
      </c>
      <c r="E245" s="3" t="str">
        <f>IF('[1]0.1 Produksi Pangan &amp; Penduduk'!E246="","",'[1]0.1 Produksi Pangan &amp; Penduduk'!E246)</f>
        <v/>
      </c>
      <c r="F245" s="59" t="str">
        <f>IF(D245="","",VLOOKUP(D245,'[1]0.1 Produksi Pangan &amp; Penduduk'!$D$5:$J$860,7,0))</f>
        <v/>
      </c>
      <c r="G245" s="27" t="str">
        <f t="shared" si="30"/>
        <v/>
      </c>
      <c r="H245" s="27" t="str">
        <f t="shared" si="31"/>
        <v/>
      </c>
      <c r="I245" s="27" t="str">
        <f t="shared" si="32"/>
        <v/>
      </c>
      <c r="J245" s="27" t="str">
        <f t="shared" si="33"/>
        <v/>
      </c>
      <c r="K245" s="27" t="str">
        <f t="shared" si="34"/>
        <v/>
      </c>
      <c r="L245" s="59" t="str">
        <f>IF(D245="","",VLOOKUP(D245,'[1]0.1 Produksi Pangan &amp; Penduduk'!$D$5:$M$860,10,0))</f>
        <v/>
      </c>
      <c r="M245" s="28" t="str">
        <f t="shared" si="35"/>
        <v/>
      </c>
      <c r="N245" s="60" t="str">
        <f t="shared" si="36"/>
        <v/>
      </c>
      <c r="O245" s="60" t="str">
        <f t="shared" si="37"/>
        <v/>
      </c>
      <c r="P245" s="60" t="str">
        <f t="shared" si="38"/>
        <v/>
      </c>
      <c r="Q245" s="28" t="str">
        <f t="shared" si="39"/>
        <v/>
      </c>
    </row>
    <row r="246" spans="1:17" ht="15" x14ac:dyDescent="0.25">
      <c r="A246" s="3" t="str">
        <f>IF('[1]0.1 Produksi Pangan &amp; Penduduk'!A247="","",'[1]0.1 Produksi Pangan &amp; Penduduk'!A247)</f>
        <v/>
      </c>
      <c r="B246" s="2" t="str">
        <f>IF('[1]0.1 Produksi Pangan &amp; Penduduk'!B247="","",'[1]0.1 Produksi Pangan &amp; Penduduk'!B247)</f>
        <v/>
      </c>
      <c r="C246" s="2" t="str">
        <f>IF('[1]0.1 Produksi Pangan &amp; Penduduk'!F247="","",'[1]0.1 Produksi Pangan &amp; Penduduk'!F247)</f>
        <v/>
      </c>
      <c r="D246" s="3" t="str">
        <f>IF('[1]0.1 Produksi Pangan &amp; Penduduk'!D247="","",'[1]0.1 Produksi Pangan &amp; Penduduk'!D247)</f>
        <v/>
      </c>
      <c r="E246" s="3" t="str">
        <f>IF('[1]0.1 Produksi Pangan &amp; Penduduk'!E247="","",'[1]0.1 Produksi Pangan &amp; Penduduk'!E247)</f>
        <v/>
      </c>
      <c r="F246" s="59" t="str">
        <f>IF(D246="","",VLOOKUP(D246,'[1]0.1 Produksi Pangan &amp; Penduduk'!$D$5:$J$860,7,0))</f>
        <v/>
      </c>
      <c r="G246" s="27" t="str">
        <f t="shared" si="30"/>
        <v/>
      </c>
      <c r="H246" s="27" t="str">
        <f t="shared" si="31"/>
        <v/>
      </c>
      <c r="I246" s="27" t="str">
        <f t="shared" si="32"/>
        <v/>
      </c>
      <c r="J246" s="27" t="str">
        <f t="shared" si="33"/>
        <v/>
      </c>
      <c r="K246" s="27" t="str">
        <f t="shared" si="34"/>
        <v/>
      </c>
      <c r="L246" s="59" t="str">
        <f>IF(D246="","",VLOOKUP(D246,'[1]0.1 Produksi Pangan &amp; Penduduk'!$D$5:$M$860,10,0))</f>
        <v/>
      </c>
      <c r="M246" s="28" t="str">
        <f t="shared" si="35"/>
        <v/>
      </c>
      <c r="N246" s="60" t="str">
        <f t="shared" si="36"/>
        <v/>
      </c>
      <c r="O246" s="60" t="str">
        <f t="shared" si="37"/>
        <v/>
      </c>
      <c r="P246" s="60" t="str">
        <f t="shared" si="38"/>
        <v/>
      </c>
      <c r="Q246" s="28" t="str">
        <f t="shared" si="39"/>
        <v/>
      </c>
    </row>
    <row r="247" spans="1:17" ht="15" x14ac:dyDescent="0.25">
      <c r="A247" s="3" t="str">
        <f>IF('[1]0.1 Produksi Pangan &amp; Penduduk'!A248="","",'[1]0.1 Produksi Pangan &amp; Penduduk'!A248)</f>
        <v/>
      </c>
      <c r="B247" s="2" t="str">
        <f>IF('[1]0.1 Produksi Pangan &amp; Penduduk'!B248="","",'[1]0.1 Produksi Pangan &amp; Penduduk'!B248)</f>
        <v/>
      </c>
      <c r="C247" s="2" t="str">
        <f>IF('[1]0.1 Produksi Pangan &amp; Penduduk'!F248="","",'[1]0.1 Produksi Pangan &amp; Penduduk'!F248)</f>
        <v/>
      </c>
      <c r="D247" s="3" t="str">
        <f>IF('[1]0.1 Produksi Pangan &amp; Penduduk'!D248="","",'[1]0.1 Produksi Pangan &amp; Penduduk'!D248)</f>
        <v/>
      </c>
      <c r="E247" s="3" t="str">
        <f>IF('[1]0.1 Produksi Pangan &amp; Penduduk'!E248="","",'[1]0.1 Produksi Pangan &amp; Penduduk'!E248)</f>
        <v/>
      </c>
      <c r="F247" s="59" t="str">
        <f>IF(D247="","",VLOOKUP(D247,'[1]0.1 Produksi Pangan &amp; Penduduk'!$D$5:$J$860,7,0))</f>
        <v/>
      </c>
      <c r="G247" s="27" t="str">
        <f t="shared" si="30"/>
        <v/>
      </c>
      <c r="H247" s="27" t="str">
        <f t="shared" si="31"/>
        <v/>
      </c>
      <c r="I247" s="27" t="str">
        <f t="shared" si="32"/>
        <v/>
      </c>
      <c r="J247" s="27" t="str">
        <f t="shared" si="33"/>
        <v/>
      </c>
      <c r="K247" s="27" t="str">
        <f t="shared" si="34"/>
        <v/>
      </c>
      <c r="L247" s="59" t="str">
        <f>IF(D247="","",VLOOKUP(D247,'[1]0.1 Produksi Pangan &amp; Penduduk'!$D$5:$M$860,10,0))</f>
        <v/>
      </c>
      <c r="M247" s="28" t="str">
        <f t="shared" si="35"/>
        <v/>
      </c>
      <c r="N247" s="60" t="str">
        <f t="shared" si="36"/>
        <v/>
      </c>
      <c r="O247" s="60" t="str">
        <f t="shared" si="37"/>
        <v/>
      </c>
      <c r="P247" s="60" t="str">
        <f t="shared" si="38"/>
        <v/>
      </c>
      <c r="Q247" s="28" t="str">
        <f t="shared" si="39"/>
        <v/>
      </c>
    </row>
    <row r="248" spans="1:17" ht="15" x14ac:dyDescent="0.25">
      <c r="A248" s="3" t="str">
        <f>IF('[1]0.1 Produksi Pangan &amp; Penduduk'!A249="","",'[1]0.1 Produksi Pangan &amp; Penduduk'!A249)</f>
        <v/>
      </c>
      <c r="B248" s="2" t="str">
        <f>IF('[1]0.1 Produksi Pangan &amp; Penduduk'!B249="","",'[1]0.1 Produksi Pangan &amp; Penduduk'!B249)</f>
        <v/>
      </c>
      <c r="C248" s="2" t="str">
        <f>IF('[1]0.1 Produksi Pangan &amp; Penduduk'!F249="","",'[1]0.1 Produksi Pangan &amp; Penduduk'!F249)</f>
        <v/>
      </c>
      <c r="D248" s="3" t="str">
        <f>IF('[1]0.1 Produksi Pangan &amp; Penduduk'!D249="","",'[1]0.1 Produksi Pangan &amp; Penduduk'!D249)</f>
        <v/>
      </c>
      <c r="E248" s="3" t="str">
        <f>IF('[1]0.1 Produksi Pangan &amp; Penduduk'!E249="","",'[1]0.1 Produksi Pangan &amp; Penduduk'!E249)</f>
        <v/>
      </c>
      <c r="F248" s="59" t="str">
        <f>IF(D248="","",VLOOKUP(D248,'[1]0.1 Produksi Pangan &amp; Penduduk'!$D$5:$J$860,7,0))</f>
        <v/>
      </c>
      <c r="G248" s="27" t="str">
        <f t="shared" si="30"/>
        <v/>
      </c>
      <c r="H248" s="27" t="str">
        <f t="shared" si="31"/>
        <v/>
      </c>
      <c r="I248" s="27" t="str">
        <f t="shared" si="32"/>
        <v/>
      </c>
      <c r="J248" s="27" t="str">
        <f t="shared" si="33"/>
        <v/>
      </c>
      <c r="K248" s="27" t="str">
        <f t="shared" si="34"/>
        <v/>
      </c>
      <c r="L248" s="59" t="str">
        <f>IF(D248="","",VLOOKUP(D248,'[1]0.1 Produksi Pangan &amp; Penduduk'!$D$5:$M$860,10,0))</f>
        <v/>
      </c>
      <c r="M248" s="28" t="str">
        <f t="shared" si="35"/>
        <v/>
      </c>
      <c r="N248" s="60" t="str">
        <f t="shared" si="36"/>
        <v/>
      </c>
      <c r="O248" s="60" t="str">
        <f t="shared" si="37"/>
        <v/>
      </c>
      <c r="P248" s="60" t="str">
        <f t="shared" si="38"/>
        <v/>
      </c>
      <c r="Q248" s="28" t="str">
        <f t="shared" si="39"/>
        <v/>
      </c>
    </row>
    <row r="249" spans="1:17" ht="15" x14ac:dyDescent="0.25">
      <c r="A249" s="3" t="str">
        <f>IF('[1]0.1 Produksi Pangan &amp; Penduduk'!A250="","",'[1]0.1 Produksi Pangan &amp; Penduduk'!A250)</f>
        <v/>
      </c>
      <c r="B249" s="2" t="str">
        <f>IF('[1]0.1 Produksi Pangan &amp; Penduduk'!B250="","",'[1]0.1 Produksi Pangan &amp; Penduduk'!B250)</f>
        <v/>
      </c>
      <c r="C249" s="2" t="str">
        <f>IF('[1]0.1 Produksi Pangan &amp; Penduduk'!F250="","",'[1]0.1 Produksi Pangan &amp; Penduduk'!F250)</f>
        <v/>
      </c>
      <c r="D249" s="3" t="str">
        <f>IF('[1]0.1 Produksi Pangan &amp; Penduduk'!D250="","",'[1]0.1 Produksi Pangan &amp; Penduduk'!D250)</f>
        <v/>
      </c>
      <c r="E249" s="3" t="str">
        <f>IF('[1]0.1 Produksi Pangan &amp; Penduduk'!E250="","",'[1]0.1 Produksi Pangan &amp; Penduduk'!E250)</f>
        <v/>
      </c>
      <c r="F249" s="59" t="str">
        <f>IF(D249="","",VLOOKUP(D249,'[1]0.1 Produksi Pangan &amp; Penduduk'!$D$5:$J$860,7,0))</f>
        <v/>
      </c>
      <c r="G249" s="27" t="str">
        <f t="shared" si="30"/>
        <v/>
      </c>
      <c r="H249" s="27" t="str">
        <f t="shared" si="31"/>
        <v/>
      </c>
      <c r="I249" s="27" t="str">
        <f t="shared" si="32"/>
        <v/>
      </c>
      <c r="J249" s="27" t="str">
        <f t="shared" si="33"/>
        <v/>
      </c>
      <c r="K249" s="27" t="str">
        <f t="shared" si="34"/>
        <v/>
      </c>
      <c r="L249" s="59" t="str">
        <f>IF(D249="","",VLOOKUP(D249,'[1]0.1 Produksi Pangan &amp; Penduduk'!$D$5:$M$860,10,0))</f>
        <v/>
      </c>
      <c r="M249" s="28" t="str">
        <f t="shared" si="35"/>
        <v/>
      </c>
      <c r="N249" s="60" t="str">
        <f t="shared" si="36"/>
        <v/>
      </c>
      <c r="O249" s="60" t="str">
        <f t="shared" si="37"/>
        <v/>
      </c>
      <c r="P249" s="60" t="str">
        <f t="shared" si="38"/>
        <v/>
      </c>
      <c r="Q249" s="28" t="str">
        <f t="shared" si="39"/>
        <v/>
      </c>
    </row>
    <row r="250" spans="1:17" ht="15" x14ac:dyDescent="0.25">
      <c r="A250" s="3" t="str">
        <f>IF('[1]0.1 Produksi Pangan &amp; Penduduk'!A251="","",'[1]0.1 Produksi Pangan &amp; Penduduk'!A251)</f>
        <v/>
      </c>
      <c r="B250" s="2" t="str">
        <f>IF('[1]0.1 Produksi Pangan &amp; Penduduk'!B251="","",'[1]0.1 Produksi Pangan &amp; Penduduk'!B251)</f>
        <v/>
      </c>
      <c r="C250" s="2" t="str">
        <f>IF('[1]0.1 Produksi Pangan &amp; Penduduk'!F251="","",'[1]0.1 Produksi Pangan &amp; Penduduk'!F251)</f>
        <v/>
      </c>
      <c r="D250" s="3" t="str">
        <f>IF('[1]0.1 Produksi Pangan &amp; Penduduk'!D251="","",'[1]0.1 Produksi Pangan &amp; Penduduk'!D251)</f>
        <v/>
      </c>
      <c r="E250" s="3" t="str">
        <f>IF('[1]0.1 Produksi Pangan &amp; Penduduk'!E251="","",'[1]0.1 Produksi Pangan &amp; Penduduk'!E251)</f>
        <v/>
      </c>
      <c r="F250" s="59" t="str">
        <f>IF(D250="","",VLOOKUP(D250,'[1]0.1 Produksi Pangan &amp; Penduduk'!$D$5:$J$860,7,0))</f>
        <v/>
      </c>
      <c r="G250" s="27" t="str">
        <f t="shared" si="30"/>
        <v/>
      </c>
      <c r="H250" s="27" t="str">
        <f t="shared" si="31"/>
        <v/>
      </c>
      <c r="I250" s="27" t="str">
        <f t="shared" si="32"/>
        <v/>
      </c>
      <c r="J250" s="27" t="str">
        <f t="shared" si="33"/>
        <v/>
      </c>
      <c r="K250" s="27" t="str">
        <f t="shared" si="34"/>
        <v/>
      </c>
      <c r="L250" s="59" t="str">
        <f>IF(D250="","",VLOOKUP(D250,'[1]0.1 Produksi Pangan &amp; Penduduk'!$D$5:$M$860,10,0))</f>
        <v/>
      </c>
      <c r="M250" s="28" t="str">
        <f t="shared" si="35"/>
        <v/>
      </c>
      <c r="N250" s="60" t="str">
        <f t="shared" si="36"/>
        <v/>
      </c>
      <c r="O250" s="60" t="str">
        <f t="shared" si="37"/>
        <v/>
      </c>
      <c r="P250" s="60" t="str">
        <f t="shared" si="38"/>
        <v/>
      </c>
      <c r="Q250" s="28" t="str">
        <f t="shared" si="39"/>
        <v/>
      </c>
    </row>
    <row r="251" spans="1:17" ht="15" x14ac:dyDescent="0.25">
      <c r="A251" s="3" t="str">
        <f>IF('[1]0.1 Produksi Pangan &amp; Penduduk'!A252="","",'[1]0.1 Produksi Pangan &amp; Penduduk'!A252)</f>
        <v/>
      </c>
      <c r="B251" s="2" t="str">
        <f>IF('[1]0.1 Produksi Pangan &amp; Penduduk'!B252="","",'[1]0.1 Produksi Pangan &amp; Penduduk'!B252)</f>
        <v/>
      </c>
      <c r="C251" s="2" t="str">
        <f>IF('[1]0.1 Produksi Pangan &amp; Penduduk'!F252="","",'[1]0.1 Produksi Pangan &amp; Penduduk'!F252)</f>
        <v/>
      </c>
      <c r="D251" s="3" t="str">
        <f>IF('[1]0.1 Produksi Pangan &amp; Penduduk'!D252="","",'[1]0.1 Produksi Pangan &amp; Penduduk'!D252)</f>
        <v/>
      </c>
      <c r="E251" s="3" t="str">
        <f>IF('[1]0.1 Produksi Pangan &amp; Penduduk'!E252="","",'[1]0.1 Produksi Pangan &amp; Penduduk'!E252)</f>
        <v/>
      </c>
      <c r="F251" s="59" t="str">
        <f>IF(D251="","",VLOOKUP(D251,'[1]0.1 Produksi Pangan &amp; Penduduk'!$D$5:$J$860,7,0))</f>
        <v/>
      </c>
      <c r="G251" s="27" t="str">
        <f t="shared" si="30"/>
        <v/>
      </c>
      <c r="H251" s="27" t="str">
        <f t="shared" si="31"/>
        <v/>
      </c>
      <c r="I251" s="27" t="str">
        <f t="shared" si="32"/>
        <v/>
      </c>
      <c r="J251" s="27" t="str">
        <f t="shared" si="33"/>
        <v/>
      </c>
      <c r="K251" s="27" t="str">
        <f t="shared" si="34"/>
        <v/>
      </c>
      <c r="L251" s="59" t="str">
        <f>IF(D251="","",VLOOKUP(D251,'[1]0.1 Produksi Pangan &amp; Penduduk'!$D$5:$M$860,10,0))</f>
        <v/>
      </c>
      <c r="M251" s="28" t="str">
        <f t="shared" si="35"/>
        <v/>
      </c>
      <c r="N251" s="60" t="str">
        <f t="shared" si="36"/>
        <v/>
      </c>
      <c r="O251" s="60" t="str">
        <f t="shared" si="37"/>
        <v/>
      </c>
      <c r="P251" s="60" t="str">
        <f t="shared" si="38"/>
        <v/>
      </c>
      <c r="Q251" s="28" t="str">
        <f t="shared" si="39"/>
        <v/>
      </c>
    </row>
    <row r="252" spans="1:17" ht="15" x14ac:dyDescent="0.25">
      <c r="A252" s="3" t="str">
        <f>IF('[1]0.1 Produksi Pangan &amp; Penduduk'!A253="","",'[1]0.1 Produksi Pangan &amp; Penduduk'!A253)</f>
        <v/>
      </c>
      <c r="B252" s="2" t="str">
        <f>IF('[1]0.1 Produksi Pangan &amp; Penduduk'!B253="","",'[1]0.1 Produksi Pangan &amp; Penduduk'!B253)</f>
        <v/>
      </c>
      <c r="C252" s="2" t="str">
        <f>IF('[1]0.1 Produksi Pangan &amp; Penduduk'!F253="","",'[1]0.1 Produksi Pangan &amp; Penduduk'!F253)</f>
        <v/>
      </c>
      <c r="D252" s="3" t="str">
        <f>IF('[1]0.1 Produksi Pangan &amp; Penduduk'!D253="","",'[1]0.1 Produksi Pangan &amp; Penduduk'!D253)</f>
        <v/>
      </c>
      <c r="E252" s="3" t="str">
        <f>IF('[1]0.1 Produksi Pangan &amp; Penduduk'!E253="","",'[1]0.1 Produksi Pangan &amp; Penduduk'!E253)</f>
        <v/>
      </c>
      <c r="F252" s="59" t="str">
        <f>IF(D252="","",VLOOKUP(D252,'[1]0.1 Produksi Pangan &amp; Penduduk'!$D$5:$J$860,7,0))</f>
        <v/>
      </c>
      <c r="G252" s="27" t="str">
        <f t="shared" si="30"/>
        <v/>
      </c>
      <c r="H252" s="27" t="str">
        <f t="shared" si="31"/>
        <v/>
      </c>
      <c r="I252" s="27" t="str">
        <f t="shared" si="32"/>
        <v/>
      </c>
      <c r="J252" s="27" t="str">
        <f t="shared" si="33"/>
        <v/>
      </c>
      <c r="K252" s="27" t="str">
        <f t="shared" si="34"/>
        <v/>
      </c>
      <c r="L252" s="59" t="str">
        <f>IF(D252="","",VLOOKUP(D252,'[1]0.1 Produksi Pangan &amp; Penduduk'!$D$5:$M$860,10,0))</f>
        <v/>
      </c>
      <c r="M252" s="28" t="str">
        <f t="shared" si="35"/>
        <v/>
      </c>
      <c r="N252" s="60" t="str">
        <f t="shared" si="36"/>
        <v/>
      </c>
      <c r="O252" s="60" t="str">
        <f t="shared" si="37"/>
        <v/>
      </c>
      <c r="P252" s="60" t="str">
        <f t="shared" si="38"/>
        <v/>
      </c>
      <c r="Q252" s="28" t="str">
        <f t="shared" si="39"/>
        <v/>
      </c>
    </row>
    <row r="253" spans="1:17" ht="15" x14ac:dyDescent="0.25">
      <c r="A253" s="3" t="str">
        <f>IF('[1]0.1 Produksi Pangan &amp; Penduduk'!A254="","",'[1]0.1 Produksi Pangan &amp; Penduduk'!A254)</f>
        <v/>
      </c>
      <c r="B253" s="2" t="str">
        <f>IF('[1]0.1 Produksi Pangan &amp; Penduduk'!B254="","",'[1]0.1 Produksi Pangan &amp; Penduduk'!B254)</f>
        <v/>
      </c>
      <c r="C253" s="2" t="str">
        <f>IF('[1]0.1 Produksi Pangan &amp; Penduduk'!F254="","",'[1]0.1 Produksi Pangan &amp; Penduduk'!F254)</f>
        <v/>
      </c>
      <c r="D253" s="3" t="str">
        <f>IF('[1]0.1 Produksi Pangan &amp; Penduduk'!D254="","",'[1]0.1 Produksi Pangan &amp; Penduduk'!D254)</f>
        <v/>
      </c>
      <c r="E253" s="3" t="str">
        <f>IF('[1]0.1 Produksi Pangan &amp; Penduduk'!E254="","",'[1]0.1 Produksi Pangan &amp; Penduduk'!E254)</f>
        <v/>
      </c>
      <c r="F253" s="59" t="str">
        <f>IF(D253="","",VLOOKUP(D253,'[1]0.1 Produksi Pangan &amp; Penduduk'!$D$5:$J$860,7,0))</f>
        <v/>
      </c>
      <c r="G253" s="27" t="str">
        <f t="shared" si="30"/>
        <v/>
      </c>
      <c r="H253" s="27" t="str">
        <f t="shared" si="31"/>
        <v/>
      </c>
      <c r="I253" s="27" t="str">
        <f t="shared" si="32"/>
        <v/>
      </c>
      <c r="J253" s="27" t="str">
        <f t="shared" si="33"/>
        <v/>
      </c>
      <c r="K253" s="27" t="str">
        <f t="shared" si="34"/>
        <v/>
      </c>
      <c r="L253" s="59" t="str">
        <f>IF(D253="","",VLOOKUP(D253,'[1]0.1 Produksi Pangan &amp; Penduduk'!$D$5:$M$860,10,0))</f>
        <v/>
      </c>
      <c r="M253" s="28" t="str">
        <f t="shared" si="35"/>
        <v/>
      </c>
      <c r="N253" s="60" t="str">
        <f t="shared" si="36"/>
        <v/>
      </c>
      <c r="O253" s="60" t="str">
        <f t="shared" si="37"/>
        <v/>
      </c>
      <c r="P253" s="60" t="str">
        <f t="shared" si="38"/>
        <v/>
      </c>
      <c r="Q253" s="28" t="str">
        <f t="shared" si="39"/>
        <v/>
      </c>
    </row>
    <row r="254" spans="1:17" ht="15" x14ac:dyDescent="0.25">
      <c r="A254" s="3" t="str">
        <f>IF('[1]0.1 Produksi Pangan &amp; Penduduk'!A255="","",'[1]0.1 Produksi Pangan &amp; Penduduk'!A255)</f>
        <v/>
      </c>
      <c r="B254" s="2" t="str">
        <f>IF('[1]0.1 Produksi Pangan &amp; Penduduk'!B255="","",'[1]0.1 Produksi Pangan &amp; Penduduk'!B255)</f>
        <v/>
      </c>
      <c r="C254" s="2" t="str">
        <f>IF('[1]0.1 Produksi Pangan &amp; Penduduk'!F255="","",'[1]0.1 Produksi Pangan &amp; Penduduk'!F255)</f>
        <v/>
      </c>
      <c r="D254" s="3" t="str">
        <f>IF('[1]0.1 Produksi Pangan &amp; Penduduk'!D255="","",'[1]0.1 Produksi Pangan &amp; Penduduk'!D255)</f>
        <v/>
      </c>
      <c r="E254" s="3" t="str">
        <f>IF('[1]0.1 Produksi Pangan &amp; Penduduk'!E255="","",'[1]0.1 Produksi Pangan &amp; Penduduk'!E255)</f>
        <v/>
      </c>
      <c r="F254" s="59" t="str">
        <f>IF(D254="","",VLOOKUP(D254,'[1]0.1 Produksi Pangan &amp; Penduduk'!$D$5:$J$860,7,0))</f>
        <v/>
      </c>
      <c r="G254" s="27" t="str">
        <f t="shared" si="30"/>
        <v/>
      </c>
      <c r="H254" s="27" t="str">
        <f t="shared" si="31"/>
        <v/>
      </c>
      <c r="I254" s="27" t="str">
        <f t="shared" si="32"/>
        <v/>
      </c>
      <c r="J254" s="27" t="str">
        <f t="shared" si="33"/>
        <v/>
      </c>
      <c r="K254" s="27" t="str">
        <f t="shared" si="34"/>
        <v/>
      </c>
      <c r="L254" s="59" t="str">
        <f>IF(D254="","",VLOOKUP(D254,'[1]0.1 Produksi Pangan &amp; Penduduk'!$D$5:$M$860,10,0))</f>
        <v/>
      </c>
      <c r="M254" s="28" t="str">
        <f t="shared" si="35"/>
        <v/>
      </c>
      <c r="N254" s="60" t="str">
        <f t="shared" si="36"/>
        <v/>
      </c>
      <c r="O254" s="60" t="str">
        <f t="shared" si="37"/>
        <v/>
      </c>
      <c r="P254" s="60" t="str">
        <f t="shared" si="38"/>
        <v/>
      </c>
      <c r="Q254" s="28" t="str">
        <f t="shared" si="39"/>
        <v/>
      </c>
    </row>
    <row r="255" spans="1:17" ht="15" x14ac:dyDescent="0.25">
      <c r="A255" s="3" t="str">
        <f>IF('[1]0.1 Produksi Pangan &amp; Penduduk'!A256="","",'[1]0.1 Produksi Pangan &amp; Penduduk'!A256)</f>
        <v/>
      </c>
      <c r="B255" s="2" t="str">
        <f>IF('[1]0.1 Produksi Pangan &amp; Penduduk'!B256="","",'[1]0.1 Produksi Pangan &amp; Penduduk'!B256)</f>
        <v/>
      </c>
      <c r="C255" s="2" t="str">
        <f>IF('[1]0.1 Produksi Pangan &amp; Penduduk'!F256="","",'[1]0.1 Produksi Pangan &amp; Penduduk'!F256)</f>
        <v/>
      </c>
      <c r="D255" s="3" t="str">
        <f>IF('[1]0.1 Produksi Pangan &amp; Penduduk'!D256="","",'[1]0.1 Produksi Pangan &amp; Penduduk'!D256)</f>
        <v/>
      </c>
      <c r="E255" s="3" t="str">
        <f>IF('[1]0.1 Produksi Pangan &amp; Penduduk'!E256="","",'[1]0.1 Produksi Pangan &amp; Penduduk'!E256)</f>
        <v/>
      </c>
      <c r="F255" s="59" t="str">
        <f>IF(D255="","",VLOOKUP(D255,'[1]0.1 Produksi Pangan &amp; Penduduk'!$D$5:$J$860,7,0))</f>
        <v/>
      </c>
      <c r="G255" s="27" t="str">
        <f t="shared" si="30"/>
        <v/>
      </c>
      <c r="H255" s="27" t="str">
        <f t="shared" si="31"/>
        <v/>
      </c>
      <c r="I255" s="27" t="str">
        <f t="shared" si="32"/>
        <v/>
      </c>
      <c r="J255" s="27" t="str">
        <f t="shared" si="33"/>
        <v/>
      </c>
      <c r="K255" s="27" t="str">
        <f t="shared" si="34"/>
        <v/>
      </c>
      <c r="L255" s="59" t="str">
        <f>IF(D255="","",VLOOKUP(D255,'[1]0.1 Produksi Pangan &amp; Penduduk'!$D$5:$M$860,10,0))</f>
        <v/>
      </c>
      <c r="M255" s="28" t="str">
        <f t="shared" si="35"/>
        <v/>
      </c>
      <c r="N255" s="60" t="str">
        <f t="shared" si="36"/>
        <v/>
      </c>
      <c r="O255" s="60" t="str">
        <f t="shared" si="37"/>
        <v/>
      </c>
      <c r="P255" s="60" t="str">
        <f t="shared" si="38"/>
        <v/>
      </c>
      <c r="Q255" s="28" t="str">
        <f t="shared" si="39"/>
        <v/>
      </c>
    </row>
    <row r="256" spans="1:17" ht="15" x14ac:dyDescent="0.25">
      <c r="A256" s="3" t="str">
        <f>IF('[1]0.1 Produksi Pangan &amp; Penduduk'!A257="","",'[1]0.1 Produksi Pangan &amp; Penduduk'!A257)</f>
        <v/>
      </c>
      <c r="B256" s="2" t="str">
        <f>IF('[1]0.1 Produksi Pangan &amp; Penduduk'!B257="","",'[1]0.1 Produksi Pangan &amp; Penduduk'!B257)</f>
        <v/>
      </c>
      <c r="C256" s="2" t="str">
        <f>IF('[1]0.1 Produksi Pangan &amp; Penduduk'!F257="","",'[1]0.1 Produksi Pangan &amp; Penduduk'!F257)</f>
        <v/>
      </c>
      <c r="D256" s="3" t="str">
        <f>IF('[1]0.1 Produksi Pangan &amp; Penduduk'!D257="","",'[1]0.1 Produksi Pangan &amp; Penduduk'!D257)</f>
        <v/>
      </c>
      <c r="E256" s="3" t="str">
        <f>IF('[1]0.1 Produksi Pangan &amp; Penduduk'!E257="","",'[1]0.1 Produksi Pangan &amp; Penduduk'!E257)</f>
        <v/>
      </c>
      <c r="F256" s="59" t="str">
        <f>IF(D256="","",VLOOKUP(D256,'[1]0.1 Produksi Pangan &amp; Penduduk'!$D$5:$J$860,7,0))</f>
        <v/>
      </c>
      <c r="G256" s="27" t="str">
        <f t="shared" si="30"/>
        <v/>
      </c>
      <c r="H256" s="27" t="str">
        <f t="shared" si="31"/>
        <v/>
      </c>
      <c r="I256" s="27" t="str">
        <f t="shared" si="32"/>
        <v/>
      </c>
      <c r="J256" s="27" t="str">
        <f t="shared" si="33"/>
        <v/>
      </c>
      <c r="K256" s="27" t="str">
        <f t="shared" si="34"/>
        <v/>
      </c>
      <c r="L256" s="59" t="str">
        <f>IF(D256="","",VLOOKUP(D256,'[1]0.1 Produksi Pangan &amp; Penduduk'!$D$5:$M$860,10,0))</f>
        <v/>
      </c>
      <c r="M256" s="28" t="str">
        <f t="shared" si="35"/>
        <v/>
      </c>
      <c r="N256" s="60" t="str">
        <f t="shared" si="36"/>
        <v/>
      </c>
      <c r="O256" s="60" t="str">
        <f t="shared" si="37"/>
        <v/>
      </c>
      <c r="P256" s="60" t="str">
        <f t="shared" si="38"/>
        <v/>
      </c>
      <c r="Q256" s="28" t="str">
        <f t="shared" si="39"/>
        <v/>
      </c>
    </row>
    <row r="257" spans="1:17" ht="15" x14ac:dyDescent="0.25">
      <c r="A257" s="3" t="str">
        <f>IF('[1]0.1 Produksi Pangan &amp; Penduduk'!A258="","",'[1]0.1 Produksi Pangan &amp; Penduduk'!A258)</f>
        <v/>
      </c>
      <c r="B257" s="2" t="str">
        <f>IF('[1]0.1 Produksi Pangan &amp; Penduduk'!B258="","",'[1]0.1 Produksi Pangan &amp; Penduduk'!B258)</f>
        <v/>
      </c>
      <c r="C257" s="2" t="str">
        <f>IF('[1]0.1 Produksi Pangan &amp; Penduduk'!F258="","",'[1]0.1 Produksi Pangan &amp; Penduduk'!F258)</f>
        <v/>
      </c>
      <c r="D257" s="3" t="str">
        <f>IF('[1]0.1 Produksi Pangan &amp; Penduduk'!D258="","",'[1]0.1 Produksi Pangan &amp; Penduduk'!D258)</f>
        <v/>
      </c>
      <c r="E257" s="3" t="str">
        <f>IF('[1]0.1 Produksi Pangan &amp; Penduduk'!E258="","",'[1]0.1 Produksi Pangan &amp; Penduduk'!E258)</f>
        <v/>
      </c>
      <c r="F257" s="59" t="str">
        <f>IF(D257="","",VLOOKUP(D257,'[1]0.1 Produksi Pangan &amp; Penduduk'!$D$5:$J$860,7,0))</f>
        <v/>
      </c>
      <c r="G257" s="27" t="str">
        <f t="shared" si="30"/>
        <v/>
      </c>
      <c r="H257" s="27" t="str">
        <f t="shared" si="31"/>
        <v/>
      </c>
      <c r="I257" s="27" t="str">
        <f t="shared" si="32"/>
        <v/>
      </c>
      <c r="J257" s="27" t="str">
        <f t="shared" si="33"/>
        <v/>
      </c>
      <c r="K257" s="27" t="str">
        <f t="shared" si="34"/>
        <v/>
      </c>
      <c r="L257" s="59" t="str">
        <f>IF(D257="","",VLOOKUP(D257,'[1]0.1 Produksi Pangan &amp; Penduduk'!$D$5:$M$860,10,0))</f>
        <v/>
      </c>
      <c r="M257" s="28" t="str">
        <f t="shared" si="35"/>
        <v/>
      </c>
      <c r="N257" s="60" t="str">
        <f t="shared" si="36"/>
        <v/>
      </c>
      <c r="O257" s="60" t="str">
        <f t="shared" si="37"/>
        <v/>
      </c>
      <c r="P257" s="60" t="str">
        <f t="shared" si="38"/>
        <v/>
      </c>
      <c r="Q257" s="28" t="str">
        <f t="shared" si="39"/>
        <v/>
      </c>
    </row>
    <row r="258" spans="1:17" ht="15" x14ac:dyDescent="0.25">
      <c r="A258" s="3" t="str">
        <f>IF('[1]0.1 Produksi Pangan &amp; Penduduk'!A259="","",'[1]0.1 Produksi Pangan &amp; Penduduk'!A259)</f>
        <v/>
      </c>
      <c r="B258" s="2" t="str">
        <f>IF('[1]0.1 Produksi Pangan &amp; Penduduk'!B259="","",'[1]0.1 Produksi Pangan &amp; Penduduk'!B259)</f>
        <v/>
      </c>
      <c r="C258" s="2" t="str">
        <f>IF('[1]0.1 Produksi Pangan &amp; Penduduk'!F259="","",'[1]0.1 Produksi Pangan &amp; Penduduk'!F259)</f>
        <v/>
      </c>
      <c r="D258" s="3" t="str">
        <f>IF('[1]0.1 Produksi Pangan &amp; Penduduk'!D259="","",'[1]0.1 Produksi Pangan &amp; Penduduk'!D259)</f>
        <v/>
      </c>
      <c r="E258" s="3" t="str">
        <f>IF('[1]0.1 Produksi Pangan &amp; Penduduk'!E259="","",'[1]0.1 Produksi Pangan &amp; Penduduk'!E259)</f>
        <v/>
      </c>
      <c r="F258" s="59" t="str">
        <f>IF(D258="","",VLOOKUP(D258,'[1]0.1 Produksi Pangan &amp; Penduduk'!$D$5:$J$860,7,0))</f>
        <v/>
      </c>
      <c r="G258" s="27" t="str">
        <f t="shared" si="30"/>
        <v/>
      </c>
      <c r="H258" s="27" t="str">
        <f t="shared" si="31"/>
        <v/>
      </c>
      <c r="I258" s="27" t="str">
        <f t="shared" si="32"/>
        <v/>
      </c>
      <c r="J258" s="27" t="str">
        <f t="shared" si="33"/>
        <v/>
      </c>
      <c r="K258" s="27" t="str">
        <f t="shared" si="34"/>
        <v/>
      </c>
      <c r="L258" s="59" t="str">
        <f>IF(D258="","",VLOOKUP(D258,'[1]0.1 Produksi Pangan &amp; Penduduk'!$D$5:$M$860,10,0))</f>
        <v/>
      </c>
      <c r="M258" s="28" t="str">
        <f t="shared" si="35"/>
        <v/>
      </c>
      <c r="N258" s="60" t="str">
        <f t="shared" si="36"/>
        <v/>
      </c>
      <c r="O258" s="60" t="str">
        <f t="shared" si="37"/>
        <v/>
      </c>
      <c r="P258" s="60" t="str">
        <f t="shared" si="38"/>
        <v/>
      </c>
      <c r="Q258" s="28" t="str">
        <f t="shared" si="39"/>
        <v/>
      </c>
    </row>
    <row r="259" spans="1:17" ht="15" x14ac:dyDescent="0.25">
      <c r="A259" s="3" t="str">
        <f>IF('[1]0.1 Produksi Pangan &amp; Penduduk'!A260="","",'[1]0.1 Produksi Pangan &amp; Penduduk'!A260)</f>
        <v/>
      </c>
      <c r="B259" s="2" t="str">
        <f>IF('[1]0.1 Produksi Pangan &amp; Penduduk'!B260="","",'[1]0.1 Produksi Pangan &amp; Penduduk'!B260)</f>
        <v/>
      </c>
      <c r="C259" s="2" t="str">
        <f>IF('[1]0.1 Produksi Pangan &amp; Penduduk'!F260="","",'[1]0.1 Produksi Pangan &amp; Penduduk'!F260)</f>
        <v/>
      </c>
      <c r="D259" s="3" t="str">
        <f>IF('[1]0.1 Produksi Pangan &amp; Penduduk'!D260="","",'[1]0.1 Produksi Pangan &amp; Penduduk'!D260)</f>
        <v/>
      </c>
      <c r="E259" s="3" t="str">
        <f>IF('[1]0.1 Produksi Pangan &amp; Penduduk'!E260="","",'[1]0.1 Produksi Pangan &amp; Penduduk'!E260)</f>
        <v/>
      </c>
      <c r="F259" s="59" t="str">
        <f>IF(D259="","",VLOOKUP(D259,'[1]0.1 Produksi Pangan &amp; Penduduk'!$D$5:$J$860,7,0))</f>
        <v/>
      </c>
      <c r="G259" s="27" t="str">
        <f t="shared" si="30"/>
        <v/>
      </c>
      <c r="H259" s="27" t="str">
        <f t="shared" si="31"/>
        <v/>
      </c>
      <c r="I259" s="27" t="str">
        <f t="shared" si="32"/>
        <v/>
      </c>
      <c r="J259" s="27" t="str">
        <f t="shared" si="33"/>
        <v/>
      </c>
      <c r="K259" s="27" t="str">
        <f t="shared" si="34"/>
        <v/>
      </c>
      <c r="L259" s="59" t="str">
        <f>IF(D259="","",VLOOKUP(D259,'[1]0.1 Produksi Pangan &amp; Penduduk'!$D$5:$M$860,10,0))</f>
        <v/>
      </c>
      <c r="M259" s="28" t="str">
        <f t="shared" si="35"/>
        <v/>
      </c>
      <c r="N259" s="60" t="str">
        <f t="shared" si="36"/>
        <v/>
      </c>
      <c r="O259" s="60" t="str">
        <f t="shared" si="37"/>
        <v/>
      </c>
      <c r="P259" s="60" t="str">
        <f t="shared" si="38"/>
        <v/>
      </c>
      <c r="Q259" s="28" t="str">
        <f t="shared" si="39"/>
        <v/>
      </c>
    </row>
    <row r="260" spans="1:17" ht="15" x14ac:dyDescent="0.25">
      <c r="A260" s="3" t="str">
        <f>IF('[1]0.1 Produksi Pangan &amp; Penduduk'!A261="","",'[1]0.1 Produksi Pangan &amp; Penduduk'!A261)</f>
        <v/>
      </c>
      <c r="B260" s="2" t="str">
        <f>IF('[1]0.1 Produksi Pangan &amp; Penduduk'!B261="","",'[1]0.1 Produksi Pangan &amp; Penduduk'!B261)</f>
        <v/>
      </c>
      <c r="C260" s="2" t="str">
        <f>IF('[1]0.1 Produksi Pangan &amp; Penduduk'!F261="","",'[1]0.1 Produksi Pangan &amp; Penduduk'!F261)</f>
        <v/>
      </c>
      <c r="D260" s="3" t="str">
        <f>IF('[1]0.1 Produksi Pangan &amp; Penduduk'!D261="","",'[1]0.1 Produksi Pangan &amp; Penduduk'!D261)</f>
        <v/>
      </c>
      <c r="E260" s="3" t="str">
        <f>IF('[1]0.1 Produksi Pangan &amp; Penduduk'!E261="","",'[1]0.1 Produksi Pangan &amp; Penduduk'!E261)</f>
        <v/>
      </c>
      <c r="F260" s="59" t="str">
        <f>IF(D260="","",VLOOKUP(D260,'[1]0.1 Produksi Pangan &amp; Penduduk'!$D$5:$J$860,7,0))</f>
        <v/>
      </c>
      <c r="G260" s="27" t="str">
        <f t="shared" si="30"/>
        <v/>
      </c>
      <c r="H260" s="27" t="str">
        <f t="shared" si="31"/>
        <v/>
      </c>
      <c r="I260" s="27" t="str">
        <f t="shared" si="32"/>
        <v/>
      </c>
      <c r="J260" s="27" t="str">
        <f t="shared" si="33"/>
        <v/>
      </c>
      <c r="K260" s="27" t="str">
        <f t="shared" si="34"/>
        <v/>
      </c>
      <c r="L260" s="59" t="str">
        <f>IF(D260="","",VLOOKUP(D260,'[1]0.1 Produksi Pangan &amp; Penduduk'!$D$5:$M$860,10,0))</f>
        <v/>
      </c>
      <c r="M260" s="28" t="str">
        <f t="shared" si="35"/>
        <v/>
      </c>
      <c r="N260" s="60" t="str">
        <f t="shared" si="36"/>
        <v/>
      </c>
      <c r="O260" s="60" t="str">
        <f t="shared" si="37"/>
        <v/>
      </c>
      <c r="P260" s="60" t="str">
        <f t="shared" si="38"/>
        <v/>
      </c>
      <c r="Q260" s="28" t="str">
        <f t="shared" si="39"/>
        <v/>
      </c>
    </row>
    <row r="261" spans="1:17" ht="15" x14ac:dyDescent="0.25">
      <c r="A261" s="3" t="str">
        <f>IF('[1]0.1 Produksi Pangan &amp; Penduduk'!A262="","",'[1]0.1 Produksi Pangan &amp; Penduduk'!A262)</f>
        <v/>
      </c>
      <c r="B261" s="2" t="str">
        <f>IF('[1]0.1 Produksi Pangan &amp; Penduduk'!B262="","",'[1]0.1 Produksi Pangan &amp; Penduduk'!B262)</f>
        <v/>
      </c>
      <c r="C261" s="2" t="str">
        <f>IF('[1]0.1 Produksi Pangan &amp; Penduduk'!F262="","",'[1]0.1 Produksi Pangan &amp; Penduduk'!F262)</f>
        <v/>
      </c>
      <c r="D261" s="3" t="str">
        <f>IF('[1]0.1 Produksi Pangan &amp; Penduduk'!D262="","",'[1]0.1 Produksi Pangan &amp; Penduduk'!D262)</f>
        <v/>
      </c>
      <c r="E261" s="3" t="str">
        <f>IF('[1]0.1 Produksi Pangan &amp; Penduduk'!E262="","",'[1]0.1 Produksi Pangan &amp; Penduduk'!E262)</f>
        <v/>
      </c>
      <c r="F261" s="59" t="str">
        <f>IF(D261="","",VLOOKUP(D261,'[1]0.1 Produksi Pangan &amp; Penduduk'!$D$5:$J$860,7,0))</f>
        <v/>
      </c>
      <c r="G261" s="27" t="str">
        <f t="shared" si="30"/>
        <v/>
      </c>
      <c r="H261" s="27" t="str">
        <f t="shared" si="31"/>
        <v/>
      </c>
      <c r="I261" s="27" t="str">
        <f t="shared" si="32"/>
        <v/>
      </c>
      <c r="J261" s="27" t="str">
        <f t="shared" si="33"/>
        <v/>
      </c>
      <c r="K261" s="27" t="str">
        <f t="shared" si="34"/>
        <v/>
      </c>
      <c r="L261" s="59" t="str">
        <f>IF(D261="","",VLOOKUP(D261,'[1]0.1 Produksi Pangan &amp; Penduduk'!$D$5:$M$860,10,0))</f>
        <v/>
      </c>
      <c r="M261" s="28" t="str">
        <f t="shared" si="35"/>
        <v/>
      </c>
      <c r="N261" s="60" t="str">
        <f t="shared" si="36"/>
        <v/>
      </c>
      <c r="O261" s="60" t="str">
        <f t="shared" si="37"/>
        <v/>
      </c>
      <c r="P261" s="60" t="str">
        <f t="shared" si="38"/>
        <v/>
      </c>
      <c r="Q261" s="28" t="str">
        <f t="shared" si="39"/>
        <v/>
      </c>
    </row>
    <row r="262" spans="1:17" ht="15" x14ac:dyDescent="0.25">
      <c r="A262" s="3" t="str">
        <f>IF('[1]0.1 Produksi Pangan &amp; Penduduk'!A263="","",'[1]0.1 Produksi Pangan &amp; Penduduk'!A263)</f>
        <v/>
      </c>
      <c r="B262" s="2" t="str">
        <f>IF('[1]0.1 Produksi Pangan &amp; Penduduk'!B263="","",'[1]0.1 Produksi Pangan &amp; Penduduk'!B263)</f>
        <v/>
      </c>
      <c r="C262" s="2" t="str">
        <f>IF('[1]0.1 Produksi Pangan &amp; Penduduk'!F263="","",'[1]0.1 Produksi Pangan &amp; Penduduk'!F263)</f>
        <v/>
      </c>
      <c r="D262" s="3" t="str">
        <f>IF('[1]0.1 Produksi Pangan &amp; Penduduk'!D263="","",'[1]0.1 Produksi Pangan &amp; Penduduk'!D263)</f>
        <v/>
      </c>
      <c r="E262" s="3" t="str">
        <f>IF('[1]0.1 Produksi Pangan &amp; Penduduk'!E263="","",'[1]0.1 Produksi Pangan &amp; Penduduk'!E263)</f>
        <v/>
      </c>
      <c r="F262" s="59" t="str">
        <f>IF(D262="","",VLOOKUP(D262,'[1]0.1 Produksi Pangan &amp; Penduduk'!$D$5:$J$860,7,0))</f>
        <v/>
      </c>
      <c r="G262" s="27" t="str">
        <f t="shared" ref="G262:G325" si="40">IF(F262="","",F262*0.9%)</f>
        <v/>
      </c>
      <c r="H262" s="27" t="str">
        <f t="shared" ref="H262:H325" si="41">IF(F262="","",F262*0.44%)</f>
        <v/>
      </c>
      <c r="I262" s="27" t="str">
        <f t="shared" ref="I262:I325" si="42">IF(F262="","",F262*4.92%)</f>
        <v/>
      </c>
      <c r="J262" s="27" t="str">
        <f t="shared" ref="J262:J325" si="43">IF(F262="","",F262*0.56%)</f>
        <v/>
      </c>
      <c r="K262" s="27" t="str">
        <f t="shared" ref="K262:K325" si="44">IF(F262="","",F262-(G262+H262+I262+J262))</f>
        <v/>
      </c>
      <c r="L262" s="59" t="str">
        <f>IF(D262="","",VLOOKUP(D262,'[1]0.1 Produksi Pangan &amp; Penduduk'!$D$5:$M$860,10,0))</f>
        <v/>
      </c>
      <c r="M262" s="28" t="str">
        <f t="shared" ref="M262:M325" si="45">IFERROR(K262*L262,"")</f>
        <v/>
      </c>
      <c r="N262" s="60" t="str">
        <f t="shared" ref="N262:N325" si="46">IF(M262="","",M262*0.17%)</f>
        <v/>
      </c>
      <c r="O262" s="60" t="str">
        <f t="shared" ref="O262:O325" si="47">IF(M262="","",M262*2.5%)</f>
        <v/>
      </c>
      <c r="P262" s="60" t="str">
        <f t="shared" ref="P262:P325" si="48">IF(M262="","",M262*0.66%)</f>
        <v/>
      </c>
      <c r="Q262" s="28" t="str">
        <f t="shared" ref="Q262:Q325" si="49">IF(M262="","",M262-(N262+O262+P262))</f>
        <v/>
      </c>
    </row>
    <row r="263" spans="1:17" ht="15" x14ac:dyDescent="0.25">
      <c r="A263" s="3" t="str">
        <f>IF('[1]0.1 Produksi Pangan &amp; Penduduk'!A264="","",'[1]0.1 Produksi Pangan &amp; Penduduk'!A264)</f>
        <v/>
      </c>
      <c r="B263" s="2" t="str">
        <f>IF('[1]0.1 Produksi Pangan &amp; Penduduk'!B264="","",'[1]0.1 Produksi Pangan &amp; Penduduk'!B264)</f>
        <v/>
      </c>
      <c r="C263" s="2" t="str">
        <f>IF('[1]0.1 Produksi Pangan &amp; Penduduk'!F264="","",'[1]0.1 Produksi Pangan &amp; Penduduk'!F264)</f>
        <v/>
      </c>
      <c r="D263" s="3" t="str">
        <f>IF('[1]0.1 Produksi Pangan &amp; Penduduk'!D264="","",'[1]0.1 Produksi Pangan &amp; Penduduk'!D264)</f>
        <v/>
      </c>
      <c r="E263" s="3" t="str">
        <f>IF('[1]0.1 Produksi Pangan &amp; Penduduk'!E264="","",'[1]0.1 Produksi Pangan &amp; Penduduk'!E264)</f>
        <v/>
      </c>
      <c r="F263" s="59" t="str">
        <f>IF(D263="","",VLOOKUP(D263,'[1]0.1 Produksi Pangan &amp; Penduduk'!$D$5:$J$860,7,0))</f>
        <v/>
      </c>
      <c r="G263" s="27" t="str">
        <f t="shared" si="40"/>
        <v/>
      </c>
      <c r="H263" s="27" t="str">
        <f t="shared" si="41"/>
        <v/>
      </c>
      <c r="I263" s="27" t="str">
        <f t="shared" si="42"/>
        <v/>
      </c>
      <c r="J263" s="27" t="str">
        <f t="shared" si="43"/>
        <v/>
      </c>
      <c r="K263" s="27" t="str">
        <f t="shared" si="44"/>
        <v/>
      </c>
      <c r="L263" s="59" t="str">
        <f>IF(D263="","",VLOOKUP(D263,'[1]0.1 Produksi Pangan &amp; Penduduk'!$D$5:$M$860,10,0))</f>
        <v/>
      </c>
      <c r="M263" s="28" t="str">
        <f t="shared" si="45"/>
        <v/>
      </c>
      <c r="N263" s="60" t="str">
        <f t="shared" si="46"/>
        <v/>
      </c>
      <c r="O263" s="60" t="str">
        <f t="shared" si="47"/>
        <v/>
      </c>
      <c r="P263" s="60" t="str">
        <f t="shared" si="48"/>
        <v/>
      </c>
      <c r="Q263" s="28" t="str">
        <f t="shared" si="49"/>
        <v/>
      </c>
    </row>
    <row r="264" spans="1:17" ht="15" x14ac:dyDescent="0.25">
      <c r="A264" s="3" t="str">
        <f>IF('[1]0.1 Produksi Pangan &amp; Penduduk'!A265="","",'[1]0.1 Produksi Pangan &amp; Penduduk'!A265)</f>
        <v/>
      </c>
      <c r="B264" s="2" t="str">
        <f>IF('[1]0.1 Produksi Pangan &amp; Penduduk'!B265="","",'[1]0.1 Produksi Pangan &amp; Penduduk'!B265)</f>
        <v/>
      </c>
      <c r="C264" s="2" t="str">
        <f>IF('[1]0.1 Produksi Pangan &amp; Penduduk'!F265="","",'[1]0.1 Produksi Pangan &amp; Penduduk'!F265)</f>
        <v/>
      </c>
      <c r="D264" s="3" t="str">
        <f>IF('[1]0.1 Produksi Pangan &amp; Penduduk'!D265="","",'[1]0.1 Produksi Pangan &amp; Penduduk'!D265)</f>
        <v/>
      </c>
      <c r="E264" s="3" t="str">
        <f>IF('[1]0.1 Produksi Pangan &amp; Penduduk'!E265="","",'[1]0.1 Produksi Pangan &amp; Penduduk'!E265)</f>
        <v/>
      </c>
      <c r="F264" s="59" t="str">
        <f>IF(D264="","",VLOOKUP(D264,'[1]0.1 Produksi Pangan &amp; Penduduk'!$D$5:$J$860,7,0))</f>
        <v/>
      </c>
      <c r="G264" s="27" t="str">
        <f t="shared" si="40"/>
        <v/>
      </c>
      <c r="H264" s="27" t="str">
        <f t="shared" si="41"/>
        <v/>
      </c>
      <c r="I264" s="27" t="str">
        <f t="shared" si="42"/>
        <v/>
      </c>
      <c r="J264" s="27" t="str">
        <f t="shared" si="43"/>
        <v/>
      </c>
      <c r="K264" s="27" t="str">
        <f t="shared" si="44"/>
        <v/>
      </c>
      <c r="L264" s="59" t="str">
        <f>IF(D264="","",VLOOKUP(D264,'[1]0.1 Produksi Pangan &amp; Penduduk'!$D$5:$M$860,10,0))</f>
        <v/>
      </c>
      <c r="M264" s="28" t="str">
        <f t="shared" si="45"/>
        <v/>
      </c>
      <c r="N264" s="60" t="str">
        <f t="shared" si="46"/>
        <v/>
      </c>
      <c r="O264" s="60" t="str">
        <f t="shared" si="47"/>
        <v/>
      </c>
      <c r="P264" s="60" t="str">
        <f t="shared" si="48"/>
        <v/>
      </c>
      <c r="Q264" s="28" t="str">
        <f t="shared" si="49"/>
        <v/>
      </c>
    </row>
    <row r="265" spans="1:17" ht="15" x14ac:dyDescent="0.25">
      <c r="A265" s="3" t="str">
        <f>IF('[1]0.1 Produksi Pangan &amp; Penduduk'!A266="","",'[1]0.1 Produksi Pangan &amp; Penduduk'!A266)</f>
        <v/>
      </c>
      <c r="B265" s="2" t="str">
        <f>IF('[1]0.1 Produksi Pangan &amp; Penduduk'!B266="","",'[1]0.1 Produksi Pangan &amp; Penduduk'!B266)</f>
        <v/>
      </c>
      <c r="C265" s="2" t="str">
        <f>IF('[1]0.1 Produksi Pangan &amp; Penduduk'!F266="","",'[1]0.1 Produksi Pangan &amp; Penduduk'!F266)</f>
        <v/>
      </c>
      <c r="D265" s="3" t="str">
        <f>IF('[1]0.1 Produksi Pangan &amp; Penduduk'!D266="","",'[1]0.1 Produksi Pangan &amp; Penduduk'!D266)</f>
        <v/>
      </c>
      <c r="E265" s="3" t="str">
        <f>IF('[1]0.1 Produksi Pangan &amp; Penduduk'!E266="","",'[1]0.1 Produksi Pangan &amp; Penduduk'!E266)</f>
        <v/>
      </c>
      <c r="F265" s="59" t="str">
        <f>IF(D265="","",VLOOKUP(D265,'[1]0.1 Produksi Pangan &amp; Penduduk'!$D$5:$J$860,7,0))</f>
        <v/>
      </c>
      <c r="G265" s="27" t="str">
        <f t="shared" si="40"/>
        <v/>
      </c>
      <c r="H265" s="27" t="str">
        <f t="shared" si="41"/>
        <v/>
      </c>
      <c r="I265" s="27" t="str">
        <f t="shared" si="42"/>
        <v/>
      </c>
      <c r="J265" s="27" t="str">
        <f t="shared" si="43"/>
        <v/>
      </c>
      <c r="K265" s="27" t="str">
        <f t="shared" si="44"/>
        <v/>
      </c>
      <c r="L265" s="59" t="str">
        <f>IF(D265="","",VLOOKUP(D265,'[1]0.1 Produksi Pangan &amp; Penduduk'!$D$5:$M$860,10,0))</f>
        <v/>
      </c>
      <c r="M265" s="28" t="str">
        <f t="shared" si="45"/>
        <v/>
      </c>
      <c r="N265" s="60" t="str">
        <f t="shared" si="46"/>
        <v/>
      </c>
      <c r="O265" s="60" t="str">
        <f t="shared" si="47"/>
        <v/>
      </c>
      <c r="P265" s="60" t="str">
        <f t="shared" si="48"/>
        <v/>
      </c>
      <c r="Q265" s="28" t="str">
        <f t="shared" si="49"/>
        <v/>
      </c>
    </row>
    <row r="266" spans="1:17" ht="15" x14ac:dyDescent="0.25">
      <c r="A266" s="3" t="str">
        <f>IF('[1]0.1 Produksi Pangan &amp; Penduduk'!A267="","",'[1]0.1 Produksi Pangan &amp; Penduduk'!A267)</f>
        <v/>
      </c>
      <c r="B266" s="2" t="str">
        <f>IF('[1]0.1 Produksi Pangan &amp; Penduduk'!B267="","",'[1]0.1 Produksi Pangan &amp; Penduduk'!B267)</f>
        <v/>
      </c>
      <c r="C266" s="2" t="str">
        <f>IF('[1]0.1 Produksi Pangan &amp; Penduduk'!F267="","",'[1]0.1 Produksi Pangan &amp; Penduduk'!F267)</f>
        <v/>
      </c>
      <c r="D266" s="3" t="str">
        <f>IF('[1]0.1 Produksi Pangan &amp; Penduduk'!D267="","",'[1]0.1 Produksi Pangan &amp; Penduduk'!D267)</f>
        <v/>
      </c>
      <c r="E266" s="3" t="str">
        <f>IF('[1]0.1 Produksi Pangan &amp; Penduduk'!E267="","",'[1]0.1 Produksi Pangan &amp; Penduduk'!E267)</f>
        <v/>
      </c>
      <c r="F266" s="59" t="str">
        <f>IF(D266="","",VLOOKUP(D266,'[1]0.1 Produksi Pangan &amp; Penduduk'!$D$5:$J$860,7,0))</f>
        <v/>
      </c>
      <c r="G266" s="27" t="str">
        <f t="shared" si="40"/>
        <v/>
      </c>
      <c r="H266" s="27" t="str">
        <f t="shared" si="41"/>
        <v/>
      </c>
      <c r="I266" s="27" t="str">
        <f t="shared" si="42"/>
        <v/>
      </c>
      <c r="J266" s="27" t="str">
        <f t="shared" si="43"/>
        <v/>
      </c>
      <c r="K266" s="27" t="str">
        <f t="shared" si="44"/>
        <v/>
      </c>
      <c r="L266" s="59" t="str">
        <f>IF(D266="","",VLOOKUP(D266,'[1]0.1 Produksi Pangan &amp; Penduduk'!$D$5:$M$860,10,0))</f>
        <v/>
      </c>
      <c r="M266" s="28" t="str">
        <f t="shared" si="45"/>
        <v/>
      </c>
      <c r="N266" s="60" t="str">
        <f t="shared" si="46"/>
        <v/>
      </c>
      <c r="O266" s="60" t="str">
        <f t="shared" si="47"/>
        <v/>
      </c>
      <c r="P266" s="60" t="str">
        <f t="shared" si="48"/>
        <v/>
      </c>
      <c r="Q266" s="28" t="str">
        <f t="shared" si="49"/>
        <v/>
      </c>
    </row>
    <row r="267" spans="1:17" ht="15" x14ac:dyDescent="0.25">
      <c r="A267" s="3" t="str">
        <f>IF('[1]0.1 Produksi Pangan &amp; Penduduk'!A268="","",'[1]0.1 Produksi Pangan &amp; Penduduk'!A268)</f>
        <v/>
      </c>
      <c r="B267" s="2" t="str">
        <f>IF('[1]0.1 Produksi Pangan &amp; Penduduk'!B268="","",'[1]0.1 Produksi Pangan &amp; Penduduk'!B268)</f>
        <v/>
      </c>
      <c r="C267" s="2" t="str">
        <f>IF('[1]0.1 Produksi Pangan &amp; Penduduk'!F268="","",'[1]0.1 Produksi Pangan &amp; Penduduk'!F268)</f>
        <v/>
      </c>
      <c r="D267" s="3" t="str">
        <f>IF('[1]0.1 Produksi Pangan &amp; Penduduk'!D268="","",'[1]0.1 Produksi Pangan &amp; Penduduk'!D268)</f>
        <v/>
      </c>
      <c r="E267" s="3" t="str">
        <f>IF('[1]0.1 Produksi Pangan &amp; Penduduk'!E268="","",'[1]0.1 Produksi Pangan &amp; Penduduk'!E268)</f>
        <v/>
      </c>
      <c r="F267" s="59" t="str">
        <f>IF(D267="","",VLOOKUP(D267,'[1]0.1 Produksi Pangan &amp; Penduduk'!$D$5:$J$860,7,0))</f>
        <v/>
      </c>
      <c r="G267" s="27" t="str">
        <f t="shared" si="40"/>
        <v/>
      </c>
      <c r="H267" s="27" t="str">
        <f t="shared" si="41"/>
        <v/>
      </c>
      <c r="I267" s="27" t="str">
        <f t="shared" si="42"/>
        <v/>
      </c>
      <c r="J267" s="27" t="str">
        <f t="shared" si="43"/>
        <v/>
      </c>
      <c r="K267" s="27" t="str">
        <f t="shared" si="44"/>
        <v/>
      </c>
      <c r="L267" s="59" t="str">
        <f>IF(D267="","",VLOOKUP(D267,'[1]0.1 Produksi Pangan &amp; Penduduk'!$D$5:$M$860,10,0))</f>
        <v/>
      </c>
      <c r="M267" s="28" t="str">
        <f t="shared" si="45"/>
        <v/>
      </c>
      <c r="N267" s="60" t="str">
        <f t="shared" si="46"/>
        <v/>
      </c>
      <c r="O267" s="60" t="str">
        <f t="shared" si="47"/>
        <v/>
      </c>
      <c r="P267" s="60" t="str">
        <f t="shared" si="48"/>
        <v/>
      </c>
      <c r="Q267" s="28" t="str">
        <f t="shared" si="49"/>
        <v/>
      </c>
    </row>
    <row r="268" spans="1:17" ht="15" x14ac:dyDescent="0.25">
      <c r="A268" s="3" t="str">
        <f>IF('[1]0.1 Produksi Pangan &amp; Penduduk'!A269="","",'[1]0.1 Produksi Pangan &amp; Penduduk'!A269)</f>
        <v/>
      </c>
      <c r="B268" s="2" t="str">
        <f>IF('[1]0.1 Produksi Pangan &amp; Penduduk'!B269="","",'[1]0.1 Produksi Pangan &amp; Penduduk'!B269)</f>
        <v/>
      </c>
      <c r="C268" s="2" t="str">
        <f>IF('[1]0.1 Produksi Pangan &amp; Penduduk'!F269="","",'[1]0.1 Produksi Pangan &amp; Penduduk'!F269)</f>
        <v/>
      </c>
      <c r="D268" s="3" t="str">
        <f>IF('[1]0.1 Produksi Pangan &amp; Penduduk'!D269="","",'[1]0.1 Produksi Pangan &amp; Penduduk'!D269)</f>
        <v/>
      </c>
      <c r="E268" s="3" t="str">
        <f>IF('[1]0.1 Produksi Pangan &amp; Penduduk'!E269="","",'[1]0.1 Produksi Pangan &amp; Penduduk'!E269)</f>
        <v/>
      </c>
      <c r="F268" s="59" t="str">
        <f>IF(D268="","",VLOOKUP(D268,'[1]0.1 Produksi Pangan &amp; Penduduk'!$D$5:$J$860,7,0))</f>
        <v/>
      </c>
      <c r="G268" s="27" t="str">
        <f t="shared" si="40"/>
        <v/>
      </c>
      <c r="H268" s="27" t="str">
        <f t="shared" si="41"/>
        <v/>
      </c>
      <c r="I268" s="27" t="str">
        <f t="shared" si="42"/>
        <v/>
      </c>
      <c r="J268" s="27" t="str">
        <f t="shared" si="43"/>
        <v/>
      </c>
      <c r="K268" s="27" t="str">
        <f t="shared" si="44"/>
        <v/>
      </c>
      <c r="L268" s="59" t="str">
        <f>IF(D268="","",VLOOKUP(D268,'[1]0.1 Produksi Pangan &amp; Penduduk'!$D$5:$M$860,10,0))</f>
        <v/>
      </c>
      <c r="M268" s="28" t="str">
        <f t="shared" si="45"/>
        <v/>
      </c>
      <c r="N268" s="60" t="str">
        <f t="shared" si="46"/>
        <v/>
      </c>
      <c r="O268" s="60" t="str">
        <f t="shared" si="47"/>
        <v/>
      </c>
      <c r="P268" s="60" t="str">
        <f t="shared" si="48"/>
        <v/>
      </c>
      <c r="Q268" s="28" t="str">
        <f t="shared" si="49"/>
        <v/>
      </c>
    </row>
    <row r="269" spans="1:17" ht="15" x14ac:dyDescent="0.25">
      <c r="A269" s="3" t="str">
        <f>IF('[1]0.1 Produksi Pangan &amp; Penduduk'!A270="","",'[1]0.1 Produksi Pangan &amp; Penduduk'!A270)</f>
        <v/>
      </c>
      <c r="B269" s="2" t="str">
        <f>IF('[1]0.1 Produksi Pangan &amp; Penduduk'!B270="","",'[1]0.1 Produksi Pangan &amp; Penduduk'!B270)</f>
        <v/>
      </c>
      <c r="C269" s="2" t="str">
        <f>IF('[1]0.1 Produksi Pangan &amp; Penduduk'!F270="","",'[1]0.1 Produksi Pangan &amp; Penduduk'!F270)</f>
        <v/>
      </c>
      <c r="D269" s="3" t="str">
        <f>IF('[1]0.1 Produksi Pangan &amp; Penduduk'!D270="","",'[1]0.1 Produksi Pangan &amp; Penduduk'!D270)</f>
        <v/>
      </c>
      <c r="E269" s="3" t="str">
        <f>IF('[1]0.1 Produksi Pangan &amp; Penduduk'!E270="","",'[1]0.1 Produksi Pangan &amp; Penduduk'!E270)</f>
        <v/>
      </c>
      <c r="F269" s="59" t="str">
        <f>IF(D269="","",VLOOKUP(D269,'[1]0.1 Produksi Pangan &amp; Penduduk'!$D$5:$J$860,7,0))</f>
        <v/>
      </c>
      <c r="G269" s="27" t="str">
        <f t="shared" si="40"/>
        <v/>
      </c>
      <c r="H269" s="27" t="str">
        <f t="shared" si="41"/>
        <v/>
      </c>
      <c r="I269" s="27" t="str">
        <f t="shared" si="42"/>
        <v/>
      </c>
      <c r="J269" s="27" t="str">
        <f t="shared" si="43"/>
        <v/>
      </c>
      <c r="K269" s="27" t="str">
        <f t="shared" si="44"/>
        <v/>
      </c>
      <c r="L269" s="59" t="str">
        <f>IF(D269="","",VLOOKUP(D269,'[1]0.1 Produksi Pangan &amp; Penduduk'!$D$5:$M$860,10,0))</f>
        <v/>
      </c>
      <c r="M269" s="28" t="str">
        <f t="shared" si="45"/>
        <v/>
      </c>
      <c r="N269" s="60" t="str">
        <f t="shared" si="46"/>
        <v/>
      </c>
      <c r="O269" s="60" t="str">
        <f t="shared" si="47"/>
        <v/>
      </c>
      <c r="P269" s="60" t="str">
        <f t="shared" si="48"/>
        <v/>
      </c>
      <c r="Q269" s="28" t="str">
        <f t="shared" si="49"/>
        <v/>
      </c>
    </row>
    <row r="270" spans="1:17" ht="15" x14ac:dyDescent="0.25">
      <c r="A270" s="3" t="str">
        <f>IF('[1]0.1 Produksi Pangan &amp; Penduduk'!A271="","",'[1]0.1 Produksi Pangan &amp; Penduduk'!A271)</f>
        <v/>
      </c>
      <c r="B270" s="2" t="str">
        <f>IF('[1]0.1 Produksi Pangan &amp; Penduduk'!B271="","",'[1]0.1 Produksi Pangan &amp; Penduduk'!B271)</f>
        <v/>
      </c>
      <c r="C270" s="2" t="str">
        <f>IF('[1]0.1 Produksi Pangan &amp; Penduduk'!F271="","",'[1]0.1 Produksi Pangan &amp; Penduduk'!F271)</f>
        <v/>
      </c>
      <c r="D270" s="3" t="str">
        <f>IF('[1]0.1 Produksi Pangan &amp; Penduduk'!D271="","",'[1]0.1 Produksi Pangan &amp; Penduduk'!D271)</f>
        <v/>
      </c>
      <c r="E270" s="3" t="str">
        <f>IF('[1]0.1 Produksi Pangan &amp; Penduduk'!E271="","",'[1]0.1 Produksi Pangan &amp; Penduduk'!E271)</f>
        <v/>
      </c>
      <c r="F270" s="59" t="str">
        <f>IF(D270="","",VLOOKUP(D270,'[1]0.1 Produksi Pangan &amp; Penduduk'!$D$5:$J$860,7,0))</f>
        <v/>
      </c>
      <c r="G270" s="27" t="str">
        <f t="shared" si="40"/>
        <v/>
      </c>
      <c r="H270" s="27" t="str">
        <f t="shared" si="41"/>
        <v/>
      </c>
      <c r="I270" s="27" t="str">
        <f t="shared" si="42"/>
        <v/>
      </c>
      <c r="J270" s="27" t="str">
        <f t="shared" si="43"/>
        <v/>
      </c>
      <c r="K270" s="27" t="str">
        <f t="shared" si="44"/>
        <v/>
      </c>
      <c r="L270" s="59" t="str">
        <f>IF(D270="","",VLOOKUP(D270,'[1]0.1 Produksi Pangan &amp; Penduduk'!$D$5:$M$860,10,0))</f>
        <v/>
      </c>
      <c r="M270" s="28" t="str">
        <f t="shared" si="45"/>
        <v/>
      </c>
      <c r="N270" s="60" t="str">
        <f t="shared" si="46"/>
        <v/>
      </c>
      <c r="O270" s="60" t="str">
        <f t="shared" si="47"/>
        <v/>
      </c>
      <c r="P270" s="60" t="str">
        <f t="shared" si="48"/>
        <v/>
      </c>
      <c r="Q270" s="28" t="str">
        <f t="shared" si="49"/>
        <v/>
      </c>
    </row>
    <row r="271" spans="1:17" ht="15" x14ac:dyDescent="0.25">
      <c r="A271" s="3" t="str">
        <f>IF('[1]0.1 Produksi Pangan &amp; Penduduk'!A272="","",'[1]0.1 Produksi Pangan &amp; Penduduk'!A272)</f>
        <v/>
      </c>
      <c r="B271" s="2" t="str">
        <f>IF('[1]0.1 Produksi Pangan &amp; Penduduk'!B272="","",'[1]0.1 Produksi Pangan &amp; Penduduk'!B272)</f>
        <v/>
      </c>
      <c r="C271" s="2" t="str">
        <f>IF('[1]0.1 Produksi Pangan &amp; Penduduk'!F272="","",'[1]0.1 Produksi Pangan &amp; Penduduk'!F272)</f>
        <v/>
      </c>
      <c r="D271" s="3" t="str">
        <f>IF('[1]0.1 Produksi Pangan &amp; Penduduk'!D272="","",'[1]0.1 Produksi Pangan &amp; Penduduk'!D272)</f>
        <v/>
      </c>
      <c r="E271" s="3" t="str">
        <f>IF('[1]0.1 Produksi Pangan &amp; Penduduk'!E272="","",'[1]0.1 Produksi Pangan &amp; Penduduk'!E272)</f>
        <v/>
      </c>
      <c r="F271" s="59" t="str">
        <f>IF(D271="","",VLOOKUP(D271,'[1]0.1 Produksi Pangan &amp; Penduduk'!$D$5:$J$860,7,0))</f>
        <v/>
      </c>
      <c r="G271" s="27" t="str">
        <f t="shared" si="40"/>
        <v/>
      </c>
      <c r="H271" s="27" t="str">
        <f t="shared" si="41"/>
        <v/>
      </c>
      <c r="I271" s="27" t="str">
        <f t="shared" si="42"/>
        <v/>
      </c>
      <c r="J271" s="27" t="str">
        <f t="shared" si="43"/>
        <v/>
      </c>
      <c r="K271" s="27" t="str">
        <f t="shared" si="44"/>
        <v/>
      </c>
      <c r="L271" s="59" t="str">
        <f>IF(D271="","",VLOOKUP(D271,'[1]0.1 Produksi Pangan &amp; Penduduk'!$D$5:$M$860,10,0))</f>
        <v/>
      </c>
      <c r="M271" s="28" t="str">
        <f t="shared" si="45"/>
        <v/>
      </c>
      <c r="N271" s="60" t="str">
        <f t="shared" si="46"/>
        <v/>
      </c>
      <c r="O271" s="60" t="str">
        <f t="shared" si="47"/>
        <v/>
      </c>
      <c r="P271" s="60" t="str">
        <f t="shared" si="48"/>
        <v/>
      </c>
      <c r="Q271" s="28" t="str">
        <f t="shared" si="49"/>
        <v/>
      </c>
    </row>
    <row r="272" spans="1:17" ht="15" x14ac:dyDescent="0.25">
      <c r="A272" s="3" t="str">
        <f>IF('[1]0.1 Produksi Pangan &amp; Penduduk'!A273="","",'[1]0.1 Produksi Pangan &amp; Penduduk'!A273)</f>
        <v/>
      </c>
      <c r="B272" s="2" t="str">
        <f>IF('[1]0.1 Produksi Pangan &amp; Penduduk'!B273="","",'[1]0.1 Produksi Pangan &amp; Penduduk'!B273)</f>
        <v/>
      </c>
      <c r="C272" s="2" t="str">
        <f>IF('[1]0.1 Produksi Pangan &amp; Penduduk'!F273="","",'[1]0.1 Produksi Pangan &amp; Penduduk'!F273)</f>
        <v/>
      </c>
      <c r="D272" s="3" t="str">
        <f>IF('[1]0.1 Produksi Pangan &amp; Penduduk'!D273="","",'[1]0.1 Produksi Pangan &amp; Penduduk'!D273)</f>
        <v/>
      </c>
      <c r="E272" s="3" t="str">
        <f>IF('[1]0.1 Produksi Pangan &amp; Penduduk'!E273="","",'[1]0.1 Produksi Pangan &amp; Penduduk'!E273)</f>
        <v/>
      </c>
      <c r="F272" s="59" t="str">
        <f>IF(D272="","",VLOOKUP(D272,'[1]0.1 Produksi Pangan &amp; Penduduk'!$D$5:$J$860,7,0))</f>
        <v/>
      </c>
      <c r="G272" s="27" t="str">
        <f t="shared" si="40"/>
        <v/>
      </c>
      <c r="H272" s="27" t="str">
        <f t="shared" si="41"/>
        <v/>
      </c>
      <c r="I272" s="27" t="str">
        <f t="shared" si="42"/>
        <v/>
      </c>
      <c r="J272" s="27" t="str">
        <f t="shared" si="43"/>
        <v/>
      </c>
      <c r="K272" s="27" t="str">
        <f t="shared" si="44"/>
        <v/>
      </c>
      <c r="L272" s="59" t="str">
        <f>IF(D272="","",VLOOKUP(D272,'[1]0.1 Produksi Pangan &amp; Penduduk'!$D$5:$M$860,10,0))</f>
        <v/>
      </c>
      <c r="M272" s="28" t="str">
        <f t="shared" si="45"/>
        <v/>
      </c>
      <c r="N272" s="60" t="str">
        <f t="shared" si="46"/>
        <v/>
      </c>
      <c r="O272" s="60" t="str">
        <f t="shared" si="47"/>
        <v/>
      </c>
      <c r="P272" s="60" t="str">
        <f t="shared" si="48"/>
        <v/>
      </c>
      <c r="Q272" s="28" t="str">
        <f t="shared" si="49"/>
        <v/>
      </c>
    </row>
    <row r="273" spans="1:17" ht="15" x14ac:dyDescent="0.25">
      <c r="A273" s="3" t="str">
        <f>IF('[1]0.1 Produksi Pangan &amp; Penduduk'!A274="","",'[1]0.1 Produksi Pangan &amp; Penduduk'!A274)</f>
        <v/>
      </c>
      <c r="B273" s="2" t="str">
        <f>IF('[1]0.1 Produksi Pangan &amp; Penduduk'!B274="","",'[1]0.1 Produksi Pangan &amp; Penduduk'!B274)</f>
        <v/>
      </c>
      <c r="C273" s="2" t="str">
        <f>IF('[1]0.1 Produksi Pangan &amp; Penduduk'!F274="","",'[1]0.1 Produksi Pangan &amp; Penduduk'!F274)</f>
        <v/>
      </c>
      <c r="D273" s="3" t="str">
        <f>IF('[1]0.1 Produksi Pangan &amp; Penduduk'!D274="","",'[1]0.1 Produksi Pangan &amp; Penduduk'!D274)</f>
        <v/>
      </c>
      <c r="E273" s="3" t="str">
        <f>IF('[1]0.1 Produksi Pangan &amp; Penduduk'!E274="","",'[1]0.1 Produksi Pangan &amp; Penduduk'!E274)</f>
        <v/>
      </c>
      <c r="F273" s="59" t="str">
        <f>IF(D273="","",VLOOKUP(D273,'[1]0.1 Produksi Pangan &amp; Penduduk'!$D$5:$J$860,7,0))</f>
        <v/>
      </c>
      <c r="G273" s="27" t="str">
        <f t="shared" si="40"/>
        <v/>
      </c>
      <c r="H273" s="27" t="str">
        <f t="shared" si="41"/>
        <v/>
      </c>
      <c r="I273" s="27" t="str">
        <f t="shared" si="42"/>
        <v/>
      </c>
      <c r="J273" s="27" t="str">
        <f t="shared" si="43"/>
        <v/>
      </c>
      <c r="K273" s="27" t="str">
        <f t="shared" si="44"/>
        <v/>
      </c>
      <c r="L273" s="59" t="str">
        <f>IF(D273="","",VLOOKUP(D273,'[1]0.1 Produksi Pangan &amp; Penduduk'!$D$5:$M$860,10,0))</f>
        <v/>
      </c>
      <c r="M273" s="28" t="str">
        <f t="shared" si="45"/>
        <v/>
      </c>
      <c r="N273" s="60" t="str">
        <f t="shared" si="46"/>
        <v/>
      </c>
      <c r="O273" s="60" t="str">
        <f t="shared" si="47"/>
        <v/>
      </c>
      <c r="P273" s="60" t="str">
        <f t="shared" si="48"/>
        <v/>
      </c>
      <c r="Q273" s="28" t="str">
        <f t="shared" si="49"/>
        <v/>
      </c>
    </row>
    <row r="274" spans="1:17" ht="15" x14ac:dyDescent="0.25">
      <c r="A274" s="3" t="str">
        <f>IF('[1]0.1 Produksi Pangan &amp; Penduduk'!A275="","",'[1]0.1 Produksi Pangan &amp; Penduduk'!A275)</f>
        <v/>
      </c>
      <c r="B274" s="2" t="str">
        <f>IF('[1]0.1 Produksi Pangan &amp; Penduduk'!B275="","",'[1]0.1 Produksi Pangan &amp; Penduduk'!B275)</f>
        <v/>
      </c>
      <c r="C274" s="2" t="str">
        <f>IF('[1]0.1 Produksi Pangan &amp; Penduduk'!F275="","",'[1]0.1 Produksi Pangan &amp; Penduduk'!F275)</f>
        <v/>
      </c>
      <c r="D274" s="3" t="str">
        <f>IF('[1]0.1 Produksi Pangan &amp; Penduduk'!D275="","",'[1]0.1 Produksi Pangan &amp; Penduduk'!D275)</f>
        <v/>
      </c>
      <c r="E274" s="3" t="str">
        <f>IF('[1]0.1 Produksi Pangan &amp; Penduduk'!E275="","",'[1]0.1 Produksi Pangan &amp; Penduduk'!E275)</f>
        <v/>
      </c>
      <c r="F274" s="59" t="str">
        <f>IF(D274="","",VLOOKUP(D274,'[1]0.1 Produksi Pangan &amp; Penduduk'!$D$5:$J$860,7,0))</f>
        <v/>
      </c>
      <c r="G274" s="27" t="str">
        <f t="shared" si="40"/>
        <v/>
      </c>
      <c r="H274" s="27" t="str">
        <f t="shared" si="41"/>
        <v/>
      </c>
      <c r="I274" s="27" t="str">
        <f t="shared" si="42"/>
        <v/>
      </c>
      <c r="J274" s="27" t="str">
        <f t="shared" si="43"/>
        <v/>
      </c>
      <c r="K274" s="27" t="str">
        <f t="shared" si="44"/>
        <v/>
      </c>
      <c r="L274" s="59" t="str">
        <f>IF(D274="","",VLOOKUP(D274,'[1]0.1 Produksi Pangan &amp; Penduduk'!$D$5:$M$860,10,0))</f>
        <v/>
      </c>
      <c r="M274" s="28" t="str">
        <f t="shared" si="45"/>
        <v/>
      </c>
      <c r="N274" s="60" t="str">
        <f t="shared" si="46"/>
        <v/>
      </c>
      <c r="O274" s="60" t="str">
        <f t="shared" si="47"/>
        <v/>
      </c>
      <c r="P274" s="60" t="str">
        <f t="shared" si="48"/>
        <v/>
      </c>
      <c r="Q274" s="28" t="str">
        <f t="shared" si="49"/>
        <v/>
      </c>
    </row>
    <row r="275" spans="1:17" ht="15" x14ac:dyDescent="0.25">
      <c r="A275" s="3" t="str">
        <f>IF('[1]0.1 Produksi Pangan &amp; Penduduk'!A276="","",'[1]0.1 Produksi Pangan &amp; Penduduk'!A276)</f>
        <v/>
      </c>
      <c r="B275" s="2" t="str">
        <f>IF('[1]0.1 Produksi Pangan &amp; Penduduk'!B276="","",'[1]0.1 Produksi Pangan &amp; Penduduk'!B276)</f>
        <v/>
      </c>
      <c r="C275" s="2" t="str">
        <f>IF('[1]0.1 Produksi Pangan &amp; Penduduk'!F276="","",'[1]0.1 Produksi Pangan &amp; Penduduk'!F276)</f>
        <v/>
      </c>
      <c r="D275" s="3" t="str">
        <f>IF('[1]0.1 Produksi Pangan &amp; Penduduk'!D276="","",'[1]0.1 Produksi Pangan &amp; Penduduk'!D276)</f>
        <v/>
      </c>
      <c r="E275" s="3" t="str">
        <f>IF('[1]0.1 Produksi Pangan &amp; Penduduk'!E276="","",'[1]0.1 Produksi Pangan &amp; Penduduk'!E276)</f>
        <v/>
      </c>
      <c r="F275" s="59" t="str">
        <f>IF(D275="","",VLOOKUP(D275,'[1]0.1 Produksi Pangan &amp; Penduduk'!$D$5:$J$860,7,0))</f>
        <v/>
      </c>
      <c r="G275" s="27" t="str">
        <f t="shared" si="40"/>
        <v/>
      </c>
      <c r="H275" s="27" t="str">
        <f t="shared" si="41"/>
        <v/>
      </c>
      <c r="I275" s="27" t="str">
        <f t="shared" si="42"/>
        <v/>
      </c>
      <c r="J275" s="27" t="str">
        <f t="shared" si="43"/>
        <v/>
      </c>
      <c r="K275" s="27" t="str">
        <f t="shared" si="44"/>
        <v/>
      </c>
      <c r="L275" s="59" t="str">
        <f>IF(D275="","",VLOOKUP(D275,'[1]0.1 Produksi Pangan &amp; Penduduk'!$D$5:$M$860,10,0))</f>
        <v/>
      </c>
      <c r="M275" s="28" t="str">
        <f t="shared" si="45"/>
        <v/>
      </c>
      <c r="N275" s="60" t="str">
        <f t="shared" si="46"/>
        <v/>
      </c>
      <c r="O275" s="60" t="str">
        <f t="shared" si="47"/>
        <v/>
      </c>
      <c r="P275" s="60" t="str">
        <f t="shared" si="48"/>
        <v/>
      </c>
      <c r="Q275" s="28" t="str">
        <f t="shared" si="49"/>
        <v/>
      </c>
    </row>
    <row r="276" spans="1:17" ht="15" x14ac:dyDescent="0.25">
      <c r="A276" s="3" t="str">
        <f>IF('[1]0.1 Produksi Pangan &amp; Penduduk'!A277="","",'[1]0.1 Produksi Pangan &amp; Penduduk'!A277)</f>
        <v/>
      </c>
      <c r="B276" s="2" t="str">
        <f>IF('[1]0.1 Produksi Pangan &amp; Penduduk'!B277="","",'[1]0.1 Produksi Pangan &amp; Penduduk'!B277)</f>
        <v/>
      </c>
      <c r="C276" s="2" t="str">
        <f>IF('[1]0.1 Produksi Pangan &amp; Penduduk'!F277="","",'[1]0.1 Produksi Pangan &amp; Penduduk'!F277)</f>
        <v/>
      </c>
      <c r="D276" s="3" t="str">
        <f>IF('[1]0.1 Produksi Pangan &amp; Penduduk'!D277="","",'[1]0.1 Produksi Pangan &amp; Penduduk'!D277)</f>
        <v/>
      </c>
      <c r="E276" s="3" t="str">
        <f>IF('[1]0.1 Produksi Pangan &amp; Penduduk'!E277="","",'[1]0.1 Produksi Pangan &amp; Penduduk'!E277)</f>
        <v/>
      </c>
      <c r="F276" s="59" t="str">
        <f>IF(D276="","",VLOOKUP(D276,'[1]0.1 Produksi Pangan &amp; Penduduk'!$D$5:$J$860,7,0))</f>
        <v/>
      </c>
      <c r="G276" s="27" t="str">
        <f t="shared" si="40"/>
        <v/>
      </c>
      <c r="H276" s="27" t="str">
        <f t="shared" si="41"/>
        <v/>
      </c>
      <c r="I276" s="27" t="str">
        <f t="shared" si="42"/>
        <v/>
      </c>
      <c r="J276" s="27" t="str">
        <f t="shared" si="43"/>
        <v/>
      </c>
      <c r="K276" s="27" t="str">
        <f t="shared" si="44"/>
        <v/>
      </c>
      <c r="L276" s="59" t="str">
        <f>IF(D276="","",VLOOKUP(D276,'[1]0.1 Produksi Pangan &amp; Penduduk'!$D$5:$M$860,10,0))</f>
        <v/>
      </c>
      <c r="M276" s="28" t="str">
        <f t="shared" si="45"/>
        <v/>
      </c>
      <c r="N276" s="60" t="str">
        <f t="shared" si="46"/>
        <v/>
      </c>
      <c r="O276" s="60" t="str">
        <f t="shared" si="47"/>
        <v/>
      </c>
      <c r="P276" s="60" t="str">
        <f t="shared" si="48"/>
        <v/>
      </c>
      <c r="Q276" s="28" t="str">
        <f t="shared" si="49"/>
        <v/>
      </c>
    </row>
    <row r="277" spans="1:17" ht="15" x14ac:dyDescent="0.25">
      <c r="A277" s="3" t="str">
        <f>IF('[1]0.1 Produksi Pangan &amp; Penduduk'!A278="","",'[1]0.1 Produksi Pangan &amp; Penduduk'!A278)</f>
        <v/>
      </c>
      <c r="B277" s="2" t="str">
        <f>IF('[1]0.1 Produksi Pangan &amp; Penduduk'!B278="","",'[1]0.1 Produksi Pangan &amp; Penduduk'!B278)</f>
        <v/>
      </c>
      <c r="C277" s="2" t="str">
        <f>IF('[1]0.1 Produksi Pangan &amp; Penduduk'!F278="","",'[1]0.1 Produksi Pangan &amp; Penduduk'!F278)</f>
        <v/>
      </c>
      <c r="D277" s="3" t="str">
        <f>IF('[1]0.1 Produksi Pangan &amp; Penduduk'!D278="","",'[1]0.1 Produksi Pangan &amp; Penduduk'!D278)</f>
        <v/>
      </c>
      <c r="E277" s="3" t="str">
        <f>IF('[1]0.1 Produksi Pangan &amp; Penduduk'!E278="","",'[1]0.1 Produksi Pangan &amp; Penduduk'!E278)</f>
        <v/>
      </c>
      <c r="F277" s="59" t="str">
        <f>IF(D277="","",VLOOKUP(D277,'[1]0.1 Produksi Pangan &amp; Penduduk'!$D$5:$J$860,7,0))</f>
        <v/>
      </c>
      <c r="G277" s="27" t="str">
        <f t="shared" si="40"/>
        <v/>
      </c>
      <c r="H277" s="27" t="str">
        <f t="shared" si="41"/>
        <v/>
      </c>
      <c r="I277" s="27" t="str">
        <f t="shared" si="42"/>
        <v/>
      </c>
      <c r="J277" s="27" t="str">
        <f t="shared" si="43"/>
        <v/>
      </c>
      <c r="K277" s="27" t="str">
        <f t="shared" si="44"/>
        <v/>
      </c>
      <c r="L277" s="59" t="str">
        <f>IF(D277="","",VLOOKUP(D277,'[1]0.1 Produksi Pangan &amp; Penduduk'!$D$5:$M$860,10,0))</f>
        <v/>
      </c>
      <c r="M277" s="28" t="str">
        <f t="shared" si="45"/>
        <v/>
      </c>
      <c r="N277" s="60" t="str">
        <f t="shared" si="46"/>
        <v/>
      </c>
      <c r="O277" s="60" t="str">
        <f t="shared" si="47"/>
        <v/>
      </c>
      <c r="P277" s="60" t="str">
        <f t="shared" si="48"/>
        <v/>
      </c>
      <c r="Q277" s="28" t="str">
        <f t="shared" si="49"/>
        <v/>
      </c>
    </row>
    <row r="278" spans="1:17" ht="15" x14ac:dyDescent="0.25">
      <c r="A278" s="3" t="str">
        <f>IF('[1]0.1 Produksi Pangan &amp; Penduduk'!A279="","",'[1]0.1 Produksi Pangan &amp; Penduduk'!A279)</f>
        <v/>
      </c>
      <c r="B278" s="2" t="str">
        <f>IF('[1]0.1 Produksi Pangan &amp; Penduduk'!B279="","",'[1]0.1 Produksi Pangan &amp; Penduduk'!B279)</f>
        <v/>
      </c>
      <c r="C278" s="2" t="str">
        <f>IF('[1]0.1 Produksi Pangan &amp; Penduduk'!F279="","",'[1]0.1 Produksi Pangan &amp; Penduduk'!F279)</f>
        <v/>
      </c>
      <c r="D278" s="3" t="str">
        <f>IF('[1]0.1 Produksi Pangan &amp; Penduduk'!D279="","",'[1]0.1 Produksi Pangan &amp; Penduduk'!D279)</f>
        <v/>
      </c>
      <c r="E278" s="3" t="str">
        <f>IF('[1]0.1 Produksi Pangan &amp; Penduduk'!E279="","",'[1]0.1 Produksi Pangan &amp; Penduduk'!E279)</f>
        <v/>
      </c>
      <c r="F278" s="59" t="str">
        <f>IF(D278="","",VLOOKUP(D278,'[1]0.1 Produksi Pangan &amp; Penduduk'!$D$5:$J$860,7,0))</f>
        <v/>
      </c>
      <c r="G278" s="27" t="str">
        <f t="shared" si="40"/>
        <v/>
      </c>
      <c r="H278" s="27" t="str">
        <f t="shared" si="41"/>
        <v/>
      </c>
      <c r="I278" s="27" t="str">
        <f t="shared" si="42"/>
        <v/>
      </c>
      <c r="J278" s="27" t="str">
        <f t="shared" si="43"/>
        <v/>
      </c>
      <c r="K278" s="27" t="str">
        <f t="shared" si="44"/>
        <v/>
      </c>
      <c r="L278" s="59" t="str">
        <f>IF(D278="","",VLOOKUP(D278,'[1]0.1 Produksi Pangan &amp; Penduduk'!$D$5:$M$860,10,0))</f>
        <v/>
      </c>
      <c r="M278" s="28" t="str">
        <f t="shared" si="45"/>
        <v/>
      </c>
      <c r="N278" s="60" t="str">
        <f t="shared" si="46"/>
        <v/>
      </c>
      <c r="O278" s="60" t="str">
        <f t="shared" si="47"/>
        <v/>
      </c>
      <c r="P278" s="60" t="str">
        <f t="shared" si="48"/>
        <v/>
      </c>
      <c r="Q278" s="28" t="str">
        <f t="shared" si="49"/>
        <v/>
      </c>
    </row>
    <row r="279" spans="1:17" ht="15" x14ac:dyDescent="0.25">
      <c r="A279" s="3" t="str">
        <f>IF('[1]0.1 Produksi Pangan &amp; Penduduk'!A280="","",'[1]0.1 Produksi Pangan &amp; Penduduk'!A280)</f>
        <v/>
      </c>
      <c r="B279" s="2" t="str">
        <f>IF('[1]0.1 Produksi Pangan &amp; Penduduk'!B280="","",'[1]0.1 Produksi Pangan &amp; Penduduk'!B280)</f>
        <v/>
      </c>
      <c r="C279" s="2" t="str">
        <f>IF('[1]0.1 Produksi Pangan &amp; Penduduk'!F280="","",'[1]0.1 Produksi Pangan &amp; Penduduk'!F280)</f>
        <v/>
      </c>
      <c r="D279" s="3" t="str">
        <f>IF('[1]0.1 Produksi Pangan &amp; Penduduk'!D280="","",'[1]0.1 Produksi Pangan &amp; Penduduk'!D280)</f>
        <v/>
      </c>
      <c r="E279" s="3" t="str">
        <f>IF('[1]0.1 Produksi Pangan &amp; Penduduk'!E280="","",'[1]0.1 Produksi Pangan &amp; Penduduk'!E280)</f>
        <v/>
      </c>
      <c r="F279" s="59" t="str">
        <f>IF(D279="","",VLOOKUP(D279,'[1]0.1 Produksi Pangan &amp; Penduduk'!$D$5:$J$860,7,0))</f>
        <v/>
      </c>
      <c r="G279" s="27" t="str">
        <f t="shared" si="40"/>
        <v/>
      </c>
      <c r="H279" s="27" t="str">
        <f t="shared" si="41"/>
        <v/>
      </c>
      <c r="I279" s="27" t="str">
        <f t="shared" si="42"/>
        <v/>
      </c>
      <c r="J279" s="27" t="str">
        <f t="shared" si="43"/>
        <v/>
      </c>
      <c r="K279" s="27" t="str">
        <f t="shared" si="44"/>
        <v/>
      </c>
      <c r="L279" s="59" t="str">
        <f>IF(D279="","",VLOOKUP(D279,'[1]0.1 Produksi Pangan &amp; Penduduk'!$D$5:$M$860,10,0))</f>
        <v/>
      </c>
      <c r="M279" s="28" t="str">
        <f t="shared" si="45"/>
        <v/>
      </c>
      <c r="N279" s="60" t="str">
        <f t="shared" si="46"/>
        <v/>
      </c>
      <c r="O279" s="60" t="str">
        <f t="shared" si="47"/>
        <v/>
      </c>
      <c r="P279" s="60" t="str">
        <f t="shared" si="48"/>
        <v/>
      </c>
      <c r="Q279" s="28" t="str">
        <f t="shared" si="49"/>
        <v/>
      </c>
    </row>
    <row r="280" spans="1:17" ht="15" x14ac:dyDescent="0.25">
      <c r="A280" s="3" t="str">
        <f>IF('[1]0.1 Produksi Pangan &amp; Penduduk'!A281="","",'[1]0.1 Produksi Pangan &amp; Penduduk'!A281)</f>
        <v/>
      </c>
      <c r="B280" s="2" t="str">
        <f>IF('[1]0.1 Produksi Pangan &amp; Penduduk'!B281="","",'[1]0.1 Produksi Pangan &amp; Penduduk'!B281)</f>
        <v/>
      </c>
      <c r="C280" s="2" t="str">
        <f>IF('[1]0.1 Produksi Pangan &amp; Penduduk'!F281="","",'[1]0.1 Produksi Pangan &amp; Penduduk'!F281)</f>
        <v/>
      </c>
      <c r="D280" s="3" t="str">
        <f>IF('[1]0.1 Produksi Pangan &amp; Penduduk'!D281="","",'[1]0.1 Produksi Pangan &amp; Penduduk'!D281)</f>
        <v/>
      </c>
      <c r="E280" s="3" t="str">
        <f>IF('[1]0.1 Produksi Pangan &amp; Penduduk'!E281="","",'[1]0.1 Produksi Pangan &amp; Penduduk'!E281)</f>
        <v/>
      </c>
      <c r="F280" s="59" t="str">
        <f>IF(D280="","",VLOOKUP(D280,'[1]0.1 Produksi Pangan &amp; Penduduk'!$D$5:$J$860,7,0))</f>
        <v/>
      </c>
      <c r="G280" s="27" t="str">
        <f t="shared" si="40"/>
        <v/>
      </c>
      <c r="H280" s="27" t="str">
        <f t="shared" si="41"/>
        <v/>
      </c>
      <c r="I280" s="27" t="str">
        <f t="shared" si="42"/>
        <v/>
      </c>
      <c r="J280" s="27" t="str">
        <f t="shared" si="43"/>
        <v/>
      </c>
      <c r="K280" s="27" t="str">
        <f t="shared" si="44"/>
        <v/>
      </c>
      <c r="L280" s="59" t="str">
        <f>IF(D280="","",VLOOKUP(D280,'[1]0.1 Produksi Pangan &amp; Penduduk'!$D$5:$M$860,10,0))</f>
        <v/>
      </c>
      <c r="M280" s="28" t="str">
        <f t="shared" si="45"/>
        <v/>
      </c>
      <c r="N280" s="60" t="str">
        <f t="shared" si="46"/>
        <v/>
      </c>
      <c r="O280" s="60" t="str">
        <f t="shared" si="47"/>
        <v/>
      </c>
      <c r="P280" s="60" t="str">
        <f t="shared" si="48"/>
        <v/>
      </c>
      <c r="Q280" s="28" t="str">
        <f t="shared" si="49"/>
        <v/>
      </c>
    </row>
    <row r="281" spans="1:17" ht="15" x14ac:dyDescent="0.25">
      <c r="A281" s="3" t="str">
        <f>IF('[1]0.1 Produksi Pangan &amp; Penduduk'!A282="","",'[1]0.1 Produksi Pangan &amp; Penduduk'!A282)</f>
        <v/>
      </c>
      <c r="B281" s="2" t="str">
        <f>IF('[1]0.1 Produksi Pangan &amp; Penduduk'!B282="","",'[1]0.1 Produksi Pangan &amp; Penduduk'!B282)</f>
        <v/>
      </c>
      <c r="C281" s="2" t="str">
        <f>IF('[1]0.1 Produksi Pangan &amp; Penduduk'!F282="","",'[1]0.1 Produksi Pangan &amp; Penduduk'!F282)</f>
        <v/>
      </c>
      <c r="D281" s="3" t="str">
        <f>IF('[1]0.1 Produksi Pangan &amp; Penduduk'!D282="","",'[1]0.1 Produksi Pangan &amp; Penduduk'!D282)</f>
        <v/>
      </c>
      <c r="E281" s="3" t="str">
        <f>IF('[1]0.1 Produksi Pangan &amp; Penduduk'!E282="","",'[1]0.1 Produksi Pangan &amp; Penduduk'!E282)</f>
        <v/>
      </c>
      <c r="F281" s="59" t="str">
        <f>IF(D281="","",VLOOKUP(D281,'[1]0.1 Produksi Pangan &amp; Penduduk'!$D$5:$J$860,7,0))</f>
        <v/>
      </c>
      <c r="G281" s="27" t="str">
        <f t="shared" si="40"/>
        <v/>
      </c>
      <c r="H281" s="27" t="str">
        <f t="shared" si="41"/>
        <v/>
      </c>
      <c r="I281" s="27" t="str">
        <f t="shared" si="42"/>
        <v/>
      </c>
      <c r="J281" s="27" t="str">
        <f t="shared" si="43"/>
        <v/>
      </c>
      <c r="K281" s="27" t="str">
        <f t="shared" si="44"/>
        <v/>
      </c>
      <c r="L281" s="59" t="str">
        <f>IF(D281="","",VLOOKUP(D281,'[1]0.1 Produksi Pangan &amp; Penduduk'!$D$5:$M$860,10,0))</f>
        <v/>
      </c>
      <c r="M281" s="28" t="str">
        <f t="shared" si="45"/>
        <v/>
      </c>
      <c r="N281" s="60" t="str">
        <f t="shared" si="46"/>
        <v/>
      </c>
      <c r="O281" s="60" t="str">
        <f t="shared" si="47"/>
        <v/>
      </c>
      <c r="P281" s="60" t="str">
        <f t="shared" si="48"/>
        <v/>
      </c>
      <c r="Q281" s="28" t="str">
        <f t="shared" si="49"/>
        <v/>
      </c>
    </row>
    <row r="282" spans="1:17" ht="15" x14ac:dyDescent="0.25">
      <c r="A282" s="3" t="str">
        <f>IF('[1]0.1 Produksi Pangan &amp; Penduduk'!A283="","",'[1]0.1 Produksi Pangan &amp; Penduduk'!A283)</f>
        <v/>
      </c>
      <c r="B282" s="2" t="str">
        <f>IF('[1]0.1 Produksi Pangan &amp; Penduduk'!B283="","",'[1]0.1 Produksi Pangan &amp; Penduduk'!B283)</f>
        <v/>
      </c>
      <c r="C282" s="2" t="str">
        <f>IF('[1]0.1 Produksi Pangan &amp; Penduduk'!F283="","",'[1]0.1 Produksi Pangan &amp; Penduduk'!F283)</f>
        <v/>
      </c>
      <c r="D282" s="3" t="str">
        <f>IF('[1]0.1 Produksi Pangan &amp; Penduduk'!D283="","",'[1]0.1 Produksi Pangan &amp; Penduduk'!D283)</f>
        <v/>
      </c>
      <c r="E282" s="3" t="str">
        <f>IF('[1]0.1 Produksi Pangan &amp; Penduduk'!E283="","",'[1]0.1 Produksi Pangan &amp; Penduduk'!E283)</f>
        <v/>
      </c>
      <c r="F282" s="59" t="str">
        <f>IF(D282="","",VLOOKUP(D282,'[1]0.1 Produksi Pangan &amp; Penduduk'!$D$5:$J$860,7,0))</f>
        <v/>
      </c>
      <c r="G282" s="27" t="str">
        <f t="shared" si="40"/>
        <v/>
      </c>
      <c r="H282" s="27" t="str">
        <f t="shared" si="41"/>
        <v/>
      </c>
      <c r="I282" s="27" t="str">
        <f t="shared" si="42"/>
        <v/>
      </c>
      <c r="J282" s="27" t="str">
        <f t="shared" si="43"/>
        <v/>
      </c>
      <c r="K282" s="27" t="str">
        <f t="shared" si="44"/>
        <v/>
      </c>
      <c r="L282" s="59" t="str">
        <f>IF(D282="","",VLOOKUP(D282,'[1]0.1 Produksi Pangan &amp; Penduduk'!$D$5:$M$860,10,0))</f>
        <v/>
      </c>
      <c r="M282" s="28" t="str">
        <f t="shared" si="45"/>
        <v/>
      </c>
      <c r="N282" s="60" t="str">
        <f t="shared" si="46"/>
        <v/>
      </c>
      <c r="O282" s="60" t="str">
        <f t="shared" si="47"/>
        <v/>
      </c>
      <c r="P282" s="60" t="str">
        <f t="shared" si="48"/>
        <v/>
      </c>
      <c r="Q282" s="28" t="str">
        <f t="shared" si="49"/>
        <v/>
      </c>
    </row>
    <row r="283" spans="1:17" ht="15" x14ac:dyDescent="0.25">
      <c r="A283" s="3" t="str">
        <f>IF('[1]0.1 Produksi Pangan &amp; Penduduk'!A284="","",'[1]0.1 Produksi Pangan &amp; Penduduk'!A284)</f>
        <v/>
      </c>
      <c r="B283" s="2" t="str">
        <f>IF('[1]0.1 Produksi Pangan &amp; Penduduk'!B284="","",'[1]0.1 Produksi Pangan &amp; Penduduk'!B284)</f>
        <v/>
      </c>
      <c r="C283" s="2" t="str">
        <f>IF('[1]0.1 Produksi Pangan &amp; Penduduk'!F284="","",'[1]0.1 Produksi Pangan &amp; Penduduk'!F284)</f>
        <v/>
      </c>
      <c r="D283" s="3" t="str">
        <f>IF('[1]0.1 Produksi Pangan &amp; Penduduk'!D284="","",'[1]0.1 Produksi Pangan &amp; Penduduk'!D284)</f>
        <v/>
      </c>
      <c r="E283" s="3" t="str">
        <f>IF('[1]0.1 Produksi Pangan &amp; Penduduk'!E284="","",'[1]0.1 Produksi Pangan &amp; Penduduk'!E284)</f>
        <v/>
      </c>
      <c r="F283" s="59" t="str">
        <f>IF(D283="","",VLOOKUP(D283,'[1]0.1 Produksi Pangan &amp; Penduduk'!$D$5:$J$860,7,0))</f>
        <v/>
      </c>
      <c r="G283" s="27" t="str">
        <f t="shared" si="40"/>
        <v/>
      </c>
      <c r="H283" s="27" t="str">
        <f t="shared" si="41"/>
        <v/>
      </c>
      <c r="I283" s="27" t="str">
        <f t="shared" si="42"/>
        <v/>
      </c>
      <c r="J283" s="27" t="str">
        <f t="shared" si="43"/>
        <v/>
      </c>
      <c r="K283" s="27" t="str">
        <f t="shared" si="44"/>
        <v/>
      </c>
      <c r="L283" s="59" t="str">
        <f>IF(D283="","",VLOOKUP(D283,'[1]0.1 Produksi Pangan &amp; Penduduk'!$D$5:$M$860,10,0))</f>
        <v/>
      </c>
      <c r="M283" s="28" t="str">
        <f t="shared" si="45"/>
        <v/>
      </c>
      <c r="N283" s="60" t="str">
        <f t="shared" si="46"/>
        <v/>
      </c>
      <c r="O283" s="60" t="str">
        <f t="shared" si="47"/>
        <v/>
      </c>
      <c r="P283" s="60" t="str">
        <f t="shared" si="48"/>
        <v/>
      </c>
      <c r="Q283" s="28" t="str">
        <f t="shared" si="49"/>
        <v/>
      </c>
    </row>
    <row r="284" spans="1:17" ht="15" x14ac:dyDescent="0.25">
      <c r="A284" s="3" t="str">
        <f>IF('[1]0.1 Produksi Pangan &amp; Penduduk'!A285="","",'[1]0.1 Produksi Pangan &amp; Penduduk'!A285)</f>
        <v/>
      </c>
      <c r="B284" s="2" t="str">
        <f>IF('[1]0.1 Produksi Pangan &amp; Penduduk'!B285="","",'[1]0.1 Produksi Pangan &amp; Penduduk'!B285)</f>
        <v/>
      </c>
      <c r="C284" s="2" t="str">
        <f>IF('[1]0.1 Produksi Pangan &amp; Penduduk'!F285="","",'[1]0.1 Produksi Pangan &amp; Penduduk'!F285)</f>
        <v/>
      </c>
      <c r="D284" s="3" t="str">
        <f>IF('[1]0.1 Produksi Pangan &amp; Penduduk'!D285="","",'[1]0.1 Produksi Pangan &amp; Penduduk'!D285)</f>
        <v/>
      </c>
      <c r="E284" s="3" t="str">
        <f>IF('[1]0.1 Produksi Pangan &amp; Penduduk'!E285="","",'[1]0.1 Produksi Pangan &amp; Penduduk'!E285)</f>
        <v/>
      </c>
      <c r="F284" s="59" t="str">
        <f>IF(D284="","",VLOOKUP(D284,'[1]0.1 Produksi Pangan &amp; Penduduk'!$D$5:$J$860,7,0))</f>
        <v/>
      </c>
      <c r="G284" s="27" t="str">
        <f t="shared" si="40"/>
        <v/>
      </c>
      <c r="H284" s="27" t="str">
        <f t="shared" si="41"/>
        <v/>
      </c>
      <c r="I284" s="27" t="str">
        <f t="shared" si="42"/>
        <v/>
      </c>
      <c r="J284" s="27" t="str">
        <f t="shared" si="43"/>
        <v/>
      </c>
      <c r="K284" s="27" t="str">
        <f t="shared" si="44"/>
        <v/>
      </c>
      <c r="L284" s="59" t="str">
        <f>IF(D284="","",VLOOKUP(D284,'[1]0.1 Produksi Pangan &amp; Penduduk'!$D$5:$M$860,10,0))</f>
        <v/>
      </c>
      <c r="M284" s="28" t="str">
        <f t="shared" si="45"/>
        <v/>
      </c>
      <c r="N284" s="60" t="str">
        <f t="shared" si="46"/>
        <v/>
      </c>
      <c r="O284" s="60" t="str">
        <f t="shared" si="47"/>
        <v/>
      </c>
      <c r="P284" s="60" t="str">
        <f t="shared" si="48"/>
        <v/>
      </c>
      <c r="Q284" s="28" t="str">
        <f t="shared" si="49"/>
        <v/>
      </c>
    </row>
    <row r="285" spans="1:17" ht="15" x14ac:dyDescent="0.25">
      <c r="A285" s="3" t="str">
        <f>IF('[1]0.1 Produksi Pangan &amp; Penduduk'!A286="","",'[1]0.1 Produksi Pangan &amp; Penduduk'!A286)</f>
        <v/>
      </c>
      <c r="B285" s="2" t="str">
        <f>IF('[1]0.1 Produksi Pangan &amp; Penduduk'!B286="","",'[1]0.1 Produksi Pangan &amp; Penduduk'!B286)</f>
        <v/>
      </c>
      <c r="C285" s="2" t="str">
        <f>IF('[1]0.1 Produksi Pangan &amp; Penduduk'!F286="","",'[1]0.1 Produksi Pangan &amp; Penduduk'!F286)</f>
        <v/>
      </c>
      <c r="D285" s="3" t="str">
        <f>IF('[1]0.1 Produksi Pangan &amp; Penduduk'!D286="","",'[1]0.1 Produksi Pangan &amp; Penduduk'!D286)</f>
        <v/>
      </c>
      <c r="E285" s="3" t="str">
        <f>IF('[1]0.1 Produksi Pangan &amp; Penduduk'!E286="","",'[1]0.1 Produksi Pangan &amp; Penduduk'!E286)</f>
        <v/>
      </c>
      <c r="F285" s="59" t="str">
        <f>IF(D285="","",VLOOKUP(D285,'[1]0.1 Produksi Pangan &amp; Penduduk'!$D$5:$J$860,7,0))</f>
        <v/>
      </c>
      <c r="G285" s="27" t="str">
        <f t="shared" si="40"/>
        <v/>
      </c>
      <c r="H285" s="27" t="str">
        <f t="shared" si="41"/>
        <v/>
      </c>
      <c r="I285" s="27" t="str">
        <f t="shared" si="42"/>
        <v/>
      </c>
      <c r="J285" s="27" t="str">
        <f t="shared" si="43"/>
        <v/>
      </c>
      <c r="K285" s="27" t="str">
        <f t="shared" si="44"/>
        <v/>
      </c>
      <c r="L285" s="59" t="str">
        <f>IF(D285="","",VLOOKUP(D285,'[1]0.1 Produksi Pangan &amp; Penduduk'!$D$5:$M$860,10,0))</f>
        <v/>
      </c>
      <c r="M285" s="28" t="str">
        <f t="shared" si="45"/>
        <v/>
      </c>
      <c r="N285" s="60" t="str">
        <f t="shared" si="46"/>
        <v/>
      </c>
      <c r="O285" s="60" t="str">
        <f t="shared" si="47"/>
        <v/>
      </c>
      <c r="P285" s="60" t="str">
        <f t="shared" si="48"/>
        <v/>
      </c>
      <c r="Q285" s="28" t="str">
        <f t="shared" si="49"/>
        <v/>
      </c>
    </row>
    <row r="286" spans="1:17" ht="15" x14ac:dyDescent="0.25">
      <c r="A286" s="3" t="str">
        <f>IF('[1]0.1 Produksi Pangan &amp; Penduduk'!A287="","",'[1]0.1 Produksi Pangan &amp; Penduduk'!A287)</f>
        <v/>
      </c>
      <c r="B286" s="2" t="str">
        <f>IF('[1]0.1 Produksi Pangan &amp; Penduduk'!B287="","",'[1]0.1 Produksi Pangan &amp; Penduduk'!B287)</f>
        <v/>
      </c>
      <c r="C286" s="2" t="str">
        <f>IF('[1]0.1 Produksi Pangan &amp; Penduduk'!F287="","",'[1]0.1 Produksi Pangan &amp; Penduduk'!F287)</f>
        <v/>
      </c>
      <c r="D286" s="3" t="str">
        <f>IF('[1]0.1 Produksi Pangan &amp; Penduduk'!D287="","",'[1]0.1 Produksi Pangan &amp; Penduduk'!D287)</f>
        <v/>
      </c>
      <c r="E286" s="3" t="str">
        <f>IF('[1]0.1 Produksi Pangan &amp; Penduduk'!E287="","",'[1]0.1 Produksi Pangan &amp; Penduduk'!E287)</f>
        <v/>
      </c>
      <c r="F286" s="59" t="str">
        <f>IF(D286="","",VLOOKUP(D286,'[1]0.1 Produksi Pangan &amp; Penduduk'!$D$5:$J$860,7,0))</f>
        <v/>
      </c>
      <c r="G286" s="27" t="str">
        <f t="shared" si="40"/>
        <v/>
      </c>
      <c r="H286" s="27" t="str">
        <f t="shared" si="41"/>
        <v/>
      </c>
      <c r="I286" s="27" t="str">
        <f t="shared" si="42"/>
        <v/>
      </c>
      <c r="J286" s="27" t="str">
        <f t="shared" si="43"/>
        <v/>
      </c>
      <c r="K286" s="27" t="str">
        <f t="shared" si="44"/>
        <v/>
      </c>
      <c r="L286" s="59" t="str">
        <f>IF(D286="","",VLOOKUP(D286,'[1]0.1 Produksi Pangan &amp; Penduduk'!$D$5:$M$860,10,0))</f>
        <v/>
      </c>
      <c r="M286" s="28" t="str">
        <f t="shared" si="45"/>
        <v/>
      </c>
      <c r="N286" s="60" t="str">
        <f t="shared" si="46"/>
        <v/>
      </c>
      <c r="O286" s="60" t="str">
        <f t="shared" si="47"/>
        <v/>
      </c>
      <c r="P286" s="60" t="str">
        <f t="shared" si="48"/>
        <v/>
      </c>
      <c r="Q286" s="28" t="str">
        <f t="shared" si="49"/>
        <v/>
      </c>
    </row>
    <row r="287" spans="1:17" ht="15" x14ac:dyDescent="0.25">
      <c r="A287" s="3" t="str">
        <f>IF('[1]0.1 Produksi Pangan &amp; Penduduk'!A288="","",'[1]0.1 Produksi Pangan &amp; Penduduk'!A288)</f>
        <v/>
      </c>
      <c r="B287" s="2" t="str">
        <f>IF('[1]0.1 Produksi Pangan &amp; Penduduk'!B288="","",'[1]0.1 Produksi Pangan &amp; Penduduk'!B288)</f>
        <v/>
      </c>
      <c r="C287" s="2" t="str">
        <f>IF('[1]0.1 Produksi Pangan &amp; Penduduk'!F288="","",'[1]0.1 Produksi Pangan &amp; Penduduk'!F288)</f>
        <v/>
      </c>
      <c r="D287" s="3" t="str">
        <f>IF('[1]0.1 Produksi Pangan &amp; Penduduk'!D288="","",'[1]0.1 Produksi Pangan &amp; Penduduk'!D288)</f>
        <v/>
      </c>
      <c r="E287" s="3" t="str">
        <f>IF('[1]0.1 Produksi Pangan &amp; Penduduk'!E288="","",'[1]0.1 Produksi Pangan &amp; Penduduk'!E288)</f>
        <v/>
      </c>
      <c r="F287" s="59" t="str">
        <f>IF(D287="","",VLOOKUP(D287,'[1]0.1 Produksi Pangan &amp; Penduduk'!$D$5:$J$860,7,0))</f>
        <v/>
      </c>
      <c r="G287" s="27" t="str">
        <f t="shared" si="40"/>
        <v/>
      </c>
      <c r="H287" s="27" t="str">
        <f t="shared" si="41"/>
        <v/>
      </c>
      <c r="I287" s="27" t="str">
        <f t="shared" si="42"/>
        <v/>
      </c>
      <c r="J287" s="27" t="str">
        <f t="shared" si="43"/>
        <v/>
      </c>
      <c r="K287" s="27" t="str">
        <f t="shared" si="44"/>
        <v/>
      </c>
      <c r="L287" s="59" t="str">
        <f>IF(D287="","",VLOOKUP(D287,'[1]0.1 Produksi Pangan &amp; Penduduk'!$D$5:$M$860,10,0))</f>
        <v/>
      </c>
      <c r="M287" s="28" t="str">
        <f t="shared" si="45"/>
        <v/>
      </c>
      <c r="N287" s="60" t="str">
        <f t="shared" si="46"/>
        <v/>
      </c>
      <c r="O287" s="60" t="str">
        <f t="shared" si="47"/>
        <v/>
      </c>
      <c r="P287" s="60" t="str">
        <f t="shared" si="48"/>
        <v/>
      </c>
      <c r="Q287" s="28" t="str">
        <f t="shared" si="49"/>
        <v/>
      </c>
    </row>
    <row r="288" spans="1:17" ht="15" x14ac:dyDescent="0.25">
      <c r="A288" s="3" t="str">
        <f>IF('[1]0.1 Produksi Pangan &amp; Penduduk'!A289="","",'[1]0.1 Produksi Pangan &amp; Penduduk'!A289)</f>
        <v/>
      </c>
      <c r="B288" s="2" t="str">
        <f>IF('[1]0.1 Produksi Pangan &amp; Penduduk'!B289="","",'[1]0.1 Produksi Pangan &amp; Penduduk'!B289)</f>
        <v/>
      </c>
      <c r="C288" s="2" t="str">
        <f>IF('[1]0.1 Produksi Pangan &amp; Penduduk'!F289="","",'[1]0.1 Produksi Pangan &amp; Penduduk'!F289)</f>
        <v/>
      </c>
      <c r="D288" s="3" t="str">
        <f>IF('[1]0.1 Produksi Pangan &amp; Penduduk'!D289="","",'[1]0.1 Produksi Pangan &amp; Penduduk'!D289)</f>
        <v/>
      </c>
      <c r="E288" s="3" t="str">
        <f>IF('[1]0.1 Produksi Pangan &amp; Penduduk'!E289="","",'[1]0.1 Produksi Pangan &amp; Penduduk'!E289)</f>
        <v/>
      </c>
      <c r="F288" s="59" t="str">
        <f>IF(D288="","",VLOOKUP(D288,'[1]0.1 Produksi Pangan &amp; Penduduk'!$D$5:$J$860,7,0))</f>
        <v/>
      </c>
      <c r="G288" s="27" t="str">
        <f t="shared" si="40"/>
        <v/>
      </c>
      <c r="H288" s="27" t="str">
        <f t="shared" si="41"/>
        <v/>
      </c>
      <c r="I288" s="27" t="str">
        <f t="shared" si="42"/>
        <v/>
      </c>
      <c r="J288" s="27" t="str">
        <f t="shared" si="43"/>
        <v/>
      </c>
      <c r="K288" s="27" t="str">
        <f t="shared" si="44"/>
        <v/>
      </c>
      <c r="L288" s="59" t="str">
        <f>IF(D288="","",VLOOKUP(D288,'[1]0.1 Produksi Pangan &amp; Penduduk'!$D$5:$M$860,10,0))</f>
        <v/>
      </c>
      <c r="M288" s="28" t="str">
        <f t="shared" si="45"/>
        <v/>
      </c>
      <c r="N288" s="60" t="str">
        <f t="shared" si="46"/>
        <v/>
      </c>
      <c r="O288" s="60" t="str">
        <f t="shared" si="47"/>
        <v/>
      </c>
      <c r="P288" s="60" t="str">
        <f t="shared" si="48"/>
        <v/>
      </c>
      <c r="Q288" s="28" t="str">
        <f t="shared" si="49"/>
        <v/>
      </c>
    </row>
    <row r="289" spans="1:17" ht="15" x14ac:dyDescent="0.25">
      <c r="A289" s="3" t="str">
        <f>IF('[1]0.1 Produksi Pangan &amp; Penduduk'!A290="","",'[1]0.1 Produksi Pangan &amp; Penduduk'!A290)</f>
        <v/>
      </c>
      <c r="B289" s="2" t="str">
        <f>IF('[1]0.1 Produksi Pangan &amp; Penduduk'!B290="","",'[1]0.1 Produksi Pangan &amp; Penduduk'!B290)</f>
        <v/>
      </c>
      <c r="C289" s="2" t="str">
        <f>IF('[1]0.1 Produksi Pangan &amp; Penduduk'!F290="","",'[1]0.1 Produksi Pangan &amp; Penduduk'!F290)</f>
        <v/>
      </c>
      <c r="D289" s="3" t="str">
        <f>IF('[1]0.1 Produksi Pangan &amp; Penduduk'!D290="","",'[1]0.1 Produksi Pangan &amp; Penduduk'!D290)</f>
        <v/>
      </c>
      <c r="E289" s="3" t="str">
        <f>IF('[1]0.1 Produksi Pangan &amp; Penduduk'!E290="","",'[1]0.1 Produksi Pangan &amp; Penduduk'!E290)</f>
        <v/>
      </c>
      <c r="F289" s="59" t="str">
        <f>IF(D289="","",VLOOKUP(D289,'[1]0.1 Produksi Pangan &amp; Penduduk'!$D$5:$J$860,7,0))</f>
        <v/>
      </c>
      <c r="G289" s="27" t="str">
        <f t="shared" si="40"/>
        <v/>
      </c>
      <c r="H289" s="27" t="str">
        <f t="shared" si="41"/>
        <v/>
      </c>
      <c r="I289" s="27" t="str">
        <f t="shared" si="42"/>
        <v/>
      </c>
      <c r="J289" s="27" t="str">
        <f t="shared" si="43"/>
        <v/>
      </c>
      <c r="K289" s="27" t="str">
        <f t="shared" si="44"/>
        <v/>
      </c>
      <c r="L289" s="59" t="str">
        <f>IF(D289="","",VLOOKUP(D289,'[1]0.1 Produksi Pangan &amp; Penduduk'!$D$5:$M$860,10,0))</f>
        <v/>
      </c>
      <c r="M289" s="28" t="str">
        <f t="shared" si="45"/>
        <v/>
      </c>
      <c r="N289" s="60" t="str">
        <f t="shared" si="46"/>
        <v/>
      </c>
      <c r="O289" s="60" t="str">
        <f t="shared" si="47"/>
        <v/>
      </c>
      <c r="P289" s="60" t="str">
        <f t="shared" si="48"/>
        <v/>
      </c>
      <c r="Q289" s="28" t="str">
        <f t="shared" si="49"/>
        <v/>
      </c>
    </row>
    <row r="290" spans="1:17" ht="15" x14ac:dyDescent="0.25">
      <c r="A290" s="3" t="str">
        <f>IF('[1]0.1 Produksi Pangan &amp; Penduduk'!A291="","",'[1]0.1 Produksi Pangan &amp; Penduduk'!A291)</f>
        <v/>
      </c>
      <c r="B290" s="2" t="str">
        <f>IF('[1]0.1 Produksi Pangan &amp; Penduduk'!B291="","",'[1]0.1 Produksi Pangan &amp; Penduduk'!B291)</f>
        <v/>
      </c>
      <c r="C290" s="2" t="str">
        <f>IF('[1]0.1 Produksi Pangan &amp; Penduduk'!F291="","",'[1]0.1 Produksi Pangan &amp; Penduduk'!F291)</f>
        <v/>
      </c>
      <c r="D290" s="3" t="str">
        <f>IF('[1]0.1 Produksi Pangan &amp; Penduduk'!D291="","",'[1]0.1 Produksi Pangan &amp; Penduduk'!D291)</f>
        <v/>
      </c>
      <c r="E290" s="3" t="str">
        <f>IF('[1]0.1 Produksi Pangan &amp; Penduduk'!E291="","",'[1]0.1 Produksi Pangan &amp; Penduduk'!E291)</f>
        <v/>
      </c>
      <c r="F290" s="59" t="str">
        <f>IF(D290="","",VLOOKUP(D290,'[1]0.1 Produksi Pangan &amp; Penduduk'!$D$5:$J$860,7,0))</f>
        <v/>
      </c>
      <c r="G290" s="27" t="str">
        <f t="shared" si="40"/>
        <v/>
      </c>
      <c r="H290" s="27" t="str">
        <f t="shared" si="41"/>
        <v/>
      </c>
      <c r="I290" s="27" t="str">
        <f t="shared" si="42"/>
        <v/>
      </c>
      <c r="J290" s="27" t="str">
        <f t="shared" si="43"/>
        <v/>
      </c>
      <c r="K290" s="27" t="str">
        <f t="shared" si="44"/>
        <v/>
      </c>
      <c r="L290" s="59" t="str">
        <f>IF(D290="","",VLOOKUP(D290,'[1]0.1 Produksi Pangan &amp; Penduduk'!$D$5:$M$860,10,0))</f>
        <v/>
      </c>
      <c r="M290" s="28" t="str">
        <f t="shared" si="45"/>
        <v/>
      </c>
      <c r="N290" s="60" t="str">
        <f t="shared" si="46"/>
        <v/>
      </c>
      <c r="O290" s="60" t="str">
        <f t="shared" si="47"/>
        <v/>
      </c>
      <c r="P290" s="60" t="str">
        <f t="shared" si="48"/>
        <v/>
      </c>
      <c r="Q290" s="28" t="str">
        <f t="shared" si="49"/>
        <v/>
      </c>
    </row>
    <row r="291" spans="1:17" ht="15" x14ac:dyDescent="0.25">
      <c r="A291" s="3" t="str">
        <f>IF('[1]0.1 Produksi Pangan &amp; Penduduk'!A292="","",'[1]0.1 Produksi Pangan &amp; Penduduk'!A292)</f>
        <v/>
      </c>
      <c r="B291" s="2" t="str">
        <f>IF('[1]0.1 Produksi Pangan &amp; Penduduk'!B292="","",'[1]0.1 Produksi Pangan &amp; Penduduk'!B292)</f>
        <v/>
      </c>
      <c r="C291" s="2" t="str">
        <f>IF('[1]0.1 Produksi Pangan &amp; Penduduk'!F292="","",'[1]0.1 Produksi Pangan &amp; Penduduk'!F292)</f>
        <v/>
      </c>
      <c r="D291" s="3" t="str">
        <f>IF('[1]0.1 Produksi Pangan &amp; Penduduk'!D292="","",'[1]0.1 Produksi Pangan &amp; Penduduk'!D292)</f>
        <v/>
      </c>
      <c r="E291" s="3" t="str">
        <f>IF('[1]0.1 Produksi Pangan &amp; Penduduk'!E292="","",'[1]0.1 Produksi Pangan &amp; Penduduk'!E292)</f>
        <v/>
      </c>
      <c r="F291" s="59" t="str">
        <f>IF(D291="","",VLOOKUP(D291,'[1]0.1 Produksi Pangan &amp; Penduduk'!$D$5:$J$860,7,0))</f>
        <v/>
      </c>
      <c r="G291" s="27" t="str">
        <f t="shared" si="40"/>
        <v/>
      </c>
      <c r="H291" s="27" t="str">
        <f t="shared" si="41"/>
        <v/>
      </c>
      <c r="I291" s="27" t="str">
        <f t="shared" si="42"/>
        <v/>
      </c>
      <c r="J291" s="27" t="str">
        <f t="shared" si="43"/>
        <v/>
      </c>
      <c r="K291" s="27" t="str">
        <f t="shared" si="44"/>
        <v/>
      </c>
      <c r="L291" s="59" t="str">
        <f>IF(D291="","",VLOOKUP(D291,'[1]0.1 Produksi Pangan &amp; Penduduk'!$D$5:$M$860,10,0))</f>
        <v/>
      </c>
      <c r="M291" s="28" t="str">
        <f t="shared" si="45"/>
        <v/>
      </c>
      <c r="N291" s="60" t="str">
        <f t="shared" si="46"/>
        <v/>
      </c>
      <c r="O291" s="60" t="str">
        <f t="shared" si="47"/>
        <v/>
      </c>
      <c r="P291" s="60" t="str">
        <f t="shared" si="48"/>
        <v/>
      </c>
      <c r="Q291" s="28" t="str">
        <f t="shared" si="49"/>
        <v/>
      </c>
    </row>
    <row r="292" spans="1:17" ht="15" x14ac:dyDescent="0.25">
      <c r="A292" s="3" t="str">
        <f>IF('[1]0.1 Produksi Pangan &amp; Penduduk'!A293="","",'[1]0.1 Produksi Pangan &amp; Penduduk'!A293)</f>
        <v/>
      </c>
      <c r="B292" s="2" t="str">
        <f>IF('[1]0.1 Produksi Pangan &amp; Penduduk'!B293="","",'[1]0.1 Produksi Pangan &amp; Penduduk'!B293)</f>
        <v/>
      </c>
      <c r="C292" s="2" t="str">
        <f>IF('[1]0.1 Produksi Pangan &amp; Penduduk'!F293="","",'[1]0.1 Produksi Pangan &amp; Penduduk'!F293)</f>
        <v/>
      </c>
      <c r="D292" s="3" t="str">
        <f>IF('[1]0.1 Produksi Pangan &amp; Penduduk'!D293="","",'[1]0.1 Produksi Pangan &amp; Penduduk'!D293)</f>
        <v/>
      </c>
      <c r="E292" s="3" t="str">
        <f>IF('[1]0.1 Produksi Pangan &amp; Penduduk'!E293="","",'[1]0.1 Produksi Pangan &amp; Penduduk'!E293)</f>
        <v/>
      </c>
      <c r="F292" s="59" t="str">
        <f>IF(D292="","",VLOOKUP(D292,'[1]0.1 Produksi Pangan &amp; Penduduk'!$D$5:$J$860,7,0))</f>
        <v/>
      </c>
      <c r="G292" s="27" t="str">
        <f t="shared" si="40"/>
        <v/>
      </c>
      <c r="H292" s="27" t="str">
        <f t="shared" si="41"/>
        <v/>
      </c>
      <c r="I292" s="27" t="str">
        <f t="shared" si="42"/>
        <v/>
      </c>
      <c r="J292" s="27" t="str">
        <f t="shared" si="43"/>
        <v/>
      </c>
      <c r="K292" s="27" t="str">
        <f t="shared" si="44"/>
        <v/>
      </c>
      <c r="L292" s="59" t="str">
        <f>IF(D292="","",VLOOKUP(D292,'[1]0.1 Produksi Pangan &amp; Penduduk'!$D$5:$M$860,10,0))</f>
        <v/>
      </c>
      <c r="M292" s="28" t="str">
        <f t="shared" si="45"/>
        <v/>
      </c>
      <c r="N292" s="60" t="str">
        <f t="shared" si="46"/>
        <v/>
      </c>
      <c r="O292" s="60" t="str">
        <f t="shared" si="47"/>
        <v/>
      </c>
      <c r="P292" s="60" t="str">
        <f t="shared" si="48"/>
        <v/>
      </c>
      <c r="Q292" s="28" t="str">
        <f t="shared" si="49"/>
        <v/>
      </c>
    </row>
    <row r="293" spans="1:17" ht="15" x14ac:dyDescent="0.25">
      <c r="A293" s="3" t="str">
        <f>IF('[1]0.1 Produksi Pangan &amp; Penduduk'!A294="","",'[1]0.1 Produksi Pangan &amp; Penduduk'!A294)</f>
        <v/>
      </c>
      <c r="B293" s="2" t="str">
        <f>IF('[1]0.1 Produksi Pangan &amp; Penduduk'!B294="","",'[1]0.1 Produksi Pangan &amp; Penduduk'!B294)</f>
        <v/>
      </c>
      <c r="C293" s="2" t="str">
        <f>IF('[1]0.1 Produksi Pangan &amp; Penduduk'!F294="","",'[1]0.1 Produksi Pangan &amp; Penduduk'!F294)</f>
        <v/>
      </c>
      <c r="D293" s="3" t="str">
        <f>IF('[1]0.1 Produksi Pangan &amp; Penduduk'!D294="","",'[1]0.1 Produksi Pangan &amp; Penduduk'!D294)</f>
        <v/>
      </c>
      <c r="E293" s="3" t="str">
        <f>IF('[1]0.1 Produksi Pangan &amp; Penduduk'!E294="","",'[1]0.1 Produksi Pangan &amp; Penduduk'!E294)</f>
        <v/>
      </c>
      <c r="F293" s="59" t="str">
        <f>IF(D293="","",VLOOKUP(D293,'[1]0.1 Produksi Pangan &amp; Penduduk'!$D$5:$J$860,7,0))</f>
        <v/>
      </c>
      <c r="G293" s="27" t="str">
        <f t="shared" si="40"/>
        <v/>
      </c>
      <c r="H293" s="27" t="str">
        <f t="shared" si="41"/>
        <v/>
      </c>
      <c r="I293" s="27" t="str">
        <f t="shared" si="42"/>
        <v/>
      </c>
      <c r="J293" s="27" t="str">
        <f t="shared" si="43"/>
        <v/>
      </c>
      <c r="K293" s="27" t="str">
        <f t="shared" si="44"/>
        <v/>
      </c>
      <c r="L293" s="59" t="str">
        <f>IF(D293="","",VLOOKUP(D293,'[1]0.1 Produksi Pangan &amp; Penduduk'!$D$5:$M$860,10,0))</f>
        <v/>
      </c>
      <c r="M293" s="28" t="str">
        <f t="shared" si="45"/>
        <v/>
      </c>
      <c r="N293" s="60" t="str">
        <f t="shared" si="46"/>
        <v/>
      </c>
      <c r="O293" s="60" t="str">
        <f t="shared" si="47"/>
        <v/>
      </c>
      <c r="P293" s="60" t="str">
        <f t="shared" si="48"/>
        <v/>
      </c>
      <c r="Q293" s="28" t="str">
        <f t="shared" si="49"/>
        <v/>
      </c>
    </row>
    <row r="294" spans="1:17" ht="15" x14ac:dyDescent="0.25">
      <c r="A294" s="3" t="str">
        <f>IF('[1]0.1 Produksi Pangan &amp; Penduduk'!A295="","",'[1]0.1 Produksi Pangan &amp; Penduduk'!A295)</f>
        <v/>
      </c>
      <c r="B294" s="2" t="str">
        <f>IF('[1]0.1 Produksi Pangan &amp; Penduduk'!B295="","",'[1]0.1 Produksi Pangan &amp; Penduduk'!B295)</f>
        <v/>
      </c>
      <c r="C294" s="2" t="str">
        <f>IF('[1]0.1 Produksi Pangan &amp; Penduduk'!F295="","",'[1]0.1 Produksi Pangan &amp; Penduduk'!F295)</f>
        <v/>
      </c>
      <c r="D294" s="3" t="str">
        <f>IF('[1]0.1 Produksi Pangan &amp; Penduduk'!D295="","",'[1]0.1 Produksi Pangan &amp; Penduduk'!D295)</f>
        <v/>
      </c>
      <c r="E294" s="3" t="str">
        <f>IF('[1]0.1 Produksi Pangan &amp; Penduduk'!E295="","",'[1]0.1 Produksi Pangan &amp; Penduduk'!E295)</f>
        <v/>
      </c>
      <c r="F294" s="59" t="str">
        <f>IF(D294="","",VLOOKUP(D294,'[1]0.1 Produksi Pangan &amp; Penduduk'!$D$5:$J$860,7,0))</f>
        <v/>
      </c>
      <c r="G294" s="27" t="str">
        <f t="shared" si="40"/>
        <v/>
      </c>
      <c r="H294" s="27" t="str">
        <f t="shared" si="41"/>
        <v/>
      </c>
      <c r="I294" s="27" t="str">
        <f t="shared" si="42"/>
        <v/>
      </c>
      <c r="J294" s="27" t="str">
        <f t="shared" si="43"/>
        <v/>
      </c>
      <c r="K294" s="27" t="str">
        <f t="shared" si="44"/>
        <v/>
      </c>
      <c r="L294" s="59" t="str">
        <f>IF(D294="","",VLOOKUP(D294,'[1]0.1 Produksi Pangan &amp; Penduduk'!$D$5:$M$860,10,0))</f>
        <v/>
      </c>
      <c r="M294" s="28" t="str">
        <f t="shared" si="45"/>
        <v/>
      </c>
      <c r="N294" s="60" t="str">
        <f t="shared" si="46"/>
        <v/>
      </c>
      <c r="O294" s="60" t="str">
        <f t="shared" si="47"/>
        <v/>
      </c>
      <c r="P294" s="60" t="str">
        <f t="shared" si="48"/>
        <v/>
      </c>
      <c r="Q294" s="28" t="str">
        <f t="shared" si="49"/>
        <v/>
      </c>
    </row>
    <row r="295" spans="1:17" ht="15" x14ac:dyDescent="0.25">
      <c r="A295" s="3" t="str">
        <f>IF('[1]0.1 Produksi Pangan &amp; Penduduk'!A296="","",'[1]0.1 Produksi Pangan &amp; Penduduk'!A296)</f>
        <v/>
      </c>
      <c r="B295" s="2" t="str">
        <f>IF('[1]0.1 Produksi Pangan &amp; Penduduk'!B296="","",'[1]0.1 Produksi Pangan &amp; Penduduk'!B296)</f>
        <v/>
      </c>
      <c r="C295" s="2" t="str">
        <f>IF('[1]0.1 Produksi Pangan &amp; Penduduk'!F296="","",'[1]0.1 Produksi Pangan &amp; Penduduk'!F296)</f>
        <v/>
      </c>
      <c r="D295" s="3" t="str">
        <f>IF('[1]0.1 Produksi Pangan &amp; Penduduk'!D296="","",'[1]0.1 Produksi Pangan &amp; Penduduk'!D296)</f>
        <v/>
      </c>
      <c r="E295" s="3" t="str">
        <f>IF('[1]0.1 Produksi Pangan &amp; Penduduk'!E296="","",'[1]0.1 Produksi Pangan &amp; Penduduk'!E296)</f>
        <v/>
      </c>
      <c r="F295" s="59" t="str">
        <f>IF(D295="","",VLOOKUP(D295,'[1]0.1 Produksi Pangan &amp; Penduduk'!$D$5:$J$860,7,0))</f>
        <v/>
      </c>
      <c r="G295" s="27" t="str">
        <f t="shared" si="40"/>
        <v/>
      </c>
      <c r="H295" s="27" t="str">
        <f t="shared" si="41"/>
        <v/>
      </c>
      <c r="I295" s="27" t="str">
        <f t="shared" si="42"/>
        <v/>
      </c>
      <c r="J295" s="27" t="str">
        <f t="shared" si="43"/>
        <v/>
      </c>
      <c r="K295" s="27" t="str">
        <f t="shared" si="44"/>
        <v/>
      </c>
      <c r="L295" s="59" t="str">
        <f>IF(D295="","",VLOOKUP(D295,'[1]0.1 Produksi Pangan &amp; Penduduk'!$D$5:$M$860,10,0))</f>
        <v/>
      </c>
      <c r="M295" s="28" t="str">
        <f t="shared" si="45"/>
        <v/>
      </c>
      <c r="N295" s="60" t="str">
        <f t="shared" si="46"/>
        <v/>
      </c>
      <c r="O295" s="60" t="str">
        <f t="shared" si="47"/>
        <v/>
      </c>
      <c r="P295" s="60" t="str">
        <f t="shared" si="48"/>
        <v/>
      </c>
      <c r="Q295" s="28" t="str">
        <f t="shared" si="49"/>
        <v/>
      </c>
    </row>
    <row r="296" spans="1:17" ht="15" x14ac:dyDescent="0.25">
      <c r="A296" s="3" t="str">
        <f>IF('[1]0.1 Produksi Pangan &amp; Penduduk'!A297="","",'[1]0.1 Produksi Pangan &amp; Penduduk'!A297)</f>
        <v/>
      </c>
      <c r="B296" s="2" t="str">
        <f>IF('[1]0.1 Produksi Pangan &amp; Penduduk'!B297="","",'[1]0.1 Produksi Pangan &amp; Penduduk'!B297)</f>
        <v/>
      </c>
      <c r="C296" s="2" t="str">
        <f>IF('[1]0.1 Produksi Pangan &amp; Penduduk'!F297="","",'[1]0.1 Produksi Pangan &amp; Penduduk'!F297)</f>
        <v/>
      </c>
      <c r="D296" s="3" t="str">
        <f>IF('[1]0.1 Produksi Pangan &amp; Penduduk'!D297="","",'[1]0.1 Produksi Pangan &amp; Penduduk'!D297)</f>
        <v/>
      </c>
      <c r="E296" s="3" t="str">
        <f>IF('[1]0.1 Produksi Pangan &amp; Penduduk'!E297="","",'[1]0.1 Produksi Pangan &amp; Penduduk'!E297)</f>
        <v/>
      </c>
      <c r="F296" s="59" t="str">
        <f>IF(D296="","",VLOOKUP(D296,'[1]0.1 Produksi Pangan &amp; Penduduk'!$D$5:$J$860,7,0))</f>
        <v/>
      </c>
      <c r="G296" s="27" t="str">
        <f t="shared" si="40"/>
        <v/>
      </c>
      <c r="H296" s="27" t="str">
        <f t="shared" si="41"/>
        <v/>
      </c>
      <c r="I296" s="27" t="str">
        <f t="shared" si="42"/>
        <v/>
      </c>
      <c r="J296" s="27" t="str">
        <f t="shared" si="43"/>
        <v/>
      </c>
      <c r="K296" s="27" t="str">
        <f t="shared" si="44"/>
        <v/>
      </c>
      <c r="L296" s="59" t="str">
        <f>IF(D296="","",VLOOKUP(D296,'[1]0.1 Produksi Pangan &amp; Penduduk'!$D$5:$M$860,10,0))</f>
        <v/>
      </c>
      <c r="M296" s="28" t="str">
        <f t="shared" si="45"/>
        <v/>
      </c>
      <c r="N296" s="60" t="str">
        <f t="shared" si="46"/>
        <v/>
      </c>
      <c r="O296" s="60" t="str">
        <f t="shared" si="47"/>
        <v/>
      </c>
      <c r="P296" s="60" t="str">
        <f t="shared" si="48"/>
        <v/>
      </c>
      <c r="Q296" s="28" t="str">
        <f t="shared" si="49"/>
        <v/>
      </c>
    </row>
    <row r="297" spans="1:17" ht="15" x14ac:dyDescent="0.25">
      <c r="A297" s="3" t="str">
        <f>IF('[1]0.1 Produksi Pangan &amp; Penduduk'!A298="","",'[1]0.1 Produksi Pangan &amp; Penduduk'!A298)</f>
        <v/>
      </c>
      <c r="B297" s="2" t="str">
        <f>IF('[1]0.1 Produksi Pangan &amp; Penduduk'!B298="","",'[1]0.1 Produksi Pangan &amp; Penduduk'!B298)</f>
        <v/>
      </c>
      <c r="C297" s="2" t="str">
        <f>IF('[1]0.1 Produksi Pangan &amp; Penduduk'!F298="","",'[1]0.1 Produksi Pangan &amp; Penduduk'!F298)</f>
        <v/>
      </c>
      <c r="D297" s="3" t="str">
        <f>IF('[1]0.1 Produksi Pangan &amp; Penduduk'!D298="","",'[1]0.1 Produksi Pangan &amp; Penduduk'!D298)</f>
        <v/>
      </c>
      <c r="E297" s="3" t="str">
        <f>IF('[1]0.1 Produksi Pangan &amp; Penduduk'!E298="","",'[1]0.1 Produksi Pangan &amp; Penduduk'!E298)</f>
        <v/>
      </c>
      <c r="F297" s="59" t="str">
        <f>IF(D297="","",VLOOKUP(D297,'[1]0.1 Produksi Pangan &amp; Penduduk'!$D$5:$J$860,7,0))</f>
        <v/>
      </c>
      <c r="G297" s="27" t="str">
        <f t="shared" si="40"/>
        <v/>
      </c>
      <c r="H297" s="27" t="str">
        <f t="shared" si="41"/>
        <v/>
      </c>
      <c r="I297" s="27" t="str">
        <f t="shared" si="42"/>
        <v/>
      </c>
      <c r="J297" s="27" t="str">
        <f t="shared" si="43"/>
        <v/>
      </c>
      <c r="K297" s="27" t="str">
        <f t="shared" si="44"/>
        <v/>
      </c>
      <c r="L297" s="59" t="str">
        <f>IF(D297="","",VLOOKUP(D297,'[1]0.1 Produksi Pangan &amp; Penduduk'!$D$5:$M$860,10,0))</f>
        <v/>
      </c>
      <c r="M297" s="28" t="str">
        <f t="shared" si="45"/>
        <v/>
      </c>
      <c r="N297" s="60" t="str">
        <f t="shared" si="46"/>
        <v/>
      </c>
      <c r="O297" s="60" t="str">
        <f t="shared" si="47"/>
        <v/>
      </c>
      <c r="P297" s="60" t="str">
        <f t="shared" si="48"/>
        <v/>
      </c>
      <c r="Q297" s="28" t="str">
        <f t="shared" si="49"/>
        <v/>
      </c>
    </row>
    <row r="298" spans="1:17" ht="15" x14ac:dyDescent="0.25">
      <c r="A298" s="3" t="str">
        <f>IF('[1]0.1 Produksi Pangan &amp; Penduduk'!A299="","",'[1]0.1 Produksi Pangan &amp; Penduduk'!A299)</f>
        <v/>
      </c>
      <c r="B298" s="2" t="str">
        <f>IF('[1]0.1 Produksi Pangan &amp; Penduduk'!B299="","",'[1]0.1 Produksi Pangan &amp; Penduduk'!B299)</f>
        <v/>
      </c>
      <c r="C298" s="2" t="str">
        <f>IF('[1]0.1 Produksi Pangan &amp; Penduduk'!F299="","",'[1]0.1 Produksi Pangan &amp; Penduduk'!F299)</f>
        <v/>
      </c>
      <c r="D298" s="3" t="str">
        <f>IF('[1]0.1 Produksi Pangan &amp; Penduduk'!D299="","",'[1]0.1 Produksi Pangan &amp; Penduduk'!D299)</f>
        <v/>
      </c>
      <c r="E298" s="3" t="str">
        <f>IF('[1]0.1 Produksi Pangan &amp; Penduduk'!E299="","",'[1]0.1 Produksi Pangan &amp; Penduduk'!E299)</f>
        <v/>
      </c>
      <c r="F298" s="59" t="str">
        <f>IF(D298="","",VLOOKUP(D298,'[1]0.1 Produksi Pangan &amp; Penduduk'!$D$5:$J$860,7,0))</f>
        <v/>
      </c>
      <c r="G298" s="27" t="str">
        <f t="shared" si="40"/>
        <v/>
      </c>
      <c r="H298" s="27" t="str">
        <f t="shared" si="41"/>
        <v/>
      </c>
      <c r="I298" s="27" t="str">
        <f t="shared" si="42"/>
        <v/>
      </c>
      <c r="J298" s="27" t="str">
        <f t="shared" si="43"/>
        <v/>
      </c>
      <c r="K298" s="27" t="str">
        <f t="shared" si="44"/>
        <v/>
      </c>
      <c r="L298" s="59" t="str">
        <f>IF(D298="","",VLOOKUP(D298,'[1]0.1 Produksi Pangan &amp; Penduduk'!$D$5:$M$860,10,0))</f>
        <v/>
      </c>
      <c r="M298" s="28" t="str">
        <f t="shared" si="45"/>
        <v/>
      </c>
      <c r="N298" s="60" t="str">
        <f t="shared" si="46"/>
        <v/>
      </c>
      <c r="O298" s="60" t="str">
        <f t="shared" si="47"/>
        <v/>
      </c>
      <c r="P298" s="60" t="str">
        <f t="shared" si="48"/>
        <v/>
      </c>
      <c r="Q298" s="28" t="str">
        <f t="shared" si="49"/>
        <v/>
      </c>
    </row>
    <row r="299" spans="1:17" ht="15" x14ac:dyDescent="0.25">
      <c r="A299" s="3" t="str">
        <f>IF('[1]0.1 Produksi Pangan &amp; Penduduk'!A300="","",'[1]0.1 Produksi Pangan &amp; Penduduk'!A300)</f>
        <v/>
      </c>
      <c r="B299" s="2" t="str">
        <f>IF('[1]0.1 Produksi Pangan &amp; Penduduk'!B300="","",'[1]0.1 Produksi Pangan &amp; Penduduk'!B300)</f>
        <v/>
      </c>
      <c r="C299" s="2" t="str">
        <f>IF('[1]0.1 Produksi Pangan &amp; Penduduk'!F300="","",'[1]0.1 Produksi Pangan &amp; Penduduk'!F300)</f>
        <v/>
      </c>
      <c r="D299" s="3" t="str">
        <f>IF('[1]0.1 Produksi Pangan &amp; Penduduk'!D300="","",'[1]0.1 Produksi Pangan &amp; Penduduk'!D300)</f>
        <v/>
      </c>
      <c r="E299" s="3" t="str">
        <f>IF('[1]0.1 Produksi Pangan &amp; Penduduk'!E300="","",'[1]0.1 Produksi Pangan &amp; Penduduk'!E300)</f>
        <v/>
      </c>
      <c r="F299" s="59" t="str">
        <f>IF(D299="","",VLOOKUP(D299,'[1]0.1 Produksi Pangan &amp; Penduduk'!$D$5:$J$860,7,0))</f>
        <v/>
      </c>
      <c r="G299" s="27" t="str">
        <f t="shared" si="40"/>
        <v/>
      </c>
      <c r="H299" s="27" t="str">
        <f t="shared" si="41"/>
        <v/>
      </c>
      <c r="I299" s="27" t="str">
        <f t="shared" si="42"/>
        <v/>
      </c>
      <c r="J299" s="27" t="str">
        <f t="shared" si="43"/>
        <v/>
      </c>
      <c r="K299" s="27" t="str">
        <f t="shared" si="44"/>
        <v/>
      </c>
      <c r="L299" s="59" t="str">
        <f>IF(D299="","",VLOOKUP(D299,'[1]0.1 Produksi Pangan &amp; Penduduk'!$D$5:$M$860,10,0))</f>
        <v/>
      </c>
      <c r="M299" s="28" t="str">
        <f t="shared" si="45"/>
        <v/>
      </c>
      <c r="N299" s="60" t="str">
        <f t="shared" si="46"/>
        <v/>
      </c>
      <c r="O299" s="60" t="str">
        <f t="shared" si="47"/>
        <v/>
      </c>
      <c r="P299" s="60" t="str">
        <f t="shared" si="48"/>
        <v/>
      </c>
      <c r="Q299" s="28" t="str">
        <f t="shared" si="49"/>
        <v/>
      </c>
    </row>
    <row r="300" spans="1:17" ht="15" x14ac:dyDescent="0.25">
      <c r="A300" s="3" t="str">
        <f>IF('[1]0.1 Produksi Pangan &amp; Penduduk'!A301="","",'[1]0.1 Produksi Pangan &amp; Penduduk'!A301)</f>
        <v/>
      </c>
      <c r="B300" s="2" t="str">
        <f>IF('[1]0.1 Produksi Pangan &amp; Penduduk'!B301="","",'[1]0.1 Produksi Pangan &amp; Penduduk'!B301)</f>
        <v/>
      </c>
      <c r="C300" s="2" t="str">
        <f>IF('[1]0.1 Produksi Pangan &amp; Penduduk'!F301="","",'[1]0.1 Produksi Pangan &amp; Penduduk'!F301)</f>
        <v/>
      </c>
      <c r="D300" s="3" t="str">
        <f>IF('[1]0.1 Produksi Pangan &amp; Penduduk'!D301="","",'[1]0.1 Produksi Pangan &amp; Penduduk'!D301)</f>
        <v/>
      </c>
      <c r="E300" s="3" t="str">
        <f>IF('[1]0.1 Produksi Pangan &amp; Penduduk'!E301="","",'[1]0.1 Produksi Pangan &amp; Penduduk'!E301)</f>
        <v/>
      </c>
      <c r="F300" s="59" t="str">
        <f>IF(D300="","",VLOOKUP(D300,'[1]0.1 Produksi Pangan &amp; Penduduk'!$D$5:$J$860,7,0))</f>
        <v/>
      </c>
      <c r="G300" s="27" t="str">
        <f t="shared" si="40"/>
        <v/>
      </c>
      <c r="H300" s="27" t="str">
        <f t="shared" si="41"/>
        <v/>
      </c>
      <c r="I300" s="27" t="str">
        <f t="shared" si="42"/>
        <v/>
      </c>
      <c r="J300" s="27" t="str">
        <f t="shared" si="43"/>
        <v/>
      </c>
      <c r="K300" s="27" t="str">
        <f t="shared" si="44"/>
        <v/>
      </c>
      <c r="L300" s="59" t="str">
        <f>IF(D300="","",VLOOKUP(D300,'[1]0.1 Produksi Pangan &amp; Penduduk'!$D$5:$M$860,10,0))</f>
        <v/>
      </c>
      <c r="M300" s="28" t="str">
        <f t="shared" si="45"/>
        <v/>
      </c>
      <c r="N300" s="60" t="str">
        <f t="shared" si="46"/>
        <v/>
      </c>
      <c r="O300" s="60" t="str">
        <f t="shared" si="47"/>
        <v/>
      </c>
      <c r="P300" s="60" t="str">
        <f t="shared" si="48"/>
        <v/>
      </c>
      <c r="Q300" s="28" t="str">
        <f t="shared" si="49"/>
        <v/>
      </c>
    </row>
    <row r="301" spans="1:17" ht="15" x14ac:dyDescent="0.25">
      <c r="A301" s="3" t="str">
        <f>IF('[1]0.1 Produksi Pangan &amp; Penduduk'!A302="","",'[1]0.1 Produksi Pangan &amp; Penduduk'!A302)</f>
        <v/>
      </c>
      <c r="B301" s="2" t="str">
        <f>IF('[1]0.1 Produksi Pangan &amp; Penduduk'!B302="","",'[1]0.1 Produksi Pangan &amp; Penduduk'!B302)</f>
        <v/>
      </c>
      <c r="C301" s="2" t="str">
        <f>IF('[1]0.1 Produksi Pangan &amp; Penduduk'!F302="","",'[1]0.1 Produksi Pangan &amp; Penduduk'!F302)</f>
        <v/>
      </c>
      <c r="D301" s="3" t="str">
        <f>IF('[1]0.1 Produksi Pangan &amp; Penduduk'!D302="","",'[1]0.1 Produksi Pangan &amp; Penduduk'!D302)</f>
        <v/>
      </c>
      <c r="E301" s="3" t="str">
        <f>IF('[1]0.1 Produksi Pangan &amp; Penduduk'!E302="","",'[1]0.1 Produksi Pangan &amp; Penduduk'!E302)</f>
        <v/>
      </c>
      <c r="F301" s="59" t="str">
        <f>IF(D301="","",VLOOKUP(D301,'[1]0.1 Produksi Pangan &amp; Penduduk'!$D$5:$J$860,7,0))</f>
        <v/>
      </c>
      <c r="G301" s="27" t="str">
        <f t="shared" si="40"/>
        <v/>
      </c>
      <c r="H301" s="27" t="str">
        <f t="shared" si="41"/>
        <v/>
      </c>
      <c r="I301" s="27" t="str">
        <f t="shared" si="42"/>
        <v/>
      </c>
      <c r="J301" s="27" t="str">
        <f t="shared" si="43"/>
        <v/>
      </c>
      <c r="K301" s="27" t="str">
        <f t="shared" si="44"/>
        <v/>
      </c>
      <c r="L301" s="59" t="str">
        <f>IF(D301="","",VLOOKUP(D301,'[1]0.1 Produksi Pangan &amp; Penduduk'!$D$5:$M$860,10,0))</f>
        <v/>
      </c>
      <c r="M301" s="28" t="str">
        <f t="shared" si="45"/>
        <v/>
      </c>
      <c r="N301" s="60" t="str">
        <f t="shared" si="46"/>
        <v/>
      </c>
      <c r="O301" s="60" t="str">
        <f t="shared" si="47"/>
        <v/>
      </c>
      <c r="P301" s="60" t="str">
        <f t="shared" si="48"/>
        <v/>
      </c>
      <c r="Q301" s="28" t="str">
        <f t="shared" si="49"/>
        <v/>
      </c>
    </row>
    <row r="302" spans="1:17" ht="15" x14ac:dyDescent="0.25">
      <c r="A302" s="3" t="str">
        <f>IF('[1]0.1 Produksi Pangan &amp; Penduduk'!A303="","",'[1]0.1 Produksi Pangan &amp; Penduduk'!A303)</f>
        <v/>
      </c>
      <c r="B302" s="2" t="str">
        <f>IF('[1]0.1 Produksi Pangan &amp; Penduduk'!B303="","",'[1]0.1 Produksi Pangan &amp; Penduduk'!B303)</f>
        <v/>
      </c>
      <c r="C302" s="2" t="str">
        <f>IF('[1]0.1 Produksi Pangan &amp; Penduduk'!F303="","",'[1]0.1 Produksi Pangan &amp; Penduduk'!F303)</f>
        <v/>
      </c>
      <c r="D302" s="3" t="str">
        <f>IF('[1]0.1 Produksi Pangan &amp; Penduduk'!D303="","",'[1]0.1 Produksi Pangan &amp; Penduduk'!D303)</f>
        <v/>
      </c>
      <c r="E302" s="3" t="str">
        <f>IF('[1]0.1 Produksi Pangan &amp; Penduduk'!E303="","",'[1]0.1 Produksi Pangan &amp; Penduduk'!E303)</f>
        <v/>
      </c>
      <c r="F302" s="59" t="str">
        <f>IF(D302="","",VLOOKUP(D302,'[1]0.1 Produksi Pangan &amp; Penduduk'!$D$5:$J$860,7,0))</f>
        <v/>
      </c>
      <c r="G302" s="27" t="str">
        <f t="shared" si="40"/>
        <v/>
      </c>
      <c r="H302" s="27" t="str">
        <f t="shared" si="41"/>
        <v/>
      </c>
      <c r="I302" s="27" t="str">
        <f t="shared" si="42"/>
        <v/>
      </c>
      <c r="J302" s="27" t="str">
        <f t="shared" si="43"/>
        <v/>
      </c>
      <c r="K302" s="27" t="str">
        <f t="shared" si="44"/>
        <v/>
      </c>
      <c r="L302" s="59" t="str">
        <f>IF(D302="","",VLOOKUP(D302,'[1]0.1 Produksi Pangan &amp; Penduduk'!$D$5:$M$860,10,0))</f>
        <v/>
      </c>
      <c r="M302" s="28" t="str">
        <f t="shared" si="45"/>
        <v/>
      </c>
      <c r="N302" s="60" t="str">
        <f t="shared" si="46"/>
        <v/>
      </c>
      <c r="O302" s="60" t="str">
        <f t="shared" si="47"/>
        <v/>
      </c>
      <c r="P302" s="60" t="str">
        <f t="shared" si="48"/>
        <v/>
      </c>
      <c r="Q302" s="28" t="str">
        <f t="shared" si="49"/>
        <v/>
      </c>
    </row>
    <row r="303" spans="1:17" ht="15" x14ac:dyDescent="0.25">
      <c r="A303" s="3" t="str">
        <f>IF('[1]0.1 Produksi Pangan &amp; Penduduk'!A304="","",'[1]0.1 Produksi Pangan &amp; Penduduk'!A304)</f>
        <v/>
      </c>
      <c r="B303" s="2" t="str">
        <f>IF('[1]0.1 Produksi Pangan &amp; Penduduk'!B304="","",'[1]0.1 Produksi Pangan &amp; Penduduk'!B304)</f>
        <v/>
      </c>
      <c r="C303" s="2" t="str">
        <f>IF('[1]0.1 Produksi Pangan &amp; Penduduk'!F304="","",'[1]0.1 Produksi Pangan &amp; Penduduk'!F304)</f>
        <v/>
      </c>
      <c r="D303" s="3" t="str">
        <f>IF('[1]0.1 Produksi Pangan &amp; Penduduk'!D304="","",'[1]0.1 Produksi Pangan &amp; Penduduk'!D304)</f>
        <v/>
      </c>
      <c r="E303" s="3" t="str">
        <f>IF('[1]0.1 Produksi Pangan &amp; Penduduk'!E304="","",'[1]0.1 Produksi Pangan &amp; Penduduk'!E304)</f>
        <v/>
      </c>
      <c r="F303" s="59" t="str">
        <f>IF(D303="","",VLOOKUP(D303,'[1]0.1 Produksi Pangan &amp; Penduduk'!$D$5:$J$860,7,0))</f>
        <v/>
      </c>
      <c r="G303" s="27" t="str">
        <f t="shared" si="40"/>
        <v/>
      </c>
      <c r="H303" s="27" t="str">
        <f t="shared" si="41"/>
        <v/>
      </c>
      <c r="I303" s="27" t="str">
        <f t="shared" si="42"/>
        <v/>
      </c>
      <c r="J303" s="27" t="str">
        <f t="shared" si="43"/>
        <v/>
      </c>
      <c r="K303" s="27" t="str">
        <f t="shared" si="44"/>
        <v/>
      </c>
      <c r="L303" s="59" t="str">
        <f>IF(D303="","",VLOOKUP(D303,'[1]0.1 Produksi Pangan &amp; Penduduk'!$D$5:$M$860,10,0))</f>
        <v/>
      </c>
      <c r="M303" s="28" t="str">
        <f t="shared" si="45"/>
        <v/>
      </c>
      <c r="N303" s="60" t="str">
        <f t="shared" si="46"/>
        <v/>
      </c>
      <c r="O303" s="60" t="str">
        <f t="shared" si="47"/>
        <v/>
      </c>
      <c r="P303" s="60" t="str">
        <f t="shared" si="48"/>
        <v/>
      </c>
      <c r="Q303" s="28" t="str">
        <f t="shared" si="49"/>
        <v/>
      </c>
    </row>
    <row r="304" spans="1:17" ht="15" x14ac:dyDescent="0.25">
      <c r="A304" s="3" t="str">
        <f>IF('[1]0.1 Produksi Pangan &amp; Penduduk'!A305="","",'[1]0.1 Produksi Pangan &amp; Penduduk'!A305)</f>
        <v/>
      </c>
      <c r="B304" s="2" t="str">
        <f>IF('[1]0.1 Produksi Pangan &amp; Penduduk'!B305="","",'[1]0.1 Produksi Pangan &amp; Penduduk'!B305)</f>
        <v/>
      </c>
      <c r="C304" s="2" t="str">
        <f>IF('[1]0.1 Produksi Pangan &amp; Penduduk'!F305="","",'[1]0.1 Produksi Pangan &amp; Penduduk'!F305)</f>
        <v/>
      </c>
      <c r="D304" s="3" t="str">
        <f>IF('[1]0.1 Produksi Pangan &amp; Penduduk'!D305="","",'[1]0.1 Produksi Pangan &amp; Penduduk'!D305)</f>
        <v/>
      </c>
      <c r="E304" s="3" t="str">
        <f>IF('[1]0.1 Produksi Pangan &amp; Penduduk'!E305="","",'[1]0.1 Produksi Pangan &amp; Penduduk'!E305)</f>
        <v/>
      </c>
      <c r="F304" s="59" t="str">
        <f>IF(D304="","",VLOOKUP(D304,'[1]0.1 Produksi Pangan &amp; Penduduk'!$D$5:$J$860,7,0))</f>
        <v/>
      </c>
      <c r="G304" s="27" t="str">
        <f t="shared" si="40"/>
        <v/>
      </c>
      <c r="H304" s="27" t="str">
        <f t="shared" si="41"/>
        <v/>
      </c>
      <c r="I304" s="27" t="str">
        <f t="shared" si="42"/>
        <v/>
      </c>
      <c r="J304" s="27" t="str">
        <f t="shared" si="43"/>
        <v/>
      </c>
      <c r="K304" s="27" t="str">
        <f t="shared" si="44"/>
        <v/>
      </c>
      <c r="L304" s="59" t="str">
        <f>IF(D304="","",VLOOKUP(D304,'[1]0.1 Produksi Pangan &amp; Penduduk'!$D$5:$M$860,10,0))</f>
        <v/>
      </c>
      <c r="M304" s="28" t="str">
        <f t="shared" si="45"/>
        <v/>
      </c>
      <c r="N304" s="60" t="str">
        <f t="shared" si="46"/>
        <v/>
      </c>
      <c r="O304" s="60" t="str">
        <f t="shared" si="47"/>
        <v/>
      </c>
      <c r="P304" s="60" t="str">
        <f t="shared" si="48"/>
        <v/>
      </c>
      <c r="Q304" s="28" t="str">
        <f t="shared" si="49"/>
        <v/>
      </c>
    </row>
    <row r="305" spans="1:17" ht="15" x14ac:dyDescent="0.25">
      <c r="A305" s="3" t="str">
        <f>IF('[1]0.1 Produksi Pangan &amp; Penduduk'!A306="","",'[1]0.1 Produksi Pangan &amp; Penduduk'!A306)</f>
        <v/>
      </c>
      <c r="B305" s="2" t="str">
        <f>IF('[1]0.1 Produksi Pangan &amp; Penduduk'!B306="","",'[1]0.1 Produksi Pangan &amp; Penduduk'!B306)</f>
        <v/>
      </c>
      <c r="C305" s="2" t="str">
        <f>IF('[1]0.1 Produksi Pangan &amp; Penduduk'!F306="","",'[1]0.1 Produksi Pangan &amp; Penduduk'!F306)</f>
        <v/>
      </c>
      <c r="D305" s="3" t="str">
        <f>IF('[1]0.1 Produksi Pangan &amp; Penduduk'!D306="","",'[1]0.1 Produksi Pangan &amp; Penduduk'!D306)</f>
        <v/>
      </c>
      <c r="E305" s="3" t="str">
        <f>IF('[1]0.1 Produksi Pangan &amp; Penduduk'!E306="","",'[1]0.1 Produksi Pangan &amp; Penduduk'!E306)</f>
        <v/>
      </c>
      <c r="F305" s="59" t="str">
        <f>IF(D305="","",VLOOKUP(D305,'[1]0.1 Produksi Pangan &amp; Penduduk'!$D$5:$J$860,7,0))</f>
        <v/>
      </c>
      <c r="G305" s="27" t="str">
        <f t="shared" si="40"/>
        <v/>
      </c>
      <c r="H305" s="27" t="str">
        <f t="shared" si="41"/>
        <v/>
      </c>
      <c r="I305" s="27" t="str">
        <f t="shared" si="42"/>
        <v/>
      </c>
      <c r="J305" s="27" t="str">
        <f t="shared" si="43"/>
        <v/>
      </c>
      <c r="K305" s="27" t="str">
        <f t="shared" si="44"/>
        <v/>
      </c>
      <c r="L305" s="59" t="str">
        <f>IF(D305="","",VLOOKUP(D305,'[1]0.1 Produksi Pangan &amp; Penduduk'!$D$5:$M$860,10,0))</f>
        <v/>
      </c>
      <c r="M305" s="28" t="str">
        <f t="shared" si="45"/>
        <v/>
      </c>
      <c r="N305" s="60" t="str">
        <f t="shared" si="46"/>
        <v/>
      </c>
      <c r="O305" s="60" t="str">
        <f t="shared" si="47"/>
        <v/>
      </c>
      <c r="P305" s="60" t="str">
        <f t="shared" si="48"/>
        <v/>
      </c>
      <c r="Q305" s="28" t="str">
        <f t="shared" si="49"/>
        <v/>
      </c>
    </row>
    <row r="306" spans="1:17" ht="15" x14ac:dyDescent="0.25">
      <c r="A306" s="3" t="str">
        <f>IF('[1]0.1 Produksi Pangan &amp; Penduduk'!A307="","",'[1]0.1 Produksi Pangan &amp; Penduduk'!A307)</f>
        <v/>
      </c>
      <c r="B306" s="2" t="str">
        <f>IF('[1]0.1 Produksi Pangan &amp; Penduduk'!B307="","",'[1]0.1 Produksi Pangan &amp; Penduduk'!B307)</f>
        <v/>
      </c>
      <c r="C306" s="2" t="str">
        <f>IF('[1]0.1 Produksi Pangan &amp; Penduduk'!F307="","",'[1]0.1 Produksi Pangan &amp; Penduduk'!F307)</f>
        <v/>
      </c>
      <c r="D306" s="3" t="str">
        <f>IF('[1]0.1 Produksi Pangan &amp; Penduduk'!D307="","",'[1]0.1 Produksi Pangan &amp; Penduduk'!D307)</f>
        <v/>
      </c>
      <c r="E306" s="3" t="str">
        <f>IF('[1]0.1 Produksi Pangan &amp; Penduduk'!E307="","",'[1]0.1 Produksi Pangan &amp; Penduduk'!E307)</f>
        <v/>
      </c>
      <c r="F306" s="59" t="str">
        <f>IF(D306="","",VLOOKUP(D306,'[1]0.1 Produksi Pangan &amp; Penduduk'!$D$5:$J$860,7,0))</f>
        <v/>
      </c>
      <c r="G306" s="27" t="str">
        <f t="shared" si="40"/>
        <v/>
      </c>
      <c r="H306" s="27" t="str">
        <f t="shared" si="41"/>
        <v/>
      </c>
      <c r="I306" s="27" t="str">
        <f t="shared" si="42"/>
        <v/>
      </c>
      <c r="J306" s="27" t="str">
        <f t="shared" si="43"/>
        <v/>
      </c>
      <c r="K306" s="27" t="str">
        <f t="shared" si="44"/>
        <v/>
      </c>
      <c r="L306" s="59" t="str">
        <f>IF(D306="","",VLOOKUP(D306,'[1]0.1 Produksi Pangan &amp; Penduduk'!$D$5:$M$860,10,0))</f>
        <v/>
      </c>
      <c r="M306" s="28" t="str">
        <f t="shared" si="45"/>
        <v/>
      </c>
      <c r="N306" s="60" t="str">
        <f t="shared" si="46"/>
        <v/>
      </c>
      <c r="O306" s="60" t="str">
        <f t="shared" si="47"/>
        <v/>
      </c>
      <c r="P306" s="60" t="str">
        <f t="shared" si="48"/>
        <v/>
      </c>
      <c r="Q306" s="28" t="str">
        <f t="shared" si="49"/>
        <v/>
      </c>
    </row>
    <row r="307" spans="1:17" ht="15" x14ac:dyDescent="0.25">
      <c r="A307" s="3" t="str">
        <f>IF('[1]0.1 Produksi Pangan &amp; Penduduk'!A308="","",'[1]0.1 Produksi Pangan &amp; Penduduk'!A308)</f>
        <v/>
      </c>
      <c r="B307" s="2" t="str">
        <f>IF('[1]0.1 Produksi Pangan &amp; Penduduk'!B308="","",'[1]0.1 Produksi Pangan &amp; Penduduk'!B308)</f>
        <v/>
      </c>
      <c r="C307" s="2" t="str">
        <f>IF('[1]0.1 Produksi Pangan &amp; Penduduk'!F308="","",'[1]0.1 Produksi Pangan &amp; Penduduk'!F308)</f>
        <v/>
      </c>
      <c r="D307" s="3" t="str">
        <f>IF('[1]0.1 Produksi Pangan &amp; Penduduk'!D308="","",'[1]0.1 Produksi Pangan &amp; Penduduk'!D308)</f>
        <v/>
      </c>
      <c r="E307" s="3" t="str">
        <f>IF('[1]0.1 Produksi Pangan &amp; Penduduk'!E308="","",'[1]0.1 Produksi Pangan &amp; Penduduk'!E308)</f>
        <v/>
      </c>
      <c r="F307" s="59" t="str">
        <f>IF(D307="","",VLOOKUP(D307,'[1]0.1 Produksi Pangan &amp; Penduduk'!$D$5:$J$860,7,0))</f>
        <v/>
      </c>
      <c r="G307" s="27" t="str">
        <f t="shared" si="40"/>
        <v/>
      </c>
      <c r="H307" s="27" t="str">
        <f t="shared" si="41"/>
        <v/>
      </c>
      <c r="I307" s="27" t="str">
        <f t="shared" si="42"/>
        <v/>
      </c>
      <c r="J307" s="27" t="str">
        <f t="shared" si="43"/>
        <v/>
      </c>
      <c r="K307" s="27" t="str">
        <f t="shared" si="44"/>
        <v/>
      </c>
      <c r="L307" s="59" t="str">
        <f>IF(D307="","",VLOOKUP(D307,'[1]0.1 Produksi Pangan &amp; Penduduk'!$D$5:$M$860,10,0))</f>
        <v/>
      </c>
      <c r="M307" s="28" t="str">
        <f t="shared" si="45"/>
        <v/>
      </c>
      <c r="N307" s="60" t="str">
        <f t="shared" si="46"/>
        <v/>
      </c>
      <c r="O307" s="60" t="str">
        <f t="shared" si="47"/>
        <v/>
      </c>
      <c r="P307" s="60" t="str">
        <f t="shared" si="48"/>
        <v/>
      </c>
      <c r="Q307" s="28" t="str">
        <f t="shared" si="49"/>
        <v/>
      </c>
    </row>
    <row r="308" spans="1:17" ht="15" x14ac:dyDescent="0.25">
      <c r="A308" s="3" t="str">
        <f>IF('[1]0.1 Produksi Pangan &amp; Penduduk'!A309="","",'[1]0.1 Produksi Pangan &amp; Penduduk'!A309)</f>
        <v/>
      </c>
      <c r="B308" s="2" t="str">
        <f>IF('[1]0.1 Produksi Pangan &amp; Penduduk'!B309="","",'[1]0.1 Produksi Pangan &amp; Penduduk'!B309)</f>
        <v/>
      </c>
      <c r="C308" s="2" t="str">
        <f>IF('[1]0.1 Produksi Pangan &amp; Penduduk'!F309="","",'[1]0.1 Produksi Pangan &amp; Penduduk'!F309)</f>
        <v/>
      </c>
      <c r="D308" s="3" t="str">
        <f>IF('[1]0.1 Produksi Pangan &amp; Penduduk'!D309="","",'[1]0.1 Produksi Pangan &amp; Penduduk'!D309)</f>
        <v/>
      </c>
      <c r="E308" s="3" t="str">
        <f>IF('[1]0.1 Produksi Pangan &amp; Penduduk'!E309="","",'[1]0.1 Produksi Pangan &amp; Penduduk'!E309)</f>
        <v/>
      </c>
      <c r="F308" s="59" t="str">
        <f>IF(D308="","",VLOOKUP(D308,'[1]0.1 Produksi Pangan &amp; Penduduk'!$D$5:$J$860,7,0))</f>
        <v/>
      </c>
      <c r="G308" s="27" t="str">
        <f t="shared" si="40"/>
        <v/>
      </c>
      <c r="H308" s="27" t="str">
        <f t="shared" si="41"/>
        <v/>
      </c>
      <c r="I308" s="27" t="str">
        <f t="shared" si="42"/>
        <v/>
      </c>
      <c r="J308" s="27" t="str">
        <f t="shared" si="43"/>
        <v/>
      </c>
      <c r="K308" s="27" t="str">
        <f t="shared" si="44"/>
        <v/>
      </c>
      <c r="L308" s="59" t="str">
        <f>IF(D308="","",VLOOKUP(D308,'[1]0.1 Produksi Pangan &amp; Penduduk'!$D$5:$M$860,10,0))</f>
        <v/>
      </c>
      <c r="M308" s="28" t="str">
        <f t="shared" si="45"/>
        <v/>
      </c>
      <c r="N308" s="60" t="str">
        <f t="shared" si="46"/>
        <v/>
      </c>
      <c r="O308" s="60" t="str">
        <f t="shared" si="47"/>
        <v/>
      </c>
      <c r="P308" s="60" t="str">
        <f t="shared" si="48"/>
        <v/>
      </c>
      <c r="Q308" s="28" t="str">
        <f t="shared" si="49"/>
        <v/>
      </c>
    </row>
    <row r="309" spans="1:17" ht="15" x14ac:dyDescent="0.25">
      <c r="A309" s="3" t="str">
        <f>IF('[1]0.1 Produksi Pangan &amp; Penduduk'!A310="","",'[1]0.1 Produksi Pangan &amp; Penduduk'!A310)</f>
        <v/>
      </c>
      <c r="B309" s="2" t="str">
        <f>IF('[1]0.1 Produksi Pangan &amp; Penduduk'!B310="","",'[1]0.1 Produksi Pangan &amp; Penduduk'!B310)</f>
        <v/>
      </c>
      <c r="C309" s="2" t="str">
        <f>IF('[1]0.1 Produksi Pangan &amp; Penduduk'!F310="","",'[1]0.1 Produksi Pangan &amp; Penduduk'!F310)</f>
        <v/>
      </c>
      <c r="D309" s="3" t="str">
        <f>IF('[1]0.1 Produksi Pangan &amp; Penduduk'!D310="","",'[1]0.1 Produksi Pangan &amp; Penduduk'!D310)</f>
        <v/>
      </c>
      <c r="E309" s="3" t="str">
        <f>IF('[1]0.1 Produksi Pangan &amp; Penduduk'!E310="","",'[1]0.1 Produksi Pangan &amp; Penduduk'!E310)</f>
        <v/>
      </c>
      <c r="F309" s="59" t="str">
        <f>IF(D309="","",VLOOKUP(D309,'[1]0.1 Produksi Pangan &amp; Penduduk'!$D$5:$J$860,7,0))</f>
        <v/>
      </c>
      <c r="G309" s="27" t="str">
        <f t="shared" si="40"/>
        <v/>
      </c>
      <c r="H309" s="27" t="str">
        <f t="shared" si="41"/>
        <v/>
      </c>
      <c r="I309" s="27" t="str">
        <f t="shared" si="42"/>
        <v/>
      </c>
      <c r="J309" s="27" t="str">
        <f t="shared" si="43"/>
        <v/>
      </c>
      <c r="K309" s="27" t="str">
        <f t="shared" si="44"/>
        <v/>
      </c>
      <c r="L309" s="59" t="str">
        <f>IF(D309="","",VLOOKUP(D309,'[1]0.1 Produksi Pangan &amp; Penduduk'!$D$5:$M$860,10,0))</f>
        <v/>
      </c>
      <c r="M309" s="28" t="str">
        <f t="shared" si="45"/>
        <v/>
      </c>
      <c r="N309" s="60" t="str">
        <f t="shared" si="46"/>
        <v/>
      </c>
      <c r="O309" s="60" t="str">
        <f t="shared" si="47"/>
        <v/>
      </c>
      <c r="P309" s="60" t="str">
        <f t="shared" si="48"/>
        <v/>
      </c>
      <c r="Q309" s="28" t="str">
        <f t="shared" si="49"/>
        <v/>
      </c>
    </row>
    <row r="310" spans="1:17" ht="15" x14ac:dyDescent="0.25">
      <c r="A310" s="3" t="str">
        <f>IF('[1]0.1 Produksi Pangan &amp; Penduduk'!A311="","",'[1]0.1 Produksi Pangan &amp; Penduduk'!A311)</f>
        <v/>
      </c>
      <c r="B310" s="2" t="str">
        <f>IF('[1]0.1 Produksi Pangan &amp; Penduduk'!B311="","",'[1]0.1 Produksi Pangan &amp; Penduduk'!B311)</f>
        <v/>
      </c>
      <c r="C310" s="2" t="str">
        <f>IF('[1]0.1 Produksi Pangan &amp; Penduduk'!F311="","",'[1]0.1 Produksi Pangan &amp; Penduduk'!F311)</f>
        <v/>
      </c>
      <c r="D310" s="3" t="str">
        <f>IF('[1]0.1 Produksi Pangan &amp; Penduduk'!D311="","",'[1]0.1 Produksi Pangan &amp; Penduduk'!D311)</f>
        <v/>
      </c>
      <c r="E310" s="3" t="str">
        <f>IF('[1]0.1 Produksi Pangan &amp; Penduduk'!E311="","",'[1]0.1 Produksi Pangan &amp; Penduduk'!E311)</f>
        <v/>
      </c>
      <c r="F310" s="59" t="str">
        <f>IF(D310="","",VLOOKUP(D310,'[1]0.1 Produksi Pangan &amp; Penduduk'!$D$5:$J$860,7,0))</f>
        <v/>
      </c>
      <c r="G310" s="27" t="str">
        <f t="shared" si="40"/>
        <v/>
      </c>
      <c r="H310" s="27" t="str">
        <f t="shared" si="41"/>
        <v/>
      </c>
      <c r="I310" s="27" t="str">
        <f t="shared" si="42"/>
        <v/>
      </c>
      <c r="J310" s="27" t="str">
        <f t="shared" si="43"/>
        <v/>
      </c>
      <c r="K310" s="27" t="str">
        <f t="shared" si="44"/>
        <v/>
      </c>
      <c r="L310" s="59" t="str">
        <f>IF(D310="","",VLOOKUP(D310,'[1]0.1 Produksi Pangan &amp; Penduduk'!$D$5:$M$860,10,0))</f>
        <v/>
      </c>
      <c r="M310" s="28" t="str">
        <f t="shared" si="45"/>
        <v/>
      </c>
      <c r="N310" s="60" t="str">
        <f t="shared" si="46"/>
        <v/>
      </c>
      <c r="O310" s="60" t="str">
        <f t="shared" si="47"/>
        <v/>
      </c>
      <c r="P310" s="60" t="str">
        <f t="shared" si="48"/>
        <v/>
      </c>
      <c r="Q310" s="28" t="str">
        <f t="shared" si="49"/>
        <v/>
      </c>
    </row>
    <row r="311" spans="1:17" ht="15" x14ac:dyDescent="0.25">
      <c r="A311" s="3" t="str">
        <f>IF('[1]0.1 Produksi Pangan &amp; Penduduk'!A312="","",'[1]0.1 Produksi Pangan &amp; Penduduk'!A312)</f>
        <v/>
      </c>
      <c r="B311" s="2" t="str">
        <f>IF('[1]0.1 Produksi Pangan &amp; Penduduk'!B312="","",'[1]0.1 Produksi Pangan &amp; Penduduk'!B312)</f>
        <v/>
      </c>
      <c r="C311" s="2" t="str">
        <f>IF('[1]0.1 Produksi Pangan &amp; Penduduk'!F312="","",'[1]0.1 Produksi Pangan &amp; Penduduk'!F312)</f>
        <v/>
      </c>
      <c r="D311" s="3" t="str">
        <f>IF('[1]0.1 Produksi Pangan &amp; Penduduk'!D312="","",'[1]0.1 Produksi Pangan &amp; Penduduk'!D312)</f>
        <v/>
      </c>
      <c r="E311" s="3" t="str">
        <f>IF('[1]0.1 Produksi Pangan &amp; Penduduk'!E312="","",'[1]0.1 Produksi Pangan &amp; Penduduk'!E312)</f>
        <v/>
      </c>
      <c r="F311" s="59" t="str">
        <f>IF(D311="","",VLOOKUP(D311,'[1]0.1 Produksi Pangan &amp; Penduduk'!$D$5:$J$860,7,0))</f>
        <v/>
      </c>
      <c r="G311" s="27" t="str">
        <f t="shared" si="40"/>
        <v/>
      </c>
      <c r="H311" s="27" t="str">
        <f t="shared" si="41"/>
        <v/>
      </c>
      <c r="I311" s="27" t="str">
        <f t="shared" si="42"/>
        <v/>
      </c>
      <c r="J311" s="27" t="str">
        <f t="shared" si="43"/>
        <v/>
      </c>
      <c r="K311" s="27" t="str">
        <f t="shared" si="44"/>
        <v/>
      </c>
      <c r="L311" s="59" t="str">
        <f>IF(D311="","",VLOOKUP(D311,'[1]0.1 Produksi Pangan &amp; Penduduk'!$D$5:$M$860,10,0))</f>
        <v/>
      </c>
      <c r="M311" s="28" t="str">
        <f t="shared" si="45"/>
        <v/>
      </c>
      <c r="N311" s="60" t="str">
        <f t="shared" si="46"/>
        <v/>
      </c>
      <c r="O311" s="60" t="str">
        <f t="shared" si="47"/>
        <v/>
      </c>
      <c r="P311" s="60" t="str">
        <f t="shared" si="48"/>
        <v/>
      </c>
      <c r="Q311" s="28" t="str">
        <f t="shared" si="49"/>
        <v/>
      </c>
    </row>
    <row r="312" spans="1:17" ht="15" x14ac:dyDescent="0.25">
      <c r="A312" s="3" t="str">
        <f>IF('[1]0.1 Produksi Pangan &amp; Penduduk'!A313="","",'[1]0.1 Produksi Pangan &amp; Penduduk'!A313)</f>
        <v/>
      </c>
      <c r="B312" s="2" t="str">
        <f>IF('[1]0.1 Produksi Pangan &amp; Penduduk'!B313="","",'[1]0.1 Produksi Pangan &amp; Penduduk'!B313)</f>
        <v/>
      </c>
      <c r="C312" s="2" t="str">
        <f>IF('[1]0.1 Produksi Pangan &amp; Penduduk'!F313="","",'[1]0.1 Produksi Pangan &amp; Penduduk'!F313)</f>
        <v/>
      </c>
      <c r="D312" s="3" t="str">
        <f>IF('[1]0.1 Produksi Pangan &amp; Penduduk'!D313="","",'[1]0.1 Produksi Pangan &amp; Penduduk'!D313)</f>
        <v/>
      </c>
      <c r="E312" s="3" t="str">
        <f>IF('[1]0.1 Produksi Pangan &amp; Penduduk'!E313="","",'[1]0.1 Produksi Pangan &amp; Penduduk'!E313)</f>
        <v/>
      </c>
      <c r="F312" s="59" t="str">
        <f>IF(D312="","",VLOOKUP(D312,'[1]0.1 Produksi Pangan &amp; Penduduk'!$D$5:$J$860,7,0))</f>
        <v/>
      </c>
      <c r="G312" s="27" t="str">
        <f t="shared" si="40"/>
        <v/>
      </c>
      <c r="H312" s="27" t="str">
        <f t="shared" si="41"/>
        <v/>
      </c>
      <c r="I312" s="27" t="str">
        <f t="shared" si="42"/>
        <v/>
      </c>
      <c r="J312" s="27" t="str">
        <f t="shared" si="43"/>
        <v/>
      </c>
      <c r="K312" s="27" t="str">
        <f t="shared" si="44"/>
        <v/>
      </c>
      <c r="L312" s="59" t="str">
        <f>IF(D312="","",VLOOKUP(D312,'[1]0.1 Produksi Pangan &amp; Penduduk'!$D$5:$M$860,10,0))</f>
        <v/>
      </c>
      <c r="M312" s="28" t="str">
        <f t="shared" si="45"/>
        <v/>
      </c>
      <c r="N312" s="60" t="str">
        <f t="shared" si="46"/>
        <v/>
      </c>
      <c r="O312" s="60" t="str">
        <f t="shared" si="47"/>
        <v/>
      </c>
      <c r="P312" s="60" t="str">
        <f t="shared" si="48"/>
        <v/>
      </c>
      <c r="Q312" s="28" t="str">
        <f t="shared" si="49"/>
        <v/>
      </c>
    </row>
    <row r="313" spans="1:17" ht="15" x14ac:dyDescent="0.25">
      <c r="A313" s="3" t="str">
        <f>IF('[1]0.1 Produksi Pangan &amp; Penduduk'!A314="","",'[1]0.1 Produksi Pangan &amp; Penduduk'!A314)</f>
        <v/>
      </c>
      <c r="B313" s="2" t="str">
        <f>IF('[1]0.1 Produksi Pangan &amp; Penduduk'!B314="","",'[1]0.1 Produksi Pangan &amp; Penduduk'!B314)</f>
        <v/>
      </c>
      <c r="C313" s="2" t="str">
        <f>IF('[1]0.1 Produksi Pangan &amp; Penduduk'!F314="","",'[1]0.1 Produksi Pangan &amp; Penduduk'!F314)</f>
        <v/>
      </c>
      <c r="D313" s="3" t="str">
        <f>IF('[1]0.1 Produksi Pangan &amp; Penduduk'!D314="","",'[1]0.1 Produksi Pangan &amp; Penduduk'!D314)</f>
        <v/>
      </c>
      <c r="E313" s="3" t="str">
        <f>IF('[1]0.1 Produksi Pangan &amp; Penduduk'!E314="","",'[1]0.1 Produksi Pangan &amp; Penduduk'!E314)</f>
        <v/>
      </c>
      <c r="F313" s="59" t="str">
        <f>IF(D313="","",VLOOKUP(D313,'[1]0.1 Produksi Pangan &amp; Penduduk'!$D$5:$J$860,7,0))</f>
        <v/>
      </c>
      <c r="G313" s="27" t="str">
        <f t="shared" si="40"/>
        <v/>
      </c>
      <c r="H313" s="27" t="str">
        <f t="shared" si="41"/>
        <v/>
      </c>
      <c r="I313" s="27" t="str">
        <f t="shared" si="42"/>
        <v/>
      </c>
      <c r="J313" s="27" t="str">
        <f t="shared" si="43"/>
        <v/>
      </c>
      <c r="K313" s="27" t="str">
        <f t="shared" si="44"/>
        <v/>
      </c>
      <c r="L313" s="59" t="str">
        <f>IF(D313="","",VLOOKUP(D313,'[1]0.1 Produksi Pangan &amp; Penduduk'!$D$5:$M$860,10,0))</f>
        <v/>
      </c>
      <c r="M313" s="28" t="str">
        <f t="shared" si="45"/>
        <v/>
      </c>
      <c r="N313" s="60" t="str">
        <f t="shared" si="46"/>
        <v/>
      </c>
      <c r="O313" s="60" t="str">
        <f t="shared" si="47"/>
        <v/>
      </c>
      <c r="P313" s="60" t="str">
        <f t="shared" si="48"/>
        <v/>
      </c>
      <c r="Q313" s="28" t="str">
        <f t="shared" si="49"/>
        <v/>
      </c>
    </row>
    <row r="314" spans="1:17" ht="15" x14ac:dyDescent="0.25">
      <c r="A314" s="3" t="str">
        <f>IF('[1]0.1 Produksi Pangan &amp; Penduduk'!A315="","",'[1]0.1 Produksi Pangan &amp; Penduduk'!A315)</f>
        <v/>
      </c>
      <c r="B314" s="2" t="str">
        <f>IF('[1]0.1 Produksi Pangan &amp; Penduduk'!B315="","",'[1]0.1 Produksi Pangan &amp; Penduduk'!B315)</f>
        <v/>
      </c>
      <c r="C314" s="2" t="str">
        <f>IF('[1]0.1 Produksi Pangan &amp; Penduduk'!F315="","",'[1]0.1 Produksi Pangan &amp; Penduduk'!F315)</f>
        <v/>
      </c>
      <c r="D314" s="3" t="str">
        <f>IF('[1]0.1 Produksi Pangan &amp; Penduduk'!D315="","",'[1]0.1 Produksi Pangan &amp; Penduduk'!D315)</f>
        <v/>
      </c>
      <c r="E314" s="3" t="str">
        <f>IF('[1]0.1 Produksi Pangan &amp; Penduduk'!E315="","",'[1]0.1 Produksi Pangan &amp; Penduduk'!E315)</f>
        <v/>
      </c>
      <c r="F314" s="59" t="str">
        <f>IF(D314="","",VLOOKUP(D314,'[1]0.1 Produksi Pangan &amp; Penduduk'!$D$5:$J$860,7,0))</f>
        <v/>
      </c>
      <c r="G314" s="27" t="str">
        <f t="shared" si="40"/>
        <v/>
      </c>
      <c r="H314" s="27" t="str">
        <f t="shared" si="41"/>
        <v/>
      </c>
      <c r="I314" s="27" t="str">
        <f t="shared" si="42"/>
        <v/>
      </c>
      <c r="J314" s="27" t="str">
        <f t="shared" si="43"/>
        <v/>
      </c>
      <c r="K314" s="27" t="str">
        <f t="shared" si="44"/>
        <v/>
      </c>
      <c r="L314" s="59" t="str">
        <f>IF(D314="","",VLOOKUP(D314,'[1]0.1 Produksi Pangan &amp; Penduduk'!$D$5:$M$860,10,0))</f>
        <v/>
      </c>
      <c r="M314" s="28" t="str">
        <f t="shared" si="45"/>
        <v/>
      </c>
      <c r="N314" s="60" t="str">
        <f t="shared" si="46"/>
        <v/>
      </c>
      <c r="O314" s="60" t="str">
        <f t="shared" si="47"/>
        <v/>
      </c>
      <c r="P314" s="60" t="str">
        <f t="shared" si="48"/>
        <v/>
      </c>
      <c r="Q314" s="28" t="str">
        <f t="shared" si="49"/>
        <v/>
      </c>
    </row>
    <row r="315" spans="1:17" ht="15" x14ac:dyDescent="0.25">
      <c r="A315" s="3" t="str">
        <f>IF('[1]0.1 Produksi Pangan &amp; Penduduk'!A316="","",'[1]0.1 Produksi Pangan &amp; Penduduk'!A316)</f>
        <v/>
      </c>
      <c r="B315" s="2" t="str">
        <f>IF('[1]0.1 Produksi Pangan &amp; Penduduk'!B316="","",'[1]0.1 Produksi Pangan &amp; Penduduk'!B316)</f>
        <v/>
      </c>
      <c r="C315" s="2" t="str">
        <f>IF('[1]0.1 Produksi Pangan &amp; Penduduk'!F316="","",'[1]0.1 Produksi Pangan &amp; Penduduk'!F316)</f>
        <v/>
      </c>
      <c r="D315" s="3" t="str">
        <f>IF('[1]0.1 Produksi Pangan &amp; Penduduk'!D316="","",'[1]0.1 Produksi Pangan &amp; Penduduk'!D316)</f>
        <v/>
      </c>
      <c r="E315" s="3" t="str">
        <f>IF('[1]0.1 Produksi Pangan &amp; Penduduk'!E316="","",'[1]0.1 Produksi Pangan &amp; Penduduk'!E316)</f>
        <v/>
      </c>
      <c r="F315" s="59" t="str">
        <f>IF(D315="","",VLOOKUP(D315,'[1]0.1 Produksi Pangan &amp; Penduduk'!$D$5:$J$860,7,0))</f>
        <v/>
      </c>
      <c r="G315" s="27" t="str">
        <f t="shared" si="40"/>
        <v/>
      </c>
      <c r="H315" s="27" t="str">
        <f t="shared" si="41"/>
        <v/>
      </c>
      <c r="I315" s="27" t="str">
        <f t="shared" si="42"/>
        <v/>
      </c>
      <c r="J315" s="27" t="str">
        <f t="shared" si="43"/>
        <v/>
      </c>
      <c r="K315" s="27" t="str">
        <f t="shared" si="44"/>
        <v/>
      </c>
      <c r="L315" s="59" t="str">
        <f>IF(D315="","",VLOOKUP(D315,'[1]0.1 Produksi Pangan &amp; Penduduk'!$D$5:$M$860,10,0))</f>
        <v/>
      </c>
      <c r="M315" s="28" t="str">
        <f t="shared" si="45"/>
        <v/>
      </c>
      <c r="N315" s="60" t="str">
        <f t="shared" si="46"/>
        <v/>
      </c>
      <c r="O315" s="60" t="str">
        <f t="shared" si="47"/>
        <v/>
      </c>
      <c r="P315" s="60" t="str">
        <f t="shared" si="48"/>
        <v/>
      </c>
      <c r="Q315" s="28" t="str">
        <f t="shared" si="49"/>
        <v/>
      </c>
    </row>
    <row r="316" spans="1:17" ht="15" x14ac:dyDescent="0.25">
      <c r="A316" s="3" t="str">
        <f>IF('[1]0.1 Produksi Pangan &amp; Penduduk'!A317="","",'[1]0.1 Produksi Pangan &amp; Penduduk'!A317)</f>
        <v/>
      </c>
      <c r="B316" s="2" t="str">
        <f>IF('[1]0.1 Produksi Pangan &amp; Penduduk'!B317="","",'[1]0.1 Produksi Pangan &amp; Penduduk'!B317)</f>
        <v/>
      </c>
      <c r="C316" s="2" t="str">
        <f>IF('[1]0.1 Produksi Pangan &amp; Penduduk'!F317="","",'[1]0.1 Produksi Pangan &amp; Penduduk'!F317)</f>
        <v/>
      </c>
      <c r="D316" s="3" t="str">
        <f>IF('[1]0.1 Produksi Pangan &amp; Penduduk'!D317="","",'[1]0.1 Produksi Pangan &amp; Penduduk'!D317)</f>
        <v/>
      </c>
      <c r="E316" s="3" t="str">
        <f>IF('[1]0.1 Produksi Pangan &amp; Penduduk'!E317="","",'[1]0.1 Produksi Pangan &amp; Penduduk'!E317)</f>
        <v/>
      </c>
      <c r="F316" s="59" t="str">
        <f>IF(D316="","",VLOOKUP(D316,'[1]0.1 Produksi Pangan &amp; Penduduk'!$D$5:$J$860,7,0))</f>
        <v/>
      </c>
      <c r="G316" s="27" t="str">
        <f t="shared" si="40"/>
        <v/>
      </c>
      <c r="H316" s="27" t="str">
        <f t="shared" si="41"/>
        <v/>
      </c>
      <c r="I316" s="27" t="str">
        <f t="shared" si="42"/>
        <v/>
      </c>
      <c r="J316" s="27" t="str">
        <f t="shared" si="43"/>
        <v/>
      </c>
      <c r="K316" s="27" t="str">
        <f t="shared" si="44"/>
        <v/>
      </c>
      <c r="L316" s="59" t="str">
        <f>IF(D316="","",VLOOKUP(D316,'[1]0.1 Produksi Pangan &amp; Penduduk'!$D$5:$M$860,10,0))</f>
        <v/>
      </c>
      <c r="M316" s="28" t="str">
        <f t="shared" si="45"/>
        <v/>
      </c>
      <c r="N316" s="60" t="str">
        <f t="shared" si="46"/>
        <v/>
      </c>
      <c r="O316" s="60" t="str">
        <f t="shared" si="47"/>
        <v/>
      </c>
      <c r="P316" s="60" t="str">
        <f t="shared" si="48"/>
        <v/>
      </c>
      <c r="Q316" s="28" t="str">
        <f t="shared" si="49"/>
        <v/>
      </c>
    </row>
    <row r="317" spans="1:17" ht="15" x14ac:dyDescent="0.25">
      <c r="A317" s="3" t="str">
        <f>IF('[1]0.1 Produksi Pangan &amp; Penduduk'!A318="","",'[1]0.1 Produksi Pangan &amp; Penduduk'!A318)</f>
        <v/>
      </c>
      <c r="B317" s="2" t="str">
        <f>IF('[1]0.1 Produksi Pangan &amp; Penduduk'!B318="","",'[1]0.1 Produksi Pangan &amp; Penduduk'!B318)</f>
        <v/>
      </c>
      <c r="C317" s="2" t="str">
        <f>IF('[1]0.1 Produksi Pangan &amp; Penduduk'!F318="","",'[1]0.1 Produksi Pangan &amp; Penduduk'!F318)</f>
        <v/>
      </c>
      <c r="D317" s="3" t="str">
        <f>IF('[1]0.1 Produksi Pangan &amp; Penduduk'!D318="","",'[1]0.1 Produksi Pangan &amp; Penduduk'!D318)</f>
        <v/>
      </c>
      <c r="E317" s="3" t="str">
        <f>IF('[1]0.1 Produksi Pangan &amp; Penduduk'!E318="","",'[1]0.1 Produksi Pangan &amp; Penduduk'!E318)</f>
        <v/>
      </c>
      <c r="F317" s="59" t="str">
        <f>IF(D317="","",VLOOKUP(D317,'[1]0.1 Produksi Pangan &amp; Penduduk'!$D$5:$J$860,7,0))</f>
        <v/>
      </c>
      <c r="G317" s="27" t="str">
        <f t="shared" si="40"/>
        <v/>
      </c>
      <c r="H317" s="27" t="str">
        <f t="shared" si="41"/>
        <v/>
      </c>
      <c r="I317" s="27" t="str">
        <f t="shared" si="42"/>
        <v/>
      </c>
      <c r="J317" s="27" t="str">
        <f t="shared" si="43"/>
        <v/>
      </c>
      <c r="K317" s="27" t="str">
        <f t="shared" si="44"/>
        <v/>
      </c>
      <c r="L317" s="59" t="str">
        <f>IF(D317="","",VLOOKUP(D317,'[1]0.1 Produksi Pangan &amp; Penduduk'!$D$5:$M$860,10,0))</f>
        <v/>
      </c>
      <c r="M317" s="28" t="str">
        <f t="shared" si="45"/>
        <v/>
      </c>
      <c r="N317" s="60" t="str">
        <f t="shared" si="46"/>
        <v/>
      </c>
      <c r="O317" s="60" t="str">
        <f t="shared" si="47"/>
        <v/>
      </c>
      <c r="P317" s="60" t="str">
        <f t="shared" si="48"/>
        <v/>
      </c>
      <c r="Q317" s="28" t="str">
        <f t="shared" si="49"/>
        <v/>
      </c>
    </row>
    <row r="318" spans="1:17" ht="15" x14ac:dyDescent="0.25">
      <c r="A318" s="3" t="str">
        <f>IF('[1]0.1 Produksi Pangan &amp; Penduduk'!A319="","",'[1]0.1 Produksi Pangan &amp; Penduduk'!A319)</f>
        <v/>
      </c>
      <c r="B318" s="2" t="str">
        <f>IF('[1]0.1 Produksi Pangan &amp; Penduduk'!B319="","",'[1]0.1 Produksi Pangan &amp; Penduduk'!B319)</f>
        <v/>
      </c>
      <c r="C318" s="2" t="str">
        <f>IF('[1]0.1 Produksi Pangan &amp; Penduduk'!F319="","",'[1]0.1 Produksi Pangan &amp; Penduduk'!F319)</f>
        <v/>
      </c>
      <c r="D318" s="3" t="str">
        <f>IF('[1]0.1 Produksi Pangan &amp; Penduduk'!D319="","",'[1]0.1 Produksi Pangan &amp; Penduduk'!D319)</f>
        <v/>
      </c>
      <c r="E318" s="3" t="str">
        <f>IF('[1]0.1 Produksi Pangan &amp; Penduduk'!E319="","",'[1]0.1 Produksi Pangan &amp; Penduduk'!E319)</f>
        <v/>
      </c>
      <c r="F318" s="59" t="str">
        <f>IF(D318="","",VLOOKUP(D318,'[1]0.1 Produksi Pangan &amp; Penduduk'!$D$5:$J$860,7,0))</f>
        <v/>
      </c>
      <c r="G318" s="27" t="str">
        <f t="shared" si="40"/>
        <v/>
      </c>
      <c r="H318" s="27" t="str">
        <f t="shared" si="41"/>
        <v/>
      </c>
      <c r="I318" s="27" t="str">
        <f t="shared" si="42"/>
        <v/>
      </c>
      <c r="J318" s="27" t="str">
        <f t="shared" si="43"/>
        <v/>
      </c>
      <c r="K318" s="27" t="str">
        <f t="shared" si="44"/>
        <v/>
      </c>
      <c r="L318" s="59" t="str">
        <f>IF(D318="","",VLOOKUP(D318,'[1]0.1 Produksi Pangan &amp; Penduduk'!$D$5:$M$860,10,0))</f>
        <v/>
      </c>
      <c r="M318" s="28" t="str">
        <f t="shared" si="45"/>
        <v/>
      </c>
      <c r="N318" s="60" t="str">
        <f t="shared" si="46"/>
        <v/>
      </c>
      <c r="O318" s="60" t="str">
        <f t="shared" si="47"/>
        <v/>
      </c>
      <c r="P318" s="60" t="str">
        <f t="shared" si="48"/>
        <v/>
      </c>
      <c r="Q318" s="28" t="str">
        <f t="shared" si="49"/>
        <v/>
      </c>
    </row>
    <row r="319" spans="1:17" ht="15" x14ac:dyDescent="0.25">
      <c r="A319" s="3" t="str">
        <f>IF('[1]0.1 Produksi Pangan &amp; Penduduk'!A320="","",'[1]0.1 Produksi Pangan &amp; Penduduk'!A320)</f>
        <v/>
      </c>
      <c r="B319" s="2" t="str">
        <f>IF('[1]0.1 Produksi Pangan &amp; Penduduk'!B320="","",'[1]0.1 Produksi Pangan &amp; Penduduk'!B320)</f>
        <v/>
      </c>
      <c r="C319" s="2" t="str">
        <f>IF('[1]0.1 Produksi Pangan &amp; Penduduk'!F320="","",'[1]0.1 Produksi Pangan &amp; Penduduk'!F320)</f>
        <v/>
      </c>
      <c r="D319" s="3" t="str">
        <f>IF('[1]0.1 Produksi Pangan &amp; Penduduk'!D320="","",'[1]0.1 Produksi Pangan &amp; Penduduk'!D320)</f>
        <v/>
      </c>
      <c r="E319" s="3" t="str">
        <f>IF('[1]0.1 Produksi Pangan &amp; Penduduk'!E320="","",'[1]0.1 Produksi Pangan &amp; Penduduk'!E320)</f>
        <v/>
      </c>
      <c r="F319" s="59" t="str">
        <f>IF(D319="","",VLOOKUP(D319,'[1]0.1 Produksi Pangan &amp; Penduduk'!$D$5:$J$860,7,0))</f>
        <v/>
      </c>
      <c r="G319" s="27" t="str">
        <f t="shared" si="40"/>
        <v/>
      </c>
      <c r="H319" s="27" t="str">
        <f t="shared" si="41"/>
        <v/>
      </c>
      <c r="I319" s="27" t="str">
        <f t="shared" si="42"/>
        <v/>
      </c>
      <c r="J319" s="27" t="str">
        <f t="shared" si="43"/>
        <v/>
      </c>
      <c r="K319" s="27" t="str">
        <f t="shared" si="44"/>
        <v/>
      </c>
      <c r="L319" s="59" t="str">
        <f>IF(D319="","",VLOOKUP(D319,'[1]0.1 Produksi Pangan &amp; Penduduk'!$D$5:$M$860,10,0))</f>
        <v/>
      </c>
      <c r="M319" s="28" t="str">
        <f t="shared" si="45"/>
        <v/>
      </c>
      <c r="N319" s="60" t="str">
        <f t="shared" si="46"/>
        <v/>
      </c>
      <c r="O319" s="60" t="str">
        <f t="shared" si="47"/>
        <v/>
      </c>
      <c r="P319" s="60" t="str">
        <f t="shared" si="48"/>
        <v/>
      </c>
      <c r="Q319" s="28" t="str">
        <f t="shared" si="49"/>
        <v/>
      </c>
    </row>
    <row r="320" spans="1:17" ht="15" x14ac:dyDescent="0.25">
      <c r="A320" s="3" t="str">
        <f>IF('[1]0.1 Produksi Pangan &amp; Penduduk'!A321="","",'[1]0.1 Produksi Pangan &amp; Penduduk'!A321)</f>
        <v/>
      </c>
      <c r="B320" s="2" t="str">
        <f>IF('[1]0.1 Produksi Pangan &amp; Penduduk'!B321="","",'[1]0.1 Produksi Pangan &amp; Penduduk'!B321)</f>
        <v/>
      </c>
      <c r="C320" s="2" t="str">
        <f>IF('[1]0.1 Produksi Pangan &amp; Penduduk'!F321="","",'[1]0.1 Produksi Pangan &amp; Penduduk'!F321)</f>
        <v/>
      </c>
      <c r="D320" s="3" t="str">
        <f>IF('[1]0.1 Produksi Pangan &amp; Penduduk'!D321="","",'[1]0.1 Produksi Pangan &amp; Penduduk'!D321)</f>
        <v/>
      </c>
      <c r="E320" s="3" t="str">
        <f>IF('[1]0.1 Produksi Pangan &amp; Penduduk'!E321="","",'[1]0.1 Produksi Pangan &amp; Penduduk'!E321)</f>
        <v/>
      </c>
      <c r="F320" s="59" t="str">
        <f>IF(D320="","",VLOOKUP(D320,'[1]0.1 Produksi Pangan &amp; Penduduk'!$D$5:$J$860,7,0))</f>
        <v/>
      </c>
      <c r="G320" s="27" t="str">
        <f t="shared" si="40"/>
        <v/>
      </c>
      <c r="H320" s="27" t="str">
        <f t="shared" si="41"/>
        <v/>
      </c>
      <c r="I320" s="27" t="str">
        <f t="shared" si="42"/>
        <v/>
      </c>
      <c r="J320" s="27" t="str">
        <f t="shared" si="43"/>
        <v/>
      </c>
      <c r="K320" s="27" t="str">
        <f t="shared" si="44"/>
        <v/>
      </c>
      <c r="L320" s="59" t="str">
        <f>IF(D320="","",VLOOKUP(D320,'[1]0.1 Produksi Pangan &amp; Penduduk'!$D$5:$M$860,10,0))</f>
        <v/>
      </c>
      <c r="M320" s="28" t="str">
        <f t="shared" si="45"/>
        <v/>
      </c>
      <c r="N320" s="60" t="str">
        <f t="shared" si="46"/>
        <v/>
      </c>
      <c r="O320" s="60" t="str">
        <f t="shared" si="47"/>
        <v/>
      </c>
      <c r="P320" s="60" t="str">
        <f t="shared" si="48"/>
        <v/>
      </c>
      <c r="Q320" s="28" t="str">
        <f t="shared" si="49"/>
        <v/>
      </c>
    </row>
    <row r="321" spans="1:17" ht="15" x14ac:dyDescent="0.25">
      <c r="A321" s="3" t="str">
        <f>IF('[1]0.1 Produksi Pangan &amp; Penduduk'!A322="","",'[1]0.1 Produksi Pangan &amp; Penduduk'!A322)</f>
        <v/>
      </c>
      <c r="B321" s="2" t="str">
        <f>IF('[1]0.1 Produksi Pangan &amp; Penduduk'!B322="","",'[1]0.1 Produksi Pangan &amp; Penduduk'!B322)</f>
        <v/>
      </c>
      <c r="C321" s="2" t="str">
        <f>IF('[1]0.1 Produksi Pangan &amp; Penduduk'!F322="","",'[1]0.1 Produksi Pangan &amp; Penduduk'!F322)</f>
        <v/>
      </c>
      <c r="D321" s="3" t="str">
        <f>IF('[1]0.1 Produksi Pangan &amp; Penduduk'!D322="","",'[1]0.1 Produksi Pangan &amp; Penduduk'!D322)</f>
        <v/>
      </c>
      <c r="E321" s="3" t="str">
        <f>IF('[1]0.1 Produksi Pangan &amp; Penduduk'!E322="","",'[1]0.1 Produksi Pangan &amp; Penduduk'!E322)</f>
        <v/>
      </c>
      <c r="F321" s="59" t="str">
        <f>IF(D321="","",VLOOKUP(D321,'[1]0.1 Produksi Pangan &amp; Penduduk'!$D$5:$J$860,7,0))</f>
        <v/>
      </c>
      <c r="G321" s="27" t="str">
        <f t="shared" si="40"/>
        <v/>
      </c>
      <c r="H321" s="27" t="str">
        <f t="shared" si="41"/>
        <v/>
      </c>
      <c r="I321" s="27" t="str">
        <f t="shared" si="42"/>
        <v/>
      </c>
      <c r="J321" s="27" t="str">
        <f t="shared" si="43"/>
        <v/>
      </c>
      <c r="K321" s="27" t="str">
        <f t="shared" si="44"/>
        <v/>
      </c>
      <c r="L321" s="59" t="str">
        <f>IF(D321="","",VLOOKUP(D321,'[1]0.1 Produksi Pangan &amp; Penduduk'!$D$5:$M$860,10,0))</f>
        <v/>
      </c>
      <c r="M321" s="28" t="str">
        <f t="shared" si="45"/>
        <v/>
      </c>
      <c r="N321" s="60" t="str">
        <f t="shared" si="46"/>
        <v/>
      </c>
      <c r="O321" s="60" t="str">
        <f t="shared" si="47"/>
        <v/>
      </c>
      <c r="P321" s="60" t="str">
        <f t="shared" si="48"/>
        <v/>
      </c>
      <c r="Q321" s="28" t="str">
        <f t="shared" si="49"/>
        <v/>
      </c>
    </row>
    <row r="322" spans="1:17" ht="15" x14ac:dyDescent="0.25">
      <c r="A322" s="3" t="str">
        <f>IF('[1]0.1 Produksi Pangan &amp; Penduduk'!A323="","",'[1]0.1 Produksi Pangan &amp; Penduduk'!A323)</f>
        <v/>
      </c>
      <c r="B322" s="2" t="str">
        <f>IF('[1]0.1 Produksi Pangan &amp; Penduduk'!B323="","",'[1]0.1 Produksi Pangan &amp; Penduduk'!B323)</f>
        <v/>
      </c>
      <c r="C322" s="2" t="str">
        <f>IF('[1]0.1 Produksi Pangan &amp; Penduduk'!F323="","",'[1]0.1 Produksi Pangan &amp; Penduduk'!F323)</f>
        <v/>
      </c>
      <c r="D322" s="3" t="str">
        <f>IF('[1]0.1 Produksi Pangan &amp; Penduduk'!D323="","",'[1]0.1 Produksi Pangan &amp; Penduduk'!D323)</f>
        <v/>
      </c>
      <c r="E322" s="3" t="str">
        <f>IF('[1]0.1 Produksi Pangan &amp; Penduduk'!E323="","",'[1]0.1 Produksi Pangan &amp; Penduduk'!E323)</f>
        <v/>
      </c>
      <c r="F322" s="59" t="str">
        <f>IF(D322="","",VLOOKUP(D322,'[1]0.1 Produksi Pangan &amp; Penduduk'!$D$5:$J$860,7,0))</f>
        <v/>
      </c>
      <c r="G322" s="27" t="str">
        <f t="shared" si="40"/>
        <v/>
      </c>
      <c r="H322" s="27" t="str">
        <f t="shared" si="41"/>
        <v/>
      </c>
      <c r="I322" s="27" t="str">
        <f t="shared" si="42"/>
        <v/>
      </c>
      <c r="J322" s="27" t="str">
        <f t="shared" si="43"/>
        <v/>
      </c>
      <c r="K322" s="27" t="str">
        <f t="shared" si="44"/>
        <v/>
      </c>
      <c r="L322" s="59" t="str">
        <f>IF(D322="","",VLOOKUP(D322,'[1]0.1 Produksi Pangan &amp; Penduduk'!$D$5:$M$860,10,0))</f>
        <v/>
      </c>
      <c r="M322" s="28" t="str">
        <f t="shared" si="45"/>
        <v/>
      </c>
      <c r="N322" s="60" t="str">
        <f t="shared" si="46"/>
        <v/>
      </c>
      <c r="O322" s="60" t="str">
        <f t="shared" si="47"/>
        <v/>
      </c>
      <c r="P322" s="60" t="str">
        <f t="shared" si="48"/>
        <v/>
      </c>
      <c r="Q322" s="28" t="str">
        <f t="shared" si="49"/>
        <v/>
      </c>
    </row>
    <row r="323" spans="1:17" ht="15" x14ac:dyDescent="0.25">
      <c r="A323" s="3" t="str">
        <f>IF('[1]0.1 Produksi Pangan &amp; Penduduk'!A324="","",'[1]0.1 Produksi Pangan &amp; Penduduk'!A324)</f>
        <v/>
      </c>
      <c r="B323" s="2" t="str">
        <f>IF('[1]0.1 Produksi Pangan &amp; Penduduk'!B324="","",'[1]0.1 Produksi Pangan &amp; Penduduk'!B324)</f>
        <v/>
      </c>
      <c r="C323" s="2" t="str">
        <f>IF('[1]0.1 Produksi Pangan &amp; Penduduk'!F324="","",'[1]0.1 Produksi Pangan &amp; Penduduk'!F324)</f>
        <v/>
      </c>
      <c r="D323" s="3" t="str">
        <f>IF('[1]0.1 Produksi Pangan &amp; Penduduk'!D324="","",'[1]0.1 Produksi Pangan &amp; Penduduk'!D324)</f>
        <v/>
      </c>
      <c r="E323" s="3" t="str">
        <f>IF('[1]0.1 Produksi Pangan &amp; Penduduk'!E324="","",'[1]0.1 Produksi Pangan &amp; Penduduk'!E324)</f>
        <v/>
      </c>
      <c r="F323" s="59" t="str">
        <f>IF(D323="","",VLOOKUP(D323,'[1]0.1 Produksi Pangan &amp; Penduduk'!$D$5:$J$860,7,0))</f>
        <v/>
      </c>
      <c r="G323" s="27" t="str">
        <f t="shared" si="40"/>
        <v/>
      </c>
      <c r="H323" s="27" t="str">
        <f t="shared" si="41"/>
        <v/>
      </c>
      <c r="I323" s="27" t="str">
        <f t="shared" si="42"/>
        <v/>
      </c>
      <c r="J323" s="27" t="str">
        <f t="shared" si="43"/>
        <v/>
      </c>
      <c r="K323" s="27" t="str">
        <f t="shared" si="44"/>
        <v/>
      </c>
      <c r="L323" s="59" t="str">
        <f>IF(D323="","",VLOOKUP(D323,'[1]0.1 Produksi Pangan &amp; Penduduk'!$D$5:$M$860,10,0))</f>
        <v/>
      </c>
      <c r="M323" s="28" t="str">
        <f t="shared" si="45"/>
        <v/>
      </c>
      <c r="N323" s="60" t="str">
        <f t="shared" si="46"/>
        <v/>
      </c>
      <c r="O323" s="60" t="str">
        <f t="shared" si="47"/>
        <v/>
      </c>
      <c r="P323" s="60" t="str">
        <f t="shared" si="48"/>
        <v/>
      </c>
      <c r="Q323" s="28" t="str">
        <f t="shared" si="49"/>
        <v/>
      </c>
    </row>
    <row r="324" spans="1:17" ht="15" x14ac:dyDescent="0.25">
      <c r="A324" s="3" t="str">
        <f>IF('[1]0.1 Produksi Pangan &amp; Penduduk'!A325="","",'[1]0.1 Produksi Pangan &amp; Penduduk'!A325)</f>
        <v/>
      </c>
      <c r="B324" s="2" t="str">
        <f>IF('[1]0.1 Produksi Pangan &amp; Penduduk'!B325="","",'[1]0.1 Produksi Pangan &amp; Penduduk'!B325)</f>
        <v/>
      </c>
      <c r="C324" s="2" t="str">
        <f>IF('[1]0.1 Produksi Pangan &amp; Penduduk'!F325="","",'[1]0.1 Produksi Pangan &amp; Penduduk'!F325)</f>
        <v/>
      </c>
      <c r="D324" s="3" t="str">
        <f>IF('[1]0.1 Produksi Pangan &amp; Penduduk'!D325="","",'[1]0.1 Produksi Pangan &amp; Penduduk'!D325)</f>
        <v/>
      </c>
      <c r="E324" s="3" t="str">
        <f>IF('[1]0.1 Produksi Pangan &amp; Penduduk'!E325="","",'[1]0.1 Produksi Pangan &amp; Penduduk'!E325)</f>
        <v/>
      </c>
      <c r="F324" s="59" t="str">
        <f>IF(D324="","",VLOOKUP(D324,'[1]0.1 Produksi Pangan &amp; Penduduk'!$D$5:$J$860,7,0))</f>
        <v/>
      </c>
      <c r="G324" s="27" t="str">
        <f t="shared" si="40"/>
        <v/>
      </c>
      <c r="H324" s="27" t="str">
        <f t="shared" si="41"/>
        <v/>
      </c>
      <c r="I324" s="27" t="str">
        <f t="shared" si="42"/>
        <v/>
      </c>
      <c r="J324" s="27" t="str">
        <f t="shared" si="43"/>
        <v/>
      </c>
      <c r="K324" s="27" t="str">
        <f t="shared" si="44"/>
        <v/>
      </c>
      <c r="L324" s="59" t="str">
        <f>IF(D324="","",VLOOKUP(D324,'[1]0.1 Produksi Pangan &amp; Penduduk'!$D$5:$M$860,10,0))</f>
        <v/>
      </c>
      <c r="M324" s="28" t="str">
        <f t="shared" si="45"/>
        <v/>
      </c>
      <c r="N324" s="60" t="str">
        <f t="shared" si="46"/>
        <v/>
      </c>
      <c r="O324" s="60" t="str">
        <f t="shared" si="47"/>
        <v/>
      </c>
      <c r="P324" s="60" t="str">
        <f t="shared" si="48"/>
        <v/>
      </c>
      <c r="Q324" s="28" t="str">
        <f t="shared" si="49"/>
        <v/>
      </c>
    </row>
    <row r="325" spans="1:17" ht="15" x14ac:dyDescent="0.25">
      <c r="A325" s="3" t="str">
        <f>IF('[1]0.1 Produksi Pangan &amp; Penduduk'!A326="","",'[1]0.1 Produksi Pangan &amp; Penduduk'!A326)</f>
        <v/>
      </c>
      <c r="B325" s="2" t="str">
        <f>IF('[1]0.1 Produksi Pangan &amp; Penduduk'!B326="","",'[1]0.1 Produksi Pangan &amp; Penduduk'!B326)</f>
        <v/>
      </c>
      <c r="C325" s="2" t="str">
        <f>IF('[1]0.1 Produksi Pangan &amp; Penduduk'!F326="","",'[1]0.1 Produksi Pangan &amp; Penduduk'!F326)</f>
        <v/>
      </c>
      <c r="D325" s="3" t="str">
        <f>IF('[1]0.1 Produksi Pangan &amp; Penduduk'!D326="","",'[1]0.1 Produksi Pangan &amp; Penduduk'!D326)</f>
        <v/>
      </c>
      <c r="E325" s="3" t="str">
        <f>IF('[1]0.1 Produksi Pangan &amp; Penduduk'!E326="","",'[1]0.1 Produksi Pangan &amp; Penduduk'!E326)</f>
        <v/>
      </c>
      <c r="F325" s="59" t="str">
        <f>IF(D325="","",VLOOKUP(D325,'[1]0.1 Produksi Pangan &amp; Penduduk'!$D$5:$J$860,7,0))</f>
        <v/>
      </c>
      <c r="G325" s="27" t="str">
        <f t="shared" si="40"/>
        <v/>
      </c>
      <c r="H325" s="27" t="str">
        <f t="shared" si="41"/>
        <v/>
      </c>
      <c r="I325" s="27" t="str">
        <f t="shared" si="42"/>
        <v/>
      </c>
      <c r="J325" s="27" t="str">
        <f t="shared" si="43"/>
        <v/>
      </c>
      <c r="K325" s="27" t="str">
        <f t="shared" si="44"/>
        <v/>
      </c>
      <c r="L325" s="59" t="str">
        <f>IF(D325="","",VLOOKUP(D325,'[1]0.1 Produksi Pangan &amp; Penduduk'!$D$5:$M$860,10,0))</f>
        <v/>
      </c>
      <c r="M325" s="28" t="str">
        <f t="shared" si="45"/>
        <v/>
      </c>
      <c r="N325" s="60" t="str">
        <f t="shared" si="46"/>
        <v/>
      </c>
      <c r="O325" s="60" t="str">
        <f t="shared" si="47"/>
        <v/>
      </c>
      <c r="P325" s="60" t="str">
        <f t="shared" si="48"/>
        <v/>
      </c>
      <c r="Q325" s="28" t="str">
        <f t="shared" si="49"/>
        <v/>
      </c>
    </row>
    <row r="326" spans="1:17" ht="15" x14ac:dyDescent="0.25">
      <c r="A326" s="3" t="str">
        <f>IF('[1]0.1 Produksi Pangan &amp; Penduduk'!A327="","",'[1]0.1 Produksi Pangan &amp; Penduduk'!A327)</f>
        <v/>
      </c>
      <c r="B326" s="2" t="str">
        <f>IF('[1]0.1 Produksi Pangan &amp; Penduduk'!B327="","",'[1]0.1 Produksi Pangan &amp; Penduduk'!B327)</f>
        <v/>
      </c>
      <c r="C326" s="2" t="str">
        <f>IF('[1]0.1 Produksi Pangan &amp; Penduduk'!F327="","",'[1]0.1 Produksi Pangan &amp; Penduduk'!F327)</f>
        <v/>
      </c>
      <c r="D326" s="3" t="str">
        <f>IF('[1]0.1 Produksi Pangan &amp; Penduduk'!D327="","",'[1]0.1 Produksi Pangan &amp; Penduduk'!D327)</f>
        <v/>
      </c>
      <c r="E326" s="3" t="str">
        <f>IF('[1]0.1 Produksi Pangan &amp; Penduduk'!E327="","",'[1]0.1 Produksi Pangan &amp; Penduduk'!E327)</f>
        <v/>
      </c>
      <c r="F326" s="59" t="str">
        <f>IF(D326="","",VLOOKUP(D326,'[1]0.1 Produksi Pangan &amp; Penduduk'!$D$5:$J$860,7,0))</f>
        <v/>
      </c>
      <c r="G326" s="27" t="str">
        <f t="shared" ref="G326:G389" si="50">IF(F326="","",F326*0.9%)</f>
        <v/>
      </c>
      <c r="H326" s="27" t="str">
        <f t="shared" ref="H326:H389" si="51">IF(F326="","",F326*0.44%)</f>
        <v/>
      </c>
      <c r="I326" s="27" t="str">
        <f t="shared" ref="I326:I389" si="52">IF(F326="","",F326*4.92%)</f>
        <v/>
      </c>
      <c r="J326" s="27" t="str">
        <f t="shared" ref="J326:J389" si="53">IF(F326="","",F326*0.56%)</f>
        <v/>
      </c>
      <c r="K326" s="27" t="str">
        <f t="shared" ref="K326:K389" si="54">IF(F326="","",F326-(G326+H326+I326+J326))</f>
        <v/>
      </c>
      <c r="L326" s="59" t="str">
        <f>IF(D326="","",VLOOKUP(D326,'[1]0.1 Produksi Pangan &amp; Penduduk'!$D$5:$M$860,10,0))</f>
        <v/>
      </c>
      <c r="M326" s="28" t="str">
        <f t="shared" ref="M326:M389" si="55">IFERROR(K326*L326,"")</f>
        <v/>
      </c>
      <c r="N326" s="60" t="str">
        <f t="shared" ref="N326:N389" si="56">IF(M326="","",M326*0.17%)</f>
        <v/>
      </c>
      <c r="O326" s="60" t="str">
        <f t="shared" ref="O326:O389" si="57">IF(M326="","",M326*2.5%)</f>
        <v/>
      </c>
      <c r="P326" s="60" t="str">
        <f t="shared" ref="P326:P389" si="58">IF(M326="","",M326*0.66%)</f>
        <v/>
      </c>
      <c r="Q326" s="28" t="str">
        <f t="shared" ref="Q326:Q389" si="59">IF(M326="","",M326-(N326+O326+P326))</f>
        <v/>
      </c>
    </row>
    <row r="327" spans="1:17" ht="15" x14ac:dyDescent="0.25">
      <c r="A327" s="3" t="str">
        <f>IF('[1]0.1 Produksi Pangan &amp; Penduduk'!A328="","",'[1]0.1 Produksi Pangan &amp; Penduduk'!A328)</f>
        <v/>
      </c>
      <c r="B327" s="2" t="str">
        <f>IF('[1]0.1 Produksi Pangan &amp; Penduduk'!B328="","",'[1]0.1 Produksi Pangan &amp; Penduduk'!B328)</f>
        <v/>
      </c>
      <c r="C327" s="2" t="str">
        <f>IF('[1]0.1 Produksi Pangan &amp; Penduduk'!F328="","",'[1]0.1 Produksi Pangan &amp; Penduduk'!F328)</f>
        <v/>
      </c>
      <c r="D327" s="3" t="str">
        <f>IF('[1]0.1 Produksi Pangan &amp; Penduduk'!D328="","",'[1]0.1 Produksi Pangan &amp; Penduduk'!D328)</f>
        <v/>
      </c>
      <c r="E327" s="3" t="str">
        <f>IF('[1]0.1 Produksi Pangan &amp; Penduduk'!E328="","",'[1]0.1 Produksi Pangan &amp; Penduduk'!E328)</f>
        <v/>
      </c>
      <c r="F327" s="59" t="str">
        <f>IF(D327="","",VLOOKUP(D327,'[1]0.1 Produksi Pangan &amp; Penduduk'!$D$5:$J$860,7,0))</f>
        <v/>
      </c>
      <c r="G327" s="27" t="str">
        <f t="shared" si="50"/>
        <v/>
      </c>
      <c r="H327" s="27" t="str">
        <f t="shared" si="51"/>
        <v/>
      </c>
      <c r="I327" s="27" t="str">
        <f t="shared" si="52"/>
        <v/>
      </c>
      <c r="J327" s="27" t="str">
        <f t="shared" si="53"/>
        <v/>
      </c>
      <c r="K327" s="27" t="str">
        <f t="shared" si="54"/>
        <v/>
      </c>
      <c r="L327" s="59" t="str">
        <f>IF(D327="","",VLOOKUP(D327,'[1]0.1 Produksi Pangan &amp; Penduduk'!$D$5:$M$860,10,0))</f>
        <v/>
      </c>
      <c r="M327" s="28" t="str">
        <f t="shared" si="55"/>
        <v/>
      </c>
      <c r="N327" s="60" t="str">
        <f t="shared" si="56"/>
        <v/>
      </c>
      <c r="O327" s="60" t="str">
        <f t="shared" si="57"/>
        <v/>
      </c>
      <c r="P327" s="60" t="str">
        <f t="shared" si="58"/>
        <v/>
      </c>
      <c r="Q327" s="28" t="str">
        <f t="shared" si="59"/>
        <v/>
      </c>
    </row>
    <row r="328" spans="1:17" ht="15" x14ac:dyDescent="0.25">
      <c r="A328" s="3" t="str">
        <f>IF('[1]0.1 Produksi Pangan &amp; Penduduk'!A329="","",'[1]0.1 Produksi Pangan &amp; Penduduk'!A329)</f>
        <v/>
      </c>
      <c r="B328" s="2" t="str">
        <f>IF('[1]0.1 Produksi Pangan &amp; Penduduk'!B329="","",'[1]0.1 Produksi Pangan &amp; Penduduk'!B329)</f>
        <v/>
      </c>
      <c r="C328" s="2" t="str">
        <f>IF('[1]0.1 Produksi Pangan &amp; Penduduk'!F329="","",'[1]0.1 Produksi Pangan &amp; Penduduk'!F329)</f>
        <v/>
      </c>
      <c r="D328" s="3" t="str">
        <f>IF('[1]0.1 Produksi Pangan &amp; Penduduk'!D329="","",'[1]0.1 Produksi Pangan &amp; Penduduk'!D329)</f>
        <v/>
      </c>
      <c r="E328" s="3" t="str">
        <f>IF('[1]0.1 Produksi Pangan &amp; Penduduk'!E329="","",'[1]0.1 Produksi Pangan &amp; Penduduk'!E329)</f>
        <v/>
      </c>
      <c r="F328" s="59" t="str">
        <f>IF(D328="","",VLOOKUP(D328,'[1]0.1 Produksi Pangan &amp; Penduduk'!$D$5:$J$860,7,0))</f>
        <v/>
      </c>
      <c r="G328" s="27" t="str">
        <f t="shared" si="50"/>
        <v/>
      </c>
      <c r="H328" s="27" t="str">
        <f t="shared" si="51"/>
        <v/>
      </c>
      <c r="I328" s="27" t="str">
        <f t="shared" si="52"/>
        <v/>
      </c>
      <c r="J328" s="27" t="str">
        <f t="shared" si="53"/>
        <v/>
      </c>
      <c r="K328" s="27" t="str">
        <f t="shared" si="54"/>
        <v/>
      </c>
      <c r="L328" s="59" t="str">
        <f>IF(D328="","",VLOOKUP(D328,'[1]0.1 Produksi Pangan &amp; Penduduk'!$D$5:$M$860,10,0))</f>
        <v/>
      </c>
      <c r="M328" s="28" t="str">
        <f t="shared" si="55"/>
        <v/>
      </c>
      <c r="N328" s="60" t="str">
        <f t="shared" si="56"/>
        <v/>
      </c>
      <c r="O328" s="60" t="str">
        <f t="shared" si="57"/>
        <v/>
      </c>
      <c r="P328" s="60" t="str">
        <f t="shared" si="58"/>
        <v/>
      </c>
      <c r="Q328" s="28" t="str">
        <f t="shared" si="59"/>
        <v/>
      </c>
    </row>
    <row r="329" spans="1:17" ht="15" x14ac:dyDescent="0.25">
      <c r="A329" s="3" t="str">
        <f>IF('[1]0.1 Produksi Pangan &amp; Penduduk'!A330="","",'[1]0.1 Produksi Pangan &amp; Penduduk'!A330)</f>
        <v/>
      </c>
      <c r="B329" s="2" t="str">
        <f>IF('[1]0.1 Produksi Pangan &amp; Penduduk'!B330="","",'[1]0.1 Produksi Pangan &amp; Penduduk'!B330)</f>
        <v/>
      </c>
      <c r="C329" s="2" t="str">
        <f>IF('[1]0.1 Produksi Pangan &amp; Penduduk'!F330="","",'[1]0.1 Produksi Pangan &amp; Penduduk'!F330)</f>
        <v/>
      </c>
      <c r="D329" s="3" t="str">
        <f>IF('[1]0.1 Produksi Pangan &amp; Penduduk'!D330="","",'[1]0.1 Produksi Pangan &amp; Penduduk'!D330)</f>
        <v/>
      </c>
      <c r="E329" s="3" t="str">
        <f>IF('[1]0.1 Produksi Pangan &amp; Penduduk'!E330="","",'[1]0.1 Produksi Pangan &amp; Penduduk'!E330)</f>
        <v/>
      </c>
      <c r="F329" s="59" t="str">
        <f>IF(D329="","",VLOOKUP(D329,'[1]0.1 Produksi Pangan &amp; Penduduk'!$D$5:$J$860,7,0))</f>
        <v/>
      </c>
      <c r="G329" s="27" t="str">
        <f t="shared" si="50"/>
        <v/>
      </c>
      <c r="H329" s="27" t="str">
        <f t="shared" si="51"/>
        <v/>
      </c>
      <c r="I329" s="27" t="str">
        <f t="shared" si="52"/>
        <v/>
      </c>
      <c r="J329" s="27" t="str">
        <f t="shared" si="53"/>
        <v/>
      </c>
      <c r="K329" s="27" t="str">
        <f t="shared" si="54"/>
        <v/>
      </c>
      <c r="L329" s="59" t="str">
        <f>IF(D329="","",VLOOKUP(D329,'[1]0.1 Produksi Pangan &amp; Penduduk'!$D$5:$M$860,10,0))</f>
        <v/>
      </c>
      <c r="M329" s="28" t="str">
        <f t="shared" si="55"/>
        <v/>
      </c>
      <c r="N329" s="60" t="str">
        <f t="shared" si="56"/>
        <v/>
      </c>
      <c r="O329" s="60" t="str">
        <f t="shared" si="57"/>
        <v/>
      </c>
      <c r="P329" s="60" t="str">
        <f t="shared" si="58"/>
        <v/>
      </c>
      <c r="Q329" s="28" t="str">
        <f t="shared" si="59"/>
        <v/>
      </c>
    </row>
    <row r="330" spans="1:17" ht="15" x14ac:dyDescent="0.25">
      <c r="A330" s="3" t="str">
        <f>IF('[1]0.1 Produksi Pangan &amp; Penduduk'!A331="","",'[1]0.1 Produksi Pangan &amp; Penduduk'!A331)</f>
        <v/>
      </c>
      <c r="B330" s="2" t="str">
        <f>IF('[1]0.1 Produksi Pangan &amp; Penduduk'!B331="","",'[1]0.1 Produksi Pangan &amp; Penduduk'!B331)</f>
        <v/>
      </c>
      <c r="C330" s="2" t="str">
        <f>IF('[1]0.1 Produksi Pangan &amp; Penduduk'!F331="","",'[1]0.1 Produksi Pangan &amp; Penduduk'!F331)</f>
        <v/>
      </c>
      <c r="D330" s="3" t="str">
        <f>IF('[1]0.1 Produksi Pangan &amp; Penduduk'!D331="","",'[1]0.1 Produksi Pangan &amp; Penduduk'!D331)</f>
        <v/>
      </c>
      <c r="E330" s="3" t="str">
        <f>IF('[1]0.1 Produksi Pangan &amp; Penduduk'!E331="","",'[1]0.1 Produksi Pangan &amp; Penduduk'!E331)</f>
        <v/>
      </c>
      <c r="F330" s="59" t="str">
        <f>IF(D330="","",VLOOKUP(D330,'[1]0.1 Produksi Pangan &amp; Penduduk'!$D$5:$J$860,7,0))</f>
        <v/>
      </c>
      <c r="G330" s="27" t="str">
        <f t="shared" si="50"/>
        <v/>
      </c>
      <c r="H330" s="27" t="str">
        <f t="shared" si="51"/>
        <v/>
      </c>
      <c r="I330" s="27" t="str">
        <f t="shared" si="52"/>
        <v/>
      </c>
      <c r="J330" s="27" t="str">
        <f t="shared" si="53"/>
        <v/>
      </c>
      <c r="K330" s="27" t="str">
        <f t="shared" si="54"/>
        <v/>
      </c>
      <c r="L330" s="59" t="str">
        <f>IF(D330="","",VLOOKUP(D330,'[1]0.1 Produksi Pangan &amp; Penduduk'!$D$5:$M$860,10,0))</f>
        <v/>
      </c>
      <c r="M330" s="28" t="str">
        <f t="shared" si="55"/>
        <v/>
      </c>
      <c r="N330" s="60" t="str">
        <f t="shared" si="56"/>
        <v/>
      </c>
      <c r="O330" s="60" t="str">
        <f t="shared" si="57"/>
        <v/>
      </c>
      <c r="P330" s="60" t="str">
        <f t="shared" si="58"/>
        <v/>
      </c>
      <c r="Q330" s="28" t="str">
        <f t="shared" si="59"/>
        <v/>
      </c>
    </row>
    <row r="331" spans="1:17" ht="15" x14ac:dyDescent="0.25">
      <c r="A331" s="3" t="str">
        <f>IF('[1]0.1 Produksi Pangan &amp; Penduduk'!A332="","",'[1]0.1 Produksi Pangan &amp; Penduduk'!A332)</f>
        <v/>
      </c>
      <c r="B331" s="2" t="str">
        <f>IF('[1]0.1 Produksi Pangan &amp; Penduduk'!B332="","",'[1]0.1 Produksi Pangan &amp; Penduduk'!B332)</f>
        <v/>
      </c>
      <c r="C331" s="2" t="str">
        <f>IF('[1]0.1 Produksi Pangan &amp; Penduduk'!F332="","",'[1]0.1 Produksi Pangan &amp; Penduduk'!F332)</f>
        <v/>
      </c>
      <c r="D331" s="3" t="str">
        <f>IF('[1]0.1 Produksi Pangan &amp; Penduduk'!D332="","",'[1]0.1 Produksi Pangan &amp; Penduduk'!D332)</f>
        <v/>
      </c>
      <c r="E331" s="3" t="str">
        <f>IF('[1]0.1 Produksi Pangan &amp; Penduduk'!E332="","",'[1]0.1 Produksi Pangan &amp; Penduduk'!E332)</f>
        <v/>
      </c>
      <c r="F331" s="59" t="str">
        <f>IF(D331="","",VLOOKUP(D331,'[1]0.1 Produksi Pangan &amp; Penduduk'!$D$5:$J$860,7,0))</f>
        <v/>
      </c>
      <c r="G331" s="27" t="str">
        <f t="shared" si="50"/>
        <v/>
      </c>
      <c r="H331" s="27" t="str">
        <f t="shared" si="51"/>
        <v/>
      </c>
      <c r="I331" s="27" t="str">
        <f t="shared" si="52"/>
        <v/>
      </c>
      <c r="J331" s="27" t="str">
        <f t="shared" si="53"/>
        <v/>
      </c>
      <c r="K331" s="27" t="str">
        <f t="shared" si="54"/>
        <v/>
      </c>
      <c r="L331" s="59" t="str">
        <f>IF(D331="","",VLOOKUP(D331,'[1]0.1 Produksi Pangan &amp; Penduduk'!$D$5:$M$860,10,0))</f>
        <v/>
      </c>
      <c r="M331" s="28" t="str">
        <f t="shared" si="55"/>
        <v/>
      </c>
      <c r="N331" s="60" t="str">
        <f t="shared" si="56"/>
        <v/>
      </c>
      <c r="O331" s="60" t="str">
        <f t="shared" si="57"/>
        <v/>
      </c>
      <c r="P331" s="60" t="str">
        <f t="shared" si="58"/>
        <v/>
      </c>
      <c r="Q331" s="28" t="str">
        <f t="shared" si="59"/>
        <v/>
      </c>
    </row>
    <row r="332" spans="1:17" ht="15" x14ac:dyDescent="0.25">
      <c r="A332" s="3" t="str">
        <f>IF('[1]0.1 Produksi Pangan &amp; Penduduk'!A333="","",'[1]0.1 Produksi Pangan &amp; Penduduk'!A333)</f>
        <v/>
      </c>
      <c r="B332" s="2" t="str">
        <f>IF('[1]0.1 Produksi Pangan &amp; Penduduk'!B333="","",'[1]0.1 Produksi Pangan &amp; Penduduk'!B333)</f>
        <v/>
      </c>
      <c r="C332" s="2" t="str">
        <f>IF('[1]0.1 Produksi Pangan &amp; Penduduk'!F333="","",'[1]0.1 Produksi Pangan &amp; Penduduk'!F333)</f>
        <v/>
      </c>
      <c r="D332" s="3" t="str">
        <f>IF('[1]0.1 Produksi Pangan &amp; Penduduk'!D333="","",'[1]0.1 Produksi Pangan &amp; Penduduk'!D333)</f>
        <v/>
      </c>
      <c r="E332" s="3" t="str">
        <f>IF('[1]0.1 Produksi Pangan &amp; Penduduk'!E333="","",'[1]0.1 Produksi Pangan &amp; Penduduk'!E333)</f>
        <v/>
      </c>
      <c r="F332" s="59" t="str">
        <f>IF(D332="","",VLOOKUP(D332,'[1]0.1 Produksi Pangan &amp; Penduduk'!$D$5:$J$860,7,0))</f>
        <v/>
      </c>
      <c r="G332" s="27" t="str">
        <f t="shared" si="50"/>
        <v/>
      </c>
      <c r="H332" s="27" t="str">
        <f t="shared" si="51"/>
        <v/>
      </c>
      <c r="I332" s="27" t="str">
        <f t="shared" si="52"/>
        <v/>
      </c>
      <c r="J332" s="27" t="str">
        <f t="shared" si="53"/>
        <v/>
      </c>
      <c r="K332" s="27" t="str">
        <f t="shared" si="54"/>
        <v/>
      </c>
      <c r="L332" s="59" t="str">
        <f>IF(D332="","",VLOOKUP(D332,'[1]0.1 Produksi Pangan &amp; Penduduk'!$D$5:$M$860,10,0))</f>
        <v/>
      </c>
      <c r="M332" s="28" t="str">
        <f t="shared" si="55"/>
        <v/>
      </c>
      <c r="N332" s="60" t="str">
        <f t="shared" si="56"/>
        <v/>
      </c>
      <c r="O332" s="60" t="str">
        <f t="shared" si="57"/>
        <v/>
      </c>
      <c r="P332" s="60" t="str">
        <f t="shared" si="58"/>
        <v/>
      </c>
      <c r="Q332" s="28" t="str">
        <f t="shared" si="59"/>
        <v/>
      </c>
    </row>
    <row r="333" spans="1:17" ht="15" x14ac:dyDescent="0.25">
      <c r="A333" s="3" t="str">
        <f>IF('[1]0.1 Produksi Pangan &amp; Penduduk'!A334="","",'[1]0.1 Produksi Pangan &amp; Penduduk'!A334)</f>
        <v/>
      </c>
      <c r="B333" s="2" t="str">
        <f>IF('[1]0.1 Produksi Pangan &amp; Penduduk'!B334="","",'[1]0.1 Produksi Pangan &amp; Penduduk'!B334)</f>
        <v/>
      </c>
      <c r="C333" s="2" t="str">
        <f>IF('[1]0.1 Produksi Pangan &amp; Penduduk'!F334="","",'[1]0.1 Produksi Pangan &amp; Penduduk'!F334)</f>
        <v/>
      </c>
      <c r="D333" s="3" t="str">
        <f>IF('[1]0.1 Produksi Pangan &amp; Penduduk'!D334="","",'[1]0.1 Produksi Pangan &amp; Penduduk'!D334)</f>
        <v/>
      </c>
      <c r="E333" s="3" t="str">
        <f>IF('[1]0.1 Produksi Pangan &amp; Penduduk'!E334="","",'[1]0.1 Produksi Pangan &amp; Penduduk'!E334)</f>
        <v/>
      </c>
      <c r="F333" s="59" t="str">
        <f>IF(D333="","",VLOOKUP(D333,'[1]0.1 Produksi Pangan &amp; Penduduk'!$D$5:$J$860,7,0))</f>
        <v/>
      </c>
      <c r="G333" s="27" t="str">
        <f t="shared" si="50"/>
        <v/>
      </c>
      <c r="H333" s="27" t="str">
        <f t="shared" si="51"/>
        <v/>
      </c>
      <c r="I333" s="27" t="str">
        <f t="shared" si="52"/>
        <v/>
      </c>
      <c r="J333" s="27" t="str">
        <f t="shared" si="53"/>
        <v/>
      </c>
      <c r="K333" s="27" t="str">
        <f t="shared" si="54"/>
        <v/>
      </c>
      <c r="L333" s="59" t="str">
        <f>IF(D333="","",VLOOKUP(D333,'[1]0.1 Produksi Pangan &amp; Penduduk'!$D$5:$M$860,10,0))</f>
        <v/>
      </c>
      <c r="M333" s="28" t="str">
        <f t="shared" si="55"/>
        <v/>
      </c>
      <c r="N333" s="60" t="str">
        <f t="shared" si="56"/>
        <v/>
      </c>
      <c r="O333" s="60" t="str">
        <f t="shared" si="57"/>
        <v/>
      </c>
      <c r="P333" s="60" t="str">
        <f t="shared" si="58"/>
        <v/>
      </c>
      <c r="Q333" s="28" t="str">
        <f t="shared" si="59"/>
        <v/>
      </c>
    </row>
    <row r="334" spans="1:17" ht="15" x14ac:dyDescent="0.25">
      <c r="A334" s="3" t="str">
        <f>IF('[1]0.1 Produksi Pangan &amp; Penduduk'!A335="","",'[1]0.1 Produksi Pangan &amp; Penduduk'!A335)</f>
        <v/>
      </c>
      <c r="B334" s="2" t="str">
        <f>IF('[1]0.1 Produksi Pangan &amp; Penduduk'!B335="","",'[1]0.1 Produksi Pangan &amp; Penduduk'!B335)</f>
        <v/>
      </c>
      <c r="C334" s="2" t="str">
        <f>IF('[1]0.1 Produksi Pangan &amp; Penduduk'!F335="","",'[1]0.1 Produksi Pangan &amp; Penduduk'!F335)</f>
        <v/>
      </c>
      <c r="D334" s="3" t="str">
        <f>IF('[1]0.1 Produksi Pangan &amp; Penduduk'!D335="","",'[1]0.1 Produksi Pangan &amp; Penduduk'!D335)</f>
        <v/>
      </c>
      <c r="E334" s="3" t="str">
        <f>IF('[1]0.1 Produksi Pangan &amp; Penduduk'!E335="","",'[1]0.1 Produksi Pangan &amp; Penduduk'!E335)</f>
        <v/>
      </c>
      <c r="F334" s="59" t="str">
        <f>IF(D334="","",VLOOKUP(D334,'[1]0.1 Produksi Pangan &amp; Penduduk'!$D$5:$J$860,7,0))</f>
        <v/>
      </c>
      <c r="G334" s="27" t="str">
        <f t="shared" si="50"/>
        <v/>
      </c>
      <c r="H334" s="27" t="str">
        <f t="shared" si="51"/>
        <v/>
      </c>
      <c r="I334" s="27" t="str">
        <f t="shared" si="52"/>
        <v/>
      </c>
      <c r="J334" s="27" t="str">
        <f t="shared" si="53"/>
        <v/>
      </c>
      <c r="K334" s="27" t="str">
        <f t="shared" si="54"/>
        <v/>
      </c>
      <c r="L334" s="59" t="str">
        <f>IF(D334="","",VLOOKUP(D334,'[1]0.1 Produksi Pangan &amp; Penduduk'!$D$5:$M$860,10,0))</f>
        <v/>
      </c>
      <c r="M334" s="28" t="str">
        <f t="shared" si="55"/>
        <v/>
      </c>
      <c r="N334" s="60" t="str">
        <f t="shared" si="56"/>
        <v/>
      </c>
      <c r="O334" s="60" t="str">
        <f t="shared" si="57"/>
        <v/>
      </c>
      <c r="P334" s="60" t="str">
        <f t="shared" si="58"/>
        <v/>
      </c>
      <c r="Q334" s="28" t="str">
        <f t="shared" si="59"/>
        <v/>
      </c>
    </row>
    <row r="335" spans="1:17" ht="15" x14ac:dyDescent="0.25">
      <c r="A335" s="3" t="str">
        <f>IF('[1]0.1 Produksi Pangan &amp; Penduduk'!A336="","",'[1]0.1 Produksi Pangan &amp; Penduduk'!A336)</f>
        <v/>
      </c>
      <c r="B335" s="2" t="str">
        <f>IF('[1]0.1 Produksi Pangan &amp; Penduduk'!B336="","",'[1]0.1 Produksi Pangan &amp; Penduduk'!B336)</f>
        <v/>
      </c>
      <c r="C335" s="2" t="str">
        <f>IF('[1]0.1 Produksi Pangan &amp; Penduduk'!F336="","",'[1]0.1 Produksi Pangan &amp; Penduduk'!F336)</f>
        <v/>
      </c>
      <c r="D335" s="3" t="str">
        <f>IF('[1]0.1 Produksi Pangan &amp; Penduduk'!D336="","",'[1]0.1 Produksi Pangan &amp; Penduduk'!D336)</f>
        <v/>
      </c>
      <c r="E335" s="3" t="str">
        <f>IF('[1]0.1 Produksi Pangan &amp; Penduduk'!E336="","",'[1]0.1 Produksi Pangan &amp; Penduduk'!E336)</f>
        <v/>
      </c>
      <c r="F335" s="59" t="str">
        <f>IF(D335="","",VLOOKUP(D335,'[1]0.1 Produksi Pangan &amp; Penduduk'!$D$5:$J$860,7,0))</f>
        <v/>
      </c>
      <c r="G335" s="27" t="str">
        <f t="shared" si="50"/>
        <v/>
      </c>
      <c r="H335" s="27" t="str">
        <f t="shared" si="51"/>
        <v/>
      </c>
      <c r="I335" s="27" t="str">
        <f t="shared" si="52"/>
        <v/>
      </c>
      <c r="J335" s="27" t="str">
        <f t="shared" si="53"/>
        <v/>
      </c>
      <c r="K335" s="27" t="str">
        <f t="shared" si="54"/>
        <v/>
      </c>
      <c r="L335" s="59" t="str">
        <f>IF(D335="","",VLOOKUP(D335,'[1]0.1 Produksi Pangan &amp; Penduduk'!$D$5:$M$860,10,0))</f>
        <v/>
      </c>
      <c r="M335" s="28" t="str">
        <f t="shared" si="55"/>
        <v/>
      </c>
      <c r="N335" s="60" t="str">
        <f t="shared" si="56"/>
        <v/>
      </c>
      <c r="O335" s="60" t="str">
        <f t="shared" si="57"/>
        <v/>
      </c>
      <c r="P335" s="60" t="str">
        <f t="shared" si="58"/>
        <v/>
      </c>
      <c r="Q335" s="28" t="str">
        <f t="shared" si="59"/>
        <v/>
      </c>
    </row>
    <row r="336" spans="1:17" ht="15" x14ac:dyDescent="0.25">
      <c r="A336" s="3" t="str">
        <f>IF('[1]0.1 Produksi Pangan &amp; Penduduk'!A337="","",'[1]0.1 Produksi Pangan &amp; Penduduk'!A337)</f>
        <v/>
      </c>
      <c r="B336" s="2" t="str">
        <f>IF('[1]0.1 Produksi Pangan &amp; Penduduk'!B337="","",'[1]0.1 Produksi Pangan &amp; Penduduk'!B337)</f>
        <v/>
      </c>
      <c r="C336" s="2" t="str">
        <f>IF('[1]0.1 Produksi Pangan &amp; Penduduk'!F337="","",'[1]0.1 Produksi Pangan &amp; Penduduk'!F337)</f>
        <v/>
      </c>
      <c r="D336" s="3" t="str">
        <f>IF('[1]0.1 Produksi Pangan &amp; Penduduk'!D337="","",'[1]0.1 Produksi Pangan &amp; Penduduk'!D337)</f>
        <v/>
      </c>
      <c r="E336" s="3" t="str">
        <f>IF('[1]0.1 Produksi Pangan &amp; Penduduk'!E337="","",'[1]0.1 Produksi Pangan &amp; Penduduk'!E337)</f>
        <v/>
      </c>
      <c r="F336" s="59" t="str">
        <f>IF(D336="","",VLOOKUP(D336,'[1]0.1 Produksi Pangan &amp; Penduduk'!$D$5:$J$860,7,0))</f>
        <v/>
      </c>
      <c r="G336" s="27" t="str">
        <f t="shared" si="50"/>
        <v/>
      </c>
      <c r="H336" s="27" t="str">
        <f t="shared" si="51"/>
        <v/>
      </c>
      <c r="I336" s="27" t="str">
        <f t="shared" si="52"/>
        <v/>
      </c>
      <c r="J336" s="27" t="str">
        <f t="shared" si="53"/>
        <v/>
      </c>
      <c r="K336" s="27" t="str">
        <f t="shared" si="54"/>
        <v/>
      </c>
      <c r="L336" s="59" t="str">
        <f>IF(D336="","",VLOOKUP(D336,'[1]0.1 Produksi Pangan &amp; Penduduk'!$D$5:$M$860,10,0))</f>
        <v/>
      </c>
      <c r="M336" s="28" t="str">
        <f t="shared" si="55"/>
        <v/>
      </c>
      <c r="N336" s="60" t="str">
        <f t="shared" si="56"/>
        <v/>
      </c>
      <c r="O336" s="60" t="str">
        <f t="shared" si="57"/>
        <v/>
      </c>
      <c r="P336" s="60" t="str">
        <f t="shared" si="58"/>
        <v/>
      </c>
      <c r="Q336" s="28" t="str">
        <f t="shared" si="59"/>
        <v/>
      </c>
    </row>
    <row r="337" spans="1:17" ht="15" x14ac:dyDescent="0.25">
      <c r="A337" s="3" t="str">
        <f>IF('[1]0.1 Produksi Pangan &amp; Penduduk'!A338="","",'[1]0.1 Produksi Pangan &amp; Penduduk'!A338)</f>
        <v/>
      </c>
      <c r="B337" s="2" t="str">
        <f>IF('[1]0.1 Produksi Pangan &amp; Penduduk'!B338="","",'[1]0.1 Produksi Pangan &amp; Penduduk'!B338)</f>
        <v/>
      </c>
      <c r="C337" s="2" t="str">
        <f>IF('[1]0.1 Produksi Pangan &amp; Penduduk'!F338="","",'[1]0.1 Produksi Pangan &amp; Penduduk'!F338)</f>
        <v/>
      </c>
      <c r="D337" s="3" t="str">
        <f>IF('[1]0.1 Produksi Pangan &amp; Penduduk'!D338="","",'[1]0.1 Produksi Pangan &amp; Penduduk'!D338)</f>
        <v/>
      </c>
      <c r="E337" s="3" t="str">
        <f>IF('[1]0.1 Produksi Pangan &amp; Penduduk'!E338="","",'[1]0.1 Produksi Pangan &amp; Penduduk'!E338)</f>
        <v/>
      </c>
      <c r="F337" s="59" t="str">
        <f>IF(D337="","",VLOOKUP(D337,'[1]0.1 Produksi Pangan &amp; Penduduk'!$D$5:$J$860,7,0))</f>
        <v/>
      </c>
      <c r="G337" s="27" t="str">
        <f t="shared" si="50"/>
        <v/>
      </c>
      <c r="H337" s="27" t="str">
        <f t="shared" si="51"/>
        <v/>
      </c>
      <c r="I337" s="27" t="str">
        <f t="shared" si="52"/>
        <v/>
      </c>
      <c r="J337" s="27" t="str">
        <f t="shared" si="53"/>
        <v/>
      </c>
      <c r="K337" s="27" t="str">
        <f t="shared" si="54"/>
        <v/>
      </c>
      <c r="L337" s="59" t="str">
        <f>IF(D337="","",VLOOKUP(D337,'[1]0.1 Produksi Pangan &amp; Penduduk'!$D$5:$M$860,10,0))</f>
        <v/>
      </c>
      <c r="M337" s="28" t="str">
        <f t="shared" si="55"/>
        <v/>
      </c>
      <c r="N337" s="60" t="str">
        <f t="shared" si="56"/>
        <v/>
      </c>
      <c r="O337" s="60" t="str">
        <f t="shared" si="57"/>
        <v/>
      </c>
      <c r="P337" s="60" t="str">
        <f t="shared" si="58"/>
        <v/>
      </c>
      <c r="Q337" s="28" t="str">
        <f t="shared" si="59"/>
        <v/>
      </c>
    </row>
    <row r="338" spans="1:17" ht="15" x14ac:dyDescent="0.25">
      <c r="A338" s="3" t="str">
        <f>IF('[1]0.1 Produksi Pangan &amp; Penduduk'!A339="","",'[1]0.1 Produksi Pangan &amp; Penduduk'!A339)</f>
        <v/>
      </c>
      <c r="B338" s="2" t="str">
        <f>IF('[1]0.1 Produksi Pangan &amp; Penduduk'!B339="","",'[1]0.1 Produksi Pangan &amp; Penduduk'!B339)</f>
        <v/>
      </c>
      <c r="C338" s="2" t="str">
        <f>IF('[1]0.1 Produksi Pangan &amp; Penduduk'!F339="","",'[1]0.1 Produksi Pangan &amp; Penduduk'!F339)</f>
        <v/>
      </c>
      <c r="D338" s="3" t="str">
        <f>IF('[1]0.1 Produksi Pangan &amp; Penduduk'!D339="","",'[1]0.1 Produksi Pangan &amp; Penduduk'!D339)</f>
        <v/>
      </c>
      <c r="E338" s="3" t="str">
        <f>IF('[1]0.1 Produksi Pangan &amp; Penduduk'!E339="","",'[1]0.1 Produksi Pangan &amp; Penduduk'!E339)</f>
        <v/>
      </c>
      <c r="F338" s="59" t="str">
        <f>IF(D338="","",VLOOKUP(D338,'[1]0.1 Produksi Pangan &amp; Penduduk'!$D$5:$J$860,7,0))</f>
        <v/>
      </c>
      <c r="G338" s="27" t="str">
        <f t="shared" si="50"/>
        <v/>
      </c>
      <c r="H338" s="27" t="str">
        <f t="shared" si="51"/>
        <v/>
      </c>
      <c r="I338" s="27" t="str">
        <f t="shared" si="52"/>
        <v/>
      </c>
      <c r="J338" s="27" t="str">
        <f t="shared" si="53"/>
        <v/>
      </c>
      <c r="K338" s="27" t="str">
        <f t="shared" si="54"/>
        <v/>
      </c>
      <c r="L338" s="59" t="str">
        <f>IF(D338="","",VLOOKUP(D338,'[1]0.1 Produksi Pangan &amp; Penduduk'!$D$5:$M$860,10,0))</f>
        <v/>
      </c>
      <c r="M338" s="28" t="str">
        <f t="shared" si="55"/>
        <v/>
      </c>
      <c r="N338" s="60" t="str">
        <f t="shared" si="56"/>
        <v/>
      </c>
      <c r="O338" s="60" t="str">
        <f t="shared" si="57"/>
        <v/>
      </c>
      <c r="P338" s="60" t="str">
        <f t="shared" si="58"/>
        <v/>
      </c>
      <c r="Q338" s="28" t="str">
        <f t="shared" si="59"/>
        <v/>
      </c>
    </row>
    <row r="339" spans="1:17" ht="15" x14ac:dyDescent="0.25">
      <c r="A339" s="3" t="str">
        <f>IF('[1]0.1 Produksi Pangan &amp; Penduduk'!A340="","",'[1]0.1 Produksi Pangan &amp; Penduduk'!A340)</f>
        <v/>
      </c>
      <c r="B339" s="2" t="str">
        <f>IF('[1]0.1 Produksi Pangan &amp; Penduduk'!B340="","",'[1]0.1 Produksi Pangan &amp; Penduduk'!B340)</f>
        <v/>
      </c>
      <c r="C339" s="2" t="str">
        <f>IF('[1]0.1 Produksi Pangan &amp; Penduduk'!F340="","",'[1]0.1 Produksi Pangan &amp; Penduduk'!F340)</f>
        <v/>
      </c>
      <c r="D339" s="3" t="str">
        <f>IF('[1]0.1 Produksi Pangan &amp; Penduduk'!D340="","",'[1]0.1 Produksi Pangan &amp; Penduduk'!D340)</f>
        <v/>
      </c>
      <c r="E339" s="3" t="str">
        <f>IF('[1]0.1 Produksi Pangan &amp; Penduduk'!E340="","",'[1]0.1 Produksi Pangan &amp; Penduduk'!E340)</f>
        <v/>
      </c>
      <c r="F339" s="59" t="str">
        <f>IF(D339="","",VLOOKUP(D339,'[1]0.1 Produksi Pangan &amp; Penduduk'!$D$5:$J$860,7,0))</f>
        <v/>
      </c>
      <c r="G339" s="27" t="str">
        <f t="shared" si="50"/>
        <v/>
      </c>
      <c r="H339" s="27" t="str">
        <f t="shared" si="51"/>
        <v/>
      </c>
      <c r="I339" s="27" t="str">
        <f t="shared" si="52"/>
        <v/>
      </c>
      <c r="J339" s="27" t="str">
        <f t="shared" si="53"/>
        <v/>
      </c>
      <c r="K339" s="27" t="str">
        <f t="shared" si="54"/>
        <v/>
      </c>
      <c r="L339" s="59" t="str">
        <f>IF(D339="","",VLOOKUP(D339,'[1]0.1 Produksi Pangan &amp; Penduduk'!$D$5:$M$860,10,0))</f>
        <v/>
      </c>
      <c r="M339" s="28" t="str">
        <f t="shared" si="55"/>
        <v/>
      </c>
      <c r="N339" s="60" t="str">
        <f t="shared" si="56"/>
        <v/>
      </c>
      <c r="O339" s="60" t="str">
        <f t="shared" si="57"/>
        <v/>
      </c>
      <c r="P339" s="60" t="str">
        <f t="shared" si="58"/>
        <v/>
      </c>
      <c r="Q339" s="28" t="str">
        <f t="shared" si="59"/>
        <v/>
      </c>
    </row>
    <row r="340" spans="1:17" ht="15" x14ac:dyDescent="0.25">
      <c r="A340" s="3" t="str">
        <f>IF('[1]0.1 Produksi Pangan &amp; Penduduk'!A341="","",'[1]0.1 Produksi Pangan &amp; Penduduk'!A341)</f>
        <v/>
      </c>
      <c r="B340" s="2" t="str">
        <f>IF('[1]0.1 Produksi Pangan &amp; Penduduk'!B341="","",'[1]0.1 Produksi Pangan &amp; Penduduk'!B341)</f>
        <v/>
      </c>
      <c r="C340" s="2" t="str">
        <f>IF('[1]0.1 Produksi Pangan &amp; Penduduk'!F341="","",'[1]0.1 Produksi Pangan &amp; Penduduk'!F341)</f>
        <v/>
      </c>
      <c r="D340" s="3" t="str">
        <f>IF('[1]0.1 Produksi Pangan &amp; Penduduk'!D341="","",'[1]0.1 Produksi Pangan &amp; Penduduk'!D341)</f>
        <v/>
      </c>
      <c r="E340" s="3" t="str">
        <f>IF('[1]0.1 Produksi Pangan &amp; Penduduk'!E341="","",'[1]0.1 Produksi Pangan &amp; Penduduk'!E341)</f>
        <v/>
      </c>
      <c r="F340" s="59" t="str">
        <f>IF(D340="","",VLOOKUP(D340,'[1]0.1 Produksi Pangan &amp; Penduduk'!$D$5:$J$860,7,0))</f>
        <v/>
      </c>
      <c r="G340" s="27" t="str">
        <f t="shared" si="50"/>
        <v/>
      </c>
      <c r="H340" s="27" t="str">
        <f t="shared" si="51"/>
        <v/>
      </c>
      <c r="I340" s="27" t="str">
        <f t="shared" si="52"/>
        <v/>
      </c>
      <c r="J340" s="27" t="str">
        <f t="shared" si="53"/>
        <v/>
      </c>
      <c r="K340" s="27" t="str">
        <f t="shared" si="54"/>
        <v/>
      </c>
      <c r="L340" s="59" t="str">
        <f>IF(D340="","",VLOOKUP(D340,'[1]0.1 Produksi Pangan &amp; Penduduk'!$D$5:$M$860,10,0))</f>
        <v/>
      </c>
      <c r="M340" s="28" t="str">
        <f t="shared" si="55"/>
        <v/>
      </c>
      <c r="N340" s="60" t="str">
        <f t="shared" si="56"/>
        <v/>
      </c>
      <c r="O340" s="60" t="str">
        <f t="shared" si="57"/>
        <v/>
      </c>
      <c r="P340" s="60" t="str">
        <f t="shared" si="58"/>
        <v/>
      </c>
      <c r="Q340" s="28" t="str">
        <f t="shared" si="59"/>
        <v/>
      </c>
    </row>
    <row r="341" spans="1:17" ht="15" x14ac:dyDescent="0.25">
      <c r="A341" s="3" t="str">
        <f>IF('[1]0.1 Produksi Pangan &amp; Penduduk'!A342="","",'[1]0.1 Produksi Pangan &amp; Penduduk'!A342)</f>
        <v/>
      </c>
      <c r="B341" s="2" t="str">
        <f>IF('[1]0.1 Produksi Pangan &amp; Penduduk'!B342="","",'[1]0.1 Produksi Pangan &amp; Penduduk'!B342)</f>
        <v/>
      </c>
      <c r="C341" s="2" t="str">
        <f>IF('[1]0.1 Produksi Pangan &amp; Penduduk'!F342="","",'[1]0.1 Produksi Pangan &amp; Penduduk'!F342)</f>
        <v/>
      </c>
      <c r="D341" s="3" t="str">
        <f>IF('[1]0.1 Produksi Pangan &amp; Penduduk'!D342="","",'[1]0.1 Produksi Pangan &amp; Penduduk'!D342)</f>
        <v/>
      </c>
      <c r="E341" s="3" t="str">
        <f>IF('[1]0.1 Produksi Pangan &amp; Penduduk'!E342="","",'[1]0.1 Produksi Pangan &amp; Penduduk'!E342)</f>
        <v/>
      </c>
      <c r="F341" s="59" t="str">
        <f>IF(D341="","",VLOOKUP(D341,'[1]0.1 Produksi Pangan &amp; Penduduk'!$D$5:$J$860,7,0))</f>
        <v/>
      </c>
      <c r="G341" s="27" t="str">
        <f t="shared" si="50"/>
        <v/>
      </c>
      <c r="H341" s="27" t="str">
        <f t="shared" si="51"/>
        <v/>
      </c>
      <c r="I341" s="27" t="str">
        <f t="shared" si="52"/>
        <v/>
      </c>
      <c r="J341" s="27" t="str">
        <f t="shared" si="53"/>
        <v/>
      </c>
      <c r="K341" s="27" t="str">
        <f t="shared" si="54"/>
        <v/>
      </c>
      <c r="L341" s="59" t="str">
        <f>IF(D341="","",VLOOKUP(D341,'[1]0.1 Produksi Pangan &amp; Penduduk'!$D$5:$M$860,10,0))</f>
        <v/>
      </c>
      <c r="M341" s="28" t="str">
        <f t="shared" si="55"/>
        <v/>
      </c>
      <c r="N341" s="60" t="str">
        <f t="shared" si="56"/>
        <v/>
      </c>
      <c r="O341" s="60" t="str">
        <f t="shared" si="57"/>
        <v/>
      </c>
      <c r="P341" s="60" t="str">
        <f t="shared" si="58"/>
        <v/>
      </c>
      <c r="Q341" s="28" t="str">
        <f t="shared" si="59"/>
        <v/>
      </c>
    </row>
    <row r="342" spans="1:17" ht="15" x14ac:dyDescent="0.25">
      <c r="A342" s="3" t="str">
        <f>IF('[1]0.1 Produksi Pangan &amp; Penduduk'!A343="","",'[1]0.1 Produksi Pangan &amp; Penduduk'!A343)</f>
        <v/>
      </c>
      <c r="B342" s="2" t="str">
        <f>IF('[1]0.1 Produksi Pangan &amp; Penduduk'!B343="","",'[1]0.1 Produksi Pangan &amp; Penduduk'!B343)</f>
        <v/>
      </c>
      <c r="C342" s="2" t="str">
        <f>IF('[1]0.1 Produksi Pangan &amp; Penduduk'!F343="","",'[1]0.1 Produksi Pangan &amp; Penduduk'!F343)</f>
        <v/>
      </c>
      <c r="D342" s="3" t="str">
        <f>IF('[1]0.1 Produksi Pangan &amp; Penduduk'!D343="","",'[1]0.1 Produksi Pangan &amp; Penduduk'!D343)</f>
        <v/>
      </c>
      <c r="E342" s="3" t="str">
        <f>IF('[1]0.1 Produksi Pangan &amp; Penduduk'!E343="","",'[1]0.1 Produksi Pangan &amp; Penduduk'!E343)</f>
        <v/>
      </c>
      <c r="F342" s="59" t="str">
        <f>IF(D342="","",VLOOKUP(D342,'[1]0.1 Produksi Pangan &amp; Penduduk'!$D$5:$J$860,7,0))</f>
        <v/>
      </c>
      <c r="G342" s="27" t="str">
        <f t="shared" si="50"/>
        <v/>
      </c>
      <c r="H342" s="27" t="str">
        <f t="shared" si="51"/>
        <v/>
      </c>
      <c r="I342" s="27" t="str">
        <f t="shared" si="52"/>
        <v/>
      </c>
      <c r="J342" s="27" t="str">
        <f t="shared" si="53"/>
        <v/>
      </c>
      <c r="K342" s="27" t="str">
        <f t="shared" si="54"/>
        <v/>
      </c>
      <c r="L342" s="59" t="str">
        <f>IF(D342="","",VLOOKUP(D342,'[1]0.1 Produksi Pangan &amp; Penduduk'!$D$5:$M$860,10,0))</f>
        <v/>
      </c>
      <c r="M342" s="28" t="str">
        <f t="shared" si="55"/>
        <v/>
      </c>
      <c r="N342" s="60" t="str">
        <f t="shared" si="56"/>
        <v/>
      </c>
      <c r="O342" s="60" t="str">
        <f t="shared" si="57"/>
        <v/>
      </c>
      <c r="P342" s="60" t="str">
        <f t="shared" si="58"/>
        <v/>
      </c>
      <c r="Q342" s="28" t="str">
        <f t="shared" si="59"/>
        <v/>
      </c>
    </row>
    <row r="343" spans="1:17" ht="15" x14ac:dyDescent="0.25">
      <c r="A343" s="3" t="str">
        <f>IF('[1]0.1 Produksi Pangan &amp; Penduduk'!A344="","",'[1]0.1 Produksi Pangan &amp; Penduduk'!A344)</f>
        <v/>
      </c>
      <c r="B343" s="2" t="str">
        <f>IF('[1]0.1 Produksi Pangan &amp; Penduduk'!B344="","",'[1]0.1 Produksi Pangan &amp; Penduduk'!B344)</f>
        <v/>
      </c>
      <c r="C343" s="2" t="str">
        <f>IF('[1]0.1 Produksi Pangan &amp; Penduduk'!F344="","",'[1]0.1 Produksi Pangan &amp; Penduduk'!F344)</f>
        <v/>
      </c>
      <c r="D343" s="3" t="str">
        <f>IF('[1]0.1 Produksi Pangan &amp; Penduduk'!D344="","",'[1]0.1 Produksi Pangan &amp; Penduduk'!D344)</f>
        <v/>
      </c>
      <c r="E343" s="3" t="str">
        <f>IF('[1]0.1 Produksi Pangan &amp; Penduduk'!E344="","",'[1]0.1 Produksi Pangan &amp; Penduduk'!E344)</f>
        <v/>
      </c>
      <c r="F343" s="59" t="str">
        <f>IF(D343="","",VLOOKUP(D343,'[1]0.1 Produksi Pangan &amp; Penduduk'!$D$5:$J$860,7,0))</f>
        <v/>
      </c>
      <c r="G343" s="27" t="str">
        <f t="shared" si="50"/>
        <v/>
      </c>
      <c r="H343" s="27" t="str">
        <f t="shared" si="51"/>
        <v/>
      </c>
      <c r="I343" s="27" t="str">
        <f t="shared" si="52"/>
        <v/>
      </c>
      <c r="J343" s="27" t="str">
        <f t="shared" si="53"/>
        <v/>
      </c>
      <c r="K343" s="27" t="str">
        <f t="shared" si="54"/>
        <v/>
      </c>
      <c r="L343" s="59" t="str">
        <f>IF(D343="","",VLOOKUP(D343,'[1]0.1 Produksi Pangan &amp; Penduduk'!$D$5:$M$860,10,0))</f>
        <v/>
      </c>
      <c r="M343" s="28" t="str">
        <f t="shared" si="55"/>
        <v/>
      </c>
      <c r="N343" s="60" t="str">
        <f t="shared" si="56"/>
        <v/>
      </c>
      <c r="O343" s="60" t="str">
        <f t="shared" si="57"/>
        <v/>
      </c>
      <c r="P343" s="60" t="str">
        <f t="shared" si="58"/>
        <v/>
      </c>
      <c r="Q343" s="28" t="str">
        <f t="shared" si="59"/>
        <v/>
      </c>
    </row>
    <row r="344" spans="1:17" ht="15" x14ac:dyDescent="0.25">
      <c r="A344" s="3" t="str">
        <f>IF('[1]0.1 Produksi Pangan &amp; Penduduk'!A345="","",'[1]0.1 Produksi Pangan &amp; Penduduk'!A345)</f>
        <v/>
      </c>
      <c r="B344" s="2" t="str">
        <f>IF('[1]0.1 Produksi Pangan &amp; Penduduk'!B345="","",'[1]0.1 Produksi Pangan &amp; Penduduk'!B345)</f>
        <v/>
      </c>
      <c r="C344" s="2" t="str">
        <f>IF('[1]0.1 Produksi Pangan &amp; Penduduk'!F345="","",'[1]0.1 Produksi Pangan &amp; Penduduk'!F345)</f>
        <v/>
      </c>
      <c r="D344" s="3" t="str">
        <f>IF('[1]0.1 Produksi Pangan &amp; Penduduk'!D345="","",'[1]0.1 Produksi Pangan &amp; Penduduk'!D345)</f>
        <v/>
      </c>
      <c r="E344" s="3" t="str">
        <f>IF('[1]0.1 Produksi Pangan &amp; Penduduk'!E345="","",'[1]0.1 Produksi Pangan &amp; Penduduk'!E345)</f>
        <v/>
      </c>
      <c r="F344" s="59" t="str">
        <f>IF(D344="","",VLOOKUP(D344,'[1]0.1 Produksi Pangan &amp; Penduduk'!$D$5:$J$860,7,0))</f>
        <v/>
      </c>
      <c r="G344" s="27" t="str">
        <f t="shared" si="50"/>
        <v/>
      </c>
      <c r="H344" s="27" t="str">
        <f t="shared" si="51"/>
        <v/>
      </c>
      <c r="I344" s="27" t="str">
        <f t="shared" si="52"/>
        <v/>
      </c>
      <c r="J344" s="27" t="str">
        <f t="shared" si="53"/>
        <v/>
      </c>
      <c r="K344" s="27" t="str">
        <f t="shared" si="54"/>
        <v/>
      </c>
      <c r="L344" s="59" t="str">
        <f>IF(D344="","",VLOOKUP(D344,'[1]0.1 Produksi Pangan &amp; Penduduk'!$D$5:$M$860,10,0))</f>
        <v/>
      </c>
      <c r="M344" s="28" t="str">
        <f t="shared" si="55"/>
        <v/>
      </c>
      <c r="N344" s="60" t="str">
        <f t="shared" si="56"/>
        <v/>
      </c>
      <c r="O344" s="60" t="str">
        <f t="shared" si="57"/>
        <v/>
      </c>
      <c r="P344" s="60" t="str">
        <f t="shared" si="58"/>
        <v/>
      </c>
      <c r="Q344" s="28" t="str">
        <f t="shared" si="59"/>
        <v/>
      </c>
    </row>
    <row r="345" spans="1:17" ht="15" x14ac:dyDescent="0.25">
      <c r="A345" s="3" t="str">
        <f>IF('[1]0.1 Produksi Pangan &amp; Penduduk'!A346="","",'[1]0.1 Produksi Pangan &amp; Penduduk'!A346)</f>
        <v/>
      </c>
      <c r="B345" s="2" t="str">
        <f>IF('[1]0.1 Produksi Pangan &amp; Penduduk'!B346="","",'[1]0.1 Produksi Pangan &amp; Penduduk'!B346)</f>
        <v/>
      </c>
      <c r="C345" s="2" t="str">
        <f>IF('[1]0.1 Produksi Pangan &amp; Penduduk'!F346="","",'[1]0.1 Produksi Pangan &amp; Penduduk'!F346)</f>
        <v/>
      </c>
      <c r="D345" s="3" t="str">
        <f>IF('[1]0.1 Produksi Pangan &amp; Penduduk'!D346="","",'[1]0.1 Produksi Pangan &amp; Penduduk'!D346)</f>
        <v/>
      </c>
      <c r="E345" s="3" t="str">
        <f>IF('[1]0.1 Produksi Pangan &amp; Penduduk'!E346="","",'[1]0.1 Produksi Pangan &amp; Penduduk'!E346)</f>
        <v/>
      </c>
      <c r="F345" s="59" t="str">
        <f>IF(D345="","",VLOOKUP(D345,'[1]0.1 Produksi Pangan &amp; Penduduk'!$D$5:$J$860,7,0))</f>
        <v/>
      </c>
      <c r="G345" s="27" t="str">
        <f t="shared" si="50"/>
        <v/>
      </c>
      <c r="H345" s="27" t="str">
        <f t="shared" si="51"/>
        <v/>
      </c>
      <c r="I345" s="27" t="str">
        <f t="shared" si="52"/>
        <v/>
      </c>
      <c r="J345" s="27" t="str">
        <f t="shared" si="53"/>
        <v/>
      </c>
      <c r="K345" s="27" t="str">
        <f t="shared" si="54"/>
        <v/>
      </c>
      <c r="L345" s="59" t="str">
        <f>IF(D345="","",VLOOKUP(D345,'[1]0.1 Produksi Pangan &amp; Penduduk'!$D$5:$M$860,10,0))</f>
        <v/>
      </c>
      <c r="M345" s="28" t="str">
        <f t="shared" si="55"/>
        <v/>
      </c>
      <c r="N345" s="60" t="str">
        <f t="shared" si="56"/>
        <v/>
      </c>
      <c r="O345" s="60" t="str">
        <f t="shared" si="57"/>
        <v/>
      </c>
      <c r="P345" s="60" t="str">
        <f t="shared" si="58"/>
        <v/>
      </c>
      <c r="Q345" s="28" t="str">
        <f t="shared" si="59"/>
        <v/>
      </c>
    </row>
    <row r="346" spans="1:17" ht="15" x14ac:dyDescent="0.25">
      <c r="A346" s="3" t="str">
        <f>IF('[1]0.1 Produksi Pangan &amp; Penduduk'!A347="","",'[1]0.1 Produksi Pangan &amp; Penduduk'!A347)</f>
        <v/>
      </c>
      <c r="B346" s="2" t="str">
        <f>IF('[1]0.1 Produksi Pangan &amp; Penduduk'!B347="","",'[1]0.1 Produksi Pangan &amp; Penduduk'!B347)</f>
        <v/>
      </c>
      <c r="C346" s="2" t="str">
        <f>IF('[1]0.1 Produksi Pangan &amp; Penduduk'!F347="","",'[1]0.1 Produksi Pangan &amp; Penduduk'!F347)</f>
        <v/>
      </c>
      <c r="D346" s="3" t="str">
        <f>IF('[1]0.1 Produksi Pangan &amp; Penduduk'!D347="","",'[1]0.1 Produksi Pangan &amp; Penduduk'!D347)</f>
        <v/>
      </c>
      <c r="E346" s="3" t="str">
        <f>IF('[1]0.1 Produksi Pangan &amp; Penduduk'!E347="","",'[1]0.1 Produksi Pangan &amp; Penduduk'!E347)</f>
        <v/>
      </c>
      <c r="F346" s="59" t="str">
        <f>IF(D346="","",VLOOKUP(D346,'[1]0.1 Produksi Pangan &amp; Penduduk'!$D$5:$J$860,7,0))</f>
        <v/>
      </c>
      <c r="G346" s="27" t="str">
        <f t="shared" si="50"/>
        <v/>
      </c>
      <c r="H346" s="27" t="str">
        <f t="shared" si="51"/>
        <v/>
      </c>
      <c r="I346" s="27" t="str">
        <f t="shared" si="52"/>
        <v/>
      </c>
      <c r="J346" s="27" t="str">
        <f t="shared" si="53"/>
        <v/>
      </c>
      <c r="K346" s="27" t="str">
        <f t="shared" si="54"/>
        <v/>
      </c>
      <c r="L346" s="59" t="str">
        <f>IF(D346="","",VLOOKUP(D346,'[1]0.1 Produksi Pangan &amp; Penduduk'!$D$5:$M$860,10,0))</f>
        <v/>
      </c>
      <c r="M346" s="28" t="str">
        <f t="shared" si="55"/>
        <v/>
      </c>
      <c r="N346" s="60" t="str">
        <f t="shared" si="56"/>
        <v/>
      </c>
      <c r="O346" s="60" t="str">
        <f t="shared" si="57"/>
        <v/>
      </c>
      <c r="P346" s="60" t="str">
        <f t="shared" si="58"/>
        <v/>
      </c>
      <c r="Q346" s="28" t="str">
        <f t="shared" si="59"/>
        <v/>
      </c>
    </row>
    <row r="347" spans="1:17" ht="15" x14ac:dyDescent="0.25">
      <c r="A347" s="3" t="str">
        <f>IF('[1]0.1 Produksi Pangan &amp; Penduduk'!A348="","",'[1]0.1 Produksi Pangan &amp; Penduduk'!A348)</f>
        <v/>
      </c>
      <c r="B347" s="2" t="str">
        <f>IF('[1]0.1 Produksi Pangan &amp; Penduduk'!B348="","",'[1]0.1 Produksi Pangan &amp; Penduduk'!B348)</f>
        <v/>
      </c>
      <c r="C347" s="2" t="str">
        <f>IF('[1]0.1 Produksi Pangan &amp; Penduduk'!F348="","",'[1]0.1 Produksi Pangan &amp; Penduduk'!F348)</f>
        <v/>
      </c>
      <c r="D347" s="3" t="str">
        <f>IF('[1]0.1 Produksi Pangan &amp; Penduduk'!D348="","",'[1]0.1 Produksi Pangan &amp; Penduduk'!D348)</f>
        <v/>
      </c>
      <c r="E347" s="3" t="str">
        <f>IF('[1]0.1 Produksi Pangan &amp; Penduduk'!E348="","",'[1]0.1 Produksi Pangan &amp; Penduduk'!E348)</f>
        <v/>
      </c>
      <c r="F347" s="59" t="str">
        <f>IF(D347="","",VLOOKUP(D347,'[1]0.1 Produksi Pangan &amp; Penduduk'!$D$5:$J$860,7,0))</f>
        <v/>
      </c>
      <c r="G347" s="27" t="str">
        <f t="shared" si="50"/>
        <v/>
      </c>
      <c r="H347" s="27" t="str">
        <f t="shared" si="51"/>
        <v/>
      </c>
      <c r="I347" s="27" t="str">
        <f t="shared" si="52"/>
        <v/>
      </c>
      <c r="J347" s="27" t="str">
        <f t="shared" si="53"/>
        <v/>
      </c>
      <c r="K347" s="27" t="str">
        <f t="shared" si="54"/>
        <v/>
      </c>
      <c r="L347" s="59" t="str">
        <f>IF(D347="","",VLOOKUP(D347,'[1]0.1 Produksi Pangan &amp; Penduduk'!$D$5:$M$860,10,0))</f>
        <v/>
      </c>
      <c r="M347" s="28" t="str">
        <f t="shared" si="55"/>
        <v/>
      </c>
      <c r="N347" s="60" t="str">
        <f t="shared" si="56"/>
        <v/>
      </c>
      <c r="O347" s="60" t="str">
        <f t="shared" si="57"/>
        <v/>
      </c>
      <c r="P347" s="60" t="str">
        <f t="shared" si="58"/>
        <v/>
      </c>
      <c r="Q347" s="28" t="str">
        <f t="shared" si="59"/>
        <v/>
      </c>
    </row>
    <row r="348" spans="1:17" ht="15" x14ac:dyDescent="0.25">
      <c r="A348" s="3" t="str">
        <f>IF('[1]0.1 Produksi Pangan &amp; Penduduk'!A349="","",'[1]0.1 Produksi Pangan &amp; Penduduk'!A349)</f>
        <v/>
      </c>
      <c r="B348" s="2" t="str">
        <f>IF('[1]0.1 Produksi Pangan &amp; Penduduk'!B349="","",'[1]0.1 Produksi Pangan &amp; Penduduk'!B349)</f>
        <v/>
      </c>
      <c r="C348" s="2" t="str">
        <f>IF('[1]0.1 Produksi Pangan &amp; Penduduk'!F349="","",'[1]0.1 Produksi Pangan &amp; Penduduk'!F349)</f>
        <v/>
      </c>
      <c r="D348" s="3" t="str">
        <f>IF('[1]0.1 Produksi Pangan &amp; Penduduk'!D349="","",'[1]0.1 Produksi Pangan &amp; Penduduk'!D349)</f>
        <v/>
      </c>
      <c r="E348" s="3" t="str">
        <f>IF('[1]0.1 Produksi Pangan &amp; Penduduk'!E349="","",'[1]0.1 Produksi Pangan &amp; Penduduk'!E349)</f>
        <v/>
      </c>
      <c r="F348" s="59" t="str">
        <f>IF(D348="","",VLOOKUP(D348,'[1]0.1 Produksi Pangan &amp; Penduduk'!$D$5:$J$860,7,0))</f>
        <v/>
      </c>
      <c r="G348" s="27" t="str">
        <f t="shared" si="50"/>
        <v/>
      </c>
      <c r="H348" s="27" t="str">
        <f t="shared" si="51"/>
        <v/>
      </c>
      <c r="I348" s="27" t="str">
        <f t="shared" si="52"/>
        <v/>
      </c>
      <c r="J348" s="27" t="str">
        <f t="shared" si="53"/>
        <v/>
      </c>
      <c r="K348" s="27" t="str">
        <f t="shared" si="54"/>
        <v/>
      </c>
      <c r="L348" s="59" t="str">
        <f>IF(D348="","",VLOOKUP(D348,'[1]0.1 Produksi Pangan &amp; Penduduk'!$D$5:$M$860,10,0))</f>
        <v/>
      </c>
      <c r="M348" s="28" t="str">
        <f t="shared" si="55"/>
        <v/>
      </c>
      <c r="N348" s="60" t="str">
        <f t="shared" si="56"/>
        <v/>
      </c>
      <c r="O348" s="60" t="str">
        <f t="shared" si="57"/>
        <v/>
      </c>
      <c r="P348" s="60" t="str">
        <f t="shared" si="58"/>
        <v/>
      </c>
      <c r="Q348" s="28" t="str">
        <f t="shared" si="59"/>
        <v/>
      </c>
    </row>
    <row r="349" spans="1:17" ht="15" x14ac:dyDescent="0.25">
      <c r="A349" s="3" t="str">
        <f>IF('[1]0.1 Produksi Pangan &amp; Penduduk'!A350="","",'[1]0.1 Produksi Pangan &amp; Penduduk'!A350)</f>
        <v/>
      </c>
      <c r="B349" s="2" t="str">
        <f>IF('[1]0.1 Produksi Pangan &amp; Penduduk'!B350="","",'[1]0.1 Produksi Pangan &amp; Penduduk'!B350)</f>
        <v/>
      </c>
      <c r="C349" s="2" t="str">
        <f>IF('[1]0.1 Produksi Pangan &amp; Penduduk'!F350="","",'[1]0.1 Produksi Pangan &amp; Penduduk'!F350)</f>
        <v/>
      </c>
      <c r="D349" s="3" t="str">
        <f>IF('[1]0.1 Produksi Pangan &amp; Penduduk'!D350="","",'[1]0.1 Produksi Pangan &amp; Penduduk'!D350)</f>
        <v/>
      </c>
      <c r="E349" s="3" t="str">
        <f>IF('[1]0.1 Produksi Pangan &amp; Penduduk'!E350="","",'[1]0.1 Produksi Pangan &amp; Penduduk'!E350)</f>
        <v/>
      </c>
      <c r="F349" s="59" t="str">
        <f>IF(D349="","",VLOOKUP(D349,'[1]0.1 Produksi Pangan &amp; Penduduk'!$D$5:$J$860,7,0))</f>
        <v/>
      </c>
      <c r="G349" s="27" t="str">
        <f t="shared" si="50"/>
        <v/>
      </c>
      <c r="H349" s="27" t="str">
        <f t="shared" si="51"/>
        <v/>
      </c>
      <c r="I349" s="27" t="str">
        <f t="shared" si="52"/>
        <v/>
      </c>
      <c r="J349" s="27" t="str">
        <f t="shared" si="53"/>
        <v/>
      </c>
      <c r="K349" s="27" t="str">
        <f t="shared" si="54"/>
        <v/>
      </c>
      <c r="L349" s="59" t="str">
        <f>IF(D349="","",VLOOKUP(D349,'[1]0.1 Produksi Pangan &amp; Penduduk'!$D$5:$M$860,10,0))</f>
        <v/>
      </c>
      <c r="M349" s="28" t="str">
        <f t="shared" si="55"/>
        <v/>
      </c>
      <c r="N349" s="60" t="str">
        <f t="shared" si="56"/>
        <v/>
      </c>
      <c r="O349" s="60" t="str">
        <f t="shared" si="57"/>
        <v/>
      </c>
      <c r="P349" s="60" t="str">
        <f t="shared" si="58"/>
        <v/>
      </c>
      <c r="Q349" s="28" t="str">
        <f t="shared" si="59"/>
        <v/>
      </c>
    </row>
    <row r="350" spans="1:17" ht="15" x14ac:dyDescent="0.25">
      <c r="A350" s="3" t="str">
        <f>IF('[1]0.1 Produksi Pangan &amp; Penduduk'!A351="","",'[1]0.1 Produksi Pangan &amp; Penduduk'!A351)</f>
        <v/>
      </c>
      <c r="B350" s="2" t="str">
        <f>IF('[1]0.1 Produksi Pangan &amp; Penduduk'!B351="","",'[1]0.1 Produksi Pangan &amp; Penduduk'!B351)</f>
        <v/>
      </c>
      <c r="C350" s="2" t="str">
        <f>IF('[1]0.1 Produksi Pangan &amp; Penduduk'!F351="","",'[1]0.1 Produksi Pangan &amp; Penduduk'!F351)</f>
        <v/>
      </c>
      <c r="D350" s="3" t="str">
        <f>IF('[1]0.1 Produksi Pangan &amp; Penduduk'!D351="","",'[1]0.1 Produksi Pangan &amp; Penduduk'!D351)</f>
        <v/>
      </c>
      <c r="E350" s="3" t="str">
        <f>IF('[1]0.1 Produksi Pangan &amp; Penduduk'!E351="","",'[1]0.1 Produksi Pangan &amp; Penduduk'!E351)</f>
        <v/>
      </c>
      <c r="F350" s="59" t="str">
        <f>IF(D350="","",VLOOKUP(D350,'[1]0.1 Produksi Pangan &amp; Penduduk'!$D$5:$J$860,7,0))</f>
        <v/>
      </c>
      <c r="G350" s="27" t="str">
        <f t="shared" si="50"/>
        <v/>
      </c>
      <c r="H350" s="27" t="str">
        <f t="shared" si="51"/>
        <v/>
      </c>
      <c r="I350" s="27" t="str">
        <f t="shared" si="52"/>
        <v/>
      </c>
      <c r="J350" s="27" t="str">
        <f t="shared" si="53"/>
        <v/>
      </c>
      <c r="K350" s="27" t="str">
        <f t="shared" si="54"/>
        <v/>
      </c>
      <c r="L350" s="59" t="str">
        <f>IF(D350="","",VLOOKUP(D350,'[1]0.1 Produksi Pangan &amp; Penduduk'!$D$5:$M$860,10,0))</f>
        <v/>
      </c>
      <c r="M350" s="28" t="str">
        <f t="shared" si="55"/>
        <v/>
      </c>
      <c r="N350" s="60" t="str">
        <f t="shared" si="56"/>
        <v/>
      </c>
      <c r="O350" s="60" t="str">
        <f t="shared" si="57"/>
        <v/>
      </c>
      <c r="P350" s="60" t="str">
        <f t="shared" si="58"/>
        <v/>
      </c>
      <c r="Q350" s="28" t="str">
        <f t="shared" si="59"/>
        <v/>
      </c>
    </row>
    <row r="351" spans="1:17" ht="15" x14ac:dyDescent="0.25">
      <c r="A351" s="3" t="str">
        <f>IF('[1]0.1 Produksi Pangan &amp; Penduduk'!A352="","",'[1]0.1 Produksi Pangan &amp; Penduduk'!A352)</f>
        <v/>
      </c>
      <c r="B351" s="2" t="str">
        <f>IF('[1]0.1 Produksi Pangan &amp; Penduduk'!B352="","",'[1]0.1 Produksi Pangan &amp; Penduduk'!B352)</f>
        <v/>
      </c>
      <c r="C351" s="2" t="str">
        <f>IF('[1]0.1 Produksi Pangan &amp; Penduduk'!F352="","",'[1]0.1 Produksi Pangan &amp; Penduduk'!F352)</f>
        <v/>
      </c>
      <c r="D351" s="3" t="str">
        <f>IF('[1]0.1 Produksi Pangan &amp; Penduduk'!D352="","",'[1]0.1 Produksi Pangan &amp; Penduduk'!D352)</f>
        <v/>
      </c>
      <c r="E351" s="3" t="str">
        <f>IF('[1]0.1 Produksi Pangan &amp; Penduduk'!E352="","",'[1]0.1 Produksi Pangan &amp; Penduduk'!E352)</f>
        <v/>
      </c>
      <c r="F351" s="59" t="str">
        <f>IF(D351="","",VLOOKUP(D351,'[1]0.1 Produksi Pangan &amp; Penduduk'!$D$5:$J$860,7,0))</f>
        <v/>
      </c>
      <c r="G351" s="27" t="str">
        <f t="shared" si="50"/>
        <v/>
      </c>
      <c r="H351" s="27" t="str">
        <f t="shared" si="51"/>
        <v/>
      </c>
      <c r="I351" s="27" t="str">
        <f t="shared" si="52"/>
        <v/>
      </c>
      <c r="J351" s="27" t="str">
        <f t="shared" si="53"/>
        <v/>
      </c>
      <c r="K351" s="27" t="str">
        <f t="shared" si="54"/>
        <v/>
      </c>
      <c r="L351" s="59" t="str">
        <f>IF(D351="","",VLOOKUP(D351,'[1]0.1 Produksi Pangan &amp; Penduduk'!$D$5:$M$860,10,0))</f>
        <v/>
      </c>
      <c r="M351" s="28" t="str">
        <f t="shared" si="55"/>
        <v/>
      </c>
      <c r="N351" s="60" t="str">
        <f t="shared" si="56"/>
        <v/>
      </c>
      <c r="O351" s="60" t="str">
        <f t="shared" si="57"/>
        <v/>
      </c>
      <c r="P351" s="60" t="str">
        <f t="shared" si="58"/>
        <v/>
      </c>
      <c r="Q351" s="28" t="str">
        <f t="shared" si="59"/>
        <v/>
      </c>
    </row>
    <row r="352" spans="1:17" ht="15" x14ac:dyDescent="0.25">
      <c r="A352" s="3" t="str">
        <f>IF('[1]0.1 Produksi Pangan &amp; Penduduk'!A353="","",'[1]0.1 Produksi Pangan &amp; Penduduk'!A353)</f>
        <v/>
      </c>
      <c r="B352" s="2" t="str">
        <f>IF('[1]0.1 Produksi Pangan &amp; Penduduk'!B353="","",'[1]0.1 Produksi Pangan &amp; Penduduk'!B353)</f>
        <v/>
      </c>
      <c r="C352" s="2" t="str">
        <f>IF('[1]0.1 Produksi Pangan &amp; Penduduk'!F353="","",'[1]0.1 Produksi Pangan &amp; Penduduk'!F353)</f>
        <v/>
      </c>
      <c r="D352" s="3" t="str">
        <f>IF('[1]0.1 Produksi Pangan &amp; Penduduk'!D353="","",'[1]0.1 Produksi Pangan &amp; Penduduk'!D353)</f>
        <v/>
      </c>
      <c r="E352" s="3" t="str">
        <f>IF('[1]0.1 Produksi Pangan &amp; Penduduk'!E353="","",'[1]0.1 Produksi Pangan &amp; Penduduk'!E353)</f>
        <v/>
      </c>
      <c r="F352" s="59" t="str">
        <f>IF(D352="","",VLOOKUP(D352,'[1]0.1 Produksi Pangan &amp; Penduduk'!$D$5:$J$860,7,0))</f>
        <v/>
      </c>
      <c r="G352" s="27" t="str">
        <f t="shared" si="50"/>
        <v/>
      </c>
      <c r="H352" s="27" t="str">
        <f t="shared" si="51"/>
        <v/>
      </c>
      <c r="I352" s="27" t="str">
        <f t="shared" si="52"/>
        <v/>
      </c>
      <c r="J352" s="27" t="str">
        <f t="shared" si="53"/>
        <v/>
      </c>
      <c r="K352" s="27" t="str">
        <f t="shared" si="54"/>
        <v/>
      </c>
      <c r="L352" s="59" t="str">
        <f>IF(D352="","",VLOOKUP(D352,'[1]0.1 Produksi Pangan &amp; Penduduk'!$D$5:$M$860,10,0))</f>
        <v/>
      </c>
      <c r="M352" s="28" t="str">
        <f t="shared" si="55"/>
        <v/>
      </c>
      <c r="N352" s="60" t="str">
        <f t="shared" si="56"/>
        <v/>
      </c>
      <c r="O352" s="60" t="str">
        <f t="shared" si="57"/>
        <v/>
      </c>
      <c r="P352" s="60" t="str">
        <f t="shared" si="58"/>
        <v/>
      </c>
      <c r="Q352" s="28" t="str">
        <f t="shared" si="59"/>
        <v/>
      </c>
    </row>
    <row r="353" spans="1:17" ht="15" x14ac:dyDescent="0.25">
      <c r="A353" s="3" t="str">
        <f>IF('[1]0.1 Produksi Pangan &amp; Penduduk'!A354="","",'[1]0.1 Produksi Pangan &amp; Penduduk'!A354)</f>
        <v/>
      </c>
      <c r="B353" s="2" t="str">
        <f>IF('[1]0.1 Produksi Pangan &amp; Penduduk'!B354="","",'[1]0.1 Produksi Pangan &amp; Penduduk'!B354)</f>
        <v/>
      </c>
      <c r="C353" s="2" t="str">
        <f>IF('[1]0.1 Produksi Pangan &amp; Penduduk'!F354="","",'[1]0.1 Produksi Pangan &amp; Penduduk'!F354)</f>
        <v/>
      </c>
      <c r="D353" s="3" t="str">
        <f>IF('[1]0.1 Produksi Pangan &amp; Penduduk'!D354="","",'[1]0.1 Produksi Pangan &amp; Penduduk'!D354)</f>
        <v/>
      </c>
      <c r="E353" s="3" t="str">
        <f>IF('[1]0.1 Produksi Pangan &amp; Penduduk'!E354="","",'[1]0.1 Produksi Pangan &amp; Penduduk'!E354)</f>
        <v/>
      </c>
      <c r="F353" s="59" t="str">
        <f>IF(D353="","",VLOOKUP(D353,'[1]0.1 Produksi Pangan &amp; Penduduk'!$D$5:$J$860,7,0))</f>
        <v/>
      </c>
      <c r="G353" s="27" t="str">
        <f t="shared" si="50"/>
        <v/>
      </c>
      <c r="H353" s="27" t="str">
        <f t="shared" si="51"/>
        <v/>
      </c>
      <c r="I353" s="27" t="str">
        <f t="shared" si="52"/>
        <v/>
      </c>
      <c r="J353" s="27" t="str">
        <f t="shared" si="53"/>
        <v/>
      </c>
      <c r="K353" s="27" t="str">
        <f t="shared" si="54"/>
        <v/>
      </c>
      <c r="L353" s="59" t="str">
        <f>IF(D353="","",VLOOKUP(D353,'[1]0.1 Produksi Pangan &amp; Penduduk'!$D$5:$M$860,10,0))</f>
        <v/>
      </c>
      <c r="M353" s="28" t="str">
        <f t="shared" si="55"/>
        <v/>
      </c>
      <c r="N353" s="60" t="str">
        <f t="shared" si="56"/>
        <v/>
      </c>
      <c r="O353" s="60" t="str">
        <f t="shared" si="57"/>
        <v/>
      </c>
      <c r="P353" s="60" t="str">
        <f t="shared" si="58"/>
        <v/>
      </c>
      <c r="Q353" s="28" t="str">
        <f t="shared" si="59"/>
        <v/>
      </c>
    </row>
    <row r="354" spans="1:17" ht="15" x14ac:dyDescent="0.25">
      <c r="A354" s="3" t="str">
        <f>IF('[1]0.1 Produksi Pangan &amp; Penduduk'!A355="","",'[1]0.1 Produksi Pangan &amp; Penduduk'!A355)</f>
        <v/>
      </c>
      <c r="B354" s="2" t="str">
        <f>IF('[1]0.1 Produksi Pangan &amp; Penduduk'!B355="","",'[1]0.1 Produksi Pangan &amp; Penduduk'!B355)</f>
        <v/>
      </c>
      <c r="C354" s="2" t="str">
        <f>IF('[1]0.1 Produksi Pangan &amp; Penduduk'!F355="","",'[1]0.1 Produksi Pangan &amp; Penduduk'!F355)</f>
        <v/>
      </c>
      <c r="D354" s="3" t="str">
        <f>IF('[1]0.1 Produksi Pangan &amp; Penduduk'!D355="","",'[1]0.1 Produksi Pangan &amp; Penduduk'!D355)</f>
        <v/>
      </c>
      <c r="E354" s="3" t="str">
        <f>IF('[1]0.1 Produksi Pangan &amp; Penduduk'!E355="","",'[1]0.1 Produksi Pangan &amp; Penduduk'!E355)</f>
        <v/>
      </c>
      <c r="F354" s="59" t="str">
        <f>IF(D354="","",VLOOKUP(D354,'[1]0.1 Produksi Pangan &amp; Penduduk'!$D$5:$J$860,7,0))</f>
        <v/>
      </c>
      <c r="G354" s="27" t="str">
        <f t="shared" si="50"/>
        <v/>
      </c>
      <c r="H354" s="27" t="str">
        <f t="shared" si="51"/>
        <v/>
      </c>
      <c r="I354" s="27" t="str">
        <f t="shared" si="52"/>
        <v/>
      </c>
      <c r="J354" s="27" t="str">
        <f t="shared" si="53"/>
        <v/>
      </c>
      <c r="K354" s="27" t="str">
        <f t="shared" si="54"/>
        <v/>
      </c>
      <c r="L354" s="59" t="str">
        <f>IF(D354="","",VLOOKUP(D354,'[1]0.1 Produksi Pangan &amp; Penduduk'!$D$5:$M$860,10,0))</f>
        <v/>
      </c>
      <c r="M354" s="28" t="str">
        <f t="shared" si="55"/>
        <v/>
      </c>
      <c r="N354" s="60" t="str">
        <f t="shared" si="56"/>
        <v/>
      </c>
      <c r="O354" s="60" t="str">
        <f t="shared" si="57"/>
        <v/>
      </c>
      <c r="P354" s="60" t="str">
        <f t="shared" si="58"/>
        <v/>
      </c>
      <c r="Q354" s="28" t="str">
        <f t="shared" si="59"/>
        <v/>
      </c>
    </row>
    <row r="355" spans="1:17" ht="15" x14ac:dyDescent="0.25">
      <c r="A355" s="3" t="str">
        <f>IF('[1]0.1 Produksi Pangan &amp; Penduduk'!A356="","",'[1]0.1 Produksi Pangan &amp; Penduduk'!A356)</f>
        <v/>
      </c>
      <c r="B355" s="2" t="str">
        <f>IF('[1]0.1 Produksi Pangan &amp; Penduduk'!B356="","",'[1]0.1 Produksi Pangan &amp; Penduduk'!B356)</f>
        <v/>
      </c>
      <c r="C355" s="2" t="str">
        <f>IF('[1]0.1 Produksi Pangan &amp; Penduduk'!F356="","",'[1]0.1 Produksi Pangan &amp; Penduduk'!F356)</f>
        <v/>
      </c>
      <c r="D355" s="3" t="str">
        <f>IF('[1]0.1 Produksi Pangan &amp; Penduduk'!D356="","",'[1]0.1 Produksi Pangan &amp; Penduduk'!D356)</f>
        <v/>
      </c>
      <c r="E355" s="3" t="str">
        <f>IF('[1]0.1 Produksi Pangan &amp; Penduduk'!E356="","",'[1]0.1 Produksi Pangan &amp; Penduduk'!E356)</f>
        <v/>
      </c>
      <c r="F355" s="59" t="str">
        <f>IF(D355="","",VLOOKUP(D355,'[1]0.1 Produksi Pangan &amp; Penduduk'!$D$5:$J$860,7,0))</f>
        <v/>
      </c>
      <c r="G355" s="27" t="str">
        <f t="shared" si="50"/>
        <v/>
      </c>
      <c r="H355" s="27" t="str">
        <f t="shared" si="51"/>
        <v/>
      </c>
      <c r="I355" s="27" t="str">
        <f t="shared" si="52"/>
        <v/>
      </c>
      <c r="J355" s="27" t="str">
        <f t="shared" si="53"/>
        <v/>
      </c>
      <c r="K355" s="27" t="str">
        <f t="shared" si="54"/>
        <v/>
      </c>
      <c r="L355" s="59" t="str">
        <f>IF(D355="","",VLOOKUP(D355,'[1]0.1 Produksi Pangan &amp; Penduduk'!$D$5:$M$860,10,0))</f>
        <v/>
      </c>
      <c r="M355" s="28" t="str">
        <f t="shared" si="55"/>
        <v/>
      </c>
      <c r="N355" s="60" t="str">
        <f t="shared" si="56"/>
        <v/>
      </c>
      <c r="O355" s="60" t="str">
        <f t="shared" si="57"/>
        <v/>
      </c>
      <c r="P355" s="60" t="str">
        <f t="shared" si="58"/>
        <v/>
      </c>
      <c r="Q355" s="28" t="str">
        <f t="shared" si="59"/>
        <v/>
      </c>
    </row>
    <row r="356" spans="1:17" ht="15" x14ac:dyDescent="0.25">
      <c r="A356" s="3" t="str">
        <f>IF('[1]0.1 Produksi Pangan &amp; Penduduk'!A357="","",'[1]0.1 Produksi Pangan &amp; Penduduk'!A357)</f>
        <v/>
      </c>
      <c r="B356" s="2" t="str">
        <f>IF('[1]0.1 Produksi Pangan &amp; Penduduk'!B357="","",'[1]0.1 Produksi Pangan &amp; Penduduk'!B357)</f>
        <v/>
      </c>
      <c r="C356" s="2" t="str">
        <f>IF('[1]0.1 Produksi Pangan &amp; Penduduk'!F357="","",'[1]0.1 Produksi Pangan &amp; Penduduk'!F357)</f>
        <v/>
      </c>
      <c r="D356" s="3" t="str">
        <f>IF('[1]0.1 Produksi Pangan &amp; Penduduk'!D357="","",'[1]0.1 Produksi Pangan &amp; Penduduk'!D357)</f>
        <v/>
      </c>
      <c r="E356" s="3" t="str">
        <f>IF('[1]0.1 Produksi Pangan &amp; Penduduk'!E357="","",'[1]0.1 Produksi Pangan &amp; Penduduk'!E357)</f>
        <v/>
      </c>
      <c r="F356" s="59" t="str">
        <f>IF(D356="","",VLOOKUP(D356,'[1]0.1 Produksi Pangan &amp; Penduduk'!$D$5:$J$860,7,0))</f>
        <v/>
      </c>
      <c r="G356" s="27" t="str">
        <f t="shared" si="50"/>
        <v/>
      </c>
      <c r="H356" s="27" t="str">
        <f t="shared" si="51"/>
        <v/>
      </c>
      <c r="I356" s="27" t="str">
        <f t="shared" si="52"/>
        <v/>
      </c>
      <c r="J356" s="27" t="str">
        <f t="shared" si="53"/>
        <v/>
      </c>
      <c r="K356" s="27" t="str">
        <f t="shared" si="54"/>
        <v/>
      </c>
      <c r="L356" s="59" t="str">
        <f>IF(D356="","",VLOOKUP(D356,'[1]0.1 Produksi Pangan &amp; Penduduk'!$D$5:$M$860,10,0))</f>
        <v/>
      </c>
      <c r="M356" s="28" t="str">
        <f t="shared" si="55"/>
        <v/>
      </c>
      <c r="N356" s="60" t="str">
        <f t="shared" si="56"/>
        <v/>
      </c>
      <c r="O356" s="60" t="str">
        <f t="shared" si="57"/>
        <v/>
      </c>
      <c r="P356" s="60" t="str">
        <f t="shared" si="58"/>
        <v/>
      </c>
      <c r="Q356" s="28" t="str">
        <f t="shared" si="59"/>
        <v/>
      </c>
    </row>
    <row r="357" spans="1:17" ht="15" x14ac:dyDescent="0.25">
      <c r="A357" s="3" t="str">
        <f>IF('[1]0.1 Produksi Pangan &amp; Penduduk'!A358="","",'[1]0.1 Produksi Pangan &amp; Penduduk'!A358)</f>
        <v/>
      </c>
      <c r="B357" s="2" t="str">
        <f>IF('[1]0.1 Produksi Pangan &amp; Penduduk'!B358="","",'[1]0.1 Produksi Pangan &amp; Penduduk'!B358)</f>
        <v/>
      </c>
      <c r="C357" s="2" t="str">
        <f>IF('[1]0.1 Produksi Pangan &amp; Penduduk'!F358="","",'[1]0.1 Produksi Pangan &amp; Penduduk'!F358)</f>
        <v/>
      </c>
      <c r="D357" s="3" t="str">
        <f>IF('[1]0.1 Produksi Pangan &amp; Penduduk'!D358="","",'[1]0.1 Produksi Pangan &amp; Penduduk'!D358)</f>
        <v/>
      </c>
      <c r="E357" s="3" t="str">
        <f>IF('[1]0.1 Produksi Pangan &amp; Penduduk'!E358="","",'[1]0.1 Produksi Pangan &amp; Penduduk'!E358)</f>
        <v/>
      </c>
      <c r="F357" s="59" t="str">
        <f>IF(D357="","",VLOOKUP(D357,'[1]0.1 Produksi Pangan &amp; Penduduk'!$D$5:$J$860,7,0))</f>
        <v/>
      </c>
      <c r="G357" s="27" t="str">
        <f t="shared" si="50"/>
        <v/>
      </c>
      <c r="H357" s="27" t="str">
        <f t="shared" si="51"/>
        <v/>
      </c>
      <c r="I357" s="27" t="str">
        <f t="shared" si="52"/>
        <v/>
      </c>
      <c r="J357" s="27" t="str">
        <f t="shared" si="53"/>
        <v/>
      </c>
      <c r="K357" s="27" t="str">
        <f t="shared" si="54"/>
        <v/>
      </c>
      <c r="L357" s="59" t="str">
        <f>IF(D357="","",VLOOKUP(D357,'[1]0.1 Produksi Pangan &amp; Penduduk'!$D$5:$M$860,10,0))</f>
        <v/>
      </c>
      <c r="M357" s="28" t="str">
        <f t="shared" si="55"/>
        <v/>
      </c>
      <c r="N357" s="60" t="str">
        <f t="shared" si="56"/>
        <v/>
      </c>
      <c r="O357" s="60" t="str">
        <f t="shared" si="57"/>
        <v/>
      </c>
      <c r="P357" s="60" t="str">
        <f t="shared" si="58"/>
        <v/>
      </c>
      <c r="Q357" s="28" t="str">
        <f t="shared" si="59"/>
        <v/>
      </c>
    </row>
    <row r="358" spans="1:17" ht="15" x14ac:dyDescent="0.25">
      <c r="A358" s="3" t="str">
        <f>IF('[1]0.1 Produksi Pangan &amp; Penduduk'!A359="","",'[1]0.1 Produksi Pangan &amp; Penduduk'!A359)</f>
        <v/>
      </c>
      <c r="B358" s="2" t="str">
        <f>IF('[1]0.1 Produksi Pangan &amp; Penduduk'!B359="","",'[1]0.1 Produksi Pangan &amp; Penduduk'!B359)</f>
        <v/>
      </c>
      <c r="C358" s="2" t="str">
        <f>IF('[1]0.1 Produksi Pangan &amp; Penduduk'!F359="","",'[1]0.1 Produksi Pangan &amp; Penduduk'!F359)</f>
        <v/>
      </c>
      <c r="D358" s="3" t="str">
        <f>IF('[1]0.1 Produksi Pangan &amp; Penduduk'!D359="","",'[1]0.1 Produksi Pangan &amp; Penduduk'!D359)</f>
        <v/>
      </c>
      <c r="E358" s="3" t="str">
        <f>IF('[1]0.1 Produksi Pangan &amp; Penduduk'!E359="","",'[1]0.1 Produksi Pangan &amp; Penduduk'!E359)</f>
        <v/>
      </c>
      <c r="F358" s="59" t="str">
        <f>IF(D358="","",VLOOKUP(D358,'[1]0.1 Produksi Pangan &amp; Penduduk'!$D$5:$J$860,7,0))</f>
        <v/>
      </c>
      <c r="G358" s="27" t="str">
        <f t="shared" si="50"/>
        <v/>
      </c>
      <c r="H358" s="27" t="str">
        <f t="shared" si="51"/>
        <v/>
      </c>
      <c r="I358" s="27" t="str">
        <f t="shared" si="52"/>
        <v/>
      </c>
      <c r="J358" s="27" t="str">
        <f t="shared" si="53"/>
        <v/>
      </c>
      <c r="K358" s="27" t="str">
        <f t="shared" si="54"/>
        <v/>
      </c>
      <c r="L358" s="59" t="str">
        <f>IF(D358="","",VLOOKUP(D358,'[1]0.1 Produksi Pangan &amp; Penduduk'!$D$5:$M$860,10,0))</f>
        <v/>
      </c>
      <c r="M358" s="28" t="str">
        <f t="shared" si="55"/>
        <v/>
      </c>
      <c r="N358" s="60" t="str">
        <f t="shared" si="56"/>
        <v/>
      </c>
      <c r="O358" s="60" t="str">
        <f t="shared" si="57"/>
        <v/>
      </c>
      <c r="P358" s="60" t="str">
        <f t="shared" si="58"/>
        <v/>
      </c>
      <c r="Q358" s="28" t="str">
        <f t="shared" si="59"/>
        <v/>
      </c>
    </row>
    <row r="359" spans="1:17" ht="15" x14ac:dyDescent="0.25">
      <c r="A359" s="3" t="str">
        <f>IF('[1]0.1 Produksi Pangan &amp; Penduduk'!A360="","",'[1]0.1 Produksi Pangan &amp; Penduduk'!A360)</f>
        <v/>
      </c>
      <c r="B359" s="2" t="str">
        <f>IF('[1]0.1 Produksi Pangan &amp; Penduduk'!B360="","",'[1]0.1 Produksi Pangan &amp; Penduduk'!B360)</f>
        <v/>
      </c>
      <c r="C359" s="2" t="str">
        <f>IF('[1]0.1 Produksi Pangan &amp; Penduduk'!F360="","",'[1]0.1 Produksi Pangan &amp; Penduduk'!F360)</f>
        <v/>
      </c>
      <c r="D359" s="3" t="str">
        <f>IF('[1]0.1 Produksi Pangan &amp; Penduduk'!D360="","",'[1]0.1 Produksi Pangan &amp; Penduduk'!D360)</f>
        <v/>
      </c>
      <c r="E359" s="3" t="str">
        <f>IF('[1]0.1 Produksi Pangan &amp; Penduduk'!E360="","",'[1]0.1 Produksi Pangan &amp; Penduduk'!E360)</f>
        <v/>
      </c>
      <c r="F359" s="59" t="str">
        <f>IF(D359="","",VLOOKUP(D359,'[1]0.1 Produksi Pangan &amp; Penduduk'!$D$5:$J$860,7,0))</f>
        <v/>
      </c>
      <c r="G359" s="27" t="str">
        <f t="shared" si="50"/>
        <v/>
      </c>
      <c r="H359" s="27" t="str">
        <f t="shared" si="51"/>
        <v/>
      </c>
      <c r="I359" s="27" t="str">
        <f t="shared" si="52"/>
        <v/>
      </c>
      <c r="J359" s="27" t="str">
        <f t="shared" si="53"/>
        <v/>
      </c>
      <c r="K359" s="27" t="str">
        <f t="shared" si="54"/>
        <v/>
      </c>
      <c r="L359" s="59" t="str">
        <f>IF(D359="","",VLOOKUP(D359,'[1]0.1 Produksi Pangan &amp; Penduduk'!$D$5:$M$860,10,0))</f>
        <v/>
      </c>
      <c r="M359" s="28" t="str">
        <f t="shared" si="55"/>
        <v/>
      </c>
      <c r="N359" s="60" t="str">
        <f t="shared" si="56"/>
        <v/>
      </c>
      <c r="O359" s="60" t="str">
        <f t="shared" si="57"/>
        <v/>
      </c>
      <c r="P359" s="60" t="str">
        <f t="shared" si="58"/>
        <v/>
      </c>
      <c r="Q359" s="28" t="str">
        <f t="shared" si="59"/>
        <v/>
      </c>
    </row>
    <row r="360" spans="1:17" ht="15" x14ac:dyDescent="0.25">
      <c r="A360" s="3" t="str">
        <f>IF('[1]0.1 Produksi Pangan &amp; Penduduk'!A361="","",'[1]0.1 Produksi Pangan &amp; Penduduk'!A361)</f>
        <v/>
      </c>
      <c r="B360" s="2" t="str">
        <f>IF('[1]0.1 Produksi Pangan &amp; Penduduk'!B361="","",'[1]0.1 Produksi Pangan &amp; Penduduk'!B361)</f>
        <v/>
      </c>
      <c r="C360" s="2" t="str">
        <f>IF('[1]0.1 Produksi Pangan &amp; Penduduk'!F361="","",'[1]0.1 Produksi Pangan &amp; Penduduk'!F361)</f>
        <v/>
      </c>
      <c r="D360" s="3" t="str">
        <f>IF('[1]0.1 Produksi Pangan &amp; Penduduk'!D361="","",'[1]0.1 Produksi Pangan &amp; Penduduk'!D361)</f>
        <v/>
      </c>
      <c r="E360" s="3" t="str">
        <f>IF('[1]0.1 Produksi Pangan &amp; Penduduk'!E361="","",'[1]0.1 Produksi Pangan &amp; Penduduk'!E361)</f>
        <v/>
      </c>
      <c r="F360" s="59" t="str">
        <f>IF(D360="","",VLOOKUP(D360,'[1]0.1 Produksi Pangan &amp; Penduduk'!$D$5:$J$860,7,0))</f>
        <v/>
      </c>
      <c r="G360" s="27" t="str">
        <f t="shared" si="50"/>
        <v/>
      </c>
      <c r="H360" s="27" t="str">
        <f t="shared" si="51"/>
        <v/>
      </c>
      <c r="I360" s="27" t="str">
        <f t="shared" si="52"/>
        <v/>
      </c>
      <c r="J360" s="27" t="str">
        <f t="shared" si="53"/>
        <v/>
      </c>
      <c r="K360" s="27" t="str">
        <f t="shared" si="54"/>
        <v/>
      </c>
      <c r="L360" s="59" t="str">
        <f>IF(D360="","",VLOOKUP(D360,'[1]0.1 Produksi Pangan &amp; Penduduk'!$D$5:$M$860,10,0))</f>
        <v/>
      </c>
      <c r="M360" s="28" t="str">
        <f t="shared" si="55"/>
        <v/>
      </c>
      <c r="N360" s="60" t="str">
        <f t="shared" si="56"/>
        <v/>
      </c>
      <c r="O360" s="60" t="str">
        <f t="shared" si="57"/>
        <v/>
      </c>
      <c r="P360" s="60" t="str">
        <f t="shared" si="58"/>
        <v/>
      </c>
      <c r="Q360" s="28" t="str">
        <f t="shared" si="59"/>
        <v/>
      </c>
    </row>
    <row r="361" spans="1:17" ht="15" x14ac:dyDescent="0.25">
      <c r="A361" s="3" t="str">
        <f>IF('[1]0.1 Produksi Pangan &amp; Penduduk'!A362="","",'[1]0.1 Produksi Pangan &amp; Penduduk'!A362)</f>
        <v/>
      </c>
      <c r="B361" s="2" t="str">
        <f>IF('[1]0.1 Produksi Pangan &amp; Penduduk'!B362="","",'[1]0.1 Produksi Pangan &amp; Penduduk'!B362)</f>
        <v/>
      </c>
      <c r="C361" s="2" t="str">
        <f>IF('[1]0.1 Produksi Pangan &amp; Penduduk'!F362="","",'[1]0.1 Produksi Pangan &amp; Penduduk'!F362)</f>
        <v/>
      </c>
      <c r="D361" s="3" t="str">
        <f>IF('[1]0.1 Produksi Pangan &amp; Penduduk'!D362="","",'[1]0.1 Produksi Pangan &amp; Penduduk'!D362)</f>
        <v/>
      </c>
      <c r="E361" s="3" t="str">
        <f>IF('[1]0.1 Produksi Pangan &amp; Penduduk'!E362="","",'[1]0.1 Produksi Pangan &amp; Penduduk'!E362)</f>
        <v/>
      </c>
      <c r="F361" s="59" t="str">
        <f>IF(D361="","",VLOOKUP(D361,'[1]0.1 Produksi Pangan &amp; Penduduk'!$D$5:$J$860,7,0))</f>
        <v/>
      </c>
      <c r="G361" s="27" t="str">
        <f t="shared" si="50"/>
        <v/>
      </c>
      <c r="H361" s="27" t="str">
        <f t="shared" si="51"/>
        <v/>
      </c>
      <c r="I361" s="27" t="str">
        <f t="shared" si="52"/>
        <v/>
      </c>
      <c r="J361" s="27" t="str">
        <f t="shared" si="53"/>
        <v/>
      </c>
      <c r="K361" s="27" t="str">
        <f t="shared" si="54"/>
        <v/>
      </c>
      <c r="L361" s="59" t="str">
        <f>IF(D361="","",VLOOKUP(D361,'[1]0.1 Produksi Pangan &amp; Penduduk'!$D$5:$M$860,10,0))</f>
        <v/>
      </c>
      <c r="M361" s="28" t="str">
        <f t="shared" si="55"/>
        <v/>
      </c>
      <c r="N361" s="60" t="str">
        <f t="shared" si="56"/>
        <v/>
      </c>
      <c r="O361" s="60" t="str">
        <f t="shared" si="57"/>
        <v/>
      </c>
      <c r="P361" s="60" t="str">
        <f t="shared" si="58"/>
        <v/>
      </c>
      <c r="Q361" s="28" t="str">
        <f t="shared" si="59"/>
        <v/>
      </c>
    </row>
    <row r="362" spans="1:17" ht="15" x14ac:dyDescent="0.25">
      <c r="A362" s="3" t="str">
        <f>IF('[1]0.1 Produksi Pangan &amp; Penduduk'!A363="","",'[1]0.1 Produksi Pangan &amp; Penduduk'!A363)</f>
        <v/>
      </c>
      <c r="B362" s="2" t="str">
        <f>IF('[1]0.1 Produksi Pangan &amp; Penduduk'!B363="","",'[1]0.1 Produksi Pangan &amp; Penduduk'!B363)</f>
        <v/>
      </c>
      <c r="C362" s="2" t="str">
        <f>IF('[1]0.1 Produksi Pangan &amp; Penduduk'!F363="","",'[1]0.1 Produksi Pangan &amp; Penduduk'!F363)</f>
        <v/>
      </c>
      <c r="D362" s="3" t="str">
        <f>IF('[1]0.1 Produksi Pangan &amp; Penduduk'!D363="","",'[1]0.1 Produksi Pangan &amp; Penduduk'!D363)</f>
        <v/>
      </c>
      <c r="E362" s="3" t="str">
        <f>IF('[1]0.1 Produksi Pangan &amp; Penduduk'!E363="","",'[1]0.1 Produksi Pangan &amp; Penduduk'!E363)</f>
        <v/>
      </c>
      <c r="F362" s="59" t="str">
        <f>IF(D362="","",VLOOKUP(D362,'[1]0.1 Produksi Pangan &amp; Penduduk'!$D$5:$J$860,7,0))</f>
        <v/>
      </c>
      <c r="G362" s="27" t="str">
        <f t="shared" si="50"/>
        <v/>
      </c>
      <c r="H362" s="27" t="str">
        <f t="shared" si="51"/>
        <v/>
      </c>
      <c r="I362" s="27" t="str">
        <f t="shared" si="52"/>
        <v/>
      </c>
      <c r="J362" s="27" t="str">
        <f t="shared" si="53"/>
        <v/>
      </c>
      <c r="K362" s="27" t="str">
        <f t="shared" si="54"/>
        <v/>
      </c>
      <c r="L362" s="59" t="str">
        <f>IF(D362="","",VLOOKUP(D362,'[1]0.1 Produksi Pangan &amp; Penduduk'!$D$5:$M$860,10,0))</f>
        <v/>
      </c>
      <c r="M362" s="28" t="str">
        <f t="shared" si="55"/>
        <v/>
      </c>
      <c r="N362" s="60" t="str">
        <f t="shared" si="56"/>
        <v/>
      </c>
      <c r="O362" s="60" t="str">
        <f t="shared" si="57"/>
        <v/>
      </c>
      <c r="P362" s="60" t="str">
        <f t="shared" si="58"/>
        <v/>
      </c>
      <c r="Q362" s="28" t="str">
        <f t="shared" si="59"/>
        <v/>
      </c>
    </row>
    <row r="363" spans="1:17" ht="15" x14ac:dyDescent="0.25">
      <c r="A363" s="3" t="str">
        <f>IF('[1]0.1 Produksi Pangan &amp; Penduduk'!A364="","",'[1]0.1 Produksi Pangan &amp; Penduduk'!A364)</f>
        <v/>
      </c>
      <c r="B363" s="2" t="str">
        <f>IF('[1]0.1 Produksi Pangan &amp; Penduduk'!B364="","",'[1]0.1 Produksi Pangan &amp; Penduduk'!B364)</f>
        <v/>
      </c>
      <c r="C363" s="2" t="str">
        <f>IF('[1]0.1 Produksi Pangan &amp; Penduduk'!F364="","",'[1]0.1 Produksi Pangan &amp; Penduduk'!F364)</f>
        <v/>
      </c>
      <c r="D363" s="3" t="str">
        <f>IF('[1]0.1 Produksi Pangan &amp; Penduduk'!D364="","",'[1]0.1 Produksi Pangan &amp; Penduduk'!D364)</f>
        <v/>
      </c>
      <c r="E363" s="3" t="str">
        <f>IF('[1]0.1 Produksi Pangan &amp; Penduduk'!E364="","",'[1]0.1 Produksi Pangan &amp; Penduduk'!E364)</f>
        <v/>
      </c>
      <c r="F363" s="59" t="str">
        <f>IF(D363="","",VLOOKUP(D363,'[1]0.1 Produksi Pangan &amp; Penduduk'!$D$5:$J$860,7,0))</f>
        <v/>
      </c>
      <c r="G363" s="27" t="str">
        <f t="shared" si="50"/>
        <v/>
      </c>
      <c r="H363" s="27" t="str">
        <f t="shared" si="51"/>
        <v/>
      </c>
      <c r="I363" s="27" t="str">
        <f t="shared" si="52"/>
        <v/>
      </c>
      <c r="J363" s="27" t="str">
        <f t="shared" si="53"/>
        <v/>
      </c>
      <c r="K363" s="27" t="str">
        <f t="shared" si="54"/>
        <v/>
      </c>
      <c r="L363" s="59" t="str">
        <f>IF(D363="","",VLOOKUP(D363,'[1]0.1 Produksi Pangan &amp; Penduduk'!$D$5:$M$860,10,0))</f>
        <v/>
      </c>
      <c r="M363" s="28" t="str">
        <f t="shared" si="55"/>
        <v/>
      </c>
      <c r="N363" s="60" t="str">
        <f t="shared" si="56"/>
        <v/>
      </c>
      <c r="O363" s="60" t="str">
        <f t="shared" si="57"/>
        <v/>
      </c>
      <c r="P363" s="60" t="str">
        <f t="shared" si="58"/>
        <v/>
      </c>
      <c r="Q363" s="28" t="str">
        <f t="shared" si="59"/>
        <v/>
      </c>
    </row>
    <row r="364" spans="1:17" ht="15" x14ac:dyDescent="0.25">
      <c r="A364" s="3" t="str">
        <f>IF('[1]0.1 Produksi Pangan &amp; Penduduk'!A365="","",'[1]0.1 Produksi Pangan &amp; Penduduk'!A365)</f>
        <v/>
      </c>
      <c r="B364" s="2" t="str">
        <f>IF('[1]0.1 Produksi Pangan &amp; Penduduk'!B365="","",'[1]0.1 Produksi Pangan &amp; Penduduk'!B365)</f>
        <v/>
      </c>
      <c r="C364" s="2" t="str">
        <f>IF('[1]0.1 Produksi Pangan &amp; Penduduk'!F365="","",'[1]0.1 Produksi Pangan &amp; Penduduk'!F365)</f>
        <v/>
      </c>
      <c r="D364" s="3" t="str">
        <f>IF('[1]0.1 Produksi Pangan &amp; Penduduk'!D365="","",'[1]0.1 Produksi Pangan &amp; Penduduk'!D365)</f>
        <v/>
      </c>
      <c r="E364" s="3" t="str">
        <f>IF('[1]0.1 Produksi Pangan &amp; Penduduk'!E365="","",'[1]0.1 Produksi Pangan &amp; Penduduk'!E365)</f>
        <v/>
      </c>
      <c r="F364" s="59" t="str">
        <f>IF(D364="","",VLOOKUP(D364,'[1]0.1 Produksi Pangan &amp; Penduduk'!$D$5:$J$860,7,0))</f>
        <v/>
      </c>
      <c r="G364" s="27" t="str">
        <f t="shared" si="50"/>
        <v/>
      </c>
      <c r="H364" s="27" t="str">
        <f t="shared" si="51"/>
        <v/>
      </c>
      <c r="I364" s="27" t="str">
        <f t="shared" si="52"/>
        <v/>
      </c>
      <c r="J364" s="27" t="str">
        <f t="shared" si="53"/>
        <v/>
      </c>
      <c r="K364" s="27" t="str">
        <f t="shared" si="54"/>
        <v/>
      </c>
      <c r="L364" s="59" t="str">
        <f>IF(D364="","",VLOOKUP(D364,'[1]0.1 Produksi Pangan &amp; Penduduk'!$D$5:$M$860,10,0))</f>
        <v/>
      </c>
      <c r="M364" s="28" t="str">
        <f t="shared" si="55"/>
        <v/>
      </c>
      <c r="N364" s="60" t="str">
        <f t="shared" si="56"/>
        <v/>
      </c>
      <c r="O364" s="60" t="str">
        <f t="shared" si="57"/>
        <v/>
      </c>
      <c r="P364" s="60" t="str">
        <f t="shared" si="58"/>
        <v/>
      </c>
      <c r="Q364" s="28" t="str">
        <f t="shared" si="59"/>
        <v/>
      </c>
    </row>
    <row r="365" spans="1:17" ht="15" x14ac:dyDescent="0.25">
      <c r="A365" s="3" t="str">
        <f>IF('[1]0.1 Produksi Pangan &amp; Penduduk'!A366="","",'[1]0.1 Produksi Pangan &amp; Penduduk'!A366)</f>
        <v/>
      </c>
      <c r="B365" s="2" t="str">
        <f>IF('[1]0.1 Produksi Pangan &amp; Penduduk'!B366="","",'[1]0.1 Produksi Pangan &amp; Penduduk'!B366)</f>
        <v/>
      </c>
      <c r="C365" s="2" t="str">
        <f>IF('[1]0.1 Produksi Pangan &amp; Penduduk'!F366="","",'[1]0.1 Produksi Pangan &amp; Penduduk'!F366)</f>
        <v/>
      </c>
      <c r="D365" s="3" t="str">
        <f>IF('[1]0.1 Produksi Pangan &amp; Penduduk'!D366="","",'[1]0.1 Produksi Pangan &amp; Penduduk'!D366)</f>
        <v/>
      </c>
      <c r="E365" s="3" t="str">
        <f>IF('[1]0.1 Produksi Pangan &amp; Penduduk'!E366="","",'[1]0.1 Produksi Pangan &amp; Penduduk'!E366)</f>
        <v/>
      </c>
      <c r="F365" s="59" t="str">
        <f>IF(D365="","",VLOOKUP(D365,'[1]0.1 Produksi Pangan &amp; Penduduk'!$D$5:$J$860,7,0))</f>
        <v/>
      </c>
      <c r="G365" s="27" t="str">
        <f t="shared" si="50"/>
        <v/>
      </c>
      <c r="H365" s="27" t="str">
        <f t="shared" si="51"/>
        <v/>
      </c>
      <c r="I365" s="27" t="str">
        <f t="shared" si="52"/>
        <v/>
      </c>
      <c r="J365" s="27" t="str">
        <f t="shared" si="53"/>
        <v/>
      </c>
      <c r="K365" s="27" t="str">
        <f t="shared" si="54"/>
        <v/>
      </c>
      <c r="L365" s="59" t="str">
        <f>IF(D365="","",VLOOKUP(D365,'[1]0.1 Produksi Pangan &amp; Penduduk'!$D$5:$M$860,10,0))</f>
        <v/>
      </c>
      <c r="M365" s="28" t="str">
        <f t="shared" si="55"/>
        <v/>
      </c>
      <c r="N365" s="60" t="str">
        <f t="shared" si="56"/>
        <v/>
      </c>
      <c r="O365" s="60" t="str">
        <f t="shared" si="57"/>
        <v/>
      </c>
      <c r="P365" s="60" t="str">
        <f t="shared" si="58"/>
        <v/>
      </c>
      <c r="Q365" s="28" t="str">
        <f t="shared" si="59"/>
        <v/>
      </c>
    </row>
    <row r="366" spans="1:17" ht="15" x14ac:dyDescent="0.25">
      <c r="A366" s="3" t="str">
        <f>IF('[1]0.1 Produksi Pangan &amp; Penduduk'!A367="","",'[1]0.1 Produksi Pangan &amp; Penduduk'!A367)</f>
        <v/>
      </c>
      <c r="B366" s="2" t="str">
        <f>IF('[1]0.1 Produksi Pangan &amp; Penduduk'!B367="","",'[1]0.1 Produksi Pangan &amp; Penduduk'!B367)</f>
        <v/>
      </c>
      <c r="C366" s="2" t="str">
        <f>IF('[1]0.1 Produksi Pangan &amp; Penduduk'!F367="","",'[1]0.1 Produksi Pangan &amp; Penduduk'!F367)</f>
        <v/>
      </c>
      <c r="D366" s="3" t="str">
        <f>IF('[1]0.1 Produksi Pangan &amp; Penduduk'!D367="","",'[1]0.1 Produksi Pangan &amp; Penduduk'!D367)</f>
        <v/>
      </c>
      <c r="E366" s="3" t="str">
        <f>IF('[1]0.1 Produksi Pangan &amp; Penduduk'!E367="","",'[1]0.1 Produksi Pangan &amp; Penduduk'!E367)</f>
        <v/>
      </c>
      <c r="F366" s="59" t="str">
        <f>IF(D366="","",VLOOKUP(D366,'[1]0.1 Produksi Pangan &amp; Penduduk'!$D$5:$J$860,7,0))</f>
        <v/>
      </c>
      <c r="G366" s="27" t="str">
        <f t="shared" si="50"/>
        <v/>
      </c>
      <c r="H366" s="27" t="str">
        <f t="shared" si="51"/>
        <v/>
      </c>
      <c r="I366" s="27" t="str">
        <f t="shared" si="52"/>
        <v/>
      </c>
      <c r="J366" s="27" t="str">
        <f t="shared" si="53"/>
        <v/>
      </c>
      <c r="K366" s="27" t="str">
        <f t="shared" si="54"/>
        <v/>
      </c>
      <c r="L366" s="59" t="str">
        <f>IF(D366="","",VLOOKUP(D366,'[1]0.1 Produksi Pangan &amp; Penduduk'!$D$5:$M$860,10,0))</f>
        <v/>
      </c>
      <c r="M366" s="28" t="str">
        <f t="shared" si="55"/>
        <v/>
      </c>
      <c r="N366" s="60" t="str">
        <f t="shared" si="56"/>
        <v/>
      </c>
      <c r="O366" s="60" t="str">
        <f t="shared" si="57"/>
        <v/>
      </c>
      <c r="P366" s="60" t="str">
        <f t="shared" si="58"/>
        <v/>
      </c>
      <c r="Q366" s="28" t="str">
        <f t="shared" si="59"/>
        <v/>
      </c>
    </row>
    <row r="367" spans="1:17" ht="15" x14ac:dyDescent="0.25">
      <c r="A367" s="3" t="str">
        <f>IF('[1]0.1 Produksi Pangan &amp; Penduduk'!A368="","",'[1]0.1 Produksi Pangan &amp; Penduduk'!A368)</f>
        <v/>
      </c>
      <c r="B367" s="2" t="str">
        <f>IF('[1]0.1 Produksi Pangan &amp; Penduduk'!B368="","",'[1]0.1 Produksi Pangan &amp; Penduduk'!B368)</f>
        <v/>
      </c>
      <c r="C367" s="2" t="str">
        <f>IF('[1]0.1 Produksi Pangan &amp; Penduduk'!F368="","",'[1]0.1 Produksi Pangan &amp; Penduduk'!F368)</f>
        <v/>
      </c>
      <c r="D367" s="3" t="str">
        <f>IF('[1]0.1 Produksi Pangan &amp; Penduduk'!D368="","",'[1]0.1 Produksi Pangan &amp; Penduduk'!D368)</f>
        <v/>
      </c>
      <c r="E367" s="3" t="str">
        <f>IF('[1]0.1 Produksi Pangan &amp; Penduduk'!E368="","",'[1]0.1 Produksi Pangan &amp; Penduduk'!E368)</f>
        <v/>
      </c>
      <c r="F367" s="59" t="str">
        <f>IF(D367="","",VLOOKUP(D367,'[1]0.1 Produksi Pangan &amp; Penduduk'!$D$5:$J$860,7,0))</f>
        <v/>
      </c>
      <c r="G367" s="27" t="str">
        <f t="shared" si="50"/>
        <v/>
      </c>
      <c r="H367" s="27" t="str">
        <f t="shared" si="51"/>
        <v/>
      </c>
      <c r="I367" s="27" t="str">
        <f t="shared" si="52"/>
        <v/>
      </c>
      <c r="J367" s="27" t="str">
        <f t="shared" si="53"/>
        <v/>
      </c>
      <c r="K367" s="27" t="str">
        <f t="shared" si="54"/>
        <v/>
      </c>
      <c r="L367" s="59" t="str">
        <f>IF(D367="","",VLOOKUP(D367,'[1]0.1 Produksi Pangan &amp; Penduduk'!$D$5:$M$860,10,0))</f>
        <v/>
      </c>
      <c r="M367" s="28" t="str">
        <f t="shared" si="55"/>
        <v/>
      </c>
      <c r="N367" s="60" t="str">
        <f t="shared" si="56"/>
        <v/>
      </c>
      <c r="O367" s="60" t="str">
        <f t="shared" si="57"/>
        <v/>
      </c>
      <c r="P367" s="60" t="str">
        <f t="shared" si="58"/>
        <v/>
      </c>
      <c r="Q367" s="28" t="str">
        <f t="shared" si="59"/>
        <v/>
      </c>
    </row>
    <row r="368" spans="1:17" ht="15" x14ac:dyDescent="0.25">
      <c r="A368" s="3" t="str">
        <f>IF('[1]0.1 Produksi Pangan &amp; Penduduk'!A369="","",'[1]0.1 Produksi Pangan &amp; Penduduk'!A369)</f>
        <v/>
      </c>
      <c r="B368" s="2" t="str">
        <f>IF('[1]0.1 Produksi Pangan &amp; Penduduk'!B369="","",'[1]0.1 Produksi Pangan &amp; Penduduk'!B369)</f>
        <v/>
      </c>
      <c r="C368" s="2" t="str">
        <f>IF('[1]0.1 Produksi Pangan &amp; Penduduk'!F369="","",'[1]0.1 Produksi Pangan &amp; Penduduk'!F369)</f>
        <v/>
      </c>
      <c r="D368" s="3" t="str">
        <f>IF('[1]0.1 Produksi Pangan &amp; Penduduk'!D369="","",'[1]0.1 Produksi Pangan &amp; Penduduk'!D369)</f>
        <v/>
      </c>
      <c r="E368" s="3" t="str">
        <f>IF('[1]0.1 Produksi Pangan &amp; Penduduk'!E369="","",'[1]0.1 Produksi Pangan &amp; Penduduk'!E369)</f>
        <v/>
      </c>
      <c r="F368" s="59" t="str">
        <f>IF(D368="","",VLOOKUP(D368,'[1]0.1 Produksi Pangan &amp; Penduduk'!$D$5:$J$860,7,0))</f>
        <v/>
      </c>
      <c r="G368" s="27" t="str">
        <f t="shared" si="50"/>
        <v/>
      </c>
      <c r="H368" s="27" t="str">
        <f t="shared" si="51"/>
        <v/>
      </c>
      <c r="I368" s="27" t="str">
        <f t="shared" si="52"/>
        <v/>
      </c>
      <c r="J368" s="27" t="str">
        <f t="shared" si="53"/>
        <v/>
      </c>
      <c r="K368" s="27" t="str">
        <f t="shared" si="54"/>
        <v/>
      </c>
      <c r="L368" s="59" t="str">
        <f>IF(D368="","",VLOOKUP(D368,'[1]0.1 Produksi Pangan &amp; Penduduk'!$D$5:$M$860,10,0))</f>
        <v/>
      </c>
      <c r="M368" s="28" t="str">
        <f t="shared" si="55"/>
        <v/>
      </c>
      <c r="N368" s="60" t="str">
        <f t="shared" si="56"/>
        <v/>
      </c>
      <c r="O368" s="60" t="str">
        <f t="shared" si="57"/>
        <v/>
      </c>
      <c r="P368" s="60" t="str">
        <f t="shared" si="58"/>
        <v/>
      </c>
      <c r="Q368" s="28" t="str">
        <f t="shared" si="59"/>
        <v/>
      </c>
    </row>
    <row r="369" spans="1:17" ht="15" x14ac:dyDescent="0.25">
      <c r="A369" s="3" t="str">
        <f>IF('[1]0.1 Produksi Pangan &amp; Penduduk'!A370="","",'[1]0.1 Produksi Pangan &amp; Penduduk'!A370)</f>
        <v/>
      </c>
      <c r="B369" s="2" t="str">
        <f>IF('[1]0.1 Produksi Pangan &amp; Penduduk'!B370="","",'[1]0.1 Produksi Pangan &amp; Penduduk'!B370)</f>
        <v/>
      </c>
      <c r="C369" s="2" t="str">
        <f>IF('[1]0.1 Produksi Pangan &amp; Penduduk'!F370="","",'[1]0.1 Produksi Pangan &amp; Penduduk'!F370)</f>
        <v/>
      </c>
      <c r="D369" s="3" t="str">
        <f>IF('[1]0.1 Produksi Pangan &amp; Penduduk'!D370="","",'[1]0.1 Produksi Pangan &amp; Penduduk'!D370)</f>
        <v/>
      </c>
      <c r="E369" s="3" t="str">
        <f>IF('[1]0.1 Produksi Pangan &amp; Penduduk'!E370="","",'[1]0.1 Produksi Pangan &amp; Penduduk'!E370)</f>
        <v/>
      </c>
      <c r="F369" s="59" t="str">
        <f>IF(D369="","",VLOOKUP(D369,'[1]0.1 Produksi Pangan &amp; Penduduk'!$D$5:$J$860,7,0))</f>
        <v/>
      </c>
      <c r="G369" s="27" t="str">
        <f t="shared" si="50"/>
        <v/>
      </c>
      <c r="H369" s="27" t="str">
        <f t="shared" si="51"/>
        <v/>
      </c>
      <c r="I369" s="27" t="str">
        <f t="shared" si="52"/>
        <v/>
      </c>
      <c r="J369" s="27" t="str">
        <f t="shared" si="53"/>
        <v/>
      </c>
      <c r="K369" s="27" t="str">
        <f t="shared" si="54"/>
        <v/>
      </c>
      <c r="L369" s="59" t="str">
        <f>IF(D369="","",VLOOKUP(D369,'[1]0.1 Produksi Pangan &amp; Penduduk'!$D$5:$M$860,10,0))</f>
        <v/>
      </c>
      <c r="M369" s="28" t="str">
        <f t="shared" si="55"/>
        <v/>
      </c>
      <c r="N369" s="60" t="str">
        <f t="shared" si="56"/>
        <v/>
      </c>
      <c r="O369" s="60" t="str">
        <f t="shared" si="57"/>
        <v/>
      </c>
      <c r="P369" s="60" t="str">
        <f t="shared" si="58"/>
        <v/>
      </c>
      <c r="Q369" s="28" t="str">
        <f t="shared" si="59"/>
        <v/>
      </c>
    </row>
    <row r="370" spans="1:17" ht="15" x14ac:dyDescent="0.25">
      <c r="A370" s="3" t="str">
        <f>IF('[1]0.1 Produksi Pangan &amp; Penduduk'!A371="","",'[1]0.1 Produksi Pangan &amp; Penduduk'!A371)</f>
        <v/>
      </c>
      <c r="B370" s="2" t="str">
        <f>IF('[1]0.1 Produksi Pangan &amp; Penduduk'!B371="","",'[1]0.1 Produksi Pangan &amp; Penduduk'!B371)</f>
        <v/>
      </c>
      <c r="C370" s="2" t="str">
        <f>IF('[1]0.1 Produksi Pangan &amp; Penduduk'!F371="","",'[1]0.1 Produksi Pangan &amp; Penduduk'!F371)</f>
        <v/>
      </c>
      <c r="D370" s="3" t="str">
        <f>IF('[1]0.1 Produksi Pangan &amp; Penduduk'!D371="","",'[1]0.1 Produksi Pangan &amp; Penduduk'!D371)</f>
        <v/>
      </c>
      <c r="E370" s="3" t="str">
        <f>IF('[1]0.1 Produksi Pangan &amp; Penduduk'!E371="","",'[1]0.1 Produksi Pangan &amp; Penduduk'!E371)</f>
        <v/>
      </c>
      <c r="F370" s="59" t="str">
        <f>IF(D370="","",VLOOKUP(D370,'[1]0.1 Produksi Pangan &amp; Penduduk'!$D$5:$J$860,7,0))</f>
        <v/>
      </c>
      <c r="G370" s="27" t="str">
        <f t="shared" si="50"/>
        <v/>
      </c>
      <c r="H370" s="27" t="str">
        <f t="shared" si="51"/>
        <v/>
      </c>
      <c r="I370" s="27" t="str">
        <f t="shared" si="52"/>
        <v/>
      </c>
      <c r="J370" s="27" t="str">
        <f t="shared" si="53"/>
        <v/>
      </c>
      <c r="K370" s="27" t="str">
        <f t="shared" si="54"/>
        <v/>
      </c>
      <c r="L370" s="59" t="str">
        <f>IF(D370="","",VLOOKUP(D370,'[1]0.1 Produksi Pangan &amp; Penduduk'!$D$5:$M$860,10,0))</f>
        <v/>
      </c>
      <c r="M370" s="28" t="str">
        <f t="shared" si="55"/>
        <v/>
      </c>
      <c r="N370" s="60" t="str">
        <f t="shared" si="56"/>
        <v/>
      </c>
      <c r="O370" s="60" t="str">
        <f t="shared" si="57"/>
        <v/>
      </c>
      <c r="P370" s="60" t="str">
        <f t="shared" si="58"/>
        <v/>
      </c>
      <c r="Q370" s="28" t="str">
        <f t="shared" si="59"/>
        <v/>
      </c>
    </row>
    <row r="371" spans="1:17" ht="15" x14ac:dyDescent="0.25">
      <c r="A371" s="3" t="str">
        <f>IF('[1]0.1 Produksi Pangan &amp; Penduduk'!A372="","",'[1]0.1 Produksi Pangan &amp; Penduduk'!A372)</f>
        <v/>
      </c>
      <c r="B371" s="2" t="str">
        <f>IF('[1]0.1 Produksi Pangan &amp; Penduduk'!B372="","",'[1]0.1 Produksi Pangan &amp; Penduduk'!B372)</f>
        <v/>
      </c>
      <c r="C371" s="2" t="str">
        <f>IF('[1]0.1 Produksi Pangan &amp; Penduduk'!F372="","",'[1]0.1 Produksi Pangan &amp; Penduduk'!F372)</f>
        <v/>
      </c>
      <c r="D371" s="3" t="str">
        <f>IF('[1]0.1 Produksi Pangan &amp; Penduduk'!D372="","",'[1]0.1 Produksi Pangan &amp; Penduduk'!D372)</f>
        <v/>
      </c>
      <c r="E371" s="3" t="str">
        <f>IF('[1]0.1 Produksi Pangan &amp; Penduduk'!E372="","",'[1]0.1 Produksi Pangan &amp; Penduduk'!E372)</f>
        <v/>
      </c>
      <c r="F371" s="59" t="str">
        <f>IF(D371="","",VLOOKUP(D371,'[1]0.1 Produksi Pangan &amp; Penduduk'!$D$5:$J$860,7,0))</f>
        <v/>
      </c>
      <c r="G371" s="27" t="str">
        <f t="shared" si="50"/>
        <v/>
      </c>
      <c r="H371" s="27" t="str">
        <f t="shared" si="51"/>
        <v/>
      </c>
      <c r="I371" s="27" t="str">
        <f t="shared" si="52"/>
        <v/>
      </c>
      <c r="J371" s="27" t="str">
        <f t="shared" si="53"/>
        <v/>
      </c>
      <c r="K371" s="27" t="str">
        <f t="shared" si="54"/>
        <v/>
      </c>
      <c r="L371" s="59" t="str">
        <f>IF(D371="","",VLOOKUP(D371,'[1]0.1 Produksi Pangan &amp; Penduduk'!$D$5:$M$860,10,0))</f>
        <v/>
      </c>
      <c r="M371" s="28" t="str">
        <f t="shared" si="55"/>
        <v/>
      </c>
      <c r="N371" s="60" t="str">
        <f t="shared" si="56"/>
        <v/>
      </c>
      <c r="O371" s="60" t="str">
        <f t="shared" si="57"/>
        <v/>
      </c>
      <c r="P371" s="60" t="str">
        <f t="shared" si="58"/>
        <v/>
      </c>
      <c r="Q371" s="28" t="str">
        <f t="shared" si="59"/>
        <v/>
      </c>
    </row>
    <row r="372" spans="1:17" ht="15" x14ac:dyDescent="0.25">
      <c r="A372" s="3" t="str">
        <f>IF('[1]0.1 Produksi Pangan &amp; Penduduk'!A373="","",'[1]0.1 Produksi Pangan &amp; Penduduk'!A373)</f>
        <v/>
      </c>
      <c r="B372" s="2" t="str">
        <f>IF('[1]0.1 Produksi Pangan &amp; Penduduk'!B373="","",'[1]0.1 Produksi Pangan &amp; Penduduk'!B373)</f>
        <v/>
      </c>
      <c r="C372" s="2" t="str">
        <f>IF('[1]0.1 Produksi Pangan &amp; Penduduk'!F373="","",'[1]0.1 Produksi Pangan &amp; Penduduk'!F373)</f>
        <v/>
      </c>
      <c r="D372" s="3" t="str">
        <f>IF('[1]0.1 Produksi Pangan &amp; Penduduk'!D373="","",'[1]0.1 Produksi Pangan &amp; Penduduk'!D373)</f>
        <v/>
      </c>
      <c r="E372" s="3" t="str">
        <f>IF('[1]0.1 Produksi Pangan &amp; Penduduk'!E373="","",'[1]0.1 Produksi Pangan &amp; Penduduk'!E373)</f>
        <v/>
      </c>
      <c r="F372" s="59" t="str">
        <f>IF(D372="","",VLOOKUP(D372,'[1]0.1 Produksi Pangan &amp; Penduduk'!$D$5:$J$860,7,0))</f>
        <v/>
      </c>
      <c r="G372" s="27" t="str">
        <f t="shared" si="50"/>
        <v/>
      </c>
      <c r="H372" s="27" t="str">
        <f t="shared" si="51"/>
        <v/>
      </c>
      <c r="I372" s="27" t="str">
        <f t="shared" si="52"/>
        <v/>
      </c>
      <c r="J372" s="27" t="str">
        <f t="shared" si="53"/>
        <v/>
      </c>
      <c r="K372" s="27" t="str">
        <f t="shared" si="54"/>
        <v/>
      </c>
      <c r="L372" s="59" t="str">
        <f>IF(D372="","",VLOOKUP(D372,'[1]0.1 Produksi Pangan &amp; Penduduk'!$D$5:$M$860,10,0))</f>
        <v/>
      </c>
      <c r="M372" s="28" t="str">
        <f t="shared" si="55"/>
        <v/>
      </c>
      <c r="N372" s="60" t="str">
        <f t="shared" si="56"/>
        <v/>
      </c>
      <c r="O372" s="60" t="str">
        <f t="shared" si="57"/>
        <v/>
      </c>
      <c r="P372" s="60" t="str">
        <f t="shared" si="58"/>
        <v/>
      </c>
      <c r="Q372" s="28" t="str">
        <f t="shared" si="59"/>
        <v/>
      </c>
    </row>
    <row r="373" spans="1:17" ht="15" x14ac:dyDescent="0.25">
      <c r="A373" s="3" t="str">
        <f>IF('[1]0.1 Produksi Pangan &amp; Penduduk'!A374="","",'[1]0.1 Produksi Pangan &amp; Penduduk'!A374)</f>
        <v/>
      </c>
      <c r="B373" s="2" t="str">
        <f>IF('[1]0.1 Produksi Pangan &amp; Penduduk'!B374="","",'[1]0.1 Produksi Pangan &amp; Penduduk'!B374)</f>
        <v/>
      </c>
      <c r="C373" s="2" t="str">
        <f>IF('[1]0.1 Produksi Pangan &amp; Penduduk'!F374="","",'[1]0.1 Produksi Pangan &amp; Penduduk'!F374)</f>
        <v/>
      </c>
      <c r="D373" s="3" t="str">
        <f>IF('[1]0.1 Produksi Pangan &amp; Penduduk'!D374="","",'[1]0.1 Produksi Pangan &amp; Penduduk'!D374)</f>
        <v/>
      </c>
      <c r="E373" s="3" t="str">
        <f>IF('[1]0.1 Produksi Pangan &amp; Penduduk'!E374="","",'[1]0.1 Produksi Pangan &amp; Penduduk'!E374)</f>
        <v/>
      </c>
      <c r="F373" s="59" t="str">
        <f>IF(D373="","",VLOOKUP(D373,'[1]0.1 Produksi Pangan &amp; Penduduk'!$D$5:$J$860,7,0))</f>
        <v/>
      </c>
      <c r="G373" s="27" t="str">
        <f t="shared" si="50"/>
        <v/>
      </c>
      <c r="H373" s="27" t="str">
        <f t="shared" si="51"/>
        <v/>
      </c>
      <c r="I373" s="27" t="str">
        <f t="shared" si="52"/>
        <v/>
      </c>
      <c r="J373" s="27" t="str">
        <f t="shared" si="53"/>
        <v/>
      </c>
      <c r="K373" s="27" t="str">
        <f t="shared" si="54"/>
        <v/>
      </c>
      <c r="L373" s="59" t="str">
        <f>IF(D373="","",VLOOKUP(D373,'[1]0.1 Produksi Pangan &amp; Penduduk'!$D$5:$M$860,10,0))</f>
        <v/>
      </c>
      <c r="M373" s="28" t="str">
        <f t="shared" si="55"/>
        <v/>
      </c>
      <c r="N373" s="60" t="str">
        <f t="shared" si="56"/>
        <v/>
      </c>
      <c r="O373" s="60" t="str">
        <f t="shared" si="57"/>
        <v/>
      </c>
      <c r="P373" s="60" t="str">
        <f t="shared" si="58"/>
        <v/>
      </c>
      <c r="Q373" s="28" t="str">
        <f t="shared" si="59"/>
        <v/>
      </c>
    </row>
    <row r="374" spans="1:17" ht="15" x14ac:dyDescent="0.25">
      <c r="A374" s="3" t="str">
        <f>IF('[1]0.1 Produksi Pangan &amp; Penduduk'!A375="","",'[1]0.1 Produksi Pangan &amp; Penduduk'!A375)</f>
        <v/>
      </c>
      <c r="B374" s="2" t="str">
        <f>IF('[1]0.1 Produksi Pangan &amp; Penduduk'!B375="","",'[1]0.1 Produksi Pangan &amp; Penduduk'!B375)</f>
        <v/>
      </c>
      <c r="C374" s="2" t="str">
        <f>IF('[1]0.1 Produksi Pangan &amp; Penduduk'!F375="","",'[1]0.1 Produksi Pangan &amp; Penduduk'!F375)</f>
        <v/>
      </c>
      <c r="D374" s="3" t="str">
        <f>IF('[1]0.1 Produksi Pangan &amp; Penduduk'!D375="","",'[1]0.1 Produksi Pangan &amp; Penduduk'!D375)</f>
        <v/>
      </c>
      <c r="E374" s="3" t="str">
        <f>IF('[1]0.1 Produksi Pangan &amp; Penduduk'!E375="","",'[1]0.1 Produksi Pangan &amp; Penduduk'!E375)</f>
        <v/>
      </c>
      <c r="F374" s="59" t="str">
        <f>IF(D374="","",VLOOKUP(D374,'[1]0.1 Produksi Pangan &amp; Penduduk'!$D$5:$J$860,7,0))</f>
        <v/>
      </c>
      <c r="G374" s="27" t="str">
        <f t="shared" si="50"/>
        <v/>
      </c>
      <c r="H374" s="27" t="str">
        <f t="shared" si="51"/>
        <v/>
      </c>
      <c r="I374" s="27" t="str">
        <f t="shared" si="52"/>
        <v/>
      </c>
      <c r="J374" s="27" t="str">
        <f t="shared" si="53"/>
        <v/>
      </c>
      <c r="K374" s="27" t="str">
        <f t="shared" si="54"/>
        <v/>
      </c>
      <c r="L374" s="59" t="str">
        <f>IF(D374="","",VLOOKUP(D374,'[1]0.1 Produksi Pangan &amp; Penduduk'!$D$5:$M$860,10,0))</f>
        <v/>
      </c>
      <c r="M374" s="28" t="str">
        <f t="shared" si="55"/>
        <v/>
      </c>
      <c r="N374" s="60" t="str">
        <f t="shared" si="56"/>
        <v/>
      </c>
      <c r="O374" s="60" t="str">
        <f t="shared" si="57"/>
        <v/>
      </c>
      <c r="P374" s="60" t="str">
        <f t="shared" si="58"/>
        <v/>
      </c>
      <c r="Q374" s="28" t="str">
        <f t="shared" si="59"/>
        <v/>
      </c>
    </row>
    <row r="375" spans="1:17" ht="15" x14ac:dyDescent="0.25">
      <c r="A375" s="3" t="str">
        <f>IF('[1]0.1 Produksi Pangan &amp; Penduduk'!A376="","",'[1]0.1 Produksi Pangan &amp; Penduduk'!A376)</f>
        <v/>
      </c>
      <c r="B375" s="2" t="str">
        <f>IF('[1]0.1 Produksi Pangan &amp; Penduduk'!B376="","",'[1]0.1 Produksi Pangan &amp; Penduduk'!B376)</f>
        <v/>
      </c>
      <c r="C375" s="2" t="str">
        <f>IF('[1]0.1 Produksi Pangan &amp; Penduduk'!F376="","",'[1]0.1 Produksi Pangan &amp; Penduduk'!F376)</f>
        <v/>
      </c>
      <c r="D375" s="3" t="str">
        <f>IF('[1]0.1 Produksi Pangan &amp; Penduduk'!D376="","",'[1]0.1 Produksi Pangan &amp; Penduduk'!D376)</f>
        <v/>
      </c>
      <c r="E375" s="3" t="str">
        <f>IF('[1]0.1 Produksi Pangan &amp; Penduduk'!E376="","",'[1]0.1 Produksi Pangan &amp; Penduduk'!E376)</f>
        <v/>
      </c>
      <c r="F375" s="59" t="str">
        <f>IF(D375="","",VLOOKUP(D375,'[1]0.1 Produksi Pangan &amp; Penduduk'!$D$5:$J$860,7,0))</f>
        <v/>
      </c>
      <c r="G375" s="27" t="str">
        <f t="shared" si="50"/>
        <v/>
      </c>
      <c r="H375" s="27" t="str">
        <f t="shared" si="51"/>
        <v/>
      </c>
      <c r="I375" s="27" t="str">
        <f t="shared" si="52"/>
        <v/>
      </c>
      <c r="J375" s="27" t="str">
        <f t="shared" si="53"/>
        <v/>
      </c>
      <c r="K375" s="27" t="str">
        <f t="shared" si="54"/>
        <v/>
      </c>
      <c r="L375" s="59" t="str">
        <f>IF(D375="","",VLOOKUP(D375,'[1]0.1 Produksi Pangan &amp; Penduduk'!$D$5:$M$860,10,0))</f>
        <v/>
      </c>
      <c r="M375" s="28" t="str">
        <f t="shared" si="55"/>
        <v/>
      </c>
      <c r="N375" s="60" t="str">
        <f t="shared" si="56"/>
        <v/>
      </c>
      <c r="O375" s="60" t="str">
        <f t="shared" si="57"/>
        <v/>
      </c>
      <c r="P375" s="60" t="str">
        <f t="shared" si="58"/>
        <v/>
      </c>
      <c r="Q375" s="28" t="str">
        <f t="shared" si="59"/>
        <v/>
      </c>
    </row>
    <row r="376" spans="1:17" ht="15" x14ac:dyDescent="0.25">
      <c r="A376" s="3" t="str">
        <f>IF('[1]0.1 Produksi Pangan &amp; Penduduk'!A377="","",'[1]0.1 Produksi Pangan &amp; Penduduk'!A377)</f>
        <v/>
      </c>
      <c r="B376" s="2" t="str">
        <f>IF('[1]0.1 Produksi Pangan &amp; Penduduk'!B377="","",'[1]0.1 Produksi Pangan &amp; Penduduk'!B377)</f>
        <v/>
      </c>
      <c r="C376" s="2" t="str">
        <f>IF('[1]0.1 Produksi Pangan &amp; Penduduk'!F377="","",'[1]0.1 Produksi Pangan &amp; Penduduk'!F377)</f>
        <v/>
      </c>
      <c r="D376" s="3" t="str">
        <f>IF('[1]0.1 Produksi Pangan &amp; Penduduk'!D377="","",'[1]0.1 Produksi Pangan &amp; Penduduk'!D377)</f>
        <v/>
      </c>
      <c r="E376" s="3" t="str">
        <f>IF('[1]0.1 Produksi Pangan &amp; Penduduk'!E377="","",'[1]0.1 Produksi Pangan &amp; Penduduk'!E377)</f>
        <v/>
      </c>
      <c r="F376" s="59" t="str">
        <f>IF(D376="","",VLOOKUP(D376,'[1]0.1 Produksi Pangan &amp; Penduduk'!$D$5:$J$860,7,0))</f>
        <v/>
      </c>
      <c r="G376" s="27" t="str">
        <f t="shared" si="50"/>
        <v/>
      </c>
      <c r="H376" s="27" t="str">
        <f t="shared" si="51"/>
        <v/>
      </c>
      <c r="I376" s="27" t="str">
        <f t="shared" si="52"/>
        <v/>
      </c>
      <c r="J376" s="27" t="str">
        <f t="shared" si="53"/>
        <v/>
      </c>
      <c r="K376" s="27" t="str">
        <f t="shared" si="54"/>
        <v/>
      </c>
      <c r="L376" s="59" t="str">
        <f>IF(D376="","",VLOOKUP(D376,'[1]0.1 Produksi Pangan &amp; Penduduk'!$D$5:$M$860,10,0))</f>
        <v/>
      </c>
      <c r="M376" s="28" t="str">
        <f t="shared" si="55"/>
        <v/>
      </c>
      <c r="N376" s="60" t="str">
        <f t="shared" si="56"/>
        <v/>
      </c>
      <c r="O376" s="60" t="str">
        <f t="shared" si="57"/>
        <v/>
      </c>
      <c r="P376" s="60" t="str">
        <f t="shared" si="58"/>
        <v/>
      </c>
      <c r="Q376" s="28" t="str">
        <f t="shared" si="59"/>
        <v/>
      </c>
    </row>
    <row r="377" spans="1:17" ht="15" x14ac:dyDescent="0.25">
      <c r="A377" s="3" t="str">
        <f>IF('[1]0.1 Produksi Pangan &amp; Penduduk'!A378="","",'[1]0.1 Produksi Pangan &amp; Penduduk'!A378)</f>
        <v/>
      </c>
      <c r="B377" s="2" t="str">
        <f>IF('[1]0.1 Produksi Pangan &amp; Penduduk'!B378="","",'[1]0.1 Produksi Pangan &amp; Penduduk'!B378)</f>
        <v/>
      </c>
      <c r="C377" s="2" t="str">
        <f>IF('[1]0.1 Produksi Pangan &amp; Penduduk'!F378="","",'[1]0.1 Produksi Pangan &amp; Penduduk'!F378)</f>
        <v/>
      </c>
      <c r="D377" s="3" t="str">
        <f>IF('[1]0.1 Produksi Pangan &amp; Penduduk'!D378="","",'[1]0.1 Produksi Pangan &amp; Penduduk'!D378)</f>
        <v/>
      </c>
      <c r="E377" s="3" t="str">
        <f>IF('[1]0.1 Produksi Pangan &amp; Penduduk'!E378="","",'[1]0.1 Produksi Pangan &amp; Penduduk'!E378)</f>
        <v/>
      </c>
      <c r="F377" s="59" t="str">
        <f>IF(D377="","",VLOOKUP(D377,'[1]0.1 Produksi Pangan &amp; Penduduk'!$D$5:$J$860,7,0))</f>
        <v/>
      </c>
      <c r="G377" s="27" t="str">
        <f t="shared" si="50"/>
        <v/>
      </c>
      <c r="H377" s="27" t="str">
        <f t="shared" si="51"/>
        <v/>
      </c>
      <c r="I377" s="27" t="str">
        <f t="shared" si="52"/>
        <v/>
      </c>
      <c r="J377" s="27" t="str">
        <f t="shared" si="53"/>
        <v/>
      </c>
      <c r="K377" s="27" t="str">
        <f t="shared" si="54"/>
        <v/>
      </c>
      <c r="L377" s="59" t="str">
        <f>IF(D377="","",VLOOKUP(D377,'[1]0.1 Produksi Pangan &amp; Penduduk'!$D$5:$M$860,10,0))</f>
        <v/>
      </c>
      <c r="M377" s="28" t="str">
        <f t="shared" si="55"/>
        <v/>
      </c>
      <c r="N377" s="60" t="str">
        <f t="shared" si="56"/>
        <v/>
      </c>
      <c r="O377" s="60" t="str">
        <f t="shared" si="57"/>
        <v/>
      </c>
      <c r="P377" s="60" t="str">
        <f t="shared" si="58"/>
        <v/>
      </c>
      <c r="Q377" s="28" t="str">
        <f t="shared" si="59"/>
        <v/>
      </c>
    </row>
    <row r="378" spans="1:17" ht="15" x14ac:dyDescent="0.25">
      <c r="A378" s="3" t="str">
        <f>IF('[1]0.1 Produksi Pangan &amp; Penduduk'!A379="","",'[1]0.1 Produksi Pangan &amp; Penduduk'!A379)</f>
        <v/>
      </c>
      <c r="B378" s="2" t="str">
        <f>IF('[1]0.1 Produksi Pangan &amp; Penduduk'!B379="","",'[1]0.1 Produksi Pangan &amp; Penduduk'!B379)</f>
        <v/>
      </c>
      <c r="C378" s="2" t="str">
        <f>IF('[1]0.1 Produksi Pangan &amp; Penduduk'!F379="","",'[1]0.1 Produksi Pangan &amp; Penduduk'!F379)</f>
        <v/>
      </c>
      <c r="D378" s="3" t="str">
        <f>IF('[1]0.1 Produksi Pangan &amp; Penduduk'!D379="","",'[1]0.1 Produksi Pangan &amp; Penduduk'!D379)</f>
        <v/>
      </c>
      <c r="E378" s="3" t="str">
        <f>IF('[1]0.1 Produksi Pangan &amp; Penduduk'!E379="","",'[1]0.1 Produksi Pangan &amp; Penduduk'!E379)</f>
        <v/>
      </c>
      <c r="F378" s="59" t="str">
        <f>IF(D378="","",VLOOKUP(D378,'[1]0.1 Produksi Pangan &amp; Penduduk'!$D$5:$J$860,7,0))</f>
        <v/>
      </c>
      <c r="G378" s="27" t="str">
        <f t="shared" si="50"/>
        <v/>
      </c>
      <c r="H378" s="27" t="str">
        <f t="shared" si="51"/>
        <v/>
      </c>
      <c r="I378" s="27" t="str">
        <f t="shared" si="52"/>
        <v/>
      </c>
      <c r="J378" s="27" t="str">
        <f t="shared" si="53"/>
        <v/>
      </c>
      <c r="K378" s="27" t="str">
        <f t="shared" si="54"/>
        <v/>
      </c>
      <c r="L378" s="59" t="str">
        <f>IF(D378="","",VLOOKUP(D378,'[1]0.1 Produksi Pangan &amp; Penduduk'!$D$5:$M$860,10,0))</f>
        <v/>
      </c>
      <c r="M378" s="28" t="str">
        <f t="shared" si="55"/>
        <v/>
      </c>
      <c r="N378" s="60" t="str">
        <f t="shared" si="56"/>
        <v/>
      </c>
      <c r="O378" s="60" t="str">
        <f t="shared" si="57"/>
        <v/>
      </c>
      <c r="P378" s="60" t="str">
        <f t="shared" si="58"/>
        <v/>
      </c>
      <c r="Q378" s="28" t="str">
        <f t="shared" si="59"/>
        <v/>
      </c>
    </row>
    <row r="379" spans="1:17" ht="15" x14ac:dyDescent="0.25">
      <c r="A379" s="3" t="str">
        <f>IF('[1]0.1 Produksi Pangan &amp; Penduduk'!A380="","",'[1]0.1 Produksi Pangan &amp; Penduduk'!A380)</f>
        <v/>
      </c>
      <c r="B379" s="2" t="str">
        <f>IF('[1]0.1 Produksi Pangan &amp; Penduduk'!B380="","",'[1]0.1 Produksi Pangan &amp; Penduduk'!B380)</f>
        <v/>
      </c>
      <c r="C379" s="2" t="str">
        <f>IF('[1]0.1 Produksi Pangan &amp; Penduduk'!F380="","",'[1]0.1 Produksi Pangan &amp; Penduduk'!F380)</f>
        <v/>
      </c>
      <c r="D379" s="3" t="str">
        <f>IF('[1]0.1 Produksi Pangan &amp; Penduduk'!D380="","",'[1]0.1 Produksi Pangan &amp; Penduduk'!D380)</f>
        <v/>
      </c>
      <c r="E379" s="3" t="str">
        <f>IF('[1]0.1 Produksi Pangan &amp; Penduduk'!E380="","",'[1]0.1 Produksi Pangan &amp; Penduduk'!E380)</f>
        <v/>
      </c>
      <c r="F379" s="59" t="str">
        <f>IF(D379="","",VLOOKUP(D379,'[1]0.1 Produksi Pangan &amp; Penduduk'!$D$5:$J$860,7,0))</f>
        <v/>
      </c>
      <c r="G379" s="27" t="str">
        <f t="shared" si="50"/>
        <v/>
      </c>
      <c r="H379" s="27" t="str">
        <f t="shared" si="51"/>
        <v/>
      </c>
      <c r="I379" s="27" t="str">
        <f t="shared" si="52"/>
        <v/>
      </c>
      <c r="J379" s="27" t="str">
        <f t="shared" si="53"/>
        <v/>
      </c>
      <c r="K379" s="27" t="str">
        <f t="shared" si="54"/>
        <v/>
      </c>
      <c r="L379" s="59" t="str">
        <f>IF(D379="","",VLOOKUP(D379,'[1]0.1 Produksi Pangan &amp; Penduduk'!$D$5:$M$860,10,0))</f>
        <v/>
      </c>
      <c r="M379" s="28" t="str">
        <f t="shared" si="55"/>
        <v/>
      </c>
      <c r="N379" s="60" t="str">
        <f t="shared" si="56"/>
        <v/>
      </c>
      <c r="O379" s="60" t="str">
        <f t="shared" si="57"/>
        <v/>
      </c>
      <c r="P379" s="60" t="str">
        <f t="shared" si="58"/>
        <v/>
      </c>
      <c r="Q379" s="28" t="str">
        <f t="shared" si="59"/>
        <v/>
      </c>
    </row>
    <row r="380" spans="1:17" ht="15" x14ac:dyDescent="0.25">
      <c r="A380" s="3" t="str">
        <f>IF('[1]0.1 Produksi Pangan &amp; Penduduk'!A381="","",'[1]0.1 Produksi Pangan &amp; Penduduk'!A381)</f>
        <v/>
      </c>
      <c r="B380" s="2" t="str">
        <f>IF('[1]0.1 Produksi Pangan &amp; Penduduk'!B381="","",'[1]0.1 Produksi Pangan &amp; Penduduk'!B381)</f>
        <v/>
      </c>
      <c r="C380" s="2" t="str">
        <f>IF('[1]0.1 Produksi Pangan &amp; Penduduk'!F381="","",'[1]0.1 Produksi Pangan &amp; Penduduk'!F381)</f>
        <v/>
      </c>
      <c r="D380" s="3" t="str">
        <f>IF('[1]0.1 Produksi Pangan &amp; Penduduk'!D381="","",'[1]0.1 Produksi Pangan &amp; Penduduk'!D381)</f>
        <v/>
      </c>
      <c r="E380" s="3" t="str">
        <f>IF('[1]0.1 Produksi Pangan &amp; Penduduk'!E381="","",'[1]0.1 Produksi Pangan &amp; Penduduk'!E381)</f>
        <v/>
      </c>
      <c r="F380" s="59" t="str">
        <f>IF(D380="","",VLOOKUP(D380,'[1]0.1 Produksi Pangan &amp; Penduduk'!$D$5:$J$860,7,0))</f>
        <v/>
      </c>
      <c r="G380" s="27" t="str">
        <f t="shared" si="50"/>
        <v/>
      </c>
      <c r="H380" s="27" t="str">
        <f t="shared" si="51"/>
        <v/>
      </c>
      <c r="I380" s="27" t="str">
        <f t="shared" si="52"/>
        <v/>
      </c>
      <c r="J380" s="27" t="str">
        <f t="shared" si="53"/>
        <v/>
      </c>
      <c r="K380" s="27" t="str">
        <f t="shared" si="54"/>
        <v/>
      </c>
      <c r="L380" s="59" t="str">
        <f>IF(D380="","",VLOOKUP(D380,'[1]0.1 Produksi Pangan &amp; Penduduk'!$D$5:$M$860,10,0))</f>
        <v/>
      </c>
      <c r="M380" s="28" t="str">
        <f t="shared" si="55"/>
        <v/>
      </c>
      <c r="N380" s="60" t="str">
        <f t="shared" si="56"/>
        <v/>
      </c>
      <c r="O380" s="60" t="str">
        <f t="shared" si="57"/>
        <v/>
      </c>
      <c r="P380" s="60" t="str">
        <f t="shared" si="58"/>
        <v/>
      </c>
      <c r="Q380" s="28" t="str">
        <f t="shared" si="59"/>
        <v/>
      </c>
    </row>
    <row r="381" spans="1:17" ht="15" x14ac:dyDescent="0.25">
      <c r="A381" s="3" t="str">
        <f>IF('[1]0.1 Produksi Pangan &amp; Penduduk'!A382="","",'[1]0.1 Produksi Pangan &amp; Penduduk'!A382)</f>
        <v/>
      </c>
      <c r="B381" s="2" t="str">
        <f>IF('[1]0.1 Produksi Pangan &amp; Penduduk'!B382="","",'[1]0.1 Produksi Pangan &amp; Penduduk'!B382)</f>
        <v/>
      </c>
      <c r="C381" s="2" t="str">
        <f>IF('[1]0.1 Produksi Pangan &amp; Penduduk'!F382="","",'[1]0.1 Produksi Pangan &amp; Penduduk'!F382)</f>
        <v/>
      </c>
      <c r="D381" s="3" t="str">
        <f>IF('[1]0.1 Produksi Pangan &amp; Penduduk'!D382="","",'[1]0.1 Produksi Pangan &amp; Penduduk'!D382)</f>
        <v/>
      </c>
      <c r="E381" s="3" t="str">
        <f>IF('[1]0.1 Produksi Pangan &amp; Penduduk'!E382="","",'[1]0.1 Produksi Pangan &amp; Penduduk'!E382)</f>
        <v/>
      </c>
      <c r="F381" s="59" t="str">
        <f>IF(D381="","",VLOOKUP(D381,'[1]0.1 Produksi Pangan &amp; Penduduk'!$D$5:$J$860,7,0))</f>
        <v/>
      </c>
      <c r="G381" s="27" t="str">
        <f t="shared" si="50"/>
        <v/>
      </c>
      <c r="H381" s="27" t="str">
        <f t="shared" si="51"/>
        <v/>
      </c>
      <c r="I381" s="27" t="str">
        <f t="shared" si="52"/>
        <v/>
      </c>
      <c r="J381" s="27" t="str">
        <f t="shared" si="53"/>
        <v/>
      </c>
      <c r="K381" s="27" t="str">
        <f t="shared" si="54"/>
        <v/>
      </c>
      <c r="L381" s="59" t="str">
        <f>IF(D381="","",VLOOKUP(D381,'[1]0.1 Produksi Pangan &amp; Penduduk'!$D$5:$M$860,10,0))</f>
        <v/>
      </c>
      <c r="M381" s="28" t="str">
        <f t="shared" si="55"/>
        <v/>
      </c>
      <c r="N381" s="60" t="str">
        <f t="shared" si="56"/>
        <v/>
      </c>
      <c r="O381" s="60" t="str">
        <f t="shared" si="57"/>
        <v/>
      </c>
      <c r="P381" s="60" t="str">
        <f t="shared" si="58"/>
        <v/>
      </c>
      <c r="Q381" s="28" t="str">
        <f t="shared" si="59"/>
        <v/>
      </c>
    </row>
    <row r="382" spans="1:17" ht="15" x14ac:dyDescent="0.25">
      <c r="A382" s="3" t="str">
        <f>IF('[1]0.1 Produksi Pangan &amp; Penduduk'!A383="","",'[1]0.1 Produksi Pangan &amp; Penduduk'!A383)</f>
        <v/>
      </c>
      <c r="B382" s="2" t="str">
        <f>IF('[1]0.1 Produksi Pangan &amp; Penduduk'!B383="","",'[1]0.1 Produksi Pangan &amp; Penduduk'!B383)</f>
        <v/>
      </c>
      <c r="C382" s="2" t="str">
        <f>IF('[1]0.1 Produksi Pangan &amp; Penduduk'!F383="","",'[1]0.1 Produksi Pangan &amp; Penduduk'!F383)</f>
        <v/>
      </c>
      <c r="D382" s="3" t="str">
        <f>IF('[1]0.1 Produksi Pangan &amp; Penduduk'!D383="","",'[1]0.1 Produksi Pangan &amp; Penduduk'!D383)</f>
        <v/>
      </c>
      <c r="E382" s="3" t="str">
        <f>IF('[1]0.1 Produksi Pangan &amp; Penduduk'!E383="","",'[1]0.1 Produksi Pangan &amp; Penduduk'!E383)</f>
        <v/>
      </c>
      <c r="F382" s="59" t="str">
        <f>IF(D382="","",VLOOKUP(D382,'[1]0.1 Produksi Pangan &amp; Penduduk'!$D$5:$J$860,7,0))</f>
        <v/>
      </c>
      <c r="G382" s="27" t="str">
        <f t="shared" si="50"/>
        <v/>
      </c>
      <c r="H382" s="27" t="str">
        <f t="shared" si="51"/>
        <v/>
      </c>
      <c r="I382" s="27" t="str">
        <f t="shared" si="52"/>
        <v/>
      </c>
      <c r="J382" s="27" t="str">
        <f t="shared" si="53"/>
        <v/>
      </c>
      <c r="K382" s="27" t="str">
        <f t="shared" si="54"/>
        <v/>
      </c>
      <c r="L382" s="59" t="str">
        <f>IF(D382="","",VLOOKUP(D382,'[1]0.1 Produksi Pangan &amp; Penduduk'!$D$5:$M$860,10,0))</f>
        <v/>
      </c>
      <c r="M382" s="28" t="str">
        <f t="shared" si="55"/>
        <v/>
      </c>
      <c r="N382" s="60" t="str">
        <f t="shared" si="56"/>
        <v/>
      </c>
      <c r="O382" s="60" t="str">
        <f t="shared" si="57"/>
        <v/>
      </c>
      <c r="P382" s="60" t="str">
        <f t="shared" si="58"/>
        <v/>
      </c>
      <c r="Q382" s="28" t="str">
        <f t="shared" si="59"/>
        <v/>
      </c>
    </row>
    <row r="383" spans="1:17" ht="15" x14ac:dyDescent="0.25">
      <c r="A383" s="3" t="str">
        <f>IF('[1]0.1 Produksi Pangan &amp; Penduduk'!A384="","",'[1]0.1 Produksi Pangan &amp; Penduduk'!A384)</f>
        <v/>
      </c>
      <c r="B383" s="2" t="str">
        <f>IF('[1]0.1 Produksi Pangan &amp; Penduduk'!B384="","",'[1]0.1 Produksi Pangan &amp; Penduduk'!B384)</f>
        <v/>
      </c>
      <c r="C383" s="2" t="str">
        <f>IF('[1]0.1 Produksi Pangan &amp; Penduduk'!F384="","",'[1]0.1 Produksi Pangan &amp; Penduduk'!F384)</f>
        <v/>
      </c>
      <c r="D383" s="3" t="str">
        <f>IF('[1]0.1 Produksi Pangan &amp; Penduduk'!D384="","",'[1]0.1 Produksi Pangan &amp; Penduduk'!D384)</f>
        <v/>
      </c>
      <c r="E383" s="3" t="str">
        <f>IF('[1]0.1 Produksi Pangan &amp; Penduduk'!E384="","",'[1]0.1 Produksi Pangan &amp; Penduduk'!E384)</f>
        <v/>
      </c>
      <c r="F383" s="59" t="str">
        <f>IF(D383="","",VLOOKUP(D383,'[1]0.1 Produksi Pangan &amp; Penduduk'!$D$5:$J$860,7,0))</f>
        <v/>
      </c>
      <c r="G383" s="27" t="str">
        <f t="shared" si="50"/>
        <v/>
      </c>
      <c r="H383" s="27" t="str">
        <f t="shared" si="51"/>
        <v/>
      </c>
      <c r="I383" s="27" t="str">
        <f t="shared" si="52"/>
        <v/>
      </c>
      <c r="J383" s="27" t="str">
        <f t="shared" si="53"/>
        <v/>
      </c>
      <c r="K383" s="27" t="str">
        <f t="shared" si="54"/>
        <v/>
      </c>
      <c r="L383" s="59" t="str">
        <f>IF(D383="","",VLOOKUP(D383,'[1]0.1 Produksi Pangan &amp; Penduduk'!$D$5:$M$860,10,0))</f>
        <v/>
      </c>
      <c r="M383" s="28" t="str">
        <f t="shared" si="55"/>
        <v/>
      </c>
      <c r="N383" s="60" t="str">
        <f t="shared" si="56"/>
        <v/>
      </c>
      <c r="O383" s="60" t="str">
        <f t="shared" si="57"/>
        <v/>
      </c>
      <c r="P383" s="60" t="str">
        <f t="shared" si="58"/>
        <v/>
      </c>
      <c r="Q383" s="28" t="str">
        <f t="shared" si="59"/>
        <v/>
      </c>
    </row>
    <row r="384" spans="1:17" ht="15" x14ac:dyDescent="0.25">
      <c r="A384" s="3" t="str">
        <f>IF('[1]0.1 Produksi Pangan &amp; Penduduk'!A385="","",'[1]0.1 Produksi Pangan &amp; Penduduk'!A385)</f>
        <v/>
      </c>
      <c r="B384" s="2" t="str">
        <f>IF('[1]0.1 Produksi Pangan &amp; Penduduk'!B385="","",'[1]0.1 Produksi Pangan &amp; Penduduk'!B385)</f>
        <v/>
      </c>
      <c r="C384" s="2" t="str">
        <f>IF('[1]0.1 Produksi Pangan &amp; Penduduk'!F385="","",'[1]0.1 Produksi Pangan &amp; Penduduk'!F385)</f>
        <v/>
      </c>
      <c r="D384" s="3" t="str">
        <f>IF('[1]0.1 Produksi Pangan &amp; Penduduk'!D385="","",'[1]0.1 Produksi Pangan &amp; Penduduk'!D385)</f>
        <v/>
      </c>
      <c r="E384" s="3" t="str">
        <f>IF('[1]0.1 Produksi Pangan &amp; Penduduk'!E385="","",'[1]0.1 Produksi Pangan &amp; Penduduk'!E385)</f>
        <v/>
      </c>
      <c r="F384" s="59" t="str">
        <f>IF(D384="","",VLOOKUP(D384,'[1]0.1 Produksi Pangan &amp; Penduduk'!$D$5:$J$860,7,0))</f>
        <v/>
      </c>
      <c r="G384" s="27" t="str">
        <f t="shared" si="50"/>
        <v/>
      </c>
      <c r="H384" s="27" t="str">
        <f t="shared" si="51"/>
        <v/>
      </c>
      <c r="I384" s="27" t="str">
        <f t="shared" si="52"/>
        <v/>
      </c>
      <c r="J384" s="27" t="str">
        <f t="shared" si="53"/>
        <v/>
      </c>
      <c r="K384" s="27" t="str">
        <f t="shared" si="54"/>
        <v/>
      </c>
      <c r="L384" s="59" t="str">
        <f>IF(D384="","",VLOOKUP(D384,'[1]0.1 Produksi Pangan &amp; Penduduk'!$D$5:$M$860,10,0))</f>
        <v/>
      </c>
      <c r="M384" s="28" t="str">
        <f t="shared" si="55"/>
        <v/>
      </c>
      <c r="N384" s="60" t="str">
        <f t="shared" si="56"/>
        <v/>
      </c>
      <c r="O384" s="60" t="str">
        <f t="shared" si="57"/>
        <v/>
      </c>
      <c r="P384" s="60" t="str">
        <f t="shared" si="58"/>
        <v/>
      </c>
      <c r="Q384" s="28" t="str">
        <f t="shared" si="59"/>
        <v/>
      </c>
    </row>
    <row r="385" spans="1:17" ht="15" x14ac:dyDescent="0.25">
      <c r="A385" s="3" t="str">
        <f>IF('[1]0.1 Produksi Pangan &amp; Penduduk'!A386="","",'[1]0.1 Produksi Pangan &amp; Penduduk'!A386)</f>
        <v/>
      </c>
      <c r="B385" s="2" t="str">
        <f>IF('[1]0.1 Produksi Pangan &amp; Penduduk'!B386="","",'[1]0.1 Produksi Pangan &amp; Penduduk'!B386)</f>
        <v/>
      </c>
      <c r="C385" s="2" t="str">
        <f>IF('[1]0.1 Produksi Pangan &amp; Penduduk'!F386="","",'[1]0.1 Produksi Pangan &amp; Penduduk'!F386)</f>
        <v/>
      </c>
      <c r="D385" s="3" t="str">
        <f>IF('[1]0.1 Produksi Pangan &amp; Penduduk'!D386="","",'[1]0.1 Produksi Pangan &amp; Penduduk'!D386)</f>
        <v/>
      </c>
      <c r="E385" s="3" t="str">
        <f>IF('[1]0.1 Produksi Pangan &amp; Penduduk'!E386="","",'[1]0.1 Produksi Pangan &amp; Penduduk'!E386)</f>
        <v/>
      </c>
      <c r="F385" s="59" t="str">
        <f>IF(D385="","",VLOOKUP(D385,'[1]0.1 Produksi Pangan &amp; Penduduk'!$D$5:$J$860,7,0))</f>
        <v/>
      </c>
      <c r="G385" s="27" t="str">
        <f t="shared" si="50"/>
        <v/>
      </c>
      <c r="H385" s="27" t="str">
        <f t="shared" si="51"/>
        <v/>
      </c>
      <c r="I385" s="27" t="str">
        <f t="shared" si="52"/>
        <v/>
      </c>
      <c r="J385" s="27" t="str">
        <f t="shared" si="53"/>
        <v/>
      </c>
      <c r="K385" s="27" t="str">
        <f t="shared" si="54"/>
        <v/>
      </c>
      <c r="L385" s="59" t="str">
        <f>IF(D385="","",VLOOKUP(D385,'[1]0.1 Produksi Pangan &amp; Penduduk'!$D$5:$M$860,10,0))</f>
        <v/>
      </c>
      <c r="M385" s="28" t="str">
        <f t="shared" si="55"/>
        <v/>
      </c>
      <c r="N385" s="60" t="str">
        <f t="shared" si="56"/>
        <v/>
      </c>
      <c r="O385" s="60" t="str">
        <f t="shared" si="57"/>
        <v/>
      </c>
      <c r="P385" s="60" t="str">
        <f t="shared" si="58"/>
        <v/>
      </c>
      <c r="Q385" s="28" t="str">
        <f t="shared" si="59"/>
        <v/>
      </c>
    </row>
    <row r="386" spans="1:17" ht="15" x14ac:dyDescent="0.25">
      <c r="A386" s="3" t="str">
        <f>IF('[1]0.1 Produksi Pangan &amp; Penduduk'!A387="","",'[1]0.1 Produksi Pangan &amp; Penduduk'!A387)</f>
        <v/>
      </c>
      <c r="B386" s="2" t="str">
        <f>IF('[1]0.1 Produksi Pangan &amp; Penduduk'!B387="","",'[1]0.1 Produksi Pangan &amp; Penduduk'!B387)</f>
        <v/>
      </c>
      <c r="C386" s="2" t="str">
        <f>IF('[1]0.1 Produksi Pangan &amp; Penduduk'!F387="","",'[1]0.1 Produksi Pangan &amp; Penduduk'!F387)</f>
        <v/>
      </c>
      <c r="D386" s="3" t="str">
        <f>IF('[1]0.1 Produksi Pangan &amp; Penduduk'!D387="","",'[1]0.1 Produksi Pangan &amp; Penduduk'!D387)</f>
        <v/>
      </c>
      <c r="E386" s="3" t="str">
        <f>IF('[1]0.1 Produksi Pangan &amp; Penduduk'!E387="","",'[1]0.1 Produksi Pangan &amp; Penduduk'!E387)</f>
        <v/>
      </c>
      <c r="F386" s="59" t="str">
        <f>IF(D386="","",VLOOKUP(D386,'[1]0.1 Produksi Pangan &amp; Penduduk'!$D$5:$J$860,7,0))</f>
        <v/>
      </c>
      <c r="G386" s="27" t="str">
        <f t="shared" si="50"/>
        <v/>
      </c>
      <c r="H386" s="27" t="str">
        <f t="shared" si="51"/>
        <v/>
      </c>
      <c r="I386" s="27" t="str">
        <f t="shared" si="52"/>
        <v/>
      </c>
      <c r="J386" s="27" t="str">
        <f t="shared" si="53"/>
        <v/>
      </c>
      <c r="K386" s="27" t="str">
        <f t="shared" si="54"/>
        <v/>
      </c>
      <c r="L386" s="59" t="str">
        <f>IF(D386="","",VLOOKUP(D386,'[1]0.1 Produksi Pangan &amp; Penduduk'!$D$5:$M$860,10,0))</f>
        <v/>
      </c>
      <c r="M386" s="28" t="str">
        <f t="shared" si="55"/>
        <v/>
      </c>
      <c r="N386" s="60" t="str">
        <f t="shared" si="56"/>
        <v/>
      </c>
      <c r="O386" s="60" t="str">
        <f t="shared" si="57"/>
        <v/>
      </c>
      <c r="P386" s="60" t="str">
        <f t="shared" si="58"/>
        <v/>
      </c>
      <c r="Q386" s="28" t="str">
        <f t="shared" si="59"/>
        <v/>
      </c>
    </row>
    <row r="387" spans="1:17" ht="15" x14ac:dyDescent="0.25">
      <c r="A387" s="3" t="str">
        <f>IF('[1]0.1 Produksi Pangan &amp; Penduduk'!A388="","",'[1]0.1 Produksi Pangan &amp; Penduduk'!A388)</f>
        <v/>
      </c>
      <c r="B387" s="2" t="str">
        <f>IF('[1]0.1 Produksi Pangan &amp; Penduduk'!B388="","",'[1]0.1 Produksi Pangan &amp; Penduduk'!B388)</f>
        <v/>
      </c>
      <c r="C387" s="2" t="str">
        <f>IF('[1]0.1 Produksi Pangan &amp; Penduduk'!F388="","",'[1]0.1 Produksi Pangan &amp; Penduduk'!F388)</f>
        <v/>
      </c>
      <c r="D387" s="3" t="str">
        <f>IF('[1]0.1 Produksi Pangan &amp; Penduduk'!D388="","",'[1]0.1 Produksi Pangan &amp; Penduduk'!D388)</f>
        <v/>
      </c>
      <c r="E387" s="3" t="str">
        <f>IF('[1]0.1 Produksi Pangan &amp; Penduduk'!E388="","",'[1]0.1 Produksi Pangan &amp; Penduduk'!E388)</f>
        <v/>
      </c>
      <c r="F387" s="59" t="str">
        <f>IF(D387="","",VLOOKUP(D387,'[1]0.1 Produksi Pangan &amp; Penduduk'!$D$5:$J$860,7,0))</f>
        <v/>
      </c>
      <c r="G387" s="27" t="str">
        <f t="shared" si="50"/>
        <v/>
      </c>
      <c r="H387" s="27" t="str">
        <f t="shared" si="51"/>
        <v/>
      </c>
      <c r="I387" s="27" t="str">
        <f t="shared" si="52"/>
        <v/>
      </c>
      <c r="J387" s="27" t="str">
        <f t="shared" si="53"/>
        <v/>
      </c>
      <c r="K387" s="27" t="str">
        <f t="shared" si="54"/>
        <v/>
      </c>
      <c r="L387" s="59" t="str">
        <f>IF(D387="","",VLOOKUP(D387,'[1]0.1 Produksi Pangan &amp; Penduduk'!$D$5:$M$860,10,0))</f>
        <v/>
      </c>
      <c r="M387" s="28" t="str">
        <f t="shared" si="55"/>
        <v/>
      </c>
      <c r="N387" s="60" t="str">
        <f t="shared" si="56"/>
        <v/>
      </c>
      <c r="O387" s="60" t="str">
        <f t="shared" si="57"/>
        <v/>
      </c>
      <c r="P387" s="60" t="str">
        <f t="shared" si="58"/>
        <v/>
      </c>
      <c r="Q387" s="28" t="str">
        <f t="shared" si="59"/>
        <v/>
      </c>
    </row>
    <row r="388" spans="1:17" ht="15" x14ac:dyDescent="0.25">
      <c r="A388" s="3" t="str">
        <f>IF('[1]0.1 Produksi Pangan &amp; Penduduk'!A389="","",'[1]0.1 Produksi Pangan &amp; Penduduk'!A389)</f>
        <v/>
      </c>
      <c r="B388" s="2" t="str">
        <f>IF('[1]0.1 Produksi Pangan &amp; Penduduk'!B389="","",'[1]0.1 Produksi Pangan &amp; Penduduk'!B389)</f>
        <v/>
      </c>
      <c r="C388" s="2" t="str">
        <f>IF('[1]0.1 Produksi Pangan &amp; Penduduk'!F389="","",'[1]0.1 Produksi Pangan &amp; Penduduk'!F389)</f>
        <v/>
      </c>
      <c r="D388" s="3" t="str">
        <f>IF('[1]0.1 Produksi Pangan &amp; Penduduk'!D389="","",'[1]0.1 Produksi Pangan &amp; Penduduk'!D389)</f>
        <v/>
      </c>
      <c r="E388" s="3" t="str">
        <f>IF('[1]0.1 Produksi Pangan &amp; Penduduk'!E389="","",'[1]0.1 Produksi Pangan &amp; Penduduk'!E389)</f>
        <v/>
      </c>
      <c r="F388" s="59" t="str">
        <f>IF(D388="","",VLOOKUP(D388,'[1]0.1 Produksi Pangan &amp; Penduduk'!$D$5:$J$860,7,0))</f>
        <v/>
      </c>
      <c r="G388" s="27" t="str">
        <f t="shared" si="50"/>
        <v/>
      </c>
      <c r="H388" s="27" t="str">
        <f t="shared" si="51"/>
        <v/>
      </c>
      <c r="I388" s="27" t="str">
        <f t="shared" si="52"/>
        <v/>
      </c>
      <c r="J388" s="27" t="str">
        <f t="shared" si="53"/>
        <v/>
      </c>
      <c r="K388" s="27" t="str">
        <f t="shared" si="54"/>
        <v/>
      </c>
      <c r="L388" s="59" t="str">
        <f>IF(D388="","",VLOOKUP(D388,'[1]0.1 Produksi Pangan &amp; Penduduk'!$D$5:$M$860,10,0))</f>
        <v/>
      </c>
      <c r="M388" s="28" t="str">
        <f t="shared" si="55"/>
        <v/>
      </c>
      <c r="N388" s="60" t="str">
        <f t="shared" si="56"/>
        <v/>
      </c>
      <c r="O388" s="60" t="str">
        <f t="shared" si="57"/>
        <v/>
      </c>
      <c r="P388" s="60" t="str">
        <f t="shared" si="58"/>
        <v/>
      </c>
      <c r="Q388" s="28" t="str">
        <f t="shared" si="59"/>
        <v/>
      </c>
    </row>
    <row r="389" spans="1:17" ht="15" x14ac:dyDescent="0.25">
      <c r="A389" s="3" t="str">
        <f>IF('[1]0.1 Produksi Pangan &amp; Penduduk'!A390="","",'[1]0.1 Produksi Pangan &amp; Penduduk'!A390)</f>
        <v/>
      </c>
      <c r="B389" s="2" t="str">
        <f>IF('[1]0.1 Produksi Pangan &amp; Penduduk'!B390="","",'[1]0.1 Produksi Pangan &amp; Penduduk'!B390)</f>
        <v/>
      </c>
      <c r="C389" s="2" t="str">
        <f>IF('[1]0.1 Produksi Pangan &amp; Penduduk'!F390="","",'[1]0.1 Produksi Pangan &amp; Penduduk'!F390)</f>
        <v/>
      </c>
      <c r="D389" s="3" t="str">
        <f>IF('[1]0.1 Produksi Pangan &amp; Penduduk'!D390="","",'[1]0.1 Produksi Pangan &amp; Penduduk'!D390)</f>
        <v/>
      </c>
      <c r="E389" s="3" t="str">
        <f>IF('[1]0.1 Produksi Pangan &amp; Penduduk'!E390="","",'[1]0.1 Produksi Pangan &amp; Penduduk'!E390)</f>
        <v/>
      </c>
      <c r="F389" s="59" t="str">
        <f>IF(D389="","",VLOOKUP(D389,'[1]0.1 Produksi Pangan &amp; Penduduk'!$D$5:$J$860,7,0))</f>
        <v/>
      </c>
      <c r="G389" s="27" t="str">
        <f t="shared" si="50"/>
        <v/>
      </c>
      <c r="H389" s="27" t="str">
        <f t="shared" si="51"/>
        <v/>
      </c>
      <c r="I389" s="27" t="str">
        <f t="shared" si="52"/>
        <v/>
      </c>
      <c r="J389" s="27" t="str">
        <f t="shared" si="53"/>
        <v/>
      </c>
      <c r="K389" s="27" t="str">
        <f t="shared" si="54"/>
        <v/>
      </c>
      <c r="L389" s="59" t="str">
        <f>IF(D389="","",VLOOKUP(D389,'[1]0.1 Produksi Pangan &amp; Penduduk'!$D$5:$M$860,10,0))</f>
        <v/>
      </c>
      <c r="M389" s="28" t="str">
        <f t="shared" si="55"/>
        <v/>
      </c>
      <c r="N389" s="60" t="str">
        <f t="shared" si="56"/>
        <v/>
      </c>
      <c r="O389" s="60" t="str">
        <f t="shared" si="57"/>
        <v/>
      </c>
      <c r="P389" s="60" t="str">
        <f t="shared" si="58"/>
        <v/>
      </c>
      <c r="Q389" s="28" t="str">
        <f t="shared" si="59"/>
        <v/>
      </c>
    </row>
    <row r="390" spans="1:17" ht="15" x14ac:dyDescent="0.25">
      <c r="A390" s="3" t="str">
        <f>IF('[1]0.1 Produksi Pangan &amp; Penduduk'!A391="","",'[1]0.1 Produksi Pangan &amp; Penduduk'!A391)</f>
        <v/>
      </c>
      <c r="B390" s="2" t="str">
        <f>IF('[1]0.1 Produksi Pangan &amp; Penduduk'!B391="","",'[1]0.1 Produksi Pangan &amp; Penduduk'!B391)</f>
        <v/>
      </c>
      <c r="C390" s="2" t="str">
        <f>IF('[1]0.1 Produksi Pangan &amp; Penduduk'!F391="","",'[1]0.1 Produksi Pangan &amp; Penduduk'!F391)</f>
        <v/>
      </c>
      <c r="D390" s="3" t="str">
        <f>IF('[1]0.1 Produksi Pangan &amp; Penduduk'!D391="","",'[1]0.1 Produksi Pangan &amp; Penduduk'!D391)</f>
        <v/>
      </c>
      <c r="E390" s="3" t="str">
        <f>IF('[1]0.1 Produksi Pangan &amp; Penduduk'!E391="","",'[1]0.1 Produksi Pangan &amp; Penduduk'!E391)</f>
        <v/>
      </c>
      <c r="F390" s="59" t="str">
        <f>IF(D390="","",VLOOKUP(D390,'[1]0.1 Produksi Pangan &amp; Penduduk'!$D$5:$J$860,7,0))</f>
        <v/>
      </c>
      <c r="G390" s="27" t="str">
        <f t="shared" ref="G390:G453" si="60">IF(F390="","",F390*0.9%)</f>
        <v/>
      </c>
      <c r="H390" s="27" t="str">
        <f t="shared" ref="H390:H453" si="61">IF(F390="","",F390*0.44%)</f>
        <v/>
      </c>
      <c r="I390" s="27" t="str">
        <f t="shared" ref="I390:I453" si="62">IF(F390="","",F390*4.92%)</f>
        <v/>
      </c>
      <c r="J390" s="27" t="str">
        <f t="shared" ref="J390:J453" si="63">IF(F390="","",F390*0.56%)</f>
        <v/>
      </c>
      <c r="K390" s="27" t="str">
        <f t="shared" ref="K390:K453" si="64">IF(F390="","",F390-(G390+H390+I390+J390))</f>
        <v/>
      </c>
      <c r="L390" s="59" t="str">
        <f>IF(D390="","",VLOOKUP(D390,'[1]0.1 Produksi Pangan &amp; Penduduk'!$D$5:$M$860,10,0))</f>
        <v/>
      </c>
      <c r="M390" s="28" t="str">
        <f t="shared" ref="M390:M453" si="65">IFERROR(K390*L390,"")</f>
        <v/>
      </c>
      <c r="N390" s="60" t="str">
        <f t="shared" ref="N390:N453" si="66">IF(M390="","",M390*0.17%)</f>
        <v/>
      </c>
      <c r="O390" s="60" t="str">
        <f t="shared" ref="O390:O453" si="67">IF(M390="","",M390*2.5%)</f>
        <v/>
      </c>
      <c r="P390" s="60" t="str">
        <f t="shared" ref="P390:P453" si="68">IF(M390="","",M390*0.66%)</f>
        <v/>
      </c>
      <c r="Q390" s="28" t="str">
        <f t="shared" ref="Q390:Q453" si="69">IF(M390="","",M390-(N390+O390+P390))</f>
        <v/>
      </c>
    </row>
    <row r="391" spans="1:17" ht="15" x14ac:dyDescent="0.25">
      <c r="A391" s="3" t="str">
        <f>IF('[1]0.1 Produksi Pangan &amp; Penduduk'!A392="","",'[1]0.1 Produksi Pangan &amp; Penduduk'!A392)</f>
        <v/>
      </c>
      <c r="B391" s="2" t="str">
        <f>IF('[1]0.1 Produksi Pangan &amp; Penduduk'!B392="","",'[1]0.1 Produksi Pangan &amp; Penduduk'!B392)</f>
        <v/>
      </c>
      <c r="C391" s="2" t="str">
        <f>IF('[1]0.1 Produksi Pangan &amp; Penduduk'!F392="","",'[1]0.1 Produksi Pangan &amp; Penduduk'!F392)</f>
        <v/>
      </c>
      <c r="D391" s="3" t="str">
        <f>IF('[1]0.1 Produksi Pangan &amp; Penduduk'!D392="","",'[1]0.1 Produksi Pangan &amp; Penduduk'!D392)</f>
        <v/>
      </c>
      <c r="E391" s="3" t="str">
        <f>IF('[1]0.1 Produksi Pangan &amp; Penduduk'!E392="","",'[1]0.1 Produksi Pangan &amp; Penduduk'!E392)</f>
        <v/>
      </c>
      <c r="F391" s="59" t="str">
        <f>IF(D391="","",VLOOKUP(D391,'[1]0.1 Produksi Pangan &amp; Penduduk'!$D$5:$J$860,7,0))</f>
        <v/>
      </c>
      <c r="G391" s="27" t="str">
        <f t="shared" si="60"/>
        <v/>
      </c>
      <c r="H391" s="27" t="str">
        <f t="shared" si="61"/>
        <v/>
      </c>
      <c r="I391" s="27" t="str">
        <f t="shared" si="62"/>
        <v/>
      </c>
      <c r="J391" s="27" t="str">
        <f t="shared" si="63"/>
        <v/>
      </c>
      <c r="K391" s="27" t="str">
        <f t="shared" si="64"/>
        <v/>
      </c>
      <c r="L391" s="59" t="str">
        <f>IF(D391="","",VLOOKUP(D391,'[1]0.1 Produksi Pangan &amp; Penduduk'!$D$5:$M$860,10,0))</f>
        <v/>
      </c>
      <c r="M391" s="28" t="str">
        <f t="shared" si="65"/>
        <v/>
      </c>
      <c r="N391" s="60" t="str">
        <f t="shared" si="66"/>
        <v/>
      </c>
      <c r="O391" s="60" t="str">
        <f t="shared" si="67"/>
        <v/>
      </c>
      <c r="P391" s="60" t="str">
        <f t="shared" si="68"/>
        <v/>
      </c>
      <c r="Q391" s="28" t="str">
        <f t="shared" si="69"/>
        <v/>
      </c>
    </row>
    <row r="392" spans="1:17" ht="15" x14ac:dyDescent="0.25">
      <c r="A392" s="3" t="str">
        <f>IF('[1]0.1 Produksi Pangan &amp; Penduduk'!A393="","",'[1]0.1 Produksi Pangan &amp; Penduduk'!A393)</f>
        <v/>
      </c>
      <c r="B392" s="2" t="str">
        <f>IF('[1]0.1 Produksi Pangan &amp; Penduduk'!B393="","",'[1]0.1 Produksi Pangan &amp; Penduduk'!B393)</f>
        <v/>
      </c>
      <c r="C392" s="2" t="str">
        <f>IF('[1]0.1 Produksi Pangan &amp; Penduduk'!F393="","",'[1]0.1 Produksi Pangan &amp; Penduduk'!F393)</f>
        <v/>
      </c>
      <c r="D392" s="3" t="str">
        <f>IF('[1]0.1 Produksi Pangan &amp; Penduduk'!D393="","",'[1]0.1 Produksi Pangan &amp; Penduduk'!D393)</f>
        <v/>
      </c>
      <c r="E392" s="3" t="str">
        <f>IF('[1]0.1 Produksi Pangan &amp; Penduduk'!E393="","",'[1]0.1 Produksi Pangan &amp; Penduduk'!E393)</f>
        <v/>
      </c>
      <c r="F392" s="59" t="str">
        <f>IF(D392="","",VLOOKUP(D392,'[1]0.1 Produksi Pangan &amp; Penduduk'!$D$5:$J$860,7,0))</f>
        <v/>
      </c>
      <c r="G392" s="27" t="str">
        <f t="shared" si="60"/>
        <v/>
      </c>
      <c r="H392" s="27" t="str">
        <f t="shared" si="61"/>
        <v/>
      </c>
      <c r="I392" s="27" t="str">
        <f t="shared" si="62"/>
        <v/>
      </c>
      <c r="J392" s="27" t="str">
        <f t="shared" si="63"/>
        <v/>
      </c>
      <c r="K392" s="27" t="str">
        <f t="shared" si="64"/>
        <v/>
      </c>
      <c r="L392" s="59" t="str">
        <f>IF(D392="","",VLOOKUP(D392,'[1]0.1 Produksi Pangan &amp; Penduduk'!$D$5:$M$860,10,0))</f>
        <v/>
      </c>
      <c r="M392" s="28" t="str">
        <f t="shared" si="65"/>
        <v/>
      </c>
      <c r="N392" s="60" t="str">
        <f t="shared" si="66"/>
        <v/>
      </c>
      <c r="O392" s="60" t="str">
        <f t="shared" si="67"/>
        <v/>
      </c>
      <c r="P392" s="60" t="str">
        <f t="shared" si="68"/>
        <v/>
      </c>
      <c r="Q392" s="28" t="str">
        <f t="shared" si="69"/>
        <v/>
      </c>
    </row>
    <row r="393" spans="1:17" ht="15" x14ac:dyDescent="0.25">
      <c r="A393" s="3" t="str">
        <f>IF('[1]0.1 Produksi Pangan &amp; Penduduk'!A394="","",'[1]0.1 Produksi Pangan &amp; Penduduk'!A394)</f>
        <v/>
      </c>
      <c r="B393" s="2" t="str">
        <f>IF('[1]0.1 Produksi Pangan &amp; Penduduk'!B394="","",'[1]0.1 Produksi Pangan &amp; Penduduk'!B394)</f>
        <v/>
      </c>
      <c r="C393" s="2" t="str">
        <f>IF('[1]0.1 Produksi Pangan &amp; Penduduk'!F394="","",'[1]0.1 Produksi Pangan &amp; Penduduk'!F394)</f>
        <v/>
      </c>
      <c r="D393" s="3" t="str">
        <f>IF('[1]0.1 Produksi Pangan &amp; Penduduk'!D394="","",'[1]0.1 Produksi Pangan &amp; Penduduk'!D394)</f>
        <v/>
      </c>
      <c r="E393" s="3" t="str">
        <f>IF('[1]0.1 Produksi Pangan &amp; Penduduk'!E394="","",'[1]0.1 Produksi Pangan &amp; Penduduk'!E394)</f>
        <v/>
      </c>
      <c r="F393" s="59" t="str">
        <f>IF(D393="","",VLOOKUP(D393,'[1]0.1 Produksi Pangan &amp; Penduduk'!$D$5:$J$860,7,0))</f>
        <v/>
      </c>
      <c r="G393" s="27" t="str">
        <f t="shared" si="60"/>
        <v/>
      </c>
      <c r="H393" s="27" t="str">
        <f t="shared" si="61"/>
        <v/>
      </c>
      <c r="I393" s="27" t="str">
        <f t="shared" si="62"/>
        <v/>
      </c>
      <c r="J393" s="27" t="str">
        <f t="shared" si="63"/>
        <v/>
      </c>
      <c r="K393" s="27" t="str">
        <f t="shared" si="64"/>
        <v/>
      </c>
      <c r="L393" s="59" t="str">
        <f>IF(D393="","",VLOOKUP(D393,'[1]0.1 Produksi Pangan &amp; Penduduk'!$D$5:$M$860,10,0))</f>
        <v/>
      </c>
      <c r="M393" s="28" t="str">
        <f t="shared" si="65"/>
        <v/>
      </c>
      <c r="N393" s="60" t="str">
        <f t="shared" si="66"/>
        <v/>
      </c>
      <c r="O393" s="60" t="str">
        <f t="shared" si="67"/>
        <v/>
      </c>
      <c r="P393" s="60" t="str">
        <f t="shared" si="68"/>
        <v/>
      </c>
      <c r="Q393" s="28" t="str">
        <f t="shared" si="69"/>
        <v/>
      </c>
    </row>
    <row r="394" spans="1:17" ht="15" x14ac:dyDescent="0.25">
      <c r="A394" s="3" t="str">
        <f>IF('[1]0.1 Produksi Pangan &amp; Penduduk'!A395="","",'[1]0.1 Produksi Pangan &amp; Penduduk'!A395)</f>
        <v/>
      </c>
      <c r="B394" s="2" t="str">
        <f>IF('[1]0.1 Produksi Pangan &amp; Penduduk'!B395="","",'[1]0.1 Produksi Pangan &amp; Penduduk'!B395)</f>
        <v/>
      </c>
      <c r="C394" s="2" t="str">
        <f>IF('[1]0.1 Produksi Pangan &amp; Penduduk'!F395="","",'[1]0.1 Produksi Pangan &amp; Penduduk'!F395)</f>
        <v/>
      </c>
      <c r="D394" s="3" t="str">
        <f>IF('[1]0.1 Produksi Pangan &amp; Penduduk'!D395="","",'[1]0.1 Produksi Pangan &amp; Penduduk'!D395)</f>
        <v/>
      </c>
      <c r="E394" s="3" t="str">
        <f>IF('[1]0.1 Produksi Pangan &amp; Penduduk'!E395="","",'[1]0.1 Produksi Pangan &amp; Penduduk'!E395)</f>
        <v/>
      </c>
      <c r="F394" s="59" t="str">
        <f>IF(D394="","",VLOOKUP(D394,'[1]0.1 Produksi Pangan &amp; Penduduk'!$D$5:$J$860,7,0))</f>
        <v/>
      </c>
      <c r="G394" s="27" t="str">
        <f t="shared" si="60"/>
        <v/>
      </c>
      <c r="H394" s="27" t="str">
        <f t="shared" si="61"/>
        <v/>
      </c>
      <c r="I394" s="27" t="str">
        <f t="shared" si="62"/>
        <v/>
      </c>
      <c r="J394" s="27" t="str">
        <f t="shared" si="63"/>
        <v/>
      </c>
      <c r="K394" s="27" t="str">
        <f t="shared" si="64"/>
        <v/>
      </c>
      <c r="L394" s="59" t="str">
        <f>IF(D394="","",VLOOKUP(D394,'[1]0.1 Produksi Pangan &amp; Penduduk'!$D$5:$M$860,10,0))</f>
        <v/>
      </c>
      <c r="M394" s="28" t="str">
        <f t="shared" si="65"/>
        <v/>
      </c>
      <c r="N394" s="60" t="str">
        <f t="shared" si="66"/>
        <v/>
      </c>
      <c r="O394" s="60" t="str">
        <f t="shared" si="67"/>
        <v/>
      </c>
      <c r="P394" s="60" t="str">
        <f t="shared" si="68"/>
        <v/>
      </c>
      <c r="Q394" s="28" t="str">
        <f t="shared" si="69"/>
        <v/>
      </c>
    </row>
    <row r="395" spans="1:17" ht="15" x14ac:dyDescent="0.25">
      <c r="A395" s="3" t="str">
        <f>IF('[1]0.1 Produksi Pangan &amp; Penduduk'!A396="","",'[1]0.1 Produksi Pangan &amp; Penduduk'!A396)</f>
        <v/>
      </c>
      <c r="B395" s="2" t="str">
        <f>IF('[1]0.1 Produksi Pangan &amp; Penduduk'!B396="","",'[1]0.1 Produksi Pangan &amp; Penduduk'!B396)</f>
        <v/>
      </c>
      <c r="C395" s="2" t="str">
        <f>IF('[1]0.1 Produksi Pangan &amp; Penduduk'!F396="","",'[1]0.1 Produksi Pangan &amp; Penduduk'!F396)</f>
        <v/>
      </c>
      <c r="D395" s="3" t="str">
        <f>IF('[1]0.1 Produksi Pangan &amp; Penduduk'!D396="","",'[1]0.1 Produksi Pangan &amp; Penduduk'!D396)</f>
        <v/>
      </c>
      <c r="E395" s="3" t="str">
        <f>IF('[1]0.1 Produksi Pangan &amp; Penduduk'!E396="","",'[1]0.1 Produksi Pangan &amp; Penduduk'!E396)</f>
        <v/>
      </c>
      <c r="F395" s="59" t="str">
        <f>IF(D395="","",VLOOKUP(D395,'[1]0.1 Produksi Pangan &amp; Penduduk'!$D$5:$J$860,7,0))</f>
        <v/>
      </c>
      <c r="G395" s="27" t="str">
        <f t="shared" si="60"/>
        <v/>
      </c>
      <c r="H395" s="27" t="str">
        <f t="shared" si="61"/>
        <v/>
      </c>
      <c r="I395" s="27" t="str">
        <f t="shared" si="62"/>
        <v/>
      </c>
      <c r="J395" s="27" t="str">
        <f t="shared" si="63"/>
        <v/>
      </c>
      <c r="K395" s="27" t="str">
        <f t="shared" si="64"/>
        <v/>
      </c>
      <c r="L395" s="59" t="str">
        <f>IF(D395="","",VLOOKUP(D395,'[1]0.1 Produksi Pangan &amp; Penduduk'!$D$5:$M$860,10,0))</f>
        <v/>
      </c>
      <c r="M395" s="28" t="str">
        <f t="shared" si="65"/>
        <v/>
      </c>
      <c r="N395" s="60" t="str">
        <f t="shared" si="66"/>
        <v/>
      </c>
      <c r="O395" s="60" t="str">
        <f t="shared" si="67"/>
        <v/>
      </c>
      <c r="P395" s="60" t="str">
        <f t="shared" si="68"/>
        <v/>
      </c>
      <c r="Q395" s="28" t="str">
        <f t="shared" si="69"/>
        <v/>
      </c>
    </row>
    <row r="396" spans="1:17" ht="15" x14ac:dyDescent="0.25">
      <c r="A396" s="3" t="str">
        <f>IF('[1]0.1 Produksi Pangan &amp; Penduduk'!A397="","",'[1]0.1 Produksi Pangan &amp; Penduduk'!A397)</f>
        <v/>
      </c>
      <c r="B396" s="2" t="str">
        <f>IF('[1]0.1 Produksi Pangan &amp; Penduduk'!B397="","",'[1]0.1 Produksi Pangan &amp; Penduduk'!B397)</f>
        <v/>
      </c>
      <c r="C396" s="2" t="str">
        <f>IF('[1]0.1 Produksi Pangan &amp; Penduduk'!F397="","",'[1]0.1 Produksi Pangan &amp; Penduduk'!F397)</f>
        <v/>
      </c>
      <c r="D396" s="3" t="str">
        <f>IF('[1]0.1 Produksi Pangan &amp; Penduduk'!D397="","",'[1]0.1 Produksi Pangan &amp; Penduduk'!D397)</f>
        <v/>
      </c>
      <c r="E396" s="3" t="str">
        <f>IF('[1]0.1 Produksi Pangan &amp; Penduduk'!E397="","",'[1]0.1 Produksi Pangan &amp; Penduduk'!E397)</f>
        <v/>
      </c>
      <c r="F396" s="59" t="str">
        <f>IF(D396="","",VLOOKUP(D396,'[1]0.1 Produksi Pangan &amp; Penduduk'!$D$5:$J$860,7,0))</f>
        <v/>
      </c>
      <c r="G396" s="27" t="str">
        <f t="shared" si="60"/>
        <v/>
      </c>
      <c r="H396" s="27" t="str">
        <f t="shared" si="61"/>
        <v/>
      </c>
      <c r="I396" s="27" t="str">
        <f t="shared" si="62"/>
        <v/>
      </c>
      <c r="J396" s="27" t="str">
        <f t="shared" si="63"/>
        <v/>
      </c>
      <c r="K396" s="27" t="str">
        <f t="shared" si="64"/>
        <v/>
      </c>
      <c r="L396" s="59" t="str">
        <f>IF(D396="","",VLOOKUP(D396,'[1]0.1 Produksi Pangan &amp; Penduduk'!$D$5:$M$860,10,0))</f>
        <v/>
      </c>
      <c r="M396" s="28" t="str">
        <f t="shared" si="65"/>
        <v/>
      </c>
      <c r="N396" s="60" t="str">
        <f t="shared" si="66"/>
        <v/>
      </c>
      <c r="O396" s="60" t="str">
        <f t="shared" si="67"/>
        <v/>
      </c>
      <c r="P396" s="60" t="str">
        <f t="shared" si="68"/>
        <v/>
      </c>
      <c r="Q396" s="28" t="str">
        <f t="shared" si="69"/>
        <v/>
      </c>
    </row>
    <row r="397" spans="1:17" ht="15" x14ac:dyDescent="0.25">
      <c r="A397" s="3" t="str">
        <f>IF('[1]0.1 Produksi Pangan &amp; Penduduk'!A398="","",'[1]0.1 Produksi Pangan &amp; Penduduk'!A398)</f>
        <v/>
      </c>
      <c r="B397" s="2" t="str">
        <f>IF('[1]0.1 Produksi Pangan &amp; Penduduk'!B398="","",'[1]0.1 Produksi Pangan &amp; Penduduk'!B398)</f>
        <v/>
      </c>
      <c r="C397" s="2" t="str">
        <f>IF('[1]0.1 Produksi Pangan &amp; Penduduk'!F398="","",'[1]0.1 Produksi Pangan &amp; Penduduk'!F398)</f>
        <v/>
      </c>
      <c r="D397" s="3" t="str">
        <f>IF('[1]0.1 Produksi Pangan &amp; Penduduk'!D398="","",'[1]0.1 Produksi Pangan &amp; Penduduk'!D398)</f>
        <v/>
      </c>
      <c r="E397" s="3" t="str">
        <f>IF('[1]0.1 Produksi Pangan &amp; Penduduk'!E398="","",'[1]0.1 Produksi Pangan &amp; Penduduk'!E398)</f>
        <v/>
      </c>
      <c r="F397" s="59" t="str">
        <f>IF(D397="","",VLOOKUP(D397,'[1]0.1 Produksi Pangan &amp; Penduduk'!$D$5:$J$860,7,0))</f>
        <v/>
      </c>
      <c r="G397" s="27" t="str">
        <f t="shared" si="60"/>
        <v/>
      </c>
      <c r="H397" s="27" t="str">
        <f t="shared" si="61"/>
        <v/>
      </c>
      <c r="I397" s="27" t="str">
        <f t="shared" si="62"/>
        <v/>
      </c>
      <c r="J397" s="27" t="str">
        <f t="shared" si="63"/>
        <v/>
      </c>
      <c r="K397" s="27" t="str">
        <f t="shared" si="64"/>
        <v/>
      </c>
      <c r="L397" s="59" t="str">
        <f>IF(D397="","",VLOOKUP(D397,'[1]0.1 Produksi Pangan &amp; Penduduk'!$D$5:$M$860,10,0))</f>
        <v/>
      </c>
      <c r="M397" s="28" t="str">
        <f t="shared" si="65"/>
        <v/>
      </c>
      <c r="N397" s="60" t="str">
        <f t="shared" si="66"/>
        <v/>
      </c>
      <c r="O397" s="60" t="str">
        <f t="shared" si="67"/>
        <v/>
      </c>
      <c r="P397" s="60" t="str">
        <f t="shared" si="68"/>
        <v/>
      </c>
      <c r="Q397" s="28" t="str">
        <f t="shared" si="69"/>
        <v/>
      </c>
    </row>
    <row r="398" spans="1:17" ht="15" x14ac:dyDescent="0.25">
      <c r="A398" s="3" t="str">
        <f>IF('[1]0.1 Produksi Pangan &amp; Penduduk'!A399="","",'[1]0.1 Produksi Pangan &amp; Penduduk'!A399)</f>
        <v/>
      </c>
      <c r="B398" s="2" t="str">
        <f>IF('[1]0.1 Produksi Pangan &amp; Penduduk'!B399="","",'[1]0.1 Produksi Pangan &amp; Penduduk'!B399)</f>
        <v/>
      </c>
      <c r="C398" s="2" t="str">
        <f>IF('[1]0.1 Produksi Pangan &amp; Penduduk'!F399="","",'[1]0.1 Produksi Pangan &amp; Penduduk'!F399)</f>
        <v/>
      </c>
      <c r="D398" s="3" t="str">
        <f>IF('[1]0.1 Produksi Pangan &amp; Penduduk'!D399="","",'[1]0.1 Produksi Pangan &amp; Penduduk'!D399)</f>
        <v/>
      </c>
      <c r="E398" s="3" t="str">
        <f>IF('[1]0.1 Produksi Pangan &amp; Penduduk'!E399="","",'[1]0.1 Produksi Pangan &amp; Penduduk'!E399)</f>
        <v/>
      </c>
      <c r="F398" s="59" t="str">
        <f>IF(D398="","",VLOOKUP(D398,'[1]0.1 Produksi Pangan &amp; Penduduk'!$D$5:$J$860,7,0))</f>
        <v/>
      </c>
      <c r="G398" s="27" t="str">
        <f t="shared" si="60"/>
        <v/>
      </c>
      <c r="H398" s="27" t="str">
        <f t="shared" si="61"/>
        <v/>
      </c>
      <c r="I398" s="27" t="str">
        <f t="shared" si="62"/>
        <v/>
      </c>
      <c r="J398" s="27" t="str">
        <f t="shared" si="63"/>
        <v/>
      </c>
      <c r="K398" s="27" t="str">
        <f t="shared" si="64"/>
        <v/>
      </c>
      <c r="L398" s="59" t="str">
        <f>IF(D398="","",VLOOKUP(D398,'[1]0.1 Produksi Pangan &amp; Penduduk'!$D$5:$M$860,10,0))</f>
        <v/>
      </c>
      <c r="M398" s="28" t="str">
        <f t="shared" si="65"/>
        <v/>
      </c>
      <c r="N398" s="60" t="str">
        <f t="shared" si="66"/>
        <v/>
      </c>
      <c r="O398" s="60" t="str">
        <f t="shared" si="67"/>
        <v/>
      </c>
      <c r="P398" s="60" t="str">
        <f t="shared" si="68"/>
        <v/>
      </c>
      <c r="Q398" s="28" t="str">
        <f t="shared" si="69"/>
        <v/>
      </c>
    </row>
    <row r="399" spans="1:17" ht="15" x14ac:dyDescent="0.25">
      <c r="A399" s="3" t="str">
        <f>IF('[1]0.1 Produksi Pangan &amp; Penduduk'!A400="","",'[1]0.1 Produksi Pangan &amp; Penduduk'!A400)</f>
        <v/>
      </c>
      <c r="B399" s="2" t="str">
        <f>IF('[1]0.1 Produksi Pangan &amp; Penduduk'!B400="","",'[1]0.1 Produksi Pangan &amp; Penduduk'!B400)</f>
        <v/>
      </c>
      <c r="C399" s="2" t="str">
        <f>IF('[1]0.1 Produksi Pangan &amp; Penduduk'!F400="","",'[1]0.1 Produksi Pangan &amp; Penduduk'!F400)</f>
        <v/>
      </c>
      <c r="D399" s="3" t="str">
        <f>IF('[1]0.1 Produksi Pangan &amp; Penduduk'!D400="","",'[1]0.1 Produksi Pangan &amp; Penduduk'!D400)</f>
        <v/>
      </c>
      <c r="E399" s="3" t="str">
        <f>IF('[1]0.1 Produksi Pangan &amp; Penduduk'!E400="","",'[1]0.1 Produksi Pangan &amp; Penduduk'!E400)</f>
        <v/>
      </c>
      <c r="F399" s="59" t="str">
        <f>IF(D399="","",VLOOKUP(D399,'[1]0.1 Produksi Pangan &amp; Penduduk'!$D$5:$J$860,7,0))</f>
        <v/>
      </c>
      <c r="G399" s="27" t="str">
        <f t="shared" si="60"/>
        <v/>
      </c>
      <c r="H399" s="27" t="str">
        <f t="shared" si="61"/>
        <v/>
      </c>
      <c r="I399" s="27" t="str">
        <f t="shared" si="62"/>
        <v/>
      </c>
      <c r="J399" s="27" t="str">
        <f t="shared" si="63"/>
        <v/>
      </c>
      <c r="K399" s="27" t="str">
        <f t="shared" si="64"/>
        <v/>
      </c>
      <c r="L399" s="59" t="str">
        <f>IF(D399="","",VLOOKUP(D399,'[1]0.1 Produksi Pangan &amp; Penduduk'!$D$5:$M$860,10,0))</f>
        <v/>
      </c>
      <c r="M399" s="28" t="str">
        <f t="shared" si="65"/>
        <v/>
      </c>
      <c r="N399" s="60" t="str">
        <f t="shared" si="66"/>
        <v/>
      </c>
      <c r="O399" s="60" t="str">
        <f t="shared" si="67"/>
        <v/>
      </c>
      <c r="P399" s="60" t="str">
        <f t="shared" si="68"/>
        <v/>
      </c>
      <c r="Q399" s="28" t="str">
        <f t="shared" si="69"/>
        <v/>
      </c>
    </row>
    <row r="400" spans="1:17" ht="15" x14ac:dyDescent="0.25">
      <c r="A400" s="3" t="str">
        <f>IF('[1]0.1 Produksi Pangan &amp; Penduduk'!A401="","",'[1]0.1 Produksi Pangan &amp; Penduduk'!A401)</f>
        <v/>
      </c>
      <c r="B400" s="2" t="str">
        <f>IF('[1]0.1 Produksi Pangan &amp; Penduduk'!B401="","",'[1]0.1 Produksi Pangan &amp; Penduduk'!B401)</f>
        <v/>
      </c>
      <c r="C400" s="2" t="str">
        <f>IF('[1]0.1 Produksi Pangan &amp; Penduduk'!F401="","",'[1]0.1 Produksi Pangan &amp; Penduduk'!F401)</f>
        <v/>
      </c>
      <c r="D400" s="3" t="str">
        <f>IF('[1]0.1 Produksi Pangan &amp; Penduduk'!D401="","",'[1]0.1 Produksi Pangan &amp; Penduduk'!D401)</f>
        <v/>
      </c>
      <c r="E400" s="3" t="str">
        <f>IF('[1]0.1 Produksi Pangan &amp; Penduduk'!E401="","",'[1]0.1 Produksi Pangan &amp; Penduduk'!E401)</f>
        <v/>
      </c>
      <c r="F400" s="59" t="str">
        <f>IF(D400="","",VLOOKUP(D400,'[1]0.1 Produksi Pangan &amp; Penduduk'!$D$5:$J$860,7,0))</f>
        <v/>
      </c>
      <c r="G400" s="27" t="str">
        <f t="shared" si="60"/>
        <v/>
      </c>
      <c r="H400" s="27" t="str">
        <f t="shared" si="61"/>
        <v/>
      </c>
      <c r="I400" s="27" t="str">
        <f t="shared" si="62"/>
        <v/>
      </c>
      <c r="J400" s="27" t="str">
        <f t="shared" si="63"/>
        <v/>
      </c>
      <c r="K400" s="27" t="str">
        <f t="shared" si="64"/>
        <v/>
      </c>
      <c r="L400" s="59" t="str">
        <f>IF(D400="","",VLOOKUP(D400,'[1]0.1 Produksi Pangan &amp; Penduduk'!$D$5:$M$860,10,0))</f>
        <v/>
      </c>
      <c r="M400" s="28" t="str">
        <f t="shared" si="65"/>
        <v/>
      </c>
      <c r="N400" s="60" t="str">
        <f t="shared" si="66"/>
        <v/>
      </c>
      <c r="O400" s="60" t="str">
        <f t="shared" si="67"/>
        <v/>
      </c>
      <c r="P400" s="60" t="str">
        <f t="shared" si="68"/>
        <v/>
      </c>
      <c r="Q400" s="28" t="str">
        <f t="shared" si="69"/>
        <v/>
      </c>
    </row>
    <row r="401" spans="1:17" ht="15" x14ac:dyDescent="0.25">
      <c r="A401" s="3" t="str">
        <f>IF('[1]0.1 Produksi Pangan &amp; Penduduk'!A402="","",'[1]0.1 Produksi Pangan &amp; Penduduk'!A402)</f>
        <v/>
      </c>
      <c r="B401" s="2" t="str">
        <f>IF('[1]0.1 Produksi Pangan &amp; Penduduk'!B402="","",'[1]0.1 Produksi Pangan &amp; Penduduk'!B402)</f>
        <v/>
      </c>
      <c r="C401" s="2" t="str">
        <f>IF('[1]0.1 Produksi Pangan &amp; Penduduk'!F402="","",'[1]0.1 Produksi Pangan &amp; Penduduk'!F402)</f>
        <v/>
      </c>
      <c r="D401" s="3" t="str">
        <f>IF('[1]0.1 Produksi Pangan &amp; Penduduk'!D402="","",'[1]0.1 Produksi Pangan &amp; Penduduk'!D402)</f>
        <v/>
      </c>
      <c r="E401" s="3" t="str">
        <f>IF('[1]0.1 Produksi Pangan &amp; Penduduk'!E402="","",'[1]0.1 Produksi Pangan &amp; Penduduk'!E402)</f>
        <v/>
      </c>
      <c r="F401" s="59" t="str">
        <f>IF(D401="","",VLOOKUP(D401,'[1]0.1 Produksi Pangan &amp; Penduduk'!$D$5:$J$860,7,0))</f>
        <v/>
      </c>
      <c r="G401" s="27" t="str">
        <f t="shared" si="60"/>
        <v/>
      </c>
      <c r="H401" s="27" t="str">
        <f t="shared" si="61"/>
        <v/>
      </c>
      <c r="I401" s="27" t="str">
        <f t="shared" si="62"/>
        <v/>
      </c>
      <c r="J401" s="27" t="str">
        <f t="shared" si="63"/>
        <v/>
      </c>
      <c r="K401" s="27" t="str">
        <f t="shared" si="64"/>
        <v/>
      </c>
      <c r="L401" s="59" t="str">
        <f>IF(D401="","",VLOOKUP(D401,'[1]0.1 Produksi Pangan &amp; Penduduk'!$D$5:$M$860,10,0))</f>
        <v/>
      </c>
      <c r="M401" s="28" t="str">
        <f t="shared" si="65"/>
        <v/>
      </c>
      <c r="N401" s="60" t="str">
        <f t="shared" si="66"/>
        <v/>
      </c>
      <c r="O401" s="60" t="str">
        <f t="shared" si="67"/>
        <v/>
      </c>
      <c r="P401" s="60" t="str">
        <f t="shared" si="68"/>
        <v/>
      </c>
      <c r="Q401" s="28" t="str">
        <f t="shared" si="69"/>
        <v/>
      </c>
    </row>
    <row r="402" spans="1:17" ht="15" x14ac:dyDescent="0.25">
      <c r="A402" s="3" t="str">
        <f>IF('[1]0.1 Produksi Pangan &amp; Penduduk'!A403="","",'[1]0.1 Produksi Pangan &amp; Penduduk'!A403)</f>
        <v/>
      </c>
      <c r="B402" s="2" t="str">
        <f>IF('[1]0.1 Produksi Pangan &amp; Penduduk'!B403="","",'[1]0.1 Produksi Pangan &amp; Penduduk'!B403)</f>
        <v/>
      </c>
      <c r="C402" s="2" t="str">
        <f>IF('[1]0.1 Produksi Pangan &amp; Penduduk'!F403="","",'[1]0.1 Produksi Pangan &amp; Penduduk'!F403)</f>
        <v/>
      </c>
      <c r="D402" s="3" t="str">
        <f>IF('[1]0.1 Produksi Pangan &amp; Penduduk'!D403="","",'[1]0.1 Produksi Pangan &amp; Penduduk'!D403)</f>
        <v/>
      </c>
      <c r="E402" s="3" t="str">
        <f>IF('[1]0.1 Produksi Pangan &amp; Penduduk'!E403="","",'[1]0.1 Produksi Pangan &amp; Penduduk'!E403)</f>
        <v/>
      </c>
      <c r="F402" s="59" t="str">
        <f>IF(D402="","",VLOOKUP(D402,'[1]0.1 Produksi Pangan &amp; Penduduk'!$D$5:$J$860,7,0))</f>
        <v/>
      </c>
      <c r="G402" s="27" t="str">
        <f t="shared" si="60"/>
        <v/>
      </c>
      <c r="H402" s="27" t="str">
        <f t="shared" si="61"/>
        <v/>
      </c>
      <c r="I402" s="27" t="str">
        <f t="shared" si="62"/>
        <v/>
      </c>
      <c r="J402" s="27" t="str">
        <f t="shared" si="63"/>
        <v/>
      </c>
      <c r="K402" s="27" t="str">
        <f t="shared" si="64"/>
        <v/>
      </c>
      <c r="L402" s="59" t="str">
        <f>IF(D402="","",VLOOKUP(D402,'[1]0.1 Produksi Pangan &amp; Penduduk'!$D$5:$M$860,10,0))</f>
        <v/>
      </c>
      <c r="M402" s="28" t="str">
        <f t="shared" si="65"/>
        <v/>
      </c>
      <c r="N402" s="60" t="str">
        <f t="shared" si="66"/>
        <v/>
      </c>
      <c r="O402" s="60" t="str">
        <f t="shared" si="67"/>
        <v/>
      </c>
      <c r="P402" s="60" t="str">
        <f t="shared" si="68"/>
        <v/>
      </c>
      <c r="Q402" s="28" t="str">
        <f t="shared" si="69"/>
        <v/>
      </c>
    </row>
    <row r="403" spans="1:17" ht="15" x14ac:dyDescent="0.25">
      <c r="A403" s="3" t="str">
        <f>IF('[1]0.1 Produksi Pangan &amp; Penduduk'!A404="","",'[1]0.1 Produksi Pangan &amp; Penduduk'!A404)</f>
        <v/>
      </c>
      <c r="B403" s="2" t="str">
        <f>IF('[1]0.1 Produksi Pangan &amp; Penduduk'!B404="","",'[1]0.1 Produksi Pangan &amp; Penduduk'!B404)</f>
        <v/>
      </c>
      <c r="C403" s="2" t="str">
        <f>IF('[1]0.1 Produksi Pangan &amp; Penduduk'!F404="","",'[1]0.1 Produksi Pangan &amp; Penduduk'!F404)</f>
        <v/>
      </c>
      <c r="D403" s="3" t="str">
        <f>IF('[1]0.1 Produksi Pangan &amp; Penduduk'!D404="","",'[1]0.1 Produksi Pangan &amp; Penduduk'!D404)</f>
        <v/>
      </c>
      <c r="E403" s="3" t="str">
        <f>IF('[1]0.1 Produksi Pangan &amp; Penduduk'!E404="","",'[1]0.1 Produksi Pangan &amp; Penduduk'!E404)</f>
        <v/>
      </c>
      <c r="F403" s="59" t="str">
        <f>IF(D403="","",VLOOKUP(D403,'[1]0.1 Produksi Pangan &amp; Penduduk'!$D$5:$J$860,7,0))</f>
        <v/>
      </c>
      <c r="G403" s="27" t="str">
        <f t="shared" si="60"/>
        <v/>
      </c>
      <c r="H403" s="27" t="str">
        <f t="shared" si="61"/>
        <v/>
      </c>
      <c r="I403" s="27" t="str">
        <f t="shared" si="62"/>
        <v/>
      </c>
      <c r="J403" s="27" t="str">
        <f t="shared" si="63"/>
        <v/>
      </c>
      <c r="K403" s="27" t="str">
        <f t="shared" si="64"/>
        <v/>
      </c>
      <c r="L403" s="59" t="str">
        <f>IF(D403="","",VLOOKUP(D403,'[1]0.1 Produksi Pangan &amp; Penduduk'!$D$5:$M$860,10,0))</f>
        <v/>
      </c>
      <c r="M403" s="28" t="str">
        <f t="shared" si="65"/>
        <v/>
      </c>
      <c r="N403" s="60" t="str">
        <f t="shared" si="66"/>
        <v/>
      </c>
      <c r="O403" s="60" t="str">
        <f t="shared" si="67"/>
        <v/>
      </c>
      <c r="P403" s="60" t="str">
        <f t="shared" si="68"/>
        <v/>
      </c>
      <c r="Q403" s="28" t="str">
        <f t="shared" si="69"/>
        <v/>
      </c>
    </row>
    <row r="404" spans="1:17" ht="15" x14ac:dyDescent="0.25">
      <c r="A404" s="3" t="str">
        <f>IF('[1]0.1 Produksi Pangan &amp; Penduduk'!A405="","",'[1]0.1 Produksi Pangan &amp; Penduduk'!A405)</f>
        <v/>
      </c>
      <c r="B404" s="2" t="str">
        <f>IF('[1]0.1 Produksi Pangan &amp; Penduduk'!B405="","",'[1]0.1 Produksi Pangan &amp; Penduduk'!B405)</f>
        <v/>
      </c>
      <c r="C404" s="2" t="str">
        <f>IF('[1]0.1 Produksi Pangan &amp; Penduduk'!F405="","",'[1]0.1 Produksi Pangan &amp; Penduduk'!F405)</f>
        <v/>
      </c>
      <c r="D404" s="3" t="str">
        <f>IF('[1]0.1 Produksi Pangan &amp; Penduduk'!D405="","",'[1]0.1 Produksi Pangan &amp; Penduduk'!D405)</f>
        <v/>
      </c>
      <c r="E404" s="3" t="str">
        <f>IF('[1]0.1 Produksi Pangan &amp; Penduduk'!E405="","",'[1]0.1 Produksi Pangan &amp; Penduduk'!E405)</f>
        <v/>
      </c>
      <c r="F404" s="59" t="str">
        <f>IF(D404="","",VLOOKUP(D404,'[1]0.1 Produksi Pangan &amp; Penduduk'!$D$5:$J$860,7,0))</f>
        <v/>
      </c>
      <c r="G404" s="27" t="str">
        <f t="shared" si="60"/>
        <v/>
      </c>
      <c r="H404" s="27" t="str">
        <f t="shared" si="61"/>
        <v/>
      </c>
      <c r="I404" s="27" t="str">
        <f t="shared" si="62"/>
        <v/>
      </c>
      <c r="J404" s="27" t="str">
        <f t="shared" si="63"/>
        <v/>
      </c>
      <c r="K404" s="27" t="str">
        <f t="shared" si="64"/>
        <v/>
      </c>
      <c r="L404" s="59" t="str">
        <f>IF(D404="","",VLOOKUP(D404,'[1]0.1 Produksi Pangan &amp; Penduduk'!$D$5:$M$860,10,0))</f>
        <v/>
      </c>
      <c r="M404" s="28" t="str">
        <f t="shared" si="65"/>
        <v/>
      </c>
      <c r="N404" s="60" t="str">
        <f t="shared" si="66"/>
        <v/>
      </c>
      <c r="O404" s="60" t="str">
        <f t="shared" si="67"/>
        <v/>
      </c>
      <c r="P404" s="60" t="str">
        <f t="shared" si="68"/>
        <v/>
      </c>
      <c r="Q404" s="28" t="str">
        <f t="shared" si="69"/>
        <v/>
      </c>
    </row>
    <row r="405" spans="1:17" ht="15" x14ac:dyDescent="0.25">
      <c r="A405" s="3" t="str">
        <f>IF('[1]0.1 Produksi Pangan &amp; Penduduk'!A406="","",'[1]0.1 Produksi Pangan &amp; Penduduk'!A406)</f>
        <v/>
      </c>
      <c r="B405" s="2" t="str">
        <f>IF('[1]0.1 Produksi Pangan &amp; Penduduk'!B406="","",'[1]0.1 Produksi Pangan &amp; Penduduk'!B406)</f>
        <v/>
      </c>
      <c r="C405" s="2" t="str">
        <f>IF('[1]0.1 Produksi Pangan &amp; Penduduk'!F406="","",'[1]0.1 Produksi Pangan &amp; Penduduk'!F406)</f>
        <v/>
      </c>
      <c r="D405" s="3" t="str">
        <f>IF('[1]0.1 Produksi Pangan &amp; Penduduk'!D406="","",'[1]0.1 Produksi Pangan &amp; Penduduk'!D406)</f>
        <v/>
      </c>
      <c r="E405" s="3" t="str">
        <f>IF('[1]0.1 Produksi Pangan &amp; Penduduk'!E406="","",'[1]0.1 Produksi Pangan &amp; Penduduk'!E406)</f>
        <v/>
      </c>
      <c r="F405" s="59" t="str">
        <f>IF(D405="","",VLOOKUP(D405,'[1]0.1 Produksi Pangan &amp; Penduduk'!$D$5:$J$860,7,0))</f>
        <v/>
      </c>
      <c r="G405" s="27" t="str">
        <f t="shared" si="60"/>
        <v/>
      </c>
      <c r="H405" s="27" t="str">
        <f t="shared" si="61"/>
        <v/>
      </c>
      <c r="I405" s="27" t="str">
        <f t="shared" si="62"/>
        <v/>
      </c>
      <c r="J405" s="27" t="str">
        <f t="shared" si="63"/>
        <v/>
      </c>
      <c r="K405" s="27" t="str">
        <f t="shared" si="64"/>
        <v/>
      </c>
      <c r="L405" s="59" t="str">
        <f>IF(D405="","",VLOOKUP(D405,'[1]0.1 Produksi Pangan &amp; Penduduk'!$D$5:$M$860,10,0))</f>
        <v/>
      </c>
      <c r="M405" s="28" t="str">
        <f t="shared" si="65"/>
        <v/>
      </c>
      <c r="N405" s="60" t="str">
        <f t="shared" si="66"/>
        <v/>
      </c>
      <c r="O405" s="60" t="str">
        <f t="shared" si="67"/>
        <v/>
      </c>
      <c r="P405" s="60" t="str">
        <f t="shared" si="68"/>
        <v/>
      </c>
      <c r="Q405" s="28" t="str">
        <f t="shared" si="69"/>
        <v/>
      </c>
    </row>
    <row r="406" spans="1:17" ht="15" x14ac:dyDescent="0.25">
      <c r="A406" s="3" t="str">
        <f>IF('[1]0.1 Produksi Pangan &amp; Penduduk'!A407="","",'[1]0.1 Produksi Pangan &amp; Penduduk'!A407)</f>
        <v/>
      </c>
      <c r="B406" s="2" t="str">
        <f>IF('[1]0.1 Produksi Pangan &amp; Penduduk'!B407="","",'[1]0.1 Produksi Pangan &amp; Penduduk'!B407)</f>
        <v/>
      </c>
      <c r="C406" s="2" t="str">
        <f>IF('[1]0.1 Produksi Pangan &amp; Penduduk'!F407="","",'[1]0.1 Produksi Pangan &amp; Penduduk'!F407)</f>
        <v/>
      </c>
      <c r="D406" s="3" t="str">
        <f>IF('[1]0.1 Produksi Pangan &amp; Penduduk'!D407="","",'[1]0.1 Produksi Pangan &amp; Penduduk'!D407)</f>
        <v/>
      </c>
      <c r="E406" s="3" t="str">
        <f>IF('[1]0.1 Produksi Pangan &amp; Penduduk'!E407="","",'[1]0.1 Produksi Pangan &amp; Penduduk'!E407)</f>
        <v/>
      </c>
      <c r="F406" s="59" t="str">
        <f>IF(D406="","",VLOOKUP(D406,'[1]0.1 Produksi Pangan &amp; Penduduk'!$D$5:$J$860,7,0))</f>
        <v/>
      </c>
      <c r="G406" s="27" t="str">
        <f t="shared" si="60"/>
        <v/>
      </c>
      <c r="H406" s="27" t="str">
        <f t="shared" si="61"/>
        <v/>
      </c>
      <c r="I406" s="27" t="str">
        <f t="shared" si="62"/>
        <v/>
      </c>
      <c r="J406" s="27" t="str">
        <f t="shared" si="63"/>
        <v/>
      </c>
      <c r="K406" s="27" t="str">
        <f t="shared" si="64"/>
        <v/>
      </c>
      <c r="L406" s="59" t="str">
        <f>IF(D406="","",VLOOKUP(D406,'[1]0.1 Produksi Pangan &amp; Penduduk'!$D$5:$M$860,10,0))</f>
        <v/>
      </c>
      <c r="M406" s="28" t="str">
        <f t="shared" si="65"/>
        <v/>
      </c>
      <c r="N406" s="60" t="str">
        <f t="shared" si="66"/>
        <v/>
      </c>
      <c r="O406" s="60" t="str">
        <f t="shared" si="67"/>
        <v/>
      </c>
      <c r="P406" s="60" t="str">
        <f t="shared" si="68"/>
        <v/>
      </c>
      <c r="Q406" s="28" t="str">
        <f t="shared" si="69"/>
        <v/>
      </c>
    </row>
    <row r="407" spans="1:17" ht="15" x14ac:dyDescent="0.25">
      <c r="A407" s="3" t="str">
        <f>IF('[1]0.1 Produksi Pangan &amp; Penduduk'!A408="","",'[1]0.1 Produksi Pangan &amp; Penduduk'!A408)</f>
        <v/>
      </c>
      <c r="B407" s="2" t="str">
        <f>IF('[1]0.1 Produksi Pangan &amp; Penduduk'!B408="","",'[1]0.1 Produksi Pangan &amp; Penduduk'!B408)</f>
        <v/>
      </c>
      <c r="C407" s="2" t="str">
        <f>IF('[1]0.1 Produksi Pangan &amp; Penduduk'!F408="","",'[1]0.1 Produksi Pangan &amp; Penduduk'!F408)</f>
        <v/>
      </c>
      <c r="D407" s="3" t="str">
        <f>IF('[1]0.1 Produksi Pangan &amp; Penduduk'!D408="","",'[1]0.1 Produksi Pangan &amp; Penduduk'!D408)</f>
        <v/>
      </c>
      <c r="E407" s="3" t="str">
        <f>IF('[1]0.1 Produksi Pangan &amp; Penduduk'!E408="","",'[1]0.1 Produksi Pangan &amp; Penduduk'!E408)</f>
        <v/>
      </c>
      <c r="F407" s="59" t="str">
        <f>IF(D407="","",VLOOKUP(D407,'[1]0.1 Produksi Pangan &amp; Penduduk'!$D$5:$J$860,7,0))</f>
        <v/>
      </c>
      <c r="G407" s="27" t="str">
        <f t="shared" si="60"/>
        <v/>
      </c>
      <c r="H407" s="27" t="str">
        <f t="shared" si="61"/>
        <v/>
      </c>
      <c r="I407" s="27" t="str">
        <f t="shared" si="62"/>
        <v/>
      </c>
      <c r="J407" s="27" t="str">
        <f t="shared" si="63"/>
        <v/>
      </c>
      <c r="K407" s="27" t="str">
        <f t="shared" si="64"/>
        <v/>
      </c>
      <c r="L407" s="59" t="str">
        <f>IF(D407="","",VLOOKUP(D407,'[1]0.1 Produksi Pangan &amp; Penduduk'!$D$5:$M$860,10,0))</f>
        <v/>
      </c>
      <c r="M407" s="28" t="str">
        <f t="shared" si="65"/>
        <v/>
      </c>
      <c r="N407" s="60" t="str">
        <f t="shared" si="66"/>
        <v/>
      </c>
      <c r="O407" s="60" t="str">
        <f t="shared" si="67"/>
        <v/>
      </c>
      <c r="P407" s="60" t="str">
        <f t="shared" si="68"/>
        <v/>
      </c>
      <c r="Q407" s="28" t="str">
        <f t="shared" si="69"/>
        <v/>
      </c>
    </row>
    <row r="408" spans="1:17" ht="15" x14ac:dyDescent="0.25">
      <c r="A408" s="3" t="str">
        <f>IF('[1]0.1 Produksi Pangan &amp; Penduduk'!A409="","",'[1]0.1 Produksi Pangan &amp; Penduduk'!A409)</f>
        <v/>
      </c>
      <c r="B408" s="2" t="str">
        <f>IF('[1]0.1 Produksi Pangan &amp; Penduduk'!B409="","",'[1]0.1 Produksi Pangan &amp; Penduduk'!B409)</f>
        <v/>
      </c>
      <c r="C408" s="2" t="str">
        <f>IF('[1]0.1 Produksi Pangan &amp; Penduduk'!F409="","",'[1]0.1 Produksi Pangan &amp; Penduduk'!F409)</f>
        <v/>
      </c>
      <c r="D408" s="3" t="str">
        <f>IF('[1]0.1 Produksi Pangan &amp; Penduduk'!D409="","",'[1]0.1 Produksi Pangan &amp; Penduduk'!D409)</f>
        <v/>
      </c>
      <c r="E408" s="3" t="str">
        <f>IF('[1]0.1 Produksi Pangan &amp; Penduduk'!E409="","",'[1]0.1 Produksi Pangan &amp; Penduduk'!E409)</f>
        <v/>
      </c>
      <c r="F408" s="59" t="str">
        <f>IF(D408="","",VLOOKUP(D408,'[1]0.1 Produksi Pangan &amp; Penduduk'!$D$5:$J$860,7,0))</f>
        <v/>
      </c>
      <c r="G408" s="27" t="str">
        <f t="shared" si="60"/>
        <v/>
      </c>
      <c r="H408" s="27" t="str">
        <f t="shared" si="61"/>
        <v/>
      </c>
      <c r="I408" s="27" t="str">
        <f t="shared" si="62"/>
        <v/>
      </c>
      <c r="J408" s="27" t="str">
        <f t="shared" si="63"/>
        <v/>
      </c>
      <c r="K408" s="27" t="str">
        <f t="shared" si="64"/>
        <v/>
      </c>
      <c r="L408" s="59" t="str">
        <f>IF(D408="","",VLOOKUP(D408,'[1]0.1 Produksi Pangan &amp; Penduduk'!$D$5:$M$860,10,0))</f>
        <v/>
      </c>
      <c r="M408" s="28" t="str">
        <f t="shared" si="65"/>
        <v/>
      </c>
      <c r="N408" s="60" t="str">
        <f t="shared" si="66"/>
        <v/>
      </c>
      <c r="O408" s="60" t="str">
        <f t="shared" si="67"/>
        <v/>
      </c>
      <c r="P408" s="60" t="str">
        <f t="shared" si="68"/>
        <v/>
      </c>
      <c r="Q408" s="28" t="str">
        <f t="shared" si="69"/>
        <v/>
      </c>
    </row>
    <row r="409" spans="1:17" ht="15" x14ac:dyDescent="0.25">
      <c r="A409" s="3" t="str">
        <f>IF('[1]0.1 Produksi Pangan &amp; Penduduk'!A410="","",'[1]0.1 Produksi Pangan &amp; Penduduk'!A410)</f>
        <v/>
      </c>
      <c r="B409" s="2" t="str">
        <f>IF('[1]0.1 Produksi Pangan &amp; Penduduk'!B410="","",'[1]0.1 Produksi Pangan &amp; Penduduk'!B410)</f>
        <v/>
      </c>
      <c r="C409" s="2" t="str">
        <f>IF('[1]0.1 Produksi Pangan &amp; Penduduk'!F410="","",'[1]0.1 Produksi Pangan &amp; Penduduk'!F410)</f>
        <v/>
      </c>
      <c r="D409" s="3" t="str">
        <f>IF('[1]0.1 Produksi Pangan &amp; Penduduk'!D410="","",'[1]0.1 Produksi Pangan &amp; Penduduk'!D410)</f>
        <v/>
      </c>
      <c r="E409" s="3" t="str">
        <f>IF('[1]0.1 Produksi Pangan &amp; Penduduk'!E410="","",'[1]0.1 Produksi Pangan &amp; Penduduk'!E410)</f>
        <v/>
      </c>
      <c r="F409" s="59" t="str">
        <f>IF(D409="","",VLOOKUP(D409,'[1]0.1 Produksi Pangan &amp; Penduduk'!$D$5:$J$860,7,0))</f>
        <v/>
      </c>
      <c r="G409" s="27" t="str">
        <f t="shared" si="60"/>
        <v/>
      </c>
      <c r="H409" s="27" t="str">
        <f t="shared" si="61"/>
        <v/>
      </c>
      <c r="I409" s="27" t="str">
        <f t="shared" si="62"/>
        <v/>
      </c>
      <c r="J409" s="27" t="str">
        <f t="shared" si="63"/>
        <v/>
      </c>
      <c r="K409" s="27" t="str">
        <f t="shared" si="64"/>
        <v/>
      </c>
      <c r="L409" s="59" t="str">
        <f>IF(D409="","",VLOOKUP(D409,'[1]0.1 Produksi Pangan &amp; Penduduk'!$D$5:$M$860,10,0))</f>
        <v/>
      </c>
      <c r="M409" s="28" t="str">
        <f t="shared" si="65"/>
        <v/>
      </c>
      <c r="N409" s="60" t="str">
        <f t="shared" si="66"/>
        <v/>
      </c>
      <c r="O409" s="60" t="str">
        <f t="shared" si="67"/>
        <v/>
      </c>
      <c r="P409" s="60" t="str">
        <f t="shared" si="68"/>
        <v/>
      </c>
      <c r="Q409" s="28" t="str">
        <f t="shared" si="69"/>
        <v/>
      </c>
    </row>
    <row r="410" spans="1:17" ht="15" x14ac:dyDescent="0.25">
      <c r="A410" s="3" t="str">
        <f>IF('[1]0.1 Produksi Pangan &amp; Penduduk'!A411="","",'[1]0.1 Produksi Pangan &amp; Penduduk'!A411)</f>
        <v/>
      </c>
      <c r="B410" s="2" t="str">
        <f>IF('[1]0.1 Produksi Pangan &amp; Penduduk'!B411="","",'[1]0.1 Produksi Pangan &amp; Penduduk'!B411)</f>
        <v/>
      </c>
      <c r="C410" s="2" t="str">
        <f>IF('[1]0.1 Produksi Pangan &amp; Penduduk'!F411="","",'[1]0.1 Produksi Pangan &amp; Penduduk'!F411)</f>
        <v/>
      </c>
      <c r="D410" s="3" t="str">
        <f>IF('[1]0.1 Produksi Pangan &amp; Penduduk'!D411="","",'[1]0.1 Produksi Pangan &amp; Penduduk'!D411)</f>
        <v/>
      </c>
      <c r="E410" s="3" t="str">
        <f>IF('[1]0.1 Produksi Pangan &amp; Penduduk'!E411="","",'[1]0.1 Produksi Pangan &amp; Penduduk'!E411)</f>
        <v/>
      </c>
      <c r="F410" s="59" t="str">
        <f>IF(D410="","",VLOOKUP(D410,'[1]0.1 Produksi Pangan &amp; Penduduk'!$D$5:$J$860,7,0))</f>
        <v/>
      </c>
      <c r="G410" s="27" t="str">
        <f t="shared" si="60"/>
        <v/>
      </c>
      <c r="H410" s="27" t="str">
        <f t="shared" si="61"/>
        <v/>
      </c>
      <c r="I410" s="27" t="str">
        <f t="shared" si="62"/>
        <v/>
      </c>
      <c r="J410" s="27" t="str">
        <f t="shared" si="63"/>
        <v/>
      </c>
      <c r="K410" s="27" t="str">
        <f t="shared" si="64"/>
        <v/>
      </c>
      <c r="L410" s="59" t="str">
        <f>IF(D410="","",VLOOKUP(D410,'[1]0.1 Produksi Pangan &amp; Penduduk'!$D$5:$M$860,10,0))</f>
        <v/>
      </c>
      <c r="M410" s="28" t="str">
        <f t="shared" si="65"/>
        <v/>
      </c>
      <c r="N410" s="60" t="str">
        <f t="shared" si="66"/>
        <v/>
      </c>
      <c r="O410" s="60" t="str">
        <f t="shared" si="67"/>
        <v/>
      </c>
      <c r="P410" s="60" t="str">
        <f t="shared" si="68"/>
        <v/>
      </c>
      <c r="Q410" s="28" t="str">
        <f t="shared" si="69"/>
        <v/>
      </c>
    </row>
    <row r="411" spans="1:17" ht="15" x14ac:dyDescent="0.25">
      <c r="A411" s="3" t="str">
        <f>IF('[1]0.1 Produksi Pangan &amp; Penduduk'!A412="","",'[1]0.1 Produksi Pangan &amp; Penduduk'!A412)</f>
        <v/>
      </c>
      <c r="B411" s="2" t="str">
        <f>IF('[1]0.1 Produksi Pangan &amp; Penduduk'!B412="","",'[1]0.1 Produksi Pangan &amp; Penduduk'!B412)</f>
        <v/>
      </c>
      <c r="C411" s="2" t="str">
        <f>IF('[1]0.1 Produksi Pangan &amp; Penduduk'!F412="","",'[1]0.1 Produksi Pangan &amp; Penduduk'!F412)</f>
        <v/>
      </c>
      <c r="D411" s="3" t="str">
        <f>IF('[1]0.1 Produksi Pangan &amp; Penduduk'!D412="","",'[1]0.1 Produksi Pangan &amp; Penduduk'!D412)</f>
        <v/>
      </c>
      <c r="E411" s="3" t="str">
        <f>IF('[1]0.1 Produksi Pangan &amp; Penduduk'!E412="","",'[1]0.1 Produksi Pangan &amp; Penduduk'!E412)</f>
        <v/>
      </c>
      <c r="F411" s="59" t="str">
        <f>IF(D411="","",VLOOKUP(D411,'[1]0.1 Produksi Pangan &amp; Penduduk'!$D$5:$J$860,7,0))</f>
        <v/>
      </c>
      <c r="G411" s="27" t="str">
        <f t="shared" si="60"/>
        <v/>
      </c>
      <c r="H411" s="27" t="str">
        <f t="shared" si="61"/>
        <v/>
      </c>
      <c r="I411" s="27" t="str">
        <f t="shared" si="62"/>
        <v/>
      </c>
      <c r="J411" s="27" t="str">
        <f t="shared" si="63"/>
        <v/>
      </c>
      <c r="K411" s="27" t="str">
        <f t="shared" si="64"/>
        <v/>
      </c>
      <c r="L411" s="59" t="str">
        <f>IF(D411="","",VLOOKUP(D411,'[1]0.1 Produksi Pangan &amp; Penduduk'!$D$5:$M$860,10,0))</f>
        <v/>
      </c>
      <c r="M411" s="28" t="str">
        <f t="shared" si="65"/>
        <v/>
      </c>
      <c r="N411" s="60" t="str">
        <f t="shared" si="66"/>
        <v/>
      </c>
      <c r="O411" s="60" t="str">
        <f t="shared" si="67"/>
        <v/>
      </c>
      <c r="P411" s="60" t="str">
        <f t="shared" si="68"/>
        <v/>
      </c>
      <c r="Q411" s="28" t="str">
        <f t="shared" si="69"/>
        <v/>
      </c>
    </row>
    <row r="412" spans="1:17" ht="15" x14ac:dyDescent="0.25">
      <c r="A412" s="3" t="str">
        <f>IF('[1]0.1 Produksi Pangan &amp; Penduduk'!A413="","",'[1]0.1 Produksi Pangan &amp; Penduduk'!A413)</f>
        <v/>
      </c>
      <c r="B412" s="2" t="str">
        <f>IF('[1]0.1 Produksi Pangan &amp; Penduduk'!B413="","",'[1]0.1 Produksi Pangan &amp; Penduduk'!B413)</f>
        <v/>
      </c>
      <c r="C412" s="2" t="str">
        <f>IF('[1]0.1 Produksi Pangan &amp; Penduduk'!F413="","",'[1]0.1 Produksi Pangan &amp; Penduduk'!F413)</f>
        <v/>
      </c>
      <c r="D412" s="3" t="str">
        <f>IF('[1]0.1 Produksi Pangan &amp; Penduduk'!D413="","",'[1]0.1 Produksi Pangan &amp; Penduduk'!D413)</f>
        <v/>
      </c>
      <c r="E412" s="3" t="str">
        <f>IF('[1]0.1 Produksi Pangan &amp; Penduduk'!E413="","",'[1]0.1 Produksi Pangan &amp; Penduduk'!E413)</f>
        <v/>
      </c>
      <c r="F412" s="59" t="str">
        <f>IF(D412="","",VLOOKUP(D412,'[1]0.1 Produksi Pangan &amp; Penduduk'!$D$5:$J$860,7,0))</f>
        <v/>
      </c>
      <c r="G412" s="27" t="str">
        <f t="shared" si="60"/>
        <v/>
      </c>
      <c r="H412" s="27" t="str">
        <f t="shared" si="61"/>
        <v/>
      </c>
      <c r="I412" s="27" t="str">
        <f t="shared" si="62"/>
        <v/>
      </c>
      <c r="J412" s="27" t="str">
        <f t="shared" si="63"/>
        <v/>
      </c>
      <c r="K412" s="27" t="str">
        <f t="shared" si="64"/>
        <v/>
      </c>
      <c r="L412" s="59" t="str">
        <f>IF(D412="","",VLOOKUP(D412,'[1]0.1 Produksi Pangan &amp; Penduduk'!$D$5:$M$860,10,0))</f>
        <v/>
      </c>
      <c r="M412" s="28" t="str">
        <f t="shared" si="65"/>
        <v/>
      </c>
      <c r="N412" s="60" t="str">
        <f t="shared" si="66"/>
        <v/>
      </c>
      <c r="O412" s="60" t="str">
        <f t="shared" si="67"/>
        <v/>
      </c>
      <c r="P412" s="60" t="str">
        <f t="shared" si="68"/>
        <v/>
      </c>
      <c r="Q412" s="28" t="str">
        <f t="shared" si="69"/>
        <v/>
      </c>
    </row>
    <row r="413" spans="1:17" ht="15" x14ac:dyDescent="0.25">
      <c r="A413" s="3" t="str">
        <f>IF('[1]0.1 Produksi Pangan &amp; Penduduk'!A414="","",'[1]0.1 Produksi Pangan &amp; Penduduk'!A414)</f>
        <v/>
      </c>
      <c r="B413" s="2" t="str">
        <f>IF('[1]0.1 Produksi Pangan &amp; Penduduk'!B414="","",'[1]0.1 Produksi Pangan &amp; Penduduk'!B414)</f>
        <v/>
      </c>
      <c r="C413" s="2" t="str">
        <f>IF('[1]0.1 Produksi Pangan &amp; Penduduk'!F414="","",'[1]0.1 Produksi Pangan &amp; Penduduk'!F414)</f>
        <v/>
      </c>
      <c r="D413" s="3" t="str">
        <f>IF('[1]0.1 Produksi Pangan &amp; Penduduk'!D414="","",'[1]0.1 Produksi Pangan &amp; Penduduk'!D414)</f>
        <v/>
      </c>
      <c r="E413" s="3" t="str">
        <f>IF('[1]0.1 Produksi Pangan &amp; Penduduk'!E414="","",'[1]0.1 Produksi Pangan &amp; Penduduk'!E414)</f>
        <v/>
      </c>
      <c r="F413" s="59" t="str">
        <f>IF(D413="","",VLOOKUP(D413,'[1]0.1 Produksi Pangan &amp; Penduduk'!$D$5:$J$860,7,0))</f>
        <v/>
      </c>
      <c r="G413" s="27" t="str">
        <f t="shared" si="60"/>
        <v/>
      </c>
      <c r="H413" s="27" t="str">
        <f t="shared" si="61"/>
        <v/>
      </c>
      <c r="I413" s="27" t="str">
        <f t="shared" si="62"/>
        <v/>
      </c>
      <c r="J413" s="27" t="str">
        <f t="shared" si="63"/>
        <v/>
      </c>
      <c r="K413" s="27" t="str">
        <f t="shared" si="64"/>
        <v/>
      </c>
      <c r="L413" s="59" t="str">
        <f>IF(D413="","",VLOOKUP(D413,'[1]0.1 Produksi Pangan &amp; Penduduk'!$D$5:$M$860,10,0))</f>
        <v/>
      </c>
      <c r="M413" s="28" t="str">
        <f t="shared" si="65"/>
        <v/>
      </c>
      <c r="N413" s="60" t="str">
        <f t="shared" si="66"/>
        <v/>
      </c>
      <c r="O413" s="60" t="str">
        <f t="shared" si="67"/>
        <v/>
      </c>
      <c r="P413" s="60" t="str">
        <f t="shared" si="68"/>
        <v/>
      </c>
      <c r="Q413" s="28" t="str">
        <f t="shared" si="69"/>
        <v/>
      </c>
    </row>
    <row r="414" spans="1:17" ht="15" x14ac:dyDescent="0.25">
      <c r="A414" s="3" t="str">
        <f>IF('[1]0.1 Produksi Pangan &amp; Penduduk'!A415="","",'[1]0.1 Produksi Pangan &amp; Penduduk'!A415)</f>
        <v/>
      </c>
      <c r="B414" s="2" t="str">
        <f>IF('[1]0.1 Produksi Pangan &amp; Penduduk'!B415="","",'[1]0.1 Produksi Pangan &amp; Penduduk'!B415)</f>
        <v/>
      </c>
      <c r="C414" s="2" t="str">
        <f>IF('[1]0.1 Produksi Pangan &amp; Penduduk'!F415="","",'[1]0.1 Produksi Pangan &amp; Penduduk'!F415)</f>
        <v/>
      </c>
      <c r="D414" s="3" t="str">
        <f>IF('[1]0.1 Produksi Pangan &amp; Penduduk'!D415="","",'[1]0.1 Produksi Pangan &amp; Penduduk'!D415)</f>
        <v/>
      </c>
      <c r="E414" s="3" t="str">
        <f>IF('[1]0.1 Produksi Pangan &amp; Penduduk'!E415="","",'[1]0.1 Produksi Pangan &amp; Penduduk'!E415)</f>
        <v/>
      </c>
      <c r="F414" s="59" t="str">
        <f>IF(D414="","",VLOOKUP(D414,'[1]0.1 Produksi Pangan &amp; Penduduk'!$D$5:$J$860,7,0))</f>
        <v/>
      </c>
      <c r="G414" s="27" t="str">
        <f t="shared" si="60"/>
        <v/>
      </c>
      <c r="H414" s="27" t="str">
        <f t="shared" si="61"/>
        <v/>
      </c>
      <c r="I414" s="27" t="str">
        <f t="shared" si="62"/>
        <v/>
      </c>
      <c r="J414" s="27" t="str">
        <f t="shared" si="63"/>
        <v/>
      </c>
      <c r="K414" s="27" t="str">
        <f t="shared" si="64"/>
        <v/>
      </c>
      <c r="L414" s="59" t="str">
        <f>IF(D414="","",VLOOKUP(D414,'[1]0.1 Produksi Pangan &amp; Penduduk'!$D$5:$M$860,10,0))</f>
        <v/>
      </c>
      <c r="M414" s="28" t="str">
        <f t="shared" si="65"/>
        <v/>
      </c>
      <c r="N414" s="60" t="str">
        <f t="shared" si="66"/>
        <v/>
      </c>
      <c r="O414" s="60" t="str">
        <f t="shared" si="67"/>
        <v/>
      </c>
      <c r="P414" s="60" t="str">
        <f t="shared" si="68"/>
        <v/>
      </c>
      <c r="Q414" s="28" t="str">
        <f t="shared" si="69"/>
        <v/>
      </c>
    </row>
    <row r="415" spans="1:17" ht="15" x14ac:dyDescent="0.25">
      <c r="A415" s="3" t="str">
        <f>IF('[1]0.1 Produksi Pangan &amp; Penduduk'!A416="","",'[1]0.1 Produksi Pangan &amp; Penduduk'!A416)</f>
        <v/>
      </c>
      <c r="B415" s="2" t="str">
        <f>IF('[1]0.1 Produksi Pangan &amp; Penduduk'!B416="","",'[1]0.1 Produksi Pangan &amp; Penduduk'!B416)</f>
        <v/>
      </c>
      <c r="C415" s="2" t="str">
        <f>IF('[1]0.1 Produksi Pangan &amp; Penduduk'!F416="","",'[1]0.1 Produksi Pangan &amp; Penduduk'!F416)</f>
        <v/>
      </c>
      <c r="D415" s="3" t="str">
        <f>IF('[1]0.1 Produksi Pangan &amp; Penduduk'!D416="","",'[1]0.1 Produksi Pangan &amp; Penduduk'!D416)</f>
        <v/>
      </c>
      <c r="E415" s="3" t="str">
        <f>IF('[1]0.1 Produksi Pangan &amp; Penduduk'!E416="","",'[1]0.1 Produksi Pangan &amp; Penduduk'!E416)</f>
        <v/>
      </c>
      <c r="F415" s="59" t="str">
        <f>IF(D415="","",VLOOKUP(D415,'[1]0.1 Produksi Pangan &amp; Penduduk'!$D$5:$J$860,7,0))</f>
        <v/>
      </c>
      <c r="G415" s="27" t="str">
        <f t="shared" si="60"/>
        <v/>
      </c>
      <c r="H415" s="27" t="str">
        <f t="shared" si="61"/>
        <v/>
      </c>
      <c r="I415" s="27" t="str">
        <f t="shared" si="62"/>
        <v/>
      </c>
      <c r="J415" s="27" t="str">
        <f t="shared" si="63"/>
        <v/>
      </c>
      <c r="K415" s="27" t="str">
        <f t="shared" si="64"/>
        <v/>
      </c>
      <c r="L415" s="59" t="str">
        <f>IF(D415="","",VLOOKUP(D415,'[1]0.1 Produksi Pangan &amp; Penduduk'!$D$5:$M$860,10,0))</f>
        <v/>
      </c>
      <c r="M415" s="28" t="str">
        <f t="shared" si="65"/>
        <v/>
      </c>
      <c r="N415" s="60" t="str">
        <f t="shared" si="66"/>
        <v/>
      </c>
      <c r="O415" s="60" t="str">
        <f t="shared" si="67"/>
        <v/>
      </c>
      <c r="P415" s="60" t="str">
        <f t="shared" si="68"/>
        <v/>
      </c>
      <c r="Q415" s="28" t="str">
        <f t="shared" si="69"/>
        <v/>
      </c>
    </row>
    <row r="416" spans="1:17" ht="15" x14ac:dyDescent="0.25">
      <c r="A416" s="3" t="str">
        <f>IF('[1]0.1 Produksi Pangan &amp; Penduduk'!A417="","",'[1]0.1 Produksi Pangan &amp; Penduduk'!A417)</f>
        <v/>
      </c>
      <c r="B416" s="2" t="str">
        <f>IF('[1]0.1 Produksi Pangan &amp; Penduduk'!B417="","",'[1]0.1 Produksi Pangan &amp; Penduduk'!B417)</f>
        <v/>
      </c>
      <c r="C416" s="2" t="str">
        <f>IF('[1]0.1 Produksi Pangan &amp; Penduduk'!F417="","",'[1]0.1 Produksi Pangan &amp; Penduduk'!F417)</f>
        <v/>
      </c>
      <c r="D416" s="3" t="str">
        <f>IF('[1]0.1 Produksi Pangan &amp; Penduduk'!D417="","",'[1]0.1 Produksi Pangan &amp; Penduduk'!D417)</f>
        <v/>
      </c>
      <c r="E416" s="3" t="str">
        <f>IF('[1]0.1 Produksi Pangan &amp; Penduduk'!E417="","",'[1]0.1 Produksi Pangan &amp; Penduduk'!E417)</f>
        <v/>
      </c>
      <c r="F416" s="59" t="str">
        <f>IF(D416="","",VLOOKUP(D416,'[1]0.1 Produksi Pangan &amp; Penduduk'!$D$5:$J$860,7,0))</f>
        <v/>
      </c>
      <c r="G416" s="27" t="str">
        <f t="shared" si="60"/>
        <v/>
      </c>
      <c r="H416" s="27" t="str">
        <f t="shared" si="61"/>
        <v/>
      </c>
      <c r="I416" s="27" t="str">
        <f t="shared" si="62"/>
        <v/>
      </c>
      <c r="J416" s="27" t="str">
        <f t="shared" si="63"/>
        <v/>
      </c>
      <c r="K416" s="27" t="str">
        <f t="shared" si="64"/>
        <v/>
      </c>
      <c r="L416" s="59" t="str">
        <f>IF(D416="","",VLOOKUP(D416,'[1]0.1 Produksi Pangan &amp; Penduduk'!$D$5:$M$860,10,0))</f>
        <v/>
      </c>
      <c r="M416" s="28" t="str">
        <f t="shared" si="65"/>
        <v/>
      </c>
      <c r="N416" s="60" t="str">
        <f t="shared" si="66"/>
        <v/>
      </c>
      <c r="O416" s="60" t="str">
        <f t="shared" si="67"/>
        <v/>
      </c>
      <c r="P416" s="60" t="str">
        <f t="shared" si="68"/>
        <v/>
      </c>
      <c r="Q416" s="28" t="str">
        <f t="shared" si="69"/>
        <v/>
      </c>
    </row>
    <row r="417" spans="1:17" ht="15" x14ac:dyDescent="0.25">
      <c r="A417" s="3" t="str">
        <f>IF('[1]0.1 Produksi Pangan &amp; Penduduk'!A418="","",'[1]0.1 Produksi Pangan &amp; Penduduk'!A418)</f>
        <v/>
      </c>
      <c r="B417" s="2" t="str">
        <f>IF('[1]0.1 Produksi Pangan &amp; Penduduk'!B418="","",'[1]0.1 Produksi Pangan &amp; Penduduk'!B418)</f>
        <v/>
      </c>
      <c r="C417" s="2" t="str">
        <f>IF('[1]0.1 Produksi Pangan &amp; Penduduk'!F418="","",'[1]0.1 Produksi Pangan &amp; Penduduk'!F418)</f>
        <v/>
      </c>
      <c r="D417" s="3" t="str">
        <f>IF('[1]0.1 Produksi Pangan &amp; Penduduk'!D418="","",'[1]0.1 Produksi Pangan &amp; Penduduk'!D418)</f>
        <v/>
      </c>
      <c r="E417" s="3" t="str">
        <f>IF('[1]0.1 Produksi Pangan &amp; Penduduk'!E418="","",'[1]0.1 Produksi Pangan &amp; Penduduk'!E418)</f>
        <v/>
      </c>
      <c r="F417" s="59" t="str">
        <f>IF(D417="","",VLOOKUP(D417,'[1]0.1 Produksi Pangan &amp; Penduduk'!$D$5:$J$860,7,0))</f>
        <v/>
      </c>
      <c r="G417" s="27" t="str">
        <f t="shared" si="60"/>
        <v/>
      </c>
      <c r="H417" s="27" t="str">
        <f t="shared" si="61"/>
        <v/>
      </c>
      <c r="I417" s="27" t="str">
        <f t="shared" si="62"/>
        <v/>
      </c>
      <c r="J417" s="27" t="str">
        <f t="shared" si="63"/>
        <v/>
      </c>
      <c r="K417" s="27" t="str">
        <f t="shared" si="64"/>
        <v/>
      </c>
      <c r="L417" s="59" t="str">
        <f>IF(D417="","",VLOOKUP(D417,'[1]0.1 Produksi Pangan &amp; Penduduk'!$D$5:$M$860,10,0))</f>
        <v/>
      </c>
      <c r="M417" s="28" t="str">
        <f t="shared" si="65"/>
        <v/>
      </c>
      <c r="N417" s="60" t="str">
        <f t="shared" si="66"/>
        <v/>
      </c>
      <c r="O417" s="60" t="str">
        <f t="shared" si="67"/>
        <v/>
      </c>
      <c r="P417" s="60" t="str">
        <f t="shared" si="68"/>
        <v/>
      </c>
      <c r="Q417" s="28" t="str">
        <f t="shared" si="69"/>
        <v/>
      </c>
    </row>
    <row r="418" spans="1:17" ht="15" x14ac:dyDescent="0.25">
      <c r="A418" s="3" t="str">
        <f>IF('[1]0.1 Produksi Pangan &amp; Penduduk'!A419="","",'[1]0.1 Produksi Pangan &amp; Penduduk'!A419)</f>
        <v/>
      </c>
      <c r="B418" s="2" t="str">
        <f>IF('[1]0.1 Produksi Pangan &amp; Penduduk'!B419="","",'[1]0.1 Produksi Pangan &amp; Penduduk'!B419)</f>
        <v/>
      </c>
      <c r="C418" s="2" t="str">
        <f>IF('[1]0.1 Produksi Pangan &amp; Penduduk'!F419="","",'[1]0.1 Produksi Pangan &amp; Penduduk'!F419)</f>
        <v/>
      </c>
      <c r="D418" s="3" t="str">
        <f>IF('[1]0.1 Produksi Pangan &amp; Penduduk'!D419="","",'[1]0.1 Produksi Pangan &amp; Penduduk'!D419)</f>
        <v/>
      </c>
      <c r="E418" s="3" t="str">
        <f>IF('[1]0.1 Produksi Pangan &amp; Penduduk'!E419="","",'[1]0.1 Produksi Pangan &amp; Penduduk'!E419)</f>
        <v/>
      </c>
      <c r="F418" s="59" t="str">
        <f>IF(D418="","",VLOOKUP(D418,'[1]0.1 Produksi Pangan &amp; Penduduk'!$D$5:$J$860,7,0))</f>
        <v/>
      </c>
      <c r="G418" s="27" t="str">
        <f t="shared" si="60"/>
        <v/>
      </c>
      <c r="H418" s="27" t="str">
        <f t="shared" si="61"/>
        <v/>
      </c>
      <c r="I418" s="27" t="str">
        <f t="shared" si="62"/>
        <v/>
      </c>
      <c r="J418" s="27" t="str">
        <f t="shared" si="63"/>
        <v/>
      </c>
      <c r="K418" s="27" t="str">
        <f t="shared" si="64"/>
        <v/>
      </c>
      <c r="L418" s="59" t="str">
        <f>IF(D418="","",VLOOKUP(D418,'[1]0.1 Produksi Pangan &amp; Penduduk'!$D$5:$M$860,10,0))</f>
        <v/>
      </c>
      <c r="M418" s="28" t="str">
        <f t="shared" si="65"/>
        <v/>
      </c>
      <c r="N418" s="60" t="str">
        <f t="shared" si="66"/>
        <v/>
      </c>
      <c r="O418" s="60" t="str">
        <f t="shared" si="67"/>
        <v/>
      </c>
      <c r="P418" s="60" t="str">
        <f t="shared" si="68"/>
        <v/>
      </c>
      <c r="Q418" s="28" t="str">
        <f t="shared" si="69"/>
        <v/>
      </c>
    </row>
    <row r="419" spans="1:17" ht="15" x14ac:dyDescent="0.25">
      <c r="A419" s="3" t="str">
        <f>IF('[1]0.1 Produksi Pangan &amp; Penduduk'!A420="","",'[1]0.1 Produksi Pangan &amp; Penduduk'!A420)</f>
        <v/>
      </c>
      <c r="B419" s="2" t="str">
        <f>IF('[1]0.1 Produksi Pangan &amp; Penduduk'!B420="","",'[1]0.1 Produksi Pangan &amp; Penduduk'!B420)</f>
        <v/>
      </c>
      <c r="C419" s="2" t="str">
        <f>IF('[1]0.1 Produksi Pangan &amp; Penduduk'!F420="","",'[1]0.1 Produksi Pangan &amp; Penduduk'!F420)</f>
        <v/>
      </c>
      <c r="D419" s="3" t="str">
        <f>IF('[1]0.1 Produksi Pangan &amp; Penduduk'!D420="","",'[1]0.1 Produksi Pangan &amp; Penduduk'!D420)</f>
        <v/>
      </c>
      <c r="E419" s="3" t="str">
        <f>IF('[1]0.1 Produksi Pangan &amp; Penduduk'!E420="","",'[1]0.1 Produksi Pangan &amp; Penduduk'!E420)</f>
        <v/>
      </c>
      <c r="F419" s="59" t="str">
        <f>IF(D419="","",VLOOKUP(D419,'[1]0.1 Produksi Pangan &amp; Penduduk'!$D$5:$J$860,7,0))</f>
        <v/>
      </c>
      <c r="G419" s="27" t="str">
        <f t="shared" si="60"/>
        <v/>
      </c>
      <c r="H419" s="27" t="str">
        <f t="shared" si="61"/>
        <v/>
      </c>
      <c r="I419" s="27" t="str">
        <f t="shared" si="62"/>
        <v/>
      </c>
      <c r="J419" s="27" t="str">
        <f t="shared" si="63"/>
        <v/>
      </c>
      <c r="K419" s="27" t="str">
        <f t="shared" si="64"/>
        <v/>
      </c>
      <c r="L419" s="59" t="str">
        <f>IF(D419="","",VLOOKUP(D419,'[1]0.1 Produksi Pangan &amp; Penduduk'!$D$5:$M$860,10,0))</f>
        <v/>
      </c>
      <c r="M419" s="28" t="str">
        <f t="shared" si="65"/>
        <v/>
      </c>
      <c r="N419" s="60" t="str">
        <f t="shared" si="66"/>
        <v/>
      </c>
      <c r="O419" s="60" t="str">
        <f t="shared" si="67"/>
        <v/>
      </c>
      <c r="P419" s="60" t="str">
        <f t="shared" si="68"/>
        <v/>
      </c>
      <c r="Q419" s="28" t="str">
        <f t="shared" si="69"/>
        <v/>
      </c>
    </row>
    <row r="420" spans="1:17" ht="15" x14ac:dyDescent="0.25">
      <c r="A420" s="3" t="str">
        <f>IF('[1]0.1 Produksi Pangan &amp; Penduduk'!A421="","",'[1]0.1 Produksi Pangan &amp; Penduduk'!A421)</f>
        <v/>
      </c>
      <c r="B420" s="2" t="str">
        <f>IF('[1]0.1 Produksi Pangan &amp; Penduduk'!B421="","",'[1]0.1 Produksi Pangan &amp; Penduduk'!B421)</f>
        <v/>
      </c>
      <c r="C420" s="2" t="str">
        <f>IF('[1]0.1 Produksi Pangan &amp; Penduduk'!F421="","",'[1]0.1 Produksi Pangan &amp; Penduduk'!F421)</f>
        <v/>
      </c>
      <c r="D420" s="3" t="str">
        <f>IF('[1]0.1 Produksi Pangan &amp; Penduduk'!D421="","",'[1]0.1 Produksi Pangan &amp; Penduduk'!D421)</f>
        <v/>
      </c>
      <c r="E420" s="3" t="str">
        <f>IF('[1]0.1 Produksi Pangan &amp; Penduduk'!E421="","",'[1]0.1 Produksi Pangan &amp; Penduduk'!E421)</f>
        <v/>
      </c>
      <c r="F420" s="59" t="str">
        <f>IF(D420="","",VLOOKUP(D420,'[1]0.1 Produksi Pangan &amp; Penduduk'!$D$5:$J$860,7,0))</f>
        <v/>
      </c>
      <c r="G420" s="27" t="str">
        <f t="shared" si="60"/>
        <v/>
      </c>
      <c r="H420" s="27" t="str">
        <f t="shared" si="61"/>
        <v/>
      </c>
      <c r="I420" s="27" t="str">
        <f t="shared" si="62"/>
        <v/>
      </c>
      <c r="J420" s="27" t="str">
        <f t="shared" si="63"/>
        <v/>
      </c>
      <c r="K420" s="27" t="str">
        <f t="shared" si="64"/>
        <v/>
      </c>
      <c r="L420" s="59" t="str">
        <f>IF(D420="","",VLOOKUP(D420,'[1]0.1 Produksi Pangan &amp; Penduduk'!$D$5:$M$860,10,0))</f>
        <v/>
      </c>
      <c r="M420" s="28" t="str">
        <f t="shared" si="65"/>
        <v/>
      </c>
      <c r="N420" s="60" t="str">
        <f t="shared" si="66"/>
        <v/>
      </c>
      <c r="O420" s="60" t="str">
        <f t="shared" si="67"/>
        <v/>
      </c>
      <c r="P420" s="60" t="str">
        <f t="shared" si="68"/>
        <v/>
      </c>
      <c r="Q420" s="28" t="str">
        <f t="shared" si="69"/>
        <v/>
      </c>
    </row>
    <row r="421" spans="1:17" ht="15" x14ac:dyDescent="0.25">
      <c r="A421" s="3" t="str">
        <f>IF('[1]0.1 Produksi Pangan &amp; Penduduk'!A422="","",'[1]0.1 Produksi Pangan &amp; Penduduk'!A422)</f>
        <v/>
      </c>
      <c r="B421" s="2" t="str">
        <f>IF('[1]0.1 Produksi Pangan &amp; Penduduk'!B422="","",'[1]0.1 Produksi Pangan &amp; Penduduk'!B422)</f>
        <v/>
      </c>
      <c r="C421" s="2" t="str">
        <f>IF('[1]0.1 Produksi Pangan &amp; Penduduk'!F422="","",'[1]0.1 Produksi Pangan &amp; Penduduk'!F422)</f>
        <v/>
      </c>
      <c r="D421" s="3" t="str">
        <f>IF('[1]0.1 Produksi Pangan &amp; Penduduk'!D422="","",'[1]0.1 Produksi Pangan &amp; Penduduk'!D422)</f>
        <v/>
      </c>
      <c r="E421" s="3" t="str">
        <f>IF('[1]0.1 Produksi Pangan &amp; Penduduk'!E422="","",'[1]0.1 Produksi Pangan &amp; Penduduk'!E422)</f>
        <v/>
      </c>
      <c r="F421" s="59" t="str">
        <f>IF(D421="","",VLOOKUP(D421,'[1]0.1 Produksi Pangan &amp; Penduduk'!$D$5:$J$860,7,0))</f>
        <v/>
      </c>
      <c r="G421" s="27" t="str">
        <f t="shared" si="60"/>
        <v/>
      </c>
      <c r="H421" s="27" t="str">
        <f t="shared" si="61"/>
        <v/>
      </c>
      <c r="I421" s="27" t="str">
        <f t="shared" si="62"/>
        <v/>
      </c>
      <c r="J421" s="27" t="str">
        <f t="shared" si="63"/>
        <v/>
      </c>
      <c r="K421" s="27" t="str">
        <f t="shared" si="64"/>
        <v/>
      </c>
      <c r="L421" s="59" t="str">
        <f>IF(D421="","",VLOOKUP(D421,'[1]0.1 Produksi Pangan &amp; Penduduk'!$D$5:$M$860,10,0))</f>
        <v/>
      </c>
      <c r="M421" s="28" t="str">
        <f t="shared" si="65"/>
        <v/>
      </c>
      <c r="N421" s="60" t="str">
        <f t="shared" si="66"/>
        <v/>
      </c>
      <c r="O421" s="60" t="str">
        <f t="shared" si="67"/>
        <v/>
      </c>
      <c r="P421" s="60" t="str">
        <f t="shared" si="68"/>
        <v/>
      </c>
      <c r="Q421" s="28" t="str">
        <f t="shared" si="69"/>
        <v/>
      </c>
    </row>
    <row r="422" spans="1:17" ht="15" x14ac:dyDescent="0.25">
      <c r="A422" s="3" t="str">
        <f>IF('[1]0.1 Produksi Pangan &amp; Penduduk'!A423="","",'[1]0.1 Produksi Pangan &amp; Penduduk'!A423)</f>
        <v/>
      </c>
      <c r="B422" s="2" t="str">
        <f>IF('[1]0.1 Produksi Pangan &amp; Penduduk'!B423="","",'[1]0.1 Produksi Pangan &amp; Penduduk'!B423)</f>
        <v/>
      </c>
      <c r="C422" s="2" t="str">
        <f>IF('[1]0.1 Produksi Pangan &amp; Penduduk'!F423="","",'[1]0.1 Produksi Pangan &amp; Penduduk'!F423)</f>
        <v/>
      </c>
      <c r="D422" s="3" t="str">
        <f>IF('[1]0.1 Produksi Pangan &amp; Penduduk'!D423="","",'[1]0.1 Produksi Pangan &amp; Penduduk'!D423)</f>
        <v/>
      </c>
      <c r="E422" s="3" t="str">
        <f>IF('[1]0.1 Produksi Pangan &amp; Penduduk'!E423="","",'[1]0.1 Produksi Pangan &amp; Penduduk'!E423)</f>
        <v/>
      </c>
      <c r="F422" s="59" t="str">
        <f>IF(D422="","",VLOOKUP(D422,'[1]0.1 Produksi Pangan &amp; Penduduk'!$D$5:$J$860,7,0))</f>
        <v/>
      </c>
      <c r="G422" s="27" t="str">
        <f t="shared" si="60"/>
        <v/>
      </c>
      <c r="H422" s="27" t="str">
        <f t="shared" si="61"/>
        <v/>
      </c>
      <c r="I422" s="27" t="str">
        <f t="shared" si="62"/>
        <v/>
      </c>
      <c r="J422" s="27" t="str">
        <f t="shared" si="63"/>
        <v/>
      </c>
      <c r="K422" s="27" t="str">
        <f t="shared" si="64"/>
        <v/>
      </c>
      <c r="L422" s="59" t="str">
        <f>IF(D422="","",VLOOKUP(D422,'[1]0.1 Produksi Pangan &amp; Penduduk'!$D$5:$M$860,10,0))</f>
        <v/>
      </c>
      <c r="M422" s="28" t="str">
        <f t="shared" si="65"/>
        <v/>
      </c>
      <c r="N422" s="60" t="str">
        <f t="shared" si="66"/>
        <v/>
      </c>
      <c r="O422" s="60" t="str">
        <f t="shared" si="67"/>
        <v/>
      </c>
      <c r="P422" s="60" t="str">
        <f t="shared" si="68"/>
        <v/>
      </c>
      <c r="Q422" s="28" t="str">
        <f t="shared" si="69"/>
        <v/>
      </c>
    </row>
    <row r="423" spans="1:17" ht="15" x14ac:dyDescent="0.25">
      <c r="A423" s="3" t="str">
        <f>IF('[1]0.1 Produksi Pangan &amp; Penduduk'!A424="","",'[1]0.1 Produksi Pangan &amp; Penduduk'!A424)</f>
        <v/>
      </c>
      <c r="B423" s="2" t="str">
        <f>IF('[1]0.1 Produksi Pangan &amp; Penduduk'!B424="","",'[1]0.1 Produksi Pangan &amp; Penduduk'!B424)</f>
        <v/>
      </c>
      <c r="C423" s="2" t="str">
        <f>IF('[1]0.1 Produksi Pangan &amp; Penduduk'!F424="","",'[1]0.1 Produksi Pangan &amp; Penduduk'!F424)</f>
        <v/>
      </c>
      <c r="D423" s="3" t="str">
        <f>IF('[1]0.1 Produksi Pangan &amp; Penduduk'!D424="","",'[1]0.1 Produksi Pangan &amp; Penduduk'!D424)</f>
        <v/>
      </c>
      <c r="E423" s="3" t="str">
        <f>IF('[1]0.1 Produksi Pangan &amp; Penduduk'!E424="","",'[1]0.1 Produksi Pangan &amp; Penduduk'!E424)</f>
        <v/>
      </c>
      <c r="F423" s="59" t="str">
        <f>IF(D423="","",VLOOKUP(D423,'[1]0.1 Produksi Pangan &amp; Penduduk'!$D$5:$J$860,7,0))</f>
        <v/>
      </c>
      <c r="G423" s="27" t="str">
        <f t="shared" si="60"/>
        <v/>
      </c>
      <c r="H423" s="27" t="str">
        <f t="shared" si="61"/>
        <v/>
      </c>
      <c r="I423" s="27" t="str">
        <f t="shared" si="62"/>
        <v/>
      </c>
      <c r="J423" s="27" t="str">
        <f t="shared" si="63"/>
        <v/>
      </c>
      <c r="K423" s="27" t="str">
        <f t="shared" si="64"/>
        <v/>
      </c>
      <c r="L423" s="59" t="str">
        <f>IF(D423="","",VLOOKUP(D423,'[1]0.1 Produksi Pangan &amp; Penduduk'!$D$5:$M$860,10,0))</f>
        <v/>
      </c>
      <c r="M423" s="28" t="str">
        <f t="shared" si="65"/>
        <v/>
      </c>
      <c r="N423" s="60" t="str">
        <f t="shared" si="66"/>
        <v/>
      </c>
      <c r="O423" s="60" t="str">
        <f t="shared" si="67"/>
        <v/>
      </c>
      <c r="P423" s="60" t="str">
        <f t="shared" si="68"/>
        <v/>
      </c>
      <c r="Q423" s="28" t="str">
        <f t="shared" si="69"/>
        <v/>
      </c>
    </row>
    <row r="424" spans="1:17" ht="15" x14ac:dyDescent="0.25">
      <c r="A424" s="3" t="str">
        <f>IF('[1]0.1 Produksi Pangan &amp; Penduduk'!A425="","",'[1]0.1 Produksi Pangan &amp; Penduduk'!A425)</f>
        <v/>
      </c>
      <c r="B424" s="2" t="str">
        <f>IF('[1]0.1 Produksi Pangan &amp; Penduduk'!B425="","",'[1]0.1 Produksi Pangan &amp; Penduduk'!B425)</f>
        <v/>
      </c>
      <c r="C424" s="2" t="str">
        <f>IF('[1]0.1 Produksi Pangan &amp; Penduduk'!F425="","",'[1]0.1 Produksi Pangan &amp; Penduduk'!F425)</f>
        <v/>
      </c>
      <c r="D424" s="3" t="str">
        <f>IF('[1]0.1 Produksi Pangan &amp; Penduduk'!D425="","",'[1]0.1 Produksi Pangan &amp; Penduduk'!D425)</f>
        <v/>
      </c>
      <c r="E424" s="3" t="str">
        <f>IF('[1]0.1 Produksi Pangan &amp; Penduduk'!E425="","",'[1]0.1 Produksi Pangan &amp; Penduduk'!E425)</f>
        <v/>
      </c>
      <c r="F424" s="59" t="str">
        <f>IF(D424="","",VLOOKUP(D424,'[1]0.1 Produksi Pangan &amp; Penduduk'!$D$5:$J$860,7,0))</f>
        <v/>
      </c>
      <c r="G424" s="27" t="str">
        <f t="shared" si="60"/>
        <v/>
      </c>
      <c r="H424" s="27" t="str">
        <f t="shared" si="61"/>
        <v/>
      </c>
      <c r="I424" s="27" t="str">
        <f t="shared" si="62"/>
        <v/>
      </c>
      <c r="J424" s="27" t="str">
        <f t="shared" si="63"/>
        <v/>
      </c>
      <c r="K424" s="27" t="str">
        <f t="shared" si="64"/>
        <v/>
      </c>
      <c r="L424" s="59" t="str">
        <f>IF(D424="","",VLOOKUP(D424,'[1]0.1 Produksi Pangan &amp; Penduduk'!$D$5:$M$860,10,0))</f>
        <v/>
      </c>
      <c r="M424" s="28" t="str">
        <f t="shared" si="65"/>
        <v/>
      </c>
      <c r="N424" s="60" t="str">
        <f t="shared" si="66"/>
        <v/>
      </c>
      <c r="O424" s="60" t="str">
        <f t="shared" si="67"/>
        <v/>
      </c>
      <c r="P424" s="60" t="str">
        <f t="shared" si="68"/>
        <v/>
      </c>
      <c r="Q424" s="28" t="str">
        <f t="shared" si="69"/>
        <v/>
      </c>
    </row>
    <row r="425" spans="1:17" ht="15" x14ac:dyDescent="0.25">
      <c r="A425" s="3" t="str">
        <f>IF('[1]0.1 Produksi Pangan &amp; Penduduk'!A426="","",'[1]0.1 Produksi Pangan &amp; Penduduk'!A426)</f>
        <v/>
      </c>
      <c r="B425" s="2" t="str">
        <f>IF('[1]0.1 Produksi Pangan &amp; Penduduk'!B426="","",'[1]0.1 Produksi Pangan &amp; Penduduk'!B426)</f>
        <v/>
      </c>
      <c r="C425" s="2" t="str">
        <f>IF('[1]0.1 Produksi Pangan &amp; Penduduk'!F426="","",'[1]0.1 Produksi Pangan &amp; Penduduk'!F426)</f>
        <v/>
      </c>
      <c r="D425" s="3" t="str">
        <f>IF('[1]0.1 Produksi Pangan &amp; Penduduk'!D426="","",'[1]0.1 Produksi Pangan &amp; Penduduk'!D426)</f>
        <v/>
      </c>
      <c r="E425" s="3" t="str">
        <f>IF('[1]0.1 Produksi Pangan &amp; Penduduk'!E426="","",'[1]0.1 Produksi Pangan &amp; Penduduk'!E426)</f>
        <v/>
      </c>
      <c r="F425" s="59" t="str">
        <f>IF(D425="","",VLOOKUP(D425,'[1]0.1 Produksi Pangan &amp; Penduduk'!$D$5:$J$860,7,0))</f>
        <v/>
      </c>
      <c r="G425" s="27" t="str">
        <f t="shared" si="60"/>
        <v/>
      </c>
      <c r="H425" s="27" t="str">
        <f t="shared" si="61"/>
        <v/>
      </c>
      <c r="I425" s="27" t="str">
        <f t="shared" si="62"/>
        <v/>
      </c>
      <c r="J425" s="27" t="str">
        <f t="shared" si="63"/>
        <v/>
      </c>
      <c r="K425" s="27" t="str">
        <f t="shared" si="64"/>
        <v/>
      </c>
      <c r="L425" s="59" t="str">
        <f>IF(D425="","",VLOOKUP(D425,'[1]0.1 Produksi Pangan &amp; Penduduk'!$D$5:$M$860,10,0))</f>
        <v/>
      </c>
      <c r="M425" s="28" t="str">
        <f t="shared" si="65"/>
        <v/>
      </c>
      <c r="N425" s="60" t="str">
        <f t="shared" si="66"/>
        <v/>
      </c>
      <c r="O425" s="60" t="str">
        <f t="shared" si="67"/>
        <v/>
      </c>
      <c r="P425" s="60" t="str">
        <f t="shared" si="68"/>
        <v/>
      </c>
      <c r="Q425" s="28" t="str">
        <f t="shared" si="69"/>
        <v/>
      </c>
    </row>
    <row r="426" spans="1:17" ht="15" x14ac:dyDescent="0.25">
      <c r="A426" s="3" t="str">
        <f>IF('[1]0.1 Produksi Pangan &amp; Penduduk'!A427="","",'[1]0.1 Produksi Pangan &amp; Penduduk'!A427)</f>
        <v/>
      </c>
      <c r="B426" s="2" t="str">
        <f>IF('[1]0.1 Produksi Pangan &amp; Penduduk'!B427="","",'[1]0.1 Produksi Pangan &amp; Penduduk'!B427)</f>
        <v/>
      </c>
      <c r="C426" s="2" t="str">
        <f>IF('[1]0.1 Produksi Pangan &amp; Penduduk'!F427="","",'[1]0.1 Produksi Pangan &amp; Penduduk'!F427)</f>
        <v/>
      </c>
      <c r="D426" s="3" t="str">
        <f>IF('[1]0.1 Produksi Pangan &amp; Penduduk'!D427="","",'[1]0.1 Produksi Pangan &amp; Penduduk'!D427)</f>
        <v/>
      </c>
      <c r="E426" s="3" t="str">
        <f>IF('[1]0.1 Produksi Pangan &amp; Penduduk'!E427="","",'[1]0.1 Produksi Pangan &amp; Penduduk'!E427)</f>
        <v/>
      </c>
      <c r="F426" s="59" t="str">
        <f>IF(D426="","",VLOOKUP(D426,'[1]0.1 Produksi Pangan &amp; Penduduk'!$D$5:$J$860,7,0))</f>
        <v/>
      </c>
      <c r="G426" s="27" t="str">
        <f t="shared" si="60"/>
        <v/>
      </c>
      <c r="H426" s="27" t="str">
        <f t="shared" si="61"/>
        <v/>
      </c>
      <c r="I426" s="27" t="str">
        <f t="shared" si="62"/>
        <v/>
      </c>
      <c r="J426" s="27" t="str">
        <f t="shared" si="63"/>
        <v/>
      </c>
      <c r="K426" s="27" t="str">
        <f t="shared" si="64"/>
        <v/>
      </c>
      <c r="L426" s="59" t="str">
        <f>IF(D426="","",VLOOKUP(D426,'[1]0.1 Produksi Pangan &amp; Penduduk'!$D$5:$M$860,10,0))</f>
        <v/>
      </c>
      <c r="M426" s="28" t="str">
        <f t="shared" si="65"/>
        <v/>
      </c>
      <c r="N426" s="60" t="str">
        <f t="shared" si="66"/>
        <v/>
      </c>
      <c r="O426" s="60" t="str">
        <f t="shared" si="67"/>
        <v/>
      </c>
      <c r="P426" s="60" t="str">
        <f t="shared" si="68"/>
        <v/>
      </c>
      <c r="Q426" s="28" t="str">
        <f t="shared" si="69"/>
        <v/>
      </c>
    </row>
    <row r="427" spans="1:17" ht="15" x14ac:dyDescent="0.25">
      <c r="A427" s="3" t="str">
        <f>IF('[1]0.1 Produksi Pangan &amp; Penduduk'!A428="","",'[1]0.1 Produksi Pangan &amp; Penduduk'!A428)</f>
        <v/>
      </c>
      <c r="B427" s="2" t="str">
        <f>IF('[1]0.1 Produksi Pangan &amp; Penduduk'!B428="","",'[1]0.1 Produksi Pangan &amp; Penduduk'!B428)</f>
        <v/>
      </c>
      <c r="C427" s="2" t="str">
        <f>IF('[1]0.1 Produksi Pangan &amp; Penduduk'!F428="","",'[1]0.1 Produksi Pangan &amp; Penduduk'!F428)</f>
        <v/>
      </c>
      <c r="D427" s="3" t="str">
        <f>IF('[1]0.1 Produksi Pangan &amp; Penduduk'!D428="","",'[1]0.1 Produksi Pangan &amp; Penduduk'!D428)</f>
        <v/>
      </c>
      <c r="E427" s="3" t="str">
        <f>IF('[1]0.1 Produksi Pangan &amp; Penduduk'!E428="","",'[1]0.1 Produksi Pangan &amp; Penduduk'!E428)</f>
        <v/>
      </c>
      <c r="F427" s="59" t="str">
        <f>IF(D427="","",VLOOKUP(D427,'[1]0.1 Produksi Pangan &amp; Penduduk'!$D$5:$J$860,7,0))</f>
        <v/>
      </c>
      <c r="G427" s="27" t="str">
        <f t="shared" si="60"/>
        <v/>
      </c>
      <c r="H427" s="27" t="str">
        <f t="shared" si="61"/>
        <v/>
      </c>
      <c r="I427" s="27" t="str">
        <f t="shared" si="62"/>
        <v/>
      </c>
      <c r="J427" s="27" t="str">
        <f t="shared" si="63"/>
        <v/>
      </c>
      <c r="K427" s="27" t="str">
        <f t="shared" si="64"/>
        <v/>
      </c>
      <c r="L427" s="59" t="str">
        <f>IF(D427="","",VLOOKUP(D427,'[1]0.1 Produksi Pangan &amp; Penduduk'!$D$5:$M$860,10,0))</f>
        <v/>
      </c>
      <c r="M427" s="28" t="str">
        <f t="shared" si="65"/>
        <v/>
      </c>
      <c r="N427" s="60" t="str">
        <f t="shared" si="66"/>
        <v/>
      </c>
      <c r="O427" s="60" t="str">
        <f t="shared" si="67"/>
        <v/>
      </c>
      <c r="P427" s="60" t="str">
        <f t="shared" si="68"/>
        <v/>
      </c>
      <c r="Q427" s="28" t="str">
        <f t="shared" si="69"/>
        <v/>
      </c>
    </row>
    <row r="428" spans="1:17" ht="15" x14ac:dyDescent="0.25">
      <c r="A428" s="3" t="str">
        <f>IF('[1]0.1 Produksi Pangan &amp; Penduduk'!A429="","",'[1]0.1 Produksi Pangan &amp; Penduduk'!A429)</f>
        <v/>
      </c>
      <c r="B428" s="2" t="str">
        <f>IF('[1]0.1 Produksi Pangan &amp; Penduduk'!B429="","",'[1]0.1 Produksi Pangan &amp; Penduduk'!B429)</f>
        <v/>
      </c>
      <c r="C428" s="2" t="str">
        <f>IF('[1]0.1 Produksi Pangan &amp; Penduduk'!F429="","",'[1]0.1 Produksi Pangan &amp; Penduduk'!F429)</f>
        <v/>
      </c>
      <c r="D428" s="3" t="str">
        <f>IF('[1]0.1 Produksi Pangan &amp; Penduduk'!D429="","",'[1]0.1 Produksi Pangan &amp; Penduduk'!D429)</f>
        <v/>
      </c>
      <c r="E428" s="3" t="str">
        <f>IF('[1]0.1 Produksi Pangan &amp; Penduduk'!E429="","",'[1]0.1 Produksi Pangan &amp; Penduduk'!E429)</f>
        <v/>
      </c>
      <c r="F428" s="59" t="str">
        <f>IF(D428="","",VLOOKUP(D428,'[1]0.1 Produksi Pangan &amp; Penduduk'!$D$5:$J$860,7,0))</f>
        <v/>
      </c>
      <c r="G428" s="27" t="str">
        <f t="shared" si="60"/>
        <v/>
      </c>
      <c r="H428" s="27" t="str">
        <f t="shared" si="61"/>
        <v/>
      </c>
      <c r="I428" s="27" t="str">
        <f t="shared" si="62"/>
        <v/>
      </c>
      <c r="J428" s="27" t="str">
        <f t="shared" si="63"/>
        <v/>
      </c>
      <c r="K428" s="27" t="str">
        <f t="shared" si="64"/>
        <v/>
      </c>
      <c r="L428" s="59" t="str">
        <f>IF(D428="","",VLOOKUP(D428,'[1]0.1 Produksi Pangan &amp; Penduduk'!$D$5:$M$860,10,0))</f>
        <v/>
      </c>
      <c r="M428" s="28" t="str">
        <f t="shared" si="65"/>
        <v/>
      </c>
      <c r="N428" s="60" t="str">
        <f t="shared" si="66"/>
        <v/>
      </c>
      <c r="O428" s="60" t="str">
        <f t="shared" si="67"/>
        <v/>
      </c>
      <c r="P428" s="60" t="str">
        <f t="shared" si="68"/>
        <v/>
      </c>
      <c r="Q428" s="28" t="str">
        <f t="shared" si="69"/>
        <v/>
      </c>
    </row>
    <row r="429" spans="1:17" ht="15" x14ac:dyDescent="0.25">
      <c r="A429" s="3" t="str">
        <f>IF('[1]0.1 Produksi Pangan &amp; Penduduk'!A430="","",'[1]0.1 Produksi Pangan &amp; Penduduk'!A430)</f>
        <v/>
      </c>
      <c r="B429" s="2" t="str">
        <f>IF('[1]0.1 Produksi Pangan &amp; Penduduk'!B430="","",'[1]0.1 Produksi Pangan &amp; Penduduk'!B430)</f>
        <v/>
      </c>
      <c r="C429" s="2" t="str">
        <f>IF('[1]0.1 Produksi Pangan &amp; Penduduk'!F430="","",'[1]0.1 Produksi Pangan &amp; Penduduk'!F430)</f>
        <v/>
      </c>
      <c r="D429" s="3" t="str">
        <f>IF('[1]0.1 Produksi Pangan &amp; Penduduk'!D430="","",'[1]0.1 Produksi Pangan &amp; Penduduk'!D430)</f>
        <v/>
      </c>
      <c r="E429" s="3" t="str">
        <f>IF('[1]0.1 Produksi Pangan &amp; Penduduk'!E430="","",'[1]0.1 Produksi Pangan &amp; Penduduk'!E430)</f>
        <v/>
      </c>
      <c r="F429" s="59" t="str">
        <f>IF(D429="","",VLOOKUP(D429,'[1]0.1 Produksi Pangan &amp; Penduduk'!$D$5:$J$860,7,0))</f>
        <v/>
      </c>
      <c r="G429" s="27" t="str">
        <f t="shared" si="60"/>
        <v/>
      </c>
      <c r="H429" s="27" t="str">
        <f t="shared" si="61"/>
        <v/>
      </c>
      <c r="I429" s="27" t="str">
        <f t="shared" si="62"/>
        <v/>
      </c>
      <c r="J429" s="27" t="str">
        <f t="shared" si="63"/>
        <v/>
      </c>
      <c r="K429" s="27" t="str">
        <f t="shared" si="64"/>
        <v/>
      </c>
      <c r="L429" s="59" t="str">
        <f>IF(D429="","",VLOOKUP(D429,'[1]0.1 Produksi Pangan &amp; Penduduk'!$D$5:$M$860,10,0))</f>
        <v/>
      </c>
      <c r="M429" s="28" t="str">
        <f t="shared" si="65"/>
        <v/>
      </c>
      <c r="N429" s="60" t="str">
        <f t="shared" si="66"/>
        <v/>
      </c>
      <c r="O429" s="60" t="str">
        <f t="shared" si="67"/>
        <v/>
      </c>
      <c r="P429" s="60" t="str">
        <f t="shared" si="68"/>
        <v/>
      </c>
      <c r="Q429" s="28" t="str">
        <f t="shared" si="69"/>
        <v/>
      </c>
    </row>
    <row r="430" spans="1:17" ht="15" x14ac:dyDescent="0.25">
      <c r="A430" s="3" t="str">
        <f>IF('[1]0.1 Produksi Pangan &amp; Penduduk'!A431="","",'[1]0.1 Produksi Pangan &amp; Penduduk'!A431)</f>
        <v/>
      </c>
      <c r="B430" s="2" t="str">
        <f>IF('[1]0.1 Produksi Pangan &amp; Penduduk'!B431="","",'[1]0.1 Produksi Pangan &amp; Penduduk'!B431)</f>
        <v/>
      </c>
      <c r="C430" s="2" t="str">
        <f>IF('[1]0.1 Produksi Pangan &amp; Penduduk'!F431="","",'[1]0.1 Produksi Pangan &amp; Penduduk'!F431)</f>
        <v/>
      </c>
      <c r="D430" s="3" t="str">
        <f>IF('[1]0.1 Produksi Pangan &amp; Penduduk'!D431="","",'[1]0.1 Produksi Pangan &amp; Penduduk'!D431)</f>
        <v/>
      </c>
      <c r="E430" s="3" t="str">
        <f>IF('[1]0.1 Produksi Pangan &amp; Penduduk'!E431="","",'[1]0.1 Produksi Pangan &amp; Penduduk'!E431)</f>
        <v/>
      </c>
      <c r="F430" s="59" t="str">
        <f>IF(D430="","",VLOOKUP(D430,'[1]0.1 Produksi Pangan &amp; Penduduk'!$D$5:$J$860,7,0))</f>
        <v/>
      </c>
      <c r="G430" s="27" t="str">
        <f t="shared" si="60"/>
        <v/>
      </c>
      <c r="H430" s="27" t="str">
        <f t="shared" si="61"/>
        <v/>
      </c>
      <c r="I430" s="27" t="str">
        <f t="shared" si="62"/>
        <v/>
      </c>
      <c r="J430" s="27" t="str">
        <f t="shared" si="63"/>
        <v/>
      </c>
      <c r="K430" s="27" t="str">
        <f t="shared" si="64"/>
        <v/>
      </c>
      <c r="L430" s="59" t="str">
        <f>IF(D430="","",VLOOKUP(D430,'[1]0.1 Produksi Pangan &amp; Penduduk'!$D$5:$M$860,10,0))</f>
        <v/>
      </c>
      <c r="M430" s="28" t="str">
        <f t="shared" si="65"/>
        <v/>
      </c>
      <c r="N430" s="60" t="str">
        <f t="shared" si="66"/>
        <v/>
      </c>
      <c r="O430" s="60" t="str">
        <f t="shared" si="67"/>
        <v/>
      </c>
      <c r="P430" s="60" t="str">
        <f t="shared" si="68"/>
        <v/>
      </c>
      <c r="Q430" s="28" t="str">
        <f t="shared" si="69"/>
        <v/>
      </c>
    </row>
    <row r="431" spans="1:17" ht="15" x14ac:dyDescent="0.25">
      <c r="A431" s="3" t="str">
        <f>IF('[1]0.1 Produksi Pangan &amp; Penduduk'!A432="","",'[1]0.1 Produksi Pangan &amp; Penduduk'!A432)</f>
        <v/>
      </c>
      <c r="B431" s="2" t="str">
        <f>IF('[1]0.1 Produksi Pangan &amp; Penduduk'!B432="","",'[1]0.1 Produksi Pangan &amp; Penduduk'!B432)</f>
        <v/>
      </c>
      <c r="C431" s="2" t="str">
        <f>IF('[1]0.1 Produksi Pangan &amp; Penduduk'!F432="","",'[1]0.1 Produksi Pangan &amp; Penduduk'!F432)</f>
        <v/>
      </c>
      <c r="D431" s="3" t="str">
        <f>IF('[1]0.1 Produksi Pangan &amp; Penduduk'!D432="","",'[1]0.1 Produksi Pangan &amp; Penduduk'!D432)</f>
        <v/>
      </c>
      <c r="E431" s="3" t="str">
        <f>IF('[1]0.1 Produksi Pangan &amp; Penduduk'!E432="","",'[1]0.1 Produksi Pangan &amp; Penduduk'!E432)</f>
        <v/>
      </c>
      <c r="F431" s="59" t="str">
        <f>IF(D431="","",VLOOKUP(D431,'[1]0.1 Produksi Pangan &amp; Penduduk'!$D$5:$J$860,7,0))</f>
        <v/>
      </c>
      <c r="G431" s="27" t="str">
        <f t="shared" si="60"/>
        <v/>
      </c>
      <c r="H431" s="27" t="str">
        <f t="shared" si="61"/>
        <v/>
      </c>
      <c r="I431" s="27" t="str">
        <f t="shared" si="62"/>
        <v/>
      </c>
      <c r="J431" s="27" t="str">
        <f t="shared" si="63"/>
        <v/>
      </c>
      <c r="K431" s="27" t="str">
        <f t="shared" si="64"/>
        <v/>
      </c>
      <c r="L431" s="59" t="str">
        <f>IF(D431="","",VLOOKUP(D431,'[1]0.1 Produksi Pangan &amp; Penduduk'!$D$5:$M$860,10,0))</f>
        <v/>
      </c>
      <c r="M431" s="28" t="str">
        <f t="shared" si="65"/>
        <v/>
      </c>
      <c r="N431" s="60" t="str">
        <f t="shared" si="66"/>
        <v/>
      </c>
      <c r="O431" s="60" t="str">
        <f t="shared" si="67"/>
        <v/>
      </c>
      <c r="P431" s="60" t="str">
        <f t="shared" si="68"/>
        <v/>
      </c>
      <c r="Q431" s="28" t="str">
        <f t="shared" si="69"/>
        <v/>
      </c>
    </row>
    <row r="432" spans="1:17" ht="15" x14ac:dyDescent="0.25">
      <c r="A432" s="3" t="str">
        <f>IF('[1]0.1 Produksi Pangan &amp; Penduduk'!A433="","",'[1]0.1 Produksi Pangan &amp; Penduduk'!A433)</f>
        <v/>
      </c>
      <c r="B432" s="2" t="str">
        <f>IF('[1]0.1 Produksi Pangan &amp; Penduduk'!B433="","",'[1]0.1 Produksi Pangan &amp; Penduduk'!B433)</f>
        <v/>
      </c>
      <c r="C432" s="2" t="str">
        <f>IF('[1]0.1 Produksi Pangan &amp; Penduduk'!F433="","",'[1]0.1 Produksi Pangan &amp; Penduduk'!F433)</f>
        <v/>
      </c>
      <c r="D432" s="3" t="str">
        <f>IF('[1]0.1 Produksi Pangan &amp; Penduduk'!D433="","",'[1]0.1 Produksi Pangan &amp; Penduduk'!D433)</f>
        <v/>
      </c>
      <c r="E432" s="3" t="str">
        <f>IF('[1]0.1 Produksi Pangan &amp; Penduduk'!E433="","",'[1]0.1 Produksi Pangan &amp; Penduduk'!E433)</f>
        <v/>
      </c>
      <c r="F432" s="59" t="str">
        <f>IF(D432="","",VLOOKUP(D432,'[1]0.1 Produksi Pangan &amp; Penduduk'!$D$5:$J$860,7,0))</f>
        <v/>
      </c>
      <c r="G432" s="27" t="str">
        <f t="shared" si="60"/>
        <v/>
      </c>
      <c r="H432" s="27" t="str">
        <f t="shared" si="61"/>
        <v/>
      </c>
      <c r="I432" s="27" t="str">
        <f t="shared" si="62"/>
        <v/>
      </c>
      <c r="J432" s="27" t="str">
        <f t="shared" si="63"/>
        <v/>
      </c>
      <c r="K432" s="27" t="str">
        <f t="shared" si="64"/>
        <v/>
      </c>
      <c r="L432" s="59" t="str">
        <f>IF(D432="","",VLOOKUP(D432,'[1]0.1 Produksi Pangan &amp; Penduduk'!$D$5:$M$860,10,0))</f>
        <v/>
      </c>
      <c r="M432" s="28" t="str">
        <f t="shared" si="65"/>
        <v/>
      </c>
      <c r="N432" s="60" t="str">
        <f t="shared" si="66"/>
        <v/>
      </c>
      <c r="O432" s="60" t="str">
        <f t="shared" si="67"/>
        <v/>
      </c>
      <c r="P432" s="60" t="str">
        <f t="shared" si="68"/>
        <v/>
      </c>
      <c r="Q432" s="28" t="str">
        <f t="shared" si="69"/>
        <v/>
      </c>
    </row>
    <row r="433" spans="1:17" ht="15" x14ac:dyDescent="0.25">
      <c r="A433" s="3" t="str">
        <f>IF('[1]0.1 Produksi Pangan &amp; Penduduk'!A434="","",'[1]0.1 Produksi Pangan &amp; Penduduk'!A434)</f>
        <v/>
      </c>
      <c r="B433" s="2" t="str">
        <f>IF('[1]0.1 Produksi Pangan &amp; Penduduk'!B434="","",'[1]0.1 Produksi Pangan &amp; Penduduk'!B434)</f>
        <v/>
      </c>
      <c r="C433" s="2" t="str">
        <f>IF('[1]0.1 Produksi Pangan &amp; Penduduk'!F434="","",'[1]0.1 Produksi Pangan &amp; Penduduk'!F434)</f>
        <v/>
      </c>
      <c r="D433" s="3" t="str">
        <f>IF('[1]0.1 Produksi Pangan &amp; Penduduk'!D434="","",'[1]0.1 Produksi Pangan &amp; Penduduk'!D434)</f>
        <v/>
      </c>
      <c r="E433" s="3" t="str">
        <f>IF('[1]0.1 Produksi Pangan &amp; Penduduk'!E434="","",'[1]0.1 Produksi Pangan &amp; Penduduk'!E434)</f>
        <v/>
      </c>
      <c r="F433" s="59" t="str">
        <f>IF(D433="","",VLOOKUP(D433,'[1]0.1 Produksi Pangan &amp; Penduduk'!$D$5:$J$860,7,0))</f>
        <v/>
      </c>
      <c r="G433" s="27" t="str">
        <f t="shared" si="60"/>
        <v/>
      </c>
      <c r="H433" s="27" t="str">
        <f t="shared" si="61"/>
        <v/>
      </c>
      <c r="I433" s="27" t="str">
        <f t="shared" si="62"/>
        <v/>
      </c>
      <c r="J433" s="27" t="str">
        <f t="shared" si="63"/>
        <v/>
      </c>
      <c r="K433" s="27" t="str">
        <f t="shared" si="64"/>
        <v/>
      </c>
      <c r="L433" s="59" t="str">
        <f>IF(D433="","",VLOOKUP(D433,'[1]0.1 Produksi Pangan &amp; Penduduk'!$D$5:$M$860,10,0))</f>
        <v/>
      </c>
      <c r="M433" s="28" t="str">
        <f t="shared" si="65"/>
        <v/>
      </c>
      <c r="N433" s="60" t="str">
        <f t="shared" si="66"/>
        <v/>
      </c>
      <c r="O433" s="60" t="str">
        <f t="shared" si="67"/>
        <v/>
      </c>
      <c r="P433" s="60" t="str">
        <f t="shared" si="68"/>
        <v/>
      </c>
      <c r="Q433" s="28" t="str">
        <f t="shared" si="69"/>
        <v/>
      </c>
    </row>
    <row r="434" spans="1:17" ht="15" x14ac:dyDescent="0.25">
      <c r="A434" s="3" t="str">
        <f>IF('[1]0.1 Produksi Pangan &amp; Penduduk'!A435="","",'[1]0.1 Produksi Pangan &amp; Penduduk'!A435)</f>
        <v/>
      </c>
      <c r="B434" s="2" t="str">
        <f>IF('[1]0.1 Produksi Pangan &amp; Penduduk'!B435="","",'[1]0.1 Produksi Pangan &amp; Penduduk'!B435)</f>
        <v/>
      </c>
      <c r="C434" s="2" t="str">
        <f>IF('[1]0.1 Produksi Pangan &amp; Penduduk'!F435="","",'[1]0.1 Produksi Pangan &amp; Penduduk'!F435)</f>
        <v/>
      </c>
      <c r="D434" s="3" t="str">
        <f>IF('[1]0.1 Produksi Pangan &amp; Penduduk'!D435="","",'[1]0.1 Produksi Pangan &amp; Penduduk'!D435)</f>
        <v/>
      </c>
      <c r="E434" s="3" t="str">
        <f>IF('[1]0.1 Produksi Pangan &amp; Penduduk'!E435="","",'[1]0.1 Produksi Pangan &amp; Penduduk'!E435)</f>
        <v/>
      </c>
      <c r="F434" s="59" t="str">
        <f>IF(D434="","",VLOOKUP(D434,'[1]0.1 Produksi Pangan &amp; Penduduk'!$D$5:$J$860,7,0))</f>
        <v/>
      </c>
      <c r="G434" s="27" t="str">
        <f t="shared" si="60"/>
        <v/>
      </c>
      <c r="H434" s="27" t="str">
        <f t="shared" si="61"/>
        <v/>
      </c>
      <c r="I434" s="27" t="str">
        <f t="shared" si="62"/>
        <v/>
      </c>
      <c r="J434" s="27" t="str">
        <f t="shared" si="63"/>
        <v/>
      </c>
      <c r="K434" s="27" t="str">
        <f t="shared" si="64"/>
        <v/>
      </c>
      <c r="L434" s="59" t="str">
        <f>IF(D434="","",VLOOKUP(D434,'[1]0.1 Produksi Pangan &amp; Penduduk'!$D$5:$M$860,10,0))</f>
        <v/>
      </c>
      <c r="M434" s="28" t="str">
        <f t="shared" si="65"/>
        <v/>
      </c>
      <c r="N434" s="60" t="str">
        <f t="shared" si="66"/>
        <v/>
      </c>
      <c r="O434" s="60" t="str">
        <f t="shared" si="67"/>
        <v/>
      </c>
      <c r="P434" s="60" t="str">
        <f t="shared" si="68"/>
        <v/>
      </c>
      <c r="Q434" s="28" t="str">
        <f t="shared" si="69"/>
        <v/>
      </c>
    </row>
    <row r="435" spans="1:17" ht="15" x14ac:dyDescent="0.25">
      <c r="A435" s="3" t="str">
        <f>IF('[1]0.1 Produksi Pangan &amp; Penduduk'!A436="","",'[1]0.1 Produksi Pangan &amp; Penduduk'!A436)</f>
        <v/>
      </c>
      <c r="B435" s="2" t="str">
        <f>IF('[1]0.1 Produksi Pangan &amp; Penduduk'!B436="","",'[1]0.1 Produksi Pangan &amp; Penduduk'!B436)</f>
        <v/>
      </c>
      <c r="C435" s="2" t="str">
        <f>IF('[1]0.1 Produksi Pangan &amp; Penduduk'!F436="","",'[1]0.1 Produksi Pangan &amp; Penduduk'!F436)</f>
        <v/>
      </c>
      <c r="D435" s="3" t="str">
        <f>IF('[1]0.1 Produksi Pangan &amp; Penduduk'!D436="","",'[1]0.1 Produksi Pangan &amp; Penduduk'!D436)</f>
        <v/>
      </c>
      <c r="E435" s="3" t="str">
        <f>IF('[1]0.1 Produksi Pangan &amp; Penduduk'!E436="","",'[1]0.1 Produksi Pangan &amp; Penduduk'!E436)</f>
        <v/>
      </c>
      <c r="F435" s="59" t="str">
        <f>IF(D435="","",VLOOKUP(D435,'[1]0.1 Produksi Pangan &amp; Penduduk'!$D$5:$J$860,7,0))</f>
        <v/>
      </c>
      <c r="G435" s="27" t="str">
        <f t="shared" si="60"/>
        <v/>
      </c>
      <c r="H435" s="27" t="str">
        <f t="shared" si="61"/>
        <v/>
      </c>
      <c r="I435" s="27" t="str">
        <f t="shared" si="62"/>
        <v/>
      </c>
      <c r="J435" s="27" t="str">
        <f t="shared" si="63"/>
        <v/>
      </c>
      <c r="K435" s="27" t="str">
        <f t="shared" si="64"/>
        <v/>
      </c>
      <c r="L435" s="59" t="str">
        <f>IF(D435="","",VLOOKUP(D435,'[1]0.1 Produksi Pangan &amp; Penduduk'!$D$5:$M$860,10,0))</f>
        <v/>
      </c>
      <c r="M435" s="28" t="str">
        <f t="shared" si="65"/>
        <v/>
      </c>
      <c r="N435" s="60" t="str">
        <f t="shared" si="66"/>
        <v/>
      </c>
      <c r="O435" s="60" t="str">
        <f t="shared" si="67"/>
        <v/>
      </c>
      <c r="P435" s="60" t="str">
        <f t="shared" si="68"/>
        <v/>
      </c>
      <c r="Q435" s="28" t="str">
        <f t="shared" si="69"/>
        <v/>
      </c>
    </row>
    <row r="436" spans="1:17" ht="15" x14ac:dyDescent="0.25">
      <c r="A436" s="3" t="str">
        <f>IF('[1]0.1 Produksi Pangan &amp; Penduduk'!A437="","",'[1]0.1 Produksi Pangan &amp; Penduduk'!A437)</f>
        <v/>
      </c>
      <c r="B436" s="2" t="str">
        <f>IF('[1]0.1 Produksi Pangan &amp; Penduduk'!B437="","",'[1]0.1 Produksi Pangan &amp; Penduduk'!B437)</f>
        <v/>
      </c>
      <c r="C436" s="2" t="str">
        <f>IF('[1]0.1 Produksi Pangan &amp; Penduduk'!F437="","",'[1]0.1 Produksi Pangan &amp; Penduduk'!F437)</f>
        <v/>
      </c>
      <c r="D436" s="3" t="str">
        <f>IF('[1]0.1 Produksi Pangan &amp; Penduduk'!D437="","",'[1]0.1 Produksi Pangan &amp; Penduduk'!D437)</f>
        <v/>
      </c>
      <c r="E436" s="3" t="str">
        <f>IF('[1]0.1 Produksi Pangan &amp; Penduduk'!E437="","",'[1]0.1 Produksi Pangan &amp; Penduduk'!E437)</f>
        <v/>
      </c>
      <c r="F436" s="59" t="str">
        <f>IF(D436="","",VLOOKUP(D436,'[1]0.1 Produksi Pangan &amp; Penduduk'!$D$5:$J$860,7,0))</f>
        <v/>
      </c>
      <c r="G436" s="27" t="str">
        <f t="shared" si="60"/>
        <v/>
      </c>
      <c r="H436" s="27" t="str">
        <f t="shared" si="61"/>
        <v/>
      </c>
      <c r="I436" s="27" t="str">
        <f t="shared" si="62"/>
        <v/>
      </c>
      <c r="J436" s="27" t="str">
        <f t="shared" si="63"/>
        <v/>
      </c>
      <c r="K436" s="27" t="str">
        <f t="shared" si="64"/>
        <v/>
      </c>
      <c r="L436" s="59" t="str">
        <f>IF(D436="","",VLOOKUP(D436,'[1]0.1 Produksi Pangan &amp; Penduduk'!$D$5:$M$860,10,0))</f>
        <v/>
      </c>
      <c r="M436" s="28" t="str">
        <f t="shared" si="65"/>
        <v/>
      </c>
      <c r="N436" s="60" t="str">
        <f t="shared" si="66"/>
        <v/>
      </c>
      <c r="O436" s="60" t="str">
        <f t="shared" si="67"/>
        <v/>
      </c>
      <c r="P436" s="60" t="str">
        <f t="shared" si="68"/>
        <v/>
      </c>
      <c r="Q436" s="28" t="str">
        <f t="shared" si="69"/>
        <v/>
      </c>
    </row>
    <row r="437" spans="1:17" ht="15" x14ac:dyDescent="0.25">
      <c r="A437" s="3" t="str">
        <f>IF('[1]0.1 Produksi Pangan &amp; Penduduk'!A438="","",'[1]0.1 Produksi Pangan &amp; Penduduk'!A438)</f>
        <v/>
      </c>
      <c r="B437" s="2" t="str">
        <f>IF('[1]0.1 Produksi Pangan &amp; Penduduk'!B438="","",'[1]0.1 Produksi Pangan &amp; Penduduk'!B438)</f>
        <v/>
      </c>
      <c r="C437" s="2" t="str">
        <f>IF('[1]0.1 Produksi Pangan &amp; Penduduk'!F438="","",'[1]0.1 Produksi Pangan &amp; Penduduk'!F438)</f>
        <v/>
      </c>
      <c r="D437" s="3" t="str">
        <f>IF('[1]0.1 Produksi Pangan &amp; Penduduk'!D438="","",'[1]0.1 Produksi Pangan &amp; Penduduk'!D438)</f>
        <v/>
      </c>
      <c r="E437" s="3" t="str">
        <f>IF('[1]0.1 Produksi Pangan &amp; Penduduk'!E438="","",'[1]0.1 Produksi Pangan &amp; Penduduk'!E438)</f>
        <v/>
      </c>
      <c r="F437" s="59" t="str">
        <f>IF(D437="","",VLOOKUP(D437,'[1]0.1 Produksi Pangan &amp; Penduduk'!$D$5:$J$860,7,0))</f>
        <v/>
      </c>
      <c r="G437" s="27" t="str">
        <f t="shared" si="60"/>
        <v/>
      </c>
      <c r="H437" s="27" t="str">
        <f t="shared" si="61"/>
        <v/>
      </c>
      <c r="I437" s="27" t="str">
        <f t="shared" si="62"/>
        <v/>
      </c>
      <c r="J437" s="27" t="str">
        <f t="shared" si="63"/>
        <v/>
      </c>
      <c r="K437" s="27" t="str">
        <f t="shared" si="64"/>
        <v/>
      </c>
      <c r="L437" s="59" t="str">
        <f>IF(D437="","",VLOOKUP(D437,'[1]0.1 Produksi Pangan &amp; Penduduk'!$D$5:$M$860,10,0))</f>
        <v/>
      </c>
      <c r="M437" s="28" t="str">
        <f t="shared" si="65"/>
        <v/>
      </c>
      <c r="N437" s="60" t="str">
        <f t="shared" si="66"/>
        <v/>
      </c>
      <c r="O437" s="60" t="str">
        <f t="shared" si="67"/>
        <v/>
      </c>
      <c r="P437" s="60" t="str">
        <f t="shared" si="68"/>
        <v/>
      </c>
      <c r="Q437" s="28" t="str">
        <f t="shared" si="69"/>
        <v/>
      </c>
    </row>
    <row r="438" spans="1:17" ht="15" x14ac:dyDescent="0.25">
      <c r="A438" s="3" t="str">
        <f>IF('[1]0.1 Produksi Pangan &amp; Penduduk'!A439="","",'[1]0.1 Produksi Pangan &amp; Penduduk'!A439)</f>
        <v/>
      </c>
      <c r="B438" s="2" t="str">
        <f>IF('[1]0.1 Produksi Pangan &amp; Penduduk'!B439="","",'[1]0.1 Produksi Pangan &amp; Penduduk'!B439)</f>
        <v/>
      </c>
      <c r="C438" s="2" t="str">
        <f>IF('[1]0.1 Produksi Pangan &amp; Penduduk'!F439="","",'[1]0.1 Produksi Pangan &amp; Penduduk'!F439)</f>
        <v/>
      </c>
      <c r="D438" s="3" t="str">
        <f>IF('[1]0.1 Produksi Pangan &amp; Penduduk'!D439="","",'[1]0.1 Produksi Pangan &amp; Penduduk'!D439)</f>
        <v/>
      </c>
      <c r="E438" s="3" t="str">
        <f>IF('[1]0.1 Produksi Pangan &amp; Penduduk'!E439="","",'[1]0.1 Produksi Pangan &amp; Penduduk'!E439)</f>
        <v/>
      </c>
      <c r="F438" s="59" t="str">
        <f>IF(D438="","",VLOOKUP(D438,'[1]0.1 Produksi Pangan &amp; Penduduk'!$D$5:$J$860,7,0))</f>
        <v/>
      </c>
      <c r="G438" s="27" t="str">
        <f t="shared" si="60"/>
        <v/>
      </c>
      <c r="H438" s="27" t="str">
        <f t="shared" si="61"/>
        <v/>
      </c>
      <c r="I438" s="27" t="str">
        <f t="shared" si="62"/>
        <v/>
      </c>
      <c r="J438" s="27" t="str">
        <f t="shared" si="63"/>
        <v/>
      </c>
      <c r="K438" s="27" t="str">
        <f t="shared" si="64"/>
        <v/>
      </c>
      <c r="L438" s="59" t="str">
        <f>IF(D438="","",VLOOKUP(D438,'[1]0.1 Produksi Pangan &amp; Penduduk'!$D$5:$M$860,10,0))</f>
        <v/>
      </c>
      <c r="M438" s="28" t="str">
        <f t="shared" si="65"/>
        <v/>
      </c>
      <c r="N438" s="60" t="str">
        <f t="shared" si="66"/>
        <v/>
      </c>
      <c r="O438" s="60" t="str">
        <f t="shared" si="67"/>
        <v/>
      </c>
      <c r="P438" s="60" t="str">
        <f t="shared" si="68"/>
        <v/>
      </c>
      <c r="Q438" s="28" t="str">
        <f t="shared" si="69"/>
        <v/>
      </c>
    </row>
    <row r="439" spans="1:17" ht="15" x14ac:dyDescent="0.25">
      <c r="A439" s="3" t="str">
        <f>IF('[1]0.1 Produksi Pangan &amp; Penduduk'!A440="","",'[1]0.1 Produksi Pangan &amp; Penduduk'!A440)</f>
        <v/>
      </c>
      <c r="B439" s="2" t="str">
        <f>IF('[1]0.1 Produksi Pangan &amp; Penduduk'!B440="","",'[1]0.1 Produksi Pangan &amp; Penduduk'!B440)</f>
        <v/>
      </c>
      <c r="C439" s="2" t="str">
        <f>IF('[1]0.1 Produksi Pangan &amp; Penduduk'!F440="","",'[1]0.1 Produksi Pangan &amp; Penduduk'!F440)</f>
        <v/>
      </c>
      <c r="D439" s="3" t="str">
        <f>IF('[1]0.1 Produksi Pangan &amp; Penduduk'!D440="","",'[1]0.1 Produksi Pangan &amp; Penduduk'!D440)</f>
        <v/>
      </c>
      <c r="E439" s="3" t="str">
        <f>IF('[1]0.1 Produksi Pangan &amp; Penduduk'!E440="","",'[1]0.1 Produksi Pangan &amp; Penduduk'!E440)</f>
        <v/>
      </c>
      <c r="F439" s="59" t="str">
        <f>IF(D439="","",VLOOKUP(D439,'[1]0.1 Produksi Pangan &amp; Penduduk'!$D$5:$J$860,7,0))</f>
        <v/>
      </c>
      <c r="G439" s="27" t="str">
        <f t="shared" si="60"/>
        <v/>
      </c>
      <c r="H439" s="27" t="str">
        <f t="shared" si="61"/>
        <v/>
      </c>
      <c r="I439" s="27" t="str">
        <f t="shared" si="62"/>
        <v/>
      </c>
      <c r="J439" s="27" t="str">
        <f t="shared" si="63"/>
        <v/>
      </c>
      <c r="K439" s="27" t="str">
        <f t="shared" si="64"/>
        <v/>
      </c>
      <c r="L439" s="59" t="str">
        <f>IF(D439="","",VLOOKUP(D439,'[1]0.1 Produksi Pangan &amp; Penduduk'!$D$5:$M$860,10,0))</f>
        <v/>
      </c>
      <c r="M439" s="28" t="str">
        <f t="shared" si="65"/>
        <v/>
      </c>
      <c r="N439" s="60" t="str">
        <f t="shared" si="66"/>
        <v/>
      </c>
      <c r="O439" s="60" t="str">
        <f t="shared" si="67"/>
        <v/>
      </c>
      <c r="P439" s="60" t="str">
        <f t="shared" si="68"/>
        <v/>
      </c>
      <c r="Q439" s="28" t="str">
        <f t="shared" si="69"/>
        <v/>
      </c>
    </row>
    <row r="440" spans="1:17" ht="15" x14ac:dyDescent="0.25">
      <c r="A440" s="3" t="str">
        <f>IF('[1]0.1 Produksi Pangan &amp; Penduduk'!A441="","",'[1]0.1 Produksi Pangan &amp; Penduduk'!A441)</f>
        <v/>
      </c>
      <c r="B440" s="2" t="str">
        <f>IF('[1]0.1 Produksi Pangan &amp; Penduduk'!B441="","",'[1]0.1 Produksi Pangan &amp; Penduduk'!B441)</f>
        <v/>
      </c>
      <c r="C440" s="2" t="str">
        <f>IF('[1]0.1 Produksi Pangan &amp; Penduduk'!F441="","",'[1]0.1 Produksi Pangan &amp; Penduduk'!F441)</f>
        <v/>
      </c>
      <c r="D440" s="3" t="str">
        <f>IF('[1]0.1 Produksi Pangan &amp; Penduduk'!D441="","",'[1]0.1 Produksi Pangan &amp; Penduduk'!D441)</f>
        <v/>
      </c>
      <c r="E440" s="3" t="str">
        <f>IF('[1]0.1 Produksi Pangan &amp; Penduduk'!E441="","",'[1]0.1 Produksi Pangan &amp; Penduduk'!E441)</f>
        <v/>
      </c>
      <c r="F440" s="59" t="str">
        <f>IF(D440="","",VLOOKUP(D440,'[1]0.1 Produksi Pangan &amp; Penduduk'!$D$5:$J$860,7,0))</f>
        <v/>
      </c>
      <c r="G440" s="27" t="str">
        <f t="shared" si="60"/>
        <v/>
      </c>
      <c r="H440" s="27" t="str">
        <f t="shared" si="61"/>
        <v/>
      </c>
      <c r="I440" s="27" t="str">
        <f t="shared" si="62"/>
        <v/>
      </c>
      <c r="J440" s="27" t="str">
        <f t="shared" si="63"/>
        <v/>
      </c>
      <c r="K440" s="27" t="str">
        <f t="shared" si="64"/>
        <v/>
      </c>
      <c r="L440" s="59" t="str">
        <f>IF(D440="","",VLOOKUP(D440,'[1]0.1 Produksi Pangan &amp; Penduduk'!$D$5:$M$860,10,0))</f>
        <v/>
      </c>
      <c r="M440" s="28" t="str">
        <f t="shared" si="65"/>
        <v/>
      </c>
      <c r="N440" s="60" t="str">
        <f t="shared" si="66"/>
        <v/>
      </c>
      <c r="O440" s="60" t="str">
        <f t="shared" si="67"/>
        <v/>
      </c>
      <c r="P440" s="60" t="str">
        <f t="shared" si="68"/>
        <v/>
      </c>
      <c r="Q440" s="28" t="str">
        <f t="shared" si="69"/>
        <v/>
      </c>
    </row>
    <row r="441" spans="1:17" ht="15" x14ac:dyDescent="0.25">
      <c r="A441" s="3" t="str">
        <f>IF('[1]0.1 Produksi Pangan &amp; Penduduk'!A442="","",'[1]0.1 Produksi Pangan &amp; Penduduk'!A442)</f>
        <v/>
      </c>
      <c r="B441" s="2" t="str">
        <f>IF('[1]0.1 Produksi Pangan &amp; Penduduk'!B442="","",'[1]0.1 Produksi Pangan &amp; Penduduk'!B442)</f>
        <v/>
      </c>
      <c r="C441" s="2" t="str">
        <f>IF('[1]0.1 Produksi Pangan &amp; Penduduk'!F442="","",'[1]0.1 Produksi Pangan &amp; Penduduk'!F442)</f>
        <v/>
      </c>
      <c r="D441" s="3" t="str">
        <f>IF('[1]0.1 Produksi Pangan &amp; Penduduk'!D442="","",'[1]0.1 Produksi Pangan &amp; Penduduk'!D442)</f>
        <v/>
      </c>
      <c r="E441" s="3" t="str">
        <f>IF('[1]0.1 Produksi Pangan &amp; Penduduk'!E442="","",'[1]0.1 Produksi Pangan &amp; Penduduk'!E442)</f>
        <v/>
      </c>
      <c r="F441" s="59" t="str">
        <f>IF(D441="","",VLOOKUP(D441,'[1]0.1 Produksi Pangan &amp; Penduduk'!$D$5:$J$860,7,0))</f>
        <v/>
      </c>
      <c r="G441" s="27" t="str">
        <f t="shared" si="60"/>
        <v/>
      </c>
      <c r="H441" s="27" t="str">
        <f t="shared" si="61"/>
        <v/>
      </c>
      <c r="I441" s="27" t="str">
        <f t="shared" si="62"/>
        <v/>
      </c>
      <c r="J441" s="27" t="str">
        <f t="shared" si="63"/>
        <v/>
      </c>
      <c r="K441" s="27" t="str">
        <f t="shared" si="64"/>
        <v/>
      </c>
      <c r="L441" s="59" t="str">
        <f>IF(D441="","",VLOOKUP(D441,'[1]0.1 Produksi Pangan &amp; Penduduk'!$D$5:$M$860,10,0))</f>
        <v/>
      </c>
      <c r="M441" s="28" t="str">
        <f t="shared" si="65"/>
        <v/>
      </c>
      <c r="N441" s="60" t="str">
        <f t="shared" si="66"/>
        <v/>
      </c>
      <c r="O441" s="60" t="str">
        <f t="shared" si="67"/>
        <v/>
      </c>
      <c r="P441" s="60" t="str">
        <f t="shared" si="68"/>
        <v/>
      </c>
      <c r="Q441" s="28" t="str">
        <f t="shared" si="69"/>
        <v/>
      </c>
    </row>
    <row r="442" spans="1:17" ht="15" x14ac:dyDescent="0.25">
      <c r="A442" s="3" t="str">
        <f>IF('[1]0.1 Produksi Pangan &amp; Penduduk'!A443="","",'[1]0.1 Produksi Pangan &amp; Penduduk'!A443)</f>
        <v/>
      </c>
      <c r="B442" s="2" t="str">
        <f>IF('[1]0.1 Produksi Pangan &amp; Penduduk'!B443="","",'[1]0.1 Produksi Pangan &amp; Penduduk'!B443)</f>
        <v/>
      </c>
      <c r="C442" s="2" t="str">
        <f>IF('[1]0.1 Produksi Pangan &amp; Penduduk'!F443="","",'[1]0.1 Produksi Pangan &amp; Penduduk'!F443)</f>
        <v/>
      </c>
      <c r="D442" s="3" t="str">
        <f>IF('[1]0.1 Produksi Pangan &amp; Penduduk'!D443="","",'[1]0.1 Produksi Pangan &amp; Penduduk'!D443)</f>
        <v/>
      </c>
      <c r="E442" s="3" t="str">
        <f>IF('[1]0.1 Produksi Pangan &amp; Penduduk'!E443="","",'[1]0.1 Produksi Pangan &amp; Penduduk'!E443)</f>
        <v/>
      </c>
      <c r="F442" s="59" t="str">
        <f>IF(D442="","",VLOOKUP(D442,'[1]0.1 Produksi Pangan &amp; Penduduk'!$D$5:$J$860,7,0))</f>
        <v/>
      </c>
      <c r="G442" s="27" t="str">
        <f t="shared" si="60"/>
        <v/>
      </c>
      <c r="H442" s="27" t="str">
        <f t="shared" si="61"/>
        <v/>
      </c>
      <c r="I442" s="27" t="str">
        <f t="shared" si="62"/>
        <v/>
      </c>
      <c r="J442" s="27" t="str">
        <f t="shared" si="63"/>
        <v/>
      </c>
      <c r="K442" s="27" t="str">
        <f t="shared" si="64"/>
        <v/>
      </c>
      <c r="L442" s="59" t="str">
        <f>IF(D442="","",VLOOKUP(D442,'[1]0.1 Produksi Pangan &amp; Penduduk'!$D$5:$M$860,10,0))</f>
        <v/>
      </c>
      <c r="M442" s="28" t="str">
        <f t="shared" si="65"/>
        <v/>
      </c>
      <c r="N442" s="60" t="str">
        <f t="shared" si="66"/>
        <v/>
      </c>
      <c r="O442" s="60" t="str">
        <f t="shared" si="67"/>
        <v/>
      </c>
      <c r="P442" s="60" t="str">
        <f t="shared" si="68"/>
        <v/>
      </c>
      <c r="Q442" s="28" t="str">
        <f t="shared" si="69"/>
        <v/>
      </c>
    </row>
    <row r="443" spans="1:17" ht="15" x14ac:dyDescent="0.25">
      <c r="A443" s="3" t="str">
        <f>IF('[1]0.1 Produksi Pangan &amp; Penduduk'!A444="","",'[1]0.1 Produksi Pangan &amp; Penduduk'!A444)</f>
        <v/>
      </c>
      <c r="B443" s="2" t="str">
        <f>IF('[1]0.1 Produksi Pangan &amp; Penduduk'!B444="","",'[1]0.1 Produksi Pangan &amp; Penduduk'!B444)</f>
        <v/>
      </c>
      <c r="C443" s="2" t="str">
        <f>IF('[1]0.1 Produksi Pangan &amp; Penduduk'!F444="","",'[1]0.1 Produksi Pangan &amp; Penduduk'!F444)</f>
        <v/>
      </c>
      <c r="D443" s="3" t="str">
        <f>IF('[1]0.1 Produksi Pangan &amp; Penduduk'!D444="","",'[1]0.1 Produksi Pangan &amp; Penduduk'!D444)</f>
        <v/>
      </c>
      <c r="E443" s="3" t="str">
        <f>IF('[1]0.1 Produksi Pangan &amp; Penduduk'!E444="","",'[1]0.1 Produksi Pangan &amp; Penduduk'!E444)</f>
        <v/>
      </c>
      <c r="F443" s="59" t="str">
        <f>IF(D443="","",VLOOKUP(D443,'[1]0.1 Produksi Pangan &amp; Penduduk'!$D$5:$J$860,7,0))</f>
        <v/>
      </c>
      <c r="G443" s="27" t="str">
        <f t="shared" si="60"/>
        <v/>
      </c>
      <c r="H443" s="27" t="str">
        <f t="shared" si="61"/>
        <v/>
      </c>
      <c r="I443" s="27" t="str">
        <f t="shared" si="62"/>
        <v/>
      </c>
      <c r="J443" s="27" t="str">
        <f t="shared" si="63"/>
        <v/>
      </c>
      <c r="K443" s="27" t="str">
        <f t="shared" si="64"/>
        <v/>
      </c>
      <c r="L443" s="59" t="str">
        <f>IF(D443="","",VLOOKUP(D443,'[1]0.1 Produksi Pangan &amp; Penduduk'!$D$5:$M$860,10,0))</f>
        <v/>
      </c>
      <c r="M443" s="28" t="str">
        <f t="shared" si="65"/>
        <v/>
      </c>
      <c r="N443" s="60" t="str">
        <f t="shared" si="66"/>
        <v/>
      </c>
      <c r="O443" s="60" t="str">
        <f t="shared" si="67"/>
        <v/>
      </c>
      <c r="P443" s="60" t="str">
        <f t="shared" si="68"/>
        <v/>
      </c>
      <c r="Q443" s="28" t="str">
        <f t="shared" si="69"/>
        <v/>
      </c>
    </row>
    <row r="444" spans="1:17" ht="15" x14ac:dyDescent="0.25">
      <c r="A444" s="3" t="str">
        <f>IF('[1]0.1 Produksi Pangan &amp; Penduduk'!A445="","",'[1]0.1 Produksi Pangan &amp; Penduduk'!A445)</f>
        <v/>
      </c>
      <c r="B444" s="2" t="str">
        <f>IF('[1]0.1 Produksi Pangan &amp; Penduduk'!B445="","",'[1]0.1 Produksi Pangan &amp; Penduduk'!B445)</f>
        <v/>
      </c>
      <c r="C444" s="2" t="str">
        <f>IF('[1]0.1 Produksi Pangan &amp; Penduduk'!F445="","",'[1]0.1 Produksi Pangan &amp; Penduduk'!F445)</f>
        <v/>
      </c>
      <c r="D444" s="3" t="str">
        <f>IF('[1]0.1 Produksi Pangan &amp; Penduduk'!D445="","",'[1]0.1 Produksi Pangan &amp; Penduduk'!D445)</f>
        <v/>
      </c>
      <c r="E444" s="3" t="str">
        <f>IF('[1]0.1 Produksi Pangan &amp; Penduduk'!E445="","",'[1]0.1 Produksi Pangan &amp; Penduduk'!E445)</f>
        <v/>
      </c>
      <c r="F444" s="59" t="str">
        <f>IF(D444="","",VLOOKUP(D444,'[1]0.1 Produksi Pangan &amp; Penduduk'!$D$5:$J$860,7,0))</f>
        <v/>
      </c>
      <c r="G444" s="27" t="str">
        <f t="shared" si="60"/>
        <v/>
      </c>
      <c r="H444" s="27" t="str">
        <f t="shared" si="61"/>
        <v/>
      </c>
      <c r="I444" s="27" t="str">
        <f t="shared" si="62"/>
        <v/>
      </c>
      <c r="J444" s="27" t="str">
        <f t="shared" si="63"/>
        <v/>
      </c>
      <c r="K444" s="27" t="str">
        <f t="shared" si="64"/>
        <v/>
      </c>
      <c r="L444" s="59" t="str">
        <f>IF(D444="","",VLOOKUP(D444,'[1]0.1 Produksi Pangan &amp; Penduduk'!$D$5:$M$860,10,0))</f>
        <v/>
      </c>
      <c r="M444" s="28" t="str">
        <f t="shared" si="65"/>
        <v/>
      </c>
      <c r="N444" s="60" t="str">
        <f t="shared" si="66"/>
        <v/>
      </c>
      <c r="O444" s="60" t="str">
        <f t="shared" si="67"/>
        <v/>
      </c>
      <c r="P444" s="60" t="str">
        <f t="shared" si="68"/>
        <v/>
      </c>
      <c r="Q444" s="28" t="str">
        <f t="shared" si="69"/>
        <v/>
      </c>
    </row>
    <row r="445" spans="1:17" ht="15" x14ac:dyDescent="0.25">
      <c r="A445" s="3" t="str">
        <f>IF('[1]0.1 Produksi Pangan &amp; Penduduk'!A446="","",'[1]0.1 Produksi Pangan &amp; Penduduk'!A446)</f>
        <v/>
      </c>
      <c r="B445" s="2" t="str">
        <f>IF('[1]0.1 Produksi Pangan &amp; Penduduk'!B446="","",'[1]0.1 Produksi Pangan &amp; Penduduk'!B446)</f>
        <v/>
      </c>
      <c r="C445" s="2" t="str">
        <f>IF('[1]0.1 Produksi Pangan &amp; Penduduk'!F446="","",'[1]0.1 Produksi Pangan &amp; Penduduk'!F446)</f>
        <v/>
      </c>
      <c r="D445" s="3" t="str">
        <f>IF('[1]0.1 Produksi Pangan &amp; Penduduk'!D446="","",'[1]0.1 Produksi Pangan &amp; Penduduk'!D446)</f>
        <v/>
      </c>
      <c r="E445" s="3" t="str">
        <f>IF('[1]0.1 Produksi Pangan &amp; Penduduk'!E446="","",'[1]0.1 Produksi Pangan &amp; Penduduk'!E446)</f>
        <v/>
      </c>
      <c r="F445" s="59" t="str">
        <f>IF(D445="","",VLOOKUP(D445,'[1]0.1 Produksi Pangan &amp; Penduduk'!$D$5:$J$860,7,0))</f>
        <v/>
      </c>
      <c r="G445" s="27" t="str">
        <f t="shared" si="60"/>
        <v/>
      </c>
      <c r="H445" s="27" t="str">
        <f t="shared" si="61"/>
        <v/>
      </c>
      <c r="I445" s="27" t="str">
        <f t="shared" si="62"/>
        <v/>
      </c>
      <c r="J445" s="27" t="str">
        <f t="shared" si="63"/>
        <v/>
      </c>
      <c r="K445" s="27" t="str">
        <f t="shared" si="64"/>
        <v/>
      </c>
      <c r="L445" s="59" t="str">
        <f>IF(D445="","",VLOOKUP(D445,'[1]0.1 Produksi Pangan &amp; Penduduk'!$D$5:$M$860,10,0))</f>
        <v/>
      </c>
      <c r="M445" s="28" t="str">
        <f t="shared" si="65"/>
        <v/>
      </c>
      <c r="N445" s="60" t="str">
        <f t="shared" si="66"/>
        <v/>
      </c>
      <c r="O445" s="60" t="str">
        <f t="shared" si="67"/>
        <v/>
      </c>
      <c r="P445" s="60" t="str">
        <f t="shared" si="68"/>
        <v/>
      </c>
      <c r="Q445" s="28" t="str">
        <f t="shared" si="69"/>
        <v/>
      </c>
    </row>
    <row r="446" spans="1:17" ht="15" x14ac:dyDescent="0.25">
      <c r="A446" s="3" t="str">
        <f>IF('[1]0.1 Produksi Pangan &amp; Penduduk'!A447="","",'[1]0.1 Produksi Pangan &amp; Penduduk'!A447)</f>
        <v/>
      </c>
      <c r="B446" s="2" t="str">
        <f>IF('[1]0.1 Produksi Pangan &amp; Penduduk'!B447="","",'[1]0.1 Produksi Pangan &amp; Penduduk'!B447)</f>
        <v/>
      </c>
      <c r="C446" s="2" t="str">
        <f>IF('[1]0.1 Produksi Pangan &amp; Penduduk'!F447="","",'[1]0.1 Produksi Pangan &amp; Penduduk'!F447)</f>
        <v/>
      </c>
      <c r="D446" s="3" t="str">
        <f>IF('[1]0.1 Produksi Pangan &amp; Penduduk'!D447="","",'[1]0.1 Produksi Pangan &amp; Penduduk'!D447)</f>
        <v/>
      </c>
      <c r="E446" s="3" t="str">
        <f>IF('[1]0.1 Produksi Pangan &amp; Penduduk'!E447="","",'[1]0.1 Produksi Pangan &amp; Penduduk'!E447)</f>
        <v/>
      </c>
      <c r="F446" s="59" t="str">
        <f>IF(D446="","",VLOOKUP(D446,'[1]0.1 Produksi Pangan &amp; Penduduk'!$D$5:$J$860,7,0))</f>
        <v/>
      </c>
      <c r="G446" s="27" t="str">
        <f t="shared" si="60"/>
        <v/>
      </c>
      <c r="H446" s="27" t="str">
        <f t="shared" si="61"/>
        <v/>
      </c>
      <c r="I446" s="27" t="str">
        <f t="shared" si="62"/>
        <v/>
      </c>
      <c r="J446" s="27" t="str">
        <f t="shared" si="63"/>
        <v/>
      </c>
      <c r="K446" s="27" t="str">
        <f t="shared" si="64"/>
        <v/>
      </c>
      <c r="L446" s="59" t="str">
        <f>IF(D446="","",VLOOKUP(D446,'[1]0.1 Produksi Pangan &amp; Penduduk'!$D$5:$M$860,10,0))</f>
        <v/>
      </c>
      <c r="M446" s="28" t="str">
        <f t="shared" si="65"/>
        <v/>
      </c>
      <c r="N446" s="60" t="str">
        <f t="shared" si="66"/>
        <v/>
      </c>
      <c r="O446" s="60" t="str">
        <f t="shared" si="67"/>
        <v/>
      </c>
      <c r="P446" s="60" t="str">
        <f t="shared" si="68"/>
        <v/>
      </c>
      <c r="Q446" s="28" t="str">
        <f t="shared" si="69"/>
        <v/>
      </c>
    </row>
    <row r="447" spans="1:17" ht="15" x14ac:dyDescent="0.25">
      <c r="A447" s="3" t="str">
        <f>IF('[1]0.1 Produksi Pangan &amp; Penduduk'!A448="","",'[1]0.1 Produksi Pangan &amp; Penduduk'!A448)</f>
        <v/>
      </c>
      <c r="B447" s="2" t="str">
        <f>IF('[1]0.1 Produksi Pangan &amp; Penduduk'!B448="","",'[1]0.1 Produksi Pangan &amp; Penduduk'!B448)</f>
        <v/>
      </c>
      <c r="C447" s="2" t="str">
        <f>IF('[1]0.1 Produksi Pangan &amp; Penduduk'!F448="","",'[1]0.1 Produksi Pangan &amp; Penduduk'!F448)</f>
        <v/>
      </c>
      <c r="D447" s="3" t="str">
        <f>IF('[1]0.1 Produksi Pangan &amp; Penduduk'!D448="","",'[1]0.1 Produksi Pangan &amp; Penduduk'!D448)</f>
        <v/>
      </c>
      <c r="E447" s="3" t="str">
        <f>IF('[1]0.1 Produksi Pangan &amp; Penduduk'!E448="","",'[1]0.1 Produksi Pangan &amp; Penduduk'!E448)</f>
        <v/>
      </c>
      <c r="F447" s="59" t="str">
        <f>IF(D447="","",VLOOKUP(D447,'[1]0.1 Produksi Pangan &amp; Penduduk'!$D$5:$J$860,7,0))</f>
        <v/>
      </c>
      <c r="G447" s="27" t="str">
        <f t="shared" si="60"/>
        <v/>
      </c>
      <c r="H447" s="27" t="str">
        <f t="shared" si="61"/>
        <v/>
      </c>
      <c r="I447" s="27" t="str">
        <f t="shared" si="62"/>
        <v/>
      </c>
      <c r="J447" s="27" t="str">
        <f t="shared" si="63"/>
        <v/>
      </c>
      <c r="K447" s="27" t="str">
        <f t="shared" si="64"/>
        <v/>
      </c>
      <c r="L447" s="59" t="str">
        <f>IF(D447="","",VLOOKUP(D447,'[1]0.1 Produksi Pangan &amp; Penduduk'!$D$5:$M$860,10,0))</f>
        <v/>
      </c>
      <c r="M447" s="28" t="str">
        <f t="shared" si="65"/>
        <v/>
      </c>
      <c r="N447" s="60" t="str">
        <f t="shared" si="66"/>
        <v/>
      </c>
      <c r="O447" s="60" t="str">
        <f t="shared" si="67"/>
        <v/>
      </c>
      <c r="P447" s="60" t="str">
        <f t="shared" si="68"/>
        <v/>
      </c>
      <c r="Q447" s="28" t="str">
        <f t="shared" si="69"/>
        <v/>
      </c>
    </row>
    <row r="448" spans="1:17" ht="15" x14ac:dyDescent="0.25">
      <c r="A448" s="3" t="str">
        <f>IF('[1]0.1 Produksi Pangan &amp; Penduduk'!A449="","",'[1]0.1 Produksi Pangan &amp; Penduduk'!A449)</f>
        <v/>
      </c>
      <c r="B448" s="2" t="str">
        <f>IF('[1]0.1 Produksi Pangan &amp; Penduduk'!B449="","",'[1]0.1 Produksi Pangan &amp; Penduduk'!B449)</f>
        <v/>
      </c>
      <c r="C448" s="2" t="str">
        <f>IF('[1]0.1 Produksi Pangan &amp; Penduduk'!F449="","",'[1]0.1 Produksi Pangan &amp; Penduduk'!F449)</f>
        <v/>
      </c>
      <c r="D448" s="3" t="str">
        <f>IF('[1]0.1 Produksi Pangan &amp; Penduduk'!D449="","",'[1]0.1 Produksi Pangan &amp; Penduduk'!D449)</f>
        <v/>
      </c>
      <c r="E448" s="3" t="str">
        <f>IF('[1]0.1 Produksi Pangan &amp; Penduduk'!E449="","",'[1]0.1 Produksi Pangan &amp; Penduduk'!E449)</f>
        <v/>
      </c>
      <c r="F448" s="59" t="str">
        <f>IF(D448="","",VLOOKUP(D448,'[1]0.1 Produksi Pangan &amp; Penduduk'!$D$5:$J$860,7,0))</f>
        <v/>
      </c>
      <c r="G448" s="27" t="str">
        <f t="shared" si="60"/>
        <v/>
      </c>
      <c r="H448" s="27" t="str">
        <f t="shared" si="61"/>
        <v/>
      </c>
      <c r="I448" s="27" t="str">
        <f t="shared" si="62"/>
        <v/>
      </c>
      <c r="J448" s="27" t="str">
        <f t="shared" si="63"/>
        <v/>
      </c>
      <c r="K448" s="27" t="str">
        <f t="shared" si="64"/>
        <v/>
      </c>
      <c r="L448" s="59" t="str">
        <f>IF(D448="","",VLOOKUP(D448,'[1]0.1 Produksi Pangan &amp; Penduduk'!$D$5:$M$860,10,0))</f>
        <v/>
      </c>
      <c r="M448" s="28" t="str">
        <f t="shared" si="65"/>
        <v/>
      </c>
      <c r="N448" s="60" t="str">
        <f t="shared" si="66"/>
        <v/>
      </c>
      <c r="O448" s="60" t="str">
        <f t="shared" si="67"/>
        <v/>
      </c>
      <c r="P448" s="60" t="str">
        <f t="shared" si="68"/>
        <v/>
      </c>
      <c r="Q448" s="28" t="str">
        <f t="shared" si="69"/>
        <v/>
      </c>
    </row>
    <row r="449" spans="1:17" ht="15" x14ac:dyDescent="0.25">
      <c r="A449" s="3" t="str">
        <f>IF('[1]0.1 Produksi Pangan &amp; Penduduk'!A450="","",'[1]0.1 Produksi Pangan &amp; Penduduk'!A450)</f>
        <v/>
      </c>
      <c r="B449" s="2" t="str">
        <f>IF('[1]0.1 Produksi Pangan &amp; Penduduk'!B450="","",'[1]0.1 Produksi Pangan &amp; Penduduk'!B450)</f>
        <v/>
      </c>
      <c r="C449" s="2" t="str">
        <f>IF('[1]0.1 Produksi Pangan &amp; Penduduk'!F450="","",'[1]0.1 Produksi Pangan &amp; Penduduk'!F450)</f>
        <v/>
      </c>
      <c r="D449" s="3" t="str">
        <f>IF('[1]0.1 Produksi Pangan &amp; Penduduk'!D450="","",'[1]0.1 Produksi Pangan &amp; Penduduk'!D450)</f>
        <v/>
      </c>
      <c r="E449" s="3" t="str">
        <f>IF('[1]0.1 Produksi Pangan &amp; Penduduk'!E450="","",'[1]0.1 Produksi Pangan &amp; Penduduk'!E450)</f>
        <v/>
      </c>
      <c r="F449" s="59" t="str">
        <f>IF(D449="","",VLOOKUP(D449,'[1]0.1 Produksi Pangan &amp; Penduduk'!$D$5:$J$860,7,0))</f>
        <v/>
      </c>
      <c r="G449" s="27" t="str">
        <f t="shared" si="60"/>
        <v/>
      </c>
      <c r="H449" s="27" t="str">
        <f t="shared" si="61"/>
        <v/>
      </c>
      <c r="I449" s="27" t="str">
        <f t="shared" si="62"/>
        <v/>
      </c>
      <c r="J449" s="27" t="str">
        <f t="shared" si="63"/>
        <v/>
      </c>
      <c r="K449" s="27" t="str">
        <f t="shared" si="64"/>
        <v/>
      </c>
      <c r="L449" s="59" t="str">
        <f>IF(D449="","",VLOOKUP(D449,'[1]0.1 Produksi Pangan &amp; Penduduk'!$D$5:$M$860,10,0))</f>
        <v/>
      </c>
      <c r="M449" s="28" t="str">
        <f t="shared" si="65"/>
        <v/>
      </c>
      <c r="N449" s="60" t="str">
        <f t="shared" si="66"/>
        <v/>
      </c>
      <c r="O449" s="60" t="str">
        <f t="shared" si="67"/>
        <v/>
      </c>
      <c r="P449" s="60" t="str">
        <f t="shared" si="68"/>
        <v/>
      </c>
      <c r="Q449" s="28" t="str">
        <f t="shared" si="69"/>
        <v/>
      </c>
    </row>
    <row r="450" spans="1:17" ht="15" x14ac:dyDescent="0.25">
      <c r="A450" s="3" t="str">
        <f>IF('[1]0.1 Produksi Pangan &amp; Penduduk'!A451="","",'[1]0.1 Produksi Pangan &amp; Penduduk'!A451)</f>
        <v/>
      </c>
      <c r="B450" s="2" t="str">
        <f>IF('[1]0.1 Produksi Pangan &amp; Penduduk'!B451="","",'[1]0.1 Produksi Pangan &amp; Penduduk'!B451)</f>
        <v/>
      </c>
      <c r="C450" s="2" t="str">
        <f>IF('[1]0.1 Produksi Pangan &amp; Penduduk'!F451="","",'[1]0.1 Produksi Pangan &amp; Penduduk'!F451)</f>
        <v/>
      </c>
      <c r="D450" s="3" t="str">
        <f>IF('[1]0.1 Produksi Pangan &amp; Penduduk'!D451="","",'[1]0.1 Produksi Pangan &amp; Penduduk'!D451)</f>
        <v/>
      </c>
      <c r="E450" s="3" t="str">
        <f>IF('[1]0.1 Produksi Pangan &amp; Penduduk'!E451="","",'[1]0.1 Produksi Pangan &amp; Penduduk'!E451)</f>
        <v/>
      </c>
      <c r="F450" s="59" t="str">
        <f>IF(D450="","",VLOOKUP(D450,'[1]0.1 Produksi Pangan &amp; Penduduk'!$D$5:$J$860,7,0))</f>
        <v/>
      </c>
      <c r="G450" s="27" t="str">
        <f t="shared" si="60"/>
        <v/>
      </c>
      <c r="H450" s="27" t="str">
        <f t="shared" si="61"/>
        <v/>
      </c>
      <c r="I450" s="27" t="str">
        <f t="shared" si="62"/>
        <v/>
      </c>
      <c r="J450" s="27" t="str">
        <f t="shared" si="63"/>
        <v/>
      </c>
      <c r="K450" s="27" t="str">
        <f t="shared" si="64"/>
        <v/>
      </c>
      <c r="L450" s="59" t="str">
        <f>IF(D450="","",VLOOKUP(D450,'[1]0.1 Produksi Pangan &amp; Penduduk'!$D$5:$M$860,10,0))</f>
        <v/>
      </c>
      <c r="M450" s="28" t="str">
        <f t="shared" si="65"/>
        <v/>
      </c>
      <c r="N450" s="60" t="str">
        <f t="shared" si="66"/>
        <v/>
      </c>
      <c r="O450" s="60" t="str">
        <f t="shared" si="67"/>
        <v/>
      </c>
      <c r="P450" s="60" t="str">
        <f t="shared" si="68"/>
        <v/>
      </c>
      <c r="Q450" s="28" t="str">
        <f t="shared" si="69"/>
        <v/>
      </c>
    </row>
    <row r="451" spans="1:17" ht="15" x14ac:dyDescent="0.25">
      <c r="A451" s="3" t="str">
        <f>IF('[1]0.1 Produksi Pangan &amp; Penduduk'!A452="","",'[1]0.1 Produksi Pangan &amp; Penduduk'!A452)</f>
        <v/>
      </c>
      <c r="B451" s="2" t="str">
        <f>IF('[1]0.1 Produksi Pangan &amp; Penduduk'!B452="","",'[1]0.1 Produksi Pangan &amp; Penduduk'!B452)</f>
        <v/>
      </c>
      <c r="C451" s="2" t="str">
        <f>IF('[1]0.1 Produksi Pangan &amp; Penduduk'!F452="","",'[1]0.1 Produksi Pangan &amp; Penduduk'!F452)</f>
        <v/>
      </c>
      <c r="D451" s="3" t="str">
        <f>IF('[1]0.1 Produksi Pangan &amp; Penduduk'!D452="","",'[1]0.1 Produksi Pangan &amp; Penduduk'!D452)</f>
        <v/>
      </c>
      <c r="E451" s="3" t="str">
        <f>IF('[1]0.1 Produksi Pangan &amp; Penduduk'!E452="","",'[1]0.1 Produksi Pangan &amp; Penduduk'!E452)</f>
        <v/>
      </c>
      <c r="F451" s="59" t="str">
        <f>IF(D451="","",VLOOKUP(D451,'[1]0.1 Produksi Pangan &amp; Penduduk'!$D$5:$J$860,7,0))</f>
        <v/>
      </c>
      <c r="G451" s="27" t="str">
        <f t="shared" si="60"/>
        <v/>
      </c>
      <c r="H451" s="27" t="str">
        <f t="shared" si="61"/>
        <v/>
      </c>
      <c r="I451" s="27" t="str">
        <f t="shared" si="62"/>
        <v/>
      </c>
      <c r="J451" s="27" t="str">
        <f t="shared" si="63"/>
        <v/>
      </c>
      <c r="K451" s="27" t="str">
        <f t="shared" si="64"/>
        <v/>
      </c>
      <c r="L451" s="59" t="str">
        <f>IF(D451="","",VLOOKUP(D451,'[1]0.1 Produksi Pangan &amp; Penduduk'!$D$5:$M$860,10,0))</f>
        <v/>
      </c>
      <c r="M451" s="28" t="str">
        <f t="shared" si="65"/>
        <v/>
      </c>
      <c r="N451" s="60" t="str">
        <f t="shared" si="66"/>
        <v/>
      </c>
      <c r="O451" s="60" t="str">
        <f t="shared" si="67"/>
        <v/>
      </c>
      <c r="P451" s="60" t="str">
        <f t="shared" si="68"/>
        <v/>
      </c>
      <c r="Q451" s="28" t="str">
        <f t="shared" si="69"/>
        <v/>
      </c>
    </row>
    <row r="452" spans="1:17" ht="15" x14ac:dyDescent="0.25">
      <c r="A452" s="3" t="str">
        <f>IF('[1]0.1 Produksi Pangan &amp; Penduduk'!A453="","",'[1]0.1 Produksi Pangan &amp; Penduduk'!A453)</f>
        <v/>
      </c>
      <c r="B452" s="2" t="str">
        <f>IF('[1]0.1 Produksi Pangan &amp; Penduduk'!B453="","",'[1]0.1 Produksi Pangan &amp; Penduduk'!B453)</f>
        <v/>
      </c>
      <c r="C452" s="2" t="str">
        <f>IF('[1]0.1 Produksi Pangan &amp; Penduduk'!F453="","",'[1]0.1 Produksi Pangan &amp; Penduduk'!F453)</f>
        <v/>
      </c>
      <c r="D452" s="3" t="str">
        <f>IF('[1]0.1 Produksi Pangan &amp; Penduduk'!D453="","",'[1]0.1 Produksi Pangan &amp; Penduduk'!D453)</f>
        <v/>
      </c>
      <c r="E452" s="3" t="str">
        <f>IF('[1]0.1 Produksi Pangan &amp; Penduduk'!E453="","",'[1]0.1 Produksi Pangan &amp; Penduduk'!E453)</f>
        <v/>
      </c>
      <c r="F452" s="59" t="str">
        <f>IF(D452="","",VLOOKUP(D452,'[1]0.1 Produksi Pangan &amp; Penduduk'!$D$5:$J$860,7,0))</f>
        <v/>
      </c>
      <c r="G452" s="27" t="str">
        <f t="shared" si="60"/>
        <v/>
      </c>
      <c r="H452" s="27" t="str">
        <f t="shared" si="61"/>
        <v/>
      </c>
      <c r="I452" s="27" t="str">
        <f t="shared" si="62"/>
        <v/>
      </c>
      <c r="J452" s="27" t="str">
        <f t="shared" si="63"/>
        <v/>
      </c>
      <c r="K452" s="27" t="str">
        <f t="shared" si="64"/>
        <v/>
      </c>
      <c r="L452" s="59" t="str">
        <f>IF(D452="","",VLOOKUP(D452,'[1]0.1 Produksi Pangan &amp; Penduduk'!$D$5:$M$860,10,0))</f>
        <v/>
      </c>
      <c r="M452" s="28" t="str">
        <f t="shared" si="65"/>
        <v/>
      </c>
      <c r="N452" s="60" t="str">
        <f t="shared" si="66"/>
        <v/>
      </c>
      <c r="O452" s="60" t="str">
        <f t="shared" si="67"/>
        <v/>
      </c>
      <c r="P452" s="60" t="str">
        <f t="shared" si="68"/>
        <v/>
      </c>
      <c r="Q452" s="28" t="str">
        <f t="shared" si="69"/>
        <v/>
      </c>
    </row>
    <row r="453" spans="1:17" ht="15" x14ac:dyDescent="0.25">
      <c r="A453" s="3" t="str">
        <f>IF('[1]0.1 Produksi Pangan &amp; Penduduk'!A454="","",'[1]0.1 Produksi Pangan &amp; Penduduk'!A454)</f>
        <v/>
      </c>
      <c r="B453" s="2" t="str">
        <f>IF('[1]0.1 Produksi Pangan &amp; Penduduk'!B454="","",'[1]0.1 Produksi Pangan &amp; Penduduk'!B454)</f>
        <v/>
      </c>
      <c r="C453" s="2" t="str">
        <f>IF('[1]0.1 Produksi Pangan &amp; Penduduk'!F454="","",'[1]0.1 Produksi Pangan &amp; Penduduk'!F454)</f>
        <v/>
      </c>
      <c r="D453" s="3" t="str">
        <f>IF('[1]0.1 Produksi Pangan &amp; Penduduk'!D454="","",'[1]0.1 Produksi Pangan &amp; Penduduk'!D454)</f>
        <v/>
      </c>
      <c r="E453" s="3" t="str">
        <f>IF('[1]0.1 Produksi Pangan &amp; Penduduk'!E454="","",'[1]0.1 Produksi Pangan &amp; Penduduk'!E454)</f>
        <v/>
      </c>
      <c r="F453" s="59" t="str">
        <f>IF(D453="","",VLOOKUP(D453,'[1]0.1 Produksi Pangan &amp; Penduduk'!$D$5:$J$860,7,0))</f>
        <v/>
      </c>
      <c r="G453" s="27" t="str">
        <f t="shared" si="60"/>
        <v/>
      </c>
      <c r="H453" s="27" t="str">
        <f t="shared" si="61"/>
        <v/>
      </c>
      <c r="I453" s="27" t="str">
        <f t="shared" si="62"/>
        <v/>
      </c>
      <c r="J453" s="27" t="str">
        <f t="shared" si="63"/>
        <v/>
      </c>
      <c r="K453" s="27" t="str">
        <f t="shared" si="64"/>
        <v/>
      </c>
      <c r="L453" s="59" t="str">
        <f>IF(D453="","",VLOOKUP(D453,'[1]0.1 Produksi Pangan &amp; Penduduk'!$D$5:$M$860,10,0))</f>
        <v/>
      </c>
      <c r="M453" s="28" t="str">
        <f t="shared" si="65"/>
        <v/>
      </c>
      <c r="N453" s="60" t="str">
        <f t="shared" si="66"/>
        <v/>
      </c>
      <c r="O453" s="60" t="str">
        <f t="shared" si="67"/>
        <v/>
      </c>
      <c r="P453" s="60" t="str">
        <f t="shared" si="68"/>
        <v/>
      </c>
      <c r="Q453" s="28" t="str">
        <f t="shared" si="69"/>
        <v/>
      </c>
    </row>
    <row r="454" spans="1:17" ht="15" x14ac:dyDescent="0.25">
      <c r="A454" s="3" t="str">
        <f>IF('[1]0.1 Produksi Pangan &amp; Penduduk'!A455="","",'[1]0.1 Produksi Pangan &amp; Penduduk'!A455)</f>
        <v/>
      </c>
      <c r="B454" s="2" t="str">
        <f>IF('[1]0.1 Produksi Pangan &amp; Penduduk'!B455="","",'[1]0.1 Produksi Pangan &amp; Penduduk'!B455)</f>
        <v/>
      </c>
      <c r="C454" s="2" t="str">
        <f>IF('[1]0.1 Produksi Pangan &amp; Penduduk'!F455="","",'[1]0.1 Produksi Pangan &amp; Penduduk'!F455)</f>
        <v/>
      </c>
      <c r="D454" s="3" t="str">
        <f>IF('[1]0.1 Produksi Pangan &amp; Penduduk'!D455="","",'[1]0.1 Produksi Pangan &amp; Penduduk'!D455)</f>
        <v/>
      </c>
      <c r="E454" s="3" t="str">
        <f>IF('[1]0.1 Produksi Pangan &amp; Penduduk'!E455="","",'[1]0.1 Produksi Pangan &amp; Penduduk'!E455)</f>
        <v/>
      </c>
      <c r="F454" s="59" t="str">
        <f>IF(D454="","",VLOOKUP(D454,'[1]0.1 Produksi Pangan &amp; Penduduk'!$D$5:$J$860,7,0))</f>
        <v/>
      </c>
      <c r="G454" s="27" t="str">
        <f t="shared" ref="G454:G517" si="70">IF(F454="","",F454*0.9%)</f>
        <v/>
      </c>
      <c r="H454" s="27" t="str">
        <f t="shared" ref="H454:H517" si="71">IF(F454="","",F454*0.44%)</f>
        <v/>
      </c>
      <c r="I454" s="27" t="str">
        <f t="shared" ref="I454:I517" si="72">IF(F454="","",F454*4.92%)</f>
        <v/>
      </c>
      <c r="J454" s="27" t="str">
        <f t="shared" ref="J454:J517" si="73">IF(F454="","",F454*0.56%)</f>
        <v/>
      </c>
      <c r="K454" s="27" t="str">
        <f t="shared" ref="K454:K517" si="74">IF(F454="","",F454-(G454+H454+I454+J454))</f>
        <v/>
      </c>
      <c r="L454" s="59" t="str">
        <f>IF(D454="","",VLOOKUP(D454,'[1]0.1 Produksi Pangan &amp; Penduduk'!$D$5:$M$860,10,0))</f>
        <v/>
      </c>
      <c r="M454" s="28" t="str">
        <f t="shared" ref="M454:M517" si="75">IFERROR(K454*L454,"")</f>
        <v/>
      </c>
      <c r="N454" s="60" t="str">
        <f t="shared" ref="N454:N517" si="76">IF(M454="","",M454*0.17%)</f>
        <v/>
      </c>
      <c r="O454" s="60" t="str">
        <f t="shared" ref="O454:O517" si="77">IF(M454="","",M454*2.5%)</f>
        <v/>
      </c>
      <c r="P454" s="60" t="str">
        <f t="shared" ref="P454:P517" si="78">IF(M454="","",M454*0.66%)</f>
        <v/>
      </c>
      <c r="Q454" s="28" t="str">
        <f t="shared" ref="Q454:Q517" si="79">IF(M454="","",M454-(N454+O454+P454))</f>
        <v/>
      </c>
    </row>
    <row r="455" spans="1:17" ht="15" x14ac:dyDescent="0.25">
      <c r="A455" s="3" t="str">
        <f>IF('[1]0.1 Produksi Pangan &amp; Penduduk'!A456="","",'[1]0.1 Produksi Pangan &amp; Penduduk'!A456)</f>
        <v/>
      </c>
      <c r="B455" s="2" t="str">
        <f>IF('[1]0.1 Produksi Pangan &amp; Penduduk'!B456="","",'[1]0.1 Produksi Pangan &amp; Penduduk'!B456)</f>
        <v/>
      </c>
      <c r="C455" s="2" t="str">
        <f>IF('[1]0.1 Produksi Pangan &amp; Penduduk'!F456="","",'[1]0.1 Produksi Pangan &amp; Penduduk'!F456)</f>
        <v/>
      </c>
      <c r="D455" s="3" t="str">
        <f>IF('[1]0.1 Produksi Pangan &amp; Penduduk'!D456="","",'[1]0.1 Produksi Pangan &amp; Penduduk'!D456)</f>
        <v/>
      </c>
      <c r="E455" s="3" t="str">
        <f>IF('[1]0.1 Produksi Pangan &amp; Penduduk'!E456="","",'[1]0.1 Produksi Pangan &amp; Penduduk'!E456)</f>
        <v/>
      </c>
      <c r="F455" s="59" t="str">
        <f>IF(D455="","",VLOOKUP(D455,'[1]0.1 Produksi Pangan &amp; Penduduk'!$D$5:$J$860,7,0))</f>
        <v/>
      </c>
      <c r="G455" s="27" t="str">
        <f t="shared" si="70"/>
        <v/>
      </c>
      <c r="H455" s="27" t="str">
        <f t="shared" si="71"/>
        <v/>
      </c>
      <c r="I455" s="27" t="str">
        <f t="shared" si="72"/>
        <v/>
      </c>
      <c r="J455" s="27" t="str">
        <f t="shared" si="73"/>
        <v/>
      </c>
      <c r="K455" s="27" t="str">
        <f t="shared" si="74"/>
        <v/>
      </c>
      <c r="L455" s="59" t="str">
        <f>IF(D455="","",VLOOKUP(D455,'[1]0.1 Produksi Pangan &amp; Penduduk'!$D$5:$M$860,10,0))</f>
        <v/>
      </c>
      <c r="M455" s="28" t="str">
        <f t="shared" si="75"/>
        <v/>
      </c>
      <c r="N455" s="60" t="str">
        <f t="shared" si="76"/>
        <v/>
      </c>
      <c r="O455" s="60" t="str">
        <f t="shared" si="77"/>
        <v/>
      </c>
      <c r="P455" s="60" t="str">
        <f t="shared" si="78"/>
        <v/>
      </c>
      <c r="Q455" s="28" t="str">
        <f t="shared" si="79"/>
        <v/>
      </c>
    </row>
    <row r="456" spans="1:17" ht="15" x14ac:dyDescent="0.25">
      <c r="A456" s="3" t="str">
        <f>IF('[1]0.1 Produksi Pangan &amp; Penduduk'!A457="","",'[1]0.1 Produksi Pangan &amp; Penduduk'!A457)</f>
        <v/>
      </c>
      <c r="B456" s="2" t="str">
        <f>IF('[1]0.1 Produksi Pangan &amp; Penduduk'!B457="","",'[1]0.1 Produksi Pangan &amp; Penduduk'!B457)</f>
        <v/>
      </c>
      <c r="C456" s="2" t="str">
        <f>IF('[1]0.1 Produksi Pangan &amp; Penduduk'!F457="","",'[1]0.1 Produksi Pangan &amp; Penduduk'!F457)</f>
        <v/>
      </c>
      <c r="D456" s="3" t="str">
        <f>IF('[1]0.1 Produksi Pangan &amp; Penduduk'!D457="","",'[1]0.1 Produksi Pangan &amp; Penduduk'!D457)</f>
        <v/>
      </c>
      <c r="E456" s="3" t="str">
        <f>IF('[1]0.1 Produksi Pangan &amp; Penduduk'!E457="","",'[1]0.1 Produksi Pangan &amp; Penduduk'!E457)</f>
        <v/>
      </c>
      <c r="F456" s="59" t="str">
        <f>IF(D456="","",VLOOKUP(D456,'[1]0.1 Produksi Pangan &amp; Penduduk'!$D$5:$J$860,7,0))</f>
        <v/>
      </c>
      <c r="G456" s="27" t="str">
        <f t="shared" si="70"/>
        <v/>
      </c>
      <c r="H456" s="27" t="str">
        <f t="shared" si="71"/>
        <v/>
      </c>
      <c r="I456" s="27" t="str">
        <f t="shared" si="72"/>
        <v/>
      </c>
      <c r="J456" s="27" t="str">
        <f t="shared" si="73"/>
        <v/>
      </c>
      <c r="K456" s="27" t="str">
        <f t="shared" si="74"/>
        <v/>
      </c>
      <c r="L456" s="59" t="str">
        <f>IF(D456="","",VLOOKUP(D456,'[1]0.1 Produksi Pangan &amp; Penduduk'!$D$5:$M$860,10,0))</f>
        <v/>
      </c>
      <c r="M456" s="28" t="str">
        <f t="shared" si="75"/>
        <v/>
      </c>
      <c r="N456" s="60" t="str">
        <f t="shared" si="76"/>
        <v/>
      </c>
      <c r="O456" s="60" t="str">
        <f t="shared" si="77"/>
        <v/>
      </c>
      <c r="P456" s="60" t="str">
        <f t="shared" si="78"/>
        <v/>
      </c>
      <c r="Q456" s="28" t="str">
        <f t="shared" si="79"/>
        <v/>
      </c>
    </row>
    <row r="457" spans="1:17" ht="15" x14ac:dyDescent="0.25">
      <c r="A457" s="3" t="str">
        <f>IF('[1]0.1 Produksi Pangan &amp; Penduduk'!A458="","",'[1]0.1 Produksi Pangan &amp; Penduduk'!A458)</f>
        <v/>
      </c>
      <c r="B457" s="2" t="str">
        <f>IF('[1]0.1 Produksi Pangan &amp; Penduduk'!B458="","",'[1]0.1 Produksi Pangan &amp; Penduduk'!B458)</f>
        <v/>
      </c>
      <c r="C457" s="2" t="str">
        <f>IF('[1]0.1 Produksi Pangan &amp; Penduduk'!F458="","",'[1]0.1 Produksi Pangan &amp; Penduduk'!F458)</f>
        <v/>
      </c>
      <c r="D457" s="3" t="str">
        <f>IF('[1]0.1 Produksi Pangan &amp; Penduduk'!D458="","",'[1]0.1 Produksi Pangan &amp; Penduduk'!D458)</f>
        <v/>
      </c>
      <c r="E457" s="3" t="str">
        <f>IF('[1]0.1 Produksi Pangan &amp; Penduduk'!E458="","",'[1]0.1 Produksi Pangan &amp; Penduduk'!E458)</f>
        <v/>
      </c>
      <c r="F457" s="59" t="str">
        <f>IF(D457="","",VLOOKUP(D457,'[1]0.1 Produksi Pangan &amp; Penduduk'!$D$5:$J$860,7,0))</f>
        <v/>
      </c>
      <c r="G457" s="27" t="str">
        <f t="shared" si="70"/>
        <v/>
      </c>
      <c r="H457" s="27" t="str">
        <f t="shared" si="71"/>
        <v/>
      </c>
      <c r="I457" s="27" t="str">
        <f t="shared" si="72"/>
        <v/>
      </c>
      <c r="J457" s="27" t="str">
        <f t="shared" si="73"/>
        <v/>
      </c>
      <c r="K457" s="27" t="str">
        <f t="shared" si="74"/>
        <v/>
      </c>
      <c r="L457" s="59" t="str">
        <f>IF(D457="","",VLOOKUP(D457,'[1]0.1 Produksi Pangan &amp; Penduduk'!$D$5:$M$860,10,0))</f>
        <v/>
      </c>
      <c r="M457" s="28" t="str">
        <f t="shared" si="75"/>
        <v/>
      </c>
      <c r="N457" s="60" t="str">
        <f t="shared" si="76"/>
        <v/>
      </c>
      <c r="O457" s="60" t="str">
        <f t="shared" si="77"/>
        <v/>
      </c>
      <c r="P457" s="60" t="str">
        <f t="shared" si="78"/>
        <v/>
      </c>
      <c r="Q457" s="28" t="str">
        <f t="shared" si="79"/>
        <v/>
      </c>
    </row>
    <row r="458" spans="1:17" ht="15" x14ac:dyDescent="0.25">
      <c r="A458" s="3" t="str">
        <f>IF('[1]0.1 Produksi Pangan &amp; Penduduk'!A459="","",'[1]0.1 Produksi Pangan &amp; Penduduk'!A459)</f>
        <v/>
      </c>
      <c r="B458" s="2" t="str">
        <f>IF('[1]0.1 Produksi Pangan &amp; Penduduk'!B459="","",'[1]0.1 Produksi Pangan &amp; Penduduk'!B459)</f>
        <v/>
      </c>
      <c r="C458" s="2" t="str">
        <f>IF('[1]0.1 Produksi Pangan &amp; Penduduk'!F459="","",'[1]0.1 Produksi Pangan &amp; Penduduk'!F459)</f>
        <v/>
      </c>
      <c r="D458" s="3" t="str">
        <f>IF('[1]0.1 Produksi Pangan &amp; Penduduk'!D459="","",'[1]0.1 Produksi Pangan &amp; Penduduk'!D459)</f>
        <v/>
      </c>
      <c r="E458" s="3" t="str">
        <f>IF('[1]0.1 Produksi Pangan &amp; Penduduk'!E459="","",'[1]0.1 Produksi Pangan &amp; Penduduk'!E459)</f>
        <v/>
      </c>
      <c r="F458" s="59" t="str">
        <f>IF(D458="","",VLOOKUP(D458,'[1]0.1 Produksi Pangan &amp; Penduduk'!$D$5:$J$860,7,0))</f>
        <v/>
      </c>
      <c r="G458" s="27" t="str">
        <f t="shared" si="70"/>
        <v/>
      </c>
      <c r="H458" s="27" t="str">
        <f t="shared" si="71"/>
        <v/>
      </c>
      <c r="I458" s="27" t="str">
        <f t="shared" si="72"/>
        <v/>
      </c>
      <c r="J458" s="27" t="str">
        <f t="shared" si="73"/>
        <v/>
      </c>
      <c r="K458" s="27" t="str">
        <f t="shared" si="74"/>
        <v/>
      </c>
      <c r="L458" s="59" t="str">
        <f>IF(D458="","",VLOOKUP(D458,'[1]0.1 Produksi Pangan &amp; Penduduk'!$D$5:$M$860,10,0))</f>
        <v/>
      </c>
      <c r="M458" s="28" t="str">
        <f t="shared" si="75"/>
        <v/>
      </c>
      <c r="N458" s="60" t="str">
        <f t="shared" si="76"/>
        <v/>
      </c>
      <c r="O458" s="60" t="str">
        <f t="shared" si="77"/>
        <v/>
      </c>
      <c r="P458" s="60" t="str">
        <f t="shared" si="78"/>
        <v/>
      </c>
      <c r="Q458" s="28" t="str">
        <f t="shared" si="79"/>
        <v/>
      </c>
    </row>
    <row r="459" spans="1:17" ht="15" x14ac:dyDescent="0.25">
      <c r="A459" s="3" t="str">
        <f>IF('[1]0.1 Produksi Pangan &amp; Penduduk'!A460="","",'[1]0.1 Produksi Pangan &amp; Penduduk'!A460)</f>
        <v/>
      </c>
      <c r="B459" s="2" t="str">
        <f>IF('[1]0.1 Produksi Pangan &amp; Penduduk'!B460="","",'[1]0.1 Produksi Pangan &amp; Penduduk'!B460)</f>
        <v/>
      </c>
      <c r="C459" s="2" t="str">
        <f>IF('[1]0.1 Produksi Pangan &amp; Penduduk'!F460="","",'[1]0.1 Produksi Pangan &amp; Penduduk'!F460)</f>
        <v/>
      </c>
      <c r="D459" s="3" t="str">
        <f>IF('[1]0.1 Produksi Pangan &amp; Penduduk'!D460="","",'[1]0.1 Produksi Pangan &amp; Penduduk'!D460)</f>
        <v/>
      </c>
      <c r="E459" s="3" t="str">
        <f>IF('[1]0.1 Produksi Pangan &amp; Penduduk'!E460="","",'[1]0.1 Produksi Pangan &amp; Penduduk'!E460)</f>
        <v/>
      </c>
      <c r="F459" s="59" t="str">
        <f>IF(D459="","",VLOOKUP(D459,'[1]0.1 Produksi Pangan &amp; Penduduk'!$D$5:$J$860,7,0))</f>
        <v/>
      </c>
      <c r="G459" s="27" t="str">
        <f t="shared" si="70"/>
        <v/>
      </c>
      <c r="H459" s="27" t="str">
        <f t="shared" si="71"/>
        <v/>
      </c>
      <c r="I459" s="27" t="str">
        <f t="shared" si="72"/>
        <v/>
      </c>
      <c r="J459" s="27" t="str">
        <f t="shared" si="73"/>
        <v/>
      </c>
      <c r="K459" s="27" t="str">
        <f t="shared" si="74"/>
        <v/>
      </c>
      <c r="L459" s="59" t="str">
        <f>IF(D459="","",VLOOKUP(D459,'[1]0.1 Produksi Pangan &amp; Penduduk'!$D$5:$M$860,10,0))</f>
        <v/>
      </c>
      <c r="M459" s="28" t="str">
        <f t="shared" si="75"/>
        <v/>
      </c>
      <c r="N459" s="60" t="str">
        <f t="shared" si="76"/>
        <v/>
      </c>
      <c r="O459" s="60" t="str">
        <f t="shared" si="77"/>
        <v/>
      </c>
      <c r="P459" s="60" t="str">
        <f t="shared" si="78"/>
        <v/>
      </c>
      <c r="Q459" s="28" t="str">
        <f t="shared" si="79"/>
        <v/>
      </c>
    </row>
    <row r="460" spans="1:17" ht="15" x14ac:dyDescent="0.25">
      <c r="A460" s="3" t="str">
        <f>IF('[1]0.1 Produksi Pangan &amp; Penduduk'!A461="","",'[1]0.1 Produksi Pangan &amp; Penduduk'!A461)</f>
        <v/>
      </c>
      <c r="B460" s="2" t="str">
        <f>IF('[1]0.1 Produksi Pangan &amp; Penduduk'!B461="","",'[1]0.1 Produksi Pangan &amp; Penduduk'!B461)</f>
        <v/>
      </c>
      <c r="C460" s="2" t="str">
        <f>IF('[1]0.1 Produksi Pangan &amp; Penduduk'!F461="","",'[1]0.1 Produksi Pangan &amp; Penduduk'!F461)</f>
        <v/>
      </c>
      <c r="D460" s="3" t="str">
        <f>IF('[1]0.1 Produksi Pangan &amp; Penduduk'!D461="","",'[1]0.1 Produksi Pangan &amp; Penduduk'!D461)</f>
        <v/>
      </c>
      <c r="E460" s="3" t="str">
        <f>IF('[1]0.1 Produksi Pangan &amp; Penduduk'!E461="","",'[1]0.1 Produksi Pangan &amp; Penduduk'!E461)</f>
        <v/>
      </c>
      <c r="F460" s="59" t="str">
        <f>IF(D460="","",VLOOKUP(D460,'[1]0.1 Produksi Pangan &amp; Penduduk'!$D$5:$J$860,7,0))</f>
        <v/>
      </c>
      <c r="G460" s="27" t="str">
        <f t="shared" si="70"/>
        <v/>
      </c>
      <c r="H460" s="27" t="str">
        <f t="shared" si="71"/>
        <v/>
      </c>
      <c r="I460" s="27" t="str">
        <f t="shared" si="72"/>
        <v/>
      </c>
      <c r="J460" s="27" t="str">
        <f t="shared" si="73"/>
        <v/>
      </c>
      <c r="K460" s="27" t="str">
        <f t="shared" si="74"/>
        <v/>
      </c>
      <c r="L460" s="59" t="str">
        <f>IF(D460="","",VLOOKUP(D460,'[1]0.1 Produksi Pangan &amp; Penduduk'!$D$5:$M$860,10,0))</f>
        <v/>
      </c>
      <c r="M460" s="28" t="str">
        <f t="shared" si="75"/>
        <v/>
      </c>
      <c r="N460" s="60" t="str">
        <f t="shared" si="76"/>
        <v/>
      </c>
      <c r="O460" s="60" t="str">
        <f t="shared" si="77"/>
        <v/>
      </c>
      <c r="P460" s="60" t="str">
        <f t="shared" si="78"/>
        <v/>
      </c>
      <c r="Q460" s="28" t="str">
        <f t="shared" si="79"/>
        <v/>
      </c>
    </row>
    <row r="461" spans="1:17" ht="15" x14ac:dyDescent="0.25">
      <c r="A461" s="3" t="str">
        <f>IF('[1]0.1 Produksi Pangan &amp; Penduduk'!A462="","",'[1]0.1 Produksi Pangan &amp; Penduduk'!A462)</f>
        <v/>
      </c>
      <c r="B461" s="2" t="str">
        <f>IF('[1]0.1 Produksi Pangan &amp; Penduduk'!B462="","",'[1]0.1 Produksi Pangan &amp; Penduduk'!B462)</f>
        <v/>
      </c>
      <c r="C461" s="2" t="str">
        <f>IF('[1]0.1 Produksi Pangan &amp; Penduduk'!F462="","",'[1]0.1 Produksi Pangan &amp; Penduduk'!F462)</f>
        <v/>
      </c>
      <c r="D461" s="3" t="str">
        <f>IF('[1]0.1 Produksi Pangan &amp; Penduduk'!D462="","",'[1]0.1 Produksi Pangan &amp; Penduduk'!D462)</f>
        <v/>
      </c>
      <c r="E461" s="3" t="str">
        <f>IF('[1]0.1 Produksi Pangan &amp; Penduduk'!E462="","",'[1]0.1 Produksi Pangan &amp; Penduduk'!E462)</f>
        <v/>
      </c>
      <c r="F461" s="59" t="str">
        <f>IF(D461="","",VLOOKUP(D461,'[1]0.1 Produksi Pangan &amp; Penduduk'!$D$5:$J$860,7,0))</f>
        <v/>
      </c>
      <c r="G461" s="27" t="str">
        <f t="shared" si="70"/>
        <v/>
      </c>
      <c r="H461" s="27" t="str">
        <f t="shared" si="71"/>
        <v/>
      </c>
      <c r="I461" s="27" t="str">
        <f t="shared" si="72"/>
        <v/>
      </c>
      <c r="J461" s="27" t="str">
        <f t="shared" si="73"/>
        <v/>
      </c>
      <c r="K461" s="27" t="str">
        <f t="shared" si="74"/>
        <v/>
      </c>
      <c r="L461" s="59" t="str">
        <f>IF(D461="","",VLOOKUP(D461,'[1]0.1 Produksi Pangan &amp; Penduduk'!$D$5:$M$860,10,0))</f>
        <v/>
      </c>
      <c r="M461" s="28" t="str">
        <f t="shared" si="75"/>
        <v/>
      </c>
      <c r="N461" s="60" t="str">
        <f t="shared" si="76"/>
        <v/>
      </c>
      <c r="O461" s="60" t="str">
        <f t="shared" si="77"/>
        <v/>
      </c>
      <c r="P461" s="60" t="str">
        <f t="shared" si="78"/>
        <v/>
      </c>
      <c r="Q461" s="28" t="str">
        <f t="shared" si="79"/>
        <v/>
      </c>
    </row>
    <row r="462" spans="1:17" ht="15" x14ac:dyDescent="0.25">
      <c r="A462" s="3" t="str">
        <f>IF('[1]0.1 Produksi Pangan &amp; Penduduk'!A463="","",'[1]0.1 Produksi Pangan &amp; Penduduk'!A463)</f>
        <v/>
      </c>
      <c r="B462" s="2" t="str">
        <f>IF('[1]0.1 Produksi Pangan &amp; Penduduk'!B463="","",'[1]0.1 Produksi Pangan &amp; Penduduk'!B463)</f>
        <v/>
      </c>
      <c r="C462" s="2" t="str">
        <f>IF('[1]0.1 Produksi Pangan &amp; Penduduk'!F463="","",'[1]0.1 Produksi Pangan &amp; Penduduk'!F463)</f>
        <v/>
      </c>
      <c r="D462" s="3" t="str">
        <f>IF('[1]0.1 Produksi Pangan &amp; Penduduk'!D463="","",'[1]0.1 Produksi Pangan &amp; Penduduk'!D463)</f>
        <v/>
      </c>
      <c r="E462" s="3" t="str">
        <f>IF('[1]0.1 Produksi Pangan &amp; Penduduk'!E463="","",'[1]0.1 Produksi Pangan &amp; Penduduk'!E463)</f>
        <v/>
      </c>
      <c r="F462" s="59" t="str">
        <f>IF(D462="","",VLOOKUP(D462,'[1]0.1 Produksi Pangan &amp; Penduduk'!$D$5:$J$860,7,0))</f>
        <v/>
      </c>
      <c r="G462" s="27" t="str">
        <f t="shared" si="70"/>
        <v/>
      </c>
      <c r="H462" s="27" t="str">
        <f t="shared" si="71"/>
        <v/>
      </c>
      <c r="I462" s="27" t="str">
        <f t="shared" si="72"/>
        <v/>
      </c>
      <c r="J462" s="27" t="str">
        <f t="shared" si="73"/>
        <v/>
      </c>
      <c r="K462" s="27" t="str">
        <f t="shared" si="74"/>
        <v/>
      </c>
      <c r="L462" s="59" t="str">
        <f>IF(D462="","",VLOOKUP(D462,'[1]0.1 Produksi Pangan &amp; Penduduk'!$D$5:$M$860,10,0))</f>
        <v/>
      </c>
      <c r="M462" s="28" t="str">
        <f t="shared" si="75"/>
        <v/>
      </c>
      <c r="N462" s="60" t="str">
        <f t="shared" si="76"/>
        <v/>
      </c>
      <c r="O462" s="60" t="str">
        <f t="shared" si="77"/>
        <v/>
      </c>
      <c r="P462" s="60" t="str">
        <f t="shared" si="78"/>
        <v/>
      </c>
      <c r="Q462" s="28" t="str">
        <f t="shared" si="79"/>
        <v/>
      </c>
    </row>
    <row r="463" spans="1:17" ht="15" x14ac:dyDescent="0.25">
      <c r="A463" s="3" t="str">
        <f>IF('[1]0.1 Produksi Pangan &amp; Penduduk'!A464="","",'[1]0.1 Produksi Pangan &amp; Penduduk'!A464)</f>
        <v/>
      </c>
      <c r="B463" s="2" t="str">
        <f>IF('[1]0.1 Produksi Pangan &amp; Penduduk'!B464="","",'[1]0.1 Produksi Pangan &amp; Penduduk'!B464)</f>
        <v/>
      </c>
      <c r="C463" s="2" t="str">
        <f>IF('[1]0.1 Produksi Pangan &amp; Penduduk'!F464="","",'[1]0.1 Produksi Pangan &amp; Penduduk'!F464)</f>
        <v/>
      </c>
      <c r="D463" s="3" t="str">
        <f>IF('[1]0.1 Produksi Pangan &amp; Penduduk'!D464="","",'[1]0.1 Produksi Pangan &amp; Penduduk'!D464)</f>
        <v/>
      </c>
      <c r="E463" s="3" t="str">
        <f>IF('[1]0.1 Produksi Pangan &amp; Penduduk'!E464="","",'[1]0.1 Produksi Pangan &amp; Penduduk'!E464)</f>
        <v/>
      </c>
      <c r="F463" s="59" t="str">
        <f>IF(D463="","",VLOOKUP(D463,'[1]0.1 Produksi Pangan &amp; Penduduk'!$D$5:$J$860,7,0))</f>
        <v/>
      </c>
      <c r="G463" s="27" t="str">
        <f t="shared" si="70"/>
        <v/>
      </c>
      <c r="H463" s="27" t="str">
        <f t="shared" si="71"/>
        <v/>
      </c>
      <c r="I463" s="27" t="str">
        <f t="shared" si="72"/>
        <v/>
      </c>
      <c r="J463" s="27" t="str">
        <f t="shared" si="73"/>
        <v/>
      </c>
      <c r="K463" s="27" t="str">
        <f t="shared" si="74"/>
        <v/>
      </c>
      <c r="L463" s="59" t="str">
        <f>IF(D463="","",VLOOKUP(D463,'[1]0.1 Produksi Pangan &amp; Penduduk'!$D$5:$M$860,10,0))</f>
        <v/>
      </c>
      <c r="M463" s="28" t="str">
        <f t="shared" si="75"/>
        <v/>
      </c>
      <c r="N463" s="60" t="str">
        <f t="shared" si="76"/>
        <v/>
      </c>
      <c r="O463" s="60" t="str">
        <f t="shared" si="77"/>
        <v/>
      </c>
      <c r="P463" s="60" t="str">
        <f t="shared" si="78"/>
        <v/>
      </c>
      <c r="Q463" s="28" t="str">
        <f t="shared" si="79"/>
        <v/>
      </c>
    </row>
    <row r="464" spans="1:17" ht="15" x14ac:dyDescent="0.25">
      <c r="A464" s="3" t="str">
        <f>IF('[1]0.1 Produksi Pangan &amp; Penduduk'!A465="","",'[1]0.1 Produksi Pangan &amp; Penduduk'!A465)</f>
        <v/>
      </c>
      <c r="B464" s="2" t="str">
        <f>IF('[1]0.1 Produksi Pangan &amp; Penduduk'!B465="","",'[1]0.1 Produksi Pangan &amp; Penduduk'!B465)</f>
        <v/>
      </c>
      <c r="C464" s="2" t="str">
        <f>IF('[1]0.1 Produksi Pangan &amp; Penduduk'!F465="","",'[1]0.1 Produksi Pangan &amp; Penduduk'!F465)</f>
        <v/>
      </c>
      <c r="D464" s="3" t="str">
        <f>IF('[1]0.1 Produksi Pangan &amp; Penduduk'!D465="","",'[1]0.1 Produksi Pangan &amp; Penduduk'!D465)</f>
        <v/>
      </c>
      <c r="E464" s="3" t="str">
        <f>IF('[1]0.1 Produksi Pangan &amp; Penduduk'!E465="","",'[1]0.1 Produksi Pangan &amp; Penduduk'!E465)</f>
        <v/>
      </c>
      <c r="F464" s="59" t="str">
        <f>IF(D464="","",VLOOKUP(D464,'[1]0.1 Produksi Pangan &amp; Penduduk'!$D$5:$J$860,7,0))</f>
        <v/>
      </c>
      <c r="G464" s="27" t="str">
        <f t="shared" si="70"/>
        <v/>
      </c>
      <c r="H464" s="27" t="str">
        <f t="shared" si="71"/>
        <v/>
      </c>
      <c r="I464" s="27" t="str">
        <f t="shared" si="72"/>
        <v/>
      </c>
      <c r="J464" s="27" t="str">
        <f t="shared" si="73"/>
        <v/>
      </c>
      <c r="K464" s="27" t="str">
        <f t="shared" si="74"/>
        <v/>
      </c>
      <c r="L464" s="59" t="str">
        <f>IF(D464="","",VLOOKUP(D464,'[1]0.1 Produksi Pangan &amp; Penduduk'!$D$5:$M$860,10,0))</f>
        <v/>
      </c>
      <c r="M464" s="28" t="str">
        <f t="shared" si="75"/>
        <v/>
      </c>
      <c r="N464" s="60" t="str">
        <f t="shared" si="76"/>
        <v/>
      </c>
      <c r="O464" s="60" t="str">
        <f t="shared" si="77"/>
        <v/>
      </c>
      <c r="P464" s="60" t="str">
        <f t="shared" si="78"/>
        <v/>
      </c>
      <c r="Q464" s="28" t="str">
        <f t="shared" si="79"/>
        <v/>
      </c>
    </row>
    <row r="465" spans="1:17" ht="15" x14ac:dyDescent="0.25">
      <c r="A465" s="3" t="str">
        <f>IF('[1]0.1 Produksi Pangan &amp; Penduduk'!A466="","",'[1]0.1 Produksi Pangan &amp; Penduduk'!A466)</f>
        <v/>
      </c>
      <c r="B465" s="2" t="str">
        <f>IF('[1]0.1 Produksi Pangan &amp; Penduduk'!B466="","",'[1]0.1 Produksi Pangan &amp; Penduduk'!B466)</f>
        <v/>
      </c>
      <c r="C465" s="2" t="str">
        <f>IF('[1]0.1 Produksi Pangan &amp; Penduduk'!F466="","",'[1]0.1 Produksi Pangan &amp; Penduduk'!F466)</f>
        <v/>
      </c>
      <c r="D465" s="3" t="str">
        <f>IF('[1]0.1 Produksi Pangan &amp; Penduduk'!D466="","",'[1]0.1 Produksi Pangan &amp; Penduduk'!D466)</f>
        <v/>
      </c>
      <c r="E465" s="3" t="str">
        <f>IF('[1]0.1 Produksi Pangan &amp; Penduduk'!E466="","",'[1]0.1 Produksi Pangan &amp; Penduduk'!E466)</f>
        <v/>
      </c>
      <c r="F465" s="59" t="str">
        <f>IF(D465="","",VLOOKUP(D465,'[1]0.1 Produksi Pangan &amp; Penduduk'!$D$5:$J$860,7,0))</f>
        <v/>
      </c>
      <c r="G465" s="27" t="str">
        <f t="shared" si="70"/>
        <v/>
      </c>
      <c r="H465" s="27" t="str">
        <f t="shared" si="71"/>
        <v/>
      </c>
      <c r="I465" s="27" t="str">
        <f t="shared" si="72"/>
        <v/>
      </c>
      <c r="J465" s="27" t="str">
        <f t="shared" si="73"/>
        <v/>
      </c>
      <c r="K465" s="27" t="str">
        <f t="shared" si="74"/>
        <v/>
      </c>
      <c r="L465" s="59" t="str">
        <f>IF(D465="","",VLOOKUP(D465,'[1]0.1 Produksi Pangan &amp; Penduduk'!$D$5:$M$860,10,0))</f>
        <v/>
      </c>
      <c r="M465" s="28" t="str">
        <f t="shared" si="75"/>
        <v/>
      </c>
      <c r="N465" s="60" t="str">
        <f t="shared" si="76"/>
        <v/>
      </c>
      <c r="O465" s="60" t="str">
        <f t="shared" si="77"/>
        <v/>
      </c>
      <c r="P465" s="60" t="str">
        <f t="shared" si="78"/>
        <v/>
      </c>
      <c r="Q465" s="28" t="str">
        <f t="shared" si="79"/>
        <v/>
      </c>
    </row>
    <row r="466" spans="1:17" ht="15" x14ac:dyDescent="0.25">
      <c r="A466" s="3" t="str">
        <f>IF('[1]0.1 Produksi Pangan &amp; Penduduk'!A467="","",'[1]0.1 Produksi Pangan &amp; Penduduk'!A467)</f>
        <v/>
      </c>
      <c r="B466" s="2" t="str">
        <f>IF('[1]0.1 Produksi Pangan &amp; Penduduk'!B467="","",'[1]0.1 Produksi Pangan &amp; Penduduk'!B467)</f>
        <v/>
      </c>
      <c r="C466" s="2" t="str">
        <f>IF('[1]0.1 Produksi Pangan &amp; Penduduk'!F467="","",'[1]0.1 Produksi Pangan &amp; Penduduk'!F467)</f>
        <v/>
      </c>
      <c r="D466" s="3" t="str">
        <f>IF('[1]0.1 Produksi Pangan &amp; Penduduk'!D467="","",'[1]0.1 Produksi Pangan &amp; Penduduk'!D467)</f>
        <v/>
      </c>
      <c r="E466" s="3" t="str">
        <f>IF('[1]0.1 Produksi Pangan &amp; Penduduk'!E467="","",'[1]0.1 Produksi Pangan &amp; Penduduk'!E467)</f>
        <v/>
      </c>
      <c r="F466" s="59" t="str">
        <f>IF(D466="","",VLOOKUP(D466,'[1]0.1 Produksi Pangan &amp; Penduduk'!$D$5:$J$860,7,0))</f>
        <v/>
      </c>
      <c r="G466" s="27" t="str">
        <f t="shared" si="70"/>
        <v/>
      </c>
      <c r="H466" s="27" t="str">
        <f t="shared" si="71"/>
        <v/>
      </c>
      <c r="I466" s="27" t="str">
        <f t="shared" si="72"/>
        <v/>
      </c>
      <c r="J466" s="27" t="str">
        <f t="shared" si="73"/>
        <v/>
      </c>
      <c r="K466" s="27" t="str">
        <f t="shared" si="74"/>
        <v/>
      </c>
      <c r="L466" s="59" t="str">
        <f>IF(D466="","",VLOOKUP(D466,'[1]0.1 Produksi Pangan &amp; Penduduk'!$D$5:$M$860,10,0))</f>
        <v/>
      </c>
      <c r="M466" s="28" t="str">
        <f t="shared" si="75"/>
        <v/>
      </c>
      <c r="N466" s="60" t="str">
        <f t="shared" si="76"/>
        <v/>
      </c>
      <c r="O466" s="60" t="str">
        <f t="shared" si="77"/>
        <v/>
      </c>
      <c r="P466" s="60" t="str">
        <f t="shared" si="78"/>
        <v/>
      </c>
      <c r="Q466" s="28" t="str">
        <f t="shared" si="79"/>
        <v/>
      </c>
    </row>
    <row r="467" spans="1:17" ht="15" x14ac:dyDescent="0.25">
      <c r="A467" s="3" t="str">
        <f>IF('[1]0.1 Produksi Pangan &amp; Penduduk'!A468="","",'[1]0.1 Produksi Pangan &amp; Penduduk'!A468)</f>
        <v/>
      </c>
      <c r="B467" s="2" t="str">
        <f>IF('[1]0.1 Produksi Pangan &amp; Penduduk'!B468="","",'[1]0.1 Produksi Pangan &amp; Penduduk'!B468)</f>
        <v/>
      </c>
      <c r="C467" s="2" t="str">
        <f>IF('[1]0.1 Produksi Pangan &amp; Penduduk'!F468="","",'[1]0.1 Produksi Pangan &amp; Penduduk'!F468)</f>
        <v/>
      </c>
      <c r="D467" s="3" t="str">
        <f>IF('[1]0.1 Produksi Pangan &amp; Penduduk'!D468="","",'[1]0.1 Produksi Pangan &amp; Penduduk'!D468)</f>
        <v/>
      </c>
      <c r="E467" s="3" t="str">
        <f>IF('[1]0.1 Produksi Pangan &amp; Penduduk'!E468="","",'[1]0.1 Produksi Pangan &amp; Penduduk'!E468)</f>
        <v/>
      </c>
      <c r="F467" s="59" t="str">
        <f>IF(D467="","",VLOOKUP(D467,'[1]0.1 Produksi Pangan &amp; Penduduk'!$D$5:$J$860,7,0))</f>
        <v/>
      </c>
      <c r="G467" s="27" t="str">
        <f t="shared" si="70"/>
        <v/>
      </c>
      <c r="H467" s="27" t="str">
        <f t="shared" si="71"/>
        <v/>
      </c>
      <c r="I467" s="27" t="str">
        <f t="shared" si="72"/>
        <v/>
      </c>
      <c r="J467" s="27" t="str">
        <f t="shared" si="73"/>
        <v/>
      </c>
      <c r="K467" s="27" t="str">
        <f t="shared" si="74"/>
        <v/>
      </c>
      <c r="L467" s="59" t="str">
        <f>IF(D467="","",VLOOKUP(D467,'[1]0.1 Produksi Pangan &amp; Penduduk'!$D$5:$M$860,10,0))</f>
        <v/>
      </c>
      <c r="M467" s="28" t="str">
        <f t="shared" si="75"/>
        <v/>
      </c>
      <c r="N467" s="60" t="str">
        <f t="shared" si="76"/>
        <v/>
      </c>
      <c r="O467" s="60" t="str">
        <f t="shared" si="77"/>
        <v/>
      </c>
      <c r="P467" s="60" t="str">
        <f t="shared" si="78"/>
        <v/>
      </c>
      <c r="Q467" s="28" t="str">
        <f t="shared" si="79"/>
        <v/>
      </c>
    </row>
    <row r="468" spans="1:17" ht="15" x14ac:dyDescent="0.25">
      <c r="A468" s="3" t="str">
        <f>IF('[1]0.1 Produksi Pangan &amp; Penduduk'!A469="","",'[1]0.1 Produksi Pangan &amp; Penduduk'!A469)</f>
        <v/>
      </c>
      <c r="B468" s="2" t="str">
        <f>IF('[1]0.1 Produksi Pangan &amp; Penduduk'!B469="","",'[1]0.1 Produksi Pangan &amp; Penduduk'!B469)</f>
        <v/>
      </c>
      <c r="C468" s="2" t="str">
        <f>IF('[1]0.1 Produksi Pangan &amp; Penduduk'!F469="","",'[1]0.1 Produksi Pangan &amp; Penduduk'!F469)</f>
        <v/>
      </c>
      <c r="D468" s="3" t="str">
        <f>IF('[1]0.1 Produksi Pangan &amp; Penduduk'!D469="","",'[1]0.1 Produksi Pangan &amp; Penduduk'!D469)</f>
        <v/>
      </c>
      <c r="E468" s="3" t="str">
        <f>IF('[1]0.1 Produksi Pangan &amp; Penduduk'!E469="","",'[1]0.1 Produksi Pangan &amp; Penduduk'!E469)</f>
        <v/>
      </c>
      <c r="F468" s="59" t="str">
        <f>IF(D468="","",VLOOKUP(D468,'[1]0.1 Produksi Pangan &amp; Penduduk'!$D$5:$J$860,7,0))</f>
        <v/>
      </c>
      <c r="G468" s="27" t="str">
        <f t="shared" si="70"/>
        <v/>
      </c>
      <c r="H468" s="27" t="str">
        <f t="shared" si="71"/>
        <v/>
      </c>
      <c r="I468" s="27" t="str">
        <f t="shared" si="72"/>
        <v/>
      </c>
      <c r="J468" s="27" t="str">
        <f t="shared" si="73"/>
        <v/>
      </c>
      <c r="K468" s="27" t="str">
        <f t="shared" si="74"/>
        <v/>
      </c>
      <c r="L468" s="59" t="str">
        <f>IF(D468="","",VLOOKUP(D468,'[1]0.1 Produksi Pangan &amp; Penduduk'!$D$5:$M$860,10,0))</f>
        <v/>
      </c>
      <c r="M468" s="28" t="str">
        <f t="shared" si="75"/>
        <v/>
      </c>
      <c r="N468" s="60" t="str">
        <f t="shared" si="76"/>
        <v/>
      </c>
      <c r="O468" s="60" t="str">
        <f t="shared" si="77"/>
        <v/>
      </c>
      <c r="P468" s="60" t="str">
        <f t="shared" si="78"/>
        <v/>
      </c>
      <c r="Q468" s="28" t="str">
        <f t="shared" si="79"/>
        <v/>
      </c>
    </row>
    <row r="469" spans="1:17" ht="15" x14ac:dyDescent="0.25">
      <c r="A469" s="3" t="str">
        <f>IF('[1]0.1 Produksi Pangan &amp; Penduduk'!A470="","",'[1]0.1 Produksi Pangan &amp; Penduduk'!A470)</f>
        <v/>
      </c>
      <c r="B469" s="2" t="str">
        <f>IF('[1]0.1 Produksi Pangan &amp; Penduduk'!B470="","",'[1]0.1 Produksi Pangan &amp; Penduduk'!B470)</f>
        <v/>
      </c>
      <c r="C469" s="2" t="str">
        <f>IF('[1]0.1 Produksi Pangan &amp; Penduduk'!F470="","",'[1]0.1 Produksi Pangan &amp; Penduduk'!F470)</f>
        <v/>
      </c>
      <c r="D469" s="3" t="str">
        <f>IF('[1]0.1 Produksi Pangan &amp; Penduduk'!D470="","",'[1]0.1 Produksi Pangan &amp; Penduduk'!D470)</f>
        <v/>
      </c>
      <c r="E469" s="3" t="str">
        <f>IF('[1]0.1 Produksi Pangan &amp; Penduduk'!E470="","",'[1]0.1 Produksi Pangan &amp; Penduduk'!E470)</f>
        <v/>
      </c>
      <c r="F469" s="59" t="str">
        <f>IF(D469="","",VLOOKUP(D469,'[1]0.1 Produksi Pangan &amp; Penduduk'!$D$5:$J$860,7,0))</f>
        <v/>
      </c>
      <c r="G469" s="27" t="str">
        <f t="shared" si="70"/>
        <v/>
      </c>
      <c r="H469" s="27" t="str">
        <f t="shared" si="71"/>
        <v/>
      </c>
      <c r="I469" s="27" t="str">
        <f t="shared" si="72"/>
        <v/>
      </c>
      <c r="J469" s="27" t="str">
        <f t="shared" si="73"/>
        <v/>
      </c>
      <c r="K469" s="27" t="str">
        <f t="shared" si="74"/>
        <v/>
      </c>
      <c r="L469" s="59" t="str">
        <f>IF(D469="","",VLOOKUP(D469,'[1]0.1 Produksi Pangan &amp; Penduduk'!$D$5:$M$860,10,0))</f>
        <v/>
      </c>
      <c r="M469" s="28" t="str">
        <f t="shared" si="75"/>
        <v/>
      </c>
      <c r="N469" s="60" t="str">
        <f t="shared" si="76"/>
        <v/>
      </c>
      <c r="O469" s="60" t="str">
        <f t="shared" si="77"/>
        <v/>
      </c>
      <c r="P469" s="60" t="str">
        <f t="shared" si="78"/>
        <v/>
      </c>
      <c r="Q469" s="28" t="str">
        <f t="shared" si="79"/>
        <v/>
      </c>
    </row>
    <row r="470" spans="1:17" ht="15" x14ac:dyDescent="0.25">
      <c r="A470" s="3" t="str">
        <f>IF('[1]0.1 Produksi Pangan &amp; Penduduk'!A471="","",'[1]0.1 Produksi Pangan &amp; Penduduk'!A471)</f>
        <v/>
      </c>
      <c r="B470" s="2" t="str">
        <f>IF('[1]0.1 Produksi Pangan &amp; Penduduk'!B471="","",'[1]0.1 Produksi Pangan &amp; Penduduk'!B471)</f>
        <v/>
      </c>
      <c r="C470" s="2" t="str">
        <f>IF('[1]0.1 Produksi Pangan &amp; Penduduk'!F471="","",'[1]0.1 Produksi Pangan &amp; Penduduk'!F471)</f>
        <v/>
      </c>
      <c r="D470" s="3" t="str">
        <f>IF('[1]0.1 Produksi Pangan &amp; Penduduk'!D471="","",'[1]0.1 Produksi Pangan &amp; Penduduk'!D471)</f>
        <v/>
      </c>
      <c r="E470" s="3" t="str">
        <f>IF('[1]0.1 Produksi Pangan &amp; Penduduk'!E471="","",'[1]0.1 Produksi Pangan &amp; Penduduk'!E471)</f>
        <v/>
      </c>
      <c r="F470" s="59" t="str">
        <f>IF(D470="","",VLOOKUP(D470,'[1]0.1 Produksi Pangan &amp; Penduduk'!$D$5:$J$860,7,0))</f>
        <v/>
      </c>
      <c r="G470" s="27" t="str">
        <f t="shared" si="70"/>
        <v/>
      </c>
      <c r="H470" s="27" t="str">
        <f t="shared" si="71"/>
        <v/>
      </c>
      <c r="I470" s="27" t="str">
        <f t="shared" si="72"/>
        <v/>
      </c>
      <c r="J470" s="27" t="str">
        <f t="shared" si="73"/>
        <v/>
      </c>
      <c r="K470" s="27" t="str">
        <f t="shared" si="74"/>
        <v/>
      </c>
      <c r="L470" s="59" t="str">
        <f>IF(D470="","",VLOOKUP(D470,'[1]0.1 Produksi Pangan &amp; Penduduk'!$D$5:$M$860,10,0))</f>
        <v/>
      </c>
      <c r="M470" s="28" t="str">
        <f t="shared" si="75"/>
        <v/>
      </c>
      <c r="N470" s="60" t="str">
        <f t="shared" si="76"/>
        <v/>
      </c>
      <c r="O470" s="60" t="str">
        <f t="shared" si="77"/>
        <v/>
      </c>
      <c r="P470" s="60" t="str">
        <f t="shared" si="78"/>
        <v/>
      </c>
      <c r="Q470" s="28" t="str">
        <f t="shared" si="79"/>
        <v/>
      </c>
    </row>
    <row r="471" spans="1:17" ht="15" x14ac:dyDescent="0.25">
      <c r="A471" s="3" t="str">
        <f>IF('[1]0.1 Produksi Pangan &amp; Penduduk'!A472="","",'[1]0.1 Produksi Pangan &amp; Penduduk'!A472)</f>
        <v/>
      </c>
      <c r="B471" s="2" t="str">
        <f>IF('[1]0.1 Produksi Pangan &amp; Penduduk'!B472="","",'[1]0.1 Produksi Pangan &amp; Penduduk'!B472)</f>
        <v/>
      </c>
      <c r="C471" s="2" t="str">
        <f>IF('[1]0.1 Produksi Pangan &amp; Penduduk'!F472="","",'[1]0.1 Produksi Pangan &amp; Penduduk'!F472)</f>
        <v/>
      </c>
      <c r="D471" s="3" t="str">
        <f>IF('[1]0.1 Produksi Pangan &amp; Penduduk'!D472="","",'[1]0.1 Produksi Pangan &amp; Penduduk'!D472)</f>
        <v/>
      </c>
      <c r="E471" s="3" t="str">
        <f>IF('[1]0.1 Produksi Pangan &amp; Penduduk'!E472="","",'[1]0.1 Produksi Pangan &amp; Penduduk'!E472)</f>
        <v/>
      </c>
      <c r="F471" s="59" t="str">
        <f>IF(D471="","",VLOOKUP(D471,'[1]0.1 Produksi Pangan &amp; Penduduk'!$D$5:$J$860,7,0))</f>
        <v/>
      </c>
      <c r="G471" s="27" t="str">
        <f t="shared" si="70"/>
        <v/>
      </c>
      <c r="H471" s="27" t="str">
        <f t="shared" si="71"/>
        <v/>
      </c>
      <c r="I471" s="27" t="str">
        <f t="shared" si="72"/>
        <v/>
      </c>
      <c r="J471" s="27" t="str">
        <f t="shared" si="73"/>
        <v/>
      </c>
      <c r="K471" s="27" t="str">
        <f t="shared" si="74"/>
        <v/>
      </c>
      <c r="L471" s="59" t="str">
        <f>IF(D471="","",VLOOKUP(D471,'[1]0.1 Produksi Pangan &amp; Penduduk'!$D$5:$M$860,10,0))</f>
        <v/>
      </c>
      <c r="M471" s="28" t="str">
        <f t="shared" si="75"/>
        <v/>
      </c>
      <c r="N471" s="60" t="str">
        <f t="shared" si="76"/>
        <v/>
      </c>
      <c r="O471" s="60" t="str">
        <f t="shared" si="77"/>
        <v/>
      </c>
      <c r="P471" s="60" t="str">
        <f t="shared" si="78"/>
        <v/>
      </c>
      <c r="Q471" s="28" t="str">
        <f t="shared" si="79"/>
        <v/>
      </c>
    </row>
    <row r="472" spans="1:17" ht="15" x14ac:dyDescent="0.25">
      <c r="A472" s="3" t="str">
        <f>IF('[1]0.1 Produksi Pangan &amp; Penduduk'!A473="","",'[1]0.1 Produksi Pangan &amp; Penduduk'!A473)</f>
        <v/>
      </c>
      <c r="B472" s="2" t="str">
        <f>IF('[1]0.1 Produksi Pangan &amp; Penduduk'!B473="","",'[1]0.1 Produksi Pangan &amp; Penduduk'!B473)</f>
        <v/>
      </c>
      <c r="C472" s="2" t="str">
        <f>IF('[1]0.1 Produksi Pangan &amp; Penduduk'!F473="","",'[1]0.1 Produksi Pangan &amp; Penduduk'!F473)</f>
        <v/>
      </c>
      <c r="D472" s="3" t="str">
        <f>IF('[1]0.1 Produksi Pangan &amp; Penduduk'!D473="","",'[1]0.1 Produksi Pangan &amp; Penduduk'!D473)</f>
        <v/>
      </c>
      <c r="E472" s="3" t="str">
        <f>IF('[1]0.1 Produksi Pangan &amp; Penduduk'!E473="","",'[1]0.1 Produksi Pangan &amp; Penduduk'!E473)</f>
        <v/>
      </c>
      <c r="F472" s="59" t="str">
        <f>IF(D472="","",VLOOKUP(D472,'[1]0.1 Produksi Pangan &amp; Penduduk'!$D$5:$J$860,7,0))</f>
        <v/>
      </c>
      <c r="G472" s="27" t="str">
        <f t="shared" si="70"/>
        <v/>
      </c>
      <c r="H472" s="27" t="str">
        <f t="shared" si="71"/>
        <v/>
      </c>
      <c r="I472" s="27" t="str">
        <f t="shared" si="72"/>
        <v/>
      </c>
      <c r="J472" s="27" t="str">
        <f t="shared" si="73"/>
        <v/>
      </c>
      <c r="K472" s="27" t="str">
        <f t="shared" si="74"/>
        <v/>
      </c>
      <c r="L472" s="59" t="str">
        <f>IF(D472="","",VLOOKUP(D472,'[1]0.1 Produksi Pangan &amp; Penduduk'!$D$5:$M$860,10,0))</f>
        <v/>
      </c>
      <c r="M472" s="28" t="str">
        <f t="shared" si="75"/>
        <v/>
      </c>
      <c r="N472" s="60" t="str">
        <f t="shared" si="76"/>
        <v/>
      </c>
      <c r="O472" s="60" t="str">
        <f t="shared" si="77"/>
        <v/>
      </c>
      <c r="P472" s="60" t="str">
        <f t="shared" si="78"/>
        <v/>
      </c>
      <c r="Q472" s="28" t="str">
        <f t="shared" si="79"/>
        <v/>
      </c>
    </row>
    <row r="473" spans="1:17" ht="15" x14ac:dyDescent="0.25">
      <c r="A473" s="3" t="str">
        <f>IF('[1]0.1 Produksi Pangan &amp; Penduduk'!A474="","",'[1]0.1 Produksi Pangan &amp; Penduduk'!A474)</f>
        <v/>
      </c>
      <c r="B473" s="2" t="str">
        <f>IF('[1]0.1 Produksi Pangan &amp; Penduduk'!B474="","",'[1]0.1 Produksi Pangan &amp; Penduduk'!B474)</f>
        <v/>
      </c>
      <c r="C473" s="2" t="str">
        <f>IF('[1]0.1 Produksi Pangan &amp; Penduduk'!F474="","",'[1]0.1 Produksi Pangan &amp; Penduduk'!F474)</f>
        <v/>
      </c>
      <c r="D473" s="3" t="str">
        <f>IF('[1]0.1 Produksi Pangan &amp; Penduduk'!D474="","",'[1]0.1 Produksi Pangan &amp; Penduduk'!D474)</f>
        <v/>
      </c>
      <c r="E473" s="3" t="str">
        <f>IF('[1]0.1 Produksi Pangan &amp; Penduduk'!E474="","",'[1]0.1 Produksi Pangan &amp; Penduduk'!E474)</f>
        <v/>
      </c>
      <c r="F473" s="59" t="str">
        <f>IF(D473="","",VLOOKUP(D473,'[1]0.1 Produksi Pangan &amp; Penduduk'!$D$5:$J$860,7,0))</f>
        <v/>
      </c>
      <c r="G473" s="27" t="str">
        <f t="shared" si="70"/>
        <v/>
      </c>
      <c r="H473" s="27" t="str">
        <f t="shared" si="71"/>
        <v/>
      </c>
      <c r="I473" s="27" t="str">
        <f t="shared" si="72"/>
        <v/>
      </c>
      <c r="J473" s="27" t="str">
        <f t="shared" si="73"/>
        <v/>
      </c>
      <c r="K473" s="27" t="str">
        <f t="shared" si="74"/>
        <v/>
      </c>
      <c r="L473" s="59" t="str">
        <f>IF(D473="","",VLOOKUP(D473,'[1]0.1 Produksi Pangan &amp; Penduduk'!$D$5:$M$860,10,0))</f>
        <v/>
      </c>
      <c r="M473" s="28" t="str">
        <f t="shared" si="75"/>
        <v/>
      </c>
      <c r="N473" s="60" t="str">
        <f t="shared" si="76"/>
        <v/>
      </c>
      <c r="O473" s="60" t="str">
        <f t="shared" si="77"/>
        <v/>
      </c>
      <c r="P473" s="60" t="str">
        <f t="shared" si="78"/>
        <v/>
      </c>
      <c r="Q473" s="28" t="str">
        <f t="shared" si="79"/>
        <v/>
      </c>
    </row>
    <row r="474" spans="1:17" ht="15" x14ac:dyDescent="0.25">
      <c r="A474" s="3" t="str">
        <f>IF('[1]0.1 Produksi Pangan &amp; Penduduk'!A475="","",'[1]0.1 Produksi Pangan &amp; Penduduk'!A475)</f>
        <v/>
      </c>
      <c r="B474" s="2" t="str">
        <f>IF('[1]0.1 Produksi Pangan &amp; Penduduk'!B475="","",'[1]0.1 Produksi Pangan &amp; Penduduk'!B475)</f>
        <v/>
      </c>
      <c r="C474" s="2" t="str">
        <f>IF('[1]0.1 Produksi Pangan &amp; Penduduk'!F475="","",'[1]0.1 Produksi Pangan &amp; Penduduk'!F475)</f>
        <v/>
      </c>
      <c r="D474" s="3" t="str">
        <f>IF('[1]0.1 Produksi Pangan &amp; Penduduk'!D475="","",'[1]0.1 Produksi Pangan &amp; Penduduk'!D475)</f>
        <v/>
      </c>
      <c r="E474" s="3" t="str">
        <f>IF('[1]0.1 Produksi Pangan &amp; Penduduk'!E475="","",'[1]0.1 Produksi Pangan &amp; Penduduk'!E475)</f>
        <v/>
      </c>
      <c r="F474" s="59" t="str">
        <f>IF(D474="","",VLOOKUP(D474,'[1]0.1 Produksi Pangan &amp; Penduduk'!$D$5:$J$860,7,0))</f>
        <v/>
      </c>
      <c r="G474" s="27" t="str">
        <f t="shared" si="70"/>
        <v/>
      </c>
      <c r="H474" s="27" t="str">
        <f t="shared" si="71"/>
        <v/>
      </c>
      <c r="I474" s="27" t="str">
        <f t="shared" si="72"/>
        <v/>
      </c>
      <c r="J474" s="27" t="str">
        <f t="shared" si="73"/>
        <v/>
      </c>
      <c r="K474" s="27" t="str">
        <f t="shared" si="74"/>
        <v/>
      </c>
      <c r="L474" s="59" t="str">
        <f>IF(D474="","",VLOOKUP(D474,'[1]0.1 Produksi Pangan &amp; Penduduk'!$D$5:$M$860,10,0))</f>
        <v/>
      </c>
      <c r="M474" s="28" t="str">
        <f t="shared" si="75"/>
        <v/>
      </c>
      <c r="N474" s="60" t="str">
        <f t="shared" si="76"/>
        <v/>
      </c>
      <c r="O474" s="60" t="str">
        <f t="shared" si="77"/>
        <v/>
      </c>
      <c r="P474" s="60" t="str">
        <f t="shared" si="78"/>
        <v/>
      </c>
      <c r="Q474" s="28" t="str">
        <f t="shared" si="79"/>
        <v/>
      </c>
    </row>
    <row r="475" spans="1:17" ht="15" x14ac:dyDescent="0.25">
      <c r="A475" s="3" t="str">
        <f>IF('[1]0.1 Produksi Pangan &amp; Penduduk'!A476="","",'[1]0.1 Produksi Pangan &amp; Penduduk'!A476)</f>
        <v/>
      </c>
      <c r="B475" s="2" t="str">
        <f>IF('[1]0.1 Produksi Pangan &amp; Penduduk'!B476="","",'[1]0.1 Produksi Pangan &amp; Penduduk'!B476)</f>
        <v/>
      </c>
      <c r="C475" s="2" t="str">
        <f>IF('[1]0.1 Produksi Pangan &amp; Penduduk'!F476="","",'[1]0.1 Produksi Pangan &amp; Penduduk'!F476)</f>
        <v/>
      </c>
      <c r="D475" s="3" t="str">
        <f>IF('[1]0.1 Produksi Pangan &amp; Penduduk'!D476="","",'[1]0.1 Produksi Pangan &amp; Penduduk'!D476)</f>
        <v/>
      </c>
      <c r="E475" s="3" t="str">
        <f>IF('[1]0.1 Produksi Pangan &amp; Penduduk'!E476="","",'[1]0.1 Produksi Pangan &amp; Penduduk'!E476)</f>
        <v/>
      </c>
      <c r="F475" s="59" t="str">
        <f>IF(D475="","",VLOOKUP(D475,'[1]0.1 Produksi Pangan &amp; Penduduk'!$D$5:$J$860,7,0))</f>
        <v/>
      </c>
      <c r="G475" s="27" t="str">
        <f t="shared" si="70"/>
        <v/>
      </c>
      <c r="H475" s="27" t="str">
        <f t="shared" si="71"/>
        <v/>
      </c>
      <c r="I475" s="27" t="str">
        <f t="shared" si="72"/>
        <v/>
      </c>
      <c r="J475" s="27" t="str">
        <f t="shared" si="73"/>
        <v/>
      </c>
      <c r="K475" s="27" t="str">
        <f t="shared" si="74"/>
        <v/>
      </c>
      <c r="L475" s="59" t="str">
        <f>IF(D475="","",VLOOKUP(D475,'[1]0.1 Produksi Pangan &amp; Penduduk'!$D$5:$M$860,10,0))</f>
        <v/>
      </c>
      <c r="M475" s="28" t="str">
        <f t="shared" si="75"/>
        <v/>
      </c>
      <c r="N475" s="60" t="str">
        <f t="shared" si="76"/>
        <v/>
      </c>
      <c r="O475" s="60" t="str">
        <f t="shared" si="77"/>
        <v/>
      </c>
      <c r="P475" s="60" t="str">
        <f t="shared" si="78"/>
        <v/>
      </c>
      <c r="Q475" s="28" t="str">
        <f t="shared" si="79"/>
        <v/>
      </c>
    </row>
    <row r="476" spans="1:17" ht="15" x14ac:dyDescent="0.25">
      <c r="A476" s="3" t="str">
        <f>IF('[1]0.1 Produksi Pangan &amp; Penduduk'!A477="","",'[1]0.1 Produksi Pangan &amp; Penduduk'!A477)</f>
        <v/>
      </c>
      <c r="B476" s="2" t="str">
        <f>IF('[1]0.1 Produksi Pangan &amp; Penduduk'!B477="","",'[1]0.1 Produksi Pangan &amp; Penduduk'!B477)</f>
        <v/>
      </c>
      <c r="C476" s="2" t="str">
        <f>IF('[1]0.1 Produksi Pangan &amp; Penduduk'!F477="","",'[1]0.1 Produksi Pangan &amp; Penduduk'!F477)</f>
        <v/>
      </c>
      <c r="D476" s="3" t="str">
        <f>IF('[1]0.1 Produksi Pangan &amp; Penduduk'!D477="","",'[1]0.1 Produksi Pangan &amp; Penduduk'!D477)</f>
        <v/>
      </c>
      <c r="E476" s="3" t="str">
        <f>IF('[1]0.1 Produksi Pangan &amp; Penduduk'!E477="","",'[1]0.1 Produksi Pangan &amp; Penduduk'!E477)</f>
        <v/>
      </c>
      <c r="F476" s="59" t="str">
        <f>IF(D476="","",VLOOKUP(D476,'[1]0.1 Produksi Pangan &amp; Penduduk'!$D$5:$J$860,7,0))</f>
        <v/>
      </c>
      <c r="G476" s="27" t="str">
        <f t="shared" si="70"/>
        <v/>
      </c>
      <c r="H476" s="27" t="str">
        <f t="shared" si="71"/>
        <v/>
      </c>
      <c r="I476" s="27" t="str">
        <f t="shared" si="72"/>
        <v/>
      </c>
      <c r="J476" s="27" t="str">
        <f t="shared" si="73"/>
        <v/>
      </c>
      <c r="K476" s="27" t="str">
        <f t="shared" si="74"/>
        <v/>
      </c>
      <c r="L476" s="59" t="str">
        <f>IF(D476="","",VLOOKUP(D476,'[1]0.1 Produksi Pangan &amp; Penduduk'!$D$5:$M$860,10,0))</f>
        <v/>
      </c>
      <c r="M476" s="28" t="str">
        <f t="shared" si="75"/>
        <v/>
      </c>
      <c r="N476" s="60" t="str">
        <f t="shared" si="76"/>
        <v/>
      </c>
      <c r="O476" s="60" t="str">
        <f t="shared" si="77"/>
        <v/>
      </c>
      <c r="P476" s="60" t="str">
        <f t="shared" si="78"/>
        <v/>
      </c>
      <c r="Q476" s="28" t="str">
        <f t="shared" si="79"/>
        <v/>
      </c>
    </row>
    <row r="477" spans="1:17" ht="15" x14ac:dyDescent="0.25">
      <c r="A477" s="3" t="str">
        <f>IF('[1]0.1 Produksi Pangan &amp; Penduduk'!A478="","",'[1]0.1 Produksi Pangan &amp; Penduduk'!A478)</f>
        <v/>
      </c>
      <c r="B477" s="2" t="str">
        <f>IF('[1]0.1 Produksi Pangan &amp; Penduduk'!B478="","",'[1]0.1 Produksi Pangan &amp; Penduduk'!B478)</f>
        <v/>
      </c>
      <c r="C477" s="2" t="str">
        <f>IF('[1]0.1 Produksi Pangan &amp; Penduduk'!F478="","",'[1]0.1 Produksi Pangan &amp; Penduduk'!F478)</f>
        <v/>
      </c>
      <c r="D477" s="3" t="str">
        <f>IF('[1]0.1 Produksi Pangan &amp; Penduduk'!D478="","",'[1]0.1 Produksi Pangan &amp; Penduduk'!D478)</f>
        <v/>
      </c>
      <c r="E477" s="3" t="str">
        <f>IF('[1]0.1 Produksi Pangan &amp; Penduduk'!E478="","",'[1]0.1 Produksi Pangan &amp; Penduduk'!E478)</f>
        <v/>
      </c>
      <c r="F477" s="59" t="str">
        <f>IF(D477="","",VLOOKUP(D477,'[1]0.1 Produksi Pangan &amp; Penduduk'!$D$5:$J$860,7,0))</f>
        <v/>
      </c>
      <c r="G477" s="27" t="str">
        <f t="shared" si="70"/>
        <v/>
      </c>
      <c r="H477" s="27" t="str">
        <f t="shared" si="71"/>
        <v/>
      </c>
      <c r="I477" s="27" t="str">
        <f t="shared" si="72"/>
        <v/>
      </c>
      <c r="J477" s="27" t="str">
        <f t="shared" si="73"/>
        <v/>
      </c>
      <c r="K477" s="27" t="str">
        <f t="shared" si="74"/>
        <v/>
      </c>
      <c r="L477" s="59" t="str">
        <f>IF(D477="","",VLOOKUP(D477,'[1]0.1 Produksi Pangan &amp; Penduduk'!$D$5:$M$860,10,0))</f>
        <v/>
      </c>
      <c r="M477" s="28" t="str">
        <f t="shared" si="75"/>
        <v/>
      </c>
      <c r="N477" s="60" t="str">
        <f t="shared" si="76"/>
        <v/>
      </c>
      <c r="O477" s="60" t="str">
        <f t="shared" si="77"/>
        <v/>
      </c>
      <c r="P477" s="60" t="str">
        <f t="shared" si="78"/>
        <v/>
      </c>
      <c r="Q477" s="28" t="str">
        <f t="shared" si="79"/>
        <v/>
      </c>
    </row>
    <row r="478" spans="1:17" ht="15" x14ac:dyDescent="0.25">
      <c r="A478" s="3" t="str">
        <f>IF('[1]0.1 Produksi Pangan &amp; Penduduk'!A479="","",'[1]0.1 Produksi Pangan &amp; Penduduk'!A479)</f>
        <v/>
      </c>
      <c r="B478" s="2" t="str">
        <f>IF('[1]0.1 Produksi Pangan &amp; Penduduk'!B479="","",'[1]0.1 Produksi Pangan &amp; Penduduk'!B479)</f>
        <v/>
      </c>
      <c r="C478" s="2" t="str">
        <f>IF('[1]0.1 Produksi Pangan &amp; Penduduk'!F479="","",'[1]0.1 Produksi Pangan &amp; Penduduk'!F479)</f>
        <v/>
      </c>
      <c r="D478" s="3" t="str">
        <f>IF('[1]0.1 Produksi Pangan &amp; Penduduk'!D479="","",'[1]0.1 Produksi Pangan &amp; Penduduk'!D479)</f>
        <v/>
      </c>
      <c r="E478" s="3" t="str">
        <f>IF('[1]0.1 Produksi Pangan &amp; Penduduk'!E479="","",'[1]0.1 Produksi Pangan &amp; Penduduk'!E479)</f>
        <v/>
      </c>
      <c r="F478" s="59" t="str">
        <f>IF(D478="","",VLOOKUP(D478,'[1]0.1 Produksi Pangan &amp; Penduduk'!$D$5:$J$860,7,0))</f>
        <v/>
      </c>
      <c r="G478" s="27" t="str">
        <f t="shared" si="70"/>
        <v/>
      </c>
      <c r="H478" s="27" t="str">
        <f t="shared" si="71"/>
        <v/>
      </c>
      <c r="I478" s="27" t="str">
        <f t="shared" si="72"/>
        <v/>
      </c>
      <c r="J478" s="27" t="str">
        <f t="shared" si="73"/>
        <v/>
      </c>
      <c r="K478" s="27" t="str">
        <f t="shared" si="74"/>
        <v/>
      </c>
      <c r="L478" s="59" t="str">
        <f>IF(D478="","",VLOOKUP(D478,'[1]0.1 Produksi Pangan &amp; Penduduk'!$D$5:$M$860,10,0))</f>
        <v/>
      </c>
      <c r="M478" s="28" t="str">
        <f t="shared" si="75"/>
        <v/>
      </c>
      <c r="N478" s="60" t="str">
        <f t="shared" si="76"/>
        <v/>
      </c>
      <c r="O478" s="60" t="str">
        <f t="shared" si="77"/>
        <v/>
      </c>
      <c r="P478" s="60" t="str">
        <f t="shared" si="78"/>
        <v/>
      </c>
      <c r="Q478" s="28" t="str">
        <f t="shared" si="79"/>
        <v/>
      </c>
    </row>
    <row r="479" spans="1:17" ht="15" x14ac:dyDescent="0.25">
      <c r="A479" s="3" t="str">
        <f>IF('[1]0.1 Produksi Pangan &amp; Penduduk'!A480="","",'[1]0.1 Produksi Pangan &amp; Penduduk'!A480)</f>
        <v/>
      </c>
      <c r="B479" s="2" t="str">
        <f>IF('[1]0.1 Produksi Pangan &amp; Penduduk'!B480="","",'[1]0.1 Produksi Pangan &amp; Penduduk'!B480)</f>
        <v/>
      </c>
      <c r="C479" s="2" t="str">
        <f>IF('[1]0.1 Produksi Pangan &amp; Penduduk'!F480="","",'[1]0.1 Produksi Pangan &amp; Penduduk'!F480)</f>
        <v/>
      </c>
      <c r="D479" s="3" t="str">
        <f>IF('[1]0.1 Produksi Pangan &amp; Penduduk'!D480="","",'[1]0.1 Produksi Pangan &amp; Penduduk'!D480)</f>
        <v/>
      </c>
      <c r="E479" s="3" t="str">
        <f>IF('[1]0.1 Produksi Pangan &amp; Penduduk'!E480="","",'[1]0.1 Produksi Pangan &amp; Penduduk'!E480)</f>
        <v/>
      </c>
      <c r="F479" s="59" t="str">
        <f>IF(D479="","",VLOOKUP(D479,'[1]0.1 Produksi Pangan &amp; Penduduk'!$D$5:$J$860,7,0))</f>
        <v/>
      </c>
      <c r="G479" s="27" t="str">
        <f t="shared" si="70"/>
        <v/>
      </c>
      <c r="H479" s="27" t="str">
        <f t="shared" si="71"/>
        <v/>
      </c>
      <c r="I479" s="27" t="str">
        <f t="shared" si="72"/>
        <v/>
      </c>
      <c r="J479" s="27" t="str">
        <f t="shared" si="73"/>
        <v/>
      </c>
      <c r="K479" s="27" t="str">
        <f t="shared" si="74"/>
        <v/>
      </c>
      <c r="L479" s="59" t="str">
        <f>IF(D479="","",VLOOKUP(D479,'[1]0.1 Produksi Pangan &amp; Penduduk'!$D$5:$M$860,10,0))</f>
        <v/>
      </c>
      <c r="M479" s="28" t="str">
        <f t="shared" si="75"/>
        <v/>
      </c>
      <c r="N479" s="60" t="str">
        <f t="shared" si="76"/>
        <v/>
      </c>
      <c r="O479" s="60" t="str">
        <f t="shared" si="77"/>
        <v/>
      </c>
      <c r="P479" s="60" t="str">
        <f t="shared" si="78"/>
        <v/>
      </c>
      <c r="Q479" s="28" t="str">
        <f t="shared" si="79"/>
        <v/>
      </c>
    </row>
    <row r="480" spans="1:17" ht="15" x14ac:dyDescent="0.25">
      <c r="A480" s="3" t="str">
        <f>IF('[1]0.1 Produksi Pangan &amp; Penduduk'!A481="","",'[1]0.1 Produksi Pangan &amp; Penduduk'!A481)</f>
        <v/>
      </c>
      <c r="B480" s="2" t="str">
        <f>IF('[1]0.1 Produksi Pangan &amp; Penduduk'!B481="","",'[1]0.1 Produksi Pangan &amp; Penduduk'!B481)</f>
        <v/>
      </c>
      <c r="C480" s="2" t="str">
        <f>IF('[1]0.1 Produksi Pangan &amp; Penduduk'!F481="","",'[1]0.1 Produksi Pangan &amp; Penduduk'!F481)</f>
        <v/>
      </c>
      <c r="D480" s="3" t="str">
        <f>IF('[1]0.1 Produksi Pangan &amp; Penduduk'!D481="","",'[1]0.1 Produksi Pangan &amp; Penduduk'!D481)</f>
        <v/>
      </c>
      <c r="E480" s="3" t="str">
        <f>IF('[1]0.1 Produksi Pangan &amp; Penduduk'!E481="","",'[1]0.1 Produksi Pangan &amp; Penduduk'!E481)</f>
        <v/>
      </c>
      <c r="F480" s="59" t="str">
        <f>IF(D480="","",VLOOKUP(D480,'[1]0.1 Produksi Pangan &amp; Penduduk'!$D$5:$J$860,7,0))</f>
        <v/>
      </c>
      <c r="G480" s="27" t="str">
        <f t="shared" si="70"/>
        <v/>
      </c>
      <c r="H480" s="27" t="str">
        <f t="shared" si="71"/>
        <v/>
      </c>
      <c r="I480" s="27" t="str">
        <f t="shared" si="72"/>
        <v/>
      </c>
      <c r="J480" s="27" t="str">
        <f t="shared" si="73"/>
        <v/>
      </c>
      <c r="K480" s="27" t="str">
        <f t="shared" si="74"/>
        <v/>
      </c>
      <c r="L480" s="59" t="str">
        <f>IF(D480="","",VLOOKUP(D480,'[1]0.1 Produksi Pangan &amp; Penduduk'!$D$5:$M$860,10,0))</f>
        <v/>
      </c>
      <c r="M480" s="28" t="str">
        <f t="shared" si="75"/>
        <v/>
      </c>
      <c r="N480" s="60" t="str">
        <f t="shared" si="76"/>
        <v/>
      </c>
      <c r="O480" s="60" t="str">
        <f t="shared" si="77"/>
        <v/>
      </c>
      <c r="P480" s="60" t="str">
        <f t="shared" si="78"/>
        <v/>
      </c>
      <c r="Q480" s="28" t="str">
        <f t="shared" si="79"/>
        <v/>
      </c>
    </row>
    <row r="481" spans="1:17" ht="15" x14ac:dyDescent="0.25">
      <c r="A481" s="3" t="str">
        <f>IF('[1]0.1 Produksi Pangan &amp; Penduduk'!A482="","",'[1]0.1 Produksi Pangan &amp; Penduduk'!A482)</f>
        <v/>
      </c>
      <c r="B481" s="2" t="str">
        <f>IF('[1]0.1 Produksi Pangan &amp; Penduduk'!B482="","",'[1]0.1 Produksi Pangan &amp; Penduduk'!B482)</f>
        <v/>
      </c>
      <c r="C481" s="2" t="str">
        <f>IF('[1]0.1 Produksi Pangan &amp; Penduduk'!F482="","",'[1]0.1 Produksi Pangan &amp; Penduduk'!F482)</f>
        <v/>
      </c>
      <c r="D481" s="3" t="str">
        <f>IF('[1]0.1 Produksi Pangan &amp; Penduduk'!D482="","",'[1]0.1 Produksi Pangan &amp; Penduduk'!D482)</f>
        <v/>
      </c>
      <c r="E481" s="3" t="str">
        <f>IF('[1]0.1 Produksi Pangan &amp; Penduduk'!E482="","",'[1]0.1 Produksi Pangan &amp; Penduduk'!E482)</f>
        <v/>
      </c>
      <c r="F481" s="59" t="str">
        <f>IF(D481="","",VLOOKUP(D481,'[1]0.1 Produksi Pangan &amp; Penduduk'!$D$5:$J$860,7,0))</f>
        <v/>
      </c>
      <c r="G481" s="27" t="str">
        <f t="shared" si="70"/>
        <v/>
      </c>
      <c r="H481" s="27" t="str">
        <f t="shared" si="71"/>
        <v/>
      </c>
      <c r="I481" s="27" t="str">
        <f t="shared" si="72"/>
        <v/>
      </c>
      <c r="J481" s="27" t="str">
        <f t="shared" si="73"/>
        <v/>
      </c>
      <c r="K481" s="27" t="str">
        <f t="shared" si="74"/>
        <v/>
      </c>
      <c r="L481" s="59" t="str">
        <f>IF(D481="","",VLOOKUP(D481,'[1]0.1 Produksi Pangan &amp; Penduduk'!$D$5:$M$860,10,0))</f>
        <v/>
      </c>
      <c r="M481" s="28" t="str">
        <f t="shared" si="75"/>
        <v/>
      </c>
      <c r="N481" s="60" t="str">
        <f t="shared" si="76"/>
        <v/>
      </c>
      <c r="O481" s="60" t="str">
        <f t="shared" si="77"/>
        <v/>
      </c>
      <c r="P481" s="60" t="str">
        <f t="shared" si="78"/>
        <v/>
      </c>
      <c r="Q481" s="28" t="str">
        <f t="shared" si="79"/>
        <v/>
      </c>
    </row>
    <row r="482" spans="1:17" ht="15" x14ac:dyDescent="0.25">
      <c r="A482" s="3" t="str">
        <f>IF('[1]0.1 Produksi Pangan &amp; Penduduk'!A483="","",'[1]0.1 Produksi Pangan &amp; Penduduk'!A483)</f>
        <v/>
      </c>
      <c r="B482" s="2" t="str">
        <f>IF('[1]0.1 Produksi Pangan &amp; Penduduk'!B483="","",'[1]0.1 Produksi Pangan &amp; Penduduk'!B483)</f>
        <v/>
      </c>
      <c r="C482" s="2" t="str">
        <f>IF('[1]0.1 Produksi Pangan &amp; Penduduk'!F483="","",'[1]0.1 Produksi Pangan &amp; Penduduk'!F483)</f>
        <v/>
      </c>
      <c r="D482" s="3" t="str">
        <f>IF('[1]0.1 Produksi Pangan &amp; Penduduk'!D483="","",'[1]0.1 Produksi Pangan &amp; Penduduk'!D483)</f>
        <v/>
      </c>
      <c r="E482" s="3" t="str">
        <f>IF('[1]0.1 Produksi Pangan &amp; Penduduk'!E483="","",'[1]0.1 Produksi Pangan &amp; Penduduk'!E483)</f>
        <v/>
      </c>
      <c r="F482" s="59" t="str">
        <f>IF(D482="","",VLOOKUP(D482,'[1]0.1 Produksi Pangan &amp; Penduduk'!$D$5:$J$860,7,0))</f>
        <v/>
      </c>
      <c r="G482" s="27" t="str">
        <f t="shared" si="70"/>
        <v/>
      </c>
      <c r="H482" s="27" t="str">
        <f t="shared" si="71"/>
        <v/>
      </c>
      <c r="I482" s="27" t="str">
        <f t="shared" si="72"/>
        <v/>
      </c>
      <c r="J482" s="27" t="str">
        <f t="shared" si="73"/>
        <v/>
      </c>
      <c r="K482" s="27" t="str">
        <f t="shared" si="74"/>
        <v/>
      </c>
      <c r="L482" s="59" t="str">
        <f>IF(D482="","",VLOOKUP(D482,'[1]0.1 Produksi Pangan &amp; Penduduk'!$D$5:$M$860,10,0))</f>
        <v/>
      </c>
      <c r="M482" s="28" t="str">
        <f t="shared" si="75"/>
        <v/>
      </c>
      <c r="N482" s="60" t="str">
        <f t="shared" si="76"/>
        <v/>
      </c>
      <c r="O482" s="60" t="str">
        <f t="shared" si="77"/>
        <v/>
      </c>
      <c r="P482" s="60" t="str">
        <f t="shared" si="78"/>
        <v/>
      </c>
      <c r="Q482" s="28" t="str">
        <f t="shared" si="79"/>
        <v/>
      </c>
    </row>
    <row r="483" spans="1:17" ht="15" x14ac:dyDescent="0.25">
      <c r="A483" s="3" t="str">
        <f>IF('[1]0.1 Produksi Pangan &amp; Penduduk'!A484="","",'[1]0.1 Produksi Pangan &amp; Penduduk'!A484)</f>
        <v/>
      </c>
      <c r="B483" s="2" t="str">
        <f>IF('[1]0.1 Produksi Pangan &amp; Penduduk'!B484="","",'[1]0.1 Produksi Pangan &amp; Penduduk'!B484)</f>
        <v/>
      </c>
      <c r="C483" s="2" t="str">
        <f>IF('[1]0.1 Produksi Pangan &amp; Penduduk'!F484="","",'[1]0.1 Produksi Pangan &amp; Penduduk'!F484)</f>
        <v/>
      </c>
      <c r="D483" s="3" t="str">
        <f>IF('[1]0.1 Produksi Pangan &amp; Penduduk'!D484="","",'[1]0.1 Produksi Pangan &amp; Penduduk'!D484)</f>
        <v/>
      </c>
      <c r="E483" s="3" t="str">
        <f>IF('[1]0.1 Produksi Pangan &amp; Penduduk'!E484="","",'[1]0.1 Produksi Pangan &amp; Penduduk'!E484)</f>
        <v/>
      </c>
      <c r="F483" s="59" t="str">
        <f>IF(D483="","",VLOOKUP(D483,'[1]0.1 Produksi Pangan &amp; Penduduk'!$D$5:$J$860,7,0))</f>
        <v/>
      </c>
      <c r="G483" s="27" t="str">
        <f t="shared" si="70"/>
        <v/>
      </c>
      <c r="H483" s="27" t="str">
        <f t="shared" si="71"/>
        <v/>
      </c>
      <c r="I483" s="27" t="str">
        <f t="shared" si="72"/>
        <v/>
      </c>
      <c r="J483" s="27" t="str">
        <f t="shared" si="73"/>
        <v/>
      </c>
      <c r="K483" s="27" t="str">
        <f t="shared" si="74"/>
        <v/>
      </c>
      <c r="L483" s="59" t="str">
        <f>IF(D483="","",VLOOKUP(D483,'[1]0.1 Produksi Pangan &amp; Penduduk'!$D$5:$M$860,10,0))</f>
        <v/>
      </c>
      <c r="M483" s="28" t="str">
        <f t="shared" si="75"/>
        <v/>
      </c>
      <c r="N483" s="60" t="str">
        <f t="shared" si="76"/>
        <v/>
      </c>
      <c r="O483" s="60" t="str">
        <f t="shared" si="77"/>
        <v/>
      </c>
      <c r="P483" s="60" t="str">
        <f t="shared" si="78"/>
        <v/>
      </c>
      <c r="Q483" s="28" t="str">
        <f t="shared" si="79"/>
        <v/>
      </c>
    </row>
    <row r="484" spans="1:17" ht="15" x14ac:dyDescent="0.25">
      <c r="A484" s="3" t="str">
        <f>IF('[1]0.1 Produksi Pangan &amp; Penduduk'!A485="","",'[1]0.1 Produksi Pangan &amp; Penduduk'!A485)</f>
        <v/>
      </c>
      <c r="B484" s="2" t="str">
        <f>IF('[1]0.1 Produksi Pangan &amp; Penduduk'!B485="","",'[1]0.1 Produksi Pangan &amp; Penduduk'!B485)</f>
        <v/>
      </c>
      <c r="C484" s="2" t="str">
        <f>IF('[1]0.1 Produksi Pangan &amp; Penduduk'!F485="","",'[1]0.1 Produksi Pangan &amp; Penduduk'!F485)</f>
        <v/>
      </c>
      <c r="D484" s="3" t="str">
        <f>IF('[1]0.1 Produksi Pangan &amp; Penduduk'!D485="","",'[1]0.1 Produksi Pangan &amp; Penduduk'!D485)</f>
        <v/>
      </c>
      <c r="E484" s="3" t="str">
        <f>IF('[1]0.1 Produksi Pangan &amp; Penduduk'!E485="","",'[1]0.1 Produksi Pangan &amp; Penduduk'!E485)</f>
        <v/>
      </c>
      <c r="F484" s="59" t="str">
        <f>IF(D484="","",VLOOKUP(D484,'[1]0.1 Produksi Pangan &amp; Penduduk'!$D$5:$J$860,7,0))</f>
        <v/>
      </c>
      <c r="G484" s="27" t="str">
        <f t="shared" si="70"/>
        <v/>
      </c>
      <c r="H484" s="27" t="str">
        <f t="shared" si="71"/>
        <v/>
      </c>
      <c r="I484" s="27" t="str">
        <f t="shared" si="72"/>
        <v/>
      </c>
      <c r="J484" s="27" t="str">
        <f t="shared" si="73"/>
        <v/>
      </c>
      <c r="K484" s="27" t="str">
        <f t="shared" si="74"/>
        <v/>
      </c>
      <c r="L484" s="59" t="str">
        <f>IF(D484="","",VLOOKUP(D484,'[1]0.1 Produksi Pangan &amp; Penduduk'!$D$5:$M$860,10,0))</f>
        <v/>
      </c>
      <c r="M484" s="28" t="str">
        <f t="shared" si="75"/>
        <v/>
      </c>
      <c r="N484" s="60" t="str">
        <f t="shared" si="76"/>
        <v/>
      </c>
      <c r="O484" s="60" t="str">
        <f t="shared" si="77"/>
        <v/>
      </c>
      <c r="P484" s="60" t="str">
        <f t="shared" si="78"/>
        <v/>
      </c>
      <c r="Q484" s="28" t="str">
        <f t="shared" si="79"/>
        <v/>
      </c>
    </row>
    <row r="485" spans="1:17" ht="15" x14ac:dyDescent="0.25">
      <c r="A485" s="3" t="str">
        <f>IF('[1]0.1 Produksi Pangan &amp; Penduduk'!A486="","",'[1]0.1 Produksi Pangan &amp; Penduduk'!A486)</f>
        <v/>
      </c>
      <c r="B485" s="2" t="str">
        <f>IF('[1]0.1 Produksi Pangan &amp; Penduduk'!B486="","",'[1]0.1 Produksi Pangan &amp; Penduduk'!B486)</f>
        <v/>
      </c>
      <c r="C485" s="2" t="str">
        <f>IF('[1]0.1 Produksi Pangan &amp; Penduduk'!F486="","",'[1]0.1 Produksi Pangan &amp; Penduduk'!F486)</f>
        <v/>
      </c>
      <c r="D485" s="3" t="str">
        <f>IF('[1]0.1 Produksi Pangan &amp; Penduduk'!D486="","",'[1]0.1 Produksi Pangan &amp; Penduduk'!D486)</f>
        <v/>
      </c>
      <c r="E485" s="3" t="str">
        <f>IF('[1]0.1 Produksi Pangan &amp; Penduduk'!E486="","",'[1]0.1 Produksi Pangan &amp; Penduduk'!E486)</f>
        <v/>
      </c>
      <c r="F485" s="59" t="str">
        <f>IF(D485="","",VLOOKUP(D485,'[1]0.1 Produksi Pangan &amp; Penduduk'!$D$5:$J$860,7,0))</f>
        <v/>
      </c>
      <c r="G485" s="27" t="str">
        <f t="shared" si="70"/>
        <v/>
      </c>
      <c r="H485" s="27" t="str">
        <f t="shared" si="71"/>
        <v/>
      </c>
      <c r="I485" s="27" t="str">
        <f t="shared" si="72"/>
        <v/>
      </c>
      <c r="J485" s="27" t="str">
        <f t="shared" si="73"/>
        <v/>
      </c>
      <c r="K485" s="27" t="str">
        <f t="shared" si="74"/>
        <v/>
      </c>
      <c r="L485" s="59" t="str">
        <f>IF(D485="","",VLOOKUP(D485,'[1]0.1 Produksi Pangan &amp; Penduduk'!$D$5:$M$860,10,0))</f>
        <v/>
      </c>
      <c r="M485" s="28" t="str">
        <f t="shared" si="75"/>
        <v/>
      </c>
      <c r="N485" s="60" t="str">
        <f t="shared" si="76"/>
        <v/>
      </c>
      <c r="O485" s="60" t="str">
        <f t="shared" si="77"/>
        <v/>
      </c>
      <c r="P485" s="60" t="str">
        <f t="shared" si="78"/>
        <v/>
      </c>
      <c r="Q485" s="28" t="str">
        <f t="shared" si="79"/>
        <v/>
      </c>
    </row>
    <row r="486" spans="1:17" ht="15" x14ac:dyDescent="0.25">
      <c r="A486" s="3" t="str">
        <f>IF('[1]0.1 Produksi Pangan &amp; Penduduk'!A487="","",'[1]0.1 Produksi Pangan &amp; Penduduk'!A487)</f>
        <v/>
      </c>
      <c r="B486" s="2" t="str">
        <f>IF('[1]0.1 Produksi Pangan &amp; Penduduk'!B487="","",'[1]0.1 Produksi Pangan &amp; Penduduk'!B487)</f>
        <v/>
      </c>
      <c r="C486" s="2" t="str">
        <f>IF('[1]0.1 Produksi Pangan &amp; Penduduk'!F487="","",'[1]0.1 Produksi Pangan &amp; Penduduk'!F487)</f>
        <v/>
      </c>
      <c r="D486" s="3" t="str">
        <f>IF('[1]0.1 Produksi Pangan &amp; Penduduk'!D487="","",'[1]0.1 Produksi Pangan &amp; Penduduk'!D487)</f>
        <v/>
      </c>
      <c r="E486" s="3" t="str">
        <f>IF('[1]0.1 Produksi Pangan &amp; Penduduk'!E487="","",'[1]0.1 Produksi Pangan &amp; Penduduk'!E487)</f>
        <v/>
      </c>
      <c r="F486" s="59" t="str">
        <f>IF(D486="","",VLOOKUP(D486,'[1]0.1 Produksi Pangan &amp; Penduduk'!$D$5:$J$860,7,0))</f>
        <v/>
      </c>
      <c r="G486" s="27" t="str">
        <f t="shared" si="70"/>
        <v/>
      </c>
      <c r="H486" s="27" t="str">
        <f t="shared" si="71"/>
        <v/>
      </c>
      <c r="I486" s="27" t="str">
        <f t="shared" si="72"/>
        <v/>
      </c>
      <c r="J486" s="27" t="str">
        <f t="shared" si="73"/>
        <v/>
      </c>
      <c r="K486" s="27" t="str">
        <f t="shared" si="74"/>
        <v/>
      </c>
      <c r="L486" s="59" t="str">
        <f>IF(D486="","",VLOOKUP(D486,'[1]0.1 Produksi Pangan &amp; Penduduk'!$D$5:$M$860,10,0))</f>
        <v/>
      </c>
      <c r="M486" s="28" t="str">
        <f t="shared" si="75"/>
        <v/>
      </c>
      <c r="N486" s="60" t="str">
        <f t="shared" si="76"/>
        <v/>
      </c>
      <c r="O486" s="60" t="str">
        <f t="shared" si="77"/>
        <v/>
      </c>
      <c r="P486" s="60" t="str">
        <f t="shared" si="78"/>
        <v/>
      </c>
      <c r="Q486" s="28" t="str">
        <f t="shared" si="79"/>
        <v/>
      </c>
    </row>
    <row r="487" spans="1:17" ht="15" x14ac:dyDescent="0.25">
      <c r="A487" s="3" t="str">
        <f>IF('[1]0.1 Produksi Pangan &amp; Penduduk'!A488="","",'[1]0.1 Produksi Pangan &amp; Penduduk'!A488)</f>
        <v/>
      </c>
      <c r="B487" s="2" t="str">
        <f>IF('[1]0.1 Produksi Pangan &amp; Penduduk'!B488="","",'[1]0.1 Produksi Pangan &amp; Penduduk'!B488)</f>
        <v/>
      </c>
      <c r="C487" s="2" t="str">
        <f>IF('[1]0.1 Produksi Pangan &amp; Penduduk'!F488="","",'[1]0.1 Produksi Pangan &amp; Penduduk'!F488)</f>
        <v/>
      </c>
      <c r="D487" s="3" t="str">
        <f>IF('[1]0.1 Produksi Pangan &amp; Penduduk'!D488="","",'[1]0.1 Produksi Pangan &amp; Penduduk'!D488)</f>
        <v/>
      </c>
      <c r="E487" s="3" t="str">
        <f>IF('[1]0.1 Produksi Pangan &amp; Penduduk'!E488="","",'[1]0.1 Produksi Pangan &amp; Penduduk'!E488)</f>
        <v/>
      </c>
      <c r="F487" s="59" t="str">
        <f>IF(D487="","",VLOOKUP(D487,'[1]0.1 Produksi Pangan &amp; Penduduk'!$D$5:$J$860,7,0))</f>
        <v/>
      </c>
      <c r="G487" s="27" t="str">
        <f t="shared" si="70"/>
        <v/>
      </c>
      <c r="H487" s="27" t="str">
        <f t="shared" si="71"/>
        <v/>
      </c>
      <c r="I487" s="27" t="str">
        <f t="shared" si="72"/>
        <v/>
      </c>
      <c r="J487" s="27" t="str">
        <f t="shared" si="73"/>
        <v/>
      </c>
      <c r="K487" s="27" t="str">
        <f t="shared" si="74"/>
        <v/>
      </c>
      <c r="L487" s="59" t="str">
        <f>IF(D487="","",VLOOKUP(D487,'[1]0.1 Produksi Pangan &amp; Penduduk'!$D$5:$M$860,10,0))</f>
        <v/>
      </c>
      <c r="M487" s="28" t="str">
        <f t="shared" si="75"/>
        <v/>
      </c>
      <c r="N487" s="60" t="str">
        <f t="shared" si="76"/>
        <v/>
      </c>
      <c r="O487" s="60" t="str">
        <f t="shared" si="77"/>
        <v/>
      </c>
      <c r="P487" s="60" t="str">
        <f t="shared" si="78"/>
        <v/>
      </c>
      <c r="Q487" s="28" t="str">
        <f t="shared" si="79"/>
        <v/>
      </c>
    </row>
    <row r="488" spans="1:17" ht="15" x14ac:dyDescent="0.25">
      <c r="A488" s="3" t="str">
        <f>IF('[1]0.1 Produksi Pangan &amp; Penduduk'!A489="","",'[1]0.1 Produksi Pangan &amp; Penduduk'!A489)</f>
        <v/>
      </c>
      <c r="B488" s="2" t="str">
        <f>IF('[1]0.1 Produksi Pangan &amp; Penduduk'!B489="","",'[1]0.1 Produksi Pangan &amp; Penduduk'!B489)</f>
        <v/>
      </c>
      <c r="C488" s="2" t="str">
        <f>IF('[1]0.1 Produksi Pangan &amp; Penduduk'!F489="","",'[1]0.1 Produksi Pangan &amp; Penduduk'!F489)</f>
        <v/>
      </c>
      <c r="D488" s="3" t="str">
        <f>IF('[1]0.1 Produksi Pangan &amp; Penduduk'!D489="","",'[1]0.1 Produksi Pangan &amp; Penduduk'!D489)</f>
        <v/>
      </c>
      <c r="E488" s="3" t="str">
        <f>IF('[1]0.1 Produksi Pangan &amp; Penduduk'!E489="","",'[1]0.1 Produksi Pangan &amp; Penduduk'!E489)</f>
        <v/>
      </c>
      <c r="F488" s="59" t="str">
        <f>IF(D488="","",VLOOKUP(D488,'[1]0.1 Produksi Pangan &amp; Penduduk'!$D$5:$J$860,7,0))</f>
        <v/>
      </c>
      <c r="G488" s="27" t="str">
        <f t="shared" si="70"/>
        <v/>
      </c>
      <c r="H488" s="27" t="str">
        <f t="shared" si="71"/>
        <v/>
      </c>
      <c r="I488" s="27" t="str">
        <f t="shared" si="72"/>
        <v/>
      </c>
      <c r="J488" s="27" t="str">
        <f t="shared" si="73"/>
        <v/>
      </c>
      <c r="K488" s="27" t="str">
        <f t="shared" si="74"/>
        <v/>
      </c>
      <c r="L488" s="59" t="str">
        <f>IF(D488="","",VLOOKUP(D488,'[1]0.1 Produksi Pangan &amp; Penduduk'!$D$5:$M$860,10,0))</f>
        <v/>
      </c>
      <c r="M488" s="28" t="str">
        <f t="shared" si="75"/>
        <v/>
      </c>
      <c r="N488" s="60" t="str">
        <f t="shared" si="76"/>
        <v/>
      </c>
      <c r="O488" s="60" t="str">
        <f t="shared" si="77"/>
        <v/>
      </c>
      <c r="P488" s="60" t="str">
        <f t="shared" si="78"/>
        <v/>
      </c>
      <c r="Q488" s="28" t="str">
        <f t="shared" si="79"/>
        <v/>
      </c>
    </row>
    <row r="489" spans="1:17" ht="15" x14ac:dyDescent="0.25">
      <c r="A489" s="3" t="str">
        <f>IF('[1]0.1 Produksi Pangan &amp; Penduduk'!A490="","",'[1]0.1 Produksi Pangan &amp; Penduduk'!A490)</f>
        <v/>
      </c>
      <c r="B489" s="2" t="str">
        <f>IF('[1]0.1 Produksi Pangan &amp; Penduduk'!B490="","",'[1]0.1 Produksi Pangan &amp; Penduduk'!B490)</f>
        <v/>
      </c>
      <c r="C489" s="2" t="str">
        <f>IF('[1]0.1 Produksi Pangan &amp; Penduduk'!F490="","",'[1]0.1 Produksi Pangan &amp; Penduduk'!F490)</f>
        <v/>
      </c>
      <c r="D489" s="3" t="str">
        <f>IF('[1]0.1 Produksi Pangan &amp; Penduduk'!D490="","",'[1]0.1 Produksi Pangan &amp; Penduduk'!D490)</f>
        <v/>
      </c>
      <c r="E489" s="3" t="str">
        <f>IF('[1]0.1 Produksi Pangan &amp; Penduduk'!E490="","",'[1]0.1 Produksi Pangan &amp; Penduduk'!E490)</f>
        <v/>
      </c>
      <c r="F489" s="59" t="str">
        <f>IF(D489="","",VLOOKUP(D489,'[1]0.1 Produksi Pangan &amp; Penduduk'!$D$5:$J$860,7,0))</f>
        <v/>
      </c>
      <c r="G489" s="27" t="str">
        <f t="shared" si="70"/>
        <v/>
      </c>
      <c r="H489" s="27" t="str">
        <f t="shared" si="71"/>
        <v/>
      </c>
      <c r="I489" s="27" t="str">
        <f t="shared" si="72"/>
        <v/>
      </c>
      <c r="J489" s="27" t="str">
        <f t="shared" si="73"/>
        <v/>
      </c>
      <c r="K489" s="27" t="str">
        <f t="shared" si="74"/>
        <v/>
      </c>
      <c r="L489" s="59" t="str">
        <f>IF(D489="","",VLOOKUP(D489,'[1]0.1 Produksi Pangan &amp; Penduduk'!$D$5:$M$860,10,0))</f>
        <v/>
      </c>
      <c r="M489" s="28" t="str">
        <f t="shared" si="75"/>
        <v/>
      </c>
      <c r="N489" s="60" t="str">
        <f t="shared" si="76"/>
        <v/>
      </c>
      <c r="O489" s="60" t="str">
        <f t="shared" si="77"/>
        <v/>
      </c>
      <c r="P489" s="60" t="str">
        <f t="shared" si="78"/>
        <v/>
      </c>
      <c r="Q489" s="28" t="str">
        <f t="shared" si="79"/>
        <v/>
      </c>
    </row>
    <row r="490" spans="1:17" ht="15" x14ac:dyDescent="0.25">
      <c r="A490" s="3" t="str">
        <f>IF('[1]0.1 Produksi Pangan &amp; Penduduk'!A491="","",'[1]0.1 Produksi Pangan &amp; Penduduk'!A491)</f>
        <v/>
      </c>
      <c r="B490" s="2" t="str">
        <f>IF('[1]0.1 Produksi Pangan &amp; Penduduk'!B491="","",'[1]0.1 Produksi Pangan &amp; Penduduk'!B491)</f>
        <v/>
      </c>
      <c r="C490" s="2" t="str">
        <f>IF('[1]0.1 Produksi Pangan &amp; Penduduk'!F491="","",'[1]0.1 Produksi Pangan &amp; Penduduk'!F491)</f>
        <v/>
      </c>
      <c r="D490" s="3" t="str">
        <f>IF('[1]0.1 Produksi Pangan &amp; Penduduk'!D491="","",'[1]0.1 Produksi Pangan &amp; Penduduk'!D491)</f>
        <v/>
      </c>
      <c r="E490" s="3" t="str">
        <f>IF('[1]0.1 Produksi Pangan &amp; Penduduk'!E491="","",'[1]0.1 Produksi Pangan &amp; Penduduk'!E491)</f>
        <v/>
      </c>
      <c r="F490" s="59" t="str">
        <f>IF(D490="","",VLOOKUP(D490,'[1]0.1 Produksi Pangan &amp; Penduduk'!$D$5:$J$860,7,0))</f>
        <v/>
      </c>
      <c r="G490" s="27" t="str">
        <f t="shared" si="70"/>
        <v/>
      </c>
      <c r="H490" s="27" t="str">
        <f t="shared" si="71"/>
        <v/>
      </c>
      <c r="I490" s="27" t="str">
        <f t="shared" si="72"/>
        <v/>
      </c>
      <c r="J490" s="27" t="str">
        <f t="shared" si="73"/>
        <v/>
      </c>
      <c r="K490" s="27" t="str">
        <f t="shared" si="74"/>
        <v/>
      </c>
      <c r="L490" s="59" t="str">
        <f>IF(D490="","",VLOOKUP(D490,'[1]0.1 Produksi Pangan &amp; Penduduk'!$D$5:$M$860,10,0))</f>
        <v/>
      </c>
      <c r="M490" s="28" t="str">
        <f t="shared" si="75"/>
        <v/>
      </c>
      <c r="N490" s="60" t="str">
        <f t="shared" si="76"/>
        <v/>
      </c>
      <c r="O490" s="60" t="str">
        <f t="shared" si="77"/>
        <v/>
      </c>
      <c r="P490" s="60" t="str">
        <f t="shared" si="78"/>
        <v/>
      </c>
      <c r="Q490" s="28" t="str">
        <f t="shared" si="79"/>
        <v/>
      </c>
    </row>
    <row r="491" spans="1:17" ht="15" x14ac:dyDescent="0.25">
      <c r="A491" s="3" t="str">
        <f>IF('[1]0.1 Produksi Pangan &amp; Penduduk'!A492="","",'[1]0.1 Produksi Pangan &amp; Penduduk'!A492)</f>
        <v/>
      </c>
      <c r="B491" s="2" t="str">
        <f>IF('[1]0.1 Produksi Pangan &amp; Penduduk'!B492="","",'[1]0.1 Produksi Pangan &amp; Penduduk'!B492)</f>
        <v/>
      </c>
      <c r="C491" s="2" t="str">
        <f>IF('[1]0.1 Produksi Pangan &amp; Penduduk'!F492="","",'[1]0.1 Produksi Pangan &amp; Penduduk'!F492)</f>
        <v/>
      </c>
      <c r="D491" s="3" t="str">
        <f>IF('[1]0.1 Produksi Pangan &amp; Penduduk'!D492="","",'[1]0.1 Produksi Pangan &amp; Penduduk'!D492)</f>
        <v/>
      </c>
      <c r="E491" s="3" t="str">
        <f>IF('[1]0.1 Produksi Pangan &amp; Penduduk'!E492="","",'[1]0.1 Produksi Pangan &amp; Penduduk'!E492)</f>
        <v/>
      </c>
      <c r="F491" s="59" t="str">
        <f>IF(D491="","",VLOOKUP(D491,'[1]0.1 Produksi Pangan &amp; Penduduk'!$D$5:$J$860,7,0))</f>
        <v/>
      </c>
      <c r="G491" s="27" t="str">
        <f t="shared" si="70"/>
        <v/>
      </c>
      <c r="H491" s="27" t="str">
        <f t="shared" si="71"/>
        <v/>
      </c>
      <c r="I491" s="27" t="str">
        <f t="shared" si="72"/>
        <v/>
      </c>
      <c r="J491" s="27" t="str">
        <f t="shared" si="73"/>
        <v/>
      </c>
      <c r="K491" s="27" t="str">
        <f t="shared" si="74"/>
        <v/>
      </c>
      <c r="L491" s="59" t="str">
        <f>IF(D491="","",VLOOKUP(D491,'[1]0.1 Produksi Pangan &amp; Penduduk'!$D$5:$M$860,10,0))</f>
        <v/>
      </c>
      <c r="M491" s="28" t="str">
        <f t="shared" si="75"/>
        <v/>
      </c>
      <c r="N491" s="60" t="str">
        <f t="shared" si="76"/>
        <v/>
      </c>
      <c r="O491" s="60" t="str">
        <f t="shared" si="77"/>
        <v/>
      </c>
      <c r="P491" s="60" t="str">
        <f t="shared" si="78"/>
        <v/>
      </c>
      <c r="Q491" s="28" t="str">
        <f t="shared" si="79"/>
        <v/>
      </c>
    </row>
    <row r="492" spans="1:17" ht="15" x14ac:dyDescent="0.25">
      <c r="A492" s="3" t="str">
        <f>IF('[1]0.1 Produksi Pangan &amp; Penduduk'!A493="","",'[1]0.1 Produksi Pangan &amp; Penduduk'!A493)</f>
        <v/>
      </c>
      <c r="B492" s="2" t="str">
        <f>IF('[1]0.1 Produksi Pangan &amp; Penduduk'!B493="","",'[1]0.1 Produksi Pangan &amp; Penduduk'!B493)</f>
        <v/>
      </c>
      <c r="C492" s="2" t="str">
        <f>IF('[1]0.1 Produksi Pangan &amp; Penduduk'!F493="","",'[1]0.1 Produksi Pangan &amp; Penduduk'!F493)</f>
        <v/>
      </c>
      <c r="D492" s="3" t="str">
        <f>IF('[1]0.1 Produksi Pangan &amp; Penduduk'!D493="","",'[1]0.1 Produksi Pangan &amp; Penduduk'!D493)</f>
        <v/>
      </c>
      <c r="E492" s="3" t="str">
        <f>IF('[1]0.1 Produksi Pangan &amp; Penduduk'!E493="","",'[1]0.1 Produksi Pangan &amp; Penduduk'!E493)</f>
        <v/>
      </c>
      <c r="F492" s="59" t="str">
        <f>IF(D492="","",VLOOKUP(D492,'[1]0.1 Produksi Pangan &amp; Penduduk'!$D$5:$J$860,7,0))</f>
        <v/>
      </c>
      <c r="G492" s="27" t="str">
        <f t="shared" si="70"/>
        <v/>
      </c>
      <c r="H492" s="27" t="str">
        <f t="shared" si="71"/>
        <v/>
      </c>
      <c r="I492" s="27" t="str">
        <f t="shared" si="72"/>
        <v/>
      </c>
      <c r="J492" s="27" t="str">
        <f t="shared" si="73"/>
        <v/>
      </c>
      <c r="K492" s="27" t="str">
        <f t="shared" si="74"/>
        <v/>
      </c>
      <c r="L492" s="59" t="str">
        <f>IF(D492="","",VLOOKUP(D492,'[1]0.1 Produksi Pangan &amp; Penduduk'!$D$5:$M$860,10,0))</f>
        <v/>
      </c>
      <c r="M492" s="28" t="str">
        <f t="shared" si="75"/>
        <v/>
      </c>
      <c r="N492" s="60" t="str">
        <f t="shared" si="76"/>
        <v/>
      </c>
      <c r="O492" s="60" t="str">
        <f t="shared" si="77"/>
        <v/>
      </c>
      <c r="P492" s="60" t="str">
        <f t="shared" si="78"/>
        <v/>
      </c>
      <c r="Q492" s="28" t="str">
        <f t="shared" si="79"/>
        <v/>
      </c>
    </row>
    <row r="493" spans="1:17" ht="15" x14ac:dyDescent="0.25">
      <c r="A493" s="3" t="str">
        <f>IF('[1]0.1 Produksi Pangan &amp; Penduduk'!A494="","",'[1]0.1 Produksi Pangan &amp; Penduduk'!A494)</f>
        <v/>
      </c>
      <c r="B493" s="2" t="str">
        <f>IF('[1]0.1 Produksi Pangan &amp; Penduduk'!B494="","",'[1]0.1 Produksi Pangan &amp; Penduduk'!B494)</f>
        <v/>
      </c>
      <c r="C493" s="2" t="str">
        <f>IF('[1]0.1 Produksi Pangan &amp; Penduduk'!F494="","",'[1]0.1 Produksi Pangan &amp; Penduduk'!F494)</f>
        <v/>
      </c>
      <c r="D493" s="3" t="str">
        <f>IF('[1]0.1 Produksi Pangan &amp; Penduduk'!D494="","",'[1]0.1 Produksi Pangan &amp; Penduduk'!D494)</f>
        <v/>
      </c>
      <c r="E493" s="3" t="str">
        <f>IF('[1]0.1 Produksi Pangan &amp; Penduduk'!E494="","",'[1]0.1 Produksi Pangan &amp; Penduduk'!E494)</f>
        <v/>
      </c>
      <c r="F493" s="59" t="str">
        <f>IF(D493="","",VLOOKUP(D493,'[1]0.1 Produksi Pangan &amp; Penduduk'!$D$5:$J$860,7,0))</f>
        <v/>
      </c>
      <c r="G493" s="27" t="str">
        <f t="shared" si="70"/>
        <v/>
      </c>
      <c r="H493" s="27" t="str">
        <f t="shared" si="71"/>
        <v/>
      </c>
      <c r="I493" s="27" t="str">
        <f t="shared" si="72"/>
        <v/>
      </c>
      <c r="J493" s="27" t="str">
        <f t="shared" si="73"/>
        <v/>
      </c>
      <c r="K493" s="27" t="str">
        <f t="shared" si="74"/>
        <v/>
      </c>
      <c r="L493" s="59" t="str">
        <f>IF(D493="","",VLOOKUP(D493,'[1]0.1 Produksi Pangan &amp; Penduduk'!$D$5:$M$860,10,0))</f>
        <v/>
      </c>
      <c r="M493" s="28" t="str">
        <f t="shared" si="75"/>
        <v/>
      </c>
      <c r="N493" s="60" t="str">
        <f t="shared" si="76"/>
        <v/>
      </c>
      <c r="O493" s="60" t="str">
        <f t="shared" si="77"/>
        <v/>
      </c>
      <c r="P493" s="60" t="str">
        <f t="shared" si="78"/>
        <v/>
      </c>
      <c r="Q493" s="28" t="str">
        <f t="shared" si="79"/>
        <v/>
      </c>
    </row>
    <row r="494" spans="1:17" ht="15" x14ac:dyDescent="0.25">
      <c r="A494" s="3" t="str">
        <f>IF('[1]0.1 Produksi Pangan &amp; Penduduk'!A495="","",'[1]0.1 Produksi Pangan &amp; Penduduk'!A495)</f>
        <v/>
      </c>
      <c r="B494" s="2" t="str">
        <f>IF('[1]0.1 Produksi Pangan &amp; Penduduk'!B495="","",'[1]0.1 Produksi Pangan &amp; Penduduk'!B495)</f>
        <v/>
      </c>
      <c r="C494" s="2" t="str">
        <f>IF('[1]0.1 Produksi Pangan &amp; Penduduk'!F495="","",'[1]0.1 Produksi Pangan &amp; Penduduk'!F495)</f>
        <v/>
      </c>
      <c r="D494" s="3" t="str">
        <f>IF('[1]0.1 Produksi Pangan &amp; Penduduk'!D495="","",'[1]0.1 Produksi Pangan &amp; Penduduk'!D495)</f>
        <v/>
      </c>
      <c r="E494" s="3" t="str">
        <f>IF('[1]0.1 Produksi Pangan &amp; Penduduk'!E495="","",'[1]0.1 Produksi Pangan &amp; Penduduk'!E495)</f>
        <v/>
      </c>
      <c r="F494" s="59" t="str">
        <f>IF(D494="","",VLOOKUP(D494,'[1]0.1 Produksi Pangan &amp; Penduduk'!$D$5:$J$860,7,0))</f>
        <v/>
      </c>
      <c r="G494" s="27" t="str">
        <f t="shared" si="70"/>
        <v/>
      </c>
      <c r="H494" s="27" t="str">
        <f t="shared" si="71"/>
        <v/>
      </c>
      <c r="I494" s="27" t="str">
        <f t="shared" si="72"/>
        <v/>
      </c>
      <c r="J494" s="27" t="str">
        <f t="shared" si="73"/>
        <v/>
      </c>
      <c r="K494" s="27" t="str">
        <f t="shared" si="74"/>
        <v/>
      </c>
      <c r="L494" s="59" t="str">
        <f>IF(D494="","",VLOOKUP(D494,'[1]0.1 Produksi Pangan &amp; Penduduk'!$D$5:$M$860,10,0))</f>
        <v/>
      </c>
      <c r="M494" s="28" t="str">
        <f t="shared" si="75"/>
        <v/>
      </c>
      <c r="N494" s="60" t="str">
        <f t="shared" si="76"/>
        <v/>
      </c>
      <c r="O494" s="60" t="str">
        <f t="shared" si="77"/>
        <v/>
      </c>
      <c r="P494" s="60" t="str">
        <f t="shared" si="78"/>
        <v/>
      </c>
      <c r="Q494" s="28" t="str">
        <f t="shared" si="79"/>
        <v/>
      </c>
    </row>
    <row r="495" spans="1:17" ht="15" x14ac:dyDescent="0.25">
      <c r="A495" s="3" t="str">
        <f>IF('[1]0.1 Produksi Pangan &amp; Penduduk'!A496="","",'[1]0.1 Produksi Pangan &amp; Penduduk'!A496)</f>
        <v/>
      </c>
      <c r="B495" s="2" t="str">
        <f>IF('[1]0.1 Produksi Pangan &amp; Penduduk'!B496="","",'[1]0.1 Produksi Pangan &amp; Penduduk'!B496)</f>
        <v/>
      </c>
      <c r="C495" s="2" t="str">
        <f>IF('[1]0.1 Produksi Pangan &amp; Penduduk'!F496="","",'[1]0.1 Produksi Pangan &amp; Penduduk'!F496)</f>
        <v/>
      </c>
      <c r="D495" s="3" t="str">
        <f>IF('[1]0.1 Produksi Pangan &amp; Penduduk'!D496="","",'[1]0.1 Produksi Pangan &amp; Penduduk'!D496)</f>
        <v/>
      </c>
      <c r="E495" s="3" t="str">
        <f>IF('[1]0.1 Produksi Pangan &amp; Penduduk'!E496="","",'[1]0.1 Produksi Pangan &amp; Penduduk'!E496)</f>
        <v/>
      </c>
      <c r="F495" s="59" t="str">
        <f>IF(D495="","",VLOOKUP(D495,'[1]0.1 Produksi Pangan &amp; Penduduk'!$D$5:$J$860,7,0))</f>
        <v/>
      </c>
      <c r="G495" s="27" t="str">
        <f t="shared" si="70"/>
        <v/>
      </c>
      <c r="H495" s="27" t="str">
        <f t="shared" si="71"/>
        <v/>
      </c>
      <c r="I495" s="27" t="str">
        <f t="shared" si="72"/>
        <v/>
      </c>
      <c r="J495" s="27" t="str">
        <f t="shared" si="73"/>
        <v/>
      </c>
      <c r="K495" s="27" t="str">
        <f t="shared" si="74"/>
        <v/>
      </c>
      <c r="L495" s="59" t="str">
        <f>IF(D495="","",VLOOKUP(D495,'[1]0.1 Produksi Pangan &amp; Penduduk'!$D$5:$M$860,10,0))</f>
        <v/>
      </c>
      <c r="M495" s="28" t="str">
        <f t="shared" si="75"/>
        <v/>
      </c>
      <c r="N495" s="60" t="str">
        <f t="shared" si="76"/>
        <v/>
      </c>
      <c r="O495" s="60" t="str">
        <f t="shared" si="77"/>
        <v/>
      </c>
      <c r="P495" s="60" t="str">
        <f t="shared" si="78"/>
        <v/>
      </c>
      <c r="Q495" s="28" t="str">
        <f t="shared" si="79"/>
        <v/>
      </c>
    </row>
    <row r="496" spans="1:17" ht="15" x14ac:dyDescent="0.25">
      <c r="A496" s="3" t="str">
        <f>IF('[1]0.1 Produksi Pangan &amp; Penduduk'!A497="","",'[1]0.1 Produksi Pangan &amp; Penduduk'!A497)</f>
        <v/>
      </c>
      <c r="B496" s="2" t="str">
        <f>IF('[1]0.1 Produksi Pangan &amp; Penduduk'!B497="","",'[1]0.1 Produksi Pangan &amp; Penduduk'!B497)</f>
        <v/>
      </c>
      <c r="C496" s="2" t="str">
        <f>IF('[1]0.1 Produksi Pangan &amp; Penduduk'!F497="","",'[1]0.1 Produksi Pangan &amp; Penduduk'!F497)</f>
        <v/>
      </c>
      <c r="D496" s="3" t="str">
        <f>IF('[1]0.1 Produksi Pangan &amp; Penduduk'!D497="","",'[1]0.1 Produksi Pangan &amp; Penduduk'!D497)</f>
        <v/>
      </c>
      <c r="E496" s="3" t="str">
        <f>IF('[1]0.1 Produksi Pangan &amp; Penduduk'!E497="","",'[1]0.1 Produksi Pangan &amp; Penduduk'!E497)</f>
        <v/>
      </c>
      <c r="F496" s="59" t="str">
        <f>IF(D496="","",VLOOKUP(D496,'[1]0.1 Produksi Pangan &amp; Penduduk'!$D$5:$J$860,7,0))</f>
        <v/>
      </c>
      <c r="G496" s="27" t="str">
        <f t="shared" si="70"/>
        <v/>
      </c>
      <c r="H496" s="27" t="str">
        <f t="shared" si="71"/>
        <v/>
      </c>
      <c r="I496" s="27" t="str">
        <f t="shared" si="72"/>
        <v/>
      </c>
      <c r="J496" s="27" t="str">
        <f t="shared" si="73"/>
        <v/>
      </c>
      <c r="K496" s="27" t="str">
        <f t="shared" si="74"/>
        <v/>
      </c>
      <c r="L496" s="59" t="str">
        <f>IF(D496="","",VLOOKUP(D496,'[1]0.1 Produksi Pangan &amp; Penduduk'!$D$5:$M$860,10,0))</f>
        <v/>
      </c>
      <c r="M496" s="28" t="str">
        <f t="shared" si="75"/>
        <v/>
      </c>
      <c r="N496" s="60" t="str">
        <f t="shared" si="76"/>
        <v/>
      </c>
      <c r="O496" s="60" t="str">
        <f t="shared" si="77"/>
        <v/>
      </c>
      <c r="P496" s="60" t="str">
        <f t="shared" si="78"/>
        <v/>
      </c>
      <c r="Q496" s="28" t="str">
        <f t="shared" si="79"/>
        <v/>
      </c>
    </row>
    <row r="497" spans="1:17" ht="15" x14ac:dyDescent="0.25">
      <c r="A497" s="3" t="str">
        <f>IF('[1]0.1 Produksi Pangan &amp; Penduduk'!A498="","",'[1]0.1 Produksi Pangan &amp; Penduduk'!A498)</f>
        <v/>
      </c>
      <c r="B497" s="2" t="str">
        <f>IF('[1]0.1 Produksi Pangan &amp; Penduduk'!B498="","",'[1]0.1 Produksi Pangan &amp; Penduduk'!B498)</f>
        <v/>
      </c>
      <c r="C497" s="2" t="str">
        <f>IF('[1]0.1 Produksi Pangan &amp; Penduduk'!F498="","",'[1]0.1 Produksi Pangan &amp; Penduduk'!F498)</f>
        <v/>
      </c>
      <c r="D497" s="3" t="str">
        <f>IF('[1]0.1 Produksi Pangan &amp; Penduduk'!D498="","",'[1]0.1 Produksi Pangan &amp; Penduduk'!D498)</f>
        <v/>
      </c>
      <c r="E497" s="3" t="str">
        <f>IF('[1]0.1 Produksi Pangan &amp; Penduduk'!E498="","",'[1]0.1 Produksi Pangan &amp; Penduduk'!E498)</f>
        <v/>
      </c>
      <c r="F497" s="59" t="str">
        <f>IF(D497="","",VLOOKUP(D497,'[1]0.1 Produksi Pangan &amp; Penduduk'!$D$5:$J$860,7,0))</f>
        <v/>
      </c>
      <c r="G497" s="27" t="str">
        <f t="shared" si="70"/>
        <v/>
      </c>
      <c r="H497" s="27" t="str">
        <f t="shared" si="71"/>
        <v/>
      </c>
      <c r="I497" s="27" t="str">
        <f t="shared" si="72"/>
        <v/>
      </c>
      <c r="J497" s="27" t="str">
        <f t="shared" si="73"/>
        <v/>
      </c>
      <c r="K497" s="27" t="str">
        <f t="shared" si="74"/>
        <v/>
      </c>
      <c r="L497" s="59" t="str">
        <f>IF(D497="","",VLOOKUP(D497,'[1]0.1 Produksi Pangan &amp; Penduduk'!$D$5:$M$860,10,0))</f>
        <v/>
      </c>
      <c r="M497" s="28" t="str">
        <f t="shared" si="75"/>
        <v/>
      </c>
      <c r="N497" s="60" t="str">
        <f t="shared" si="76"/>
        <v/>
      </c>
      <c r="O497" s="60" t="str">
        <f t="shared" si="77"/>
        <v/>
      </c>
      <c r="P497" s="60" t="str">
        <f t="shared" si="78"/>
        <v/>
      </c>
      <c r="Q497" s="28" t="str">
        <f t="shared" si="79"/>
        <v/>
      </c>
    </row>
    <row r="498" spans="1:17" ht="15" x14ac:dyDescent="0.25">
      <c r="A498" s="3" t="str">
        <f>IF('[1]0.1 Produksi Pangan &amp; Penduduk'!A499="","",'[1]0.1 Produksi Pangan &amp; Penduduk'!A499)</f>
        <v/>
      </c>
      <c r="B498" s="2" t="str">
        <f>IF('[1]0.1 Produksi Pangan &amp; Penduduk'!B499="","",'[1]0.1 Produksi Pangan &amp; Penduduk'!B499)</f>
        <v/>
      </c>
      <c r="C498" s="2" t="str">
        <f>IF('[1]0.1 Produksi Pangan &amp; Penduduk'!F499="","",'[1]0.1 Produksi Pangan &amp; Penduduk'!F499)</f>
        <v/>
      </c>
      <c r="D498" s="3" t="str">
        <f>IF('[1]0.1 Produksi Pangan &amp; Penduduk'!D499="","",'[1]0.1 Produksi Pangan &amp; Penduduk'!D499)</f>
        <v/>
      </c>
      <c r="E498" s="3" t="str">
        <f>IF('[1]0.1 Produksi Pangan &amp; Penduduk'!E499="","",'[1]0.1 Produksi Pangan &amp; Penduduk'!E499)</f>
        <v/>
      </c>
      <c r="F498" s="59" t="str">
        <f>IF(D498="","",VLOOKUP(D498,'[1]0.1 Produksi Pangan &amp; Penduduk'!$D$5:$J$860,7,0))</f>
        <v/>
      </c>
      <c r="G498" s="27" t="str">
        <f t="shared" si="70"/>
        <v/>
      </c>
      <c r="H498" s="27" t="str">
        <f t="shared" si="71"/>
        <v/>
      </c>
      <c r="I498" s="27" t="str">
        <f t="shared" si="72"/>
        <v/>
      </c>
      <c r="J498" s="27" t="str">
        <f t="shared" si="73"/>
        <v/>
      </c>
      <c r="K498" s="27" t="str">
        <f t="shared" si="74"/>
        <v/>
      </c>
      <c r="L498" s="59" t="str">
        <f>IF(D498="","",VLOOKUP(D498,'[1]0.1 Produksi Pangan &amp; Penduduk'!$D$5:$M$860,10,0))</f>
        <v/>
      </c>
      <c r="M498" s="28" t="str">
        <f t="shared" si="75"/>
        <v/>
      </c>
      <c r="N498" s="60" t="str">
        <f t="shared" si="76"/>
        <v/>
      </c>
      <c r="O498" s="60" t="str">
        <f t="shared" si="77"/>
        <v/>
      </c>
      <c r="P498" s="60" t="str">
        <f t="shared" si="78"/>
        <v/>
      </c>
      <c r="Q498" s="28" t="str">
        <f t="shared" si="79"/>
        <v/>
      </c>
    </row>
    <row r="499" spans="1:17" ht="15" x14ac:dyDescent="0.25">
      <c r="A499" s="3" t="str">
        <f>IF('[1]0.1 Produksi Pangan &amp; Penduduk'!A500="","",'[1]0.1 Produksi Pangan &amp; Penduduk'!A500)</f>
        <v/>
      </c>
      <c r="B499" s="2" t="str">
        <f>IF('[1]0.1 Produksi Pangan &amp; Penduduk'!B500="","",'[1]0.1 Produksi Pangan &amp; Penduduk'!B500)</f>
        <v/>
      </c>
      <c r="C499" s="2" t="str">
        <f>IF('[1]0.1 Produksi Pangan &amp; Penduduk'!F500="","",'[1]0.1 Produksi Pangan &amp; Penduduk'!F500)</f>
        <v/>
      </c>
      <c r="D499" s="3" t="str">
        <f>IF('[1]0.1 Produksi Pangan &amp; Penduduk'!D500="","",'[1]0.1 Produksi Pangan &amp; Penduduk'!D500)</f>
        <v/>
      </c>
      <c r="E499" s="3" t="str">
        <f>IF('[1]0.1 Produksi Pangan &amp; Penduduk'!E500="","",'[1]0.1 Produksi Pangan &amp; Penduduk'!E500)</f>
        <v/>
      </c>
      <c r="F499" s="59" t="str">
        <f>IF(D499="","",VLOOKUP(D499,'[1]0.1 Produksi Pangan &amp; Penduduk'!$D$5:$J$860,7,0))</f>
        <v/>
      </c>
      <c r="G499" s="27" t="str">
        <f t="shared" si="70"/>
        <v/>
      </c>
      <c r="H499" s="27" t="str">
        <f t="shared" si="71"/>
        <v/>
      </c>
      <c r="I499" s="27" t="str">
        <f t="shared" si="72"/>
        <v/>
      </c>
      <c r="J499" s="27" t="str">
        <f t="shared" si="73"/>
        <v/>
      </c>
      <c r="K499" s="27" t="str">
        <f t="shared" si="74"/>
        <v/>
      </c>
      <c r="L499" s="59" t="str">
        <f>IF(D499="","",VLOOKUP(D499,'[1]0.1 Produksi Pangan &amp; Penduduk'!$D$5:$M$860,10,0))</f>
        <v/>
      </c>
      <c r="M499" s="28" t="str">
        <f t="shared" si="75"/>
        <v/>
      </c>
      <c r="N499" s="60" t="str">
        <f t="shared" si="76"/>
        <v/>
      </c>
      <c r="O499" s="60" t="str">
        <f t="shared" si="77"/>
        <v/>
      </c>
      <c r="P499" s="60" t="str">
        <f t="shared" si="78"/>
        <v/>
      </c>
      <c r="Q499" s="28" t="str">
        <f t="shared" si="79"/>
        <v/>
      </c>
    </row>
    <row r="500" spans="1:17" ht="15" x14ac:dyDescent="0.25">
      <c r="A500" s="3" t="str">
        <f>IF('[1]0.1 Produksi Pangan &amp; Penduduk'!A501="","",'[1]0.1 Produksi Pangan &amp; Penduduk'!A501)</f>
        <v/>
      </c>
      <c r="B500" s="2" t="str">
        <f>IF('[1]0.1 Produksi Pangan &amp; Penduduk'!B501="","",'[1]0.1 Produksi Pangan &amp; Penduduk'!B501)</f>
        <v/>
      </c>
      <c r="C500" s="2" t="str">
        <f>IF('[1]0.1 Produksi Pangan &amp; Penduduk'!F501="","",'[1]0.1 Produksi Pangan &amp; Penduduk'!F501)</f>
        <v/>
      </c>
      <c r="D500" s="3" t="str">
        <f>IF('[1]0.1 Produksi Pangan &amp; Penduduk'!D501="","",'[1]0.1 Produksi Pangan &amp; Penduduk'!D501)</f>
        <v/>
      </c>
      <c r="E500" s="3" t="str">
        <f>IF('[1]0.1 Produksi Pangan &amp; Penduduk'!E501="","",'[1]0.1 Produksi Pangan &amp; Penduduk'!E501)</f>
        <v/>
      </c>
      <c r="F500" s="59" t="str">
        <f>IF(D500="","",VLOOKUP(D500,'[1]0.1 Produksi Pangan &amp; Penduduk'!$D$5:$J$860,7,0))</f>
        <v/>
      </c>
      <c r="G500" s="27" t="str">
        <f t="shared" si="70"/>
        <v/>
      </c>
      <c r="H500" s="27" t="str">
        <f t="shared" si="71"/>
        <v/>
      </c>
      <c r="I500" s="27" t="str">
        <f t="shared" si="72"/>
        <v/>
      </c>
      <c r="J500" s="27" t="str">
        <f t="shared" si="73"/>
        <v/>
      </c>
      <c r="K500" s="27" t="str">
        <f t="shared" si="74"/>
        <v/>
      </c>
      <c r="L500" s="59" t="str">
        <f>IF(D500="","",VLOOKUP(D500,'[1]0.1 Produksi Pangan &amp; Penduduk'!$D$5:$M$860,10,0))</f>
        <v/>
      </c>
      <c r="M500" s="28" t="str">
        <f t="shared" si="75"/>
        <v/>
      </c>
      <c r="N500" s="60" t="str">
        <f t="shared" si="76"/>
        <v/>
      </c>
      <c r="O500" s="60" t="str">
        <f t="shared" si="77"/>
        <v/>
      </c>
      <c r="P500" s="60" t="str">
        <f t="shared" si="78"/>
        <v/>
      </c>
      <c r="Q500" s="28" t="str">
        <f t="shared" si="79"/>
        <v/>
      </c>
    </row>
    <row r="501" spans="1:17" ht="15" x14ac:dyDescent="0.25">
      <c r="A501" s="3" t="str">
        <f>IF('[1]0.1 Produksi Pangan &amp; Penduduk'!A502="","",'[1]0.1 Produksi Pangan &amp; Penduduk'!A502)</f>
        <v/>
      </c>
      <c r="B501" s="2" t="str">
        <f>IF('[1]0.1 Produksi Pangan &amp; Penduduk'!B502="","",'[1]0.1 Produksi Pangan &amp; Penduduk'!B502)</f>
        <v/>
      </c>
      <c r="C501" s="2" t="str">
        <f>IF('[1]0.1 Produksi Pangan &amp; Penduduk'!F502="","",'[1]0.1 Produksi Pangan &amp; Penduduk'!F502)</f>
        <v/>
      </c>
      <c r="D501" s="3" t="str">
        <f>IF('[1]0.1 Produksi Pangan &amp; Penduduk'!D502="","",'[1]0.1 Produksi Pangan &amp; Penduduk'!D502)</f>
        <v/>
      </c>
      <c r="E501" s="3" t="str">
        <f>IF('[1]0.1 Produksi Pangan &amp; Penduduk'!E502="","",'[1]0.1 Produksi Pangan &amp; Penduduk'!E502)</f>
        <v/>
      </c>
      <c r="F501" s="59" t="str">
        <f>IF(D501="","",VLOOKUP(D501,'[1]0.1 Produksi Pangan &amp; Penduduk'!$D$5:$J$860,7,0))</f>
        <v/>
      </c>
      <c r="G501" s="27" t="str">
        <f t="shared" si="70"/>
        <v/>
      </c>
      <c r="H501" s="27" t="str">
        <f t="shared" si="71"/>
        <v/>
      </c>
      <c r="I501" s="27" t="str">
        <f t="shared" si="72"/>
        <v/>
      </c>
      <c r="J501" s="27" t="str">
        <f t="shared" si="73"/>
        <v/>
      </c>
      <c r="K501" s="27" t="str">
        <f t="shared" si="74"/>
        <v/>
      </c>
      <c r="L501" s="59" t="str">
        <f>IF(D501="","",VLOOKUP(D501,'[1]0.1 Produksi Pangan &amp; Penduduk'!$D$5:$M$860,10,0))</f>
        <v/>
      </c>
      <c r="M501" s="28" t="str">
        <f t="shared" si="75"/>
        <v/>
      </c>
      <c r="N501" s="60" t="str">
        <f t="shared" si="76"/>
        <v/>
      </c>
      <c r="O501" s="60" t="str">
        <f t="shared" si="77"/>
        <v/>
      </c>
      <c r="P501" s="60" t="str">
        <f t="shared" si="78"/>
        <v/>
      </c>
      <c r="Q501" s="28" t="str">
        <f t="shared" si="79"/>
        <v/>
      </c>
    </row>
    <row r="502" spans="1:17" ht="15" x14ac:dyDescent="0.25">
      <c r="A502" s="3" t="str">
        <f>IF('[1]0.1 Produksi Pangan &amp; Penduduk'!A503="","",'[1]0.1 Produksi Pangan &amp; Penduduk'!A503)</f>
        <v/>
      </c>
      <c r="B502" s="2" t="str">
        <f>IF('[1]0.1 Produksi Pangan &amp; Penduduk'!B503="","",'[1]0.1 Produksi Pangan &amp; Penduduk'!B503)</f>
        <v/>
      </c>
      <c r="C502" s="2" t="str">
        <f>IF('[1]0.1 Produksi Pangan &amp; Penduduk'!F503="","",'[1]0.1 Produksi Pangan &amp; Penduduk'!F503)</f>
        <v/>
      </c>
      <c r="D502" s="3" t="str">
        <f>IF('[1]0.1 Produksi Pangan &amp; Penduduk'!D503="","",'[1]0.1 Produksi Pangan &amp; Penduduk'!D503)</f>
        <v/>
      </c>
      <c r="E502" s="3" t="str">
        <f>IF('[1]0.1 Produksi Pangan &amp; Penduduk'!E503="","",'[1]0.1 Produksi Pangan &amp; Penduduk'!E503)</f>
        <v/>
      </c>
      <c r="F502" s="59" t="str">
        <f>IF(D502="","",VLOOKUP(D502,'[1]0.1 Produksi Pangan &amp; Penduduk'!$D$5:$J$860,7,0))</f>
        <v/>
      </c>
      <c r="G502" s="27" t="str">
        <f t="shared" si="70"/>
        <v/>
      </c>
      <c r="H502" s="27" t="str">
        <f t="shared" si="71"/>
        <v/>
      </c>
      <c r="I502" s="27" t="str">
        <f t="shared" si="72"/>
        <v/>
      </c>
      <c r="J502" s="27" t="str">
        <f t="shared" si="73"/>
        <v/>
      </c>
      <c r="K502" s="27" t="str">
        <f t="shared" si="74"/>
        <v/>
      </c>
      <c r="L502" s="59" t="str">
        <f>IF(D502="","",VLOOKUP(D502,'[1]0.1 Produksi Pangan &amp; Penduduk'!$D$5:$M$860,10,0))</f>
        <v/>
      </c>
      <c r="M502" s="28" t="str">
        <f t="shared" si="75"/>
        <v/>
      </c>
      <c r="N502" s="60" t="str">
        <f t="shared" si="76"/>
        <v/>
      </c>
      <c r="O502" s="60" t="str">
        <f t="shared" si="77"/>
        <v/>
      </c>
      <c r="P502" s="60" t="str">
        <f t="shared" si="78"/>
        <v/>
      </c>
      <c r="Q502" s="28" t="str">
        <f t="shared" si="79"/>
        <v/>
      </c>
    </row>
    <row r="503" spans="1:17" ht="15" x14ac:dyDescent="0.25">
      <c r="A503" s="3" t="str">
        <f>IF('[1]0.1 Produksi Pangan &amp; Penduduk'!A504="","",'[1]0.1 Produksi Pangan &amp; Penduduk'!A504)</f>
        <v/>
      </c>
      <c r="B503" s="2" t="str">
        <f>IF('[1]0.1 Produksi Pangan &amp; Penduduk'!B504="","",'[1]0.1 Produksi Pangan &amp; Penduduk'!B504)</f>
        <v/>
      </c>
      <c r="C503" s="2" t="str">
        <f>IF('[1]0.1 Produksi Pangan &amp; Penduduk'!F504="","",'[1]0.1 Produksi Pangan &amp; Penduduk'!F504)</f>
        <v/>
      </c>
      <c r="D503" s="3" t="str">
        <f>IF('[1]0.1 Produksi Pangan &amp; Penduduk'!D504="","",'[1]0.1 Produksi Pangan &amp; Penduduk'!D504)</f>
        <v/>
      </c>
      <c r="E503" s="3" t="str">
        <f>IF('[1]0.1 Produksi Pangan &amp; Penduduk'!E504="","",'[1]0.1 Produksi Pangan &amp; Penduduk'!E504)</f>
        <v/>
      </c>
      <c r="F503" s="59" t="str">
        <f>IF(D503="","",VLOOKUP(D503,'[1]0.1 Produksi Pangan &amp; Penduduk'!$D$5:$J$860,7,0))</f>
        <v/>
      </c>
      <c r="G503" s="27" t="str">
        <f t="shared" si="70"/>
        <v/>
      </c>
      <c r="H503" s="27" t="str">
        <f t="shared" si="71"/>
        <v/>
      </c>
      <c r="I503" s="27" t="str">
        <f t="shared" si="72"/>
        <v/>
      </c>
      <c r="J503" s="27" t="str">
        <f t="shared" si="73"/>
        <v/>
      </c>
      <c r="K503" s="27" t="str">
        <f t="shared" si="74"/>
        <v/>
      </c>
      <c r="L503" s="59" t="str">
        <f>IF(D503="","",VLOOKUP(D503,'[1]0.1 Produksi Pangan &amp; Penduduk'!$D$5:$M$860,10,0))</f>
        <v/>
      </c>
      <c r="M503" s="28" t="str">
        <f t="shared" si="75"/>
        <v/>
      </c>
      <c r="N503" s="60" t="str">
        <f t="shared" si="76"/>
        <v/>
      </c>
      <c r="O503" s="60" t="str">
        <f t="shared" si="77"/>
        <v/>
      </c>
      <c r="P503" s="60" t="str">
        <f t="shared" si="78"/>
        <v/>
      </c>
      <c r="Q503" s="28" t="str">
        <f t="shared" si="79"/>
        <v/>
      </c>
    </row>
    <row r="504" spans="1:17" ht="15" x14ac:dyDescent="0.25">
      <c r="A504" s="3" t="str">
        <f>IF('[1]0.1 Produksi Pangan &amp; Penduduk'!A505="","",'[1]0.1 Produksi Pangan &amp; Penduduk'!A505)</f>
        <v/>
      </c>
      <c r="B504" s="2" t="str">
        <f>IF('[1]0.1 Produksi Pangan &amp; Penduduk'!B505="","",'[1]0.1 Produksi Pangan &amp; Penduduk'!B505)</f>
        <v/>
      </c>
      <c r="C504" s="2" t="str">
        <f>IF('[1]0.1 Produksi Pangan &amp; Penduduk'!F505="","",'[1]0.1 Produksi Pangan &amp; Penduduk'!F505)</f>
        <v/>
      </c>
      <c r="D504" s="3" t="str">
        <f>IF('[1]0.1 Produksi Pangan &amp; Penduduk'!D505="","",'[1]0.1 Produksi Pangan &amp; Penduduk'!D505)</f>
        <v/>
      </c>
      <c r="E504" s="3" t="str">
        <f>IF('[1]0.1 Produksi Pangan &amp; Penduduk'!E505="","",'[1]0.1 Produksi Pangan &amp; Penduduk'!E505)</f>
        <v/>
      </c>
      <c r="F504" s="59" t="str">
        <f>IF(D504="","",VLOOKUP(D504,'[1]0.1 Produksi Pangan &amp; Penduduk'!$D$5:$J$860,7,0))</f>
        <v/>
      </c>
      <c r="G504" s="27" t="str">
        <f t="shared" si="70"/>
        <v/>
      </c>
      <c r="H504" s="27" t="str">
        <f t="shared" si="71"/>
        <v/>
      </c>
      <c r="I504" s="27" t="str">
        <f t="shared" si="72"/>
        <v/>
      </c>
      <c r="J504" s="27" t="str">
        <f t="shared" si="73"/>
        <v/>
      </c>
      <c r="K504" s="27" t="str">
        <f t="shared" si="74"/>
        <v/>
      </c>
      <c r="L504" s="59" t="str">
        <f>IF(D504="","",VLOOKUP(D504,'[1]0.1 Produksi Pangan &amp; Penduduk'!$D$5:$M$860,10,0))</f>
        <v/>
      </c>
      <c r="M504" s="28" t="str">
        <f t="shared" si="75"/>
        <v/>
      </c>
      <c r="N504" s="60" t="str">
        <f t="shared" si="76"/>
        <v/>
      </c>
      <c r="O504" s="60" t="str">
        <f t="shared" si="77"/>
        <v/>
      </c>
      <c r="P504" s="60" t="str">
        <f t="shared" si="78"/>
        <v/>
      </c>
      <c r="Q504" s="28" t="str">
        <f t="shared" si="79"/>
        <v/>
      </c>
    </row>
    <row r="505" spans="1:17" ht="15" x14ac:dyDescent="0.25">
      <c r="A505" s="3" t="str">
        <f>IF('[1]0.1 Produksi Pangan &amp; Penduduk'!A506="","",'[1]0.1 Produksi Pangan &amp; Penduduk'!A506)</f>
        <v/>
      </c>
      <c r="B505" s="2" t="str">
        <f>IF('[1]0.1 Produksi Pangan &amp; Penduduk'!B506="","",'[1]0.1 Produksi Pangan &amp; Penduduk'!B506)</f>
        <v/>
      </c>
      <c r="C505" s="2" t="str">
        <f>IF('[1]0.1 Produksi Pangan &amp; Penduduk'!F506="","",'[1]0.1 Produksi Pangan &amp; Penduduk'!F506)</f>
        <v/>
      </c>
      <c r="D505" s="3" t="str">
        <f>IF('[1]0.1 Produksi Pangan &amp; Penduduk'!D506="","",'[1]0.1 Produksi Pangan &amp; Penduduk'!D506)</f>
        <v/>
      </c>
      <c r="E505" s="3" t="str">
        <f>IF('[1]0.1 Produksi Pangan &amp; Penduduk'!E506="","",'[1]0.1 Produksi Pangan &amp; Penduduk'!E506)</f>
        <v/>
      </c>
      <c r="F505" s="59" t="str">
        <f>IF(D505="","",VLOOKUP(D505,'[1]0.1 Produksi Pangan &amp; Penduduk'!$D$5:$J$860,7,0))</f>
        <v/>
      </c>
      <c r="G505" s="27" t="str">
        <f t="shared" si="70"/>
        <v/>
      </c>
      <c r="H505" s="27" t="str">
        <f t="shared" si="71"/>
        <v/>
      </c>
      <c r="I505" s="27" t="str">
        <f t="shared" si="72"/>
        <v/>
      </c>
      <c r="J505" s="27" t="str">
        <f t="shared" si="73"/>
        <v/>
      </c>
      <c r="K505" s="27" t="str">
        <f t="shared" si="74"/>
        <v/>
      </c>
      <c r="L505" s="59" t="str">
        <f>IF(D505="","",VLOOKUP(D505,'[1]0.1 Produksi Pangan &amp; Penduduk'!$D$5:$M$860,10,0))</f>
        <v/>
      </c>
      <c r="M505" s="28" t="str">
        <f t="shared" si="75"/>
        <v/>
      </c>
      <c r="N505" s="60" t="str">
        <f t="shared" si="76"/>
        <v/>
      </c>
      <c r="O505" s="60" t="str">
        <f t="shared" si="77"/>
        <v/>
      </c>
      <c r="P505" s="60" t="str">
        <f t="shared" si="78"/>
        <v/>
      </c>
      <c r="Q505" s="28" t="str">
        <f t="shared" si="79"/>
        <v/>
      </c>
    </row>
    <row r="506" spans="1:17" ht="15" x14ac:dyDescent="0.25">
      <c r="A506" s="3" t="str">
        <f>IF('[1]0.1 Produksi Pangan &amp; Penduduk'!A507="","",'[1]0.1 Produksi Pangan &amp; Penduduk'!A507)</f>
        <v/>
      </c>
      <c r="B506" s="2" t="str">
        <f>IF('[1]0.1 Produksi Pangan &amp; Penduduk'!B507="","",'[1]0.1 Produksi Pangan &amp; Penduduk'!B507)</f>
        <v/>
      </c>
      <c r="C506" s="2" t="str">
        <f>IF('[1]0.1 Produksi Pangan &amp; Penduduk'!F507="","",'[1]0.1 Produksi Pangan &amp; Penduduk'!F507)</f>
        <v/>
      </c>
      <c r="D506" s="3" t="str">
        <f>IF('[1]0.1 Produksi Pangan &amp; Penduduk'!D507="","",'[1]0.1 Produksi Pangan &amp; Penduduk'!D507)</f>
        <v/>
      </c>
      <c r="E506" s="3" t="str">
        <f>IF('[1]0.1 Produksi Pangan &amp; Penduduk'!E507="","",'[1]0.1 Produksi Pangan &amp; Penduduk'!E507)</f>
        <v/>
      </c>
      <c r="F506" s="59" t="str">
        <f>IF(D506="","",VLOOKUP(D506,'[1]0.1 Produksi Pangan &amp; Penduduk'!$D$5:$J$860,7,0))</f>
        <v/>
      </c>
      <c r="G506" s="27" t="str">
        <f t="shared" si="70"/>
        <v/>
      </c>
      <c r="H506" s="27" t="str">
        <f t="shared" si="71"/>
        <v/>
      </c>
      <c r="I506" s="27" t="str">
        <f t="shared" si="72"/>
        <v/>
      </c>
      <c r="J506" s="27" t="str">
        <f t="shared" si="73"/>
        <v/>
      </c>
      <c r="K506" s="27" t="str">
        <f t="shared" si="74"/>
        <v/>
      </c>
      <c r="L506" s="59" t="str">
        <f>IF(D506="","",VLOOKUP(D506,'[1]0.1 Produksi Pangan &amp; Penduduk'!$D$5:$M$860,10,0))</f>
        <v/>
      </c>
      <c r="M506" s="28" t="str">
        <f t="shared" si="75"/>
        <v/>
      </c>
      <c r="N506" s="60" t="str">
        <f t="shared" si="76"/>
        <v/>
      </c>
      <c r="O506" s="60" t="str">
        <f t="shared" si="77"/>
        <v/>
      </c>
      <c r="P506" s="60" t="str">
        <f t="shared" si="78"/>
        <v/>
      </c>
      <c r="Q506" s="28" t="str">
        <f t="shared" si="79"/>
        <v/>
      </c>
    </row>
    <row r="507" spans="1:17" ht="15" x14ac:dyDescent="0.25">
      <c r="A507" s="3" t="str">
        <f>IF('[1]0.1 Produksi Pangan &amp; Penduduk'!A508="","",'[1]0.1 Produksi Pangan &amp; Penduduk'!A508)</f>
        <v/>
      </c>
      <c r="B507" s="2" t="str">
        <f>IF('[1]0.1 Produksi Pangan &amp; Penduduk'!B508="","",'[1]0.1 Produksi Pangan &amp; Penduduk'!B508)</f>
        <v/>
      </c>
      <c r="C507" s="2" t="str">
        <f>IF('[1]0.1 Produksi Pangan &amp; Penduduk'!F508="","",'[1]0.1 Produksi Pangan &amp; Penduduk'!F508)</f>
        <v/>
      </c>
      <c r="D507" s="3" t="str">
        <f>IF('[1]0.1 Produksi Pangan &amp; Penduduk'!D508="","",'[1]0.1 Produksi Pangan &amp; Penduduk'!D508)</f>
        <v/>
      </c>
      <c r="E507" s="3" t="str">
        <f>IF('[1]0.1 Produksi Pangan &amp; Penduduk'!E508="","",'[1]0.1 Produksi Pangan &amp; Penduduk'!E508)</f>
        <v/>
      </c>
      <c r="F507" s="59" t="str">
        <f>IF(D507="","",VLOOKUP(D507,'[1]0.1 Produksi Pangan &amp; Penduduk'!$D$5:$J$860,7,0))</f>
        <v/>
      </c>
      <c r="G507" s="27" t="str">
        <f t="shared" si="70"/>
        <v/>
      </c>
      <c r="H507" s="27" t="str">
        <f t="shared" si="71"/>
        <v/>
      </c>
      <c r="I507" s="27" t="str">
        <f t="shared" si="72"/>
        <v/>
      </c>
      <c r="J507" s="27" t="str">
        <f t="shared" si="73"/>
        <v/>
      </c>
      <c r="K507" s="27" t="str">
        <f t="shared" si="74"/>
        <v/>
      </c>
      <c r="L507" s="59" t="str">
        <f>IF(D507="","",VLOOKUP(D507,'[1]0.1 Produksi Pangan &amp; Penduduk'!$D$5:$M$860,10,0))</f>
        <v/>
      </c>
      <c r="M507" s="28" t="str">
        <f t="shared" si="75"/>
        <v/>
      </c>
      <c r="N507" s="60" t="str">
        <f t="shared" si="76"/>
        <v/>
      </c>
      <c r="O507" s="60" t="str">
        <f t="shared" si="77"/>
        <v/>
      </c>
      <c r="P507" s="60" t="str">
        <f t="shared" si="78"/>
        <v/>
      </c>
      <c r="Q507" s="28" t="str">
        <f t="shared" si="79"/>
        <v/>
      </c>
    </row>
    <row r="508" spans="1:17" ht="15" x14ac:dyDescent="0.25">
      <c r="A508" s="3" t="str">
        <f>IF('[1]0.1 Produksi Pangan &amp; Penduduk'!A509="","",'[1]0.1 Produksi Pangan &amp; Penduduk'!A509)</f>
        <v/>
      </c>
      <c r="B508" s="2" t="str">
        <f>IF('[1]0.1 Produksi Pangan &amp; Penduduk'!B509="","",'[1]0.1 Produksi Pangan &amp; Penduduk'!B509)</f>
        <v/>
      </c>
      <c r="C508" s="2" t="str">
        <f>IF('[1]0.1 Produksi Pangan &amp; Penduduk'!F509="","",'[1]0.1 Produksi Pangan &amp; Penduduk'!F509)</f>
        <v/>
      </c>
      <c r="D508" s="3" t="str">
        <f>IF('[1]0.1 Produksi Pangan &amp; Penduduk'!D509="","",'[1]0.1 Produksi Pangan &amp; Penduduk'!D509)</f>
        <v/>
      </c>
      <c r="E508" s="3" t="str">
        <f>IF('[1]0.1 Produksi Pangan &amp; Penduduk'!E509="","",'[1]0.1 Produksi Pangan &amp; Penduduk'!E509)</f>
        <v/>
      </c>
      <c r="F508" s="59" t="str">
        <f>IF(D508="","",VLOOKUP(D508,'[1]0.1 Produksi Pangan &amp; Penduduk'!$D$5:$J$860,7,0))</f>
        <v/>
      </c>
      <c r="G508" s="27" t="str">
        <f t="shared" si="70"/>
        <v/>
      </c>
      <c r="H508" s="27" t="str">
        <f t="shared" si="71"/>
        <v/>
      </c>
      <c r="I508" s="27" t="str">
        <f t="shared" si="72"/>
        <v/>
      </c>
      <c r="J508" s="27" t="str">
        <f t="shared" si="73"/>
        <v/>
      </c>
      <c r="K508" s="27" t="str">
        <f t="shared" si="74"/>
        <v/>
      </c>
      <c r="L508" s="59" t="str">
        <f>IF(D508="","",VLOOKUP(D508,'[1]0.1 Produksi Pangan &amp; Penduduk'!$D$5:$M$860,10,0))</f>
        <v/>
      </c>
      <c r="M508" s="28" t="str">
        <f t="shared" si="75"/>
        <v/>
      </c>
      <c r="N508" s="60" t="str">
        <f t="shared" si="76"/>
        <v/>
      </c>
      <c r="O508" s="60" t="str">
        <f t="shared" si="77"/>
        <v/>
      </c>
      <c r="P508" s="60" t="str">
        <f t="shared" si="78"/>
        <v/>
      </c>
      <c r="Q508" s="28" t="str">
        <f t="shared" si="79"/>
        <v/>
      </c>
    </row>
    <row r="509" spans="1:17" ht="15" x14ac:dyDescent="0.25">
      <c r="A509" s="3" t="str">
        <f>IF('[1]0.1 Produksi Pangan &amp; Penduduk'!A510="","",'[1]0.1 Produksi Pangan &amp; Penduduk'!A510)</f>
        <v/>
      </c>
      <c r="B509" s="2" t="str">
        <f>IF('[1]0.1 Produksi Pangan &amp; Penduduk'!B510="","",'[1]0.1 Produksi Pangan &amp; Penduduk'!B510)</f>
        <v/>
      </c>
      <c r="C509" s="2" t="str">
        <f>IF('[1]0.1 Produksi Pangan &amp; Penduduk'!F510="","",'[1]0.1 Produksi Pangan &amp; Penduduk'!F510)</f>
        <v/>
      </c>
      <c r="D509" s="3" t="str">
        <f>IF('[1]0.1 Produksi Pangan &amp; Penduduk'!D510="","",'[1]0.1 Produksi Pangan &amp; Penduduk'!D510)</f>
        <v/>
      </c>
      <c r="E509" s="3" t="str">
        <f>IF('[1]0.1 Produksi Pangan &amp; Penduduk'!E510="","",'[1]0.1 Produksi Pangan &amp; Penduduk'!E510)</f>
        <v/>
      </c>
      <c r="F509" s="59" t="str">
        <f>IF(D509="","",VLOOKUP(D509,'[1]0.1 Produksi Pangan &amp; Penduduk'!$D$5:$J$860,7,0))</f>
        <v/>
      </c>
      <c r="G509" s="27" t="str">
        <f t="shared" si="70"/>
        <v/>
      </c>
      <c r="H509" s="27" t="str">
        <f t="shared" si="71"/>
        <v/>
      </c>
      <c r="I509" s="27" t="str">
        <f t="shared" si="72"/>
        <v/>
      </c>
      <c r="J509" s="27" t="str">
        <f t="shared" si="73"/>
        <v/>
      </c>
      <c r="K509" s="27" t="str">
        <f t="shared" si="74"/>
        <v/>
      </c>
      <c r="L509" s="59" t="str">
        <f>IF(D509="","",VLOOKUP(D509,'[1]0.1 Produksi Pangan &amp; Penduduk'!$D$5:$M$860,10,0))</f>
        <v/>
      </c>
      <c r="M509" s="28" t="str">
        <f t="shared" si="75"/>
        <v/>
      </c>
      <c r="N509" s="60" t="str">
        <f t="shared" si="76"/>
        <v/>
      </c>
      <c r="O509" s="60" t="str">
        <f t="shared" si="77"/>
        <v/>
      </c>
      <c r="P509" s="60" t="str">
        <f t="shared" si="78"/>
        <v/>
      </c>
      <c r="Q509" s="28" t="str">
        <f t="shared" si="79"/>
        <v/>
      </c>
    </row>
    <row r="510" spans="1:17" ht="15" x14ac:dyDescent="0.25">
      <c r="A510" s="3" t="str">
        <f>IF('[1]0.1 Produksi Pangan &amp; Penduduk'!A511="","",'[1]0.1 Produksi Pangan &amp; Penduduk'!A511)</f>
        <v/>
      </c>
      <c r="B510" s="2" t="str">
        <f>IF('[1]0.1 Produksi Pangan &amp; Penduduk'!B511="","",'[1]0.1 Produksi Pangan &amp; Penduduk'!B511)</f>
        <v/>
      </c>
      <c r="C510" s="2" t="str">
        <f>IF('[1]0.1 Produksi Pangan &amp; Penduduk'!F511="","",'[1]0.1 Produksi Pangan &amp; Penduduk'!F511)</f>
        <v/>
      </c>
      <c r="D510" s="3" t="str">
        <f>IF('[1]0.1 Produksi Pangan &amp; Penduduk'!D511="","",'[1]0.1 Produksi Pangan &amp; Penduduk'!D511)</f>
        <v/>
      </c>
      <c r="E510" s="3" t="str">
        <f>IF('[1]0.1 Produksi Pangan &amp; Penduduk'!E511="","",'[1]0.1 Produksi Pangan &amp; Penduduk'!E511)</f>
        <v/>
      </c>
      <c r="F510" s="59" t="str">
        <f>IF(D510="","",VLOOKUP(D510,'[1]0.1 Produksi Pangan &amp; Penduduk'!$D$5:$J$860,7,0))</f>
        <v/>
      </c>
      <c r="G510" s="27" t="str">
        <f t="shared" si="70"/>
        <v/>
      </c>
      <c r="H510" s="27" t="str">
        <f t="shared" si="71"/>
        <v/>
      </c>
      <c r="I510" s="27" t="str">
        <f t="shared" si="72"/>
        <v/>
      </c>
      <c r="J510" s="27" t="str">
        <f t="shared" si="73"/>
        <v/>
      </c>
      <c r="K510" s="27" t="str">
        <f t="shared" si="74"/>
        <v/>
      </c>
      <c r="L510" s="59" t="str">
        <f>IF(D510="","",VLOOKUP(D510,'[1]0.1 Produksi Pangan &amp; Penduduk'!$D$5:$M$860,10,0))</f>
        <v/>
      </c>
      <c r="M510" s="28" t="str">
        <f t="shared" si="75"/>
        <v/>
      </c>
      <c r="N510" s="60" t="str">
        <f t="shared" si="76"/>
        <v/>
      </c>
      <c r="O510" s="60" t="str">
        <f t="shared" si="77"/>
        <v/>
      </c>
      <c r="P510" s="60" t="str">
        <f t="shared" si="78"/>
        <v/>
      </c>
      <c r="Q510" s="28" t="str">
        <f t="shared" si="79"/>
        <v/>
      </c>
    </row>
    <row r="511" spans="1:17" ht="15" x14ac:dyDescent="0.25">
      <c r="A511" s="3" t="str">
        <f>IF('[1]0.1 Produksi Pangan &amp; Penduduk'!A512="","",'[1]0.1 Produksi Pangan &amp; Penduduk'!A512)</f>
        <v/>
      </c>
      <c r="B511" s="2" t="str">
        <f>IF('[1]0.1 Produksi Pangan &amp; Penduduk'!B512="","",'[1]0.1 Produksi Pangan &amp; Penduduk'!B512)</f>
        <v/>
      </c>
      <c r="C511" s="2" t="str">
        <f>IF('[1]0.1 Produksi Pangan &amp; Penduduk'!F512="","",'[1]0.1 Produksi Pangan &amp; Penduduk'!F512)</f>
        <v/>
      </c>
      <c r="D511" s="3" t="str">
        <f>IF('[1]0.1 Produksi Pangan &amp; Penduduk'!D512="","",'[1]0.1 Produksi Pangan &amp; Penduduk'!D512)</f>
        <v/>
      </c>
      <c r="E511" s="3" t="str">
        <f>IF('[1]0.1 Produksi Pangan &amp; Penduduk'!E512="","",'[1]0.1 Produksi Pangan &amp; Penduduk'!E512)</f>
        <v/>
      </c>
      <c r="F511" s="59" t="str">
        <f>IF(D511="","",VLOOKUP(D511,'[1]0.1 Produksi Pangan &amp; Penduduk'!$D$5:$J$860,7,0))</f>
        <v/>
      </c>
      <c r="G511" s="27" t="str">
        <f t="shared" si="70"/>
        <v/>
      </c>
      <c r="H511" s="27" t="str">
        <f t="shared" si="71"/>
        <v/>
      </c>
      <c r="I511" s="27" t="str">
        <f t="shared" si="72"/>
        <v/>
      </c>
      <c r="J511" s="27" t="str">
        <f t="shared" si="73"/>
        <v/>
      </c>
      <c r="K511" s="27" t="str">
        <f t="shared" si="74"/>
        <v/>
      </c>
      <c r="L511" s="59" t="str">
        <f>IF(D511="","",VLOOKUP(D511,'[1]0.1 Produksi Pangan &amp; Penduduk'!$D$5:$M$860,10,0))</f>
        <v/>
      </c>
      <c r="M511" s="28" t="str">
        <f t="shared" si="75"/>
        <v/>
      </c>
      <c r="N511" s="60" t="str">
        <f t="shared" si="76"/>
        <v/>
      </c>
      <c r="O511" s="60" t="str">
        <f t="shared" si="77"/>
        <v/>
      </c>
      <c r="P511" s="60" t="str">
        <f t="shared" si="78"/>
        <v/>
      </c>
      <c r="Q511" s="28" t="str">
        <f t="shared" si="79"/>
        <v/>
      </c>
    </row>
    <row r="512" spans="1:17" ht="15" x14ac:dyDescent="0.25">
      <c r="A512" s="3" t="str">
        <f>IF('[1]0.1 Produksi Pangan &amp; Penduduk'!A513="","",'[1]0.1 Produksi Pangan &amp; Penduduk'!A513)</f>
        <v/>
      </c>
      <c r="B512" s="2" t="str">
        <f>IF('[1]0.1 Produksi Pangan &amp; Penduduk'!B513="","",'[1]0.1 Produksi Pangan &amp; Penduduk'!B513)</f>
        <v/>
      </c>
      <c r="C512" s="2" t="str">
        <f>IF('[1]0.1 Produksi Pangan &amp; Penduduk'!F513="","",'[1]0.1 Produksi Pangan &amp; Penduduk'!F513)</f>
        <v/>
      </c>
      <c r="D512" s="3" t="str">
        <f>IF('[1]0.1 Produksi Pangan &amp; Penduduk'!D513="","",'[1]0.1 Produksi Pangan &amp; Penduduk'!D513)</f>
        <v/>
      </c>
      <c r="E512" s="3" t="str">
        <f>IF('[1]0.1 Produksi Pangan &amp; Penduduk'!E513="","",'[1]0.1 Produksi Pangan &amp; Penduduk'!E513)</f>
        <v/>
      </c>
      <c r="F512" s="59" t="str">
        <f>IF(D512="","",VLOOKUP(D512,'[1]0.1 Produksi Pangan &amp; Penduduk'!$D$5:$J$860,7,0))</f>
        <v/>
      </c>
      <c r="G512" s="27" t="str">
        <f t="shared" si="70"/>
        <v/>
      </c>
      <c r="H512" s="27" t="str">
        <f t="shared" si="71"/>
        <v/>
      </c>
      <c r="I512" s="27" t="str">
        <f t="shared" si="72"/>
        <v/>
      </c>
      <c r="J512" s="27" t="str">
        <f t="shared" si="73"/>
        <v/>
      </c>
      <c r="K512" s="27" t="str">
        <f t="shared" si="74"/>
        <v/>
      </c>
      <c r="L512" s="59" t="str">
        <f>IF(D512="","",VLOOKUP(D512,'[1]0.1 Produksi Pangan &amp; Penduduk'!$D$5:$M$860,10,0))</f>
        <v/>
      </c>
      <c r="M512" s="28" t="str">
        <f t="shared" si="75"/>
        <v/>
      </c>
      <c r="N512" s="60" t="str">
        <f t="shared" si="76"/>
        <v/>
      </c>
      <c r="O512" s="60" t="str">
        <f t="shared" si="77"/>
        <v/>
      </c>
      <c r="P512" s="60" t="str">
        <f t="shared" si="78"/>
        <v/>
      </c>
      <c r="Q512" s="28" t="str">
        <f t="shared" si="79"/>
        <v/>
      </c>
    </row>
    <row r="513" spans="1:17" ht="15" x14ac:dyDescent="0.25">
      <c r="A513" s="3" t="str">
        <f>IF('[1]0.1 Produksi Pangan &amp; Penduduk'!A514="","",'[1]0.1 Produksi Pangan &amp; Penduduk'!A514)</f>
        <v/>
      </c>
      <c r="B513" s="2" t="str">
        <f>IF('[1]0.1 Produksi Pangan &amp; Penduduk'!B514="","",'[1]0.1 Produksi Pangan &amp; Penduduk'!B514)</f>
        <v/>
      </c>
      <c r="C513" s="2" t="str">
        <f>IF('[1]0.1 Produksi Pangan &amp; Penduduk'!F514="","",'[1]0.1 Produksi Pangan &amp; Penduduk'!F514)</f>
        <v/>
      </c>
      <c r="D513" s="3" t="str">
        <f>IF('[1]0.1 Produksi Pangan &amp; Penduduk'!D514="","",'[1]0.1 Produksi Pangan &amp; Penduduk'!D514)</f>
        <v/>
      </c>
      <c r="E513" s="3" t="str">
        <f>IF('[1]0.1 Produksi Pangan &amp; Penduduk'!E514="","",'[1]0.1 Produksi Pangan &amp; Penduduk'!E514)</f>
        <v/>
      </c>
      <c r="F513" s="59" t="str">
        <f>IF(D513="","",VLOOKUP(D513,'[1]0.1 Produksi Pangan &amp; Penduduk'!$D$5:$J$860,7,0))</f>
        <v/>
      </c>
      <c r="G513" s="27" t="str">
        <f t="shared" si="70"/>
        <v/>
      </c>
      <c r="H513" s="27" t="str">
        <f t="shared" si="71"/>
        <v/>
      </c>
      <c r="I513" s="27" t="str">
        <f t="shared" si="72"/>
        <v/>
      </c>
      <c r="J513" s="27" t="str">
        <f t="shared" si="73"/>
        <v/>
      </c>
      <c r="K513" s="27" t="str">
        <f t="shared" si="74"/>
        <v/>
      </c>
      <c r="L513" s="59" t="str">
        <f>IF(D513="","",VLOOKUP(D513,'[1]0.1 Produksi Pangan &amp; Penduduk'!$D$5:$M$860,10,0))</f>
        <v/>
      </c>
      <c r="M513" s="28" t="str">
        <f t="shared" si="75"/>
        <v/>
      </c>
      <c r="N513" s="60" t="str">
        <f t="shared" si="76"/>
        <v/>
      </c>
      <c r="O513" s="60" t="str">
        <f t="shared" si="77"/>
        <v/>
      </c>
      <c r="P513" s="60" t="str">
        <f t="shared" si="78"/>
        <v/>
      </c>
      <c r="Q513" s="28" t="str">
        <f t="shared" si="79"/>
        <v/>
      </c>
    </row>
    <row r="514" spans="1:17" ht="15" x14ac:dyDescent="0.25">
      <c r="A514" s="3" t="str">
        <f>IF('[1]0.1 Produksi Pangan &amp; Penduduk'!A515="","",'[1]0.1 Produksi Pangan &amp; Penduduk'!A515)</f>
        <v/>
      </c>
      <c r="B514" s="2" t="str">
        <f>IF('[1]0.1 Produksi Pangan &amp; Penduduk'!B515="","",'[1]0.1 Produksi Pangan &amp; Penduduk'!B515)</f>
        <v/>
      </c>
      <c r="C514" s="2" t="str">
        <f>IF('[1]0.1 Produksi Pangan &amp; Penduduk'!F515="","",'[1]0.1 Produksi Pangan &amp; Penduduk'!F515)</f>
        <v/>
      </c>
      <c r="D514" s="3" t="str">
        <f>IF('[1]0.1 Produksi Pangan &amp; Penduduk'!D515="","",'[1]0.1 Produksi Pangan &amp; Penduduk'!D515)</f>
        <v/>
      </c>
      <c r="E514" s="3" t="str">
        <f>IF('[1]0.1 Produksi Pangan &amp; Penduduk'!E515="","",'[1]0.1 Produksi Pangan &amp; Penduduk'!E515)</f>
        <v/>
      </c>
      <c r="F514" s="59" t="str">
        <f>IF(D514="","",VLOOKUP(D514,'[1]0.1 Produksi Pangan &amp; Penduduk'!$D$5:$J$860,7,0))</f>
        <v/>
      </c>
      <c r="G514" s="27" t="str">
        <f t="shared" si="70"/>
        <v/>
      </c>
      <c r="H514" s="27" t="str">
        <f t="shared" si="71"/>
        <v/>
      </c>
      <c r="I514" s="27" t="str">
        <f t="shared" si="72"/>
        <v/>
      </c>
      <c r="J514" s="27" t="str">
        <f t="shared" si="73"/>
        <v/>
      </c>
      <c r="K514" s="27" t="str">
        <f t="shared" si="74"/>
        <v/>
      </c>
      <c r="L514" s="59" t="str">
        <f>IF(D514="","",VLOOKUP(D514,'[1]0.1 Produksi Pangan &amp; Penduduk'!$D$5:$M$860,10,0))</f>
        <v/>
      </c>
      <c r="M514" s="28" t="str">
        <f t="shared" si="75"/>
        <v/>
      </c>
      <c r="N514" s="60" t="str">
        <f t="shared" si="76"/>
        <v/>
      </c>
      <c r="O514" s="60" t="str">
        <f t="shared" si="77"/>
        <v/>
      </c>
      <c r="P514" s="60" t="str">
        <f t="shared" si="78"/>
        <v/>
      </c>
      <c r="Q514" s="28" t="str">
        <f t="shared" si="79"/>
        <v/>
      </c>
    </row>
    <row r="515" spans="1:17" ht="15" x14ac:dyDescent="0.25">
      <c r="A515" s="3" t="str">
        <f>IF('[1]0.1 Produksi Pangan &amp; Penduduk'!A516="","",'[1]0.1 Produksi Pangan &amp; Penduduk'!A516)</f>
        <v/>
      </c>
      <c r="B515" s="2" t="str">
        <f>IF('[1]0.1 Produksi Pangan &amp; Penduduk'!B516="","",'[1]0.1 Produksi Pangan &amp; Penduduk'!B516)</f>
        <v/>
      </c>
      <c r="C515" s="2" t="str">
        <f>IF('[1]0.1 Produksi Pangan &amp; Penduduk'!F516="","",'[1]0.1 Produksi Pangan &amp; Penduduk'!F516)</f>
        <v/>
      </c>
      <c r="D515" s="3" t="str">
        <f>IF('[1]0.1 Produksi Pangan &amp; Penduduk'!D516="","",'[1]0.1 Produksi Pangan &amp; Penduduk'!D516)</f>
        <v/>
      </c>
      <c r="E515" s="3" t="str">
        <f>IF('[1]0.1 Produksi Pangan &amp; Penduduk'!E516="","",'[1]0.1 Produksi Pangan &amp; Penduduk'!E516)</f>
        <v/>
      </c>
      <c r="F515" s="59" t="str">
        <f>IF(D515="","",VLOOKUP(D515,'[1]0.1 Produksi Pangan &amp; Penduduk'!$D$5:$J$860,7,0))</f>
        <v/>
      </c>
      <c r="G515" s="27" t="str">
        <f t="shared" si="70"/>
        <v/>
      </c>
      <c r="H515" s="27" t="str">
        <f t="shared" si="71"/>
        <v/>
      </c>
      <c r="I515" s="27" t="str">
        <f t="shared" si="72"/>
        <v/>
      </c>
      <c r="J515" s="27" t="str">
        <f t="shared" si="73"/>
        <v/>
      </c>
      <c r="K515" s="27" t="str">
        <f t="shared" si="74"/>
        <v/>
      </c>
      <c r="L515" s="59" t="str">
        <f>IF(D515="","",VLOOKUP(D515,'[1]0.1 Produksi Pangan &amp; Penduduk'!$D$5:$M$860,10,0))</f>
        <v/>
      </c>
      <c r="M515" s="28" t="str">
        <f t="shared" si="75"/>
        <v/>
      </c>
      <c r="N515" s="60" t="str">
        <f t="shared" si="76"/>
        <v/>
      </c>
      <c r="O515" s="60" t="str">
        <f t="shared" si="77"/>
        <v/>
      </c>
      <c r="P515" s="60" t="str">
        <f t="shared" si="78"/>
        <v/>
      </c>
      <c r="Q515" s="28" t="str">
        <f t="shared" si="79"/>
        <v/>
      </c>
    </row>
    <row r="516" spans="1:17" ht="15" x14ac:dyDescent="0.25">
      <c r="A516" s="3" t="str">
        <f>IF('[1]0.1 Produksi Pangan &amp; Penduduk'!A517="","",'[1]0.1 Produksi Pangan &amp; Penduduk'!A517)</f>
        <v/>
      </c>
      <c r="B516" s="2" t="str">
        <f>IF('[1]0.1 Produksi Pangan &amp; Penduduk'!B517="","",'[1]0.1 Produksi Pangan &amp; Penduduk'!B517)</f>
        <v/>
      </c>
      <c r="C516" s="2" t="str">
        <f>IF('[1]0.1 Produksi Pangan &amp; Penduduk'!F517="","",'[1]0.1 Produksi Pangan &amp; Penduduk'!F517)</f>
        <v/>
      </c>
      <c r="D516" s="3" t="str">
        <f>IF('[1]0.1 Produksi Pangan &amp; Penduduk'!D517="","",'[1]0.1 Produksi Pangan &amp; Penduduk'!D517)</f>
        <v/>
      </c>
      <c r="E516" s="3" t="str">
        <f>IF('[1]0.1 Produksi Pangan &amp; Penduduk'!E517="","",'[1]0.1 Produksi Pangan &amp; Penduduk'!E517)</f>
        <v/>
      </c>
      <c r="F516" s="59" t="str">
        <f>IF(D516="","",VLOOKUP(D516,'[1]0.1 Produksi Pangan &amp; Penduduk'!$D$5:$J$860,7,0))</f>
        <v/>
      </c>
      <c r="G516" s="27" t="str">
        <f t="shared" si="70"/>
        <v/>
      </c>
      <c r="H516" s="27" t="str">
        <f t="shared" si="71"/>
        <v/>
      </c>
      <c r="I516" s="27" t="str">
        <f t="shared" si="72"/>
        <v/>
      </c>
      <c r="J516" s="27" t="str">
        <f t="shared" si="73"/>
        <v/>
      </c>
      <c r="K516" s="27" t="str">
        <f t="shared" si="74"/>
        <v/>
      </c>
      <c r="L516" s="59" t="str">
        <f>IF(D516="","",VLOOKUP(D516,'[1]0.1 Produksi Pangan &amp; Penduduk'!$D$5:$M$860,10,0))</f>
        <v/>
      </c>
      <c r="M516" s="28" t="str">
        <f t="shared" si="75"/>
        <v/>
      </c>
      <c r="N516" s="60" t="str">
        <f t="shared" si="76"/>
        <v/>
      </c>
      <c r="O516" s="60" t="str">
        <f t="shared" si="77"/>
        <v/>
      </c>
      <c r="P516" s="60" t="str">
        <f t="shared" si="78"/>
        <v/>
      </c>
      <c r="Q516" s="28" t="str">
        <f t="shared" si="79"/>
        <v/>
      </c>
    </row>
    <row r="517" spans="1:17" ht="15" x14ac:dyDescent="0.25">
      <c r="A517" s="3" t="str">
        <f>IF('[1]0.1 Produksi Pangan &amp; Penduduk'!A518="","",'[1]0.1 Produksi Pangan &amp; Penduduk'!A518)</f>
        <v/>
      </c>
      <c r="B517" s="2" t="str">
        <f>IF('[1]0.1 Produksi Pangan &amp; Penduduk'!B518="","",'[1]0.1 Produksi Pangan &amp; Penduduk'!B518)</f>
        <v/>
      </c>
      <c r="C517" s="2" t="str">
        <f>IF('[1]0.1 Produksi Pangan &amp; Penduduk'!F518="","",'[1]0.1 Produksi Pangan &amp; Penduduk'!F518)</f>
        <v/>
      </c>
      <c r="D517" s="3" t="str">
        <f>IF('[1]0.1 Produksi Pangan &amp; Penduduk'!D518="","",'[1]0.1 Produksi Pangan &amp; Penduduk'!D518)</f>
        <v/>
      </c>
      <c r="E517" s="3" t="str">
        <f>IF('[1]0.1 Produksi Pangan &amp; Penduduk'!E518="","",'[1]0.1 Produksi Pangan &amp; Penduduk'!E518)</f>
        <v/>
      </c>
      <c r="F517" s="59" t="str">
        <f>IF(D517="","",VLOOKUP(D517,'[1]0.1 Produksi Pangan &amp; Penduduk'!$D$5:$J$860,7,0))</f>
        <v/>
      </c>
      <c r="G517" s="27" t="str">
        <f t="shared" si="70"/>
        <v/>
      </c>
      <c r="H517" s="27" t="str">
        <f t="shared" si="71"/>
        <v/>
      </c>
      <c r="I517" s="27" t="str">
        <f t="shared" si="72"/>
        <v/>
      </c>
      <c r="J517" s="27" t="str">
        <f t="shared" si="73"/>
        <v/>
      </c>
      <c r="K517" s="27" t="str">
        <f t="shared" si="74"/>
        <v/>
      </c>
      <c r="L517" s="59" t="str">
        <f>IF(D517="","",VLOOKUP(D517,'[1]0.1 Produksi Pangan &amp; Penduduk'!$D$5:$M$860,10,0))</f>
        <v/>
      </c>
      <c r="M517" s="28" t="str">
        <f t="shared" si="75"/>
        <v/>
      </c>
      <c r="N517" s="60" t="str">
        <f t="shared" si="76"/>
        <v/>
      </c>
      <c r="O517" s="60" t="str">
        <f t="shared" si="77"/>
        <v/>
      </c>
      <c r="P517" s="60" t="str">
        <f t="shared" si="78"/>
        <v/>
      </c>
      <c r="Q517" s="28" t="str">
        <f t="shared" si="79"/>
        <v/>
      </c>
    </row>
    <row r="518" spans="1:17" ht="15" x14ac:dyDescent="0.25">
      <c r="A518" s="3" t="str">
        <f>IF('[1]0.1 Produksi Pangan &amp; Penduduk'!A519="","",'[1]0.1 Produksi Pangan &amp; Penduduk'!A519)</f>
        <v/>
      </c>
      <c r="B518" s="2" t="str">
        <f>IF('[1]0.1 Produksi Pangan &amp; Penduduk'!B519="","",'[1]0.1 Produksi Pangan &amp; Penduduk'!B519)</f>
        <v/>
      </c>
      <c r="C518" s="2" t="str">
        <f>IF('[1]0.1 Produksi Pangan &amp; Penduduk'!F519="","",'[1]0.1 Produksi Pangan &amp; Penduduk'!F519)</f>
        <v/>
      </c>
      <c r="D518" s="3" t="str">
        <f>IF('[1]0.1 Produksi Pangan &amp; Penduduk'!D519="","",'[1]0.1 Produksi Pangan &amp; Penduduk'!D519)</f>
        <v/>
      </c>
      <c r="E518" s="3" t="str">
        <f>IF('[1]0.1 Produksi Pangan &amp; Penduduk'!E519="","",'[1]0.1 Produksi Pangan &amp; Penduduk'!E519)</f>
        <v/>
      </c>
      <c r="F518" s="59" t="str">
        <f>IF(D518="","",VLOOKUP(D518,'[1]0.1 Produksi Pangan &amp; Penduduk'!$D$5:$J$860,7,0))</f>
        <v/>
      </c>
      <c r="G518" s="27" t="str">
        <f t="shared" ref="G518:G581" si="80">IF(F518="","",F518*0.9%)</f>
        <v/>
      </c>
      <c r="H518" s="27" t="str">
        <f t="shared" ref="H518:H581" si="81">IF(F518="","",F518*0.44%)</f>
        <v/>
      </c>
      <c r="I518" s="27" t="str">
        <f t="shared" ref="I518:I581" si="82">IF(F518="","",F518*4.92%)</f>
        <v/>
      </c>
      <c r="J518" s="27" t="str">
        <f t="shared" ref="J518:J581" si="83">IF(F518="","",F518*0.56%)</f>
        <v/>
      </c>
      <c r="K518" s="27" t="str">
        <f t="shared" ref="K518:K581" si="84">IF(F518="","",F518-(G518+H518+I518+J518))</f>
        <v/>
      </c>
      <c r="L518" s="59" t="str">
        <f>IF(D518="","",VLOOKUP(D518,'[1]0.1 Produksi Pangan &amp; Penduduk'!$D$5:$M$860,10,0))</f>
        <v/>
      </c>
      <c r="M518" s="28" t="str">
        <f t="shared" ref="M518:M581" si="85">IFERROR(K518*L518,"")</f>
        <v/>
      </c>
      <c r="N518" s="60" t="str">
        <f t="shared" ref="N518:N581" si="86">IF(M518="","",M518*0.17%)</f>
        <v/>
      </c>
      <c r="O518" s="60" t="str">
        <f t="shared" ref="O518:O581" si="87">IF(M518="","",M518*2.5%)</f>
        <v/>
      </c>
      <c r="P518" s="60" t="str">
        <f t="shared" ref="P518:P581" si="88">IF(M518="","",M518*0.66%)</f>
        <v/>
      </c>
      <c r="Q518" s="28" t="str">
        <f t="shared" ref="Q518:Q581" si="89">IF(M518="","",M518-(N518+O518+P518))</f>
        <v/>
      </c>
    </row>
    <row r="519" spans="1:17" ht="15" x14ac:dyDescent="0.25">
      <c r="A519" s="3" t="str">
        <f>IF('[1]0.1 Produksi Pangan &amp; Penduduk'!A520="","",'[1]0.1 Produksi Pangan &amp; Penduduk'!A520)</f>
        <v/>
      </c>
      <c r="B519" s="2" t="str">
        <f>IF('[1]0.1 Produksi Pangan &amp; Penduduk'!B520="","",'[1]0.1 Produksi Pangan &amp; Penduduk'!B520)</f>
        <v/>
      </c>
      <c r="C519" s="2" t="str">
        <f>IF('[1]0.1 Produksi Pangan &amp; Penduduk'!F520="","",'[1]0.1 Produksi Pangan &amp; Penduduk'!F520)</f>
        <v/>
      </c>
      <c r="D519" s="3" t="str">
        <f>IF('[1]0.1 Produksi Pangan &amp; Penduduk'!D520="","",'[1]0.1 Produksi Pangan &amp; Penduduk'!D520)</f>
        <v/>
      </c>
      <c r="E519" s="3" t="str">
        <f>IF('[1]0.1 Produksi Pangan &amp; Penduduk'!E520="","",'[1]0.1 Produksi Pangan &amp; Penduduk'!E520)</f>
        <v/>
      </c>
      <c r="F519" s="59" t="str">
        <f>IF(D519="","",VLOOKUP(D519,'[1]0.1 Produksi Pangan &amp; Penduduk'!$D$5:$J$860,7,0))</f>
        <v/>
      </c>
      <c r="G519" s="27" t="str">
        <f t="shared" si="80"/>
        <v/>
      </c>
      <c r="H519" s="27" t="str">
        <f t="shared" si="81"/>
        <v/>
      </c>
      <c r="I519" s="27" t="str">
        <f t="shared" si="82"/>
        <v/>
      </c>
      <c r="J519" s="27" t="str">
        <f t="shared" si="83"/>
        <v/>
      </c>
      <c r="K519" s="27" t="str">
        <f t="shared" si="84"/>
        <v/>
      </c>
      <c r="L519" s="59" t="str">
        <f>IF(D519="","",VLOOKUP(D519,'[1]0.1 Produksi Pangan &amp; Penduduk'!$D$5:$M$860,10,0))</f>
        <v/>
      </c>
      <c r="M519" s="28" t="str">
        <f t="shared" si="85"/>
        <v/>
      </c>
      <c r="N519" s="60" t="str">
        <f t="shared" si="86"/>
        <v/>
      </c>
      <c r="O519" s="60" t="str">
        <f t="shared" si="87"/>
        <v/>
      </c>
      <c r="P519" s="60" t="str">
        <f t="shared" si="88"/>
        <v/>
      </c>
      <c r="Q519" s="28" t="str">
        <f t="shared" si="89"/>
        <v/>
      </c>
    </row>
    <row r="520" spans="1:17" ht="15" x14ac:dyDescent="0.25">
      <c r="A520" s="3" t="str">
        <f>IF('[1]0.1 Produksi Pangan &amp; Penduduk'!A521="","",'[1]0.1 Produksi Pangan &amp; Penduduk'!A521)</f>
        <v/>
      </c>
      <c r="B520" s="2" t="str">
        <f>IF('[1]0.1 Produksi Pangan &amp; Penduduk'!B521="","",'[1]0.1 Produksi Pangan &amp; Penduduk'!B521)</f>
        <v/>
      </c>
      <c r="C520" s="2" t="str">
        <f>IF('[1]0.1 Produksi Pangan &amp; Penduduk'!F521="","",'[1]0.1 Produksi Pangan &amp; Penduduk'!F521)</f>
        <v/>
      </c>
      <c r="D520" s="3" t="str">
        <f>IF('[1]0.1 Produksi Pangan &amp; Penduduk'!D521="","",'[1]0.1 Produksi Pangan &amp; Penduduk'!D521)</f>
        <v/>
      </c>
      <c r="E520" s="3" t="str">
        <f>IF('[1]0.1 Produksi Pangan &amp; Penduduk'!E521="","",'[1]0.1 Produksi Pangan &amp; Penduduk'!E521)</f>
        <v/>
      </c>
      <c r="F520" s="59" t="str">
        <f>IF(D520="","",VLOOKUP(D520,'[1]0.1 Produksi Pangan &amp; Penduduk'!$D$5:$J$860,7,0))</f>
        <v/>
      </c>
      <c r="G520" s="27" t="str">
        <f t="shared" si="80"/>
        <v/>
      </c>
      <c r="H520" s="27" t="str">
        <f t="shared" si="81"/>
        <v/>
      </c>
      <c r="I520" s="27" t="str">
        <f t="shared" si="82"/>
        <v/>
      </c>
      <c r="J520" s="27" t="str">
        <f t="shared" si="83"/>
        <v/>
      </c>
      <c r="K520" s="27" t="str">
        <f t="shared" si="84"/>
        <v/>
      </c>
      <c r="L520" s="59" t="str">
        <f>IF(D520="","",VLOOKUP(D520,'[1]0.1 Produksi Pangan &amp; Penduduk'!$D$5:$M$860,10,0))</f>
        <v/>
      </c>
      <c r="M520" s="28" t="str">
        <f t="shared" si="85"/>
        <v/>
      </c>
      <c r="N520" s="60" t="str">
        <f t="shared" si="86"/>
        <v/>
      </c>
      <c r="O520" s="60" t="str">
        <f t="shared" si="87"/>
        <v/>
      </c>
      <c r="P520" s="60" t="str">
        <f t="shared" si="88"/>
        <v/>
      </c>
      <c r="Q520" s="28" t="str">
        <f t="shared" si="89"/>
        <v/>
      </c>
    </row>
    <row r="521" spans="1:17" ht="15" x14ac:dyDescent="0.25">
      <c r="A521" s="3" t="str">
        <f>IF('[1]0.1 Produksi Pangan &amp; Penduduk'!A522="","",'[1]0.1 Produksi Pangan &amp; Penduduk'!A522)</f>
        <v/>
      </c>
      <c r="B521" s="2" t="str">
        <f>IF('[1]0.1 Produksi Pangan &amp; Penduduk'!B522="","",'[1]0.1 Produksi Pangan &amp; Penduduk'!B522)</f>
        <v/>
      </c>
      <c r="C521" s="2" t="str">
        <f>IF('[1]0.1 Produksi Pangan &amp; Penduduk'!F522="","",'[1]0.1 Produksi Pangan &amp; Penduduk'!F522)</f>
        <v/>
      </c>
      <c r="D521" s="3" t="str">
        <f>IF('[1]0.1 Produksi Pangan &amp; Penduduk'!D522="","",'[1]0.1 Produksi Pangan &amp; Penduduk'!D522)</f>
        <v/>
      </c>
      <c r="E521" s="3" t="str">
        <f>IF('[1]0.1 Produksi Pangan &amp; Penduduk'!E522="","",'[1]0.1 Produksi Pangan &amp; Penduduk'!E522)</f>
        <v/>
      </c>
      <c r="F521" s="59" t="str">
        <f>IF(D521="","",VLOOKUP(D521,'[1]0.1 Produksi Pangan &amp; Penduduk'!$D$5:$J$860,7,0))</f>
        <v/>
      </c>
      <c r="G521" s="27" t="str">
        <f t="shared" si="80"/>
        <v/>
      </c>
      <c r="H521" s="27" t="str">
        <f t="shared" si="81"/>
        <v/>
      </c>
      <c r="I521" s="27" t="str">
        <f t="shared" si="82"/>
        <v/>
      </c>
      <c r="J521" s="27" t="str">
        <f t="shared" si="83"/>
        <v/>
      </c>
      <c r="K521" s="27" t="str">
        <f t="shared" si="84"/>
        <v/>
      </c>
      <c r="L521" s="59" t="str">
        <f>IF(D521="","",VLOOKUP(D521,'[1]0.1 Produksi Pangan &amp; Penduduk'!$D$5:$M$860,10,0))</f>
        <v/>
      </c>
      <c r="M521" s="28" t="str">
        <f t="shared" si="85"/>
        <v/>
      </c>
      <c r="N521" s="60" t="str">
        <f t="shared" si="86"/>
        <v/>
      </c>
      <c r="O521" s="60" t="str">
        <f t="shared" si="87"/>
        <v/>
      </c>
      <c r="P521" s="60" t="str">
        <f t="shared" si="88"/>
        <v/>
      </c>
      <c r="Q521" s="28" t="str">
        <f t="shared" si="89"/>
        <v/>
      </c>
    </row>
    <row r="522" spans="1:17" ht="15" x14ac:dyDescent="0.25">
      <c r="A522" s="3" t="str">
        <f>IF('[1]0.1 Produksi Pangan &amp; Penduduk'!A523="","",'[1]0.1 Produksi Pangan &amp; Penduduk'!A523)</f>
        <v/>
      </c>
      <c r="B522" s="2" t="str">
        <f>IF('[1]0.1 Produksi Pangan &amp; Penduduk'!B523="","",'[1]0.1 Produksi Pangan &amp; Penduduk'!B523)</f>
        <v/>
      </c>
      <c r="C522" s="2" t="str">
        <f>IF('[1]0.1 Produksi Pangan &amp; Penduduk'!F523="","",'[1]0.1 Produksi Pangan &amp; Penduduk'!F523)</f>
        <v/>
      </c>
      <c r="D522" s="3" t="str">
        <f>IF('[1]0.1 Produksi Pangan &amp; Penduduk'!D523="","",'[1]0.1 Produksi Pangan &amp; Penduduk'!D523)</f>
        <v/>
      </c>
      <c r="E522" s="3" t="str">
        <f>IF('[1]0.1 Produksi Pangan &amp; Penduduk'!E523="","",'[1]0.1 Produksi Pangan &amp; Penduduk'!E523)</f>
        <v/>
      </c>
      <c r="F522" s="59" t="str">
        <f>IF(D522="","",VLOOKUP(D522,'[1]0.1 Produksi Pangan &amp; Penduduk'!$D$5:$J$860,7,0))</f>
        <v/>
      </c>
      <c r="G522" s="27" t="str">
        <f t="shared" si="80"/>
        <v/>
      </c>
      <c r="H522" s="27" t="str">
        <f t="shared" si="81"/>
        <v/>
      </c>
      <c r="I522" s="27" t="str">
        <f t="shared" si="82"/>
        <v/>
      </c>
      <c r="J522" s="27" t="str">
        <f t="shared" si="83"/>
        <v/>
      </c>
      <c r="K522" s="27" t="str">
        <f t="shared" si="84"/>
        <v/>
      </c>
      <c r="L522" s="59" t="str">
        <f>IF(D522="","",VLOOKUP(D522,'[1]0.1 Produksi Pangan &amp; Penduduk'!$D$5:$M$860,10,0))</f>
        <v/>
      </c>
      <c r="M522" s="28" t="str">
        <f t="shared" si="85"/>
        <v/>
      </c>
      <c r="N522" s="60" t="str">
        <f t="shared" si="86"/>
        <v/>
      </c>
      <c r="O522" s="60" t="str">
        <f t="shared" si="87"/>
        <v/>
      </c>
      <c r="P522" s="60" t="str">
        <f t="shared" si="88"/>
        <v/>
      </c>
      <c r="Q522" s="28" t="str">
        <f t="shared" si="89"/>
        <v/>
      </c>
    </row>
    <row r="523" spans="1:17" ht="15" x14ac:dyDescent="0.25">
      <c r="A523" s="3" t="str">
        <f>IF('[1]0.1 Produksi Pangan &amp; Penduduk'!A524="","",'[1]0.1 Produksi Pangan &amp; Penduduk'!A524)</f>
        <v/>
      </c>
      <c r="B523" s="2" t="str">
        <f>IF('[1]0.1 Produksi Pangan &amp; Penduduk'!B524="","",'[1]0.1 Produksi Pangan &amp; Penduduk'!B524)</f>
        <v/>
      </c>
      <c r="C523" s="2" t="str">
        <f>IF('[1]0.1 Produksi Pangan &amp; Penduduk'!F524="","",'[1]0.1 Produksi Pangan &amp; Penduduk'!F524)</f>
        <v/>
      </c>
      <c r="D523" s="3" t="str">
        <f>IF('[1]0.1 Produksi Pangan &amp; Penduduk'!D524="","",'[1]0.1 Produksi Pangan &amp; Penduduk'!D524)</f>
        <v/>
      </c>
      <c r="E523" s="3" t="str">
        <f>IF('[1]0.1 Produksi Pangan &amp; Penduduk'!E524="","",'[1]0.1 Produksi Pangan &amp; Penduduk'!E524)</f>
        <v/>
      </c>
      <c r="F523" s="59" t="str">
        <f>IF(D523="","",VLOOKUP(D523,'[1]0.1 Produksi Pangan &amp; Penduduk'!$D$5:$J$860,7,0))</f>
        <v/>
      </c>
      <c r="G523" s="27" t="str">
        <f t="shared" si="80"/>
        <v/>
      </c>
      <c r="H523" s="27" t="str">
        <f t="shared" si="81"/>
        <v/>
      </c>
      <c r="I523" s="27" t="str">
        <f t="shared" si="82"/>
        <v/>
      </c>
      <c r="J523" s="27" t="str">
        <f t="shared" si="83"/>
        <v/>
      </c>
      <c r="K523" s="27" t="str">
        <f t="shared" si="84"/>
        <v/>
      </c>
      <c r="L523" s="59" t="str">
        <f>IF(D523="","",VLOOKUP(D523,'[1]0.1 Produksi Pangan &amp; Penduduk'!$D$5:$M$860,10,0))</f>
        <v/>
      </c>
      <c r="M523" s="28" t="str">
        <f t="shared" si="85"/>
        <v/>
      </c>
      <c r="N523" s="60" t="str">
        <f t="shared" si="86"/>
        <v/>
      </c>
      <c r="O523" s="60" t="str">
        <f t="shared" si="87"/>
        <v/>
      </c>
      <c r="P523" s="60" t="str">
        <f t="shared" si="88"/>
        <v/>
      </c>
      <c r="Q523" s="28" t="str">
        <f t="shared" si="89"/>
        <v/>
      </c>
    </row>
    <row r="524" spans="1:17" ht="15" x14ac:dyDescent="0.25">
      <c r="A524" s="3" t="str">
        <f>IF('[1]0.1 Produksi Pangan &amp; Penduduk'!A525="","",'[1]0.1 Produksi Pangan &amp; Penduduk'!A525)</f>
        <v/>
      </c>
      <c r="B524" s="2" t="str">
        <f>IF('[1]0.1 Produksi Pangan &amp; Penduduk'!B525="","",'[1]0.1 Produksi Pangan &amp; Penduduk'!B525)</f>
        <v/>
      </c>
      <c r="C524" s="2" t="str">
        <f>IF('[1]0.1 Produksi Pangan &amp; Penduduk'!F525="","",'[1]0.1 Produksi Pangan &amp; Penduduk'!F525)</f>
        <v/>
      </c>
      <c r="D524" s="3" t="str">
        <f>IF('[1]0.1 Produksi Pangan &amp; Penduduk'!D525="","",'[1]0.1 Produksi Pangan &amp; Penduduk'!D525)</f>
        <v/>
      </c>
      <c r="E524" s="3" t="str">
        <f>IF('[1]0.1 Produksi Pangan &amp; Penduduk'!E525="","",'[1]0.1 Produksi Pangan &amp; Penduduk'!E525)</f>
        <v/>
      </c>
      <c r="F524" s="59" t="str">
        <f>IF(D524="","",VLOOKUP(D524,'[1]0.1 Produksi Pangan &amp; Penduduk'!$D$5:$J$860,7,0))</f>
        <v/>
      </c>
      <c r="G524" s="27" t="str">
        <f t="shared" si="80"/>
        <v/>
      </c>
      <c r="H524" s="27" t="str">
        <f t="shared" si="81"/>
        <v/>
      </c>
      <c r="I524" s="27" t="str">
        <f t="shared" si="82"/>
        <v/>
      </c>
      <c r="J524" s="27" t="str">
        <f t="shared" si="83"/>
        <v/>
      </c>
      <c r="K524" s="27" t="str">
        <f t="shared" si="84"/>
        <v/>
      </c>
      <c r="L524" s="59" t="str">
        <f>IF(D524="","",VLOOKUP(D524,'[1]0.1 Produksi Pangan &amp; Penduduk'!$D$5:$M$860,10,0))</f>
        <v/>
      </c>
      <c r="M524" s="28" t="str">
        <f t="shared" si="85"/>
        <v/>
      </c>
      <c r="N524" s="60" t="str">
        <f t="shared" si="86"/>
        <v/>
      </c>
      <c r="O524" s="60" t="str">
        <f t="shared" si="87"/>
        <v/>
      </c>
      <c r="P524" s="60" t="str">
        <f t="shared" si="88"/>
        <v/>
      </c>
      <c r="Q524" s="28" t="str">
        <f t="shared" si="89"/>
        <v/>
      </c>
    </row>
    <row r="525" spans="1:17" ht="15" x14ac:dyDescent="0.25">
      <c r="A525" s="3" t="str">
        <f>IF('[1]0.1 Produksi Pangan &amp; Penduduk'!A526="","",'[1]0.1 Produksi Pangan &amp; Penduduk'!A526)</f>
        <v/>
      </c>
      <c r="B525" s="2" t="str">
        <f>IF('[1]0.1 Produksi Pangan &amp; Penduduk'!B526="","",'[1]0.1 Produksi Pangan &amp; Penduduk'!B526)</f>
        <v/>
      </c>
      <c r="C525" s="2" t="str">
        <f>IF('[1]0.1 Produksi Pangan &amp; Penduduk'!F526="","",'[1]0.1 Produksi Pangan &amp; Penduduk'!F526)</f>
        <v/>
      </c>
      <c r="D525" s="3" t="str">
        <f>IF('[1]0.1 Produksi Pangan &amp; Penduduk'!D526="","",'[1]0.1 Produksi Pangan &amp; Penduduk'!D526)</f>
        <v/>
      </c>
      <c r="E525" s="3" t="str">
        <f>IF('[1]0.1 Produksi Pangan &amp; Penduduk'!E526="","",'[1]0.1 Produksi Pangan &amp; Penduduk'!E526)</f>
        <v/>
      </c>
      <c r="F525" s="59" t="str">
        <f>IF(D525="","",VLOOKUP(D525,'[1]0.1 Produksi Pangan &amp; Penduduk'!$D$5:$J$860,7,0))</f>
        <v/>
      </c>
      <c r="G525" s="27" t="str">
        <f t="shared" si="80"/>
        <v/>
      </c>
      <c r="H525" s="27" t="str">
        <f t="shared" si="81"/>
        <v/>
      </c>
      <c r="I525" s="27" t="str">
        <f t="shared" si="82"/>
        <v/>
      </c>
      <c r="J525" s="27" t="str">
        <f t="shared" si="83"/>
        <v/>
      </c>
      <c r="K525" s="27" t="str">
        <f t="shared" si="84"/>
        <v/>
      </c>
      <c r="L525" s="59" t="str">
        <f>IF(D525="","",VLOOKUP(D525,'[1]0.1 Produksi Pangan &amp; Penduduk'!$D$5:$M$860,10,0))</f>
        <v/>
      </c>
      <c r="M525" s="28" t="str">
        <f t="shared" si="85"/>
        <v/>
      </c>
      <c r="N525" s="60" t="str">
        <f t="shared" si="86"/>
        <v/>
      </c>
      <c r="O525" s="60" t="str">
        <f t="shared" si="87"/>
        <v/>
      </c>
      <c r="P525" s="60" t="str">
        <f t="shared" si="88"/>
        <v/>
      </c>
      <c r="Q525" s="28" t="str">
        <f t="shared" si="89"/>
        <v/>
      </c>
    </row>
    <row r="526" spans="1:17" ht="15" x14ac:dyDescent="0.25">
      <c r="A526" s="3" t="str">
        <f>IF('[1]0.1 Produksi Pangan &amp; Penduduk'!A527="","",'[1]0.1 Produksi Pangan &amp; Penduduk'!A527)</f>
        <v/>
      </c>
      <c r="B526" s="2" t="str">
        <f>IF('[1]0.1 Produksi Pangan &amp; Penduduk'!B527="","",'[1]0.1 Produksi Pangan &amp; Penduduk'!B527)</f>
        <v/>
      </c>
      <c r="C526" s="2" t="str">
        <f>IF('[1]0.1 Produksi Pangan &amp; Penduduk'!F527="","",'[1]0.1 Produksi Pangan &amp; Penduduk'!F527)</f>
        <v/>
      </c>
      <c r="D526" s="3" t="str">
        <f>IF('[1]0.1 Produksi Pangan &amp; Penduduk'!D527="","",'[1]0.1 Produksi Pangan &amp; Penduduk'!D527)</f>
        <v/>
      </c>
      <c r="E526" s="3" t="str">
        <f>IF('[1]0.1 Produksi Pangan &amp; Penduduk'!E527="","",'[1]0.1 Produksi Pangan &amp; Penduduk'!E527)</f>
        <v/>
      </c>
      <c r="F526" s="59" t="str">
        <f>IF(D526="","",VLOOKUP(D526,'[1]0.1 Produksi Pangan &amp; Penduduk'!$D$5:$J$860,7,0))</f>
        <v/>
      </c>
      <c r="G526" s="27" t="str">
        <f t="shared" si="80"/>
        <v/>
      </c>
      <c r="H526" s="27" t="str">
        <f t="shared" si="81"/>
        <v/>
      </c>
      <c r="I526" s="27" t="str">
        <f t="shared" si="82"/>
        <v/>
      </c>
      <c r="J526" s="27" t="str">
        <f t="shared" si="83"/>
        <v/>
      </c>
      <c r="K526" s="27" t="str">
        <f t="shared" si="84"/>
        <v/>
      </c>
      <c r="L526" s="59" t="str">
        <f>IF(D526="","",VLOOKUP(D526,'[1]0.1 Produksi Pangan &amp; Penduduk'!$D$5:$M$860,10,0))</f>
        <v/>
      </c>
      <c r="M526" s="28" t="str">
        <f t="shared" si="85"/>
        <v/>
      </c>
      <c r="N526" s="60" t="str">
        <f t="shared" si="86"/>
        <v/>
      </c>
      <c r="O526" s="60" t="str">
        <f t="shared" si="87"/>
        <v/>
      </c>
      <c r="P526" s="60" t="str">
        <f t="shared" si="88"/>
        <v/>
      </c>
      <c r="Q526" s="28" t="str">
        <f t="shared" si="89"/>
        <v/>
      </c>
    </row>
    <row r="527" spans="1:17" ht="15" x14ac:dyDescent="0.25">
      <c r="A527" s="3" t="str">
        <f>IF('[1]0.1 Produksi Pangan &amp; Penduduk'!A528="","",'[1]0.1 Produksi Pangan &amp; Penduduk'!A528)</f>
        <v/>
      </c>
      <c r="B527" s="2" t="str">
        <f>IF('[1]0.1 Produksi Pangan &amp; Penduduk'!B528="","",'[1]0.1 Produksi Pangan &amp; Penduduk'!B528)</f>
        <v/>
      </c>
      <c r="C527" s="2" t="str">
        <f>IF('[1]0.1 Produksi Pangan &amp; Penduduk'!F528="","",'[1]0.1 Produksi Pangan &amp; Penduduk'!F528)</f>
        <v/>
      </c>
      <c r="D527" s="3" t="str">
        <f>IF('[1]0.1 Produksi Pangan &amp; Penduduk'!D528="","",'[1]0.1 Produksi Pangan &amp; Penduduk'!D528)</f>
        <v/>
      </c>
      <c r="E527" s="3" t="str">
        <f>IF('[1]0.1 Produksi Pangan &amp; Penduduk'!E528="","",'[1]0.1 Produksi Pangan &amp; Penduduk'!E528)</f>
        <v/>
      </c>
      <c r="F527" s="59" t="str">
        <f>IF(D527="","",VLOOKUP(D527,'[1]0.1 Produksi Pangan &amp; Penduduk'!$D$5:$J$860,7,0))</f>
        <v/>
      </c>
      <c r="G527" s="27" t="str">
        <f t="shared" si="80"/>
        <v/>
      </c>
      <c r="H527" s="27" t="str">
        <f t="shared" si="81"/>
        <v/>
      </c>
      <c r="I527" s="27" t="str">
        <f t="shared" si="82"/>
        <v/>
      </c>
      <c r="J527" s="27" t="str">
        <f t="shared" si="83"/>
        <v/>
      </c>
      <c r="K527" s="27" t="str">
        <f t="shared" si="84"/>
        <v/>
      </c>
      <c r="L527" s="59" t="str">
        <f>IF(D527="","",VLOOKUP(D527,'[1]0.1 Produksi Pangan &amp; Penduduk'!$D$5:$M$860,10,0))</f>
        <v/>
      </c>
      <c r="M527" s="28" t="str">
        <f t="shared" si="85"/>
        <v/>
      </c>
      <c r="N527" s="60" t="str">
        <f t="shared" si="86"/>
        <v/>
      </c>
      <c r="O527" s="60" t="str">
        <f t="shared" si="87"/>
        <v/>
      </c>
      <c r="P527" s="60" t="str">
        <f t="shared" si="88"/>
        <v/>
      </c>
      <c r="Q527" s="28" t="str">
        <f t="shared" si="89"/>
        <v/>
      </c>
    </row>
    <row r="528" spans="1:17" ht="15" x14ac:dyDescent="0.25">
      <c r="A528" s="3" t="str">
        <f>IF('[1]0.1 Produksi Pangan &amp; Penduduk'!A529="","",'[1]0.1 Produksi Pangan &amp; Penduduk'!A529)</f>
        <v/>
      </c>
      <c r="B528" s="2" t="str">
        <f>IF('[1]0.1 Produksi Pangan &amp; Penduduk'!B529="","",'[1]0.1 Produksi Pangan &amp; Penduduk'!B529)</f>
        <v/>
      </c>
      <c r="C528" s="2" t="str">
        <f>IF('[1]0.1 Produksi Pangan &amp; Penduduk'!F529="","",'[1]0.1 Produksi Pangan &amp; Penduduk'!F529)</f>
        <v/>
      </c>
      <c r="D528" s="3" t="str">
        <f>IF('[1]0.1 Produksi Pangan &amp; Penduduk'!D529="","",'[1]0.1 Produksi Pangan &amp; Penduduk'!D529)</f>
        <v/>
      </c>
      <c r="E528" s="3" t="str">
        <f>IF('[1]0.1 Produksi Pangan &amp; Penduduk'!E529="","",'[1]0.1 Produksi Pangan &amp; Penduduk'!E529)</f>
        <v/>
      </c>
      <c r="F528" s="59" t="str">
        <f>IF(D528="","",VLOOKUP(D528,'[1]0.1 Produksi Pangan &amp; Penduduk'!$D$5:$J$860,7,0))</f>
        <v/>
      </c>
      <c r="G528" s="27" t="str">
        <f t="shared" si="80"/>
        <v/>
      </c>
      <c r="H528" s="27" t="str">
        <f t="shared" si="81"/>
        <v/>
      </c>
      <c r="I528" s="27" t="str">
        <f t="shared" si="82"/>
        <v/>
      </c>
      <c r="J528" s="27" t="str">
        <f t="shared" si="83"/>
        <v/>
      </c>
      <c r="K528" s="27" t="str">
        <f t="shared" si="84"/>
        <v/>
      </c>
      <c r="L528" s="59" t="str">
        <f>IF(D528="","",VLOOKUP(D528,'[1]0.1 Produksi Pangan &amp; Penduduk'!$D$5:$M$860,10,0))</f>
        <v/>
      </c>
      <c r="M528" s="28" t="str">
        <f t="shared" si="85"/>
        <v/>
      </c>
      <c r="N528" s="60" t="str">
        <f t="shared" si="86"/>
        <v/>
      </c>
      <c r="O528" s="60" t="str">
        <f t="shared" si="87"/>
        <v/>
      </c>
      <c r="P528" s="60" t="str">
        <f t="shared" si="88"/>
        <v/>
      </c>
      <c r="Q528" s="28" t="str">
        <f t="shared" si="89"/>
        <v/>
      </c>
    </row>
    <row r="529" spans="1:17" ht="15" x14ac:dyDescent="0.25">
      <c r="A529" s="3" t="str">
        <f>IF('[1]0.1 Produksi Pangan &amp; Penduduk'!A530="","",'[1]0.1 Produksi Pangan &amp; Penduduk'!A530)</f>
        <v/>
      </c>
      <c r="B529" s="2" t="str">
        <f>IF('[1]0.1 Produksi Pangan &amp; Penduduk'!B530="","",'[1]0.1 Produksi Pangan &amp; Penduduk'!B530)</f>
        <v/>
      </c>
      <c r="C529" s="2" t="str">
        <f>IF('[1]0.1 Produksi Pangan &amp; Penduduk'!F530="","",'[1]0.1 Produksi Pangan &amp; Penduduk'!F530)</f>
        <v/>
      </c>
      <c r="D529" s="3" t="str">
        <f>IF('[1]0.1 Produksi Pangan &amp; Penduduk'!D530="","",'[1]0.1 Produksi Pangan &amp; Penduduk'!D530)</f>
        <v/>
      </c>
      <c r="E529" s="3" t="str">
        <f>IF('[1]0.1 Produksi Pangan &amp; Penduduk'!E530="","",'[1]0.1 Produksi Pangan &amp; Penduduk'!E530)</f>
        <v/>
      </c>
      <c r="F529" s="59" t="str">
        <f>IF(D529="","",VLOOKUP(D529,'[1]0.1 Produksi Pangan &amp; Penduduk'!$D$5:$J$860,7,0))</f>
        <v/>
      </c>
      <c r="G529" s="27" t="str">
        <f t="shared" si="80"/>
        <v/>
      </c>
      <c r="H529" s="27" t="str">
        <f t="shared" si="81"/>
        <v/>
      </c>
      <c r="I529" s="27" t="str">
        <f t="shared" si="82"/>
        <v/>
      </c>
      <c r="J529" s="27" t="str">
        <f t="shared" si="83"/>
        <v/>
      </c>
      <c r="K529" s="27" t="str">
        <f t="shared" si="84"/>
        <v/>
      </c>
      <c r="L529" s="59" t="str">
        <f>IF(D529="","",VLOOKUP(D529,'[1]0.1 Produksi Pangan &amp; Penduduk'!$D$5:$M$860,10,0))</f>
        <v/>
      </c>
      <c r="M529" s="28" t="str">
        <f t="shared" si="85"/>
        <v/>
      </c>
      <c r="N529" s="60" t="str">
        <f t="shared" si="86"/>
        <v/>
      </c>
      <c r="O529" s="60" t="str">
        <f t="shared" si="87"/>
        <v/>
      </c>
      <c r="P529" s="60" t="str">
        <f t="shared" si="88"/>
        <v/>
      </c>
      <c r="Q529" s="28" t="str">
        <f t="shared" si="89"/>
        <v/>
      </c>
    </row>
    <row r="530" spans="1:17" ht="15" x14ac:dyDescent="0.25">
      <c r="A530" s="3" t="str">
        <f>IF('[1]0.1 Produksi Pangan &amp; Penduduk'!A531="","",'[1]0.1 Produksi Pangan &amp; Penduduk'!A531)</f>
        <v/>
      </c>
      <c r="B530" s="2" t="str">
        <f>IF('[1]0.1 Produksi Pangan &amp; Penduduk'!B531="","",'[1]0.1 Produksi Pangan &amp; Penduduk'!B531)</f>
        <v/>
      </c>
      <c r="C530" s="2" t="str">
        <f>IF('[1]0.1 Produksi Pangan &amp; Penduduk'!F531="","",'[1]0.1 Produksi Pangan &amp; Penduduk'!F531)</f>
        <v/>
      </c>
      <c r="D530" s="3" t="str">
        <f>IF('[1]0.1 Produksi Pangan &amp; Penduduk'!D531="","",'[1]0.1 Produksi Pangan &amp; Penduduk'!D531)</f>
        <v/>
      </c>
      <c r="E530" s="3" t="str">
        <f>IF('[1]0.1 Produksi Pangan &amp; Penduduk'!E531="","",'[1]0.1 Produksi Pangan &amp; Penduduk'!E531)</f>
        <v/>
      </c>
      <c r="F530" s="59" t="str">
        <f>IF(D530="","",VLOOKUP(D530,'[1]0.1 Produksi Pangan &amp; Penduduk'!$D$5:$J$860,7,0))</f>
        <v/>
      </c>
      <c r="G530" s="27" t="str">
        <f t="shared" si="80"/>
        <v/>
      </c>
      <c r="H530" s="27" t="str">
        <f t="shared" si="81"/>
        <v/>
      </c>
      <c r="I530" s="27" t="str">
        <f t="shared" si="82"/>
        <v/>
      </c>
      <c r="J530" s="27" t="str">
        <f t="shared" si="83"/>
        <v/>
      </c>
      <c r="K530" s="27" t="str">
        <f t="shared" si="84"/>
        <v/>
      </c>
      <c r="L530" s="59" t="str">
        <f>IF(D530="","",VLOOKUP(D530,'[1]0.1 Produksi Pangan &amp; Penduduk'!$D$5:$M$860,10,0))</f>
        <v/>
      </c>
      <c r="M530" s="28" t="str">
        <f t="shared" si="85"/>
        <v/>
      </c>
      <c r="N530" s="60" t="str">
        <f t="shared" si="86"/>
        <v/>
      </c>
      <c r="O530" s="60" t="str">
        <f t="shared" si="87"/>
        <v/>
      </c>
      <c r="P530" s="60" t="str">
        <f t="shared" si="88"/>
        <v/>
      </c>
      <c r="Q530" s="28" t="str">
        <f t="shared" si="89"/>
        <v/>
      </c>
    </row>
    <row r="531" spans="1:17" ht="15" x14ac:dyDescent="0.25">
      <c r="A531" s="3" t="str">
        <f>IF('[1]0.1 Produksi Pangan &amp; Penduduk'!A532="","",'[1]0.1 Produksi Pangan &amp; Penduduk'!A532)</f>
        <v/>
      </c>
      <c r="B531" s="2" t="str">
        <f>IF('[1]0.1 Produksi Pangan &amp; Penduduk'!B532="","",'[1]0.1 Produksi Pangan &amp; Penduduk'!B532)</f>
        <v/>
      </c>
      <c r="C531" s="2" t="str">
        <f>IF('[1]0.1 Produksi Pangan &amp; Penduduk'!F532="","",'[1]0.1 Produksi Pangan &amp; Penduduk'!F532)</f>
        <v/>
      </c>
      <c r="D531" s="3" t="str">
        <f>IF('[1]0.1 Produksi Pangan &amp; Penduduk'!D532="","",'[1]0.1 Produksi Pangan &amp; Penduduk'!D532)</f>
        <v/>
      </c>
      <c r="E531" s="3" t="str">
        <f>IF('[1]0.1 Produksi Pangan &amp; Penduduk'!E532="","",'[1]0.1 Produksi Pangan &amp; Penduduk'!E532)</f>
        <v/>
      </c>
      <c r="F531" s="59" t="str">
        <f>IF(D531="","",VLOOKUP(D531,'[1]0.1 Produksi Pangan &amp; Penduduk'!$D$5:$J$860,7,0))</f>
        <v/>
      </c>
      <c r="G531" s="27" t="str">
        <f t="shared" si="80"/>
        <v/>
      </c>
      <c r="H531" s="27" t="str">
        <f t="shared" si="81"/>
        <v/>
      </c>
      <c r="I531" s="27" t="str">
        <f t="shared" si="82"/>
        <v/>
      </c>
      <c r="J531" s="27" t="str">
        <f t="shared" si="83"/>
        <v/>
      </c>
      <c r="K531" s="27" t="str">
        <f t="shared" si="84"/>
        <v/>
      </c>
      <c r="L531" s="59" t="str">
        <f>IF(D531="","",VLOOKUP(D531,'[1]0.1 Produksi Pangan &amp; Penduduk'!$D$5:$M$860,10,0))</f>
        <v/>
      </c>
      <c r="M531" s="28" t="str">
        <f t="shared" si="85"/>
        <v/>
      </c>
      <c r="N531" s="60" t="str">
        <f t="shared" si="86"/>
        <v/>
      </c>
      <c r="O531" s="60" t="str">
        <f t="shared" si="87"/>
        <v/>
      </c>
      <c r="P531" s="60" t="str">
        <f t="shared" si="88"/>
        <v/>
      </c>
      <c r="Q531" s="28" t="str">
        <f t="shared" si="89"/>
        <v/>
      </c>
    </row>
    <row r="532" spans="1:17" ht="15" x14ac:dyDescent="0.25">
      <c r="A532" s="3" t="str">
        <f>IF('[1]0.1 Produksi Pangan &amp; Penduduk'!A533="","",'[1]0.1 Produksi Pangan &amp; Penduduk'!A533)</f>
        <v/>
      </c>
      <c r="B532" s="2" t="str">
        <f>IF('[1]0.1 Produksi Pangan &amp; Penduduk'!B533="","",'[1]0.1 Produksi Pangan &amp; Penduduk'!B533)</f>
        <v/>
      </c>
      <c r="C532" s="2" t="str">
        <f>IF('[1]0.1 Produksi Pangan &amp; Penduduk'!F533="","",'[1]0.1 Produksi Pangan &amp; Penduduk'!F533)</f>
        <v/>
      </c>
      <c r="D532" s="3" t="str">
        <f>IF('[1]0.1 Produksi Pangan &amp; Penduduk'!D533="","",'[1]0.1 Produksi Pangan &amp; Penduduk'!D533)</f>
        <v/>
      </c>
      <c r="E532" s="3" t="str">
        <f>IF('[1]0.1 Produksi Pangan &amp; Penduduk'!E533="","",'[1]0.1 Produksi Pangan &amp; Penduduk'!E533)</f>
        <v/>
      </c>
      <c r="F532" s="59" t="str">
        <f>IF(D532="","",VLOOKUP(D532,'[1]0.1 Produksi Pangan &amp; Penduduk'!$D$5:$J$860,7,0))</f>
        <v/>
      </c>
      <c r="G532" s="27" t="str">
        <f t="shared" si="80"/>
        <v/>
      </c>
      <c r="H532" s="27" t="str">
        <f t="shared" si="81"/>
        <v/>
      </c>
      <c r="I532" s="27" t="str">
        <f t="shared" si="82"/>
        <v/>
      </c>
      <c r="J532" s="27" t="str">
        <f t="shared" si="83"/>
        <v/>
      </c>
      <c r="K532" s="27" t="str">
        <f t="shared" si="84"/>
        <v/>
      </c>
      <c r="L532" s="59" t="str">
        <f>IF(D532="","",VLOOKUP(D532,'[1]0.1 Produksi Pangan &amp; Penduduk'!$D$5:$M$860,10,0))</f>
        <v/>
      </c>
      <c r="M532" s="28" t="str">
        <f t="shared" si="85"/>
        <v/>
      </c>
      <c r="N532" s="60" t="str">
        <f t="shared" si="86"/>
        <v/>
      </c>
      <c r="O532" s="60" t="str">
        <f t="shared" si="87"/>
        <v/>
      </c>
      <c r="P532" s="60" t="str">
        <f t="shared" si="88"/>
        <v/>
      </c>
      <c r="Q532" s="28" t="str">
        <f t="shared" si="89"/>
        <v/>
      </c>
    </row>
    <row r="533" spans="1:17" ht="15" x14ac:dyDescent="0.25">
      <c r="A533" s="3" t="str">
        <f>IF('[1]0.1 Produksi Pangan &amp; Penduduk'!A534="","",'[1]0.1 Produksi Pangan &amp; Penduduk'!A534)</f>
        <v/>
      </c>
      <c r="B533" s="2" t="str">
        <f>IF('[1]0.1 Produksi Pangan &amp; Penduduk'!B534="","",'[1]0.1 Produksi Pangan &amp; Penduduk'!B534)</f>
        <v/>
      </c>
      <c r="C533" s="2" t="str">
        <f>IF('[1]0.1 Produksi Pangan &amp; Penduduk'!F534="","",'[1]0.1 Produksi Pangan &amp; Penduduk'!F534)</f>
        <v/>
      </c>
      <c r="D533" s="3" t="str">
        <f>IF('[1]0.1 Produksi Pangan &amp; Penduduk'!D534="","",'[1]0.1 Produksi Pangan &amp; Penduduk'!D534)</f>
        <v/>
      </c>
      <c r="E533" s="3" t="str">
        <f>IF('[1]0.1 Produksi Pangan &amp; Penduduk'!E534="","",'[1]0.1 Produksi Pangan &amp; Penduduk'!E534)</f>
        <v/>
      </c>
      <c r="F533" s="59" t="str">
        <f>IF(D533="","",VLOOKUP(D533,'[1]0.1 Produksi Pangan &amp; Penduduk'!$D$5:$J$860,7,0))</f>
        <v/>
      </c>
      <c r="G533" s="27" t="str">
        <f t="shared" si="80"/>
        <v/>
      </c>
      <c r="H533" s="27" t="str">
        <f t="shared" si="81"/>
        <v/>
      </c>
      <c r="I533" s="27" t="str">
        <f t="shared" si="82"/>
        <v/>
      </c>
      <c r="J533" s="27" t="str">
        <f t="shared" si="83"/>
        <v/>
      </c>
      <c r="K533" s="27" t="str">
        <f t="shared" si="84"/>
        <v/>
      </c>
      <c r="L533" s="59" t="str">
        <f>IF(D533="","",VLOOKUP(D533,'[1]0.1 Produksi Pangan &amp; Penduduk'!$D$5:$M$860,10,0))</f>
        <v/>
      </c>
      <c r="M533" s="28" t="str">
        <f t="shared" si="85"/>
        <v/>
      </c>
      <c r="N533" s="60" t="str">
        <f t="shared" si="86"/>
        <v/>
      </c>
      <c r="O533" s="60" t="str">
        <f t="shared" si="87"/>
        <v/>
      </c>
      <c r="P533" s="60" t="str">
        <f t="shared" si="88"/>
        <v/>
      </c>
      <c r="Q533" s="28" t="str">
        <f t="shared" si="89"/>
        <v/>
      </c>
    </row>
    <row r="534" spans="1:17" ht="15" x14ac:dyDescent="0.25">
      <c r="A534" s="3" t="str">
        <f>IF('[1]0.1 Produksi Pangan &amp; Penduduk'!A535="","",'[1]0.1 Produksi Pangan &amp; Penduduk'!A535)</f>
        <v/>
      </c>
      <c r="B534" s="2" t="str">
        <f>IF('[1]0.1 Produksi Pangan &amp; Penduduk'!B535="","",'[1]0.1 Produksi Pangan &amp; Penduduk'!B535)</f>
        <v/>
      </c>
      <c r="C534" s="2" t="str">
        <f>IF('[1]0.1 Produksi Pangan &amp; Penduduk'!F535="","",'[1]0.1 Produksi Pangan &amp; Penduduk'!F535)</f>
        <v/>
      </c>
      <c r="D534" s="3" t="str">
        <f>IF('[1]0.1 Produksi Pangan &amp; Penduduk'!D535="","",'[1]0.1 Produksi Pangan &amp; Penduduk'!D535)</f>
        <v/>
      </c>
      <c r="E534" s="3" t="str">
        <f>IF('[1]0.1 Produksi Pangan &amp; Penduduk'!E535="","",'[1]0.1 Produksi Pangan &amp; Penduduk'!E535)</f>
        <v/>
      </c>
      <c r="F534" s="59" t="str">
        <f>IF(D534="","",VLOOKUP(D534,'[1]0.1 Produksi Pangan &amp; Penduduk'!$D$5:$J$860,7,0))</f>
        <v/>
      </c>
      <c r="G534" s="27" t="str">
        <f t="shared" si="80"/>
        <v/>
      </c>
      <c r="H534" s="27" t="str">
        <f t="shared" si="81"/>
        <v/>
      </c>
      <c r="I534" s="27" t="str">
        <f t="shared" si="82"/>
        <v/>
      </c>
      <c r="J534" s="27" t="str">
        <f t="shared" si="83"/>
        <v/>
      </c>
      <c r="K534" s="27" t="str">
        <f t="shared" si="84"/>
        <v/>
      </c>
      <c r="L534" s="59" t="str">
        <f>IF(D534="","",VLOOKUP(D534,'[1]0.1 Produksi Pangan &amp; Penduduk'!$D$5:$M$860,10,0))</f>
        <v/>
      </c>
      <c r="M534" s="28" t="str">
        <f t="shared" si="85"/>
        <v/>
      </c>
      <c r="N534" s="60" t="str">
        <f t="shared" si="86"/>
        <v/>
      </c>
      <c r="O534" s="60" t="str">
        <f t="shared" si="87"/>
        <v/>
      </c>
      <c r="P534" s="60" t="str">
        <f t="shared" si="88"/>
        <v/>
      </c>
      <c r="Q534" s="28" t="str">
        <f t="shared" si="89"/>
        <v/>
      </c>
    </row>
    <row r="535" spans="1:17" ht="15" x14ac:dyDescent="0.25">
      <c r="A535" s="3" t="str">
        <f>IF('[1]0.1 Produksi Pangan &amp; Penduduk'!A536="","",'[1]0.1 Produksi Pangan &amp; Penduduk'!A536)</f>
        <v/>
      </c>
      <c r="B535" s="2" t="str">
        <f>IF('[1]0.1 Produksi Pangan &amp; Penduduk'!B536="","",'[1]0.1 Produksi Pangan &amp; Penduduk'!B536)</f>
        <v/>
      </c>
      <c r="C535" s="2" t="str">
        <f>IF('[1]0.1 Produksi Pangan &amp; Penduduk'!F536="","",'[1]0.1 Produksi Pangan &amp; Penduduk'!F536)</f>
        <v/>
      </c>
      <c r="D535" s="3" t="str">
        <f>IF('[1]0.1 Produksi Pangan &amp; Penduduk'!D536="","",'[1]0.1 Produksi Pangan &amp; Penduduk'!D536)</f>
        <v/>
      </c>
      <c r="E535" s="3" t="str">
        <f>IF('[1]0.1 Produksi Pangan &amp; Penduduk'!E536="","",'[1]0.1 Produksi Pangan &amp; Penduduk'!E536)</f>
        <v/>
      </c>
      <c r="F535" s="59" t="str">
        <f>IF(D535="","",VLOOKUP(D535,'[1]0.1 Produksi Pangan &amp; Penduduk'!$D$5:$J$860,7,0))</f>
        <v/>
      </c>
      <c r="G535" s="27" t="str">
        <f t="shared" si="80"/>
        <v/>
      </c>
      <c r="H535" s="27" t="str">
        <f t="shared" si="81"/>
        <v/>
      </c>
      <c r="I535" s="27" t="str">
        <f t="shared" si="82"/>
        <v/>
      </c>
      <c r="J535" s="27" t="str">
        <f t="shared" si="83"/>
        <v/>
      </c>
      <c r="K535" s="27" t="str">
        <f t="shared" si="84"/>
        <v/>
      </c>
      <c r="L535" s="59" t="str">
        <f>IF(D535="","",VLOOKUP(D535,'[1]0.1 Produksi Pangan &amp; Penduduk'!$D$5:$M$860,10,0))</f>
        <v/>
      </c>
      <c r="M535" s="28" t="str">
        <f t="shared" si="85"/>
        <v/>
      </c>
      <c r="N535" s="60" t="str">
        <f t="shared" si="86"/>
        <v/>
      </c>
      <c r="O535" s="60" t="str">
        <f t="shared" si="87"/>
        <v/>
      </c>
      <c r="P535" s="60" t="str">
        <f t="shared" si="88"/>
        <v/>
      </c>
      <c r="Q535" s="28" t="str">
        <f t="shared" si="89"/>
        <v/>
      </c>
    </row>
    <row r="536" spans="1:17" ht="15" x14ac:dyDescent="0.25">
      <c r="A536" s="3" t="str">
        <f>IF('[1]0.1 Produksi Pangan &amp; Penduduk'!A537="","",'[1]0.1 Produksi Pangan &amp; Penduduk'!A537)</f>
        <v/>
      </c>
      <c r="B536" s="2" t="str">
        <f>IF('[1]0.1 Produksi Pangan &amp; Penduduk'!B537="","",'[1]0.1 Produksi Pangan &amp; Penduduk'!B537)</f>
        <v/>
      </c>
      <c r="C536" s="2" t="str">
        <f>IF('[1]0.1 Produksi Pangan &amp; Penduduk'!F537="","",'[1]0.1 Produksi Pangan &amp; Penduduk'!F537)</f>
        <v/>
      </c>
      <c r="D536" s="3" t="str">
        <f>IF('[1]0.1 Produksi Pangan &amp; Penduduk'!D537="","",'[1]0.1 Produksi Pangan &amp; Penduduk'!D537)</f>
        <v/>
      </c>
      <c r="E536" s="3" t="str">
        <f>IF('[1]0.1 Produksi Pangan &amp; Penduduk'!E537="","",'[1]0.1 Produksi Pangan &amp; Penduduk'!E537)</f>
        <v/>
      </c>
      <c r="F536" s="59" t="str">
        <f>IF(D536="","",VLOOKUP(D536,'[1]0.1 Produksi Pangan &amp; Penduduk'!$D$5:$J$860,7,0))</f>
        <v/>
      </c>
      <c r="G536" s="27" t="str">
        <f t="shared" si="80"/>
        <v/>
      </c>
      <c r="H536" s="27" t="str">
        <f t="shared" si="81"/>
        <v/>
      </c>
      <c r="I536" s="27" t="str">
        <f t="shared" si="82"/>
        <v/>
      </c>
      <c r="J536" s="27" t="str">
        <f t="shared" si="83"/>
        <v/>
      </c>
      <c r="K536" s="27" t="str">
        <f t="shared" si="84"/>
        <v/>
      </c>
      <c r="L536" s="59" t="str">
        <f>IF(D536="","",VLOOKUP(D536,'[1]0.1 Produksi Pangan &amp; Penduduk'!$D$5:$M$860,10,0))</f>
        <v/>
      </c>
      <c r="M536" s="28" t="str">
        <f t="shared" si="85"/>
        <v/>
      </c>
      <c r="N536" s="60" t="str">
        <f t="shared" si="86"/>
        <v/>
      </c>
      <c r="O536" s="60" t="str">
        <f t="shared" si="87"/>
        <v/>
      </c>
      <c r="P536" s="60" t="str">
        <f t="shared" si="88"/>
        <v/>
      </c>
      <c r="Q536" s="28" t="str">
        <f t="shared" si="89"/>
        <v/>
      </c>
    </row>
    <row r="537" spans="1:17" ht="15" x14ac:dyDescent="0.25">
      <c r="A537" s="3" t="str">
        <f>IF('[1]0.1 Produksi Pangan &amp; Penduduk'!A538="","",'[1]0.1 Produksi Pangan &amp; Penduduk'!A538)</f>
        <v/>
      </c>
      <c r="B537" s="2" t="str">
        <f>IF('[1]0.1 Produksi Pangan &amp; Penduduk'!B538="","",'[1]0.1 Produksi Pangan &amp; Penduduk'!B538)</f>
        <v/>
      </c>
      <c r="C537" s="2" t="str">
        <f>IF('[1]0.1 Produksi Pangan &amp; Penduduk'!F538="","",'[1]0.1 Produksi Pangan &amp; Penduduk'!F538)</f>
        <v/>
      </c>
      <c r="D537" s="3" t="str">
        <f>IF('[1]0.1 Produksi Pangan &amp; Penduduk'!D538="","",'[1]0.1 Produksi Pangan &amp; Penduduk'!D538)</f>
        <v/>
      </c>
      <c r="E537" s="3" t="str">
        <f>IF('[1]0.1 Produksi Pangan &amp; Penduduk'!E538="","",'[1]0.1 Produksi Pangan &amp; Penduduk'!E538)</f>
        <v/>
      </c>
      <c r="F537" s="59" t="str">
        <f>IF(D537="","",VLOOKUP(D537,'[1]0.1 Produksi Pangan &amp; Penduduk'!$D$5:$J$860,7,0))</f>
        <v/>
      </c>
      <c r="G537" s="27" t="str">
        <f t="shared" si="80"/>
        <v/>
      </c>
      <c r="H537" s="27" t="str">
        <f t="shared" si="81"/>
        <v/>
      </c>
      <c r="I537" s="27" t="str">
        <f t="shared" si="82"/>
        <v/>
      </c>
      <c r="J537" s="27" t="str">
        <f t="shared" si="83"/>
        <v/>
      </c>
      <c r="K537" s="27" t="str">
        <f t="shared" si="84"/>
        <v/>
      </c>
      <c r="L537" s="59" t="str">
        <f>IF(D537="","",VLOOKUP(D537,'[1]0.1 Produksi Pangan &amp; Penduduk'!$D$5:$M$860,10,0))</f>
        <v/>
      </c>
      <c r="M537" s="28" t="str">
        <f t="shared" si="85"/>
        <v/>
      </c>
      <c r="N537" s="60" t="str">
        <f t="shared" si="86"/>
        <v/>
      </c>
      <c r="O537" s="60" t="str">
        <f t="shared" si="87"/>
        <v/>
      </c>
      <c r="P537" s="60" t="str">
        <f t="shared" si="88"/>
        <v/>
      </c>
      <c r="Q537" s="28" t="str">
        <f t="shared" si="89"/>
        <v/>
      </c>
    </row>
    <row r="538" spans="1:17" ht="15" x14ac:dyDescent="0.25">
      <c r="A538" s="3" t="str">
        <f>IF('[1]0.1 Produksi Pangan &amp; Penduduk'!A539="","",'[1]0.1 Produksi Pangan &amp; Penduduk'!A539)</f>
        <v/>
      </c>
      <c r="B538" s="2" t="str">
        <f>IF('[1]0.1 Produksi Pangan &amp; Penduduk'!B539="","",'[1]0.1 Produksi Pangan &amp; Penduduk'!B539)</f>
        <v/>
      </c>
      <c r="C538" s="2" t="str">
        <f>IF('[1]0.1 Produksi Pangan &amp; Penduduk'!F539="","",'[1]0.1 Produksi Pangan &amp; Penduduk'!F539)</f>
        <v/>
      </c>
      <c r="D538" s="3" t="str">
        <f>IF('[1]0.1 Produksi Pangan &amp; Penduduk'!D539="","",'[1]0.1 Produksi Pangan &amp; Penduduk'!D539)</f>
        <v/>
      </c>
      <c r="E538" s="3" t="str">
        <f>IF('[1]0.1 Produksi Pangan &amp; Penduduk'!E539="","",'[1]0.1 Produksi Pangan &amp; Penduduk'!E539)</f>
        <v/>
      </c>
      <c r="F538" s="59" t="str">
        <f>IF(D538="","",VLOOKUP(D538,'[1]0.1 Produksi Pangan &amp; Penduduk'!$D$5:$J$860,7,0))</f>
        <v/>
      </c>
      <c r="G538" s="27" t="str">
        <f t="shared" si="80"/>
        <v/>
      </c>
      <c r="H538" s="27" t="str">
        <f t="shared" si="81"/>
        <v/>
      </c>
      <c r="I538" s="27" t="str">
        <f t="shared" si="82"/>
        <v/>
      </c>
      <c r="J538" s="27" t="str">
        <f t="shared" si="83"/>
        <v/>
      </c>
      <c r="K538" s="27" t="str">
        <f t="shared" si="84"/>
        <v/>
      </c>
      <c r="L538" s="59" t="str">
        <f>IF(D538="","",VLOOKUP(D538,'[1]0.1 Produksi Pangan &amp; Penduduk'!$D$5:$M$860,10,0))</f>
        <v/>
      </c>
      <c r="M538" s="28" t="str">
        <f t="shared" si="85"/>
        <v/>
      </c>
      <c r="N538" s="60" t="str">
        <f t="shared" si="86"/>
        <v/>
      </c>
      <c r="O538" s="60" t="str">
        <f t="shared" si="87"/>
        <v/>
      </c>
      <c r="P538" s="60" t="str">
        <f t="shared" si="88"/>
        <v/>
      </c>
      <c r="Q538" s="28" t="str">
        <f t="shared" si="89"/>
        <v/>
      </c>
    </row>
    <row r="539" spans="1:17" ht="15" x14ac:dyDescent="0.25">
      <c r="A539" s="3" t="str">
        <f>IF('[1]0.1 Produksi Pangan &amp; Penduduk'!A540="","",'[1]0.1 Produksi Pangan &amp; Penduduk'!A540)</f>
        <v/>
      </c>
      <c r="B539" s="2" t="str">
        <f>IF('[1]0.1 Produksi Pangan &amp; Penduduk'!B540="","",'[1]0.1 Produksi Pangan &amp; Penduduk'!B540)</f>
        <v/>
      </c>
      <c r="C539" s="2" t="str">
        <f>IF('[1]0.1 Produksi Pangan &amp; Penduduk'!F540="","",'[1]0.1 Produksi Pangan &amp; Penduduk'!F540)</f>
        <v/>
      </c>
      <c r="D539" s="3" t="str">
        <f>IF('[1]0.1 Produksi Pangan &amp; Penduduk'!D540="","",'[1]0.1 Produksi Pangan &amp; Penduduk'!D540)</f>
        <v/>
      </c>
      <c r="E539" s="3" t="str">
        <f>IF('[1]0.1 Produksi Pangan &amp; Penduduk'!E540="","",'[1]0.1 Produksi Pangan &amp; Penduduk'!E540)</f>
        <v/>
      </c>
      <c r="F539" s="59" t="str">
        <f>IF(D539="","",VLOOKUP(D539,'[1]0.1 Produksi Pangan &amp; Penduduk'!$D$5:$J$860,7,0))</f>
        <v/>
      </c>
      <c r="G539" s="27" t="str">
        <f t="shared" si="80"/>
        <v/>
      </c>
      <c r="H539" s="27" t="str">
        <f t="shared" si="81"/>
        <v/>
      </c>
      <c r="I539" s="27" t="str">
        <f t="shared" si="82"/>
        <v/>
      </c>
      <c r="J539" s="27" t="str">
        <f t="shared" si="83"/>
        <v/>
      </c>
      <c r="K539" s="27" t="str">
        <f t="shared" si="84"/>
        <v/>
      </c>
      <c r="L539" s="59" t="str">
        <f>IF(D539="","",VLOOKUP(D539,'[1]0.1 Produksi Pangan &amp; Penduduk'!$D$5:$M$860,10,0))</f>
        <v/>
      </c>
      <c r="M539" s="28" t="str">
        <f t="shared" si="85"/>
        <v/>
      </c>
      <c r="N539" s="60" t="str">
        <f t="shared" si="86"/>
        <v/>
      </c>
      <c r="O539" s="60" t="str">
        <f t="shared" si="87"/>
        <v/>
      </c>
      <c r="P539" s="60" t="str">
        <f t="shared" si="88"/>
        <v/>
      </c>
      <c r="Q539" s="28" t="str">
        <f t="shared" si="89"/>
        <v/>
      </c>
    </row>
    <row r="540" spans="1:17" ht="15" x14ac:dyDescent="0.25">
      <c r="A540" s="3" t="str">
        <f>IF('[1]0.1 Produksi Pangan &amp; Penduduk'!A541="","",'[1]0.1 Produksi Pangan &amp; Penduduk'!A541)</f>
        <v/>
      </c>
      <c r="B540" s="2" t="str">
        <f>IF('[1]0.1 Produksi Pangan &amp; Penduduk'!B541="","",'[1]0.1 Produksi Pangan &amp; Penduduk'!B541)</f>
        <v/>
      </c>
      <c r="C540" s="2" t="str">
        <f>IF('[1]0.1 Produksi Pangan &amp; Penduduk'!F541="","",'[1]0.1 Produksi Pangan &amp; Penduduk'!F541)</f>
        <v/>
      </c>
      <c r="D540" s="3" t="str">
        <f>IF('[1]0.1 Produksi Pangan &amp; Penduduk'!D541="","",'[1]0.1 Produksi Pangan &amp; Penduduk'!D541)</f>
        <v/>
      </c>
      <c r="E540" s="3" t="str">
        <f>IF('[1]0.1 Produksi Pangan &amp; Penduduk'!E541="","",'[1]0.1 Produksi Pangan &amp; Penduduk'!E541)</f>
        <v/>
      </c>
      <c r="F540" s="59" t="str">
        <f>IF(D540="","",VLOOKUP(D540,'[1]0.1 Produksi Pangan &amp; Penduduk'!$D$5:$J$860,7,0))</f>
        <v/>
      </c>
      <c r="G540" s="27" t="str">
        <f t="shared" si="80"/>
        <v/>
      </c>
      <c r="H540" s="27" t="str">
        <f t="shared" si="81"/>
        <v/>
      </c>
      <c r="I540" s="27" t="str">
        <f t="shared" si="82"/>
        <v/>
      </c>
      <c r="J540" s="27" t="str">
        <f t="shared" si="83"/>
        <v/>
      </c>
      <c r="K540" s="27" t="str">
        <f t="shared" si="84"/>
        <v/>
      </c>
      <c r="L540" s="59" t="str">
        <f>IF(D540="","",VLOOKUP(D540,'[1]0.1 Produksi Pangan &amp; Penduduk'!$D$5:$M$860,10,0))</f>
        <v/>
      </c>
      <c r="M540" s="28" t="str">
        <f t="shared" si="85"/>
        <v/>
      </c>
      <c r="N540" s="60" t="str">
        <f t="shared" si="86"/>
        <v/>
      </c>
      <c r="O540" s="60" t="str">
        <f t="shared" si="87"/>
        <v/>
      </c>
      <c r="P540" s="60" t="str">
        <f t="shared" si="88"/>
        <v/>
      </c>
      <c r="Q540" s="28" t="str">
        <f t="shared" si="89"/>
        <v/>
      </c>
    </row>
    <row r="541" spans="1:17" ht="15" x14ac:dyDescent="0.25">
      <c r="A541" s="3" t="str">
        <f>IF('[1]0.1 Produksi Pangan &amp; Penduduk'!A542="","",'[1]0.1 Produksi Pangan &amp; Penduduk'!A542)</f>
        <v/>
      </c>
      <c r="B541" s="2" t="str">
        <f>IF('[1]0.1 Produksi Pangan &amp; Penduduk'!B542="","",'[1]0.1 Produksi Pangan &amp; Penduduk'!B542)</f>
        <v/>
      </c>
      <c r="C541" s="2" t="str">
        <f>IF('[1]0.1 Produksi Pangan &amp; Penduduk'!F542="","",'[1]0.1 Produksi Pangan &amp; Penduduk'!F542)</f>
        <v/>
      </c>
      <c r="D541" s="3" t="str">
        <f>IF('[1]0.1 Produksi Pangan &amp; Penduduk'!D542="","",'[1]0.1 Produksi Pangan &amp; Penduduk'!D542)</f>
        <v/>
      </c>
      <c r="E541" s="3" t="str">
        <f>IF('[1]0.1 Produksi Pangan &amp; Penduduk'!E542="","",'[1]0.1 Produksi Pangan &amp; Penduduk'!E542)</f>
        <v/>
      </c>
      <c r="F541" s="59" t="str">
        <f>IF(D541="","",VLOOKUP(D541,'[1]0.1 Produksi Pangan &amp; Penduduk'!$D$5:$J$860,7,0))</f>
        <v/>
      </c>
      <c r="G541" s="27" t="str">
        <f t="shared" si="80"/>
        <v/>
      </c>
      <c r="H541" s="27" t="str">
        <f t="shared" si="81"/>
        <v/>
      </c>
      <c r="I541" s="27" t="str">
        <f t="shared" si="82"/>
        <v/>
      </c>
      <c r="J541" s="27" t="str">
        <f t="shared" si="83"/>
        <v/>
      </c>
      <c r="K541" s="27" t="str">
        <f t="shared" si="84"/>
        <v/>
      </c>
      <c r="L541" s="59" t="str">
        <f>IF(D541="","",VLOOKUP(D541,'[1]0.1 Produksi Pangan &amp; Penduduk'!$D$5:$M$860,10,0))</f>
        <v/>
      </c>
      <c r="M541" s="28" t="str">
        <f t="shared" si="85"/>
        <v/>
      </c>
      <c r="N541" s="60" t="str">
        <f t="shared" si="86"/>
        <v/>
      </c>
      <c r="O541" s="60" t="str">
        <f t="shared" si="87"/>
        <v/>
      </c>
      <c r="P541" s="60" t="str">
        <f t="shared" si="88"/>
        <v/>
      </c>
      <c r="Q541" s="28" t="str">
        <f t="shared" si="89"/>
        <v/>
      </c>
    </row>
    <row r="542" spans="1:17" ht="15" x14ac:dyDescent="0.25">
      <c r="A542" s="3" t="str">
        <f>IF('[1]0.1 Produksi Pangan &amp; Penduduk'!A543="","",'[1]0.1 Produksi Pangan &amp; Penduduk'!A543)</f>
        <v/>
      </c>
      <c r="B542" s="2" t="str">
        <f>IF('[1]0.1 Produksi Pangan &amp; Penduduk'!B543="","",'[1]0.1 Produksi Pangan &amp; Penduduk'!B543)</f>
        <v/>
      </c>
      <c r="C542" s="2" t="str">
        <f>IF('[1]0.1 Produksi Pangan &amp; Penduduk'!F543="","",'[1]0.1 Produksi Pangan &amp; Penduduk'!F543)</f>
        <v/>
      </c>
      <c r="D542" s="3" t="str">
        <f>IF('[1]0.1 Produksi Pangan &amp; Penduduk'!D543="","",'[1]0.1 Produksi Pangan &amp; Penduduk'!D543)</f>
        <v/>
      </c>
      <c r="E542" s="3" t="str">
        <f>IF('[1]0.1 Produksi Pangan &amp; Penduduk'!E543="","",'[1]0.1 Produksi Pangan &amp; Penduduk'!E543)</f>
        <v/>
      </c>
      <c r="F542" s="59" t="str">
        <f>IF(D542="","",VLOOKUP(D542,'[1]0.1 Produksi Pangan &amp; Penduduk'!$D$5:$J$860,7,0))</f>
        <v/>
      </c>
      <c r="G542" s="27" t="str">
        <f t="shared" si="80"/>
        <v/>
      </c>
      <c r="H542" s="27" t="str">
        <f t="shared" si="81"/>
        <v/>
      </c>
      <c r="I542" s="27" t="str">
        <f t="shared" si="82"/>
        <v/>
      </c>
      <c r="J542" s="27" t="str">
        <f t="shared" si="83"/>
        <v/>
      </c>
      <c r="K542" s="27" t="str">
        <f t="shared" si="84"/>
        <v/>
      </c>
      <c r="L542" s="59" t="str">
        <f>IF(D542="","",VLOOKUP(D542,'[1]0.1 Produksi Pangan &amp; Penduduk'!$D$5:$M$860,10,0))</f>
        <v/>
      </c>
      <c r="M542" s="28" t="str">
        <f t="shared" si="85"/>
        <v/>
      </c>
      <c r="N542" s="60" t="str">
        <f t="shared" si="86"/>
        <v/>
      </c>
      <c r="O542" s="60" t="str">
        <f t="shared" si="87"/>
        <v/>
      </c>
      <c r="P542" s="60" t="str">
        <f t="shared" si="88"/>
        <v/>
      </c>
      <c r="Q542" s="28" t="str">
        <f t="shared" si="89"/>
        <v/>
      </c>
    </row>
    <row r="543" spans="1:17" ht="15" x14ac:dyDescent="0.25">
      <c r="A543" s="3" t="str">
        <f>IF('[1]0.1 Produksi Pangan &amp; Penduduk'!A544="","",'[1]0.1 Produksi Pangan &amp; Penduduk'!A544)</f>
        <v/>
      </c>
      <c r="B543" s="2" t="str">
        <f>IF('[1]0.1 Produksi Pangan &amp; Penduduk'!B544="","",'[1]0.1 Produksi Pangan &amp; Penduduk'!B544)</f>
        <v/>
      </c>
      <c r="C543" s="2" t="str">
        <f>IF('[1]0.1 Produksi Pangan &amp; Penduduk'!F544="","",'[1]0.1 Produksi Pangan &amp; Penduduk'!F544)</f>
        <v/>
      </c>
      <c r="D543" s="3" t="str">
        <f>IF('[1]0.1 Produksi Pangan &amp; Penduduk'!D544="","",'[1]0.1 Produksi Pangan &amp; Penduduk'!D544)</f>
        <v/>
      </c>
      <c r="E543" s="3" t="str">
        <f>IF('[1]0.1 Produksi Pangan &amp; Penduduk'!E544="","",'[1]0.1 Produksi Pangan &amp; Penduduk'!E544)</f>
        <v/>
      </c>
      <c r="F543" s="59" t="str">
        <f>IF(D543="","",VLOOKUP(D543,'[1]0.1 Produksi Pangan &amp; Penduduk'!$D$5:$J$860,7,0))</f>
        <v/>
      </c>
      <c r="G543" s="27" t="str">
        <f t="shared" si="80"/>
        <v/>
      </c>
      <c r="H543" s="27" t="str">
        <f t="shared" si="81"/>
        <v/>
      </c>
      <c r="I543" s="27" t="str">
        <f t="shared" si="82"/>
        <v/>
      </c>
      <c r="J543" s="27" t="str">
        <f t="shared" si="83"/>
        <v/>
      </c>
      <c r="K543" s="27" t="str">
        <f t="shared" si="84"/>
        <v/>
      </c>
      <c r="L543" s="59" t="str">
        <f>IF(D543="","",VLOOKUP(D543,'[1]0.1 Produksi Pangan &amp; Penduduk'!$D$5:$M$860,10,0))</f>
        <v/>
      </c>
      <c r="M543" s="28" t="str">
        <f t="shared" si="85"/>
        <v/>
      </c>
      <c r="N543" s="60" t="str">
        <f t="shared" si="86"/>
        <v/>
      </c>
      <c r="O543" s="60" t="str">
        <f t="shared" si="87"/>
        <v/>
      </c>
      <c r="P543" s="60" t="str">
        <f t="shared" si="88"/>
        <v/>
      </c>
      <c r="Q543" s="28" t="str">
        <f t="shared" si="89"/>
        <v/>
      </c>
    </row>
    <row r="544" spans="1:17" ht="15" x14ac:dyDescent="0.25">
      <c r="A544" s="3" t="str">
        <f>IF('[1]0.1 Produksi Pangan &amp; Penduduk'!A545="","",'[1]0.1 Produksi Pangan &amp; Penduduk'!A545)</f>
        <v/>
      </c>
      <c r="B544" s="2" t="str">
        <f>IF('[1]0.1 Produksi Pangan &amp; Penduduk'!B545="","",'[1]0.1 Produksi Pangan &amp; Penduduk'!B545)</f>
        <v/>
      </c>
      <c r="C544" s="2" t="str">
        <f>IF('[1]0.1 Produksi Pangan &amp; Penduduk'!F545="","",'[1]0.1 Produksi Pangan &amp; Penduduk'!F545)</f>
        <v/>
      </c>
      <c r="D544" s="3" t="str">
        <f>IF('[1]0.1 Produksi Pangan &amp; Penduduk'!D545="","",'[1]0.1 Produksi Pangan &amp; Penduduk'!D545)</f>
        <v/>
      </c>
      <c r="E544" s="3" t="str">
        <f>IF('[1]0.1 Produksi Pangan &amp; Penduduk'!E545="","",'[1]0.1 Produksi Pangan &amp; Penduduk'!E545)</f>
        <v/>
      </c>
      <c r="F544" s="59" t="str">
        <f>IF(D544="","",VLOOKUP(D544,'[1]0.1 Produksi Pangan &amp; Penduduk'!$D$5:$J$860,7,0))</f>
        <v/>
      </c>
      <c r="G544" s="27" t="str">
        <f t="shared" si="80"/>
        <v/>
      </c>
      <c r="H544" s="27" t="str">
        <f t="shared" si="81"/>
        <v/>
      </c>
      <c r="I544" s="27" t="str">
        <f t="shared" si="82"/>
        <v/>
      </c>
      <c r="J544" s="27" t="str">
        <f t="shared" si="83"/>
        <v/>
      </c>
      <c r="K544" s="27" t="str">
        <f t="shared" si="84"/>
        <v/>
      </c>
      <c r="L544" s="59" t="str">
        <f>IF(D544="","",VLOOKUP(D544,'[1]0.1 Produksi Pangan &amp; Penduduk'!$D$5:$M$860,10,0))</f>
        <v/>
      </c>
      <c r="M544" s="28" t="str">
        <f t="shared" si="85"/>
        <v/>
      </c>
      <c r="N544" s="60" t="str">
        <f t="shared" si="86"/>
        <v/>
      </c>
      <c r="O544" s="60" t="str">
        <f t="shared" si="87"/>
        <v/>
      </c>
      <c r="P544" s="60" t="str">
        <f t="shared" si="88"/>
        <v/>
      </c>
      <c r="Q544" s="28" t="str">
        <f t="shared" si="89"/>
        <v/>
      </c>
    </row>
    <row r="545" spans="1:17" ht="15" x14ac:dyDescent="0.25">
      <c r="A545" s="3" t="str">
        <f>IF('[1]0.1 Produksi Pangan &amp; Penduduk'!A546="","",'[1]0.1 Produksi Pangan &amp; Penduduk'!A546)</f>
        <v/>
      </c>
      <c r="B545" s="2" t="str">
        <f>IF('[1]0.1 Produksi Pangan &amp; Penduduk'!B546="","",'[1]0.1 Produksi Pangan &amp; Penduduk'!B546)</f>
        <v/>
      </c>
      <c r="C545" s="2" t="str">
        <f>IF('[1]0.1 Produksi Pangan &amp; Penduduk'!F546="","",'[1]0.1 Produksi Pangan &amp; Penduduk'!F546)</f>
        <v/>
      </c>
      <c r="D545" s="3" t="str">
        <f>IF('[1]0.1 Produksi Pangan &amp; Penduduk'!D546="","",'[1]0.1 Produksi Pangan &amp; Penduduk'!D546)</f>
        <v/>
      </c>
      <c r="E545" s="3" t="str">
        <f>IF('[1]0.1 Produksi Pangan &amp; Penduduk'!E546="","",'[1]0.1 Produksi Pangan &amp; Penduduk'!E546)</f>
        <v/>
      </c>
      <c r="F545" s="59" t="str">
        <f>IF(D545="","",VLOOKUP(D545,'[1]0.1 Produksi Pangan &amp; Penduduk'!$D$5:$J$860,7,0))</f>
        <v/>
      </c>
      <c r="G545" s="27" t="str">
        <f t="shared" si="80"/>
        <v/>
      </c>
      <c r="H545" s="27" t="str">
        <f t="shared" si="81"/>
        <v/>
      </c>
      <c r="I545" s="27" t="str">
        <f t="shared" si="82"/>
        <v/>
      </c>
      <c r="J545" s="27" t="str">
        <f t="shared" si="83"/>
        <v/>
      </c>
      <c r="K545" s="27" t="str">
        <f t="shared" si="84"/>
        <v/>
      </c>
      <c r="L545" s="59" t="str">
        <f>IF(D545="","",VLOOKUP(D545,'[1]0.1 Produksi Pangan &amp; Penduduk'!$D$5:$M$860,10,0))</f>
        <v/>
      </c>
      <c r="M545" s="28" t="str">
        <f t="shared" si="85"/>
        <v/>
      </c>
      <c r="N545" s="60" t="str">
        <f t="shared" si="86"/>
        <v/>
      </c>
      <c r="O545" s="60" t="str">
        <f t="shared" si="87"/>
        <v/>
      </c>
      <c r="P545" s="60" t="str">
        <f t="shared" si="88"/>
        <v/>
      </c>
      <c r="Q545" s="28" t="str">
        <f t="shared" si="89"/>
        <v/>
      </c>
    </row>
    <row r="546" spans="1:17" ht="15" x14ac:dyDescent="0.25">
      <c r="A546" s="3" t="str">
        <f>IF('[1]0.1 Produksi Pangan &amp; Penduduk'!A547="","",'[1]0.1 Produksi Pangan &amp; Penduduk'!A547)</f>
        <v/>
      </c>
      <c r="B546" s="2" t="str">
        <f>IF('[1]0.1 Produksi Pangan &amp; Penduduk'!B547="","",'[1]0.1 Produksi Pangan &amp; Penduduk'!B547)</f>
        <v/>
      </c>
      <c r="C546" s="2" t="str">
        <f>IF('[1]0.1 Produksi Pangan &amp; Penduduk'!F547="","",'[1]0.1 Produksi Pangan &amp; Penduduk'!F547)</f>
        <v/>
      </c>
      <c r="D546" s="3" t="str">
        <f>IF('[1]0.1 Produksi Pangan &amp; Penduduk'!D547="","",'[1]0.1 Produksi Pangan &amp; Penduduk'!D547)</f>
        <v/>
      </c>
      <c r="E546" s="3" t="str">
        <f>IF('[1]0.1 Produksi Pangan &amp; Penduduk'!E547="","",'[1]0.1 Produksi Pangan &amp; Penduduk'!E547)</f>
        <v/>
      </c>
      <c r="F546" s="59" t="str">
        <f>IF(D546="","",VLOOKUP(D546,'[1]0.1 Produksi Pangan &amp; Penduduk'!$D$5:$J$860,7,0))</f>
        <v/>
      </c>
      <c r="G546" s="27" t="str">
        <f t="shared" si="80"/>
        <v/>
      </c>
      <c r="H546" s="27" t="str">
        <f t="shared" si="81"/>
        <v/>
      </c>
      <c r="I546" s="27" t="str">
        <f t="shared" si="82"/>
        <v/>
      </c>
      <c r="J546" s="27" t="str">
        <f t="shared" si="83"/>
        <v/>
      </c>
      <c r="K546" s="27" t="str">
        <f t="shared" si="84"/>
        <v/>
      </c>
      <c r="L546" s="59" t="str">
        <f>IF(D546="","",VLOOKUP(D546,'[1]0.1 Produksi Pangan &amp; Penduduk'!$D$5:$M$860,10,0))</f>
        <v/>
      </c>
      <c r="M546" s="28" t="str">
        <f t="shared" si="85"/>
        <v/>
      </c>
      <c r="N546" s="60" t="str">
        <f t="shared" si="86"/>
        <v/>
      </c>
      <c r="O546" s="60" t="str">
        <f t="shared" si="87"/>
        <v/>
      </c>
      <c r="P546" s="60" t="str">
        <f t="shared" si="88"/>
        <v/>
      </c>
      <c r="Q546" s="28" t="str">
        <f t="shared" si="89"/>
        <v/>
      </c>
    </row>
    <row r="547" spans="1:17" ht="15" x14ac:dyDescent="0.25">
      <c r="A547" s="3" t="str">
        <f>IF('[1]0.1 Produksi Pangan &amp; Penduduk'!A548="","",'[1]0.1 Produksi Pangan &amp; Penduduk'!A548)</f>
        <v/>
      </c>
      <c r="B547" s="2" t="str">
        <f>IF('[1]0.1 Produksi Pangan &amp; Penduduk'!B548="","",'[1]0.1 Produksi Pangan &amp; Penduduk'!B548)</f>
        <v/>
      </c>
      <c r="C547" s="2" t="str">
        <f>IF('[1]0.1 Produksi Pangan &amp; Penduduk'!F548="","",'[1]0.1 Produksi Pangan &amp; Penduduk'!F548)</f>
        <v/>
      </c>
      <c r="D547" s="3" t="str">
        <f>IF('[1]0.1 Produksi Pangan &amp; Penduduk'!D548="","",'[1]0.1 Produksi Pangan &amp; Penduduk'!D548)</f>
        <v/>
      </c>
      <c r="E547" s="3" t="str">
        <f>IF('[1]0.1 Produksi Pangan &amp; Penduduk'!E548="","",'[1]0.1 Produksi Pangan &amp; Penduduk'!E548)</f>
        <v/>
      </c>
      <c r="F547" s="59" t="str">
        <f>IF(D547="","",VLOOKUP(D547,'[1]0.1 Produksi Pangan &amp; Penduduk'!$D$5:$J$860,7,0))</f>
        <v/>
      </c>
      <c r="G547" s="27" t="str">
        <f t="shared" si="80"/>
        <v/>
      </c>
      <c r="H547" s="27" t="str">
        <f t="shared" si="81"/>
        <v/>
      </c>
      <c r="I547" s="27" t="str">
        <f t="shared" si="82"/>
        <v/>
      </c>
      <c r="J547" s="27" t="str">
        <f t="shared" si="83"/>
        <v/>
      </c>
      <c r="K547" s="27" t="str">
        <f t="shared" si="84"/>
        <v/>
      </c>
      <c r="L547" s="59" t="str">
        <f>IF(D547="","",VLOOKUP(D547,'[1]0.1 Produksi Pangan &amp; Penduduk'!$D$5:$M$860,10,0))</f>
        <v/>
      </c>
      <c r="M547" s="28" t="str">
        <f t="shared" si="85"/>
        <v/>
      </c>
      <c r="N547" s="60" t="str">
        <f t="shared" si="86"/>
        <v/>
      </c>
      <c r="O547" s="60" t="str">
        <f t="shared" si="87"/>
        <v/>
      </c>
      <c r="P547" s="60" t="str">
        <f t="shared" si="88"/>
        <v/>
      </c>
      <c r="Q547" s="28" t="str">
        <f t="shared" si="89"/>
        <v/>
      </c>
    </row>
    <row r="548" spans="1:17" ht="15" x14ac:dyDescent="0.25">
      <c r="A548" s="3" t="str">
        <f>IF('[1]0.1 Produksi Pangan &amp; Penduduk'!A549="","",'[1]0.1 Produksi Pangan &amp; Penduduk'!A549)</f>
        <v/>
      </c>
      <c r="B548" s="2" t="str">
        <f>IF('[1]0.1 Produksi Pangan &amp; Penduduk'!B549="","",'[1]0.1 Produksi Pangan &amp; Penduduk'!B549)</f>
        <v/>
      </c>
      <c r="C548" s="2" t="str">
        <f>IF('[1]0.1 Produksi Pangan &amp; Penduduk'!F549="","",'[1]0.1 Produksi Pangan &amp; Penduduk'!F549)</f>
        <v/>
      </c>
      <c r="D548" s="3" t="str">
        <f>IF('[1]0.1 Produksi Pangan &amp; Penduduk'!D549="","",'[1]0.1 Produksi Pangan &amp; Penduduk'!D549)</f>
        <v/>
      </c>
      <c r="E548" s="3" t="str">
        <f>IF('[1]0.1 Produksi Pangan &amp; Penduduk'!E549="","",'[1]0.1 Produksi Pangan &amp; Penduduk'!E549)</f>
        <v/>
      </c>
      <c r="F548" s="59" t="str">
        <f>IF(D548="","",VLOOKUP(D548,'[1]0.1 Produksi Pangan &amp; Penduduk'!$D$5:$J$860,7,0))</f>
        <v/>
      </c>
      <c r="G548" s="27" t="str">
        <f t="shared" si="80"/>
        <v/>
      </c>
      <c r="H548" s="27" t="str">
        <f t="shared" si="81"/>
        <v/>
      </c>
      <c r="I548" s="27" t="str">
        <f t="shared" si="82"/>
        <v/>
      </c>
      <c r="J548" s="27" t="str">
        <f t="shared" si="83"/>
        <v/>
      </c>
      <c r="K548" s="27" t="str">
        <f t="shared" si="84"/>
        <v/>
      </c>
      <c r="L548" s="59" t="str">
        <f>IF(D548="","",VLOOKUP(D548,'[1]0.1 Produksi Pangan &amp; Penduduk'!$D$5:$M$860,10,0))</f>
        <v/>
      </c>
      <c r="M548" s="28" t="str">
        <f t="shared" si="85"/>
        <v/>
      </c>
      <c r="N548" s="60" t="str">
        <f t="shared" si="86"/>
        <v/>
      </c>
      <c r="O548" s="60" t="str">
        <f t="shared" si="87"/>
        <v/>
      </c>
      <c r="P548" s="60" t="str">
        <f t="shared" si="88"/>
        <v/>
      </c>
      <c r="Q548" s="28" t="str">
        <f t="shared" si="89"/>
        <v/>
      </c>
    </row>
    <row r="549" spans="1:17" ht="15" x14ac:dyDescent="0.25">
      <c r="A549" s="3" t="str">
        <f>IF('[1]0.1 Produksi Pangan &amp; Penduduk'!A550="","",'[1]0.1 Produksi Pangan &amp; Penduduk'!A550)</f>
        <v/>
      </c>
      <c r="B549" s="2" t="str">
        <f>IF('[1]0.1 Produksi Pangan &amp; Penduduk'!B550="","",'[1]0.1 Produksi Pangan &amp; Penduduk'!B550)</f>
        <v/>
      </c>
      <c r="C549" s="2" t="str">
        <f>IF('[1]0.1 Produksi Pangan &amp; Penduduk'!F550="","",'[1]0.1 Produksi Pangan &amp; Penduduk'!F550)</f>
        <v/>
      </c>
      <c r="D549" s="3" t="str">
        <f>IF('[1]0.1 Produksi Pangan &amp; Penduduk'!D550="","",'[1]0.1 Produksi Pangan &amp; Penduduk'!D550)</f>
        <v/>
      </c>
      <c r="E549" s="3" t="str">
        <f>IF('[1]0.1 Produksi Pangan &amp; Penduduk'!E550="","",'[1]0.1 Produksi Pangan &amp; Penduduk'!E550)</f>
        <v/>
      </c>
      <c r="F549" s="59" t="str">
        <f>IF(D549="","",VLOOKUP(D549,'[1]0.1 Produksi Pangan &amp; Penduduk'!$D$5:$J$860,7,0))</f>
        <v/>
      </c>
      <c r="G549" s="27" t="str">
        <f t="shared" si="80"/>
        <v/>
      </c>
      <c r="H549" s="27" t="str">
        <f t="shared" si="81"/>
        <v/>
      </c>
      <c r="I549" s="27" t="str">
        <f t="shared" si="82"/>
        <v/>
      </c>
      <c r="J549" s="27" t="str">
        <f t="shared" si="83"/>
        <v/>
      </c>
      <c r="K549" s="27" t="str">
        <f t="shared" si="84"/>
        <v/>
      </c>
      <c r="L549" s="59" t="str">
        <f>IF(D549="","",VLOOKUP(D549,'[1]0.1 Produksi Pangan &amp; Penduduk'!$D$5:$M$860,10,0))</f>
        <v/>
      </c>
      <c r="M549" s="28" t="str">
        <f t="shared" si="85"/>
        <v/>
      </c>
      <c r="N549" s="60" t="str">
        <f t="shared" si="86"/>
        <v/>
      </c>
      <c r="O549" s="60" t="str">
        <f t="shared" si="87"/>
        <v/>
      </c>
      <c r="P549" s="60" t="str">
        <f t="shared" si="88"/>
        <v/>
      </c>
      <c r="Q549" s="28" t="str">
        <f t="shared" si="89"/>
        <v/>
      </c>
    </row>
    <row r="550" spans="1:17" ht="15" x14ac:dyDescent="0.25">
      <c r="A550" s="3" t="str">
        <f>IF('[1]0.1 Produksi Pangan &amp; Penduduk'!A551="","",'[1]0.1 Produksi Pangan &amp; Penduduk'!A551)</f>
        <v/>
      </c>
      <c r="B550" s="2" t="str">
        <f>IF('[1]0.1 Produksi Pangan &amp; Penduduk'!B551="","",'[1]0.1 Produksi Pangan &amp; Penduduk'!B551)</f>
        <v/>
      </c>
      <c r="C550" s="2" t="str">
        <f>IF('[1]0.1 Produksi Pangan &amp; Penduduk'!F551="","",'[1]0.1 Produksi Pangan &amp; Penduduk'!F551)</f>
        <v/>
      </c>
      <c r="D550" s="3" t="str">
        <f>IF('[1]0.1 Produksi Pangan &amp; Penduduk'!D551="","",'[1]0.1 Produksi Pangan &amp; Penduduk'!D551)</f>
        <v/>
      </c>
      <c r="E550" s="3" t="str">
        <f>IF('[1]0.1 Produksi Pangan &amp; Penduduk'!E551="","",'[1]0.1 Produksi Pangan &amp; Penduduk'!E551)</f>
        <v/>
      </c>
      <c r="F550" s="59" t="str">
        <f>IF(D550="","",VLOOKUP(D550,'[1]0.1 Produksi Pangan &amp; Penduduk'!$D$5:$J$860,7,0))</f>
        <v/>
      </c>
      <c r="G550" s="27" t="str">
        <f t="shared" si="80"/>
        <v/>
      </c>
      <c r="H550" s="27" t="str">
        <f t="shared" si="81"/>
        <v/>
      </c>
      <c r="I550" s="27" t="str">
        <f t="shared" si="82"/>
        <v/>
      </c>
      <c r="J550" s="27" t="str">
        <f t="shared" si="83"/>
        <v/>
      </c>
      <c r="K550" s="27" t="str">
        <f t="shared" si="84"/>
        <v/>
      </c>
      <c r="L550" s="59" t="str">
        <f>IF(D550="","",VLOOKUP(D550,'[1]0.1 Produksi Pangan &amp; Penduduk'!$D$5:$M$860,10,0))</f>
        <v/>
      </c>
      <c r="M550" s="28" t="str">
        <f t="shared" si="85"/>
        <v/>
      </c>
      <c r="N550" s="60" t="str">
        <f t="shared" si="86"/>
        <v/>
      </c>
      <c r="O550" s="60" t="str">
        <f t="shared" si="87"/>
        <v/>
      </c>
      <c r="P550" s="60" t="str">
        <f t="shared" si="88"/>
        <v/>
      </c>
      <c r="Q550" s="28" t="str">
        <f t="shared" si="89"/>
        <v/>
      </c>
    </row>
    <row r="551" spans="1:17" ht="15" x14ac:dyDescent="0.25">
      <c r="A551" s="3" t="str">
        <f>IF('[1]0.1 Produksi Pangan &amp; Penduduk'!A552="","",'[1]0.1 Produksi Pangan &amp; Penduduk'!A552)</f>
        <v/>
      </c>
      <c r="B551" s="2" t="str">
        <f>IF('[1]0.1 Produksi Pangan &amp; Penduduk'!B552="","",'[1]0.1 Produksi Pangan &amp; Penduduk'!B552)</f>
        <v/>
      </c>
      <c r="C551" s="2" t="str">
        <f>IF('[1]0.1 Produksi Pangan &amp; Penduduk'!F552="","",'[1]0.1 Produksi Pangan &amp; Penduduk'!F552)</f>
        <v/>
      </c>
      <c r="D551" s="3" t="str">
        <f>IF('[1]0.1 Produksi Pangan &amp; Penduduk'!D552="","",'[1]0.1 Produksi Pangan &amp; Penduduk'!D552)</f>
        <v/>
      </c>
      <c r="E551" s="3" t="str">
        <f>IF('[1]0.1 Produksi Pangan &amp; Penduduk'!E552="","",'[1]0.1 Produksi Pangan &amp; Penduduk'!E552)</f>
        <v/>
      </c>
      <c r="F551" s="59" t="str">
        <f>IF(D551="","",VLOOKUP(D551,'[1]0.1 Produksi Pangan &amp; Penduduk'!$D$5:$J$860,7,0))</f>
        <v/>
      </c>
      <c r="G551" s="27" t="str">
        <f t="shared" si="80"/>
        <v/>
      </c>
      <c r="H551" s="27" t="str">
        <f t="shared" si="81"/>
        <v/>
      </c>
      <c r="I551" s="27" t="str">
        <f t="shared" si="82"/>
        <v/>
      </c>
      <c r="J551" s="27" t="str">
        <f t="shared" si="83"/>
        <v/>
      </c>
      <c r="K551" s="27" t="str">
        <f t="shared" si="84"/>
        <v/>
      </c>
      <c r="L551" s="59" t="str">
        <f>IF(D551="","",VLOOKUP(D551,'[1]0.1 Produksi Pangan &amp; Penduduk'!$D$5:$M$860,10,0))</f>
        <v/>
      </c>
      <c r="M551" s="28" t="str">
        <f t="shared" si="85"/>
        <v/>
      </c>
      <c r="N551" s="60" t="str">
        <f t="shared" si="86"/>
        <v/>
      </c>
      <c r="O551" s="60" t="str">
        <f t="shared" si="87"/>
        <v/>
      </c>
      <c r="P551" s="60" t="str">
        <f t="shared" si="88"/>
        <v/>
      </c>
      <c r="Q551" s="28" t="str">
        <f t="shared" si="89"/>
        <v/>
      </c>
    </row>
    <row r="552" spans="1:17" ht="15" x14ac:dyDescent="0.25">
      <c r="A552" s="3" t="str">
        <f>IF('[1]0.1 Produksi Pangan &amp; Penduduk'!A553="","",'[1]0.1 Produksi Pangan &amp; Penduduk'!A553)</f>
        <v/>
      </c>
      <c r="B552" s="2" t="str">
        <f>IF('[1]0.1 Produksi Pangan &amp; Penduduk'!B553="","",'[1]0.1 Produksi Pangan &amp; Penduduk'!B553)</f>
        <v/>
      </c>
      <c r="C552" s="2" t="str">
        <f>IF('[1]0.1 Produksi Pangan &amp; Penduduk'!F553="","",'[1]0.1 Produksi Pangan &amp; Penduduk'!F553)</f>
        <v/>
      </c>
      <c r="D552" s="3" t="str">
        <f>IF('[1]0.1 Produksi Pangan &amp; Penduduk'!D553="","",'[1]0.1 Produksi Pangan &amp; Penduduk'!D553)</f>
        <v/>
      </c>
      <c r="E552" s="3" t="str">
        <f>IF('[1]0.1 Produksi Pangan &amp; Penduduk'!E553="","",'[1]0.1 Produksi Pangan &amp; Penduduk'!E553)</f>
        <v/>
      </c>
      <c r="F552" s="59" t="str">
        <f>IF(D552="","",VLOOKUP(D552,'[1]0.1 Produksi Pangan &amp; Penduduk'!$D$5:$J$860,7,0))</f>
        <v/>
      </c>
      <c r="G552" s="27" t="str">
        <f t="shared" si="80"/>
        <v/>
      </c>
      <c r="H552" s="27" t="str">
        <f t="shared" si="81"/>
        <v/>
      </c>
      <c r="I552" s="27" t="str">
        <f t="shared" si="82"/>
        <v/>
      </c>
      <c r="J552" s="27" t="str">
        <f t="shared" si="83"/>
        <v/>
      </c>
      <c r="K552" s="27" t="str">
        <f t="shared" si="84"/>
        <v/>
      </c>
      <c r="L552" s="59" t="str">
        <f>IF(D552="","",VLOOKUP(D552,'[1]0.1 Produksi Pangan &amp; Penduduk'!$D$5:$M$860,10,0))</f>
        <v/>
      </c>
      <c r="M552" s="28" t="str">
        <f t="shared" si="85"/>
        <v/>
      </c>
      <c r="N552" s="60" t="str">
        <f t="shared" si="86"/>
        <v/>
      </c>
      <c r="O552" s="60" t="str">
        <f t="shared" si="87"/>
        <v/>
      </c>
      <c r="P552" s="60" t="str">
        <f t="shared" si="88"/>
        <v/>
      </c>
      <c r="Q552" s="28" t="str">
        <f t="shared" si="89"/>
        <v/>
      </c>
    </row>
    <row r="553" spans="1:17" ht="15" x14ac:dyDescent="0.25">
      <c r="A553" s="3" t="str">
        <f>IF('[1]0.1 Produksi Pangan &amp; Penduduk'!A554="","",'[1]0.1 Produksi Pangan &amp; Penduduk'!A554)</f>
        <v/>
      </c>
      <c r="B553" s="2" t="str">
        <f>IF('[1]0.1 Produksi Pangan &amp; Penduduk'!B554="","",'[1]0.1 Produksi Pangan &amp; Penduduk'!B554)</f>
        <v/>
      </c>
      <c r="C553" s="2" t="str">
        <f>IF('[1]0.1 Produksi Pangan &amp; Penduduk'!F554="","",'[1]0.1 Produksi Pangan &amp; Penduduk'!F554)</f>
        <v/>
      </c>
      <c r="D553" s="3" t="str">
        <f>IF('[1]0.1 Produksi Pangan &amp; Penduduk'!D554="","",'[1]0.1 Produksi Pangan &amp; Penduduk'!D554)</f>
        <v/>
      </c>
      <c r="E553" s="3" t="str">
        <f>IF('[1]0.1 Produksi Pangan &amp; Penduduk'!E554="","",'[1]0.1 Produksi Pangan &amp; Penduduk'!E554)</f>
        <v/>
      </c>
      <c r="F553" s="59" t="str">
        <f>IF(D553="","",VLOOKUP(D553,'[1]0.1 Produksi Pangan &amp; Penduduk'!$D$5:$J$860,7,0))</f>
        <v/>
      </c>
      <c r="G553" s="27" t="str">
        <f t="shared" si="80"/>
        <v/>
      </c>
      <c r="H553" s="27" t="str">
        <f t="shared" si="81"/>
        <v/>
      </c>
      <c r="I553" s="27" t="str">
        <f t="shared" si="82"/>
        <v/>
      </c>
      <c r="J553" s="27" t="str">
        <f t="shared" si="83"/>
        <v/>
      </c>
      <c r="K553" s="27" t="str">
        <f t="shared" si="84"/>
        <v/>
      </c>
      <c r="L553" s="59" t="str">
        <f>IF(D553="","",VLOOKUP(D553,'[1]0.1 Produksi Pangan &amp; Penduduk'!$D$5:$M$860,10,0))</f>
        <v/>
      </c>
      <c r="M553" s="28" t="str">
        <f t="shared" si="85"/>
        <v/>
      </c>
      <c r="N553" s="60" t="str">
        <f t="shared" si="86"/>
        <v/>
      </c>
      <c r="O553" s="60" t="str">
        <f t="shared" si="87"/>
        <v/>
      </c>
      <c r="P553" s="60" t="str">
        <f t="shared" si="88"/>
        <v/>
      </c>
      <c r="Q553" s="28" t="str">
        <f t="shared" si="89"/>
        <v/>
      </c>
    </row>
    <row r="554" spans="1:17" ht="15" x14ac:dyDescent="0.25">
      <c r="A554" s="3" t="str">
        <f>IF('[1]0.1 Produksi Pangan &amp; Penduduk'!A555="","",'[1]0.1 Produksi Pangan &amp; Penduduk'!A555)</f>
        <v/>
      </c>
      <c r="B554" s="2" t="str">
        <f>IF('[1]0.1 Produksi Pangan &amp; Penduduk'!B555="","",'[1]0.1 Produksi Pangan &amp; Penduduk'!B555)</f>
        <v/>
      </c>
      <c r="C554" s="2" t="str">
        <f>IF('[1]0.1 Produksi Pangan &amp; Penduduk'!F555="","",'[1]0.1 Produksi Pangan &amp; Penduduk'!F555)</f>
        <v/>
      </c>
      <c r="D554" s="3" t="str">
        <f>IF('[1]0.1 Produksi Pangan &amp; Penduduk'!D555="","",'[1]0.1 Produksi Pangan &amp; Penduduk'!D555)</f>
        <v/>
      </c>
      <c r="E554" s="3" t="str">
        <f>IF('[1]0.1 Produksi Pangan &amp; Penduduk'!E555="","",'[1]0.1 Produksi Pangan &amp; Penduduk'!E555)</f>
        <v/>
      </c>
      <c r="F554" s="59" t="str">
        <f>IF(D554="","",VLOOKUP(D554,'[1]0.1 Produksi Pangan &amp; Penduduk'!$D$5:$J$860,7,0))</f>
        <v/>
      </c>
      <c r="G554" s="27" t="str">
        <f t="shared" si="80"/>
        <v/>
      </c>
      <c r="H554" s="27" t="str">
        <f t="shared" si="81"/>
        <v/>
      </c>
      <c r="I554" s="27" t="str">
        <f t="shared" si="82"/>
        <v/>
      </c>
      <c r="J554" s="27" t="str">
        <f t="shared" si="83"/>
        <v/>
      </c>
      <c r="K554" s="27" t="str">
        <f t="shared" si="84"/>
        <v/>
      </c>
      <c r="L554" s="59" t="str">
        <f>IF(D554="","",VLOOKUP(D554,'[1]0.1 Produksi Pangan &amp; Penduduk'!$D$5:$M$860,10,0))</f>
        <v/>
      </c>
      <c r="M554" s="28" t="str">
        <f t="shared" si="85"/>
        <v/>
      </c>
      <c r="N554" s="60" t="str">
        <f t="shared" si="86"/>
        <v/>
      </c>
      <c r="O554" s="60" t="str">
        <f t="shared" si="87"/>
        <v/>
      </c>
      <c r="P554" s="60" t="str">
        <f t="shared" si="88"/>
        <v/>
      </c>
      <c r="Q554" s="28" t="str">
        <f t="shared" si="89"/>
        <v/>
      </c>
    </row>
    <row r="555" spans="1:17" ht="15" x14ac:dyDescent="0.25">
      <c r="A555" s="3" t="str">
        <f>IF('[1]0.1 Produksi Pangan &amp; Penduduk'!A556="","",'[1]0.1 Produksi Pangan &amp; Penduduk'!A556)</f>
        <v/>
      </c>
      <c r="B555" s="2" t="str">
        <f>IF('[1]0.1 Produksi Pangan &amp; Penduduk'!B556="","",'[1]0.1 Produksi Pangan &amp; Penduduk'!B556)</f>
        <v/>
      </c>
      <c r="C555" s="2" t="str">
        <f>IF('[1]0.1 Produksi Pangan &amp; Penduduk'!F556="","",'[1]0.1 Produksi Pangan &amp; Penduduk'!F556)</f>
        <v/>
      </c>
      <c r="D555" s="3" t="str">
        <f>IF('[1]0.1 Produksi Pangan &amp; Penduduk'!D556="","",'[1]0.1 Produksi Pangan &amp; Penduduk'!D556)</f>
        <v/>
      </c>
      <c r="E555" s="3" t="str">
        <f>IF('[1]0.1 Produksi Pangan &amp; Penduduk'!E556="","",'[1]0.1 Produksi Pangan &amp; Penduduk'!E556)</f>
        <v/>
      </c>
      <c r="F555" s="59" t="str">
        <f>IF(D555="","",VLOOKUP(D555,'[1]0.1 Produksi Pangan &amp; Penduduk'!$D$5:$J$860,7,0))</f>
        <v/>
      </c>
      <c r="G555" s="27" t="str">
        <f t="shared" si="80"/>
        <v/>
      </c>
      <c r="H555" s="27" t="str">
        <f t="shared" si="81"/>
        <v/>
      </c>
      <c r="I555" s="27" t="str">
        <f t="shared" si="82"/>
        <v/>
      </c>
      <c r="J555" s="27" t="str">
        <f t="shared" si="83"/>
        <v/>
      </c>
      <c r="K555" s="27" t="str">
        <f t="shared" si="84"/>
        <v/>
      </c>
      <c r="L555" s="59" t="str">
        <f>IF(D555="","",VLOOKUP(D555,'[1]0.1 Produksi Pangan &amp; Penduduk'!$D$5:$M$860,10,0))</f>
        <v/>
      </c>
      <c r="M555" s="28" t="str">
        <f t="shared" si="85"/>
        <v/>
      </c>
      <c r="N555" s="60" t="str">
        <f t="shared" si="86"/>
        <v/>
      </c>
      <c r="O555" s="60" t="str">
        <f t="shared" si="87"/>
        <v/>
      </c>
      <c r="P555" s="60" t="str">
        <f t="shared" si="88"/>
        <v/>
      </c>
      <c r="Q555" s="28" t="str">
        <f t="shared" si="89"/>
        <v/>
      </c>
    </row>
    <row r="556" spans="1:17" ht="15" x14ac:dyDescent="0.25">
      <c r="A556" s="3" t="str">
        <f>IF('[1]0.1 Produksi Pangan &amp; Penduduk'!A557="","",'[1]0.1 Produksi Pangan &amp; Penduduk'!A557)</f>
        <v/>
      </c>
      <c r="B556" s="2" t="str">
        <f>IF('[1]0.1 Produksi Pangan &amp; Penduduk'!B557="","",'[1]0.1 Produksi Pangan &amp; Penduduk'!B557)</f>
        <v/>
      </c>
      <c r="C556" s="2" t="str">
        <f>IF('[1]0.1 Produksi Pangan &amp; Penduduk'!F557="","",'[1]0.1 Produksi Pangan &amp; Penduduk'!F557)</f>
        <v/>
      </c>
      <c r="D556" s="3" t="str">
        <f>IF('[1]0.1 Produksi Pangan &amp; Penduduk'!D557="","",'[1]0.1 Produksi Pangan &amp; Penduduk'!D557)</f>
        <v/>
      </c>
      <c r="E556" s="3" t="str">
        <f>IF('[1]0.1 Produksi Pangan &amp; Penduduk'!E557="","",'[1]0.1 Produksi Pangan &amp; Penduduk'!E557)</f>
        <v/>
      </c>
      <c r="F556" s="59" t="str">
        <f>IF(D556="","",VLOOKUP(D556,'[1]0.1 Produksi Pangan &amp; Penduduk'!$D$5:$J$860,7,0))</f>
        <v/>
      </c>
      <c r="G556" s="27" t="str">
        <f t="shared" si="80"/>
        <v/>
      </c>
      <c r="H556" s="27" t="str">
        <f t="shared" si="81"/>
        <v/>
      </c>
      <c r="I556" s="27" t="str">
        <f t="shared" si="82"/>
        <v/>
      </c>
      <c r="J556" s="27" t="str">
        <f t="shared" si="83"/>
        <v/>
      </c>
      <c r="K556" s="27" t="str">
        <f t="shared" si="84"/>
        <v/>
      </c>
      <c r="L556" s="59" t="str">
        <f>IF(D556="","",VLOOKUP(D556,'[1]0.1 Produksi Pangan &amp; Penduduk'!$D$5:$M$860,10,0))</f>
        <v/>
      </c>
      <c r="M556" s="28" t="str">
        <f t="shared" si="85"/>
        <v/>
      </c>
      <c r="N556" s="60" t="str">
        <f t="shared" si="86"/>
        <v/>
      </c>
      <c r="O556" s="60" t="str">
        <f t="shared" si="87"/>
        <v/>
      </c>
      <c r="P556" s="60" t="str">
        <f t="shared" si="88"/>
        <v/>
      </c>
      <c r="Q556" s="28" t="str">
        <f t="shared" si="89"/>
        <v/>
      </c>
    </row>
    <row r="557" spans="1:17" ht="15" x14ac:dyDescent="0.25">
      <c r="A557" s="3" t="str">
        <f>IF('[1]0.1 Produksi Pangan &amp; Penduduk'!A558="","",'[1]0.1 Produksi Pangan &amp; Penduduk'!A558)</f>
        <v/>
      </c>
      <c r="B557" s="2" t="str">
        <f>IF('[1]0.1 Produksi Pangan &amp; Penduduk'!B558="","",'[1]0.1 Produksi Pangan &amp; Penduduk'!B558)</f>
        <v/>
      </c>
      <c r="C557" s="2" t="str">
        <f>IF('[1]0.1 Produksi Pangan &amp; Penduduk'!F558="","",'[1]0.1 Produksi Pangan &amp; Penduduk'!F558)</f>
        <v/>
      </c>
      <c r="D557" s="3" t="str">
        <f>IF('[1]0.1 Produksi Pangan &amp; Penduduk'!D558="","",'[1]0.1 Produksi Pangan &amp; Penduduk'!D558)</f>
        <v/>
      </c>
      <c r="E557" s="3" t="str">
        <f>IF('[1]0.1 Produksi Pangan &amp; Penduduk'!E558="","",'[1]0.1 Produksi Pangan &amp; Penduduk'!E558)</f>
        <v/>
      </c>
      <c r="F557" s="59" t="str">
        <f>IF(D557="","",VLOOKUP(D557,'[1]0.1 Produksi Pangan &amp; Penduduk'!$D$5:$J$860,7,0))</f>
        <v/>
      </c>
      <c r="G557" s="27" t="str">
        <f t="shared" si="80"/>
        <v/>
      </c>
      <c r="H557" s="27" t="str">
        <f t="shared" si="81"/>
        <v/>
      </c>
      <c r="I557" s="27" t="str">
        <f t="shared" si="82"/>
        <v/>
      </c>
      <c r="J557" s="27" t="str">
        <f t="shared" si="83"/>
        <v/>
      </c>
      <c r="K557" s="27" t="str">
        <f t="shared" si="84"/>
        <v/>
      </c>
      <c r="L557" s="59" t="str">
        <f>IF(D557="","",VLOOKUP(D557,'[1]0.1 Produksi Pangan &amp; Penduduk'!$D$5:$M$860,10,0))</f>
        <v/>
      </c>
      <c r="M557" s="28" t="str">
        <f t="shared" si="85"/>
        <v/>
      </c>
      <c r="N557" s="60" t="str">
        <f t="shared" si="86"/>
        <v/>
      </c>
      <c r="O557" s="60" t="str">
        <f t="shared" si="87"/>
        <v/>
      </c>
      <c r="P557" s="60" t="str">
        <f t="shared" si="88"/>
        <v/>
      </c>
      <c r="Q557" s="28" t="str">
        <f t="shared" si="89"/>
        <v/>
      </c>
    </row>
    <row r="558" spans="1:17" ht="15" x14ac:dyDescent="0.25">
      <c r="A558" s="3" t="str">
        <f>IF('[1]0.1 Produksi Pangan &amp; Penduduk'!A559="","",'[1]0.1 Produksi Pangan &amp; Penduduk'!A559)</f>
        <v/>
      </c>
      <c r="B558" s="2" t="str">
        <f>IF('[1]0.1 Produksi Pangan &amp; Penduduk'!B559="","",'[1]0.1 Produksi Pangan &amp; Penduduk'!B559)</f>
        <v/>
      </c>
      <c r="C558" s="2" t="str">
        <f>IF('[1]0.1 Produksi Pangan &amp; Penduduk'!F559="","",'[1]0.1 Produksi Pangan &amp; Penduduk'!F559)</f>
        <v/>
      </c>
      <c r="D558" s="3" t="str">
        <f>IF('[1]0.1 Produksi Pangan &amp; Penduduk'!D559="","",'[1]0.1 Produksi Pangan &amp; Penduduk'!D559)</f>
        <v/>
      </c>
      <c r="E558" s="3" t="str">
        <f>IF('[1]0.1 Produksi Pangan &amp; Penduduk'!E559="","",'[1]0.1 Produksi Pangan &amp; Penduduk'!E559)</f>
        <v/>
      </c>
      <c r="F558" s="59" t="str">
        <f>IF(D558="","",VLOOKUP(D558,'[1]0.1 Produksi Pangan &amp; Penduduk'!$D$5:$J$860,7,0))</f>
        <v/>
      </c>
      <c r="G558" s="27" t="str">
        <f t="shared" si="80"/>
        <v/>
      </c>
      <c r="H558" s="27" t="str">
        <f t="shared" si="81"/>
        <v/>
      </c>
      <c r="I558" s="27" t="str">
        <f t="shared" si="82"/>
        <v/>
      </c>
      <c r="J558" s="27" t="str">
        <f t="shared" si="83"/>
        <v/>
      </c>
      <c r="K558" s="27" t="str">
        <f t="shared" si="84"/>
        <v/>
      </c>
      <c r="L558" s="59" t="str">
        <f>IF(D558="","",VLOOKUP(D558,'[1]0.1 Produksi Pangan &amp; Penduduk'!$D$5:$M$860,10,0))</f>
        <v/>
      </c>
      <c r="M558" s="28" t="str">
        <f t="shared" si="85"/>
        <v/>
      </c>
      <c r="N558" s="60" t="str">
        <f t="shared" si="86"/>
        <v/>
      </c>
      <c r="O558" s="60" t="str">
        <f t="shared" si="87"/>
        <v/>
      </c>
      <c r="P558" s="60" t="str">
        <f t="shared" si="88"/>
        <v/>
      </c>
      <c r="Q558" s="28" t="str">
        <f t="shared" si="89"/>
        <v/>
      </c>
    </row>
    <row r="559" spans="1:17" ht="15" x14ac:dyDescent="0.25">
      <c r="A559" s="3" t="str">
        <f>IF('[1]0.1 Produksi Pangan &amp; Penduduk'!A560="","",'[1]0.1 Produksi Pangan &amp; Penduduk'!A560)</f>
        <v/>
      </c>
      <c r="B559" s="2" t="str">
        <f>IF('[1]0.1 Produksi Pangan &amp; Penduduk'!B560="","",'[1]0.1 Produksi Pangan &amp; Penduduk'!B560)</f>
        <v/>
      </c>
      <c r="C559" s="2" t="str">
        <f>IF('[1]0.1 Produksi Pangan &amp; Penduduk'!F560="","",'[1]0.1 Produksi Pangan &amp; Penduduk'!F560)</f>
        <v/>
      </c>
      <c r="D559" s="3" t="str">
        <f>IF('[1]0.1 Produksi Pangan &amp; Penduduk'!D560="","",'[1]0.1 Produksi Pangan &amp; Penduduk'!D560)</f>
        <v/>
      </c>
      <c r="E559" s="3" t="str">
        <f>IF('[1]0.1 Produksi Pangan &amp; Penduduk'!E560="","",'[1]0.1 Produksi Pangan &amp; Penduduk'!E560)</f>
        <v/>
      </c>
      <c r="F559" s="59" t="str">
        <f>IF(D559="","",VLOOKUP(D559,'[1]0.1 Produksi Pangan &amp; Penduduk'!$D$5:$J$860,7,0))</f>
        <v/>
      </c>
      <c r="G559" s="27" t="str">
        <f t="shared" si="80"/>
        <v/>
      </c>
      <c r="H559" s="27" t="str">
        <f t="shared" si="81"/>
        <v/>
      </c>
      <c r="I559" s="27" t="str">
        <f t="shared" si="82"/>
        <v/>
      </c>
      <c r="J559" s="27" t="str">
        <f t="shared" si="83"/>
        <v/>
      </c>
      <c r="K559" s="27" t="str">
        <f t="shared" si="84"/>
        <v/>
      </c>
      <c r="L559" s="59" t="str">
        <f>IF(D559="","",VLOOKUP(D559,'[1]0.1 Produksi Pangan &amp; Penduduk'!$D$5:$M$860,10,0))</f>
        <v/>
      </c>
      <c r="M559" s="28" t="str">
        <f t="shared" si="85"/>
        <v/>
      </c>
      <c r="N559" s="60" t="str">
        <f t="shared" si="86"/>
        <v/>
      </c>
      <c r="O559" s="60" t="str">
        <f t="shared" si="87"/>
        <v/>
      </c>
      <c r="P559" s="60" t="str">
        <f t="shared" si="88"/>
        <v/>
      </c>
      <c r="Q559" s="28" t="str">
        <f t="shared" si="89"/>
        <v/>
      </c>
    </row>
    <row r="560" spans="1:17" ht="15" x14ac:dyDescent="0.25">
      <c r="A560" s="3" t="str">
        <f>IF('[1]0.1 Produksi Pangan &amp; Penduduk'!A561="","",'[1]0.1 Produksi Pangan &amp; Penduduk'!A561)</f>
        <v/>
      </c>
      <c r="B560" s="2" t="str">
        <f>IF('[1]0.1 Produksi Pangan &amp; Penduduk'!B561="","",'[1]0.1 Produksi Pangan &amp; Penduduk'!B561)</f>
        <v/>
      </c>
      <c r="C560" s="2" t="str">
        <f>IF('[1]0.1 Produksi Pangan &amp; Penduduk'!F561="","",'[1]0.1 Produksi Pangan &amp; Penduduk'!F561)</f>
        <v/>
      </c>
      <c r="D560" s="3" t="str">
        <f>IF('[1]0.1 Produksi Pangan &amp; Penduduk'!D561="","",'[1]0.1 Produksi Pangan &amp; Penduduk'!D561)</f>
        <v/>
      </c>
      <c r="E560" s="3" t="str">
        <f>IF('[1]0.1 Produksi Pangan &amp; Penduduk'!E561="","",'[1]0.1 Produksi Pangan &amp; Penduduk'!E561)</f>
        <v/>
      </c>
      <c r="F560" s="59" t="str">
        <f>IF(D560="","",VLOOKUP(D560,'[1]0.1 Produksi Pangan &amp; Penduduk'!$D$5:$J$860,7,0))</f>
        <v/>
      </c>
      <c r="G560" s="27" t="str">
        <f t="shared" si="80"/>
        <v/>
      </c>
      <c r="H560" s="27" t="str">
        <f t="shared" si="81"/>
        <v/>
      </c>
      <c r="I560" s="27" t="str">
        <f t="shared" si="82"/>
        <v/>
      </c>
      <c r="J560" s="27" t="str">
        <f t="shared" si="83"/>
        <v/>
      </c>
      <c r="K560" s="27" t="str">
        <f t="shared" si="84"/>
        <v/>
      </c>
      <c r="L560" s="59" t="str">
        <f>IF(D560="","",VLOOKUP(D560,'[1]0.1 Produksi Pangan &amp; Penduduk'!$D$5:$M$860,10,0))</f>
        <v/>
      </c>
      <c r="M560" s="28" t="str">
        <f t="shared" si="85"/>
        <v/>
      </c>
      <c r="N560" s="60" t="str">
        <f t="shared" si="86"/>
        <v/>
      </c>
      <c r="O560" s="60" t="str">
        <f t="shared" si="87"/>
        <v/>
      </c>
      <c r="P560" s="60" t="str">
        <f t="shared" si="88"/>
        <v/>
      </c>
      <c r="Q560" s="28" t="str">
        <f t="shared" si="89"/>
        <v/>
      </c>
    </row>
    <row r="561" spans="1:17" ht="15" x14ac:dyDescent="0.25">
      <c r="A561" s="3" t="str">
        <f>IF('[1]0.1 Produksi Pangan &amp; Penduduk'!A562="","",'[1]0.1 Produksi Pangan &amp; Penduduk'!A562)</f>
        <v/>
      </c>
      <c r="B561" s="2" t="str">
        <f>IF('[1]0.1 Produksi Pangan &amp; Penduduk'!B562="","",'[1]0.1 Produksi Pangan &amp; Penduduk'!B562)</f>
        <v/>
      </c>
      <c r="C561" s="2" t="str">
        <f>IF('[1]0.1 Produksi Pangan &amp; Penduduk'!F562="","",'[1]0.1 Produksi Pangan &amp; Penduduk'!F562)</f>
        <v/>
      </c>
      <c r="D561" s="3" t="str">
        <f>IF('[1]0.1 Produksi Pangan &amp; Penduduk'!D562="","",'[1]0.1 Produksi Pangan &amp; Penduduk'!D562)</f>
        <v/>
      </c>
      <c r="E561" s="3" t="str">
        <f>IF('[1]0.1 Produksi Pangan &amp; Penduduk'!E562="","",'[1]0.1 Produksi Pangan &amp; Penduduk'!E562)</f>
        <v/>
      </c>
      <c r="F561" s="59" t="str">
        <f>IF(D561="","",VLOOKUP(D561,'[1]0.1 Produksi Pangan &amp; Penduduk'!$D$5:$J$860,7,0))</f>
        <v/>
      </c>
      <c r="G561" s="27" t="str">
        <f t="shared" si="80"/>
        <v/>
      </c>
      <c r="H561" s="27" t="str">
        <f t="shared" si="81"/>
        <v/>
      </c>
      <c r="I561" s="27" t="str">
        <f t="shared" si="82"/>
        <v/>
      </c>
      <c r="J561" s="27" t="str">
        <f t="shared" si="83"/>
        <v/>
      </c>
      <c r="K561" s="27" t="str">
        <f t="shared" si="84"/>
        <v/>
      </c>
      <c r="L561" s="59" t="str">
        <f>IF(D561="","",VLOOKUP(D561,'[1]0.1 Produksi Pangan &amp; Penduduk'!$D$5:$M$860,10,0))</f>
        <v/>
      </c>
      <c r="M561" s="28" t="str">
        <f t="shared" si="85"/>
        <v/>
      </c>
      <c r="N561" s="60" t="str">
        <f t="shared" si="86"/>
        <v/>
      </c>
      <c r="O561" s="60" t="str">
        <f t="shared" si="87"/>
        <v/>
      </c>
      <c r="P561" s="60" t="str">
        <f t="shared" si="88"/>
        <v/>
      </c>
      <c r="Q561" s="28" t="str">
        <f t="shared" si="89"/>
        <v/>
      </c>
    </row>
    <row r="562" spans="1:17" ht="15" x14ac:dyDescent="0.25">
      <c r="A562" s="3" t="str">
        <f>IF('[1]0.1 Produksi Pangan &amp; Penduduk'!A563="","",'[1]0.1 Produksi Pangan &amp; Penduduk'!A563)</f>
        <v/>
      </c>
      <c r="B562" s="2" t="str">
        <f>IF('[1]0.1 Produksi Pangan &amp; Penduduk'!B563="","",'[1]0.1 Produksi Pangan &amp; Penduduk'!B563)</f>
        <v/>
      </c>
      <c r="C562" s="2" t="str">
        <f>IF('[1]0.1 Produksi Pangan &amp; Penduduk'!F563="","",'[1]0.1 Produksi Pangan &amp; Penduduk'!F563)</f>
        <v/>
      </c>
      <c r="D562" s="3" t="str">
        <f>IF('[1]0.1 Produksi Pangan &amp; Penduduk'!D563="","",'[1]0.1 Produksi Pangan &amp; Penduduk'!D563)</f>
        <v/>
      </c>
      <c r="E562" s="3" t="str">
        <f>IF('[1]0.1 Produksi Pangan &amp; Penduduk'!E563="","",'[1]0.1 Produksi Pangan &amp; Penduduk'!E563)</f>
        <v/>
      </c>
      <c r="F562" s="59" t="str">
        <f>IF(D562="","",VLOOKUP(D562,'[1]0.1 Produksi Pangan &amp; Penduduk'!$D$5:$J$860,7,0))</f>
        <v/>
      </c>
      <c r="G562" s="27" t="str">
        <f t="shared" si="80"/>
        <v/>
      </c>
      <c r="H562" s="27" t="str">
        <f t="shared" si="81"/>
        <v/>
      </c>
      <c r="I562" s="27" t="str">
        <f t="shared" si="82"/>
        <v/>
      </c>
      <c r="J562" s="27" t="str">
        <f t="shared" si="83"/>
        <v/>
      </c>
      <c r="K562" s="27" t="str">
        <f t="shared" si="84"/>
        <v/>
      </c>
      <c r="L562" s="59" t="str">
        <f>IF(D562="","",VLOOKUP(D562,'[1]0.1 Produksi Pangan &amp; Penduduk'!$D$5:$M$860,10,0))</f>
        <v/>
      </c>
      <c r="M562" s="28" t="str">
        <f t="shared" si="85"/>
        <v/>
      </c>
      <c r="N562" s="60" t="str">
        <f t="shared" si="86"/>
        <v/>
      </c>
      <c r="O562" s="60" t="str">
        <f t="shared" si="87"/>
        <v/>
      </c>
      <c r="P562" s="60" t="str">
        <f t="shared" si="88"/>
        <v/>
      </c>
      <c r="Q562" s="28" t="str">
        <f t="shared" si="89"/>
        <v/>
      </c>
    </row>
    <row r="563" spans="1:17" ht="15" x14ac:dyDescent="0.25">
      <c r="A563" s="3" t="str">
        <f>IF('[1]0.1 Produksi Pangan &amp; Penduduk'!A564="","",'[1]0.1 Produksi Pangan &amp; Penduduk'!A564)</f>
        <v/>
      </c>
      <c r="B563" s="2" t="str">
        <f>IF('[1]0.1 Produksi Pangan &amp; Penduduk'!B564="","",'[1]0.1 Produksi Pangan &amp; Penduduk'!B564)</f>
        <v/>
      </c>
      <c r="C563" s="2" t="str">
        <f>IF('[1]0.1 Produksi Pangan &amp; Penduduk'!F564="","",'[1]0.1 Produksi Pangan &amp; Penduduk'!F564)</f>
        <v/>
      </c>
      <c r="D563" s="3" t="str">
        <f>IF('[1]0.1 Produksi Pangan &amp; Penduduk'!D564="","",'[1]0.1 Produksi Pangan &amp; Penduduk'!D564)</f>
        <v/>
      </c>
      <c r="E563" s="3" t="str">
        <f>IF('[1]0.1 Produksi Pangan &amp; Penduduk'!E564="","",'[1]0.1 Produksi Pangan &amp; Penduduk'!E564)</f>
        <v/>
      </c>
      <c r="F563" s="59" t="str">
        <f>IF(D563="","",VLOOKUP(D563,'[1]0.1 Produksi Pangan &amp; Penduduk'!$D$5:$J$860,7,0))</f>
        <v/>
      </c>
      <c r="G563" s="27" t="str">
        <f t="shared" si="80"/>
        <v/>
      </c>
      <c r="H563" s="27" t="str">
        <f t="shared" si="81"/>
        <v/>
      </c>
      <c r="I563" s="27" t="str">
        <f t="shared" si="82"/>
        <v/>
      </c>
      <c r="J563" s="27" t="str">
        <f t="shared" si="83"/>
        <v/>
      </c>
      <c r="K563" s="27" t="str">
        <f t="shared" si="84"/>
        <v/>
      </c>
      <c r="L563" s="59" t="str">
        <f>IF(D563="","",VLOOKUP(D563,'[1]0.1 Produksi Pangan &amp; Penduduk'!$D$5:$M$860,10,0))</f>
        <v/>
      </c>
      <c r="M563" s="28" t="str">
        <f t="shared" si="85"/>
        <v/>
      </c>
      <c r="N563" s="60" t="str">
        <f t="shared" si="86"/>
        <v/>
      </c>
      <c r="O563" s="60" t="str">
        <f t="shared" si="87"/>
        <v/>
      </c>
      <c r="P563" s="60" t="str">
        <f t="shared" si="88"/>
        <v/>
      </c>
      <c r="Q563" s="28" t="str">
        <f t="shared" si="89"/>
        <v/>
      </c>
    </row>
    <row r="564" spans="1:17" ht="15" x14ac:dyDescent="0.25">
      <c r="A564" s="3" t="str">
        <f>IF('[1]0.1 Produksi Pangan &amp; Penduduk'!A565="","",'[1]0.1 Produksi Pangan &amp; Penduduk'!A565)</f>
        <v/>
      </c>
      <c r="B564" s="2" t="str">
        <f>IF('[1]0.1 Produksi Pangan &amp; Penduduk'!B565="","",'[1]0.1 Produksi Pangan &amp; Penduduk'!B565)</f>
        <v/>
      </c>
      <c r="C564" s="2" t="str">
        <f>IF('[1]0.1 Produksi Pangan &amp; Penduduk'!F565="","",'[1]0.1 Produksi Pangan &amp; Penduduk'!F565)</f>
        <v/>
      </c>
      <c r="D564" s="3" t="str">
        <f>IF('[1]0.1 Produksi Pangan &amp; Penduduk'!D565="","",'[1]0.1 Produksi Pangan &amp; Penduduk'!D565)</f>
        <v/>
      </c>
      <c r="E564" s="3" t="str">
        <f>IF('[1]0.1 Produksi Pangan &amp; Penduduk'!E565="","",'[1]0.1 Produksi Pangan &amp; Penduduk'!E565)</f>
        <v/>
      </c>
      <c r="F564" s="59" t="str">
        <f>IF(D564="","",VLOOKUP(D564,'[1]0.1 Produksi Pangan &amp; Penduduk'!$D$5:$J$860,7,0))</f>
        <v/>
      </c>
      <c r="G564" s="27" t="str">
        <f t="shared" si="80"/>
        <v/>
      </c>
      <c r="H564" s="27" t="str">
        <f t="shared" si="81"/>
        <v/>
      </c>
      <c r="I564" s="27" t="str">
        <f t="shared" si="82"/>
        <v/>
      </c>
      <c r="J564" s="27" t="str">
        <f t="shared" si="83"/>
        <v/>
      </c>
      <c r="K564" s="27" t="str">
        <f t="shared" si="84"/>
        <v/>
      </c>
      <c r="L564" s="59" t="str">
        <f>IF(D564="","",VLOOKUP(D564,'[1]0.1 Produksi Pangan &amp; Penduduk'!$D$5:$M$860,10,0))</f>
        <v/>
      </c>
      <c r="M564" s="28" t="str">
        <f t="shared" si="85"/>
        <v/>
      </c>
      <c r="N564" s="60" t="str">
        <f t="shared" si="86"/>
        <v/>
      </c>
      <c r="O564" s="60" t="str">
        <f t="shared" si="87"/>
        <v/>
      </c>
      <c r="P564" s="60" t="str">
        <f t="shared" si="88"/>
        <v/>
      </c>
      <c r="Q564" s="28" t="str">
        <f t="shared" si="89"/>
        <v/>
      </c>
    </row>
    <row r="565" spans="1:17" ht="15" x14ac:dyDescent="0.25">
      <c r="A565" s="3" t="str">
        <f>IF('[1]0.1 Produksi Pangan &amp; Penduduk'!A566="","",'[1]0.1 Produksi Pangan &amp; Penduduk'!A566)</f>
        <v/>
      </c>
      <c r="B565" s="2" t="str">
        <f>IF('[1]0.1 Produksi Pangan &amp; Penduduk'!B566="","",'[1]0.1 Produksi Pangan &amp; Penduduk'!B566)</f>
        <v/>
      </c>
      <c r="C565" s="2" t="str">
        <f>IF('[1]0.1 Produksi Pangan &amp; Penduduk'!F566="","",'[1]0.1 Produksi Pangan &amp; Penduduk'!F566)</f>
        <v/>
      </c>
      <c r="D565" s="3" t="str">
        <f>IF('[1]0.1 Produksi Pangan &amp; Penduduk'!D566="","",'[1]0.1 Produksi Pangan &amp; Penduduk'!D566)</f>
        <v/>
      </c>
      <c r="E565" s="3" t="str">
        <f>IF('[1]0.1 Produksi Pangan &amp; Penduduk'!E566="","",'[1]0.1 Produksi Pangan &amp; Penduduk'!E566)</f>
        <v/>
      </c>
      <c r="F565" s="59" t="str">
        <f>IF(D565="","",VLOOKUP(D565,'[1]0.1 Produksi Pangan &amp; Penduduk'!$D$5:$J$860,7,0))</f>
        <v/>
      </c>
      <c r="G565" s="27" t="str">
        <f t="shared" si="80"/>
        <v/>
      </c>
      <c r="H565" s="27" t="str">
        <f t="shared" si="81"/>
        <v/>
      </c>
      <c r="I565" s="27" t="str">
        <f t="shared" si="82"/>
        <v/>
      </c>
      <c r="J565" s="27" t="str">
        <f t="shared" si="83"/>
        <v/>
      </c>
      <c r="K565" s="27" t="str">
        <f t="shared" si="84"/>
        <v/>
      </c>
      <c r="L565" s="59" t="str">
        <f>IF(D565="","",VLOOKUP(D565,'[1]0.1 Produksi Pangan &amp; Penduduk'!$D$5:$M$860,10,0))</f>
        <v/>
      </c>
      <c r="M565" s="28" t="str">
        <f t="shared" si="85"/>
        <v/>
      </c>
      <c r="N565" s="60" t="str">
        <f t="shared" si="86"/>
        <v/>
      </c>
      <c r="O565" s="60" t="str">
        <f t="shared" si="87"/>
        <v/>
      </c>
      <c r="P565" s="60" t="str">
        <f t="shared" si="88"/>
        <v/>
      </c>
      <c r="Q565" s="28" t="str">
        <f t="shared" si="89"/>
        <v/>
      </c>
    </row>
    <row r="566" spans="1:17" ht="15" x14ac:dyDescent="0.25">
      <c r="A566" s="3" t="str">
        <f>IF('[1]0.1 Produksi Pangan &amp; Penduduk'!A567="","",'[1]0.1 Produksi Pangan &amp; Penduduk'!A567)</f>
        <v/>
      </c>
      <c r="B566" s="2" t="str">
        <f>IF('[1]0.1 Produksi Pangan &amp; Penduduk'!B567="","",'[1]0.1 Produksi Pangan &amp; Penduduk'!B567)</f>
        <v/>
      </c>
      <c r="C566" s="2" t="str">
        <f>IF('[1]0.1 Produksi Pangan &amp; Penduduk'!F567="","",'[1]0.1 Produksi Pangan &amp; Penduduk'!F567)</f>
        <v/>
      </c>
      <c r="D566" s="3" t="str">
        <f>IF('[1]0.1 Produksi Pangan &amp; Penduduk'!D567="","",'[1]0.1 Produksi Pangan &amp; Penduduk'!D567)</f>
        <v/>
      </c>
      <c r="E566" s="3" t="str">
        <f>IF('[1]0.1 Produksi Pangan &amp; Penduduk'!E567="","",'[1]0.1 Produksi Pangan &amp; Penduduk'!E567)</f>
        <v/>
      </c>
      <c r="F566" s="59" t="str">
        <f>IF(D566="","",VLOOKUP(D566,'[1]0.1 Produksi Pangan &amp; Penduduk'!$D$5:$J$860,7,0))</f>
        <v/>
      </c>
      <c r="G566" s="27" t="str">
        <f t="shared" si="80"/>
        <v/>
      </c>
      <c r="H566" s="27" t="str">
        <f t="shared" si="81"/>
        <v/>
      </c>
      <c r="I566" s="27" t="str">
        <f t="shared" si="82"/>
        <v/>
      </c>
      <c r="J566" s="27" t="str">
        <f t="shared" si="83"/>
        <v/>
      </c>
      <c r="K566" s="27" t="str">
        <f t="shared" si="84"/>
        <v/>
      </c>
      <c r="L566" s="59" t="str">
        <f>IF(D566="","",VLOOKUP(D566,'[1]0.1 Produksi Pangan &amp; Penduduk'!$D$5:$M$860,10,0))</f>
        <v/>
      </c>
      <c r="M566" s="28" t="str">
        <f t="shared" si="85"/>
        <v/>
      </c>
      <c r="N566" s="60" t="str">
        <f t="shared" si="86"/>
        <v/>
      </c>
      <c r="O566" s="60" t="str">
        <f t="shared" si="87"/>
        <v/>
      </c>
      <c r="P566" s="60" t="str">
        <f t="shared" si="88"/>
        <v/>
      </c>
      <c r="Q566" s="28" t="str">
        <f t="shared" si="89"/>
        <v/>
      </c>
    </row>
    <row r="567" spans="1:17" ht="15" x14ac:dyDescent="0.25">
      <c r="A567" s="3" t="str">
        <f>IF('[1]0.1 Produksi Pangan &amp; Penduduk'!A568="","",'[1]0.1 Produksi Pangan &amp; Penduduk'!A568)</f>
        <v/>
      </c>
      <c r="B567" s="2" t="str">
        <f>IF('[1]0.1 Produksi Pangan &amp; Penduduk'!B568="","",'[1]0.1 Produksi Pangan &amp; Penduduk'!B568)</f>
        <v/>
      </c>
      <c r="C567" s="2" t="str">
        <f>IF('[1]0.1 Produksi Pangan &amp; Penduduk'!F568="","",'[1]0.1 Produksi Pangan &amp; Penduduk'!F568)</f>
        <v/>
      </c>
      <c r="D567" s="3" t="str">
        <f>IF('[1]0.1 Produksi Pangan &amp; Penduduk'!D568="","",'[1]0.1 Produksi Pangan &amp; Penduduk'!D568)</f>
        <v/>
      </c>
      <c r="E567" s="3" t="str">
        <f>IF('[1]0.1 Produksi Pangan &amp; Penduduk'!E568="","",'[1]0.1 Produksi Pangan &amp; Penduduk'!E568)</f>
        <v/>
      </c>
      <c r="F567" s="59" t="str">
        <f>IF(D567="","",VLOOKUP(D567,'[1]0.1 Produksi Pangan &amp; Penduduk'!$D$5:$J$860,7,0))</f>
        <v/>
      </c>
      <c r="G567" s="27" t="str">
        <f t="shared" si="80"/>
        <v/>
      </c>
      <c r="H567" s="27" t="str">
        <f t="shared" si="81"/>
        <v/>
      </c>
      <c r="I567" s="27" t="str">
        <f t="shared" si="82"/>
        <v/>
      </c>
      <c r="J567" s="27" t="str">
        <f t="shared" si="83"/>
        <v/>
      </c>
      <c r="K567" s="27" t="str">
        <f t="shared" si="84"/>
        <v/>
      </c>
      <c r="L567" s="59" t="str">
        <f>IF(D567="","",VLOOKUP(D567,'[1]0.1 Produksi Pangan &amp; Penduduk'!$D$5:$M$860,10,0))</f>
        <v/>
      </c>
      <c r="M567" s="28" t="str">
        <f t="shared" si="85"/>
        <v/>
      </c>
      <c r="N567" s="60" t="str">
        <f t="shared" si="86"/>
        <v/>
      </c>
      <c r="O567" s="60" t="str">
        <f t="shared" si="87"/>
        <v/>
      </c>
      <c r="P567" s="60" t="str">
        <f t="shared" si="88"/>
        <v/>
      </c>
      <c r="Q567" s="28" t="str">
        <f t="shared" si="89"/>
        <v/>
      </c>
    </row>
    <row r="568" spans="1:17" ht="15" x14ac:dyDescent="0.25">
      <c r="A568" s="3" t="str">
        <f>IF('[1]0.1 Produksi Pangan &amp; Penduduk'!A569="","",'[1]0.1 Produksi Pangan &amp; Penduduk'!A569)</f>
        <v/>
      </c>
      <c r="B568" s="2" t="str">
        <f>IF('[1]0.1 Produksi Pangan &amp; Penduduk'!B569="","",'[1]0.1 Produksi Pangan &amp; Penduduk'!B569)</f>
        <v/>
      </c>
      <c r="C568" s="2" t="str">
        <f>IF('[1]0.1 Produksi Pangan &amp; Penduduk'!F569="","",'[1]0.1 Produksi Pangan &amp; Penduduk'!F569)</f>
        <v/>
      </c>
      <c r="D568" s="3" t="str">
        <f>IF('[1]0.1 Produksi Pangan &amp; Penduduk'!D569="","",'[1]0.1 Produksi Pangan &amp; Penduduk'!D569)</f>
        <v/>
      </c>
      <c r="E568" s="3" t="str">
        <f>IF('[1]0.1 Produksi Pangan &amp; Penduduk'!E569="","",'[1]0.1 Produksi Pangan &amp; Penduduk'!E569)</f>
        <v/>
      </c>
      <c r="F568" s="59" t="str">
        <f>IF(D568="","",VLOOKUP(D568,'[1]0.1 Produksi Pangan &amp; Penduduk'!$D$5:$J$860,7,0))</f>
        <v/>
      </c>
      <c r="G568" s="27" t="str">
        <f t="shared" si="80"/>
        <v/>
      </c>
      <c r="H568" s="27" t="str">
        <f t="shared" si="81"/>
        <v/>
      </c>
      <c r="I568" s="27" t="str">
        <f t="shared" si="82"/>
        <v/>
      </c>
      <c r="J568" s="27" t="str">
        <f t="shared" si="83"/>
        <v/>
      </c>
      <c r="K568" s="27" t="str">
        <f t="shared" si="84"/>
        <v/>
      </c>
      <c r="L568" s="59" t="str">
        <f>IF(D568="","",VLOOKUP(D568,'[1]0.1 Produksi Pangan &amp; Penduduk'!$D$5:$M$860,10,0))</f>
        <v/>
      </c>
      <c r="M568" s="28" t="str">
        <f t="shared" si="85"/>
        <v/>
      </c>
      <c r="N568" s="60" t="str">
        <f t="shared" si="86"/>
        <v/>
      </c>
      <c r="O568" s="60" t="str">
        <f t="shared" si="87"/>
        <v/>
      </c>
      <c r="P568" s="60" t="str">
        <f t="shared" si="88"/>
        <v/>
      </c>
      <c r="Q568" s="28" t="str">
        <f t="shared" si="89"/>
        <v/>
      </c>
    </row>
    <row r="569" spans="1:17" ht="15" x14ac:dyDescent="0.25">
      <c r="A569" s="3" t="str">
        <f>IF('[1]0.1 Produksi Pangan &amp; Penduduk'!A570="","",'[1]0.1 Produksi Pangan &amp; Penduduk'!A570)</f>
        <v/>
      </c>
      <c r="B569" s="2" t="str">
        <f>IF('[1]0.1 Produksi Pangan &amp; Penduduk'!B570="","",'[1]0.1 Produksi Pangan &amp; Penduduk'!B570)</f>
        <v/>
      </c>
      <c r="C569" s="2" t="str">
        <f>IF('[1]0.1 Produksi Pangan &amp; Penduduk'!F570="","",'[1]0.1 Produksi Pangan &amp; Penduduk'!F570)</f>
        <v/>
      </c>
      <c r="D569" s="3" t="str">
        <f>IF('[1]0.1 Produksi Pangan &amp; Penduduk'!D570="","",'[1]0.1 Produksi Pangan &amp; Penduduk'!D570)</f>
        <v/>
      </c>
      <c r="E569" s="3" t="str">
        <f>IF('[1]0.1 Produksi Pangan &amp; Penduduk'!E570="","",'[1]0.1 Produksi Pangan &amp; Penduduk'!E570)</f>
        <v/>
      </c>
      <c r="F569" s="59" t="str">
        <f>IF(D569="","",VLOOKUP(D569,'[1]0.1 Produksi Pangan &amp; Penduduk'!$D$5:$J$860,7,0))</f>
        <v/>
      </c>
      <c r="G569" s="27" t="str">
        <f t="shared" si="80"/>
        <v/>
      </c>
      <c r="H569" s="27" t="str">
        <f t="shared" si="81"/>
        <v/>
      </c>
      <c r="I569" s="27" t="str">
        <f t="shared" si="82"/>
        <v/>
      </c>
      <c r="J569" s="27" t="str">
        <f t="shared" si="83"/>
        <v/>
      </c>
      <c r="K569" s="27" t="str">
        <f t="shared" si="84"/>
        <v/>
      </c>
      <c r="L569" s="59" t="str">
        <f>IF(D569="","",VLOOKUP(D569,'[1]0.1 Produksi Pangan &amp; Penduduk'!$D$5:$M$860,10,0))</f>
        <v/>
      </c>
      <c r="M569" s="28" t="str">
        <f t="shared" si="85"/>
        <v/>
      </c>
      <c r="N569" s="60" t="str">
        <f t="shared" si="86"/>
        <v/>
      </c>
      <c r="O569" s="60" t="str">
        <f t="shared" si="87"/>
        <v/>
      </c>
      <c r="P569" s="60" t="str">
        <f t="shared" si="88"/>
        <v/>
      </c>
      <c r="Q569" s="28" t="str">
        <f t="shared" si="89"/>
        <v/>
      </c>
    </row>
    <row r="570" spans="1:17" ht="15" x14ac:dyDescent="0.25">
      <c r="A570" s="3" t="str">
        <f>IF('[1]0.1 Produksi Pangan &amp; Penduduk'!A571="","",'[1]0.1 Produksi Pangan &amp; Penduduk'!A571)</f>
        <v/>
      </c>
      <c r="B570" s="2" t="str">
        <f>IF('[1]0.1 Produksi Pangan &amp; Penduduk'!B571="","",'[1]0.1 Produksi Pangan &amp; Penduduk'!B571)</f>
        <v/>
      </c>
      <c r="C570" s="2" t="str">
        <f>IF('[1]0.1 Produksi Pangan &amp; Penduduk'!F571="","",'[1]0.1 Produksi Pangan &amp; Penduduk'!F571)</f>
        <v/>
      </c>
      <c r="D570" s="3" t="str">
        <f>IF('[1]0.1 Produksi Pangan &amp; Penduduk'!D571="","",'[1]0.1 Produksi Pangan &amp; Penduduk'!D571)</f>
        <v/>
      </c>
      <c r="E570" s="3" t="str">
        <f>IF('[1]0.1 Produksi Pangan &amp; Penduduk'!E571="","",'[1]0.1 Produksi Pangan &amp; Penduduk'!E571)</f>
        <v/>
      </c>
      <c r="F570" s="59" t="str">
        <f>IF(D570="","",VLOOKUP(D570,'[1]0.1 Produksi Pangan &amp; Penduduk'!$D$5:$J$860,7,0))</f>
        <v/>
      </c>
      <c r="G570" s="27" t="str">
        <f t="shared" si="80"/>
        <v/>
      </c>
      <c r="H570" s="27" t="str">
        <f t="shared" si="81"/>
        <v/>
      </c>
      <c r="I570" s="27" t="str">
        <f t="shared" si="82"/>
        <v/>
      </c>
      <c r="J570" s="27" t="str">
        <f t="shared" si="83"/>
        <v/>
      </c>
      <c r="K570" s="27" t="str">
        <f t="shared" si="84"/>
        <v/>
      </c>
      <c r="L570" s="59" t="str">
        <f>IF(D570="","",VLOOKUP(D570,'[1]0.1 Produksi Pangan &amp; Penduduk'!$D$5:$M$860,10,0))</f>
        <v/>
      </c>
      <c r="M570" s="28" t="str">
        <f t="shared" si="85"/>
        <v/>
      </c>
      <c r="N570" s="60" t="str">
        <f t="shared" si="86"/>
        <v/>
      </c>
      <c r="O570" s="60" t="str">
        <f t="shared" si="87"/>
        <v/>
      </c>
      <c r="P570" s="60" t="str">
        <f t="shared" si="88"/>
        <v/>
      </c>
      <c r="Q570" s="28" t="str">
        <f t="shared" si="89"/>
        <v/>
      </c>
    </row>
    <row r="571" spans="1:17" ht="15" x14ac:dyDescent="0.25">
      <c r="A571" s="3" t="str">
        <f>IF('[1]0.1 Produksi Pangan &amp; Penduduk'!A572="","",'[1]0.1 Produksi Pangan &amp; Penduduk'!A572)</f>
        <v/>
      </c>
      <c r="B571" s="2" t="str">
        <f>IF('[1]0.1 Produksi Pangan &amp; Penduduk'!B572="","",'[1]0.1 Produksi Pangan &amp; Penduduk'!B572)</f>
        <v/>
      </c>
      <c r="C571" s="2" t="str">
        <f>IF('[1]0.1 Produksi Pangan &amp; Penduduk'!F572="","",'[1]0.1 Produksi Pangan &amp; Penduduk'!F572)</f>
        <v/>
      </c>
      <c r="D571" s="3" t="str">
        <f>IF('[1]0.1 Produksi Pangan &amp; Penduduk'!D572="","",'[1]0.1 Produksi Pangan &amp; Penduduk'!D572)</f>
        <v/>
      </c>
      <c r="E571" s="3" t="str">
        <f>IF('[1]0.1 Produksi Pangan &amp; Penduduk'!E572="","",'[1]0.1 Produksi Pangan &amp; Penduduk'!E572)</f>
        <v/>
      </c>
      <c r="F571" s="59" t="str">
        <f>IF(D571="","",VLOOKUP(D571,'[1]0.1 Produksi Pangan &amp; Penduduk'!$D$5:$J$860,7,0))</f>
        <v/>
      </c>
      <c r="G571" s="27" t="str">
        <f t="shared" si="80"/>
        <v/>
      </c>
      <c r="H571" s="27" t="str">
        <f t="shared" si="81"/>
        <v/>
      </c>
      <c r="I571" s="27" t="str">
        <f t="shared" si="82"/>
        <v/>
      </c>
      <c r="J571" s="27" t="str">
        <f t="shared" si="83"/>
        <v/>
      </c>
      <c r="K571" s="27" t="str">
        <f t="shared" si="84"/>
        <v/>
      </c>
      <c r="L571" s="59" t="str">
        <f>IF(D571="","",VLOOKUP(D571,'[1]0.1 Produksi Pangan &amp; Penduduk'!$D$5:$M$860,10,0))</f>
        <v/>
      </c>
      <c r="M571" s="28" t="str">
        <f t="shared" si="85"/>
        <v/>
      </c>
      <c r="N571" s="60" t="str">
        <f t="shared" si="86"/>
        <v/>
      </c>
      <c r="O571" s="60" t="str">
        <f t="shared" si="87"/>
        <v/>
      </c>
      <c r="P571" s="60" t="str">
        <f t="shared" si="88"/>
        <v/>
      </c>
      <c r="Q571" s="28" t="str">
        <f t="shared" si="89"/>
        <v/>
      </c>
    </row>
    <row r="572" spans="1:17" ht="15" x14ac:dyDescent="0.25">
      <c r="A572" s="3" t="str">
        <f>IF('[1]0.1 Produksi Pangan &amp; Penduduk'!A573="","",'[1]0.1 Produksi Pangan &amp; Penduduk'!A573)</f>
        <v/>
      </c>
      <c r="B572" s="2" t="str">
        <f>IF('[1]0.1 Produksi Pangan &amp; Penduduk'!B573="","",'[1]0.1 Produksi Pangan &amp; Penduduk'!B573)</f>
        <v/>
      </c>
      <c r="C572" s="2" t="str">
        <f>IF('[1]0.1 Produksi Pangan &amp; Penduduk'!F573="","",'[1]0.1 Produksi Pangan &amp; Penduduk'!F573)</f>
        <v/>
      </c>
      <c r="D572" s="3" t="str">
        <f>IF('[1]0.1 Produksi Pangan &amp; Penduduk'!D573="","",'[1]0.1 Produksi Pangan &amp; Penduduk'!D573)</f>
        <v/>
      </c>
      <c r="E572" s="3" t="str">
        <f>IF('[1]0.1 Produksi Pangan &amp; Penduduk'!E573="","",'[1]0.1 Produksi Pangan &amp; Penduduk'!E573)</f>
        <v/>
      </c>
      <c r="F572" s="59" t="str">
        <f>IF(D572="","",VLOOKUP(D572,'[1]0.1 Produksi Pangan &amp; Penduduk'!$D$5:$J$860,7,0))</f>
        <v/>
      </c>
      <c r="G572" s="27" t="str">
        <f t="shared" si="80"/>
        <v/>
      </c>
      <c r="H572" s="27" t="str">
        <f t="shared" si="81"/>
        <v/>
      </c>
      <c r="I572" s="27" t="str">
        <f t="shared" si="82"/>
        <v/>
      </c>
      <c r="J572" s="27" t="str">
        <f t="shared" si="83"/>
        <v/>
      </c>
      <c r="K572" s="27" t="str">
        <f t="shared" si="84"/>
        <v/>
      </c>
      <c r="L572" s="59" t="str">
        <f>IF(D572="","",VLOOKUP(D572,'[1]0.1 Produksi Pangan &amp; Penduduk'!$D$5:$M$860,10,0))</f>
        <v/>
      </c>
      <c r="M572" s="28" t="str">
        <f t="shared" si="85"/>
        <v/>
      </c>
      <c r="N572" s="60" t="str">
        <f t="shared" si="86"/>
        <v/>
      </c>
      <c r="O572" s="60" t="str">
        <f t="shared" si="87"/>
        <v/>
      </c>
      <c r="P572" s="60" t="str">
        <f t="shared" si="88"/>
        <v/>
      </c>
      <c r="Q572" s="28" t="str">
        <f t="shared" si="89"/>
        <v/>
      </c>
    </row>
    <row r="573" spans="1:17" ht="15" x14ac:dyDescent="0.25">
      <c r="A573" s="3" t="str">
        <f>IF('[1]0.1 Produksi Pangan &amp; Penduduk'!A574="","",'[1]0.1 Produksi Pangan &amp; Penduduk'!A574)</f>
        <v/>
      </c>
      <c r="B573" s="2" t="str">
        <f>IF('[1]0.1 Produksi Pangan &amp; Penduduk'!B574="","",'[1]0.1 Produksi Pangan &amp; Penduduk'!B574)</f>
        <v/>
      </c>
      <c r="C573" s="2" t="str">
        <f>IF('[1]0.1 Produksi Pangan &amp; Penduduk'!F574="","",'[1]0.1 Produksi Pangan &amp; Penduduk'!F574)</f>
        <v/>
      </c>
      <c r="D573" s="3" t="str">
        <f>IF('[1]0.1 Produksi Pangan &amp; Penduduk'!D574="","",'[1]0.1 Produksi Pangan &amp; Penduduk'!D574)</f>
        <v/>
      </c>
      <c r="E573" s="3" t="str">
        <f>IF('[1]0.1 Produksi Pangan &amp; Penduduk'!E574="","",'[1]0.1 Produksi Pangan &amp; Penduduk'!E574)</f>
        <v/>
      </c>
      <c r="F573" s="59" t="str">
        <f>IF(D573="","",VLOOKUP(D573,'[1]0.1 Produksi Pangan &amp; Penduduk'!$D$5:$J$860,7,0))</f>
        <v/>
      </c>
      <c r="G573" s="27" t="str">
        <f t="shared" si="80"/>
        <v/>
      </c>
      <c r="H573" s="27" t="str">
        <f t="shared" si="81"/>
        <v/>
      </c>
      <c r="I573" s="27" t="str">
        <f t="shared" si="82"/>
        <v/>
      </c>
      <c r="J573" s="27" t="str">
        <f t="shared" si="83"/>
        <v/>
      </c>
      <c r="K573" s="27" t="str">
        <f t="shared" si="84"/>
        <v/>
      </c>
      <c r="L573" s="59" t="str">
        <f>IF(D573="","",VLOOKUP(D573,'[1]0.1 Produksi Pangan &amp; Penduduk'!$D$5:$M$860,10,0))</f>
        <v/>
      </c>
      <c r="M573" s="28" t="str">
        <f t="shared" si="85"/>
        <v/>
      </c>
      <c r="N573" s="60" t="str">
        <f t="shared" si="86"/>
        <v/>
      </c>
      <c r="O573" s="60" t="str">
        <f t="shared" si="87"/>
        <v/>
      </c>
      <c r="P573" s="60" t="str">
        <f t="shared" si="88"/>
        <v/>
      </c>
      <c r="Q573" s="28" t="str">
        <f t="shared" si="89"/>
        <v/>
      </c>
    </row>
    <row r="574" spans="1:17" ht="15" x14ac:dyDescent="0.25">
      <c r="A574" s="3" t="str">
        <f>IF('[1]0.1 Produksi Pangan &amp; Penduduk'!A575="","",'[1]0.1 Produksi Pangan &amp; Penduduk'!A575)</f>
        <v/>
      </c>
      <c r="B574" s="2" t="str">
        <f>IF('[1]0.1 Produksi Pangan &amp; Penduduk'!B575="","",'[1]0.1 Produksi Pangan &amp; Penduduk'!B575)</f>
        <v/>
      </c>
      <c r="C574" s="2" t="str">
        <f>IF('[1]0.1 Produksi Pangan &amp; Penduduk'!F575="","",'[1]0.1 Produksi Pangan &amp; Penduduk'!F575)</f>
        <v/>
      </c>
      <c r="D574" s="3" t="str">
        <f>IF('[1]0.1 Produksi Pangan &amp; Penduduk'!D575="","",'[1]0.1 Produksi Pangan &amp; Penduduk'!D575)</f>
        <v/>
      </c>
      <c r="E574" s="3" t="str">
        <f>IF('[1]0.1 Produksi Pangan &amp; Penduduk'!E575="","",'[1]0.1 Produksi Pangan &amp; Penduduk'!E575)</f>
        <v/>
      </c>
      <c r="F574" s="59" t="str">
        <f>IF(D574="","",VLOOKUP(D574,'[1]0.1 Produksi Pangan &amp; Penduduk'!$D$5:$J$860,7,0))</f>
        <v/>
      </c>
      <c r="G574" s="27" t="str">
        <f t="shared" si="80"/>
        <v/>
      </c>
      <c r="H574" s="27" t="str">
        <f t="shared" si="81"/>
        <v/>
      </c>
      <c r="I574" s="27" t="str">
        <f t="shared" si="82"/>
        <v/>
      </c>
      <c r="J574" s="27" t="str">
        <f t="shared" si="83"/>
        <v/>
      </c>
      <c r="K574" s="27" t="str">
        <f t="shared" si="84"/>
        <v/>
      </c>
      <c r="L574" s="59" t="str">
        <f>IF(D574="","",VLOOKUP(D574,'[1]0.1 Produksi Pangan &amp; Penduduk'!$D$5:$M$860,10,0))</f>
        <v/>
      </c>
      <c r="M574" s="28" t="str">
        <f t="shared" si="85"/>
        <v/>
      </c>
      <c r="N574" s="60" t="str">
        <f t="shared" si="86"/>
        <v/>
      </c>
      <c r="O574" s="60" t="str">
        <f t="shared" si="87"/>
        <v/>
      </c>
      <c r="P574" s="60" t="str">
        <f t="shared" si="88"/>
        <v/>
      </c>
      <c r="Q574" s="28" t="str">
        <f t="shared" si="89"/>
        <v/>
      </c>
    </row>
    <row r="575" spans="1:17" ht="15" x14ac:dyDescent="0.25">
      <c r="A575" s="3" t="str">
        <f>IF('[1]0.1 Produksi Pangan &amp; Penduduk'!A576="","",'[1]0.1 Produksi Pangan &amp; Penduduk'!A576)</f>
        <v/>
      </c>
      <c r="B575" s="2" t="str">
        <f>IF('[1]0.1 Produksi Pangan &amp; Penduduk'!B576="","",'[1]0.1 Produksi Pangan &amp; Penduduk'!B576)</f>
        <v/>
      </c>
      <c r="C575" s="2" t="str">
        <f>IF('[1]0.1 Produksi Pangan &amp; Penduduk'!F576="","",'[1]0.1 Produksi Pangan &amp; Penduduk'!F576)</f>
        <v/>
      </c>
      <c r="D575" s="3" t="str">
        <f>IF('[1]0.1 Produksi Pangan &amp; Penduduk'!D576="","",'[1]0.1 Produksi Pangan &amp; Penduduk'!D576)</f>
        <v/>
      </c>
      <c r="E575" s="3" t="str">
        <f>IF('[1]0.1 Produksi Pangan &amp; Penduduk'!E576="","",'[1]0.1 Produksi Pangan &amp; Penduduk'!E576)</f>
        <v/>
      </c>
      <c r="F575" s="59" t="str">
        <f>IF(D575="","",VLOOKUP(D575,'[1]0.1 Produksi Pangan &amp; Penduduk'!$D$5:$J$860,7,0))</f>
        <v/>
      </c>
      <c r="G575" s="27" t="str">
        <f t="shared" si="80"/>
        <v/>
      </c>
      <c r="H575" s="27" t="str">
        <f t="shared" si="81"/>
        <v/>
      </c>
      <c r="I575" s="27" t="str">
        <f t="shared" si="82"/>
        <v/>
      </c>
      <c r="J575" s="27" t="str">
        <f t="shared" si="83"/>
        <v/>
      </c>
      <c r="K575" s="27" t="str">
        <f t="shared" si="84"/>
        <v/>
      </c>
      <c r="L575" s="59" t="str">
        <f>IF(D575="","",VLOOKUP(D575,'[1]0.1 Produksi Pangan &amp; Penduduk'!$D$5:$M$860,10,0))</f>
        <v/>
      </c>
      <c r="M575" s="28" t="str">
        <f t="shared" si="85"/>
        <v/>
      </c>
      <c r="N575" s="60" t="str">
        <f t="shared" si="86"/>
        <v/>
      </c>
      <c r="O575" s="60" t="str">
        <f t="shared" si="87"/>
        <v/>
      </c>
      <c r="P575" s="60" t="str">
        <f t="shared" si="88"/>
        <v/>
      </c>
      <c r="Q575" s="28" t="str">
        <f t="shared" si="89"/>
        <v/>
      </c>
    </row>
    <row r="576" spans="1:17" ht="15" x14ac:dyDescent="0.25">
      <c r="A576" s="3" t="str">
        <f>IF('[1]0.1 Produksi Pangan &amp; Penduduk'!A577="","",'[1]0.1 Produksi Pangan &amp; Penduduk'!A577)</f>
        <v/>
      </c>
      <c r="B576" s="2" t="str">
        <f>IF('[1]0.1 Produksi Pangan &amp; Penduduk'!B577="","",'[1]0.1 Produksi Pangan &amp; Penduduk'!B577)</f>
        <v/>
      </c>
      <c r="C576" s="2" t="str">
        <f>IF('[1]0.1 Produksi Pangan &amp; Penduduk'!F577="","",'[1]0.1 Produksi Pangan &amp; Penduduk'!F577)</f>
        <v/>
      </c>
      <c r="D576" s="3" t="str">
        <f>IF('[1]0.1 Produksi Pangan &amp; Penduduk'!D577="","",'[1]0.1 Produksi Pangan &amp; Penduduk'!D577)</f>
        <v/>
      </c>
      <c r="E576" s="3" t="str">
        <f>IF('[1]0.1 Produksi Pangan &amp; Penduduk'!E577="","",'[1]0.1 Produksi Pangan &amp; Penduduk'!E577)</f>
        <v/>
      </c>
      <c r="F576" s="59" t="str">
        <f>IF(D576="","",VLOOKUP(D576,'[1]0.1 Produksi Pangan &amp; Penduduk'!$D$5:$J$860,7,0))</f>
        <v/>
      </c>
      <c r="G576" s="27" t="str">
        <f t="shared" si="80"/>
        <v/>
      </c>
      <c r="H576" s="27" t="str">
        <f t="shared" si="81"/>
        <v/>
      </c>
      <c r="I576" s="27" t="str">
        <f t="shared" si="82"/>
        <v/>
      </c>
      <c r="J576" s="27" t="str">
        <f t="shared" si="83"/>
        <v/>
      </c>
      <c r="K576" s="27" t="str">
        <f t="shared" si="84"/>
        <v/>
      </c>
      <c r="L576" s="59" t="str">
        <f>IF(D576="","",VLOOKUP(D576,'[1]0.1 Produksi Pangan &amp; Penduduk'!$D$5:$M$860,10,0))</f>
        <v/>
      </c>
      <c r="M576" s="28" t="str">
        <f t="shared" si="85"/>
        <v/>
      </c>
      <c r="N576" s="60" t="str">
        <f t="shared" si="86"/>
        <v/>
      </c>
      <c r="O576" s="60" t="str">
        <f t="shared" si="87"/>
        <v/>
      </c>
      <c r="P576" s="60" t="str">
        <f t="shared" si="88"/>
        <v/>
      </c>
      <c r="Q576" s="28" t="str">
        <f t="shared" si="89"/>
        <v/>
      </c>
    </row>
    <row r="577" spans="1:17" ht="15" x14ac:dyDescent="0.25">
      <c r="A577" s="3" t="str">
        <f>IF('[1]0.1 Produksi Pangan &amp; Penduduk'!A578="","",'[1]0.1 Produksi Pangan &amp; Penduduk'!A578)</f>
        <v/>
      </c>
      <c r="B577" s="2" t="str">
        <f>IF('[1]0.1 Produksi Pangan &amp; Penduduk'!B578="","",'[1]0.1 Produksi Pangan &amp; Penduduk'!B578)</f>
        <v/>
      </c>
      <c r="C577" s="2" t="str">
        <f>IF('[1]0.1 Produksi Pangan &amp; Penduduk'!F578="","",'[1]0.1 Produksi Pangan &amp; Penduduk'!F578)</f>
        <v/>
      </c>
      <c r="D577" s="3" t="str">
        <f>IF('[1]0.1 Produksi Pangan &amp; Penduduk'!D578="","",'[1]0.1 Produksi Pangan &amp; Penduduk'!D578)</f>
        <v/>
      </c>
      <c r="E577" s="3" t="str">
        <f>IF('[1]0.1 Produksi Pangan &amp; Penduduk'!E578="","",'[1]0.1 Produksi Pangan &amp; Penduduk'!E578)</f>
        <v/>
      </c>
      <c r="F577" s="59" t="str">
        <f>IF(D577="","",VLOOKUP(D577,'[1]0.1 Produksi Pangan &amp; Penduduk'!$D$5:$J$860,7,0))</f>
        <v/>
      </c>
      <c r="G577" s="27" t="str">
        <f t="shared" si="80"/>
        <v/>
      </c>
      <c r="H577" s="27" t="str">
        <f t="shared" si="81"/>
        <v/>
      </c>
      <c r="I577" s="27" t="str">
        <f t="shared" si="82"/>
        <v/>
      </c>
      <c r="J577" s="27" t="str">
        <f t="shared" si="83"/>
        <v/>
      </c>
      <c r="K577" s="27" t="str">
        <f t="shared" si="84"/>
        <v/>
      </c>
      <c r="L577" s="59" t="str">
        <f>IF(D577="","",VLOOKUP(D577,'[1]0.1 Produksi Pangan &amp; Penduduk'!$D$5:$M$860,10,0))</f>
        <v/>
      </c>
      <c r="M577" s="28" t="str">
        <f t="shared" si="85"/>
        <v/>
      </c>
      <c r="N577" s="60" t="str">
        <f t="shared" si="86"/>
        <v/>
      </c>
      <c r="O577" s="60" t="str">
        <f t="shared" si="87"/>
        <v/>
      </c>
      <c r="P577" s="60" t="str">
        <f t="shared" si="88"/>
        <v/>
      </c>
      <c r="Q577" s="28" t="str">
        <f t="shared" si="89"/>
        <v/>
      </c>
    </row>
    <row r="578" spans="1:17" ht="15" x14ac:dyDescent="0.25">
      <c r="A578" s="3" t="str">
        <f>IF('[1]0.1 Produksi Pangan &amp; Penduduk'!A579="","",'[1]0.1 Produksi Pangan &amp; Penduduk'!A579)</f>
        <v/>
      </c>
      <c r="B578" s="2" t="str">
        <f>IF('[1]0.1 Produksi Pangan &amp; Penduduk'!B579="","",'[1]0.1 Produksi Pangan &amp; Penduduk'!B579)</f>
        <v/>
      </c>
      <c r="C578" s="2" t="str">
        <f>IF('[1]0.1 Produksi Pangan &amp; Penduduk'!F579="","",'[1]0.1 Produksi Pangan &amp; Penduduk'!F579)</f>
        <v/>
      </c>
      <c r="D578" s="3" t="str">
        <f>IF('[1]0.1 Produksi Pangan &amp; Penduduk'!D579="","",'[1]0.1 Produksi Pangan &amp; Penduduk'!D579)</f>
        <v/>
      </c>
      <c r="E578" s="3" t="str">
        <f>IF('[1]0.1 Produksi Pangan &amp; Penduduk'!E579="","",'[1]0.1 Produksi Pangan &amp; Penduduk'!E579)</f>
        <v/>
      </c>
      <c r="F578" s="59" t="str">
        <f>IF(D578="","",VLOOKUP(D578,'[1]0.1 Produksi Pangan &amp; Penduduk'!$D$5:$J$860,7,0))</f>
        <v/>
      </c>
      <c r="G578" s="27" t="str">
        <f t="shared" si="80"/>
        <v/>
      </c>
      <c r="H578" s="27" t="str">
        <f t="shared" si="81"/>
        <v/>
      </c>
      <c r="I578" s="27" t="str">
        <f t="shared" si="82"/>
        <v/>
      </c>
      <c r="J578" s="27" t="str">
        <f t="shared" si="83"/>
        <v/>
      </c>
      <c r="K578" s="27" t="str">
        <f t="shared" si="84"/>
        <v/>
      </c>
      <c r="L578" s="59" t="str">
        <f>IF(D578="","",VLOOKUP(D578,'[1]0.1 Produksi Pangan &amp; Penduduk'!$D$5:$M$860,10,0))</f>
        <v/>
      </c>
      <c r="M578" s="28" t="str">
        <f t="shared" si="85"/>
        <v/>
      </c>
      <c r="N578" s="60" t="str">
        <f t="shared" si="86"/>
        <v/>
      </c>
      <c r="O578" s="60" t="str">
        <f t="shared" si="87"/>
        <v/>
      </c>
      <c r="P578" s="60" t="str">
        <f t="shared" si="88"/>
        <v/>
      </c>
      <c r="Q578" s="28" t="str">
        <f t="shared" si="89"/>
        <v/>
      </c>
    </row>
    <row r="579" spans="1:17" ht="15" x14ac:dyDescent="0.25">
      <c r="A579" s="3" t="str">
        <f>IF('[1]0.1 Produksi Pangan &amp; Penduduk'!A580="","",'[1]0.1 Produksi Pangan &amp; Penduduk'!A580)</f>
        <v/>
      </c>
      <c r="B579" s="2" t="str">
        <f>IF('[1]0.1 Produksi Pangan &amp; Penduduk'!B580="","",'[1]0.1 Produksi Pangan &amp; Penduduk'!B580)</f>
        <v/>
      </c>
      <c r="C579" s="2" t="str">
        <f>IF('[1]0.1 Produksi Pangan &amp; Penduduk'!F580="","",'[1]0.1 Produksi Pangan &amp; Penduduk'!F580)</f>
        <v/>
      </c>
      <c r="D579" s="3" t="str">
        <f>IF('[1]0.1 Produksi Pangan &amp; Penduduk'!D580="","",'[1]0.1 Produksi Pangan &amp; Penduduk'!D580)</f>
        <v/>
      </c>
      <c r="E579" s="3" t="str">
        <f>IF('[1]0.1 Produksi Pangan &amp; Penduduk'!E580="","",'[1]0.1 Produksi Pangan &amp; Penduduk'!E580)</f>
        <v/>
      </c>
      <c r="F579" s="59" t="str">
        <f>IF(D579="","",VLOOKUP(D579,'[1]0.1 Produksi Pangan &amp; Penduduk'!$D$5:$J$860,7,0))</f>
        <v/>
      </c>
      <c r="G579" s="27" t="str">
        <f t="shared" si="80"/>
        <v/>
      </c>
      <c r="H579" s="27" t="str">
        <f t="shared" si="81"/>
        <v/>
      </c>
      <c r="I579" s="27" t="str">
        <f t="shared" si="82"/>
        <v/>
      </c>
      <c r="J579" s="27" t="str">
        <f t="shared" si="83"/>
        <v/>
      </c>
      <c r="K579" s="27" t="str">
        <f t="shared" si="84"/>
        <v/>
      </c>
      <c r="L579" s="59" t="str">
        <f>IF(D579="","",VLOOKUP(D579,'[1]0.1 Produksi Pangan &amp; Penduduk'!$D$5:$M$860,10,0))</f>
        <v/>
      </c>
      <c r="M579" s="28" t="str">
        <f t="shared" si="85"/>
        <v/>
      </c>
      <c r="N579" s="60" t="str">
        <f t="shared" si="86"/>
        <v/>
      </c>
      <c r="O579" s="60" t="str">
        <f t="shared" si="87"/>
        <v/>
      </c>
      <c r="P579" s="60" t="str">
        <f t="shared" si="88"/>
        <v/>
      </c>
      <c r="Q579" s="28" t="str">
        <f t="shared" si="89"/>
        <v/>
      </c>
    </row>
    <row r="580" spans="1:17" ht="15" x14ac:dyDescent="0.25">
      <c r="A580" s="3" t="str">
        <f>IF('[1]0.1 Produksi Pangan &amp; Penduduk'!A581="","",'[1]0.1 Produksi Pangan &amp; Penduduk'!A581)</f>
        <v/>
      </c>
      <c r="B580" s="2" t="str">
        <f>IF('[1]0.1 Produksi Pangan &amp; Penduduk'!B581="","",'[1]0.1 Produksi Pangan &amp; Penduduk'!B581)</f>
        <v/>
      </c>
      <c r="C580" s="2" t="str">
        <f>IF('[1]0.1 Produksi Pangan &amp; Penduduk'!F581="","",'[1]0.1 Produksi Pangan &amp; Penduduk'!F581)</f>
        <v/>
      </c>
      <c r="D580" s="3" t="str">
        <f>IF('[1]0.1 Produksi Pangan &amp; Penduduk'!D581="","",'[1]0.1 Produksi Pangan &amp; Penduduk'!D581)</f>
        <v/>
      </c>
      <c r="E580" s="3" t="str">
        <f>IF('[1]0.1 Produksi Pangan &amp; Penduduk'!E581="","",'[1]0.1 Produksi Pangan &amp; Penduduk'!E581)</f>
        <v/>
      </c>
      <c r="F580" s="59" t="str">
        <f>IF(D580="","",VLOOKUP(D580,'[1]0.1 Produksi Pangan &amp; Penduduk'!$D$5:$J$860,7,0))</f>
        <v/>
      </c>
      <c r="G580" s="27" t="str">
        <f t="shared" si="80"/>
        <v/>
      </c>
      <c r="H580" s="27" t="str">
        <f t="shared" si="81"/>
        <v/>
      </c>
      <c r="I580" s="27" t="str">
        <f t="shared" si="82"/>
        <v/>
      </c>
      <c r="J580" s="27" t="str">
        <f t="shared" si="83"/>
        <v/>
      </c>
      <c r="K580" s="27" t="str">
        <f t="shared" si="84"/>
        <v/>
      </c>
      <c r="L580" s="59" t="str">
        <f>IF(D580="","",VLOOKUP(D580,'[1]0.1 Produksi Pangan &amp; Penduduk'!$D$5:$M$860,10,0))</f>
        <v/>
      </c>
      <c r="M580" s="28" t="str">
        <f t="shared" si="85"/>
        <v/>
      </c>
      <c r="N580" s="60" t="str">
        <f t="shared" si="86"/>
        <v/>
      </c>
      <c r="O580" s="60" t="str">
        <f t="shared" si="87"/>
        <v/>
      </c>
      <c r="P580" s="60" t="str">
        <f t="shared" si="88"/>
        <v/>
      </c>
      <c r="Q580" s="28" t="str">
        <f t="shared" si="89"/>
        <v/>
      </c>
    </row>
    <row r="581" spans="1:17" ht="15" x14ac:dyDescent="0.25">
      <c r="A581" s="3" t="str">
        <f>IF('[1]0.1 Produksi Pangan &amp; Penduduk'!A582="","",'[1]0.1 Produksi Pangan &amp; Penduduk'!A582)</f>
        <v/>
      </c>
      <c r="B581" s="2" t="str">
        <f>IF('[1]0.1 Produksi Pangan &amp; Penduduk'!B582="","",'[1]0.1 Produksi Pangan &amp; Penduduk'!B582)</f>
        <v/>
      </c>
      <c r="C581" s="2" t="str">
        <f>IF('[1]0.1 Produksi Pangan &amp; Penduduk'!F582="","",'[1]0.1 Produksi Pangan &amp; Penduduk'!F582)</f>
        <v/>
      </c>
      <c r="D581" s="3" t="str">
        <f>IF('[1]0.1 Produksi Pangan &amp; Penduduk'!D582="","",'[1]0.1 Produksi Pangan &amp; Penduduk'!D582)</f>
        <v/>
      </c>
      <c r="E581" s="3" t="str">
        <f>IF('[1]0.1 Produksi Pangan &amp; Penduduk'!E582="","",'[1]0.1 Produksi Pangan &amp; Penduduk'!E582)</f>
        <v/>
      </c>
      <c r="F581" s="59" t="str">
        <f>IF(D581="","",VLOOKUP(D581,'[1]0.1 Produksi Pangan &amp; Penduduk'!$D$5:$J$860,7,0))</f>
        <v/>
      </c>
      <c r="G581" s="27" t="str">
        <f t="shared" si="80"/>
        <v/>
      </c>
      <c r="H581" s="27" t="str">
        <f t="shared" si="81"/>
        <v/>
      </c>
      <c r="I581" s="27" t="str">
        <f t="shared" si="82"/>
        <v/>
      </c>
      <c r="J581" s="27" t="str">
        <f t="shared" si="83"/>
        <v/>
      </c>
      <c r="K581" s="27" t="str">
        <f t="shared" si="84"/>
        <v/>
      </c>
      <c r="L581" s="59" t="str">
        <f>IF(D581="","",VLOOKUP(D581,'[1]0.1 Produksi Pangan &amp; Penduduk'!$D$5:$M$860,10,0))</f>
        <v/>
      </c>
      <c r="M581" s="28" t="str">
        <f t="shared" si="85"/>
        <v/>
      </c>
      <c r="N581" s="60" t="str">
        <f t="shared" si="86"/>
        <v/>
      </c>
      <c r="O581" s="60" t="str">
        <f t="shared" si="87"/>
        <v/>
      </c>
      <c r="P581" s="60" t="str">
        <f t="shared" si="88"/>
        <v/>
      </c>
      <c r="Q581" s="28" t="str">
        <f t="shared" si="89"/>
        <v/>
      </c>
    </row>
    <row r="582" spans="1:17" ht="15" x14ac:dyDescent="0.25">
      <c r="A582" s="3" t="str">
        <f>IF('[1]0.1 Produksi Pangan &amp; Penduduk'!A583="","",'[1]0.1 Produksi Pangan &amp; Penduduk'!A583)</f>
        <v/>
      </c>
      <c r="B582" s="2" t="str">
        <f>IF('[1]0.1 Produksi Pangan &amp; Penduduk'!B583="","",'[1]0.1 Produksi Pangan &amp; Penduduk'!B583)</f>
        <v/>
      </c>
      <c r="C582" s="2" t="str">
        <f>IF('[1]0.1 Produksi Pangan &amp; Penduduk'!F583="","",'[1]0.1 Produksi Pangan &amp; Penduduk'!F583)</f>
        <v/>
      </c>
      <c r="D582" s="3" t="str">
        <f>IF('[1]0.1 Produksi Pangan &amp; Penduduk'!D583="","",'[1]0.1 Produksi Pangan &amp; Penduduk'!D583)</f>
        <v/>
      </c>
      <c r="E582" s="3" t="str">
        <f>IF('[1]0.1 Produksi Pangan &amp; Penduduk'!E583="","",'[1]0.1 Produksi Pangan &amp; Penduduk'!E583)</f>
        <v/>
      </c>
      <c r="F582" s="59" t="str">
        <f>IF(D582="","",VLOOKUP(D582,'[1]0.1 Produksi Pangan &amp; Penduduk'!$D$5:$J$860,7,0))</f>
        <v/>
      </c>
      <c r="G582" s="27" t="str">
        <f t="shared" ref="G582:G645" si="90">IF(F582="","",F582*0.9%)</f>
        <v/>
      </c>
      <c r="H582" s="27" t="str">
        <f t="shared" ref="H582:H645" si="91">IF(F582="","",F582*0.44%)</f>
        <v/>
      </c>
      <c r="I582" s="27" t="str">
        <f t="shared" ref="I582:I645" si="92">IF(F582="","",F582*4.92%)</f>
        <v/>
      </c>
      <c r="J582" s="27" t="str">
        <f t="shared" ref="J582:J645" si="93">IF(F582="","",F582*0.56%)</f>
        <v/>
      </c>
      <c r="K582" s="27" t="str">
        <f t="shared" ref="K582:K645" si="94">IF(F582="","",F582-(G582+H582+I582+J582))</f>
        <v/>
      </c>
      <c r="L582" s="59" t="str">
        <f>IF(D582="","",VLOOKUP(D582,'[1]0.1 Produksi Pangan &amp; Penduduk'!$D$5:$M$860,10,0))</f>
        <v/>
      </c>
      <c r="M582" s="28" t="str">
        <f t="shared" ref="M582:M645" si="95">IFERROR(K582*L582,"")</f>
        <v/>
      </c>
      <c r="N582" s="60" t="str">
        <f t="shared" ref="N582:N645" si="96">IF(M582="","",M582*0.17%)</f>
        <v/>
      </c>
      <c r="O582" s="60" t="str">
        <f t="shared" ref="O582:O645" si="97">IF(M582="","",M582*2.5%)</f>
        <v/>
      </c>
      <c r="P582" s="60" t="str">
        <f t="shared" ref="P582:P645" si="98">IF(M582="","",M582*0.66%)</f>
        <v/>
      </c>
      <c r="Q582" s="28" t="str">
        <f t="shared" ref="Q582:Q645" si="99">IF(M582="","",M582-(N582+O582+P582))</f>
        <v/>
      </c>
    </row>
    <row r="583" spans="1:17" ht="15" x14ac:dyDescent="0.25">
      <c r="A583" s="3" t="str">
        <f>IF('[1]0.1 Produksi Pangan &amp; Penduduk'!A584="","",'[1]0.1 Produksi Pangan &amp; Penduduk'!A584)</f>
        <v/>
      </c>
      <c r="B583" s="2" t="str">
        <f>IF('[1]0.1 Produksi Pangan &amp; Penduduk'!B584="","",'[1]0.1 Produksi Pangan &amp; Penduduk'!B584)</f>
        <v/>
      </c>
      <c r="C583" s="2" t="str">
        <f>IF('[1]0.1 Produksi Pangan &amp; Penduduk'!F584="","",'[1]0.1 Produksi Pangan &amp; Penduduk'!F584)</f>
        <v/>
      </c>
      <c r="D583" s="3" t="str">
        <f>IF('[1]0.1 Produksi Pangan &amp; Penduduk'!D584="","",'[1]0.1 Produksi Pangan &amp; Penduduk'!D584)</f>
        <v/>
      </c>
      <c r="E583" s="3" t="str">
        <f>IF('[1]0.1 Produksi Pangan &amp; Penduduk'!E584="","",'[1]0.1 Produksi Pangan &amp; Penduduk'!E584)</f>
        <v/>
      </c>
      <c r="F583" s="59" t="str">
        <f>IF(D583="","",VLOOKUP(D583,'[1]0.1 Produksi Pangan &amp; Penduduk'!$D$5:$J$860,7,0))</f>
        <v/>
      </c>
      <c r="G583" s="27" t="str">
        <f t="shared" si="90"/>
        <v/>
      </c>
      <c r="H583" s="27" t="str">
        <f t="shared" si="91"/>
        <v/>
      </c>
      <c r="I583" s="27" t="str">
        <f t="shared" si="92"/>
        <v/>
      </c>
      <c r="J583" s="27" t="str">
        <f t="shared" si="93"/>
        <v/>
      </c>
      <c r="K583" s="27" t="str">
        <f t="shared" si="94"/>
        <v/>
      </c>
      <c r="L583" s="59" t="str">
        <f>IF(D583="","",VLOOKUP(D583,'[1]0.1 Produksi Pangan &amp; Penduduk'!$D$5:$M$860,10,0))</f>
        <v/>
      </c>
      <c r="M583" s="28" t="str">
        <f t="shared" si="95"/>
        <v/>
      </c>
      <c r="N583" s="60" t="str">
        <f t="shared" si="96"/>
        <v/>
      </c>
      <c r="O583" s="60" t="str">
        <f t="shared" si="97"/>
        <v/>
      </c>
      <c r="P583" s="60" t="str">
        <f t="shared" si="98"/>
        <v/>
      </c>
      <c r="Q583" s="28" t="str">
        <f t="shared" si="99"/>
        <v/>
      </c>
    </row>
    <row r="584" spans="1:17" ht="15" x14ac:dyDescent="0.25">
      <c r="A584" s="3" t="str">
        <f>IF('[1]0.1 Produksi Pangan &amp; Penduduk'!A585="","",'[1]0.1 Produksi Pangan &amp; Penduduk'!A585)</f>
        <v/>
      </c>
      <c r="B584" s="2" t="str">
        <f>IF('[1]0.1 Produksi Pangan &amp; Penduduk'!B585="","",'[1]0.1 Produksi Pangan &amp; Penduduk'!B585)</f>
        <v/>
      </c>
      <c r="C584" s="2" t="str">
        <f>IF('[1]0.1 Produksi Pangan &amp; Penduduk'!F585="","",'[1]0.1 Produksi Pangan &amp; Penduduk'!F585)</f>
        <v/>
      </c>
      <c r="D584" s="3" t="str">
        <f>IF('[1]0.1 Produksi Pangan &amp; Penduduk'!D585="","",'[1]0.1 Produksi Pangan &amp; Penduduk'!D585)</f>
        <v/>
      </c>
      <c r="E584" s="3" t="str">
        <f>IF('[1]0.1 Produksi Pangan &amp; Penduduk'!E585="","",'[1]0.1 Produksi Pangan &amp; Penduduk'!E585)</f>
        <v/>
      </c>
      <c r="F584" s="59" t="str">
        <f>IF(D584="","",VLOOKUP(D584,'[1]0.1 Produksi Pangan &amp; Penduduk'!$D$5:$J$860,7,0))</f>
        <v/>
      </c>
      <c r="G584" s="27" t="str">
        <f t="shared" si="90"/>
        <v/>
      </c>
      <c r="H584" s="27" t="str">
        <f t="shared" si="91"/>
        <v/>
      </c>
      <c r="I584" s="27" t="str">
        <f t="shared" si="92"/>
        <v/>
      </c>
      <c r="J584" s="27" t="str">
        <f t="shared" si="93"/>
        <v/>
      </c>
      <c r="K584" s="27" t="str">
        <f t="shared" si="94"/>
        <v/>
      </c>
      <c r="L584" s="59" t="str">
        <f>IF(D584="","",VLOOKUP(D584,'[1]0.1 Produksi Pangan &amp; Penduduk'!$D$5:$M$860,10,0))</f>
        <v/>
      </c>
      <c r="M584" s="28" t="str">
        <f t="shared" si="95"/>
        <v/>
      </c>
      <c r="N584" s="60" t="str">
        <f t="shared" si="96"/>
        <v/>
      </c>
      <c r="O584" s="60" t="str">
        <f t="shared" si="97"/>
        <v/>
      </c>
      <c r="P584" s="60" t="str">
        <f t="shared" si="98"/>
        <v/>
      </c>
      <c r="Q584" s="28" t="str">
        <f t="shared" si="99"/>
        <v/>
      </c>
    </row>
    <row r="585" spans="1:17" ht="15" x14ac:dyDescent="0.25">
      <c r="A585" s="3" t="str">
        <f>IF('[1]0.1 Produksi Pangan &amp; Penduduk'!A586="","",'[1]0.1 Produksi Pangan &amp; Penduduk'!A586)</f>
        <v/>
      </c>
      <c r="B585" s="2" t="str">
        <f>IF('[1]0.1 Produksi Pangan &amp; Penduduk'!B586="","",'[1]0.1 Produksi Pangan &amp; Penduduk'!B586)</f>
        <v/>
      </c>
      <c r="C585" s="2" t="str">
        <f>IF('[1]0.1 Produksi Pangan &amp; Penduduk'!F586="","",'[1]0.1 Produksi Pangan &amp; Penduduk'!F586)</f>
        <v/>
      </c>
      <c r="D585" s="3" t="str">
        <f>IF('[1]0.1 Produksi Pangan &amp; Penduduk'!D586="","",'[1]0.1 Produksi Pangan &amp; Penduduk'!D586)</f>
        <v/>
      </c>
      <c r="E585" s="3" t="str">
        <f>IF('[1]0.1 Produksi Pangan &amp; Penduduk'!E586="","",'[1]0.1 Produksi Pangan &amp; Penduduk'!E586)</f>
        <v/>
      </c>
      <c r="F585" s="59" t="str">
        <f>IF(D585="","",VLOOKUP(D585,'[1]0.1 Produksi Pangan &amp; Penduduk'!$D$5:$J$860,7,0))</f>
        <v/>
      </c>
      <c r="G585" s="27" t="str">
        <f t="shared" si="90"/>
        <v/>
      </c>
      <c r="H585" s="27" t="str">
        <f t="shared" si="91"/>
        <v/>
      </c>
      <c r="I585" s="27" t="str">
        <f t="shared" si="92"/>
        <v/>
      </c>
      <c r="J585" s="27" t="str">
        <f t="shared" si="93"/>
        <v/>
      </c>
      <c r="K585" s="27" t="str">
        <f t="shared" si="94"/>
        <v/>
      </c>
      <c r="L585" s="59" t="str">
        <f>IF(D585="","",VLOOKUP(D585,'[1]0.1 Produksi Pangan &amp; Penduduk'!$D$5:$M$860,10,0))</f>
        <v/>
      </c>
      <c r="M585" s="28" t="str">
        <f t="shared" si="95"/>
        <v/>
      </c>
      <c r="N585" s="60" t="str">
        <f t="shared" si="96"/>
        <v/>
      </c>
      <c r="O585" s="60" t="str">
        <f t="shared" si="97"/>
        <v/>
      </c>
      <c r="P585" s="60" t="str">
        <f t="shared" si="98"/>
        <v/>
      </c>
      <c r="Q585" s="28" t="str">
        <f t="shared" si="99"/>
        <v/>
      </c>
    </row>
    <row r="586" spans="1:17" ht="15" x14ac:dyDescent="0.25">
      <c r="A586" s="3" t="str">
        <f>IF('[1]0.1 Produksi Pangan &amp; Penduduk'!A587="","",'[1]0.1 Produksi Pangan &amp; Penduduk'!A587)</f>
        <v/>
      </c>
      <c r="B586" s="2" t="str">
        <f>IF('[1]0.1 Produksi Pangan &amp; Penduduk'!B587="","",'[1]0.1 Produksi Pangan &amp; Penduduk'!B587)</f>
        <v/>
      </c>
      <c r="C586" s="2" t="str">
        <f>IF('[1]0.1 Produksi Pangan &amp; Penduduk'!F587="","",'[1]0.1 Produksi Pangan &amp; Penduduk'!F587)</f>
        <v/>
      </c>
      <c r="D586" s="3" t="str">
        <f>IF('[1]0.1 Produksi Pangan &amp; Penduduk'!D587="","",'[1]0.1 Produksi Pangan &amp; Penduduk'!D587)</f>
        <v/>
      </c>
      <c r="E586" s="3" t="str">
        <f>IF('[1]0.1 Produksi Pangan &amp; Penduduk'!E587="","",'[1]0.1 Produksi Pangan &amp; Penduduk'!E587)</f>
        <v/>
      </c>
      <c r="F586" s="59" t="str">
        <f>IF(D586="","",VLOOKUP(D586,'[1]0.1 Produksi Pangan &amp; Penduduk'!$D$5:$J$860,7,0))</f>
        <v/>
      </c>
      <c r="G586" s="27" t="str">
        <f t="shared" si="90"/>
        <v/>
      </c>
      <c r="H586" s="27" t="str">
        <f t="shared" si="91"/>
        <v/>
      </c>
      <c r="I586" s="27" t="str">
        <f t="shared" si="92"/>
        <v/>
      </c>
      <c r="J586" s="27" t="str">
        <f t="shared" si="93"/>
        <v/>
      </c>
      <c r="K586" s="27" t="str">
        <f t="shared" si="94"/>
        <v/>
      </c>
      <c r="L586" s="59" t="str">
        <f>IF(D586="","",VLOOKUP(D586,'[1]0.1 Produksi Pangan &amp; Penduduk'!$D$5:$M$860,10,0))</f>
        <v/>
      </c>
      <c r="M586" s="28" t="str">
        <f t="shared" si="95"/>
        <v/>
      </c>
      <c r="N586" s="60" t="str">
        <f t="shared" si="96"/>
        <v/>
      </c>
      <c r="O586" s="60" t="str">
        <f t="shared" si="97"/>
        <v/>
      </c>
      <c r="P586" s="60" t="str">
        <f t="shared" si="98"/>
        <v/>
      </c>
      <c r="Q586" s="28" t="str">
        <f t="shared" si="99"/>
        <v/>
      </c>
    </row>
    <row r="587" spans="1:17" ht="15" x14ac:dyDescent="0.25">
      <c r="A587" s="3" t="str">
        <f>IF('[1]0.1 Produksi Pangan &amp; Penduduk'!A588="","",'[1]0.1 Produksi Pangan &amp; Penduduk'!A588)</f>
        <v/>
      </c>
      <c r="B587" s="2" t="str">
        <f>IF('[1]0.1 Produksi Pangan &amp; Penduduk'!B588="","",'[1]0.1 Produksi Pangan &amp; Penduduk'!B588)</f>
        <v/>
      </c>
      <c r="C587" s="2" t="str">
        <f>IF('[1]0.1 Produksi Pangan &amp; Penduduk'!F588="","",'[1]0.1 Produksi Pangan &amp; Penduduk'!F588)</f>
        <v/>
      </c>
      <c r="D587" s="3" t="str">
        <f>IF('[1]0.1 Produksi Pangan &amp; Penduduk'!D588="","",'[1]0.1 Produksi Pangan &amp; Penduduk'!D588)</f>
        <v/>
      </c>
      <c r="E587" s="3" t="str">
        <f>IF('[1]0.1 Produksi Pangan &amp; Penduduk'!E588="","",'[1]0.1 Produksi Pangan &amp; Penduduk'!E588)</f>
        <v/>
      </c>
      <c r="F587" s="59" t="str">
        <f>IF(D587="","",VLOOKUP(D587,'[1]0.1 Produksi Pangan &amp; Penduduk'!$D$5:$J$860,7,0))</f>
        <v/>
      </c>
      <c r="G587" s="27" t="str">
        <f t="shared" si="90"/>
        <v/>
      </c>
      <c r="H587" s="27" t="str">
        <f t="shared" si="91"/>
        <v/>
      </c>
      <c r="I587" s="27" t="str">
        <f t="shared" si="92"/>
        <v/>
      </c>
      <c r="J587" s="27" t="str">
        <f t="shared" si="93"/>
        <v/>
      </c>
      <c r="K587" s="27" t="str">
        <f t="shared" si="94"/>
        <v/>
      </c>
      <c r="L587" s="59" t="str">
        <f>IF(D587="","",VLOOKUP(D587,'[1]0.1 Produksi Pangan &amp; Penduduk'!$D$5:$M$860,10,0))</f>
        <v/>
      </c>
      <c r="M587" s="28" t="str">
        <f t="shared" si="95"/>
        <v/>
      </c>
      <c r="N587" s="60" t="str">
        <f t="shared" si="96"/>
        <v/>
      </c>
      <c r="O587" s="60" t="str">
        <f t="shared" si="97"/>
        <v/>
      </c>
      <c r="P587" s="60" t="str">
        <f t="shared" si="98"/>
        <v/>
      </c>
      <c r="Q587" s="28" t="str">
        <f t="shared" si="99"/>
        <v/>
      </c>
    </row>
    <row r="588" spans="1:17" ht="15" x14ac:dyDescent="0.25">
      <c r="A588" s="3" t="str">
        <f>IF('[1]0.1 Produksi Pangan &amp; Penduduk'!A589="","",'[1]0.1 Produksi Pangan &amp; Penduduk'!A589)</f>
        <v/>
      </c>
      <c r="B588" s="2" t="str">
        <f>IF('[1]0.1 Produksi Pangan &amp; Penduduk'!B589="","",'[1]0.1 Produksi Pangan &amp; Penduduk'!B589)</f>
        <v/>
      </c>
      <c r="C588" s="2" t="str">
        <f>IF('[1]0.1 Produksi Pangan &amp; Penduduk'!F589="","",'[1]0.1 Produksi Pangan &amp; Penduduk'!F589)</f>
        <v/>
      </c>
      <c r="D588" s="3" t="str">
        <f>IF('[1]0.1 Produksi Pangan &amp; Penduduk'!D589="","",'[1]0.1 Produksi Pangan &amp; Penduduk'!D589)</f>
        <v/>
      </c>
      <c r="E588" s="3" t="str">
        <f>IF('[1]0.1 Produksi Pangan &amp; Penduduk'!E589="","",'[1]0.1 Produksi Pangan &amp; Penduduk'!E589)</f>
        <v/>
      </c>
      <c r="F588" s="59" t="str">
        <f>IF(D588="","",VLOOKUP(D588,'[1]0.1 Produksi Pangan &amp; Penduduk'!$D$5:$J$860,7,0))</f>
        <v/>
      </c>
      <c r="G588" s="27" t="str">
        <f t="shared" si="90"/>
        <v/>
      </c>
      <c r="H588" s="27" t="str">
        <f t="shared" si="91"/>
        <v/>
      </c>
      <c r="I588" s="27" t="str">
        <f t="shared" si="92"/>
        <v/>
      </c>
      <c r="J588" s="27" t="str">
        <f t="shared" si="93"/>
        <v/>
      </c>
      <c r="K588" s="27" t="str">
        <f t="shared" si="94"/>
        <v/>
      </c>
      <c r="L588" s="59" t="str">
        <f>IF(D588="","",VLOOKUP(D588,'[1]0.1 Produksi Pangan &amp; Penduduk'!$D$5:$M$860,10,0))</f>
        <v/>
      </c>
      <c r="M588" s="28" t="str">
        <f t="shared" si="95"/>
        <v/>
      </c>
      <c r="N588" s="60" t="str">
        <f t="shared" si="96"/>
        <v/>
      </c>
      <c r="O588" s="60" t="str">
        <f t="shared" si="97"/>
        <v/>
      </c>
      <c r="P588" s="60" t="str">
        <f t="shared" si="98"/>
        <v/>
      </c>
      <c r="Q588" s="28" t="str">
        <f t="shared" si="99"/>
        <v/>
      </c>
    </row>
    <row r="589" spans="1:17" ht="15" x14ac:dyDescent="0.25">
      <c r="A589" s="3" t="str">
        <f>IF('[1]0.1 Produksi Pangan &amp; Penduduk'!A590="","",'[1]0.1 Produksi Pangan &amp; Penduduk'!A590)</f>
        <v/>
      </c>
      <c r="B589" s="2" t="str">
        <f>IF('[1]0.1 Produksi Pangan &amp; Penduduk'!B590="","",'[1]0.1 Produksi Pangan &amp; Penduduk'!B590)</f>
        <v/>
      </c>
      <c r="C589" s="2" t="str">
        <f>IF('[1]0.1 Produksi Pangan &amp; Penduduk'!F590="","",'[1]0.1 Produksi Pangan &amp; Penduduk'!F590)</f>
        <v/>
      </c>
      <c r="D589" s="3" t="str">
        <f>IF('[1]0.1 Produksi Pangan &amp; Penduduk'!D590="","",'[1]0.1 Produksi Pangan &amp; Penduduk'!D590)</f>
        <v/>
      </c>
      <c r="E589" s="3" t="str">
        <f>IF('[1]0.1 Produksi Pangan &amp; Penduduk'!E590="","",'[1]0.1 Produksi Pangan &amp; Penduduk'!E590)</f>
        <v/>
      </c>
      <c r="F589" s="59" t="str">
        <f>IF(D589="","",VLOOKUP(D589,'[1]0.1 Produksi Pangan &amp; Penduduk'!$D$5:$J$860,7,0))</f>
        <v/>
      </c>
      <c r="G589" s="27" t="str">
        <f t="shared" si="90"/>
        <v/>
      </c>
      <c r="H589" s="27" t="str">
        <f t="shared" si="91"/>
        <v/>
      </c>
      <c r="I589" s="27" t="str">
        <f t="shared" si="92"/>
        <v/>
      </c>
      <c r="J589" s="27" t="str">
        <f t="shared" si="93"/>
        <v/>
      </c>
      <c r="K589" s="27" t="str">
        <f t="shared" si="94"/>
        <v/>
      </c>
      <c r="L589" s="59" t="str">
        <f>IF(D589="","",VLOOKUP(D589,'[1]0.1 Produksi Pangan &amp; Penduduk'!$D$5:$M$860,10,0))</f>
        <v/>
      </c>
      <c r="M589" s="28" t="str">
        <f t="shared" si="95"/>
        <v/>
      </c>
      <c r="N589" s="60" t="str">
        <f t="shared" si="96"/>
        <v/>
      </c>
      <c r="O589" s="60" t="str">
        <f t="shared" si="97"/>
        <v/>
      </c>
      <c r="P589" s="60" t="str">
        <f t="shared" si="98"/>
        <v/>
      </c>
      <c r="Q589" s="28" t="str">
        <f t="shared" si="99"/>
        <v/>
      </c>
    </row>
    <row r="590" spans="1:17" ht="15" x14ac:dyDescent="0.25">
      <c r="A590" s="3" t="str">
        <f>IF('[1]0.1 Produksi Pangan &amp; Penduduk'!A591="","",'[1]0.1 Produksi Pangan &amp; Penduduk'!A591)</f>
        <v/>
      </c>
      <c r="B590" s="2" t="str">
        <f>IF('[1]0.1 Produksi Pangan &amp; Penduduk'!B591="","",'[1]0.1 Produksi Pangan &amp; Penduduk'!B591)</f>
        <v/>
      </c>
      <c r="C590" s="2" t="str">
        <f>IF('[1]0.1 Produksi Pangan &amp; Penduduk'!F591="","",'[1]0.1 Produksi Pangan &amp; Penduduk'!F591)</f>
        <v/>
      </c>
      <c r="D590" s="3" t="str">
        <f>IF('[1]0.1 Produksi Pangan &amp; Penduduk'!D591="","",'[1]0.1 Produksi Pangan &amp; Penduduk'!D591)</f>
        <v/>
      </c>
      <c r="E590" s="3" t="str">
        <f>IF('[1]0.1 Produksi Pangan &amp; Penduduk'!E591="","",'[1]0.1 Produksi Pangan &amp; Penduduk'!E591)</f>
        <v/>
      </c>
      <c r="F590" s="59" t="str">
        <f>IF(D590="","",VLOOKUP(D590,'[1]0.1 Produksi Pangan &amp; Penduduk'!$D$5:$J$860,7,0))</f>
        <v/>
      </c>
      <c r="G590" s="27" t="str">
        <f t="shared" si="90"/>
        <v/>
      </c>
      <c r="H590" s="27" t="str">
        <f t="shared" si="91"/>
        <v/>
      </c>
      <c r="I590" s="27" t="str">
        <f t="shared" si="92"/>
        <v/>
      </c>
      <c r="J590" s="27" t="str">
        <f t="shared" si="93"/>
        <v/>
      </c>
      <c r="K590" s="27" t="str">
        <f t="shared" si="94"/>
        <v/>
      </c>
      <c r="L590" s="59" t="str">
        <f>IF(D590="","",VLOOKUP(D590,'[1]0.1 Produksi Pangan &amp; Penduduk'!$D$5:$M$860,10,0))</f>
        <v/>
      </c>
      <c r="M590" s="28" t="str">
        <f t="shared" si="95"/>
        <v/>
      </c>
      <c r="N590" s="60" t="str">
        <f t="shared" si="96"/>
        <v/>
      </c>
      <c r="O590" s="60" t="str">
        <f t="shared" si="97"/>
        <v/>
      </c>
      <c r="P590" s="60" t="str">
        <f t="shared" si="98"/>
        <v/>
      </c>
      <c r="Q590" s="28" t="str">
        <f t="shared" si="99"/>
        <v/>
      </c>
    </row>
    <row r="591" spans="1:17" ht="15" x14ac:dyDescent="0.25">
      <c r="A591" s="3" t="str">
        <f>IF('[1]0.1 Produksi Pangan &amp; Penduduk'!A592="","",'[1]0.1 Produksi Pangan &amp; Penduduk'!A592)</f>
        <v/>
      </c>
      <c r="B591" s="2" t="str">
        <f>IF('[1]0.1 Produksi Pangan &amp; Penduduk'!B592="","",'[1]0.1 Produksi Pangan &amp; Penduduk'!B592)</f>
        <v/>
      </c>
      <c r="C591" s="2" t="str">
        <f>IF('[1]0.1 Produksi Pangan &amp; Penduduk'!F592="","",'[1]0.1 Produksi Pangan &amp; Penduduk'!F592)</f>
        <v/>
      </c>
      <c r="D591" s="3" t="str">
        <f>IF('[1]0.1 Produksi Pangan &amp; Penduduk'!D592="","",'[1]0.1 Produksi Pangan &amp; Penduduk'!D592)</f>
        <v/>
      </c>
      <c r="E591" s="3" t="str">
        <f>IF('[1]0.1 Produksi Pangan &amp; Penduduk'!E592="","",'[1]0.1 Produksi Pangan &amp; Penduduk'!E592)</f>
        <v/>
      </c>
      <c r="F591" s="59" t="str">
        <f>IF(D591="","",VLOOKUP(D591,'[1]0.1 Produksi Pangan &amp; Penduduk'!$D$5:$J$860,7,0))</f>
        <v/>
      </c>
      <c r="G591" s="27" t="str">
        <f t="shared" si="90"/>
        <v/>
      </c>
      <c r="H591" s="27" t="str">
        <f t="shared" si="91"/>
        <v/>
      </c>
      <c r="I591" s="27" t="str">
        <f t="shared" si="92"/>
        <v/>
      </c>
      <c r="J591" s="27" t="str">
        <f t="shared" si="93"/>
        <v/>
      </c>
      <c r="K591" s="27" t="str">
        <f t="shared" si="94"/>
        <v/>
      </c>
      <c r="L591" s="59" t="str">
        <f>IF(D591="","",VLOOKUP(D591,'[1]0.1 Produksi Pangan &amp; Penduduk'!$D$5:$M$860,10,0))</f>
        <v/>
      </c>
      <c r="M591" s="28" t="str">
        <f t="shared" si="95"/>
        <v/>
      </c>
      <c r="N591" s="60" t="str">
        <f t="shared" si="96"/>
        <v/>
      </c>
      <c r="O591" s="60" t="str">
        <f t="shared" si="97"/>
        <v/>
      </c>
      <c r="P591" s="60" t="str">
        <f t="shared" si="98"/>
        <v/>
      </c>
      <c r="Q591" s="28" t="str">
        <f t="shared" si="99"/>
        <v/>
      </c>
    </row>
    <row r="592" spans="1:17" ht="15" x14ac:dyDescent="0.25">
      <c r="A592" s="3" t="str">
        <f>IF('[1]0.1 Produksi Pangan &amp; Penduduk'!A593="","",'[1]0.1 Produksi Pangan &amp; Penduduk'!A593)</f>
        <v/>
      </c>
      <c r="B592" s="2" t="str">
        <f>IF('[1]0.1 Produksi Pangan &amp; Penduduk'!B593="","",'[1]0.1 Produksi Pangan &amp; Penduduk'!B593)</f>
        <v/>
      </c>
      <c r="C592" s="2" t="str">
        <f>IF('[1]0.1 Produksi Pangan &amp; Penduduk'!F593="","",'[1]0.1 Produksi Pangan &amp; Penduduk'!F593)</f>
        <v/>
      </c>
      <c r="D592" s="3" t="str">
        <f>IF('[1]0.1 Produksi Pangan &amp; Penduduk'!D593="","",'[1]0.1 Produksi Pangan &amp; Penduduk'!D593)</f>
        <v/>
      </c>
      <c r="E592" s="3" t="str">
        <f>IF('[1]0.1 Produksi Pangan &amp; Penduduk'!E593="","",'[1]0.1 Produksi Pangan &amp; Penduduk'!E593)</f>
        <v/>
      </c>
      <c r="F592" s="59" t="str">
        <f>IF(D592="","",VLOOKUP(D592,'[1]0.1 Produksi Pangan &amp; Penduduk'!$D$5:$J$860,7,0))</f>
        <v/>
      </c>
      <c r="G592" s="27" t="str">
        <f t="shared" si="90"/>
        <v/>
      </c>
      <c r="H592" s="27" t="str">
        <f t="shared" si="91"/>
        <v/>
      </c>
      <c r="I592" s="27" t="str">
        <f t="shared" si="92"/>
        <v/>
      </c>
      <c r="J592" s="27" t="str">
        <f t="shared" si="93"/>
        <v/>
      </c>
      <c r="K592" s="27" t="str">
        <f t="shared" si="94"/>
        <v/>
      </c>
      <c r="L592" s="59" t="str">
        <f>IF(D592="","",VLOOKUP(D592,'[1]0.1 Produksi Pangan &amp; Penduduk'!$D$5:$M$860,10,0))</f>
        <v/>
      </c>
      <c r="M592" s="28" t="str">
        <f t="shared" si="95"/>
        <v/>
      </c>
      <c r="N592" s="60" t="str">
        <f t="shared" si="96"/>
        <v/>
      </c>
      <c r="O592" s="60" t="str">
        <f t="shared" si="97"/>
        <v/>
      </c>
      <c r="P592" s="60" t="str">
        <f t="shared" si="98"/>
        <v/>
      </c>
      <c r="Q592" s="28" t="str">
        <f t="shared" si="99"/>
        <v/>
      </c>
    </row>
    <row r="593" spans="1:17" ht="15" x14ac:dyDescent="0.25">
      <c r="A593" s="3" t="str">
        <f>IF('[1]0.1 Produksi Pangan &amp; Penduduk'!A594="","",'[1]0.1 Produksi Pangan &amp; Penduduk'!A594)</f>
        <v/>
      </c>
      <c r="B593" s="2" t="str">
        <f>IF('[1]0.1 Produksi Pangan &amp; Penduduk'!B594="","",'[1]0.1 Produksi Pangan &amp; Penduduk'!B594)</f>
        <v/>
      </c>
      <c r="C593" s="2" t="str">
        <f>IF('[1]0.1 Produksi Pangan &amp; Penduduk'!F594="","",'[1]0.1 Produksi Pangan &amp; Penduduk'!F594)</f>
        <v/>
      </c>
      <c r="D593" s="3" t="str">
        <f>IF('[1]0.1 Produksi Pangan &amp; Penduduk'!D594="","",'[1]0.1 Produksi Pangan &amp; Penduduk'!D594)</f>
        <v/>
      </c>
      <c r="E593" s="3" t="str">
        <f>IF('[1]0.1 Produksi Pangan &amp; Penduduk'!E594="","",'[1]0.1 Produksi Pangan &amp; Penduduk'!E594)</f>
        <v/>
      </c>
      <c r="F593" s="59" t="str">
        <f>IF(D593="","",VLOOKUP(D593,'[1]0.1 Produksi Pangan &amp; Penduduk'!$D$5:$J$860,7,0))</f>
        <v/>
      </c>
      <c r="G593" s="27" t="str">
        <f t="shared" si="90"/>
        <v/>
      </c>
      <c r="H593" s="27" t="str">
        <f t="shared" si="91"/>
        <v/>
      </c>
      <c r="I593" s="27" t="str">
        <f t="shared" si="92"/>
        <v/>
      </c>
      <c r="J593" s="27" t="str">
        <f t="shared" si="93"/>
        <v/>
      </c>
      <c r="K593" s="27" t="str">
        <f t="shared" si="94"/>
        <v/>
      </c>
      <c r="L593" s="59" t="str">
        <f>IF(D593="","",VLOOKUP(D593,'[1]0.1 Produksi Pangan &amp; Penduduk'!$D$5:$M$860,10,0))</f>
        <v/>
      </c>
      <c r="M593" s="28" t="str">
        <f t="shared" si="95"/>
        <v/>
      </c>
      <c r="N593" s="60" t="str">
        <f t="shared" si="96"/>
        <v/>
      </c>
      <c r="O593" s="60" t="str">
        <f t="shared" si="97"/>
        <v/>
      </c>
      <c r="P593" s="60" t="str">
        <f t="shared" si="98"/>
        <v/>
      </c>
      <c r="Q593" s="28" t="str">
        <f t="shared" si="99"/>
        <v/>
      </c>
    </row>
    <row r="594" spans="1:17" ht="15" x14ac:dyDescent="0.25">
      <c r="A594" s="3" t="str">
        <f>IF('[1]0.1 Produksi Pangan &amp; Penduduk'!A595="","",'[1]0.1 Produksi Pangan &amp; Penduduk'!A595)</f>
        <v/>
      </c>
      <c r="B594" s="2" t="str">
        <f>IF('[1]0.1 Produksi Pangan &amp; Penduduk'!B595="","",'[1]0.1 Produksi Pangan &amp; Penduduk'!B595)</f>
        <v/>
      </c>
      <c r="C594" s="2" t="str">
        <f>IF('[1]0.1 Produksi Pangan &amp; Penduduk'!F595="","",'[1]0.1 Produksi Pangan &amp; Penduduk'!F595)</f>
        <v/>
      </c>
      <c r="D594" s="3" t="str">
        <f>IF('[1]0.1 Produksi Pangan &amp; Penduduk'!D595="","",'[1]0.1 Produksi Pangan &amp; Penduduk'!D595)</f>
        <v/>
      </c>
      <c r="E594" s="3" t="str">
        <f>IF('[1]0.1 Produksi Pangan &amp; Penduduk'!E595="","",'[1]0.1 Produksi Pangan &amp; Penduduk'!E595)</f>
        <v/>
      </c>
      <c r="F594" s="59" t="str">
        <f>IF(D594="","",VLOOKUP(D594,'[1]0.1 Produksi Pangan &amp; Penduduk'!$D$5:$J$860,7,0))</f>
        <v/>
      </c>
      <c r="G594" s="27" t="str">
        <f t="shared" si="90"/>
        <v/>
      </c>
      <c r="H594" s="27" t="str">
        <f t="shared" si="91"/>
        <v/>
      </c>
      <c r="I594" s="27" t="str">
        <f t="shared" si="92"/>
        <v/>
      </c>
      <c r="J594" s="27" t="str">
        <f t="shared" si="93"/>
        <v/>
      </c>
      <c r="K594" s="27" t="str">
        <f t="shared" si="94"/>
        <v/>
      </c>
      <c r="L594" s="59" t="str">
        <f>IF(D594="","",VLOOKUP(D594,'[1]0.1 Produksi Pangan &amp; Penduduk'!$D$5:$M$860,10,0))</f>
        <v/>
      </c>
      <c r="M594" s="28" t="str">
        <f t="shared" si="95"/>
        <v/>
      </c>
      <c r="N594" s="60" t="str">
        <f t="shared" si="96"/>
        <v/>
      </c>
      <c r="O594" s="60" t="str">
        <f t="shared" si="97"/>
        <v/>
      </c>
      <c r="P594" s="60" t="str">
        <f t="shared" si="98"/>
        <v/>
      </c>
      <c r="Q594" s="28" t="str">
        <f t="shared" si="99"/>
        <v/>
      </c>
    </row>
    <row r="595" spans="1:17" ht="15" x14ac:dyDescent="0.25">
      <c r="A595" s="3" t="str">
        <f>IF('[1]0.1 Produksi Pangan &amp; Penduduk'!A596="","",'[1]0.1 Produksi Pangan &amp; Penduduk'!A596)</f>
        <v/>
      </c>
      <c r="B595" s="2" t="str">
        <f>IF('[1]0.1 Produksi Pangan &amp; Penduduk'!B596="","",'[1]0.1 Produksi Pangan &amp; Penduduk'!B596)</f>
        <v/>
      </c>
      <c r="C595" s="2" t="str">
        <f>IF('[1]0.1 Produksi Pangan &amp; Penduduk'!F596="","",'[1]0.1 Produksi Pangan &amp; Penduduk'!F596)</f>
        <v/>
      </c>
      <c r="D595" s="3" t="str">
        <f>IF('[1]0.1 Produksi Pangan &amp; Penduduk'!D596="","",'[1]0.1 Produksi Pangan &amp; Penduduk'!D596)</f>
        <v/>
      </c>
      <c r="E595" s="3" t="str">
        <f>IF('[1]0.1 Produksi Pangan &amp; Penduduk'!E596="","",'[1]0.1 Produksi Pangan &amp; Penduduk'!E596)</f>
        <v/>
      </c>
      <c r="F595" s="59" t="str">
        <f>IF(D595="","",VLOOKUP(D595,'[1]0.1 Produksi Pangan &amp; Penduduk'!$D$5:$J$860,7,0))</f>
        <v/>
      </c>
      <c r="G595" s="27" t="str">
        <f t="shared" si="90"/>
        <v/>
      </c>
      <c r="H595" s="27" t="str">
        <f t="shared" si="91"/>
        <v/>
      </c>
      <c r="I595" s="27" t="str">
        <f t="shared" si="92"/>
        <v/>
      </c>
      <c r="J595" s="27" t="str">
        <f t="shared" si="93"/>
        <v/>
      </c>
      <c r="K595" s="27" t="str">
        <f t="shared" si="94"/>
        <v/>
      </c>
      <c r="L595" s="59" t="str">
        <f>IF(D595="","",VLOOKUP(D595,'[1]0.1 Produksi Pangan &amp; Penduduk'!$D$5:$M$860,10,0))</f>
        <v/>
      </c>
      <c r="M595" s="28" t="str">
        <f t="shared" si="95"/>
        <v/>
      </c>
      <c r="N595" s="60" t="str">
        <f t="shared" si="96"/>
        <v/>
      </c>
      <c r="O595" s="60" t="str">
        <f t="shared" si="97"/>
        <v/>
      </c>
      <c r="P595" s="60" t="str">
        <f t="shared" si="98"/>
        <v/>
      </c>
      <c r="Q595" s="28" t="str">
        <f t="shared" si="99"/>
        <v/>
      </c>
    </row>
    <row r="596" spans="1:17" ht="15" x14ac:dyDescent="0.25">
      <c r="A596" s="3" t="str">
        <f>IF('[1]0.1 Produksi Pangan &amp; Penduduk'!A597="","",'[1]0.1 Produksi Pangan &amp; Penduduk'!A597)</f>
        <v/>
      </c>
      <c r="B596" s="2" t="str">
        <f>IF('[1]0.1 Produksi Pangan &amp; Penduduk'!B597="","",'[1]0.1 Produksi Pangan &amp; Penduduk'!B597)</f>
        <v/>
      </c>
      <c r="C596" s="2" t="str">
        <f>IF('[1]0.1 Produksi Pangan &amp; Penduduk'!F597="","",'[1]0.1 Produksi Pangan &amp; Penduduk'!F597)</f>
        <v/>
      </c>
      <c r="D596" s="3" t="str">
        <f>IF('[1]0.1 Produksi Pangan &amp; Penduduk'!D597="","",'[1]0.1 Produksi Pangan &amp; Penduduk'!D597)</f>
        <v/>
      </c>
      <c r="E596" s="3" t="str">
        <f>IF('[1]0.1 Produksi Pangan &amp; Penduduk'!E597="","",'[1]0.1 Produksi Pangan &amp; Penduduk'!E597)</f>
        <v/>
      </c>
      <c r="F596" s="59" t="str">
        <f>IF(D596="","",VLOOKUP(D596,'[1]0.1 Produksi Pangan &amp; Penduduk'!$D$5:$J$860,7,0))</f>
        <v/>
      </c>
      <c r="G596" s="27" t="str">
        <f t="shared" si="90"/>
        <v/>
      </c>
      <c r="H596" s="27" t="str">
        <f t="shared" si="91"/>
        <v/>
      </c>
      <c r="I596" s="27" t="str">
        <f t="shared" si="92"/>
        <v/>
      </c>
      <c r="J596" s="27" t="str">
        <f t="shared" si="93"/>
        <v/>
      </c>
      <c r="K596" s="27" t="str">
        <f t="shared" si="94"/>
        <v/>
      </c>
      <c r="L596" s="59" t="str">
        <f>IF(D596="","",VLOOKUP(D596,'[1]0.1 Produksi Pangan &amp; Penduduk'!$D$5:$M$860,10,0))</f>
        <v/>
      </c>
      <c r="M596" s="28" t="str">
        <f t="shared" si="95"/>
        <v/>
      </c>
      <c r="N596" s="60" t="str">
        <f t="shared" si="96"/>
        <v/>
      </c>
      <c r="O596" s="60" t="str">
        <f t="shared" si="97"/>
        <v/>
      </c>
      <c r="P596" s="60" t="str">
        <f t="shared" si="98"/>
        <v/>
      </c>
      <c r="Q596" s="28" t="str">
        <f t="shared" si="99"/>
        <v/>
      </c>
    </row>
    <row r="597" spans="1:17" ht="15" x14ac:dyDescent="0.25">
      <c r="A597" s="3" t="str">
        <f>IF('[1]0.1 Produksi Pangan &amp; Penduduk'!A598="","",'[1]0.1 Produksi Pangan &amp; Penduduk'!A598)</f>
        <v/>
      </c>
      <c r="B597" s="2" t="str">
        <f>IF('[1]0.1 Produksi Pangan &amp; Penduduk'!B598="","",'[1]0.1 Produksi Pangan &amp; Penduduk'!B598)</f>
        <v/>
      </c>
      <c r="C597" s="2" t="str">
        <f>IF('[1]0.1 Produksi Pangan &amp; Penduduk'!F598="","",'[1]0.1 Produksi Pangan &amp; Penduduk'!F598)</f>
        <v/>
      </c>
      <c r="D597" s="3" t="str">
        <f>IF('[1]0.1 Produksi Pangan &amp; Penduduk'!D598="","",'[1]0.1 Produksi Pangan &amp; Penduduk'!D598)</f>
        <v/>
      </c>
      <c r="E597" s="3" t="str">
        <f>IF('[1]0.1 Produksi Pangan &amp; Penduduk'!E598="","",'[1]0.1 Produksi Pangan &amp; Penduduk'!E598)</f>
        <v/>
      </c>
      <c r="F597" s="59" t="str">
        <f>IF(D597="","",VLOOKUP(D597,'[1]0.1 Produksi Pangan &amp; Penduduk'!$D$5:$J$860,7,0))</f>
        <v/>
      </c>
      <c r="G597" s="27" t="str">
        <f t="shared" si="90"/>
        <v/>
      </c>
      <c r="H597" s="27" t="str">
        <f t="shared" si="91"/>
        <v/>
      </c>
      <c r="I597" s="27" t="str">
        <f t="shared" si="92"/>
        <v/>
      </c>
      <c r="J597" s="27" t="str">
        <f t="shared" si="93"/>
        <v/>
      </c>
      <c r="K597" s="27" t="str">
        <f t="shared" si="94"/>
        <v/>
      </c>
      <c r="L597" s="59" t="str">
        <f>IF(D597="","",VLOOKUP(D597,'[1]0.1 Produksi Pangan &amp; Penduduk'!$D$5:$M$860,10,0))</f>
        <v/>
      </c>
      <c r="M597" s="28" t="str">
        <f t="shared" si="95"/>
        <v/>
      </c>
      <c r="N597" s="60" t="str">
        <f t="shared" si="96"/>
        <v/>
      </c>
      <c r="O597" s="60" t="str">
        <f t="shared" si="97"/>
        <v/>
      </c>
      <c r="P597" s="60" t="str">
        <f t="shared" si="98"/>
        <v/>
      </c>
      <c r="Q597" s="28" t="str">
        <f t="shared" si="99"/>
        <v/>
      </c>
    </row>
    <row r="598" spans="1:17" ht="15" x14ac:dyDescent="0.25">
      <c r="A598" s="3" t="str">
        <f>IF('[1]0.1 Produksi Pangan &amp; Penduduk'!A599="","",'[1]0.1 Produksi Pangan &amp; Penduduk'!A599)</f>
        <v/>
      </c>
      <c r="B598" s="2" t="str">
        <f>IF('[1]0.1 Produksi Pangan &amp; Penduduk'!B599="","",'[1]0.1 Produksi Pangan &amp; Penduduk'!B599)</f>
        <v/>
      </c>
      <c r="C598" s="2" t="str">
        <f>IF('[1]0.1 Produksi Pangan &amp; Penduduk'!F599="","",'[1]0.1 Produksi Pangan &amp; Penduduk'!F599)</f>
        <v/>
      </c>
      <c r="D598" s="3" t="str">
        <f>IF('[1]0.1 Produksi Pangan &amp; Penduduk'!D599="","",'[1]0.1 Produksi Pangan &amp; Penduduk'!D599)</f>
        <v/>
      </c>
      <c r="E598" s="3" t="str">
        <f>IF('[1]0.1 Produksi Pangan &amp; Penduduk'!E599="","",'[1]0.1 Produksi Pangan &amp; Penduduk'!E599)</f>
        <v/>
      </c>
      <c r="F598" s="59" t="str">
        <f>IF(D598="","",VLOOKUP(D598,'[1]0.1 Produksi Pangan &amp; Penduduk'!$D$5:$J$860,7,0))</f>
        <v/>
      </c>
      <c r="G598" s="27" t="str">
        <f t="shared" si="90"/>
        <v/>
      </c>
      <c r="H598" s="27" t="str">
        <f t="shared" si="91"/>
        <v/>
      </c>
      <c r="I598" s="27" t="str">
        <f t="shared" si="92"/>
        <v/>
      </c>
      <c r="J598" s="27" t="str">
        <f t="shared" si="93"/>
        <v/>
      </c>
      <c r="K598" s="27" t="str">
        <f t="shared" si="94"/>
        <v/>
      </c>
      <c r="L598" s="59" t="str">
        <f>IF(D598="","",VLOOKUP(D598,'[1]0.1 Produksi Pangan &amp; Penduduk'!$D$5:$M$860,10,0))</f>
        <v/>
      </c>
      <c r="M598" s="28" t="str">
        <f t="shared" si="95"/>
        <v/>
      </c>
      <c r="N598" s="60" t="str">
        <f t="shared" si="96"/>
        <v/>
      </c>
      <c r="O598" s="60" t="str">
        <f t="shared" si="97"/>
        <v/>
      </c>
      <c r="P598" s="60" t="str">
        <f t="shared" si="98"/>
        <v/>
      </c>
      <c r="Q598" s="28" t="str">
        <f t="shared" si="99"/>
        <v/>
      </c>
    </row>
    <row r="599" spans="1:17" ht="15" x14ac:dyDescent="0.25">
      <c r="A599" s="3" t="str">
        <f>IF('[1]0.1 Produksi Pangan &amp; Penduduk'!A600="","",'[1]0.1 Produksi Pangan &amp; Penduduk'!A600)</f>
        <v/>
      </c>
      <c r="B599" s="2" t="str">
        <f>IF('[1]0.1 Produksi Pangan &amp; Penduduk'!B600="","",'[1]0.1 Produksi Pangan &amp; Penduduk'!B600)</f>
        <v/>
      </c>
      <c r="C599" s="2" t="str">
        <f>IF('[1]0.1 Produksi Pangan &amp; Penduduk'!F600="","",'[1]0.1 Produksi Pangan &amp; Penduduk'!F600)</f>
        <v/>
      </c>
      <c r="D599" s="3" t="str">
        <f>IF('[1]0.1 Produksi Pangan &amp; Penduduk'!D600="","",'[1]0.1 Produksi Pangan &amp; Penduduk'!D600)</f>
        <v/>
      </c>
      <c r="E599" s="3" t="str">
        <f>IF('[1]0.1 Produksi Pangan &amp; Penduduk'!E600="","",'[1]0.1 Produksi Pangan &amp; Penduduk'!E600)</f>
        <v/>
      </c>
      <c r="F599" s="59" t="str">
        <f>IF(D599="","",VLOOKUP(D599,'[1]0.1 Produksi Pangan &amp; Penduduk'!$D$5:$J$860,7,0))</f>
        <v/>
      </c>
      <c r="G599" s="27" t="str">
        <f t="shared" si="90"/>
        <v/>
      </c>
      <c r="H599" s="27" t="str">
        <f t="shared" si="91"/>
        <v/>
      </c>
      <c r="I599" s="27" t="str">
        <f t="shared" si="92"/>
        <v/>
      </c>
      <c r="J599" s="27" t="str">
        <f t="shared" si="93"/>
        <v/>
      </c>
      <c r="K599" s="27" t="str">
        <f t="shared" si="94"/>
        <v/>
      </c>
      <c r="L599" s="59" t="str">
        <f>IF(D599="","",VLOOKUP(D599,'[1]0.1 Produksi Pangan &amp; Penduduk'!$D$5:$M$860,10,0))</f>
        <v/>
      </c>
      <c r="M599" s="28" t="str">
        <f t="shared" si="95"/>
        <v/>
      </c>
      <c r="N599" s="60" t="str">
        <f t="shared" si="96"/>
        <v/>
      </c>
      <c r="O599" s="60" t="str">
        <f t="shared" si="97"/>
        <v/>
      </c>
      <c r="P599" s="60" t="str">
        <f t="shared" si="98"/>
        <v/>
      </c>
      <c r="Q599" s="28" t="str">
        <f t="shared" si="99"/>
        <v/>
      </c>
    </row>
    <row r="600" spans="1:17" ht="15" x14ac:dyDescent="0.25">
      <c r="A600" s="3" t="str">
        <f>IF('[1]0.1 Produksi Pangan &amp; Penduduk'!A601="","",'[1]0.1 Produksi Pangan &amp; Penduduk'!A601)</f>
        <v/>
      </c>
      <c r="B600" s="2" t="str">
        <f>IF('[1]0.1 Produksi Pangan &amp; Penduduk'!B601="","",'[1]0.1 Produksi Pangan &amp; Penduduk'!B601)</f>
        <v/>
      </c>
      <c r="C600" s="2" t="str">
        <f>IF('[1]0.1 Produksi Pangan &amp; Penduduk'!F601="","",'[1]0.1 Produksi Pangan &amp; Penduduk'!F601)</f>
        <v/>
      </c>
      <c r="D600" s="3" t="str">
        <f>IF('[1]0.1 Produksi Pangan &amp; Penduduk'!D601="","",'[1]0.1 Produksi Pangan &amp; Penduduk'!D601)</f>
        <v/>
      </c>
      <c r="E600" s="3" t="str">
        <f>IF('[1]0.1 Produksi Pangan &amp; Penduduk'!E601="","",'[1]0.1 Produksi Pangan &amp; Penduduk'!E601)</f>
        <v/>
      </c>
      <c r="F600" s="59" t="str">
        <f>IF(D600="","",VLOOKUP(D600,'[1]0.1 Produksi Pangan &amp; Penduduk'!$D$5:$J$860,7,0))</f>
        <v/>
      </c>
      <c r="G600" s="27" t="str">
        <f t="shared" si="90"/>
        <v/>
      </c>
      <c r="H600" s="27" t="str">
        <f t="shared" si="91"/>
        <v/>
      </c>
      <c r="I600" s="27" t="str">
        <f t="shared" si="92"/>
        <v/>
      </c>
      <c r="J600" s="27" t="str">
        <f t="shared" si="93"/>
        <v/>
      </c>
      <c r="K600" s="27" t="str">
        <f t="shared" si="94"/>
        <v/>
      </c>
      <c r="L600" s="59" t="str">
        <f>IF(D600="","",VLOOKUP(D600,'[1]0.1 Produksi Pangan &amp; Penduduk'!$D$5:$M$860,10,0))</f>
        <v/>
      </c>
      <c r="M600" s="28" t="str">
        <f t="shared" si="95"/>
        <v/>
      </c>
      <c r="N600" s="60" t="str">
        <f t="shared" si="96"/>
        <v/>
      </c>
      <c r="O600" s="60" t="str">
        <f t="shared" si="97"/>
        <v/>
      </c>
      <c r="P600" s="60" t="str">
        <f t="shared" si="98"/>
        <v/>
      </c>
      <c r="Q600" s="28" t="str">
        <f t="shared" si="99"/>
        <v/>
      </c>
    </row>
    <row r="601" spans="1:17" ht="15" x14ac:dyDescent="0.25">
      <c r="A601" s="3" t="str">
        <f>IF('[1]0.1 Produksi Pangan &amp; Penduduk'!A602="","",'[1]0.1 Produksi Pangan &amp; Penduduk'!A602)</f>
        <v/>
      </c>
      <c r="B601" s="2" t="str">
        <f>IF('[1]0.1 Produksi Pangan &amp; Penduduk'!B602="","",'[1]0.1 Produksi Pangan &amp; Penduduk'!B602)</f>
        <v/>
      </c>
      <c r="C601" s="2" t="str">
        <f>IF('[1]0.1 Produksi Pangan &amp; Penduduk'!F602="","",'[1]0.1 Produksi Pangan &amp; Penduduk'!F602)</f>
        <v/>
      </c>
      <c r="D601" s="3" t="str">
        <f>IF('[1]0.1 Produksi Pangan &amp; Penduduk'!D602="","",'[1]0.1 Produksi Pangan &amp; Penduduk'!D602)</f>
        <v/>
      </c>
      <c r="E601" s="3" t="str">
        <f>IF('[1]0.1 Produksi Pangan &amp; Penduduk'!E602="","",'[1]0.1 Produksi Pangan &amp; Penduduk'!E602)</f>
        <v/>
      </c>
      <c r="F601" s="59" t="str">
        <f>IF(D601="","",VLOOKUP(D601,'[1]0.1 Produksi Pangan &amp; Penduduk'!$D$5:$J$860,7,0))</f>
        <v/>
      </c>
      <c r="G601" s="27" t="str">
        <f t="shared" si="90"/>
        <v/>
      </c>
      <c r="H601" s="27" t="str">
        <f t="shared" si="91"/>
        <v/>
      </c>
      <c r="I601" s="27" t="str">
        <f t="shared" si="92"/>
        <v/>
      </c>
      <c r="J601" s="27" t="str">
        <f t="shared" si="93"/>
        <v/>
      </c>
      <c r="K601" s="27" t="str">
        <f t="shared" si="94"/>
        <v/>
      </c>
      <c r="L601" s="59" t="str">
        <f>IF(D601="","",VLOOKUP(D601,'[1]0.1 Produksi Pangan &amp; Penduduk'!$D$5:$M$860,10,0))</f>
        <v/>
      </c>
      <c r="M601" s="28" t="str">
        <f t="shared" si="95"/>
        <v/>
      </c>
      <c r="N601" s="60" t="str">
        <f t="shared" si="96"/>
        <v/>
      </c>
      <c r="O601" s="60" t="str">
        <f t="shared" si="97"/>
        <v/>
      </c>
      <c r="P601" s="60" t="str">
        <f t="shared" si="98"/>
        <v/>
      </c>
      <c r="Q601" s="28" t="str">
        <f t="shared" si="99"/>
        <v/>
      </c>
    </row>
    <row r="602" spans="1:17" ht="15" x14ac:dyDescent="0.25">
      <c r="A602" s="3" t="str">
        <f>IF('[1]0.1 Produksi Pangan &amp; Penduduk'!A603="","",'[1]0.1 Produksi Pangan &amp; Penduduk'!A603)</f>
        <v/>
      </c>
      <c r="B602" s="2" t="str">
        <f>IF('[1]0.1 Produksi Pangan &amp; Penduduk'!B603="","",'[1]0.1 Produksi Pangan &amp; Penduduk'!B603)</f>
        <v/>
      </c>
      <c r="C602" s="2" t="str">
        <f>IF('[1]0.1 Produksi Pangan &amp; Penduduk'!F603="","",'[1]0.1 Produksi Pangan &amp; Penduduk'!F603)</f>
        <v/>
      </c>
      <c r="D602" s="3" t="str">
        <f>IF('[1]0.1 Produksi Pangan &amp; Penduduk'!D603="","",'[1]0.1 Produksi Pangan &amp; Penduduk'!D603)</f>
        <v/>
      </c>
      <c r="E602" s="3" t="str">
        <f>IF('[1]0.1 Produksi Pangan &amp; Penduduk'!E603="","",'[1]0.1 Produksi Pangan &amp; Penduduk'!E603)</f>
        <v/>
      </c>
      <c r="F602" s="59" t="str">
        <f>IF(D602="","",VLOOKUP(D602,'[1]0.1 Produksi Pangan &amp; Penduduk'!$D$5:$J$860,7,0))</f>
        <v/>
      </c>
      <c r="G602" s="27" t="str">
        <f t="shared" si="90"/>
        <v/>
      </c>
      <c r="H602" s="27" t="str">
        <f t="shared" si="91"/>
        <v/>
      </c>
      <c r="I602" s="27" t="str">
        <f t="shared" si="92"/>
        <v/>
      </c>
      <c r="J602" s="27" t="str">
        <f t="shared" si="93"/>
        <v/>
      </c>
      <c r="K602" s="27" t="str">
        <f t="shared" si="94"/>
        <v/>
      </c>
      <c r="L602" s="59" t="str">
        <f>IF(D602="","",VLOOKUP(D602,'[1]0.1 Produksi Pangan &amp; Penduduk'!$D$5:$M$860,10,0))</f>
        <v/>
      </c>
      <c r="M602" s="28" t="str">
        <f t="shared" si="95"/>
        <v/>
      </c>
      <c r="N602" s="60" t="str">
        <f t="shared" si="96"/>
        <v/>
      </c>
      <c r="O602" s="60" t="str">
        <f t="shared" si="97"/>
        <v/>
      </c>
      <c r="P602" s="60" t="str">
        <f t="shared" si="98"/>
        <v/>
      </c>
      <c r="Q602" s="28" t="str">
        <f t="shared" si="99"/>
        <v/>
      </c>
    </row>
    <row r="603" spans="1:17" ht="15" x14ac:dyDescent="0.25">
      <c r="A603" s="3" t="str">
        <f>IF('[1]0.1 Produksi Pangan &amp; Penduduk'!A604="","",'[1]0.1 Produksi Pangan &amp; Penduduk'!A604)</f>
        <v/>
      </c>
      <c r="B603" s="2" t="str">
        <f>IF('[1]0.1 Produksi Pangan &amp; Penduduk'!B604="","",'[1]0.1 Produksi Pangan &amp; Penduduk'!B604)</f>
        <v/>
      </c>
      <c r="C603" s="2" t="str">
        <f>IF('[1]0.1 Produksi Pangan &amp; Penduduk'!F604="","",'[1]0.1 Produksi Pangan &amp; Penduduk'!F604)</f>
        <v/>
      </c>
      <c r="D603" s="3" t="str">
        <f>IF('[1]0.1 Produksi Pangan &amp; Penduduk'!D604="","",'[1]0.1 Produksi Pangan &amp; Penduduk'!D604)</f>
        <v/>
      </c>
      <c r="E603" s="3" t="str">
        <f>IF('[1]0.1 Produksi Pangan &amp; Penduduk'!E604="","",'[1]0.1 Produksi Pangan &amp; Penduduk'!E604)</f>
        <v/>
      </c>
      <c r="F603" s="59" t="str">
        <f>IF(D603="","",VLOOKUP(D603,'[1]0.1 Produksi Pangan &amp; Penduduk'!$D$5:$J$860,7,0))</f>
        <v/>
      </c>
      <c r="G603" s="27" t="str">
        <f t="shared" si="90"/>
        <v/>
      </c>
      <c r="H603" s="27" t="str">
        <f t="shared" si="91"/>
        <v/>
      </c>
      <c r="I603" s="27" t="str">
        <f t="shared" si="92"/>
        <v/>
      </c>
      <c r="J603" s="27" t="str">
        <f t="shared" si="93"/>
        <v/>
      </c>
      <c r="K603" s="27" t="str">
        <f t="shared" si="94"/>
        <v/>
      </c>
      <c r="L603" s="59" t="str">
        <f>IF(D603="","",VLOOKUP(D603,'[1]0.1 Produksi Pangan &amp; Penduduk'!$D$5:$M$860,10,0))</f>
        <v/>
      </c>
      <c r="M603" s="28" t="str">
        <f t="shared" si="95"/>
        <v/>
      </c>
      <c r="N603" s="60" t="str">
        <f t="shared" si="96"/>
        <v/>
      </c>
      <c r="O603" s="60" t="str">
        <f t="shared" si="97"/>
        <v/>
      </c>
      <c r="P603" s="60" t="str">
        <f t="shared" si="98"/>
        <v/>
      </c>
      <c r="Q603" s="28" t="str">
        <f t="shared" si="99"/>
        <v/>
      </c>
    </row>
    <row r="604" spans="1:17" ht="15" x14ac:dyDescent="0.25">
      <c r="A604" s="3" t="str">
        <f>IF('[1]0.1 Produksi Pangan &amp; Penduduk'!A605="","",'[1]0.1 Produksi Pangan &amp; Penduduk'!A605)</f>
        <v/>
      </c>
      <c r="B604" s="2" t="str">
        <f>IF('[1]0.1 Produksi Pangan &amp; Penduduk'!B605="","",'[1]0.1 Produksi Pangan &amp; Penduduk'!B605)</f>
        <v/>
      </c>
      <c r="C604" s="2" t="str">
        <f>IF('[1]0.1 Produksi Pangan &amp; Penduduk'!F605="","",'[1]0.1 Produksi Pangan &amp; Penduduk'!F605)</f>
        <v/>
      </c>
      <c r="D604" s="3" t="str">
        <f>IF('[1]0.1 Produksi Pangan &amp; Penduduk'!D605="","",'[1]0.1 Produksi Pangan &amp; Penduduk'!D605)</f>
        <v/>
      </c>
      <c r="E604" s="3" t="str">
        <f>IF('[1]0.1 Produksi Pangan &amp; Penduduk'!E605="","",'[1]0.1 Produksi Pangan &amp; Penduduk'!E605)</f>
        <v/>
      </c>
      <c r="F604" s="59" t="str">
        <f>IF(D604="","",VLOOKUP(D604,'[1]0.1 Produksi Pangan &amp; Penduduk'!$D$5:$J$860,7,0))</f>
        <v/>
      </c>
      <c r="G604" s="27" t="str">
        <f t="shared" si="90"/>
        <v/>
      </c>
      <c r="H604" s="27" t="str">
        <f t="shared" si="91"/>
        <v/>
      </c>
      <c r="I604" s="27" t="str">
        <f t="shared" si="92"/>
        <v/>
      </c>
      <c r="J604" s="27" t="str">
        <f t="shared" si="93"/>
        <v/>
      </c>
      <c r="K604" s="27" t="str">
        <f t="shared" si="94"/>
        <v/>
      </c>
      <c r="L604" s="59" t="str">
        <f>IF(D604="","",VLOOKUP(D604,'[1]0.1 Produksi Pangan &amp; Penduduk'!$D$5:$M$860,10,0))</f>
        <v/>
      </c>
      <c r="M604" s="28" t="str">
        <f t="shared" si="95"/>
        <v/>
      </c>
      <c r="N604" s="60" t="str">
        <f t="shared" si="96"/>
        <v/>
      </c>
      <c r="O604" s="60" t="str">
        <f t="shared" si="97"/>
        <v/>
      </c>
      <c r="P604" s="60" t="str">
        <f t="shared" si="98"/>
        <v/>
      </c>
      <c r="Q604" s="28" t="str">
        <f t="shared" si="99"/>
        <v/>
      </c>
    </row>
    <row r="605" spans="1:17" ht="15" x14ac:dyDescent="0.25">
      <c r="A605" s="3" t="str">
        <f>IF('[1]0.1 Produksi Pangan &amp; Penduduk'!A606="","",'[1]0.1 Produksi Pangan &amp; Penduduk'!A606)</f>
        <v/>
      </c>
      <c r="B605" s="2" t="str">
        <f>IF('[1]0.1 Produksi Pangan &amp; Penduduk'!B606="","",'[1]0.1 Produksi Pangan &amp; Penduduk'!B606)</f>
        <v/>
      </c>
      <c r="C605" s="2" t="str">
        <f>IF('[1]0.1 Produksi Pangan &amp; Penduduk'!F606="","",'[1]0.1 Produksi Pangan &amp; Penduduk'!F606)</f>
        <v/>
      </c>
      <c r="D605" s="3" t="str">
        <f>IF('[1]0.1 Produksi Pangan &amp; Penduduk'!D606="","",'[1]0.1 Produksi Pangan &amp; Penduduk'!D606)</f>
        <v/>
      </c>
      <c r="E605" s="3" t="str">
        <f>IF('[1]0.1 Produksi Pangan &amp; Penduduk'!E606="","",'[1]0.1 Produksi Pangan &amp; Penduduk'!E606)</f>
        <v/>
      </c>
      <c r="F605" s="59" t="str">
        <f>IF(D605="","",VLOOKUP(D605,'[1]0.1 Produksi Pangan &amp; Penduduk'!$D$5:$J$860,7,0))</f>
        <v/>
      </c>
      <c r="G605" s="27" t="str">
        <f t="shared" si="90"/>
        <v/>
      </c>
      <c r="H605" s="27" t="str">
        <f t="shared" si="91"/>
        <v/>
      </c>
      <c r="I605" s="27" t="str">
        <f t="shared" si="92"/>
        <v/>
      </c>
      <c r="J605" s="27" t="str">
        <f t="shared" si="93"/>
        <v/>
      </c>
      <c r="K605" s="27" t="str">
        <f t="shared" si="94"/>
        <v/>
      </c>
      <c r="L605" s="59" t="str">
        <f>IF(D605="","",VLOOKUP(D605,'[1]0.1 Produksi Pangan &amp; Penduduk'!$D$5:$M$860,10,0))</f>
        <v/>
      </c>
      <c r="M605" s="28" t="str">
        <f t="shared" si="95"/>
        <v/>
      </c>
      <c r="N605" s="60" t="str">
        <f t="shared" si="96"/>
        <v/>
      </c>
      <c r="O605" s="60" t="str">
        <f t="shared" si="97"/>
        <v/>
      </c>
      <c r="P605" s="60" t="str">
        <f t="shared" si="98"/>
        <v/>
      </c>
      <c r="Q605" s="28" t="str">
        <f t="shared" si="99"/>
        <v/>
      </c>
    </row>
    <row r="606" spans="1:17" ht="15" x14ac:dyDescent="0.25">
      <c r="A606" s="3" t="str">
        <f>IF('[1]0.1 Produksi Pangan &amp; Penduduk'!A607="","",'[1]0.1 Produksi Pangan &amp; Penduduk'!A607)</f>
        <v/>
      </c>
      <c r="B606" s="2" t="str">
        <f>IF('[1]0.1 Produksi Pangan &amp; Penduduk'!B607="","",'[1]0.1 Produksi Pangan &amp; Penduduk'!B607)</f>
        <v/>
      </c>
      <c r="C606" s="2" t="str">
        <f>IF('[1]0.1 Produksi Pangan &amp; Penduduk'!F607="","",'[1]0.1 Produksi Pangan &amp; Penduduk'!F607)</f>
        <v/>
      </c>
      <c r="D606" s="3" t="str">
        <f>IF('[1]0.1 Produksi Pangan &amp; Penduduk'!D607="","",'[1]0.1 Produksi Pangan &amp; Penduduk'!D607)</f>
        <v/>
      </c>
      <c r="E606" s="3" t="str">
        <f>IF('[1]0.1 Produksi Pangan &amp; Penduduk'!E607="","",'[1]0.1 Produksi Pangan &amp; Penduduk'!E607)</f>
        <v/>
      </c>
      <c r="F606" s="59" t="str">
        <f>IF(D606="","",VLOOKUP(D606,'[1]0.1 Produksi Pangan &amp; Penduduk'!$D$5:$J$860,7,0))</f>
        <v/>
      </c>
      <c r="G606" s="27" t="str">
        <f t="shared" si="90"/>
        <v/>
      </c>
      <c r="H606" s="27" t="str">
        <f t="shared" si="91"/>
        <v/>
      </c>
      <c r="I606" s="27" t="str">
        <f t="shared" si="92"/>
        <v/>
      </c>
      <c r="J606" s="27" t="str">
        <f t="shared" si="93"/>
        <v/>
      </c>
      <c r="K606" s="27" t="str">
        <f t="shared" si="94"/>
        <v/>
      </c>
      <c r="L606" s="59" t="str">
        <f>IF(D606="","",VLOOKUP(D606,'[1]0.1 Produksi Pangan &amp; Penduduk'!$D$5:$M$860,10,0))</f>
        <v/>
      </c>
      <c r="M606" s="28" t="str">
        <f t="shared" si="95"/>
        <v/>
      </c>
      <c r="N606" s="60" t="str">
        <f t="shared" si="96"/>
        <v/>
      </c>
      <c r="O606" s="60" t="str">
        <f t="shared" si="97"/>
        <v/>
      </c>
      <c r="P606" s="60" t="str">
        <f t="shared" si="98"/>
        <v/>
      </c>
      <c r="Q606" s="28" t="str">
        <f t="shared" si="99"/>
        <v/>
      </c>
    </row>
    <row r="607" spans="1:17" ht="15" x14ac:dyDescent="0.25">
      <c r="A607" s="3" t="str">
        <f>IF('[1]0.1 Produksi Pangan &amp; Penduduk'!A608="","",'[1]0.1 Produksi Pangan &amp; Penduduk'!A608)</f>
        <v/>
      </c>
      <c r="B607" s="2" t="str">
        <f>IF('[1]0.1 Produksi Pangan &amp; Penduduk'!B608="","",'[1]0.1 Produksi Pangan &amp; Penduduk'!B608)</f>
        <v/>
      </c>
      <c r="C607" s="2" t="str">
        <f>IF('[1]0.1 Produksi Pangan &amp; Penduduk'!F608="","",'[1]0.1 Produksi Pangan &amp; Penduduk'!F608)</f>
        <v/>
      </c>
      <c r="D607" s="3" t="str">
        <f>IF('[1]0.1 Produksi Pangan &amp; Penduduk'!D608="","",'[1]0.1 Produksi Pangan &amp; Penduduk'!D608)</f>
        <v/>
      </c>
      <c r="E607" s="3" t="str">
        <f>IF('[1]0.1 Produksi Pangan &amp; Penduduk'!E608="","",'[1]0.1 Produksi Pangan &amp; Penduduk'!E608)</f>
        <v/>
      </c>
      <c r="F607" s="59" t="str">
        <f>IF(D607="","",VLOOKUP(D607,'[1]0.1 Produksi Pangan &amp; Penduduk'!$D$5:$J$860,7,0))</f>
        <v/>
      </c>
      <c r="G607" s="27" t="str">
        <f t="shared" si="90"/>
        <v/>
      </c>
      <c r="H607" s="27" t="str">
        <f t="shared" si="91"/>
        <v/>
      </c>
      <c r="I607" s="27" t="str">
        <f t="shared" si="92"/>
        <v/>
      </c>
      <c r="J607" s="27" t="str">
        <f t="shared" si="93"/>
        <v/>
      </c>
      <c r="K607" s="27" t="str">
        <f t="shared" si="94"/>
        <v/>
      </c>
      <c r="L607" s="59" t="str">
        <f>IF(D607="","",VLOOKUP(D607,'[1]0.1 Produksi Pangan &amp; Penduduk'!$D$5:$M$860,10,0))</f>
        <v/>
      </c>
      <c r="M607" s="28" t="str">
        <f t="shared" si="95"/>
        <v/>
      </c>
      <c r="N607" s="60" t="str">
        <f t="shared" si="96"/>
        <v/>
      </c>
      <c r="O607" s="60" t="str">
        <f t="shared" si="97"/>
        <v/>
      </c>
      <c r="P607" s="60" t="str">
        <f t="shared" si="98"/>
        <v/>
      </c>
      <c r="Q607" s="28" t="str">
        <f t="shared" si="99"/>
        <v/>
      </c>
    </row>
    <row r="608" spans="1:17" ht="15" x14ac:dyDescent="0.25">
      <c r="A608" s="3" t="str">
        <f>IF('[1]0.1 Produksi Pangan &amp; Penduduk'!A609="","",'[1]0.1 Produksi Pangan &amp; Penduduk'!A609)</f>
        <v/>
      </c>
      <c r="B608" s="2" t="str">
        <f>IF('[1]0.1 Produksi Pangan &amp; Penduduk'!B609="","",'[1]0.1 Produksi Pangan &amp; Penduduk'!B609)</f>
        <v/>
      </c>
      <c r="C608" s="2" t="str">
        <f>IF('[1]0.1 Produksi Pangan &amp; Penduduk'!F609="","",'[1]0.1 Produksi Pangan &amp; Penduduk'!F609)</f>
        <v/>
      </c>
      <c r="D608" s="3" t="str">
        <f>IF('[1]0.1 Produksi Pangan &amp; Penduduk'!D609="","",'[1]0.1 Produksi Pangan &amp; Penduduk'!D609)</f>
        <v/>
      </c>
      <c r="E608" s="3" t="str">
        <f>IF('[1]0.1 Produksi Pangan &amp; Penduduk'!E609="","",'[1]0.1 Produksi Pangan &amp; Penduduk'!E609)</f>
        <v/>
      </c>
      <c r="F608" s="59" t="str">
        <f>IF(D608="","",VLOOKUP(D608,'[1]0.1 Produksi Pangan &amp; Penduduk'!$D$5:$J$860,7,0))</f>
        <v/>
      </c>
      <c r="G608" s="27" t="str">
        <f t="shared" si="90"/>
        <v/>
      </c>
      <c r="H608" s="27" t="str">
        <f t="shared" si="91"/>
        <v/>
      </c>
      <c r="I608" s="27" t="str">
        <f t="shared" si="92"/>
        <v/>
      </c>
      <c r="J608" s="27" t="str">
        <f t="shared" si="93"/>
        <v/>
      </c>
      <c r="K608" s="27" t="str">
        <f t="shared" si="94"/>
        <v/>
      </c>
      <c r="L608" s="59" t="str">
        <f>IF(D608="","",VLOOKUP(D608,'[1]0.1 Produksi Pangan &amp; Penduduk'!$D$5:$M$860,10,0))</f>
        <v/>
      </c>
      <c r="M608" s="28" t="str">
        <f t="shared" si="95"/>
        <v/>
      </c>
      <c r="N608" s="60" t="str">
        <f t="shared" si="96"/>
        <v/>
      </c>
      <c r="O608" s="60" t="str">
        <f t="shared" si="97"/>
        <v/>
      </c>
      <c r="P608" s="60" t="str">
        <f t="shared" si="98"/>
        <v/>
      </c>
      <c r="Q608" s="28" t="str">
        <f t="shared" si="99"/>
        <v/>
      </c>
    </row>
    <row r="609" spans="1:17" ht="15" x14ac:dyDescent="0.25">
      <c r="A609" s="3" t="str">
        <f>IF('[1]0.1 Produksi Pangan &amp; Penduduk'!A610="","",'[1]0.1 Produksi Pangan &amp; Penduduk'!A610)</f>
        <v/>
      </c>
      <c r="B609" s="2" t="str">
        <f>IF('[1]0.1 Produksi Pangan &amp; Penduduk'!B610="","",'[1]0.1 Produksi Pangan &amp; Penduduk'!B610)</f>
        <v/>
      </c>
      <c r="C609" s="2" t="str">
        <f>IF('[1]0.1 Produksi Pangan &amp; Penduduk'!F610="","",'[1]0.1 Produksi Pangan &amp; Penduduk'!F610)</f>
        <v/>
      </c>
      <c r="D609" s="3" t="str">
        <f>IF('[1]0.1 Produksi Pangan &amp; Penduduk'!D610="","",'[1]0.1 Produksi Pangan &amp; Penduduk'!D610)</f>
        <v/>
      </c>
      <c r="E609" s="3" t="str">
        <f>IF('[1]0.1 Produksi Pangan &amp; Penduduk'!E610="","",'[1]0.1 Produksi Pangan &amp; Penduduk'!E610)</f>
        <v/>
      </c>
      <c r="F609" s="59" t="str">
        <f>IF(D609="","",VLOOKUP(D609,'[1]0.1 Produksi Pangan &amp; Penduduk'!$D$5:$J$860,7,0))</f>
        <v/>
      </c>
      <c r="G609" s="27" t="str">
        <f t="shared" si="90"/>
        <v/>
      </c>
      <c r="H609" s="27" t="str">
        <f t="shared" si="91"/>
        <v/>
      </c>
      <c r="I609" s="27" t="str">
        <f t="shared" si="92"/>
        <v/>
      </c>
      <c r="J609" s="27" t="str">
        <f t="shared" si="93"/>
        <v/>
      </c>
      <c r="K609" s="27" t="str">
        <f t="shared" si="94"/>
        <v/>
      </c>
      <c r="L609" s="59" t="str">
        <f>IF(D609="","",VLOOKUP(D609,'[1]0.1 Produksi Pangan &amp; Penduduk'!$D$5:$M$860,10,0))</f>
        <v/>
      </c>
      <c r="M609" s="28" t="str">
        <f t="shared" si="95"/>
        <v/>
      </c>
      <c r="N609" s="60" t="str">
        <f t="shared" si="96"/>
        <v/>
      </c>
      <c r="O609" s="60" t="str">
        <f t="shared" si="97"/>
        <v/>
      </c>
      <c r="P609" s="60" t="str">
        <f t="shared" si="98"/>
        <v/>
      </c>
      <c r="Q609" s="28" t="str">
        <f t="shared" si="99"/>
        <v/>
      </c>
    </row>
    <row r="610" spans="1:17" ht="15" x14ac:dyDescent="0.25">
      <c r="A610" s="3" t="str">
        <f>IF('[1]0.1 Produksi Pangan &amp; Penduduk'!A611="","",'[1]0.1 Produksi Pangan &amp; Penduduk'!A611)</f>
        <v/>
      </c>
      <c r="B610" s="2" t="str">
        <f>IF('[1]0.1 Produksi Pangan &amp; Penduduk'!B611="","",'[1]0.1 Produksi Pangan &amp; Penduduk'!B611)</f>
        <v/>
      </c>
      <c r="C610" s="2" t="str">
        <f>IF('[1]0.1 Produksi Pangan &amp; Penduduk'!F611="","",'[1]0.1 Produksi Pangan &amp; Penduduk'!F611)</f>
        <v/>
      </c>
      <c r="D610" s="3" t="str">
        <f>IF('[1]0.1 Produksi Pangan &amp; Penduduk'!D611="","",'[1]0.1 Produksi Pangan &amp; Penduduk'!D611)</f>
        <v/>
      </c>
      <c r="E610" s="3" t="str">
        <f>IF('[1]0.1 Produksi Pangan &amp; Penduduk'!E611="","",'[1]0.1 Produksi Pangan &amp; Penduduk'!E611)</f>
        <v/>
      </c>
      <c r="F610" s="59" t="str">
        <f>IF(D610="","",VLOOKUP(D610,'[1]0.1 Produksi Pangan &amp; Penduduk'!$D$5:$J$860,7,0))</f>
        <v/>
      </c>
      <c r="G610" s="27" t="str">
        <f t="shared" si="90"/>
        <v/>
      </c>
      <c r="H610" s="27" t="str">
        <f t="shared" si="91"/>
        <v/>
      </c>
      <c r="I610" s="27" t="str">
        <f t="shared" si="92"/>
        <v/>
      </c>
      <c r="J610" s="27" t="str">
        <f t="shared" si="93"/>
        <v/>
      </c>
      <c r="K610" s="27" t="str">
        <f t="shared" si="94"/>
        <v/>
      </c>
      <c r="L610" s="59" t="str">
        <f>IF(D610="","",VLOOKUP(D610,'[1]0.1 Produksi Pangan &amp; Penduduk'!$D$5:$M$860,10,0))</f>
        <v/>
      </c>
      <c r="M610" s="28" t="str">
        <f t="shared" si="95"/>
        <v/>
      </c>
      <c r="N610" s="60" t="str">
        <f t="shared" si="96"/>
        <v/>
      </c>
      <c r="O610" s="60" t="str">
        <f t="shared" si="97"/>
        <v/>
      </c>
      <c r="P610" s="60" t="str">
        <f t="shared" si="98"/>
        <v/>
      </c>
      <c r="Q610" s="28" t="str">
        <f t="shared" si="99"/>
        <v/>
      </c>
    </row>
    <row r="611" spans="1:17" ht="15" x14ac:dyDescent="0.25">
      <c r="A611" s="3" t="str">
        <f>IF('[1]0.1 Produksi Pangan &amp; Penduduk'!A612="","",'[1]0.1 Produksi Pangan &amp; Penduduk'!A612)</f>
        <v/>
      </c>
      <c r="B611" s="2" t="str">
        <f>IF('[1]0.1 Produksi Pangan &amp; Penduduk'!B612="","",'[1]0.1 Produksi Pangan &amp; Penduduk'!B612)</f>
        <v/>
      </c>
      <c r="C611" s="2" t="str">
        <f>IF('[1]0.1 Produksi Pangan &amp; Penduduk'!F612="","",'[1]0.1 Produksi Pangan &amp; Penduduk'!F612)</f>
        <v/>
      </c>
      <c r="D611" s="3" t="str">
        <f>IF('[1]0.1 Produksi Pangan &amp; Penduduk'!D612="","",'[1]0.1 Produksi Pangan &amp; Penduduk'!D612)</f>
        <v/>
      </c>
      <c r="E611" s="3" t="str">
        <f>IF('[1]0.1 Produksi Pangan &amp; Penduduk'!E612="","",'[1]0.1 Produksi Pangan &amp; Penduduk'!E612)</f>
        <v/>
      </c>
      <c r="F611" s="59" t="str">
        <f>IF(D611="","",VLOOKUP(D611,'[1]0.1 Produksi Pangan &amp; Penduduk'!$D$5:$J$860,7,0))</f>
        <v/>
      </c>
      <c r="G611" s="27" t="str">
        <f t="shared" si="90"/>
        <v/>
      </c>
      <c r="H611" s="27" t="str">
        <f t="shared" si="91"/>
        <v/>
      </c>
      <c r="I611" s="27" t="str">
        <f t="shared" si="92"/>
        <v/>
      </c>
      <c r="J611" s="27" t="str">
        <f t="shared" si="93"/>
        <v/>
      </c>
      <c r="K611" s="27" t="str">
        <f t="shared" si="94"/>
        <v/>
      </c>
      <c r="L611" s="59" t="str">
        <f>IF(D611="","",VLOOKUP(D611,'[1]0.1 Produksi Pangan &amp; Penduduk'!$D$5:$M$860,10,0))</f>
        <v/>
      </c>
      <c r="M611" s="28" t="str">
        <f t="shared" si="95"/>
        <v/>
      </c>
      <c r="N611" s="60" t="str">
        <f t="shared" si="96"/>
        <v/>
      </c>
      <c r="O611" s="60" t="str">
        <f t="shared" si="97"/>
        <v/>
      </c>
      <c r="P611" s="60" t="str">
        <f t="shared" si="98"/>
        <v/>
      </c>
      <c r="Q611" s="28" t="str">
        <f t="shared" si="99"/>
        <v/>
      </c>
    </row>
    <row r="612" spans="1:17" ht="15" x14ac:dyDescent="0.25">
      <c r="A612" s="3" t="str">
        <f>IF('[1]0.1 Produksi Pangan &amp; Penduduk'!A613="","",'[1]0.1 Produksi Pangan &amp; Penduduk'!A613)</f>
        <v/>
      </c>
      <c r="B612" s="2" t="str">
        <f>IF('[1]0.1 Produksi Pangan &amp; Penduduk'!B613="","",'[1]0.1 Produksi Pangan &amp; Penduduk'!B613)</f>
        <v/>
      </c>
      <c r="C612" s="2" t="str">
        <f>IF('[1]0.1 Produksi Pangan &amp; Penduduk'!F613="","",'[1]0.1 Produksi Pangan &amp; Penduduk'!F613)</f>
        <v/>
      </c>
      <c r="D612" s="3" t="str">
        <f>IF('[1]0.1 Produksi Pangan &amp; Penduduk'!D613="","",'[1]0.1 Produksi Pangan &amp; Penduduk'!D613)</f>
        <v/>
      </c>
      <c r="E612" s="3" t="str">
        <f>IF('[1]0.1 Produksi Pangan &amp; Penduduk'!E613="","",'[1]0.1 Produksi Pangan &amp; Penduduk'!E613)</f>
        <v/>
      </c>
      <c r="F612" s="59" t="str">
        <f>IF(D612="","",VLOOKUP(D612,'[1]0.1 Produksi Pangan &amp; Penduduk'!$D$5:$J$860,7,0))</f>
        <v/>
      </c>
      <c r="G612" s="27" t="str">
        <f t="shared" si="90"/>
        <v/>
      </c>
      <c r="H612" s="27" t="str">
        <f t="shared" si="91"/>
        <v/>
      </c>
      <c r="I612" s="27" t="str">
        <f t="shared" si="92"/>
        <v/>
      </c>
      <c r="J612" s="27" t="str">
        <f t="shared" si="93"/>
        <v/>
      </c>
      <c r="K612" s="27" t="str">
        <f t="shared" si="94"/>
        <v/>
      </c>
      <c r="L612" s="59" t="str">
        <f>IF(D612="","",VLOOKUP(D612,'[1]0.1 Produksi Pangan &amp; Penduduk'!$D$5:$M$860,10,0))</f>
        <v/>
      </c>
      <c r="M612" s="28" t="str">
        <f t="shared" si="95"/>
        <v/>
      </c>
      <c r="N612" s="60" t="str">
        <f t="shared" si="96"/>
        <v/>
      </c>
      <c r="O612" s="60" t="str">
        <f t="shared" si="97"/>
        <v/>
      </c>
      <c r="P612" s="60" t="str">
        <f t="shared" si="98"/>
        <v/>
      </c>
      <c r="Q612" s="28" t="str">
        <f t="shared" si="99"/>
        <v/>
      </c>
    </row>
    <row r="613" spans="1:17" ht="15" x14ac:dyDescent="0.25">
      <c r="A613" s="3" t="str">
        <f>IF('[1]0.1 Produksi Pangan &amp; Penduduk'!A614="","",'[1]0.1 Produksi Pangan &amp; Penduduk'!A614)</f>
        <v/>
      </c>
      <c r="B613" s="2" t="str">
        <f>IF('[1]0.1 Produksi Pangan &amp; Penduduk'!B614="","",'[1]0.1 Produksi Pangan &amp; Penduduk'!B614)</f>
        <v/>
      </c>
      <c r="C613" s="2" t="str">
        <f>IF('[1]0.1 Produksi Pangan &amp; Penduduk'!F614="","",'[1]0.1 Produksi Pangan &amp; Penduduk'!F614)</f>
        <v/>
      </c>
      <c r="D613" s="3" t="str">
        <f>IF('[1]0.1 Produksi Pangan &amp; Penduduk'!D614="","",'[1]0.1 Produksi Pangan &amp; Penduduk'!D614)</f>
        <v/>
      </c>
      <c r="E613" s="3" t="str">
        <f>IF('[1]0.1 Produksi Pangan &amp; Penduduk'!E614="","",'[1]0.1 Produksi Pangan &amp; Penduduk'!E614)</f>
        <v/>
      </c>
      <c r="F613" s="59" t="str">
        <f>IF(D613="","",VLOOKUP(D613,'[1]0.1 Produksi Pangan &amp; Penduduk'!$D$5:$J$860,7,0))</f>
        <v/>
      </c>
      <c r="G613" s="27" t="str">
        <f t="shared" si="90"/>
        <v/>
      </c>
      <c r="H613" s="27" t="str">
        <f t="shared" si="91"/>
        <v/>
      </c>
      <c r="I613" s="27" t="str">
        <f t="shared" si="92"/>
        <v/>
      </c>
      <c r="J613" s="27" t="str">
        <f t="shared" si="93"/>
        <v/>
      </c>
      <c r="K613" s="27" t="str">
        <f t="shared" si="94"/>
        <v/>
      </c>
      <c r="L613" s="59" t="str">
        <f>IF(D613="","",VLOOKUP(D613,'[1]0.1 Produksi Pangan &amp; Penduduk'!$D$5:$M$860,10,0))</f>
        <v/>
      </c>
      <c r="M613" s="28" t="str">
        <f t="shared" si="95"/>
        <v/>
      </c>
      <c r="N613" s="60" t="str">
        <f t="shared" si="96"/>
        <v/>
      </c>
      <c r="O613" s="60" t="str">
        <f t="shared" si="97"/>
        <v/>
      </c>
      <c r="P613" s="60" t="str">
        <f t="shared" si="98"/>
        <v/>
      </c>
      <c r="Q613" s="28" t="str">
        <f t="shared" si="99"/>
        <v/>
      </c>
    </row>
    <row r="614" spans="1:17" ht="15" x14ac:dyDescent="0.25">
      <c r="A614" s="3" t="str">
        <f>IF('[1]0.1 Produksi Pangan &amp; Penduduk'!A615="","",'[1]0.1 Produksi Pangan &amp; Penduduk'!A615)</f>
        <v/>
      </c>
      <c r="B614" s="2" t="str">
        <f>IF('[1]0.1 Produksi Pangan &amp; Penduduk'!B615="","",'[1]0.1 Produksi Pangan &amp; Penduduk'!B615)</f>
        <v/>
      </c>
      <c r="C614" s="2" t="str">
        <f>IF('[1]0.1 Produksi Pangan &amp; Penduduk'!F615="","",'[1]0.1 Produksi Pangan &amp; Penduduk'!F615)</f>
        <v/>
      </c>
      <c r="D614" s="3" t="str">
        <f>IF('[1]0.1 Produksi Pangan &amp; Penduduk'!D615="","",'[1]0.1 Produksi Pangan &amp; Penduduk'!D615)</f>
        <v/>
      </c>
      <c r="E614" s="3" t="str">
        <f>IF('[1]0.1 Produksi Pangan &amp; Penduduk'!E615="","",'[1]0.1 Produksi Pangan &amp; Penduduk'!E615)</f>
        <v/>
      </c>
      <c r="F614" s="59" t="str">
        <f>IF(D614="","",VLOOKUP(D614,'[1]0.1 Produksi Pangan &amp; Penduduk'!$D$5:$J$860,7,0))</f>
        <v/>
      </c>
      <c r="G614" s="27" t="str">
        <f t="shared" si="90"/>
        <v/>
      </c>
      <c r="H614" s="27" t="str">
        <f t="shared" si="91"/>
        <v/>
      </c>
      <c r="I614" s="27" t="str">
        <f t="shared" si="92"/>
        <v/>
      </c>
      <c r="J614" s="27" t="str">
        <f t="shared" si="93"/>
        <v/>
      </c>
      <c r="K614" s="27" t="str">
        <f t="shared" si="94"/>
        <v/>
      </c>
      <c r="L614" s="59" t="str">
        <f>IF(D614="","",VLOOKUP(D614,'[1]0.1 Produksi Pangan &amp; Penduduk'!$D$5:$M$860,10,0))</f>
        <v/>
      </c>
      <c r="M614" s="28" t="str">
        <f t="shared" si="95"/>
        <v/>
      </c>
      <c r="N614" s="60" t="str">
        <f t="shared" si="96"/>
        <v/>
      </c>
      <c r="O614" s="60" t="str">
        <f t="shared" si="97"/>
        <v/>
      </c>
      <c r="P614" s="60" t="str">
        <f t="shared" si="98"/>
        <v/>
      </c>
      <c r="Q614" s="28" t="str">
        <f t="shared" si="99"/>
        <v/>
      </c>
    </row>
    <row r="615" spans="1:17" ht="15" x14ac:dyDescent="0.25">
      <c r="A615" s="3" t="str">
        <f>IF('[1]0.1 Produksi Pangan &amp; Penduduk'!A616="","",'[1]0.1 Produksi Pangan &amp; Penduduk'!A616)</f>
        <v/>
      </c>
      <c r="B615" s="2" t="str">
        <f>IF('[1]0.1 Produksi Pangan &amp; Penduduk'!B616="","",'[1]0.1 Produksi Pangan &amp; Penduduk'!B616)</f>
        <v/>
      </c>
      <c r="C615" s="2" t="str">
        <f>IF('[1]0.1 Produksi Pangan &amp; Penduduk'!F616="","",'[1]0.1 Produksi Pangan &amp; Penduduk'!F616)</f>
        <v/>
      </c>
      <c r="D615" s="3" t="str">
        <f>IF('[1]0.1 Produksi Pangan &amp; Penduduk'!D616="","",'[1]0.1 Produksi Pangan &amp; Penduduk'!D616)</f>
        <v/>
      </c>
      <c r="E615" s="3" t="str">
        <f>IF('[1]0.1 Produksi Pangan &amp; Penduduk'!E616="","",'[1]0.1 Produksi Pangan &amp; Penduduk'!E616)</f>
        <v/>
      </c>
      <c r="F615" s="59" t="str">
        <f>IF(D615="","",VLOOKUP(D615,'[1]0.1 Produksi Pangan &amp; Penduduk'!$D$5:$J$860,7,0))</f>
        <v/>
      </c>
      <c r="G615" s="27" t="str">
        <f t="shared" si="90"/>
        <v/>
      </c>
      <c r="H615" s="27" t="str">
        <f t="shared" si="91"/>
        <v/>
      </c>
      <c r="I615" s="27" t="str">
        <f t="shared" si="92"/>
        <v/>
      </c>
      <c r="J615" s="27" t="str">
        <f t="shared" si="93"/>
        <v/>
      </c>
      <c r="K615" s="27" t="str">
        <f t="shared" si="94"/>
        <v/>
      </c>
      <c r="L615" s="59" t="str">
        <f>IF(D615="","",VLOOKUP(D615,'[1]0.1 Produksi Pangan &amp; Penduduk'!$D$5:$M$860,10,0))</f>
        <v/>
      </c>
      <c r="M615" s="28" t="str">
        <f t="shared" si="95"/>
        <v/>
      </c>
      <c r="N615" s="60" t="str">
        <f t="shared" si="96"/>
        <v/>
      </c>
      <c r="O615" s="60" t="str">
        <f t="shared" si="97"/>
        <v/>
      </c>
      <c r="P615" s="60" t="str">
        <f t="shared" si="98"/>
        <v/>
      </c>
      <c r="Q615" s="28" t="str">
        <f t="shared" si="99"/>
        <v/>
      </c>
    </row>
    <row r="616" spans="1:17" ht="15" x14ac:dyDescent="0.25">
      <c r="A616" s="3" t="str">
        <f>IF('[1]0.1 Produksi Pangan &amp; Penduduk'!A617="","",'[1]0.1 Produksi Pangan &amp; Penduduk'!A617)</f>
        <v/>
      </c>
      <c r="B616" s="2" t="str">
        <f>IF('[1]0.1 Produksi Pangan &amp; Penduduk'!B617="","",'[1]0.1 Produksi Pangan &amp; Penduduk'!B617)</f>
        <v/>
      </c>
      <c r="C616" s="2" t="str">
        <f>IF('[1]0.1 Produksi Pangan &amp; Penduduk'!F617="","",'[1]0.1 Produksi Pangan &amp; Penduduk'!F617)</f>
        <v/>
      </c>
      <c r="D616" s="3" t="str">
        <f>IF('[1]0.1 Produksi Pangan &amp; Penduduk'!D617="","",'[1]0.1 Produksi Pangan &amp; Penduduk'!D617)</f>
        <v/>
      </c>
      <c r="E616" s="3" t="str">
        <f>IF('[1]0.1 Produksi Pangan &amp; Penduduk'!E617="","",'[1]0.1 Produksi Pangan &amp; Penduduk'!E617)</f>
        <v/>
      </c>
      <c r="F616" s="59" t="str">
        <f>IF(D616="","",VLOOKUP(D616,'[1]0.1 Produksi Pangan &amp; Penduduk'!$D$5:$J$860,7,0))</f>
        <v/>
      </c>
      <c r="G616" s="27" t="str">
        <f t="shared" si="90"/>
        <v/>
      </c>
      <c r="H616" s="27" t="str">
        <f t="shared" si="91"/>
        <v/>
      </c>
      <c r="I616" s="27" t="str">
        <f t="shared" si="92"/>
        <v/>
      </c>
      <c r="J616" s="27" t="str">
        <f t="shared" si="93"/>
        <v/>
      </c>
      <c r="K616" s="27" t="str">
        <f t="shared" si="94"/>
        <v/>
      </c>
      <c r="L616" s="59" t="str">
        <f>IF(D616="","",VLOOKUP(D616,'[1]0.1 Produksi Pangan &amp; Penduduk'!$D$5:$M$860,10,0))</f>
        <v/>
      </c>
      <c r="M616" s="28" t="str">
        <f t="shared" si="95"/>
        <v/>
      </c>
      <c r="N616" s="60" t="str">
        <f t="shared" si="96"/>
        <v/>
      </c>
      <c r="O616" s="60" t="str">
        <f t="shared" si="97"/>
        <v/>
      </c>
      <c r="P616" s="60" t="str">
        <f t="shared" si="98"/>
        <v/>
      </c>
      <c r="Q616" s="28" t="str">
        <f t="shared" si="99"/>
        <v/>
      </c>
    </row>
    <row r="617" spans="1:17" ht="15" x14ac:dyDescent="0.25">
      <c r="A617" s="3" t="str">
        <f>IF('[1]0.1 Produksi Pangan &amp; Penduduk'!A618="","",'[1]0.1 Produksi Pangan &amp; Penduduk'!A618)</f>
        <v/>
      </c>
      <c r="B617" s="2" t="str">
        <f>IF('[1]0.1 Produksi Pangan &amp; Penduduk'!B618="","",'[1]0.1 Produksi Pangan &amp; Penduduk'!B618)</f>
        <v/>
      </c>
      <c r="C617" s="2" t="str">
        <f>IF('[1]0.1 Produksi Pangan &amp; Penduduk'!F618="","",'[1]0.1 Produksi Pangan &amp; Penduduk'!F618)</f>
        <v/>
      </c>
      <c r="D617" s="3" t="str">
        <f>IF('[1]0.1 Produksi Pangan &amp; Penduduk'!D618="","",'[1]0.1 Produksi Pangan &amp; Penduduk'!D618)</f>
        <v/>
      </c>
      <c r="E617" s="3" t="str">
        <f>IF('[1]0.1 Produksi Pangan &amp; Penduduk'!E618="","",'[1]0.1 Produksi Pangan &amp; Penduduk'!E618)</f>
        <v/>
      </c>
      <c r="F617" s="59" t="str">
        <f>IF(D617="","",VLOOKUP(D617,'[1]0.1 Produksi Pangan &amp; Penduduk'!$D$5:$J$860,7,0))</f>
        <v/>
      </c>
      <c r="G617" s="27" t="str">
        <f t="shared" si="90"/>
        <v/>
      </c>
      <c r="H617" s="27" t="str">
        <f t="shared" si="91"/>
        <v/>
      </c>
      <c r="I617" s="27" t="str">
        <f t="shared" si="92"/>
        <v/>
      </c>
      <c r="J617" s="27" t="str">
        <f t="shared" si="93"/>
        <v/>
      </c>
      <c r="K617" s="27" t="str">
        <f t="shared" si="94"/>
        <v/>
      </c>
      <c r="L617" s="59" t="str">
        <f>IF(D617="","",VLOOKUP(D617,'[1]0.1 Produksi Pangan &amp; Penduduk'!$D$5:$M$860,10,0))</f>
        <v/>
      </c>
      <c r="M617" s="28" t="str">
        <f t="shared" si="95"/>
        <v/>
      </c>
      <c r="N617" s="60" t="str">
        <f t="shared" si="96"/>
        <v/>
      </c>
      <c r="O617" s="60" t="str">
        <f t="shared" si="97"/>
        <v/>
      </c>
      <c r="P617" s="60" t="str">
        <f t="shared" si="98"/>
        <v/>
      </c>
      <c r="Q617" s="28" t="str">
        <f t="shared" si="99"/>
        <v/>
      </c>
    </row>
    <row r="618" spans="1:17" ht="15" x14ac:dyDescent="0.25">
      <c r="A618" s="3" t="str">
        <f>IF('[1]0.1 Produksi Pangan &amp; Penduduk'!A619="","",'[1]0.1 Produksi Pangan &amp; Penduduk'!A619)</f>
        <v/>
      </c>
      <c r="B618" s="2" t="str">
        <f>IF('[1]0.1 Produksi Pangan &amp; Penduduk'!B619="","",'[1]0.1 Produksi Pangan &amp; Penduduk'!B619)</f>
        <v/>
      </c>
      <c r="C618" s="2" t="str">
        <f>IF('[1]0.1 Produksi Pangan &amp; Penduduk'!F619="","",'[1]0.1 Produksi Pangan &amp; Penduduk'!F619)</f>
        <v/>
      </c>
      <c r="D618" s="3" t="str">
        <f>IF('[1]0.1 Produksi Pangan &amp; Penduduk'!D619="","",'[1]0.1 Produksi Pangan &amp; Penduduk'!D619)</f>
        <v/>
      </c>
      <c r="E618" s="3" t="str">
        <f>IF('[1]0.1 Produksi Pangan &amp; Penduduk'!E619="","",'[1]0.1 Produksi Pangan &amp; Penduduk'!E619)</f>
        <v/>
      </c>
      <c r="F618" s="59" t="str">
        <f>IF(D618="","",VLOOKUP(D618,'[1]0.1 Produksi Pangan &amp; Penduduk'!$D$5:$J$860,7,0))</f>
        <v/>
      </c>
      <c r="G618" s="27" t="str">
        <f t="shared" si="90"/>
        <v/>
      </c>
      <c r="H618" s="27" t="str">
        <f t="shared" si="91"/>
        <v/>
      </c>
      <c r="I618" s="27" t="str">
        <f t="shared" si="92"/>
        <v/>
      </c>
      <c r="J618" s="27" t="str">
        <f t="shared" si="93"/>
        <v/>
      </c>
      <c r="K618" s="27" t="str">
        <f t="shared" si="94"/>
        <v/>
      </c>
      <c r="L618" s="59" t="str">
        <f>IF(D618="","",VLOOKUP(D618,'[1]0.1 Produksi Pangan &amp; Penduduk'!$D$5:$M$860,10,0))</f>
        <v/>
      </c>
      <c r="M618" s="28" t="str">
        <f t="shared" si="95"/>
        <v/>
      </c>
      <c r="N618" s="60" t="str">
        <f t="shared" si="96"/>
        <v/>
      </c>
      <c r="O618" s="60" t="str">
        <f t="shared" si="97"/>
        <v/>
      </c>
      <c r="P618" s="60" t="str">
        <f t="shared" si="98"/>
        <v/>
      </c>
      <c r="Q618" s="28" t="str">
        <f t="shared" si="99"/>
        <v/>
      </c>
    </row>
    <row r="619" spans="1:17" ht="15" x14ac:dyDescent="0.25">
      <c r="A619" s="3" t="str">
        <f>IF('[1]0.1 Produksi Pangan &amp; Penduduk'!A620="","",'[1]0.1 Produksi Pangan &amp; Penduduk'!A620)</f>
        <v/>
      </c>
      <c r="B619" s="2" t="str">
        <f>IF('[1]0.1 Produksi Pangan &amp; Penduduk'!B620="","",'[1]0.1 Produksi Pangan &amp; Penduduk'!B620)</f>
        <v/>
      </c>
      <c r="C619" s="2" t="str">
        <f>IF('[1]0.1 Produksi Pangan &amp; Penduduk'!F620="","",'[1]0.1 Produksi Pangan &amp; Penduduk'!F620)</f>
        <v/>
      </c>
      <c r="D619" s="3" t="str">
        <f>IF('[1]0.1 Produksi Pangan &amp; Penduduk'!D620="","",'[1]0.1 Produksi Pangan &amp; Penduduk'!D620)</f>
        <v/>
      </c>
      <c r="E619" s="3" t="str">
        <f>IF('[1]0.1 Produksi Pangan &amp; Penduduk'!E620="","",'[1]0.1 Produksi Pangan &amp; Penduduk'!E620)</f>
        <v/>
      </c>
      <c r="F619" s="59" t="str">
        <f>IF(D619="","",VLOOKUP(D619,'[1]0.1 Produksi Pangan &amp; Penduduk'!$D$5:$J$860,7,0))</f>
        <v/>
      </c>
      <c r="G619" s="27" t="str">
        <f t="shared" si="90"/>
        <v/>
      </c>
      <c r="H619" s="27" t="str">
        <f t="shared" si="91"/>
        <v/>
      </c>
      <c r="I619" s="27" t="str">
        <f t="shared" si="92"/>
        <v/>
      </c>
      <c r="J619" s="27" t="str">
        <f t="shared" si="93"/>
        <v/>
      </c>
      <c r="K619" s="27" t="str">
        <f t="shared" si="94"/>
        <v/>
      </c>
      <c r="L619" s="59" t="str">
        <f>IF(D619="","",VLOOKUP(D619,'[1]0.1 Produksi Pangan &amp; Penduduk'!$D$5:$M$860,10,0))</f>
        <v/>
      </c>
      <c r="M619" s="28" t="str">
        <f t="shared" si="95"/>
        <v/>
      </c>
      <c r="N619" s="60" t="str">
        <f t="shared" si="96"/>
        <v/>
      </c>
      <c r="O619" s="60" t="str">
        <f t="shared" si="97"/>
        <v/>
      </c>
      <c r="P619" s="60" t="str">
        <f t="shared" si="98"/>
        <v/>
      </c>
      <c r="Q619" s="28" t="str">
        <f t="shared" si="99"/>
        <v/>
      </c>
    </row>
    <row r="620" spans="1:17" ht="15" x14ac:dyDescent="0.25">
      <c r="A620" s="3" t="str">
        <f>IF('[1]0.1 Produksi Pangan &amp; Penduduk'!A621="","",'[1]0.1 Produksi Pangan &amp; Penduduk'!A621)</f>
        <v/>
      </c>
      <c r="B620" s="2" t="str">
        <f>IF('[1]0.1 Produksi Pangan &amp; Penduduk'!B621="","",'[1]0.1 Produksi Pangan &amp; Penduduk'!B621)</f>
        <v/>
      </c>
      <c r="C620" s="2" t="str">
        <f>IF('[1]0.1 Produksi Pangan &amp; Penduduk'!F621="","",'[1]0.1 Produksi Pangan &amp; Penduduk'!F621)</f>
        <v/>
      </c>
      <c r="D620" s="3" t="str">
        <f>IF('[1]0.1 Produksi Pangan &amp; Penduduk'!D621="","",'[1]0.1 Produksi Pangan &amp; Penduduk'!D621)</f>
        <v/>
      </c>
      <c r="E620" s="3" t="str">
        <f>IF('[1]0.1 Produksi Pangan &amp; Penduduk'!E621="","",'[1]0.1 Produksi Pangan &amp; Penduduk'!E621)</f>
        <v/>
      </c>
      <c r="F620" s="59" t="str">
        <f>IF(D620="","",VLOOKUP(D620,'[1]0.1 Produksi Pangan &amp; Penduduk'!$D$5:$J$860,7,0))</f>
        <v/>
      </c>
      <c r="G620" s="27" t="str">
        <f t="shared" si="90"/>
        <v/>
      </c>
      <c r="H620" s="27" t="str">
        <f t="shared" si="91"/>
        <v/>
      </c>
      <c r="I620" s="27" t="str">
        <f t="shared" si="92"/>
        <v/>
      </c>
      <c r="J620" s="27" t="str">
        <f t="shared" si="93"/>
        <v/>
      </c>
      <c r="K620" s="27" t="str">
        <f t="shared" si="94"/>
        <v/>
      </c>
      <c r="L620" s="59" t="str">
        <f>IF(D620="","",VLOOKUP(D620,'[1]0.1 Produksi Pangan &amp; Penduduk'!$D$5:$M$860,10,0))</f>
        <v/>
      </c>
      <c r="M620" s="28" t="str">
        <f t="shared" si="95"/>
        <v/>
      </c>
      <c r="N620" s="60" t="str">
        <f t="shared" si="96"/>
        <v/>
      </c>
      <c r="O620" s="60" t="str">
        <f t="shared" si="97"/>
        <v/>
      </c>
      <c r="P620" s="60" t="str">
        <f t="shared" si="98"/>
        <v/>
      </c>
      <c r="Q620" s="28" t="str">
        <f t="shared" si="99"/>
        <v/>
      </c>
    </row>
    <row r="621" spans="1:17" ht="15" x14ac:dyDescent="0.25">
      <c r="A621" s="3" t="str">
        <f>IF('[1]0.1 Produksi Pangan &amp; Penduduk'!A622="","",'[1]0.1 Produksi Pangan &amp; Penduduk'!A622)</f>
        <v/>
      </c>
      <c r="B621" s="2" t="str">
        <f>IF('[1]0.1 Produksi Pangan &amp; Penduduk'!B622="","",'[1]0.1 Produksi Pangan &amp; Penduduk'!B622)</f>
        <v/>
      </c>
      <c r="C621" s="2" t="str">
        <f>IF('[1]0.1 Produksi Pangan &amp; Penduduk'!F622="","",'[1]0.1 Produksi Pangan &amp; Penduduk'!F622)</f>
        <v/>
      </c>
      <c r="D621" s="3" t="str">
        <f>IF('[1]0.1 Produksi Pangan &amp; Penduduk'!D622="","",'[1]0.1 Produksi Pangan &amp; Penduduk'!D622)</f>
        <v/>
      </c>
      <c r="E621" s="3" t="str">
        <f>IF('[1]0.1 Produksi Pangan &amp; Penduduk'!E622="","",'[1]0.1 Produksi Pangan &amp; Penduduk'!E622)</f>
        <v/>
      </c>
      <c r="F621" s="59" t="str">
        <f>IF(D621="","",VLOOKUP(D621,'[1]0.1 Produksi Pangan &amp; Penduduk'!$D$5:$J$860,7,0))</f>
        <v/>
      </c>
      <c r="G621" s="27" t="str">
        <f t="shared" si="90"/>
        <v/>
      </c>
      <c r="H621" s="27" t="str">
        <f t="shared" si="91"/>
        <v/>
      </c>
      <c r="I621" s="27" t="str">
        <f t="shared" si="92"/>
        <v/>
      </c>
      <c r="J621" s="27" t="str">
        <f t="shared" si="93"/>
        <v/>
      </c>
      <c r="K621" s="27" t="str">
        <f t="shared" si="94"/>
        <v/>
      </c>
      <c r="L621" s="59" t="str">
        <f>IF(D621="","",VLOOKUP(D621,'[1]0.1 Produksi Pangan &amp; Penduduk'!$D$5:$M$860,10,0))</f>
        <v/>
      </c>
      <c r="M621" s="28" t="str">
        <f t="shared" si="95"/>
        <v/>
      </c>
      <c r="N621" s="60" t="str">
        <f t="shared" si="96"/>
        <v/>
      </c>
      <c r="O621" s="60" t="str">
        <f t="shared" si="97"/>
        <v/>
      </c>
      <c r="P621" s="60" t="str">
        <f t="shared" si="98"/>
        <v/>
      </c>
      <c r="Q621" s="28" t="str">
        <f t="shared" si="99"/>
        <v/>
      </c>
    </row>
    <row r="622" spans="1:17" ht="15" x14ac:dyDescent="0.25">
      <c r="A622" s="3" t="str">
        <f>IF('[1]0.1 Produksi Pangan &amp; Penduduk'!A623="","",'[1]0.1 Produksi Pangan &amp; Penduduk'!A623)</f>
        <v/>
      </c>
      <c r="B622" s="2" t="str">
        <f>IF('[1]0.1 Produksi Pangan &amp; Penduduk'!B623="","",'[1]0.1 Produksi Pangan &amp; Penduduk'!B623)</f>
        <v/>
      </c>
      <c r="C622" s="2" t="str">
        <f>IF('[1]0.1 Produksi Pangan &amp; Penduduk'!F623="","",'[1]0.1 Produksi Pangan &amp; Penduduk'!F623)</f>
        <v/>
      </c>
      <c r="D622" s="3" t="str">
        <f>IF('[1]0.1 Produksi Pangan &amp; Penduduk'!D623="","",'[1]0.1 Produksi Pangan &amp; Penduduk'!D623)</f>
        <v/>
      </c>
      <c r="E622" s="3" t="str">
        <f>IF('[1]0.1 Produksi Pangan &amp; Penduduk'!E623="","",'[1]0.1 Produksi Pangan &amp; Penduduk'!E623)</f>
        <v/>
      </c>
      <c r="F622" s="59" t="str">
        <f>IF(D622="","",VLOOKUP(D622,'[1]0.1 Produksi Pangan &amp; Penduduk'!$D$5:$J$860,7,0))</f>
        <v/>
      </c>
      <c r="G622" s="27" t="str">
        <f t="shared" si="90"/>
        <v/>
      </c>
      <c r="H622" s="27" t="str">
        <f t="shared" si="91"/>
        <v/>
      </c>
      <c r="I622" s="27" t="str">
        <f t="shared" si="92"/>
        <v/>
      </c>
      <c r="J622" s="27" t="str">
        <f t="shared" si="93"/>
        <v/>
      </c>
      <c r="K622" s="27" t="str">
        <f t="shared" si="94"/>
        <v/>
      </c>
      <c r="L622" s="59" t="str">
        <f>IF(D622="","",VLOOKUP(D622,'[1]0.1 Produksi Pangan &amp; Penduduk'!$D$5:$M$860,10,0))</f>
        <v/>
      </c>
      <c r="M622" s="28" t="str">
        <f t="shared" si="95"/>
        <v/>
      </c>
      <c r="N622" s="60" t="str">
        <f t="shared" si="96"/>
        <v/>
      </c>
      <c r="O622" s="60" t="str">
        <f t="shared" si="97"/>
        <v/>
      </c>
      <c r="P622" s="60" t="str">
        <f t="shared" si="98"/>
        <v/>
      </c>
      <c r="Q622" s="28" t="str">
        <f t="shared" si="99"/>
        <v/>
      </c>
    </row>
    <row r="623" spans="1:17" ht="15" x14ac:dyDescent="0.25">
      <c r="A623" s="3" t="str">
        <f>IF('[1]0.1 Produksi Pangan &amp; Penduduk'!A624="","",'[1]0.1 Produksi Pangan &amp; Penduduk'!A624)</f>
        <v/>
      </c>
      <c r="B623" s="2" t="str">
        <f>IF('[1]0.1 Produksi Pangan &amp; Penduduk'!B624="","",'[1]0.1 Produksi Pangan &amp; Penduduk'!B624)</f>
        <v/>
      </c>
      <c r="C623" s="2" t="str">
        <f>IF('[1]0.1 Produksi Pangan &amp; Penduduk'!F624="","",'[1]0.1 Produksi Pangan &amp; Penduduk'!F624)</f>
        <v/>
      </c>
      <c r="D623" s="3" t="str">
        <f>IF('[1]0.1 Produksi Pangan &amp; Penduduk'!D624="","",'[1]0.1 Produksi Pangan &amp; Penduduk'!D624)</f>
        <v/>
      </c>
      <c r="E623" s="3" t="str">
        <f>IF('[1]0.1 Produksi Pangan &amp; Penduduk'!E624="","",'[1]0.1 Produksi Pangan &amp; Penduduk'!E624)</f>
        <v/>
      </c>
      <c r="F623" s="59" t="str">
        <f>IF(D623="","",VLOOKUP(D623,'[1]0.1 Produksi Pangan &amp; Penduduk'!$D$5:$J$860,7,0))</f>
        <v/>
      </c>
      <c r="G623" s="27" t="str">
        <f t="shared" si="90"/>
        <v/>
      </c>
      <c r="H623" s="27" t="str">
        <f t="shared" si="91"/>
        <v/>
      </c>
      <c r="I623" s="27" t="str">
        <f t="shared" si="92"/>
        <v/>
      </c>
      <c r="J623" s="27" t="str">
        <f t="shared" si="93"/>
        <v/>
      </c>
      <c r="K623" s="27" t="str">
        <f t="shared" si="94"/>
        <v/>
      </c>
      <c r="L623" s="59" t="str">
        <f>IF(D623="","",VLOOKUP(D623,'[1]0.1 Produksi Pangan &amp; Penduduk'!$D$5:$M$860,10,0))</f>
        <v/>
      </c>
      <c r="M623" s="28" t="str">
        <f t="shared" si="95"/>
        <v/>
      </c>
      <c r="N623" s="60" t="str">
        <f t="shared" si="96"/>
        <v/>
      </c>
      <c r="O623" s="60" t="str">
        <f t="shared" si="97"/>
        <v/>
      </c>
      <c r="P623" s="60" t="str">
        <f t="shared" si="98"/>
        <v/>
      </c>
      <c r="Q623" s="28" t="str">
        <f t="shared" si="99"/>
        <v/>
      </c>
    </row>
    <row r="624" spans="1:17" ht="15" x14ac:dyDescent="0.25">
      <c r="A624" s="3" t="str">
        <f>IF('[1]0.1 Produksi Pangan &amp; Penduduk'!A625="","",'[1]0.1 Produksi Pangan &amp; Penduduk'!A625)</f>
        <v/>
      </c>
      <c r="B624" s="2" t="str">
        <f>IF('[1]0.1 Produksi Pangan &amp; Penduduk'!B625="","",'[1]0.1 Produksi Pangan &amp; Penduduk'!B625)</f>
        <v/>
      </c>
      <c r="C624" s="2" t="str">
        <f>IF('[1]0.1 Produksi Pangan &amp; Penduduk'!F625="","",'[1]0.1 Produksi Pangan &amp; Penduduk'!F625)</f>
        <v/>
      </c>
      <c r="D624" s="3" t="str">
        <f>IF('[1]0.1 Produksi Pangan &amp; Penduduk'!D625="","",'[1]0.1 Produksi Pangan &amp; Penduduk'!D625)</f>
        <v/>
      </c>
      <c r="E624" s="3" t="str">
        <f>IF('[1]0.1 Produksi Pangan &amp; Penduduk'!E625="","",'[1]0.1 Produksi Pangan &amp; Penduduk'!E625)</f>
        <v/>
      </c>
      <c r="F624" s="59" t="str">
        <f>IF(D624="","",VLOOKUP(D624,'[1]0.1 Produksi Pangan &amp; Penduduk'!$D$5:$J$860,7,0))</f>
        <v/>
      </c>
      <c r="G624" s="27" t="str">
        <f t="shared" si="90"/>
        <v/>
      </c>
      <c r="H624" s="27" t="str">
        <f t="shared" si="91"/>
        <v/>
      </c>
      <c r="I624" s="27" t="str">
        <f t="shared" si="92"/>
        <v/>
      </c>
      <c r="J624" s="27" t="str">
        <f t="shared" si="93"/>
        <v/>
      </c>
      <c r="K624" s="27" t="str">
        <f t="shared" si="94"/>
        <v/>
      </c>
      <c r="L624" s="59" t="str">
        <f>IF(D624="","",VLOOKUP(D624,'[1]0.1 Produksi Pangan &amp; Penduduk'!$D$5:$M$860,10,0))</f>
        <v/>
      </c>
      <c r="M624" s="28" t="str">
        <f t="shared" si="95"/>
        <v/>
      </c>
      <c r="N624" s="60" t="str">
        <f t="shared" si="96"/>
        <v/>
      </c>
      <c r="O624" s="60" t="str">
        <f t="shared" si="97"/>
        <v/>
      </c>
      <c r="P624" s="60" t="str">
        <f t="shared" si="98"/>
        <v/>
      </c>
      <c r="Q624" s="28" t="str">
        <f t="shared" si="99"/>
        <v/>
      </c>
    </row>
    <row r="625" spans="1:17" ht="15" x14ac:dyDescent="0.25">
      <c r="A625" s="3" t="str">
        <f>IF('[1]0.1 Produksi Pangan &amp; Penduduk'!A626="","",'[1]0.1 Produksi Pangan &amp; Penduduk'!A626)</f>
        <v/>
      </c>
      <c r="B625" s="2" t="str">
        <f>IF('[1]0.1 Produksi Pangan &amp; Penduduk'!B626="","",'[1]0.1 Produksi Pangan &amp; Penduduk'!B626)</f>
        <v/>
      </c>
      <c r="C625" s="2" t="str">
        <f>IF('[1]0.1 Produksi Pangan &amp; Penduduk'!F626="","",'[1]0.1 Produksi Pangan &amp; Penduduk'!F626)</f>
        <v/>
      </c>
      <c r="D625" s="3" t="str">
        <f>IF('[1]0.1 Produksi Pangan &amp; Penduduk'!D626="","",'[1]0.1 Produksi Pangan &amp; Penduduk'!D626)</f>
        <v/>
      </c>
      <c r="E625" s="3" t="str">
        <f>IF('[1]0.1 Produksi Pangan &amp; Penduduk'!E626="","",'[1]0.1 Produksi Pangan &amp; Penduduk'!E626)</f>
        <v/>
      </c>
      <c r="F625" s="59" t="str">
        <f>IF(D625="","",VLOOKUP(D625,'[1]0.1 Produksi Pangan &amp; Penduduk'!$D$5:$J$860,7,0))</f>
        <v/>
      </c>
      <c r="G625" s="27" t="str">
        <f t="shared" si="90"/>
        <v/>
      </c>
      <c r="H625" s="27" t="str">
        <f t="shared" si="91"/>
        <v/>
      </c>
      <c r="I625" s="27" t="str">
        <f t="shared" si="92"/>
        <v/>
      </c>
      <c r="J625" s="27" t="str">
        <f t="shared" si="93"/>
        <v/>
      </c>
      <c r="K625" s="27" t="str">
        <f t="shared" si="94"/>
        <v/>
      </c>
      <c r="L625" s="59" t="str">
        <f>IF(D625="","",VLOOKUP(D625,'[1]0.1 Produksi Pangan &amp; Penduduk'!$D$5:$M$860,10,0))</f>
        <v/>
      </c>
      <c r="M625" s="28" t="str">
        <f t="shared" si="95"/>
        <v/>
      </c>
      <c r="N625" s="60" t="str">
        <f t="shared" si="96"/>
        <v/>
      </c>
      <c r="O625" s="60" t="str">
        <f t="shared" si="97"/>
        <v/>
      </c>
      <c r="P625" s="60" t="str">
        <f t="shared" si="98"/>
        <v/>
      </c>
      <c r="Q625" s="28" t="str">
        <f t="shared" si="99"/>
        <v/>
      </c>
    </row>
    <row r="626" spans="1:17" ht="15" x14ac:dyDescent="0.25">
      <c r="A626" s="3" t="str">
        <f>IF('[1]0.1 Produksi Pangan &amp; Penduduk'!A627="","",'[1]0.1 Produksi Pangan &amp; Penduduk'!A627)</f>
        <v/>
      </c>
      <c r="B626" s="2" t="str">
        <f>IF('[1]0.1 Produksi Pangan &amp; Penduduk'!B627="","",'[1]0.1 Produksi Pangan &amp; Penduduk'!B627)</f>
        <v/>
      </c>
      <c r="C626" s="2" t="str">
        <f>IF('[1]0.1 Produksi Pangan &amp; Penduduk'!F627="","",'[1]0.1 Produksi Pangan &amp; Penduduk'!F627)</f>
        <v/>
      </c>
      <c r="D626" s="3" t="str">
        <f>IF('[1]0.1 Produksi Pangan &amp; Penduduk'!D627="","",'[1]0.1 Produksi Pangan &amp; Penduduk'!D627)</f>
        <v/>
      </c>
      <c r="E626" s="3" t="str">
        <f>IF('[1]0.1 Produksi Pangan &amp; Penduduk'!E627="","",'[1]0.1 Produksi Pangan &amp; Penduduk'!E627)</f>
        <v/>
      </c>
      <c r="F626" s="59" t="str">
        <f>IF(D626="","",VLOOKUP(D626,'[1]0.1 Produksi Pangan &amp; Penduduk'!$D$5:$J$860,7,0))</f>
        <v/>
      </c>
      <c r="G626" s="27" t="str">
        <f t="shared" si="90"/>
        <v/>
      </c>
      <c r="H626" s="27" t="str">
        <f t="shared" si="91"/>
        <v/>
      </c>
      <c r="I626" s="27" t="str">
        <f t="shared" si="92"/>
        <v/>
      </c>
      <c r="J626" s="27" t="str">
        <f t="shared" si="93"/>
        <v/>
      </c>
      <c r="K626" s="27" t="str">
        <f t="shared" si="94"/>
        <v/>
      </c>
      <c r="L626" s="59" t="str">
        <f>IF(D626="","",VLOOKUP(D626,'[1]0.1 Produksi Pangan &amp; Penduduk'!$D$5:$M$860,10,0))</f>
        <v/>
      </c>
      <c r="M626" s="28" t="str">
        <f t="shared" si="95"/>
        <v/>
      </c>
      <c r="N626" s="60" t="str">
        <f t="shared" si="96"/>
        <v/>
      </c>
      <c r="O626" s="60" t="str">
        <f t="shared" si="97"/>
        <v/>
      </c>
      <c r="P626" s="60" t="str">
        <f t="shared" si="98"/>
        <v/>
      </c>
      <c r="Q626" s="28" t="str">
        <f t="shared" si="99"/>
        <v/>
      </c>
    </row>
    <row r="627" spans="1:17" ht="15" x14ac:dyDescent="0.25">
      <c r="A627" s="3" t="str">
        <f>IF('[1]0.1 Produksi Pangan &amp; Penduduk'!A628="","",'[1]0.1 Produksi Pangan &amp; Penduduk'!A628)</f>
        <v/>
      </c>
      <c r="B627" s="2" t="str">
        <f>IF('[1]0.1 Produksi Pangan &amp; Penduduk'!B628="","",'[1]0.1 Produksi Pangan &amp; Penduduk'!B628)</f>
        <v/>
      </c>
      <c r="C627" s="2" t="str">
        <f>IF('[1]0.1 Produksi Pangan &amp; Penduduk'!F628="","",'[1]0.1 Produksi Pangan &amp; Penduduk'!F628)</f>
        <v/>
      </c>
      <c r="D627" s="3" t="str">
        <f>IF('[1]0.1 Produksi Pangan &amp; Penduduk'!D628="","",'[1]0.1 Produksi Pangan &amp; Penduduk'!D628)</f>
        <v/>
      </c>
      <c r="E627" s="3" t="str">
        <f>IF('[1]0.1 Produksi Pangan &amp; Penduduk'!E628="","",'[1]0.1 Produksi Pangan &amp; Penduduk'!E628)</f>
        <v/>
      </c>
      <c r="F627" s="59" t="str">
        <f>IF(D627="","",VLOOKUP(D627,'[1]0.1 Produksi Pangan &amp; Penduduk'!$D$5:$J$860,7,0))</f>
        <v/>
      </c>
      <c r="G627" s="27" t="str">
        <f t="shared" si="90"/>
        <v/>
      </c>
      <c r="H627" s="27" t="str">
        <f t="shared" si="91"/>
        <v/>
      </c>
      <c r="I627" s="27" t="str">
        <f t="shared" si="92"/>
        <v/>
      </c>
      <c r="J627" s="27" t="str">
        <f t="shared" si="93"/>
        <v/>
      </c>
      <c r="K627" s="27" t="str">
        <f t="shared" si="94"/>
        <v/>
      </c>
      <c r="L627" s="59" t="str">
        <f>IF(D627="","",VLOOKUP(D627,'[1]0.1 Produksi Pangan &amp; Penduduk'!$D$5:$M$860,10,0))</f>
        <v/>
      </c>
      <c r="M627" s="28" t="str">
        <f t="shared" si="95"/>
        <v/>
      </c>
      <c r="N627" s="60" t="str">
        <f t="shared" si="96"/>
        <v/>
      </c>
      <c r="O627" s="60" t="str">
        <f t="shared" si="97"/>
        <v/>
      </c>
      <c r="P627" s="60" t="str">
        <f t="shared" si="98"/>
        <v/>
      </c>
      <c r="Q627" s="28" t="str">
        <f t="shared" si="99"/>
        <v/>
      </c>
    </row>
    <row r="628" spans="1:17" ht="15" x14ac:dyDescent="0.25">
      <c r="A628" s="3" t="str">
        <f>IF('[1]0.1 Produksi Pangan &amp; Penduduk'!A629="","",'[1]0.1 Produksi Pangan &amp; Penduduk'!A629)</f>
        <v/>
      </c>
      <c r="B628" s="2" t="str">
        <f>IF('[1]0.1 Produksi Pangan &amp; Penduduk'!B629="","",'[1]0.1 Produksi Pangan &amp; Penduduk'!B629)</f>
        <v/>
      </c>
      <c r="C628" s="2" t="str">
        <f>IF('[1]0.1 Produksi Pangan &amp; Penduduk'!F629="","",'[1]0.1 Produksi Pangan &amp; Penduduk'!F629)</f>
        <v/>
      </c>
      <c r="D628" s="3" t="str">
        <f>IF('[1]0.1 Produksi Pangan &amp; Penduduk'!D629="","",'[1]0.1 Produksi Pangan &amp; Penduduk'!D629)</f>
        <v/>
      </c>
      <c r="E628" s="3" t="str">
        <f>IF('[1]0.1 Produksi Pangan &amp; Penduduk'!E629="","",'[1]0.1 Produksi Pangan &amp; Penduduk'!E629)</f>
        <v/>
      </c>
      <c r="F628" s="59" t="str">
        <f>IF(D628="","",VLOOKUP(D628,'[1]0.1 Produksi Pangan &amp; Penduduk'!$D$5:$J$860,7,0))</f>
        <v/>
      </c>
      <c r="G628" s="27" t="str">
        <f t="shared" si="90"/>
        <v/>
      </c>
      <c r="H628" s="27" t="str">
        <f t="shared" si="91"/>
        <v/>
      </c>
      <c r="I628" s="27" t="str">
        <f t="shared" si="92"/>
        <v/>
      </c>
      <c r="J628" s="27" t="str">
        <f t="shared" si="93"/>
        <v/>
      </c>
      <c r="K628" s="27" t="str">
        <f t="shared" si="94"/>
        <v/>
      </c>
      <c r="L628" s="59" t="str">
        <f>IF(D628="","",VLOOKUP(D628,'[1]0.1 Produksi Pangan &amp; Penduduk'!$D$5:$M$860,10,0))</f>
        <v/>
      </c>
      <c r="M628" s="28" t="str">
        <f t="shared" si="95"/>
        <v/>
      </c>
      <c r="N628" s="60" t="str">
        <f t="shared" si="96"/>
        <v/>
      </c>
      <c r="O628" s="60" t="str">
        <f t="shared" si="97"/>
        <v/>
      </c>
      <c r="P628" s="60" t="str">
        <f t="shared" si="98"/>
        <v/>
      </c>
      <c r="Q628" s="28" t="str">
        <f t="shared" si="99"/>
        <v/>
      </c>
    </row>
    <row r="629" spans="1:17" ht="15" x14ac:dyDescent="0.25">
      <c r="A629" s="3" t="str">
        <f>IF('[1]0.1 Produksi Pangan &amp; Penduduk'!A630="","",'[1]0.1 Produksi Pangan &amp; Penduduk'!A630)</f>
        <v/>
      </c>
      <c r="B629" s="2" t="str">
        <f>IF('[1]0.1 Produksi Pangan &amp; Penduduk'!B630="","",'[1]0.1 Produksi Pangan &amp; Penduduk'!B630)</f>
        <v/>
      </c>
      <c r="C629" s="2" t="str">
        <f>IF('[1]0.1 Produksi Pangan &amp; Penduduk'!F630="","",'[1]0.1 Produksi Pangan &amp; Penduduk'!F630)</f>
        <v/>
      </c>
      <c r="D629" s="3" t="str">
        <f>IF('[1]0.1 Produksi Pangan &amp; Penduduk'!D630="","",'[1]0.1 Produksi Pangan &amp; Penduduk'!D630)</f>
        <v/>
      </c>
      <c r="E629" s="3" t="str">
        <f>IF('[1]0.1 Produksi Pangan &amp; Penduduk'!E630="","",'[1]0.1 Produksi Pangan &amp; Penduduk'!E630)</f>
        <v/>
      </c>
      <c r="F629" s="59" t="str">
        <f>IF(D629="","",VLOOKUP(D629,'[1]0.1 Produksi Pangan &amp; Penduduk'!$D$5:$J$860,7,0))</f>
        <v/>
      </c>
      <c r="G629" s="27" t="str">
        <f t="shared" si="90"/>
        <v/>
      </c>
      <c r="H629" s="27" t="str">
        <f t="shared" si="91"/>
        <v/>
      </c>
      <c r="I629" s="27" t="str">
        <f t="shared" si="92"/>
        <v/>
      </c>
      <c r="J629" s="27" t="str">
        <f t="shared" si="93"/>
        <v/>
      </c>
      <c r="K629" s="27" t="str">
        <f t="shared" si="94"/>
        <v/>
      </c>
      <c r="L629" s="59" t="str">
        <f>IF(D629="","",VLOOKUP(D629,'[1]0.1 Produksi Pangan &amp; Penduduk'!$D$5:$M$860,10,0))</f>
        <v/>
      </c>
      <c r="M629" s="28" t="str">
        <f t="shared" si="95"/>
        <v/>
      </c>
      <c r="N629" s="60" t="str">
        <f t="shared" si="96"/>
        <v/>
      </c>
      <c r="O629" s="60" t="str">
        <f t="shared" si="97"/>
        <v/>
      </c>
      <c r="P629" s="60" t="str">
        <f t="shared" si="98"/>
        <v/>
      </c>
      <c r="Q629" s="28" t="str">
        <f t="shared" si="99"/>
        <v/>
      </c>
    </row>
    <row r="630" spans="1:17" ht="15" x14ac:dyDescent="0.25">
      <c r="A630" s="3" t="str">
        <f>IF('[1]0.1 Produksi Pangan &amp; Penduduk'!A631="","",'[1]0.1 Produksi Pangan &amp; Penduduk'!A631)</f>
        <v/>
      </c>
      <c r="B630" s="2" t="str">
        <f>IF('[1]0.1 Produksi Pangan &amp; Penduduk'!B631="","",'[1]0.1 Produksi Pangan &amp; Penduduk'!B631)</f>
        <v/>
      </c>
      <c r="C630" s="2" t="str">
        <f>IF('[1]0.1 Produksi Pangan &amp; Penduduk'!F631="","",'[1]0.1 Produksi Pangan &amp; Penduduk'!F631)</f>
        <v/>
      </c>
      <c r="D630" s="3" t="str">
        <f>IF('[1]0.1 Produksi Pangan &amp; Penduduk'!D631="","",'[1]0.1 Produksi Pangan &amp; Penduduk'!D631)</f>
        <v/>
      </c>
      <c r="E630" s="3" t="str">
        <f>IF('[1]0.1 Produksi Pangan &amp; Penduduk'!E631="","",'[1]0.1 Produksi Pangan &amp; Penduduk'!E631)</f>
        <v/>
      </c>
      <c r="F630" s="59" t="str">
        <f>IF(D630="","",VLOOKUP(D630,'[1]0.1 Produksi Pangan &amp; Penduduk'!$D$5:$J$860,7,0))</f>
        <v/>
      </c>
      <c r="G630" s="27" t="str">
        <f t="shared" si="90"/>
        <v/>
      </c>
      <c r="H630" s="27" t="str">
        <f t="shared" si="91"/>
        <v/>
      </c>
      <c r="I630" s="27" t="str">
        <f t="shared" si="92"/>
        <v/>
      </c>
      <c r="J630" s="27" t="str">
        <f t="shared" si="93"/>
        <v/>
      </c>
      <c r="K630" s="27" t="str">
        <f t="shared" si="94"/>
        <v/>
      </c>
      <c r="L630" s="59" t="str">
        <f>IF(D630="","",VLOOKUP(D630,'[1]0.1 Produksi Pangan &amp; Penduduk'!$D$5:$M$860,10,0))</f>
        <v/>
      </c>
      <c r="M630" s="28" t="str">
        <f t="shared" si="95"/>
        <v/>
      </c>
      <c r="N630" s="60" t="str">
        <f t="shared" si="96"/>
        <v/>
      </c>
      <c r="O630" s="60" t="str">
        <f t="shared" si="97"/>
        <v/>
      </c>
      <c r="P630" s="60" t="str">
        <f t="shared" si="98"/>
        <v/>
      </c>
      <c r="Q630" s="28" t="str">
        <f t="shared" si="99"/>
        <v/>
      </c>
    </row>
    <row r="631" spans="1:17" ht="15" x14ac:dyDescent="0.25">
      <c r="A631" s="3" t="str">
        <f>IF('[1]0.1 Produksi Pangan &amp; Penduduk'!A632="","",'[1]0.1 Produksi Pangan &amp; Penduduk'!A632)</f>
        <v/>
      </c>
      <c r="B631" s="2" t="str">
        <f>IF('[1]0.1 Produksi Pangan &amp; Penduduk'!B632="","",'[1]0.1 Produksi Pangan &amp; Penduduk'!B632)</f>
        <v/>
      </c>
      <c r="C631" s="2" t="str">
        <f>IF('[1]0.1 Produksi Pangan &amp; Penduduk'!F632="","",'[1]0.1 Produksi Pangan &amp; Penduduk'!F632)</f>
        <v/>
      </c>
      <c r="D631" s="3" t="str">
        <f>IF('[1]0.1 Produksi Pangan &amp; Penduduk'!D632="","",'[1]0.1 Produksi Pangan &amp; Penduduk'!D632)</f>
        <v/>
      </c>
      <c r="E631" s="3" t="str">
        <f>IF('[1]0.1 Produksi Pangan &amp; Penduduk'!E632="","",'[1]0.1 Produksi Pangan &amp; Penduduk'!E632)</f>
        <v/>
      </c>
      <c r="F631" s="59" t="str">
        <f>IF(D631="","",VLOOKUP(D631,'[1]0.1 Produksi Pangan &amp; Penduduk'!$D$5:$J$860,7,0))</f>
        <v/>
      </c>
      <c r="G631" s="27" t="str">
        <f t="shared" si="90"/>
        <v/>
      </c>
      <c r="H631" s="27" t="str">
        <f t="shared" si="91"/>
        <v/>
      </c>
      <c r="I631" s="27" t="str">
        <f t="shared" si="92"/>
        <v/>
      </c>
      <c r="J631" s="27" t="str">
        <f t="shared" si="93"/>
        <v/>
      </c>
      <c r="K631" s="27" t="str">
        <f t="shared" si="94"/>
        <v/>
      </c>
      <c r="L631" s="59" t="str">
        <f>IF(D631="","",VLOOKUP(D631,'[1]0.1 Produksi Pangan &amp; Penduduk'!$D$5:$M$860,10,0))</f>
        <v/>
      </c>
      <c r="M631" s="28" t="str">
        <f t="shared" si="95"/>
        <v/>
      </c>
      <c r="N631" s="60" t="str">
        <f t="shared" si="96"/>
        <v/>
      </c>
      <c r="O631" s="60" t="str">
        <f t="shared" si="97"/>
        <v/>
      </c>
      <c r="P631" s="60" t="str">
        <f t="shared" si="98"/>
        <v/>
      </c>
      <c r="Q631" s="28" t="str">
        <f t="shared" si="99"/>
        <v/>
      </c>
    </row>
    <row r="632" spans="1:17" ht="15" x14ac:dyDescent="0.25">
      <c r="A632" s="3" t="str">
        <f>IF('[1]0.1 Produksi Pangan &amp; Penduduk'!A633="","",'[1]0.1 Produksi Pangan &amp; Penduduk'!A633)</f>
        <v/>
      </c>
      <c r="B632" s="2" t="str">
        <f>IF('[1]0.1 Produksi Pangan &amp; Penduduk'!B633="","",'[1]0.1 Produksi Pangan &amp; Penduduk'!B633)</f>
        <v/>
      </c>
      <c r="C632" s="2" t="str">
        <f>IF('[1]0.1 Produksi Pangan &amp; Penduduk'!F633="","",'[1]0.1 Produksi Pangan &amp; Penduduk'!F633)</f>
        <v/>
      </c>
      <c r="D632" s="3" t="str">
        <f>IF('[1]0.1 Produksi Pangan &amp; Penduduk'!D633="","",'[1]0.1 Produksi Pangan &amp; Penduduk'!D633)</f>
        <v/>
      </c>
      <c r="E632" s="3" t="str">
        <f>IF('[1]0.1 Produksi Pangan &amp; Penduduk'!E633="","",'[1]0.1 Produksi Pangan &amp; Penduduk'!E633)</f>
        <v/>
      </c>
      <c r="F632" s="59" t="str">
        <f>IF(D632="","",VLOOKUP(D632,'[1]0.1 Produksi Pangan &amp; Penduduk'!$D$5:$J$860,7,0))</f>
        <v/>
      </c>
      <c r="G632" s="27" t="str">
        <f t="shared" si="90"/>
        <v/>
      </c>
      <c r="H632" s="27" t="str">
        <f t="shared" si="91"/>
        <v/>
      </c>
      <c r="I632" s="27" t="str">
        <f t="shared" si="92"/>
        <v/>
      </c>
      <c r="J632" s="27" t="str">
        <f t="shared" si="93"/>
        <v/>
      </c>
      <c r="K632" s="27" t="str">
        <f t="shared" si="94"/>
        <v/>
      </c>
      <c r="L632" s="59" t="str">
        <f>IF(D632="","",VLOOKUP(D632,'[1]0.1 Produksi Pangan &amp; Penduduk'!$D$5:$M$860,10,0))</f>
        <v/>
      </c>
      <c r="M632" s="28" t="str">
        <f t="shared" si="95"/>
        <v/>
      </c>
      <c r="N632" s="60" t="str">
        <f t="shared" si="96"/>
        <v/>
      </c>
      <c r="O632" s="60" t="str">
        <f t="shared" si="97"/>
        <v/>
      </c>
      <c r="P632" s="60" t="str">
        <f t="shared" si="98"/>
        <v/>
      </c>
      <c r="Q632" s="28" t="str">
        <f t="shared" si="99"/>
        <v/>
      </c>
    </row>
    <row r="633" spans="1:17" ht="15" x14ac:dyDescent="0.25">
      <c r="A633" s="3" t="str">
        <f>IF('[1]0.1 Produksi Pangan &amp; Penduduk'!A634="","",'[1]0.1 Produksi Pangan &amp; Penduduk'!A634)</f>
        <v/>
      </c>
      <c r="B633" s="2" t="str">
        <f>IF('[1]0.1 Produksi Pangan &amp; Penduduk'!B634="","",'[1]0.1 Produksi Pangan &amp; Penduduk'!B634)</f>
        <v/>
      </c>
      <c r="C633" s="2" t="str">
        <f>IF('[1]0.1 Produksi Pangan &amp; Penduduk'!F634="","",'[1]0.1 Produksi Pangan &amp; Penduduk'!F634)</f>
        <v/>
      </c>
      <c r="D633" s="3" t="str">
        <f>IF('[1]0.1 Produksi Pangan &amp; Penduduk'!D634="","",'[1]0.1 Produksi Pangan &amp; Penduduk'!D634)</f>
        <v/>
      </c>
      <c r="E633" s="3" t="str">
        <f>IF('[1]0.1 Produksi Pangan &amp; Penduduk'!E634="","",'[1]0.1 Produksi Pangan &amp; Penduduk'!E634)</f>
        <v/>
      </c>
      <c r="F633" s="59" t="str">
        <f>IF(D633="","",VLOOKUP(D633,'[1]0.1 Produksi Pangan &amp; Penduduk'!$D$5:$J$860,7,0))</f>
        <v/>
      </c>
      <c r="G633" s="27" t="str">
        <f t="shared" si="90"/>
        <v/>
      </c>
      <c r="H633" s="27" t="str">
        <f t="shared" si="91"/>
        <v/>
      </c>
      <c r="I633" s="27" t="str">
        <f t="shared" si="92"/>
        <v/>
      </c>
      <c r="J633" s="27" t="str">
        <f t="shared" si="93"/>
        <v/>
      </c>
      <c r="K633" s="27" t="str">
        <f t="shared" si="94"/>
        <v/>
      </c>
      <c r="L633" s="59" t="str">
        <f>IF(D633="","",VLOOKUP(D633,'[1]0.1 Produksi Pangan &amp; Penduduk'!$D$5:$M$860,10,0))</f>
        <v/>
      </c>
      <c r="M633" s="28" t="str">
        <f t="shared" si="95"/>
        <v/>
      </c>
      <c r="N633" s="60" t="str">
        <f t="shared" si="96"/>
        <v/>
      </c>
      <c r="O633" s="60" t="str">
        <f t="shared" si="97"/>
        <v/>
      </c>
      <c r="P633" s="60" t="str">
        <f t="shared" si="98"/>
        <v/>
      </c>
      <c r="Q633" s="28" t="str">
        <f t="shared" si="99"/>
        <v/>
      </c>
    </row>
    <row r="634" spans="1:17" ht="15" x14ac:dyDescent="0.25">
      <c r="A634" s="3" t="str">
        <f>IF('[1]0.1 Produksi Pangan &amp; Penduduk'!A635="","",'[1]0.1 Produksi Pangan &amp; Penduduk'!A635)</f>
        <v/>
      </c>
      <c r="B634" s="2" t="str">
        <f>IF('[1]0.1 Produksi Pangan &amp; Penduduk'!B635="","",'[1]0.1 Produksi Pangan &amp; Penduduk'!B635)</f>
        <v/>
      </c>
      <c r="C634" s="2" t="str">
        <f>IF('[1]0.1 Produksi Pangan &amp; Penduduk'!F635="","",'[1]0.1 Produksi Pangan &amp; Penduduk'!F635)</f>
        <v/>
      </c>
      <c r="D634" s="3" t="str">
        <f>IF('[1]0.1 Produksi Pangan &amp; Penduduk'!D635="","",'[1]0.1 Produksi Pangan &amp; Penduduk'!D635)</f>
        <v/>
      </c>
      <c r="E634" s="3" t="str">
        <f>IF('[1]0.1 Produksi Pangan &amp; Penduduk'!E635="","",'[1]0.1 Produksi Pangan &amp; Penduduk'!E635)</f>
        <v/>
      </c>
      <c r="F634" s="59" t="str">
        <f>IF(D634="","",VLOOKUP(D634,'[1]0.1 Produksi Pangan &amp; Penduduk'!$D$5:$J$860,7,0))</f>
        <v/>
      </c>
      <c r="G634" s="27" t="str">
        <f t="shared" si="90"/>
        <v/>
      </c>
      <c r="H634" s="27" t="str">
        <f t="shared" si="91"/>
        <v/>
      </c>
      <c r="I634" s="27" t="str">
        <f t="shared" si="92"/>
        <v/>
      </c>
      <c r="J634" s="27" t="str">
        <f t="shared" si="93"/>
        <v/>
      </c>
      <c r="K634" s="27" t="str">
        <f t="shared" si="94"/>
        <v/>
      </c>
      <c r="L634" s="59" t="str">
        <f>IF(D634="","",VLOOKUP(D634,'[1]0.1 Produksi Pangan &amp; Penduduk'!$D$5:$M$860,10,0))</f>
        <v/>
      </c>
      <c r="M634" s="28" t="str">
        <f t="shared" si="95"/>
        <v/>
      </c>
      <c r="N634" s="60" t="str">
        <f t="shared" si="96"/>
        <v/>
      </c>
      <c r="O634" s="60" t="str">
        <f t="shared" si="97"/>
        <v/>
      </c>
      <c r="P634" s="60" t="str">
        <f t="shared" si="98"/>
        <v/>
      </c>
      <c r="Q634" s="28" t="str">
        <f t="shared" si="99"/>
        <v/>
      </c>
    </row>
    <row r="635" spans="1:17" ht="15" x14ac:dyDescent="0.25">
      <c r="A635" s="3" t="str">
        <f>IF('[1]0.1 Produksi Pangan &amp; Penduduk'!A636="","",'[1]0.1 Produksi Pangan &amp; Penduduk'!A636)</f>
        <v/>
      </c>
      <c r="B635" s="2" t="str">
        <f>IF('[1]0.1 Produksi Pangan &amp; Penduduk'!B636="","",'[1]0.1 Produksi Pangan &amp; Penduduk'!B636)</f>
        <v/>
      </c>
      <c r="C635" s="2" t="str">
        <f>IF('[1]0.1 Produksi Pangan &amp; Penduduk'!F636="","",'[1]0.1 Produksi Pangan &amp; Penduduk'!F636)</f>
        <v/>
      </c>
      <c r="D635" s="3" t="str">
        <f>IF('[1]0.1 Produksi Pangan &amp; Penduduk'!D636="","",'[1]0.1 Produksi Pangan &amp; Penduduk'!D636)</f>
        <v/>
      </c>
      <c r="E635" s="3" t="str">
        <f>IF('[1]0.1 Produksi Pangan &amp; Penduduk'!E636="","",'[1]0.1 Produksi Pangan &amp; Penduduk'!E636)</f>
        <v/>
      </c>
      <c r="F635" s="59" t="str">
        <f>IF(D635="","",VLOOKUP(D635,'[1]0.1 Produksi Pangan &amp; Penduduk'!$D$5:$J$860,7,0))</f>
        <v/>
      </c>
      <c r="G635" s="27" t="str">
        <f t="shared" si="90"/>
        <v/>
      </c>
      <c r="H635" s="27" t="str">
        <f t="shared" si="91"/>
        <v/>
      </c>
      <c r="I635" s="27" t="str">
        <f t="shared" si="92"/>
        <v/>
      </c>
      <c r="J635" s="27" t="str">
        <f t="shared" si="93"/>
        <v/>
      </c>
      <c r="K635" s="27" t="str">
        <f t="shared" si="94"/>
        <v/>
      </c>
      <c r="L635" s="59" t="str">
        <f>IF(D635="","",VLOOKUP(D635,'[1]0.1 Produksi Pangan &amp; Penduduk'!$D$5:$M$860,10,0))</f>
        <v/>
      </c>
      <c r="M635" s="28" t="str">
        <f t="shared" si="95"/>
        <v/>
      </c>
      <c r="N635" s="60" t="str">
        <f t="shared" si="96"/>
        <v/>
      </c>
      <c r="O635" s="60" t="str">
        <f t="shared" si="97"/>
        <v/>
      </c>
      <c r="P635" s="60" t="str">
        <f t="shared" si="98"/>
        <v/>
      </c>
      <c r="Q635" s="28" t="str">
        <f t="shared" si="99"/>
        <v/>
      </c>
    </row>
    <row r="636" spans="1:17" ht="15" x14ac:dyDescent="0.25">
      <c r="A636" s="3" t="str">
        <f>IF('[1]0.1 Produksi Pangan &amp; Penduduk'!A637="","",'[1]0.1 Produksi Pangan &amp; Penduduk'!A637)</f>
        <v/>
      </c>
      <c r="B636" s="2" t="str">
        <f>IF('[1]0.1 Produksi Pangan &amp; Penduduk'!B637="","",'[1]0.1 Produksi Pangan &amp; Penduduk'!B637)</f>
        <v/>
      </c>
      <c r="C636" s="2" t="str">
        <f>IF('[1]0.1 Produksi Pangan &amp; Penduduk'!F637="","",'[1]0.1 Produksi Pangan &amp; Penduduk'!F637)</f>
        <v/>
      </c>
      <c r="D636" s="3" t="str">
        <f>IF('[1]0.1 Produksi Pangan &amp; Penduduk'!D637="","",'[1]0.1 Produksi Pangan &amp; Penduduk'!D637)</f>
        <v/>
      </c>
      <c r="E636" s="3" t="str">
        <f>IF('[1]0.1 Produksi Pangan &amp; Penduduk'!E637="","",'[1]0.1 Produksi Pangan &amp; Penduduk'!E637)</f>
        <v/>
      </c>
      <c r="F636" s="59" t="str">
        <f>IF(D636="","",VLOOKUP(D636,'[1]0.1 Produksi Pangan &amp; Penduduk'!$D$5:$J$860,7,0))</f>
        <v/>
      </c>
      <c r="G636" s="27" t="str">
        <f t="shared" si="90"/>
        <v/>
      </c>
      <c r="H636" s="27" t="str">
        <f t="shared" si="91"/>
        <v/>
      </c>
      <c r="I636" s="27" t="str">
        <f t="shared" si="92"/>
        <v/>
      </c>
      <c r="J636" s="27" t="str">
        <f t="shared" si="93"/>
        <v/>
      </c>
      <c r="K636" s="27" t="str">
        <f t="shared" si="94"/>
        <v/>
      </c>
      <c r="L636" s="59" t="str">
        <f>IF(D636="","",VLOOKUP(D636,'[1]0.1 Produksi Pangan &amp; Penduduk'!$D$5:$M$860,10,0))</f>
        <v/>
      </c>
      <c r="M636" s="28" t="str">
        <f t="shared" si="95"/>
        <v/>
      </c>
      <c r="N636" s="60" t="str">
        <f t="shared" si="96"/>
        <v/>
      </c>
      <c r="O636" s="60" t="str">
        <f t="shared" si="97"/>
        <v/>
      </c>
      <c r="P636" s="60" t="str">
        <f t="shared" si="98"/>
        <v/>
      </c>
      <c r="Q636" s="28" t="str">
        <f t="shared" si="99"/>
        <v/>
      </c>
    </row>
    <row r="637" spans="1:17" ht="15" x14ac:dyDescent="0.25">
      <c r="A637" s="3" t="str">
        <f>IF('[1]0.1 Produksi Pangan &amp; Penduduk'!A638="","",'[1]0.1 Produksi Pangan &amp; Penduduk'!A638)</f>
        <v/>
      </c>
      <c r="B637" s="2" t="str">
        <f>IF('[1]0.1 Produksi Pangan &amp; Penduduk'!B638="","",'[1]0.1 Produksi Pangan &amp; Penduduk'!B638)</f>
        <v/>
      </c>
      <c r="C637" s="2" t="str">
        <f>IF('[1]0.1 Produksi Pangan &amp; Penduduk'!F638="","",'[1]0.1 Produksi Pangan &amp; Penduduk'!F638)</f>
        <v/>
      </c>
      <c r="D637" s="3" t="str">
        <f>IF('[1]0.1 Produksi Pangan &amp; Penduduk'!D638="","",'[1]0.1 Produksi Pangan &amp; Penduduk'!D638)</f>
        <v/>
      </c>
      <c r="E637" s="3" t="str">
        <f>IF('[1]0.1 Produksi Pangan &amp; Penduduk'!E638="","",'[1]0.1 Produksi Pangan &amp; Penduduk'!E638)</f>
        <v/>
      </c>
      <c r="F637" s="59" t="str">
        <f>IF(D637="","",VLOOKUP(D637,'[1]0.1 Produksi Pangan &amp; Penduduk'!$D$5:$J$860,7,0))</f>
        <v/>
      </c>
      <c r="G637" s="27" t="str">
        <f t="shared" si="90"/>
        <v/>
      </c>
      <c r="H637" s="27" t="str">
        <f t="shared" si="91"/>
        <v/>
      </c>
      <c r="I637" s="27" t="str">
        <f t="shared" si="92"/>
        <v/>
      </c>
      <c r="J637" s="27" t="str">
        <f t="shared" si="93"/>
        <v/>
      </c>
      <c r="K637" s="27" t="str">
        <f t="shared" si="94"/>
        <v/>
      </c>
      <c r="L637" s="59" t="str">
        <f>IF(D637="","",VLOOKUP(D637,'[1]0.1 Produksi Pangan &amp; Penduduk'!$D$5:$M$860,10,0))</f>
        <v/>
      </c>
      <c r="M637" s="28" t="str">
        <f t="shared" si="95"/>
        <v/>
      </c>
      <c r="N637" s="60" t="str">
        <f t="shared" si="96"/>
        <v/>
      </c>
      <c r="O637" s="60" t="str">
        <f t="shared" si="97"/>
        <v/>
      </c>
      <c r="P637" s="60" t="str">
        <f t="shared" si="98"/>
        <v/>
      </c>
      <c r="Q637" s="28" t="str">
        <f t="shared" si="99"/>
        <v/>
      </c>
    </row>
    <row r="638" spans="1:17" ht="15" x14ac:dyDescent="0.25">
      <c r="A638" s="3" t="str">
        <f>IF('[1]0.1 Produksi Pangan &amp; Penduduk'!A639="","",'[1]0.1 Produksi Pangan &amp; Penduduk'!A639)</f>
        <v/>
      </c>
      <c r="B638" s="2" t="str">
        <f>IF('[1]0.1 Produksi Pangan &amp; Penduduk'!B639="","",'[1]0.1 Produksi Pangan &amp; Penduduk'!B639)</f>
        <v/>
      </c>
      <c r="C638" s="2" t="str">
        <f>IF('[1]0.1 Produksi Pangan &amp; Penduduk'!F639="","",'[1]0.1 Produksi Pangan &amp; Penduduk'!F639)</f>
        <v/>
      </c>
      <c r="D638" s="3" t="str">
        <f>IF('[1]0.1 Produksi Pangan &amp; Penduduk'!D639="","",'[1]0.1 Produksi Pangan &amp; Penduduk'!D639)</f>
        <v/>
      </c>
      <c r="E638" s="3" t="str">
        <f>IF('[1]0.1 Produksi Pangan &amp; Penduduk'!E639="","",'[1]0.1 Produksi Pangan &amp; Penduduk'!E639)</f>
        <v/>
      </c>
      <c r="F638" s="59" t="str">
        <f>IF(D638="","",VLOOKUP(D638,'[1]0.1 Produksi Pangan &amp; Penduduk'!$D$5:$J$860,7,0))</f>
        <v/>
      </c>
      <c r="G638" s="27" t="str">
        <f t="shared" si="90"/>
        <v/>
      </c>
      <c r="H638" s="27" t="str">
        <f t="shared" si="91"/>
        <v/>
      </c>
      <c r="I638" s="27" t="str">
        <f t="shared" si="92"/>
        <v/>
      </c>
      <c r="J638" s="27" t="str">
        <f t="shared" si="93"/>
        <v/>
      </c>
      <c r="K638" s="27" t="str">
        <f t="shared" si="94"/>
        <v/>
      </c>
      <c r="L638" s="59" t="str">
        <f>IF(D638="","",VLOOKUP(D638,'[1]0.1 Produksi Pangan &amp; Penduduk'!$D$5:$M$860,10,0))</f>
        <v/>
      </c>
      <c r="M638" s="28" t="str">
        <f t="shared" si="95"/>
        <v/>
      </c>
      <c r="N638" s="60" t="str">
        <f t="shared" si="96"/>
        <v/>
      </c>
      <c r="O638" s="60" t="str">
        <f t="shared" si="97"/>
        <v/>
      </c>
      <c r="P638" s="60" t="str">
        <f t="shared" si="98"/>
        <v/>
      </c>
      <c r="Q638" s="28" t="str">
        <f t="shared" si="99"/>
        <v/>
      </c>
    </row>
    <row r="639" spans="1:17" ht="15" x14ac:dyDescent="0.25">
      <c r="A639" s="3" t="str">
        <f>IF('[1]0.1 Produksi Pangan &amp; Penduduk'!A640="","",'[1]0.1 Produksi Pangan &amp; Penduduk'!A640)</f>
        <v/>
      </c>
      <c r="B639" s="2" t="str">
        <f>IF('[1]0.1 Produksi Pangan &amp; Penduduk'!B640="","",'[1]0.1 Produksi Pangan &amp; Penduduk'!B640)</f>
        <v/>
      </c>
      <c r="C639" s="2" t="str">
        <f>IF('[1]0.1 Produksi Pangan &amp; Penduduk'!F640="","",'[1]0.1 Produksi Pangan &amp; Penduduk'!F640)</f>
        <v/>
      </c>
      <c r="D639" s="3" t="str">
        <f>IF('[1]0.1 Produksi Pangan &amp; Penduduk'!D640="","",'[1]0.1 Produksi Pangan &amp; Penduduk'!D640)</f>
        <v/>
      </c>
      <c r="E639" s="3" t="str">
        <f>IF('[1]0.1 Produksi Pangan &amp; Penduduk'!E640="","",'[1]0.1 Produksi Pangan &amp; Penduduk'!E640)</f>
        <v/>
      </c>
      <c r="F639" s="59" t="str">
        <f>IF(D639="","",VLOOKUP(D639,'[1]0.1 Produksi Pangan &amp; Penduduk'!$D$5:$J$860,7,0))</f>
        <v/>
      </c>
      <c r="G639" s="27" t="str">
        <f t="shared" si="90"/>
        <v/>
      </c>
      <c r="H639" s="27" t="str">
        <f t="shared" si="91"/>
        <v/>
      </c>
      <c r="I639" s="27" t="str">
        <f t="shared" si="92"/>
        <v/>
      </c>
      <c r="J639" s="27" t="str">
        <f t="shared" si="93"/>
        <v/>
      </c>
      <c r="K639" s="27" t="str">
        <f t="shared" si="94"/>
        <v/>
      </c>
      <c r="L639" s="59" t="str">
        <f>IF(D639="","",VLOOKUP(D639,'[1]0.1 Produksi Pangan &amp; Penduduk'!$D$5:$M$860,10,0))</f>
        <v/>
      </c>
      <c r="M639" s="28" t="str">
        <f t="shared" si="95"/>
        <v/>
      </c>
      <c r="N639" s="60" t="str">
        <f t="shared" si="96"/>
        <v/>
      </c>
      <c r="O639" s="60" t="str">
        <f t="shared" si="97"/>
        <v/>
      </c>
      <c r="P639" s="60" t="str">
        <f t="shared" si="98"/>
        <v/>
      </c>
      <c r="Q639" s="28" t="str">
        <f t="shared" si="99"/>
        <v/>
      </c>
    </row>
    <row r="640" spans="1:17" ht="15" x14ac:dyDescent="0.25">
      <c r="A640" s="3" t="str">
        <f>IF('[1]0.1 Produksi Pangan &amp; Penduduk'!A641="","",'[1]0.1 Produksi Pangan &amp; Penduduk'!A641)</f>
        <v/>
      </c>
      <c r="B640" s="2" t="str">
        <f>IF('[1]0.1 Produksi Pangan &amp; Penduduk'!B641="","",'[1]0.1 Produksi Pangan &amp; Penduduk'!B641)</f>
        <v/>
      </c>
      <c r="C640" s="2" t="str">
        <f>IF('[1]0.1 Produksi Pangan &amp; Penduduk'!F641="","",'[1]0.1 Produksi Pangan &amp; Penduduk'!F641)</f>
        <v/>
      </c>
      <c r="D640" s="3" t="str">
        <f>IF('[1]0.1 Produksi Pangan &amp; Penduduk'!D641="","",'[1]0.1 Produksi Pangan &amp; Penduduk'!D641)</f>
        <v/>
      </c>
      <c r="E640" s="3" t="str">
        <f>IF('[1]0.1 Produksi Pangan &amp; Penduduk'!E641="","",'[1]0.1 Produksi Pangan &amp; Penduduk'!E641)</f>
        <v/>
      </c>
      <c r="F640" s="59" t="str">
        <f>IF(D640="","",VLOOKUP(D640,'[1]0.1 Produksi Pangan &amp; Penduduk'!$D$5:$J$860,7,0))</f>
        <v/>
      </c>
      <c r="G640" s="27" t="str">
        <f t="shared" si="90"/>
        <v/>
      </c>
      <c r="H640" s="27" t="str">
        <f t="shared" si="91"/>
        <v/>
      </c>
      <c r="I640" s="27" t="str">
        <f t="shared" si="92"/>
        <v/>
      </c>
      <c r="J640" s="27" t="str">
        <f t="shared" si="93"/>
        <v/>
      </c>
      <c r="K640" s="27" t="str">
        <f t="shared" si="94"/>
        <v/>
      </c>
      <c r="L640" s="59" t="str">
        <f>IF(D640="","",VLOOKUP(D640,'[1]0.1 Produksi Pangan &amp; Penduduk'!$D$5:$M$860,10,0))</f>
        <v/>
      </c>
      <c r="M640" s="28" t="str">
        <f t="shared" si="95"/>
        <v/>
      </c>
      <c r="N640" s="60" t="str">
        <f t="shared" si="96"/>
        <v/>
      </c>
      <c r="O640" s="60" t="str">
        <f t="shared" si="97"/>
        <v/>
      </c>
      <c r="P640" s="60" t="str">
        <f t="shared" si="98"/>
        <v/>
      </c>
      <c r="Q640" s="28" t="str">
        <f t="shared" si="99"/>
        <v/>
      </c>
    </row>
    <row r="641" spans="1:17" ht="15" x14ac:dyDescent="0.25">
      <c r="A641" s="3" t="str">
        <f>IF('[1]0.1 Produksi Pangan &amp; Penduduk'!A642="","",'[1]0.1 Produksi Pangan &amp; Penduduk'!A642)</f>
        <v/>
      </c>
      <c r="B641" s="2" t="str">
        <f>IF('[1]0.1 Produksi Pangan &amp; Penduduk'!B642="","",'[1]0.1 Produksi Pangan &amp; Penduduk'!B642)</f>
        <v/>
      </c>
      <c r="C641" s="2" t="str">
        <f>IF('[1]0.1 Produksi Pangan &amp; Penduduk'!F642="","",'[1]0.1 Produksi Pangan &amp; Penduduk'!F642)</f>
        <v/>
      </c>
      <c r="D641" s="3" t="str">
        <f>IF('[1]0.1 Produksi Pangan &amp; Penduduk'!D642="","",'[1]0.1 Produksi Pangan &amp; Penduduk'!D642)</f>
        <v/>
      </c>
      <c r="E641" s="3" t="str">
        <f>IF('[1]0.1 Produksi Pangan &amp; Penduduk'!E642="","",'[1]0.1 Produksi Pangan &amp; Penduduk'!E642)</f>
        <v/>
      </c>
      <c r="F641" s="59" t="str">
        <f>IF(D641="","",VLOOKUP(D641,'[1]0.1 Produksi Pangan &amp; Penduduk'!$D$5:$J$860,7,0))</f>
        <v/>
      </c>
      <c r="G641" s="27" t="str">
        <f t="shared" si="90"/>
        <v/>
      </c>
      <c r="H641" s="27" t="str">
        <f t="shared" si="91"/>
        <v/>
      </c>
      <c r="I641" s="27" t="str">
        <f t="shared" si="92"/>
        <v/>
      </c>
      <c r="J641" s="27" t="str">
        <f t="shared" si="93"/>
        <v/>
      </c>
      <c r="K641" s="27" t="str">
        <f t="shared" si="94"/>
        <v/>
      </c>
      <c r="L641" s="59" t="str">
        <f>IF(D641="","",VLOOKUP(D641,'[1]0.1 Produksi Pangan &amp; Penduduk'!$D$5:$M$860,10,0))</f>
        <v/>
      </c>
      <c r="M641" s="28" t="str">
        <f t="shared" si="95"/>
        <v/>
      </c>
      <c r="N641" s="60" t="str">
        <f t="shared" si="96"/>
        <v/>
      </c>
      <c r="O641" s="60" t="str">
        <f t="shared" si="97"/>
        <v/>
      </c>
      <c r="P641" s="60" t="str">
        <f t="shared" si="98"/>
        <v/>
      </c>
      <c r="Q641" s="28" t="str">
        <f t="shared" si="99"/>
        <v/>
      </c>
    </row>
    <row r="642" spans="1:17" ht="15" x14ac:dyDescent="0.25">
      <c r="A642" s="3" t="str">
        <f>IF('[1]0.1 Produksi Pangan &amp; Penduduk'!A643="","",'[1]0.1 Produksi Pangan &amp; Penduduk'!A643)</f>
        <v/>
      </c>
      <c r="B642" s="2" t="str">
        <f>IF('[1]0.1 Produksi Pangan &amp; Penduduk'!B643="","",'[1]0.1 Produksi Pangan &amp; Penduduk'!B643)</f>
        <v/>
      </c>
      <c r="C642" s="2" t="str">
        <f>IF('[1]0.1 Produksi Pangan &amp; Penduduk'!F643="","",'[1]0.1 Produksi Pangan &amp; Penduduk'!F643)</f>
        <v/>
      </c>
      <c r="D642" s="3" t="str">
        <f>IF('[1]0.1 Produksi Pangan &amp; Penduduk'!D643="","",'[1]0.1 Produksi Pangan &amp; Penduduk'!D643)</f>
        <v/>
      </c>
      <c r="E642" s="3" t="str">
        <f>IF('[1]0.1 Produksi Pangan &amp; Penduduk'!E643="","",'[1]0.1 Produksi Pangan &amp; Penduduk'!E643)</f>
        <v/>
      </c>
      <c r="F642" s="59" t="str">
        <f>IF(D642="","",VLOOKUP(D642,'[1]0.1 Produksi Pangan &amp; Penduduk'!$D$5:$J$860,7,0))</f>
        <v/>
      </c>
      <c r="G642" s="27" t="str">
        <f t="shared" si="90"/>
        <v/>
      </c>
      <c r="H642" s="27" t="str">
        <f t="shared" si="91"/>
        <v/>
      </c>
      <c r="I642" s="27" t="str">
        <f t="shared" si="92"/>
        <v/>
      </c>
      <c r="J642" s="27" t="str">
        <f t="shared" si="93"/>
        <v/>
      </c>
      <c r="K642" s="27" t="str">
        <f t="shared" si="94"/>
        <v/>
      </c>
      <c r="L642" s="59" t="str">
        <f>IF(D642="","",VLOOKUP(D642,'[1]0.1 Produksi Pangan &amp; Penduduk'!$D$5:$M$860,10,0))</f>
        <v/>
      </c>
      <c r="M642" s="28" t="str">
        <f t="shared" si="95"/>
        <v/>
      </c>
      <c r="N642" s="60" t="str">
        <f t="shared" si="96"/>
        <v/>
      </c>
      <c r="O642" s="60" t="str">
        <f t="shared" si="97"/>
        <v/>
      </c>
      <c r="P642" s="60" t="str">
        <f t="shared" si="98"/>
        <v/>
      </c>
      <c r="Q642" s="28" t="str">
        <f t="shared" si="99"/>
        <v/>
      </c>
    </row>
    <row r="643" spans="1:17" ht="15" x14ac:dyDescent="0.25">
      <c r="A643" s="3" t="str">
        <f>IF('[1]0.1 Produksi Pangan &amp; Penduduk'!A644="","",'[1]0.1 Produksi Pangan &amp; Penduduk'!A644)</f>
        <v/>
      </c>
      <c r="B643" s="2" t="str">
        <f>IF('[1]0.1 Produksi Pangan &amp; Penduduk'!B644="","",'[1]0.1 Produksi Pangan &amp; Penduduk'!B644)</f>
        <v/>
      </c>
      <c r="C643" s="2" t="str">
        <f>IF('[1]0.1 Produksi Pangan &amp; Penduduk'!F644="","",'[1]0.1 Produksi Pangan &amp; Penduduk'!F644)</f>
        <v/>
      </c>
      <c r="D643" s="3" t="str">
        <f>IF('[1]0.1 Produksi Pangan &amp; Penduduk'!D644="","",'[1]0.1 Produksi Pangan &amp; Penduduk'!D644)</f>
        <v/>
      </c>
      <c r="E643" s="3" t="str">
        <f>IF('[1]0.1 Produksi Pangan &amp; Penduduk'!E644="","",'[1]0.1 Produksi Pangan &amp; Penduduk'!E644)</f>
        <v/>
      </c>
      <c r="F643" s="59" t="str">
        <f>IF(D643="","",VLOOKUP(D643,'[1]0.1 Produksi Pangan &amp; Penduduk'!$D$5:$J$860,7,0))</f>
        <v/>
      </c>
      <c r="G643" s="27" t="str">
        <f t="shared" si="90"/>
        <v/>
      </c>
      <c r="H643" s="27" t="str">
        <f t="shared" si="91"/>
        <v/>
      </c>
      <c r="I643" s="27" t="str">
        <f t="shared" si="92"/>
        <v/>
      </c>
      <c r="J643" s="27" t="str">
        <f t="shared" si="93"/>
        <v/>
      </c>
      <c r="K643" s="27" t="str">
        <f t="shared" si="94"/>
        <v/>
      </c>
      <c r="L643" s="59" t="str">
        <f>IF(D643="","",VLOOKUP(D643,'[1]0.1 Produksi Pangan &amp; Penduduk'!$D$5:$M$860,10,0))</f>
        <v/>
      </c>
      <c r="M643" s="28" t="str">
        <f t="shared" si="95"/>
        <v/>
      </c>
      <c r="N643" s="60" t="str">
        <f t="shared" si="96"/>
        <v/>
      </c>
      <c r="O643" s="60" t="str">
        <f t="shared" si="97"/>
        <v/>
      </c>
      <c r="P643" s="60" t="str">
        <f t="shared" si="98"/>
        <v/>
      </c>
      <c r="Q643" s="28" t="str">
        <f t="shared" si="99"/>
        <v/>
      </c>
    </row>
    <row r="644" spans="1:17" ht="15" x14ac:dyDescent="0.25">
      <c r="A644" s="3" t="str">
        <f>IF('[1]0.1 Produksi Pangan &amp; Penduduk'!A645="","",'[1]0.1 Produksi Pangan &amp; Penduduk'!A645)</f>
        <v/>
      </c>
      <c r="B644" s="2" t="str">
        <f>IF('[1]0.1 Produksi Pangan &amp; Penduduk'!B645="","",'[1]0.1 Produksi Pangan &amp; Penduduk'!B645)</f>
        <v/>
      </c>
      <c r="C644" s="2" t="str">
        <f>IF('[1]0.1 Produksi Pangan &amp; Penduduk'!F645="","",'[1]0.1 Produksi Pangan &amp; Penduduk'!F645)</f>
        <v/>
      </c>
      <c r="D644" s="3" t="str">
        <f>IF('[1]0.1 Produksi Pangan &amp; Penduduk'!D645="","",'[1]0.1 Produksi Pangan &amp; Penduduk'!D645)</f>
        <v/>
      </c>
      <c r="E644" s="3" t="str">
        <f>IF('[1]0.1 Produksi Pangan &amp; Penduduk'!E645="","",'[1]0.1 Produksi Pangan &amp; Penduduk'!E645)</f>
        <v/>
      </c>
      <c r="F644" s="59" t="str">
        <f>IF(D644="","",VLOOKUP(D644,'[1]0.1 Produksi Pangan &amp; Penduduk'!$D$5:$J$860,7,0))</f>
        <v/>
      </c>
      <c r="G644" s="27" t="str">
        <f t="shared" si="90"/>
        <v/>
      </c>
      <c r="H644" s="27" t="str">
        <f t="shared" si="91"/>
        <v/>
      </c>
      <c r="I644" s="27" t="str">
        <f t="shared" si="92"/>
        <v/>
      </c>
      <c r="J644" s="27" t="str">
        <f t="shared" si="93"/>
        <v/>
      </c>
      <c r="K644" s="27" t="str">
        <f t="shared" si="94"/>
        <v/>
      </c>
      <c r="L644" s="59" t="str">
        <f>IF(D644="","",VLOOKUP(D644,'[1]0.1 Produksi Pangan &amp; Penduduk'!$D$5:$M$860,10,0))</f>
        <v/>
      </c>
      <c r="M644" s="28" t="str">
        <f t="shared" si="95"/>
        <v/>
      </c>
      <c r="N644" s="60" t="str">
        <f t="shared" si="96"/>
        <v/>
      </c>
      <c r="O644" s="60" t="str">
        <f t="shared" si="97"/>
        <v/>
      </c>
      <c r="P644" s="60" t="str">
        <f t="shared" si="98"/>
        <v/>
      </c>
      <c r="Q644" s="28" t="str">
        <f t="shared" si="99"/>
        <v/>
      </c>
    </row>
    <row r="645" spans="1:17" ht="15" x14ac:dyDescent="0.25">
      <c r="A645" s="3" t="str">
        <f>IF('[1]0.1 Produksi Pangan &amp; Penduduk'!A646="","",'[1]0.1 Produksi Pangan &amp; Penduduk'!A646)</f>
        <v/>
      </c>
      <c r="B645" s="2" t="str">
        <f>IF('[1]0.1 Produksi Pangan &amp; Penduduk'!B646="","",'[1]0.1 Produksi Pangan &amp; Penduduk'!B646)</f>
        <v/>
      </c>
      <c r="C645" s="2" t="str">
        <f>IF('[1]0.1 Produksi Pangan &amp; Penduduk'!F646="","",'[1]0.1 Produksi Pangan &amp; Penduduk'!F646)</f>
        <v/>
      </c>
      <c r="D645" s="3" t="str">
        <f>IF('[1]0.1 Produksi Pangan &amp; Penduduk'!D646="","",'[1]0.1 Produksi Pangan &amp; Penduduk'!D646)</f>
        <v/>
      </c>
      <c r="E645" s="3" t="str">
        <f>IF('[1]0.1 Produksi Pangan &amp; Penduduk'!E646="","",'[1]0.1 Produksi Pangan &amp; Penduduk'!E646)</f>
        <v/>
      </c>
      <c r="F645" s="59" t="str">
        <f>IF(D645="","",VLOOKUP(D645,'[1]0.1 Produksi Pangan &amp; Penduduk'!$D$5:$J$860,7,0))</f>
        <v/>
      </c>
      <c r="G645" s="27" t="str">
        <f t="shared" si="90"/>
        <v/>
      </c>
      <c r="H645" s="27" t="str">
        <f t="shared" si="91"/>
        <v/>
      </c>
      <c r="I645" s="27" t="str">
        <f t="shared" si="92"/>
        <v/>
      </c>
      <c r="J645" s="27" t="str">
        <f t="shared" si="93"/>
        <v/>
      </c>
      <c r="K645" s="27" t="str">
        <f t="shared" si="94"/>
        <v/>
      </c>
      <c r="L645" s="59" t="str">
        <f>IF(D645="","",VLOOKUP(D645,'[1]0.1 Produksi Pangan &amp; Penduduk'!$D$5:$M$860,10,0))</f>
        <v/>
      </c>
      <c r="M645" s="28" t="str">
        <f t="shared" si="95"/>
        <v/>
      </c>
      <c r="N645" s="60" t="str">
        <f t="shared" si="96"/>
        <v/>
      </c>
      <c r="O645" s="60" t="str">
        <f t="shared" si="97"/>
        <v/>
      </c>
      <c r="P645" s="60" t="str">
        <f t="shared" si="98"/>
        <v/>
      </c>
      <c r="Q645" s="28" t="str">
        <f t="shared" si="99"/>
        <v/>
      </c>
    </row>
    <row r="646" spans="1:17" ht="15" x14ac:dyDescent="0.25">
      <c r="A646" s="3" t="str">
        <f>IF('[1]0.1 Produksi Pangan &amp; Penduduk'!A647="","",'[1]0.1 Produksi Pangan &amp; Penduduk'!A647)</f>
        <v/>
      </c>
      <c r="B646" s="2" t="str">
        <f>IF('[1]0.1 Produksi Pangan &amp; Penduduk'!B647="","",'[1]0.1 Produksi Pangan &amp; Penduduk'!B647)</f>
        <v/>
      </c>
      <c r="C646" s="2" t="str">
        <f>IF('[1]0.1 Produksi Pangan &amp; Penduduk'!F647="","",'[1]0.1 Produksi Pangan &amp; Penduduk'!F647)</f>
        <v/>
      </c>
      <c r="D646" s="3" t="str">
        <f>IF('[1]0.1 Produksi Pangan &amp; Penduduk'!D647="","",'[1]0.1 Produksi Pangan &amp; Penduduk'!D647)</f>
        <v/>
      </c>
      <c r="E646" s="3" t="str">
        <f>IF('[1]0.1 Produksi Pangan &amp; Penduduk'!E647="","",'[1]0.1 Produksi Pangan &amp; Penduduk'!E647)</f>
        <v/>
      </c>
      <c r="F646" s="59" t="str">
        <f>IF(D646="","",VLOOKUP(D646,'[1]0.1 Produksi Pangan &amp; Penduduk'!$D$5:$J$860,7,0))</f>
        <v/>
      </c>
      <c r="G646" s="27" t="str">
        <f t="shared" ref="G646:G709" si="100">IF(F646="","",F646*0.9%)</f>
        <v/>
      </c>
      <c r="H646" s="27" t="str">
        <f t="shared" ref="H646:H709" si="101">IF(F646="","",F646*0.44%)</f>
        <v/>
      </c>
      <c r="I646" s="27" t="str">
        <f t="shared" ref="I646:I709" si="102">IF(F646="","",F646*4.92%)</f>
        <v/>
      </c>
      <c r="J646" s="27" t="str">
        <f t="shared" ref="J646:J709" si="103">IF(F646="","",F646*0.56%)</f>
        <v/>
      </c>
      <c r="K646" s="27" t="str">
        <f t="shared" ref="K646:K709" si="104">IF(F646="","",F646-(G646+H646+I646+J646))</f>
        <v/>
      </c>
      <c r="L646" s="59" t="str">
        <f>IF(D646="","",VLOOKUP(D646,'[1]0.1 Produksi Pangan &amp; Penduduk'!$D$5:$M$860,10,0))</f>
        <v/>
      </c>
      <c r="M646" s="28" t="str">
        <f t="shared" ref="M646:M709" si="105">IFERROR(K646*L646,"")</f>
        <v/>
      </c>
      <c r="N646" s="60" t="str">
        <f t="shared" ref="N646:N709" si="106">IF(M646="","",M646*0.17%)</f>
        <v/>
      </c>
      <c r="O646" s="60" t="str">
        <f t="shared" ref="O646:O709" si="107">IF(M646="","",M646*2.5%)</f>
        <v/>
      </c>
      <c r="P646" s="60" t="str">
        <f t="shared" ref="P646:P709" si="108">IF(M646="","",M646*0.66%)</f>
        <v/>
      </c>
      <c r="Q646" s="28" t="str">
        <f t="shared" ref="Q646:Q709" si="109">IF(M646="","",M646-(N646+O646+P646))</f>
        <v/>
      </c>
    </row>
    <row r="647" spans="1:17" ht="15" x14ac:dyDescent="0.25">
      <c r="A647" s="3" t="str">
        <f>IF('[1]0.1 Produksi Pangan &amp; Penduduk'!A648="","",'[1]0.1 Produksi Pangan &amp; Penduduk'!A648)</f>
        <v/>
      </c>
      <c r="B647" s="2" t="str">
        <f>IF('[1]0.1 Produksi Pangan &amp; Penduduk'!B648="","",'[1]0.1 Produksi Pangan &amp; Penduduk'!B648)</f>
        <v/>
      </c>
      <c r="C647" s="2" t="str">
        <f>IF('[1]0.1 Produksi Pangan &amp; Penduduk'!F648="","",'[1]0.1 Produksi Pangan &amp; Penduduk'!F648)</f>
        <v/>
      </c>
      <c r="D647" s="3" t="str">
        <f>IF('[1]0.1 Produksi Pangan &amp; Penduduk'!D648="","",'[1]0.1 Produksi Pangan &amp; Penduduk'!D648)</f>
        <v/>
      </c>
      <c r="E647" s="3" t="str">
        <f>IF('[1]0.1 Produksi Pangan &amp; Penduduk'!E648="","",'[1]0.1 Produksi Pangan &amp; Penduduk'!E648)</f>
        <v/>
      </c>
      <c r="F647" s="59" t="str">
        <f>IF(D647="","",VLOOKUP(D647,'[1]0.1 Produksi Pangan &amp; Penduduk'!$D$5:$J$860,7,0))</f>
        <v/>
      </c>
      <c r="G647" s="27" t="str">
        <f t="shared" si="100"/>
        <v/>
      </c>
      <c r="H647" s="27" t="str">
        <f t="shared" si="101"/>
        <v/>
      </c>
      <c r="I647" s="27" t="str">
        <f t="shared" si="102"/>
        <v/>
      </c>
      <c r="J647" s="27" t="str">
        <f t="shared" si="103"/>
        <v/>
      </c>
      <c r="K647" s="27" t="str">
        <f t="shared" si="104"/>
        <v/>
      </c>
      <c r="L647" s="59" t="str">
        <f>IF(D647="","",VLOOKUP(D647,'[1]0.1 Produksi Pangan &amp; Penduduk'!$D$5:$M$860,10,0))</f>
        <v/>
      </c>
      <c r="M647" s="28" t="str">
        <f t="shared" si="105"/>
        <v/>
      </c>
      <c r="N647" s="60" t="str">
        <f t="shared" si="106"/>
        <v/>
      </c>
      <c r="O647" s="60" t="str">
        <f t="shared" si="107"/>
        <v/>
      </c>
      <c r="P647" s="60" t="str">
        <f t="shared" si="108"/>
        <v/>
      </c>
      <c r="Q647" s="28" t="str">
        <f t="shared" si="109"/>
        <v/>
      </c>
    </row>
    <row r="648" spans="1:17" ht="15" x14ac:dyDescent="0.25">
      <c r="A648" s="3" t="str">
        <f>IF('[1]0.1 Produksi Pangan &amp; Penduduk'!A649="","",'[1]0.1 Produksi Pangan &amp; Penduduk'!A649)</f>
        <v/>
      </c>
      <c r="B648" s="2" t="str">
        <f>IF('[1]0.1 Produksi Pangan &amp; Penduduk'!B649="","",'[1]0.1 Produksi Pangan &amp; Penduduk'!B649)</f>
        <v/>
      </c>
      <c r="C648" s="2" t="str">
        <f>IF('[1]0.1 Produksi Pangan &amp; Penduduk'!F649="","",'[1]0.1 Produksi Pangan &amp; Penduduk'!F649)</f>
        <v/>
      </c>
      <c r="D648" s="3" t="str">
        <f>IF('[1]0.1 Produksi Pangan &amp; Penduduk'!D649="","",'[1]0.1 Produksi Pangan &amp; Penduduk'!D649)</f>
        <v/>
      </c>
      <c r="E648" s="3" t="str">
        <f>IF('[1]0.1 Produksi Pangan &amp; Penduduk'!E649="","",'[1]0.1 Produksi Pangan &amp; Penduduk'!E649)</f>
        <v/>
      </c>
      <c r="F648" s="59" t="str">
        <f>IF(D648="","",VLOOKUP(D648,'[1]0.1 Produksi Pangan &amp; Penduduk'!$D$5:$J$860,7,0))</f>
        <v/>
      </c>
      <c r="G648" s="27" t="str">
        <f t="shared" si="100"/>
        <v/>
      </c>
      <c r="H648" s="27" t="str">
        <f t="shared" si="101"/>
        <v/>
      </c>
      <c r="I648" s="27" t="str">
        <f t="shared" si="102"/>
        <v/>
      </c>
      <c r="J648" s="27" t="str">
        <f t="shared" si="103"/>
        <v/>
      </c>
      <c r="K648" s="27" t="str">
        <f t="shared" si="104"/>
        <v/>
      </c>
      <c r="L648" s="59" t="str">
        <f>IF(D648="","",VLOOKUP(D648,'[1]0.1 Produksi Pangan &amp; Penduduk'!$D$5:$M$860,10,0))</f>
        <v/>
      </c>
      <c r="M648" s="28" t="str">
        <f t="shared" si="105"/>
        <v/>
      </c>
      <c r="N648" s="60" t="str">
        <f t="shared" si="106"/>
        <v/>
      </c>
      <c r="O648" s="60" t="str">
        <f t="shared" si="107"/>
        <v/>
      </c>
      <c r="P648" s="60" t="str">
        <f t="shared" si="108"/>
        <v/>
      </c>
      <c r="Q648" s="28" t="str">
        <f t="shared" si="109"/>
        <v/>
      </c>
    </row>
    <row r="649" spans="1:17" ht="15" x14ac:dyDescent="0.25">
      <c r="A649" s="3" t="str">
        <f>IF('[1]0.1 Produksi Pangan &amp; Penduduk'!A650="","",'[1]0.1 Produksi Pangan &amp; Penduduk'!A650)</f>
        <v/>
      </c>
      <c r="B649" s="2" t="str">
        <f>IF('[1]0.1 Produksi Pangan &amp; Penduduk'!B650="","",'[1]0.1 Produksi Pangan &amp; Penduduk'!B650)</f>
        <v/>
      </c>
      <c r="C649" s="2" t="str">
        <f>IF('[1]0.1 Produksi Pangan &amp; Penduduk'!F650="","",'[1]0.1 Produksi Pangan &amp; Penduduk'!F650)</f>
        <v/>
      </c>
      <c r="D649" s="3" t="str">
        <f>IF('[1]0.1 Produksi Pangan &amp; Penduduk'!D650="","",'[1]0.1 Produksi Pangan &amp; Penduduk'!D650)</f>
        <v/>
      </c>
      <c r="E649" s="3" t="str">
        <f>IF('[1]0.1 Produksi Pangan &amp; Penduduk'!E650="","",'[1]0.1 Produksi Pangan &amp; Penduduk'!E650)</f>
        <v/>
      </c>
      <c r="F649" s="59" t="str">
        <f>IF(D649="","",VLOOKUP(D649,'[1]0.1 Produksi Pangan &amp; Penduduk'!$D$5:$J$860,7,0))</f>
        <v/>
      </c>
      <c r="G649" s="27" t="str">
        <f t="shared" si="100"/>
        <v/>
      </c>
      <c r="H649" s="27" t="str">
        <f t="shared" si="101"/>
        <v/>
      </c>
      <c r="I649" s="27" t="str">
        <f t="shared" si="102"/>
        <v/>
      </c>
      <c r="J649" s="27" t="str">
        <f t="shared" si="103"/>
        <v/>
      </c>
      <c r="K649" s="27" t="str">
        <f t="shared" si="104"/>
        <v/>
      </c>
      <c r="L649" s="59" t="str">
        <f>IF(D649="","",VLOOKUP(D649,'[1]0.1 Produksi Pangan &amp; Penduduk'!$D$5:$M$860,10,0))</f>
        <v/>
      </c>
      <c r="M649" s="28" t="str">
        <f t="shared" si="105"/>
        <v/>
      </c>
      <c r="N649" s="60" t="str">
        <f t="shared" si="106"/>
        <v/>
      </c>
      <c r="O649" s="60" t="str">
        <f t="shared" si="107"/>
        <v/>
      </c>
      <c r="P649" s="60" t="str">
        <f t="shared" si="108"/>
        <v/>
      </c>
      <c r="Q649" s="28" t="str">
        <f t="shared" si="109"/>
        <v/>
      </c>
    </row>
    <row r="650" spans="1:17" ht="15" x14ac:dyDescent="0.25">
      <c r="A650" s="3" t="str">
        <f>IF('[1]0.1 Produksi Pangan &amp; Penduduk'!A651="","",'[1]0.1 Produksi Pangan &amp; Penduduk'!A651)</f>
        <v/>
      </c>
      <c r="B650" s="2" t="str">
        <f>IF('[1]0.1 Produksi Pangan &amp; Penduduk'!B651="","",'[1]0.1 Produksi Pangan &amp; Penduduk'!B651)</f>
        <v/>
      </c>
      <c r="C650" s="2" t="str">
        <f>IF('[1]0.1 Produksi Pangan &amp; Penduduk'!F651="","",'[1]0.1 Produksi Pangan &amp; Penduduk'!F651)</f>
        <v/>
      </c>
      <c r="D650" s="3" t="str">
        <f>IF('[1]0.1 Produksi Pangan &amp; Penduduk'!D651="","",'[1]0.1 Produksi Pangan &amp; Penduduk'!D651)</f>
        <v/>
      </c>
      <c r="E650" s="3" t="str">
        <f>IF('[1]0.1 Produksi Pangan &amp; Penduduk'!E651="","",'[1]0.1 Produksi Pangan &amp; Penduduk'!E651)</f>
        <v/>
      </c>
      <c r="F650" s="59" t="str">
        <f>IF(D650="","",VLOOKUP(D650,'[1]0.1 Produksi Pangan &amp; Penduduk'!$D$5:$J$860,7,0))</f>
        <v/>
      </c>
      <c r="G650" s="27" t="str">
        <f t="shared" si="100"/>
        <v/>
      </c>
      <c r="H650" s="27" t="str">
        <f t="shared" si="101"/>
        <v/>
      </c>
      <c r="I650" s="27" t="str">
        <f t="shared" si="102"/>
        <v/>
      </c>
      <c r="J650" s="27" t="str">
        <f t="shared" si="103"/>
        <v/>
      </c>
      <c r="K650" s="27" t="str">
        <f t="shared" si="104"/>
        <v/>
      </c>
      <c r="L650" s="59" t="str">
        <f>IF(D650="","",VLOOKUP(D650,'[1]0.1 Produksi Pangan &amp; Penduduk'!$D$5:$M$860,10,0))</f>
        <v/>
      </c>
      <c r="M650" s="28" t="str">
        <f t="shared" si="105"/>
        <v/>
      </c>
      <c r="N650" s="60" t="str">
        <f t="shared" si="106"/>
        <v/>
      </c>
      <c r="O650" s="60" t="str">
        <f t="shared" si="107"/>
        <v/>
      </c>
      <c r="P650" s="60" t="str">
        <f t="shared" si="108"/>
        <v/>
      </c>
      <c r="Q650" s="28" t="str">
        <f t="shared" si="109"/>
        <v/>
      </c>
    </row>
    <row r="651" spans="1:17" ht="15" x14ac:dyDescent="0.25">
      <c r="A651" s="3" t="str">
        <f>IF('[1]0.1 Produksi Pangan &amp; Penduduk'!A652="","",'[1]0.1 Produksi Pangan &amp; Penduduk'!A652)</f>
        <v/>
      </c>
      <c r="B651" s="2" t="str">
        <f>IF('[1]0.1 Produksi Pangan &amp; Penduduk'!B652="","",'[1]0.1 Produksi Pangan &amp; Penduduk'!B652)</f>
        <v/>
      </c>
      <c r="C651" s="2" t="str">
        <f>IF('[1]0.1 Produksi Pangan &amp; Penduduk'!F652="","",'[1]0.1 Produksi Pangan &amp; Penduduk'!F652)</f>
        <v/>
      </c>
      <c r="D651" s="3" t="str">
        <f>IF('[1]0.1 Produksi Pangan &amp; Penduduk'!D652="","",'[1]0.1 Produksi Pangan &amp; Penduduk'!D652)</f>
        <v/>
      </c>
      <c r="E651" s="3" t="str">
        <f>IF('[1]0.1 Produksi Pangan &amp; Penduduk'!E652="","",'[1]0.1 Produksi Pangan &amp; Penduduk'!E652)</f>
        <v/>
      </c>
      <c r="F651" s="59" t="str">
        <f>IF(D651="","",VLOOKUP(D651,'[1]0.1 Produksi Pangan &amp; Penduduk'!$D$5:$J$860,7,0))</f>
        <v/>
      </c>
      <c r="G651" s="27" t="str">
        <f t="shared" si="100"/>
        <v/>
      </c>
      <c r="H651" s="27" t="str">
        <f t="shared" si="101"/>
        <v/>
      </c>
      <c r="I651" s="27" t="str">
        <f t="shared" si="102"/>
        <v/>
      </c>
      <c r="J651" s="27" t="str">
        <f t="shared" si="103"/>
        <v/>
      </c>
      <c r="K651" s="27" t="str">
        <f t="shared" si="104"/>
        <v/>
      </c>
      <c r="L651" s="59" t="str">
        <f>IF(D651="","",VLOOKUP(D651,'[1]0.1 Produksi Pangan &amp; Penduduk'!$D$5:$M$860,10,0))</f>
        <v/>
      </c>
      <c r="M651" s="28" t="str">
        <f t="shared" si="105"/>
        <v/>
      </c>
      <c r="N651" s="60" t="str">
        <f t="shared" si="106"/>
        <v/>
      </c>
      <c r="O651" s="60" t="str">
        <f t="shared" si="107"/>
        <v/>
      </c>
      <c r="P651" s="60" t="str">
        <f t="shared" si="108"/>
        <v/>
      </c>
      <c r="Q651" s="28" t="str">
        <f t="shared" si="109"/>
        <v/>
      </c>
    </row>
    <row r="652" spans="1:17" ht="15" x14ac:dyDescent="0.25">
      <c r="A652" s="3" t="str">
        <f>IF('[1]0.1 Produksi Pangan &amp; Penduduk'!A653="","",'[1]0.1 Produksi Pangan &amp; Penduduk'!A653)</f>
        <v/>
      </c>
      <c r="B652" s="2" t="str">
        <f>IF('[1]0.1 Produksi Pangan &amp; Penduduk'!B653="","",'[1]0.1 Produksi Pangan &amp; Penduduk'!B653)</f>
        <v/>
      </c>
      <c r="C652" s="2" t="str">
        <f>IF('[1]0.1 Produksi Pangan &amp; Penduduk'!F653="","",'[1]0.1 Produksi Pangan &amp; Penduduk'!F653)</f>
        <v/>
      </c>
      <c r="D652" s="3" t="str">
        <f>IF('[1]0.1 Produksi Pangan &amp; Penduduk'!D653="","",'[1]0.1 Produksi Pangan &amp; Penduduk'!D653)</f>
        <v/>
      </c>
      <c r="E652" s="3" t="str">
        <f>IF('[1]0.1 Produksi Pangan &amp; Penduduk'!E653="","",'[1]0.1 Produksi Pangan &amp; Penduduk'!E653)</f>
        <v/>
      </c>
      <c r="F652" s="59" t="str">
        <f>IF(D652="","",VLOOKUP(D652,'[1]0.1 Produksi Pangan &amp; Penduduk'!$D$5:$J$860,7,0))</f>
        <v/>
      </c>
      <c r="G652" s="27" t="str">
        <f t="shared" si="100"/>
        <v/>
      </c>
      <c r="H652" s="27" t="str">
        <f t="shared" si="101"/>
        <v/>
      </c>
      <c r="I652" s="27" t="str">
        <f t="shared" si="102"/>
        <v/>
      </c>
      <c r="J652" s="27" t="str">
        <f t="shared" si="103"/>
        <v/>
      </c>
      <c r="K652" s="27" t="str">
        <f t="shared" si="104"/>
        <v/>
      </c>
      <c r="L652" s="59" t="str">
        <f>IF(D652="","",VLOOKUP(D652,'[1]0.1 Produksi Pangan &amp; Penduduk'!$D$5:$M$860,10,0))</f>
        <v/>
      </c>
      <c r="M652" s="28" t="str">
        <f t="shared" si="105"/>
        <v/>
      </c>
      <c r="N652" s="60" t="str">
        <f t="shared" si="106"/>
        <v/>
      </c>
      <c r="O652" s="60" t="str">
        <f t="shared" si="107"/>
        <v/>
      </c>
      <c r="P652" s="60" t="str">
        <f t="shared" si="108"/>
        <v/>
      </c>
      <c r="Q652" s="28" t="str">
        <f t="shared" si="109"/>
        <v/>
      </c>
    </row>
    <row r="653" spans="1:17" ht="15" x14ac:dyDescent="0.25">
      <c r="A653" s="3" t="str">
        <f>IF('[1]0.1 Produksi Pangan &amp; Penduduk'!A654="","",'[1]0.1 Produksi Pangan &amp; Penduduk'!A654)</f>
        <v/>
      </c>
      <c r="B653" s="2" t="str">
        <f>IF('[1]0.1 Produksi Pangan &amp; Penduduk'!B654="","",'[1]0.1 Produksi Pangan &amp; Penduduk'!B654)</f>
        <v/>
      </c>
      <c r="C653" s="2" t="str">
        <f>IF('[1]0.1 Produksi Pangan &amp; Penduduk'!F654="","",'[1]0.1 Produksi Pangan &amp; Penduduk'!F654)</f>
        <v/>
      </c>
      <c r="D653" s="3" t="str">
        <f>IF('[1]0.1 Produksi Pangan &amp; Penduduk'!D654="","",'[1]0.1 Produksi Pangan &amp; Penduduk'!D654)</f>
        <v/>
      </c>
      <c r="E653" s="3" t="str">
        <f>IF('[1]0.1 Produksi Pangan &amp; Penduduk'!E654="","",'[1]0.1 Produksi Pangan &amp; Penduduk'!E654)</f>
        <v/>
      </c>
      <c r="F653" s="59" t="str">
        <f>IF(D653="","",VLOOKUP(D653,'[1]0.1 Produksi Pangan &amp; Penduduk'!$D$5:$J$860,7,0))</f>
        <v/>
      </c>
      <c r="G653" s="27" t="str">
        <f t="shared" si="100"/>
        <v/>
      </c>
      <c r="H653" s="27" t="str">
        <f t="shared" si="101"/>
        <v/>
      </c>
      <c r="I653" s="27" t="str">
        <f t="shared" si="102"/>
        <v/>
      </c>
      <c r="J653" s="27" t="str">
        <f t="shared" si="103"/>
        <v/>
      </c>
      <c r="K653" s="27" t="str">
        <f t="shared" si="104"/>
        <v/>
      </c>
      <c r="L653" s="59" t="str">
        <f>IF(D653="","",VLOOKUP(D653,'[1]0.1 Produksi Pangan &amp; Penduduk'!$D$5:$M$860,10,0))</f>
        <v/>
      </c>
      <c r="M653" s="28" t="str">
        <f t="shared" si="105"/>
        <v/>
      </c>
      <c r="N653" s="60" t="str">
        <f t="shared" si="106"/>
        <v/>
      </c>
      <c r="O653" s="60" t="str">
        <f t="shared" si="107"/>
        <v/>
      </c>
      <c r="P653" s="60" t="str">
        <f t="shared" si="108"/>
        <v/>
      </c>
      <c r="Q653" s="28" t="str">
        <f t="shared" si="109"/>
        <v/>
      </c>
    </row>
    <row r="654" spans="1:17" ht="15" x14ac:dyDescent="0.25">
      <c r="A654" s="3" t="str">
        <f>IF('[1]0.1 Produksi Pangan &amp; Penduduk'!A655="","",'[1]0.1 Produksi Pangan &amp; Penduduk'!A655)</f>
        <v/>
      </c>
      <c r="B654" s="2" t="str">
        <f>IF('[1]0.1 Produksi Pangan &amp; Penduduk'!B655="","",'[1]0.1 Produksi Pangan &amp; Penduduk'!B655)</f>
        <v/>
      </c>
      <c r="C654" s="2" t="str">
        <f>IF('[1]0.1 Produksi Pangan &amp; Penduduk'!F655="","",'[1]0.1 Produksi Pangan &amp; Penduduk'!F655)</f>
        <v/>
      </c>
      <c r="D654" s="3" t="str">
        <f>IF('[1]0.1 Produksi Pangan &amp; Penduduk'!D655="","",'[1]0.1 Produksi Pangan &amp; Penduduk'!D655)</f>
        <v/>
      </c>
      <c r="E654" s="3" t="str">
        <f>IF('[1]0.1 Produksi Pangan &amp; Penduduk'!E655="","",'[1]0.1 Produksi Pangan &amp; Penduduk'!E655)</f>
        <v/>
      </c>
      <c r="F654" s="59" t="str">
        <f>IF(D654="","",VLOOKUP(D654,'[1]0.1 Produksi Pangan &amp; Penduduk'!$D$5:$J$860,7,0))</f>
        <v/>
      </c>
      <c r="G654" s="27" t="str">
        <f t="shared" si="100"/>
        <v/>
      </c>
      <c r="H654" s="27" t="str">
        <f t="shared" si="101"/>
        <v/>
      </c>
      <c r="I654" s="27" t="str">
        <f t="shared" si="102"/>
        <v/>
      </c>
      <c r="J654" s="27" t="str">
        <f t="shared" si="103"/>
        <v/>
      </c>
      <c r="K654" s="27" t="str">
        <f t="shared" si="104"/>
        <v/>
      </c>
      <c r="L654" s="59" t="str">
        <f>IF(D654="","",VLOOKUP(D654,'[1]0.1 Produksi Pangan &amp; Penduduk'!$D$5:$M$860,10,0))</f>
        <v/>
      </c>
      <c r="M654" s="28" t="str">
        <f t="shared" si="105"/>
        <v/>
      </c>
      <c r="N654" s="60" t="str">
        <f t="shared" si="106"/>
        <v/>
      </c>
      <c r="O654" s="60" t="str">
        <f t="shared" si="107"/>
        <v/>
      </c>
      <c r="P654" s="60" t="str">
        <f t="shared" si="108"/>
        <v/>
      </c>
      <c r="Q654" s="28" t="str">
        <f t="shared" si="109"/>
        <v/>
      </c>
    </row>
    <row r="655" spans="1:17" ht="15" x14ac:dyDescent="0.25">
      <c r="A655" s="3" t="str">
        <f>IF('[1]0.1 Produksi Pangan &amp; Penduduk'!A656="","",'[1]0.1 Produksi Pangan &amp; Penduduk'!A656)</f>
        <v/>
      </c>
      <c r="B655" s="2" t="str">
        <f>IF('[1]0.1 Produksi Pangan &amp; Penduduk'!B656="","",'[1]0.1 Produksi Pangan &amp; Penduduk'!B656)</f>
        <v/>
      </c>
      <c r="C655" s="2" t="str">
        <f>IF('[1]0.1 Produksi Pangan &amp; Penduduk'!F656="","",'[1]0.1 Produksi Pangan &amp; Penduduk'!F656)</f>
        <v/>
      </c>
      <c r="D655" s="3" t="str">
        <f>IF('[1]0.1 Produksi Pangan &amp; Penduduk'!D656="","",'[1]0.1 Produksi Pangan &amp; Penduduk'!D656)</f>
        <v/>
      </c>
      <c r="E655" s="3" t="str">
        <f>IF('[1]0.1 Produksi Pangan &amp; Penduduk'!E656="","",'[1]0.1 Produksi Pangan &amp; Penduduk'!E656)</f>
        <v/>
      </c>
      <c r="F655" s="59" t="str">
        <f>IF(D655="","",VLOOKUP(D655,'[1]0.1 Produksi Pangan &amp; Penduduk'!$D$5:$J$860,7,0))</f>
        <v/>
      </c>
      <c r="G655" s="27" t="str">
        <f t="shared" si="100"/>
        <v/>
      </c>
      <c r="H655" s="27" t="str">
        <f t="shared" si="101"/>
        <v/>
      </c>
      <c r="I655" s="27" t="str">
        <f t="shared" si="102"/>
        <v/>
      </c>
      <c r="J655" s="27" t="str">
        <f t="shared" si="103"/>
        <v/>
      </c>
      <c r="K655" s="27" t="str">
        <f t="shared" si="104"/>
        <v/>
      </c>
      <c r="L655" s="59" t="str">
        <f>IF(D655="","",VLOOKUP(D655,'[1]0.1 Produksi Pangan &amp; Penduduk'!$D$5:$M$860,10,0))</f>
        <v/>
      </c>
      <c r="M655" s="28" t="str">
        <f t="shared" si="105"/>
        <v/>
      </c>
      <c r="N655" s="60" t="str">
        <f t="shared" si="106"/>
        <v/>
      </c>
      <c r="O655" s="60" t="str">
        <f t="shared" si="107"/>
        <v/>
      </c>
      <c r="P655" s="60" t="str">
        <f t="shared" si="108"/>
        <v/>
      </c>
      <c r="Q655" s="28" t="str">
        <f t="shared" si="109"/>
        <v/>
      </c>
    </row>
    <row r="656" spans="1:17" ht="15" x14ac:dyDescent="0.25">
      <c r="A656" s="3" t="str">
        <f>IF('[1]0.1 Produksi Pangan &amp; Penduduk'!A657="","",'[1]0.1 Produksi Pangan &amp; Penduduk'!A657)</f>
        <v/>
      </c>
      <c r="B656" s="2" t="str">
        <f>IF('[1]0.1 Produksi Pangan &amp; Penduduk'!B657="","",'[1]0.1 Produksi Pangan &amp; Penduduk'!B657)</f>
        <v/>
      </c>
      <c r="C656" s="2" t="str">
        <f>IF('[1]0.1 Produksi Pangan &amp; Penduduk'!F657="","",'[1]0.1 Produksi Pangan &amp; Penduduk'!F657)</f>
        <v/>
      </c>
      <c r="D656" s="3" t="str">
        <f>IF('[1]0.1 Produksi Pangan &amp; Penduduk'!D657="","",'[1]0.1 Produksi Pangan &amp; Penduduk'!D657)</f>
        <v/>
      </c>
      <c r="E656" s="3" t="str">
        <f>IF('[1]0.1 Produksi Pangan &amp; Penduduk'!E657="","",'[1]0.1 Produksi Pangan &amp; Penduduk'!E657)</f>
        <v/>
      </c>
      <c r="F656" s="59" t="str">
        <f>IF(D656="","",VLOOKUP(D656,'[1]0.1 Produksi Pangan &amp; Penduduk'!$D$5:$J$860,7,0))</f>
        <v/>
      </c>
      <c r="G656" s="27" t="str">
        <f t="shared" si="100"/>
        <v/>
      </c>
      <c r="H656" s="27" t="str">
        <f t="shared" si="101"/>
        <v/>
      </c>
      <c r="I656" s="27" t="str">
        <f t="shared" si="102"/>
        <v/>
      </c>
      <c r="J656" s="27" t="str">
        <f t="shared" si="103"/>
        <v/>
      </c>
      <c r="K656" s="27" t="str">
        <f t="shared" si="104"/>
        <v/>
      </c>
      <c r="L656" s="59" t="str">
        <f>IF(D656="","",VLOOKUP(D656,'[1]0.1 Produksi Pangan &amp; Penduduk'!$D$5:$M$860,10,0))</f>
        <v/>
      </c>
      <c r="M656" s="28" t="str">
        <f t="shared" si="105"/>
        <v/>
      </c>
      <c r="N656" s="60" t="str">
        <f t="shared" si="106"/>
        <v/>
      </c>
      <c r="O656" s="60" t="str">
        <f t="shared" si="107"/>
        <v/>
      </c>
      <c r="P656" s="60" t="str">
        <f t="shared" si="108"/>
        <v/>
      </c>
      <c r="Q656" s="28" t="str">
        <f t="shared" si="109"/>
        <v/>
      </c>
    </row>
    <row r="657" spans="1:17" ht="15" x14ac:dyDescent="0.25">
      <c r="A657" s="3" t="str">
        <f>IF('[1]0.1 Produksi Pangan &amp; Penduduk'!A658="","",'[1]0.1 Produksi Pangan &amp; Penduduk'!A658)</f>
        <v/>
      </c>
      <c r="B657" s="2" t="str">
        <f>IF('[1]0.1 Produksi Pangan &amp; Penduduk'!B658="","",'[1]0.1 Produksi Pangan &amp; Penduduk'!B658)</f>
        <v/>
      </c>
      <c r="C657" s="2" t="str">
        <f>IF('[1]0.1 Produksi Pangan &amp; Penduduk'!F658="","",'[1]0.1 Produksi Pangan &amp; Penduduk'!F658)</f>
        <v/>
      </c>
      <c r="D657" s="3" t="str">
        <f>IF('[1]0.1 Produksi Pangan &amp; Penduduk'!D658="","",'[1]0.1 Produksi Pangan &amp; Penduduk'!D658)</f>
        <v/>
      </c>
      <c r="E657" s="3" t="str">
        <f>IF('[1]0.1 Produksi Pangan &amp; Penduduk'!E658="","",'[1]0.1 Produksi Pangan &amp; Penduduk'!E658)</f>
        <v/>
      </c>
      <c r="F657" s="59" t="str">
        <f>IF(D657="","",VLOOKUP(D657,'[1]0.1 Produksi Pangan &amp; Penduduk'!$D$5:$J$860,7,0))</f>
        <v/>
      </c>
      <c r="G657" s="27" t="str">
        <f t="shared" si="100"/>
        <v/>
      </c>
      <c r="H657" s="27" t="str">
        <f t="shared" si="101"/>
        <v/>
      </c>
      <c r="I657" s="27" t="str">
        <f t="shared" si="102"/>
        <v/>
      </c>
      <c r="J657" s="27" t="str">
        <f t="shared" si="103"/>
        <v/>
      </c>
      <c r="K657" s="27" t="str">
        <f t="shared" si="104"/>
        <v/>
      </c>
      <c r="L657" s="59" t="str">
        <f>IF(D657="","",VLOOKUP(D657,'[1]0.1 Produksi Pangan &amp; Penduduk'!$D$5:$M$860,10,0))</f>
        <v/>
      </c>
      <c r="M657" s="28" t="str">
        <f t="shared" si="105"/>
        <v/>
      </c>
      <c r="N657" s="60" t="str">
        <f t="shared" si="106"/>
        <v/>
      </c>
      <c r="O657" s="60" t="str">
        <f t="shared" si="107"/>
        <v/>
      </c>
      <c r="P657" s="60" t="str">
        <f t="shared" si="108"/>
        <v/>
      </c>
      <c r="Q657" s="28" t="str">
        <f t="shared" si="109"/>
        <v/>
      </c>
    </row>
    <row r="658" spans="1:17" ht="15" x14ac:dyDescent="0.25">
      <c r="A658" s="3" t="str">
        <f>IF('[1]0.1 Produksi Pangan &amp; Penduduk'!A659="","",'[1]0.1 Produksi Pangan &amp; Penduduk'!A659)</f>
        <v/>
      </c>
      <c r="B658" s="2" t="str">
        <f>IF('[1]0.1 Produksi Pangan &amp; Penduduk'!B659="","",'[1]0.1 Produksi Pangan &amp; Penduduk'!B659)</f>
        <v/>
      </c>
      <c r="C658" s="2" t="str">
        <f>IF('[1]0.1 Produksi Pangan &amp; Penduduk'!F659="","",'[1]0.1 Produksi Pangan &amp; Penduduk'!F659)</f>
        <v/>
      </c>
      <c r="D658" s="3" t="str">
        <f>IF('[1]0.1 Produksi Pangan &amp; Penduduk'!D659="","",'[1]0.1 Produksi Pangan &amp; Penduduk'!D659)</f>
        <v/>
      </c>
      <c r="E658" s="3" t="str">
        <f>IF('[1]0.1 Produksi Pangan &amp; Penduduk'!E659="","",'[1]0.1 Produksi Pangan &amp; Penduduk'!E659)</f>
        <v/>
      </c>
      <c r="F658" s="59" t="str">
        <f>IF(D658="","",VLOOKUP(D658,'[1]0.1 Produksi Pangan &amp; Penduduk'!$D$5:$J$860,7,0))</f>
        <v/>
      </c>
      <c r="G658" s="27" t="str">
        <f t="shared" si="100"/>
        <v/>
      </c>
      <c r="H658" s="27" t="str">
        <f t="shared" si="101"/>
        <v/>
      </c>
      <c r="I658" s="27" t="str">
        <f t="shared" si="102"/>
        <v/>
      </c>
      <c r="J658" s="27" t="str">
        <f t="shared" si="103"/>
        <v/>
      </c>
      <c r="K658" s="27" t="str">
        <f t="shared" si="104"/>
        <v/>
      </c>
      <c r="L658" s="59" t="str">
        <f>IF(D658="","",VLOOKUP(D658,'[1]0.1 Produksi Pangan &amp; Penduduk'!$D$5:$M$860,10,0))</f>
        <v/>
      </c>
      <c r="M658" s="28" t="str">
        <f t="shared" si="105"/>
        <v/>
      </c>
      <c r="N658" s="60" t="str">
        <f t="shared" si="106"/>
        <v/>
      </c>
      <c r="O658" s="60" t="str">
        <f t="shared" si="107"/>
        <v/>
      </c>
      <c r="P658" s="60" t="str">
        <f t="shared" si="108"/>
        <v/>
      </c>
      <c r="Q658" s="28" t="str">
        <f t="shared" si="109"/>
        <v/>
      </c>
    </row>
    <row r="659" spans="1:17" ht="15" x14ac:dyDescent="0.25">
      <c r="A659" s="3" t="str">
        <f>IF('[1]0.1 Produksi Pangan &amp; Penduduk'!A660="","",'[1]0.1 Produksi Pangan &amp; Penduduk'!A660)</f>
        <v/>
      </c>
      <c r="B659" s="2" t="str">
        <f>IF('[1]0.1 Produksi Pangan &amp; Penduduk'!B660="","",'[1]0.1 Produksi Pangan &amp; Penduduk'!B660)</f>
        <v/>
      </c>
      <c r="C659" s="2" t="str">
        <f>IF('[1]0.1 Produksi Pangan &amp; Penduduk'!F660="","",'[1]0.1 Produksi Pangan &amp; Penduduk'!F660)</f>
        <v/>
      </c>
      <c r="D659" s="3" t="str">
        <f>IF('[1]0.1 Produksi Pangan &amp; Penduduk'!D660="","",'[1]0.1 Produksi Pangan &amp; Penduduk'!D660)</f>
        <v/>
      </c>
      <c r="E659" s="3" t="str">
        <f>IF('[1]0.1 Produksi Pangan &amp; Penduduk'!E660="","",'[1]0.1 Produksi Pangan &amp; Penduduk'!E660)</f>
        <v/>
      </c>
      <c r="F659" s="59" t="str">
        <f>IF(D659="","",VLOOKUP(D659,'[1]0.1 Produksi Pangan &amp; Penduduk'!$D$5:$J$860,7,0))</f>
        <v/>
      </c>
      <c r="G659" s="27" t="str">
        <f t="shared" si="100"/>
        <v/>
      </c>
      <c r="H659" s="27" t="str">
        <f t="shared" si="101"/>
        <v/>
      </c>
      <c r="I659" s="27" t="str">
        <f t="shared" si="102"/>
        <v/>
      </c>
      <c r="J659" s="27" t="str">
        <f t="shared" si="103"/>
        <v/>
      </c>
      <c r="K659" s="27" t="str">
        <f t="shared" si="104"/>
        <v/>
      </c>
      <c r="L659" s="59" t="str">
        <f>IF(D659="","",VLOOKUP(D659,'[1]0.1 Produksi Pangan &amp; Penduduk'!$D$5:$M$860,10,0))</f>
        <v/>
      </c>
      <c r="M659" s="28" t="str">
        <f t="shared" si="105"/>
        <v/>
      </c>
      <c r="N659" s="60" t="str">
        <f t="shared" si="106"/>
        <v/>
      </c>
      <c r="O659" s="60" t="str">
        <f t="shared" si="107"/>
        <v/>
      </c>
      <c r="P659" s="60" t="str">
        <f t="shared" si="108"/>
        <v/>
      </c>
      <c r="Q659" s="28" t="str">
        <f t="shared" si="109"/>
        <v/>
      </c>
    </row>
    <row r="660" spans="1:17" ht="15" x14ac:dyDescent="0.25">
      <c r="A660" s="3" t="str">
        <f>IF('[1]0.1 Produksi Pangan &amp; Penduduk'!A661="","",'[1]0.1 Produksi Pangan &amp; Penduduk'!A661)</f>
        <v/>
      </c>
      <c r="B660" s="2" t="str">
        <f>IF('[1]0.1 Produksi Pangan &amp; Penduduk'!B661="","",'[1]0.1 Produksi Pangan &amp; Penduduk'!B661)</f>
        <v/>
      </c>
      <c r="C660" s="2" t="str">
        <f>IF('[1]0.1 Produksi Pangan &amp; Penduduk'!F661="","",'[1]0.1 Produksi Pangan &amp; Penduduk'!F661)</f>
        <v/>
      </c>
      <c r="D660" s="3" t="str">
        <f>IF('[1]0.1 Produksi Pangan &amp; Penduduk'!D661="","",'[1]0.1 Produksi Pangan &amp; Penduduk'!D661)</f>
        <v/>
      </c>
      <c r="E660" s="3" t="str">
        <f>IF('[1]0.1 Produksi Pangan &amp; Penduduk'!E661="","",'[1]0.1 Produksi Pangan &amp; Penduduk'!E661)</f>
        <v/>
      </c>
      <c r="F660" s="59" t="str">
        <f>IF(D660="","",VLOOKUP(D660,'[1]0.1 Produksi Pangan &amp; Penduduk'!$D$5:$J$860,7,0))</f>
        <v/>
      </c>
      <c r="G660" s="27" t="str">
        <f t="shared" si="100"/>
        <v/>
      </c>
      <c r="H660" s="27" t="str">
        <f t="shared" si="101"/>
        <v/>
      </c>
      <c r="I660" s="27" t="str">
        <f t="shared" si="102"/>
        <v/>
      </c>
      <c r="J660" s="27" t="str">
        <f t="shared" si="103"/>
        <v/>
      </c>
      <c r="K660" s="27" t="str">
        <f t="shared" si="104"/>
        <v/>
      </c>
      <c r="L660" s="59" t="str">
        <f>IF(D660="","",VLOOKUP(D660,'[1]0.1 Produksi Pangan &amp; Penduduk'!$D$5:$M$860,10,0))</f>
        <v/>
      </c>
      <c r="M660" s="28" t="str">
        <f t="shared" si="105"/>
        <v/>
      </c>
      <c r="N660" s="60" t="str">
        <f t="shared" si="106"/>
        <v/>
      </c>
      <c r="O660" s="60" t="str">
        <f t="shared" si="107"/>
        <v/>
      </c>
      <c r="P660" s="60" t="str">
        <f t="shared" si="108"/>
        <v/>
      </c>
      <c r="Q660" s="28" t="str">
        <f t="shared" si="109"/>
        <v/>
      </c>
    </row>
    <row r="661" spans="1:17" ht="15" x14ac:dyDescent="0.25">
      <c r="A661" s="3" t="str">
        <f>IF('[1]0.1 Produksi Pangan &amp; Penduduk'!A662="","",'[1]0.1 Produksi Pangan &amp; Penduduk'!A662)</f>
        <v/>
      </c>
      <c r="B661" s="2" t="str">
        <f>IF('[1]0.1 Produksi Pangan &amp; Penduduk'!B662="","",'[1]0.1 Produksi Pangan &amp; Penduduk'!B662)</f>
        <v/>
      </c>
      <c r="C661" s="2" t="str">
        <f>IF('[1]0.1 Produksi Pangan &amp; Penduduk'!F662="","",'[1]0.1 Produksi Pangan &amp; Penduduk'!F662)</f>
        <v/>
      </c>
      <c r="D661" s="3" t="str">
        <f>IF('[1]0.1 Produksi Pangan &amp; Penduduk'!D662="","",'[1]0.1 Produksi Pangan &amp; Penduduk'!D662)</f>
        <v/>
      </c>
      <c r="E661" s="3" t="str">
        <f>IF('[1]0.1 Produksi Pangan &amp; Penduduk'!E662="","",'[1]0.1 Produksi Pangan &amp; Penduduk'!E662)</f>
        <v/>
      </c>
      <c r="F661" s="59" t="str">
        <f>IF(D661="","",VLOOKUP(D661,'[1]0.1 Produksi Pangan &amp; Penduduk'!$D$5:$J$860,7,0))</f>
        <v/>
      </c>
      <c r="G661" s="27" t="str">
        <f t="shared" si="100"/>
        <v/>
      </c>
      <c r="H661" s="27" t="str">
        <f t="shared" si="101"/>
        <v/>
      </c>
      <c r="I661" s="27" t="str">
        <f t="shared" si="102"/>
        <v/>
      </c>
      <c r="J661" s="27" t="str">
        <f t="shared" si="103"/>
        <v/>
      </c>
      <c r="K661" s="27" t="str">
        <f t="shared" si="104"/>
        <v/>
      </c>
      <c r="L661" s="59" t="str">
        <f>IF(D661="","",VLOOKUP(D661,'[1]0.1 Produksi Pangan &amp; Penduduk'!$D$5:$M$860,10,0))</f>
        <v/>
      </c>
      <c r="M661" s="28" t="str">
        <f t="shared" si="105"/>
        <v/>
      </c>
      <c r="N661" s="60" t="str">
        <f t="shared" si="106"/>
        <v/>
      </c>
      <c r="O661" s="60" t="str">
        <f t="shared" si="107"/>
        <v/>
      </c>
      <c r="P661" s="60" t="str">
        <f t="shared" si="108"/>
        <v/>
      </c>
      <c r="Q661" s="28" t="str">
        <f t="shared" si="109"/>
        <v/>
      </c>
    </row>
    <row r="662" spans="1:17" ht="15" x14ac:dyDescent="0.25">
      <c r="A662" s="3" t="str">
        <f>IF('[1]0.1 Produksi Pangan &amp; Penduduk'!A663="","",'[1]0.1 Produksi Pangan &amp; Penduduk'!A663)</f>
        <v/>
      </c>
      <c r="B662" s="2" t="str">
        <f>IF('[1]0.1 Produksi Pangan &amp; Penduduk'!B663="","",'[1]0.1 Produksi Pangan &amp; Penduduk'!B663)</f>
        <v/>
      </c>
      <c r="C662" s="2" t="str">
        <f>IF('[1]0.1 Produksi Pangan &amp; Penduduk'!F663="","",'[1]0.1 Produksi Pangan &amp; Penduduk'!F663)</f>
        <v/>
      </c>
      <c r="D662" s="3" t="str">
        <f>IF('[1]0.1 Produksi Pangan &amp; Penduduk'!D663="","",'[1]0.1 Produksi Pangan &amp; Penduduk'!D663)</f>
        <v/>
      </c>
      <c r="E662" s="3" t="str">
        <f>IF('[1]0.1 Produksi Pangan &amp; Penduduk'!E663="","",'[1]0.1 Produksi Pangan &amp; Penduduk'!E663)</f>
        <v/>
      </c>
      <c r="F662" s="59" t="str">
        <f>IF(D662="","",VLOOKUP(D662,'[1]0.1 Produksi Pangan &amp; Penduduk'!$D$5:$J$860,7,0))</f>
        <v/>
      </c>
      <c r="G662" s="27" t="str">
        <f t="shared" si="100"/>
        <v/>
      </c>
      <c r="H662" s="27" t="str">
        <f t="shared" si="101"/>
        <v/>
      </c>
      <c r="I662" s="27" t="str">
        <f t="shared" si="102"/>
        <v/>
      </c>
      <c r="J662" s="27" t="str">
        <f t="shared" si="103"/>
        <v/>
      </c>
      <c r="K662" s="27" t="str">
        <f t="shared" si="104"/>
        <v/>
      </c>
      <c r="L662" s="59" t="str">
        <f>IF(D662="","",VLOOKUP(D662,'[1]0.1 Produksi Pangan &amp; Penduduk'!$D$5:$M$860,10,0))</f>
        <v/>
      </c>
      <c r="M662" s="28" t="str">
        <f t="shared" si="105"/>
        <v/>
      </c>
      <c r="N662" s="60" t="str">
        <f t="shared" si="106"/>
        <v/>
      </c>
      <c r="O662" s="60" t="str">
        <f t="shared" si="107"/>
        <v/>
      </c>
      <c r="P662" s="60" t="str">
        <f t="shared" si="108"/>
        <v/>
      </c>
      <c r="Q662" s="28" t="str">
        <f t="shared" si="109"/>
        <v/>
      </c>
    </row>
    <row r="663" spans="1:17" ht="15" x14ac:dyDescent="0.25">
      <c r="A663" s="3" t="str">
        <f>IF('[1]0.1 Produksi Pangan &amp; Penduduk'!A664="","",'[1]0.1 Produksi Pangan &amp; Penduduk'!A664)</f>
        <v/>
      </c>
      <c r="B663" s="2" t="str">
        <f>IF('[1]0.1 Produksi Pangan &amp; Penduduk'!B664="","",'[1]0.1 Produksi Pangan &amp; Penduduk'!B664)</f>
        <v/>
      </c>
      <c r="C663" s="2" t="str">
        <f>IF('[1]0.1 Produksi Pangan &amp; Penduduk'!F664="","",'[1]0.1 Produksi Pangan &amp; Penduduk'!F664)</f>
        <v/>
      </c>
      <c r="D663" s="3" t="str">
        <f>IF('[1]0.1 Produksi Pangan &amp; Penduduk'!D664="","",'[1]0.1 Produksi Pangan &amp; Penduduk'!D664)</f>
        <v/>
      </c>
      <c r="E663" s="3" t="str">
        <f>IF('[1]0.1 Produksi Pangan &amp; Penduduk'!E664="","",'[1]0.1 Produksi Pangan &amp; Penduduk'!E664)</f>
        <v/>
      </c>
      <c r="F663" s="59" t="str">
        <f>IF(D663="","",VLOOKUP(D663,'[1]0.1 Produksi Pangan &amp; Penduduk'!$D$5:$J$860,7,0))</f>
        <v/>
      </c>
      <c r="G663" s="27" t="str">
        <f t="shared" si="100"/>
        <v/>
      </c>
      <c r="H663" s="27" t="str">
        <f t="shared" si="101"/>
        <v/>
      </c>
      <c r="I663" s="27" t="str">
        <f t="shared" si="102"/>
        <v/>
      </c>
      <c r="J663" s="27" t="str">
        <f t="shared" si="103"/>
        <v/>
      </c>
      <c r="K663" s="27" t="str">
        <f t="shared" si="104"/>
        <v/>
      </c>
      <c r="L663" s="59" t="str">
        <f>IF(D663="","",VLOOKUP(D663,'[1]0.1 Produksi Pangan &amp; Penduduk'!$D$5:$M$860,10,0))</f>
        <v/>
      </c>
      <c r="M663" s="28" t="str">
        <f t="shared" si="105"/>
        <v/>
      </c>
      <c r="N663" s="60" t="str">
        <f t="shared" si="106"/>
        <v/>
      </c>
      <c r="O663" s="60" t="str">
        <f t="shared" si="107"/>
        <v/>
      </c>
      <c r="P663" s="60" t="str">
        <f t="shared" si="108"/>
        <v/>
      </c>
      <c r="Q663" s="28" t="str">
        <f t="shared" si="109"/>
        <v/>
      </c>
    </row>
    <row r="664" spans="1:17" ht="15" x14ac:dyDescent="0.25">
      <c r="A664" s="3" t="str">
        <f>IF('[1]0.1 Produksi Pangan &amp; Penduduk'!A665="","",'[1]0.1 Produksi Pangan &amp; Penduduk'!A665)</f>
        <v/>
      </c>
      <c r="B664" s="2" t="str">
        <f>IF('[1]0.1 Produksi Pangan &amp; Penduduk'!B665="","",'[1]0.1 Produksi Pangan &amp; Penduduk'!B665)</f>
        <v/>
      </c>
      <c r="C664" s="2" t="str">
        <f>IF('[1]0.1 Produksi Pangan &amp; Penduduk'!F665="","",'[1]0.1 Produksi Pangan &amp; Penduduk'!F665)</f>
        <v/>
      </c>
      <c r="D664" s="3" t="str">
        <f>IF('[1]0.1 Produksi Pangan &amp; Penduduk'!D665="","",'[1]0.1 Produksi Pangan &amp; Penduduk'!D665)</f>
        <v/>
      </c>
      <c r="E664" s="3" t="str">
        <f>IF('[1]0.1 Produksi Pangan &amp; Penduduk'!E665="","",'[1]0.1 Produksi Pangan &amp; Penduduk'!E665)</f>
        <v/>
      </c>
      <c r="F664" s="59" t="str">
        <f>IF(D664="","",VLOOKUP(D664,'[1]0.1 Produksi Pangan &amp; Penduduk'!$D$5:$J$860,7,0))</f>
        <v/>
      </c>
      <c r="G664" s="27" t="str">
        <f t="shared" si="100"/>
        <v/>
      </c>
      <c r="H664" s="27" t="str">
        <f t="shared" si="101"/>
        <v/>
      </c>
      <c r="I664" s="27" t="str">
        <f t="shared" si="102"/>
        <v/>
      </c>
      <c r="J664" s="27" t="str">
        <f t="shared" si="103"/>
        <v/>
      </c>
      <c r="K664" s="27" t="str">
        <f t="shared" si="104"/>
        <v/>
      </c>
      <c r="L664" s="59" t="str">
        <f>IF(D664="","",VLOOKUP(D664,'[1]0.1 Produksi Pangan &amp; Penduduk'!$D$5:$M$860,10,0))</f>
        <v/>
      </c>
      <c r="M664" s="28" t="str">
        <f t="shared" si="105"/>
        <v/>
      </c>
      <c r="N664" s="60" t="str">
        <f t="shared" si="106"/>
        <v/>
      </c>
      <c r="O664" s="60" t="str">
        <f t="shared" si="107"/>
        <v/>
      </c>
      <c r="P664" s="60" t="str">
        <f t="shared" si="108"/>
        <v/>
      </c>
      <c r="Q664" s="28" t="str">
        <f t="shared" si="109"/>
        <v/>
      </c>
    </row>
    <row r="665" spans="1:17" ht="15" x14ac:dyDescent="0.25">
      <c r="A665" s="3" t="str">
        <f>IF('[1]0.1 Produksi Pangan &amp; Penduduk'!A666="","",'[1]0.1 Produksi Pangan &amp; Penduduk'!A666)</f>
        <v/>
      </c>
      <c r="B665" s="2" t="str">
        <f>IF('[1]0.1 Produksi Pangan &amp; Penduduk'!B666="","",'[1]0.1 Produksi Pangan &amp; Penduduk'!B666)</f>
        <v/>
      </c>
      <c r="C665" s="2" t="str">
        <f>IF('[1]0.1 Produksi Pangan &amp; Penduduk'!F666="","",'[1]0.1 Produksi Pangan &amp; Penduduk'!F666)</f>
        <v/>
      </c>
      <c r="D665" s="3" t="str">
        <f>IF('[1]0.1 Produksi Pangan &amp; Penduduk'!D666="","",'[1]0.1 Produksi Pangan &amp; Penduduk'!D666)</f>
        <v/>
      </c>
      <c r="E665" s="3" t="str">
        <f>IF('[1]0.1 Produksi Pangan &amp; Penduduk'!E666="","",'[1]0.1 Produksi Pangan &amp; Penduduk'!E666)</f>
        <v/>
      </c>
      <c r="F665" s="59" t="str">
        <f>IF(D665="","",VLOOKUP(D665,'[1]0.1 Produksi Pangan &amp; Penduduk'!$D$5:$J$860,7,0))</f>
        <v/>
      </c>
      <c r="G665" s="27" t="str">
        <f t="shared" si="100"/>
        <v/>
      </c>
      <c r="H665" s="27" t="str">
        <f t="shared" si="101"/>
        <v/>
      </c>
      <c r="I665" s="27" t="str">
        <f t="shared" si="102"/>
        <v/>
      </c>
      <c r="J665" s="27" t="str">
        <f t="shared" si="103"/>
        <v/>
      </c>
      <c r="K665" s="27" t="str">
        <f t="shared" si="104"/>
        <v/>
      </c>
      <c r="L665" s="59" t="str">
        <f>IF(D665="","",VLOOKUP(D665,'[1]0.1 Produksi Pangan &amp; Penduduk'!$D$5:$M$860,10,0))</f>
        <v/>
      </c>
      <c r="M665" s="28" t="str">
        <f t="shared" si="105"/>
        <v/>
      </c>
      <c r="N665" s="60" t="str">
        <f t="shared" si="106"/>
        <v/>
      </c>
      <c r="O665" s="60" t="str">
        <f t="shared" si="107"/>
        <v/>
      </c>
      <c r="P665" s="60" t="str">
        <f t="shared" si="108"/>
        <v/>
      </c>
      <c r="Q665" s="28" t="str">
        <f t="shared" si="109"/>
        <v/>
      </c>
    </row>
    <row r="666" spans="1:17" ht="15" x14ac:dyDescent="0.25">
      <c r="A666" s="3" t="str">
        <f>IF('[1]0.1 Produksi Pangan &amp; Penduduk'!A667="","",'[1]0.1 Produksi Pangan &amp; Penduduk'!A667)</f>
        <v/>
      </c>
      <c r="B666" s="2" t="str">
        <f>IF('[1]0.1 Produksi Pangan &amp; Penduduk'!B667="","",'[1]0.1 Produksi Pangan &amp; Penduduk'!B667)</f>
        <v/>
      </c>
      <c r="C666" s="2" t="str">
        <f>IF('[1]0.1 Produksi Pangan &amp; Penduduk'!F667="","",'[1]0.1 Produksi Pangan &amp; Penduduk'!F667)</f>
        <v/>
      </c>
      <c r="D666" s="3" t="str">
        <f>IF('[1]0.1 Produksi Pangan &amp; Penduduk'!D667="","",'[1]0.1 Produksi Pangan &amp; Penduduk'!D667)</f>
        <v/>
      </c>
      <c r="E666" s="3" t="str">
        <f>IF('[1]0.1 Produksi Pangan &amp; Penduduk'!E667="","",'[1]0.1 Produksi Pangan &amp; Penduduk'!E667)</f>
        <v/>
      </c>
      <c r="F666" s="59" t="str">
        <f>IF(D666="","",VLOOKUP(D666,'[1]0.1 Produksi Pangan &amp; Penduduk'!$D$5:$J$860,7,0))</f>
        <v/>
      </c>
      <c r="G666" s="27" t="str">
        <f t="shared" si="100"/>
        <v/>
      </c>
      <c r="H666" s="27" t="str">
        <f t="shared" si="101"/>
        <v/>
      </c>
      <c r="I666" s="27" t="str">
        <f t="shared" si="102"/>
        <v/>
      </c>
      <c r="J666" s="27" t="str">
        <f t="shared" si="103"/>
        <v/>
      </c>
      <c r="K666" s="27" t="str">
        <f t="shared" si="104"/>
        <v/>
      </c>
      <c r="L666" s="59" t="str">
        <f>IF(D666="","",VLOOKUP(D666,'[1]0.1 Produksi Pangan &amp; Penduduk'!$D$5:$M$860,10,0))</f>
        <v/>
      </c>
      <c r="M666" s="28" t="str">
        <f t="shared" si="105"/>
        <v/>
      </c>
      <c r="N666" s="60" t="str">
        <f t="shared" si="106"/>
        <v/>
      </c>
      <c r="O666" s="60" t="str">
        <f t="shared" si="107"/>
        <v/>
      </c>
      <c r="P666" s="60" t="str">
        <f t="shared" si="108"/>
        <v/>
      </c>
      <c r="Q666" s="28" t="str">
        <f t="shared" si="109"/>
        <v/>
      </c>
    </row>
    <row r="667" spans="1:17" ht="15" x14ac:dyDescent="0.25">
      <c r="A667" s="3" t="str">
        <f>IF('[1]0.1 Produksi Pangan &amp; Penduduk'!A668="","",'[1]0.1 Produksi Pangan &amp; Penduduk'!A668)</f>
        <v/>
      </c>
      <c r="B667" s="2" t="str">
        <f>IF('[1]0.1 Produksi Pangan &amp; Penduduk'!B668="","",'[1]0.1 Produksi Pangan &amp; Penduduk'!B668)</f>
        <v/>
      </c>
      <c r="C667" s="2" t="str">
        <f>IF('[1]0.1 Produksi Pangan &amp; Penduduk'!F668="","",'[1]0.1 Produksi Pangan &amp; Penduduk'!F668)</f>
        <v/>
      </c>
      <c r="D667" s="3" t="str">
        <f>IF('[1]0.1 Produksi Pangan &amp; Penduduk'!D668="","",'[1]0.1 Produksi Pangan &amp; Penduduk'!D668)</f>
        <v/>
      </c>
      <c r="E667" s="3" t="str">
        <f>IF('[1]0.1 Produksi Pangan &amp; Penduduk'!E668="","",'[1]0.1 Produksi Pangan &amp; Penduduk'!E668)</f>
        <v/>
      </c>
      <c r="F667" s="59" t="str">
        <f>IF(D667="","",VLOOKUP(D667,'[1]0.1 Produksi Pangan &amp; Penduduk'!$D$5:$J$860,7,0))</f>
        <v/>
      </c>
      <c r="G667" s="27" t="str">
        <f t="shared" si="100"/>
        <v/>
      </c>
      <c r="H667" s="27" t="str">
        <f t="shared" si="101"/>
        <v/>
      </c>
      <c r="I667" s="27" t="str">
        <f t="shared" si="102"/>
        <v/>
      </c>
      <c r="J667" s="27" t="str">
        <f t="shared" si="103"/>
        <v/>
      </c>
      <c r="K667" s="27" t="str">
        <f t="shared" si="104"/>
        <v/>
      </c>
      <c r="L667" s="59" t="str">
        <f>IF(D667="","",VLOOKUP(D667,'[1]0.1 Produksi Pangan &amp; Penduduk'!$D$5:$M$860,10,0))</f>
        <v/>
      </c>
      <c r="M667" s="28" t="str">
        <f t="shared" si="105"/>
        <v/>
      </c>
      <c r="N667" s="60" t="str">
        <f t="shared" si="106"/>
        <v/>
      </c>
      <c r="O667" s="60" t="str">
        <f t="shared" si="107"/>
        <v/>
      </c>
      <c r="P667" s="60" t="str">
        <f t="shared" si="108"/>
        <v/>
      </c>
      <c r="Q667" s="28" t="str">
        <f t="shared" si="109"/>
        <v/>
      </c>
    </row>
    <row r="668" spans="1:17" ht="15" x14ac:dyDescent="0.25">
      <c r="A668" s="3" t="str">
        <f>IF('[1]0.1 Produksi Pangan &amp; Penduduk'!A669="","",'[1]0.1 Produksi Pangan &amp; Penduduk'!A669)</f>
        <v/>
      </c>
      <c r="B668" s="2" t="str">
        <f>IF('[1]0.1 Produksi Pangan &amp; Penduduk'!B669="","",'[1]0.1 Produksi Pangan &amp; Penduduk'!B669)</f>
        <v/>
      </c>
      <c r="C668" s="2" t="str">
        <f>IF('[1]0.1 Produksi Pangan &amp; Penduduk'!F669="","",'[1]0.1 Produksi Pangan &amp; Penduduk'!F669)</f>
        <v/>
      </c>
      <c r="D668" s="3" t="str">
        <f>IF('[1]0.1 Produksi Pangan &amp; Penduduk'!D669="","",'[1]0.1 Produksi Pangan &amp; Penduduk'!D669)</f>
        <v/>
      </c>
      <c r="E668" s="3" t="str">
        <f>IF('[1]0.1 Produksi Pangan &amp; Penduduk'!E669="","",'[1]0.1 Produksi Pangan &amp; Penduduk'!E669)</f>
        <v/>
      </c>
      <c r="F668" s="59" t="str">
        <f>IF(D668="","",VLOOKUP(D668,'[1]0.1 Produksi Pangan &amp; Penduduk'!$D$5:$J$860,7,0))</f>
        <v/>
      </c>
      <c r="G668" s="27" t="str">
        <f t="shared" si="100"/>
        <v/>
      </c>
      <c r="H668" s="27" t="str">
        <f t="shared" si="101"/>
        <v/>
      </c>
      <c r="I668" s="27" t="str">
        <f t="shared" si="102"/>
        <v/>
      </c>
      <c r="J668" s="27" t="str">
        <f t="shared" si="103"/>
        <v/>
      </c>
      <c r="K668" s="27" t="str">
        <f t="shared" si="104"/>
        <v/>
      </c>
      <c r="L668" s="59" t="str">
        <f>IF(D668="","",VLOOKUP(D668,'[1]0.1 Produksi Pangan &amp; Penduduk'!$D$5:$M$860,10,0))</f>
        <v/>
      </c>
      <c r="M668" s="28" t="str">
        <f t="shared" si="105"/>
        <v/>
      </c>
      <c r="N668" s="60" t="str">
        <f t="shared" si="106"/>
        <v/>
      </c>
      <c r="O668" s="60" t="str">
        <f t="shared" si="107"/>
        <v/>
      </c>
      <c r="P668" s="60" t="str">
        <f t="shared" si="108"/>
        <v/>
      </c>
      <c r="Q668" s="28" t="str">
        <f t="shared" si="109"/>
        <v/>
      </c>
    </row>
    <row r="669" spans="1:17" ht="15" x14ac:dyDescent="0.25">
      <c r="A669" s="3" t="str">
        <f>IF('[1]0.1 Produksi Pangan &amp; Penduduk'!A670="","",'[1]0.1 Produksi Pangan &amp; Penduduk'!A670)</f>
        <v/>
      </c>
      <c r="B669" s="2" t="str">
        <f>IF('[1]0.1 Produksi Pangan &amp; Penduduk'!B670="","",'[1]0.1 Produksi Pangan &amp; Penduduk'!B670)</f>
        <v/>
      </c>
      <c r="C669" s="2" t="str">
        <f>IF('[1]0.1 Produksi Pangan &amp; Penduduk'!F670="","",'[1]0.1 Produksi Pangan &amp; Penduduk'!F670)</f>
        <v/>
      </c>
      <c r="D669" s="3" t="str">
        <f>IF('[1]0.1 Produksi Pangan &amp; Penduduk'!D670="","",'[1]0.1 Produksi Pangan &amp; Penduduk'!D670)</f>
        <v/>
      </c>
      <c r="E669" s="3" t="str">
        <f>IF('[1]0.1 Produksi Pangan &amp; Penduduk'!E670="","",'[1]0.1 Produksi Pangan &amp; Penduduk'!E670)</f>
        <v/>
      </c>
      <c r="F669" s="59" t="str">
        <f>IF(D669="","",VLOOKUP(D669,'[1]0.1 Produksi Pangan &amp; Penduduk'!$D$5:$J$860,7,0))</f>
        <v/>
      </c>
      <c r="G669" s="27" t="str">
        <f t="shared" si="100"/>
        <v/>
      </c>
      <c r="H669" s="27" t="str">
        <f t="shared" si="101"/>
        <v/>
      </c>
      <c r="I669" s="27" t="str">
        <f t="shared" si="102"/>
        <v/>
      </c>
      <c r="J669" s="27" t="str">
        <f t="shared" si="103"/>
        <v/>
      </c>
      <c r="K669" s="27" t="str">
        <f t="shared" si="104"/>
        <v/>
      </c>
      <c r="L669" s="59" t="str">
        <f>IF(D669="","",VLOOKUP(D669,'[1]0.1 Produksi Pangan &amp; Penduduk'!$D$5:$M$860,10,0))</f>
        <v/>
      </c>
      <c r="M669" s="28" t="str">
        <f t="shared" si="105"/>
        <v/>
      </c>
      <c r="N669" s="60" t="str">
        <f t="shared" si="106"/>
        <v/>
      </c>
      <c r="O669" s="60" t="str">
        <f t="shared" si="107"/>
        <v/>
      </c>
      <c r="P669" s="60" t="str">
        <f t="shared" si="108"/>
        <v/>
      </c>
      <c r="Q669" s="28" t="str">
        <f t="shared" si="109"/>
        <v/>
      </c>
    </row>
    <row r="670" spans="1:17" ht="15" x14ac:dyDescent="0.25">
      <c r="A670" s="3" t="str">
        <f>IF('[1]0.1 Produksi Pangan &amp; Penduduk'!A671="","",'[1]0.1 Produksi Pangan &amp; Penduduk'!A671)</f>
        <v/>
      </c>
      <c r="B670" s="2" t="str">
        <f>IF('[1]0.1 Produksi Pangan &amp; Penduduk'!B671="","",'[1]0.1 Produksi Pangan &amp; Penduduk'!B671)</f>
        <v/>
      </c>
      <c r="C670" s="2" t="str">
        <f>IF('[1]0.1 Produksi Pangan &amp; Penduduk'!F671="","",'[1]0.1 Produksi Pangan &amp; Penduduk'!F671)</f>
        <v/>
      </c>
      <c r="D670" s="3" t="str">
        <f>IF('[1]0.1 Produksi Pangan &amp; Penduduk'!D671="","",'[1]0.1 Produksi Pangan &amp; Penduduk'!D671)</f>
        <v/>
      </c>
      <c r="E670" s="3" t="str">
        <f>IF('[1]0.1 Produksi Pangan &amp; Penduduk'!E671="","",'[1]0.1 Produksi Pangan &amp; Penduduk'!E671)</f>
        <v/>
      </c>
      <c r="F670" s="59" t="str">
        <f>IF(D670="","",VLOOKUP(D670,'[1]0.1 Produksi Pangan &amp; Penduduk'!$D$5:$J$860,7,0))</f>
        <v/>
      </c>
      <c r="G670" s="27" t="str">
        <f t="shared" si="100"/>
        <v/>
      </c>
      <c r="H670" s="27" t="str">
        <f t="shared" si="101"/>
        <v/>
      </c>
      <c r="I670" s="27" t="str">
        <f t="shared" si="102"/>
        <v/>
      </c>
      <c r="J670" s="27" t="str">
        <f t="shared" si="103"/>
        <v/>
      </c>
      <c r="K670" s="27" t="str">
        <f t="shared" si="104"/>
        <v/>
      </c>
      <c r="L670" s="59" t="str">
        <f>IF(D670="","",VLOOKUP(D670,'[1]0.1 Produksi Pangan &amp; Penduduk'!$D$5:$M$860,10,0))</f>
        <v/>
      </c>
      <c r="M670" s="28" t="str">
        <f t="shared" si="105"/>
        <v/>
      </c>
      <c r="N670" s="60" t="str">
        <f t="shared" si="106"/>
        <v/>
      </c>
      <c r="O670" s="60" t="str">
        <f t="shared" si="107"/>
        <v/>
      </c>
      <c r="P670" s="60" t="str">
        <f t="shared" si="108"/>
        <v/>
      </c>
      <c r="Q670" s="28" t="str">
        <f t="shared" si="109"/>
        <v/>
      </c>
    </row>
    <row r="671" spans="1:17" ht="15" x14ac:dyDescent="0.25">
      <c r="A671" s="3" t="str">
        <f>IF('[1]0.1 Produksi Pangan &amp; Penduduk'!A672="","",'[1]0.1 Produksi Pangan &amp; Penduduk'!A672)</f>
        <v/>
      </c>
      <c r="B671" s="2" t="str">
        <f>IF('[1]0.1 Produksi Pangan &amp; Penduduk'!B672="","",'[1]0.1 Produksi Pangan &amp; Penduduk'!B672)</f>
        <v/>
      </c>
      <c r="C671" s="2" t="str">
        <f>IF('[1]0.1 Produksi Pangan &amp; Penduduk'!F672="","",'[1]0.1 Produksi Pangan &amp; Penduduk'!F672)</f>
        <v/>
      </c>
      <c r="D671" s="3" t="str">
        <f>IF('[1]0.1 Produksi Pangan &amp; Penduduk'!D672="","",'[1]0.1 Produksi Pangan &amp; Penduduk'!D672)</f>
        <v/>
      </c>
      <c r="E671" s="3" t="str">
        <f>IF('[1]0.1 Produksi Pangan &amp; Penduduk'!E672="","",'[1]0.1 Produksi Pangan &amp; Penduduk'!E672)</f>
        <v/>
      </c>
      <c r="F671" s="59" t="str">
        <f>IF(D671="","",VLOOKUP(D671,'[1]0.1 Produksi Pangan &amp; Penduduk'!$D$5:$J$860,7,0))</f>
        <v/>
      </c>
      <c r="G671" s="27" t="str">
        <f t="shared" si="100"/>
        <v/>
      </c>
      <c r="H671" s="27" t="str">
        <f t="shared" si="101"/>
        <v/>
      </c>
      <c r="I671" s="27" t="str">
        <f t="shared" si="102"/>
        <v/>
      </c>
      <c r="J671" s="27" t="str">
        <f t="shared" si="103"/>
        <v/>
      </c>
      <c r="K671" s="27" t="str">
        <f t="shared" si="104"/>
        <v/>
      </c>
      <c r="L671" s="59" t="str">
        <f>IF(D671="","",VLOOKUP(D671,'[1]0.1 Produksi Pangan &amp; Penduduk'!$D$5:$M$860,10,0))</f>
        <v/>
      </c>
      <c r="M671" s="28" t="str">
        <f t="shared" si="105"/>
        <v/>
      </c>
      <c r="N671" s="60" t="str">
        <f t="shared" si="106"/>
        <v/>
      </c>
      <c r="O671" s="60" t="str">
        <f t="shared" si="107"/>
        <v/>
      </c>
      <c r="P671" s="60" t="str">
        <f t="shared" si="108"/>
        <v/>
      </c>
      <c r="Q671" s="28" t="str">
        <f t="shared" si="109"/>
        <v/>
      </c>
    </row>
    <row r="672" spans="1:17" ht="15" x14ac:dyDescent="0.25">
      <c r="A672" s="3" t="str">
        <f>IF('[1]0.1 Produksi Pangan &amp; Penduduk'!A673="","",'[1]0.1 Produksi Pangan &amp; Penduduk'!A673)</f>
        <v/>
      </c>
      <c r="B672" s="2" t="str">
        <f>IF('[1]0.1 Produksi Pangan &amp; Penduduk'!B673="","",'[1]0.1 Produksi Pangan &amp; Penduduk'!B673)</f>
        <v/>
      </c>
      <c r="C672" s="2" t="str">
        <f>IF('[1]0.1 Produksi Pangan &amp; Penduduk'!F673="","",'[1]0.1 Produksi Pangan &amp; Penduduk'!F673)</f>
        <v/>
      </c>
      <c r="D672" s="3" t="str">
        <f>IF('[1]0.1 Produksi Pangan &amp; Penduduk'!D673="","",'[1]0.1 Produksi Pangan &amp; Penduduk'!D673)</f>
        <v/>
      </c>
      <c r="E672" s="3" t="str">
        <f>IF('[1]0.1 Produksi Pangan &amp; Penduduk'!E673="","",'[1]0.1 Produksi Pangan &amp; Penduduk'!E673)</f>
        <v/>
      </c>
      <c r="F672" s="59" t="str">
        <f>IF(D672="","",VLOOKUP(D672,'[1]0.1 Produksi Pangan &amp; Penduduk'!$D$5:$J$860,7,0))</f>
        <v/>
      </c>
      <c r="G672" s="27" t="str">
        <f t="shared" si="100"/>
        <v/>
      </c>
      <c r="H672" s="27" t="str">
        <f t="shared" si="101"/>
        <v/>
      </c>
      <c r="I672" s="27" t="str">
        <f t="shared" si="102"/>
        <v/>
      </c>
      <c r="J672" s="27" t="str">
        <f t="shared" si="103"/>
        <v/>
      </c>
      <c r="K672" s="27" t="str">
        <f t="shared" si="104"/>
        <v/>
      </c>
      <c r="L672" s="59" t="str">
        <f>IF(D672="","",VLOOKUP(D672,'[1]0.1 Produksi Pangan &amp; Penduduk'!$D$5:$M$860,10,0))</f>
        <v/>
      </c>
      <c r="M672" s="28" t="str">
        <f t="shared" si="105"/>
        <v/>
      </c>
      <c r="N672" s="60" t="str">
        <f t="shared" si="106"/>
        <v/>
      </c>
      <c r="O672" s="60" t="str">
        <f t="shared" si="107"/>
        <v/>
      </c>
      <c r="P672" s="60" t="str">
        <f t="shared" si="108"/>
        <v/>
      </c>
      <c r="Q672" s="28" t="str">
        <f t="shared" si="109"/>
        <v/>
      </c>
    </row>
    <row r="673" spans="1:17" ht="15" x14ac:dyDescent="0.25">
      <c r="A673" s="3" t="str">
        <f>IF('[1]0.1 Produksi Pangan &amp; Penduduk'!A674="","",'[1]0.1 Produksi Pangan &amp; Penduduk'!A674)</f>
        <v/>
      </c>
      <c r="B673" s="2" t="str">
        <f>IF('[1]0.1 Produksi Pangan &amp; Penduduk'!B674="","",'[1]0.1 Produksi Pangan &amp; Penduduk'!B674)</f>
        <v/>
      </c>
      <c r="C673" s="2" t="str">
        <f>IF('[1]0.1 Produksi Pangan &amp; Penduduk'!F674="","",'[1]0.1 Produksi Pangan &amp; Penduduk'!F674)</f>
        <v/>
      </c>
      <c r="D673" s="3" t="str">
        <f>IF('[1]0.1 Produksi Pangan &amp; Penduduk'!D674="","",'[1]0.1 Produksi Pangan &amp; Penduduk'!D674)</f>
        <v/>
      </c>
      <c r="E673" s="3" t="str">
        <f>IF('[1]0.1 Produksi Pangan &amp; Penduduk'!E674="","",'[1]0.1 Produksi Pangan &amp; Penduduk'!E674)</f>
        <v/>
      </c>
      <c r="F673" s="59" t="str">
        <f>IF(D673="","",VLOOKUP(D673,'[1]0.1 Produksi Pangan &amp; Penduduk'!$D$5:$J$860,7,0))</f>
        <v/>
      </c>
      <c r="G673" s="27" t="str">
        <f t="shared" si="100"/>
        <v/>
      </c>
      <c r="H673" s="27" t="str">
        <f t="shared" si="101"/>
        <v/>
      </c>
      <c r="I673" s="27" t="str">
        <f t="shared" si="102"/>
        <v/>
      </c>
      <c r="J673" s="27" t="str">
        <f t="shared" si="103"/>
        <v/>
      </c>
      <c r="K673" s="27" t="str">
        <f t="shared" si="104"/>
        <v/>
      </c>
      <c r="L673" s="59" t="str">
        <f>IF(D673="","",VLOOKUP(D673,'[1]0.1 Produksi Pangan &amp; Penduduk'!$D$5:$M$860,10,0))</f>
        <v/>
      </c>
      <c r="M673" s="28" t="str">
        <f t="shared" si="105"/>
        <v/>
      </c>
      <c r="N673" s="60" t="str">
        <f t="shared" si="106"/>
        <v/>
      </c>
      <c r="O673" s="60" t="str">
        <f t="shared" si="107"/>
        <v/>
      </c>
      <c r="P673" s="60" t="str">
        <f t="shared" si="108"/>
        <v/>
      </c>
      <c r="Q673" s="28" t="str">
        <f t="shared" si="109"/>
        <v/>
      </c>
    </row>
    <row r="674" spans="1:17" ht="15" x14ac:dyDescent="0.25">
      <c r="A674" s="3" t="str">
        <f>IF('[1]0.1 Produksi Pangan &amp; Penduduk'!A675="","",'[1]0.1 Produksi Pangan &amp; Penduduk'!A675)</f>
        <v/>
      </c>
      <c r="B674" s="2" t="str">
        <f>IF('[1]0.1 Produksi Pangan &amp; Penduduk'!B675="","",'[1]0.1 Produksi Pangan &amp; Penduduk'!B675)</f>
        <v/>
      </c>
      <c r="C674" s="2" t="str">
        <f>IF('[1]0.1 Produksi Pangan &amp; Penduduk'!F675="","",'[1]0.1 Produksi Pangan &amp; Penduduk'!F675)</f>
        <v/>
      </c>
      <c r="D674" s="3" t="str">
        <f>IF('[1]0.1 Produksi Pangan &amp; Penduduk'!D675="","",'[1]0.1 Produksi Pangan &amp; Penduduk'!D675)</f>
        <v/>
      </c>
      <c r="E674" s="3" t="str">
        <f>IF('[1]0.1 Produksi Pangan &amp; Penduduk'!E675="","",'[1]0.1 Produksi Pangan &amp; Penduduk'!E675)</f>
        <v/>
      </c>
      <c r="F674" s="59" t="str">
        <f>IF(D674="","",VLOOKUP(D674,'[1]0.1 Produksi Pangan &amp; Penduduk'!$D$5:$J$860,7,0))</f>
        <v/>
      </c>
      <c r="G674" s="27" t="str">
        <f t="shared" si="100"/>
        <v/>
      </c>
      <c r="H674" s="27" t="str">
        <f t="shared" si="101"/>
        <v/>
      </c>
      <c r="I674" s="27" t="str">
        <f t="shared" si="102"/>
        <v/>
      </c>
      <c r="J674" s="27" t="str">
        <f t="shared" si="103"/>
        <v/>
      </c>
      <c r="K674" s="27" t="str">
        <f t="shared" si="104"/>
        <v/>
      </c>
      <c r="L674" s="59" t="str">
        <f>IF(D674="","",VLOOKUP(D674,'[1]0.1 Produksi Pangan &amp; Penduduk'!$D$5:$M$860,10,0))</f>
        <v/>
      </c>
      <c r="M674" s="28" t="str">
        <f t="shared" si="105"/>
        <v/>
      </c>
      <c r="N674" s="60" t="str">
        <f t="shared" si="106"/>
        <v/>
      </c>
      <c r="O674" s="60" t="str">
        <f t="shared" si="107"/>
        <v/>
      </c>
      <c r="P674" s="60" t="str">
        <f t="shared" si="108"/>
        <v/>
      </c>
      <c r="Q674" s="28" t="str">
        <f t="shared" si="109"/>
        <v/>
      </c>
    </row>
    <row r="675" spans="1:17" ht="15" x14ac:dyDescent="0.25">
      <c r="A675" s="3" t="str">
        <f>IF('[1]0.1 Produksi Pangan &amp; Penduduk'!A676="","",'[1]0.1 Produksi Pangan &amp; Penduduk'!A676)</f>
        <v/>
      </c>
      <c r="B675" s="2" t="str">
        <f>IF('[1]0.1 Produksi Pangan &amp; Penduduk'!B676="","",'[1]0.1 Produksi Pangan &amp; Penduduk'!B676)</f>
        <v/>
      </c>
      <c r="C675" s="2" t="str">
        <f>IF('[1]0.1 Produksi Pangan &amp; Penduduk'!F676="","",'[1]0.1 Produksi Pangan &amp; Penduduk'!F676)</f>
        <v/>
      </c>
      <c r="D675" s="3" t="str">
        <f>IF('[1]0.1 Produksi Pangan &amp; Penduduk'!D676="","",'[1]0.1 Produksi Pangan &amp; Penduduk'!D676)</f>
        <v/>
      </c>
      <c r="E675" s="3" t="str">
        <f>IF('[1]0.1 Produksi Pangan &amp; Penduduk'!E676="","",'[1]0.1 Produksi Pangan &amp; Penduduk'!E676)</f>
        <v/>
      </c>
      <c r="F675" s="59" t="str">
        <f>IF(D675="","",VLOOKUP(D675,'[1]0.1 Produksi Pangan &amp; Penduduk'!$D$5:$J$860,7,0))</f>
        <v/>
      </c>
      <c r="G675" s="27" t="str">
        <f t="shared" si="100"/>
        <v/>
      </c>
      <c r="H675" s="27" t="str">
        <f t="shared" si="101"/>
        <v/>
      </c>
      <c r="I675" s="27" t="str">
        <f t="shared" si="102"/>
        <v/>
      </c>
      <c r="J675" s="27" t="str">
        <f t="shared" si="103"/>
        <v/>
      </c>
      <c r="K675" s="27" t="str">
        <f t="shared" si="104"/>
        <v/>
      </c>
      <c r="L675" s="59" t="str">
        <f>IF(D675="","",VLOOKUP(D675,'[1]0.1 Produksi Pangan &amp; Penduduk'!$D$5:$M$860,10,0))</f>
        <v/>
      </c>
      <c r="M675" s="28" t="str">
        <f t="shared" si="105"/>
        <v/>
      </c>
      <c r="N675" s="60" t="str">
        <f t="shared" si="106"/>
        <v/>
      </c>
      <c r="O675" s="60" t="str">
        <f t="shared" si="107"/>
        <v/>
      </c>
      <c r="P675" s="60" t="str">
        <f t="shared" si="108"/>
        <v/>
      </c>
      <c r="Q675" s="28" t="str">
        <f t="shared" si="109"/>
        <v/>
      </c>
    </row>
    <row r="676" spans="1:17" ht="15" x14ac:dyDescent="0.25">
      <c r="A676" s="3" t="str">
        <f>IF('[1]0.1 Produksi Pangan &amp; Penduduk'!A677="","",'[1]0.1 Produksi Pangan &amp; Penduduk'!A677)</f>
        <v/>
      </c>
      <c r="B676" s="2" t="str">
        <f>IF('[1]0.1 Produksi Pangan &amp; Penduduk'!B677="","",'[1]0.1 Produksi Pangan &amp; Penduduk'!B677)</f>
        <v/>
      </c>
      <c r="C676" s="2" t="str">
        <f>IF('[1]0.1 Produksi Pangan &amp; Penduduk'!F677="","",'[1]0.1 Produksi Pangan &amp; Penduduk'!F677)</f>
        <v/>
      </c>
      <c r="D676" s="3" t="str">
        <f>IF('[1]0.1 Produksi Pangan &amp; Penduduk'!D677="","",'[1]0.1 Produksi Pangan &amp; Penduduk'!D677)</f>
        <v/>
      </c>
      <c r="E676" s="3" t="str">
        <f>IF('[1]0.1 Produksi Pangan &amp; Penduduk'!E677="","",'[1]0.1 Produksi Pangan &amp; Penduduk'!E677)</f>
        <v/>
      </c>
      <c r="F676" s="59" t="str">
        <f>IF(D676="","",VLOOKUP(D676,'[1]0.1 Produksi Pangan &amp; Penduduk'!$D$5:$J$860,7,0))</f>
        <v/>
      </c>
      <c r="G676" s="27" t="str">
        <f t="shared" si="100"/>
        <v/>
      </c>
      <c r="H676" s="27" t="str">
        <f t="shared" si="101"/>
        <v/>
      </c>
      <c r="I676" s="27" t="str">
        <f t="shared" si="102"/>
        <v/>
      </c>
      <c r="J676" s="27" t="str">
        <f t="shared" si="103"/>
        <v/>
      </c>
      <c r="K676" s="27" t="str">
        <f t="shared" si="104"/>
        <v/>
      </c>
      <c r="L676" s="59" t="str">
        <f>IF(D676="","",VLOOKUP(D676,'[1]0.1 Produksi Pangan &amp; Penduduk'!$D$5:$M$860,10,0))</f>
        <v/>
      </c>
      <c r="M676" s="28" t="str">
        <f t="shared" si="105"/>
        <v/>
      </c>
      <c r="N676" s="60" t="str">
        <f t="shared" si="106"/>
        <v/>
      </c>
      <c r="O676" s="60" t="str">
        <f t="shared" si="107"/>
        <v/>
      </c>
      <c r="P676" s="60" t="str">
        <f t="shared" si="108"/>
        <v/>
      </c>
      <c r="Q676" s="28" t="str">
        <f t="shared" si="109"/>
        <v/>
      </c>
    </row>
    <row r="677" spans="1:17" ht="15" x14ac:dyDescent="0.25">
      <c r="A677" s="3" t="str">
        <f>IF('[1]0.1 Produksi Pangan &amp; Penduduk'!A678="","",'[1]0.1 Produksi Pangan &amp; Penduduk'!A678)</f>
        <v/>
      </c>
      <c r="B677" s="2" t="str">
        <f>IF('[1]0.1 Produksi Pangan &amp; Penduduk'!B678="","",'[1]0.1 Produksi Pangan &amp; Penduduk'!B678)</f>
        <v/>
      </c>
      <c r="C677" s="2" t="str">
        <f>IF('[1]0.1 Produksi Pangan &amp; Penduduk'!F678="","",'[1]0.1 Produksi Pangan &amp; Penduduk'!F678)</f>
        <v/>
      </c>
      <c r="D677" s="3" t="str">
        <f>IF('[1]0.1 Produksi Pangan &amp; Penduduk'!D678="","",'[1]0.1 Produksi Pangan &amp; Penduduk'!D678)</f>
        <v/>
      </c>
      <c r="E677" s="3" t="str">
        <f>IF('[1]0.1 Produksi Pangan &amp; Penduduk'!E678="","",'[1]0.1 Produksi Pangan &amp; Penduduk'!E678)</f>
        <v/>
      </c>
      <c r="F677" s="59" t="str">
        <f>IF(D677="","",VLOOKUP(D677,'[1]0.1 Produksi Pangan &amp; Penduduk'!$D$5:$J$860,7,0))</f>
        <v/>
      </c>
      <c r="G677" s="27" t="str">
        <f t="shared" si="100"/>
        <v/>
      </c>
      <c r="H677" s="27" t="str">
        <f t="shared" si="101"/>
        <v/>
      </c>
      <c r="I677" s="27" t="str">
        <f t="shared" si="102"/>
        <v/>
      </c>
      <c r="J677" s="27" t="str">
        <f t="shared" si="103"/>
        <v/>
      </c>
      <c r="K677" s="27" t="str">
        <f t="shared" si="104"/>
        <v/>
      </c>
      <c r="L677" s="59" t="str">
        <f>IF(D677="","",VLOOKUP(D677,'[1]0.1 Produksi Pangan &amp; Penduduk'!$D$5:$M$860,10,0))</f>
        <v/>
      </c>
      <c r="M677" s="28" t="str">
        <f t="shared" si="105"/>
        <v/>
      </c>
      <c r="N677" s="60" t="str">
        <f t="shared" si="106"/>
        <v/>
      </c>
      <c r="O677" s="60" t="str">
        <f t="shared" si="107"/>
        <v/>
      </c>
      <c r="P677" s="60" t="str">
        <f t="shared" si="108"/>
        <v/>
      </c>
      <c r="Q677" s="28" t="str">
        <f t="shared" si="109"/>
        <v/>
      </c>
    </row>
    <row r="678" spans="1:17" ht="15" x14ac:dyDescent="0.25">
      <c r="A678" s="3" t="str">
        <f>IF('[1]0.1 Produksi Pangan &amp; Penduduk'!A679="","",'[1]0.1 Produksi Pangan &amp; Penduduk'!A679)</f>
        <v/>
      </c>
      <c r="B678" s="2" t="str">
        <f>IF('[1]0.1 Produksi Pangan &amp; Penduduk'!B679="","",'[1]0.1 Produksi Pangan &amp; Penduduk'!B679)</f>
        <v/>
      </c>
      <c r="C678" s="2" t="str">
        <f>IF('[1]0.1 Produksi Pangan &amp; Penduduk'!F679="","",'[1]0.1 Produksi Pangan &amp; Penduduk'!F679)</f>
        <v/>
      </c>
      <c r="D678" s="3" t="str">
        <f>IF('[1]0.1 Produksi Pangan &amp; Penduduk'!D679="","",'[1]0.1 Produksi Pangan &amp; Penduduk'!D679)</f>
        <v/>
      </c>
      <c r="E678" s="3" t="str">
        <f>IF('[1]0.1 Produksi Pangan &amp; Penduduk'!E679="","",'[1]0.1 Produksi Pangan &amp; Penduduk'!E679)</f>
        <v/>
      </c>
      <c r="F678" s="59" t="str">
        <f>IF(D678="","",VLOOKUP(D678,'[1]0.1 Produksi Pangan &amp; Penduduk'!$D$5:$J$860,7,0))</f>
        <v/>
      </c>
      <c r="G678" s="27" t="str">
        <f t="shared" si="100"/>
        <v/>
      </c>
      <c r="H678" s="27" t="str">
        <f t="shared" si="101"/>
        <v/>
      </c>
      <c r="I678" s="27" t="str">
        <f t="shared" si="102"/>
        <v/>
      </c>
      <c r="J678" s="27" t="str">
        <f t="shared" si="103"/>
        <v/>
      </c>
      <c r="K678" s="27" t="str">
        <f t="shared" si="104"/>
        <v/>
      </c>
      <c r="L678" s="59" t="str">
        <f>IF(D678="","",VLOOKUP(D678,'[1]0.1 Produksi Pangan &amp; Penduduk'!$D$5:$M$860,10,0))</f>
        <v/>
      </c>
      <c r="M678" s="28" t="str">
        <f t="shared" si="105"/>
        <v/>
      </c>
      <c r="N678" s="60" t="str">
        <f t="shared" si="106"/>
        <v/>
      </c>
      <c r="O678" s="60" t="str">
        <f t="shared" si="107"/>
        <v/>
      </c>
      <c r="P678" s="60" t="str">
        <f t="shared" si="108"/>
        <v/>
      </c>
      <c r="Q678" s="28" t="str">
        <f t="shared" si="109"/>
        <v/>
      </c>
    </row>
    <row r="679" spans="1:17" ht="15" x14ac:dyDescent="0.25">
      <c r="A679" s="3" t="str">
        <f>IF('[1]0.1 Produksi Pangan &amp; Penduduk'!A680="","",'[1]0.1 Produksi Pangan &amp; Penduduk'!A680)</f>
        <v/>
      </c>
      <c r="B679" s="2" t="str">
        <f>IF('[1]0.1 Produksi Pangan &amp; Penduduk'!B680="","",'[1]0.1 Produksi Pangan &amp; Penduduk'!B680)</f>
        <v/>
      </c>
      <c r="C679" s="2" t="str">
        <f>IF('[1]0.1 Produksi Pangan &amp; Penduduk'!F680="","",'[1]0.1 Produksi Pangan &amp; Penduduk'!F680)</f>
        <v/>
      </c>
      <c r="D679" s="3" t="str">
        <f>IF('[1]0.1 Produksi Pangan &amp; Penduduk'!D680="","",'[1]0.1 Produksi Pangan &amp; Penduduk'!D680)</f>
        <v/>
      </c>
      <c r="E679" s="3" t="str">
        <f>IF('[1]0.1 Produksi Pangan &amp; Penduduk'!E680="","",'[1]0.1 Produksi Pangan &amp; Penduduk'!E680)</f>
        <v/>
      </c>
      <c r="F679" s="59" t="str">
        <f>IF(D679="","",VLOOKUP(D679,'[1]0.1 Produksi Pangan &amp; Penduduk'!$D$5:$J$860,7,0))</f>
        <v/>
      </c>
      <c r="G679" s="27" t="str">
        <f t="shared" si="100"/>
        <v/>
      </c>
      <c r="H679" s="27" t="str">
        <f t="shared" si="101"/>
        <v/>
      </c>
      <c r="I679" s="27" t="str">
        <f t="shared" si="102"/>
        <v/>
      </c>
      <c r="J679" s="27" t="str">
        <f t="shared" si="103"/>
        <v/>
      </c>
      <c r="K679" s="27" t="str">
        <f t="shared" si="104"/>
        <v/>
      </c>
      <c r="L679" s="59" t="str">
        <f>IF(D679="","",VLOOKUP(D679,'[1]0.1 Produksi Pangan &amp; Penduduk'!$D$5:$M$860,10,0))</f>
        <v/>
      </c>
      <c r="M679" s="28" t="str">
        <f t="shared" si="105"/>
        <v/>
      </c>
      <c r="N679" s="60" t="str">
        <f t="shared" si="106"/>
        <v/>
      </c>
      <c r="O679" s="60" t="str">
        <f t="shared" si="107"/>
        <v/>
      </c>
      <c r="P679" s="60" t="str">
        <f t="shared" si="108"/>
        <v/>
      </c>
      <c r="Q679" s="28" t="str">
        <f t="shared" si="109"/>
        <v/>
      </c>
    </row>
    <row r="680" spans="1:17" ht="15" x14ac:dyDescent="0.25">
      <c r="A680" s="3" t="str">
        <f>IF('[1]0.1 Produksi Pangan &amp; Penduduk'!A681="","",'[1]0.1 Produksi Pangan &amp; Penduduk'!A681)</f>
        <v/>
      </c>
      <c r="B680" s="2" t="str">
        <f>IF('[1]0.1 Produksi Pangan &amp; Penduduk'!B681="","",'[1]0.1 Produksi Pangan &amp; Penduduk'!B681)</f>
        <v/>
      </c>
      <c r="C680" s="2" t="str">
        <f>IF('[1]0.1 Produksi Pangan &amp; Penduduk'!F681="","",'[1]0.1 Produksi Pangan &amp; Penduduk'!F681)</f>
        <v/>
      </c>
      <c r="D680" s="3" t="str">
        <f>IF('[1]0.1 Produksi Pangan &amp; Penduduk'!D681="","",'[1]0.1 Produksi Pangan &amp; Penduduk'!D681)</f>
        <v/>
      </c>
      <c r="E680" s="3" t="str">
        <f>IF('[1]0.1 Produksi Pangan &amp; Penduduk'!E681="","",'[1]0.1 Produksi Pangan &amp; Penduduk'!E681)</f>
        <v/>
      </c>
      <c r="F680" s="59" t="str">
        <f>IF(D680="","",VLOOKUP(D680,'[1]0.1 Produksi Pangan &amp; Penduduk'!$D$5:$J$860,7,0))</f>
        <v/>
      </c>
      <c r="G680" s="27" t="str">
        <f t="shared" si="100"/>
        <v/>
      </c>
      <c r="H680" s="27" t="str">
        <f t="shared" si="101"/>
        <v/>
      </c>
      <c r="I680" s="27" t="str">
        <f t="shared" si="102"/>
        <v/>
      </c>
      <c r="J680" s="27" t="str">
        <f t="shared" si="103"/>
        <v/>
      </c>
      <c r="K680" s="27" t="str">
        <f t="shared" si="104"/>
        <v/>
      </c>
      <c r="L680" s="59" t="str">
        <f>IF(D680="","",VLOOKUP(D680,'[1]0.1 Produksi Pangan &amp; Penduduk'!$D$5:$M$860,10,0))</f>
        <v/>
      </c>
      <c r="M680" s="28" t="str">
        <f t="shared" si="105"/>
        <v/>
      </c>
      <c r="N680" s="60" t="str">
        <f t="shared" si="106"/>
        <v/>
      </c>
      <c r="O680" s="60" t="str">
        <f t="shared" si="107"/>
        <v/>
      </c>
      <c r="P680" s="60" t="str">
        <f t="shared" si="108"/>
        <v/>
      </c>
      <c r="Q680" s="28" t="str">
        <f t="shared" si="109"/>
        <v/>
      </c>
    </row>
    <row r="681" spans="1:17" ht="15" x14ac:dyDescent="0.25">
      <c r="A681" s="3" t="str">
        <f>IF('[1]0.1 Produksi Pangan &amp; Penduduk'!A682="","",'[1]0.1 Produksi Pangan &amp; Penduduk'!A682)</f>
        <v/>
      </c>
      <c r="B681" s="2" t="str">
        <f>IF('[1]0.1 Produksi Pangan &amp; Penduduk'!B682="","",'[1]0.1 Produksi Pangan &amp; Penduduk'!B682)</f>
        <v/>
      </c>
      <c r="C681" s="2" t="str">
        <f>IF('[1]0.1 Produksi Pangan &amp; Penduduk'!F682="","",'[1]0.1 Produksi Pangan &amp; Penduduk'!F682)</f>
        <v/>
      </c>
      <c r="D681" s="3" t="str">
        <f>IF('[1]0.1 Produksi Pangan &amp; Penduduk'!D682="","",'[1]0.1 Produksi Pangan &amp; Penduduk'!D682)</f>
        <v/>
      </c>
      <c r="E681" s="3" t="str">
        <f>IF('[1]0.1 Produksi Pangan &amp; Penduduk'!E682="","",'[1]0.1 Produksi Pangan &amp; Penduduk'!E682)</f>
        <v/>
      </c>
      <c r="F681" s="59" t="str">
        <f>IF(D681="","",VLOOKUP(D681,'[1]0.1 Produksi Pangan &amp; Penduduk'!$D$5:$J$860,7,0))</f>
        <v/>
      </c>
      <c r="G681" s="27" t="str">
        <f t="shared" si="100"/>
        <v/>
      </c>
      <c r="H681" s="27" t="str">
        <f t="shared" si="101"/>
        <v/>
      </c>
      <c r="I681" s="27" t="str">
        <f t="shared" si="102"/>
        <v/>
      </c>
      <c r="J681" s="27" t="str">
        <f t="shared" si="103"/>
        <v/>
      </c>
      <c r="K681" s="27" t="str">
        <f t="shared" si="104"/>
        <v/>
      </c>
      <c r="L681" s="59" t="str">
        <f>IF(D681="","",VLOOKUP(D681,'[1]0.1 Produksi Pangan &amp; Penduduk'!$D$5:$M$860,10,0))</f>
        <v/>
      </c>
      <c r="M681" s="28" t="str">
        <f t="shared" si="105"/>
        <v/>
      </c>
      <c r="N681" s="60" t="str">
        <f t="shared" si="106"/>
        <v/>
      </c>
      <c r="O681" s="60" t="str">
        <f t="shared" si="107"/>
        <v/>
      </c>
      <c r="P681" s="60" t="str">
        <f t="shared" si="108"/>
        <v/>
      </c>
      <c r="Q681" s="28" t="str">
        <f t="shared" si="109"/>
        <v/>
      </c>
    </row>
    <row r="682" spans="1:17" ht="15" x14ac:dyDescent="0.25">
      <c r="A682" s="3" t="str">
        <f>IF('[1]0.1 Produksi Pangan &amp; Penduduk'!A683="","",'[1]0.1 Produksi Pangan &amp; Penduduk'!A683)</f>
        <v/>
      </c>
      <c r="B682" s="2" t="str">
        <f>IF('[1]0.1 Produksi Pangan &amp; Penduduk'!B683="","",'[1]0.1 Produksi Pangan &amp; Penduduk'!B683)</f>
        <v/>
      </c>
      <c r="C682" s="2" t="str">
        <f>IF('[1]0.1 Produksi Pangan &amp; Penduduk'!F683="","",'[1]0.1 Produksi Pangan &amp; Penduduk'!F683)</f>
        <v/>
      </c>
      <c r="D682" s="3" t="str">
        <f>IF('[1]0.1 Produksi Pangan &amp; Penduduk'!D683="","",'[1]0.1 Produksi Pangan &amp; Penduduk'!D683)</f>
        <v/>
      </c>
      <c r="E682" s="3" t="str">
        <f>IF('[1]0.1 Produksi Pangan &amp; Penduduk'!E683="","",'[1]0.1 Produksi Pangan &amp; Penduduk'!E683)</f>
        <v/>
      </c>
      <c r="F682" s="59" t="str">
        <f>IF(D682="","",VLOOKUP(D682,'[1]0.1 Produksi Pangan &amp; Penduduk'!$D$5:$J$860,7,0))</f>
        <v/>
      </c>
      <c r="G682" s="27" t="str">
        <f t="shared" si="100"/>
        <v/>
      </c>
      <c r="H682" s="27" t="str">
        <f t="shared" si="101"/>
        <v/>
      </c>
      <c r="I682" s="27" t="str">
        <f t="shared" si="102"/>
        <v/>
      </c>
      <c r="J682" s="27" t="str">
        <f t="shared" si="103"/>
        <v/>
      </c>
      <c r="K682" s="27" t="str">
        <f t="shared" si="104"/>
        <v/>
      </c>
      <c r="L682" s="59" t="str">
        <f>IF(D682="","",VLOOKUP(D682,'[1]0.1 Produksi Pangan &amp; Penduduk'!$D$5:$M$860,10,0))</f>
        <v/>
      </c>
      <c r="M682" s="28" t="str">
        <f t="shared" si="105"/>
        <v/>
      </c>
      <c r="N682" s="60" t="str">
        <f t="shared" si="106"/>
        <v/>
      </c>
      <c r="O682" s="60" t="str">
        <f t="shared" si="107"/>
        <v/>
      </c>
      <c r="P682" s="60" t="str">
        <f t="shared" si="108"/>
        <v/>
      </c>
      <c r="Q682" s="28" t="str">
        <f t="shared" si="109"/>
        <v/>
      </c>
    </row>
    <row r="683" spans="1:17" ht="15" x14ac:dyDescent="0.25">
      <c r="A683" s="3" t="str">
        <f>IF('[1]0.1 Produksi Pangan &amp; Penduduk'!A684="","",'[1]0.1 Produksi Pangan &amp; Penduduk'!A684)</f>
        <v/>
      </c>
      <c r="B683" s="2" t="str">
        <f>IF('[1]0.1 Produksi Pangan &amp; Penduduk'!B684="","",'[1]0.1 Produksi Pangan &amp; Penduduk'!B684)</f>
        <v/>
      </c>
      <c r="C683" s="2" t="str">
        <f>IF('[1]0.1 Produksi Pangan &amp; Penduduk'!F684="","",'[1]0.1 Produksi Pangan &amp; Penduduk'!F684)</f>
        <v/>
      </c>
      <c r="D683" s="3" t="str">
        <f>IF('[1]0.1 Produksi Pangan &amp; Penduduk'!D684="","",'[1]0.1 Produksi Pangan &amp; Penduduk'!D684)</f>
        <v/>
      </c>
      <c r="E683" s="3" t="str">
        <f>IF('[1]0.1 Produksi Pangan &amp; Penduduk'!E684="","",'[1]0.1 Produksi Pangan &amp; Penduduk'!E684)</f>
        <v/>
      </c>
      <c r="F683" s="59" t="str">
        <f>IF(D683="","",VLOOKUP(D683,'[1]0.1 Produksi Pangan &amp; Penduduk'!$D$5:$J$860,7,0))</f>
        <v/>
      </c>
      <c r="G683" s="27" t="str">
        <f t="shared" si="100"/>
        <v/>
      </c>
      <c r="H683" s="27" t="str">
        <f t="shared" si="101"/>
        <v/>
      </c>
      <c r="I683" s="27" t="str">
        <f t="shared" si="102"/>
        <v/>
      </c>
      <c r="J683" s="27" t="str">
        <f t="shared" si="103"/>
        <v/>
      </c>
      <c r="K683" s="27" t="str">
        <f t="shared" si="104"/>
        <v/>
      </c>
      <c r="L683" s="59" t="str">
        <f>IF(D683="","",VLOOKUP(D683,'[1]0.1 Produksi Pangan &amp; Penduduk'!$D$5:$M$860,10,0))</f>
        <v/>
      </c>
      <c r="M683" s="28" t="str">
        <f t="shared" si="105"/>
        <v/>
      </c>
      <c r="N683" s="60" t="str">
        <f t="shared" si="106"/>
        <v/>
      </c>
      <c r="O683" s="60" t="str">
        <f t="shared" si="107"/>
        <v/>
      </c>
      <c r="P683" s="60" t="str">
        <f t="shared" si="108"/>
        <v/>
      </c>
      <c r="Q683" s="28" t="str">
        <f t="shared" si="109"/>
        <v/>
      </c>
    </row>
    <row r="684" spans="1:17" ht="15" x14ac:dyDescent="0.25">
      <c r="A684" s="3" t="str">
        <f>IF('[1]0.1 Produksi Pangan &amp; Penduduk'!A685="","",'[1]0.1 Produksi Pangan &amp; Penduduk'!A685)</f>
        <v/>
      </c>
      <c r="B684" s="2" t="str">
        <f>IF('[1]0.1 Produksi Pangan &amp; Penduduk'!B685="","",'[1]0.1 Produksi Pangan &amp; Penduduk'!B685)</f>
        <v/>
      </c>
      <c r="C684" s="2" t="str">
        <f>IF('[1]0.1 Produksi Pangan &amp; Penduduk'!F685="","",'[1]0.1 Produksi Pangan &amp; Penduduk'!F685)</f>
        <v/>
      </c>
      <c r="D684" s="3" t="str">
        <f>IF('[1]0.1 Produksi Pangan &amp; Penduduk'!D685="","",'[1]0.1 Produksi Pangan &amp; Penduduk'!D685)</f>
        <v/>
      </c>
      <c r="E684" s="3" t="str">
        <f>IF('[1]0.1 Produksi Pangan &amp; Penduduk'!E685="","",'[1]0.1 Produksi Pangan &amp; Penduduk'!E685)</f>
        <v/>
      </c>
      <c r="F684" s="59" t="str">
        <f>IF(D684="","",VLOOKUP(D684,'[1]0.1 Produksi Pangan &amp; Penduduk'!$D$5:$J$860,7,0))</f>
        <v/>
      </c>
      <c r="G684" s="27" t="str">
        <f t="shared" si="100"/>
        <v/>
      </c>
      <c r="H684" s="27" t="str">
        <f t="shared" si="101"/>
        <v/>
      </c>
      <c r="I684" s="27" t="str">
        <f t="shared" si="102"/>
        <v/>
      </c>
      <c r="J684" s="27" t="str">
        <f t="shared" si="103"/>
        <v/>
      </c>
      <c r="K684" s="27" t="str">
        <f t="shared" si="104"/>
        <v/>
      </c>
      <c r="L684" s="59" t="str">
        <f>IF(D684="","",VLOOKUP(D684,'[1]0.1 Produksi Pangan &amp; Penduduk'!$D$5:$M$860,10,0))</f>
        <v/>
      </c>
      <c r="M684" s="28" t="str">
        <f t="shared" si="105"/>
        <v/>
      </c>
      <c r="N684" s="60" t="str">
        <f t="shared" si="106"/>
        <v/>
      </c>
      <c r="O684" s="60" t="str">
        <f t="shared" si="107"/>
        <v/>
      </c>
      <c r="P684" s="60" t="str">
        <f t="shared" si="108"/>
        <v/>
      </c>
      <c r="Q684" s="28" t="str">
        <f t="shared" si="109"/>
        <v/>
      </c>
    </row>
    <row r="685" spans="1:17" ht="15" x14ac:dyDescent="0.25">
      <c r="A685" s="3" t="str">
        <f>IF('[1]0.1 Produksi Pangan &amp; Penduduk'!A686="","",'[1]0.1 Produksi Pangan &amp; Penduduk'!A686)</f>
        <v/>
      </c>
      <c r="B685" s="2" t="str">
        <f>IF('[1]0.1 Produksi Pangan &amp; Penduduk'!B686="","",'[1]0.1 Produksi Pangan &amp; Penduduk'!B686)</f>
        <v/>
      </c>
      <c r="C685" s="2" t="str">
        <f>IF('[1]0.1 Produksi Pangan &amp; Penduduk'!F686="","",'[1]0.1 Produksi Pangan &amp; Penduduk'!F686)</f>
        <v/>
      </c>
      <c r="D685" s="3" t="str">
        <f>IF('[1]0.1 Produksi Pangan &amp; Penduduk'!D686="","",'[1]0.1 Produksi Pangan &amp; Penduduk'!D686)</f>
        <v/>
      </c>
      <c r="E685" s="3" t="str">
        <f>IF('[1]0.1 Produksi Pangan &amp; Penduduk'!E686="","",'[1]0.1 Produksi Pangan &amp; Penduduk'!E686)</f>
        <v/>
      </c>
      <c r="F685" s="59" t="str">
        <f>IF(D685="","",VLOOKUP(D685,'[1]0.1 Produksi Pangan &amp; Penduduk'!$D$5:$J$860,7,0))</f>
        <v/>
      </c>
      <c r="G685" s="27" t="str">
        <f t="shared" si="100"/>
        <v/>
      </c>
      <c r="H685" s="27" t="str">
        <f t="shared" si="101"/>
        <v/>
      </c>
      <c r="I685" s="27" t="str">
        <f t="shared" si="102"/>
        <v/>
      </c>
      <c r="J685" s="27" t="str">
        <f t="shared" si="103"/>
        <v/>
      </c>
      <c r="K685" s="27" t="str">
        <f t="shared" si="104"/>
        <v/>
      </c>
      <c r="L685" s="59" t="str">
        <f>IF(D685="","",VLOOKUP(D685,'[1]0.1 Produksi Pangan &amp; Penduduk'!$D$5:$M$860,10,0))</f>
        <v/>
      </c>
      <c r="M685" s="28" t="str">
        <f t="shared" si="105"/>
        <v/>
      </c>
      <c r="N685" s="60" t="str">
        <f t="shared" si="106"/>
        <v/>
      </c>
      <c r="O685" s="60" t="str">
        <f t="shared" si="107"/>
        <v/>
      </c>
      <c r="P685" s="60" t="str">
        <f t="shared" si="108"/>
        <v/>
      </c>
      <c r="Q685" s="28" t="str">
        <f t="shared" si="109"/>
        <v/>
      </c>
    </row>
    <row r="686" spans="1:17" ht="15" x14ac:dyDescent="0.25">
      <c r="A686" s="3" t="str">
        <f>IF('[1]0.1 Produksi Pangan &amp; Penduduk'!A687="","",'[1]0.1 Produksi Pangan &amp; Penduduk'!A687)</f>
        <v/>
      </c>
      <c r="B686" s="2" t="str">
        <f>IF('[1]0.1 Produksi Pangan &amp; Penduduk'!B687="","",'[1]0.1 Produksi Pangan &amp; Penduduk'!B687)</f>
        <v/>
      </c>
      <c r="C686" s="2" t="str">
        <f>IF('[1]0.1 Produksi Pangan &amp; Penduduk'!F687="","",'[1]0.1 Produksi Pangan &amp; Penduduk'!F687)</f>
        <v/>
      </c>
      <c r="D686" s="3" t="str">
        <f>IF('[1]0.1 Produksi Pangan &amp; Penduduk'!D687="","",'[1]0.1 Produksi Pangan &amp; Penduduk'!D687)</f>
        <v/>
      </c>
      <c r="E686" s="3" t="str">
        <f>IF('[1]0.1 Produksi Pangan &amp; Penduduk'!E687="","",'[1]0.1 Produksi Pangan &amp; Penduduk'!E687)</f>
        <v/>
      </c>
      <c r="F686" s="59" t="str">
        <f>IF(D686="","",VLOOKUP(D686,'[1]0.1 Produksi Pangan &amp; Penduduk'!$D$5:$J$860,7,0))</f>
        <v/>
      </c>
      <c r="G686" s="27" t="str">
        <f t="shared" si="100"/>
        <v/>
      </c>
      <c r="H686" s="27" t="str">
        <f t="shared" si="101"/>
        <v/>
      </c>
      <c r="I686" s="27" t="str">
        <f t="shared" si="102"/>
        <v/>
      </c>
      <c r="J686" s="27" t="str">
        <f t="shared" si="103"/>
        <v/>
      </c>
      <c r="K686" s="27" t="str">
        <f t="shared" si="104"/>
        <v/>
      </c>
      <c r="L686" s="59" t="str">
        <f>IF(D686="","",VLOOKUP(D686,'[1]0.1 Produksi Pangan &amp; Penduduk'!$D$5:$M$860,10,0))</f>
        <v/>
      </c>
      <c r="M686" s="28" t="str">
        <f t="shared" si="105"/>
        <v/>
      </c>
      <c r="N686" s="60" t="str">
        <f t="shared" si="106"/>
        <v/>
      </c>
      <c r="O686" s="60" t="str">
        <f t="shared" si="107"/>
        <v/>
      </c>
      <c r="P686" s="60" t="str">
        <f t="shared" si="108"/>
        <v/>
      </c>
      <c r="Q686" s="28" t="str">
        <f t="shared" si="109"/>
        <v/>
      </c>
    </row>
    <row r="687" spans="1:17" ht="15" x14ac:dyDescent="0.25">
      <c r="A687" s="3" t="str">
        <f>IF('[1]0.1 Produksi Pangan &amp; Penduduk'!A688="","",'[1]0.1 Produksi Pangan &amp; Penduduk'!A688)</f>
        <v/>
      </c>
      <c r="B687" s="2" t="str">
        <f>IF('[1]0.1 Produksi Pangan &amp; Penduduk'!B688="","",'[1]0.1 Produksi Pangan &amp; Penduduk'!B688)</f>
        <v/>
      </c>
      <c r="C687" s="2" t="str">
        <f>IF('[1]0.1 Produksi Pangan &amp; Penduduk'!F688="","",'[1]0.1 Produksi Pangan &amp; Penduduk'!F688)</f>
        <v/>
      </c>
      <c r="D687" s="3" t="str">
        <f>IF('[1]0.1 Produksi Pangan &amp; Penduduk'!D688="","",'[1]0.1 Produksi Pangan &amp; Penduduk'!D688)</f>
        <v/>
      </c>
      <c r="E687" s="3" t="str">
        <f>IF('[1]0.1 Produksi Pangan &amp; Penduduk'!E688="","",'[1]0.1 Produksi Pangan &amp; Penduduk'!E688)</f>
        <v/>
      </c>
      <c r="F687" s="59" t="str">
        <f>IF(D687="","",VLOOKUP(D687,'[1]0.1 Produksi Pangan &amp; Penduduk'!$D$5:$J$860,7,0))</f>
        <v/>
      </c>
      <c r="G687" s="27" t="str">
        <f t="shared" si="100"/>
        <v/>
      </c>
      <c r="H687" s="27" t="str">
        <f t="shared" si="101"/>
        <v/>
      </c>
      <c r="I687" s="27" t="str">
        <f t="shared" si="102"/>
        <v/>
      </c>
      <c r="J687" s="27" t="str">
        <f t="shared" si="103"/>
        <v/>
      </c>
      <c r="K687" s="27" t="str">
        <f t="shared" si="104"/>
        <v/>
      </c>
      <c r="L687" s="59" t="str">
        <f>IF(D687="","",VLOOKUP(D687,'[1]0.1 Produksi Pangan &amp; Penduduk'!$D$5:$M$860,10,0))</f>
        <v/>
      </c>
      <c r="M687" s="28" t="str">
        <f t="shared" si="105"/>
        <v/>
      </c>
      <c r="N687" s="60" t="str">
        <f t="shared" si="106"/>
        <v/>
      </c>
      <c r="O687" s="60" t="str">
        <f t="shared" si="107"/>
        <v/>
      </c>
      <c r="P687" s="60" t="str">
        <f t="shared" si="108"/>
        <v/>
      </c>
      <c r="Q687" s="28" t="str">
        <f t="shared" si="109"/>
        <v/>
      </c>
    </row>
    <row r="688" spans="1:17" ht="15" x14ac:dyDescent="0.25">
      <c r="A688" s="3" t="str">
        <f>IF('[1]0.1 Produksi Pangan &amp; Penduduk'!A689="","",'[1]0.1 Produksi Pangan &amp; Penduduk'!A689)</f>
        <v/>
      </c>
      <c r="B688" s="2" t="str">
        <f>IF('[1]0.1 Produksi Pangan &amp; Penduduk'!B689="","",'[1]0.1 Produksi Pangan &amp; Penduduk'!B689)</f>
        <v/>
      </c>
      <c r="C688" s="2" t="str">
        <f>IF('[1]0.1 Produksi Pangan &amp; Penduduk'!F689="","",'[1]0.1 Produksi Pangan &amp; Penduduk'!F689)</f>
        <v/>
      </c>
      <c r="D688" s="3" t="str">
        <f>IF('[1]0.1 Produksi Pangan &amp; Penduduk'!D689="","",'[1]0.1 Produksi Pangan &amp; Penduduk'!D689)</f>
        <v/>
      </c>
      <c r="E688" s="3" t="str">
        <f>IF('[1]0.1 Produksi Pangan &amp; Penduduk'!E689="","",'[1]0.1 Produksi Pangan &amp; Penduduk'!E689)</f>
        <v/>
      </c>
      <c r="F688" s="59" t="str">
        <f>IF(D688="","",VLOOKUP(D688,'[1]0.1 Produksi Pangan &amp; Penduduk'!$D$5:$J$860,7,0))</f>
        <v/>
      </c>
      <c r="G688" s="27" t="str">
        <f t="shared" si="100"/>
        <v/>
      </c>
      <c r="H688" s="27" t="str">
        <f t="shared" si="101"/>
        <v/>
      </c>
      <c r="I688" s="27" t="str">
        <f t="shared" si="102"/>
        <v/>
      </c>
      <c r="J688" s="27" t="str">
        <f t="shared" si="103"/>
        <v/>
      </c>
      <c r="K688" s="27" t="str">
        <f t="shared" si="104"/>
        <v/>
      </c>
      <c r="L688" s="59" t="str">
        <f>IF(D688="","",VLOOKUP(D688,'[1]0.1 Produksi Pangan &amp; Penduduk'!$D$5:$M$860,10,0))</f>
        <v/>
      </c>
      <c r="M688" s="28" t="str">
        <f t="shared" si="105"/>
        <v/>
      </c>
      <c r="N688" s="60" t="str">
        <f t="shared" si="106"/>
        <v/>
      </c>
      <c r="O688" s="60" t="str">
        <f t="shared" si="107"/>
        <v/>
      </c>
      <c r="P688" s="60" t="str">
        <f t="shared" si="108"/>
        <v/>
      </c>
      <c r="Q688" s="28" t="str">
        <f t="shared" si="109"/>
        <v/>
      </c>
    </row>
    <row r="689" spans="1:17" ht="15" x14ac:dyDescent="0.25">
      <c r="A689" s="3" t="str">
        <f>IF('[1]0.1 Produksi Pangan &amp; Penduduk'!A690="","",'[1]0.1 Produksi Pangan &amp; Penduduk'!A690)</f>
        <v/>
      </c>
      <c r="B689" s="2" t="str">
        <f>IF('[1]0.1 Produksi Pangan &amp; Penduduk'!B690="","",'[1]0.1 Produksi Pangan &amp; Penduduk'!B690)</f>
        <v/>
      </c>
      <c r="C689" s="2" t="str">
        <f>IF('[1]0.1 Produksi Pangan &amp; Penduduk'!F690="","",'[1]0.1 Produksi Pangan &amp; Penduduk'!F690)</f>
        <v/>
      </c>
      <c r="D689" s="3" t="str">
        <f>IF('[1]0.1 Produksi Pangan &amp; Penduduk'!D690="","",'[1]0.1 Produksi Pangan &amp; Penduduk'!D690)</f>
        <v/>
      </c>
      <c r="E689" s="3" t="str">
        <f>IF('[1]0.1 Produksi Pangan &amp; Penduduk'!E690="","",'[1]0.1 Produksi Pangan &amp; Penduduk'!E690)</f>
        <v/>
      </c>
      <c r="F689" s="59" t="str">
        <f>IF(D689="","",VLOOKUP(D689,'[1]0.1 Produksi Pangan &amp; Penduduk'!$D$5:$J$860,7,0))</f>
        <v/>
      </c>
      <c r="G689" s="27" t="str">
        <f t="shared" si="100"/>
        <v/>
      </c>
      <c r="H689" s="27" t="str">
        <f t="shared" si="101"/>
        <v/>
      </c>
      <c r="I689" s="27" t="str">
        <f t="shared" si="102"/>
        <v/>
      </c>
      <c r="J689" s="27" t="str">
        <f t="shared" si="103"/>
        <v/>
      </c>
      <c r="K689" s="27" t="str">
        <f t="shared" si="104"/>
        <v/>
      </c>
      <c r="L689" s="59" t="str">
        <f>IF(D689="","",VLOOKUP(D689,'[1]0.1 Produksi Pangan &amp; Penduduk'!$D$5:$M$860,10,0))</f>
        <v/>
      </c>
      <c r="M689" s="28" t="str">
        <f t="shared" si="105"/>
        <v/>
      </c>
      <c r="N689" s="60" t="str">
        <f t="shared" si="106"/>
        <v/>
      </c>
      <c r="O689" s="60" t="str">
        <f t="shared" si="107"/>
        <v/>
      </c>
      <c r="P689" s="60" t="str">
        <f t="shared" si="108"/>
        <v/>
      </c>
      <c r="Q689" s="28" t="str">
        <f t="shared" si="109"/>
        <v/>
      </c>
    </row>
    <row r="690" spans="1:17" ht="15" x14ac:dyDescent="0.25">
      <c r="A690" s="3" t="str">
        <f>IF('[1]0.1 Produksi Pangan &amp; Penduduk'!A691="","",'[1]0.1 Produksi Pangan &amp; Penduduk'!A691)</f>
        <v/>
      </c>
      <c r="B690" s="2" t="str">
        <f>IF('[1]0.1 Produksi Pangan &amp; Penduduk'!B691="","",'[1]0.1 Produksi Pangan &amp; Penduduk'!B691)</f>
        <v/>
      </c>
      <c r="C690" s="2" t="str">
        <f>IF('[1]0.1 Produksi Pangan &amp; Penduduk'!F691="","",'[1]0.1 Produksi Pangan &amp; Penduduk'!F691)</f>
        <v/>
      </c>
      <c r="D690" s="3" t="str">
        <f>IF('[1]0.1 Produksi Pangan &amp; Penduduk'!D691="","",'[1]0.1 Produksi Pangan &amp; Penduduk'!D691)</f>
        <v/>
      </c>
      <c r="E690" s="3" t="str">
        <f>IF('[1]0.1 Produksi Pangan &amp; Penduduk'!E691="","",'[1]0.1 Produksi Pangan &amp; Penduduk'!E691)</f>
        <v/>
      </c>
      <c r="F690" s="59" t="str">
        <f>IF(D690="","",VLOOKUP(D690,'[1]0.1 Produksi Pangan &amp; Penduduk'!$D$5:$J$860,7,0))</f>
        <v/>
      </c>
      <c r="G690" s="27" t="str">
        <f t="shared" si="100"/>
        <v/>
      </c>
      <c r="H690" s="27" t="str">
        <f t="shared" si="101"/>
        <v/>
      </c>
      <c r="I690" s="27" t="str">
        <f t="shared" si="102"/>
        <v/>
      </c>
      <c r="J690" s="27" t="str">
        <f t="shared" si="103"/>
        <v/>
      </c>
      <c r="K690" s="27" t="str">
        <f t="shared" si="104"/>
        <v/>
      </c>
      <c r="L690" s="59" t="str">
        <f>IF(D690="","",VLOOKUP(D690,'[1]0.1 Produksi Pangan &amp; Penduduk'!$D$5:$M$860,10,0))</f>
        <v/>
      </c>
      <c r="M690" s="28" t="str">
        <f t="shared" si="105"/>
        <v/>
      </c>
      <c r="N690" s="60" t="str">
        <f t="shared" si="106"/>
        <v/>
      </c>
      <c r="O690" s="60" t="str">
        <f t="shared" si="107"/>
        <v/>
      </c>
      <c r="P690" s="60" t="str">
        <f t="shared" si="108"/>
        <v/>
      </c>
      <c r="Q690" s="28" t="str">
        <f t="shared" si="109"/>
        <v/>
      </c>
    </row>
    <row r="691" spans="1:17" ht="15" x14ac:dyDescent="0.25">
      <c r="A691" s="3" t="str">
        <f>IF('[1]0.1 Produksi Pangan &amp; Penduduk'!A692="","",'[1]0.1 Produksi Pangan &amp; Penduduk'!A692)</f>
        <v/>
      </c>
      <c r="B691" s="2" t="str">
        <f>IF('[1]0.1 Produksi Pangan &amp; Penduduk'!B692="","",'[1]0.1 Produksi Pangan &amp; Penduduk'!B692)</f>
        <v/>
      </c>
      <c r="C691" s="2" t="str">
        <f>IF('[1]0.1 Produksi Pangan &amp; Penduduk'!F692="","",'[1]0.1 Produksi Pangan &amp; Penduduk'!F692)</f>
        <v/>
      </c>
      <c r="D691" s="3" t="str">
        <f>IF('[1]0.1 Produksi Pangan &amp; Penduduk'!D692="","",'[1]0.1 Produksi Pangan &amp; Penduduk'!D692)</f>
        <v/>
      </c>
      <c r="E691" s="3" t="str">
        <f>IF('[1]0.1 Produksi Pangan &amp; Penduduk'!E692="","",'[1]0.1 Produksi Pangan &amp; Penduduk'!E692)</f>
        <v/>
      </c>
      <c r="F691" s="59" t="str">
        <f>IF(D691="","",VLOOKUP(D691,'[1]0.1 Produksi Pangan &amp; Penduduk'!$D$5:$J$860,7,0))</f>
        <v/>
      </c>
      <c r="G691" s="27" t="str">
        <f t="shared" si="100"/>
        <v/>
      </c>
      <c r="H691" s="27" t="str">
        <f t="shared" si="101"/>
        <v/>
      </c>
      <c r="I691" s="27" t="str">
        <f t="shared" si="102"/>
        <v/>
      </c>
      <c r="J691" s="27" t="str">
        <f t="shared" si="103"/>
        <v/>
      </c>
      <c r="K691" s="27" t="str">
        <f t="shared" si="104"/>
        <v/>
      </c>
      <c r="L691" s="59" t="str">
        <f>IF(D691="","",VLOOKUP(D691,'[1]0.1 Produksi Pangan &amp; Penduduk'!$D$5:$M$860,10,0))</f>
        <v/>
      </c>
      <c r="M691" s="28" t="str">
        <f t="shared" si="105"/>
        <v/>
      </c>
      <c r="N691" s="60" t="str">
        <f t="shared" si="106"/>
        <v/>
      </c>
      <c r="O691" s="60" t="str">
        <f t="shared" si="107"/>
        <v/>
      </c>
      <c r="P691" s="60" t="str">
        <f t="shared" si="108"/>
        <v/>
      </c>
      <c r="Q691" s="28" t="str">
        <f t="shared" si="109"/>
        <v/>
      </c>
    </row>
    <row r="692" spans="1:17" ht="15" x14ac:dyDescent="0.25">
      <c r="A692" s="3" t="str">
        <f>IF('[1]0.1 Produksi Pangan &amp; Penduduk'!A693="","",'[1]0.1 Produksi Pangan &amp; Penduduk'!A693)</f>
        <v/>
      </c>
      <c r="B692" s="2" t="str">
        <f>IF('[1]0.1 Produksi Pangan &amp; Penduduk'!B693="","",'[1]0.1 Produksi Pangan &amp; Penduduk'!B693)</f>
        <v/>
      </c>
      <c r="C692" s="2" t="str">
        <f>IF('[1]0.1 Produksi Pangan &amp; Penduduk'!F693="","",'[1]0.1 Produksi Pangan &amp; Penduduk'!F693)</f>
        <v/>
      </c>
      <c r="D692" s="3" t="str">
        <f>IF('[1]0.1 Produksi Pangan &amp; Penduduk'!D693="","",'[1]0.1 Produksi Pangan &amp; Penduduk'!D693)</f>
        <v/>
      </c>
      <c r="E692" s="3" t="str">
        <f>IF('[1]0.1 Produksi Pangan &amp; Penduduk'!E693="","",'[1]0.1 Produksi Pangan &amp; Penduduk'!E693)</f>
        <v/>
      </c>
      <c r="F692" s="59" t="str">
        <f>IF(D692="","",VLOOKUP(D692,'[1]0.1 Produksi Pangan &amp; Penduduk'!$D$5:$J$860,7,0))</f>
        <v/>
      </c>
      <c r="G692" s="27" t="str">
        <f t="shared" si="100"/>
        <v/>
      </c>
      <c r="H692" s="27" t="str">
        <f t="shared" si="101"/>
        <v/>
      </c>
      <c r="I692" s="27" t="str">
        <f t="shared" si="102"/>
        <v/>
      </c>
      <c r="J692" s="27" t="str">
        <f t="shared" si="103"/>
        <v/>
      </c>
      <c r="K692" s="27" t="str">
        <f t="shared" si="104"/>
        <v/>
      </c>
      <c r="L692" s="59" t="str">
        <f>IF(D692="","",VLOOKUP(D692,'[1]0.1 Produksi Pangan &amp; Penduduk'!$D$5:$M$860,10,0))</f>
        <v/>
      </c>
      <c r="M692" s="28" t="str">
        <f t="shared" si="105"/>
        <v/>
      </c>
      <c r="N692" s="60" t="str">
        <f t="shared" si="106"/>
        <v/>
      </c>
      <c r="O692" s="60" t="str">
        <f t="shared" si="107"/>
        <v/>
      </c>
      <c r="P692" s="60" t="str">
        <f t="shared" si="108"/>
        <v/>
      </c>
      <c r="Q692" s="28" t="str">
        <f t="shared" si="109"/>
        <v/>
      </c>
    </row>
    <row r="693" spans="1:17" ht="15" x14ac:dyDescent="0.25">
      <c r="A693" s="3" t="str">
        <f>IF('[1]0.1 Produksi Pangan &amp; Penduduk'!A694="","",'[1]0.1 Produksi Pangan &amp; Penduduk'!A694)</f>
        <v/>
      </c>
      <c r="B693" s="2" t="str">
        <f>IF('[1]0.1 Produksi Pangan &amp; Penduduk'!B694="","",'[1]0.1 Produksi Pangan &amp; Penduduk'!B694)</f>
        <v/>
      </c>
      <c r="C693" s="2" t="str">
        <f>IF('[1]0.1 Produksi Pangan &amp; Penduduk'!F694="","",'[1]0.1 Produksi Pangan &amp; Penduduk'!F694)</f>
        <v/>
      </c>
      <c r="D693" s="3" t="str">
        <f>IF('[1]0.1 Produksi Pangan &amp; Penduduk'!D694="","",'[1]0.1 Produksi Pangan &amp; Penduduk'!D694)</f>
        <v/>
      </c>
      <c r="E693" s="3" t="str">
        <f>IF('[1]0.1 Produksi Pangan &amp; Penduduk'!E694="","",'[1]0.1 Produksi Pangan &amp; Penduduk'!E694)</f>
        <v/>
      </c>
      <c r="F693" s="59" t="str">
        <f>IF(D693="","",VLOOKUP(D693,'[1]0.1 Produksi Pangan &amp; Penduduk'!$D$5:$J$860,7,0))</f>
        <v/>
      </c>
      <c r="G693" s="27" t="str">
        <f t="shared" si="100"/>
        <v/>
      </c>
      <c r="H693" s="27" t="str">
        <f t="shared" si="101"/>
        <v/>
      </c>
      <c r="I693" s="27" t="str">
        <f t="shared" si="102"/>
        <v/>
      </c>
      <c r="J693" s="27" t="str">
        <f t="shared" si="103"/>
        <v/>
      </c>
      <c r="K693" s="27" t="str">
        <f t="shared" si="104"/>
        <v/>
      </c>
      <c r="L693" s="59" t="str">
        <f>IF(D693="","",VLOOKUP(D693,'[1]0.1 Produksi Pangan &amp; Penduduk'!$D$5:$M$860,10,0))</f>
        <v/>
      </c>
      <c r="M693" s="28" t="str">
        <f t="shared" si="105"/>
        <v/>
      </c>
      <c r="N693" s="60" t="str">
        <f t="shared" si="106"/>
        <v/>
      </c>
      <c r="O693" s="60" t="str">
        <f t="shared" si="107"/>
        <v/>
      </c>
      <c r="P693" s="60" t="str">
        <f t="shared" si="108"/>
        <v/>
      </c>
      <c r="Q693" s="28" t="str">
        <f t="shared" si="109"/>
        <v/>
      </c>
    </row>
    <row r="694" spans="1:17" ht="15" x14ac:dyDescent="0.25">
      <c r="A694" s="3" t="str">
        <f>IF('[1]0.1 Produksi Pangan &amp; Penduduk'!A695="","",'[1]0.1 Produksi Pangan &amp; Penduduk'!A695)</f>
        <v/>
      </c>
      <c r="B694" s="2" t="str">
        <f>IF('[1]0.1 Produksi Pangan &amp; Penduduk'!B695="","",'[1]0.1 Produksi Pangan &amp; Penduduk'!B695)</f>
        <v/>
      </c>
      <c r="C694" s="2" t="str">
        <f>IF('[1]0.1 Produksi Pangan &amp; Penduduk'!F695="","",'[1]0.1 Produksi Pangan &amp; Penduduk'!F695)</f>
        <v/>
      </c>
      <c r="D694" s="3" t="str">
        <f>IF('[1]0.1 Produksi Pangan &amp; Penduduk'!D695="","",'[1]0.1 Produksi Pangan &amp; Penduduk'!D695)</f>
        <v/>
      </c>
      <c r="E694" s="3" t="str">
        <f>IF('[1]0.1 Produksi Pangan &amp; Penduduk'!E695="","",'[1]0.1 Produksi Pangan &amp; Penduduk'!E695)</f>
        <v/>
      </c>
      <c r="F694" s="59" t="str">
        <f>IF(D694="","",VLOOKUP(D694,'[1]0.1 Produksi Pangan &amp; Penduduk'!$D$5:$J$860,7,0))</f>
        <v/>
      </c>
      <c r="G694" s="27" t="str">
        <f t="shared" si="100"/>
        <v/>
      </c>
      <c r="H694" s="27" t="str">
        <f t="shared" si="101"/>
        <v/>
      </c>
      <c r="I694" s="27" t="str">
        <f t="shared" si="102"/>
        <v/>
      </c>
      <c r="J694" s="27" t="str">
        <f t="shared" si="103"/>
        <v/>
      </c>
      <c r="K694" s="27" t="str">
        <f t="shared" si="104"/>
        <v/>
      </c>
      <c r="L694" s="59" t="str">
        <f>IF(D694="","",VLOOKUP(D694,'[1]0.1 Produksi Pangan &amp; Penduduk'!$D$5:$M$860,10,0))</f>
        <v/>
      </c>
      <c r="M694" s="28" t="str">
        <f t="shared" si="105"/>
        <v/>
      </c>
      <c r="N694" s="60" t="str">
        <f t="shared" si="106"/>
        <v/>
      </c>
      <c r="O694" s="60" t="str">
        <f t="shared" si="107"/>
        <v/>
      </c>
      <c r="P694" s="60" t="str">
        <f t="shared" si="108"/>
        <v/>
      </c>
      <c r="Q694" s="28" t="str">
        <f t="shared" si="109"/>
        <v/>
      </c>
    </row>
    <row r="695" spans="1:17" ht="15" x14ac:dyDescent="0.25">
      <c r="A695" s="3" t="str">
        <f>IF('[1]0.1 Produksi Pangan &amp; Penduduk'!A696="","",'[1]0.1 Produksi Pangan &amp; Penduduk'!A696)</f>
        <v/>
      </c>
      <c r="B695" s="2" t="str">
        <f>IF('[1]0.1 Produksi Pangan &amp; Penduduk'!B696="","",'[1]0.1 Produksi Pangan &amp; Penduduk'!B696)</f>
        <v/>
      </c>
      <c r="C695" s="2" t="str">
        <f>IF('[1]0.1 Produksi Pangan &amp; Penduduk'!F696="","",'[1]0.1 Produksi Pangan &amp; Penduduk'!F696)</f>
        <v/>
      </c>
      <c r="D695" s="3" t="str">
        <f>IF('[1]0.1 Produksi Pangan &amp; Penduduk'!D696="","",'[1]0.1 Produksi Pangan &amp; Penduduk'!D696)</f>
        <v/>
      </c>
      <c r="E695" s="3" t="str">
        <f>IF('[1]0.1 Produksi Pangan &amp; Penduduk'!E696="","",'[1]0.1 Produksi Pangan &amp; Penduduk'!E696)</f>
        <v/>
      </c>
      <c r="F695" s="59" t="str">
        <f>IF(D695="","",VLOOKUP(D695,'[1]0.1 Produksi Pangan &amp; Penduduk'!$D$5:$J$860,7,0))</f>
        <v/>
      </c>
      <c r="G695" s="27" t="str">
        <f t="shared" si="100"/>
        <v/>
      </c>
      <c r="H695" s="27" t="str">
        <f t="shared" si="101"/>
        <v/>
      </c>
      <c r="I695" s="27" t="str">
        <f t="shared" si="102"/>
        <v/>
      </c>
      <c r="J695" s="27" t="str">
        <f t="shared" si="103"/>
        <v/>
      </c>
      <c r="K695" s="27" t="str">
        <f t="shared" si="104"/>
        <v/>
      </c>
      <c r="L695" s="59" t="str">
        <f>IF(D695="","",VLOOKUP(D695,'[1]0.1 Produksi Pangan &amp; Penduduk'!$D$5:$M$860,10,0))</f>
        <v/>
      </c>
      <c r="M695" s="28" t="str">
        <f t="shared" si="105"/>
        <v/>
      </c>
      <c r="N695" s="60" t="str">
        <f t="shared" si="106"/>
        <v/>
      </c>
      <c r="O695" s="60" t="str">
        <f t="shared" si="107"/>
        <v/>
      </c>
      <c r="P695" s="60" t="str">
        <f t="shared" si="108"/>
        <v/>
      </c>
      <c r="Q695" s="28" t="str">
        <f t="shared" si="109"/>
        <v/>
      </c>
    </row>
    <row r="696" spans="1:17" ht="15" x14ac:dyDescent="0.25">
      <c r="A696" s="3" t="str">
        <f>IF('[1]0.1 Produksi Pangan &amp; Penduduk'!A697="","",'[1]0.1 Produksi Pangan &amp; Penduduk'!A697)</f>
        <v/>
      </c>
      <c r="B696" s="2" t="str">
        <f>IF('[1]0.1 Produksi Pangan &amp; Penduduk'!B697="","",'[1]0.1 Produksi Pangan &amp; Penduduk'!B697)</f>
        <v/>
      </c>
      <c r="C696" s="2" t="str">
        <f>IF('[1]0.1 Produksi Pangan &amp; Penduduk'!F697="","",'[1]0.1 Produksi Pangan &amp; Penduduk'!F697)</f>
        <v/>
      </c>
      <c r="D696" s="3" t="str">
        <f>IF('[1]0.1 Produksi Pangan &amp; Penduduk'!D697="","",'[1]0.1 Produksi Pangan &amp; Penduduk'!D697)</f>
        <v/>
      </c>
      <c r="E696" s="3" t="str">
        <f>IF('[1]0.1 Produksi Pangan &amp; Penduduk'!E697="","",'[1]0.1 Produksi Pangan &amp; Penduduk'!E697)</f>
        <v/>
      </c>
      <c r="F696" s="59" t="str">
        <f>IF(D696="","",VLOOKUP(D696,'[1]0.1 Produksi Pangan &amp; Penduduk'!$D$5:$J$860,7,0))</f>
        <v/>
      </c>
      <c r="G696" s="27" t="str">
        <f t="shared" si="100"/>
        <v/>
      </c>
      <c r="H696" s="27" t="str">
        <f t="shared" si="101"/>
        <v/>
      </c>
      <c r="I696" s="27" t="str">
        <f t="shared" si="102"/>
        <v/>
      </c>
      <c r="J696" s="27" t="str">
        <f t="shared" si="103"/>
        <v/>
      </c>
      <c r="K696" s="27" t="str">
        <f t="shared" si="104"/>
        <v/>
      </c>
      <c r="L696" s="59" t="str">
        <f>IF(D696="","",VLOOKUP(D696,'[1]0.1 Produksi Pangan &amp; Penduduk'!$D$5:$M$860,10,0))</f>
        <v/>
      </c>
      <c r="M696" s="28" t="str">
        <f t="shared" si="105"/>
        <v/>
      </c>
      <c r="N696" s="60" t="str">
        <f t="shared" si="106"/>
        <v/>
      </c>
      <c r="O696" s="60" t="str">
        <f t="shared" si="107"/>
        <v/>
      </c>
      <c r="P696" s="60" t="str">
        <f t="shared" si="108"/>
        <v/>
      </c>
      <c r="Q696" s="28" t="str">
        <f t="shared" si="109"/>
        <v/>
      </c>
    </row>
    <row r="697" spans="1:17" ht="15" x14ac:dyDescent="0.25">
      <c r="A697" s="3" t="str">
        <f>IF('[1]0.1 Produksi Pangan &amp; Penduduk'!A698="","",'[1]0.1 Produksi Pangan &amp; Penduduk'!A698)</f>
        <v/>
      </c>
      <c r="B697" s="2" t="str">
        <f>IF('[1]0.1 Produksi Pangan &amp; Penduduk'!B698="","",'[1]0.1 Produksi Pangan &amp; Penduduk'!B698)</f>
        <v/>
      </c>
      <c r="C697" s="2" t="str">
        <f>IF('[1]0.1 Produksi Pangan &amp; Penduduk'!F698="","",'[1]0.1 Produksi Pangan &amp; Penduduk'!F698)</f>
        <v/>
      </c>
      <c r="D697" s="3" t="str">
        <f>IF('[1]0.1 Produksi Pangan &amp; Penduduk'!D698="","",'[1]0.1 Produksi Pangan &amp; Penduduk'!D698)</f>
        <v/>
      </c>
      <c r="E697" s="3" t="str">
        <f>IF('[1]0.1 Produksi Pangan &amp; Penduduk'!E698="","",'[1]0.1 Produksi Pangan &amp; Penduduk'!E698)</f>
        <v/>
      </c>
      <c r="F697" s="59" t="str">
        <f>IF(D697="","",VLOOKUP(D697,'[1]0.1 Produksi Pangan &amp; Penduduk'!$D$5:$J$860,7,0))</f>
        <v/>
      </c>
      <c r="G697" s="27" t="str">
        <f t="shared" si="100"/>
        <v/>
      </c>
      <c r="H697" s="27" t="str">
        <f t="shared" si="101"/>
        <v/>
      </c>
      <c r="I697" s="27" t="str">
        <f t="shared" si="102"/>
        <v/>
      </c>
      <c r="J697" s="27" t="str">
        <f t="shared" si="103"/>
        <v/>
      </c>
      <c r="K697" s="27" t="str">
        <f t="shared" si="104"/>
        <v/>
      </c>
      <c r="L697" s="59" t="str">
        <f>IF(D697="","",VLOOKUP(D697,'[1]0.1 Produksi Pangan &amp; Penduduk'!$D$5:$M$860,10,0))</f>
        <v/>
      </c>
      <c r="M697" s="28" t="str">
        <f t="shared" si="105"/>
        <v/>
      </c>
      <c r="N697" s="60" t="str">
        <f t="shared" si="106"/>
        <v/>
      </c>
      <c r="O697" s="60" t="str">
        <f t="shared" si="107"/>
        <v/>
      </c>
      <c r="P697" s="60" t="str">
        <f t="shared" si="108"/>
        <v/>
      </c>
      <c r="Q697" s="28" t="str">
        <f t="shared" si="109"/>
        <v/>
      </c>
    </row>
    <row r="698" spans="1:17" ht="15" x14ac:dyDescent="0.25">
      <c r="A698" s="3" t="str">
        <f>IF('[1]0.1 Produksi Pangan &amp; Penduduk'!A699="","",'[1]0.1 Produksi Pangan &amp; Penduduk'!A699)</f>
        <v/>
      </c>
      <c r="B698" s="2" t="str">
        <f>IF('[1]0.1 Produksi Pangan &amp; Penduduk'!B699="","",'[1]0.1 Produksi Pangan &amp; Penduduk'!B699)</f>
        <v/>
      </c>
      <c r="C698" s="2" t="str">
        <f>IF('[1]0.1 Produksi Pangan &amp; Penduduk'!F699="","",'[1]0.1 Produksi Pangan &amp; Penduduk'!F699)</f>
        <v/>
      </c>
      <c r="D698" s="3" t="str">
        <f>IF('[1]0.1 Produksi Pangan &amp; Penduduk'!D699="","",'[1]0.1 Produksi Pangan &amp; Penduduk'!D699)</f>
        <v/>
      </c>
      <c r="E698" s="3" t="str">
        <f>IF('[1]0.1 Produksi Pangan &amp; Penduduk'!E699="","",'[1]0.1 Produksi Pangan &amp; Penduduk'!E699)</f>
        <v/>
      </c>
      <c r="F698" s="59" t="str">
        <f>IF(D698="","",VLOOKUP(D698,'[1]0.1 Produksi Pangan &amp; Penduduk'!$D$5:$J$860,7,0))</f>
        <v/>
      </c>
      <c r="G698" s="27" t="str">
        <f t="shared" si="100"/>
        <v/>
      </c>
      <c r="H698" s="27" t="str">
        <f t="shared" si="101"/>
        <v/>
      </c>
      <c r="I698" s="27" t="str">
        <f t="shared" si="102"/>
        <v/>
      </c>
      <c r="J698" s="27" t="str">
        <f t="shared" si="103"/>
        <v/>
      </c>
      <c r="K698" s="27" t="str">
        <f t="shared" si="104"/>
        <v/>
      </c>
      <c r="L698" s="59" t="str">
        <f>IF(D698="","",VLOOKUP(D698,'[1]0.1 Produksi Pangan &amp; Penduduk'!$D$5:$M$860,10,0))</f>
        <v/>
      </c>
      <c r="M698" s="28" t="str">
        <f t="shared" si="105"/>
        <v/>
      </c>
      <c r="N698" s="60" t="str">
        <f t="shared" si="106"/>
        <v/>
      </c>
      <c r="O698" s="60" t="str">
        <f t="shared" si="107"/>
        <v/>
      </c>
      <c r="P698" s="60" t="str">
        <f t="shared" si="108"/>
        <v/>
      </c>
      <c r="Q698" s="28" t="str">
        <f t="shared" si="109"/>
        <v/>
      </c>
    </row>
    <row r="699" spans="1:17" ht="15" x14ac:dyDescent="0.25">
      <c r="A699" s="3" t="str">
        <f>IF('[1]0.1 Produksi Pangan &amp; Penduduk'!A700="","",'[1]0.1 Produksi Pangan &amp; Penduduk'!A700)</f>
        <v/>
      </c>
      <c r="B699" s="2" t="str">
        <f>IF('[1]0.1 Produksi Pangan &amp; Penduduk'!B700="","",'[1]0.1 Produksi Pangan &amp; Penduduk'!B700)</f>
        <v/>
      </c>
      <c r="C699" s="2" t="str">
        <f>IF('[1]0.1 Produksi Pangan &amp; Penduduk'!F700="","",'[1]0.1 Produksi Pangan &amp; Penduduk'!F700)</f>
        <v/>
      </c>
      <c r="D699" s="3" t="str">
        <f>IF('[1]0.1 Produksi Pangan &amp; Penduduk'!D700="","",'[1]0.1 Produksi Pangan &amp; Penduduk'!D700)</f>
        <v/>
      </c>
      <c r="E699" s="3" t="str">
        <f>IF('[1]0.1 Produksi Pangan &amp; Penduduk'!E700="","",'[1]0.1 Produksi Pangan &amp; Penduduk'!E700)</f>
        <v/>
      </c>
      <c r="F699" s="59" t="str">
        <f>IF(D699="","",VLOOKUP(D699,'[1]0.1 Produksi Pangan &amp; Penduduk'!$D$5:$J$860,7,0))</f>
        <v/>
      </c>
      <c r="G699" s="27" t="str">
        <f t="shared" si="100"/>
        <v/>
      </c>
      <c r="H699" s="27" t="str">
        <f t="shared" si="101"/>
        <v/>
      </c>
      <c r="I699" s="27" t="str">
        <f t="shared" si="102"/>
        <v/>
      </c>
      <c r="J699" s="27" t="str">
        <f t="shared" si="103"/>
        <v/>
      </c>
      <c r="K699" s="27" t="str">
        <f t="shared" si="104"/>
        <v/>
      </c>
      <c r="L699" s="59" t="str">
        <f>IF(D699="","",VLOOKUP(D699,'[1]0.1 Produksi Pangan &amp; Penduduk'!$D$5:$M$860,10,0))</f>
        <v/>
      </c>
      <c r="M699" s="28" t="str">
        <f t="shared" si="105"/>
        <v/>
      </c>
      <c r="N699" s="60" t="str">
        <f t="shared" si="106"/>
        <v/>
      </c>
      <c r="O699" s="60" t="str">
        <f t="shared" si="107"/>
        <v/>
      </c>
      <c r="P699" s="60" t="str">
        <f t="shared" si="108"/>
        <v/>
      </c>
      <c r="Q699" s="28" t="str">
        <f t="shared" si="109"/>
        <v/>
      </c>
    </row>
    <row r="700" spans="1:17" ht="15" x14ac:dyDescent="0.25">
      <c r="A700" s="3" t="str">
        <f>IF('[1]0.1 Produksi Pangan &amp; Penduduk'!A701="","",'[1]0.1 Produksi Pangan &amp; Penduduk'!A701)</f>
        <v/>
      </c>
      <c r="B700" s="2" t="str">
        <f>IF('[1]0.1 Produksi Pangan &amp; Penduduk'!B701="","",'[1]0.1 Produksi Pangan &amp; Penduduk'!B701)</f>
        <v/>
      </c>
      <c r="C700" s="2" t="str">
        <f>IF('[1]0.1 Produksi Pangan &amp; Penduduk'!F701="","",'[1]0.1 Produksi Pangan &amp; Penduduk'!F701)</f>
        <v/>
      </c>
      <c r="D700" s="3" t="str">
        <f>IF('[1]0.1 Produksi Pangan &amp; Penduduk'!D701="","",'[1]0.1 Produksi Pangan &amp; Penduduk'!D701)</f>
        <v/>
      </c>
      <c r="E700" s="3" t="str">
        <f>IF('[1]0.1 Produksi Pangan &amp; Penduduk'!E701="","",'[1]0.1 Produksi Pangan &amp; Penduduk'!E701)</f>
        <v/>
      </c>
      <c r="F700" s="59" t="str">
        <f>IF(D700="","",VLOOKUP(D700,'[1]0.1 Produksi Pangan &amp; Penduduk'!$D$5:$J$860,7,0))</f>
        <v/>
      </c>
      <c r="G700" s="27" t="str">
        <f t="shared" si="100"/>
        <v/>
      </c>
      <c r="H700" s="27" t="str">
        <f t="shared" si="101"/>
        <v/>
      </c>
      <c r="I700" s="27" t="str">
        <f t="shared" si="102"/>
        <v/>
      </c>
      <c r="J700" s="27" t="str">
        <f t="shared" si="103"/>
        <v/>
      </c>
      <c r="K700" s="27" t="str">
        <f t="shared" si="104"/>
        <v/>
      </c>
      <c r="L700" s="59" t="str">
        <f>IF(D700="","",VLOOKUP(D700,'[1]0.1 Produksi Pangan &amp; Penduduk'!$D$5:$M$860,10,0))</f>
        <v/>
      </c>
      <c r="M700" s="28" t="str">
        <f t="shared" si="105"/>
        <v/>
      </c>
      <c r="N700" s="60" t="str">
        <f t="shared" si="106"/>
        <v/>
      </c>
      <c r="O700" s="60" t="str">
        <f t="shared" si="107"/>
        <v/>
      </c>
      <c r="P700" s="60" t="str">
        <f t="shared" si="108"/>
        <v/>
      </c>
      <c r="Q700" s="28" t="str">
        <f t="shared" si="109"/>
        <v/>
      </c>
    </row>
    <row r="701" spans="1:17" ht="15" x14ac:dyDescent="0.25">
      <c r="A701" s="3" t="str">
        <f>IF('[1]0.1 Produksi Pangan &amp; Penduduk'!A702="","",'[1]0.1 Produksi Pangan &amp; Penduduk'!A702)</f>
        <v/>
      </c>
      <c r="B701" s="2" t="str">
        <f>IF('[1]0.1 Produksi Pangan &amp; Penduduk'!B702="","",'[1]0.1 Produksi Pangan &amp; Penduduk'!B702)</f>
        <v/>
      </c>
      <c r="C701" s="2" t="str">
        <f>IF('[1]0.1 Produksi Pangan &amp; Penduduk'!F702="","",'[1]0.1 Produksi Pangan &amp; Penduduk'!F702)</f>
        <v/>
      </c>
      <c r="D701" s="3" t="str">
        <f>IF('[1]0.1 Produksi Pangan &amp; Penduduk'!D702="","",'[1]0.1 Produksi Pangan &amp; Penduduk'!D702)</f>
        <v/>
      </c>
      <c r="E701" s="3" t="str">
        <f>IF('[1]0.1 Produksi Pangan &amp; Penduduk'!E702="","",'[1]0.1 Produksi Pangan &amp; Penduduk'!E702)</f>
        <v/>
      </c>
      <c r="F701" s="59" t="str">
        <f>IF(D701="","",VLOOKUP(D701,'[1]0.1 Produksi Pangan &amp; Penduduk'!$D$5:$J$860,7,0))</f>
        <v/>
      </c>
      <c r="G701" s="27" t="str">
        <f t="shared" si="100"/>
        <v/>
      </c>
      <c r="H701" s="27" t="str">
        <f t="shared" si="101"/>
        <v/>
      </c>
      <c r="I701" s="27" t="str">
        <f t="shared" si="102"/>
        <v/>
      </c>
      <c r="J701" s="27" t="str">
        <f t="shared" si="103"/>
        <v/>
      </c>
      <c r="K701" s="27" t="str">
        <f t="shared" si="104"/>
        <v/>
      </c>
      <c r="L701" s="59" t="str">
        <f>IF(D701="","",VLOOKUP(D701,'[1]0.1 Produksi Pangan &amp; Penduduk'!$D$5:$M$860,10,0))</f>
        <v/>
      </c>
      <c r="M701" s="28" t="str">
        <f t="shared" si="105"/>
        <v/>
      </c>
      <c r="N701" s="60" t="str">
        <f t="shared" si="106"/>
        <v/>
      </c>
      <c r="O701" s="60" t="str">
        <f t="shared" si="107"/>
        <v/>
      </c>
      <c r="P701" s="60" t="str">
        <f t="shared" si="108"/>
        <v/>
      </c>
      <c r="Q701" s="28" t="str">
        <f t="shared" si="109"/>
        <v/>
      </c>
    </row>
    <row r="702" spans="1:17" ht="15" x14ac:dyDescent="0.25">
      <c r="A702" s="3" t="str">
        <f>IF('[1]0.1 Produksi Pangan &amp; Penduduk'!A703="","",'[1]0.1 Produksi Pangan &amp; Penduduk'!A703)</f>
        <v/>
      </c>
      <c r="B702" s="2" t="str">
        <f>IF('[1]0.1 Produksi Pangan &amp; Penduduk'!B703="","",'[1]0.1 Produksi Pangan &amp; Penduduk'!B703)</f>
        <v/>
      </c>
      <c r="C702" s="2" t="str">
        <f>IF('[1]0.1 Produksi Pangan &amp; Penduduk'!F703="","",'[1]0.1 Produksi Pangan &amp; Penduduk'!F703)</f>
        <v/>
      </c>
      <c r="D702" s="3" t="str">
        <f>IF('[1]0.1 Produksi Pangan &amp; Penduduk'!D703="","",'[1]0.1 Produksi Pangan &amp; Penduduk'!D703)</f>
        <v/>
      </c>
      <c r="E702" s="3" t="str">
        <f>IF('[1]0.1 Produksi Pangan &amp; Penduduk'!E703="","",'[1]0.1 Produksi Pangan &amp; Penduduk'!E703)</f>
        <v/>
      </c>
      <c r="F702" s="59" t="str">
        <f>IF(D702="","",VLOOKUP(D702,'[1]0.1 Produksi Pangan &amp; Penduduk'!$D$5:$J$860,7,0))</f>
        <v/>
      </c>
      <c r="G702" s="27" t="str">
        <f t="shared" si="100"/>
        <v/>
      </c>
      <c r="H702" s="27" t="str">
        <f t="shared" si="101"/>
        <v/>
      </c>
      <c r="I702" s="27" t="str">
        <f t="shared" si="102"/>
        <v/>
      </c>
      <c r="J702" s="27" t="str">
        <f t="shared" si="103"/>
        <v/>
      </c>
      <c r="K702" s="27" t="str">
        <f t="shared" si="104"/>
        <v/>
      </c>
      <c r="L702" s="59" t="str">
        <f>IF(D702="","",VLOOKUP(D702,'[1]0.1 Produksi Pangan &amp; Penduduk'!$D$5:$M$860,10,0))</f>
        <v/>
      </c>
      <c r="M702" s="28" t="str">
        <f t="shared" si="105"/>
        <v/>
      </c>
      <c r="N702" s="60" t="str">
        <f t="shared" si="106"/>
        <v/>
      </c>
      <c r="O702" s="60" t="str">
        <f t="shared" si="107"/>
        <v/>
      </c>
      <c r="P702" s="60" t="str">
        <f t="shared" si="108"/>
        <v/>
      </c>
      <c r="Q702" s="28" t="str">
        <f t="shared" si="109"/>
        <v/>
      </c>
    </row>
    <row r="703" spans="1:17" ht="15" x14ac:dyDescent="0.25">
      <c r="A703" s="3" t="str">
        <f>IF('[1]0.1 Produksi Pangan &amp; Penduduk'!A704="","",'[1]0.1 Produksi Pangan &amp; Penduduk'!A704)</f>
        <v/>
      </c>
      <c r="B703" s="2" t="str">
        <f>IF('[1]0.1 Produksi Pangan &amp; Penduduk'!B704="","",'[1]0.1 Produksi Pangan &amp; Penduduk'!B704)</f>
        <v/>
      </c>
      <c r="C703" s="2" t="str">
        <f>IF('[1]0.1 Produksi Pangan &amp; Penduduk'!F704="","",'[1]0.1 Produksi Pangan &amp; Penduduk'!F704)</f>
        <v/>
      </c>
      <c r="D703" s="3" t="str">
        <f>IF('[1]0.1 Produksi Pangan &amp; Penduduk'!D704="","",'[1]0.1 Produksi Pangan &amp; Penduduk'!D704)</f>
        <v/>
      </c>
      <c r="E703" s="3" t="str">
        <f>IF('[1]0.1 Produksi Pangan &amp; Penduduk'!E704="","",'[1]0.1 Produksi Pangan &amp; Penduduk'!E704)</f>
        <v/>
      </c>
      <c r="F703" s="59" t="str">
        <f>IF(D703="","",VLOOKUP(D703,'[1]0.1 Produksi Pangan &amp; Penduduk'!$D$5:$J$860,7,0))</f>
        <v/>
      </c>
      <c r="G703" s="27" t="str">
        <f t="shared" si="100"/>
        <v/>
      </c>
      <c r="H703" s="27" t="str">
        <f t="shared" si="101"/>
        <v/>
      </c>
      <c r="I703" s="27" t="str">
        <f t="shared" si="102"/>
        <v/>
      </c>
      <c r="J703" s="27" t="str">
        <f t="shared" si="103"/>
        <v/>
      </c>
      <c r="K703" s="27" t="str">
        <f t="shared" si="104"/>
        <v/>
      </c>
      <c r="L703" s="59" t="str">
        <f>IF(D703="","",VLOOKUP(D703,'[1]0.1 Produksi Pangan &amp; Penduduk'!$D$5:$M$860,10,0))</f>
        <v/>
      </c>
      <c r="M703" s="28" t="str">
        <f t="shared" si="105"/>
        <v/>
      </c>
      <c r="N703" s="60" t="str">
        <f t="shared" si="106"/>
        <v/>
      </c>
      <c r="O703" s="60" t="str">
        <f t="shared" si="107"/>
        <v/>
      </c>
      <c r="P703" s="60" t="str">
        <f t="shared" si="108"/>
        <v/>
      </c>
      <c r="Q703" s="28" t="str">
        <f t="shared" si="109"/>
        <v/>
      </c>
    </row>
    <row r="704" spans="1:17" ht="15" x14ac:dyDescent="0.25">
      <c r="A704" s="3" t="str">
        <f>IF('[1]0.1 Produksi Pangan &amp; Penduduk'!A705="","",'[1]0.1 Produksi Pangan &amp; Penduduk'!A705)</f>
        <v/>
      </c>
      <c r="B704" s="2" t="str">
        <f>IF('[1]0.1 Produksi Pangan &amp; Penduduk'!B705="","",'[1]0.1 Produksi Pangan &amp; Penduduk'!B705)</f>
        <v/>
      </c>
      <c r="C704" s="2" t="str">
        <f>IF('[1]0.1 Produksi Pangan &amp; Penduduk'!F705="","",'[1]0.1 Produksi Pangan &amp; Penduduk'!F705)</f>
        <v/>
      </c>
      <c r="D704" s="3" t="str">
        <f>IF('[1]0.1 Produksi Pangan &amp; Penduduk'!D705="","",'[1]0.1 Produksi Pangan &amp; Penduduk'!D705)</f>
        <v/>
      </c>
      <c r="E704" s="3" t="str">
        <f>IF('[1]0.1 Produksi Pangan &amp; Penduduk'!E705="","",'[1]0.1 Produksi Pangan &amp; Penduduk'!E705)</f>
        <v/>
      </c>
      <c r="F704" s="59" t="str">
        <f>IF(D704="","",VLOOKUP(D704,'[1]0.1 Produksi Pangan &amp; Penduduk'!$D$5:$J$860,7,0))</f>
        <v/>
      </c>
      <c r="G704" s="27" t="str">
        <f t="shared" si="100"/>
        <v/>
      </c>
      <c r="H704" s="27" t="str">
        <f t="shared" si="101"/>
        <v/>
      </c>
      <c r="I704" s="27" t="str">
        <f t="shared" si="102"/>
        <v/>
      </c>
      <c r="J704" s="27" t="str">
        <f t="shared" si="103"/>
        <v/>
      </c>
      <c r="K704" s="27" t="str">
        <f t="shared" si="104"/>
        <v/>
      </c>
      <c r="L704" s="59" t="str">
        <f>IF(D704="","",VLOOKUP(D704,'[1]0.1 Produksi Pangan &amp; Penduduk'!$D$5:$M$860,10,0))</f>
        <v/>
      </c>
      <c r="M704" s="28" t="str">
        <f t="shared" si="105"/>
        <v/>
      </c>
      <c r="N704" s="60" t="str">
        <f t="shared" si="106"/>
        <v/>
      </c>
      <c r="O704" s="60" t="str">
        <f t="shared" si="107"/>
        <v/>
      </c>
      <c r="P704" s="60" t="str">
        <f t="shared" si="108"/>
        <v/>
      </c>
      <c r="Q704" s="28" t="str">
        <f t="shared" si="109"/>
        <v/>
      </c>
    </row>
    <row r="705" spans="1:17" ht="15" x14ac:dyDescent="0.25">
      <c r="A705" s="3" t="str">
        <f>IF('[1]0.1 Produksi Pangan &amp; Penduduk'!A706="","",'[1]0.1 Produksi Pangan &amp; Penduduk'!A706)</f>
        <v/>
      </c>
      <c r="B705" s="2" t="str">
        <f>IF('[1]0.1 Produksi Pangan &amp; Penduduk'!B706="","",'[1]0.1 Produksi Pangan &amp; Penduduk'!B706)</f>
        <v/>
      </c>
      <c r="C705" s="2" t="str">
        <f>IF('[1]0.1 Produksi Pangan &amp; Penduduk'!F706="","",'[1]0.1 Produksi Pangan &amp; Penduduk'!F706)</f>
        <v/>
      </c>
      <c r="D705" s="3" t="str">
        <f>IF('[1]0.1 Produksi Pangan &amp; Penduduk'!D706="","",'[1]0.1 Produksi Pangan &amp; Penduduk'!D706)</f>
        <v/>
      </c>
      <c r="E705" s="3" t="str">
        <f>IF('[1]0.1 Produksi Pangan &amp; Penduduk'!E706="","",'[1]0.1 Produksi Pangan &amp; Penduduk'!E706)</f>
        <v/>
      </c>
      <c r="F705" s="59" t="str">
        <f>IF(D705="","",VLOOKUP(D705,'[1]0.1 Produksi Pangan &amp; Penduduk'!$D$5:$J$860,7,0))</f>
        <v/>
      </c>
      <c r="G705" s="27" t="str">
        <f t="shared" si="100"/>
        <v/>
      </c>
      <c r="H705" s="27" t="str">
        <f t="shared" si="101"/>
        <v/>
      </c>
      <c r="I705" s="27" t="str">
        <f t="shared" si="102"/>
        <v/>
      </c>
      <c r="J705" s="27" t="str">
        <f t="shared" si="103"/>
        <v/>
      </c>
      <c r="K705" s="27" t="str">
        <f t="shared" si="104"/>
        <v/>
      </c>
      <c r="L705" s="59" t="str">
        <f>IF(D705="","",VLOOKUP(D705,'[1]0.1 Produksi Pangan &amp; Penduduk'!$D$5:$M$860,10,0))</f>
        <v/>
      </c>
      <c r="M705" s="28" t="str">
        <f t="shared" si="105"/>
        <v/>
      </c>
      <c r="N705" s="60" t="str">
        <f t="shared" si="106"/>
        <v/>
      </c>
      <c r="O705" s="60" t="str">
        <f t="shared" si="107"/>
        <v/>
      </c>
      <c r="P705" s="60" t="str">
        <f t="shared" si="108"/>
        <v/>
      </c>
      <c r="Q705" s="28" t="str">
        <f t="shared" si="109"/>
        <v/>
      </c>
    </row>
    <row r="706" spans="1:17" ht="15" x14ac:dyDescent="0.25">
      <c r="A706" s="3" t="str">
        <f>IF('[1]0.1 Produksi Pangan &amp; Penduduk'!A707="","",'[1]0.1 Produksi Pangan &amp; Penduduk'!A707)</f>
        <v/>
      </c>
      <c r="B706" s="2" t="str">
        <f>IF('[1]0.1 Produksi Pangan &amp; Penduduk'!B707="","",'[1]0.1 Produksi Pangan &amp; Penduduk'!B707)</f>
        <v/>
      </c>
      <c r="C706" s="2" t="str">
        <f>IF('[1]0.1 Produksi Pangan &amp; Penduduk'!F707="","",'[1]0.1 Produksi Pangan &amp; Penduduk'!F707)</f>
        <v/>
      </c>
      <c r="D706" s="3" t="str">
        <f>IF('[1]0.1 Produksi Pangan &amp; Penduduk'!D707="","",'[1]0.1 Produksi Pangan &amp; Penduduk'!D707)</f>
        <v/>
      </c>
      <c r="E706" s="3" t="str">
        <f>IF('[1]0.1 Produksi Pangan &amp; Penduduk'!E707="","",'[1]0.1 Produksi Pangan &amp; Penduduk'!E707)</f>
        <v/>
      </c>
      <c r="F706" s="59" t="str">
        <f>IF(D706="","",VLOOKUP(D706,'[1]0.1 Produksi Pangan &amp; Penduduk'!$D$5:$J$860,7,0))</f>
        <v/>
      </c>
      <c r="G706" s="27" t="str">
        <f t="shared" si="100"/>
        <v/>
      </c>
      <c r="H706" s="27" t="str">
        <f t="shared" si="101"/>
        <v/>
      </c>
      <c r="I706" s="27" t="str">
        <f t="shared" si="102"/>
        <v/>
      </c>
      <c r="J706" s="27" t="str">
        <f t="shared" si="103"/>
        <v/>
      </c>
      <c r="K706" s="27" t="str">
        <f t="shared" si="104"/>
        <v/>
      </c>
      <c r="L706" s="59" t="str">
        <f>IF(D706="","",VLOOKUP(D706,'[1]0.1 Produksi Pangan &amp; Penduduk'!$D$5:$M$860,10,0))</f>
        <v/>
      </c>
      <c r="M706" s="28" t="str">
        <f t="shared" si="105"/>
        <v/>
      </c>
      <c r="N706" s="60" t="str">
        <f t="shared" si="106"/>
        <v/>
      </c>
      <c r="O706" s="60" t="str">
        <f t="shared" si="107"/>
        <v/>
      </c>
      <c r="P706" s="60" t="str">
        <f t="shared" si="108"/>
        <v/>
      </c>
      <c r="Q706" s="28" t="str">
        <f t="shared" si="109"/>
        <v/>
      </c>
    </row>
    <row r="707" spans="1:17" ht="15" x14ac:dyDescent="0.25">
      <c r="A707" s="3" t="str">
        <f>IF('[1]0.1 Produksi Pangan &amp; Penduduk'!A708="","",'[1]0.1 Produksi Pangan &amp; Penduduk'!A708)</f>
        <v/>
      </c>
      <c r="B707" s="2" t="str">
        <f>IF('[1]0.1 Produksi Pangan &amp; Penduduk'!B708="","",'[1]0.1 Produksi Pangan &amp; Penduduk'!B708)</f>
        <v/>
      </c>
      <c r="C707" s="2" t="str">
        <f>IF('[1]0.1 Produksi Pangan &amp; Penduduk'!F708="","",'[1]0.1 Produksi Pangan &amp; Penduduk'!F708)</f>
        <v/>
      </c>
      <c r="D707" s="3" t="str">
        <f>IF('[1]0.1 Produksi Pangan &amp; Penduduk'!D708="","",'[1]0.1 Produksi Pangan &amp; Penduduk'!D708)</f>
        <v/>
      </c>
      <c r="E707" s="3" t="str">
        <f>IF('[1]0.1 Produksi Pangan &amp; Penduduk'!E708="","",'[1]0.1 Produksi Pangan &amp; Penduduk'!E708)</f>
        <v/>
      </c>
      <c r="F707" s="59" t="str">
        <f>IF(D707="","",VLOOKUP(D707,'[1]0.1 Produksi Pangan &amp; Penduduk'!$D$5:$J$860,7,0))</f>
        <v/>
      </c>
      <c r="G707" s="27" t="str">
        <f t="shared" si="100"/>
        <v/>
      </c>
      <c r="H707" s="27" t="str">
        <f t="shared" si="101"/>
        <v/>
      </c>
      <c r="I707" s="27" t="str">
        <f t="shared" si="102"/>
        <v/>
      </c>
      <c r="J707" s="27" t="str">
        <f t="shared" si="103"/>
        <v/>
      </c>
      <c r="K707" s="27" t="str">
        <f t="shared" si="104"/>
        <v/>
      </c>
      <c r="L707" s="59" t="str">
        <f>IF(D707="","",VLOOKUP(D707,'[1]0.1 Produksi Pangan &amp; Penduduk'!$D$5:$M$860,10,0))</f>
        <v/>
      </c>
      <c r="M707" s="28" t="str">
        <f t="shared" si="105"/>
        <v/>
      </c>
      <c r="N707" s="60" t="str">
        <f t="shared" si="106"/>
        <v/>
      </c>
      <c r="O707" s="60" t="str">
        <f t="shared" si="107"/>
        <v/>
      </c>
      <c r="P707" s="60" t="str">
        <f t="shared" si="108"/>
        <v/>
      </c>
      <c r="Q707" s="28" t="str">
        <f t="shared" si="109"/>
        <v/>
      </c>
    </row>
    <row r="708" spans="1:17" ht="15" x14ac:dyDescent="0.25">
      <c r="A708" s="3" t="str">
        <f>IF('[1]0.1 Produksi Pangan &amp; Penduduk'!A709="","",'[1]0.1 Produksi Pangan &amp; Penduduk'!A709)</f>
        <v/>
      </c>
      <c r="B708" s="2" t="str">
        <f>IF('[1]0.1 Produksi Pangan &amp; Penduduk'!B709="","",'[1]0.1 Produksi Pangan &amp; Penduduk'!B709)</f>
        <v/>
      </c>
      <c r="C708" s="2" t="str">
        <f>IF('[1]0.1 Produksi Pangan &amp; Penduduk'!F709="","",'[1]0.1 Produksi Pangan &amp; Penduduk'!F709)</f>
        <v/>
      </c>
      <c r="D708" s="3" t="str">
        <f>IF('[1]0.1 Produksi Pangan &amp; Penduduk'!D709="","",'[1]0.1 Produksi Pangan &amp; Penduduk'!D709)</f>
        <v/>
      </c>
      <c r="E708" s="3" t="str">
        <f>IF('[1]0.1 Produksi Pangan &amp; Penduduk'!E709="","",'[1]0.1 Produksi Pangan &amp; Penduduk'!E709)</f>
        <v/>
      </c>
      <c r="F708" s="59" t="str">
        <f>IF(D708="","",VLOOKUP(D708,'[1]0.1 Produksi Pangan &amp; Penduduk'!$D$5:$J$860,7,0))</f>
        <v/>
      </c>
      <c r="G708" s="27" t="str">
        <f t="shared" si="100"/>
        <v/>
      </c>
      <c r="H708" s="27" t="str">
        <f t="shared" si="101"/>
        <v/>
      </c>
      <c r="I708" s="27" t="str">
        <f t="shared" si="102"/>
        <v/>
      </c>
      <c r="J708" s="27" t="str">
        <f t="shared" si="103"/>
        <v/>
      </c>
      <c r="K708" s="27" t="str">
        <f t="shared" si="104"/>
        <v/>
      </c>
      <c r="L708" s="59" t="str">
        <f>IF(D708="","",VLOOKUP(D708,'[1]0.1 Produksi Pangan &amp; Penduduk'!$D$5:$M$860,10,0))</f>
        <v/>
      </c>
      <c r="M708" s="28" t="str">
        <f t="shared" si="105"/>
        <v/>
      </c>
      <c r="N708" s="60" t="str">
        <f t="shared" si="106"/>
        <v/>
      </c>
      <c r="O708" s="60" t="str">
        <f t="shared" si="107"/>
        <v/>
      </c>
      <c r="P708" s="60" t="str">
        <f t="shared" si="108"/>
        <v/>
      </c>
      <c r="Q708" s="28" t="str">
        <f t="shared" si="109"/>
        <v/>
      </c>
    </row>
    <row r="709" spans="1:17" ht="15" x14ac:dyDescent="0.25">
      <c r="A709" s="3" t="str">
        <f>IF('[1]0.1 Produksi Pangan &amp; Penduduk'!A710="","",'[1]0.1 Produksi Pangan &amp; Penduduk'!A710)</f>
        <v/>
      </c>
      <c r="B709" s="2" t="str">
        <f>IF('[1]0.1 Produksi Pangan &amp; Penduduk'!B710="","",'[1]0.1 Produksi Pangan &amp; Penduduk'!B710)</f>
        <v/>
      </c>
      <c r="C709" s="2" t="str">
        <f>IF('[1]0.1 Produksi Pangan &amp; Penduduk'!F710="","",'[1]0.1 Produksi Pangan &amp; Penduduk'!F710)</f>
        <v/>
      </c>
      <c r="D709" s="3" t="str">
        <f>IF('[1]0.1 Produksi Pangan &amp; Penduduk'!D710="","",'[1]0.1 Produksi Pangan &amp; Penduduk'!D710)</f>
        <v/>
      </c>
      <c r="E709" s="3" t="str">
        <f>IF('[1]0.1 Produksi Pangan &amp; Penduduk'!E710="","",'[1]0.1 Produksi Pangan &amp; Penduduk'!E710)</f>
        <v/>
      </c>
      <c r="F709" s="59" t="str">
        <f>IF(D709="","",VLOOKUP(D709,'[1]0.1 Produksi Pangan &amp; Penduduk'!$D$5:$J$860,7,0))</f>
        <v/>
      </c>
      <c r="G709" s="27" t="str">
        <f t="shared" si="100"/>
        <v/>
      </c>
      <c r="H709" s="27" t="str">
        <f t="shared" si="101"/>
        <v/>
      </c>
      <c r="I709" s="27" t="str">
        <f t="shared" si="102"/>
        <v/>
      </c>
      <c r="J709" s="27" t="str">
        <f t="shared" si="103"/>
        <v/>
      </c>
      <c r="K709" s="27" t="str">
        <f t="shared" si="104"/>
        <v/>
      </c>
      <c r="L709" s="59" t="str">
        <f>IF(D709="","",VLOOKUP(D709,'[1]0.1 Produksi Pangan &amp; Penduduk'!$D$5:$M$860,10,0))</f>
        <v/>
      </c>
      <c r="M709" s="28" t="str">
        <f t="shared" si="105"/>
        <v/>
      </c>
      <c r="N709" s="60" t="str">
        <f t="shared" si="106"/>
        <v/>
      </c>
      <c r="O709" s="60" t="str">
        <f t="shared" si="107"/>
        <v/>
      </c>
      <c r="P709" s="60" t="str">
        <f t="shared" si="108"/>
        <v/>
      </c>
      <c r="Q709" s="28" t="str">
        <f t="shared" si="109"/>
        <v/>
      </c>
    </row>
    <row r="710" spans="1:17" ht="15" x14ac:dyDescent="0.25">
      <c r="A710" s="3" t="str">
        <f>IF('[1]0.1 Produksi Pangan &amp; Penduduk'!A711="","",'[1]0.1 Produksi Pangan &amp; Penduduk'!A711)</f>
        <v/>
      </c>
      <c r="B710" s="2" t="str">
        <f>IF('[1]0.1 Produksi Pangan &amp; Penduduk'!B711="","",'[1]0.1 Produksi Pangan &amp; Penduduk'!B711)</f>
        <v/>
      </c>
      <c r="C710" s="2" t="str">
        <f>IF('[1]0.1 Produksi Pangan &amp; Penduduk'!F711="","",'[1]0.1 Produksi Pangan &amp; Penduduk'!F711)</f>
        <v/>
      </c>
      <c r="D710" s="3" t="str">
        <f>IF('[1]0.1 Produksi Pangan &amp; Penduduk'!D711="","",'[1]0.1 Produksi Pangan &amp; Penduduk'!D711)</f>
        <v/>
      </c>
      <c r="E710" s="3" t="str">
        <f>IF('[1]0.1 Produksi Pangan &amp; Penduduk'!E711="","",'[1]0.1 Produksi Pangan &amp; Penduduk'!E711)</f>
        <v/>
      </c>
      <c r="F710" s="59" t="str">
        <f>IF(D710="","",VLOOKUP(D710,'[1]0.1 Produksi Pangan &amp; Penduduk'!$D$5:$J$860,7,0))</f>
        <v/>
      </c>
      <c r="G710" s="27" t="str">
        <f t="shared" ref="G710:G773" si="110">IF(F710="","",F710*0.9%)</f>
        <v/>
      </c>
      <c r="H710" s="27" t="str">
        <f t="shared" ref="H710:H773" si="111">IF(F710="","",F710*0.44%)</f>
        <v/>
      </c>
      <c r="I710" s="27" t="str">
        <f t="shared" ref="I710:I773" si="112">IF(F710="","",F710*4.92%)</f>
        <v/>
      </c>
      <c r="J710" s="27" t="str">
        <f t="shared" ref="J710:J773" si="113">IF(F710="","",F710*0.56%)</f>
        <v/>
      </c>
      <c r="K710" s="27" t="str">
        <f t="shared" ref="K710:K773" si="114">IF(F710="","",F710-(G710+H710+I710+J710))</f>
        <v/>
      </c>
      <c r="L710" s="59" t="str">
        <f>IF(D710="","",VLOOKUP(D710,'[1]0.1 Produksi Pangan &amp; Penduduk'!$D$5:$M$860,10,0))</f>
        <v/>
      </c>
      <c r="M710" s="28" t="str">
        <f t="shared" ref="M710:M773" si="115">IFERROR(K710*L710,"")</f>
        <v/>
      </c>
      <c r="N710" s="60" t="str">
        <f t="shared" ref="N710:N773" si="116">IF(M710="","",M710*0.17%)</f>
        <v/>
      </c>
      <c r="O710" s="60" t="str">
        <f t="shared" ref="O710:O773" si="117">IF(M710="","",M710*2.5%)</f>
        <v/>
      </c>
      <c r="P710" s="60" t="str">
        <f t="shared" ref="P710:P773" si="118">IF(M710="","",M710*0.66%)</f>
        <v/>
      </c>
      <c r="Q710" s="28" t="str">
        <f t="shared" ref="Q710:Q773" si="119">IF(M710="","",M710-(N710+O710+P710))</f>
        <v/>
      </c>
    </row>
    <row r="711" spans="1:17" ht="15" x14ac:dyDescent="0.25">
      <c r="A711" s="3" t="str">
        <f>IF('[1]0.1 Produksi Pangan &amp; Penduduk'!A712="","",'[1]0.1 Produksi Pangan &amp; Penduduk'!A712)</f>
        <v/>
      </c>
      <c r="B711" s="2" t="str">
        <f>IF('[1]0.1 Produksi Pangan &amp; Penduduk'!B712="","",'[1]0.1 Produksi Pangan &amp; Penduduk'!B712)</f>
        <v/>
      </c>
      <c r="C711" s="2" t="str">
        <f>IF('[1]0.1 Produksi Pangan &amp; Penduduk'!F712="","",'[1]0.1 Produksi Pangan &amp; Penduduk'!F712)</f>
        <v/>
      </c>
      <c r="D711" s="3" t="str">
        <f>IF('[1]0.1 Produksi Pangan &amp; Penduduk'!D712="","",'[1]0.1 Produksi Pangan &amp; Penduduk'!D712)</f>
        <v/>
      </c>
      <c r="E711" s="3" t="str">
        <f>IF('[1]0.1 Produksi Pangan &amp; Penduduk'!E712="","",'[1]0.1 Produksi Pangan &amp; Penduduk'!E712)</f>
        <v/>
      </c>
      <c r="F711" s="59" t="str">
        <f>IF(D711="","",VLOOKUP(D711,'[1]0.1 Produksi Pangan &amp; Penduduk'!$D$5:$J$860,7,0))</f>
        <v/>
      </c>
      <c r="G711" s="27" t="str">
        <f t="shared" si="110"/>
        <v/>
      </c>
      <c r="H711" s="27" t="str">
        <f t="shared" si="111"/>
        <v/>
      </c>
      <c r="I711" s="27" t="str">
        <f t="shared" si="112"/>
        <v/>
      </c>
      <c r="J711" s="27" t="str">
        <f t="shared" si="113"/>
        <v/>
      </c>
      <c r="K711" s="27" t="str">
        <f t="shared" si="114"/>
        <v/>
      </c>
      <c r="L711" s="59" t="str">
        <f>IF(D711="","",VLOOKUP(D711,'[1]0.1 Produksi Pangan &amp; Penduduk'!$D$5:$M$860,10,0))</f>
        <v/>
      </c>
      <c r="M711" s="28" t="str">
        <f t="shared" si="115"/>
        <v/>
      </c>
      <c r="N711" s="60" t="str">
        <f t="shared" si="116"/>
        <v/>
      </c>
      <c r="O711" s="60" t="str">
        <f t="shared" si="117"/>
        <v/>
      </c>
      <c r="P711" s="60" t="str">
        <f t="shared" si="118"/>
        <v/>
      </c>
      <c r="Q711" s="28" t="str">
        <f t="shared" si="119"/>
        <v/>
      </c>
    </row>
    <row r="712" spans="1:17" ht="15" x14ac:dyDescent="0.25">
      <c r="A712" s="3" t="str">
        <f>IF('[1]0.1 Produksi Pangan &amp; Penduduk'!A713="","",'[1]0.1 Produksi Pangan &amp; Penduduk'!A713)</f>
        <v/>
      </c>
      <c r="B712" s="2" t="str">
        <f>IF('[1]0.1 Produksi Pangan &amp; Penduduk'!B713="","",'[1]0.1 Produksi Pangan &amp; Penduduk'!B713)</f>
        <v/>
      </c>
      <c r="C712" s="2" t="str">
        <f>IF('[1]0.1 Produksi Pangan &amp; Penduduk'!F713="","",'[1]0.1 Produksi Pangan &amp; Penduduk'!F713)</f>
        <v/>
      </c>
      <c r="D712" s="3" t="str">
        <f>IF('[1]0.1 Produksi Pangan &amp; Penduduk'!D713="","",'[1]0.1 Produksi Pangan &amp; Penduduk'!D713)</f>
        <v/>
      </c>
      <c r="E712" s="3" t="str">
        <f>IF('[1]0.1 Produksi Pangan &amp; Penduduk'!E713="","",'[1]0.1 Produksi Pangan &amp; Penduduk'!E713)</f>
        <v/>
      </c>
      <c r="F712" s="59" t="str">
        <f>IF(D712="","",VLOOKUP(D712,'[1]0.1 Produksi Pangan &amp; Penduduk'!$D$5:$J$860,7,0))</f>
        <v/>
      </c>
      <c r="G712" s="27" t="str">
        <f t="shared" si="110"/>
        <v/>
      </c>
      <c r="H712" s="27" t="str">
        <f t="shared" si="111"/>
        <v/>
      </c>
      <c r="I712" s="27" t="str">
        <f t="shared" si="112"/>
        <v/>
      </c>
      <c r="J712" s="27" t="str">
        <f t="shared" si="113"/>
        <v/>
      </c>
      <c r="K712" s="27" t="str">
        <f t="shared" si="114"/>
        <v/>
      </c>
      <c r="L712" s="59" t="str">
        <f>IF(D712="","",VLOOKUP(D712,'[1]0.1 Produksi Pangan &amp; Penduduk'!$D$5:$M$860,10,0))</f>
        <v/>
      </c>
      <c r="M712" s="28" t="str">
        <f t="shared" si="115"/>
        <v/>
      </c>
      <c r="N712" s="60" t="str">
        <f t="shared" si="116"/>
        <v/>
      </c>
      <c r="O712" s="60" t="str">
        <f t="shared" si="117"/>
        <v/>
      </c>
      <c r="P712" s="60" t="str">
        <f t="shared" si="118"/>
        <v/>
      </c>
      <c r="Q712" s="28" t="str">
        <f t="shared" si="119"/>
        <v/>
      </c>
    </row>
    <row r="713" spans="1:17" ht="15" x14ac:dyDescent="0.25">
      <c r="A713" s="3" t="str">
        <f>IF('[1]0.1 Produksi Pangan &amp; Penduduk'!A714="","",'[1]0.1 Produksi Pangan &amp; Penduduk'!A714)</f>
        <v/>
      </c>
      <c r="B713" s="2" t="str">
        <f>IF('[1]0.1 Produksi Pangan &amp; Penduduk'!B714="","",'[1]0.1 Produksi Pangan &amp; Penduduk'!B714)</f>
        <v/>
      </c>
      <c r="C713" s="2" t="str">
        <f>IF('[1]0.1 Produksi Pangan &amp; Penduduk'!F714="","",'[1]0.1 Produksi Pangan &amp; Penduduk'!F714)</f>
        <v/>
      </c>
      <c r="D713" s="3" t="str">
        <f>IF('[1]0.1 Produksi Pangan &amp; Penduduk'!D714="","",'[1]0.1 Produksi Pangan &amp; Penduduk'!D714)</f>
        <v/>
      </c>
      <c r="E713" s="3" t="str">
        <f>IF('[1]0.1 Produksi Pangan &amp; Penduduk'!E714="","",'[1]0.1 Produksi Pangan &amp; Penduduk'!E714)</f>
        <v/>
      </c>
      <c r="F713" s="59" t="str">
        <f>IF(D713="","",VLOOKUP(D713,'[1]0.1 Produksi Pangan &amp; Penduduk'!$D$5:$J$860,7,0))</f>
        <v/>
      </c>
      <c r="G713" s="27" t="str">
        <f t="shared" si="110"/>
        <v/>
      </c>
      <c r="H713" s="27" t="str">
        <f t="shared" si="111"/>
        <v/>
      </c>
      <c r="I713" s="27" t="str">
        <f t="shared" si="112"/>
        <v/>
      </c>
      <c r="J713" s="27" t="str">
        <f t="shared" si="113"/>
        <v/>
      </c>
      <c r="K713" s="27" t="str">
        <f t="shared" si="114"/>
        <v/>
      </c>
      <c r="L713" s="59" t="str">
        <f>IF(D713="","",VLOOKUP(D713,'[1]0.1 Produksi Pangan &amp; Penduduk'!$D$5:$M$860,10,0))</f>
        <v/>
      </c>
      <c r="M713" s="28" t="str">
        <f t="shared" si="115"/>
        <v/>
      </c>
      <c r="N713" s="60" t="str">
        <f t="shared" si="116"/>
        <v/>
      </c>
      <c r="O713" s="60" t="str">
        <f t="shared" si="117"/>
        <v/>
      </c>
      <c r="P713" s="60" t="str">
        <f t="shared" si="118"/>
        <v/>
      </c>
      <c r="Q713" s="28" t="str">
        <f t="shared" si="119"/>
        <v/>
      </c>
    </row>
    <row r="714" spans="1:17" ht="15" x14ac:dyDescent="0.25">
      <c r="A714" s="3" t="str">
        <f>IF('[1]0.1 Produksi Pangan &amp; Penduduk'!A715="","",'[1]0.1 Produksi Pangan &amp; Penduduk'!A715)</f>
        <v/>
      </c>
      <c r="B714" s="2" t="str">
        <f>IF('[1]0.1 Produksi Pangan &amp; Penduduk'!B715="","",'[1]0.1 Produksi Pangan &amp; Penduduk'!B715)</f>
        <v/>
      </c>
      <c r="C714" s="2" t="str">
        <f>IF('[1]0.1 Produksi Pangan &amp; Penduduk'!F715="","",'[1]0.1 Produksi Pangan &amp; Penduduk'!F715)</f>
        <v/>
      </c>
      <c r="D714" s="3" t="str">
        <f>IF('[1]0.1 Produksi Pangan &amp; Penduduk'!D715="","",'[1]0.1 Produksi Pangan &amp; Penduduk'!D715)</f>
        <v/>
      </c>
      <c r="E714" s="3" t="str">
        <f>IF('[1]0.1 Produksi Pangan &amp; Penduduk'!E715="","",'[1]0.1 Produksi Pangan &amp; Penduduk'!E715)</f>
        <v/>
      </c>
      <c r="F714" s="59" t="str">
        <f>IF(D714="","",VLOOKUP(D714,'[1]0.1 Produksi Pangan &amp; Penduduk'!$D$5:$J$860,7,0))</f>
        <v/>
      </c>
      <c r="G714" s="27" t="str">
        <f t="shared" si="110"/>
        <v/>
      </c>
      <c r="H714" s="27" t="str">
        <f t="shared" si="111"/>
        <v/>
      </c>
      <c r="I714" s="27" t="str">
        <f t="shared" si="112"/>
        <v/>
      </c>
      <c r="J714" s="27" t="str">
        <f t="shared" si="113"/>
        <v/>
      </c>
      <c r="K714" s="27" t="str">
        <f t="shared" si="114"/>
        <v/>
      </c>
      <c r="L714" s="59" t="str">
        <f>IF(D714="","",VLOOKUP(D714,'[1]0.1 Produksi Pangan &amp; Penduduk'!$D$5:$M$860,10,0))</f>
        <v/>
      </c>
      <c r="M714" s="28" t="str">
        <f t="shared" si="115"/>
        <v/>
      </c>
      <c r="N714" s="60" t="str">
        <f t="shared" si="116"/>
        <v/>
      </c>
      <c r="O714" s="60" t="str">
        <f t="shared" si="117"/>
        <v/>
      </c>
      <c r="P714" s="60" t="str">
        <f t="shared" si="118"/>
        <v/>
      </c>
      <c r="Q714" s="28" t="str">
        <f t="shared" si="119"/>
        <v/>
      </c>
    </row>
    <row r="715" spans="1:17" ht="15" x14ac:dyDescent="0.25">
      <c r="A715" s="3" t="str">
        <f>IF('[1]0.1 Produksi Pangan &amp; Penduduk'!A716="","",'[1]0.1 Produksi Pangan &amp; Penduduk'!A716)</f>
        <v/>
      </c>
      <c r="B715" s="2" t="str">
        <f>IF('[1]0.1 Produksi Pangan &amp; Penduduk'!B716="","",'[1]0.1 Produksi Pangan &amp; Penduduk'!B716)</f>
        <v/>
      </c>
      <c r="C715" s="2" t="str">
        <f>IF('[1]0.1 Produksi Pangan &amp; Penduduk'!F716="","",'[1]0.1 Produksi Pangan &amp; Penduduk'!F716)</f>
        <v/>
      </c>
      <c r="D715" s="3" t="str">
        <f>IF('[1]0.1 Produksi Pangan &amp; Penduduk'!D716="","",'[1]0.1 Produksi Pangan &amp; Penduduk'!D716)</f>
        <v/>
      </c>
      <c r="E715" s="3" t="str">
        <f>IF('[1]0.1 Produksi Pangan &amp; Penduduk'!E716="","",'[1]0.1 Produksi Pangan &amp; Penduduk'!E716)</f>
        <v/>
      </c>
      <c r="F715" s="59" t="str">
        <f>IF(D715="","",VLOOKUP(D715,'[1]0.1 Produksi Pangan &amp; Penduduk'!$D$5:$J$860,7,0))</f>
        <v/>
      </c>
      <c r="G715" s="27" t="str">
        <f t="shared" si="110"/>
        <v/>
      </c>
      <c r="H715" s="27" t="str">
        <f t="shared" si="111"/>
        <v/>
      </c>
      <c r="I715" s="27" t="str">
        <f t="shared" si="112"/>
        <v/>
      </c>
      <c r="J715" s="27" t="str">
        <f t="shared" si="113"/>
        <v/>
      </c>
      <c r="K715" s="27" t="str">
        <f t="shared" si="114"/>
        <v/>
      </c>
      <c r="L715" s="59" t="str">
        <f>IF(D715="","",VLOOKUP(D715,'[1]0.1 Produksi Pangan &amp; Penduduk'!$D$5:$M$860,10,0))</f>
        <v/>
      </c>
      <c r="M715" s="28" t="str">
        <f t="shared" si="115"/>
        <v/>
      </c>
      <c r="N715" s="60" t="str">
        <f t="shared" si="116"/>
        <v/>
      </c>
      <c r="O715" s="60" t="str">
        <f t="shared" si="117"/>
        <v/>
      </c>
      <c r="P715" s="60" t="str">
        <f t="shared" si="118"/>
        <v/>
      </c>
      <c r="Q715" s="28" t="str">
        <f t="shared" si="119"/>
        <v/>
      </c>
    </row>
    <row r="716" spans="1:17" ht="15" x14ac:dyDescent="0.25">
      <c r="A716" s="3" t="str">
        <f>IF('[1]0.1 Produksi Pangan &amp; Penduduk'!A717="","",'[1]0.1 Produksi Pangan &amp; Penduduk'!A717)</f>
        <v/>
      </c>
      <c r="B716" s="2" t="str">
        <f>IF('[1]0.1 Produksi Pangan &amp; Penduduk'!B717="","",'[1]0.1 Produksi Pangan &amp; Penduduk'!B717)</f>
        <v/>
      </c>
      <c r="C716" s="2" t="str">
        <f>IF('[1]0.1 Produksi Pangan &amp; Penduduk'!F717="","",'[1]0.1 Produksi Pangan &amp; Penduduk'!F717)</f>
        <v/>
      </c>
      <c r="D716" s="3" t="str">
        <f>IF('[1]0.1 Produksi Pangan &amp; Penduduk'!D717="","",'[1]0.1 Produksi Pangan &amp; Penduduk'!D717)</f>
        <v/>
      </c>
      <c r="E716" s="3" t="str">
        <f>IF('[1]0.1 Produksi Pangan &amp; Penduduk'!E717="","",'[1]0.1 Produksi Pangan &amp; Penduduk'!E717)</f>
        <v/>
      </c>
      <c r="F716" s="59" t="str">
        <f>IF(D716="","",VLOOKUP(D716,'[1]0.1 Produksi Pangan &amp; Penduduk'!$D$5:$J$860,7,0))</f>
        <v/>
      </c>
      <c r="G716" s="27" t="str">
        <f t="shared" si="110"/>
        <v/>
      </c>
      <c r="H716" s="27" t="str">
        <f t="shared" si="111"/>
        <v/>
      </c>
      <c r="I716" s="27" t="str">
        <f t="shared" si="112"/>
        <v/>
      </c>
      <c r="J716" s="27" t="str">
        <f t="shared" si="113"/>
        <v/>
      </c>
      <c r="K716" s="27" t="str">
        <f t="shared" si="114"/>
        <v/>
      </c>
      <c r="L716" s="59" t="str">
        <f>IF(D716="","",VLOOKUP(D716,'[1]0.1 Produksi Pangan &amp; Penduduk'!$D$5:$M$860,10,0))</f>
        <v/>
      </c>
      <c r="M716" s="28" t="str">
        <f t="shared" si="115"/>
        <v/>
      </c>
      <c r="N716" s="60" t="str">
        <f t="shared" si="116"/>
        <v/>
      </c>
      <c r="O716" s="60" t="str">
        <f t="shared" si="117"/>
        <v/>
      </c>
      <c r="P716" s="60" t="str">
        <f t="shared" si="118"/>
        <v/>
      </c>
      <c r="Q716" s="28" t="str">
        <f t="shared" si="119"/>
        <v/>
      </c>
    </row>
    <row r="717" spans="1:17" ht="15" x14ac:dyDescent="0.25">
      <c r="A717" s="3" t="str">
        <f>IF('[1]0.1 Produksi Pangan &amp; Penduduk'!A718="","",'[1]0.1 Produksi Pangan &amp; Penduduk'!A718)</f>
        <v/>
      </c>
      <c r="B717" s="2" t="str">
        <f>IF('[1]0.1 Produksi Pangan &amp; Penduduk'!B718="","",'[1]0.1 Produksi Pangan &amp; Penduduk'!B718)</f>
        <v/>
      </c>
      <c r="C717" s="2" t="str">
        <f>IF('[1]0.1 Produksi Pangan &amp; Penduduk'!F718="","",'[1]0.1 Produksi Pangan &amp; Penduduk'!F718)</f>
        <v/>
      </c>
      <c r="D717" s="3" t="str">
        <f>IF('[1]0.1 Produksi Pangan &amp; Penduduk'!D718="","",'[1]0.1 Produksi Pangan &amp; Penduduk'!D718)</f>
        <v/>
      </c>
      <c r="E717" s="3" t="str">
        <f>IF('[1]0.1 Produksi Pangan &amp; Penduduk'!E718="","",'[1]0.1 Produksi Pangan &amp; Penduduk'!E718)</f>
        <v/>
      </c>
      <c r="F717" s="59" t="str">
        <f>IF(D717="","",VLOOKUP(D717,'[1]0.1 Produksi Pangan &amp; Penduduk'!$D$5:$J$860,7,0))</f>
        <v/>
      </c>
      <c r="G717" s="27" t="str">
        <f t="shared" si="110"/>
        <v/>
      </c>
      <c r="H717" s="27" t="str">
        <f t="shared" si="111"/>
        <v/>
      </c>
      <c r="I717" s="27" t="str">
        <f t="shared" si="112"/>
        <v/>
      </c>
      <c r="J717" s="27" t="str">
        <f t="shared" si="113"/>
        <v/>
      </c>
      <c r="K717" s="27" t="str">
        <f t="shared" si="114"/>
        <v/>
      </c>
      <c r="L717" s="59" t="str">
        <f>IF(D717="","",VLOOKUP(D717,'[1]0.1 Produksi Pangan &amp; Penduduk'!$D$5:$M$860,10,0))</f>
        <v/>
      </c>
      <c r="M717" s="28" t="str">
        <f t="shared" si="115"/>
        <v/>
      </c>
      <c r="N717" s="60" t="str">
        <f t="shared" si="116"/>
        <v/>
      </c>
      <c r="O717" s="60" t="str">
        <f t="shared" si="117"/>
        <v/>
      </c>
      <c r="P717" s="60" t="str">
        <f t="shared" si="118"/>
        <v/>
      </c>
      <c r="Q717" s="28" t="str">
        <f t="shared" si="119"/>
        <v/>
      </c>
    </row>
    <row r="718" spans="1:17" ht="15" x14ac:dyDescent="0.25">
      <c r="A718" s="3" t="str">
        <f>IF('[1]0.1 Produksi Pangan &amp; Penduduk'!A719="","",'[1]0.1 Produksi Pangan &amp; Penduduk'!A719)</f>
        <v/>
      </c>
      <c r="B718" s="2" t="str">
        <f>IF('[1]0.1 Produksi Pangan &amp; Penduduk'!B719="","",'[1]0.1 Produksi Pangan &amp; Penduduk'!B719)</f>
        <v/>
      </c>
      <c r="C718" s="2" t="str">
        <f>IF('[1]0.1 Produksi Pangan &amp; Penduduk'!F719="","",'[1]0.1 Produksi Pangan &amp; Penduduk'!F719)</f>
        <v/>
      </c>
      <c r="D718" s="3" t="str">
        <f>IF('[1]0.1 Produksi Pangan &amp; Penduduk'!D719="","",'[1]0.1 Produksi Pangan &amp; Penduduk'!D719)</f>
        <v/>
      </c>
      <c r="E718" s="3" t="str">
        <f>IF('[1]0.1 Produksi Pangan &amp; Penduduk'!E719="","",'[1]0.1 Produksi Pangan &amp; Penduduk'!E719)</f>
        <v/>
      </c>
      <c r="F718" s="59" t="str">
        <f>IF(D718="","",VLOOKUP(D718,'[1]0.1 Produksi Pangan &amp; Penduduk'!$D$5:$J$860,7,0))</f>
        <v/>
      </c>
      <c r="G718" s="27" t="str">
        <f t="shared" si="110"/>
        <v/>
      </c>
      <c r="H718" s="27" t="str">
        <f t="shared" si="111"/>
        <v/>
      </c>
      <c r="I718" s="27" t="str">
        <f t="shared" si="112"/>
        <v/>
      </c>
      <c r="J718" s="27" t="str">
        <f t="shared" si="113"/>
        <v/>
      </c>
      <c r="K718" s="27" t="str">
        <f t="shared" si="114"/>
        <v/>
      </c>
      <c r="L718" s="59" t="str">
        <f>IF(D718="","",VLOOKUP(D718,'[1]0.1 Produksi Pangan &amp; Penduduk'!$D$5:$M$860,10,0))</f>
        <v/>
      </c>
      <c r="M718" s="28" t="str">
        <f t="shared" si="115"/>
        <v/>
      </c>
      <c r="N718" s="60" t="str">
        <f t="shared" si="116"/>
        <v/>
      </c>
      <c r="O718" s="60" t="str">
        <f t="shared" si="117"/>
        <v/>
      </c>
      <c r="P718" s="60" t="str">
        <f t="shared" si="118"/>
        <v/>
      </c>
      <c r="Q718" s="28" t="str">
        <f t="shared" si="119"/>
        <v/>
      </c>
    </row>
    <row r="719" spans="1:17" ht="15" x14ac:dyDescent="0.25">
      <c r="A719" s="3" t="str">
        <f>IF('[1]0.1 Produksi Pangan &amp; Penduduk'!A720="","",'[1]0.1 Produksi Pangan &amp; Penduduk'!A720)</f>
        <v/>
      </c>
      <c r="B719" s="2" t="str">
        <f>IF('[1]0.1 Produksi Pangan &amp; Penduduk'!B720="","",'[1]0.1 Produksi Pangan &amp; Penduduk'!B720)</f>
        <v/>
      </c>
      <c r="C719" s="2" t="str">
        <f>IF('[1]0.1 Produksi Pangan &amp; Penduduk'!F720="","",'[1]0.1 Produksi Pangan &amp; Penduduk'!F720)</f>
        <v/>
      </c>
      <c r="D719" s="3" t="str">
        <f>IF('[1]0.1 Produksi Pangan &amp; Penduduk'!D720="","",'[1]0.1 Produksi Pangan &amp; Penduduk'!D720)</f>
        <v/>
      </c>
      <c r="E719" s="3" t="str">
        <f>IF('[1]0.1 Produksi Pangan &amp; Penduduk'!E720="","",'[1]0.1 Produksi Pangan &amp; Penduduk'!E720)</f>
        <v/>
      </c>
      <c r="F719" s="59" t="str">
        <f>IF(D719="","",VLOOKUP(D719,'[1]0.1 Produksi Pangan &amp; Penduduk'!$D$5:$J$860,7,0))</f>
        <v/>
      </c>
      <c r="G719" s="27" t="str">
        <f t="shared" si="110"/>
        <v/>
      </c>
      <c r="H719" s="27" t="str">
        <f t="shared" si="111"/>
        <v/>
      </c>
      <c r="I719" s="27" t="str">
        <f t="shared" si="112"/>
        <v/>
      </c>
      <c r="J719" s="27" t="str">
        <f t="shared" si="113"/>
        <v/>
      </c>
      <c r="K719" s="27" t="str">
        <f t="shared" si="114"/>
        <v/>
      </c>
      <c r="L719" s="59" t="str">
        <f>IF(D719="","",VLOOKUP(D719,'[1]0.1 Produksi Pangan &amp; Penduduk'!$D$5:$M$860,10,0))</f>
        <v/>
      </c>
      <c r="M719" s="28" t="str">
        <f t="shared" si="115"/>
        <v/>
      </c>
      <c r="N719" s="60" t="str">
        <f t="shared" si="116"/>
        <v/>
      </c>
      <c r="O719" s="60" t="str">
        <f t="shared" si="117"/>
        <v/>
      </c>
      <c r="P719" s="60" t="str">
        <f t="shared" si="118"/>
        <v/>
      </c>
      <c r="Q719" s="28" t="str">
        <f t="shared" si="119"/>
        <v/>
      </c>
    </row>
    <row r="720" spans="1:17" ht="15" x14ac:dyDescent="0.25">
      <c r="A720" s="3" t="str">
        <f>IF('[1]0.1 Produksi Pangan &amp; Penduduk'!A721="","",'[1]0.1 Produksi Pangan &amp; Penduduk'!A721)</f>
        <v/>
      </c>
      <c r="B720" s="2" t="str">
        <f>IF('[1]0.1 Produksi Pangan &amp; Penduduk'!B721="","",'[1]0.1 Produksi Pangan &amp; Penduduk'!B721)</f>
        <v/>
      </c>
      <c r="C720" s="2" t="str">
        <f>IF('[1]0.1 Produksi Pangan &amp; Penduduk'!F721="","",'[1]0.1 Produksi Pangan &amp; Penduduk'!F721)</f>
        <v/>
      </c>
      <c r="D720" s="3" t="str">
        <f>IF('[1]0.1 Produksi Pangan &amp; Penduduk'!D721="","",'[1]0.1 Produksi Pangan &amp; Penduduk'!D721)</f>
        <v/>
      </c>
      <c r="E720" s="3" t="str">
        <f>IF('[1]0.1 Produksi Pangan &amp; Penduduk'!E721="","",'[1]0.1 Produksi Pangan &amp; Penduduk'!E721)</f>
        <v/>
      </c>
      <c r="F720" s="59" t="str">
        <f>IF(D720="","",VLOOKUP(D720,'[1]0.1 Produksi Pangan &amp; Penduduk'!$D$5:$J$860,7,0))</f>
        <v/>
      </c>
      <c r="G720" s="27" t="str">
        <f t="shared" si="110"/>
        <v/>
      </c>
      <c r="H720" s="27" t="str">
        <f t="shared" si="111"/>
        <v/>
      </c>
      <c r="I720" s="27" t="str">
        <f t="shared" si="112"/>
        <v/>
      </c>
      <c r="J720" s="27" t="str">
        <f t="shared" si="113"/>
        <v/>
      </c>
      <c r="K720" s="27" t="str">
        <f t="shared" si="114"/>
        <v/>
      </c>
      <c r="L720" s="59" t="str">
        <f>IF(D720="","",VLOOKUP(D720,'[1]0.1 Produksi Pangan &amp; Penduduk'!$D$5:$M$860,10,0))</f>
        <v/>
      </c>
      <c r="M720" s="28" t="str">
        <f t="shared" si="115"/>
        <v/>
      </c>
      <c r="N720" s="60" t="str">
        <f t="shared" si="116"/>
        <v/>
      </c>
      <c r="O720" s="60" t="str">
        <f t="shared" si="117"/>
        <v/>
      </c>
      <c r="P720" s="60" t="str">
        <f t="shared" si="118"/>
        <v/>
      </c>
      <c r="Q720" s="28" t="str">
        <f t="shared" si="119"/>
        <v/>
      </c>
    </row>
    <row r="721" spans="1:17" ht="15" x14ac:dyDescent="0.25">
      <c r="A721" s="3" t="str">
        <f>IF('[1]0.1 Produksi Pangan &amp; Penduduk'!A722="","",'[1]0.1 Produksi Pangan &amp; Penduduk'!A722)</f>
        <v/>
      </c>
      <c r="B721" s="2" t="str">
        <f>IF('[1]0.1 Produksi Pangan &amp; Penduduk'!B722="","",'[1]0.1 Produksi Pangan &amp; Penduduk'!B722)</f>
        <v/>
      </c>
      <c r="C721" s="2" t="str">
        <f>IF('[1]0.1 Produksi Pangan &amp; Penduduk'!F722="","",'[1]0.1 Produksi Pangan &amp; Penduduk'!F722)</f>
        <v/>
      </c>
      <c r="D721" s="3" t="str">
        <f>IF('[1]0.1 Produksi Pangan &amp; Penduduk'!D722="","",'[1]0.1 Produksi Pangan &amp; Penduduk'!D722)</f>
        <v/>
      </c>
      <c r="E721" s="3" t="str">
        <f>IF('[1]0.1 Produksi Pangan &amp; Penduduk'!E722="","",'[1]0.1 Produksi Pangan &amp; Penduduk'!E722)</f>
        <v/>
      </c>
      <c r="F721" s="59" t="str">
        <f>IF(D721="","",VLOOKUP(D721,'[1]0.1 Produksi Pangan &amp; Penduduk'!$D$5:$J$860,7,0))</f>
        <v/>
      </c>
      <c r="G721" s="27" t="str">
        <f t="shared" si="110"/>
        <v/>
      </c>
      <c r="H721" s="27" t="str">
        <f t="shared" si="111"/>
        <v/>
      </c>
      <c r="I721" s="27" t="str">
        <f t="shared" si="112"/>
        <v/>
      </c>
      <c r="J721" s="27" t="str">
        <f t="shared" si="113"/>
        <v/>
      </c>
      <c r="K721" s="27" t="str">
        <f t="shared" si="114"/>
        <v/>
      </c>
      <c r="L721" s="59" t="str">
        <f>IF(D721="","",VLOOKUP(D721,'[1]0.1 Produksi Pangan &amp; Penduduk'!$D$5:$M$860,10,0))</f>
        <v/>
      </c>
      <c r="M721" s="28" t="str">
        <f t="shared" si="115"/>
        <v/>
      </c>
      <c r="N721" s="60" t="str">
        <f t="shared" si="116"/>
        <v/>
      </c>
      <c r="O721" s="60" t="str">
        <f t="shared" si="117"/>
        <v/>
      </c>
      <c r="P721" s="60" t="str">
        <f t="shared" si="118"/>
        <v/>
      </c>
      <c r="Q721" s="28" t="str">
        <f t="shared" si="119"/>
        <v/>
      </c>
    </row>
    <row r="722" spans="1:17" ht="15" x14ac:dyDescent="0.25">
      <c r="A722" s="3" t="str">
        <f>IF('[1]0.1 Produksi Pangan &amp; Penduduk'!A723="","",'[1]0.1 Produksi Pangan &amp; Penduduk'!A723)</f>
        <v/>
      </c>
      <c r="B722" s="2" t="str">
        <f>IF('[1]0.1 Produksi Pangan &amp; Penduduk'!B723="","",'[1]0.1 Produksi Pangan &amp; Penduduk'!B723)</f>
        <v/>
      </c>
      <c r="C722" s="2" t="str">
        <f>IF('[1]0.1 Produksi Pangan &amp; Penduduk'!F723="","",'[1]0.1 Produksi Pangan &amp; Penduduk'!F723)</f>
        <v/>
      </c>
      <c r="D722" s="3" t="str">
        <f>IF('[1]0.1 Produksi Pangan &amp; Penduduk'!D723="","",'[1]0.1 Produksi Pangan &amp; Penduduk'!D723)</f>
        <v/>
      </c>
      <c r="E722" s="3" t="str">
        <f>IF('[1]0.1 Produksi Pangan &amp; Penduduk'!E723="","",'[1]0.1 Produksi Pangan &amp; Penduduk'!E723)</f>
        <v/>
      </c>
      <c r="F722" s="59" t="str">
        <f>IF(D722="","",VLOOKUP(D722,'[1]0.1 Produksi Pangan &amp; Penduduk'!$D$5:$J$860,7,0))</f>
        <v/>
      </c>
      <c r="G722" s="27" t="str">
        <f t="shared" si="110"/>
        <v/>
      </c>
      <c r="H722" s="27" t="str">
        <f t="shared" si="111"/>
        <v/>
      </c>
      <c r="I722" s="27" t="str">
        <f t="shared" si="112"/>
        <v/>
      </c>
      <c r="J722" s="27" t="str">
        <f t="shared" si="113"/>
        <v/>
      </c>
      <c r="K722" s="27" t="str">
        <f t="shared" si="114"/>
        <v/>
      </c>
      <c r="L722" s="59" t="str">
        <f>IF(D722="","",VLOOKUP(D722,'[1]0.1 Produksi Pangan &amp; Penduduk'!$D$5:$M$860,10,0))</f>
        <v/>
      </c>
      <c r="M722" s="28" t="str">
        <f t="shared" si="115"/>
        <v/>
      </c>
      <c r="N722" s="60" t="str">
        <f t="shared" si="116"/>
        <v/>
      </c>
      <c r="O722" s="60" t="str">
        <f t="shared" si="117"/>
        <v/>
      </c>
      <c r="P722" s="60" t="str">
        <f t="shared" si="118"/>
        <v/>
      </c>
      <c r="Q722" s="28" t="str">
        <f t="shared" si="119"/>
        <v/>
      </c>
    </row>
    <row r="723" spans="1:17" ht="15" x14ac:dyDescent="0.25">
      <c r="A723" s="3" t="str">
        <f>IF('[1]0.1 Produksi Pangan &amp; Penduduk'!A724="","",'[1]0.1 Produksi Pangan &amp; Penduduk'!A724)</f>
        <v/>
      </c>
      <c r="B723" s="2" t="str">
        <f>IF('[1]0.1 Produksi Pangan &amp; Penduduk'!B724="","",'[1]0.1 Produksi Pangan &amp; Penduduk'!B724)</f>
        <v/>
      </c>
      <c r="C723" s="2" t="str">
        <f>IF('[1]0.1 Produksi Pangan &amp; Penduduk'!F724="","",'[1]0.1 Produksi Pangan &amp; Penduduk'!F724)</f>
        <v/>
      </c>
      <c r="D723" s="3" t="str">
        <f>IF('[1]0.1 Produksi Pangan &amp; Penduduk'!D724="","",'[1]0.1 Produksi Pangan &amp; Penduduk'!D724)</f>
        <v/>
      </c>
      <c r="E723" s="3" t="str">
        <f>IF('[1]0.1 Produksi Pangan &amp; Penduduk'!E724="","",'[1]0.1 Produksi Pangan &amp; Penduduk'!E724)</f>
        <v/>
      </c>
      <c r="F723" s="59" t="str">
        <f>IF(D723="","",VLOOKUP(D723,'[1]0.1 Produksi Pangan &amp; Penduduk'!$D$5:$J$860,7,0))</f>
        <v/>
      </c>
      <c r="G723" s="27" t="str">
        <f t="shared" si="110"/>
        <v/>
      </c>
      <c r="H723" s="27" t="str">
        <f t="shared" si="111"/>
        <v/>
      </c>
      <c r="I723" s="27" t="str">
        <f t="shared" si="112"/>
        <v/>
      </c>
      <c r="J723" s="27" t="str">
        <f t="shared" si="113"/>
        <v/>
      </c>
      <c r="K723" s="27" t="str">
        <f t="shared" si="114"/>
        <v/>
      </c>
      <c r="L723" s="59" t="str">
        <f>IF(D723="","",VLOOKUP(D723,'[1]0.1 Produksi Pangan &amp; Penduduk'!$D$5:$M$860,10,0))</f>
        <v/>
      </c>
      <c r="M723" s="28" t="str">
        <f t="shared" si="115"/>
        <v/>
      </c>
      <c r="N723" s="60" t="str">
        <f t="shared" si="116"/>
        <v/>
      </c>
      <c r="O723" s="60" t="str">
        <f t="shared" si="117"/>
        <v/>
      </c>
      <c r="P723" s="60" t="str">
        <f t="shared" si="118"/>
        <v/>
      </c>
      <c r="Q723" s="28" t="str">
        <f t="shared" si="119"/>
        <v/>
      </c>
    </row>
    <row r="724" spans="1:17" ht="15" x14ac:dyDescent="0.25">
      <c r="A724" s="3" t="str">
        <f>IF('[1]0.1 Produksi Pangan &amp; Penduduk'!A725="","",'[1]0.1 Produksi Pangan &amp; Penduduk'!A725)</f>
        <v/>
      </c>
      <c r="B724" s="2" t="str">
        <f>IF('[1]0.1 Produksi Pangan &amp; Penduduk'!B725="","",'[1]0.1 Produksi Pangan &amp; Penduduk'!B725)</f>
        <v/>
      </c>
      <c r="C724" s="2" t="str">
        <f>IF('[1]0.1 Produksi Pangan &amp; Penduduk'!F725="","",'[1]0.1 Produksi Pangan &amp; Penduduk'!F725)</f>
        <v/>
      </c>
      <c r="D724" s="3" t="str">
        <f>IF('[1]0.1 Produksi Pangan &amp; Penduduk'!D725="","",'[1]0.1 Produksi Pangan &amp; Penduduk'!D725)</f>
        <v/>
      </c>
      <c r="E724" s="3" t="str">
        <f>IF('[1]0.1 Produksi Pangan &amp; Penduduk'!E725="","",'[1]0.1 Produksi Pangan &amp; Penduduk'!E725)</f>
        <v/>
      </c>
      <c r="F724" s="59" t="str">
        <f>IF(D724="","",VLOOKUP(D724,'[1]0.1 Produksi Pangan &amp; Penduduk'!$D$5:$J$860,7,0))</f>
        <v/>
      </c>
      <c r="G724" s="27" t="str">
        <f t="shared" si="110"/>
        <v/>
      </c>
      <c r="H724" s="27" t="str">
        <f t="shared" si="111"/>
        <v/>
      </c>
      <c r="I724" s="27" t="str">
        <f t="shared" si="112"/>
        <v/>
      </c>
      <c r="J724" s="27" t="str">
        <f t="shared" si="113"/>
        <v/>
      </c>
      <c r="K724" s="27" t="str">
        <f t="shared" si="114"/>
        <v/>
      </c>
      <c r="L724" s="59" t="str">
        <f>IF(D724="","",VLOOKUP(D724,'[1]0.1 Produksi Pangan &amp; Penduduk'!$D$5:$M$860,10,0))</f>
        <v/>
      </c>
      <c r="M724" s="28" t="str">
        <f t="shared" si="115"/>
        <v/>
      </c>
      <c r="N724" s="60" t="str">
        <f t="shared" si="116"/>
        <v/>
      </c>
      <c r="O724" s="60" t="str">
        <f t="shared" si="117"/>
        <v/>
      </c>
      <c r="P724" s="60" t="str">
        <f t="shared" si="118"/>
        <v/>
      </c>
      <c r="Q724" s="28" t="str">
        <f t="shared" si="119"/>
        <v/>
      </c>
    </row>
    <row r="725" spans="1:17" ht="15" x14ac:dyDescent="0.25">
      <c r="A725" s="3" t="str">
        <f>IF('[1]0.1 Produksi Pangan &amp; Penduduk'!A726="","",'[1]0.1 Produksi Pangan &amp; Penduduk'!A726)</f>
        <v/>
      </c>
      <c r="B725" s="2" t="str">
        <f>IF('[1]0.1 Produksi Pangan &amp; Penduduk'!B726="","",'[1]0.1 Produksi Pangan &amp; Penduduk'!B726)</f>
        <v/>
      </c>
      <c r="C725" s="2" t="str">
        <f>IF('[1]0.1 Produksi Pangan &amp; Penduduk'!F726="","",'[1]0.1 Produksi Pangan &amp; Penduduk'!F726)</f>
        <v/>
      </c>
      <c r="D725" s="3" t="str">
        <f>IF('[1]0.1 Produksi Pangan &amp; Penduduk'!D726="","",'[1]0.1 Produksi Pangan &amp; Penduduk'!D726)</f>
        <v/>
      </c>
      <c r="E725" s="3" t="str">
        <f>IF('[1]0.1 Produksi Pangan &amp; Penduduk'!E726="","",'[1]0.1 Produksi Pangan &amp; Penduduk'!E726)</f>
        <v/>
      </c>
      <c r="F725" s="59" t="str">
        <f>IF(D725="","",VLOOKUP(D725,'[1]0.1 Produksi Pangan &amp; Penduduk'!$D$5:$J$860,7,0))</f>
        <v/>
      </c>
      <c r="G725" s="27" t="str">
        <f t="shared" si="110"/>
        <v/>
      </c>
      <c r="H725" s="27" t="str">
        <f t="shared" si="111"/>
        <v/>
      </c>
      <c r="I725" s="27" t="str">
        <f t="shared" si="112"/>
        <v/>
      </c>
      <c r="J725" s="27" t="str">
        <f t="shared" si="113"/>
        <v/>
      </c>
      <c r="K725" s="27" t="str">
        <f t="shared" si="114"/>
        <v/>
      </c>
      <c r="L725" s="59" t="str">
        <f>IF(D725="","",VLOOKUP(D725,'[1]0.1 Produksi Pangan &amp; Penduduk'!$D$5:$M$860,10,0))</f>
        <v/>
      </c>
      <c r="M725" s="28" t="str">
        <f t="shared" si="115"/>
        <v/>
      </c>
      <c r="N725" s="60" t="str">
        <f t="shared" si="116"/>
        <v/>
      </c>
      <c r="O725" s="60" t="str">
        <f t="shared" si="117"/>
        <v/>
      </c>
      <c r="P725" s="60" t="str">
        <f t="shared" si="118"/>
        <v/>
      </c>
      <c r="Q725" s="28" t="str">
        <f t="shared" si="119"/>
        <v/>
      </c>
    </row>
    <row r="726" spans="1:17" ht="15" x14ac:dyDescent="0.25">
      <c r="A726" s="3" t="str">
        <f>IF('[1]0.1 Produksi Pangan &amp; Penduduk'!A727="","",'[1]0.1 Produksi Pangan &amp; Penduduk'!A727)</f>
        <v/>
      </c>
      <c r="B726" s="2" t="str">
        <f>IF('[1]0.1 Produksi Pangan &amp; Penduduk'!B727="","",'[1]0.1 Produksi Pangan &amp; Penduduk'!B727)</f>
        <v/>
      </c>
      <c r="C726" s="2" t="str">
        <f>IF('[1]0.1 Produksi Pangan &amp; Penduduk'!F727="","",'[1]0.1 Produksi Pangan &amp; Penduduk'!F727)</f>
        <v/>
      </c>
      <c r="D726" s="3" t="str">
        <f>IF('[1]0.1 Produksi Pangan &amp; Penduduk'!D727="","",'[1]0.1 Produksi Pangan &amp; Penduduk'!D727)</f>
        <v/>
      </c>
      <c r="E726" s="3" t="str">
        <f>IF('[1]0.1 Produksi Pangan &amp; Penduduk'!E727="","",'[1]0.1 Produksi Pangan &amp; Penduduk'!E727)</f>
        <v/>
      </c>
      <c r="F726" s="59" t="str">
        <f>IF(D726="","",VLOOKUP(D726,'[1]0.1 Produksi Pangan &amp; Penduduk'!$D$5:$J$860,7,0))</f>
        <v/>
      </c>
      <c r="G726" s="27" t="str">
        <f t="shared" si="110"/>
        <v/>
      </c>
      <c r="H726" s="27" t="str">
        <f t="shared" si="111"/>
        <v/>
      </c>
      <c r="I726" s="27" t="str">
        <f t="shared" si="112"/>
        <v/>
      </c>
      <c r="J726" s="27" t="str">
        <f t="shared" si="113"/>
        <v/>
      </c>
      <c r="K726" s="27" t="str">
        <f t="shared" si="114"/>
        <v/>
      </c>
      <c r="L726" s="59" t="str">
        <f>IF(D726="","",VLOOKUP(D726,'[1]0.1 Produksi Pangan &amp; Penduduk'!$D$5:$M$860,10,0))</f>
        <v/>
      </c>
      <c r="M726" s="28" t="str">
        <f t="shared" si="115"/>
        <v/>
      </c>
      <c r="N726" s="60" t="str">
        <f t="shared" si="116"/>
        <v/>
      </c>
      <c r="O726" s="60" t="str">
        <f t="shared" si="117"/>
        <v/>
      </c>
      <c r="P726" s="60" t="str">
        <f t="shared" si="118"/>
        <v/>
      </c>
      <c r="Q726" s="28" t="str">
        <f t="shared" si="119"/>
        <v/>
      </c>
    </row>
    <row r="727" spans="1:17" ht="15" x14ac:dyDescent="0.25">
      <c r="A727" s="3" t="str">
        <f>IF('[1]0.1 Produksi Pangan &amp; Penduduk'!A728="","",'[1]0.1 Produksi Pangan &amp; Penduduk'!A728)</f>
        <v/>
      </c>
      <c r="B727" s="2" t="str">
        <f>IF('[1]0.1 Produksi Pangan &amp; Penduduk'!B728="","",'[1]0.1 Produksi Pangan &amp; Penduduk'!B728)</f>
        <v/>
      </c>
      <c r="C727" s="2" t="str">
        <f>IF('[1]0.1 Produksi Pangan &amp; Penduduk'!F728="","",'[1]0.1 Produksi Pangan &amp; Penduduk'!F728)</f>
        <v/>
      </c>
      <c r="D727" s="3" t="str">
        <f>IF('[1]0.1 Produksi Pangan &amp; Penduduk'!D728="","",'[1]0.1 Produksi Pangan &amp; Penduduk'!D728)</f>
        <v/>
      </c>
      <c r="E727" s="3" t="str">
        <f>IF('[1]0.1 Produksi Pangan &amp; Penduduk'!E728="","",'[1]0.1 Produksi Pangan &amp; Penduduk'!E728)</f>
        <v/>
      </c>
      <c r="F727" s="59" t="str">
        <f>IF(D727="","",VLOOKUP(D727,'[1]0.1 Produksi Pangan &amp; Penduduk'!$D$5:$J$860,7,0))</f>
        <v/>
      </c>
      <c r="G727" s="27" t="str">
        <f t="shared" si="110"/>
        <v/>
      </c>
      <c r="H727" s="27" t="str">
        <f t="shared" si="111"/>
        <v/>
      </c>
      <c r="I727" s="27" t="str">
        <f t="shared" si="112"/>
        <v/>
      </c>
      <c r="J727" s="27" t="str">
        <f t="shared" si="113"/>
        <v/>
      </c>
      <c r="K727" s="27" t="str">
        <f t="shared" si="114"/>
        <v/>
      </c>
      <c r="L727" s="59" t="str">
        <f>IF(D727="","",VLOOKUP(D727,'[1]0.1 Produksi Pangan &amp; Penduduk'!$D$5:$M$860,10,0))</f>
        <v/>
      </c>
      <c r="M727" s="28" t="str">
        <f t="shared" si="115"/>
        <v/>
      </c>
      <c r="N727" s="60" t="str">
        <f t="shared" si="116"/>
        <v/>
      </c>
      <c r="O727" s="60" t="str">
        <f t="shared" si="117"/>
        <v/>
      </c>
      <c r="P727" s="60" t="str">
        <f t="shared" si="118"/>
        <v/>
      </c>
      <c r="Q727" s="28" t="str">
        <f t="shared" si="119"/>
        <v/>
      </c>
    </row>
    <row r="728" spans="1:17" ht="15" x14ac:dyDescent="0.25">
      <c r="A728" s="3" t="str">
        <f>IF('[1]0.1 Produksi Pangan &amp; Penduduk'!A729="","",'[1]0.1 Produksi Pangan &amp; Penduduk'!A729)</f>
        <v/>
      </c>
      <c r="B728" s="2" t="str">
        <f>IF('[1]0.1 Produksi Pangan &amp; Penduduk'!B729="","",'[1]0.1 Produksi Pangan &amp; Penduduk'!B729)</f>
        <v/>
      </c>
      <c r="C728" s="2" t="str">
        <f>IF('[1]0.1 Produksi Pangan &amp; Penduduk'!F729="","",'[1]0.1 Produksi Pangan &amp; Penduduk'!F729)</f>
        <v/>
      </c>
      <c r="D728" s="3" t="str">
        <f>IF('[1]0.1 Produksi Pangan &amp; Penduduk'!D729="","",'[1]0.1 Produksi Pangan &amp; Penduduk'!D729)</f>
        <v/>
      </c>
      <c r="E728" s="3" t="str">
        <f>IF('[1]0.1 Produksi Pangan &amp; Penduduk'!E729="","",'[1]0.1 Produksi Pangan &amp; Penduduk'!E729)</f>
        <v/>
      </c>
      <c r="F728" s="59" t="str">
        <f>IF(D728="","",VLOOKUP(D728,'[1]0.1 Produksi Pangan &amp; Penduduk'!$D$5:$J$860,7,0))</f>
        <v/>
      </c>
      <c r="G728" s="27" t="str">
        <f t="shared" si="110"/>
        <v/>
      </c>
      <c r="H728" s="27" t="str">
        <f t="shared" si="111"/>
        <v/>
      </c>
      <c r="I728" s="27" t="str">
        <f t="shared" si="112"/>
        <v/>
      </c>
      <c r="J728" s="27" t="str">
        <f t="shared" si="113"/>
        <v/>
      </c>
      <c r="K728" s="27" t="str">
        <f t="shared" si="114"/>
        <v/>
      </c>
      <c r="L728" s="59" t="str">
        <f>IF(D728="","",VLOOKUP(D728,'[1]0.1 Produksi Pangan &amp; Penduduk'!$D$5:$M$860,10,0))</f>
        <v/>
      </c>
      <c r="M728" s="28" t="str">
        <f t="shared" si="115"/>
        <v/>
      </c>
      <c r="N728" s="60" t="str">
        <f t="shared" si="116"/>
        <v/>
      </c>
      <c r="O728" s="60" t="str">
        <f t="shared" si="117"/>
        <v/>
      </c>
      <c r="P728" s="60" t="str">
        <f t="shared" si="118"/>
        <v/>
      </c>
      <c r="Q728" s="28" t="str">
        <f t="shared" si="119"/>
        <v/>
      </c>
    </row>
    <row r="729" spans="1:17" ht="15" x14ac:dyDescent="0.25">
      <c r="A729" s="3" t="str">
        <f>IF('[1]0.1 Produksi Pangan &amp; Penduduk'!A730="","",'[1]0.1 Produksi Pangan &amp; Penduduk'!A730)</f>
        <v/>
      </c>
      <c r="B729" s="2" t="str">
        <f>IF('[1]0.1 Produksi Pangan &amp; Penduduk'!B730="","",'[1]0.1 Produksi Pangan &amp; Penduduk'!B730)</f>
        <v/>
      </c>
      <c r="C729" s="2" t="str">
        <f>IF('[1]0.1 Produksi Pangan &amp; Penduduk'!F730="","",'[1]0.1 Produksi Pangan &amp; Penduduk'!F730)</f>
        <v/>
      </c>
      <c r="D729" s="3" t="str">
        <f>IF('[1]0.1 Produksi Pangan &amp; Penduduk'!D730="","",'[1]0.1 Produksi Pangan &amp; Penduduk'!D730)</f>
        <v/>
      </c>
      <c r="E729" s="3" t="str">
        <f>IF('[1]0.1 Produksi Pangan &amp; Penduduk'!E730="","",'[1]0.1 Produksi Pangan &amp; Penduduk'!E730)</f>
        <v/>
      </c>
      <c r="F729" s="59" t="str">
        <f>IF(D729="","",VLOOKUP(D729,'[1]0.1 Produksi Pangan &amp; Penduduk'!$D$5:$J$860,7,0))</f>
        <v/>
      </c>
      <c r="G729" s="27" t="str">
        <f t="shared" si="110"/>
        <v/>
      </c>
      <c r="H729" s="27" t="str">
        <f t="shared" si="111"/>
        <v/>
      </c>
      <c r="I729" s="27" t="str">
        <f t="shared" si="112"/>
        <v/>
      </c>
      <c r="J729" s="27" t="str">
        <f t="shared" si="113"/>
        <v/>
      </c>
      <c r="K729" s="27" t="str">
        <f t="shared" si="114"/>
        <v/>
      </c>
      <c r="L729" s="59" t="str">
        <f>IF(D729="","",VLOOKUP(D729,'[1]0.1 Produksi Pangan &amp; Penduduk'!$D$5:$M$860,10,0))</f>
        <v/>
      </c>
      <c r="M729" s="28" t="str">
        <f t="shared" si="115"/>
        <v/>
      </c>
      <c r="N729" s="60" t="str">
        <f t="shared" si="116"/>
        <v/>
      </c>
      <c r="O729" s="60" t="str">
        <f t="shared" si="117"/>
        <v/>
      </c>
      <c r="P729" s="60" t="str">
        <f t="shared" si="118"/>
        <v/>
      </c>
      <c r="Q729" s="28" t="str">
        <f t="shared" si="119"/>
        <v/>
      </c>
    </row>
    <row r="730" spans="1:17" ht="15" x14ac:dyDescent="0.25">
      <c r="A730" s="3" t="str">
        <f>IF('[1]0.1 Produksi Pangan &amp; Penduduk'!A731="","",'[1]0.1 Produksi Pangan &amp; Penduduk'!A731)</f>
        <v/>
      </c>
      <c r="B730" s="2" t="str">
        <f>IF('[1]0.1 Produksi Pangan &amp; Penduduk'!B731="","",'[1]0.1 Produksi Pangan &amp; Penduduk'!B731)</f>
        <v/>
      </c>
      <c r="C730" s="2" t="str">
        <f>IF('[1]0.1 Produksi Pangan &amp; Penduduk'!F731="","",'[1]0.1 Produksi Pangan &amp; Penduduk'!F731)</f>
        <v/>
      </c>
      <c r="D730" s="3" t="str">
        <f>IF('[1]0.1 Produksi Pangan &amp; Penduduk'!D731="","",'[1]0.1 Produksi Pangan &amp; Penduduk'!D731)</f>
        <v/>
      </c>
      <c r="E730" s="3" t="str">
        <f>IF('[1]0.1 Produksi Pangan &amp; Penduduk'!E731="","",'[1]0.1 Produksi Pangan &amp; Penduduk'!E731)</f>
        <v/>
      </c>
      <c r="F730" s="59" t="str">
        <f>IF(D730="","",VLOOKUP(D730,'[1]0.1 Produksi Pangan &amp; Penduduk'!$D$5:$J$860,7,0))</f>
        <v/>
      </c>
      <c r="G730" s="27" t="str">
        <f t="shared" si="110"/>
        <v/>
      </c>
      <c r="H730" s="27" t="str">
        <f t="shared" si="111"/>
        <v/>
      </c>
      <c r="I730" s="27" t="str">
        <f t="shared" si="112"/>
        <v/>
      </c>
      <c r="J730" s="27" t="str">
        <f t="shared" si="113"/>
        <v/>
      </c>
      <c r="K730" s="27" t="str">
        <f t="shared" si="114"/>
        <v/>
      </c>
      <c r="L730" s="59" t="str">
        <f>IF(D730="","",VLOOKUP(D730,'[1]0.1 Produksi Pangan &amp; Penduduk'!$D$5:$M$860,10,0))</f>
        <v/>
      </c>
      <c r="M730" s="28" t="str">
        <f t="shared" si="115"/>
        <v/>
      </c>
      <c r="N730" s="60" t="str">
        <f t="shared" si="116"/>
        <v/>
      </c>
      <c r="O730" s="60" t="str">
        <f t="shared" si="117"/>
        <v/>
      </c>
      <c r="P730" s="60" t="str">
        <f t="shared" si="118"/>
        <v/>
      </c>
      <c r="Q730" s="28" t="str">
        <f t="shared" si="119"/>
        <v/>
      </c>
    </row>
    <row r="731" spans="1:17" ht="15" x14ac:dyDescent="0.25">
      <c r="A731" s="3" t="str">
        <f>IF('[1]0.1 Produksi Pangan &amp; Penduduk'!A732="","",'[1]0.1 Produksi Pangan &amp; Penduduk'!A732)</f>
        <v/>
      </c>
      <c r="B731" s="2" t="str">
        <f>IF('[1]0.1 Produksi Pangan &amp; Penduduk'!B732="","",'[1]0.1 Produksi Pangan &amp; Penduduk'!B732)</f>
        <v/>
      </c>
      <c r="C731" s="2" t="str">
        <f>IF('[1]0.1 Produksi Pangan &amp; Penduduk'!F732="","",'[1]0.1 Produksi Pangan &amp; Penduduk'!F732)</f>
        <v/>
      </c>
      <c r="D731" s="3" t="str">
        <f>IF('[1]0.1 Produksi Pangan &amp; Penduduk'!D732="","",'[1]0.1 Produksi Pangan &amp; Penduduk'!D732)</f>
        <v/>
      </c>
      <c r="E731" s="3" t="str">
        <f>IF('[1]0.1 Produksi Pangan &amp; Penduduk'!E732="","",'[1]0.1 Produksi Pangan &amp; Penduduk'!E732)</f>
        <v/>
      </c>
      <c r="F731" s="59" t="str">
        <f>IF(D731="","",VLOOKUP(D731,'[1]0.1 Produksi Pangan &amp; Penduduk'!$D$5:$J$860,7,0))</f>
        <v/>
      </c>
      <c r="G731" s="27" t="str">
        <f t="shared" si="110"/>
        <v/>
      </c>
      <c r="H731" s="27" t="str">
        <f t="shared" si="111"/>
        <v/>
      </c>
      <c r="I731" s="27" t="str">
        <f t="shared" si="112"/>
        <v/>
      </c>
      <c r="J731" s="27" t="str">
        <f t="shared" si="113"/>
        <v/>
      </c>
      <c r="K731" s="27" t="str">
        <f t="shared" si="114"/>
        <v/>
      </c>
      <c r="L731" s="59" t="str">
        <f>IF(D731="","",VLOOKUP(D731,'[1]0.1 Produksi Pangan &amp; Penduduk'!$D$5:$M$860,10,0))</f>
        <v/>
      </c>
      <c r="M731" s="28" t="str">
        <f t="shared" si="115"/>
        <v/>
      </c>
      <c r="N731" s="60" t="str">
        <f t="shared" si="116"/>
        <v/>
      </c>
      <c r="O731" s="60" t="str">
        <f t="shared" si="117"/>
        <v/>
      </c>
      <c r="P731" s="60" t="str">
        <f t="shared" si="118"/>
        <v/>
      </c>
      <c r="Q731" s="28" t="str">
        <f t="shared" si="119"/>
        <v/>
      </c>
    </row>
    <row r="732" spans="1:17" ht="15" x14ac:dyDescent="0.25">
      <c r="A732" s="3" t="str">
        <f>IF('[1]0.1 Produksi Pangan &amp; Penduduk'!A733="","",'[1]0.1 Produksi Pangan &amp; Penduduk'!A733)</f>
        <v/>
      </c>
      <c r="B732" s="2" t="str">
        <f>IF('[1]0.1 Produksi Pangan &amp; Penduduk'!B733="","",'[1]0.1 Produksi Pangan &amp; Penduduk'!B733)</f>
        <v/>
      </c>
      <c r="C732" s="2" t="str">
        <f>IF('[1]0.1 Produksi Pangan &amp; Penduduk'!F733="","",'[1]0.1 Produksi Pangan &amp; Penduduk'!F733)</f>
        <v/>
      </c>
      <c r="D732" s="3" t="str">
        <f>IF('[1]0.1 Produksi Pangan &amp; Penduduk'!D733="","",'[1]0.1 Produksi Pangan &amp; Penduduk'!D733)</f>
        <v/>
      </c>
      <c r="E732" s="3" t="str">
        <f>IF('[1]0.1 Produksi Pangan &amp; Penduduk'!E733="","",'[1]0.1 Produksi Pangan &amp; Penduduk'!E733)</f>
        <v/>
      </c>
      <c r="F732" s="59" t="str">
        <f>IF(D732="","",VLOOKUP(D732,'[1]0.1 Produksi Pangan &amp; Penduduk'!$D$5:$J$860,7,0))</f>
        <v/>
      </c>
      <c r="G732" s="27" t="str">
        <f t="shared" si="110"/>
        <v/>
      </c>
      <c r="H732" s="27" t="str">
        <f t="shared" si="111"/>
        <v/>
      </c>
      <c r="I732" s="27" t="str">
        <f t="shared" si="112"/>
        <v/>
      </c>
      <c r="J732" s="27" t="str">
        <f t="shared" si="113"/>
        <v/>
      </c>
      <c r="K732" s="27" t="str">
        <f t="shared" si="114"/>
        <v/>
      </c>
      <c r="L732" s="59" t="str">
        <f>IF(D732="","",VLOOKUP(D732,'[1]0.1 Produksi Pangan &amp; Penduduk'!$D$5:$M$860,10,0))</f>
        <v/>
      </c>
      <c r="M732" s="28" t="str">
        <f t="shared" si="115"/>
        <v/>
      </c>
      <c r="N732" s="60" t="str">
        <f t="shared" si="116"/>
        <v/>
      </c>
      <c r="O732" s="60" t="str">
        <f t="shared" si="117"/>
        <v/>
      </c>
      <c r="P732" s="60" t="str">
        <f t="shared" si="118"/>
        <v/>
      </c>
      <c r="Q732" s="28" t="str">
        <f t="shared" si="119"/>
        <v/>
      </c>
    </row>
    <row r="733" spans="1:17" ht="15" x14ac:dyDescent="0.25">
      <c r="A733" s="3" t="str">
        <f>IF('[1]0.1 Produksi Pangan &amp; Penduduk'!A734="","",'[1]0.1 Produksi Pangan &amp; Penduduk'!A734)</f>
        <v/>
      </c>
      <c r="B733" s="2" t="str">
        <f>IF('[1]0.1 Produksi Pangan &amp; Penduduk'!B734="","",'[1]0.1 Produksi Pangan &amp; Penduduk'!B734)</f>
        <v/>
      </c>
      <c r="C733" s="2" t="str">
        <f>IF('[1]0.1 Produksi Pangan &amp; Penduduk'!F734="","",'[1]0.1 Produksi Pangan &amp; Penduduk'!F734)</f>
        <v/>
      </c>
      <c r="D733" s="3" t="str">
        <f>IF('[1]0.1 Produksi Pangan &amp; Penduduk'!D734="","",'[1]0.1 Produksi Pangan &amp; Penduduk'!D734)</f>
        <v/>
      </c>
      <c r="E733" s="3" t="str">
        <f>IF('[1]0.1 Produksi Pangan &amp; Penduduk'!E734="","",'[1]0.1 Produksi Pangan &amp; Penduduk'!E734)</f>
        <v/>
      </c>
      <c r="F733" s="59" t="str">
        <f>IF(D733="","",VLOOKUP(D733,'[1]0.1 Produksi Pangan &amp; Penduduk'!$D$5:$J$860,7,0))</f>
        <v/>
      </c>
      <c r="G733" s="27" t="str">
        <f t="shared" si="110"/>
        <v/>
      </c>
      <c r="H733" s="27" t="str">
        <f t="shared" si="111"/>
        <v/>
      </c>
      <c r="I733" s="27" t="str">
        <f t="shared" si="112"/>
        <v/>
      </c>
      <c r="J733" s="27" t="str">
        <f t="shared" si="113"/>
        <v/>
      </c>
      <c r="K733" s="27" t="str">
        <f t="shared" si="114"/>
        <v/>
      </c>
      <c r="L733" s="59" t="str">
        <f>IF(D733="","",VLOOKUP(D733,'[1]0.1 Produksi Pangan &amp; Penduduk'!$D$5:$M$860,10,0))</f>
        <v/>
      </c>
      <c r="M733" s="28" t="str">
        <f t="shared" si="115"/>
        <v/>
      </c>
      <c r="N733" s="60" t="str">
        <f t="shared" si="116"/>
        <v/>
      </c>
      <c r="O733" s="60" t="str">
        <f t="shared" si="117"/>
        <v/>
      </c>
      <c r="P733" s="60" t="str">
        <f t="shared" si="118"/>
        <v/>
      </c>
      <c r="Q733" s="28" t="str">
        <f t="shared" si="119"/>
        <v/>
      </c>
    </row>
    <row r="734" spans="1:17" ht="15" x14ac:dyDescent="0.25">
      <c r="A734" s="3" t="str">
        <f>IF('[1]0.1 Produksi Pangan &amp; Penduduk'!A735="","",'[1]0.1 Produksi Pangan &amp; Penduduk'!A735)</f>
        <v/>
      </c>
      <c r="B734" s="2" t="str">
        <f>IF('[1]0.1 Produksi Pangan &amp; Penduduk'!B735="","",'[1]0.1 Produksi Pangan &amp; Penduduk'!B735)</f>
        <v/>
      </c>
      <c r="C734" s="2" t="str">
        <f>IF('[1]0.1 Produksi Pangan &amp; Penduduk'!F735="","",'[1]0.1 Produksi Pangan &amp; Penduduk'!F735)</f>
        <v/>
      </c>
      <c r="D734" s="3" t="str">
        <f>IF('[1]0.1 Produksi Pangan &amp; Penduduk'!D735="","",'[1]0.1 Produksi Pangan &amp; Penduduk'!D735)</f>
        <v/>
      </c>
      <c r="E734" s="3" t="str">
        <f>IF('[1]0.1 Produksi Pangan &amp; Penduduk'!E735="","",'[1]0.1 Produksi Pangan &amp; Penduduk'!E735)</f>
        <v/>
      </c>
      <c r="F734" s="59" t="str">
        <f>IF(D734="","",VLOOKUP(D734,'[1]0.1 Produksi Pangan &amp; Penduduk'!$D$5:$J$860,7,0))</f>
        <v/>
      </c>
      <c r="G734" s="27" t="str">
        <f t="shared" si="110"/>
        <v/>
      </c>
      <c r="H734" s="27" t="str">
        <f t="shared" si="111"/>
        <v/>
      </c>
      <c r="I734" s="27" t="str">
        <f t="shared" si="112"/>
        <v/>
      </c>
      <c r="J734" s="27" t="str">
        <f t="shared" si="113"/>
        <v/>
      </c>
      <c r="K734" s="27" t="str">
        <f t="shared" si="114"/>
        <v/>
      </c>
      <c r="L734" s="59" t="str">
        <f>IF(D734="","",VLOOKUP(D734,'[1]0.1 Produksi Pangan &amp; Penduduk'!$D$5:$M$860,10,0))</f>
        <v/>
      </c>
      <c r="M734" s="28" t="str">
        <f t="shared" si="115"/>
        <v/>
      </c>
      <c r="N734" s="60" t="str">
        <f t="shared" si="116"/>
        <v/>
      </c>
      <c r="O734" s="60" t="str">
        <f t="shared" si="117"/>
        <v/>
      </c>
      <c r="P734" s="60" t="str">
        <f t="shared" si="118"/>
        <v/>
      </c>
      <c r="Q734" s="28" t="str">
        <f t="shared" si="119"/>
        <v/>
      </c>
    </row>
    <row r="735" spans="1:17" ht="15" x14ac:dyDescent="0.25">
      <c r="A735" s="3" t="str">
        <f>IF('[1]0.1 Produksi Pangan &amp; Penduduk'!A736="","",'[1]0.1 Produksi Pangan &amp; Penduduk'!A736)</f>
        <v/>
      </c>
      <c r="B735" s="2" t="str">
        <f>IF('[1]0.1 Produksi Pangan &amp; Penduduk'!B736="","",'[1]0.1 Produksi Pangan &amp; Penduduk'!B736)</f>
        <v/>
      </c>
      <c r="C735" s="2" t="str">
        <f>IF('[1]0.1 Produksi Pangan &amp; Penduduk'!F736="","",'[1]0.1 Produksi Pangan &amp; Penduduk'!F736)</f>
        <v/>
      </c>
      <c r="D735" s="3" t="str">
        <f>IF('[1]0.1 Produksi Pangan &amp; Penduduk'!D736="","",'[1]0.1 Produksi Pangan &amp; Penduduk'!D736)</f>
        <v/>
      </c>
      <c r="E735" s="3" t="str">
        <f>IF('[1]0.1 Produksi Pangan &amp; Penduduk'!E736="","",'[1]0.1 Produksi Pangan &amp; Penduduk'!E736)</f>
        <v/>
      </c>
      <c r="F735" s="59" t="str">
        <f>IF(D735="","",VLOOKUP(D735,'[1]0.1 Produksi Pangan &amp; Penduduk'!$D$5:$J$860,7,0))</f>
        <v/>
      </c>
      <c r="G735" s="27" t="str">
        <f t="shared" si="110"/>
        <v/>
      </c>
      <c r="H735" s="27" t="str">
        <f t="shared" si="111"/>
        <v/>
      </c>
      <c r="I735" s="27" t="str">
        <f t="shared" si="112"/>
        <v/>
      </c>
      <c r="J735" s="27" t="str">
        <f t="shared" si="113"/>
        <v/>
      </c>
      <c r="K735" s="27" t="str">
        <f t="shared" si="114"/>
        <v/>
      </c>
      <c r="L735" s="59" t="str">
        <f>IF(D735="","",VLOOKUP(D735,'[1]0.1 Produksi Pangan &amp; Penduduk'!$D$5:$M$860,10,0))</f>
        <v/>
      </c>
      <c r="M735" s="28" t="str">
        <f t="shared" si="115"/>
        <v/>
      </c>
      <c r="N735" s="60" t="str">
        <f t="shared" si="116"/>
        <v/>
      </c>
      <c r="O735" s="60" t="str">
        <f t="shared" si="117"/>
        <v/>
      </c>
      <c r="P735" s="60" t="str">
        <f t="shared" si="118"/>
        <v/>
      </c>
      <c r="Q735" s="28" t="str">
        <f t="shared" si="119"/>
        <v/>
      </c>
    </row>
    <row r="736" spans="1:17" ht="15" x14ac:dyDescent="0.25">
      <c r="A736" s="3" t="str">
        <f>IF('[1]0.1 Produksi Pangan &amp; Penduduk'!A737="","",'[1]0.1 Produksi Pangan &amp; Penduduk'!A737)</f>
        <v/>
      </c>
      <c r="B736" s="2" t="str">
        <f>IF('[1]0.1 Produksi Pangan &amp; Penduduk'!B737="","",'[1]0.1 Produksi Pangan &amp; Penduduk'!B737)</f>
        <v/>
      </c>
      <c r="C736" s="2" t="str">
        <f>IF('[1]0.1 Produksi Pangan &amp; Penduduk'!F737="","",'[1]0.1 Produksi Pangan &amp; Penduduk'!F737)</f>
        <v/>
      </c>
      <c r="D736" s="3" t="str">
        <f>IF('[1]0.1 Produksi Pangan &amp; Penduduk'!D737="","",'[1]0.1 Produksi Pangan &amp; Penduduk'!D737)</f>
        <v/>
      </c>
      <c r="E736" s="3" t="str">
        <f>IF('[1]0.1 Produksi Pangan &amp; Penduduk'!E737="","",'[1]0.1 Produksi Pangan &amp; Penduduk'!E737)</f>
        <v/>
      </c>
      <c r="F736" s="59" t="str">
        <f>IF(D736="","",VLOOKUP(D736,'[1]0.1 Produksi Pangan &amp; Penduduk'!$D$5:$J$860,7,0))</f>
        <v/>
      </c>
      <c r="G736" s="27" t="str">
        <f t="shared" si="110"/>
        <v/>
      </c>
      <c r="H736" s="27" t="str">
        <f t="shared" si="111"/>
        <v/>
      </c>
      <c r="I736" s="27" t="str">
        <f t="shared" si="112"/>
        <v/>
      </c>
      <c r="J736" s="27" t="str">
        <f t="shared" si="113"/>
        <v/>
      </c>
      <c r="K736" s="27" t="str">
        <f t="shared" si="114"/>
        <v/>
      </c>
      <c r="L736" s="59" t="str">
        <f>IF(D736="","",VLOOKUP(D736,'[1]0.1 Produksi Pangan &amp; Penduduk'!$D$5:$M$860,10,0))</f>
        <v/>
      </c>
      <c r="M736" s="28" t="str">
        <f t="shared" si="115"/>
        <v/>
      </c>
      <c r="N736" s="60" t="str">
        <f t="shared" si="116"/>
        <v/>
      </c>
      <c r="O736" s="60" t="str">
        <f t="shared" si="117"/>
        <v/>
      </c>
      <c r="P736" s="60" t="str">
        <f t="shared" si="118"/>
        <v/>
      </c>
      <c r="Q736" s="28" t="str">
        <f t="shared" si="119"/>
        <v/>
      </c>
    </row>
    <row r="737" spans="1:17" ht="15" x14ac:dyDescent="0.25">
      <c r="A737" s="3" t="str">
        <f>IF('[1]0.1 Produksi Pangan &amp; Penduduk'!A738="","",'[1]0.1 Produksi Pangan &amp; Penduduk'!A738)</f>
        <v/>
      </c>
      <c r="B737" s="2" t="str">
        <f>IF('[1]0.1 Produksi Pangan &amp; Penduduk'!B738="","",'[1]0.1 Produksi Pangan &amp; Penduduk'!B738)</f>
        <v/>
      </c>
      <c r="C737" s="2" t="str">
        <f>IF('[1]0.1 Produksi Pangan &amp; Penduduk'!F738="","",'[1]0.1 Produksi Pangan &amp; Penduduk'!F738)</f>
        <v/>
      </c>
      <c r="D737" s="3" t="str">
        <f>IF('[1]0.1 Produksi Pangan &amp; Penduduk'!D738="","",'[1]0.1 Produksi Pangan &amp; Penduduk'!D738)</f>
        <v/>
      </c>
      <c r="E737" s="3" t="str">
        <f>IF('[1]0.1 Produksi Pangan &amp; Penduduk'!E738="","",'[1]0.1 Produksi Pangan &amp; Penduduk'!E738)</f>
        <v/>
      </c>
      <c r="F737" s="59" t="str">
        <f>IF(D737="","",VLOOKUP(D737,'[1]0.1 Produksi Pangan &amp; Penduduk'!$D$5:$J$860,7,0))</f>
        <v/>
      </c>
      <c r="G737" s="27" t="str">
        <f t="shared" si="110"/>
        <v/>
      </c>
      <c r="H737" s="27" t="str">
        <f t="shared" si="111"/>
        <v/>
      </c>
      <c r="I737" s="27" t="str">
        <f t="shared" si="112"/>
        <v/>
      </c>
      <c r="J737" s="27" t="str">
        <f t="shared" si="113"/>
        <v/>
      </c>
      <c r="K737" s="27" t="str">
        <f t="shared" si="114"/>
        <v/>
      </c>
      <c r="L737" s="59" t="str">
        <f>IF(D737="","",VLOOKUP(D737,'[1]0.1 Produksi Pangan &amp; Penduduk'!$D$5:$M$860,10,0))</f>
        <v/>
      </c>
      <c r="M737" s="28" t="str">
        <f t="shared" si="115"/>
        <v/>
      </c>
      <c r="N737" s="60" t="str">
        <f t="shared" si="116"/>
        <v/>
      </c>
      <c r="O737" s="60" t="str">
        <f t="shared" si="117"/>
        <v/>
      </c>
      <c r="P737" s="60" t="str">
        <f t="shared" si="118"/>
        <v/>
      </c>
      <c r="Q737" s="28" t="str">
        <f t="shared" si="119"/>
        <v/>
      </c>
    </row>
    <row r="738" spans="1:17" ht="15" x14ac:dyDescent="0.25">
      <c r="A738" s="3" t="str">
        <f>IF('[1]0.1 Produksi Pangan &amp; Penduduk'!A739="","",'[1]0.1 Produksi Pangan &amp; Penduduk'!A739)</f>
        <v/>
      </c>
      <c r="B738" s="2" t="str">
        <f>IF('[1]0.1 Produksi Pangan &amp; Penduduk'!B739="","",'[1]0.1 Produksi Pangan &amp; Penduduk'!B739)</f>
        <v/>
      </c>
      <c r="C738" s="2" t="str">
        <f>IF('[1]0.1 Produksi Pangan &amp; Penduduk'!F739="","",'[1]0.1 Produksi Pangan &amp; Penduduk'!F739)</f>
        <v/>
      </c>
      <c r="D738" s="3" t="str">
        <f>IF('[1]0.1 Produksi Pangan &amp; Penduduk'!D739="","",'[1]0.1 Produksi Pangan &amp; Penduduk'!D739)</f>
        <v/>
      </c>
      <c r="E738" s="3" t="str">
        <f>IF('[1]0.1 Produksi Pangan &amp; Penduduk'!E739="","",'[1]0.1 Produksi Pangan &amp; Penduduk'!E739)</f>
        <v/>
      </c>
      <c r="F738" s="59" t="str">
        <f>IF(D738="","",VLOOKUP(D738,'[1]0.1 Produksi Pangan &amp; Penduduk'!$D$5:$J$860,7,0))</f>
        <v/>
      </c>
      <c r="G738" s="27" t="str">
        <f t="shared" si="110"/>
        <v/>
      </c>
      <c r="H738" s="27" t="str">
        <f t="shared" si="111"/>
        <v/>
      </c>
      <c r="I738" s="27" t="str">
        <f t="shared" si="112"/>
        <v/>
      </c>
      <c r="J738" s="27" t="str">
        <f t="shared" si="113"/>
        <v/>
      </c>
      <c r="K738" s="27" t="str">
        <f t="shared" si="114"/>
        <v/>
      </c>
      <c r="L738" s="59" t="str">
        <f>IF(D738="","",VLOOKUP(D738,'[1]0.1 Produksi Pangan &amp; Penduduk'!$D$5:$M$860,10,0))</f>
        <v/>
      </c>
      <c r="M738" s="28" t="str">
        <f t="shared" si="115"/>
        <v/>
      </c>
      <c r="N738" s="60" t="str">
        <f t="shared" si="116"/>
        <v/>
      </c>
      <c r="O738" s="60" t="str">
        <f t="shared" si="117"/>
        <v/>
      </c>
      <c r="P738" s="60" t="str">
        <f t="shared" si="118"/>
        <v/>
      </c>
      <c r="Q738" s="28" t="str">
        <f t="shared" si="119"/>
        <v/>
      </c>
    </row>
    <row r="739" spans="1:17" ht="15" x14ac:dyDescent="0.25">
      <c r="A739" s="3" t="str">
        <f>IF('[1]0.1 Produksi Pangan &amp; Penduduk'!A740="","",'[1]0.1 Produksi Pangan &amp; Penduduk'!A740)</f>
        <v/>
      </c>
      <c r="B739" s="2" t="str">
        <f>IF('[1]0.1 Produksi Pangan &amp; Penduduk'!B740="","",'[1]0.1 Produksi Pangan &amp; Penduduk'!B740)</f>
        <v/>
      </c>
      <c r="C739" s="2" t="str">
        <f>IF('[1]0.1 Produksi Pangan &amp; Penduduk'!F740="","",'[1]0.1 Produksi Pangan &amp; Penduduk'!F740)</f>
        <v/>
      </c>
      <c r="D739" s="3" t="str">
        <f>IF('[1]0.1 Produksi Pangan &amp; Penduduk'!D740="","",'[1]0.1 Produksi Pangan &amp; Penduduk'!D740)</f>
        <v/>
      </c>
      <c r="E739" s="3" t="str">
        <f>IF('[1]0.1 Produksi Pangan &amp; Penduduk'!E740="","",'[1]0.1 Produksi Pangan &amp; Penduduk'!E740)</f>
        <v/>
      </c>
      <c r="F739" s="59" t="str">
        <f>IF(D739="","",VLOOKUP(D739,'[1]0.1 Produksi Pangan &amp; Penduduk'!$D$5:$J$860,7,0))</f>
        <v/>
      </c>
      <c r="G739" s="27" t="str">
        <f t="shared" si="110"/>
        <v/>
      </c>
      <c r="H739" s="27" t="str">
        <f t="shared" si="111"/>
        <v/>
      </c>
      <c r="I739" s="27" t="str">
        <f t="shared" si="112"/>
        <v/>
      </c>
      <c r="J739" s="27" t="str">
        <f t="shared" si="113"/>
        <v/>
      </c>
      <c r="K739" s="27" t="str">
        <f t="shared" si="114"/>
        <v/>
      </c>
      <c r="L739" s="59" t="str">
        <f>IF(D739="","",VLOOKUP(D739,'[1]0.1 Produksi Pangan &amp; Penduduk'!$D$5:$M$860,10,0))</f>
        <v/>
      </c>
      <c r="M739" s="28" t="str">
        <f t="shared" si="115"/>
        <v/>
      </c>
      <c r="N739" s="60" t="str">
        <f t="shared" si="116"/>
        <v/>
      </c>
      <c r="O739" s="60" t="str">
        <f t="shared" si="117"/>
        <v/>
      </c>
      <c r="P739" s="60" t="str">
        <f t="shared" si="118"/>
        <v/>
      </c>
      <c r="Q739" s="28" t="str">
        <f t="shared" si="119"/>
        <v/>
      </c>
    </row>
    <row r="740" spans="1:17" ht="15" x14ac:dyDescent="0.25">
      <c r="A740" s="3" t="str">
        <f>IF('[1]0.1 Produksi Pangan &amp; Penduduk'!A741="","",'[1]0.1 Produksi Pangan &amp; Penduduk'!A741)</f>
        <v/>
      </c>
      <c r="B740" s="2" t="str">
        <f>IF('[1]0.1 Produksi Pangan &amp; Penduduk'!B741="","",'[1]0.1 Produksi Pangan &amp; Penduduk'!B741)</f>
        <v/>
      </c>
      <c r="C740" s="2" t="str">
        <f>IF('[1]0.1 Produksi Pangan &amp; Penduduk'!F741="","",'[1]0.1 Produksi Pangan &amp; Penduduk'!F741)</f>
        <v/>
      </c>
      <c r="D740" s="3" t="str">
        <f>IF('[1]0.1 Produksi Pangan &amp; Penduduk'!D741="","",'[1]0.1 Produksi Pangan &amp; Penduduk'!D741)</f>
        <v/>
      </c>
      <c r="E740" s="3" t="str">
        <f>IF('[1]0.1 Produksi Pangan &amp; Penduduk'!E741="","",'[1]0.1 Produksi Pangan &amp; Penduduk'!E741)</f>
        <v/>
      </c>
      <c r="F740" s="59" t="str">
        <f>IF(D740="","",VLOOKUP(D740,'[1]0.1 Produksi Pangan &amp; Penduduk'!$D$5:$J$860,7,0))</f>
        <v/>
      </c>
      <c r="G740" s="27" t="str">
        <f t="shared" si="110"/>
        <v/>
      </c>
      <c r="H740" s="27" t="str">
        <f t="shared" si="111"/>
        <v/>
      </c>
      <c r="I740" s="27" t="str">
        <f t="shared" si="112"/>
        <v/>
      </c>
      <c r="J740" s="27" t="str">
        <f t="shared" si="113"/>
        <v/>
      </c>
      <c r="K740" s="27" t="str">
        <f t="shared" si="114"/>
        <v/>
      </c>
      <c r="L740" s="59" t="str">
        <f>IF(D740="","",VLOOKUP(D740,'[1]0.1 Produksi Pangan &amp; Penduduk'!$D$5:$M$860,10,0))</f>
        <v/>
      </c>
      <c r="M740" s="28" t="str">
        <f t="shared" si="115"/>
        <v/>
      </c>
      <c r="N740" s="60" t="str">
        <f t="shared" si="116"/>
        <v/>
      </c>
      <c r="O740" s="60" t="str">
        <f t="shared" si="117"/>
        <v/>
      </c>
      <c r="P740" s="60" t="str">
        <f t="shared" si="118"/>
        <v/>
      </c>
      <c r="Q740" s="28" t="str">
        <f t="shared" si="119"/>
        <v/>
      </c>
    </row>
    <row r="741" spans="1:17" ht="15" x14ac:dyDescent="0.25">
      <c r="A741" s="3" t="str">
        <f>IF('[1]0.1 Produksi Pangan &amp; Penduduk'!A742="","",'[1]0.1 Produksi Pangan &amp; Penduduk'!A742)</f>
        <v/>
      </c>
      <c r="B741" s="2" t="str">
        <f>IF('[1]0.1 Produksi Pangan &amp; Penduduk'!B742="","",'[1]0.1 Produksi Pangan &amp; Penduduk'!B742)</f>
        <v/>
      </c>
      <c r="C741" s="2" t="str">
        <f>IF('[1]0.1 Produksi Pangan &amp; Penduduk'!F742="","",'[1]0.1 Produksi Pangan &amp; Penduduk'!F742)</f>
        <v/>
      </c>
      <c r="D741" s="3" t="str">
        <f>IF('[1]0.1 Produksi Pangan &amp; Penduduk'!D742="","",'[1]0.1 Produksi Pangan &amp; Penduduk'!D742)</f>
        <v/>
      </c>
      <c r="E741" s="3" t="str">
        <f>IF('[1]0.1 Produksi Pangan &amp; Penduduk'!E742="","",'[1]0.1 Produksi Pangan &amp; Penduduk'!E742)</f>
        <v/>
      </c>
      <c r="F741" s="59" t="str">
        <f>IF(D741="","",VLOOKUP(D741,'[1]0.1 Produksi Pangan &amp; Penduduk'!$D$5:$J$860,7,0))</f>
        <v/>
      </c>
      <c r="G741" s="27" t="str">
        <f t="shared" si="110"/>
        <v/>
      </c>
      <c r="H741" s="27" t="str">
        <f t="shared" si="111"/>
        <v/>
      </c>
      <c r="I741" s="27" t="str">
        <f t="shared" si="112"/>
        <v/>
      </c>
      <c r="J741" s="27" t="str">
        <f t="shared" si="113"/>
        <v/>
      </c>
      <c r="K741" s="27" t="str">
        <f t="shared" si="114"/>
        <v/>
      </c>
      <c r="L741" s="59" t="str">
        <f>IF(D741="","",VLOOKUP(D741,'[1]0.1 Produksi Pangan &amp; Penduduk'!$D$5:$M$860,10,0))</f>
        <v/>
      </c>
      <c r="M741" s="28" t="str">
        <f t="shared" si="115"/>
        <v/>
      </c>
      <c r="N741" s="60" t="str">
        <f t="shared" si="116"/>
        <v/>
      </c>
      <c r="O741" s="60" t="str">
        <f t="shared" si="117"/>
        <v/>
      </c>
      <c r="P741" s="60" t="str">
        <f t="shared" si="118"/>
        <v/>
      </c>
      <c r="Q741" s="28" t="str">
        <f t="shared" si="119"/>
        <v/>
      </c>
    </row>
    <row r="742" spans="1:17" ht="15" x14ac:dyDescent="0.25">
      <c r="A742" s="3" t="str">
        <f>IF('[1]0.1 Produksi Pangan &amp; Penduduk'!A743="","",'[1]0.1 Produksi Pangan &amp; Penduduk'!A743)</f>
        <v/>
      </c>
      <c r="B742" s="2" t="str">
        <f>IF('[1]0.1 Produksi Pangan &amp; Penduduk'!B743="","",'[1]0.1 Produksi Pangan &amp; Penduduk'!B743)</f>
        <v/>
      </c>
      <c r="C742" s="2" t="str">
        <f>IF('[1]0.1 Produksi Pangan &amp; Penduduk'!F743="","",'[1]0.1 Produksi Pangan &amp; Penduduk'!F743)</f>
        <v/>
      </c>
      <c r="D742" s="3" t="str">
        <f>IF('[1]0.1 Produksi Pangan &amp; Penduduk'!D743="","",'[1]0.1 Produksi Pangan &amp; Penduduk'!D743)</f>
        <v/>
      </c>
      <c r="E742" s="3" t="str">
        <f>IF('[1]0.1 Produksi Pangan &amp; Penduduk'!E743="","",'[1]0.1 Produksi Pangan &amp; Penduduk'!E743)</f>
        <v/>
      </c>
      <c r="F742" s="59" t="str">
        <f>IF(D742="","",VLOOKUP(D742,'[1]0.1 Produksi Pangan &amp; Penduduk'!$D$5:$J$860,7,0))</f>
        <v/>
      </c>
      <c r="G742" s="27" t="str">
        <f t="shared" si="110"/>
        <v/>
      </c>
      <c r="H742" s="27" t="str">
        <f t="shared" si="111"/>
        <v/>
      </c>
      <c r="I742" s="27" t="str">
        <f t="shared" si="112"/>
        <v/>
      </c>
      <c r="J742" s="27" t="str">
        <f t="shared" si="113"/>
        <v/>
      </c>
      <c r="K742" s="27" t="str">
        <f t="shared" si="114"/>
        <v/>
      </c>
      <c r="L742" s="59" t="str">
        <f>IF(D742="","",VLOOKUP(D742,'[1]0.1 Produksi Pangan &amp; Penduduk'!$D$5:$M$860,10,0))</f>
        <v/>
      </c>
      <c r="M742" s="28" t="str">
        <f t="shared" si="115"/>
        <v/>
      </c>
      <c r="N742" s="60" t="str">
        <f t="shared" si="116"/>
        <v/>
      </c>
      <c r="O742" s="60" t="str">
        <f t="shared" si="117"/>
        <v/>
      </c>
      <c r="P742" s="60" t="str">
        <f t="shared" si="118"/>
        <v/>
      </c>
      <c r="Q742" s="28" t="str">
        <f t="shared" si="119"/>
        <v/>
      </c>
    </row>
    <row r="743" spans="1:17" ht="15" x14ac:dyDescent="0.25">
      <c r="A743" s="3" t="str">
        <f>IF('[1]0.1 Produksi Pangan &amp; Penduduk'!A744="","",'[1]0.1 Produksi Pangan &amp; Penduduk'!A744)</f>
        <v/>
      </c>
      <c r="B743" s="2" t="str">
        <f>IF('[1]0.1 Produksi Pangan &amp; Penduduk'!B744="","",'[1]0.1 Produksi Pangan &amp; Penduduk'!B744)</f>
        <v/>
      </c>
      <c r="C743" s="2" t="str">
        <f>IF('[1]0.1 Produksi Pangan &amp; Penduduk'!F744="","",'[1]0.1 Produksi Pangan &amp; Penduduk'!F744)</f>
        <v/>
      </c>
      <c r="D743" s="3" t="str">
        <f>IF('[1]0.1 Produksi Pangan &amp; Penduduk'!D744="","",'[1]0.1 Produksi Pangan &amp; Penduduk'!D744)</f>
        <v/>
      </c>
      <c r="E743" s="3" t="str">
        <f>IF('[1]0.1 Produksi Pangan &amp; Penduduk'!E744="","",'[1]0.1 Produksi Pangan &amp; Penduduk'!E744)</f>
        <v/>
      </c>
      <c r="F743" s="59" t="str">
        <f>IF(D743="","",VLOOKUP(D743,'[1]0.1 Produksi Pangan &amp; Penduduk'!$D$5:$J$860,7,0))</f>
        <v/>
      </c>
      <c r="G743" s="27" t="str">
        <f t="shared" si="110"/>
        <v/>
      </c>
      <c r="H743" s="27" t="str">
        <f t="shared" si="111"/>
        <v/>
      </c>
      <c r="I743" s="27" t="str">
        <f t="shared" si="112"/>
        <v/>
      </c>
      <c r="J743" s="27" t="str">
        <f t="shared" si="113"/>
        <v/>
      </c>
      <c r="K743" s="27" t="str">
        <f t="shared" si="114"/>
        <v/>
      </c>
      <c r="L743" s="59" t="str">
        <f>IF(D743="","",VLOOKUP(D743,'[1]0.1 Produksi Pangan &amp; Penduduk'!$D$5:$M$860,10,0))</f>
        <v/>
      </c>
      <c r="M743" s="28" t="str">
        <f t="shared" si="115"/>
        <v/>
      </c>
      <c r="N743" s="60" t="str">
        <f t="shared" si="116"/>
        <v/>
      </c>
      <c r="O743" s="60" t="str">
        <f t="shared" si="117"/>
        <v/>
      </c>
      <c r="P743" s="60" t="str">
        <f t="shared" si="118"/>
        <v/>
      </c>
      <c r="Q743" s="28" t="str">
        <f t="shared" si="119"/>
        <v/>
      </c>
    </row>
    <row r="744" spans="1:17" ht="15" x14ac:dyDescent="0.25">
      <c r="A744" s="3" t="str">
        <f>IF('[1]0.1 Produksi Pangan &amp; Penduduk'!A745="","",'[1]0.1 Produksi Pangan &amp; Penduduk'!A745)</f>
        <v/>
      </c>
      <c r="B744" s="2" t="str">
        <f>IF('[1]0.1 Produksi Pangan &amp; Penduduk'!B745="","",'[1]0.1 Produksi Pangan &amp; Penduduk'!B745)</f>
        <v/>
      </c>
      <c r="C744" s="2" t="str">
        <f>IF('[1]0.1 Produksi Pangan &amp; Penduduk'!F745="","",'[1]0.1 Produksi Pangan &amp; Penduduk'!F745)</f>
        <v/>
      </c>
      <c r="D744" s="3" t="str">
        <f>IF('[1]0.1 Produksi Pangan &amp; Penduduk'!D745="","",'[1]0.1 Produksi Pangan &amp; Penduduk'!D745)</f>
        <v/>
      </c>
      <c r="E744" s="3" t="str">
        <f>IF('[1]0.1 Produksi Pangan &amp; Penduduk'!E745="","",'[1]0.1 Produksi Pangan &amp; Penduduk'!E745)</f>
        <v/>
      </c>
      <c r="F744" s="59" t="str">
        <f>IF(D744="","",VLOOKUP(D744,'[1]0.1 Produksi Pangan &amp; Penduduk'!$D$5:$J$860,7,0))</f>
        <v/>
      </c>
      <c r="G744" s="27" t="str">
        <f t="shared" si="110"/>
        <v/>
      </c>
      <c r="H744" s="27" t="str">
        <f t="shared" si="111"/>
        <v/>
      </c>
      <c r="I744" s="27" t="str">
        <f t="shared" si="112"/>
        <v/>
      </c>
      <c r="J744" s="27" t="str">
        <f t="shared" si="113"/>
        <v/>
      </c>
      <c r="K744" s="27" t="str">
        <f t="shared" si="114"/>
        <v/>
      </c>
      <c r="L744" s="59" t="str">
        <f>IF(D744="","",VLOOKUP(D744,'[1]0.1 Produksi Pangan &amp; Penduduk'!$D$5:$M$860,10,0))</f>
        <v/>
      </c>
      <c r="M744" s="28" t="str">
        <f t="shared" si="115"/>
        <v/>
      </c>
      <c r="N744" s="60" t="str">
        <f t="shared" si="116"/>
        <v/>
      </c>
      <c r="O744" s="60" t="str">
        <f t="shared" si="117"/>
        <v/>
      </c>
      <c r="P744" s="60" t="str">
        <f t="shared" si="118"/>
        <v/>
      </c>
      <c r="Q744" s="28" t="str">
        <f t="shared" si="119"/>
        <v/>
      </c>
    </row>
    <row r="745" spans="1:17" ht="15" x14ac:dyDescent="0.25">
      <c r="A745" s="3" t="str">
        <f>IF('[1]0.1 Produksi Pangan &amp; Penduduk'!A746="","",'[1]0.1 Produksi Pangan &amp; Penduduk'!A746)</f>
        <v/>
      </c>
      <c r="B745" s="2" t="str">
        <f>IF('[1]0.1 Produksi Pangan &amp; Penduduk'!B746="","",'[1]0.1 Produksi Pangan &amp; Penduduk'!B746)</f>
        <v/>
      </c>
      <c r="C745" s="2" t="str">
        <f>IF('[1]0.1 Produksi Pangan &amp; Penduduk'!F746="","",'[1]0.1 Produksi Pangan &amp; Penduduk'!F746)</f>
        <v/>
      </c>
      <c r="D745" s="3" t="str">
        <f>IF('[1]0.1 Produksi Pangan &amp; Penduduk'!D746="","",'[1]0.1 Produksi Pangan &amp; Penduduk'!D746)</f>
        <v/>
      </c>
      <c r="E745" s="3" t="str">
        <f>IF('[1]0.1 Produksi Pangan &amp; Penduduk'!E746="","",'[1]0.1 Produksi Pangan &amp; Penduduk'!E746)</f>
        <v/>
      </c>
      <c r="F745" s="59" t="str">
        <f>IF(D745="","",VLOOKUP(D745,'[1]0.1 Produksi Pangan &amp; Penduduk'!$D$5:$J$860,7,0))</f>
        <v/>
      </c>
      <c r="G745" s="27" t="str">
        <f t="shared" si="110"/>
        <v/>
      </c>
      <c r="H745" s="27" t="str">
        <f t="shared" si="111"/>
        <v/>
      </c>
      <c r="I745" s="27" t="str">
        <f t="shared" si="112"/>
        <v/>
      </c>
      <c r="J745" s="27" t="str">
        <f t="shared" si="113"/>
        <v/>
      </c>
      <c r="K745" s="27" t="str">
        <f t="shared" si="114"/>
        <v/>
      </c>
      <c r="L745" s="59" t="str">
        <f>IF(D745="","",VLOOKUP(D745,'[1]0.1 Produksi Pangan &amp; Penduduk'!$D$5:$M$860,10,0))</f>
        <v/>
      </c>
      <c r="M745" s="28" t="str">
        <f t="shared" si="115"/>
        <v/>
      </c>
      <c r="N745" s="60" t="str">
        <f t="shared" si="116"/>
        <v/>
      </c>
      <c r="O745" s="60" t="str">
        <f t="shared" si="117"/>
        <v/>
      </c>
      <c r="P745" s="60" t="str">
        <f t="shared" si="118"/>
        <v/>
      </c>
      <c r="Q745" s="28" t="str">
        <f t="shared" si="119"/>
        <v/>
      </c>
    </row>
    <row r="746" spans="1:17" ht="15" x14ac:dyDescent="0.25">
      <c r="A746" s="3" t="str">
        <f>IF('[1]0.1 Produksi Pangan &amp; Penduduk'!A747="","",'[1]0.1 Produksi Pangan &amp; Penduduk'!A747)</f>
        <v/>
      </c>
      <c r="B746" s="2" t="str">
        <f>IF('[1]0.1 Produksi Pangan &amp; Penduduk'!B747="","",'[1]0.1 Produksi Pangan &amp; Penduduk'!B747)</f>
        <v/>
      </c>
      <c r="C746" s="2" t="str">
        <f>IF('[1]0.1 Produksi Pangan &amp; Penduduk'!F747="","",'[1]0.1 Produksi Pangan &amp; Penduduk'!F747)</f>
        <v/>
      </c>
      <c r="D746" s="3" t="str">
        <f>IF('[1]0.1 Produksi Pangan &amp; Penduduk'!D747="","",'[1]0.1 Produksi Pangan &amp; Penduduk'!D747)</f>
        <v/>
      </c>
      <c r="E746" s="3" t="str">
        <f>IF('[1]0.1 Produksi Pangan &amp; Penduduk'!E747="","",'[1]0.1 Produksi Pangan &amp; Penduduk'!E747)</f>
        <v/>
      </c>
      <c r="F746" s="59" t="str">
        <f>IF(D746="","",VLOOKUP(D746,'[1]0.1 Produksi Pangan &amp; Penduduk'!$D$5:$J$860,7,0))</f>
        <v/>
      </c>
      <c r="G746" s="27" t="str">
        <f t="shared" si="110"/>
        <v/>
      </c>
      <c r="H746" s="27" t="str">
        <f t="shared" si="111"/>
        <v/>
      </c>
      <c r="I746" s="27" t="str">
        <f t="shared" si="112"/>
        <v/>
      </c>
      <c r="J746" s="27" t="str">
        <f t="shared" si="113"/>
        <v/>
      </c>
      <c r="K746" s="27" t="str">
        <f t="shared" si="114"/>
        <v/>
      </c>
      <c r="L746" s="59" t="str">
        <f>IF(D746="","",VLOOKUP(D746,'[1]0.1 Produksi Pangan &amp; Penduduk'!$D$5:$M$860,10,0))</f>
        <v/>
      </c>
      <c r="M746" s="28" t="str">
        <f t="shared" si="115"/>
        <v/>
      </c>
      <c r="N746" s="60" t="str">
        <f t="shared" si="116"/>
        <v/>
      </c>
      <c r="O746" s="60" t="str">
        <f t="shared" si="117"/>
        <v/>
      </c>
      <c r="P746" s="60" t="str">
        <f t="shared" si="118"/>
        <v/>
      </c>
      <c r="Q746" s="28" t="str">
        <f t="shared" si="119"/>
        <v/>
      </c>
    </row>
    <row r="747" spans="1:17" ht="15" x14ac:dyDescent="0.25">
      <c r="A747" s="3" t="str">
        <f>IF('[1]0.1 Produksi Pangan &amp; Penduduk'!A748="","",'[1]0.1 Produksi Pangan &amp; Penduduk'!A748)</f>
        <v/>
      </c>
      <c r="B747" s="2" t="str">
        <f>IF('[1]0.1 Produksi Pangan &amp; Penduduk'!B748="","",'[1]0.1 Produksi Pangan &amp; Penduduk'!B748)</f>
        <v/>
      </c>
      <c r="C747" s="2" t="str">
        <f>IF('[1]0.1 Produksi Pangan &amp; Penduduk'!F748="","",'[1]0.1 Produksi Pangan &amp; Penduduk'!F748)</f>
        <v/>
      </c>
      <c r="D747" s="3" t="str">
        <f>IF('[1]0.1 Produksi Pangan &amp; Penduduk'!D748="","",'[1]0.1 Produksi Pangan &amp; Penduduk'!D748)</f>
        <v/>
      </c>
      <c r="E747" s="3" t="str">
        <f>IF('[1]0.1 Produksi Pangan &amp; Penduduk'!E748="","",'[1]0.1 Produksi Pangan &amp; Penduduk'!E748)</f>
        <v/>
      </c>
      <c r="F747" s="59" t="str">
        <f>IF(D747="","",VLOOKUP(D747,'[1]0.1 Produksi Pangan &amp; Penduduk'!$D$5:$J$860,7,0))</f>
        <v/>
      </c>
      <c r="G747" s="27" t="str">
        <f t="shared" si="110"/>
        <v/>
      </c>
      <c r="H747" s="27" t="str">
        <f t="shared" si="111"/>
        <v/>
      </c>
      <c r="I747" s="27" t="str">
        <f t="shared" si="112"/>
        <v/>
      </c>
      <c r="J747" s="27" t="str">
        <f t="shared" si="113"/>
        <v/>
      </c>
      <c r="K747" s="27" t="str">
        <f t="shared" si="114"/>
        <v/>
      </c>
      <c r="L747" s="59" t="str">
        <f>IF(D747="","",VLOOKUP(D747,'[1]0.1 Produksi Pangan &amp; Penduduk'!$D$5:$M$860,10,0))</f>
        <v/>
      </c>
      <c r="M747" s="28" t="str">
        <f t="shared" si="115"/>
        <v/>
      </c>
      <c r="N747" s="60" t="str">
        <f t="shared" si="116"/>
        <v/>
      </c>
      <c r="O747" s="60" t="str">
        <f t="shared" si="117"/>
        <v/>
      </c>
      <c r="P747" s="60" t="str">
        <f t="shared" si="118"/>
        <v/>
      </c>
      <c r="Q747" s="28" t="str">
        <f t="shared" si="119"/>
        <v/>
      </c>
    </row>
    <row r="748" spans="1:17" ht="15" x14ac:dyDescent="0.25">
      <c r="A748" s="3" t="str">
        <f>IF('[1]0.1 Produksi Pangan &amp; Penduduk'!A749="","",'[1]0.1 Produksi Pangan &amp; Penduduk'!A749)</f>
        <v/>
      </c>
      <c r="B748" s="2" t="str">
        <f>IF('[1]0.1 Produksi Pangan &amp; Penduduk'!B749="","",'[1]0.1 Produksi Pangan &amp; Penduduk'!B749)</f>
        <v/>
      </c>
      <c r="C748" s="2" t="str">
        <f>IF('[1]0.1 Produksi Pangan &amp; Penduduk'!F749="","",'[1]0.1 Produksi Pangan &amp; Penduduk'!F749)</f>
        <v/>
      </c>
      <c r="D748" s="3" t="str">
        <f>IF('[1]0.1 Produksi Pangan &amp; Penduduk'!D749="","",'[1]0.1 Produksi Pangan &amp; Penduduk'!D749)</f>
        <v/>
      </c>
      <c r="E748" s="3" t="str">
        <f>IF('[1]0.1 Produksi Pangan &amp; Penduduk'!E749="","",'[1]0.1 Produksi Pangan &amp; Penduduk'!E749)</f>
        <v/>
      </c>
      <c r="F748" s="59" t="str">
        <f>IF(D748="","",VLOOKUP(D748,'[1]0.1 Produksi Pangan &amp; Penduduk'!$D$5:$J$860,7,0))</f>
        <v/>
      </c>
      <c r="G748" s="27" t="str">
        <f t="shared" si="110"/>
        <v/>
      </c>
      <c r="H748" s="27" t="str">
        <f t="shared" si="111"/>
        <v/>
      </c>
      <c r="I748" s="27" t="str">
        <f t="shared" si="112"/>
        <v/>
      </c>
      <c r="J748" s="27" t="str">
        <f t="shared" si="113"/>
        <v/>
      </c>
      <c r="K748" s="27" t="str">
        <f t="shared" si="114"/>
        <v/>
      </c>
      <c r="L748" s="59" t="str">
        <f>IF(D748="","",VLOOKUP(D748,'[1]0.1 Produksi Pangan &amp; Penduduk'!$D$5:$M$860,10,0))</f>
        <v/>
      </c>
      <c r="M748" s="28" t="str">
        <f t="shared" si="115"/>
        <v/>
      </c>
      <c r="N748" s="60" t="str">
        <f t="shared" si="116"/>
        <v/>
      </c>
      <c r="O748" s="60" t="str">
        <f t="shared" si="117"/>
        <v/>
      </c>
      <c r="P748" s="60" t="str">
        <f t="shared" si="118"/>
        <v/>
      </c>
      <c r="Q748" s="28" t="str">
        <f t="shared" si="119"/>
        <v/>
      </c>
    </row>
    <row r="749" spans="1:17" ht="15" x14ac:dyDescent="0.25">
      <c r="A749" s="3" t="str">
        <f>IF('[1]0.1 Produksi Pangan &amp; Penduduk'!A750="","",'[1]0.1 Produksi Pangan &amp; Penduduk'!A750)</f>
        <v/>
      </c>
      <c r="B749" s="2" t="str">
        <f>IF('[1]0.1 Produksi Pangan &amp; Penduduk'!B750="","",'[1]0.1 Produksi Pangan &amp; Penduduk'!B750)</f>
        <v/>
      </c>
      <c r="C749" s="2" t="str">
        <f>IF('[1]0.1 Produksi Pangan &amp; Penduduk'!F750="","",'[1]0.1 Produksi Pangan &amp; Penduduk'!F750)</f>
        <v/>
      </c>
      <c r="D749" s="3" t="str">
        <f>IF('[1]0.1 Produksi Pangan &amp; Penduduk'!D750="","",'[1]0.1 Produksi Pangan &amp; Penduduk'!D750)</f>
        <v/>
      </c>
      <c r="E749" s="3" t="str">
        <f>IF('[1]0.1 Produksi Pangan &amp; Penduduk'!E750="","",'[1]0.1 Produksi Pangan &amp; Penduduk'!E750)</f>
        <v/>
      </c>
      <c r="F749" s="59" t="str">
        <f>IF(D749="","",VLOOKUP(D749,'[1]0.1 Produksi Pangan &amp; Penduduk'!$D$5:$J$860,7,0))</f>
        <v/>
      </c>
      <c r="G749" s="27" t="str">
        <f t="shared" si="110"/>
        <v/>
      </c>
      <c r="H749" s="27" t="str">
        <f t="shared" si="111"/>
        <v/>
      </c>
      <c r="I749" s="27" t="str">
        <f t="shared" si="112"/>
        <v/>
      </c>
      <c r="J749" s="27" t="str">
        <f t="shared" si="113"/>
        <v/>
      </c>
      <c r="K749" s="27" t="str">
        <f t="shared" si="114"/>
        <v/>
      </c>
      <c r="L749" s="59" t="str">
        <f>IF(D749="","",VLOOKUP(D749,'[1]0.1 Produksi Pangan &amp; Penduduk'!$D$5:$M$860,10,0))</f>
        <v/>
      </c>
      <c r="M749" s="28" t="str">
        <f t="shared" si="115"/>
        <v/>
      </c>
      <c r="N749" s="60" t="str">
        <f t="shared" si="116"/>
        <v/>
      </c>
      <c r="O749" s="60" t="str">
        <f t="shared" si="117"/>
        <v/>
      </c>
      <c r="P749" s="60" t="str">
        <f t="shared" si="118"/>
        <v/>
      </c>
      <c r="Q749" s="28" t="str">
        <f t="shared" si="119"/>
        <v/>
      </c>
    </row>
    <row r="750" spans="1:17" ht="15" x14ac:dyDescent="0.25">
      <c r="A750" s="3" t="str">
        <f>IF('[1]0.1 Produksi Pangan &amp; Penduduk'!A751="","",'[1]0.1 Produksi Pangan &amp; Penduduk'!A751)</f>
        <v/>
      </c>
      <c r="B750" s="2" t="str">
        <f>IF('[1]0.1 Produksi Pangan &amp; Penduduk'!B751="","",'[1]0.1 Produksi Pangan &amp; Penduduk'!B751)</f>
        <v/>
      </c>
      <c r="C750" s="2" t="str">
        <f>IF('[1]0.1 Produksi Pangan &amp; Penduduk'!F751="","",'[1]0.1 Produksi Pangan &amp; Penduduk'!F751)</f>
        <v/>
      </c>
      <c r="D750" s="3" t="str">
        <f>IF('[1]0.1 Produksi Pangan &amp; Penduduk'!D751="","",'[1]0.1 Produksi Pangan &amp; Penduduk'!D751)</f>
        <v/>
      </c>
      <c r="E750" s="3" t="str">
        <f>IF('[1]0.1 Produksi Pangan &amp; Penduduk'!E751="","",'[1]0.1 Produksi Pangan &amp; Penduduk'!E751)</f>
        <v/>
      </c>
      <c r="F750" s="59" t="str">
        <f>IF(D750="","",VLOOKUP(D750,'[1]0.1 Produksi Pangan &amp; Penduduk'!$D$5:$J$860,7,0))</f>
        <v/>
      </c>
      <c r="G750" s="27" t="str">
        <f t="shared" si="110"/>
        <v/>
      </c>
      <c r="H750" s="27" t="str">
        <f t="shared" si="111"/>
        <v/>
      </c>
      <c r="I750" s="27" t="str">
        <f t="shared" si="112"/>
        <v/>
      </c>
      <c r="J750" s="27" t="str">
        <f t="shared" si="113"/>
        <v/>
      </c>
      <c r="K750" s="27" t="str">
        <f t="shared" si="114"/>
        <v/>
      </c>
      <c r="L750" s="59" t="str">
        <f>IF(D750="","",VLOOKUP(D750,'[1]0.1 Produksi Pangan &amp; Penduduk'!$D$5:$M$860,10,0))</f>
        <v/>
      </c>
      <c r="M750" s="28" t="str">
        <f t="shared" si="115"/>
        <v/>
      </c>
      <c r="N750" s="60" t="str">
        <f t="shared" si="116"/>
        <v/>
      </c>
      <c r="O750" s="60" t="str">
        <f t="shared" si="117"/>
        <v/>
      </c>
      <c r="P750" s="60" t="str">
        <f t="shared" si="118"/>
        <v/>
      </c>
      <c r="Q750" s="28" t="str">
        <f t="shared" si="119"/>
        <v/>
      </c>
    </row>
    <row r="751" spans="1:17" ht="15" x14ac:dyDescent="0.25">
      <c r="A751" s="3" t="str">
        <f>IF('[1]0.1 Produksi Pangan &amp; Penduduk'!A752="","",'[1]0.1 Produksi Pangan &amp; Penduduk'!A752)</f>
        <v/>
      </c>
      <c r="B751" s="2" t="str">
        <f>IF('[1]0.1 Produksi Pangan &amp; Penduduk'!B752="","",'[1]0.1 Produksi Pangan &amp; Penduduk'!B752)</f>
        <v/>
      </c>
      <c r="C751" s="2" t="str">
        <f>IF('[1]0.1 Produksi Pangan &amp; Penduduk'!F752="","",'[1]0.1 Produksi Pangan &amp; Penduduk'!F752)</f>
        <v/>
      </c>
      <c r="D751" s="3" t="str">
        <f>IF('[1]0.1 Produksi Pangan &amp; Penduduk'!D752="","",'[1]0.1 Produksi Pangan &amp; Penduduk'!D752)</f>
        <v/>
      </c>
      <c r="E751" s="3" t="str">
        <f>IF('[1]0.1 Produksi Pangan &amp; Penduduk'!E752="","",'[1]0.1 Produksi Pangan &amp; Penduduk'!E752)</f>
        <v/>
      </c>
      <c r="F751" s="59" t="str">
        <f>IF(D751="","",VLOOKUP(D751,'[1]0.1 Produksi Pangan &amp; Penduduk'!$D$5:$J$860,7,0))</f>
        <v/>
      </c>
      <c r="G751" s="27" t="str">
        <f t="shared" si="110"/>
        <v/>
      </c>
      <c r="H751" s="27" t="str">
        <f t="shared" si="111"/>
        <v/>
      </c>
      <c r="I751" s="27" t="str">
        <f t="shared" si="112"/>
        <v/>
      </c>
      <c r="J751" s="27" t="str">
        <f t="shared" si="113"/>
        <v/>
      </c>
      <c r="K751" s="27" t="str">
        <f t="shared" si="114"/>
        <v/>
      </c>
      <c r="L751" s="59" t="str">
        <f>IF(D751="","",VLOOKUP(D751,'[1]0.1 Produksi Pangan &amp; Penduduk'!$D$5:$M$860,10,0))</f>
        <v/>
      </c>
      <c r="M751" s="28" t="str">
        <f t="shared" si="115"/>
        <v/>
      </c>
      <c r="N751" s="60" t="str">
        <f t="shared" si="116"/>
        <v/>
      </c>
      <c r="O751" s="60" t="str">
        <f t="shared" si="117"/>
        <v/>
      </c>
      <c r="P751" s="60" t="str">
        <f t="shared" si="118"/>
        <v/>
      </c>
      <c r="Q751" s="28" t="str">
        <f t="shared" si="119"/>
        <v/>
      </c>
    </row>
    <row r="752" spans="1:17" ht="15" x14ac:dyDescent="0.25">
      <c r="A752" s="3" t="str">
        <f>IF('[1]0.1 Produksi Pangan &amp; Penduduk'!A753="","",'[1]0.1 Produksi Pangan &amp; Penduduk'!A753)</f>
        <v/>
      </c>
      <c r="B752" s="2" t="str">
        <f>IF('[1]0.1 Produksi Pangan &amp; Penduduk'!B753="","",'[1]0.1 Produksi Pangan &amp; Penduduk'!B753)</f>
        <v/>
      </c>
      <c r="C752" s="2" t="str">
        <f>IF('[1]0.1 Produksi Pangan &amp; Penduduk'!F753="","",'[1]0.1 Produksi Pangan &amp; Penduduk'!F753)</f>
        <v/>
      </c>
      <c r="D752" s="3" t="str">
        <f>IF('[1]0.1 Produksi Pangan &amp; Penduduk'!D753="","",'[1]0.1 Produksi Pangan &amp; Penduduk'!D753)</f>
        <v/>
      </c>
      <c r="E752" s="3" t="str">
        <f>IF('[1]0.1 Produksi Pangan &amp; Penduduk'!E753="","",'[1]0.1 Produksi Pangan &amp; Penduduk'!E753)</f>
        <v/>
      </c>
      <c r="F752" s="59" t="str">
        <f>IF(D752="","",VLOOKUP(D752,'[1]0.1 Produksi Pangan &amp; Penduduk'!$D$5:$J$860,7,0))</f>
        <v/>
      </c>
      <c r="G752" s="27" t="str">
        <f t="shared" si="110"/>
        <v/>
      </c>
      <c r="H752" s="27" t="str">
        <f t="shared" si="111"/>
        <v/>
      </c>
      <c r="I752" s="27" t="str">
        <f t="shared" si="112"/>
        <v/>
      </c>
      <c r="J752" s="27" t="str">
        <f t="shared" si="113"/>
        <v/>
      </c>
      <c r="K752" s="27" t="str">
        <f t="shared" si="114"/>
        <v/>
      </c>
      <c r="L752" s="59" t="str">
        <f>IF(D752="","",VLOOKUP(D752,'[1]0.1 Produksi Pangan &amp; Penduduk'!$D$5:$M$860,10,0))</f>
        <v/>
      </c>
      <c r="M752" s="28" t="str">
        <f t="shared" si="115"/>
        <v/>
      </c>
      <c r="N752" s="60" t="str">
        <f t="shared" si="116"/>
        <v/>
      </c>
      <c r="O752" s="60" t="str">
        <f t="shared" si="117"/>
        <v/>
      </c>
      <c r="P752" s="60" t="str">
        <f t="shared" si="118"/>
        <v/>
      </c>
      <c r="Q752" s="28" t="str">
        <f t="shared" si="119"/>
        <v/>
      </c>
    </row>
    <row r="753" spans="1:17" ht="15" x14ac:dyDescent="0.25">
      <c r="A753" s="3" t="str">
        <f>IF('[1]0.1 Produksi Pangan &amp; Penduduk'!A754="","",'[1]0.1 Produksi Pangan &amp; Penduduk'!A754)</f>
        <v/>
      </c>
      <c r="B753" s="2" t="str">
        <f>IF('[1]0.1 Produksi Pangan &amp; Penduduk'!B754="","",'[1]0.1 Produksi Pangan &amp; Penduduk'!B754)</f>
        <v/>
      </c>
      <c r="C753" s="2" t="str">
        <f>IF('[1]0.1 Produksi Pangan &amp; Penduduk'!F754="","",'[1]0.1 Produksi Pangan &amp; Penduduk'!F754)</f>
        <v/>
      </c>
      <c r="D753" s="3" t="str">
        <f>IF('[1]0.1 Produksi Pangan &amp; Penduduk'!D754="","",'[1]0.1 Produksi Pangan &amp; Penduduk'!D754)</f>
        <v/>
      </c>
      <c r="E753" s="3" t="str">
        <f>IF('[1]0.1 Produksi Pangan &amp; Penduduk'!E754="","",'[1]0.1 Produksi Pangan &amp; Penduduk'!E754)</f>
        <v/>
      </c>
      <c r="F753" s="59" t="str">
        <f>IF(D753="","",VLOOKUP(D753,'[1]0.1 Produksi Pangan &amp; Penduduk'!$D$5:$J$860,7,0))</f>
        <v/>
      </c>
      <c r="G753" s="27" t="str">
        <f t="shared" si="110"/>
        <v/>
      </c>
      <c r="H753" s="27" t="str">
        <f t="shared" si="111"/>
        <v/>
      </c>
      <c r="I753" s="27" t="str">
        <f t="shared" si="112"/>
        <v/>
      </c>
      <c r="J753" s="27" t="str">
        <f t="shared" si="113"/>
        <v/>
      </c>
      <c r="K753" s="27" t="str">
        <f t="shared" si="114"/>
        <v/>
      </c>
      <c r="L753" s="59" t="str">
        <f>IF(D753="","",VLOOKUP(D753,'[1]0.1 Produksi Pangan &amp; Penduduk'!$D$5:$M$860,10,0))</f>
        <v/>
      </c>
      <c r="M753" s="28" t="str">
        <f t="shared" si="115"/>
        <v/>
      </c>
      <c r="N753" s="60" t="str">
        <f t="shared" si="116"/>
        <v/>
      </c>
      <c r="O753" s="60" t="str">
        <f t="shared" si="117"/>
        <v/>
      </c>
      <c r="P753" s="60" t="str">
        <f t="shared" si="118"/>
        <v/>
      </c>
      <c r="Q753" s="28" t="str">
        <f t="shared" si="119"/>
        <v/>
      </c>
    </row>
    <row r="754" spans="1:17" ht="15" x14ac:dyDescent="0.25">
      <c r="A754" s="3" t="str">
        <f>IF('[1]0.1 Produksi Pangan &amp; Penduduk'!A755="","",'[1]0.1 Produksi Pangan &amp; Penduduk'!A755)</f>
        <v/>
      </c>
      <c r="B754" s="2" t="str">
        <f>IF('[1]0.1 Produksi Pangan &amp; Penduduk'!B755="","",'[1]0.1 Produksi Pangan &amp; Penduduk'!B755)</f>
        <v/>
      </c>
      <c r="C754" s="2" t="str">
        <f>IF('[1]0.1 Produksi Pangan &amp; Penduduk'!F755="","",'[1]0.1 Produksi Pangan &amp; Penduduk'!F755)</f>
        <v/>
      </c>
      <c r="D754" s="3" t="str">
        <f>IF('[1]0.1 Produksi Pangan &amp; Penduduk'!D755="","",'[1]0.1 Produksi Pangan &amp; Penduduk'!D755)</f>
        <v/>
      </c>
      <c r="E754" s="3" t="str">
        <f>IF('[1]0.1 Produksi Pangan &amp; Penduduk'!E755="","",'[1]0.1 Produksi Pangan &amp; Penduduk'!E755)</f>
        <v/>
      </c>
      <c r="F754" s="59" t="str">
        <f>IF(D754="","",VLOOKUP(D754,'[1]0.1 Produksi Pangan &amp; Penduduk'!$D$5:$J$860,7,0))</f>
        <v/>
      </c>
      <c r="G754" s="27" t="str">
        <f t="shared" si="110"/>
        <v/>
      </c>
      <c r="H754" s="27" t="str">
        <f t="shared" si="111"/>
        <v/>
      </c>
      <c r="I754" s="27" t="str">
        <f t="shared" si="112"/>
        <v/>
      </c>
      <c r="J754" s="27" t="str">
        <f t="shared" si="113"/>
        <v/>
      </c>
      <c r="K754" s="27" t="str">
        <f t="shared" si="114"/>
        <v/>
      </c>
      <c r="L754" s="59" t="str">
        <f>IF(D754="","",VLOOKUP(D754,'[1]0.1 Produksi Pangan &amp; Penduduk'!$D$5:$M$860,10,0))</f>
        <v/>
      </c>
      <c r="M754" s="28" t="str">
        <f t="shared" si="115"/>
        <v/>
      </c>
      <c r="N754" s="60" t="str">
        <f t="shared" si="116"/>
        <v/>
      </c>
      <c r="O754" s="60" t="str">
        <f t="shared" si="117"/>
        <v/>
      </c>
      <c r="P754" s="60" t="str">
        <f t="shared" si="118"/>
        <v/>
      </c>
      <c r="Q754" s="28" t="str">
        <f t="shared" si="119"/>
        <v/>
      </c>
    </row>
    <row r="755" spans="1:17" ht="15" x14ac:dyDescent="0.25">
      <c r="A755" s="3" t="str">
        <f>IF('[1]0.1 Produksi Pangan &amp; Penduduk'!A756="","",'[1]0.1 Produksi Pangan &amp; Penduduk'!A756)</f>
        <v/>
      </c>
      <c r="B755" s="2" t="str">
        <f>IF('[1]0.1 Produksi Pangan &amp; Penduduk'!B756="","",'[1]0.1 Produksi Pangan &amp; Penduduk'!B756)</f>
        <v/>
      </c>
      <c r="C755" s="2" t="str">
        <f>IF('[1]0.1 Produksi Pangan &amp; Penduduk'!F756="","",'[1]0.1 Produksi Pangan &amp; Penduduk'!F756)</f>
        <v/>
      </c>
      <c r="D755" s="3" t="str">
        <f>IF('[1]0.1 Produksi Pangan &amp; Penduduk'!D756="","",'[1]0.1 Produksi Pangan &amp; Penduduk'!D756)</f>
        <v/>
      </c>
      <c r="E755" s="3" t="str">
        <f>IF('[1]0.1 Produksi Pangan &amp; Penduduk'!E756="","",'[1]0.1 Produksi Pangan &amp; Penduduk'!E756)</f>
        <v/>
      </c>
      <c r="F755" s="59" t="str">
        <f>IF(D755="","",VLOOKUP(D755,'[1]0.1 Produksi Pangan &amp; Penduduk'!$D$5:$J$860,7,0))</f>
        <v/>
      </c>
      <c r="G755" s="27" t="str">
        <f t="shared" si="110"/>
        <v/>
      </c>
      <c r="H755" s="27" t="str">
        <f t="shared" si="111"/>
        <v/>
      </c>
      <c r="I755" s="27" t="str">
        <f t="shared" si="112"/>
        <v/>
      </c>
      <c r="J755" s="27" t="str">
        <f t="shared" si="113"/>
        <v/>
      </c>
      <c r="K755" s="27" t="str">
        <f t="shared" si="114"/>
        <v/>
      </c>
      <c r="L755" s="59" t="str">
        <f>IF(D755="","",VLOOKUP(D755,'[1]0.1 Produksi Pangan &amp; Penduduk'!$D$5:$M$860,10,0))</f>
        <v/>
      </c>
      <c r="M755" s="28" t="str">
        <f t="shared" si="115"/>
        <v/>
      </c>
      <c r="N755" s="60" t="str">
        <f t="shared" si="116"/>
        <v/>
      </c>
      <c r="O755" s="60" t="str">
        <f t="shared" si="117"/>
        <v/>
      </c>
      <c r="P755" s="60" t="str">
        <f t="shared" si="118"/>
        <v/>
      </c>
      <c r="Q755" s="28" t="str">
        <f t="shared" si="119"/>
        <v/>
      </c>
    </row>
    <row r="756" spans="1:17" ht="15" x14ac:dyDescent="0.25">
      <c r="A756" s="3" t="str">
        <f>IF('[1]0.1 Produksi Pangan &amp; Penduduk'!A757="","",'[1]0.1 Produksi Pangan &amp; Penduduk'!A757)</f>
        <v/>
      </c>
      <c r="B756" s="2" t="str">
        <f>IF('[1]0.1 Produksi Pangan &amp; Penduduk'!B757="","",'[1]0.1 Produksi Pangan &amp; Penduduk'!B757)</f>
        <v/>
      </c>
      <c r="C756" s="2" t="str">
        <f>IF('[1]0.1 Produksi Pangan &amp; Penduduk'!F757="","",'[1]0.1 Produksi Pangan &amp; Penduduk'!F757)</f>
        <v/>
      </c>
      <c r="D756" s="3" t="str">
        <f>IF('[1]0.1 Produksi Pangan &amp; Penduduk'!D757="","",'[1]0.1 Produksi Pangan &amp; Penduduk'!D757)</f>
        <v/>
      </c>
      <c r="E756" s="3" t="str">
        <f>IF('[1]0.1 Produksi Pangan &amp; Penduduk'!E757="","",'[1]0.1 Produksi Pangan &amp; Penduduk'!E757)</f>
        <v/>
      </c>
      <c r="F756" s="59" t="str">
        <f>IF(D756="","",VLOOKUP(D756,'[1]0.1 Produksi Pangan &amp; Penduduk'!$D$5:$J$860,7,0))</f>
        <v/>
      </c>
      <c r="G756" s="27" t="str">
        <f t="shared" si="110"/>
        <v/>
      </c>
      <c r="H756" s="27" t="str">
        <f t="shared" si="111"/>
        <v/>
      </c>
      <c r="I756" s="27" t="str">
        <f t="shared" si="112"/>
        <v/>
      </c>
      <c r="J756" s="27" t="str">
        <f t="shared" si="113"/>
        <v/>
      </c>
      <c r="K756" s="27" t="str">
        <f t="shared" si="114"/>
        <v/>
      </c>
      <c r="L756" s="59" t="str">
        <f>IF(D756="","",VLOOKUP(D756,'[1]0.1 Produksi Pangan &amp; Penduduk'!$D$5:$M$860,10,0))</f>
        <v/>
      </c>
      <c r="M756" s="28" t="str">
        <f t="shared" si="115"/>
        <v/>
      </c>
      <c r="N756" s="60" t="str">
        <f t="shared" si="116"/>
        <v/>
      </c>
      <c r="O756" s="60" t="str">
        <f t="shared" si="117"/>
        <v/>
      </c>
      <c r="P756" s="60" t="str">
        <f t="shared" si="118"/>
        <v/>
      </c>
      <c r="Q756" s="28" t="str">
        <f t="shared" si="119"/>
        <v/>
      </c>
    </row>
    <row r="757" spans="1:17" ht="15" x14ac:dyDescent="0.25">
      <c r="A757" s="3" t="str">
        <f>IF('[1]0.1 Produksi Pangan &amp; Penduduk'!A758="","",'[1]0.1 Produksi Pangan &amp; Penduduk'!A758)</f>
        <v/>
      </c>
      <c r="B757" s="2" t="str">
        <f>IF('[1]0.1 Produksi Pangan &amp; Penduduk'!B758="","",'[1]0.1 Produksi Pangan &amp; Penduduk'!B758)</f>
        <v/>
      </c>
      <c r="C757" s="2" t="str">
        <f>IF('[1]0.1 Produksi Pangan &amp; Penduduk'!F758="","",'[1]0.1 Produksi Pangan &amp; Penduduk'!F758)</f>
        <v/>
      </c>
      <c r="D757" s="3" t="str">
        <f>IF('[1]0.1 Produksi Pangan &amp; Penduduk'!D758="","",'[1]0.1 Produksi Pangan &amp; Penduduk'!D758)</f>
        <v/>
      </c>
      <c r="E757" s="3" t="str">
        <f>IF('[1]0.1 Produksi Pangan &amp; Penduduk'!E758="","",'[1]0.1 Produksi Pangan &amp; Penduduk'!E758)</f>
        <v/>
      </c>
      <c r="F757" s="59" t="str">
        <f>IF(D757="","",VLOOKUP(D757,'[1]0.1 Produksi Pangan &amp; Penduduk'!$D$5:$J$860,7,0))</f>
        <v/>
      </c>
      <c r="G757" s="27" t="str">
        <f t="shared" si="110"/>
        <v/>
      </c>
      <c r="H757" s="27" t="str">
        <f t="shared" si="111"/>
        <v/>
      </c>
      <c r="I757" s="27" t="str">
        <f t="shared" si="112"/>
        <v/>
      </c>
      <c r="J757" s="27" t="str">
        <f t="shared" si="113"/>
        <v/>
      </c>
      <c r="K757" s="27" t="str">
        <f t="shared" si="114"/>
        <v/>
      </c>
      <c r="L757" s="59" t="str">
        <f>IF(D757="","",VLOOKUP(D757,'[1]0.1 Produksi Pangan &amp; Penduduk'!$D$5:$M$860,10,0))</f>
        <v/>
      </c>
      <c r="M757" s="28" t="str">
        <f t="shared" si="115"/>
        <v/>
      </c>
      <c r="N757" s="60" t="str">
        <f t="shared" si="116"/>
        <v/>
      </c>
      <c r="O757" s="60" t="str">
        <f t="shared" si="117"/>
        <v/>
      </c>
      <c r="P757" s="60" t="str">
        <f t="shared" si="118"/>
        <v/>
      </c>
      <c r="Q757" s="28" t="str">
        <f t="shared" si="119"/>
        <v/>
      </c>
    </row>
    <row r="758" spans="1:17" ht="15" x14ac:dyDescent="0.25">
      <c r="A758" s="3" t="str">
        <f>IF('[1]0.1 Produksi Pangan &amp; Penduduk'!A759="","",'[1]0.1 Produksi Pangan &amp; Penduduk'!A759)</f>
        <v/>
      </c>
      <c r="B758" s="2" t="str">
        <f>IF('[1]0.1 Produksi Pangan &amp; Penduduk'!B759="","",'[1]0.1 Produksi Pangan &amp; Penduduk'!B759)</f>
        <v/>
      </c>
      <c r="C758" s="2" t="str">
        <f>IF('[1]0.1 Produksi Pangan &amp; Penduduk'!F759="","",'[1]0.1 Produksi Pangan &amp; Penduduk'!F759)</f>
        <v/>
      </c>
      <c r="D758" s="3" t="str">
        <f>IF('[1]0.1 Produksi Pangan &amp; Penduduk'!D759="","",'[1]0.1 Produksi Pangan &amp; Penduduk'!D759)</f>
        <v/>
      </c>
      <c r="E758" s="3" t="str">
        <f>IF('[1]0.1 Produksi Pangan &amp; Penduduk'!E759="","",'[1]0.1 Produksi Pangan &amp; Penduduk'!E759)</f>
        <v/>
      </c>
      <c r="F758" s="59" t="str">
        <f>IF(D758="","",VLOOKUP(D758,'[1]0.1 Produksi Pangan &amp; Penduduk'!$D$5:$J$860,7,0))</f>
        <v/>
      </c>
      <c r="G758" s="27" t="str">
        <f t="shared" si="110"/>
        <v/>
      </c>
      <c r="H758" s="27" t="str">
        <f t="shared" si="111"/>
        <v/>
      </c>
      <c r="I758" s="27" t="str">
        <f t="shared" si="112"/>
        <v/>
      </c>
      <c r="J758" s="27" t="str">
        <f t="shared" si="113"/>
        <v/>
      </c>
      <c r="K758" s="27" t="str">
        <f t="shared" si="114"/>
        <v/>
      </c>
      <c r="L758" s="59" t="str">
        <f>IF(D758="","",VLOOKUP(D758,'[1]0.1 Produksi Pangan &amp; Penduduk'!$D$5:$M$860,10,0))</f>
        <v/>
      </c>
      <c r="M758" s="28" t="str">
        <f t="shared" si="115"/>
        <v/>
      </c>
      <c r="N758" s="60" t="str">
        <f t="shared" si="116"/>
        <v/>
      </c>
      <c r="O758" s="60" t="str">
        <f t="shared" si="117"/>
        <v/>
      </c>
      <c r="P758" s="60" t="str">
        <f t="shared" si="118"/>
        <v/>
      </c>
      <c r="Q758" s="28" t="str">
        <f t="shared" si="119"/>
        <v/>
      </c>
    </row>
    <row r="759" spans="1:17" ht="15" x14ac:dyDescent="0.25">
      <c r="A759" s="3" t="str">
        <f>IF('[1]0.1 Produksi Pangan &amp; Penduduk'!A760="","",'[1]0.1 Produksi Pangan &amp; Penduduk'!A760)</f>
        <v/>
      </c>
      <c r="B759" s="2" t="str">
        <f>IF('[1]0.1 Produksi Pangan &amp; Penduduk'!B760="","",'[1]0.1 Produksi Pangan &amp; Penduduk'!B760)</f>
        <v/>
      </c>
      <c r="C759" s="2" t="str">
        <f>IF('[1]0.1 Produksi Pangan &amp; Penduduk'!F760="","",'[1]0.1 Produksi Pangan &amp; Penduduk'!F760)</f>
        <v/>
      </c>
      <c r="D759" s="3" t="str">
        <f>IF('[1]0.1 Produksi Pangan &amp; Penduduk'!D760="","",'[1]0.1 Produksi Pangan &amp; Penduduk'!D760)</f>
        <v/>
      </c>
      <c r="E759" s="3" t="str">
        <f>IF('[1]0.1 Produksi Pangan &amp; Penduduk'!E760="","",'[1]0.1 Produksi Pangan &amp; Penduduk'!E760)</f>
        <v/>
      </c>
      <c r="F759" s="59" t="str">
        <f>IF(D759="","",VLOOKUP(D759,'[1]0.1 Produksi Pangan &amp; Penduduk'!$D$5:$J$860,7,0))</f>
        <v/>
      </c>
      <c r="G759" s="27" t="str">
        <f t="shared" si="110"/>
        <v/>
      </c>
      <c r="H759" s="27" t="str">
        <f t="shared" si="111"/>
        <v/>
      </c>
      <c r="I759" s="27" t="str">
        <f t="shared" si="112"/>
        <v/>
      </c>
      <c r="J759" s="27" t="str">
        <f t="shared" si="113"/>
        <v/>
      </c>
      <c r="K759" s="27" t="str">
        <f t="shared" si="114"/>
        <v/>
      </c>
      <c r="L759" s="59" t="str">
        <f>IF(D759="","",VLOOKUP(D759,'[1]0.1 Produksi Pangan &amp; Penduduk'!$D$5:$M$860,10,0))</f>
        <v/>
      </c>
      <c r="M759" s="28" t="str">
        <f t="shared" si="115"/>
        <v/>
      </c>
      <c r="N759" s="60" t="str">
        <f t="shared" si="116"/>
        <v/>
      </c>
      <c r="O759" s="60" t="str">
        <f t="shared" si="117"/>
        <v/>
      </c>
      <c r="P759" s="60" t="str">
        <f t="shared" si="118"/>
        <v/>
      </c>
      <c r="Q759" s="28" t="str">
        <f t="shared" si="119"/>
        <v/>
      </c>
    </row>
    <row r="760" spans="1:17" ht="15" x14ac:dyDescent="0.25">
      <c r="A760" s="3" t="str">
        <f>IF('[1]0.1 Produksi Pangan &amp; Penduduk'!A761="","",'[1]0.1 Produksi Pangan &amp; Penduduk'!A761)</f>
        <v/>
      </c>
      <c r="B760" s="2" t="str">
        <f>IF('[1]0.1 Produksi Pangan &amp; Penduduk'!B761="","",'[1]0.1 Produksi Pangan &amp; Penduduk'!B761)</f>
        <v/>
      </c>
      <c r="C760" s="2" t="str">
        <f>IF('[1]0.1 Produksi Pangan &amp; Penduduk'!F761="","",'[1]0.1 Produksi Pangan &amp; Penduduk'!F761)</f>
        <v/>
      </c>
      <c r="D760" s="3" t="str">
        <f>IF('[1]0.1 Produksi Pangan &amp; Penduduk'!D761="","",'[1]0.1 Produksi Pangan &amp; Penduduk'!D761)</f>
        <v/>
      </c>
      <c r="E760" s="3" t="str">
        <f>IF('[1]0.1 Produksi Pangan &amp; Penduduk'!E761="","",'[1]0.1 Produksi Pangan &amp; Penduduk'!E761)</f>
        <v/>
      </c>
      <c r="F760" s="59" t="str">
        <f>IF(D760="","",VLOOKUP(D760,'[1]0.1 Produksi Pangan &amp; Penduduk'!$D$5:$J$860,7,0))</f>
        <v/>
      </c>
      <c r="G760" s="27" t="str">
        <f t="shared" si="110"/>
        <v/>
      </c>
      <c r="H760" s="27" t="str">
        <f t="shared" si="111"/>
        <v/>
      </c>
      <c r="I760" s="27" t="str">
        <f t="shared" si="112"/>
        <v/>
      </c>
      <c r="J760" s="27" t="str">
        <f t="shared" si="113"/>
        <v/>
      </c>
      <c r="K760" s="27" t="str">
        <f t="shared" si="114"/>
        <v/>
      </c>
      <c r="L760" s="59" t="str">
        <f>IF(D760="","",VLOOKUP(D760,'[1]0.1 Produksi Pangan &amp; Penduduk'!$D$5:$M$860,10,0))</f>
        <v/>
      </c>
      <c r="M760" s="28" t="str">
        <f t="shared" si="115"/>
        <v/>
      </c>
      <c r="N760" s="60" t="str">
        <f t="shared" si="116"/>
        <v/>
      </c>
      <c r="O760" s="60" t="str">
        <f t="shared" si="117"/>
        <v/>
      </c>
      <c r="P760" s="60" t="str">
        <f t="shared" si="118"/>
        <v/>
      </c>
      <c r="Q760" s="28" t="str">
        <f t="shared" si="119"/>
        <v/>
      </c>
    </row>
    <row r="761" spans="1:17" ht="15" x14ac:dyDescent="0.25">
      <c r="A761" s="3" t="str">
        <f>IF('[1]0.1 Produksi Pangan &amp; Penduduk'!A762="","",'[1]0.1 Produksi Pangan &amp; Penduduk'!A762)</f>
        <v/>
      </c>
      <c r="B761" s="2" t="str">
        <f>IF('[1]0.1 Produksi Pangan &amp; Penduduk'!B762="","",'[1]0.1 Produksi Pangan &amp; Penduduk'!B762)</f>
        <v/>
      </c>
      <c r="C761" s="2" t="str">
        <f>IF('[1]0.1 Produksi Pangan &amp; Penduduk'!F762="","",'[1]0.1 Produksi Pangan &amp; Penduduk'!F762)</f>
        <v/>
      </c>
      <c r="D761" s="3" t="str">
        <f>IF('[1]0.1 Produksi Pangan &amp; Penduduk'!D762="","",'[1]0.1 Produksi Pangan &amp; Penduduk'!D762)</f>
        <v/>
      </c>
      <c r="E761" s="3" t="str">
        <f>IF('[1]0.1 Produksi Pangan &amp; Penduduk'!E762="","",'[1]0.1 Produksi Pangan &amp; Penduduk'!E762)</f>
        <v/>
      </c>
      <c r="F761" s="59" t="str">
        <f>IF(D761="","",VLOOKUP(D761,'[1]0.1 Produksi Pangan &amp; Penduduk'!$D$5:$J$860,7,0))</f>
        <v/>
      </c>
      <c r="G761" s="27" t="str">
        <f t="shared" si="110"/>
        <v/>
      </c>
      <c r="H761" s="27" t="str">
        <f t="shared" si="111"/>
        <v/>
      </c>
      <c r="I761" s="27" t="str">
        <f t="shared" si="112"/>
        <v/>
      </c>
      <c r="J761" s="27" t="str">
        <f t="shared" si="113"/>
        <v/>
      </c>
      <c r="K761" s="27" t="str">
        <f t="shared" si="114"/>
        <v/>
      </c>
      <c r="L761" s="59" t="str">
        <f>IF(D761="","",VLOOKUP(D761,'[1]0.1 Produksi Pangan &amp; Penduduk'!$D$5:$M$860,10,0))</f>
        <v/>
      </c>
      <c r="M761" s="28" t="str">
        <f t="shared" si="115"/>
        <v/>
      </c>
      <c r="N761" s="60" t="str">
        <f t="shared" si="116"/>
        <v/>
      </c>
      <c r="O761" s="60" t="str">
        <f t="shared" si="117"/>
        <v/>
      </c>
      <c r="P761" s="60" t="str">
        <f t="shared" si="118"/>
        <v/>
      </c>
      <c r="Q761" s="28" t="str">
        <f t="shared" si="119"/>
        <v/>
      </c>
    </row>
    <row r="762" spans="1:17" ht="15" x14ac:dyDescent="0.25">
      <c r="A762" s="3" t="str">
        <f>IF('[1]0.1 Produksi Pangan &amp; Penduduk'!A763="","",'[1]0.1 Produksi Pangan &amp; Penduduk'!A763)</f>
        <v/>
      </c>
      <c r="B762" s="2" t="str">
        <f>IF('[1]0.1 Produksi Pangan &amp; Penduduk'!B763="","",'[1]0.1 Produksi Pangan &amp; Penduduk'!B763)</f>
        <v/>
      </c>
      <c r="C762" s="2" t="str">
        <f>IF('[1]0.1 Produksi Pangan &amp; Penduduk'!F763="","",'[1]0.1 Produksi Pangan &amp; Penduduk'!F763)</f>
        <v/>
      </c>
      <c r="D762" s="3" t="str">
        <f>IF('[1]0.1 Produksi Pangan &amp; Penduduk'!D763="","",'[1]0.1 Produksi Pangan &amp; Penduduk'!D763)</f>
        <v/>
      </c>
      <c r="E762" s="3" t="str">
        <f>IF('[1]0.1 Produksi Pangan &amp; Penduduk'!E763="","",'[1]0.1 Produksi Pangan &amp; Penduduk'!E763)</f>
        <v/>
      </c>
      <c r="F762" s="59" t="str">
        <f>IF(D762="","",VLOOKUP(D762,'[1]0.1 Produksi Pangan &amp; Penduduk'!$D$5:$J$860,7,0))</f>
        <v/>
      </c>
      <c r="G762" s="27" t="str">
        <f t="shared" si="110"/>
        <v/>
      </c>
      <c r="H762" s="27" t="str">
        <f t="shared" si="111"/>
        <v/>
      </c>
      <c r="I762" s="27" t="str">
        <f t="shared" si="112"/>
        <v/>
      </c>
      <c r="J762" s="27" t="str">
        <f t="shared" si="113"/>
        <v/>
      </c>
      <c r="K762" s="27" t="str">
        <f t="shared" si="114"/>
        <v/>
      </c>
      <c r="L762" s="59" t="str">
        <f>IF(D762="","",VLOOKUP(D762,'[1]0.1 Produksi Pangan &amp; Penduduk'!$D$5:$M$860,10,0))</f>
        <v/>
      </c>
      <c r="M762" s="28" t="str">
        <f t="shared" si="115"/>
        <v/>
      </c>
      <c r="N762" s="60" t="str">
        <f t="shared" si="116"/>
        <v/>
      </c>
      <c r="O762" s="60" t="str">
        <f t="shared" si="117"/>
        <v/>
      </c>
      <c r="P762" s="60" t="str">
        <f t="shared" si="118"/>
        <v/>
      </c>
      <c r="Q762" s="28" t="str">
        <f t="shared" si="119"/>
        <v/>
      </c>
    </row>
    <row r="763" spans="1:17" ht="15" x14ac:dyDescent="0.25">
      <c r="A763" s="3" t="str">
        <f>IF('[1]0.1 Produksi Pangan &amp; Penduduk'!A764="","",'[1]0.1 Produksi Pangan &amp; Penduduk'!A764)</f>
        <v/>
      </c>
      <c r="B763" s="2" t="str">
        <f>IF('[1]0.1 Produksi Pangan &amp; Penduduk'!B764="","",'[1]0.1 Produksi Pangan &amp; Penduduk'!B764)</f>
        <v/>
      </c>
      <c r="C763" s="2" t="str">
        <f>IF('[1]0.1 Produksi Pangan &amp; Penduduk'!F764="","",'[1]0.1 Produksi Pangan &amp; Penduduk'!F764)</f>
        <v/>
      </c>
      <c r="D763" s="3" t="str">
        <f>IF('[1]0.1 Produksi Pangan &amp; Penduduk'!D764="","",'[1]0.1 Produksi Pangan &amp; Penduduk'!D764)</f>
        <v/>
      </c>
      <c r="E763" s="3" t="str">
        <f>IF('[1]0.1 Produksi Pangan &amp; Penduduk'!E764="","",'[1]0.1 Produksi Pangan &amp; Penduduk'!E764)</f>
        <v/>
      </c>
      <c r="F763" s="59" t="str">
        <f>IF(D763="","",VLOOKUP(D763,'[1]0.1 Produksi Pangan &amp; Penduduk'!$D$5:$J$860,7,0))</f>
        <v/>
      </c>
      <c r="G763" s="27" t="str">
        <f t="shared" si="110"/>
        <v/>
      </c>
      <c r="H763" s="27" t="str">
        <f t="shared" si="111"/>
        <v/>
      </c>
      <c r="I763" s="27" t="str">
        <f t="shared" si="112"/>
        <v/>
      </c>
      <c r="J763" s="27" t="str">
        <f t="shared" si="113"/>
        <v/>
      </c>
      <c r="K763" s="27" t="str">
        <f t="shared" si="114"/>
        <v/>
      </c>
      <c r="L763" s="59" t="str">
        <f>IF(D763="","",VLOOKUP(D763,'[1]0.1 Produksi Pangan &amp; Penduduk'!$D$5:$M$860,10,0))</f>
        <v/>
      </c>
      <c r="M763" s="28" t="str">
        <f t="shared" si="115"/>
        <v/>
      </c>
      <c r="N763" s="60" t="str">
        <f t="shared" si="116"/>
        <v/>
      </c>
      <c r="O763" s="60" t="str">
        <f t="shared" si="117"/>
        <v/>
      </c>
      <c r="P763" s="60" t="str">
        <f t="shared" si="118"/>
        <v/>
      </c>
      <c r="Q763" s="28" t="str">
        <f t="shared" si="119"/>
        <v/>
      </c>
    </row>
    <row r="764" spans="1:17" ht="15" x14ac:dyDescent="0.25">
      <c r="A764" s="3" t="str">
        <f>IF('[1]0.1 Produksi Pangan &amp; Penduduk'!A765="","",'[1]0.1 Produksi Pangan &amp; Penduduk'!A765)</f>
        <v/>
      </c>
      <c r="B764" s="2" t="str">
        <f>IF('[1]0.1 Produksi Pangan &amp; Penduduk'!B765="","",'[1]0.1 Produksi Pangan &amp; Penduduk'!B765)</f>
        <v/>
      </c>
      <c r="C764" s="2" t="str">
        <f>IF('[1]0.1 Produksi Pangan &amp; Penduduk'!F765="","",'[1]0.1 Produksi Pangan &amp; Penduduk'!F765)</f>
        <v/>
      </c>
      <c r="D764" s="3" t="str">
        <f>IF('[1]0.1 Produksi Pangan &amp; Penduduk'!D765="","",'[1]0.1 Produksi Pangan &amp; Penduduk'!D765)</f>
        <v/>
      </c>
      <c r="E764" s="3" t="str">
        <f>IF('[1]0.1 Produksi Pangan &amp; Penduduk'!E765="","",'[1]0.1 Produksi Pangan &amp; Penduduk'!E765)</f>
        <v/>
      </c>
      <c r="F764" s="59" t="str">
        <f>IF(D764="","",VLOOKUP(D764,'[1]0.1 Produksi Pangan &amp; Penduduk'!$D$5:$J$860,7,0))</f>
        <v/>
      </c>
      <c r="G764" s="27" t="str">
        <f t="shared" si="110"/>
        <v/>
      </c>
      <c r="H764" s="27" t="str">
        <f t="shared" si="111"/>
        <v/>
      </c>
      <c r="I764" s="27" t="str">
        <f t="shared" si="112"/>
        <v/>
      </c>
      <c r="J764" s="27" t="str">
        <f t="shared" si="113"/>
        <v/>
      </c>
      <c r="K764" s="27" t="str">
        <f t="shared" si="114"/>
        <v/>
      </c>
      <c r="L764" s="59" t="str">
        <f>IF(D764="","",VLOOKUP(D764,'[1]0.1 Produksi Pangan &amp; Penduduk'!$D$5:$M$860,10,0))</f>
        <v/>
      </c>
      <c r="M764" s="28" t="str">
        <f t="shared" si="115"/>
        <v/>
      </c>
      <c r="N764" s="60" t="str">
        <f t="shared" si="116"/>
        <v/>
      </c>
      <c r="O764" s="60" t="str">
        <f t="shared" si="117"/>
        <v/>
      </c>
      <c r="P764" s="60" t="str">
        <f t="shared" si="118"/>
        <v/>
      </c>
      <c r="Q764" s="28" t="str">
        <f t="shared" si="119"/>
        <v/>
      </c>
    </row>
    <row r="765" spans="1:17" ht="15" x14ac:dyDescent="0.25">
      <c r="A765" s="3" t="str">
        <f>IF('[1]0.1 Produksi Pangan &amp; Penduduk'!A766="","",'[1]0.1 Produksi Pangan &amp; Penduduk'!A766)</f>
        <v/>
      </c>
      <c r="B765" s="2" t="str">
        <f>IF('[1]0.1 Produksi Pangan &amp; Penduduk'!B766="","",'[1]0.1 Produksi Pangan &amp; Penduduk'!B766)</f>
        <v/>
      </c>
      <c r="C765" s="2" t="str">
        <f>IF('[1]0.1 Produksi Pangan &amp; Penduduk'!F766="","",'[1]0.1 Produksi Pangan &amp; Penduduk'!F766)</f>
        <v/>
      </c>
      <c r="D765" s="3" t="str">
        <f>IF('[1]0.1 Produksi Pangan &amp; Penduduk'!D766="","",'[1]0.1 Produksi Pangan &amp; Penduduk'!D766)</f>
        <v/>
      </c>
      <c r="E765" s="3" t="str">
        <f>IF('[1]0.1 Produksi Pangan &amp; Penduduk'!E766="","",'[1]0.1 Produksi Pangan &amp; Penduduk'!E766)</f>
        <v/>
      </c>
      <c r="F765" s="59" t="str">
        <f>IF(D765="","",VLOOKUP(D765,'[1]0.1 Produksi Pangan &amp; Penduduk'!$D$5:$J$860,7,0))</f>
        <v/>
      </c>
      <c r="G765" s="27" t="str">
        <f t="shared" si="110"/>
        <v/>
      </c>
      <c r="H765" s="27" t="str">
        <f t="shared" si="111"/>
        <v/>
      </c>
      <c r="I765" s="27" t="str">
        <f t="shared" si="112"/>
        <v/>
      </c>
      <c r="J765" s="27" t="str">
        <f t="shared" si="113"/>
        <v/>
      </c>
      <c r="K765" s="27" t="str">
        <f t="shared" si="114"/>
        <v/>
      </c>
      <c r="L765" s="59" t="str">
        <f>IF(D765="","",VLOOKUP(D765,'[1]0.1 Produksi Pangan &amp; Penduduk'!$D$5:$M$860,10,0))</f>
        <v/>
      </c>
      <c r="M765" s="28" t="str">
        <f t="shared" si="115"/>
        <v/>
      </c>
      <c r="N765" s="60" t="str">
        <f t="shared" si="116"/>
        <v/>
      </c>
      <c r="O765" s="60" t="str">
        <f t="shared" si="117"/>
        <v/>
      </c>
      <c r="P765" s="60" t="str">
        <f t="shared" si="118"/>
        <v/>
      </c>
      <c r="Q765" s="28" t="str">
        <f t="shared" si="119"/>
        <v/>
      </c>
    </row>
    <row r="766" spans="1:17" ht="15" x14ac:dyDescent="0.25">
      <c r="A766" s="3" t="str">
        <f>IF('[1]0.1 Produksi Pangan &amp; Penduduk'!A767="","",'[1]0.1 Produksi Pangan &amp; Penduduk'!A767)</f>
        <v/>
      </c>
      <c r="B766" s="2" t="str">
        <f>IF('[1]0.1 Produksi Pangan &amp; Penduduk'!B767="","",'[1]0.1 Produksi Pangan &amp; Penduduk'!B767)</f>
        <v/>
      </c>
      <c r="C766" s="2" t="str">
        <f>IF('[1]0.1 Produksi Pangan &amp; Penduduk'!F767="","",'[1]0.1 Produksi Pangan &amp; Penduduk'!F767)</f>
        <v/>
      </c>
      <c r="D766" s="3" t="str">
        <f>IF('[1]0.1 Produksi Pangan &amp; Penduduk'!D767="","",'[1]0.1 Produksi Pangan &amp; Penduduk'!D767)</f>
        <v/>
      </c>
      <c r="E766" s="3" t="str">
        <f>IF('[1]0.1 Produksi Pangan &amp; Penduduk'!E767="","",'[1]0.1 Produksi Pangan &amp; Penduduk'!E767)</f>
        <v/>
      </c>
      <c r="F766" s="59" t="str">
        <f>IF(D766="","",VLOOKUP(D766,'[1]0.1 Produksi Pangan &amp; Penduduk'!$D$5:$J$860,7,0))</f>
        <v/>
      </c>
      <c r="G766" s="27" t="str">
        <f t="shared" si="110"/>
        <v/>
      </c>
      <c r="H766" s="27" t="str">
        <f t="shared" si="111"/>
        <v/>
      </c>
      <c r="I766" s="27" t="str">
        <f t="shared" si="112"/>
        <v/>
      </c>
      <c r="J766" s="27" t="str">
        <f t="shared" si="113"/>
        <v/>
      </c>
      <c r="K766" s="27" t="str">
        <f t="shared" si="114"/>
        <v/>
      </c>
      <c r="L766" s="59" t="str">
        <f>IF(D766="","",VLOOKUP(D766,'[1]0.1 Produksi Pangan &amp; Penduduk'!$D$5:$M$860,10,0))</f>
        <v/>
      </c>
      <c r="M766" s="28" t="str">
        <f t="shared" si="115"/>
        <v/>
      </c>
      <c r="N766" s="60" t="str">
        <f t="shared" si="116"/>
        <v/>
      </c>
      <c r="O766" s="60" t="str">
        <f t="shared" si="117"/>
        <v/>
      </c>
      <c r="P766" s="60" t="str">
        <f t="shared" si="118"/>
        <v/>
      </c>
      <c r="Q766" s="28" t="str">
        <f t="shared" si="119"/>
        <v/>
      </c>
    </row>
    <row r="767" spans="1:17" ht="15" x14ac:dyDescent="0.25">
      <c r="A767" s="3" t="str">
        <f>IF('[1]0.1 Produksi Pangan &amp; Penduduk'!A768="","",'[1]0.1 Produksi Pangan &amp; Penduduk'!A768)</f>
        <v/>
      </c>
      <c r="B767" s="2" t="str">
        <f>IF('[1]0.1 Produksi Pangan &amp; Penduduk'!B768="","",'[1]0.1 Produksi Pangan &amp; Penduduk'!B768)</f>
        <v/>
      </c>
      <c r="C767" s="2" t="str">
        <f>IF('[1]0.1 Produksi Pangan &amp; Penduduk'!F768="","",'[1]0.1 Produksi Pangan &amp; Penduduk'!F768)</f>
        <v/>
      </c>
      <c r="D767" s="3" t="str">
        <f>IF('[1]0.1 Produksi Pangan &amp; Penduduk'!D768="","",'[1]0.1 Produksi Pangan &amp; Penduduk'!D768)</f>
        <v/>
      </c>
      <c r="E767" s="3" t="str">
        <f>IF('[1]0.1 Produksi Pangan &amp; Penduduk'!E768="","",'[1]0.1 Produksi Pangan &amp; Penduduk'!E768)</f>
        <v/>
      </c>
      <c r="F767" s="59" t="str">
        <f>IF(D767="","",VLOOKUP(D767,'[1]0.1 Produksi Pangan &amp; Penduduk'!$D$5:$J$860,7,0))</f>
        <v/>
      </c>
      <c r="G767" s="27" t="str">
        <f t="shared" si="110"/>
        <v/>
      </c>
      <c r="H767" s="27" t="str">
        <f t="shared" si="111"/>
        <v/>
      </c>
      <c r="I767" s="27" t="str">
        <f t="shared" si="112"/>
        <v/>
      </c>
      <c r="J767" s="27" t="str">
        <f t="shared" si="113"/>
        <v/>
      </c>
      <c r="K767" s="27" t="str">
        <f t="shared" si="114"/>
        <v/>
      </c>
      <c r="L767" s="59" t="str">
        <f>IF(D767="","",VLOOKUP(D767,'[1]0.1 Produksi Pangan &amp; Penduduk'!$D$5:$M$860,10,0))</f>
        <v/>
      </c>
      <c r="M767" s="28" t="str">
        <f t="shared" si="115"/>
        <v/>
      </c>
      <c r="N767" s="60" t="str">
        <f t="shared" si="116"/>
        <v/>
      </c>
      <c r="O767" s="60" t="str">
        <f t="shared" si="117"/>
        <v/>
      </c>
      <c r="P767" s="60" t="str">
        <f t="shared" si="118"/>
        <v/>
      </c>
      <c r="Q767" s="28" t="str">
        <f t="shared" si="119"/>
        <v/>
      </c>
    </row>
    <row r="768" spans="1:17" ht="15" x14ac:dyDescent="0.25">
      <c r="A768" s="3" t="str">
        <f>IF('[1]0.1 Produksi Pangan &amp; Penduduk'!A769="","",'[1]0.1 Produksi Pangan &amp; Penduduk'!A769)</f>
        <v/>
      </c>
      <c r="B768" s="2" t="str">
        <f>IF('[1]0.1 Produksi Pangan &amp; Penduduk'!B769="","",'[1]0.1 Produksi Pangan &amp; Penduduk'!B769)</f>
        <v/>
      </c>
      <c r="C768" s="2" t="str">
        <f>IF('[1]0.1 Produksi Pangan &amp; Penduduk'!F769="","",'[1]0.1 Produksi Pangan &amp; Penduduk'!F769)</f>
        <v/>
      </c>
      <c r="D768" s="3" t="str">
        <f>IF('[1]0.1 Produksi Pangan &amp; Penduduk'!D769="","",'[1]0.1 Produksi Pangan &amp; Penduduk'!D769)</f>
        <v/>
      </c>
      <c r="E768" s="3" t="str">
        <f>IF('[1]0.1 Produksi Pangan &amp; Penduduk'!E769="","",'[1]0.1 Produksi Pangan &amp; Penduduk'!E769)</f>
        <v/>
      </c>
      <c r="F768" s="59" t="str">
        <f>IF(D768="","",VLOOKUP(D768,'[1]0.1 Produksi Pangan &amp; Penduduk'!$D$5:$J$860,7,0))</f>
        <v/>
      </c>
      <c r="G768" s="27" t="str">
        <f t="shared" si="110"/>
        <v/>
      </c>
      <c r="H768" s="27" t="str">
        <f t="shared" si="111"/>
        <v/>
      </c>
      <c r="I768" s="27" t="str">
        <f t="shared" si="112"/>
        <v/>
      </c>
      <c r="J768" s="27" t="str">
        <f t="shared" si="113"/>
        <v/>
      </c>
      <c r="K768" s="27" t="str">
        <f t="shared" si="114"/>
        <v/>
      </c>
      <c r="L768" s="59" t="str">
        <f>IF(D768="","",VLOOKUP(D768,'[1]0.1 Produksi Pangan &amp; Penduduk'!$D$5:$M$860,10,0))</f>
        <v/>
      </c>
      <c r="M768" s="28" t="str">
        <f t="shared" si="115"/>
        <v/>
      </c>
      <c r="N768" s="60" t="str">
        <f t="shared" si="116"/>
        <v/>
      </c>
      <c r="O768" s="60" t="str">
        <f t="shared" si="117"/>
        <v/>
      </c>
      <c r="P768" s="60" t="str">
        <f t="shared" si="118"/>
        <v/>
      </c>
      <c r="Q768" s="28" t="str">
        <f t="shared" si="119"/>
        <v/>
      </c>
    </row>
    <row r="769" spans="1:17" ht="15" x14ac:dyDescent="0.25">
      <c r="A769" s="3" t="str">
        <f>IF('[1]0.1 Produksi Pangan &amp; Penduduk'!A770="","",'[1]0.1 Produksi Pangan &amp; Penduduk'!A770)</f>
        <v/>
      </c>
      <c r="B769" s="2" t="str">
        <f>IF('[1]0.1 Produksi Pangan &amp; Penduduk'!B770="","",'[1]0.1 Produksi Pangan &amp; Penduduk'!B770)</f>
        <v/>
      </c>
      <c r="C769" s="2" t="str">
        <f>IF('[1]0.1 Produksi Pangan &amp; Penduduk'!F770="","",'[1]0.1 Produksi Pangan &amp; Penduduk'!F770)</f>
        <v/>
      </c>
      <c r="D769" s="3" t="str">
        <f>IF('[1]0.1 Produksi Pangan &amp; Penduduk'!D770="","",'[1]0.1 Produksi Pangan &amp; Penduduk'!D770)</f>
        <v/>
      </c>
      <c r="E769" s="3" t="str">
        <f>IF('[1]0.1 Produksi Pangan &amp; Penduduk'!E770="","",'[1]0.1 Produksi Pangan &amp; Penduduk'!E770)</f>
        <v/>
      </c>
      <c r="F769" s="59" t="str">
        <f>IF(D769="","",VLOOKUP(D769,'[1]0.1 Produksi Pangan &amp; Penduduk'!$D$5:$J$860,7,0))</f>
        <v/>
      </c>
      <c r="G769" s="27" t="str">
        <f t="shared" si="110"/>
        <v/>
      </c>
      <c r="H769" s="27" t="str">
        <f t="shared" si="111"/>
        <v/>
      </c>
      <c r="I769" s="27" t="str">
        <f t="shared" si="112"/>
        <v/>
      </c>
      <c r="J769" s="27" t="str">
        <f t="shared" si="113"/>
        <v/>
      </c>
      <c r="K769" s="27" t="str">
        <f t="shared" si="114"/>
        <v/>
      </c>
      <c r="L769" s="59" t="str">
        <f>IF(D769="","",VLOOKUP(D769,'[1]0.1 Produksi Pangan &amp; Penduduk'!$D$5:$M$860,10,0))</f>
        <v/>
      </c>
      <c r="M769" s="28" t="str">
        <f t="shared" si="115"/>
        <v/>
      </c>
      <c r="N769" s="60" t="str">
        <f t="shared" si="116"/>
        <v/>
      </c>
      <c r="O769" s="60" t="str">
        <f t="shared" si="117"/>
        <v/>
      </c>
      <c r="P769" s="60" t="str">
        <f t="shared" si="118"/>
        <v/>
      </c>
      <c r="Q769" s="28" t="str">
        <f t="shared" si="119"/>
        <v/>
      </c>
    </row>
    <row r="770" spans="1:17" ht="15" x14ac:dyDescent="0.25">
      <c r="A770" s="3" t="str">
        <f>IF('[1]0.1 Produksi Pangan &amp; Penduduk'!A771="","",'[1]0.1 Produksi Pangan &amp; Penduduk'!A771)</f>
        <v/>
      </c>
      <c r="B770" s="2" t="str">
        <f>IF('[1]0.1 Produksi Pangan &amp; Penduduk'!B771="","",'[1]0.1 Produksi Pangan &amp; Penduduk'!B771)</f>
        <v/>
      </c>
      <c r="C770" s="2" t="str">
        <f>IF('[1]0.1 Produksi Pangan &amp; Penduduk'!F771="","",'[1]0.1 Produksi Pangan &amp; Penduduk'!F771)</f>
        <v/>
      </c>
      <c r="D770" s="3" t="str">
        <f>IF('[1]0.1 Produksi Pangan &amp; Penduduk'!D771="","",'[1]0.1 Produksi Pangan &amp; Penduduk'!D771)</f>
        <v/>
      </c>
      <c r="E770" s="3" t="str">
        <f>IF('[1]0.1 Produksi Pangan &amp; Penduduk'!E771="","",'[1]0.1 Produksi Pangan &amp; Penduduk'!E771)</f>
        <v/>
      </c>
      <c r="F770" s="59" t="str">
        <f>IF(D770="","",VLOOKUP(D770,'[1]0.1 Produksi Pangan &amp; Penduduk'!$D$5:$J$860,7,0))</f>
        <v/>
      </c>
      <c r="G770" s="27" t="str">
        <f t="shared" si="110"/>
        <v/>
      </c>
      <c r="H770" s="27" t="str">
        <f t="shared" si="111"/>
        <v/>
      </c>
      <c r="I770" s="27" t="str">
        <f t="shared" si="112"/>
        <v/>
      </c>
      <c r="J770" s="27" t="str">
        <f t="shared" si="113"/>
        <v/>
      </c>
      <c r="K770" s="27" t="str">
        <f t="shared" si="114"/>
        <v/>
      </c>
      <c r="L770" s="59" t="str">
        <f>IF(D770="","",VLOOKUP(D770,'[1]0.1 Produksi Pangan &amp; Penduduk'!$D$5:$M$860,10,0))</f>
        <v/>
      </c>
      <c r="M770" s="28" t="str">
        <f t="shared" si="115"/>
        <v/>
      </c>
      <c r="N770" s="60" t="str">
        <f t="shared" si="116"/>
        <v/>
      </c>
      <c r="O770" s="60" t="str">
        <f t="shared" si="117"/>
        <v/>
      </c>
      <c r="P770" s="60" t="str">
        <f t="shared" si="118"/>
        <v/>
      </c>
      <c r="Q770" s="28" t="str">
        <f t="shared" si="119"/>
        <v/>
      </c>
    </row>
    <row r="771" spans="1:17" ht="15" x14ac:dyDescent="0.25">
      <c r="A771" s="3" t="str">
        <f>IF('[1]0.1 Produksi Pangan &amp; Penduduk'!A772="","",'[1]0.1 Produksi Pangan &amp; Penduduk'!A772)</f>
        <v/>
      </c>
      <c r="B771" s="2" t="str">
        <f>IF('[1]0.1 Produksi Pangan &amp; Penduduk'!B772="","",'[1]0.1 Produksi Pangan &amp; Penduduk'!B772)</f>
        <v/>
      </c>
      <c r="C771" s="2" t="str">
        <f>IF('[1]0.1 Produksi Pangan &amp; Penduduk'!F772="","",'[1]0.1 Produksi Pangan &amp; Penduduk'!F772)</f>
        <v/>
      </c>
      <c r="D771" s="3" t="str">
        <f>IF('[1]0.1 Produksi Pangan &amp; Penduduk'!D772="","",'[1]0.1 Produksi Pangan &amp; Penduduk'!D772)</f>
        <v/>
      </c>
      <c r="E771" s="3" t="str">
        <f>IF('[1]0.1 Produksi Pangan &amp; Penduduk'!E772="","",'[1]0.1 Produksi Pangan &amp; Penduduk'!E772)</f>
        <v/>
      </c>
      <c r="F771" s="59" t="str">
        <f>IF(D771="","",VLOOKUP(D771,'[1]0.1 Produksi Pangan &amp; Penduduk'!$D$5:$J$860,7,0))</f>
        <v/>
      </c>
      <c r="G771" s="27" t="str">
        <f t="shared" si="110"/>
        <v/>
      </c>
      <c r="H771" s="27" t="str">
        <f t="shared" si="111"/>
        <v/>
      </c>
      <c r="I771" s="27" t="str">
        <f t="shared" si="112"/>
        <v/>
      </c>
      <c r="J771" s="27" t="str">
        <f t="shared" si="113"/>
        <v/>
      </c>
      <c r="K771" s="27" t="str">
        <f t="shared" si="114"/>
        <v/>
      </c>
      <c r="L771" s="59" t="str">
        <f>IF(D771="","",VLOOKUP(D771,'[1]0.1 Produksi Pangan &amp; Penduduk'!$D$5:$M$860,10,0))</f>
        <v/>
      </c>
      <c r="M771" s="28" t="str">
        <f t="shared" si="115"/>
        <v/>
      </c>
      <c r="N771" s="60" t="str">
        <f t="shared" si="116"/>
        <v/>
      </c>
      <c r="O771" s="60" t="str">
        <f t="shared" si="117"/>
        <v/>
      </c>
      <c r="P771" s="60" t="str">
        <f t="shared" si="118"/>
        <v/>
      </c>
      <c r="Q771" s="28" t="str">
        <f t="shared" si="119"/>
        <v/>
      </c>
    </row>
    <row r="772" spans="1:17" ht="15" x14ac:dyDescent="0.25">
      <c r="A772" s="3" t="str">
        <f>IF('[1]0.1 Produksi Pangan &amp; Penduduk'!A773="","",'[1]0.1 Produksi Pangan &amp; Penduduk'!A773)</f>
        <v/>
      </c>
      <c r="B772" s="2" t="str">
        <f>IF('[1]0.1 Produksi Pangan &amp; Penduduk'!B773="","",'[1]0.1 Produksi Pangan &amp; Penduduk'!B773)</f>
        <v/>
      </c>
      <c r="C772" s="2" t="str">
        <f>IF('[1]0.1 Produksi Pangan &amp; Penduduk'!F773="","",'[1]0.1 Produksi Pangan &amp; Penduduk'!F773)</f>
        <v/>
      </c>
      <c r="D772" s="3" t="str">
        <f>IF('[1]0.1 Produksi Pangan &amp; Penduduk'!D773="","",'[1]0.1 Produksi Pangan &amp; Penduduk'!D773)</f>
        <v/>
      </c>
      <c r="E772" s="3" t="str">
        <f>IF('[1]0.1 Produksi Pangan &amp; Penduduk'!E773="","",'[1]0.1 Produksi Pangan &amp; Penduduk'!E773)</f>
        <v/>
      </c>
      <c r="F772" s="59" t="str">
        <f>IF(D772="","",VLOOKUP(D772,'[1]0.1 Produksi Pangan &amp; Penduduk'!$D$5:$J$860,7,0))</f>
        <v/>
      </c>
      <c r="G772" s="27" t="str">
        <f t="shared" si="110"/>
        <v/>
      </c>
      <c r="H772" s="27" t="str">
        <f t="shared" si="111"/>
        <v/>
      </c>
      <c r="I772" s="27" t="str">
        <f t="shared" si="112"/>
        <v/>
      </c>
      <c r="J772" s="27" t="str">
        <f t="shared" si="113"/>
        <v/>
      </c>
      <c r="K772" s="27" t="str">
        <f t="shared" si="114"/>
        <v/>
      </c>
      <c r="L772" s="59" t="str">
        <f>IF(D772="","",VLOOKUP(D772,'[1]0.1 Produksi Pangan &amp; Penduduk'!$D$5:$M$860,10,0))</f>
        <v/>
      </c>
      <c r="M772" s="28" t="str">
        <f t="shared" si="115"/>
        <v/>
      </c>
      <c r="N772" s="60" t="str">
        <f t="shared" si="116"/>
        <v/>
      </c>
      <c r="O772" s="60" t="str">
        <f t="shared" si="117"/>
        <v/>
      </c>
      <c r="P772" s="60" t="str">
        <f t="shared" si="118"/>
        <v/>
      </c>
      <c r="Q772" s="28" t="str">
        <f t="shared" si="119"/>
        <v/>
      </c>
    </row>
    <row r="773" spans="1:17" ht="15" x14ac:dyDescent="0.25">
      <c r="A773" s="3" t="str">
        <f>IF('[1]0.1 Produksi Pangan &amp; Penduduk'!A774="","",'[1]0.1 Produksi Pangan &amp; Penduduk'!A774)</f>
        <v/>
      </c>
      <c r="B773" s="2" t="str">
        <f>IF('[1]0.1 Produksi Pangan &amp; Penduduk'!B774="","",'[1]0.1 Produksi Pangan &amp; Penduduk'!B774)</f>
        <v/>
      </c>
      <c r="C773" s="2" t="str">
        <f>IF('[1]0.1 Produksi Pangan &amp; Penduduk'!F774="","",'[1]0.1 Produksi Pangan &amp; Penduduk'!F774)</f>
        <v/>
      </c>
      <c r="D773" s="3" t="str">
        <f>IF('[1]0.1 Produksi Pangan &amp; Penduduk'!D774="","",'[1]0.1 Produksi Pangan &amp; Penduduk'!D774)</f>
        <v/>
      </c>
      <c r="E773" s="3" t="str">
        <f>IF('[1]0.1 Produksi Pangan &amp; Penduduk'!E774="","",'[1]0.1 Produksi Pangan &amp; Penduduk'!E774)</f>
        <v/>
      </c>
      <c r="F773" s="59" t="str">
        <f>IF(D773="","",VLOOKUP(D773,'[1]0.1 Produksi Pangan &amp; Penduduk'!$D$5:$J$860,7,0))</f>
        <v/>
      </c>
      <c r="G773" s="27" t="str">
        <f t="shared" si="110"/>
        <v/>
      </c>
      <c r="H773" s="27" t="str">
        <f t="shared" si="111"/>
        <v/>
      </c>
      <c r="I773" s="27" t="str">
        <f t="shared" si="112"/>
        <v/>
      </c>
      <c r="J773" s="27" t="str">
        <f t="shared" si="113"/>
        <v/>
      </c>
      <c r="K773" s="27" t="str">
        <f t="shared" si="114"/>
        <v/>
      </c>
      <c r="L773" s="59" t="str">
        <f>IF(D773="","",VLOOKUP(D773,'[1]0.1 Produksi Pangan &amp; Penduduk'!$D$5:$M$860,10,0))</f>
        <v/>
      </c>
      <c r="M773" s="28" t="str">
        <f t="shared" si="115"/>
        <v/>
      </c>
      <c r="N773" s="60" t="str">
        <f t="shared" si="116"/>
        <v/>
      </c>
      <c r="O773" s="60" t="str">
        <f t="shared" si="117"/>
        <v/>
      </c>
      <c r="P773" s="60" t="str">
        <f t="shared" si="118"/>
        <v/>
      </c>
      <c r="Q773" s="28" t="str">
        <f t="shared" si="119"/>
        <v/>
      </c>
    </row>
    <row r="774" spans="1:17" ht="15" x14ac:dyDescent="0.25">
      <c r="A774" s="3" t="str">
        <f>IF('[1]0.1 Produksi Pangan &amp; Penduduk'!A775="","",'[1]0.1 Produksi Pangan &amp; Penduduk'!A775)</f>
        <v/>
      </c>
      <c r="B774" s="2" t="str">
        <f>IF('[1]0.1 Produksi Pangan &amp; Penduduk'!B775="","",'[1]0.1 Produksi Pangan &amp; Penduduk'!B775)</f>
        <v/>
      </c>
      <c r="C774" s="2" t="str">
        <f>IF('[1]0.1 Produksi Pangan &amp; Penduduk'!F775="","",'[1]0.1 Produksi Pangan &amp; Penduduk'!F775)</f>
        <v/>
      </c>
      <c r="D774" s="3" t="str">
        <f>IF('[1]0.1 Produksi Pangan &amp; Penduduk'!D775="","",'[1]0.1 Produksi Pangan &amp; Penduduk'!D775)</f>
        <v/>
      </c>
      <c r="E774" s="3" t="str">
        <f>IF('[1]0.1 Produksi Pangan &amp; Penduduk'!E775="","",'[1]0.1 Produksi Pangan &amp; Penduduk'!E775)</f>
        <v/>
      </c>
      <c r="F774" s="59" t="str">
        <f>IF(D774="","",VLOOKUP(D774,'[1]0.1 Produksi Pangan &amp; Penduduk'!$D$5:$J$860,7,0))</f>
        <v/>
      </c>
      <c r="G774" s="27" t="str">
        <f t="shared" ref="G774:G837" si="120">IF(F774="","",F774*0.9%)</f>
        <v/>
      </c>
      <c r="H774" s="27" t="str">
        <f t="shared" ref="H774:H837" si="121">IF(F774="","",F774*0.44%)</f>
        <v/>
      </c>
      <c r="I774" s="27" t="str">
        <f t="shared" ref="I774:I837" si="122">IF(F774="","",F774*4.92%)</f>
        <v/>
      </c>
      <c r="J774" s="27" t="str">
        <f t="shared" ref="J774:J837" si="123">IF(F774="","",F774*0.56%)</f>
        <v/>
      </c>
      <c r="K774" s="27" t="str">
        <f t="shared" ref="K774:K837" si="124">IF(F774="","",F774-(G774+H774+I774+J774))</f>
        <v/>
      </c>
      <c r="L774" s="59" t="str">
        <f>IF(D774="","",VLOOKUP(D774,'[1]0.1 Produksi Pangan &amp; Penduduk'!$D$5:$M$860,10,0))</f>
        <v/>
      </c>
      <c r="M774" s="28" t="str">
        <f t="shared" ref="M774:M837" si="125">IFERROR(K774*L774,"")</f>
        <v/>
      </c>
      <c r="N774" s="60" t="str">
        <f t="shared" ref="N774:N837" si="126">IF(M774="","",M774*0.17%)</f>
        <v/>
      </c>
      <c r="O774" s="60" t="str">
        <f t="shared" ref="O774:O837" si="127">IF(M774="","",M774*2.5%)</f>
        <v/>
      </c>
      <c r="P774" s="60" t="str">
        <f t="shared" ref="P774:P837" si="128">IF(M774="","",M774*0.66%)</f>
        <v/>
      </c>
      <c r="Q774" s="28" t="str">
        <f t="shared" ref="Q774:Q837" si="129">IF(M774="","",M774-(N774+O774+P774))</f>
        <v/>
      </c>
    </row>
    <row r="775" spans="1:17" ht="15" x14ac:dyDescent="0.25">
      <c r="A775" s="3" t="str">
        <f>IF('[1]0.1 Produksi Pangan &amp; Penduduk'!A776="","",'[1]0.1 Produksi Pangan &amp; Penduduk'!A776)</f>
        <v/>
      </c>
      <c r="B775" s="2" t="str">
        <f>IF('[1]0.1 Produksi Pangan &amp; Penduduk'!B776="","",'[1]0.1 Produksi Pangan &amp; Penduduk'!B776)</f>
        <v/>
      </c>
      <c r="C775" s="2" t="str">
        <f>IF('[1]0.1 Produksi Pangan &amp; Penduduk'!F776="","",'[1]0.1 Produksi Pangan &amp; Penduduk'!F776)</f>
        <v/>
      </c>
      <c r="D775" s="3" t="str">
        <f>IF('[1]0.1 Produksi Pangan &amp; Penduduk'!D776="","",'[1]0.1 Produksi Pangan &amp; Penduduk'!D776)</f>
        <v/>
      </c>
      <c r="E775" s="3" t="str">
        <f>IF('[1]0.1 Produksi Pangan &amp; Penduduk'!E776="","",'[1]0.1 Produksi Pangan &amp; Penduduk'!E776)</f>
        <v/>
      </c>
      <c r="F775" s="59" t="str">
        <f>IF(D775="","",VLOOKUP(D775,'[1]0.1 Produksi Pangan &amp; Penduduk'!$D$5:$J$860,7,0))</f>
        <v/>
      </c>
      <c r="G775" s="27" t="str">
        <f t="shared" si="120"/>
        <v/>
      </c>
      <c r="H775" s="27" t="str">
        <f t="shared" si="121"/>
        <v/>
      </c>
      <c r="I775" s="27" t="str">
        <f t="shared" si="122"/>
        <v/>
      </c>
      <c r="J775" s="27" t="str">
        <f t="shared" si="123"/>
        <v/>
      </c>
      <c r="K775" s="27" t="str">
        <f t="shared" si="124"/>
        <v/>
      </c>
      <c r="L775" s="59" t="str">
        <f>IF(D775="","",VLOOKUP(D775,'[1]0.1 Produksi Pangan &amp; Penduduk'!$D$5:$M$860,10,0))</f>
        <v/>
      </c>
      <c r="M775" s="28" t="str">
        <f t="shared" si="125"/>
        <v/>
      </c>
      <c r="N775" s="60" t="str">
        <f t="shared" si="126"/>
        <v/>
      </c>
      <c r="O775" s="60" t="str">
        <f t="shared" si="127"/>
        <v/>
      </c>
      <c r="P775" s="60" t="str">
        <f t="shared" si="128"/>
        <v/>
      </c>
      <c r="Q775" s="28" t="str">
        <f t="shared" si="129"/>
        <v/>
      </c>
    </row>
    <row r="776" spans="1:17" ht="15" x14ac:dyDescent="0.25">
      <c r="A776" s="3" t="str">
        <f>IF('[1]0.1 Produksi Pangan &amp; Penduduk'!A777="","",'[1]0.1 Produksi Pangan &amp; Penduduk'!A777)</f>
        <v/>
      </c>
      <c r="B776" s="2" t="str">
        <f>IF('[1]0.1 Produksi Pangan &amp; Penduduk'!B777="","",'[1]0.1 Produksi Pangan &amp; Penduduk'!B777)</f>
        <v/>
      </c>
      <c r="C776" s="2" t="str">
        <f>IF('[1]0.1 Produksi Pangan &amp; Penduduk'!F777="","",'[1]0.1 Produksi Pangan &amp; Penduduk'!F777)</f>
        <v/>
      </c>
      <c r="D776" s="3" t="str">
        <f>IF('[1]0.1 Produksi Pangan &amp; Penduduk'!D777="","",'[1]0.1 Produksi Pangan &amp; Penduduk'!D777)</f>
        <v/>
      </c>
      <c r="E776" s="3" t="str">
        <f>IF('[1]0.1 Produksi Pangan &amp; Penduduk'!E777="","",'[1]0.1 Produksi Pangan &amp; Penduduk'!E777)</f>
        <v/>
      </c>
      <c r="F776" s="59" t="str">
        <f>IF(D776="","",VLOOKUP(D776,'[1]0.1 Produksi Pangan &amp; Penduduk'!$D$5:$J$860,7,0))</f>
        <v/>
      </c>
      <c r="G776" s="27" t="str">
        <f t="shared" si="120"/>
        <v/>
      </c>
      <c r="H776" s="27" t="str">
        <f t="shared" si="121"/>
        <v/>
      </c>
      <c r="I776" s="27" t="str">
        <f t="shared" si="122"/>
        <v/>
      </c>
      <c r="J776" s="27" t="str">
        <f t="shared" si="123"/>
        <v/>
      </c>
      <c r="K776" s="27" t="str">
        <f t="shared" si="124"/>
        <v/>
      </c>
      <c r="L776" s="59" t="str">
        <f>IF(D776="","",VLOOKUP(D776,'[1]0.1 Produksi Pangan &amp; Penduduk'!$D$5:$M$860,10,0))</f>
        <v/>
      </c>
      <c r="M776" s="28" t="str">
        <f t="shared" si="125"/>
        <v/>
      </c>
      <c r="N776" s="60" t="str">
        <f t="shared" si="126"/>
        <v/>
      </c>
      <c r="O776" s="60" t="str">
        <f t="shared" si="127"/>
        <v/>
      </c>
      <c r="P776" s="60" t="str">
        <f t="shared" si="128"/>
        <v/>
      </c>
      <c r="Q776" s="28" t="str">
        <f t="shared" si="129"/>
        <v/>
      </c>
    </row>
    <row r="777" spans="1:17" ht="15" x14ac:dyDescent="0.25">
      <c r="A777" s="3" t="str">
        <f>IF('[1]0.1 Produksi Pangan &amp; Penduduk'!A778="","",'[1]0.1 Produksi Pangan &amp; Penduduk'!A778)</f>
        <v/>
      </c>
      <c r="B777" s="2" t="str">
        <f>IF('[1]0.1 Produksi Pangan &amp; Penduduk'!B778="","",'[1]0.1 Produksi Pangan &amp; Penduduk'!B778)</f>
        <v/>
      </c>
      <c r="C777" s="2" t="str">
        <f>IF('[1]0.1 Produksi Pangan &amp; Penduduk'!F778="","",'[1]0.1 Produksi Pangan &amp; Penduduk'!F778)</f>
        <v/>
      </c>
      <c r="D777" s="3" t="str">
        <f>IF('[1]0.1 Produksi Pangan &amp; Penduduk'!D778="","",'[1]0.1 Produksi Pangan &amp; Penduduk'!D778)</f>
        <v/>
      </c>
      <c r="E777" s="3" t="str">
        <f>IF('[1]0.1 Produksi Pangan &amp; Penduduk'!E778="","",'[1]0.1 Produksi Pangan &amp; Penduduk'!E778)</f>
        <v/>
      </c>
      <c r="F777" s="59" t="str">
        <f>IF(D777="","",VLOOKUP(D777,'[1]0.1 Produksi Pangan &amp; Penduduk'!$D$5:$J$860,7,0))</f>
        <v/>
      </c>
      <c r="G777" s="27" t="str">
        <f t="shared" si="120"/>
        <v/>
      </c>
      <c r="H777" s="27" t="str">
        <f t="shared" si="121"/>
        <v/>
      </c>
      <c r="I777" s="27" t="str">
        <f t="shared" si="122"/>
        <v/>
      </c>
      <c r="J777" s="27" t="str">
        <f t="shared" si="123"/>
        <v/>
      </c>
      <c r="K777" s="27" t="str">
        <f t="shared" si="124"/>
        <v/>
      </c>
      <c r="L777" s="59" t="str">
        <f>IF(D777="","",VLOOKUP(D777,'[1]0.1 Produksi Pangan &amp; Penduduk'!$D$5:$M$860,10,0))</f>
        <v/>
      </c>
      <c r="M777" s="28" t="str">
        <f t="shared" si="125"/>
        <v/>
      </c>
      <c r="N777" s="60" t="str">
        <f t="shared" si="126"/>
        <v/>
      </c>
      <c r="O777" s="60" t="str">
        <f t="shared" si="127"/>
        <v/>
      </c>
      <c r="P777" s="60" t="str">
        <f t="shared" si="128"/>
        <v/>
      </c>
      <c r="Q777" s="28" t="str">
        <f t="shared" si="129"/>
        <v/>
      </c>
    </row>
    <row r="778" spans="1:17" ht="15" x14ac:dyDescent="0.25">
      <c r="A778" s="3" t="str">
        <f>IF('[1]0.1 Produksi Pangan &amp; Penduduk'!A779="","",'[1]0.1 Produksi Pangan &amp; Penduduk'!A779)</f>
        <v/>
      </c>
      <c r="B778" s="2" t="str">
        <f>IF('[1]0.1 Produksi Pangan &amp; Penduduk'!B779="","",'[1]0.1 Produksi Pangan &amp; Penduduk'!B779)</f>
        <v/>
      </c>
      <c r="C778" s="2" t="str">
        <f>IF('[1]0.1 Produksi Pangan &amp; Penduduk'!F779="","",'[1]0.1 Produksi Pangan &amp; Penduduk'!F779)</f>
        <v/>
      </c>
      <c r="D778" s="3" t="str">
        <f>IF('[1]0.1 Produksi Pangan &amp; Penduduk'!D779="","",'[1]0.1 Produksi Pangan &amp; Penduduk'!D779)</f>
        <v/>
      </c>
      <c r="E778" s="3" t="str">
        <f>IF('[1]0.1 Produksi Pangan &amp; Penduduk'!E779="","",'[1]0.1 Produksi Pangan &amp; Penduduk'!E779)</f>
        <v/>
      </c>
      <c r="F778" s="59" t="str">
        <f>IF(D778="","",VLOOKUP(D778,'[1]0.1 Produksi Pangan &amp; Penduduk'!$D$5:$J$860,7,0))</f>
        <v/>
      </c>
      <c r="G778" s="27" t="str">
        <f t="shared" si="120"/>
        <v/>
      </c>
      <c r="H778" s="27" t="str">
        <f t="shared" si="121"/>
        <v/>
      </c>
      <c r="I778" s="27" t="str">
        <f t="shared" si="122"/>
        <v/>
      </c>
      <c r="J778" s="27" t="str">
        <f t="shared" si="123"/>
        <v/>
      </c>
      <c r="K778" s="27" t="str">
        <f t="shared" si="124"/>
        <v/>
      </c>
      <c r="L778" s="59" t="str">
        <f>IF(D778="","",VLOOKUP(D778,'[1]0.1 Produksi Pangan &amp; Penduduk'!$D$5:$M$860,10,0))</f>
        <v/>
      </c>
      <c r="M778" s="28" t="str">
        <f t="shared" si="125"/>
        <v/>
      </c>
      <c r="N778" s="60" t="str">
        <f t="shared" si="126"/>
        <v/>
      </c>
      <c r="O778" s="60" t="str">
        <f t="shared" si="127"/>
        <v/>
      </c>
      <c r="P778" s="60" t="str">
        <f t="shared" si="128"/>
        <v/>
      </c>
      <c r="Q778" s="28" t="str">
        <f t="shared" si="129"/>
        <v/>
      </c>
    </row>
    <row r="779" spans="1:17" ht="15" x14ac:dyDescent="0.25">
      <c r="A779" s="3" t="str">
        <f>IF('[1]0.1 Produksi Pangan &amp; Penduduk'!A780="","",'[1]0.1 Produksi Pangan &amp; Penduduk'!A780)</f>
        <v/>
      </c>
      <c r="B779" s="2" t="str">
        <f>IF('[1]0.1 Produksi Pangan &amp; Penduduk'!B780="","",'[1]0.1 Produksi Pangan &amp; Penduduk'!B780)</f>
        <v/>
      </c>
      <c r="C779" s="2" t="str">
        <f>IF('[1]0.1 Produksi Pangan &amp; Penduduk'!F780="","",'[1]0.1 Produksi Pangan &amp; Penduduk'!F780)</f>
        <v/>
      </c>
      <c r="D779" s="3" t="str">
        <f>IF('[1]0.1 Produksi Pangan &amp; Penduduk'!D780="","",'[1]0.1 Produksi Pangan &amp; Penduduk'!D780)</f>
        <v/>
      </c>
      <c r="E779" s="3" t="str">
        <f>IF('[1]0.1 Produksi Pangan &amp; Penduduk'!E780="","",'[1]0.1 Produksi Pangan &amp; Penduduk'!E780)</f>
        <v/>
      </c>
      <c r="F779" s="59" t="str">
        <f>IF(D779="","",VLOOKUP(D779,'[1]0.1 Produksi Pangan &amp; Penduduk'!$D$5:$J$860,7,0))</f>
        <v/>
      </c>
      <c r="G779" s="27" t="str">
        <f t="shared" si="120"/>
        <v/>
      </c>
      <c r="H779" s="27" t="str">
        <f t="shared" si="121"/>
        <v/>
      </c>
      <c r="I779" s="27" t="str">
        <f t="shared" si="122"/>
        <v/>
      </c>
      <c r="J779" s="27" t="str">
        <f t="shared" si="123"/>
        <v/>
      </c>
      <c r="K779" s="27" t="str">
        <f t="shared" si="124"/>
        <v/>
      </c>
      <c r="L779" s="59" t="str">
        <f>IF(D779="","",VLOOKUP(D779,'[1]0.1 Produksi Pangan &amp; Penduduk'!$D$5:$M$860,10,0))</f>
        <v/>
      </c>
      <c r="M779" s="28" t="str">
        <f t="shared" si="125"/>
        <v/>
      </c>
      <c r="N779" s="60" t="str">
        <f t="shared" si="126"/>
        <v/>
      </c>
      <c r="O779" s="60" t="str">
        <f t="shared" si="127"/>
        <v/>
      </c>
      <c r="P779" s="60" t="str">
        <f t="shared" si="128"/>
        <v/>
      </c>
      <c r="Q779" s="28" t="str">
        <f t="shared" si="129"/>
        <v/>
      </c>
    </row>
    <row r="780" spans="1:17" ht="15" x14ac:dyDescent="0.25">
      <c r="A780" s="3" t="str">
        <f>IF('[1]0.1 Produksi Pangan &amp; Penduduk'!A781="","",'[1]0.1 Produksi Pangan &amp; Penduduk'!A781)</f>
        <v/>
      </c>
      <c r="B780" s="2" t="str">
        <f>IF('[1]0.1 Produksi Pangan &amp; Penduduk'!B781="","",'[1]0.1 Produksi Pangan &amp; Penduduk'!B781)</f>
        <v/>
      </c>
      <c r="C780" s="2" t="str">
        <f>IF('[1]0.1 Produksi Pangan &amp; Penduduk'!F781="","",'[1]0.1 Produksi Pangan &amp; Penduduk'!F781)</f>
        <v/>
      </c>
      <c r="D780" s="3" t="str">
        <f>IF('[1]0.1 Produksi Pangan &amp; Penduduk'!D781="","",'[1]0.1 Produksi Pangan &amp; Penduduk'!D781)</f>
        <v/>
      </c>
      <c r="E780" s="3" t="str">
        <f>IF('[1]0.1 Produksi Pangan &amp; Penduduk'!E781="","",'[1]0.1 Produksi Pangan &amp; Penduduk'!E781)</f>
        <v/>
      </c>
      <c r="F780" s="59" t="str">
        <f>IF(D780="","",VLOOKUP(D780,'[1]0.1 Produksi Pangan &amp; Penduduk'!$D$5:$J$860,7,0))</f>
        <v/>
      </c>
      <c r="G780" s="27" t="str">
        <f t="shared" si="120"/>
        <v/>
      </c>
      <c r="H780" s="27" t="str">
        <f t="shared" si="121"/>
        <v/>
      </c>
      <c r="I780" s="27" t="str">
        <f t="shared" si="122"/>
        <v/>
      </c>
      <c r="J780" s="27" t="str">
        <f t="shared" si="123"/>
        <v/>
      </c>
      <c r="K780" s="27" t="str">
        <f t="shared" si="124"/>
        <v/>
      </c>
      <c r="L780" s="59" t="str">
        <f>IF(D780="","",VLOOKUP(D780,'[1]0.1 Produksi Pangan &amp; Penduduk'!$D$5:$M$860,10,0))</f>
        <v/>
      </c>
      <c r="M780" s="28" t="str">
        <f t="shared" si="125"/>
        <v/>
      </c>
      <c r="N780" s="60" t="str">
        <f t="shared" si="126"/>
        <v/>
      </c>
      <c r="O780" s="60" t="str">
        <f t="shared" si="127"/>
        <v/>
      </c>
      <c r="P780" s="60" t="str">
        <f t="shared" si="128"/>
        <v/>
      </c>
      <c r="Q780" s="28" t="str">
        <f t="shared" si="129"/>
        <v/>
      </c>
    </row>
    <row r="781" spans="1:17" ht="15" x14ac:dyDescent="0.25">
      <c r="A781" s="3" t="str">
        <f>IF('[1]0.1 Produksi Pangan &amp; Penduduk'!A782="","",'[1]0.1 Produksi Pangan &amp; Penduduk'!A782)</f>
        <v/>
      </c>
      <c r="B781" s="2" t="str">
        <f>IF('[1]0.1 Produksi Pangan &amp; Penduduk'!B782="","",'[1]0.1 Produksi Pangan &amp; Penduduk'!B782)</f>
        <v/>
      </c>
      <c r="C781" s="2" t="str">
        <f>IF('[1]0.1 Produksi Pangan &amp; Penduduk'!F782="","",'[1]0.1 Produksi Pangan &amp; Penduduk'!F782)</f>
        <v/>
      </c>
      <c r="D781" s="3" t="str">
        <f>IF('[1]0.1 Produksi Pangan &amp; Penduduk'!D782="","",'[1]0.1 Produksi Pangan &amp; Penduduk'!D782)</f>
        <v/>
      </c>
      <c r="E781" s="3" t="str">
        <f>IF('[1]0.1 Produksi Pangan &amp; Penduduk'!E782="","",'[1]0.1 Produksi Pangan &amp; Penduduk'!E782)</f>
        <v/>
      </c>
      <c r="F781" s="59" t="str">
        <f>IF(D781="","",VLOOKUP(D781,'[1]0.1 Produksi Pangan &amp; Penduduk'!$D$5:$J$860,7,0))</f>
        <v/>
      </c>
      <c r="G781" s="27" t="str">
        <f t="shared" si="120"/>
        <v/>
      </c>
      <c r="H781" s="27" t="str">
        <f t="shared" si="121"/>
        <v/>
      </c>
      <c r="I781" s="27" t="str">
        <f t="shared" si="122"/>
        <v/>
      </c>
      <c r="J781" s="27" t="str">
        <f t="shared" si="123"/>
        <v/>
      </c>
      <c r="K781" s="27" t="str">
        <f t="shared" si="124"/>
        <v/>
      </c>
      <c r="L781" s="59" t="str">
        <f>IF(D781="","",VLOOKUP(D781,'[1]0.1 Produksi Pangan &amp; Penduduk'!$D$5:$M$860,10,0))</f>
        <v/>
      </c>
      <c r="M781" s="28" t="str">
        <f t="shared" si="125"/>
        <v/>
      </c>
      <c r="N781" s="60" t="str">
        <f t="shared" si="126"/>
        <v/>
      </c>
      <c r="O781" s="60" t="str">
        <f t="shared" si="127"/>
        <v/>
      </c>
      <c r="P781" s="60" t="str">
        <f t="shared" si="128"/>
        <v/>
      </c>
      <c r="Q781" s="28" t="str">
        <f t="shared" si="129"/>
        <v/>
      </c>
    </row>
    <row r="782" spans="1:17" ht="15" x14ac:dyDescent="0.25">
      <c r="A782" s="3" t="str">
        <f>IF('[1]0.1 Produksi Pangan &amp; Penduduk'!A783="","",'[1]0.1 Produksi Pangan &amp; Penduduk'!A783)</f>
        <v/>
      </c>
      <c r="B782" s="2" t="str">
        <f>IF('[1]0.1 Produksi Pangan &amp; Penduduk'!B783="","",'[1]0.1 Produksi Pangan &amp; Penduduk'!B783)</f>
        <v/>
      </c>
      <c r="C782" s="2" t="str">
        <f>IF('[1]0.1 Produksi Pangan &amp; Penduduk'!F783="","",'[1]0.1 Produksi Pangan &amp; Penduduk'!F783)</f>
        <v/>
      </c>
      <c r="D782" s="3" t="str">
        <f>IF('[1]0.1 Produksi Pangan &amp; Penduduk'!D783="","",'[1]0.1 Produksi Pangan &amp; Penduduk'!D783)</f>
        <v/>
      </c>
      <c r="E782" s="3" t="str">
        <f>IF('[1]0.1 Produksi Pangan &amp; Penduduk'!E783="","",'[1]0.1 Produksi Pangan &amp; Penduduk'!E783)</f>
        <v/>
      </c>
      <c r="F782" s="59" t="str">
        <f>IF(D782="","",VLOOKUP(D782,'[1]0.1 Produksi Pangan &amp; Penduduk'!$D$5:$J$860,7,0))</f>
        <v/>
      </c>
      <c r="G782" s="27" t="str">
        <f t="shared" si="120"/>
        <v/>
      </c>
      <c r="H782" s="27" t="str">
        <f t="shared" si="121"/>
        <v/>
      </c>
      <c r="I782" s="27" t="str">
        <f t="shared" si="122"/>
        <v/>
      </c>
      <c r="J782" s="27" t="str">
        <f t="shared" si="123"/>
        <v/>
      </c>
      <c r="K782" s="27" t="str">
        <f t="shared" si="124"/>
        <v/>
      </c>
      <c r="L782" s="59" t="str">
        <f>IF(D782="","",VLOOKUP(D782,'[1]0.1 Produksi Pangan &amp; Penduduk'!$D$5:$M$860,10,0))</f>
        <v/>
      </c>
      <c r="M782" s="28" t="str">
        <f t="shared" si="125"/>
        <v/>
      </c>
      <c r="N782" s="60" t="str">
        <f t="shared" si="126"/>
        <v/>
      </c>
      <c r="O782" s="60" t="str">
        <f t="shared" si="127"/>
        <v/>
      </c>
      <c r="P782" s="60" t="str">
        <f t="shared" si="128"/>
        <v/>
      </c>
      <c r="Q782" s="28" t="str">
        <f t="shared" si="129"/>
        <v/>
      </c>
    </row>
    <row r="783" spans="1:17" ht="15" x14ac:dyDescent="0.25">
      <c r="A783" s="3" t="str">
        <f>IF('[1]0.1 Produksi Pangan &amp; Penduduk'!A784="","",'[1]0.1 Produksi Pangan &amp; Penduduk'!A784)</f>
        <v/>
      </c>
      <c r="B783" s="2" t="str">
        <f>IF('[1]0.1 Produksi Pangan &amp; Penduduk'!B784="","",'[1]0.1 Produksi Pangan &amp; Penduduk'!B784)</f>
        <v/>
      </c>
      <c r="C783" s="2" t="str">
        <f>IF('[1]0.1 Produksi Pangan &amp; Penduduk'!F784="","",'[1]0.1 Produksi Pangan &amp; Penduduk'!F784)</f>
        <v/>
      </c>
      <c r="D783" s="3" t="str">
        <f>IF('[1]0.1 Produksi Pangan &amp; Penduduk'!D784="","",'[1]0.1 Produksi Pangan &amp; Penduduk'!D784)</f>
        <v/>
      </c>
      <c r="E783" s="3" t="str">
        <f>IF('[1]0.1 Produksi Pangan &amp; Penduduk'!E784="","",'[1]0.1 Produksi Pangan &amp; Penduduk'!E784)</f>
        <v/>
      </c>
      <c r="F783" s="59" t="str">
        <f>IF(D783="","",VLOOKUP(D783,'[1]0.1 Produksi Pangan &amp; Penduduk'!$D$5:$J$860,7,0))</f>
        <v/>
      </c>
      <c r="G783" s="27" t="str">
        <f t="shared" si="120"/>
        <v/>
      </c>
      <c r="H783" s="27" t="str">
        <f t="shared" si="121"/>
        <v/>
      </c>
      <c r="I783" s="27" t="str">
        <f t="shared" si="122"/>
        <v/>
      </c>
      <c r="J783" s="27" t="str">
        <f t="shared" si="123"/>
        <v/>
      </c>
      <c r="K783" s="27" t="str">
        <f t="shared" si="124"/>
        <v/>
      </c>
      <c r="L783" s="59" t="str">
        <f>IF(D783="","",VLOOKUP(D783,'[1]0.1 Produksi Pangan &amp; Penduduk'!$D$5:$M$860,10,0))</f>
        <v/>
      </c>
      <c r="M783" s="28" t="str">
        <f t="shared" si="125"/>
        <v/>
      </c>
      <c r="N783" s="60" t="str">
        <f t="shared" si="126"/>
        <v/>
      </c>
      <c r="O783" s="60" t="str">
        <f t="shared" si="127"/>
        <v/>
      </c>
      <c r="P783" s="60" t="str">
        <f t="shared" si="128"/>
        <v/>
      </c>
      <c r="Q783" s="28" t="str">
        <f t="shared" si="129"/>
        <v/>
      </c>
    </row>
    <row r="784" spans="1:17" ht="15" x14ac:dyDescent="0.25">
      <c r="A784" s="3" t="str">
        <f>IF('[1]0.1 Produksi Pangan &amp; Penduduk'!A785="","",'[1]0.1 Produksi Pangan &amp; Penduduk'!A785)</f>
        <v/>
      </c>
      <c r="B784" s="2" t="str">
        <f>IF('[1]0.1 Produksi Pangan &amp; Penduduk'!B785="","",'[1]0.1 Produksi Pangan &amp; Penduduk'!B785)</f>
        <v/>
      </c>
      <c r="C784" s="2" t="str">
        <f>IF('[1]0.1 Produksi Pangan &amp; Penduduk'!F785="","",'[1]0.1 Produksi Pangan &amp; Penduduk'!F785)</f>
        <v/>
      </c>
      <c r="D784" s="3" t="str">
        <f>IF('[1]0.1 Produksi Pangan &amp; Penduduk'!D785="","",'[1]0.1 Produksi Pangan &amp; Penduduk'!D785)</f>
        <v/>
      </c>
      <c r="E784" s="3" t="str">
        <f>IF('[1]0.1 Produksi Pangan &amp; Penduduk'!E785="","",'[1]0.1 Produksi Pangan &amp; Penduduk'!E785)</f>
        <v/>
      </c>
      <c r="F784" s="59" t="str">
        <f>IF(D784="","",VLOOKUP(D784,'[1]0.1 Produksi Pangan &amp; Penduduk'!$D$5:$J$860,7,0))</f>
        <v/>
      </c>
      <c r="G784" s="27" t="str">
        <f t="shared" si="120"/>
        <v/>
      </c>
      <c r="H784" s="27" t="str">
        <f t="shared" si="121"/>
        <v/>
      </c>
      <c r="I784" s="27" t="str">
        <f t="shared" si="122"/>
        <v/>
      </c>
      <c r="J784" s="27" t="str">
        <f t="shared" si="123"/>
        <v/>
      </c>
      <c r="K784" s="27" t="str">
        <f t="shared" si="124"/>
        <v/>
      </c>
      <c r="L784" s="59" t="str">
        <f>IF(D784="","",VLOOKUP(D784,'[1]0.1 Produksi Pangan &amp; Penduduk'!$D$5:$M$860,10,0))</f>
        <v/>
      </c>
      <c r="M784" s="28" t="str">
        <f t="shared" si="125"/>
        <v/>
      </c>
      <c r="N784" s="60" t="str">
        <f t="shared" si="126"/>
        <v/>
      </c>
      <c r="O784" s="60" t="str">
        <f t="shared" si="127"/>
        <v/>
      </c>
      <c r="P784" s="60" t="str">
        <f t="shared" si="128"/>
        <v/>
      </c>
      <c r="Q784" s="28" t="str">
        <f t="shared" si="129"/>
        <v/>
      </c>
    </row>
    <row r="785" spans="1:17" ht="15" x14ac:dyDescent="0.25">
      <c r="A785" s="3" t="str">
        <f>IF('[1]0.1 Produksi Pangan &amp; Penduduk'!A786="","",'[1]0.1 Produksi Pangan &amp; Penduduk'!A786)</f>
        <v/>
      </c>
      <c r="B785" s="2" t="str">
        <f>IF('[1]0.1 Produksi Pangan &amp; Penduduk'!B786="","",'[1]0.1 Produksi Pangan &amp; Penduduk'!B786)</f>
        <v/>
      </c>
      <c r="C785" s="2" t="str">
        <f>IF('[1]0.1 Produksi Pangan &amp; Penduduk'!F786="","",'[1]0.1 Produksi Pangan &amp; Penduduk'!F786)</f>
        <v/>
      </c>
      <c r="D785" s="3" t="str">
        <f>IF('[1]0.1 Produksi Pangan &amp; Penduduk'!D786="","",'[1]0.1 Produksi Pangan &amp; Penduduk'!D786)</f>
        <v/>
      </c>
      <c r="E785" s="3" t="str">
        <f>IF('[1]0.1 Produksi Pangan &amp; Penduduk'!E786="","",'[1]0.1 Produksi Pangan &amp; Penduduk'!E786)</f>
        <v/>
      </c>
      <c r="F785" s="59" t="str">
        <f>IF(D785="","",VLOOKUP(D785,'[1]0.1 Produksi Pangan &amp; Penduduk'!$D$5:$J$860,7,0))</f>
        <v/>
      </c>
      <c r="G785" s="27" t="str">
        <f t="shared" si="120"/>
        <v/>
      </c>
      <c r="H785" s="27" t="str">
        <f t="shared" si="121"/>
        <v/>
      </c>
      <c r="I785" s="27" t="str">
        <f t="shared" si="122"/>
        <v/>
      </c>
      <c r="J785" s="27" t="str">
        <f t="shared" si="123"/>
        <v/>
      </c>
      <c r="K785" s="27" t="str">
        <f t="shared" si="124"/>
        <v/>
      </c>
      <c r="L785" s="59" t="str">
        <f>IF(D785="","",VLOOKUP(D785,'[1]0.1 Produksi Pangan &amp; Penduduk'!$D$5:$M$860,10,0))</f>
        <v/>
      </c>
      <c r="M785" s="28" t="str">
        <f t="shared" si="125"/>
        <v/>
      </c>
      <c r="N785" s="60" t="str">
        <f t="shared" si="126"/>
        <v/>
      </c>
      <c r="O785" s="60" t="str">
        <f t="shared" si="127"/>
        <v/>
      </c>
      <c r="P785" s="60" t="str">
        <f t="shared" si="128"/>
        <v/>
      </c>
      <c r="Q785" s="28" t="str">
        <f t="shared" si="129"/>
        <v/>
      </c>
    </row>
    <row r="786" spans="1:17" ht="15" x14ac:dyDescent="0.25">
      <c r="A786" s="3" t="str">
        <f>IF('[1]0.1 Produksi Pangan &amp; Penduduk'!A787="","",'[1]0.1 Produksi Pangan &amp; Penduduk'!A787)</f>
        <v/>
      </c>
      <c r="B786" s="2" t="str">
        <f>IF('[1]0.1 Produksi Pangan &amp; Penduduk'!B787="","",'[1]0.1 Produksi Pangan &amp; Penduduk'!B787)</f>
        <v/>
      </c>
      <c r="C786" s="2" t="str">
        <f>IF('[1]0.1 Produksi Pangan &amp; Penduduk'!F787="","",'[1]0.1 Produksi Pangan &amp; Penduduk'!F787)</f>
        <v/>
      </c>
      <c r="D786" s="3" t="str">
        <f>IF('[1]0.1 Produksi Pangan &amp; Penduduk'!D787="","",'[1]0.1 Produksi Pangan &amp; Penduduk'!D787)</f>
        <v/>
      </c>
      <c r="E786" s="3" t="str">
        <f>IF('[1]0.1 Produksi Pangan &amp; Penduduk'!E787="","",'[1]0.1 Produksi Pangan &amp; Penduduk'!E787)</f>
        <v/>
      </c>
      <c r="F786" s="59" t="str">
        <f>IF(D786="","",VLOOKUP(D786,'[1]0.1 Produksi Pangan &amp; Penduduk'!$D$5:$J$860,7,0))</f>
        <v/>
      </c>
      <c r="G786" s="27" t="str">
        <f t="shared" si="120"/>
        <v/>
      </c>
      <c r="H786" s="27" t="str">
        <f t="shared" si="121"/>
        <v/>
      </c>
      <c r="I786" s="27" t="str">
        <f t="shared" si="122"/>
        <v/>
      </c>
      <c r="J786" s="27" t="str">
        <f t="shared" si="123"/>
        <v/>
      </c>
      <c r="K786" s="27" t="str">
        <f t="shared" si="124"/>
        <v/>
      </c>
      <c r="L786" s="59" t="str">
        <f>IF(D786="","",VLOOKUP(D786,'[1]0.1 Produksi Pangan &amp; Penduduk'!$D$5:$M$860,10,0))</f>
        <v/>
      </c>
      <c r="M786" s="28" t="str">
        <f t="shared" si="125"/>
        <v/>
      </c>
      <c r="N786" s="60" t="str">
        <f t="shared" si="126"/>
        <v/>
      </c>
      <c r="O786" s="60" t="str">
        <f t="shared" si="127"/>
        <v/>
      </c>
      <c r="P786" s="60" t="str">
        <f t="shared" si="128"/>
        <v/>
      </c>
      <c r="Q786" s="28" t="str">
        <f t="shared" si="129"/>
        <v/>
      </c>
    </row>
    <row r="787" spans="1:17" ht="15" x14ac:dyDescent="0.25">
      <c r="A787" s="3" t="str">
        <f>IF('[1]0.1 Produksi Pangan &amp; Penduduk'!A788="","",'[1]0.1 Produksi Pangan &amp; Penduduk'!A788)</f>
        <v/>
      </c>
      <c r="B787" s="2" t="str">
        <f>IF('[1]0.1 Produksi Pangan &amp; Penduduk'!B788="","",'[1]0.1 Produksi Pangan &amp; Penduduk'!B788)</f>
        <v/>
      </c>
      <c r="C787" s="2" t="str">
        <f>IF('[1]0.1 Produksi Pangan &amp; Penduduk'!F788="","",'[1]0.1 Produksi Pangan &amp; Penduduk'!F788)</f>
        <v/>
      </c>
      <c r="D787" s="3" t="str">
        <f>IF('[1]0.1 Produksi Pangan &amp; Penduduk'!D788="","",'[1]0.1 Produksi Pangan &amp; Penduduk'!D788)</f>
        <v/>
      </c>
      <c r="E787" s="3" t="str">
        <f>IF('[1]0.1 Produksi Pangan &amp; Penduduk'!E788="","",'[1]0.1 Produksi Pangan &amp; Penduduk'!E788)</f>
        <v/>
      </c>
      <c r="F787" s="59" t="str">
        <f>IF(D787="","",VLOOKUP(D787,'[1]0.1 Produksi Pangan &amp; Penduduk'!$D$5:$J$860,7,0))</f>
        <v/>
      </c>
      <c r="G787" s="27" t="str">
        <f t="shared" si="120"/>
        <v/>
      </c>
      <c r="H787" s="27" t="str">
        <f t="shared" si="121"/>
        <v/>
      </c>
      <c r="I787" s="27" t="str">
        <f t="shared" si="122"/>
        <v/>
      </c>
      <c r="J787" s="27" t="str">
        <f t="shared" si="123"/>
        <v/>
      </c>
      <c r="K787" s="27" t="str">
        <f t="shared" si="124"/>
        <v/>
      </c>
      <c r="L787" s="59" t="str">
        <f>IF(D787="","",VLOOKUP(D787,'[1]0.1 Produksi Pangan &amp; Penduduk'!$D$5:$M$860,10,0))</f>
        <v/>
      </c>
      <c r="M787" s="28" t="str">
        <f t="shared" si="125"/>
        <v/>
      </c>
      <c r="N787" s="60" t="str">
        <f t="shared" si="126"/>
        <v/>
      </c>
      <c r="O787" s="60" t="str">
        <f t="shared" si="127"/>
        <v/>
      </c>
      <c r="P787" s="60" t="str">
        <f t="shared" si="128"/>
        <v/>
      </c>
      <c r="Q787" s="28" t="str">
        <f t="shared" si="129"/>
        <v/>
      </c>
    </row>
    <row r="788" spans="1:17" ht="15" x14ac:dyDescent="0.25">
      <c r="A788" s="3" t="str">
        <f>IF('[1]0.1 Produksi Pangan &amp; Penduduk'!A789="","",'[1]0.1 Produksi Pangan &amp; Penduduk'!A789)</f>
        <v/>
      </c>
      <c r="B788" s="2" t="str">
        <f>IF('[1]0.1 Produksi Pangan &amp; Penduduk'!B789="","",'[1]0.1 Produksi Pangan &amp; Penduduk'!B789)</f>
        <v/>
      </c>
      <c r="C788" s="2" t="str">
        <f>IF('[1]0.1 Produksi Pangan &amp; Penduduk'!F789="","",'[1]0.1 Produksi Pangan &amp; Penduduk'!F789)</f>
        <v/>
      </c>
      <c r="D788" s="3" t="str">
        <f>IF('[1]0.1 Produksi Pangan &amp; Penduduk'!D789="","",'[1]0.1 Produksi Pangan &amp; Penduduk'!D789)</f>
        <v/>
      </c>
      <c r="E788" s="3" t="str">
        <f>IF('[1]0.1 Produksi Pangan &amp; Penduduk'!E789="","",'[1]0.1 Produksi Pangan &amp; Penduduk'!E789)</f>
        <v/>
      </c>
      <c r="F788" s="59" t="str">
        <f>IF(D788="","",VLOOKUP(D788,'[1]0.1 Produksi Pangan &amp; Penduduk'!$D$5:$J$860,7,0))</f>
        <v/>
      </c>
      <c r="G788" s="27" t="str">
        <f t="shared" si="120"/>
        <v/>
      </c>
      <c r="H788" s="27" t="str">
        <f t="shared" si="121"/>
        <v/>
      </c>
      <c r="I788" s="27" t="str">
        <f t="shared" si="122"/>
        <v/>
      </c>
      <c r="J788" s="27" t="str">
        <f t="shared" si="123"/>
        <v/>
      </c>
      <c r="K788" s="27" t="str">
        <f t="shared" si="124"/>
        <v/>
      </c>
      <c r="L788" s="59" t="str">
        <f>IF(D788="","",VLOOKUP(D788,'[1]0.1 Produksi Pangan &amp; Penduduk'!$D$5:$M$860,10,0))</f>
        <v/>
      </c>
      <c r="M788" s="28" t="str">
        <f t="shared" si="125"/>
        <v/>
      </c>
      <c r="N788" s="60" t="str">
        <f t="shared" si="126"/>
        <v/>
      </c>
      <c r="O788" s="60" t="str">
        <f t="shared" si="127"/>
        <v/>
      </c>
      <c r="P788" s="60" t="str">
        <f t="shared" si="128"/>
        <v/>
      </c>
      <c r="Q788" s="28" t="str">
        <f t="shared" si="129"/>
        <v/>
      </c>
    </row>
    <row r="789" spans="1:17" ht="15" x14ac:dyDescent="0.25">
      <c r="A789" s="3" t="str">
        <f>IF('[1]0.1 Produksi Pangan &amp; Penduduk'!A790="","",'[1]0.1 Produksi Pangan &amp; Penduduk'!A790)</f>
        <v/>
      </c>
      <c r="B789" s="2" t="str">
        <f>IF('[1]0.1 Produksi Pangan &amp; Penduduk'!B790="","",'[1]0.1 Produksi Pangan &amp; Penduduk'!B790)</f>
        <v/>
      </c>
      <c r="C789" s="2" t="str">
        <f>IF('[1]0.1 Produksi Pangan &amp; Penduduk'!F790="","",'[1]0.1 Produksi Pangan &amp; Penduduk'!F790)</f>
        <v/>
      </c>
      <c r="D789" s="3" t="str">
        <f>IF('[1]0.1 Produksi Pangan &amp; Penduduk'!D790="","",'[1]0.1 Produksi Pangan &amp; Penduduk'!D790)</f>
        <v/>
      </c>
      <c r="E789" s="3" t="str">
        <f>IF('[1]0.1 Produksi Pangan &amp; Penduduk'!E790="","",'[1]0.1 Produksi Pangan &amp; Penduduk'!E790)</f>
        <v/>
      </c>
      <c r="F789" s="59" t="str">
        <f>IF(D789="","",VLOOKUP(D789,'[1]0.1 Produksi Pangan &amp; Penduduk'!$D$5:$J$860,7,0))</f>
        <v/>
      </c>
      <c r="G789" s="27" t="str">
        <f t="shared" si="120"/>
        <v/>
      </c>
      <c r="H789" s="27" t="str">
        <f t="shared" si="121"/>
        <v/>
      </c>
      <c r="I789" s="27" t="str">
        <f t="shared" si="122"/>
        <v/>
      </c>
      <c r="J789" s="27" t="str">
        <f t="shared" si="123"/>
        <v/>
      </c>
      <c r="K789" s="27" t="str">
        <f t="shared" si="124"/>
        <v/>
      </c>
      <c r="L789" s="59" t="str">
        <f>IF(D789="","",VLOOKUP(D789,'[1]0.1 Produksi Pangan &amp; Penduduk'!$D$5:$M$860,10,0))</f>
        <v/>
      </c>
      <c r="M789" s="28" t="str">
        <f t="shared" si="125"/>
        <v/>
      </c>
      <c r="N789" s="60" t="str">
        <f t="shared" si="126"/>
        <v/>
      </c>
      <c r="O789" s="60" t="str">
        <f t="shared" si="127"/>
        <v/>
      </c>
      <c r="P789" s="60" t="str">
        <f t="shared" si="128"/>
        <v/>
      </c>
      <c r="Q789" s="28" t="str">
        <f t="shared" si="129"/>
        <v/>
      </c>
    </row>
    <row r="790" spans="1:17" ht="15" x14ac:dyDescent="0.25">
      <c r="A790" s="3" t="str">
        <f>IF('[1]0.1 Produksi Pangan &amp; Penduduk'!A791="","",'[1]0.1 Produksi Pangan &amp; Penduduk'!A791)</f>
        <v/>
      </c>
      <c r="B790" s="2" t="str">
        <f>IF('[1]0.1 Produksi Pangan &amp; Penduduk'!B791="","",'[1]0.1 Produksi Pangan &amp; Penduduk'!B791)</f>
        <v/>
      </c>
      <c r="C790" s="2" t="str">
        <f>IF('[1]0.1 Produksi Pangan &amp; Penduduk'!F791="","",'[1]0.1 Produksi Pangan &amp; Penduduk'!F791)</f>
        <v/>
      </c>
      <c r="D790" s="3" t="str">
        <f>IF('[1]0.1 Produksi Pangan &amp; Penduduk'!D791="","",'[1]0.1 Produksi Pangan &amp; Penduduk'!D791)</f>
        <v/>
      </c>
      <c r="E790" s="3" t="str">
        <f>IF('[1]0.1 Produksi Pangan &amp; Penduduk'!E791="","",'[1]0.1 Produksi Pangan &amp; Penduduk'!E791)</f>
        <v/>
      </c>
      <c r="F790" s="59" t="str">
        <f>IF(D790="","",VLOOKUP(D790,'[1]0.1 Produksi Pangan &amp; Penduduk'!$D$5:$J$860,7,0))</f>
        <v/>
      </c>
      <c r="G790" s="27" t="str">
        <f t="shared" si="120"/>
        <v/>
      </c>
      <c r="H790" s="27" t="str">
        <f t="shared" si="121"/>
        <v/>
      </c>
      <c r="I790" s="27" t="str">
        <f t="shared" si="122"/>
        <v/>
      </c>
      <c r="J790" s="27" t="str">
        <f t="shared" si="123"/>
        <v/>
      </c>
      <c r="K790" s="27" t="str">
        <f t="shared" si="124"/>
        <v/>
      </c>
      <c r="L790" s="59" t="str">
        <f>IF(D790="","",VLOOKUP(D790,'[1]0.1 Produksi Pangan &amp; Penduduk'!$D$5:$M$860,10,0))</f>
        <v/>
      </c>
      <c r="M790" s="28" t="str">
        <f t="shared" si="125"/>
        <v/>
      </c>
      <c r="N790" s="60" t="str">
        <f t="shared" si="126"/>
        <v/>
      </c>
      <c r="O790" s="60" t="str">
        <f t="shared" si="127"/>
        <v/>
      </c>
      <c r="P790" s="60" t="str">
        <f t="shared" si="128"/>
        <v/>
      </c>
      <c r="Q790" s="28" t="str">
        <f t="shared" si="129"/>
        <v/>
      </c>
    </row>
    <row r="791" spans="1:17" ht="15" x14ac:dyDescent="0.25">
      <c r="A791" s="3" t="str">
        <f>IF('[1]0.1 Produksi Pangan &amp; Penduduk'!A792="","",'[1]0.1 Produksi Pangan &amp; Penduduk'!A792)</f>
        <v/>
      </c>
      <c r="B791" s="2" t="str">
        <f>IF('[1]0.1 Produksi Pangan &amp; Penduduk'!B792="","",'[1]0.1 Produksi Pangan &amp; Penduduk'!B792)</f>
        <v/>
      </c>
      <c r="C791" s="2" t="str">
        <f>IF('[1]0.1 Produksi Pangan &amp; Penduduk'!F792="","",'[1]0.1 Produksi Pangan &amp; Penduduk'!F792)</f>
        <v/>
      </c>
      <c r="D791" s="3" t="str">
        <f>IF('[1]0.1 Produksi Pangan &amp; Penduduk'!D792="","",'[1]0.1 Produksi Pangan &amp; Penduduk'!D792)</f>
        <v/>
      </c>
      <c r="E791" s="3" t="str">
        <f>IF('[1]0.1 Produksi Pangan &amp; Penduduk'!E792="","",'[1]0.1 Produksi Pangan &amp; Penduduk'!E792)</f>
        <v/>
      </c>
      <c r="F791" s="59" t="str">
        <f>IF(D791="","",VLOOKUP(D791,'[1]0.1 Produksi Pangan &amp; Penduduk'!$D$5:$J$860,7,0))</f>
        <v/>
      </c>
      <c r="G791" s="27" t="str">
        <f t="shared" si="120"/>
        <v/>
      </c>
      <c r="H791" s="27" t="str">
        <f t="shared" si="121"/>
        <v/>
      </c>
      <c r="I791" s="27" t="str">
        <f t="shared" si="122"/>
        <v/>
      </c>
      <c r="J791" s="27" t="str">
        <f t="shared" si="123"/>
        <v/>
      </c>
      <c r="K791" s="27" t="str">
        <f t="shared" si="124"/>
        <v/>
      </c>
      <c r="L791" s="59" t="str">
        <f>IF(D791="","",VLOOKUP(D791,'[1]0.1 Produksi Pangan &amp; Penduduk'!$D$5:$M$860,10,0))</f>
        <v/>
      </c>
      <c r="M791" s="28" t="str">
        <f t="shared" si="125"/>
        <v/>
      </c>
      <c r="N791" s="60" t="str">
        <f t="shared" si="126"/>
        <v/>
      </c>
      <c r="O791" s="60" t="str">
        <f t="shared" si="127"/>
        <v/>
      </c>
      <c r="P791" s="60" t="str">
        <f t="shared" si="128"/>
        <v/>
      </c>
      <c r="Q791" s="28" t="str">
        <f t="shared" si="129"/>
        <v/>
      </c>
    </row>
    <row r="792" spans="1:17" ht="15" x14ac:dyDescent="0.25">
      <c r="A792" s="3" t="str">
        <f>IF('[1]0.1 Produksi Pangan &amp; Penduduk'!A793="","",'[1]0.1 Produksi Pangan &amp; Penduduk'!A793)</f>
        <v/>
      </c>
      <c r="B792" s="2" t="str">
        <f>IF('[1]0.1 Produksi Pangan &amp; Penduduk'!B793="","",'[1]0.1 Produksi Pangan &amp; Penduduk'!B793)</f>
        <v/>
      </c>
      <c r="C792" s="2" t="str">
        <f>IF('[1]0.1 Produksi Pangan &amp; Penduduk'!F793="","",'[1]0.1 Produksi Pangan &amp; Penduduk'!F793)</f>
        <v/>
      </c>
      <c r="D792" s="3" t="str">
        <f>IF('[1]0.1 Produksi Pangan &amp; Penduduk'!D793="","",'[1]0.1 Produksi Pangan &amp; Penduduk'!D793)</f>
        <v/>
      </c>
      <c r="E792" s="3" t="str">
        <f>IF('[1]0.1 Produksi Pangan &amp; Penduduk'!E793="","",'[1]0.1 Produksi Pangan &amp; Penduduk'!E793)</f>
        <v/>
      </c>
      <c r="F792" s="59" t="str">
        <f>IF(D792="","",VLOOKUP(D792,'[1]0.1 Produksi Pangan &amp; Penduduk'!$D$5:$J$860,7,0))</f>
        <v/>
      </c>
      <c r="G792" s="27" t="str">
        <f t="shared" si="120"/>
        <v/>
      </c>
      <c r="H792" s="27" t="str">
        <f t="shared" si="121"/>
        <v/>
      </c>
      <c r="I792" s="27" t="str">
        <f t="shared" si="122"/>
        <v/>
      </c>
      <c r="J792" s="27" t="str">
        <f t="shared" si="123"/>
        <v/>
      </c>
      <c r="K792" s="27" t="str">
        <f t="shared" si="124"/>
        <v/>
      </c>
      <c r="L792" s="59" t="str">
        <f>IF(D792="","",VLOOKUP(D792,'[1]0.1 Produksi Pangan &amp; Penduduk'!$D$5:$M$860,10,0))</f>
        <v/>
      </c>
      <c r="M792" s="28" t="str">
        <f t="shared" si="125"/>
        <v/>
      </c>
      <c r="N792" s="60" t="str">
        <f t="shared" si="126"/>
        <v/>
      </c>
      <c r="O792" s="60" t="str">
        <f t="shared" si="127"/>
        <v/>
      </c>
      <c r="P792" s="60" t="str">
        <f t="shared" si="128"/>
        <v/>
      </c>
      <c r="Q792" s="28" t="str">
        <f t="shared" si="129"/>
        <v/>
      </c>
    </row>
    <row r="793" spans="1:17" ht="15" x14ac:dyDescent="0.25">
      <c r="A793" s="3" t="str">
        <f>IF('[1]0.1 Produksi Pangan &amp; Penduduk'!A794="","",'[1]0.1 Produksi Pangan &amp; Penduduk'!A794)</f>
        <v/>
      </c>
      <c r="B793" s="2" t="str">
        <f>IF('[1]0.1 Produksi Pangan &amp; Penduduk'!B794="","",'[1]0.1 Produksi Pangan &amp; Penduduk'!B794)</f>
        <v/>
      </c>
      <c r="C793" s="2" t="str">
        <f>IF('[1]0.1 Produksi Pangan &amp; Penduduk'!F794="","",'[1]0.1 Produksi Pangan &amp; Penduduk'!F794)</f>
        <v/>
      </c>
      <c r="D793" s="3" t="str">
        <f>IF('[1]0.1 Produksi Pangan &amp; Penduduk'!D794="","",'[1]0.1 Produksi Pangan &amp; Penduduk'!D794)</f>
        <v/>
      </c>
      <c r="E793" s="3" t="str">
        <f>IF('[1]0.1 Produksi Pangan &amp; Penduduk'!E794="","",'[1]0.1 Produksi Pangan &amp; Penduduk'!E794)</f>
        <v/>
      </c>
      <c r="F793" s="59" t="str">
        <f>IF(D793="","",VLOOKUP(D793,'[1]0.1 Produksi Pangan &amp; Penduduk'!$D$5:$J$860,7,0))</f>
        <v/>
      </c>
      <c r="G793" s="27" t="str">
        <f t="shared" si="120"/>
        <v/>
      </c>
      <c r="H793" s="27" t="str">
        <f t="shared" si="121"/>
        <v/>
      </c>
      <c r="I793" s="27" t="str">
        <f t="shared" si="122"/>
        <v/>
      </c>
      <c r="J793" s="27" t="str">
        <f t="shared" si="123"/>
        <v/>
      </c>
      <c r="K793" s="27" t="str">
        <f t="shared" si="124"/>
        <v/>
      </c>
      <c r="L793" s="59" t="str">
        <f>IF(D793="","",VLOOKUP(D793,'[1]0.1 Produksi Pangan &amp; Penduduk'!$D$5:$M$860,10,0))</f>
        <v/>
      </c>
      <c r="M793" s="28" t="str">
        <f t="shared" si="125"/>
        <v/>
      </c>
      <c r="N793" s="60" t="str">
        <f t="shared" si="126"/>
        <v/>
      </c>
      <c r="O793" s="60" t="str">
        <f t="shared" si="127"/>
        <v/>
      </c>
      <c r="P793" s="60" t="str">
        <f t="shared" si="128"/>
        <v/>
      </c>
      <c r="Q793" s="28" t="str">
        <f t="shared" si="129"/>
        <v/>
      </c>
    </row>
    <row r="794" spans="1:17" ht="15" x14ac:dyDescent="0.25">
      <c r="A794" s="3" t="str">
        <f>IF('[1]0.1 Produksi Pangan &amp; Penduduk'!A795="","",'[1]0.1 Produksi Pangan &amp; Penduduk'!A795)</f>
        <v/>
      </c>
      <c r="B794" s="2" t="str">
        <f>IF('[1]0.1 Produksi Pangan &amp; Penduduk'!B795="","",'[1]0.1 Produksi Pangan &amp; Penduduk'!B795)</f>
        <v/>
      </c>
      <c r="C794" s="2" t="str">
        <f>IF('[1]0.1 Produksi Pangan &amp; Penduduk'!F795="","",'[1]0.1 Produksi Pangan &amp; Penduduk'!F795)</f>
        <v/>
      </c>
      <c r="D794" s="3" t="str">
        <f>IF('[1]0.1 Produksi Pangan &amp; Penduduk'!D795="","",'[1]0.1 Produksi Pangan &amp; Penduduk'!D795)</f>
        <v/>
      </c>
      <c r="E794" s="3" t="str">
        <f>IF('[1]0.1 Produksi Pangan &amp; Penduduk'!E795="","",'[1]0.1 Produksi Pangan &amp; Penduduk'!E795)</f>
        <v/>
      </c>
      <c r="F794" s="59" t="str">
        <f>IF(D794="","",VLOOKUP(D794,'[1]0.1 Produksi Pangan &amp; Penduduk'!$D$5:$J$860,7,0))</f>
        <v/>
      </c>
      <c r="G794" s="27" t="str">
        <f t="shared" si="120"/>
        <v/>
      </c>
      <c r="H794" s="27" t="str">
        <f t="shared" si="121"/>
        <v/>
      </c>
      <c r="I794" s="27" t="str">
        <f t="shared" si="122"/>
        <v/>
      </c>
      <c r="J794" s="27" t="str">
        <f t="shared" si="123"/>
        <v/>
      </c>
      <c r="K794" s="27" t="str">
        <f t="shared" si="124"/>
        <v/>
      </c>
      <c r="L794" s="59" t="str">
        <f>IF(D794="","",VLOOKUP(D794,'[1]0.1 Produksi Pangan &amp; Penduduk'!$D$5:$M$860,10,0))</f>
        <v/>
      </c>
      <c r="M794" s="28" t="str">
        <f t="shared" si="125"/>
        <v/>
      </c>
      <c r="N794" s="60" t="str">
        <f t="shared" si="126"/>
        <v/>
      </c>
      <c r="O794" s="60" t="str">
        <f t="shared" si="127"/>
        <v/>
      </c>
      <c r="P794" s="60" t="str">
        <f t="shared" si="128"/>
        <v/>
      </c>
      <c r="Q794" s="28" t="str">
        <f t="shared" si="129"/>
        <v/>
      </c>
    </row>
    <row r="795" spans="1:17" ht="15" x14ac:dyDescent="0.25">
      <c r="A795" s="3" t="str">
        <f>IF('[1]0.1 Produksi Pangan &amp; Penduduk'!A796="","",'[1]0.1 Produksi Pangan &amp; Penduduk'!A796)</f>
        <v/>
      </c>
      <c r="B795" s="2" t="str">
        <f>IF('[1]0.1 Produksi Pangan &amp; Penduduk'!B796="","",'[1]0.1 Produksi Pangan &amp; Penduduk'!B796)</f>
        <v/>
      </c>
      <c r="C795" s="2" t="str">
        <f>IF('[1]0.1 Produksi Pangan &amp; Penduduk'!F796="","",'[1]0.1 Produksi Pangan &amp; Penduduk'!F796)</f>
        <v/>
      </c>
      <c r="D795" s="3" t="str">
        <f>IF('[1]0.1 Produksi Pangan &amp; Penduduk'!D796="","",'[1]0.1 Produksi Pangan &amp; Penduduk'!D796)</f>
        <v/>
      </c>
      <c r="E795" s="3" t="str">
        <f>IF('[1]0.1 Produksi Pangan &amp; Penduduk'!E796="","",'[1]0.1 Produksi Pangan &amp; Penduduk'!E796)</f>
        <v/>
      </c>
      <c r="F795" s="59" t="str">
        <f>IF(D795="","",VLOOKUP(D795,'[1]0.1 Produksi Pangan &amp; Penduduk'!$D$5:$J$860,7,0))</f>
        <v/>
      </c>
      <c r="G795" s="27" t="str">
        <f t="shared" si="120"/>
        <v/>
      </c>
      <c r="H795" s="27" t="str">
        <f t="shared" si="121"/>
        <v/>
      </c>
      <c r="I795" s="27" t="str">
        <f t="shared" si="122"/>
        <v/>
      </c>
      <c r="J795" s="27" t="str">
        <f t="shared" si="123"/>
        <v/>
      </c>
      <c r="K795" s="27" t="str">
        <f t="shared" si="124"/>
        <v/>
      </c>
      <c r="L795" s="59" t="str">
        <f>IF(D795="","",VLOOKUP(D795,'[1]0.1 Produksi Pangan &amp; Penduduk'!$D$5:$M$860,10,0))</f>
        <v/>
      </c>
      <c r="M795" s="28" t="str">
        <f t="shared" si="125"/>
        <v/>
      </c>
      <c r="N795" s="60" t="str">
        <f t="shared" si="126"/>
        <v/>
      </c>
      <c r="O795" s="60" t="str">
        <f t="shared" si="127"/>
        <v/>
      </c>
      <c r="P795" s="60" t="str">
        <f t="shared" si="128"/>
        <v/>
      </c>
      <c r="Q795" s="28" t="str">
        <f t="shared" si="129"/>
        <v/>
      </c>
    </row>
    <row r="796" spans="1:17" ht="15" x14ac:dyDescent="0.25">
      <c r="A796" s="3" t="str">
        <f>IF('[1]0.1 Produksi Pangan &amp; Penduduk'!A797="","",'[1]0.1 Produksi Pangan &amp; Penduduk'!A797)</f>
        <v/>
      </c>
      <c r="B796" s="2" t="str">
        <f>IF('[1]0.1 Produksi Pangan &amp; Penduduk'!B797="","",'[1]0.1 Produksi Pangan &amp; Penduduk'!B797)</f>
        <v/>
      </c>
      <c r="C796" s="2" t="str">
        <f>IF('[1]0.1 Produksi Pangan &amp; Penduduk'!F797="","",'[1]0.1 Produksi Pangan &amp; Penduduk'!F797)</f>
        <v/>
      </c>
      <c r="D796" s="3" t="str">
        <f>IF('[1]0.1 Produksi Pangan &amp; Penduduk'!D797="","",'[1]0.1 Produksi Pangan &amp; Penduduk'!D797)</f>
        <v/>
      </c>
      <c r="E796" s="3" t="str">
        <f>IF('[1]0.1 Produksi Pangan &amp; Penduduk'!E797="","",'[1]0.1 Produksi Pangan &amp; Penduduk'!E797)</f>
        <v/>
      </c>
      <c r="F796" s="59" t="str">
        <f>IF(D796="","",VLOOKUP(D796,'[1]0.1 Produksi Pangan &amp; Penduduk'!$D$5:$J$860,7,0))</f>
        <v/>
      </c>
      <c r="G796" s="27" t="str">
        <f t="shared" si="120"/>
        <v/>
      </c>
      <c r="H796" s="27" t="str">
        <f t="shared" si="121"/>
        <v/>
      </c>
      <c r="I796" s="27" t="str">
        <f t="shared" si="122"/>
        <v/>
      </c>
      <c r="J796" s="27" t="str">
        <f t="shared" si="123"/>
        <v/>
      </c>
      <c r="K796" s="27" t="str">
        <f t="shared" si="124"/>
        <v/>
      </c>
      <c r="L796" s="59" t="str">
        <f>IF(D796="","",VLOOKUP(D796,'[1]0.1 Produksi Pangan &amp; Penduduk'!$D$5:$M$860,10,0))</f>
        <v/>
      </c>
      <c r="M796" s="28" t="str">
        <f t="shared" si="125"/>
        <v/>
      </c>
      <c r="N796" s="60" t="str">
        <f t="shared" si="126"/>
        <v/>
      </c>
      <c r="O796" s="60" t="str">
        <f t="shared" si="127"/>
        <v/>
      </c>
      <c r="P796" s="60" t="str">
        <f t="shared" si="128"/>
        <v/>
      </c>
      <c r="Q796" s="28" t="str">
        <f t="shared" si="129"/>
        <v/>
      </c>
    </row>
    <row r="797" spans="1:17" ht="15" x14ac:dyDescent="0.25">
      <c r="A797" s="3" t="str">
        <f>IF('[1]0.1 Produksi Pangan &amp; Penduduk'!A798="","",'[1]0.1 Produksi Pangan &amp; Penduduk'!A798)</f>
        <v/>
      </c>
      <c r="B797" s="2" t="str">
        <f>IF('[1]0.1 Produksi Pangan &amp; Penduduk'!B798="","",'[1]0.1 Produksi Pangan &amp; Penduduk'!B798)</f>
        <v/>
      </c>
      <c r="C797" s="2" t="str">
        <f>IF('[1]0.1 Produksi Pangan &amp; Penduduk'!F798="","",'[1]0.1 Produksi Pangan &amp; Penduduk'!F798)</f>
        <v/>
      </c>
      <c r="D797" s="3" t="str">
        <f>IF('[1]0.1 Produksi Pangan &amp; Penduduk'!D798="","",'[1]0.1 Produksi Pangan &amp; Penduduk'!D798)</f>
        <v/>
      </c>
      <c r="E797" s="3" t="str">
        <f>IF('[1]0.1 Produksi Pangan &amp; Penduduk'!E798="","",'[1]0.1 Produksi Pangan &amp; Penduduk'!E798)</f>
        <v/>
      </c>
      <c r="F797" s="59" t="str">
        <f>IF(D797="","",VLOOKUP(D797,'[1]0.1 Produksi Pangan &amp; Penduduk'!$D$5:$J$860,7,0))</f>
        <v/>
      </c>
      <c r="G797" s="27" t="str">
        <f t="shared" si="120"/>
        <v/>
      </c>
      <c r="H797" s="27" t="str">
        <f t="shared" si="121"/>
        <v/>
      </c>
      <c r="I797" s="27" t="str">
        <f t="shared" si="122"/>
        <v/>
      </c>
      <c r="J797" s="27" t="str">
        <f t="shared" si="123"/>
        <v/>
      </c>
      <c r="K797" s="27" t="str">
        <f t="shared" si="124"/>
        <v/>
      </c>
      <c r="L797" s="59" t="str">
        <f>IF(D797="","",VLOOKUP(D797,'[1]0.1 Produksi Pangan &amp; Penduduk'!$D$5:$M$860,10,0))</f>
        <v/>
      </c>
      <c r="M797" s="28" t="str">
        <f t="shared" si="125"/>
        <v/>
      </c>
      <c r="N797" s="60" t="str">
        <f t="shared" si="126"/>
        <v/>
      </c>
      <c r="O797" s="60" t="str">
        <f t="shared" si="127"/>
        <v/>
      </c>
      <c r="P797" s="60" t="str">
        <f t="shared" si="128"/>
        <v/>
      </c>
      <c r="Q797" s="28" t="str">
        <f t="shared" si="129"/>
        <v/>
      </c>
    </row>
    <row r="798" spans="1:17" ht="15" x14ac:dyDescent="0.25">
      <c r="A798" s="3" t="str">
        <f>IF('[1]0.1 Produksi Pangan &amp; Penduduk'!A799="","",'[1]0.1 Produksi Pangan &amp; Penduduk'!A799)</f>
        <v/>
      </c>
      <c r="B798" s="2" t="str">
        <f>IF('[1]0.1 Produksi Pangan &amp; Penduduk'!B799="","",'[1]0.1 Produksi Pangan &amp; Penduduk'!B799)</f>
        <v/>
      </c>
      <c r="C798" s="2" t="str">
        <f>IF('[1]0.1 Produksi Pangan &amp; Penduduk'!F799="","",'[1]0.1 Produksi Pangan &amp; Penduduk'!F799)</f>
        <v/>
      </c>
      <c r="D798" s="3" t="str">
        <f>IF('[1]0.1 Produksi Pangan &amp; Penduduk'!D799="","",'[1]0.1 Produksi Pangan &amp; Penduduk'!D799)</f>
        <v/>
      </c>
      <c r="E798" s="3" t="str">
        <f>IF('[1]0.1 Produksi Pangan &amp; Penduduk'!E799="","",'[1]0.1 Produksi Pangan &amp; Penduduk'!E799)</f>
        <v/>
      </c>
      <c r="F798" s="59" t="str">
        <f>IF(D798="","",VLOOKUP(D798,'[1]0.1 Produksi Pangan &amp; Penduduk'!$D$5:$J$860,7,0))</f>
        <v/>
      </c>
      <c r="G798" s="27" t="str">
        <f t="shared" si="120"/>
        <v/>
      </c>
      <c r="H798" s="27" t="str">
        <f t="shared" si="121"/>
        <v/>
      </c>
      <c r="I798" s="27" t="str">
        <f t="shared" si="122"/>
        <v/>
      </c>
      <c r="J798" s="27" t="str">
        <f t="shared" si="123"/>
        <v/>
      </c>
      <c r="K798" s="27" t="str">
        <f t="shared" si="124"/>
        <v/>
      </c>
      <c r="L798" s="59" t="str">
        <f>IF(D798="","",VLOOKUP(D798,'[1]0.1 Produksi Pangan &amp; Penduduk'!$D$5:$M$860,10,0))</f>
        <v/>
      </c>
      <c r="M798" s="28" t="str">
        <f t="shared" si="125"/>
        <v/>
      </c>
      <c r="N798" s="60" t="str">
        <f t="shared" si="126"/>
        <v/>
      </c>
      <c r="O798" s="60" t="str">
        <f t="shared" si="127"/>
        <v/>
      </c>
      <c r="P798" s="60" t="str">
        <f t="shared" si="128"/>
        <v/>
      </c>
      <c r="Q798" s="28" t="str">
        <f t="shared" si="129"/>
        <v/>
      </c>
    </row>
    <row r="799" spans="1:17" ht="15" x14ac:dyDescent="0.25">
      <c r="A799" s="3" t="str">
        <f>IF('[1]0.1 Produksi Pangan &amp; Penduduk'!A800="","",'[1]0.1 Produksi Pangan &amp; Penduduk'!A800)</f>
        <v/>
      </c>
      <c r="B799" s="2" t="str">
        <f>IF('[1]0.1 Produksi Pangan &amp; Penduduk'!B800="","",'[1]0.1 Produksi Pangan &amp; Penduduk'!B800)</f>
        <v/>
      </c>
      <c r="C799" s="2" t="str">
        <f>IF('[1]0.1 Produksi Pangan &amp; Penduduk'!F800="","",'[1]0.1 Produksi Pangan &amp; Penduduk'!F800)</f>
        <v/>
      </c>
      <c r="D799" s="3" t="str">
        <f>IF('[1]0.1 Produksi Pangan &amp; Penduduk'!D800="","",'[1]0.1 Produksi Pangan &amp; Penduduk'!D800)</f>
        <v/>
      </c>
      <c r="E799" s="3" t="str">
        <f>IF('[1]0.1 Produksi Pangan &amp; Penduduk'!E800="","",'[1]0.1 Produksi Pangan &amp; Penduduk'!E800)</f>
        <v/>
      </c>
      <c r="F799" s="59" t="str">
        <f>IF(D799="","",VLOOKUP(D799,'[1]0.1 Produksi Pangan &amp; Penduduk'!$D$5:$J$860,7,0))</f>
        <v/>
      </c>
      <c r="G799" s="27" t="str">
        <f t="shared" si="120"/>
        <v/>
      </c>
      <c r="H799" s="27" t="str">
        <f t="shared" si="121"/>
        <v/>
      </c>
      <c r="I799" s="27" t="str">
        <f t="shared" si="122"/>
        <v/>
      </c>
      <c r="J799" s="27" t="str">
        <f t="shared" si="123"/>
        <v/>
      </c>
      <c r="K799" s="27" t="str">
        <f t="shared" si="124"/>
        <v/>
      </c>
      <c r="L799" s="59" t="str">
        <f>IF(D799="","",VLOOKUP(D799,'[1]0.1 Produksi Pangan &amp; Penduduk'!$D$5:$M$860,10,0))</f>
        <v/>
      </c>
      <c r="M799" s="28" t="str">
        <f t="shared" si="125"/>
        <v/>
      </c>
      <c r="N799" s="60" t="str">
        <f t="shared" si="126"/>
        <v/>
      </c>
      <c r="O799" s="60" t="str">
        <f t="shared" si="127"/>
        <v/>
      </c>
      <c r="P799" s="60" t="str">
        <f t="shared" si="128"/>
        <v/>
      </c>
      <c r="Q799" s="28" t="str">
        <f t="shared" si="129"/>
        <v/>
      </c>
    </row>
    <row r="800" spans="1:17" ht="15" x14ac:dyDescent="0.25">
      <c r="A800" s="3" t="str">
        <f>IF('[1]0.1 Produksi Pangan &amp; Penduduk'!A801="","",'[1]0.1 Produksi Pangan &amp; Penduduk'!A801)</f>
        <v/>
      </c>
      <c r="B800" s="2" t="str">
        <f>IF('[1]0.1 Produksi Pangan &amp; Penduduk'!B801="","",'[1]0.1 Produksi Pangan &amp; Penduduk'!B801)</f>
        <v/>
      </c>
      <c r="C800" s="2" t="str">
        <f>IF('[1]0.1 Produksi Pangan &amp; Penduduk'!F801="","",'[1]0.1 Produksi Pangan &amp; Penduduk'!F801)</f>
        <v/>
      </c>
      <c r="D800" s="3" t="str">
        <f>IF('[1]0.1 Produksi Pangan &amp; Penduduk'!D801="","",'[1]0.1 Produksi Pangan &amp; Penduduk'!D801)</f>
        <v/>
      </c>
      <c r="E800" s="3" t="str">
        <f>IF('[1]0.1 Produksi Pangan &amp; Penduduk'!E801="","",'[1]0.1 Produksi Pangan &amp; Penduduk'!E801)</f>
        <v/>
      </c>
      <c r="F800" s="59" t="str">
        <f>IF(D800="","",VLOOKUP(D800,'[1]0.1 Produksi Pangan &amp; Penduduk'!$D$5:$J$860,7,0))</f>
        <v/>
      </c>
      <c r="G800" s="27" t="str">
        <f t="shared" si="120"/>
        <v/>
      </c>
      <c r="H800" s="27" t="str">
        <f t="shared" si="121"/>
        <v/>
      </c>
      <c r="I800" s="27" t="str">
        <f t="shared" si="122"/>
        <v/>
      </c>
      <c r="J800" s="27" t="str">
        <f t="shared" si="123"/>
        <v/>
      </c>
      <c r="K800" s="27" t="str">
        <f t="shared" si="124"/>
        <v/>
      </c>
      <c r="L800" s="59" t="str">
        <f>IF(D800="","",VLOOKUP(D800,'[1]0.1 Produksi Pangan &amp; Penduduk'!$D$5:$M$860,10,0))</f>
        <v/>
      </c>
      <c r="M800" s="28" t="str">
        <f t="shared" si="125"/>
        <v/>
      </c>
      <c r="N800" s="60" t="str">
        <f t="shared" si="126"/>
        <v/>
      </c>
      <c r="O800" s="60" t="str">
        <f t="shared" si="127"/>
        <v/>
      </c>
      <c r="P800" s="60" t="str">
        <f t="shared" si="128"/>
        <v/>
      </c>
      <c r="Q800" s="28" t="str">
        <f t="shared" si="129"/>
        <v/>
      </c>
    </row>
    <row r="801" spans="1:17" ht="15" x14ac:dyDescent="0.25">
      <c r="A801" s="3" t="str">
        <f>IF('[1]0.1 Produksi Pangan &amp; Penduduk'!A802="","",'[1]0.1 Produksi Pangan &amp; Penduduk'!A802)</f>
        <v/>
      </c>
      <c r="B801" s="2" t="str">
        <f>IF('[1]0.1 Produksi Pangan &amp; Penduduk'!B802="","",'[1]0.1 Produksi Pangan &amp; Penduduk'!B802)</f>
        <v/>
      </c>
      <c r="C801" s="2" t="str">
        <f>IF('[1]0.1 Produksi Pangan &amp; Penduduk'!F802="","",'[1]0.1 Produksi Pangan &amp; Penduduk'!F802)</f>
        <v/>
      </c>
      <c r="D801" s="3" t="str">
        <f>IF('[1]0.1 Produksi Pangan &amp; Penduduk'!D802="","",'[1]0.1 Produksi Pangan &amp; Penduduk'!D802)</f>
        <v/>
      </c>
      <c r="E801" s="3" t="str">
        <f>IF('[1]0.1 Produksi Pangan &amp; Penduduk'!E802="","",'[1]0.1 Produksi Pangan &amp; Penduduk'!E802)</f>
        <v/>
      </c>
      <c r="F801" s="59" t="str">
        <f>IF(D801="","",VLOOKUP(D801,'[1]0.1 Produksi Pangan &amp; Penduduk'!$D$5:$J$860,7,0))</f>
        <v/>
      </c>
      <c r="G801" s="27" t="str">
        <f t="shared" si="120"/>
        <v/>
      </c>
      <c r="H801" s="27" t="str">
        <f t="shared" si="121"/>
        <v/>
      </c>
      <c r="I801" s="27" t="str">
        <f t="shared" si="122"/>
        <v/>
      </c>
      <c r="J801" s="27" t="str">
        <f t="shared" si="123"/>
        <v/>
      </c>
      <c r="K801" s="27" t="str">
        <f t="shared" si="124"/>
        <v/>
      </c>
      <c r="L801" s="59" t="str">
        <f>IF(D801="","",VLOOKUP(D801,'[1]0.1 Produksi Pangan &amp; Penduduk'!$D$5:$M$860,10,0))</f>
        <v/>
      </c>
      <c r="M801" s="28" t="str">
        <f t="shared" si="125"/>
        <v/>
      </c>
      <c r="N801" s="60" t="str">
        <f t="shared" si="126"/>
        <v/>
      </c>
      <c r="O801" s="60" t="str">
        <f t="shared" si="127"/>
        <v/>
      </c>
      <c r="P801" s="60" t="str">
        <f t="shared" si="128"/>
        <v/>
      </c>
      <c r="Q801" s="28" t="str">
        <f t="shared" si="129"/>
        <v/>
      </c>
    </row>
    <row r="802" spans="1:17" ht="15" x14ac:dyDescent="0.25">
      <c r="A802" s="3" t="str">
        <f>IF('[1]0.1 Produksi Pangan &amp; Penduduk'!A803="","",'[1]0.1 Produksi Pangan &amp; Penduduk'!A803)</f>
        <v/>
      </c>
      <c r="B802" s="2" t="str">
        <f>IF('[1]0.1 Produksi Pangan &amp; Penduduk'!B803="","",'[1]0.1 Produksi Pangan &amp; Penduduk'!B803)</f>
        <v/>
      </c>
      <c r="C802" s="2" t="str">
        <f>IF('[1]0.1 Produksi Pangan &amp; Penduduk'!F803="","",'[1]0.1 Produksi Pangan &amp; Penduduk'!F803)</f>
        <v/>
      </c>
      <c r="D802" s="3" t="str">
        <f>IF('[1]0.1 Produksi Pangan &amp; Penduduk'!D803="","",'[1]0.1 Produksi Pangan &amp; Penduduk'!D803)</f>
        <v/>
      </c>
      <c r="E802" s="3" t="str">
        <f>IF('[1]0.1 Produksi Pangan &amp; Penduduk'!E803="","",'[1]0.1 Produksi Pangan &amp; Penduduk'!E803)</f>
        <v/>
      </c>
      <c r="F802" s="59" t="str">
        <f>IF(D802="","",VLOOKUP(D802,'[1]0.1 Produksi Pangan &amp; Penduduk'!$D$5:$J$860,7,0))</f>
        <v/>
      </c>
      <c r="G802" s="27" t="str">
        <f t="shared" si="120"/>
        <v/>
      </c>
      <c r="H802" s="27" t="str">
        <f t="shared" si="121"/>
        <v/>
      </c>
      <c r="I802" s="27" t="str">
        <f t="shared" si="122"/>
        <v/>
      </c>
      <c r="J802" s="27" t="str">
        <f t="shared" si="123"/>
        <v/>
      </c>
      <c r="K802" s="27" t="str">
        <f t="shared" si="124"/>
        <v/>
      </c>
      <c r="L802" s="59" t="str">
        <f>IF(D802="","",VLOOKUP(D802,'[1]0.1 Produksi Pangan &amp; Penduduk'!$D$5:$M$860,10,0))</f>
        <v/>
      </c>
      <c r="M802" s="28" t="str">
        <f t="shared" si="125"/>
        <v/>
      </c>
      <c r="N802" s="60" t="str">
        <f t="shared" si="126"/>
        <v/>
      </c>
      <c r="O802" s="60" t="str">
        <f t="shared" si="127"/>
        <v/>
      </c>
      <c r="P802" s="60" t="str">
        <f t="shared" si="128"/>
        <v/>
      </c>
      <c r="Q802" s="28" t="str">
        <f t="shared" si="129"/>
        <v/>
      </c>
    </row>
    <row r="803" spans="1:17" ht="15" x14ac:dyDescent="0.25">
      <c r="A803" s="3" t="str">
        <f>IF('[1]0.1 Produksi Pangan &amp; Penduduk'!A804="","",'[1]0.1 Produksi Pangan &amp; Penduduk'!A804)</f>
        <v/>
      </c>
      <c r="B803" s="2" t="str">
        <f>IF('[1]0.1 Produksi Pangan &amp; Penduduk'!B804="","",'[1]0.1 Produksi Pangan &amp; Penduduk'!B804)</f>
        <v/>
      </c>
      <c r="C803" s="2" t="str">
        <f>IF('[1]0.1 Produksi Pangan &amp; Penduduk'!F804="","",'[1]0.1 Produksi Pangan &amp; Penduduk'!F804)</f>
        <v/>
      </c>
      <c r="D803" s="3" t="str">
        <f>IF('[1]0.1 Produksi Pangan &amp; Penduduk'!D804="","",'[1]0.1 Produksi Pangan &amp; Penduduk'!D804)</f>
        <v/>
      </c>
      <c r="E803" s="3" t="str">
        <f>IF('[1]0.1 Produksi Pangan &amp; Penduduk'!E804="","",'[1]0.1 Produksi Pangan &amp; Penduduk'!E804)</f>
        <v/>
      </c>
      <c r="F803" s="59" t="str">
        <f>IF(D803="","",VLOOKUP(D803,'[1]0.1 Produksi Pangan &amp; Penduduk'!$D$5:$J$860,7,0))</f>
        <v/>
      </c>
      <c r="G803" s="27" t="str">
        <f t="shared" si="120"/>
        <v/>
      </c>
      <c r="H803" s="27" t="str">
        <f t="shared" si="121"/>
        <v/>
      </c>
      <c r="I803" s="27" t="str">
        <f t="shared" si="122"/>
        <v/>
      </c>
      <c r="J803" s="27" t="str">
        <f t="shared" si="123"/>
        <v/>
      </c>
      <c r="K803" s="27" t="str">
        <f t="shared" si="124"/>
        <v/>
      </c>
      <c r="L803" s="59" t="str">
        <f>IF(D803="","",VLOOKUP(D803,'[1]0.1 Produksi Pangan &amp; Penduduk'!$D$5:$M$860,10,0))</f>
        <v/>
      </c>
      <c r="M803" s="28" t="str">
        <f t="shared" si="125"/>
        <v/>
      </c>
      <c r="N803" s="60" t="str">
        <f t="shared" si="126"/>
        <v/>
      </c>
      <c r="O803" s="60" t="str">
        <f t="shared" si="127"/>
        <v/>
      </c>
      <c r="P803" s="60" t="str">
        <f t="shared" si="128"/>
        <v/>
      </c>
      <c r="Q803" s="28" t="str">
        <f t="shared" si="129"/>
        <v/>
      </c>
    </row>
    <row r="804" spans="1:17" ht="15" x14ac:dyDescent="0.25">
      <c r="A804" s="3" t="str">
        <f>IF('[1]0.1 Produksi Pangan &amp; Penduduk'!A805="","",'[1]0.1 Produksi Pangan &amp; Penduduk'!A805)</f>
        <v/>
      </c>
      <c r="B804" s="2" t="str">
        <f>IF('[1]0.1 Produksi Pangan &amp; Penduduk'!B805="","",'[1]0.1 Produksi Pangan &amp; Penduduk'!B805)</f>
        <v/>
      </c>
      <c r="C804" s="2" t="str">
        <f>IF('[1]0.1 Produksi Pangan &amp; Penduduk'!F805="","",'[1]0.1 Produksi Pangan &amp; Penduduk'!F805)</f>
        <v/>
      </c>
      <c r="D804" s="3" t="str">
        <f>IF('[1]0.1 Produksi Pangan &amp; Penduduk'!D805="","",'[1]0.1 Produksi Pangan &amp; Penduduk'!D805)</f>
        <v/>
      </c>
      <c r="E804" s="3" t="str">
        <f>IF('[1]0.1 Produksi Pangan &amp; Penduduk'!E805="","",'[1]0.1 Produksi Pangan &amp; Penduduk'!E805)</f>
        <v/>
      </c>
      <c r="F804" s="59" t="str">
        <f>IF(D804="","",VLOOKUP(D804,'[1]0.1 Produksi Pangan &amp; Penduduk'!$D$5:$J$860,7,0))</f>
        <v/>
      </c>
      <c r="G804" s="27" t="str">
        <f t="shared" si="120"/>
        <v/>
      </c>
      <c r="H804" s="27" t="str">
        <f t="shared" si="121"/>
        <v/>
      </c>
      <c r="I804" s="27" t="str">
        <f t="shared" si="122"/>
        <v/>
      </c>
      <c r="J804" s="27" t="str">
        <f t="shared" si="123"/>
        <v/>
      </c>
      <c r="K804" s="27" t="str">
        <f t="shared" si="124"/>
        <v/>
      </c>
      <c r="L804" s="59" t="str">
        <f>IF(D804="","",VLOOKUP(D804,'[1]0.1 Produksi Pangan &amp; Penduduk'!$D$5:$M$860,10,0))</f>
        <v/>
      </c>
      <c r="M804" s="28" t="str">
        <f t="shared" si="125"/>
        <v/>
      </c>
      <c r="N804" s="60" t="str">
        <f t="shared" si="126"/>
        <v/>
      </c>
      <c r="O804" s="60" t="str">
        <f t="shared" si="127"/>
        <v/>
      </c>
      <c r="P804" s="60" t="str">
        <f t="shared" si="128"/>
        <v/>
      </c>
      <c r="Q804" s="28" t="str">
        <f t="shared" si="129"/>
        <v/>
      </c>
    </row>
    <row r="805" spans="1:17" ht="15" x14ac:dyDescent="0.25">
      <c r="A805" s="3" t="str">
        <f>IF('[1]0.1 Produksi Pangan &amp; Penduduk'!A806="","",'[1]0.1 Produksi Pangan &amp; Penduduk'!A806)</f>
        <v/>
      </c>
      <c r="B805" s="2" t="str">
        <f>IF('[1]0.1 Produksi Pangan &amp; Penduduk'!B806="","",'[1]0.1 Produksi Pangan &amp; Penduduk'!B806)</f>
        <v/>
      </c>
      <c r="C805" s="2" t="str">
        <f>IF('[1]0.1 Produksi Pangan &amp; Penduduk'!F806="","",'[1]0.1 Produksi Pangan &amp; Penduduk'!F806)</f>
        <v/>
      </c>
      <c r="D805" s="3" t="str">
        <f>IF('[1]0.1 Produksi Pangan &amp; Penduduk'!D806="","",'[1]0.1 Produksi Pangan &amp; Penduduk'!D806)</f>
        <v/>
      </c>
      <c r="E805" s="3" t="str">
        <f>IF('[1]0.1 Produksi Pangan &amp; Penduduk'!E806="","",'[1]0.1 Produksi Pangan &amp; Penduduk'!E806)</f>
        <v/>
      </c>
      <c r="F805" s="59" t="str">
        <f>IF(D805="","",VLOOKUP(D805,'[1]0.1 Produksi Pangan &amp; Penduduk'!$D$5:$J$860,7,0))</f>
        <v/>
      </c>
      <c r="G805" s="27" t="str">
        <f t="shared" si="120"/>
        <v/>
      </c>
      <c r="H805" s="27" t="str">
        <f t="shared" si="121"/>
        <v/>
      </c>
      <c r="I805" s="27" t="str">
        <f t="shared" si="122"/>
        <v/>
      </c>
      <c r="J805" s="27" t="str">
        <f t="shared" si="123"/>
        <v/>
      </c>
      <c r="K805" s="27" t="str">
        <f t="shared" si="124"/>
        <v/>
      </c>
      <c r="L805" s="59" t="str">
        <f>IF(D805="","",VLOOKUP(D805,'[1]0.1 Produksi Pangan &amp; Penduduk'!$D$5:$M$860,10,0))</f>
        <v/>
      </c>
      <c r="M805" s="28" t="str">
        <f t="shared" si="125"/>
        <v/>
      </c>
      <c r="N805" s="60" t="str">
        <f t="shared" si="126"/>
        <v/>
      </c>
      <c r="O805" s="60" t="str">
        <f t="shared" si="127"/>
        <v/>
      </c>
      <c r="P805" s="60" t="str">
        <f t="shared" si="128"/>
        <v/>
      </c>
      <c r="Q805" s="28" t="str">
        <f t="shared" si="129"/>
        <v/>
      </c>
    </row>
    <row r="806" spans="1:17" ht="15" x14ac:dyDescent="0.25">
      <c r="A806" s="3" t="str">
        <f>IF('[1]0.1 Produksi Pangan &amp; Penduduk'!A807="","",'[1]0.1 Produksi Pangan &amp; Penduduk'!A807)</f>
        <v/>
      </c>
      <c r="B806" s="2" t="str">
        <f>IF('[1]0.1 Produksi Pangan &amp; Penduduk'!B807="","",'[1]0.1 Produksi Pangan &amp; Penduduk'!B807)</f>
        <v/>
      </c>
      <c r="C806" s="2" t="str">
        <f>IF('[1]0.1 Produksi Pangan &amp; Penduduk'!F807="","",'[1]0.1 Produksi Pangan &amp; Penduduk'!F807)</f>
        <v/>
      </c>
      <c r="D806" s="3" t="str">
        <f>IF('[1]0.1 Produksi Pangan &amp; Penduduk'!D807="","",'[1]0.1 Produksi Pangan &amp; Penduduk'!D807)</f>
        <v/>
      </c>
      <c r="E806" s="3" t="str">
        <f>IF('[1]0.1 Produksi Pangan &amp; Penduduk'!E807="","",'[1]0.1 Produksi Pangan &amp; Penduduk'!E807)</f>
        <v/>
      </c>
      <c r="F806" s="59" t="str">
        <f>IF(D806="","",VLOOKUP(D806,'[1]0.1 Produksi Pangan &amp; Penduduk'!$D$5:$J$860,7,0))</f>
        <v/>
      </c>
      <c r="G806" s="27" t="str">
        <f t="shared" si="120"/>
        <v/>
      </c>
      <c r="H806" s="27" t="str">
        <f t="shared" si="121"/>
        <v/>
      </c>
      <c r="I806" s="27" t="str">
        <f t="shared" si="122"/>
        <v/>
      </c>
      <c r="J806" s="27" t="str">
        <f t="shared" si="123"/>
        <v/>
      </c>
      <c r="K806" s="27" t="str">
        <f t="shared" si="124"/>
        <v/>
      </c>
      <c r="L806" s="59" t="str">
        <f>IF(D806="","",VLOOKUP(D806,'[1]0.1 Produksi Pangan &amp; Penduduk'!$D$5:$M$860,10,0))</f>
        <v/>
      </c>
      <c r="M806" s="28" t="str">
        <f t="shared" si="125"/>
        <v/>
      </c>
      <c r="N806" s="60" t="str">
        <f t="shared" si="126"/>
        <v/>
      </c>
      <c r="O806" s="60" t="str">
        <f t="shared" si="127"/>
        <v/>
      </c>
      <c r="P806" s="60" t="str">
        <f t="shared" si="128"/>
        <v/>
      </c>
      <c r="Q806" s="28" t="str">
        <f t="shared" si="129"/>
        <v/>
      </c>
    </row>
    <row r="807" spans="1:17" ht="15" x14ac:dyDescent="0.25">
      <c r="A807" s="3" t="str">
        <f>IF('[1]0.1 Produksi Pangan &amp; Penduduk'!A808="","",'[1]0.1 Produksi Pangan &amp; Penduduk'!A808)</f>
        <v/>
      </c>
      <c r="B807" s="2" t="str">
        <f>IF('[1]0.1 Produksi Pangan &amp; Penduduk'!B808="","",'[1]0.1 Produksi Pangan &amp; Penduduk'!B808)</f>
        <v/>
      </c>
      <c r="C807" s="2" t="str">
        <f>IF('[1]0.1 Produksi Pangan &amp; Penduduk'!F808="","",'[1]0.1 Produksi Pangan &amp; Penduduk'!F808)</f>
        <v/>
      </c>
      <c r="D807" s="3" t="str">
        <f>IF('[1]0.1 Produksi Pangan &amp; Penduduk'!D808="","",'[1]0.1 Produksi Pangan &amp; Penduduk'!D808)</f>
        <v/>
      </c>
      <c r="E807" s="3" t="str">
        <f>IF('[1]0.1 Produksi Pangan &amp; Penduduk'!E808="","",'[1]0.1 Produksi Pangan &amp; Penduduk'!E808)</f>
        <v/>
      </c>
      <c r="F807" s="59" t="str">
        <f>IF(D807="","",VLOOKUP(D807,'[1]0.1 Produksi Pangan &amp; Penduduk'!$D$5:$J$860,7,0))</f>
        <v/>
      </c>
      <c r="G807" s="27" t="str">
        <f t="shared" si="120"/>
        <v/>
      </c>
      <c r="H807" s="27" t="str">
        <f t="shared" si="121"/>
        <v/>
      </c>
      <c r="I807" s="27" t="str">
        <f t="shared" si="122"/>
        <v/>
      </c>
      <c r="J807" s="27" t="str">
        <f t="shared" si="123"/>
        <v/>
      </c>
      <c r="K807" s="27" t="str">
        <f t="shared" si="124"/>
        <v/>
      </c>
      <c r="L807" s="59" t="str">
        <f>IF(D807="","",VLOOKUP(D807,'[1]0.1 Produksi Pangan &amp; Penduduk'!$D$5:$M$860,10,0))</f>
        <v/>
      </c>
      <c r="M807" s="28" t="str">
        <f t="shared" si="125"/>
        <v/>
      </c>
      <c r="N807" s="60" t="str">
        <f t="shared" si="126"/>
        <v/>
      </c>
      <c r="O807" s="60" t="str">
        <f t="shared" si="127"/>
        <v/>
      </c>
      <c r="P807" s="60" t="str">
        <f t="shared" si="128"/>
        <v/>
      </c>
      <c r="Q807" s="28" t="str">
        <f t="shared" si="129"/>
        <v/>
      </c>
    </row>
    <row r="808" spans="1:17" ht="15" x14ac:dyDescent="0.25">
      <c r="A808" s="3" t="str">
        <f>IF('[1]0.1 Produksi Pangan &amp; Penduduk'!A809="","",'[1]0.1 Produksi Pangan &amp; Penduduk'!A809)</f>
        <v/>
      </c>
      <c r="B808" s="2" t="str">
        <f>IF('[1]0.1 Produksi Pangan &amp; Penduduk'!B809="","",'[1]0.1 Produksi Pangan &amp; Penduduk'!B809)</f>
        <v/>
      </c>
      <c r="C808" s="2" t="str">
        <f>IF('[1]0.1 Produksi Pangan &amp; Penduduk'!F809="","",'[1]0.1 Produksi Pangan &amp; Penduduk'!F809)</f>
        <v/>
      </c>
      <c r="D808" s="3" t="str">
        <f>IF('[1]0.1 Produksi Pangan &amp; Penduduk'!D809="","",'[1]0.1 Produksi Pangan &amp; Penduduk'!D809)</f>
        <v/>
      </c>
      <c r="E808" s="3" t="str">
        <f>IF('[1]0.1 Produksi Pangan &amp; Penduduk'!E809="","",'[1]0.1 Produksi Pangan &amp; Penduduk'!E809)</f>
        <v/>
      </c>
      <c r="F808" s="59" t="str">
        <f>IF(D808="","",VLOOKUP(D808,'[1]0.1 Produksi Pangan &amp; Penduduk'!$D$5:$J$860,7,0))</f>
        <v/>
      </c>
      <c r="G808" s="27" t="str">
        <f t="shared" si="120"/>
        <v/>
      </c>
      <c r="H808" s="27" t="str">
        <f t="shared" si="121"/>
        <v/>
      </c>
      <c r="I808" s="27" t="str">
        <f t="shared" si="122"/>
        <v/>
      </c>
      <c r="J808" s="27" t="str">
        <f t="shared" si="123"/>
        <v/>
      </c>
      <c r="K808" s="27" t="str">
        <f t="shared" si="124"/>
        <v/>
      </c>
      <c r="L808" s="59" t="str">
        <f>IF(D808="","",VLOOKUP(D808,'[1]0.1 Produksi Pangan &amp; Penduduk'!$D$5:$M$860,10,0))</f>
        <v/>
      </c>
      <c r="M808" s="28" t="str">
        <f t="shared" si="125"/>
        <v/>
      </c>
      <c r="N808" s="60" t="str">
        <f t="shared" si="126"/>
        <v/>
      </c>
      <c r="O808" s="60" t="str">
        <f t="shared" si="127"/>
        <v/>
      </c>
      <c r="P808" s="60" t="str">
        <f t="shared" si="128"/>
        <v/>
      </c>
      <c r="Q808" s="28" t="str">
        <f t="shared" si="129"/>
        <v/>
      </c>
    </row>
    <row r="809" spans="1:17" ht="15" x14ac:dyDescent="0.25">
      <c r="A809" s="3" t="str">
        <f>IF('[1]0.1 Produksi Pangan &amp; Penduduk'!A810="","",'[1]0.1 Produksi Pangan &amp; Penduduk'!A810)</f>
        <v/>
      </c>
      <c r="B809" s="2" t="str">
        <f>IF('[1]0.1 Produksi Pangan &amp; Penduduk'!B810="","",'[1]0.1 Produksi Pangan &amp; Penduduk'!B810)</f>
        <v/>
      </c>
      <c r="C809" s="2" t="str">
        <f>IF('[1]0.1 Produksi Pangan &amp; Penduduk'!F810="","",'[1]0.1 Produksi Pangan &amp; Penduduk'!F810)</f>
        <v/>
      </c>
      <c r="D809" s="3" t="str">
        <f>IF('[1]0.1 Produksi Pangan &amp; Penduduk'!D810="","",'[1]0.1 Produksi Pangan &amp; Penduduk'!D810)</f>
        <v/>
      </c>
      <c r="E809" s="3" t="str">
        <f>IF('[1]0.1 Produksi Pangan &amp; Penduduk'!E810="","",'[1]0.1 Produksi Pangan &amp; Penduduk'!E810)</f>
        <v/>
      </c>
      <c r="F809" s="59" t="str">
        <f>IF(D809="","",VLOOKUP(D809,'[1]0.1 Produksi Pangan &amp; Penduduk'!$D$5:$J$860,7,0))</f>
        <v/>
      </c>
      <c r="G809" s="27" t="str">
        <f t="shared" si="120"/>
        <v/>
      </c>
      <c r="H809" s="27" t="str">
        <f t="shared" si="121"/>
        <v/>
      </c>
      <c r="I809" s="27" t="str">
        <f t="shared" si="122"/>
        <v/>
      </c>
      <c r="J809" s="27" t="str">
        <f t="shared" si="123"/>
        <v/>
      </c>
      <c r="K809" s="27" t="str">
        <f t="shared" si="124"/>
        <v/>
      </c>
      <c r="L809" s="59" t="str">
        <f>IF(D809="","",VLOOKUP(D809,'[1]0.1 Produksi Pangan &amp; Penduduk'!$D$5:$M$860,10,0))</f>
        <v/>
      </c>
      <c r="M809" s="28" t="str">
        <f t="shared" si="125"/>
        <v/>
      </c>
      <c r="N809" s="60" t="str">
        <f t="shared" si="126"/>
        <v/>
      </c>
      <c r="O809" s="60" t="str">
        <f t="shared" si="127"/>
        <v/>
      </c>
      <c r="P809" s="60" t="str">
        <f t="shared" si="128"/>
        <v/>
      </c>
      <c r="Q809" s="28" t="str">
        <f t="shared" si="129"/>
        <v/>
      </c>
    </row>
    <row r="810" spans="1:17" ht="15" x14ac:dyDescent="0.25">
      <c r="A810" s="3" t="str">
        <f>IF('[1]0.1 Produksi Pangan &amp; Penduduk'!A811="","",'[1]0.1 Produksi Pangan &amp; Penduduk'!A811)</f>
        <v/>
      </c>
      <c r="B810" s="2" t="str">
        <f>IF('[1]0.1 Produksi Pangan &amp; Penduduk'!B811="","",'[1]0.1 Produksi Pangan &amp; Penduduk'!B811)</f>
        <v/>
      </c>
      <c r="C810" s="2" t="str">
        <f>IF('[1]0.1 Produksi Pangan &amp; Penduduk'!F811="","",'[1]0.1 Produksi Pangan &amp; Penduduk'!F811)</f>
        <v/>
      </c>
      <c r="D810" s="3" t="str">
        <f>IF('[1]0.1 Produksi Pangan &amp; Penduduk'!D811="","",'[1]0.1 Produksi Pangan &amp; Penduduk'!D811)</f>
        <v/>
      </c>
      <c r="E810" s="3" t="str">
        <f>IF('[1]0.1 Produksi Pangan &amp; Penduduk'!E811="","",'[1]0.1 Produksi Pangan &amp; Penduduk'!E811)</f>
        <v/>
      </c>
      <c r="F810" s="59" t="str">
        <f>IF(D810="","",VLOOKUP(D810,'[1]0.1 Produksi Pangan &amp; Penduduk'!$D$5:$J$860,7,0))</f>
        <v/>
      </c>
      <c r="G810" s="27" t="str">
        <f t="shared" si="120"/>
        <v/>
      </c>
      <c r="H810" s="27" t="str">
        <f t="shared" si="121"/>
        <v/>
      </c>
      <c r="I810" s="27" t="str">
        <f t="shared" si="122"/>
        <v/>
      </c>
      <c r="J810" s="27" t="str">
        <f t="shared" si="123"/>
        <v/>
      </c>
      <c r="K810" s="27" t="str">
        <f t="shared" si="124"/>
        <v/>
      </c>
      <c r="L810" s="59" t="str">
        <f>IF(D810="","",VLOOKUP(D810,'[1]0.1 Produksi Pangan &amp; Penduduk'!$D$5:$M$860,10,0))</f>
        <v/>
      </c>
      <c r="M810" s="28" t="str">
        <f t="shared" si="125"/>
        <v/>
      </c>
      <c r="N810" s="60" t="str">
        <f t="shared" si="126"/>
        <v/>
      </c>
      <c r="O810" s="60" t="str">
        <f t="shared" si="127"/>
        <v/>
      </c>
      <c r="P810" s="60" t="str">
        <f t="shared" si="128"/>
        <v/>
      </c>
      <c r="Q810" s="28" t="str">
        <f t="shared" si="129"/>
        <v/>
      </c>
    </row>
    <row r="811" spans="1:17" ht="15" x14ac:dyDescent="0.25">
      <c r="A811" s="3" t="str">
        <f>IF('[1]0.1 Produksi Pangan &amp; Penduduk'!A812="","",'[1]0.1 Produksi Pangan &amp; Penduduk'!A812)</f>
        <v/>
      </c>
      <c r="B811" s="2" t="str">
        <f>IF('[1]0.1 Produksi Pangan &amp; Penduduk'!B812="","",'[1]0.1 Produksi Pangan &amp; Penduduk'!B812)</f>
        <v/>
      </c>
      <c r="C811" s="2" t="str">
        <f>IF('[1]0.1 Produksi Pangan &amp; Penduduk'!F812="","",'[1]0.1 Produksi Pangan &amp; Penduduk'!F812)</f>
        <v/>
      </c>
      <c r="D811" s="3" t="str">
        <f>IF('[1]0.1 Produksi Pangan &amp; Penduduk'!D812="","",'[1]0.1 Produksi Pangan &amp; Penduduk'!D812)</f>
        <v/>
      </c>
      <c r="E811" s="3" t="str">
        <f>IF('[1]0.1 Produksi Pangan &amp; Penduduk'!E812="","",'[1]0.1 Produksi Pangan &amp; Penduduk'!E812)</f>
        <v/>
      </c>
      <c r="F811" s="59" t="str">
        <f>IF(D811="","",VLOOKUP(D811,'[1]0.1 Produksi Pangan &amp; Penduduk'!$D$5:$J$860,7,0))</f>
        <v/>
      </c>
      <c r="G811" s="27" t="str">
        <f t="shared" si="120"/>
        <v/>
      </c>
      <c r="H811" s="27" t="str">
        <f t="shared" si="121"/>
        <v/>
      </c>
      <c r="I811" s="27" t="str">
        <f t="shared" si="122"/>
        <v/>
      </c>
      <c r="J811" s="27" t="str">
        <f t="shared" si="123"/>
        <v/>
      </c>
      <c r="K811" s="27" t="str">
        <f t="shared" si="124"/>
        <v/>
      </c>
      <c r="L811" s="59" t="str">
        <f>IF(D811="","",VLOOKUP(D811,'[1]0.1 Produksi Pangan &amp; Penduduk'!$D$5:$M$860,10,0))</f>
        <v/>
      </c>
      <c r="M811" s="28" t="str">
        <f t="shared" si="125"/>
        <v/>
      </c>
      <c r="N811" s="60" t="str">
        <f t="shared" si="126"/>
        <v/>
      </c>
      <c r="O811" s="60" t="str">
        <f t="shared" si="127"/>
        <v/>
      </c>
      <c r="P811" s="60" t="str">
        <f t="shared" si="128"/>
        <v/>
      </c>
      <c r="Q811" s="28" t="str">
        <f t="shared" si="129"/>
        <v/>
      </c>
    </row>
    <row r="812" spans="1:17" ht="15" x14ac:dyDescent="0.25">
      <c r="A812" s="3" t="str">
        <f>IF('[1]0.1 Produksi Pangan &amp; Penduduk'!A813="","",'[1]0.1 Produksi Pangan &amp; Penduduk'!A813)</f>
        <v/>
      </c>
      <c r="B812" s="2" t="str">
        <f>IF('[1]0.1 Produksi Pangan &amp; Penduduk'!B813="","",'[1]0.1 Produksi Pangan &amp; Penduduk'!B813)</f>
        <v/>
      </c>
      <c r="C812" s="2" t="str">
        <f>IF('[1]0.1 Produksi Pangan &amp; Penduduk'!F813="","",'[1]0.1 Produksi Pangan &amp; Penduduk'!F813)</f>
        <v/>
      </c>
      <c r="D812" s="3" t="str">
        <f>IF('[1]0.1 Produksi Pangan &amp; Penduduk'!D813="","",'[1]0.1 Produksi Pangan &amp; Penduduk'!D813)</f>
        <v/>
      </c>
      <c r="E812" s="3" t="str">
        <f>IF('[1]0.1 Produksi Pangan &amp; Penduduk'!E813="","",'[1]0.1 Produksi Pangan &amp; Penduduk'!E813)</f>
        <v/>
      </c>
      <c r="F812" s="59" t="str">
        <f>IF(D812="","",VLOOKUP(D812,'[1]0.1 Produksi Pangan &amp; Penduduk'!$D$5:$J$860,7,0))</f>
        <v/>
      </c>
      <c r="G812" s="27" t="str">
        <f t="shared" si="120"/>
        <v/>
      </c>
      <c r="H812" s="27" t="str">
        <f t="shared" si="121"/>
        <v/>
      </c>
      <c r="I812" s="27" t="str">
        <f t="shared" si="122"/>
        <v/>
      </c>
      <c r="J812" s="27" t="str">
        <f t="shared" si="123"/>
        <v/>
      </c>
      <c r="K812" s="27" t="str">
        <f t="shared" si="124"/>
        <v/>
      </c>
      <c r="L812" s="59" t="str">
        <f>IF(D812="","",VLOOKUP(D812,'[1]0.1 Produksi Pangan &amp; Penduduk'!$D$5:$M$860,10,0))</f>
        <v/>
      </c>
      <c r="M812" s="28" t="str">
        <f t="shared" si="125"/>
        <v/>
      </c>
      <c r="N812" s="60" t="str">
        <f t="shared" si="126"/>
        <v/>
      </c>
      <c r="O812" s="60" t="str">
        <f t="shared" si="127"/>
        <v/>
      </c>
      <c r="P812" s="60" t="str">
        <f t="shared" si="128"/>
        <v/>
      </c>
      <c r="Q812" s="28" t="str">
        <f t="shared" si="129"/>
        <v/>
      </c>
    </row>
    <row r="813" spans="1:17" ht="15" x14ac:dyDescent="0.25">
      <c r="A813" s="3" t="str">
        <f>IF('[1]0.1 Produksi Pangan &amp; Penduduk'!A814="","",'[1]0.1 Produksi Pangan &amp; Penduduk'!A814)</f>
        <v/>
      </c>
      <c r="B813" s="2" t="str">
        <f>IF('[1]0.1 Produksi Pangan &amp; Penduduk'!B814="","",'[1]0.1 Produksi Pangan &amp; Penduduk'!B814)</f>
        <v/>
      </c>
      <c r="C813" s="2" t="str">
        <f>IF('[1]0.1 Produksi Pangan &amp; Penduduk'!F814="","",'[1]0.1 Produksi Pangan &amp; Penduduk'!F814)</f>
        <v/>
      </c>
      <c r="D813" s="3" t="str">
        <f>IF('[1]0.1 Produksi Pangan &amp; Penduduk'!D814="","",'[1]0.1 Produksi Pangan &amp; Penduduk'!D814)</f>
        <v/>
      </c>
      <c r="E813" s="3" t="str">
        <f>IF('[1]0.1 Produksi Pangan &amp; Penduduk'!E814="","",'[1]0.1 Produksi Pangan &amp; Penduduk'!E814)</f>
        <v/>
      </c>
      <c r="F813" s="59" t="str">
        <f>IF(D813="","",VLOOKUP(D813,'[1]0.1 Produksi Pangan &amp; Penduduk'!$D$5:$J$860,7,0))</f>
        <v/>
      </c>
      <c r="G813" s="27" t="str">
        <f t="shared" si="120"/>
        <v/>
      </c>
      <c r="H813" s="27" t="str">
        <f t="shared" si="121"/>
        <v/>
      </c>
      <c r="I813" s="27" t="str">
        <f t="shared" si="122"/>
        <v/>
      </c>
      <c r="J813" s="27" t="str">
        <f t="shared" si="123"/>
        <v/>
      </c>
      <c r="K813" s="27" t="str">
        <f t="shared" si="124"/>
        <v/>
      </c>
      <c r="L813" s="59" t="str">
        <f>IF(D813="","",VLOOKUP(D813,'[1]0.1 Produksi Pangan &amp; Penduduk'!$D$5:$M$860,10,0))</f>
        <v/>
      </c>
      <c r="M813" s="28" t="str">
        <f t="shared" si="125"/>
        <v/>
      </c>
      <c r="N813" s="60" t="str">
        <f t="shared" si="126"/>
        <v/>
      </c>
      <c r="O813" s="60" t="str">
        <f t="shared" si="127"/>
        <v/>
      </c>
      <c r="P813" s="60" t="str">
        <f t="shared" si="128"/>
        <v/>
      </c>
      <c r="Q813" s="28" t="str">
        <f t="shared" si="129"/>
        <v/>
      </c>
    </row>
    <row r="814" spans="1:17" ht="15" x14ac:dyDescent="0.25">
      <c r="A814" s="3" t="str">
        <f>IF('[1]0.1 Produksi Pangan &amp; Penduduk'!A815="","",'[1]0.1 Produksi Pangan &amp; Penduduk'!A815)</f>
        <v/>
      </c>
      <c r="B814" s="2" t="str">
        <f>IF('[1]0.1 Produksi Pangan &amp; Penduduk'!B815="","",'[1]0.1 Produksi Pangan &amp; Penduduk'!B815)</f>
        <v/>
      </c>
      <c r="C814" s="2" t="str">
        <f>IF('[1]0.1 Produksi Pangan &amp; Penduduk'!F815="","",'[1]0.1 Produksi Pangan &amp; Penduduk'!F815)</f>
        <v/>
      </c>
      <c r="D814" s="3" t="str">
        <f>IF('[1]0.1 Produksi Pangan &amp; Penduduk'!D815="","",'[1]0.1 Produksi Pangan &amp; Penduduk'!D815)</f>
        <v/>
      </c>
      <c r="E814" s="3" t="str">
        <f>IF('[1]0.1 Produksi Pangan &amp; Penduduk'!E815="","",'[1]0.1 Produksi Pangan &amp; Penduduk'!E815)</f>
        <v/>
      </c>
      <c r="F814" s="59" t="str">
        <f>IF(D814="","",VLOOKUP(D814,'[1]0.1 Produksi Pangan &amp; Penduduk'!$D$5:$J$860,7,0))</f>
        <v/>
      </c>
      <c r="G814" s="27" t="str">
        <f t="shared" si="120"/>
        <v/>
      </c>
      <c r="H814" s="27" t="str">
        <f t="shared" si="121"/>
        <v/>
      </c>
      <c r="I814" s="27" t="str">
        <f t="shared" si="122"/>
        <v/>
      </c>
      <c r="J814" s="27" t="str">
        <f t="shared" si="123"/>
        <v/>
      </c>
      <c r="K814" s="27" t="str">
        <f t="shared" si="124"/>
        <v/>
      </c>
      <c r="L814" s="59" t="str">
        <f>IF(D814="","",VLOOKUP(D814,'[1]0.1 Produksi Pangan &amp; Penduduk'!$D$5:$M$860,10,0))</f>
        <v/>
      </c>
      <c r="M814" s="28" t="str">
        <f t="shared" si="125"/>
        <v/>
      </c>
      <c r="N814" s="60" t="str">
        <f t="shared" si="126"/>
        <v/>
      </c>
      <c r="O814" s="60" t="str">
        <f t="shared" si="127"/>
        <v/>
      </c>
      <c r="P814" s="60" t="str">
        <f t="shared" si="128"/>
        <v/>
      </c>
      <c r="Q814" s="28" t="str">
        <f t="shared" si="129"/>
        <v/>
      </c>
    </row>
    <row r="815" spans="1:17" ht="15" x14ac:dyDescent="0.25">
      <c r="A815" s="3" t="str">
        <f>IF('[1]0.1 Produksi Pangan &amp; Penduduk'!A816="","",'[1]0.1 Produksi Pangan &amp; Penduduk'!A816)</f>
        <v/>
      </c>
      <c r="B815" s="2" t="str">
        <f>IF('[1]0.1 Produksi Pangan &amp; Penduduk'!B816="","",'[1]0.1 Produksi Pangan &amp; Penduduk'!B816)</f>
        <v/>
      </c>
      <c r="C815" s="2" t="str">
        <f>IF('[1]0.1 Produksi Pangan &amp; Penduduk'!F816="","",'[1]0.1 Produksi Pangan &amp; Penduduk'!F816)</f>
        <v/>
      </c>
      <c r="D815" s="3" t="str">
        <f>IF('[1]0.1 Produksi Pangan &amp; Penduduk'!D816="","",'[1]0.1 Produksi Pangan &amp; Penduduk'!D816)</f>
        <v/>
      </c>
      <c r="E815" s="3" t="str">
        <f>IF('[1]0.1 Produksi Pangan &amp; Penduduk'!E816="","",'[1]0.1 Produksi Pangan &amp; Penduduk'!E816)</f>
        <v/>
      </c>
      <c r="F815" s="59" t="str">
        <f>IF(D815="","",VLOOKUP(D815,'[1]0.1 Produksi Pangan &amp; Penduduk'!$D$5:$J$860,7,0))</f>
        <v/>
      </c>
      <c r="G815" s="27" t="str">
        <f t="shared" si="120"/>
        <v/>
      </c>
      <c r="H815" s="27" t="str">
        <f t="shared" si="121"/>
        <v/>
      </c>
      <c r="I815" s="27" t="str">
        <f t="shared" si="122"/>
        <v/>
      </c>
      <c r="J815" s="27" t="str">
        <f t="shared" si="123"/>
        <v/>
      </c>
      <c r="K815" s="27" t="str">
        <f t="shared" si="124"/>
        <v/>
      </c>
      <c r="L815" s="59" t="str">
        <f>IF(D815="","",VLOOKUP(D815,'[1]0.1 Produksi Pangan &amp; Penduduk'!$D$5:$M$860,10,0))</f>
        <v/>
      </c>
      <c r="M815" s="28" t="str">
        <f t="shared" si="125"/>
        <v/>
      </c>
      <c r="N815" s="60" t="str">
        <f t="shared" si="126"/>
        <v/>
      </c>
      <c r="O815" s="60" t="str">
        <f t="shared" si="127"/>
        <v/>
      </c>
      <c r="P815" s="60" t="str">
        <f t="shared" si="128"/>
        <v/>
      </c>
      <c r="Q815" s="28" t="str">
        <f t="shared" si="129"/>
        <v/>
      </c>
    </row>
    <row r="816" spans="1:17" ht="15" x14ac:dyDescent="0.25">
      <c r="A816" s="3" t="str">
        <f>IF('[1]0.1 Produksi Pangan &amp; Penduduk'!A817="","",'[1]0.1 Produksi Pangan &amp; Penduduk'!A817)</f>
        <v/>
      </c>
      <c r="B816" s="2" t="str">
        <f>IF('[1]0.1 Produksi Pangan &amp; Penduduk'!B817="","",'[1]0.1 Produksi Pangan &amp; Penduduk'!B817)</f>
        <v/>
      </c>
      <c r="C816" s="2" t="str">
        <f>IF('[1]0.1 Produksi Pangan &amp; Penduduk'!F817="","",'[1]0.1 Produksi Pangan &amp; Penduduk'!F817)</f>
        <v/>
      </c>
      <c r="D816" s="3" t="str">
        <f>IF('[1]0.1 Produksi Pangan &amp; Penduduk'!D817="","",'[1]0.1 Produksi Pangan &amp; Penduduk'!D817)</f>
        <v/>
      </c>
      <c r="E816" s="3" t="str">
        <f>IF('[1]0.1 Produksi Pangan &amp; Penduduk'!E817="","",'[1]0.1 Produksi Pangan &amp; Penduduk'!E817)</f>
        <v/>
      </c>
      <c r="F816" s="59" t="str">
        <f>IF(D816="","",VLOOKUP(D816,'[1]0.1 Produksi Pangan &amp; Penduduk'!$D$5:$J$860,7,0))</f>
        <v/>
      </c>
      <c r="G816" s="27" t="str">
        <f t="shared" si="120"/>
        <v/>
      </c>
      <c r="H816" s="27" t="str">
        <f t="shared" si="121"/>
        <v/>
      </c>
      <c r="I816" s="27" t="str">
        <f t="shared" si="122"/>
        <v/>
      </c>
      <c r="J816" s="27" t="str">
        <f t="shared" si="123"/>
        <v/>
      </c>
      <c r="K816" s="27" t="str">
        <f t="shared" si="124"/>
        <v/>
      </c>
      <c r="L816" s="59" t="str">
        <f>IF(D816="","",VLOOKUP(D816,'[1]0.1 Produksi Pangan &amp; Penduduk'!$D$5:$M$860,10,0))</f>
        <v/>
      </c>
      <c r="M816" s="28" t="str">
        <f t="shared" si="125"/>
        <v/>
      </c>
      <c r="N816" s="60" t="str">
        <f t="shared" si="126"/>
        <v/>
      </c>
      <c r="O816" s="60" t="str">
        <f t="shared" si="127"/>
        <v/>
      </c>
      <c r="P816" s="60" t="str">
        <f t="shared" si="128"/>
        <v/>
      </c>
      <c r="Q816" s="28" t="str">
        <f t="shared" si="129"/>
        <v/>
      </c>
    </row>
    <row r="817" spans="1:17" ht="15" x14ac:dyDescent="0.25">
      <c r="A817" s="3" t="str">
        <f>IF('[1]0.1 Produksi Pangan &amp; Penduduk'!A818="","",'[1]0.1 Produksi Pangan &amp; Penduduk'!A818)</f>
        <v/>
      </c>
      <c r="B817" s="2" t="str">
        <f>IF('[1]0.1 Produksi Pangan &amp; Penduduk'!B818="","",'[1]0.1 Produksi Pangan &amp; Penduduk'!B818)</f>
        <v/>
      </c>
      <c r="C817" s="2" t="str">
        <f>IF('[1]0.1 Produksi Pangan &amp; Penduduk'!F818="","",'[1]0.1 Produksi Pangan &amp; Penduduk'!F818)</f>
        <v/>
      </c>
      <c r="D817" s="3" t="str">
        <f>IF('[1]0.1 Produksi Pangan &amp; Penduduk'!D818="","",'[1]0.1 Produksi Pangan &amp; Penduduk'!D818)</f>
        <v/>
      </c>
      <c r="E817" s="3" t="str">
        <f>IF('[1]0.1 Produksi Pangan &amp; Penduduk'!E818="","",'[1]0.1 Produksi Pangan &amp; Penduduk'!E818)</f>
        <v/>
      </c>
      <c r="F817" s="59" t="str">
        <f>IF(D817="","",VLOOKUP(D817,'[1]0.1 Produksi Pangan &amp; Penduduk'!$D$5:$J$860,7,0))</f>
        <v/>
      </c>
      <c r="G817" s="27" t="str">
        <f t="shared" si="120"/>
        <v/>
      </c>
      <c r="H817" s="27" t="str">
        <f t="shared" si="121"/>
        <v/>
      </c>
      <c r="I817" s="27" t="str">
        <f t="shared" si="122"/>
        <v/>
      </c>
      <c r="J817" s="27" t="str">
        <f t="shared" si="123"/>
        <v/>
      </c>
      <c r="K817" s="27" t="str">
        <f t="shared" si="124"/>
        <v/>
      </c>
      <c r="L817" s="59" t="str">
        <f>IF(D817="","",VLOOKUP(D817,'[1]0.1 Produksi Pangan &amp; Penduduk'!$D$5:$M$860,10,0))</f>
        <v/>
      </c>
      <c r="M817" s="28" t="str">
        <f t="shared" si="125"/>
        <v/>
      </c>
      <c r="N817" s="60" t="str">
        <f t="shared" si="126"/>
        <v/>
      </c>
      <c r="O817" s="60" t="str">
        <f t="shared" si="127"/>
        <v/>
      </c>
      <c r="P817" s="60" t="str">
        <f t="shared" si="128"/>
        <v/>
      </c>
      <c r="Q817" s="28" t="str">
        <f t="shared" si="129"/>
        <v/>
      </c>
    </row>
    <row r="818" spans="1:17" ht="15" x14ac:dyDescent="0.25">
      <c r="A818" s="3" t="str">
        <f>IF('[1]0.1 Produksi Pangan &amp; Penduduk'!A819="","",'[1]0.1 Produksi Pangan &amp; Penduduk'!A819)</f>
        <v/>
      </c>
      <c r="B818" s="2" t="str">
        <f>IF('[1]0.1 Produksi Pangan &amp; Penduduk'!B819="","",'[1]0.1 Produksi Pangan &amp; Penduduk'!B819)</f>
        <v/>
      </c>
      <c r="C818" s="2" t="str">
        <f>IF('[1]0.1 Produksi Pangan &amp; Penduduk'!F819="","",'[1]0.1 Produksi Pangan &amp; Penduduk'!F819)</f>
        <v/>
      </c>
      <c r="D818" s="3" t="str">
        <f>IF('[1]0.1 Produksi Pangan &amp; Penduduk'!D819="","",'[1]0.1 Produksi Pangan &amp; Penduduk'!D819)</f>
        <v/>
      </c>
      <c r="E818" s="3" t="str">
        <f>IF('[1]0.1 Produksi Pangan &amp; Penduduk'!E819="","",'[1]0.1 Produksi Pangan &amp; Penduduk'!E819)</f>
        <v/>
      </c>
      <c r="F818" s="59" t="str">
        <f>IF(D818="","",VLOOKUP(D818,'[1]0.1 Produksi Pangan &amp; Penduduk'!$D$5:$J$860,7,0))</f>
        <v/>
      </c>
      <c r="G818" s="27" t="str">
        <f t="shared" si="120"/>
        <v/>
      </c>
      <c r="H818" s="27" t="str">
        <f t="shared" si="121"/>
        <v/>
      </c>
      <c r="I818" s="27" t="str">
        <f t="shared" si="122"/>
        <v/>
      </c>
      <c r="J818" s="27" t="str">
        <f t="shared" si="123"/>
        <v/>
      </c>
      <c r="K818" s="27" t="str">
        <f t="shared" si="124"/>
        <v/>
      </c>
      <c r="L818" s="59" t="str">
        <f>IF(D818="","",VLOOKUP(D818,'[1]0.1 Produksi Pangan &amp; Penduduk'!$D$5:$M$860,10,0))</f>
        <v/>
      </c>
      <c r="M818" s="28" t="str">
        <f t="shared" si="125"/>
        <v/>
      </c>
      <c r="N818" s="60" t="str">
        <f t="shared" si="126"/>
        <v/>
      </c>
      <c r="O818" s="60" t="str">
        <f t="shared" si="127"/>
        <v/>
      </c>
      <c r="P818" s="60" t="str">
        <f t="shared" si="128"/>
        <v/>
      </c>
      <c r="Q818" s="28" t="str">
        <f t="shared" si="129"/>
        <v/>
      </c>
    </row>
    <row r="819" spans="1:17" ht="15" x14ac:dyDescent="0.25">
      <c r="A819" s="3" t="str">
        <f>IF('[1]0.1 Produksi Pangan &amp; Penduduk'!A820="","",'[1]0.1 Produksi Pangan &amp; Penduduk'!A820)</f>
        <v/>
      </c>
      <c r="B819" s="2" t="str">
        <f>IF('[1]0.1 Produksi Pangan &amp; Penduduk'!B820="","",'[1]0.1 Produksi Pangan &amp; Penduduk'!B820)</f>
        <v/>
      </c>
      <c r="C819" s="2" t="str">
        <f>IF('[1]0.1 Produksi Pangan &amp; Penduduk'!F820="","",'[1]0.1 Produksi Pangan &amp; Penduduk'!F820)</f>
        <v/>
      </c>
      <c r="D819" s="3" t="str">
        <f>IF('[1]0.1 Produksi Pangan &amp; Penduduk'!D820="","",'[1]0.1 Produksi Pangan &amp; Penduduk'!D820)</f>
        <v/>
      </c>
      <c r="E819" s="3" t="str">
        <f>IF('[1]0.1 Produksi Pangan &amp; Penduduk'!E820="","",'[1]0.1 Produksi Pangan &amp; Penduduk'!E820)</f>
        <v/>
      </c>
      <c r="F819" s="59" t="str">
        <f>IF(D819="","",VLOOKUP(D819,'[1]0.1 Produksi Pangan &amp; Penduduk'!$D$5:$J$860,7,0))</f>
        <v/>
      </c>
      <c r="G819" s="27" t="str">
        <f t="shared" si="120"/>
        <v/>
      </c>
      <c r="H819" s="27" t="str">
        <f t="shared" si="121"/>
        <v/>
      </c>
      <c r="I819" s="27" t="str">
        <f t="shared" si="122"/>
        <v/>
      </c>
      <c r="J819" s="27" t="str">
        <f t="shared" si="123"/>
        <v/>
      </c>
      <c r="K819" s="27" t="str">
        <f t="shared" si="124"/>
        <v/>
      </c>
      <c r="L819" s="59" t="str">
        <f>IF(D819="","",VLOOKUP(D819,'[1]0.1 Produksi Pangan &amp; Penduduk'!$D$5:$M$860,10,0))</f>
        <v/>
      </c>
      <c r="M819" s="28" t="str">
        <f t="shared" si="125"/>
        <v/>
      </c>
      <c r="N819" s="60" t="str">
        <f t="shared" si="126"/>
        <v/>
      </c>
      <c r="O819" s="60" t="str">
        <f t="shared" si="127"/>
        <v/>
      </c>
      <c r="P819" s="60" t="str">
        <f t="shared" si="128"/>
        <v/>
      </c>
      <c r="Q819" s="28" t="str">
        <f t="shared" si="129"/>
        <v/>
      </c>
    </row>
    <row r="820" spans="1:17" ht="15" x14ac:dyDescent="0.25">
      <c r="A820" s="3" t="str">
        <f>IF('[1]0.1 Produksi Pangan &amp; Penduduk'!A821="","",'[1]0.1 Produksi Pangan &amp; Penduduk'!A821)</f>
        <v/>
      </c>
      <c r="B820" s="2" t="str">
        <f>IF('[1]0.1 Produksi Pangan &amp; Penduduk'!B821="","",'[1]0.1 Produksi Pangan &amp; Penduduk'!B821)</f>
        <v/>
      </c>
      <c r="C820" s="2" t="str">
        <f>IF('[1]0.1 Produksi Pangan &amp; Penduduk'!F821="","",'[1]0.1 Produksi Pangan &amp; Penduduk'!F821)</f>
        <v/>
      </c>
      <c r="D820" s="3" t="str">
        <f>IF('[1]0.1 Produksi Pangan &amp; Penduduk'!D821="","",'[1]0.1 Produksi Pangan &amp; Penduduk'!D821)</f>
        <v/>
      </c>
      <c r="E820" s="3" t="str">
        <f>IF('[1]0.1 Produksi Pangan &amp; Penduduk'!E821="","",'[1]0.1 Produksi Pangan &amp; Penduduk'!E821)</f>
        <v/>
      </c>
      <c r="F820" s="59" t="str">
        <f>IF(D820="","",VLOOKUP(D820,'[1]0.1 Produksi Pangan &amp; Penduduk'!$D$5:$J$860,7,0))</f>
        <v/>
      </c>
      <c r="G820" s="27" t="str">
        <f t="shared" si="120"/>
        <v/>
      </c>
      <c r="H820" s="27" t="str">
        <f t="shared" si="121"/>
        <v/>
      </c>
      <c r="I820" s="27" t="str">
        <f t="shared" si="122"/>
        <v/>
      </c>
      <c r="J820" s="27" t="str">
        <f t="shared" si="123"/>
        <v/>
      </c>
      <c r="K820" s="27" t="str">
        <f t="shared" si="124"/>
        <v/>
      </c>
      <c r="L820" s="59" t="str">
        <f>IF(D820="","",VLOOKUP(D820,'[1]0.1 Produksi Pangan &amp; Penduduk'!$D$5:$M$860,10,0))</f>
        <v/>
      </c>
      <c r="M820" s="28" t="str">
        <f t="shared" si="125"/>
        <v/>
      </c>
      <c r="N820" s="60" t="str">
        <f t="shared" si="126"/>
        <v/>
      </c>
      <c r="O820" s="60" t="str">
        <f t="shared" si="127"/>
        <v/>
      </c>
      <c r="P820" s="60" t="str">
        <f t="shared" si="128"/>
        <v/>
      </c>
      <c r="Q820" s="28" t="str">
        <f t="shared" si="129"/>
        <v/>
      </c>
    </row>
    <row r="821" spans="1:17" ht="15" x14ac:dyDescent="0.25">
      <c r="A821" s="3" t="str">
        <f>IF('[1]0.1 Produksi Pangan &amp; Penduduk'!A822="","",'[1]0.1 Produksi Pangan &amp; Penduduk'!A822)</f>
        <v/>
      </c>
      <c r="B821" s="2" t="str">
        <f>IF('[1]0.1 Produksi Pangan &amp; Penduduk'!B822="","",'[1]0.1 Produksi Pangan &amp; Penduduk'!B822)</f>
        <v/>
      </c>
      <c r="C821" s="2" t="str">
        <f>IF('[1]0.1 Produksi Pangan &amp; Penduduk'!F822="","",'[1]0.1 Produksi Pangan &amp; Penduduk'!F822)</f>
        <v/>
      </c>
      <c r="D821" s="3" t="str">
        <f>IF('[1]0.1 Produksi Pangan &amp; Penduduk'!D822="","",'[1]0.1 Produksi Pangan &amp; Penduduk'!D822)</f>
        <v/>
      </c>
      <c r="E821" s="3" t="str">
        <f>IF('[1]0.1 Produksi Pangan &amp; Penduduk'!E822="","",'[1]0.1 Produksi Pangan &amp; Penduduk'!E822)</f>
        <v/>
      </c>
      <c r="F821" s="59" t="str">
        <f>IF(D821="","",VLOOKUP(D821,'[1]0.1 Produksi Pangan &amp; Penduduk'!$D$5:$J$860,7,0))</f>
        <v/>
      </c>
      <c r="G821" s="27" t="str">
        <f t="shared" si="120"/>
        <v/>
      </c>
      <c r="H821" s="27" t="str">
        <f t="shared" si="121"/>
        <v/>
      </c>
      <c r="I821" s="27" t="str">
        <f t="shared" si="122"/>
        <v/>
      </c>
      <c r="J821" s="27" t="str">
        <f t="shared" si="123"/>
        <v/>
      </c>
      <c r="K821" s="27" t="str">
        <f t="shared" si="124"/>
        <v/>
      </c>
      <c r="L821" s="59" t="str">
        <f>IF(D821="","",VLOOKUP(D821,'[1]0.1 Produksi Pangan &amp; Penduduk'!$D$5:$M$860,10,0))</f>
        <v/>
      </c>
      <c r="M821" s="28" t="str">
        <f t="shared" si="125"/>
        <v/>
      </c>
      <c r="N821" s="60" t="str">
        <f t="shared" si="126"/>
        <v/>
      </c>
      <c r="O821" s="60" t="str">
        <f t="shared" si="127"/>
        <v/>
      </c>
      <c r="P821" s="60" t="str">
        <f t="shared" si="128"/>
        <v/>
      </c>
      <c r="Q821" s="28" t="str">
        <f t="shared" si="129"/>
        <v/>
      </c>
    </row>
    <row r="822" spans="1:17" ht="15" x14ac:dyDescent="0.25">
      <c r="A822" s="3" t="str">
        <f>IF('[1]0.1 Produksi Pangan &amp; Penduduk'!A823="","",'[1]0.1 Produksi Pangan &amp; Penduduk'!A823)</f>
        <v/>
      </c>
      <c r="B822" s="2" t="str">
        <f>IF('[1]0.1 Produksi Pangan &amp; Penduduk'!B823="","",'[1]0.1 Produksi Pangan &amp; Penduduk'!B823)</f>
        <v/>
      </c>
      <c r="C822" s="2" t="str">
        <f>IF('[1]0.1 Produksi Pangan &amp; Penduduk'!F823="","",'[1]0.1 Produksi Pangan &amp; Penduduk'!F823)</f>
        <v/>
      </c>
      <c r="D822" s="3" t="str">
        <f>IF('[1]0.1 Produksi Pangan &amp; Penduduk'!D823="","",'[1]0.1 Produksi Pangan &amp; Penduduk'!D823)</f>
        <v/>
      </c>
      <c r="E822" s="3" t="str">
        <f>IF('[1]0.1 Produksi Pangan &amp; Penduduk'!E823="","",'[1]0.1 Produksi Pangan &amp; Penduduk'!E823)</f>
        <v/>
      </c>
      <c r="F822" s="59" t="str">
        <f>IF(D822="","",VLOOKUP(D822,'[1]0.1 Produksi Pangan &amp; Penduduk'!$D$5:$J$860,7,0))</f>
        <v/>
      </c>
      <c r="G822" s="27" t="str">
        <f t="shared" si="120"/>
        <v/>
      </c>
      <c r="H822" s="27" t="str">
        <f t="shared" si="121"/>
        <v/>
      </c>
      <c r="I822" s="27" t="str">
        <f t="shared" si="122"/>
        <v/>
      </c>
      <c r="J822" s="27" t="str">
        <f t="shared" si="123"/>
        <v/>
      </c>
      <c r="K822" s="27" t="str">
        <f t="shared" si="124"/>
        <v/>
      </c>
      <c r="L822" s="59" t="str">
        <f>IF(D822="","",VLOOKUP(D822,'[1]0.1 Produksi Pangan &amp; Penduduk'!$D$5:$M$860,10,0))</f>
        <v/>
      </c>
      <c r="M822" s="28" t="str">
        <f t="shared" si="125"/>
        <v/>
      </c>
      <c r="N822" s="60" t="str">
        <f t="shared" si="126"/>
        <v/>
      </c>
      <c r="O822" s="60" t="str">
        <f t="shared" si="127"/>
        <v/>
      </c>
      <c r="P822" s="60" t="str">
        <f t="shared" si="128"/>
        <v/>
      </c>
      <c r="Q822" s="28" t="str">
        <f t="shared" si="129"/>
        <v/>
      </c>
    </row>
    <row r="823" spans="1:17" ht="15" x14ac:dyDescent="0.25">
      <c r="A823" s="3" t="str">
        <f>IF('[1]0.1 Produksi Pangan &amp; Penduduk'!A824="","",'[1]0.1 Produksi Pangan &amp; Penduduk'!A824)</f>
        <v/>
      </c>
      <c r="B823" s="2" t="str">
        <f>IF('[1]0.1 Produksi Pangan &amp; Penduduk'!B824="","",'[1]0.1 Produksi Pangan &amp; Penduduk'!B824)</f>
        <v/>
      </c>
      <c r="C823" s="2" t="str">
        <f>IF('[1]0.1 Produksi Pangan &amp; Penduduk'!F824="","",'[1]0.1 Produksi Pangan &amp; Penduduk'!F824)</f>
        <v/>
      </c>
      <c r="D823" s="3" t="str">
        <f>IF('[1]0.1 Produksi Pangan &amp; Penduduk'!D824="","",'[1]0.1 Produksi Pangan &amp; Penduduk'!D824)</f>
        <v/>
      </c>
      <c r="E823" s="3" t="str">
        <f>IF('[1]0.1 Produksi Pangan &amp; Penduduk'!E824="","",'[1]0.1 Produksi Pangan &amp; Penduduk'!E824)</f>
        <v/>
      </c>
      <c r="F823" s="59" t="str">
        <f>IF(D823="","",VLOOKUP(D823,'[1]0.1 Produksi Pangan &amp; Penduduk'!$D$5:$J$860,7,0))</f>
        <v/>
      </c>
      <c r="G823" s="27" t="str">
        <f t="shared" si="120"/>
        <v/>
      </c>
      <c r="H823" s="27" t="str">
        <f t="shared" si="121"/>
        <v/>
      </c>
      <c r="I823" s="27" t="str">
        <f t="shared" si="122"/>
        <v/>
      </c>
      <c r="J823" s="27" t="str">
        <f t="shared" si="123"/>
        <v/>
      </c>
      <c r="K823" s="27" t="str">
        <f t="shared" si="124"/>
        <v/>
      </c>
      <c r="L823" s="59" t="str">
        <f>IF(D823="","",VLOOKUP(D823,'[1]0.1 Produksi Pangan &amp; Penduduk'!$D$5:$M$860,10,0))</f>
        <v/>
      </c>
      <c r="M823" s="28" t="str">
        <f t="shared" si="125"/>
        <v/>
      </c>
      <c r="N823" s="60" t="str">
        <f t="shared" si="126"/>
        <v/>
      </c>
      <c r="O823" s="60" t="str">
        <f t="shared" si="127"/>
        <v/>
      </c>
      <c r="P823" s="60" t="str">
        <f t="shared" si="128"/>
        <v/>
      </c>
      <c r="Q823" s="28" t="str">
        <f t="shared" si="129"/>
        <v/>
      </c>
    </row>
    <row r="824" spans="1:17" ht="15" x14ac:dyDescent="0.25">
      <c r="A824" s="3" t="str">
        <f>IF('[1]0.1 Produksi Pangan &amp; Penduduk'!A825="","",'[1]0.1 Produksi Pangan &amp; Penduduk'!A825)</f>
        <v/>
      </c>
      <c r="B824" s="2" t="str">
        <f>IF('[1]0.1 Produksi Pangan &amp; Penduduk'!B825="","",'[1]0.1 Produksi Pangan &amp; Penduduk'!B825)</f>
        <v/>
      </c>
      <c r="C824" s="2" t="str">
        <f>IF('[1]0.1 Produksi Pangan &amp; Penduduk'!F825="","",'[1]0.1 Produksi Pangan &amp; Penduduk'!F825)</f>
        <v/>
      </c>
      <c r="D824" s="3" t="str">
        <f>IF('[1]0.1 Produksi Pangan &amp; Penduduk'!D825="","",'[1]0.1 Produksi Pangan &amp; Penduduk'!D825)</f>
        <v/>
      </c>
      <c r="E824" s="3" t="str">
        <f>IF('[1]0.1 Produksi Pangan &amp; Penduduk'!E825="","",'[1]0.1 Produksi Pangan &amp; Penduduk'!E825)</f>
        <v/>
      </c>
      <c r="F824" s="59" t="str">
        <f>IF(D824="","",VLOOKUP(D824,'[1]0.1 Produksi Pangan &amp; Penduduk'!$D$5:$J$860,7,0))</f>
        <v/>
      </c>
      <c r="G824" s="27" t="str">
        <f t="shared" si="120"/>
        <v/>
      </c>
      <c r="H824" s="27" t="str">
        <f t="shared" si="121"/>
        <v/>
      </c>
      <c r="I824" s="27" t="str">
        <f t="shared" si="122"/>
        <v/>
      </c>
      <c r="J824" s="27" t="str">
        <f t="shared" si="123"/>
        <v/>
      </c>
      <c r="K824" s="27" t="str">
        <f t="shared" si="124"/>
        <v/>
      </c>
      <c r="L824" s="59" t="str">
        <f>IF(D824="","",VLOOKUP(D824,'[1]0.1 Produksi Pangan &amp; Penduduk'!$D$5:$M$860,10,0))</f>
        <v/>
      </c>
      <c r="M824" s="28" t="str">
        <f t="shared" si="125"/>
        <v/>
      </c>
      <c r="N824" s="60" t="str">
        <f t="shared" si="126"/>
        <v/>
      </c>
      <c r="O824" s="60" t="str">
        <f t="shared" si="127"/>
        <v/>
      </c>
      <c r="P824" s="60" t="str">
        <f t="shared" si="128"/>
        <v/>
      </c>
      <c r="Q824" s="28" t="str">
        <f t="shared" si="129"/>
        <v/>
      </c>
    </row>
    <row r="825" spans="1:17" ht="15" x14ac:dyDescent="0.25">
      <c r="A825" s="3" t="str">
        <f>IF('[1]0.1 Produksi Pangan &amp; Penduduk'!A826="","",'[1]0.1 Produksi Pangan &amp; Penduduk'!A826)</f>
        <v/>
      </c>
      <c r="B825" s="2" t="str">
        <f>IF('[1]0.1 Produksi Pangan &amp; Penduduk'!B826="","",'[1]0.1 Produksi Pangan &amp; Penduduk'!B826)</f>
        <v/>
      </c>
      <c r="C825" s="2" t="str">
        <f>IF('[1]0.1 Produksi Pangan &amp; Penduduk'!F826="","",'[1]0.1 Produksi Pangan &amp; Penduduk'!F826)</f>
        <v/>
      </c>
      <c r="D825" s="3" t="str">
        <f>IF('[1]0.1 Produksi Pangan &amp; Penduduk'!D826="","",'[1]0.1 Produksi Pangan &amp; Penduduk'!D826)</f>
        <v/>
      </c>
      <c r="E825" s="3" t="str">
        <f>IF('[1]0.1 Produksi Pangan &amp; Penduduk'!E826="","",'[1]0.1 Produksi Pangan &amp; Penduduk'!E826)</f>
        <v/>
      </c>
      <c r="F825" s="59" t="str">
        <f>IF(D825="","",VLOOKUP(D825,'[1]0.1 Produksi Pangan &amp; Penduduk'!$D$5:$J$860,7,0))</f>
        <v/>
      </c>
      <c r="G825" s="27" t="str">
        <f t="shared" si="120"/>
        <v/>
      </c>
      <c r="H825" s="27" t="str">
        <f t="shared" si="121"/>
        <v/>
      </c>
      <c r="I825" s="27" t="str">
        <f t="shared" si="122"/>
        <v/>
      </c>
      <c r="J825" s="27" t="str">
        <f t="shared" si="123"/>
        <v/>
      </c>
      <c r="K825" s="27" t="str">
        <f t="shared" si="124"/>
        <v/>
      </c>
      <c r="L825" s="59" t="str">
        <f>IF(D825="","",VLOOKUP(D825,'[1]0.1 Produksi Pangan &amp; Penduduk'!$D$5:$M$860,10,0))</f>
        <v/>
      </c>
      <c r="M825" s="28" t="str">
        <f t="shared" si="125"/>
        <v/>
      </c>
      <c r="N825" s="60" t="str">
        <f t="shared" si="126"/>
        <v/>
      </c>
      <c r="O825" s="60" t="str">
        <f t="shared" si="127"/>
        <v/>
      </c>
      <c r="P825" s="60" t="str">
        <f t="shared" si="128"/>
        <v/>
      </c>
      <c r="Q825" s="28" t="str">
        <f t="shared" si="129"/>
        <v/>
      </c>
    </row>
    <row r="826" spans="1:17" ht="15" x14ac:dyDescent="0.25">
      <c r="A826" s="3" t="str">
        <f>IF('[1]0.1 Produksi Pangan &amp; Penduduk'!A827="","",'[1]0.1 Produksi Pangan &amp; Penduduk'!A827)</f>
        <v/>
      </c>
      <c r="B826" s="2" t="str">
        <f>IF('[1]0.1 Produksi Pangan &amp; Penduduk'!B827="","",'[1]0.1 Produksi Pangan &amp; Penduduk'!B827)</f>
        <v/>
      </c>
      <c r="C826" s="2" t="str">
        <f>IF('[1]0.1 Produksi Pangan &amp; Penduduk'!F827="","",'[1]0.1 Produksi Pangan &amp; Penduduk'!F827)</f>
        <v/>
      </c>
      <c r="D826" s="3" t="str">
        <f>IF('[1]0.1 Produksi Pangan &amp; Penduduk'!D827="","",'[1]0.1 Produksi Pangan &amp; Penduduk'!D827)</f>
        <v/>
      </c>
      <c r="E826" s="3" t="str">
        <f>IF('[1]0.1 Produksi Pangan &amp; Penduduk'!E827="","",'[1]0.1 Produksi Pangan &amp; Penduduk'!E827)</f>
        <v/>
      </c>
      <c r="F826" s="59" t="str">
        <f>IF(D826="","",VLOOKUP(D826,'[1]0.1 Produksi Pangan &amp; Penduduk'!$D$5:$J$860,7,0))</f>
        <v/>
      </c>
      <c r="G826" s="27" t="str">
        <f t="shared" si="120"/>
        <v/>
      </c>
      <c r="H826" s="27" t="str">
        <f t="shared" si="121"/>
        <v/>
      </c>
      <c r="I826" s="27" t="str">
        <f t="shared" si="122"/>
        <v/>
      </c>
      <c r="J826" s="27" t="str">
        <f t="shared" si="123"/>
        <v/>
      </c>
      <c r="K826" s="27" t="str">
        <f t="shared" si="124"/>
        <v/>
      </c>
      <c r="L826" s="59" t="str">
        <f>IF(D826="","",VLOOKUP(D826,'[1]0.1 Produksi Pangan &amp; Penduduk'!$D$5:$M$860,10,0))</f>
        <v/>
      </c>
      <c r="M826" s="28" t="str">
        <f t="shared" si="125"/>
        <v/>
      </c>
      <c r="N826" s="60" t="str">
        <f t="shared" si="126"/>
        <v/>
      </c>
      <c r="O826" s="60" t="str">
        <f t="shared" si="127"/>
        <v/>
      </c>
      <c r="P826" s="60" t="str">
        <f t="shared" si="128"/>
        <v/>
      </c>
      <c r="Q826" s="28" t="str">
        <f t="shared" si="129"/>
        <v/>
      </c>
    </row>
    <row r="827" spans="1:17" ht="15" x14ac:dyDescent="0.25">
      <c r="A827" s="3" t="str">
        <f>IF('[1]0.1 Produksi Pangan &amp; Penduduk'!A828="","",'[1]0.1 Produksi Pangan &amp; Penduduk'!A828)</f>
        <v/>
      </c>
      <c r="B827" s="2" t="str">
        <f>IF('[1]0.1 Produksi Pangan &amp; Penduduk'!B828="","",'[1]0.1 Produksi Pangan &amp; Penduduk'!B828)</f>
        <v/>
      </c>
      <c r="C827" s="2" t="str">
        <f>IF('[1]0.1 Produksi Pangan &amp; Penduduk'!F828="","",'[1]0.1 Produksi Pangan &amp; Penduduk'!F828)</f>
        <v/>
      </c>
      <c r="D827" s="3" t="str">
        <f>IF('[1]0.1 Produksi Pangan &amp; Penduduk'!D828="","",'[1]0.1 Produksi Pangan &amp; Penduduk'!D828)</f>
        <v/>
      </c>
      <c r="E827" s="3" t="str">
        <f>IF('[1]0.1 Produksi Pangan &amp; Penduduk'!E828="","",'[1]0.1 Produksi Pangan &amp; Penduduk'!E828)</f>
        <v/>
      </c>
      <c r="F827" s="59" t="str">
        <f>IF(D827="","",VLOOKUP(D827,'[1]0.1 Produksi Pangan &amp; Penduduk'!$D$5:$J$860,7,0))</f>
        <v/>
      </c>
      <c r="G827" s="27" t="str">
        <f t="shared" si="120"/>
        <v/>
      </c>
      <c r="H827" s="27" t="str">
        <f t="shared" si="121"/>
        <v/>
      </c>
      <c r="I827" s="27" t="str">
        <f t="shared" si="122"/>
        <v/>
      </c>
      <c r="J827" s="27" t="str">
        <f t="shared" si="123"/>
        <v/>
      </c>
      <c r="K827" s="27" t="str">
        <f t="shared" si="124"/>
        <v/>
      </c>
      <c r="L827" s="59" t="str">
        <f>IF(D827="","",VLOOKUP(D827,'[1]0.1 Produksi Pangan &amp; Penduduk'!$D$5:$M$860,10,0))</f>
        <v/>
      </c>
      <c r="M827" s="28" t="str">
        <f t="shared" si="125"/>
        <v/>
      </c>
      <c r="N827" s="60" t="str">
        <f t="shared" si="126"/>
        <v/>
      </c>
      <c r="O827" s="60" t="str">
        <f t="shared" si="127"/>
        <v/>
      </c>
      <c r="P827" s="60" t="str">
        <f t="shared" si="128"/>
        <v/>
      </c>
      <c r="Q827" s="28" t="str">
        <f t="shared" si="129"/>
        <v/>
      </c>
    </row>
    <row r="828" spans="1:17" ht="15" x14ac:dyDescent="0.25">
      <c r="A828" s="3" t="str">
        <f>IF('[1]0.1 Produksi Pangan &amp; Penduduk'!A829="","",'[1]0.1 Produksi Pangan &amp; Penduduk'!A829)</f>
        <v/>
      </c>
      <c r="B828" s="2" t="str">
        <f>IF('[1]0.1 Produksi Pangan &amp; Penduduk'!B829="","",'[1]0.1 Produksi Pangan &amp; Penduduk'!B829)</f>
        <v/>
      </c>
      <c r="C828" s="2" t="str">
        <f>IF('[1]0.1 Produksi Pangan &amp; Penduduk'!F829="","",'[1]0.1 Produksi Pangan &amp; Penduduk'!F829)</f>
        <v/>
      </c>
      <c r="D828" s="3" t="str">
        <f>IF('[1]0.1 Produksi Pangan &amp; Penduduk'!D829="","",'[1]0.1 Produksi Pangan &amp; Penduduk'!D829)</f>
        <v/>
      </c>
      <c r="E828" s="3" t="str">
        <f>IF('[1]0.1 Produksi Pangan &amp; Penduduk'!E829="","",'[1]0.1 Produksi Pangan &amp; Penduduk'!E829)</f>
        <v/>
      </c>
      <c r="F828" s="59" t="str">
        <f>IF(D828="","",VLOOKUP(D828,'[1]0.1 Produksi Pangan &amp; Penduduk'!$D$5:$J$860,7,0))</f>
        <v/>
      </c>
      <c r="G828" s="27" t="str">
        <f t="shared" si="120"/>
        <v/>
      </c>
      <c r="H828" s="27" t="str">
        <f t="shared" si="121"/>
        <v/>
      </c>
      <c r="I828" s="27" t="str">
        <f t="shared" si="122"/>
        <v/>
      </c>
      <c r="J828" s="27" t="str">
        <f t="shared" si="123"/>
        <v/>
      </c>
      <c r="K828" s="27" t="str">
        <f t="shared" si="124"/>
        <v/>
      </c>
      <c r="L828" s="59" t="str">
        <f>IF(D828="","",VLOOKUP(D828,'[1]0.1 Produksi Pangan &amp; Penduduk'!$D$5:$M$860,10,0))</f>
        <v/>
      </c>
      <c r="M828" s="28" t="str">
        <f t="shared" si="125"/>
        <v/>
      </c>
      <c r="N828" s="60" t="str">
        <f t="shared" si="126"/>
        <v/>
      </c>
      <c r="O828" s="60" t="str">
        <f t="shared" si="127"/>
        <v/>
      </c>
      <c r="P828" s="60" t="str">
        <f t="shared" si="128"/>
        <v/>
      </c>
      <c r="Q828" s="28" t="str">
        <f t="shared" si="129"/>
        <v/>
      </c>
    </row>
    <row r="829" spans="1:17" ht="15" x14ac:dyDescent="0.25">
      <c r="A829" s="3" t="str">
        <f>IF('[1]0.1 Produksi Pangan &amp; Penduduk'!A830="","",'[1]0.1 Produksi Pangan &amp; Penduduk'!A830)</f>
        <v/>
      </c>
      <c r="B829" s="2" t="str">
        <f>IF('[1]0.1 Produksi Pangan &amp; Penduduk'!B830="","",'[1]0.1 Produksi Pangan &amp; Penduduk'!B830)</f>
        <v/>
      </c>
      <c r="C829" s="2" t="str">
        <f>IF('[1]0.1 Produksi Pangan &amp; Penduduk'!F830="","",'[1]0.1 Produksi Pangan &amp; Penduduk'!F830)</f>
        <v/>
      </c>
      <c r="D829" s="3" t="str">
        <f>IF('[1]0.1 Produksi Pangan &amp; Penduduk'!D830="","",'[1]0.1 Produksi Pangan &amp; Penduduk'!D830)</f>
        <v/>
      </c>
      <c r="E829" s="3" t="str">
        <f>IF('[1]0.1 Produksi Pangan &amp; Penduduk'!E830="","",'[1]0.1 Produksi Pangan &amp; Penduduk'!E830)</f>
        <v/>
      </c>
      <c r="F829" s="59" t="str">
        <f>IF(D829="","",VLOOKUP(D829,'[1]0.1 Produksi Pangan &amp; Penduduk'!$D$5:$J$860,7,0))</f>
        <v/>
      </c>
      <c r="G829" s="27" t="str">
        <f t="shared" si="120"/>
        <v/>
      </c>
      <c r="H829" s="27" t="str">
        <f t="shared" si="121"/>
        <v/>
      </c>
      <c r="I829" s="27" t="str">
        <f t="shared" si="122"/>
        <v/>
      </c>
      <c r="J829" s="27" t="str">
        <f t="shared" si="123"/>
        <v/>
      </c>
      <c r="K829" s="27" t="str">
        <f t="shared" si="124"/>
        <v/>
      </c>
      <c r="L829" s="59" t="str">
        <f>IF(D829="","",VLOOKUP(D829,'[1]0.1 Produksi Pangan &amp; Penduduk'!$D$5:$M$860,10,0))</f>
        <v/>
      </c>
      <c r="M829" s="28" t="str">
        <f t="shared" si="125"/>
        <v/>
      </c>
      <c r="N829" s="60" t="str">
        <f t="shared" si="126"/>
        <v/>
      </c>
      <c r="O829" s="60" t="str">
        <f t="shared" si="127"/>
        <v/>
      </c>
      <c r="P829" s="60" t="str">
        <f t="shared" si="128"/>
        <v/>
      </c>
      <c r="Q829" s="28" t="str">
        <f t="shared" si="129"/>
        <v/>
      </c>
    </row>
    <row r="830" spans="1:17" ht="15" x14ac:dyDescent="0.25">
      <c r="A830" s="3" t="str">
        <f>IF('[1]0.1 Produksi Pangan &amp; Penduduk'!A831="","",'[1]0.1 Produksi Pangan &amp; Penduduk'!A831)</f>
        <v/>
      </c>
      <c r="B830" s="2" t="str">
        <f>IF('[1]0.1 Produksi Pangan &amp; Penduduk'!B831="","",'[1]0.1 Produksi Pangan &amp; Penduduk'!B831)</f>
        <v/>
      </c>
      <c r="C830" s="2" t="str">
        <f>IF('[1]0.1 Produksi Pangan &amp; Penduduk'!F831="","",'[1]0.1 Produksi Pangan &amp; Penduduk'!F831)</f>
        <v/>
      </c>
      <c r="D830" s="3" t="str">
        <f>IF('[1]0.1 Produksi Pangan &amp; Penduduk'!D831="","",'[1]0.1 Produksi Pangan &amp; Penduduk'!D831)</f>
        <v/>
      </c>
      <c r="E830" s="3" t="str">
        <f>IF('[1]0.1 Produksi Pangan &amp; Penduduk'!E831="","",'[1]0.1 Produksi Pangan &amp; Penduduk'!E831)</f>
        <v/>
      </c>
      <c r="F830" s="59" t="str">
        <f>IF(D830="","",VLOOKUP(D830,'[1]0.1 Produksi Pangan &amp; Penduduk'!$D$5:$J$860,7,0))</f>
        <v/>
      </c>
      <c r="G830" s="27" t="str">
        <f t="shared" si="120"/>
        <v/>
      </c>
      <c r="H830" s="27" t="str">
        <f t="shared" si="121"/>
        <v/>
      </c>
      <c r="I830" s="27" t="str">
        <f t="shared" si="122"/>
        <v/>
      </c>
      <c r="J830" s="27" t="str">
        <f t="shared" si="123"/>
        <v/>
      </c>
      <c r="K830" s="27" t="str">
        <f t="shared" si="124"/>
        <v/>
      </c>
      <c r="L830" s="59" t="str">
        <f>IF(D830="","",VLOOKUP(D830,'[1]0.1 Produksi Pangan &amp; Penduduk'!$D$5:$M$860,10,0))</f>
        <v/>
      </c>
      <c r="M830" s="28" t="str">
        <f t="shared" si="125"/>
        <v/>
      </c>
      <c r="N830" s="60" t="str">
        <f t="shared" si="126"/>
        <v/>
      </c>
      <c r="O830" s="60" t="str">
        <f t="shared" si="127"/>
        <v/>
      </c>
      <c r="P830" s="60" t="str">
        <f t="shared" si="128"/>
        <v/>
      </c>
      <c r="Q830" s="28" t="str">
        <f t="shared" si="129"/>
        <v/>
      </c>
    </row>
    <row r="831" spans="1:17" ht="15" x14ac:dyDescent="0.25">
      <c r="A831" s="3" t="str">
        <f>IF('[1]0.1 Produksi Pangan &amp; Penduduk'!A832="","",'[1]0.1 Produksi Pangan &amp; Penduduk'!A832)</f>
        <v/>
      </c>
      <c r="B831" s="2" t="str">
        <f>IF('[1]0.1 Produksi Pangan &amp; Penduduk'!B832="","",'[1]0.1 Produksi Pangan &amp; Penduduk'!B832)</f>
        <v/>
      </c>
      <c r="C831" s="2" t="str">
        <f>IF('[1]0.1 Produksi Pangan &amp; Penduduk'!F832="","",'[1]0.1 Produksi Pangan &amp; Penduduk'!F832)</f>
        <v/>
      </c>
      <c r="D831" s="3" t="str">
        <f>IF('[1]0.1 Produksi Pangan &amp; Penduduk'!D832="","",'[1]0.1 Produksi Pangan &amp; Penduduk'!D832)</f>
        <v/>
      </c>
      <c r="E831" s="3" t="str">
        <f>IF('[1]0.1 Produksi Pangan &amp; Penduduk'!E832="","",'[1]0.1 Produksi Pangan &amp; Penduduk'!E832)</f>
        <v/>
      </c>
      <c r="F831" s="59" t="str">
        <f>IF(D831="","",VLOOKUP(D831,'[1]0.1 Produksi Pangan &amp; Penduduk'!$D$5:$J$860,7,0))</f>
        <v/>
      </c>
      <c r="G831" s="27" t="str">
        <f t="shared" si="120"/>
        <v/>
      </c>
      <c r="H831" s="27" t="str">
        <f t="shared" si="121"/>
        <v/>
      </c>
      <c r="I831" s="27" t="str">
        <f t="shared" si="122"/>
        <v/>
      </c>
      <c r="J831" s="27" t="str">
        <f t="shared" si="123"/>
        <v/>
      </c>
      <c r="K831" s="27" t="str">
        <f t="shared" si="124"/>
        <v/>
      </c>
      <c r="L831" s="59" t="str">
        <f>IF(D831="","",VLOOKUP(D831,'[1]0.1 Produksi Pangan &amp; Penduduk'!$D$5:$M$860,10,0))</f>
        <v/>
      </c>
      <c r="M831" s="28" t="str">
        <f t="shared" si="125"/>
        <v/>
      </c>
      <c r="N831" s="60" t="str">
        <f t="shared" si="126"/>
        <v/>
      </c>
      <c r="O831" s="60" t="str">
        <f t="shared" si="127"/>
        <v/>
      </c>
      <c r="P831" s="60" t="str">
        <f t="shared" si="128"/>
        <v/>
      </c>
      <c r="Q831" s="28" t="str">
        <f t="shared" si="129"/>
        <v/>
      </c>
    </row>
    <row r="832" spans="1:17" ht="15" x14ac:dyDescent="0.25">
      <c r="A832" s="3" t="str">
        <f>IF('[1]0.1 Produksi Pangan &amp; Penduduk'!A833="","",'[1]0.1 Produksi Pangan &amp; Penduduk'!A833)</f>
        <v/>
      </c>
      <c r="B832" s="2" t="str">
        <f>IF('[1]0.1 Produksi Pangan &amp; Penduduk'!B833="","",'[1]0.1 Produksi Pangan &amp; Penduduk'!B833)</f>
        <v/>
      </c>
      <c r="C832" s="2" t="str">
        <f>IF('[1]0.1 Produksi Pangan &amp; Penduduk'!F833="","",'[1]0.1 Produksi Pangan &amp; Penduduk'!F833)</f>
        <v/>
      </c>
      <c r="D832" s="3" t="str">
        <f>IF('[1]0.1 Produksi Pangan &amp; Penduduk'!D833="","",'[1]0.1 Produksi Pangan &amp; Penduduk'!D833)</f>
        <v/>
      </c>
      <c r="E832" s="3" t="str">
        <f>IF('[1]0.1 Produksi Pangan &amp; Penduduk'!E833="","",'[1]0.1 Produksi Pangan &amp; Penduduk'!E833)</f>
        <v/>
      </c>
      <c r="F832" s="59" t="str">
        <f>IF(D832="","",VLOOKUP(D832,'[1]0.1 Produksi Pangan &amp; Penduduk'!$D$5:$J$860,7,0))</f>
        <v/>
      </c>
      <c r="G832" s="27" t="str">
        <f t="shared" si="120"/>
        <v/>
      </c>
      <c r="H832" s="27" t="str">
        <f t="shared" si="121"/>
        <v/>
      </c>
      <c r="I832" s="27" t="str">
        <f t="shared" si="122"/>
        <v/>
      </c>
      <c r="J832" s="27" t="str">
        <f t="shared" si="123"/>
        <v/>
      </c>
      <c r="K832" s="27" t="str">
        <f t="shared" si="124"/>
        <v/>
      </c>
      <c r="L832" s="59" t="str">
        <f>IF(D832="","",VLOOKUP(D832,'[1]0.1 Produksi Pangan &amp; Penduduk'!$D$5:$M$860,10,0))</f>
        <v/>
      </c>
      <c r="M832" s="28" t="str">
        <f t="shared" si="125"/>
        <v/>
      </c>
      <c r="N832" s="60" t="str">
        <f t="shared" si="126"/>
        <v/>
      </c>
      <c r="O832" s="60" t="str">
        <f t="shared" si="127"/>
        <v/>
      </c>
      <c r="P832" s="60" t="str">
        <f t="shared" si="128"/>
        <v/>
      </c>
      <c r="Q832" s="28" t="str">
        <f t="shared" si="129"/>
        <v/>
      </c>
    </row>
    <row r="833" spans="1:17" ht="15" x14ac:dyDescent="0.25">
      <c r="A833" s="3" t="str">
        <f>IF('[1]0.1 Produksi Pangan &amp; Penduduk'!A834="","",'[1]0.1 Produksi Pangan &amp; Penduduk'!A834)</f>
        <v/>
      </c>
      <c r="B833" s="2" t="str">
        <f>IF('[1]0.1 Produksi Pangan &amp; Penduduk'!B834="","",'[1]0.1 Produksi Pangan &amp; Penduduk'!B834)</f>
        <v/>
      </c>
      <c r="C833" s="2" t="str">
        <f>IF('[1]0.1 Produksi Pangan &amp; Penduduk'!F834="","",'[1]0.1 Produksi Pangan &amp; Penduduk'!F834)</f>
        <v/>
      </c>
      <c r="D833" s="3" t="str">
        <f>IF('[1]0.1 Produksi Pangan &amp; Penduduk'!D834="","",'[1]0.1 Produksi Pangan &amp; Penduduk'!D834)</f>
        <v/>
      </c>
      <c r="E833" s="3" t="str">
        <f>IF('[1]0.1 Produksi Pangan &amp; Penduduk'!E834="","",'[1]0.1 Produksi Pangan &amp; Penduduk'!E834)</f>
        <v/>
      </c>
      <c r="F833" s="59" t="str">
        <f>IF(D833="","",VLOOKUP(D833,'[1]0.1 Produksi Pangan &amp; Penduduk'!$D$5:$J$860,7,0))</f>
        <v/>
      </c>
      <c r="G833" s="27" t="str">
        <f t="shared" si="120"/>
        <v/>
      </c>
      <c r="H833" s="27" t="str">
        <f t="shared" si="121"/>
        <v/>
      </c>
      <c r="I833" s="27" t="str">
        <f t="shared" si="122"/>
        <v/>
      </c>
      <c r="J833" s="27" t="str">
        <f t="shared" si="123"/>
        <v/>
      </c>
      <c r="K833" s="27" t="str">
        <f t="shared" si="124"/>
        <v/>
      </c>
      <c r="L833" s="59" t="str">
        <f>IF(D833="","",VLOOKUP(D833,'[1]0.1 Produksi Pangan &amp; Penduduk'!$D$5:$M$860,10,0))</f>
        <v/>
      </c>
      <c r="M833" s="28" t="str">
        <f t="shared" si="125"/>
        <v/>
      </c>
      <c r="N833" s="60" t="str">
        <f t="shared" si="126"/>
        <v/>
      </c>
      <c r="O833" s="60" t="str">
        <f t="shared" si="127"/>
        <v/>
      </c>
      <c r="P833" s="60" t="str">
        <f t="shared" si="128"/>
        <v/>
      </c>
      <c r="Q833" s="28" t="str">
        <f t="shared" si="129"/>
        <v/>
      </c>
    </row>
    <row r="834" spans="1:17" ht="15" x14ac:dyDescent="0.25">
      <c r="A834" s="3" t="str">
        <f>IF('[1]0.1 Produksi Pangan &amp; Penduduk'!A835="","",'[1]0.1 Produksi Pangan &amp; Penduduk'!A835)</f>
        <v/>
      </c>
      <c r="B834" s="2" t="str">
        <f>IF('[1]0.1 Produksi Pangan &amp; Penduduk'!B835="","",'[1]0.1 Produksi Pangan &amp; Penduduk'!B835)</f>
        <v/>
      </c>
      <c r="C834" s="2" t="str">
        <f>IF('[1]0.1 Produksi Pangan &amp; Penduduk'!F835="","",'[1]0.1 Produksi Pangan &amp; Penduduk'!F835)</f>
        <v/>
      </c>
      <c r="D834" s="3" t="str">
        <f>IF('[1]0.1 Produksi Pangan &amp; Penduduk'!D835="","",'[1]0.1 Produksi Pangan &amp; Penduduk'!D835)</f>
        <v/>
      </c>
      <c r="E834" s="3" t="str">
        <f>IF('[1]0.1 Produksi Pangan &amp; Penduduk'!E835="","",'[1]0.1 Produksi Pangan &amp; Penduduk'!E835)</f>
        <v/>
      </c>
      <c r="F834" s="59" t="str">
        <f>IF(D834="","",VLOOKUP(D834,'[1]0.1 Produksi Pangan &amp; Penduduk'!$D$5:$J$860,7,0))</f>
        <v/>
      </c>
      <c r="G834" s="27" t="str">
        <f t="shared" si="120"/>
        <v/>
      </c>
      <c r="H834" s="27" t="str">
        <f t="shared" si="121"/>
        <v/>
      </c>
      <c r="I834" s="27" t="str">
        <f t="shared" si="122"/>
        <v/>
      </c>
      <c r="J834" s="27" t="str">
        <f t="shared" si="123"/>
        <v/>
      </c>
      <c r="K834" s="27" t="str">
        <f t="shared" si="124"/>
        <v/>
      </c>
      <c r="L834" s="59" t="str">
        <f>IF(D834="","",VLOOKUP(D834,'[1]0.1 Produksi Pangan &amp; Penduduk'!$D$5:$M$860,10,0))</f>
        <v/>
      </c>
      <c r="M834" s="28" t="str">
        <f t="shared" si="125"/>
        <v/>
      </c>
      <c r="N834" s="60" t="str">
        <f t="shared" si="126"/>
        <v/>
      </c>
      <c r="O834" s="60" t="str">
        <f t="shared" si="127"/>
        <v/>
      </c>
      <c r="P834" s="60" t="str">
        <f t="shared" si="128"/>
        <v/>
      </c>
      <c r="Q834" s="28" t="str">
        <f t="shared" si="129"/>
        <v/>
      </c>
    </row>
    <row r="835" spans="1:17" ht="15" x14ac:dyDescent="0.25">
      <c r="A835" s="3" t="str">
        <f>IF('[1]0.1 Produksi Pangan &amp; Penduduk'!A836="","",'[1]0.1 Produksi Pangan &amp; Penduduk'!A836)</f>
        <v/>
      </c>
      <c r="B835" s="2" t="str">
        <f>IF('[1]0.1 Produksi Pangan &amp; Penduduk'!B836="","",'[1]0.1 Produksi Pangan &amp; Penduduk'!B836)</f>
        <v/>
      </c>
      <c r="C835" s="2" t="str">
        <f>IF('[1]0.1 Produksi Pangan &amp; Penduduk'!F836="","",'[1]0.1 Produksi Pangan &amp; Penduduk'!F836)</f>
        <v/>
      </c>
      <c r="D835" s="3" t="str">
        <f>IF('[1]0.1 Produksi Pangan &amp; Penduduk'!D836="","",'[1]0.1 Produksi Pangan &amp; Penduduk'!D836)</f>
        <v/>
      </c>
      <c r="E835" s="3" t="str">
        <f>IF('[1]0.1 Produksi Pangan &amp; Penduduk'!E836="","",'[1]0.1 Produksi Pangan &amp; Penduduk'!E836)</f>
        <v/>
      </c>
      <c r="F835" s="59" t="str">
        <f>IF(D835="","",VLOOKUP(D835,'[1]0.1 Produksi Pangan &amp; Penduduk'!$D$5:$J$860,7,0))</f>
        <v/>
      </c>
      <c r="G835" s="27" t="str">
        <f t="shared" si="120"/>
        <v/>
      </c>
      <c r="H835" s="27" t="str">
        <f t="shared" si="121"/>
        <v/>
      </c>
      <c r="I835" s="27" t="str">
        <f t="shared" si="122"/>
        <v/>
      </c>
      <c r="J835" s="27" t="str">
        <f t="shared" si="123"/>
        <v/>
      </c>
      <c r="K835" s="27" t="str">
        <f t="shared" si="124"/>
        <v/>
      </c>
      <c r="L835" s="59" t="str">
        <f>IF(D835="","",VLOOKUP(D835,'[1]0.1 Produksi Pangan &amp; Penduduk'!$D$5:$M$860,10,0))</f>
        <v/>
      </c>
      <c r="M835" s="28" t="str">
        <f t="shared" si="125"/>
        <v/>
      </c>
      <c r="N835" s="60" t="str">
        <f t="shared" si="126"/>
        <v/>
      </c>
      <c r="O835" s="60" t="str">
        <f t="shared" si="127"/>
        <v/>
      </c>
      <c r="P835" s="60" t="str">
        <f t="shared" si="128"/>
        <v/>
      </c>
      <c r="Q835" s="28" t="str">
        <f t="shared" si="129"/>
        <v/>
      </c>
    </row>
    <row r="836" spans="1:17" ht="15" x14ac:dyDescent="0.25">
      <c r="A836" s="3" t="str">
        <f>IF('[1]0.1 Produksi Pangan &amp; Penduduk'!A837="","",'[1]0.1 Produksi Pangan &amp; Penduduk'!A837)</f>
        <v/>
      </c>
      <c r="B836" s="2" t="str">
        <f>IF('[1]0.1 Produksi Pangan &amp; Penduduk'!B837="","",'[1]0.1 Produksi Pangan &amp; Penduduk'!B837)</f>
        <v/>
      </c>
      <c r="C836" s="2" t="str">
        <f>IF('[1]0.1 Produksi Pangan &amp; Penduduk'!F837="","",'[1]0.1 Produksi Pangan &amp; Penduduk'!F837)</f>
        <v/>
      </c>
      <c r="D836" s="3" t="str">
        <f>IF('[1]0.1 Produksi Pangan &amp; Penduduk'!D837="","",'[1]0.1 Produksi Pangan &amp; Penduduk'!D837)</f>
        <v/>
      </c>
      <c r="E836" s="3" t="str">
        <f>IF('[1]0.1 Produksi Pangan &amp; Penduduk'!E837="","",'[1]0.1 Produksi Pangan &amp; Penduduk'!E837)</f>
        <v/>
      </c>
      <c r="F836" s="59" t="str">
        <f>IF(D836="","",VLOOKUP(D836,'[1]0.1 Produksi Pangan &amp; Penduduk'!$D$5:$J$860,7,0))</f>
        <v/>
      </c>
      <c r="G836" s="27" t="str">
        <f t="shared" si="120"/>
        <v/>
      </c>
      <c r="H836" s="27" t="str">
        <f t="shared" si="121"/>
        <v/>
      </c>
      <c r="I836" s="27" t="str">
        <f t="shared" si="122"/>
        <v/>
      </c>
      <c r="J836" s="27" t="str">
        <f t="shared" si="123"/>
        <v/>
      </c>
      <c r="K836" s="27" t="str">
        <f t="shared" si="124"/>
        <v/>
      </c>
      <c r="L836" s="59" t="str">
        <f>IF(D836="","",VLOOKUP(D836,'[1]0.1 Produksi Pangan &amp; Penduduk'!$D$5:$M$860,10,0))</f>
        <v/>
      </c>
      <c r="M836" s="28" t="str">
        <f t="shared" si="125"/>
        <v/>
      </c>
      <c r="N836" s="60" t="str">
        <f t="shared" si="126"/>
        <v/>
      </c>
      <c r="O836" s="60" t="str">
        <f t="shared" si="127"/>
        <v/>
      </c>
      <c r="P836" s="60" t="str">
        <f t="shared" si="128"/>
        <v/>
      </c>
      <c r="Q836" s="28" t="str">
        <f t="shared" si="129"/>
        <v/>
      </c>
    </row>
    <row r="837" spans="1:17" ht="15" x14ac:dyDescent="0.25">
      <c r="A837" s="3" t="str">
        <f>IF('[1]0.1 Produksi Pangan &amp; Penduduk'!A838="","",'[1]0.1 Produksi Pangan &amp; Penduduk'!A838)</f>
        <v/>
      </c>
      <c r="B837" s="2" t="str">
        <f>IF('[1]0.1 Produksi Pangan &amp; Penduduk'!B838="","",'[1]0.1 Produksi Pangan &amp; Penduduk'!B838)</f>
        <v/>
      </c>
      <c r="C837" s="2" t="str">
        <f>IF('[1]0.1 Produksi Pangan &amp; Penduduk'!F838="","",'[1]0.1 Produksi Pangan &amp; Penduduk'!F838)</f>
        <v/>
      </c>
      <c r="D837" s="3" t="str">
        <f>IF('[1]0.1 Produksi Pangan &amp; Penduduk'!D838="","",'[1]0.1 Produksi Pangan &amp; Penduduk'!D838)</f>
        <v/>
      </c>
      <c r="E837" s="3" t="str">
        <f>IF('[1]0.1 Produksi Pangan &amp; Penduduk'!E838="","",'[1]0.1 Produksi Pangan &amp; Penduduk'!E838)</f>
        <v/>
      </c>
      <c r="F837" s="59" t="str">
        <f>IF(D837="","",VLOOKUP(D837,'[1]0.1 Produksi Pangan &amp; Penduduk'!$D$5:$J$860,7,0))</f>
        <v/>
      </c>
      <c r="G837" s="27" t="str">
        <f t="shared" si="120"/>
        <v/>
      </c>
      <c r="H837" s="27" t="str">
        <f t="shared" si="121"/>
        <v/>
      </c>
      <c r="I837" s="27" t="str">
        <f t="shared" si="122"/>
        <v/>
      </c>
      <c r="J837" s="27" t="str">
        <f t="shared" si="123"/>
        <v/>
      </c>
      <c r="K837" s="27" t="str">
        <f t="shared" si="124"/>
        <v/>
      </c>
      <c r="L837" s="59" t="str">
        <f>IF(D837="","",VLOOKUP(D837,'[1]0.1 Produksi Pangan &amp; Penduduk'!$D$5:$M$860,10,0))</f>
        <v/>
      </c>
      <c r="M837" s="28" t="str">
        <f t="shared" si="125"/>
        <v/>
      </c>
      <c r="N837" s="60" t="str">
        <f t="shared" si="126"/>
        <v/>
      </c>
      <c r="O837" s="60" t="str">
        <f t="shared" si="127"/>
        <v/>
      </c>
      <c r="P837" s="60" t="str">
        <f t="shared" si="128"/>
        <v/>
      </c>
      <c r="Q837" s="28" t="str">
        <f t="shared" si="129"/>
        <v/>
      </c>
    </row>
    <row r="838" spans="1:17" ht="15" x14ac:dyDescent="0.25">
      <c r="A838" s="3" t="str">
        <f>IF('[1]0.1 Produksi Pangan &amp; Penduduk'!A839="","",'[1]0.1 Produksi Pangan &amp; Penduduk'!A839)</f>
        <v/>
      </c>
      <c r="B838" s="2" t="str">
        <f>IF('[1]0.1 Produksi Pangan &amp; Penduduk'!B839="","",'[1]0.1 Produksi Pangan &amp; Penduduk'!B839)</f>
        <v/>
      </c>
      <c r="C838" s="2" t="str">
        <f>IF('[1]0.1 Produksi Pangan &amp; Penduduk'!F839="","",'[1]0.1 Produksi Pangan &amp; Penduduk'!F839)</f>
        <v/>
      </c>
      <c r="D838" s="3" t="str">
        <f>IF('[1]0.1 Produksi Pangan &amp; Penduduk'!D839="","",'[1]0.1 Produksi Pangan &amp; Penduduk'!D839)</f>
        <v/>
      </c>
      <c r="E838" s="3" t="str">
        <f>IF('[1]0.1 Produksi Pangan &amp; Penduduk'!E839="","",'[1]0.1 Produksi Pangan &amp; Penduduk'!E839)</f>
        <v/>
      </c>
      <c r="F838" s="59" t="str">
        <f>IF(D838="","",VLOOKUP(D838,'[1]0.1 Produksi Pangan &amp; Penduduk'!$D$5:$J$860,7,0))</f>
        <v/>
      </c>
      <c r="G838" s="27" t="str">
        <f t="shared" ref="G838:G859" si="130">IF(F838="","",F838*0.9%)</f>
        <v/>
      </c>
      <c r="H838" s="27" t="str">
        <f t="shared" ref="H838:H859" si="131">IF(F838="","",F838*0.44%)</f>
        <v/>
      </c>
      <c r="I838" s="27" t="str">
        <f t="shared" ref="I838:I859" si="132">IF(F838="","",F838*4.92%)</f>
        <v/>
      </c>
      <c r="J838" s="27" t="str">
        <f t="shared" ref="J838:J859" si="133">IF(F838="","",F838*0.56%)</f>
        <v/>
      </c>
      <c r="K838" s="27" t="str">
        <f t="shared" ref="K838:K859" si="134">IF(F838="","",F838-(G838+H838+I838+J838))</f>
        <v/>
      </c>
      <c r="L838" s="59" t="str">
        <f>IF(D838="","",VLOOKUP(D838,'[1]0.1 Produksi Pangan &amp; Penduduk'!$D$5:$M$860,10,0))</f>
        <v/>
      </c>
      <c r="M838" s="28" t="str">
        <f t="shared" ref="M838:M859" si="135">IFERROR(K838*L838,"")</f>
        <v/>
      </c>
      <c r="N838" s="60" t="str">
        <f t="shared" ref="N838:N859" si="136">IF(M838="","",M838*0.17%)</f>
        <v/>
      </c>
      <c r="O838" s="60" t="str">
        <f t="shared" ref="O838:O859" si="137">IF(M838="","",M838*2.5%)</f>
        <v/>
      </c>
      <c r="P838" s="60" t="str">
        <f t="shared" ref="P838:P858" si="138">IF(M838="","",M838*0.66%)</f>
        <v/>
      </c>
      <c r="Q838" s="28" t="str">
        <f t="shared" ref="Q838:Q858" si="139">IF(M838="","",M838-(N838+O838+P838))</f>
        <v/>
      </c>
    </row>
    <row r="839" spans="1:17" ht="15" x14ac:dyDescent="0.25">
      <c r="A839" s="3" t="str">
        <f>IF('[1]0.1 Produksi Pangan &amp; Penduduk'!A840="","",'[1]0.1 Produksi Pangan &amp; Penduduk'!A840)</f>
        <v/>
      </c>
      <c r="B839" s="2" t="str">
        <f>IF('[1]0.1 Produksi Pangan &amp; Penduduk'!B840="","",'[1]0.1 Produksi Pangan &amp; Penduduk'!B840)</f>
        <v/>
      </c>
      <c r="C839" s="2" t="str">
        <f>IF('[1]0.1 Produksi Pangan &amp; Penduduk'!F840="","",'[1]0.1 Produksi Pangan &amp; Penduduk'!F840)</f>
        <v/>
      </c>
      <c r="D839" s="3" t="str">
        <f>IF('[1]0.1 Produksi Pangan &amp; Penduduk'!D840="","",'[1]0.1 Produksi Pangan &amp; Penduduk'!D840)</f>
        <v/>
      </c>
      <c r="E839" s="3" t="str">
        <f>IF('[1]0.1 Produksi Pangan &amp; Penduduk'!E840="","",'[1]0.1 Produksi Pangan &amp; Penduduk'!E840)</f>
        <v/>
      </c>
      <c r="F839" s="59" t="str">
        <f>IF(D839="","",VLOOKUP(D839,'[1]0.1 Produksi Pangan &amp; Penduduk'!$D$5:$J$860,7,0))</f>
        <v/>
      </c>
      <c r="G839" s="27" t="str">
        <f t="shared" si="130"/>
        <v/>
      </c>
      <c r="H839" s="27" t="str">
        <f t="shared" si="131"/>
        <v/>
      </c>
      <c r="I839" s="27" t="str">
        <f t="shared" si="132"/>
        <v/>
      </c>
      <c r="J839" s="27" t="str">
        <f t="shared" si="133"/>
        <v/>
      </c>
      <c r="K839" s="27" t="str">
        <f t="shared" si="134"/>
        <v/>
      </c>
      <c r="L839" s="59" t="str">
        <f>IF(D839="","",VLOOKUP(D839,'[1]0.1 Produksi Pangan &amp; Penduduk'!$D$5:$M$860,10,0))</f>
        <v/>
      </c>
      <c r="M839" s="28" t="str">
        <f t="shared" si="135"/>
        <v/>
      </c>
      <c r="N839" s="60" t="str">
        <f t="shared" si="136"/>
        <v/>
      </c>
      <c r="O839" s="60" t="str">
        <f t="shared" si="137"/>
        <v/>
      </c>
      <c r="P839" s="60" t="str">
        <f t="shared" si="138"/>
        <v/>
      </c>
      <c r="Q839" s="28" t="str">
        <f t="shared" si="139"/>
        <v/>
      </c>
    </row>
    <row r="840" spans="1:17" ht="15" x14ac:dyDescent="0.25">
      <c r="A840" s="3" t="str">
        <f>IF('[1]0.1 Produksi Pangan &amp; Penduduk'!A841="","",'[1]0.1 Produksi Pangan &amp; Penduduk'!A841)</f>
        <v/>
      </c>
      <c r="B840" s="2" t="str">
        <f>IF('[1]0.1 Produksi Pangan &amp; Penduduk'!B841="","",'[1]0.1 Produksi Pangan &amp; Penduduk'!B841)</f>
        <v/>
      </c>
      <c r="C840" s="2" t="str">
        <f>IF('[1]0.1 Produksi Pangan &amp; Penduduk'!F841="","",'[1]0.1 Produksi Pangan &amp; Penduduk'!F841)</f>
        <v/>
      </c>
      <c r="D840" s="3" t="str">
        <f>IF('[1]0.1 Produksi Pangan &amp; Penduduk'!D841="","",'[1]0.1 Produksi Pangan &amp; Penduduk'!D841)</f>
        <v/>
      </c>
      <c r="E840" s="3" t="str">
        <f>IF('[1]0.1 Produksi Pangan &amp; Penduduk'!E841="","",'[1]0.1 Produksi Pangan &amp; Penduduk'!E841)</f>
        <v/>
      </c>
      <c r="F840" s="59" t="str">
        <f>IF(D840="","",VLOOKUP(D840,'[1]0.1 Produksi Pangan &amp; Penduduk'!$D$5:$J$860,7,0))</f>
        <v/>
      </c>
      <c r="G840" s="27" t="str">
        <f t="shared" si="130"/>
        <v/>
      </c>
      <c r="H840" s="27" t="str">
        <f t="shared" si="131"/>
        <v/>
      </c>
      <c r="I840" s="27" t="str">
        <f t="shared" si="132"/>
        <v/>
      </c>
      <c r="J840" s="27" t="str">
        <f t="shared" si="133"/>
        <v/>
      </c>
      <c r="K840" s="27" t="str">
        <f t="shared" si="134"/>
        <v/>
      </c>
      <c r="L840" s="59" t="str">
        <f>IF(D840="","",VLOOKUP(D840,'[1]0.1 Produksi Pangan &amp; Penduduk'!$D$5:$M$860,10,0))</f>
        <v/>
      </c>
      <c r="M840" s="28" t="str">
        <f t="shared" si="135"/>
        <v/>
      </c>
      <c r="N840" s="60" t="str">
        <f t="shared" si="136"/>
        <v/>
      </c>
      <c r="O840" s="60" t="str">
        <f t="shared" si="137"/>
        <v/>
      </c>
      <c r="P840" s="60" t="str">
        <f t="shared" si="138"/>
        <v/>
      </c>
      <c r="Q840" s="28" t="str">
        <f t="shared" si="139"/>
        <v/>
      </c>
    </row>
    <row r="841" spans="1:17" ht="15" x14ac:dyDescent="0.25">
      <c r="A841" s="3" t="str">
        <f>IF('[1]0.1 Produksi Pangan &amp; Penduduk'!A842="","",'[1]0.1 Produksi Pangan &amp; Penduduk'!A842)</f>
        <v/>
      </c>
      <c r="B841" s="2" t="str">
        <f>IF('[1]0.1 Produksi Pangan &amp; Penduduk'!B842="","",'[1]0.1 Produksi Pangan &amp; Penduduk'!B842)</f>
        <v/>
      </c>
      <c r="C841" s="2" t="str">
        <f>IF('[1]0.1 Produksi Pangan &amp; Penduduk'!F842="","",'[1]0.1 Produksi Pangan &amp; Penduduk'!F842)</f>
        <v/>
      </c>
      <c r="D841" s="3" t="str">
        <f>IF('[1]0.1 Produksi Pangan &amp; Penduduk'!D842="","",'[1]0.1 Produksi Pangan &amp; Penduduk'!D842)</f>
        <v/>
      </c>
      <c r="E841" s="3" t="str">
        <f>IF('[1]0.1 Produksi Pangan &amp; Penduduk'!E842="","",'[1]0.1 Produksi Pangan &amp; Penduduk'!E842)</f>
        <v/>
      </c>
      <c r="F841" s="59" t="str">
        <f>IF(D841="","",VLOOKUP(D841,'[1]0.1 Produksi Pangan &amp; Penduduk'!$D$5:$J$860,7,0))</f>
        <v/>
      </c>
      <c r="G841" s="27" t="str">
        <f t="shared" si="130"/>
        <v/>
      </c>
      <c r="H841" s="27" t="str">
        <f t="shared" si="131"/>
        <v/>
      </c>
      <c r="I841" s="27" t="str">
        <f t="shared" si="132"/>
        <v/>
      </c>
      <c r="J841" s="27" t="str">
        <f t="shared" si="133"/>
        <v/>
      </c>
      <c r="K841" s="27" t="str">
        <f t="shared" si="134"/>
        <v/>
      </c>
      <c r="L841" s="59" t="str">
        <f>IF(D841="","",VLOOKUP(D841,'[1]0.1 Produksi Pangan &amp; Penduduk'!$D$5:$M$860,10,0))</f>
        <v/>
      </c>
      <c r="M841" s="28" t="str">
        <f t="shared" si="135"/>
        <v/>
      </c>
      <c r="N841" s="60" t="str">
        <f t="shared" si="136"/>
        <v/>
      </c>
      <c r="O841" s="60" t="str">
        <f t="shared" si="137"/>
        <v/>
      </c>
      <c r="P841" s="60" t="str">
        <f t="shared" si="138"/>
        <v/>
      </c>
      <c r="Q841" s="28" t="str">
        <f t="shared" si="139"/>
        <v/>
      </c>
    </row>
    <row r="842" spans="1:17" ht="15" x14ac:dyDescent="0.25">
      <c r="A842" s="3" t="str">
        <f>IF('[1]0.1 Produksi Pangan &amp; Penduduk'!A843="","",'[1]0.1 Produksi Pangan &amp; Penduduk'!A843)</f>
        <v/>
      </c>
      <c r="B842" s="2" t="str">
        <f>IF('[1]0.1 Produksi Pangan &amp; Penduduk'!B843="","",'[1]0.1 Produksi Pangan &amp; Penduduk'!B843)</f>
        <v/>
      </c>
      <c r="C842" s="2" t="str">
        <f>IF('[1]0.1 Produksi Pangan &amp; Penduduk'!F843="","",'[1]0.1 Produksi Pangan &amp; Penduduk'!F843)</f>
        <v/>
      </c>
      <c r="D842" s="3" t="str">
        <f>IF('[1]0.1 Produksi Pangan &amp; Penduduk'!D843="","",'[1]0.1 Produksi Pangan &amp; Penduduk'!D843)</f>
        <v/>
      </c>
      <c r="E842" s="3" t="str">
        <f>IF('[1]0.1 Produksi Pangan &amp; Penduduk'!E843="","",'[1]0.1 Produksi Pangan &amp; Penduduk'!E843)</f>
        <v/>
      </c>
      <c r="F842" s="59" t="str">
        <f>IF(D842="","",VLOOKUP(D842,'[1]0.1 Produksi Pangan &amp; Penduduk'!$D$5:$J$860,7,0))</f>
        <v/>
      </c>
      <c r="G842" s="27" t="str">
        <f t="shared" si="130"/>
        <v/>
      </c>
      <c r="H842" s="27" t="str">
        <f t="shared" si="131"/>
        <v/>
      </c>
      <c r="I842" s="27" t="str">
        <f t="shared" si="132"/>
        <v/>
      </c>
      <c r="J842" s="27" t="str">
        <f t="shared" si="133"/>
        <v/>
      </c>
      <c r="K842" s="27" t="str">
        <f t="shared" si="134"/>
        <v/>
      </c>
      <c r="L842" s="59" t="str">
        <f>IF(D842="","",VLOOKUP(D842,'[1]0.1 Produksi Pangan &amp; Penduduk'!$D$5:$M$860,10,0))</f>
        <v/>
      </c>
      <c r="M842" s="28" t="str">
        <f t="shared" si="135"/>
        <v/>
      </c>
      <c r="N842" s="60" t="str">
        <f t="shared" si="136"/>
        <v/>
      </c>
      <c r="O842" s="60" t="str">
        <f t="shared" si="137"/>
        <v/>
      </c>
      <c r="P842" s="60" t="str">
        <f t="shared" si="138"/>
        <v/>
      </c>
      <c r="Q842" s="28" t="str">
        <f t="shared" si="139"/>
        <v/>
      </c>
    </row>
    <row r="843" spans="1:17" ht="15" x14ac:dyDescent="0.25">
      <c r="A843" s="3" t="str">
        <f>IF('[1]0.1 Produksi Pangan &amp; Penduduk'!A844="","",'[1]0.1 Produksi Pangan &amp; Penduduk'!A844)</f>
        <v/>
      </c>
      <c r="B843" s="2" t="str">
        <f>IF('[1]0.1 Produksi Pangan &amp; Penduduk'!B844="","",'[1]0.1 Produksi Pangan &amp; Penduduk'!B844)</f>
        <v/>
      </c>
      <c r="C843" s="2" t="str">
        <f>IF('[1]0.1 Produksi Pangan &amp; Penduduk'!F844="","",'[1]0.1 Produksi Pangan &amp; Penduduk'!F844)</f>
        <v/>
      </c>
      <c r="D843" s="3" t="str">
        <f>IF('[1]0.1 Produksi Pangan &amp; Penduduk'!D844="","",'[1]0.1 Produksi Pangan &amp; Penduduk'!D844)</f>
        <v/>
      </c>
      <c r="E843" s="3" t="str">
        <f>IF('[1]0.1 Produksi Pangan &amp; Penduduk'!E844="","",'[1]0.1 Produksi Pangan &amp; Penduduk'!E844)</f>
        <v/>
      </c>
      <c r="F843" s="59" t="str">
        <f>IF(D843="","",VLOOKUP(D843,'[1]0.1 Produksi Pangan &amp; Penduduk'!$D$5:$J$860,7,0))</f>
        <v/>
      </c>
      <c r="G843" s="27" t="str">
        <f t="shared" si="130"/>
        <v/>
      </c>
      <c r="H843" s="27" t="str">
        <f t="shared" si="131"/>
        <v/>
      </c>
      <c r="I843" s="27" t="str">
        <f t="shared" si="132"/>
        <v/>
      </c>
      <c r="J843" s="27" t="str">
        <f t="shared" si="133"/>
        <v/>
      </c>
      <c r="K843" s="27" t="str">
        <f t="shared" si="134"/>
        <v/>
      </c>
      <c r="L843" s="59" t="str">
        <f>IF(D843="","",VLOOKUP(D843,'[1]0.1 Produksi Pangan &amp; Penduduk'!$D$5:$M$860,10,0))</f>
        <v/>
      </c>
      <c r="M843" s="28" t="str">
        <f t="shared" si="135"/>
        <v/>
      </c>
      <c r="N843" s="60" t="str">
        <f t="shared" si="136"/>
        <v/>
      </c>
      <c r="O843" s="60" t="str">
        <f t="shared" si="137"/>
        <v/>
      </c>
      <c r="P843" s="60" t="str">
        <f t="shared" si="138"/>
        <v/>
      </c>
      <c r="Q843" s="28" t="str">
        <f t="shared" si="139"/>
        <v/>
      </c>
    </row>
    <row r="844" spans="1:17" ht="15" x14ac:dyDescent="0.25">
      <c r="A844" s="3" t="str">
        <f>IF('[1]0.1 Produksi Pangan &amp; Penduduk'!A845="","",'[1]0.1 Produksi Pangan &amp; Penduduk'!A845)</f>
        <v/>
      </c>
      <c r="B844" s="2" t="str">
        <f>IF('[1]0.1 Produksi Pangan &amp; Penduduk'!B845="","",'[1]0.1 Produksi Pangan &amp; Penduduk'!B845)</f>
        <v/>
      </c>
      <c r="C844" s="2" t="str">
        <f>IF('[1]0.1 Produksi Pangan &amp; Penduduk'!F845="","",'[1]0.1 Produksi Pangan &amp; Penduduk'!F845)</f>
        <v/>
      </c>
      <c r="D844" s="3" t="str">
        <f>IF('[1]0.1 Produksi Pangan &amp; Penduduk'!D845="","",'[1]0.1 Produksi Pangan &amp; Penduduk'!D845)</f>
        <v/>
      </c>
      <c r="E844" s="3" t="str">
        <f>IF('[1]0.1 Produksi Pangan &amp; Penduduk'!E845="","",'[1]0.1 Produksi Pangan &amp; Penduduk'!E845)</f>
        <v/>
      </c>
      <c r="F844" s="59" t="str">
        <f>IF(D844="","",VLOOKUP(D844,'[1]0.1 Produksi Pangan &amp; Penduduk'!$D$5:$J$860,7,0))</f>
        <v/>
      </c>
      <c r="G844" s="27" t="str">
        <f t="shared" si="130"/>
        <v/>
      </c>
      <c r="H844" s="27" t="str">
        <f t="shared" si="131"/>
        <v/>
      </c>
      <c r="I844" s="27" t="str">
        <f t="shared" si="132"/>
        <v/>
      </c>
      <c r="J844" s="27" t="str">
        <f t="shared" si="133"/>
        <v/>
      </c>
      <c r="K844" s="27" t="str">
        <f t="shared" si="134"/>
        <v/>
      </c>
      <c r="L844" s="59" t="str">
        <f>IF(D844="","",VLOOKUP(D844,'[1]0.1 Produksi Pangan &amp; Penduduk'!$D$5:$M$860,10,0))</f>
        <v/>
      </c>
      <c r="M844" s="28" t="str">
        <f t="shared" si="135"/>
        <v/>
      </c>
      <c r="N844" s="60" t="str">
        <f t="shared" si="136"/>
        <v/>
      </c>
      <c r="O844" s="60" t="str">
        <f t="shared" si="137"/>
        <v/>
      </c>
      <c r="P844" s="60" t="str">
        <f t="shared" si="138"/>
        <v/>
      </c>
      <c r="Q844" s="28" t="str">
        <f t="shared" si="139"/>
        <v/>
      </c>
    </row>
    <row r="845" spans="1:17" ht="15" x14ac:dyDescent="0.25">
      <c r="A845" s="3" t="str">
        <f>IF('[1]0.1 Produksi Pangan &amp; Penduduk'!A846="","",'[1]0.1 Produksi Pangan &amp; Penduduk'!A846)</f>
        <v/>
      </c>
      <c r="B845" s="2" t="str">
        <f>IF('[1]0.1 Produksi Pangan &amp; Penduduk'!B846="","",'[1]0.1 Produksi Pangan &amp; Penduduk'!B846)</f>
        <v/>
      </c>
      <c r="C845" s="2" t="str">
        <f>IF('[1]0.1 Produksi Pangan &amp; Penduduk'!F846="","",'[1]0.1 Produksi Pangan &amp; Penduduk'!F846)</f>
        <v/>
      </c>
      <c r="D845" s="3" t="str">
        <f>IF('[1]0.1 Produksi Pangan &amp; Penduduk'!D846="","",'[1]0.1 Produksi Pangan &amp; Penduduk'!D846)</f>
        <v/>
      </c>
      <c r="E845" s="3" t="str">
        <f>IF('[1]0.1 Produksi Pangan &amp; Penduduk'!E846="","",'[1]0.1 Produksi Pangan &amp; Penduduk'!E846)</f>
        <v/>
      </c>
      <c r="F845" s="59" t="str">
        <f>IF(D845="","",VLOOKUP(D845,'[1]0.1 Produksi Pangan &amp; Penduduk'!$D$5:$J$860,7,0))</f>
        <v/>
      </c>
      <c r="G845" s="27" t="str">
        <f t="shared" si="130"/>
        <v/>
      </c>
      <c r="H845" s="27" t="str">
        <f t="shared" si="131"/>
        <v/>
      </c>
      <c r="I845" s="27" t="str">
        <f t="shared" si="132"/>
        <v/>
      </c>
      <c r="J845" s="27" t="str">
        <f t="shared" si="133"/>
        <v/>
      </c>
      <c r="K845" s="27" t="str">
        <f t="shared" si="134"/>
        <v/>
      </c>
      <c r="L845" s="59" t="str">
        <f>IF(D845="","",VLOOKUP(D845,'[1]0.1 Produksi Pangan &amp; Penduduk'!$D$5:$M$860,10,0))</f>
        <v/>
      </c>
      <c r="M845" s="28" t="str">
        <f t="shared" si="135"/>
        <v/>
      </c>
      <c r="N845" s="60" t="str">
        <f t="shared" si="136"/>
        <v/>
      </c>
      <c r="O845" s="60" t="str">
        <f t="shared" si="137"/>
        <v/>
      </c>
      <c r="P845" s="60" t="str">
        <f t="shared" si="138"/>
        <v/>
      </c>
      <c r="Q845" s="28" t="str">
        <f t="shared" si="139"/>
        <v/>
      </c>
    </row>
    <row r="846" spans="1:17" ht="15" x14ac:dyDescent="0.25">
      <c r="A846" s="3" t="str">
        <f>IF('[1]0.1 Produksi Pangan &amp; Penduduk'!A847="","",'[1]0.1 Produksi Pangan &amp; Penduduk'!A847)</f>
        <v/>
      </c>
      <c r="B846" s="2" t="str">
        <f>IF('[1]0.1 Produksi Pangan &amp; Penduduk'!B847="","",'[1]0.1 Produksi Pangan &amp; Penduduk'!B847)</f>
        <v/>
      </c>
      <c r="C846" s="2" t="str">
        <f>IF('[1]0.1 Produksi Pangan &amp; Penduduk'!F847="","",'[1]0.1 Produksi Pangan &amp; Penduduk'!F847)</f>
        <v/>
      </c>
      <c r="D846" s="3" t="str">
        <f>IF('[1]0.1 Produksi Pangan &amp; Penduduk'!D847="","",'[1]0.1 Produksi Pangan &amp; Penduduk'!D847)</f>
        <v/>
      </c>
      <c r="E846" s="3" t="str">
        <f>IF('[1]0.1 Produksi Pangan &amp; Penduduk'!E847="","",'[1]0.1 Produksi Pangan &amp; Penduduk'!E847)</f>
        <v/>
      </c>
      <c r="F846" s="59" t="str">
        <f>IF(D846="","",VLOOKUP(D846,'[1]0.1 Produksi Pangan &amp; Penduduk'!$D$5:$J$860,7,0))</f>
        <v/>
      </c>
      <c r="G846" s="27" t="str">
        <f t="shared" si="130"/>
        <v/>
      </c>
      <c r="H846" s="27" t="str">
        <f t="shared" si="131"/>
        <v/>
      </c>
      <c r="I846" s="27" t="str">
        <f t="shared" si="132"/>
        <v/>
      </c>
      <c r="J846" s="27" t="str">
        <f t="shared" si="133"/>
        <v/>
      </c>
      <c r="K846" s="27" t="str">
        <f t="shared" si="134"/>
        <v/>
      </c>
      <c r="L846" s="59" t="str">
        <f>IF(D846="","",VLOOKUP(D846,'[1]0.1 Produksi Pangan &amp; Penduduk'!$D$5:$M$860,10,0))</f>
        <v/>
      </c>
      <c r="M846" s="28" t="str">
        <f t="shared" si="135"/>
        <v/>
      </c>
      <c r="N846" s="60" t="str">
        <f t="shared" si="136"/>
        <v/>
      </c>
      <c r="O846" s="60" t="str">
        <f t="shared" si="137"/>
        <v/>
      </c>
      <c r="P846" s="60" t="str">
        <f t="shared" si="138"/>
        <v/>
      </c>
      <c r="Q846" s="28" t="str">
        <f t="shared" si="139"/>
        <v/>
      </c>
    </row>
    <row r="847" spans="1:17" ht="15" x14ac:dyDescent="0.25">
      <c r="A847" s="3" t="str">
        <f>IF('[1]0.1 Produksi Pangan &amp; Penduduk'!A848="","",'[1]0.1 Produksi Pangan &amp; Penduduk'!A848)</f>
        <v/>
      </c>
      <c r="B847" s="2" t="str">
        <f>IF('[1]0.1 Produksi Pangan &amp; Penduduk'!B848="","",'[1]0.1 Produksi Pangan &amp; Penduduk'!B848)</f>
        <v/>
      </c>
      <c r="C847" s="2" t="str">
        <f>IF('[1]0.1 Produksi Pangan &amp; Penduduk'!F848="","",'[1]0.1 Produksi Pangan &amp; Penduduk'!F848)</f>
        <v/>
      </c>
      <c r="D847" s="3" t="str">
        <f>IF('[1]0.1 Produksi Pangan &amp; Penduduk'!D848="","",'[1]0.1 Produksi Pangan &amp; Penduduk'!D848)</f>
        <v/>
      </c>
      <c r="E847" s="3" t="str">
        <f>IF('[1]0.1 Produksi Pangan &amp; Penduduk'!E848="","",'[1]0.1 Produksi Pangan &amp; Penduduk'!E848)</f>
        <v/>
      </c>
      <c r="F847" s="59" t="str">
        <f>IF(D847="","",VLOOKUP(D847,'[1]0.1 Produksi Pangan &amp; Penduduk'!$D$5:$J$860,7,0))</f>
        <v/>
      </c>
      <c r="G847" s="27" t="str">
        <f t="shared" si="130"/>
        <v/>
      </c>
      <c r="H847" s="27" t="str">
        <f t="shared" si="131"/>
        <v/>
      </c>
      <c r="I847" s="27" t="str">
        <f t="shared" si="132"/>
        <v/>
      </c>
      <c r="J847" s="27" t="str">
        <f t="shared" si="133"/>
        <v/>
      </c>
      <c r="K847" s="27" t="str">
        <f t="shared" si="134"/>
        <v/>
      </c>
      <c r="L847" s="59" t="str">
        <f>IF(D847="","",VLOOKUP(D847,'[1]0.1 Produksi Pangan &amp; Penduduk'!$D$5:$M$860,10,0))</f>
        <v/>
      </c>
      <c r="M847" s="28" t="str">
        <f t="shared" si="135"/>
        <v/>
      </c>
      <c r="N847" s="60" t="str">
        <f t="shared" si="136"/>
        <v/>
      </c>
      <c r="O847" s="60" t="str">
        <f t="shared" si="137"/>
        <v/>
      </c>
      <c r="P847" s="60" t="str">
        <f t="shared" si="138"/>
        <v/>
      </c>
      <c r="Q847" s="28" t="str">
        <f t="shared" si="139"/>
        <v/>
      </c>
    </row>
    <row r="848" spans="1:17" ht="15" x14ac:dyDescent="0.25">
      <c r="A848" s="3" t="str">
        <f>IF('[1]0.1 Produksi Pangan &amp; Penduduk'!A849="","",'[1]0.1 Produksi Pangan &amp; Penduduk'!A849)</f>
        <v/>
      </c>
      <c r="B848" s="2" t="str">
        <f>IF('[1]0.1 Produksi Pangan &amp; Penduduk'!B849="","",'[1]0.1 Produksi Pangan &amp; Penduduk'!B849)</f>
        <v/>
      </c>
      <c r="C848" s="2" t="str">
        <f>IF('[1]0.1 Produksi Pangan &amp; Penduduk'!F849="","",'[1]0.1 Produksi Pangan &amp; Penduduk'!F849)</f>
        <v/>
      </c>
      <c r="D848" s="3" t="str">
        <f>IF('[1]0.1 Produksi Pangan &amp; Penduduk'!D849="","",'[1]0.1 Produksi Pangan &amp; Penduduk'!D849)</f>
        <v/>
      </c>
      <c r="E848" s="3" t="str">
        <f>IF('[1]0.1 Produksi Pangan &amp; Penduduk'!E849="","",'[1]0.1 Produksi Pangan &amp; Penduduk'!E849)</f>
        <v/>
      </c>
      <c r="F848" s="59" t="str">
        <f>IF(D848="","",VLOOKUP(D848,'[1]0.1 Produksi Pangan &amp; Penduduk'!$D$5:$J$860,7,0))</f>
        <v/>
      </c>
      <c r="G848" s="27" t="str">
        <f t="shared" si="130"/>
        <v/>
      </c>
      <c r="H848" s="27" t="str">
        <f t="shared" si="131"/>
        <v/>
      </c>
      <c r="I848" s="27" t="str">
        <f t="shared" si="132"/>
        <v/>
      </c>
      <c r="J848" s="27" t="str">
        <f t="shared" si="133"/>
        <v/>
      </c>
      <c r="K848" s="27" t="str">
        <f t="shared" si="134"/>
        <v/>
      </c>
      <c r="L848" s="59" t="str">
        <f>IF(D848="","",VLOOKUP(D848,'[1]0.1 Produksi Pangan &amp; Penduduk'!$D$5:$M$860,10,0))</f>
        <v/>
      </c>
      <c r="M848" s="28" t="str">
        <f t="shared" si="135"/>
        <v/>
      </c>
      <c r="N848" s="60" t="str">
        <f t="shared" si="136"/>
        <v/>
      </c>
      <c r="O848" s="60" t="str">
        <f t="shared" si="137"/>
        <v/>
      </c>
      <c r="P848" s="60" t="str">
        <f t="shared" si="138"/>
        <v/>
      </c>
      <c r="Q848" s="28" t="str">
        <f t="shared" si="139"/>
        <v/>
      </c>
    </row>
    <row r="849" spans="1:17" ht="15" x14ac:dyDescent="0.25">
      <c r="A849" s="3" t="str">
        <f>IF('[1]0.1 Produksi Pangan &amp; Penduduk'!A850="","",'[1]0.1 Produksi Pangan &amp; Penduduk'!A850)</f>
        <v/>
      </c>
      <c r="B849" s="2" t="str">
        <f>IF('[1]0.1 Produksi Pangan &amp; Penduduk'!B850="","",'[1]0.1 Produksi Pangan &amp; Penduduk'!B850)</f>
        <v/>
      </c>
      <c r="C849" s="2" t="str">
        <f>IF('[1]0.1 Produksi Pangan &amp; Penduduk'!F850="","",'[1]0.1 Produksi Pangan &amp; Penduduk'!F850)</f>
        <v/>
      </c>
      <c r="D849" s="3" t="str">
        <f>IF('[1]0.1 Produksi Pangan &amp; Penduduk'!D850="","",'[1]0.1 Produksi Pangan &amp; Penduduk'!D850)</f>
        <v/>
      </c>
      <c r="E849" s="3" t="str">
        <f>IF('[1]0.1 Produksi Pangan &amp; Penduduk'!E850="","",'[1]0.1 Produksi Pangan &amp; Penduduk'!E850)</f>
        <v/>
      </c>
      <c r="F849" s="59" t="str">
        <f>IF(D849="","",VLOOKUP(D849,'[1]0.1 Produksi Pangan &amp; Penduduk'!$D$5:$J$860,7,0))</f>
        <v/>
      </c>
      <c r="G849" s="27" t="str">
        <f t="shared" si="130"/>
        <v/>
      </c>
      <c r="H849" s="27" t="str">
        <f t="shared" si="131"/>
        <v/>
      </c>
      <c r="I849" s="27" t="str">
        <f t="shared" si="132"/>
        <v/>
      </c>
      <c r="J849" s="27" t="str">
        <f t="shared" si="133"/>
        <v/>
      </c>
      <c r="K849" s="27" t="str">
        <f t="shared" si="134"/>
        <v/>
      </c>
      <c r="L849" s="59" t="str">
        <f>IF(D849="","",VLOOKUP(D849,'[1]0.1 Produksi Pangan &amp; Penduduk'!$D$5:$M$860,10,0))</f>
        <v/>
      </c>
      <c r="M849" s="28" t="str">
        <f t="shared" si="135"/>
        <v/>
      </c>
      <c r="N849" s="60" t="str">
        <f t="shared" si="136"/>
        <v/>
      </c>
      <c r="O849" s="60" t="str">
        <f t="shared" si="137"/>
        <v/>
      </c>
      <c r="P849" s="60" t="str">
        <f t="shared" si="138"/>
        <v/>
      </c>
      <c r="Q849" s="28" t="str">
        <f t="shared" si="139"/>
        <v/>
      </c>
    </row>
    <row r="850" spans="1:17" ht="15" x14ac:dyDescent="0.25">
      <c r="A850" s="3" t="str">
        <f>IF('[1]0.1 Produksi Pangan &amp; Penduduk'!A851="","",'[1]0.1 Produksi Pangan &amp; Penduduk'!A851)</f>
        <v/>
      </c>
      <c r="B850" s="2" t="str">
        <f>IF('[1]0.1 Produksi Pangan &amp; Penduduk'!B851="","",'[1]0.1 Produksi Pangan &amp; Penduduk'!B851)</f>
        <v/>
      </c>
      <c r="C850" s="2" t="str">
        <f>IF('[1]0.1 Produksi Pangan &amp; Penduduk'!F851="","",'[1]0.1 Produksi Pangan &amp; Penduduk'!F851)</f>
        <v/>
      </c>
      <c r="D850" s="3" t="str">
        <f>IF('[1]0.1 Produksi Pangan &amp; Penduduk'!D851="","",'[1]0.1 Produksi Pangan &amp; Penduduk'!D851)</f>
        <v/>
      </c>
      <c r="E850" s="3" t="str">
        <f>IF('[1]0.1 Produksi Pangan &amp; Penduduk'!E851="","",'[1]0.1 Produksi Pangan &amp; Penduduk'!E851)</f>
        <v/>
      </c>
      <c r="F850" s="59" t="str">
        <f>IF(D850="","",VLOOKUP(D850,'[1]0.1 Produksi Pangan &amp; Penduduk'!$D$5:$J$860,7,0))</f>
        <v/>
      </c>
      <c r="G850" s="27" t="str">
        <f t="shared" si="130"/>
        <v/>
      </c>
      <c r="H850" s="27" t="str">
        <f t="shared" si="131"/>
        <v/>
      </c>
      <c r="I850" s="27" t="str">
        <f t="shared" si="132"/>
        <v/>
      </c>
      <c r="J850" s="27" t="str">
        <f t="shared" si="133"/>
        <v/>
      </c>
      <c r="K850" s="27" t="str">
        <f t="shared" si="134"/>
        <v/>
      </c>
      <c r="L850" s="59" t="str">
        <f>IF(D850="","",VLOOKUP(D850,'[1]0.1 Produksi Pangan &amp; Penduduk'!$D$5:$M$860,10,0))</f>
        <v/>
      </c>
      <c r="M850" s="28" t="str">
        <f t="shared" si="135"/>
        <v/>
      </c>
      <c r="N850" s="60" t="str">
        <f t="shared" si="136"/>
        <v/>
      </c>
      <c r="O850" s="60" t="str">
        <f t="shared" si="137"/>
        <v/>
      </c>
      <c r="P850" s="60" t="str">
        <f t="shared" si="138"/>
        <v/>
      </c>
      <c r="Q850" s="28" t="str">
        <f t="shared" si="139"/>
        <v/>
      </c>
    </row>
    <row r="851" spans="1:17" ht="15" x14ac:dyDescent="0.25">
      <c r="A851" s="3" t="str">
        <f>IF('[1]0.1 Produksi Pangan &amp; Penduduk'!A852="","",'[1]0.1 Produksi Pangan &amp; Penduduk'!A852)</f>
        <v/>
      </c>
      <c r="B851" s="2" t="str">
        <f>IF('[1]0.1 Produksi Pangan &amp; Penduduk'!B852="","",'[1]0.1 Produksi Pangan &amp; Penduduk'!B852)</f>
        <v/>
      </c>
      <c r="C851" s="2" t="str">
        <f>IF('[1]0.1 Produksi Pangan &amp; Penduduk'!F852="","",'[1]0.1 Produksi Pangan &amp; Penduduk'!F852)</f>
        <v/>
      </c>
      <c r="D851" s="3" t="str">
        <f>IF('[1]0.1 Produksi Pangan &amp; Penduduk'!D852="","",'[1]0.1 Produksi Pangan &amp; Penduduk'!D852)</f>
        <v/>
      </c>
      <c r="E851" s="3" t="str">
        <f>IF('[1]0.1 Produksi Pangan &amp; Penduduk'!E852="","",'[1]0.1 Produksi Pangan &amp; Penduduk'!E852)</f>
        <v/>
      </c>
      <c r="F851" s="59" t="str">
        <f>IF(D851="","",VLOOKUP(D851,'[1]0.1 Produksi Pangan &amp; Penduduk'!$D$5:$J$860,7,0))</f>
        <v/>
      </c>
      <c r="G851" s="27" t="str">
        <f t="shared" si="130"/>
        <v/>
      </c>
      <c r="H851" s="27" t="str">
        <f t="shared" si="131"/>
        <v/>
      </c>
      <c r="I851" s="27" t="str">
        <f t="shared" si="132"/>
        <v/>
      </c>
      <c r="J851" s="27" t="str">
        <f t="shared" si="133"/>
        <v/>
      </c>
      <c r="K851" s="27" t="str">
        <f t="shared" si="134"/>
        <v/>
      </c>
      <c r="L851" s="59" t="str">
        <f>IF(D851="","",VLOOKUP(D851,'[1]0.1 Produksi Pangan &amp; Penduduk'!$D$5:$M$860,10,0))</f>
        <v/>
      </c>
      <c r="M851" s="28" t="str">
        <f t="shared" si="135"/>
        <v/>
      </c>
      <c r="N851" s="60" t="str">
        <f t="shared" si="136"/>
        <v/>
      </c>
      <c r="O851" s="60" t="str">
        <f t="shared" si="137"/>
        <v/>
      </c>
      <c r="P851" s="60" t="str">
        <f t="shared" si="138"/>
        <v/>
      </c>
      <c r="Q851" s="28" t="str">
        <f t="shared" si="139"/>
        <v/>
      </c>
    </row>
    <row r="852" spans="1:17" ht="15" x14ac:dyDescent="0.25">
      <c r="A852" s="3" t="str">
        <f>IF('[1]0.1 Produksi Pangan &amp; Penduduk'!A853="","",'[1]0.1 Produksi Pangan &amp; Penduduk'!A853)</f>
        <v/>
      </c>
      <c r="B852" s="2" t="str">
        <f>IF('[1]0.1 Produksi Pangan &amp; Penduduk'!B853="","",'[1]0.1 Produksi Pangan &amp; Penduduk'!B853)</f>
        <v/>
      </c>
      <c r="C852" s="2" t="str">
        <f>IF('[1]0.1 Produksi Pangan &amp; Penduduk'!F853="","",'[1]0.1 Produksi Pangan &amp; Penduduk'!F853)</f>
        <v/>
      </c>
      <c r="D852" s="3" t="str">
        <f>IF('[1]0.1 Produksi Pangan &amp; Penduduk'!D853="","",'[1]0.1 Produksi Pangan &amp; Penduduk'!D853)</f>
        <v/>
      </c>
      <c r="E852" s="3" t="str">
        <f>IF('[1]0.1 Produksi Pangan &amp; Penduduk'!E853="","",'[1]0.1 Produksi Pangan &amp; Penduduk'!E853)</f>
        <v/>
      </c>
      <c r="F852" s="59" t="str">
        <f>IF(D852="","",VLOOKUP(D852,'[1]0.1 Produksi Pangan &amp; Penduduk'!$D$5:$J$860,7,0))</f>
        <v/>
      </c>
      <c r="G852" s="27" t="str">
        <f t="shared" si="130"/>
        <v/>
      </c>
      <c r="H852" s="27" t="str">
        <f t="shared" si="131"/>
        <v/>
      </c>
      <c r="I852" s="27" t="str">
        <f t="shared" si="132"/>
        <v/>
      </c>
      <c r="J852" s="27" t="str">
        <f t="shared" si="133"/>
        <v/>
      </c>
      <c r="K852" s="27" t="str">
        <f t="shared" si="134"/>
        <v/>
      </c>
      <c r="L852" s="59" t="str">
        <f>IF(D852="","",VLOOKUP(D852,'[1]0.1 Produksi Pangan &amp; Penduduk'!$D$5:$M$860,10,0))</f>
        <v/>
      </c>
      <c r="M852" s="28" t="str">
        <f t="shared" si="135"/>
        <v/>
      </c>
      <c r="N852" s="60" t="str">
        <f t="shared" si="136"/>
        <v/>
      </c>
      <c r="O852" s="60" t="str">
        <f t="shared" si="137"/>
        <v/>
      </c>
      <c r="P852" s="60" t="str">
        <f t="shared" si="138"/>
        <v/>
      </c>
      <c r="Q852" s="28" t="str">
        <f t="shared" si="139"/>
        <v/>
      </c>
    </row>
    <row r="853" spans="1:17" ht="15" x14ac:dyDescent="0.25">
      <c r="A853" s="3" t="str">
        <f>IF('[1]0.1 Produksi Pangan &amp; Penduduk'!A854="","",'[1]0.1 Produksi Pangan &amp; Penduduk'!A854)</f>
        <v/>
      </c>
      <c r="B853" s="2" t="str">
        <f>IF('[1]0.1 Produksi Pangan &amp; Penduduk'!B854="","",'[1]0.1 Produksi Pangan &amp; Penduduk'!B854)</f>
        <v/>
      </c>
      <c r="C853" s="2" t="str">
        <f>IF('[1]0.1 Produksi Pangan &amp; Penduduk'!F854="","",'[1]0.1 Produksi Pangan &amp; Penduduk'!F854)</f>
        <v/>
      </c>
      <c r="D853" s="3" t="str">
        <f>IF('[1]0.1 Produksi Pangan &amp; Penduduk'!D854="","",'[1]0.1 Produksi Pangan &amp; Penduduk'!D854)</f>
        <v/>
      </c>
      <c r="E853" s="3" t="str">
        <f>IF('[1]0.1 Produksi Pangan &amp; Penduduk'!E854="","",'[1]0.1 Produksi Pangan &amp; Penduduk'!E854)</f>
        <v/>
      </c>
      <c r="F853" s="59" t="str">
        <f>IF(D853="","",VLOOKUP(D853,'[1]0.1 Produksi Pangan &amp; Penduduk'!$D$5:$J$860,7,0))</f>
        <v/>
      </c>
      <c r="G853" s="27" t="str">
        <f t="shared" si="130"/>
        <v/>
      </c>
      <c r="H853" s="27" t="str">
        <f t="shared" si="131"/>
        <v/>
      </c>
      <c r="I853" s="27" t="str">
        <f t="shared" si="132"/>
        <v/>
      </c>
      <c r="J853" s="27" t="str">
        <f t="shared" si="133"/>
        <v/>
      </c>
      <c r="K853" s="27" t="str">
        <f t="shared" si="134"/>
        <v/>
      </c>
      <c r="L853" s="59" t="str">
        <f>IF(D853="","",VLOOKUP(D853,'[1]0.1 Produksi Pangan &amp; Penduduk'!$D$5:$M$860,10,0))</f>
        <v/>
      </c>
      <c r="M853" s="28" t="str">
        <f t="shared" si="135"/>
        <v/>
      </c>
      <c r="N853" s="60" t="str">
        <f t="shared" si="136"/>
        <v/>
      </c>
      <c r="O853" s="60" t="str">
        <f t="shared" si="137"/>
        <v/>
      </c>
      <c r="P853" s="60" t="str">
        <f t="shared" si="138"/>
        <v/>
      </c>
      <c r="Q853" s="28" t="str">
        <f t="shared" si="139"/>
        <v/>
      </c>
    </row>
    <row r="854" spans="1:17" ht="15" x14ac:dyDescent="0.25">
      <c r="A854" s="3" t="str">
        <f>IF('[1]0.1 Produksi Pangan &amp; Penduduk'!A855="","",'[1]0.1 Produksi Pangan &amp; Penduduk'!A855)</f>
        <v/>
      </c>
      <c r="B854" s="2" t="str">
        <f>IF('[1]0.1 Produksi Pangan &amp; Penduduk'!B855="","",'[1]0.1 Produksi Pangan &amp; Penduduk'!B855)</f>
        <v/>
      </c>
      <c r="C854" s="2" t="str">
        <f>IF('[1]0.1 Produksi Pangan &amp; Penduduk'!F855="","",'[1]0.1 Produksi Pangan &amp; Penduduk'!F855)</f>
        <v/>
      </c>
      <c r="D854" s="3" t="str">
        <f>IF('[1]0.1 Produksi Pangan &amp; Penduduk'!D855="","",'[1]0.1 Produksi Pangan &amp; Penduduk'!D855)</f>
        <v/>
      </c>
      <c r="E854" s="3" t="str">
        <f>IF('[1]0.1 Produksi Pangan &amp; Penduduk'!E855="","",'[1]0.1 Produksi Pangan &amp; Penduduk'!E855)</f>
        <v/>
      </c>
      <c r="F854" s="59" t="str">
        <f>IF(D854="","",VLOOKUP(D854,'[1]0.1 Produksi Pangan &amp; Penduduk'!$D$5:$J$860,7,0))</f>
        <v/>
      </c>
      <c r="G854" s="27" t="str">
        <f t="shared" si="130"/>
        <v/>
      </c>
      <c r="H854" s="27" t="str">
        <f t="shared" si="131"/>
        <v/>
      </c>
      <c r="I854" s="27" t="str">
        <f t="shared" si="132"/>
        <v/>
      </c>
      <c r="J854" s="27" t="str">
        <f t="shared" si="133"/>
        <v/>
      </c>
      <c r="K854" s="27" t="str">
        <f t="shared" si="134"/>
        <v/>
      </c>
      <c r="L854" s="59" t="str">
        <f>IF(D854="","",VLOOKUP(D854,'[1]0.1 Produksi Pangan &amp; Penduduk'!$D$5:$M$860,10,0))</f>
        <v/>
      </c>
      <c r="M854" s="28" t="str">
        <f t="shared" si="135"/>
        <v/>
      </c>
      <c r="N854" s="60" t="str">
        <f t="shared" si="136"/>
        <v/>
      </c>
      <c r="O854" s="60" t="str">
        <f t="shared" si="137"/>
        <v/>
      </c>
      <c r="P854" s="60" t="str">
        <f t="shared" si="138"/>
        <v/>
      </c>
      <c r="Q854" s="28" t="str">
        <f t="shared" si="139"/>
        <v/>
      </c>
    </row>
    <row r="855" spans="1:17" ht="15" x14ac:dyDescent="0.25">
      <c r="A855" s="3" t="str">
        <f>IF('[1]0.1 Produksi Pangan &amp; Penduduk'!A856="","",'[1]0.1 Produksi Pangan &amp; Penduduk'!A856)</f>
        <v/>
      </c>
      <c r="B855" s="2" t="str">
        <f>IF('[1]0.1 Produksi Pangan &amp; Penduduk'!B856="","",'[1]0.1 Produksi Pangan &amp; Penduduk'!B856)</f>
        <v/>
      </c>
      <c r="C855" s="2" t="str">
        <f>IF('[1]0.1 Produksi Pangan &amp; Penduduk'!F856="","",'[1]0.1 Produksi Pangan &amp; Penduduk'!F856)</f>
        <v/>
      </c>
      <c r="D855" s="3" t="str">
        <f>IF('[1]0.1 Produksi Pangan &amp; Penduduk'!D856="","",'[1]0.1 Produksi Pangan &amp; Penduduk'!D856)</f>
        <v/>
      </c>
      <c r="E855" s="3" t="str">
        <f>IF('[1]0.1 Produksi Pangan &amp; Penduduk'!E856="","",'[1]0.1 Produksi Pangan &amp; Penduduk'!E856)</f>
        <v/>
      </c>
      <c r="F855" s="59" t="str">
        <f>IF(D855="","",VLOOKUP(D855,'[1]0.1 Produksi Pangan &amp; Penduduk'!$D$5:$J$860,7,0))</f>
        <v/>
      </c>
      <c r="G855" s="27" t="str">
        <f t="shared" si="130"/>
        <v/>
      </c>
      <c r="H855" s="27" t="str">
        <f t="shared" si="131"/>
        <v/>
      </c>
      <c r="I855" s="27" t="str">
        <f t="shared" si="132"/>
        <v/>
      </c>
      <c r="J855" s="27" t="str">
        <f t="shared" si="133"/>
        <v/>
      </c>
      <c r="K855" s="27" t="str">
        <f t="shared" si="134"/>
        <v/>
      </c>
      <c r="L855" s="59" t="str">
        <f>IF(D855="","",VLOOKUP(D855,'[1]0.1 Produksi Pangan &amp; Penduduk'!$D$5:$M$860,10,0))</f>
        <v/>
      </c>
      <c r="M855" s="28" t="str">
        <f t="shared" si="135"/>
        <v/>
      </c>
      <c r="N855" s="60" t="str">
        <f t="shared" si="136"/>
        <v/>
      </c>
      <c r="O855" s="60" t="str">
        <f t="shared" si="137"/>
        <v/>
      </c>
      <c r="P855" s="60" t="str">
        <f t="shared" si="138"/>
        <v/>
      </c>
      <c r="Q855" s="28" t="str">
        <f t="shared" si="139"/>
        <v/>
      </c>
    </row>
    <row r="856" spans="1:17" ht="15" x14ac:dyDescent="0.25">
      <c r="A856" s="3" t="str">
        <f>IF('[1]0.1 Produksi Pangan &amp; Penduduk'!A857="","",'[1]0.1 Produksi Pangan &amp; Penduduk'!A857)</f>
        <v/>
      </c>
      <c r="B856" s="2" t="str">
        <f>IF('[1]0.1 Produksi Pangan &amp; Penduduk'!B857="","",'[1]0.1 Produksi Pangan &amp; Penduduk'!B857)</f>
        <v/>
      </c>
      <c r="C856" s="2" t="str">
        <f>IF('[1]0.1 Produksi Pangan &amp; Penduduk'!F857="","",'[1]0.1 Produksi Pangan &amp; Penduduk'!F857)</f>
        <v/>
      </c>
      <c r="D856" s="3" t="str">
        <f>IF('[1]0.1 Produksi Pangan &amp; Penduduk'!D857="","",'[1]0.1 Produksi Pangan &amp; Penduduk'!D857)</f>
        <v/>
      </c>
      <c r="E856" s="3" t="str">
        <f>IF('[1]0.1 Produksi Pangan &amp; Penduduk'!E857="","",'[1]0.1 Produksi Pangan &amp; Penduduk'!E857)</f>
        <v/>
      </c>
      <c r="F856" s="59" t="str">
        <f>IF(D856="","",VLOOKUP(D856,'[1]0.1 Produksi Pangan &amp; Penduduk'!$D$5:$J$860,7,0))</f>
        <v/>
      </c>
      <c r="G856" s="27" t="str">
        <f t="shared" si="130"/>
        <v/>
      </c>
      <c r="H856" s="27" t="str">
        <f t="shared" si="131"/>
        <v/>
      </c>
      <c r="I856" s="27" t="str">
        <f t="shared" si="132"/>
        <v/>
      </c>
      <c r="J856" s="27" t="str">
        <f t="shared" si="133"/>
        <v/>
      </c>
      <c r="K856" s="27" t="str">
        <f t="shared" si="134"/>
        <v/>
      </c>
      <c r="L856" s="59" t="str">
        <f>IF(D856="","",VLOOKUP(D856,'[1]0.1 Produksi Pangan &amp; Penduduk'!$D$5:$M$860,10,0))</f>
        <v/>
      </c>
      <c r="M856" s="28" t="str">
        <f t="shared" si="135"/>
        <v/>
      </c>
      <c r="N856" s="60" t="str">
        <f t="shared" si="136"/>
        <v/>
      </c>
      <c r="O856" s="60" t="str">
        <f t="shared" si="137"/>
        <v/>
      </c>
      <c r="P856" s="60" t="str">
        <f t="shared" si="138"/>
        <v/>
      </c>
      <c r="Q856" s="28" t="str">
        <f t="shared" si="139"/>
        <v/>
      </c>
    </row>
    <row r="857" spans="1:17" ht="15" x14ac:dyDescent="0.25">
      <c r="A857" s="3" t="str">
        <f>IF('[1]0.1 Produksi Pangan &amp; Penduduk'!A858="","",'[1]0.1 Produksi Pangan &amp; Penduduk'!A858)</f>
        <v/>
      </c>
      <c r="B857" s="2" t="str">
        <f>IF('[1]0.1 Produksi Pangan &amp; Penduduk'!B858="","",'[1]0.1 Produksi Pangan &amp; Penduduk'!B858)</f>
        <v/>
      </c>
      <c r="C857" s="2" t="str">
        <f>IF('[1]0.1 Produksi Pangan &amp; Penduduk'!F858="","",'[1]0.1 Produksi Pangan &amp; Penduduk'!F858)</f>
        <v/>
      </c>
      <c r="D857" s="3" t="str">
        <f>IF('[1]0.1 Produksi Pangan &amp; Penduduk'!D858="","",'[1]0.1 Produksi Pangan &amp; Penduduk'!D858)</f>
        <v/>
      </c>
      <c r="E857" s="3" t="str">
        <f>IF('[1]0.1 Produksi Pangan &amp; Penduduk'!E858="","",'[1]0.1 Produksi Pangan &amp; Penduduk'!E858)</f>
        <v/>
      </c>
      <c r="F857" s="59" t="str">
        <f>IF(D857="","",VLOOKUP(D857,'[1]0.1 Produksi Pangan &amp; Penduduk'!$D$5:$J$860,7,0))</f>
        <v/>
      </c>
      <c r="G857" s="27" t="str">
        <f t="shared" si="130"/>
        <v/>
      </c>
      <c r="H857" s="27" t="str">
        <f t="shared" si="131"/>
        <v/>
      </c>
      <c r="I857" s="27" t="str">
        <f t="shared" si="132"/>
        <v/>
      </c>
      <c r="J857" s="27" t="str">
        <f t="shared" si="133"/>
        <v/>
      </c>
      <c r="K857" s="27" t="str">
        <f t="shared" si="134"/>
        <v/>
      </c>
      <c r="L857" s="59" t="str">
        <f>IF(D857="","",VLOOKUP(D857,'[1]0.1 Produksi Pangan &amp; Penduduk'!$D$5:$M$860,10,0))</f>
        <v/>
      </c>
      <c r="M857" s="28" t="str">
        <f t="shared" si="135"/>
        <v/>
      </c>
      <c r="N857" s="60" t="str">
        <f t="shared" si="136"/>
        <v/>
      </c>
      <c r="O857" s="60" t="str">
        <f t="shared" si="137"/>
        <v/>
      </c>
      <c r="P857" s="60" t="str">
        <f t="shared" si="138"/>
        <v/>
      </c>
      <c r="Q857" s="28" t="str">
        <f t="shared" si="139"/>
        <v/>
      </c>
    </row>
    <row r="858" spans="1:17" ht="15" x14ac:dyDescent="0.25">
      <c r="A858" s="3" t="str">
        <f>IF('[1]0.1 Produksi Pangan &amp; Penduduk'!A859="","",'[1]0.1 Produksi Pangan &amp; Penduduk'!A859)</f>
        <v/>
      </c>
      <c r="B858" s="2" t="str">
        <f>IF('[1]0.1 Produksi Pangan &amp; Penduduk'!B859="","",'[1]0.1 Produksi Pangan &amp; Penduduk'!B859)</f>
        <v/>
      </c>
      <c r="C858" s="2" t="str">
        <f>IF('[1]0.1 Produksi Pangan &amp; Penduduk'!F859="","",'[1]0.1 Produksi Pangan &amp; Penduduk'!F859)</f>
        <v/>
      </c>
      <c r="D858" s="3" t="str">
        <f>IF('[1]0.1 Produksi Pangan &amp; Penduduk'!D859="","",'[1]0.1 Produksi Pangan &amp; Penduduk'!D859)</f>
        <v/>
      </c>
      <c r="E858" s="3" t="str">
        <f>IF('[1]0.1 Produksi Pangan &amp; Penduduk'!E859="","",'[1]0.1 Produksi Pangan &amp; Penduduk'!E859)</f>
        <v/>
      </c>
      <c r="F858" s="59" t="str">
        <f>IF(D858="","",VLOOKUP(D858,'[1]0.1 Produksi Pangan &amp; Penduduk'!$D$5:$J$860,7,0))</f>
        <v/>
      </c>
      <c r="G858" s="27" t="str">
        <f t="shared" si="130"/>
        <v/>
      </c>
      <c r="H858" s="27" t="str">
        <f t="shared" si="131"/>
        <v/>
      </c>
      <c r="I858" s="27" t="str">
        <f t="shared" si="132"/>
        <v/>
      </c>
      <c r="J858" s="27" t="str">
        <f t="shared" si="133"/>
        <v/>
      </c>
      <c r="K858" s="27" t="str">
        <f t="shared" si="134"/>
        <v/>
      </c>
      <c r="L858" s="59" t="str">
        <f>IF(D858="","",VLOOKUP(D858,'[1]0.1 Produksi Pangan &amp; Penduduk'!$D$5:$M$860,10,0))</f>
        <v/>
      </c>
      <c r="M858" s="28" t="str">
        <f t="shared" si="135"/>
        <v/>
      </c>
      <c r="N858" s="60" t="str">
        <f t="shared" si="136"/>
        <v/>
      </c>
      <c r="O858" s="60" t="str">
        <f t="shared" si="137"/>
        <v/>
      </c>
      <c r="P858" s="60" t="str">
        <f t="shared" si="138"/>
        <v/>
      </c>
      <c r="Q858" s="28" t="str">
        <f t="shared" si="139"/>
        <v/>
      </c>
    </row>
    <row r="859" spans="1:17" ht="15" x14ac:dyDescent="0.25">
      <c r="A859" s="3" t="str">
        <f>IF('[1]0.1 Produksi Pangan &amp; Penduduk'!A860="","",'[1]0.1 Produksi Pangan &amp; Penduduk'!A860)</f>
        <v/>
      </c>
      <c r="B859" s="2" t="str">
        <f>IF('[1]0.1 Produksi Pangan &amp; Penduduk'!B860="","",'[1]0.1 Produksi Pangan &amp; Penduduk'!B860)</f>
        <v/>
      </c>
      <c r="C859" s="2" t="str">
        <f>IF('[1]0.1 Produksi Pangan &amp; Penduduk'!F860="","",'[1]0.1 Produksi Pangan &amp; Penduduk'!F860)</f>
        <v/>
      </c>
      <c r="D859" s="3" t="str">
        <f>IF('[1]0.1 Produksi Pangan &amp; Penduduk'!D860="","",'[1]0.1 Produksi Pangan &amp; Penduduk'!D860)</f>
        <v/>
      </c>
      <c r="E859" s="3" t="str">
        <f>IF('[1]0.1 Produksi Pangan &amp; Penduduk'!E860="","",'[1]0.1 Produksi Pangan &amp; Penduduk'!E860)</f>
        <v/>
      </c>
      <c r="F859" s="59" t="str">
        <f>IF(D859="","",VLOOKUP(D859,'[1]0.1 Produksi Pangan &amp; Penduduk'!$D$5:$J$860,7,0))</f>
        <v/>
      </c>
      <c r="G859" s="27" t="str">
        <f t="shared" si="130"/>
        <v/>
      </c>
      <c r="H859" s="27" t="str">
        <f t="shared" si="131"/>
        <v/>
      </c>
      <c r="I859" s="27" t="str">
        <f t="shared" si="132"/>
        <v/>
      </c>
      <c r="J859" s="27" t="str">
        <f t="shared" si="133"/>
        <v/>
      </c>
      <c r="K859" s="27" t="str">
        <f t="shared" si="134"/>
        <v/>
      </c>
      <c r="L859" s="59" t="str">
        <f>IF(D859="","",VLOOKUP(D859,'[1]0.1 Produksi Pangan &amp; Penduduk'!$D$5:$M$860,10,0))</f>
        <v/>
      </c>
      <c r="M859" s="28" t="str">
        <f t="shared" si="135"/>
        <v/>
      </c>
      <c r="N859" s="60" t="str">
        <f t="shared" si="136"/>
        <v/>
      </c>
      <c r="O859" s="60" t="str">
        <f t="shared" si="137"/>
        <v/>
      </c>
      <c r="P859" s="60" t="str">
        <f>IF(M859="","",M859*0.66%)</f>
        <v/>
      </c>
      <c r="Q859" s="28" t="str">
        <f>IF(M859="","",M859-(N859+O859+P859))</f>
        <v/>
      </c>
    </row>
  </sheetData>
  <sheetProtection algorithmName="SHA-512" hashValue="VBpfCvLOZ6oRwbkm1phCo7EepQYOWvqQ9FC7oybHn9tnZASheP6RIbHYJADJWf2+JHE4X45NgPiS74avT1lCXw==" saltValue="VvoEDGWV3pPMh6qnTexZjw==" spinCount="100000" sheet="1" sort="0"/>
  <protectedRanges>
    <protectedRange sqref="A1:M1" name="Range1_1_2"/>
  </protectedRanges>
  <mergeCells count="13">
    <mergeCell ref="A1:H1"/>
    <mergeCell ref="Q2:Q3"/>
    <mergeCell ref="A2:A4"/>
    <mergeCell ref="B2:B4"/>
    <mergeCell ref="M2:M3"/>
    <mergeCell ref="C2:C4"/>
    <mergeCell ref="D2:D4"/>
    <mergeCell ref="K2:K3"/>
    <mergeCell ref="L2:L3"/>
    <mergeCell ref="F2:F3"/>
    <mergeCell ref="E2:E4"/>
    <mergeCell ref="G2:J2"/>
    <mergeCell ref="N2:P2"/>
  </mergeCells>
  <phoneticPr fontId="0" type="noConversion"/>
  <pageMargins left="0.75" right="0.5" top="1" bottom="0.5" header="0.5" footer="0.5"/>
  <pageSetup orientation="landscape" horizontalDpi="429496729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79"/>
  </sheetPr>
  <dimension ref="A1:N859"/>
  <sheetViews>
    <sheetView showGridLines="0"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sqref="A1:H1"/>
    </sheetView>
  </sheetViews>
  <sheetFormatPr defaultRowHeight="13.2" x14ac:dyDescent="0.25"/>
  <cols>
    <col min="1" max="1" width="6.44140625" customWidth="1"/>
    <col min="2" max="2" width="24.21875" customWidth="1"/>
    <col min="3" max="3" width="28.77734375" customWidth="1"/>
    <col min="4" max="5" width="20.6640625" customWidth="1"/>
    <col min="6" max="7" width="18.6640625" customWidth="1"/>
    <col min="8" max="10" width="14.109375" customWidth="1"/>
    <col min="11" max="12" width="18.6640625" customWidth="1"/>
  </cols>
  <sheetData>
    <row r="1" spans="1:14" ht="30" customHeight="1" x14ac:dyDescent="0.25">
      <c r="A1" s="71" t="s">
        <v>70</v>
      </c>
      <c r="B1" s="71"/>
      <c r="C1" s="71"/>
      <c r="D1" s="71"/>
      <c r="E1" s="71"/>
      <c r="F1" s="71"/>
      <c r="G1" s="71"/>
      <c r="H1" s="71"/>
      <c r="I1" s="33" t="s">
        <v>64</v>
      </c>
      <c r="J1" s="34" t="str">
        <f>IF('[1]0.1 Produksi Pangan &amp; Penduduk'!$C$3="","",'[1]0.1 Produksi Pangan &amp; Penduduk'!$C$3)</f>
        <v/>
      </c>
      <c r="K1" s="10"/>
      <c r="L1" s="10"/>
    </row>
    <row r="2" spans="1:14" ht="16.05" customHeight="1" x14ac:dyDescent="0.25">
      <c r="A2" s="70" t="s">
        <v>15</v>
      </c>
      <c r="B2" s="70" t="s">
        <v>67</v>
      </c>
      <c r="C2" s="70" t="s">
        <v>68</v>
      </c>
      <c r="D2" s="70" t="s">
        <v>65</v>
      </c>
      <c r="E2" s="70" t="s">
        <v>66</v>
      </c>
      <c r="F2" s="72" t="s">
        <v>48</v>
      </c>
      <c r="G2" s="74" t="s">
        <v>86</v>
      </c>
      <c r="H2" s="70" t="s">
        <v>5</v>
      </c>
      <c r="I2" s="70"/>
      <c r="J2" s="70"/>
      <c r="K2" s="70" t="s">
        <v>6</v>
      </c>
      <c r="L2" s="70" t="s">
        <v>89</v>
      </c>
    </row>
    <row r="3" spans="1:14" ht="31.95" customHeight="1" x14ac:dyDescent="0.25">
      <c r="A3" s="70"/>
      <c r="B3" s="70"/>
      <c r="C3" s="70"/>
      <c r="D3" s="70"/>
      <c r="E3" s="70"/>
      <c r="F3" s="73"/>
      <c r="G3" s="75"/>
      <c r="H3" s="19" t="s">
        <v>87</v>
      </c>
      <c r="I3" s="19" t="s">
        <v>88</v>
      </c>
      <c r="J3" s="19" t="s">
        <v>24</v>
      </c>
      <c r="K3" s="70"/>
      <c r="L3" s="70"/>
    </row>
    <row r="4" spans="1:14" ht="16.05" customHeight="1" x14ac:dyDescent="0.25">
      <c r="A4" s="70"/>
      <c r="B4" s="70"/>
      <c r="C4" s="70"/>
      <c r="D4" s="70"/>
      <c r="E4" s="70"/>
      <c r="F4" s="19" t="s">
        <v>39</v>
      </c>
      <c r="G4" s="20" t="s">
        <v>49</v>
      </c>
      <c r="H4" s="19" t="s">
        <v>2</v>
      </c>
      <c r="I4" s="19" t="s">
        <v>3</v>
      </c>
      <c r="J4" s="19" t="s">
        <v>1</v>
      </c>
      <c r="K4" s="19" t="s">
        <v>50</v>
      </c>
      <c r="L4" s="19" t="s">
        <v>51</v>
      </c>
    </row>
    <row r="5" spans="1:14" ht="15" x14ac:dyDescent="0.25">
      <c r="A5" s="1" t="str">
        <f>IF('1.1 Produksi Bersih Padi 2025'!A5="","",'1.1 Produksi Bersih Padi 2025'!A5)</f>
        <v/>
      </c>
      <c r="B5" s="2" t="str">
        <f>IF('1.1 Produksi Bersih Padi 2025'!B5="","",'1.1 Produksi Bersih Padi 2025'!B5)</f>
        <v/>
      </c>
      <c r="C5" s="2" t="str">
        <f>IF('1.1 Produksi Bersih Padi 2025'!C5="","",'1.1 Produksi Bersih Padi 2025'!C5)</f>
        <v/>
      </c>
      <c r="D5" s="3" t="str">
        <f>IF('1.1 Produksi Bersih Padi 2025'!D5="","",'1.1 Produksi Bersih Padi 2025'!D5)</f>
        <v/>
      </c>
      <c r="E5" s="3" t="str">
        <f>IF('1.1 Produksi Bersih Padi 2025'!E5="","",'1.1 Produksi Bersih Padi 2025'!E5)</f>
        <v/>
      </c>
      <c r="F5" s="28" t="str">
        <f>IF(D5="","",VLOOKUP(D5,'[1]0.1 Produksi Pangan &amp; Penduduk'!$D$5:$S$860,16,0))</f>
        <v/>
      </c>
      <c r="G5" s="28" t="str">
        <f>IF(F5="","",F5*73.9252%)</f>
        <v/>
      </c>
      <c r="H5" s="29" t="str">
        <f>IF(G5="","",G5*0.345%)</f>
        <v/>
      </c>
      <c r="I5" s="29" t="str">
        <f>IF(G5="","",G5*78.806%)</f>
        <v/>
      </c>
      <c r="J5" s="29" t="str">
        <f>IF(G5="","",G5*4.62%)</f>
        <v/>
      </c>
      <c r="K5" s="29" t="str">
        <f>IF(G5="","",G5-(H5+I5+J5))</f>
        <v/>
      </c>
      <c r="L5" s="29" t="str">
        <f>IF(K5="","",K5*1.017)</f>
        <v/>
      </c>
      <c r="N5" s="11"/>
    </row>
    <row r="6" spans="1:14" ht="15" x14ac:dyDescent="0.25">
      <c r="A6" s="1" t="str">
        <f>IF('1.1 Produksi Bersih Padi 2025'!A6="","",'1.1 Produksi Bersih Padi 2025'!A6)</f>
        <v/>
      </c>
      <c r="B6" s="2" t="str">
        <f>IF('1.1 Produksi Bersih Padi 2025'!B6="","",'1.1 Produksi Bersih Padi 2025'!B6)</f>
        <v/>
      </c>
      <c r="C6" s="2" t="str">
        <f>IF('1.1 Produksi Bersih Padi 2025'!C6="","",'1.1 Produksi Bersih Padi 2025'!C6)</f>
        <v/>
      </c>
      <c r="D6" s="3" t="str">
        <f>IF('1.1 Produksi Bersih Padi 2025'!D6="","",'1.1 Produksi Bersih Padi 2025'!D6)</f>
        <v/>
      </c>
      <c r="E6" s="3" t="str">
        <f>IF('1.1 Produksi Bersih Padi 2025'!E6="","",'1.1 Produksi Bersih Padi 2025'!E6)</f>
        <v/>
      </c>
      <c r="F6" s="28" t="str">
        <f>IF(D6="","",VLOOKUP(D6,'[1]0.1 Produksi Pangan &amp; Penduduk'!$D$5:$S$860,16,0))</f>
        <v/>
      </c>
      <c r="G6" s="28" t="str">
        <f t="shared" ref="G6:G69" si="0">IF(F6="","",F6*73.9252%)</f>
        <v/>
      </c>
      <c r="H6" s="29" t="str">
        <f t="shared" ref="H6:H69" si="1">IF(G6="","",G6*0.345%)</f>
        <v/>
      </c>
      <c r="I6" s="29" t="str">
        <f t="shared" ref="I6:I69" si="2">IF(G6="","",G6*78.806%)</f>
        <v/>
      </c>
      <c r="J6" s="29" t="str">
        <f t="shared" ref="J6:J69" si="3">IF(G6="","",G6*4.62%)</f>
        <v/>
      </c>
      <c r="K6" s="29" t="str">
        <f t="shared" ref="K6:K69" si="4">IF(G6="","",G6-(H6+I6+J6))</f>
        <v/>
      </c>
      <c r="L6" s="29" t="str">
        <f t="shared" ref="L6:L69" si="5">IF(K6="","",K6*1.017)</f>
        <v/>
      </c>
      <c r="N6" s="11"/>
    </row>
    <row r="7" spans="1:14" ht="15" x14ac:dyDescent="0.25">
      <c r="A7" s="1" t="str">
        <f>IF('1.1 Produksi Bersih Padi 2025'!A7="","",'1.1 Produksi Bersih Padi 2025'!A7)</f>
        <v/>
      </c>
      <c r="B7" s="2" t="str">
        <f>IF('1.1 Produksi Bersih Padi 2025'!B7="","",'1.1 Produksi Bersih Padi 2025'!B7)</f>
        <v/>
      </c>
      <c r="C7" s="2" t="str">
        <f>IF('1.1 Produksi Bersih Padi 2025'!C7="","",'1.1 Produksi Bersih Padi 2025'!C7)</f>
        <v/>
      </c>
      <c r="D7" s="3" t="str">
        <f>IF('1.1 Produksi Bersih Padi 2025'!D7="","",'1.1 Produksi Bersih Padi 2025'!D7)</f>
        <v/>
      </c>
      <c r="E7" s="3" t="str">
        <f>IF('1.1 Produksi Bersih Padi 2025'!E7="","",'1.1 Produksi Bersih Padi 2025'!E7)</f>
        <v/>
      </c>
      <c r="F7" s="28" t="str">
        <f>IF(D7="","",VLOOKUP(D7,'[1]0.1 Produksi Pangan &amp; Penduduk'!$D$5:$S$860,16,0))</f>
        <v/>
      </c>
      <c r="G7" s="28" t="str">
        <f t="shared" si="0"/>
        <v/>
      </c>
      <c r="H7" s="29" t="str">
        <f t="shared" si="1"/>
        <v/>
      </c>
      <c r="I7" s="29" t="str">
        <f t="shared" si="2"/>
        <v/>
      </c>
      <c r="J7" s="29" t="str">
        <f t="shared" si="3"/>
        <v/>
      </c>
      <c r="K7" s="29" t="str">
        <f t="shared" si="4"/>
        <v/>
      </c>
      <c r="L7" s="29" t="str">
        <f t="shared" si="5"/>
        <v/>
      </c>
      <c r="N7" s="11"/>
    </row>
    <row r="8" spans="1:14" ht="15" x14ac:dyDescent="0.25">
      <c r="A8" s="1" t="str">
        <f>IF('1.1 Produksi Bersih Padi 2025'!A8="","",'1.1 Produksi Bersih Padi 2025'!A8)</f>
        <v/>
      </c>
      <c r="B8" s="2" t="str">
        <f>IF('1.1 Produksi Bersih Padi 2025'!B8="","",'1.1 Produksi Bersih Padi 2025'!B8)</f>
        <v/>
      </c>
      <c r="C8" s="2" t="str">
        <f>IF('1.1 Produksi Bersih Padi 2025'!C8="","",'1.1 Produksi Bersih Padi 2025'!C8)</f>
        <v/>
      </c>
      <c r="D8" s="3" t="str">
        <f>IF('1.1 Produksi Bersih Padi 2025'!D8="","",'1.1 Produksi Bersih Padi 2025'!D8)</f>
        <v/>
      </c>
      <c r="E8" s="3" t="str">
        <f>IF('1.1 Produksi Bersih Padi 2025'!E8="","",'1.1 Produksi Bersih Padi 2025'!E8)</f>
        <v/>
      </c>
      <c r="F8" s="28" t="str">
        <f>IF(D8="","",VLOOKUP(D8,'[1]0.1 Produksi Pangan &amp; Penduduk'!$D$5:$S$860,16,0))</f>
        <v/>
      </c>
      <c r="G8" s="28" t="str">
        <f t="shared" si="0"/>
        <v/>
      </c>
      <c r="H8" s="29" t="str">
        <f t="shared" si="1"/>
        <v/>
      </c>
      <c r="I8" s="29" t="str">
        <f t="shared" si="2"/>
        <v/>
      </c>
      <c r="J8" s="29" t="str">
        <f t="shared" si="3"/>
        <v/>
      </c>
      <c r="K8" s="29" t="str">
        <f t="shared" si="4"/>
        <v/>
      </c>
      <c r="L8" s="29" t="str">
        <f t="shared" si="5"/>
        <v/>
      </c>
      <c r="N8" s="11"/>
    </row>
    <row r="9" spans="1:14" ht="15" x14ac:dyDescent="0.25">
      <c r="A9" s="1" t="str">
        <f>IF('1.1 Produksi Bersih Padi 2025'!A9="","",'1.1 Produksi Bersih Padi 2025'!A9)</f>
        <v/>
      </c>
      <c r="B9" s="2" t="str">
        <f>IF('1.1 Produksi Bersih Padi 2025'!B9="","",'1.1 Produksi Bersih Padi 2025'!B9)</f>
        <v/>
      </c>
      <c r="C9" s="2" t="str">
        <f>IF('1.1 Produksi Bersih Padi 2025'!C9="","",'1.1 Produksi Bersih Padi 2025'!C9)</f>
        <v/>
      </c>
      <c r="D9" s="3" t="str">
        <f>IF('1.1 Produksi Bersih Padi 2025'!D9="","",'1.1 Produksi Bersih Padi 2025'!D9)</f>
        <v/>
      </c>
      <c r="E9" s="3" t="str">
        <f>IF('1.1 Produksi Bersih Padi 2025'!E9="","",'1.1 Produksi Bersih Padi 2025'!E9)</f>
        <v/>
      </c>
      <c r="F9" s="28" t="str">
        <f>IF(D9="","",VLOOKUP(D9,'[1]0.1 Produksi Pangan &amp; Penduduk'!$D$5:$S$860,16,0))</f>
        <v/>
      </c>
      <c r="G9" s="28" t="str">
        <f t="shared" si="0"/>
        <v/>
      </c>
      <c r="H9" s="29" t="str">
        <f t="shared" si="1"/>
        <v/>
      </c>
      <c r="I9" s="29" t="str">
        <f t="shared" si="2"/>
        <v/>
      </c>
      <c r="J9" s="29" t="str">
        <f t="shared" si="3"/>
        <v/>
      </c>
      <c r="K9" s="29" t="str">
        <f t="shared" si="4"/>
        <v/>
      </c>
      <c r="L9" s="29" t="str">
        <f t="shared" si="5"/>
        <v/>
      </c>
      <c r="N9" s="11"/>
    </row>
    <row r="10" spans="1:14" ht="15" x14ac:dyDescent="0.25">
      <c r="A10" s="1" t="str">
        <f>IF('1.1 Produksi Bersih Padi 2025'!A10="","",'1.1 Produksi Bersih Padi 2025'!A10)</f>
        <v/>
      </c>
      <c r="B10" s="2" t="str">
        <f>IF('1.1 Produksi Bersih Padi 2025'!B10="","",'1.1 Produksi Bersih Padi 2025'!B10)</f>
        <v/>
      </c>
      <c r="C10" s="2" t="str">
        <f>IF('1.1 Produksi Bersih Padi 2025'!C10="","",'1.1 Produksi Bersih Padi 2025'!C10)</f>
        <v/>
      </c>
      <c r="D10" s="3" t="str">
        <f>IF('1.1 Produksi Bersih Padi 2025'!D10="","",'1.1 Produksi Bersih Padi 2025'!D10)</f>
        <v/>
      </c>
      <c r="E10" s="3" t="str">
        <f>IF('1.1 Produksi Bersih Padi 2025'!E10="","",'1.1 Produksi Bersih Padi 2025'!E10)</f>
        <v/>
      </c>
      <c r="F10" s="28" t="str">
        <f>IF(D10="","",VLOOKUP(D10,'[1]0.1 Produksi Pangan &amp; Penduduk'!$D$5:$S$860,16,0))</f>
        <v/>
      </c>
      <c r="G10" s="28" t="str">
        <f t="shared" si="0"/>
        <v/>
      </c>
      <c r="H10" s="29" t="str">
        <f t="shared" si="1"/>
        <v/>
      </c>
      <c r="I10" s="29" t="str">
        <f t="shared" si="2"/>
        <v/>
      </c>
      <c r="J10" s="29" t="str">
        <f t="shared" si="3"/>
        <v/>
      </c>
      <c r="K10" s="29" t="str">
        <f t="shared" si="4"/>
        <v/>
      </c>
      <c r="L10" s="29" t="str">
        <f t="shared" si="5"/>
        <v/>
      </c>
      <c r="N10" s="11"/>
    </row>
    <row r="11" spans="1:14" ht="15" x14ac:dyDescent="0.25">
      <c r="A11" s="1" t="str">
        <f>IF('1.1 Produksi Bersih Padi 2025'!A11="","",'1.1 Produksi Bersih Padi 2025'!A11)</f>
        <v/>
      </c>
      <c r="B11" s="2" t="str">
        <f>IF('1.1 Produksi Bersih Padi 2025'!B11="","",'1.1 Produksi Bersih Padi 2025'!B11)</f>
        <v/>
      </c>
      <c r="C11" s="2" t="str">
        <f>IF('1.1 Produksi Bersih Padi 2025'!C11="","",'1.1 Produksi Bersih Padi 2025'!C11)</f>
        <v/>
      </c>
      <c r="D11" s="3" t="str">
        <f>IF('1.1 Produksi Bersih Padi 2025'!D11="","",'1.1 Produksi Bersih Padi 2025'!D11)</f>
        <v/>
      </c>
      <c r="E11" s="3" t="str">
        <f>IF('1.1 Produksi Bersih Padi 2025'!E11="","",'1.1 Produksi Bersih Padi 2025'!E11)</f>
        <v/>
      </c>
      <c r="F11" s="28" t="str">
        <f>IF(D11="","",VLOOKUP(D11,'[1]0.1 Produksi Pangan &amp; Penduduk'!$D$5:$S$860,16,0))</f>
        <v/>
      </c>
      <c r="G11" s="28" t="str">
        <f t="shared" si="0"/>
        <v/>
      </c>
      <c r="H11" s="29" t="str">
        <f t="shared" si="1"/>
        <v/>
      </c>
      <c r="I11" s="29" t="str">
        <f t="shared" si="2"/>
        <v/>
      </c>
      <c r="J11" s="29" t="str">
        <f t="shared" si="3"/>
        <v/>
      </c>
      <c r="K11" s="29" t="str">
        <f t="shared" si="4"/>
        <v/>
      </c>
      <c r="L11" s="29" t="str">
        <f t="shared" si="5"/>
        <v/>
      </c>
      <c r="N11" s="11"/>
    </row>
    <row r="12" spans="1:14" ht="15" x14ac:dyDescent="0.25">
      <c r="A12" s="1" t="str">
        <f>IF('1.1 Produksi Bersih Padi 2025'!A12="","",'1.1 Produksi Bersih Padi 2025'!A12)</f>
        <v/>
      </c>
      <c r="B12" s="2" t="str">
        <f>IF('1.1 Produksi Bersih Padi 2025'!B12="","",'1.1 Produksi Bersih Padi 2025'!B12)</f>
        <v/>
      </c>
      <c r="C12" s="2" t="str">
        <f>IF('1.1 Produksi Bersih Padi 2025'!C12="","",'1.1 Produksi Bersih Padi 2025'!C12)</f>
        <v/>
      </c>
      <c r="D12" s="3" t="str">
        <f>IF('1.1 Produksi Bersih Padi 2025'!D12="","",'1.1 Produksi Bersih Padi 2025'!D12)</f>
        <v/>
      </c>
      <c r="E12" s="3" t="str">
        <f>IF('1.1 Produksi Bersih Padi 2025'!E12="","",'1.1 Produksi Bersih Padi 2025'!E12)</f>
        <v/>
      </c>
      <c r="F12" s="28" t="str">
        <f>IF(D12="","",VLOOKUP(D12,'[1]0.1 Produksi Pangan &amp; Penduduk'!$D$5:$S$860,16,0))</f>
        <v/>
      </c>
      <c r="G12" s="28" t="str">
        <f t="shared" si="0"/>
        <v/>
      </c>
      <c r="H12" s="29" t="str">
        <f t="shared" si="1"/>
        <v/>
      </c>
      <c r="I12" s="29" t="str">
        <f t="shared" si="2"/>
        <v/>
      </c>
      <c r="J12" s="29" t="str">
        <f t="shared" si="3"/>
        <v/>
      </c>
      <c r="K12" s="29" t="str">
        <f t="shared" si="4"/>
        <v/>
      </c>
      <c r="L12" s="29" t="str">
        <f t="shared" si="5"/>
        <v/>
      </c>
      <c r="N12" s="11"/>
    </row>
    <row r="13" spans="1:14" ht="15" x14ac:dyDescent="0.25">
      <c r="A13" s="1" t="str">
        <f>IF('1.1 Produksi Bersih Padi 2025'!A13="","",'1.1 Produksi Bersih Padi 2025'!A13)</f>
        <v/>
      </c>
      <c r="B13" s="2" t="str">
        <f>IF('1.1 Produksi Bersih Padi 2025'!B13="","",'1.1 Produksi Bersih Padi 2025'!B13)</f>
        <v/>
      </c>
      <c r="C13" s="2" t="str">
        <f>IF('1.1 Produksi Bersih Padi 2025'!C13="","",'1.1 Produksi Bersih Padi 2025'!C13)</f>
        <v/>
      </c>
      <c r="D13" s="3" t="str">
        <f>IF('1.1 Produksi Bersih Padi 2025'!D13="","",'1.1 Produksi Bersih Padi 2025'!D13)</f>
        <v/>
      </c>
      <c r="E13" s="3" t="str">
        <f>IF('1.1 Produksi Bersih Padi 2025'!E13="","",'1.1 Produksi Bersih Padi 2025'!E13)</f>
        <v/>
      </c>
      <c r="F13" s="28" t="str">
        <f>IF(D13="","",VLOOKUP(D13,'[1]0.1 Produksi Pangan &amp; Penduduk'!$D$5:$S$860,16,0))</f>
        <v/>
      </c>
      <c r="G13" s="28" t="str">
        <f t="shared" si="0"/>
        <v/>
      </c>
      <c r="H13" s="29" t="str">
        <f t="shared" si="1"/>
        <v/>
      </c>
      <c r="I13" s="29" t="str">
        <f t="shared" si="2"/>
        <v/>
      </c>
      <c r="J13" s="29" t="str">
        <f t="shared" si="3"/>
        <v/>
      </c>
      <c r="K13" s="29" t="str">
        <f t="shared" si="4"/>
        <v/>
      </c>
      <c r="L13" s="29" t="str">
        <f t="shared" si="5"/>
        <v/>
      </c>
      <c r="N13" s="11"/>
    </row>
    <row r="14" spans="1:14" ht="15" x14ac:dyDescent="0.25">
      <c r="A14" s="1" t="str">
        <f>IF('1.1 Produksi Bersih Padi 2025'!A14="","",'1.1 Produksi Bersih Padi 2025'!A14)</f>
        <v/>
      </c>
      <c r="B14" s="2" t="str">
        <f>IF('1.1 Produksi Bersih Padi 2025'!B14="","",'1.1 Produksi Bersih Padi 2025'!B14)</f>
        <v/>
      </c>
      <c r="C14" s="2" t="str">
        <f>IF('1.1 Produksi Bersih Padi 2025'!C14="","",'1.1 Produksi Bersih Padi 2025'!C14)</f>
        <v/>
      </c>
      <c r="D14" s="3" t="str">
        <f>IF('1.1 Produksi Bersih Padi 2025'!D14="","",'1.1 Produksi Bersih Padi 2025'!D14)</f>
        <v/>
      </c>
      <c r="E14" s="3" t="str">
        <f>IF('1.1 Produksi Bersih Padi 2025'!E14="","",'1.1 Produksi Bersih Padi 2025'!E14)</f>
        <v/>
      </c>
      <c r="F14" s="28" t="str">
        <f>IF(D14="","",VLOOKUP(D14,'[1]0.1 Produksi Pangan &amp; Penduduk'!$D$5:$S$860,16,0))</f>
        <v/>
      </c>
      <c r="G14" s="28" t="str">
        <f t="shared" si="0"/>
        <v/>
      </c>
      <c r="H14" s="29" t="str">
        <f t="shared" si="1"/>
        <v/>
      </c>
      <c r="I14" s="29" t="str">
        <f t="shared" si="2"/>
        <v/>
      </c>
      <c r="J14" s="29" t="str">
        <f t="shared" si="3"/>
        <v/>
      </c>
      <c r="K14" s="29" t="str">
        <f t="shared" si="4"/>
        <v/>
      </c>
      <c r="L14" s="29" t="str">
        <f t="shared" si="5"/>
        <v/>
      </c>
      <c r="N14" s="11"/>
    </row>
    <row r="15" spans="1:14" ht="15" x14ac:dyDescent="0.25">
      <c r="A15" s="1" t="str">
        <f>IF('1.1 Produksi Bersih Padi 2025'!A15="","",'1.1 Produksi Bersih Padi 2025'!A15)</f>
        <v/>
      </c>
      <c r="B15" s="2" t="str">
        <f>IF('1.1 Produksi Bersih Padi 2025'!B15="","",'1.1 Produksi Bersih Padi 2025'!B15)</f>
        <v/>
      </c>
      <c r="C15" s="2" t="str">
        <f>IF('1.1 Produksi Bersih Padi 2025'!C15="","",'1.1 Produksi Bersih Padi 2025'!C15)</f>
        <v/>
      </c>
      <c r="D15" s="3" t="str">
        <f>IF('1.1 Produksi Bersih Padi 2025'!D15="","",'1.1 Produksi Bersih Padi 2025'!D15)</f>
        <v/>
      </c>
      <c r="E15" s="3" t="str">
        <f>IF('1.1 Produksi Bersih Padi 2025'!E15="","",'1.1 Produksi Bersih Padi 2025'!E15)</f>
        <v/>
      </c>
      <c r="F15" s="28" t="str">
        <f>IF(D15="","",VLOOKUP(D15,'[1]0.1 Produksi Pangan &amp; Penduduk'!$D$5:$S$860,16,0))</f>
        <v/>
      </c>
      <c r="G15" s="28" t="str">
        <f t="shared" si="0"/>
        <v/>
      </c>
      <c r="H15" s="29" t="str">
        <f t="shared" si="1"/>
        <v/>
      </c>
      <c r="I15" s="29" t="str">
        <f t="shared" si="2"/>
        <v/>
      </c>
      <c r="J15" s="29" t="str">
        <f t="shared" si="3"/>
        <v/>
      </c>
      <c r="K15" s="29" t="str">
        <f t="shared" si="4"/>
        <v/>
      </c>
      <c r="L15" s="29" t="str">
        <f t="shared" si="5"/>
        <v/>
      </c>
      <c r="N15" s="11"/>
    </row>
    <row r="16" spans="1:14" ht="15" x14ac:dyDescent="0.25">
      <c r="A16" s="1" t="str">
        <f>IF('1.1 Produksi Bersih Padi 2025'!A16="","",'1.1 Produksi Bersih Padi 2025'!A16)</f>
        <v/>
      </c>
      <c r="B16" s="2" t="str">
        <f>IF('1.1 Produksi Bersih Padi 2025'!B16="","",'1.1 Produksi Bersih Padi 2025'!B16)</f>
        <v/>
      </c>
      <c r="C16" s="2" t="str">
        <f>IF('1.1 Produksi Bersih Padi 2025'!C16="","",'1.1 Produksi Bersih Padi 2025'!C16)</f>
        <v/>
      </c>
      <c r="D16" s="3" t="str">
        <f>IF('1.1 Produksi Bersih Padi 2025'!D16="","",'1.1 Produksi Bersih Padi 2025'!D16)</f>
        <v/>
      </c>
      <c r="E16" s="3" t="str">
        <f>IF('1.1 Produksi Bersih Padi 2025'!E16="","",'1.1 Produksi Bersih Padi 2025'!E16)</f>
        <v/>
      </c>
      <c r="F16" s="28" t="str">
        <f>IF(D16="","",VLOOKUP(D16,'[1]0.1 Produksi Pangan &amp; Penduduk'!$D$5:$S$860,16,0))</f>
        <v/>
      </c>
      <c r="G16" s="28" t="str">
        <f t="shared" si="0"/>
        <v/>
      </c>
      <c r="H16" s="29" t="str">
        <f t="shared" si="1"/>
        <v/>
      </c>
      <c r="I16" s="29" t="str">
        <f t="shared" si="2"/>
        <v/>
      </c>
      <c r="J16" s="29" t="str">
        <f t="shared" si="3"/>
        <v/>
      </c>
      <c r="K16" s="29" t="str">
        <f t="shared" si="4"/>
        <v/>
      </c>
      <c r="L16" s="29" t="str">
        <f t="shared" si="5"/>
        <v/>
      </c>
      <c r="N16" s="11"/>
    </row>
    <row r="17" spans="1:14" ht="15" x14ac:dyDescent="0.25">
      <c r="A17" s="1" t="str">
        <f>IF('1.1 Produksi Bersih Padi 2025'!A17="","",'1.1 Produksi Bersih Padi 2025'!A17)</f>
        <v/>
      </c>
      <c r="B17" s="2" t="str">
        <f>IF('1.1 Produksi Bersih Padi 2025'!B17="","",'1.1 Produksi Bersih Padi 2025'!B17)</f>
        <v/>
      </c>
      <c r="C17" s="2" t="str">
        <f>IF('1.1 Produksi Bersih Padi 2025'!C17="","",'1.1 Produksi Bersih Padi 2025'!C17)</f>
        <v/>
      </c>
      <c r="D17" s="3" t="str">
        <f>IF('1.1 Produksi Bersih Padi 2025'!D17="","",'1.1 Produksi Bersih Padi 2025'!D17)</f>
        <v/>
      </c>
      <c r="E17" s="3" t="str">
        <f>IF('1.1 Produksi Bersih Padi 2025'!E17="","",'1.1 Produksi Bersih Padi 2025'!E17)</f>
        <v/>
      </c>
      <c r="F17" s="28" t="str">
        <f>IF(D17="","",VLOOKUP(D17,'[1]0.1 Produksi Pangan &amp; Penduduk'!$D$5:$S$860,16,0))</f>
        <v/>
      </c>
      <c r="G17" s="28" t="str">
        <f t="shared" si="0"/>
        <v/>
      </c>
      <c r="H17" s="29" t="str">
        <f t="shared" si="1"/>
        <v/>
      </c>
      <c r="I17" s="29" t="str">
        <f t="shared" si="2"/>
        <v/>
      </c>
      <c r="J17" s="29" t="str">
        <f t="shared" si="3"/>
        <v/>
      </c>
      <c r="K17" s="29" t="str">
        <f t="shared" si="4"/>
        <v/>
      </c>
      <c r="L17" s="29" t="str">
        <f t="shared" si="5"/>
        <v/>
      </c>
      <c r="N17" s="11"/>
    </row>
    <row r="18" spans="1:14" ht="15" x14ac:dyDescent="0.25">
      <c r="A18" s="1" t="str">
        <f>IF('1.1 Produksi Bersih Padi 2025'!A18="","",'1.1 Produksi Bersih Padi 2025'!A18)</f>
        <v/>
      </c>
      <c r="B18" s="2" t="str">
        <f>IF('1.1 Produksi Bersih Padi 2025'!B18="","",'1.1 Produksi Bersih Padi 2025'!B18)</f>
        <v/>
      </c>
      <c r="C18" s="2" t="str">
        <f>IF('1.1 Produksi Bersih Padi 2025'!C18="","",'1.1 Produksi Bersih Padi 2025'!C18)</f>
        <v/>
      </c>
      <c r="D18" s="3" t="str">
        <f>IF('1.1 Produksi Bersih Padi 2025'!D18="","",'1.1 Produksi Bersih Padi 2025'!D18)</f>
        <v/>
      </c>
      <c r="E18" s="3" t="str">
        <f>IF('1.1 Produksi Bersih Padi 2025'!E18="","",'1.1 Produksi Bersih Padi 2025'!E18)</f>
        <v/>
      </c>
      <c r="F18" s="28" t="str">
        <f>IF(D18="","",VLOOKUP(D18,'[1]0.1 Produksi Pangan &amp; Penduduk'!$D$5:$S$860,16,0))</f>
        <v/>
      </c>
      <c r="G18" s="28" t="str">
        <f t="shared" si="0"/>
        <v/>
      </c>
      <c r="H18" s="29" t="str">
        <f t="shared" si="1"/>
        <v/>
      </c>
      <c r="I18" s="29" t="str">
        <f t="shared" si="2"/>
        <v/>
      </c>
      <c r="J18" s="29" t="str">
        <f t="shared" si="3"/>
        <v/>
      </c>
      <c r="K18" s="29" t="str">
        <f t="shared" si="4"/>
        <v/>
      </c>
      <c r="L18" s="29" t="str">
        <f t="shared" si="5"/>
        <v/>
      </c>
      <c r="N18" s="11"/>
    </row>
    <row r="19" spans="1:14" ht="15" x14ac:dyDescent="0.25">
      <c r="A19" s="1" t="str">
        <f>IF('1.1 Produksi Bersih Padi 2025'!A19="","",'1.1 Produksi Bersih Padi 2025'!A19)</f>
        <v/>
      </c>
      <c r="B19" s="2" t="str">
        <f>IF('1.1 Produksi Bersih Padi 2025'!B19="","",'1.1 Produksi Bersih Padi 2025'!B19)</f>
        <v/>
      </c>
      <c r="C19" s="2" t="str">
        <f>IF('1.1 Produksi Bersih Padi 2025'!C19="","",'1.1 Produksi Bersih Padi 2025'!C19)</f>
        <v/>
      </c>
      <c r="D19" s="3" t="str">
        <f>IF('1.1 Produksi Bersih Padi 2025'!D19="","",'1.1 Produksi Bersih Padi 2025'!D19)</f>
        <v/>
      </c>
      <c r="E19" s="3" t="str">
        <f>IF('1.1 Produksi Bersih Padi 2025'!E19="","",'1.1 Produksi Bersih Padi 2025'!E19)</f>
        <v/>
      </c>
      <c r="F19" s="28" t="str">
        <f>IF(D19="","",VLOOKUP(D19,'[1]0.1 Produksi Pangan &amp; Penduduk'!$D$5:$S$860,16,0))</f>
        <v/>
      </c>
      <c r="G19" s="28" t="str">
        <f t="shared" si="0"/>
        <v/>
      </c>
      <c r="H19" s="29" t="str">
        <f t="shared" si="1"/>
        <v/>
      </c>
      <c r="I19" s="29" t="str">
        <f t="shared" si="2"/>
        <v/>
      </c>
      <c r="J19" s="29" t="str">
        <f t="shared" si="3"/>
        <v/>
      </c>
      <c r="K19" s="29" t="str">
        <f t="shared" si="4"/>
        <v/>
      </c>
      <c r="L19" s="29" t="str">
        <f t="shared" si="5"/>
        <v/>
      </c>
      <c r="N19" s="11"/>
    </row>
    <row r="20" spans="1:14" ht="15" x14ac:dyDescent="0.25">
      <c r="A20" s="1" t="str">
        <f>IF('1.1 Produksi Bersih Padi 2025'!A20="","",'1.1 Produksi Bersih Padi 2025'!A20)</f>
        <v/>
      </c>
      <c r="B20" s="2" t="str">
        <f>IF('1.1 Produksi Bersih Padi 2025'!B20="","",'1.1 Produksi Bersih Padi 2025'!B20)</f>
        <v/>
      </c>
      <c r="C20" s="2" t="str">
        <f>IF('1.1 Produksi Bersih Padi 2025'!C20="","",'1.1 Produksi Bersih Padi 2025'!C20)</f>
        <v/>
      </c>
      <c r="D20" s="3" t="str">
        <f>IF('1.1 Produksi Bersih Padi 2025'!D20="","",'1.1 Produksi Bersih Padi 2025'!D20)</f>
        <v/>
      </c>
      <c r="E20" s="3" t="str">
        <f>IF('1.1 Produksi Bersih Padi 2025'!E20="","",'1.1 Produksi Bersih Padi 2025'!E20)</f>
        <v/>
      </c>
      <c r="F20" s="28" t="str">
        <f>IF(D20="","",VLOOKUP(D20,'[1]0.1 Produksi Pangan &amp; Penduduk'!$D$5:$S$860,16,0))</f>
        <v/>
      </c>
      <c r="G20" s="28" t="str">
        <f t="shared" si="0"/>
        <v/>
      </c>
      <c r="H20" s="29" t="str">
        <f t="shared" si="1"/>
        <v/>
      </c>
      <c r="I20" s="29" t="str">
        <f t="shared" si="2"/>
        <v/>
      </c>
      <c r="J20" s="29" t="str">
        <f t="shared" si="3"/>
        <v/>
      </c>
      <c r="K20" s="29" t="str">
        <f t="shared" si="4"/>
        <v/>
      </c>
      <c r="L20" s="29" t="str">
        <f t="shared" si="5"/>
        <v/>
      </c>
      <c r="N20" s="11"/>
    </row>
    <row r="21" spans="1:14" ht="15" x14ac:dyDescent="0.25">
      <c r="A21" s="1" t="str">
        <f>IF('1.1 Produksi Bersih Padi 2025'!A21="","",'1.1 Produksi Bersih Padi 2025'!A21)</f>
        <v/>
      </c>
      <c r="B21" s="2" t="str">
        <f>IF('1.1 Produksi Bersih Padi 2025'!B21="","",'1.1 Produksi Bersih Padi 2025'!B21)</f>
        <v/>
      </c>
      <c r="C21" s="2" t="str">
        <f>IF('1.1 Produksi Bersih Padi 2025'!C21="","",'1.1 Produksi Bersih Padi 2025'!C21)</f>
        <v/>
      </c>
      <c r="D21" s="3" t="str">
        <f>IF('1.1 Produksi Bersih Padi 2025'!D21="","",'1.1 Produksi Bersih Padi 2025'!D21)</f>
        <v/>
      </c>
      <c r="E21" s="3" t="str">
        <f>IF('1.1 Produksi Bersih Padi 2025'!E21="","",'1.1 Produksi Bersih Padi 2025'!E21)</f>
        <v/>
      </c>
      <c r="F21" s="28" t="str">
        <f>IF(D21="","",VLOOKUP(D21,'[1]0.1 Produksi Pangan &amp; Penduduk'!$D$5:$S$860,16,0))</f>
        <v/>
      </c>
      <c r="G21" s="28" t="str">
        <f t="shared" si="0"/>
        <v/>
      </c>
      <c r="H21" s="29" t="str">
        <f t="shared" si="1"/>
        <v/>
      </c>
      <c r="I21" s="29" t="str">
        <f t="shared" si="2"/>
        <v/>
      </c>
      <c r="J21" s="29" t="str">
        <f t="shared" si="3"/>
        <v/>
      </c>
      <c r="K21" s="29" t="str">
        <f t="shared" si="4"/>
        <v/>
      </c>
      <c r="L21" s="29" t="str">
        <f t="shared" si="5"/>
        <v/>
      </c>
      <c r="N21" s="11"/>
    </row>
    <row r="22" spans="1:14" ht="15" x14ac:dyDescent="0.25">
      <c r="A22" s="1" t="str">
        <f>IF('1.1 Produksi Bersih Padi 2025'!A22="","",'1.1 Produksi Bersih Padi 2025'!A22)</f>
        <v/>
      </c>
      <c r="B22" s="2" t="str">
        <f>IF('1.1 Produksi Bersih Padi 2025'!B22="","",'1.1 Produksi Bersih Padi 2025'!B22)</f>
        <v/>
      </c>
      <c r="C22" s="2" t="str">
        <f>IF('1.1 Produksi Bersih Padi 2025'!C22="","",'1.1 Produksi Bersih Padi 2025'!C22)</f>
        <v/>
      </c>
      <c r="D22" s="3" t="str">
        <f>IF('1.1 Produksi Bersih Padi 2025'!D22="","",'1.1 Produksi Bersih Padi 2025'!D22)</f>
        <v/>
      </c>
      <c r="E22" s="3" t="str">
        <f>IF('1.1 Produksi Bersih Padi 2025'!E22="","",'1.1 Produksi Bersih Padi 2025'!E22)</f>
        <v/>
      </c>
      <c r="F22" s="28" t="str">
        <f>IF(D22="","",VLOOKUP(D22,'[1]0.1 Produksi Pangan &amp; Penduduk'!$D$5:$S$860,16,0))</f>
        <v/>
      </c>
      <c r="G22" s="28" t="str">
        <f t="shared" si="0"/>
        <v/>
      </c>
      <c r="H22" s="29" t="str">
        <f t="shared" si="1"/>
        <v/>
      </c>
      <c r="I22" s="29" t="str">
        <f t="shared" si="2"/>
        <v/>
      </c>
      <c r="J22" s="29" t="str">
        <f t="shared" si="3"/>
        <v/>
      </c>
      <c r="K22" s="29" t="str">
        <f t="shared" si="4"/>
        <v/>
      </c>
      <c r="L22" s="29" t="str">
        <f t="shared" si="5"/>
        <v/>
      </c>
      <c r="N22" s="11"/>
    </row>
    <row r="23" spans="1:14" ht="15" x14ac:dyDescent="0.25">
      <c r="A23" s="1" t="str">
        <f>IF('1.1 Produksi Bersih Padi 2025'!A23="","",'1.1 Produksi Bersih Padi 2025'!A23)</f>
        <v/>
      </c>
      <c r="B23" s="2" t="str">
        <f>IF('1.1 Produksi Bersih Padi 2025'!B23="","",'1.1 Produksi Bersih Padi 2025'!B23)</f>
        <v/>
      </c>
      <c r="C23" s="2" t="str">
        <f>IF('1.1 Produksi Bersih Padi 2025'!C23="","",'1.1 Produksi Bersih Padi 2025'!C23)</f>
        <v/>
      </c>
      <c r="D23" s="3" t="str">
        <f>IF('1.1 Produksi Bersih Padi 2025'!D23="","",'1.1 Produksi Bersih Padi 2025'!D23)</f>
        <v/>
      </c>
      <c r="E23" s="3" t="str">
        <f>IF('1.1 Produksi Bersih Padi 2025'!E23="","",'1.1 Produksi Bersih Padi 2025'!E23)</f>
        <v/>
      </c>
      <c r="F23" s="28" t="str">
        <f>IF(D23="","",VLOOKUP(D23,'[1]0.1 Produksi Pangan &amp; Penduduk'!$D$5:$S$860,16,0))</f>
        <v/>
      </c>
      <c r="G23" s="28" t="str">
        <f t="shared" si="0"/>
        <v/>
      </c>
      <c r="H23" s="29" t="str">
        <f t="shared" si="1"/>
        <v/>
      </c>
      <c r="I23" s="29" t="str">
        <f t="shared" si="2"/>
        <v/>
      </c>
      <c r="J23" s="29" t="str">
        <f t="shared" si="3"/>
        <v/>
      </c>
      <c r="K23" s="29" t="str">
        <f t="shared" si="4"/>
        <v/>
      </c>
      <c r="L23" s="29" t="str">
        <f t="shared" si="5"/>
        <v/>
      </c>
      <c r="N23" s="11"/>
    </row>
    <row r="24" spans="1:14" ht="15" x14ac:dyDescent="0.25">
      <c r="A24" s="1" t="str">
        <f>IF('1.1 Produksi Bersih Padi 2025'!A24="","",'1.1 Produksi Bersih Padi 2025'!A24)</f>
        <v/>
      </c>
      <c r="B24" s="2" t="str">
        <f>IF('1.1 Produksi Bersih Padi 2025'!B24="","",'1.1 Produksi Bersih Padi 2025'!B24)</f>
        <v/>
      </c>
      <c r="C24" s="2" t="str">
        <f>IF('1.1 Produksi Bersih Padi 2025'!C24="","",'1.1 Produksi Bersih Padi 2025'!C24)</f>
        <v/>
      </c>
      <c r="D24" s="3" t="str">
        <f>IF('1.1 Produksi Bersih Padi 2025'!D24="","",'1.1 Produksi Bersih Padi 2025'!D24)</f>
        <v/>
      </c>
      <c r="E24" s="3" t="str">
        <f>IF('1.1 Produksi Bersih Padi 2025'!E24="","",'1.1 Produksi Bersih Padi 2025'!E24)</f>
        <v/>
      </c>
      <c r="F24" s="28" t="str">
        <f>IF(D24="","",VLOOKUP(D24,'[1]0.1 Produksi Pangan &amp; Penduduk'!$D$5:$S$860,16,0))</f>
        <v/>
      </c>
      <c r="G24" s="28" t="str">
        <f t="shared" si="0"/>
        <v/>
      </c>
      <c r="H24" s="29" t="str">
        <f t="shared" si="1"/>
        <v/>
      </c>
      <c r="I24" s="29" t="str">
        <f t="shared" si="2"/>
        <v/>
      </c>
      <c r="J24" s="29" t="str">
        <f t="shared" si="3"/>
        <v/>
      </c>
      <c r="K24" s="29" t="str">
        <f t="shared" si="4"/>
        <v/>
      </c>
      <c r="L24" s="29" t="str">
        <f t="shared" si="5"/>
        <v/>
      </c>
      <c r="N24" s="11"/>
    </row>
    <row r="25" spans="1:14" ht="15" x14ac:dyDescent="0.25">
      <c r="A25" s="1" t="str">
        <f>IF('1.1 Produksi Bersih Padi 2025'!A25="","",'1.1 Produksi Bersih Padi 2025'!A25)</f>
        <v/>
      </c>
      <c r="B25" s="2" t="str">
        <f>IF('1.1 Produksi Bersih Padi 2025'!B25="","",'1.1 Produksi Bersih Padi 2025'!B25)</f>
        <v/>
      </c>
      <c r="C25" s="2" t="str">
        <f>IF('1.1 Produksi Bersih Padi 2025'!C25="","",'1.1 Produksi Bersih Padi 2025'!C25)</f>
        <v/>
      </c>
      <c r="D25" s="3" t="str">
        <f>IF('1.1 Produksi Bersih Padi 2025'!D25="","",'1.1 Produksi Bersih Padi 2025'!D25)</f>
        <v/>
      </c>
      <c r="E25" s="3" t="str">
        <f>IF('1.1 Produksi Bersih Padi 2025'!E25="","",'1.1 Produksi Bersih Padi 2025'!E25)</f>
        <v/>
      </c>
      <c r="F25" s="28" t="str">
        <f>IF(D25="","",VLOOKUP(D25,'[1]0.1 Produksi Pangan &amp; Penduduk'!$D$5:$S$860,16,0))</f>
        <v/>
      </c>
      <c r="G25" s="28" t="str">
        <f t="shared" si="0"/>
        <v/>
      </c>
      <c r="H25" s="29" t="str">
        <f t="shared" si="1"/>
        <v/>
      </c>
      <c r="I25" s="29" t="str">
        <f t="shared" si="2"/>
        <v/>
      </c>
      <c r="J25" s="29" t="str">
        <f t="shared" si="3"/>
        <v/>
      </c>
      <c r="K25" s="29" t="str">
        <f t="shared" si="4"/>
        <v/>
      </c>
      <c r="L25" s="29" t="str">
        <f t="shared" si="5"/>
        <v/>
      </c>
      <c r="N25" s="11"/>
    </row>
    <row r="26" spans="1:14" ht="15" x14ac:dyDescent="0.25">
      <c r="A26" s="1" t="str">
        <f>IF('1.1 Produksi Bersih Padi 2025'!A26="","",'1.1 Produksi Bersih Padi 2025'!A26)</f>
        <v/>
      </c>
      <c r="B26" s="2" t="str">
        <f>IF('1.1 Produksi Bersih Padi 2025'!B26="","",'1.1 Produksi Bersih Padi 2025'!B26)</f>
        <v/>
      </c>
      <c r="C26" s="2" t="str">
        <f>IF('1.1 Produksi Bersih Padi 2025'!C26="","",'1.1 Produksi Bersih Padi 2025'!C26)</f>
        <v/>
      </c>
      <c r="D26" s="3" t="str">
        <f>IF('1.1 Produksi Bersih Padi 2025'!D26="","",'1.1 Produksi Bersih Padi 2025'!D26)</f>
        <v/>
      </c>
      <c r="E26" s="3" t="str">
        <f>IF('1.1 Produksi Bersih Padi 2025'!E26="","",'1.1 Produksi Bersih Padi 2025'!E26)</f>
        <v/>
      </c>
      <c r="F26" s="28" t="str">
        <f>IF(D26="","",VLOOKUP(D26,'[1]0.1 Produksi Pangan &amp; Penduduk'!$D$5:$S$860,16,0))</f>
        <v/>
      </c>
      <c r="G26" s="28" t="str">
        <f t="shared" si="0"/>
        <v/>
      </c>
      <c r="H26" s="29" t="str">
        <f t="shared" si="1"/>
        <v/>
      </c>
      <c r="I26" s="29" t="str">
        <f t="shared" si="2"/>
        <v/>
      </c>
      <c r="J26" s="29" t="str">
        <f t="shared" si="3"/>
        <v/>
      </c>
      <c r="K26" s="29" t="str">
        <f t="shared" si="4"/>
        <v/>
      </c>
      <c r="L26" s="29" t="str">
        <f t="shared" si="5"/>
        <v/>
      </c>
      <c r="N26" s="11"/>
    </row>
    <row r="27" spans="1:14" ht="15" x14ac:dyDescent="0.25">
      <c r="A27" s="1" t="str">
        <f>IF('1.1 Produksi Bersih Padi 2025'!A27="","",'1.1 Produksi Bersih Padi 2025'!A27)</f>
        <v/>
      </c>
      <c r="B27" s="2" t="str">
        <f>IF('1.1 Produksi Bersih Padi 2025'!B27="","",'1.1 Produksi Bersih Padi 2025'!B27)</f>
        <v/>
      </c>
      <c r="C27" s="2" t="str">
        <f>IF('1.1 Produksi Bersih Padi 2025'!C27="","",'1.1 Produksi Bersih Padi 2025'!C27)</f>
        <v/>
      </c>
      <c r="D27" s="3" t="str">
        <f>IF('1.1 Produksi Bersih Padi 2025'!D27="","",'1.1 Produksi Bersih Padi 2025'!D27)</f>
        <v/>
      </c>
      <c r="E27" s="3" t="str">
        <f>IF('1.1 Produksi Bersih Padi 2025'!E27="","",'1.1 Produksi Bersih Padi 2025'!E27)</f>
        <v/>
      </c>
      <c r="F27" s="28" t="str">
        <f>IF(D27="","",VLOOKUP(D27,'[1]0.1 Produksi Pangan &amp; Penduduk'!$D$5:$S$860,16,0))</f>
        <v/>
      </c>
      <c r="G27" s="28" t="str">
        <f t="shared" si="0"/>
        <v/>
      </c>
      <c r="H27" s="29" t="str">
        <f t="shared" si="1"/>
        <v/>
      </c>
      <c r="I27" s="29" t="str">
        <f t="shared" si="2"/>
        <v/>
      </c>
      <c r="J27" s="29" t="str">
        <f t="shared" si="3"/>
        <v/>
      </c>
      <c r="K27" s="29" t="str">
        <f t="shared" si="4"/>
        <v/>
      </c>
      <c r="L27" s="29" t="str">
        <f t="shared" si="5"/>
        <v/>
      </c>
      <c r="N27" s="11"/>
    </row>
    <row r="28" spans="1:14" ht="15" x14ac:dyDescent="0.25">
      <c r="A28" s="1" t="str">
        <f>IF('1.1 Produksi Bersih Padi 2025'!A28="","",'1.1 Produksi Bersih Padi 2025'!A28)</f>
        <v/>
      </c>
      <c r="B28" s="2" t="str">
        <f>IF('1.1 Produksi Bersih Padi 2025'!B28="","",'1.1 Produksi Bersih Padi 2025'!B28)</f>
        <v/>
      </c>
      <c r="C28" s="2" t="str">
        <f>IF('1.1 Produksi Bersih Padi 2025'!C28="","",'1.1 Produksi Bersih Padi 2025'!C28)</f>
        <v/>
      </c>
      <c r="D28" s="3" t="str">
        <f>IF('1.1 Produksi Bersih Padi 2025'!D28="","",'1.1 Produksi Bersih Padi 2025'!D28)</f>
        <v/>
      </c>
      <c r="E28" s="3" t="str">
        <f>IF('1.1 Produksi Bersih Padi 2025'!E28="","",'1.1 Produksi Bersih Padi 2025'!E28)</f>
        <v/>
      </c>
      <c r="F28" s="28" t="str">
        <f>IF(D28="","",VLOOKUP(D28,'[1]0.1 Produksi Pangan &amp; Penduduk'!$D$5:$S$860,16,0))</f>
        <v/>
      </c>
      <c r="G28" s="28" t="str">
        <f t="shared" si="0"/>
        <v/>
      </c>
      <c r="H28" s="29" t="str">
        <f t="shared" si="1"/>
        <v/>
      </c>
      <c r="I28" s="29" t="str">
        <f t="shared" si="2"/>
        <v/>
      </c>
      <c r="J28" s="29" t="str">
        <f t="shared" si="3"/>
        <v/>
      </c>
      <c r="K28" s="29" t="str">
        <f t="shared" si="4"/>
        <v/>
      </c>
      <c r="L28" s="29" t="str">
        <f t="shared" si="5"/>
        <v/>
      </c>
      <c r="N28" s="11"/>
    </row>
    <row r="29" spans="1:14" ht="15" x14ac:dyDescent="0.25">
      <c r="A29" s="1" t="str">
        <f>IF('1.1 Produksi Bersih Padi 2025'!A29="","",'1.1 Produksi Bersih Padi 2025'!A29)</f>
        <v/>
      </c>
      <c r="B29" s="2" t="str">
        <f>IF('1.1 Produksi Bersih Padi 2025'!B29="","",'1.1 Produksi Bersih Padi 2025'!B29)</f>
        <v/>
      </c>
      <c r="C29" s="2" t="str">
        <f>IF('1.1 Produksi Bersih Padi 2025'!C29="","",'1.1 Produksi Bersih Padi 2025'!C29)</f>
        <v/>
      </c>
      <c r="D29" s="3" t="str">
        <f>IF('1.1 Produksi Bersih Padi 2025'!D29="","",'1.1 Produksi Bersih Padi 2025'!D29)</f>
        <v/>
      </c>
      <c r="E29" s="3" t="str">
        <f>IF('1.1 Produksi Bersih Padi 2025'!E29="","",'1.1 Produksi Bersih Padi 2025'!E29)</f>
        <v/>
      </c>
      <c r="F29" s="28" t="str">
        <f>IF(D29="","",VLOOKUP(D29,'[1]0.1 Produksi Pangan &amp; Penduduk'!$D$5:$S$860,16,0))</f>
        <v/>
      </c>
      <c r="G29" s="28" t="str">
        <f t="shared" si="0"/>
        <v/>
      </c>
      <c r="H29" s="29" t="str">
        <f t="shared" si="1"/>
        <v/>
      </c>
      <c r="I29" s="29" t="str">
        <f t="shared" si="2"/>
        <v/>
      </c>
      <c r="J29" s="29" t="str">
        <f t="shared" si="3"/>
        <v/>
      </c>
      <c r="K29" s="29" t="str">
        <f t="shared" si="4"/>
        <v/>
      </c>
      <c r="L29" s="29" t="str">
        <f t="shared" si="5"/>
        <v/>
      </c>
      <c r="N29" s="11"/>
    </row>
    <row r="30" spans="1:14" ht="15" x14ac:dyDescent="0.25">
      <c r="A30" s="1" t="str">
        <f>IF('1.1 Produksi Bersih Padi 2025'!A30="","",'1.1 Produksi Bersih Padi 2025'!A30)</f>
        <v/>
      </c>
      <c r="B30" s="2" t="str">
        <f>IF('1.1 Produksi Bersih Padi 2025'!B30="","",'1.1 Produksi Bersih Padi 2025'!B30)</f>
        <v/>
      </c>
      <c r="C30" s="2" t="str">
        <f>IF('1.1 Produksi Bersih Padi 2025'!C30="","",'1.1 Produksi Bersih Padi 2025'!C30)</f>
        <v/>
      </c>
      <c r="D30" s="3" t="str">
        <f>IF('1.1 Produksi Bersih Padi 2025'!D30="","",'1.1 Produksi Bersih Padi 2025'!D30)</f>
        <v/>
      </c>
      <c r="E30" s="3" t="str">
        <f>IF('1.1 Produksi Bersih Padi 2025'!E30="","",'1.1 Produksi Bersih Padi 2025'!E30)</f>
        <v/>
      </c>
      <c r="F30" s="28" t="str">
        <f>IF(D30="","",VLOOKUP(D30,'[1]0.1 Produksi Pangan &amp; Penduduk'!$D$5:$S$860,16,0))</f>
        <v/>
      </c>
      <c r="G30" s="28" t="str">
        <f t="shared" si="0"/>
        <v/>
      </c>
      <c r="H30" s="29" t="str">
        <f t="shared" si="1"/>
        <v/>
      </c>
      <c r="I30" s="29" t="str">
        <f t="shared" si="2"/>
        <v/>
      </c>
      <c r="J30" s="29" t="str">
        <f t="shared" si="3"/>
        <v/>
      </c>
      <c r="K30" s="29" t="str">
        <f t="shared" si="4"/>
        <v/>
      </c>
      <c r="L30" s="29" t="str">
        <f t="shared" si="5"/>
        <v/>
      </c>
      <c r="N30" s="11"/>
    </row>
    <row r="31" spans="1:14" ht="15" x14ac:dyDescent="0.25">
      <c r="A31" s="1" t="str">
        <f>IF('1.1 Produksi Bersih Padi 2025'!A31="","",'1.1 Produksi Bersih Padi 2025'!A31)</f>
        <v/>
      </c>
      <c r="B31" s="2" t="str">
        <f>IF('1.1 Produksi Bersih Padi 2025'!B31="","",'1.1 Produksi Bersih Padi 2025'!B31)</f>
        <v/>
      </c>
      <c r="C31" s="2" t="str">
        <f>IF('1.1 Produksi Bersih Padi 2025'!C31="","",'1.1 Produksi Bersih Padi 2025'!C31)</f>
        <v/>
      </c>
      <c r="D31" s="3" t="str">
        <f>IF('1.1 Produksi Bersih Padi 2025'!D31="","",'1.1 Produksi Bersih Padi 2025'!D31)</f>
        <v/>
      </c>
      <c r="E31" s="3" t="str">
        <f>IF('1.1 Produksi Bersih Padi 2025'!E31="","",'1.1 Produksi Bersih Padi 2025'!E31)</f>
        <v/>
      </c>
      <c r="F31" s="28" t="str">
        <f>IF(D31="","",VLOOKUP(D31,'[1]0.1 Produksi Pangan &amp; Penduduk'!$D$5:$S$860,16,0))</f>
        <v/>
      </c>
      <c r="G31" s="28" t="str">
        <f t="shared" si="0"/>
        <v/>
      </c>
      <c r="H31" s="29" t="str">
        <f t="shared" si="1"/>
        <v/>
      </c>
      <c r="I31" s="29" t="str">
        <f t="shared" si="2"/>
        <v/>
      </c>
      <c r="J31" s="29" t="str">
        <f t="shared" si="3"/>
        <v/>
      </c>
      <c r="K31" s="29" t="str">
        <f t="shared" si="4"/>
        <v/>
      </c>
      <c r="L31" s="29" t="str">
        <f t="shared" si="5"/>
        <v/>
      </c>
      <c r="N31" s="11"/>
    </row>
    <row r="32" spans="1:14" ht="15" x14ac:dyDescent="0.25">
      <c r="A32" s="1" t="str">
        <f>IF('1.1 Produksi Bersih Padi 2025'!A32="","",'1.1 Produksi Bersih Padi 2025'!A32)</f>
        <v/>
      </c>
      <c r="B32" s="2" t="str">
        <f>IF('1.1 Produksi Bersih Padi 2025'!B32="","",'1.1 Produksi Bersih Padi 2025'!B32)</f>
        <v/>
      </c>
      <c r="C32" s="2" t="str">
        <f>IF('1.1 Produksi Bersih Padi 2025'!C32="","",'1.1 Produksi Bersih Padi 2025'!C32)</f>
        <v/>
      </c>
      <c r="D32" s="3" t="str">
        <f>IF('1.1 Produksi Bersih Padi 2025'!D32="","",'1.1 Produksi Bersih Padi 2025'!D32)</f>
        <v/>
      </c>
      <c r="E32" s="3" t="str">
        <f>IF('1.1 Produksi Bersih Padi 2025'!E32="","",'1.1 Produksi Bersih Padi 2025'!E32)</f>
        <v/>
      </c>
      <c r="F32" s="28" t="str">
        <f>IF(D32="","",VLOOKUP(D32,'[1]0.1 Produksi Pangan &amp; Penduduk'!$D$5:$S$860,16,0))</f>
        <v/>
      </c>
      <c r="G32" s="28" t="str">
        <f t="shared" si="0"/>
        <v/>
      </c>
      <c r="H32" s="29" t="str">
        <f t="shared" si="1"/>
        <v/>
      </c>
      <c r="I32" s="29" t="str">
        <f t="shared" si="2"/>
        <v/>
      </c>
      <c r="J32" s="29" t="str">
        <f t="shared" si="3"/>
        <v/>
      </c>
      <c r="K32" s="29" t="str">
        <f t="shared" si="4"/>
        <v/>
      </c>
      <c r="L32" s="29" t="str">
        <f t="shared" si="5"/>
        <v/>
      </c>
      <c r="N32" s="11"/>
    </row>
    <row r="33" spans="1:14" ht="15" x14ac:dyDescent="0.25">
      <c r="A33" s="1" t="str">
        <f>IF('1.1 Produksi Bersih Padi 2025'!A33="","",'1.1 Produksi Bersih Padi 2025'!A33)</f>
        <v/>
      </c>
      <c r="B33" s="2" t="str">
        <f>IF('1.1 Produksi Bersih Padi 2025'!B33="","",'1.1 Produksi Bersih Padi 2025'!B33)</f>
        <v/>
      </c>
      <c r="C33" s="2" t="str">
        <f>IF('1.1 Produksi Bersih Padi 2025'!C33="","",'1.1 Produksi Bersih Padi 2025'!C33)</f>
        <v/>
      </c>
      <c r="D33" s="3" t="str">
        <f>IF('1.1 Produksi Bersih Padi 2025'!D33="","",'1.1 Produksi Bersih Padi 2025'!D33)</f>
        <v/>
      </c>
      <c r="E33" s="3" t="str">
        <f>IF('1.1 Produksi Bersih Padi 2025'!E33="","",'1.1 Produksi Bersih Padi 2025'!E33)</f>
        <v/>
      </c>
      <c r="F33" s="28" t="str">
        <f>IF(D33="","",VLOOKUP(D33,'[1]0.1 Produksi Pangan &amp; Penduduk'!$D$5:$S$860,16,0))</f>
        <v/>
      </c>
      <c r="G33" s="28" t="str">
        <f t="shared" si="0"/>
        <v/>
      </c>
      <c r="H33" s="29" t="str">
        <f t="shared" si="1"/>
        <v/>
      </c>
      <c r="I33" s="29" t="str">
        <f t="shared" si="2"/>
        <v/>
      </c>
      <c r="J33" s="29" t="str">
        <f t="shared" si="3"/>
        <v/>
      </c>
      <c r="K33" s="29" t="str">
        <f t="shared" si="4"/>
        <v/>
      </c>
      <c r="L33" s="29" t="str">
        <f t="shared" si="5"/>
        <v/>
      </c>
      <c r="N33" s="11"/>
    </row>
    <row r="34" spans="1:14" ht="15" x14ac:dyDescent="0.25">
      <c r="A34" s="1" t="str">
        <f>IF('1.1 Produksi Bersih Padi 2025'!A34="","",'1.1 Produksi Bersih Padi 2025'!A34)</f>
        <v/>
      </c>
      <c r="B34" s="2" t="str">
        <f>IF('1.1 Produksi Bersih Padi 2025'!B34="","",'1.1 Produksi Bersih Padi 2025'!B34)</f>
        <v/>
      </c>
      <c r="C34" s="2" t="str">
        <f>IF('1.1 Produksi Bersih Padi 2025'!C34="","",'1.1 Produksi Bersih Padi 2025'!C34)</f>
        <v/>
      </c>
      <c r="D34" s="3" t="str">
        <f>IF('1.1 Produksi Bersih Padi 2025'!D34="","",'1.1 Produksi Bersih Padi 2025'!D34)</f>
        <v/>
      </c>
      <c r="E34" s="3" t="str">
        <f>IF('1.1 Produksi Bersih Padi 2025'!E34="","",'1.1 Produksi Bersih Padi 2025'!E34)</f>
        <v/>
      </c>
      <c r="F34" s="28" t="str">
        <f>IF(D34="","",VLOOKUP(D34,'[1]0.1 Produksi Pangan &amp; Penduduk'!$D$5:$S$860,16,0))</f>
        <v/>
      </c>
      <c r="G34" s="28" t="str">
        <f t="shared" si="0"/>
        <v/>
      </c>
      <c r="H34" s="29" t="str">
        <f t="shared" si="1"/>
        <v/>
      </c>
      <c r="I34" s="29" t="str">
        <f t="shared" si="2"/>
        <v/>
      </c>
      <c r="J34" s="29" t="str">
        <f t="shared" si="3"/>
        <v/>
      </c>
      <c r="K34" s="29" t="str">
        <f t="shared" si="4"/>
        <v/>
      </c>
      <c r="L34" s="29" t="str">
        <f t="shared" si="5"/>
        <v/>
      </c>
      <c r="N34" s="11"/>
    </row>
    <row r="35" spans="1:14" ht="15" x14ac:dyDescent="0.25">
      <c r="A35" s="1" t="str">
        <f>IF('1.1 Produksi Bersih Padi 2025'!A35="","",'1.1 Produksi Bersih Padi 2025'!A35)</f>
        <v/>
      </c>
      <c r="B35" s="2" t="str">
        <f>IF('1.1 Produksi Bersih Padi 2025'!B35="","",'1.1 Produksi Bersih Padi 2025'!B35)</f>
        <v/>
      </c>
      <c r="C35" s="2" t="str">
        <f>IF('1.1 Produksi Bersih Padi 2025'!C35="","",'1.1 Produksi Bersih Padi 2025'!C35)</f>
        <v/>
      </c>
      <c r="D35" s="3" t="str">
        <f>IF('1.1 Produksi Bersih Padi 2025'!D35="","",'1.1 Produksi Bersih Padi 2025'!D35)</f>
        <v/>
      </c>
      <c r="E35" s="3" t="str">
        <f>IF('1.1 Produksi Bersih Padi 2025'!E35="","",'1.1 Produksi Bersih Padi 2025'!E35)</f>
        <v/>
      </c>
      <c r="F35" s="28" t="str">
        <f>IF(D35="","",VLOOKUP(D35,'[1]0.1 Produksi Pangan &amp; Penduduk'!$D$5:$S$860,16,0))</f>
        <v/>
      </c>
      <c r="G35" s="28" t="str">
        <f t="shared" si="0"/>
        <v/>
      </c>
      <c r="H35" s="29" t="str">
        <f t="shared" si="1"/>
        <v/>
      </c>
      <c r="I35" s="29" t="str">
        <f t="shared" si="2"/>
        <v/>
      </c>
      <c r="J35" s="29" t="str">
        <f t="shared" si="3"/>
        <v/>
      </c>
      <c r="K35" s="29" t="str">
        <f t="shared" si="4"/>
        <v/>
      </c>
      <c r="L35" s="29" t="str">
        <f t="shared" si="5"/>
        <v/>
      </c>
      <c r="N35" s="11"/>
    </row>
    <row r="36" spans="1:14" ht="15" x14ac:dyDescent="0.25">
      <c r="A36" s="1" t="str">
        <f>IF('1.1 Produksi Bersih Padi 2025'!A36="","",'1.1 Produksi Bersih Padi 2025'!A36)</f>
        <v/>
      </c>
      <c r="B36" s="2" t="str">
        <f>IF('1.1 Produksi Bersih Padi 2025'!B36="","",'1.1 Produksi Bersih Padi 2025'!B36)</f>
        <v/>
      </c>
      <c r="C36" s="2" t="str">
        <f>IF('1.1 Produksi Bersih Padi 2025'!C36="","",'1.1 Produksi Bersih Padi 2025'!C36)</f>
        <v/>
      </c>
      <c r="D36" s="3" t="str">
        <f>IF('1.1 Produksi Bersih Padi 2025'!D36="","",'1.1 Produksi Bersih Padi 2025'!D36)</f>
        <v/>
      </c>
      <c r="E36" s="3" t="str">
        <f>IF('1.1 Produksi Bersih Padi 2025'!E36="","",'1.1 Produksi Bersih Padi 2025'!E36)</f>
        <v/>
      </c>
      <c r="F36" s="28" t="str">
        <f>IF(D36="","",VLOOKUP(D36,'[1]0.1 Produksi Pangan &amp; Penduduk'!$D$5:$S$860,16,0))</f>
        <v/>
      </c>
      <c r="G36" s="28" t="str">
        <f t="shared" si="0"/>
        <v/>
      </c>
      <c r="H36" s="29" t="str">
        <f t="shared" si="1"/>
        <v/>
      </c>
      <c r="I36" s="29" t="str">
        <f t="shared" si="2"/>
        <v/>
      </c>
      <c r="J36" s="29" t="str">
        <f t="shared" si="3"/>
        <v/>
      </c>
      <c r="K36" s="29" t="str">
        <f t="shared" si="4"/>
        <v/>
      </c>
      <c r="L36" s="29" t="str">
        <f t="shared" si="5"/>
        <v/>
      </c>
      <c r="N36" s="11"/>
    </row>
    <row r="37" spans="1:14" ht="15" x14ac:dyDescent="0.25">
      <c r="A37" s="1" t="str">
        <f>IF('1.1 Produksi Bersih Padi 2025'!A37="","",'1.1 Produksi Bersih Padi 2025'!A37)</f>
        <v/>
      </c>
      <c r="B37" s="2" t="str">
        <f>IF('1.1 Produksi Bersih Padi 2025'!B37="","",'1.1 Produksi Bersih Padi 2025'!B37)</f>
        <v/>
      </c>
      <c r="C37" s="2" t="str">
        <f>IF('1.1 Produksi Bersih Padi 2025'!C37="","",'1.1 Produksi Bersih Padi 2025'!C37)</f>
        <v/>
      </c>
      <c r="D37" s="3" t="str">
        <f>IF('1.1 Produksi Bersih Padi 2025'!D37="","",'1.1 Produksi Bersih Padi 2025'!D37)</f>
        <v/>
      </c>
      <c r="E37" s="3" t="str">
        <f>IF('1.1 Produksi Bersih Padi 2025'!E37="","",'1.1 Produksi Bersih Padi 2025'!E37)</f>
        <v/>
      </c>
      <c r="F37" s="28" t="str">
        <f>IF(D37="","",VLOOKUP(D37,'[1]0.1 Produksi Pangan &amp; Penduduk'!$D$5:$S$860,16,0))</f>
        <v/>
      </c>
      <c r="G37" s="28" t="str">
        <f t="shared" si="0"/>
        <v/>
      </c>
      <c r="H37" s="29" t="str">
        <f t="shared" si="1"/>
        <v/>
      </c>
      <c r="I37" s="29" t="str">
        <f t="shared" si="2"/>
        <v/>
      </c>
      <c r="J37" s="29" t="str">
        <f t="shared" si="3"/>
        <v/>
      </c>
      <c r="K37" s="29" t="str">
        <f t="shared" si="4"/>
        <v/>
      </c>
      <c r="L37" s="29" t="str">
        <f t="shared" si="5"/>
        <v/>
      </c>
      <c r="N37" s="11"/>
    </row>
    <row r="38" spans="1:14" ht="15" x14ac:dyDescent="0.25">
      <c r="A38" s="1" t="str">
        <f>IF('1.1 Produksi Bersih Padi 2025'!A38="","",'1.1 Produksi Bersih Padi 2025'!A38)</f>
        <v/>
      </c>
      <c r="B38" s="2" t="str">
        <f>IF('1.1 Produksi Bersih Padi 2025'!B38="","",'1.1 Produksi Bersih Padi 2025'!B38)</f>
        <v/>
      </c>
      <c r="C38" s="2" t="str">
        <f>IF('1.1 Produksi Bersih Padi 2025'!C38="","",'1.1 Produksi Bersih Padi 2025'!C38)</f>
        <v/>
      </c>
      <c r="D38" s="3" t="str">
        <f>IF('1.1 Produksi Bersih Padi 2025'!D38="","",'1.1 Produksi Bersih Padi 2025'!D38)</f>
        <v/>
      </c>
      <c r="E38" s="3" t="str">
        <f>IF('1.1 Produksi Bersih Padi 2025'!E38="","",'1.1 Produksi Bersih Padi 2025'!E38)</f>
        <v/>
      </c>
      <c r="F38" s="28" t="str">
        <f>IF(D38="","",VLOOKUP(D38,'[1]0.1 Produksi Pangan &amp; Penduduk'!$D$5:$S$860,16,0))</f>
        <v/>
      </c>
      <c r="G38" s="28" t="str">
        <f t="shared" si="0"/>
        <v/>
      </c>
      <c r="H38" s="29" t="str">
        <f t="shared" si="1"/>
        <v/>
      </c>
      <c r="I38" s="29" t="str">
        <f t="shared" si="2"/>
        <v/>
      </c>
      <c r="J38" s="29" t="str">
        <f t="shared" si="3"/>
        <v/>
      </c>
      <c r="K38" s="29" t="str">
        <f t="shared" si="4"/>
        <v/>
      </c>
      <c r="L38" s="29" t="str">
        <f t="shared" si="5"/>
        <v/>
      </c>
      <c r="N38" s="11"/>
    </row>
    <row r="39" spans="1:14" ht="15" x14ac:dyDescent="0.25">
      <c r="A39" s="1" t="str">
        <f>IF('1.1 Produksi Bersih Padi 2025'!A39="","",'1.1 Produksi Bersih Padi 2025'!A39)</f>
        <v/>
      </c>
      <c r="B39" s="2" t="str">
        <f>IF('1.1 Produksi Bersih Padi 2025'!B39="","",'1.1 Produksi Bersih Padi 2025'!B39)</f>
        <v/>
      </c>
      <c r="C39" s="2" t="str">
        <f>IF('1.1 Produksi Bersih Padi 2025'!C39="","",'1.1 Produksi Bersih Padi 2025'!C39)</f>
        <v/>
      </c>
      <c r="D39" s="3" t="str">
        <f>IF('1.1 Produksi Bersih Padi 2025'!D39="","",'1.1 Produksi Bersih Padi 2025'!D39)</f>
        <v/>
      </c>
      <c r="E39" s="3" t="str">
        <f>IF('1.1 Produksi Bersih Padi 2025'!E39="","",'1.1 Produksi Bersih Padi 2025'!E39)</f>
        <v/>
      </c>
      <c r="F39" s="28" t="str">
        <f>IF(D39="","",VLOOKUP(D39,'[1]0.1 Produksi Pangan &amp; Penduduk'!$D$5:$S$860,16,0))</f>
        <v/>
      </c>
      <c r="G39" s="28" t="str">
        <f t="shared" si="0"/>
        <v/>
      </c>
      <c r="H39" s="29" t="str">
        <f t="shared" si="1"/>
        <v/>
      </c>
      <c r="I39" s="29" t="str">
        <f t="shared" si="2"/>
        <v/>
      </c>
      <c r="J39" s="29" t="str">
        <f t="shared" si="3"/>
        <v/>
      </c>
      <c r="K39" s="29" t="str">
        <f t="shared" si="4"/>
        <v/>
      </c>
      <c r="L39" s="29" t="str">
        <f t="shared" si="5"/>
        <v/>
      </c>
      <c r="N39" s="11"/>
    </row>
    <row r="40" spans="1:14" ht="15" x14ac:dyDescent="0.25">
      <c r="A40" s="1" t="str">
        <f>IF('1.1 Produksi Bersih Padi 2025'!A40="","",'1.1 Produksi Bersih Padi 2025'!A40)</f>
        <v/>
      </c>
      <c r="B40" s="2" t="str">
        <f>IF('1.1 Produksi Bersih Padi 2025'!B40="","",'1.1 Produksi Bersih Padi 2025'!B40)</f>
        <v/>
      </c>
      <c r="C40" s="2" t="str">
        <f>IF('1.1 Produksi Bersih Padi 2025'!C40="","",'1.1 Produksi Bersih Padi 2025'!C40)</f>
        <v/>
      </c>
      <c r="D40" s="3" t="str">
        <f>IF('1.1 Produksi Bersih Padi 2025'!D40="","",'1.1 Produksi Bersih Padi 2025'!D40)</f>
        <v/>
      </c>
      <c r="E40" s="3" t="str">
        <f>IF('1.1 Produksi Bersih Padi 2025'!E40="","",'1.1 Produksi Bersih Padi 2025'!E40)</f>
        <v/>
      </c>
      <c r="F40" s="28" t="str">
        <f>IF(D40="","",VLOOKUP(D40,'[1]0.1 Produksi Pangan &amp; Penduduk'!$D$5:$S$860,16,0))</f>
        <v/>
      </c>
      <c r="G40" s="28" t="str">
        <f t="shared" si="0"/>
        <v/>
      </c>
      <c r="H40" s="29" t="str">
        <f t="shared" si="1"/>
        <v/>
      </c>
      <c r="I40" s="29" t="str">
        <f t="shared" si="2"/>
        <v/>
      </c>
      <c r="J40" s="29" t="str">
        <f t="shared" si="3"/>
        <v/>
      </c>
      <c r="K40" s="29" t="str">
        <f t="shared" si="4"/>
        <v/>
      </c>
      <c r="L40" s="29" t="str">
        <f t="shared" si="5"/>
        <v/>
      </c>
      <c r="N40" s="11"/>
    </row>
    <row r="41" spans="1:14" ht="15" x14ac:dyDescent="0.25">
      <c r="A41" s="1" t="str">
        <f>IF('1.1 Produksi Bersih Padi 2025'!A41="","",'1.1 Produksi Bersih Padi 2025'!A41)</f>
        <v/>
      </c>
      <c r="B41" s="2" t="str">
        <f>IF('1.1 Produksi Bersih Padi 2025'!B41="","",'1.1 Produksi Bersih Padi 2025'!B41)</f>
        <v/>
      </c>
      <c r="C41" s="2" t="str">
        <f>IF('1.1 Produksi Bersih Padi 2025'!C41="","",'1.1 Produksi Bersih Padi 2025'!C41)</f>
        <v/>
      </c>
      <c r="D41" s="3" t="str">
        <f>IF('1.1 Produksi Bersih Padi 2025'!D41="","",'1.1 Produksi Bersih Padi 2025'!D41)</f>
        <v/>
      </c>
      <c r="E41" s="3" t="str">
        <f>IF('1.1 Produksi Bersih Padi 2025'!E41="","",'1.1 Produksi Bersih Padi 2025'!E41)</f>
        <v/>
      </c>
      <c r="F41" s="28" t="str">
        <f>IF(D41="","",VLOOKUP(D41,'[1]0.1 Produksi Pangan &amp; Penduduk'!$D$5:$S$860,16,0))</f>
        <v/>
      </c>
      <c r="G41" s="28" t="str">
        <f t="shared" si="0"/>
        <v/>
      </c>
      <c r="H41" s="29" t="str">
        <f t="shared" si="1"/>
        <v/>
      </c>
      <c r="I41" s="29" t="str">
        <f t="shared" si="2"/>
        <v/>
      </c>
      <c r="J41" s="29" t="str">
        <f t="shared" si="3"/>
        <v/>
      </c>
      <c r="K41" s="29" t="str">
        <f t="shared" si="4"/>
        <v/>
      </c>
      <c r="L41" s="29" t="str">
        <f t="shared" si="5"/>
        <v/>
      </c>
      <c r="N41" s="11"/>
    </row>
    <row r="42" spans="1:14" ht="15" x14ac:dyDescent="0.25">
      <c r="A42" s="1" t="str">
        <f>IF('1.1 Produksi Bersih Padi 2025'!A42="","",'1.1 Produksi Bersih Padi 2025'!A42)</f>
        <v/>
      </c>
      <c r="B42" s="2" t="str">
        <f>IF('1.1 Produksi Bersih Padi 2025'!B42="","",'1.1 Produksi Bersih Padi 2025'!B42)</f>
        <v/>
      </c>
      <c r="C42" s="2" t="str">
        <f>IF('1.1 Produksi Bersih Padi 2025'!C42="","",'1.1 Produksi Bersih Padi 2025'!C42)</f>
        <v/>
      </c>
      <c r="D42" s="3" t="str">
        <f>IF('1.1 Produksi Bersih Padi 2025'!D42="","",'1.1 Produksi Bersih Padi 2025'!D42)</f>
        <v/>
      </c>
      <c r="E42" s="3" t="str">
        <f>IF('1.1 Produksi Bersih Padi 2025'!E42="","",'1.1 Produksi Bersih Padi 2025'!E42)</f>
        <v/>
      </c>
      <c r="F42" s="28" t="str">
        <f>IF(D42="","",VLOOKUP(D42,'[1]0.1 Produksi Pangan &amp; Penduduk'!$D$5:$S$860,16,0))</f>
        <v/>
      </c>
      <c r="G42" s="28" t="str">
        <f t="shared" si="0"/>
        <v/>
      </c>
      <c r="H42" s="29" t="str">
        <f t="shared" si="1"/>
        <v/>
      </c>
      <c r="I42" s="29" t="str">
        <f t="shared" si="2"/>
        <v/>
      </c>
      <c r="J42" s="29" t="str">
        <f t="shared" si="3"/>
        <v/>
      </c>
      <c r="K42" s="29" t="str">
        <f t="shared" si="4"/>
        <v/>
      </c>
      <c r="L42" s="29" t="str">
        <f t="shared" si="5"/>
        <v/>
      </c>
      <c r="N42" s="11"/>
    </row>
    <row r="43" spans="1:14" ht="15" x14ac:dyDescent="0.25">
      <c r="A43" s="1" t="str">
        <f>IF('1.1 Produksi Bersih Padi 2025'!A43="","",'1.1 Produksi Bersih Padi 2025'!A43)</f>
        <v/>
      </c>
      <c r="B43" s="2" t="str">
        <f>IF('1.1 Produksi Bersih Padi 2025'!B43="","",'1.1 Produksi Bersih Padi 2025'!B43)</f>
        <v/>
      </c>
      <c r="C43" s="2" t="str">
        <f>IF('1.1 Produksi Bersih Padi 2025'!C43="","",'1.1 Produksi Bersih Padi 2025'!C43)</f>
        <v/>
      </c>
      <c r="D43" s="3" t="str">
        <f>IF('1.1 Produksi Bersih Padi 2025'!D43="","",'1.1 Produksi Bersih Padi 2025'!D43)</f>
        <v/>
      </c>
      <c r="E43" s="3" t="str">
        <f>IF('1.1 Produksi Bersih Padi 2025'!E43="","",'1.1 Produksi Bersih Padi 2025'!E43)</f>
        <v/>
      </c>
      <c r="F43" s="28" t="str">
        <f>IF(D43="","",VLOOKUP(D43,'[1]0.1 Produksi Pangan &amp; Penduduk'!$D$5:$S$860,16,0))</f>
        <v/>
      </c>
      <c r="G43" s="28" t="str">
        <f t="shared" si="0"/>
        <v/>
      </c>
      <c r="H43" s="29" t="str">
        <f t="shared" si="1"/>
        <v/>
      </c>
      <c r="I43" s="29" t="str">
        <f t="shared" si="2"/>
        <v/>
      </c>
      <c r="J43" s="29" t="str">
        <f t="shared" si="3"/>
        <v/>
      </c>
      <c r="K43" s="29" t="str">
        <f t="shared" si="4"/>
        <v/>
      </c>
      <c r="L43" s="29" t="str">
        <f t="shared" si="5"/>
        <v/>
      </c>
      <c r="N43" s="11"/>
    </row>
    <row r="44" spans="1:14" ht="15" x14ac:dyDescent="0.25">
      <c r="A44" s="1" t="str">
        <f>IF('1.1 Produksi Bersih Padi 2025'!A44="","",'1.1 Produksi Bersih Padi 2025'!A44)</f>
        <v/>
      </c>
      <c r="B44" s="2" t="str">
        <f>IF('1.1 Produksi Bersih Padi 2025'!B44="","",'1.1 Produksi Bersih Padi 2025'!B44)</f>
        <v/>
      </c>
      <c r="C44" s="2" t="str">
        <f>IF('1.1 Produksi Bersih Padi 2025'!C44="","",'1.1 Produksi Bersih Padi 2025'!C44)</f>
        <v/>
      </c>
      <c r="D44" s="3" t="str">
        <f>IF('1.1 Produksi Bersih Padi 2025'!D44="","",'1.1 Produksi Bersih Padi 2025'!D44)</f>
        <v/>
      </c>
      <c r="E44" s="3" t="str">
        <f>IF('1.1 Produksi Bersih Padi 2025'!E44="","",'1.1 Produksi Bersih Padi 2025'!E44)</f>
        <v/>
      </c>
      <c r="F44" s="28" t="str">
        <f>IF(D44="","",VLOOKUP(D44,'[1]0.1 Produksi Pangan &amp; Penduduk'!$D$5:$S$860,16,0))</f>
        <v/>
      </c>
      <c r="G44" s="28" t="str">
        <f t="shared" si="0"/>
        <v/>
      </c>
      <c r="H44" s="29" t="str">
        <f t="shared" si="1"/>
        <v/>
      </c>
      <c r="I44" s="29" t="str">
        <f t="shared" si="2"/>
        <v/>
      </c>
      <c r="J44" s="29" t="str">
        <f t="shared" si="3"/>
        <v/>
      </c>
      <c r="K44" s="29" t="str">
        <f t="shared" si="4"/>
        <v/>
      </c>
      <c r="L44" s="29" t="str">
        <f t="shared" si="5"/>
        <v/>
      </c>
      <c r="N44" s="11"/>
    </row>
    <row r="45" spans="1:14" ht="15" x14ac:dyDescent="0.25">
      <c r="A45" s="1" t="str">
        <f>IF('1.1 Produksi Bersih Padi 2025'!A45="","",'1.1 Produksi Bersih Padi 2025'!A45)</f>
        <v/>
      </c>
      <c r="B45" s="2" t="str">
        <f>IF('1.1 Produksi Bersih Padi 2025'!B45="","",'1.1 Produksi Bersih Padi 2025'!B45)</f>
        <v/>
      </c>
      <c r="C45" s="2" t="str">
        <f>IF('1.1 Produksi Bersih Padi 2025'!C45="","",'1.1 Produksi Bersih Padi 2025'!C45)</f>
        <v/>
      </c>
      <c r="D45" s="3" t="str">
        <f>IF('1.1 Produksi Bersih Padi 2025'!D45="","",'1.1 Produksi Bersih Padi 2025'!D45)</f>
        <v/>
      </c>
      <c r="E45" s="3" t="str">
        <f>IF('1.1 Produksi Bersih Padi 2025'!E45="","",'1.1 Produksi Bersih Padi 2025'!E45)</f>
        <v/>
      </c>
      <c r="F45" s="28" t="str">
        <f>IF(D45="","",VLOOKUP(D45,'[1]0.1 Produksi Pangan &amp; Penduduk'!$D$5:$S$860,16,0))</f>
        <v/>
      </c>
      <c r="G45" s="28" t="str">
        <f t="shared" si="0"/>
        <v/>
      </c>
      <c r="H45" s="29" t="str">
        <f t="shared" si="1"/>
        <v/>
      </c>
      <c r="I45" s="29" t="str">
        <f t="shared" si="2"/>
        <v/>
      </c>
      <c r="J45" s="29" t="str">
        <f t="shared" si="3"/>
        <v/>
      </c>
      <c r="K45" s="29" t="str">
        <f t="shared" si="4"/>
        <v/>
      </c>
      <c r="L45" s="29" t="str">
        <f t="shared" si="5"/>
        <v/>
      </c>
      <c r="N45" s="11"/>
    </row>
    <row r="46" spans="1:14" ht="15" x14ac:dyDescent="0.25">
      <c r="A46" s="1" t="str">
        <f>IF('1.1 Produksi Bersih Padi 2025'!A46="","",'1.1 Produksi Bersih Padi 2025'!A46)</f>
        <v/>
      </c>
      <c r="B46" s="2" t="str">
        <f>IF('1.1 Produksi Bersih Padi 2025'!B46="","",'1.1 Produksi Bersih Padi 2025'!B46)</f>
        <v/>
      </c>
      <c r="C46" s="2" t="str">
        <f>IF('1.1 Produksi Bersih Padi 2025'!C46="","",'1.1 Produksi Bersih Padi 2025'!C46)</f>
        <v/>
      </c>
      <c r="D46" s="3" t="str">
        <f>IF('1.1 Produksi Bersih Padi 2025'!D46="","",'1.1 Produksi Bersih Padi 2025'!D46)</f>
        <v/>
      </c>
      <c r="E46" s="3" t="str">
        <f>IF('1.1 Produksi Bersih Padi 2025'!E46="","",'1.1 Produksi Bersih Padi 2025'!E46)</f>
        <v/>
      </c>
      <c r="F46" s="28" t="str">
        <f>IF(D46="","",VLOOKUP(D46,'[1]0.1 Produksi Pangan &amp; Penduduk'!$D$5:$S$860,16,0))</f>
        <v/>
      </c>
      <c r="G46" s="28" t="str">
        <f t="shared" si="0"/>
        <v/>
      </c>
      <c r="H46" s="29" t="str">
        <f t="shared" si="1"/>
        <v/>
      </c>
      <c r="I46" s="29" t="str">
        <f t="shared" si="2"/>
        <v/>
      </c>
      <c r="J46" s="29" t="str">
        <f t="shared" si="3"/>
        <v/>
      </c>
      <c r="K46" s="29" t="str">
        <f t="shared" si="4"/>
        <v/>
      </c>
      <c r="L46" s="29" t="str">
        <f t="shared" si="5"/>
        <v/>
      </c>
      <c r="N46" s="11"/>
    </row>
    <row r="47" spans="1:14" ht="15" x14ac:dyDescent="0.25">
      <c r="A47" s="1" t="str">
        <f>IF('1.1 Produksi Bersih Padi 2025'!A47="","",'1.1 Produksi Bersih Padi 2025'!A47)</f>
        <v/>
      </c>
      <c r="B47" s="2" t="str">
        <f>IF('1.1 Produksi Bersih Padi 2025'!B47="","",'1.1 Produksi Bersih Padi 2025'!B47)</f>
        <v/>
      </c>
      <c r="C47" s="2" t="str">
        <f>IF('1.1 Produksi Bersih Padi 2025'!C47="","",'1.1 Produksi Bersih Padi 2025'!C47)</f>
        <v/>
      </c>
      <c r="D47" s="3" t="str">
        <f>IF('1.1 Produksi Bersih Padi 2025'!D47="","",'1.1 Produksi Bersih Padi 2025'!D47)</f>
        <v/>
      </c>
      <c r="E47" s="3" t="str">
        <f>IF('1.1 Produksi Bersih Padi 2025'!E47="","",'1.1 Produksi Bersih Padi 2025'!E47)</f>
        <v/>
      </c>
      <c r="F47" s="28" t="str">
        <f>IF(D47="","",VLOOKUP(D47,'[1]0.1 Produksi Pangan &amp; Penduduk'!$D$5:$S$860,16,0))</f>
        <v/>
      </c>
      <c r="G47" s="28" t="str">
        <f t="shared" si="0"/>
        <v/>
      </c>
      <c r="H47" s="29" t="str">
        <f t="shared" si="1"/>
        <v/>
      </c>
      <c r="I47" s="29" t="str">
        <f t="shared" si="2"/>
        <v/>
      </c>
      <c r="J47" s="29" t="str">
        <f t="shared" si="3"/>
        <v/>
      </c>
      <c r="K47" s="29" t="str">
        <f t="shared" si="4"/>
        <v/>
      </c>
      <c r="L47" s="29" t="str">
        <f t="shared" si="5"/>
        <v/>
      </c>
      <c r="N47" s="11"/>
    </row>
    <row r="48" spans="1:14" ht="15" x14ac:dyDescent="0.25">
      <c r="A48" s="1" t="str">
        <f>IF('1.1 Produksi Bersih Padi 2025'!A48="","",'1.1 Produksi Bersih Padi 2025'!A48)</f>
        <v/>
      </c>
      <c r="B48" s="2" t="str">
        <f>IF('1.1 Produksi Bersih Padi 2025'!B48="","",'1.1 Produksi Bersih Padi 2025'!B48)</f>
        <v/>
      </c>
      <c r="C48" s="2" t="str">
        <f>IF('1.1 Produksi Bersih Padi 2025'!C48="","",'1.1 Produksi Bersih Padi 2025'!C48)</f>
        <v/>
      </c>
      <c r="D48" s="3" t="str">
        <f>IF('1.1 Produksi Bersih Padi 2025'!D48="","",'1.1 Produksi Bersih Padi 2025'!D48)</f>
        <v/>
      </c>
      <c r="E48" s="3" t="str">
        <f>IF('1.1 Produksi Bersih Padi 2025'!E48="","",'1.1 Produksi Bersih Padi 2025'!E48)</f>
        <v/>
      </c>
      <c r="F48" s="28" t="str">
        <f>IF(D48="","",VLOOKUP(D48,'[1]0.1 Produksi Pangan &amp; Penduduk'!$D$5:$S$860,16,0))</f>
        <v/>
      </c>
      <c r="G48" s="28" t="str">
        <f t="shared" si="0"/>
        <v/>
      </c>
      <c r="H48" s="29" t="str">
        <f t="shared" si="1"/>
        <v/>
      </c>
      <c r="I48" s="29" t="str">
        <f t="shared" si="2"/>
        <v/>
      </c>
      <c r="J48" s="29" t="str">
        <f t="shared" si="3"/>
        <v/>
      </c>
      <c r="K48" s="29" t="str">
        <f t="shared" si="4"/>
        <v/>
      </c>
      <c r="L48" s="29" t="str">
        <f t="shared" si="5"/>
        <v/>
      </c>
      <c r="N48" s="11"/>
    </row>
    <row r="49" spans="1:14" ht="15" x14ac:dyDescent="0.25">
      <c r="A49" s="1" t="str">
        <f>IF('1.1 Produksi Bersih Padi 2025'!A49="","",'1.1 Produksi Bersih Padi 2025'!A49)</f>
        <v/>
      </c>
      <c r="B49" s="2" t="str">
        <f>IF('1.1 Produksi Bersih Padi 2025'!B49="","",'1.1 Produksi Bersih Padi 2025'!B49)</f>
        <v/>
      </c>
      <c r="C49" s="2" t="str">
        <f>IF('1.1 Produksi Bersih Padi 2025'!C49="","",'1.1 Produksi Bersih Padi 2025'!C49)</f>
        <v/>
      </c>
      <c r="D49" s="3" t="str">
        <f>IF('1.1 Produksi Bersih Padi 2025'!D49="","",'1.1 Produksi Bersih Padi 2025'!D49)</f>
        <v/>
      </c>
      <c r="E49" s="3" t="str">
        <f>IF('1.1 Produksi Bersih Padi 2025'!E49="","",'1.1 Produksi Bersih Padi 2025'!E49)</f>
        <v/>
      </c>
      <c r="F49" s="28" t="str">
        <f>IF(D49="","",VLOOKUP(D49,'[1]0.1 Produksi Pangan &amp; Penduduk'!$D$5:$S$860,16,0))</f>
        <v/>
      </c>
      <c r="G49" s="28" t="str">
        <f t="shared" si="0"/>
        <v/>
      </c>
      <c r="H49" s="29" t="str">
        <f t="shared" si="1"/>
        <v/>
      </c>
      <c r="I49" s="29" t="str">
        <f t="shared" si="2"/>
        <v/>
      </c>
      <c r="J49" s="29" t="str">
        <f t="shared" si="3"/>
        <v/>
      </c>
      <c r="K49" s="29" t="str">
        <f t="shared" si="4"/>
        <v/>
      </c>
      <c r="L49" s="29" t="str">
        <f t="shared" si="5"/>
        <v/>
      </c>
      <c r="N49" s="11"/>
    </row>
    <row r="50" spans="1:14" ht="15" x14ac:dyDescent="0.25">
      <c r="A50" s="1" t="str">
        <f>IF('1.1 Produksi Bersih Padi 2025'!A50="","",'1.1 Produksi Bersih Padi 2025'!A50)</f>
        <v/>
      </c>
      <c r="B50" s="2" t="str">
        <f>IF('1.1 Produksi Bersih Padi 2025'!B50="","",'1.1 Produksi Bersih Padi 2025'!B50)</f>
        <v/>
      </c>
      <c r="C50" s="2" t="str">
        <f>IF('1.1 Produksi Bersih Padi 2025'!C50="","",'1.1 Produksi Bersih Padi 2025'!C50)</f>
        <v/>
      </c>
      <c r="D50" s="3" t="str">
        <f>IF('1.1 Produksi Bersih Padi 2025'!D50="","",'1.1 Produksi Bersih Padi 2025'!D50)</f>
        <v/>
      </c>
      <c r="E50" s="3" t="str">
        <f>IF('1.1 Produksi Bersih Padi 2025'!E50="","",'1.1 Produksi Bersih Padi 2025'!E50)</f>
        <v/>
      </c>
      <c r="F50" s="28" t="str">
        <f>IF(D50="","",VLOOKUP(D50,'[1]0.1 Produksi Pangan &amp; Penduduk'!$D$5:$S$860,16,0))</f>
        <v/>
      </c>
      <c r="G50" s="28" t="str">
        <f t="shared" si="0"/>
        <v/>
      </c>
      <c r="H50" s="29" t="str">
        <f t="shared" si="1"/>
        <v/>
      </c>
      <c r="I50" s="29" t="str">
        <f t="shared" si="2"/>
        <v/>
      </c>
      <c r="J50" s="29" t="str">
        <f t="shared" si="3"/>
        <v/>
      </c>
      <c r="K50" s="29" t="str">
        <f t="shared" si="4"/>
        <v/>
      </c>
      <c r="L50" s="29" t="str">
        <f t="shared" si="5"/>
        <v/>
      </c>
      <c r="N50" s="11"/>
    </row>
    <row r="51" spans="1:14" ht="15" x14ac:dyDescent="0.25">
      <c r="A51" s="1" t="str">
        <f>IF('1.1 Produksi Bersih Padi 2025'!A51="","",'1.1 Produksi Bersih Padi 2025'!A51)</f>
        <v/>
      </c>
      <c r="B51" s="2" t="str">
        <f>IF('1.1 Produksi Bersih Padi 2025'!B51="","",'1.1 Produksi Bersih Padi 2025'!B51)</f>
        <v/>
      </c>
      <c r="C51" s="2" t="str">
        <f>IF('1.1 Produksi Bersih Padi 2025'!C51="","",'1.1 Produksi Bersih Padi 2025'!C51)</f>
        <v/>
      </c>
      <c r="D51" s="3" t="str">
        <f>IF('1.1 Produksi Bersih Padi 2025'!D51="","",'1.1 Produksi Bersih Padi 2025'!D51)</f>
        <v/>
      </c>
      <c r="E51" s="3" t="str">
        <f>IF('1.1 Produksi Bersih Padi 2025'!E51="","",'1.1 Produksi Bersih Padi 2025'!E51)</f>
        <v/>
      </c>
      <c r="F51" s="28" t="str">
        <f>IF(D51="","",VLOOKUP(D51,'[1]0.1 Produksi Pangan &amp; Penduduk'!$D$5:$S$860,16,0))</f>
        <v/>
      </c>
      <c r="G51" s="28" t="str">
        <f t="shared" si="0"/>
        <v/>
      </c>
      <c r="H51" s="29" t="str">
        <f t="shared" si="1"/>
        <v/>
      </c>
      <c r="I51" s="29" t="str">
        <f t="shared" si="2"/>
        <v/>
      </c>
      <c r="J51" s="29" t="str">
        <f t="shared" si="3"/>
        <v/>
      </c>
      <c r="K51" s="29" t="str">
        <f t="shared" si="4"/>
        <v/>
      </c>
      <c r="L51" s="29" t="str">
        <f t="shared" si="5"/>
        <v/>
      </c>
      <c r="N51" s="11"/>
    </row>
    <row r="52" spans="1:14" ht="15" x14ac:dyDescent="0.25">
      <c r="A52" s="1" t="str">
        <f>IF('1.1 Produksi Bersih Padi 2025'!A52="","",'1.1 Produksi Bersih Padi 2025'!A52)</f>
        <v/>
      </c>
      <c r="B52" s="2" t="str">
        <f>IF('1.1 Produksi Bersih Padi 2025'!B52="","",'1.1 Produksi Bersih Padi 2025'!B52)</f>
        <v/>
      </c>
      <c r="C52" s="2" t="str">
        <f>IF('1.1 Produksi Bersih Padi 2025'!C52="","",'1.1 Produksi Bersih Padi 2025'!C52)</f>
        <v/>
      </c>
      <c r="D52" s="3" t="str">
        <f>IF('1.1 Produksi Bersih Padi 2025'!D52="","",'1.1 Produksi Bersih Padi 2025'!D52)</f>
        <v/>
      </c>
      <c r="E52" s="3" t="str">
        <f>IF('1.1 Produksi Bersih Padi 2025'!E52="","",'1.1 Produksi Bersih Padi 2025'!E52)</f>
        <v/>
      </c>
      <c r="F52" s="28" t="str">
        <f>IF(D52="","",VLOOKUP(D52,'[1]0.1 Produksi Pangan &amp; Penduduk'!$D$5:$S$860,16,0))</f>
        <v/>
      </c>
      <c r="G52" s="28" t="str">
        <f t="shared" si="0"/>
        <v/>
      </c>
      <c r="H52" s="29" t="str">
        <f t="shared" si="1"/>
        <v/>
      </c>
      <c r="I52" s="29" t="str">
        <f t="shared" si="2"/>
        <v/>
      </c>
      <c r="J52" s="29" t="str">
        <f t="shared" si="3"/>
        <v/>
      </c>
      <c r="K52" s="29" t="str">
        <f t="shared" si="4"/>
        <v/>
      </c>
      <c r="L52" s="29" t="str">
        <f t="shared" si="5"/>
        <v/>
      </c>
      <c r="N52" s="11"/>
    </row>
    <row r="53" spans="1:14" ht="15" x14ac:dyDescent="0.25">
      <c r="A53" s="1" t="str">
        <f>IF('1.1 Produksi Bersih Padi 2025'!A53="","",'1.1 Produksi Bersih Padi 2025'!A53)</f>
        <v/>
      </c>
      <c r="B53" s="2" t="str">
        <f>IF('1.1 Produksi Bersih Padi 2025'!B53="","",'1.1 Produksi Bersih Padi 2025'!B53)</f>
        <v/>
      </c>
      <c r="C53" s="2" t="str">
        <f>IF('1.1 Produksi Bersih Padi 2025'!C53="","",'1.1 Produksi Bersih Padi 2025'!C53)</f>
        <v/>
      </c>
      <c r="D53" s="3" t="str">
        <f>IF('1.1 Produksi Bersih Padi 2025'!D53="","",'1.1 Produksi Bersih Padi 2025'!D53)</f>
        <v/>
      </c>
      <c r="E53" s="3" t="str">
        <f>IF('1.1 Produksi Bersih Padi 2025'!E53="","",'1.1 Produksi Bersih Padi 2025'!E53)</f>
        <v/>
      </c>
      <c r="F53" s="28" t="str">
        <f>IF(D53="","",VLOOKUP(D53,'[1]0.1 Produksi Pangan &amp; Penduduk'!$D$5:$S$860,16,0))</f>
        <v/>
      </c>
      <c r="G53" s="28" t="str">
        <f t="shared" si="0"/>
        <v/>
      </c>
      <c r="H53" s="29" t="str">
        <f t="shared" si="1"/>
        <v/>
      </c>
      <c r="I53" s="29" t="str">
        <f t="shared" si="2"/>
        <v/>
      </c>
      <c r="J53" s="29" t="str">
        <f t="shared" si="3"/>
        <v/>
      </c>
      <c r="K53" s="29" t="str">
        <f t="shared" si="4"/>
        <v/>
      </c>
      <c r="L53" s="29" t="str">
        <f t="shared" si="5"/>
        <v/>
      </c>
      <c r="N53" s="11"/>
    </row>
    <row r="54" spans="1:14" ht="15" x14ac:dyDescent="0.25">
      <c r="A54" s="1" t="str">
        <f>IF('1.1 Produksi Bersih Padi 2025'!A54="","",'1.1 Produksi Bersih Padi 2025'!A54)</f>
        <v/>
      </c>
      <c r="B54" s="2" t="str">
        <f>IF('1.1 Produksi Bersih Padi 2025'!B54="","",'1.1 Produksi Bersih Padi 2025'!B54)</f>
        <v/>
      </c>
      <c r="C54" s="2" t="str">
        <f>IF('1.1 Produksi Bersih Padi 2025'!C54="","",'1.1 Produksi Bersih Padi 2025'!C54)</f>
        <v/>
      </c>
      <c r="D54" s="3" t="str">
        <f>IF('1.1 Produksi Bersih Padi 2025'!D54="","",'1.1 Produksi Bersih Padi 2025'!D54)</f>
        <v/>
      </c>
      <c r="E54" s="3" t="str">
        <f>IF('1.1 Produksi Bersih Padi 2025'!E54="","",'1.1 Produksi Bersih Padi 2025'!E54)</f>
        <v/>
      </c>
      <c r="F54" s="28" t="str">
        <f>IF(D54="","",VLOOKUP(D54,'[1]0.1 Produksi Pangan &amp; Penduduk'!$D$5:$S$860,16,0))</f>
        <v/>
      </c>
      <c r="G54" s="28" t="str">
        <f t="shared" si="0"/>
        <v/>
      </c>
      <c r="H54" s="29" t="str">
        <f t="shared" si="1"/>
        <v/>
      </c>
      <c r="I54" s="29" t="str">
        <f t="shared" si="2"/>
        <v/>
      </c>
      <c r="J54" s="29" t="str">
        <f t="shared" si="3"/>
        <v/>
      </c>
      <c r="K54" s="29" t="str">
        <f t="shared" si="4"/>
        <v/>
      </c>
      <c r="L54" s="29" t="str">
        <f t="shared" si="5"/>
        <v/>
      </c>
      <c r="N54" s="11"/>
    </row>
    <row r="55" spans="1:14" ht="15" x14ac:dyDescent="0.25">
      <c r="A55" s="1" t="str">
        <f>IF('1.1 Produksi Bersih Padi 2025'!A55="","",'1.1 Produksi Bersih Padi 2025'!A55)</f>
        <v/>
      </c>
      <c r="B55" s="2" t="str">
        <f>IF('1.1 Produksi Bersih Padi 2025'!B55="","",'1.1 Produksi Bersih Padi 2025'!B55)</f>
        <v/>
      </c>
      <c r="C55" s="2" t="str">
        <f>IF('1.1 Produksi Bersih Padi 2025'!C55="","",'1.1 Produksi Bersih Padi 2025'!C55)</f>
        <v/>
      </c>
      <c r="D55" s="3" t="str">
        <f>IF('1.1 Produksi Bersih Padi 2025'!D55="","",'1.1 Produksi Bersih Padi 2025'!D55)</f>
        <v/>
      </c>
      <c r="E55" s="3" t="str">
        <f>IF('1.1 Produksi Bersih Padi 2025'!E55="","",'1.1 Produksi Bersih Padi 2025'!E55)</f>
        <v/>
      </c>
      <c r="F55" s="28" t="str">
        <f>IF(D55="","",VLOOKUP(D55,'[1]0.1 Produksi Pangan &amp; Penduduk'!$D$5:$S$860,16,0))</f>
        <v/>
      </c>
      <c r="G55" s="28" t="str">
        <f t="shared" si="0"/>
        <v/>
      </c>
      <c r="H55" s="29" t="str">
        <f t="shared" si="1"/>
        <v/>
      </c>
      <c r="I55" s="29" t="str">
        <f t="shared" si="2"/>
        <v/>
      </c>
      <c r="J55" s="29" t="str">
        <f t="shared" si="3"/>
        <v/>
      </c>
      <c r="K55" s="29" t="str">
        <f t="shared" si="4"/>
        <v/>
      </c>
      <c r="L55" s="29" t="str">
        <f t="shared" si="5"/>
        <v/>
      </c>
      <c r="N55" s="11"/>
    </row>
    <row r="56" spans="1:14" ht="15" x14ac:dyDescent="0.25">
      <c r="A56" s="1" t="str">
        <f>IF('1.1 Produksi Bersih Padi 2025'!A56="","",'1.1 Produksi Bersih Padi 2025'!A56)</f>
        <v/>
      </c>
      <c r="B56" s="2" t="str">
        <f>IF('1.1 Produksi Bersih Padi 2025'!B56="","",'1.1 Produksi Bersih Padi 2025'!B56)</f>
        <v/>
      </c>
      <c r="C56" s="2" t="str">
        <f>IF('1.1 Produksi Bersih Padi 2025'!C56="","",'1.1 Produksi Bersih Padi 2025'!C56)</f>
        <v/>
      </c>
      <c r="D56" s="3" t="str">
        <f>IF('1.1 Produksi Bersih Padi 2025'!D56="","",'1.1 Produksi Bersih Padi 2025'!D56)</f>
        <v/>
      </c>
      <c r="E56" s="3" t="str">
        <f>IF('1.1 Produksi Bersih Padi 2025'!E56="","",'1.1 Produksi Bersih Padi 2025'!E56)</f>
        <v/>
      </c>
      <c r="F56" s="28" t="str">
        <f>IF(D56="","",VLOOKUP(D56,'[1]0.1 Produksi Pangan &amp; Penduduk'!$D$5:$S$860,16,0))</f>
        <v/>
      </c>
      <c r="G56" s="28" t="str">
        <f t="shared" si="0"/>
        <v/>
      </c>
      <c r="H56" s="29" t="str">
        <f t="shared" si="1"/>
        <v/>
      </c>
      <c r="I56" s="29" t="str">
        <f t="shared" si="2"/>
        <v/>
      </c>
      <c r="J56" s="29" t="str">
        <f t="shared" si="3"/>
        <v/>
      </c>
      <c r="K56" s="29" t="str">
        <f t="shared" si="4"/>
        <v/>
      </c>
      <c r="L56" s="29" t="str">
        <f t="shared" si="5"/>
        <v/>
      </c>
      <c r="N56" s="11"/>
    </row>
    <row r="57" spans="1:14" ht="15" x14ac:dyDescent="0.25">
      <c r="A57" s="1" t="str">
        <f>IF('1.1 Produksi Bersih Padi 2025'!A57="","",'1.1 Produksi Bersih Padi 2025'!A57)</f>
        <v/>
      </c>
      <c r="B57" s="2" t="str">
        <f>IF('1.1 Produksi Bersih Padi 2025'!B57="","",'1.1 Produksi Bersih Padi 2025'!B57)</f>
        <v/>
      </c>
      <c r="C57" s="2" t="str">
        <f>IF('1.1 Produksi Bersih Padi 2025'!C57="","",'1.1 Produksi Bersih Padi 2025'!C57)</f>
        <v/>
      </c>
      <c r="D57" s="3" t="str">
        <f>IF('1.1 Produksi Bersih Padi 2025'!D57="","",'1.1 Produksi Bersih Padi 2025'!D57)</f>
        <v/>
      </c>
      <c r="E57" s="3" t="str">
        <f>IF('1.1 Produksi Bersih Padi 2025'!E57="","",'1.1 Produksi Bersih Padi 2025'!E57)</f>
        <v/>
      </c>
      <c r="F57" s="28" t="str">
        <f>IF(D57="","",VLOOKUP(D57,'[1]0.1 Produksi Pangan &amp; Penduduk'!$D$5:$S$860,16,0))</f>
        <v/>
      </c>
      <c r="G57" s="28" t="str">
        <f t="shared" si="0"/>
        <v/>
      </c>
      <c r="H57" s="29" t="str">
        <f t="shared" si="1"/>
        <v/>
      </c>
      <c r="I57" s="29" t="str">
        <f t="shared" si="2"/>
        <v/>
      </c>
      <c r="J57" s="29" t="str">
        <f t="shared" si="3"/>
        <v/>
      </c>
      <c r="K57" s="29" t="str">
        <f t="shared" si="4"/>
        <v/>
      </c>
      <c r="L57" s="29" t="str">
        <f t="shared" si="5"/>
        <v/>
      </c>
      <c r="N57" s="11"/>
    </row>
    <row r="58" spans="1:14" ht="15" x14ac:dyDescent="0.25">
      <c r="A58" s="1" t="str">
        <f>IF('1.1 Produksi Bersih Padi 2025'!A58="","",'1.1 Produksi Bersih Padi 2025'!A58)</f>
        <v/>
      </c>
      <c r="B58" s="2" t="str">
        <f>IF('1.1 Produksi Bersih Padi 2025'!B58="","",'1.1 Produksi Bersih Padi 2025'!B58)</f>
        <v/>
      </c>
      <c r="C58" s="2" t="str">
        <f>IF('1.1 Produksi Bersih Padi 2025'!C58="","",'1.1 Produksi Bersih Padi 2025'!C58)</f>
        <v/>
      </c>
      <c r="D58" s="3" t="str">
        <f>IF('1.1 Produksi Bersih Padi 2025'!D58="","",'1.1 Produksi Bersih Padi 2025'!D58)</f>
        <v/>
      </c>
      <c r="E58" s="3" t="str">
        <f>IF('1.1 Produksi Bersih Padi 2025'!E58="","",'1.1 Produksi Bersih Padi 2025'!E58)</f>
        <v/>
      </c>
      <c r="F58" s="28" t="str">
        <f>IF(D58="","",VLOOKUP(D58,'[1]0.1 Produksi Pangan &amp; Penduduk'!$D$5:$S$860,16,0))</f>
        <v/>
      </c>
      <c r="G58" s="28" t="str">
        <f t="shared" si="0"/>
        <v/>
      </c>
      <c r="H58" s="29" t="str">
        <f t="shared" si="1"/>
        <v/>
      </c>
      <c r="I58" s="29" t="str">
        <f t="shared" si="2"/>
        <v/>
      </c>
      <c r="J58" s="29" t="str">
        <f t="shared" si="3"/>
        <v/>
      </c>
      <c r="K58" s="29" t="str">
        <f t="shared" si="4"/>
        <v/>
      </c>
      <c r="L58" s="29" t="str">
        <f t="shared" si="5"/>
        <v/>
      </c>
      <c r="N58" s="11"/>
    </row>
    <row r="59" spans="1:14" ht="15" x14ac:dyDescent="0.25">
      <c r="A59" s="1" t="str">
        <f>IF('1.1 Produksi Bersih Padi 2025'!A59="","",'1.1 Produksi Bersih Padi 2025'!A59)</f>
        <v/>
      </c>
      <c r="B59" s="2" t="str">
        <f>IF('1.1 Produksi Bersih Padi 2025'!B59="","",'1.1 Produksi Bersih Padi 2025'!B59)</f>
        <v/>
      </c>
      <c r="C59" s="2" t="str">
        <f>IF('1.1 Produksi Bersih Padi 2025'!C59="","",'1.1 Produksi Bersih Padi 2025'!C59)</f>
        <v/>
      </c>
      <c r="D59" s="3" t="str">
        <f>IF('1.1 Produksi Bersih Padi 2025'!D59="","",'1.1 Produksi Bersih Padi 2025'!D59)</f>
        <v/>
      </c>
      <c r="E59" s="3" t="str">
        <f>IF('1.1 Produksi Bersih Padi 2025'!E59="","",'1.1 Produksi Bersih Padi 2025'!E59)</f>
        <v/>
      </c>
      <c r="F59" s="28" t="str">
        <f>IF(D59="","",VLOOKUP(D59,'[1]0.1 Produksi Pangan &amp; Penduduk'!$D$5:$S$860,16,0))</f>
        <v/>
      </c>
      <c r="G59" s="28" t="str">
        <f t="shared" si="0"/>
        <v/>
      </c>
      <c r="H59" s="29" t="str">
        <f t="shared" si="1"/>
        <v/>
      </c>
      <c r="I59" s="29" t="str">
        <f t="shared" si="2"/>
        <v/>
      </c>
      <c r="J59" s="29" t="str">
        <f t="shared" si="3"/>
        <v/>
      </c>
      <c r="K59" s="29" t="str">
        <f t="shared" si="4"/>
        <v/>
      </c>
      <c r="L59" s="29" t="str">
        <f t="shared" si="5"/>
        <v/>
      </c>
      <c r="N59" s="11"/>
    </row>
    <row r="60" spans="1:14" ht="15" x14ac:dyDescent="0.25">
      <c r="A60" s="1" t="str">
        <f>IF('1.1 Produksi Bersih Padi 2025'!A60="","",'1.1 Produksi Bersih Padi 2025'!A60)</f>
        <v/>
      </c>
      <c r="B60" s="2" t="str">
        <f>IF('1.1 Produksi Bersih Padi 2025'!B60="","",'1.1 Produksi Bersih Padi 2025'!B60)</f>
        <v/>
      </c>
      <c r="C60" s="2" t="str">
        <f>IF('1.1 Produksi Bersih Padi 2025'!C60="","",'1.1 Produksi Bersih Padi 2025'!C60)</f>
        <v/>
      </c>
      <c r="D60" s="3" t="str">
        <f>IF('1.1 Produksi Bersih Padi 2025'!D60="","",'1.1 Produksi Bersih Padi 2025'!D60)</f>
        <v/>
      </c>
      <c r="E60" s="3" t="str">
        <f>IF('1.1 Produksi Bersih Padi 2025'!E60="","",'1.1 Produksi Bersih Padi 2025'!E60)</f>
        <v/>
      </c>
      <c r="F60" s="28" t="str">
        <f>IF(D60="","",VLOOKUP(D60,'[1]0.1 Produksi Pangan &amp; Penduduk'!$D$5:$S$860,16,0))</f>
        <v/>
      </c>
      <c r="G60" s="28" t="str">
        <f t="shared" si="0"/>
        <v/>
      </c>
      <c r="H60" s="29" t="str">
        <f t="shared" si="1"/>
        <v/>
      </c>
      <c r="I60" s="29" t="str">
        <f t="shared" si="2"/>
        <v/>
      </c>
      <c r="J60" s="29" t="str">
        <f t="shared" si="3"/>
        <v/>
      </c>
      <c r="K60" s="29" t="str">
        <f t="shared" si="4"/>
        <v/>
      </c>
      <c r="L60" s="29" t="str">
        <f t="shared" si="5"/>
        <v/>
      </c>
      <c r="N60" s="11"/>
    </row>
    <row r="61" spans="1:14" ht="15" x14ac:dyDescent="0.25">
      <c r="A61" s="1" t="str">
        <f>IF('1.1 Produksi Bersih Padi 2025'!A61="","",'1.1 Produksi Bersih Padi 2025'!A61)</f>
        <v/>
      </c>
      <c r="B61" s="2" t="str">
        <f>IF('1.1 Produksi Bersih Padi 2025'!B61="","",'1.1 Produksi Bersih Padi 2025'!B61)</f>
        <v/>
      </c>
      <c r="C61" s="2" t="str">
        <f>IF('1.1 Produksi Bersih Padi 2025'!C61="","",'1.1 Produksi Bersih Padi 2025'!C61)</f>
        <v/>
      </c>
      <c r="D61" s="3" t="str">
        <f>IF('1.1 Produksi Bersih Padi 2025'!D61="","",'1.1 Produksi Bersih Padi 2025'!D61)</f>
        <v/>
      </c>
      <c r="E61" s="3" t="str">
        <f>IF('1.1 Produksi Bersih Padi 2025'!E61="","",'1.1 Produksi Bersih Padi 2025'!E61)</f>
        <v/>
      </c>
      <c r="F61" s="28" t="str">
        <f>IF(D61="","",VLOOKUP(D61,'[1]0.1 Produksi Pangan &amp; Penduduk'!$D$5:$S$860,16,0))</f>
        <v/>
      </c>
      <c r="G61" s="28" t="str">
        <f t="shared" si="0"/>
        <v/>
      </c>
      <c r="H61" s="29" t="str">
        <f t="shared" si="1"/>
        <v/>
      </c>
      <c r="I61" s="29" t="str">
        <f t="shared" si="2"/>
        <v/>
      </c>
      <c r="J61" s="29" t="str">
        <f t="shared" si="3"/>
        <v/>
      </c>
      <c r="K61" s="29" t="str">
        <f t="shared" si="4"/>
        <v/>
      </c>
      <c r="L61" s="29" t="str">
        <f t="shared" si="5"/>
        <v/>
      </c>
      <c r="N61" s="11"/>
    </row>
    <row r="62" spans="1:14" ht="15" x14ac:dyDescent="0.25">
      <c r="A62" s="1" t="str">
        <f>IF('1.1 Produksi Bersih Padi 2025'!A62="","",'1.1 Produksi Bersih Padi 2025'!A62)</f>
        <v/>
      </c>
      <c r="B62" s="2" t="str">
        <f>IF('1.1 Produksi Bersih Padi 2025'!B62="","",'1.1 Produksi Bersih Padi 2025'!B62)</f>
        <v/>
      </c>
      <c r="C62" s="2" t="str">
        <f>IF('1.1 Produksi Bersih Padi 2025'!C62="","",'1.1 Produksi Bersih Padi 2025'!C62)</f>
        <v/>
      </c>
      <c r="D62" s="3" t="str">
        <f>IF('1.1 Produksi Bersih Padi 2025'!D62="","",'1.1 Produksi Bersih Padi 2025'!D62)</f>
        <v/>
      </c>
      <c r="E62" s="3" t="str">
        <f>IF('1.1 Produksi Bersih Padi 2025'!E62="","",'1.1 Produksi Bersih Padi 2025'!E62)</f>
        <v/>
      </c>
      <c r="F62" s="28" t="str">
        <f>IF(D62="","",VLOOKUP(D62,'[1]0.1 Produksi Pangan &amp; Penduduk'!$D$5:$S$860,16,0))</f>
        <v/>
      </c>
      <c r="G62" s="28" t="str">
        <f t="shared" si="0"/>
        <v/>
      </c>
      <c r="H62" s="29" t="str">
        <f t="shared" si="1"/>
        <v/>
      </c>
      <c r="I62" s="29" t="str">
        <f t="shared" si="2"/>
        <v/>
      </c>
      <c r="J62" s="29" t="str">
        <f t="shared" si="3"/>
        <v/>
      </c>
      <c r="K62" s="29" t="str">
        <f t="shared" si="4"/>
        <v/>
      </c>
      <c r="L62" s="29" t="str">
        <f t="shared" si="5"/>
        <v/>
      </c>
      <c r="N62" s="11"/>
    </row>
    <row r="63" spans="1:14" ht="15" x14ac:dyDescent="0.25">
      <c r="A63" s="1" t="str">
        <f>IF('1.1 Produksi Bersih Padi 2025'!A63="","",'1.1 Produksi Bersih Padi 2025'!A63)</f>
        <v/>
      </c>
      <c r="B63" s="2" t="str">
        <f>IF('1.1 Produksi Bersih Padi 2025'!B63="","",'1.1 Produksi Bersih Padi 2025'!B63)</f>
        <v/>
      </c>
      <c r="C63" s="2" t="str">
        <f>IF('1.1 Produksi Bersih Padi 2025'!C63="","",'1.1 Produksi Bersih Padi 2025'!C63)</f>
        <v/>
      </c>
      <c r="D63" s="3" t="str">
        <f>IF('1.1 Produksi Bersih Padi 2025'!D63="","",'1.1 Produksi Bersih Padi 2025'!D63)</f>
        <v/>
      </c>
      <c r="E63" s="3" t="str">
        <f>IF('1.1 Produksi Bersih Padi 2025'!E63="","",'1.1 Produksi Bersih Padi 2025'!E63)</f>
        <v/>
      </c>
      <c r="F63" s="28" t="str">
        <f>IF(D63="","",VLOOKUP(D63,'[1]0.1 Produksi Pangan &amp; Penduduk'!$D$5:$S$860,16,0))</f>
        <v/>
      </c>
      <c r="G63" s="28" t="str">
        <f t="shared" si="0"/>
        <v/>
      </c>
      <c r="H63" s="29" t="str">
        <f t="shared" si="1"/>
        <v/>
      </c>
      <c r="I63" s="29" t="str">
        <f t="shared" si="2"/>
        <v/>
      </c>
      <c r="J63" s="29" t="str">
        <f t="shared" si="3"/>
        <v/>
      </c>
      <c r="K63" s="29" t="str">
        <f t="shared" si="4"/>
        <v/>
      </c>
      <c r="L63" s="29" t="str">
        <f t="shared" si="5"/>
        <v/>
      </c>
      <c r="N63" s="11"/>
    </row>
    <row r="64" spans="1:14" ht="15" x14ac:dyDescent="0.25">
      <c r="A64" s="1" t="str">
        <f>IF('1.1 Produksi Bersih Padi 2025'!A64="","",'1.1 Produksi Bersih Padi 2025'!A64)</f>
        <v/>
      </c>
      <c r="B64" s="2" t="str">
        <f>IF('1.1 Produksi Bersih Padi 2025'!B64="","",'1.1 Produksi Bersih Padi 2025'!B64)</f>
        <v/>
      </c>
      <c r="C64" s="2" t="str">
        <f>IF('1.1 Produksi Bersih Padi 2025'!C64="","",'1.1 Produksi Bersih Padi 2025'!C64)</f>
        <v/>
      </c>
      <c r="D64" s="3" t="str">
        <f>IF('1.1 Produksi Bersih Padi 2025'!D64="","",'1.1 Produksi Bersih Padi 2025'!D64)</f>
        <v/>
      </c>
      <c r="E64" s="3" t="str">
        <f>IF('1.1 Produksi Bersih Padi 2025'!E64="","",'1.1 Produksi Bersih Padi 2025'!E64)</f>
        <v/>
      </c>
      <c r="F64" s="28" t="str">
        <f>IF(D64="","",VLOOKUP(D64,'[1]0.1 Produksi Pangan &amp; Penduduk'!$D$5:$S$860,16,0))</f>
        <v/>
      </c>
      <c r="G64" s="28" t="str">
        <f t="shared" si="0"/>
        <v/>
      </c>
      <c r="H64" s="29" t="str">
        <f t="shared" si="1"/>
        <v/>
      </c>
      <c r="I64" s="29" t="str">
        <f t="shared" si="2"/>
        <v/>
      </c>
      <c r="J64" s="29" t="str">
        <f t="shared" si="3"/>
        <v/>
      </c>
      <c r="K64" s="29" t="str">
        <f t="shared" si="4"/>
        <v/>
      </c>
      <c r="L64" s="29" t="str">
        <f t="shared" si="5"/>
        <v/>
      </c>
      <c r="N64" s="11"/>
    </row>
    <row r="65" spans="1:14" ht="15" x14ac:dyDescent="0.25">
      <c r="A65" s="1" t="str">
        <f>IF('1.1 Produksi Bersih Padi 2025'!A65="","",'1.1 Produksi Bersih Padi 2025'!A65)</f>
        <v/>
      </c>
      <c r="B65" s="2" t="str">
        <f>IF('1.1 Produksi Bersih Padi 2025'!B65="","",'1.1 Produksi Bersih Padi 2025'!B65)</f>
        <v/>
      </c>
      <c r="C65" s="2" t="str">
        <f>IF('1.1 Produksi Bersih Padi 2025'!C65="","",'1.1 Produksi Bersih Padi 2025'!C65)</f>
        <v/>
      </c>
      <c r="D65" s="3" t="str">
        <f>IF('1.1 Produksi Bersih Padi 2025'!D65="","",'1.1 Produksi Bersih Padi 2025'!D65)</f>
        <v/>
      </c>
      <c r="E65" s="3" t="str">
        <f>IF('1.1 Produksi Bersih Padi 2025'!E65="","",'1.1 Produksi Bersih Padi 2025'!E65)</f>
        <v/>
      </c>
      <c r="F65" s="28" t="str">
        <f>IF(D65="","",VLOOKUP(D65,'[1]0.1 Produksi Pangan &amp; Penduduk'!$D$5:$S$860,16,0))</f>
        <v/>
      </c>
      <c r="G65" s="28" t="str">
        <f t="shared" si="0"/>
        <v/>
      </c>
      <c r="H65" s="29" t="str">
        <f t="shared" si="1"/>
        <v/>
      </c>
      <c r="I65" s="29" t="str">
        <f t="shared" si="2"/>
        <v/>
      </c>
      <c r="J65" s="29" t="str">
        <f t="shared" si="3"/>
        <v/>
      </c>
      <c r="K65" s="29" t="str">
        <f t="shared" si="4"/>
        <v/>
      </c>
      <c r="L65" s="29" t="str">
        <f t="shared" si="5"/>
        <v/>
      </c>
      <c r="N65" s="11"/>
    </row>
    <row r="66" spans="1:14" ht="15" x14ac:dyDescent="0.25">
      <c r="A66" s="1" t="str">
        <f>IF('1.1 Produksi Bersih Padi 2025'!A66="","",'1.1 Produksi Bersih Padi 2025'!A66)</f>
        <v/>
      </c>
      <c r="B66" s="2" t="str">
        <f>IF('1.1 Produksi Bersih Padi 2025'!B66="","",'1.1 Produksi Bersih Padi 2025'!B66)</f>
        <v/>
      </c>
      <c r="C66" s="2" t="str">
        <f>IF('1.1 Produksi Bersih Padi 2025'!C66="","",'1.1 Produksi Bersih Padi 2025'!C66)</f>
        <v/>
      </c>
      <c r="D66" s="3" t="str">
        <f>IF('1.1 Produksi Bersih Padi 2025'!D66="","",'1.1 Produksi Bersih Padi 2025'!D66)</f>
        <v/>
      </c>
      <c r="E66" s="3" t="str">
        <f>IF('1.1 Produksi Bersih Padi 2025'!E66="","",'1.1 Produksi Bersih Padi 2025'!E66)</f>
        <v/>
      </c>
      <c r="F66" s="28" t="str">
        <f>IF(D66="","",VLOOKUP(D66,'[1]0.1 Produksi Pangan &amp; Penduduk'!$D$5:$S$860,16,0))</f>
        <v/>
      </c>
      <c r="G66" s="28" t="str">
        <f t="shared" si="0"/>
        <v/>
      </c>
      <c r="H66" s="29" t="str">
        <f t="shared" si="1"/>
        <v/>
      </c>
      <c r="I66" s="29" t="str">
        <f t="shared" si="2"/>
        <v/>
      </c>
      <c r="J66" s="29" t="str">
        <f t="shared" si="3"/>
        <v/>
      </c>
      <c r="K66" s="29" t="str">
        <f t="shared" si="4"/>
        <v/>
      </c>
      <c r="L66" s="29" t="str">
        <f t="shared" si="5"/>
        <v/>
      </c>
      <c r="N66" s="11"/>
    </row>
    <row r="67" spans="1:14" ht="15" x14ac:dyDescent="0.25">
      <c r="A67" s="1" t="str">
        <f>IF('1.1 Produksi Bersih Padi 2025'!A67="","",'1.1 Produksi Bersih Padi 2025'!A67)</f>
        <v/>
      </c>
      <c r="B67" s="2" t="str">
        <f>IF('1.1 Produksi Bersih Padi 2025'!B67="","",'1.1 Produksi Bersih Padi 2025'!B67)</f>
        <v/>
      </c>
      <c r="C67" s="2" t="str">
        <f>IF('1.1 Produksi Bersih Padi 2025'!C67="","",'1.1 Produksi Bersih Padi 2025'!C67)</f>
        <v/>
      </c>
      <c r="D67" s="3" t="str">
        <f>IF('1.1 Produksi Bersih Padi 2025'!D67="","",'1.1 Produksi Bersih Padi 2025'!D67)</f>
        <v/>
      </c>
      <c r="E67" s="3" t="str">
        <f>IF('1.1 Produksi Bersih Padi 2025'!E67="","",'1.1 Produksi Bersih Padi 2025'!E67)</f>
        <v/>
      </c>
      <c r="F67" s="28" t="str">
        <f>IF(D67="","",VLOOKUP(D67,'[1]0.1 Produksi Pangan &amp; Penduduk'!$D$5:$S$860,16,0))</f>
        <v/>
      </c>
      <c r="G67" s="28" t="str">
        <f t="shared" si="0"/>
        <v/>
      </c>
      <c r="H67" s="29" t="str">
        <f t="shared" si="1"/>
        <v/>
      </c>
      <c r="I67" s="29" t="str">
        <f t="shared" si="2"/>
        <v/>
      </c>
      <c r="J67" s="29" t="str">
        <f t="shared" si="3"/>
        <v/>
      </c>
      <c r="K67" s="29" t="str">
        <f t="shared" si="4"/>
        <v/>
      </c>
      <c r="L67" s="29" t="str">
        <f t="shared" si="5"/>
        <v/>
      </c>
      <c r="N67" s="11"/>
    </row>
    <row r="68" spans="1:14" ht="15" x14ac:dyDescent="0.25">
      <c r="A68" s="1" t="str">
        <f>IF('1.1 Produksi Bersih Padi 2025'!A68="","",'1.1 Produksi Bersih Padi 2025'!A68)</f>
        <v/>
      </c>
      <c r="B68" s="2" t="str">
        <f>IF('1.1 Produksi Bersih Padi 2025'!B68="","",'1.1 Produksi Bersih Padi 2025'!B68)</f>
        <v/>
      </c>
      <c r="C68" s="2" t="str">
        <f>IF('1.1 Produksi Bersih Padi 2025'!C68="","",'1.1 Produksi Bersih Padi 2025'!C68)</f>
        <v/>
      </c>
      <c r="D68" s="3" t="str">
        <f>IF('1.1 Produksi Bersih Padi 2025'!D68="","",'1.1 Produksi Bersih Padi 2025'!D68)</f>
        <v/>
      </c>
      <c r="E68" s="3" t="str">
        <f>IF('1.1 Produksi Bersih Padi 2025'!E68="","",'1.1 Produksi Bersih Padi 2025'!E68)</f>
        <v/>
      </c>
      <c r="F68" s="28" t="str">
        <f>IF(D68="","",VLOOKUP(D68,'[1]0.1 Produksi Pangan &amp; Penduduk'!$D$5:$S$860,16,0))</f>
        <v/>
      </c>
      <c r="G68" s="28" t="str">
        <f t="shared" si="0"/>
        <v/>
      </c>
      <c r="H68" s="29" t="str">
        <f t="shared" si="1"/>
        <v/>
      </c>
      <c r="I68" s="29" t="str">
        <f t="shared" si="2"/>
        <v/>
      </c>
      <c r="J68" s="29" t="str">
        <f t="shared" si="3"/>
        <v/>
      </c>
      <c r="K68" s="29" t="str">
        <f t="shared" si="4"/>
        <v/>
      </c>
      <c r="L68" s="29" t="str">
        <f t="shared" si="5"/>
        <v/>
      </c>
      <c r="N68" s="11"/>
    </row>
    <row r="69" spans="1:14" ht="15" x14ac:dyDescent="0.25">
      <c r="A69" s="1" t="str">
        <f>IF('1.1 Produksi Bersih Padi 2025'!A69="","",'1.1 Produksi Bersih Padi 2025'!A69)</f>
        <v/>
      </c>
      <c r="B69" s="2" t="str">
        <f>IF('1.1 Produksi Bersih Padi 2025'!B69="","",'1.1 Produksi Bersih Padi 2025'!B69)</f>
        <v/>
      </c>
      <c r="C69" s="2" t="str">
        <f>IF('1.1 Produksi Bersih Padi 2025'!C69="","",'1.1 Produksi Bersih Padi 2025'!C69)</f>
        <v/>
      </c>
      <c r="D69" s="3" t="str">
        <f>IF('1.1 Produksi Bersih Padi 2025'!D69="","",'1.1 Produksi Bersih Padi 2025'!D69)</f>
        <v/>
      </c>
      <c r="E69" s="3" t="str">
        <f>IF('1.1 Produksi Bersih Padi 2025'!E69="","",'1.1 Produksi Bersih Padi 2025'!E69)</f>
        <v/>
      </c>
      <c r="F69" s="28" t="str">
        <f>IF(D69="","",VLOOKUP(D69,'[1]0.1 Produksi Pangan &amp; Penduduk'!$D$5:$S$860,16,0))</f>
        <v/>
      </c>
      <c r="G69" s="28" t="str">
        <f t="shared" si="0"/>
        <v/>
      </c>
      <c r="H69" s="29" t="str">
        <f t="shared" si="1"/>
        <v/>
      </c>
      <c r="I69" s="29" t="str">
        <f t="shared" si="2"/>
        <v/>
      </c>
      <c r="J69" s="29" t="str">
        <f t="shared" si="3"/>
        <v/>
      </c>
      <c r="K69" s="29" t="str">
        <f t="shared" si="4"/>
        <v/>
      </c>
      <c r="L69" s="29" t="str">
        <f t="shared" si="5"/>
        <v/>
      </c>
      <c r="N69" s="11"/>
    </row>
    <row r="70" spans="1:14" ht="15" x14ac:dyDescent="0.25">
      <c r="A70" s="1" t="str">
        <f>IF('1.1 Produksi Bersih Padi 2025'!A70="","",'1.1 Produksi Bersih Padi 2025'!A70)</f>
        <v/>
      </c>
      <c r="B70" s="2" t="str">
        <f>IF('1.1 Produksi Bersih Padi 2025'!B70="","",'1.1 Produksi Bersih Padi 2025'!B70)</f>
        <v/>
      </c>
      <c r="C70" s="2" t="str">
        <f>IF('1.1 Produksi Bersih Padi 2025'!C70="","",'1.1 Produksi Bersih Padi 2025'!C70)</f>
        <v/>
      </c>
      <c r="D70" s="3" t="str">
        <f>IF('1.1 Produksi Bersih Padi 2025'!D70="","",'1.1 Produksi Bersih Padi 2025'!D70)</f>
        <v/>
      </c>
      <c r="E70" s="3" t="str">
        <f>IF('1.1 Produksi Bersih Padi 2025'!E70="","",'1.1 Produksi Bersih Padi 2025'!E70)</f>
        <v/>
      </c>
      <c r="F70" s="28" t="str">
        <f>IF(D70="","",VLOOKUP(D70,'[1]0.1 Produksi Pangan &amp; Penduduk'!$D$5:$S$860,16,0))</f>
        <v/>
      </c>
      <c r="G70" s="28" t="str">
        <f t="shared" ref="G70:G133" si="6">IF(F70="","",F70*73.9252%)</f>
        <v/>
      </c>
      <c r="H70" s="29" t="str">
        <f t="shared" ref="H70:H133" si="7">IF(G70="","",G70*0.345%)</f>
        <v/>
      </c>
      <c r="I70" s="29" t="str">
        <f t="shared" ref="I70:I133" si="8">IF(G70="","",G70*78.806%)</f>
        <v/>
      </c>
      <c r="J70" s="29" t="str">
        <f t="shared" ref="J70:J133" si="9">IF(G70="","",G70*4.62%)</f>
        <v/>
      </c>
      <c r="K70" s="29" t="str">
        <f t="shared" ref="K70:K133" si="10">IF(G70="","",G70-(H70+I70+J70))</f>
        <v/>
      </c>
      <c r="L70" s="29" t="str">
        <f t="shared" ref="L70:L133" si="11">IF(K70="","",K70*1.017)</f>
        <v/>
      </c>
      <c r="N70" s="11"/>
    </row>
    <row r="71" spans="1:14" ht="15" x14ac:dyDescent="0.25">
      <c r="A71" s="1" t="str">
        <f>IF('1.1 Produksi Bersih Padi 2025'!A71="","",'1.1 Produksi Bersih Padi 2025'!A71)</f>
        <v/>
      </c>
      <c r="B71" s="2" t="str">
        <f>IF('1.1 Produksi Bersih Padi 2025'!B71="","",'1.1 Produksi Bersih Padi 2025'!B71)</f>
        <v/>
      </c>
      <c r="C71" s="2" t="str">
        <f>IF('1.1 Produksi Bersih Padi 2025'!C71="","",'1.1 Produksi Bersih Padi 2025'!C71)</f>
        <v/>
      </c>
      <c r="D71" s="3" t="str">
        <f>IF('1.1 Produksi Bersih Padi 2025'!D71="","",'1.1 Produksi Bersih Padi 2025'!D71)</f>
        <v/>
      </c>
      <c r="E71" s="3" t="str">
        <f>IF('1.1 Produksi Bersih Padi 2025'!E71="","",'1.1 Produksi Bersih Padi 2025'!E71)</f>
        <v/>
      </c>
      <c r="F71" s="28" t="str">
        <f>IF(D71="","",VLOOKUP(D71,'[1]0.1 Produksi Pangan &amp; Penduduk'!$D$5:$S$860,16,0))</f>
        <v/>
      </c>
      <c r="G71" s="28" t="str">
        <f t="shared" si="6"/>
        <v/>
      </c>
      <c r="H71" s="29" t="str">
        <f t="shared" si="7"/>
        <v/>
      </c>
      <c r="I71" s="29" t="str">
        <f t="shared" si="8"/>
        <v/>
      </c>
      <c r="J71" s="29" t="str">
        <f t="shared" si="9"/>
        <v/>
      </c>
      <c r="K71" s="29" t="str">
        <f t="shared" si="10"/>
        <v/>
      </c>
      <c r="L71" s="29" t="str">
        <f t="shared" si="11"/>
        <v/>
      </c>
      <c r="N71" s="11"/>
    </row>
    <row r="72" spans="1:14" ht="15" x14ac:dyDescent="0.25">
      <c r="A72" s="1" t="str">
        <f>IF('1.1 Produksi Bersih Padi 2025'!A72="","",'1.1 Produksi Bersih Padi 2025'!A72)</f>
        <v/>
      </c>
      <c r="B72" s="2" t="str">
        <f>IF('1.1 Produksi Bersih Padi 2025'!B72="","",'1.1 Produksi Bersih Padi 2025'!B72)</f>
        <v/>
      </c>
      <c r="C72" s="2" t="str">
        <f>IF('1.1 Produksi Bersih Padi 2025'!C72="","",'1.1 Produksi Bersih Padi 2025'!C72)</f>
        <v/>
      </c>
      <c r="D72" s="3" t="str">
        <f>IF('1.1 Produksi Bersih Padi 2025'!D72="","",'1.1 Produksi Bersih Padi 2025'!D72)</f>
        <v/>
      </c>
      <c r="E72" s="3" t="str">
        <f>IF('1.1 Produksi Bersih Padi 2025'!E72="","",'1.1 Produksi Bersih Padi 2025'!E72)</f>
        <v/>
      </c>
      <c r="F72" s="28" t="str">
        <f>IF(D72="","",VLOOKUP(D72,'[1]0.1 Produksi Pangan &amp; Penduduk'!$D$5:$S$860,16,0))</f>
        <v/>
      </c>
      <c r="G72" s="28" t="str">
        <f t="shared" si="6"/>
        <v/>
      </c>
      <c r="H72" s="29" t="str">
        <f t="shared" si="7"/>
        <v/>
      </c>
      <c r="I72" s="29" t="str">
        <f t="shared" si="8"/>
        <v/>
      </c>
      <c r="J72" s="29" t="str">
        <f t="shared" si="9"/>
        <v/>
      </c>
      <c r="K72" s="29" t="str">
        <f t="shared" si="10"/>
        <v/>
      </c>
      <c r="L72" s="29" t="str">
        <f t="shared" si="11"/>
        <v/>
      </c>
      <c r="N72" s="11"/>
    </row>
    <row r="73" spans="1:14" ht="15" x14ac:dyDescent="0.25">
      <c r="A73" s="1" t="str">
        <f>IF('1.1 Produksi Bersih Padi 2025'!A73="","",'1.1 Produksi Bersih Padi 2025'!A73)</f>
        <v/>
      </c>
      <c r="B73" s="2" t="str">
        <f>IF('1.1 Produksi Bersih Padi 2025'!B73="","",'1.1 Produksi Bersih Padi 2025'!B73)</f>
        <v/>
      </c>
      <c r="C73" s="2" t="str">
        <f>IF('1.1 Produksi Bersih Padi 2025'!C73="","",'1.1 Produksi Bersih Padi 2025'!C73)</f>
        <v/>
      </c>
      <c r="D73" s="3" t="str">
        <f>IF('1.1 Produksi Bersih Padi 2025'!D73="","",'1.1 Produksi Bersih Padi 2025'!D73)</f>
        <v/>
      </c>
      <c r="E73" s="3" t="str">
        <f>IF('1.1 Produksi Bersih Padi 2025'!E73="","",'1.1 Produksi Bersih Padi 2025'!E73)</f>
        <v/>
      </c>
      <c r="F73" s="28" t="str">
        <f>IF(D73="","",VLOOKUP(D73,'[1]0.1 Produksi Pangan &amp; Penduduk'!$D$5:$S$860,16,0))</f>
        <v/>
      </c>
      <c r="G73" s="28" t="str">
        <f t="shared" si="6"/>
        <v/>
      </c>
      <c r="H73" s="29" t="str">
        <f t="shared" si="7"/>
        <v/>
      </c>
      <c r="I73" s="29" t="str">
        <f t="shared" si="8"/>
        <v/>
      </c>
      <c r="J73" s="29" t="str">
        <f t="shared" si="9"/>
        <v/>
      </c>
      <c r="K73" s="29" t="str">
        <f t="shared" si="10"/>
        <v/>
      </c>
      <c r="L73" s="29" t="str">
        <f t="shared" si="11"/>
        <v/>
      </c>
      <c r="N73" s="11"/>
    </row>
    <row r="74" spans="1:14" ht="15" x14ac:dyDescent="0.25">
      <c r="A74" s="1" t="str">
        <f>IF('1.1 Produksi Bersih Padi 2025'!A74="","",'1.1 Produksi Bersih Padi 2025'!A74)</f>
        <v/>
      </c>
      <c r="B74" s="2" t="str">
        <f>IF('1.1 Produksi Bersih Padi 2025'!B74="","",'1.1 Produksi Bersih Padi 2025'!B74)</f>
        <v/>
      </c>
      <c r="C74" s="2" t="str">
        <f>IF('1.1 Produksi Bersih Padi 2025'!C74="","",'1.1 Produksi Bersih Padi 2025'!C74)</f>
        <v/>
      </c>
      <c r="D74" s="3" t="str">
        <f>IF('1.1 Produksi Bersih Padi 2025'!D74="","",'1.1 Produksi Bersih Padi 2025'!D74)</f>
        <v/>
      </c>
      <c r="E74" s="3" t="str">
        <f>IF('1.1 Produksi Bersih Padi 2025'!E74="","",'1.1 Produksi Bersih Padi 2025'!E74)</f>
        <v/>
      </c>
      <c r="F74" s="28" t="str">
        <f>IF(D74="","",VLOOKUP(D74,'[1]0.1 Produksi Pangan &amp; Penduduk'!$D$5:$S$860,16,0))</f>
        <v/>
      </c>
      <c r="G74" s="28" t="str">
        <f t="shared" si="6"/>
        <v/>
      </c>
      <c r="H74" s="29" t="str">
        <f t="shared" si="7"/>
        <v/>
      </c>
      <c r="I74" s="29" t="str">
        <f t="shared" si="8"/>
        <v/>
      </c>
      <c r="J74" s="29" t="str">
        <f t="shared" si="9"/>
        <v/>
      </c>
      <c r="K74" s="29" t="str">
        <f t="shared" si="10"/>
        <v/>
      </c>
      <c r="L74" s="29" t="str">
        <f t="shared" si="11"/>
        <v/>
      </c>
      <c r="N74" s="11"/>
    </row>
    <row r="75" spans="1:14" ht="15" x14ac:dyDescent="0.25">
      <c r="A75" s="1" t="str">
        <f>IF('1.1 Produksi Bersih Padi 2025'!A75="","",'1.1 Produksi Bersih Padi 2025'!A75)</f>
        <v/>
      </c>
      <c r="B75" s="2" t="str">
        <f>IF('1.1 Produksi Bersih Padi 2025'!B75="","",'1.1 Produksi Bersih Padi 2025'!B75)</f>
        <v/>
      </c>
      <c r="C75" s="2" t="str">
        <f>IF('1.1 Produksi Bersih Padi 2025'!C75="","",'1.1 Produksi Bersih Padi 2025'!C75)</f>
        <v/>
      </c>
      <c r="D75" s="3" t="str">
        <f>IF('1.1 Produksi Bersih Padi 2025'!D75="","",'1.1 Produksi Bersih Padi 2025'!D75)</f>
        <v/>
      </c>
      <c r="E75" s="3" t="str">
        <f>IF('1.1 Produksi Bersih Padi 2025'!E75="","",'1.1 Produksi Bersih Padi 2025'!E75)</f>
        <v/>
      </c>
      <c r="F75" s="28" t="str">
        <f>IF(D75="","",VLOOKUP(D75,'[1]0.1 Produksi Pangan &amp; Penduduk'!$D$5:$S$860,16,0))</f>
        <v/>
      </c>
      <c r="G75" s="28" t="str">
        <f t="shared" si="6"/>
        <v/>
      </c>
      <c r="H75" s="29" t="str">
        <f t="shared" si="7"/>
        <v/>
      </c>
      <c r="I75" s="29" t="str">
        <f t="shared" si="8"/>
        <v/>
      </c>
      <c r="J75" s="29" t="str">
        <f t="shared" si="9"/>
        <v/>
      </c>
      <c r="K75" s="29" t="str">
        <f t="shared" si="10"/>
        <v/>
      </c>
      <c r="L75" s="29" t="str">
        <f t="shared" si="11"/>
        <v/>
      </c>
      <c r="N75" s="11"/>
    </row>
    <row r="76" spans="1:14" ht="15" x14ac:dyDescent="0.25">
      <c r="A76" s="1" t="str">
        <f>IF('1.1 Produksi Bersih Padi 2025'!A76="","",'1.1 Produksi Bersih Padi 2025'!A76)</f>
        <v/>
      </c>
      <c r="B76" s="2" t="str">
        <f>IF('1.1 Produksi Bersih Padi 2025'!B76="","",'1.1 Produksi Bersih Padi 2025'!B76)</f>
        <v/>
      </c>
      <c r="C76" s="2" t="str">
        <f>IF('1.1 Produksi Bersih Padi 2025'!C76="","",'1.1 Produksi Bersih Padi 2025'!C76)</f>
        <v/>
      </c>
      <c r="D76" s="3" t="str">
        <f>IF('1.1 Produksi Bersih Padi 2025'!D76="","",'1.1 Produksi Bersih Padi 2025'!D76)</f>
        <v/>
      </c>
      <c r="E76" s="3" t="str">
        <f>IF('1.1 Produksi Bersih Padi 2025'!E76="","",'1.1 Produksi Bersih Padi 2025'!E76)</f>
        <v/>
      </c>
      <c r="F76" s="28" t="str">
        <f>IF(D76="","",VLOOKUP(D76,'[1]0.1 Produksi Pangan &amp; Penduduk'!$D$5:$S$860,16,0))</f>
        <v/>
      </c>
      <c r="G76" s="28" t="str">
        <f t="shared" si="6"/>
        <v/>
      </c>
      <c r="H76" s="29" t="str">
        <f t="shared" si="7"/>
        <v/>
      </c>
      <c r="I76" s="29" t="str">
        <f t="shared" si="8"/>
        <v/>
      </c>
      <c r="J76" s="29" t="str">
        <f t="shared" si="9"/>
        <v/>
      </c>
      <c r="K76" s="29" t="str">
        <f t="shared" si="10"/>
        <v/>
      </c>
      <c r="L76" s="29" t="str">
        <f t="shared" si="11"/>
        <v/>
      </c>
      <c r="N76" s="11"/>
    </row>
    <row r="77" spans="1:14" ht="15" x14ac:dyDescent="0.25">
      <c r="A77" s="1" t="str">
        <f>IF('1.1 Produksi Bersih Padi 2025'!A77="","",'1.1 Produksi Bersih Padi 2025'!A77)</f>
        <v/>
      </c>
      <c r="B77" s="2" t="str">
        <f>IF('1.1 Produksi Bersih Padi 2025'!B77="","",'1.1 Produksi Bersih Padi 2025'!B77)</f>
        <v/>
      </c>
      <c r="C77" s="2" t="str">
        <f>IF('1.1 Produksi Bersih Padi 2025'!C77="","",'1.1 Produksi Bersih Padi 2025'!C77)</f>
        <v/>
      </c>
      <c r="D77" s="3" t="str">
        <f>IF('1.1 Produksi Bersih Padi 2025'!D77="","",'1.1 Produksi Bersih Padi 2025'!D77)</f>
        <v/>
      </c>
      <c r="E77" s="3" t="str">
        <f>IF('1.1 Produksi Bersih Padi 2025'!E77="","",'1.1 Produksi Bersih Padi 2025'!E77)</f>
        <v/>
      </c>
      <c r="F77" s="28" t="str">
        <f>IF(D77="","",VLOOKUP(D77,'[1]0.1 Produksi Pangan &amp; Penduduk'!$D$5:$S$860,16,0))</f>
        <v/>
      </c>
      <c r="G77" s="28" t="str">
        <f t="shared" si="6"/>
        <v/>
      </c>
      <c r="H77" s="29" t="str">
        <f t="shared" si="7"/>
        <v/>
      </c>
      <c r="I77" s="29" t="str">
        <f t="shared" si="8"/>
        <v/>
      </c>
      <c r="J77" s="29" t="str">
        <f t="shared" si="9"/>
        <v/>
      </c>
      <c r="K77" s="29" t="str">
        <f t="shared" si="10"/>
        <v/>
      </c>
      <c r="L77" s="29" t="str">
        <f t="shared" si="11"/>
        <v/>
      </c>
      <c r="N77" s="11"/>
    </row>
    <row r="78" spans="1:14" ht="15" x14ac:dyDescent="0.25">
      <c r="A78" s="1" t="str">
        <f>IF('1.1 Produksi Bersih Padi 2025'!A78="","",'1.1 Produksi Bersih Padi 2025'!A78)</f>
        <v/>
      </c>
      <c r="B78" s="2" t="str">
        <f>IF('1.1 Produksi Bersih Padi 2025'!B78="","",'1.1 Produksi Bersih Padi 2025'!B78)</f>
        <v/>
      </c>
      <c r="C78" s="2" t="str">
        <f>IF('1.1 Produksi Bersih Padi 2025'!C78="","",'1.1 Produksi Bersih Padi 2025'!C78)</f>
        <v/>
      </c>
      <c r="D78" s="3" t="str">
        <f>IF('1.1 Produksi Bersih Padi 2025'!D78="","",'1.1 Produksi Bersih Padi 2025'!D78)</f>
        <v/>
      </c>
      <c r="E78" s="3" t="str">
        <f>IF('1.1 Produksi Bersih Padi 2025'!E78="","",'1.1 Produksi Bersih Padi 2025'!E78)</f>
        <v/>
      </c>
      <c r="F78" s="28" t="str">
        <f>IF(D78="","",VLOOKUP(D78,'[1]0.1 Produksi Pangan &amp; Penduduk'!$D$5:$S$860,16,0))</f>
        <v/>
      </c>
      <c r="G78" s="28" t="str">
        <f t="shared" si="6"/>
        <v/>
      </c>
      <c r="H78" s="29" t="str">
        <f t="shared" si="7"/>
        <v/>
      </c>
      <c r="I78" s="29" t="str">
        <f t="shared" si="8"/>
        <v/>
      </c>
      <c r="J78" s="29" t="str">
        <f t="shared" si="9"/>
        <v/>
      </c>
      <c r="K78" s="29" t="str">
        <f t="shared" si="10"/>
        <v/>
      </c>
      <c r="L78" s="29" t="str">
        <f t="shared" si="11"/>
        <v/>
      </c>
      <c r="N78" s="11"/>
    </row>
    <row r="79" spans="1:14" ht="15" x14ac:dyDescent="0.25">
      <c r="A79" s="1" t="str">
        <f>IF('1.1 Produksi Bersih Padi 2025'!A79="","",'1.1 Produksi Bersih Padi 2025'!A79)</f>
        <v/>
      </c>
      <c r="B79" s="2" t="str">
        <f>IF('1.1 Produksi Bersih Padi 2025'!B79="","",'1.1 Produksi Bersih Padi 2025'!B79)</f>
        <v/>
      </c>
      <c r="C79" s="2" t="str">
        <f>IF('1.1 Produksi Bersih Padi 2025'!C79="","",'1.1 Produksi Bersih Padi 2025'!C79)</f>
        <v/>
      </c>
      <c r="D79" s="3" t="str">
        <f>IF('1.1 Produksi Bersih Padi 2025'!D79="","",'1.1 Produksi Bersih Padi 2025'!D79)</f>
        <v/>
      </c>
      <c r="E79" s="3" t="str">
        <f>IF('1.1 Produksi Bersih Padi 2025'!E79="","",'1.1 Produksi Bersih Padi 2025'!E79)</f>
        <v/>
      </c>
      <c r="F79" s="28" t="str">
        <f>IF(D79="","",VLOOKUP(D79,'[1]0.1 Produksi Pangan &amp; Penduduk'!$D$5:$S$860,16,0))</f>
        <v/>
      </c>
      <c r="G79" s="28" t="str">
        <f t="shared" si="6"/>
        <v/>
      </c>
      <c r="H79" s="29" t="str">
        <f t="shared" si="7"/>
        <v/>
      </c>
      <c r="I79" s="29" t="str">
        <f t="shared" si="8"/>
        <v/>
      </c>
      <c r="J79" s="29" t="str">
        <f t="shared" si="9"/>
        <v/>
      </c>
      <c r="K79" s="29" t="str">
        <f t="shared" si="10"/>
        <v/>
      </c>
      <c r="L79" s="29" t="str">
        <f t="shared" si="11"/>
        <v/>
      </c>
      <c r="N79" s="11"/>
    </row>
    <row r="80" spans="1:14" ht="15" x14ac:dyDescent="0.25">
      <c r="A80" s="1" t="str">
        <f>IF('1.1 Produksi Bersih Padi 2025'!A80="","",'1.1 Produksi Bersih Padi 2025'!A80)</f>
        <v/>
      </c>
      <c r="B80" s="2" t="str">
        <f>IF('1.1 Produksi Bersih Padi 2025'!B80="","",'1.1 Produksi Bersih Padi 2025'!B80)</f>
        <v/>
      </c>
      <c r="C80" s="2" t="str">
        <f>IF('1.1 Produksi Bersih Padi 2025'!C80="","",'1.1 Produksi Bersih Padi 2025'!C80)</f>
        <v/>
      </c>
      <c r="D80" s="3" t="str">
        <f>IF('1.1 Produksi Bersih Padi 2025'!D80="","",'1.1 Produksi Bersih Padi 2025'!D80)</f>
        <v/>
      </c>
      <c r="E80" s="3" t="str">
        <f>IF('1.1 Produksi Bersih Padi 2025'!E80="","",'1.1 Produksi Bersih Padi 2025'!E80)</f>
        <v/>
      </c>
      <c r="F80" s="28" t="str">
        <f>IF(D80="","",VLOOKUP(D80,'[1]0.1 Produksi Pangan &amp; Penduduk'!$D$5:$S$860,16,0))</f>
        <v/>
      </c>
      <c r="G80" s="28" t="str">
        <f t="shared" si="6"/>
        <v/>
      </c>
      <c r="H80" s="29" t="str">
        <f t="shared" si="7"/>
        <v/>
      </c>
      <c r="I80" s="29" t="str">
        <f t="shared" si="8"/>
        <v/>
      </c>
      <c r="J80" s="29" t="str">
        <f t="shared" si="9"/>
        <v/>
      </c>
      <c r="K80" s="29" t="str">
        <f t="shared" si="10"/>
        <v/>
      </c>
      <c r="L80" s="29" t="str">
        <f t="shared" si="11"/>
        <v/>
      </c>
      <c r="N80" s="11"/>
    </row>
    <row r="81" spans="1:14" ht="15" x14ac:dyDescent="0.25">
      <c r="A81" s="1" t="str">
        <f>IF('1.1 Produksi Bersih Padi 2025'!A81="","",'1.1 Produksi Bersih Padi 2025'!A81)</f>
        <v/>
      </c>
      <c r="B81" s="2" t="str">
        <f>IF('1.1 Produksi Bersih Padi 2025'!B81="","",'1.1 Produksi Bersih Padi 2025'!B81)</f>
        <v/>
      </c>
      <c r="C81" s="2" t="str">
        <f>IF('1.1 Produksi Bersih Padi 2025'!C81="","",'1.1 Produksi Bersih Padi 2025'!C81)</f>
        <v/>
      </c>
      <c r="D81" s="3" t="str">
        <f>IF('1.1 Produksi Bersih Padi 2025'!D81="","",'1.1 Produksi Bersih Padi 2025'!D81)</f>
        <v/>
      </c>
      <c r="E81" s="3" t="str">
        <f>IF('1.1 Produksi Bersih Padi 2025'!E81="","",'1.1 Produksi Bersih Padi 2025'!E81)</f>
        <v/>
      </c>
      <c r="F81" s="28" t="str">
        <f>IF(D81="","",VLOOKUP(D81,'[1]0.1 Produksi Pangan &amp; Penduduk'!$D$5:$S$860,16,0))</f>
        <v/>
      </c>
      <c r="G81" s="28" t="str">
        <f t="shared" si="6"/>
        <v/>
      </c>
      <c r="H81" s="29" t="str">
        <f t="shared" si="7"/>
        <v/>
      </c>
      <c r="I81" s="29" t="str">
        <f t="shared" si="8"/>
        <v/>
      </c>
      <c r="J81" s="29" t="str">
        <f t="shared" si="9"/>
        <v/>
      </c>
      <c r="K81" s="29" t="str">
        <f t="shared" si="10"/>
        <v/>
      </c>
      <c r="L81" s="29" t="str">
        <f t="shared" si="11"/>
        <v/>
      </c>
      <c r="N81" s="11"/>
    </row>
    <row r="82" spans="1:14" ht="15" x14ac:dyDescent="0.25">
      <c r="A82" s="1" t="str">
        <f>IF('1.1 Produksi Bersih Padi 2025'!A82="","",'1.1 Produksi Bersih Padi 2025'!A82)</f>
        <v/>
      </c>
      <c r="B82" s="2" t="str">
        <f>IF('1.1 Produksi Bersih Padi 2025'!B82="","",'1.1 Produksi Bersih Padi 2025'!B82)</f>
        <v/>
      </c>
      <c r="C82" s="2" t="str">
        <f>IF('1.1 Produksi Bersih Padi 2025'!C82="","",'1.1 Produksi Bersih Padi 2025'!C82)</f>
        <v/>
      </c>
      <c r="D82" s="3" t="str">
        <f>IF('1.1 Produksi Bersih Padi 2025'!D82="","",'1.1 Produksi Bersih Padi 2025'!D82)</f>
        <v/>
      </c>
      <c r="E82" s="3" t="str">
        <f>IF('1.1 Produksi Bersih Padi 2025'!E82="","",'1.1 Produksi Bersih Padi 2025'!E82)</f>
        <v/>
      </c>
      <c r="F82" s="28" t="str">
        <f>IF(D82="","",VLOOKUP(D82,'[1]0.1 Produksi Pangan &amp; Penduduk'!$D$5:$S$860,16,0))</f>
        <v/>
      </c>
      <c r="G82" s="28" t="str">
        <f t="shared" si="6"/>
        <v/>
      </c>
      <c r="H82" s="29" t="str">
        <f t="shared" si="7"/>
        <v/>
      </c>
      <c r="I82" s="29" t="str">
        <f t="shared" si="8"/>
        <v/>
      </c>
      <c r="J82" s="29" t="str">
        <f t="shared" si="9"/>
        <v/>
      </c>
      <c r="K82" s="29" t="str">
        <f t="shared" si="10"/>
        <v/>
      </c>
      <c r="L82" s="29" t="str">
        <f t="shared" si="11"/>
        <v/>
      </c>
      <c r="N82" s="11"/>
    </row>
    <row r="83" spans="1:14" ht="15" x14ac:dyDescent="0.25">
      <c r="A83" s="1" t="str">
        <f>IF('1.1 Produksi Bersih Padi 2025'!A83="","",'1.1 Produksi Bersih Padi 2025'!A83)</f>
        <v/>
      </c>
      <c r="B83" s="2" t="str">
        <f>IF('1.1 Produksi Bersih Padi 2025'!B83="","",'1.1 Produksi Bersih Padi 2025'!B83)</f>
        <v/>
      </c>
      <c r="C83" s="2" t="str">
        <f>IF('1.1 Produksi Bersih Padi 2025'!C83="","",'1.1 Produksi Bersih Padi 2025'!C83)</f>
        <v/>
      </c>
      <c r="D83" s="3" t="str">
        <f>IF('1.1 Produksi Bersih Padi 2025'!D83="","",'1.1 Produksi Bersih Padi 2025'!D83)</f>
        <v/>
      </c>
      <c r="E83" s="3" t="str">
        <f>IF('1.1 Produksi Bersih Padi 2025'!E83="","",'1.1 Produksi Bersih Padi 2025'!E83)</f>
        <v/>
      </c>
      <c r="F83" s="28" t="str">
        <f>IF(D83="","",VLOOKUP(D83,'[1]0.1 Produksi Pangan &amp; Penduduk'!$D$5:$S$860,16,0))</f>
        <v/>
      </c>
      <c r="G83" s="28" t="str">
        <f t="shared" si="6"/>
        <v/>
      </c>
      <c r="H83" s="29" t="str">
        <f t="shared" si="7"/>
        <v/>
      </c>
      <c r="I83" s="29" t="str">
        <f t="shared" si="8"/>
        <v/>
      </c>
      <c r="J83" s="29" t="str">
        <f t="shared" si="9"/>
        <v/>
      </c>
      <c r="K83" s="29" t="str">
        <f t="shared" si="10"/>
        <v/>
      </c>
      <c r="L83" s="29" t="str">
        <f t="shared" si="11"/>
        <v/>
      </c>
      <c r="N83" s="11"/>
    </row>
    <row r="84" spans="1:14" ht="15" x14ac:dyDescent="0.25">
      <c r="A84" s="1" t="str">
        <f>IF('1.1 Produksi Bersih Padi 2025'!A84="","",'1.1 Produksi Bersih Padi 2025'!A84)</f>
        <v/>
      </c>
      <c r="B84" s="2" t="str">
        <f>IF('1.1 Produksi Bersih Padi 2025'!B84="","",'1.1 Produksi Bersih Padi 2025'!B84)</f>
        <v/>
      </c>
      <c r="C84" s="2" t="str">
        <f>IF('1.1 Produksi Bersih Padi 2025'!C84="","",'1.1 Produksi Bersih Padi 2025'!C84)</f>
        <v/>
      </c>
      <c r="D84" s="3" t="str">
        <f>IF('1.1 Produksi Bersih Padi 2025'!D84="","",'1.1 Produksi Bersih Padi 2025'!D84)</f>
        <v/>
      </c>
      <c r="E84" s="3" t="str">
        <f>IF('1.1 Produksi Bersih Padi 2025'!E84="","",'1.1 Produksi Bersih Padi 2025'!E84)</f>
        <v/>
      </c>
      <c r="F84" s="28" t="str">
        <f>IF(D84="","",VLOOKUP(D84,'[1]0.1 Produksi Pangan &amp; Penduduk'!$D$5:$S$860,16,0))</f>
        <v/>
      </c>
      <c r="G84" s="28" t="str">
        <f t="shared" si="6"/>
        <v/>
      </c>
      <c r="H84" s="29" t="str">
        <f t="shared" si="7"/>
        <v/>
      </c>
      <c r="I84" s="29" t="str">
        <f t="shared" si="8"/>
        <v/>
      </c>
      <c r="J84" s="29" t="str">
        <f t="shared" si="9"/>
        <v/>
      </c>
      <c r="K84" s="29" t="str">
        <f t="shared" si="10"/>
        <v/>
      </c>
      <c r="L84" s="29" t="str">
        <f t="shared" si="11"/>
        <v/>
      </c>
      <c r="N84" s="11"/>
    </row>
    <row r="85" spans="1:14" ht="15" x14ac:dyDescent="0.25">
      <c r="A85" s="1" t="str">
        <f>IF('1.1 Produksi Bersih Padi 2025'!A85="","",'1.1 Produksi Bersih Padi 2025'!A85)</f>
        <v/>
      </c>
      <c r="B85" s="2" t="str">
        <f>IF('1.1 Produksi Bersih Padi 2025'!B85="","",'1.1 Produksi Bersih Padi 2025'!B85)</f>
        <v/>
      </c>
      <c r="C85" s="2" t="str">
        <f>IF('1.1 Produksi Bersih Padi 2025'!C85="","",'1.1 Produksi Bersih Padi 2025'!C85)</f>
        <v/>
      </c>
      <c r="D85" s="3" t="str">
        <f>IF('1.1 Produksi Bersih Padi 2025'!D85="","",'1.1 Produksi Bersih Padi 2025'!D85)</f>
        <v/>
      </c>
      <c r="E85" s="3" t="str">
        <f>IF('1.1 Produksi Bersih Padi 2025'!E85="","",'1.1 Produksi Bersih Padi 2025'!E85)</f>
        <v/>
      </c>
      <c r="F85" s="28" t="str">
        <f>IF(D85="","",VLOOKUP(D85,'[1]0.1 Produksi Pangan &amp; Penduduk'!$D$5:$S$860,16,0))</f>
        <v/>
      </c>
      <c r="G85" s="28" t="str">
        <f t="shared" si="6"/>
        <v/>
      </c>
      <c r="H85" s="29" t="str">
        <f t="shared" si="7"/>
        <v/>
      </c>
      <c r="I85" s="29" t="str">
        <f t="shared" si="8"/>
        <v/>
      </c>
      <c r="J85" s="29" t="str">
        <f t="shared" si="9"/>
        <v/>
      </c>
      <c r="K85" s="29" t="str">
        <f t="shared" si="10"/>
        <v/>
      </c>
      <c r="L85" s="29" t="str">
        <f t="shared" si="11"/>
        <v/>
      </c>
      <c r="N85" s="11"/>
    </row>
    <row r="86" spans="1:14" ht="15" x14ac:dyDescent="0.25">
      <c r="A86" s="1" t="str">
        <f>IF('1.1 Produksi Bersih Padi 2025'!A86="","",'1.1 Produksi Bersih Padi 2025'!A86)</f>
        <v/>
      </c>
      <c r="B86" s="2" t="str">
        <f>IF('1.1 Produksi Bersih Padi 2025'!B86="","",'1.1 Produksi Bersih Padi 2025'!B86)</f>
        <v/>
      </c>
      <c r="C86" s="2" t="str">
        <f>IF('1.1 Produksi Bersih Padi 2025'!C86="","",'1.1 Produksi Bersih Padi 2025'!C86)</f>
        <v/>
      </c>
      <c r="D86" s="3" t="str">
        <f>IF('1.1 Produksi Bersih Padi 2025'!D86="","",'1.1 Produksi Bersih Padi 2025'!D86)</f>
        <v/>
      </c>
      <c r="E86" s="3" t="str">
        <f>IF('1.1 Produksi Bersih Padi 2025'!E86="","",'1.1 Produksi Bersih Padi 2025'!E86)</f>
        <v/>
      </c>
      <c r="F86" s="28" t="str">
        <f>IF(D86="","",VLOOKUP(D86,'[1]0.1 Produksi Pangan &amp; Penduduk'!$D$5:$S$860,16,0))</f>
        <v/>
      </c>
      <c r="G86" s="28" t="str">
        <f t="shared" si="6"/>
        <v/>
      </c>
      <c r="H86" s="29" t="str">
        <f t="shared" si="7"/>
        <v/>
      </c>
      <c r="I86" s="29" t="str">
        <f t="shared" si="8"/>
        <v/>
      </c>
      <c r="J86" s="29" t="str">
        <f t="shared" si="9"/>
        <v/>
      </c>
      <c r="K86" s="29" t="str">
        <f t="shared" si="10"/>
        <v/>
      </c>
      <c r="L86" s="29" t="str">
        <f t="shared" si="11"/>
        <v/>
      </c>
      <c r="N86" s="11"/>
    </row>
    <row r="87" spans="1:14" ht="15" x14ac:dyDescent="0.25">
      <c r="A87" s="1" t="str">
        <f>IF('1.1 Produksi Bersih Padi 2025'!A87="","",'1.1 Produksi Bersih Padi 2025'!A87)</f>
        <v/>
      </c>
      <c r="B87" s="2" t="str">
        <f>IF('1.1 Produksi Bersih Padi 2025'!B87="","",'1.1 Produksi Bersih Padi 2025'!B87)</f>
        <v/>
      </c>
      <c r="C87" s="2" t="str">
        <f>IF('1.1 Produksi Bersih Padi 2025'!C87="","",'1.1 Produksi Bersih Padi 2025'!C87)</f>
        <v/>
      </c>
      <c r="D87" s="3" t="str">
        <f>IF('1.1 Produksi Bersih Padi 2025'!D87="","",'1.1 Produksi Bersih Padi 2025'!D87)</f>
        <v/>
      </c>
      <c r="E87" s="3" t="str">
        <f>IF('1.1 Produksi Bersih Padi 2025'!E87="","",'1.1 Produksi Bersih Padi 2025'!E87)</f>
        <v/>
      </c>
      <c r="F87" s="28" t="str">
        <f>IF(D87="","",VLOOKUP(D87,'[1]0.1 Produksi Pangan &amp; Penduduk'!$D$5:$S$860,16,0))</f>
        <v/>
      </c>
      <c r="G87" s="28" t="str">
        <f t="shared" si="6"/>
        <v/>
      </c>
      <c r="H87" s="29" t="str">
        <f t="shared" si="7"/>
        <v/>
      </c>
      <c r="I87" s="29" t="str">
        <f t="shared" si="8"/>
        <v/>
      </c>
      <c r="J87" s="29" t="str">
        <f t="shared" si="9"/>
        <v/>
      </c>
      <c r="K87" s="29" t="str">
        <f t="shared" si="10"/>
        <v/>
      </c>
      <c r="L87" s="29" t="str">
        <f t="shared" si="11"/>
        <v/>
      </c>
      <c r="N87" s="11"/>
    </row>
    <row r="88" spans="1:14" ht="15" x14ac:dyDescent="0.25">
      <c r="A88" s="1" t="str">
        <f>IF('1.1 Produksi Bersih Padi 2025'!A88="","",'1.1 Produksi Bersih Padi 2025'!A88)</f>
        <v/>
      </c>
      <c r="B88" s="2" t="str">
        <f>IF('1.1 Produksi Bersih Padi 2025'!B88="","",'1.1 Produksi Bersih Padi 2025'!B88)</f>
        <v/>
      </c>
      <c r="C88" s="2" t="str">
        <f>IF('1.1 Produksi Bersih Padi 2025'!C88="","",'1.1 Produksi Bersih Padi 2025'!C88)</f>
        <v/>
      </c>
      <c r="D88" s="3" t="str">
        <f>IF('1.1 Produksi Bersih Padi 2025'!D88="","",'1.1 Produksi Bersih Padi 2025'!D88)</f>
        <v/>
      </c>
      <c r="E88" s="3" t="str">
        <f>IF('1.1 Produksi Bersih Padi 2025'!E88="","",'1.1 Produksi Bersih Padi 2025'!E88)</f>
        <v/>
      </c>
      <c r="F88" s="28" t="str">
        <f>IF(D88="","",VLOOKUP(D88,'[1]0.1 Produksi Pangan &amp; Penduduk'!$D$5:$S$860,16,0))</f>
        <v/>
      </c>
      <c r="G88" s="28" t="str">
        <f t="shared" si="6"/>
        <v/>
      </c>
      <c r="H88" s="29" t="str">
        <f t="shared" si="7"/>
        <v/>
      </c>
      <c r="I88" s="29" t="str">
        <f t="shared" si="8"/>
        <v/>
      </c>
      <c r="J88" s="29" t="str">
        <f t="shared" si="9"/>
        <v/>
      </c>
      <c r="K88" s="29" t="str">
        <f t="shared" si="10"/>
        <v/>
      </c>
      <c r="L88" s="29" t="str">
        <f t="shared" si="11"/>
        <v/>
      </c>
      <c r="N88" s="11"/>
    </row>
    <row r="89" spans="1:14" ht="15" x14ac:dyDescent="0.25">
      <c r="A89" s="1" t="str">
        <f>IF('1.1 Produksi Bersih Padi 2025'!A89="","",'1.1 Produksi Bersih Padi 2025'!A89)</f>
        <v/>
      </c>
      <c r="B89" s="2" t="str">
        <f>IF('1.1 Produksi Bersih Padi 2025'!B89="","",'1.1 Produksi Bersih Padi 2025'!B89)</f>
        <v/>
      </c>
      <c r="C89" s="2" t="str">
        <f>IF('1.1 Produksi Bersih Padi 2025'!C89="","",'1.1 Produksi Bersih Padi 2025'!C89)</f>
        <v/>
      </c>
      <c r="D89" s="3" t="str">
        <f>IF('1.1 Produksi Bersih Padi 2025'!D89="","",'1.1 Produksi Bersih Padi 2025'!D89)</f>
        <v/>
      </c>
      <c r="E89" s="3" t="str">
        <f>IF('1.1 Produksi Bersih Padi 2025'!E89="","",'1.1 Produksi Bersih Padi 2025'!E89)</f>
        <v/>
      </c>
      <c r="F89" s="28" t="str">
        <f>IF(D89="","",VLOOKUP(D89,'[1]0.1 Produksi Pangan &amp; Penduduk'!$D$5:$S$860,16,0))</f>
        <v/>
      </c>
      <c r="G89" s="28" t="str">
        <f t="shared" si="6"/>
        <v/>
      </c>
      <c r="H89" s="29" t="str">
        <f t="shared" si="7"/>
        <v/>
      </c>
      <c r="I89" s="29" t="str">
        <f t="shared" si="8"/>
        <v/>
      </c>
      <c r="J89" s="29" t="str">
        <f t="shared" si="9"/>
        <v/>
      </c>
      <c r="K89" s="29" t="str">
        <f t="shared" si="10"/>
        <v/>
      </c>
      <c r="L89" s="29" t="str">
        <f t="shared" si="11"/>
        <v/>
      </c>
      <c r="N89" s="11"/>
    </row>
    <row r="90" spans="1:14" ht="15" x14ac:dyDescent="0.25">
      <c r="A90" s="1" t="str">
        <f>IF('1.1 Produksi Bersih Padi 2025'!A90="","",'1.1 Produksi Bersih Padi 2025'!A90)</f>
        <v/>
      </c>
      <c r="B90" s="2" t="str">
        <f>IF('1.1 Produksi Bersih Padi 2025'!B90="","",'1.1 Produksi Bersih Padi 2025'!B90)</f>
        <v/>
      </c>
      <c r="C90" s="2" t="str">
        <f>IF('1.1 Produksi Bersih Padi 2025'!C90="","",'1.1 Produksi Bersih Padi 2025'!C90)</f>
        <v/>
      </c>
      <c r="D90" s="3" t="str">
        <f>IF('1.1 Produksi Bersih Padi 2025'!D90="","",'1.1 Produksi Bersih Padi 2025'!D90)</f>
        <v/>
      </c>
      <c r="E90" s="3" t="str">
        <f>IF('1.1 Produksi Bersih Padi 2025'!E90="","",'1.1 Produksi Bersih Padi 2025'!E90)</f>
        <v/>
      </c>
      <c r="F90" s="28" t="str">
        <f>IF(D90="","",VLOOKUP(D90,'[1]0.1 Produksi Pangan &amp; Penduduk'!$D$5:$S$860,16,0))</f>
        <v/>
      </c>
      <c r="G90" s="28" t="str">
        <f t="shared" si="6"/>
        <v/>
      </c>
      <c r="H90" s="29" t="str">
        <f t="shared" si="7"/>
        <v/>
      </c>
      <c r="I90" s="29" t="str">
        <f t="shared" si="8"/>
        <v/>
      </c>
      <c r="J90" s="29" t="str">
        <f t="shared" si="9"/>
        <v/>
      </c>
      <c r="K90" s="29" t="str">
        <f t="shared" si="10"/>
        <v/>
      </c>
      <c r="L90" s="29" t="str">
        <f t="shared" si="11"/>
        <v/>
      </c>
      <c r="N90" s="11"/>
    </row>
    <row r="91" spans="1:14" ht="15" x14ac:dyDescent="0.25">
      <c r="A91" s="1" t="str">
        <f>IF('1.1 Produksi Bersih Padi 2025'!A91="","",'1.1 Produksi Bersih Padi 2025'!A91)</f>
        <v/>
      </c>
      <c r="B91" s="2" t="str">
        <f>IF('1.1 Produksi Bersih Padi 2025'!B91="","",'1.1 Produksi Bersih Padi 2025'!B91)</f>
        <v/>
      </c>
      <c r="C91" s="2" t="str">
        <f>IF('1.1 Produksi Bersih Padi 2025'!C91="","",'1.1 Produksi Bersih Padi 2025'!C91)</f>
        <v/>
      </c>
      <c r="D91" s="3" t="str">
        <f>IF('1.1 Produksi Bersih Padi 2025'!D91="","",'1.1 Produksi Bersih Padi 2025'!D91)</f>
        <v/>
      </c>
      <c r="E91" s="3" t="str">
        <f>IF('1.1 Produksi Bersih Padi 2025'!E91="","",'1.1 Produksi Bersih Padi 2025'!E91)</f>
        <v/>
      </c>
      <c r="F91" s="28" t="str">
        <f>IF(D91="","",VLOOKUP(D91,'[1]0.1 Produksi Pangan &amp; Penduduk'!$D$5:$S$860,16,0))</f>
        <v/>
      </c>
      <c r="G91" s="28" t="str">
        <f t="shared" si="6"/>
        <v/>
      </c>
      <c r="H91" s="29" t="str">
        <f t="shared" si="7"/>
        <v/>
      </c>
      <c r="I91" s="29" t="str">
        <f t="shared" si="8"/>
        <v/>
      </c>
      <c r="J91" s="29" t="str">
        <f t="shared" si="9"/>
        <v/>
      </c>
      <c r="K91" s="29" t="str">
        <f t="shared" si="10"/>
        <v/>
      </c>
      <c r="L91" s="29" t="str">
        <f t="shared" si="11"/>
        <v/>
      </c>
      <c r="N91" s="11"/>
    </row>
    <row r="92" spans="1:14" ht="15" x14ac:dyDescent="0.25">
      <c r="A92" s="1" t="str">
        <f>IF('1.1 Produksi Bersih Padi 2025'!A92="","",'1.1 Produksi Bersih Padi 2025'!A92)</f>
        <v/>
      </c>
      <c r="B92" s="2" t="str">
        <f>IF('1.1 Produksi Bersih Padi 2025'!B92="","",'1.1 Produksi Bersih Padi 2025'!B92)</f>
        <v/>
      </c>
      <c r="C92" s="2" t="str">
        <f>IF('1.1 Produksi Bersih Padi 2025'!C92="","",'1.1 Produksi Bersih Padi 2025'!C92)</f>
        <v/>
      </c>
      <c r="D92" s="3" t="str">
        <f>IF('1.1 Produksi Bersih Padi 2025'!D92="","",'1.1 Produksi Bersih Padi 2025'!D92)</f>
        <v/>
      </c>
      <c r="E92" s="3" t="str">
        <f>IF('1.1 Produksi Bersih Padi 2025'!E92="","",'1.1 Produksi Bersih Padi 2025'!E92)</f>
        <v/>
      </c>
      <c r="F92" s="28" t="str">
        <f>IF(D92="","",VLOOKUP(D92,'[1]0.1 Produksi Pangan &amp; Penduduk'!$D$5:$S$860,16,0))</f>
        <v/>
      </c>
      <c r="G92" s="28" t="str">
        <f t="shared" si="6"/>
        <v/>
      </c>
      <c r="H92" s="29" t="str">
        <f t="shared" si="7"/>
        <v/>
      </c>
      <c r="I92" s="29" t="str">
        <f t="shared" si="8"/>
        <v/>
      </c>
      <c r="J92" s="29" t="str">
        <f t="shared" si="9"/>
        <v/>
      </c>
      <c r="K92" s="29" t="str">
        <f t="shared" si="10"/>
        <v/>
      </c>
      <c r="L92" s="29" t="str">
        <f t="shared" si="11"/>
        <v/>
      </c>
      <c r="N92" s="11"/>
    </row>
    <row r="93" spans="1:14" ht="15" x14ac:dyDescent="0.25">
      <c r="A93" s="1" t="str">
        <f>IF('1.1 Produksi Bersih Padi 2025'!A93="","",'1.1 Produksi Bersih Padi 2025'!A93)</f>
        <v/>
      </c>
      <c r="B93" s="2" t="str">
        <f>IF('1.1 Produksi Bersih Padi 2025'!B93="","",'1.1 Produksi Bersih Padi 2025'!B93)</f>
        <v/>
      </c>
      <c r="C93" s="2" t="str">
        <f>IF('1.1 Produksi Bersih Padi 2025'!C93="","",'1.1 Produksi Bersih Padi 2025'!C93)</f>
        <v/>
      </c>
      <c r="D93" s="3" t="str">
        <f>IF('1.1 Produksi Bersih Padi 2025'!D93="","",'1.1 Produksi Bersih Padi 2025'!D93)</f>
        <v/>
      </c>
      <c r="E93" s="3" t="str">
        <f>IF('1.1 Produksi Bersih Padi 2025'!E93="","",'1.1 Produksi Bersih Padi 2025'!E93)</f>
        <v/>
      </c>
      <c r="F93" s="28" t="str">
        <f>IF(D93="","",VLOOKUP(D93,'[1]0.1 Produksi Pangan &amp; Penduduk'!$D$5:$S$860,16,0))</f>
        <v/>
      </c>
      <c r="G93" s="28" t="str">
        <f t="shared" si="6"/>
        <v/>
      </c>
      <c r="H93" s="29" t="str">
        <f t="shared" si="7"/>
        <v/>
      </c>
      <c r="I93" s="29" t="str">
        <f t="shared" si="8"/>
        <v/>
      </c>
      <c r="J93" s="29" t="str">
        <f t="shared" si="9"/>
        <v/>
      </c>
      <c r="K93" s="29" t="str">
        <f t="shared" si="10"/>
        <v/>
      </c>
      <c r="L93" s="29" t="str">
        <f t="shared" si="11"/>
        <v/>
      </c>
      <c r="N93" s="11"/>
    </row>
    <row r="94" spans="1:14" ht="15" x14ac:dyDescent="0.25">
      <c r="A94" s="1" t="str">
        <f>IF('1.1 Produksi Bersih Padi 2025'!A94="","",'1.1 Produksi Bersih Padi 2025'!A94)</f>
        <v/>
      </c>
      <c r="B94" s="2" t="str">
        <f>IF('1.1 Produksi Bersih Padi 2025'!B94="","",'1.1 Produksi Bersih Padi 2025'!B94)</f>
        <v/>
      </c>
      <c r="C94" s="2" t="str">
        <f>IF('1.1 Produksi Bersih Padi 2025'!C94="","",'1.1 Produksi Bersih Padi 2025'!C94)</f>
        <v/>
      </c>
      <c r="D94" s="3" t="str">
        <f>IF('1.1 Produksi Bersih Padi 2025'!D94="","",'1.1 Produksi Bersih Padi 2025'!D94)</f>
        <v/>
      </c>
      <c r="E94" s="3" t="str">
        <f>IF('1.1 Produksi Bersih Padi 2025'!E94="","",'1.1 Produksi Bersih Padi 2025'!E94)</f>
        <v/>
      </c>
      <c r="F94" s="28" t="str">
        <f>IF(D94="","",VLOOKUP(D94,'[1]0.1 Produksi Pangan &amp; Penduduk'!$D$5:$S$860,16,0))</f>
        <v/>
      </c>
      <c r="G94" s="28" t="str">
        <f t="shared" si="6"/>
        <v/>
      </c>
      <c r="H94" s="29" t="str">
        <f t="shared" si="7"/>
        <v/>
      </c>
      <c r="I94" s="29" t="str">
        <f t="shared" si="8"/>
        <v/>
      </c>
      <c r="J94" s="29" t="str">
        <f t="shared" si="9"/>
        <v/>
      </c>
      <c r="K94" s="29" t="str">
        <f t="shared" si="10"/>
        <v/>
      </c>
      <c r="L94" s="29" t="str">
        <f t="shared" si="11"/>
        <v/>
      </c>
      <c r="N94" s="11"/>
    </row>
    <row r="95" spans="1:14" ht="15" x14ac:dyDescent="0.25">
      <c r="A95" s="1" t="str">
        <f>IF('1.1 Produksi Bersih Padi 2025'!A95="","",'1.1 Produksi Bersih Padi 2025'!A95)</f>
        <v/>
      </c>
      <c r="B95" s="2" t="str">
        <f>IF('1.1 Produksi Bersih Padi 2025'!B95="","",'1.1 Produksi Bersih Padi 2025'!B95)</f>
        <v/>
      </c>
      <c r="C95" s="2" t="str">
        <f>IF('1.1 Produksi Bersih Padi 2025'!C95="","",'1.1 Produksi Bersih Padi 2025'!C95)</f>
        <v/>
      </c>
      <c r="D95" s="3" t="str">
        <f>IF('1.1 Produksi Bersih Padi 2025'!D95="","",'1.1 Produksi Bersih Padi 2025'!D95)</f>
        <v/>
      </c>
      <c r="E95" s="3" t="str">
        <f>IF('1.1 Produksi Bersih Padi 2025'!E95="","",'1.1 Produksi Bersih Padi 2025'!E95)</f>
        <v/>
      </c>
      <c r="F95" s="28" t="str">
        <f>IF(D95="","",VLOOKUP(D95,'[1]0.1 Produksi Pangan &amp; Penduduk'!$D$5:$S$860,16,0))</f>
        <v/>
      </c>
      <c r="G95" s="28" t="str">
        <f t="shared" si="6"/>
        <v/>
      </c>
      <c r="H95" s="29" t="str">
        <f t="shared" si="7"/>
        <v/>
      </c>
      <c r="I95" s="29" t="str">
        <f t="shared" si="8"/>
        <v/>
      </c>
      <c r="J95" s="29" t="str">
        <f t="shared" si="9"/>
        <v/>
      </c>
      <c r="K95" s="29" t="str">
        <f t="shared" si="10"/>
        <v/>
      </c>
      <c r="L95" s="29" t="str">
        <f t="shared" si="11"/>
        <v/>
      </c>
      <c r="N95" s="11"/>
    </row>
    <row r="96" spans="1:14" ht="15" x14ac:dyDescent="0.25">
      <c r="A96" s="1" t="str">
        <f>IF('1.1 Produksi Bersih Padi 2025'!A96="","",'1.1 Produksi Bersih Padi 2025'!A96)</f>
        <v/>
      </c>
      <c r="B96" s="2" t="str">
        <f>IF('1.1 Produksi Bersih Padi 2025'!B96="","",'1.1 Produksi Bersih Padi 2025'!B96)</f>
        <v/>
      </c>
      <c r="C96" s="2" t="str">
        <f>IF('1.1 Produksi Bersih Padi 2025'!C96="","",'1.1 Produksi Bersih Padi 2025'!C96)</f>
        <v/>
      </c>
      <c r="D96" s="3" t="str">
        <f>IF('1.1 Produksi Bersih Padi 2025'!D96="","",'1.1 Produksi Bersih Padi 2025'!D96)</f>
        <v/>
      </c>
      <c r="E96" s="3" t="str">
        <f>IF('1.1 Produksi Bersih Padi 2025'!E96="","",'1.1 Produksi Bersih Padi 2025'!E96)</f>
        <v/>
      </c>
      <c r="F96" s="28" t="str">
        <f>IF(D96="","",VLOOKUP(D96,'[1]0.1 Produksi Pangan &amp; Penduduk'!$D$5:$S$860,16,0))</f>
        <v/>
      </c>
      <c r="G96" s="28" t="str">
        <f t="shared" si="6"/>
        <v/>
      </c>
      <c r="H96" s="29" t="str">
        <f t="shared" si="7"/>
        <v/>
      </c>
      <c r="I96" s="29" t="str">
        <f t="shared" si="8"/>
        <v/>
      </c>
      <c r="J96" s="29" t="str">
        <f t="shared" si="9"/>
        <v/>
      </c>
      <c r="K96" s="29" t="str">
        <f t="shared" si="10"/>
        <v/>
      </c>
      <c r="L96" s="29" t="str">
        <f t="shared" si="11"/>
        <v/>
      </c>
      <c r="N96" s="11"/>
    </row>
    <row r="97" spans="1:14" ht="15" x14ac:dyDescent="0.25">
      <c r="A97" s="1" t="str">
        <f>IF('1.1 Produksi Bersih Padi 2025'!A97="","",'1.1 Produksi Bersih Padi 2025'!A97)</f>
        <v/>
      </c>
      <c r="B97" s="2" t="str">
        <f>IF('1.1 Produksi Bersih Padi 2025'!B97="","",'1.1 Produksi Bersih Padi 2025'!B97)</f>
        <v/>
      </c>
      <c r="C97" s="2" t="str">
        <f>IF('1.1 Produksi Bersih Padi 2025'!C97="","",'1.1 Produksi Bersih Padi 2025'!C97)</f>
        <v/>
      </c>
      <c r="D97" s="3" t="str">
        <f>IF('1.1 Produksi Bersih Padi 2025'!D97="","",'1.1 Produksi Bersih Padi 2025'!D97)</f>
        <v/>
      </c>
      <c r="E97" s="3" t="str">
        <f>IF('1.1 Produksi Bersih Padi 2025'!E97="","",'1.1 Produksi Bersih Padi 2025'!E97)</f>
        <v/>
      </c>
      <c r="F97" s="28" t="str">
        <f>IF(D97="","",VLOOKUP(D97,'[1]0.1 Produksi Pangan &amp; Penduduk'!$D$5:$S$860,16,0))</f>
        <v/>
      </c>
      <c r="G97" s="28" t="str">
        <f t="shared" si="6"/>
        <v/>
      </c>
      <c r="H97" s="29" t="str">
        <f t="shared" si="7"/>
        <v/>
      </c>
      <c r="I97" s="29" t="str">
        <f t="shared" si="8"/>
        <v/>
      </c>
      <c r="J97" s="29" t="str">
        <f t="shared" si="9"/>
        <v/>
      </c>
      <c r="K97" s="29" t="str">
        <f t="shared" si="10"/>
        <v/>
      </c>
      <c r="L97" s="29" t="str">
        <f t="shared" si="11"/>
        <v/>
      </c>
      <c r="N97" s="11"/>
    </row>
    <row r="98" spans="1:14" ht="15" x14ac:dyDescent="0.25">
      <c r="A98" s="1" t="str">
        <f>IF('1.1 Produksi Bersih Padi 2025'!A98="","",'1.1 Produksi Bersih Padi 2025'!A98)</f>
        <v/>
      </c>
      <c r="B98" s="2" t="str">
        <f>IF('1.1 Produksi Bersih Padi 2025'!B98="","",'1.1 Produksi Bersih Padi 2025'!B98)</f>
        <v/>
      </c>
      <c r="C98" s="2" t="str">
        <f>IF('1.1 Produksi Bersih Padi 2025'!C98="","",'1.1 Produksi Bersih Padi 2025'!C98)</f>
        <v/>
      </c>
      <c r="D98" s="3" t="str">
        <f>IF('1.1 Produksi Bersih Padi 2025'!D98="","",'1.1 Produksi Bersih Padi 2025'!D98)</f>
        <v/>
      </c>
      <c r="E98" s="3" t="str">
        <f>IF('1.1 Produksi Bersih Padi 2025'!E98="","",'1.1 Produksi Bersih Padi 2025'!E98)</f>
        <v/>
      </c>
      <c r="F98" s="28" t="str">
        <f>IF(D98="","",VLOOKUP(D98,'[1]0.1 Produksi Pangan &amp; Penduduk'!$D$5:$S$860,16,0))</f>
        <v/>
      </c>
      <c r="G98" s="28" t="str">
        <f t="shared" si="6"/>
        <v/>
      </c>
      <c r="H98" s="29" t="str">
        <f t="shared" si="7"/>
        <v/>
      </c>
      <c r="I98" s="29" t="str">
        <f t="shared" si="8"/>
        <v/>
      </c>
      <c r="J98" s="29" t="str">
        <f t="shared" si="9"/>
        <v/>
      </c>
      <c r="K98" s="29" t="str">
        <f t="shared" si="10"/>
        <v/>
      </c>
      <c r="L98" s="29" t="str">
        <f t="shared" si="11"/>
        <v/>
      </c>
      <c r="N98" s="11"/>
    </row>
    <row r="99" spans="1:14" ht="15" x14ac:dyDescent="0.25">
      <c r="A99" s="1" t="str">
        <f>IF('1.1 Produksi Bersih Padi 2025'!A99="","",'1.1 Produksi Bersih Padi 2025'!A99)</f>
        <v/>
      </c>
      <c r="B99" s="2" t="str">
        <f>IF('1.1 Produksi Bersih Padi 2025'!B99="","",'1.1 Produksi Bersih Padi 2025'!B99)</f>
        <v/>
      </c>
      <c r="C99" s="2" t="str">
        <f>IF('1.1 Produksi Bersih Padi 2025'!C99="","",'1.1 Produksi Bersih Padi 2025'!C99)</f>
        <v/>
      </c>
      <c r="D99" s="3" t="str">
        <f>IF('1.1 Produksi Bersih Padi 2025'!D99="","",'1.1 Produksi Bersih Padi 2025'!D99)</f>
        <v/>
      </c>
      <c r="E99" s="3" t="str">
        <f>IF('1.1 Produksi Bersih Padi 2025'!E99="","",'1.1 Produksi Bersih Padi 2025'!E99)</f>
        <v/>
      </c>
      <c r="F99" s="28" t="str">
        <f>IF(D99="","",VLOOKUP(D99,'[1]0.1 Produksi Pangan &amp; Penduduk'!$D$5:$S$860,16,0))</f>
        <v/>
      </c>
      <c r="G99" s="28" t="str">
        <f t="shared" si="6"/>
        <v/>
      </c>
      <c r="H99" s="29" t="str">
        <f t="shared" si="7"/>
        <v/>
      </c>
      <c r="I99" s="29" t="str">
        <f t="shared" si="8"/>
        <v/>
      </c>
      <c r="J99" s="29" t="str">
        <f t="shared" si="9"/>
        <v/>
      </c>
      <c r="K99" s="29" t="str">
        <f t="shared" si="10"/>
        <v/>
      </c>
      <c r="L99" s="29" t="str">
        <f t="shared" si="11"/>
        <v/>
      </c>
      <c r="N99" s="11"/>
    </row>
    <row r="100" spans="1:14" ht="15" x14ac:dyDescent="0.25">
      <c r="A100" s="1" t="str">
        <f>IF('1.1 Produksi Bersih Padi 2025'!A100="","",'1.1 Produksi Bersih Padi 2025'!A100)</f>
        <v/>
      </c>
      <c r="B100" s="2" t="str">
        <f>IF('1.1 Produksi Bersih Padi 2025'!B100="","",'1.1 Produksi Bersih Padi 2025'!B100)</f>
        <v/>
      </c>
      <c r="C100" s="2" t="str">
        <f>IF('1.1 Produksi Bersih Padi 2025'!C100="","",'1.1 Produksi Bersih Padi 2025'!C100)</f>
        <v/>
      </c>
      <c r="D100" s="3" t="str">
        <f>IF('1.1 Produksi Bersih Padi 2025'!D100="","",'1.1 Produksi Bersih Padi 2025'!D100)</f>
        <v/>
      </c>
      <c r="E100" s="3" t="str">
        <f>IF('1.1 Produksi Bersih Padi 2025'!E100="","",'1.1 Produksi Bersih Padi 2025'!E100)</f>
        <v/>
      </c>
      <c r="F100" s="28" t="str">
        <f>IF(D100="","",VLOOKUP(D100,'[1]0.1 Produksi Pangan &amp; Penduduk'!$D$5:$S$860,16,0))</f>
        <v/>
      </c>
      <c r="G100" s="28" t="str">
        <f t="shared" si="6"/>
        <v/>
      </c>
      <c r="H100" s="29" t="str">
        <f t="shared" si="7"/>
        <v/>
      </c>
      <c r="I100" s="29" t="str">
        <f t="shared" si="8"/>
        <v/>
      </c>
      <c r="J100" s="29" t="str">
        <f t="shared" si="9"/>
        <v/>
      </c>
      <c r="K100" s="29" t="str">
        <f t="shared" si="10"/>
        <v/>
      </c>
      <c r="L100" s="29" t="str">
        <f t="shared" si="11"/>
        <v/>
      </c>
      <c r="N100" s="11"/>
    </row>
    <row r="101" spans="1:14" ht="15" x14ac:dyDescent="0.25">
      <c r="A101" s="1" t="str">
        <f>IF('1.1 Produksi Bersih Padi 2025'!A101="","",'1.1 Produksi Bersih Padi 2025'!A101)</f>
        <v/>
      </c>
      <c r="B101" s="2" t="str">
        <f>IF('1.1 Produksi Bersih Padi 2025'!B101="","",'1.1 Produksi Bersih Padi 2025'!B101)</f>
        <v/>
      </c>
      <c r="C101" s="2" t="str">
        <f>IF('1.1 Produksi Bersih Padi 2025'!C101="","",'1.1 Produksi Bersih Padi 2025'!C101)</f>
        <v/>
      </c>
      <c r="D101" s="3" t="str">
        <f>IF('1.1 Produksi Bersih Padi 2025'!D101="","",'1.1 Produksi Bersih Padi 2025'!D101)</f>
        <v/>
      </c>
      <c r="E101" s="3" t="str">
        <f>IF('1.1 Produksi Bersih Padi 2025'!E101="","",'1.1 Produksi Bersih Padi 2025'!E101)</f>
        <v/>
      </c>
      <c r="F101" s="28" t="str">
        <f>IF(D101="","",VLOOKUP(D101,'[1]0.1 Produksi Pangan &amp; Penduduk'!$D$5:$S$860,16,0))</f>
        <v/>
      </c>
      <c r="G101" s="28" t="str">
        <f t="shared" si="6"/>
        <v/>
      </c>
      <c r="H101" s="29" t="str">
        <f t="shared" si="7"/>
        <v/>
      </c>
      <c r="I101" s="29" t="str">
        <f t="shared" si="8"/>
        <v/>
      </c>
      <c r="J101" s="29" t="str">
        <f t="shared" si="9"/>
        <v/>
      </c>
      <c r="K101" s="29" t="str">
        <f t="shared" si="10"/>
        <v/>
      </c>
      <c r="L101" s="29" t="str">
        <f t="shared" si="11"/>
        <v/>
      </c>
      <c r="N101" s="11"/>
    </row>
    <row r="102" spans="1:14" ht="15" x14ac:dyDescent="0.25">
      <c r="A102" s="1" t="str">
        <f>IF('1.1 Produksi Bersih Padi 2025'!A102="","",'1.1 Produksi Bersih Padi 2025'!A102)</f>
        <v/>
      </c>
      <c r="B102" s="2" t="str">
        <f>IF('1.1 Produksi Bersih Padi 2025'!B102="","",'1.1 Produksi Bersih Padi 2025'!B102)</f>
        <v/>
      </c>
      <c r="C102" s="2" t="str">
        <f>IF('1.1 Produksi Bersih Padi 2025'!C102="","",'1.1 Produksi Bersih Padi 2025'!C102)</f>
        <v/>
      </c>
      <c r="D102" s="3" t="str">
        <f>IF('1.1 Produksi Bersih Padi 2025'!D102="","",'1.1 Produksi Bersih Padi 2025'!D102)</f>
        <v/>
      </c>
      <c r="E102" s="3" t="str">
        <f>IF('1.1 Produksi Bersih Padi 2025'!E102="","",'1.1 Produksi Bersih Padi 2025'!E102)</f>
        <v/>
      </c>
      <c r="F102" s="28" t="str">
        <f>IF(D102="","",VLOOKUP(D102,'[1]0.1 Produksi Pangan &amp; Penduduk'!$D$5:$S$860,16,0))</f>
        <v/>
      </c>
      <c r="G102" s="28" t="str">
        <f t="shared" si="6"/>
        <v/>
      </c>
      <c r="H102" s="29" t="str">
        <f t="shared" si="7"/>
        <v/>
      </c>
      <c r="I102" s="29" t="str">
        <f t="shared" si="8"/>
        <v/>
      </c>
      <c r="J102" s="29" t="str">
        <f t="shared" si="9"/>
        <v/>
      </c>
      <c r="K102" s="29" t="str">
        <f t="shared" si="10"/>
        <v/>
      </c>
      <c r="L102" s="29" t="str">
        <f t="shared" si="11"/>
        <v/>
      </c>
      <c r="N102" s="11"/>
    </row>
    <row r="103" spans="1:14" ht="15" x14ac:dyDescent="0.25">
      <c r="A103" s="1" t="str">
        <f>IF('1.1 Produksi Bersih Padi 2025'!A103="","",'1.1 Produksi Bersih Padi 2025'!A103)</f>
        <v/>
      </c>
      <c r="B103" s="2" t="str">
        <f>IF('1.1 Produksi Bersih Padi 2025'!B103="","",'1.1 Produksi Bersih Padi 2025'!B103)</f>
        <v/>
      </c>
      <c r="C103" s="2" t="str">
        <f>IF('1.1 Produksi Bersih Padi 2025'!C103="","",'1.1 Produksi Bersih Padi 2025'!C103)</f>
        <v/>
      </c>
      <c r="D103" s="3" t="str">
        <f>IF('1.1 Produksi Bersih Padi 2025'!D103="","",'1.1 Produksi Bersih Padi 2025'!D103)</f>
        <v/>
      </c>
      <c r="E103" s="3" t="str">
        <f>IF('1.1 Produksi Bersih Padi 2025'!E103="","",'1.1 Produksi Bersih Padi 2025'!E103)</f>
        <v/>
      </c>
      <c r="F103" s="28" t="str">
        <f>IF(D103="","",VLOOKUP(D103,'[1]0.1 Produksi Pangan &amp; Penduduk'!$D$5:$S$860,16,0))</f>
        <v/>
      </c>
      <c r="G103" s="28" t="str">
        <f t="shared" si="6"/>
        <v/>
      </c>
      <c r="H103" s="29" t="str">
        <f t="shared" si="7"/>
        <v/>
      </c>
      <c r="I103" s="29" t="str">
        <f t="shared" si="8"/>
        <v/>
      </c>
      <c r="J103" s="29" t="str">
        <f t="shared" si="9"/>
        <v/>
      </c>
      <c r="K103" s="29" t="str">
        <f t="shared" si="10"/>
        <v/>
      </c>
      <c r="L103" s="29" t="str">
        <f t="shared" si="11"/>
        <v/>
      </c>
      <c r="N103" s="11"/>
    </row>
    <row r="104" spans="1:14" ht="15" x14ac:dyDescent="0.25">
      <c r="A104" s="1" t="str">
        <f>IF('1.1 Produksi Bersih Padi 2025'!A104="","",'1.1 Produksi Bersih Padi 2025'!A104)</f>
        <v/>
      </c>
      <c r="B104" s="2" t="str">
        <f>IF('1.1 Produksi Bersih Padi 2025'!B104="","",'1.1 Produksi Bersih Padi 2025'!B104)</f>
        <v/>
      </c>
      <c r="C104" s="2" t="str">
        <f>IF('1.1 Produksi Bersih Padi 2025'!C104="","",'1.1 Produksi Bersih Padi 2025'!C104)</f>
        <v/>
      </c>
      <c r="D104" s="3" t="str">
        <f>IF('1.1 Produksi Bersih Padi 2025'!D104="","",'1.1 Produksi Bersih Padi 2025'!D104)</f>
        <v/>
      </c>
      <c r="E104" s="3" t="str">
        <f>IF('1.1 Produksi Bersih Padi 2025'!E104="","",'1.1 Produksi Bersih Padi 2025'!E104)</f>
        <v/>
      </c>
      <c r="F104" s="28" t="str">
        <f>IF(D104="","",VLOOKUP(D104,'[1]0.1 Produksi Pangan &amp; Penduduk'!$D$5:$S$860,16,0))</f>
        <v/>
      </c>
      <c r="G104" s="28" t="str">
        <f t="shared" si="6"/>
        <v/>
      </c>
      <c r="H104" s="29" t="str">
        <f t="shared" si="7"/>
        <v/>
      </c>
      <c r="I104" s="29" t="str">
        <f t="shared" si="8"/>
        <v/>
      </c>
      <c r="J104" s="29" t="str">
        <f t="shared" si="9"/>
        <v/>
      </c>
      <c r="K104" s="29" t="str">
        <f t="shared" si="10"/>
        <v/>
      </c>
      <c r="L104" s="29" t="str">
        <f t="shared" si="11"/>
        <v/>
      </c>
      <c r="N104" s="11"/>
    </row>
    <row r="105" spans="1:14" ht="15" x14ac:dyDescent="0.25">
      <c r="A105" s="1" t="str">
        <f>IF('1.1 Produksi Bersih Padi 2025'!A105="","",'1.1 Produksi Bersih Padi 2025'!A105)</f>
        <v/>
      </c>
      <c r="B105" s="2" t="str">
        <f>IF('1.1 Produksi Bersih Padi 2025'!B105="","",'1.1 Produksi Bersih Padi 2025'!B105)</f>
        <v/>
      </c>
      <c r="C105" s="2" t="str">
        <f>IF('1.1 Produksi Bersih Padi 2025'!C105="","",'1.1 Produksi Bersih Padi 2025'!C105)</f>
        <v/>
      </c>
      <c r="D105" s="3" t="str">
        <f>IF('1.1 Produksi Bersih Padi 2025'!D105="","",'1.1 Produksi Bersih Padi 2025'!D105)</f>
        <v/>
      </c>
      <c r="E105" s="3" t="str">
        <f>IF('1.1 Produksi Bersih Padi 2025'!E105="","",'1.1 Produksi Bersih Padi 2025'!E105)</f>
        <v/>
      </c>
      <c r="F105" s="28" t="str">
        <f>IF(D105="","",VLOOKUP(D105,'[1]0.1 Produksi Pangan &amp; Penduduk'!$D$5:$S$860,16,0))</f>
        <v/>
      </c>
      <c r="G105" s="28" t="str">
        <f t="shared" si="6"/>
        <v/>
      </c>
      <c r="H105" s="29" t="str">
        <f t="shared" si="7"/>
        <v/>
      </c>
      <c r="I105" s="29" t="str">
        <f t="shared" si="8"/>
        <v/>
      </c>
      <c r="J105" s="29" t="str">
        <f t="shared" si="9"/>
        <v/>
      </c>
      <c r="K105" s="29" t="str">
        <f t="shared" si="10"/>
        <v/>
      </c>
      <c r="L105" s="29" t="str">
        <f t="shared" si="11"/>
        <v/>
      </c>
      <c r="N105" s="11"/>
    </row>
    <row r="106" spans="1:14" ht="15" x14ac:dyDescent="0.25">
      <c r="A106" s="1" t="str">
        <f>IF('1.1 Produksi Bersih Padi 2025'!A106="","",'1.1 Produksi Bersih Padi 2025'!A106)</f>
        <v/>
      </c>
      <c r="B106" s="2" t="str">
        <f>IF('1.1 Produksi Bersih Padi 2025'!B106="","",'1.1 Produksi Bersih Padi 2025'!B106)</f>
        <v/>
      </c>
      <c r="C106" s="2" t="str">
        <f>IF('1.1 Produksi Bersih Padi 2025'!C106="","",'1.1 Produksi Bersih Padi 2025'!C106)</f>
        <v/>
      </c>
      <c r="D106" s="3" t="str">
        <f>IF('1.1 Produksi Bersih Padi 2025'!D106="","",'1.1 Produksi Bersih Padi 2025'!D106)</f>
        <v/>
      </c>
      <c r="E106" s="3" t="str">
        <f>IF('1.1 Produksi Bersih Padi 2025'!E106="","",'1.1 Produksi Bersih Padi 2025'!E106)</f>
        <v/>
      </c>
      <c r="F106" s="28" t="str">
        <f>IF(D106="","",VLOOKUP(D106,'[1]0.1 Produksi Pangan &amp; Penduduk'!$D$5:$S$860,16,0))</f>
        <v/>
      </c>
      <c r="G106" s="28" t="str">
        <f t="shared" si="6"/>
        <v/>
      </c>
      <c r="H106" s="29" t="str">
        <f t="shared" si="7"/>
        <v/>
      </c>
      <c r="I106" s="29" t="str">
        <f t="shared" si="8"/>
        <v/>
      </c>
      <c r="J106" s="29" t="str">
        <f t="shared" si="9"/>
        <v/>
      </c>
      <c r="K106" s="29" t="str">
        <f t="shared" si="10"/>
        <v/>
      </c>
      <c r="L106" s="29" t="str">
        <f t="shared" si="11"/>
        <v/>
      </c>
      <c r="N106" s="11"/>
    </row>
    <row r="107" spans="1:14" ht="15" x14ac:dyDescent="0.25">
      <c r="A107" s="1" t="str">
        <f>IF('1.1 Produksi Bersih Padi 2025'!A107="","",'1.1 Produksi Bersih Padi 2025'!A107)</f>
        <v/>
      </c>
      <c r="B107" s="2" t="str">
        <f>IF('1.1 Produksi Bersih Padi 2025'!B107="","",'1.1 Produksi Bersih Padi 2025'!B107)</f>
        <v/>
      </c>
      <c r="C107" s="2" t="str">
        <f>IF('1.1 Produksi Bersih Padi 2025'!C107="","",'1.1 Produksi Bersih Padi 2025'!C107)</f>
        <v/>
      </c>
      <c r="D107" s="3" t="str">
        <f>IF('1.1 Produksi Bersih Padi 2025'!D107="","",'1.1 Produksi Bersih Padi 2025'!D107)</f>
        <v/>
      </c>
      <c r="E107" s="3" t="str">
        <f>IF('1.1 Produksi Bersih Padi 2025'!E107="","",'1.1 Produksi Bersih Padi 2025'!E107)</f>
        <v/>
      </c>
      <c r="F107" s="28" t="str">
        <f>IF(D107="","",VLOOKUP(D107,'[1]0.1 Produksi Pangan &amp; Penduduk'!$D$5:$S$860,16,0))</f>
        <v/>
      </c>
      <c r="G107" s="28" t="str">
        <f t="shared" si="6"/>
        <v/>
      </c>
      <c r="H107" s="29" t="str">
        <f t="shared" si="7"/>
        <v/>
      </c>
      <c r="I107" s="29" t="str">
        <f t="shared" si="8"/>
        <v/>
      </c>
      <c r="J107" s="29" t="str">
        <f t="shared" si="9"/>
        <v/>
      </c>
      <c r="K107" s="29" t="str">
        <f t="shared" si="10"/>
        <v/>
      </c>
      <c r="L107" s="29" t="str">
        <f t="shared" si="11"/>
        <v/>
      </c>
      <c r="N107" s="11"/>
    </row>
    <row r="108" spans="1:14" ht="15" x14ac:dyDescent="0.25">
      <c r="A108" s="1" t="str">
        <f>IF('1.1 Produksi Bersih Padi 2025'!A108="","",'1.1 Produksi Bersih Padi 2025'!A108)</f>
        <v/>
      </c>
      <c r="B108" s="2" t="str">
        <f>IF('1.1 Produksi Bersih Padi 2025'!B108="","",'1.1 Produksi Bersih Padi 2025'!B108)</f>
        <v/>
      </c>
      <c r="C108" s="2" t="str">
        <f>IF('1.1 Produksi Bersih Padi 2025'!C108="","",'1.1 Produksi Bersih Padi 2025'!C108)</f>
        <v/>
      </c>
      <c r="D108" s="3" t="str">
        <f>IF('1.1 Produksi Bersih Padi 2025'!D108="","",'1.1 Produksi Bersih Padi 2025'!D108)</f>
        <v/>
      </c>
      <c r="E108" s="3" t="str">
        <f>IF('1.1 Produksi Bersih Padi 2025'!E108="","",'1.1 Produksi Bersih Padi 2025'!E108)</f>
        <v/>
      </c>
      <c r="F108" s="28" t="str">
        <f>IF(D108="","",VLOOKUP(D108,'[1]0.1 Produksi Pangan &amp; Penduduk'!$D$5:$S$860,16,0))</f>
        <v/>
      </c>
      <c r="G108" s="28" t="str">
        <f t="shared" si="6"/>
        <v/>
      </c>
      <c r="H108" s="29" t="str">
        <f t="shared" si="7"/>
        <v/>
      </c>
      <c r="I108" s="29" t="str">
        <f t="shared" si="8"/>
        <v/>
      </c>
      <c r="J108" s="29" t="str">
        <f t="shared" si="9"/>
        <v/>
      </c>
      <c r="K108" s="29" t="str">
        <f t="shared" si="10"/>
        <v/>
      </c>
      <c r="L108" s="29" t="str">
        <f t="shared" si="11"/>
        <v/>
      </c>
      <c r="N108" s="11"/>
    </row>
    <row r="109" spans="1:14" ht="15" x14ac:dyDescent="0.25">
      <c r="A109" s="1" t="str">
        <f>IF('1.1 Produksi Bersih Padi 2025'!A109="","",'1.1 Produksi Bersih Padi 2025'!A109)</f>
        <v/>
      </c>
      <c r="B109" s="2" t="str">
        <f>IF('1.1 Produksi Bersih Padi 2025'!B109="","",'1.1 Produksi Bersih Padi 2025'!B109)</f>
        <v/>
      </c>
      <c r="C109" s="2" t="str">
        <f>IF('1.1 Produksi Bersih Padi 2025'!C109="","",'1.1 Produksi Bersih Padi 2025'!C109)</f>
        <v/>
      </c>
      <c r="D109" s="3" t="str">
        <f>IF('1.1 Produksi Bersih Padi 2025'!D109="","",'1.1 Produksi Bersih Padi 2025'!D109)</f>
        <v/>
      </c>
      <c r="E109" s="3" t="str">
        <f>IF('1.1 Produksi Bersih Padi 2025'!E109="","",'1.1 Produksi Bersih Padi 2025'!E109)</f>
        <v/>
      </c>
      <c r="F109" s="28" t="str">
        <f>IF(D109="","",VLOOKUP(D109,'[1]0.1 Produksi Pangan &amp; Penduduk'!$D$5:$S$860,16,0))</f>
        <v/>
      </c>
      <c r="G109" s="28" t="str">
        <f t="shared" si="6"/>
        <v/>
      </c>
      <c r="H109" s="29" t="str">
        <f t="shared" si="7"/>
        <v/>
      </c>
      <c r="I109" s="29" t="str">
        <f t="shared" si="8"/>
        <v/>
      </c>
      <c r="J109" s="29" t="str">
        <f t="shared" si="9"/>
        <v/>
      </c>
      <c r="K109" s="29" t="str">
        <f t="shared" si="10"/>
        <v/>
      </c>
      <c r="L109" s="29" t="str">
        <f t="shared" si="11"/>
        <v/>
      </c>
      <c r="N109" s="11"/>
    </row>
    <row r="110" spans="1:14" ht="15" x14ac:dyDescent="0.25">
      <c r="A110" s="1" t="str">
        <f>IF('1.1 Produksi Bersih Padi 2025'!A110="","",'1.1 Produksi Bersih Padi 2025'!A110)</f>
        <v/>
      </c>
      <c r="B110" s="2" t="str">
        <f>IF('1.1 Produksi Bersih Padi 2025'!B110="","",'1.1 Produksi Bersih Padi 2025'!B110)</f>
        <v/>
      </c>
      <c r="C110" s="2" t="str">
        <f>IF('1.1 Produksi Bersih Padi 2025'!C110="","",'1.1 Produksi Bersih Padi 2025'!C110)</f>
        <v/>
      </c>
      <c r="D110" s="3" t="str">
        <f>IF('1.1 Produksi Bersih Padi 2025'!D110="","",'1.1 Produksi Bersih Padi 2025'!D110)</f>
        <v/>
      </c>
      <c r="E110" s="3" t="str">
        <f>IF('1.1 Produksi Bersih Padi 2025'!E110="","",'1.1 Produksi Bersih Padi 2025'!E110)</f>
        <v/>
      </c>
      <c r="F110" s="28" t="str">
        <f>IF(D110="","",VLOOKUP(D110,'[1]0.1 Produksi Pangan &amp; Penduduk'!$D$5:$S$860,16,0))</f>
        <v/>
      </c>
      <c r="G110" s="28" t="str">
        <f t="shared" si="6"/>
        <v/>
      </c>
      <c r="H110" s="29" t="str">
        <f t="shared" si="7"/>
        <v/>
      </c>
      <c r="I110" s="29" t="str">
        <f t="shared" si="8"/>
        <v/>
      </c>
      <c r="J110" s="29" t="str">
        <f t="shared" si="9"/>
        <v/>
      </c>
      <c r="K110" s="29" t="str">
        <f t="shared" si="10"/>
        <v/>
      </c>
      <c r="L110" s="29" t="str">
        <f t="shared" si="11"/>
        <v/>
      </c>
      <c r="N110" s="11"/>
    </row>
    <row r="111" spans="1:14" ht="15" x14ac:dyDescent="0.25">
      <c r="A111" s="1" t="str">
        <f>IF('1.1 Produksi Bersih Padi 2025'!A111="","",'1.1 Produksi Bersih Padi 2025'!A111)</f>
        <v/>
      </c>
      <c r="B111" s="2" t="str">
        <f>IF('1.1 Produksi Bersih Padi 2025'!B111="","",'1.1 Produksi Bersih Padi 2025'!B111)</f>
        <v/>
      </c>
      <c r="C111" s="2" t="str">
        <f>IF('1.1 Produksi Bersih Padi 2025'!C111="","",'1.1 Produksi Bersih Padi 2025'!C111)</f>
        <v/>
      </c>
      <c r="D111" s="3" t="str">
        <f>IF('1.1 Produksi Bersih Padi 2025'!D111="","",'1.1 Produksi Bersih Padi 2025'!D111)</f>
        <v/>
      </c>
      <c r="E111" s="3" t="str">
        <f>IF('1.1 Produksi Bersih Padi 2025'!E111="","",'1.1 Produksi Bersih Padi 2025'!E111)</f>
        <v/>
      </c>
      <c r="F111" s="28" t="str">
        <f>IF(D111="","",VLOOKUP(D111,'[1]0.1 Produksi Pangan &amp; Penduduk'!$D$5:$S$860,16,0))</f>
        <v/>
      </c>
      <c r="G111" s="28" t="str">
        <f t="shared" si="6"/>
        <v/>
      </c>
      <c r="H111" s="29" t="str">
        <f t="shared" si="7"/>
        <v/>
      </c>
      <c r="I111" s="29" t="str">
        <f t="shared" si="8"/>
        <v/>
      </c>
      <c r="J111" s="29" t="str">
        <f t="shared" si="9"/>
        <v/>
      </c>
      <c r="K111" s="29" t="str">
        <f t="shared" si="10"/>
        <v/>
      </c>
      <c r="L111" s="29" t="str">
        <f t="shared" si="11"/>
        <v/>
      </c>
      <c r="N111" s="11"/>
    </row>
    <row r="112" spans="1:14" ht="15" x14ac:dyDescent="0.25">
      <c r="A112" s="1" t="str">
        <f>IF('1.1 Produksi Bersih Padi 2025'!A112="","",'1.1 Produksi Bersih Padi 2025'!A112)</f>
        <v/>
      </c>
      <c r="B112" s="2" t="str">
        <f>IF('1.1 Produksi Bersih Padi 2025'!B112="","",'1.1 Produksi Bersih Padi 2025'!B112)</f>
        <v/>
      </c>
      <c r="C112" s="2" t="str">
        <f>IF('1.1 Produksi Bersih Padi 2025'!C112="","",'1.1 Produksi Bersih Padi 2025'!C112)</f>
        <v/>
      </c>
      <c r="D112" s="3" t="str">
        <f>IF('1.1 Produksi Bersih Padi 2025'!D112="","",'1.1 Produksi Bersih Padi 2025'!D112)</f>
        <v/>
      </c>
      <c r="E112" s="3" t="str">
        <f>IF('1.1 Produksi Bersih Padi 2025'!E112="","",'1.1 Produksi Bersih Padi 2025'!E112)</f>
        <v/>
      </c>
      <c r="F112" s="28" t="str">
        <f>IF(D112="","",VLOOKUP(D112,'[1]0.1 Produksi Pangan &amp; Penduduk'!$D$5:$S$860,16,0))</f>
        <v/>
      </c>
      <c r="G112" s="28" t="str">
        <f t="shared" si="6"/>
        <v/>
      </c>
      <c r="H112" s="29" t="str">
        <f t="shared" si="7"/>
        <v/>
      </c>
      <c r="I112" s="29" t="str">
        <f t="shared" si="8"/>
        <v/>
      </c>
      <c r="J112" s="29" t="str">
        <f t="shared" si="9"/>
        <v/>
      </c>
      <c r="K112" s="29" t="str">
        <f t="shared" si="10"/>
        <v/>
      </c>
      <c r="L112" s="29" t="str">
        <f t="shared" si="11"/>
        <v/>
      </c>
      <c r="N112" s="11"/>
    </row>
    <row r="113" spans="1:14" ht="15" x14ac:dyDescent="0.25">
      <c r="A113" s="1" t="str">
        <f>IF('1.1 Produksi Bersih Padi 2025'!A113="","",'1.1 Produksi Bersih Padi 2025'!A113)</f>
        <v/>
      </c>
      <c r="B113" s="2" t="str">
        <f>IF('1.1 Produksi Bersih Padi 2025'!B113="","",'1.1 Produksi Bersih Padi 2025'!B113)</f>
        <v/>
      </c>
      <c r="C113" s="2" t="str">
        <f>IF('1.1 Produksi Bersih Padi 2025'!C113="","",'1.1 Produksi Bersih Padi 2025'!C113)</f>
        <v/>
      </c>
      <c r="D113" s="3" t="str">
        <f>IF('1.1 Produksi Bersih Padi 2025'!D113="","",'1.1 Produksi Bersih Padi 2025'!D113)</f>
        <v/>
      </c>
      <c r="E113" s="3" t="str">
        <f>IF('1.1 Produksi Bersih Padi 2025'!E113="","",'1.1 Produksi Bersih Padi 2025'!E113)</f>
        <v/>
      </c>
      <c r="F113" s="28" t="str">
        <f>IF(D113="","",VLOOKUP(D113,'[1]0.1 Produksi Pangan &amp; Penduduk'!$D$5:$S$860,16,0))</f>
        <v/>
      </c>
      <c r="G113" s="28" t="str">
        <f t="shared" si="6"/>
        <v/>
      </c>
      <c r="H113" s="29" t="str">
        <f t="shared" si="7"/>
        <v/>
      </c>
      <c r="I113" s="29" t="str">
        <f t="shared" si="8"/>
        <v/>
      </c>
      <c r="J113" s="29" t="str">
        <f t="shared" si="9"/>
        <v/>
      </c>
      <c r="K113" s="29" t="str">
        <f t="shared" si="10"/>
        <v/>
      </c>
      <c r="L113" s="29" t="str">
        <f t="shared" si="11"/>
        <v/>
      </c>
      <c r="N113" s="11"/>
    </row>
    <row r="114" spans="1:14" ht="15" x14ac:dyDescent="0.25">
      <c r="A114" s="1" t="str">
        <f>IF('1.1 Produksi Bersih Padi 2025'!A114="","",'1.1 Produksi Bersih Padi 2025'!A114)</f>
        <v/>
      </c>
      <c r="B114" s="2" t="str">
        <f>IF('1.1 Produksi Bersih Padi 2025'!B114="","",'1.1 Produksi Bersih Padi 2025'!B114)</f>
        <v/>
      </c>
      <c r="C114" s="2" t="str">
        <f>IF('1.1 Produksi Bersih Padi 2025'!C114="","",'1.1 Produksi Bersih Padi 2025'!C114)</f>
        <v/>
      </c>
      <c r="D114" s="3" t="str">
        <f>IF('1.1 Produksi Bersih Padi 2025'!D114="","",'1.1 Produksi Bersih Padi 2025'!D114)</f>
        <v/>
      </c>
      <c r="E114" s="3" t="str">
        <f>IF('1.1 Produksi Bersih Padi 2025'!E114="","",'1.1 Produksi Bersih Padi 2025'!E114)</f>
        <v/>
      </c>
      <c r="F114" s="28" t="str">
        <f>IF(D114="","",VLOOKUP(D114,'[1]0.1 Produksi Pangan &amp; Penduduk'!$D$5:$S$860,16,0))</f>
        <v/>
      </c>
      <c r="G114" s="28" t="str">
        <f t="shared" si="6"/>
        <v/>
      </c>
      <c r="H114" s="29" t="str">
        <f t="shared" si="7"/>
        <v/>
      </c>
      <c r="I114" s="29" t="str">
        <f t="shared" si="8"/>
        <v/>
      </c>
      <c r="J114" s="29" t="str">
        <f t="shared" si="9"/>
        <v/>
      </c>
      <c r="K114" s="29" t="str">
        <f t="shared" si="10"/>
        <v/>
      </c>
      <c r="L114" s="29" t="str">
        <f t="shared" si="11"/>
        <v/>
      </c>
      <c r="N114" s="11"/>
    </row>
    <row r="115" spans="1:14" ht="15" x14ac:dyDescent="0.25">
      <c r="A115" s="1" t="str">
        <f>IF('1.1 Produksi Bersih Padi 2025'!A115="","",'1.1 Produksi Bersih Padi 2025'!A115)</f>
        <v/>
      </c>
      <c r="B115" s="2" t="str">
        <f>IF('1.1 Produksi Bersih Padi 2025'!B115="","",'1.1 Produksi Bersih Padi 2025'!B115)</f>
        <v/>
      </c>
      <c r="C115" s="2" t="str">
        <f>IF('1.1 Produksi Bersih Padi 2025'!C115="","",'1.1 Produksi Bersih Padi 2025'!C115)</f>
        <v/>
      </c>
      <c r="D115" s="3" t="str">
        <f>IF('1.1 Produksi Bersih Padi 2025'!D115="","",'1.1 Produksi Bersih Padi 2025'!D115)</f>
        <v/>
      </c>
      <c r="E115" s="3" t="str">
        <f>IF('1.1 Produksi Bersih Padi 2025'!E115="","",'1.1 Produksi Bersih Padi 2025'!E115)</f>
        <v/>
      </c>
      <c r="F115" s="28" t="str">
        <f>IF(D115="","",VLOOKUP(D115,'[1]0.1 Produksi Pangan &amp; Penduduk'!$D$5:$S$860,16,0))</f>
        <v/>
      </c>
      <c r="G115" s="28" t="str">
        <f t="shared" si="6"/>
        <v/>
      </c>
      <c r="H115" s="29" t="str">
        <f t="shared" si="7"/>
        <v/>
      </c>
      <c r="I115" s="29" t="str">
        <f t="shared" si="8"/>
        <v/>
      </c>
      <c r="J115" s="29" t="str">
        <f t="shared" si="9"/>
        <v/>
      </c>
      <c r="K115" s="29" t="str">
        <f t="shared" si="10"/>
        <v/>
      </c>
      <c r="L115" s="29" t="str">
        <f t="shared" si="11"/>
        <v/>
      </c>
      <c r="N115" s="11"/>
    </row>
    <row r="116" spans="1:14" ht="15" x14ac:dyDescent="0.25">
      <c r="A116" s="1" t="str">
        <f>IF('1.1 Produksi Bersih Padi 2025'!A116="","",'1.1 Produksi Bersih Padi 2025'!A116)</f>
        <v/>
      </c>
      <c r="B116" s="2" t="str">
        <f>IF('1.1 Produksi Bersih Padi 2025'!B116="","",'1.1 Produksi Bersih Padi 2025'!B116)</f>
        <v/>
      </c>
      <c r="C116" s="2" t="str">
        <f>IF('1.1 Produksi Bersih Padi 2025'!C116="","",'1.1 Produksi Bersih Padi 2025'!C116)</f>
        <v/>
      </c>
      <c r="D116" s="3" t="str">
        <f>IF('1.1 Produksi Bersih Padi 2025'!D116="","",'1.1 Produksi Bersih Padi 2025'!D116)</f>
        <v/>
      </c>
      <c r="E116" s="3" t="str">
        <f>IF('1.1 Produksi Bersih Padi 2025'!E116="","",'1.1 Produksi Bersih Padi 2025'!E116)</f>
        <v/>
      </c>
      <c r="F116" s="28" t="str">
        <f>IF(D116="","",VLOOKUP(D116,'[1]0.1 Produksi Pangan &amp; Penduduk'!$D$5:$S$860,16,0))</f>
        <v/>
      </c>
      <c r="G116" s="28" t="str">
        <f t="shared" si="6"/>
        <v/>
      </c>
      <c r="H116" s="29" t="str">
        <f t="shared" si="7"/>
        <v/>
      </c>
      <c r="I116" s="29" t="str">
        <f t="shared" si="8"/>
        <v/>
      </c>
      <c r="J116" s="29" t="str">
        <f t="shared" si="9"/>
        <v/>
      </c>
      <c r="K116" s="29" t="str">
        <f t="shared" si="10"/>
        <v/>
      </c>
      <c r="L116" s="29" t="str">
        <f t="shared" si="11"/>
        <v/>
      </c>
      <c r="N116" s="11"/>
    </row>
    <row r="117" spans="1:14" ht="15" x14ac:dyDescent="0.25">
      <c r="A117" s="1" t="str">
        <f>IF('1.1 Produksi Bersih Padi 2025'!A117="","",'1.1 Produksi Bersih Padi 2025'!A117)</f>
        <v/>
      </c>
      <c r="B117" s="2" t="str">
        <f>IF('1.1 Produksi Bersih Padi 2025'!B117="","",'1.1 Produksi Bersih Padi 2025'!B117)</f>
        <v/>
      </c>
      <c r="C117" s="2" t="str">
        <f>IF('1.1 Produksi Bersih Padi 2025'!C117="","",'1.1 Produksi Bersih Padi 2025'!C117)</f>
        <v/>
      </c>
      <c r="D117" s="3" t="str">
        <f>IF('1.1 Produksi Bersih Padi 2025'!D117="","",'1.1 Produksi Bersih Padi 2025'!D117)</f>
        <v/>
      </c>
      <c r="E117" s="3" t="str">
        <f>IF('1.1 Produksi Bersih Padi 2025'!E117="","",'1.1 Produksi Bersih Padi 2025'!E117)</f>
        <v/>
      </c>
      <c r="F117" s="28" t="str">
        <f>IF(D117="","",VLOOKUP(D117,'[1]0.1 Produksi Pangan &amp; Penduduk'!$D$5:$S$860,16,0))</f>
        <v/>
      </c>
      <c r="G117" s="28" t="str">
        <f t="shared" si="6"/>
        <v/>
      </c>
      <c r="H117" s="29" t="str">
        <f t="shared" si="7"/>
        <v/>
      </c>
      <c r="I117" s="29" t="str">
        <f t="shared" si="8"/>
        <v/>
      </c>
      <c r="J117" s="29" t="str">
        <f t="shared" si="9"/>
        <v/>
      </c>
      <c r="K117" s="29" t="str">
        <f t="shared" si="10"/>
        <v/>
      </c>
      <c r="L117" s="29" t="str">
        <f t="shared" si="11"/>
        <v/>
      </c>
      <c r="N117" s="11"/>
    </row>
    <row r="118" spans="1:14" ht="15" x14ac:dyDescent="0.25">
      <c r="A118" s="1" t="str">
        <f>IF('1.1 Produksi Bersih Padi 2025'!A118="","",'1.1 Produksi Bersih Padi 2025'!A118)</f>
        <v/>
      </c>
      <c r="B118" s="2" t="str">
        <f>IF('1.1 Produksi Bersih Padi 2025'!B118="","",'1.1 Produksi Bersih Padi 2025'!B118)</f>
        <v/>
      </c>
      <c r="C118" s="2" t="str">
        <f>IF('1.1 Produksi Bersih Padi 2025'!C118="","",'1.1 Produksi Bersih Padi 2025'!C118)</f>
        <v/>
      </c>
      <c r="D118" s="3" t="str">
        <f>IF('1.1 Produksi Bersih Padi 2025'!D118="","",'1.1 Produksi Bersih Padi 2025'!D118)</f>
        <v/>
      </c>
      <c r="E118" s="3" t="str">
        <f>IF('1.1 Produksi Bersih Padi 2025'!E118="","",'1.1 Produksi Bersih Padi 2025'!E118)</f>
        <v/>
      </c>
      <c r="F118" s="28" t="str">
        <f>IF(D118="","",VLOOKUP(D118,'[1]0.1 Produksi Pangan &amp; Penduduk'!$D$5:$S$860,16,0))</f>
        <v/>
      </c>
      <c r="G118" s="28" t="str">
        <f t="shared" si="6"/>
        <v/>
      </c>
      <c r="H118" s="29" t="str">
        <f t="shared" si="7"/>
        <v/>
      </c>
      <c r="I118" s="29" t="str">
        <f t="shared" si="8"/>
        <v/>
      </c>
      <c r="J118" s="29" t="str">
        <f t="shared" si="9"/>
        <v/>
      </c>
      <c r="K118" s="29" t="str">
        <f t="shared" si="10"/>
        <v/>
      </c>
      <c r="L118" s="29" t="str">
        <f t="shared" si="11"/>
        <v/>
      </c>
      <c r="N118" s="11"/>
    </row>
    <row r="119" spans="1:14" ht="15" x14ac:dyDescent="0.25">
      <c r="A119" s="1" t="str">
        <f>IF('1.1 Produksi Bersih Padi 2025'!A119="","",'1.1 Produksi Bersih Padi 2025'!A119)</f>
        <v/>
      </c>
      <c r="B119" s="2" t="str">
        <f>IF('1.1 Produksi Bersih Padi 2025'!B119="","",'1.1 Produksi Bersih Padi 2025'!B119)</f>
        <v/>
      </c>
      <c r="C119" s="2" t="str">
        <f>IF('1.1 Produksi Bersih Padi 2025'!C119="","",'1.1 Produksi Bersih Padi 2025'!C119)</f>
        <v/>
      </c>
      <c r="D119" s="3" t="str">
        <f>IF('1.1 Produksi Bersih Padi 2025'!D119="","",'1.1 Produksi Bersih Padi 2025'!D119)</f>
        <v/>
      </c>
      <c r="E119" s="3" t="str">
        <f>IF('1.1 Produksi Bersih Padi 2025'!E119="","",'1.1 Produksi Bersih Padi 2025'!E119)</f>
        <v/>
      </c>
      <c r="F119" s="28" t="str">
        <f>IF(D119="","",VLOOKUP(D119,'[1]0.1 Produksi Pangan &amp; Penduduk'!$D$5:$S$860,16,0))</f>
        <v/>
      </c>
      <c r="G119" s="28" t="str">
        <f t="shared" si="6"/>
        <v/>
      </c>
      <c r="H119" s="29" t="str">
        <f t="shared" si="7"/>
        <v/>
      </c>
      <c r="I119" s="29" t="str">
        <f t="shared" si="8"/>
        <v/>
      </c>
      <c r="J119" s="29" t="str">
        <f t="shared" si="9"/>
        <v/>
      </c>
      <c r="K119" s="29" t="str">
        <f t="shared" si="10"/>
        <v/>
      </c>
      <c r="L119" s="29" t="str">
        <f t="shared" si="11"/>
        <v/>
      </c>
      <c r="N119" s="11"/>
    </row>
    <row r="120" spans="1:14" ht="15" x14ac:dyDescent="0.25">
      <c r="A120" s="1" t="str">
        <f>IF('1.1 Produksi Bersih Padi 2025'!A120="","",'1.1 Produksi Bersih Padi 2025'!A120)</f>
        <v/>
      </c>
      <c r="B120" s="2" t="str">
        <f>IF('1.1 Produksi Bersih Padi 2025'!B120="","",'1.1 Produksi Bersih Padi 2025'!B120)</f>
        <v/>
      </c>
      <c r="C120" s="2" t="str">
        <f>IF('1.1 Produksi Bersih Padi 2025'!C120="","",'1.1 Produksi Bersih Padi 2025'!C120)</f>
        <v/>
      </c>
      <c r="D120" s="3" t="str">
        <f>IF('1.1 Produksi Bersih Padi 2025'!D120="","",'1.1 Produksi Bersih Padi 2025'!D120)</f>
        <v/>
      </c>
      <c r="E120" s="3" t="str">
        <f>IF('1.1 Produksi Bersih Padi 2025'!E120="","",'1.1 Produksi Bersih Padi 2025'!E120)</f>
        <v/>
      </c>
      <c r="F120" s="28" t="str">
        <f>IF(D120="","",VLOOKUP(D120,'[1]0.1 Produksi Pangan &amp; Penduduk'!$D$5:$S$860,16,0))</f>
        <v/>
      </c>
      <c r="G120" s="28" t="str">
        <f t="shared" si="6"/>
        <v/>
      </c>
      <c r="H120" s="29" t="str">
        <f t="shared" si="7"/>
        <v/>
      </c>
      <c r="I120" s="29" t="str">
        <f t="shared" si="8"/>
        <v/>
      </c>
      <c r="J120" s="29" t="str">
        <f t="shared" si="9"/>
        <v/>
      </c>
      <c r="K120" s="29" t="str">
        <f t="shared" si="10"/>
        <v/>
      </c>
      <c r="L120" s="29" t="str">
        <f t="shared" si="11"/>
        <v/>
      </c>
      <c r="N120" s="11"/>
    </row>
    <row r="121" spans="1:14" ht="15" x14ac:dyDescent="0.25">
      <c r="A121" s="1" t="str">
        <f>IF('1.1 Produksi Bersih Padi 2025'!A121="","",'1.1 Produksi Bersih Padi 2025'!A121)</f>
        <v/>
      </c>
      <c r="B121" s="2" t="str">
        <f>IF('1.1 Produksi Bersih Padi 2025'!B121="","",'1.1 Produksi Bersih Padi 2025'!B121)</f>
        <v/>
      </c>
      <c r="C121" s="2" t="str">
        <f>IF('1.1 Produksi Bersih Padi 2025'!C121="","",'1.1 Produksi Bersih Padi 2025'!C121)</f>
        <v/>
      </c>
      <c r="D121" s="3" t="str">
        <f>IF('1.1 Produksi Bersih Padi 2025'!D121="","",'1.1 Produksi Bersih Padi 2025'!D121)</f>
        <v/>
      </c>
      <c r="E121" s="3" t="str">
        <f>IF('1.1 Produksi Bersih Padi 2025'!E121="","",'1.1 Produksi Bersih Padi 2025'!E121)</f>
        <v/>
      </c>
      <c r="F121" s="28" t="str">
        <f>IF(D121="","",VLOOKUP(D121,'[1]0.1 Produksi Pangan &amp; Penduduk'!$D$5:$S$860,16,0))</f>
        <v/>
      </c>
      <c r="G121" s="28" t="str">
        <f t="shared" si="6"/>
        <v/>
      </c>
      <c r="H121" s="29" t="str">
        <f t="shared" si="7"/>
        <v/>
      </c>
      <c r="I121" s="29" t="str">
        <f t="shared" si="8"/>
        <v/>
      </c>
      <c r="J121" s="29" t="str">
        <f t="shared" si="9"/>
        <v/>
      </c>
      <c r="K121" s="29" t="str">
        <f t="shared" si="10"/>
        <v/>
      </c>
      <c r="L121" s="29" t="str">
        <f t="shared" si="11"/>
        <v/>
      </c>
      <c r="N121" s="11"/>
    </row>
    <row r="122" spans="1:14" ht="15" x14ac:dyDescent="0.25">
      <c r="A122" s="1" t="str">
        <f>IF('1.1 Produksi Bersih Padi 2025'!A122="","",'1.1 Produksi Bersih Padi 2025'!A122)</f>
        <v/>
      </c>
      <c r="B122" s="2" t="str">
        <f>IF('1.1 Produksi Bersih Padi 2025'!B122="","",'1.1 Produksi Bersih Padi 2025'!B122)</f>
        <v/>
      </c>
      <c r="C122" s="2" t="str">
        <f>IF('1.1 Produksi Bersih Padi 2025'!C122="","",'1.1 Produksi Bersih Padi 2025'!C122)</f>
        <v/>
      </c>
      <c r="D122" s="3" t="str">
        <f>IF('1.1 Produksi Bersih Padi 2025'!D122="","",'1.1 Produksi Bersih Padi 2025'!D122)</f>
        <v/>
      </c>
      <c r="E122" s="3" t="str">
        <f>IF('1.1 Produksi Bersih Padi 2025'!E122="","",'1.1 Produksi Bersih Padi 2025'!E122)</f>
        <v/>
      </c>
      <c r="F122" s="28" t="str">
        <f>IF(D122="","",VLOOKUP(D122,'[1]0.1 Produksi Pangan &amp; Penduduk'!$D$5:$S$860,16,0))</f>
        <v/>
      </c>
      <c r="G122" s="28" t="str">
        <f t="shared" si="6"/>
        <v/>
      </c>
      <c r="H122" s="29" t="str">
        <f t="shared" si="7"/>
        <v/>
      </c>
      <c r="I122" s="29" t="str">
        <f t="shared" si="8"/>
        <v/>
      </c>
      <c r="J122" s="29" t="str">
        <f t="shared" si="9"/>
        <v/>
      </c>
      <c r="K122" s="29" t="str">
        <f t="shared" si="10"/>
        <v/>
      </c>
      <c r="L122" s="29" t="str">
        <f t="shared" si="11"/>
        <v/>
      </c>
      <c r="N122" s="11"/>
    </row>
    <row r="123" spans="1:14" ht="15" x14ac:dyDescent="0.25">
      <c r="A123" s="1" t="str">
        <f>IF('1.1 Produksi Bersih Padi 2025'!A123="","",'1.1 Produksi Bersih Padi 2025'!A123)</f>
        <v/>
      </c>
      <c r="B123" s="2" t="str">
        <f>IF('1.1 Produksi Bersih Padi 2025'!B123="","",'1.1 Produksi Bersih Padi 2025'!B123)</f>
        <v/>
      </c>
      <c r="C123" s="2" t="str">
        <f>IF('1.1 Produksi Bersih Padi 2025'!C123="","",'1.1 Produksi Bersih Padi 2025'!C123)</f>
        <v/>
      </c>
      <c r="D123" s="3" t="str">
        <f>IF('1.1 Produksi Bersih Padi 2025'!D123="","",'1.1 Produksi Bersih Padi 2025'!D123)</f>
        <v/>
      </c>
      <c r="E123" s="3" t="str">
        <f>IF('1.1 Produksi Bersih Padi 2025'!E123="","",'1.1 Produksi Bersih Padi 2025'!E123)</f>
        <v/>
      </c>
      <c r="F123" s="28" t="str">
        <f>IF(D123="","",VLOOKUP(D123,'[1]0.1 Produksi Pangan &amp; Penduduk'!$D$5:$S$860,16,0))</f>
        <v/>
      </c>
      <c r="G123" s="28" t="str">
        <f t="shared" si="6"/>
        <v/>
      </c>
      <c r="H123" s="29" t="str">
        <f t="shared" si="7"/>
        <v/>
      </c>
      <c r="I123" s="29" t="str">
        <f t="shared" si="8"/>
        <v/>
      </c>
      <c r="J123" s="29" t="str">
        <f t="shared" si="9"/>
        <v/>
      </c>
      <c r="K123" s="29" t="str">
        <f t="shared" si="10"/>
        <v/>
      </c>
      <c r="L123" s="29" t="str">
        <f t="shared" si="11"/>
        <v/>
      </c>
      <c r="N123" s="11"/>
    </row>
    <row r="124" spans="1:14" ht="15" x14ac:dyDescent="0.25">
      <c r="A124" s="1" t="str">
        <f>IF('1.1 Produksi Bersih Padi 2025'!A124="","",'1.1 Produksi Bersih Padi 2025'!A124)</f>
        <v/>
      </c>
      <c r="B124" s="2" t="str">
        <f>IF('1.1 Produksi Bersih Padi 2025'!B124="","",'1.1 Produksi Bersih Padi 2025'!B124)</f>
        <v/>
      </c>
      <c r="C124" s="2" t="str">
        <f>IF('1.1 Produksi Bersih Padi 2025'!C124="","",'1.1 Produksi Bersih Padi 2025'!C124)</f>
        <v/>
      </c>
      <c r="D124" s="3" t="str">
        <f>IF('1.1 Produksi Bersih Padi 2025'!D124="","",'1.1 Produksi Bersih Padi 2025'!D124)</f>
        <v/>
      </c>
      <c r="E124" s="3" t="str">
        <f>IF('1.1 Produksi Bersih Padi 2025'!E124="","",'1.1 Produksi Bersih Padi 2025'!E124)</f>
        <v/>
      </c>
      <c r="F124" s="28" t="str">
        <f>IF(D124="","",VLOOKUP(D124,'[1]0.1 Produksi Pangan &amp; Penduduk'!$D$5:$S$860,16,0))</f>
        <v/>
      </c>
      <c r="G124" s="28" t="str">
        <f t="shared" si="6"/>
        <v/>
      </c>
      <c r="H124" s="29" t="str">
        <f t="shared" si="7"/>
        <v/>
      </c>
      <c r="I124" s="29" t="str">
        <f t="shared" si="8"/>
        <v/>
      </c>
      <c r="J124" s="29" t="str">
        <f t="shared" si="9"/>
        <v/>
      </c>
      <c r="K124" s="29" t="str">
        <f t="shared" si="10"/>
        <v/>
      </c>
      <c r="L124" s="29" t="str">
        <f t="shared" si="11"/>
        <v/>
      </c>
      <c r="N124" s="11"/>
    </row>
    <row r="125" spans="1:14" ht="15" x14ac:dyDescent="0.25">
      <c r="A125" s="1" t="str">
        <f>IF('1.1 Produksi Bersih Padi 2025'!A125="","",'1.1 Produksi Bersih Padi 2025'!A125)</f>
        <v/>
      </c>
      <c r="B125" s="2" t="str">
        <f>IF('1.1 Produksi Bersih Padi 2025'!B125="","",'1.1 Produksi Bersih Padi 2025'!B125)</f>
        <v/>
      </c>
      <c r="C125" s="2" t="str">
        <f>IF('1.1 Produksi Bersih Padi 2025'!C125="","",'1.1 Produksi Bersih Padi 2025'!C125)</f>
        <v/>
      </c>
      <c r="D125" s="3" t="str">
        <f>IF('1.1 Produksi Bersih Padi 2025'!D125="","",'1.1 Produksi Bersih Padi 2025'!D125)</f>
        <v/>
      </c>
      <c r="E125" s="3" t="str">
        <f>IF('1.1 Produksi Bersih Padi 2025'!E125="","",'1.1 Produksi Bersih Padi 2025'!E125)</f>
        <v/>
      </c>
      <c r="F125" s="28" t="str">
        <f>IF(D125="","",VLOOKUP(D125,'[1]0.1 Produksi Pangan &amp; Penduduk'!$D$5:$S$860,16,0))</f>
        <v/>
      </c>
      <c r="G125" s="28" t="str">
        <f t="shared" si="6"/>
        <v/>
      </c>
      <c r="H125" s="29" t="str">
        <f t="shared" si="7"/>
        <v/>
      </c>
      <c r="I125" s="29" t="str">
        <f t="shared" si="8"/>
        <v/>
      </c>
      <c r="J125" s="29" t="str">
        <f t="shared" si="9"/>
        <v/>
      </c>
      <c r="K125" s="29" t="str">
        <f t="shared" si="10"/>
        <v/>
      </c>
      <c r="L125" s="29" t="str">
        <f t="shared" si="11"/>
        <v/>
      </c>
      <c r="N125" s="11"/>
    </row>
    <row r="126" spans="1:14" ht="15" x14ac:dyDescent="0.25">
      <c r="A126" s="1" t="str">
        <f>IF('1.1 Produksi Bersih Padi 2025'!A126="","",'1.1 Produksi Bersih Padi 2025'!A126)</f>
        <v/>
      </c>
      <c r="B126" s="2" t="str">
        <f>IF('1.1 Produksi Bersih Padi 2025'!B126="","",'1.1 Produksi Bersih Padi 2025'!B126)</f>
        <v/>
      </c>
      <c r="C126" s="2" t="str">
        <f>IF('1.1 Produksi Bersih Padi 2025'!C126="","",'1.1 Produksi Bersih Padi 2025'!C126)</f>
        <v/>
      </c>
      <c r="D126" s="3" t="str">
        <f>IF('1.1 Produksi Bersih Padi 2025'!D126="","",'1.1 Produksi Bersih Padi 2025'!D126)</f>
        <v/>
      </c>
      <c r="E126" s="3" t="str">
        <f>IF('1.1 Produksi Bersih Padi 2025'!E126="","",'1.1 Produksi Bersih Padi 2025'!E126)</f>
        <v/>
      </c>
      <c r="F126" s="28" t="str">
        <f>IF(D126="","",VLOOKUP(D126,'[1]0.1 Produksi Pangan &amp; Penduduk'!$D$5:$S$860,16,0))</f>
        <v/>
      </c>
      <c r="G126" s="28" t="str">
        <f t="shared" si="6"/>
        <v/>
      </c>
      <c r="H126" s="29" t="str">
        <f t="shared" si="7"/>
        <v/>
      </c>
      <c r="I126" s="29" t="str">
        <f t="shared" si="8"/>
        <v/>
      </c>
      <c r="J126" s="29" t="str">
        <f t="shared" si="9"/>
        <v/>
      </c>
      <c r="K126" s="29" t="str">
        <f t="shared" si="10"/>
        <v/>
      </c>
      <c r="L126" s="29" t="str">
        <f t="shared" si="11"/>
        <v/>
      </c>
      <c r="N126" s="11"/>
    </row>
    <row r="127" spans="1:14" ht="15" x14ac:dyDescent="0.25">
      <c r="A127" s="1" t="str">
        <f>IF('1.1 Produksi Bersih Padi 2025'!A127="","",'1.1 Produksi Bersih Padi 2025'!A127)</f>
        <v/>
      </c>
      <c r="B127" s="2" t="str">
        <f>IF('1.1 Produksi Bersih Padi 2025'!B127="","",'1.1 Produksi Bersih Padi 2025'!B127)</f>
        <v/>
      </c>
      <c r="C127" s="2" t="str">
        <f>IF('1.1 Produksi Bersih Padi 2025'!C127="","",'1.1 Produksi Bersih Padi 2025'!C127)</f>
        <v/>
      </c>
      <c r="D127" s="3" t="str">
        <f>IF('1.1 Produksi Bersih Padi 2025'!D127="","",'1.1 Produksi Bersih Padi 2025'!D127)</f>
        <v/>
      </c>
      <c r="E127" s="3" t="str">
        <f>IF('1.1 Produksi Bersih Padi 2025'!E127="","",'1.1 Produksi Bersih Padi 2025'!E127)</f>
        <v/>
      </c>
      <c r="F127" s="28" t="str">
        <f>IF(D127="","",VLOOKUP(D127,'[1]0.1 Produksi Pangan &amp; Penduduk'!$D$5:$S$860,16,0))</f>
        <v/>
      </c>
      <c r="G127" s="28" t="str">
        <f t="shared" si="6"/>
        <v/>
      </c>
      <c r="H127" s="29" t="str">
        <f t="shared" si="7"/>
        <v/>
      </c>
      <c r="I127" s="29" t="str">
        <f t="shared" si="8"/>
        <v/>
      </c>
      <c r="J127" s="29" t="str">
        <f t="shared" si="9"/>
        <v/>
      </c>
      <c r="K127" s="29" t="str">
        <f t="shared" si="10"/>
        <v/>
      </c>
      <c r="L127" s="29" t="str">
        <f t="shared" si="11"/>
        <v/>
      </c>
      <c r="N127" s="11"/>
    </row>
    <row r="128" spans="1:14" ht="15" x14ac:dyDescent="0.25">
      <c r="A128" s="1" t="str">
        <f>IF('1.1 Produksi Bersih Padi 2025'!A128="","",'1.1 Produksi Bersih Padi 2025'!A128)</f>
        <v/>
      </c>
      <c r="B128" s="2" t="str">
        <f>IF('1.1 Produksi Bersih Padi 2025'!B128="","",'1.1 Produksi Bersih Padi 2025'!B128)</f>
        <v/>
      </c>
      <c r="C128" s="2" t="str">
        <f>IF('1.1 Produksi Bersih Padi 2025'!C128="","",'1.1 Produksi Bersih Padi 2025'!C128)</f>
        <v/>
      </c>
      <c r="D128" s="3" t="str">
        <f>IF('1.1 Produksi Bersih Padi 2025'!D128="","",'1.1 Produksi Bersih Padi 2025'!D128)</f>
        <v/>
      </c>
      <c r="E128" s="3" t="str">
        <f>IF('1.1 Produksi Bersih Padi 2025'!E128="","",'1.1 Produksi Bersih Padi 2025'!E128)</f>
        <v/>
      </c>
      <c r="F128" s="28" t="str">
        <f>IF(D128="","",VLOOKUP(D128,'[1]0.1 Produksi Pangan &amp; Penduduk'!$D$5:$S$860,16,0))</f>
        <v/>
      </c>
      <c r="G128" s="28" t="str">
        <f t="shared" si="6"/>
        <v/>
      </c>
      <c r="H128" s="29" t="str">
        <f t="shared" si="7"/>
        <v/>
      </c>
      <c r="I128" s="29" t="str">
        <f t="shared" si="8"/>
        <v/>
      </c>
      <c r="J128" s="29" t="str">
        <f t="shared" si="9"/>
        <v/>
      </c>
      <c r="K128" s="29" t="str">
        <f t="shared" si="10"/>
        <v/>
      </c>
      <c r="L128" s="29" t="str">
        <f t="shared" si="11"/>
        <v/>
      </c>
      <c r="N128" s="11"/>
    </row>
    <row r="129" spans="1:14" ht="15" x14ac:dyDescent="0.25">
      <c r="A129" s="1" t="str">
        <f>IF('1.1 Produksi Bersih Padi 2025'!A129="","",'1.1 Produksi Bersih Padi 2025'!A129)</f>
        <v/>
      </c>
      <c r="B129" s="2" t="str">
        <f>IF('1.1 Produksi Bersih Padi 2025'!B129="","",'1.1 Produksi Bersih Padi 2025'!B129)</f>
        <v/>
      </c>
      <c r="C129" s="2" t="str">
        <f>IF('1.1 Produksi Bersih Padi 2025'!C129="","",'1.1 Produksi Bersih Padi 2025'!C129)</f>
        <v/>
      </c>
      <c r="D129" s="3" t="str">
        <f>IF('1.1 Produksi Bersih Padi 2025'!D129="","",'1.1 Produksi Bersih Padi 2025'!D129)</f>
        <v/>
      </c>
      <c r="E129" s="3" t="str">
        <f>IF('1.1 Produksi Bersih Padi 2025'!E129="","",'1.1 Produksi Bersih Padi 2025'!E129)</f>
        <v/>
      </c>
      <c r="F129" s="28" t="str">
        <f>IF(D129="","",VLOOKUP(D129,'[1]0.1 Produksi Pangan &amp; Penduduk'!$D$5:$S$860,16,0))</f>
        <v/>
      </c>
      <c r="G129" s="28" t="str">
        <f t="shared" si="6"/>
        <v/>
      </c>
      <c r="H129" s="29" t="str">
        <f t="shared" si="7"/>
        <v/>
      </c>
      <c r="I129" s="29" t="str">
        <f t="shared" si="8"/>
        <v/>
      </c>
      <c r="J129" s="29" t="str">
        <f t="shared" si="9"/>
        <v/>
      </c>
      <c r="K129" s="29" t="str">
        <f t="shared" si="10"/>
        <v/>
      </c>
      <c r="L129" s="29" t="str">
        <f t="shared" si="11"/>
        <v/>
      </c>
      <c r="N129" s="11"/>
    </row>
    <row r="130" spans="1:14" ht="15" x14ac:dyDescent="0.25">
      <c r="A130" s="1" t="str">
        <f>IF('1.1 Produksi Bersih Padi 2025'!A130="","",'1.1 Produksi Bersih Padi 2025'!A130)</f>
        <v/>
      </c>
      <c r="B130" s="2" t="str">
        <f>IF('1.1 Produksi Bersih Padi 2025'!B130="","",'1.1 Produksi Bersih Padi 2025'!B130)</f>
        <v/>
      </c>
      <c r="C130" s="2" t="str">
        <f>IF('1.1 Produksi Bersih Padi 2025'!C130="","",'1.1 Produksi Bersih Padi 2025'!C130)</f>
        <v/>
      </c>
      <c r="D130" s="3" t="str">
        <f>IF('1.1 Produksi Bersih Padi 2025'!D130="","",'1.1 Produksi Bersih Padi 2025'!D130)</f>
        <v/>
      </c>
      <c r="E130" s="3" t="str">
        <f>IF('1.1 Produksi Bersih Padi 2025'!E130="","",'1.1 Produksi Bersih Padi 2025'!E130)</f>
        <v/>
      </c>
      <c r="F130" s="28" t="str">
        <f>IF(D130="","",VLOOKUP(D130,'[1]0.1 Produksi Pangan &amp; Penduduk'!$D$5:$S$860,16,0))</f>
        <v/>
      </c>
      <c r="G130" s="28" t="str">
        <f t="shared" si="6"/>
        <v/>
      </c>
      <c r="H130" s="29" t="str">
        <f t="shared" si="7"/>
        <v/>
      </c>
      <c r="I130" s="29" t="str">
        <f t="shared" si="8"/>
        <v/>
      </c>
      <c r="J130" s="29" t="str">
        <f t="shared" si="9"/>
        <v/>
      </c>
      <c r="K130" s="29" t="str">
        <f t="shared" si="10"/>
        <v/>
      </c>
      <c r="L130" s="29" t="str">
        <f t="shared" si="11"/>
        <v/>
      </c>
      <c r="N130" s="11"/>
    </row>
    <row r="131" spans="1:14" ht="15" x14ac:dyDescent="0.25">
      <c r="A131" s="1" t="str">
        <f>IF('1.1 Produksi Bersih Padi 2025'!A131="","",'1.1 Produksi Bersih Padi 2025'!A131)</f>
        <v/>
      </c>
      <c r="B131" s="2" t="str">
        <f>IF('1.1 Produksi Bersih Padi 2025'!B131="","",'1.1 Produksi Bersih Padi 2025'!B131)</f>
        <v/>
      </c>
      <c r="C131" s="2" t="str">
        <f>IF('1.1 Produksi Bersih Padi 2025'!C131="","",'1.1 Produksi Bersih Padi 2025'!C131)</f>
        <v/>
      </c>
      <c r="D131" s="3" t="str">
        <f>IF('1.1 Produksi Bersih Padi 2025'!D131="","",'1.1 Produksi Bersih Padi 2025'!D131)</f>
        <v/>
      </c>
      <c r="E131" s="3" t="str">
        <f>IF('1.1 Produksi Bersih Padi 2025'!E131="","",'1.1 Produksi Bersih Padi 2025'!E131)</f>
        <v/>
      </c>
      <c r="F131" s="28" t="str">
        <f>IF(D131="","",VLOOKUP(D131,'[1]0.1 Produksi Pangan &amp; Penduduk'!$D$5:$S$860,16,0))</f>
        <v/>
      </c>
      <c r="G131" s="28" t="str">
        <f t="shared" si="6"/>
        <v/>
      </c>
      <c r="H131" s="29" t="str">
        <f t="shared" si="7"/>
        <v/>
      </c>
      <c r="I131" s="29" t="str">
        <f t="shared" si="8"/>
        <v/>
      </c>
      <c r="J131" s="29" t="str">
        <f t="shared" si="9"/>
        <v/>
      </c>
      <c r="K131" s="29" t="str">
        <f t="shared" si="10"/>
        <v/>
      </c>
      <c r="L131" s="29" t="str">
        <f t="shared" si="11"/>
        <v/>
      </c>
      <c r="N131" s="11"/>
    </row>
    <row r="132" spans="1:14" ht="15" x14ac:dyDescent="0.25">
      <c r="A132" s="1" t="str">
        <f>IF('1.1 Produksi Bersih Padi 2025'!A132="","",'1.1 Produksi Bersih Padi 2025'!A132)</f>
        <v/>
      </c>
      <c r="B132" s="2" t="str">
        <f>IF('1.1 Produksi Bersih Padi 2025'!B132="","",'1.1 Produksi Bersih Padi 2025'!B132)</f>
        <v/>
      </c>
      <c r="C132" s="2" t="str">
        <f>IF('1.1 Produksi Bersih Padi 2025'!C132="","",'1.1 Produksi Bersih Padi 2025'!C132)</f>
        <v/>
      </c>
      <c r="D132" s="3" t="str">
        <f>IF('1.1 Produksi Bersih Padi 2025'!D132="","",'1.1 Produksi Bersih Padi 2025'!D132)</f>
        <v/>
      </c>
      <c r="E132" s="3" t="str">
        <f>IF('1.1 Produksi Bersih Padi 2025'!E132="","",'1.1 Produksi Bersih Padi 2025'!E132)</f>
        <v/>
      </c>
      <c r="F132" s="28" t="str">
        <f>IF(D132="","",VLOOKUP(D132,'[1]0.1 Produksi Pangan &amp; Penduduk'!$D$5:$S$860,16,0))</f>
        <v/>
      </c>
      <c r="G132" s="28" t="str">
        <f t="shared" si="6"/>
        <v/>
      </c>
      <c r="H132" s="29" t="str">
        <f t="shared" si="7"/>
        <v/>
      </c>
      <c r="I132" s="29" t="str">
        <f t="shared" si="8"/>
        <v/>
      </c>
      <c r="J132" s="29" t="str">
        <f t="shared" si="9"/>
        <v/>
      </c>
      <c r="K132" s="29" t="str">
        <f t="shared" si="10"/>
        <v/>
      </c>
      <c r="L132" s="29" t="str">
        <f t="shared" si="11"/>
        <v/>
      </c>
      <c r="N132" s="11"/>
    </row>
    <row r="133" spans="1:14" ht="15" x14ac:dyDescent="0.25">
      <c r="A133" s="1" t="str">
        <f>IF('1.1 Produksi Bersih Padi 2025'!A133="","",'1.1 Produksi Bersih Padi 2025'!A133)</f>
        <v/>
      </c>
      <c r="B133" s="2" t="str">
        <f>IF('1.1 Produksi Bersih Padi 2025'!B133="","",'1.1 Produksi Bersih Padi 2025'!B133)</f>
        <v/>
      </c>
      <c r="C133" s="2" t="str">
        <f>IF('1.1 Produksi Bersih Padi 2025'!C133="","",'1.1 Produksi Bersih Padi 2025'!C133)</f>
        <v/>
      </c>
      <c r="D133" s="3" t="str">
        <f>IF('1.1 Produksi Bersih Padi 2025'!D133="","",'1.1 Produksi Bersih Padi 2025'!D133)</f>
        <v/>
      </c>
      <c r="E133" s="3" t="str">
        <f>IF('1.1 Produksi Bersih Padi 2025'!E133="","",'1.1 Produksi Bersih Padi 2025'!E133)</f>
        <v/>
      </c>
      <c r="F133" s="28" t="str">
        <f>IF(D133="","",VLOOKUP(D133,'[1]0.1 Produksi Pangan &amp; Penduduk'!$D$5:$S$860,16,0))</f>
        <v/>
      </c>
      <c r="G133" s="28" t="str">
        <f t="shared" si="6"/>
        <v/>
      </c>
      <c r="H133" s="29" t="str">
        <f t="shared" si="7"/>
        <v/>
      </c>
      <c r="I133" s="29" t="str">
        <f t="shared" si="8"/>
        <v/>
      </c>
      <c r="J133" s="29" t="str">
        <f t="shared" si="9"/>
        <v/>
      </c>
      <c r="K133" s="29" t="str">
        <f t="shared" si="10"/>
        <v/>
      </c>
      <c r="L133" s="29" t="str">
        <f t="shared" si="11"/>
        <v/>
      </c>
      <c r="N133" s="11"/>
    </row>
    <row r="134" spans="1:14" ht="15" x14ac:dyDescent="0.25">
      <c r="A134" s="1" t="str">
        <f>IF('1.1 Produksi Bersih Padi 2025'!A134="","",'1.1 Produksi Bersih Padi 2025'!A134)</f>
        <v/>
      </c>
      <c r="B134" s="2" t="str">
        <f>IF('1.1 Produksi Bersih Padi 2025'!B134="","",'1.1 Produksi Bersih Padi 2025'!B134)</f>
        <v/>
      </c>
      <c r="C134" s="2" t="str">
        <f>IF('1.1 Produksi Bersih Padi 2025'!C134="","",'1.1 Produksi Bersih Padi 2025'!C134)</f>
        <v/>
      </c>
      <c r="D134" s="3" t="str">
        <f>IF('1.1 Produksi Bersih Padi 2025'!D134="","",'1.1 Produksi Bersih Padi 2025'!D134)</f>
        <v/>
      </c>
      <c r="E134" s="3" t="str">
        <f>IF('1.1 Produksi Bersih Padi 2025'!E134="","",'1.1 Produksi Bersih Padi 2025'!E134)</f>
        <v/>
      </c>
      <c r="F134" s="28" t="str">
        <f>IF(D134="","",VLOOKUP(D134,'[1]0.1 Produksi Pangan &amp; Penduduk'!$D$5:$S$860,16,0))</f>
        <v/>
      </c>
      <c r="G134" s="28" t="str">
        <f t="shared" ref="G134:G197" si="12">IF(F134="","",F134*73.9252%)</f>
        <v/>
      </c>
      <c r="H134" s="29" t="str">
        <f t="shared" ref="H134:H197" si="13">IF(G134="","",G134*0.345%)</f>
        <v/>
      </c>
      <c r="I134" s="29" t="str">
        <f t="shared" ref="I134:I197" si="14">IF(G134="","",G134*78.806%)</f>
        <v/>
      </c>
      <c r="J134" s="29" t="str">
        <f t="shared" ref="J134:J197" si="15">IF(G134="","",G134*4.62%)</f>
        <v/>
      </c>
      <c r="K134" s="29" t="str">
        <f t="shared" ref="K134:K197" si="16">IF(G134="","",G134-(H134+I134+J134))</f>
        <v/>
      </c>
      <c r="L134" s="29" t="str">
        <f t="shared" ref="L134:L197" si="17">IF(K134="","",K134*1.017)</f>
        <v/>
      </c>
      <c r="N134" s="11"/>
    </row>
    <row r="135" spans="1:14" ht="15" x14ac:dyDescent="0.25">
      <c r="A135" s="1" t="str">
        <f>IF('1.1 Produksi Bersih Padi 2025'!A135="","",'1.1 Produksi Bersih Padi 2025'!A135)</f>
        <v/>
      </c>
      <c r="B135" s="2" t="str">
        <f>IF('1.1 Produksi Bersih Padi 2025'!B135="","",'1.1 Produksi Bersih Padi 2025'!B135)</f>
        <v/>
      </c>
      <c r="C135" s="2" t="str">
        <f>IF('1.1 Produksi Bersih Padi 2025'!C135="","",'1.1 Produksi Bersih Padi 2025'!C135)</f>
        <v/>
      </c>
      <c r="D135" s="3" t="str">
        <f>IF('1.1 Produksi Bersih Padi 2025'!D135="","",'1.1 Produksi Bersih Padi 2025'!D135)</f>
        <v/>
      </c>
      <c r="E135" s="3" t="str">
        <f>IF('1.1 Produksi Bersih Padi 2025'!E135="","",'1.1 Produksi Bersih Padi 2025'!E135)</f>
        <v/>
      </c>
      <c r="F135" s="28" t="str">
        <f>IF(D135="","",VLOOKUP(D135,'[1]0.1 Produksi Pangan &amp; Penduduk'!$D$5:$S$860,16,0))</f>
        <v/>
      </c>
      <c r="G135" s="28" t="str">
        <f t="shared" si="12"/>
        <v/>
      </c>
      <c r="H135" s="29" t="str">
        <f t="shared" si="13"/>
        <v/>
      </c>
      <c r="I135" s="29" t="str">
        <f t="shared" si="14"/>
        <v/>
      </c>
      <c r="J135" s="29" t="str">
        <f t="shared" si="15"/>
        <v/>
      </c>
      <c r="K135" s="29" t="str">
        <f t="shared" si="16"/>
        <v/>
      </c>
      <c r="L135" s="29" t="str">
        <f t="shared" si="17"/>
        <v/>
      </c>
      <c r="N135" s="11"/>
    </row>
    <row r="136" spans="1:14" ht="15" x14ac:dyDescent="0.25">
      <c r="A136" s="1" t="str">
        <f>IF('1.1 Produksi Bersih Padi 2025'!A136="","",'1.1 Produksi Bersih Padi 2025'!A136)</f>
        <v/>
      </c>
      <c r="B136" s="2" t="str">
        <f>IF('1.1 Produksi Bersih Padi 2025'!B136="","",'1.1 Produksi Bersih Padi 2025'!B136)</f>
        <v/>
      </c>
      <c r="C136" s="2" t="str">
        <f>IF('1.1 Produksi Bersih Padi 2025'!C136="","",'1.1 Produksi Bersih Padi 2025'!C136)</f>
        <v/>
      </c>
      <c r="D136" s="3" t="str">
        <f>IF('1.1 Produksi Bersih Padi 2025'!D136="","",'1.1 Produksi Bersih Padi 2025'!D136)</f>
        <v/>
      </c>
      <c r="E136" s="3" t="str">
        <f>IF('1.1 Produksi Bersih Padi 2025'!E136="","",'1.1 Produksi Bersih Padi 2025'!E136)</f>
        <v/>
      </c>
      <c r="F136" s="28" t="str">
        <f>IF(D136="","",VLOOKUP(D136,'[1]0.1 Produksi Pangan &amp; Penduduk'!$D$5:$S$860,16,0))</f>
        <v/>
      </c>
      <c r="G136" s="28" t="str">
        <f t="shared" si="12"/>
        <v/>
      </c>
      <c r="H136" s="29" t="str">
        <f t="shared" si="13"/>
        <v/>
      </c>
      <c r="I136" s="29" t="str">
        <f t="shared" si="14"/>
        <v/>
      </c>
      <c r="J136" s="29" t="str">
        <f t="shared" si="15"/>
        <v/>
      </c>
      <c r="K136" s="29" t="str">
        <f t="shared" si="16"/>
        <v/>
      </c>
      <c r="L136" s="29" t="str">
        <f t="shared" si="17"/>
        <v/>
      </c>
      <c r="N136" s="11"/>
    </row>
    <row r="137" spans="1:14" ht="15" x14ac:dyDescent="0.25">
      <c r="A137" s="1" t="str">
        <f>IF('1.1 Produksi Bersih Padi 2025'!A137="","",'1.1 Produksi Bersih Padi 2025'!A137)</f>
        <v/>
      </c>
      <c r="B137" s="2" t="str">
        <f>IF('1.1 Produksi Bersih Padi 2025'!B137="","",'1.1 Produksi Bersih Padi 2025'!B137)</f>
        <v/>
      </c>
      <c r="C137" s="2" t="str">
        <f>IF('1.1 Produksi Bersih Padi 2025'!C137="","",'1.1 Produksi Bersih Padi 2025'!C137)</f>
        <v/>
      </c>
      <c r="D137" s="3" t="str">
        <f>IF('1.1 Produksi Bersih Padi 2025'!D137="","",'1.1 Produksi Bersih Padi 2025'!D137)</f>
        <v/>
      </c>
      <c r="E137" s="3" t="str">
        <f>IF('1.1 Produksi Bersih Padi 2025'!E137="","",'1.1 Produksi Bersih Padi 2025'!E137)</f>
        <v/>
      </c>
      <c r="F137" s="28" t="str">
        <f>IF(D137="","",VLOOKUP(D137,'[1]0.1 Produksi Pangan &amp; Penduduk'!$D$5:$S$860,16,0))</f>
        <v/>
      </c>
      <c r="G137" s="28" t="str">
        <f t="shared" si="12"/>
        <v/>
      </c>
      <c r="H137" s="29" t="str">
        <f t="shared" si="13"/>
        <v/>
      </c>
      <c r="I137" s="29" t="str">
        <f t="shared" si="14"/>
        <v/>
      </c>
      <c r="J137" s="29" t="str">
        <f t="shared" si="15"/>
        <v/>
      </c>
      <c r="K137" s="29" t="str">
        <f t="shared" si="16"/>
        <v/>
      </c>
      <c r="L137" s="29" t="str">
        <f t="shared" si="17"/>
        <v/>
      </c>
      <c r="N137" s="11"/>
    </row>
    <row r="138" spans="1:14" ht="15" x14ac:dyDescent="0.25">
      <c r="A138" s="1" t="str">
        <f>IF('1.1 Produksi Bersih Padi 2025'!A138="","",'1.1 Produksi Bersih Padi 2025'!A138)</f>
        <v/>
      </c>
      <c r="B138" s="2" t="str">
        <f>IF('1.1 Produksi Bersih Padi 2025'!B138="","",'1.1 Produksi Bersih Padi 2025'!B138)</f>
        <v/>
      </c>
      <c r="C138" s="2" t="str">
        <f>IF('1.1 Produksi Bersih Padi 2025'!C138="","",'1.1 Produksi Bersih Padi 2025'!C138)</f>
        <v/>
      </c>
      <c r="D138" s="3" t="str">
        <f>IF('1.1 Produksi Bersih Padi 2025'!D138="","",'1.1 Produksi Bersih Padi 2025'!D138)</f>
        <v/>
      </c>
      <c r="E138" s="3" t="str">
        <f>IF('1.1 Produksi Bersih Padi 2025'!E138="","",'1.1 Produksi Bersih Padi 2025'!E138)</f>
        <v/>
      </c>
      <c r="F138" s="28" t="str">
        <f>IF(D138="","",VLOOKUP(D138,'[1]0.1 Produksi Pangan &amp; Penduduk'!$D$5:$S$860,16,0))</f>
        <v/>
      </c>
      <c r="G138" s="28" t="str">
        <f t="shared" si="12"/>
        <v/>
      </c>
      <c r="H138" s="29" t="str">
        <f t="shared" si="13"/>
        <v/>
      </c>
      <c r="I138" s="29" t="str">
        <f t="shared" si="14"/>
        <v/>
      </c>
      <c r="J138" s="29" t="str">
        <f t="shared" si="15"/>
        <v/>
      </c>
      <c r="K138" s="29" t="str">
        <f t="shared" si="16"/>
        <v/>
      </c>
      <c r="L138" s="29" t="str">
        <f t="shared" si="17"/>
        <v/>
      </c>
      <c r="N138" s="11"/>
    </row>
    <row r="139" spans="1:14" ht="15" x14ac:dyDescent="0.25">
      <c r="A139" s="1" t="str">
        <f>IF('1.1 Produksi Bersih Padi 2025'!A139="","",'1.1 Produksi Bersih Padi 2025'!A139)</f>
        <v/>
      </c>
      <c r="B139" s="2" t="str">
        <f>IF('1.1 Produksi Bersih Padi 2025'!B139="","",'1.1 Produksi Bersih Padi 2025'!B139)</f>
        <v/>
      </c>
      <c r="C139" s="2" t="str">
        <f>IF('1.1 Produksi Bersih Padi 2025'!C139="","",'1.1 Produksi Bersih Padi 2025'!C139)</f>
        <v/>
      </c>
      <c r="D139" s="3" t="str">
        <f>IF('1.1 Produksi Bersih Padi 2025'!D139="","",'1.1 Produksi Bersih Padi 2025'!D139)</f>
        <v/>
      </c>
      <c r="E139" s="3" t="str">
        <f>IF('1.1 Produksi Bersih Padi 2025'!E139="","",'1.1 Produksi Bersih Padi 2025'!E139)</f>
        <v/>
      </c>
      <c r="F139" s="28" t="str">
        <f>IF(D139="","",VLOOKUP(D139,'[1]0.1 Produksi Pangan &amp; Penduduk'!$D$5:$S$860,16,0))</f>
        <v/>
      </c>
      <c r="G139" s="28" t="str">
        <f t="shared" si="12"/>
        <v/>
      </c>
      <c r="H139" s="29" t="str">
        <f t="shared" si="13"/>
        <v/>
      </c>
      <c r="I139" s="29" t="str">
        <f t="shared" si="14"/>
        <v/>
      </c>
      <c r="J139" s="29" t="str">
        <f t="shared" si="15"/>
        <v/>
      </c>
      <c r="K139" s="29" t="str">
        <f t="shared" si="16"/>
        <v/>
      </c>
      <c r="L139" s="29" t="str">
        <f t="shared" si="17"/>
        <v/>
      </c>
      <c r="N139" s="11"/>
    </row>
    <row r="140" spans="1:14" ht="15" x14ac:dyDescent="0.25">
      <c r="A140" s="1" t="str">
        <f>IF('1.1 Produksi Bersih Padi 2025'!A140="","",'1.1 Produksi Bersih Padi 2025'!A140)</f>
        <v/>
      </c>
      <c r="B140" s="2" t="str">
        <f>IF('1.1 Produksi Bersih Padi 2025'!B140="","",'1.1 Produksi Bersih Padi 2025'!B140)</f>
        <v/>
      </c>
      <c r="C140" s="2" t="str">
        <f>IF('1.1 Produksi Bersih Padi 2025'!C140="","",'1.1 Produksi Bersih Padi 2025'!C140)</f>
        <v/>
      </c>
      <c r="D140" s="3" t="str">
        <f>IF('1.1 Produksi Bersih Padi 2025'!D140="","",'1.1 Produksi Bersih Padi 2025'!D140)</f>
        <v/>
      </c>
      <c r="E140" s="3" t="str">
        <f>IF('1.1 Produksi Bersih Padi 2025'!E140="","",'1.1 Produksi Bersih Padi 2025'!E140)</f>
        <v/>
      </c>
      <c r="F140" s="28" t="str">
        <f>IF(D140="","",VLOOKUP(D140,'[1]0.1 Produksi Pangan &amp; Penduduk'!$D$5:$S$860,16,0))</f>
        <v/>
      </c>
      <c r="G140" s="28" t="str">
        <f t="shared" si="12"/>
        <v/>
      </c>
      <c r="H140" s="29" t="str">
        <f t="shared" si="13"/>
        <v/>
      </c>
      <c r="I140" s="29" t="str">
        <f t="shared" si="14"/>
        <v/>
      </c>
      <c r="J140" s="29" t="str">
        <f t="shared" si="15"/>
        <v/>
      </c>
      <c r="K140" s="29" t="str">
        <f t="shared" si="16"/>
        <v/>
      </c>
      <c r="L140" s="29" t="str">
        <f t="shared" si="17"/>
        <v/>
      </c>
      <c r="N140" s="11"/>
    </row>
    <row r="141" spans="1:14" ht="15" x14ac:dyDescent="0.25">
      <c r="A141" s="1" t="str">
        <f>IF('1.1 Produksi Bersih Padi 2025'!A141="","",'1.1 Produksi Bersih Padi 2025'!A141)</f>
        <v/>
      </c>
      <c r="B141" s="2" t="str">
        <f>IF('1.1 Produksi Bersih Padi 2025'!B141="","",'1.1 Produksi Bersih Padi 2025'!B141)</f>
        <v/>
      </c>
      <c r="C141" s="2" t="str">
        <f>IF('1.1 Produksi Bersih Padi 2025'!C141="","",'1.1 Produksi Bersih Padi 2025'!C141)</f>
        <v/>
      </c>
      <c r="D141" s="3" t="str">
        <f>IF('1.1 Produksi Bersih Padi 2025'!D141="","",'1.1 Produksi Bersih Padi 2025'!D141)</f>
        <v/>
      </c>
      <c r="E141" s="3" t="str">
        <f>IF('1.1 Produksi Bersih Padi 2025'!E141="","",'1.1 Produksi Bersih Padi 2025'!E141)</f>
        <v/>
      </c>
      <c r="F141" s="28" t="str">
        <f>IF(D141="","",VLOOKUP(D141,'[1]0.1 Produksi Pangan &amp; Penduduk'!$D$5:$S$860,16,0))</f>
        <v/>
      </c>
      <c r="G141" s="28" t="str">
        <f t="shared" si="12"/>
        <v/>
      </c>
      <c r="H141" s="29" t="str">
        <f t="shared" si="13"/>
        <v/>
      </c>
      <c r="I141" s="29" t="str">
        <f t="shared" si="14"/>
        <v/>
      </c>
      <c r="J141" s="29" t="str">
        <f t="shared" si="15"/>
        <v/>
      </c>
      <c r="K141" s="29" t="str">
        <f t="shared" si="16"/>
        <v/>
      </c>
      <c r="L141" s="29" t="str">
        <f t="shared" si="17"/>
        <v/>
      </c>
      <c r="N141" s="11"/>
    </row>
    <row r="142" spans="1:14" ht="15" x14ac:dyDescent="0.25">
      <c r="A142" s="1" t="str">
        <f>IF('1.1 Produksi Bersih Padi 2025'!A142="","",'1.1 Produksi Bersih Padi 2025'!A142)</f>
        <v/>
      </c>
      <c r="B142" s="2" t="str">
        <f>IF('1.1 Produksi Bersih Padi 2025'!B142="","",'1.1 Produksi Bersih Padi 2025'!B142)</f>
        <v/>
      </c>
      <c r="C142" s="2" t="str">
        <f>IF('1.1 Produksi Bersih Padi 2025'!C142="","",'1.1 Produksi Bersih Padi 2025'!C142)</f>
        <v/>
      </c>
      <c r="D142" s="3" t="str">
        <f>IF('1.1 Produksi Bersih Padi 2025'!D142="","",'1.1 Produksi Bersih Padi 2025'!D142)</f>
        <v/>
      </c>
      <c r="E142" s="3" t="str">
        <f>IF('1.1 Produksi Bersih Padi 2025'!E142="","",'1.1 Produksi Bersih Padi 2025'!E142)</f>
        <v/>
      </c>
      <c r="F142" s="28" t="str">
        <f>IF(D142="","",VLOOKUP(D142,'[1]0.1 Produksi Pangan &amp; Penduduk'!$D$5:$S$860,16,0))</f>
        <v/>
      </c>
      <c r="G142" s="28" t="str">
        <f t="shared" si="12"/>
        <v/>
      </c>
      <c r="H142" s="29" t="str">
        <f t="shared" si="13"/>
        <v/>
      </c>
      <c r="I142" s="29" t="str">
        <f t="shared" si="14"/>
        <v/>
      </c>
      <c r="J142" s="29" t="str">
        <f t="shared" si="15"/>
        <v/>
      </c>
      <c r="K142" s="29" t="str">
        <f t="shared" si="16"/>
        <v/>
      </c>
      <c r="L142" s="29" t="str">
        <f t="shared" si="17"/>
        <v/>
      </c>
      <c r="N142" s="11"/>
    </row>
    <row r="143" spans="1:14" ht="15" x14ac:dyDescent="0.25">
      <c r="A143" s="1" t="str">
        <f>IF('1.1 Produksi Bersih Padi 2025'!A143="","",'1.1 Produksi Bersih Padi 2025'!A143)</f>
        <v/>
      </c>
      <c r="B143" s="2" t="str">
        <f>IF('1.1 Produksi Bersih Padi 2025'!B143="","",'1.1 Produksi Bersih Padi 2025'!B143)</f>
        <v/>
      </c>
      <c r="C143" s="2" t="str">
        <f>IF('1.1 Produksi Bersih Padi 2025'!C143="","",'1.1 Produksi Bersih Padi 2025'!C143)</f>
        <v/>
      </c>
      <c r="D143" s="3" t="str">
        <f>IF('1.1 Produksi Bersih Padi 2025'!D143="","",'1.1 Produksi Bersih Padi 2025'!D143)</f>
        <v/>
      </c>
      <c r="E143" s="3" t="str">
        <f>IF('1.1 Produksi Bersih Padi 2025'!E143="","",'1.1 Produksi Bersih Padi 2025'!E143)</f>
        <v/>
      </c>
      <c r="F143" s="28" t="str">
        <f>IF(D143="","",VLOOKUP(D143,'[1]0.1 Produksi Pangan &amp; Penduduk'!$D$5:$S$860,16,0))</f>
        <v/>
      </c>
      <c r="G143" s="28" t="str">
        <f t="shared" si="12"/>
        <v/>
      </c>
      <c r="H143" s="29" t="str">
        <f t="shared" si="13"/>
        <v/>
      </c>
      <c r="I143" s="29" t="str">
        <f t="shared" si="14"/>
        <v/>
      </c>
      <c r="J143" s="29" t="str">
        <f t="shared" si="15"/>
        <v/>
      </c>
      <c r="K143" s="29" t="str">
        <f t="shared" si="16"/>
        <v/>
      </c>
      <c r="L143" s="29" t="str">
        <f t="shared" si="17"/>
        <v/>
      </c>
      <c r="N143" s="11"/>
    </row>
    <row r="144" spans="1:14" ht="15" x14ac:dyDescent="0.25">
      <c r="A144" s="1" t="str">
        <f>IF('1.1 Produksi Bersih Padi 2025'!A144="","",'1.1 Produksi Bersih Padi 2025'!A144)</f>
        <v/>
      </c>
      <c r="B144" s="2" t="str">
        <f>IF('1.1 Produksi Bersih Padi 2025'!B144="","",'1.1 Produksi Bersih Padi 2025'!B144)</f>
        <v/>
      </c>
      <c r="C144" s="2" t="str">
        <f>IF('1.1 Produksi Bersih Padi 2025'!C144="","",'1.1 Produksi Bersih Padi 2025'!C144)</f>
        <v/>
      </c>
      <c r="D144" s="3" t="str">
        <f>IF('1.1 Produksi Bersih Padi 2025'!D144="","",'1.1 Produksi Bersih Padi 2025'!D144)</f>
        <v/>
      </c>
      <c r="E144" s="3" t="str">
        <f>IF('1.1 Produksi Bersih Padi 2025'!E144="","",'1.1 Produksi Bersih Padi 2025'!E144)</f>
        <v/>
      </c>
      <c r="F144" s="28" t="str">
        <f>IF(D144="","",VLOOKUP(D144,'[1]0.1 Produksi Pangan &amp; Penduduk'!$D$5:$S$860,16,0))</f>
        <v/>
      </c>
      <c r="G144" s="28" t="str">
        <f t="shared" si="12"/>
        <v/>
      </c>
      <c r="H144" s="29" t="str">
        <f t="shared" si="13"/>
        <v/>
      </c>
      <c r="I144" s="29" t="str">
        <f t="shared" si="14"/>
        <v/>
      </c>
      <c r="J144" s="29" t="str">
        <f t="shared" si="15"/>
        <v/>
      </c>
      <c r="K144" s="29" t="str">
        <f t="shared" si="16"/>
        <v/>
      </c>
      <c r="L144" s="29" t="str">
        <f t="shared" si="17"/>
        <v/>
      </c>
      <c r="N144" s="11"/>
    </row>
    <row r="145" spans="1:14" ht="15" x14ac:dyDescent="0.25">
      <c r="A145" s="1" t="str">
        <f>IF('1.1 Produksi Bersih Padi 2025'!A145="","",'1.1 Produksi Bersih Padi 2025'!A145)</f>
        <v/>
      </c>
      <c r="B145" s="2" t="str">
        <f>IF('1.1 Produksi Bersih Padi 2025'!B145="","",'1.1 Produksi Bersih Padi 2025'!B145)</f>
        <v/>
      </c>
      <c r="C145" s="2" t="str">
        <f>IF('1.1 Produksi Bersih Padi 2025'!C145="","",'1.1 Produksi Bersih Padi 2025'!C145)</f>
        <v/>
      </c>
      <c r="D145" s="3" t="str">
        <f>IF('1.1 Produksi Bersih Padi 2025'!D145="","",'1.1 Produksi Bersih Padi 2025'!D145)</f>
        <v/>
      </c>
      <c r="E145" s="3" t="str">
        <f>IF('1.1 Produksi Bersih Padi 2025'!E145="","",'1.1 Produksi Bersih Padi 2025'!E145)</f>
        <v/>
      </c>
      <c r="F145" s="28" t="str">
        <f>IF(D145="","",VLOOKUP(D145,'[1]0.1 Produksi Pangan &amp; Penduduk'!$D$5:$S$860,16,0))</f>
        <v/>
      </c>
      <c r="G145" s="28" t="str">
        <f t="shared" si="12"/>
        <v/>
      </c>
      <c r="H145" s="29" t="str">
        <f t="shared" si="13"/>
        <v/>
      </c>
      <c r="I145" s="29" t="str">
        <f t="shared" si="14"/>
        <v/>
      </c>
      <c r="J145" s="29" t="str">
        <f t="shared" si="15"/>
        <v/>
      </c>
      <c r="K145" s="29" t="str">
        <f t="shared" si="16"/>
        <v/>
      </c>
      <c r="L145" s="29" t="str">
        <f t="shared" si="17"/>
        <v/>
      </c>
      <c r="N145" s="11"/>
    </row>
    <row r="146" spans="1:14" ht="15" x14ac:dyDescent="0.25">
      <c r="A146" s="1" t="str">
        <f>IF('1.1 Produksi Bersih Padi 2025'!A146="","",'1.1 Produksi Bersih Padi 2025'!A146)</f>
        <v/>
      </c>
      <c r="B146" s="2" t="str">
        <f>IF('1.1 Produksi Bersih Padi 2025'!B146="","",'1.1 Produksi Bersih Padi 2025'!B146)</f>
        <v/>
      </c>
      <c r="C146" s="2" t="str">
        <f>IF('1.1 Produksi Bersih Padi 2025'!C146="","",'1.1 Produksi Bersih Padi 2025'!C146)</f>
        <v/>
      </c>
      <c r="D146" s="3" t="str">
        <f>IF('1.1 Produksi Bersih Padi 2025'!D146="","",'1.1 Produksi Bersih Padi 2025'!D146)</f>
        <v/>
      </c>
      <c r="E146" s="3" t="str">
        <f>IF('1.1 Produksi Bersih Padi 2025'!E146="","",'1.1 Produksi Bersih Padi 2025'!E146)</f>
        <v/>
      </c>
      <c r="F146" s="28" t="str">
        <f>IF(D146="","",VLOOKUP(D146,'[1]0.1 Produksi Pangan &amp; Penduduk'!$D$5:$S$860,16,0))</f>
        <v/>
      </c>
      <c r="G146" s="28" t="str">
        <f t="shared" si="12"/>
        <v/>
      </c>
      <c r="H146" s="29" t="str">
        <f t="shared" si="13"/>
        <v/>
      </c>
      <c r="I146" s="29" t="str">
        <f t="shared" si="14"/>
        <v/>
      </c>
      <c r="J146" s="29" t="str">
        <f t="shared" si="15"/>
        <v/>
      </c>
      <c r="K146" s="29" t="str">
        <f t="shared" si="16"/>
        <v/>
      </c>
      <c r="L146" s="29" t="str">
        <f t="shared" si="17"/>
        <v/>
      </c>
      <c r="N146" s="11"/>
    </row>
    <row r="147" spans="1:14" ht="15" x14ac:dyDescent="0.25">
      <c r="A147" s="1" t="str">
        <f>IF('1.1 Produksi Bersih Padi 2025'!A147="","",'1.1 Produksi Bersih Padi 2025'!A147)</f>
        <v/>
      </c>
      <c r="B147" s="2" t="str">
        <f>IF('1.1 Produksi Bersih Padi 2025'!B147="","",'1.1 Produksi Bersih Padi 2025'!B147)</f>
        <v/>
      </c>
      <c r="C147" s="2" t="str">
        <f>IF('1.1 Produksi Bersih Padi 2025'!C147="","",'1.1 Produksi Bersih Padi 2025'!C147)</f>
        <v/>
      </c>
      <c r="D147" s="3" t="str">
        <f>IF('1.1 Produksi Bersih Padi 2025'!D147="","",'1.1 Produksi Bersih Padi 2025'!D147)</f>
        <v/>
      </c>
      <c r="E147" s="3" t="str">
        <f>IF('1.1 Produksi Bersih Padi 2025'!E147="","",'1.1 Produksi Bersih Padi 2025'!E147)</f>
        <v/>
      </c>
      <c r="F147" s="28" t="str">
        <f>IF(D147="","",VLOOKUP(D147,'[1]0.1 Produksi Pangan &amp; Penduduk'!$D$5:$S$860,16,0))</f>
        <v/>
      </c>
      <c r="G147" s="28" t="str">
        <f t="shared" si="12"/>
        <v/>
      </c>
      <c r="H147" s="29" t="str">
        <f t="shared" si="13"/>
        <v/>
      </c>
      <c r="I147" s="29" t="str">
        <f t="shared" si="14"/>
        <v/>
      </c>
      <c r="J147" s="29" t="str">
        <f t="shared" si="15"/>
        <v/>
      </c>
      <c r="K147" s="29" t="str">
        <f t="shared" si="16"/>
        <v/>
      </c>
      <c r="L147" s="29" t="str">
        <f t="shared" si="17"/>
        <v/>
      </c>
      <c r="N147" s="11"/>
    </row>
    <row r="148" spans="1:14" ht="15" x14ac:dyDescent="0.25">
      <c r="A148" s="1" t="str">
        <f>IF('1.1 Produksi Bersih Padi 2025'!A148="","",'1.1 Produksi Bersih Padi 2025'!A148)</f>
        <v/>
      </c>
      <c r="B148" s="2" t="str">
        <f>IF('1.1 Produksi Bersih Padi 2025'!B148="","",'1.1 Produksi Bersih Padi 2025'!B148)</f>
        <v/>
      </c>
      <c r="C148" s="2" t="str">
        <f>IF('1.1 Produksi Bersih Padi 2025'!C148="","",'1.1 Produksi Bersih Padi 2025'!C148)</f>
        <v/>
      </c>
      <c r="D148" s="3" t="str">
        <f>IF('1.1 Produksi Bersih Padi 2025'!D148="","",'1.1 Produksi Bersih Padi 2025'!D148)</f>
        <v/>
      </c>
      <c r="E148" s="3" t="str">
        <f>IF('1.1 Produksi Bersih Padi 2025'!E148="","",'1.1 Produksi Bersih Padi 2025'!E148)</f>
        <v/>
      </c>
      <c r="F148" s="28" t="str">
        <f>IF(D148="","",VLOOKUP(D148,'[1]0.1 Produksi Pangan &amp; Penduduk'!$D$5:$S$860,16,0))</f>
        <v/>
      </c>
      <c r="G148" s="28" t="str">
        <f t="shared" si="12"/>
        <v/>
      </c>
      <c r="H148" s="29" t="str">
        <f t="shared" si="13"/>
        <v/>
      </c>
      <c r="I148" s="29" t="str">
        <f t="shared" si="14"/>
        <v/>
      </c>
      <c r="J148" s="29" t="str">
        <f t="shared" si="15"/>
        <v/>
      </c>
      <c r="K148" s="29" t="str">
        <f t="shared" si="16"/>
        <v/>
      </c>
      <c r="L148" s="29" t="str">
        <f t="shared" si="17"/>
        <v/>
      </c>
      <c r="N148" s="11"/>
    </row>
    <row r="149" spans="1:14" ht="15" x14ac:dyDescent="0.25">
      <c r="A149" s="1" t="str">
        <f>IF('1.1 Produksi Bersih Padi 2025'!A149="","",'1.1 Produksi Bersih Padi 2025'!A149)</f>
        <v/>
      </c>
      <c r="B149" s="2" t="str">
        <f>IF('1.1 Produksi Bersih Padi 2025'!B149="","",'1.1 Produksi Bersih Padi 2025'!B149)</f>
        <v/>
      </c>
      <c r="C149" s="2" t="str">
        <f>IF('1.1 Produksi Bersih Padi 2025'!C149="","",'1.1 Produksi Bersih Padi 2025'!C149)</f>
        <v/>
      </c>
      <c r="D149" s="3" t="str">
        <f>IF('1.1 Produksi Bersih Padi 2025'!D149="","",'1.1 Produksi Bersih Padi 2025'!D149)</f>
        <v/>
      </c>
      <c r="E149" s="3" t="str">
        <f>IF('1.1 Produksi Bersih Padi 2025'!E149="","",'1.1 Produksi Bersih Padi 2025'!E149)</f>
        <v/>
      </c>
      <c r="F149" s="28" t="str">
        <f>IF(D149="","",VLOOKUP(D149,'[1]0.1 Produksi Pangan &amp; Penduduk'!$D$5:$S$860,16,0))</f>
        <v/>
      </c>
      <c r="G149" s="28" t="str">
        <f t="shared" si="12"/>
        <v/>
      </c>
      <c r="H149" s="29" t="str">
        <f t="shared" si="13"/>
        <v/>
      </c>
      <c r="I149" s="29" t="str">
        <f t="shared" si="14"/>
        <v/>
      </c>
      <c r="J149" s="29" t="str">
        <f t="shared" si="15"/>
        <v/>
      </c>
      <c r="K149" s="29" t="str">
        <f t="shared" si="16"/>
        <v/>
      </c>
      <c r="L149" s="29" t="str">
        <f t="shared" si="17"/>
        <v/>
      </c>
      <c r="N149" s="11"/>
    </row>
    <row r="150" spans="1:14" ht="15" x14ac:dyDescent="0.25">
      <c r="A150" s="1" t="str">
        <f>IF('1.1 Produksi Bersih Padi 2025'!A150="","",'1.1 Produksi Bersih Padi 2025'!A150)</f>
        <v/>
      </c>
      <c r="B150" s="2" t="str">
        <f>IF('1.1 Produksi Bersih Padi 2025'!B150="","",'1.1 Produksi Bersih Padi 2025'!B150)</f>
        <v/>
      </c>
      <c r="C150" s="2" t="str">
        <f>IF('1.1 Produksi Bersih Padi 2025'!C150="","",'1.1 Produksi Bersih Padi 2025'!C150)</f>
        <v/>
      </c>
      <c r="D150" s="3" t="str">
        <f>IF('1.1 Produksi Bersih Padi 2025'!D150="","",'1.1 Produksi Bersih Padi 2025'!D150)</f>
        <v/>
      </c>
      <c r="E150" s="3" t="str">
        <f>IF('1.1 Produksi Bersih Padi 2025'!E150="","",'1.1 Produksi Bersih Padi 2025'!E150)</f>
        <v/>
      </c>
      <c r="F150" s="28" t="str">
        <f>IF(D150="","",VLOOKUP(D150,'[1]0.1 Produksi Pangan &amp; Penduduk'!$D$5:$S$860,16,0))</f>
        <v/>
      </c>
      <c r="G150" s="28" t="str">
        <f t="shared" si="12"/>
        <v/>
      </c>
      <c r="H150" s="29" t="str">
        <f t="shared" si="13"/>
        <v/>
      </c>
      <c r="I150" s="29" t="str">
        <f t="shared" si="14"/>
        <v/>
      </c>
      <c r="J150" s="29" t="str">
        <f t="shared" si="15"/>
        <v/>
      </c>
      <c r="K150" s="29" t="str">
        <f t="shared" si="16"/>
        <v/>
      </c>
      <c r="L150" s="29" t="str">
        <f t="shared" si="17"/>
        <v/>
      </c>
      <c r="N150" s="11"/>
    </row>
    <row r="151" spans="1:14" ht="15" x14ac:dyDescent="0.25">
      <c r="A151" s="1" t="str">
        <f>IF('1.1 Produksi Bersih Padi 2025'!A151="","",'1.1 Produksi Bersih Padi 2025'!A151)</f>
        <v/>
      </c>
      <c r="B151" s="2" t="str">
        <f>IF('1.1 Produksi Bersih Padi 2025'!B151="","",'1.1 Produksi Bersih Padi 2025'!B151)</f>
        <v/>
      </c>
      <c r="C151" s="2" t="str">
        <f>IF('1.1 Produksi Bersih Padi 2025'!C151="","",'1.1 Produksi Bersih Padi 2025'!C151)</f>
        <v/>
      </c>
      <c r="D151" s="3" t="str">
        <f>IF('1.1 Produksi Bersih Padi 2025'!D151="","",'1.1 Produksi Bersih Padi 2025'!D151)</f>
        <v/>
      </c>
      <c r="E151" s="3" t="str">
        <f>IF('1.1 Produksi Bersih Padi 2025'!E151="","",'1.1 Produksi Bersih Padi 2025'!E151)</f>
        <v/>
      </c>
      <c r="F151" s="28" t="str">
        <f>IF(D151="","",VLOOKUP(D151,'[1]0.1 Produksi Pangan &amp; Penduduk'!$D$5:$S$860,16,0))</f>
        <v/>
      </c>
      <c r="G151" s="28" t="str">
        <f t="shared" si="12"/>
        <v/>
      </c>
      <c r="H151" s="29" t="str">
        <f t="shared" si="13"/>
        <v/>
      </c>
      <c r="I151" s="29" t="str">
        <f t="shared" si="14"/>
        <v/>
      </c>
      <c r="J151" s="29" t="str">
        <f t="shared" si="15"/>
        <v/>
      </c>
      <c r="K151" s="29" t="str">
        <f t="shared" si="16"/>
        <v/>
      </c>
      <c r="L151" s="29" t="str">
        <f t="shared" si="17"/>
        <v/>
      </c>
      <c r="N151" s="11"/>
    </row>
    <row r="152" spans="1:14" ht="15" x14ac:dyDescent="0.25">
      <c r="A152" s="1" t="str">
        <f>IF('1.1 Produksi Bersih Padi 2025'!A152="","",'1.1 Produksi Bersih Padi 2025'!A152)</f>
        <v/>
      </c>
      <c r="B152" s="2" t="str">
        <f>IF('1.1 Produksi Bersih Padi 2025'!B152="","",'1.1 Produksi Bersih Padi 2025'!B152)</f>
        <v/>
      </c>
      <c r="C152" s="2" t="str">
        <f>IF('1.1 Produksi Bersih Padi 2025'!C152="","",'1.1 Produksi Bersih Padi 2025'!C152)</f>
        <v/>
      </c>
      <c r="D152" s="3" t="str">
        <f>IF('1.1 Produksi Bersih Padi 2025'!D152="","",'1.1 Produksi Bersih Padi 2025'!D152)</f>
        <v/>
      </c>
      <c r="E152" s="3" t="str">
        <f>IF('1.1 Produksi Bersih Padi 2025'!E152="","",'1.1 Produksi Bersih Padi 2025'!E152)</f>
        <v/>
      </c>
      <c r="F152" s="28" t="str">
        <f>IF(D152="","",VLOOKUP(D152,'[1]0.1 Produksi Pangan &amp; Penduduk'!$D$5:$S$860,16,0))</f>
        <v/>
      </c>
      <c r="G152" s="28" t="str">
        <f t="shared" si="12"/>
        <v/>
      </c>
      <c r="H152" s="29" t="str">
        <f t="shared" si="13"/>
        <v/>
      </c>
      <c r="I152" s="29" t="str">
        <f t="shared" si="14"/>
        <v/>
      </c>
      <c r="J152" s="29" t="str">
        <f t="shared" si="15"/>
        <v/>
      </c>
      <c r="K152" s="29" t="str">
        <f t="shared" si="16"/>
        <v/>
      </c>
      <c r="L152" s="29" t="str">
        <f t="shared" si="17"/>
        <v/>
      </c>
      <c r="N152" s="11"/>
    </row>
    <row r="153" spans="1:14" ht="15" x14ac:dyDescent="0.25">
      <c r="A153" s="1" t="str">
        <f>IF('1.1 Produksi Bersih Padi 2025'!A153="","",'1.1 Produksi Bersih Padi 2025'!A153)</f>
        <v/>
      </c>
      <c r="B153" s="2" t="str">
        <f>IF('1.1 Produksi Bersih Padi 2025'!B153="","",'1.1 Produksi Bersih Padi 2025'!B153)</f>
        <v/>
      </c>
      <c r="C153" s="2" t="str">
        <f>IF('1.1 Produksi Bersih Padi 2025'!C153="","",'1.1 Produksi Bersih Padi 2025'!C153)</f>
        <v/>
      </c>
      <c r="D153" s="3" t="str">
        <f>IF('1.1 Produksi Bersih Padi 2025'!D153="","",'1.1 Produksi Bersih Padi 2025'!D153)</f>
        <v/>
      </c>
      <c r="E153" s="3" t="str">
        <f>IF('1.1 Produksi Bersih Padi 2025'!E153="","",'1.1 Produksi Bersih Padi 2025'!E153)</f>
        <v/>
      </c>
      <c r="F153" s="28" t="str">
        <f>IF(D153="","",VLOOKUP(D153,'[1]0.1 Produksi Pangan &amp; Penduduk'!$D$5:$S$860,16,0))</f>
        <v/>
      </c>
      <c r="G153" s="28" t="str">
        <f t="shared" si="12"/>
        <v/>
      </c>
      <c r="H153" s="29" t="str">
        <f t="shared" si="13"/>
        <v/>
      </c>
      <c r="I153" s="29" t="str">
        <f t="shared" si="14"/>
        <v/>
      </c>
      <c r="J153" s="29" t="str">
        <f t="shared" si="15"/>
        <v/>
      </c>
      <c r="K153" s="29" t="str">
        <f t="shared" si="16"/>
        <v/>
      </c>
      <c r="L153" s="29" t="str">
        <f t="shared" si="17"/>
        <v/>
      </c>
      <c r="N153" s="11"/>
    </row>
    <row r="154" spans="1:14" ht="15" x14ac:dyDescent="0.25">
      <c r="A154" s="1" t="str">
        <f>IF('1.1 Produksi Bersih Padi 2025'!A154="","",'1.1 Produksi Bersih Padi 2025'!A154)</f>
        <v/>
      </c>
      <c r="B154" s="2" t="str">
        <f>IF('1.1 Produksi Bersih Padi 2025'!B154="","",'1.1 Produksi Bersih Padi 2025'!B154)</f>
        <v/>
      </c>
      <c r="C154" s="2" t="str">
        <f>IF('1.1 Produksi Bersih Padi 2025'!C154="","",'1.1 Produksi Bersih Padi 2025'!C154)</f>
        <v/>
      </c>
      <c r="D154" s="3" t="str">
        <f>IF('1.1 Produksi Bersih Padi 2025'!D154="","",'1.1 Produksi Bersih Padi 2025'!D154)</f>
        <v/>
      </c>
      <c r="E154" s="3" t="str">
        <f>IF('1.1 Produksi Bersih Padi 2025'!E154="","",'1.1 Produksi Bersih Padi 2025'!E154)</f>
        <v/>
      </c>
      <c r="F154" s="28" t="str">
        <f>IF(D154="","",VLOOKUP(D154,'[1]0.1 Produksi Pangan &amp; Penduduk'!$D$5:$S$860,16,0))</f>
        <v/>
      </c>
      <c r="G154" s="28" t="str">
        <f t="shared" si="12"/>
        <v/>
      </c>
      <c r="H154" s="29" t="str">
        <f t="shared" si="13"/>
        <v/>
      </c>
      <c r="I154" s="29" t="str">
        <f t="shared" si="14"/>
        <v/>
      </c>
      <c r="J154" s="29" t="str">
        <f t="shared" si="15"/>
        <v/>
      </c>
      <c r="K154" s="29" t="str">
        <f t="shared" si="16"/>
        <v/>
      </c>
      <c r="L154" s="29" t="str">
        <f t="shared" si="17"/>
        <v/>
      </c>
      <c r="N154" s="11"/>
    </row>
    <row r="155" spans="1:14" ht="15" x14ac:dyDescent="0.25">
      <c r="A155" s="1" t="str">
        <f>IF('1.1 Produksi Bersih Padi 2025'!A155="","",'1.1 Produksi Bersih Padi 2025'!A155)</f>
        <v/>
      </c>
      <c r="B155" s="2" t="str">
        <f>IF('1.1 Produksi Bersih Padi 2025'!B155="","",'1.1 Produksi Bersih Padi 2025'!B155)</f>
        <v/>
      </c>
      <c r="C155" s="2" t="str">
        <f>IF('1.1 Produksi Bersih Padi 2025'!C155="","",'1.1 Produksi Bersih Padi 2025'!C155)</f>
        <v/>
      </c>
      <c r="D155" s="3" t="str">
        <f>IF('1.1 Produksi Bersih Padi 2025'!D155="","",'1.1 Produksi Bersih Padi 2025'!D155)</f>
        <v/>
      </c>
      <c r="E155" s="3" t="str">
        <f>IF('1.1 Produksi Bersih Padi 2025'!E155="","",'1.1 Produksi Bersih Padi 2025'!E155)</f>
        <v/>
      </c>
      <c r="F155" s="28" t="str">
        <f>IF(D155="","",VLOOKUP(D155,'[1]0.1 Produksi Pangan &amp; Penduduk'!$D$5:$S$860,16,0))</f>
        <v/>
      </c>
      <c r="G155" s="28" t="str">
        <f t="shared" si="12"/>
        <v/>
      </c>
      <c r="H155" s="29" t="str">
        <f t="shared" si="13"/>
        <v/>
      </c>
      <c r="I155" s="29" t="str">
        <f t="shared" si="14"/>
        <v/>
      </c>
      <c r="J155" s="29" t="str">
        <f t="shared" si="15"/>
        <v/>
      </c>
      <c r="K155" s="29" t="str">
        <f t="shared" si="16"/>
        <v/>
      </c>
      <c r="L155" s="29" t="str">
        <f t="shared" si="17"/>
        <v/>
      </c>
      <c r="N155" s="11"/>
    </row>
    <row r="156" spans="1:14" ht="15" x14ac:dyDescent="0.25">
      <c r="A156" s="1" t="str">
        <f>IF('1.1 Produksi Bersih Padi 2025'!A156="","",'1.1 Produksi Bersih Padi 2025'!A156)</f>
        <v/>
      </c>
      <c r="B156" s="2" t="str">
        <f>IF('1.1 Produksi Bersih Padi 2025'!B156="","",'1.1 Produksi Bersih Padi 2025'!B156)</f>
        <v/>
      </c>
      <c r="C156" s="2" t="str">
        <f>IF('1.1 Produksi Bersih Padi 2025'!C156="","",'1.1 Produksi Bersih Padi 2025'!C156)</f>
        <v/>
      </c>
      <c r="D156" s="3" t="str">
        <f>IF('1.1 Produksi Bersih Padi 2025'!D156="","",'1.1 Produksi Bersih Padi 2025'!D156)</f>
        <v/>
      </c>
      <c r="E156" s="3" t="str">
        <f>IF('1.1 Produksi Bersih Padi 2025'!E156="","",'1.1 Produksi Bersih Padi 2025'!E156)</f>
        <v/>
      </c>
      <c r="F156" s="28" t="str">
        <f>IF(D156="","",VLOOKUP(D156,'[1]0.1 Produksi Pangan &amp; Penduduk'!$D$5:$S$860,16,0))</f>
        <v/>
      </c>
      <c r="G156" s="28" t="str">
        <f t="shared" si="12"/>
        <v/>
      </c>
      <c r="H156" s="29" t="str">
        <f t="shared" si="13"/>
        <v/>
      </c>
      <c r="I156" s="29" t="str">
        <f t="shared" si="14"/>
        <v/>
      </c>
      <c r="J156" s="29" t="str">
        <f t="shared" si="15"/>
        <v/>
      </c>
      <c r="K156" s="29" t="str">
        <f t="shared" si="16"/>
        <v/>
      </c>
      <c r="L156" s="29" t="str">
        <f t="shared" si="17"/>
        <v/>
      </c>
      <c r="N156" s="11"/>
    </row>
    <row r="157" spans="1:14" ht="15" x14ac:dyDescent="0.25">
      <c r="A157" s="1" t="str">
        <f>IF('1.1 Produksi Bersih Padi 2025'!A157="","",'1.1 Produksi Bersih Padi 2025'!A157)</f>
        <v/>
      </c>
      <c r="B157" s="2" t="str">
        <f>IF('1.1 Produksi Bersih Padi 2025'!B157="","",'1.1 Produksi Bersih Padi 2025'!B157)</f>
        <v/>
      </c>
      <c r="C157" s="2" t="str">
        <f>IF('1.1 Produksi Bersih Padi 2025'!C157="","",'1.1 Produksi Bersih Padi 2025'!C157)</f>
        <v/>
      </c>
      <c r="D157" s="3" t="str">
        <f>IF('1.1 Produksi Bersih Padi 2025'!D157="","",'1.1 Produksi Bersih Padi 2025'!D157)</f>
        <v/>
      </c>
      <c r="E157" s="3" t="str">
        <f>IF('1.1 Produksi Bersih Padi 2025'!E157="","",'1.1 Produksi Bersih Padi 2025'!E157)</f>
        <v/>
      </c>
      <c r="F157" s="28" t="str">
        <f>IF(D157="","",VLOOKUP(D157,'[1]0.1 Produksi Pangan &amp; Penduduk'!$D$5:$S$860,16,0))</f>
        <v/>
      </c>
      <c r="G157" s="28" t="str">
        <f t="shared" si="12"/>
        <v/>
      </c>
      <c r="H157" s="29" t="str">
        <f t="shared" si="13"/>
        <v/>
      </c>
      <c r="I157" s="29" t="str">
        <f t="shared" si="14"/>
        <v/>
      </c>
      <c r="J157" s="29" t="str">
        <f t="shared" si="15"/>
        <v/>
      </c>
      <c r="K157" s="29" t="str">
        <f t="shared" si="16"/>
        <v/>
      </c>
      <c r="L157" s="29" t="str">
        <f t="shared" si="17"/>
        <v/>
      </c>
      <c r="N157" s="11"/>
    </row>
    <row r="158" spans="1:14" ht="15" x14ac:dyDescent="0.25">
      <c r="A158" s="1" t="str">
        <f>IF('1.1 Produksi Bersih Padi 2025'!A158="","",'1.1 Produksi Bersih Padi 2025'!A158)</f>
        <v/>
      </c>
      <c r="B158" s="2" t="str">
        <f>IF('1.1 Produksi Bersih Padi 2025'!B158="","",'1.1 Produksi Bersih Padi 2025'!B158)</f>
        <v/>
      </c>
      <c r="C158" s="2" t="str">
        <f>IF('1.1 Produksi Bersih Padi 2025'!C158="","",'1.1 Produksi Bersih Padi 2025'!C158)</f>
        <v/>
      </c>
      <c r="D158" s="3" t="str">
        <f>IF('1.1 Produksi Bersih Padi 2025'!D158="","",'1.1 Produksi Bersih Padi 2025'!D158)</f>
        <v/>
      </c>
      <c r="E158" s="3" t="str">
        <f>IF('1.1 Produksi Bersih Padi 2025'!E158="","",'1.1 Produksi Bersih Padi 2025'!E158)</f>
        <v/>
      </c>
      <c r="F158" s="28" t="str">
        <f>IF(D158="","",VLOOKUP(D158,'[1]0.1 Produksi Pangan &amp; Penduduk'!$D$5:$S$860,16,0))</f>
        <v/>
      </c>
      <c r="G158" s="28" t="str">
        <f t="shared" si="12"/>
        <v/>
      </c>
      <c r="H158" s="29" t="str">
        <f t="shared" si="13"/>
        <v/>
      </c>
      <c r="I158" s="29" t="str">
        <f t="shared" si="14"/>
        <v/>
      </c>
      <c r="J158" s="29" t="str">
        <f t="shared" si="15"/>
        <v/>
      </c>
      <c r="K158" s="29" t="str">
        <f t="shared" si="16"/>
        <v/>
      </c>
      <c r="L158" s="29" t="str">
        <f t="shared" si="17"/>
        <v/>
      </c>
      <c r="N158" s="11"/>
    </row>
    <row r="159" spans="1:14" ht="15" x14ac:dyDescent="0.25">
      <c r="A159" s="1" t="str">
        <f>IF('1.1 Produksi Bersih Padi 2025'!A159="","",'1.1 Produksi Bersih Padi 2025'!A159)</f>
        <v/>
      </c>
      <c r="B159" s="2" t="str">
        <f>IF('1.1 Produksi Bersih Padi 2025'!B159="","",'1.1 Produksi Bersih Padi 2025'!B159)</f>
        <v/>
      </c>
      <c r="C159" s="2" t="str">
        <f>IF('1.1 Produksi Bersih Padi 2025'!C159="","",'1.1 Produksi Bersih Padi 2025'!C159)</f>
        <v/>
      </c>
      <c r="D159" s="3" t="str">
        <f>IF('1.1 Produksi Bersih Padi 2025'!D159="","",'1.1 Produksi Bersih Padi 2025'!D159)</f>
        <v/>
      </c>
      <c r="E159" s="3" t="str">
        <f>IF('1.1 Produksi Bersih Padi 2025'!E159="","",'1.1 Produksi Bersih Padi 2025'!E159)</f>
        <v/>
      </c>
      <c r="F159" s="28" t="str">
        <f>IF(D159="","",VLOOKUP(D159,'[1]0.1 Produksi Pangan &amp; Penduduk'!$D$5:$S$860,16,0))</f>
        <v/>
      </c>
      <c r="G159" s="28" t="str">
        <f t="shared" si="12"/>
        <v/>
      </c>
      <c r="H159" s="29" t="str">
        <f t="shared" si="13"/>
        <v/>
      </c>
      <c r="I159" s="29" t="str">
        <f t="shared" si="14"/>
        <v/>
      </c>
      <c r="J159" s="29" t="str">
        <f t="shared" si="15"/>
        <v/>
      </c>
      <c r="K159" s="29" t="str">
        <f t="shared" si="16"/>
        <v/>
      </c>
      <c r="L159" s="29" t="str">
        <f t="shared" si="17"/>
        <v/>
      </c>
      <c r="N159" s="11"/>
    </row>
    <row r="160" spans="1:14" ht="15" x14ac:dyDescent="0.25">
      <c r="A160" s="1" t="str">
        <f>IF('1.1 Produksi Bersih Padi 2025'!A160="","",'1.1 Produksi Bersih Padi 2025'!A160)</f>
        <v/>
      </c>
      <c r="B160" s="2" t="str">
        <f>IF('1.1 Produksi Bersih Padi 2025'!B160="","",'1.1 Produksi Bersih Padi 2025'!B160)</f>
        <v/>
      </c>
      <c r="C160" s="2" t="str">
        <f>IF('1.1 Produksi Bersih Padi 2025'!C160="","",'1.1 Produksi Bersih Padi 2025'!C160)</f>
        <v/>
      </c>
      <c r="D160" s="3" t="str">
        <f>IF('1.1 Produksi Bersih Padi 2025'!D160="","",'1.1 Produksi Bersih Padi 2025'!D160)</f>
        <v/>
      </c>
      <c r="E160" s="3" t="str">
        <f>IF('1.1 Produksi Bersih Padi 2025'!E160="","",'1.1 Produksi Bersih Padi 2025'!E160)</f>
        <v/>
      </c>
      <c r="F160" s="28" t="str">
        <f>IF(D160="","",VLOOKUP(D160,'[1]0.1 Produksi Pangan &amp; Penduduk'!$D$5:$S$860,16,0))</f>
        <v/>
      </c>
      <c r="G160" s="28" t="str">
        <f t="shared" si="12"/>
        <v/>
      </c>
      <c r="H160" s="29" t="str">
        <f t="shared" si="13"/>
        <v/>
      </c>
      <c r="I160" s="29" t="str">
        <f t="shared" si="14"/>
        <v/>
      </c>
      <c r="J160" s="29" t="str">
        <f t="shared" si="15"/>
        <v/>
      </c>
      <c r="K160" s="29" t="str">
        <f t="shared" si="16"/>
        <v/>
      </c>
      <c r="L160" s="29" t="str">
        <f t="shared" si="17"/>
        <v/>
      </c>
      <c r="N160" s="11"/>
    </row>
    <row r="161" spans="1:14" ht="15" x14ac:dyDescent="0.25">
      <c r="A161" s="1" t="str">
        <f>IF('1.1 Produksi Bersih Padi 2025'!A161="","",'1.1 Produksi Bersih Padi 2025'!A161)</f>
        <v/>
      </c>
      <c r="B161" s="2" t="str">
        <f>IF('1.1 Produksi Bersih Padi 2025'!B161="","",'1.1 Produksi Bersih Padi 2025'!B161)</f>
        <v/>
      </c>
      <c r="C161" s="2" t="str">
        <f>IF('1.1 Produksi Bersih Padi 2025'!C161="","",'1.1 Produksi Bersih Padi 2025'!C161)</f>
        <v/>
      </c>
      <c r="D161" s="3" t="str">
        <f>IF('1.1 Produksi Bersih Padi 2025'!D161="","",'1.1 Produksi Bersih Padi 2025'!D161)</f>
        <v/>
      </c>
      <c r="E161" s="3" t="str">
        <f>IF('1.1 Produksi Bersih Padi 2025'!E161="","",'1.1 Produksi Bersih Padi 2025'!E161)</f>
        <v/>
      </c>
      <c r="F161" s="28" t="str">
        <f>IF(D161="","",VLOOKUP(D161,'[1]0.1 Produksi Pangan &amp; Penduduk'!$D$5:$S$860,16,0))</f>
        <v/>
      </c>
      <c r="G161" s="28" t="str">
        <f t="shared" si="12"/>
        <v/>
      </c>
      <c r="H161" s="29" t="str">
        <f t="shared" si="13"/>
        <v/>
      </c>
      <c r="I161" s="29" t="str">
        <f t="shared" si="14"/>
        <v/>
      </c>
      <c r="J161" s="29" t="str">
        <f t="shared" si="15"/>
        <v/>
      </c>
      <c r="K161" s="29" t="str">
        <f t="shared" si="16"/>
        <v/>
      </c>
      <c r="L161" s="29" t="str">
        <f t="shared" si="17"/>
        <v/>
      </c>
      <c r="N161" s="11"/>
    </row>
    <row r="162" spans="1:14" ht="15" x14ac:dyDescent="0.25">
      <c r="A162" s="1" t="str">
        <f>IF('1.1 Produksi Bersih Padi 2025'!A162="","",'1.1 Produksi Bersih Padi 2025'!A162)</f>
        <v/>
      </c>
      <c r="B162" s="2" t="str">
        <f>IF('1.1 Produksi Bersih Padi 2025'!B162="","",'1.1 Produksi Bersih Padi 2025'!B162)</f>
        <v/>
      </c>
      <c r="C162" s="2" t="str">
        <f>IF('1.1 Produksi Bersih Padi 2025'!C162="","",'1.1 Produksi Bersih Padi 2025'!C162)</f>
        <v/>
      </c>
      <c r="D162" s="3" t="str">
        <f>IF('1.1 Produksi Bersih Padi 2025'!D162="","",'1.1 Produksi Bersih Padi 2025'!D162)</f>
        <v/>
      </c>
      <c r="E162" s="3" t="str">
        <f>IF('1.1 Produksi Bersih Padi 2025'!E162="","",'1.1 Produksi Bersih Padi 2025'!E162)</f>
        <v/>
      </c>
      <c r="F162" s="28" t="str">
        <f>IF(D162="","",VLOOKUP(D162,'[1]0.1 Produksi Pangan &amp; Penduduk'!$D$5:$S$860,16,0))</f>
        <v/>
      </c>
      <c r="G162" s="28" t="str">
        <f t="shared" si="12"/>
        <v/>
      </c>
      <c r="H162" s="29" t="str">
        <f t="shared" si="13"/>
        <v/>
      </c>
      <c r="I162" s="29" t="str">
        <f t="shared" si="14"/>
        <v/>
      </c>
      <c r="J162" s="29" t="str">
        <f t="shared" si="15"/>
        <v/>
      </c>
      <c r="K162" s="29" t="str">
        <f t="shared" si="16"/>
        <v/>
      </c>
      <c r="L162" s="29" t="str">
        <f t="shared" si="17"/>
        <v/>
      </c>
      <c r="N162" s="11"/>
    </row>
    <row r="163" spans="1:14" ht="15" x14ac:dyDescent="0.25">
      <c r="A163" s="1" t="str">
        <f>IF('1.1 Produksi Bersih Padi 2025'!A163="","",'1.1 Produksi Bersih Padi 2025'!A163)</f>
        <v/>
      </c>
      <c r="B163" s="2" t="str">
        <f>IF('1.1 Produksi Bersih Padi 2025'!B163="","",'1.1 Produksi Bersih Padi 2025'!B163)</f>
        <v/>
      </c>
      <c r="C163" s="2" t="str">
        <f>IF('1.1 Produksi Bersih Padi 2025'!C163="","",'1.1 Produksi Bersih Padi 2025'!C163)</f>
        <v/>
      </c>
      <c r="D163" s="3" t="str">
        <f>IF('1.1 Produksi Bersih Padi 2025'!D163="","",'1.1 Produksi Bersih Padi 2025'!D163)</f>
        <v/>
      </c>
      <c r="E163" s="3" t="str">
        <f>IF('1.1 Produksi Bersih Padi 2025'!E163="","",'1.1 Produksi Bersih Padi 2025'!E163)</f>
        <v/>
      </c>
      <c r="F163" s="28" t="str">
        <f>IF(D163="","",VLOOKUP(D163,'[1]0.1 Produksi Pangan &amp; Penduduk'!$D$5:$S$860,16,0))</f>
        <v/>
      </c>
      <c r="G163" s="28" t="str">
        <f t="shared" si="12"/>
        <v/>
      </c>
      <c r="H163" s="29" t="str">
        <f t="shared" si="13"/>
        <v/>
      </c>
      <c r="I163" s="29" t="str">
        <f t="shared" si="14"/>
        <v/>
      </c>
      <c r="J163" s="29" t="str">
        <f t="shared" si="15"/>
        <v/>
      </c>
      <c r="K163" s="29" t="str">
        <f t="shared" si="16"/>
        <v/>
      </c>
      <c r="L163" s="29" t="str">
        <f t="shared" si="17"/>
        <v/>
      </c>
      <c r="N163" s="11"/>
    </row>
    <row r="164" spans="1:14" ht="15" x14ac:dyDescent="0.25">
      <c r="A164" s="1" t="str">
        <f>IF('1.1 Produksi Bersih Padi 2025'!A164="","",'1.1 Produksi Bersih Padi 2025'!A164)</f>
        <v/>
      </c>
      <c r="B164" s="2" t="str">
        <f>IF('1.1 Produksi Bersih Padi 2025'!B164="","",'1.1 Produksi Bersih Padi 2025'!B164)</f>
        <v/>
      </c>
      <c r="C164" s="2" t="str">
        <f>IF('1.1 Produksi Bersih Padi 2025'!C164="","",'1.1 Produksi Bersih Padi 2025'!C164)</f>
        <v/>
      </c>
      <c r="D164" s="3" t="str">
        <f>IF('1.1 Produksi Bersih Padi 2025'!D164="","",'1.1 Produksi Bersih Padi 2025'!D164)</f>
        <v/>
      </c>
      <c r="E164" s="3" t="str">
        <f>IF('1.1 Produksi Bersih Padi 2025'!E164="","",'1.1 Produksi Bersih Padi 2025'!E164)</f>
        <v/>
      </c>
      <c r="F164" s="28" t="str">
        <f>IF(D164="","",VLOOKUP(D164,'[1]0.1 Produksi Pangan &amp; Penduduk'!$D$5:$S$860,16,0))</f>
        <v/>
      </c>
      <c r="G164" s="28" t="str">
        <f t="shared" si="12"/>
        <v/>
      </c>
      <c r="H164" s="29" t="str">
        <f t="shared" si="13"/>
        <v/>
      </c>
      <c r="I164" s="29" t="str">
        <f t="shared" si="14"/>
        <v/>
      </c>
      <c r="J164" s="29" t="str">
        <f t="shared" si="15"/>
        <v/>
      </c>
      <c r="K164" s="29" t="str">
        <f t="shared" si="16"/>
        <v/>
      </c>
      <c r="L164" s="29" t="str">
        <f t="shared" si="17"/>
        <v/>
      </c>
      <c r="N164" s="11"/>
    </row>
    <row r="165" spans="1:14" ht="15" x14ac:dyDescent="0.25">
      <c r="A165" s="1" t="str">
        <f>IF('1.1 Produksi Bersih Padi 2025'!A165="","",'1.1 Produksi Bersih Padi 2025'!A165)</f>
        <v/>
      </c>
      <c r="B165" s="2" t="str">
        <f>IF('1.1 Produksi Bersih Padi 2025'!B165="","",'1.1 Produksi Bersih Padi 2025'!B165)</f>
        <v/>
      </c>
      <c r="C165" s="2" t="str">
        <f>IF('1.1 Produksi Bersih Padi 2025'!C165="","",'1.1 Produksi Bersih Padi 2025'!C165)</f>
        <v/>
      </c>
      <c r="D165" s="3" t="str">
        <f>IF('1.1 Produksi Bersih Padi 2025'!D165="","",'1.1 Produksi Bersih Padi 2025'!D165)</f>
        <v/>
      </c>
      <c r="E165" s="3" t="str">
        <f>IF('1.1 Produksi Bersih Padi 2025'!E165="","",'1.1 Produksi Bersih Padi 2025'!E165)</f>
        <v/>
      </c>
      <c r="F165" s="28" t="str">
        <f>IF(D165="","",VLOOKUP(D165,'[1]0.1 Produksi Pangan &amp; Penduduk'!$D$5:$S$860,16,0))</f>
        <v/>
      </c>
      <c r="G165" s="28" t="str">
        <f t="shared" si="12"/>
        <v/>
      </c>
      <c r="H165" s="29" t="str">
        <f t="shared" si="13"/>
        <v/>
      </c>
      <c r="I165" s="29" t="str">
        <f t="shared" si="14"/>
        <v/>
      </c>
      <c r="J165" s="29" t="str">
        <f t="shared" si="15"/>
        <v/>
      </c>
      <c r="K165" s="29" t="str">
        <f t="shared" si="16"/>
        <v/>
      </c>
      <c r="L165" s="29" t="str">
        <f t="shared" si="17"/>
        <v/>
      </c>
      <c r="N165" s="11"/>
    </row>
    <row r="166" spans="1:14" ht="15" x14ac:dyDescent="0.25">
      <c r="A166" s="1" t="str">
        <f>IF('1.1 Produksi Bersih Padi 2025'!A166="","",'1.1 Produksi Bersih Padi 2025'!A166)</f>
        <v/>
      </c>
      <c r="B166" s="2" t="str">
        <f>IF('1.1 Produksi Bersih Padi 2025'!B166="","",'1.1 Produksi Bersih Padi 2025'!B166)</f>
        <v/>
      </c>
      <c r="C166" s="2" t="str">
        <f>IF('1.1 Produksi Bersih Padi 2025'!C166="","",'1.1 Produksi Bersih Padi 2025'!C166)</f>
        <v/>
      </c>
      <c r="D166" s="3" t="str">
        <f>IF('1.1 Produksi Bersih Padi 2025'!D166="","",'1.1 Produksi Bersih Padi 2025'!D166)</f>
        <v/>
      </c>
      <c r="E166" s="3" t="str">
        <f>IF('1.1 Produksi Bersih Padi 2025'!E166="","",'1.1 Produksi Bersih Padi 2025'!E166)</f>
        <v/>
      </c>
      <c r="F166" s="28" t="str">
        <f>IF(D166="","",VLOOKUP(D166,'[1]0.1 Produksi Pangan &amp; Penduduk'!$D$5:$S$860,16,0))</f>
        <v/>
      </c>
      <c r="G166" s="28" t="str">
        <f t="shared" si="12"/>
        <v/>
      </c>
      <c r="H166" s="29" t="str">
        <f t="shared" si="13"/>
        <v/>
      </c>
      <c r="I166" s="29" t="str">
        <f t="shared" si="14"/>
        <v/>
      </c>
      <c r="J166" s="29" t="str">
        <f t="shared" si="15"/>
        <v/>
      </c>
      <c r="K166" s="29" t="str">
        <f t="shared" si="16"/>
        <v/>
      </c>
      <c r="L166" s="29" t="str">
        <f t="shared" si="17"/>
        <v/>
      </c>
      <c r="N166" s="11"/>
    </row>
    <row r="167" spans="1:14" ht="15" x14ac:dyDescent="0.25">
      <c r="A167" s="1" t="str">
        <f>IF('1.1 Produksi Bersih Padi 2025'!A167="","",'1.1 Produksi Bersih Padi 2025'!A167)</f>
        <v/>
      </c>
      <c r="B167" s="2" t="str">
        <f>IF('1.1 Produksi Bersih Padi 2025'!B167="","",'1.1 Produksi Bersih Padi 2025'!B167)</f>
        <v/>
      </c>
      <c r="C167" s="2" t="str">
        <f>IF('1.1 Produksi Bersih Padi 2025'!C167="","",'1.1 Produksi Bersih Padi 2025'!C167)</f>
        <v/>
      </c>
      <c r="D167" s="3" t="str">
        <f>IF('1.1 Produksi Bersih Padi 2025'!D167="","",'1.1 Produksi Bersih Padi 2025'!D167)</f>
        <v/>
      </c>
      <c r="E167" s="3" t="str">
        <f>IF('1.1 Produksi Bersih Padi 2025'!E167="","",'1.1 Produksi Bersih Padi 2025'!E167)</f>
        <v/>
      </c>
      <c r="F167" s="28" t="str">
        <f>IF(D167="","",VLOOKUP(D167,'[1]0.1 Produksi Pangan &amp; Penduduk'!$D$5:$S$860,16,0))</f>
        <v/>
      </c>
      <c r="G167" s="28" t="str">
        <f t="shared" si="12"/>
        <v/>
      </c>
      <c r="H167" s="29" t="str">
        <f t="shared" si="13"/>
        <v/>
      </c>
      <c r="I167" s="29" t="str">
        <f t="shared" si="14"/>
        <v/>
      </c>
      <c r="J167" s="29" t="str">
        <f t="shared" si="15"/>
        <v/>
      </c>
      <c r="K167" s="29" t="str">
        <f t="shared" si="16"/>
        <v/>
      </c>
      <c r="L167" s="29" t="str">
        <f t="shared" si="17"/>
        <v/>
      </c>
      <c r="N167" s="11"/>
    </row>
    <row r="168" spans="1:14" ht="15" x14ac:dyDescent="0.25">
      <c r="A168" s="1" t="str">
        <f>IF('1.1 Produksi Bersih Padi 2025'!A168="","",'1.1 Produksi Bersih Padi 2025'!A168)</f>
        <v/>
      </c>
      <c r="B168" s="2" t="str">
        <f>IF('1.1 Produksi Bersih Padi 2025'!B168="","",'1.1 Produksi Bersih Padi 2025'!B168)</f>
        <v/>
      </c>
      <c r="C168" s="2" t="str">
        <f>IF('1.1 Produksi Bersih Padi 2025'!C168="","",'1.1 Produksi Bersih Padi 2025'!C168)</f>
        <v/>
      </c>
      <c r="D168" s="3" t="str">
        <f>IF('1.1 Produksi Bersih Padi 2025'!D168="","",'1.1 Produksi Bersih Padi 2025'!D168)</f>
        <v/>
      </c>
      <c r="E168" s="3" t="str">
        <f>IF('1.1 Produksi Bersih Padi 2025'!E168="","",'1.1 Produksi Bersih Padi 2025'!E168)</f>
        <v/>
      </c>
      <c r="F168" s="28" t="str">
        <f>IF(D168="","",VLOOKUP(D168,'[1]0.1 Produksi Pangan &amp; Penduduk'!$D$5:$S$860,16,0))</f>
        <v/>
      </c>
      <c r="G168" s="28" t="str">
        <f t="shared" si="12"/>
        <v/>
      </c>
      <c r="H168" s="29" t="str">
        <f t="shared" si="13"/>
        <v/>
      </c>
      <c r="I168" s="29" t="str">
        <f t="shared" si="14"/>
        <v/>
      </c>
      <c r="J168" s="29" t="str">
        <f t="shared" si="15"/>
        <v/>
      </c>
      <c r="K168" s="29" t="str">
        <f t="shared" si="16"/>
        <v/>
      </c>
      <c r="L168" s="29" t="str">
        <f t="shared" si="17"/>
        <v/>
      </c>
      <c r="N168" s="11"/>
    </row>
    <row r="169" spans="1:14" ht="15" x14ac:dyDescent="0.25">
      <c r="A169" s="1" t="str">
        <f>IF('1.1 Produksi Bersih Padi 2025'!A169="","",'1.1 Produksi Bersih Padi 2025'!A169)</f>
        <v/>
      </c>
      <c r="B169" s="2" t="str">
        <f>IF('1.1 Produksi Bersih Padi 2025'!B169="","",'1.1 Produksi Bersih Padi 2025'!B169)</f>
        <v/>
      </c>
      <c r="C169" s="2" t="str">
        <f>IF('1.1 Produksi Bersih Padi 2025'!C169="","",'1.1 Produksi Bersih Padi 2025'!C169)</f>
        <v/>
      </c>
      <c r="D169" s="3" t="str">
        <f>IF('1.1 Produksi Bersih Padi 2025'!D169="","",'1.1 Produksi Bersih Padi 2025'!D169)</f>
        <v/>
      </c>
      <c r="E169" s="3" t="str">
        <f>IF('1.1 Produksi Bersih Padi 2025'!E169="","",'1.1 Produksi Bersih Padi 2025'!E169)</f>
        <v/>
      </c>
      <c r="F169" s="28" t="str">
        <f>IF(D169="","",VLOOKUP(D169,'[1]0.1 Produksi Pangan &amp; Penduduk'!$D$5:$S$860,16,0))</f>
        <v/>
      </c>
      <c r="G169" s="28" t="str">
        <f t="shared" si="12"/>
        <v/>
      </c>
      <c r="H169" s="29" t="str">
        <f t="shared" si="13"/>
        <v/>
      </c>
      <c r="I169" s="29" t="str">
        <f t="shared" si="14"/>
        <v/>
      </c>
      <c r="J169" s="29" t="str">
        <f t="shared" si="15"/>
        <v/>
      </c>
      <c r="K169" s="29" t="str">
        <f t="shared" si="16"/>
        <v/>
      </c>
      <c r="L169" s="29" t="str">
        <f t="shared" si="17"/>
        <v/>
      </c>
      <c r="N169" s="11"/>
    </row>
    <row r="170" spans="1:14" ht="15" x14ac:dyDescent="0.25">
      <c r="A170" s="1" t="str">
        <f>IF('1.1 Produksi Bersih Padi 2025'!A170="","",'1.1 Produksi Bersih Padi 2025'!A170)</f>
        <v/>
      </c>
      <c r="B170" s="2" t="str">
        <f>IF('1.1 Produksi Bersih Padi 2025'!B170="","",'1.1 Produksi Bersih Padi 2025'!B170)</f>
        <v/>
      </c>
      <c r="C170" s="2" t="str">
        <f>IF('1.1 Produksi Bersih Padi 2025'!C170="","",'1.1 Produksi Bersih Padi 2025'!C170)</f>
        <v/>
      </c>
      <c r="D170" s="3" t="str">
        <f>IF('1.1 Produksi Bersih Padi 2025'!D170="","",'1.1 Produksi Bersih Padi 2025'!D170)</f>
        <v/>
      </c>
      <c r="E170" s="3" t="str">
        <f>IF('1.1 Produksi Bersih Padi 2025'!E170="","",'1.1 Produksi Bersih Padi 2025'!E170)</f>
        <v/>
      </c>
      <c r="F170" s="28" t="str">
        <f>IF(D170="","",VLOOKUP(D170,'[1]0.1 Produksi Pangan &amp; Penduduk'!$D$5:$S$860,16,0))</f>
        <v/>
      </c>
      <c r="G170" s="28" t="str">
        <f t="shared" si="12"/>
        <v/>
      </c>
      <c r="H170" s="29" t="str">
        <f t="shared" si="13"/>
        <v/>
      </c>
      <c r="I170" s="29" t="str">
        <f t="shared" si="14"/>
        <v/>
      </c>
      <c r="J170" s="29" t="str">
        <f t="shared" si="15"/>
        <v/>
      </c>
      <c r="K170" s="29" t="str">
        <f t="shared" si="16"/>
        <v/>
      </c>
      <c r="L170" s="29" t="str">
        <f t="shared" si="17"/>
        <v/>
      </c>
      <c r="N170" s="11"/>
    </row>
    <row r="171" spans="1:14" ht="15" x14ac:dyDescent="0.25">
      <c r="A171" s="1" t="str">
        <f>IF('1.1 Produksi Bersih Padi 2025'!A171="","",'1.1 Produksi Bersih Padi 2025'!A171)</f>
        <v/>
      </c>
      <c r="B171" s="2" t="str">
        <f>IF('1.1 Produksi Bersih Padi 2025'!B171="","",'1.1 Produksi Bersih Padi 2025'!B171)</f>
        <v/>
      </c>
      <c r="C171" s="2" t="str">
        <f>IF('1.1 Produksi Bersih Padi 2025'!C171="","",'1.1 Produksi Bersih Padi 2025'!C171)</f>
        <v/>
      </c>
      <c r="D171" s="3" t="str">
        <f>IF('1.1 Produksi Bersih Padi 2025'!D171="","",'1.1 Produksi Bersih Padi 2025'!D171)</f>
        <v/>
      </c>
      <c r="E171" s="3" t="str">
        <f>IF('1.1 Produksi Bersih Padi 2025'!E171="","",'1.1 Produksi Bersih Padi 2025'!E171)</f>
        <v/>
      </c>
      <c r="F171" s="28" t="str">
        <f>IF(D171="","",VLOOKUP(D171,'[1]0.1 Produksi Pangan &amp; Penduduk'!$D$5:$S$860,16,0))</f>
        <v/>
      </c>
      <c r="G171" s="28" t="str">
        <f t="shared" si="12"/>
        <v/>
      </c>
      <c r="H171" s="29" t="str">
        <f t="shared" si="13"/>
        <v/>
      </c>
      <c r="I171" s="29" t="str">
        <f t="shared" si="14"/>
        <v/>
      </c>
      <c r="J171" s="29" t="str">
        <f t="shared" si="15"/>
        <v/>
      </c>
      <c r="K171" s="29" t="str">
        <f t="shared" si="16"/>
        <v/>
      </c>
      <c r="L171" s="29" t="str">
        <f t="shared" si="17"/>
        <v/>
      </c>
      <c r="N171" s="11"/>
    </row>
    <row r="172" spans="1:14" ht="15" x14ac:dyDescent="0.25">
      <c r="A172" s="1" t="str">
        <f>IF('1.1 Produksi Bersih Padi 2025'!A172="","",'1.1 Produksi Bersih Padi 2025'!A172)</f>
        <v/>
      </c>
      <c r="B172" s="2" t="str">
        <f>IF('1.1 Produksi Bersih Padi 2025'!B172="","",'1.1 Produksi Bersih Padi 2025'!B172)</f>
        <v/>
      </c>
      <c r="C172" s="2" t="str">
        <f>IF('1.1 Produksi Bersih Padi 2025'!C172="","",'1.1 Produksi Bersih Padi 2025'!C172)</f>
        <v/>
      </c>
      <c r="D172" s="3" t="str">
        <f>IF('1.1 Produksi Bersih Padi 2025'!D172="","",'1.1 Produksi Bersih Padi 2025'!D172)</f>
        <v/>
      </c>
      <c r="E172" s="3" t="str">
        <f>IF('1.1 Produksi Bersih Padi 2025'!E172="","",'1.1 Produksi Bersih Padi 2025'!E172)</f>
        <v/>
      </c>
      <c r="F172" s="28" t="str">
        <f>IF(D172="","",VLOOKUP(D172,'[1]0.1 Produksi Pangan &amp; Penduduk'!$D$5:$S$860,16,0))</f>
        <v/>
      </c>
      <c r="G172" s="28" t="str">
        <f t="shared" si="12"/>
        <v/>
      </c>
      <c r="H172" s="29" t="str">
        <f t="shared" si="13"/>
        <v/>
      </c>
      <c r="I172" s="29" t="str">
        <f t="shared" si="14"/>
        <v/>
      </c>
      <c r="J172" s="29" t="str">
        <f t="shared" si="15"/>
        <v/>
      </c>
      <c r="K172" s="29" t="str">
        <f t="shared" si="16"/>
        <v/>
      </c>
      <c r="L172" s="29" t="str">
        <f t="shared" si="17"/>
        <v/>
      </c>
      <c r="N172" s="11"/>
    </row>
    <row r="173" spans="1:14" ht="15" x14ac:dyDescent="0.25">
      <c r="A173" s="1" t="str">
        <f>IF('1.1 Produksi Bersih Padi 2025'!A173="","",'1.1 Produksi Bersih Padi 2025'!A173)</f>
        <v/>
      </c>
      <c r="B173" s="2" t="str">
        <f>IF('1.1 Produksi Bersih Padi 2025'!B173="","",'1.1 Produksi Bersih Padi 2025'!B173)</f>
        <v/>
      </c>
      <c r="C173" s="2" t="str">
        <f>IF('1.1 Produksi Bersih Padi 2025'!C173="","",'1.1 Produksi Bersih Padi 2025'!C173)</f>
        <v/>
      </c>
      <c r="D173" s="3" t="str">
        <f>IF('1.1 Produksi Bersih Padi 2025'!D173="","",'1.1 Produksi Bersih Padi 2025'!D173)</f>
        <v/>
      </c>
      <c r="E173" s="3" t="str">
        <f>IF('1.1 Produksi Bersih Padi 2025'!E173="","",'1.1 Produksi Bersih Padi 2025'!E173)</f>
        <v/>
      </c>
      <c r="F173" s="28" t="str">
        <f>IF(D173="","",VLOOKUP(D173,'[1]0.1 Produksi Pangan &amp; Penduduk'!$D$5:$S$860,16,0))</f>
        <v/>
      </c>
      <c r="G173" s="28" t="str">
        <f t="shared" si="12"/>
        <v/>
      </c>
      <c r="H173" s="29" t="str">
        <f t="shared" si="13"/>
        <v/>
      </c>
      <c r="I173" s="29" t="str">
        <f t="shared" si="14"/>
        <v/>
      </c>
      <c r="J173" s="29" t="str">
        <f t="shared" si="15"/>
        <v/>
      </c>
      <c r="K173" s="29" t="str">
        <f t="shared" si="16"/>
        <v/>
      </c>
      <c r="L173" s="29" t="str">
        <f t="shared" si="17"/>
        <v/>
      </c>
      <c r="N173" s="11"/>
    </row>
    <row r="174" spans="1:14" ht="15" x14ac:dyDescent="0.25">
      <c r="A174" s="1" t="str">
        <f>IF('1.1 Produksi Bersih Padi 2025'!A174="","",'1.1 Produksi Bersih Padi 2025'!A174)</f>
        <v/>
      </c>
      <c r="B174" s="2" t="str">
        <f>IF('1.1 Produksi Bersih Padi 2025'!B174="","",'1.1 Produksi Bersih Padi 2025'!B174)</f>
        <v/>
      </c>
      <c r="C174" s="2" t="str">
        <f>IF('1.1 Produksi Bersih Padi 2025'!C174="","",'1.1 Produksi Bersih Padi 2025'!C174)</f>
        <v/>
      </c>
      <c r="D174" s="3" t="str">
        <f>IF('1.1 Produksi Bersih Padi 2025'!D174="","",'1.1 Produksi Bersih Padi 2025'!D174)</f>
        <v/>
      </c>
      <c r="E174" s="3" t="str">
        <f>IF('1.1 Produksi Bersih Padi 2025'!E174="","",'1.1 Produksi Bersih Padi 2025'!E174)</f>
        <v/>
      </c>
      <c r="F174" s="28" t="str">
        <f>IF(D174="","",VLOOKUP(D174,'[1]0.1 Produksi Pangan &amp; Penduduk'!$D$5:$S$860,16,0))</f>
        <v/>
      </c>
      <c r="G174" s="28" t="str">
        <f t="shared" si="12"/>
        <v/>
      </c>
      <c r="H174" s="29" t="str">
        <f t="shared" si="13"/>
        <v/>
      </c>
      <c r="I174" s="29" t="str">
        <f t="shared" si="14"/>
        <v/>
      </c>
      <c r="J174" s="29" t="str">
        <f t="shared" si="15"/>
        <v/>
      </c>
      <c r="K174" s="29" t="str">
        <f t="shared" si="16"/>
        <v/>
      </c>
      <c r="L174" s="29" t="str">
        <f t="shared" si="17"/>
        <v/>
      </c>
      <c r="N174" s="11"/>
    </row>
    <row r="175" spans="1:14" ht="15" x14ac:dyDescent="0.25">
      <c r="A175" s="1" t="str">
        <f>IF('1.1 Produksi Bersih Padi 2025'!A175="","",'1.1 Produksi Bersih Padi 2025'!A175)</f>
        <v/>
      </c>
      <c r="B175" s="2" t="str">
        <f>IF('1.1 Produksi Bersih Padi 2025'!B175="","",'1.1 Produksi Bersih Padi 2025'!B175)</f>
        <v/>
      </c>
      <c r="C175" s="2" t="str">
        <f>IF('1.1 Produksi Bersih Padi 2025'!C175="","",'1.1 Produksi Bersih Padi 2025'!C175)</f>
        <v/>
      </c>
      <c r="D175" s="3" t="str">
        <f>IF('1.1 Produksi Bersih Padi 2025'!D175="","",'1.1 Produksi Bersih Padi 2025'!D175)</f>
        <v/>
      </c>
      <c r="E175" s="3" t="str">
        <f>IF('1.1 Produksi Bersih Padi 2025'!E175="","",'1.1 Produksi Bersih Padi 2025'!E175)</f>
        <v/>
      </c>
      <c r="F175" s="28" t="str">
        <f>IF(D175="","",VLOOKUP(D175,'[1]0.1 Produksi Pangan &amp; Penduduk'!$D$5:$S$860,16,0))</f>
        <v/>
      </c>
      <c r="G175" s="28" t="str">
        <f t="shared" si="12"/>
        <v/>
      </c>
      <c r="H175" s="29" t="str">
        <f t="shared" si="13"/>
        <v/>
      </c>
      <c r="I175" s="29" t="str">
        <f t="shared" si="14"/>
        <v/>
      </c>
      <c r="J175" s="29" t="str">
        <f t="shared" si="15"/>
        <v/>
      </c>
      <c r="K175" s="29" t="str">
        <f t="shared" si="16"/>
        <v/>
      </c>
      <c r="L175" s="29" t="str">
        <f t="shared" si="17"/>
        <v/>
      </c>
      <c r="N175" s="11"/>
    </row>
    <row r="176" spans="1:14" ht="15" x14ac:dyDescent="0.25">
      <c r="A176" s="1" t="str">
        <f>IF('1.1 Produksi Bersih Padi 2025'!A176="","",'1.1 Produksi Bersih Padi 2025'!A176)</f>
        <v/>
      </c>
      <c r="B176" s="2" t="str">
        <f>IF('1.1 Produksi Bersih Padi 2025'!B176="","",'1.1 Produksi Bersih Padi 2025'!B176)</f>
        <v/>
      </c>
      <c r="C176" s="2" t="str">
        <f>IF('1.1 Produksi Bersih Padi 2025'!C176="","",'1.1 Produksi Bersih Padi 2025'!C176)</f>
        <v/>
      </c>
      <c r="D176" s="3" t="str">
        <f>IF('1.1 Produksi Bersih Padi 2025'!D176="","",'1.1 Produksi Bersih Padi 2025'!D176)</f>
        <v/>
      </c>
      <c r="E176" s="3" t="str">
        <f>IF('1.1 Produksi Bersih Padi 2025'!E176="","",'1.1 Produksi Bersih Padi 2025'!E176)</f>
        <v/>
      </c>
      <c r="F176" s="28" t="str">
        <f>IF(D176="","",VLOOKUP(D176,'[1]0.1 Produksi Pangan &amp; Penduduk'!$D$5:$S$860,16,0))</f>
        <v/>
      </c>
      <c r="G176" s="28" t="str">
        <f t="shared" si="12"/>
        <v/>
      </c>
      <c r="H176" s="29" t="str">
        <f t="shared" si="13"/>
        <v/>
      </c>
      <c r="I176" s="29" t="str">
        <f t="shared" si="14"/>
        <v/>
      </c>
      <c r="J176" s="29" t="str">
        <f t="shared" si="15"/>
        <v/>
      </c>
      <c r="K176" s="29" t="str">
        <f t="shared" si="16"/>
        <v/>
      </c>
      <c r="L176" s="29" t="str">
        <f t="shared" si="17"/>
        <v/>
      </c>
      <c r="N176" s="11"/>
    </row>
    <row r="177" spans="1:14" ht="15" x14ac:dyDescent="0.25">
      <c r="A177" s="1" t="str">
        <f>IF('1.1 Produksi Bersih Padi 2025'!A177="","",'1.1 Produksi Bersih Padi 2025'!A177)</f>
        <v/>
      </c>
      <c r="B177" s="2" t="str">
        <f>IF('1.1 Produksi Bersih Padi 2025'!B177="","",'1.1 Produksi Bersih Padi 2025'!B177)</f>
        <v/>
      </c>
      <c r="C177" s="2" t="str">
        <f>IF('1.1 Produksi Bersih Padi 2025'!C177="","",'1.1 Produksi Bersih Padi 2025'!C177)</f>
        <v/>
      </c>
      <c r="D177" s="3" t="str">
        <f>IF('1.1 Produksi Bersih Padi 2025'!D177="","",'1.1 Produksi Bersih Padi 2025'!D177)</f>
        <v/>
      </c>
      <c r="E177" s="3" t="str">
        <f>IF('1.1 Produksi Bersih Padi 2025'!E177="","",'1.1 Produksi Bersih Padi 2025'!E177)</f>
        <v/>
      </c>
      <c r="F177" s="28" t="str">
        <f>IF(D177="","",VLOOKUP(D177,'[1]0.1 Produksi Pangan &amp; Penduduk'!$D$5:$S$860,16,0))</f>
        <v/>
      </c>
      <c r="G177" s="28" t="str">
        <f t="shared" si="12"/>
        <v/>
      </c>
      <c r="H177" s="29" t="str">
        <f t="shared" si="13"/>
        <v/>
      </c>
      <c r="I177" s="29" t="str">
        <f t="shared" si="14"/>
        <v/>
      </c>
      <c r="J177" s="29" t="str">
        <f t="shared" si="15"/>
        <v/>
      </c>
      <c r="K177" s="29" t="str">
        <f t="shared" si="16"/>
        <v/>
      </c>
      <c r="L177" s="29" t="str">
        <f t="shared" si="17"/>
        <v/>
      </c>
      <c r="N177" s="11"/>
    </row>
    <row r="178" spans="1:14" ht="15" x14ac:dyDescent="0.25">
      <c r="A178" s="1" t="str">
        <f>IF('1.1 Produksi Bersih Padi 2025'!A178="","",'1.1 Produksi Bersih Padi 2025'!A178)</f>
        <v/>
      </c>
      <c r="B178" s="2" t="str">
        <f>IF('1.1 Produksi Bersih Padi 2025'!B178="","",'1.1 Produksi Bersih Padi 2025'!B178)</f>
        <v/>
      </c>
      <c r="C178" s="2" t="str">
        <f>IF('1.1 Produksi Bersih Padi 2025'!C178="","",'1.1 Produksi Bersih Padi 2025'!C178)</f>
        <v/>
      </c>
      <c r="D178" s="3" t="str">
        <f>IF('1.1 Produksi Bersih Padi 2025'!D178="","",'1.1 Produksi Bersih Padi 2025'!D178)</f>
        <v/>
      </c>
      <c r="E178" s="3" t="str">
        <f>IF('1.1 Produksi Bersih Padi 2025'!E178="","",'1.1 Produksi Bersih Padi 2025'!E178)</f>
        <v/>
      </c>
      <c r="F178" s="28" t="str">
        <f>IF(D178="","",VLOOKUP(D178,'[1]0.1 Produksi Pangan &amp; Penduduk'!$D$5:$S$860,16,0))</f>
        <v/>
      </c>
      <c r="G178" s="28" t="str">
        <f t="shared" si="12"/>
        <v/>
      </c>
      <c r="H178" s="29" t="str">
        <f t="shared" si="13"/>
        <v/>
      </c>
      <c r="I178" s="29" t="str">
        <f t="shared" si="14"/>
        <v/>
      </c>
      <c r="J178" s="29" t="str">
        <f t="shared" si="15"/>
        <v/>
      </c>
      <c r="K178" s="29" t="str">
        <f t="shared" si="16"/>
        <v/>
      </c>
      <c r="L178" s="29" t="str">
        <f t="shared" si="17"/>
        <v/>
      </c>
      <c r="N178" s="11"/>
    </row>
    <row r="179" spans="1:14" ht="15" x14ac:dyDescent="0.25">
      <c r="A179" s="1" t="str">
        <f>IF('1.1 Produksi Bersih Padi 2025'!A179="","",'1.1 Produksi Bersih Padi 2025'!A179)</f>
        <v/>
      </c>
      <c r="B179" s="2" t="str">
        <f>IF('1.1 Produksi Bersih Padi 2025'!B179="","",'1.1 Produksi Bersih Padi 2025'!B179)</f>
        <v/>
      </c>
      <c r="C179" s="2" t="str">
        <f>IF('1.1 Produksi Bersih Padi 2025'!C179="","",'1.1 Produksi Bersih Padi 2025'!C179)</f>
        <v/>
      </c>
      <c r="D179" s="3" t="str">
        <f>IF('1.1 Produksi Bersih Padi 2025'!D179="","",'1.1 Produksi Bersih Padi 2025'!D179)</f>
        <v/>
      </c>
      <c r="E179" s="3" t="str">
        <f>IF('1.1 Produksi Bersih Padi 2025'!E179="","",'1.1 Produksi Bersih Padi 2025'!E179)</f>
        <v/>
      </c>
      <c r="F179" s="28" t="str">
        <f>IF(D179="","",VLOOKUP(D179,'[1]0.1 Produksi Pangan &amp; Penduduk'!$D$5:$S$860,16,0))</f>
        <v/>
      </c>
      <c r="G179" s="28" t="str">
        <f t="shared" si="12"/>
        <v/>
      </c>
      <c r="H179" s="29" t="str">
        <f t="shared" si="13"/>
        <v/>
      </c>
      <c r="I179" s="29" t="str">
        <f t="shared" si="14"/>
        <v/>
      </c>
      <c r="J179" s="29" t="str">
        <f t="shared" si="15"/>
        <v/>
      </c>
      <c r="K179" s="29" t="str">
        <f t="shared" si="16"/>
        <v/>
      </c>
      <c r="L179" s="29" t="str">
        <f t="shared" si="17"/>
        <v/>
      </c>
      <c r="N179" s="11"/>
    </row>
    <row r="180" spans="1:14" ht="15" x14ac:dyDescent="0.25">
      <c r="A180" s="1" t="str">
        <f>IF('1.1 Produksi Bersih Padi 2025'!A180="","",'1.1 Produksi Bersih Padi 2025'!A180)</f>
        <v/>
      </c>
      <c r="B180" s="2" t="str">
        <f>IF('1.1 Produksi Bersih Padi 2025'!B180="","",'1.1 Produksi Bersih Padi 2025'!B180)</f>
        <v/>
      </c>
      <c r="C180" s="2" t="str">
        <f>IF('1.1 Produksi Bersih Padi 2025'!C180="","",'1.1 Produksi Bersih Padi 2025'!C180)</f>
        <v/>
      </c>
      <c r="D180" s="3" t="str">
        <f>IF('1.1 Produksi Bersih Padi 2025'!D180="","",'1.1 Produksi Bersih Padi 2025'!D180)</f>
        <v/>
      </c>
      <c r="E180" s="3" t="str">
        <f>IF('1.1 Produksi Bersih Padi 2025'!E180="","",'1.1 Produksi Bersih Padi 2025'!E180)</f>
        <v/>
      </c>
      <c r="F180" s="28" t="str">
        <f>IF(D180="","",VLOOKUP(D180,'[1]0.1 Produksi Pangan &amp; Penduduk'!$D$5:$S$860,16,0))</f>
        <v/>
      </c>
      <c r="G180" s="28" t="str">
        <f t="shared" si="12"/>
        <v/>
      </c>
      <c r="H180" s="29" t="str">
        <f t="shared" si="13"/>
        <v/>
      </c>
      <c r="I180" s="29" t="str">
        <f t="shared" si="14"/>
        <v/>
      </c>
      <c r="J180" s="29" t="str">
        <f t="shared" si="15"/>
        <v/>
      </c>
      <c r="K180" s="29" t="str">
        <f t="shared" si="16"/>
        <v/>
      </c>
      <c r="L180" s="29" t="str">
        <f t="shared" si="17"/>
        <v/>
      </c>
      <c r="N180" s="11"/>
    </row>
    <row r="181" spans="1:14" ht="15" x14ac:dyDescent="0.25">
      <c r="A181" s="1" t="str">
        <f>IF('1.1 Produksi Bersih Padi 2025'!A181="","",'1.1 Produksi Bersih Padi 2025'!A181)</f>
        <v/>
      </c>
      <c r="B181" s="2" t="str">
        <f>IF('1.1 Produksi Bersih Padi 2025'!B181="","",'1.1 Produksi Bersih Padi 2025'!B181)</f>
        <v/>
      </c>
      <c r="C181" s="2" t="str">
        <f>IF('1.1 Produksi Bersih Padi 2025'!C181="","",'1.1 Produksi Bersih Padi 2025'!C181)</f>
        <v/>
      </c>
      <c r="D181" s="3" t="str">
        <f>IF('1.1 Produksi Bersih Padi 2025'!D181="","",'1.1 Produksi Bersih Padi 2025'!D181)</f>
        <v/>
      </c>
      <c r="E181" s="3" t="str">
        <f>IF('1.1 Produksi Bersih Padi 2025'!E181="","",'1.1 Produksi Bersih Padi 2025'!E181)</f>
        <v/>
      </c>
      <c r="F181" s="28" t="str">
        <f>IF(D181="","",VLOOKUP(D181,'[1]0.1 Produksi Pangan &amp; Penduduk'!$D$5:$S$860,16,0))</f>
        <v/>
      </c>
      <c r="G181" s="28" t="str">
        <f t="shared" si="12"/>
        <v/>
      </c>
      <c r="H181" s="29" t="str">
        <f t="shared" si="13"/>
        <v/>
      </c>
      <c r="I181" s="29" t="str">
        <f t="shared" si="14"/>
        <v/>
      </c>
      <c r="J181" s="29" t="str">
        <f t="shared" si="15"/>
        <v/>
      </c>
      <c r="K181" s="29" t="str">
        <f t="shared" si="16"/>
        <v/>
      </c>
      <c r="L181" s="29" t="str">
        <f t="shared" si="17"/>
        <v/>
      </c>
      <c r="N181" s="11"/>
    </row>
    <row r="182" spans="1:14" ht="15" x14ac:dyDescent="0.25">
      <c r="A182" s="1" t="str">
        <f>IF('1.1 Produksi Bersih Padi 2025'!A182="","",'1.1 Produksi Bersih Padi 2025'!A182)</f>
        <v/>
      </c>
      <c r="B182" s="2" t="str">
        <f>IF('1.1 Produksi Bersih Padi 2025'!B182="","",'1.1 Produksi Bersih Padi 2025'!B182)</f>
        <v/>
      </c>
      <c r="C182" s="2" t="str">
        <f>IF('1.1 Produksi Bersih Padi 2025'!C182="","",'1.1 Produksi Bersih Padi 2025'!C182)</f>
        <v/>
      </c>
      <c r="D182" s="3" t="str">
        <f>IF('1.1 Produksi Bersih Padi 2025'!D182="","",'1.1 Produksi Bersih Padi 2025'!D182)</f>
        <v/>
      </c>
      <c r="E182" s="3" t="str">
        <f>IF('1.1 Produksi Bersih Padi 2025'!E182="","",'1.1 Produksi Bersih Padi 2025'!E182)</f>
        <v/>
      </c>
      <c r="F182" s="28" t="str">
        <f>IF(D182="","",VLOOKUP(D182,'[1]0.1 Produksi Pangan &amp; Penduduk'!$D$5:$S$860,16,0))</f>
        <v/>
      </c>
      <c r="G182" s="28" t="str">
        <f t="shared" si="12"/>
        <v/>
      </c>
      <c r="H182" s="29" t="str">
        <f t="shared" si="13"/>
        <v/>
      </c>
      <c r="I182" s="29" t="str">
        <f t="shared" si="14"/>
        <v/>
      </c>
      <c r="J182" s="29" t="str">
        <f t="shared" si="15"/>
        <v/>
      </c>
      <c r="K182" s="29" t="str">
        <f t="shared" si="16"/>
        <v/>
      </c>
      <c r="L182" s="29" t="str">
        <f t="shared" si="17"/>
        <v/>
      </c>
      <c r="N182" s="11"/>
    </row>
    <row r="183" spans="1:14" ht="15" x14ac:dyDescent="0.25">
      <c r="A183" s="1" t="str">
        <f>IF('1.1 Produksi Bersih Padi 2025'!A183="","",'1.1 Produksi Bersih Padi 2025'!A183)</f>
        <v/>
      </c>
      <c r="B183" s="2" t="str">
        <f>IF('1.1 Produksi Bersih Padi 2025'!B183="","",'1.1 Produksi Bersih Padi 2025'!B183)</f>
        <v/>
      </c>
      <c r="C183" s="2" t="str">
        <f>IF('1.1 Produksi Bersih Padi 2025'!C183="","",'1.1 Produksi Bersih Padi 2025'!C183)</f>
        <v/>
      </c>
      <c r="D183" s="3" t="str">
        <f>IF('1.1 Produksi Bersih Padi 2025'!D183="","",'1.1 Produksi Bersih Padi 2025'!D183)</f>
        <v/>
      </c>
      <c r="E183" s="3" t="str">
        <f>IF('1.1 Produksi Bersih Padi 2025'!E183="","",'1.1 Produksi Bersih Padi 2025'!E183)</f>
        <v/>
      </c>
      <c r="F183" s="28" t="str">
        <f>IF(D183="","",VLOOKUP(D183,'[1]0.1 Produksi Pangan &amp; Penduduk'!$D$5:$S$860,16,0))</f>
        <v/>
      </c>
      <c r="G183" s="28" t="str">
        <f t="shared" si="12"/>
        <v/>
      </c>
      <c r="H183" s="29" t="str">
        <f t="shared" si="13"/>
        <v/>
      </c>
      <c r="I183" s="29" t="str">
        <f t="shared" si="14"/>
        <v/>
      </c>
      <c r="J183" s="29" t="str">
        <f t="shared" si="15"/>
        <v/>
      </c>
      <c r="K183" s="29" t="str">
        <f t="shared" si="16"/>
        <v/>
      </c>
      <c r="L183" s="29" t="str">
        <f t="shared" si="17"/>
        <v/>
      </c>
      <c r="N183" s="11"/>
    </row>
    <row r="184" spans="1:14" ht="15" x14ac:dyDescent="0.25">
      <c r="A184" s="1" t="str">
        <f>IF('1.1 Produksi Bersih Padi 2025'!A184="","",'1.1 Produksi Bersih Padi 2025'!A184)</f>
        <v/>
      </c>
      <c r="B184" s="2" t="str">
        <f>IF('1.1 Produksi Bersih Padi 2025'!B184="","",'1.1 Produksi Bersih Padi 2025'!B184)</f>
        <v/>
      </c>
      <c r="C184" s="2" t="str">
        <f>IF('1.1 Produksi Bersih Padi 2025'!C184="","",'1.1 Produksi Bersih Padi 2025'!C184)</f>
        <v/>
      </c>
      <c r="D184" s="3" t="str">
        <f>IF('1.1 Produksi Bersih Padi 2025'!D184="","",'1.1 Produksi Bersih Padi 2025'!D184)</f>
        <v/>
      </c>
      <c r="E184" s="3" t="str">
        <f>IF('1.1 Produksi Bersih Padi 2025'!E184="","",'1.1 Produksi Bersih Padi 2025'!E184)</f>
        <v/>
      </c>
      <c r="F184" s="28" t="str">
        <f>IF(D184="","",VLOOKUP(D184,'[1]0.1 Produksi Pangan &amp; Penduduk'!$D$5:$S$860,16,0))</f>
        <v/>
      </c>
      <c r="G184" s="28" t="str">
        <f t="shared" si="12"/>
        <v/>
      </c>
      <c r="H184" s="29" t="str">
        <f t="shared" si="13"/>
        <v/>
      </c>
      <c r="I184" s="29" t="str">
        <f t="shared" si="14"/>
        <v/>
      </c>
      <c r="J184" s="29" t="str">
        <f t="shared" si="15"/>
        <v/>
      </c>
      <c r="K184" s="29" t="str">
        <f t="shared" si="16"/>
        <v/>
      </c>
      <c r="L184" s="29" t="str">
        <f t="shared" si="17"/>
        <v/>
      </c>
      <c r="N184" s="11"/>
    </row>
    <row r="185" spans="1:14" ht="15" x14ac:dyDescent="0.25">
      <c r="A185" s="1" t="str">
        <f>IF('1.1 Produksi Bersih Padi 2025'!A185="","",'1.1 Produksi Bersih Padi 2025'!A185)</f>
        <v/>
      </c>
      <c r="B185" s="2" t="str">
        <f>IF('1.1 Produksi Bersih Padi 2025'!B185="","",'1.1 Produksi Bersih Padi 2025'!B185)</f>
        <v/>
      </c>
      <c r="C185" s="2" t="str">
        <f>IF('1.1 Produksi Bersih Padi 2025'!C185="","",'1.1 Produksi Bersih Padi 2025'!C185)</f>
        <v/>
      </c>
      <c r="D185" s="3" t="str">
        <f>IF('1.1 Produksi Bersih Padi 2025'!D185="","",'1.1 Produksi Bersih Padi 2025'!D185)</f>
        <v/>
      </c>
      <c r="E185" s="3" t="str">
        <f>IF('1.1 Produksi Bersih Padi 2025'!E185="","",'1.1 Produksi Bersih Padi 2025'!E185)</f>
        <v/>
      </c>
      <c r="F185" s="28" t="str">
        <f>IF(D185="","",VLOOKUP(D185,'[1]0.1 Produksi Pangan &amp; Penduduk'!$D$5:$S$860,16,0))</f>
        <v/>
      </c>
      <c r="G185" s="28" t="str">
        <f t="shared" si="12"/>
        <v/>
      </c>
      <c r="H185" s="29" t="str">
        <f t="shared" si="13"/>
        <v/>
      </c>
      <c r="I185" s="29" t="str">
        <f t="shared" si="14"/>
        <v/>
      </c>
      <c r="J185" s="29" t="str">
        <f t="shared" si="15"/>
        <v/>
      </c>
      <c r="K185" s="29" t="str">
        <f t="shared" si="16"/>
        <v/>
      </c>
      <c r="L185" s="29" t="str">
        <f t="shared" si="17"/>
        <v/>
      </c>
      <c r="N185" s="11"/>
    </row>
    <row r="186" spans="1:14" ht="15" x14ac:dyDescent="0.25">
      <c r="A186" s="1" t="str">
        <f>IF('1.1 Produksi Bersih Padi 2025'!A186="","",'1.1 Produksi Bersih Padi 2025'!A186)</f>
        <v/>
      </c>
      <c r="B186" s="2" t="str">
        <f>IF('1.1 Produksi Bersih Padi 2025'!B186="","",'1.1 Produksi Bersih Padi 2025'!B186)</f>
        <v/>
      </c>
      <c r="C186" s="2" t="str">
        <f>IF('1.1 Produksi Bersih Padi 2025'!C186="","",'1.1 Produksi Bersih Padi 2025'!C186)</f>
        <v/>
      </c>
      <c r="D186" s="3" t="str">
        <f>IF('1.1 Produksi Bersih Padi 2025'!D186="","",'1.1 Produksi Bersih Padi 2025'!D186)</f>
        <v/>
      </c>
      <c r="E186" s="3" t="str">
        <f>IF('1.1 Produksi Bersih Padi 2025'!E186="","",'1.1 Produksi Bersih Padi 2025'!E186)</f>
        <v/>
      </c>
      <c r="F186" s="28" t="str">
        <f>IF(D186="","",VLOOKUP(D186,'[1]0.1 Produksi Pangan &amp; Penduduk'!$D$5:$S$860,16,0))</f>
        <v/>
      </c>
      <c r="G186" s="28" t="str">
        <f t="shared" si="12"/>
        <v/>
      </c>
      <c r="H186" s="29" t="str">
        <f t="shared" si="13"/>
        <v/>
      </c>
      <c r="I186" s="29" t="str">
        <f t="shared" si="14"/>
        <v/>
      </c>
      <c r="J186" s="29" t="str">
        <f t="shared" si="15"/>
        <v/>
      </c>
      <c r="K186" s="29" t="str">
        <f t="shared" si="16"/>
        <v/>
      </c>
      <c r="L186" s="29" t="str">
        <f t="shared" si="17"/>
        <v/>
      </c>
      <c r="N186" s="11"/>
    </row>
    <row r="187" spans="1:14" ht="15" x14ac:dyDescent="0.25">
      <c r="A187" s="1" t="str">
        <f>IF('1.1 Produksi Bersih Padi 2025'!A187="","",'1.1 Produksi Bersih Padi 2025'!A187)</f>
        <v/>
      </c>
      <c r="B187" s="2" t="str">
        <f>IF('1.1 Produksi Bersih Padi 2025'!B187="","",'1.1 Produksi Bersih Padi 2025'!B187)</f>
        <v/>
      </c>
      <c r="C187" s="2" t="str">
        <f>IF('1.1 Produksi Bersih Padi 2025'!C187="","",'1.1 Produksi Bersih Padi 2025'!C187)</f>
        <v/>
      </c>
      <c r="D187" s="3" t="str">
        <f>IF('1.1 Produksi Bersih Padi 2025'!D187="","",'1.1 Produksi Bersih Padi 2025'!D187)</f>
        <v/>
      </c>
      <c r="E187" s="3" t="str">
        <f>IF('1.1 Produksi Bersih Padi 2025'!E187="","",'1.1 Produksi Bersih Padi 2025'!E187)</f>
        <v/>
      </c>
      <c r="F187" s="28" t="str">
        <f>IF(D187="","",VLOOKUP(D187,'[1]0.1 Produksi Pangan &amp; Penduduk'!$D$5:$S$860,16,0))</f>
        <v/>
      </c>
      <c r="G187" s="28" t="str">
        <f t="shared" si="12"/>
        <v/>
      </c>
      <c r="H187" s="29" t="str">
        <f t="shared" si="13"/>
        <v/>
      </c>
      <c r="I187" s="29" t="str">
        <f t="shared" si="14"/>
        <v/>
      </c>
      <c r="J187" s="29" t="str">
        <f t="shared" si="15"/>
        <v/>
      </c>
      <c r="K187" s="29" t="str">
        <f t="shared" si="16"/>
        <v/>
      </c>
      <c r="L187" s="29" t="str">
        <f t="shared" si="17"/>
        <v/>
      </c>
      <c r="N187" s="11"/>
    </row>
    <row r="188" spans="1:14" ht="15" x14ac:dyDescent="0.25">
      <c r="A188" s="1" t="str">
        <f>IF('1.1 Produksi Bersih Padi 2025'!A188="","",'1.1 Produksi Bersih Padi 2025'!A188)</f>
        <v/>
      </c>
      <c r="B188" s="2" t="str">
        <f>IF('1.1 Produksi Bersih Padi 2025'!B188="","",'1.1 Produksi Bersih Padi 2025'!B188)</f>
        <v/>
      </c>
      <c r="C188" s="2" t="str">
        <f>IF('1.1 Produksi Bersih Padi 2025'!C188="","",'1.1 Produksi Bersih Padi 2025'!C188)</f>
        <v/>
      </c>
      <c r="D188" s="3" t="str">
        <f>IF('1.1 Produksi Bersih Padi 2025'!D188="","",'1.1 Produksi Bersih Padi 2025'!D188)</f>
        <v/>
      </c>
      <c r="E188" s="3" t="str">
        <f>IF('1.1 Produksi Bersih Padi 2025'!E188="","",'1.1 Produksi Bersih Padi 2025'!E188)</f>
        <v/>
      </c>
      <c r="F188" s="28" t="str">
        <f>IF(D188="","",VLOOKUP(D188,'[1]0.1 Produksi Pangan &amp; Penduduk'!$D$5:$S$860,16,0))</f>
        <v/>
      </c>
      <c r="G188" s="28" t="str">
        <f t="shared" si="12"/>
        <v/>
      </c>
      <c r="H188" s="29" t="str">
        <f t="shared" si="13"/>
        <v/>
      </c>
      <c r="I188" s="29" t="str">
        <f t="shared" si="14"/>
        <v/>
      </c>
      <c r="J188" s="29" t="str">
        <f t="shared" si="15"/>
        <v/>
      </c>
      <c r="K188" s="29" t="str">
        <f t="shared" si="16"/>
        <v/>
      </c>
      <c r="L188" s="29" t="str">
        <f t="shared" si="17"/>
        <v/>
      </c>
      <c r="N188" s="11"/>
    </row>
    <row r="189" spans="1:14" ht="15" x14ac:dyDescent="0.25">
      <c r="A189" s="1" t="str">
        <f>IF('1.1 Produksi Bersih Padi 2025'!A189="","",'1.1 Produksi Bersih Padi 2025'!A189)</f>
        <v/>
      </c>
      <c r="B189" s="2" t="str">
        <f>IF('1.1 Produksi Bersih Padi 2025'!B189="","",'1.1 Produksi Bersih Padi 2025'!B189)</f>
        <v/>
      </c>
      <c r="C189" s="2" t="str">
        <f>IF('1.1 Produksi Bersih Padi 2025'!C189="","",'1.1 Produksi Bersih Padi 2025'!C189)</f>
        <v/>
      </c>
      <c r="D189" s="3" t="str">
        <f>IF('1.1 Produksi Bersih Padi 2025'!D189="","",'1.1 Produksi Bersih Padi 2025'!D189)</f>
        <v/>
      </c>
      <c r="E189" s="3" t="str">
        <f>IF('1.1 Produksi Bersih Padi 2025'!E189="","",'1.1 Produksi Bersih Padi 2025'!E189)</f>
        <v/>
      </c>
      <c r="F189" s="28" t="str">
        <f>IF(D189="","",VLOOKUP(D189,'[1]0.1 Produksi Pangan &amp; Penduduk'!$D$5:$S$860,16,0))</f>
        <v/>
      </c>
      <c r="G189" s="28" t="str">
        <f t="shared" si="12"/>
        <v/>
      </c>
      <c r="H189" s="29" t="str">
        <f t="shared" si="13"/>
        <v/>
      </c>
      <c r="I189" s="29" t="str">
        <f t="shared" si="14"/>
        <v/>
      </c>
      <c r="J189" s="29" t="str">
        <f t="shared" si="15"/>
        <v/>
      </c>
      <c r="K189" s="29" t="str">
        <f t="shared" si="16"/>
        <v/>
      </c>
      <c r="L189" s="29" t="str">
        <f t="shared" si="17"/>
        <v/>
      </c>
      <c r="N189" s="11"/>
    </row>
    <row r="190" spans="1:14" ht="15" x14ac:dyDescent="0.25">
      <c r="A190" s="1" t="str">
        <f>IF('1.1 Produksi Bersih Padi 2025'!A190="","",'1.1 Produksi Bersih Padi 2025'!A190)</f>
        <v/>
      </c>
      <c r="B190" s="2" t="str">
        <f>IF('1.1 Produksi Bersih Padi 2025'!B190="","",'1.1 Produksi Bersih Padi 2025'!B190)</f>
        <v/>
      </c>
      <c r="C190" s="2" t="str">
        <f>IF('1.1 Produksi Bersih Padi 2025'!C190="","",'1.1 Produksi Bersih Padi 2025'!C190)</f>
        <v/>
      </c>
      <c r="D190" s="3" t="str">
        <f>IF('1.1 Produksi Bersih Padi 2025'!D190="","",'1.1 Produksi Bersih Padi 2025'!D190)</f>
        <v/>
      </c>
      <c r="E190" s="3" t="str">
        <f>IF('1.1 Produksi Bersih Padi 2025'!E190="","",'1.1 Produksi Bersih Padi 2025'!E190)</f>
        <v/>
      </c>
      <c r="F190" s="28" t="str">
        <f>IF(D190="","",VLOOKUP(D190,'[1]0.1 Produksi Pangan &amp; Penduduk'!$D$5:$S$860,16,0))</f>
        <v/>
      </c>
      <c r="G190" s="28" t="str">
        <f t="shared" si="12"/>
        <v/>
      </c>
      <c r="H190" s="29" t="str">
        <f t="shared" si="13"/>
        <v/>
      </c>
      <c r="I190" s="29" t="str">
        <f t="shared" si="14"/>
        <v/>
      </c>
      <c r="J190" s="29" t="str">
        <f t="shared" si="15"/>
        <v/>
      </c>
      <c r="K190" s="29" t="str">
        <f t="shared" si="16"/>
        <v/>
      </c>
      <c r="L190" s="29" t="str">
        <f t="shared" si="17"/>
        <v/>
      </c>
      <c r="N190" s="11"/>
    </row>
    <row r="191" spans="1:14" ht="15" x14ac:dyDescent="0.25">
      <c r="A191" s="1" t="str">
        <f>IF('1.1 Produksi Bersih Padi 2025'!A191="","",'1.1 Produksi Bersih Padi 2025'!A191)</f>
        <v/>
      </c>
      <c r="B191" s="2" t="str">
        <f>IF('1.1 Produksi Bersih Padi 2025'!B191="","",'1.1 Produksi Bersih Padi 2025'!B191)</f>
        <v/>
      </c>
      <c r="C191" s="2" t="str">
        <f>IF('1.1 Produksi Bersih Padi 2025'!C191="","",'1.1 Produksi Bersih Padi 2025'!C191)</f>
        <v/>
      </c>
      <c r="D191" s="3" t="str">
        <f>IF('1.1 Produksi Bersih Padi 2025'!D191="","",'1.1 Produksi Bersih Padi 2025'!D191)</f>
        <v/>
      </c>
      <c r="E191" s="3" t="str">
        <f>IF('1.1 Produksi Bersih Padi 2025'!E191="","",'1.1 Produksi Bersih Padi 2025'!E191)</f>
        <v/>
      </c>
      <c r="F191" s="28" t="str">
        <f>IF(D191="","",VLOOKUP(D191,'[1]0.1 Produksi Pangan &amp; Penduduk'!$D$5:$S$860,16,0))</f>
        <v/>
      </c>
      <c r="G191" s="28" t="str">
        <f t="shared" si="12"/>
        <v/>
      </c>
      <c r="H191" s="29" t="str">
        <f t="shared" si="13"/>
        <v/>
      </c>
      <c r="I191" s="29" t="str">
        <f t="shared" si="14"/>
        <v/>
      </c>
      <c r="J191" s="29" t="str">
        <f t="shared" si="15"/>
        <v/>
      </c>
      <c r="K191" s="29" t="str">
        <f t="shared" si="16"/>
        <v/>
      </c>
      <c r="L191" s="29" t="str">
        <f t="shared" si="17"/>
        <v/>
      </c>
      <c r="N191" s="11"/>
    </row>
    <row r="192" spans="1:14" ht="15" x14ac:dyDescent="0.25">
      <c r="A192" s="1" t="str">
        <f>IF('1.1 Produksi Bersih Padi 2025'!A192="","",'1.1 Produksi Bersih Padi 2025'!A192)</f>
        <v/>
      </c>
      <c r="B192" s="2" t="str">
        <f>IF('1.1 Produksi Bersih Padi 2025'!B192="","",'1.1 Produksi Bersih Padi 2025'!B192)</f>
        <v/>
      </c>
      <c r="C192" s="2" t="str">
        <f>IF('1.1 Produksi Bersih Padi 2025'!C192="","",'1.1 Produksi Bersih Padi 2025'!C192)</f>
        <v/>
      </c>
      <c r="D192" s="3" t="str">
        <f>IF('1.1 Produksi Bersih Padi 2025'!D192="","",'1.1 Produksi Bersih Padi 2025'!D192)</f>
        <v/>
      </c>
      <c r="E192" s="3" t="str">
        <f>IF('1.1 Produksi Bersih Padi 2025'!E192="","",'1.1 Produksi Bersih Padi 2025'!E192)</f>
        <v/>
      </c>
      <c r="F192" s="28" t="str">
        <f>IF(D192="","",VLOOKUP(D192,'[1]0.1 Produksi Pangan &amp; Penduduk'!$D$5:$S$860,16,0))</f>
        <v/>
      </c>
      <c r="G192" s="28" t="str">
        <f t="shared" si="12"/>
        <v/>
      </c>
      <c r="H192" s="29" t="str">
        <f t="shared" si="13"/>
        <v/>
      </c>
      <c r="I192" s="29" t="str">
        <f t="shared" si="14"/>
        <v/>
      </c>
      <c r="J192" s="29" t="str">
        <f t="shared" si="15"/>
        <v/>
      </c>
      <c r="K192" s="29" t="str">
        <f t="shared" si="16"/>
        <v/>
      </c>
      <c r="L192" s="29" t="str">
        <f t="shared" si="17"/>
        <v/>
      </c>
      <c r="N192" s="11"/>
    </row>
    <row r="193" spans="1:14" ht="15" x14ac:dyDescent="0.25">
      <c r="A193" s="1" t="str">
        <f>IF('1.1 Produksi Bersih Padi 2025'!A193="","",'1.1 Produksi Bersih Padi 2025'!A193)</f>
        <v/>
      </c>
      <c r="B193" s="2" t="str">
        <f>IF('1.1 Produksi Bersih Padi 2025'!B193="","",'1.1 Produksi Bersih Padi 2025'!B193)</f>
        <v/>
      </c>
      <c r="C193" s="2" t="str">
        <f>IF('1.1 Produksi Bersih Padi 2025'!C193="","",'1.1 Produksi Bersih Padi 2025'!C193)</f>
        <v/>
      </c>
      <c r="D193" s="3" t="str">
        <f>IF('1.1 Produksi Bersih Padi 2025'!D193="","",'1.1 Produksi Bersih Padi 2025'!D193)</f>
        <v/>
      </c>
      <c r="E193" s="3" t="str">
        <f>IF('1.1 Produksi Bersih Padi 2025'!E193="","",'1.1 Produksi Bersih Padi 2025'!E193)</f>
        <v/>
      </c>
      <c r="F193" s="28" t="str">
        <f>IF(D193="","",VLOOKUP(D193,'[1]0.1 Produksi Pangan &amp; Penduduk'!$D$5:$S$860,16,0))</f>
        <v/>
      </c>
      <c r="G193" s="28" t="str">
        <f t="shared" si="12"/>
        <v/>
      </c>
      <c r="H193" s="29" t="str">
        <f t="shared" si="13"/>
        <v/>
      </c>
      <c r="I193" s="29" t="str">
        <f t="shared" si="14"/>
        <v/>
      </c>
      <c r="J193" s="29" t="str">
        <f t="shared" si="15"/>
        <v/>
      </c>
      <c r="K193" s="29" t="str">
        <f t="shared" si="16"/>
        <v/>
      </c>
      <c r="L193" s="29" t="str">
        <f t="shared" si="17"/>
        <v/>
      </c>
      <c r="N193" s="11"/>
    </row>
    <row r="194" spans="1:14" ht="15" x14ac:dyDescent="0.25">
      <c r="A194" s="1" t="str">
        <f>IF('1.1 Produksi Bersih Padi 2025'!A194="","",'1.1 Produksi Bersih Padi 2025'!A194)</f>
        <v/>
      </c>
      <c r="B194" s="2" t="str">
        <f>IF('1.1 Produksi Bersih Padi 2025'!B194="","",'1.1 Produksi Bersih Padi 2025'!B194)</f>
        <v/>
      </c>
      <c r="C194" s="2" t="str">
        <f>IF('1.1 Produksi Bersih Padi 2025'!C194="","",'1.1 Produksi Bersih Padi 2025'!C194)</f>
        <v/>
      </c>
      <c r="D194" s="3" t="str">
        <f>IF('1.1 Produksi Bersih Padi 2025'!D194="","",'1.1 Produksi Bersih Padi 2025'!D194)</f>
        <v/>
      </c>
      <c r="E194" s="3" t="str">
        <f>IF('1.1 Produksi Bersih Padi 2025'!E194="","",'1.1 Produksi Bersih Padi 2025'!E194)</f>
        <v/>
      </c>
      <c r="F194" s="28" t="str">
        <f>IF(D194="","",VLOOKUP(D194,'[1]0.1 Produksi Pangan &amp; Penduduk'!$D$5:$S$860,16,0))</f>
        <v/>
      </c>
      <c r="G194" s="28" t="str">
        <f t="shared" si="12"/>
        <v/>
      </c>
      <c r="H194" s="29" t="str">
        <f t="shared" si="13"/>
        <v/>
      </c>
      <c r="I194" s="29" t="str">
        <f t="shared" si="14"/>
        <v/>
      </c>
      <c r="J194" s="29" t="str">
        <f t="shared" si="15"/>
        <v/>
      </c>
      <c r="K194" s="29" t="str">
        <f t="shared" si="16"/>
        <v/>
      </c>
      <c r="L194" s="29" t="str">
        <f t="shared" si="17"/>
        <v/>
      </c>
      <c r="N194" s="11"/>
    </row>
    <row r="195" spans="1:14" ht="15" x14ac:dyDescent="0.25">
      <c r="A195" s="1" t="str">
        <f>IF('1.1 Produksi Bersih Padi 2025'!A195="","",'1.1 Produksi Bersih Padi 2025'!A195)</f>
        <v/>
      </c>
      <c r="B195" s="2" t="str">
        <f>IF('1.1 Produksi Bersih Padi 2025'!B195="","",'1.1 Produksi Bersih Padi 2025'!B195)</f>
        <v/>
      </c>
      <c r="C195" s="2" t="str">
        <f>IF('1.1 Produksi Bersih Padi 2025'!C195="","",'1.1 Produksi Bersih Padi 2025'!C195)</f>
        <v/>
      </c>
      <c r="D195" s="3" t="str">
        <f>IF('1.1 Produksi Bersih Padi 2025'!D195="","",'1.1 Produksi Bersih Padi 2025'!D195)</f>
        <v/>
      </c>
      <c r="E195" s="3" t="str">
        <f>IF('1.1 Produksi Bersih Padi 2025'!E195="","",'1.1 Produksi Bersih Padi 2025'!E195)</f>
        <v/>
      </c>
      <c r="F195" s="28" t="str">
        <f>IF(D195="","",VLOOKUP(D195,'[1]0.1 Produksi Pangan &amp; Penduduk'!$D$5:$S$860,16,0))</f>
        <v/>
      </c>
      <c r="G195" s="28" t="str">
        <f t="shared" si="12"/>
        <v/>
      </c>
      <c r="H195" s="29" t="str">
        <f t="shared" si="13"/>
        <v/>
      </c>
      <c r="I195" s="29" t="str">
        <f t="shared" si="14"/>
        <v/>
      </c>
      <c r="J195" s="29" t="str">
        <f t="shared" si="15"/>
        <v/>
      </c>
      <c r="K195" s="29" t="str">
        <f t="shared" si="16"/>
        <v/>
      </c>
      <c r="L195" s="29" t="str">
        <f t="shared" si="17"/>
        <v/>
      </c>
      <c r="N195" s="11"/>
    </row>
    <row r="196" spans="1:14" ht="15" x14ac:dyDescent="0.25">
      <c r="A196" s="1" t="str">
        <f>IF('1.1 Produksi Bersih Padi 2025'!A196="","",'1.1 Produksi Bersih Padi 2025'!A196)</f>
        <v/>
      </c>
      <c r="B196" s="2" t="str">
        <f>IF('1.1 Produksi Bersih Padi 2025'!B196="","",'1.1 Produksi Bersih Padi 2025'!B196)</f>
        <v/>
      </c>
      <c r="C196" s="2" t="str">
        <f>IF('1.1 Produksi Bersih Padi 2025'!C196="","",'1.1 Produksi Bersih Padi 2025'!C196)</f>
        <v/>
      </c>
      <c r="D196" s="3" t="str">
        <f>IF('1.1 Produksi Bersih Padi 2025'!D196="","",'1.1 Produksi Bersih Padi 2025'!D196)</f>
        <v/>
      </c>
      <c r="E196" s="3" t="str">
        <f>IF('1.1 Produksi Bersih Padi 2025'!E196="","",'1.1 Produksi Bersih Padi 2025'!E196)</f>
        <v/>
      </c>
      <c r="F196" s="28" t="str">
        <f>IF(D196="","",VLOOKUP(D196,'[1]0.1 Produksi Pangan &amp; Penduduk'!$D$5:$S$860,16,0))</f>
        <v/>
      </c>
      <c r="G196" s="28" t="str">
        <f t="shared" si="12"/>
        <v/>
      </c>
      <c r="H196" s="29" t="str">
        <f t="shared" si="13"/>
        <v/>
      </c>
      <c r="I196" s="29" t="str">
        <f t="shared" si="14"/>
        <v/>
      </c>
      <c r="J196" s="29" t="str">
        <f t="shared" si="15"/>
        <v/>
      </c>
      <c r="K196" s="29" t="str">
        <f t="shared" si="16"/>
        <v/>
      </c>
      <c r="L196" s="29" t="str">
        <f t="shared" si="17"/>
        <v/>
      </c>
      <c r="N196" s="11"/>
    </row>
    <row r="197" spans="1:14" ht="15" x14ac:dyDescent="0.25">
      <c r="A197" s="1" t="str">
        <f>IF('1.1 Produksi Bersih Padi 2025'!A197="","",'1.1 Produksi Bersih Padi 2025'!A197)</f>
        <v/>
      </c>
      <c r="B197" s="2" t="str">
        <f>IF('1.1 Produksi Bersih Padi 2025'!B197="","",'1.1 Produksi Bersih Padi 2025'!B197)</f>
        <v/>
      </c>
      <c r="C197" s="2" t="str">
        <f>IF('1.1 Produksi Bersih Padi 2025'!C197="","",'1.1 Produksi Bersih Padi 2025'!C197)</f>
        <v/>
      </c>
      <c r="D197" s="3" t="str">
        <f>IF('1.1 Produksi Bersih Padi 2025'!D197="","",'1.1 Produksi Bersih Padi 2025'!D197)</f>
        <v/>
      </c>
      <c r="E197" s="3" t="str">
        <f>IF('1.1 Produksi Bersih Padi 2025'!E197="","",'1.1 Produksi Bersih Padi 2025'!E197)</f>
        <v/>
      </c>
      <c r="F197" s="28" t="str">
        <f>IF(D197="","",VLOOKUP(D197,'[1]0.1 Produksi Pangan &amp; Penduduk'!$D$5:$S$860,16,0))</f>
        <v/>
      </c>
      <c r="G197" s="28" t="str">
        <f t="shared" si="12"/>
        <v/>
      </c>
      <c r="H197" s="29" t="str">
        <f t="shared" si="13"/>
        <v/>
      </c>
      <c r="I197" s="29" t="str">
        <f t="shared" si="14"/>
        <v/>
      </c>
      <c r="J197" s="29" t="str">
        <f t="shared" si="15"/>
        <v/>
      </c>
      <c r="K197" s="29" t="str">
        <f t="shared" si="16"/>
        <v/>
      </c>
      <c r="L197" s="29" t="str">
        <f t="shared" si="17"/>
        <v/>
      </c>
      <c r="N197" s="11"/>
    </row>
    <row r="198" spans="1:14" ht="15" x14ac:dyDescent="0.25">
      <c r="A198" s="1" t="str">
        <f>IF('1.1 Produksi Bersih Padi 2025'!A198="","",'1.1 Produksi Bersih Padi 2025'!A198)</f>
        <v/>
      </c>
      <c r="B198" s="2" t="str">
        <f>IF('1.1 Produksi Bersih Padi 2025'!B198="","",'1.1 Produksi Bersih Padi 2025'!B198)</f>
        <v/>
      </c>
      <c r="C198" s="2" t="str">
        <f>IF('1.1 Produksi Bersih Padi 2025'!C198="","",'1.1 Produksi Bersih Padi 2025'!C198)</f>
        <v/>
      </c>
      <c r="D198" s="3" t="str">
        <f>IF('1.1 Produksi Bersih Padi 2025'!D198="","",'1.1 Produksi Bersih Padi 2025'!D198)</f>
        <v/>
      </c>
      <c r="E198" s="3" t="str">
        <f>IF('1.1 Produksi Bersih Padi 2025'!E198="","",'1.1 Produksi Bersih Padi 2025'!E198)</f>
        <v/>
      </c>
      <c r="F198" s="28" t="str">
        <f>IF(D198="","",VLOOKUP(D198,'[1]0.1 Produksi Pangan &amp; Penduduk'!$D$5:$S$860,16,0))</f>
        <v/>
      </c>
      <c r="G198" s="28" t="str">
        <f t="shared" ref="G198:G261" si="18">IF(F198="","",F198*73.9252%)</f>
        <v/>
      </c>
      <c r="H198" s="29" t="str">
        <f t="shared" ref="H198:H261" si="19">IF(G198="","",G198*0.345%)</f>
        <v/>
      </c>
      <c r="I198" s="29" t="str">
        <f t="shared" ref="I198:I261" si="20">IF(G198="","",G198*78.806%)</f>
        <v/>
      </c>
      <c r="J198" s="29" t="str">
        <f t="shared" ref="J198:J261" si="21">IF(G198="","",G198*4.62%)</f>
        <v/>
      </c>
      <c r="K198" s="29" t="str">
        <f t="shared" ref="K198:K261" si="22">IF(G198="","",G198-(H198+I198+J198))</f>
        <v/>
      </c>
      <c r="L198" s="29" t="str">
        <f t="shared" ref="L198:L261" si="23">IF(K198="","",K198*1.017)</f>
        <v/>
      </c>
      <c r="N198" s="11"/>
    </row>
    <row r="199" spans="1:14" ht="15" x14ac:dyDescent="0.25">
      <c r="A199" s="1" t="str">
        <f>IF('1.1 Produksi Bersih Padi 2025'!A199="","",'1.1 Produksi Bersih Padi 2025'!A199)</f>
        <v/>
      </c>
      <c r="B199" s="2" t="str">
        <f>IF('1.1 Produksi Bersih Padi 2025'!B199="","",'1.1 Produksi Bersih Padi 2025'!B199)</f>
        <v/>
      </c>
      <c r="C199" s="2" t="str">
        <f>IF('1.1 Produksi Bersih Padi 2025'!C199="","",'1.1 Produksi Bersih Padi 2025'!C199)</f>
        <v/>
      </c>
      <c r="D199" s="3" t="str">
        <f>IF('1.1 Produksi Bersih Padi 2025'!D199="","",'1.1 Produksi Bersih Padi 2025'!D199)</f>
        <v/>
      </c>
      <c r="E199" s="3" t="str">
        <f>IF('1.1 Produksi Bersih Padi 2025'!E199="","",'1.1 Produksi Bersih Padi 2025'!E199)</f>
        <v/>
      </c>
      <c r="F199" s="28" t="str">
        <f>IF(D199="","",VLOOKUP(D199,'[1]0.1 Produksi Pangan &amp; Penduduk'!$D$5:$S$860,16,0))</f>
        <v/>
      </c>
      <c r="G199" s="28" t="str">
        <f t="shared" si="18"/>
        <v/>
      </c>
      <c r="H199" s="29" t="str">
        <f t="shared" si="19"/>
        <v/>
      </c>
      <c r="I199" s="29" t="str">
        <f t="shared" si="20"/>
        <v/>
      </c>
      <c r="J199" s="29" t="str">
        <f t="shared" si="21"/>
        <v/>
      </c>
      <c r="K199" s="29" t="str">
        <f t="shared" si="22"/>
        <v/>
      </c>
      <c r="L199" s="29" t="str">
        <f t="shared" si="23"/>
        <v/>
      </c>
      <c r="N199" s="11"/>
    </row>
    <row r="200" spans="1:14" ht="15" x14ac:dyDescent="0.25">
      <c r="A200" s="1" t="str">
        <f>IF('1.1 Produksi Bersih Padi 2025'!A200="","",'1.1 Produksi Bersih Padi 2025'!A200)</f>
        <v/>
      </c>
      <c r="B200" s="2" t="str">
        <f>IF('1.1 Produksi Bersih Padi 2025'!B200="","",'1.1 Produksi Bersih Padi 2025'!B200)</f>
        <v/>
      </c>
      <c r="C200" s="2" t="str">
        <f>IF('1.1 Produksi Bersih Padi 2025'!C200="","",'1.1 Produksi Bersih Padi 2025'!C200)</f>
        <v/>
      </c>
      <c r="D200" s="3" t="str">
        <f>IF('1.1 Produksi Bersih Padi 2025'!D200="","",'1.1 Produksi Bersih Padi 2025'!D200)</f>
        <v/>
      </c>
      <c r="E200" s="3" t="str">
        <f>IF('1.1 Produksi Bersih Padi 2025'!E200="","",'1.1 Produksi Bersih Padi 2025'!E200)</f>
        <v/>
      </c>
      <c r="F200" s="28" t="str">
        <f>IF(D200="","",VLOOKUP(D200,'[1]0.1 Produksi Pangan &amp; Penduduk'!$D$5:$S$860,16,0))</f>
        <v/>
      </c>
      <c r="G200" s="28" t="str">
        <f t="shared" si="18"/>
        <v/>
      </c>
      <c r="H200" s="29" t="str">
        <f t="shared" si="19"/>
        <v/>
      </c>
      <c r="I200" s="29" t="str">
        <f t="shared" si="20"/>
        <v/>
      </c>
      <c r="J200" s="29" t="str">
        <f t="shared" si="21"/>
        <v/>
      </c>
      <c r="K200" s="29" t="str">
        <f t="shared" si="22"/>
        <v/>
      </c>
      <c r="L200" s="29" t="str">
        <f t="shared" si="23"/>
        <v/>
      </c>
      <c r="N200" s="11"/>
    </row>
    <row r="201" spans="1:14" ht="15" x14ac:dyDescent="0.25">
      <c r="A201" s="1" t="str">
        <f>IF('1.1 Produksi Bersih Padi 2025'!A201="","",'1.1 Produksi Bersih Padi 2025'!A201)</f>
        <v/>
      </c>
      <c r="B201" s="2" t="str">
        <f>IF('1.1 Produksi Bersih Padi 2025'!B201="","",'1.1 Produksi Bersih Padi 2025'!B201)</f>
        <v/>
      </c>
      <c r="C201" s="2" t="str">
        <f>IF('1.1 Produksi Bersih Padi 2025'!C201="","",'1.1 Produksi Bersih Padi 2025'!C201)</f>
        <v/>
      </c>
      <c r="D201" s="3" t="str">
        <f>IF('1.1 Produksi Bersih Padi 2025'!D201="","",'1.1 Produksi Bersih Padi 2025'!D201)</f>
        <v/>
      </c>
      <c r="E201" s="3" t="str">
        <f>IF('1.1 Produksi Bersih Padi 2025'!E201="","",'1.1 Produksi Bersih Padi 2025'!E201)</f>
        <v/>
      </c>
      <c r="F201" s="28" t="str">
        <f>IF(D201="","",VLOOKUP(D201,'[1]0.1 Produksi Pangan &amp; Penduduk'!$D$5:$S$860,16,0))</f>
        <v/>
      </c>
      <c r="G201" s="28" t="str">
        <f t="shared" si="18"/>
        <v/>
      </c>
      <c r="H201" s="29" t="str">
        <f t="shared" si="19"/>
        <v/>
      </c>
      <c r="I201" s="29" t="str">
        <f t="shared" si="20"/>
        <v/>
      </c>
      <c r="J201" s="29" t="str">
        <f t="shared" si="21"/>
        <v/>
      </c>
      <c r="K201" s="29" t="str">
        <f t="shared" si="22"/>
        <v/>
      </c>
      <c r="L201" s="29" t="str">
        <f t="shared" si="23"/>
        <v/>
      </c>
      <c r="N201" s="11"/>
    </row>
    <row r="202" spans="1:14" ht="15" x14ac:dyDescent="0.25">
      <c r="A202" s="1" t="str">
        <f>IF('1.1 Produksi Bersih Padi 2025'!A202="","",'1.1 Produksi Bersih Padi 2025'!A202)</f>
        <v/>
      </c>
      <c r="B202" s="2" t="str">
        <f>IF('1.1 Produksi Bersih Padi 2025'!B202="","",'1.1 Produksi Bersih Padi 2025'!B202)</f>
        <v/>
      </c>
      <c r="C202" s="2" t="str">
        <f>IF('1.1 Produksi Bersih Padi 2025'!C202="","",'1.1 Produksi Bersih Padi 2025'!C202)</f>
        <v/>
      </c>
      <c r="D202" s="3" t="str">
        <f>IF('1.1 Produksi Bersih Padi 2025'!D202="","",'1.1 Produksi Bersih Padi 2025'!D202)</f>
        <v/>
      </c>
      <c r="E202" s="3" t="str">
        <f>IF('1.1 Produksi Bersih Padi 2025'!E202="","",'1.1 Produksi Bersih Padi 2025'!E202)</f>
        <v/>
      </c>
      <c r="F202" s="28" t="str">
        <f>IF(D202="","",VLOOKUP(D202,'[1]0.1 Produksi Pangan &amp; Penduduk'!$D$5:$S$860,16,0))</f>
        <v/>
      </c>
      <c r="G202" s="28" t="str">
        <f t="shared" si="18"/>
        <v/>
      </c>
      <c r="H202" s="29" t="str">
        <f t="shared" si="19"/>
        <v/>
      </c>
      <c r="I202" s="29" t="str">
        <f t="shared" si="20"/>
        <v/>
      </c>
      <c r="J202" s="29" t="str">
        <f t="shared" si="21"/>
        <v/>
      </c>
      <c r="K202" s="29" t="str">
        <f t="shared" si="22"/>
        <v/>
      </c>
      <c r="L202" s="29" t="str">
        <f t="shared" si="23"/>
        <v/>
      </c>
      <c r="N202" s="11"/>
    </row>
    <row r="203" spans="1:14" ht="15" x14ac:dyDescent="0.25">
      <c r="A203" s="1" t="str">
        <f>IF('1.1 Produksi Bersih Padi 2025'!A203="","",'1.1 Produksi Bersih Padi 2025'!A203)</f>
        <v/>
      </c>
      <c r="B203" s="2" t="str">
        <f>IF('1.1 Produksi Bersih Padi 2025'!B203="","",'1.1 Produksi Bersih Padi 2025'!B203)</f>
        <v/>
      </c>
      <c r="C203" s="2" t="str">
        <f>IF('1.1 Produksi Bersih Padi 2025'!C203="","",'1.1 Produksi Bersih Padi 2025'!C203)</f>
        <v/>
      </c>
      <c r="D203" s="3" t="str">
        <f>IF('1.1 Produksi Bersih Padi 2025'!D203="","",'1.1 Produksi Bersih Padi 2025'!D203)</f>
        <v/>
      </c>
      <c r="E203" s="3" t="str">
        <f>IF('1.1 Produksi Bersih Padi 2025'!E203="","",'1.1 Produksi Bersih Padi 2025'!E203)</f>
        <v/>
      </c>
      <c r="F203" s="28" t="str">
        <f>IF(D203="","",VLOOKUP(D203,'[1]0.1 Produksi Pangan &amp; Penduduk'!$D$5:$S$860,16,0))</f>
        <v/>
      </c>
      <c r="G203" s="28" t="str">
        <f t="shared" si="18"/>
        <v/>
      </c>
      <c r="H203" s="29" t="str">
        <f t="shared" si="19"/>
        <v/>
      </c>
      <c r="I203" s="29" t="str">
        <f t="shared" si="20"/>
        <v/>
      </c>
      <c r="J203" s="29" t="str">
        <f t="shared" si="21"/>
        <v/>
      </c>
      <c r="K203" s="29" t="str">
        <f t="shared" si="22"/>
        <v/>
      </c>
      <c r="L203" s="29" t="str">
        <f t="shared" si="23"/>
        <v/>
      </c>
      <c r="N203" s="11"/>
    </row>
    <row r="204" spans="1:14" ht="15" x14ac:dyDescent="0.25">
      <c r="A204" s="1" t="str">
        <f>IF('1.1 Produksi Bersih Padi 2025'!A204="","",'1.1 Produksi Bersih Padi 2025'!A204)</f>
        <v/>
      </c>
      <c r="B204" s="2" t="str">
        <f>IF('1.1 Produksi Bersih Padi 2025'!B204="","",'1.1 Produksi Bersih Padi 2025'!B204)</f>
        <v/>
      </c>
      <c r="C204" s="2" t="str">
        <f>IF('1.1 Produksi Bersih Padi 2025'!C204="","",'1.1 Produksi Bersih Padi 2025'!C204)</f>
        <v/>
      </c>
      <c r="D204" s="3" t="str">
        <f>IF('1.1 Produksi Bersih Padi 2025'!D204="","",'1.1 Produksi Bersih Padi 2025'!D204)</f>
        <v/>
      </c>
      <c r="E204" s="3" t="str">
        <f>IF('1.1 Produksi Bersih Padi 2025'!E204="","",'1.1 Produksi Bersih Padi 2025'!E204)</f>
        <v/>
      </c>
      <c r="F204" s="28" t="str">
        <f>IF(D204="","",VLOOKUP(D204,'[1]0.1 Produksi Pangan &amp; Penduduk'!$D$5:$S$860,16,0))</f>
        <v/>
      </c>
      <c r="G204" s="28" t="str">
        <f t="shared" si="18"/>
        <v/>
      </c>
      <c r="H204" s="29" t="str">
        <f t="shared" si="19"/>
        <v/>
      </c>
      <c r="I204" s="29" t="str">
        <f t="shared" si="20"/>
        <v/>
      </c>
      <c r="J204" s="29" t="str">
        <f t="shared" si="21"/>
        <v/>
      </c>
      <c r="K204" s="29" t="str">
        <f t="shared" si="22"/>
        <v/>
      </c>
      <c r="L204" s="29" t="str">
        <f t="shared" si="23"/>
        <v/>
      </c>
      <c r="N204" s="11"/>
    </row>
    <row r="205" spans="1:14" ht="15" x14ac:dyDescent="0.25">
      <c r="A205" s="1" t="str">
        <f>IF('1.1 Produksi Bersih Padi 2025'!A205="","",'1.1 Produksi Bersih Padi 2025'!A205)</f>
        <v/>
      </c>
      <c r="B205" s="2" t="str">
        <f>IF('1.1 Produksi Bersih Padi 2025'!B205="","",'1.1 Produksi Bersih Padi 2025'!B205)</f>
        <v/>
      </c>
      <c r="C205" s="2" t="str">
        <f>IF('1.1 Produksi Bersih Padi 2025'!C205="","",'1.1 Produksi Bersih Padi 2025'!C205)</f>
        <v/>
      </c>
      <c r="D205" s="3" t="str">
        <f>IF('1.1 Produksi Bersih Padi 2025'!D205="","",'1.1 Produksi Bersih Padi 2025'!D205)</f>
        <v/>
      </c>
      <c r="E205" s="3" t="str">
        <f>IF('1.1 Produksi Bersih Padi 2025'!E205="","",'1.1 Produksi Bersih Padi 2025'!E205)</f>
        <v/>
      </c>
      <c r="F205" s="28" t="str">
        <f>IF(D205="","",VLOOKUP(D205,'[1]0.1 Produksi Pangan &amp; Penduduk'!$D$5:$S$860,16,0))</f>
        <v/>
      </c>
      <c r="G205" s="28" t="str">
        <f t="shared" si="18"/>
        <v/>
      </c>
      <c r="H205" s="29" t="str">
        <f t="shared" si="19"/>
        <v/>
      </c>
      <c r="I205" s="29" t="str">
        <f t="shared" si="20"/>
        <v/>
      </c>
      <c r="J205" s="29" t="str">
        <f t="shared" si="21"/>
        <v/>
      </c>
      <c r="K205" s="29" t="str">
        <f t="shared" si="22"/>
        <v/>
      </c>
      <c r="L205" s="29" t="str">
        <f t="shared" si="23"/>
        <v/>
      </c>
      <c r="N205" s="11"/>
    </row>
    <row r="206" spans="1:14" ht="15" x14ac:dyDescent="0.25">
      <c r="A206" s="1" t="str">
        <f>IF('1.1 Produksi Bersih Padi 2025'!A206="","",'1.1 Produksi Bersih Padi 2025'!A206)</f>
        <v/>
      </c>
      <c r="B206" s="2" t="str">
        <f>IF('1.1 Produksi Bersih Padi 2025'!B206="","",'1.1 Produksi Bersih Padi 2025'!B206)</f>
        <v/>
      </c>
      <c r="C206" s="2" t="str">
        <f>IF('1.1 Produksi Bersih Padi 2025'!C206="","",'1.1 Produksi Bersih Padi 2025'!C206)</f>
        <v/>
      </c>
      <c r="D206" s="3" t="str">
        <f>IF('1.1 Produksi Bersih Padi 2025'!D206="","",'1.1 Produksi Bersih Padi 2025'!D206)</f>
        <v/>
      </c>
      <c r="E206" s="3" t="str">
        <f>IF('1.1 Produksi Bersih Padi 2025'!E206="","",'1.1 Produksi Bersih Padi 2025'!E206)</f>
        <v/>
      </c>
      <c r="F206" s="28" t="str">
        <f>IF(D206="","",VLOOKUP(D206,'[1]0.1 Produksi Pangan &amp; Penduduk'!$D$5:$S$860,16,0))</f>
        <v/>
      </c>
      <c r="G206" s="28" t="str">
        <f t="shared" si="18"/>
        <v/>
      </c>
      <c r="H206" s="29" t="str">
        <f t="shared" si="19"/>
        <v/>
      </c>
      <c r="I206" s="29" t="str">
        <f t="shared" si="20"/>
        <v/>
      </c>
      <c r="J206" s="29" t="str">
        <f t="shared" si="21"/>
        <v/>
      </c>
      <c r="K206" s="29" t="str">
        <f t="shared" si="22"/>
        <v/>
      </c>
      <c r="L206" s="29" t="str">
        <f t="shared" si="23"/>
        <v/>
      </c>
      <c r="N206" s="11"/>
    </row>
    <row r="207" spans="1:14" ht="15" x14ac:dyDescent="0.25">
      <c r="A207" s="1" t="str">
        <f>IF('1.1 Produksi Bersih Padi 2025'!A207="","",'1.1 Produksi Bersih Padi 2025'!A207)</f>
        <v/>
      </c>
      <c r="B207" s="2" t="str">
        <f>IF('1.1 Produksi Bersih Padi 2025'!B207="","",'1.1 Produksi Bersih Padi 2025'!B207)</f>
        <v/>
      </c>
      <c r="C207" s="2" t="str">
        <f>IF('1.1 Produksi Bersih Padi 2025'!C207="","",'1.1 Produksi Bersih Padi 2025'!C207)</f>
        <v/>
      </c>
      <c r="D207" s="3" t="str">
        <f>IF('1.1 Produksi Bersih Padi 2025'!D207="","",'1.1 Produksi Bersih Padi 2025'!D207)</f>
        <v/>
      </c>
      <c r="E207" s="3" t="str">
        <f>IF('1.1 Produksi Bersih Padi 2025'!E207="","",'1.1 Produksi Bersih Padi 2025'!E207)</f>
        <v/>
      </c>
      <c r="F207" s="28" t="str">
        <f>IF(D207="","",VLOOKUP(D207,'[1]0.1 Produksi Pangan &amp; Penduduk'!$D$5:$S$860,16,0))</f>
        <v/>
      </c>
      <c r="G207" s="28" t="str">
        <f t="shared" si="18"/>
        <v/>
      </c>
      <c r="H207" s="29" t="str">
        <f t="shared" si="19"/>
        <v/>
      </c>
      <c r="I207" s="29" t="str">
        <f t="shared" si="20"/>
        <v/>
      </c>
      <c r="J207" s="29" t="str">
        <f t="shared" si="21"/>
        <v/>
      </c>
      <c r="K207" s="29" t="str">
        <f t="shared" si="22"/>
        <v/>
      </c>
      <c r="L207" s="29" t="str">
        <f t="shared" si="23"/>
        <v/>
      </c>
      <c r="N207" s="11"/>
    </row>
    <row r="208" spans="1:14" ht="15" x14ac:dyDescent="0.25">
      <c r="A208" s="1" t="str">
        <f>IF('1.1 Produksi Bersih Padi 2025'!A208="","",'1.1 Produksi Bersih Padi 2025'!A208)</f>
        <v/>
      </c>
      <c r="B208" s="2" t="str">
        <f>IF('1.1 Produksi Bersih Padi 2025'!B208="","",'1.1 Produksi Bersih Padi 2025'!B208)</f>
        <v/>
      </c>
      <c r="C208" s="2" t="str">
        <f>IF('1.1 Produksi Bersih Padi 2025'!C208="","",'1.1 Produksi Bersih Padi 2025'!C208)</f>
        <v/>
      </c>
      <c r="D208" s="3" t="str">
        <f>IF('1.1 Produksi Bersih Padi 2025'!D208="","",'1.1 Produksi Bersih Padi 2025'!D208)</f>
        <v/>
      </c>
      <c r="E208" s="3" t="str">
        <f>IF('1.1 Produksi Bersih Padi 2025'!E208="","",'1.1 Produksi Bersih Padi 2025'!E208)</f>
        <v/>
      </c>
      <c r="F208" s="28" t="str">
        <f>IF(D208="","",VLOOKUP(D208,'[1]0.1 Produksi Pangan &amp; Penduduk'!$D$5:$S$860,16,0))</f>
        <v/>
      </c>
      <c r="G208" s="28" t="str">
        <f t="shared" si="18"/>
        <v/>
      </c>
      <c r="H208" s="29" t="str">
        <f t="shared" si="19"/>
        <v/>
      </c>
      <c r="I208" s="29" t="str">
        <f t="shared" si="20"/>
        <v/>
      </c>
      <c r="J208" s="29" t="str">
        <f t="shared" si="21"/>
        <v/>
      </c>
      <c r="K208" s="29" t="str">
        <f t="shared" si="22"/>
        <v/>
      </c>
      <c r="L208" s="29" t="str">
        <f t="shared" si="23"/>
        <v/>
      </c>
      <c r="N208" s="11"/>
    </row>
    <row r="209" spans="1:14" ht="15" x14ac:dyDescent="0.25">
      <c r="A209" s="1" t="str">
        <f>IF('1.1 Produksi Bersih Padi 2025'!A209="","",'1.1 Produksi Bersih Padi 2025'!A209)</f>
        <v/>
      </c>
      <c r="B209" s="2" t="str">
        <f>IF('1.1 Produksi Bersih Padi 2025'!B209="","",'1.1 Produksi Bersih Padi 2025'!B209)</f>
        <v/>
      </c>
      <c r="C209" s="2" t="str">
        <f>IF('1.1 Produksi Bersih Padi 2025'!C209="","",'1.1 Produksi Bersih Padi 2025'!C209)</f>
        <v/>
      </c>
      <c r="D209" s="3" t="str">
        <f>IF('1.1 Produksi Bersih Padi 2025'!D209="","",'1.1 Produksi Bersih Padi 2025'!D209)</f>
        <v/>
      </c>
      <c r="E209" s="3" t="str">
        <f>IF('1.1 Produksi Bersih Padi 2025'!E209="","",'1.1 Produksi Bersih Padi 2025'!E209)</f>
        <v/>
      </c>
      <c r="F209" s="28" t="str">
        <f>IF(D209="","",VLOOKUP(D209,'[1]0.1 Produksi Pangan &amp; Penduduk'!$D$5:$S$860,16,0))</f>
        <v/>
      </c>
      <c r="G209" s="28" t="str">
        <f t="shared" si="18"/>
        <v/>
      </c>
      <c r="H209" s="29" t="str">
        <f t="shared" si="19"/>
        <v/>
      </c>
      <c r="I209" s="29" t="str">
        <f t="shared" si="20"/>
        <v/>
      </c>
      <c r="J209" s="29" t="str">
        <f t="shared" si="21"/>
        <v/>
      </c>
      <c r="K209" s="29" t="str">
        <f t="shared" si="22"/>
        <v/>
      </c>
      <c r="L209" s="29" t="str">
        <f t="shared" si="23"/>
        <v/>
      </c>
      <c r="N209" s="11"/>
    </row>
    <row r="210" spans="1:14" ht="15" x14ac:dyDescent="0.25">
      <c r="A210" s="1" t="str">
        <f>IF('1.1 Produksi Bersih Padi 2025'!A210="","",'1.1 Produksi Bersih Padi 2025'!A210)</f>
        <v/>
      </c>
      <c r="B210" s="2" t="str">
        <f>IF('1.1 Produksi Bersih Padi 2025'!B210="","",'1.1 Produksi Bersih Padi 2025'!B210)</f>
        <v/>
      </c>
      <c r="C210" s="2" t="str">
        <f>IF('1.1 Produksi Bersih Padi 2025'!C210="","",'1.1 Produksi Bersih Padi 2025'!C210)</f>
        <v/>
      </c>
      <c r="D210" s="3" t="str">
        <f>IF('1.1 Produksi Bersih Padi 2025'!D210="","",'1.1 Produksi Bersih Padi 2025'!D210)</f>
        <v/>
      </c>
      <c r="E210" s="3" t="str">
        <f>IF('1.1 Produksi Bersih Padi 2025'!E210="","",'1.1 Produksi Bersih Padi 2025'!E210)</f>
        <v/>
      </c>
      <c r="F210" s="28" t="str">
        <f>IF(D210="","",VLOOKUP(D210,'[1]0.1 Produksi Pangan &amp; Penduduk'!$D$5:$S$860,16,0))</f>
        <v/>
      </c>
      <c r="G210" s="28" t="str">
        <f t="shared" si="18"/>
        <v/>
      </c>
      <c r="H210" s="29" t="str">
        <f t="shared" si="19"/>
        <v/>
      </c>
      <c r="I210" s="29" t="str">
        <f t="shared" si="20"/>
        <v/>
      </c>
      <c r="J210" s="29" t="str">
        <f t="shared" si="21"/>
        <v/>
      </c>
      <c r="K210" s="29" t="str">
        <f t="shared" si="22"/>
        <v/>
      </c>
      <c r="L210" s="29" t="str">
        <f t="shared" si="23"/>
        <v/>
      </c>
      <c r="N210" s="11"/>
    </row>
    <row r="211" spans="1:14" ht="15" x14ac:dyDescent="0.25">
      <c r="A211" s="1" t="str">
        <f>IF('1.1 Produksi Bersih Padi 2025'!A211="","",'1.1 Produksi Bersih Padi 2025'!A211)</f>
        <v/>
      </c>
      <c r="B211" s="2" t="str">
        <f>IF('1.1 Produksi Bersih Padi 2025'!B211="","",'1.1 Produksi Bersih Padi 2025'!B211)</f>
        <v/>
      </c>
      <c r="C211" s="2" t="str">
        <f>IF('1.1 Produksi Bersih Padi 2025'!C211="","",'1.1 Produksi Bersih Padi 2025'!C211)</f>
        <v/>
      </c>
      <c r="D211" s="3" t="str">
        <f>IF('1.1 Produksi Bersih Padi 2025'!D211="","",'1.1 Produksi Bersih Padi 2025'!D211)</f>
        <v/>
      </c>
      <c r="E211" s="3" t="str">
        <f>IF('1.1 Produksi Bersih Padi 2025'!E211="","",'1.1 Produksi Bersih Padi 2025'!E211)</f>
        <v/>
      </c>
      <c r="F211" s="28" t="str">
        <f>IF(D211="","",VLOOKUP(D211,'[1]0.1 Produksi Pangan &amp; Penduduk'!$D$5:$S$860,16,0))</f>
        <v/>
      </c>
      <c r="G211" s="28" t="str">
        <f t="shared" si="18"/>
        <v/>
      </c>
      <c r="H211" s="29" t="str">
        <f t="shared" si="19"/>
        <v/>
      </c>
      <c r="I211" s="29" t="str">
        <f t="shared" si="20"/>
        <v/>
      </c>
      <c r="J211" s="29" t="str">
        <f t="shared" si="21"/>
        <v/>
      </c>
      <c r="K211" s="29" t="str">
        <f t="shared" si="22"/>
        <v/>
      </c>
      <c r="L211" s="29" t="str">
        <f t="shared" si="23"/>
        <v/>
      </c>
      <c r="N211" s="11"/>
    </row>
    <row r="212" spans="1:14" ht="15" x14ac:dyDescent="0.25">
      <c r="A212" s="1" t="str">
        <f>IF('1.1 Produksi Bersih Padi 2025'!A212="","",'1.1 Produksi Bersih Padi 2025'!A212)</f>
        <v/>
      </c>
      <c r="B212" s="2" t="str">
        <f>IF('1.1 Produksi Bersih Padi 2025'!B212="","",'1.1 Produksi Bersih Padi 2025'!B212)</f>
        <v/>
      </c>
      <c r="C212" s="2" t="str">
        <f>IF('1.1 Produksi Bersih Padi 2025'!C212="","",'1.1 Produksi Bersih Padi 2025'!C212)</f>
        <v/>
      </c>
      <c r="D212" s="3" t="str">
        <f>IF('1.1 Produksi Bersih Padi 2025'!D212="","",'1.1 Produksi Bersih Padi 2025'!D212)</f>
        <v/>
      </c>
      <c r="E212" s="3" t="str">
        <f>IF('1.1 Produksi Bersih Padi 2025'!E212="","",'1.1 Produksi Bersih Padi 2025'!E212)</f>
        <v/>
      </c>
      <c r="F212" s="28" t="str">
        <f>IF(D212="","",VLOOKUP(D212,'[1]0.1 Produksi Pangan &amp; Penduduk'!$D$5:$S$860,16,0))</f>
        <v/>
      </c>
      <c r="G212" s="28" t="str">
        <f t="shared" si="18"/>
        <v/>
      </c>
      <c r="H212" s="29" t="str">
        <f t="shared" si="19"/>
        <v/>
      </c>
      <c r="I212" s="29" t="str">
        <f t="shared" si="20"/>
        <v/>
      </c>
      <c r="J212" s="29" t="str">
        <f t="shared" si="21"/>
        <v/>
      </c>
      <c r="K212" s="29" t="str">
        <f t="shared" si="22"/>
        <v/>
      </c>
      <c r="L212" s="29" t="str">
        <f t="shared" si="23"/>
        <v/>
      </c>
      <c r="N212" s="11"/>
    </row>
    <row r="213" spans="1:14" ht="15" x14ac:dyDescent="0.25">
      <c r="A213" s="1" t="str">
        <f>IF('1.1 Produksi Bersih Padi 2025'!A213="","",'1.1 Produksi Bersih Padi 2025'!A213)</f>
        <v/>
      </c>
      <c r="B213" s="2" t="str">
        <f>IF('1.1 Produksi Bersih Padi 2025'!B213="","",'1.1 Produksi Bersih Padi 2025'!B213)</f>
        <v/>
      </c>
      <c r="C213" s="2" t="str">
        <f>IF('1.1 Produksi Bersih Padi 2025'!C213="","",'1.1 Produksi Bersih Padi 2025'!C213)</f>
        <v/>
      </c>
      <c r="D213" s="3" t="str">
        <f>IF('1.1 Produksi Bersih Padi 2025'!D213="","",'1.1 Produksi Bersih Padi 2025'!D213)</f>
        <v/>
      </c>
      <c r="E213" s="3" t="str">
        <f>IF('1.1 Produksi Bersih Padi 2025'!E213="","",'1.1 Produksi Bersih Padi 2025'!E213)</f>
        <v/>
      </c>
      <c r="F213" s="28" t="str">
        <f>IF(D213="","",VLOOKUP(D213,'[1]0.1 Produksi Pangan &amp; Penduduk'!$D$5:$S$860,16,0))</f>
        <v/>
      </c>
      <c r="G213" s="28" t="str">
        <f t="shared" si="18"/>
        <v/>
      </c>
      <c r="H213" s="29" t="str">
        <f t="shared" si="19"/>
        <v/>
      </c>
      <c r="I213" s="29" t="str">
        <f t="shared" si="20"/>
        <v/>
      </c>
      <c r="J213" s="29" t="str">
        <f t="shared" si="21"/>
        <v/>
      </c>
      <c r="K213" s="29" t="str">
        <f t="shared" si="22"/>
        <v/>
      </c>
      <c r="L213" s="29" t="str">
        <f t="shared" si="23"/>
        <v/>
      </c>
      <c r="N213" s="11"/>
    </row>
    <row r="214" spans="1:14" ht="15" x14ac:dyDescent="0.25">
      <c r="A214" s="1" t="str">
        <f>IF('1.1 Produksi Bersih Padi 2025'!A214="","",'1.1 Produksi Bersih Padi 2025'!A214)</f>
        <v/>
      </c>
      <c r="B214" s="2" t="str">
        <f>IF('1.1 Produksi Bersih Padi 2025'!B214="","",'1.1 Produksi Bersih Padi 2025'!B214)</f>
        <v/>
      </c>
      <c r="C214" s="2" t="str">
        <f>IF('1.1 Produksi Bersih Padi 2025'!C214="","",'1.1 Produksi Bersih Padi 2025'!C214)</f>
        <v/>
      </c>
      <c r="D214" s="3" t="str">
        <f>IF('1.1 Produksi Bersih Padi 2025'!D214="","",'1.1 Produksi Bersih Padi 2025'!D214)</f>
        <v/>
      </c>
      <c r="E214" s="3" t="str">
        <f>IF('1.1 Produksi Bersih Padi 2025'!E214="","",'1.1 Produksi Bersih Padi 2025'!E214)</f>
        <v/>
      </c>
      <c r="F214" s="28" t="str">
        <f>IF(D214="","",VLOOKUP(D214,'[1]0.1 Produksi Pangan &amp; Penduduk'!$D$5:$S$860,16,0))</f>
        <v/>
      </c>
      <c r="G214" s="28" t="str">
        <f t="shared" si="18"/>
        <v/>
      </c>
      <c r="H214" s="29" t="str">
        <f t="shared" si="19"/>
        <v/>
      </c>
      <c r="I214" s="29" t="str">
        <f t="shared" si="20"/>
        <v/>
      </c>
      <c r="J214" s="29" t="str">
        <f t="shared" si="21"/>
        <v/>
      </c>
      <c r="K214" s="29" t="str">
        <f t="shared" si="22"/>
        <v/>
      </c>
      <c r="L214" s="29" t="str">
        <f t="shared" si="23"/>
        <v/>
      </c>
      <c r="N214" s="11"/>
    </row>
    <row r="215" spans="1:14" ht="15" x14ac:dyDescent="0.25">
      <c r="A215" s="1" t="str">
        <f>IF('1.1 Produksi Bersih Padi 2025'!A215="","",'1.1 Produksi Bersih Padi 2025'!A215)</f>
        <v/>
      </c>
      <c r="B215" s="2" t="str">
        <f>IF('1.1 Produksi Bersih Padi 2025'!B215="","",'1.1 Produksi Bersih Padi 2025'!B215)</f>
        <v/>
      </c>
      <c r="C215" s="2" t="str">
        <f>IF('1.1 Produksi Bersih Padi 2025'!C215="","",'1.1 Produksi Bersih Padi 2025'!C215)</f>
        <v/>
      </c>
      <c r="D215" s="3" t="str">
        <f>IF('1.1 Produksi Bersih Padi 2025'!D215="","",'1.1 Produksi Bersih Padi 2025'!D215)</f>
        <v/>
      </c>
      <c r="E215" s="3" t="str">
        <f>IF('1.1 Produksi Bersih Padi 2025'!E215="","",'1.1 Produksi Bersih Padi 2025'!E215)</f>
        <v/>
      </c>
      <c r="F215" s="28" t="str">
        <f>IF(D215="","",VLOOKUP(D215,'[1]0.1 Produksi Pangan &amp; Penduduk'!$D$5:$S$860,16,0))</f>
        <v/>
      </c>
      <c r="G215" s="28" t="str">
        <f t="shared" si="18"/>
        <v/>
      </c>
      <c r="H215" s="29" t="str">
        <f t="shared" si="19"/>
        <v/>
      </c>
      <c r="I215" s="29" t="str">
        <f t="shared" si="20"/>
        <v/>
      </c>
      <c r="J215" s="29" t="str">
        <f t="shared" si="21"/>
        <v/>
      </c>
      <c r="K215" s="29" t="str">
        <f t="shared" si="22"/>
        <v/>
      </c>
      <c r="L215" s="29" t="str">
        <f t="shared" si="23"/>
        <v/>
      </c>
      <c r="N215" s="11"/>
    </row>
    <row r="216" spans="1:14" ht="15" x14ac:dyDescent="0.25">
      <c r="A216" s="1" t="str">
        <f>IF('1.1 Produksi Bersih Padi 2025'!A216="","",'1.1 Produksi Bersih Padi 2025'!A216)</f>
        <v/>
      </c>
      <c r="B216" s="2" t="str">
        <f>IF('1.1 Produksi Bersih Padi 2025'!B216="","",'1.1 Produksi Bersih Padi 2025'!B216)</f>
        <v/>
      </c>
      <c r="C216" s="2" t="str">
        <f>IF('1.1 Produksi Bersih Padi 2025'!C216="","",'1.1 Produksi Bersih Padi 2025'!C216)</f>
        <v/>
      </c>
      <c r="D216" s="3" t="str">
        <f>IF('1.1 Produksi Bersih Padi 2025'!D216="","",'1.1 Produksi Bersih Padi 2025'!D216)</f>
        <v/>
      </c>
      <c r="E216" s="3" t="str">
        <f>IF('1.1 Produksi Bersih Padi 2025'!E216="","",'1.1 Produksi Bersih Padi 2025'!E216)</f>
        <v/>
      </c>
      <c r="F216" s="28" t="str">
        <f>IF(D216="","",VLOOKUP(D216,'[1]0.1 Produksi Pangan &amp; Penduduk'!$D$5:$S$860,16,0))</f>
        <v/>
      </c>
      <c r="G216" s="28" t="str">
        <f t="shared" si="18"/>
        <v/>
      </c>
      <c r="H216" s="29" t="str">
        <f t="shared" si="19"/>
        <v/>
      </c>
      <c r="I216" s="29" t="str">
        <f t="shared" si="20"/>
        <v/>
      </c>
      <c r="J216" s="29" t="str">
        <f t="shared" si="21"/>
        <v/>
      </c>
      <c r="K216" s="29" t="str">
        <f t="shared" si="22"/>
        <v/>
      </c>
      <c r="L216" s="29" t="str">
        <f t="shared" si="23"/>
        <v/>
      </c>
      <c r="N216" s="11"/>
    </row>
    <row r="217" spans="1:14" ht="15" x14ac:dyDescent="0.25">
      <c r="A217" s="1" t="str">
        <f>IF('1.1 Produksi Bersih Padi 2025'!A217="","",'1.1 Produksi Bersih Padi 2025'!A217)</f>
        <v/>
      </c>
      <c r="B217" s="2" t="str">
        <f>IF('1.1 Produksi Bersih Padi 2025'!B217="","",'1.1 Produksi Bersih Padi 2025'!B217)</f>
        <v/>
      </c>
      <c r="C217" s="2" t="str">
        <f>IF('1.1 Produksi Bersih Padi 2025'!C217="","",'1.1 Produksi Bersih Padi 2025'!C217)</f>
        <v/>
      </c>
      <c r="D217" s="3" t="str">
        <f>IF('1.1 Produksi Bersih Padi 2025'!D217="","",'1.1 Produksi Bersih Padi 2025'!D217)</f>
        <v/>
      </c>
      <c r="E217" s="3" t="str">
        <f>IF('1.1 Produksi Bersih Padi 2025'!E217="","",'1.1 Produksi Bersih Padi 2025'!E217)</f>
        <v/>
      </c>
      <c r="F217" s="28" t="str">
        <f>IF(D217="","",VLOOKUP(D217,'[1]0.1 Produksi Pangan &amp; Penduduk'!$D$5:$S$860,16,0))</f>
        <v/>
      </c>
      <c r="G217" s="28" t="str">
        <f t="shared" si="18"/>
        <v/>
      </c>
      <c r="H217" s="29" t="str">
        <f t="shared" si="19"/>
        <v/>
      </c>
      <c r="I217" s="29" t="str">
        <f t="shared" si="20"/>
        <v/>
      </c>
      <c r="J217" s="29" t="str">
        <f t="shared" si="21"/>
        <v/>
      </c>
      <c r="K217" s="29" t="str">
        <f t="shared" si="22"/>
        <v/>
      </c>
      <c r="L217" s="29" t="str">
        <f t="shared" si="23"/>
        <v/>
      </c>
      <c r="N217" s="11"/>
    </row>
    <row r="218" spans="1:14" ht="15" x14ac:dyDescent="0.25">
      <c r="A218" s="1" t="str">
        <f>IF('1.1 Produksi Bersih Padi 2025'!A218="","",'1.1 Produksi Bersih Padi 2025'!A218)</f>
        <v/>
      </c>
      <c r="B218" s="2" t="str">
        <f>IF('1.1 Produksi Bersih Padi 2025'!B218="","",'1.1 Produksi Bersih Padi 2025'!B218)</f>
        <v/>
      </c>
      <c r="C218" s="2" t="str">
        <f>IF('1.1 Produksi Bersih Padi 2025'!C218="","",'1.1 Produksi Bersih Padi 2025'!C218)</f>
        <v/>
      </c>
      <c r="D218" s="3" t="str">
        <f>IF('1.1 Produksi Bersih Padi 2025'!D218="","",'1.1 Produksi Bersih Padi 2025'!D218)</f>
        <v/>
      </c>
      <c r="E218" s="3" t="str">
        <f>IF('1.1 Produksi Bersih Padi 2025'!E218="","",'1.1 Produksi Bersih Padi 2025'!E218)</f>
        <v/>
      </c>
      <c r="F218" s="28" t="str">
        <f>IF(D218="","",VLOOKUP(D218,'[1]0.1 Produksi Pangan &amp; Penduduk'!$D$5:$S$860,16,0))</f>
        <v/>
      </c>
      <c r="G218" s="28" t="str">
        <f t="shared" si="18"/>
        <v/>
      </c>
      <c r="H218" s="29" t="str">
        <f t="shared" si="19"/>
        <v/>
      </c>
      <c r="I218" s="29" t="str">
        <f t="shared" si="20"/>
        <v/>
      </c>
      <c r="J218" s="29" t="str">
        <f t="shared" si="21"/>
        <v/>
      </c>
      <c r="K218" s="29" t="str">
        <f t="shared" si="22"/>
        <v/>
      </c>
      <c r="L218" s="29" t="str">
        <f t="shared" si="23"/>
        <v/>
      </c>
      <c r="N218" s="11"/>
    </row>
    <row r="219" spans="1:14" ht="15" x14ac:dyDescent="0.25">
      <c r="A219" s="1" t="str">
        <f>IF('1.1 Produksi Bersih Padi 2025'!A219="","",'1.1 Produksi Bersih Padi 2025'!A219)</f>
        <v/>
      </c>
      <c r="B219" s="2" t="str">
        <f>IF('1.1 Produksi Bersih Padi 2025'!B219="","",'1.1 Produksi Bersih Padi 2025'!B219)</f>
        <v/>
      </c>
      <c r="C219" s="2" t="str">
        <f>IF('1.1 Produksi Bersih Padi 2025'!C219="","",'1.1 Produksi Bersih Padi 2025'!C219)</f>
        <v/>
      </c>
      <c r="D219" s="3" t="str">
        <f>IF('1.1 Produksi Bersih Padi 2025'!D219="","",'1.1 Produksi Bersih Padi 2025'!D219)</f>
        <v/>
      </c>
      <c r="E219" s="3" t="str">
        <f>IF('1.1 Produksi Bersih Padi 2025'!E219="","",'1.1 Produksi Bersih Padi 2025'!E219)</f>
        <v/>
      </c>
      <c r="F219" s="28" t="str">
        <f>IF(D219="","",VLOOKUP(D219,'[1]0.1 Produksi Pangan &amp; Penduduk'!$D$5:$S$860,16,0))</f>
        <v/>
      </c>
      <c r="G219" s="28" t="str">
        <f t="shared" si="18"/>
        <v/>
      </c>
      <c r="H219" s="29" t="str">
        <f t="shared" si="19"/>
        <v/>
      </c>
      <c r="I219" s="29" t="str">
        <f t="shared" si="20"/>
        <v/>
      </c>
      <c r="J219" s="29" t="str">
        <f t="shared" si="21"/>
        <v/>
      </c>
      <c r="K219" s="29" t="str">
        <f t="shared" si="22"/>
        <v/>
      </c>
      <c r="L219" s="29" t="str">
        <f t="shared" si="23"/>
        <v/>
      </c>
      <c r="N219" s="11"/>
    </row>
    <row r="220" spans="1:14" ht="15" x14ac:dyDescent="0.25">
      <c r="A220" s="1" t="str">
        <f>IF('1.1 Produksi Bersih Padi 2025'!A220="","",'1.1 Produksi Bersih Padi 2025'!A220)</f>
        <v/>
      </c>
      <c r="B220" s="2" t="str">
        <f>IF('1.1 Produksi Bersih Padi 2025'!B220="","",'1.1 Produksi Bersih Padi 2025'!B220)</f>
        <v/>
      </c>
      <c r="C220" s="2" t="str">
        <f>IF('1.1 Produksi Bersih Padi 2025'!C220="","",'1.1 Produksi Bersih Padi 2025'!C220)</f>
        <v/>
      </c>
      <c r="D220" s="3" t="str">
        <f>IF('1.1 Produksi Bersih Padi 2025'!D220="","",'1.1 Produksi Bersih Padi 2025'!D220)</f>
        <v/>
      </c>
      <c r="E220" s="3" t="str">
        <f>IF('1.1 Produksi Bersih Padi 2025'!E220="","",'1.1 Produksi Bersih Padi 2025'!E220)</f>
        <v/>
      </c>
      <c r="F220" s="28" t="str">
        <f>IF(D220="","",VLOOKUP(D220,'[1]0.1 Produksi Pangan &amp; Penduduk'!$D$5:$S$860,16,0))</f>
        <v/>
      </c>
      <c r="G220" s="28" t="str">
        <f t="shared" si="18"/>
        <v/>
      </c>
      <c r="H220" s="29" t="str">
        <f t="shared" si="19"/>
        <v/>
      </c>
      <c r="I220" s="29" t="str">
        <f t="shared" si="20"/>
        <v/>
      </c>
      <c r="J220" s="29" t="str">
        <f t="shared" si="21"/>
        <v/>
      </c>
      <c r="K220" s="29" t="str">
        <f t="shared" si="22"/>
        <v/>
      </c>
      <c r="L220" s="29" t="str">
        <f t="shared" si="23"/>
        <v/>
      </c>
      <c r="N220" s="11"/>
    </row>
    <row r="221" spans="1:14" ht="15" x14ac:dyDescent="0.25">
      <c r="A221" s="1" t="str">
        <f>IF('1.1 Produksi Bersih Padi 2025'!A221="","",'1.1 Produksi Bersih Padi 2025'!A221)</f>
        <v/>
      </c>
      <c r="B221" s="2" t="str">
        <f>IF('1.1 Produksi Bersih Padi 2025'!B221="","",'1.1 Produksi Bersih Padi 2025'!B221)</f>
        <v/>
      </c>
      <c r="C221" s="2" t="str">
        <f>IF('1.1 Produksi Bersih Padi 2025'!C221="","",'1.1 Produksi Bersih Padi 2025'!C221)</f>
        <v/>
      </c>
      <c r="D221" s="3" t="str">
        <f>IF('1.1 Produksi Bersih Padi 2025'!D221="","",'1.1 Produksi Bersih Padi 2025'!D221)</f>
        <v/>
      </c>
      <c r="E221" s="3" t="str">
        <f>IF('1.1 Produksi Bersih Padi 2025'!E221="","",'1.1 Produksi Bersih Padi 2025'!E221)</f>
        <v/>
      </c>
      <c r="F221" s="28" t="str">
        <f>IF(D221="","",VLOOKUP(D221,'[1]0.1 Produksi Pangan &amp; Penduduk'!$D$5:$S$860,16,0))</f>
        <v/>
      </c>
      <c r="G221" s="28" t="str">
        <f t="shared" si="18"/>
        <v/>
      </c>
      <c r="H221" s="29" t="str">
        <f t="shared" si="19"/>
        <v/>
      </c>
      <c r="I221" s="29" t="str">
        <f t="shared" si="20"/>
        <v/>
      </c>
      <c r="J221" s="29" t="str">
        <f t="shared" si="21"/>
        <v/>
      </c>
      <c r="K221" s="29" t="str">
        <f t="shared" si="22"/>
        <v/>
      </c>
      <c r="L221" s="29" t="str">
        <f t="shared" si="23"/>
        <v/>
      </c>
      <c r="N221" s="11"/>
    </row>
    <row r="222" spans="1:14" ht="15" x14ac:dyDescent="0.25">
      <c r="A222" s="1" t="str">
        <f>IF('1.1 Produksi Bersih Padi 2025'!A222="","",'1.1 Produksi Bersih Padi 2025'!A222)</f>
        <v/>
      </c>
      <c r="B222" s="2" t="str">
        <f>IF('1.1 Produksi Bersih Padi 2025'!B222="","",'1.1 Produksi Bersih Padi 2025'!B222)</f>
        <v/>
      </c>
      <c r="C222" s="2" t="str">
        <f>IF('1.1 Produksi Bersih Padi 2025'!C222="","",'1.1 Produksi Bersih Padi 2025'!C222)</f>
        <v/>
      </c>
      <c r="D222" s="3" t="str">
        <f>IF('1.1 Produksi Bersih Padi 2025'!D222="","",'1.1 Produksi Bersih Padi 2025'!D222)</f>
        <v/>
      </c>
      <c r="E222" s="3" t="str">
        <f>IF('1.1 Produksi Bersih Padi 2025'!E222="","",'1.1 Produksi Bersih Padi 2025'!E222)</f>
        <v/>
      </c>
      <c r="F222" s="28" t="str">
        <f>IF(D222="","",VLOOKUP(D222,'[1]0.1 Produksi Pangan &amp; Penduduk'!$D$5:$S$860,16,0))</f>
        <v/>
      </c>
      <c r="G222" s="28" t="str">
        <f t="shared" si="18"/>
        <v/>
      </c>
      <c r="H222" s="29" t="str">
        <f t="shared" si="19"/>
        <v/>
      </c>
      <c r="I222" s="29" t="str">
        <f t="shared" si="20"/>
        <v/>
      </c>
      <c r="J222" s="29" t="str">
        <f t="shared" si="21"/>
        <v/>
      </c>
      <c r="K222" s="29" t="str">
        <f t="shared" si="22"/>
        <v/>
      </c>
      <c r="L222" s="29" t="str">
        <f t="shared" si="23"/>
        <v/>
      </c>
      <c r="N222" s="11"/>
    </row>
    <row r="223" spans="1:14" ht="15" x14ac:dyDescent="0.25">
      <c r="A223" s="1" t="str">
        <f>IF('1.1 Produksi Bersih Padi 2025'!A223="","",'1.1 Produksi Bersih Padi 2025'!A223)</f>
        <v/>
      </c>
      <c r="B223" s="2" t="str">
        <f>IF('1.1 Produksi Bersih Padi 2025'!B223="","",'1.1 Produksi Bersih Padi 2025'!B223)</f>
        <v/>
      </c>
      <c r="C223" s="2" t="str">
        <f>IF('1.1 Produksi Bersih Padi 2025'!C223="","",'1.1 Produksi Bersih Padi 2025'!C223)</f>
        <v/>
      </c>
      <c r="D223" s="3" t="str">
        <f>IF('1.1 Produksi Bersih Padi 2025'!D223="","",'1.1 Produksi Bersih Padi 2025'!D223)</f>
        <v/>
      </c>
      <c r="E223" s="3" t="str">
        <f>IF('1.1 Produksi Bersih Padi 2025'!E223="","",'1.1 Produksi Bersih Padi 2025'!E223)</f>
        <v/>
      </c>
      <c r="F223" s="28" t="str">
        <f>IF(D223="","",VLOOKUP(D223,'[1]0.1 Produksi Pangan &amp; Penduduk'!$D$5:$S$860,16,0))</f>
        <v/>
      </c>
      <c r="G223" s="28" t="str">
        <f t="shared" si="18"/>
        <v/>
      </c>
      <c r="H223" s="29" t="str">
        <f t="shared" si="19"/>
        <v/>
      </c>
      <c r="I223" s="29" t="str">
        <f t="shared" si="20"/>
        <v/>
      </c>
      <c r="J223" s="29" t="str">
        <f t="shared" si="21"/>
        <v/>
      </c>
      <c r="K223" s="29" t="str">
        <f t="shared" si="22"/>
        <v/>
      </c>
      <c r="L223" s="29" t="str">
        <f t="shared" si="23"/>
        <v/>
      </c>
      <c r="N223" s="11"/>
    </row>
    <row r="224" spans="1:14" ht="15" x14ac:dyDescent="0.25">
      <c r="A224" s="1" t="str">
        <f>IF('1.1 Produksi Bersih Padi 2025'!A224="","",'1.1 Produksi Bersih Padi 2025'!A224)</f>
        <v/>
      </c>
      <c r="B224" s="2" t="str">
        <f>IF('1.1 Produksi Bersih Padi 2025'!B224="","",'1.1 Produksi Bersih Padi 2025'!B224)</f>
        <v/>
      </c>
      <c r="C224" s="2" t="str">
        <f>IF('1.1 Produksi Bersih Padi 2025'!C224="","",'1.1 Produksi Bersih Padi 2025'!C224)</f>
        <v/>
      </c>
      <c r="D224" s="3" t="str">
        <f>IF('1.1 Produksi Bersih Padi 2025'!D224="","",'1.1 Produksi Bersih Padi 2025'!D224)</f>
        <v/>
      </c>
      <c r="E224" s="3" t="str">
        <f>IF('1.1 Produksi Bersih Padi 2025'!E224="","",'1.1 Produksi Bersih Padi 2025'!E224)</f>
        <v/>
      </c>
      <c r="F224" s="28" t="str">
        <f>IF(D224="","",VLOOKUP(D224,'[1]0.1 Produksi Pangan &amp; Penduduk'!$D$5:$S$860,16,0))</f>
        <v/>
      </c>
      <c r="G224" s="28" t="str">
        <f t="shared" si="18"/>
        <v/>
      </c>
      <c r="H224" s="29" t="str">
        <f t="shared" si="19"/>
        <v/>
      </c>
      <c r="I224" s="29" t="str">
        <f t="shared" si="20"/>
        <v/>
      </c>
      <c r="J224" s="29" t="str">
        <f t="shared" si="21"/>
        <v/>
      </c>
      <c r="K224" s="29" t="str">
        <f t="shared" si="22"/>
        <v/>
      </c>
      <c r="L224" s="29" t="str">
        <f t="shared" si="23"/>
        <v/>
      </c>
      <c r="N224" s="11"/>
    </row>
    <row r="225" spans="1:14" ht="15" x14ac:dyDescent="0.25">
      <c r="A225" s="1" t="str">
        <f>IF('1.1 Produksi Bersih Padi 2025'!A225="","",'1.1 Produksi Bersih Padi 2025'!A225)</f>
        <v/>
      </c>
      <c r="B225" s="2" t="str">
        <f>IF('1.1 Produksi Bersih Padi 2025'!B225="","",'1.1 Produksi Bersih Padi 2025'!B225)</f>
        <v/>
      </c>
      <c r="C225" s="2" t="str">
        <f>IF('1.1 Produksi Bersih Padi 2025'!C225="","",'1.1 Produksi Bersih Padi 2025'!C225)</f>
        <v/>
      </c>
      <c r="D225" s="3" t="str">
        <f>IF('1.1 Produksi Bersih Padi 2025'!D225="","",'1.1 Produksi Bersih Padi 2025'!D225)</f>
        <v/>
      </c>
      <c r="E225" s="3" t="str">
        <f>IF('1.1 Produksi Bersih Padi 2025'!E225="","",'1.1 Produksi Bersih Padi 2025'!E225)</f>
        <v/>
      </c>
      <c r="F225" s="28" t="str">
        <f>IF(D225="","",VLOOKUP(D225,'[1]0.1 Produksi Pangan &amp; Penduduk'!$D$5:$S$860,16,0))</f>
        <v/>
      </c>
      <c r="G225" s="28" t="str">
        <f t="shared" si="18"/>
        <v/>
      </c>
      <c r="H225" s="29" t="str">
        <f t="shared" si="19"/>
        <v/>
      </c>
      <c r="I225" s="29" t="str">
        <f t="shared" si="20"/>
        <v/>
      </c>
      <c r="J225" s="29" t="str">
        <f t="shared" si="21"/>
        <v/>
      </c>
      <c r="K225" s="29" t="str">
        <f t="shared" si="22"/>
        <v/>
      </c>
      <c r="L225" s="29" t="str">
        <f t="shared" si="23"/>
        <v/>
      </c>
      <c r="N225" s="11"/>
    </row>
    <row r="226" spans="1:14" ht="15" x14ac:dyDescent="0.25">
      <c r="A226" s="1" t="str">
        <f>IF('1.1 Produksi Bersih Padi 2025'!A226="","",'1.1 Produksi Bersih Padi 2025'!A226)</f>
        <v/>
      </c>
      <c r="B226" s="2" t="str">
        <f>IF('1.1 Produksi Bersih Padi 2025'!B226="","",'1.1 Produksi Bersih Padi 2025'!B226)</f>
        <v/>
      </c>
      <c r="C226" s="2" t="str">
        <f>IF('1.1 Produksi Bersih Padi 2025'!C226="","",'1.1 Produksi Bersih Padi 2025'!C226)</f>
        <v/>
      </c>
      <c r="D226" s="3" t="str">
        <f>IF('1.1 Produksi Bersih Padi 2025'!D226="","",'1.1 Produksi Bersih Padi 2025'!D226)</f>
        <v/>
      </c>
      <c r="E226" s="3" t="str">
        <f>IF('1.1 Produksi Bersih Padi 2025'!E226="","",'1.1 Produksi Bersih Padi 2025'!E226)</f>
        <v/>
      </c>
      <c r="F226" s="28" t="str">
        <f>IF(D226="","",VLOOKUP(D226,'[1]0.1 Produksi Pangan &amp; Penduduk'!$D$5:$S$860,16,0))</f>
        <v/>
      </c>
      <c r="G226" s="28" t="str">
        <f t="shared" si="18"/>
        <v/>
      </c>
      <c r="H226" s="29" t="str">
        <f t="shared" si="19"/>
        <v/>
      </c>
      <c r="I226" s="29" t="str">
        <f t="shared" si="20"/>
        <v/>
      </c>
      <c r="J226" s="29" t="str">
        <f t="shared" si="21"/>
        <v/>
      </c>
      <c r="K226" s="29" t="str">
        <f t="shared" si="22"/>
        <v/>
      </c>
      <c r="L226" s="29" t="str">
        <f t="shared" si="23"/>
        <v/>
      </c>
      <c r="N226" s="11"/>
    </row>
    <row r="227" spans="1:14" ht="15" x14ac:dyDescent="0.25">
      <c r="A227" s="1" t="str">
        <f>IF('1.1 Produksi Bersih Padi 2025'!A227="","",'1.1 Produksi Bersih Padi 2025'!A227)</f>
        <v/>
      </c>
      <c r="B227" s="2" t="str">
        <f>IF('1.1 Produksi Bersih Padi 2025'!B227="","",'1.1 Produksi Bersih Padi 2025'!B227)</f>
        <v/>
      </c>
      <c r="C227" s="2" t="str">
        <f>IF('1.1 Produksi Bersih Padi 2025'!C227="","",'1.1 Produksi Bersih Padi 2025'!C227)</f>
        <v/>
      </c>
      <c r="D227" s="3" t="str">
        <f>IF('1.1 Produksi Bersih Padi 2025'!D227="","",'1.1 Produksi Bersih Padi 2025'!D227)</f>
        <v/>
      </c>
      <c r="E227" s="3" t="str">
        <f>IF('1.1 Produksi Bersih Padi 2025'!E227="","",'1.1 Produksi Bersih Padi 2025'!E227)</f>
        <v/>
      </c>
      <c r="F227" s="28" t="str">
        <f>IF(D227="","",VLOOKUP(D227,'[1]0.1 Produksi Pangan &amp; Penduduk'!$D$5:$S$860,16,0))</f>
        <v/>
      </c>
      <c r="G227" s="28" t="str">
        <f t="shared" si="18"/>
        <v/>
      </c>
      <c r="H227" s="29" t="str">
        <f t="shared" si="19"/>
        <v/>
      </c>
      <c r="I227" s="29" t="str">
        <f t="shared" si="20"/>
        <v/>
      </c>
      <c r="J227" s="29" t="str">
        <f t="shared" si="21"/>
        <v/>
      </c>
      <c r="K227" s="29" t="str">
        <f t="shared" si="22"/>
        <v/>
      </c>
      <c r="L227" s="29" t="str">
        <f t="shared" si="23"/>
        <v/>
      </c>
      <c r="N227" s="11"/>
    </row>
    <row r="228" spans="1:14" ht="15" x14ac:dyDescent="0.25">
      <c r="A228" s="1" t="str">
        <f>IF('1.1 Produksi Bersih Padi 2025'!A228="","",'1.1 Produksi Bersih Padi 2025'!A228)</f>
        <v/>
      </c>
      <c r="B228" s="2" t="str">
        <f>IF('1.1 Produksi Bersih Padi 2025'!B228="","",'1.1 Produksi Bersih Padi 2025'!B228)</f>
        <v/>
      </c>
      <c r="C228" s="2" t="str">
        <f>IF('1.1 Produksi Bersih Padi 2025'!C228="","",'1.1 Produksi Bersih Padi 2025'!C228)</f>
        <v/>
      </c>
      <c r="D228" s="3" t="str">
        <f>IF('1.1 Produksi Bersih Padi 2025'!D228="","",'1.1 Produksi Bersih Padi 2025'!D228)</f>
        <v/>
      </c>
      <c r="E228" s="3" t="str">
        <f>IF('1.1 Produksi Bersih Padi 2025'!E228="","",'1.1 Produksi Bersih Padi 2025'!E228)</f>
        <v/>
      </c>
      <c r="F228" s="28" t="str">
        <f>IF(D228="","",VLOOKUP(D228,'[1]0.1 Produksi Pangan &amp; Penduduk'!$D$5:$S$860,16,0))</f>
        <v/>
      </c>
      <c r="G228" s="28" t="str">
        <f t="shared" si="18"/>
        <v/>
      </c>
      <c r="H228" s="29" t="str">
        <f t="shared" si="19"/>
        <v/>
      </c>
      <c r="I228" s="29" t="str">
        <f t="shared" si="20"/>
        <v/>
      </c>
      <c r="J228" s="29" t="str">
        <f t="shared" si="21"/>
        <v/>
      </c>
      <c r="K228" s="29" t="str">
        <f t="shared" si="22"/>
        <v/>
      </c>
      <c r="L228" s="29" t="str">
        <f t="shared" si="23"/>
        <v/>
      </c>
      <c r="N228" s="11"/>
    </row>
    <row r="229" spans="1:14" ht="15" x14ac:dyDescent="0.25">
      <c r="A229" s="1" t="str">
        <f>IF('1.1 Produksi Bersih Padi 2025'!A229="","",'1.1 Produksi Bersih Padi 2025'!A229)</f>
        <v/>
      </c>
      <c r="B229" s="2" t="str">
        <f>IF('1.1 Produksi Bersih Padi 2025'!B229="","",'1.1 Produksi Bersih Padi 2025'!B229)</f>
        <v/>
      </c>
      <c r="C229" s="2" t="str">
        <f>IF('1.1 Produksi Bersih Padi 2025'!C229="","",'1.1 Produksi Bersih Padi 2025'!C229)</f>
        <v/>
      </c>
      <c r="D229" s="3" t="str">
        <f>IF('1.1 Produksi Bersih Padi 2025'!D229="","",'1.1 Produksi Bersih Padi 2025'!D229)</f>
        <v/>
      </c>
      <c r="E229" s="3" t="str">
        <f>IF('1.1 Produksi Bersih Padi 2025'!E229="","",'1.1 Produksi Bersih Padi 2025'!E229)</f>
        <v/>
      </c>
      <c r="F229" s="28" t="str">
        <f>IF(D229="","",VLOOKUP(D229,'[1]0.1 Produksi Pangan &amp; Penduduk'!$D$5:$S$860,16,0))</f>
        <v/>
      </c>
      <c r="G229" s="28" t="str">
        <f t="shared" si="18"/>
        <v/>
      </c>
      <c r="H229" s="29" t="str">
        <f t="shared" si="19"/>
        <v/>
      </c>
      <c r="I229" s="29" t="str">
        <f t="shared" si="20"/>
        <v/>
      </c>
      <c r="J229" s="29" t="str">
        <f t="shared" si="21"/>
        <v/>
      </c>
      <c r="K229" s="29" t="str">
        <f t="shared" si="22"/>
        <v/>
      </c>
      <c r="L229" s="29" t="str">
        <f t="shared" si="23"/>
        <v/>
      </c>
      <c r="N229" s="11"/>
    </row>
    <row r="230" spans="1:14" ht="15" x14ac:dyDescent="0.25">
      <c r="A230" s="1" t="str">
        <f>IF('1.1 Produksi Bersih Padi 2025'!A230="","",'1.1 Produksi Bersih Padi 2025'!A230)</f>
        <v/>
      </c>
      <c r="B230" s="2" t="str">
        <f>IF('1.1 Produksi Bersih Padi 2025'!B230="","",'1.1 Produksi Bersih Padi 2025'!B230)</f>
        <v/>
      </c>
      <c r="C230" s="2" t="str">
        <f>IF('1.1 Produksi Bersih Padi 2025'!C230="","",'1.1 Produksi Bersih Padi 2025'!C230)</f>
        <v/>
      </c>
      <c r="D230" s="3" t="str">
        <f>IF('1.1 Produksi Bersih Padi 2025'!D230="","",'1.1 Produksi Bersih Padi 2025'!D230)</f>
        <v/>
      </c>
      <c r="E230" s="3" t="str">
        <f>IF('1.1 Produksi Bersih Padi 2025'!E230="","",'1.1 Produksi Bersih Padi 2025'!E230)</f>
        <v/>
      </c>
      <c r="F230" s="28" t="str">
        <f>IF(D230="","",VLOOKUP(D230,'[1]0.1 Produksi Pangan &amp; Penduduk'!$D$5:$S$860,16,0))</f>
        <v/>
      </c>
      <c r="G230" s="28" t="str">
        <f t="shared" si="18"/>
        <v/>
      </c>
      <c r="H230" s="29" t="str">
        <f t="shared" si="19"/>
        <v/>
      </c>
      <c r="I230" s="29" t="str">
        <f t="shared" si="20"/>
        <v/>
      </c>
      <c r="J230" s="29" t="str">
        <f t="shared" si="21"/>
        <v/>
      </c>
      <c r="K230" s="29" t="str">
        <f t="shared" si="22"/>
        <v/>
      </c>
      <c r="L230" s="29" t="str">
        <f t="shared" si="23"/>
        <v/>
      </c>
      <c r="N230" s="11"/>
    </row>
    <row r="231" spans="1:14" ht="15" x14ac:dyDescent="0.25">
      <c r="A231" s="1" t="str">
        <f>IF('1.1 Produksi Bersih Padi 2025'!A231="","",'1.1 Produksi Bersih Padi 2025'!A231)</f>
        <v/>
      </c>
      <c r="B231" s="2" t="str">
        <f>IF('1.1 Produksi Bersih Padi 2025'!B231="","",'1.1 Produksi Bersih Padi 2025'!B231)</f>
        <v/>
      </c>
      <c r="C231" s="2" t="str">
        <f>IF('1.1 Produksi Bersih Padi 2025'!C231="","",'1.1 Produksi Bersih Padi 2025'!C231)</f>
        <v/>
      </c>
      <c r="D231" s="3" t="str">
        <f>IF('1.1 Produksi Bersih Padi 2025'!D231="","",'1.1 Produksi Bersih Padi 2025'!D231)</f>
        <v/>
      </c>
      <c r="E231" s="3" t="str">
        <f>IF('1.1 Produksi Bersih Padi 2025'!E231="","",'1.1 Produksi Bersih Padi 2025'!E231)</f>
        <v/>
      </c>
      <c r="F231" s="28" t="str">
        <f>IF(D231="","",VLOOKUP(D231,'[1]0.1 Produksi Pangan &amp; Penduduk'!$D$5:$S$860,16,0))</f>
        <v/>
      </c>
      <c r="G231" s="28" t="str">
        <f t="shared" si="18"/>
        <v/>
      </c>
      <c r="H231" s="29" t="str">
        <f t="shared" si="19"/>
        <v/>
      </c>
      <c r="I231" s="29" t="str">
        <f t="shared" si="20"/>
        <v/>
      </c>
      <c r="J231" s="29" t="str">
        <f t="shared" si="21"/>
        <v/>
      </c>
      <c r="K231" s="29" t="str">
        <f t="shared" si="22"/>
        <v/>
      </c>
      <c r="L231" s="29" t="str">
        <f t="shared" si="23"/>
        <v/>
      </c>
      <c r="N231" s="11"/>
    </row>
    <row r="232" spans="1:14" ht="15" x14ac:dyDescent="0.25">
      <c r="A232" s="1" t="str">
        <f>IF('1.1 Produksi Bersih Padi 2025'!A232="","",'1.1 Produksi Bersih Padi 2025'!A232)</f>
        <v/>
      </c>
      <c r="B232" s="2" t="str">
        <f>IF('1.1 Produksi Bersih Padi 2025'!B232="","",'1.1 Produksi Bersih Padi 2025'!B232)</f>
        <v/>
      </c>
      <c r="C232" s="2" t="str">
        <f>IF('1.1 Produksi Bersih Padi 2025'!C232="","",'1.1 Produksi Bersih Padi 2025'!C232)</f>
        <v/>
      </c>
      <c r="D232" s="3" t="str">
        <f>IF('1.1 Produksi Bersih Padi 2025'!D232="","",'1.1 Produksi Bersih Padi 2025'!D232)</f>
        <v/>
      </c>
      <c r="E232" s="3" t="str">
        <f>IF('1.1 Produksi Bersih Padi 2025'!E232="","",'1.1 Produksi Bersih Padi 2025'!E232)</f>
        <v/>
      </c>
      <c r="F232" s="28" t="str">
        <f>IF(D232="","",VLOOKUP(D232,'[1]0.1 Produksi Pangan &amp; Penduduk'!$D$5:$S$860,16,0))</f>
        <v/>
      </c>
      <c r="G232" s="28" t="str">
        <f t="shared" si="18"/>
        <v/>
      </c>
      <c r="H232" s="29" t="str">
        <f t="shared" si="19"/>
        <v/>
      </c>
      <c r="I232" s="29" t="str">
        <f t="shared" si="20"/>
        <v/>
      </c>
      <c r="J232" s="29" t="str">
        <f t="shared" si="21"/>
        <v/>
      </c>
      <c r="K232" s="29" t="str">
        <f t="shared" si="22"/>
        <v/>
      </c>
      <c r="L232" s="29" t="str">
        <f t="shared" si="23"/>
        <v/>
      </c>
      <c r="N232" s="11"/>
    </row>
    <row r="233" spans="1:14" ht="15" x14ac:dyDescent="0.25">
      <c r="A233" s="1" t="str">
        <f>IF('1.1 Produksi Bersih Padi 2025'!A233="","",'1.1 Produksi Bersih Padi 2025'!A233)</f>
        <v/>
      </c>
      <c r="B233" s="2" t="str">
        <f>IF('1.1 Produksi Bersih Padi 2025'!B233="","",'1.1 Produksi Bersih Padi 2025'!B233)</f>
        <v/>
      </c>
      <c r="C233" s="2" t="str">
        <f>IF('1.1 Produksi Bersih Padi 2025'!C233="","",'1.1 Produksi Bersih Padi 2025'!C233)</f>
        <v/>
      </c>
      <c r="D233" s="3" t="str">
        <f>IF('1.1 Produksi Bersih Padi 2025'!D233="","",'1.1 Produksi Bersih Padi 2025'!D233)</f>
        <v/>
      </c>
      <c r="E233" s="3" t="str">
        <f>IF('1.1 Produksi Bersih Padi 2025'!E233="","",'1.1 Produksi Bersih Padi 2025'!E233)</f>
        <v/>
      </c>
      <c r="F233" s="28" t="str">
        <f>IF(D233="","",VLOOKUP(D233,'[1]0.1 Produksi Pangan &amp; Penduduk'!$D$5:$S$860,16,0))</f>
        <v/>
      </c>
      <c r="G233" s="28" t="str">
        <f t="shared" si="18"/>
        <v/>
      </c>
      <c r="H233" s="29" t="str">
        <f t="shared" si="19"/>
        <v/>
      </c>
      <c r="I233" s="29" t="str">
        <f t="shared" si="20"/>
        <v/>
      </c>
      <c r="J233" s="29" t="str">
        <f t="shared" si="21"/>
        <v/>
      </c>
      <c r="K233" s="29" t="str">
        <f t="shared" si="22"/>
        <v/>
      </c>
      <c r="L233" s="29" t="str">
        <f t="shared" si="23"/>
        <v/>
      </c>
      <c r="N233" s="11"/>
    </row>
    <row r="234" spans="1:14" ht="15" x14ac:dyDescent="0.25">
      <c r="A234" s="1" t="str">
        <f>IF('1.1 Produksi Bersih Padi 2025'!A234="","",'1.1 Produksi Bersih Padi 2025'!A234)</f>
        <v/>
      </c>
      <c r="B234" s="2" t="str">
        <f>IF('1.1 Produksi Bersih Padi 2025'!B234="","",'1.1 Produksi Bersih Padi 2025'!B234)</f>
        <v/>
      </c>
      <c r="C234" s="2" t="str">
        <f>IF('1.1 Produksi Bersih Padi 2025'!C234="","",'1.1 Produksi Bersih Padi 2025'!C234)</f>
        <v/>
      </c>
      <c r="D234" s="3" t="str">
        <f>IF('1.1 Produksi Bersih Padi 2025'!D234="","",'1.1 Produksi Bersih Padi 2025'!D234)</f>
        <v/>
      </c>
      <c r="E234" s="3" t="str">
        <f>IF('1.1 Produksi Bersih Padi 2025'!E234="","",'1.1 Produksi Bersih Padi 2025'!E234)</f>
        <v/>
      </c>
      <c r="F234" s="28" t="str">
        <f>IF(D234="","",VLOOKUP(D234,'[1]0.1 Produksi Pangan &amp; Penduduk'!$D$5:$S$860,16,0))</f>
        <v/>
      </c>
      <c r="G234" s="28" t="str">
        <f t="shared" si="18"/>
        <v/>
      </c>
      <c r="H234" s="29" t="str">
        <f t="shared" si="19"/>
        <v/>
      </c>
      <c r="I234" s="29" t="str">
        <f t="shared" si="20"/>
        <v/>
      </c>
      <c r="J234" s="29" t="str">
        <f t="shared" si="21"/>
        <v/>
      </c>
      <c r="K234" s="29" t="str">
        <f t="shared" si="22"/>
        <v/>
      </c>
      <c r="L234" s="29" t="str">
        <f t="shared" si="23"/>
        <v/>
      </c>
      <c r="N234" s="11"/>
    </row>
    <row r="235" spans="1:14" ht="15" x14ac:dyDescent="0.25">
      <c r="A235" s="1" t="str">
        <f>IF('1.1 Produksi Bersih Padi 2025'!A235="","",'1.1 Produksi Bersih Padi 2025'!A235)</f>
        <v/>
      </c>
      <c r="B235" s="2" t="str">
        <f>IF('1.1 Produksi Bersih Padi 2025'!B235="","",'1.1 Produksi Bersih Padi 2025'!B235)</f>
        <v/>
      </c>
      <c r="C235" s="2" t="str">
        <f>IF('1.1 Produksi Bersih Padi 2025'!C235="","",'1.1 Produksi Bersih Padi 2025'!C235)</f>
        <v/>
      </c>
      <c r="D235" s="3" t="str">
        <f>IF('1.1 Produksi Bersih Padi 2025'!D235="","",'1.1 Produksi Bersih Padi 2025'!D235)</f>
        <v/>
      </c>
      <c r="E235" s="3" t="str">
        <f>IF('1.1 Produksi Bersih Padi 2025'!E235="","",'1.1 Produksi Bersih Padi 2025'!E235)</f>
        <v/>
      </c>
      <c r="F235" s="28" t="str">
        <f>IF(D235="","",VLOOKUP(D235,'[1]0.1 Produksi Pangan &amp; Penduduk'!$D$5:$S$860,16,0))</f>
        <v/>
      </c>
      <c r="G235" s="28" t="str">
        <f t="shared" si="18"/>
        <v/>
      </c>
      <c r="H235" s="29" t="str">
        <f t="shared" si="19"/>
        <v/>
      </c>
      <c r="I235" s="29" t="str">
        <f t="shared" si="20"/>
        <v/>
      </c>
      <c r="J235" s="29" t="str">
        <f t="shared" si="21"/>
        <v/>
      </c>
      <c r="K235" s="29" t="str">
        <f t="shared" si="22"/>
        <v/>
      </c>
      <c r="L235" s="29" t="str">
        <f t="shared" si="23"/>
        <v/>
      </c>
      <c r="N235" s="11"/>
    </row>
    <row r="236" spans="1:14" ht="15" x14ac:dyDescent="0.25">
      <c r="A236" s="1" t="str">
        <f>IF('1.1 Produksi Bersih Padi 2025'!A236="","",'1.1 Produksi Bersih Padi 2025'!A236)</f>
        <v/>
      </c>
      <c r="B236" s="2" t="str">
        <f>IF('1.1 Produksi Bersih Padi 2025'!B236="","",'1.1 Produksi Bersih Padi 2025'!B236)</f>
        <v/>
      </c>
      <c r="C236" s="2" t="str">
        <f>IF('1.1 Produksi Bersih Padi 2025'!C236="","",'1.1 Produksi Bersih Padi 2025'!C236)</f>
        <v/>
      </c>
      <c r="D236" s="3" t="str">
        <f>IF('1.1 Produksi Bersih Padi 2025'!D236="","",'1.1 Produksi Bersih Padi 2025'!D236)</f>
        <v/>
      </c>
      <c r="E236" s="3" t="str">
        <f>IF('1.1 Produksi Bersih Padi 2025'!E236="","",'1.1 Produksi Bersih Padi 2025'!E236)</f>
        <v/>
      </c>
      <c r="F236" s="28" t="str">
        <f>IF(D236="","",VLOOKUP(D236,'[1]0.1 Produksi Pangan &amp; Penduduk'!$D$5:$S$860,16,0))</f>
        <v/>
      </c>
      <c r="G236" s="28" t="str">
        <f t="shared" si="18"/>
        <v/>
      </c>
      <c r="H236" s="29" t="str">
        <f t="shared" si="19"/>
        <v/>
      </c>
      <c r="I236" s="29" t="str">
        <f t="shared" si="20"/>
        <v/>
      </c>
      <c r="J236" s="29" t="str">
        <f t="shared" si="21"/>
        <v/>
      </c>
      <c r="K236" s="29" t="str">
        <f t="shared" si="22"/>
        <v/>
      </c>
      <c r="L236" s="29" t="str">
        <f t="shared" si="23"/>
        <v/>
      </c>
      <c r="N236" s="11"/>
    </row>
    <row r="237" spans="1:14" ht="15" x14ac:dyDescent="0.25">
      <c r="A237" s="1" t="str">
        <f>IF('1.1 Produksi Bersih Padi 2025'!A237="","",'1.1 Produksi Bersih Padi 2025'!A237)</f>
        <v/>
      </c>
      <c r="B237" s="2" t="str">
        <f>IF('1.1 Produksi Bersih Padi 2025'!B237="","",'1.1 Produksi Bersih Padi 2025'!B237)</f>
        <v/>
      </c>
      <c r="C237" s="2" t="str">
        <f>IF('1.1 Produksi Bersih Padi 2025'!C237="","",'1.1 Produksi Bersih Padi 2025'!C237)</f>
        <v/>
      </c>
      <c r="D237" s="3" t="str">
        <f>IF('1.1 Produksi Bersih Padi 2025'!D237="","",'1.1 Produksi Bersih Padi 2025'!D237)</f>
        <v/>
      </c>
      <c r="E237" s="3" t="str">
        <f>IF('1.1 Produksi Bersih Padi 2025'!E237="","",'1.1 Produksi Bersih Padi 2025'!E237)</f>
        <v/>
      </c>
      <c r="F237" s="28" t="str">
        <f>IF(D237="","",VLOOKUP(D237,'[1]0.1 Produksi Pangan &amp; Penduduk'!$D$5:$S$860,16,0))</f>
        <v/>
      </c>
      <c r="G237" s="28" t="str">
        <f t="shared" si="18"/>
        <v/>
      </c>
      <c r="H237" s="29" t="str">
        <f t="shared" si="19"/>
        <v/>
      </c>
      <c r="I237" s="29" t="str">
        <f t="shared" si="20"/>
        <v/>
      </c>
      <c r="J237" s="29" t="str">
        <f t="shared" si="21"/>
        <v/>
      </c>
      <c r="K237" s="29" t="str">
        <f t="shared" si="22"/>
        <v/>
      </c>
      <c r="L237" s="29" t="str">
        <f t="shared" si="23"/>
        <v/>
      </c>
      <c r="N237" s="11"/>
    </row>
    <row r="238" spans="1:14" ht="15" x14ac:dyDescent="0.25">
      <c r="A238" s="1" t="str">
        <f>IF('1.1 Produksi Bersih Padi 2025'!A238="","",'1.1 Produksi Bersih Padi 2025'!A238)</f>
        <v/>
      </c>
      <c r="B238" s="2" t="str">
        <f>IF('1.1 Produksi Bersih Padi 2025'!B238="","",'1.1 Produksi Bersih Padi 2025'!B238)</f>
        <v/>
      </c>
      <c r="C238" s="2" t="str">
        <f>IF('1.1 Produksi Bersih Padi 2025'!C238="","",'1.1 Produksi Bersih Padi 2025'!C238)</f>
        <v/>
      </c>
      <c r="D238" s="3" t="str">
        <f>IF('1.1 Produksi Bersih Padi 2025'!D238="","",'1.1 Produksi Bersih Padi 2025'!D238)</f>
        <v/>
      </c>
      <c r="E238" s="3" t="str">
        <f>IF('1.1 Produksi Bersih Padi 2025'!E238="","",'1.1 Produksi Bersih Padi 2025'!E238)</f>
        <v/>
      </c>
      <c r="F238" s="28" t="str">
        <f>IF(D238="","",VLOOKUP(D238,'[1]0.1 Produksi Pangan &amp; Penduduk'!$D$5:$S$860,16,0))</f>
        <v/>
      </c>
      <c r="G238" s="28" t="str">
        <f t="shared" si="18"/>
        <v/>
      </c>
      <c r="H238" s="29" t="str">
        <f t="shared" si="19"/>
        <v/>
      </c>
      <c r="I238" s="29" t="str">
        <f t="shared" si="20"/>
        <v/>
      </c>
      <c r="J238" s="29" t="str">
        <f t="shared" si="21"/>
        <v/>
      </c>
      <c r="K238" s="29" t="str">
        <f t="shared" si="22"/>
        <v/>
      </c>
      <c r="L238" s="29" t="str">
        <f t="shared" si="23"/>
        <v/>
      </c>
      <c r="N238" s="11"/>
    </row>
    <row r="239" spans="1:14" ht="15" x14ac:dyDescent="0.25">
      <c r="A239" s="1" t="str">
        <f>IF('1.1 Produksi Bersih Padi 2025'!A239="","",'1.1 Produksi Bersih Padi 2025'!A239)</f>
        <v/>
      </c>
      <c r="B239" s="2" t="str">
        <f>IF('1.1 Produksi Bersih Padi 2025'!B239="","",'1.1 Produksi Bersih Padi 2025'!B239)</f>
        <v/>
      </c>
      <c r="C239" s="2" t="str">
        <f>IF('1.1 Produksi Bersih Padi 2025'!C239="","",'1.1 Produksi Bersih Padi 2025'!C239)</f>
        <v/>
      </c>
      <c r="D239" s="3" t="str">
        <f>IF('1.1 Produksi Bersih Padi 2025'!D239="","",'1.1 Produksi Bersih Padi 2025'!D239)</f>
        <v/>
      </c>
      <c r="E239" s="3" t="str">
        <f>IF('1.1 Produksi Bersih Padi 2025'!E239="","",'1.1 Produksi Bersih Padi 2025'!E239)</f>
        <v/>
      </c>
      <c r="F239" s="28" t="str">
        <f>IF(D239="","",VLOOKUP(D239,'[1]0.1 Produksi Pangan &amp; Penduduk'!$D$5:$S$860,16,0))</f>
        <v/>
      </c>
      <c r="G239" s="28" t="str">
        <f t="shared" si="18"/>
        <v/>
      </c>
      <c r="H239" s="29" t="str">
        <f t="shared" si="19"/>
        <v/>
      </c>
      <c r="I239" s="29" t="str">
        <f t="shared" si="20"/>
        <v/>
      </c>
      <c r="J239" s="29" t="str">
        <f t="shared" si="21"/>
        <v/>
      </c>
      <c r="K239" s="29" t="str">
        <f t="shared" si="22"/>
        <v/>
      </c>
      <c r="L239" s="29" t="str">
        <f t="shared" si="23"/>
        <v/>
      </c>
      <c r="N239" s="11"/>
    </row>
    <row r="240" spans="1:14" ht="15" x14ac:dyDescent="0.25">
      <c r="A240" s="1" t="str">
        <f>IF('1.1 Produksi Bersih Padi 2025'!A240="","",'1.1 Produksi Bersih Padi 2025'!A240)</f>
        <v/>
      </c>
      <c r="B240" s="2" t="str">
        <f>IF('1.1 Produksi Bersih Padi 2025'!B240="","",'1.1 Produksi Bersih Padi 2025'!B240)</f>
        <v/>
      </c>
      <c r="C240" s="2" t="str">
        <f>IF('1.1 Produksi Bersih Padi 2025'!C240="","",'1.1 Produksi Bersih Padi 2025'!C240)</f>
        <v/>
      </c>
      <c r="D240" s="3" t="str">
        <f>IF('1.1 Produksi Bersih Padi 2025'!D240="","",'1.1 Produksi Bersih Padi 2025'!D240)</f>
        <v/>
      </c>
      <c r="E240" s="3" t="str">
        <f>IF('1.1 Produksi Bersih Padi 2025'!E240="","",'1.1 Produksi Bersih Padi 2025'!E240)</f>
        <v/>
      </c>
      <c r="F240" s="28" t="str">
        <f>IF(D240="","",VLOOKUP(D240,'[1]0.1 Produksi Pangan &amp; Penduduk'!$D$5:$S$860,16,0))</f>
        <v/>
      </c>
      <c r="G240" s="28" t="str">
        <f t="shared" si="18"/>
        <v/>
      </c>
      <c r="H240" s="29" t="str">
        <f t="shared" si="19"/>
        <v/>
      </c>
      <c r="I240" s="29" t="str">
        <f t="shared" si="20"/>
        <v/>
      </c>
      <c r="J240" s="29" t="str">
        <f t="shared" si="21"/>
        <v/>
      </c>
      <c r="K240" s="29" t="str">
        <f t="shared" si="22"/>
        <v/>
      </c>
      <c r="L240" s="29" t="str">
        <f t="shared" si="23"/>
        <v/>
      </c>
      <c r="N240" s="11"/>
    </row>
    <row r="241" spans="1:14" ht="15" x14ac:dyDescent="0.25">
      <c r="A241" s="1" t="str">
        <f>IF('1.1 Produksi Bersih Padi 2025'!A241="","",'1.1 Produksi Bersih Padi 2025'!A241)</f>
        <v/>
      </c>
      <c r="B241" s="2" t="str">
        <f>IF('1.1 Produksi Bersih Padi 2025'!B241="","",'1.1 Produksi Bersih Padi 2025'!B241)</f>
        <v/>
      </c>
      <c r="C241" s="2" t="str">
        <f>IF('1.1 Produksi Bersih Padi 2025'!C241="","",'1.1 Produksi Bersih Padi 2025'!C241)</f>
        <v/>
      </c>
      <c r="D241" s="3" t="str">
        <f>IF('1.1 Produksi Bersih Padi 2025'!D241="","",'1.1 Produksi Bersih Padi 2025'!D241)</f>
        <v/>
      </c>
      <c r="E241" s="3" t="str">
        <f>IF('1.1 Produksi Bersih Padi 2025'!E241="","",'1.1 Produksi Bersih Padi 2025'!E241)</f>
        <v/>
      </c>
      <c r="F241" s="28" t="str">
        <f>IF(D241="","",VLOOKUP(D241,'[1]0.1 Produksi Pangan &amp; Penduduk'!$D$5:$S$860,16,0))</f>
        <v/>
      </c>
      <c r="G241" s="28" t="str">
        <f t="shared" si="18"/>
        <v/>
      </c>
      <c r="H241" s="29" t="str">
        <f t="shared" si="19"/>
        <v/>
      </c>
      <c r="I241" s="29" t="str">
        <f t="shared" si="20"/>
        <v/>
      </c>
      <c r="J241" s="29" t="str">
        <f t="shared" si="21"/>
        <v/>
      </c>
      <c r="K241" s="29" t="str">
        <f t="shared" si="22"/>
        <v/>
      </c>
      <c r="L241" s="29" t="str">
        <f t="shared" si="23"/>
        <v/>
      </c>
      <c r="N241" s="11"/>
    </row>
    <row r="242" spans="1:14" ht="15" x14ac:dyDescent="0.25">
      <c r="A242" s="1" t="str">
        <f>IF('1.1 Produksi Bersih Padi 2025'!A242="","",'1.1 Produksi Bersih Padi 2025'!A242)</f>
        <v/>
      </c>
      <c r="B242" s="2" t="str">
        <f>IF('1.1 Produksi Bersih Padi 2025'!B242="","",'1.1 Produksi Bersih Padi 2025'!B242)</f>
        <v/>
      </c>
      <c r="C242" s="2" t="str">
        <f>IF('1.1 Produksi Bersih Padi 2025'!C242="","",'1.1 Produksi Bersih Padi 2025'!C242)</f>
        <v/>
      </c>
      <c r="D242" s="3" t="str">
        <f>IF('1.1 Produksi Bersih Padi 2025'!D242="","",'1.1 Produksi Bersih Padi 2025'!D242)</f>
        <v/>
      </c>
      <c r="E242" s="3" t="str">
        <f>IF('1.1 Produksi Bersih Padi 2025'!E242="","",'1.1 Produksi Bersih Padi 2025'!E242)</f>
        <v/>
      </c>
      <c r="F242" s="28" t="str">
        <f>IF(D242="","",VLOOKUP(D242,'[1]0.1 Produksi Pangan &amp; Penduduk'!$D$5:$S$860,16,0))</f>
        <v/>
      </c>
      <c r="G242" s="28" t="str">
        <f t="shared" si="18"/>
        <v/>
      </c>
      <c r="H242" s="29" t="str">
        <f t="shared" si="19"/>
        <v/>
      </c>
      <c r="I242" s="29" t="str">
        <f t="shared" si="20"/>
        <v/>
      </c>
      <c r="J242" s="29" t="str">
        <f t="shared" si="21"/>
        <v/>
      </c>
      <c r="K242" s="29" t="str">
        <f t="shared" si="22"/>
        <v/>
      </c>
      <c r="L242" s="29" t="str">
        <f t="shared" si="23"/>
        <v/>
      </c>
      <c r="N242" s="11"/>
    </row>
    <row r="243" spans="1:14" ht="15" x14ac:dyDescent="0.25">
      <c r="A243" s="1" t="str">
        <f>IF('1.1 Produksi Bersih Padi 2025'!A243="","",'1.1 Produksi Bersih Padi 2025'!A243)</f>
        <v/>
      </c>
      <c r="B243" s="2" t="str">
        <f>IF('1.1 Produksi Bersih Padi 2025'!B243="","",'1.1 Produksi Bersih Padi 2025'!B243)</f>
        <v/>
      </c>
      <c r="C243" s="2" t="str">
        <f>IF('1.1 Produksi Bersih Padi 2025'!C243="","",'1.1 Produksi Bersih Padi 2025'!C243)</f>
        <v/>
      </c>
      <c r="D243" s="3" t="str">
        <f>IF('1.1 Produksi Bersih Padi 2025'!D243="","",'1.1 Produksi Bersih Padi 2025'!D243)</f>
        <v/>
      </c>
      <c r="E243" s="3" t="str">
        <f>IF('1.1 Produksi Bersih Padi 2025'!E243="","",'1.1 Produksi Bersih Padi 2025'!E243)</f>
        <v/>
      </c>
      <c r="F243" s="28" t="str">
        <f>IF(D243="","",VLOOKUP(D243,'[1]0.1 Produksi Pangan &amp; Penduduk'!$D$5:$S$860,16,0))</f>
        <v/>
      </c>
      <c r="G243" s="28" t="str">
        <f t="shared" si="18"/>
        <v/>
      </c>
      <c r="H243" s="29" t="str">
        <f t="shared" si="19"/>
        <v/>
      </c>
      <c r="I243" s="29" t="str">
        <f t="shared" si="20"/>
        <v/>
      </c>
      <c r="J243" s="29" t="str">
        <f t="shared" si="21"/>
        <v/>
      </c>
      <c r="K243" s="29" t="str">
        <f t="shared" si="22"/>
        <v/>
      </c>
      <c r="L243" s="29" t="str">
        <f t="shared" si="23"/>
        <v/>
      </c>
      <c r="N243" s="11"/>
    </row>
    <row r="244" spans="1:14" ht="15" x14ac:dyDescent="0.25">
      <c r="A244" s="1" t="str">
        <f>IF('1.1 Produksi Bersih Padi 2025'!A244="","",'1.1 Produksi Bersih Padi 2025'!A244)</f>
        <v/>
      </c>
      <c r="B244" s="2" t="str">
        <f>IF('1.1 Produksi Bersih Padi 2025'!B244="","",'1.1 Produksi Bersih Padi 2025'!B244)</f>
        <v/>
      </c>
      <c r="C244" s="2" t="str">
        <f>IF('1.1 Produksi Bersih Padi 2025'!C244="","",'1.1 Produksi Bersih Padi 2025'!C244)</f>
        <v/>
      </c>
      <c r="D244" s="3" t="str">
        <f>IF('1.1 Produksi Bersih Padi 2025'!D244="","",'1.1 Produksi Bersih Padi 2025'!D244)</f>
        <v/>
      </c>
      <c r="E244" s="3" t="str">
        <f>IF('1.1 Produksi Bersih Padi 2025'!E244="","",'1.1 Produksi Bersih Padi 2025'!E244)</f>
        <v/>
      </c>
      <c r="F244" s="28" t="str">
        <f>IF(D244="","",VLOOKUP(D244,'[1]0.1 Produksi Pangan &amp; Penduduk'!$D$5:$S$860,16,0))</f>
        <v/>
      </c>
      <c r="G244" s="28" t="str">
        <f t="shared" si="18"/>
        <v/>
      </c>
      <c r="H244" s="29" t="str">
        <f t="shared" si="19"/>
        <v/>
      </c>
      <c r="I244" s="29" t="str">
        <f t="shared" si="20"/>
        <v/>
      </c>
      <c r="J244" s="29" t="str">
        <f t="shared" si="21"/>
        <v/>
      </c>
      <c r="K244" s="29" t="str">
        <f t="shared" si="22"/>
        <v/>
      </c>
      <c r="L244" s="29" t="str">
        <f t="shared" si="23"/>
        <v/>
      </c>
      <c r="N244" s="11"/>
    </row>
    <row r="245" spans="1:14" ht="15" x14ac:dyDescent="0.25">
      <c r="A245" s="1" t="str">
        <f>IF('1.1 Produksi Bersih Padi 2025'!A245="","",'1.1 Produksi Bersih Padi 2025'!A245)</f>
        <v/>
      </c>
      <c r="B245" s="2" t="str">
        <f>IF('1.1 Produksi Bersih Padi 2025'!B245="","",'1.1 Produksi Bersih Padi 2025'!B245)</f>
        <v/>
      </c>
      <c r="C245" s="2" t="str">
        <f>IF('1.1 Produksi Bersih Padi 2025'!C245="","",'1.1 Produksi Bersih Padi 2025'!C245)</f>
        <v/>
      </c>
      <c r="D245" s="3" t="str">
        <f>IF('1.1 Produksi Bersih Padi 2025'!D245="","",'1.1 Produksi Bersih Padi 2025'!D245)</f>
        <v/>
      </c>
      <c r="E245" s="3" t="str">
        <f>IF('1.1 Produksi Bersih Padi 2025'!E245="","",'1.1 Produksi Bersih Padi 2025'!E245)</f>
        <v/>
      </c>
      <c r="F245" s="28" t="str">
        <f>IF(D245="","",VLOOKUP(D245,'[1]0.1 Produksi Pangan &amp; Penduduk'!$D$5:$S$860,16,0))</f>
        <v/>
      </c>
      <c r="G245" s="28" t="str">
        <f t="shared" si="18"/>
        <v/>
      </c>
      <c r="H245" s="29" t="str">
        <f t="shared" si="19"/>
        <v/>
      </c>
      <c r="I245" s="29" t="str">
        <f t="shared" si="20"/>
        <v/>
      </c>
      <c r="J245" s="29" t="str">
        <f t="shared" si="21"/>
        <v/>
      </c>
      <c r="K245" s="29" t="str">
        <f t="shared" si="22"/>
        <v/>
      </c>
      <c r="L245" s="29" t="str">
        <f t="shared" si="23"/>
        <v/>
      </c>
      <c r="N245" s="11"/>
    </row>
    <row r="246" spans="1:14" ht="15" x14ac:dyDescent="0.25">
      <c r="A246" s="1" t="str">
        <f>IF('1.1 Produksi Bersih Padi 2025'!A246="","",'1.1 Produksi Bersih Padi 2025'!A246)</f>
        <v/>
      </c>
      <c r="B246" s="2" t="str">
        <f>IF('1.1 Produksi Bersih Padi 2025'!B246="","",'1.1 Produksi Bersih Padi 2025'!B246)</f>
        <v/>
      </c>
      <c r="C246" s="2" t="str">
        <f>IF('1.1 Produksi Bersih Padi 2025'!C246="","",'1.1 Produksi Bersih Padi 2025'!C246)</f>
        <v/>
      </c>
      <c r="D246" s="3" t="str">
        <f>IF('1.1 Produksi Bersih Padi 2025'!D246="","",'1.1 Produksi Bersih Padi 2025'!D246)</f>
        <v/>
      </c>
      <c r="E246" s="3" t="str">
        <f>IF('1.1 Produksi Bersih Padi 2025'!E246="","",'1.1 Produksi Bersih Padi 2025'!E246)</f>
        <v/>
      </c>
      <c r="F246" s="28" t="str">
        <f>IF(D246="","",VLOOKUP(D246,'[1]0.1 Produksi Pangan &amp; Penduduk'!$D$5:$S$860,16,0))</f>
        <v/>
      </c>
      <c r="G246" s="28" t="str">
        <f t="shared" si="18"/>
        <v/>
      </c>
      <c r="H246" s="29" t="str">
        <f t="shared" si="19"/>
        <v/>
      </c>
      <c r="I246" s="29" t="str">
        <f t="shared" si="20"/>
        <v/>
      </c>
      <c r="J246" s="29" t="str">
        <f t="shared" si="21"/>
        <v/>
      </c>
      <c r="K246" s="29" t="str">
        <f t="shared" si="22"/>
        <v/>
      </c>
      <c r="L246" s="29" t="str">
        <f t="shared" si="23"/>
        <v/>
      </c>
      <c r="N246" s="11"/>
    </row>
    <row r="247" spans="1:14" ht="15" x14ac:dyDescent="0.25">
      <c r="A247" s="1" t="str">
        <f>IF('1.1 Produksi Bersih Padi 2025'!A247="","",'1.1 Produksi Bersih Padi 2025'!A247)</f>
        <v/>
      </c>
      <c r="B247" s="2" t="str">
        <f>IF('1.1 Produksi Bersih Padi 2025'!B247="","",'1.1 Produksi Bersih Padi 2025'!B247)</f>
        <v/>
      </c>
      <c r="C247" s="2" t="str">
        <f>IF('1.1 Produksi Bersih Padi 2025'!C247="","",'1.1 Produksi Bersih Padi 2025'!C247)</f>
        <v/>
      </c>
      <c r="D247" s="3" t="str">
        <f>IF('1.1 Produksi Bersih Padi 2025'!D247="","",'1.1 Produksi Bersih Padi 2025'!D247)</f>
        <v/>
      </c>
      <c r="E247" s="3" t="str">
        <f>IF('1.1 Produksi Bersih Padi 2025'!E247="","",'1.1 Produksi Bersih Padi 2025'!E247)</f>
        <v/>
      </c>
      <c r="F247" s="28" t="str">
        <f>IF(D247="","",VLOOKUP(D247,'[1]0.1 Produksi Pangan &amp; Penduduk'!$D$5:$S$860,16,0))</f>
        <v/>
      </c>
      <c r="G247" s="28" t="str">
        <f t="shared" si="18"/>
        <v/>
      </c>
      <c r="H247" s="29" t="str">
        <f t="shared" si="19"/>
        <v/>
      </c>
      <c r="I247" s="29" t="str">
        <f t="shared" si="20"/>
        <v/>
      </c>
      <c r="J247" s="29" t="str">
        <f t="shared" si="21"/>
        <v/>
      </c>
      <c r="K247" s="29" t="str">
        <f t="shared" si="22"/>
        <v/>
      </c>
      <c r="L247" s="29" t="str">
        <f t="shared" si="23"/>
        <v/>
      </c>
      <c r="N247" s="11"/>
    </row>
    <row r="248" spans="1:14" ht="15" x14ac:dyDescent="0.25">
      <c r="A248" s="1" t="str">
        <f>IF('1.1 Produksi Bersih Padi 2025'!A248="","",'1.1 Produksi Bersih Padi 2025'!A248)</f>
        <v/>
      </c>
      <c r="B248" s="2" t="str">
        <f>IF('1.1 Produksi Bersih Padi 2025'!B248="","",'1.1 Produksi Bersih Padi 2025'!B248)</f>
        <v/>
      </c>
      <c r="C248" s="2" t="str">
        <f>IF('1.1 Produksi Bersih Padi 2025'!C248="","",'1.1 Produksi Bersih Padi 2025'!C248)</f>
        <v/>
      </c>
      <c r="D248" s="3" t="str">
        <f>IF('1.1 Produksi Bersih Padi 2025'!D248="","",'1.1 Produksi Bersih Padi 2025'!D248)</f>
        <v/>
      </c>
      <c r="E248" s="3" t="str">
        <f>IF('1.1 Produksi Bersih Padi 2025'!E248="","",'1.1 Produksi Bersih Padi 2025'!E248)</f>
        <v/>
      </c>
      <c r="F248" s="28" t="str">
        <f>IF(D248="","",VLOOKUP(D248,'[1]0.1 Produksi Pangan &amp; Penduduk'!$D$5:$S$860,16,0))</f>
        <v/>
      </c>
      <c r="G248" s="28" t="str">
        <f t="shared" si="18"/>
        <v/>
      </c>
      <c r="H248" s="29" t="str">
        <f t="shared" si="19"/>
        <v/>
      </c>
      <c r="I248" s="29" t="str">
        <f t="shared" si="20"/>
        <v/>
      </c>
      <c r="J248" s="29" t="str">
        <f t="shared" si="21"/>
        <v/>
      </c>
      <c r="K248" s="29" t="str">
        <f t="shared" si="22"/>
        <v/>
      </c>
      <c r="L248" s="29" t="str">
        <f t="shared" si="23"/>
        <v/>
      </c>
      <c r="N248" s="11"/>
    </row>
    <row r="249" spans="1:14" ht="15" x14ac:dyDescent="0.25">
      <c r="A249" s="1" t="str">
        <f>IF('1.1 Produksi Bersih Padi 2025'!A249="","",'1.1 Produksi Bersih Padi 2025'!A249)</f>
        <v/>
      </c>
      <c r="B249" s="2" t="str">
        <f>IF('1.1 Produksi Bersih Padi 2025'!B249="","",'1.1 Produksi Bersih Padi 2025'!B249)</f>
        <v/>
      </c>
      <c r="C249" s="2" t="str">
        <f>IF('1.1 Produksi Bersih Padi 2025'!C249="","",'1.1 Produksi Bersih Padi 2025'!C249)</f>
        <v/>
      </c>
      <c r="D249" s="3" t="str">
        <f>IF('1.1 Produksi Bersih Padi 2025'!D249="","",'1.1 Produksi Bersih Padi 2025'!D249)</f>
        <v/>
      </c>
      <c r="E249" s="3" t="str">
        <f>IF('1.1 Produksi Bersih Padi 2025'!E249="","",'1.1 Produksi Bersih Padi 2025'!E249)</f>
        <v/>
      </c>
      <c r="F249" s="28" t="str">
        <f>IF(D249="","",VLOOKUP(D249,'[1]0.1 Produksi Pangan &amp; Penduduk'!$D$5:$S$860,16,0))</f>
        <v/>
      </c>
      <c r="G249" s="28" t="str">
        <f t="shared" si="18"/>
        <v/>
      </c>
      <c r="H249" s="29" t="str">
        <f t="shared" si="19"/>
        <v/>
      </c>
      <c r="I249" s="29" t="str">
        <f t="shared" si="20"/>
        <v/>
      </c>
      <c r="J249" s="29" t="str">
        <f t="shared" si="21"/>
        <v/>
      </c>
      <c r="K249" s="29" t="str">
        <f t="shared" si="22"/>
        <v/>
      </c>
      <c r="L249" s="29" t="str">
        <f t="shared" si="23"/>
        <v/>
      </c>
      <c r="N249" s="11"/>
    </row>
    <row r="250" spans="1:14" ht="15" x14ac:dyDescent="0.25">
      <c r="A250" s="1" t="str">
        <f>IF('1.1 Produksi Bersih Padi 2025'!A250="","",'1.1 Produksi Bersih Padi 2025'!A250)</f>
        <v/>
      </c>
      <c r="B250" s="2" t="str">
        <f>IF('1.1 Produksi Bersih Padi 2025'!B250="","",'1.1 Produksi Bersih Padi 2025'!B250)</f>
        <v/>
      </c>
      <c r="C250" s="2" t="str">
        <f>IF('1.1 Produksi Bersih Padi 2025'!C250="","",'1.1 Produksi Bersih Padi 2025'!C250)</f>
        <v/>
      </c>
      <c r="D250" s="3" t="str">
        <f>IF('1.1 Produksi Bersih Padi 2025'!D250="","",'1.1 Produksi Bersih Padi 2025'!D250)</f>
        <v/>
      </c>
      <c r="E250" s="3" t="str">
        <f>IF('1.1 Produksi Bersih Padi 2025'!E250="","",'1.1 Produksi Bersih Padi 2025'!E250)</f>
        <v/>
      </c>
      <c r="F250" s="28" t="str">
        <f>IF(D250="","",VLOOKUP(D250,'[1]0.1 Produksi Pangan &amp; Penduduk'!$D$5:$S$860,16,0))</f>
        <v/>
      </c>
      <c r="G250" s="28" t="str">
        <f t="shared" si="18"/>
        <v/>
      </c>
      <c r="H250" s="29" t="str">
        <f t="shared" si="19"/>
        <v/>
      </c>
      <c r="I250" s="29" t="str">
        <f t="shared" si="20"/>
        <v/>
      </c>
      <c r="J250" s="29" t="str">
        <f t="shared" si="21"/>
        <v/>
      </c>
      <c r="K250" s="29" t="str">
        <f t="shared" si="22"/>
        <v/>
      </c>
      <c r="L250" s="29" t="str">
        <f t="shared" si="23"/>
        <v/>
      </c>
      <c r="N250" s="11"/>
    </row>
    <row r="251" spans="1:14" ht="15" x14ac:dyDescent="0.25">
      <c r="A251" s="1" t="str">
        <f>IF('1.1 Produksi Bersih Padi 2025'!A251="","",'1.1 Produksi Bersih Padi 2025'!A251)</f>
        <v/>
      </c>
      <c r="B251" s="2" t="str">
        <f>IF('1.1 Produksi Bersih Padi 2025'!B251="","",'1.1 Produksi Bersih Padi 2025'!B251)</f>
        <v/>
      </c>
      <c r="C251" s="2" t="str">
        <f>IF('1.1 Produksi Bersih Padi 2025'!C251="","",'1.1 Produksi Bersih Padi 2025'!C251)</f>
        <v/>
      </c>
      <c r="D251" s="3" t="str">
        <f>IF('1.1 Produksi Bersih Padi 2025'!D251="","",'1.1 Produksi Bersih Padi 2025'!D251)</f>
        <v/>
      </c>
      <c r="E251" s="3" t="str">
        <f>IF('1.1 Produksi Bersih Padi 2025'!E251="","",'1.1 Produksi Bersih Padi 2025'!E251)</f>
        <v/>
      </c>
      <c r="F251" s="28" t="str">
        <f>IF(D251="","",VLOOKUP(D251,'[1]0.1 Produksi Pangan &amp; Penduduk'!$D$5:$S$860,16,0))</f>
        <v/>
      </c>
      <c r="G251" s="28" t="str">
        <f t="shared" si="18"/>
        <v/>
      </c>
      <c r="H251" s="29" t="str">
        <f t="shared" si="19"/>
        <v/>
      </c>
      <c r="I251" s="29" t="str">
        <f t="shared" si="20"/>
        <v/>
      </c>
      <c r="J251" s="29" t="str">
        <f t="shared" si="21"/>
        <v/>
      </c>
      <c r="K251" s="29" t="str">
        <f t="shared" si="22"/>
        <v/>
      </c>
      <c r="L251" s="29" t="str">
        <f t="shared" si="23"/>
        <v/>
      </c>
      <c r="N251" s="11"/>
    </row>
    <row r="252" spans="1:14" ht="15" x14ac:dyDescent="0.25">
      <c r="A252" s="1" t="str">
        <f>IF('1.1 Produksi Bersih Padi 2025'!A252="","",'1.1 Produksi Bersih Padi 2025'!A252)</f>
        <v/>
      </c>
      <c r="B252" s="2" t="str">
        <f>IF('1.1 Produksi Bersih Padi 2025'!B252="","",'1.1 Produksi Bersih Padi 2025'!B252)</f>
        <v/>
      </c>
      <c r="C252" s="2" t="str">
        <f>IF('1.1 Produksi Bersih Padi 2025'!C252="","",'1.1 Produksi Bersih Padi 2025'!C252)</f>
        <v/>
      </c>
      <c r="D252" s="3" t="str">
        <f>IF('1.1 Produksi Bersih Padi 2025'!D252="","",'1.1 Produksi Bersih Padi 2025'!D252)</f>
        <v/>
      </c>
      <c r="E252" s="3" t="str">
        <f>IF('1.1 Produksi Bersih Padi 2025'!E252="","",'1.1 Produksi Bersih Padi 2025'!E252)</f>
        <v/>
      </c>
      <c r="F252" s="28" t="str">
        <f>IF(D252="","",VLOOKUP(D252,'[1]0.1 Produksi Pangan &amp; Penduduk'!$D$5:$S$860,16,0))</f>
        <v/>
      </c>
      <c r="G252" s="28" t="str">
        <f t="shared" si="18"/>
        <v/>
      </c>
      <c r="H252" s="29" t="str">
        <f t="shared" si="19"/>
        <v/>
      </c>
      <c r="I252" s="29" t="str">
        <f t="shared" si="20"/>
        <v/>
      </c>
      <c r="J252" s="29" t="str">
        <f t="shared" si="21"/>
        <v/>
      </c>
      <c r="K252" s="29" t="str">
        <f t="shared" si="22"/>
        <v/>
      </c>
      <c r="L252" s="29" t="str">
        <f t="shared" si="23"/>
        <v/>
      </c>
      <c r="N252" s="11"/>
    </row>
    <row r="253" spans="1:14" ht="15" x14ac:dyDescent="0.25">
      <c r="A253" s="1" t="str">
        <f>IF('1.1 Produksi Bersih Padi 2025'!A253="","",'1.1 Produksi Bersih Padi 2025'!A253)</f>
        <v/>
      </c>
      <c r="B253" s="2" t="str">
        <f>IF('1.1 Produksi Bersih Padi 2025'!B253="","",'1.1 Produksi Bersih Padi 2025'!B253)</f>
        <v/>
      </c>
      <c r="C253" s="2" t="str">
        <f>IF('1.1 Produksi Bersih Padi 2025'!C253="","",'1.1 Produksi Bersih Padi 2025'!C253)</f>
        <v/>
      </c>
      <c r="D253" s="3" t="str">
        <f>IF('1.1 Produksi Bersih Padi 2025'!D253="","",'1.1 Produksi Bersih Padi 2025'!D253)</f>
        <v/>
      </c>
      <c r="E253" s="3" t="str">
        <f>IF('1.1 Produksi Bersih Padi 2025'!E253="","",'1.1 Produksi Bersih Padi 2025'!E253)</f>
        <v/>
      </c>
      <c r="F253" s="28" t="str">
        <f>IF(D253="","",VLOOKUP(D253,'[1]0.1 Produksi Pangan &amp; Penduduk'!$D$5:$S$860,16,0))</f>
        <v/>
      </c>
      <c r="G253" s="28" t="str">
        <f t="shared" si="18"/>
        <v/>
      </c>
      <c r="H253" s="29" t="str">
        <f t="shared" si="19"/>
        <v/>
      </c>
      <c r="I253" s="29" t="str">
        <f t="shared" si="20"/>
        <v/>
      </c>
      <c r="J253" s="29" t="str">
        <f t="shared" si="21"/>
        <v/>
      </c>
      <c r="K253" s="29" t="str">
        <f t="shared" si="22"/>
        <v/>
      </c>
      <c r="L253" s="29" t="str">
        <f t="shared" si="23"/>
        <v/>
      </c>
      <c r="N253" s="11"/>
    </row>
    <row r="254" spans="1:14" ht="15" x14ac:dyDescent="0.25">
      <c r="A254" s="1" t="str">
        <f>IF('1.1 Produksi Bersih Padi 2025'!A254="","",'1.1 Produksi Bersih Padi 2025'!A254)</f>
        <v/>
      </c>
      <c r="B254" s="2" t="str">
        <f>IF('1.1 Produksi Bersih Padi 2025'!B254="","",'1.1 Produksi Bersih Padi 2025'!B254)</f>
        <v/>
      </c>
      <c r="C254" s="2" t="str">
        <f>IF('1.1 Produksi Bersih Padi 2025'!C254="","",'1.1 Produksi Bersih Padi 2025'!C254)</f>
        <v/>
      </c>
      <c r="D254" s="3" t="str">
        <f>IF('1.1 Produksi Bersih Padi 2025'!D254="","",'1.1 Produksi Bersih Padi 2025'!D254)</f>
        <v/>
      </c>
      <c r="E254" s="3" t="str">
        <f>IF('1.1 Produksi Bersih Padi 2025'!E254="","",'1.1 Produksi Bersih Padi 2025'!E254)</f>
        <v/>
      </c>
      <c r="F254" s="28" t="str">
        <f>IF(D254="","",VLOOKUP(D254,'[1]0.1 Produksi Pangan &amp; Penduduk'!$D$5:$S$860,16,0))</f>
        <v/>
      </c>
      <c r="G254" s="28" t="str">
        <f t="shared" si="18"/>
        <v/>
      </c>
      <c r="H254" s="29" t="str">
        <f t="shared" si="19"/>
        <v/>
      </c>
      <c r="I254" s="29" t="str">
        <f t="shared" si="20"/>
        <v/>
      </c>
      <c r="J254" s="29" t="str">
        <f t="shared" si="21"/>
        <v/>
      </c>
      <c r="K254" s="29" t="str">
        <f t="shared" si="22"/>
        <v/>
      </c>
      <c r="L254" s="29" t="str">
        <f t="shared" si="23"/>
        <v/>
      </c>
      <c r="N254" s="11"/>
    </row>
    <row r="255" spans="1:14" ht="15" x14ac:dyDescent="0.25">
      <c r="A255" s="1" t="str">
        <f>IF('1.1 Produksi Bersih Padi 2025'!A255="","",'1.1 Produksi Bersih Padi 2025'!A255)</f>
        <v/>
      </c>
      <c r="B255" s="2" t="str">
        <f>IF('1.1 Produksi Bersih Padi 2025'!B255="","",'1.1 Produksi Bersih Padi 2025'!B255)</f>
        <v/>
      </c>
      <c r="C255" s="2" t="str">
        <f>IF('1.1 Produksi Bersih Padi 2025'!C255="","",'1.1 Produksi Bersih Padi 2025'!C255)</f>
        <v/>
      </c>
      <c r="D255" s="3" t="str">
        <f>IF('1.1 Produksi Bersih Padi 2025'!D255="","",'1.1 Produksi Bersih Padi 2025'!D255)</f>
        <v/>
      </c>
      <c r="E255" s="3" t="str">
        <f>IF('1.1 Produksi Bersih Padi 2025'!E255="","",'1.1 Produksi Bersih Padi 2025'!E255)</f>
        <v/>
      </c>
      <c r="F255" s="28" t="str">
        <f>IF(D255="","",VLOOKUP(D255,'[1]0.1 Produksi Pangan &amp; Penduduk'!$D$5:$S$860,16,0))</f>
        <v/>
      </c>
      <c r="G255" s="28" t="str">
        <f t="shared" si="18"/>
        <v/>
      </c>
      <c r="H255" s="29" t="str">
        <f t="shared" si="19"/>
        <v/>
      </c>
      <c r="I255" s="29" t="str">
        <f t="shared" si="20"/>
        <v/>
      </c>
      <c r="J255" s="29" t="str">
        <f t="shared" si="21"/>
        <v/>
      </c>
      <c r="K255" s="29" t="str">
        <f t="shared" si="22"/>
        <v/>
      </c>
      <c r="L255" s="29" t="str">
        <f t="shared" si="23"/>
        <v/>
      </c>
      <c r="N255" s="11"/>
    </row>
    <row r="256" spans="1:14" ht="15" x14ac:dyDescent="0.25">
      <c r="A256" s="1" t="str">
        <f>IF('1.1 Produksi Bersih Padi 2025'!A256="","",'1.1 Produksi Bersih Padi 2025'!A256)</f>
        <v/>
      </c>
      <c r="B256" s="2" t="str">
        <f>IF('1.1 Produksi Bersih Padi 2025'!B256="","",'1.1 Produksi Bersih Padi 2025'!B256)</f>
        <v/>
      </c>
      <c r="C256" s="2" t="str">
        <f>IF('1.1 Produksi Bersih Padi 2025'!C256="","",'1.1 Produksi Bersih Padi 2025'!C256)</f>
        <v/>
      </c>
      <c r="D256" s="3" t="str">
        <f>IF('1.1 Produksi Bersih Padi 2025'!D256="","",'1.1 Produksi Bersih Padi 2025'!D256)</f>
        <v/>
      </c>
      <c r="E256" s="3" t="str">
        <f>IF('1.1 Produksi Bersih Padi 2025'!E256="","",'1.1 Produksi Bersih Padi 2025'!E256)</f>
        <v/>
      </c>
      <c r="F256" s="28" t="str">
        <f>IF(D256="","",VLOOKUP(D256,'[1]0.1 Produksi Pangan &amp; Penduduk'!$D$5:$S$860,16,0))</f>
        <v/>
      </c>
      <c r="G256" s="28" t="str">
        <f t="shared" si="18"/>
        <v/>
      </c>
      <c r="H256" s="29" t="str">
        <f t="shared" si="19"/>
        <v/>
      </c>
      <c r="I256" s="29" t="str">
        <f t="shared" si="20"/>
        <v/>
      </c>
      <c r="J256" s="29" t="str">
        <f t="shared" si="21"/>
        <v/>
      </c>
      <c r="K256" s="29" t="str">
        <f t="shared" si="22"/>
        <v/>
      </c>
      <c r="L256" s="29" t="str">
        <f t="shared" si="23"/>
        <v/>
      </c>
      <c r="N256" s="11"/>
    </row>
    <row r="257" spans="1:14" ht="15" x14ac:dyDescent="0.25">
      <c r="A257" s="1" t="str">
        <f>IF('1.1 Produksi Bersih Padi 2025'!A257="","",'1.1 Produksi Bersih Padi 2025'!A257)</f>
        <v/>
      </c>
      <c r="B257" s="2" t="str">
        <f>IF('1.1 Produksi Bersih Padi 2025'!B257="","",'1.1 Produksi Bersih Padi 2025'!B257)</f>
        <v/>
      </c>
      <c r="C257" s="2" t="str">
        <f>IF('1.1 Produksi Bersih Padi 2025'!C257="","",'1.1 Produksi Bersih Padi 2025'!C257)</f>
        <v/>
      </c>
      <c r="D257" s="3" t="str">
        <f>IF('1.1 Produksi Bersih Padi 2025'!D257="","",'1.1 Produksi Bersih Padi 2025'!D257)</f>
        <v/>
      </c>
      <c r="E257" s="3" t="str">
        <f>IF('1.1 Produksi Bersih Padi 2025'!E257="","",'1.1 Produksi Bersih Padi 2025'!E257)</f>
        <v/>
      </c>
      <c r="F257" s="28" t="str">
        <f>IF(D257="","",VLOOKUP(D257,'[1]0.1 Produksi Pangan &amp; Penduduk'!$D$5:$S$860,16,0))</f>
        <v/>
      </c>
      <c r="G257" s="28" t="str">
        <f t="shared" si="18"/>
        <v/>
      </c>
      <c r="H257" s="29" t="str">
        <f t="shared" si="19"/>
        <v/>
      </c>
      <c r="I257" s="29" t="str">
        <f t="shared" si="20"/>
        <v/>
      </c>
      <c r="J257" s="29" t="str">
        <f t="shared" si="21"/>
        <v/>
      </c>
      <c r="K257" s="29" t="str">
        <f t="shared" si="22"/>
        <v/>
      </c>
      <c r="L257" s="29" t="str">
        <f t="shared" si="23"/>
        <v/>
      </c>
      <c r="N257" s="11"/>
    </row>
    <row r="258" spans="1:14" ht="15" x14ac:dyDescent="0.25">
      <c r="A258" s="1" t="str">
        <f>IF('1.1 Produksi Bersih Padi 2025'!A258="","",'1.1 Produksi Bersih Padi 2025'!A258)</f>
        <v/>
      </c>
      <c r="B258" s="2" t="str">
        <f>IF('1.1 Produksi Bersih Padi 2025'!B258="","",'1.1 Produksi Bersih Padi 2025'!B258)</f>
        <v/>
      </c>
      <c r="C258" s="2" t="str">
        <f>IF('1.1 Produksi Bersih Padi 2025'!C258="","",'1.1 Produksi Bersih Padi 2025'!C258)</f>
        <v/>
      </c>
      <c r="D258" s="3" t="str">
        <f>IF('1.1 Produksi Bersih Padi 2025'!D258="","",'1.1 Produksi Bersih Padi 2025'!D258)</f>
        <v/>
      </c>
      <c r="E258" s="3" t="str">
        <f>IF('1.1 Produksi Bersih Padi 2025'!E258="","",'1.1 Produksi Bersih Padi 2025'!E258)</f>
        <v/>
      </c>
      <c r="F258" s="28" t="str">
        <f>IF(D258="","",VLOOKUP(D258,'[1]0.1 Produksi Pangan &amp; Penduduk'!$D$5:$S$860,16,0))</f>
        <v/>
      </c>
      <c r="G258" s="28" t="str">
        <f t="shared" si="18"/>
        <v/>
      </c>
      <c r="H258" s="29" t="str">
        <f t="shared" si="19"/>
        <v/>
      </c>
      <c r="I258" s="29" t="str">
        <f t="shared" si="20"/>
        <v/>
      </c>
      <c r="J258" s="29" t="str">
        <f t="shared" si="21"/>
        <v/>
      </c>
      <c r="K258" s="29" t="str">
        <f t="shared" si="22"/>
        <v/>
      </c>
      <c r="L258" s="29" t="str">
        <f t="shared" si="23"/>
        <v/>
      </c>
      <c r="N258" s="11"/>
    </row>
    <row r="259" spans="1:14" ht="15" x14ac:dyDescent="0.25">
      <c r="A259" s="1" t="str">
        <f>IF('1.1 Produksi Bersih Padi 2025'!A259="","",'1.1 Produksi Bersih Padi 2025'!A259)</f>
        <v/>
      </c>
      <c r="B259" s="2" t="str">
        <f>IF('1.1 Produksi Bersih Padi 2025'!B259="","",'1.1 Produksi Bersih Padi 2025'!B259)</f>
        <v/>
      </c>
      <c r="C259" s="2" t="str">
        <f>IF('1.1 Produksi Bersih Padi 2025'!C259="","",'1.1 Produksi Bersih Padi 2025'!C259)</f>
        <v/>
      </c>
      <c r="D259" s="3" t="str">
        <f>IF('1.1 Produksi Bersih Padi 2025'!D259="","",'1.1 Produksi Bersih Padi 2025'!D259)</f>
        <v/>
      </c>
      <c r="E259" s="3" t="str">
        <f>IF('1.1 Produksi Bersih Padi 2025'!E259="","",'1.1 Produksi Bersih Padi 2025'!E259)</f>
        <v/>
      </c>
      <c r="F259" s="28" t="str">
        <f>IF(D259="","",VLOOKUP(D259,'[1]0.1 Produksi Pangan &amp; Penduduk'!$D$5:$S$860,16,0))</f>
        <v/>
      </c>
      <c r="G259" s="28" t="str">
        <f t="shared" si="18"/>
        <v/>
      </c>
      <c r="H259" s="29" t="str">
        <f t="shared" si="19"/>
        <v/>
      </c>
      <c r="I259" s="29" t="str">
        <f t="shared" si="20"/>
        <v/>
      </c>
      <c r="J259" s="29" t="str">
        <f t="shared" si="21"/>
        <v/>
      </c>
      <c r="K259" s="29" t="str">
        <f t="shared" si="22"/>
        <v/>
      </c>
      <c r="L259" s="29" t="str">
        <f t="shared" si="23"/>
        <v/>
      </c>
      <c r="N259" s="11"/>
    </row>
    <row r="260" spans="1:14" ht="15" x14ac:dyDescent="0.25">
      <c r="A260" s="1" t="str">
        <f>IF('1.1 Produksi Bersih Padi 2025'!A260="","",'1.1 Produksi Bersih Padi 2025'!A260)</f>
        <v/>
      </c>
      <c r="B260" s="2" t="str">
        <f>IF('1.1 Produksi Bersih Padi 2025'!B260="","",'1.1 Produksi Bersih Padi 2025'!B260)</f>
        <v/>
      </c>
      <c r="C260" s="2" t="str">
        <f>IF('1.1 Produksi Bersih Padi 2025'!C260="","",'1.1 Produksi Bersih Padi 2025'!C260)</f>
        <v/>
      </c>
      <c r="D260" s="3" t="str">
        <f>IF('1.1 Produksi Bersih Padi 2025'!D260="","",'1.1 Produksi Bersih Padi 2025'!D260)</f>
        <v/>
      </c>
      <c r="E260" s="3" t="str">
        <f>IF('1.1 Produksi Bersih Padi 2025'!E260="","",'1.1 Produksi Bersih Padi 2025'!E260)</f>
        <v/>
      </c>
      <c r="F260" s="28" t="str">
        <f>IF(D260="","",VLOOKUP(D260,'[1]0.1 Produksi Pangan &amp; Penduduk'!$D$5:$S$860,16,0))</f>
        <v/>
      </c>
      <c r="G260" s="28" t="str">
        <f t="shared" si="18"/>
        <v/>
      </c>
      <c r="H260" s="29" t="str">
        <f t="shared" si="19"/>
        <v/>
      </c>
      <c r="I260" s="29" t="str">
        <f t="shared" si="20"/>
        <v/>
      </c>
      <c r="J260" s="29" t="str">
        <f t="shared" si="21"/>
        <v/>
      </c>
      <c r="K260" s="29" t="str">
        <f t="shared" si="22"/>
        <v/>
      </c>
      <c r="L260" s="29" t="str">
        <f t="shared" si="23"/>
        <v/>
      </c>
      <c r="N260" s="11"/>
    </row>
    <row r="261" spans="1:14" ht="15" x14ac:dyDescent="0.25">
      <c r="A261" s="1" t="str">
        <f>IF('1.1 Produksi Bersih Padi 2025'!A261="","",'1.1 Produksi Bersih Padi 2025'!A261)</f>
        <v/>
      </c>
      <c r="B261" s="2" t="str">
        <f>IF('1.1 Produksi Bersih Padi 2025'!B261="","",'1.1 Produksi Bersih Padi 2025'!B261)</f>
        <v/>
      </c>
      <c r="C261" s="2" t="str">
        <f>IF('1.1 Produksi Bersih Padi 2025'!C261="","",'1.1 Produksi Bersih Padi 2025'!C261)</f>
        <v/>
      </c>
      <c r="D261" s="3" t="str">
        <f>IF('1.1 Produksi Bersih Padi 2025'!D261="","",'1.1 Produksi Bersih Padi 2025'!D261)</f>
        <v/>
      </c>
      <c r="E261" s="3" t="str">
        <f>IF('1.1 Produksi Bersih Padi 2025'!E261="","",'1.1 Produksi Bersih Padi 2025'!E261)</f>
        <v/>
      </c>
      <c r="F261" s="28" t="str">
        <f>IF(D261="","",VLOOKUP(D261,'[1]0.1 Produksi Pangan &amp; Penduduk'!$D$5:$S$860,16,0))</f>
        <v/>
      </c>
      <c r="G261" s="28" t="str">
        <f t="shared" si="18"/>
        <v/>
      </c>
      <c r="H261" s="29" t="str">
        <f t="shared" si="19"/>
        <v/>
      </c>
      <c r="I261" s="29" t="str">
        <f t="shared" si="20"/>
        <v/>
      </c>
      <c r="J261" s="29" t="str">
        <f t="shared" si="21"/>
        <v/>
      </c>
      <c r="K261" s="29" t="str">
        <f t="shared" si="22"/>
        <v/>
      </c>
      <c r="L261" s="29" t="str">
        <f t="shared" si="23"/>
        <v/>
      </c>
      <c r="N261" s="11"/>
    </row>
    <row r="262" spans="1:14" ht="15" x14ac:dyDescent="0.25">
      <c r="A262" s="1" t="str">
        <f>IF('1.1 Produksi Bersih Padi 2025'!A262="","",'1.1 Produksi Bersih Padi 2025'!A262)</f>
        <v/>
      </c>
      <c r="B262" s="2" t="str">
        <f>IF('1.1 Produksi Bersih Padi 2025'!B262="","",'1.1 Produksi Bersih Padi 2025'!B262)</f>
        <v/>
      </c>
      <c r="C262" s="2" t="str">
        <f>IF('1.1 Produksi Bersih Padi 2025'!C262="","",'1.1 Produksi Bersih Padi 2025'!C262)</f>
        <v/>
      </c>
      <c r="D262" s="3" t="str">
        <f>IF('1.1 Produksi Bersih Padi 2025'!D262="","",'1.1 Produksi Bersih Padi 2025'!D262)</f>
        <v/>
      </c>
      <c r="E262" s="3" t="str">
        <f>IF('1.1 Produksi Bersih Padi 2025'!E262="","",'1.1 Produksi Bersih Padi 2025'!E262)</f>
        <v/>
      </c>
      <c r="F262" s="28" t="str">
        <f>IF(D262="","",VLOOKUP(D262,'[1]0.1 Produksi Pangan &amp; Penduduk'!$D$5:$S$860,16,0))</f>
        <v/>
      </c>
      <c r="G262" s="28" t="str">
        <f t="shared" ref="G262:G325" si="24">IF(F262="","",F262*73.9252%)</f>
        <v/>
      </c>
      <c r="H262" s="29" t="str">
        <f t="shared" ref="H262:H325" si="25">IF(G262="","",G262*0.345%)</f>
        <v/>
      </c>
      <c r="I262" s="29" t="str">
        <f t="shared" ref="I262:I325" si="26">IF(G262="","",G262*78.806%)</f>
        <v/>
      </c>
      <c r="J262" s="29" t="str">
        <f t="shared" ref="J262:J325" si="27">IF(G262="","",G262*4.62%)</f>
        <v/>
      </c>
      <c r="K262" s="29" t="str">
        <f t="shared" ref="K262:K325" si="28">IF(G262="","",G262-(H262+I262+J262))</f>
        <v/>
      </c>
      <c r="L262" s="29" t="str">
        <f t="shared" ref="L262:L325" si="29">IF(K262="","",K262*1.017)</f>
        <v/>
      </c>
      <c r="N262" s="11"/>
    </row>
    <row r="263" spans="1:14" ht="15" x14ac:dyDescent="0.25">
      <c r="A263" s="1" t="str">
        <f>IF('1.1 Produksi Bersih Padi 2025'!A263="","",'1.1 Produksi Bersih Padi 2025'!A263)</f>
        <v/>
      </c>
      <c r="B263" s="2" t="str">
        <f>IF('1.1 Produksi Bersih Padi 2025'!B263="","",'1.1 Produksi Bersih Padi 2025'!B263)</f>
        <v/>
      </c>
      <c r="C263" s="2" t="str">
        <f>IF('1.1 Produksi Bersih Padi 2025'!C263="","",'1.1 Produksi Bersih Padi 2025'!C263)</f>
        <v/>
      </c>
      <c r="D263" s="3" t="str">
        <f>IF('1.1 Produksi Bersih Padi 2025'!D263="","",'1.1 Produksi Bersih Padi 2025'!D263)</f>
        <v/>
      </c>
      <c r="E263" s="3" t="str">
        <f>IF('1.1 Produksi Bersih Padi 2025'!E263="","",'1.1 Produksi Bersih Padi 2025'!E263)</f>
        <v/>
      </c>
      <c r="F263" s="28" t="str">
        <f>IF(D263="","",VLOOKUP(D263,'[1]0.1 Produksi Pangan &amp; Penduduk'!$D$5:$S$860,16,0))</f>
        <v/>
      </c>
      <c r="G263" s="28" t="str">
        <f t="shared" si="24"/>
        <v/>
      </c>
      <c r="H263" s="29" t="str">
        <f t="shared" si="25"/>
        <v/>
      </c>
      <c r="I263" s="29" t="str">
        <f t="shared" si="26"/>
        <v/>
      </c>
      <c r="J263" s="29" t="str">
        <f t="shared" si="27"/>
        <v/>
      </c>
      <c r="K263" s="29" t="str">
        <f t="shared" si="28"/>
        <v/>
      </c>
      <c r="L263" s="29" t="str">
        <f t="shared" si="29"/>
        <v/>
      </c>
      <c r="N263" s="11"/>
    </row>
    <row r="264" spans="1:14" ht="15" x14ac:dyDescent="0.25">
      <c r="A264" s="1" t="str">
        <f>IF('1.1 Produksi Bersih Padi 2025'!A264="","",'1.1 Produksi Bersih Padi 2025'!A264)</f>
        <v/>
      </c>
      <c r="B264" s="2" t="str">
        <f>IF('1.1 Produksi Bersih Padi 2025'!B264="","",'1.1 Produksi Bersih Padi 2025'!B264)</f>
        <v/>
      </c>
      <c r="C264" s="2" t="str">
        <f>IF('1.1 Produksi Bersih Padi 2025'!C264="","",'1.1 Produksi Bersih Padi 2025'!C264)</f>
        <v/>
      </c>
      <c r="D264" s="3" t="str">
        <f>IF('1.1 Produksi Bersih Padi 2025'!D264="","",'1.1 Produksi Bersih Padi 2025'!D264)</f>
        <v/>
      </c>
      <c r="E264" s="3" t="str">
        <f>IF('1.1 Produksi Bersih Padi 2025'!E264="","",'1.1 Produksi Bersih Padi 2025'!E264)</f>
        <v/>
      </c>
      <c r="F264" s="28" t="str">
        <f>IF(D264="","",VLOOKUP(D264,'[1]0.1 Produksi Pangan &amp; Penduduk'!$D$5:$S$860,16,0))</f>
        <v/>
      </c>
      <c r="G264" s="28" t="str">
        <f t="shared" si="24"/>
        <v/>
      </c>
      <c r="H264" s="29" t="str">
        <f t="shared" si="25"/>
        <v/>
      </c>
      <c r="I264" s="29" t="str">
        <f t="shared" si="26"/>
        <v/>
      </c>
      <c r="J264" s="29" t="str">
        <f t="shared" si="27"/>
        <v/>
      </c>
      <c r="K264" s="29" t="str">
        <f t="shared" si="28"/>
        <v/>
      </c>
      <c r="L264" s="29" t="str">
        <f t="shared" si="29"/>
        <v/>
      </c>
      <c r="N264" s="11"/>
    </row>
    <row r="265" spans="1:14" ht="15" x14ac:dyDescent="0.25">
      <c r="A265" s="1" t="str">
        <f>IF('1.1 Produksi Bersih Padi 2025'!A265="","",'1.1 Produksi Bersih Padi 2025'!A265)</f>
        <v/>
      </c>
      <c r="B265" s="2" t="str">
        <f>IF('1.1 Produksi Bersih Padi 2025'!B265="","",'1.1 Produksi Bersih Padi 2025'!B265)</f>
        <v/>
      </c>
      <c r="C265" s="2" t="str">
        <f>IF('1.1 Produksi Bersih Padi 2025'!C265="","",'1.1 Produksi Bersih Padi 2025'!C265)</f>
        <v/>
      </c>
      <c r="D265" s="3" t="str">
        <f>IF('1.1 Produksi Bersih Padi 2025'!D265="","",'1.1 Produksi Bersih Padi 2025'!D265)</f>
        <v/>
      </c>
      <c r="E265" s="3" t="str">
        <f>IF('1.1 Produksi Bersih Padi 2025'!E265="","",'1.1 Produksi Bersih Padi 2025'!E265)</f>
        <v/>
      </c>
      <c r="F265" s="28" t="str">
        <f>IF(D265="","",VLOOKUP(D265,'[1]0.1 Produksi Pangan &amp; Penduduk'!$D$5:$S$860,16,0))</f>
        <v/>
      </c>
      <c r="G265" s="28" t="str">
        <f t="shared" si="24"/>
        <v/>
      </c>
      <c r="H265" s="29" t="str">
        <f t="shared" si="25"/>
        <v/>
      </c>
      <c r="I265" s="29" t="str">
        <f t="shared" si="26"/>
        <v/>
      </c>
      <c r="J265" s="29" t="str">
        <f t="shared" si="27"/>
        <v/>
      </c>
      <c r="K265" s="29" t="str">
        <f t="shared" si="28"/>
        <v/>
      </c>
      <c r="L265" s="29" t="str">
        <f t="shared" si="29"/>
        <v/>
      </c>
      <c r="N265" s="11"/>
    </row>
    <row r="266" spans="1:14" ht="15" x14ac:dyDescent="0.25">
      <c r="A266" s="1" t="str">
        <f>IF('1.1 Produksi Bersih Padi 2025'!A266="","",'1.1 Produksi Bersih Padi 2025'!A266)</f>
        <v/>
      </c>
      <c r="B266" s="2" t="str">
        <f>IF('1.1 Produksi Bersih Padi 2025'!B266="","",'1.1 Produksi Bersih Padi 2025'!B266)</f>
        <v/>
      </c>
      <c r="C266" s="2" t="str">
        <f>IF('1.1 Produksi Bersih Padi 2025'!C266="","",'1.1 Produksi Bersih Padi 2025'!C266)</f>
        <v/>
      </c>
      <c r="D266" s="3" t="str">
        <f>IF('1.1 Produksi Bersih Padi 2025'!D266="","",'1.1 Produksi Bersih Padi 2025'!D266)</f>
        <v/>
      </c>
      <c r="E266" s="3" t="str">
        <f>IF('1.1 Produksi Bersih Padi 2025'!E266="","",'1.1 Produksi Bersih Padi 2025'!E266)</f>
        <v/>
      </c>
      <c r="F266" s="28" t="str">
        <f>IF(D266="","",VLOOKUP(D266,'[1]0.1 Produksi Pangan &amp; Penduduk'!$D$5:$S$860,16,0))</f>
        <v/>
      </c>
      <c r="G266" s="28" t="str">
        <f t="shared" si="24"/>
        <v/>
      </c>
      <c r="H266" s="29" t="str">
        <f t="shared" si="25"/>
        <v/>
      </c>
      <c r="I266" s="29" t="str">
        <f t="shared" si="26"/>
        <v/>
      </c>
      <c r="J266" s="29" t="str">
        <f t="shared" si="27"/>
        <v/>
      </c>
      <c r="K266" s="29" t="str">
        <f t="shared" si="28"/>
        <v/>
      </c>
      <c r="L266" s="29" t="str">
        <f t="shared" si="29"/>
        <v/>
      </c>
      <c r="N266" s="11"/>
    </row>
    <row r="267" spans="1:14" ht="15" x14ac:dyDescent="0.25">
      <c r="A267" s="1" t="str">
        <f>IF('1.1 Produksi Bersih Padi 2025'!A267="","",'1.1 Produksi Bersih Padi 2025'!A267)</f>
        <v/>
      </c>
      <c r="B267" s="2" t="str">
        <f>IF('1.1 Produksi Bersih Padi 2025'!B267="","",'1.1 Produksi Bersih Padi 2025'!B267)</f>
        <v/>
      </c>
      <c r="C267" s="2" t="str">
        <f>IF('1.1 Produksi Bersih Padi 2025'!C267="","",'1.1 Produksi Bersih Padi 2025'!C267)</f>
        <v/>
      </c>
      <c r="D267" s="3" t="str">
        <f>IF('1.1 Produksi Bersih Padi 2025'!D267="","",'1.1 Produksi Bersih Padi 2025'!D267)</f>
        <v/>
      </c>
      <c r="E267" s="3" t="str">
        <f>IF('1.1 Produksi Bersih Padi 2025'!E267="","",'1.1 Produksi Bersih Padi 2025'!E267)</f>
        <v/>
      </c>
      <c r="F267" s="28" t="str">
        <f>IF(D267="","",VLOOKUP(D267,'[1]0.1 Produksi Pangan &amp; Penduduk'!$D$5:$S$860,16,0))</f>
        <v/>
      </c>
      <c r="G267" s="28" t="str">
        <f t="shared" si="24"/>
        <v/>
      </c>
      <c r="H267" s="29" t="str">
        <f t="shared" si="25"/>
        <v/>
      </c>
      <c r="I267" s="29" t="str">
        <f t="shared" si="26"/>
        <v/>
      </c>
      <c r="J267" s="29" t="str">
        <f t="shared" si="27"/>
        <v/>
      </c>
      <c r="K267" s="29" t="str">
        <f t="shared" si="28"/>
        <v/>
      </c>
      <c r="L267" s="29" t="str">
        <f t="shared" si="29"/>
        <v/>
      </c>
      <c r="N267" s="11"/>
    </row>
    <row r="268" spans="1:14" ht="15" x14ac:dyDescent="0.25">
      <c r="A268" s="1" t="str">
        <f>IF('1.1 Produksi Bersih Padi 2025'!A268="","",'1.1 Produksi Bersih Padi 2025'!A268)</f>
        <v/>
      </c>
      <c r="B268" s="2" t="str">
        <f>IF('1.1 Produksi Bersih Padi 2025'!B268="","",'1.1 Produksi Bersih Padi 2025'!B268)</f>
        <v/>
      </c>
      <c r="C268" s="2" t="str">
        <f>IF('1.1 Produksi Bersih Padi 2025'!C268="","",'1.1 Produksi Bersih Padi 2025'!C268)</f>
        <v/>
      </c>
      <c r="D268" s="3" t="str">
        <f>IF('1.1 Produksi Bersih Padi 2025'!D268="","",'1.1 Produksi Bersih Padi 2025'!D268)</f>
        <v/>
      </c>
      <c r="E268" s="3" t="str">
        <f>IF('1.1 Produksi Bersih Padi 2025'!E268="","",'1.1 Produksi Bersih Padi 2025'!E268)</f>
        <v/>
      </c>
      <c r="F268" s="28" t="str">
        <f>IF(D268="","",VLOOKUP(D268,'[1]0.1 Produksi Pangan &amp; Penduduk'!$D$5:$S$860,16,0))</f>
        <v/>
      </c>
      <c r="G268" s="28" t="str">
        <f t="shared" si="24"/>
        <v/>
      </c>
      <c r="H268" s="29" t="str">
        <f t="shared" si="25"/>
        <v/>
      </c>
      <c r="I268" s="29" t="str">
        <f t="shared" si="26"/>
        <v/>
      </c>
      <c r="J268" s="29" t="str">
        <f t="shared" si="27"/>
        <v/>
      </c>
      <c r="K268" s="29" t="str">
        <f t="shared" si="28"/>
        <v/>
      </c>
      <c r="L268" s="29" t="str">
        <f t="shared" si="29"/>
        <v/>
      </c>
      <c r="N268" s="11"/>
    </row>
    <row r="269" spans="1:14" ht="15" x14ac:dyDescent="0.25">
      <c r="A269" s="1" t="str">
        <f>IF('1.1 Produksi Bersih Padi 2025'!A269="","",'1.1 Produksi Bersih Padi 2025'!A269)</f>
        <v/>
      </c>
      <c r="B269" s="2" t="str">
        <f>IF('1.1 Produksi Bersih Padi 2025'!B269="","",'1.1 Produksi Bersih Padi 2025'!B269)</f>
        <v/>
      </c>
      <c r="C269" s="2" t="str">
        <f>IF('1.1 Produksi Bersih Padi 2025'!C269="","",'1.1 Produksi Bersih Padi 2025'!C269)</f>
        <v/>
      </c>
      <c r="D269" s="3" t="str">
        <f>IF('1.1 Produksi Bersih Padi 2025'!D269="","",'1.1 Produksi Bersih Padi 2025'!D269)</f>
        <v/>
      </c>
      <c r="E269" s="3" t="str">
        <f>IF('1.1 Produksi Bersih Padi 2025'!E269="","",'1.1 Produksi Bersih Padi 2025'!E269)</f>
        <v/>
      </c>
      <c r="F269" s="28" t="str">
        <f>IF(D269="","",VLOOKUP(D269,'[1]0.1 Produksi Pangan &amp; Penduduk'!$D$5:$S$860,16,0))</f>
        <v/>
      </c>
      <c r="G269" s="28" t="str">
        <f t="shared" si="24"/>
        <v/>
      </c>
      <c r="H269" s="29" t="str">
        <f t="shared" si="25"/>
        <v/>
      </c>
      <c r="I269" s="29" t="str">
        <f t="shared" si="26"/>
        <v/>
      </c>
      <c r="J269" s="29" t="str">
        <f t="shared" si="27"/>
        <v/>
      </c>
      <c r="K269" s="29" t="str">
        <f t="shared" si="28"/>
        <v/>
      </c>
      <c r="L269" s="29" t="str">
        <f t="shared" si="29"/>
        <v/>
      </c>
      <c r="N269" s="11"/>
    </row>
    <row r="270" spans="1:14" ht="15" x14ac:dyDescent="0.25">
      <c r="A270" s="1" t="str">
        <f>IF('1.1 Produksi Bersih Padi 2025'!A270="","",'1.1 Produksi Bersih Padi 2025'!A270)</f>
        <v/>
      </c>
      <c r="B270" s="2" t="str">
        <f>IF('1.1 Produksi Bersih Padi 2025'!B270="","",'1.1 Produksi Bersih Padi 2025'!B270)</f>
        <v/>
      </c>
      <c r="C270" s="2" t="str">
        <f>IF('1.1 Produksi Bersih Padi 2025'!C270="","",'1.1 Produksi Bersih Padi 2025'!C270)</f>
        <v/>
      </c>
      <c r="D270" s="3" t="str">
        <f>IF('1.1 Produksi Bersih Padi 2025'!D270="","",'1.1 Produksi Bersih Padi 2025'!D270)</f>
        <v/>
      </c>
      <c r="E270" s="3" t="str">
        <f>IF('1.1 Produksi Bersih Padi 2025'!E270="","",'1.1 Produksi Bersih Padi 2025'!E270)</f>
        <v/>
      </c>
      <c r="F270" s="28" t="str">
        <f>IF(D270="","",VLOOKUP(D270,'[1]0.1 Produksi Pangan &amp; Penduduk'!$D$5:$S$860,16,0))</f>
        <v/>
      </c>
      <c r="G270" s="28" t="str">
        <f t="shared" si="24"/>
        <v/>
      </c>
      <c r="H270" s="29" t="str">
        <f t="shared" si="25"/>
        <v/>
      </c>
      <c r="I270" s="29" t="str">
        <f t="shared" si="26"/>
        <v/>
      </c>
      <c r="J270" s="29" t="str">
        <f t="shared" si="27"/>
        <v/>
      </c>
      <c r="K270" s="29" t="str">
        <f t="shared" si="28"/>
        <v/>
      </c>
      <c r="L270" s="29" t="str">
        <f t="shared" si="29"/>
        <v/>
      </c>
      <c r="N270" s="11"/>
    </row>
    <row r="271" spans="1:14" ht="15" x14ac:dyDescent="0.25">
      <c r="A271" s="1" t="str">
        <f>IF('1.1 Produksi Bersih Padi 2025'!A271="","",'1.1 Produksi Bersih Padi 2025'!A271)</f>
        <v/>
      </c>
      <c r="B271" s="2" t="str">
        <f>IF('1.1 Produksi Bersih Padi 2025'!B271="","",'1.1 Produksi Bersih Padi 2025'!B271)</f>
        <v/>
      </c>
      <c r="C271" s="2" t="str">
        <f>IF('1.1 Produksi Bersih Padi 2025'!C271="","",'1.1 Produksi Bersih Padi 2025'!C271)</f>
        <v/>
      </c>
      <c r="D271" s="3" t="str">
        <f>IF('1.1 Produksi Bersih Padi 2025'!D271="","",'1.1 Produksi Bersih Padi 2025'!D271)</f>
        <v/>
      </c>
      <c r="E271" s="3" t="str">
        <f>IF('1.1 Produksi Bersih Padi 2025'!E271="","",'1.1 Produksi Bersih Padi 2025'!E271)</f>
        <v/>
      </c>
      <c r="F271" s="28" t="str">
        <f>IF(D271="","",VLOOKUP(D271,'[1]0.1 Produksi Pangan &amp; Penduduk'!$D$5:$S$860,16,0))</f>
        <v/>
      </c>
      <c r="G271" s="28" t="str">
        <f t="shared" si="24"/>
        <v/>
      </c>
      <c r="H271" s="29" t="str">
        <f t="shared" si="25"/>
        <v/>
      </c>
      <c r="I271" s="29" t="str">
        <f t="shared" si="26"/>
        <v/>
      </c>
      <c r="J271" s="29" t="str">
        <f t="shared" si="27"/>
        <v/>
      </c>
      <c r="K271" s="29" t="str">
        <f t="shared" si="28"/>
        <v/>
      </c>
      <c r="L271" s="29" t="str">
        <f t="shared" si="29"/>
        <v/>
      </c>
      <c r="N271" s="11"/>
    </row>
    <row r="272" spans="1:14" ht="15" x14ac:dyDescent="0.25">
      <c r="A272" s="1" t="str">
        <f>IF('1.1 Produksi Bersih Padi 2025'!A272="","",'1.1 Produksi Bersih Padi 2025'!A272)</f>
        <v/>
      </c>
      <c r="B272" s="2" t="str">
        <f>IF('1.1 Produksi Bersih Padi 2025'!B272="","",'1.1 Produksi Bersih Padi 2025'!B272)</f>
        <v/>
      </c>
      <c r="C272" s="2" t="str">
        <f>IF('1.1 Produksi Bersih Padi 2025'!C272="","",'1.1 Produksi Bersih Padi 2025'!C272)</f>
        <v/>
      </c>
      <c r="D272" s="3" t="str">
        <f>IF('1.1 Produksi Bersih Padi 2025'!D272="","",'1.1 Produksi Bersih Padi 2025'!D272)</f>
        <v/>
      </c>
      <c r="E272" s="3" t="str">
        <f>IF('1.1 Produksi Bersih Padi 2025'!E272="","",'1.1 Produksi Bersih Padi 2025'!E272)</f>
        <v/>
      </c>
      <c r="F272" s="28" t="str">
        <f>IF(D272="","",VLOOKUP(D272,'[1]0.1 Produksi Pangan &amp; Penduduk'!$D$5:$S$860,16,0))</f>
        <v/>
      </c>
      <c r="G272" s="28" t="str">
        <f t="shared" si="24"/>
        <v/>
      </c>
      <c r="H272" s="29" t="str">
        <f t="shared" si="25"/>
        <v/>
      </c>
      <c r="I272" s="29" t="str">
        <f t="shared" si="26"/>
        <v/>
      </c>
      <c r="J272" s="29" t="str">
        <f t="shared" si="27"/>
        <v/>
      </c>
      <c r="K272" s="29" t="str">
        <f t="shared" si="28"/>
        <v/>
      </c>
      <c r="L272" s="29" t="str">
        <f t="shared" si="29"/>
        <v/>
      </c>
      <c r="N272" s="11"/>
    </row>
    <row r="273" spans="1:14" ht="15" x14ac:dyDescent="0.25">
      <c r="A273" s="1" t="str">
        <f>IF('1.1 Produksi Bersih Padi 2025'!A273="","",'1.1 Produksi Bersih Padi 2025'!A273)</f>
        <v/>
      </c>
      <c r="B273" s="2" t="str">
        <f>IF('1.1 Produksi Bersih Padi 2025'!B273="","",'1.1 Produksi Bersih Padi 2025'!B273)</f>
        <v/>
      </c>
      <c r="C273" s="2" t="str">
        <f>IF('1.1 Produksi Bersih Padi 2025'!C273="","",'1.1 Produksi Bersih Padi 2025'!C273)</f>
        <v/>
      </c>
      <c r="D273" s="3" t="str">
        <f>IF('1.1 Produksi Bersih Padi 2025'!D273="","",'1.1 Produksi Bersih Padi 2025'!D273)</f>
        <v/>
      </c>
      <c r="E273" s="3" t="str">
        <f>IF('1.1 Produksi Bersih Padi 2025'!E273="","",'1.1 Produksi Bersih Padi 2025'!E273)</f>
        <v/>
      </c>
      <c r="F273" s="28" t="str">
        <f>IF(D273="","",VLOOKUP(D273,'[1]0.1 Produksi Pangan &amp; Penduduk'!$D$5:$S$860,16,0))</f>
        <v/>
      </c>
      <c r="G273" s="28" t="str">
        <f t="shared" si="24"/>
        <v/>
      </c>
      <c r="H273" s="29" t="str">
        <f t="shared" si="25"/>
        <v/>
      </c>
      <c r="I273" s="29" t="str">
        <f t="shared" si="26"/>
        <v/>
      </c>
      <c r="J273" s="29" t="str">
        <f t="shared" si="27"/>
        <v/>
      </c>
      <c r="K273" s="29" t="str">
        <f t="shared" si="28"/>
        <v/>
      </c>
      <c r="L273" s="29" t="str">
        <f t="shared" si="29"/>
        <v/>
      </c>
      <c r="N273" s="11"/>
    </row>
    <row r="274" spans="1:14" ht="15" x14ac:dyDescent="0.25">
      <c r="A274" s="1" t="str">
        <f>IF('1.1 Produksi Bersih Padi 2025'!A274="","",'1.1 Produksi Bersih Padi 2025'!A274)</f>
        <v/>
      </c>
      <c r="B274" s="2" t="str">
        <f>IF('1.1 Produksi Bersih Padi 2025'!B274="","",'1.1 Produksi Bersih Padi 2025'!B274)</f>
        <v/>
      </c>
      <c r="C274" s="2" t="str">
        <f>IF('1.1 Produksi Bersih Padi 2025'!C274="","",'1.1 Produksi Bersih Padi 2025'!C274)</f>
        <v/>
      </c>
      <c r="D274" s="3" t="str">
        <f>IF('1.1 Produksi Bersih Padi 2025'!D274="","",'1.1 Produksi Bersih Padi 2025'!D274)</f>
        <v/>
      </c>
      <c r="E274" s="3" t="str">
        <f>IF('1.1 Produksi Bersih Padi 2025'!E274="","",'1.1 Produksi Bersih Padi 2025'!E274)</f>
        <v/>
      </c>
      <c r="F274" s="28" t="str">
        <f>IF(D274="","",VLOOKUP(D274,'[1]0.1 Produksi Pangan &amp; Penduduk'!$D$5:$S$860,16,0))</f>
        <v/>
      </c>
      <c r="G274" s="28" t="str">
        <f t="shared" si="24"/>
        <v/>
      </c>
      <c r="H274" s="29" t="str">
        <f t="shared" si="25"/>
        <v/>
      </c>
      <c r="I274" s="29" t="str">
        <f t="shared" si="26"/>
        <v/>
      </c>
      <c r="J274" s="29" t="str">
        <f t="shared" si="27"/>
        <v/>
      </c>
      <c r="K274" s="29" t="str">
        <f t="shared" si="28"/>
        <v/>
      </c>
      <c r="L274" s="29" t="str">
        <f t="shared" si="29"/>
        <v/>
      </c>
      <c r="N274" s="11"/>
    </row>
    <row r="275" spans="1:14" ht="15" x14ac:dyDescent="0.25">
      <c r="A275" s="1" t="str">
        <f>IF('1.1 Produksi Bersih Padi 2025'!A275="","",'1.1 Produksi Bersih Padi 2025'!A275)</f>
        <v/>
      </c>
      <c r="B275" s="2" t="str">
        <f>IF('1.1 Produksi Bersih Padi 2025'!B275="","",'1.1 Produksi Bersih Padi 2025'!B275)</f>
        <v/>
      </c>
      <c r="C275" s="2" t="str">
        <f>IF('1.1 Produksi Bersih Padi 2025'!C275="","",'1.1 Produksi Bersih Padi 2025'!C275)</f>
        <v/>
      </c>
      <c r="D275" s="3" t="str">
        <f>IF('1.1 Produksi Bersih Padi 2025'!D275="","",'1.1 Produksi Bersih Padi 2025'!D275)</f>
        <v/>
      </c>
      <c r="E275" s="3" t="str">
        <f>IF('1.1 Produksi Bersih Padi 2025'!E275="","",'1.1 Produksi Bersih Padi 2025'!E275)</f>
        <v/>
      </c>
      <c r="F275" s="28" t="str">
        <f>IF(D275="","",VLOOKUP(D275,'[1]0.1 Produksi Pangan &amp; Penduduk'!$D$5:$S$860,16,0))</f>
        <v/>
      </c>
      <c r="G275" s="28" t="str">
        <f t="shared" si="24"/>
        <v/>
      </c>
      <c r="H275" s="29" t="str">
        <f t="shared" si="25"/>
        <v/>
      </c>
      <c r="I275" s="29" t="str">
        <f t="shared" si="26"/>
        <v/>
      </c>
      <c r="J275" s="29" t="str">
        <f t="shared" si="27"/>
        <v/>
      </c>
      <c r="K275" s="29" t="str">
        <f t="shared" si="28"/>
        <v/>
      </c>
      <c r="L275" s="29" t="str">
        <f t="shared" si="29"/>
        <v/>
      </c>
      <c r="N275" s="11"/>
    </row>
    <row r="276" spans="1:14" ht="15" x14ac:dyDescent="0.25">
      <c r="A276" s="1" t="str">
        <f>IF('1.1 Produksi Bersih Padi 2025'!A276="","",'1.1 Produksi Bersih Padi 2025'!A276)</f>
        <v/>
      </c>
      <c r="B276" s="2" t="str">
        <f>IF('1.1 Produksi Bersih Padi 2025'!B276="","",'1.1 Produksi Bersih Padi 2025'!B276)</f>
        <v/>
      </c>
      <c r="C276" s="2" t="str">
        <f>IF('1.1 Produksi Bersih Padi 2025'!C276="","",'1.1 Produksi Bersih Padi 2025'!C276)</f>
        <v/>
      </c>
      <c r="D276" s="3" t="str">
        <f>IF('1.1 Produksi Bersih Padi 2025'!D276="","",'1.1 Produksi Bersih Padi 2025'!D276)</f>
        <v/>
      </c>
      <c r="E276" s="3" t="str">
        <f>IF('1.1 Produksi Bersih Padi 2025'!E276="","",'1.1 Produksi Bersih Padi 2025'!E276)</f>
        <v/>
      </c>
      <c r="F276" s="28" t="str">
        <f>IF(D276="","",VLOOKUP(D276,'[1]0.1 Produksi Pangan &amp; Penduduk'!$D$5:$S$860,16,0))</f>
        <v/>
      </c>
      <c r="G276" s="28" t="str">
        <f t="shared" si="24"/>
        <v/>
      </c>
      <c r="H276" s="29" t="str">
        <f t="shared" si="25"/>
        <v/>
      </c>
      <c r="I276" s="29" t="str">
        <f t="shared" si="26"/>
        <v/>
      </c>
      <c r="J276" s="29" t="str">
        <f t="shared" si="27"/>
        <v/>
      </c>
      <c r="K276" s="29" t="str">
        <f t="shared" si="28"/>
        <v/>
      </c>
      <c r="L276" s="29" t="str">
        <f t="shared" si="29"/>
        <v/>
      </c>
      <c r="N276" s="11"/>
    </row>
    <row r="277" spans="1:14" ht="15" x14ac:dyDescent="0.25">
      <c r="A277" s="1" t="str">
        <f>IF('1.1 Produksi Bersih Padi 2025'!A277="","",'1.1 Produksi Bersih Padi 2025'!A277)</f>
        <v/>
      </c>
      <c r="B277" s="2" t="str">
        <f>IF('1.1 Produksi Bersih Padi 2025'!B277="","",'1.1 Produksi Bersih Padi 2025'!B277)</f>
        <v/>
      </c>
      <c r="C277" s="2" t="str">
        <f>IF('1.1 Produksi Bersih Padi 2025'!C277="","",'1.1 Produksi Bersih Padi 2025'!C277)</f>
        <v/>
      </c>
      <c r="D277" s="3" t="str">
        <f>IF('1.1 Produksi Bersih Padi 2025'!D277="","",'1.1 Produksi Bersih Padi 2025'!D277)</f>
        <v/>
      </c>
      <c r="E277" s="3" t="str">
        <f>IF('1.1 Produksi Bersih Padi 2025'!E277="","",'1.1 Produksi Bersih Padi 2025'!E277)</f>
        <v/>
      </c>
      <c r="F277" s="28" t="str">
        <f>IF(D277="","",VLOOKUP(D277,'[1]0.1 Produksi Pangan &amp; Penduduk'!$D$5:$S$860,16,0))</f>
        <v/>
      </c>
      <c r="G277" s="28" t="str">
        <f t="shared" si="24"/>
        <v/>
      </c>
      <c r="H277" s="29" t="str">
        <f t="shared" si="25"/>
        <v/>
      </c>
      <c r="I277" s="29" t="str">
        <f t="shared" si="26"/>
        <v/>
      </c>
      <c r="J277" s="29" t="str">
        <f t="shared" si="27"/>
        <v/>
      </c>
      <c r="K277" s="29" t="str">
        <f t="shared" si="28"/>
        <v/>
      </c>
      <c r="L277" s="29" t="str">
        <f t="shared" si="29"/>
        <v/>
      </c>
      <c r="N277" s="11"/>
    </row>
    <row r="278" spans="1:14" ht="15" x14ac:dyDescent="0.25">
      <c r="A278" s="1" t="str">
        <f>IF('1.1 Produksi Bersih Padi 2025'!A278="","",'1.1 Produksi Bersih Padi 2025'!A278)</f>
        <v/>
      </c>
      <c r="B278" s="2" t="str">
        <f>IF('1.1 Produksi Bersih Padi 2025'!B278="","",'1.1 Produksi Bersih Padi 2025'!B278)</f>
        <v/>
      </c>
      <c r="C278" s="2" t="str">
        <f>IF('1.1 Produksi Bersih Padi 2025'!C278="","",'1.1 Produksi Bersih Padi 2025'!C278)</f>
        <v/>
      </c>
      <c r="D278" s="3" t="str">
        <f>IF('1.1 Produksi Bersih Padi 2025'!D278="","",'1.1 Produksi Bersih Padi 2025'!D278)</f>
        <v/>
      </c>
      <c r="E278" s="3" t="str">
        <f>IF('1.1 Produksi Bersih Padi 2025'!E278="","",'1.1 Produksi Bersih Padi 2025'!E278)</f>
        <v/>
      </c>
      <c r="F278" s="28" t="str">
        <f>IF(D278="","",VLOOKUP(D278,'[1]0.1 Produksi Pangan &amp; Penduduk'!$D$5:$S$860,16,0))</f>
        <v/>
      </c>
      <c r="G278" s="28" t="str">
        <f t="shared" si="24"/>
        <v/>
      </c>
      <c r="H278" s="29" t="str">
        <f t="shared" si="25"/>
        <v/>
      </c>
      <c r="I278" s="29" t="str">
        <f t="shared" si="26"/>
        <v/>
      </c>
      <c r="J278" s="29" t="str">
        <f t="shared" si="27"/>
        <v/>
      </c>
      <c r="K278" s="29" t="str">
        <f t="shared" si="28"/>
        <v/>
      </c>
      <c r="L278" s="29" t="str">
        <f t="shared" si="29"/>
        <v/>
      </c>
      <c r="N278" s="11"/>
    </row>
    <row r="279" spans="1:14" ht="15" x14ac:dyDescent="0.25">
      <c r="A279" s="1" t="str">
        <f>IF('1.1 Produksi Bersih Padi 2025'!A279="","",'1.1 Produksi Bersih Padi 2025'!A279)</f>
        <v/>
      </c>
      <c r="B279" s="2" t="str">
        <f>IF('1.1 Produksi Bersih Padi 2025'!B279="","",'1.1 Produksi Bersih Padi 2025'!B279)</f>
        <v/>
      </c>
      <c r="C279" s="2" t="str">
        <f>IF('1.1 Produksi Bersih Padi 2025'!C279="","",'1.1 Produksi Bersih Padi 2025'!C279)</f>
        <v/>
      </c>
      <c r="D279" s="3" t="str">
        <f>IF('1.1 Produksi Bersih Padi 2025'!D279="","",'1.1 Produksi Bersih Padi 2025'!D279)</f>
        <v/>
      </c>
      <c r="E279" s="3" t="str">
        <f>IF('1.1 Produksi Bersih Padi 2025'!E279="","",'1.1 Produksi Bersih Padi 2025'!E279)</f>
        <v/>
      </c>
      <c r="F279" s="28" t="str">
        <f>IF(D279="","",VLOOKUP(D279,'[1]0.1 Produksi Pangan &amp; Penduduk'!$D$5:$S$860,16,0))</f>
        <v/>
      </c>
      <c r="G279" s="28" t="str">
        <f t="shared" si="24"/>
        <v/>
      </c>
      <c r="H279" s="29" t="str">
        <f t="shared" si="25"/>
        <v/>
      </c>
      <c r="I279" s="29" t="str">
        <f t="shared" si="26"/>
        <v/>
      </c>
      <c r="J279" s="29" t="str">
        <f t="shared" si="27"/>
        <v/>
      </c>
      <c r="K279" s="29" t="str">
        <f t="shared" si="28"/>
        <v/>
      </c>
      <c r="L279" s="29" t="str">
        <f t="shared" si="29"/>
        <v/>
      </c>
      <c r="N279" s="11"/>
    </row>
    <row r="280" spans="1:14" ht="15" x14ac:dyDescent="0.25">
      <c r="A280" s="1" t="str">
        <f>IF('1.1 Produksi Bersih Padi 2025'!A280="","",'1.1 Produksi Bersih Padi 2025'!A280)</f>
        <v/>
      </c>
      <c r="B280" s="2" t="str">
        <f>IF('1.1 Produksi Bersih Padi 2025'!B280="","",'1.1 Produksi Bersih Padi 2025'!B280)</f>
        <v/>
      </c>
      <c r="C280" s="2" t="str">
        <f>IF('1.1 Produksi Bersih Padi 2025'!C280="","",'1.1 Produksi Bersih Padi 2025'!C280)</f>
        <v/>
      </c>
      <c r="D280" s="3" t="str">
        <f>IF('1.1 Produksi Bersih Padi 2025'!D280="","",'1.1 Produksi Bersih Padi 2025'!D280)</f>
        <v/>
      </c>
      <c r="E280" s="3" t="str">
        <f>IF('1.1 Produksi Bersih Padi 2025'!E280="","",'1.1 Produksi Bersih Padi 2025'!E280)</f>
        <v/>
      </c>
      <c r="F280" s="28" t="str">
        <f>IF(D280="","",VLOOKUP(D280,'[1]0.1 Produksi Pangan &amp; Penduduk'!$D$5:$S$860,16,0))</f>
        <v/>
      </c>
      <c r="G280" s="28" t="str">
        <f t="shared" si="24"/>
        <v/>
      </c>
      <c r="H280" s="29" t="str">
        <f t="shared" si="25"/>
        <v/>
      </c>
      <c r="I280" s="29" t="str">
        <f t="shared" si="26"/>
        <v/>
      </c>
      <c r="J280" s="29" t="str">
        <f t="shared" si="27"/>
        <v/>
      </c>
      <c r="K280" s="29" t="str">
        <f t="shared" si="28"/>
        <v/>
      </c>
      <c r="L280" s="29" t="str">
        <f t="shared" si="29"/>
        <v/>
      </c>
      <c r="N280" s="11"/>
    </row>
    <row r="281" spans="1:14" ht="15" x14ac:dyDescent="0.25">
      <c r="A281" s="1" t="str">
        <f>IF('1.1 Produksi Bersih Padi 2025'!A281="","",'1.1 Produksi Bersih Padi 2025'!A281)</f>
        <v/>
      </c>
      <c r="B281" s="2" t="str">
        <f>IF('1.1 Produksi Bersih Padi 2025'!B281="","",'1.1 Produksi Bersih Padi 2025'!B281)</f>
        <v/>
      </c>
      <c r="C281" s="2" t="str">
        <f>IF('1.1 Produksi Bersih Padi 2025'!C281="","",'1.1 Produksi Bersih Padi 2025'!C281)</f>
        <v/>
      </c>
      <c r="D281" s="3" t="str">
        <f>IF('1.1 Produksi Bersih Padi 2025'!D281="","",'1.1 Produksi Bersih Padi 2025'!D281)</f>
        <v/>
      </c>
      <c r="E281" s="3" t="str">
        <f>IF('1.1 Produksi Bersih Padi 2025'!E281="","",'1.1 Produksi Bersih Padi 2025'!E281)</f>
        <v/>
      </c>
      <c r="F281" s="28" t="str">
        <f>IF(D281="","",VLOOKUP(D281,'[1]0.1 Produksi Pangan &amp; Penduduk'!$D$5:$S$860,16,0))</f>
        <v/>
      </c>
      <c r="G281" s="28" t="str">
        <f t="shared" si="24"/>
        <v/>
      </c>
      <c r="H281" s="29" t="str">
        <f t="shared" si="25"/>
        <v/>
      </c>
      <c r="I281" s="29" t="str">
        <f t="shared" si="26"/>
        <v/>
      </c>
      <c r="J281" s="29" t="str">
        <f t="shared" si="27"/>
        <v/>
      </c>
      <c r="K281" s="29" t="str">
        <f t="shared" si="28"/>
        <v/>
      </c>
      <c r="L281" s="29" t="str">
        <f t="shared" si="29"/>
        <v/>
      </c>
      <c r="N281" s="11"/>
    </row>
    <row r="282" spans="1:14" ht="15" x14ac:dyDescent="0.25">
      <c r="A282" s="1" t="str">
        <f>IF('1.1 Produksi Bersih Padi 2025'!A282="","",'1.1 Produksi Bersih Padi 2025'!A282)</f>
        <v/>
      </c>
      <c r="B282" s="2" t="str">
        <f>IF('1.1 Produksi Bersih Padi 2025'!B282="","",'1.1 Produksi Bersih Padi 2025'!B282)</f>
        <v/>
      </c>
      <c r="C282" s="2" t="str">
        <f>IF('1.1 Produksi Bersih Padi 2025'!C282="","",'1.1 Produksi Bersih Padi 2025'!C282)</f>
        <v/>
      </c>
      <c r="D282" s="3" t="str">
        <f>IF('1.1 Produksi Bersih Padi 2025'!D282="","",'1.1 Produksi Bersih Padi 2025'!D282)</f>
        <v/>
      </c>
      <c r="E282" s="3" t="str">
        <f>IF('1.1 Produksi Bersih Padi 2025'!E282="","",'1.1 Produksi Bersih Padi 2025'!E282)</f>
        <v/>
      </c>
      <c r="F282" s="28" t="str">
        <f>IF(D282="","",VLOOKUP(D282,'[1]0.1 Produksi Pangan &amp; Penduduk'!$D$5:$S$860,16,0))</f>
        <v/>
      </c>
      <c r="G282" s="28" t="str">
        <f t="shared" si="24"/>
        <v/>
      </c>
      <c r="H282" s="29" t="str">
        <f t="shared" si="25"/>
        <v/>
      </c>
      <c r="I282" s="29" t="str">
        <f t="shared" si="26"/>
        <v/>
      </c>
      <c r="J282" s="29" t="str">
        <f t="shared" si="27"/>
        <v/>
      </c>
      <c r="K282" s="29" t="str">
        <f t="shared" si="28"/>
        <v/>
      </c>
      <c r="L282" s="29" t="str">
        <f t="shared" si="29"/>
        <v/>
      </c>
      <c r="N282" s="11"/>
    </row>
    <row r="283" spans="1:14" ht="15" x14ac:dyDescent="0.25">
      <c r="A283" s="1" t="str">
        <f>IF('1.1 Produksi Bersih Padi 2025'!A283="","",'1.1 Produksi Bersih Padi 2025'!A283)</f>
        <v/>
      </c>
      <c r="B283" s="2" t="str">
        <f>IF('1.1 Produksi Bersih Padi 2025'!B283="","",'1.1 Produksi Bersih Padi 2025'!B283)</f>
        <v/>
      </c>
      <c r="C283" s="2" t="str">
        <f>IF('1.1 Produksi Bersih Padi 2025'!C283="","",'1.1 Produksi Bersih Padi 2025'!C283)</f>
        <v/>
      </c>
      <c r="D283" s="3" t="str">
        <f>IF('1.1 Produksi Bersih Padi 2025'!D283="","",'1.1 Produksi Bersih Padi 2025'!D283)</f>
        <v/>
      </c>
      <c r="E283" s="3" t="str">
        <f>IF('1.1 Produksi Bersih Padi 2025'!E283="","",'1.1 Produksi Bersih Padi 2025'!E283)</f>
        <v/>
      </c>
      <c r="F283" s="28" t="str">
        <f>IF(D283="","",VLOOKUP(D283,'[1]0.1 Produksi Pangan &amp; Penduduk'!$D$5:$S$860,16,0))</f>
        <v/>
      </c>
      <c r="G283" s="28" t="str">
        <f t="shared" si="24"/>
        <v/>
      </c>
      <c r="H283" s="29" t="str">
        <f t="shared" si="25"/>
        <v/>
      </c>
      <c r="I283" s="29" t="str">
        <f t="shared" si="26"/>
        <v/>
      </c>
      <c r="J283" s="29" t="str">
        <f t="shared" si="27"/>
        <v/>
      </c>
      <c r="K283" s="29" t="str">
        <f t="shared" si="28"/>
        <v/>
      </c>
      <c r="L283" s="29" t="str">
        <f t="shared" si="29"/>
        <v/>
      </c>
      <c r="N283" s="11"/>
    </row>
    <row r="284" spans="1:14" ht="15" x14ac:dyDescent="0.25">
      <c r="A284" s="1" t="str">
        <f>IF('1.1 Produksi Bersih Padi 2025'!A284="","",'1.1 Produksi Bersih Padi 2025'!A284)</f>
        <v/>
      </c>
      <c r="B284" s="2" t="str">
        <f>IF('1.1 Produksi Bersih Padi 2025'!B284="","",'1.1 Produksi Bersih Padi 2025'!B284)</f>
        <v/>
      </c>
      <c r="C284" s="2" t="str">
        <f>IF('1.1 Produksi Bersih Padi 2025'!C284="","",'1.1 Produksi Bersih Padi 2025'!C284)</f>
        <v/>
      </c>
      <c r="D284" s="3" t="str">
        <f>IF('1.1 Produksi Bersih Padi 2025'!D284="","",'1.1 Produksi Bersih Padi 2025'!D284)</f>
        <v/>
      </c>
      <c r="E284" s="3" t="str">
        <f>IF('1.1 Produksi Bersih Padi 2025'!E284="","",'1.1 Produksi Bersih Padi 2025'!E284)</f>
        <v/>
      </c>
      <c r="F284" s="28" t="str">
        <f>IF(D284="","",VLOOKUP(D284,'[1]0.1 Produksi Pangan &amp; Penduduk'!$D$5:$S$860,16,0))</f>
        <v/>
      </c>
      <c r="G284" s="28" t="str">
        <f t="shared" si="24"/>
        <v/>
      </c>
      <c r="H284" s="29" t="str">
        <f t="shared" si="25"/>
        <v/>
      </c>
      <c r="I284" s="29" t="str">
        <f t="shared" si="26"/>
        <v/>
      </c>
      <c r="J284" s="29" t="str">
        <f t="shared" si="27"/>
        <v/>
      </c>
      <c r="K284" s="29" t="str">
        <f t="shared" si="28"/>
        <v/>
      </c>
      <c r="L284" s="29" t="str">
        <f t="shared" si="29"/>
        <v/>
      </c>
      <c r="N284" s="11"/>
    </row>
    <row r="285" spans="1:14" ht="15" x14ac:dyDescent="0.25">
      <c r="A285" s="1" t="str">
        <f>IF('1.1 Produksi Bersih Padi 2025'!A285="","",'1.1 Produksi Bersih Padi 2025'!A285)</f>
        <v/>
      </c>
      <c r="B285" s="2" t="str">
        <f>IF('1.1 Produksi Bersih Padi 2025'!B285="","",'1.1 Produksi Bersih Padi 2025'!B285)</f>
        <v/>
      </c>
      <c r="C285" s="2" t="str">
        <f>IF('1.1 Produksi Bersih Padi 2025'!C285="","",'1.1 Produksi Bersih Padi 2025'!C285)</f>
        <v/>
      </c>
      <c r="D285" s="3" t="str">
        <f>IF('1.1 Produksi Bersih Padi 2025'!D285="","",'1.1 Produksi Bersih Padi 2025'!D285)</f>
        <v/>
      </c>
      <c r="E285" s="3" t="str">
        <f>IF('1.1 Produksi Bersih Padi 2025'!E285="","",'1.1 Produksi Bersih Padi 2025'!E285)</f>
        <v/>
      </c>
      <c r="F285" s="28" t="str">
        <f>IF(D285="","",VLOOKUP(D285,'[1]0.1 Produksi Pangan &amp; Penduduk'!$D$5:$S$860,16,0))</f>
        <v/>
      </c>
      <c r="G285" s="28" t="str">
        <f t="shared" si="24"/>
        <v/>
      </c>
      <c r="H285" s="29" t="str">
        <f t="shared" si="25"/>
        <v/>
      </c>
      <c r="I285" s="29" t="str">
        <f t="shared" si="26"/>
        <v/>
      </c>
      <c r="J285" s="29" t="str">
        <f t="shared" si="27"/>
        <v/>
      </c>
      <c r="K285" s="29" t="str">
        <f t="shared" si="28"/>
        <v/>
      </c>
      <c r="L285" s="29" t="str">
        <f t="shared" si="29"/>
        <v/>
      </c>
      <c r="N285" s="11"/>
    </row>
    <row r="286" spans="1:14" ht="15" x14ac:dyDescent="0.25">
      <c r="A286" s="1" t="str">
        <f>IF('1.1 Produksi Bersih Padi 2025'!A286="","",'1.1 Produksi Bersih Padi 2025'!A286)</f>
        <v/>
      </c>
      <c r="B286" s="2" t="str">
        <f>IF('1.1 Produksi Bersih Padi 2025'!B286="","",'1.1 Produksi Bersih Padi 2025'!B286)</f>
        <v/>
      </c>
      <c r="C286" s="2" t="str">
        <f>IF('1.1 Produksi Bersih Padi 2025'!C286="","",'1.1 Produksi Bersih Padi 2025'!C286)</f>
        <v/>
      </c>
      <c r="D286" s="3" t="str">
        <f>IF('1.1 Produksi Bersih Padi 2025'!D286="","",'1.1 Produksi Bersih Padi 2025'!D286)</f>
        <v/>
      </c>
      <c r="E286" s="3" t="str">
        <f>IF('1.1 Produksi Bersih Padi 2025'!E286="","",'1.1 Produksi Bersih Padi 2025'!E286)</f>
        <v/>
      </c>
      <c r="F286" s="28" t="str">
        <f>IF(D286="","",VLOOKUP(D286,'[1]0.1 Produksi Pangan &amp; Penduduk'!$D$5:$S$860,16,0))</f>
        <v/>
      </c>
      <c r="G286" s="28" t="str">
        <f t="shared" si="24"/>
        <v/>
      </c>
      <c r="H286" s="29" t="str">
        <f t="shared" si="25"/>
        <v/>
      </c>
      <c r="I286" s="29" t="str">
        <f t="shared" si="26"/>
        <v/>
      </c>
      <c r="J286" s="29" t="str">
        <f t="shared" si="27"/>
        <v/>
      </c>
      <c r="K286" s="29" t="str">
        <f t="shared" si="28"/>
        <v/>
      </c>
      <c r="L286" s="29" t="str">
        <f t="shared" si="29"/>
        <v/>
      </c>
      <c r="N286" s="11"/>
    </row>
    <row r="287" spans="1:14" ht="15" x14ac:dyDescent="0.25">
      <c r="A287" s="1" t="str">
        <f>IF('1.1 Produksi Bersih Padi 2025'!A287="","",'1.1 Produksi Bersih Padi 2025'!A287)</f>
        <v/>
      </c>
      <c r="B287" s="2" t="str">
        <f>IF('1.1 Produksi Bersih Padi 2025'!B287="","",'1.1 Produksi Bersih Padi 2025'!B287)</f>
        <v/>
      </c>
      <c r="C287" s="2" t="str">
        <f>IF('1.1 Produksi Bersih Padi 2025'!C287="","",'1.1 Produksi Bersih Padi 2025'!C287)</f>
        <v/>
      </c>
      <c r="D287" s="3" t="str">
        <f>IF('1.1 Produksi Bersih Padi 2025'!D287="","",'1.1 Produksi Bersih Padi 2025'!D287)</f>
        <v/>
      </c>
      <c r="E287" s="3" t="str">
        <f>IF('1.1 Produksi Bersih Padi 2025'!E287="","",'1.1 Produksi Bersih Padi 2025'!E287)</f>
        <v/>
      </c>
      <c r="F287" s="28" t="str">
        <f>IF(D287="","",VLOOKUP(D287,'[1]0.1 Produksi Pangan &amp; Penduduk'!$D$5:$S$860,16,0))</f>
        <v/>
      </c>
      <c r="G287" s="28" t="str">
        <f t="shared" si="24"/>
        <v/>
      </c>
      <c r="H287" s="29" t="str">
        <f t="shared" si="25"/>
        <v/>
      </c>
      <c r="I287" s="29" t="str">
        <f t="shared" si="26"/>
        <v/>
      </c>
      <c r="J287" s="29" t="str">
        <f t="shared" si="27"/>
        <v/>
      </c>
      <c r="K287" s="29" t="str">
        <f t="shared" si="28"/>
        <v/>
      </c>
      <c r="L287" s="29" t="str">
        <f t="shared" si="29"/>
        <v/>
      </c>
      <c r="N287" s="11"/>
    </row>
    <row r="288" spans="1:14" ht="15" x14ac:dyDescent="0.25">
      <c r="A288" s="1" t="str">
        <f>IF('1.1 Produksi Bersih Padi 2025'!A288="","",'1.1 Produksi Bersih Padi 2025'!A288)</f>
        <v/>
      </c>
      <c r="B288" s="2" t="str">
        <f>IF('1.1 Produksi Bersih Padi 2025'!B288="","",'1.1 Produksi Bersih Padi 2025'!B288)</f>
        <v/>
      </c>
      <c r="C288" s="2" t="str">
        <f>IF('1.1 Produksi Bersih Padi 2025'!C288="","",'1.1 Produksi Bersih Padi 2025'!C288)</f>
        <v/>
      </c>
      <c r="D288" s="3" t="str">
        <f>IF('1.1 Produksi Bersih Padi 2025'!D288="","",'1.1 Produksi Bersih Padi 2025'!D288)</f>
        <v/>
      </c>
      <c r="E288" s="3" t="str">
        <f>IF('1.1 Produksi Bersih Padi 2025'!E288="","",'1.1 Produksi Bersih Padi 2025'!E288)</f>
        <v/>
      </c>
      <c r="F288" s="28" t="str">
        <f>IF(D288="","",VLOOKUP(D288,'[1]0.1 Produksi Pangan &amp; Penduduk'!$D$5:$S$860,16,0))</f>
        <v/>
      </c>
      <c r="G288" s="28" t="str">
        <f t="shared" si="24"/>
        <v/>
      </c>
      <c r="H288" s="29" t="str">
        <f t="shared" si="25"/>
        <v/>
      </c>
      <c r="I288" s="29" t="str">
        <f t="shared" si="26"/>
        <v/>
      </c>
      <c r="J288" s="29" t="str">
        <f t="shared" si="27"/>
        <v/>
      </c>
      <c r="K288" s="29" t="str">
        <f t="shared" si="28"/>
        <v/>
      </c>
      <c r="L288" s="29" t="str">
        <f t="shared" si="29"/>
        <v/>
      </c>
      <c r="N288" s="11"/>
    </row>
    <row r="289" spans="1:14" ht="15" x14ac:dyDescent="0.25">
      <c r="A289" s="1" t="str">
        <f>IF('1.1 Produksi Bersih Padi 2025'!A289="","",'1.1 Produksi Bersih Padi 2025'!A289)</f>
        <v/>
      </c>
      <c r="B289" s="2" t="str">
        <f>IF('1.1 Produksi Bersih Padi 2025'!B289="","",'1.1 Produksi Bersih Padi 2025'!B289)</f>
        <v/>
      </c>
      <c r="C289" s="2" t="str">
        <f>IF('1.1 Produksi Bersih Padi 2025'!C289="","",'1.1 Produksi Bersih Padi 2025'!C289)</f>
        <v/>
      </c>
      <c r="D289" s="3" t="str">
        <f>IF('1.1 Produksi Bersih Padi 2025'!D289="","",'1.1 Produksi Bersih Padi 2025'!D289)</f>
        <v/>
      </c>
      <c r="E289" s="3" t="str">
        <f>IF('1.1 Produksi Bersih Padi 2025'!E289="","",'1.1 Produksi Bersih Padi 2025'!E289)</f>
        <v/>
      </c>
      <c r="F289" s="28" t="str">
        <f>IF(D289="","",VLOOKUP(D289,'[1]0.1 Produksi Pangan &amp; Penduduk'!$D$5:$S$860,16,0))</f>
        <v/>
      </c>
      <c r="G289" s="28" t="str">
        <f t="shared" si="24"/>
        <v/>
      </c>
      <c r="H289" s="29" t="str">
        <f t="shared" si="25"/>
        <v/>
      </c>
      <c r="I289" s="29" t="str">
        <f t="shared" si="26"/>
        <v/>
      </c>
      <c r="J289" s="29" t="str">
        <f t="shared" si="27"/>
        <v/>
      </c>
      <c r="K289" s="29" t="str">
        <f t="shared" si="28"/>
        <v/>
      </c>
      <c r="L289" s="29" t="str">
        <f t="shared" si="29"/>
        <v/>
      </c>
      <c r="N289" s="11"/>
    </row>
    <row r="290" spans="1:14" ht="15" x14ac:dyDescent="0.25">
      <c r="A290" s="1" t="str">
        <f>IF('1.1 Produksi Bersih Padi 2025'!A290="","",'1.1 Produksi Bersih Padi 2025'!A290)</f>
        <v/>
      </c>
      <c r="B290" s="2" t="str">
        <f>IF('1.1 Produksi Bersih Padi 2025'!B290="","",'1.1 Produksi Bersih Padi 2025'!B290)</f>
        <v/>
      </c>
      <c r="C290" s="2" t="str">
        <f>IF('1.1 Produksi Bersih Padi 2025'!C290="","",'1.1 Produksi Bersih Padi 2025'!C290)</f>
        <v/>
      </c>
      <c r="D290" s="3" t="str">
        <f>IF('1.1 Produksi Bersih Padi 2025'!D290="","",'1.1 Produksi Bersih Padi 2025'!D290)</f>
        <v/>
      </c>
      <c r="E290" s="3" t="str">
        <f>IF('1.1 Produksi Bersih Padi 2025'!E290="","",'1.1 Produksi Bersih Padi 2025'!E290)</f>
        <v/>
      </c>
      <c r="F290" s="28" t="str">
        <f>IF(D290="","",VLOOKUP(D290,'[1]0.1 Produksi Pangan &amp; Penduduk'!$D$5:$S$860,16,0))</f>
        <v/>
      </c>
      <c r="G290" s="28" t="str">
        <f t="shared" si="24"/>
        <v/>
      </c>
      <c r="H290" s="29" t="str">
        <f t="shared" si="25"/>
        <v/>
      </c>
      <c r="I290" s="29" t="str">
        <f t="shared" si="26"/>
        <v/>
      </c>
      <c r="J290" s="29" t="str">
        <f t="shared" si="27"/>
        <v/>
      </c>
      <c r="K290" s="29" t="str">
        <f t="shared" si="28"/>
        <v/>
      </c>
      <c r="L290" s="29" t="str">
        <f t="shared" si="29"/>
        <v/>
      </c>
      <c r="N290" s="11"/>
    </row>
    <row r="291" spans="1:14" ht="15" x14ac:dyDescent="0.25">
      <c r="A291" s="1" t="str">
        <f>IF('1.1 Produksi Bersih Padi 2025'!A291="","",'1.1 Produksi Bersih Padi 2025'!A291)</f>
        <v/>
      </c>
      <c r="B291" s="2" t="str">
        <f>IF('1.1 Produksi Bersih Padi 2025'!B291="","",'1.1 Produksi Bersih Padi 2025'!B291)</f>
        <v/>
      </c>
      <c r="C291" s="2" t="str">
        <f>IF('1.1 Produksi Bersih Padi 2025'!C291="","",'1.1 Produksi Bersih Padi 2025'!C291)</f>
        <v/>
      </c>
      <c r="D291" s="3" t="str">
        <f>IF('1.1 Produksi Bersih Padi 2025'!D291="","",'1.1 Produksi Bersih Padi 2025'!D291)</f>
        <v/>
      </c>
      <c r="E291" s="3" t="str">
        <f>IF('1.1 Produksi Bersih Padi 2025'!E291="","",'1.1 Produksi Bersih Padi 2025'!E291)</f>
        <v/>
      </c>
      <c r="F291" s="28" t="str">
        <f>IF(D291="","",VLOOKUP(D291,'[1]0.1 Produksi Pangan &amp; Penduduk'!$D$5:$S$860,16,0))</f>
        <v/>
      </c>
      <c r="G291" s="28" t="str">
        <f t="shared" si="24"/>
        <v/>
      </c>
      <c r="H291" s="29" t="str">
        <f t="shared" si="25"/>
        <v/>
      </c>
      <c r="I291" s="29" t="str">
        <f t="shared" si="26"/>
        <v/>
      </c>
      <c r="J291" s="29" t="str">
        <f t="shared" si="27"/>
        <v/>
      </c>
      <c r="K291" s="29" t="str">
        <f t="shared" si="28"/>
        <v/>
      </c>
      <c r="L291" s="29" t="str">
        <f t="shared" si="29"/>
        <v/>
      </c>
      <c r="N291" s="11"/>
    </row>
    <row r="292" spans="1:14" ht="15" x14ac:dyDescent="0.25">
      <c r="A292" s="1" t="str">
        <f>IF('1.1 Produksi Bersih Padi 2025'!A292="","",'1.1 Produksi Bersih Padi 2025'!A292)</f>
        <v/>
      </c>
      <c r="B292" s="2" t="str">
        <f>IF('1.1 Produksi Bersih Padi 2025'!B292="","",'1.1 Produksi Bersih Padi 2025'!B292)</f>
        <v/>
      </c>
      <c r="C292" s="2" t="str">
        <f>IF('1.1 Produksi Bersih Padi 2025'!C292="","",'1.1 Produksi Bersih Padi 2025'!C292)</f>
        <v/>
      </c>
      <c r="D292" s="3" t="str">
        <f>IF('1.1 Produksi Bersih Padi 2025'!D292="","",'1.1 Produksi Bersih Padi 2025'!D292)</f>
        <v/>
      </c>
      <c r="E292" s="3" t="str">
        <f>IF('1.1 Produksi Bersih Padi 2025'!E292="","",'1.1 Produksi Bersih Padi 2025'!E292)</f>
        <v/>
      </c>
      <c r="F292" s="28" t="str">
        <f>IF(D292="","",VLOOKUP(D292,'[1]0.1 Produksi Pangan &amp; Penduduk'!$D$5:$S$860,16,0))</f>
        <v/>
      </c>
      <c r="G292" s="28" t="str">
        <f t="shared" si="24"/>
        <v/>
      </c>
      <c r="H292" s="29" t="str">
        <f t="shared" si="25"/>
        <v/>
      </c>
      <c r="I292" s="29" t="str">
        <f t="shared" si="26"/>
        <v/>
      </c>
      <c r="J292" s="29" t="str">
        <f t="shared" si="27"/>
        <v/>
      </c>
      <c r="K292" s="29" t="str">
        <f t="shared" si="28"/>
        <v/>
      </c>
      <c r="L292" s="29" t="str">
        <f t="shared" si="29"/>
        <v/>
      </c>
      <c r="N292" s="11"/>
    </row>
    <row r="293" spans="1:14" ht="15" x14ac:dyDescent="0.25">
      <c r="A293" s="1" t="str">
        <f>IF('1.1 Produksi Bersih Padi 2025'!A293="","",'1.1 Produksi Bersih Padi 2025'!A293)</f>
        <v/>
      </c>
      <c r="B293" s="2" t="str">
        <f>IF('1.1 Produksi Bersih Padi 2025'!B293="","",'1.1 Produksi Bersih Padi 2025'!B293)</f>
        <v/>
      </c>
      <c r="C293" s="2" t="str">
        <f>IF('1.1 Produksi Bersih Padi 2025'!C293="","",'1.1 Produksi Bersih Padi 2025'!C293)</f>
        <v/>
      </c>
      <c r="D293" s="3" t="str">
        <f>IF('1.1 Produksi Bersih Padi 2025'!D293="","",'1.1 Produksi Bersih Padi 2025'!D293)</f>
        <v/>
      </c>
      <c r="E293" s="3" t="str">
        <f>IF('1.1 Produksi Bersih Padi 2025'!E293="","",'1.1 Produksi Bersih Padi 2025'!E293)</f>
        <v/>
      </c>
      <c r="F293" s="28" t="str">
        <f>IF(D293="","",VLOOKUP(D293,'[1]0.1 Produksi Pangan &amp; Penduduk'!$D$5:$S$860,16,0))</f>
        <v/>
      </c>
      <c r="G293" s="28" t="str">
        <f t="shared" si="24"/>
        <v/>
      </c>
      <c r="H293" s="29" t="str">
        <f t="shared" si="25"/>
        <v/>
      </c>
      <c r="I293" s="29" t="str">
        <f t="shared" si="26"/>
        <v/>
      </c>
      <c r="J293" s="29" t="str">
        <f t="shared" si="27"/>
        <v/>
      </c>
      <c r="K293" s="29" t="str">
        <f t="shared" si="28"/>
        <v/>
      </c>
      <c r="L293" s="29" t="str">
        <f t="shared" si="29"/>
        <v/>
      </c>
      <c r="N293" s="11"/>
    </row>
    <row r="294" spans="1:14" ht="15" x14ac:dyDescent="0.25">
      <c r="A294" s="1" t="str">
        <f>IF('1.1 Produksi Bersih Padi 2025'!A294="","",'1.1 Produksi Bersih Padi 2025'!A294)</f>
        <v/>
      </c>
      <c r="B294" s="2" t="str">
        <f>IF('1.1 Produksi Bersih Padi 2025'!B294="","",'1.1 Produksi Bersih Padi 2025'!B294)</f>
        <v/>
      </c>
      <c r="C294" s="2" t="str">
        <f>IF('1.1 Produksi Bersih Padi 2025'!C294="","",'1.1 Produksi Bersih Padi 2025'!C294)</f>
        <v/>
      </c>
      <c r="D294" s="3" t="str">
        <f>IF('1.1 Produksi Bersih Padi 2025'!D294="","",'1.1 Produksi Bersih Padi 2025'!D294)</f>
        <v/>
      </c>
      <c r="E294" s="3" t="str">
        <f>IF('1.1 Produksi Bersih Padi 2025'!E294="","",'1.1 Produksi Bersih Padi 2025'!E294)</f>
        <v/>
      </c>
      <c r="F294" s="28" t="str">
        <f>IF(D294="","",VLOOKUP(D294,'[1]0.1 Produksi Pangan &amp; Penduduk'!$D$5:$S$860,16,0))</f>
        <v/>
      </c>
      <c r="G294" s="28" t="str">
        <f t="shared" si="24"/>
        <v/>
      </c>
      <c r="H294" s="29" t="str">
        <f t="shared" si="25"/>
        <v/>
      </c>
      <c r="I294" s="29" t="str">
        <f t="shared" si="26"/>
        <v/>
      </c>
      <c r="J294" s="29" t="str">
        <f t="shared" si="27"/>
        <v/>
      </c>
      <c r="K294" s="29" t="str">
        <f t="shared" si="28"/>
        <v/>
      </c>
      <c r="L294" s="29" t="str">
        <f t="shared" si="29"/>
        <v/>
      </c>
      <c r="N294" s="11"/>
    </row>
    <row r="295" spans="1:14" ht="15" x14ac:dyDescent="0.25">
      <c r="A295" s="1" t="str">
        <f>IF('1.1 Produksi Bersih Padi 2025'!A295="","",'1.1 Produksi Bersih Padi 2025'!A295)</f>
        <v/>
      </c>
      <c r="B295" s="2" t="str">
        <f>IF('1.1 Produksi Bersih Padi 2025'!B295="","",'1.1 Produksi Bersih Padi 2025'!B295)</f>
        <v/>
      </c>
      <c r="C295" s="2" t="str">
        <f>IF('1.1 Produksi Bersih Padi 2025'!C295="","",'1.1 Produksi Bersih Padi 2025'!C295)</f>
        <v/>
      </c>
      <c r="D295" s="3" t="str">
        <f>IF('1.1 Produksi Bersih Padi 2025'!D295="","",'1.1 Produksi Bersih Padi 2025'!D295)</f>
        <v/>
      </c>
      <c r="E295" s="3" t="str">
        <f>IF('1.1 Produksi Bersih Padi 2025'!E295="","",'1.1 Produksi Bersih Padi 2025'!E295)</f>
        <v/>
      </c>
      <c r="F295" s="28" t="str">
        <f>IF(D295="","",VLOOKUP(D295,'[1]0.1 Produksi Pangan &amp; Penduduk'!$D$5:$S$860,16,0))</f>
        <v/>
      </c>
      <c r="G295" s="28" t="str">
        <f t="shared" si="24"/>
        <v/>
      </c>
      <c r="H295" s="29" t="str">
        <f t="shared" si="25"/>
        <v/>
      </c>
      <c r="I295" s="29" t="str">
        <f t="shared" si="26"/>
        <v/>
      </c>
      <c r="J295" s="29" t="str">
        <f t="shared" si="27"/>
        <v/>
      </c>
      <c r="K295" s="29" t="str">
        <f t="shared" si="28"/>
        <v/>
      </c>
      <c r="L295" s="29" t="str">
        <f t="shared" si="29"/>
        <v/>
      </c>
      <c r="N295" s="11"/>
    </row>
    <row r="296" spans="1:14" ht="15" x14ac:dyDescent="0.25">
      <c r="A296" s="1" t="str">
        <f>IF('1.1 Produksi Bersih Padi 2025'!A296="","",'1.1 Produksi Bersih Padi 2025'!A296)</f>
        <v/>
      </c>
      <c r="B296" s="2" t="str">
        <f>IF('1.1 Produksi Bersih Padi 2025'!B296="","",'1.1 Produksi Bersih Padi 2025'!B296)</f>
        <v/>
      </c>
      <c r="C296" s="2" t="str">
        <f>IF('1.1 Produksi Bersih Padi 2025'!C296="","",'1.1 Produksi Bersih Padi 2025'!C296)</f>
        <v/>
      </c>
      <c r="D296" s="3" t="str">
        <f>IF('1.1 Produksi Bersih Padi 2025'!D296="","",'1.1 Produksi Bersih Padi 2025'!D296)</f>
        <v/>
      </c>
      <c r="E296" s="3" t="str">
        <f>IF('1.1 Produksi Bersih Padi 2025'!E296="","",'1.1 Produksi Bersih Padi 2025'!E296)</f>
        <v/>
      </c>
      <c r="F296" s="28" t="str">
        <f>IF(D296="","",VLOOKUP(D296,'[1]0.1 Produksi Pangan &amp; Penduduk'!$D$5:$S$860,16,0))</f>
        <v/>
      </c>
      <c r="G296" s="28" t="str">
        <f t="shared" si="24"/>
        <v/>
      </c>
      <c r="H296" s="29" t="str">
        <f t="shared" si="25"/>
        <v/>
      </c>
      <c r="I296" s="29" t="str">
        <f t="shared" si="26"/>
        <v/>
      </c>
      <c r="J296" s="29" t="str">
        <f t="shared" si="27"/>
        <v/>
      </c>
      <c r="K296" s="29" t="str">
        <f t="shared" si="28"/>
        <v/>
      </c>
      <c r="L296" s="29" t="str">
        <f t="shared" si="29"/>
        <v/>
      </c>
      <c r="N296" s="11"/>
    </row>
    <row r="297" spans="1:14" ht="15" x14ac:dyDescent="0.25">
      <c r="A297" s="1" t="str">
        <f>IF('1.1 Produksi Bersih Padi 2025'!A297="","",'1.1 Produksi Bersih Padi 2025'!A297)</f>
        <v/>
      </c>
      <c r="B297" s="2" t="str">
        <f>IF('1.1 Produksi Bersih Padi 2025'!B297="","",'1.1 Produksi Bersih Padi 2025'!B297)</f>
        <v/>
      </c>
      <c r="C297" s="2" t="str">
        <f>IF('1.1 Produksi Bersih Padi 2025'!C297="","",'1.1 Produksi Bersih Padi 2025'!C297)</f>
        <v/>
      </c>
      <c r="D297" s="3" t="str">
        <f>IF('1.1 Produksi Bersih Padi 2025'!D297="","",'1.1 Produksi Bersih Padi 2025'!D297)</f>
        <v/>
      </c>
      <c r="E297" s="3" t="str">
        <f>IF('1.1 Produksi Bersih Padi 2025'!E297="","",'1.1 Produksi Bersih Padi 2025'!E297)</f>
        <v/>
      </c>
      <c r="F297" s="28" t="str">
        <f>IF(D297="","",VLOOKUP(D297,'[1]0.1 Produksi Pangan &amp; Penduduk'!$D$5:$S$860,16,0))</f>
        <v/>
      </c>
      <c r="G297" s="28" t="str">
        <f t="shared" si="24"/>
        <v/>
      </c>
      <c r="H297" s="29" t="str">
        <f t="shared" si="25"/>
        <v/>
      </c>
      <c r="I297" s="29" t="str">
        <f t="shared" si="26"/>
        <v/>
      </c>
      <c r="J297" s="29" t="str">
        <f t="shared" si="27"/>
        <v/>
      </c>
      <c r="K297" s="29" t="str">
        <f t="shared" si="28"/>
        <v/>
      </c>
      <c r="L297" s="29" t="str">
        <f t="shared" si="29"/>
        <v/>
      </c>
      <c r="N297" s="11"/>
    </row>
    <row r="298" spans="1:14" ht="15" x14ac:dyDescent="0.25">
      <c r="A298" s="1" t="str">
        <f>IF('1.1 Produksi Bersih Padi 2025'!A298="","",'1.1 Produksi Bersih Padi 2025'!A298)</f>
        <v/>
      </c>
      <c r="B298" s="2" t="str">
        <f>IF('1.1 Produksi Bersih Padi 2025'!B298="","",'1.1 Produksi Bersih Padi 2025'!B298)</f>
        <v/>
      </c>
      <c r="C298" s="2" t="str">
        <f>IF('1.1 Produksi Bersih Padi 2025'!C298="","",'1.1 Produksi Bersih Padi 2025'!C298)</f>
        <v/>
      </c>
      <c r="D298" s="3" t="str">
        <f>IF('1.1 Produksi Bersih Padi 2025'!D298="","",'1.1 Produksi Bersih Padi 2025'!D298)</f>
        <v/>
      </c>
      <c r="E298" s="3" t="str">
        <f>IF('1.1 Produksi Bersih Padi 2025'!E298="","",'1.1 Produksi Bersih Padi 2025'!E298)</f>
        <v/>
      </c>
      <c r="F298" s="28" t="str">
        <f>IF(D298="","",VLOOKUP(D298,'[1]0.1 Produksi Pangan &amp; Penduduk'!$D$5:$S$860,16,0))</f>
        <v/>
      </c>
      <c r="G298" s="28" t="str">
        <f t="shared" si="24"/>
        <v/>
      </c>
      <c r="H298" s="29" t="str">
        <f t="shared" si="25"/>
        <v/>
      </c>
      <c r="I298" s="29" t="str">
        <f t="shared" si="26"/>
        <v/>
      </c>
      <c r="J298" s="29" t="str">
        <f t="shared" si="27"/>
        <v/>
      </c>
      <c r="K298" s="29" t="str">
        <f t="shared" si="28"/>
        <v/>
      </c>
      <c r="L298" s="29" t="str">
        <f t="shared" si="29"/>
        <v/>
      </c>
      <c r="N298" s="11"/>
    </row>
    <row r="299" spans="1:14" ht="15" x14ac:dyDescent="0.25">
      <c r="A299" s="1" t="str">
        <f>IF('1.1 Produksi Bersih Padi 2025'!A299="","",'1.1 Produksi Bersih Padi 2025'!A299)</f>
        <v/>
      </c>
      <c r="B299" s="2" t="str">
        <f>IF('1.1 Produksi Bersih Padi 2025'!B299="","",'1.1 Produksi Bersih Padi 2025'!B299)</f>
        <v/>
      </c>
      <c r="C299" s="2" t="str">
        <f>IF('1.1 Produksi Bersih Padi 2025'!C299="","",'1.1 Produksi Bersih Padi 2025'!C299)</f>
        <v/>
      </c>
      <c r="D299" s="3" t="str">
        <f>IF('1.1 Produksi Bersih Padi 2025'!D299="","",'1.1 Produksi Bersih Padi 2025'!D299)</f>
        <v/>
      </c>
      <c r="E299" s="3" t="str">
        <f>IF('1.1 Produksi Bersih Padi 2025'!E299="","",'1.1 Produksi Bersih Padi 2025'!E299)</f>
        <v/>
      </c>
      <c r="F299" s="28" t="str">
        <f>IF(D299="","",VLOOKUP(D299,'[1]0.1 Produksi Pangan &amp; Penduduk'!$D$5:$S$860,16,0))</f>
        <v/>
      </c>
      <c r="G299" s="28" t="str">
        <f t="shared" si="24"/>
        <v/>
      </c>
      <c r="H299" s="29" t="str">
        <f t="shared" si="25"/>
        <v/>
      </c>
      <c r="I299" s="29" t="str">
        <f t="shared" si="26"/>
        <v/>
      </c>
      <c r="J299" s="29" t="str">
        <f t="shared" si="27"/>
        <v/>
      </c>
      <c r="K299" s="29" t="str">
        <f t="shared" si="28"/>
        <v/>
      </c>
      <c r="L299" s="29" t="str">
        <f t="shared" si="29"/>
        <v/>
      </c>
      <c r="N299" s="11"/>
    </row>
    <row r="300" spans="1:14" ht="15" x14ac:dyDescent="0.25">
      <c r="A300" s="1" t="str">
        <f>IF('1.1 Produksi Bersih Padi 2025'!A300="","",'1.1 Produksi Bersih Padi 2025'!A300)</f>
        <v/>
      </c>
      <c r="B300" s="2" t="str">
        <f>IF('1.1 Produksi Bersih Padi 2025'!B300="","",'1.1 Produksi Bersih Padi 2025'!B300)</f>
        <v/>
      </c>
      <c r="C300" s="2" t="str">
        <f>IF('1.1 Produksi Bersih Padi 2025'!C300="","",'1.1 Produksi Bersih Padi 2025'!C300)</f>
        <v/>
      </c>
      <c r="D300" s="3" t="str">
        <f>IF('1.1 Produksi Bersih Padi 2025'!D300="","",'1.1 Produksi Bersih Padi 2025'!D300)</f>
        <v/>
      </c>
      <c r="E300" s="3" t="str">
        <f>IF('1.1 Produksi Bersih Padi 2025'!E300="","",'1.1 Produksi Bersih Padi 2025'!E300)</f>
        <v/>
      </c>
      <c r="F300" s="28" t="str">
        <f>IF(D300="","",VLOOKUP(D300,'[1]0.1 Produksi Pangan &amp; Penduduk'!$D$5:$S$860,16,0))</f>
        <v/>
      </c>
      <c r="G300" s="28" t="str">
        <f t="shared" si="24"/>
        <v/>
      </c>
      <c r="H300" s="29" t="str">
        <f t="shared" si="25"/>
        <v/>
      </c>
      <c r="I300" s="29" t="str">
        <f t="shared" si="26"/>
        <v/>
      </c>
      <c r="J300" s="29" t="str">
        <f t="shared" si="27"/>
        <v/>
      </c>
      <c r="K300" s="29" t="str">
        <f t="shared" si="28"/>
        <v/>
      </c>
      <c r="L300" s="29" t="str">
        <f t="shared" si="29"/>
        <v/>
      </c>
      <c r="N300" s="11"/>
    </row>
    <row r="301" spans="1:14" ht="15" x14ac:dyDescent="0.25">
      <c r="A301" s="1" t="str">
        <f>IF('1.1 Produksi Bersih Padi 2025'!A301="","",'1.1 Produksi Bersih Padi 2025'!A301)</f>
        <v/>
      </c>
      <c r="B301" s="2" t="str">
        <f>IF('1.1 Produksi Bersih Padi 2025'!B301="","",'1.1 Produksi Bersih Padi 2025'!B301)</f>
        <v/>
      </c>
      <c r="C301" s="2" t="str">
        <f>IF('1.1 Produksi Bersih Padi 2025'!C301="","",'1.1 Produksi Bersih Padi 2025'!C301)</f>
        <v/>
      </c>
      <c r="D301" s="3" t="str">
        <f>IF('1.1 Produksi Bersih Padi 2025'!D301="","",'1.1 Produksi Bersih Padi 2025'!D301)</f>
        <v/>
      </c>
      <c r="E301" s="3" t="str">
        <f>IF('1.1 Produksi Bersih Padi 2025'!E301="","",'1.1 Produksi Bersih Padi 2025'!E301)</f>
        <v/>
      </c>
      <c r="F301" s="28" t="str">
        <f>IF(D301="","",VLOOKUP(D301,'[1]0.1 Produksi Pangan &amp; Penduduk'!$D$5:$S$860,16,0))</f>
        <v/>
      </c>
      <c r="G301" s="28" t="str">
        <f t="shared" si="24"/>
        <v/>
      </c>
      <c r="H301" s="29" t="str">
        <f t="shared" si="25"/>
        <v/>
      </c>
      <c r="I301" s="29" t="str">
        <f t="shared" si="26"/>
        <v/>
      </c>
      <c r="J301" s="29" t="str">
        <f t="shared" si="27"/>
        <v/>
      </c>
      <c r="K301" s="29" t="str">
        <f t="shared" si="28"/>
        <v/>
      </c>
      <c r="L301" s="29" t="str">
        <f t="shared" si="29"/>
        <v/>
      </c>
      <c r="N301" s="11"/>
    </row>
    <row r="302" spans="1:14" ht="15" x14ac:dyDescent="0.25">
      <c r="A302" s="1" t="str">
        <f>IF('1.1 Produksi Bersih Padi 2025'!A302="","",'1.1 Produksi Bersih Padi 2025'!A302)</f>
        <v/>
      </c>
      <c r="B302" s="2" t="str">
        <f>IF('1.1 Produksi Bersih Padi 2025'!B302="","",'1.1 Produksi Bersih Padi 2025'!B302)</f>
        <v/>
      </c>
      <c r="C302" s="2" t="str">
        <f>IF('1.1 Produksi Bersih Padi 2025'!C302="","",'1.1 Produksi Bersih Padi 2025'!C302)</f>
        <v/>
      </c>
      <c r="D302" s="3" t="str">
        <f>IF('1.1 Produksi Bersih Padi 2025'!D302="","",'1.1 Produksi Bersih Padi 2025'!D302)</f>
        <v/>
      </c>
      <c r="E302" s="3" t="str">
        <f>IF('1.1 Produksi Bersih Padi 2025'!E302="","",'1.1 Produksi Bersih Padi 2025'!E302)</f>
        <v/>
      </c>
      <c r="F302" s="28" t="str">
        <f>IF(D302="","",VLOOKUP(D302,'[1]0.1 Produksi Pangan &amp; Penduduk'!$D$5:$S$860,16,0))</f>
        <v/>
      </c>
      <c r="G302" s="28" t="str">
        <f t="shared" si="24"/>
        <v/>
      </c>
      <c r="H302" s="29" t="str">
        <f t="shared" si="25"/>
        <v/>
      </c>
      <c r="I302" s="29" t="str">
        <f t="shared" si="26"/>
        <v/>
      </c>
      <c r="J302" s="29" t="str">
        <f t="shared" si="27"/>
        <v/>
      </c>
      <c r="K302" s="29" t="str">
        <f t="shared" si="28"/>
        <v/>
      </c>
      <c r="L302" s="29" t="str">
        <f t="shared" si="29"/>
        <v/>
      </c>
      <c r="N302" s="11"/>
    </row>
    <row r="303" spans="1:14" ht="15" x14ac:dyDescent="0.25">
      <c r="A303" s="1" t="str">
        <f>IF('1.1 Produksi Bersih Padi 2025'!A303="","",'1.1 Produksi Bersih Padi 2025'!A303)</f>
        <v/>
      </c>
      <c r="B303" s="2" t="str">
        <f>IF('1.1 Produksi Bersih Padi 2025'!B303="","",'1.1 Produksi Bersih Padi 2025'!B303)</f>
        <v/>
      </c>
      <c r="C303" s="2" t="str">
        <f>IF('1.1 Produksi Bersih Padi 2025'!C303="","",'1.1 Produksi Bersih Padi 2025'!C303)</f>
        <v/>
      </c>
      <c r="D303" s="3" t="str">
        <f>IF('1.1 Produksi Bersih Padi 2025'!D303="","",'1.1 Produksi Bersih Padi 2025'!D303)</f>
        <v/>
      </c>
      <c r="E303" s="3" t="str">
        <f>IF('1.1 Produksi Bersih Padi 2025'!E303="","",'1.1 Produksi Bersih Padi 2025'!E303)</f>
        <v/>
      </c>
      <c r="F303" s="28" t="str">
        <f>IF(D303="","",VLOOKUP(D303,'[1]0.1 Produksi Pangan &amp; Penduduk'!$D$5:$S$860,16,0))</f>
        <v/>
      </c>
      <c r="G303" s="28" t="str">
        <f t="shared" si="24"/>
        <v/>
      </c>
      <c r="H303" s="29" t="str">
        <f t="shared" si="25"/>
        <v/>
      </c>
      <c r="I303" s="29" t="str">
        <f t="shared" si="26"/>
        <v/>
      </c>
      <c r="J303" s="29" t="str">
        <f t="shared" si="27"/>
        <v/>
      </c>
      <c r="K303" s="29" t="str">
        <f t="shared" si="28"/>
        <v/>
      </c>
      <c r="L303" s="29" t="str">
        <f t="shared" si="29"/>
        <v/>
      </c>
      <c r="N303" s="11"/>
    </row>
    <row r="304" spans="1:14" ht="15" x14ac:dyDescent="0.25">
      <c r="A304" s="1" t="str">
        <f>IF('1.1 Produksi Bersih Padi 2025'!A304="","",'1.1 Produksi Bersih Padi 2025'!A304)</f>
        <v/>
      </c>
      <c r="B304" s="2" t="str">
        <f>IF('1.1 Produksi Bersih Padi 2025'!B304="","",'1.1 Produksi Bersih Padi 2025'!B304)</f>
        <v/>
      </c>
      <c r="C304" s="2" t="str">
        <f>IF('1.1 Produksi Bersih Padi 2025'!C304="","",'1.1 Produksi Bersih Padi 2025'!C304)</f>
        <v/>
      </c>
      <c r="D304" s="3" t="str">
        <f>IF('1.1 Produksi Bersih Padi 2025'!D304="","",'1.1 Produksi Bersih Padi 2025'!D304)</f>
        <v/>
      </c>
      <c r="E304" s="3" t="str">
        <f>IF('1.1 Produksi Bersih Padi 2025'!E304="","",'1.1 Produksi Bersih Padi 2025'!E304)</f>
        <v/>
      </c>
      <c r="F304" s="28" t="str">
        <f>IF(D304="","",VLOOKUP(D304,'[1]0.1 Produksi Pangan &amp; Penduduk'!$D$5:$S$860,16,0))</f>
        <v/>
      </c>
      <c r="G304" s="28" t="str">
        <f t="shared" si="24"/>
        <v/>
      </c>
      <c r="H304" s="29" t="str">
        <f t="shared" si="25"/>
        <v/>
      </c>
      <c r="I304" s="29" t="str">
        <f t="shared" si="26"/>
        <v/>
      </c>
      <c r="J304" s="29" t="str">
        <f t="shared" si="27"/>
        <v/>
      </c>
      <c r="K304" s="29" t="str">
        <f t="shared" si="28"/>
        <v/>
      </c>
      <c r="L304" s="29" t="str">
        <f t="shared" si="29"/>
        <v/>
      </c>
      <c r="N304" s="11"/>
    </row>
    <row r="305" spans="1:14" ht="15" x14ac:dyDescent="0.25">
      <c r="A305" s="1" t="str">
        <f>IF('1.1 Produksi Bersih Padi 2025'!A305="","",'1.1 Produksi Bersih Padi 2025'!A305)</f>
        <v/>
      </c>
      <c r="B305" s="2" t="str">
        <f>IF('1.1 Produksi Bersih Padi 2025'!B305="","",'1.1 Produksi Bersih Padi 2025'!B305)</f>
        <v/>
      </c>
      <c r="C305" s="2" t="str">
        <f>IF('1.1 Produksi Bersih Padi 2025'!C305="","",'1.1 Produksi Bersih Padi 2025'!C305)</f>
        <v/>
      </c>
      <c r="D305" s="3" t="str">
        <f>IF('1.1 Produksi Bersih Padi 2025'!D305="","",'1.1 Produksi Bersih Padi 2025'!D305)</f>
        <v/>
      </c>
      <c r="E305" s="3" t="str">
        <f>IF('1.1 Produksi Bersih Padi 2025'!E305="","",'1.1 Produksi Bersih Padi 2025'!E305)</f>
        <v/>
      </c>
      <c r="F305" s="28" t="str">
        <f>IF(D305="","",VLOOKUP(D305,'[1]0.1 Produksi Pangan &amp; Penduduk'!$D$5:$S$860,16,0))</f>
        <v/>
      </c>
      <c r="G305" s="28" t="str">
        <f t="shared" si="24"/>
        <v/>
      </c>
      <c r="H305" s="29" t="str">
        <f t="shared" si="25"/>
        <v/>
      </c>
      <c r="I305" s="29" t="str">
        <f t="shared" si="26"/>
        <v/>
      </c>
      <c r="J305" s="29" t="str">
        <f t="shared" si="27"/>
        <v/>
      </c>
      <c r="K305" s="29" t="str">
        <f t="shared" si="28"/>
        <v/>
      </c>
      <c r="L305" s="29" t="str">
        <f t="shared" si="29"/>
        <v/>
      </c>
      <c r="N305" s="11"/>
    </row>
    <row r="306" spans="1:14" ht="15" x14ac:dyDescent="0.25">
      <c r="A306" s="1" t="str">
        <f>IF('1.1 Produksi Bersih Padi 2025'!A306="","",'1.1 Produksi Bersih Padi 2025'!A306)</f>
        <v/>
      </c>
      <c r="B306" s="2" t="str">
        <f>IF('1.1 Produksi Bersih Padi 2025'!B306="","",'1.1 Produksi Bersih Padi 2025'!B306)</f>
        <v/>
      </c>
      <c r="C306" s="2" t="str">
        <f>IF('1.1 Produksi Bersih Padi 2025'!C306="","",'1.1 Produksi Bersih Padi 2025'!C306)</f>
        <v/>
      </c>
      <c r="D306" s="3" t="str">
        <f>IF('1.1 Produksi Bersih Padi 2025'!D306="","",'1.1 Produksi Bersih Padi 2025'!D306)</f>
        <v/>
      </c>
      <c r="E306" s="3" t="str">
        <f>IF('1.1 Produksi Bersih Padi 2025'!E306="","",'1.1 Produksi Bersih Padi 2025'!E306)</f>
        <v/>
      </c>
      <c r="F306" s="28" t="str">
        <f>IF(D306="","",VLOOKUP(D306,'[1]0.1 Produksi Pangan &amp; Penduduk'!$D$5:$S$860,16,0))</f>
        <v/>
      </c>
      <c r="G306" s="28" t="str">
        <f t="shared" si="24"/>
        <v/>
      </c>
      <c r="H306" s="29" t="str">
        <f t="shared" si="25"/>
        <v/>
      </c>
      <c r="I306" s="29" t="str">
        <f t="shared" si="26"/>
        <v/>
      </c>
      <c r="J306" s="29" t="str">
        <f t="shared" si="27"/>
        <v/>
      </c>
      <c r="K306" s="29" t="str">
        <f t="shared" si="28"/>
        <v/>
      </c>
      <c r="L306" s="29" t="str">
        <f t="shared" si="29"/>
        <v/>
      </c>
      <c r="N306" s="11"/>
    </row>
    <row r="307" spans="1:14" ht="15" x14ac:dyDescent="0.25">
      <c r="A307" s="1" t="str">
        <f>IF('1.1 Produksi Bersih Padi 2025'!A307="","",'1.1 Produksi Bersih Padi 2025'!A307)</f>
        <v/>
      </c>
      <c r="B307" s="2" t="str">
        <f>IF('1.1 Produksi Bersih Padi 2025'!B307="","",'1.1 Produksi Bersih Padi 2025'!B307)</f>
        <v/>
      </c>
      <c r="C307" s="2" t="str">
        <f>IF('1.1 Produksi Bersih Padi 2025'!C307="","",'1.1 Produksi Bersih Padi 2025'!C307)</f>
        <v/>
      </c>
      <c r="D307" s="3" t="str">
        <f>IF('1.1 Produksi Bersih Padi 2025'!D307="","",'1.1 Produksi Bersih Padi 2025'!D307)</f>
        <v/>
      </c>
      <c r="E307" s="3" t="str">
        <f>IF('1.1 Produksi Bersih Padi 2025'!E307="","",'1.1 Produksi Bersih Padi 2025'!E307)</f>
        <v/>
      </c>
      <c r="F307" s="28" t="str">
        <f>IF(D307="","",VLOOKUP(D307,'[1]0.1 Produksi Pangan &amp; Penduduk'!$D$5:$S$860,16,0))</f>
        <v/>
      </c>
      <c r="G307" s="28" t="str">
        <f t="shared" si="24"/>
        <v/>
      </c>
      <c r="H307" s="29" t="str">
        <f t="shared" si="25"/>
        <v/>
      </c>
      <c r="I307" s="29" t="str">
        <f t="shared" si="26"/>
        <v/>
      </c>
      <c r="J307" s="29" t="str">
        <f t="shared" si="27"/>
        <v/>
      </c>
      <c r="K307" s="29" t="str">
        <f t="shared" si="28"/>
        <v/>
      </c>
      <c r="L307" s="29" t="str">
        <f t="shared" si="29"/>
        <v/>
      </c>
      <c r="N307" s="11"/>
    </row>
    <row r="308" spans="1:14" ht="15" x14ac:dyDescent="0.25">
      <c r="A308" s="1" t="str">
        <f>IF('1.1 Produksi Bersih Padi 2025'!A308="","",'1.1 Produksi Bersih Padi 2025'!A308)</f>
        <v/>
      </c>
      <c r="B308" s="2" t="str">
        <f>IF('1.1 Produksi Bersih Padi 2025'!B308="","",'1.1 Produksi Bersih Padi 2025'!B308)</f>
        <v/>
      </c>
      <c r="C308" s="2" t="str">
        <f>IF('1.1 Produksi Bersih Padi 2025'!C308="","",'1.1 Produksi Bersih Padi 2025'!C308)</f>
        <v/>
      </c>
      <c r="D308" s="3" t="str">
        <f>IF('1.1 Produksi Bersih Padi 2025'!D308="","",'1.1 Produksi Bersih Padi 2025'!D308)</f>
        <v/>
      </c>
      <c r="E308" s="3" t="str">
        <f>IF('1.1 Produksi Bersih Padi 2025'!E308="","",'1.1 Produksi Bersih Padi 2025'!E308)</f>
        <v/>
      </c>
      <c r="F308" s="28" t="str">
        <f>IF(D308="","",VLOOKUP(D308,'[1]0.1 Produksi Pangan &amp; Penduduk'!$D$5:$S$860,16,0))</f>
        <v/>
      </c>
      <c r="G308" s="28" t="str">
        <f t="shared" si="24"/>
        <v/>
      </c>
      <c r="H308" s="29" t="str">
        <f t="shared" si="25"/>
        <v/>
      </c>
      <c r="I308" s="29" t="str">
        <f t="shared" si="26"/>
        <v/>
      </c>
      <c r="J308" s="29" t="str">
        <f t="shared" si="27"/>
        <v/>
      </c>
      <c r="K308" s="29" t="str">
        <f t="shared" si="28"/>
        <v/>
      </c>
      <c r="L308" s="29" t="str">
        <f t="shared" si="29"/>
        <v/>
      </c>
      <c r="N308" s="11"/>
    </row>
    <row r="309" spans="1:14" ht="15" x14ac:dyDescent="0.25">
      <c r="A309" s="1" t="str">
        <f>IF('1.1 Produksi Bersih Padi 2025'!A309="","",'1.1 Produksi Bersih Padi 2025'!A309)</f>
        <v/>
      </c>
      <c r="B309" s="2" t="str">
        <f>IF('1.1 Produksi Bersih Padi 2025'!B309="","",'1.1 Produksi Bersih Padi 2025'!B309)</f>
        <v/>
      </c>
      <c r="C309" s="2" t="str">
        <f>IF('1.1 Produksi Bersih Padi 2025'!C309="","",'1.1 Produksi Bersih Padi 2025'!C309)</f>
        <v/>
      </c>
      <c r="D309" s="3" t="str">
        <f>IF('1.1 Produksi Bersih Padi 2025'!D309="","",'1.1 Produksi Bersih Padi 2025'!D309)</f>
        <v/>
      </c>
      <c r="E309" s="3" t="str">
        <f>IF('1.1 Produksi Bersih Padi 2025'!E309="","",'1.1 Produksi Bersih Padi 2025'!E309)</f>
        <v/>
      </c>
      <c r="F309" s="28" t="str">
        <f>IF(D309="","",VLOOKUP(D309,'[1]0.1 Produksi Pangan &amp; Penduduk'!$D$5:$S$860,16,0))</f>
        <v/>
      </c>
      <c r="G309" s="28" t="str">
        <f t="shared" si="24"/>
        <v/>
      </c>
      <c r="H309" s="29" t="str">
        <f t="shared" si="25"/>
        <v/>
      </c>
      <c r="I309" s="29" t="str">
        <f t="shared" si="26"/>
        <v/>
      </c>
      <c r="J309" s="29" t="str">
        <f t="shared" si="27"/>
        <v/>
      </c>
      <c r="K309" s="29" t="str">
        <f t="shared" si="28"/>
        <v/>
      </c>
      <c r="L309" s="29" t="str">
        <f t="shared" si="29"/>
        <v/>
      </c>
      <c r="N309" s="11"/>
    </row>
    <row r="310" spans="1:14" ht="15" x14ac:dyDescent="0.25">
      <c r="A310" s="1" t="str">
        <f>IF('1.1 Produksi Bersih Padi 2025'!A310="","",'1.1 Produksi Bersih Padi 2025'!A310)</f>
        <v/>
      </c>
      <c r="B310" s="2" t="str">
        <f>IF('1.1 Produksi Bersih Padi 2025'!B310="","",'1.1 Produksi Bersih Padi 2025'!B310)</f>
        <v/>
      </c>
      <c r="C310" s="2" t="str">
        <f>IF('1.1 Produksi Bersih Padi 2025'!C310="","",'1.1 Produksi Bersih Padi 2025'!C310)</f>
        <v/>
      </c>
      <c r="D310" s="3" t="str">
        <f>IF('1.1 Produksi Bersih Padi 2025'!D310="","",'1.1 Produksi Bersih Padi 2025'!D310)</f>
        <v/>
      </c>
      <c r="E310" s="3" t="str">
        <f>IF('1.1 Produksi Bersih Padi 2025'!E310="","",'1.1 Produksi Bersih Padi 2025'!E310)</f>
        <v/>
      </c>
      <c r="F310" s="28" t="str">
        <f>IF(D310="","",VLOOKUP(D310,'[1]0.1 Produksi Pangan &amp; Penduduk'!$D$5:$S$860,16,0))</f>
        <v/>
      </c>
      <c r="G310" s="28" t="str">
        <f t="shared" si="24"/>
        <v/>
      </c>
      <c r="H310" s="29" t="str">
        <f t="shared" si="25"/>
        <v/>
      </c>
      <c r="I310" s="29" t="str">
        <f t="shared" si="26"/>
        <v/>
      </c>
      <c r="J310" s="29" t="str">
        <f t="shared" si="27"/>
        <v/>
      </c>
      <c r="K310" s="29" t="str">
        <f t="shared" si="28"/>
        <v/>
      </c>
      <c r="L310" s="29" t="str">
        <f t="shared" si="29"/>
        <v/>
      </c>
      <c r="N310" s="11"/>
    </row>
    <row r="311" spans="1:14" ht="15" x14ac:dyDescent="0.25">
      <c r="A311" s="1" t="str">
        <f>IF('1.1 Produksi Bersih Padi 2025'!A311="","",'1.1 Produksi Bersih Padi 2025'!A311)</f>
        <v/>
      </c>
      <c r="B311" s="2" t="str">
        <f>IF('1.1 Produksi Bersih Padi 2025'!B311="","",'1.1 Produksi Bersih Padi 2025'!B311)</f>
        <v/>
      </c>
      <c r="C311" s="2" t="str">
        <f>IF('1.1 Produksi Bersih Padi 2025'!C311="","",'1.1 Produksi Bersih Padi 2025'!C311)</f>
        <v/>
      </c>
      <c r="D311" s="3" t="str">
        <f>IF('1.1 Produksi Bersih Padi 2025'!D311="","",'1.1 Produksi Bersih Padi 2025'!D311)</f>
        <v/>
      </c>
      <c r="E311" s="3" t="str">
        <f>IF('1.1 Produksi Bersih Padi 2025'!E311="","",'1.1 Produksi Bersih Padi 2025'!E311)</f>
        <v/>
      </c>
      <c r="F311" s="28" t="str">
        <f>IF(D311="","",VLOOKUP(D311,'[1]0.1 Produksi Pangan &amp; Penduduk'!$D$5:$S$860,16,0))</f>
        <v/>
      </c>
      <c r="G311" s="28" t="str">
        <f t="shared" si="24"/>
        <v/>
      </c>
      <c r="H311" s="29" t="str">
        <f t="shared" si="25"/>
        <v/>
      </c>
      <c r="I311" s="29" t="str">
        <f t="shared" si="26"/>
        <v/>
      </c>
      <c r="J311" s="29" t="str">
        <f t="shared" si="27"/>
        <v/>
      </c>
      <c r="K311" s="29" t="str">
        <f t="shared" si="28"/>
        <v/>
      </c>
      <c r="L311" s="29" t="str">
        <f t="shared" si="29"/>
        <v/>
      </c>
      <c r="N311" s="11"/>
    </row>
    <row r="312" spans="1:14" ht="15" x14ac:dyDescent="0.25">
      <c r="A312" s="1" t="str">
        <f>IF('1.1 Produksi Bersih Padi 2025'!A312="","",'1.1 Produksi Bersih Padi 2025'!A312)</f>
        <v/>
      </c>
      <c r="B312" s="2" t="str">
        <f>IF('1.1 Produksi Bersih Padi 2025'!B312="","",'1.1 Produksi Bersih Padi 2025'!B312)</f>
        <v/>
      </c>
      <c r="C312" s="2" t="str">
        <f>IF('1.1 Produksi Bersih Padi 2025'!C312="","",'1.1 Produksi Bersih Padi 2025'!C312)</f>
        <v/>
      </c>
      <c r="D312" s="3" t="str">
        <f>IF('1.1 Produksi Bersih Padi 2025'!D312="","",'1.1 Produksi Bersih Padi 2025'!D312)</f>
        <v/>
      </c>
      <c r="E312" s="3" t="str">
        <f>IF('1.1 Produksi Bersih Padi 2025'!E312="","",'1.1 Produksi Bersih Padi 2025'!E312)</f>
        <v/>
      </c>
      <c r="F312" s="28" t="str">
        <f>IF(D312="","",VLOOKUP(D312,'[1]0.1 Produksi Pangan &amp; Penduduk'!$D$5:$S$860,16,0))</f>
        <v/>
      </c>
      <c r="G312" s="28" t="str">
        <f t="shared" si="24"/>
        <v/>
      </c>
      <c r="H312" s="29" t="str">
        <f t="shared" si="25"/>
        <v/>
      </c>
      <c r="I312" s="29" t="str">
        <f t="shared" si="26"/>
        <v/>
      </c>
      <c r="J312" s="29" t="str">
        <f t="shared" si="27"/>
        <v/>
      </c>
      <c r="K312" s="29" t="str">
        <f t="shared" si="28"/>
        <v/>
      </c>
      <c r="L312" s="29" t="str">
        <f t="shared" si="29"/>
        <v/>
      </c>
      <c r="N312" s="11"/>
    </row>
    <row r="313" spans="1:14" ht="15" x14ac:dyDescent="0.25">
      <c r="A313" s="1" t="str">
        <f>IF('1.1 Produksi Bersih Padi 2025'!A313="","",'1.1 Produksi Bersih Padi 2025'!A313)</f>
        <v/>
      </c>
      <c r="B313" s="2" t="str">
        <f>IF('1.1 Produksi Bersih Padi 2025'!B313="","",'1.1 Produksi Bersih Padi 2025'!B313)</f>
        <v/>
      </c>
      <c r="C313" s="2" t="str">
        <f>IF('1.1 Produksi Bersih Padi 2025'!C313="","",'1.1 Produksi Bersih Padi 2025'!C313)</f>
        <v/>
      </c>
      <c r="D313" s="3" t="str">
        <f>IF('1.1 Produksi Bersih Padi 2025'!D313="","",'1.1 Produksi Bersih Padi 2025'!D313)</f>
        <v/>
      </c>
      <c r="E313" s="3" t="str">
        <f>IF('1.1 Produksi Bersih Padi 2025'!E313="","",'1.1 Produksi Bersih Padi 2025'!E313)</f>
        <v/>
      </c>
      <c r="F313" s="28" t="str">
        <f>IF(D313="","",VLOOKUP(D313,'[1]0.1 Produksi Pangan &amp; Penduduk'!$D$5:$S$860,16,0))</f>
        <v/>
      </c>
      <c r="G313" s="28" t="str">
        <f t="shared" si="24"/>
        <v/>
      </c>
      <c r="H313" s="29" t="str">
        <f t="shared" si="25"/>
        <v/>
      </c>
      <c r="I313" s="29" t="str">
        <f t="shared" si="26"/>
        <v/>
      </c>
      <c r="J313" s="29" t="str">
        <f t="shared" si="27"/>
        <v/>
      </c>
      <c r="K313" s="29" t="str">
        <f t="shared" si="28"/>
        <v/>
      </c>
      <c r="L313" s="29" t="str">
        <f t="shared" si="29"/>
        <v/>
      </c>
      <c r="N313" s="11"/>
    </row>
    <row r="314" spans="1:14" ht="15" x14ac:dyDescent="0.25">
      <c r="A314" s="1" t="str">
        <f>IF('1.1 Produksi Bersih Padi 2025'!A314="","",'1.1 Produksi Bersih Padi 2025'!A314)</f>
        <v/>
      </c>
      <c r="B314" s="2" t="str">
        <f>IF('1.1 Produksi Bersih Padi 2025'!B314="","",'1.1 Produksi Bersih Padi 2025'!B314)</f>
        <v/>
      </c>
      <c r="C314" s="2" t="str">
        <f>IF('1.1 Produksi Bersih Padi 2025'!C314="","",'1.1 Produksi Bersih Padi 2025'!C314)</f>
        <v/>
      </c>
      <c r="D314" s="3" t="str">
        <f>IF('1.1 Produksi Bersih Padi 2025'!D314="","",'1.1 Produksi Bersih Padi 2025'!D314)</f>
        <v/>
      </c>
      <c r="E314" s="3" t="str">
        <f>IF('1.1 Produksi Bersih Padi 2025'!E314="","",'1.1 Produksi Bersih Padi 2025'!E314)</f>
        <v/>
      </c>
      <c r="F314" s="28" t="str">
        <f>IF(D314="","",VLOOKUP(D314,'[1]0.1 Produksi Pangan &amp; Penduduk'!$D$5:$S$860,16,0))</f>
        <v/>
      </c>
      <c r="G314" s="28" t="str">
        <f t="shared" si="24"/>
        <v/>
      </c>
      <c r="H314" s="29" t="str">
        <f t="shared" si="25"/>
        <v/>
      </c>
      <c r="I314" s="29" t="str">
        <f t="shared" si="26"/>
        <v/>
      </c>
      <c r="J314" s="29" t="str">
        <f t="shared" si="27"/>
        <v/>
      </c>
      <c r="K314" s="29" t="str">
        <f t="shared" si="28"/>
        <v/>
      </c>
      <c r="L314" s="29" t="str">
        <f t="shared" si="29"/>
        <v/>
      </c>
      <c r="N314" s="11"/>
    </row>
    <row r="315" spans="1:14" ht="15" x14ac:dyDescent="0.25">
      <c r="A315" s="1" t="str">
        <f>IF('1.1 Produksi Bersih Padi 2025'!A315="","",'1.1 Produksi Bersih Padi 2025'!A315)</f>
        <v/>
      </c>
      <c r="B315" s="2" t="str">
        <f>IF('1.1 Produksi Bersih Padi 2025'!B315="","",'1.1 Produksi Bersih Padi 2025'!B315)</f>
        <v/>
      </c>
      <c r="C315" s="2" t="str">
        <f>IF('1.1 Produksi Bersih Padi 2025'!C315="","",'1.1 Produksi Bersih Padi 2025'!C315)</f>
        <v/>
      </c>
      <c r="D315" s="3" t="str">
        <f>IF('1.1 Produksi Bersih Padi 2025'!D315="","",'1.1 Produksi Bersih Padi 2025'!D315)</f>
        <v/>
      </c>
      <c r="E315" s="3" t="str">
        <f>IF('1.1 Produksi Bersih Padi 2025'!E315="","",'1.1 Produksi Bersih Padi 2025'!E315)</f>
        <v/>
      </c>
      <c r="F315" s="28" t="str">
        <f>IF(D315="","",VLOOKUP(D315,'[1]0.1 Produksi Pangan &amp; Penduduk'!$D$5:$S$860,16,0))</f>
        <v/>
      </c>
      <c r="G315" s="28" t="str">
        <f t="shared" si="24"/>
        <v/>
      </c>
      <c r="H315" s="29" t="str">
        <f t="shared" si="25"/>
        <v/>
      </c>
      <c r="I315" s="29" t="str">
        <f t="shared" si="26"/>
        <v/>
      </c>
      <c r="J315" s="29" t="str">
        <f t="shared" si="27"/>
        <v/>
      </c>
      <c r="K315" s="29" t="str">
        <f t="shared" si="28"/>
        <v/>
      </c>
      <c r="L315" s="29" t="str">
        <f t="shared" si="29"/>
        <v/>
      </c>
      <c r="N315" s="11"/>
    </row>
    <row r="316" spans="1:14" ht="15" x14ac:dyDescent="0.25">
      <c r="A316" s="1" t="str">
        <f>IF('1.1 Produksi Bersih Padi 2025'!A316="","",'1.1 Produksi Bersih Padi 2025'!A316)</f>
        <v/>
      </c>
      <c r="B316" s="2" t="str">
        <f>IF('1.1 Produksi Bersih Padi 2025'!B316="","",'1.1 Produksi Bersih Padi 2025'!B316)</f>
        <v/>
      </c>
      <c r="C316" s="2" t="str">
        <f>IF('1.1 Produksi Bersih Padi 2025'!C316="","",'1.1 Produksi Bersih Padi 2025'!C316)</f>
        <v/>
      </c>
      <c r="D316" s="3" t="str">
        <f>IF('1.1 Produksi Bersih Padi 2025'!D316="","",'1.1 Produksi Bersih Padi 2025'!D316)</f>
        <v/>
      </c>
      <c r="E316" s="3" t="str">
        <f>IF('1.1 Produksi Bersih Padi 2025'!E316="","",'1.1 Produksi Bersih Padi 2025'!E316)</f>
        <v/>
      </c>
      <c r="F316" s="28" t="str">
        <f>IF(D316="","",VLOOKUP(D316,'[1]0.1 Produksi Pangan &amp; Penduduk'!$D$5:$S$860,16,0))</f>
        <v/>
      </c>
      <c r="G316" s="28" t="str">
        <f t="shared" si="24"/>
        <v/>
      </c>
      <c r="H316" s="29" t="str">
        <f t="shared" si="25"/>
        <v/>
      </c>
      <c r="I316" s="29" t="str">
        <f t="shared" si="26"/>
        <v/>
      </c>
      <c r="J316" s="29" t="str">
        <f t="shared" si="27"/>
        <v/>
      </c>
      <c r="K316" s="29" t="str">
        <f t="shared" si="28"/>
        <v/>
      </c>
      <c r="L316" s="29" t="str">
        <f t="shared" si="29"/>
        <v/>
      </c>
      <c r="N316" s="11"/>
    </row>
    <row r="317" spans="1:14" ht="15" x14ac:dyDescent="0.25">
      <c r="A317" s="1" t="str">
        <f>IF('1.1 Produksi Bersih Padi 2025'!A317="","",'1.1 Produksi Bersih Padi 2025'!A317)</f>
        <v/>
      </c>
      <c r="B317" s="2" t="str">
        <f>IF('1.1 Produksi Bersih Padi 2025'!B317="","",'1.1 Produksi Bersih Padi 2025'!B317)</f>
        <v/>
      </c>
      <c r="C317" s="2" t="str">
        <f>IF('1.1 Produksi Bersih Padi 2025'!C317="","",'1.1 Produksi Bersih Padi 2025'!C317)</f>
        <v/>
      </c>
      <c r="D317" s="3" t="str">
        <f>IF('1.1 Produksi Bersih Padi 2025'!D317="","",'1.1 Produksi Bersih Padi 2025'!D317)</f>
        <v/>
      </c>
      <c r="E317" s="3" t="str">
        <f>IF('1.1 Produksi Bersih Padi 2025'!E317="","",'1.1 Produksi Bersih Padi 2025'!E317)</f>
        <v/>
      </c>
      <c r="F317" s="28" t="str">
        <f>IF(D317="","",VLOOKUP(D317,'[1]0.1 Produksi Pangan &amp; Penduduk'!$D$5:$S$860,16,0))</f>
        <v/>
      </c>
      <c r="G317" s="28" t="str">
        <f t="shared" si="24"/>
        <v/>
      </c>
      <c r="H317" s="29" t="str">
        <f t="shared" si="25"/>
        <v/>
      </c>
      <c r="I317" s="29" t="str">
        <f t="shared" si="26"/>
        <v/>
      </c>
      <c r="J317" s="29" t="str">
        <f t="shared" si="27"/>
        <v/>
      </c>
      <c r="K317" s="29" t="str">
        <f t="shared" si="28"/>
        <v/>
      </c>
      <c r="L317" s="29" t="str">
        <f t="shared" si="29"/>
        <v/>
      </c>
      <c r="N317" s="11"/>
    </row>
    <row r="318" spans="1:14" ht="15" x14ac:dyDescent="0.25">
      <c r="A318" s="1" t="str">
        <f>IF('1.1 Produksi Bersih Padi 2025'!A318="","",'1.1 Produksi Bersih Padi 2025'!A318)</f>
        <v/>
      </c>
      <c r="B318" s="2" t="str">
        <f>IF('1.1 Produksi Bersih Padi 2025'!B318="","",'1.1 Produksi Bersih Padi 2025'!B318)</f>
        <v/>
      </c>
      <c r="C318" s="2" t="str">
        <f>IF('1.1 Produksi Bersih Padi 2025'!C318="","",'1.1 Produksi Bersih Padi 2025'!C318)</f>
        <v/>
      </c>
      <c r="D318" s="3" t="str">
        <f>IF('1.1 Produksi Bersih Padi 2025'!D318="","",'1.1 Produksi Bersih Padi 2025'!D318)</f>
        <v/>
      </c>
      <c r="E318" s="3" t="str">
        <f>IF('1.1 Produksi Bersih Padi 2025'!E318="","",'1.1 Produksi Bersih Padi 2025'!E318)</f>
        <v/>
      </c>
      <c r="F318" s="28" t="str">
        <f>IF(D318="","",VLOOKUP(D318,'[1]0.1 Produksi Pangan &amp; Penduduk'!$D$5:$S$860,16,0))</f>
        <v/>
      </c>
      <c r="G318" s="28" t="str">
        <f t="shared" si="24"/>
        <v/>
      </c>
      <c r="H318" s="29" t="str">
        <f t="shared" si="25"/>
        <v/>
      </c>
      <c r="I318" s="29" t="str">
        <f t="shared" si="26"/>
        <v/>
      </c>
      <c r="J318" s="29" t="str">
        <f t="shared" si="27"/>
        <v/>
      </c>
      <c r="K318" s="29" t="str">
        <f t="shared" si="28"/>
        <v/>
      </c>
      <c r="L318" s="29" t="str">
        <f t="shared" si="29"/>
        <v/>
      </c>
      <c r="N318" s="11"/>
    </row>
    <row r="319" spans="1:14" ht="15" x14ac:dyDescent="0.25">
      <c r="A319" s="1" t="str">
        <f>IF('1.1 Produksi Bersih Padi 2025'!A319="","",'1.1 Produksi Bersih Padi 2025'!A319)</f>
        <v/>
      </c>
      <c r="B319" s="2" t="str">
        <f>IF('1.1 Produksi Bersih Padi 2025'!B319="","",'1.1 Produksi Bersih Padi 2025'!B319)</f>
        <v/>
      </c>
      <c r="C319" s="2" t="str">
        <f>IF('1.1 Produksi Bersih Padi 2025'!C319="","",'1.1 Produksi Bersih Padi 2025'!C319)</f>
        <v/>
      </c>
      <c r="D319" s="3" t="str">
        <f>IF('1.1 Produksi Bersih Padi 2025'!D319="","",'1.1 Produksi Bersih Padi 2025'!D319)</f>
        <v/>
      </c>
      <c r="E319" s="3" t="str">
        <f>IF('1.1 Produksi Bersih Padi 2025'!E319="","",'1.1 Produksi Bersih Padi 2025'!E319)</f>
        <v/>
      </c>
      <c r="F319" s="28" t="str">
        <f>IF(D319="","",VLOOKUP(D319,'[1]0.1 Produksi Pangan &amp; Penduduk'!$D$5:$S$860,16,0))</f>
        <v/>
      </c>
      <c r="G319" s="28" t="str">
        <f t="shared" si="24"/>
        <v/>
      </c>
      <c r="H319" s="29" t="str">
        <f t="shared" si="25"/>
        <v/>
      </c>
      <c r="I319" s="29" t="str">
        <f t="shared" si="26"/>
        <v/>
      </c>
      <c r="J319" s="29" t="str">
        <f t="shared" si="27"/>
        <v/>
      </c>
      <c r="K319" s="29" t="str">
        <f t="shared" si="28"/>
        <v/>
      </c>
      <c r="L319" s="29" t="str">
        <f t="shared" si="29"/>
        <v/>
      </c>
      <c r="N319" s="11"/>
    </row>
    <row r="320" spans="1:14" ht="15" x14ac:dyDescent="0.25">
      <c r="A320" s="1" t="str">
        <f>IF('1.1 Produksi Bersih Padi 2025'!A320="","",'1.1 Produksi Bersih Padi 2025'!A320)</f>
        <v/>
      </c>
      <c r="B320" s="2" t="str">
        <f>IF('1.1 Produksi Bersih Padi 2025'!B320="","",'1.1 Produksi Bersih Padi 2025'!B320)</f>
        <v/>
      </c>
      <c r="C320" s="2" t="str">
        <f>IF('1.1 Produksi Bersih Padi 2025'!C320="","",'1.1 Produksi Bersih Padi 2025'!C320)</f>
        <v/>
      </c>
      <c r="D320" s="3" t="str">
        <f>IF('1.1 Produksi Bersih Padi 2025'!D320="","",'1.1 Produksi Bersih Padi 2025'!D320)</f>
        <v/>
      </c>
      <c r="E320" s="3" t="str">
        <f>IF('1.1 Produksi Bersih Padi 2025'!E320="","",'1.1 Produksi Bersih Padi 2025'!E320)</f>
        <v/>
      </c>
      <c r="F320" s="28" t="str">
        <f>IF(D320="","",VLOOKUP(D320,'[1]0.1 Produksi Pangan &amp; Penduduk'!$D$5:$S$860,16,0))</f>
        <v/>
      </c>
      <c r="G320" s="28" t="str">
        <f t="shared" si="24"/>
        <v/>
      </c>
      <c r="H320" s="29" t="str">
        <f t="shared" si="25"/>
        <v/>
      </c>
      <c r="I320" s="29" t="str">
        <f t="shared" si="26"/>
        <v/>
      </c>
      <c r="J320" s="29" t="str">
        <f t="shared" si="27"/>
        <v/>
      </c>
      <c r="K320" s="29" t="str">
        <f t="shared" si="28"/>
        <v/>
      </c>
      <c r="L320" s="29" t="str">
        <f t="shared" si="29"/>
        <v/>
      </c>
      <c r="N320" s="11"/>
    </row>
    <row r="321" spans="1:14" ht="15" x14ac:dyDescent="0.25">
      <c r="A321" s="1" t="str">
        <f>IF('1.1 Produksi Bersih Padi 2025'!A321="","",'1.1 Produksi Bersih Padi 2025'!A321)</f>
        <v/>
      </c>
      <c r="B321" s="2" t="str">
        <f>IF('1.1 Produksi Bersih Padi 2025'!B321="","",'1.1 Produksi Bersih Padi 2025'!B321)</f>
        <v/>
      </c>
      <c r="C321" s="2" t="str">
        <f>IF('1.1 Produksi Bersih Padi 2025'!C321="","",'1.1 Produksi Bersih Padi 2025'!C321)</f>
        <v/>
      </c>
      <c r="D321" s="3" t="str">
        <f>IF('1.1 Produksi Bersih Padi 2025'!D321="","",'1.1 Produksi Bersih Padi 2025'!D321)</f>
        <v/>
      </c>
      <c r="E321" s="3" t="str">
        <f>IF('1.1 Produksi Bersih Padi 2025'!E321="","",'1.1 Produksi Bersih Padi 2025'!E321)</f>
        <v/>
      </c>
      <c r="F321" s="28" t="str">
        <f>IF(D321="","",VLOOKUP(D321,'[1]0.1 Produksi Pangan &amp; Penduduk'!$D$5:$S$860,16,0))</f>
        <v/>
      </c>
      <c r="G321" s="28" t="str">
        <f t="shared" si="24"/>
        <v/>
      </c>
      <c r="H321" s="29" t="str">
        <f t="shared" si="25"/>
        <v/>
      </c>
      <c r="I321" s="29" t="str">
        <f t="shared" si="26"/>
        <v/>
      </c>
      <c r="J321" s="29" t="str">
        <f t="shared" si="27"/>
        <v/>
      </c>
      <c r="K321" s="29" t="str">
        <f t="shared" si="28"/>
        <v/>
      </c>
      <c r="L321" s="29" t="str">
        <f t="shared" si="29"/>
        <v/>
      </c>
      <c r="N321" s="11"/>
    </row>
    <row r="322" spans="1:14" ht="15" x14ac:dyDescent="0.25">
      <c r="A322" s="1" t="str">
        <f>IF('1.1 Produksi Bersih Padi 2025'!A322="","",'1.1 Produksi Bersih Padi 2025'!A322)</f>
        <v/>
      </c>
      <c r="B322" s="2" t="str">
        <f>IF('1.1 Produksi Bersih Padi 2025'!B322="","",'1.1 Produksi Bersih Padi 2025'!B322)</f>
        <v/>
      </c>
      <c r="C322" s="2" t="str">
        <f>IF('1.1 Produksi Bersih Padi 2025'!C322="","",'1.1 Produksi Bersih Padi 2025'!C322)</f>
        <v/>
      </c>
      <c r="D322" s="3" t="str">
        <f>IF('1.1 Produksi Bersih Padi 2025'!D322="","",'1.1 Produksi Bersih Padi 2025'!D322)</f>
        <v/>
      </c>
      <c r="E322" s="3" t="str">
        <f>IF('1.1 Produksi Bersih Padi 2025'!E322="","",'1.1 Produksi Bersih Padi 2025'!E322)</f>
        <v/>
      </c>
      <c r="F322" s="28" t="str">
        <f>IF(D322="","",VLOOKUP(D322,'[1]0.1 Produksi Pangan &amp; Penduduk'!$D$5:$S$860,16,0))</f>
        <v/>
      </c>
      <c r="G322" s="28" t="str">
        <f t="shared" si="24"/>
        <v/>
      </c>
      <c r="H322" s="29" t="str">
        <f t="shared" si="25"/>
        <v/>
      </c>
      <c r="I322" s="29" t="str">
        <f t="shared" si="26"/>
        <v/>
      </c>
      <c r="J322" s="29" t="str">
        <f t="shared" si="27"/>
        <v/>
      </c>
      <c r="K322" s="29" t="str">
        <f t="shared" si="28"/>
        <v/>
      </c>
      <c r="L322" s="29" t="str">
        <f t="shared" si="29"/>
        <v/>
      </c>
      <c r="N322" s="11"/>
    </row>
    <row r="323" spans="1:14" ht="15" x14ac:dyDescent="0.25">
      <c r="A323" s="1" t="str">
        <f>IF('1.1 Produksi Bersih Padi 2025'!A323="","",'1.1 Produksi Bersih Padi 2025'!A323)</f>
        <v/>
      </c>
      <c r="B323" s="2" t="str">
        <f>IF('1.1 Produksi Bersih Padi 2025'!B323="","",'1.1 Produksi Bersih Padi 2025'!B323)</f>
        <v/>
      </c>
      <c r="C323" s="2" t="str">
        <f>IF('1.1 Produksi Bersih Padi 2025'!C323="","",'1.1 Produksi Bersih Padi 2025'!C323)</f>
        <v/>
      </c>
      <c r="D323" s="3" t="str">
        <f>IF('1.1 Produksi Bersih Padi 2025'!D323="","",'1.1 Produksi Bersih Padi 2025'!D323)</f>
        <v/>
      </c>
      <c r="E323" s="3" t="str">
        <f>IF('1.1 Produksi Bersih Padi 2025'!E323="","",'1.1 Produksi Bersih Padi 2025'!E323)</f>
        <v/>
      </c>
      <c r="F323" s="28" t="str">
        <f>IF(D323="","",VLOOKUP(D323,'[1]0.1 Produksi Pangan &amp; Penduduk'!$D$5:$S$860,16,0))</f>
        <v/>
      </c>
      <c r="G323" s="28" t="str">
        <f t="shared" si="24"/>
        <v/>
      </c>
      <c r="H323" s="29" t="str">
        <f t="shared" si="25"/>
        <v/>
      </c>
      <c r="I323" s="29" t="str">
        <f t="shared" si="26"/>
        <v/>
      </c>
      <c r="J323" s="29" t="str">
        <f t="shared" si="27"/>
        <v/>
      </c>
      <c r="K323" s="29" t="str">
        <f t="shared" si="28"/>
        <v/>
      </c>
      <c r="L323" s="29" t="str">
        <f t="shared" si="29"/>
        <v/>
      </c>
      <c r="N323" s="11"/>
    </row>
    <row r="324" spans="1:14" ht="15" x14ac:dyDescent="0.25">
      <c r="A324" s="1" t="str">
        <f>IF('1.1 Produksi Bersih Padi 2025'!A324="","",'1.1 Produksi Bersih Padi 2025'!A324)</f>
        <v/>
      </c>
      <c r="B324" s="2" t="str">
        <f>IF('1.1 Produksi Bersih Padi 2025'!B324="","",'1.1 Produksi Bersih Padi 2025'!B324)</f>
        <v/>
      </c>
      <c r="C324" s="2" t="str">
        <f>IF('1.1 Produksi Bersih Padi 2025'!C324="","",'1.1 Produksi Bersih Padi 2025'!C324)</f>
        <v/>
      </c>
      <c r="D324" s="3" t="str">
        <f>IF('1.1 Produksi Bersih Padi 2025'!D324="","",'1.1 Produksi Bersih Padi 2025'!D324)</f>
        <v/>
      </c>
      <c r="E324" s="3" t="str">
        <f>IF('1.1 Produksi Bersih Padi 2025'!E324="","",'1.1 Produksi Bersih Padi 2025'!E324)</f>
        <v/>
      </c>
      <c r="F324" s="28" t="str">
        <f>IF(D324="","",VLOOKUP(D324,'[1]0.1 Produksi Pangan &amp; Penduduk'!$D$5:$S$860,16,0))</f>
        <v/>
      </c>
      <c r="G324" s="28" t="str">
        <f t="shared" si="24"/>
        <v/>
      </c>
      <c r="H324" s="29" t="str">
        <f t="shared" si="25"/>
        <v/>
      </c>
      <c r="I324" s="29" t="str">
        <f t="shared" si="26"/>
        <v/>
      </c>
      <c r="J324" s="29" t="str">
        <f t="shared" si="27"/>
        <v/>
      </c>
      <c r="K324" s="29" t="str">
        <f t="shared" si="28"/>
        <v/>
      </c>
      <c r="L324" s="29" t="str">
        <f t="shared" si="29"/>
        <v/>
      </c>
      <c r="N324" s="11"/>
    </row>
    <row r="325" spans="1:14" ht="15" x14ac:dyDescent="0.25">
      <c r="A325" s="1" t="str">
        <f>IF('1.1 Produksi Bersih Padi 2025'!A325="","",'1.1 Produksi Bersih Padi 2025'!A325)</f>
        <v/>
      </c>
      <c r="B325" s="2" t="str">
        <f>IF('1.1 Produksi Bersih Padi 2025'!B325="","",'1.1 Produksi Bersih Padi 2025'!B325)</f>
        <v/>
      </c>
      <c r="C325" s="2" t="str">
        <f>IF('1.1 Produksi Bersih Padi 2025'!C325="","",'1.1 Produksi Bersih Padi 2025'!C325)</f>
        <v/>
      </c>
      <c r="D325" s="3" t="str">
        <f>IF('1.1 Produksi Bersih Padi 2025'!D325="","",'1.1 Produksi Bersih Padi 2025'!D325)</f>
        <v/>
      </c>
      <c r="E325" s="3" t="str">
        <f>IF('1.1 Produksi Bersih Padi 2025'!E325="","",'1.1 Produksi Bersih Padi 2025'!E325)</f>
        <v/>
      </c>
      <c r="F325" s="28" t="str">
        <f>IF(D325="","",VLOOKUP(D325,'[1]0.1 Produksi Pangan &amp; Penduduk'!$D$5:$S$860,16,0))</f>
        <v/>
      </c>
      <c r="G325" s="28" t="str">
        <f t="shared" si="24"/>
        <v/>
      </c>
      <c r="H325" s="29" t="str">
        <f t="shared" si="25"/>
        <v/>
      </c>
      <c r="I325" s="29" t="str">
        <f t="shared" si="26"/>
        <v/>
      </c>
      <c r="J325" s="29" t="str">
        <f t="shared" si="27"/>
        <v/>
      </c>
      <c r="K325" s="29" t="str">
        <f t="shared" si="28"/>
        <v/>
      </c>
      <c r="L325" s="29" t="str">
        <f t="shared" si="29"/>
        <v/>
      </c>
      <c r="N325" s="11"/>
    </row>
    <row r="326" spans="1:14" ht="15" x14ac:dyDescent="0.25">
      <c r="A326" s="1" t="str">
        <f>IF('1.1 Produksi Bersih Padi 2025'!A326="","",'1.1 Produksi Bersih Padi 2025'!A326)</f>
        <v/>
      </c>
      <c r="B326" s="2" t="str">
        <f>IF('1.1 Produksi Bersih Padi 2025'!B326="","",'1.1 Produksi Bersih Padi 2025'!B326)</f>
        <v/>
      </c>
      <c r="C326" s="2" t="str">
        <f>IF('1.1 Produksi Bersih Padi 2025'!C326="","",'1.1 Produksi Bersih Padi 2025'!C326)</f>
        <v/>
      </c>
      <c r="D326" s="3" t="str">
        <f>IF('1.1 Produksi Bersih Padi 2025'!D326="","",'1.1 Produksi Bersih Padi 2025'!D326)</f>
        <v/>
      </c>
      <c r="E326" s="3" t="str">
        <f>IF('1.1 Produksi Bersih Padi 2025'!E326="","",'1.1 Produksi Bersih Padi 2025'!E326)</f>
        <v/>
      </c>
      <c r="F326" s="28" t="str">
        <f>IF(D326="","",VLOOKUP(D326,'[1]0.1 Produksi Pangan &amp; Penduduk'!$D$5:$S$860,16,0))</f>
        <v/>
      </c>
      <c r="G326" s="28" t="str">
        <f t="shared" ref="G326:G389" si="30">IF(F326="","",F326*73.9252%)</f>
        <v/>
      </c>
      <c r="H326" s="29" t="str">
        <f t="shared" ref="H326:H389" si="31">IF(G326="","",G326*0.345%)</f>
        <v/>
      </c>
      <c r="I326" s="29" t="str">
        <f t="shared" ref="I326:I389" si="32">IF(G326="","",G326*78.806%)</f>
        <v/>
      </c>
      <c r="J326" s="29" t="str">
        <f t="shared" ref="J326:J389" si="33">IF(G326="","",G326*4.62%)</f>
        <v/>
      </c>
      <c r="K326" s="29" t="str">
        <f t="shared" ref="K326:K389" si="34">IF(G326="","",G326-(H326+I326+J326))</f>
        <v/>
      </c>
      <c r="L326" s="29" t="str">
        <f t="shared" ref="L326:L389" si="35">IF(K326="","",K326*1.017)</f>
        <v/>
      </c>
      <c r="N326" s="11"/>
    </row>
    <row r="327" spans="1:14" ht="15" x14ac:dyDescent="0.25">
      <c r="A327" s="1" t="str">
        <f>IF('1.1 Produksi Bersih Padi 2025'!A327="","",'1.1 Produksi Bersih Padi 2025'!A327)</f>
        <v/>
      </c>
      <c r="B327" s="2" t="str">
        <f>IF('1.1 Produksi Bersih Padi 2025'!B327="","",'1.1 Produksi Bersih Padi 2025'!B327)</f>
        <v/>
      </c>
      <c r="C327" s="2" t="str">
        <f>IF('1.1 Produksi Bersih Padi 2025'!C327="","",'1.1 Produksi Bersih Padi 2025'!C327)</f>
        <v/>
      </c>
      <c r="D327" s="3" t="str">
        <f>IF('1.1 Produksi Bersih Padi 2025'!D327="","",'1.1 Produksi Bersih Padi 2025'!D327)</f>
        <v/>
      </c>
      <c r="E327" s="3" t="str">
        <f>IF('1.1 Produksi Bersih Padi 2025'!E327="","",'1.1 Produksi Bersih Padi 2025'!E327)</f>
        <v/>
      </c>
      <c r="F327" s="28" t="str">
        <f>IF(D327="","",VLOOKUP(D327,'[1]0.1 Produksi Pangan &amp; Penduduk'!$D$5:$S$860,16,0))</f>
        <v/>
      </c>
      <c r="G327" s="28" t="str">
        <f t="shared" si="30"/>
        <v/>
      </c>
      <c r="H327" s="29" t="str">
        <f t="shared" si="31"/>
        <v/>
      </c>
      <c r="I327" s="29" t="str">
        <f t="shared" si="32"/>
        <v/>
      </c>
      <c r="J327" s="29" t="str">
        <f t="shared" si="33"/>
        <v/>
      </c>
      <c r="K327" s="29" t="str">
        <f t="shared" si="34"/>
        <v/>
      </c>
      <c r="L327" s="29" t="str">
        <f t="shared" si="35"/>
        <v/>
      </c>
      <c r="N327" s="11"/>
    </row>
    <row r="328" spans="1:14" ht="15" x14ac:dyDescent="0.25">
      <c r="A328" s="1" t="str">
        <f>IF('1.1 Produksi Bersih Padi 2025'!A328="","",'1.1 Produksi Bersih Padi 2025'!A328)</f>
        <v/>
      </c>
      <c r="B328" s="2" t="str">
        <f>IF('1.1 Produksi Bersih Padi 2025'!B328="","",'1.1 Produksi Bersih Padi 2025'!B328)</f>
        <v/>
      </c>
      <c r="C328" s="2" t="str">
        <f>IF('1.1 Produksi Bersih Padi 2025'!C328="","",'1.1 Produksi Bersih Padi 2025'!C328)</f>
        <v/>
      </c>
      <c r="D328" s="3" t="str">
        <f>IF('1.1 Produksi Bersih Padi 2025'!D328="","",'1.1 Produksi Bersih Padi 2025'!D328)</f>
        <v/>
      </c>
      <c r="E328" s="3" t="str">
        <f>IF('1.1 Produksi Bersih Padi 2025'!E328="","",'1.1 Produksi Bersih Padi 2025'!E328)</f>
        <v/>
      </c>
      <c r="F328" s="28" t="str">
        <f>IF(D328="","",VLOOKUP(D328,'[1]0.1 Produksi Pangan &amp; Penduduk'!$D$5:$S$860,16,0))</f>
        <v/>
      </c>
      <c r="G328" s="28" t="str">
        <f t="shared" si="30"/>
        <v/>
      </c>
      <c r="H328" s="29" t="str">
        <f t="shared" si="31"/>
        <v/>
      </c>
      <c r="I328" s="29" t="str">
        <f t="shared" si="32"/>
        <v/>
      </c>
      <c r="J328" s="29" t="str">
        <f t="shared" si="33"/>
        <v/>
      </c>
      <c r="K328" s="29" t="str">
        <f t="shared" si="34"/>
        <v/>
      </c>
      <c r="L328" s="29" t="str">
        <f t="shared" si="35"/>
        <v/>
      </c>
      <c r="N328" s="11"/>
    </row>
    <row r="329" spans="1:14" ht="15" x14ac:dyDescent="0.25">
      <c r="A329" s="1" t="str">
        <f>IF('1.1 Produksi Bersih Padi 2025'!A329="","",'1.1 Produksi Bersih Padi 2025'!A329)</f>
        <v/>
      </c>
      <c r="B329" s="2" t="str">
        <f>IF('1.1 Produksi Bersih Padi 2025'!B329="","",'1.1 Produksi Bersih Padi 2025'!B329)</f>
        <v/>
      </c>
      <c r="C329" s="2" t="str">
        <f>IF('1.1 Produksi Bersih Padi 2025'!C329="","",'1.1 Produksi Bersih Padi 2025'!C329)</f>
        <v/>
      </c>
      <c r="D329" s="3" t="str">
        <f>IF('1.1 Produksi Bersih Padi 2025'!D329="","",'1.1 Produksi Bersih Padi 2025'!D329)</f>
        <v/>
      </c>
      <c r="E329" s="3" t="str">
        <f>IF('1.1 Produksi Bersih Padi 2025'!E329="","",'1.1 Produksi Bersih Padi 2025'!E329)</f>
        <v/>
      </c>
      <c r="F329" s="28" t="str">
        <f>IF(D329="","",VLOOKUP(D329,'[1]0.1 Produksi Pangan &amp; Penduduk'!$D$5:$S$860,16,0))</f>
        <v/>
      </c>
      <c r="G329" s="28" t="str">
        <f t="shared" si="30"/>
        <v/>
      </c>
      <c r="H329" s="29" t="str">
        <f t="shared" si="31"/>
        <v/>
      </c>
      <c r="I329" s="29" t="str">
        <f t="shared" si="32"/>
        <v/>
      </c>
      <c r="J329" s="29" t="str">
        <f t="shared" si="33"/>
        <v/>
      </c>
      <c r="K329" s="29" t="str">
        <f t="shared" si="34"/>
        <v/>
      </c>
      <c r="L329" s="29" t="str">
        <f t="shared" si="35"/>
        <v/>
      </c>
      <c r="N329" s="11"/>
    </row>
    <row r="330" spans="1:14" ht="15" x14ac:dyDescent="0.25">
      <c r="A330" s="1" t="str">
        <f>IF('1.1 Produksi Bersih Padi 2025'!A330="","",'1.1 Produksi Bersih Padi 2025'!A330)</f>
        <v/>
      </c>
      <c r="B330" s="2" t="str">
        <f>IF('1.1 Produksi Bersih Padi 2025'!B330="","",'1.1 Produksi Bersih Padi 2025'!B330)</f>
        <v/>
      </c>
      <c r="C330" s="2" t="str">
        <f>IF('1.1 Produksi Bersih Padi 2025'!C330="","",'1.1 Produksi Bersih Padi 2025'!C330)</f>
        <v/>
      </c>
      <c r="D330" s="3" t="str">
        <f>IF('1.1 Produksi Bersih Padi 2025'!D330="","",'1.1 Produksi Bersih Padi 2025'!D330)</f>
        <v/>
      </c>
      <c r="E330" s="3" t="str">
        <f>IF('1.1 Produksi Bersih Padi 2025'!E330="","",'1.1 Produksi Bersih Padi 2025'!E330)</f>
        <v/>
      </c>
      <c r="F330" s="28" t="str">
        <f>IF(D330="","",VLOOKUP(D330,'[1]0.1 Produksi Pangan &amp; Penduduk'!$D$5:$S$860,16,0))</f>
        <v/>
      </c>
      <c r="G330" s="28" t="str">
        <f t="shared" si="30"/>
        <v/>
      </c>
      <c r="H330" s="29" t="str">
        <f t="shared" si="31"/>
        <v/>
      </c>
      <c r="I330" s="29" t="str">
        <f t="shared" si="32"/>
        <v/>
      </c>
      <c r="J330" s="29" t="str">
        <f t="shared" si="33"/>
        <v/>
      </c>
      <c r="K330" s="29" t="str">
        <f t="shared" si="34"/>
        <v/>
      </c>
      <c r="L330" s="29" t="str">
        <f t="shared" si="35"/>
        <v/>
      </c>
      <c r="N330" s="11"/>
    </row>
    <row r="331" spans="1:14" ht="15" x14ac:dyDescent="0.25">
      <c r="A331" s="1" t="str">
        <f>IF('1.1 Produksi Bersih Padi 2025'!A331="","",'1.1 Produksi Bersih Padi 2025'!A331)</f>
        <v/>
      </c>
      <c r="B331" s="2" t="str">
        <f>IF('1.1 Produksi Bersih Padi 2025'!B331="","",'1.1 Produksi Bersih Padi 2025'!B331)</f>
        <v/>
      </c>
      <c r="C331" s="2" t="str">
        <f>IF('1.1 Produksi Bersih Padi 2025'!C331="","",'1.1 Produksi Bersih Padi 2025'!C331)</f>
        <v/>
      </c>
      <c r="D331" s="3" t="str">
        <f>IF('1.1 Produksi Bersih Padi 2025'!D331="","",'1.1 Produksi Bersih Padi 2025'!D331)</f>
        <v/>
      </c>
      <c r="E331" s="3" t="str">
        <f>IF('1.1 Produksi Bersih Padi 2025'!E331="","",'1.1 Produksi Bersih Padi 2025'!E331)</f>
        <v/>
      </c>
      <c r="F331" s="28" t="str">
        <f>IF(D331="","",VLOOKUP(D331,'[1]0.1 Produksi Pangan &amp; Penduduk'!$D$5:$S$860,16,0))</f>
        <v/>
      </c>
      <c r="G331" s="28" t="str">
        <f t="shared" si="30"/>
        <v/>
      </c>
      <c r="H331" s="29" t="str">
        <f t="shared" si="31"/>
        <v/>
      </c>
      <c r="I331" s="29" t="str">
        <f t="shared" si="32"/>
        <v/>
      </c>
      <c r="J331" s="29" t="str">
        <f t="shared" si="33"/>
        <v/>
      </c>
      <c r="K331" s="29" t="str">
        <f t="shared" si="34"/>
        <v/>
      </c>
      <c r="L331" s="29" t="str">
        <f t="shared" si="35"/>
        <v/>
      </c>
      <c r="N331" s="11"/>
    </row>
    <row r="332" spans="1:14" ht="15" x14ac:dyDescent="0.25">
      <c r="A332" s="1" t="str">
        <f>IF('1.1 Produksi Bersih Padi 2025'!A332="","",'1.1 Produksi Bersih Padi 2025'!A332)</f>
        <v/>
      </c>
      <c r="B332" s="2" t="str">
        <f>IF('1.1 Produksi Bersih Padi 2025'!B332="","",'1.1 Produksi Bersih Padi 2025'!B332)</f>
        <v/>
      </c>
      <c r="C332" s="2" t="str">
        <f>IF('1.1 Produksi Bersih Padi 2025'!C332="","",'1.1 Produksi Bersih Padi 2025'!C332)</f>
        <v/>
      </c>
      <c r="D332" s="3" t="str">
        <f>IF('1.1 Produksi Bersih Padi 2025'!D332="","",'1.1 Produksi Bersih Padi 2025'!D332)</f>
        <v/>
      </c>
      <c r="E332" s="3" t="str">
        <f>IF('1.1 Produksi Bersih Padi 2025'!E332="","",'1.1 Produksi Bersih Padi 2025'!E332)</f>
        <v/>
      </c>
      <c r="F332" s="28" t="str">
        <f>IF(D332="","",VLOOKUP(D332,'[1]0.1 Produksi Pangan &amp; Penduduk'!$D$5:$S$860,16,0))</f>
        <v/>
      </c>
      <c r="G332" s="28" t="str">
        <f t="shared" si="30"/>
        <v/>
      </c>
      <c r="H332" s="29" t="str">
        <f t="shared" si="31"/>
        <v/>
      </c>
      <c r="I332" s="29" t="str">
        <f t="shared" si="32"/>
        <v/>
      </c>
      <c r="J332" s="29" t="str">
        <f t="shared" si="33"/>
        <v/>
      </c>
      <c r="K332" s="29" t="str">
        <f t="shared" si="34"/>
        <v/>
      </c>
      <c r="L332" s="29" t="str">
        <f t="shared" si="35"/>
        <v/>
      </c>
      <c r="N332" s="11"/>
    </row>
    <row r="333" spans="1:14" ht="15" x14ac:dyDescent="0.25">
      <c r="A333" s="1" t="str">
        <f>IF('1.1 Produksi Bersih Padi 2025'!A333="","",'1.1 Produksi Bersih Padi 2025'!A333)</f>
        <v/>
      </c>
      <c r="B333" s="2" t="str">
        <f>IF('1.1 Produksi Bersih Padi 2025'!B333="","",'1.1 Produksi Bersih Padi 2025'!B333)</f>
        <v/>
      </c>
      <c r="C333" s="2" t="str">
        <f>IF('1.1 Produksi Bersih Padi 2025'!C333="","",'1.1 Produksi Bersih Padi 2025'!C333)</f>
        <v/>
      </c>
      <c r="D333" s="3" t="str">
        <f>IF('1.1 Produksi Bersih Padi 2025'!D333="","",'1.1 Produksi Bersih Padi 2025'!D333)</f>
        <v/>
      </c>
      <c r="E333" s="3" t="str">
        <f>IF('1.1 Produksi Bersih Padi 2025'!E333="","",'1.1 Produksi Bersih Padi 2025'!E333)</f>
        <v/>
      </c>
      <c r="F333" s="28" t="str">
        <f>IF(D333="","",VLOOKUP(D333,'[1]0.1 Produksi Pangan &amp; Penduduk'!$D$5:$S$860,16,0))</f>
        <v/>
      </c>
      <c r="G333" s="28" t="str">
        <f t="shared" si="30"/>
        <v/>
      </c>
      <c r="H333" s="29" t="str">
        <f t="shared" si="31"/>
        <v/>
      </c>
      <c r="I333" s="29" t="str">
        <f t="shared" si="32"/>
        <v/>
      </c>
      <c r="J333" s="29" t="str">
        <f t="shared" si="33"/>
        <v/>
      </c>
      <c r="K333" s="29" t="str">
        <f t="shared" si="34"/>
        <v/>
      </c>
      <c r="L333" s="29" t="str">
        <f t="shared" si="35"/>
        <v/>
      </c>
      <c r="N333" s="11"/>
    </row>
    <row r="334" spans="1:14" ht="15" x14ac:dyDescent="0.25">
      <c r="A334" s="1" t="str">
        <f>IF('1.1 Produksi Bersih Padi 2025'!A334="","",'1.1 Produksi Bersih Padi 2025'!A334)</f>
        <v/>
      </c>
      <c r="B334" s="2" t="str">
        <f>IF('1.1 Produksi Bersih Padi 2025'!B334="","",'1.1 Produksi Bersih Padi 2025'!B334)</f>
        <v/>
      </c>
      <c r="C334" s="2" t="str">
        <f>IF('1.1 Produksi Bersih Padi 2025'!C334="","",'1.1 Produksi Bersih Padi 2025'!C334)</f>
        <v/>
      </c>
      <c r="D334" s="3" t="str">
        <f>IF('1.1 Produksi Bersih Padi 2025'!D334="","",'1.1 Produksi Bersih Padi 2025'!D334)</f>
        <v/>
      </c>
      <c r="E334" s="3" t="str">
        <f>IF('1.1 Produksi Bersih Padi 2025'!E334="","",'1.1 Produksi Bersih Padi 2025'!E334)</f>
        <v/>
      </c>
      <c r="F334" s="28" t="str">
        <f>IF(D334="","",VLOOKUP(D334,'[1]0.1 Produksi Pangan &amp; Penduduk'!$D$5:$S$860,16,0))</f>
        <v/>
      </c>
      <c r="G334" s="28" t="str">
        <f t="shared" si="30"/>
        <v/>
      </c>
      <c r="H334" s="29" t="str">
        <f t="shared" si="31"/>
        <v/>
      </c>
      <c r="I334" s="29" t="str">
        <f t="shared" si="32"/>
        <v/>
      </c>
      <c r="J334" s="29" t="str">
        <f t="shared" si="33"/>
        <v/>
      </c>
      <c r="K334" s="29" t="str">
        <f t="shared" si="34"/>
        <v/>
      </c>
      <c r="L334" s="29" t="str">
        <f t="shared" si="35"/>
        <v/>
      </c>
      <c r="N334" s="11"/>
    </row>
    <row r="335" spans="1:14" ht="15" x14ac:dyDescent="0.25">
      <c r="A335" s="1" t="str">
        <f>IF('1.1 Produksi Bersih Padi 2025'!A335="","",'1.1 Produksi Bersih Padi 2025'!A335)</f>
        <v/>
      </c>
      <c r="B335" s="2" t="str">
        <f>IF('1.1 Produksi Bersih Padi 2025'!B335="","",'1.1 Produksi Bersih Padi 2025'!B335)</f>
        <v/>
      </c>
      <c r="C335" s="2" t="str">
        <f>IF('1.1 Produksi Bersih Padi 2025'!C335="","",'1.1 Produksi Bersih Padi 2025'!C335)</f>
        <v/>
      </c>
      <c r="D335" s="3" t="str">
        <f>IF('1.1 Produksi Bersih Padi 2025'!D335="","",'1.1 Produksi Bersih Padi 2025'!D335)</f>
        <v/>
      </c>
      <c r="E335" s="3" t="str">
        <f>IF('1.1 Produksi Bersih Padi 2025'!E335="","",'1.1 Produksi Bersih Padi 2025'!E335)</f>
        <v/>
      </c>
      <c r="F335" s="28" t="str">
        <f>IF(D335="","",VLOOKUP(D335,'[1]0.1 Produksi Pangan &amp; Penduduk'!$D$5:$S$860,16,0))</f>
        <v/>
      </c>
      <c r="G335" s="28" t="str">
        <f t="shared" si="30"/>
        <v/>
      </c>
      <c r="H335" s="29" t="str">
        <f t="shared" si="31"/>
        <v/>
      </c>
      <c r="I335" s="29" t="str">
        <f t="shared" si="32"/>
        <v/>
      </c>
      <c r="J335" s="29" t="str">
        <f t="shared" si="33"/>
        <v/>
      </c>
      <c r="K335" s="29" t="str">
        <f t="shared" si="34"/>
        <v/>
      </c>
      <c r="L335" s="29" t="str">
        <f t="shared" si="35"/>
        <v/>
      </c>
      <c r="N335" s="11"/>
    </row>
    <row r="336" spans="1:14" ht="15" x14ac:dyDescent="0.25">
      <c r="A336" s="1" t="str">
        <f>IF('1.1 Produksi Bersih Padi 2025'!A336="","",'1.1 Produksi Bersih Padi 2025'!A336)</f>
        <v/>
      </c>
      <c r="B336" s="2" t="str">
        <f>IF('1.1 Produksi Bersih Padi 2025'!B336="","",'1.1 Produksi Bersih Padi 2025'!B336)</f>
        <v/>
      </c>
      <c r="C336" s="2" t="str">
        <f>IF('1.1 Produksi Bersih Padi 2025'!C336="","",'1.1 Produksi Bersih Padi 2025'!C336)</f>
        <v/>
      </c>
      <c r="D336" s="3" t="str">
        <f>IF('1.1 Produksi Bersih Padi 2025'!D336="","",'1.1 Produksi Bersih Padi 2025'!D336)</f>
        <v/>
      </c>
      <c r="E336" s="3" t="str">
        <f>IF('1.1 Produksi Bersih Padi 2025'!E336="","",'1.1 Produksi Bersih Padi 2025'!E336)</f>
        <v/>
      </c>
      <c r="F336" s="28" t="str">
        <f>IF(D336="","",VLOOKUP(D336,'[1]0.1 Produksi Pangan &amp; Penduduk'!$D$5:$S$860,16,0))</f>
        <v/>
      </c>
      <c r="G336" s="28" t="str">
        <f t="shared" si="30"/>
        <v/>
      </c>
      <c r="H336" s="29" t="str">
        <f t="shared" si="31"/>
        <v/>
      </c>
      <c r="I336" s="29" t="str">
        <f t="shared" si="32"/>
        <v/>
      </c>
      <c r="J336" s="29" t="str">
        <f t="shared" si="33"/>
        <v/>
      </c>
      <c r="K336" s="29" t="str">
        <f t="shared" si="34"/>
        <v/>
      </c>
      <c r="L336" s="29" t="str">
        <f t="shared" si="35"/>
        <v/>
      </c>
      <c r="N336" s="11"/>
    </row>
    <row r="337" spans="1:14" ht="15" x14ac:dyDescent="0.25">
      <c r="A337" s="1" t="str">
        <f>IF('1.1 Produksi Bersih Padi 2025'!A337="","",'1.1 Produksi Bersih Padi 2025'!A337)</f>
        <v/>
      </c>
      <c r="B337" s="2" t="str">
        <f>IF('1.1 Produksi Bersih Padi 2025'!B337="","",'1.1 Produksi Bersih Padi 2025'!B337)</f>
        <v/>
      </c>
      <c r="C337" s="2" t="str">
        <f>IF('1.1 Produksi Bersih Padi 2025'!C337="","",'1.1 Produksi Bersih Padi 2025'!C337)</f>
        <v/>
      </c>
      <c r="D337" s="3" t="str">
        <f>IF('1.1 Produksi Bersih Padi 2025'!D337="","",'1.1 Produksi Bersih Padi 2025'!D337)</f>
        <v/>
      </c>
      <c r="E337" s="3" t="str">
        <f>IF('1.1 Produksi Bersih Padi 2025'!E337="","",'1.1 Produksi Bersih Padi 2025'!E337)</f>
        <v/>
      </c>
      <c r="F337" s="28" t="str">
        <f>IF(D337="","",VLOOKUP(D337,'[1]0.1 Produksi Pangan &amp; Penduduk'!$D$5:$S$860,16,0))</f>
        <v/>
      </c>
      <c r="G337" s="28" t="str">
        <f t="shared" si="30"/>
        <v/>
      </c>
      <c r="H337" s="29" t="str">
        <f t="shared" si="31"/>
        <v/>
      </c>
      <c r="I337" s="29" t="str">
        <f t="shared" si="32"/>
        <v/>
      </c>
      <c r="J337" s="29" t="str">
        <f t="shared" si="33"/>
        <v/>
      </c>
      <c r="K337" s="29" t="str">
        <f t="shared" si="34"/>
        <v/>
      </c>
      <c r="L337" s="29" t="str">
        <f t="shared" si="35"/>
        <v/>
      </c>
      <c r="N337" s="11"/>
    </row>
    <row r="338" spans="1:14" ht="15" x14ac:dyDescent="0.25">
      <c r="A338" s="1" t="str">
        <f>IF('1.1 Produksi Bersih Padi 2025'!A338="","",'1.1 Produksi Bersih Padi 2025'!A338)</f>
        <v/>
      </c>
      <c r="B338" s="2" t="str">
        <f>IF('1.1 Produksi Bersih Padi 2025'!B338="","",'1.1 Produksi Bersih Padi 2025'!B338)</f>
        <v/>
      </c>
      <c r="C338" s="2" t="str">
        <f>IF('1.1 Produksi Bersih Padi 2025'!C338="","",'1.1 Produksi Bersih Padi 2025'!C338)</f>
        <v/>
      </c>
      <c r="D338" s="3" t="str">
        <f>IF('1.1 Produksi Bersih Padi 2025'!D338="","",'1.1 Produksi Bersih Padi 2025'!D338)</f>
        <v/>
      </c>
      <c r="E338" s="3" t="str">
        <f>IF('1.1 Produksi Bersih Padi 2025'!E338="","",'1.1 Produksi Bersih Padi 2025'!E338)</f>
        <v/>
      </c>
      <c r="F338" s="28" t="str">
        <f>IF(D338="","",VLOOKUP(D338,'[1]0.1 Produksi Pangan &amp; Penduduk'!$D$5:$S$860,16,0))</f>
        <v/>
      </c>
      <c r="G338" s="28" t="str">
        <f t="shared" si="30"/>
        <v/>
      </c>
      <c r="H338" s="29" t="str">
        <f t="shared" si="31"/>
        <v/>
      </c>
      <c r="I338" s="29" t="str">
        <f t="shared" si="32"/>
        <v/>
      </c>
      <c r="J338" s="29" t="str">
        <f t="shared" si="33"/>
        <v/>
      </c>
      <c r="K338" s="29" t="str">
        <f t="shared" si="34"/>
        <v/>
      </c>
      <c r="L338" s="29" t="str">
        <f t="shared" si="35"/>
        <v/>
      </c>
      <c r="N338" s="11"/>
    </row>
    <row r="339" spans="1:14" ht="15" x14ac:dyDescent="0.25">
      <c r="A339" s="1" t="str">
        <f>IF('1.1 Produksi Bersih Padi 2025'!A339="","",'1.1 Produksi Bersih Padi 2025'!A339)</f>
        <v/>
      </c>
      <c r="B339" s="2" t="str">
        <f>IF('1.1 Produksi Bersih Padi 2025'!B339="","",'1.1 Produksi Bersih Padi 2025'!B339)</f>
        <v/>
      </c>
      <c r="C339" s="2" t="str">
        <f>IF('1.1 Produksi Bersih Padi 2025'!C339="","",'1.1 Produksi Bersih Padi 2025'!C339)</f>
        <v/>
      </c>
      <c r="D339" s="3" t="str">
        <f>IF('1.1 Produksi Bersih Padi 2025'!D339="","",'1.1 Produksi Bersih Padi 2025'!D339)</f>
        <v/>
      </c>
      <c r="E339" s="3" t="str">
        <f>IF('1.1 Produksi Bersih Padi 2025'!E339="","",'1.1 Produksi Bersih Padi 2025'!E339)</f>
        <v/>
      </c>
      <c r="F339" s="28" t="str">
        <f>IF(D339="","",VLOOKUP(D339,'[1]0.1 Produksi Pangan &amp; Penduduk'!$D$5:$S$860,16,0))</f>
        <v/>
      </c>
      <c r="G339" s="28" t="str">
        <f t="shared" si="30"/>
        <v/>
      </c>
      <c r="H339" s="29" t="str">
        <f t="shared" si="31"/>
        <v/>
      </c>
      <c r="I339" s="29" t="str">
        <f t="shared" si="32"/>
        <v/>
      </c>
      <c r="J339" s="29" t="str">
        <f t="shared" si="33"/>
        <v/>
      </c>
      <c r="K339" s="29" t="str">
        <f t="shared" si="34"/>
        <v/>
      </c>
      <c r="L339" s="29" t="str">
        <f t="shared" si="35"/>
        <v/>
      </c>
      <c r="N339" s="11"/>
    </row>
    <row r="340" spans="1:14" ht="15" x14ac:dyDescent="0.25">
      <c r="A340" s="1" t="str">
        <f>IF('1.1 Produksi Bersih Padi 2025'!A340="","",'1.1 Produksi Bersih Padi 2025'!A340)</f>
        <v/>
      </c>
      <c r="B340" s="2" t="str">
        <f>IF('1.1 Produksi Bersih Padi 2025'!B340="","",'1.1 Produksi Bersih Padi 2025'!B340)</f>
        <v/>
      </c>
      <c r="C340" s="2" t="str">
        <f>IF('1.1 Produksi Bersih Padi 2025'!C340="","",'1.1 Produksi Bersih Padi 2025'!C340)</f>
        <v/>
      </c>
      <c r="D340" s="3" t="str">
        <f>IF('1.1 Produksi Bersih Padi 2025'!D340="","",'1.1 Produksi Bersih Padi 2025'!D340)</f>
        <v/>
      </c>
      <c r="E340" s="3" t="str">
        <f>IF('1.1 Produksi Bersih Padi 2025'!E340="","",'1.1 Produksi Bersih Padi 2025'!E340)</f>
        <v/>
      </c>
      <c r="F340" s="28" t="str">
        <f>IF(D340="","",VLOOKUP(D340,'[1]0.1 Produksi Pangan &amp; Penduduk'!$D$5:$S$860,16,0))</f>
        <v/>
      </c>
      <c r="G340" s="28" t="str">
        <f t="shared" si="30"/>
        <v/>
      </c>
      <c r="H340" s="29" t="str">
        <f t="shared" si="31"/>
        <v/>
      </c>
      <c r="I340" s="29" t="str">
        <f t="shared" si="32"/>
        <v/>
      </c>
      <c r="J340" s="29" t="str">
        <f t="shared" si="33"/>
        <v/>
      </c>
      <c r="K340" s="29" t="str">
        <f t="shared" si="34"/>
        <v/>
      </c>
      <c r="L340" s="29" t="str">
        <f t="shared" si="35"/>
        <v/>
      </c>
      <c r="N340" s="11"/>
    </row>
    <row r="341" spans="1:14" ht="15" x14ac:dyDescent="0.25">
      <c r="A341" s="1" t="str">
        <f>IF('1.1 Produksi Bersih Padi 2025'!A341="","",'1.1 Produksi Bersih Padi 2025'!A341)</f>
        <v/>
      </c>
      <c r="B341" s="2" t="str">
        <f>IF('1.1 Produksi Bersih Padi 2025'!B341="","",'1.1 Produksi Bersih Padi 2025'!B341)</f>
        <v/>
      </c>
      <c r="C341" s="2" t="str">
        <f>IF('1.1 Produksi Bersih Padi 2025'!C341="","",'1.1 Produksi Bersih Padi 2025'!C341)</f>
        <v/>
      </c>
      <c r="D341" s="3" t="str">
        <f>IF('1.1 Produksi Bersih Padi 2025'!D341="","",'1.1 Produksi Bersih Padi 2025'!D341)</f>
        <v/>
      </c>
      <c r="E341" s="3" t="str">
        <f>IF('1.1 Produksi Bersih Padi 2025'!E341="","",'1.1 Produksi Bersih Padi 2025'!E341)</f>
        <v/>
      </c>
      <c r="F341" s="28" t="str">
        <f>IF(D341="","",VLOOKUP(D341,'[1]0.1 Produksi Pangan &amp; Penduduk'!$D$5:$S$860,16,0))</f>
        <v/>
      </c>
      <c r="G341" s="28" t="str">
        <f t="shared" si="30"/>
        <v/>
      </c>
      <c r="H341" s="29" t="str">
        <f t="shared" si="31"/>
        <v/>
      </c>
      <c r="I341" s="29" t="str">
        <f t="shared" si="32"/>
        <v/>
      </c>
      <c r="J341" s="29" t="str">
        <f t="shared" si="33"/>
        <v/>
      </c>
      <c r="K341" s="29" t="str">
        <f t="shared" si="34"/>
        <v/>
      </c>
      <c r="L341" s="29" t="str">
        <f t="shared" si="35"/>
        <v/>
      </c>
      <c r="N341" s="11"/>
    </row>
    <row r="342" spans="1:14" ht="15" x14ac:dyDescent="0.25">
      <c r="A342" s="1" t="str">
        <f>IF('1.1 Produksi Bersih Padi 2025'!A342="","",'1.1 Produksi Bersih Padi 2025'!A342)</f>
        <v/>
      </c>
      <c r="B342" s="2" t="str">
        <f>IF('1.1 Produksi Bersih Padi 2025'!B342="","",'1.1 Produksi Bersih Padi 2025'!B342)</f>
        <v/>
      </c>
      <c r="C342" s="2" t="str">
        <f>IF('1.1 Produksi Bersih Padi 2025'!C342="","",'1.1 Produksi Bersih Padi 2025'!C342)</f>
        <v/>
      </c>
      <c r="D342" s="3" t="str">
        <f>IF('1.1 Produksi Bersih Padi 2025'!D342="","",'1.1 Produksi Bersih Padi 2025'!D342)</f>
        <v/>
      </c>
      <c r="E342" s="3" t="str">
        <f>IF('1.1 Produksi Bersih Padi 2025'!E342="","",'1.1 Produksi Bersih Padi 2025'!E342)</f>
        <v/>
      </c>
      <c r="F342" s="28" t="str">
        <f>IF(D342="","",VLOOKUP(D342,'[1]0.1 Produksi Pangan &amp; Penduduk'!$D$5:$S$860,16,0))</f>
        <v/>
      </c>
      <c r="G342" s="28" t="str">
        <f t="shared" si="30"/>
        <v/>
      </c>
      <c r="H342" s="29" t="str">
        <f t="shared" si="31"/>
        <v/>
      </c>
      <c r="I342" s="29" t="str">
        <f t="shared" si="32"/>
        <v/>
      </c>
      <c r="J342" s="29" t="str">
        <f t="shared" si="33"/>
        <v/>
      </c>
      <c r="K342" s="29" t="str">
        <f t="shared" si="34"/>
        <v/>
      </c>
      <c r="L342" s="29" t="str">
        <f t="shared" si="35"/>
        <v/>
      </c>
      <c r="N342" s="11"/>
    </row>
    <row r="343" spans="1:14" ht="15" x14ac:dyDescent="0.25">
      <c r="A343" s="1" t="str">
        <f>IF('1.1 Produksi Bersih Padi 2025'!A343="","",'1.1 Produksi Bersih Padi 2025'!A343)</f>
        <v/>
      </c>
      <c r="B343" s="2" t="str">
        <f>IF('1.1 Produksi Bersih Padi 2025'!B343="","",'1.1 Produksi Bersih Padi 2025'!B343)</f>
        <v/>
      </c>
      <c r="C343" s="2" t="str">
        <f>IF('1.1 Produksi Bersih Padi 2025'!C343="","",'1.1 Produksi Bersih Padi 2025'!C343)</f>
        <v/>
      </c>
      <c r="D343" s="3" t="str">
        <f>IF('1.1 Produksi Bersih Padi 2025'!D343="","",'1.1 Produksi Bersih Padi 2025'!D343)</f>
        <v/>
      </c>
      <c r="E343" s="3" t="str">
        <f>IF('1.1 Produksi Bersih Padi 2025'!E343="","",'1.1 Produksi Bersih Padi 2025'!E343)</f>
        <v/>
      </c>
      <c r="F343" s="28" t="str">
        <f>IF(D343="","",VLOOKUP(D343,'[1]0.1 Produksi Pangan &amp; Penduduk'!$D$5:$S$860,16,0))</f>
        <v/>
      </c>
      <c r="G343" s="28" t="str">
        <f t="shared" si="30"/>
        <v/>
      </c>
      <c r="H343" s="29" t="str">
        <f t="shared" si="31"/>
        <v/>
      </c>
      <c r="I343" s="29" t="str">
        <f t="shared" si="32"/>
        <v/>
      </c>
      <c r="J343" s="29" t="str">
        <f t="shared" si="33"/>
        <v/>
      </c>
      <c r="K343" s="29" t="str">
        <f t="shared" si="34"/>
        <v/>
      </c>
      <c r="L343" s="29" t="str">
        <f t="shared" si="35"/>
        <v/>
      </c>
      <c r="N343" s="11"/>
    </row>
    <row r="344" spans="1:14" ht="15" x14ac:dyDescent="0.25">
      <c r="A344" s="1" t="str">
        <f>IF('1.1 Produksi Bersih Padi 2025'!A344="","",'1.1 Produksi Bersih Padi 2025'!A344)</f>
        <v/>
      </c>
      <c r="B344" s="2" t="str">
        <f>IF('1.1 Produksi Bersih Padi 2025'!B344="","",'1.1 Produksi Bersih Padi 2025'!B344)</f>
        <v/>
      </c>
      <c r="C344" s="2" t="str">
        <f>IF('1.1 Produksi Bersih Padi 2025'!C344="","",'1.1 Produksi Bersih Padi 2025'!C344)</f>
        <v/>
      </c>
      <c r="D344" s="3" t="str">
        <f>IF('1.1 Produksi Bersih Padi 2025'!D344="","",'1.1 Produksi Bersih Padi 2025'!D344)</f>
        <v/>
      </c>
      <c r="E344" s="3" t="str">
        <f>IF('1.1 Produksi Bersih Padi 2025'!E344="","",'1.1 Produksi Bersih Padi 2025'!E344)</f>
        <v/>
      </c>
      <c r="F344" s="28" t="str">
        <f>IF(D344="","",VLOOKUP(D344,'[1]0.1 Produksi Pangan &amp; Penduduk'!$D$5:$S$860,16,0))</f>
        <v/>
      </c>
      <c r="G344" s="28" t="str">
        <f t="shared" si="30"/>
        <v/>
      </c>
      <c r="H344" s="29" t="str">
        <f t="shared" si="31"/>
        <v/>
      </c>
      <c r="I344" s="29" t="str">
        <f t="shared" si="32"/>
        <v/>
      </c>
      <c r="J344" s="29" t="str">
        <f t="shared" si="33"/>
        <v/>
      </c>
      <c r="K344" s="29" t="str">
        <f t="shared" si="34"/>
        <v/>
      </c>
      <c r="L344" s="29" t="str">
        <f t="shared" si="35"/>
        <v/>
      </c>
      <c r="N344" s="11"/>
    </row>
    <row r="345" spans="1:14" ht="15" x14ac:dyDescent="0.25">
      <c r="A345" s="1" t="str">
        <f>IF('1.1 Produksi Bersih Padi 2025'!A345="","",'1.1 Produksi Bersih Padi 2025'!A345)</f>
        <v/>
      </c>
      <c r="B345" s="2" t="str">
        <f>IF('1.1 Produksi Bersih Padi 2025'!B345="","",'1.1 Produksi Bersih Padi 2025'!B345)</f>
        <v/>
      </c>
      <c r="C345" s="2" t="str">
        <f>IF('1.1 Produksi Bersih Padi 2025'!C345="","",'1.1 Produksi Bersih Padi 2025'!C345)</f>
        <v/>
      </c>
      <c r="D345" s="3" t="str">
        <f>IF('1.1 Produksi Bersih Padi 2025'!D345="","",'1.1 Produksi Bersih Padi 2025'!D345)</f>
        <v/>
      </c>
      <c r="E345" s="3" t="str">
        <f>IF('1.1 Produksi Bersih Padi 2025'!E345="","",'1.1 Produksi Bersih Padi 2025'!E345)</f>
        <v/>
      </c>
      <c r="F345" s="28" t="str">
        <f>IF(D345="","",VLOOKUP(D345,'[1]0.1 Produksi Pangan &amp; Penduduk'!$D$5:$S$860,16,0))</f>
        <v/>
      </c>
      <c r="G345" s="28" t="str">
        <f t="shared" si="30"/>
        <v/>
      </c>
      <c r="H345" s="29" t="str">
        <f t="shared" si="31"/>
        <v/>
      </c>
      <c r="I345" s="29" t="str">
        <f t="shared" si="32"/>
        <v/>
      </c>
      <c r="J345" s="29" t="str">
        <f t="shared" si="33"/>
        <v/>
      </c>
      <c r="K345" s="29" t="str">
        <f t="shared" si="34"/>
        <v/>
      </c>
      <c r="L345" s="29" t="str">
        <f t="shared" si="35"/>
        <v/>
      </c>
      <c r="N345" s="11"/>
    </row>
    <row r="346" spans="1:14" ht="15" x14ac:dyDescent="0.25">
      <c r="A346" s="1" t="str">
        <f>IF('1.1 Produksi Bersih Padi 2025'!A346="","",'1.1 Produksi Bersih Padi 2025'!A346)</f>
        <v/>
      </c>
      <c r="B346" s="2" t="str">
        <f>IF('1.1 Produksi Bersih Padi 2025'!B346="","",'1.1 Produksi Bersih Padi 2025'!B346)</f>
        <v/>
      </c>
      <c r="C346" s="2" t="str">
        <f>IF('1.1 Produksi Bersih Padi 2025'!C346="","",'1.1 Produksi Bersih Padi 2025'!C346)</f>
        <v/>
      </c>
      <c r="D346" s="3" t="str">
        <f>IF('1.1 Produksi Bersih Padi 2025'!D346="","",'1.1 Produksi Bersih Padi 2025'!D346)</f>
        <v/>
      </c>
      <c r="E346" s="3" t="str">
        <f>IF('1.1 Produksi Bersih Padi 2025'!E346="","",'1.1 Produksi Bersih Padi 2025'!E346)</f>
        <v/>
      </c>
      <c r="F346" s="28" t="str">
        <f>IF(D346="","",VLOOKUP(D346,'[1]0.1 Produksi Pangan &amp; Penduduk'!$D$5:$S$860,16,0))</f>
        <v/>
      </c>
      <c r="G346" s="28" t="str">
        <f t="shared" si="30"/>
        <v/>
      </c>
      <c r="H346" s="29" t="str">
        <f t="shared" si="31"/>
        <v/>
      </c>
      <c r="I346" s="29" t="str">
        <f t="shared" si="32"/>
        <v/>
      </c>
      <c r="J346" s="29" t="str">
        <f t="shared" si="33"/>
        <v/>
      </c>
      <c r="K346" s="29" t="str">
        <f t="shared" si="34"/>
        <v/>
      </c>
      <c r="L346" s="29" t="str">
        <f t="shared" si="35"/>
        <v/>
      </c>
      <c r="N346" s="11"/>
    </row>
    <row r="347" spans="1:14" ht="15" x14ac:dyDescent="0.25">
      <c r="A347" s="1" t="str">
        <f>IF('1.1 Produksi Bersih Padi 2025'!A347="","",'1.1 Produksi Bersih Padi 2025'!A347)</f>
        <v/>
      </c>
      <c r="B347" s="2" t="str">
        <f>IF('1.1 Produksi Bersih Padi 2025'!B347="","",'1.1 Produksi Bersih Padi 2025'!B347)</f>
        <v/>
      </c>
      <c r="C347" s="2" t="str">
        <f>IF('1.1 Produksi Bersih Padi 2025'!C347="","",'1.1 Produksi Bersih Padi 2025'!C347)</f>
        <v/>
      </c>
      <c r="D347" s="3" t="str">
        <f>IF('1.1 Produksi Bersih Padi 2025'!D347="","",'1.1 Produksi Bersih Padi 2025'!D347)</f>
        <v/>
      </c>
      <c r="E347" s="3" t="str">
        <f>IF('1.1 Produksi Bersih Padi 2025'!E347="","",'1.1 Produksi Bersih Padi 2025'!E347)</f>
        <v/>
      </c>
      <c r="F347" s="28" t="str">
        <f>IF(D347="","",VLOOKUP(D347,'[1]0.1 Produksi Pangan &amp; Penduduk'!$D$5:$S$860,16,0))</f>
        <v/>
      </c>
      <c r="G347" s="28" t="str">
        <f t="shared" si="30"/>
        <v/>
      </c>
      <c r="H347" s="29" t="str">
        <f t="shared" si="31"/>
        <v/>
      </c>
      <c r="I347" s="29" t="str">
        <f t="shared" si="32"/>
        <v/>
      </c>
      <c r="J347" s="29" t="str">
        <f t="shared" si="33"/>
        <v/>
      </c>
      <c r="K347" s="29" t="str">
        <f t="shared" si="34"/>
        <v/>
      </c>
      <c r="L347" s="29" t="str">
        <f t="shared" si="35"/>
        <v/>
      </c>
      <c r="N347" s="11"/>
    </row>
    <row r="348" spans="1:14" ht="15" x14ac:dyDescent="0.25">
      <c r="A348" s="1" t="str">
        <f>IF('1.1 Produksi Bersih Padi 2025'!A348="","",'1.1 Produksi Bersih Padi 2025'!A348)</f>
        <v/>
      </c>
      <c r="B348" s="2" t="str">
        <f>IF('1.1 Produksi Bersih Padi 2025'!B348="","",'1.1 Produksi Bersih Padi 2025'!B348)</f>
        <v/>
      </c>
      <c r="C348" s="2" t="str">
        <f>IF('1.1 Produksi Bersih Padi 2025'!C348="","",'1.1 Produksi Bersih Padi 2025'!C348)</f>
        <v/>
      </c>
      <c r="D348" s="3" t="str">
        <f>IF('1.1 Produksi Bersih Padi 2025'!D348="","",'1.1 Produksi Bersih Padi 2025'!D348)</f>
        <v/>
      </c>
      <c r="E348" s="3" t="str">
        <f>IF('1.1 Produksi Bersih Padi 2025'!E348="","",'1.1 Produksi Bersih Padi 2025'!E348)</f>
        <v/>
      </c>
      <c r="F348" s="28" t="str">
        <f>IF(D348="","",VLOOKUP(D348,'[1]0.1 Produksi Pangan &amp; Penduduk'!$D$5:$S$860,16,0))</f>
        <v/>
      </c>
      <c r="G348" s="28" t="str">
        <f t="shared" si="30"/>
        <v/>
      </c>
      <c r="H348" s="29" t="str">
        <f t="shared" si="31"/>
        <v/>
      </c>
      <c r="I348" s="29" t="str">
        <f t="shared" si="32"/>
        <v/>
      </c>
      <c r="J348" s="29" t="str">
        <f t="shared" si="33"/>
        <v/>
      </c>
      <c r="K348" s="29" t="str">
        <f t="shared" si="34"/>
        <v/>
      </c>
      <c r="L348" s="29" t="str">
        <f t="shared" si="35"/>
        <v/>
      </c>
      <c r="N348" s="11"/>
    </row>
    <row r="349" spans="1:14" ht="15" x14ac:dyDescent="0.25">
      <c r="A349" s="1" t="str">
        <f>IF('1.1 Produksi Bersih Padi 2025'!A349="","",'1.1 Produksi Bersih Padi 2025'!A349)</f>
        <v/>
      </c>
      <c r="B349" s="2" t="str">
        <f>IF('1.1 Produksi Bersih Padi 2025'!B349="","",'1.1 Produksi Bersih Padi 2025'!B349)</f>
        <v/>
      </c>
      <c r="C349" s="2" t="str">
        <f>IF('1.1 Produksi Bersih Padi 2025'!C349="","",'1.1 Produksi Bersih Padi 2025'!C349)</f>
        <v/>
      </c>
      <c r="D349" s="3" t="str">
        <f>IF('1.1 Produksi Bersih Padi 2025'!D349="","",'1.1 Produksi Bersih Padi 2025'!D349)</f>
        <v/>
      </c>
      <c r="E349" s="3" t="str">
        <f>IF('1.1 Produksi Bersih Padi 2025'!E349="","",'1.1 Produksi Bersih Padi 2025'!E349)</f>
        <v/>
      </c>
      <c r="F349" s="28" t="str">
        <f>IF(D349="","",VLOOKUP(D349,'[1]0.1 Produksi Pangan &amp; Penduduk'!$D$5:$S$860,16,0))</f>
        <v/>
      </c>
      <c r="G349" s="28" t="str">
        <f t="shared" si="30"/>
        <v/>
      </c>
      <c r="H349" s="29" t="str">
        <f t="shared" si="31"/>
        <v/>
      </c>
      <c r="I349" s="29" t="str">
        <f t="shared" si="32"/>
        <v/>
      </c>
      <c r="J349" s="29" t="str">
        <f t="shared" si="33"/>
        <v/>
      </c>
      <c r="K349" s="29" t="str">
        <f t="shared" si="34"/>
        <v/>
      </c>
      <c r="L349" s="29" t="str">
        <f t="shared" si="35"/>
        <v/>
      </c>
      <c r="N349" s="11"/>
    </row>
    <row r="350" spans="1:14" ht="15" x14ac:dyDescent="0.25">
      <c r="A350" s="1" t="str">
        <f>IF('1.1 Produksi Bersih Padi 2025'!A350="","",'1.1 Produksi Bersih Padi 2025'!A350)</f>
        <v/>
      </c>
      <c r="B350" s="2" t="str">
        <f>IF('1.1 Produksi Bersih Padi 2025'!B350="","",'1.1 Produksi Bersih Padi 2025'!B350)</f>
        <v/>
      </c>
      <c r="C350" s="2" t="str">
        <f>IF('1.1 Produksi Bersih Padi 2025'!C350="","",'1.1 Produksi Bersih Padi 2025'!C350)</f>
        <v/>
      </c>
      <c r="D350" s="3" t="str">
        <f>IF('1.1 Produksi Bersih Padi 2025'!D350="","",'1.1 Produksi Bersih Padi 2025'!D350)</f>
        <v/>
      </c>
      <c r="E350" s="3" t="str">
        <f>IF('1.1 Produksi Bersih Padi 2025'!E350="","",'1.1 Produksi Bersih Padi 2025'!E350)</f>
        <v/>
      </c>
      <c r="F350" s="28" t="str">
        <f>IF(D350="","",VLOOKUP(D350,'[1]0.1 Produksi Pangan &amp; Penduduk'!$D$5:$S$860,16,0))</f>
        <v/>
      </c>
      <c r="G350" s="28" t="str">
        <f t="shared" si="30"/>
        <v/>
      </c>
      <c r="H350" s="29" t="str">
        <f t="shared" si="31"/>
        <v/>
      </c>
      <c r="I350" s="29" t="str">
        <f t="shared" si="32"/>
        <v/>
      </c>
      <c r="J350" s="29" t="str">
        <f t="shared" si="33"/>
        <v/>
      </c>
      <c r="K350" s="29" t="str">
        <f t="shared" si="34"/>
        <v/>
      </c>
      <c r="L350" s="29" t="str">
        <f t="shared" si="35"/>
        <v/>
      </c>
      <c r="N350" s="11"/>
    </row>
    <row r="351" spans="1:14" ht="15" x14ac:dyDescent="0.25">
      <c r="A351" s="1" t="str">
        <f>IF('1.1 Produksi Bersih Padi 2025'!A351="","",'1.1 Produksi Bersih Padi 2025'!A351)</f>
        <v/>
      </c>
      <c r="B351" s="2" t="str">
        <f>IF('1.1 Produksi Bersih Padi 2025'!B351="","",'1.1 Produksi Bersih Padi 2025'!B351)</f>
        <v/>
      </c>
      <c r="C351" s="2" t="str">
        <f>IF('1.1 Produksi Bersih Padi 2025'!C351="","",'1.1 Produksi Bersih Padi 2025'!C351)</f>
        <v/>
      </c>
      <c r="D351" s="3" t="str">
        <f>IF('1.1 Produksi Bersih Padi 2025'!D351="","",'1.1 Produksi Bersih Padi 2025'!D351)</f>
        <v/>
      </c>
      <c r="E351" s="3" t="str">
        <f>IF('1.1 Produksi Bersih Padi 2025'!E351="","",'1.1 Produksi Bersih Padi 2025'!E351)</f>
        <v/>
      </c>
      <c r="F351" s="28" t="str">
        <f>IF(D351="","",VLOOKUP(D351,'[1]0.1 Produksi Pangan &amp; Penduduk'!$D$5:$S$860,16,0))</f>
        <v/>
      </c>
      <c r="G351" s="28" t="str">
        <f t="shared" si="30"/>
        <v/>
      </c>
      <c r="H351" s="29" t="str">
        <f t="shared" si="31"/>
        <v/>
      </c>
      <c r="I351" s="29" t="str">
        <f t="shared" si="32"/>
        <v/>
      </c>
      <c r="J351" s="29" t="str">
        <f t="shared" si="33"/>
        <v/>
      </c>
      <c r="K351" s="29" t="str">
        <f t="shared" si="34"/>
        <v/>
      </c>
      <c r="L351" s="29" t="str">
        <f t="shared" si="35"/>
        <v/>
      </c>
      <c r="N351" s="11"/>
    </row>
    <row r="352" spans="1:14" ht="15" x14ac:dyDescent="0.25">
      <c r="A352" s="1" t="str">
        <f>IF('1.1 Produksi Bersih Padi 2025'!A352="","",'1.1 Produksi Bersih Padi 2025'!A352)</f>
        <v/>
      </c>
      <c r="B352" s="2" t="str">
        <f>IF('1.1 Produksi Bersih Padi 2025'!B352="","",'1.1 Produksi Bersih Padi 2025'!B352)</f>
        <v/>
      </c>
      <c r="C352" s="2" t="str">
        <f>IF('1.1 Produksi Bersih Padi 2025'!C352="","",'1.1 Produksi Bersih Padi 2025'!C352)</f>
        <v/>
      </c>
      <c r="D352" s="3" t="str">
        <f>IF('1.1 Produksi Bersih Padi 2025'!D352="","",'1.1 Produksi Bersih Padi 2025'!D352)</f>
        <v/>
      </c>
      <c r="E352" s="3" t="str">
        <f>IF('1.1 Produksi Bersih Padi 2025'!E352="","",'1.1 Produksi Bersih Padi 2025'!E352)</f>
        <v/>
      </c>
      <c r="F352" s="28" t="str">
        <f>IF(D352="","",VLOOKUP(D352,'[1]0.1 Produksi Pangan &amp; Penduduk'!$D$5:$S$860,16,0))</f>
        <v/>
      </c>
      <c r="G352" s="28" t="str">
        <f t="shared" si="30"/>
        <v/>
      </c>
      <c r="H352" s="29" t="str">
        <f t="shared" si="31"/>
        <v/>
      </c>
      <c r="I352" s="29" t="str">
        <f t="shared" si="32"/>
        <v/>
      </c>
      <c r="J352" s="29" t="str">
        <f t="shared" si="33"/>
        <v/>
      </c>
      <c r="K352" s="29" t="str">
        <f t="shared" si="34"/>
        <v/>
      </c>
      <c r="L352" s="29" t="str">
        <f t="shared" si="35"/>
        <v/>
      </c>
      <c r="N352" s="11"/>
    </row>
    <row r="353" spans="1:14" ht="15" x14ac:dyDescent="0.25">
      <c r="A353" s="1" t="str">
        <f>IF('1.1 Produksi Bersih Padi 2025'!A353="","",'1.1 Produksi Bersih Padi 2025'!A353)</f>
        <v/>
      </c>
      <c r="B353" s="2" t="str">
        <f>IF('1.1 Produksi Bersih Padi 2025'!B353="","",'1.1 Produksi Bersih Padi 2025'!B353)</f>
        <v/>
      </c>
      <c r="C353" s="2" t="str">
        <f>IF('1.1 Produksi Bersih Padi 2025'!C353="","",'1.1 Produksi Bersih Padi 2025'!C353)</f>
        <v/>
      </c>
      <c r="D353" s="3" t="str">
        <f>IF('1.1 Produksi Bersih Padi 2025'!D353="","",'1.1 Produksi Bersih Padi 2025'!D353)</f>
        <v/>
      </c>
      <c r="E353" s="3" t="str">
        <f>IF('1.1 Produksi Bersih Padi 2025'!E353="","",'1.1 Produksi Bersih Padi 2025'!E353)</f>
        <v/>
      </c>
      <c r="F353" s="28" t="str">
        <f>IF(D353="","",VLOOKUP(D353,'[1]0.1 Produksi Pangan &amp; Penduduk'!$D$5:$S$860,16,0))</f>
        <v/>
      </c>
      <c r="G353" s="28" t="str">
        <f t="shared" si="30"/>
        <v/>
      </c>
      <c r="H353" s="29" t="str">
        <f t="shared" si="31"/>
        <v/>
      </c>
      <c r="I353" s="29" t="str">
        <f t="shared" si="32"/>
        <v/>
      </c>
      <c r="J353" s="29" t="str">
        <f t="shared" si="33"/>
        <v/>
      </c>
      <c r="K353" s="29" t="str">
        <f t="shared" si="34"/>
        <v/>
      </c>
      <c r="L353" s="29" t="str">
        <f t="shared" si="35"/>
        <v/>
      </c>
      <c r="N353" s="11"/>
    </row>
    <row r="354" spans="1:14" ht="15" x14ac:dyDescent="0.25">
      <c r="A354" s="1" t="str">
        <f>IF('1.1 Produksi Bersih Padi 2025'!A354="","",'1.1 Produksi Bersih Padi 2025'!A354)</f>
        <v/>
      </c>
      <c r="B354" s="2" t="str">
        <f>IF('1.1 Produksi Bersih Padi 2025'!B354="","",'1.1 Produksi Bersih Padi 2025'!B354)</f>
        <v/>
      </c>
      <c r="C354" s="2" t="str">
        <f>IF('1.1 Produksi Bersih Padi 2025'!C354="","",'1.1 Produksi Bersih Padi 2025'!C354)</f>
        <v/>
      </c>
      <c r="D354" s="3" t="str">
        <f>IF('1.1 Produksi Bersih Padi 2025'!D354="","",'1.1 Produksi Bersih Padi 2025'!D354)</f>
        <v/>
      </c>
      <c r="E354" s="3" t="str">
        <f>IF('1.1 Produksi Bersih Padi 2025'!E354="","",'1.1 Produksi Bersih Padi 2025'!E354)</f>
        <v/>
      </c>
      <c r="F354" s="28" t="str">
        <f>IF(D354="","",VLOOKUP(D354,'[1]0.1 Produksi Pangan &amp; Penduduk'!$D$5:$S$860,16,0))</f>
        <v/>
      </c>
      <c r="G354" s="28" t="str">
        <f t="shared" si="30"/>
        <v/>
      </c>
      <c r="H354" s="29" t="str">
        <f t="shared" si="31"/>
        <v/>
      </c>
      <c r="I354" s="29" t="str">
        <f t="shared" si="32"/>
        <v/>
      </c>
      <c r="J354" s="29" t="str">
        <f t="shared" si="33"/>
        <v/>
      </c>
      <c r="K354" s="29" t="str">
        <f t="shared" si="34"/>
        <v/>
      </c>
      <c r="L354" s="29" t="str">
        <f t="shared" si="35"/>
        <v/>
      </c>
      <c r="N354" s="11"/>
    </row>
    <row r="355" spans="1:14" ht="15" x14ac:dyDescent="0.25">
      <c r="A355" s="1" t="str">
        <f>IF('1.1 Produksi Bersih Padi 2025'!A355="","",'1.1 Produksi Bersih Padi 2025'!A355)</f>
        <v/>
      </c>
      <c r="B355" s="2" t="str">
        <f>IF('1.1 Produksi Bersih Padi 2025'!B355="","",'1.1 Produksi Bersih Padi 2025'!B355)</f>
        <v/>
      </c>
      <c r="C355" s="2" t="str">
        <f>IF('1.1 Produksi Bersih Padi 2025'!C355="","",'1.1 Produksi Bersih Padi 2025'!C355)</f>
        <v/>
      </c>
      <c r="D355" s="3" t="str">
        <f>IF('1.1 Produksi Bersih Padi 2025'!D355="","",'1.1 Produksi Bersih Padi 2025'!D355)</f>
        <v/>
      </c>
      <c r="E355" s="3" t="str">
        <f>IF('1.1 Produksi Bersih Padi 2025'!E355="","",'1.1 Produksi Bersih Padi 2025'!E355)</f>
        <v/>
      </c>
      <c r="F355" s="28" t="str">
        <f>IF(D355="","",VLOOKUP(D355,'[1]0.1 Produksi Pangan &amp; Penduduk'!$D$5:$S$860,16,0))</f>
        <v/>
      </c>
      <c r="G355" s="28" t="str">
        <f t="shared" si="30"/>
        <v/>
      </c>
      <c r="H355" s="29" t="str">
        <f t="shared" si="31"/>
        <v/>
      </c>
      <c r="I355" s="29" t="str">
        <f t="shared" si="32"/>
        <v/>
      </c>
      <c r="J355" s="29" t="str">
        <f t="shared" si="33"/>
        <v/>
      </c>
      <c r="K355" s="29" t="str">
        <f t="shared" si="34"/>
        <v/>
      </c>
      <c r="L355" s="29" t="str">
        <f t="shared" si="35"/>
        <v/>
      </c>
      <c r="N355" s="11"/>
    </row>
    <row r="356" spans="1:14" ht="15" x14ac:dyDescent="0.25">
      <c r="A356" s="1" t="str">
        <f>IF('1.1 Produksi Bersih Padi 2025'!A356="","",'1.1 Produksi Bersih Padi 2025'!A356)</f>
        <v/>
      </c>
      <c r="B356" s="2" t="str">
        <f>IF('1.1 Produksi Bersih Padi 2025'!B356="","",'1.1 Produksi Bersih Padi 2025'!B356)</f>
        <v/>
      </c>
      <c r="C356" s="2" t="str">
        <f>IF('1.1 Produksi Bersih Padi 2025'!C356="","",'1.1 Produksi Bersih Padi 2025'!C356)</f>
        <v/>
      </c>
      <c r="D356" s="3" t="str">
        <f>IF('1.1 Produksi Bersih Padi 2025'!D356="","",'1.1 Produksi Bersih Padi 2025'!D356)</f>
        <v/>
      </c>
      <c r="E356" s="3" t="str">
        <f>IF('1.1 Produksi Bersih Padi 2025'!E356="","",'1.1 Produksi Bersih Padi 2025'!E356)</f>
        <v/>
      </c>
      <c r="F356" s="28" t="str">
        <f>IF(D356="","",VLOOKUP(D356,'[1]0.1 Produksi Pangan &amp; Penduduk'!$D$5:$S$860,16,0))</f>
        <v/>
      </c>
      <c r="G356" s="28" t="str">
        <f t="shared" si="30"/>
        <v/>
      </c>
      <c r="H356" s="29" t="str">
        <f t="shared" si="31"/>
        <v/>
      </c>
      <c r="I356" s="29" t="str">
        <f t="shared" si="32"/>
        <v/>
      </c>
      <c r="J356" s="29" t="str">
        <f t="shared" si="33"/>
        <v/>
      </c>
      <c r="K356" s="29" t="str">
        <f t="shared" si="34"/>
        <v/>
      </c>
      <c r="L356" s="29" t="str">
        <f t="shared" si="35"/>
        <v/>
      </c>
      <c r="N356" s="11"/>
    </row>
    <row r="357" spans="1:14" ht="15" x14ac:dyDescent="0.25">
      <c r="A357" s="1" t="str">
        <f>IF('1.1 Produksi Bersih Padi 2025'!A357="","",'1.1 Produksi Bersih Padi 2025'!A357)</f>
        <v/>
      </c>
      <c r="B357" s="2" t="str">
        <f>IF('1.1 Produksi Bersih Padi 2025'!B357="","",'1.1 Produksi Bersih Padi 2025'!B357)</f>
        <v/>
      </c>
      <c r="C357" s="2" t="str">
        <f>IF('1.1 Produksi Bersih Padi 2025'!C357="","",'1.1 Produksi Bersih Padi 2025'!C357)</f>
        <v/>
      </c>
      <c r="D357" s="3" t="str">
        <f>IF('1.1 Produksi Bersih Padi 2025'!D357="","",'1.1 Produksi Bersih Padi 2025'!D357)</f>
        <v/>
      </c>
      <c r="E357" s="3" t="str">
        <f>IF('1.1 Produksi Bersih Padi 2025'!E357="","",'1.1 Produksi Bersih Padi 2025'!E357)</f>
        <v/>
      </c>
      <c r="F357" s="28" t="str">
        <f>IF(D357="","",VLOOKUP(D357,'[1]0.1 Produksi Pangan &amp; Penduduk'!$D$5:$S$860,16,0))</f>
        <v/>
      </c>
      <c r="G357" s="28" t="str">
        <f t="shared" si="30"/>
        <v/>
      </c>
      <c r="H357" s="29" t="str">
        <f t="shared" si="31"/>
        <v/>
      </c>
      <c r="I357" s="29" t="str">
        <f t="shared" si="32"/>
        <v/>
      </c>
      <c r="J357" s="29" t="str">
        <f t="shared" si="33"/>
        <v/>
      </c>
      <c r="K357" s="29" t="str">
        <f t="shared" si="34"/>
        <v/>
      </c>
      <c r="L357" s="29" t="str">
        <f t="shared" si="35"/>
        <v/>
      </c>
      <c r="N357" s="11"/>
    </row>
    <row r="358" spans="1:14" ht="15" x14ac:dyDescent="0.25">
      <c r="A358" s="1" t="str">
        <f>IF('1.1 Produksi Bersih Padi 2025'!A358="","",'1.1 Produksi Bersih Padi 2025'!A358)</f>
        <v/>
      </c>
      <c r="B358" s="2" t="str">
        <f>IF('1.1 Produksi Bersih Padi 2025'!B358="","",'1.1 Produksi Bersih Padi 2025'!B358)</f>
        <v/>
      </c>
      <c r="C358" s="2" t="str">
        <f>IF('1.1 Produksi Bersih Padi 2025'!C358="","",'1.1 Produksi Bersih Padi 2025'!C358)</f>
        <v/>
      </c>
      <c r="D358" s="3" t="str">
        <f>IF('1.1 Produksi Bersih Padi 2025'!D358="","",'1.1 Produksi Bersih Padi 2025'!D358)</f>
        <v/>
      </c>
      <c r="E358" s="3" t="str">
        <f>IF('1.1 Produksi Bersih Padi 2025'!E358="","",'1.1 Produksi Bersih Padi 2025'!E358)</f>
        <v/>
      </c>
      <c r="F358" s="28" t="str">
        <f>IF(D358="","",VLOOKUP(D358,'[1]0.1 Produksi Pangan &amp; Penduduk'!$D$5:$S$860,16,0))</f>
        <v/>
      </c>
      <c r="G358" s="28" t="str">
        <f t="shared" si="30"/>
        <v/>
      </c>
      <c r="H358" s="29" t="str">
        <f t="shared" si="31"/>
        <v/>
      </c>
      <c r="I358" s="29" t="str">
        <f t="shared" si="32"/>
        <v/>
      </c>
      <c r="J358" s="29" t="str">
        <f t="shared" si="33"/>
        <v/>
      </c>
      <c r="K358" s="29" t="str">
        <f t="shared" si="34"/>
        <v/>
      </c>
      <c r="L358" s="29" t="str">
        <f t="shared" si="35"/>
        <v/>
      </c>
      <c r="N358" s="11"/>
    </row>
    <row r="359" spans="1:14" ht="15" x14ac:dyDescent="0.25">
      <c r="A359" s="1" t="str">
        <f>IF('1.1 Produksi Bersih Padi 2025'!A359="","",'1.1 Produksi Bersih Padi 2025'!A359)</f>
        <v/>
      </c>
      <c r="B359" s="2" t="str">
        <f>IF('1.1 Produksi Bersih Padi 2025'!B359="","",'1.1 Produksi Bersih Padi 2025'!B359)</f>
        <v/>
      </c>
      <c r="C359" s="2" t="str">
        <f>IF('1.1 Produksi Bersih Padi 2025'!C359="","",'1.1 Produksi Bersih Padi 2025'!C359)</f>
        <v/>
      </c>
      <c r="D359" s="3" t="str">
        <f>IF('1.1 Produksi Bersih Padi 2025'!D359="","",'1.1 Produksi Bersih Padi 2025'!D359)</f>
        <v/>
      </c>
      <c r="E359" s="3" t="str">
        <f>IF('1.1 Produksi Bersih Padi 2025'!E359="","",'1.1 Produksi Bersih Padi 2025'!E359)</f>
        <v/>
      </c>
      <c r="F359" s="28" t="str">
        <f>IF(D359="","",VLOOKUP(D359,'[1]0.1 Produksi Pangan &amp; Penduduk'!$D$5:$S$860,16,0))</f>
        <v/>
      </c>
      <c r="G359" s="28" t="str">
        <f t="shared" si="30"/>
        <v/>
      </c>
      <c r="H359" s="29" t="str">
        <f t="shared" si="31"/>
        <v/>
      </c>
      <c r="I359" s="29" t="str">
        <f t="shared" si="32"/>
        <v/>
      </c>
      <c r="J359" s="29" t="str">
        <f t="shared" si="33"/>
        <v/>
      </c>
      <c r="K359" s="29" t="str">
        <f t="shared" si="34"/>
        <v/>
      </c>
      <c r="L359" s="29" t="str">
        <f t="shared" si="35"/>
        <v/>
      </c>
      <c r="N359" s="11"/>
    </row>
    <row r="360" spans="1:14" ht="15" x14ac:dyDescent="0.25">
      <c r="A360" s="1" t="str">
        <f>IF('1.1 Produksi Bersih Padi 2025'!A360="","",'1.1 Produksi Bersih Padi 2025'!A360)</f>
        <v/>
      </c>
      <c r="B360" s="2" t="str">
        <f>IF('1.1 Produksi Bersih Padi 2025'!B360="","",'1.1 Produksi Bersih Padi 2025'!B360)</f>
        <v/>
      </c>
      <c r="C360" s="2" t="str">
        <f>IF('1.1 Produksi Bersih Padi 2025'!C360="","",'1.1 Produksi Bersih Padi 2025'!C360)</f>
        <v/>
      </c>
      <c r="D360" s="3" t="str">
        <f>IF('1.1 Produksi Bersih Padi 2025'!D360="","",'1.1 Produksi Bersih Padi 2025'!D360)</f>
        <v/>
      </c>
      <c r="E360" s="3" t="str">
        <f>IF('1.1 Produksi Bersih Padi 2025'!E360="","",'1.1 Produksi Bersih Padi 2025'!E360)</f>
        <v/>
      </c>
      <c r="F360" s="28" t="str">
        <f>IF(D360="","",VLOOKUP(D360,'[1]0.1 Produksi Pangan &amp; Penduduk'!$D$5:$S$860,16,0))</f>
        <v/>
      </c>
      <c r="G360" s="28" t="str">
        <f t="shared" si="30"/>
        <v/>
      </c>
      <c r="H360" s="29" t="str">
        <f t="shared" si="31"/>
        <v/>
      </c>
      <c r="I360" s="29" t="str">
        <f t="shared" si="32"/>
        <v/>
      </c>
      <c r="J360" s="29" t="str">
        <f t="shared" si="33"/>
        <v/>
      </c>
      <c r="K360" s="29" t="str">
        <f t="shared" si="34"/>
        <v/>
      </c>
      <c r="L360" s="29" t="str">
        <f t="shared" si="35"/>
        <v/>
      </c>
      <c r="N360" s="11"/>
    </row>
    <row r="361" spans="1:14" ht="15" x14ac:dyDescent="0.25">
      <c r="A361" s="1" t="str">
        <f>IF('1.1 Produksi Bersih Padi 2025'!A361="","",'1.1 Produksi Bersih Padi 2025'!A361)</f>
        <v/>
      </c>
      <c r="B361" s="2" t="str">
        <f>IF('1.1 Produksi Bersih Padi 2025'!B361="","",'1.1 Produksi Bersih Padi 2025'!B361)</f>
        <v/>
      </c>
      <c r="C361" s="2" t="str">
        <f>IF('1.1 Produksi Bersih Padi 2025'!C361="","",'1.1 Produksi Bersih Padi 2025'!C361)</f>
        <v/>
      </c>
      <c r="D361" s="3" t="str">
        <f>IF('1.1 Produksi Bersih Padi 2025'!D361="","",'1.1 Produksi Bersih Padi 2025'!D361)</f>
        <v/>
      </c>
      <c r="E361" s="3" t="str">
        <f>IF('1.1 Produksi Bersih Padi 2025'!E361="","",'1.1 Produksi Bersih Padi 2025'!E361)</f>
        <v/>
      </c>
      <c r="F361" s="28" t="str">
        <f>IF(D361="","",VLOOKUP(D361,'[1]0.1 Produksi Pangan &amp; Penduduk'!$D$5:$S$860,16,0))</f>
        <v/>
      </c>
      <c r="G361" s="28" t="str">
        <f t="shared" si="30"/>
        <v/>
      </c>
      <c r="H361" s="29" t="str">
        <f t="shared" si="31"/>
        <v/>
      </c>
      <c r="I361" s="29" t="str">
        <f t="shared" si="32"/>
        <v/>
      </c>
      <c r="J361" s="29" t="str">
        <f t="shared" si="33"/>
        <v/>
      </c>
      <c r="K361" s="29" t="str">
        <f t="shared" si="34"/>
        <v/>
      </c>
      <c r="L361" s="29" t="str">
        <f t="shared" si="35"/>
        <v/>
      </c>
      <c r="N361" s="11"/>
    </row>
    <row r="362" spans="1:14" ht="15" x14ac:dyDescent="0.25">
      <c r="A362" s="1" t="str">
        <f>IF('1.1 Produksi Bersih Padi 2025'!A362="","",'1.1 Produksi Bersih Padi 2025'!A362)</f>
        <v/>
      </c>
      <c r="B362" s="2" t="str">
        <f>IF('1.1 Produksi Bersih Padi 2025'!B362="","",'1.1 Produksi Bersih Padi 2025'!B362)</f>
        <v/>
      </c>
      <c r="C362" s="2" t="str">
        <f>IF('1.1 Produksi Bersih Padi 2025'!C362="","",'1.1 Produksi Bersih Padi 2025'!C362)</f>
        <v/>
      </c>
      <c r="D362" s="3" t="str">
        <f>IF('1.1 Produksi Bersih Padi 2025'!D362="","",'1.1 Produksi Bersih Padi 2025'!D362)</f>
        <v/>
      </c>
      <c r="E362" s="3" t="str">
        <f>IF('1.1 Produksi Bersih Padi 2025'!E362="","",'1.1 Produksi Bersih Padi 2025'!E362)</f>
        <v/>
      </c>
      <c r="F362" s="28" t="str">
        <f>IF(D362="","",VLOOKUP(D362,'[1]0.1 Produksi Pangan &amp; Penduduk'!$D$5:$S$860,16,0))</f>
        <v/>
      </c>
      <c r="G362" s="28" t="str">
        <f t="shared" si="30"/>
        <v/>
      </c>
      <c r="H362" s="29" t="str">
        <f t="shared" si="31"/>
        <v/>
      </c>
      <c r="I362" s="29" t="str">
        <f t="shared" si="32"/>
        <v/>
      </c>
      <c r="J362" s="29" t="str">
        <f t="shared" si="33"/>
        <v/>
      </c>
      <c r="K362" s="29" t="str">
        <f t="shared" si="34"/>
        <v/>
      </c>
      <c r="L362" s="29" t="str">
        <f t="shared" si="35"/>
        <v/>
      </c>
      <c r="N362" s="11"/>
    </row>
    <row r="363" spans="1:14" ht="15" x14ac:dyDescent="0.25">
      <c r="A363" s="1" t="str">
        <f>IF('1.1 Produksi Bersih Padi 2025'!A363="","",'1.1 Produksi Bersih Padi 2025'!A363)</f>
        <v/>
      </c>
      <c r="B363" s="2" t="str">
        <f>IF('1.1 Produksi Bersih Padi 2025'!B363="","",'1.1 Produksi Bersih Padi 2025'!B363)</f>
        <v/>
      </c>
      <c r="C363" s="2" t="str">
        <f>IF('1.1 Produksi Bersih Padi 2025'!C363="","",'1.1 Produksi Bersih Padi 2025'!C363)</f>
        <v/>
      </c>
      <c r="D363" s="3" t="str">
        <f>IF('1.1 Produksi Bersih Padi 2025'!D363="","",'1.1 Produksi Bersih Padi 2025'!D363)</f>
        <v/>
      </c>
      <c r="E363" s="3" t="str">
        <f>IF('1.1 Produksi Bersih Padi 2025'!E363="","",'1.1 Produksi Bersih Padi 2025'!E363)</f>
        <v/>
      </c>
      <c r="F363" s="28" t="str">
        <f>IF(D363="","",VLOOKUP(D363,'[1]0.1 Produksi Pangan &amp; Penduduk'!$D$5:$S$860,16,0))</f>
        <v/>
      </c>
      <c r="G363" s="28" t="str">
        <f t="shared" si="30"/>
        <v/>
      </c>
      <c r="H363" s="29" t="str">
        <f t="shared" si="31"/>
        <v/>
      </c>
      <c r="I363" s="29" t="str">
        <f t="shared" si="32"/>
        <v/>
      </c>
      <c r="J363" s="29" t="str">
        <f t="shared" si="33"/>
        <v/>
      </c>
      <c r="K363" s="29" t="str">
        <f t="shared" si="34"/>
        <v/>
      </c>
      <c r="L363" s="29" t="str">
        <f t="shared" si="35"/>
        <v/>
      </c>
      <c r="N363" s="11"/>
    </row>
    <row r="364" spans="1:14" ht="15" x14ac:dyDescent="0.25">
      <c r="A364" s="1" t="str">
        <f>IF('1.1 Produksi Bersih Padi 2025'!A364="","",'1.1 Produksi Bersih Padi 2025'!A364)</f>
        <v/>
      </c>
      <c r="B364" s="2" t="str">
        <f>IF('1.1 Produksi Bersih Padi 2025'!B364="","",'1.1 Produksi Bersih Padi 2025'!B364)</f>
        <v/>
      </c>
      <c r="C364" s="2" t="str">
        <f>IF('1.1 Produksi Bersih Padi 2025'!C364="","",'1.1 Produksi Bersih Padi 2025'!C364)</f>
        <v/>
      </c>
      <c r="D364" s="3" t="str">
        <f>IF('1.1 Produksi Bersih Padi 2025'!D364="","",'1.1 Produksi Bersih Padi 2025'!D364)</f>
        <v/>
      </c>
      <c r="E364" s="3" t="str">
        <f>IF('1.1 Produksi Bersih Padi 2025'!E364="","",'1.1 Produksi Bersih Padi 2025'!E364)</f>
        <v/>
      </c>
      <c r="F364" s="28" t="str">
        <f>IF(D364="","",VLOOKUP(D364,'[1]0.1 Produksi Pangan &amp; Penduduk'!$D$5:$S$860,16,0))</f>
        <v/>
      </c>
      <c r="G364" s="28" t="str">
        <f t="shared" si="30"/>
        <v/>
      </c>
      <c r="H364" s="29" t="str">
        <f t="shared" si="31"/>
        <v/>
      </c>
      <c r="I364" s="29" t="str">
        <f t="shared" si="32"/>
        <v/>
      </c>
      <c r="J364" s="29" t="str">
        <f t="shared" si="33"/>
        <v/>
      </c>
      <c r="K364" s="29" t="str">
        <f t="shared" si="34"/>
        <v/>
      </c>
      <c r="L364" s="29" t="str">
        <f t="shared" si="35"/>
        <v/>
      </c>
      <c r="N364" s="11"/>
    </row>
    <row r="365" spans="1:14" ht="15" x14ac:dyDescent="0.25">
      <c r="A365" s="1" t="str">
        <f>IF('1.1 Produksi Bersih Padi 2025'!A365="","",'1.1 Produksi Bersih Padi 2025'!A365)</f>
        <v/>
      </c>
      <c r="B365" s="2" t="str">
        <f>IF('1.1 Produksi Bersih Padi 2025'!B365="","",'1.1 Produksi Bersih Padi 2025'!B365)</f>
        <v/>
      </c>
      <c r="C365" s="2" t="str">
        <f>IF('1.1 Produksi Bersih Padi 2025'!C365="","",'1.1 Produksi Bersih Padi 2025'!C365)</f>
        <v/>
      </c>
      <c r="D365" s="3" t="str">
        <f>IF('1.1 Produksi Bersih Padi 2025'!D365="","",'1.1 Produksi Bersih Padi 2025'!D365)</f>
        <v/>
      </c>
      <c r="E365" s="3" t="str">
        <f>IF('1.1 Produksi Bersih Padi 2025'!E365="","",'1.1 Produksi Bersih Padi 2025'!E365)</f>
        <v/>
      </c>
      <c r="F365" s="28" t="str">
        <f>IF(D365="","",VLOOKUP(D365,'[1]0.1 Produksi Pangan &amp; Penduduk'!$D$5:$S$860,16,0))</f>
        <v/>
      </c>
      <c r="G365" s="28" t="str">
        <f t="shared" si="30"/>
        <v/>
      </c>
      <c r="H365" s="29" t="str">
        <f t="shared" si="31"/>
        <v/>
      </c>
      <c r="I365" s="29" t="str">
        <f t="shared" si="32"/>
        <v/>
      </c>
      <c r="J365" s="29" t="str">
        <f t="shared" si="33"/>
        <v/>
      </c>
      <c r="K365" s="29" t="str">
        <f t="shared" si="34"/>
        <v/>
      </c>
      <c r="L365" s="29" t="str">
        <f t="shared" si="35"/>
        <v/>
      </c>
      <c r="N365" s="11"/>
    </row>
    <row r="366" spans="1:14" ht="15" x14ac:dyDescent="0.25">
      <c r="A366" s="1" t="str">
        <f>IF('1.1 Produksi Bersih Padi 2025'!A366="","",'1.1 Produksi Bersih Padi 2025'!A366)</f>
        <v/>
      </c>
      <c r="B366" s="2" t="str">
        <f>IF('1.1 Produksi Bersih Padi 2025'!B366="","",'1.1 Produksi Bersih Padi 2025'!B366)</f>
        <v/>
      </c>
      <c r="C366" s="2" t="str">
        <f>IF('1.1 Produksi Bersih Padi 2025'!C366="","",'1.1 Produksi Bersih Padi 2025'!C366)</f>
        <v/>
      </c>
      <c r="D366" s="3" t="str">
        <f>IF('1.1 Produksi Bersih Padi 2025'!D366="","",'1.1 Produksi Bersih Padi 2025'!D366)</f>
        <v/>
      </c>
      <c r="E366" s="3" t="str">
        <f>IF('1.1 Produksi Bersih Padi 2025'!E366="","",'1.1 Produksi Bersih Padi 2025'!E366)</f>
        <v/>
      </c>
      <c r="F366" s="28" t="str">
        <f>IF(D366="","",VLOOKUP(D366,'[1]0.1 Produksi Pangan &amp; Penduduk'!$D$5:$S$860,16,0))</f>
        <v/>
      </c>
      <c r="G366" s="28" t="str">
        <f t="shared" si="30"/>
        <v/>
      </c>
      <c r="H366" s="29" t="str">
        <f t="shared" si="31"/>
        <v/>
      </c>
      <c r="I366" s="29" t="str">
        <f t="shared" si="32"/>
        <v/>
      </c>
      <c r="J366" s="29" t="str">
        <f t="shared" si="33"/>
        <v/>
      </c>
      <c r="K366" s="29" t="str">
        <f t="shared" si="34"/>
        <v/>
      </c>
      <c r="L366" s="29" t="str">
        <f t="shared" si="35"/>
        <v/>
      </c>
      <c r="N366" s="11"/>
    </row>
    <row r="367" spans="1:14" ht="15" x14ac:dyDescent="0.25">
      <c r="A367" s="1" t="str">
        <f>IF('1.1 Produksi Bersih Padi 2025'!A367="","",'1.1 Produksi Bersih Padi 2025'!A367)</f>
        <v/>
      </c>
      <c r="B367" s="2" t="str">
        <f>IF('1.1 Produksi Bersih Padi 2025'!B367="","",'1.1 Produksi Bersih Padi 2025'!B367)</f>
        <v/>
      </c>
      <c r="C367" s="2" t="str">
        <f>IF('1.1 Produksi Bersih Padi 2025'!C367="","",'1.1 Produksi Bersih Padi 2025'!C367)</f>
        <v/>
      </c>
      <c r="D367" s="3" t="str">
        <f>IF('1.1 Produksi Bersih Padi 2025'!D367="","",'1.1 Produksi Bersih Padi 2025'!D367)</f>
        <v/>
      </c>
      <c r="E367" s="3" t="str">
        <f>IF('1.1 Produksi Bersih Padi 2025'!E367="","",'1.1 Produksi Bersih Padi 2025'!E367)</f>
        <v/>
      </c>
      <c r="F367" s="28" t="str">
        <f>IF(D367="","",VLOOKUP(D367,'[1]0.1 Produksi Pangan &amp; Penduduk'!$D$5:$S$860,16,0))</f>
        <v/>
      </c>
      <c r="G367" s="28" t="str">
        <f t="shared" si="30"/>
        <v/>
      </c>
      <c r="H367" s="29" t="str">
        <f t="shared" si="31"/>
        <v/>
      </c>
      <c r="I367" s="29" t="str">
        <f t="shared" si="32"/>
        <v/>
      </c>
      <c r="J367" s="29" t="str">
        <f t="shared" si="33"/>
        <v/>
      </c>
      <c r="K367" s="29" t="str">
        <f t="shared" si="34"/>
        <v/>
      </c>
      <c r="L367" s="29" t="str">
        <f t="shared" si="35"/>
        <v/>
      </c>
      <c r="N367" s="11"/>
    </row>
    <row r="368" spans="1:14" ht="15" x14ac:dyDescent="0.25">
      <c r="A368" s="1" t="str">
        <f>IF('1.1 Produksi Bersih Padi 2025'!A368="","",'1.1 Produksi Bersih Padi 2025'!A368)</f>
        <v/>
      </c>
      <c r="B368" s="2" t="str">
        <f>IF('1.1 Produksi Bersih Padi 2025'!B368="","",'1.1 Produksi Bersih Padi 2025'!B368)</f>
        <v/>
      </c>
      <c r="C368" s="2" t="str">
        <f>IF('1.1 Produksi Bersih Padi 2025'!C368="","",'1.1 Produksi Bersih Padi 2025'!C368)</f>
        <v/>
      </c>
      <c r="D368" s="3" t="str">
        <f>IF('1.1 Produksi Bersih Padi 2025'!D368="","",'1.1 Produksi Bersih Padi 2025'!D368)</f>
        <v/>
      </c>
      <c r="E368" s="3" t="str">
        <f>IF('1.1 Produksi Bersih Padi 2025'!E368="","",'1.1 Produksi Bersih Padi 2025'!E368)</f>
        <v/>
      </c>
      <c r="F368" s="28" t="str">
        <f>IF(D368="","",VLOOKUP(D368,'[1]0.1 Produksi Pangan &amp; Penduduk'!$D$5:$S$860,16,0))</f>
        <v/>
      </c>
      <c r="G368" s="28" t="str">
        <f t="shared" si="30"/>
        <v/>
      </c>
      <c r="H368" s="29" t="str">
        <f t="shared" si="31"/>
        <v/>
      </c>
      <c r="I368" s="29" t="str">
        <f t="shared" si="32"/>
        <v/>
      </c>
      <c r="J368" s="29" t="str">
        <f t="shared" si="33"/>
        <v/>
      </c>
      <c r="K368" s="29" t="str">
        <f t="shared" si="34"/>
        <v/>
      </c>
      <c r="L368" s="29" t="str">
        <f t="shared" si="35"/>
        <v/>
      </c>
      <c r="N368" s="11"/>
    </row>
    <row r="369" spans="1:14" ht="15" x14ac:dyDescent="0.25">
      <c r="A369" s="1" t="str">
        <f>IF('1.1 Produksi Bersih Padi 2025'!A369="","",'1.1 Produksi Bersih Padi 2025'!A369)</f>
        <v/>
      </c>
      <c r="B369" s="2" t="str">
        <f>IF('1.1 Produksi Bersih Padi 2025'!B369="","",'1.1 Produksi Bersih Padi 2025'!B369)</f>
        <v/>
      </c>
      <c r="C369" s="2" t="str">
        <f>IF('1.1 Produksi Bersih Padi 2025'!C369="","",'1.1 Produksi Bersih Padi 2025'!C369)</f>
        <v/>
      </c>
      <c r="D369" s="3" t="str">
        <f>IF('1.1 Produksi Bersih Padi 2025'!D369="","",'1.1 Produksi Bersih Padi 2025'!D369)</f>
        <v/>
      </c>
      <c r="E369" s="3" t="str">
        <f>IF('1.1 Produksi Bersih Padi 2025'!E369="","",'1.1 Produksi Bersih Padi 2025'!E369)</f>
        <v/>
      </c>
      <c r="F369" s="28" t="str">
        <f>IF(D369="","",VLOOKUP(D369,'[1]0.1 Produksi Pangan &amp; Penduduk'!$D$5:$S$860,16,0))</f>
        <v/>
      </c>
      <c r="G369" s="28" t="str">
        <f t="shared" si="30"/>
        <v/>
      </c>
      <c r="H369" s="29" t="str">
        <f t="shared" si="31"/>
        <v/>
      </c>
      <c r="I369" s="29" t="str">
        <f t="shared" si="32"/>
        <v/>
      </c>
      <c r="J369" s="29" t="str">
        <f t="shared" si="33"/>
        <v/>
      </c>
      <c r="K369" s="29" t="str">
        <f t="shared" si="34"/>
        <v/>
      </c>
      <c r="L369" s="29" t="str">
        <f t="shared" si="35"/>
        <v/>
      </c>
      <c r="N369" s="11"/>
    </row>
    <row r="370" spans="1:14" ht="15" x14ac:dyDescent="0.25">
      <c r="A370" s="1" t="str">
        <f>IF('1.1 Produksi Bersih Padi 2025'!A370="","",'1.1 Produksi Bersih Padi 2025'!A370)</f>
        <v/>
      </c>
      <c r="B370" s="2" t="str">
        <f>IF('1.1 Produksi Bersih Padi 2025'!B370="","",'1.1 Produksi Bersih Padi 2025'!B370)</f>
        <v/>
      </c>
      <c r="C370" s="2" t="str">
        <f>IF('1.1 Produksi Bersih Padi 2025'!C370="","",'1.1 Produksi Bersih Padi 2025'!C370)</f>
        <v/>
      </c>
      <c r="D370" s="3" t="str">
        <f>IF('1.1 Produksi Bersih Padi 2025'!D370="","",'1.1 Produksi Bersih Padi 2025'!D370)</f>
        <v/>
      </c>
      <c r="E370" s="3" t="str">
        <f>IF('1.1 Produksi Bersih Padi 2025'!E370="","",'1.1 Produksi Bersih Padi 2025'!E370)</f>
        <v/>
      </c>
      <c r="F370" s="28" t="str">
        <f>IF(D370="","",VLOOKUP(D370,'[1]0.1 Produksi Pangan &amp; Penduduk'!$D$5:$S$860,16,0))</f>
        <v/>
      </c>
      <c r="G370" s="28" t="str">
        <f t="shared" si="30"/>
        <v/>
      </c>
      <c r="H370" s="29" t="str">
        <f t="shared" si="31"/>
        <v/>
      </c>
      <c r="I370" s="29" t="str">
        <f t="shared" si="32"/>
        <v/>
      </c>
      <c r="J370" s="29" t="str">
        <f t="shared" si="33"/>
        <v/>
      </c>
      <c r="K370" s="29" t="str">
        <f t="shared" si="34"/>
        <v/>
      </c>
      <c r="L370" s="29" t="str">
        <f t="shared" si="35"/>
        <v/>
      </c>
      <c r="N370" s="11"/>
    </row>
    <row r="371" spans="1:14" ht="15" x14ac:dyDescent="0.25">
      <c r="A371" s="1" t="str">
        <f>IF('1.1 Produksi Bersih Padi 2025'!A371="","",'1.1 Produksi Bersih Padi 2025'!A371)</f>
        <v/>
      </c>
      <c r="B371" s="2" t="str">
        <f>IF('1.1 Produksi Bersih Padi 2025'!B371="","",'1.1 Produksi Bersih Padi 2025'!B371)</f>
        <v/>
      </c>
      <c r="C371" s="2" t="str">
        <f>IF('1.1 Produksi Bersih Padi 2025'!C371="","",'1.1 Produksi Bersih Padi 2025'!C371)</f>
        <v/>
      </c>
      <c r="D371" s="3" t="str">
        <f>IF('1.1 Produksi Bersih Padi 2025'!D371="","",'1.1 Produksi Bersih Padi 2025'!D371)</f>
        <v/>
      </c>
      <c r="E371" s="3" t="str">
        <f>IF('1.1 Produksi Bersih Padi 2025'!E371="","",'1.1 Produksi Bersih Padi 2025'!E371)</f>
        <v/>
      </c>
      <c r="F371" s="28" t="str">
        <f>IF(D371="","",VLOOKUP(D371,'[1]0.1 Produksi Pangan &amp; Penduduk'!$D$5:$S$860,16,0))</f>
        <v/>
      </c>
      <c r="G371" s="28" t="str">
        <f t="shared" si="30"/>
        <v/>
      </c>
      <c r="H371" s="29" t="str">
        <f t="shared" si="31"/>
        <v/>
      </c>
      <c r="I371" s="29" t="str">
        <f t="shared" si="32"/>
        <v/>
      </c>
      <c r="J371" s="29" t="str">
        <f t="shared" si="33"/>
        <v/>
      </c>
      <c r="K371" s="29" t="str">
        <f t="shared" si="34"/>
        <v/>
      </c>
      <c r="L371" s="29" t="str">
        <f t="shared" si="35"/>
        <v/>
      </c>
      <c r="N371" s="11"/>
    </row>
    <row r="372" spans="1:14" ht="15" x14ac:dyDescent="0.25">
      <c r="A372" s="1" t="str">
        <f>IF('1.1 Produksi Bersih Padi 2025'!A372="","",'1.1 Produksi Bersih Padi 2025'!A372)</f>
        <v/>
      </c>
      <c r="B372" s="2" t="str">
        <f>IF('1.1 Produksi Bersih Padi 2025'!B372="","",'1.1 Produksi Bersih Padi 2025'!B372)</f>
        <v/>
      </c>
      <c r="C372" s="2" t="str">
        <f>IF('1.1 Produksi Bersih Padi 2025'!C372="","",'1.1 Produksi Bersih Padi 2025'!C372)</f>
        <v/>
      </c>
      <c r="D372" s="3" t="str">
        <f>IF('1.1 Produksi Bersih Padi 2025'!D372="","",'1.1 Produksi Bersih Padi 2025'!D372)</f>
        <v/>
      </c>
      <c r="E372" s="3" t="str">
        <f>IF('1.1 Produksi Bersih Padi 2025'!E372="","",'1.1 Produksi Bersih Padi 2025'!E372)</f>
        <v/>
      </c>
      <c r="F372" s="28" t="str">
        <f>IF(D372="","",VLOOKUP(D372,'[1]0.1 Produksi Pangan &amp; Penduduk'!$D$5:$S$860,16,0))</f>
        <v/>
      </c>
      <c r="G372" s="28" t="str">
        <f t="shared" si="30"/>
        <v/>
      </c>
      <c r="H372" s="29" t="str">
        <f t="shared" si="31"/>
        <v/>
      </c>
      <c r="I372" s="29" t="str">
        <f t="shared" si="32"/>
        <v/>
      </c>
      <c r="J372" s="29" t="str">
        <f t="shared" si="33"/>
        <v/>
      </c>
      <c r="K372" s="29" t="str">
        <f t="shared" si="34"/>
        <v/>
      </c>
      <c r="L372" s="29" t="str">
        <f t="shared" si="35"/>
        <v/>
      </c>
      <c r="N372" s="11"/>
    </row>
    <row r="373" spans="1:14" ht="15" x14ac:dyDescent="0.25">
      <c r="A373" s="1" t="str">
        <f>IF('1.1 Produksi Bersih Padi 2025'!A373="","",'1.1 Produksi Bersih Padi 2025'!A373)</f>
        <v/>
      </c>
      <c r="B373" s="2" t="str">
        <f>IF('1.1 Produksi Bersih Padi 2025'!B373="","",'1.1 Produksi Bersih Padi 2025'!B373)</f>
        <v/>
      </c>
      <c r="C373" s="2" t="str">
        <f>IF('1.1 Produksi Bersih Padi 2025'!C373="","",'1.1 Produksi Bersih Padi 2025'!C373)</f>
        <v/>
      </c>
      <c r="D373" s="3" t="str">
        <f>IF('1.1 Produksi Bersih Padi 2025'!D373="","",'1.1 Produksi Bersih Padi 2025'!D373)</f>
        <v/>
      </c>
      <c r="E373" s="3" t="str">
        <f>IF('1.1 Produksi Bersih Padi 2025'!E373="","",'1.1 Produksi Bersih Padi 2025'!E373)</f>
        <v/>
      </c>
      <c r="F373" s="28" t="str">
        <f>IF(D373="","",VLOOKUP(D373,'[1]0.1 Produksi Pangan &amp; Penduduk'!$D$5:$S$860,16,0))</f>
        <v/>
      </c>
      <c r="G373" s="28" t="str">
        <f t="shared" si="30"/>
        <v/>
      </c>
      <c r="H373" s="29" t="str">
        <f t="shared" si="31"/>
        <v/>
      </c>
      <c r="I373" s="29" t="str">
        <f t="shared" si="32"/>
        <v/>
      </c>
      <c r="J373" s="29" t="str">
        <f t="shared" si="33"/>
        <v/>
      </c>
      <c r="K373" s="29" t="str">
        <f t="shared" si="34"/>
        <v/>
      </c>
      <c r="L373" s="29" t="str">
        <f t="shared" si="35"/>
        <v/>
      </c>
      <c r="N373" s="11"/>
    </row>
    <row r="374" spans="1:14" ht="15" x14ac:dyDescent="0.25">
      <c r="A374" s="1" t="str">
        <f>IF('1.1 Produksi Bersih Padi 2025'!A374="","",'1.1 Produksi Bersih Padi 2025'!A374)</f>
        <v/>
      </c>
      <c r="B374" s="2" t="str">
        <f>IF('1.1 Produksi Bersih Padi 2025'!B374="","",'1.1 Produksi Bersih Padi 2025'!B374)</f>
        <v/>
      </c>
      <c r="C374" s="2" t="str">
        <f>IF('1.1 Produksi Bersih Padi 2025'!C374="","",'1.1 Produksi Bersih Padi 2025'!C374)</f>
        <v/>
      </c>
      <c r="D374" s="3" t="str">
        <f>IF('1.1 Produksi Bersih Padi 2025'!D374="","",'1.1 Produksi Bersih Padi 2025'!D374)</f>
        <v/>
      </c>
      <c r="E374" s="3" t="str">
        <f>IF('1.1 Produksi Bersih Padi 2025'!E374="","",'1.1 Produksi Bersih Padi 2025'!E374)</f>
        <v/>
      </c>
      <c r="F374" s="28" t="str">
        <f>IF(D374="","",VLOOKUP(D374,'[1]0.1 Produksi Pangan &amp; Penduduk'!$D$5:$S$860,16,0))</f>
        <v/>
      </c>
      <c r="G374" s="28" t="str">
        <f t="shared" si="30"/>
        <v/>
      </c>
      <c r="H374" s="29" t="str">
        <f t="shared" si="31"/>
        <v/>
      </c>
      <c r="I374" s="29" t="str">
        <f t="shared" si="32"/>
        <v/>
      </c>
      <c r="J374" s="29" t="str">
        <f t="shared" si="33"/>
        <v/>
      </c>
      <c r="K374" s="29" t="str">
        <f t="shared" si="34"/>
        <v/>
      </c>
      <c r="L374" s="29" t="str">
        <f t="shared" si="35"/>
        <v/>
      </c>
      <c r="N374" s="11"/>
    </row>
    <row r="375" spans="1:14" ht="15" x14ac:dyDescent="0.25">
      <c r="A375" s="1" t="str">
        <f>IF('1.1 Produksi Bersih Padi 2025'!A375="","",'1.1 Produksi Bersih Padi 2025'!A375)</f>
        <v/>
      </c>
      <c r="B375" s="2" t="str">
        <f>IF('1.1 Produksi Bersih Padi 2025'!B375="","",'1.1 Produksi Bersih Padi 2025'!B375)</f>
        <v/>
      </c>
      <c r="C375" s="2" t="str">
        <f>IF('1.1 Produksi Bersih Padi 2025'!C375="","",'1.1 Produksi Bersih Padi 2025'!C375)</f>
        <v/>
      </c>
      <c r="D375" s="3" t="str">
        <f>IF('1.1 Produksi Bersih Padi 2025'!D375="","",'1.1 Produksi Bersih Padi 2025'!D375)</f>
        <v/>
      </c>
      <c r="E375" s="3" t="str">
        <f>IF('1.1 Produksi Bersih Padi 2025'!E375="","",'1.1 Produksi Bersih Padi 2025'!E375)</f>
        <v/>
      </c>
      <c r="F375" s="28" t="str">
        <f>IF(D375="","",VLOOKUP(D375,'[1]0.1 Produksi Pangan &amp; Penduduk'!$D$5:$S$860,16,0))</f>
        <v/>
      </c>
      <c r="G375" s="28" t="str">
        <f t="shared" si="30"/>
        <v/>
      </c>
      <c r="H375" s="29" t="str">
        <f t="shared" si="31"/>
        <v/>
      </c>
      <c r="I375" s="29" t="str">
        <f t="shared" si="32"/>
        <v/>
      </c>
      <c r="J375" s="29" t="str">
        <f t="shared" si="33"/>
        <v/>
      </c>
      <c r="K375" s="29" t="str">
        <f t="shared" si="34"/>
        <v/>
      </c>
      <c r="L375" s="29" t="str">
        <f t="shared" si="35"/>
        <v/>
      </c>
      <c r="N375" s="11"/>
    </row>
    <row r="376" spans="1:14" ht="15" x14ac:dyDescent="0.25">
      <c r="A376" s="1" t="str">
        <f>IF('1.1 Produksi Bersih Padi 2025'!A376="","",'1.1 Produksi Bersih Padi 2025'!A376)</f>
        <v/>
      </c>
      <c r="B376" s="2" t="str">
        <f>IF('1.1 Produksi Bersih Padi 2025'!B376="","",'1.1 Produksi Bersih Padi 2025'!B376)</f>
        <v/>
      </c>
      <c r="C376" s="2" t="str">
        <f>IF('1.1 Produksi Bersih Padi 2025'!C376="","",'1.1 Produksi Bersih Padi 2025'!C376)</f>
        <v/>
      </c>
      <c r="D376" s="3" t="str">
        <f>IF('1.1 Produksi Bersih Padi 2025'!D376="","",'1.1 Produksi Bersih Padi 2025'!D376)</f>
        <v/>
      </c>
      <c r="E376" s="3" t="str">
        <f>IF('1.1 Produksi Bersih Padi 2025'!E376="","",'1.1 Produksi Bersih Padi 2025'!E376)</f>
        <v/>
      </c>
      <c r="F376" s="28" t="str">
        <f>IF(D376="","",VLOOKUP(D376,'[1]0.1 Produksi Pangan &amp; Penduduk'!$D$5:$S$860,16,0))</f>
        <v/>
      </c>
      <c r="G376" s="28" t="str">
        <f t="shared" si="30"/>
        <v/>
      </c>
      <c r="H376" s="29" t="str">
        <f t="shared" si="31"/>
        <v/>
      </c>
      <c r="I376" s="29" t="str">
        <f t="shared" si="32"/>
        <v/>
      </c>
      <c r="J376" s="29" t="str">
        <f t="shared" si="33"/>
        <v/>
      </c>
      <c r="K376" s="29" t="str">
        <f t="shared" si="34"/>
        <v/>
      </c>
      <c r="L376" s="29" t="str">
        <f t="shared" si="35"/>
        <v/>
      </c>
      <c r="N376" s="11"/>
    </row>
    <row r="377" spans="1:14" ht="15" x14ac:dyDescent="0.25">
      <c r="A377" s="1" t="str">
        <f>IF('1.1 Produksi Bersih Padi 2025'!A377="","",'1.1 Produksi Bersih Padi 2025'!A377)</f>
        <v/>
      </c>
      <c r="B377" s="2" t="str">
        <f>IF('1.1 Produksi Bersih Padi 2025'!B377="","",'1.1 Produksi Bersih Padi 2025'!B377)</f>
        <v/>
      </c>
      <c r="C377" s="2" t="str">
        <f>IF('1.1 Produksi Bersih Padi 2025'!C377="","",'1.1 Produksi Bersih Padi 2025'!C377)</f>
        <v/>
      </c>
      <c r="D377" s="3" t="str">
        <f>IF('1.1 Produksi Bersih Padi 2025'!D377="","",'1.1 Produksi Bersih Padi 2025'!D377)</f>
        <v/>
      </c>
      <c r="E377" s="3" t="str">
        <f>IF('1.1 Produksi Bersih Padi 2025'!E377="","",'1.1 Produksi Bersih Padi 2025'!E377)</f>
        <v/>
      </c>
      <c r="F377" s="28" t="str">
        <f>IF(D377="","",VLOOKUP(D377,'[1]0.1 Produksi Pangan &amp; Penduduk'!$D$5:$S$860,16,0))</f>
        <v/>
      </c>
      <c r="G377" s="28" t="str">
        <f t="shared" si="30"/>
        <v/>
      </c>
      <c r="H377" s="29" t="str">
        <f t="shared" si="31"/>
        <v/>
      </c>
      <c r="I377" s="29" t="str">
        <f t="shared" si="32"/>
        <v/>
      </c>
      <c r="J377" s="29" t="str">
        <f t="shared" si="33"/>
        <v/>
      </c>
      <c r="K377" s="29" t="str">
        <f t="shared" si="34"/>
        <v/>
      </c>
      <c r="L377" s="29" t="str">
        <f t="shared" si="35"/>
        <v/>
      </c>
      <c r="N377" s="11"/>
    </row>
    <row r="378" spans="1:14" ht="15" x14ac:dyDescent="0.25">
      <c r="A378" s="1" t="str">
        <f>IF('1.1 Produksi Bersih Padi 2025'!A378="","",'1.1 Produksi Bersih Padi 2025'!A378)</f>
        <v/>
      </c>
      <c r="B378" s="2" t="str">
        <f>IF('1.1 Produksi Bersih Padi 2025'!B378="","",'1.1 Produksi Bersih Padi 2025'!B378)</f>
        <v/>
      </c>
      <c r="C378" s="2" t="str">
        <f>IF('1.1 Produksi Bersih Padi 2025'!C378="","",'1.1 Produksi Bersih Padi 2025'!C378)</f>
        <v/>
      </c>
      <c r="D378" s="3" t="str">
        <f>IF('1.1 Produksi Bersih Padi 2025'!D378="","",'1.1 Produksi Bersih Padi 2025'!D378)</f>
        <v/>
      </c>
      <c r="E378" s="3" t="str">
        <f>IF('1.1 Produksi Bersih Padi 2025'!E378="","",'1.1 Produksi Bersih Padi 2025'!E378)</f>
        <v/>
      </c>
      <c r="F378" s="28" t="str">
        <f>IF(D378="","",VLOOKUP(D378,'[1]0.1 Produksi Pangan &amp; Penduduk'!$D$5:$S$860,16,0))</f>
        <v/>
      </c>
      <c r="G378" s="28" t="str">
        <f t="shared" si="30"/>
        <v/>
      </c>
      <c r="H378" s="29" t="str">
        <f t="shared" si="31"/>
        <v/>
      </c>
      <c r="I378" s="29" t="str">
        <f t="shared" si="32"/>
        <v/>
      </c>
      <c r="J378" s="29" t="str">
        <f t="shared" si="33"/>
        <v/>
      </c>
      <c r="K378" s="29" t="str">
        <f t="shared" si="34"/>
        <v/>
      </c>
      <c r="L378" s="29" t="str">
        <f t="shared" si="35"/>
        <v/>
      </c>
      <c r="N378" s="11"/>
    </row>
    <row r="379" spans="1:14" ht="15" x14ac:dyDescent="0.25">
      <c r="A379" s="1" t="str">
        <f>IF('1.1 Produksi Bersih Padi 2025'!A379="","",'1.1 Produksi Bersih Padi 2025'!A379)</f>
        <v/>
      </c>
      <c r="B379" s="2" t="str">
        <f>IF('1.1 Produksi Bersih Padi 2025'!B379="","",'1.1 Produksi Bersih Padi 2025'!B379)</f>
        <v/>
      </c>
      <c r="C379" s="2" t="str">
        <f>IF('1.1 Produksi Bersih Padi 2025'!C379="","",'1.1 Produksi Bersih Padi 2025'!C379)</f>
        <v/>
      </c>
      <c r="D379" s="3" t="str">
        <f>IF('1.1 Produksi Bersih Padi 2025'!D379="","",'1.1 Produksi Bersih Padi 2025'!D379)</f>
        <v/>
      </c>
      <c r="E379" s="3" t="str">
        <f>IF('1.1 Produksi Bersih Padi 2025'!E379="","",'1.1 Produksi Bersih Padi 2025'!E379)</f>
        <v/>
      </c>
      <c r="F379" s="28" t="str">
        <f>IF(D379="","",VLOOKUP(D379,'[1]0.1 Produksi Pangan &amp; Penduduk'!$D$5:$S$860,16,0))</f>
        <v/>
      </c>
      <c r="G379" s="28" t="str">
        <f t="shared" si="30"/>
        <v/>
      </c>
      <c r="H379" s="29" t="str">
        <f t="shared" si="31"/>
        <v/>
      </c>
      <c r="I379" s="29" t="str">
        <f t="shared" si="32"/>
        <v/>
      </c>
      <c r="J379" s="29" t="str">
        <f t="shared" si="33"/>
        <v/>
      </c>
      <c r="K379" s="29" t="str">
        <f t="shared" si="34"/>
        <v/>
      </c>
      <c r="L379" s="29" t="str">
        <f t="shared" si="35"/>
        <v/>
      </c>
      <c r="N379" s="11"/>
    </row>
    <row r="380" spans="1:14" ht="15" x14ac:dyDescent="0.25">
      <c r="A380" s="1" t="str">
        <f>IF('1.1 Produksi Bersih Padi 2025'!A380="","",'1.1 Produksi Bersih Padi 2025'!A380)</f>
        <v/>
      </c>
      <c r="B380" s="2" t="str">
        <f>IF('1.1 Produksi Bersih Padi 2025'!B380="","",'1.1 Produksi Bersih Padi 2025'!B380)</f>
        <v/>
      </c>
      <c r="C380" s="2" t="str">
        <f>IF('1.1 Produksi Bersih Padi 2025'!C380="","",'1.1 Produksi Bersih Padi 2025'!C380)</f>
        <v/>
      </c>
      <c r="D380" s="3" t="str">
        <f>IF('1.1 Produksi Bersih Padi 2025'!D380="","",'1.1 Produksi Bersih Padi 2025'!D380)</f>
        <v/>
      </c>
      <c r="E380" s="3" t="str">
        <f>IF('1.1 Produksi Bersih Padi 2025'!E380="","",'1.1 Produksi Bersih Padi 2025'!E380)</f>
        <v/>
      </c>
      <c r="F380" s="28" t="str">
        <f>IF(D380="","",VLOOKUP(D380,'[1]0.1 Produksi Pangan &amp; Penduduk'!$D$5:$S$860,16,0))</f>
        <v/>
      </c>
      <c r="G380" s="28" t="str">
        <f t="shared" si="30"/>
        <v/>
      </c>
      <c r="H380" s="29" t="str">
        <f t="shared" si="31"/>
        <v/>
      </c>
      <c r="I380" s="29" t="str">
        <f t="shared" si="32"/>
        <v/>
      </c>
      <c r="J380" s="29" t="str">
        <f t="shared" si="33"/>
        <v/>
      </c>
      <c r="K380" s="29" t="str">
        <f t="shared" si="34"/>
        <v/>
      </c>
      <c r="L380" s="29" t="str">
        <f t="shared" si="35"/>
        <v/>
      </c>
      <c r="N380" s="11"/>
    </row>
    <row r="381" spans="1:14" ht="15" x14ac:dyDescent="0.25">
      <c r="A381" s="1" t="str">
        <f>IF('1.1 Produksi Bersih Padi 2025'!A381="","",'1.1 Produksi Bersih Padi 2025'!A381)</f>
        <v/>
      </c>
      <c r="B381" s="2" t="str">
        <f>IF('1.1 Produksi Bersih Padi 2025'!B381="","",'1.1 Produksi Bersih Padi 2025'!B381)</f>
        <v/>
      </c>
      <c r="C381" s="2" t="str">
        <f>IF('1.1 Produksi Bersih Padi 2025'!C381="","",'1.1 Produksi Bersih Padi 2025'!C381)</f>
        <v/>
      </c>
      <c r="D381" s="3" t="str">
        <f>IF('1.1 Produksi Bersih Padi 2025'!D381="","",'1.1 Produksi Bersih Padi 2025'!D381)</f>
        <v/>
      </c>
      <c r="E381" s="3" t="str">
        <f>IF('1.1 Produksi Bersih Padi 2025'!E381="","",'1.1 Produksi Bersih Padi 2025'!E381)</f>
        <v/>
      </c>
      <c r="F381" s="28" t="str">
        <f>IF(D381="","",VLOOKUP(D381,'[1]0.1 Produksi Pangan &amp; Penduduk'!$D$5:$S$860,16,0))</f>
        <v/>
      </c>
      <c r="G381" s="28" t="str">
        <f t="shared" si="30"/>
        <v/>
      </c>
      <c r="H381" s="29" t="str">
        <f t="shared" si="31"/>
        <v/>
      </c>
      <c r="I381" s="29" t="str">
        <f t="shared" si="32"/>
        <v/>
      </c>
      <c r="J381" s="29" t="str">
        <f t="shared" si="33"/>
        <v/>
      </c>
      <c r="K381" s="29" t="str">
        <f t="shared" si="34"/>
        <v/>
      </c>
      <c r="L381" s="29" t="str">
        <f t="shared" si="35"/>
        <v/>
      </c>
      <c r="N381" s="11"/>
    </row>
    <row r="382" spans="1:14" ht="15" x14ac:dyDescent="0.25">
      <c r="A382" s="1" t="str">
        <f>IF('1.1 Produksi Bersih Padi 2025'!A382="","",'1.1 Produksi Bersih Padi 2025'!A382)</f>
        <v/>
      </c>
      <c r="B382" s="2" t="str">
        <f>IF('1.1 Produksi Bersih Padi 2025'!B382="","",'1.1 Produksi Bersih Padi 2025'!B382)</f>
        <v/>
      </c>
      <c r="C382" s="2" t="str">
        <f>IF('1.1 Produksi Bersih Padi 2025'!C382="","",'1.1 Produksi Bersih Padi 2025'!C382)</f>
        <v/>
      </c>
      <c r="D382" s="3" t="str">
        <f>IF('1.1 Produksi Bersih Padi 2025'!D382="","",'1.1 Produksi Bersih Padi 2025'!D382)</f>
        <v/>
      </c>
      <c r="E382" s="3" t="str">
        <f>IF('1.1 Produksi Bersih Padi 2025'!E382="","",'1.1 Produksi Bersih Padi 2025'!E382)</f>
        <v/>
      </c>
      <c r="F382" s="28" t="str">
        <f>IF(D382="","",VLOOKUP(D382,'[1]0.1 Produksi Pangan &amp; Penduduk'!$D$5:$S$860,16,0))</f>
        <v/>
      </c>
      <c r="G382" s="28" t="str">
        <f t="shared" si="30"/>
        <v/>
      </c>
      <c r="H382" s="29" t="str">
        <f t="shared" si="31"/>
        <v/>
      </c>
      <c r="I382" s="29" t="str">
        <f t="shared" si="32"/>
        <v/>
      </c>
      <c r="J382" s="29" t="str">
        <f t="shared" si="33"/>
        <v/>
      </c>
      <c r="K382" s="29" t="str">
        <f t="shared" si="34"/>
        <v/>
      </c>
      <c r="L382" s="29" t="str">
        <f t="shared" si="35"/>
        <v/>
      </c>
      <c r="N382" s="11"/>
    </row>
    <row r="383" spans="1:14" ht="15" x14ac:dyDescent="0.25">
      <c r="A383" s="1" t="str">
        <f>IF('1.1 Produksi Bersih Padi 2025'!A383="","",'1.1 Produksi Bersih Padi 2025'!A383)</f>
        <v/>
      </c>
      <c r="B383" s="2" t="str">
        <f>IF('1.1 Produksi Bersih Padi 2025'!B383="","",'1.1 Produksi Bersih Padi 2025'!B383)</f>
        <v/>
      </c>
      <c r="C383" s="2" t="str">
        <f>IF('1.1 Produksi Bersih Padi 2025'!C383="","",'1.1 Produksi Bersih Padi 2025'!C383)</f>
        <v/>
      </c>
      <c r="D383" s="3" t="str">
        <f>IF('1.1 Produksi Bersih Padi 2025'!D383="","",'1.1 Produksi Bersih Padi 2025'!D383)</f>
        <v/>
      </c>
      <c r="E383" s="3" t="str">
        <f>IF('1.1 Produksi Bersih Padi 2025'!E383="","",'1.1 Produksi Bersih Padi 2025'!E383)</f>
        <v/>
      </c>
      <c r="F383" s="28" t="str">
        <f>IF(D383="","",VLOOKUP(D383,'[1]0.1 Produksi Pangan &amp; Penduduk'!$D$5:$S$860,16,0))</f>
        <v/>
      </c>
      <c r="G383" s="28" t="str">
        <f t="shared" si="30"/>
        <v/>
      </c>
      <c r="H383" s="29" t="str">
        <f t="shared" si="31"/>
        <v/>
      </c>
      <c r="I383" s="29" t="str">
        <f t="shared" si="32"/>
        <v/>
      </c>
      <c r="J383" s="29" t="str">
        <f t="shared" si="33"/>
        <v/>
      </c>
      <c r="K383" s="29" t="str">
        <f t="shared" si="34"/>
        <v/>
      </c>
      <c r="L383" s="29" t="str">
        <f t="shared" si="35"/>
        <v/>
      </c>
      <c r="N383" s="11"/>
    </row>
    <row r="384" spans="1:14" ht="15" x14ac:dyDescent="0.25">
      <c r="A384" s="1" t="str">
        <f>IF('1.1 Produksi Bersih Padi 2025'!A384="","",'1.1 Produksi Bersih Padi 2025'!A384)</f>
        <v/>
      </c>
      <c r="B384" s="2" t="str">
        <f>IF('1.1 Produksi Bersih Padi 2025'!B384="","",'1.1 Produksi Bersih Padi 2025'!B384)</f>
        <v/>
      </c>
      <c r="C384" s="2" t="str">
        <f>IF('1.1 Produksi Bersih Padi 2025'!C384="","",'1.1 Produksi Bersih Padi 2025'!C384)</f>
        <v/>
      </c>
      <c r="D384" s="3" t="str">
        <f>IF('1.1 Produksi Bersih Padi 2025'!D384="","",'1.1 Produksi Bersih Padi 2025'!D384)</f>
        <v/>
      </c>
      <c r="E384" s="3" t="str">
        <f>IF('1.1 Produksi Bersih Padi 2025'!E384="","",'1.1 Produksi Bersih Padi 2025'!E384)</f>
        <v/>
      </c>
      <c r="F384" s="28" t="str">
        <f>IF(D384="","",VLOOKUP(D384,'[1]0.1 Produksi Pangan &amp; Penduduk'!$D$5:$S$860,16,0))</f>
        <v/>
      </c>
      <c r="G384" s="28" t="str">
        <f t="shared" si="30"/>
        <v/>
      </c>
      <c r="H384" s="29" t="str">
        <f t="shared" si="31"/>
        <v/>
      </c>
      <c r="I384" s="29" t="str">
        <f t="shared" si="32"/>
        <v/>
      </c>
      <c r="J384" s="29" t="str">
        <f t="shared" si="33"/>
        <v/>
      </c>
      <c r="K384" s="29" t="str">
        <f t="shared" si="34"/>
        <v/>
      </c>
      <c r="L384" s="29" t="str">
        <f t="shared" si="35"/>
        <v/>
      </c>
      <c r="N384" s="11"/>
    </row>
    <row r="385" spans="1:14" ht="15" x14ac:dyDescent="0.25">
      <c r="A385" s="1" t="str">
        <f>IF('1.1 Produksi Bersih Padi 2025'!A385="","",'1.1 Produksi Bersih Padi 2025'!A385)</f>
        <v/>
      </c>
      <c r="B385" s="2" t="str">
        <f>IF('1.1 Produksi Bersih Padi 2025'!B385="","",'1.1 Produksi Bersih Padi 2025'!B385)</f>
        <v/>
      </c>
      <c r="C385" s="2" t="str">
        <f>IF('1.1 Produksi Bersih Padi 2025'!C385="","",'1.1 Produksi Bersih Padi 2025'!C385)</f>
        <v/>
      </c>
      <c r="D385" s="3" t="str">
        <f>IF('1.1 Produksi Bersih Padi 2025'!D385="","",'1.1 Produksi Bersih Padi 2025'!D385)</f>
        <v/>
      </c>
      <c r="E385" s="3" t="str">
        <f>IF('1.1 Produksi Bersih Padi 2025'!E385="","",'1.1 Produksi Bersih Padi 2025'!E385)</f>
        <v/>
      </c>
      <c r="F385" s="28" t="str">
        <f>IF(D385="","",VLOOKUP(D385,'[1]0.1 Produksi Pangan &amp; Penduduk'!$D$5:$S$860,16,0))</f>
        <v/>
      </c>
      <c r="G385" s="28" t="str">
        <f t="shared" si="30"/>
        <v/>
      </c>
      <c r="H385" s="29" t="str">
        <f t="shared" si="31"/>
        <v/>
      </c>
      <c r="I385" s="29" t="str">
        <f t="shared" si="32"/>
        <v/>
      </c>
      <c r="J385" s="29" t="str">
        <f t="shared" si="33"/>
        <v/>
      </c>
      <c r="K385" s="29" t="str">
        <f t="shared" si="34"/>
        <v/>
      </c>
      <c r="L385" s="29" t="str">
        <f t="shared" si="35"/>
        <v/>
      </c>
      <c r="N385" s="11"/>
    </row>
    <row r="386" spans="1:14" ht="15" x14ac:dyDescent="0.25">
      <c r="A386" s="1" t="str">
        <f>IF('1.1 Produksi Bersih Padi 2025'!A386="","",'1.1 Produksi Bersih Padi 2025'!A386)</f>
        <v/>
      </c>
      <c r="B386" s="2" t="str">
        <f>IF('1.1 Produksi Bersih Padi 2025'!B386="","",'1.1 Produksi Bersih Padi 2025'!B386)</f>
        <v/>
      </c>
      <c r="C386" s="2" t="str">
        <f>IF('1.1 Produksi Bersih Padi 2025'!C386="","",'1.1 Produksi Bersih Padi 2025'!C386)</f>
        <v/>
      </c>
      <c r="D386" s="3" t="str">
        <f>IF('1.1 Produksi Bersih Padi 2025'!D386="","",'1.1 Produksi Bersih Padi 2025'!D386)</f>
        <v/>
      </c>
      <c r="E386" s="3" t="str">
        <f>IF('1.1 Produksi Bersih Padi 2025'!E386="","",'1.1 Produksi Bersih Padi 2025'!E386)</f>
        <v/>
      </c>
      <c r="F386" s="28" t="str">
        <f>IF(D386="","",VLOOKUP(D386,'[1]0.1 Produksi Pangan &amp; Penduduk'!$D$5:$S$860,16,0))</f>
        <v/>
      </c>
      <c r="G386" s="28" t="str">
        <f t="shared" si="30"/>
        <v/>
      </c>
      <c r="H386" s="29" t="str">
        <f t="shared" si="31"/>
        <v/>
      </c>
      <c r="I386" s="29" t="str">
        <f t="shared" si="32"/>
        <v/>
      </c>
      <c r="J386" s="29" t="str">
        <f t="shared" si="33"/>
        <v/>
      </c>
      <c r="K386" s="29" t="str">
        <f t="shared" si="34"/>
        <v/>
      </c>
      <c r="L386" s="29" t="str">
        <f t="shared" si="35"/>
        <v/>
      </c>
      <c r="N386" s="11"/>
    </row>
    <row r="387" spans="1:14" ht="15" x14ac:dyDescent="0.25">
      <c r="A387" s="1" t="str">
        <f>IF('1.1 Produksi Bersih Padi 2025'!A387="","",'1.1 Produksi Bersih Padi 2025'!A387)</f>
        <v/>
      </c>
      <c r="B387" s="2" t="str">
        <f>IF('1.1 Produksi Bersih Padi 2025'!B387="","",'1.1 Produksi Bersih Padi 2025'!B387)</f>
        <v/>
      </c>
      <c r="C387" s="2" t="str">
        <f>IF('1.1 Produksi Bersih Padi 2025'!C387="","",'1.1 Produksi Bersih Padi 2025'!C387)</f>
        <v/>
      </c>
      <c r="D387" s="3" t="str">
        <f>IF('1.1 Produksi Bersih Padi 2025'!D387="","",'1.1 Produksi Bersih Padi 2025'!D387)</f>
        <v/>
      </c>
      <c r="E387" s="3" t="str">
        <f>IF('1.1 Produksi Bersih Padi 2025'!E387="","",'1.1 Produksi Bersih Padi 2025'!E387)</f>
        <v/>
      </c>
      <c r="F387" s="28" t="str">
        <f>IF(D387="","",VLOOKUP(D387,'[1]0.1 Produksi Pangan &amp; Penduduk'!$D$5:$S$860,16,0))</f>
        <v/>
      </c>
      <c r="G387" s="28" t="str">
        <f t="shared" si="30"/>
        <v/>
      </c>
      <c r="H387" s="29" t="str">
        <f t="shared" si="31"/>
        <v/>
      </c>
      <c r="I387" s="29" t="str">
        <f t="shared" si="32"/>
        <v/>
      </c>
      <c r="J387" s="29" t="str">
        <f t="shared" si="33"/>
        <v/>
      </c>
      <c r="K387" s="29" t="str">
        <f t="shared" si="34"/>
        <v/>
      </c>
      <c r="L387" s="29" t="str">
        <f t="shared" si="35"/>
        <v/>
      </c>
      <c r="N387" s="11"/>
    </row>
    <row r="388" spans="1:14" ht="15" x14ac:dyDescent="0.25">
      <c r="A388" s="1" t="str">
        <f>IF('1.1 Produksi Bersih Padi 2025'!A388="","",'1.1 Produksi Bersih Padi 2025'!A388)</f>
        <v/>
      </c>
      <c r="B388" s="2" t="str">
        <f>IF('1.1 Produksi Bersih Padi 2025'!B388="","",'1.1 Produksi Bersih Padi 2025'!B388)</f>
        <v/>
      </c>
      <c r="C388" s="2" t="str">
        <f>IF('1.1 Produksi Bersih Padi 2025'!C388="","",'1.1 Produksi Bersih Padi 2025'!C388)</f>
        <v/>
      </c>
      <c r="D388" s="3" t="str">
        <f>IF('1.1 Produksi Bersih Padi 2025'!D388="","",'1.1 Produksi Bersih Padi 2025'!D388)</f>
        <v/>
      </c>
      <c r="E388" s="3" t="str">
        <f>IF('1.1 Produksi Bersih Padi 2025'!E388="","",'1.1 Produksi Bersih Padi 2025'!E388)</f>
        <v/>
      </c>
      <c r="F388" s="28" t="str">
        <f>IF(D388="","",VLOOKUP(D388,'[1]0.1 Produksi Pangan &amp; Penduduk'!$D$5:$S$860,16,0))</f>
        <v/>
      </c>
      <c r="G388" s="28" t="str">
        <f t="shared" si="30"/>
        <v/>
      </c>
      <c r="H388" s="29" t="str">
        <f t="shared" si="31"/>
        <v/>
      </c>
      <c r="I388" s="29" t="str">
        <f t="shared" si="32"/>
        <v/>
      </c>
      <c r="J388" s="29" t="str">
        <f t="shared" si="33"/>
        <v/>
      </c>
      <c r="K388" s="29" t="str">
        <f t="shared" si="34"/>
        <v/>
      </c>
      <c r="L388" s="29" t="str">
        <f t="shared" si="35"/>
        <v/>
      </c>
      <c r="N388" s="11"/>
    </row>
    <row r="389" spans="1:14" ht="15" x14ac:dyDescent="0.25">
      <c r="A389" s="1" t="str">
        <f>IF('1.1 Produksi Bersih Padi 2025'!A389="","",'1.1 Produksi Bersih Padi 2025'!A389)</f>
        <v/>
      </c>
      <c r="B389" s="2" t="str">
        <f>IF('1.1 Produksi Bersih Padi 2025'!B389="","",'1.1 Produksi Bersih Padi 2025'!B389)</f>
        <v/>
      </c>
      <c r="C389" s="2" t="str">
        <f>IF('1.1 Produksi Bersih Padi 2025'!C389="","",'1.1 Produksi Bersih Padi 2025'!C389)</f>
        <v/>
      </c>
      <c r="D389" s="3" t="str">
        <f>IF('1.1 Produksi Bersih Padi 2025'!D389="","",'1.1 Produksi Bersih Padi 2025'!D389)</f>
        <v/>
      </c>
      <c r="E389" s="3" t="str">
        <f>IF('1.1 Produksi Bersih Padi 2025'!E389="","",'1.1 Produksi Bersih Padi 2025'!E389)</f>
        <v/>
      </c>
      <c r="F389" s="28" t="str">
        <f>IF(D389="","",VLOOKUP(D389,'[1]0.1 Produksi Pangan &amp; Penduduk'!$D$5:$S$860,16,0))</f>
        <v/>
      </c>
      <c r="G389" s="28" t="str">
        <f t="shared" si="30"/>
        <v/>
      </c>
      <c r="H389" s="29" t="str">
        <f t="shared" si="31"/>
        <v/>
      </c>
      <c r="I389" s="29" t="str">
        <f t="shared" si="32"/>
        <v/>
      </c>
      <c r="J389" s="29" t="str">
        <f t="shared" si="33"/>
        <v/>
      </c>
      <c r="K389" s="29" t="str">
        <f t="shared" si="34"/>
        <v/>
      </c>
      <c r="L389" s="29" t="str">
        <f t="shared" si="35"/>
        <v/>
      </c>
      <c r="N389" s="11"/>
    </row>
    <row r="390" spans="1:14" ht="15" x14ac:dyDescent="0.25">
      <c r="A390" s="1" t="str">
        <f>IF('1.1 Produksi Bersih Padi 2025'!A390="","",'1.1 Produksi Bersih Padi 2025'!A390)</f>
        <v/>
      </c>
      <c r="B390" s="2" t="str">
        <f>IF('1.1 Produksi Bersih Padi 2025'!B390="","",'1.1 Produksi Bersih Padi 2025'!B390)</f>
        <v/>
      </c>
      <c r="C390" s="2" t="str">
        <f>IF('1.1 Produksi Bersih Padi 2025'!C390="","",'1.1 Produksi Bersih Padi 2025'!C390)</f>
        <v/>
      </c>
      <c r="D390" s="3" t="str">
        <f>IF('1.1 Produksi Bersih Padi 2025'!D390="","",'1.1 Produksi Bersih Padi 2025'!D390)</f>
        <v/>
      </c>
      <c r="E390" s="3" t="str">
        <f>IF('1.1 Produksi Bersih Padi 2025'!E390="","",'1.1 Produksi Bersih Padi 2025'!E390)</f>
        <v/>
      </c>
      <c r="F390" s="28" t="str">
        <f>IF(D390="","",VLOOKUP(D390,'[1]0.1 Produksi Pangan &amp; Penduduk'!$D$5:$S$860,16,0))</f>
        <v/>
      </c>
      <c r="G390" s="28" t="str">
        <f t="shared" ref="G390:G453" si="36">IF(F390="","",F390*73.9252%)</f>
        <v/>
      </c>
      <c r="H390" s="29" t="str">
        <f t="shared" ref="H390:H453" si="37">IF(G390="","",G390*0.345%)</f>
        <v/>
      </c>
      <c r="I390" s="29" t="str">
        <f t="shared" ref="I390:I453" si="38">IF(G390="","",G390*78.806%)</f>
        <v/>
      </c>
      <c r="J390" s="29" t="str">
        <f t="shared" ref="J390:J453" si="39">IF(G390="","",G390*4.62%)</f>
        <v/>
      </c>
      <c r="K390" s="29" t="str">
        <f t="shared" ref="K390:K453" si="40">IF(G390="","",G390-(H390+I390+J390))</f>
        <v/>
      </c>
      <c r="L390" s="29" t="str">
        <f t="shared" ref="L390:L453" si="41">IF(K390="","",K390*1.017)</f>
        <v/>
      </c>
      <c r="N390" s="11"/>
    </row>
    <row r="391" spans="1:14" ht="15" x14ac:dyDescent="0.25">
      <c r="A391" s="1" t="str">
        <f>IF('1.1 Produksi Bersih Padi 2025'!A391="","",'1.1 Produksi Bersih Padi 2025'!A391)</f>
        <v/>
      </c>
      <c r="B391" s="2" t="str">
        <f>IF('1.1 Produksi Bersih Padi 2025'!B391="","",'1.1 Produksi Bersih Padi 2025'!B391)</f>
        <v/>
      </c>
      <c r="C391" s="2" t="str">
        <f>IF('1.1 Produksi Bersih Padi 2025'!C391="","",'1.1 Produksi Bersih Padi 2025'!C391)</f>
        <v/>
      </c>
      <c r="D391" s="3" t="str">
        <f>IF('1.1 Produksi Bersih Padi 2025'!D391="","",'1.1 Produksi Bersih Padi 2025'!D391)</f>
        <v/>
      </c>
      <c r="E391" s="3" t="str">
        <f>IF('1.1 Produksi Bersih Padi 2025'!E391="","",'1.1 Produksi Bersih Padi 2025'!E391)</f>
        <v/>
      </c>
      <c r="F391" s="28" t="str">
        <f>IF(D391="","",VLOOKUP(D391,'[1]0.1 Produksi Pangan &amp; Penduduk'!$D$5:$S$860,16,0))</f>
        <v/>
      </c>
      <c r="G391" s="28" t="str">
        <f t="shared" si="36"/>
        <v/>
      </c>
      <c r="H391" s="29" t="str">
        <f t="shared" si="37"/>
        <v/>
      </c>
      <c r="I391" s="29" t="str">
        <f t="shared" si="38"/>
        <v/>
      </c>
      <c r="J391" s="29" t="str">
        <f t="shared" si="39"/>
        <v/>
      </c>
      <c r="K391" s="29" t="str">
        <f t="shared" si="40"/>
        <v/>
      </c>
      <c r="L391" s="29" t="str">
        <f t="shared" si="41"/>
        <v/>
      </c>
      <c r="N391" s="11"/>
    </row>
    <row r="392" spans="1:14" ht="15" x14ac:dyDescent="0.25">
      <c r="A392" s="1" t="str">
        <f>IF('1.1 Produksi Bersih Padi 2025'!A392="","",'1.1 Produksi Bersih Padi 2025'!A392)</f>
        <v/>
      </c>
      <c r="B392" s="2" t="str">
        <f>IF('1.1 Produksi Bersih Padi 2025'!B392="","",'1.1 Produksi Bersih Padi 2025'!B392)</f>
        <v/>
      </c>
      <c r="C392" s="2" t="str">
        <f>IF('1.1 Produksi Bersih Padi 2025'!C392="","",'1.1 Produksi Bersih Padi 2025'!C392)</f>
        <v/>
      </c>
      <c r="D392" s="3" t="str">
        <f>IF('1.1 Produksi Bersih Padi 2025'!D392="","",'1.1 Produksi Bersih Padi 2025'!D392)</f>
        <v/>
      </c>
      <c r="E392" s="3" t="str">
        <f>IF('1.1 Produksi Bersih Padi 2025'!E392="","",'1.1 Produksi Bersih Padi 2025'!E392)</f>
        <v/>
      </c>
      <c r="F392" s="28" t="str">
        <f>IF(D392="","",VLOOKUP(D392,'[1]0.1 Produksi Pangan &amp; Penduduk'!$D$5:$S$860,16,0))</f>
        <v/>
      </c>
      <c r="G392" s="28" t="str">
        <f t="shared" si="36"/>
        <v/>
      </c>
      <c r="H392" s="29" t="str">
        <f t="shared" si="37"/>
        <v/>
      </c>
      <c r="I392" s="29" t="str">
        <f t="shared" si="38"/>
        <v/>
      </c>
      <c r="J392" s="29" t="str">
        <f t="shared" si="39"/>
        <v/>
      </c>
      <c r="K392" s="29" t="str">
        <f t="shared" si="40"/>
        <v/>
      </c>
      <c r="L392" s="29" t="str">
        <f t="shared" si="41"/>
        <v/>
      </c>
      <c r="N392" s="11"/>
    </row>
    <row r="393" spans="1:14" ht="15" x14ac:dyDescent="0.25">
      <c r="A393" s="1" t="str">
        <f>IF('1.1 Produksi Bersih Padi 2025'!A393="","",'1.1 Produksi Bersih Padi 2025'!A393)</f>
        <v/>
      </c>
      <c r="B393" s="2" t="str">
        <f>IF('1.1 Produksi Bersih Padi 2025'!B393="","",'1.1 Produksi Bersih Padi 2025'!B393)</f>
        <v/>
      </c>
      <c r="C393" s="2" t="str">
        <f>IF('1.1 Produksi Bersih Padi 2025'!C393="","",'1.1 Produksi Bersih Padi 2025'!C393)</f>
        <v/>
      </c>
      <c r="D393" s="3" t="str">
        <f>IF('1.1 Produksi Bersih Padi 2025'!D393="","",'1.1 Produksi Bersih Padi 2025'!D393)</f>
        <v/>
      </c>
      <c r="E393" s="3" t="str">
        <f>IF('1.1 Produksi Bersih Padi 2025'!E393="","",'1.1 Produksi Bersih Padi 2025'!E393)</f>
        <v/>
      </c>
      <c r="F393" s="28" t="str">
        <f>IF(D393="","",VLOOKUP(D393,'[1]0.1 Produksi Pangan &amp; Penduduk'!$D$5:$S$860,16,0))</f>
        <v/>
      </c>
      <c r="G393" s="28" t="str">
        <f t="shared" si="36"/>
        <v/>
      </c>
      <c r="H393" s="29" t="str">
        <f t="shared" si="37"/>
        <v/>
      </c>
      <c r="I393" s="29" t="str">
        <f t="shared" si="38"/>
        <v/>
      </c>
      <c r="J393" s="29" t="str">
        <f t="shared" si="39"/>
        <v/>
      </c>
      <c r="K393" s="29" t="str">
        <f t="shared" si="40"/>
        <v/>
      </c>
      <c r="L393" s="29" t="str">
        <f t="shared" si="41"/>
        <v/>
      </c>
      <c r="N393" s="11"/>
    </row>
    <row r="394" spans="1:14" ht="15" x14ac:dyDescent="0.25">
      <c r="A394" s="1" t="str">
        <f>IF('1.1 Produksi Bersih Padi 2025'!A394="","",'1.1 Produksi Bersih Padi 2025'!A394)</f>
        <v/>
      </c>
      <c r="B394" s="2" t="str">
        <f>IF('1.1 Produksi Bersih Padi 2025'!B394="","",'1.1 Produksi Bersih Padi 2025'!B394)</f>
        <v/>
      </c>
      <c r="C394" s="2" t="str">
        <f>IF('1.1 Produksi Bersih Padi 2025'!C394="","",'1.1 Produksi Bersih Padi 2025'!C394)</f>
        <v/>
      </c>
      <c r="D394" s="3" t="str">
        <f>IF('1.1 Produksi Bersih Padi 2025'!D394="","",'1.1 Produksi Bersih Padi 2025'!D394)</f>
        <v/>
      </c>
      <c r="E394" s="3" t="str">
        <f>IF('1.1 Produksi Bersih Padi 2025'!E394="","",'1.1 Produksi Bersih Padi 2025'!E394)</f>
        <v/>
      </c>
      <c r="F394" s="28" t="str">
        <f>IF(D394="","",VLOOKUP(D394,'[1]0.1 Produksi Pangan &amp; Penduduk'!$D$5:$S$860,16,0))</f>
        <v/>
      </c>
      <c r="G394" s="28" t="str">
        <f t="shared" si="36"/>
        <v/>
      </c>
      <c r="H394" s="29" t="str">
        <f t="shared" si="37"/>
        <v/>
      </c>
      <c r="I394" s="29" t="str">
        <f t="shared" si="38"/>
        <v/>
      </c>
      <c r="J394" s="29" t="str">
        <f t="shared" si="39"/>
        <v/>
      </c>
      <c r="K394" s="29" t="str">
        <f t="shared" si="40"/>
        <v/>
      </c>
      <c r="L394" s="29" t="str">
        <f t="shared" si="41"/>
        <v/>
      </c>
      <c r="N394" s="11"/>
    </row>
    <row r="395" spans="1:14" ht="15" x14ac:dyDescent="0.25">
      <c r="A395" s="1" t="str">
        <f>IF('1.1 Produksi Bersih Padi 2025'!A395="","",'1.1 Produksi Bersih Padi 2025'!A395)</f>
        <v/>
      </c>
      <c r="B395" s="2" t="str">
        <f>IF('1.1 Produksi Bersih Padi 2025'!B395="","",'1.1 Produksi Bersih Padi 2025'!B395)</f>
        <v/>
      </c>
      <c r="C395" s="2" t="str">
        <f>IF('1.1 Produksi Bersih Padi 2025'!C395="","",'1.1 Produksi Bersih Padi 2025'!C395)</f>
        <v/>
      </c>
      <c r="D395" s="3" t="str">
        <f>IF('1.1 Produksi Bersih Padi 2025'!D395="","",'1.1 Produksi Bersih Padi 2025'!D395)</f>
        <v/>
      </c>
      <c r="E395" s="3" t="str">
        <f>IF('1.1 Produksi Bersih Padi 2025'!E395="","",'1.1 Produksi Bersih Padi 2025'!E395)</f>
        <v/>
      </c>
      <c r="F395" s="28" t="str">
        <f>IF(D395="","",VLOOKUP(D395,'[1]0.1 Produksi Pangan &amp; Penduduk'!$D$5:$S$860,16,0))</f>
        <v/>
      </c>
      <c r="G395" s="28" t="str">
        <f t="shared" si="36"/>
        <v/>
      </c>
      <c r="H395" s="29" t="str">
        <f t="shared" si="37"/>
        <v/>
      </c>
      <c r="I395" s="29" t="str">
        <f t="shared" si="38"/>
        <v/>
      </c>
      <c r="J395" s="29" t="str">
        <f t="shared" si="39"/>
        <v/>
      </c>
      <c r="K395" s="29" t="str">
        <f t="shared" si="40"/>
        <v/>
      </c>
      <c r="L395" s="29" t="str">
        <f t="shared" si="41"/>
        <v/>
      </c>
      <c r="N395" s="11"/>
    </row>
    <row r="396" spans="1:14" ht="15" x14ac:dyDescent="0.25">
      <c r="A396" s="1" t="str">
        <f>IF('1.1 Produksi Bersih Padi 2025'!A396="","",'1.1 Produksi Bersih Padi 2025'!A396)</f>
        <v/>
      </c>
      <c r="B396" s="2" t="str">
        <f>IF('1.1 Produksi Bersih Padi 2025'!B396="","",'1.1 Produksi Bersih Padi 2025'!B396)</f>
        <v/>
      </c>
      <c r="C396" s="2" t="str">
        <f>IF('1.1 Produksi Bersih Padi 2025'!C396="","",'1.1 Produksi Bersih Padi 2025'!C396)</f>
        <v/>
      </c>
      <c r="D396" s="3" t="str">
        <f>IF('1.1 Produksi Bersih Padi 2025'!D396="","",'1.1 Produksi Bersih Padi 2025'!D396)</f>
        <v/>
      </c>
      <c r="E396" s="3" t="str">
        <f>IF('1.1 Produksi Bersih Padi 2025'!E396="","",'1.1 Produksi Bersih Padi 2025'!E396)</f>
        <v/>
      </c>
      <c r="F396" s="28" t="str">
        <f>IF(D396="","",VLOOKUP(D396,'[1]0.1 Produksi Pangan &amp; Penduduk'!$D$5:$S$860,16,0))</f>
        <v/>
      </c>
      <c r="G396" s="28" t="str">
        <f t="shared" si="36"/>
        <v/>
      </c>
      <c r="H396" s="29" t="str">
        <f t="shared" si="37"/>
        <v/>
      </c>
      <c r="I396" s="29" t="str">
        <f t="shared" si="38"/>
        <v/>
      </c>
      <c r="J396" s="29" t="str">
        <f t="shared" si="39"/>
        <v/>
      </c>
      <c r="K396" s="29" t="str">
        <f t="shared" si="40"/>
        <v/>
      </c>
      <c r="L396" s="29" t="str">
        <f t="shared" si="41"/>
        <v/>
      </c>
      <c r="N396" s="11"/>
    </row>
    <row r="397" spans="1:14" ht="15" x14ac:dyDescent="0.25">
      <c r="A397" s="1" t="str">
        <f>IF('1.1 Produksi Bersih Padi 2025'!A397="","",'1.1 Produksi Bersih Padi 2025'!A397)</f>
        <v/>
      </c>
      <c r="B397" s="2" t="str">
        <f>IF('1.1 Produksi Bersih Padi 2025'!B397="","",'1.1 Produksi Bersih Padi 2025'!B397)</f>
        <v/>
      </c>
      <c r="C397" s="2" t="str">
        <f>IF('1.1 Produksi Bersih Padi 2025'!C397="","",'1.1 Produksi Bersih Padi 2025'!C397)</f>
        <v/>
      </c>
      <c r="D397" s="3" t="str">
        <f>IF('1.1 Produksi Bersih Padi 2025'!D397="","",'1.1 Produksi Bersih Padi 2025'!D397)</f>
        <v/>
      </c>
      <c r="E397" s="3" t="str">
        <f>IF('1.1 Produksi Bersih Padi 2025'!E397="","",'1.1 Produksi Bersih Padi 2025'!E397)</f>
        <v/>
      </c>
      <c r="F397" s="28" t="str">
        <f>IF(D397="","",VLOOKUP(D397,'[1]0.1 Produksi Pangan &amp; Penduduk'!$D$5:$S$860,16,0))</f>
        <v/>
      </c>
      <c r="G397" s="28" t="str">
        <f t="shared" si="36"/>
        <v/>
      </c>
      <c r="H397" s="29" t="str">
        <f t="shared" si="37"/>
        <v/>
      </c>
      <c r="I397" s="29" t="str">
        <f t="shared" si="38"/>
        <v/>
      </c>
      <c r="J397" s="29" t="str">
        <f t="shared" si="39"/>
        <v/>
      </c>
      <c r="K397" s="29" t="str">
        <f t="shared" si="40"/>
        <v/>
      </c>
      <c r="L397" s="29" t="str">
        <f t="shared" si="41"/>
        <v/>
      </c>
      <c r="N397" s="11"/>
    </row>
    <row r="398" spans="1:14" ht="15" x14ac:dyDescent="0.25">
      <c r="A398" s="1" t="str">
        <f>IF('1.1 Produksi Bersih Padi 2025'!A398="","",'1.1 Produksi Bersih Padi 2025'!A398)</f>
        <v/>
      </c>
      <c r="B398" s="2" t="str">
        <f>IF('1.1 Produksi Bersih Padi 2025'!B398="","",'1.1 Produksi Bersih Padi 2025'!B398)</f>
        <v/>
      </c>
      <c r="C398" s="2" t="str">
        <f>IF('1.1 Produksi Bersih Padi 2025'!C398="","",'1.1 Produksi Bersih Padi 2025'!C398)</f>
        <v/>
      </c>
      <c r="D398" s="3" t="str">
        <f>IF('1.1 Produksi Bersih Padi 2025'!D398="","",'1.1 Produksi Bersih Padi 2025'!D398)</f>
        <v/>
      </c>
      <c r="E398" s="3" t="str">
        <f>IF('1.1 Produksi Bersih Padi 2025'!E398="","",'1.1 Produksi Bersih Padi 2025'!E398)</f>
        <v/>
      </c>
      <c r="F398" s="28" t="str">
        <f>IF(D398="","",VLOOKUP(D398,'[1]0.1 Produksi Pangan &amp; Penduduk'!$D$5:$S$860,16,0))</f>
        <v/>
      </c>
      <c r="G398" s="28" t="str">
        <f t="shared" si="36"/>
        <v/>
      </c>
      <c r="H398" s="29" t="str">
        <f t="shared" si="37"/>
        <v/>
      </c>
      <c r="I398" s="29" t="str">
        <f t="shared" si="38"/>
        <v/>
      </c>
      <c r="J398" s="29" t="str">
        <f t="shared" si="39"/>
        <v/>
      </c>
      <c r="K398" s="29" t="str">
        <f t="shared" si="40"/>
        <v/>
      </c>
      <c r="L398" s="29" t="str">
        <f t="shared" si="41"/>
        <v/>
      </c>
      <c r="N398" s="11"/>
    </row>
    <row r="399" spans="1:14" ht="15" x14ac:dyDescent="0.25">
      <c r="A399" s="1" t="str">
        <f>IF('1.1 Produksi Bersih Padi 2025'!A399="","",'1.1 Produksi Bersih Padi 2025'!A399)</f>
        <v/>
      </c>
      <c r="B399" s="2" t="str">
        <f>IF('1.1 Produksi Bersih Padi 2025'!B399="","",'1.1 Produksi Bersih Padi 2025'!B399)</f>
        <v/>
      </c>
      <c r="C399" s="2" t="str">
        <f>IF('1.1 Produksi Bersih Padi 2025'!C399="","",'1.1 Produksi Bersih Padi 2025'!C399)</f>
        <v/>
      </c>
      <c r="D399" s="3" t="str">
        <f>IF('1.1 Produksi Bersih Padi 2025'!D399="","",'1.1 Produksi Bersih Padi 2025'!D399)</f>
        <v/>
      </c>
      <c r="E399" s="3" t="str">
        <f>IF('1.1 Produksi Bersih Padi 2025'!E399="","",'1.1 Produksi Bersih Padi 2025'!E399)</f>
        <v/>
      </c>
      <c r="F399" s="28" t="str">
        <f>IF(D399="","",VLOOKUP(D399,'[1]0.1 Produksi Pangan &amp; Penduduk'!$D$5:$S$860,16,0))</f>
        <v/>
      </c>
      <c r="G399" s="28" t="str">
        <f t="shared" si="36"/>
        <v/>
      </c>
      <c r="H399" s="29" t="str">
        <f t="shared" si="37"/>
        <v/>
      </c>
      <c r="I399" s="29" t="str">
        <f t="shared" si="38"/>
        <v/>
      </c>
      <c r="J399" s="29" t="str">
        <f t="shared" si="39"/>
        <v/>
      </c>
      <c r="K399" s="29" t="str">
        <f t="shared" si="40"/>
        <v/>
      </c>
      <c r="L399" s="29" t="str">
        <f t="shared" si="41"/>
        <v/>
      </c>
      <c r="N399" s="11"/>
    </row>
    <row r="400" spans="1:14" ht="15" x14ac:dyDescent="0.25">
      <c r="A400" s="1" t="str">
        <f>IF('1.1 Produksi Bersih Padi 2025'!A400="","",'1.1 Produksi Bersih Padi 2025'!A400)</f>
        <v/>
      </c>
      <c r="B400" s="2" t="str">
        <f>IF('1.1 Produksi Bersih Padi 2025'!B400="","",'1.1 Produksi Bersih Padi 2025'!B400)</f>
        <v/>
      </c>
      <c r="C400" s="2" t="str">
        <f>IF('1.1 Produksi Bersih Padi 2025'!C400="","",'1.1 Produksi Bersih Padi 2025'!C400)</f>
        <v/>
      </c>
      <c r="D400" s="3" t="str">
        <f>IF('1.1 Produksi Bersih Padi 2025'!D400="","",'1.1 Produksi Bersih Padi 2025'!D400)</f>
        <v/>
      </c>
      <c r="E400" s="3" t="str">
        <f>IF('1.1 Produksi Bersih Padi 2025'!E400="","",'1.1 Produksi Bersih Padi 2025'!E400)</f>
        <v/>
      </c>
      <c r="F400" s="28" t="str">
        <f>IF(D400="","",VLOOKUP(D400,'[1]0.1 Produksi Pangan &amp; Penduduk'!$D$5:$S$860,16,0))</f>
        <v/>
      </c>
      <c r="G400" s="28" t="str">
        <f t="shared" si="36"/>
        <v/>
      </c>
      <c r="H400" s="29" t="str">
        <f t="shared" si="37"/>
        <v/>
      </c>
      <c r="I400" s="29" t="str">
        <f t="shared" si="38"/>
        <v/>
      </c>
      <c r="J400" s="29" t="str">
        <f t="shared" si="39"/>
        <v/>
      </c>
      <c r="K400" s="29" t="str">
        <f t="shared" si="40"/>
        <v/>
      </c>
      <c r="L400" s="29" t="str">
        <f t="shared" si="41"/>
        <v/>
      </c>
      <c r="N400" s="11"/>
    </row>
    <row r="401" spans="1:14" ht="15" x14ac:dyDescent="0.25">
      <c r="A401" s="1" t="str">
        <f>IF('1.1 Produksi Bersih Padi 2025'!A401="","",'1.1 Produksi Bersih Padi 2025'!A401)</f>
        <v/>
      </c>
      <c r="B401" s="2" t="str">
        <f>IF('1.1 Produksi Bersih Padi 2025'!B401="","",'1.1 Produksi Bersih Padi 2025'!B401)</f>
        <v/>
      </c>
      <c r="C401" s="2" t="str">
        <f>IF('1.1 Produksi Bersih Padi 2025'!C401="","",'1.1 Produksi Bersih Padi 2025'!C401)</f>
        <v/>
      </c>
      <c r="D401" s="3" t="str">
        <f>IF('1.1 Produksi Bersih Padi 2025'!D401="","",'1.1 Produksi Bersih Padi 2025'!D401)</f>
        <v/>
      </c>
      <c r="E401" s="3" t="str">
        <f>IF('1.1 Produksi Bersih Padi 2025'!E401="","",'1.1 Produksi Bersih Padi 2025'!E401)</f>
        <v/>
      </c>
      <c r="F401" s="28" t="str">
        <f>IF(D401="","",VLOOKUP(D401,'[1]0.1 Produksi Pangan &amp; Penduduk'!$D$5:$S$860,16,0))</f>
        <v/>
      </c>
      <c r="G401" s="28" t="str">
        <f t="shared" si="36"/>
        <v/>
      </c>
      <c r="H401" s="29" t="str">
        <f t="shared" si="37"/>
        <v/>
      </c>
      <c r="I401" s="29" t="str">
        <f t="shared" si="38"/>
        <v/>
      </c>
      <c r="J401" s="29" t="str">
        <f t="shared" si="39"/>
        <v/>
      </c>
      <c r="K401" s="29" t="str">
        <f t="shared" si="40"/>
        <v/>
      </c>
      <c r="L401" s="29" t="str">
        <f t="shared" si="41"/>
        <v/>
      </c>
      <c r="N401" s="11"/>
    </row>
    <row r="402" spans="1:14" ht="15" x14ac:dyDescent="0.25">
      <c r="A402" s="1" t="str">
        <f>IF('1.1 Produksi Bersih Padi 2025'!A402="","",'1.1 Produksi Bersih Padi 2025'!A402)</f>
        <v/>
      </c>
      <c r="B402" s="2" t="str">
        <f>IF('1.1 Produksi Bersih Padi 2025'!B402="","",'1.1 Produksi Bersih Padi 2025'!B402)</f>
        <v/>
      </c>
      <c r="C402" s="2" t="str">
        <f>IF('1.1 Produksi Bersih Padi 2025'!C402="","",'1.1 Produksi Bersih Padi 2025'!C402)</f>
        <v/>
      </c>
      <c r="D402" s="3" t="str">
        <f>IF('1.1 Produksi Bersih Padi 2025'!D402="","",'1.1 Produksi Bersih Padi 2025'!D402)</f>
        <v/>
      </c>
      <c r="E402" s="3" t="str">
        <f>IF('1.1 Produksi Bersih Padi 2025'!E402="","",'1.1 Produksi Bersih Padi 2025'!E402)</f>
        <v/>
      </c>
      <c r="F402" s="28" t="str">
        <f>IF(D402="","",VLOOKUP(D402,'[1]0.1 Produksi Pangan &amp; Penduduk'!$D$5:$S$860,16,0))</f>
        <v/>
      </c>
      <c r="G402" s="28" t="str">
        <f t="shared" si="36"/>
        <v/>
      </c>
      <c r="H402" s="29" t="str">
        <f t="shared" si="37"/>
        <v/>
      </c>
      <c r="I402" s="29" t="str">
        <f t="shared" si="38"/>
        <v/>
      </c>
      <c r="J402" s="29" t="str">
        <f t="shared" si="39"/>
        <v/>
      </c>
      <c r="K402" s="29" t="str">
        <f t="shared" si="40"/>
        <v/>
      </c>
      <c r="L402" s="29" t="str">
        <f t="shared" si="41"/>
        <v/>
      </c>
      <c r="N402" s="11"/>
    </row>
    <row r="403" spans="1:14" ht="15" x14ac:dyDescent="0.25">
      <c r="A403" s="1" t="str">
        <f>IF('1.1 Produksi Bersih Padi 2025'!A403="","",'1.1 Produksi Bersih Padi 2025'!A403)</f>
        <v/>
      </c>
      <c r="B403" s="2" t="str">
        <f>IF('1.1 Produksi Bersih Padi 2025'!B403="","",'1.1 Produksi Bersih Padi 2025'!B403)</f>
        <v/>
      </c>
      <c r="C403" s="2" t="str">
        <f>IF('1.1 Produksi Bersih Padi 2025'!C403="","",'1.1 Produksi Bersih Padi 2025'!C403)</f>
        <v/>
      </c>
      <c r="D403" s="3" t="str">
        <f>IF('1.1 Produksi Bersih Padi 2025'!D403="","",'1.1 Produksi Bersih Padi 2025'!D403)</f>
        <v/>
      </c>
      <c r="E403" s="3" t="str">
        <f>IF('1.1 Produksi Bersih Padi 2025'!E403="","",'1.1 Produksi Bersih Padi 2025'!E403)</f>
        <v/>
      </c>
      <c r="F403" s="28" t="str">
        <f>IF(D403="","",VLOOKUP(D403,'[1]0.1 Produksi Pangan &amp; Penduduk'!$D$5:$S$860,16,0))</f>
        <v/>
      </c>
      <c r="G403" s="28" t="str">
        <f t="shared" si="36"/>
        <v/>
      </c>
      <c r="H403" s="29" t="str">
        <f t="shared" si="37"/>
        <v/>
      </c>
      <c r="I403" s="29" t="str">
        <f t="shared" si="38"/>
        <v/>
      </c>
      <c r="J403" s="29" t="str">
        <f t="shared" si="39"/>
        <v/>
      </c>
      <c r="K403" s="29" t="str">
        <f t="shared" si="40"/>
        <v/>
      </c>
      <c r="L403" s="29" t="str">
        <f t="shared" si="41"/>
        <v/>
      </c>
      <c r="N403" s="11"/>
    </row>
    <row r="404" spans="1:14" ht="15" x14ac:dyDescent="0.25">
      <c r="A404" s="1" t="str">
        <f>IF('1.1 Produksi Bersih Padi 2025'!A404="","",'1.1 Produksi Bersih Padi 2025'!A404)</f>
        <v/>
      </c>
      <c r="B404" s="2" t="str">
        <f>IF('1.1 Produksi Bersih Padi 2025'!B404="","",'1.1 Produksi Bersih Padi 2025'!B404)</f>
        <v/>
      </c>
      <c r="C404" s="2" t="str">
        <f>IF('1.1 Produksi Bersih Padi 2025'!C404="","",'1.1 Produksi Bersih Padi 2025'!C404)</f>
        <v/>
      </c>
      <c r="D404" s="3" t="str">
        <f>IF('1.1 Produksi Bersih Padi 2025'!D404="","",'1.1 Produksi Bersih Padi 2025'!D404)</f>
        <v/>
      </c>
      <c r="E404" s="3" t="str">
        <f>IF('1.1 Produksi Bersih Padi 2025'!E404="","",'1.1 Produksi Bersih Padi 2025'!E404)</f>
        <v/>
      </c>
      <c r="F404" s="28" t="str">
        <f>IF(D404="","",VLOOKUP(D404,'[1]0.1 Produksi Pangan &amp; Penduduk'!$D$5:$S$860,16,0))</f>
        <v/>
      </c>
      <c r="G404" s="28" t="str">
        <f t="shared" si="36"/>
        <v/>
      </c>
      <c r="H404" s="29" t="str">
        <f t="shared" si="37"/>
        <v/>
      </c>
      <c r="I404" s="29" t="str">
        <f t="shared" si="38"/>
        <v/>
      </c>
      <c r="J404" s="29" t="str">
        <f t="shared" si="39"/>
        <v/>
      </c>
      <c r="K404" s="29" t="str">
        <f t="shared" si="40"/>
        <v/>
      </c>
      <c r="L404" s="29" t="str">
        <f t="shared" si="41"/>
        <v/>
      </c>
      <c r="N404" s="11"/>
    </row>
    <row r="405" spans="1:14" ht="15" x14ac:dyDescent="0.25">
      <c r="A405" s="1" t="str">
        <f>IF('1.1 Produksi Bersih Padi 2025'!A405="","",'1.1 Produksi Bersih Padi 2025'!A405)</f>
        <v/>
      </c>
      <c r="B405" s="2" t="str">
        <f>IF('1.1 Produksi Bersih Padi 2025'!B405="","",'1.1 Produksi Bersih Padi 2025'!B405)</f>
        <v/>
      </c>
      <c r="C405" s="2" t="str">
        <f>IF('1.1 Produksi Bersih Padi 2025'!C405="","",'1.1 Produksi Bersih Padi 2025'!C405)</f>
        <v/>
      </c>
      <c r="D405" s="3" t="str">
        <f>IF('1.1 Produksi Bersih Padi 2025'!D405="","",'1.1 Produksi Bersih Padi 2025'!D405)</f>
        <v/>
      </c>
      <c r="E405" s="3" t="str">
        <f>IF('1.1 Produksi Bersih Padi 2025'!E405="","",'1.1 Produksi Bersih Padi 2025'!E405)</f>
        <v/>
      </c>
      <c r="F405" s="28" t="str">
        <f>IF(D405="","",VLOOKUP(D405,'[1]0.1 Produksi Pangan &amp; Penduduk'!$D$5:$S$860,16,0))</f>
        <v/>
      </c>
      <c r="G405" s="28" t="str">
        <f t="shared" si="36"/>
        <v/>
      </c>
      <c r="H405" s="29" t="str">
        <f t="shared" si="37"/>
        <v/>
      </c>
      <c r="I405" s="29" t="str">
        <f t="shared" si="38"/>
        <v/>
      </c>
      <c r="J405" s="29" t="str">
        <f t="shared" si="39"/>
        <v/>
      </c>
      <c r="K405" s="29" t="str">
        <f t="shared" si="40"/>
        <v/>
      </c>
      <c r="L405" s="29" t="str">
        <f t="shared" si="41"/>
        <v/>
      </c>
      <c r="N405" s="11"/>
    </row>
    <row r="406" spans="1:14" ht="15" x14ac:dyDescent="0.25">
      <c r="A406" s="1" t="str">
        <f>IF('1.1 Produksi Bersih Padi 2025'!A406="","",'1.1 Produksi Bersih Padi 2025'!A406)</f>
        <v/>
      </c>
      <c r="B406" s="2" t="str">
        <f>IF('1.1 Produksi Bersih Padi 2025'!B406="","",'1.1 Produksi Bersih Padi 2025'!B406)</f>
        <v/>
      </c>
      <c r="C406" s="2" t="str">
        <f>IF('1.1 Produksi Bersih Padi 2025'!C406="","",'1.1 Produksi Bersih Padi 2025'!C406)</f>
        <v/>
      </c>
      <c r="D406" s="3" t="str">
        <f>IF('1.1 Produksi Bersih Padi 2025'!D406="","",'1.1 Produksi Bersih Padi 2025'!D406)</f>
        <v/>
      </c>
      <c r="E406" s="3" t="str">
        <f>IF('1.1 Produksi Bersih Padi 2025'!E406="","",'1.1 Produksi Bersih Padi 2025'!E406)</f>
        <v/>
      </c>
      <c r="F406" s="28" t="str">
        <f>IF(D406="","",VLOOKUP(D406,'[1]0.1 Produksi Pangan &amp; Penduduk'!$D$5:$S$860,16,0))</f>
        <v/>
      </c>
      <c r="G406" s="28" t="str">
        <f t="shared" si="36"/>
        <v/>
      </c>
      <c r="H406" s="29" t="str">
        <f t="shared" si="37"/>
        <v/>
      </c>
      <c r="I406" s="29" t="str">
        <f t="shared" si="38"/>
        <v/>
      </c>
      <c r="J406" s="29" t="str">
        <f t="shared" si="39"/>
        <v/>
      </c>
      <c r="K406" s="29" t="str">
        <f t="shared" si="40"/>
        <v/>
      </c>
      <c r="L406" s="29" t="str">
        <f t="shared" si="41"/>
        <v/>
      </c>
      <c r="N406" s="11"/>
    </row>
    <row r="407" spans="1:14" ht="15" x14ac:dyDescent="0.25">
      <c r="A407" s="1" t="str">
        <f>IF('1.1 Produksi Bersih Padi 2025'!A407="","",'1.1 Produksi Bersih Padi 2025'!A407)</f>
        <v/>
      </c>
      <c r="B407" s="2" t="str">
        <f>IF('1.1 Produksi Bersih Padi 2025'!B407="","",'1.1 Produksi Bersih Padi 2025'!B407)</f>
        <v/>
      </c>
      <c r="C407" s="2" t="str">
        <f>IF('1.1 Produksi Bersih Padi 2025'!C407="","",'1.1 Produksi Bersih Padi 2025'!C407)</f>
        <v/>
      </c>
      <c r="D407" s="3" t="str">
        <f>IF('1.1 Produksi Bersih Padi 2025'!D407="","",'1.1 Produksi Bersih Padi 2025'!D407)</f>
        <v/>
      </c>
      <c r="E407" s="3" t="str">
        <f>IF('1.1 Produksi Bersih Padi 2025'!E407="","",'1.1 Produksi Bersih Padi 2025'!E407)</f>
        <v/>
      </c>
      <c r="F407" s="28" t="str">
        <f>IF(D407="","",VLOOKUP(D407,'[1]0.1 Produksi Pangan &amp; Penduduk'!$D$5:$S$860,16,0))</f>
        <v/>
      </c>
      <c r="G407" s="28" t="str">
        <f t="shared" si="36"/>
        <v/>
      </c>
      <c r="H407" s="29" t="str">
        <f t="shared" si="37"/>
        <v/>
      </c>
      <c r="I407" s="29" t="str">
        <f t="shared" si="38"/>
        <v/>
      </c>
      <c r="J407" s="29" t="str">
        <f t="shared" si="39"/>
        <v/>
      </c>
      <c r="K407" s="29" t="str">
        <f t="shared" si="40"/>
        <v/>
      </c>
      <c r="L407" s="29" t="str">
        <f t="shared" si="41"/>
        <v/>
      </c>
      <c r="N407" s="11"/>
    </row>
    <row r="408" spans="1:14" ht="15" x14ac:dyDescent="0.25">
      <c r="A408" s="1" t="str">
        <f>IF('1.1 Produksi Bersih Padi 2025'!A408="","",'1.1 Produksi Bersih Padi 2025'!A408)</f>
        <v/>
      </c>
      <c r="B408" s="2" t="str">
        <f>IF('1.1 Produksi Bersih Padi 2025'!B408="","",'1.1 Produksi Bersih Padi 2025'!B408)</f>
        <v/>
      </c>
      <c r="C408" s="2" t="str">
        <f>IF('1.1 Produksi Bersih Padi 2025'!C408="","",'1.1 Produksi Bersih Padi 2025'!C408)</f>
        <v/>
      </c>
      <c r="D408" s="3" t="str">
        <f>IF('1.1 Produksi Bersih Padi 2025'!D408="","",'1.1 Produksi Bersih Padi 2025'!D408)</f>
        <v/>
      </c>
      <c r="E408" s="3" t="str">
        <f>IF('1.1 Produksi Bersih Padi 2025'!E408="","",'1.1 Produksi Bersih Padi 2025'!E408)</f>
        <v/>
      </c>
      <c r="F408" s="28" t="str">
        <f>IF(D408="","",VLOOKUP(D408,'[1]0.1 Produksi Pangan &amp; Penduduk'!$D$5:$S$860,16,0))</f>
        <v/>
      </c>
      <c r="G408" s="28" t="str">
        <f t="shared" si="36"/>
        <v/>
      </c>
      <c r="H408" s="29" t="str">
        <f t="shared" si="37"/>
        <v/>
      </c>
      <c r="I408" s="29" t="str">
        <f t="shared" si="38"/>
        <v/>
      </c>
      <c r="J408" s="29" t="str">
        <f t="shared" si="39"/>
        <v/>
      </c>
      <c r="K408" s="29" t="str">
        <f t="shared" si="40"/>
        <v/>
      </c>
      <c r="L408" s="29" t="str">
        <f t="shared" si="41"/>
        <v/>
      </c>
      <c r="N408" s="11"/>
    </row>
    <row r="409" spans="1:14" ht="15" x14ac:dyDescent="0.25">
      <c r="A409" s="1" t="str">
        <f>IF('1.1 Produksi Bersih Padi 2025'!A409="","",'1.1 Produksi Bersih Padi 2025'!A409)</f>
        <v/>
      </c>
      <c r="B409" s="2" t="str">
        <f>IF('1.1 Produksi Bersih Padi 2025'!B409="","",'1.1 Produksi Bersih Padi 2025'!B409)</f>
        <v/>
      </c>
      <c r="C409" s="2" t="str">
        <f>IF('1.1 Produksi Bersih Padi 2025'!C409="","",'1.1 Produksi Bersih Padi 2025'!C409)</f>
        <v/>
      </c>
      <c r="D409" s="3" t="str">
        <f>IF('1.1 Produksi Bersih Padi 2025'!D409="","",'1.1 Produksi Bersih Padi 2025'!D409)</f>
        <v/>
      </c>
      <c r="E409" s="3" t="str">
        <f>IF('1.1 Produksi Bersih Padi 2025'!E409="","",'1.1 Produksi Bersih Padi 2025'!E409)</f>
        <v/>
      </c>
      <c r="F409" s="28" t="str">
        <f>IF(D409="","",VLOOKUP(D409,'[1]0.1 Produksi Pangan &amp; Penduduk'!$D$5:$S$860,16,0))</f>
        <v/>
      </c>
      <c r="G409" s="28" t="str">
        <f t="shared" si="36"/>
        <v/>
      </c>
      <c r="H409" s="29" t="str">
        <f t="shared" si="37"/>
        <v/>
      </c>
      <c r="I409" s="29" t="str">
        <f t="shared" si="38"/>
        <v/>
      </c>
      <c r="J409" s="29" t="str">
        <f t="shared" si="39"/>
        <v/>
      </c>
      <c r="K409" s="29" t="str">
        <f t="shared" si="40"/>
        <v/>
      </c>
      <c r="L409" s="29" t="str">
        <f t="shared" si="41"/>
        <v/>
      </c>
      <c r="N409" s="11"/>
    </row>
    <row r="410" spans="1:14" ht="15" x14ac:dyDescent="0.25">
      <c r="A410" s="1" t="str">
        <f>IF('1.1 Produksi Bersih Padi 2025'!A410="","",'1.1 Produksi Bersih Padi 2025'!A410)</f>
        <v/>
      </c>
      <c r="B410" s="2" t="str">
        <f>IF('1.1 Produksi Bersih Padi 2025'!B410="","",'1.1 Produksi Bersih Padi 2025'!B410)</f>
        <v/>
      </c>
      <c r="C410" s="2" t="str">
        <f>IF('1.1 Produksi Bersih Padi 2025'!C410="","",'1.1 Produksi Bersih Padi 2025'!C410)</f>
        <v/>
      </c>
      <c r="D410" s="3" t="str">
        <f>IF('1.1 Produksi Bersih Padi 2025'!D410="","",'1.1 Produksi Bersih Padi 2025'!D410)</f>
        <v/>
      </c>
      <c r="E410" s="3" t="str">
        <f>IF('1.1 Produksi Bersih Padi 2025'!E410="","",'1.1 Produksi Bersih Padi 2025'!E410)</f>
        <v/>
      </c>
      <c r="F410" s="28" t="str">
        <f>IF(D410="","",VLOOKUP(D410,'[1]0.1 Produksi Pangan &amp; Penduduk'!$D$5:$S$860,16,0))</f>
        <v/>
      </c>
      <c r="G410" s="28" t="str">
        <f t="shared" si="36"/>
        <v/>
      </c>
      <c r="H410" s="29" t="str">
        <f t="shared" si="37"/>
        <v/>
      </c>
      <c r="I410" s="29" t="str">
        <f t="shared" si="38"/>
        <v/>
      </c>
      <c r="J410" s="29" t="str">
        <f t="shared" si="39"/>
        <v/>
      </c>
      <c r="K410" s="29" t="str">
        <f t="shared" si="40"/>
        <v/>
      </c>
      <c r="L410" s="29" t="str">
        <f t="shared" si="41"/>
        <v/>
      </c>
      <c r="N410" s="11"/>
    </row>
    <row r="411" spans="1:14" ht="15" x14ac:dyDescent="0.25">
      <c r="A411" s="1" t="str">
        <f>IF('1.1 Produksi Bersih Padi 2025'!A411="","",'1.1 Produksi Bersih Padi 2025'!A411)</f>
        <v/>
      </c>
      <c r="B411" s="2" t="str">
        <f>IF('1.1 Produksi Bersih Padi 2025'!B411="","",'1.1 Produksi Bersih Padi 2025'!B411)</f>
        <v/>
      </c>
      <c r="C411" s="2" t="str">
        <f>IF('1.1 Produksi Bersih Padi 2025'!C411="","",'1.1 Produksi Bersih Padi 2025'!C411)</f>
        <v/>
      </c>
      <c r="D411" s="3" t="str">
        <f>IF('1.1 Produksi Bersih Padi 2025'!D411="","",'1.1 Produksi Bersih Padi 2025'!D411)</f>
        <v/>
      </c>
      <c r="E411" s="3" t="str">
        <f>IF('1.1 Produksi Bersih Padi 2025'!E411="","",'1.1 Produksi Bersih Padi 2025'!E411)</f>
        <v/>
      </c>
      <c r="F411" s="28" t="str">
        <f>IF(D411="","",VLOOKUP(D411,'[1]0.1 Produksi Pangan &amp; Penduduk'!$D$5:$S$860,16,0))</f>
        <v/>
      </c>
      <c r="G411" s="28" t="str">
        <f t="shared" si="36"/>
        <v/>
      </c>
      <c r="H411" s="29" t="str">
        <f t="shared" si="37"/>
        <v/>
      </c>
      <c r="I411" s="29" t="str">
        <f t="shared" si="38"/>
        <v/>
      </c>
      <c r="J411" s="29" t="str">
        <f t="shared" si="39"/>
        <v/>
      </c>
      <c r="K411" s="29" t="str">
        <f t="shared" si="40"/>
        <v/>
      </c>
      <c r="L411" s="29" t="str">
        <f t="shared" si="41"/>
        <v/>
      </c>
      <c r="N411" s="11"/>
    </row>
    <row r="412" spans="1:14" ht="15" x14ac:dyDescent="0.25">
      <c r="A412" s="1" t="str">
        <f>IF('1.1 Produksi Bersih Padi 2025'!A412="","",'1.1 Produksi Bersih Padi 2025'!A412)</f>
        <v/>
      </c>
      <c r="B412" s="2" t="str">
        <f>IF('1.1 Produksi Bersih Padi 2025'!B412="","",'1.1 Produksi Bersih Padi 2025'!B412)</f>
        <v/>
      </c>
      <c r="C412" s="2" t="str">
        <f>IF('1.1 Produksi Bersih Padi 2025'!C412="","",'1.1 Produksi Bersih Padi 2025'!C412)</f>
        <v/>
      </c>
      <c r="D412" s="3" t="str">
        <f>IF('1.1 Produksi Bersih Padi 2025'!D412="","",'1.1 Produksi Bersih Padi 2025'!D412)</f>
        <v/>
      </c>
      <c r="E412" s="3" t="str">
        <f>IF('1.1 Produksi Bersih Padi 2025'!E412="","",'1.1 Produksi Bersih Padi 2025'!E412)</f>
        <v/>
      </c>
      <c r="F412" s="28" t="str">
        <f>IF(D412="","",VLOOKUP(D412,'[1]0.1 Produksi Pangan &amp; Penduduk'!$D$5:$S$860,16,0))</f>
        <v/>
      </c>
      <c r="G412" s="28" t="str">
        <f t="shared" si="36"/>
        <v/>
      </c>
      <c r="H412" s="29" t="str">
        <f t="shared" si="37"/>
        <v/>
      </c>
      <c r="I412" s="29" t="str">
        <f t="shared" si="38"/>
        <v/>
      </c>
      <c r="J412" s="29" t="str">
        <f t="shared" si="39"/>
        <v/>
      </c>
      <c r="K412" s="29" t="str">
        <f t="shared" si="40"/>
        <v/>
      </c>
      <c r="L412" s="29" t="str">
        <f t="shared" si="41"/>
        <v/>
      </c>
      <c r="N412" s="11"/>
    </row>
    <row r="413" spans="1:14" ht="15" x14ac:dyDescent="0.25">
      <c r="A413" s="1" t="str">
        <f>IF('1.1 Produksi Bersih Padi 2025'!A413="","",'1.1 Produksi Bersih Padi 2025'!A413)</f>
        <v/>
      </c>
      <c r="B413" s="2" t="str">
        <f>IF('1.1 Produksi Bersih Padi 2025'!B413="","",'1.1 Produksi Bersih Padi 2025'!B413)</f>
        <v/>
      </c>
      <c r="C413" s="2" t="str">
        <f>IF('1.1 Produksi Bersih Padi 2025'!C413="","",'1.1 Produksi Bersih Padi 2025'!C413)</f>
        <v/>
      </c>
      <c r="D413" s="3" t="str">
        <f>IF('1.1 Produksi Bersih Padi 2025'!D413="","",'1.1 Produksi Bersih Padi 2025'!D413)</f>
        <v/>
      </c>
      <c r="E413" s="3" t="str">
        <f>IF('1.1 Produksi Bersih Padi 2025'!E413="","",'1.1 Produksi Bersih Padi 2025'!E413)</f>
        <v/>
      </c>
      <c r="F413" s="28" t="str">
        <f>IF(D413="","",VLOOKUP(D413,'[1]0.1 Produksi Pangan &amp; Penduduk'!$D$5:$S$860,16,0))</f>
        <v/>
      </c>
      <c r="G413" s="28" t="str">
        <f t="shared" si="36"/>
        <v/>
      </c>
      <c r="H413" s="29" t="str">
        <f t="shared" si="37"/>
        <v/>
      </c>
      <c r="I413" s="29" t="str">
        <f t="shared" si="38"/>
        <v/>
      </c>
      <c r="J413" s="29" t="str">
        <f t="shared" si="39"/>
        <v/>
      </c>
      <c r="K413" s="29" t="str">
        <f t="shared" si="40"/>
        <v/>
      </c>
      <c r="L413" s="29" t="str">
        <f t="shared" si="41"/>
        <v/>
      </c>
      <c r="N413" s="11"/>
    </row>
    <row r="414" spans="1:14" ht="15" x14ac:dyDescent="0.25">
      <c r="A414" s="1" t="str">
        <f>IF('1.1 Produksi Bersih Padi 2025'!A414="","",'1.1 Produksi Bersih Padi 2025'!A414)</f>
        <v/>
      </c>
      <c r="B414" s="2" t="str">
        <f>IF('1.1 Produksi Bersih Padi 2025'!B414="","",'1.1 Produksi Bersih Padi 2025'!B414)</f>
        <v/>
      </c>
      <c r="C414" s="2" t="str">
        <f>IF('1.1 Produksi Bersih Padi 2025'!C414="","",'1.1 Produksi Bersih Padi 2025'!C414)</f>
        <v/>
      </c>
      <c r="D414" s="3" t="str">
        <f>IF('1.1 Produksi Bersih Padi 2025'!D414="","",'1.1 Produksi Bersih Padi 2025'!D414)</f>
        <v/>
      </c>
      <c r="E414" s="3" t="str">
        <f>IF('1.1 Produksi Bersih Padi 2025'!E414="","",'1.1 Produksi Bersih Padi 2025'!E414)</f>
        <v/>
      </c>
      <c r="F414" s="28" t="str">
        <f>IF(D414="","",VLOOKUP(D414,'[1]0.1 Produksi Pangan &amp; Penduduk'!$D$5:$S$860,16,0))</f>
        <v/>
      </c>
      <c r="G414" s="28" t="str">
        <f t="shared" si="36"/>
        <v/>
      </c>
      <c r="H414" s="29" t="str">
        <f t="shared" si="37"/>
        <v/>
      </c>
      <c r="I414" s="29" t="str">
        <f t="shared" si="38"/>
        <v/>
      </c>
      <c r="J414" s="29" t="str">
        <f t="shared" si="39"/>
        <v/>
      </c>
      <c r="K414" s="29" t="str">
        <f t="shared" si="40"/>
        <v/>
      </c>
      <c r="L414" s="29" t="str">
        <f t="shared" si="41"/>
        <v/>
      </c>
      <c r="N414" s="11"/>
    </row>
    <row r="415" spans="1:14" ht="15" x14ac:dyDescent="0.25">
      <c r="A415" s="1" t="str">
        <f>IF('1.1 Produksi Bersih Padi 2025'!A415="","",'1.1 Produksi Bersih Padi 2025'!A415)</f>
        <v/>
      </c>
      <c r="B415" s="2" t="str">
        <f>IF('1.1 Produksi Bersih Padi 2025'!B415="","",'1.1 Produksi Bersih Padi 2025'!B415)</f>
        <v/>
      </c>
      <c r="C415" s="2" t="str">
        <f>IF('1.1 Produksi Bersih Padi 2025'!C415="","",'1.1 Produksi Bersih Padi 2025'!C415)</f>
        <v/>
      </c>
      <c r="D415" s="3" t="str">
        <f>IF('1.1 Produksi Bersih Padi 2025'!D415="","",'1.1 Produksi Bersih Padi 2025'!D415)</f>
        <v/>
      </c>
      <c r="E415" s="3" t="str">
        <f>IF('1.1 Produksi Bersih Padi 2025'!E415="","",'1.1 Produksi Bersih Padi 2025'!E415)</f>
        <v/>
      </c>
      <c r="F415" s="28" t="str">
        <f>IF(D415="","",VLOOKUP(D415,'[1]0.1 Produksi Pangan &amp; Penduduk'!$D$5:$S$860,16,0))</f>
        <v/>
      </c>
      <c r="G415" s="28" t="str">
        <f t="shared" si="36"/>
        <v/>
      </c>
      <c r="H415" s="29" t="str">
        <f t="shared" si="37"/>
        <v/>
      </c>
      <c r="I415" s="29" t="str">
        <f t="shared" si="38"/>
        <v/>
      </c>
      <c r="J415" s="29" t="str">
        <f t="shared" si="39"/>
        <v/>
      </c>
      <c r="K415" s="29" t="str">
        <f t="shared" si="40"/>
        <v/>
      </c>
      <c r="L415" s="29" t="str">
        <f t="shared" si="41"/>
        <v/>
      </c>
      <c r="N415" s="11"/>
    </row>
    <row r="416" spans="1:14" ht="15" x14ac:dyDescent="0.25">
      <c r="A416" s="1" t="str">
        <f>IF('1.1 Produksi Bersih Padi 2025'!A416="","",'1.1 Produksi Bersih Padi 2025'!A416)</f>
        <v/>
      </c>
      <c r="B416" s="2" t="str">
        <f>IF('1.1 Produksi Bersih Padi 2025'!B416="","",'1.1 Produksi Bersih Padi 2025'!B416)</f>
        <v/>
      </c>
      <c r="C416" s="2" t="str">
        <f>IF('1.1 Produksi Bersih Padi 2025'!C416="","",'1.1 Produksi Bersih Padi 2025'!C416)</f>
        <v/>
      </c>
      <c r="D416" s="3" t="str">
        <f>IF('1.1 Produksi Bersih Padi 2025'!D416="","",'1.1 Produksi Bersih Padi 2025'!D416)</f>
        <v/>
      </c>
      <c r="E416" s="3" t="str">
        <f>IF('1.1 Produksi Bersih Padi 2025'!E416="","",'1.1 Produksi Bersih Padi 2025'!E416)</f>
        <v/>
      </c>
      <c r="F416" s="28" t="str">
        <f>IF(D416="","",VLOOKUP(D416,'[1]0.1 Produksi Pangan &amp; Penduduk'!$D$5:$S$860,16,0))</f>
        <v/>
      </c>
      <c r="G416" s="28" t="str">
        <f t="shared" si="36"/>
        <v/>
      </c>
      <c r="H416" s="29" t="str">
        <f t="shared" si="37"/>
        <v/>
      </c>
      <c r="I416" s="29" t="str">
        <f t="shared" si="38"/>
        <v/>
      </c>
      <c r="J416" s="29" t="str">
        <f t="shared" si="39"/>
        <v/>
      </c>
      <c r="K416" s="29" t="str">
        <f t="shared" si="40"/>
        <v/>
      </c>
      <c r="L416" s="29" t="str">
        <f t="shared" si="41"/>
        <v/>
      </c>
      <c r="N416" s="11"/>
    </row>
    <row r="417" spans="1:14" ht="15" x14ac:dyDescent="0.25">
      <c r="A417" s="1" t="str">
        <f>IF('1.1 Produksi Bersih Padi 2025'!A417="","",'1.1 Produksi Bersih Padi 2025'!A417)</f>
        <v/>
      </c>
      <c r="B417" s="2" t="str">
        <f>IF('1.1 Produksi Bersih Padi 2025'!B417="","",'1.1 Produksi Bersih Padi 2025'!B417)</f>
        <v/>
      </c>
      <c r="C417" s="2" t="str">
        <f>IF('1.1 Produksi Bersih Padi 2025'!C417="","",'1.1 Produksi Bersih Padi 2025'!C417)</f>
        <v/>
      </c>
      <c r="D417" s="3" t="str">
        <f>IF('1.1 Produksi Bersih Padi 2025'!D417="","",'1.1 Produksi Bersih Padi 2025'!D417)</f>
        <v/>
      </c>
      <c r="E417" s="3" t="str">
        <f>IF('1.1 Produksi Bersih Padi 2025'!E417="","",'1.1 Produksi Bersih Padi 2025'!E417)</f>
        <v/>
      </c>
      <c r="F417" s="28" t="str">
        <f>IF(D417="","",VLOOKUP(D417,'[1]0.1 Produksi Pangan &amp; Penduduk'!$D$5:$S$860,16,0))</f>
        <v/>
      </c>
      <c r="G417" s="28" t="str">
        <f t="shared" si="36"/>
        <v/>
      </c>
      <c r="H417" s="29" t="str">
        <f t="shared" si="37"/>
        <v/>
      </c>
      <c r="I417" s="29" t="str">
        <f t="shared" si="38"/>
        <v/>
      </c>
      <c r="J417" s="29" t="str">
        <f t="shared" si="39"/>
        <v/>
      </c>
      <c r="K417" s="29" t="str">
        <f t="shared" si="40"/>
        <v/>
      </c>
      <c r="L417" s="29" t="str">
        <f t="shared" si="41"/>
        <v/>
      </c>
      <c r="N417" s="11"/>
    </row>
    <row r="418" spans="1:14" ht="15" x14ac:dyDescent="0.25">
      <c r="A418" s="1" t="str">
        <f>IF('1.1 Produksi Bersih Padi 2025'!A418="","",'1.1 Produksi Bersih Padi 2025'!A418)</f>
        <v/>
      </c>
      <c r="B418" s="2" t="str">
        <f>IF('1.1 Produksi Bersih Padi 2025'!B418="","",'1.1 Produksi Bersih Padi 2025'!B418)</f>
        <v/>
      </c>
      <c r="C418" s="2" t="str">
        <f>IF('1.1 Produksi Bersih Padi 2025'!C418="","",'1.1 Produksi Bersih Padi 2025'!C418)</f>
        <v/>
      </c>
      <c r="D418" s="3" t="str">
        <f>IF('1.1 Produksi Bersih Padi 2025'!D418="","",'1.1 Produksi Bersih Padi 2025'!D418)</f>
        <v/>
      </c>
      <c r="E418" s="3" t="str">
        <f>IF('1.1 Produksi Bersih Padi 2025'!E418="","",'1.1 Produksi Bersih Padi 2025'!E418)</f>
        <v/>
      </c>
      <c r="F418" s="28" t="str">
        <f>IF(D418="","",VLOOKUP(D418,'[1]0.1 Produksi Pangan &amp; Penduduk'!$D$5:$S$860,16,0))</f>
        <v/>
      </c>
      <c r="G418" s="28" t="str">
        <f t="shared" si="36"/>
        <v/>
      </c>
      <c r="H418" s="29" t="str">
        <f t="shared" si="37"/>
        <v/>
      </c>
      <c r="I418" s="29" t="str">
        <f t="shared" si="38"/>
        <v/>
      </c>
      <c r="J418" s="29" t="str">
        <f t="shared" si="39"/>
        <v/>
      </c>
      <c r="K418" s="29" t="str">
        <f t="shared" si="40"/>
        <v/>
      </c>
      <c r="L418" s="29" t="str">
        <f t="shared" si="41"/>
        <v/>
      </c>
      <c r="N418" s="11"/>
    </row>
    <row r="419" spans="1:14" ht="15" x14ac:dyDescent="0.25">
      <c r="A419" s="1" t="str">
        <f>IF('1.1 Produksi Bersih Padi 2025'!A419="","",'1.1 Produksi Bersih Padi 2025'!A419)</f>
        <v/>
      </c>
      <c r="B419" s="2" t="str">
        <f>IF('1.1 Produksi Bersih Padi 2025'!B419="","",'1.1 Produksi Bersih Padi 2025'!B419)</f>
        <v/>
      </c>
      <c r="C419" s="2" t="str">
        <f>IF('1.1 Produksi Bersih Padi 2025'!C419="","",'1.1 Produksi Bersih Padi 2025'!C419)</f>
        <v/>
      </c>
      <c r="D419" s="3" t="str">
        <f>IF('1.1 Produksi Bersih Padi 2025'!D419="","",'1.1 Produksi Bersih Padi 2025'!D419)</f>
        <v/>
      </c>
      <c r="E419" s="3" t="str">
        <f>IF('1.1 Produksi Bersih Padi 2025'!E419="","",'1.1 Produksi Bersih Padi 2025'!E419)</f>
        <v/>
      </c>
      <c r="F419" s="28" t="str">
        <f>IF(D419="","",VLOOKUP(D419,'[1]0.1 Produksi Pangan &amp; Penduduk'!$D$5:$S$860,16,0))</f>
        <v/>
      </c>
      <c r="G419" s="28" t="str">
        <f t="shared" si="36"/>
        <v/>
      </c>
      <c r="H419" s="29" t="str">
        <f t="shared" si="37"/>
        <v/>
      </c>
      <c r="I419" s="29" t="str">
        <f t="shared" si="38"/>
        <v/>
      </c>
      <c r="J419" s="29" t="str">
        <f t="shared" si="39"/>
        <v/>
      </c>
      <c r="K419" s="29" t="str">
        <f t="shared" si="40"/>
        <v/>
      </c>
      <c r="L419" s="29" t="str">
        <f t="shared" si="41"/>
        <v/>
      </c>
      <c r="N419" s="11"/>
    </row>
    <row r="420" spans="1:14" ht="15" x14ac:dyDescent="0.25">
      <c r="A420" s="1" t="str">
        <f>IF('1.1 Produksi Bersih Padi 2025'!A420="","",'1.1 Produksi Bersih Padi 2025'!A420)</f>
        <v/>
      </c>
      <c r="B420" s="2" t="str">
        <f>IF('1.1 Produksi Bersih Padi 2025'!B420="","",'1.1 Produksi Bersih Padi 2025'!B420)</f>
        <v/>
      </c>
      <c r="C420" s="2" t="str">
        <f>IF('1.1 Produksi Bersih Padi 2025'!C420="","",'1.1 Produksi Bersih Padi 2025'!C420)</f>
        <v/>
      </c>
      <c r="D420" s="3" t="str">
        <f>IF('1.1 Produksi Bersih Padi 2025'!D420="","",'1.1 Produksi Bersih Padi 2025'!D420)</f>
        <v/>
      </c>
      <c r="E420" s="3" t="str">
        <f>IF('1.1 Produksi Bersih Padi 2025'!E420="","",'1.1 Produksi Bersih Padi 2025'!E420)</f>
        <v/>
      </c>
      <c r="F420" s="28" t="str">
        <f>IF(D420="","",VLOOKUP(D420,'[1]0.1 Produksi Pangan &amp; Penduduk'!$D$5:$S$860,16,0))</f>
        <v/>
      </c>
      <c r="G420" s="28" t="str">
        <f t="shared" si="36"/>
        <v/>
      </c>
      <c r="H420" s="29" t="str">
        <f t="shared" si="37"/>
        <v/>
      </c>
      <c r="I420" s="29" t="str">
        <f t="shared" si="38"/>
        <v/>
      </c>
      <c r="J420" s="29" t="str">
        <f t="shared" si="39"/>
        <v/>
      </c>
      <c r="K420" s="29" t="str">
        <f t="shared" si="40"/>
        <v/>
      </c>
      <c r="L420" s="29" t="str">
        <f t="shared" si="41"/>
        <v/>
      </c>
      <c r="N420" s="11"/>
    </row>
    <row r="421" spans="1:14" ht="15" x14ac:dyDescent="0.25">
      <c r="A421" s="1" t="str">
        <f>IF('1.1 Produksi Bersih Padi 2025'!A421="","",'1.1 Produksi Bersih Padi 2025'!A421)</f>
        <v/>
      </c>
      <c r="B421" s="2" t="str">
        <f>IF('1.1 Produksi Bersih Padi 2025'!B421="","",'1.1 Produksi Bersih Padi 2025'!B421)</f>
        <v/>
      </c>
      <c r="C421" s="2" t="str">
        <f>IF('1.1 Produksi Bersih Padi 2025'!C421="","",'1.1 Produksi Bersih Padi 2025'!C421)</f>
        <v/>
      </c>
      <c r="D421" s="3" t="str">
        <f>IF('1.1 Produksi Bersih Padi 2025'!D421="","",'1.1 Produksi Bersih Padi 2025'!D421)</f>
        <v/>
      </c>
      <c r="E421" s="3" t="str">
        <f>IF('1.1 Produksi Bersih Padi 2025'!E421="","",'1.1 Produksi Bersih Padi 2025'!E421)</f>
        <v/>
      </c>
      <c r="F421" s="28" t="str">
        <f>IF(D421="","",VLOOKUP(D421,'[1]0.1 Produksi Pangan &amp; Penduduk'!$D$5:$S$860,16,0))</f>
        <v/>
      </c>
      <c r="G421" s="28" t="str">
        <f t="shared" si="36"/>
        <v/>
      </c>
      <c r="H421" s="29" t="str">
        <f t="shared" si="37"/>
        <v/>
      </c>
      <c r="I421" s="29" t="str">
        <f t="shared" si="38"/>
        <v/>
      </c>
      <c r="J421" s="29" t="str">
        <f t="shared" si="39"/>
        <v/>
      </c>
      <c r="K421" s="29" t="str">
        <f t="shared" si="40"/>
        <v/>
      </c>
      <c r="L421" s="29" t="str">
        <f t="shared" si="41"/>
        <v/>
      </c>
      <c r="N421" s="11"/>
    </row>
    <row r="422" spans="1:14" ht="15" x14ac:dyDescent="0.25">
      <c r="A422" s="1" t="str">
        <f>IF('1.1 Produksi Bersih Padi 2025'!A422="","",'1.1 Produksi Bersih Padi 2025'!A422)</f>
        <v/>
      </c>
      <c r="B422" s="2" t="str">
        <f>IF('1.1 Produksi Bersih Padi 2025'!B422="","",'1.1 Produksi Bersih Padi 2025'!B422)</f>
        <v/>
      </c>
      <c r="C422" s="2" t="str">
        <f>IF('1.1 Produksi Bersih Padi 2025'!C422="","",'1.1 Produksi Bersih Padi 2025'!C422)</f>
        <v/>
      </c>
      <c r="D422" s="3" t="str">
        <f>IF('1.1 Produksi Bersih Padi 2025'!D422="","",'1.1 Produksi Bersih Padi 2025'!D422)</f>
        <v/>
      </c>
      <c r="E422" s="3" t="str">
        <f>IF('1.1 Produksi Bersih Padi 2025'!E422="","",'1.1 Produksi Bersih Padi 2025'!E422)</f>
        <v/>
      </c>
      <c r="F422" s="28" t="str">
        <f>IF(D422="","",VLOOKUP(D422,'[1]0.1 Produksi Pangan &amp; Penduduk'!$D$5:$S$860,16,0))</f>
        <v/>
      </c>
      <c r="G422" s="28" t="str">
        <f t="shared" si="36"/>
        <v/>
      </c>
      <c r="H422" s="29" t="str">
        <f t="shared" si="37"/>
        <v/>
      </c>
      <c r="I422" s="29" t="str">
        <f t="shared" si="38"/>
        <v/>
      </c>
      <c r="J422" s="29" t="str">
        <f t="shared" si="39"/>
        <v/>
      </c>
      <c r="K422" s="29" t="str">
        <f t="shared" si="40"/>
        <v/>
      </c>
      <c r="L422" s="29" t="str">
        <f t="shared" si="41"/>
        <v/>
      </c>
      <c r="N422" s="11"/>
    </row>
    <row r="423" spans="1:14" ht="15" x14ac:dyDescent="0.25">
      <c r="A423" s="1" t="str">
        <f>IF('1.1 Produksi Bersih Padi 2025'!A423="","",'1.1 Produksi Bersih Padi 2025'!A423)</f>
        <v/>
      </c>
      <c r="B423" s="2" t="str">
        <f>IF('1.1 Produksi Bersih Padi 2025'!B423="","",'1.1 Produksi Bersih Padi 2025'!B423)</f>
        <v/>
      </c>
      <c r="C423" s="2" t="str">
        <f>IF('1.1 Produksi Bersih Padi 2025'!C423="","",'1.1 Produksi Bersih Padi 2025'!C423)</f>
        <v/>
      </c>
      <c r="D423" s="3" t="str">
        <f>IF('1.1 Produksi Bersih Padi 2025'!D423="","",'1.1 Produksi Bersih Padi 2025'!D423)</f>
        <v/>
      </c>
      <c r="E423" s="3" t="str">
        <f>IF('1.1 Produksi Bersih Padi 2025'!E423="","",'1.1 Produksi Bersih Padi 2025'!E423)</f>
        <v/>
      </c>
      <c r="F423" s="28" t="str">
        <f>IF(D423="","",VLOOKUP(D423,'[1]0.1 Produksi Pangan &amp; Penduduk'!$D$5:$S$860,16,0))</f>
        <v/>
      </c>
      <c r="G423" s="28" t="str">
        <f t="shared" si="36"/>
        <v/>
      </c>
      <c r="H423" s="29" t="str">
        <f t="shared" si="37"/>
        <v/>
      </c>
      <c r="I423" s="29" t="str">
        <f t="shared" si="38"/>
        <v/>
      </c>
      <c r="J423" s="29" t="str">
        <f t="shared" si="39"/>
        <v/>
      </c>
      <c r="K423" s="29" t="str">
        <f t="shared" si="40"/>
        <v/>
      </c>
      <c r="L423" s="29" t="str">
        <f t="shared" si="41"/>
        <v/>
      </c>
      <c r="N423" s="11"/>
    </row>
    <row r="424" spans="1:14" ht="15" x14ac:dyDescent="0.25">
      <c r="A424" s="1" t="str">
        <f>IF('1.1 Produksi Bersih Padi 2025'!A424="","",'1.1 Produksi Bersih Padi 2025'!A424)</f>
        <v/>
      </c>
      <c r="B424" s="2" t="str">
        <f>IF('1.1 Produksi Bersih Padi 2025'!B424="","",'1.1 Produksi Bersih Padi 2025'!B424)</f>
        <v/>
      </c>
      <c r="C424" s="2" t="str">
        <f>IF('1.1 Produksi Bersih Padi 2025'!C424="","",'1.1 Produksi Bersih Padi 2025'!C424)</f>
        <v/>
      </c>
      <c r="D424" s="3" t="str">
        <f>IF('1.1 Produksi Bersih Padi 2025'!D424="","",'1.1 Produksi Bersih Padi 2025'!D424)</f>
        <v/>
      </c>
      <c r="E424" s="3" t="str">
        <f>IF('1.1 Produksi Bersih Padi 2025'!E424="","",'1.1 Produksi Bersih Padi 2025'!E424)</f>
        <v/>
      </c>
      <c r="F424" s="28" t="str">
        <f>IF(D424="","",VLOOKUP(D424,'[1]0.1 Produksi Pangan &amp; Penduduk'!$D$5:$S$860,16,0))</f>
        <v/>
      </c>
      <c r="G424" s="28" t="str">
        <f t="shared" si="36"/>
        <v/>
      </c>
      <c r="H424" s="29" t="str">
        <f t="shared" si="37"/>
        <v/>
      </c>
      <c r="I424" s="29" t="str">
        <f t="shared" si="38"/>
        <v/>
      </c>
      <c r="J424" s="29" t="str">
        <f t="shared" si="39"/>
        <v/>
      </c>
      <c r="K424" s="29" t="str">
        <f t="shared" si="40"/>
        <v/>
      </c>
      <c r="L424" s="29" t="str">
        <f t="shared" si="41"/>
        <v/>
      </c>
      <c r="N424" s="11"/>
    </row>
    <row r="425" spans="1:14" ht="15" x14ac:dyDescent="0.25">
      <c r="A425" s="1" t="str">
        <f>IF('1.1 Produksi Bersih Padi 2025'!A425="","",'1.1 Produksi Bersih Padi 2025'!A425)</f>
        <v/>
      </c>
      <c r="B425" s="2" t="str">
        <f>IF('1.1 Produksi Bersih Padi 2025'!B425="","",'1.1 Produksi Bersih Padi 2025'!B425)</f>
        <v/>
      </c>
      <c r="C425" s="2" t="str">
        <f>IF('1.1 Produksi Bersih Padi 2025'!C425="","",'1.1 Produksi Bersih Padi 2025'!C425)</f>
        <v/>
      </c>
      <c r="D425" s="3" t="str">
        <f>IF('1.1 Produksi Bersih Padi 2025'!D425="","",'1.1 Produksi Bersih Padi 2025'!D425)</f>
        <v/>
      </c>
      <c r="E425" s="3" t="str">
        <f>IF('1.1 Produksi Bersih Padi 2025'!E425="","",'1.1 Produksi Bersih Padi 2025'!E425)</f>
        <v/>
      </c>
      <c r="F425" s="28" t="str">
        <f>IF(D425="","",VLOOKUP(D425,'[1]0.1 Produksi Pangan &amp; Penduduk'!$D$5:$S$860,16,0))</f>
        <v/>
      </c>
      <c r="G425" s="28" t="str">
        <f t="shared" si="36"/>
        <v/>
      </c>
      <c r="H425" s="29" t="str">
        <f t="shared" si="37"/>
        <v/>
      </c>
      <c r="I425" s="29" t="str">
        <f t="shared" si="38"/>
        <v/>
      </c>
      <c r="J425" s="29" t="str">
        <f t="shared" si="39"/>
        <v/>
      </c>
      <c r="K425" s="29" t="str">
        <f t="shared" si="40"/>
        <v/>
      </c>
      <c r="L425" s="29" t="str">
        <f t="shared" si="41"/>
        <v/>
      </c>
      <c r="N425" s="11"/>
    </row>
    <row r="426" spans="1:14" ht="15" x14ac:dyDescent="0.25">
      <c r="A426" s="1" t="str">
        <f>IF('1.1 Produksi Bersih Padi 2025'!A426="","",'1.1 Produksi Bersih Padi 2025'!A426)</f>
        <v/>
      </c>
      <c r="B426" s="2" t="str">
        <f>IF('1.1 Produksi Bersih Padi 2025'!B426="","",'1.1 Produksi Bersih Padi 2025'!B426)</f>
        <v/>
      </c>
      <c r="C426" s="2" t="str">
        <f>IF('1.1 Produksi Bersih Padi 2025'!C426="","",'1.1 Produksi Bersih Padi 2025'!C426)</f>
        <v/>
      </c>
      <c r="D426" s="3" t="str">
        <f>IF('1.1 Produksi Bersih Padi 2025'!D426="","",'1.1 Produksi Bersih Padi 2025'!D426)</f>
        <v/>
      </c>
      <c r="E426" s="3" t="str">
        <f>IF('1.1 Produksi Bersih Padi 2025'!E426="","",'1.1 Produksi Bersih Padi 2025'!E426)</f>
        <v/>
      </c>
      <c r="F426" s="28" t="str">
        <f>IF(D426="","",VLOOKUP(D426,'[1]0.1 Produksi Pangan &amp; Penduduk'!$D$5:$S$860,16,0))</f>
        <v/>
      </c>
      <c r="G426" s="28" t="str">
        <f t="shared" si="36"/>
        <v/>
      </c>
      <c r="H426" s="29" t="str">
        <f t="shared" si="37"/>
        <v/>
      </c>
      <c r="I426" s="29" t="str">
        <f t="shared" si="38"/>
        <v/>
      </c>
      <c r="J426" s="29" t="str">
        <f t="shared" si="39"/>
        <v/>
      </c>
      <c r="K426" s="29" t="str">
        <f t="shared" si="40"/>
        <v/>
      </c>
      <c r="L426" s="29" t="str">
        <f t="shared" si="41"/>
        <v/>
      </c>
      <c r="N426" s="11"/>
    </row>
    <row r="427" spans="1:14" ht="15" x14ac:dyDescent="0.25">
      <c r="A427" s="1" t="str">
        <f>IF('1.1 Produksi Bersih Padi 2025'!A427="","",'1.1 Produksi Bersih Padi 2025'!A427)</f>
        <v/>
      </c>
      <c r="B427" s="2" t="str">
        <f>IF('1.1 Produksi Bersih Padi 2025'!B427="","",'1.1 Produksi Bersih Padi 2025'!B427)</f>
        <v/>
      </c>
      <c r="C427" s="2" t="str">
        <f>IF('1.1 Produksi Bersih Padi 2025'!C427="","",'1.1 Produksi Bersih Padi 2025'!C427)</f>
        <v/>
      </c>
      <c r="D427" s="3" t="str">
        <f>IF('1.1 Produksi Bersih Padi 2025'!D427="","",'1.1 Produksi Bersih Padi 2025'!D427)</f>
        <v/>
      </c>
      <c r="E427" s="3" t="str">
        <f>IF('1.1 Produksi Bersih Padi 2025'!E427="","",'1.1 Produksi Bersih Padi 2025'!E427)</f>
        <v/>
      </c>
      <c r="F427" s="28" t="str">
        <f>IF(D427="","",VLOOKUP(D427,'[1]0.1 Produksi Pangan &amp; Penduduk'!$D$5:$S$860,16,0))</f>
        <v/>
      </c>
      <c r="G427" s="28" t="str">
        <f t="shared" si="36"/>
        <v/>
      </c>
      <c r="H427" s="29" t="str">
        <f t="shared" si="37"/>
        <v/>
      </c>
      <c r="I427" s="29" t="str">
        <f t="shared" si="38"/>
        <v/>
      </c>
      <c r="J427" s="29" t="str">
        <f t="shared" si="39"/>
        <v/>
      </c>
      <c r="K427" s="29" t="str">
        <f t="shared" si="40"/>
        <v/>
      </c>
      <c r="L427" s="29" t="str">
        <f t="shared" si="41"/>
        <v/>
      </c>
      <c r="N427" s="11"/>
    </row>
    <row r="428" spans="1:14" ht="15" x14ac:dyDescent="0.25">
      <c r="A428" s="1" t="str">
        <f>IF('1.1 Produksi Bersih Padi 2025'!A428="","",'1.1 Produksi Bersih Padi 2025'!A428)</f>
        <v/>
      </c>
      <c r="B428" s="2" t="str">
        <f>IF('1.1 Produksi Bersih Padi 2025'!B428="","",'1.1 Produksi Bersih Padi 2025'!B428)</f>
        <v/>
      </c>
      <c r="C428" s="2" t="str">
        <f>IF('1.1 Produksi Bersih Padi 2025'!C428="","",'1.1 Produksi Bersih Padi 2025'!C428)</f>
        <v/>
      </c>
      <c r="D428" s="3" t="str">
        <f>IF('1.1 Produksi Bersih Padi 2025'!D428="","",'1.1 Produksi Bersih Padi 2025'!D428)</f>
        <v/>
      </c>
      <c r="E428" s="3" t="str">
        <f>IF('1.1 Produksi Bersih Padi 2025'!E428="","",'1.1 Produksi Bersih Padi 2025'!E428)</f>
        <v/>
      </c>
      <c r="F428" s="28" t="str">
        <f>IF(D428="","",VLOOKUP(D428,'[1]0.1 Produksi Pangan &amp; Penduduk'!$D$5:$S$860,16,0))</f>
        <v/>
      </c>
      <c r="G428" s="28" t="str">
        <f t="shared" si="36"/>
        <v/>
      </c>
      <c r="H428" s="29" t="str">
        <f t="shared" si="37"/>
        <v/>
      </c>
      <c r="I428" s="29" t="str">
        <f t="shared" si="38"/>
        <v/>
      </c>
      <c r="J428" s="29" t="str">
        <f t="shared" si="39"/>
        <v/>
      </c>
      <c r="K428" s="29" t="str">
        <f t="shared" si="40"/>
        <v/>
      </c>
      <c r="L428" s="29" t="str">
        <f t="shared" si="41"/>
        <v/>
      </c>
      <c r="N428" s="11"/>
    </row>
    <row r="429" spans="1:14" ht="15" x14ac:dyDescent="0.25">
      <c r="A429" s="1" t="str">
        <f>IF('1.1 Produksi Bersih Padi 2025'!A429="","",'1.1 Produksi Bersih Padi 2025'!A429)</f>
        <v/>
      </c>
      <c r="B429" s="2" t="str">
        <f>IF('1.1 Produksi Bersih Padi 2025'!B429="","",'1.1 Produksi Bersih Padi 2025'!B429)</f>
        <v/>
      </c>
      <c r="C429" s="2" t="str">
        <f>IF('1.1 Produksi Bersih Padi 2025'!C429="","",'1.1 Produksi Bersih Padi 2025'!C429)</f>
        <v/>
      </c>
      <c r="D429" s="3" t="str">
        <f>IF('1.1 Produksi Bersih Padi 2025'!D429="","",'1.1 Produksi Bersih Padi 2025'!D429)</f>
        <v/>
      </c>
      <c r="E429" s="3" t="str">
        <f>IF('1.1 Produksi Bersih Padi 2025'!E429="","",'1.1 Produksi Bersih Padi 2025'!E429)</f>
        <v/>
      </c>
      <c r="F429" s="28" t="str">
        <f>IF(D429="","",VLOOKUP(D429,'[1]0.1 Produksi Pangan &amp; Penduduk'!$D$5:$S$860,16,0))</f>
        <v/>
      </c>
      <c r="G429" s="28" t="str">
        <f t="shared" si="36"/>
        <v/>
      </c>
      <c r="H429" s="29" t="str">
        <f t="shared" si="37"/>
        <v/>
      </c>
      <c r="I429" s="29" t="str">
        <f t="shared" si="38"/>
        <v/>
      </c>
      <c r="J429" s="29" t="str">
        <f t="shared" si="39"/>
        <v/>
      </c>
      <c r="K429" s="29" t="str">
        <f t="shared" si="40"/>
        <v/>
      </c>
      <c r="L429" s="29" t="str">
        <f t="shared" si="41"/>
        <v/>
      </c>
      <c r="N429" s="11"/>
    </row>
    <row r="430" spans="1:14" ht="15" x14ac:dyDescent="0.25">
      <c r="A430" s="1" t="str">
        <f>IF('1.1 Produksi Bersih Padi 2025'!A430="","",'1.1 Produksi Bersih Padi 2025'!A430)</f>
        <v/>
      </c>
      <c r="B430" s="2" t="str">
        <f>IF('1.1 Produksi Bersih Padi 2025'!B430="","",'1.1 Produksi Bersih Padi 2025'!B430)</f>
        <v/>
      </c>
      <c r="C430" s="2" t="str">
        <f>IF('1.1 Produksi Bersih Padi 2025'!C430="","",'1.1 Produksi Bersih Padi 2025'!C430)</f>
        <v/>
      </c>
      <c r="D430" s="3" t="str">
        <f>IF('1.1 Produksi Bersih Padi 2025'!D430="","",'1.1 Produksi Bersih Padi 2025'!D430)</f>
        <v/>
      </c>
      <c r="E430" s="3" t="str">
        <f>IF('1.1 Produksi Bersih Padi 2025'!E430="","",'1.1 Produksi Bersih Padi 2025'!E430)</f>
        <v/>
      </c>
      <c r="F430" s="28" t="str">
        <f>IF(D430="","",VLOOKUP(D430,'[1]0.1 Produksi Pangan &amp; Penduduk'!$D$5:$S$860,16,0))</f>
        <v/>
      </c>
      <c r="G430" s="28" t="str">
        <f t="shared" si="36"/>
        <v/>
      </c>
      <c r="H430" s="29" t="str">
        <f t="shared" si="37"/>
        <v/>
      </c>
      <c r="I430" s="29" t="str">
        <f t="shared" si="38"/>
        <v/>
      </c>
      <c r="J430" s="29" t="str">
        <f t="shared" si="39"/>
        <v/>
      </c>
      <c r="K430" s="29" t="str">
        <f t="shared" si="40"/>
        <v/>
      </c>
      <c r="L430" s="29" t="str">
        <f t="shared" si="41"/>
        <v/>
      </c>
      <c r="N430" s="11"/>
    </row>
    <row r="431" spans="1:14" ht="15" x14ac:dyDescent="0.25">
      <c r="A431" s="1" t="str">
        <f>IF('1.1 Produksi Bersih Padi 2025'!A431="","",'1.1 Produksi Bersih Padi 2025'!A431)</f>
        <v/>
      </c>
      <c r="B431" s="2" t="str">
        <f>IF('1.1 Produksi Bersih Padi 2025'!B431="","",'1.1 Produksi Bersih Padi 2025'!B431)</f>
        <v/>
      </c>
      <c r="C431" s="2" t="str">
        <f>IF('1.1 Produksi Bersih Padi 2025'!C431="","",'1.1 Produksi Bersih Padi 2025'!C431)</f>
        <v/>
      </c>
      <c r="D431" s="3" t="str">
        <f>IF('1.1 Produksi Bersih Padi 2025'!D431="","",'1.1 Produksi Bersih Padi 2025'!D431)</f>
        <v/>
      </c>
      <c r="E431" s="3" t="str">
        <f>IF('1.1 Produksi Bersih Padi 2025'!E431="","",'1.1 Produksi Bersih Padi 2025'!E431)</f>
        <v/>
      </c>
      <c r="F431" s="28" t="str">
        <f>IF(D431="","",VLOOKUP(D431,'[1]0.1 Produksi Pangan &amp; Penduduk'!$D$5:$S$860,16,0))</f>
        <v/>
      </c>
      <c r="G431" s="28" t="str">
        <f t="shared" si="36"/>
        <v/>
      </c>
      <c r="H431" s="29" t="str">
        <f t="shared" si="37"/>
        <v/>
      </c>
      <c r="I431" s="29" t="str">
        <f t="shared" si="38"/>
        <v/>
      </c>
      <c r="J431" s="29" t="str">
        <f t="shared" si="39"/>
        <v/>
      </c>
      <c r="K431" s="29" t="str">
        <f t="shared" si="40"/>
        <v/>
      </c>
      <c r="L431" s="29" t="str">
        <f t="shared" si="41"/>
        <v/>
      </c>
      <c r="N431" s="11"/>
    </row>
    <row r="432" spans="1:14" ht="15" x14ac:dyDescent="0.25">
      <c r="A432" s="1" t="str">
        <f>IF('1.1 Produksi Bersih Padi 2025'!A432="","",'1.1 Produksi Bersih Padi 2025'!A432)</f>
        <v/>
      </c>
      <c r="B432" s="2" t="str">
        <f>IF('1.1 Produksi Bersih Padi 2025'!B432="","",'1.1 Produksi Bersih Padi 2025'!B432)</f>
        <v/>
      </c>
      <c r="C432" s="2" t="str">
        <f>IF('1.1 Produksi Bersih Padi 2025'!C432="","",'1.1 Produksi Bersih Padi 2025'!C432)</f>
        <v/>
      </c>
      <c r="D432" s="3" t="str">
        <f>IF('1.1 Produksi Bersih Padi 2025'!D432="","",'1.1 Produksi Bersih Padi 2025'!D432)</f>
        <v/>
      </c>
      <c r="E432" s="3" t="str">
        <f>IF('1.1 Produksi Bersih Padi 2025'!E432="","",'1.1 Produksi Bersih Padi 2025'!E432)</f>
        <v/>
      </c>
      <c r="F432" s="28" t="str">
        <f>IF(D432="","",VLOOKUP(D432,'[1]0.1 Produksi Pangan &amp; Penduduk'!$D$5:$S$860,16,0))</f>
        <v/>
      </c>
      <c r="G432" s="28" t="str">
        <f t="shared" si="36"/>
        <v/>
      </c>
      <c r="H432" s="29" t="str">
        <f t="shared" si="37"/>
        <v/>
      </c>
      <c r="I432" s="29" t="str">
        <f t="shared" si="38"/>
        <v/>
      </c>
      <c r="J432" s="29" t="str">
        <f t="shared" si="39"/>
        <v/>
      </c>
      <c r="K432" s="29" t="str">
        <f t="shared" si="40"/>
        <v/>
      </c>
      <c r="L432" s="29" t="str">
        <f t="shared" si="41"/>
        <v/>
      </c>
      <c r="N432" s="11"/>
    </row>
    <row r="433" spans="1:14" ht="15" x14ac:dyDescent="0.25">
      <c r="A433" s="1" t="str">
        <f>IF('1.1 Produksi Bersih Padi 2025'!A433="","",'1.1 Produksi Bersih Padi 2025'!A433)</f>
        <v/>
      </c>
      <c r="B433" s="2" t="str">
        <f>IF('1.1 Produksi Bersih Padi 2025'!B433="","",'1.1 Produksi Bersih Padi 2025'!B433)</f>
        <v/>
      </c>
      <c r="C433" s="2" t="str">
        <f>IF('1.1 Produksi Bersih Padi 2025'!C433="","",'1.1 Produksi Bersih Padi 2025'!C433)</f>
        <v/>
      </c>
      <c r="D433" s="3" t="str">
        <f>IF('1.1 Produksi Bersih Padi 2025'!D433="","",'1.1 Produksi Bersih Padi 2025'!D433)</f>
        <v/>
      </c>
      <c r="E433" s="3" t="str">
        <f>IF('1.1 Produksi Bersih Padi 2025'!E433="","",'1.1 Produksi Bersih Padi 2025'!E433)</f>
        <v/>
      </c>
      <c r="F433" s="28" t="str">
        <f>IF(D433="","",VLOOKUP(D433,'[1]0.1 Produksi Pangan &amp; Penduduk'!$D$5:$S$860,16,0))</f>
        <v/>
      </c>
      <c r="G433" s="28" t="str">
        <f t="shared" si="36"/>
        <v/>
      </c>
      <c r="H433" s="29" t="str">
        <f t="shared" si="37"/>
        <v/>
      </c>
      <c r="I433" s="29" t="str">
        <f t="shared" si="38"/>
        <v/>
      </c>
      <c r="J433" s="29" t="str">
        <f t="shared" si="39"/>
        <v/>
      </c>
      <c r="K433" s="29" t="str">
        <f t="shared" si="40"/>
        <v/>
      </c>
      <c r="L433" s="29" t="str">
        <f t="shared" si="41"/>
        <v/>
      </c>
      <c r="N433" s="11"/>
    </row>
    <row r="434" spans="1:14" ht="15" x14ac:dyDescent="0.25">
      <c r="A434" s="1" t="str">
        <f>IF('1.1 Produksi Bersih Padi 2025'!A434="","",'1.1 Produksi Bersih Padi 2025'!A434)</f>
        <v/>
      </c>
      <c r="B434" s="2" t="str">
        <f>IF('1.1 Produksi Bersih Padi 2025'!B434="","",'1.1 Produksi Bersih Padi 2025'!B434)</f>
        <v/>
      </c>
      <c r="C434" s="2" t="str">
        <f>IF('1.1 Produksi Bersih Padi 2025'!C434="","",'1.1 Produksi Bersih Padi 2025'!C434)</f>
        <v/>
      </c>
      <c r="D434" s="3" t="str">
        <f>IF('1.1 Produksi Bersih Padi 2025'!D434="","",'1.1 Produksi Bersih Padi 2025'!D434)</f>
        <v/>
      </c>
      <c r="E434" s="3" t="str">
        <f>IF('1.1 Produksi Bersih Padi 2025'!E434="","",'1.1 Produksi Bersih Padi 2025'!E434)</f>
        <v/>
      </c>
      <c r="F434" s="28" t="str">
        <f>IF(D434="","",VLOOKUP(D434,'[1]0.1 Produksi Pangan &amp; Penduduk'!$D$5:$S$860,16,0))</f>
        <v/>
      </c>
      <c r="G434" s="28" t="str">
        <f t="shared" si="36"/>
        <v/>
      </c>
      <c r="H434" s="29" t="str">
        <f t="shared" si="37"/>
        <v/>
      </c>
      <c r="I434" s="29" t="str">
        <f t="shared" si="38"/>
        <v/>
      </c>
      <c r="J434" s="29" t="str">
        <f t="shared" si="39"/>
        <v/>
      </c>
      <c r="K434" s="29" t="str">
        <f t="shared" si="40"/>
        <v/>
      </c>
      <c r="L434" s="29" t="str">
        <f t="shared" si="41"/>
        <v/>
      </c>
      <c r="N434" s="11"/>
    </row>
    <row r="435" spans="1:14" ht="15" x14ac:dyDescent="0.25">
      <c r="A435" s="1" t="str">
        <f>IF('1.1 Produksi Bersih Padi 2025'!A435="","",'1.1 Produksi Bersih Padi 2025'!A435)</f>
        <v/>
      </c>
      <c r="B435" s="2" t="str">
        <f>IF('1.1 Produksi Bersih Padi 2025'!B435="","",'1.1 Produksi Bersih Padi 2025'!B435)</f>
        <v/>
      </c>
      <c r="C435" s="2" t="str">
        <f>IF('1.1 Produksi Bersih Padi 2025'!C435="","",'1.1 Produksi Bersih Padi 2025'!C435)</f>
        <v/>
      </c>
      <c r="D435" s="3" t="str">
        <f>IF('1.1 Produksi Bersih Padi 2025'!D435="","",'1.1 Produksi Bersih Padi 2025'!D435)</f>
        <v/>
      </c>
      <c r="E435" s="3" t="str">
        <f>IF('1.1 Produksi Bersih Padi 2025'!E435="","",'1.1 Produksi Bersih Padi 2025'!E435)</f>
        <v/>
      </c>
      <c r="F435" s="28" t="str">
        <f>IF(D435="","",VLOOKUP(D435,'[1]0.1 Produksi Pangan &amp; Penduduk'!$D$5:$S$860,16,0))</f>
        <v/>
      </c>
      <c r="G435" s="28" t="str">
        <f t="shared" si="36"/>
        <v/>
      </c>
      <c r="H435" s="29" t="str">
        <f t="shared" si="37"/>
        <v/>
      </c>
      <c r="I435" s="29" t="str">
        <f t="shared" si="38"/>
        <v/>
      </c>
      <c r="J435" s="29" t="str">
        <f t="shared" si="39"/>
        <v/>
      </c>
      <c r="K435" s="29" t="str">
        <f t="shared" si="40"/>
        <v/>
      </c>
      <c r="L435" s="29" t="str">
        <f t="shared" si="41"/>
        <v/>
      </c>
      <c r="N435" s="11"/>
    </row>
    <row r="436" spans="1:14" ht="15" x14ac:dyDescent="0.25">
      <c r="A436" s="1" t="str">
        <f>IF('1.1 Produksi Bersih Padi 2025'!A436="","",'1.1 Produksi Bersih Padi 2025'!A436)</f>
        <v/>
      </c>
      <c r="B436" s="2" t="str">
        <f>IF('1.1 Produksi Bersih Padi 2025'!B436="","",'1.1 Produksi Bersih Padi 2025'!B436)</f>
        <v/>
      </c>
      <c r="C436" s="2" t="str">
        <f>IF('1.1 Produksi Bersih Padi 2025'!C436="","",'1.1 Produksi Bersih Padi 2025'!C436)</f>
        <v/>
      </c>
      <c r="D436" s="3" t="str">
        <f>IF('1.1 Produksi Bersih Padi 2025'!D436="","",'1.1 Produksi Bersih Padi 2025'!D436)</f>
        <v/>
      </c>
      <c r="E436" s="3" t="str">
        <f>IF('1.1 Produksi Bersih Padi 2025'!E436="","",'1.1 Produksi Bersih Padi 2025'!E436)</f>
        <v/>
      </c>
      <c r="F436" s="28" t="str">
        <f>IF(D436="","",VLOOKUP(D436,'[1]0.1 Produksi Pangan &amp; Penduduk'!$D$5:$S$860,16,0))</f>
        <v/>
      </c>
      <c r="G436" s="28" t="str">
        <f t="shared" si="36"/>
        <v/>
      </c>
      <c r="H436" s="29" t="str">
        <f t="shared" si="37"/>
        <v/>
      </c>
      <c r="I436" s="29" t="str">
        <f t="shared" si="38"/>
        <v/>
      </c>
      <c r="J436" s="29" t="str">
        <f t="shared" si="39"/>
        <v/>
      </c>
      <c r="K436" s="29" t="str">
        <f t="shared" si="40"/>
        <v/>
      </c>
      <c r="L436" s="29" t="str">
        <f t="shared" si="41"/>
        <v/>
      </c>
      <c r="N436" s="11"/>
    </row>
    <row r="437" spans="1:14" ht="15" x14ac:dyDescent="0.25">
      <c r="A437" s="1" t="str">
        <f>IF('1.1 Produksi Bersih Padi 2025'!A437="","",'1.1 Produksi Bersih Padi 2025'!A437)</f>
        <v/>
      </c>
      <c r="B437" s="2" t="str">
        <f>IF('1.1 Produksi Bersih Padi 2025'!B437="","",'1.1 Produksi Bersih Padi 2025'!B437)</f>
        <v/>
      </c>
      <c r="C437" s="2" t="str">
        <f>IF('1.1 Produksi Bersih Padi 2025'!C437="","",'1.1 Produksi Bersih Padi 2025'!C437)</f>
        <v/>
      </c>
      <c r="D437" s="3" t="str">
        <f>IF('1.1 Produksi Bersih Padi 2025'!D437="","",'1.1 Produksi Bersih Padi 2025'!D437)</f>
        <v/>
      </c>
      <c r="E437" s="3" t="str">
        <f>IF('1.1 Produksi Bersih Padi 2025'!E437="","",'1.1 Produksi Bersih Padi 2025'!E437)</f>
        <v/>
      </c>
      <c r="F437" s="28" t="str">
        <f>IF(D437="","",VLOOKUP(D437,'[1]0.1 Produksi Pangan &amp; Penduduk'!$D$5:$S$860,16,0))</f>
        <v/>
      </c>
      <c r="G437" s="28" t="str">
        <f t="shared" si="36"/>
        <v/>
      </c>
      <c r="H437" s="29" t="str">
        <f t="shared" si="37"/>
        <v/>
      </c>
      <c r="I437" s="29" t="str">
        <f t="shared" si="38"/>
        <v/>
      </c>
      <c r="J437" s="29" t="str">
        <f t="shared" si="39"/>
        <v/>
      </c>
      <c r="K437" s="29" t="str">
        <f t="shared" si="40"/>
        <v/>
      </c>
      <c r="L437" s="29" t="str">
        <f t="shared" si="41"/>
        <v/>
      </c>
      <c r="N437" s="11"/>
    </row>
    <row r="438" spans="1:14" ht="15" x14ac:dyDescent="0.25">
      <c r="A438" s="1" t="str">
        <f>IF('1.1 Produksi Bersih Padi 2025'!A438="","",'1.1 Produksi Bersih Padi 2025'!A438)</f>
        <v/>
      </c>
      <c r="B438" s="2" t="str">
        <f>IF('1.1 Produksi Bersih Padi 2025'!B438="","",'1.1 Produksi Bersih Padi 2025'!B438)</f>
        <v/>
      </c>
      <c r="C438" s="2" t="str">
        <f>IF('1.1 Produksi Bersih Padi 2025'!C438="","",'1.1 Produksi Bersih Padi 2025'!C438)</f>
        <v/>
      </c>
      <c r="D438" s="3" t="str">
        <f>IF('1.1 Produksi Bersih Padi 2025'!D438="","",'1.1 Produksi Bersih Padi 2025'!D438)</f>
        <v/>
      </c>
      <c r="E438" s="3" t="str">
        <f>IF('1.1 Produksi Bersih Padi 2025'!E438="","",'1.1 Produksi Bersih Padi 2025'!E438)</f>
        <v/>
      </c>
      <c r="F438" s="28" t="str">
        <f>IF(D438="","",VLOOKUP(D438,'[1]0.1 Produksi Pangan &amp; Penduduk'!$D$5:$S$860,16,0))</f>
        <v/>
      </c>
      <c r="G438" s="28" t="str">
        <f t="shared" si="36"/>
        <v/>
      </c>
      <c r="H438" s="29" t="str">
        <f t="shared" si="37"/>
        <v/>
      </c>
      <c r="I438" s="29" t="str">
        <f t="shared" si="38"/>
        <v/>
      </c>
      <c r="J438" s="29" t="str">
        <f t="shared" si="39"/>
        <v/>
      </c>
      <c r="K438" s="29" t="str">
        <f t="shared" si="40"/>
        <v/>
      </c>
      <c r="L438" s="29" t="str">
        <f t="shared" si="41"/>
        <v/>
      </c>
      <c r="N438" s="11"/>
    </row>
    <row r="439" spans="1:14" ht="15" x14ac:dyDescent="0.25">
      <c r="A439" s="1" t="str">
        <f>IF('1.1 Produksi Bersih Padi 2025'!A439="","",'1.1 Produksi Bersih Padi 2025'!A439)</f>
        <v/>
      </c>
      <c r="B439" s="2" t="str">
        <f>IF('1.1 Produksi Bersih Padi 2025'!B439="","",'1.1 Produksi Bersih Padi 2025'!B439)</f>
        <v/>
      </c>
      <c r="C439" s="2" t="str">
        <f>IF('1.1 Produksi Bersih Padi 2025'!C439="","",'1.1 Produksi Bersih Padi 2025'!C439)</f>
        <v/>
      </c>
      <c r="D439" s="3" t="str">
        <f>IF('1.1 Produksi Bersih Padi 2025'!D439="","",'1.1 Produksi Bersih Padi 2025'!D439)</f>
        <v/>
      </c>
      <c r="E439" s="3" t="str">
        <f>IF('1.1 Produksi Bersih Padi 2025'!E439="","",'1.1 Produksi Bersih Padi 2025'!E439)</f>
        <v/>
      </c>
      <c r="F439" s="28" t="str">
        <f>IF(D439="","",VLOOKUP(D439,'[1]0.1 Produksi Pangan &amp; Penduduk'!$D$5:$S$860,16,0))</f>
        <v/>
      </c>
      <c r="G439" s="28" t="str">
        <f t="shared" si="36"/>
        <v/>
      </c>
      <c r="H439" s="29" t="str">
        <f t="shared" si="37"/>
        <v/>
      </c>
      <c r="I439" s="29" t="str">
        <f t="shared" si="38"/>
        <v/>
      </c>
      <c r="J439" s="29" t="str">
        <f t="shared" si="39"/>
        <v/>
      </c>
      <c r="K439" s="29" t="str">
        <f t="shared" si="40"/>
        <v/>
      </c>
      <c r="L439" s="29" t="str">
        <f t="shared" si="41"/>
        <v/>
      </c>
      <c r="N439" s="11"/>
    </row>
    <row r="440" spans="1:14" ht="15" x14ac:dyDescent="0.25">
      <c r="A440" s="1" t="str">
        <f>IF('1.1 Produksi Bersih Padi 2025'!A440="","",'1.1 Produksi Bersih Padi 2025'!A440)</f>
        <v/>
      </c>
      <c r="B440" s="2" t="str">
        <f>IF('1.1 Produksi Bersih Padi 2025'!B440="","",'1.1 Produksi Bersih Padi 2025'!B440)</f>
        <v/>
      </c>
      <c r="C440" s="2" t="str">
        <f>IF('1.1 Produksi Bersih Padi 2025'!C440="","",'1.1 Produksi Bersih Padi 2025'!C440)</f>
        <v/>
      </c>
      <c r="D440" s="3" t="str">
        <f>IF('1.1 Produksi Bersih Padi 2025'!D440="","",'1.1 Produksi Bersih Padi 2025'!D440)</f>
        <v/>
      </c>
      <c r="E440" s="3" t="str">
        <f>IF('1.1 Produksi Bersih Padi 2025'!E440="","",'1.1 Produksi Bersih Padi 2025'!E440)</f>
        <v/>
      </c>
      <c r="F440" s="28" t="str">
        <f>IF(D440="","",VLOOKUP(D440,'[1]0.1 Produksi Pangan &amp; Penduduk'!$D$5:$S$860,16,0))</f>
        <v/>
      </c>
      <c r="G440" s="28" t="str">
        <f t="shared" si="36"/>
        <v/>
      </c>
      <c r="H440" s="29" t="str">
        <f t="shared" si="37"/>
        <v/>
      </c>
      <c r="I440" s="29" t="str">
        <f t="shared" si="38"/>
        <v/>
      </c>
      <c r="J440" s="29" t="str">
        <f t="shared" si="39"/>
        <v/>
      </c>
      <c r="K440" s="29" t="str">
        <f t="shared" si="40"/>
        <v/>
      </c>
      <c r="L440" s="29" t="str">
        <f t="shared" si="41"/>
        <v/>
      </c>
      <c r="N440" s="11"/>
    </row>
    <row r="441" spans="1:14" ht="15" x14ac:dyDescent="0.25">
      <c r="A441" s="1" t="str">
        <f>IF('1.1 Produksi Bersih Padi 2025'!A441="","",'1.1 Produksi Bersih Padi 2025'!A441)</f>
        <v/>
      </c>
      <c r="B441" s="2" t="str">
        <f>IF('1.1 Produksi Bersih Padi 2025'!B441="","",'1.1 Produksi Bersih Padi 2025'!B441)</f>
        <v/>
      </c>
      <c r="C441" s="2" t="str">
        <f>IF('1.1 Produksi Bersih Padi 2025'!C441="","",'1.1 Produksi Bersih Padi 2025'!C441)</f>
        <v/>
      </c>
      <c r="D441" s="3" t="str">
        <f>IF('1.1 Produksi Bersih Padi 2025'!D441="","",'1.1 Produksi Bersih Padi 2025'!D441)</f>
        <v/>
      </c>
      <c r="E441" s="3" t="str">
        <f>IF('1.1 Produksi Bersih Padi 2025'!E441="","",'1.1 Produksi Bersih Padi 2025'!E441)</f>
        <v/>
      </c>
      <c r="F441" s="28" t="str">
        <f>IF(D441="","",VLOOKUP(D441,'[1]0.1 Produksi Pangan &amp; Penduduk'!$D$5:$S$860,16,0))</f>
        <v/>
      </c>
      <c r="G441" s="28" t="str">
        <f t="shared" si="36"/>
        <v/>
      </c>
      <c r="H441" s="29" t="str">
        <f t="shared" si="37"/>
        <v/>
      </c>
      <c r="I441" s="29" t="str">
        <f t="shared" si="38"/>
        <v/>
      </c>
      <c r="J441" s="29" t="str">
        <f t="shared" si="39"/>
        <v/>
      </c>
      <c r="K441" s="29" t="str">
        <f t="shared" si="40"/>
        <v/>
      </c>
      <c r="L441" s="29" t="str">
        <f t="shared" si="41"/>
        <v/>
      </c>
      <c r="N441" s="11"/>
    </row>
    <row r="442" spans="1:14" ht="15" x14ac:dyDescent="0.25">
      <c r="A442" s="1" t="str">
        <f>IF('1.1 Produksi Bersih Padi 2025'!A442="","",'1.1 Produksi Bersih Padi 2025'!A442)</f>
        <v/>
      </c>
      <c r="B442" s="2" t="str">
        <f>IF('1.1 Produksi Bersih Padi 2025'!B442="","",'1.1 Produksi Bersih Padi 2025'!B442)</f>
        <v/>
      </c>
      <c r="C442" s="2" t="str">
        <f>IF('1.1 Produksi Bersih Padi 2025'!C442="","",'1.1 Produksi Bersih Padi 2025'!C442)</f>
        <v/>
      </c>
      <c r="D442" s="3" t="str">
        <f>IF('1.1 Produksi Bersih Padi 2025'!D442="","",'1.1 Produksi Bersih Padi 2025'!D442)</f>
        <v/>
      </c>
      <c r="E442" s="3" t="str">
        <f>IF('1.1 Produksi Bersih Padi 2025'!E442="","",'1.1 Produksi Bersih Padi 2025'!E442)</f>
        <v/>
      </c>
      <c r="F442" s="28" t="str">
        <f>IF(D442="","",VLOOKUP(D442,'[1]0.1 Produksi Pangan &amp; Penduduk'!$D$5:$S$860,16,0))</f>
        <v/>
      </c>
      <c r="G442" s="28" t="str">
        <f t="shared" si="36"/>
        <v/>
      </c>
      <c r="H442" s="29" t="str">
        <f t="shared" si="37"/>
        <v/>
      </c>
      <c r="I442" s="29" t="str">
        <f t="shared" si="38"/>
        <v/>
      </c>
      <c r="J442" s="29" t="str">
        <f t="shared" si="39"/>
        <v/>
      </c>
      <c r="K442" s="29" t="str">
        <f t="shared" si="40"/>
        <v/>
      </c>
      <c r="L442" s="29" t="str">
        <f t="shared" si="41"/>
        <v/>
      </c>
      <c r="N442" s="11"/>
    </row>
    <row r="443" spans="1:14" ht="15" x14ac:dyDescent="0.25">
      <c r="A443" s="1" t="str">
        <f>IF('1.1 Produksi Bersih Padi 2025'!A443="","",'1.1 Produksi Bersih Padi 2025'!A443)</f>
        <v/>
      </c>
      <c r="B443" s="2" t="str">
        <f>IF('1.1 Produksi Bersih Padi 2025'!B443="","",'1.1 Produksi Bersih Padi 2025'!B443)</f>
        <v/>
      </c>
      <c r="C443" s="2" t="str">
        <f>IF('1.1 Produksi Bersih Padi 2025'!C443="","",'1.1 Produksi Bersih Padi 2025'!C443)</f>
        <v/>
      </c>
      <c r="D443" s="3" t="str">
        <f>IF('1.1 Produksi Bersih Padi 2025'!D443="","",'1.1 Produksi Bersih Padi 2025'!D443)</f>
        <v/>
      </c>
      <c r="E443" s="3" t="str">
        <f>IF('1.1 Produksi Bersih Padi 2025'!E443="","",'1.1 Produksi Bersih Padi 2025'!E443)</f>
        <v/>
      </c>
      <c r="F443" s="28" t="str">
        <f>IF(D443="","",VLOOKUP(D443,'[1]0.1 Produksi Pangan &amp; Penduduk'!$D$5:$S$860,16,0))</f>
        <v/>
      </c>
      <c r="G443" s="28" t="str">
        <f t="shared" si="36"/>
        <v/>
      </c>
      <c r="H443" s="29" t="str">
        <f t="shared" si="37"/>
        <v/>
      </c>
      <c r="I443" s="29" t="str">
        <f t="shared" si="38"/>
        <v/>
      </c>
      <c r="J443" s="29" t="str">
        <f t="shared" si="39"/>
        <v/>
      </c>
      <c r="K443" s="29" t="str">
        <f t="shared" si="40"/>
        <v/>
      </c>
      <c r="L443" s="29" t="str">
        <f t="shared" si="41"/>
        <v/>
      </c>
      <c r="N443" s="11"/>
    </row>
    <row r="444" spans="1:14" ht="15" x14ac:dyDescent="0.25">
      <c r="A444" s="1" t="str">
        <f>IF('1.1 Produksi Bersih Padi 2025'!A444="","",'1.1 Produksi Bersih Padi 2025'!A444)</f>
        <v/>
      </c>
      <c r="B444" s="2" t="str">
        <f>IF('1.1 Produksi Bersih Padi 2025'!B444="","",'1.1 Produksi Bersih Padi 2025'!B444)</f>
        <v/>
      </c>
      <c r="C444" s="2" t="str">
        <f>IF('1.1 Produksi Bersih Padi 2025'!C444="","",'1.1 Produksi Bersih Padi 2025'!C444)</f>
        <v/>
      </c>
      <c r="D444" s="3" t="str">
        <f>IF('1.1 Produksi Bersih Padi 2025'!D444="","",'1.1 Produksi Bersih Padi 2025'!D444)</f>
        <v/>
      </c>
      <c r="E444" s="3" t="str">
        <f>IF('1.1 Produksi Bersih Padi 2025'!E444="","",'1.1 Produksi Bersih Padi 2025'!E444)</f>
        <v/>
      </c>
      <c r="F444" s="28" t="str">
        <f>IF(D444="","",VLOOKUP(D444,'[1]0.1 Produksi Pangan &amp; Penduduk'!$D$5:$S$860,16,0))</f>
        <v/>
      </c>
      <c r="G444" s="28" t="str">
        <f t="shared" si="36"/>
        <v/>
      </c>
      <c r="H444" s="29" t="str">
        <f t="shared" si="37"/>
        <v/>
      </c>
      <c r="I444" s="29" t="str">
        <f t="shared" si="38"/>
        <v/>
      </c>
      <c r="J444" s="29" t="str">
        <f t="shared" si="39"/>
        <v/>
      </c>
      <c r="K444" s="29" t="str">
        <f t="shared" si="40"/>
        <v/>
      </c>
      <c r="L444" s="29" t="str">
        <f t="shared" si="41"/>
        <v/>
      </c>
      <c r="N444" s="11"/>
    </row>
    <row r="445" spans="1:14" ht="15" x14ac:dyDescent="0.25">
      <c r="A445" s="1" t="str">
        <f>IF('1.1 Produksi Bersih Padi 2025'!A445="","",'1.1 Produksi Bersih Padi 2025'!A445)</f>
        <v/>
      </c>
      <c r="B445" s="2" t="str">
        <f>IF('1.1 Produksi Bersih Padi 2025'!B445="","",'1.1 Produksi Bersih Padi 2025'!B445)</f>
        <v/>
      </c>
      <c r="C445" s="2" t="str">
        <f>IF('1.1 Produksi Bersih Padi 2025'!C445="","",'1.1 Produksi Bersih Padi 2025'!C445)</f>
        <v/>
      </c>
      <c r="D445" s="3" t="str">
        <f>IF('1.1 Produksi Bersih Padi 2025'!D445="","",'1.1 Produksi Bersih Padi 2025'!D445)</f>
        <v/>
      </c>
      <c r="E445" s="3" t="str">
        <f>IF('1.1 Produksi Bersih Padi 2025'!E445="","",'1.1 Produksi Bersih Padi 2025'!E445)</f>
        <v/>
      </c>
      <c r="F445" s="28" t="str">
        <f>IF(D445="","",VLOOKUP(D445,'[1]0.1 Produksi Pangan &amp; Penduduk'!$D$5:$S$860,16,0))</f>
        <v/>
      </c>
      <c r="G445" s="28" t="str">
        <f t="shared" si="36"/>
        <v/>
      </c>
      <c r="H445" s="29" t="str">
        <f t="shared" si="37"/>
        <v/>
      </c>
      <c r="I445" s="29" t="str">
        <f t="shared" si="38"/>
        <v/>
      </c>
      <c r="J445" s="29" t="str">
        <f t="shared" si="39"/>
        <v/>
      </c>
      <c r="K445" s="29" t="str">
        <f t="shared" si="40"/>
        <v/>
      </c>
      <c r="L445" s="29" t="str">
        <f t="shared" si="41"/>
        <v/>
      </c>
      <c r="N445" s="11"/>
    </row>
    <row r="446" spans="1:14" ht="15" x14ac:dyDescent="0.25">
      <c r="A446" s="1" t="str">
        <f>IF('1.1 Produksi Bersih Padi 2025'!A446="","",'1.1 Produksi Bersih Padi 2025'!A446)</f>
        <v/>
      </c>
      <c r="B446" s="2" t="str">
        <f>IF('1.1 Produksi Bersih Padi 2025'!B446="","",'1.1 Produksi Bersih Padi 2025'!B446)</f>
        <v/>
      </c>
      <c r="C446" s="2" t="str">
        <f>IF('1.1 Produksi Bersih Padi 2025'!C446="","",'1.1 Produksi Bersih Padi 2025'!C446)</f>
        <v/>
      </c>
      <c r="D446" s="3" t="str">
        <f>IF('1.1 Produksi Bersih Padi 2025'!D446="","",'1.1 Produksi Bersih Padi 2025'!D446)</f>
        <v/>
      </c>
      <c r="E446" s="3" t="str">
        <f>IF('1.1 Produksi Bersih Padi 2025'!E446="","",'1.1 Produksi Bersih Padi 2025'!E446)</f>
        <v/>
      </c>
      <c r="F446" s="28" t="str">
        <f>IF(D446="","",VLOOKUP(D446,'[1]0.1 Produksi Pangan &amp; Penduduk'!$D$5:$S$860,16,0))</f>
        <v/>
      </c>
      <c r="G446" s="28" t="str">
        <f t="shared" si="36"/>
        <v/>
      </c>
      <c r="H446" s="29" t="str">
        <f t="shared" si="37"/>
        <v/>
      </c>
      <c r="I446" s="29" t="str">
        <f t="shared" si="38"/>
        <v/>
      </c>
      <c r="J446" s="29" t="str">
        <f t="shared" si="39"/>
        <v/>
      </c>
      <c r="K446" s="29" t="str">
        <f t="shared" si="40"/>
        <v/>
      </c>
      <c r="L446" s="29" t="str">
        <f t="shared" si="41"/>
        <v/>
      </c>
      <c r="N446" s="11"/>
    </row>
    <row r="447" spans="1:14" ht="15" x14ac:dyDescent="0.25">
      <c r="A447" s="1" t="str">
        <f>IF('1.1 Produksi Bersih Padi 2025'!A447="","",'1.1 Produksi Bersih Padi 2025'!A447)</f>
        <v/>
      </c>
      <c r="B447" s="2" t="str">
        <f>IF('1.1 Produksi Bersih Padi 2025'!B447="","",'1.1 Produksi Bersih Padi 2025'!B447)</f>
        <v/>
      </c>
      <c r="C447" s="2" t="str">
        <f>IF('1.1 Produksi Bersih Padi 2025'!C447="","",'1.1 Produksi Bersih Padi 2025'!C447)</f>
        <v/>
      </c>
      <c r="D447" s="3" t="str">
        <f>IF('1.1 Produksi Bersih Padi 2025'!D447="","",'1.1 Produksi Bersih Padi 2025'!D447)</f>
        <v/>
      </c>
      <c r="E447" s="3" t="str">
        <f>IF('1.1 Produksi Bersih Padi 2025'!E447="","",'1.1 Produksi Bersih Padi 2025'!E447)</f>
        <v/>
      </c>
      <c r="F447" s="28" t="str">
        <f>IF(D447="","",VLOOKUP(D447,'[1]0.1 Produksi Pangan &amp; Penduduk'!$D$5:$S$860,16,0))</f>
        <v/>
      </c>
      <c r="G447" s="28" t="str">
        <f t="shared" si="36"/>
        <v/>
      </c>
      <c r="H447" s="29" t="str">
        <f t="shared" si="37"/>
        <v/>
      </c>
      <c r="I447" s="29" t="str">
        <f t="shared" si="38"/>
        <v/>
      </c>
      <c r="J447" s="29" t="str">
        <f t="shared" si="39"/>
        <v/>
      </c>
      <c r="K447" s="29" t="str">
        <f t="shared" si="40"/>
        <v/>
      </c>
      <c r="L447" s="29" t="str">
        <f t="shared" si="41"/>
        <v/>
      </c>
      <c r="N447" s="11"/>
    </row>
    <row r="448" spans="1:14" ht="15" x14ac:dyDescent="0.25">
      <c r="A448" s="1" t="str">
        <f>IF('1.1 Produksi Bersih Padi 2025'!A448="","",'1.1 Produksi Bersih Padi 2025'!A448)</f>
        <v/>
      </c>
      <c r="B448" s="2" t="str">
        <f>IF('1.1 Produksi Bersih Padi 2025'!B448="","",'1.1 Produksi Bersih Padi 2025'!B448)</f>
        <v/>
      </c>
      <c r="C448" s="2" t="str">
        <f>IF('1.1 Produksi Bersih Padi 2025'!C448="","",'1.1 Produksi Bersih Padi 2025'!C448)</f>
        <v/>
      </c>
      <c r="D448" s="3" t="str">
        <f>IF('1.1 Produksi Bersih Padi 2025'!D448="","",'1.1 Produksi Bersih Padi 2025'!D448)</f>
        <v/>
      </c>
      <c r="E448" s="3" t="str">
        <f>IF('1.1 Produksi Bersih Padi 2025'!E448="","",'1.1 Produksi Bersih Padi 2025'!E448)</f>
        <v/>
      </c>
      <c r="F448" s="28" t="str">
        <f>IF(D448="","",VLOOKUP(D448,'[1]0.1 Produksi Pangan &amp; Penduduk'!$D$5:$S$860,16,0))</f>
        <v/>
      </c>
      <c r="G448" s="28" t="str">
        <f t="shared" si="36"/>
        <v/>
      </c>
      <c r="H448" s="29" t="str">
        <f t="shared" si="37"/>
        <v/>
      </c>
      <c r="I448" s="29" t="str">
        <f t="shared" si="38"/>
        <v/>
      </c>
      <c r="J448" s="29" t="str">
        <f t="shared" si="39"/>
        <v/>
      </c>
      <c r="K448" s="29" t="str">
        <f t="shared" si="40"/>
        <v/>
      </c>
      <c r="L448" s="29" t="str">
        <f t="shared" si="41"/>
        <v/>
      </c>
      <c r="N448" s="11"/>
    </row>
    <row r="449" spans="1:14" ht="15" x14ac:dyDescent="0.25">
      <c r="A449" s="1" t="str">
        <f>IF('1.1 Produksi Bersih Padi 2025'!A449="","",'1.1 Produksi Bersih Padi 2025'!A449)</f>
        <v/>
      </c>
      <c r="B449" s="2" t="str">
        <f>IF('1.1 Produksi Bersih Padi 2025'!B449="","",'1.1 Produksi Bersih Padi 2025'!B449)</f>
        <v/>
      </c>
      <c r="C449" s="2" t="str">
        <f>IF('1.1 Produksi Bersih Padi 2025'!C449="","",'1.1 Produksi Bersih Padi 2025'!C449)</f>
        <v/>
      </c>
      <c r="D449" s="3" t="str">
        <f>IF('1.1 Produksi Bersih Padi 2025'!D449="","",'1.1 Produksi Bersih Padi 2025'!D449)</f>
        <v/>
      </c>
      <c r="E449" s="3" t="str">
        <f>IF('1.1 Produksi Bersih Padi 2025'!E449="","",'1.1 Produksi Bersih Padi 2025'!E449)</f>
        <v/>
      </c>
      <c r="F449" s="28" t="str">
        <f>IF(D449="","",VLOOKUP(D449,'[1]0.1 Produksi Pangan &amp; Penduduk'!$D$5:$S$860,16,0))</f>
        <v/>
      </c>
      <c r="G449" s="28" t="str">
        <f t="shared" si="36"/>
        <v/>
      </c>
      <c r="H449" s="29" t="str">
        <f t="shared" si="37"/>
        <v/>
      </c>
      <c r="I449" s="29" t="str">
        <f t="shared" si="38"/>
        <v/>
      </c>
      <c r="J449" s="29" t="str">
        <f t="shared" si="39"/>
        <v/>
      </c>
      <c r="K449" s="29" t="str">
        <f t="shared" si="40"/>
        <v/>
      </c>
      <c r="L449" s="29" t="str">
        <f t="shared" si="41"/>
        <v/>
      </c>
      <c r="N449" s="11"/>
    </row>
    <row r="450" spans="1:14" ht="15" x14ac:dyDescent="0.25">
      <c r="A450" s="1" t="str">
        <f>IF('1.1 Produksi Bersih Padi 2025'!A450="","",'1.1 Produksi Bersih Padi 2025'!A450)</f>
        <v/>
      </c>
      <c r="B450" s="2" t="str">
        <f>IF('1.1 Produksi Bersih Padi 2025'!B450="","",'1.1 Produksi Bersih Padi 2025'!B450)</f>
        <v/>
      </c>
      <c r="C450" s="2" t="str">
        <f>IF('1.1 Produksi Bersih Padi 2025'!C450="","",'1.1 Produksi Bersih Padi 2025'!C450)</f>
        <v/>
      </c>
      <c r="D450" s="3" t="str">
        <f>IF('1.1 Produksi Bersih Padi 2025'!D450="","",'1.1 Produksi Bersih Padi 2025'!D450)</f>
        <v/>
      </c>
      <c r="E450" s="3" t="str">
        <f>IF('1.1 Produksi Bersih Padi 2025'!E450="","",'1.1 Produksi Bersih Padi 2025'!E450)</f>
        <v/>
      </c>
      <c r="F450" s="28" t="str">
        <f>IF(D450="","",VLOOKUP(D450,'[1]0.1 Produksi Pangan &amp; Penduduk'!$D$5:$S$860,16,0))</f>
        <v/>
      </c>
      <c r="G450" s="28" t="str">
        <f t="shared" si="36"/>
        <v/>
      </c>
      <c r="H450" s="29" t="str">
        <f t="shared" si="37"/>
        <v/>
      </c>
      <c r="I450" s="29" t="str">
        <f t="shared" si="38"/>
        <v/>
      </c>
      <c r="J450" s="29" t="str">
        <f t="shared" si="39"/>
        <v/>
      </c>
      <c r="K450" s="29" t="str">
        <f t="shared" si="40"/>
        <v/>
      </c>
      <c r="L450" s="29" t="str">
        <f t="shared" si="41"/>
        <v/>
      </c>
      <c r="N450" s="11"/>
    </row>
    <row r="451" spans="1:14" ht="15" x14ac:dyDescent="0.25">
      <c r="A451" s="1" t="str">
        <f>IF('1.1 Produksi Bersih Padi 2025'!A451="","",'1.1 Produksi Bersih Padi 2025'!A451)</f>
        <v/>
      </c>
      <c r="B451" s="2" t="str">
        <f>IF('1.1 Produksi Bersih Padi 2025'!B451="","",'1.1 Produksi Bersih Padi 2025'!B451)</f>
        <v/>
      </c>
      <c r="C451" s="2" t="str">
        <f>IF('1.1 Produksi Bersih Padi 2025'!C451="","",'1.1 Produksi Bersih Padi 2025'!C451)</f>
        <v/>
      </c>
      <c r="D451" s="3" t="str">
        <f>IF('1.1 Produksi Bersih Padi 2025'!D451="","",'1.1 Produksi Bersih Padi 2025'!D451)</f>
        <v/>
      </c>
      <c r="E451" s="3" t="str">
        <f>IF('1.1 Produksi Bersih Padi 2025'!E451="","",'1.1 Produksi Bersih Padi 2025'!E451)</f>
        <v/>
      </c>
      <c r="F451" s="28" t="str">
        <f>IF(D451="","",VLOOKUP(D451,'[1]0.1 Produksi Pangan &amp; Penduduk'!$D$5:$S$860,16,0))</f>
        <v/>
      </c>
      <c r="G451" s="28" t="str">
        <f t="shared" si="36"/>
        <v/>
      </c>
      <c r="H451" s="29" t="str">
        <f t="shared" si="37"/>
        <v/>
      </c>
      <c r="I451" s="29" t="str">
        <f t="shared" si="38"/>
        <v/>
      </c>
      <c r="J451" s="29" t="str">
        <f t="shared" si="39"/>
        <v/>
      </c>
      <c r="K451" s="29" t="str">
        <f t="shared" si="40"/>
        <v/>
      </c>
      <c r="L451" s="29" t="str">
        <f t="shared" si="41"/>
        <v/>
      </c>
      <c r="N451" s="11"/>
    </row>
    <row r="452" spans="1:14" ht="15" x14ac:dyDescent="0.25">
      <c r="A452" s="1" t="str">
        <f>IF('1.1 Produksi Bersih Padi 2025'!A452="","",'1.1 Produksi Bersih Padi 2025'!A452)</f>
        <v/>
      </c>
      <c r="B452" s="2" t="str">
        <f>IF('1.1 Produksi Bersih Padi 2025'!B452="","",'1.1 Produksi Bersih Padi 2025'!B452)</f>
        <v/>
      </c>
      <c r="C452" s="2" t="str">
        <f>IF('1.1 Produksi Bersih Padi 2025'!C452="","",'1.1 Produksi Bersih Padi 2025'!C452)</f>
        <v/>
      </c>
      <c r="D452" s="3" t="str">
        <f>IF('1.1 Produksi Bersih Padi 2025'!D452="","",'1.1 Produksi Bersih Padi 2025'!D452)</f>
        <v/>
      </c>
      <c r="E452" s="3" t="str">
        <f>IF('1.1 Produksi Bersih Padi 2025'!E452="","",'1.1 Produksi Bersih Padi 2025'!E452)</f>
        <v/>
      </c>
      <c r="F452" s="28" t="str">
        <f>IF(D452="","",VLOOKUP(D452,'[1]0.1 Produksi Pangan &amp; Penduduk'!$D$5:$S$860,16,0))</f>
        <v/>
      </c>
      <c r="G452" s="28" t="str">
        <f t="shared" si="36"/>
        <v/>
      </c>
      <c r="H452" s="29" t="str">
        <f t="shared" si="37"/>
        <v/>
      </c>
      <c r="I452" s="29" t="str">
        <f t="shared" si="38"/>
        <v/>
      </c>
      <c r="J452" s="29" t="str">
        <f t="shared" si="39"/>
        <v/>
      </c>
      <c r="K452" s="29" t="str">
        <f t="shared" si="40"/>
        <v/>
      </c>
      <c r="L452" s="29" t="str">
        <f t="shared" si="41"/>
        <v/>
      </c>
      <c r="N452" s="11"/>
    </row>
    <row r="453" spans="1:14" ht="15" x14ac:dyDescent="0.25">
      <c r="A453" s="1" t="str">
        <f>IF('1.1 Produksi Bersih Padi 2025'!A453="","",'1.1 Produksi Bersih Padi 2025'!A453)</f>
        <v/>
      </c>
      <c r="B453" s="2" t="str">
        <f>IF('1.1 Produksi Bersih Padi 2025'!B453="","",'1.1 Produksi Bersih Padi 2025'!B453)</f>
        <v/>
      </c>
      <c r="C453" s="2" t="str">
        <f>IF('1.1 Produksi Bersih Padi 2025'!C453="","",'1.1 Produksi Bersih Padi 2025'!C453)</f>
        <v/>
      </c>
      <c r="D453" s="3" t="str">
        <f>IF('1.1 Produksi Bersih Padi 2025'!D453="","",'1.1 Produksi Bersih Padi 2025'!D453)</f>
        <v/>
      </c>
      <c r="E453" s="3" t="str">
        <f>IF('1.1 Produksi Bersih Padi 2025'!E453="","",'1.1 Produksi Bersih Padi 2025'!E453)</f>
        <v/>
      </c>
      <c r="F453" s="28" t="str">
        <f>IF(D453="","",VLOOKUP(D453,'[1]0.1 Produksi Pangan &amp; Penduduk'!$D$5:$S$860,16,0))</f>
        <v/>
      </c>
      <c r="G453" s="28" t="str">
        <f t="shared" si="36"/>
        <v/>
      </c>
      <c r="H453" s="29" t="str">
        <f t="shared" si="37"/>
        <v/>
      </c>
      <c r="I453" s="29" t="str">
        <f t="shared" si="38"/>
        <v/>
      </c>
      <c r="J453" s="29" t="str">
        <f t="shared" si="39"/>
        <v/>
      </c>
      <c r="K453" s="29" t="str">
        <f t="shared" si="40"/>
        <v/>
      </c>
      <c r="L453" s="29" t="str">
        <f t="shared" si="41"/>
        <v/>
      </c>
      <c r="N453" s="11"/>
    </row>
    <row r="454" spans="1:14" ht="15" x14ac:dyDescent="0.25">
      <c r="A454" s="1" t="str">
        <f>IF('1.1 Produksi Bersih Padi 2025'!A454="","",'1.1 Produksi Bersih Padi 2025'!A454)</f>
        <v/>
      </c>
      <c r="B454" s="2" t="str">
        <f>IF('1.1 Produksi Bersih Padi 2025'!B454="","",'1.1 Produksi Bersih Padi 2025'!B454)</f>
        <v/>
      </c>
      <c r="C454" s="2" t="str">
        <f>IF('1.1 Produksi Bersih Padi 2025'!C454="","",'1.1 Produksi Bersih Padi 2025'!C454)</f>
        <v/>
      </c>
      <c r="D454" s="3" t="str">
        <f>IF('1.1 Produksi Bersih Padi 2025'!D454="","",'1.1 Produksi Bersih Padi 2025'!D454)</f>
        <v/>
      </c>
      <c r="E454" s="3" t="str">
        <f>IF('1.1 Produksi Bersih Padi 2025'!E454="","",'1.1 Produksi Bersih Padi 2025'!E454)</f>
        <v/>
      </c>
      <c r="F454" s="28" t="str">
        <f>IF(D454="","",VLOOKUP(D454,'[1]0.1 Produksi Pangan &amp; Penduduk'!$D$5:$S$860,16,0))</f>
        <v/>
      </c>
      <c r="G454" s="28" t="str">
        <f t="shared" ref="G454:G517" si="42">IF(F454="","",F454*73.9252%)</f>
        <v/>
      </c>
      <c r="H454" s="29" t="str">
        <f t="shared" ref="H454:H517" si="43">IF(G454="","",G454*0.345%)</f>
        <v/>
      </c>
      <c r="I454" s="29" t="str">
        <f t="shared" ref="I454:I517" si="44">IF(G454="","",G454*78.806%)</f>
        <v/>
      </c>
      <c r="J454" s="29" t="str">
        <f t="shared" ref="J454:J517" si="45">IF(G454="","",G454*4.62%)</f>
        <v/>
      </c>
      <c r="K454" s="29" t="str">
        <f t="shared" ref="K454:K517" si="46">IF(G454="","",G454-(H454+I454+J454))</f>
        <v/>
      </c>
      <c r="L454" s="29" t="str">
        <f t="shared" ref="L454:L517" si="47">IF(K454="","",K454*1.017)</f>
        <v/>
      </c>
      <c r="N454" s="11"/>
    </row>
    <row r="455" spans="1:14" ht="15" x14ac:dyDescent="0.25">
      <c r="A455" s="1" t="str">
        <f>IF('1.1 Produksi Bersih Padi 2025'!A455="","",'1.1 Produksi Bersih Padi 2025'!A455)</f>
        <v/>
      </c>
      <c r="B455" s="2" t="str">
        <f>IF('1.1 Produksi Bersih Padi 2025'!B455="","",'1.1 Produksi Bersih Padi 2025'!B455)</f>
        <v/>
      </c>
      <c r="C455" s="2" t="str">
        <f>IF('1.1 Produksi Bersih Padi 2025'!C455="","",'1.1 Produksi Bersih Padi 2025'!C455)</f>
        <v/>
      </c>
      <c r="D455" s="3" t="str">
        <f>IF('1.1 Produksi Bersih Padi 2025'!D455="","",'1.1 Produksi Bersih Padi 2025'!D455)</f>
        <v/>
      </c>
      <c r="E455" s="3" t="str">
        <f>IF('1.1 Produksi Bersih Padi 2025'!E455="","",'1.1 Produksi Bersih Padi 2025'!E455)</f>
        <v/>
      </c>
      <c r="F455" s="28" t="str">
        <f>IF(D455="","",VLOOKUP(D455,'[1]0.1 Produksi Pangan &amp; Penduduk'!$D$5:$S$860,16,0))</f>
        <v/>
      </c>
      <c r="G455" s="28" t="str">
        <f t="shared" si="42"/>
        <v/>
      </c>
      <c r="H455" s="29" t="str">
        <f t="shared" si="43"/>
        <v/>
      </c>
      <c r="I455" s="29" t="str">
        <f t="shared" si="44"/>
        <v/>
      </c>
      <c r="J455" s="29" t="str">
        <f t="shared" si="45"/>
        <v/>
      </c>
      <c r="K455" s="29" t="str">
        <f t="shared" si="46"/>
        <v/>
      </c>
      <c r="L455" s="29" t="str">
        <f t="shared" si="47"/>
        <v/>
      </c>
      <c r="N455" s="11"/>
    </row>
    <row r="456" spans="1:14" ht="15" x14ac:dyDescent="0.25">
      <c r="A456" s="1" t="str">
        <f>IF('1.1 Produksi Bersih Padi 2025'!A456="","",'1.1 Produksi Bersih Padi 2025'!A456)</f>
        <v/>
      </c>
      <c r="B456" s="2" t="str">
        <f>IF('1.1 Produksi Bersih Padi 2025'!B456="","",'1.1 Produksi Bersih Padi 2025'!B456)</f>
        <v/>
      </c>
      <c r="C456" s="2" t="str">
        <f>IF('1.1 Produksi Bersih Padi 2025'!C456="","",'1.1 Produksi Bersih Padi 2025'!C456)</f>
        <v/>
      </c>
      <c r="D456" s="3" t="str">
        <f>IF('1.1 Produksi Bersih Padi 2025'!D456="","",'1.1 Produksi Bersih Padi 2025'!D456)</f>
        <v/>
      </c>
      <c r="E456" s="3" t="str">
        <f>IF('1.1 Produksi Bersih Padi 2025'!E456="","",'1.1 Produksi Bersih Padi 2025'!E456)</f>
        <v/>
      </c>
      <c r="F456" s="28" t="str">
        <f>IF(D456="","",VLOOKUP(D456,'[1]0.1 Produksi Pangan &amp; Penduduk'!$D$5:$S$860,16,0))</f>
        <v/>
      </c>
      <c r="G456" s="28" t="str">
        <f t="shared" si="42"/>
        <v/>
      </c>
      <c r="H456" s="29" t="str">
        <f t="shared" si="43"/>
        <v/>
      </c>
      <c r="I456" s="29" t="str">
        <f t="shared" si="44"/>
        <v/>
      </c>
      <c r="J456" s="29" t="str">
        <f t="shared" si="45"/>
        <v/>
      </c>
      <c r="K456" s="29" t="str">
        <f t="shared" si="46"/>
        <v/>
      </c>
      <c r="L456" s="29" t="str">
        <f t="shared" si="47"/>
        <v/>
      </c>
      <c r="N456" s="11"/>
    </row>
    <row r="457" spans="1:14" ht="15" x14ac:dyDescent="0.25">
      <c r="A457" s="1" t="str">
        <f>IF('1.1 Produksi Bersih Padi 2025'!A457="","",'1.1 Produksi Bersih Padi 2025'!A457)</f>
        <v/>
      </c>
      <c r="B457" s="2" t="str">
        <f>IF('1.1 Produksi Bersih Padi 2025'!B457="","",'1.1 Produksi Bersih Padi 2025'!B457)</f>
        <v/>
      </c>
      <c r="C457" s="2" t="str">
        <f>IF('1.1 Produksi Bersih Padi 2025'!C457="","",'1.1 Produksi Bersih Padi 2025'!C457)</f>
        <v/>
      </c>
      <c r="D457" s="3" t="str">
        <f>IF('1.1 Produksi Bersih Padi 2025'!D457="","",'1.1 Produksi Bersih Padi 2025'!D457)</f>
        <v/>
      </c>
      <c r="E457" s="3" t="str">
        <f>IF('1.1 Produksi Bersih Padi 2025'!E457="","",'1.1 Produksi Bersih Padi 2025'!E457)</f>
        <v/>
      </c>
      <c r="F457" s="28" t="str">
        <f>IF(D457="","",VLOOKUP(D457,'[1]0.1 Produksi Pangan &amp; Penduduk'!$D$5:$S$860,16,0))</f>
        <v/>
      </c>
      <c r="G457" s="28" t="str">
        <f t="shared" si="42"/>
        <v/>
      </c>
      <c r="H457" s="29" t="str">
        <f t="shared" si="43"/>
        <v/>
      </c>
      <c r="I457" s="29" t="str">
        <f t="shared" si="44"/>
        <v/>
      </c>
      <c r="J457" s="29" t="str">
        <f t="shared" si="45"/>
        <v/>
      </c>
      <c r="K457" s="29" t="str">
        <f t="shared" si="46"/>
        <v/>
      </c>
      <c r="L457" s="29" t="str">
        <f t="shared" si="47"/>
        <v/>
      </c>
      <c r="N457" s="11"/>
    </row>
    <row r="458" spans="1:14" ht="15" x14ac:dyDescent="0.25">
      <c r="A458" s="1" t="str">
        <f>IF('1.1 Produksi Bersih Padi 2025'!A458="","",'1.1 Produksi Bersih Padi 2025'!A458)</f>
        <v/>
      </c>
      <c r="B458" s="2" t="str">
        <f>IF('1.1 Produksi Bersih Padi 2025'!B458="","",'1.1 Produksi Bersih Padi 2025'!B458)</f>
        <v/>
      </c>
      <c r="C458" s="2" t="str">
        <f>IF('1.1 Produksi Bersih Padi 2025'!C458="","",'1.1 Produksi Bersih Padi 2025'!C458)</f>
        <v/>
      </c>
      <c r="D458" s="3" t="str">
        <f>IF('1.1 Produksi Bersih Padi 2025'!D458="","",'1.1 Produksi Bersih Padi 2025'!D458)</f>
        <v/>
      </c>
      <c r="E458" s="3" t="str">
        <f>IF('1.1 Produksi Bersih Padi 2025'!E458="","",'1.1 Produksi Bersih Padi 2025'!E458)</f>
        <v/>
      </c>
      <c r="F458" s="28" t="str">
        <f>IF(D458="","",VLOOKUP(D458,'[1]0.1 Produksi Pangan &amp; Penduduk'!$D$5:$S$860,16,0))</f>
        <v/>
      </c>
      <c r="G458" s="28" t="str">
        <f t="shared" si="42"/>
        <v/>
      </c>
      <c r="H458" s="29" t="str">
        <f t="shared" si="43"/>
        <v/>
      </c>
      <c r="I458" s="29" t="str">
        <f t="shared" si="44"/>
        <v/>
      </c>
      <c r="J458" s="29" t="str">
        <f t="shared" si="45"/>
        <v/>
      </c>
      <c r="K458" s="29" t="str">
        <f t="shared" si="46"/>
        <v/>
      </c>
      <c r="L458" s="29" t="str">
        <f t="shared" si="47"/>
        <v/>
      </c>
      <c r="N458" s="11"/>
    </row>
    <row r="459" spans="1:14" ht="15" x14ac:dyDescent="0.25">
      <c r="A459" s="1" t="str">
        <f>IF('1.1 Produksi Bersih Padi 2025'!A459="","",'1.1 Produksi Bersih Padi 2025'!A459)</f>
        <v/>
      </c>
      <c r="B459" s="2" t="str">
        <f>IF('1.1 Produksi Bersih Padi 2025'!B459="","",'1.1 Produksi Bersih Padi 2025'!B459)</f>
        <v/>
      </c>
      <c r="C459" s="2" t="str">
        <f>IF('1.1 Produksi Bersih Padi 2025'!C459="","",'1.1 Produksi Bersih Padi 2025'!C459)</f>
        <v/>
      </c>
      <c r="D459" s="3" t="str">
        <f>IF('1.1 Produksi Bersih Padi 2025'!D459="","",'1.1 Produksi Bersih Padi 2025'!D459)</f>
        <v/>
      </c>
      <c r="E459" s="3" t="str">
        <f>IF('1.1 Produksi Bersih Padi 2025'!E459="","",'1.1 Produksi Bersih Padi 2025'!E459)</f>
        <v/>
      </c>
      <c r="F459" s="28" t="str">
        <f>IF(D459="","",VLOOKUP(D459,'[1]0.1 Produksi Pangan &amp; Penduduk'!$D$5:$S$860,16,0))</f>
        <v/>
      </c>
      <c r="G459" s="28" t="str">
        <f t="shared" si="42"/>
        <v/>
      </c>
      <c r="H459" s="29" t="str">
        <f t="shared" si="43"/>
        <v/>
      </c>
      <c r="I459" s="29" t="str">
        <f t="shared" si="44"/>
        <v/>
      </c>
      <c r="J459" s="29" t="str">
        <f t="shared" si="45"/>
        <v/>
      </c>
      <c r="K459" s="29" t="str">
        <f t="shared" si="46"/>
        <v/>
      </c>
      <c r="L459" s="29" t="str">
        <f t="shared" si="47"/>
        <v/>
      </c>
      <c r="N459" s="11"/>
    </row>
    <row r="460" spans="1:14" ht="15" x14ac:dyDescent="0.25">
      <c r="A460" s="1" t="str">
        <f>IF('1.1 Produksi Bersih Padi 2025'!A460="","",'1.1 Produksi Bersih Padi 2025'!A460)</f>
        <v/>
      </c>
      <c r="B460" s="2" t="str">
        <f>IF('1.1 Produksi Bersih Padi 2025'!B460="","",'1.1 Produksi Bersih Padi 2025'!B460)</f>
        <v/>
      </c>
      <c r="C460" s="2" t="str">
        <f>IF('1.1 Produksi Bersih Padi 2025'!C460="","",'1.1 Produksi Bersih Padi 2025'!C460)</f>
        <v/>
      </c>
      <c r="D460" s="3" t="str">
        <f>IF('1.1 Produksi Bersih Padi 2025'!D460="","",'1.1 Produksi Bersih Padi 2025'!D460)</f>
        <v/>
      </c>
      <c r="E460" s="3" t="str">
        <f>IF('1.1 Produksi Bersih Padi 2025'!E460="","",'1.1 Produksi Bersih Padi 2025'!E460)</f>
        <v/>
      </c>
      <c r="F460" s="28" t="str">
        <f>IF(D460="","",VLOOKUP(D460,'[1]0.1 Produksi Pangan &amp; Penduduk'!$D$5:$S$860,16,0))</f>
        <v/>
      </c>
      <c r="G460" s="28" t="str">
        <f t="shared" si="42"/>
        <v/>
      </c>
      <c r="H460" s="29" t="str">
        <f t="shared" si="43"/>
        <v/>
      </c>
      <c r="I460" s="29" t="str">
        <f t="shared" si="44"/>
        <v/>
      </c>
      <c r="J460" s="29" t="str">
        <f t="shared" si="45"/>
        <v/>
      </c>
      <c r="K460" s="29" t="str">
        <f t="shared" si="46"/>
        <v/>
      </c>
      <c r="L460" s="29" t="str">
        <f t="shared" si="47"/>
        <v/>
      </c>
      <c r="N460" s="11"/>
    </row>
    <row r="461" spans="1:14" ht="15" x14ac:dyDescent="0.25">
      <c r="A461" s="1" t="str">
        <f>IF('1.1 Produksi Bersih Padi 2025'!A461="","",'1.1 Produksi Bersih Padi 2025'!A461)</f>
        <v/>
      </c>
      <c r="B461" s="2" t="str">
        <f>IF('1.1 Produksi Bersih Padi 2025'!B461="","",'1.1 Produksi Bersih Padi 2025'!B461)</f>
        <v/>
      </c>
      <c r="C461" s="2" t="str">
        <f>IF('1.1 Produksi Bersih Padi 2025'!C461="","",'1.1 Produksi Bersih Padi 2025'!C461)</f>
        <v/>
      </c>
      <c r="D461" s="3" t="str">
        <f>IF('1.1 Produksi Bersih Padi 2025'!D461="","",'1.1 Produksi Bersih Padi 2025'!D461)</f>
        <v/>
      </c>
      <c r="E461" s="3" t="str">
        <f>IF('1.1 Produksi Bersih Padi 2025'!E461="","",'1.1 Produksi Bersih Padi 2025'!E461)</f>
        <v/>
      </c>
      <c r="F461" s="28" t="str">
        <f>IF(D461="","",VLOOKUP(D461,'[1]0.1 Produksi Pangan &amp; Penduduk'!$D$5:$S$860,16,0))</f>
        <v/>
      </c>
      <c r="G461" s="28" t="str">
        <f t="shared" si="42"/>
        <v/>
      </c>
      <c r="H461" s="29" t="str">
        <f t="shared" si="43"/>
        <v/>
      </c>
      <c r="I461" s="29" t="str">
        <f t="shared" si="44"/>
        <v/>
      </c>
      <c r="J461" s="29" t="str">
        <f t="shared" si="45"/>
        <v/>
      </c>
      <c r="K461" s="29" t="str">
        <f t="shared" si="46"/>
        <v/>
      </c>
      <c r="L461" s="29" t="str">
        <f t="shared" si="47"/>
        <v/>
      </c>
      <c r="N461" s="11"/>
    </row>
    <row r="462" spans="1:14" ht="15" x14ac:dyDescent="0.25">
      <c r="A462" s="1" t="str">
        <f>IF('1.1 Produksi Bersih Padi 2025'!A462="","",'1.1 Produksi Bersih Padi 2025'!A462)</f>
        <v/>
      </c>
      <c r="B462" s="2" t="str">
        <f>IF('1.1 Produksi Bersih Padi 2025'!B462="","",'1.1 Produksi Bersih Padi 2025'!B462)</f>
        <v/>
      </c>
      <c r="C462" s="2" t="str">
        <f>IF('1.1 Produksi Bersih Padi 2025'!C462="","",'1.1 Produksi Bersih Padi 2025'!C462)</f>
        <v/>
      </c>
      <c r="D462" s="3" t="str">
        <f>IF('1.1 Produksi Bersih Padi 2025'!D462="","",'1.1 Produksi Bersih Padi 2025'!D462)</f>
        <v/>
      </c>
      <c r="E462" s="3" t="str">
        <f>IF('1.1 Produksi Bersih Padi 2025'!E462="","",'1.1 Produksi Bersih Padi 2025'!E462)</f>
        <v/>
      </c>
      <c r="F462" s="28" t="str">
        <f>IF(D462="","",VLOOKUP(D462,'[1]0.1 Produksi Pangan &amp; Penduduk'!$D$5:$S$860,16,0))</f>
        <v/>
      </c>
      <c r="G462" s="28" t="str">
        <f t="shared" si="42"/>
        <v/>
      </c>
      <c r="H462" s="29" t="str">
        <f t="shared" si="43"/>
        <v/>
      </c>
      <c r="I462" s="29" t="str">
        <f t="shared" si="44"/>
        <v/>
      </c>
      <c r="J462" s="29" t="str">
        <f t="shared" si="45"/>
        <v/>
      </c>
      <c r="K462" s="29" t="str">
        <f t="shared" si="46"/>
        <v/>
      </c>
      <c r="L462" s="29" t="str">
        <f t="shared" si="47"/>
        <v/>
      </c>
      <c r="N462" s="11"/>
    </row>
    <row r="463" spans="1:14" ht="15" x14ac:dyDescent="0.25">
      <c r="A463" s="1" t="str">
        <f>IF('1.1 Produksi Bersih Padi 2025'!A463="","",'1.1 Produksi Bersih Padi 2025'!A463)</f>
        <v/>
      </c>
      <c r="B463" s="2" t="str">
        <f>IF('1.1 Produksi Bersih Padi 2025'!B463="","",'1.1 Produksi Bersih Padi 2025'!B463)</f>
        <v/>
      </c>
      <c r="C463" s="2" t="str">
        <f>IF('1.1 Produksi Bersih Padi 2025'!C463="","",'1.1 Produksi Bersih Padi 2025'!C463)</f>
        <v/>
      </c>
      <c r="D463" s="3" t="str">
        <f>IF('1.1 Produksi Bersih Padi 2025'!D463="","",'1.1 Produksi Bersih Padi 2025'!D463)</f>
        <v/>
      </c>
      <c r="E463" s="3" t="str">
        <f>IF('1.1 Produksi Bersih Padi 2025'!E463="","",'1.1 Produksi Bersih Padi 2025'!E463)</f>
        <v/>
      </c>
      <c r="F463" s="28" t="str">
        <f>IF(D463="","",VLOOKUP(D463,'[1]0.1 Produksi Pangan &amp; Penduduk'!$D$5:$S$860,16,0))</f>
        <v/>
      </c>
      <c r="G463" s="28" t="str">
        <f t="shared" si="42"/>
        <v/>
      </c>
      <c r="H463" s="29" t="str">
        <f t="shared" si="43"/>
        <v/>
      </c>
      <c r="I463" s="29" t="str">
        <f t="shared" si="44"/>
        <v/>
      </c>
      <c r="J463" s="29" t="str">
        <f t="shared" si="45"/>
        <v/>
      </c>
      <c r="K463" s="29" t="str">
        <f t="shared" si="46"/>
        <v/>
      </c>
      <c r="L463" s="29" t="str">
        <f t="shared" si="47"/>
        <v/>
      </c>
      <c r="N463" s="11"/>
    </row>
    <row r="464" spans="1:14" ht="15" x14ac:dyDescent="0.25">
      <c r="A464" s="1" t="str">
        <f>IF('1.1 Produksi Bersih Padi 2025'!A464="","",'1.1 Produksi Bersih Padi 2025'!A464)</f>
        <v/>
      </c>
      <c r="B464" s="2" t="str">
        <f>IF('1.1 Produksi Bersih Padi 2025'!B464="","",'1.1 Produksi Bersih Padi 2025'!B464)</f>
        <v/>
      </c>
      <c r="C464" s="2" t="str">
        <f>IF('1.1 Produksi Bersih Padi 2025'!C464="","",'1.1 Produksi Bersih Padi 2025'!C464)</f>
        <v/>
      </c>
      <c r="D464" s="3" t="str">
        <f>IF('1.1 Produksi Bersih Padi 2025'!D464="","",'1.1 Produksi Bersih Padi 2025'!D464)</f>
        <v/>
      </c>
      <c r="E464" s="3" t="str">
        <f>IF('1.1 Produksi Bersih Padi 2025'!E464="","",'1.1 Produksi Bersih Padi 2025'!E464)</f>
        <v/>
      </c>
      <c r="F464" s="28" t="str">
        <f>IF(D464="","",VLOOKUP(D464,'[1]0.1 Produksi Pangan &amp; Penduduk'!$D$5:$S$860,16,0))</f>
        <v/>
      </c>
      <c r="G464" s="28" t="str">
        <f t="shared" si="42"/>
        <v/>
      </c>
      <c r="H464" s="29" t="str">
        <f t="shared" si="43"/>
        <v/>
      </c>
      <c r="I464" s="29" t="str">
        <f t="shared" si="44"/>
        <v/>
      </c>
      <c r="J464" s="29" t="str">
        <f t="shared" si="45"/>
        <v/>
      </c>
      <c r="K464" s="29" t="str">
        <f t="shared" si="46"/>
        <v/>
      </c>
      <c r="L464" s="29" t="str">
        <f t="shared" si="47"/>
        <v/>
      </c>
      <c r="N464" s="11"/>
    </row>
    <row r="465" spans="1:14" ht="15" x14ac:dyDescent="0.25">
      <c r="A465" s="1" t="str">
        <f>IF('1.1 Produksi Bersih Padi 2025'!A465="","",'1.1 Produksi Bersih Padi 2025'!A465)</f>
        <v/>
      </c>
      <c r="B465" s="2" t="str">
        <f>IF('1.1 Produksi Bersih Padi 2025'!B465="","",'1.1 Produksi Bersih Padi 2025'!B465)</f>
        <v/>
      </c>
      <c r="C465" s="2" t="str">
        <f>IF('1.1 Produksi Bersih Padi 2025'!C465="","",'1.1 Produksi Bersih Padi 2025'!C465)</f>
        <v/>
      </c>
      <c r="D465" s="3" t="str">
        <f>IF('1.1 Produksi Bersih Padi 2025'!D465="","",'1.1 Produksi Bersih Padi 2025'!D465)</f>
        <v/>
      </c>
      <c r="E465" s="3" t="str">
        <f>IF('1.1 Produksi Bersih Padi 2025'!E465="","",'1.1 Produksi Bersih Padi 2025'!E465)</f>
        <v/>
      </c>
      <c r="F465" s="28" t="str">
        <f>IF(D465="","",VLOOKUP(D465,'[1]0.1 Produksi Pangan &amp; Penduduk'!$D$5:$S$860,16,0))</f>
        <v/>
      </c>
      <c r="G465" s="28" t="str">
        <f t="shared" si="42"/>
        <v/>
      </c>
      <c r="H465" s="29" t="str">
        <f t="shared" si="43"/>
        <v/>
      </c>
      <c r="I465" s="29" t="str">
        <f t="shared" si="44"/>
        <v/>
      </c>
      <c r="J465" s="29" t="str">
        <f t="shared" si="45"/>
        <v/>
      </c>
      <c r="K465" s="29" t="str">
        <f t="shared" si="46"/>
        <v/>
      </c>
      <c r="L465" s="29" t="str">
        <f t="shared" si="47"/>
        <v/>
      </c>
      <c r="N465" s="11"/>
    </row>
    <row r="466" spans="1:14" ht="15" x14ac:dyDescent="0.25">
      <c r="A466" s="1" t="str">
        <f>IF('1.1 Produksi Bersih Padi 2025'!A466="","",'1.1 Produksi Bersih Padi 2025'!A466)</f>
        <v/>
      </c>
      <c r="B466" s="2" t="str">
        <f>IF('1.1 Produksi Bersih Padi 2025'!B466="","",'1.1 Produksi Bersih Padi 2025'!B466)</f>
        <v/>
      </c>
      <c r="C466" s="2" t="str">
        <f>IF('1.1 Produksi Bersih Padi 2025'!C466="","",'1.1 Produksi Bersih Padi 2025'!C466)</f>
        <v/>
      </c>
      <c r="D466" s="3" t="str">
        <f>IF('1.1 Produksi Bersih Padi 2025'!D466="","",'1.1 Produksi Bersih Padi 2025'!D466)</f>
        <v/>
      </c>
      <c r="E466" s="3" t="str">
        <f>IF('1.1 Produksi Bersih Padi 2025'!E466="","",'1.1 Produksi Bersih Padi 2025'!E466)</f>
        <v/>
      </c>
      <c r="F466" s="28" t="str">
        <f>IF(D466="","",VLOOKUP(D466,'[1]0.1 Produksi Pangan &amp; Penduduk'!$D$5:$S$860,16,0))</f>
        <v/>
      </c>
      <c r="G466" s="28" t="str">
        <f t="shared" si="42"/>
        <v/>
      </c>
      <c r="H466" s="29" t="str">
        <f t="shared" si="43"/>
        <v/>
      </c>
      <c r="I466" s="29" t="str">
        <f t="shared" si="44"/>
        <v/>
      </c>
      <c r="J466" s="29" t="str">
        <f t="shared" si="45"/>
        <v/>
      </c>
      <c r="K466" s="29" t="str">
        <f t="shared" si="46"/>
        <v/>
      </c>
      <c r="L466" s="29" t="str">
        <f t="shared" si="47"/>
        <v/>
      </c>
      <c r="N466" s="11"/>
    </row>
    <row r="467" spans="1:14" ht="15" x14ac:dyDescent="0.25">
      <c r="A467" s="1" t="str">
        <f>IF('1.1 Produksi Bersih Padi 2025'!A467="","",'1.1 Produksi Bersih Padi 2025'!A467)</f>
        <v/>
      </c>
      <c r="B467" s="2" t="str">
        <f>IF('1.1 Produksi Bersih Padi 2025'!B467="","",'1.1 Produksi Bersih Padi 2025'!B467)</f>
        <v/>
      </c>
      <c r="C467" s="2" t="str">
        <f>IF('1.1 Produksi Bersih Padi 2025'!C467="","",'1.1 Produksi Bersih Padi 2025'!C467)</f>
        <v/>
      </c>
      <c r="D467" s="3" t="str">
        <f>IF('1.1 Produksi Bersih Padi 2025'!D467="","",'1.1 Produksi Bersih Padi 2025'!D467)</f>
        <v/>
      </c>
      <c r="E467" s="3" t="str">
        <f>IF('1.1 Produksi Bersih Padi 2025'!E467="","",'1.1 Produksi Bersih Padi 2025'!E467)</f>
        <v/>
      </c>
      <c r="F467" s="28" t="str">
        <f>IF(D467="","",VLOOKUP(D467,'[1]0.1 Produksi Pangan &amp; Penduduk'!$D$5:$S$860,16,0))</f>
        <v/>
      </c>
      <c r="G467" s="28" t="str">
        <f t="shared" si="42"/>
        <v/>
      </c>
      <c r="H467" s="29" t="str">
        <f t="shared" si="43"/>
        <v/>
      </c>
      <c r="I467" s="29" t="str">
        <f t="shared" si="44"/>
        <v/>
      </c>
      <c r="J467" s="29" t="str">
        <f t="shared" si="45"/>
        <v/>
      </c>
      <c r="K467" s="29" t="str">
        <f t="shared" si="46"/>
        <v/>
      </c>
      <c r="L467" s="29" t="str">
        <f t="shared" si="47"/>
        <v/>
      </c>
      <c r="N467" s="11"/>
    </row>
    <row r="468" spans="1:14" ht="15" x14ac:dyDescent="0.25">
      <c r="A468" s="1" t="str">
        <f>IF('1.1 Produksi Bersih Padi 2025'!A468="","",'1.1 Produksi Bersih Padi 2025'!A468)</f>
        <v/>
      </c>
      <c r="B468" s="2" t="str">
        <f>IF('1.1 Produksi Bersih Padi 2025'!B468="","",'1.1 Produksi Bersih Padi 2025'!B468)</f>
        <v/>
      </c>
      <c r="C468" s="2" t="str">
        <f>IF('1.1 Produksi Bersih Padi 2025'!C468="","",'1.1 Produksi Bersih Padi 2025'!C468)</f>
        <v/>
      </c>
      <c r="D468" s="3" t="str">
        <f>IF('1.1 Produksi Bersih Padi 2025'!D468="","",'1.1 Produksi Bersih Padi 2025'!D468)</f>
        <v/>
      </c>
      <c r="E468" s="3" t="str">
        <f>IF('1.1 Produksi Bersih Padi 2025'!E468="","",'1.1 Produksi Bersih Padi 2025'!E468)</f>
        <v/>
      </c>
      <c r="F468" s="28" t="str">
        <f>IF(D468="","",VLOOKUP(D468,'[1]0.1 Produksi Pangan &amp; Penduduk'!$D$5:$S$860,16,0))</f>
        <v/>
      </c>
      <c r="G468" s="28" t="str">
        <f t="shared" si="42"/>
        <v/>
      </c>
      <c r="H468" s="29" t="str">
        <f t="shared" si="43"/>
        <v/>
      </c>
      <c r="I468" s="29" t="str">
        <f t="shared" si="44"/>
        <v/>
      </c>
      <c r="J468" s="29" t="str">
        <f t="shared" si="45"/>
        <v/>
      </c>
      <c r="K468" s="29" t="str">
        <f t="shared" si="46"/>
        <v/>
      </c>
      <c r="L468" s="29" t="str">
        <f t="shared" si="47"/>
        <v/>
      </c>
      <c r="N468" s="11"/>
    </row>
    <row r="469" spans="1:14" ht="15" x14ac:dyDescent="0.25">
      <c r="A469" s="1" t="str">
        <f>IF('1.1 Produksi Bersih Padi 2025'!A469="","",'1.1 Produksi Bersih Padi 2025'!A469)</f>
        <v/>
      </c>
      <c r="B469" s="2" t="str">
        <f>IF('1.1 Produksi Bersih Padi 2025'!B469="","",'1.1 Produksi Bersih Padi 2025'!B469)</f>
        <v/>
      </c>
      <c r="C469" s="2" t="str">
        <f>IF('1.1 Produksi Bersih Padi 2025'!C469="","",'1.1 Produksi Bersih Padi 2025'!C469)</f>
        <v/>
      </c>
      <c r="D469" s="3" t="str">
        <f>IF('1.1 Produksi Bersih Padi 2025'!D469="","",'1.1 Produksi Bersih Padi 2025'!D469)</f>
        <v/>
      </c>
      <c r="E469" s="3" t="str">
        <f>IF('1.1 Produksi Bersih Padi 2025'!E469="","",'1.1 Produksi Bersih Padi 2025'!E469)</f>
        <v/>
      </c>
      <c r="F469" s="28" t="str">
        <f>IF(D469="","",VLOOKUP(D469,'[1]0.1 Produksi Pangan &amp; Penduduk'!$D$5:$S$860,16,0))</f>
        <v/>
      </c>
      <c r="G469" s="28" t="str">
        <f t="shared" si="42"/>
        <v/>
      </c>
      <c r="H469" s="29" t="str">
        <f t="shared" si="43"/>
        <v/>
      </c>
      <c r="I469" s="29" t="str">
        <f t="shared" si="44"/>
        <v/>
      </c>
      <c r="J469" s="29" t="str">
        <f t="shared" si="45"/>
        <v/>
      </c>
      <c r="K469" s="29" t="str">
        <f t="shared" si="46"/>
        <v/>
      </c>
      <c r="L469" s="29" t="str">
        <f t="shared" si="47"/>
        <v/>
      </c>
      <c r="N469" s="11"/>
    </row>
    <row r="470" spans="1:14" ht="15" x14ac:dyDescent="0.25">
      <c r="A470" s="1" t="str">
        <f>IF('1.1 Produksi Bersih Padi 2025'!A470="","",'1.1 Produksi Bersih Padi 2025'!A470)</f>
        <v/>
      </c>
      <c r="B470" s="2" t="str">
        <f>IF('1.1 Produksi Bersih Padi 2025'!B470="","",'1.1 Produksi Bersih Padi 2025'!B470)</f>
        <v/>
      </c>
      <c r="C470" s="2" t="str">
        <f>IF('1.1 Produksi Bersih Padi 2025'!C470="","",'1.1 Produksi Bersih Padi 2025'!C470)</f>
        <v/>
      </c>
      <c r="D470" s="3" t="str">
        <f>IF('1.1 Produksi Bersih Padi 2025'!D470="","",'1.1 Produksi Bersih Padi 2025'!D470)</f>
        <v/>
      </c>
      <c r="E470" s="3" t="str">
        <f>IF('1.1 Produksi Bersih Padi 2025'!E470="","",'1.1 Produksi Bersih Padi 2025'!E470)</f>
        <v/>
      </c>
      <c r="F470" s="28" t="str">
        <f>IF(D470="","",VLOOKUP(D470,'[1]0.1 Produksi Pangan &amp; Penduduk'!$D$5:$S$860,16,0))</f>
        <v/>
      </c>
      <c r="G470" s="28" t="str">
        <f t="shared" si="42"/>
        <v/>
      </c>
      <c r="H470" s="29" t="str">
        <f t="shared" si="43"/>
        <v/>
      </c>
      <c r="I470" s="29" t="str">
        <f t="shared" si="44"/>
        <v/>
      </c>
      <c r="J470" s="29" t="str">
        <f t="shared" si="45"/>
        <v/>
      </c>
      <c r="K470" s="29" t="str">
        <f t="shared" si="46"/>
        <v/>
      </c>
      <c r="L470" s="29" t="str">
        <f t="shared" si="47"/>
        <v/>
      </c>
      <c r="N470" s="11"/>
    </row>
    <row r="471" spans="1:14" ht="15" x14ac:dyDescent="0.25">
      <c r="A471" s="1" t="str">
        <f>IF('1.1 Produksi Bersih Padi 2025'!A471="","",'1.1 Produksi Bersih Padi 2025'!A471)</f>
        <v/>
      </c>
      <c r="B471" s="2" t="str">
        <f>IF('1.1 Produksi Bersih Padi 2025'!B471="","",'1.1 Produksi Bersih Padi 2025'!B471)</f>
        <v/>
      </c>
      <c r="C471" s="2" t="str">
        <f>IF('1.1 Produksi Bersih Padi 2025'!C471="","",'1.1 Produksi Bersih Padi 2025'!C471)</f>
        <v/>
      </c>
      <c r="D471" s="3" t="str">
        <f>IF('1.1 Produksi Bersih Padi 2025'!D471="","",'1.1 Produksi Bersih Padi 2025'!D471)</f>
        <v/>
      </c>
      <c r="E471" s="3" t="str">
        <f>IF('1.1 Produksi Bersih Padi 2025'!E471="","",'1.1 Produksi Bersih Padi 2025'!E471)</f>
        <v/>
      </c>
      <c r="F471" s="28" t="str">
        <f>IF(D471="","",VLOOKUP(D471,'[1]0.1 Produksi Pangan &amp; Penduduk'!$D$5:$S$860,16,0))</f>
        <v/>
      </c>
      <c r="G471" s="28" t="str">
        <f t="shared" si="42"/>
        <v/>
      </c>
      <c r="H471" s="29" t="str">
        <f t="shared" si="43"/>
        <v/>
      </c>
      <c r="I471" s="29" t="str">
        <f t="shared" si="44"/>
        <v/>
      </c>
      <c r="J471" s="29" t="str">
        <f t="shared" si="45"/>
        <v/>
      </c>
      <c r="K471" s="29" t="str">
        <f t="shared" si="46"/>
        <v/>
      </c>
      <c r="L471" s="29" t="str">
        <f t="shared" si="47"/>
        <v/>
      </c>
      <c r="N471" s="11"/>
    </row>
    <row r="472" spans="1:14" ht="15" x14ac:dyDescent="0.25">
      <c r="A472" s="1" t="str">
        <f>IF('1.1 Produksi Bersih Padi 2025'!A472="","",'1.1 Produksi Bersih Padi 2025'!A472)</f>
        <v/>
      </c>
      <c r="B472" s="2" t="str">
        <f>IF('1.1 Produksi Bersih Padi 2025'!B472="","",'1.1 Produksi Bersih Padi 2025'!B472)</f>
        <v/>
      </c>
      <c r="C472" s="2" t="str">
        <f>IF('1.1 Produksi Bersih Padi 2025'!C472="","",'1.1 Produksi Bersih Padi 2025'!C472)</f>
        <v/>
      </c>
      <c r="D472" s="3" t="str">
        <f>IF('1.1 Produksi Bersih Padi 2025'!D472="","",'1.1 Produksi Bersih Padi 2025'!D472)</f>
        <v/>
      </c>
      <c r="E472" s="3" t="str">
        <f>IF('1.1 Produksi Bersih Padi 2025'!E472="","",'1.1 Produksi Bersih Padi 2025'!E472)</f>
        <v/>
      </c>
      <c r="F472" s="28" t="str">
        <f>IF(D472="","",VLOOKUP(D472,'[1]0.1 Produksi Pangan &amp; Penduduk'!$D$5:$S$860,16,0))</f>
        <v/>
      </c>
      <c r="G472" s="28" t="str">
        <f t="shared" si="42"/>
        <v/>
      </c>
      <c r="H472" s="29" t="str">
        <f t="shared" si="43"/>
        <v/>
      </c>
      <c r="I472" s="29" t="str">
        <f t="shared" si="44"/>
        <v/>
      </c>
      <c r="J472" s="29" t="str">
        <f t="shared" si="45"/>
        <v/>
      </c>
      <c r="K472" s="29" t="str">
        <f t="shared" si="46"/>
        <v/>
      </c>
      <c r="L472" s="29" t="str">
        <f t="shared" si="47"/>
        <v/>
      </c>
      <c r="N472" s="11"/>
    </row>
    <row r="473" spans="1:14" ht="15" x14ac:dyDescent="0.25">
      <c r="A473" s="1" t="str">
        <f>IF('1.1 Produksi Bersih Padi 2025'!A473="","",'1.1 Produksi Bersih Padi 2025'!A473)</f>
        <v/>
      </c>
      <c r="B473" s="2" t="str">
        <f>IF('1.1 Produksi Bersih Padi 2025'!B473="","",'1.1 Produksi Bersih Padi 2025'!B473)</f>
        <v/>
      </c>
      <c r="C473" s="2" t="str">
        <f>IF('1.1 Produksi Bersih Padi 2025'!C473="","",'1.1 Produksi Bersih Padi 2025'!C473)</f>
        <v/>
      </c>
      <c r="D473" s="3" t="str">
        <f>IF('1.1 Produksi Bersih Padi 2025'!D473="","",'1.1 Produksi Bersih Padi 2025'!D473)</f>
        <v/>
      </c>
      <c r="E473" s="3" t="str">
        <f>IF('1.1 Produksi Bersih Padi 2025'!E473="","",'1.1 Produksi Bersih Padi 2025'!E473)</f>
        <v/>
      </c>
      <c r="F473" s="28" t="str">
        <f>IF(D473="","",VLOOKUP(D473,'[1]0.1 Produksi Pangan &amp; Penduduk'!$D$5:$S$860,16,0))</f>
        <v/>
      </c>
      <c r="G473" s="28" t="str">
        <f t="shared" si="42"/>
        <v/>
      </c>
      <c r="H473" s="29" t="str">
        <f t="shared" si="43"/>
        <v/>
      </c>
      <c r="I473" s="29" t="str">
        <f t="shared" si="44"/>
        <v/>
      </c>
      <c r="J473" s="29" t="str">
        <f t="shared" si="45"/>
        <v/>
      </c>
      <c r="K473" s="29" t="str">
        <f t="shared" si="46"/>
        <v/>
      </c>
      <c r="L473" s="29" t="str">
        <f t="shared" si="47"/>
        <v/>
      </c>
      <c r="N473" s="11"/>
    </row>
    <row r="474" spans="1:14" ht="15" x14ac:dyDescent="0.25">
      <c r="A474" s="1" t="str">
        <f>IF('1.1 Produksi Bersih Padi 2025'!A474="","",'1.1 Produksi Bersih Padi 2025'!A474)</f>
        <v/>
      </c>
      <c r="B474" s="2" t="str">
        <f>IF('1.1 Produksi Bersih Padi 2025'!B474="","",'1.1 Produksi Bersih Padi 2025'!B474)</f>
        <v/>
      </c>
      <c r="C474" s="2" t="str">
        <f>IF('1.1 Produksi Bersih Padi 2025'!C474="","",'1.1 Produksi Bersih Padi 2025'!C474)</f>
        <v/>
      </c>
      <c r="D474" s="3" t="str">
        <f>IF('1.1 Produksi Bersih Padi 2025'!D474="","",'1.1 Produksi Bersih Padi 2025'!D474)</f>
        <v/>
      </c>
      <c r="E474" s="3" t="str">
        <f>IF('1.1 Produksi Bersih Padi 2025'!E474="","",'1.1 Produksi Bersih Padi 2025'!E474)</f>
        <v/>
      </c>
      <c r="F474" s="28" t="str">
        <f>IF(D474="","",VLOOKUP(D474,'[1]0.1 Produksi Pangan &amp; Penduduk'!$D$5:$S$860,16,0))</f>
        <v/>
      </c>
      <c r="G474" s="28" t="str">
        <f t="shared" si="42"/>
        <v/>
      </c>
      <c r="H474" s="29" t="str">
        <f t="shared" si="43"/>
        <v/>
      </c>
      <c r="I474" s="29" t="str">
        <f t="shared" si="44"/>
        <v/>
      </c>
      <c r="J474" s="29" t="str">
        <f t="shared" si="45"/>
        <v/>
      </c>
      <c r="K474" s="29" t="str">
        <f t="shared" si="46"/>
        <v/>
      </c>
      <c r="L474" s="29" t="str">
        <f t="shared" si="47"/>
        <v/>
      </c>
      <c r="N474" s="11"/>
    </row>
    <row r="475" spans="1:14" ht="15" x14ac:dyDescent="0.25">
      <c r="A475" s="1" t="str">
        <f>IF('1.1 Produksi Bersih Padi 2025'!A475="","",'1.1 Produksi Bersih Padi 2025'!A475)</f>
        <v/>
      </c>
      <c r="B475" s="2" t="str">
        <f>IF('1.1 Produksi Bersih Padi 2025'!B475="","",'1.1 Produksi Bersih Padi 2025'!B475)</f>
        <v/>
      </c>
      <c r="C475" s="2" t="str">
        <f>IF('1.1 Produksi Bersih Padi 2025'!C475="","",'1.1 Produksi Bersih Padi 2025'!C475)</f>
        <v/>
      </c>
      <c r="D475" s="3" t="str">
        <f>IF('1.1 Produksi Bersih Padi 2025'!D475="","",'1.1 Produksi Bersih Padi 2025'!D475)</f>
        <v/>
      </c>
      <c r="E475" s="3" t="str">
        <f>IF('1.1 Produksi Bersih Padi 2025'!E475="","",'1.1 Produksi Bersih Padi 2025'!E475)</f>
        <v/>
      </c>
      <c r="F475" s="28" t="str">
        <f>IF(D475="","",VLOOKUP(D475,'[1]0.1 Produksi Pangan &amp; Penduduk'!$D$5:$S$860,16,0))</f>
        <v/>
      </c>
      <c r="G475" s="28" t="str">
        <f t="shared" si="42"/>
        <v/>
      </c>
      <c r="H475" s="29" t="str">
        <f t="shared" si="43"/>
        <v/>
      </c>
      <c r="I475" s="29" t="str">
        <f t="shared" si="44"/>
        <v/>
      </c>
      <c r="J475" s="29" t="str">
        <f t="shared" si="45"/>
        <v/>
      </c>
      <c r="K475" s="29" t="str">
        <f t="shared" si="46"/>
        <v/>
      </c>
      <c r="L475" s="29" t="str">
        <f t="shared" si="47"/>
        <v/>
      </c>
      <c r="N475" s="11"/>
    </row>
    <row r="476" spans="1:14" ht="15" x14ac:dyDescent="0.25">
      <c r="A476" s="1" t="str">
        <f>IF('1.1 Produksi Bersih Padi 2025'!A476="","",'1.1 Produksi Bersih Padi 2025'!A476)</f>
        <v/>
      </c>
      <c r="B476" s="2" t="str">
        <f>IF('1.1 Produksi Bersih Padi 2025'!B476="","",'1.1 Produksi Bersih Padi 2025'!B476)</f>
        <v/>
      </c>
      <c r="C476" s="2" t="str">
        <f>IF('1.1 Produksi Bersih Padi 2025'!C476="","",'1.1 Produksi Bersih Padi 2025'!C476)</f>
        <v/>
      </c>
      <c r="D476" s="3" t="str">
        <f>IF('1.1 Produksi Bersih Padi 2025'!D476="","",'1.1 Produksi Bersih Padi 2025'!D476)</f>
        <v/>
      </c>
      <c r="E476" s="3" t="str">
        <f>IF('1.1 Produksi Bersih Padi 2025'!E476="","",'1.1 Produksi Bersih Padi 2025'!E476)</f>
        <v/>
      </c>
      <c r="F476" s="28" t="str">
        <f>IF(D476="","",VLOOKUP(D476,'[1]0.1 Produksi Pangan &amp; Penduduk'!$D$5:$S$860,16,0))</f>
        <v/>
      </c>
      <c r="G476" s="28" t="str">
        <f t="shared" si="42"/>
        <v/>
      </c>
      <c r="H476" s="29" t="str">
        <f t="shared" si="43"/>
        <v/>
      </c>
      <c r="I476" s="29" t="str">
        <f t="shared" si="44"/>
        <v/>
      </c>
      <c r="J476" s="29" t="str">
        <f t="shared" si="45"/>
        <v/>
      </c>
      <c r="K476" s="29" t="str">
        <f t="shared" si="46"/>
        <v/>
      </c>
      <c r="L476" s="29" t="str">
        <f t="shared" si="47"/>
        <v/>
      </c>
      <c r="N476" s="11"/>
    </row>
    <row r="477" spans="1:14" ht="15" x14ac:dyDescent="0.25">
      <c r="A477" s="1" t="str">
        <f>IF('1.1 Produksi Bersih Padi 2025'!A477="","",'1.1 Produksi Bersih Padi 2025'!A477)</f>
        <v/>
      </c>
      <c r="B477" s="2" t="str">
        <f>IF('1.1 Produksi Bersih Padi 2025'!B477="","",'1.1 Produksi Bersih Padi 2025'!B477)</f>
        <v/>
      </c>
      <c r="C477" s="2" t="str">
        <f>IF('1.1 Produksi Bersih Padi 2025'!C477="","",'1.1 Produksi Bersih Padi 2025'!C477)</f>
        <v/>
      </c>
      <c r="D477" s="3" t="str">
        <f>IF('1.1 Produksi Bersih Padi 2025'!D477="","",'1.1 Produksi Bersih Padi 2025'!D477)</f>
        <v/>
      </c>
      <c r="E477" s="3" t="str">
        <f>IF('1.1 Produksi Bersih Padi 2025'!E477="","",'1.1 Produksi Bersih Padi 2025'!E477)</f>
        <v/>
      </c>
      <c r="F477" s="28" t="str">
        <f>IF(D477="","",VLOOKUP(D477,'[1]0.1 Produksi Pangan &amp; Penduduk'!$D$5:$S$860,16,0))</f>
        <v/>
      </c>
      <c r="G477" s="28" t="str">
        <f t="shared" si="42"/>
        <v/>
      </c>
      <c r="H477" s="29" t="str">
        <f t="shared" si="43"/>
        <v/>
      </c>
      <c r="I477" s="29" t="str">
        <f t="shared" si="44"/>
        <v/>
      </c>
      <c r="J477" s="29" t="str">
        <f t="shared" si="45"/>
        <v/>
      </c>
      <c r="K477" s="29" t="str">
        <f t="shared" si="46"/>
        <v/>
      </c>
      <c r="L477" s="29" t="str">
        <f t="shared" si="47"/>
        <v/>
      </c>
      <c r="N477" s="11"/>
    </row>
    <row r="478" spans="1:14" ht="15" x14ac:dyDescent="0.25">
      <c r="A478" s="1" t="str">
        <f>IF('1.1 Produksi Bersih Padi 2025'!A478="","",'1.1 Produksi Bersih Padi 2025'!A478)</f>
        <v/>
      </c>
      <c r="B478" s="2" t="str">
        <f>IF('1.1 Produksi Bersih Padi 2025'!B478="","",'1.1 Produksi Bersih Padi 2025'!B478)</f>
        <v/>
      </c>
      <c r="C478" s="2" t="str">
        <f>IF('1.1 Produksi Bersih Padi 2025'!C478="","",'1.1 Produksi Bersih Padi 2025'!C478)</f>
        <v/>
      </c>
      <c r="D478" s="3" t="str">
        <f>IF('1.1 Produksi Bersih Padi 2025'!D478="","",'1.1 Produksi Bersih Padi 2025'!D478)</f>
        <v/>
      </c>
      <c r="E478" s="3" t="str">
        <f>IF('1.1 Produksi Bersih Padi 2025'!E478="","",'1.1 Produksi Bersih Padi 2025'!E478)</f>
        <v/>
      </c>
      <c r="F478" s="28" t="str">
        <f>IF(D478="","",VLOOKUP(D478,'[1]0.1 Produksi Pangan &amp; Penduduk'!$D$5:$S$860,16,0))</f>
        <v/>
      </c>
      <c r="G478" s="28" t="str">
        <f t="shared" si="42"/>
        <v/>
      </c>
      <c r="H478" s="29" t="str">
        <f t="shared" si="43"/>
        <v/>
      </c>
      <c r="I478" s="29" t="str">
        <f t="shared" si="44"/>
        <v/>
      </c>
      <c r="J478" s="29" t="str">
        <f t="shared" si="45"/>
        <v/>
      </c>
      <c r="K478" s="29" t="str">
        <f t="shared" si="46"/>
        <v/>
      </c>
      <c r="L478" s="29" t="str">
        <f t="shared" si="47"/>
        <v/>
      </c>
      <c r="N478" s="11"/>
    </row>
    <row r="479" spans="1:14" ht="15" x14ac:dyDescent="0.25">
      <c r="A479" s="1" t="str">
        <f>IF('1.1 Produksi Bersih Padi 2025'!A479="","",'1.1 Produksi Bersih Padi 2025'!A479)</f>
        <v/>
      </c>
      <c r="B479" s="2" t="str">
        <f>IF('1.1 Produksi Bersih Padi 2025'!B479="","",'1.1 Produksi Bersih Padi 2025'!B479)</f>
        <v/>
      </c>
      <c r="C479" s="2" t="str">
        <f>IF('1.1 Produksi Bersih Padi 2025'!C479="","",'1.1 Produksi Bersih Padi 2025'!C479)</f>
        <v/>
      </c>
      <c r="D479" s="3" t="str">
        <f>IF('1.1 Produksi Bersih Padi 2025'!D479="","",'1.1 Produksi Bersih Padi 2025'!D479)</f>
        <v/>
      </c>
      <c r="E479" s="3" t="str">
        <f>IF('1.1 Produksi Bersih Padi 2025'!E479="","",'1.1 Produksi Bersih Padi 2025'!E479)</f>
        <v/>
      </c>
      <c r="F479" s="28" t="str">
        <f>IF(D479="","",VLOOKUP(D479,'[1]0.1 Produksi Pangan &amp; Penduduk'!$D$5:$S$860,16,0))</f>
        <v/>
      </c>
      <c r="G479" s="28" t="str">
        <f t="shared" si="42"/>
        <v/>
      </c>
      <c r="H479" s="29" t="str">
        <f t="shared" si="43"/>
        <v/>
      </c>
      <c r="I479" s="29" t="str">
        <f t="shared" si="44"/>
        <v/>
      </c>
      <c r="J479" s="29" t="str">
        <f t="shared" si="45"/>
        <v/>
      </c>
      <c r="K479" s="29" t="str">
        <f t="shared" si="46"/>
        <v/>
      </c>
      <c r="L479" s="29" t="str">
        <f t="shared" si="47"/>
        <v/>
      </c>
      <c r="N479" s="11"/>
    </row>
    <row r="480" spans="1:14" ht="15" x14ac:dyDescent="0.25">
      <c r="A480" s="1" t="str">
        <f>IF('1.1 Produksi Bersih Padi 2025'!A480="","",'1.1 Produksi Bersih Padi 2025'!A480)</f>
        <v/>
      </c>
      <c r="B480" s="2" t="str">
        <f>IF('1.1 Produksi Bersih Padi 2025'!B480="","",'1.1 Produksi Bersih Padi 2025'!B480)</f>
        <v/>
      </c>
      <c r="C480" s="2" t="str">
        <f>IF('1.1 Produksi Bersih Padi 2025'!C480="","",'1.1 Produksi Bersih Padi 2025'!C480)</f>
        <v/>
      </c>
      <c r="D480" s="3" t="str">
        <f>IF('1.1 Produksi Bersih Padi 2025'!D480="","",'1.1 Produksi Bersih Padi 2025'!D480)</f>
        <v/>
      </c>
      <c r="E480" s="3" t="str">
        <f>IF('1.1 Produksi Bersih Padi 2025'!E480="","",'1.1 Produksi Bersih Padi 2025'!E480)</f>
        <v/>
      </c>
      <c r="F480" s="28" t="str">
        <f>IF(D480="","",VLOOKUP(D480,'[1]0.1 Produksi Pangan &amp; Penduduk'!$D$5:$S$860,16,0))</f>
        <v/>
      </c>
      <c r="G480" s="28" t="str">
        <f t="shared" si="42"/>
        <v/>
      </c>
      <c r="H480" s="29" t="str">
        <f t="shared" si="43"/>
        <v/>
      </c>
      <c r="I480" s="29" t="str">
        <f t="shared" si="44"/>
        <v/>
      </c>
      <c r="J480" s="29" t="str">
        <f t="shared" si="45"/>
        <v/>
      </c>
      <c r="K480" s="29" t="str">
        <f t="shared" si="46"/>
        <v/>
      </c>
      <c r="L480" s="29" t="str">
        <f t="shared" si="47"/>
        <v/>
      </c>
      <c r="N480" s="11"/>
    </row>
    <row r="481" spans="1:14" ht="15" x14ac:dyDescent="0.25">
      <c r="A481" s="1" t="str">
        <f>IF('1.1 Produksi Bersih Padi 2025'!A481="","",'1.1 Produksi Bersih Padi 2025'!A481)</f>
        <v/>
      </c>
      <c r="B481" s="2" t="str">
        <f>IF('1.1 Produksi Bersih Padi 2025'!B481="","",'1.1 Produksi Bersih Padi 2025'!B481)</f>
        <v/>
      </c>
      <c r="C481" s="2" t="str">
        <f>IF('1.1 Produksi Bersih Padi 2025'!C481="","",'1.1 Produksi Bersih Padi 2025'!C481)</f>
        <v/>
      </c>
      <c r="D481" s="3" t="str">
        <f>IF('1.1 Produksi Bersih Padi 2025'!D481="","",'1.1 Produksi Bersih Padi 2025'!D481)</f>
        <v/>
      </c>
      <c r="E481" s="3" t="str">
        <f>IF('1.1 Produksi Bersih Padi 2025'!E481="","",'1.1 Produksi Bersih Padi 2025'!E481)</f>
        <v/>
      </c>
      <c r="F481" s="28" t="str">
        <f>IF(D481="","",VLOOKUP(D481,'[1]0.1 Produksi Pangan &amp; Penduduk'!$D$5:$S$860,16,0))</f>
        <v/>
      </c>
      <c r="G481" s="28" t="str">
        <f t="shared" si="42"/>
        <v/>
      </c>
      <c r="H481" s="29" t="str">
        <f t="shared" si="43"/>
        <v/>
      </c>
      <c r="I481" s="29" t="str">
        <f t="shared" si="44"/>
        <v/>
      </c>
      <c r="J481" s="29" t="str">
        <f t="shared" si="45"/>
        <v/>
      </c>
      <c r="K481" s="29" t="str">
        <f t="shared" si="46"/>
        <v/>
      </c>
      <c r="L481" s="29" t="str">
        <f t="shared" si="47"/>
        <v/>
      </c>
      <c r="N481" s="11"/>
    </row>
    <row r="482" spans="1:14" ht="15" x14ac:dyDescent="0.25">
      <c r="A482" s="1" t="str">
        <f>IF('1.1 Produksi Bersih Padi 2025'!A482="","",'1.1 Produksi Bersih Padi 2025'!A482)</f>
        <v/>
      </c>
      <c r="B482" s="2" t="str">
        <f>IF('1.1 Produksi Bersih Padi 2025'!B482="","",'1.1 Produksi Bersih Padi 2025'!B482)</f>
        <v/>
      </c>
      <c r="C482" s="2" t="str">
        <f>IF('1.1 Produksi Bersih Padi 2025'!C482="","",'1.1 Produksi Bersih Padi 2025'!C482)</f>
        <v/>
      </c>
      <c r="D482" s="3" t="str">
        <f>IF('1.1 Produksi Bersih Padi 2025'!D482="","",'1.1 Produksi Bersih Padi 2025'!D482)</f>
        <v/>
      </c>
      <c r="E482" s="3" t="str">
        <f>IF('1.1 Produksi Bersih Padi 2025'!E482="","",'1.1 Produksi Bersih Padi 2025'!E482)</f>
        <v/>
      </c>
      <c r="F482" s="28" t="str">
        <f>IF(D482="","",VLOOKUP(D482,'[1]0.1 Produksi Pangan &amp; Penduduk'!$D$5:$S$860,16,0))</f>
        <v/>
      </c>
      <c r="G482" s="28" t="str">
        <f t="shared" si="42"/>
        <v/>
      </c>
      <c r="H482" s="29" t="str">
        <f t="shared" si="43"/>
        <v/>
      </c>
      <c r="I482" s="29" t="str">
        <f t="shared" si="44"/>
        <v/>
      </c>
      <c r="J482" s="29" t="str">
        <f t="shared" si="45"/>
        <v/>
      </c>
      <c r="K482" s="29" t="str">
        <f t="shared" si="46"/>
        <v/>
      </c>
      <c r="L482" s="29" t="str">
        <f t="shared" si="47"/>
        <v/>
      </c>
      <c r="N482" s="11"/>
    </row>
    <row r="483" spans="1:14" ht="15" x14ac:dyDescent="0.25">
      <c r="A483" s="1" t="str">
        <f>IF('1.1 Produksi Bersih Padi 2025'!A483="","",'1.1 Produksi Bersih Padi 2025'!A483)</f>
        <v/>
      </c>
      <c r="B483" s="2" t="str">
        <f>IF('1.1 Produksi Bersih Padi 2025'!B483="","",'1.1 Produksi Bersih Padi 2025'!B483)</f>
        <v/>
      </c>
      <c r="C483" s="2" t="str">
        <f>IF('1.1 Produksi Bersih Padi 2025'!C483="","",'1.1 Produksi Bersih Padi 2025'!C483)</f>
        <v/>
      </c>
      <c r="D483" s="3" t="str">
        <f>IF('1.1 Produksi Bersih Padi 2025'!D483="","",'1.1 Produksi Bersih Padi 2025'!D483)</f>
        <v/>
      </c>
      <c r="E483" s="3" t="str">
        <f>IF('1.1 Produksi Bersih Padi 2025'!E483="","",'1.1 Produksi Bersih Padi 2025'!E483)</f>
        <v/>
      </c>
      <c r="F483" s="28" t="str">
        <f>IF(D483="","",VLOOKUP(D483,'[1]0.1 Produksi Pangan &amp; Penduduk'!$D$5:$S$860,16,0))</f>
        <v/>
      </c>
      <c r="G483" s="28" t="str">
        <f t="shared" si="42"/>
        <v/>
      </c>
      <c r="H483" s="29" t="str">
        <f t="shared" si="43"/>
        <v/>
      </c>
      <c r="I483" s="29" t="str">
        <f t="shared" si="44"/>
        <v/>
      </c>
      <c r="J483" s="29" t="str">
        <f t="shared" si="45"/>
        <v/>
      </c>
      <c r="K483" s="29" t="str">
        <f t="shared" si="46"/>
        <v/>
      </c>
      <c r="L483" s="29" t="str">
        <f t="shared" si="47"/>
        <v/>
      </c>
      <c r="N483" s="11"/>
    </row>
    <row r="484" spans="1:14" ht="15" x14ac:dyDescent="0.25">
      <c r="A484" s="1" t="str">
        <f>IF('1.1 Produksi Bersih Padi 2025'!A484="","",'1.1 Produksi Bersih Padi 2025'!A484)</f>
        <v/>
      </c>
      <c r="B484" s="2" t="str">
        <f>IF('1.1 Produksi Bersih Padi 2025'!B484="","",'1.1 Produksi Bersih Padi 2025'!B484)</f>
        <v/>
      </c>
      <c r="C484" s="2" t="str">
        <f>IF('1.1 Produksi Bersih Padi 2025'!C484="","",'1.1 Produksi Bersih Padi 2025'!C484)</f>
        <v/>
      </c>
      <c r="D484" s="3" t="str">
        <f>IF('1.1 Produksi Bersih Padi 2025'!D484="","",'1.1 Produksi Bersih Padi 2025'!D484)</f>
        <v/>
      </c>
      <c r="E484" s="3" t="str">
        <f>IF('1.1 Produksi Bersih Padi 2025'!E484="","",'1.1 Produksi Bersih Padi 2025'!E484)</f>
        <v/>
      </c>
      <c r="F484" s="28" t="str">
        <f>IF(D484="","",VLOOKUP(D484,'[1]0.1 Produksi Pangan &amp; Penduduk'!$D$5:$S$860,16,0))</f>
        <v/>
      </c>
      <c r="G484" s="28" t="str">
        <f t="shared" si="42"/>
        <v/>
      </c>
      <c r="H484" s="29" t="str">
        <f t="shared" si="43"/>
        <v/>
      </c>
      <c r="I484" s="29" t="str">
        <f t="shared" si="44"/>
        <v/>
      </c>
      <c r="J484" s="29" t="str">
        <f t="shared" si="45"/>
        <v/>
      </c>
      <c r="K484" s="29" t="str">
        <f t="shared" si="46"/>
        <v/>
      </c>
      <c r="L484" s="29" t="str">
        <f t="shared" si="47"/>
        <v/>
      </c>
      <c r="N484" s="11"/>
    </row>
    <row r="485" spans="1:14" ht="15" x14ac:dyDescent="0.25">
      <c r="A485" s="1" t="str">
        <f>IF('1.1 Produksi Bersih Padi 2025'!A485="","",'1.1 Produksi Bersih Padi 2025'!A485)</f>
        <v/>
      </c>
      <c r="B485" s="2" t="str">
        <f>IF('1.1 Produksi Bersih Padi 2025'!B485="","",'1.1 Produksi Bersih Padi 2025'!B485)</f>
        <v/>
      </c>
      <c r="C485" s="2" t="str">
        <f>IF('1.1 Produksi Bersih Padi 2025'!C485="","",'1.1 Produksi Bersih Padi 2025'!C485)</f>
        <v/>
      </c>
      <c r="D485" s="3" t="str">
        <f>IF('1.1 Produksi Bersih Padi 2025'!D485="","",'1.1 Produksi Bersih Padi 2025'!D485)</f>
        <v/>
      </c>
      <c r="E485" s="3" t="str">
        <f>IF('1.1 Produksi Bersih Padi 2025'!E485="","",'1.1 Produksi Bersih Padi 2025'!E485)</f>
        <v/>
      </c>
      <c r="F485" s="28" t="str">
        <f>IF(D485="","",VLOOKUP(D485,'[1]0.1 Produksi Pangan &amp; Penduduk'!$D$5:$S$860,16,0))</f>
        <v/>
      </c>
      <c r="G485" s="28" t="str">
        <f t="shared" si="42"/>
        <v/>
      </c>
      <c r="H485" s="29" t="str">
        <f t="shared" si="43"/>
        <v/>
      </c>
      <c r="I485" s="29" t="str">
        <f t="shared" si="44"/>
        <v/>
      </c>
      <c r="J485" s="29" t="str">
        <f t="shared" si="45"/>
        <v/>
      </c>
      <c r="K485" s="29" t="str">
        <f t="shared" si="46"/>
        <v/>
      </c>
      <c r="L485" s="29" t="str">
        <f t="shared" si="47"/>
        <v/>
      </c>
      <c r="N485" s="11"/>
    </row>
    <row r="486" spans="1:14" ht="15" x14ac:dyDescent="0.25">
      <c r="A486" s="1" t="str">
        <f>IF('1.1 Produksi Bersih Padi 2025'!A486="","",'1.1 Produksi Bersih Padi 2025'!A486)</f>
        <v/>
      </c>
      <c r="B486" s="2" t="str">
        <f>IF('1.1 Produksi Bersih Padi 2025'!B486="","",'1.1 Produksi Bersih Padi 2025'!B486)</f>
        <v/>
      </c>
      <c r="C486" s="2" t="str">
        <f>IF('1.1 Produksi Bersih Padi 2025'!C486="","",'1.1 Produksi Bersih Padi 2025'!C486)</f>
        <v/>
      </c>
      <c r="D486" s="3" t="str">
        <f>IF('1.1 Produksi Bersih Padi 2025'!D486="","",'1.1 Produksi Bersih Padi 2025'!D486)</f>
        <v/>
      </c>
      <c r="E486" s="3" t="str">
        <f>IF('1.1 Produksi Bersih Padi 2025'!E486="","",'1.1 Produksi Bersih Padi 2025'!E486)</f>
        <v/>
      </c>
      <c r="F486" s="28" t="str">
        <f>IF(D486="","",VLOOKUP(D486,'[1]0.1 Produksi Pangan &amp; Penduduk'!$D$5:$S$860,16,0))</f>
        <v/>
      </c>
      <c r="G486" s="28" t="str">
        <f t="shared" si="42"/>
        <v/>
      </c>
      <c r="H486" s="29" t="str">
        <f t="shared" si="43"/>
        <v/>
      </c>
      <c r="I486" s="29" t="str">
        <f t="shared" si="44"/>
        <v/>
      </c>
      <c r="J486" s="29" t="str">
        <f t="shared" si="45"/>
        <v/>
      </c>
      <c r="K486" s="29" t="str">
        <f t="shared" si="46"/>
        <v/>
      </c>
      <c r="L486" s="29" t="str">
        <f t="shared" si="47"/>
        <v/>
      </c>
      <c r="N486" s="11"/>
    </row>
    <row r="487" spans="1:14" ht="15" x14ac:dyDescent="0.25">
      <c r="A487" s="1" t="str">
        <f>IF('1.1 Produksi Bersih Padi 2025'!A487="","",'1.1 Produksi Bersih Padi 2025'!A487)</f>
        <v/>
      </c>
      <c r="B487" s="2" t="str">
        <f>IF('1.1 Produksi Bersih Padi 2025'!B487="","",'1.1 Produksi Bersih Padi 2025'!B487)</f>
        <v/>
      </c>
      <c r="C487" s="2" t="str">
        <f>IF('1.1 Produksi Bersih Padi 2025'!C487="","",'1.1 Produksi Bersih Padi 2025'!C487)</f>
        <v/>
      </c>
      <c r="D487" s="3" t="str">
        <f>IF('1.1 Produksi Bersih Padi 2025'!D487="","",'1.1 Produksi Bersih Padi 2025'!D487)</f>
        <v/>
      </c>
      <c r="E487" s="3" t="str">
        <f>IF('1.1 Produksi Bersih Padi 2025'!E487="","",'1.1 Produksi Bersih Padi 2025'!E487)</f>
        <v/>
      </c>
      <c r="F487" s="28" t="str">
        <f>IF(D487="","",VLOOKUP(D487,'[1]0.1 Produksi Pangan &amp; Penduduk'!$D$5:$S$860,16,0))</f>
        <v/>
      </c>
      <c r="G487" s="28" t="str">
        <f t="shared" si="42"/>
        <v/>
      </c>
      <c r="H487" s="29" t="str">
        <f t="shared" si="43"/>
        <v/>
      </c>
      <c r="I487" s="29" t="str">
        <f t="shared" si="44"/>
        <v/>
      </c>
      <c r="J487" s="29" t="str">
        <f t="shared" si="45"/>
        <v/>
      </c>
      <c r="K487" s="29" t="str">
        <f t="shared" si="46"/>
        <v/>
      </c>
      <c r="L487" s="29" t="str">
        <f t="shared" si="47"/>
        <v/>
      </c>
      <c r="N487" s="11"/>
    </row>
    <row r="488" spans="1:14" ht="15" x14ac:dyDescent="0.25">
      <c r="A488" s="1" t="str">
        <f>IF('1.1 Produksi Bersih Padi 2025'!A488="","",'1.1 Produksi Bersih Padi 2025'!A488)</f>
        <v/>
      </c>
      <c r="B488" s="2" t="str">
        <f>IF('1.1 Produksi Bersih Padi 2025'!B488="","",'1.1 Produksi Bersih Padi 2025'!B488)</f>
        <v/>
      </c>
      <c r="C488" s="2" t="str">
        <f>IF('1.1 Produksi Bersih Padi 2025'!C488="","",'1.1 Produksi Bersih Padi 2025'!C488)</f>
        <v/>
      </c>
      <c r="D488" s="3" t="str">
        <f>IF('1.1 Produksi Bersih Padi 2025'!D488="","",'1.1 Produksi Bersih Padi 2025'!D488)</f>
        <v/>
      </c>
      <c r="E488" s="3" t="str">
        <f>IF('1.1 Produksi Bersih Padi 2025'!E488="","",'1.1 Produksi Bersih Padi 2025'!E488)</f>
        <v/>
      </c>
      <c r="F488" s="28" t="str">
        <f>IF(D488="","",VLOOKUP(D488,'[1]0.1 Produksi Pangan &amp; Penduduk'!$D$5:$S$860,16,0))</f>
        <v/>
      </c>
      <c r="G488" s="28" t="str">
        <f t="shared" si="42"/>
        <v/>
      </c>
      <c r="H488" s="29" t="str">
        <f t="shared" si="43"/>
        <v/>
      </c>
      <c r="I488" s="29" t="str">
        <f t="shared" si="44"/>
        <v/>
      </c>
      <c r="J488" s="29" t="str">
        <f t="shared" si="45"/>
        <v/>
      </c>
      <c r="K488" s="29" t="str">
        <f t="shared" si="46"/>
        <v/>
      </c>
      <c r="L488" s="29" t="str">
        <f t="shared" si="47"/>
        <v/>
      </c>
      <c r="N488" s="11"/>
    </row>
    <row r="489" spans="1:14" ht="15" x14ac:dyDescent="0.25">
      <c r="A489" s="1" t="str">
        <f>IF('1.1 Produksi Bersih Padi 2025'!A489="","",'1.1 Produksi Bersih Padi 2025'!A489)</f>
        <v/>
      </c>
      <c r="B489" s="2" t="str">
        <f>IF('1.1 Produksi Bersih Padi 2025'!B489="","",'1.1 Produksi Bersih Padi 2025'!B489)</f>
        <v/>
      </c>
      <c r="C489" s="2" t="str">
        <f>IF('1.1 Produksi Bersih Padi 2025'!C489="","",'1.1 Produksi Bersih Padi 2025'!C489)</f>
        <v/>
      </c>
      <c r="D489" s="3" t="str">
        <f>IF('1.1 Produksi Bersih Padi 2025'!D489="","",'1.1 Produksi Bersih Padi 2025'!D489)</f>
        <v/>
      </c>
      <c r="E489" s="3" t="str">
        <f>IF('1.1 Produksi Bersih Padi 2025'!E489="","",'1.1 Produksi Bersih Padi 2025'!E489)</f>
        <v/>
      </c>
      <c r="F489" s="28" t="str">
        <f>IF(D489="","",VLOOKUP(D489,'[1]0.1 Produksi Pangan &amp; Penduduk'!$D$5:$S$860,16,0))</f>
        <v/>
      </c>
      <c r="G489" s="28" t="str">
        <f t="shared" si="42"/>
        <v/>
      </c>
      <c r="H489" s="29" t="str">
        <f t="shared" si="43"/>
        <v/>
      </c>
      <c r="I489" s="29" t="str">
        <f t="shared" si="44"/>
        <v/>
      </c>
      <c r="J489" s="29" t="str">
        <f t="shared" si="45"/>
        <v/>
      </c>
      <c r="K489" s="29" t="str">
        <f t="shared" si="46"/>
        <v/>
      </c>
      <c r="L489" s="29" t="str">
        <f t="shared" si="47"/>
        <v/>
      </c>
      <c r="N489" s="11"/>
    </row>
    <row r="490" spans="1:14" ht="15" x14ac:dyDescent="0.25">
      <c r="A490" s="1" t="str">
        <f>IF('1.1 Produksi Bersih Padi 2025'!A490="","",'1.1 Produksi Bersih Padi 2025'!A490)</f>
        <v/>
      </c>
      <c r="B490" s="2" t="str">
        <f>IF('1.1 Produksi Bersih Padi 2025'!B490="","",'1.1 Produksi Bersih Padi 2025'!B490)</f>
        <v/>
      </c>
      <c r="C490" s="2" t="str">
        <f>IF('1.1 Produksi Bersih Padi 2025'!C490="","",'1.1 Produksi Bersih Padi 2025'!C490)</f>
        <v/>
      </c>
      <c r="D490" s="3" t="str">
        <f>IF('1.1 Produksi Bersih Padi 2025'!D490="","",'1.1 Produksi Bersih Padi 2025'!D490)</f>
        <v/>
      </c>
      <c r="E490" s="3" t="str">
        <f>IF('1.1 Produksi Bersih Padi 2025'!E490="","",'1.1 Produksi Bersih Padi 2025'!E490)</f>
        <v/>
      </c>
      <c r="F490" s="28" t="str">
        <f>IF(D490="","",VLOOKUP(D490,'[1]0.1 Produksi Pangan &amp; Penduduk'!$D$5:$S$860,16,0))</f>
        <v/>
      </c>
      <c r="G490" s="28" t="str">
        <f t="shared" si="42"/>
        <v/>
      </c>
      <c r="H490" s="29" t="str">
        <f t="shared" si="43"/>
        <v/>
      </c>
      <c r="I490" s="29" t="str">
        <f t="shared" si="44"/>
        <v/>
      </c>
      <c r="J490" s="29" t="str">
        <f t="shared" si="45"/>
        <v/>
      </c>
      <c r="K490" s="29" t="str">
        <f t="shared" si="46"/>
        <v/>
      </c>
      <c r="L490" s="29" t="str">
        <f t="shared" si="47"/>
        <v/>
      </c>
      <c r="N490" s="11"/>
    </row>
    <row r="491" spans="1:14" ht="15" x14ac:dyDescent="0.25">
      <c r="A491" s="1" t="str">
        <f>IF('1.1 Produksi Bersih Padi 2025'!A491="","",'1.1 Produksi Bersih Padi 2025'!A491)</f>
        <v/>
      </c>
      <c r="B491" s="2" t="str">
        <f>IF('1.1 Produksi Bersih Padi 2025'!B491="","",'1.1 Produksi Bersih Padi 2025'!B491)</f>
        <v/>
      </c>
      <c r="C491" s="2" t="str">
        <f>IF('1.1 Produksi Bersih Padi 2025'!C491="","",'1.1 Produksi Bersih Padi 2025'!C491)</f>
        <v/>
      </c>
      <c r="D491" s="3" t="str">
        <f>IF('1.1 Produksi Bersih Padi 2025'!D491="","",'1.1 Produksi Bersih Padi 2025'!D491)</f>
        <v/>
      </c>
      <c r="E491" s="3" t="str">
        <f>IF('1.1 Produksi Bersih Padi 2025'!E491="","",'1.1 Produksi Bersih Padi 2025'!E491)</f>
        <v/>
      </c>
      <c r="F491" s="28" t="str">
        <f>IF(D491="","",VLOOKUP(D491,'[1]0.1 Produksi Pangan &amp; Penduduk'!$D$5:$S$860,16,0))</f>
        <v/>
      </c>
      <c r="G491" s="28" t="str">
        <f t="shared" si="42"/>
        <v/>
      </c>
      <c r="H491" s="29" t="str">
        <f t="shared" si="43"/>
        <v/>
      </c>
      <c r="I491" s="29" t="str">
        <f t="shared" si="44"/>
        <v/>
      </c>
      <c r="J491" s="29" t="str">
        <f t="shared" si="45"/>
        <v/>
      </c>
      <c r="K491" s="29" t="str">
        <f t="shared" si="46"/>
        <v/>
      </c>
      <c r="L491" s="29" t="str">
        <f t="shared" si="47"/>
        <v/>
      </c>
      <c r="N491" s="11"/>
    </row>
    <row r="492" spans="1:14" ht="15" x14ac:dyDescent="0.25">
      <c r="A492" s="1" t="str">
        <f>IF('1.1 Produksi Bersih Padi 2025'!A492="","",'1.1 Produksi Bersih Padi 2025'!A492)</f>
        <v/>
      </c>
      <c r="B492" s="2" t="str">
        <f>IF('1.1 Produksi Bersih Padi 2025'!B492="","",'1.1 Produksi Bersih Padi 2025'!B492)</f>
        <v/>
      </c>
      <c r="C492" s="2" t="str">
        <f>IF('1.1 Produksi Bersih Padi 2025'!C492="","",'1.1 Produksi Bersih Padi 2025'!C492)</f>
        <v/>
      </c>
      <c r="D492" s="3" t="str">
        <f>IF('1.1 Produksi Bersih Padi 2025'!D492="","",'1.1 Produksi Bersih Padi 2025'!D492)</f>
        <v/>
      </c>
      <c r="E492" s="3" t="str">
        <f>IF('1.1 Produksi Bersih Padi 2025'!E492="","",'1.1 Produksi Bersih Padi 2025'!E492)</f>
        <v/>
      </c>
      <c r="F492" s="28" t="str">
        <f>IF(D492="","",VLOOKUP(D492,'[1]0.1 Produksi Pangan &amp; Penduduk'!$D$5:$S$860,16,0))</f>
        <v/>
      </c>
      <c r="G492" s="28" t="str">
        <f t="shared" si="42"/>
        <v/>
      </c>
      <c r="H492" s="29" t="str">
        <f t="shared" si="43"/>
        <v/>
      </c>
      <c r="I492" s="29" t="str">
        <f t="shared" si="44"/>
        <v/>
      </c>
      <c r="J492" s="29" t="str">
        <f t="shared" si="45"/>
        <v/>
      </c>
      <c r="K492" s="29" t="str">
        <f t="shared" si="46"/>
        <v/>
      </c>
      <c r="L492" s="29" t="str">
        <f t="shared" si="47"/>
        <v/>
      </c>
      <c r="N492" s="11"/>
    </row>
    <row r="493" spans="1:14" ht="15" x14ac:dyDescent="0.25">
      <c r="A493" s="1" t="str">
        <f>IF('1.1 Produksi Bersih Padi 2025'!A493="","",'1.1 Produksi Bersih Padi 2025'!A493)</f>
        <v/>
      </c>
      <c r="B493" s="2" t="str">
        <f>IF('1.1 Produksi Bersih Padi 2025'!B493="","",'1.1 Produksi Bersih Padi 2025'!B493)</f>
        <v/>
      </c>
      <c r="C493" s="2" t="str">
        <f>IF('1.1 Produksi Bersih Padi 2025'!C493="","",'1.1 Produksi Bersih Padi 2025'!C493)</f>
        <v/>
      </c>
      <c r="D493" s="3" t="str">
        <f>IF('1.1 Produksi Bersih Padi 2025'!D493="","",'1.1 Produksi Bersih Padi 2025'!D493)</f>
        <v/>
      </c>
      <c r="E493" s="3" t="str">
        <f>IF('1.1 Produksi Bersih Padi 2025'!E493="","",'1.1 Produksi Bersih Padi 2025'!E493)</f>
        <v/>
      </c>
      <c r="F493" s="28" t="str">
        <f>IF(D493="","",VLOOKUP(D493,'[1]0.1 Produksi Pangan &amp; Penduduk'!$D$5:$S$860,16,0))</f>
        <v/>
      </c>
      <c r="G493" s="28" t="str">
        <f t="shared" si="42"/>
        <v/>
      </c>
      <c r="H493" s="29" t="str">
        <f t="shared" si="43"/>
        <v/>
      </c>
      <c r="I493" s="29" t="str">
        <f t="shared" si="44"/>
        <v/>
      </c>
      <c r="J493" s="29" t="str">
        <f t="shared" si="45"/>
        <v/>
      </c>
      <c r="K493" s="29" t="str">
        <f t="shared" si="46"/>
        <v/>
      </c>
      <c r="L493" s="29" t="str">
        <f t="shared" si="47"/>
        <v/>
      </c>
      <c r="N493" s="11"/>
    </row>
    <row r="494" spans="1:14" ht="15" x14ac:dyDescent="0.25">
      <c r="A494" s="1" t="str">
        <f>IF('1.1 Produksi Bersih Padi 2025'!A494="","",'1.1 Produksi Bersih Padi 2025'!A494)</f>
        <v/>
      </c>
      <c r="B494" s="2" t="str">
        <f>IF('1.1 Produksi Bersih Padi 2025'!B494="","",'1.1 Produksi Bersih Padi 2025'!B494)</f>
        <v/>
      </c>
      <c r="C494" s="2" t="str">
        <f>IF('1.1 Produksi Bersih Padi 2025'!C494="","",'1.1 Produksi Bersih Padi 2025'!C494)</f>
        <v/>
      </c>
      <c r="D494" s="3" t="str">
        <f>IF('1.1 Produksi Bersih Padi 2025'!D494="","",'1.1 Produksi Bersih Padi 2025'!D494)</f>
        <v/>
      </c>
      <c r="E494" s="3" t="str">
        <f>IF('1.1 Produksi Bersih Padi 2025'!E494="","",'1.1 Produksi Bersih Padi 2025'!E494)</f>
        <v/>
      </c>
      <c r="F494" s="28" t="str">
        <f>IF(D494="","",VLOOKUP(D494,'[1]0.1 Produksi Pangan &amp; Penduduk'!$D$5:$S$860,16,0))</f>
        <v/>
      </c>
      <c r="G494" s="28" t="str">
        <f t="shared" si="42"/>
        <v/>
      </c>
      <c r="H494" s="29" t="str">
        <f t="shared" si="43"/>
        <v/>
      </c>
      <c r="I494" s="29" t="str">
        <f t="shared" si="44"/>
        <v/>
      </c>
      <c r="J494" s="29" t="str">
        <f t="shared" si="45"/>
        <v/>
      </c>
      <c r="K494" s="29" t="str">
        <f t="shared" si="46"/>
        <v/>
      </c>
      <c r="L494" s="29" t="str">
        <f t="shared" si="47"/>
        <v/>
      </c>
      <c r="N494" s="11"/>
    </row>
    <row r="495" spans="1:14" ht="15" x14ac:dyDescent="0.25">
      <c r="A495" s="1" t="str">
        <f>IF('1.1 Produksi Bersih Padi 2025'!A495="","",'1.1 Produksi Bersih Padi 2025'!A495)</f>
        <v/>
      </c>
      <c r="B495" s="2" t="str">
        <f>IF('1.1 Produksi Bersih Padi 2025'!B495="","",'1.1 Produksi Bersih Padi 2025'!B495)</f>
        <v/>
      </c>
      <c r="C495" s="2" t="str">
        <f>IF('1.1 Produksi Bersih Padi 2025'!C495="","",'1.1 Produksi Bersih Padi 2025'!C495)</f>
        <v/>
      </c>
      <c r="D495" s="3" t="str">
        <f>IF('1.1 Produksi Bersih Padi 2025'!D495="","",'1.1 Produksi Bersih Padi 2025'!D495)</f>
        <v/>
      </c>
      <c r="E495" s="3" t="str">
        <f>IF('1.1 Produksi Bersih Padi 2025'!E495="","",'1.1 Produksi Bersih Padi 2025'!E495)</f>
        <v/>
      </c>
      <c r="F495" s="28" t="str">
        <f>IF(D495="","",VLOOKUP(D495,'[1]0.1 Produksi Pangan &amp; Penduduk'!$D$5:$S$860,16,0))</f>
        <v/>
      </c>
      <c r="G495" s="28" t="str">
        <f t="shared" si="42"/>
        <v/>
      </c>
      <c r="H495" s="29" t="str">
        <f t="shared" si="43"/>
        <v/>
      </c>
      <c r="I495" s="29" t="str">
        <f t="shared" si="44"/>
        <v/>
      </c>
      <c r="J495" s="29" t="str">
        <f t="shared" si="45"/>
        <v/>
      </c>
      <c r="K495" s="29" t="str">
        <f t="shared" si="46"/>
        <v/>
      </c>
      <c r="L495" s="29" t="str">
        <f t="shared" si="47"/>
        <v/>
      </c>
      <c r="N495" s="11"/>
    </row>
    <row r="496" spans="1:14" ht="15" x14ac:dyDescent="0.25">
      <c r="A496" s="1" t="str">
        <f>IF('1.1 Produksi Bersih Padi 2025'!A496="","",'1.1 Produksi Bersih Padi 2025'!A496)</f>
        <v/>
      </c>
      <c r="B496" s="2" t="str">
        <f>IF('1.1 Produksi Bersih Padi 2025'!B496="","",'1.1 Produksi Bersih Padi 2025'!B496)</f>
        <v/>
      </c>
      <c r="C496" s="2" t="str">
        <f>IF('1.1 Produksi Bersih Padi 2025'!C496="","",'1.1 Produksi Bersih Padi 2025'!C496)</f>
        <v/>
      </c>
      <c r="D496" s="3" t="str">
        <f>IF('1.1 Produksi Bersih Padi 2025'!D496="","",'1.1 Produksi Bersih Padi 2025'!D496)</f>
        <v/>
      </c>
      <c r="E496" s="3" t="str">
        <f>IF('1.1 Produksi Bersih Padi 2025'!E496="","",'1.1 Produksi Bersih Padi 2025'!E496)</f>
        <v/>
      </c>
      <c r="F496" s="28" t="str">
        <f>IF(D496="","",VLOOKUP(D496,'[1]0.1 Produksi Pangan &amp; Penduduk'!$D$5:$S$860,16,0))</f>
        <v/>
      </c>
      <c r="G496" s="28" t="str">
        <f t="shared" si="42"/>
        <v/>
      </c>
      <c r="H496" s="29" t="str">
        <f t="shared" si="43"/>
        <v/>
      </c>
      <c r="I496" s="29" t="str">
        <f t="shared" si="44"/>
        <v/>
      </c>
      <c r="J496" s="29" t="str">
        <f t="shared" si="45"/>
        <v/>
      </c>
      <c r="K496" s="29" t="str">
        <f t="shared" si="46"/>
        <v/>
      </c>
      <c r="L496" s="29" t="str">
        <f t="shared" si="47"/>
        <v/>
      </c>
      <c r="N496" s="11"/>
    </row>
    <row r="497" spans="1:14" ht="15" x14ac:dyDescent="0.25">
      <c r="A497" s="1" t="str">
        <f>IF('1.1 Produksi Bersih Padi 2025'!A497="","",'1.1 Produksi Bersih Padi 2025'!A497)</f>
        <v/>
      </c>
      <c r="B497" s="2" t="str">
        <f>IF('1.1 Produksi Bersih Padi 2025'!B497="","",'1.1 Produksi Bersih Padi 2025'!B497)</f>
        <v/>
      </c>
      <c r="C497" s="2" t="str">
        <f>IF('1.1 Produksi Bersih Padi 2025'!C497="","",'1.1 Produksi Bersih Padi 2025'!C497)</f>
        <v/>
      </c>
      <c r="D497" s="3" t="str">
        <f>IF('1.1 Produksi Bersih Padi 2025'!D497="","",'1.1 Produksi Bersih Padi 2025'!D497)</f>
        <v/>
      </c>
      <c r="E497" s="3" t="str">
        <f>IF('1.1 Produksi Bersih Padi 2025'!E497="","",'1.1 Produksi Bersih Padi 2025'!E497)</f>
        <v/>
      </c>
      <c r="F497" s="28" t="str">
        <f>IF(D497="","",VLOOKUP(D497,'[1]0.1 Produksi Pangan &amp; Penduduk'!$D$5:$S$860,16,0))</f>
        <v/>
      </c>
      <c r="G497" s="28" t="str">
        <f t="shared" si="42"/>
        <v/>
      </c>
      <c r="H497" s="29" t="str">
        <f t="shared" si="43"/>
        <v/>
      </c>
      <c r="I497" s="29" t="str">
        <f t="shared" si="44"/>
        <v/>
      </c>
      <c r="J497" s="29" t="str">
        <f t="shared" si="45"/>
        <v/>
      </c>
      <c r="K497" s="29" t="str">
        <f t="shared" si="46"/>
        <v/>
      </c>
      <c r="L497" s="29" t="str">
        <f t="shared" si="47"/>
        <v/>
      </c>
      <c r="N497" s="11"/>
    </row>
    <row r="498" spans="1:14" ht="15" x14ac:dyDescent="0.25">
      <c r="A498" s="1" t="str">
        <f>IF('1.1 Produksi Bersih Padi 2025'!A498="","",'1.1 Produksi Bersih Padi 2025'!A498)</f>
        <v/>
      </c>
      <c r="B498" s="2" t="str">
        <f>IF('1.1 Produksi Bersih Padi 2025'!B498="","",'1.1 Produksi Bersih Padi 2025'!B498)</f>
        <v/>
      </c>
      <c r="C498" s="2" t="str">
        <f>IF('1.1 Produksi Bersih Padi 2025'!C498="","",'1.1 Produksi Bersih Padi 2025'!C498)</f>
        <v/>
      </c>
      <c r="D498" s="3" t="str">
        <f>IF('1.1 Produksi Bersih Padi 2025'!D498="","",'1.1 Produksi Bersih Padi 2025'!D498)</f>
        <v/>
      </c>
      <c r="E498" s="3" t="str">
        <f>IF('1.1 Produksi Bersih Padi 2025'!E498="","",'1.1 Produksi Bersih Padi 2025'!E498)</f>
        <v/>
      </c>
      <c r="F498" s="28" t="str">
        <f>IF(D498="","",VLOOKUP(D498,'[1]0.1 Produksi Pangan &amp; Penduduk'!$D$5:$S$860,16,0))</f>
        <v/>
      </c>
      <c r="G498" s="28" t="str">
        <f t="shared" si="42"/>
        <v/>
      </c>
      <c r="H498" s="29" t="str">
        <f t="shared" si="43"/>
        <v/>
      </c>
      <c r="I498" s="29" t="str">
        <f t="shared" si="44"/>
        <v/>
      </c>
      <c r="J498" s="29" t="str">
        <f t="shared" si="45"/>
        <v/>
      </c>
      <c r="K498" s="29" t="str">
        <f t="shared" si="46"/>
        <v/>
      </c>
      <c r="L498" s="29" t="str">
        <f t="shared" si="47"/>
        <v/>
      </c>
      <c r="N498" s="11"/>
    </row>
    <row r="499" spans="1:14" ht="15" x14ac:dyDescent="0.25">
      <c r="A499" s="1" t="str">
        <f>IF('1.1 Produksi Bersih Padi 2025'!A499="","",'1.1 Produksi Bersih Padi 2025'!A499)</f>
        <v/>
      </c>
      <c r="B499" s="2" t="str">
        <f>IF('1.1 Produksi Bersih Padi 2025'!B499="","",'1.1 Produksi Bersih Padi 2025'!B499)</f>
        <v/>
      </c>
      <c r="C499" s="2" t="str">
        <f>IF('1.1 Produksi Bersih Padi 2025'!C499="","",'1.1 Produksi Bersih Padi 2025'!C499)</f>
        <v/>
      </c>
      <c r="D499" s="3" t="str">
        <f>IF('1.1 Produksi Bersih Padi 2025'!D499="","",'1.1 Produksi Bersih Padi 2025'!D499)</f>
        <v/>
      </c>
      <c r="E499" s="3" t="str">
        <f>IF('1.1 Produksi Bersih Padi 2025'!E499="","",'1.1 Produksi Bersih Padi 2025'!E499)</f>
        <v/>
      </c>
      <c r="F499" s="28" t="str">
        <f>IF(D499="","",VLOOKUP(D499,'[1]0.1 Produksi Pangan &amp; Penduduk'!$D$5:$S$860,16,0))</f>
        <v/>
      </c>
      <c r="G499" s="28" t="str">
        <f t="shared" si="42"/>
        <v/>
      </c>
      <c r="H499" s="29" t="str">
        <f t="shared" si="43"/>
        <v/>
      </c>
      <c r="I499" s="29" t="str">
        <f t="shared" si="44"/>
        <v/>
      </c>
      <c r="J499" s="29" t="str">
        <f t="shared" si="45"/>
        <v/>
      </c>
      <c r="K499" s="29" t="str">
        <f t="shared" si="46"/>
        <v/>
      </c>
      <c r="L499" s="29" t="str">
        <f t="shared" si="47"/>
        <v/>
      </c>
      <c r="N499" s="11"/>
    </row>
    <row r="500" spans="1:14" ht="15" x14ac:dyDescent="0.25">
      <c r="A500" s="1" t="str">
        <f>IF('1.1 Produksi Bersih Padi 2025'!A500="","",'1.1 Produksi Bersih Padi 2025'!A500)</f>
        <v/>
      </c>
      <c r="B500" s="2" t="str">
        <f>IF('1.1 Produksi Bersih Padi 2025'!B500="","",'1.1 Produksi Bersih Padi 2025'!B500)</f>
        <v/>
      </c>
      <c r="C500" s="2" t="str">
        <f>IF('1.1 Produksi Bersih Padi 2025'!C500="","",'1.1 Produksi Bersih Padi 2025'!C500)</f>
        <v/>
      </c>
      <c r="D500" s="3" t="str">
        <f>IF('1.1 Produksi Bersih Padi 2025'!D500="","",'1.1 Produksi Bersih Padi 2025'!D500)</f>
        <v/>
      </c>
      <c r="E500" s="3" t="str">
        <f>IF('1.1 Produksi Bersih Padi 2025'!E500="","",'1.1 Produksi Bersih Padi 2025'!E500)</f>
        <v/>
      </c>
      <c r="F500" s="28" t="str">
        <f>IF(D500="","",VLOOKUP(D500,'[1]0.1 Produksi Pangan &amp; Penduduk'!$D$5:$S$860,16,0))</f>
        <v/>
      </c>
      <c r="G500" s="28" t="str">
        <f t="shared" si="42"/>
        <v/>
      </c>
      <c r="H500" s="29" t="str">
        <f t="shared" si="43"/>
        <v/>
      </c>
      <c r="I500" s="29" t="str">
        <f t="shared" si="44"/>
        <v/>
      </c>
      <c r="J500" s="29" t="str">
        <f t="shared" si="45"/>
        <v/>
      </c>
      <c r="K500" s="29" t="str">
        <f t="shared" si="46"/>
        <v/>
      </c>
      <c r="L500" s="29" t="str">
        <f t="shared" si="47"/>
        <v/>
      </c>
      <c r="N500" s="11"/>
    </row>
    <row r="501" spans="1:14" ht="15" x14ac:dyDescent="0.25">
      <c r="A501" s="1" t="str">
        <f>IF('1.1 Produksi Bersih Padi 2025'!A501="","",'1.1 Produksi Bersih Padi 2025'!A501)</f>
        <v/>
      </c>
      <c r="B501" s="2" t="str">
        <f>IF('1.1 Produksi Bersih Padi 2025'!B501="","",'1.1 Produksi Bersih Padi 2025'!B501)</f>
        <v/>
      </c>
      <c r="C501" s="2" t="str">
        <f>IF('1.1 Produksi Bersih Padi 2025'!C501="","",'1.1 Produksi Bersih Padi 2025'!C501)</f>
        <v/>
      </c>
      <c r="D501" s="3" t="str">
        <f>IF('1.1 Produksi Bersih Padi 2025'!D501="","",'1.1 Produksi Bersih Padi 2025'!D501)</f>
        <v/>
      </c>
      <c r="E501" s="3" t="str">
        <f>IF('1.1 Produksi Bersih Padi 2025'!E501="","",'1.1 Produksi Bersih Padi 2025'!E501)</f>
        <v/>
      </c>
      <c r="F501" s="28" t="str">
        <f>IF(D501="","",VLOOKUP(D501,'[1]0.1 Produksi Pangan &amp; Penduduk'!$D$5:$S$860,16,0))</f>
        <v/>
      </c>
      <c r="G501" s="28" t="str">
        <f t="shared" si="42"/>
        <v/>
      </c>
      <c r="H501" s="29" t="str">
        <f t="shared" si="43"/>
        <v/>
      </c>
      <c r="I501" s="29" t="str">
        <f t="shared" si="44"/>
        <v/>
      </c>
      <c r="J501" s="29" t="str">
        <f t="shared" si="45"/>
        <v/>
      </c>
      <c r="K501" s="29" t="str">
        <f t="shared" si="46"/>
        <v/>
      </c>
      <c r="L501" s="29" t="str">
        <f t="shared" si="47"/>
        <v/>
      </c>
      <c r="N501" s="11"/>
    </row>
    <row r="502" spans="1:14" ht="15" x14ac:dyDescent="0.25">
      <c r="A502" s="1" t="str">
        <f>IF('1.1 Produksi Bersih Padi 2025'!A502="","",'1.1 Produksi Bersih Padi 2025'!A502)</f>
        <v/>
      </c>
      <c r="B502" s="2" t="str">
        <f>IF('1.1 Produksi Bersih Padi 2025'!B502="","",'1.1 Produksi Bersih Padi 2025'!B502)</f>
        <v/>
      </c>
      <c r="C502" s="2" t="str">
        <f>IF('1.1 Produksi Bersih Padi 2025'!C502="","",'1.1 Produksi Bersih Padi 2025'!C502)</f>
        <v/>
      </c>
      <c r="D502" s="3" t="str">
        <f>IF('1.1 Produksi Bersih Padi 2025'!D502="","",'1.1 Produksi Bersih Padi 2025'!D502)</f>
        <v/>
      </c>
      <c r="E502" s="3" t="str">
        <f>IF('1.1 Produksi Bersih Padi 2025'!E502="","",'1.1 Produksi Bersih Padi 2025'!E502)</f>
        <v/>
      </c>
      <c r="F502" s="28" t="str">
        <f>IF(D502="","",VLOOKUP(D502,'[1]0.1 Produksi Pangan &amp; Penduduk'!$D$5:$S$860,16,0))</f>
        <v/>
      </c>
      <c r="G502" s="28" t="str">
        <f t="shared" si="42"/>
        <v/>
      </c>
      <c r="H502" s="29" t="str">
        <f t="shared" si="43"/>
        <v/>
      </c>
      <c r="I502" s="29" t="str">
        <f t="shared" si="44"/>
        <v/>
      </c>
      <c r="J502" s="29" t="str">
        <f t="shared" si="45"/>
        <v/>
      </c>
      <c r="K502" s="29" t="str">
        <f t="shared" si="46"/>
        <v/>
      </c>
      <c r="L502" s="29" t="str">
        <f t="shared" si="47"/>
        <v/>
      </c>
      <c r="N502" s="11"/>
    </row>
    <row r="503" spans="1:14" ht="15" x14ac:dyDescent="0.25">
      <c r="A503" s="1" t="str">
        <f>IF('1.1 Produksi Bersih Padi 2025'!A503="","",'1.1 Produksi Bersih Padi 2025'!A503)</f>
        <v/>
      </c>
      <c r="B503" s="2" t="str">
        <f>IF('1.1 Produksi Bersih Padi 2025'!B503="","",'1.1 Produksi Bersih Padi 2025'!B503)</f>
        <v/>
      </c>
      <c r="C503" s="2" t="str">
        <f>IF('1.1 Produksi Bersih Padi 2025'!C503="","",'1.1 Produksi Bersih Padi 2025'!C503)</f>
        <v/>
      </c>
      <c r="D503" s="3" t="str">
        <f>IF('1.1 Produksi Bersih Padi 2025'!D503="","",'1.1 Produksi Bersih Padi 2025'!D503)</f>
        <v/>
      </c>
      <c r="E503" s="3" t="str">
        <f>IF('1.1 Produksi Bersih Padi 2025'!E503="","",'1.1 Produksi Bersih Padi 2025'!E503)</f>
        <v/>
      </c>
      <c r="F503" s="28" t="str">
        <f>IF(D503="","",VLOOKUP(D503,'[1]0.1 Produksi Pangan &amp; Penduduk'!$D$5:$S$860,16,0))</f>
        <v/>
      </c>
      <c r="G503" s="28" t="str">
        <f t="shared" si="42"/>
        <v/>
      </c>
      <c r="H503" s="29" t="str">
        <f t="shared" si="43"/>
        <v/>
      </c>
      <c r="I503" s="29" t="str">
        <f t="shared" si="44"/>
        <v/>
      </c>
      <c r="J503" s="29" t="str">
        <f t="shared" si="45"/>
        <v/>
      </c>
      <c r="K503" s="29" t="str">
        <f t="shared" si="46"/>
        <v/>
      </c>
      <c r="L503" s="29" t="str">
        <f t="shared" si="47"/>
        <v/>
      </c>
      <c r="N503" s="11"/>
    </row>
    <row r="504" spans="1:14" ht="15" x14ac:dyDescent="0.25">
      <c r="A504" s="1" t="str">
        <f>IF('1.1 Produksi Bersih Padi 2025'!A504="","",'1.1 Produksi Bersih Padi 2025'!A504)</f>
        <v/>
      </c>
      <c r="B504" s="2" t="str">
        <f>IF('1.1 Produksi Bersih Padi 2025'!B504="","",'1.1 Produksi Bersih Padi 2025'!B504)</f>
        <v/>
      </c>
      <c r="C504" s="2" t="str">
        <f>IF('1.1 Produksi Bersih Padi 2025'!C504="","",'1.1 Produksi Bersih Padi 2025'!C504)</f>
        <v/>
      </c>
      <c r="D504" s="3" t="str">
        <f>IF('1.1 Produksi Bersih Padi 2025'!D504="","",'1.1 Produksi Bersih Padi 2025'!D504)</f>
        <v/>
      </c>
      <c r="E504" s="3" t="str">
        <f>IF('1.1 Produksi Bersih Padi 2025'!E504="","",'1.1 Produksi Bersih Padi 2025'!E504)</f>
        <v/>
      </c>
      <c r="F504" s="28" t="str">
        <f>IF(D504="","",VLOOKUP(D504,'[1]0.1 Produksi Pangan &amp; Penduduk'!$D$5:$S$860,16,0))</f>
        <v/>
      </c>
      <c r="G504" s="28" t="str">
        <f t="shared" si="42"/>
        <v/>
      </c>
      <c r="H504" s="29" t="str">
        <f t="shared" si="43"/>
        <v/>
      </c>
      <c r="I504" s="29" t="str">
        <f t="shared" si="44"/>
        <v/>
      </c>
      <c r="J504" s="29" t="str">
        <f t="shared" si="45"/>
        <v/>
      </c>
      <c r="K504" s="29" t="str">
        <f t="shared" si="46"/>
        <v/>
      </c>
      <c r="L504" s="29" t="str">
        <f t="shared" si="47"/>
        <v/>
      </c>
      <c r="N504" s="11"/>
    </row>
    <row r="505" spans="1:14" ht="15" x14ac:dyDescent="0.25">
      <c r="A505" s="1" t="str">
        <f>IF('1.1 Produksi Bersih Padi 2025'!A505="","",'1.1 Produksi Bersih Padi 2025'!A505)</f>
        <v/>
      </c>
      <c r="B505" s="2" t="str">
        <f>IF('1.1 Produksi Bersih Padi 2025'!B505="","",'1.1 Produksi Bersih Padi 2025'!B505)</f>
        <v/>
      </c>
      <c r="C505" s="2" t="str">
        <f>IF('1.1 Produksi Bersih Padi 2025'!C505="","",'1.1 Produksi Bersih Padi 2025'!C505)</f>
        <v/>
      </c>
      <c r="D505" s="3" t="str">
        <f>IF('1.1 Produksi Bersih Padi 2025'!D505="","",'1.1 Produksi Bersih Padi 2025'!D505)</f>
        <v/>
      </c>
      <c r="E505" s="3" t="str">
        <f>IF('1.1 Produksi Bersih Padi 2025'!E505="","",'1.1 Produksi Bersih Padi 2025'!E505)</f>
        <v/>
      </c>
      <c r="F505" s="28" t="str">
        <f>IF(D505="","",VLOOKUP(D505,'[1]0.1 Produksi Pangan &amp; Penduduk'!$D$5:$S$860,16,0))</f>
        <v/>
      </c>
      <c r="G505" s="28" t="str">
        <f t="shared" si="42"/>
        <v/>
      </c>
      <c r="H505" s="29" t="str">
        <f t="shared" si="43"/>
        <v/>
      </c>
      <c r="I505" s="29" t="str">
        <f t="shared" si="44"/>
        <v/>
      </c>
      <c r="J505" s="29" t="str">
        <f t="shared" si="45"/>
        <v/>
      </c>
      <c r="K505" s="29" t="str">
        <f t="shared" si="46"/>
        <v/>
      </c>
      <c r="L505" s="29" t="str">
        <f t="shared" si="47"/>
        <v/>
      </c>
      <c r="N505" s="11"/>
    </row>
    <row r="506" spans="1:14" ht="15" x14ac:dyDescent="0.25">
      <c r="A506" s="1" t="str">
        <f>IF('1.1 Produksi Bersih Padi 2025'!A506="","",'1.1 Produksi Bersih Padi 2025'!A506)</f>
        <v/>
      </c>
      <c r="B506" s="2" t="str">
        <f>IF('1.1 Produksi Bersih Padi 2025'!B506="","",'1.1 Produksi Bersih Padi 2025'!B506)</f>
        <v/>
      </c>
      <c r="C506" s="2" t="str">
        <f>IF('1.1 Produksi Bersih Padi 2025'!C506="","",'1.1 Produksi Bersih Padi 2025'!C506)</f>
        <v/>
      </c>
      <c r="D506" s="3" t="str">
        <f>IF('1.1 Produksi Bersih Padi 2025'!D506="","",'1.1 Produksi Bersih Padi 2025'!D506)</f>
        <v/>
      </c>
      <c r="E506" s="3" t="str">
        <f>IF('1.1 Produksi Bersih Padi 2025'!E506="","",'1.1 Produksi Bersih Padi 2025'!E506)</f>
        <v/>
      </c>
      <c r="F506" s="28" t="str">
        <f>IF(D506="","",VLOOKUP(D506,'[1]0.1 Produksi Pangan &amp; Penduduk'!$D$5:$S$860,16,0))</f>
        <v/>
      </c>
      <c r="G506" s="28" t="str">
        <f t="shared" si="42"/>
        <v/>
      </c>
      <c r="H506" s="29" t="str">
        <f t="shared" si="43"/>
        <v/>
      </c>
      <c r="I506" s="29" t="str">
        <f t="shared" si="44"/>
        <v/>
      </c>
      <c r="J506" s="29" t="str">
        <f t="shared" si="45"/>
        <v/>
      </c>
      <c r="K506" s="29" t="str">
        <f t="shared" si="46"/>
        <v/>
      </c>
      <c r="L506" s="29" t="str">
        <f t="shared" si="47"/>
        <v/>
      </c>
      <c r="N506" s="11"/>
    </row>
    <row r="507" spans="1:14" ht="15" x14ac:dyDescent="0.25">
      <c r="A507" s="1" t="str">
        <f>IF('1.1 Produksi Bersih Padi 2025'!A507="","",'1.1 Produksi Bersih Padi 2025'!A507)</f>
        <v/>
      </c>
      <c r="B507" s="2" t="str">
        <f>IF('1.1 Produksi Bersih Padi 2025'!B507="","",'1.1 Produksi Bersih Padi 2025'!B507)</f>
        <v/>
      </c>
      <c r="C507" s="2" t="str">
        <f>IF('1.1 Produksi Bersih Padi 2025'!C507="","",'1.1 Produksi Bersih Padi 2025'!C507)</f>
        <v/>
      </c>
      <c r="D507" s="3" t="str">
        <f>IF('1.1 Produksi Bersih Padi 2025'!D507="","",'1.1 Produksi Bersih Padi 2025'!D507)</f>
        <v/>
      </c>
      <c r="E507" s="3" t="str">
        <f>IF('1.1 Produksi Bersih Padi 2025'!E507="","",'1.1 Produksi Bersih Padi 2025'!E507)</f>
        <v/>
      </c>
      <c r="F507" s="28" t="str">
        <f>IF(D507="","",VLOOKUP(D507,'[1]0.1 Produksi Pangan &amp; Penduduk'!$D$5:$S$860,16,0))</f>
        <v/>
      </c>
      <c r="G507" s="28" t="str">
        <f t="shared" si="42"/>
        <v/>
      </c>
      <c r="H507" s="29" t="str">
        <f t="shared" si="43"/>
        <v/>
      </c>
      <c r="I507" s="29" t="str">
        <f t="shared" si="44"/>
        <v/>
      </c>
      <c r="J507" s="29" t="str">
        <f t="shared" si="45"/>
        <v/>
      </c>
      <c r="K507" s="29" t="str">
        <f t="shared" si="46"/>
        <v/>
      </c>
      <c r="L507" s="29" t="str">
        <f t="shared" si="47"/>
        <v/>
      </c>
      <c r="N507" s="11"/>
    </row>
    <row r="508" spans="1:14" ht="15" x14ac:dyDescent="0.25">
      <c r="A508" s="1" t="str">
        <f>IF('1.1 Produksi Bersih Padi 2025'!A508="","",'1.1 Produksi Bersih Padi 2025'!A508)</f>
        <v/>
      </c>
      <c r="B508" s="2" t="str">
        <f>IF('1.1 Produksi Bersih Padi 2025'!B508="","",'1.1 Produksi Bersih Padi 2025'!B508)</f>
        <v/>
      </c>
      <c r="C508" s="2" t="str">
        <f>IF('1.1 Produksi Bersih Padi 2025'!C508="","",'1.1 Produksi Bersih Padi 2025'!C508)</f>
        <v/>
      </c>
      <c r="D508" s="3" t="str">
        <f>IF('1.1 Produksi Bersih Padi 2025'!D508="","",'1.1 Produksi Bersih Padi 2025'!D508)</f>
        <v/>
      </c>
      <c r="E508" s="3" t="str">
        <f>IF('1.1 Produksi Bersih Padi 2025'!E508="","",'1.1 Produksi Bersih Padi 2025'!E508)</f>
        <v/>
      </c>
      <c r="F508" s="28" t="str">
        <f>IF(D508="","",VLOOKUP(D508,'[1]0.1 Produksi Pangan &amp; Penduduk'!$D$5:$S$860,16,0))</f>
        <v/>
      </c>
      <c r="G508" s="28" t="str">
        <f t="shared" si="42"/>
        <v/>
      </c>
      <c r="H508" s="29" t="str">
        <f t="shared" si="43"/>
        <v/>
      </c>
      <c r="I508" s="29" t="str">
        <f t="shared" si="44"/>
        <v/>
      </c>
      <c r="J508" s="29" t="str">
        <f t="shared" si="45"/>
        <v/>
      </c>
      <c r="K508" s="29" t="str">
        <f t="shared" si="46"/>
        <v/>
      </c>
      <c r="L508" s="29" t="str">
        <f t="shared" si="47"/>
        <v/>
      </c>
      <c r="N508" s="11"/>
    </row>
    <row r="509" spans="1:14" ht="15" x14ac:dyDescent="0.25">
      <c r="A509" s="1" t="str">
        <f>IF('1.1 Produksi Bersih Padi 2025'!A509="","",'1.1 Produksi Bersih Padi 2025'!A509)</f>
        <v/>
      </c>
      <c r="B509" s="2" t="str">
        <f>IF('1.1 Produksi Bersih Padi 2025'!B509="","",'1.1 Produksi Bersih Padi 2025'!B509)</f>
        <v/>
      </c>
      <c r="C509" s="2" t="str">
        <f>IF('1.1 Produksi Bersih Padi 2025'!C509="","",'1.1 Produksi Bersih Padi 2025'!C509)</f>
        <v/>
      </c>
      <c r="D509" s="3" t="str">
        <f>IF('1.1 Produksi Bersih Padi 2025'!D509="","",'1.1 Produksi Bersih Padi 2025'!D509)</f>
        <v/>
      </c>
      <c r="E509" s="3" t="str">
        <f>IF('1.1 Produksi Bersih Padi 2025'!E509="","",'1.1 Produksi Bersih Padi 2025'!E509)</f>
        <v/>
      </c>
      <c r="F509" s="28" t="str">
        <f>IF(D509="","",VLOOKUP(D509,'[1]0.1 Produksi Pangan &amp; Penduduk'!$D$5:$S$860,16,0))</f>
        <v/>
      </c>
      <c r="G509" s="28" t="str">
        <f t="shared" si="42"/>
        <v/>
      </c>
      <c r="H509" s="29" t="str">
        <f t="shared" si="43"/>
        <v/>
      </c>
      <c r="I509" s="29" t="str">
        <f t="shared" si="44"/>
        <v/>
      </c>
      <c r="J509" s="29" t="str">
        <f t="shared" si="45"/>
        <v/>
      </c>
      <c r="K509" s="29" t="str">
        <f t="shared" si="46"/>
        <v/>
      </c>
      <c r="L509" s="29" t="str">
        <f t="shared" si="47"/>
        <v/>
      </c>
      <c r="N509" s="11"/>
    </row>
    <row r="510" spans="1:14" ht="15" x14ac:dyDescent="0.25">
      <c r="A510" s="1" t="str">
        <f>IF('1.1 Produksi Bersih Padi 2025'!A510="","",'1.1 Produksi Bersih Padi 2025'!A510)</f>
        <v/>
      </c>
      <c r="B510" s="2" t="str">
        <f>IF('1.1 Produksi Bersih Padi 2025'!B510="","",'1.1 Produksi Bersih Padi 2025'!B510)</f>
        <v/>
      </c>
      <c r="C510" s="2" t="str">
        <f>IF('1.1 Produksi Bersih Padi 2025'!C510="","",'1.1 Produksi Bersih Padi 2025'!C510)</f>
        <v/>
      </c>
      <c r="D510" s="3" t="str">
        <f>IF('1.1 Produksi Bersih Padi 2025'!D510="","",'1.1 Produksi Bersih Padi 2025'!D510)</f>
        <v/>
      </c>
      <c r="E510" s="3" t="str">
        <f>IF('1.1 Produksi Bersih Padi 2025'!E510="","",'1.1 Produksi Bersih Padi 2025'!E510)</f>
        <v/>
      </c>
      <c r="F510" s="28" t="str">
        <f>IF(D510="","",VLOOKUP(D510,'[1]0.1 Produksi Pangan &amp; Penduduk'!$D$5:$S$860,16,0))</f>
        <v/>
      </c>
      <c r="G510" s="28" t="str">
        <f t="shared" si="42"/>
        <v/>
      </c>
      <c r="H510" s="29" t="str">
        <f t="shared" si="43"/>
        <v/>
      </c>
      <c r="I510" s="29" t="str">
        <f t="shared" si="44"/>
        <v/>
      </c>
      <c r="J510" s="29" t="str">
        <f t="shared" si="45"/>
        <v/>
      </c>
      <c r="K510" s="29" t="str">
        <f t="shared" si="46"/>
        <v/>
      </c>
      <c r="L510" s="29" t="str">
        <f t="shared" si="47"/>
        <v/>
      </c>
      <c r="N510" s="11"/>
    </row>
    <row r="511" spans="1:14" ht="15" x14ac:dyDescent="0.25">
      <c r="A511" s="1" t="str">
        <f>IF('1.1 Produksi Bersih Padi 2025'!A511="","",'1.1 Produksi Bersih Padi 2025'!A511)</f>
        <v/>
      </c>
      <c r="B511" s="2" t="str">
        <f>IF('1.1 Produksi Bersih Padi 2025'!B511="","",'1.1 Produksi Bersih Padi 2025'!B511)</f>
        <v/>
      </c>
      <c r="C511" s="2" t="str">
        <f>IF('1.1 Produksi Bersih Padi 2025'!C511="","",'1.1 Produksi Bersih Padi 2025'!C511)</f>
        <v/>
      </c>
      <c r="D511" s="3" t="str">
        <f>IF('1.1 Produksi Bersih Padi 2025'!D511="","",'1.1 Produksi Bersih Padi 2025'!D511)</f>
        <v/>
      </c>
      <c r="E511" s="3" t="str">
        <f>IF('1.1 Produksi Bersih Padi 2025'!E511="","",'1.1 Produksi Bersih Padi 2025'!E511)</f>
        <v/>
      </c>
      <c r="F511" s="28" t="str">
        <f>IF(D511="","",VLOOKUP(D511,'[1]0.1 Produksi Pangan &amp; Penduduk'!$D$5:$S$860,16,0))</f>
        <v/>
      </c>
      <c r="G511" s="28" t="str">
        <f t="shared" si="42"/>
        <v/>
      </c>
      <c r="H511" s="29" t="str">
        <f t="shared" si="43"/>
        <v/>
      </c>
      <c r="I511" s="29" t="str">
        <f t="shared" si="44"/>
        <v/>
      </c>
      <c r="J511" s="29" t="str">
        <f t="shared" si="45"/>
        <v/>
      </c>
      <c r="K511" s="29" t="str">
        <f t="shared" si="46"/>
        <v/>
      </c>
      <c r="L511" s="29" t="str">
        <f t="shared" si="47"/>
        <v/>
      </c>
      <c r="N511" s="11"/>
    </row>
    <row r="512" spans="1:14" ht="15" x14ac:dyDescent="0.25">
      <c r="A512" s="1" t="str">
        <f>IF('1.1 Produksi Bersih Padi 2025'!A512="","",'1.1 Produksi Bersih Padi 2025'!A512)</f>
        <v/>
      </c>
      <c r="B512" s="2" t="str">
        <f>IF('1.1 Produksi Bersih Padi 2025'!B512="","",'1.1 Produksi Bersih Padi 2025'!B512)</f>
        <v/>
      </c>
      <c r="C512" s="2" t="str">
        <f>IF('1.1 Produksi Bersih Padi 2025'!C512="","",'1.1 Produksi Bersih Padi 2025'!C512)</f>
        <v/>
      </c>
      <c r="D512" s="3" t="str">
        <f>IF('1.1 Produksi Bersih Padi 2025'!D512="","",'1.1 Produksi Bersih Padi 2025'!D512)</f>
        <v/>
      </c>
      <c r="E512" s="3" t="str">
        <f>IF('1.1 Produksi Bersih Padi 2025'!E512="","",'1.1 Produksi Bersih Padi 2025'!E512)</f>
        <v/>
      </c>
      <c r="F512" s="28" t="str">
        <f>IF(D512="","",VLOOKUP(D512,'[1]0.1 Produksi Pangan &amp; Penduduk'!$D$5:$S$860,16,0))</f>
        <v/>
      </c>
      <c r="G512" s="28" t="str">
        <f t="shared" si="42"/>
        <v/>
      </c>
      <c r="H512" s="29" t="str">
        <f t="shared" si="43"/>
        <v/>
      </c>
      <c r="I512" s="29" t="str">
        <f t="shared" si="44"/>
        <v/>
      </c>
      <c r="J512" s="29" t="str">
        <f t="shared" si="45"/>
        <v/>
      </c>
      <c r="K512" s="29" t="str">
        <f t="shared" si="46"/>
        <v/>
      </c>
      <c r="L512" s="29" t="str">
        <f t="shared" si="47"/>
        <v/>
      </c>
      <c r="N512" s="11"/>
    </row>
    <row r="513" spans="1:14" ht="15" x14ac:dyDescent="0.25">
      <c r="A513" s="1" t="str">
        <f>IF('1.1 Produksi Bersih Padi 2025'!A513="","",'1.1 Produksi Bersih Padi 2025'!A513)</f>
        <v/>
      </c>
      <c r="B513" s="2" t="str">
        <f>IF('1.1 Produksi Bersih Padi 2025'!B513="","",'1.1 Produksi Bersih Padi 2025'!B513)</f>
        <v/>
      </c>
      <c r="C513" s="2" t="str">
        <f>IF('1.1 Produksi Bersih Padi 2025'!C513="","",'1.1 Produksi Bersih Padi 2025'!C513)</f>
        <v/>
      </c>
      <c r="D513" s="3" t="str">
        <f>IF('1.1 Produksi Bersih Padi 2025'!D513="","",'1.1 Produksi Bersih Padi 2025'!D513)</f>
        <v/>
      </c>
      <c r="E513" s="3" t="str">
        <f>IF('1.1 Produksi Bersih Padi 2025'!E513="","",'1.1 Produksi Bersih Padi 2025'!E513)</f>
        <v/>
      </c>
      <c r="F513" s="28" t="str">
        <f>IF(D513="","",VLOOKUP(D513,'[1]0.1 Produksi Pangan &amp; Penduduk'!$D$5:$S$860,16,0))</f>
        <v/>
      </c>
      <c r="G513" s="28" t="str">
        <f t="shared" si="42"/>
        <v/>
      </c>
      <c r="H513" s="29" t="str">
        <f t="shared" si="43"/>
        <v/>
      </c>
      <c r="I513" s="29" t="str">
        <f t="shared" si="44"/>
        <v/>
      </c>
      <c r="J513" s="29" t="str">
        <f t="shared" si="45"/>
        <v/>
      </c>
      <c r="K513" s="29" t="str">
        <f t="shared" si="46"/>
        <v/>
      </c>
      <c r="L513" s="29" t="str">
        <f t="shared" si="47"/>
        <v/>
      </c>
      <c r="N513" s="11"/>
    </row>
    <row r="514" spans="1:14" ht="15" x14ac:dyDescent="0.25">
      <c r="A514" s="1" t="str">
        <f>IF('1.1 Produksi Bersih Padi 2025'!A514="","",'1.1 Produksi Bersih Padi 2025'!A514)</f>
        <v/>
      </c>
      <c r="B514" s="2" t="str">
        <f>IF('1.1 Produksi Bersih Padi 2025'!B514="","",'1.1 Produksi Bersih Padi 2025'!B514)</f>
        <v/>
      </c>
      <c r="C514" s="2" t="str">
        <f>IF('1.1 Produksi Bersih Padi 2025'!C514="","",'1.1 Produksi Bersih Padi 2025'!C514)</f>
        <v/>
      </c>
      <c r="D514" s="3" t="str">
        <f>IF('1.1 Produksi Bersih Padi 2025'!D514="","",'1.1 Produksi Bersih Padi 2025'!D514)</f>
        <v/>
      </c>
      <c r="E514" s="3" t="str">
        <f>IF('1.1 Produksi Bersih Padi 2025'!E514="","",'1.1 Produksi Bersih Padi 2025'!E514)</f>
        <v/>
      </c>
      <c r="F514" s="28" t="str">
        <f>IF(D514="","",VLOOKUP(D514,'[1]0.1 Produksi Pangan &amp; Penduduk'!$D$5:$S$860,16,0))</f>
        <v/>
      </c>
      <c r="G514" s="28" t="str">
        <f t="shared" si="42"/>
        <v/>
      </c>
      <c r="H514" s="29" t="str">
        <f t="shared" si="43"/>
        <v/>
      </c>
      <c r="I514" s="29" t="str">
        <f t="shared" si="44"/>
        <v/>
      </c>
      <c r="J514" s="29" t="str">
        <f t="shared" si="45"/>
        <v/>
      </c>
      <c r="K514" s="29" t="str">
        <f t="shared" si="46"/>
        <v/>
      </c>
      <c r="L514" s="29" t="str">
        <f t="shared" si="47"/>
        <v/>
      </c>
      <c r="N514" s="11"/>
    </row>
    <row r="515" spans="1:14" ht="15" x14ac:dyDescent="0.25">
      <c r="A515" s="1" t="str">
        <f>IF('1.1 Produksi Bersih Padi 2025'!A515="","",'1.1 Produksi Bersih Padi 2025'!A515)</f>
        <v/>
      </c>
      <c r="B515" s="2" t="str">
        <f>IF('1.1 Produksi Bersih Padi 2025'!B515="","",'1.1 Produksi Bersih Padi 2025'!B515)</f>
        <v/>
      </c>
      <c r="C515" s="2" t="str">
        <f>IF('1.1 Produksi Bersih Padi 2025'!C515="","",'1.1 Produksi Bersih Padi 2025'!C515)</f>
        <v/>
      </c>
      <c r="D515" s="3" t="str">
        <f>IF('1.1 Produksi Bersih Padi 2025'!D515="","",'1.1 Produksi Bersih Padi 2025'!D515)</f>
        <v/>
      </c>
      <c r="E515" s="3" t="str">
        <f>IF('1.1 Produksi Bersih Padi 2025'!E515="","",'1.1 Produksi Bersih Padi 2025'!E515)</f>
        <v/>
      </c>
      <c r="F515" s="28" t="str">
        <f>IF(D515="","",VLOOKUP(D515,'[1]0.1 Produksi Pangan &amp; Penduduk'!$D$5:$S$860,16,0))</f>
        <v/>
      </c>
      <c r="G515" s="28" t="str">
        <f t="shared" si="42"/>
        <v/>
      </c>
      <c r="H515" s="29" t="str">
        <f t="shared" si="43"/>
        <v/>
      </c>
      <c r="I515" s="29" t="str">
        <f t="shared" si="44"/>
        <v/>
      </c>
      <c r="J515" s="29" t="str">
        <f t="shared" si="45"/>
        <v/>
      </c>
      <c r="K515" s="29" t="str">
        <f t="shared" si="46"/>
        <v/>
      </c>
      <c r="L515" s="29" t="str">
        <f t="shared" si="47"/>
        <v/>
      </c>
      <c r="N515" s="11"/>
    </row>
    <row r="516" spans="1:14" ht="15" x14ac:dyDescent="0.25">
      <c r="A516" s="1" t="str">
        <f>IF('1.1 Produksi Bersih Padi 2025'!A516="","",'1.1 Produksi Bersih Padi 2025'!A516)</f>
        <v/>
      </c>
      <c r="B516" s="2" t="str">
        <f>IF('1.1 Produksi Bersih Padi 2025'!B516="","",'1.1 Produksi Bersih Padi 2025'!B516)</f>
        <v/>
      </c>
      <c r="C516" s="2" t="str">
        <f>IF('1.1 Produksi Bersih Padi 2025'!C516="","",'1.1 Produksi Bersih Padi 2025'!C516)</f>
        <v/>
      </c>
      <c r="D516" s="3" t="str">
        <f>IF('1.1 Produksi Bersih Padi 2025'!D516="","",'1.1 Produksi Bersih Padi 2025'!D516)</f>
        <v/>
      </c>
      <c r="E516" s="3" t="str">
        <f>IF('1.1 Produksi Bersih Padi 2025'!E516="","",'1.1 Produksi Bersih Padi 2025'!E516)</f>
        <v/>
      </c>
      <c r="F516" s="28" t="str">
        <f>IF(D516="","",VLOOKUP(D516,'[1]0.1 Produksi Pangan &amp; Penduduk'!$D$5:$S$860,16,0))</f>
        <v/>
      </c>
      <c r="G516" s="28" t="str">
        <f t="shared" si="42"/>
        <v/>
      </c>
      <c r="H516" s="29" t="str">
        <f t="shared" si="43"/>
        <v/>
      </c>
      <c r="I516" s="29" t="str">
        <f t="shared" si="44"/>
        <v/>
      </c>
      <c r="J516" s="29" t="str">
        <f t="shared" si="45"/>
        <v/>
      </c>
      <c r="K516" s="29" t="str">
        <f t="shared" si="46"/>
        <v/>
      </c>
      <c r="L516" s="29" t="str">
        <f t="shared" si="47"/>
        <v/>
      </c>
      <c r="N516" s="11"/>
    </row>
    <row r="517" spans="1:14" ht="15" x14ac:dyDescent="0.25">
      <c r="A517" s="1" t="str">
        <f>IF('1.1 Produksi Bersih Padi 2025'!A517="","",'1.1 Produksi Bersih Padi 2025'!A517)</f>
        <v/>
      </c>
      <c r="B517" s="2" t="str">
        <f>IF('1.1 Produksi Bersih Padi 2025'!B517="","",'1.1 Produksi Bersih Padi 2025'!B517)</f>
        <v/>
      </c>
      <c r="C517" s="2" t="str">
        <f>IF('1.1 Produksi Bersih Padi 2025'!C517="","",'1.1 Produksi Bersih Padi 2025'!C517)</f>
        <v/>
      </c>
      <c r="D517" s="3" t="str">
        <f>IF('1.1 Produksi Bersih Padi 2025'!D517="","",'1.1 Produksi Bersih Padi 2025'!D517)</f>
        <v/>
      </c>
      <c r="E517" s="3" t="str">
        <f>IF('1.1 Produksi Bersih Padi 2025'!E517="","",'1.1 Produksi Bersih Padi 2025'!E517)</f>
        <v/>
      </c>
      <c r="F517" s="28" t="str">
        <f>IF(D517="","",VLOOKUP(D517,'[1]0.1 Produksi Pangan &amp; Penduduk'!$D$5:$S$860,16,0))</f>
        <v/>
      </c>
      <c r="G517" s="28" t="str">
        <f t="shared" si="42"/>
        <v/>
      </c>
      <c r="H517" s="29" t="str">
        <f t="shared" si="43"/>
        <v/>
      </c>
      <c r="I517" s="29" t="str">
        <f t="shared" si="44"/>
        <v/>
      </c>
      <c r="J517" s="29" t="str">
        <f t="shared" si="45"/>
        <v/>
      </c>
      <c r="K517" s="29" t="str">
        <f t="shared" si="46"/>
        <v/>
      </c>
      <c r="L517" s="29" t="str">
        <f t="shared" si="47"/>
        <v/>
      </c>
      <c r="N517" s="11"/>
    </row>
    <row r="518" spans="1:14" ht="15" x14ac:dyDescent="0.25">
      <c r="A518" s="1" t="str">
        <f>IF('1.1 Produksi Bersih Padi 2025'!A518="","",'1.1 Produksi Bersih Padi 2025'!A518)</f>
        <v/>
      </c>
      <c r="B518" s="2" t="str">
        <f>IF('1.1 Produksi Bersih Padi 2025'!B518="","",'1.1 Produksi Bersih Padi 2025'!B518)</f>
        <v/>
      </c>
      <c r="C518" s="2" t="str">
        <f>IF('1.1 Produksi Bersih Padi 2025'!C518="","",'1.1 Produksi Bersih Padi 2025'!C518)</f>
        <v/>
      </c>
      <c r="D518" s="3" t="str">
        <f>IF('1.1 Produksi Bersih Padi 2025'!D518="","",'1.1 Produksi Bersih Padi 2025'!D518)</f>
        <v/>
      </c>
      <c r="E518" s="3" t="str">
        <f>IF('1.1 Produksi Bersih Padi 2025'!E518="","",'1.1 Produksi Bersih Padi 2025'!E518)</f>
        <v/>
      </c>
      <c r="F518" s="28" t="str">
        <f>IF(D518="","",VLOOKUP(D518,'[1]0.1 Produksi Pangan &amp; Penduduk'!$D$5:$S$860,16,0))</f>
        <v/>
      </c>
      <c r="G518" s="28" t="str">
        <f t="shared" ref="G518:G581" si="48">IF(F518="","",F518*73.9252%)</f>
        <v/>
      </c>
      <c r="H518" s="29" t="str">
        <f t="shared" ref="H518:H581" si="49">IF(G518="","",G518*0.345%)</f>
        <v/>
      </c>
      <c r="I518" s="29" t="str">
        <f t="shared" ref="I518:I581" si="50">IF(G518="","",G518*78.806%)</f>
        <v/>
      </c>
      <c r="J518" s="29" t="str">
        <f t="shared" ref="J518:J581" si="51">IF(G518="","",G518*4.62%)</f>
        <v/>
      </c>
      <c r="K518" s="29" t="str">
        <f t="shared" ref="K518:K581" si="52">IF(G518="","",G518-(H518+I518+J518))</f>
        <v/>
      </c>
      <c r="L518" s="29" t="str">
        <f t="shared" ref="L518:L581" si="53">IF(K518="","",K518*1.017)</f>
        <v/>
      </c>
      <c r="N518" s="11"/>
    </row>
    <row r="519" spans="1:14" ht="15" x14ac:dyDescent="0.25">
      <c r="A519" s="1" t="str">
        <f>IF('1.1 Produksi Bersih Padi 2025'!A519="","",'1.1 Produksi Bersih Padi 2025'!A519)</f>
        <v/>
      </c>
      <c r="B519" s="2" t="str">
        <f>IF('1.1 Produksi Bersih Padi 2025'!B519="","",'1.1 Produksi Bersih Padi 2025'!B519)</f>
        <v/>
      </c>
      <c r="C519" s="2" t="str">
        <f>IF('1.1 Produksi Bersih Padi 2025'!C519="","",'1.1 Produksi Bersih Padi 2025'!C519)</f>
        <v/>
      </c>
      <c r="D519" s="3" t="str">
        <f>IF('1.1 Produksi Bersih Padi 2025'!D519="","",'1.1 Produksi Bersih Padi 2025'!D519)</f>
        <v/>
      </c>
      <c r="E519" s="3" t="str">
        <f>IF('1.1 Produksi Bersih Padi 2025'!E519="","",'1.1 Produksi Bersih Padi 2025'!E519)</f>
        <v/>
      </c>
      <c r="F519" s="28" t="str">
        <f>IF(D519="","",VLOOKUP(D519,'[1]0.1 Produksi Pangan &amp; Penduduk'!$D$5:$S$860,16,0))</f>
        <v/>
      </c>
      <c r="G519" s="28" t="str">
        <f t="shared" si="48"/>
        <v/>
      </c>
      <c r="H519" s="29" t="str">
        <f t="shared" si="49"/>
        <v/>
      </c>
      <c r="I519" s="29" t="str">
        <f t="shared" si="50"/>
        <v/>
      </c>
      <c r="J519" s="29" t="str">
        <f t="shared" si="51"/>
        <v/>
      </c>
      <c r="K519" s="29" t="str">
        <f t="shared" si="52"/>
        <v/>
      </c>
      <c r="L519" s="29" t="str">
        <f t="shared" si="53"/>
        <v/>
      </c>
      <c r="N519" s="11"/>
    </row>
    <row r="520" spans="1:14" ht="15" x14ac:dyDescent="0.25">
      <c r="A520" s="1" t="str">
        <f>IF('1.1 Produksi Bersih Padi 2025'!A520="","",'1.1 Produksi Bersih Padi 2025'!A520)</f>
        <v/>
      </c>
      <c r="B520" s="2" t="str">
        <f>IF('1.1 Produksi Bersih Padi 2025'!B520="","",'1.1 Produksi Bersih Padi 2025'!B520)</f>
        <v/>
      </c>
      <c r="C520" s="2" t="str">
        <f>IF('1.1 Produksi Bersih Padi 2025'!C520="","",'1.1 Produksi Bersih Padi 2025'!C520)</f>
        <v/>
      </c>
      <c r="D520" s="3" t="str">
        <f>IF('1.1 Produksi Bersih Padi 2025'!D520="","",'1.1 Produksi Bersih Padi 2025'!D520)</f>
        <v/>
      </c>
      <c r="E520" s="3" t="str">
        <f>IF('1.1 Produksi Bersih Padi 2025'!E520="","",'1.1 Produksi Bersih Padi 2025'!E520)</f>
        <v/>
      </c>
      <c r="F520" s="28" t="str">
        <f>IF(D520="","",VLOOKUP(D520,'[1]0.1 Produksi Pangan &amp; Penduduk'!$D$5:$S$860,16,0))</f>
        <v/>
      </c>
      <c r="G520" s="28" t="str">
        <f t="shared" si="48"/>
        <v/>
      </c>
      <c r="H520" s="29" t="str">
        <f t="shared" si="49"/>
        <v/>
      </c>
      <c r="I520" s="29" t="str">
        <f t="shared" si="50"/>
        <v/>
      </c>
      <c r="J520" s="29" t="str">
        <f t="shared" si="51"/>
        <v/>
      </c>
      <c r="K520" s="29" t="str">
        <f t="shared" si="52"/>
        <v/>
      </c>
      <c r="L520" s="29" t="str">
        <f t="shared" si="53"/>
        <v/>
      </c>
      <c r="N520" s="11"/>
    </row>
    <row r="521" spans="1:14" ht="15" x14ac:dyDescent="0.25">
      <c r="A521" s="1" t="str">
        <f>IF('1.1 Produksi Bersih Padi 2025'!A521="","",'1.1 Produksi Bersih Padi 2025'!A521)</f>
        <v/>
      </c>
      <c r="B521" s="2" t="str">
        <f>IF('1.1 Produksi Bersih Padi 2025'!B521="","",'1.1 Produksi Bersih Padi 2025'!B521)</f>
        <v/>
      </c>
      <c r="C521" s="2" t="str">
        <f>IF('1.1 Produksi Bersih Padi 2025'!C521="","",'1.1 Produksi Bersih Padi 2025'!C521)</f>
        <v/>
      </c>
      <c r="D521" s="3" t="str">
        <f>IF('1.1 Produksi Bersih Padi 2025'!D521="","",'1.1 Produksi Bersih Padi 2025'!D521)</f>
        <v/>
      </c>
      <c r="E521" s="3" t="str">
        <f>IF('1.1 Produksi Bersih Padi 2025'!E521="","",'1.1 Produksi Bersih Padi 2025'!E521)</f>
        <v/>
      </c>
      <c r="F521" s="28" t="str">
        <f>IF(D521="","",VLOOKUP(D521,'[1]0.1 Produksi Pangan &amp; Penduduk'!$D$5:$S$860,16,0))</f>
        <v/>
      </c>
      <c r="G521" s="28" t="str">
        <f t="shared" si="48"/>
        <v/>
      </c>
      <c r="H521" s="29" t="str">
        <f t="shared" si="49"/>
        <v/>
      </c>
      <c r="I521" s="29" t="str">
        <f t="shared" si="50"/>
        <v/>
      </c>
      <c r="J521" s="29" t="str">
        <f t="shared" si="51"/>
        <v/>
      </c>
      <c r="K521" s="29" t="str">
        <f t="shared" si="52"/>
        <v/>
      </c>
      <c r="L521" s="29" t="str">
        <f t="shared" si="53"/>
        <v/>
      </c>
      <c r="N521" s="11"/>
    </row>
    <row r="522" spans="1:14" ht="15" x14ac:dyDescent="0.25">
      <c r="A522" s="1" t="str">
        <f>IF('1.1 Produksi Bersih Padi 2025'!A522="","",'1.1 Produksi Bersih Padi 2025'!A522)</f>
        <v/>
      </c>
      <c r="B522" s="2" t="str">
        <f>IF('1.1 Produksi Bersih Padi 2025'!B522="","",'1.1 Produksi Bersih Padi 2025'!B522)</f>
        <v/>
      </c>
      <c r="C522" s="2" t="str">
        <f>IF('1.1 Produksi Bersih Padi 2025'!C522="","",'1.1 Produksi Bersih Padi 2025'!C522)</f>
        <v/>
      </c>
      <c r="D522" s="3" t="str">
        <f>IF('1.1 Produksi Bersih Padi 2025'!D522="","",'1.1 Produksi Bersih Padi 2025'!D522)</f>
        <v/>
      </c>
      <c r="E522" s="3" t="str">
        <f>IF('1.1 Produksi Bersih Padi 2025'!E522="","",'1.1 Produksi Bersih Padi 2025'!E522)</f>
        <v/>
      </c>
      <c r="F522" s="28" t="str">
        <f>IF(D522="","",VLOOKUP(D522,'[1]0.1 Produksi Pangan &amp; Penduduk'!$D$5:$S$860,16,0))</f>
        <v/>
      </c>
      <c r="G522" s="28" t="str">
        <f t="shared" si="48"/>
        <v/>
      </c>
      <c r="H522" s="29" t="str">
        <f t="shared" si="49"/>
        <v/>
      </c>
      <c r="I522" s="29" t="str">
        <f t="shared" si="50"/>
        <v/>
      </c>
      <c r="J522" s="29" t="str">
        <f t="shared" si="51"/>
        <v/>
      </c>
      <c r="K522" s="29" t="str">
        <f t="shared" si="52"/>
        <v/>
      </c>
      <c r="L522" s="29" t="str">
        <f t="shared" si="53"/>
        <v/>
      </c>
      <c r="N522" s="11"/>
    </row>
    <row r="523" spans="1:14" ht="15" x14ac:dyDescent="0.25">
      <c r="A523" s="1" t="str">
        <f>IF('1.1 Produksi Bersih Padi 2025'!A523="","",'1.1 Produksi Bersih Padi 2025'!A523)</f>
        <v/>
      </c>
      <c r="B523" s="2" t="str">
        <f>IF('1.1 Produksi Bersih Padi 2025'!B523="","",'1.1 Produksi Bersih Padi 2025'!B523)</f>
        <v/>
      </c>
      <c r="C523" s="2" t="str">
        <f>IF('1.1 Produksi Bersih Padi 2025'!C523="","",'1.1 Produksi Bersih Padi 2025'!C523)</f>
        <v/>
      </c>
      <c r="D523" s="3" t="str">
        <f>IF('1.1 Produksi Bersih Padi 2025'!D523="","",'1.1 Produksi Bersih Padi 2025'!D523)</f>
        <v/>
      </c>
      <c r="E523" s="3" t="str">
        <f>IF('1.1 Produksi Bersih Padi 2025'!E523="","",'1.1 Produksi Bersih Padi 2025'!E523)</f>
        <v/>
      </c>
      <c r="F523" s="28" t="str">
        <f>IF(D523="","",VLOOKUP(D523,'[1]0.1 Produksi Pangan &amp; Penduduk'!$D$5:$S$860,16,0))</f>
        <v/>
      </c>
      <c r="G523" s="28" t="str">
        <f t="shared" si="48"/>
        <v/>
      </c>
      <c r="H523" s="29" t="str">
        <f t="shared" si="49"/>
        <v/>
      </c>
      <c r="I523" s="29" t="str">
        <f t="shared" si="50"/>
        <v/>
      </c>
      <c r="J523" s="29" t="str">
        <f t="shared" si="51"/>
        <v/>
      </c>
      <c r="K523" s="29" t="str">
        <f t="shared" si="52"/>
        <v/>
      </c>
      <c r="L523" s="29" t="str">
        <f t="shared" si="53"/>
        <v/>
      </c>
      <c r="N523" s="11"/>
    </row>
    <row r="524" spans="1:14" ht="15" x14ac:dyDescent="0.25">
      <c r="A524" s="1" t="str">
        <f>IF('1.1 Produksi Bersih Padi 2025'!A524="","",'1.1 Produksi Bersih Padi 2025'!A524)</f>
        <v/>
      </c>
      <c r="B524" s="2" t="str">
        <f>IF('1.1 Produksi Bersih Padi 2025'!B524="","",'1.1 Produksi Bersih Padi 2025'!B524)</f>
        <v/>
      </c>
      <c r="C524" s="2" t="str">
        <f>IF('1.1 Produksi Bersih Padi 2025'!C524="","",'1.1 Produksi Bersih Padi 2025'!C524)</f>
        <v/>
      </c>
      <c r="D524" s="3" t="str">
        <f>IF('1.1 Produksi Bersih Padi 2025'!D524="","",'1.1 Produksi Bersih Padi 2025'!D524)</f>
        <v/>
      </c>
      <c r="E524" s="3" t="str">
        <f>IF('1.1 Produksi Bersih Padi 2025'!E524="","",'1.1 Produksi Bersih Padi 2025'!E524)</f>
        <v/>
      </c>
      <c r="F524" s="28" t="str">
        <f>IF(D524="","",VLOOKUP(D524,'[1]0.1 Produksi Pangan &amp; Penduduk'!$D$5:$S$860,16,0))</f>
        <v/>
      </c>
      <c r="G524" s="28" t="str">
        <f t="shared" si="48"/>
        <v/>
      </c>
      <c r="H524" s="29" t="str">
        <f t="shared" si="49"/>
        <v/>
      </c>
      <c r="I524" s="29" t="str">
        <f t="shared" si="50"/>
        <v/>
      </c>
      <c r="J524" s="29" t="str">
        <f t="shared" si="51"/>
        <v/>
      </c>
      <c r="K524" s="29" t="str">
        <f t="shared" si="52"/>
        <v/>
      </c>
      <c r="L524" s="29" t="str">
        <f t="shared" si="53"/>
        <v/>
      </c>
      <c r="N524" s="11"/>
    </row>
    <row r="525" spans="1:14" ht="15" x14ac:dyDescent="0.25">
      <c r="A525" s="1" t="str">
        <f>IF('1.1 Produksi Bersih Padi 2025'!A525="","",'1.1 Produksi Bersih Padi 2025'!A525)</f>
        <v/>
      </c>
      <c r="B525" s="2" t="str">
        <f>IF('1.1 Produksi Bersih Padi 2025'!B525="","",'1.1 Produksi Bersih Padi 2025'!B525)</f>
        <v/>
      </c>
      <c r="C525" s="2" t="str">
        <f>IF('1.1 Produksi Bersih Padi 2025'!C525="","",'1.1 Produksi Bersih Padi 2025'!C525)</f>
        <v/>
      </c>
      <c r="D525" s="3" t="str">
        <f>IF('1.1 Produksi Bersih Padi 2025'!D525="","",'1.1 Produksi Bersih Padi 2025'!D525)</f>
        <v/>
      </c>
      <c r="E525" s="3" t="str">
        <f>IF('1.1 Produksi Bersih Padi 2025'!E525="","",'1.1 Produksi Bersih Padi 2025'!E525)</f>
        <v/>
      </c>
      <c r="F525" s="28" t="str">
        <f>IF(D525="","",VLOOKUP(D525,'[1]0.1 Produksi Pangan &amp; Penduduk'!$D$5:$S$860,16,0))</f>
        <v/>
      </c>
      <c r="G525" s="28" t="str">
        <f t="shared" si="48"/>
        <v/>
      </c>
      <c r="H525" s="29" t="str">
        <f t="shared" si="49"/>
        <v/>
      </c>
      <c r="I525" s="29" t="str">
        <f t="shared" si="50"/>
        <v/>
      </c>
      <c r="J525" s="29" t="str">
        <f t="shared" si="51"/>
        <v/>
      </c>
      <c r="K525" s="29" t="str">
        <f t="shared" si="52"/>
        <v/>
      </c>
      <c r="L525" s="29" t="str">
        <f t="shared" si="53"/>
        <v/>
      </c>
      <c r="N525" s="11"/>
    </row>
    <row r="526" spans="1:14" ht="15" x14ac:dyDescent="0.25">
      <c r="A526" s="1" t="str">
        <f>IF('1.1 Produksi Bersih Padi 2025'!A526="","",'1.1 Produksi Bersih Padi 2025'!A526)</f>
        <v/>
      </c>
      <c r="B526" s="2" t="str">
        <f>IF('1.1 Produksi Bersih Padi 2025'!B526="","",'1.1 Produksi Bersih Padi 2025'!B526)</f>
        <v/>
      </c>
      <c r="C526" s="2" t="str">
        <f>IF('1.1 Produksi Bersih Padi 2025'!C526="","",'1.1 Produksi Bersih Padi 2025'!C526)</f>
        <v/>
      </c>
      <c r="D526" s="3" t="str">
        <f>IF('1.1 Produksi Bersih Padi 2025'!D526="","",'1.1 Produksi Bersih Padi 2025'!D526)</f>
        <v/>
      </c>
      <c r="E526" s="3" t="str">
        <f>IF('1.1 Produksi Bersih Padi 2025'!E526="","",'1.1 Produksi Bersih Padi 2025'!E526)</f>
        <v/>
      </c>
      <c r="F526" s="28" t="str">
        <f>IF(D526="","",VLOOKUP(D526,'[1]0.1 Produksi Pangan &amp; Penduduk'!$D$5:$S$860,16,0))</f>
        <v/>
      </c>
      <c r="G526" s="28" t="str">
        <f t="shared" si="48"/>
        <v/>
      </c>
      <c r="H526" s="29" t="str">
        <f t="shared" si="49"/>
        <v/>
      </c>
      <c r="I526" s="29" t="str">
        <f t="shared" si="50"/>
        <v/>
      </c>
      <c r="J526" s="29" t="str">
        <f t="shared" si="51"/>
        <v/>
      </c>
      <c r="K526" s="29" t="str">
        <f t="shared" si="52"/>
        <v/>
      </c>
      <c r="L526" s="29" t="str">
        <f t="shared" si="53"/>
        <v/>
      </c>
      <c r="N526" s="11"/>
    </row>
    <row r="527" spans="1:14" ht="15" x14ac:dyDescent="0.25">
      <c r="A527" s="1" t="str">
        <f>IF('1.1 Produksi Bersih Padi 2025'!A527="","",'1.1 Produksi Bersih Padi 2025'!A527)</f>
        <v/>
      </c>
      <c r="B527" s="2" t="str">
        <f>IF('1.1 Produksi Bersih Padi 2025'!B527="","",'1.1 Produksi Bersih Padi 2025'!B527)</f>
        <v/>
      </c>
      <c r="C527" s="2" t="str">
        <f>IF('1.1 Produksi Bersih Padi 2025'!C527="","",'1.1 Produksi Bersih Padi 2025'!C527)</f>
        <v/>
      </c>
      <c r="D527" s="3" t="str">
        <f>IF('1.1 Produksi Bersih Padi 2025'!D527="","",'1.1 Produksi Bersih Padi 2025'!D527)</f>
        <v/>
      </c>
      <c r="E527" s="3" t="str">
        <f>IF('1.1 Produksi Bersih Padi 2025'!E527="","",'1.1 Produksi Bersih Padi 2025'!E527)</f>
        <v/>
      </c>
      <c r="F527" s="28" t="str">
        <f>IF(D527="","",VLOOKUP(D527,'[1]0.1 Produksi Pangan &amp; Penduduk'!$D$5:$S$860,16,0))</f>
        <v/>
      </c>
      <c r="G527" s="28" t="str">
        <f t="shared" si="48"/>
        <v/>
      </c>
      <c r="H527" s="29" t="str">
        <f t="shared" si="49"/>
        <v/>
      </c>
      <c r="I527" s="29" t="str">
        <f t="shared" si="50"/>
        <v/>
      </c>
      <c r="J527" s="29" t="str">
        <f t="shared" si="51"/>
        <v/>
      </c>
      <c r="K527" s="29" t="str">
        <f t="shared" si="52"/>
        <v/>
      </c>
      <c r="L527" s="29" t="str">
        <f t="shared" si="53"/>
        <v/>
      </c>
      <c r="N527" s="11"/>
    </row>
    <row r="528" spans="1:14" ht="15" x14ac:dyDescent="0.25">
      <c r="A528" s="1" t="str">
        <f>IF('1.1 Produksi Bersih Padi 2025'!A528="","",'1.1 Produksi Bersih Padi 2025'!A528)</f>
        <v/>
      </c>
      <c r="B528" s="2" t="str">
        <f>IF('1.1 Produksi Bersih Padi 2025'!B528="","",'1.1 Produksi Bersih Padi 2025'!B528)</f>
        <v/>
      </c>
      <c r="C528" s="2" t="str">
        <f>IF('1.1 Produksi Bersih Padi 2025'!C528="","",'1.1 Produksi Bersih Padi 2025'!C528)</f>
        <v/>
      </c>
      <c r="D528" s="3" t="str">
        <f>IF('1.1 Produksi Bersih Padi 2025'!D528="","",'1.1 Produksi Bersih Padi 2025'!D528)</f>
        <v/>
      </c>
      <c r="E528" s="3" t="str">
        <f>IF('1.1 Produksi Bersih Padi 2025'!E528="","",'1.1 Produksi Bersih Padi 2025'!E528)</f>
        <v/>
      </c>
      <c r="F528" s="28" t="str">
        <f>IF(D528="","",VLOOKUP(D528,'[1]0.1 Produksi Pangan &amp; Penduduk'!$D$5:$S$860,16,0))</f>
        <v/>
      </c>
      <c r="G528" s="28" t="str">
        <f t="shared" si="48"/>
        <v/>
      </c>
      <c r="H528" s="29" t="str">
        <f t="shared" si="49"/>
        <v/>
      </c>
      <c r="I528" s="29" t="str">
        <f t="shared" si="50"/>
        <v/>
      </c>
      <c r="J528" s="29" t="str">
        <f t="shared" si="51"/>
        <v/>
      </c>
      <c r="K528" s="29" t="str">
        <f t="shared" si="52"/>
        <v/>
      </c>
      <c r="L528" s="29" t="str">
        <f t="shared" si="53"/>
        <v/>
      </c>
      <c r="N528" s="11"/>
    </row>
    <row r="529" spans="1:14" ht="15" x14ac:dyDescent="0.25">
      <c r="A529" s="1" t="str">
        <f>IF('1.1 Produksi Bersih Padi 2025'!A529="","",'1.1 Produksi Bersih Padi 2025'!A529)</f>
        <v/>
      </c>
      <c r="B529" s="2" t="str">
        <f>IF('1.1 Produksi Bersih Padi 2025'!B529="","",'1.1 Produksi Bersih Padi 2025'!B529)</f>
        <v/>
      </c>
      <c r="C529" s="2" t="str">
        <f>IF('1.1 Produksi Bersih Padi 2025'!C529="","",'1.1 Produksi Bersih Padi 2025'!C529)</f>
        <v/>
      </c>
      <c r="D529" s="3" t="str">
        <f>IF('1.1 Produksi Bersih Padi 2025'!D529="","",'1.1 Produksi Bersih Padi 2025'!D529)</f>
        <v/>
      </c>
      <c r="E529" s="3" t="str">
        <f>IF('1.1 Produksi Bersih Padi 2025'!E529="","",'1.1 Produksi Bersih Padi 2025'!E529)</f>
        <v/>
      </c>
      <c r="F529" s="28" t="str">
        <f>IF(D529="","",VLOOKUP(D529,'[1]0.1 Produksi Pangan &amp; Penduduk'!$D$5:$S$860,16,0))</f>
        <v/>
      </c>
      <c r="G529" s="28" t="str">
        <f t="shared" si="48"/>
        <v/>
      </c>
      <c r="H529" s="29" t="str">
        <f t="shared" si="49"/>
        <v/>
      </c>
      <c r="I529" s="29" t="str">
        <f t="shared" si="50"/>
        <v/>
      </c>
      <c r="J529" s="29" t="str">
        <f t="shared" si="51"/>
        <v/>
      </c>
      <c r="K529" s="29" t="str">
        <f t="shared" si="52"/>
        <v/>
      </c>
      <c r="L529" s="29" t="str">
        <f t="shared" si="53"/>
        <v/>
      </c>
      <c r="N529" s="11"/>
    </row>
    <row r="530" spans="1:14" ht="15" x14ac:dyDescent="0.25">
      <c r="A530" s="1" t="str">
        <f>IF('1.1 Produksi Bersih Padi 2025'!A530="","",'1.1 Produksi Bersih Padi 2025'!A530)</f>
        <v/>
      </c>
      <c r="B530" s="2" t="str">
        <f>IF('1.1 Produksi Bersih Padi 2025'!B530="","",'1.1 Produksi Bersih Padi 2025'!B530)</f>
        <v/>
      </c>
      <c r="C530" s="2" t="str">
        <f>IF('1.1 Produksi Bersih Padi 2025'!C530="","",'1.1 Produksi Bersih Padi 2025'!C530)</f>
        <v/>
      </c>
      <c r="D530" s="3" t="str">
        <f>IF('1.1 Produksi Bersih Padi 2025'!D530="","",'1.1 Produksi Bersih Padi 2025'!D530)</f>
        <v/>
      </c>
      <c r="E530" s="3" t="str">
        <f>IF('1.1 Produksi Bersih Padi 2025'!E530="","",'1.1 Produksi Bersih Padi 2025'!E530)</f>
        <v/>
      </c>
      <c r="F530" s="28" t="str">
        <f>IF(D530="","",VLOOKUP(D530,'[1]0.1 Produksi Pangan &amp; Penduduk'!$D$5:$S$860,16,0))</f>
        <v/>
      </c>
      <c r="G530" s="28" t="str">
        <f t="shared" si="48"/>
        <v/>
      </c>
      <c r="H530" s="29" t="str">
        <f t="shared" si="49"/>
        <v/>
      </c>
      <c r="I530" s="29" t="str">
        <f t="shared" si="50"/>
        <v/>
      </c>
      <c r="J530" s="29" t="str">
        <f t="shared" si="51"/>
        <v/>
      </c>
      <c r="K530" s="29" t="str">
        <f t="shared" si="52"/>
        <v/>
      </c>
      <c r="L530" s="29" t="str">
        <f t="shared" si="53"/>
        <v/>
      </c>
      <c r="N530" s="11"/>
    </row>
    <row r="531" spans="1:14" ht="15" x14ac:dyDescent="0.25">
      <c r="A531" s="1" t="str">
        <f>IF('1.1 Produksi Bersih Padi 2025'!A531="","",'1.1 Produksi Bersih Padi 2025'!A531)</f>
        <v/>
      </c>
      <c r="B531" s="2" t="str">
        <f>IF('1.1 Produksi Bersih Padi 2025'!B531="","",'1.1 Produksi Bersih Padi 2025'!B531)</f>
        <v/>
      </c>
      <c r="C531" s="2" t="str">
        <f>IF('1.1 Produksi Bersih Padi 2025'!C531="","",'1.1 Produksi Bersih Padi 2025'!C531)</f>
        <v/>
      </c>
      <c r="D531" s="3" t="str">
        <f>IF('1.1 Produksi Bersih Padi 2025'!D531="","",'1.1 Produksi Bersih Padi 2025'!D531)</f>
        <v/>
      </c>
      <c r="E531" s="3" t="str">
        <f>IF('1.1 Produksi Bersih Padi 2025'!E531="","",'1.1 Produksi Bersih Padi 2025'!E531)</f>
        <v/>
      </c>
      <c r="F531" s="28" t="str">
        <f>IF(D531="","",VLOOKUP(D531,'[1]0.1 Produksi Pangan &amp; Penduduk'!$D$5:$S$860,16,0))</f>
        <v/>
      </c>
      <c r="G531" s="28" t="str">
        <f t="shared" si="48"/>
        <v/>
      </c>
      <c r="H531" s="29" t="str">
        <f t="shared" si="49"/>
        <v/>
      </c>
      <c r="I531" s="29" t="str">
        <f t="shared" si="50"/>
        <v/>
      </c>
      <c r="J531" s="29" t="str">
        <f t="shared" si="51"/>
        <v/>
      </c>
      <c r="K531" s="29" t="str">
        <f t="shared" si="52"/>
        <v/>
      </c>
      <c r="L531" s="29" t="str">
        <f t="shared" si="53"/>
        <v/>
      </c>
      <c r="N531" s="11"/>
    </row>
    <row r="532" spans="1:14" ht="15" x14ac:dyDescent="0.25">
      <c r="A532" s="1" t="str">
        <f>IF('1.1 Produksi Bersih Padi 2025'!A532="","",'1.1 Produksi Bersih Padi 2025'!A532)</f>
        <v/>
      </c>
      <c r="B532" s="2" t="str">
        <f>IF('1.1 Produksi Bersih Padi 2025'!B532="","",'1.1 Produksi Bersih Padi 2025'!B532)</f>
        <v/>
      </c>
      <c r="C532" s="2" t="str">
        <f>IF('1.1 Produksi Bersih Padi 2025'!C532="","",'1.1 Produksi Bersih Padi 2025'!C532)</f>
        <v/>
      </c>
      <c r="D532" s="3" t="str">
        <f>IF('1.1 Produksi Bersih Padi 2025'!D532="","",'1.1 Produksi Bersih Padi 2025'!D532)</f>
        <v/>
      </c>
      <c r="E532" s="3" t="str">
        <f>IF('1.1 Produksi Bersih Padi 2025'!E532="","",'1.1 Produksi Bersih Padi 2025'!E532)</f>
        <v/>
      </c>
      <c r="F532" s="28" t="str">
        <f>IF(D532="","",VLOOKUP(D532,'[1]0.1 Produksi Pangan &amp; Penduduk'!$D$5:$S$860,16,0))</f>
        <v/>
      </c>
      <c r="G532" s="28" t="str">
        <f t="shared" si="48"/>
        <v/>
      </c>
      <c r="H532" s="29" t="str">
        <f t="shared" si="49"/>
        <v/>
      </c>
      <c r="I532" s="29" t="str">
        <f t="shared" si="50"/>
        <v/>
      </c>
      <c r="J532" s="29" t="str">
        <f t="shared" si="51"/>
        <v/>
      </c>
      <c r="K532" s="29" t="str">
        <f t="shared" si="52"/>
        <v/>
      </c>
      <c r="L532" s="29" t="str">
        <f t="shared" si="53"/>
        <v/>
      </c>
      <c r="N532" s="11"/>
    </row>
    <row r="533" spans="1:14" ht="15" x14ac:dyDescent="0.25">
      <c r="A533" s="1" t="str">
        <f>IF('1.1 Produksi Bersih Padi 2025'!A533="","",'1.1 Produksi Bersih Padi 2025'!A533)</f>
        <v/>
      </c>
      <c r="B533" s="2" t="str">
        <f>IF('1.1 Produksi Bersih Padi 2025'!B533="","",'1.1 Produksi Bersih Padi 2025'!B533)</f>
        <v/>
      </c>
      <c r="C533" s="2" t="str">
        <f>IF('1.1 Produksi Bersih Padi 2025'!C533="","",'1.1 Produksi Bersih Padi 2025'!C533)</f>
        <v/>
      </c>
      <c r="D533" s="3" t="str">
        <f>IF('1.1 Produksi Bersih Padi 2025'!D533="","",'1.1 Produksi Bersih Padi 2025'!D533)</f>
        <v/>
      </c>
      <c r="E533" s="3" t="str">
        <f>IF('1.1 Produksi Bersih Padi 2025'!E533="","",'1.1 Produksi Bersih Padi 2025'!E533)</f>
        <v/>
      </c>
      <c r="F533" s="28" t="str">
        <f>IF(D533="","",VLOOKUP(D533,'[1]0.1 Produksi Pangan &amp; Penduduk'!$D$5:$S$860,16,0))</f>
        <v/>
      </c>
      <c r="G533" s="28" t="str">
        <f t="shared" si="48"/>
        <v/>
      </c>
      <c r="H533" s="29" t="str">
        <f t="shared" si="49"/>
        <v/>
      </c>
      <c r="I533" s="29" t="str">
        <f t="shared" si="50"/>
        <v/>
      </c>
      <c r="J533" s="29" t="str">
        <f t="shared" si="51"/>
        <v/>
      </c>
      <c r="K533" s="29" t="str">
        <f t="shared" si="52"/>
        <v/>
      </c>
      <c r="L533" s="29" t="str">
        <f t="shared" si="53"/>
        <v/>
      </c>
      <c r="N533" s="11"/>
    </row>
    <row r="534" spans="1:14" ht="15" x14ac:dyDescent="0.25">
      <c r="A534" s="1" t="str">
        <f>IF('1.1 Produksi Bersih Padi 2025'!A534="","",'1.1 Produksi Bersih Padi 2025'!A534)</f>
        <v/>
      </c>
      <c r="B534" s="2" t="str">
        <f>IF('1.1 Produksi Bersih Padi 2025'!B534="","",'1.1 Produksi Bersih Padi 2025'!B534)</f>
        <v/>
      </c>
      <c r="C534" s="2" t="str">
        <f>IF('1.1 Produksi Bersih Padi 2025'!C534="","",'1.1 Produksi Bersih Padi 2025'!C534)</f>
        <v/>
      </c>
      <c r="D534" s="3" t="str">
        <f>IF('1.1 Produksi Bersih Padi 2025'!D534="","",'1.1 Produksi Bersih Padi 2025'!D534)</f>
        <v/>
      </c>
      <c r="E534" s="3" t="str">
        <f>IF('1.1 Produksi Bersih Padi 2025'!E534="","",'1.1 Produksi Bersih Padi 2025'!E534)</f>
        <v/>
      </c>
      <c r="F534" s="28" t="str">
        <f>IF(D534="","",VLOOKUP(D534,'[1]0.1 Produksi Pangan &amp; Penduduk'!$D$5:$S$860,16,0))</f>
        <v/>
      </c>
      <c r="G534" s="28" t="str">
        <f t="shared" si="48"/>
        <v/>
      </c>
      <c r="H534" s="29" t="str">
        <f t="shared" si="49"/>
        <v/>
      </c>
      <c r="I534" s="29" t="str">
        <f t="shared" si="50"/>
        <v/>
      </c>
      <c r="J534" s="29" t="str">
        <f t="shared" si="51"/>
        <v/>
      </c>
      <c r="K534" s="29" t="str">
        <f t="shared" si="52"/>
        <v/>
      </c>
      <c r="L534" s="29" t="str">
        <f t="shared" si="53"/>
        <v/>
      </c>
      <c r="N534" s="11"/>
    </row>
    <row r="535" spans="1:14" ht="15" x14ac:dyDescent="0.25">
      <c r="A535" s="1" t="str">
        <f>IF('1.1 Produksi Bersih Padi 2025'!A535="","",'1.1 Produksi Bersih Padi 2025'!A535)</f>
        <v/>
      </c>
      <c r="B535" s="2" t="str">
        <f>IF('1.1 Produksi Bersih Padi 2025'!B535="","",'1.1 Produksi Bersih Padi 2025'!B535)</f>
        <v/>
      </c>
      <c r="C535" s="2" t="str">
        <f>IF('1.1 Produksi Bersih Padi 2025'!C535="","",'1.1 Produksi Bersih Padi 2025'!C535)</f>
        <v/>
      </c>
      <c r="D535" s="3" t="str">
        <f>IF('1.1 Produksi Bersih Padi 2025'!D535="","",'1.1 Produksi Bersih Padi 2025'!D535)</f>
        <v/>
      </c>
      <c r="E535" s="3" t="str">
        <f>IF('1.1 Produksi Bersih Padi 2025'!E535="","",'1.1 Produksi Bersih Padi 2025'!E535)</f>
        <v/>
      </c>
      <c r="F535" s="28" t="str">
        <f>IF(D535="","",VLOOKUP(D535,'[1]0.1 Produksi Pangan &amp; Penduduk'!$D$5:$S$860,16,0))</f>
        <v/>
      </c>
      <c r="G535" s="28" t="str">
        <f t="shared" si="48"/>
        <v/>
      </c>
      <c r="H535" s="29" t="str">
        <f t="shared" si="49"/>
        <v/>
      </c>
      <c r="I535" s="29" t="str">
        <f t="shared" si="50"/>
        <v/>
      </c>
      <c r="J535" s="29" t="str">
        <f t="shared" si="51"/>
        <v/>
      </c>
      <c r="K535" s="29" t="str">
        <f t="shared" si="52"/>
        <v/>
      </c>
      <c r="L535" s="29" t="str">
        <f t="shared" si="53"/>
        <v/>
      </c>
      <c r="N535" s="11"/>
    </row>
    <row r="536" spans="1:14" ht="15" x14ac:dyDescent="0.25">
      <c r="A536" s="1" t="str">
        <f>IF('1.1 Produksi Bersih Padi 2025'!A536="","",'1.1 Produksi Bersih Padi 2025'!A536)</f>
        <v/>
      </c>
      <c r="B536" s="2" t="str">
        <f>IF('1.1 Produksi Bersih Padi 2025'!B536="","",'1.1 Produksi Bersih Padi 2025'!B536)</f>
        <v/>
      </c>
      <c r="C536" s="2" t="str">
        <f>IF('1.1 Produksi Bersih Padi 2025'!C536="","",'1.1 Produksi Bersih Padi 2025'!C536)</f>
        <v/>
      </c>
      <c r="D536" s="3" t="str">
        <f>IF('1.1 Produksi Bersih Padi 2025'!D536="","",'1.1 Produksi Bersih Padi 2025'!D536)</f>
        <v/>
      </c>
      <c r="E536" s="3" t="str">
        <f>IF('1.1 Produksi Bersih Padi 2025'!E536="","",'1.1 Produksi Bersih Padi 2025'!E536)</f>
        <v/>
      </c>
      <c r="F536" s="28" t="str">
        <f>IF(D536="","",VLOOKUP(D536,'[1]0.1 Produksi Pangan &amp; Penduduk'!$D$5:$S$860,16,0))</f>
        <v/>
      </c>
      <c r="G536" s="28" t="str">
        <f t="shared" si="48"/>
        <v/>
      </c>
      <c r="H536" s="29" t="str">
        <f t="shared" si="49"/>
        <v/>
      </c>
      <c r="I536" s="29" t="str">
        <f t="shared" si="50"/>
        <v/>
      </c>
      <c r="J536" s="29" t="str">
        <f t="shared" si="51"/>
        <v/>
      </c>
      <c r="K536" s="29" t="str">
        <f t="shared" si="52"/>
        <v/>
      </c>
      <c r="L536" s="29" t="str">
        <f t="shared" si="53"/>
        <v/>
      </c>
      <c r="N536" s="11"/>
    </row>
    <row r="537" spans="1:14" ht="15" x14ac:dyDescent="0.25">
      <c r="A537" s="1" t="str">
        <f>IF('1.1 Produksi Bersih Padi 2025'!A537="","",'1.1 Produksi Bersih Padi 2025'!A537)</f>
        <v/>
      </c>
      <c r="B537" s="2" t="str">
        <f>IF('1.1 Produksi Bersih Padi 2025'!B537="","",'1.1 Produksi Bersih Padi 2025'!B537)</f>
        <v/>
      </c>
      <c r="C537" s="2" t="str">
        <f>IF('1.1 Produksi Bersih Padi 2025'!C537="","",'1.1 Produksi Bersih Padi 2025'!C537)</f>
        <v/>
      </c>
      <c r="D537" s="3" t="str">
        <f>IF('1.1 Produksi Bersih Padi 2025'!D537="","",'1.1 Produksi Bersih Padi 2025'!D537)</f>
        <v/>
      </c>
      <c r="E537" s="3" t="str">
        <f>IF('1.1 Produksi Bersih Padi 2025'!E537="","",'1.1 Produksi Bersih Padi 2025'!E537)</f>
        <v/>
      </c>
      <c r="F537" s="28" t="str">
        <f>IF(D537="","",VLOOKUP(D537,'[1]0.1 Produksi Pangan &amp; Penduduk'!$D$5:$S$860,16,0))</f>
        <v/>
      </c>
      <c r="G537" s="28" t="str">
        <f t="shared" si="48"/>
        <v/>
      </c>
      <c r="H537" s="29" t="str">
        <f t="shared" si="49"/>
        <v/>
      </c>
      <c r="I537" s="29" t="str">
        <f t="shared" si="50"/>
        <v/>
      </c>
      <c r="J537" s="29" t="str">
        <f t="shared" si="51"/>
        <v/>
      </c>
      <c r="K537" s="29" t="str">
        <f t="shared" si="52"/>
        <v/>
      </c>
      <c r="L537" s="29" t="str">
        <f t="shared" si="53"/>
        <v/>
      </c>
      <c r="N537" s="11"/>
    </row>
    <row r="538" spans="1:14" ht="15" x14ac:dyDescent="0.25">
      <c r="A538" s="1" t="str">
        <f>IF('1.1 Produksi Bersih Padi 2025'!A538="","",'1.1 Produksi Bersih Padi 2025'!A538)</f>
        <v/>
      </c>
      <c r="B538" s="2" t="str">
        <f>IF('1.1 Produksi Bersih Padi 2025'!B538="","",'1.1 Produksi Bersih Padi 2025'!B538)</f>
        <v/>
      </c>
      <c r="C538" s="2" t="str">
        <f>IF('1.1 Produksi Bersih Padi 2025'!C538="","",'1.1 Produksi Bersih Padi 2025'!C538)</f>
        <v/>
      </c>
      <c r="D538" s="3" t="str">
        <f>IF('1.1 Produksi Bersih Padi 2025'!D538="","",'1.1 Produksi Bersih Padi 2025'!D538)</f>
        <v/>
      </c>
      <c r="E538" s="3" t="str">
        <f>IF('1.1 Produksi Bersih Padi 2025'!E538="","",'1.1 Produksi Bersih Padi 2025'!E538)</f>
        <v/>
      </c>
      <c r="F538" s="28" t="str">
        <f>IF(D538="","",VLOOKUP(D538,'[1]0.1 Produksi Pangan &amp; Penduduk'!$D$5:$S$860,16,0))</f>
        <v/>
      </c>
      <c r="G538" s="28" t="str">
        <f t="shared" si="48"/>
        <v/>
      </c>
      <c r="H538" s="29" t="str">
        <f t="shared" si="49"/>
        <v/>
      </c>
      <c r="I538" s="29" t="str">
        <f t="shared" si="50"/>
        <v/>
      </c>
      <c r="J538" s="29" t="str">
        <f t="shared" si="51"/>
        <v/>
      </c>
      <c r="K538" s="29" t="str">
        <f t="shared" si="52"/>
        <v/>
      </c>
      <c r="L538" s="29" t="str">
        <f t="shared" si="53"/>
        <v/>
      </c>
      <c r="N538" s="11"/>
    </row>
    <row r="539" spans="1:14" ht="15" x14ac:dyDescent="0.25">
      <c r="A539" s="1" t="str">
        <f>IF('1.1 Produksi Bersih Padi 2025'!A539="","",'1.1 Produksi Bersih Padi 2025'!A539)</f>
        <v/>
      </c>
      <c r="B539" s="2" t="str">
        <f>IF('1.1 Produksi Bersih Padi 2025'!B539="","",'1.1 Produksi Bersih Padi 2025'!B539)</f>
        <v/>
      </c>
      <c r="C539" s="2" t="str">
        <f>IF('1.1 Produksi Bersih Padi 2025'!C539="","",'1.1 Produksi Bersih Padi 2025'!C539)</f>
        <v/>
      </c>
      <c r="D539" s="3" t="str">
        <f>IF('1.1 Produksi Bersih Padi 2025'!D539="","",'1.1 Produksi Bersih Padi 2025'!D539)</f>
        <v/>
      </c>
      <c r="E539" s="3" t="str">
        <f>IF('1.1 Produksi Bersih Padi 2025'!E539="","",'1.1 Produksi Bersih Padi 2025'!E539)</f>
        <v/>
      </c>
      <c r="F539" s="28" t="str">
        <f>IF(D539="","",VLOOKUP(D539,'[1]0.1 Produksi Pangan &amp; Penduduk'!$D$5:$S$860,16,0))</f>
        <v/>
      </c>
      <c r="G539" s="28" t="str">
        <f t="shared" si="48"/>
        <v/>
      </c>
      <c r="H539" s="29" t="str">
        <f t="shared" si="49"/>
        <v/>
      </c>
      <c r="I539" s="29" t="str">
        <f t="shared" si="50"/>
        <v/>
      </c>
      <c r="J539" s="29" t="str">
        <f t="shared" si="51"/>
        <v/>
      </c>
      <c r="K539" s="29" t="str">
        <f t="shared" si="52"/>
        <v/>
      </c>
      <c r="L539" s="29" t="str">
        <f t="shared" si="53"/>
        <v/>
      </c>
      <c r="N539" s="11"/>
    </row>
    <row r="540" spans="1:14" ht="15" x14ac:dyDescent="0.25">
      <c r="A540" s="1" t="str">
        <f>IF('1.1 Produksi Bersih Padi 2025'!A540="","",'1.1 Produksi Bersih Padi 2025'!A540)</f>
        <v/>
      </c>
      <c r="B540" s="2" t="str">
        <f>IF('1.1 Produksi Bersih Padi 2025'!B540="","",'1.1 Produksi Bersih Padi 2025'!B540)</f>
        <v/>
      </c>
      <c r="C540" s="2" t="str">
        <f>IF('1.1 Produksi Bersih Padi 2025'!C540="","",'1.1 Produksi Bersih Padi 2025'!C540)</f>
        <v/>
      </c>
      <c r="D540" s="3" t="str">
        <f>IF('1.1 Produksi Bersih Padi 2025'!D540="","",'1.1 Produksi Bersih Padi 2025'!D540)</f>
        <v/>
      </c>
      <c r="E540" s="3" t="str">
        <f>IF('1.1 Produksi Bersih Padi 2025'!E540="","",'1.1 Produksi Bersih Padi 2025'!E540)</f>
        <v/>
      </c>
      <c r="F540" s="28" t="str">
        <f>IF(D540="","",VLOOKUP(D540,'[1]0.1 Produksi Pangan &amp; Penduduk'!$D$5:$S$860,16,0))</f>
        <v/>
      </c>
      <c r="G540" s="28" t="str">
        <f t="shared" si="48"/>
        <v/>
      </c>
      <c r="H540" s="29" t="str">
        <f t="shared" si="49"/>
        <v/>
      </c>
      <c r="I540" s="29" t="str">
        <f t="shared" si="50"/>
        <v/>
      </c>
      <c r="J540" s="29" t="str">
        <f t="shared" si="51"/>
        <v/>
      </c>
      <c r="K540" s="29" t="str">
        <f t="shared" si="52"/>
        <v/>
      </c>
      <c r="L540" s="29" t="str">
        <f t="shared" si="53"/>
        <v/>
      </c>
      <c r="N540" s="11"/>
    </row>
    <row r="541" spans="1:14" ht="15" x14ac:dyDescent="0.25">
      <c r="A541" s="1" t="str">
        <f>IF('1.1 Produksi Bersih Padi 2025'!A541="","",'1.1 Produksi Bersih Padi 2025'!A541)</f>
        <v/>
      </c>
      <c r="B541" s="2" t="str">
        <f>IF('1.1 Produksi Bersih Padi 2025'!B541="","",'1.1 Produksi Bersih Padi 2025'!B541)</f>
        <v/>
      </c>
      <c r="C541" s="2" t="str">
        <f>IF('1.1 Produksi Bersih Padi 2025'!C541="","",'1.1 Produksi Bersih Padi 2025'!C541)</f>
        <v/>
      </c>
      <c r="D541" s="3" t="str">
        <f>IF('1.1 Produksi Bersih Padi 2025'!D541="","",'1.1 Produksi Bersih Padi 2025'!D541)</f>
        <v/>
      </c>
      <c r="E541" s="3" t="str">
        <f>IF('1.1 Produksi Bersih Padi 2025'!E541="","",'1.1 Produksi Bersih Padi 2025'!E541)</f>
        <v/>
      </c>
      <c r="F541" s="28" t="str">
        <f>IF(D541="","",VLOOKUP(D541,'[1]0.1 Produksi Pangan &amp; Penduduk'!$D$5:$S$860,16,0))</f>
        <v/>
      </c>
      <c r="G541" s="28" t="str">
        <f t="shared" si="48"/>
        <v/>
      </c>
      <c r="H541" s="29" t="str">
        <f t="shared" si="49"/>
        <v/>
      </c>
      <c r="I541" s="29" t="str">
        <f t="shared" si="50"/>
        <v/>
      </c>
      <c r="J541" s="29" t="str">
        <f t="shared" si="51"/>
        <v/>
      </c>
      <c r="K541" s="29" t="str">
        <f t="shared" si="52"/>
        <v/>
      </c>
      <c r="L541" s="29" t="str">
        <f t="shared" si="53"/>
        <v/>
      </c>
      <c r="N541" s="11"/>
    </row>
    <row r="542" spans="1:14" ht="15" x14ac:dyDescent="0.25">
      <c r="A542" s="1" t="str">
        <f>IF('1.1 Produksi Bersih Padi 2025'!A542="","",'1.1 Produksi Bersih Padi 2025'!A542)</f>
        <v/>
      </c>
      <c r="B542" s="2" t="str">
        <f>IF('1.1 Produksi Bersih Padi 2025'!B542="","",'1.1 Produksi Bersih Padi 2025'!B542)</f>
        <v/>
      </c>
      <c r="C542" s="2" t="str">
        <f>IF('1.1 Produksi Bersih Padi 2025'!C542="","",'1.1 Produksi Bersih Padi 2025'!C542)</f>
        <v/>
      </c>
      <c r="D542" s="3" t="str">
        <f>IF('1.1 Produksi Bersih Padi 2025'!D542="","",'1.1 Produksi Bersih Padi 2025'!D542)</f>
        <v/>
      </c>
      <c r="E542" s="3" t="str">
        <f>IF('1.1 Produksi Bersih Padi 2025'!E542="","",'1.1 Produksi Bersih Padi 2025'!E542)</f>
        <v/>
      </c>
      <c r="F542" s="28" t="str">
        <f>IF(D542="","",VLOOKUP(D542,'[1]0.1 Produksi Pangan &amp; Penduduk'!$D$5:$S$860,16,0))</f>
        <v/>
      </c>
      <c r="G542" s="28" t="str">
        <f t="shared" si="48"/>
        <v/>
      </c>
      <c r="H542" s="29" t="str">
        <f t="shared" si="49"/>
        <v/>
      </c>
      <c r="I542" s="29" t="str">
        <f t="shared" si="50"/>
        <v/>
      </c>
      <c r="J542" s="29" t="str">
        <f t="shared" si="51"/>
        <v/>
      </c>
      <c r="K542" s="29" t="str">
        <f t="shared" si="52"/>
        <v/>
      </c>
      <c r="L542" s="29" t="str">
        <f t="shared" si="53"/>
        <v/>
      </c>
      <c r="N542" s="11"/>
    </row>
    <row r="543" spans="1:14" ht="15" x14ac:dyDescent="0.25">
      <c r="A543" s="1" t="str">
        <f>IF('1.1 Produksi Bersih Padi 2025'!A543="","",'1.1 Produksi Bersih Padi 2025'!A543)</f>
        <v/>
      </c>
      <c r="B543" s="2" t="str">
        <f>IF('1.1 Produksi Bersih Padi 2025'!B543="","",'1.1 Produksi Bersih Padi 2025'!B543)</f>
        <v/>
      </c>
      <c r="C543" s="2" t="str">
        <f>IF('1.1 Produksi Bersih Padi 2025'!C543="","",'1.1 Produksi Bersih Padi 2025'!C543)</f>
        <v/>
      </c>
      <c r="D543" s="3" t="str">
        <f>IF('1.1 Produksi Bersih Padi 2025'!D543="","",'1.1 Produksi Bersih Padi 2025'!D543)</f>
        <v/>
      </c>
      <c r="E543" s="3" t="str">
        <f>IF('1.1 Produksi Bersih Padi 2025'!E543="","",'1.1 Produksi Bersih Padi 2025'!E543)</f>
        <v/>
      </c>
      <c r="F543" s="28" t="str">
        <f>IF(D543="","",VLOOKUP(D543,'[1]0.1 Produksi Pangan &amp; Penduduk'!$D$5:$S$860,16,0))</f>
        <v/>
      </c>
      <c r="G543" s="28" t="str">
        <f t="shared" si="48"/>
        <v/>
      </c>
      <c r="H543" s="29" t="str">
        <f t="shared" si="49"/>
        <v/>
      </c>
      <c r="I543" s="29" t="str">
        <f t="shared" si="50"/>
        <v/>
      </c>
      <c r="J543" s="29" t="str">
        <f t="shared" si="51"/>
        <v/>
      </c>
      <c r="K543" s="29" t="str">
        <f t="shared" si="52"/>
        <v/>
      </c>
      <c r="L543" s="29" t="str">
        <f t="shared" si="53"/>
        <v/>
      </c>
      <c r="N543" s="11"/>
    </row>
    <row r="544" spans="1:14" ht="15" x14ac:dyDescent="0.25">
      <c r="A544" s="1" t="str">
        <f>IF('1.1 Produksi Bersih Padi 2025'!A544="","",'1.1 Produksi Bersih Padi 2025'!A544)</f>
        <v/>
      </c>
      <c r="B544" s="2" t="str">
        <f>IF('1.1 Produksi Bersih Padi 2025'!B544="","",'1.1 Produksi Bersih Padi 2025'!B544)</f>
        <v/>
      </c>
      <c r="C544" s="2" t="str">
        <f>IF('1.1 Produksi Bersih Padi 2025'!C544="","",'1.1 Produksi Bersih Padi 2025'!C544)</f>
        <v/>
      </c>
      <c r="D544" s="3" t="str">
        <f>IF('1.1 Produksi Bersih Padi 2025'!D544="","",'1.1 Produksi Bersih Padi 2025'!D544)</f>
        <v/>
      </c>
      <c r="E544" s="3" t="str">
        <f>IF('1.1 Produksi Bersih Padi 2025'!E544="","",'1.1 Produksi Bersih Padi 2025'!E544)</f>
        <v/>
      </c>
      <c r="F544" s="28" t="str">
        <f>IF(D544="","",VLOOKUP(D544,'[1]0.1 Produksi Pangan &amp; Penduduk'!$D$5:$S$860,16,0))</f>
        <v/>
      </c>
      <c r="G544" s="28" t="str">
        <f t="shared" si="48"/>
        <v/>
      </c>
      <c r="H544" s="29" t="str">
        <f t="shared" si="49"/>
        <v/>
      </c>
      <c r="I544" s="29" t="str">
        <f t="shared" si="50"/>
        <v/>
      </c>
      <c r="J544" s="29" t="str">
        <f t="shared" si="51"/>
        <v/>
      </c>
      <c r="K544" s="29" t="str">
        <f t="shared" si="52"/>
        <v/>
      </c>
      <c r="L544" s="29" t="str">
        <f t="shared" si="53"/>
        <v/>
      </c>
      <c r="N544" s="11"/>
    </row>
    <row r="545" spans="1:14" ht="15" x14ac:dyDescent="0.25">
      <c r="A545" s="1" t="str">
        <f>IF('1.1 Produksi Bersih Padi 2025'!A545="","",'1.1 Produksi Bersih Padi 2025'!A545)</f>
        <v/>
      </c>
      <c r="B545" s="2" t="str">
        <f>IF('1.1 Produksi Bersih Padi 2025'!B545="","",'1.1 Produksi Bersih Padi 2025'!B545)</f>
        <v/>
      </c>
      <c r="C545" s="2" t="str">
        <f>IF('1.1 Produksi Bersih Padi 2025'!C545="","",'1.1 Produksi Bersih Padi 2025'!C545)</f>
        <v/>
      </c>
      <c r="D545" s="3" t="str">
        <f>IF('1.1 Produksi Bersih Padi 2025'!D545="","",'1.1 Produksi Bersih Padi 2025'!D545)</f>
        <v/>
      </c>
      <c r="E545" s="3" t="str">
        <f>IF('1.1 Produksi Bersih Padi 2025'!E545="","",'1.1 Produksi Bersih Padi 2025'!E545)</f>
        <v/>
      </c>
      <c r="F545" s="28" t="str">
        <f>IF(D545="","",VLOOKUP(D545,'[1]0.1 Produksi Pangan &amp; Penduduk'!$D$5:$S$860,16,0))</f>
        <v/>
      </c>
      <c r="G545" s="28" t="str">
        <f t="shared" si="48"/>
        <v/>
      </c>
      <c r="H545" s="29" t="str">
        <f t="shared" si="49"/>
        <v/>
      </c>
      <c r="I545" s="29" t="str">
        <f t="shared" si="50"/>
        <v/>
      </c>
      <c r="J545" s="29" t="str">
        <f t="shared" si="51"/>
        <v/>
      </c>
      <c r="K545" s="29" t="str">
        <f t="shared" si="52"/>
        <v/>
      </c>
      <c r="L545" s="29" t="str">
        <f t="shared" si="53"/>
        <v/>
      </c>
      <c r="N545" s="11"/>
    </row>
    <row r="546" spans="1:14" ht="15" x14ac:dyDescent="0.25">
      <c r="A546" s="1" t="str">
        <f>IF('1.1 Produksi Bersih Padi 2025'!A546="","",'1.1 Produksi Bersih Padi 2025'!A546)</f>
        <v/>
      </c>
      <c r="B546" s="2" t="str">
        <f>IF('1.1 Produksi Bersih Padi 2025'!B546="","",'1.1 Produksi Bersih Padi 2025'!B546)</f>
        <v/>
      </c>
      <c r="C546" s="2" t="str">
        <f>IF('1.1 Produksi Bersih Padi 2025'!C546="","",'1.1 Produksi Bersih Padi 2025'!C546)</f>
        <v/>
      </c>
      <c r="D546" s="3" t="str">
        <f>IF('1.1 Produksi Bersih Padi 2025'!D546="","",'1.1 Produksi Bersih Padi 2025'!D546)</f>
        <v/>
      </c>
      <c r="E546" s="3" t="str">
        <f>IF('1.1 Produksi Bersih Padi 2025'!E546="","",'1.1 Produksi Bersih Padi 2025'!E546)</f>
        <v/>
      </c>
      <c r="F546" s="28" t="str">
        <f>IF(D546="","",VLOOKUP(D546,'[1]0.1 Produksi Pangan &amp; Penduduk'!$D$5:$S$860,16,0))</f>
        <v/>
      </c>
      <c r="G546" s="28" t="str">
        <f t="shared" si="48"/>
        <v/>
      </c>
      <c r="H546" s="29" t="str">
        <f t="shared" si="49"/>
        <v/>
      </c>
      <c r="I546" s="29" t="str">
        <f t="shared" si="50"/>
        <v/>
      </c>
      <c r="J546" s="29" t="str">
        <f t="shared" si="51"/>
        <v/>
      </c>
      <c r="K546" s="29" t="str">
        <f t="shared" si="52"/>
        <v/>
      </c>
      <c r="L546" s="29" t="str">
        <f t="shared" si="53"/>
        <v/>
      </c>
      <c r="N546" s="11"/>
    </row>
    <row r="547" spans="1:14" ht="15" x14ac:dyDescent="0.25">
      <c r="A547" s="1" t="str">
        <f>IF('1.1 Produksi Bersih Padi 2025'!A547="","",'1.1 Produksi Bersih Padi 2025'!A547)</f>
        <v/>
      </c>
      <c r="B547" s="2" t="str">
        <f>IF('1.1 Produksi Bersih Padi 2025'!B547="","",'1.1 Produksi Bersih Padi 2025'!B547)</f>
        <v/>
      </c>
      <c r="C547" s="2" t="str">
        <f>IF('1.1 Produksi Bersih Padi 2025'!C547="","",'1.1 Produksi Bersih Padi 2025'!C547)</f>
        <v/>
      </c>
      <c r="D547" s="3" t="str">
        <f>IF('1.1 Produksi Bersih Padi 2025'!D547="","",'1.1 Produksi Bersih Padi 2025'!D547)</f>
        <v/>
      </c>
      <c r="E547" s="3" t="str">
        <f>IF('1.1 Produksi Bersih Padi 2025'!E547="","",'1.1 Produksi Bersih Padi 2025'!E547)</f>
        <v/>
      </c>
      <c r="F547" s="28" t="str">
        <f>IF(D547="","",VLOOKUP(D547,'[1]0.1 Produksi Pangan &amp; Penduduk'!$D$5:$S$860,16,0))</f>
        <v/>
      </c>
      <c r="G547" s="28" t="str">
        <f t="shared" si="48"/>
        <v/>
      </c>
      <c r="H547" s="29" t="str">
        <f t="shared" si="49"/>
        <v/>
      </c>
      <c r="I547" s="29" t="str">
        <f t="shared" si="50"/>
        <v/>
      </c>
      <c r="J547" s="29" t="str">
        <f t="shared" si="51"/>
        <v/>
      </c>
      <c r="K547" s="29" t="str">
        <f t="shared" si="52"/>
        <v/>
      </c>
      <c r="L547" s="29" t="str">
        <f t="shared" si="53"/>
        <v/>
      </c>
      <c r="N547" s="11"/>
    </row>
    <row r="548" spans="1:14" ht="15" x14ac:dyDescent="0.25">
      <c r="A548" s="1" t="str">
        <f>IF('1.1 Produksi Bersih Padi 2025'!A548="","",'1.1 Produksi Bersih Padi 2025'!A548)</f>
        <v/>
      </c>
      <c r="B548" s="2" t="str">
        <f>IF('1.1 Produksi Bersih Padi 2025'!B548="","",'1.1 Produksi Bersih Padi 2025'!B548)</f>
        <v/>
      </c>
      <c r="C548" s="2" t="str">
        <f>IF('1.1 Produksi Bersih Padi 2025'!C548="","",'1.1 Produksi Bersih Padi 2025'!C548)</f>
        <v/>
      </c>
      <c r="D548" s="3" t="str">
        <f>IF('1.1 Produksi Bersih Padi 2025'!D548="","",'1.1 Produksi Bersih Padi 2025'!D548)</f>
        <v/>
      </c>
      <c r="E548" s="3" t="str">
        <f>IF('1.1 Produksi Bersih Padi 2025'!E548="","",'1.1 Produksi Bersih Padi 2025'!E548)</f>
        <v/>
      </c>
      <c r="F548" s="28" t="str">
        <f>IF(D548="","",VLOOKUP(D548,'[1]0.1 Produksi Pangan &amp; Penduduk'!$D$5:$S$860,16,0))</f>
        <v/>
      </c>
      <c r="G548" s="28" t="str">
        <f t="shared" si="48"/>
        <v/>
      </c>
      <c r="H548" s="29" t="str">
        <f t="shared" si="49"/>
        <v/>
      </c>
      <c r="I548" s="29" t="str">
        <f t="shared" si="50"/>
        <v/>
      </c>
      <c r="J548" s="29" t="str">
        <f t="shared" si="51"/>
        <v/>
      </c>
      <c r="K548" s="29" t="str">
        <f t="shared" si="52"/>
        <v/>
      </c>
      <c r="L548" s="29" t="str">
        <f t="shared" si="53"/>
        <v/>
      </c>
      <c r="N548" s="11"/>
    </row>
    <row r="549" spans="1:14" ht="15" x14ac:dyDescent="0.25">
      <c r="A549" s="1" t="str">
        <f>IF('1.1 Produksi Bersih Padi 2025'!A549="","",'1.1 Produksi Bersih Padi 2025'!A549)</f>
        <v/>
      </c>
      <c r="B549" s="2" t="str">
        <f>IF('1.1 Produksi Bersih Padi 2025'!B549="","",'1.1 Produksi Bersih Padi 2025'!B549)</f>
        <v/>
      </c>
      <c r="C549" s="2" t="str">
        <f>IF('1.1 Produksi Bersih Padi 2025'!C549="","",'1.1 Produksi Bersih Padi 2025'!C549)</f>
        <v/>
      </c>
      <c r="D549" s="3" t="str">
        <f>IF('1.1 Produksi Bersih Padi 2025'!D549="","",'1.1 Produksi Bersih Padi 2025'!D549)</f>
        <v/>
      </c>
      <c r="E549" s="3" t="str">
        <f>IF('1.1 Produksi Bersih Padi 2025'!E549="","",'1.1 Produksi Bersih Padi 2025'!E549)</f>
        <v/>
      </c>
      <c r="F549" s="28" t="str">
        <f>IF(D549="","",VLOOKUP(D549,'[1]0.1 Produksi Pangan &amp; Penduduk'!$D$5:$S$860,16,0))</f>
        <v/>
      </c>
      <c r="G549" s="28" t="str">
        <f t="shared" si="48"/>
        <v/>
      </c>
      <c r="H549" s="29" t="str">
        <f t="shared" si="49"/>
        <v/>
      </c>
      <c r="I549" s="29" t="str">
        <f t="shared" si="50"/>
        <v/>
      </c>
      <c r="J549" s="29" t="str">
        <f t="shared" si="51"/>
        <v/>
      </c>
      <c r="K549" s="29" t="str">
        <f t="shared" si="52"/>
        <v/>
      </c>
      <c r="L549" s="29" t="str">
        <f t="shared" si="53"/>
        <v/>
      </c>
      <c r="N549" s="11"/>
    </row>
    <row r="550" spans="1:14" ht="15" x14ac:dyDescent="0.25">
      <c r="A550" s="1" t="str">
        <f>IF('1.1 Produksi Bersih Padi 2025'!A550="","",'1.1 Produksi Bersih Padi 2025'!A550)</f>
        <v/>
      </c>
      <c r="B550" s="2" t="str">
        <f>IF('1.1 Produksi Bersih Padi 2025'!B550="","",'1.1 Produksi Bersih Padi 2025'!B550)</f>
        <v/>
      </c>
      <c r="C550" s="2" t="str">
        <f>IF('1.1 Produksi Bersih Padi 2025'!C550="","",'1.1 Produksi Bersih Padi 2025'!C550)</f>
        <v/>
      </c>
      <c r="D550" s="3" t="str">
        <f>IF('1.1 Produksi Bersih Padi 2025'!D550="","",'1.1 Produksi Bersih Padi 2025'!D550)</f>
        <v/>
      </c>
      <c r="E550" s="3" t="str">
        <f>IF('1.1 Produksi Bersih Padi 2025'!E550="","",'1.1 Produksi Bersih Padi 2025'!E550)</f>
        <v/>
      </c>
      <c r="F550" s="28" t="str">
        <f>IF(D550="","",VLOOKUP(D550,'[1]0.1 Produksi Pangan &amp; Penduduk'!$D$5:$S$860,16,0))</f>
        <v/>
      </c>
      <c r="G550" s="28" t="str">
        <f t="shared" si="48"/>
        <v/>
      </c>
      <c r="H550" s="29" t="str">
        <f t="shared" si="49"/>
        <v/>
      </c>
      <c r="I550" s="29" t="str">
        <f t="shared" si="50"/>
        <v/>
      </c>
      <c r="J550" s="29" t="str">
        <f t="shared" si="51"/>
        <v/>
      </c>
      <c r="K550" s="29" t="str">
        <f t="shared" si="52"/>
        <v/>
      </c>
      <c r="L550" s="29" t="str">
        <f t="shared" si="53"/>
        <v/>
      </c>
      <c r="N550" s="11"/>
    </row>
    <row r="551" spans="1:14" ht="15" x14ac:dyDescent="0.25">
      <c r="A551" s="1" t="str">
        <f>IF('1.1 Produksi Bersih Padi 2025'!A551="","",'1.1 Produksi Bersih Padi 2025'!A551)</f>
        <v/>
      </c>
      <c r="B551" s="2" t="str">
        <f>IF('1.1 Produksi Bersih Padi 2025'!B551="","",'1.1 Produksi Bersih Padi 2025'!B551)</f>
        <v/>
      </c>
      <c r="C551" s="2" t="str">
        <f>IF('1.1 Produksi Bersih Padi 2025'!C551="","",'1.1 Produksi Bersih Padi 2025'!C551)</f>
        <v/>
      </c>
      <c r="D551" s="3" t="str">
        <f>IF('1.1 Produksi Bersih Padi 2025'!D551="","",'1.1 Produksi Bersih Padi 2025'!D551)</f>
        <v/>
      </c>
      <c r="E551" s="3" t="str">
        <f>IF('1.1 Produksi Bersih Padi 2025'!E551="","",'1.1 Produksi Bersih Padi 2025'!E551)</f>
        <v/>
      </c>
      <c r="F551" s="28" t="str">
        <f>IF(D551="","",VLOOKUP(D551,'[1]0.1 Produksi Pangan &amp; Penduduk'!$D$5:$S$860,16,0))</f>
        <v/>
      </c>
      <c r="G551" s="28" t="str">
        <f t="shared" si="48"/>
        <v/>
      </c>
      <c r="H551" s="29" t="str">
        <f t="shared" si="49"/>
        <v/>
      </c>
      <c r="I551" s="29" t="str">
        <f t="shared" si="50"/>
        <v/>
      </c>
      <c r="J551" s="29" t="str">
        <f t="shared" si="51"/>
        <v/>
      </c>
      <c r="K551" s="29" t="str">
        <f t="shared" si="52"/>
        <v/>
      </c>
      <c r="L551" s="29" t="str">
        <f t="shared" si="53"/>
        <v/>
      </c>
      <c r="N551" s="11"/>
    </row>
    <row r="552" spans="1:14" ht="15" x14ac:dyDescent="0.25">
      <c r="A552" s="1" t="str">
        <f>IF('1.1 Produksi Bersih Padi 2025'!A552="","",'1.1 Produksi Bersih Padi 2025'!A552)</f>
        <v/>
      </c>
      <c r="B552" s="2" t="str">
        <f>IF('1.1 Produksi Bersih Padi 2025'!B552="","",'1.1 Produksi Bersih Padi 2025'!B552)</f>
        <v/>
      </c>
      <c r="C552" s="2" t="str">
        <f>IF('1.1 Produksi Bersih Padi 2025'!C552="","",'1.1 Produksi Bersih Padi 2025'!C552)</f>
        <v/>
      </c>
      <c r="D552" s="3" t="str">
        <f>IF('1.1 Produksi Bersih Padi 2025'!D552="","",'1.1 Produksi Bersih Padi 2025'!D552)</f>
        <v/>
      </c>
      <c r="E552" s="3" t="str">
        <f>IF('1.1 Produksi Bersih Padi 2025'!E552="","",'1.1 Produksi Bersih Padi 2025'!E552)</f>
        <v/>
      </c>
      <c r="F552" s="28" t="str">
        <f>IF(D552="","",VLOOKUP(D552,'[1]0.1 Produksi Pangan &amp; Penduduk'!$D$5:$S$860,16,0))</f>
        <v/>
      </c>
      <c r="G552" s="28" t="str">
        <f t="shared" si="48"/>
        <v/>
      </c>
      <c r="H552" s="29" t="str">
        <f t="shared" si="49"/>
        <v/>
      </c>
      <c r="I552" s="29" t="str">
        <f t="shared" si="50"/>
        <v/>
      </c>
      <c r="J552" s="29" t="str">
        <f t="shared" si="51"/>
        <v/>
      </c>
      <c r="K552" s="29" t="str">
        <f t="shared" si="52"/>
        <v/>
      </c>
      <c r="L552" s="29" t="str">
        <f t="shared" si="53"/>
        <v/>
      </c>
      <c r="N552" s="11"/>
    </row>
    <row r="553" spans="1:14" ht="15" x14ac:dyDescent="0.25">
      <c r="A553" s="1" t="str">
        <f>IF('1.1 Produksi Bersih Padi 2025'!A553="","",'1.1 Produksi Bersih Padi 2025'!A553)</f>
        <v/>
      </c>
      <c r="B553" s="2" t="str">
        <f>IF('1.1 Produksi Bersih Padi 2025'!B553="","",'1.1 Produksi Bersih Padi 2025'!B553)</f>
        <v/>
      </c>
      <c r="C553" s="2" t="str">
        <f>IF('1.1 Produksi Bersih Padi 2025'!C553="","",'1.1 Produksi Bersih Padi 2025'!C553)</f>
        <v/>
      </c>
      <c r="D553" s="3" t="str">
        <f>IF('1.1 Produksi Bersih Padi 2025'!D553="","",'1.1 Produksi Bersih Padi 2025'!D553)</f>
        <v/>
      </c>
      <c r="E553" s="3" t="str">
        <f>IF('1.1 Produksi Bersih Padi 2025'!E553="","",'1.1 Produksi Bersih Padi 2025'!E553)</f>
        <v/>
      </c>
      <c r="F553" s="28" t="str">
        <f>IF(D553="","",VLOOKUP(D553,'[1]0.1 Produksi Pangan &amp; Penduduk'!$D$5:$S$860,16,0))</f>
        <v/>
      </c>
      <c r="G553" s="28" t="str">
        <f t="shared" si="48"/>
        <v/>
      </c>
      <c r="H553" s="29" t="str">
        <f t="shared" si="49"/>
        <v/>
      </c>
      <c r="I553" s="29" t="str">
        <f t="shared" si="50"/>
        <v/>
      </c>
      <c r="J553" s="29" t="str">
        <f t="shared" si="51"/>
        <v/>
      </c>
      <c r="K553" s="29" t="str">
        <f t="shared" si="52"/>
        <v/>
      </c>
      <c r="L553" s="29" t="str">
        <f t="shared" si="53"/>
        <v/>
      </c>
      <c r="N553" s="11"/>
    </row>
    <row r="554" spans="1:14" ht="15" x14ac:dyDescent="0.25">
      <c r="A554" s="1" t="str">
        <f>IF('1.1 Produksi Bersih Padi 2025'!A554="","",'1.1 Produksi Bersih Padi 2025'!A554)</f>
        <v/>
      </c>
      <c r="B554" s="2" t="str">
        <f>IF('1.1 Produksi Bersih Padi 2025'!B554="","",'1.1 Produksi Bersih Padi 2025'!B554)</f>
        <v/>
      </c>
      <c r="C554" s="2" t="str">
        <f>IF('1.1 Produksi Bersih Padi 2025'!C554="","",'1.1 Produksi Bersih Padi 2025'!C554)</f>
        <v/>
      </c>
      <c r="D554" s="3" t="str">
        <f>IF('1.1 Produksi Bersih Padi 2025'!D554="","",'1.1 Produksi Bersih Padi 2025'!D554)</f>
        <v/>
      </c>
      <c r="E554" s="3" t="str">
        <f>IF('1.1 Produksi Bersih Padi 2025'!E554="","",'1.1 Produksi Bersih Padi 2025'!E554)</f>
        <v/>
      </c>
      <c r="F554" s="28" t="str">
        <f>IF(D554="","",VLOOKUP(D554,'[1]0.1 Produksi Pangan &amp; Penduduk'!$D$5:$S$860,16,0))</f>
        <v/>
      </c>
      <c r="G554" s="28" t="str">
        <f t="shared" si="48"/>
        <v/>
      </c>
      <c r="H554" s="29" t="str">
        <f t="shared" si="49"/>
        <v/>
      </c>
      <c r="I554" s="29" t="str">
        <f t="shared" si="50"/>
        <v/>
      </c>
      <c r="J554" s="29" t="str">
        <f t="shared" si="51"/>
        <v/>
      </c>
      <c r="K554" s="29" t="str">
        <f t="shared" si="52"/>
        <v/>
      </c>
      <c r="L554" s="29" t="str">
        <f t="shared" si="53"/>
        <v/>
      </c>
      <c r="N554" s="11"/>
    </row>
    <row r="555" spans="1:14" ht="15" x14ac:dyDescent="0.25">
      <c r="A555" s="1" t="str">
        <f>IF('1.1 Produksi Bersih Padi 2025'!A555="","",'1.1 Produksi Bersih Padi 2025'!A555)</f>
        <v/>
      </c>
      <c r="B555" s="2" t="str">
        <f>IF('1.1 Produksi Bersih Padi 2025'!B555="","",'1.1 Produksi Bersih Padi 2025'!B555)</f>
        <v/>
      </c>
      <c r="C555" s="2" t="str">
        <f>IF('1.1 Produksi Bersih Padi 2025'!C555="","",'1.1 Produksi Bersih Padi 2025'!C555)</f>
        <v/>
      </c>
      <c r="D555" s="3" t="str">
        <f>IF('1.1 Produksi Bersih Padi 2025'!D555="","",'1.1 Produksi Bersih Padi 2025'!D555)</f>
        <v/>
      </c>
      <c r="E555" s="3" t="str">
        <f>IF('1.1 Produksi Bersih Padi 2025'!E555="","",'1.1 Produksi Bersih Padi 2025'!E555)</f>
        <v/>
      </c>
      <c r="F555" s="28" t="str">
        <f>IF(D555="","",VLOOKUP(D555,'[1]0.1 Produksi Pangan &amp; Penduduk'!$D$5:$S$860,16,0))</f>
        <v/>
      </c>
      <c r="G555" s="28" t="str">
        <f t="shared" si="48"/>
        <v/>
      </c>
      <c r="H555" s="29" t="str">
        <f t="shared" si="49"/>
        <v/>
      </c>
      <c r="I555" s="29" t="str">
        <f t="shared" si="50"/>
        <v/>
      </c>
      <c r="J555" s="29" t="str">
        <f t="shared" si="51"/>
        <v/>
      </c>
      <c r="K555" s="29" t="str">
        <f t="shared" si="52"/>
        <v/>
      </c>
      <c r="L555" s="29" t="str">
        <f t="shared" si="53"/>
        <v/>
      </c>
      <c r="N555" s="11"/>
    </row>
    <row r="556" spans="1:14" ht="15" x14ac:dyDescent="0.25">
      <c r="A556" s="1" t="str">
        <f>IF('1.1 Produksi Bersih Padi 2025'!A556="","",'1.1 Produksi Bersih Padi 2025'!A556)</f>
        <v/>
      </c>
      <c r="B556" s="2" t="str">
        <f>IF('1.1 Produksi Bersih Padi 2025'!B556="","",'1.1 Produksi Bersih Padi 2025'!B556)</f>
        <v/>
      </c>
      <c r="C556" s="2" t="str">
        <f>IF('1.1 Produksi Bersih Padi 2025'!C556="","",'1.1 Produksi Bersih Padi 2025'!C556)</f>
        <v/>
      </c>
      <c r="D556" s="3" t="str">
        <f>IF('1.1 Produksi Bersih Padi 2025'!D556="","",'1.1 Produksi Bersih Padi 2025'!D556)</f>
        <v/>
      </c>
      <c r="E556" s="3" t="str">
        <f>IF('1.1 Produksi Bersih Padi 2025'!E556="","",'1.1 Produksi Bersih Padi 2025'!E556)</f>
        <v/>
      </c>
      <c r="F556" s="28" t="str">
        <f>IF(D556="","",VLOOKUP(D556,'[1]0.1 Produksi Pangan &amp; Penduduk'!$D$5:$S$860,16,0))</f>
        <v/>
      </c>
      <c r="G556" s="28" t="str">
        <f t="shared" si="48"/>
        <v/>
      </c>
      <c r="H556" s="29" t="str">
        <f t="shared" si="49"/>
        <v/>
      </c>
      <c r="I556" s="29" t="str">
        <f t="shared" si="50"/>
        <v/>
      </c>
      <c r="J556" s="29" t="str">
        <f t="shared" si="51"/>
        <v/>
      </c>
      <c r="K556" s="29" t="str">
        <f t="shared" si="52"/>
        <v/>
      </c>
      <c r="L556" s="29" t="str">
        <f t="shared" si="53"/>
        <v/>
      </c>
      <c r="N556" s="11"/>
    </row>
    <row r="557" spans="1:14" ht="15" x14ac:dyDescent="0.25">
      <c r="A557" s="1" t="str">
        <f>IF('1.1 Produksi Bersih Padi 2025'!A557="","",'1.1 Produksi Bersih Padi 2025'!A557)</f>
        <v/>
      </c>
      <c r="B557" s="2" t="str">
        <f>IF('1.1 Produksi Bersih Padi 2025'!B557="","",'1.1 Produksi Bersih Padi 2025'!B557)</f>
        <v/>
      </c>
      <c r="C557" s="2" t="str">
        <f>IF('1.1 Produksi Bersih Padi 2025'!C557="","",'1.1 Produksi Bersih Padi 2025'!C557)</f>
        <v/>
      </c>
      <c r="D557" s="3" t="str">
        <f>IF('1.1 Produksi Bersih Padi 2025'!D557="","",'1.1 Produksi Bersih Padi 2025'!D557)</f>
        <v/>
      </c>
      <c r="E557" s="3" t="str">
        <f>IF('1.1 Produksi Bersih Padi 2025'!E557="","",'1.1 Produksi Bersih Padi 2025'!E557)</f>
        <v/>
      </c>
      <c r="F557" s="28" t="str">
        <f>IF(D557="","",VLOOKUP(D557,'[1]0.1 Produksi Pangan &amp; Penduduk'!$D$5:$S$860,16,0))</f>
        <v/>
      </c>
      <c r="G557" s="28" t="str">
        <f t="shared" si="48"/>
        <v/>
      </c>
      <c r="H557" s="29" t="str">
        <f t="shared" si="49"/>
        <v/>
      </c>
      <c r="I557" s="29" t="str">
        <f t="shared" si="50"/>
        <v/>
      </c>
      <c r="J557" s="29" t="str">
        <f t="shared" si="51"/>
        <v/>
      </c>
      <c r="K557" s="29" t="str">
        <f t="shared" si="52"/>
        <v/>
      </c>
      <c r="L557" s="29" t="str">
        <f t="shared" si="53"/>
        <v/>
      </c>
      <c r="N557" s="11"/>
    </row>
    <row r="558" spans="1:14" ht="15" x14ac:dyDescent="0.25">
      <c r="A558" s="1" t="str">
        <f>IF('1.1 Produksi Bersih Padi 2025'!A558="","",'1.1 Produksi Bersih Padi 2025'!A558)</f>
        <v/>
      </c>
      <c r="B558" s="2" t="str">
        <f>IF('1.1 Produksi Bersih Padi 2025'!B558="","",'1.1 Produksi Bersih Padi 2025'!B558)</f>
        <v/>
      </c>
      <c r="C558" s="2" t="str">
        <f>IF('1.1 Produksi Bersih Padi 2025'!C558="","",'1.1 Produksi Bersih Padi 2025'!C558)</f>
        <v/>
      </c>
      <c r="D558" s="3" t="str">
        <f>IF('1.1 Produksi Bersih Padi 2025'!D558="","",'1.1 Produksi Bersih Padi 2025'!D558)</f>
        <v/>
      </c>
      <c r="E558" s="3" t="str">
        <f>IF('1.1 Produksi Bersih Padi 2025'!E558="","",'1.1 Produksi Bersih Padi 2025'!E558)</f>
        <v/>
      </c>
      <c r="F558" s="28" t="str">
        <f>IF(D558="","",VLOOKUP(D558,'[1]0.1 Produksi Pangan &amp; Penduduk'!$D$5:$S$860,16,0))</f>
        <v/>
      </c>
      <c r="G558" s="28" t="str">
        <f t="shared" si="48"/>
        <v/>
      </c>
      <c r="H558" s="29" t="str">
        <f t="shared" si="49"/>
        <v/>
      </c>
      <c r="I558" s="29" t="str">
        <f t="shared" si="50"/>
        <v/>
      </c>
      <c r="J558" s="29" t="str">
        <f t="shared" si="51"/>
        <v/>
      </c>
      <c r="K558" s="29" t="str">
        <f t="shared" si="52"/>
        <v/>
      </c>
      <c r="L558" s="29" t="str">
        <f t="shared" si="53"/>
        <v/>
      </c>
      <c r="N558" s="11"/>
    </row>
    <row r="559" spans="1:14" ht="15" x14ac:dyDescent="0.25">
      <c r="A559" s="1" t="str">
        <f>IF('1.1 Produksi Bersih Padi 2025'!A559="","",'1.1 Produksi Bersih Padi 2025'!A559)</f>
        <v/>
      </c>
      <c r="B559" s="2" t="str">
        <f>IF('1.1 Produksi Bersih Padi 2025'!B559="","",'1.1 Produksi Bersih Padi 2025'!B559)</f>
        <v/>
      </c>
      <c r="C559" s="2" t="str">
        <f>IF('1.1 Produksi Bersih Padi 2025'!C559="","",'1.1 Produksi Bersih Padi 2025'!C559)</f>
        <v/>
      </c>
      <c r="D559" s="3" t="str">
        <f>IF('1.1 Produksi Bersih Padi 2025'!D559="","",'1.1 Produksi Bersih Padi 2025'!D559)</f>
        <v/>
      </c>
      <c r="E559" s="3" t="str">
        <f>IF('1.1 Produksi Bersih Padi 2025'!E559="","",'1.1 Produksi Bersih Padi 2025'!E559)</f>
        <v/>
      </c>
      <c r="F559" s="28" t="str">
        <f>IF(D559="","",VLOOKUP(D559,'[1]0.1 Produksi Pangan &amp; Penduduk'!$D$5:$S$860,16,0))</f>
        <v/>
      </c>
      <c r="G559" s="28" t="str">
        <f t="shared" si="48"/>
        <v/>
      </c>
      <c r="H559" s="29" t="str">
        <f t="shared" si="49"/>
        <v/>
      </c>
      <c r="I559" s="29" t="str">
        <f t="shared" si="50"/>
        <v/>
      </c>
      <c r="J559" s="29" t="str">
        <f t="shared" si="51"/>
        <v/>
      </c>
      <c r="K559" s="29" t="str">
        <f t="shared" si="52"/>
        <v/>
      </c>
      <c r="L559" s="29" t="str">
        <f t="shared" si="53"/>
        <v/>
      </c>
      <c r="N559" s="11"/>
    </row>
    <row r="560" spans="1:14" ht="15" x14ac:dyDescent="0.25">
      <c r="A560" s="1" t="str">
        <f>IF('1.1 Produksi Bersih Padi 2025'!A560="","",'1.1 Produksi Bersih Padi 2025'!A560)</f>
        <v/>
      </c>
      <c r="B560" s="2" t="str">
        <f>IF('1.1 Produksi Bersih Padi 2025'!B560="","",'1.1 Produksi Bersih Padi 2025'!B560)</f>
        <v/>
      </c>
      <c r="C560" s="2" t="str">
        <f>IF('1.1 Produksi Bersih Padi 2025'!C560="","",'1.1 Produksi Bersih Padi 2025'!C560)</f>
        <v/>
      </c>
      <c r="D560" s="3" t="str">
        <f>IF('1.1 Produksi Bersih Padi 2025'!D560="","",'1.1 Produksi Bersih Padi 2025'!D560)</f>
        <v/>
      </c>
      <c r="E560" s="3" t="str">
        <f>IF('1.1 Produksi Bersih Padi 2025'!E560="","",'1.1 Produksi Bersih Padi 2025'!E560)</f>
        <v/>
      </c>
      <c r="F560" s="28" t="str">
        <f>IF(D560="","",VLOOKUP(D560,'[1]0.1 Produksi Pangan &amp; Penduduk'!$D$5:$S$860,16,0))</f>
        <v/>
      </c>
      <c r="G560" s="28" t="str">
        <f t="shared" si="48"/>
        <v/>
      </c>
      <c r="H560" s="29" t="str">
        <f t="shared" si="49"/>
        <v/>
      </c>
      <c r="I560" s="29" t="str">
        <f t="shared" si="50"/>
        <v/>
      </c>
      <c r="J560" s="29" t="str">
        <f t="shared" si="51"/>
        <v/>
      </c>
      <c r="K560" s="29" t="str">
        <f t="shared" si="52"/>
        <v/>
      </c>
      <c r="L560" s="29" t="str">
        <f t="shared" si="53"/>
        <v/>
      </c>
      <c r="N560" s="11"/>
    </row>
    <row r="561" spans="1:14" ht="15" x14ac:dyDescent="0.25">
      <c r="A561" s="1" t="str">
        <f>IF('1.1 Produksi Bersih Padi 2025'!A561="","",'1.1 Produksi Bersih Padi 2025'!A561)</f>
        <v/>
      </c>
      <c r="B561" s="2" t="str">
        <f>IF('1.1 Produksi Bersih Padi 2025'!B561="","",'1.1 Produksi Bersih Padi 2025'!B561)</f>
        <v/>
      </c>
      <c r="C561" s="2" t="str">
        <f>IF('1.1 Produksi Bersih Padi 2025'!C561="","",'1.1 Produksi Bersih Padi 2025'!C561)</f>
        <v/>
      </c>
      <c r="D561" s="3" t="str">
        <f>IF('1.1 Produksi Bersih Padi 2025'!D561="","",'1.1 Produksi Bersih Padi 2025'!D561)</f>
        <v/>
      </c>
      <c r="E561" s="3" t="str">
        <f>IF('1.1 Produksi Bersih Padi 2025'!E561="","",'1.1 Produksi Bersih Padi 2025'!E561)</f>
        <v/>
      </c>
      <c r="F561" s="28" t="str">
        <f>IF(D561="","",VLOOKUP(D561,'[1]0.1 Produksi Pangan &amp; Penduduk'!$D$5:$S$860,16,0))</f>
        <v/>
      </c>
      <c r="G561" s="28" t="str">
        <f t="shared" si="48"/>
        <v/>
      </c>
      <c r="H561" s="29" t="str">
        <f t="shared" si="49"/>
        <v/>
      </c>
      <c r="I561" s="29" t="str">
        <f t="shared" si="50"/>
        <v/>
      </c>
      <c r="J561" s="29" t="str">
        <f t="shared" si="51"/>
        <v/>
      </c>
      <c r="K561" s="29" t="str">
        <f t="shared" si="52"/>
        <v/>
      </c>
      <c r="L561" s="29" t="str">
        <f t="shared" si="53"/>
        <v/>
      </c>
      <c r="N561" s="11"/>
    </row>
    <row r="562" spans="1:14" ht="15" x14ac:dyDescent="0.25">
      <c r="A562" s="1" t="str">
        <f>IF('1.1 Produksi Bersih Padi 2025'!A562="","",'1.1 Produksi Bersih Padi 2025'!A562)</f>
        <v/>
      </c>
      <c r="B562" s="2" t="str">
        <f>IF('1.1 Produksi Bersih Padi 2025'!B562="","",'1.1 Produksi Bersih Padi 2025'!B562)</f>
        <v/>
      </c>
      <c r="C562" s="2" t="str">
        <f>IF('1.1 Produksi Bersih Padi 2025'!C562="","",'1.1 Produksi Bersih Padi 2025'!C562)</f>
        <v/>
      </c>
      <c r="D562" s="3" t="str">
        <f>IF('1.1 Produksi Bersih Padi 2025'!D562="","",'1.1 Produksi Bersih Padi 2025'!D562)</f>
        <v/>
      </c>
      <c r="E562" s="3" t="str">
        <f>IF('1.1 Produksi Bersih Padi 2025'!E562="","",'1.1 Produksi Bersih Padi 2025'!E562)</f>
        <v/>
      </c>
      <c r="F562" s="28" t="str">
        <f>IF(D562="","",VLOOKUP(D562,'[1]0.1 Produksi Pangan &amp; Penduduk'!$D$5:$S$860,16,0))</f>
        <v/>
      </c>
      <c r="G562" s="28" t="str">
        <f t="shared" si="48"/>
        <v/>
      </c>
      <c r="H562" s="29" t="str">
        <f t="shared" si="49"/>
        <v/>
      </c>
      <c r="I562" s="29" t="str">
        <f t="shared" si="50"/>
        <v/>
      </c>
      <c r="J562" s="29" t="str">
        <f t="shared" si="51"/>
        <v/>
      </c>
      <c r="K562" s="29" t="str">
        <f t="shared" si="52"/>
        <v/>
      </c>
      <c r="L562" s="29" t="str">
        <f t="shared" si="53"/>
        <v/>
      </c>
      <c r="N562" s="11"/>
    </row>
    <row r="563" spans="1:14" ht="15" x14ac:dyDescent="0.25">
      <c r="A563" s="1" t="str">
        <f>IF('1.1 Produksi Bersih Padi 2025'!A563="","",'1.1 Produksi Bersih Padi 2025'!A563)</f>
        <v/>
      </c>
      <c r="B563" s="2" t="str">
        <f>IF('1.1 Produksi Bersih Padi 2025'!B563="","",'1.1 Produksi Bersih Padi 2025'!B563)</f>
        <v/>
      </c>
      <c r="C563" s="2" t="str">
        <f>IF('1.1 Produksi Bersih Padi 2025'!C563="","",'1.1 Produksi Bersih Padi 2025'!C563)</f>
        <v/>
      </c>
      <c r="D563" s="3" t="str">
        <f>IF('1.1 Produksi Bersih Padi 2025'!D563="","",'1.1 Produksi Bersih Padi 2025'!D563)</f>
        <v/>
      </c>
      <c r="E563" s="3" t="str">
        <f>IF('1.1 Produksi Bersih Padi 2025'!E563="","",'1.1 Produksi Bersih Padi 2025'!E563)</f>
        <v/>
      </c>
      <c r="F563" s="28" t="str">
        <f>IF(D563="","",VLOOKUP(D563,'[1]0.1 Produksi Pangan &amp; Penduduk'!$D$5:$S$860,16,0))</f>
        <v/>
      </c>
      <c r="G563" s="28" t="str">
        <f t="shared" si="48"/>
        <v/>
      </c>
      <c r="H563" s="29" t="str">
        <f t="shared" si="49"/>
        <v/>
      </c>
      <c r="I563" s="29" t="str">
        <f t="shared" si="50"/>
        <v/>
      </c>
      <c r="J563" s="29" t="str">
        <f t="shared" si="51"/>
        <v/>
      </c>
      <c r="K563" s="29" t="str">
        <f t="shared" si="52"/>
        <v/>
      </c>
      <c r="L563" s="29" t="str">
        <f t="shared" si="53"/>
        <v/>
      </c>
      <c r="N563" s="11"/>
    </row>
    <row r="564" spans="1:14" ht="15" x14ac:dyDescent="0.25">
      <c r="A564" s="1" t="str">
        <f>IF('1.1 Produksi Bersih Padi 2025'!A564="","",'1.1 Produksi Bersih Padi 2025'!A564)</f>
        <v/>
      </c>
      <c r="B564" s="2" t="str">
        <f>IF('1.1 Produksi Bersih Padi 2025'!B564="","",'1.1 Produksi Bersih Padi 2025'!B564)</f>
        <v/>
      </c>
      <c r="C564" s="2" t="str">
        <f>IF('1.1 Produksi Bersih Padi 2025'!C564="","",'1.1 Produksi Bersih Padi 2025'!C564)</f>
        <v/>
      </c>
      <c r="D564" s="3" t="str">
        <f>IF('1.1 Produksi Bersih Padi 2025'!D564="","",'1.1 Produksi Bersih Padi 2025'!D564)</f>
        <v/>
      </c>
      <c r="E564" s="3" t="str">
        <f>IF('1.1 Produksi Bersih Padi 2025'!E564="","",'1.1 Produksi Bersih Padi 2025'!E564)</f>
        <v/>
      </c>
      <c r="F564" s="28" t="str">
        <f>IF(D564="","",VLOOKUP(D564,'[1]0.1 Produksi Pangan &amp; Penduduk'!$D$5:$S$860,16,0))</f>
        <v/>
      </c>
      <c r="G564" s="28" t="str">
        <f t="shared" si="48"/>
        <v/>
      </c>
      <c r="H564" s="29" t="str">
        <f t="shared" si="49"/>
        <v/>
      </c>
      <c r="I564" s="29" t="str">
        <f t="shared" si="50"/>
        <v/>
      </c>
      <c r="J564" s="29" t="str">
        <f t="shared" si="51"/>
        <v/>
      </c>
      <c r="K564" s="29" t="str">
        <f t="shared" si="52"/>
        <v/>
      </c>
      <c r="L564" s="29" t="str">
        <f t="shared" si="53"/>
        <v/>
      </c>
      <c r="N564" s="11"/>
    </row>
    <row r="565" spans="1:14" ht="15" x14ac:dyDescent="0.25">
      <c r="A565" s="1" t="str">
        <f>IF('1.1 Produksi Bersih Padi 2025'!A565="","",'1.1 Produksi Bersih Padi 2025'!A565)</f>
        <v/>
      </c>
      <c r="B565" s="2" t="str">
        <f>IF('1.1 Produksi Bersih Padi 2025'!B565="","",'1.1 Produksi Bersih Padi 2025'!B565)</f>
        <v/>
      </c>
      <c r="C565" s="2" t="str">
        <f>IF('1.1 Produksi Bersih Padi 2025'!C565="","",'1.1 Produksi Bersih Padi 2025'!C565)</f>
        <v/>
      </c>
      <c r="D565" s="3" t="str">
        <f>IF('1.1 Produksi Bersih Padi 2025'!D565="","",'1.1 Produksi Bersih Padi 2025'!D565)</f>
        <v/>
      </c>
      <c r="E565" s="3" t="str">
        <f>IF('1.1 Produksi Bersih Padi 2025'!E565="","",'1.1 Produksi Bersih Padi 2025'!E565)</f>
        <v/>
      </c>
      <c r="F565" s="28" t="str">
        <f>IF(D565="","",VLOOKUP(D565,'[1]0.1 Produksi Pangan &amp; Penduduk'!$D$5:$S$860,16,0))</f>
        <v/>
      </c>
      <c r="G565" s="28" t="str">
        <f t="shared" si="48"/>
        <v/>
      </c>
      <c r="H565" s="29" t="str">
        <f t="shared" si="49"/>
        <v/>
      </c>
      <c r="I565" s="29" t="str">
        <f t="shared" si="50"/>
        <v/>
      </c>
      <c r="J565" s="29" t="str">
        <f t="shared" si="51"/>
        <v/>
      </c>
      <c r="K565" s="29" t="str">
        <f t="shared" si="52"/>
        <v/>
      </c>
      <c r="L565" s="29" t="str">
        <f t="shared" si="53"/>
        <v/>
      </c>
      <c r="N565" s="11"/>
    </row>
    <row r="566" spans="1:14" ht="15" x14ac:dyDescent="0.25">
      <c r="A566" s="1" t="str">
        <f>IF('1.1 Produksi Bersih Padi 2025'!A566="","",'1.1 Produksi Bersih Padi 2025'!A566)</f>
        <v/>
      </c>
      <c r="B566" s="2" t="str">
        <f>IF('1.1 Produksi Bersih Padi 2025'!B566="","",'1.1 Produksi Bersih Padi 2025'!B566)</f>
        <v/>
      </c>
      <c r="C566" s="2" t="str">
        <f>IF('1.1 Produksi Bersih Padi 2025'!C566="","",'1.1 Produksi Bersih Padi 2025'!C566)</f>
        <v/>
      </c>
      <c r="D566" s="3" t="str">
        <f>IF('1.1 Produksi Bersih Padi 2025'!D566="","",'1.1 Produksi Bersih Padi 2025'!D566)</f>
        <v/>
      </c>
      <c r="E566" s="3" t="str">
        <f>IF('1.1 Produksi Bersih Padi 2025'!E566="","",'1.1 Produksi Bersih Padi 2025'!E566)</f>
        <v/>
      </c>
      <c r="F566" s="28" t="str">
        <f>IF(D566="","",VLOOKUP(D566,'[1]0.1 Produksi Pangan &amp; Penduduk'!$D$5:$S$860,16,0))</f>
        <v/>
      </c>
      <c r="G566" s="28" t="str">
        <f t="shared" si="48"/>
        <v/>
      </c>
      <c r="H566" s="29" t="str">
        <f t="shared" si="49"/>
        <v/>
      </c>
      <c r="I566" s="29" t="str">
        <f t="shared" si="50"/>
        <v/>
      </c>
      <c r="J566" s="29" t="str">
        <f t="shared" si="51"/>
        <v/>
      </c>
      <c r="K566" s="29" t="str">
        <f t="shared" si="52"/>
        <v/>
      </c>
      <c r="L566" s="29" t="str">
        <f t="shared" si="53"/>
        <v/>
      </c>
      <c r="N566" s="11"/>
    </row>
    <row r="567" spans="1:14" ht="15" x14ac:dyDescent="0.25">
      <c r="A567" s="1" t="str">
        <f>IF('1.1 Produksi Bersih Padi 2025'!A567="","",'1.1 Produksi Bersih Padi 2025'!A567)</f>
        <v/>
      </c>
      <c r="B567" s="2" t="str">
        <f>IF('1.1 Produksi Bersih Padi 2025'!B567="","",'1.1 Produksi Bersih Padi 2025'!B567)</f>
        <v/>
      </c>
      <c r="C567" s="2" t="str">
        <f>IF('1.1 Produksi Bersih Padi 2025'!C567="","",'1.1 Produksi Bersih Padi 2025'!C567)</f>
        <v/>
      </c>
      <c r="D567" s="3" t="str">
        <f>IF('1.1 Produksi Bersih Padi 2025'!D567="","",'1.1 Produksi Bersih Padi 2025'!D567)</f>
        <v/>
      </c>
      <c r="E567" s="3" t="str">
        <f>IF('1.1 Produksi Bersih Padi 2025'!E567="","",'1.1 Produksi Bersih Padi 2025'!E567)</f>
        <v/>
      </c>
      <c r="F567" s="28" t="str">
        <f>IF(D567="","",VLOOKUP(D567,'[1]0.1 Produksi Pangan &amp; Penduduk'!$D$5:$S$860,16,0))</f>
        <v/>
      </c>
      <c r="G567" s="28" t="str">
        <f t="shared" si="48"/>
        <v/>
      </c>
      <c r="H567" s="29" t="str">
        <f t="shared" si="49"/>
        <v/>
      </c>
      <c r="I567" s="29" t="str">
        <f t="shared" si="50"/>
        <v/>
      </c>
      <c r="J567" s="29" t="str">
        <f t="shared" si="51"/>
        <v/>
      </c>
      <c r="K567" s="29" t="str">
        <f t="shared" si="52"/>
        <v/>
      </c>
      <c r="L567" s="29" t="str">
        <f t="shared" si="53"/>
        <v/>
      </c>
      <c r="N567" s="11"/>
    </row>
    <row r="568" spans="1:14" ht="15" x14ac:dyDescent="0.25">
      <c r="A568" s="1" t="str">
        <f>IF('1.1 Produksi Bersih Padi 2025'!A568="","",'1.1 Produksi Bersih Padi 2025'!A568)</f>
        <v/>
      </c>
      <c r="B568" s="2" t="str">
        <f>IF('1.1 Produksi Bersih Padi 2025'!B568="","",'1.1 Produksi Bersih Padi 2025'!B568)</f>
        <v/>
      </c>
      <c r="C568" s="2" t="str">
        <f>IF('1.1 Produksi Bersih Padi 2025'!C568="","",'1.1 Produksi Bersih Padi 2025'!C568)</f>
        <v/>
      </c>
      <c r="D568" s="3" t="str">
        <f>IF('1.1 Produksi Bersih Padi 2025'!D568="","",'1.1 Produksi Bersih Padi 2025'!D568)</f>
        <v/>
      </c>
      <c r="E568" s="3" t="str">
        <f>IF('1.1 Produksi Bersih Padi 2025'!E568="","",'1.1 Produksi Bersih Padi 2025'!E568)</f>
        <v/>
      </c>
      <c r="F568" s="28" t="str">
        <f>IF(D568="","",VLOOKUP(D568,'[1]0.1 Produksi Pangan &amp; Penduduk'!$D$5:$S$860,16,0))</f>
        <v/>
      </c>
      <c r="G568" s="28" t="str">
        <f t="shared" si="48"/>
        <v/>
      </c>
      <c r="H568" s="29" t="str">
        <f t="shared" si="49"/>
        <v/>
      </c>
      <c r="I568" s="29" t="str">
        <f t="shared" si="50"/>
        <v/>
      </c>
      <c r="J568" s="29" t="str">
        <f t="shared" si="51"/>
        <v/>
      </c>
      <c r="K568" s="29" t="str">
        <f t="shared" si="52"/>
        <v/>
      </c>
      <c r="L568" s="29" t="str">
        <f t="shared" si="53"/>
        <v/>
      </c>
      <c r="N568" s="11"/>
    </row>
    <row r="569" spans="1:14" ht="15" x14ac:dyDescent="0.25">
      <c r="A569" s="1" t="str">
        <f>IF('1.1 Produksi Bersih Padi 2025'!A569="","",'1.1 Produksi Bersih Padi 2025'!A569)</f>
        <v/>
      </c>
      <c r="B569" s="2" t="str">
        <f>IF('1.1 Produksi Bersih Padi 2025'!B569="","",'1.1 Produksi Bersih Padi 2025'!B569)</f>
        <v/>
      </c>
      <c r="C569" s="2" t="str">
        <f>IF('1.1 Produksi Bersih Padi 2025'!C569="","",'1.1 Produksi Bersih Padi 2025'!C569)</f>
        <v/>
      </c>
      <c r="D569" s="3" t="str">
        <f>IF('1.1 Produksi Bersih Padi 2025'!D569="","",'1.1 Produksi Bersih Padi 2025'!D569)</f>
        <v/>
      </c>
      <c r="E569" s="3" t="str">
        <f>IF('1.1 Produksi Bersih Padi 2025'!E569="","",'1.1 Produksi Bersih Padi 2025'!E569)</f>
        <v/>
      </c>
      <c r="F569" s="28" t="str">
        <f>IF(D569="","",VLOOKUP(D569,'[1]0.1 Produksi Pangan &amp; Penduduk'!$D$5:$S$860,16,0))</f>
        <v/>
      </c>
      <c r="G569" s="28" t="str">
        <f t="shared" si="48"/>
        <v/>
      </c>
      <c r="H569" s="29" t="str">
        <f t="shared" si="49"/>
        <v/>
      </c>
      <c r="I569" s="29" t="str">
        <f t="shared" si="50"/>
        <v/>
      </c>
      <c r="J569" s="29" t="str">
        <f t="shared" si="51"/>
        <v/>
      </c>
      <c r="K569" s="29" t="str">
        <f t="shared" si="52"/>
        <v/>
      </c>
      <c r="L569" s="29" t="str">
        <f t="shared" si="53"/>
        <v/>
      </c>
      <c r="N569" s="11"/>
    </row>
    <row r="570" spans="1:14" ht="15" x14ac:dyDescent="0.25">
      <c r="A570" s="1" t="str">
        <f>IF('1.1 Produksi Bersih Padi 2025'!A570="","",'1.1 Produksi Bersih Padi 2025'!A570)</f>
        <v/>
      </c>
      <c r="B570" s="2" t="str">
        <f>IF('1.1 Produksi Bersih Padi 2025'!B570="","",'1.1 Produksi Bersih Padi 2025'!B570)</f>
        <v/>
      </c>
      <c r="C570" s="2" t="str">
        <f>IF('1.1 Produksi Bersih Padi 2025'!C570="","",'1.1 Produksi Bersih Padi 2025'!C570)</f>
        <v/>
      </c>
      <c r="D570" s="3" t="str">
        <f>IF('1.1 Produksi Bersih Padi 2025'!D570="","",'1.1 Produksi Bersih Padi 2025'!D570)</f>
        <v/>
      </c>
      <c r="E570" s="3" t="str">
        <f>IF('1.1 Produksi Bersih Padi 2025'!E570="","",'1.1 Produksi Bersih Padi 2025'!E570)</f>
        <v/>
      </c>
      <c r="F570" s="28" t="str">
        <f>IF(D570="","",VLOOKUP(D570,'[1]0.1 Produksi Pangan &amp; Penduduk'!$D$5:$S$860,16,0))</f>
        <v/>
      </c>
      <c r="G570" s="28" t="str">
        <f t="shared" si="48"/>
        <v/>
      </c>
      <c r="H570" s="29" t="str">
        <f t="shared" si="49"/>
        <v/>
      </c>
      <c r="I570" s="29" t="str">
        <f t="shared" si="50"/>
        <v/>
      </c>
      <c r="J570" s="29" t="str">
        <f t="shared" si="51"/>
        <v/>
      </c>
      <c r="K570" s="29" t="str">
        <f t="shared" si="52"/>
        <v/>
      </c>
      <c r="L570" s="29" t="str">
        <f t="shared" si="53"/>
        <v/>
      </c>
      <c r="N570" s="11"/>
    </row>
    <row r="571" spans="1:14" ht="15" x14ac:dyDescent="0.25">
      <c r="A571" s="1" t="str">
        <f>IF('1.1 Produksi Bersih Padi 2025'!A571="","",'1.1 Produksi Bersih Padi 2025'!A571)</f>
        <v/>
      </c>
      <c r="B571" s="2" t="str">
        <f>IF('1.1 Produksi Bersih Padi 2025'!B571="","",'1.1 Produksi Bersih Padi 2025'!B571)</f>
        <v/>
      </c>
      <c r="C571" s="2" t="str">
        <f>IF('1.1 Produksi Bersih Padi 2025'!C571="","",'1.1 Produksi Bersih Padi 2025'!C571)</f>
        <v/>
      </c>
      <c r="D571" s="3" t="str">
        <f>IF('1.1 Produksi Bersih Padi 2025'!D571="","",'1.1 Produksi Bersih Padi 2025'!D571)</f>
        <v/>
      </c>
      <c r="E571" s="3" t="str">
        <f>IF('1.1 Produksi Bersih Padi 2025'!E571="","",'1.1 Produksi Bersih Padi 2025'!E571)</f>
        <v/>
      </c>
      <c r="F571" s="28" t="str">
        <f>IF(D571="","",VLOOKUP(D571,'[1]0.1 Produksi Pangan &amp; Penduduk'!$D$5:$S$860,16,0))</f>
        <v/>
      </c>
      <c r="G571" s="28" t="str">
        <f t="shared" si="48"/>
        <v/>
      </c>
      <c r="H571" s="29" t="str">
        <f t="shared" si="49"/>
        <v/>
      </c>
      <c r="I571" s="29" t="str">
        <f t="shared" si="50"/>
        <v/>
      </c>
      <c r="J571" s="29" t="str">
        <f t="shared" si="51"/>
        <v/>
      </c>
      <c r="K571" s="29" t="str">
        <f t="shared" si="52"/>
        <v/>
      </c>
      <c r="L571" s="29" t="str">
        <f t="shared" si="53"/>
        <v/>
      </c>
      <c r="N571" s="11"/>
    </row>
    <row r="572" spans="1:14" ht="15" x14ac:dyDescent="0.25">
      <c r="A572" s="1" t="str">
        <f>IF('1.1 Produksi Bersih Padi 2025'!A572="","",'1.1 Produksi Bersih Padi 2025'!A572)</f>
        <v/>
      </c>
      <c r="B572" s="2" t="str">
        <f>IF('1.1 Produksi Bersih Padi 2025'!B572="","",'1.1 Produksi Bersih Padi 2025'!B572)</f>
        <v/>
      </c>
      <c r="C572" s="2" t="str">
        <f>IF('1.1 Produksi Bersih Padi 2025'!C572="","",'1.1 Produksi Bersih Padi 2025'!C572)</f>
        <v/>
      </c>
      <c r="D572" s="3" t="str">
        <f>IF('1.1 Produksi Bersih Padi 2025'!D572="","",'1.1 Produksi Bersih Padi 2025'!D572)</f>
        <v/>
      </c>
      <c r="E572" s="3" t="str">
        <f>IF('1.1 Produksi Bersih Padi 2025'!E572="","",'1.1 Produksi Bersih Padi 2025'!E572)</f>
        <v/>
      </c>
      <c r="F572" s="28" t="str">
        <f>IF(D572="","",VLOOKUP(D572,'[1]0.1 Produksi Pangan &amp; Penduduk'!$D$5:$S$860,16,0))</f>
        <v/>
      </c>
      <c r="G572" s="28" t="str">
        <f t="shared" si="48"/>
        <v/>
      </c>
      <c r="H572" s="29" t="str">
        <f t="shared" si="49"/>
        <v/>
      </c>
      <c r="I572" s="29" t="str">
        <f t="shared" si="50"/>
        <v/>
      </c>
      <c r="J572" s="29" t="str">
        <f t="shared" si="51"/>
        <v/>
      </c>
      <c r="K572" s="29" t="str">
        <f t="shared" si="52"/>
        <v/>
      </c>
      <c r="L572" s="29" t="str">
        <f t="shared" si="53"/>
        <v/>
      </c>
      <c r="N572" s="11"/>
    </row>
    <row r="573" spans="1:14" ht="15" x14ac:dyDescent="0.25">
      <c r="A573" s="1" t="str">
        <f>IF('1.1 Produksi Bersih Padi 2025'!A573="","",'1.1 Produksi Bersih Padi 2025'!A573)</f>
        <v/>
      </c>
      <c r="B573" s="2" t="str">
        <f>IF('1.1 Produksi Bersih Padi 2025'!B573="","",'1.1 Produksi Bersih Padi 2025'!B573)</f>
        <v/>
      </c>
      <c r="C573" s="2" t="str">
        <f>IF('1.1 Produksi Bersih Padi 2025'!C573="","",'1.1 Produksi Bersih Padi 2025'!C573)</f>
        <v/>
      </c>
      <c r="D573" s="3" t="str">
        <f>IF('1.1 Produksi Bersih Padi 2025'!D573="","",'1.1 Produksi Bersih Padi 2025'!D573)</f>
        <v/>
      </c>
      <c r="E573" s="3" t="str">
        <f>IF('1.1 Produksi Bersih Padi 2025'!E573="","",'1.1 Produksi Bersih Padi 2025'!E573)</f>
        <v/>
      </c>
      <c r="F573" s="28" t="str">
        <f>IF(D573="","",VLOOKUP(D573,'[1]0.1 Produksi Pangan &amp; Penduduk'!$D$5:$S$860,16,0))</f>
        <v/>
      </c>
      <c r="G573" s="28" t="str">
        <f t="shared" si="48"/>
        <v/>
      </c>
      <c r="H573" s="29" t="str">
        <f t="shared" si="49"/>
        <v/>
      </c>
      <c r="I573" s="29" t="str">
        <f t="shared" si="50"/>
        <v/>
      </c>
      <c r="J573" s="29" t="str">
        <f t="shared" si="51"/>
        <v/>
      </c>
      <c r="K573" s="29" t="str">
        <f t="shared" si="52"/>
        <v/>
      </c>
      <c r="L573" s="29" t="str">
        <f t="shared" si="53"/>
        <v/>
      </c>
      <c r="N573" s="11"/>
    </row>
    <row r="574" spans="1:14" ht="15" x14ac:dyDescent="0.25">
      <c r="A574" s="1" t="str">
        <f>IF('1.1 Produksi Bersih Padi 2025'!A574="","",'1.1 Produksi Bersih Padi 2025'!A574)</f>
        <v/>
      </c>
      <c r="B574" s="2" t="str">
        <f>IF('1.1 Produksi Bersih Padi 2025'!B574="","",'1.1 Produksi Bersih Padi 2025'!B574)</f>
        <v/>
      </c>
      <c r="C574" s="2" t="str">
        <f>IF('1.1 Produksi Bersih Padi 2025'!C574="","",'1.1 Produksi Bersih Padi 2025'!C574)</f>
        <v/>
      </c>
      <c r="D574" s="3" t="str">
        <f>IF('1.1 Produksi Bersih Padi 2025'!D574="","",'1.1 Produksi Bersih Padi 2025'!D574)</f>
        <v/>
      </c>
      <c r="E574" s="3" t="str">
        <f>IF('1.1 Produksi Bersih Padi 2025'!E574="","",'1.1 Produksi Bersih Padi 2025'!E574)</f>
        <v/>
      </c>
      <c r="F574" s="28" t="str">
        <f>IF(D574="","",VLOOKUP(D574,'[1]0.1 Produksi Pangan &amp; Penduduk'!$D$5:$S$860,16,0))</f>
        <v/>
      </c>
      <c r="G574" s="28" t="str">
        <f t="shared" si="48"/>
        <v/>
      </c>
      <c r="H574" s="29" t="str">
        <f t="shared" si="49"/>
        <v/>
      </c>
      <c r="I574" s="29" t="str">
        <f t="shared" si="50"/>
        <v/>
      </c>
      <c r="J574" s="29" t="str">
        <f t="shared" si="51"/>
        <v/>
      </c>
      <c r="K574" s="29" t="str">
        <f t="shared" si="52"/>
        <v/>
      </c>
      <c r="L574" s="29" t="str">
        <f t="shared" si="53"/>
        <v/>
      </c>
      <c r="N574" s="11"/>
    </row>
    <row r="575" spans="1:14" ht="15" x14ac:dyDescent="0.25">
      <c r="A575" s="1" t="str">
        <f>IF('1.1 Produksi Bersih Padi 2025'!A575="","",'1.1 Produksi Bersih Padi 2025'!A575)</f>
        <v/>
      </c>
      <c r="B575" s="2" t="str">
        <f>IF('1.1 Produksi Bersih Padi 2025'!B575="","",'1.1 Produksi Bersih Padi 2025'!B575)</f>
        <v/>
      </c>
      <c r="C575" s="2" t="str">
        <f>IF('1.1 Produksi Bersih Padi 2025'!C575="","",'1.1 Produksi Bersih Padi 2025'!C575)</f>
        <v/>
      </c>
      <c r="D575" s="3" t="str">
        <f>IF('1.1 Produksi Bersih Padi 2025'!D575="","",'1.1 Produksi Bersih Padi 2025'!D575)</f>
        <v/>
      </c>
      <c r="E575" s="3" t="str">
        <f>IF('1.1 Produksi Bersih Padi 2025'!E575="","",'1.1 Produksi Bersih Padi 2025'!E575)</f>
        <v/>
      </c>
      <c r="F575" s="28" t="str">
        <f>IF(D575="","",VLOOKUP(D575,'[1]0.1 Produksi Pangan &amp; Penduduk'!$D$5:$S$860,16,0))</f>
        <v/>
      </c>
      <c r="G575" s="28" t="str">
        <f t="shared" si="48"/>
        <v/>
      </c>
      <c r="H575" s="29" t="str">
        <f t="shared" si="49"/>
        <v/>
      </c>
      <c r="I575" s="29" t="str">
        <f t="shared" si="50"/>
        <v/>
      </c>
      <c r="J575" s="29" t="str">
        <f t="shared" si="51"/>
        <v/>
      </c>
      <c r="K575" s="29" t="str">
        <f t="shared" si="52"/>
        <v/>
      </c>
      <c r="L575" s="29" t="str">
        <f t="shared" si="53"/>
        <v/>
      </c>
      <c r="N575" s="11"/>
    </row>
    <row r="576" spans="1:14" ht="15" x14ac:dyDescent="0.25">
      <c r="A576" s="1" t="str">
        <f>IF('1.1 Produksi Bersih Padi 2025'!A576="","",'1.1 Produksi Bersih Padi 2025'!A576)</f>
        <v/>
      </c>
      <c r="B576" s="2" t="str">
        <f>IF('1.1 Produksi Bersih Padi 2025'!B576="","",'1.1 Produksi Bersih Padi 2025'!B576)</f>
        <v/>
      </c>
      <c r="C576" s="2" t="str">
        <f>IF('1.1 Produksi Bersih Padi 2025'!C576="","",'1.1 Produksi Bersih Padi 2025'!C576)</f>
        <v/>
      </c>
      <c r="D576" s="3" t="str">
        <f>IF('1.1 Produksi Bersih Padi 2025'!D576="","",'1.1 Produksi Bersih Padi 2025'!D576)</f>
        <v/>
      </c>
      <c r="E576" s="3" t="str">
        <f>IF('1.1 Produksi Bersih Padi 2025'!E576="","",'1.1 Produksi Bersih Padi 2025'!E576)</f>
        <v/>
      </c>
      <c r="F576" s="28" t="str">
        <f>IF(D576="","",VLOOKUP(D576,'[1]0.1 Produksi Pangan &amp; Penduduk'!$D$5:$S$860,16,0))</f>
        <v/>
      </c>
      <c r="G576" s="28" t="str">
        <f t="shared" si="48"/>
        <v/>
      </c>
      <c r="H576" s="29" t="str">
        <f t="shared" si="49"/>
        <v/>
      </c>
      <c r="I576" s="29" t="str">
        <f t="shared" si="50"/>
        <v/>
      </c>
      <c r="J576" s="29" t="str">
        <f t="shared" si="51"/>
        <v/>
      </c>
      <c r="K576" s="29" t="str">
        <f t="shared" si="52"/>
        <v/>
      </c>
      <c r="L576" s="29" t="str">
        <f t="shared" si="53"/>
        <v/>
      </c>
      <c r="N576" s="11"/>
    </row>
    <row r="577" spans="1:14" ht="15" x14ac:dyDescent="0.25">
      <c r="A577" s="1" t="str">
        <f>IF('1.1 Produksi Bersih Padi 2025'!A577="","",'1.1 Produksi Bersih Padi 2025'!A577)</f>
        <v/>
      </c>
      <c r="B577" s="2" t="str">
        <f>IF('1.1 Produksi Bersih Padi 2025'!B577="","",'1.1 Produksi Bersih Padi 2025'!B577)</f>
        <v/>
      </c>
      <c r="C577" s="2" t="str">
        <f>IF('1.1 Produksi Bersih Padi 2025'!C577="","",'1.1 Produksi Bersih Padi 2025'!C577)</f>
        <v/>
      </c>
      <c r="D577" s="3" t="str">
        <f>IF('1.1 Produksi Bersih Padi 2025'!D577="","",'1.1 Produksi Bersih Padi 2025'!D577)</f>
        <v/>
      </c>
      <c r="E577" s="3" t="str">
        <f>IF('1.1 Produksi Bersih Padi 2025'!E577="","",'1.1 Produksi Bersih Padi 2025'!E577)</f>
        <v/>
      </c>
      <c r="F577" s="28" t="str">
        <f>IF(D577="","",VLOOKUP(D577,'[1]0.1 Produksi Pangan &amp; Penduduk'!$D$5:$S$860,16,0))</f>
        <v/>
      </c>
      <c r="G577" s="28" t="str">
        <f t="shared" si="48"/>
        <v/>
      </c>
      <c r="H577" s="29" t="str">
        <f t="shared" si="49"/>
        <v/>
      </c>
      <c r="I577" s="29" t="str">
        <f t="shared" si="50"/>
        <v/>
      </c>
      <c r="J577" s="29" t="str">
        <f t="shared" si="51"/>
        <v/>
      </c>
      <c r="K577" s="29" t="str">
        <f t="shared" si="52"/>
        <v/>
      </c>
      <c r="L577" s="29" t="str">
        <f t="shared" si="53"/>
        <v/>
      </c>
      <c r="N577" s="11"/>
    </row>
    <row r="578" spans="1:14" ht="15" x14ac:dyDescent="0.25">
      <c r="A578" s="1" t="str">
        <f>IF('1.1 Produksi Bersih Padi 2025'!A578="","",'1.1 Produksi Bersih Padi 2025'!A578)</f>
        <v/>
      </c>
      <c r="B578" s="2" t="str">
        <f>IF('1.1 Produksi Bersih Padi 2025'!B578="","",'1.1 Produksi Bersih Padi 2025'!B578)</f>
        <v/>
      </c>
      <c r="C578" s="2" t="str">
        <f>IF('1.1 Produksi Bersih Padi 2025'!C578="","",'1.1 Produksi Bersih Padi 2025'!C578)</f>
        <v/>
      </c>
      <c r="D578" s="3" t="str">
        <f>IF('1.1 Produksi Bersih Padi 2025'!D578="","",'1.1 Produksi Bersih Padi 2025'!D578)</f>
        <v/>
      </c>
      <c r="E578" s="3" t="str">
        <f>IF('1.1 Produksi Bersih Padi 2025'!E578="","",'1.1 Produksi Bersih Padi 2025'!E578)</f>
        <v/>
      </c>
      <c r="F578" s="28" t="str">
        <f>IF(D578="","",VLOOKUP(D578,'[1]0.1 Produksi Pangan &amp; Penduduk'!$D$5:$S$860,16,0))</f>
        <v/>
      </c>
      <c r="G578" s="28" t="str">
        <f t="shared" si="48"/>
        <v/>
      </c>
      <c r="H578" s="29" t="str">
        <f t="shared" si="49"/>
        <v/>
      </c>
      <c r="I578" s="29" t="str">
        <f t="shared" si="50"/>
        <v/>
      </c>
      <c r="J578" s="29" t="str">
        <f t="shared" si="51"/>
        <v/>
      </c>
      <c r="K578" s="29" t="str">
        <f t="shared" si="52"/>
        <v/>
      </c>
      <c r="L578" s="29" t="str">
        <f t="shared" si="53"/>
        <v/>
      </c>
      <c r="N578" s="11"/>
    </row>
    <row r="579" spans="1:14" ht="15" x14ac:dyDescent="0.25">
      <c r="A579" s="1" t="str">
        <f>IF('1.1 Produksi Bersih Padi 2025'!A579="","",'1.1 Produksi Bersih Padi 2025'!A579)</f>
        <v/>
      </c>
      <c r="B579" s="2" t="str">
        <f>IF('1.1 Produksi Bersih Padi 2025'!B579="","",'1.1 Produksi Bersih Padi 2025'!B579)</f>
        <v/>
      </c>
      <c r="C579" s="2" t="str">
        <f>IF('1.1 Produksi Bersih Padi 2025'!C579="","",'1.1 Produksi Bersih Padi 2025'!C579)</f>
        <v/>
      </c>
      <c r="D579" s="3" t="str">
        <f>IF('1.1 Produksi Bersih Padi 2025'!D579="","",'1.1 Produksi Bersih Padi 2025'!D579)</f>
        <v/>
      </c>
      <c r="E579" s="3" t="str">
        <f>IF('1.1 Produksi Bersih Padi 2025'!E579="","",'1.1 Produksi Bersih Padi 2025'!E579)</f>
        <v/>
      </c>
      <c r="F579" s="28" t="str">
        <f>IF(D579="","",VLOOKUP(D579,'[1]0.1 Produksi Pangan &amp; Penduduk'!$D$5:$S$860,16,0))</f>
        <v/>
      </c>
      <c r="G579" s="28" t="str">
        <f t="shared" si="48"/>
        <v/>
      </c>
      <c r="H579" s="29" t="str">
        <f t="shared" si="49"/>
        <v/>
      </c>
      <c r="I579" s="29" t="str">
        <f t="shared" si="50"/>
        <v/>
      </c>
      <c r="J579" s="29" t="str">
        <f t="shared" si="51"/>
        <v/>
      </c>
      <c r="K579" s="29" t="str">
        <f t="shared" si="52"/>
        <v/>
      </c>
      <c r="L579" s="29" t="str">
        <f t="shared" si="53"/>
        <v/>
      </c>
      <c r="N579" s="11"/>
    </row>
    <row r="580" spans="1:14" ht="15" x14ac:dyDescent="0.25">
      <c r="A580" s="1" t="str">
        <f>IF('1.1 Produksi Bersih Padi 2025'!A580="","",'1.1 Produksi Bersih Padi 2025'!A580)</f>
        <v/>
      </c>
      <c r="B580" s="2" t="str">
        <f>IF('1.1 Produksi Bersih Padi 2025'!B580="","",'1.1 Produksi Bersih Padi 2025'!B580)</f>
        <v/>
      </c>
      <c r="C580" s="2" t="str">
        <f>IF('1.1 Produksi Bersih Padi 2025'!C580="","",'1.1 Produksi Bersih Padi 2025'!C580)</f>
        <v/>
      </c>
      <c r="D580" s="3" t="str">
        <f>IF('1.1 Produksi Bersih Padi 2025'!D580="","",'1.1 Produksi Bersih Padi 2025'!D580)</f>
        <v/>
      </c>
      <c r="E580" s="3" t="str">
        <f>IF('1.1 Produksi Bersih Padi 2025'!E580="","",'1.1 Produksi Bersih Padi 2025'!E580)</f>
        <v/>
      </c>
      <c r="F580" s="28" t="str">
        <f>IF(D580="","",VLOOKUP(D580,'[1]0.1 Produksi Pangan &amp; Penduduk'!$D$5:$S$860,16,0))</f>
        <v/>
      </c>
      <c r="G580" s="28" t="str">
        <f t="shared" si="48"/>
        <v/>
      </c>
      <c r="H580" s="29" t="str">
        <f t="shared" si="49"/>
        <v/>
      </c>
      <c r="I580" s="29" t="str">
        <f t="shared" si="50"/>
        <v/>
      </c>
      <c r="J580" s="29" t="str">
        <f t="shared" si="51"/>
        <v/>
      </c>
      <c r="K580" s="29" t="str">
        <f t="shared" si="52"/>
        <v/>
      </c>
      <c r="L580" s="29" t="str">
        <f t="shared" si="53"/>
        <v/>
      </c>
      <c r="N580" s="11"/>
    </row>
    <row r="581" spans="1:14" ht="15" x14ac:dyDescent="0.25">
      <c r="A581" s="1" t="str">
        <f>IF('1.1 Produksi Bersih Padi 2025'!A581="","",'1.1 Produksi Bersih Padi 2025'!A581)</f>
        <v/>
      </c>
      <c r="B581" s="2" t="str">
        <f>IF('1.1 Produksi Bersih Padi 2025'!B581="","",'1.1 Produksi Bersih Padi 2025'!B581)</f>
        <v/>
      </c>
      <c r="C581" s="2" t="str">
        <f>IF('1.1 Produksi Bersih Padi 2025'!C581="","",'1.1 Produksi Bersih Padi 2025'!C581)</f>
        <v/>
      </c>
      <c r="D581" s="3" t="str">
        <f>IF('1.1 Produksi Bersih Padi 2025'!D581="","",'1.1 Produksi Bersih Padi 2025'!D581)</f>
        <v/>
      </c>
      <c r="E581" s="3" t="str">
        <f>IF('1.1 Produksi Bersih Padi 2025'!E581="","",'1.1 Produksi Bersih Padi 2025'!E581)</f>
        <v/>
      </c>
      <c r="F581" s="28" t="str">
        <f>IF(D581="","",VLOOKUP(D581,'[1]0.1 Produksi Pangan &amp; Penduduk'!$D$5:$S$860,16,0))</f>
        <v/>
      </c>
      <c r="G581" s="28" t="str">
        <f t="shared" si="48"/>
        <v/>
      </c>
      <c r="H581" s="29" t="str">
        <f t="shared" si="49"/>
        <v/>
      </c>
      <c r="I581" s="29" t="str">
        <f t="shared" si="50"/>
        <v/>
      </c>
      <c r="J581" s="29" t="str">
        <f t="shared" si="51"/>
        <v/>
      </c>
      <c r="K581" s="29" t="str">
        <f t="shared" si="52"/>
        <v/>
      </c>
      <c r="L581" s="29" t="str">
        <f t="shared" si="53"/>
        <v/>
      </c>
      <c r="N581" s="11"/>
    </row>
    <row r="582" spans="1:14" ht="15" x14ac:dyDescent="0.25">
      <c r="A582" s="1" t="str">
        <f>IF('1.1 Produksi Bersih Padi 2025'!A582="","",'1.1 Produksi Bersih Padi 2025'!A582)</f>
        <v/>
      </c>
      <c r="B582" s="2" t="str">
        <f>IF('1.1 Produksi Bersih Padi 2025'!B582="","",'1.1 Produksi Bersih Padi 2025'!B582)</f>
        <v/>
      </c>
      <c r="C582" s="2" t="str">
        <f>IF('1.1 Produksi Bersih Padi 2025'!C582="","",'1.1 Produksi Bersih Padi 2025'!C582)</f>
        <v/>
      </c>
      <c r="D582" s="3" t="str">
        <f>IF('1.1 Produksi Bersih Padi 2025'!D582="","",'1.1 Produksi Bersih Padi 2025'!D582)</f>
        <v/>
      </c>
      <c r="E582" s="3" t="str">
        <f>IF('1.1 Produksi Bersih Padi 2025'!E582="","",'1.1 Produksi Bersih Padi 2025'!E582)</f>
        <v/>
      </c>
      <c r="F582" s="28" t="str">
        <f>IF(D582="","",VLOOKUP(D582,'[1]0.1 Produksi Pangan &amp; Penduduk'!$D$5:$S$860,16,0))</f>
        <v/>
      </c>
      <c r="G582" s="28" t="str">
        <f t="shared" ref="G582:G645" si="54">IF(F582="","",F582*73.9252%)</f>
        <v/>
      </c>
      <c r="H582" s="29" t="str">
        <f t="shared" ref="H582:H645" si="55">IF(G582="","",G582*0.345%)</f>
        <v/>
      </c>
      <c r="I582" s="29" t="str">
        <f t="shared" ref="I582:I645" si="56">IF(G582="","",G582*78.806%)</f>
        <v/>
      </c>
      <c r="J582" s="29" t="str">
        <f t="shared" ref="J582:J645" si="57">IF(G582="","",G582*4.62%)</f>
        <v/>
      </c>
      <c r="K582" s="29" t="str">
        <f t="shared" ref="K582:K645" si="58">IF(G582="","",G582-(H582+I582+J582))</f>
        <v/>
      </c>
      <c r="L582" s="29" t="str">
        <f t="shared" ref="L582:L645" si="59">IF(K582="","",K582*1.017)</f>
        <v/>
      </c>
      <c r="N582" s="11"/>
    </row>
    <row r="583" spans="1:14" ht="15" x14ac:dyDescent="0.25">
      <c r="A583" s="1" t="str">
        <f>IF('1.1 Produksi Bersih Padi 2025'!A583="","",'1.1 Produksi Bersih Padi 2025'!A583)</f>
        <v/>
      </c>
      <c r="B583" s="2" t="str">
        <f>IF('1.1 Produksi Bersih Padi 2025'!B583="","",'1.1 Produksi Bersih Padi 2025'!B583)</f>
        <v/>
      </c>
      <c r="C583" s="2" t="str">
        <f>IF('1.1 Produksi Bersih Padi 2025'!C583="","",'1.1 Produksi Bersih Padi 2025'!C583)</f>
        <v/>
      </c>
      <c r="D583" s="3" t="str">
        <f>IF('1.1 Produksi Bersih Padi 2025'!D583="","",'1.1 Produksi Bersih Padi 2025'!D583)</f>
        <v/>
      </c>
      <c r="E583" s="3" t="str">
        <f>IF('1.1 Produksi Bersih Padi 2025'!E583="","",'1.1 Produksi Bersih Padi 2025'!E583)</f>
        <v/>
      </c>
      <c r="F583" s="28" t="str">
        <f>IF(D583="","",VLOOKUP(D583,'[1]0.1 Produksi Pangan &amp; Penduduk'!$D$5:$S$860,16,0))</f>
        <v/>
      </c>
      <c r="G583" s="28" t="str">
        <f t="shared" si="54"/>
        <v/>
      </c>
      <c r="H583" s="29" t="str">
        <f t="shared" si="55"/>
        <v/>
      </c>
      <c r="I583" s="29" t="str">
        <f t="shared" si="56"/>
        <v/>
      </c>
      <c r="J583" s="29" t="str">
        <f t="shared" si="57"/>
        <v/>
      </c>
      <c r="K583" s="29" t="str">
        <f t="shared" si="58"/>
        <v/>
      </c>
      <c r="L583" s="29" t="str">
        <f t="shared" si="59"/>
        <v/>
      </c>
      <c r="N583" s="11"/>
    </row>
    <row r="584" spans="1:14" ht="15" x14ac:dyDescent="0.25">
      <c r="A584" s="1" t="str">
        <f>IF('1.1 Produksi Bersih Padi 2025'!A584="","",'1.1 Produksi Bersih Padi 2025'!A584)</f>
        <v/>
      </c>
      <c r="B584" s="2" t="str">
        <f>IF('1.1 Produksi Bersih Padi 2025'!B584="","",'1.1 Produksi Bersih Padi 2025'!B584)</f>
        <v/>
      </c>
      <c r="C584" s="2" t="str">
        <f>IF('1.1 Produksi Bersih Padi 2025'!C584="","",'1.1 Produksi Bersih Padi 2025'!C584)</f>
        <v/>
      </c>
      <c r="D584" s="3" t="str">
        <f>IF('1.1 Produksi Bersih Padi 2025'!D584="","",'1.1 Produksi Bersih Padi 2025'!D584)</f>
        <v/>
      </c>
      <c r="E584" s="3" t="str">
        <f>IF('1.1 Produksi Bersih Padi 2025'!E584="","",'1.1 Produksi Bersih Padi 2025'!E584)</f>
        <v/>
      </c>
      <c r="F584" s="28" t="str">
        <f>IF(D584="","",VLOOKUP(D584,'[1]0.1 Produksi Pangan &amp; Penduduk'!$D$5:$S$860,16,0))</f>
        <v/>
      </c>
      <c r="G584" s="28" t="str">
        <f t="shared" si="54"/>
        <v/>
      </c>
      <c r="H584" s="29" t="str">
        <f t="shared" si="55"/>
        <v/>
      </c>
      <c r="I584" s="29" t="str">
        <f t="shared" si="56"/>
        <v/>
      </c>
      <c r="J584" s="29" t="str">
        <f t="shared" si="57"/>
        <v/>
      </c>
      <c r="K584" s="29" t="str">
        <f t="shared" si="58"/>
        <v/>
      </c>
      <c r="L584" s="29" t="str">
        <f t="shared" si="59"/>
        <v/>
      </c>
      <c r="N584" s="11"/>
    </row>
    <row r="585" spans="1:14" ht="15" x14ac:dyDescent="0.25">
      <c r="A585" s="1" t="str">
        <f>IF('1.1 Produksi Bersih Padi 2025'!A585="","",'1.1 Produksi Bersih Padi 2025'!A585)</f>
        <v/>
      </c>
      <c r="B585" s="2" t="str">
        <f>IF('1.1 Produksi Bersih Padi 2025'!B585="","",'1.1 Produksi Bersih Padi 2025'!B585)</f>
        <v/>
      </c>
      <c r="C585" s="2" t="str">
        <f>IF('1.1 Produksi Bersih Padi 2025'!C585="","",'1.1 Produksi Bersih Padi 2025'!C585)</f>
        <v/>
      </c>
      <c r="D585" s="3" t="str">
        <f>IF('1.1 Produksi Bersih Padi 2025'!D585="","",'1.1 Produksi Bersih Padi 2025'!D585)</f>
        <v/>
      </c>
      <c r="E585" s="3" t="str">
        <f>IF('1.1 Produksi Bersih Padi 2025'!E585="","",'1.1 Produksi Bersih Padi 2025'!E585)</f>
        <v/>
      </c>
      <c r="F585" s="28" t="str">
        <f>IF(D585="","",VLOOKUP(D585,'[1]0.1 Produksi Pangan &amp; Penduduk'!$D$5:$S$860,16,0))</f>
        <v/>
      </c>
      <c r="G585" s="28" t="str">
        <f t="shared" si="54"/>
        <v/>
      </c>
      <c r="H585" s="29" t="str">
        <f t="shared" si="55"/>
        <v/>
      </c>
      <c r="I585" s="29" t="str">
        <f t="shared" si="56"/>
        <v/>
      </c>
      <c r="J585" s="29" t="str">
        <f t="shared" si="57"/>
        <v/>
      </c>
      <c r="K585" s="29" t="str">
        <f t="shared" si="58"/>
        <v/>
      </c>
      <c r="L585" s="29" t="str">
        <f t="shared" si="59"/>
        <v/>
      </c>
      <c r="N585" s="11"/>
    </row>
    <row r="586" spans="1:14" ht="15" x14ac:dyDescent="0.25">
      <c r="A586" s="1" t="str">
        <f>IF('1.1 Produksi Bersih Padi 2025'!A586="","",'1.1 Produksi Bersih Padi 2025'!A586)</f>
        <v/>
      </c>
      <c r="B586" s="2" t="str">
        <f>IF('1.1 Produksi Bersih Padi 2025'!B586="","",'1.1 Produksi Bersih Padi 2025'!B586)</f>
        <v/>
      </c>
      <c r="C586" s="2" t="str">
        <f>IF('1.1 Produksi Bersih Padi 2025'!C586="","",'1.1 Produksi Bersih Padi 2025'!C586)</f>
        <v/>
      </c>
      <c r="D586" s="3" t="str">
        <f>IF('1.1 Produksi Bersih Padi 2025'!D586="","",'1.1 Produksi Bersih Padi 2025'!D586)</f>
        <v/>
      </c>
      <c r="E586" s="3" t="str">
        <f>IF('1.1 Produksi Bersih Padi 2025'!E586="","",'1.1 Produksi Bersih Padi 2025'!E586)</f>
        <v/>
      </c>
      <c r="F586" s="28" t="str">
        <f>IF(D586="","",VLOOKUP(D586,'[1]0.1 Produksi Pangan &amp; Penduduk'!$D$5:$S$860,16,0))</f>
        <v/>
      </c>
      <c r="G586" s="28" t="str">
        <f t="shared" si="54"/>
        <v/>
      </c>
      <c r="H586" s="29" t="str">
        <f t="shared" si="55"/>
        <v/>
      </c>
      <c r="I586" s="29" t="str">
        <f t="shared" si="56"/>
        <v/>
      </c>
      <c r="J586" s="29" t="str">
        <f t="shared" si="57"/>
        <v/>
      </c>
      <c r="K586" s="29" t="str">
        <f t="shared" si="58"/>
        <v/>
      </c>
      <c r="L586" s="29" t="str">
        <f t="shared" si="59"/>
        <v/>
      </c>
      <c r="N586" s="11"/>
    </row>
    <row r="587" spans="1:14" ht="15" x14ac:dyDescent="0.25">
      <c r="A587" s="1" t="str">
        <f>IF('1.1 Produksi Bersih Padi 2025'!A587="","",'1.1 Produksi Bersih Padi 2025'!A587)</f>
        <v/>
      </c>
      <c r="B587" s="2" t="str">
        <f>IF('1.1 Produksi Bersih Padi 2025'!B587="","",'1.1 Produksi Bersih Padi 2025'!B587)</f>
        <v/>
      </c>
      <c r="C587" s="2" t="str">
        <f>IF('1.1 Produksi Bersih Padi 2025'!C587="","",'1.1 Produksi Bersih Padi 2025'!C587)</f>
        <v/>
      </c>
      <c r="D587" s="3" t="str">
        <f>IF('1.1 Produksi Bersih Padi 2025'!D587="","",'1.1 Produksi Bersih Padi 2025'!D587)</f>
        <v/>
      </c>
      <c r="E587" s="3" t="str">
        <f>IF('1.1 Produksi Bersih Padi 2025'!E587="","",'1.1 Produksi Bersih Padi 2025'!E587)</f>
        <v/>
      </c>
      <c r="F587" s="28" t="str">
        <f>IF(D587="","",VLOOKUP(D587,'[1]0.1 Produksi Pangan &amp; Penduduk'!$D$5:$S$860,16,0))</f>
        <v/>
      </c>
      <c r="G587" s="28" t="str">
        <f t="shared" si="54"/>
        <v/>
      </c>
      <c r="H587" s="29" t="str">
        <f t="shared" si="55"/>
        <v/>
      </c>
      <c r="I587" s="29" t="str">
        <f t="shared" si="56"/>
        <v/>
      </c>
      <c r="J587" s="29" t="str">
        <f t="shared" si="57"/>
        <v/>
      </c>
      <c r="K587" s="29" t="str">
        <f t="shared" si="58"/>
        <v/>
      </c>
      <c r="L587" s="29" t="str">
        <f t="shared" si="59"/>
        <v/>
      </c>
      <c r="N587" s="11"/>
    </row>
    <row r="588" spans="1:14" ht="15" x14ac:dyDescent="0.25">
      <c r="A588" s="1" t="str">
        <f>IF('1.1 Produksi Bersih Padi 2025'!A588="","",'1.1 Produksi Bersih Padi 2025'!A588)</f>
        <v/>
      </c>
      <c r="B588" s="2" t="str">
        <f>IF('1.1 Produksi Bersih Padi 2025'!B588="","",'1.1 Produksi Bersih Padi 2025'!B588)</f>
        <v/>
      </c>
      <c r="C588" s="2" t="str">
        <f>IF('1.1 Produksi Bersih Padi 2025'!C588="","",'1.1 Produksi Bersih Padi 2025'!C588)</f>
        <v/>
      </c>
      <c r="D588" s="3" t="str">
        <f>IF('1.1 Produksi Bersih Padi 2025'!D588="","",'1.1 Produksi Bersih Padi 2025'!D588)</f>
        <v/>
      </c>
      <c r="E588" s="3" t="str">
        <f>IF('1.1 Produksi Bersih Padi 2025'!E588="","",'1.1 Produksi Bersih Padi 2025'!E588)</f>
        <v/>
      </c>
      <c r="F588" s="28" t="str">
        <f>IF(D588="","",VLOOKUP(D588,'[1]0.1 Produksi Pangan &amp; Penduduk'!$D$5:$S$860,16,0))</f>
        <v/>
      </c>
      <c r="G588" s="28" t="str">
        <f t="shared" si="54"/>
        <v/>
      </c>
      <c r="H588" s="29" t="str">
        <f t="shared" si="55"/>
        <v/>
      </c>
      <c r="I588" s="29" t="str">
        <f t="shared" si="56"/>
        <v/>
      </c>
      <c r="J588" s="29" t="str">
        <f t="shared" si="57"/>
        <v/>
      </c>
      <c r="K588" s="29" t="str">
        <f t="shared" si="58"/>
        <v/>
      </c>
      <c r="L588" s="29" t="str">
        <f t="shared" si="59"/>
        <v/>
      </c>
      <c r="N588" s="11"/>
    </row>
    <row r="589" spans="1:14" ht="15" x14ac:dyDescent="0.25">
      <c r="A589" s="1" t="str">
        <f>IF('1.1 Produksi Bersih Padi 2025'!A589="","",'1.1 Produksi Bersih Padi 2025'!A589)</f>
        <v/>
      </c>
      <c r="B589" s="2" t="str">
        <f>IF('1.1 Produksi Bersih Padi 2025'!B589="","",'1.1 Produksi Bersih Padi 2025'!B589)</f>
        <v/>
      </c>
      <c r="C589" s="2" t="str">
        <f>IF('1.1 Produksi Bersih Padi 2025'!C589="","",'1.1 Produksi Bersih Padi 2025'!C589)</f>
        <v/>
      </c>
      <c r="D589" s="3" t="str">
        <f>IF('1.1 Produksi Bersih Padi 2025'!D589="","",'1.1 Produksi Bersih Padi 2025'!D589)</f>
        <v/>
      </c>
      <c r="E589" s="3" t="str">
        <f>IF('1.1 Produksi Bersih Padi 2025'!E589="","",'1.1 Produksi Bersih Padi 2025'!E589)</f>
        <v/>
      </c>
      <c r="F589" s="28" t="str">
        <f>IF(D589="","",VLOOKUP(D589,'[1]0.1 Produksi Pangan &amp; Penduduk'!$D$5:$S$860,16,0))</f>
        <v/>
      </c>
      <c r="G589" s="28" t="str">
        <f t="shared" si="54"/>
        <v/>
      </c>
      <c r="H589" s="29" t="str">
        <f t="shared" si="55"/>
        <v/>
      </c>
      <c r="I589" s="29" t="str">
        <f t="shared" si="56"/>
        <v/>
      </c>
      <c r="J589" s="29" t="str">
        <f t="shared" si="57"/>
        <v/>
      </c>
      <c r="K589" s="29" t="str">
        <f t="shared" si="58"/>
        <v/>
      </c>
      <c r="L589" s="29" t="str">
        <f t="shared" si="59"/>
        <v/>
      </c>
      <c r="N589" s="11"/>
    </row>
    <row r="590" spans="1:14" ht="15" x14ac:dyDescent="0.25">
      <c r="A590" s="1" t="str">
        <f>IF('1.1 Produksi Bersih Padi 2025'!A590="","",'1.1 Produksi Bersih Padi 2025'!A590)</f>
        <v/>
      </c>
      <c r="B590" s="2" t="str">
        <f>IF('1.1 Produksi Bersih Padi 2025'!B590="","",'1.1 Produksi Bersih Padi 2025'!B590)</f>
        <v/>
      </c>
      <c r="C590" s="2" t="str">
        <f>IF('1.1 Produksi Bersih Padi 2025'!C590="","",'1.1 Produksi Bersih Padi 2025'!C590)</f>
        <v/>
      </c>
      <c r="D590" s="3" t="str">
        <f>IF('1.1 Produksi Bersih Padi 2025'!D590="","",'1.1 Produksi Bersih Padi 2025'!D590)</f>
        <v/>
      </c>
      <c r="E590" s="3" t="str">
        <f>IF('1.1 Produksi Bersih Padi 2025'!E590="","",'1.1 Produksi Bersih Padi 2025'!E590)</f>
        <v/>
      </c>
      <c r="F590" s="28" t="str">
        <f>IF(D590="","",VLOOKUP(D590,'[1]0.1 Produksi Pangan &amp; Penduduk'!$D$5:$S$860,16,0))</f>
        <v/>
      </c>
      <c r="G590" s="28" t="str">
        <f t="shared" si="54"/>
        <v/>
      </c>
      <c r="H590" s="29" t="str">
        <f t="shared" si="55"/>
        <v/>
      </c>
      <c r="I590" s="29" t="str">
        <f t="shared" si="56"/>
        <v/>
      </c>
      <c r="J590" s="29" t="str">
        <f t="shared" si="57"/>
        <v/>
      </c>
      <c r="K590" s="29" t="str">
        <f t="shared" si="58"/>
        <v/>
      </c>
      <c r="L590" s="29" t="str">
        <f t="shared" si="59"/>
        <v/>
      </c>
      <c r="N590" s="11"/>
    </row>
    <row r="591" spans="1:14" ht="15" x14ac:dyDescent="0.25">
      <c r="A591" s="1" t="str">
        <f>IF('1.1 Produksi Bersih Padi 2025'!A591="","",'1.1 Produksi Bersih Padi 2025'!A591)</f>
        <v/>
      </c>
      <c r="B591" s="2" t="str">
        <f>IF('1.1 Produksi Bersih Padi 2025'!B591="","",'1.1 Produksi Bersih Padi 2025'!B591)</f>
        <v/>
      </c>
      <c r="C591" s="2" t="str">
        <f>IF('1.1 Produksi Bersih Padi 2025'!C591="","",'1.1 Produksi Bersih Padi 2025'!C591)</f>
        <v/>
      </c>
      <c r="D591" s="3" t="str">
        <f>IF('1.1 Produksi Bersih Padi 2025'!D591="","",'1.1 Produksi Bersih Padi 2025'!D591)</f>
        <v/>
      </c>
      <c r="E591" s="3" t="str">
        <f>IF('1.1 Produksi Bersih Padi 2025'!E591="","",'1.1 Produksi Bersih Padi 2025'!E591)</f>
        <v/>
      </c>
      <c r="F591" s="28" t="str">
        <f>IF(D591="","",VLOOKUP(D591,'[1]0.1 Produksi Pangan &amp; Penduduk'!$D$5:$S$860,16,0))</f>
        <v/>
      </c>
      <c r="G591" s="28" t="str">
        <f t="shared" si="54"/>
        <v/>
      </c>
      <c r="H591" s="29" t="str">
        <f t="shared" si="55"/>
        <v/>
      </c>
      <c r="I591" s="29" t="str">
        <f t="shared" si="56"/>
        <v/>
      </c>
      <c r="J591" s="29" t="str">
        <f t="shared" si="57"/>
        <v/>
      </c>
      <c r="K591" s="29" t="str">
        <f t="shared" si="58"/>
        <v/>
      </c>
      <c r="L591" s="29" t="str">
        <f t="shared" si="59"/>
        <v/>
      </c>
      <c r="N591" s="11"/>
    </row>
    <row r="592" spans="1:14" ht="15" x14ac:dyDescent="0.25">
      <c r="A592" s="1" t="str">
        <f>IF('1.1 Produksi Bersih Padi 2025'!A592="","",'1.1 Produksi Bersih Padi 2025'!A592)</f>
        <v/>
      </c>
      <c r="B592" s="2" t="str">
        <f>IF('1.1 Produksi Bersih Padi 2025'!B592="","",'1.1 Produksi Bersih Padi 2025'!B592)</f>
        <v/>
      </c>
      <c r="C592" s="2" t="str">
        <f>IF('1.1 Produksi Bersih Padi 2025'!C592="","",'1.1 Produksi Bersih Padi 2025'!C592)</f>
        <v/>
      </c>
      <c r="D592" s="3" t="str">
        <f>IF('1.1 Produksi Bersih Padi 2025'!D592="","",'1.1 Produksi Bersih Padi 2025'!D592)</f>
        <v/>
      </c>
      <c r="E592" s="3" t="str">
        <f>IF('1.1 Produksi Bersih Padi 2025'!E592="","",'1.1 Produksi Bersih Padi 2025'!E592)</f>
        <v/>
      </c>
      <c r="F592" s="28" t="str">
        <f>IF(D592="","",VLOOKUP(D592,'[1]0.1 Produksi Pangan &amp; Penduduk'!$D$5:$S$860,16,0))</f>
        <v/>
      </c>
      <c r="G592" s="28" t="str">
        <f t="shared" si="54"/>
        <v/>
      </c>
      <c r="H592" s="29" t="str">
        <f t="shared" si="55"/>
        <v/>
      </c>
      <c r="I592" s="29" t="str">
        <f t="shared" si="56"/>
        <v/>
      </c>
      <c r="J592" s="29" t="str">
        <f t="shared" si="57"/>
        <v/>
      </c>
      <c r="K592" s="29" t="str">
        <f t="shared" si="58"/>
        <v/>
      </c>
      <c r="L592" s="29" t="str">
        <f t="shared" si="59"/>
        <v/>
      </c>
      <c r="N592" s="11"/>
    </row>
    <row r="593" spans="1:14" ht="15" x14ac:dyDescent="0.25">
      <c r="A593" s="1" t="str">
        <f>IF('1.1 Produksi Bersih Padi 2025'!A593="","",'1.1 Produksi Bersih Padi 2025'!A593)</f>
        <v/>
      </c>
      <c r="B593" s="2" t="str">
        <f>IF('1.1 Produksi Bersih Padi 2025'!B593="","",'1.1 Produksi Bersih Padi 2025'!B593)</f>
        <v/>
      </c>
      <c r="C593" s="2" t="str">
        <f>IF('1.1 Produksi Bersih Padi 2025'!C593="","",'1.1 Produksi Bersih Padi 2025'!C593)</f>
        <v/>
      </c>
      <c r="D593" s="3" t="str">
        <f>IF('1.1 Produksi Bersih Padi 2025'!D593="","",'1.1 Produksi Bersih Padi 2025'!D593)</f>
        <v/>
      </c>
      <c r="E593" s="3" t="str">
        <f>IF('1.1 Produksi Bersih Padi 2025'!E593="","",'1.1 Produksi Bersih Padi 2025'!E593)</f>
        <v/>
      </c>
      <c r="F593" s="28" t="str">
        <f>IF(D593="","",VLOOKUP(D593,'[1]0.1 Produksi Pangan &amp; Penduduk'!$D$5:$S$860,16,0))</f>
        <v/>
      </c>
      <c r="G593" s="28" t="str">
        <f t="shared" si="54"/>
        <v/>
      </c>
      <c r="H593" s="29" t="str">
        <f t="shared" si="55"/>
        <v/>
      </c>
      <c r="I593" s="29" t="str">
        <f t="shared" si="56"/>
        <v/>
      </c>
      <c r="J593" s="29" t="str">
        <f t="shared" si="57"/>
        <v/>
      </c>
      <c r="K593" s="29" t="str">
        <f t="shared" si="58"/>
        <v/>
      </c>
      <c r="L593" s="29" t="str">
        <f t="shared" si="59"/>
        <v/>
      </c>
      <c r="N593" s="11"/>
    </row>
    <row r="594" spans="1:14" ht="15" x14ac:dyDescent="0.25">
      <c r="A594" s="1" t="str">
        <f>IF('1.1 Produksi Bersih Padi 2025'!A594="","",'1.1 Produksi Bersih Padi 2025'!A594)</f>
        <v/>
      </c>
      <c r="B594" s="2" t="str">
        <f>IF('1.1 Produksi Bersih Padi 2025'!B594="","",'1.1 Produksi Bersih Padi 2025'!B594)</f>
        <v/>
      </c>
      <c r="C594" s="2" t="str">
        <f>IF('1.1 Produksi Bersih Padi 2025'!C594="","",'1.1 Produksi Bersih Padi 2025'!C594)</f>
        <v/>
      </c>
      <c r="D594" s="3" t="str">
        <f>IF('1.1 Produksi Bersih Padi 2025'!D594="","",'1.1 Produksi Bersih Padi 2025'!D594)</f>
        <v/>
      </c>
      <c r="E594" s="3" t="str">
        <f>IF('1.1 Produksi Bersih Padi 2025'!E594="","",'1.1 Produksi Bersih Padi 2025'!E594)</f>
        <v/>
      </c>
      <c r="F594" s="28" t="str">
        <f>IF(D594="","",VLOOKUP(D594,'[1]0.1 Produksi Pangan &amp; Penduduk'!$D$5:$S$860,16,0))</f>
        <v/>
      </c>
      <c r="G594" s="28" t="str">
        <f t="shared" si="54"/>
        <v/>
      </c>
      <c r="H594" s="29" t="str">
        <f t="shared" si="55"/>
        <v/>
      </c>
      <c r="I594" s="29" t="str">
        <f t="shared" si="56"/>
        <v/>
      </c>
      <c r="J594" s="29" t="str">
        <f t="shared" si="57"/>
        <v/>
      </c>
      <c r="K594" s="29" t="str">
        <f t="shared" si="58"/>
        <v/>
      </c>
      <c r="L594" s="29" t="str">
        <f t="shared" si="59"/>
        <v/>
      </c>
      <c r="N594" s="11"/>
    </row>
    <row r="595" spans="1:14" ht="15" x14ac:dyDescent="0.25">
      <c r="A595" s="1" t="str">
        <f>IF('1.1 Produksi Bersih Padi 2025'!A595="","",'1.1 Produksi Bersih Padi 2025'!A595)</f>
        <v/>
      </c>
      <c r="B595" s="2" t="str">
        <f>IF('1.1 Produksi Bersih Padi 2025'!B595="","",'1.1 Produksi Bersih Padi 2025'!B595)</f>
        <v/>
      </c>
      <c r="C595" s="2" t="str">
        <f>IF('1.1 Produksi Bersih Padi 2025'!C595="","",'1.1 Produksi Bersih Padi 2025'!C595)</f>
        <v/>
      </c>
      <c r="D595" s="3" t="str">
        <f>IF('1.1 Produksi Bersih Padi 2025'!D595="","",'1.1 Produksi Bersih Padi 2025'!D595)</f>
        <v/>
      </c>
      <c r="E595" s="3" t="str">
        <f>IF('1.1 Produksi Bersih Padi 2025'!E595="","",'1.1 Produksi Bersih Padi 2025'!E595)</f>
        <v/>
      </c>
      <c r="F595" s="28" t="str">
        <f>IF(D595="","",VLOOKUP(D595,'[1]0.1 Produksi Pangan &amp; Penduduk'!$D$5:$S$860,16,0))</f>
        <v/>
      </c>
      <c r="G595" s="28" t="str">
        <f t="shared" si="54"/>
        <v/>
      </c>
      <c r="H595" s="29" t="str">
        <f t="shared" si="55"/>
        <v/>
      </c>
      <c r="I595" s="29" t="str">
        <f t="shared" si="56"/>
        <v/>
      </c>
      <c r="J595" s="29" t="str">
        <f t="shared" si="57"/>
        <v/>
      </c>
      <c r="K595" s="29" t="str">
        <f t="shared" si="58"/>
        <v/>
      </c>
      <c r="L595" s="29" t="str">
        <f t="shared" si="59"/>
        <v/>
      </c>
      <c r="N595" s="11"/>
    </row>
    <row r="596" spans="1:14" ht="15" x14ac:dyDescent="0.25">
      <c r="A596" s="1" t="str">
        <f>IF('1.1 Produksi Bersih Padi 2025'!A596="","",'1.1 Produksi Bersih Padi 2025'!A596)</f>
        <v/>
      </c>
      <c r="B596" s="2" t="str">
        <f>IF('1.1 Produksi Bersih Padi 2025'!B596="","",'1.1 Produksi Bersih Padi 2025'!B596)</f>
        <v/>
      </c>
      <c r="C596" s="2" t="str">
        <f>IF('1.1 Produksi Bersih Padi 2025'!C596="","",'1.1 Produksi Bersih Padi 2025'!C596)</f>
        <v/>
      </c>
      <c r="D596" s="3" t="str">
        <f>IF('1.1 Produksi Bersih Padi 2025'!D596="","",'1.1 Produksi Bersih Padi 2025'!D596)</f>
        <v/>
      </c>
      <c r="E596" s="3" t="str">
        <f>IF('1.1 Produksi Bersih Padi 2025'!E596="","",'1.1 Produksi Bersih Padi 2025'!E596)</f>
        <v/>
      </c>
      <c r="F596" s="28" t="str">
        <f>IF(D596="","",VLOOKUP(D596,'[1]0.1 Produksi Pangan &amp; Penduduk'!$D$5:$S$860,16,0))</f>
        <v/>
      </c>
      <c r="G596" s="28" t="str">
        <f t="shared" si="54"/>
        <v/>
      </c>
      <c r="H596" s="29" t="str">
        <f t="shared" si="55"/>
        <v/>
      </c>
      <c r="I596" s="29" t="str">
        <f t="shared" si="56"/>
        <v/>
      </c>
      <c r="J596" s="29" t="str">
        <f t="shared" si="57"/>
        <v/>
      </c>
      <c r="K596" s="29" t="str">
        <f t="shared" si="58"/>
        <v/>
      </c>
      <c r="L596" s="29" t="str">
        <f t="shared" si="59"/>
        <v/>
      </c>
      <c r="N596" s="11"/>
    </row>
    <row r="597" spans="1:14" ht="15" x14ac:dyDescent="0.25">
      <c r="A597" s="1" t="str">
        <f>IF('1.1 Produksi Bersih Padi 2025'!A597="","",'1.1 Produksi Bersih Padi 2025'!A597)</f>
        <v/>
      </c>
      <c r="B597" s="2" t="str">
        <f>IF('1.1 Produksi Bersih Padi 2025'!B597="","",'1.1 Produksi Bersih Padi 2025'!B597)</f>
        <v/>
      </c>
      <c r="C597" s="2" t="str">
        <f>IF('1.1 Produksi Bersih Padi 2025'!C597="","",'1.1 Produksi Bersih Padi 2025'!C597)</f>
        <v/>
      </c>
      <c r="D597" s="3" t="str">
        <f>IF('1.1 Produksi Bersih Padi 2025'!D597="","",'1.1 Produksi Bersih Padi 2025'!D597)</f>
        <v/>
      </c>
      <c r="E597" s="3" t="str">
        <f>IF('1.1 Produksi Bersih Padi 2025'!E597="","",'1.1 Produksi Bersih Padi 2025'!E597)</f>
        <v/>
      </c>
      <c r="F597" s="28" t="str">
        <f>IF(D597="","",VLOOKUP(D597,'[1]0.1 Produksi Pangan &amp; Penduduk'!$D$5:$S$860,16,0))</f>
        <v/>
      </c>
      <c r="G597" s="28" t="str">
        <f t="shared" si="54"/>
        <v/>
      </c>
      <c r="H597" s="29" t="str">
        <f t="shared" si="55"/>
        <v/>
      </c>
      <c r="I597" s="29" t="str">
        <f t="shared" si="56"/>
        <v/>
      </c>
      <c r="J597" s="29" t="str">
        <f t="shared" si="57"/>
        <v/>
      </c>
      <c r="K597" s="29" t="str">
        <f t="shared" si="58"/>
        <v/>
      </c>
      <c r="L597" s="29" t="str">
        <f t="shared" si="59"/>
        <v/>
      </c>
      <c r="N597" s="11"/>
    </row>
    <row r="598" spans="1:14" ht="15" x14ac:dyDescent="0.25">
      <c r="A598" s="1" t="str">
        <f>IF('1.1 Produksi Bersih Padi 2025'!A598="","",'1.1 Produksi Bersih Padi 2025'!A598)</f>
        <v/>
      </c>
      <c r="B598" s="2" t="str">
        <f>IF('1.1 Produksi Bersih Padi 2025'!B598="","",'1.1 Produksi Bersih Padi 2025'!B598)</f>
        <v/>
      </c>
      <c r="C598" s="2" t="str">
        <f>IF('1.1 Produksi Bersih Padi 2025'!C598="","",'1.1 Produksi Bersih Padi 2025'!C598)</f>
        <v/>
      </c>
      <c r="D598" s="3" t="str">
        <f>IF('1.1 Produksi Bersih Padi 2025'!D598="","",'1.1 Produksi Bersih Padi 2025'!D598)</f>
        <v/>
      </c>
      <c r="E598" s="3" t="str">
        <f>IF('1.1 Produksi Bersih Padi 2025'!E598="","",'1.1 Produksi Bersih Padi 2025'!E598)</f>
        <v/>
      </c>
      <c r="F598" s="28" t="str">
        <f>IF(D598="","",VLOOKUP(D598,'[1]0.1 Produksi Pangan &amp; Penduduk'!$D$5:$S$860,16,0))</f>
        <v/>
      </c>
      <c r="G598" s="28" t="str">
        <f t="shared" si="54"/>
        <v/>
      </c>
      <c r="H598" s="29" t="str">
        <f t="shared" si="55"/>
        <v/>
      </c>
      <c r="I598" s="29" t="str">
        <f t="shared" si="56"/>
        <v/>
      </c>
      <c r="J598" s="29" t="str">
        <f t="shared" si="57"/>
        <v/>
      </c>
      <c r="K598" s="29" t="str">
        <f t="shared" si="58"/>
        <v/>
      </c>
      <c r="L598" s="29" t="str">
        <f t="shared" si="59"/>
        <v/>
      </c>
      <c r="N598" s="11"/>
    </row>
    <row r="599" spans="1:14" ht="15" x14ac:dyDescent="0.25">
      <c r="A599" s="1" t="str">
        <f>IF('1.1 Produksi Bersih Padi 2025'!A599="","",'1.1 Produksi Bersih Padi 2025'!A599)</f>
        <v/>
      </c>
      <c r="B599" s="2" t="str">
        <f>IF('1.1 Produksi Bersih Padi 2025'!B599="","",'1.1 Produksi Bersih Padi 2025'!B599)</f>
        <v/>
      </c>
      <c r="C599" s="2" t="str">
        <f>IF('1.1 Produksi Bersih Padi 2025'!C599="","",'1.1 Produksi Bersih Padi 2025'!C599)</f>
        <v/>
      </c>
      <c r="D599" s="3" t="str">
        <f>IF('1.1 Produksi Bersih Padi 2025'!D599="","",'1.1 Produksi Bersih Padi 2025'!D599)</f>
        <v/>
      </c>
      <c r="E599" s="3" t="str">
        <f>IF('1.1 Produksi Bersih Padi 2025'!E599="","",'1.1 Produksi Bersih Padi 2025'!E599)</f>
        <v/>
      </c>
      <c r="F599" s="28" t="str">
        <f>IF(D599="","",VLOOKUP(D599,'[1]0.1 Produksi Pangan &amp; Penduduk'!$D$5:$S$860,16,0))</f>
        <v/>
      </c>
      <c r="G599" s="28" t="str">
        <f t="shared" si="54"/>
        <v/>
      </c>
      <c r="H599" s="29" t="str">
        <f t="shared" si="55"/>
        <v/>
      </c>
      <c r="I599" s="29" t="str">
        <f t="shared" si="56"/>
        <v/>
      </c>
      <c r="J599" s="29" t="str">
        <f t="shared" si="57"/>
        <v/>
      </c>
      <c r="K599" s="29" t="str">
        <f t="shared" si="58"/>
        <v/>
      </c>
      <c r="L599" s="29" t="str">
        <f t="shared" si="59"/>
        <v/>
      </c>
      <c r="N599" s="11"/>
    </row>
    <row r="600" spans="1:14" ht="15" x14ac:dyDescent="0.25">
      <c r="A600" s="1" t="str">
        <f>IF('1.1 Produksi Bersih Padi 2025'!A600="","",'1.1 Produksi Bersih Padi 2025'!A600)</f>
        <v/>
      </c>
      <c r="B600" s="2" t="str">
        <f>IF('1.1 Produksi Bersih Padi 2025'!B600="","",'1.1 Produksi Bersih Padi 2025'!B600)</f>
        <v/>
      </c>
      <c r="C600" s="2" t="str">
        <f>IF('1.1 Produksi Bersih Padi 2025'!C600="","",'1.1 Produksi Bersih Padi 2025'!C600)</f>
        <v/>
      </c>
      <c r="D600" s="3" t="str">
        <f>IF('1.1 Produksi Bersih Padi 2025'!D600="","",'1.1 Produksi Bersih Padi 2025'!D600)</f>
        <v/>
      </c>
      <c r="E600" s="3" t="str">
        <f>IF('1.1 Produksi Bersih Padi 2025'!E600="","",'1.1 Produksi Bersih Padi 2025'!E600)</f>
        <v/>
      </c>
      <c r="F600" s="28" t="str">
        <f>IF(D600="","",VLOOKUP(D600,'[1]0.1 Produksi Pangan &amp; Penduduk'!$D$5:$S$860,16,0))</f>
        <v/>
      </c>
      <c r="G600" s="28" t="str">
        <f t="shared" si="54"/>
        <v/>
      </c>
      <c r="H600" s="29" t="str">
        <f t="shared" si="55"/>
        <v/>
      </c>
      <c r="I600" s="29" t="str">
        <f t="shared" si="56"/>
        <v/>
      </c>
      <c r="J600" s="29" t="str">
        <f t="shared" si="57"/>
        <v/>
      </c>
      <c r="K600" s="29" t="str">
        <f t="shared" si="58"/>
        <v/>
      </c>
      <c r="L600" s="29" t="str">
        <f t="shared" si="59"/>
        <v/>
      </c>
      <c r="N600" s="11"/>
    </row>
    <row r="601" spans="1:14" ht="15" x14ac:dyDescent="0.25">
      <c r="A601" s="1" t="str">
        <f>IF('1.1 Produksi Bersih Padi 2025'!A601="","",'1.1 Produksi Bersih Padi 2025'!A601)</f>
        <v/>
      </c>
      <c r="B601" s="2" t="str">
        <f>IF('1.1 Produksi Bersih Padi 2025'!B601="","",'1.1 Produksi Bersih Padi 2025'!B601)</f>
        <v/>
      </c>
      <c r="C601" s="2" t="str">
        <f>IF('1.1 Produksi Bersih Padi 2025'!C601="","",'1.1 Produksi Bersih Padi 2025'!C601)</f>
        <v/>
      </c>
      <c r="D601" s="3" t="str">
        <f>IF('1.1 Produksi Bersih Padi 2025'!D601="","",'1.1 Produksi Bersih Padi 2025'!D601)</f>
        <v/>
      </c>
      <c r="E601" s="3" t="str">
        <f>IF('1.1 Produksi Bersih Padi 2025'!E601="","",'1.1 Produksi Bersih Padi 2025'!E601)</f>
        <v/>
      </c>
      <c r="F601" s="28" t="str">
        <f>IF(D601="","",VLOOKUP(D601,'[1]0.1 Produksi Pangan &amp; Penduduk'!$D$5:$S$860,16,0))</f>
        <v/>
      </c>
      <c r="G601" s="28" t="str">
        <f t="shared" si="54"/>
        <v/>
      </c>
      <c r="H601" s="29" t="str">
        <f t="shared" si="55"/>
        <v/>
      </c>
      <c r="I601" s="29" t="str">
        <f t="shared" si="56"/>
        <v/>
      </c>
      <c r="J601" s="29" t="str">
        <f t="shared" si="57"/>
        <v/>
      </c>
      <c r="K601" s="29" t="str">
        <f t="shared" si="58"/>
        <v/>
      </c>
      <c r="L601" s="29" t="str">
        <f t="shared" si="59"/>
        <v/>
      </c>
      <c r="N601" s="11"/>
    </row>
    <row r="602" spans="1:14" ht="15" x14ac:dyDescent="0.25">
      <c r="A602" s="1" t="str">
        <f>IF('1.1 Produksi Bersih Padi 2025'!A602="","",'1.1 Produksi Bersih Padi 2025'!A602)</f>
        <v/>
      </c>
      <c r="B602" s="2" t="str">
        <f>IF('1.1 Produksi Bersih Padi 2025'!B602="","",'1.1 Produksi Bersih Padi 2025'!B602)</f>
        <v/>
      </c>
      <c r="C602" s="2" t="str">
        <f>IF('1.1 Produksi Bersih Padi 2025'!C602="","",'1.1 Produksi Bersih Padi 2025'!C602)</f>
        <v/>
      </c>
      <c r="D602" s="3" t="str">
        <f>IF('1.1 Produksi Bersih Padi 2025'!D602="","",'1.1 Produksi Bersih Padi 2025'!D602)</f>
        <v/>
      </c>
      <c r="E602" s="3" t="str">
        <f>IF('1.1 Produksi Bersih Padi 2025'!E602="","",'1.1 Produksi Bersih Padi 2025'!E602)</f>
        <v/>
      </c>
      <c r="F602" s="28" t="str">
        <f>IF(D602="","",VLOOKUP(D602,'[1]0.1 Produksi Pangan &amp; Penduduk'!$D$5:$S$860,16,0))</f>
        <v/>
      </c>
      <c r="G602" s="28" t="str">
        <f t="shared" si="54"/>
        <v/>
      </c>
      <c r="H602" s="29" t="str">
        <f t="shared" si="55"/>
        <v/>
      </c>
      <c r="I602" s="29" t="str">
        <f t="shared" si="56"/>
        <v/>
      </c>
      <c r="J602" s="29" t="str">
        <f t="shared" si="57"/>
        <v/>
      </c>
      <c r="K602" s="29" t="str">
        <f t="shared" si="58"/>
        <v/>
      </c>
      <c r="L602" s="29" t="str">
        <f t="shared" si="59"/>
        <v/>
      </c>
      <c r="N602" s="11"/>
    </row>
    <row r="603" spans="1:14" ht="15" x14ac:dyDescent="0.25">
      <c r="A603" s="1" t="str">
        <f>IF('1.1 Produksi Bersih Padi 2025'!A603="","",'1.1 Produksi Bersih Padi 2025'!A603)</f>
        <v/>
      </c>
      <c r="B603" s="2" t="str">
        <f>IF('1.1 Produksi Bersih Padi 2025'!B603="","",'1.1 Produksi Bersih Padi 2025'!B603)</f>
        <v/>
      </c>
      <c r="C603" s="2" t="str">
        <f>IF('1.1 Produksi Bersih Padi 2025'!C603="","",'1.1 Produksi Bersih Padi 2025'!C603)</f>
        <v/>
      </c>
      <c r="D603" s="3" t="str">
        <f>IF('1.1 Produksi Bersih Padi 2025'!D603="","",'1.1 Produksi Bersih Padi 2025'!D603)</f>
        <v/>
      </c>
      <c r="E603" s="3" t="str">
        <f>IF('1.1 Produksi Bersih Padi 2025'!E603="","",'1.1 Produksi Bersih Padi 2025'!E603)</f>
        <v/>
      </c>
      <c r="F603" s="28" t="str">
        <f>IF(D603="","",VLOOKUP(D603,'[1]0.1 Produksi Pangan &amp; Penduduk'!$D$5:$S$860,16,0))</f>
        <v/>
      </c>
      <c r="G603" s="28" t="str">
        <f t="shared" si="54"/>
        <v/>
      </c>
      <c r="H603" s="29" t="str">
        <f t="shared" si="55"/>
        <v/>
      </c>
      <c r="I603" s="29" t="str">
        <f t="shared" si="56"/>
        <v/>
      </c>
      <c r="J603" s="29" t="str">
        <f t="shared" si="57"/>
        <v/>
      </c>
      <c r="K603" s="29" t="str">
        <f t="shared" si="58"/>
        <v/>
      </c>
      <c r="L603" s="29" t="str">
        <f t="shared" si="59"/>
        <v/>
      </c>
      <c r="N603" s="11"/>
    </row>
    <row r="604" spans="1:14" ht="15" x14ac:dyDescent="0.25">
      <c r="A604" s="1" t="str">
        <f>IF('1.1 Produksi Bersih Padi 2025'!A604="","",'1.1 Produksi Bersih Padi 2025'!A604)</f>
        <v/>
      </c>
      <c r="B604" s="2" t="str">
        <f>IF('1.1 Produksi Bersih Padi 2025'!B604="","",'1.1 Produksi Bersih Padi 2025'!B604)</f>
        <v/>
      </c>
      <c r="C604" s="2" t="str">
        <f>IF('1.1 Produksi Bersih Padi 2025'!C604="","",'1.1 Produksi Bersih Padi 2025'!C604)</f>
        <v/>
      </c>
      <c r="D604" s="3" t="str">
        <f>IF('1.1 Produksi Bersih Padi 2025'!D604="","",'1.1 Produksi Bersih Padi 2025'!D604)</f>
        <v/>
      </c>
      <c r="E604" s="3" t="str">
        <f>IF('1.1 Produksi Bersih Padi 2025'!E604="","",'1.1 Produksi Bersih Padi 2025'!E604)</f>
        <v/>
      </c>
      <c r="F604" s="28" t="str">
        <f>IF(D604="","",VLOOKUP(D604,'[1]0.1 Produksi Pangan &amp; Penduduk'!$D$5:$S$860,16,0))</f>
        <v/>
      </c>
      <c r="G604" s="28" t="str">
        <f t="shared" si="54"/>
        <v/>
      </c>
      <c r="H604" s="29" t="str">
        <f t="shared" si="55"/>
        <v/>
      </c>
      <c r="I604" s="29" t="str">
        <f t="shared" si="56"/>
        <v/>
      </c>
      <c r="J604" s="29" t="str">
        <f t="shared" si="57"/>
        <v/>
      </c>
      <c r="K604" s="29" t="str">
        <f t="shared" si="58"/>
        <v/>
      </c>
      <c r="L604" s="29" t="str">
        <f t="shared" si="59"/>
        <v/>
      </c>
      <c r="N604" s="11"/>
    </row>
    <row r="605" spans="1:14" ht="15" x14ac:dyDescent="0.25">
      <c r="A605" s="1" t="str">
        <f>IF('1.1 Produksi Bersih Padi 2025'!A605="","",'1.1 Produksi Bersih Padi 2025'!A605)</f>
        <v/>
      </c>
      <c r="B605" s="2" t="str">
        <f>IF('1.1 Produksi Bersih Padi 2025'!B605="","",'1.1 Produksi Bersih Padi 2025'!B605)</f>
        <v/>
      </c>
      <c r="C605" s="2" t="str">
        <f>IF('1.1 Produksi Bersih Padi 2025'!C605="","",'1.1 Produksi Bersih Padi 2025'!C605)</f>
        <v/>
      </c>
      <c r="D605" s="3" t="str">
        <f>IF('1.1 Produksi Bersih Padi 2025'!D605="","",'1.1 Produksi Bersih Padi 2025'!D605)</f>
        <v/>
      </c>
      <c r="E605" s="3" t="str">
        <f>IF('1.1 Produksi Bersih Padi 2025'!E605="","",'1.1 Produksi Bersih Padi 2025'!E605)</f>
        <v/>
      </c>
      <c r="F605" s="28" t="str">
        <f>IF(D605="","",VLOOKUP(D605,'[1]0.1 Produksi Pangan &amp; Penduduk'!$D$5:$S$860,16,0))</f>
        <v/>
      </c>
      <c r="G605" s="28" t="str">
        <f t="shared" si="54"/>
        <v/>
      </c>
      <c r="H605" s="29" t="str">
        <f t="shared" si="55"/>
        <v/>
      </c>
      <c r="I605" s="29" t="str">
        <f t="shared" si="56"/>
        <v/>
      </c>
      <c r="J605" s="29" t="str">
        <f t="shared" si="57"/>
        <v/>
      </c>
      <c r="K605" s="29" t="str">
        <f t="shared" si="58"/>
        <v/>
      </c>
      <c r="L605" s="29" t="str">
        <f t="shared" si="59"/>
        <v/>
      </c>
      <c r="N605" s="11"/>
    </row>
    <row r="606" spans="1:14" ht="15" x14ac:dyDescent="0.25">
      <c r="A606" s="1" t="str">
        <f>IF('1.1 Produksi Bersih Padi 2025'!A606="","",'1.1 Produksi Bersih Padi 2025'!A606)</f>
        <v/>
      </c>
      <c r="B606" s="2" t="str">
        <f>IF('1.1 Produksi Bersih Padi 2025'!B606="","",'1.1 Produksi Bersih Padi 2025'!B606)</f>
        <v/>
      </c>
      <c r="C606" s="2" t="str">
        <f>IF('1.1 Produksi Bersih Padi 2025'!C606="","",'1.1 Produksi Bersih Padi 2025'!C606)</f>
        <v/>
      </c>
      <c r="D606" s="3" t="str">
        <f>IF('1.1 Produksi Bersih Padi 2025'!D606="","",'1.1 Produksi Bersih Padi 2025'!D606)</f>
        <v/>
      </c>
      <c r="E606" s="3" t="str">
        <f>IF('1.1 Produksi Bersih Padi 2025'!E606="","",'1.1 Produksi Bersih Padi 2025'!E606)</f>
        <v/>
      </c>
      <c r="F606" s="28" t="str">
        <f>IF(D606="","",VLOOKUP(D606,'[1]0.1 Produksi Pangan &amp; Penduduk'!$D$5:$S$860,16,0))</f>
        <v/>
      </c>
      <c r="G606" s="28" t="str">
        <f t="shared" si="54"/>
        <v/>
      </c>
      <c r="H606" s="29" t="str">
        <f t="shared" si="55"/>
        <v/>
      </c>
      <c r="I606" s="29" t="str">
        <f t="shared" si="56"/>
        <v/>
      </c>
      <c r="J606" s="29" t="str">
        <f t="shared" si="57"/>
        <v/>
      </c>
      <c r="K606" s="29" t="str">
        <f t="shared" si="58"/>
        <v/>
      </c>
      <c r="L606" s="29" t="str">
        <f t="shared" si="59"/>
        <v/>
      </c>
      <c r="N606" s="11"/>
    </row>
    <row r="607" spans="1:14" ht="15" x14ac:dyDescent="0.25">
      <c r="A607" s="1" t="str">
        <f>IF('1.1 Produksi Bersih Padi 2025'!A607="","",'1.1 Produksi Bersih Padi 2025'!A607)</f>
        <v/>
      </c>
      <c r="B607" s="2" t="str">
        <f>IF('1.1 Produksi Bersih Padi 2025'!B607="","",'1.1 Produksi Bersih Padi 2025'!B607)</f>
        <v/>
      </c>
      <c r="C607" s="2" t="str">
        <f>IF('1.1 Produksi Bersih Padi 2025'!C607="","",'1.1 Produksi Bersih Padi 2025'!C607)</f>
        <v/>
      </c>
      <c r="D607" s="3" t="str">
        <f>IF('1.1 Produksi Bersih Padi 2025'!D607="","",'1.1 Produksi Bersih Padi 2025'!D607)</f>
        <v/>
      </c>
      <c r="E607" s="3" t="str">
        <f>IF('1.1 Produksi Bersih Padi 2025'!E607="","",'1.1 Produksi Bersih Padi 2025'!E607)</f>
        <v/>
      </c>
      <c r="F607" s="28" t="str">
        <f>IF(D607="","",VLOOKUP(D607,'[1]0.1 Produksi Pangan &amp; Penduduk'!$D$5:$S$860,16,0))</f>
        <v/>
      </c>
      <c r="G607" s="28" t="str">
        <f t="shared" si="54"/>
        <v/>
      </c>
      <c r="H607" s="29" t="str">
        <f t="shared" si="55"/>
        <v/>
      </c>
      <c r="I607" s="29" t="str">
        <f t="shared" si="56"/>
        <v/>
      </c>
      <c r="J607" s="29" t="str">
        <f t="shared" si="57"/>
        <v/>
      </c>
      <c r="K607" s="29" t="str">
        <f t="shared" si="58"/>
        <v/>
      </c>
      <c r="L607" s="29" t="str">
        <f t="shared" si="59"/>
        <v/>
      </c>
      <c r="N607" s="11"/>
    </row>
    <row r="608" spans="1:14" ht="15" x14ac:dyDescent="0.25">
      <c r="A608" s="1" t="str">
        <f>IF('1.1 Produksi Bersih Padi 2025'!A608="","",'1.1 Produksi Bersih Padi 2025'!A608)</f>
        <v/>
      </c>
      <c r="B608" s="2" t="str">
        <f>IF('1.1 Produksi Bersih Padi 2025'!B608="","",'1.1 Produksi Bersih Padi 2025'!B608)</f>
        <v/>
      </c>
      <c r="C608" s="2" t="str">
        <f>IF('1.1 Produksi Bersih Padi 2025'!C608="","",'1.1 Produksi Bersih Padi 2025'!C608)</f>
        <v/>
      </c>
      <c r="D608" s="3" t="str">
        <f>IF('1.1 Produksi Bersih Padi 2025'!D608="","",'1.1 Produksi Bersih Padi 2025'!D608)</f>
        <v/>
      </c>
      <c r="E608" s="3" t="str">
        <f>IF('1.1 Produksi Bersih Padi 2025'!E608="","",'1.1 Produksi Bersih Padi 2025'!E608)</f>
        <v/>
      </c>
      <c r="F608" s="28" t="str">
        <f>IF(D608="","",VLOOKUP(D608,'[1]0.1 Produksi Pangan &amp; Penduduk'!$D$5:$S$860,16,0))</f>
        <v/>
      </c>
      <c r="G608" s="28" t="str">
        <f t="shared" si="54"/>
        <v/>
      </c>
      <c r="H608" s="29" t="str">
        <f t="shared" si="55"/>
        <v/>
      </c>
      <c r="I608" s="29" t="str">
        <f t="shared" si="56"/>
        <v/>
      </c>
      <c r="J608" s="29" t="str">
        <f t="shared" si="57"/>
        <v/>
      </c>
      <c r="K608" s="29" t="str">
        <f t="shared" si="58"/>
        <v/>
      </c>
      <c r="L608" s="29" t="str">
        <f t="shared" si="59"/>
        <v/>
      </c>
      <c r="N608" s="11"/>
    </row>
    <row r="609" spans="1:14" ht="15" x14ac:dyDescent="0.25">
      <c r="A609" s="1" t="str">
        <f>IF('1.1 Produksi Bersih Padi 2025'!A609="","",'1.1 Produksi Bersih Padi 2025'!A609)</f>
        <v/>
      </c>
      <c r="B609" s="2" t="str">
        <f>IF('1.1 Produksi Bersih Padi 2025'!B609="","",'1.1 Produksi Bersih Padi 2025'!B609)</f>
        <v/>
      </c>
      <c r="C609" s="2" t="str">
        <f>IF('1.1 Produksi Bersih Padi 2025'!C609="","",'1.1 Produksi Bersih Padi 2025'!C609)</f>
        <v/>
      </c>
      <c r="D609" s="3" t="str">
        <f>IF('1.1 Produksi Bersih Padi 2025'!D609="","",'1.1 Produksi Bersih Padi 2025'!D609)</f>
        <v/>
      </c>
      <c r="E609" s="3" t="str">
        <f>IF('1.1 Produksi Bersih Padi 2025'!E609="","",'1.1 Produksi Bersih Padi 2025'!E609)</f>
        <v/>
      </c>
      <c r="F609" s="28" t="str">
        <f>IF(D609="","",VLOOKUP(D609,'[1]0.1 Produksi Pangan &amp; Penduduk'!$D$5:$S$860,16,0))</f>
        <v/>
      </c>
      <c r="G609" s="28" t="str">
        <f t="shared" si="54"/>
        <v/>
      </c>
      <c r="H609" s="29" t="str">
        <f t="shared" si="55"/>
        <v/>
      </c>
      <c r="I609" s="29" t="str">
        <f t="shared" si="56"/>
        <v/>
      </c>
      <c r="J609" s="29" t="str">
        <f t="shared" si="57"/>
        <v/>
      </c>
      <c r="K609" s="29" t="str">
        <f t="shared" si="58"/>
        <v/>
      </c>
      <c r="L609" s="29" t="str">
        <f t="shared" si="59"/>
        <v/>
      </c>
      <c r="N609" s="11"/>
    </row>
    <row r="610" spans="1:14" ht="15" x14ac:dyDescent="0.25">
      <c r="A610" s="1" t="str">
        <f>IF('1.1 Produksi Bersih Padi 2025'!A610="","",'1.1 Produksi Bersih Padi 2025'!A610)</f>
        <v/>
      </c>
      <c r="B610" s="2" t="str">
        <f>IF('1.1 Produksi Bersih Padi 2025'!B610="","",'1.1 Produksi Bersih Padi 2025'!B610)</f>
        <v/>
      </c>
      <c r="C610" s="2" t="str">
        <f>IF('1.1 Produksi Bersih Padi 2025'!C610="","",'1.1 Produksi Bersih Padi 2025'!C610)</f>
        <v/>
      </c>
      <c r="D610" s="3" t="str">
        <f>IF('1.1 Produksi Bersih Padi 2025'!D610="","",'1.1 Produksi Bersih Padi 2025'!D610)</f>
        <v/>
      </c>
      <c r="E610" s="3" t="str">
        <f>IF('1.1 Produksi Bersih Padi 2025'!E610="","",'1.1 Produksi Bersih Padi 2025'!E610)</f>
        <v/>
      </c>
      <c r="F610" s="28" t="str">
        <f>IF(D610="","",VLOOKUP(D610,'[1]0.1 Produksi Pangan &amp; Penduduk'!$D$5:$S$860,16,0))</f>
        <v/>
      </c>
      <c r="G610" s="28" t="str">
        <f t="shared" si="54"/>
        <v/>
      </c>
      <c r="H610" s="29" t="str">
        <f t="shared" si="55"/>
        <v/>
      </c>
      <c r="I610" s="29" t="str">
        <f t="shared" si="56"/>
        <v/>
      </c>
      <c r="J610" s="29" t="str">
        <f t="shared" si="57"/>
        <v/>
      </c>
      <c r="K610" s="29" t="str">
        <f t="shared" si="58"/>
        <v/>
      </c>
      <c r="L610" s="29" t="str">
        <f t="shared" si="59"/>
        <v/>
      </c>
      <c r="N610" s="11"/>
    </row>
    <row r="611" spans="1:14" ht="15" x14ac:dyDescent="0.25">
      <c r="A611" s="1" t="str">
        <f>IF('1.1 Produksi Bersih Padi 2025'!A611="","",'1.1 Produksi Bersih Padi 2025'!A611)</f>
        <v/>
      </c>
      <c r="B611" s="2" t="str">
        <f>IF('1.1 Produksi Bersih Padi 2025'!B611="","",'1.1 Produksi Bersih Padi 2025'!B611)</f>
        <v/>
      </c>
      <c r="C611" s="2" t="str">
        <f>IF('1.1 Produksi Bersih Padi 2025'!C611="","",'1.1 Produksi Bersih Padi 2025'!C611)</f>
        <v/>
      </c>
      <c r="D611" s="3" t="str">
        <f>IF('1.1 Produksi Bersih Padi 2025'!D611="","",'1.1 Produksi Bersih Padi 2025'!D611)</f>
        <v/>
      </c>
      <c r="E611" s="3" t="str">
        <f>IF('1.1 Produksi Bersih Padi 2025'!E611="","",'1.1 Produksi Bersih Padi 2025'!E611)</f>
        <v/>
      </c>
      <c r="F611" s="28" t="str">
        <f>IF(D611="","",VLOOKUP(D611,'[1]0.1 Produksi Pangan &amp; Penduduk'!$D$5:$S$860,16,0))</f>
        <v/>
      </c>
      <c r="G611" s="28" t="str">
        <f t="shared" si="54"/>
        <v/>
      </c>
      <c r="H611" s="29" t="str">
        <f t="shared" si="55"/>
        <v/>
      </c>
      <c r="I611" s="29" t="str">
        <f t="shared" si="56"/>
        <v/>
      </c>
      <c r="J611" s="29" t="str">
        <f t="shared" si="57"/>
        <v/>
      </c>
      <c r="K611" s="29" t="str">
        <f t="shared" si="58"/>
        <v/>
      </c>
      <c r="L611" s="29" t="str">
        <f t="shared" si="59"/>
        <v/>
      </c>
      <c r="N611" s="11"/>
    </row>
    <row r="612" spans="1:14" ht="15" x14ac:dyDescent="0.25">
      <c r="A612" s="1" t="str">
        <f>IF('1.1 Produksi Bersih Padi 2025'!A612="","",'1.1 Produksi Bersih Padi 2025'!A612)</f>
        <v/>
      </c>
      <c r="B612" s="2" t="str">
        <f>IF('1.1 Produksi Bersih Padi 2025'!B612="","",'1.1 Produksi Bersih Padi 2025'!B612)</f>
        <v/>
      </c>
      <c r="C612" s="2" t="str">
        <f>IF('1.1 Produksi Bersih Padi 2025'!C612="","",'1.1 Produksi Bersih Padi 2025'!C612)</f>
        <v/>
      </c>
      <c r="D612" s="3" t="str">
        <f>IF('1.1 Produksi Bersih Padi 2025'!D612="","",'1.1 Produksi Bersih Padi 2025'!D612)</f>
        <v/>
      </c>
      <c r="E612" s="3" t="str">
        <f>IF('1.1 Produksi Bersih Padi 2025'!E612="","",'1.1 Produksi Bersih Padi 2025'!E612)</f>
        <v/>
      </c>
      <c r="F612" s="28" t="str">
        <f>IF(D612="","",VLOOKUP(D612,'[1]0.1 Produksi Pangan &amp; Penduduk'!$D$5:$S$860,16,0))</f>
        <v/>
      </c>
      <c r="G612" s="28" t="str">
        <f t="shared" si="54"/>
        <v/>
      </c>
      <c r="H612" s="29" t="str">
        <f t="shared" si="55"/>
        <v/>
      </c>
      <c r="I612" s="29" t="str">
        <f t="shared" si="56"/>
        <v/>
      </c>
      <c r="J612" s="29" t="str">
        <f t="shared" si="57"/>
        <v/>
      </c>
      <c r="K612" s="29" t="str">
        <f t="shared" si="58"/>
        <v/>
      </c>
      <c r="L612" s="29" t="str">
        <f t="shared" si="59"/>
        <v/>
      </c>
      <c r="N612" s="11"/>
    </row>
    <row r="613" spans="1:14" ht="15" x14ac:dyDescent="0.25">
      <c r="A613" s="1" t="str">
        <f>IF('1.1 Produksi Bersih Padi 2025'!A613="","",'1.1 Produksi Bersih Padi 2025'!A613)</f>
        <v/>
      </c>
      <c r="B613" s="2" t="str">
        <f>IF('1.1 Produksi Bersih Padi 2025'!B613="","",'1.1 Produksi Bersih Padi 2025'!B613)</f>
        <v/>
      </c>
      <c r="C613" s="2" t="str">
        <f>IF('1.1 Produksi Bersih Padi 2025'!C613="","",'1.1 Produksi Bersih Padi 2025'!C613)</f>
        <v/>
      </c>
      <c r="D613" s="3" t="str">
        <f>IF('1.1 Produksi Bersih Padi 2025'!D613="","",'1.1 Produksi Bersih Padi 2025'!D613)</f>
        <v/>
      </c>
      <c r="E613" s="3" t="str">
        <f>IF('1.1 Produksi Bersih Padi 2025'!E613="","",'1.1 Produksi Bersih Padi 2025'!E613)</f>
        <v/>
      </c>
      <c r="F613" s="28" t="str">
        <f>IF(D613="","",VLOOKUP(D613,'[1]0.1 Produksi Pangan &amp; Penduduk'!$D$5:$S$860,16,0))</f>
        <v/>
      </c>
      <c r="G613" s="28" t="str">
        <f t="shared" si="54"/>
        <v/>
      </c>
      <c r="H613" s="29" t="str">
        <f t="shared" si="55"/>
        <v/>
      </c>
      <c r="I613" s="29" t="str">
        <f t="shared" si="56"/>
        <v/>
      </c>
      <c r="J613" s="29" t="str">
        <f t="shared" si="57"/>
        <v/>
      </c>
      <c r="K613" s="29" t="str">
        <f t="shared" si="58"/>
        <v/>
      </c>
      <c r="L613" s="29" t="str">
        <f t="shared" si="59"/>
        <v/>
      </c>
      <c r="N613" s="11"/>
    </row>
    <row r="614" spans="1:14" ht="15" x14ac:dyDescent="0.25">
      <c r="A614" s="1" t="str">
        <f>IF('1.1 Produksi Bersih Padi 2025'!A614="","",'1.1 Produksi Bersih Padi 2025'!A614)</f>
        <v/>
      </c>
      <c r="B614" s="2" t="str">
        <f>IF('1.1 Produksi Bersih Padi 2025'!B614="","",'1.1 Produksi Bersih Padi 2025'!B614)</f>
        <v/>
      </c>
      <c r="C614" s="2" t="str">
        <f>IF('1.1 Produksi Bersih Padi 2025'!C614="","",'1.1 Produksi Bersih Padi 2025'!C614)</f>
        <v/>
      </c>
      <c r="D614" s="3" t="str">
        <f>IF('1.1 Produksi Bersih Padi 2025'!D614="","",'1.1 Produksi Bersih Padi 2025'!D614)</f>
        <v/>
      </c>
      <c r="E614" s="3" t="str">
        <f>IF('1.1 Produksi Bersih Padi 2025'!E614="","",'1.1 Produksi Bersih Padi 2025'!E614)</f>
        <v/>
      </c>
      <c r="F614" s="28" t="str">
        <f>IF(D614="","",VLOOKUP(D614,'[1]0.1 Produksi Pangan &amp; Penduduk'!$D$5:$S$860,16,0))</f>
        <v/>
      </c>
      <c r="G614" s="28" t="str">
        <f t="shared" si="54"/>
        <v/>
      </c>
      <c r="H614" s="29" t="str">
        <f t="shared" si="55"/>
        <v/>
      </c>
      <c r="I614" s="29" t="str">
        <f t="shared" si="56"/>
        <v/>
      </c>
      <c r="J614" s="29" t="str">
        <f t="shared" si="57"/>
        <v/>
      </c>
      <c r="K614" s="29" t="str">
        <f t="shared" si="58"/>
        <v/>
      </c>
      <c r="L614" s="29" t="str">
        <f t="shared" si="59"/>
        <v/>
      </c>
      <c r="N614" s="11"/>
    </row>
    <row r="615" spans="1:14" ht="15" x14ac:dyDescent="0.25">
      <c r="A615" s="1" t="str">
        <f>IF('1.1 Produksi Bersih Padi 2025'!A615="","",'1.1 Produksi Bersih Padi 2025'!A615)</f>
        <v/>
      </c>
      <c r="B615" s="2" t="str">
        <f>IF('1.1 Produksi Bersih Padi 2025'!B615="","",'1.1 Produksi Bersih Padi 2025'!B615)</f>
        <v/>
      </c>
      <c r="C615" s="2" t="str">
        <f>IF('1.1 Produksi Bersih Padi 2025'!C615="","",'1.1 Produksi Bersih Padi 2025'!C615)</f>
        <v/>
      </c>
      <c r="D615" s="3" t="str">
        <f>IF('1.1 Produksi Bersih Padi 2025'!D615="","",'1.1 Produksi Bersih Padi 2025'!D615)</f>
        <v/>
      </c>
      <c r="E615" s="3" t="str">
        <f>IF('1.1 Produksi Bersih Padi 2025'!E615="","",'1.1 Produksi Bersih Padi 2025'!E615)</f>
        <v/>
      </c>
      <c r="F615" s="28" t="str">
        <f>IF(D615="","",VLOOKUP(D615,'[1]0.1 Produksi Pangan &amp; Penduduk'!$D$5:$S$860,16,0))</f>
        <v/>
      </c>
      <c r="G615" s="28" t="str">
        <f t="shared" si="54"/>
        <v/>
      </c>
      <c r="H615" s="29" t="str">
        <f t="shared" si="55"/>
        <v/>
      </c>
      <c r="I615" s="29" t="str">
        <f t="shared" si="56"/>
        <v/>
      </c>
      <c r="J615" s="29" t="str">
        <f t="shared" si="57"/>
        <v/>
      </c>
      <c r="K615" s="29" t="str">
        <f t="shared" si="58"/>
        <v/>
      </c>
      <c r="L615" s="29" t="str">
        <f t="shared" si="59"/>
        <v/>
      </c>
      <c r="N615" s="11"/>
    </row>
    <row r="616" spans="1:14" ht="15" x14ac:dyDescent="0.25">
      <c r="A616" s="1" t="str">
        <f>IF('1.1 Produksi Bersih Padi 2025'!A616="","",'1.1 Produksi Bersih Padi 2025'!A616)</f>
        <v/>
      </c>
      <c r="B616" s="2" t="str">
        <f>IF('1.1 Produksi Bersih Padi 2025'!B616="","",'1.1 Produksi Bersih Padi 2025'!B616)</f>
        <v/>
      </c>
      <c r="C616" s="2" t="str">
        <f>IF('1.1 Produksi Bersih Padi 2025'!C616="","",'1.1 Produksi Bersih Padi 2025'!C616)</f>
        <v/>
      </c>
      <c r="D616" s="3" t="str">
        <f>IF('1.1 Produksi Bersih Padi 2025'!D616="","",'1.1 Produksi Bersih Padi 2025'!D616)</f>
        <v/>
      </c>
      <c r="E616" s="3" t="str">
        <f>IF('1.1 Produksi Bersih Padi 2025'!E616="","",'1.1 Produksi Bersih Padi 2025'!E616)</f>
        <v/>
      </c>
      <c r="F616" s="28" t="str">
        <f>IF(D616="","",VLOOKUP(D616,'[1]0.1 Produksi Pangan &amp; Penduduk'!$D$5:$S$860,16,0))</f>
        <v/>
      </c>
      <c r="G616" s="28" t="str">
        <f t="shared" si="54"/>
        <v/>
      </c>
      <c r="H616" s="29" t="str">
        <f t="shared" si="55"/>
        <v/>
      </c>
      <c r="I616" s="29" t="str">
        <f t="shared" si="56"/>
        <v/>
      </c>
      <c r="J616" s="29" t="str">
        <f t="shared" si="57"/>
        <v/>
      </c>
      <c r="K616" s="29" t="str">
        <f t="shared" si="58"/>
        <v/>
      </c>
      <c r="L616" s="29" t="str">
        <f t="shared" si="59"/>
        <v/>
      </c>
      <c r="N616" s="11"/>
    </row>
    <row r="617" spans="1:14" ht="15" x14ac:dyDescent="0.25">
      <c r="A617" s="1" t="str">
        <f>IF('1.1 Produksi Bersih Padi 2025'!A617="","",'1.1 Produksi Bersih Padi 2025'!A617)</f>
        <v/>
      </c>
      <c r="B617" s="2" t="str">
        <f>IF('1.1 Produksi Bersih Padi 2025'!B617="","",'1.1 Produksi Bersih Padi 2025'!B617)</f>
        <v/>
      </c>
      <c r="C617" s="2" t="str">
        <f>IF('1.1 Produksi Bersih Padi 2025'!C617="","",'1.1 Produksi Bersih Padi 2025'!C617)</f>
        <v/>
      </c>
      <c r="D617" s="3" t="str">
        <f>IF('1.1 Produksi Bersih Padi 2025'!D617="","",'1.1 Produksi Bersih Padi 2025'!D617)</f>
        <v/>
      </c>
      <c r="E617" s="3" t="str">
        <f>IF('1.1 Produksi Bersih Padi 2025'!E617="","",'1.1 Produksi Bersih Padi 2025'!E617)</f>
        <v/>
      </c>
      <c r="F617" s="28" t="str">
        <f>IF(D617="","",VLOOKUP(D617,'[1]0.1 Produksi Pangan &amp; Penduduk'!$D$5:$S$860,16,0))</f>
        <v/>
      </c>
      <c r="G617" s="28" t="str">
        <f t="shared" si="54"/>
        <v/>
      </c>
      <c r="H617" s="29" t="str">
        <f t="shared" si="55"/>
        <v/>
      </c>
      <c r="I617" s="29" t="str">
        <f t="shared" si="56"/>
        <v/>
      </c>
      <c r="J617" s="29" t="str">
        <f t="shared" si="57"/>
        <v/>
      </c>
      <c r="K617" s="29" t="str">
        <f t="shared" si="58"/>
        <v/>
      </c>
      <c r="L617" s="29" t="str">
        <f t="shared" si="59"/>
        <v/>
      </c>
      <c r="N617" s="11"/>
    </row>
    <row r="618" spans="1:14" ht="15" x14ac:dyDescent="0.25">
      <c r="A618" s="1" t="str">
        <f>IF('1.1 Produksi Bersih Padi 2025'!A618="","",'1.1 Produksi Bersih Padi 2025'!A618)</f>
        <v/>
      </c>
      <c r="B618" s="2" t="str">
        <f>IF('1.1 Produksi Bersih Padi 2025'!B618="","",'1.1 Produksi Bersih Padi 2025'!B618)</f>
        <v/>
      </c>
      <c r="C618" s="2" t="str">
        <f>IF('1.1 Produksi Bersih Padi 2025'!C618="","",'1.1 Produksi Bersih Padi 2025'!C618)</f>
        <v/>
      </c>
      <c r="D618" s="3" t="str">
        <f>IF('1.1 Produksi Bersih Padi 2025'!D618="","",'1.1 Produksi Bersih Padi 2025'!D618)</f>
        <v/>
      </c>
      <c r="E618" s="3" t="str">
        <f>IF('1.1 Produksi Bersih Padi 2025'!E618="","",'1.1 Produksi Bersih Padi 2025'!E618)</f>
        <v/>
      </c>
      <c r="F618" s="28" t="str">
        <f>IF(D618="","",VLOOKUP(D618,'[1]0.1 Produksi Pangan &amp; Penduduk'!$D$5:$S$860,16,0))</f>
        <v/>
      </c>
      <c r="G618" s="28" t="str">
        <f t="shared" si="54"/>
        <v/>
      </c>
      <c r="H618" s="29" t="str">
        <f t="shared" si="55"/>
        <v/>
      </c>
      <c r="I618" s="29" t="str">
        <f t="shared" si="56"/>
        <v/>
      </c>
      <c r="J618" s="29" t="str">
        <f t="shared" si="57"/>
        <v/>
      </c>
      <c r="K618" s="29" t="str">
        <f t="shared" si="58"/>
        <v/>
      </c>
      <c r="L618" s="29" t="str">
        <f t="shared" si="59"/>
        <v/>
      </c>
      <c r="N618" s="11"/>
    </row>
    <row r="619" spans="1:14" ht="15" x14ac:dyDescent="0.25">
      <c r="A619" s="1" t="str">
        <f>IF('1.1 Produksi Bersih Padi 2025'!A619="","",'1.1 Produksi Bersih Padi 2025'!A619)</f>
        <v/>
      </c>
      <c r="B619" s="2" t="str">
        <f>IF('1.1 Produksi Bersih Padi 2025'!B619="","",'1.1 Produksi Bersih Padi 2025'!B619)</f>
        <v/>
      </c>
      <c r="C619" s="2" t="str">
        <f>IF('1.1 Produksi Bersih Padi 2025'!C619="","",'1.1 Produksi Bersih Padi 2025'!C619)</f>
        <v/>
      </c>
      <c r="D619" s="3" t="str">
        <f>IF('1.1 Produksi Bersih Padi 2025'!D619="","",'1.1 Produksi Bersih Padi 2025'!D619)</f>
        <v/>
      </c>
      <c r="E619" s="3" t="str">
        <f>IF('1.1 Produksi Bersih Padi 2025'!E619="","",'1.1 Produksi Bersih Padi 2025'!E619)</f>
        <v/>
      </c>
      <c r="F619" s="28" t="str">
        <f>IF(D619="","",VLOOKUP(D619,'[1]0.1 Produksi Pangan &amp; Penduduk'!$D$5:$S$860,16,0))</f>
        <v/>
      </c>
      <c r="G619" s="28" t="str">
        <f t="shared" si="54"/>
        <v/>
      </c>
      <c r="H619" s="29" t="str">
        <f t="shared" si="55"/>
        <v/>
      </c>
      <c r="I619" s="29" t="str">
        <f t="shared" si="56"/>
        <v/>
      </c>
      <c r="J619" s="29" t="str">
        <f t="shared" si="57"/>
        <v/>
      </c>
      <c r="K619" s="29" t="str">
        <f t="shared" si="58"/>
        <v/>
      </c>
      <c r="L619" s="29" t="str">
        <f t="shared" si="59"/>
        <v/>
      </c>
      <c r="N619" s="11"/>
    </row>
    <row r="620" spans="1:14" ht="15" x14ac:dyDescent="0.25">
      <c r="A620" s="1" t="str">
        <f>IF('1.1 Produksi Bersih Padi 2025'!A620="","",'1.1 Produksi Bersih Padi 2025'!A620)</f>
        <v/>
      </c>
      <c r="B620" s="2" t="str">
        <f>IF('1.1 Produksi Bersih Padi 2025'!B620="","",'1.1 Produksi Bersih Padi 2025'!B620)</f>
        <v/>
      </c>
      <c r="C620" s="2" t="str">
        <f>IF('1.1 Produksi Bersih Padi 2025'!C620="","",'1.1 Produksi Bersih Padi 2025'!C620)</f>
        <v/>
      </c>
      <c r="D620" s="3" t="str">
        <f>IF('1.1 Produksi Bersih Padi 2025'!D620="","",'1.1 Produksi Bersih Padi 2025'!D620)</f>
        <v/>
      </c>
      <c r="E620" s="3" t="str">
        <f>IF('1.1 Produksi Bersih Padi 2025'!E620="","",'1.1 Produksi Bersih Padi 2025'!E620)</f>
        <v/>
      </c>
      <c r="F620" s="28" t="str">
        <f>IF(D620="","",VLOOKUP(D620,'[1]0.1 Produksi Pangan &amp; Penduduk'!$D$5:$S$860,16,0))</f>
        <v/>
      </c>
      <c r="G620" s="28" t="str">
        <f t="shared" si="54"/>
        <v/>
      </c>
      <c r="H620" s="29" t="str">
        <f t="shared" si="55"/>
        <v/>
      </c>
      <c r="I620" s="29" t="str">
        <f t="shared" si="56"/>
        <v/>
      </c>
      <c r="J620" s="29" t="str">
        <f t="shared" si="57"/>
        <v/>
      </c>
      <c r="K620" s="29" t="str">
        <f t="shared" si="58"/>
        <v/>
      </c>
      <c r="L620" s="29" t="str">
        <f t="shared" si="59"/>
        <v/>
      </c>
      <c r="N620" s="11"/>
    </row>
    <row r="621" spans="1:14" ht="15" x14ac:dyDescent="0.25">
      <c r="A621" s="1" t="str">
        <f>IF('1.1 Produksi Bersih Padi 2025'!A621="","",'1.1 Produksi Bersih Padi 2025'!A621)</f>
        <v/>
      </c>
      <c r="B621" s="2" t="str">
        <f>IF('1.1 Produksi Bersih Padi 2025'!B621="","",'1.1 Produksi Bersih Padi 2025'!B621)</f>
        <v/>
      </c>
      <c r="C621" s="2" t="str">
        <f>IF('1.1 Produksi Bersih Padi 2025'!C621="","",'1.1 Produksi Bersih Padi 2025'!C621)</f>
        <v/>
      </c>
      <c r="D621" s="3" t="str">
        <f>IF('1.1 Produksi Bersih Padi 2025'!D621="","",'1.1 Produksi Bersih Padi 2025'!D621)</f>
        <v/>
      </c>
      <c r="E621" s="3" t="str">
        <f>IF('1.1 Produksi Bersih Padi 2025'!E621="","",'1.1 Produksi Bersih Padi 2025'!E621)</f>
        <v/>
      </c>
      <c r="F621" s="28" t="str">
        <f>IF(D621="","",VLOOKUP(D621,'[1]0.1 Produksi Pangan &amp; Penduduk'!$D$5:$S$860,16,0))</f>
        <v/>
      </c>
      <c r="G621" s="28" t="str">
        <f t="shared" si="54"/>
        <v/>
      </c>
      <c r="H621" s="29" t="str">
        <f t="shared" si="55"/>
        <v/>
      </c>
      <c r="I621" s="29" t="str">
        <f t="shared" si="56"/>
        <v/>
      </c>
      <c r="J621" s="29" t="str">
        <f t="shared" si="57"/>
        <v/>
      </c>
      <c r="K621" s="29" t="str">
        <f t="shared" si="58"/>
        <v/>
      </c>
      <c r="L621" s="29" t="str">
        <f t="shared" si="59"/>
        <v/>
      </c>
      <c r="N621" s="11"/>
    </row>
    <row r="622" spans="1:14" ht="15" x14ac:dyDescent="0.25">
      <c r="A622" s="1" t="str">
        <f>IF('1.1 Produksi Bersih Padi 2025'!A622="","",'1.1 Produksi Bersih Padi 2025'!A622)</f>
        <v/>
      </c>
      <c r="B622" s="2" t="str">
        <f>IF('1.1 Produksi Bersih Padi 2025'!B622="","",'1.1 Produksi Bersih Padi 2025'!B622)</f>
        <v/>
      </c>
      <c r="C622" s="2" t="str">
        <f>IF('1.1 Produksi Bersih Padi 2025'!C622="","",'1.1 Produksi Bersih Padi 2025'!C622)</f>
        <v/>
      </c>
      <c r="D622" s="3" t="str">
        <f>IF('1.1 Produksi Bersih Padi 2025'!D622="","",'1.1 Produksi Bersih Padi 2025'!D622)</f>
        <v/>
      </c>
      <c r="E622" s="3" t="str">
        <f>IF('1.1 Produksi Bersih Padi 2025'!E622="","",'1.1 Produksi Bersih Padi 2025'!E622)</f>
        <v/>
      </c>
      <c r="F622" s="28" t="str">
        <f>IF(D622="","",VLOOKUP(D622,'[1]0.1 Produksi Pangan &amp; Penduduk'!$D$5:$S$860,16,0))</f>
        <v/>
      </c>
      <c r="G622" s="28" t="str">
        <f t="shared" si="54"/>
        <v/>
      </c>
      <c r="H622" s="29" t="str">
        <f t="shared" si="55"/>
        <v/>
      </c>
      <c r="I622" s="29" t="str">
        <f t="shared" si="56"/>
        <v/>
      </c>
      <c r="J622" s="29" t="str">
        <f t="shared" si="57"/>
        <v/>
      </c>
      <c r="K622" s="29" t="str">
        <f t="shared" si="58"/>
        <v/>
      </c>
      <c r="L622" s="29" t="str">
        <f t="shared" si="59"/>
        <v/>
      </c>
      <c r="N622" s="11"/>
    </row>
    <row r="623" spans="1:14" ht="15" x14ac:dyDescent="0.25">
      <c r="A623" s="1" t="str">
        <f>IF('1.1 Produksi Bersih Padi 2025'!A623="","",'1.1 Produksi Bersih Padi 2025'!A623)</f>
        <v/>
      </c>
      <c r="B623" s="2" t="str">
        <f>IF('1.1 Produksi Bersih Padi 2025'!B623="","",'1.1 Produksi Bersih Padi 2025'!B623)</f>
        <v/>
      </c>
      <c r="C623" s="2" t="str">
        <f>IF('1.1 Produksi Bersih Padi 2025'!C623="","",'1.1 Produksi Bersih Padi 2025'!C623)</f>
        <v/>
      </c>
      <c r="D623" s="3" t="str">
        <f>IF('1.1 Produksi Bersih Padi 2025'!D623="","",'1.1 Produksi Bersih Padi 2025'!D623)</f>
        <v/>
      </c>
      <c r="E623" s="3" t="str">
        <f>IF('1.1 Produksi Bersih Padi 2025'!E623="","",'1.1 Produksi Bersih Padi 2025'!E623)</f>
        <v/>
      </c>
      <c r="F623" s="28" t="str">
        <f>IF(D623="","",VLOOKUP(D623,'[1]0.1 Produksi Pangan &amp; Penduduk'!$D$5:$S$860,16,0))</f>
        <v/>
      </c>
      <c r="G623" s="28" t="str">
        <f t="shared" si="54"/>
        <v/>
      </c>
      <c r="H623" s="29" t="str">
        <f t="shared" si="55"/>
        <v/>
      </c>
      <c r="I623" s="29" t="str">
        <f t="shared" si="56"/>
        <v/>
      </c>
      <c r="J623" s="29" t="str">
        <f t="shared" si="57"/>
        <v/>
      </c>
      <c r="K623" s="29" t="str">
        <f t="shared" si="58"/>
        <v/>
      </c>
      <c r="L623" s="29" t="str">
        <f t="shared" si="59"/>
        <v/>
      </c>
      <c r="N623" s="11"/>
    </row>
    <row r="624" spans="1:14" ht="15" x14ac:dyDescent="0.25">
      <c r="A624" s="1" t="str">
        <f>IF('1.1 Produksi Bersih Padi 2025'!A624="","",'1.1 Produksi Bersih Padi 2025'!A624)</f>
        <v/>
      </c>
      <c r="B624" s="2" t="str">
        <f>IF('1.1 Produksi Bersih Padi 2025'!B624="","",'1.1 Produksi Bersih Padi 2025'!B624)</f>
        <v/>
      </c>
      <c r="C624" s="2" t="str">
        <f>IF('1.1 Produksi Bersih Padi 2025'!C624="","",'1.1 Produksi Bersih Padi 2025'!C624)</f>
        <v/>
      </c>
      <c r="D624" s="3" t="str">
        <f>IF('1.1 Produksi Bersih Padi 2025'!D624="","",'1.1 Produksi Bersih Padi 2025'!D624)</f>
        <v/>
      </c>
      <c r="E624" s="3" t="str">
        <f>IF('1.1 Produksi Bersih Padi 2025'!E624="","",'1.1 Produksi Bersih Padi 2025'!E624)</f>
        <v/>
      </c>
      <c r="F624" s="28" t="str">
        <f>IF(D624="","",VLOOKUP(D624,'[1]0.1 Produksi Pangan &amp; Penduduk'!$D$5:$S$860,16,0))</f>
        <v/>
      </c>
      <c r="G624" s="28" t="str">
        <f t="shared" si="54"/>
        <v/>
      </c>
      <c r="H624" s="29" t="str">
        <f t="shared" si="55"/>
        <v/>
      </c>
      <c r="I624" s="29" t="str">
        <f t="shared" si="56"/>
        <v/>
      </c>
      <c r="J624" s="29" t="str">
        <f t="shared" si="57"/>
        <v/>
      </c>
      <c r="K624" s="29" t="str">
        <f t="shared" si="58"/>
        <v/>
      </c>
      <c r="L624" s="29" t="str">
        <f t="shared" si="59"/>
        <v/>
      </c>
      <c r="N624" s="11"/>
    </row>
    <row r="625" spans="1:14" ht="15" x14ac:dyDescent="0.25">
      <c r="A625" s="1" t="str">
        <f>IF('1.1 Produksi Bersih Padi 2025'!A625="","",'1.1 Produksi Bersih Padi 2025'!A625)</f>
        <v/>
      </c>
      <c r="B625" s="2" t="str">
        <f>IF('1.1 Produksi Bersih Padi 2025'!B625="","",'1.1 Produksi Bersih Padi 2025'!B625)</f>
        <v/>
      </c>
      <c r="C625" s="2" t="str">
        <f>IF('1.1 Produksi Bersih Padi 2025'!C625="","",'1.1 Produksi Bersih Padi 2025'!C625)</f>
        <v/>
      </c>
      <c r="D625" s="3" t="str">
        <f>IF('1.1 Produksi Bersih Padi 2025'!D625="","",'1.1 Produksi Bersih Padi 2025'!D625)</f>
        <v/>
      </c>
      <c r="E625" s="3" t="str">
        <f>IF('1.1 Produksi Bersih Padi 2025'!E625="","",'1.1 Produksi Bersih Padi 2025'!E625)</f>
        <v/>
      </c>
      <c r="F625" s="28" t="str">
        <f>IF(D625="","",VLOOKUP(D625,'[1]0.1 Produksi Pangan &amp; Penduduk'!$D$5:$S$860,16,0))</f>
        <v/>
      </c>
      <c r="G625" s="28" t="str">
        <f t="shared" si="54"/>
        <v/>
      </c>
      <c r="H625" s="29" t="str">
        <f t="shared" si="55"/>
        <v/>
      </c>
      <c r="I625" s="29" t="str">
        <f t="shared" si="56"/>
        <v/>
      </c>
      <c r="J625" s="29" t="str">
        <f t="shared" si="57"/>
        <v/>
      </c>
      <c r="K625" s="29" t="str">
        <f t="shared" si="58"/>
        <v/>
      </c>
      <c r="L625" s="29" t="str">
        <f t="shared" si="59"/>
        <v/>
      </c>
      <c r="N625" s="11"/>
    </row>
    <row r="626" spans="1:14" ht="15" x14ac:dyDescent="0.25">
      <c r="A626" s="1" t="str">
        <f>IF('1.1 Produksi Bersih Padi 2025'!A626="","",'1.1 Produksi Bersih Padi 2025'!A626)</f>
        <v/>
      </c>
      <c r="B626" s="2" t="str">
        <f>IF('1.1 Produksi Bersih Padi 2025'!B626="","",'1.1 Produksi Bersih Padi 2025'!B626)</f>
        <v/>
      </c>
      <c r="C626" s="2" t="str">
        <f>IF('1.1 Produksi Bersih Padi 2025'!C626="","",'1.1 Produksi Bersih Padi 2025'!C626)</f>
        <v/>
      </c>
      <c r="D626" s="3" t="str">
        <f>IF('1.1 Produksi Bersih Padi 2025'!D626="","",'1.1 Produksi Bersih Padi 2025'!D626)</f>
        <v/>
      </c>
      <c r="E626" s="3" t="str">
        <f>IF('1.1 Produksi Bersih Padi 2025'!E626="","",'1.1 Produksi Bersih Padi 2025'!E626)</f>
        <v/>
      </c>
      <c r="F626" s="28" t="str">
        <f>IF(D626="","",VLOOKUP(D626,'[1]0.1 Produksi Pangan &amp; Penduduk'!$D$5:$S$860,16,0))</f>
        <v/>
      </c>
      <c r="G626" s="28" t="str">
        <f t="shared" si="54"/>
        <v/>
      </c>
      <c r="H626" s="29" t="str">
        <f t="shared" si="55"/>
        <v/>
      </c>
      <c r="I626" s="29" t="str">
        <f t="shared" si="56"/>
        <v/>
      </c>
      <c r="J626" s="29" t="str">
        <f t="shared" si="57"/>
        <v/>
      </c>
      <c r="K626" s="29" t="str">
        <f t="shared" si="58"/>
        <v/>
      </c>
      <c r="L626" s="29" t="str">
        <f t="shared" si="59"/>
        <v/>
      </c>
      <c r="N626" s="11"/>
    </row>
    <row r="627" spans="1:14" ht="15" x14ac:dyDescent="0.25">
      <c r="A627" s="1" t="str">
        <f>IF('1.1 Produksi Bersih Padi 2025'!A627="","",'1.1 Produksi Bersih Padi 2025'!A627)</f>
        <v/>
      </c>
      <c r="B627" s="2" t="str">
        <f>IF('1.1 Produksi Bersih Padi 2025'!B627="","",'1.1 Produksi Bersih Padi 2025'!B627)</f>
        <v/>
      </c>
      <c r="C627" s="2" t="str">
        <f>IF('1.1 Produksi Bersih Padi 2025'!C627="","",'1.1 Produksi Bersih Padi 2025'!C627)</f>
        <v/>
      </c>
      <c r="D627" s="3" t="str">
        <f>IF('1.1 Produksi Bersih Padi 2025'!D627="","",'1.1 Produksi Bersih Padi 2025'!D627)</f>
        <v/>
      </c>
      <c r="E627" s="3" t="str">
        <f>IF('1.1 Produksi Bersih Padi 2025'!E627="","",'1.1 Produksi Bersih Padi 2025'!E627)</f>
        <v/>
      </c>
      <c r="F627" s="28" t="str">
        <f>IF(D627="","",VLOOKUP(D627,'[1]0.1 Produksi Pangan &amp; Penduduk'!$D$5:$S$860,16,0))</f>
        <v/>
      </c>
      <c r="G627" s="28" t="str">
        <f t="shared" si="54"/>
        <v/>
      </c>
      <c r="H627" s="29" t="str">
        <f t="shared" si="55"/>
        <v/>
      </c>
      <c r="I627" s="29" t="str">
        <f t="shared" si="56"/>
        <v/>
      </c>
      <c r="J627" s="29" t="str">
        <f t="shared" si="57"/>
        <v/>
      </c>
      <c r="K627" s="29" t="str">
        <f t="shared" si="58"/>
        <v/>
      </c>
      <c r="L627" s="29" t="str">
        <f t="shared" si="59"/>
        <v/>
      </c>
      <c r="N627" s="11"/>
    </row>
    <row r="628" spans="1:14" ht="15" x14ac:dyDescent="0.25">
      <c r="A628" s="1" t="str">
        <f>IF('1.1 Produksi Bersih Padi 2025'!A628="","",'1.1 Produksi Bersih Padi 2025'!A628)</f>
        <v/>
      </c>
      <c r="B628" s="2" t="str">
        <f>IF('1.1 Produksi Bersih Padi 2025'!B628="","",'1.1 Produksi Bersih Padi 2025'!B628)</f>
        <v/>
      </c>
      <c r="C628" s="2" t="str">
        <f>IF('1.1 Produksi Bersih Padi 2025'!C628="","",'1.1 Produksi Bersih Padi 2025'!C628)</f>
        <v/>
      </c>
      <c r="D628" s="3" t="str">
        <f>IF('1.1 Produksi Bersih Padi 2025'!D628="","",'1.1 Produksi Bersih Padi 2025'!D628)</f>
        <v/>
      </c>
      <c r="E628" s="3" t="str">
        <f>IF('1.1 Produksi Bersih Padi 2025'!E628="","",'1.1 Produksi Bersih Padi 2025'!E628)</f>
        <v/>
      </c>
      <c r="F628" s="28" t="str">
        <f>IF(D628="","",VLOOKUP(D628,'[1]0.1 Produksi Pangan &amp; Penduduk'!$D$5:$S$860,16,0))</f>
        <v/>
      </c>
      <c r="G628" s="28" t="str">
        <f t="shared" si="54"/>
        <v/>
      </c>
      <c r="H628" s="29" t="str">
        <f t="shared" si="55"/>
        <v/>
      </c>
      <c r="I628" s="29" t="str">
        <f t="shared" si="56"/>
        <v/>
      </c>
      <c r="J628" s="29" t="str">
        <f t="shared" si="57"/>
        <v/>
      </c>
      <c r="K628" s="29" t="str">
        <f t="shared" si="58"/>
        <v/>
      </c>
      <c r="L628" s="29" t="str">
        <f t="shared" si="59"/>
        <v/>
      </c>
      <c r="N628" s="11"/>
    </row>
    <row r="629" spans="1:14" ht="15" x14ac:dyDescent="0.25">
      <c r="A629" s="1" t="str">
        <f>IF('1.1 Produksi Bersih Padi 2025'!A629="","",'1.1 Produksi Bersih Padi 2025'!A629)</f>
        <v/>
      </c>
      <c r="B629" s="2" t="str">
        <f>IF('1.1 Produksi Bersih Padi 2025'!B629="","",'1.1 Produksi Bersih Padi 2025'!B629)</f>
        <v/>
      </c>
      <c r="C629" s="2" t="str">
        <f>IF('1.1 Produksi Bersih Padi 2025'!C629="","",'1.1 Produksi Bersih Padi 2025'!C629)</f>
        <v/>
      </c>
      <c r="D629" s="3" t="str">
        <f>IF('1.1 Produksi Bersih Padi 2025'!D629="","",'1.1 Produksi Bersih Padi 2025'!D629)</f>
        <v/>
      </c>
      <c r="E629" s="3" t="str">
        <f>IF('1.1 Produksi Bersih Padi 2025'!E629="","",'1.1 Produksi Bersih Padi 2025'!E629)</f>
        <v/>
      </c>
      <c r="F629" s="28" t="str">
        <f>IF(D629="","",VLOOKUP(D629,'[1]0.1 Produksi Pangan &amp; Penduduk'!$D$5:$S$860,16,0))</f>
        <v/>
      </c>
      <c r="G629" s="28" t="str">
        <f t="shared" si="54"/>
        <v/>
      </c>
      <c r="H629" s="29" t="str">
        <f t="shared" si="55"/>
        <v/>
      </c>
      <c r="I629" s="29" t="str">
        <f t="shared" si="56"/>
        <v/>
      </c>
      <c r="J629" s="29" t="str">
        <f t="shared" si="57"/>
        <v/>
      </c>
      <c r="K629" s="29" t="str">
        <f t="shared" si="58"/>
        <v/>
      </c>
      <c r="L629" s="29" t="str">
        <f t="shared" si="59"/>
        <v/>
      </c>
      <c r="N629" s="11"/>
    </row>
    <row r="630" spans="1:14" ht="15" x14ac:dyDescent="0.25">
      <c r="A630" s="1" t="str">
        <f>IF('1.1 Produksi Bersih Padi 2025'!A630="","",'1.1 Produksi Bersih Padi 2025'!A630)</f>
        <v/>
      </c>
      <c r="B630" s="2" t="str">
        <f>IF('1.1 Produksi Bersih Padi 2025'!B630="","",'1.1 Produksi Bersih Padi 2025'!B630)</f>
        <v/>
      </c>
      <c r="C630" s="2" t="str">
        <f>IF('1.1 Produksi Bersih Padi 2025'!C630="","",'1.1 Produksi Bersih Padi 2025'!C630)</f>
        <v/>
      </c>
      <c r="D630" s="3" t="str">
        <f>IF('1.1 Produksi Bersih Padi 2025'!D630="","",'1.1 Produksi Bersih Padi 2025'!D630)</f>
        <v/>
      </c>
      <c r="E630" s="3" t="str">
        <f>IF('1.1 Produksi Bersih Padi 2025'!E630="","",'1.1 Produksi Bersih Padi 2025'!E630)</f>
        <v/>
      </c>
      <c r="F630" s="28" t="str">
        <f>IF(D630="","",VLOOKUP(D630,'[1]0.1 Produksi Pangan &amp; Penduduk'!$D$5:$S$860,16,0))</f>
        <v/>
      </c>
      <c r="G630" s="28" t="str">
        <f t="shared" si="54"/>
        <v/>
      </c>
      <c r="H630" s="29" t="str">
        <f t="shared" si="55"/>
        <v/>
      </c>
      <c r="I630" s="29" t="str">
        <f t="shared" si="56"/>
        <v/>
      </c>
      <c r="J630" s="29" t="str">
        <f t="shared" si="57"/>
        <v/>
      </c>
      <c r="K630" s="29" t="str">
        <f t="shared" si="58"/>
        <v/>
      </c>
      <c r="L630" s="29" t="str">
        <f t="shared" si="59"/>
        <v/>
      </c>
      <c r="N630" s="11"/>
    </row>
    <row r="631" spans="1:14" ht="15" x14ac:dyDescent="0.25">
      <c r="A631" s="1" t="str">
        <f>IF('1.1 Produksi Bersih Padi 2025'!A631="","",'1.1 Produksi Bersih Padi 2025'!A631)</f>
        <v/>
      </c>
      <c r="B631" s="2" t="str">
        <f>IF('1.1 Produksi Bersih Padi 2025'!B631="","",'1.1 Produksi Bersih Padi 2025'!B631)</f>
        <v/>
      </c>
      <c r="C631" s="2" t="str">
        <f>IF('1.1 Produksi Bersih Padi 2025'!C631="","",'1.1 Produksi Bersih Padi 2025'!C631)</f>
        <v/>
      </c>
      <c r="D631" s="3" t="str">
        <f>IF('1.1 Produksi Bersih Padi 2025'!D631="","",'1.1 Produksi Bersih Padi 2025'!D631)</f>
        <v/>
      </c>
      <c r="E631" s="3" t="str">
        <f>IF('1.1 Produksi Bersih Padi 2025'!E631="","",'1.1 Produksi Bersih Padi 2025'!E631)</f>
        <v/>
      </c>
      <c r="F631" s="28" t="str">
        <f>IF(D631="","",VLOOKUP(D631,'[1]0.1 Produksi Pangan &amp; Penduduk'!$D$5:$S$860,16,0))</f>
        <v/>
      </c>
      <c r="G631" s="28" t="str">
        <f t="shared" si="54"/>
        <v/>
      </c>
      <c r="H631" s="29" t="str">
        <f t="shared" si="55"/>
        <v/>
      </c>
      <c r="I631" s="29" t="str">
        <f t="shared" si="56"/>
        <v/>
      </c>
      <c r="J631" s="29" t="str">
        <f t="shared" si="57"/>
        <v/>
      </c>
      <c r="K631" s="29" t="str">
        <f t="shared" si="58"/>
        <v/>
      </c>
      <c r="L631" s="29" t="str">
        <f t="shared" si="59"/>
        <v/>
      </c>
      <c r="N631" s="11"/>
    </row>
    <row r="632" spans="1:14" ht="15" x14ac:dyDescent="0.25">
      <c r="A632" s="1" t="str">
        <f>IF('1.1 Produksi Bersih Padi 2025'!A632="","",'1.1 Produksi Bersih Padi 2025'!A632)</f>
        <v/>
      </c>
      <c r="B632" s="2" t="str">
        <f>IF('1.1 Produksi Bersih Padi 2025'!B632="","",'1.1 Produksi Bersih Padi 2025'!B632)</f>
        <v/>
      </c>
      <c r="C632" s="2" t="str">
        <f>IF('1.1 Produksi Bersih Padi 2025'!C632="","",'1.1 Produksi Bersih Padi 2025'!C632)</f>
        <v/>
      </c>
      <c r="D632" s="3" t="str">
        <f>IF('1.1 Produksi Bersih Padi 2025'!D632="","",'1.1 Produksi Bersih Padi 2025'!D632)</f>
        <v/>
      </c>
      <c r="E632" s="3" t="str">
        <f>IF('1.1 Produksi Bersih Padi 2025'!E632="","",'1.1 Produksi Bersih Padi 2025'!E632)</f>
        <v/>
      </c>
      <c r="F632" s="28" t="str">
        <f>IF(D632="","",VLOOKUP(D632,'[1]0.1 Produksi Pangan &amp; Penduduk'!$D$5:$S$860,16,0))</f>
        <v/>
      </c>
      <c r="G632" s="28" t="str">
        <f t="shared" si="54"/>
        <v/>
      </c>
      <c r="H632" s="29" t="str">
        <f t="shared" si="55"/>
        <v/>
      </c>
      <c r="I632" s="29" t="str">
        <f t="shared" si="56"/>
        <v/>
      </c>
      <c r="J632" s="29" t="str">
        <f t="shared" si="57"/>
        <v/>
      </c>
      <c r="K632" s="29" t="str">
        <f t="shared" si="58"/>
        <v/>
      </c>
      <c r="L632" s="29" t="str">
        <f t="shared" si="59"/>
        <v/>
      </c>
      <c r="N632" s="11"/>
    </row>
    <row r="633" spans="1:14" ht="15" x14ac:dyDescent="0.25">
      <c r="A633" s="1" t="str">
        <f>IF('1.1 Produksi Bersih Padi 2025'!A633="","",'1.1 Produksi Bersih Padi 2025'!A633)</f>
        <v/>
      </c>
      <c r="B633" s="2" t="str">
        <f>IF('1.1 Produksi Bersih Padi 2025'!B633="","",'1.1 Produksi Bersih Padi 2025'!B633)</f>
        <v/>
      </c>
      <c r="C633" s="2" t="str">
        <f>IF('1.1 Produksi Bersih Padi 2025'!C633="","",'1.1 Produksi Bersih Padi 2025'!C633)</f>
        <v/>
      </c>
      <c r="D633" s="3" t="str">
        <f>IF('1.1 Produksi Bersih Padi 2025'!D633="","",'1.1 Produksi Bersih Padi 2025'!D633)</f>
        <v/>
      </c>
      <c r="E633" s="3" t="str">
        <f>IF('1.1 Produksi Bersih Padi 2025'!E633="","",'1.1 Produksi Bersih Padi 2025'!E633)</f>
        <v/>
      </c>
      <c r="F633" s="28" t="str">
        <f>IF(D633="","",VLOOKUP(D633,'[1]0.1 Produksi Pangan &amp; Penduduk'!$D$5:$S$860,16,0))</f>
        <v/>
      </c>
      <c r="G633" s="28" t="str">
        <f t="shared" si="54"/>
        <v/>
      </c>
      <c r="H633" s="29" t="str">
        <f t="shared" si="55"/>
        <v/>
      </c>
      <c r="I633" s="29" t="str">
        <f t="shared" si="56"/>
        <v/>
      </c>
      <c r="J633" s="29" t="str">
        <f t="shared" si="57"/>
        <v/>
      </c>
      <c r="K633" s="29" t="str">
        <f t="shared" si="58"/>
        <v/>
      </c>
      <c r="L633" s="29" t="str">
        <f t="shared" si="59"/>
        <v/>
      </c>
      <c r="N633" s="11"/>
    </row>
    <row r="634" spans="1:14" ht="15" x14ac:dyDescent="0.25">
      <c r="A634" s="1" t="str">
        <f>IF('1.1 Produksi Bersih Padi 2025'!A634="","",'1.1 Produksi Bersih Padi 2025'!A634)</f>
        <v/>
      </c>
      <c r="B634" s="2" t="str">
        <f>IF('1.1 Produksi Bersih Padi 2025'!B634="","",'1.1 Produksi Bersih Padi 2025'!B634)</f>
        <v/>
      </c>
      <c r="C634" s="2" t="str">
        <f>IF('1.1 Produksi Bersih Padi 2025'!C634="","",'1.1 Produksi Bersih Padi 2025'!C634)</f>
        <v/>
      </c>
      <c r="D634" s="3" t="str">
        <f>IF('1.1 Produksi Bersih Padi 2025'!D634="","",'1.1 Produksi Bersih Padi 2025'!D634)</f>
        <v/>
      </c>
      <c r="E634" s="3" t="str">
        <f>IF('1.1 Produksi Bersih Padi 2025'!E634="","",'1.1 Produksi Bersih Padi 2025'!E634)</f>
        <v/>
      </c>
      <c r="F634" s="28" t="str">
        <f>IF(D634="","",VLOOKUP(D634,'[1]0.1 Produksi Pangan &amp; Penduduk'!$D$5:$S$860,16,0))</f>
        <v/>
      </c>
      <c r="G634" s="28" t="str">
        <f t="shared" si="54"/>
        <v/>
      </c>
      <c r="H634" s="29" t="str">
        <f t="shared" si="55"/>
        <v/>
      </c>
      <c r="I634" s="29" t="str">
        <f t="shared" si="56"/>
        <v/>
      </c>
      <c r="J634" s="29" t="str">
        <f t="shared" si="57"/>
        <v/>
      </c>
      <c r="K634" s="29" t="str">
        <f t="shared" si="58"/>
        <v/>
      </c>
      <c r="L634" s="29" t="str">
        <f t="shared" si="59"/>
        <v/>
      </c>
      <c r="N634" s="11"/>
    </row>
    <row r="635" spans="1:14" ht="15" x14ac:dyDescent="0.25">
      <c r="A635" s="1" t="str">
        <f>IF('1.1 Produksi Bersih Padi 2025'!A635="","",'1.1 Produksi Bersih Padi 2025'!A635)</f>
        <v/>
      </c>
      <c r="B635" s="2" t="str">
        <f>IF('1.1 Produksi Bersih Padi 2025'!B635="","",'1.1 Produksi Bersih Padi 2025'!B635)</f>
        <v/>
      </c>
      <c r="C635" s="2" t="str">
        <f>IF('1.1 Produksi Bersih Padi 2025'!C635="","",'1.1 Produksi Bersih Padi 2025'!C635)</f>
        <v/>
      </c>
      <c r="D635" s="3" t="str">
        <f>IF('1.1 Produksi Bersih Padi 2025'!D635="","",'1.1 Produksi Bersih Padi 2025'!D635)</f>
        <v/>
      </c>
      <c r="E635" s="3" t="str">
        <f>IF('1.1 Produksi Bersih Padi 2025'!E635="","",'1.1 Produksi Bersih Padi 2025'!E635)</f>
        <v/>
      </c>
      <c r="F635" s="28" t="str">
        <f>IF(D635="","",VLOOKUP(D635,'[1]0.1 Produksi Pangan &amp; Penduduk'!$D$5:$S$860,16,0))</f>
        <v/>
      </c>
      <c r="G635" s="28" t="str">
        <f t="shared" si="54"/>
        <v/>
      </c>
      <c r="H635" s="29" t="str">
        <f t="shared" si="55"/>
        <v/>
      </c>
      <c r="I635" s="29" t="str">
        <f t="shared" si="56"/>
        <v/>
      </c>
      <c r="J635" s="29" t="str">
        <f t="shared" si="57"/>
        <v/>
      </c>
      <c r="K635" s="29" t="str">
        <f t="shared" si="58"/>
        <v/>
      </c>
      <c r="L635" s="29" t="str">
        <f t="shared" si="59"/>
        <v/>
      </c>
      <c r="N635" s="11"/>
    </row>
    <row r="636" spans="1:14" ht="15" x14ac:dyDescent="0.25">
      <c r="A636" s="1" t="str">
        <f>IF('1.1 Produksi Bersih Padi 2025'!A636="","",'1.1 Produksi Bersih Padi 2025'!A636)</f>
        <v/>
      </c>
      <c r="B636" s="2" t="str">
        <f>IF('1.1 Produksi Bersih Padi 2025'!B636="","",'1.1 Produksi Bersih Padi 2025'!B636)</f>
        <v/>
      </c>
      <c r="C636" s="2" t="str">
        <f>IF('1.1 Produksi Bersih Padi 2025'!C636="","",'1.1 Produksi Bersih Padi 2025'!C636)</f>
        <v/>
      </c>
      <c r="D636" s="3" t="str">
        <f>IF('1.1 Produksi Bersih Padi 2025'!D636="","",'1.1 Produksi Bersih Padi 2025'!D636)</f>
        <v/>
      </c>
      <c r="E636" s="3" t="str">
        <f>IF('1.1 Produksi Bersih Padi 2025'!E636="","",'1.1 Produksi Bersih Padi 2025'!E636)</f>
        <v/>
      </c>
      <c r="F636" s="28" t="str">
        <f>IF(D636="","",VLOOKUP(D636,'[1]0.1 Produksi Pangan &amp; Penduduk'!$D$5:$S$860,16,0))</f>
        <v/>
      </c>
      <c r="G636" s="28" t="str">
        <f t="shared" si="54"/>
        <v/>
      </c>
      <c r="H636" s="29" t="str">
        <f t="shared" si="55"/>
        <v/>
      </c>
      <c r="I636" s="29" t="str">
        <f t="shared" si="56"/>
        <v/>
      </c>
      <c r="J636" s="29" t="str">
        <f t="shared" si="57"/>
        <v/>
      </c>
      <c r="K636" s="29" t="str">
        <f t="shared" si="58"/>
        <v/>
      </c>
      <c r="L636" s="29" t="str">
        <f t="shared" si="59"/>
        <v/>
      </c>
      <c r="N636" s="11"/>
    </row>
    <row r="637" spans="1:14" ht="15" x14ac:dyDescent="0.25">
      <c r="A637" s="1" t="str">
        <f>IF('1.1 Produksi Bersih Padi 2025'!A637="","",'1.1 Produksi Bersih Padi 2025'!A637)</f>
        <v/>
      </c>
      <c r="B637" s="2" t="str">
        <f>IF('1.1 Produksi Bersih Padi 2025'!B637="","",'1.1 Produksi Bersih Padi 2025'!B637)</f>
        <v/>
      </c>
      <c r="C637" s="2" t="str">
        <f>IF('1.1 Produksi Bersih Padi 2025'!C637="","",'1.1 Produksi Bersih Padi 2025'!C637)</f>
        <v/>
      </c>
      <c r="D637" s="3" t="str">
        <f>IF('1.1 Produksi Bersih Padi 2025'!D637="","",'1.1 Produksi Bersih Padi 2025'!D637)</f>
        <v/>
      </c>
      <c r="E637" s="3" t="str">
        <f>IF('1.1 Produksi Bersih Padi 2025'!E637="","",'1.1 Produksi Bersih Padi 2025'!E637)</f>
        <v/>
      </c>
      <c r="F637" s="28" t="str">
        <f>IF(D637="","",VLOOKUP(D637,'[1]0.1 Produksi Pangan &amp; Penduduk'!$D$5:$S$860,16,0))</f>
        <v/>
      </c>
      <c r="G637" s="28" t="str">
        <f t="shared" si="54"/>
        <v/>
      </c>
      <c r="H637" s="29" t="str">
        <f t="shared" si="55"/>
        <v/>
      </c>
      <c r="I637" s="29" t="str">
        <f t="shared" si="56"/>
        <v/>
      </c>
      <c r="J637" s="29" t="str">
        <f t="shared" si="57"/>
        <v/>
      </c>
      <c r="K637" s="29" t="str">
        <f t="shared" si="58"/>
        <v/>
      </c>
      <c r="L637" s="29" t="str">
        <f t="shared" si="59"/>
        <v/>
      </c>
      <c r="N637" s="11"/>
    </row>
    <row r="638" spans="1:14" ht="15" x14ac:dyDescent="0.25">
      <c r="A638" s="1" t="str">
        <f>IF('1.1 Produksi Bersih Padi 2025'!A638="","",'1.1 Produksi Bersih Padi 2025'!A638)</f>
        <v/>
      </c>
      <c r="B638" s="2" t="str">
        <f>IF('1.1 Produksi Bersih Padi 2025'!B638="","",'1.1 Produksi Bersih Padi 2025'!B638)</f>
        <v/>
      </c>
      <c r="C638" s="2" t="str">
        <f>IF('1.1 Produksi Bersih Padi 2025'!C638="","",'1.1 Produksi Bersih Padi 2025'!C638)</f>
        <v/>
      </c>
      <c r="D638" s="3" t="str">
        <f>IF('1.1 Produksi Bersih Padi 2025'!D638="","",'1.1 Produksi Bersih Padi 2025'!D638)</f>
        <v/>
      </c>
      <c r="E638" s="3" t="str">
        <f>IF('1.1 Produksi Bersih Padi 2025'!E638="","",'1.1 Produksi Bersih Padi 2025'!E638)</f>
        <v/>
      </c>
      <c r="F638" s="28" t="str">
        <f>IF(D638="","",VLOOKUP(D638,'[1]0.1 Produksi Pangan &amp; Penduduk'!$D$5:$S$860,16,0))</f>
        <v/>
      </c>
      <c r="G638" s="28" t="str">
        <f t="shared" si="54"/>
        <v/>
      </c>
      <c r="H638" s="29" t="str">
        <f t="shared" si="55"/>
        <v/>
      </c>
      <c r="I638" s="29" t="str">
        <f t="shared" si="56"/>
        <v/>
      </c>
      <c r="J638" s="29" t="str">
        <f t="shared" si="57"/>
        <v/>
      </c>
      <c r="K638" s="29" t="str">
        <f t="shared" si="58"/>
        <v/>
      </c>
      <c r="L638" s="29" t="str">
        <f t="shared" si="59"/>
        <v/>
      </c>
      <c r="N638" s="11"/>
    </row>
    <row r="639" spans="1:14" ht="15" x14ac:dyDescent="0.25">
      <c r="A639" s="1" t="str">
        <f>IF('1.1 Produksi Bersih Padi 2025'!A639="","",'1.1 Produksi Bersih Padi 2025'!A639)</f>
        <v/>
      </c>
      <c r="B639" s="2" t="str">
        <f>IF('1.1 Produksi Bersih Padi 2025'!B639="","",'1.1 Produksi Bersih Padi 2025'!B639)</f>
        <v/>
      </c>
      <c r="C639" s="2" t="str">
        <f>IF('1.1 Produksi Bersih Padi 2025'!C639="","",'1.1 Produksi Bersih Padi 2025'!C639)</f>
        <v/>
      </c>
      <c r="D639" s="3" t="str">
        <f>IF('1.1 Produksi Bersih Padi 2025'!D639="","",'1.1 Produksi Bersih Padi 2025'!D639)</f>
        <v/>
      </c>
      <c r="E639" s="3" t="str">
        <f>IF('1.1 Produksi Bersih Padi 2025'!E639="","",'1.1 Produksi Bersih Padi 2025'!E639)</f>
        <v/>
      </c>
      <c r="F639" s="28" t="str">
        <f>IF(D639="","",VLOOKUP(D639,'[1]0.1 Produksi Pangan &amp; Penduduk'!$D$5:$S$860,16,0))</f>
        <v/>
      </c>
      <c r="G639" s="28" t="str">
        <f t="shared" si="54"/>
        <v/>
      </c>
      <c r="H639" s="29" t="str">
        <f t="shared" si="55"/>
        <v/>
      </c>
      <c r="I639" s="29" t="str">
        <f t="shared" si="56"/>
        <v/>
      </c>
      <c r="J639" s="29" t="str">
        <f t="shared" si="57"/>
        <v/>
      </c>
      <c r="K639" s="29" t="str">
        <f t="shared" si="58"/>
        <v/>
      </c>
      <c r="L639" s="29" t="str">
        <f t="shared" si="59"/>
        <v/>
      </c>
      <c r="N639" s="11"/>
    </row>
    <row r="640" spans="1:14" ht="15" x14ac:dyDescent="0.25">
      <c r="A640" s="1" t="str">
        <f>IF('1.1 Produksi Bersih Padi 2025'!A640="","",'1.1 Produksi Bersih Padi 2025'!A640)</f>
        <v/>
      </c>
      <c r="B640" s="2" t="str">
        <f>IF('1.1 Produksi Bersih Padi 2025'!B640="","",'1.1 Produksi Bersih Padi 2025'!B640)</f>
        <v/>
      </c>
      <c r="C640" s="2" t="str">
        <f>IF('1.1 Produksi Bersih Padi 2025'!C640="","",'1.1 Produksi Bersih Padi 2025'!C640)</f>
        <v/>
      </c>
      <c r="D640" s="3" t="str">
        <f>IF('1.1 Produksi Bersih Padi 2025'!D640="","",'1.1 Produksi Bersih Padi 2025'!D640)</f>
        <v/>
      </c>
      <c r="E640" s="3" t="str">
        <f>IF('1.1 Produksi Bersih Padi 2025'!E640="","",'1.1 Produksi Bersih Padi 2025'!E640)</f>
        <v/>
      </c>
      <c r="F640" s="28" t="str">
        <f>IF(D640="","",VLOOKUP(D640,'[1]0.1 Produksi Pangan &amp; Penduduk'!$D$5:$S$860,16,0))</f>
        <v/>
      </c>
      <c r="G640" s="28" t="str">
        <f t="shared" si="54"/>
        <v/>
      </c>
      <c r="H640" s="29" t="str">
        <f t="shared" si="55"/>
        <v/>
      </c>
      <c r="I640" s="29" t="str">
        <f t="shared" si="56"/>
        <v/>
      </c>
      <c r="J640" s="29" t="str">
        <f t="shared" si="57"/>
        <v/>
      </c>
      <c r="K640" s="29" t="str">
        <f t="shared" si="58"/>
        <v/>
      </c>
      <c r="L640" s="29" t="str">
        <f t="shared" si="59"/>
        <v/>
      </c>
      <c r="N640" s="11"/>
    </row>
    <row r="641" spans="1:14" ht="15" x14ac:dyDescent="0.25">
      <c r="A641" s="1" t="str">
        <f>IF('1.1 Produksi Bersih Padi 2025'!A641="","",'1.1 Produksi Bersih Padi 2025'!A641)</f>
        <v/>
      </c>
      <c r="B641" s="2" t="str">
        <f>IF('1.1 Produksi Bersih Padi 2025'!B641="","",'1.1 Produksi Bersih Padi 2025'!B641)</f>
        <v/>
      </c>
      <c r="C641" s="2" t="str">
        <f>IF('1.1 Produksi Bersih Padi 2025'!C641="","",'1.1 Produksi Bersih Padi 2025'!C641)</f>
        <v/>
      </c>
      <c r="D641" s="3" t="str">
        <f>IF('1.1 Produksi Bersih Padi 2025'!D641="","",'1.1 Produksi Bersih Padi 2025'!D641)</f>
        <v/>
      </c>
      <c r="E641" s="3" t="str">
        <f>IF('1.1 Produksi Bersih Padi 2025'!E641="","",'1.1 Produksi Bersih Padi 2025'!E641)</f>
        <v/>
      </c>
      <c r="F641" s="28" t="str">
        <f>IF(D641="","",VLOOKUP(D641,'[1]0.1 Produksi Pangan &amp; Penduduk'!$D$5:$S$860,16,0))</f>
        <v/>
      </c>
      <c r="G641" s="28" t="str">
        <f t="shared" si="54"/>
        <v/>
      </c>
      <c r="H641" s="29" t="str">
        <f t="shared" si="55"/>
        <v/>
      </c>
      <c r="I641" s="29" t="str">
        <f t="shared" si="56"/>
        <v/>
      </c>
      <c r="J641" s="29" t="str">
        <f t="shared" si="57"/>
        <v/>
      </c>
      <c r="K641" s="29" t="str">
        <f t="shared" si="58"/>
        <v/>
      </c>
      <c r="L641" s="29" t="str">
        <f t="shared" si="59"/>
        <v/>
      </c>
      <c r="N641" s="11"/>
    </row>
    <row r="642" spans="1:14" ht="15" x14ac:dyDescent="0.25">
      <c r="A642" s="1" t="str">
        <f>IF('1.1 Produksi Bersih Padi 2025'!A642="","",'1.1 Produksi Bersih Padi 2025'!A642)</f>
        <v/>
      </c>
      <c r="B642" s="2" t="str">
        <f>IF('1.1 Produksi Bersih Padi 2025'!B642="","",'1.1 Produksi Bersih Padi 2025'!B642)</f>
        <v/>
      </c>
      <c r="C642" s="2" t="str">
        <f>IF('1.1 Produksi Bersih Padi 2025'!C642="","",'1.1 Produksi Bersih Padi 2025'!C642)</f>
        <v/>
      </c>
      <c r="D642" s="3" t="str">
        <f>IF('1.1 Produksi Bersih Padi 2025'!D642="","",'1.1 Produksi Bersih Padi 2025'!D642)</f>
        <v/>
      </c>
      <c r="E642" s="3" t="str">
        <f>IF('1.1 Produksi Bersih Padi 2025'!E642="","",'1.1 Produksi Bersih Padi 2025'!E642)</f>
        <v/>
      </c>
      <c r="F642" s="28" t="str">
        <f>IF(D642="","",VLOOKUP(D642,'[1]0.1 Produksi Pangan &amp; Penduduk'!$D$5:$S$860,16,0))</f>
        <v/>
      </c>
      <c r="G642" s="28" t="str">
        <f t="shared" si="54"/>
        <v/>
      </c>
      <c r="H642" s="29" t="str">
        <f t="shared" si="55"/>
        <v/>
      </c>
      <c r="I642" s="29" t="str">
        <f t="shared" si="56"/>
        <v/>
      </c>
      <c r="J642" s="29" t="str">
        <f t="shared" si="57"/>
        <v/>
      </c>
      <c r="K642" s="29" t="str">
        <f t="shared" si="58"/>
        <v/>
      </c>
      <c r="L642" s="29" t="str">
        <f t="shared" si="59"/>
        <v/>
      </c>
      <c r="N642" s="11"/>
    </row>
    <row r="643" spans="1:14" ht="15" x14ac:dyDescent="0.25">
      <c r="A643" s="1" t="str">
        <f>IF('1.1 Produksi Bersih Padi 2025'!A643="","",'1.1 Produksi Bersih Padi 2025'!A643)</f>
        <v/>
      </c>
      <c r="B643" s="2" t="str">
        <f>IF('1.1 Produksi Bersih Padi 2025'!B643="","",'1.1 Produksi Bersih Padi 2025'!B643)</f>
        <v/>
      </c>
      <c r="C643" s="2" t="str">
        <f>IF('1.1 Produksi Bersih Padi 2025'!C643="","",'1.1 Produksi Bersih Padi 2025'!C643)</f>
        <v/>
      </c>
      <c r="D643" s="3" t="str">
        <f>IF('1.1 Produksi Bersih Padi 2025'!D643="","",'1.1 Produksi Bersih Padi 2025'!D643)</f>
        <v/>
      </c>
      <c r="E643" s="3" t="str">
        <f>IF('1.1 Produksi Bersih Padi 2025'!E643="","",'1.1 Produksi Bersih Padi 2025'!E643)</f>
        <v/>
      </c>
      <c r="F643" s="28" t="str">
        <f>IF(D643="","",VLOOKUP(D643,'[1]0.1 Produksi Pangan &amp; Penduduk'!$D$5:$S$860,16,0))</f>
        <v/>
      </c>
      <c r="G643" s="28" t="str">
        <f t="shared" si="54"/>
        <v/>
      </c>
      <c r="H643" s="29" t="str">
        <f t="shared" si="55"/>
        <v/>
      </c>
      <c r="I643" s="29" t="str">
        <f t="shared" si="56"/>
        <v/>
      </c>
      <c r="J643" s="29" t="str">
        <f t="shared" si="57"/>
        <v/>
      </c>
      <c r="K643" s="29" t="str">
        <f t="shared" si="58"/>
        <v/>
      </c>
      <c r="L643" s="29" t="str">
        <f t="shared" si="59"/>
        <v/>
      </c>
      <c r="N643" s="11"/>
    </row>
    <row r="644" spans="1:14" ht="15" x14ac:dyDescent="0.25">
      <c r="A644" s="1" t="str">
        <f>IF('1.1 Produksi Bersih Padi 2025'!A644="","",'1.1 Produksi Bersih Padi 2025'!A644)</f>
        <v/>
      </c>
      <c r="B644" s="2" t="str">
        <f>IF('1.1 Produksi Bersih Padi 2025'!B644="","",'1.1 Produksi Bersih Padi 2025'!B644)</f>
        <v/>
      </c>
      <c r="C644" s="2" t="str">
        <f>IF('1.1 Produksi Bersih Padi 2025'!C644="","",'1.1 Produksi Bersih Padi 2025'!C644)</f>
        <v/>
      </c>
      <c r="D644" s="3" t="str">
        <f>IF('1.1 Produksi Bersih Padi 2025'!D644="","",'1.1 Produksi Bersih Padi 2025'!D644)</f>
        <v/>
      </c>
      <c r="E644" s="3" t="str">
        <f>IF('1.1 Produksi Bersih Padi 2025'!E644="","",'1.1 Produksi Bersih Padi 2025'!E644)</f>
        <v/>
      </c>
      <c r="F644" s="28" t="str">
        <f>IF(D644="","",VLOOKUP(D644,'[1]0.1 Produksi Pangan &amp; Penduduk'!$D$5:$S$860,16,0))</f>
        <v/>
      </c>
      <c r="G644" s="28" t="str">
        <f t="shared" si="54"/>
        <v/>
      </c>
      <c r="H644" s="29" t="str">
        <f t="shared" si="55"/>
        <v/>
      </c>
      <c r="I644" s="29" t="str">
        <f t="shared" si="56"/>
        <v/>
      </c>
      <c r="J644" s="29" t="str">
        <f t="shared" si="57"/>
        <v/>
      </c>
      <c r="K644" s="29" t="str">
        <f t="shared" si="58"/>
        <v/>
      </c>
      <c r="L644" s="29" t="str">
        <f t="shared" si="59"/>
        <v/>
      </c>
      <c r="N644" s="11"/>
    </row>
    <row r="645" spans="1:14" ht="15" x14ac:dyDescent="0.25">
      <c r="A645" s="1" t="str">
        <f>IF('1.1 Produksi Bersih Padi 2025'!A645="","",'1.1 Produksi Bersih Padi 2025'!A645)</f>
        <v/>
      </c>
      <c r="B645" s="2" t="str">
        <f>IF('1.1 Produksi Bersih Padi 2025'!B645="","",'1.1 Produksi Bersih Padi 2025'!B645)</f>
        <v/>
      </c>
      <c r="C645" s="2" t="str">
        <f>IF('1.1 Produksi Bersih Padi 2025'!C645="","",'1.1 Produksi Bersih Padi 2025'!C645)</f>
        <v/>
      </c>
      <c r="D645" s="3" t="str">
        <f>IF('1.1 Produksi Bersih Padi 2025'!D645="","",'1.1 Produksi Bersih Padi 2025'!D645)</f>
        <v/>
      </c>
      <c r="E645" s="3" t="str">
        <f>IF('1.1 Produksi Bersih Padi 2025'!E645="","",'1.1 Produksi Bersih Padi 2025'!E645)</f>
        <v/>
      </c>
      <c r="F645" s="28" t="str">
        <f>IF(D645="","",VLOOKUP(D645,'[1]0.1 Produksi Pangan &amp; Penduduk'!$D$5:$S$860,16,0))</f>
        <v/>
      </c>
      <c r="G645" s="28" t="str">
        <f t="shared" si="54"/>
        <v/>
      </c>
      <c r="H645" s="29" t="str">
        <f t="shared" si="55"/>
        <v/>
      </c>
      <c r="I645" s="29" t="str">
        <f t="shared" si="56"/>
        <v/>
      </c>
      <c r="J645" s="29" t="str">
        <f t="shared" si="57"/>
        <v/>
      </c>
      <c r="K645" s="29" t="str">
        <f t="shared" si="58"/>
        <v/>
      </c>
      <c r="L645" s="29" t="str">
        <f t="shared" si="59"/>
        <v/>
      </c>
      <c r="N645" s="11"/>
    </row>
    <row r="646" spans="1:14" ht="15" x14ac:dyDescent="0.25">
      <c r="A646" s="1" t="str">
        <f>IF('1.1 Produksi Bersih Padi 2025'!A646="","",'1.1 Produksi Bersih Padi 2025'!A646)</f>
        <v/>
      </c>
      <c r="B646" s="2" t="str">
        <f>IF('1.1 Produksi Bersih Padi 2025'!B646="","",'1.1 Produksi Bersih Padi 2025'!B646)</f>
        <v/>
      </c>
      <c r="C646" s="2" t="str">
        <f>IF('1.1 Produksi Bersih Padi 2025'!C646="","",'1.1 Produksi Bersih Padi 2025'!C646)</f>
        <v/>
      </c>
      <c r="D646" s="3" t="str">
        <f>IF('1.1 Produksi Bersih Padi 2025'!D646="","",'1.1 Produksi Bersih Padi 2025'!D646)</f>
        <v/>
      </c>
      <c r="E646" s="3" t="str">
        <f>IF('1.1 Produksi Bersih Padi 2025'!E646="","",'1.1 Produksi Bersih Padi 2025'!E646)</f>
        <v/>
      </c>
      <c r="F646" s="28" t="str">
        <f>IF(D646="","",VLOOKUP(D646,'[1]0.1 Produksi Pangan &amp; Penduduk'!$D$5:$S$860,16,0))</f>
        <v/>
      </c>
      <c r="G646" s="28" t="str">
        <f t="shared" ref="G646:G709" si="60">IF(F646="","",F646*73.9252%)</f>
        <v/>
      </c>
      <c r="H646" s="29" t="str">
        <f t="shared" ref="H646:H709" si="61">IF(G646="","",G646*0.345%)</f>
        <v/>
      </c>
      <c r="I646" s="29" t="str">
        <f t="shared" ref="I646:I709" si="62">IF(G646="","",G646*78.806%)</f>
        <v/>
      </c>
      <c r="J646" s="29" t="str">
        <f t="shared" ref="J646:J709" si="63">IF(G646="","",G646*4.62%)</f>
        <v/>
      </c>
      <c r="K646" s="29" t="str">
        <f t="shared" ref="K646:K709" si="64">IF(G646="","",G646-(H646+I646+J646))</f>
        <v/>
      </c>
      <c r="L646" s="29" t="str">
        <f t="shared" ref="L646:L709" si="65">IF(K646="","",K646*1.017)</f>
        <v/>
      </c>
      <c r="N646" s="11"/>
    </row>
    <row r="647" spans="1:14" ht="15" x14ac:dyDescent="0.25">
      <c r="A647" s="1" t="str">
        <f>IF('1.1 Produksi Bersih Padi 2025'!A647="","",'1.1 Produksi Bersih Padi 2025'!A647)</f>
        <v/>
      </c>
      <c r="B647" s="2" t="str">
        <f>IF('1.1 Produksi Bersih Padi 2025'!B647="","",'1.1 Produksi Bersih Padi 2025'!B647)</f>
        <v/>
      </c>
      <c r="C647" s="2" t="str">
        <f>IF('1.1 Produksi Bersih Padi 2025'!C647="","",'1.1 Produksi Bersih Padi 2025'!C647)</f>
        <v/>
      </c>
      <c r="D647" s="3" t="str">
        <f>IF('1.1 Produksi Bersih Padi 2025'!D647="","",'1.1 Produksi Bersih Padi 2025'!D647)</f>
        <v/>
      </c>
      <c r="E647" s="3" t="str">
        <f>IF('1.1 Produksi Bersih Padi 2025'!E647="","",'1.1 Produksi Bersih Padi 2025'!E647)</f>
        <v/>
      </c>
      <c r="F647" s="28" t="str">
        <f>IF(D647="","",VLOOKUP(D647,'[1]0.1 Produksi Pangan &amp; Penduduk'!$D$5:$S$860,16,0))</f>
        <v/>
      </c>
      <c r="G647" s="28" t="str">
        <f t="shared" si="60"/>
        <v/>
      </c>
      <c r="H647" s="29" t="str">
        <f t="shared" si="61"/>
        <v/>
      </c>
      <c r="I647" s="29" t="str">
        <f t="shared" si="62"/>
        <v/>
      </c>
      <c r="J647" s="29" t="str">
        <f t="shared" si="63"/>
        <v/>
      </c>
      <c r="K647" s="29" t="str">
        <f t="shared" si="64"/>
        <v/>
      </c>
      <c r="L647" s="29" t="str">
        <f t="shared" si="65"/>
        <v/>
      </c>
      <c r="N647" s="11"/>
    </row>
    <row r="648" spans="1:14" ht="15" x14ac:dyDescent="0.25">
      <c r="A648" s="1" t="str">
        <f>IF('1.1 Produksi Bersih Padi 2025'!A648="","",'1.1 Produksi Bersih Padi 2025'!A648)</f>
        <v/>
      </c>
      <c r="B648" s="2" t="str">
        <f>IF('1.1 Produksi Bersih Padi 2025'!B648="","",'1.1 Produksi Bersih Padi 2025'!B648)</f>
        <v/>
      </c>
      <c r="C648" s="2" t="str">
        <f>IF('1.1 Produksi Bersih Padi 2025'!C648="","",'1.1 Produksi Bersih Padi 2025'!C648)</f>
        <v/>
      </c>
      <c r="D648" s="3" t="str">
        <f>IF('1.1 Produksi Bersih Padi 2025'!D648="","",'1.1 Produksi Bersih Padi 2025'!D648)</f>
        <v/>
      </c>
      <c r="E648" s="3" t="str">
        <f>IF('1.1 Produksi Bersih Padi 2025'!E648="","",'1.1 Produksi Bersih Padi 2025'!E648)</f>
        <v/>
      </c>
      <c r="F648" s="28" t="str">
        <f>IF(D648="","",VLOOKUP(D648,'[1]0.1 Produksi Pangan &amp; Penduduk'!$D$5:$S$860,16,0))</f>
        <v/>
      </c>
      <c r="G648" s="28" t="str">
        <f t="shared" si="60"/>
        <v/>
      </c>
      <c r="H648" s="29" t="str">
        <f t="shared" si="61"/>
        <v/>
      </c>
      <c r="I648" s="29" t="str">
        <f t="shared" si="62"/>
        <v/>
      </c>
      <c r="J648" s="29" t="str">
        <f t="shared" si="63"/>
        <v/>
      </c>
      <c r="K648" s="29" t="str">
        <f t="shared" si="64"/>
        <v/>
      </c>
      <c r="L648" s="29" t="str">
        <f t="shared" si="65"/>
        <v/>
      </c>
      <c r="N648" s="11"/>
    </row>
    <row r="649" spans="1:14" ht="15" x14ac:dyDescent="0.25">
      <c r="A649" s="1" t="str">
        <f>IF('1.1 Produksi Bersih Padi 2025'!A649="","",'1.1 Produksi Bersih Padi 2025'!A649)</f>
        <v/>
      </c>
      <c r="B649" s="2" t="str">
        <f>IF('1.1 Produksi Bersih Padi 2025'!B649="","",'1.1 Produksi Bersih Padi 2025'!B649)</f>
        <v/>
      </c>
      <c r="C649" s="2" t="str">
        <f>IF('1.1 Produksi Bersih Padi 2025'!C649="","",'1.1 Produksi Bersih Padi 2025'!C649)</f>
        <v/>
      </c>
      <c r="D649" s="3" t="str">
        <f>IF('1.1 Produksi Bersih Padi 2025'!D649="","",'1.1 Produksi Bersih Padi 2025'!D649)</f>
        <v/>
      </c>
      <c r="E649" s="3" t="str">
        <f>IF('1.1 Produksi Bersih Padi 2025'!E649="","",'1.1 Produksi Bersih Padi 2025'!E649)</f>
        <v/>
      </c>
      <c r="F649" s="28" t="str">
        <f>IF(D649="","",VLOOKUP(D649,'[1]0.1 Produksi Pangan &amp; Penduduk'!$D$5:$S$860,16,0))</f>
        <v/>
      </c>
      <c r="G649" s="28" t="str">
        <f t="shared" si="60"/>
        <v/>
      </c>
      <c r="H649" s="29" t="str">
        <f t="shared" si="61"/>
        <v/>
      </c>
      <c r="I649" s="29" t="str">
        <f t="shared" si="62"/>
        <v/>
      </c>
      <c r="J649" s="29" t="str">
        <f t="shared" si="63"/>
        <v/>
      </c>
      <c r="K649" s="29" t="str">
        <f t="shared" si="64"/>
        <v/>
      </c>
      <c r="L649" s="29" t="str">
        <f t="shared" si="65"/>
        <v/>
      </c>
      <c r="N649" s="11"/>
    </row>
    <row r="650" spans="1:14" ht="15" x14ac:dyDescent="0.25">
      <c r="A650" s="1" t="str">
        <f>IF('1.1 Produksi Bersih Padi 2025'!A650="","",'1.1 Produksi Bersih Padi 2025'!A650)</f>
        <v/>
      </c>
      <c r="B650" s="2" t="str">
        <f>IF('1.1 Produksi Bersih Padi 2025'!B650="","",'1.1 Produksi Bersih Padi 2025'!B650)</f>
        <v/>
      </c>
      <c r="C650" s="2" t="str">
        <f>IF('1.1 Produksi Bersih Padi 2025'!C650="","",'1.1 Produksi Bersih Padi 2025'!C650)</f>
        <v/>
      </c>
      <c r="D650" s="3" t="str">
        <f>IF('1.1 Produksi Bersih Padi 2025'!D650="","",'1.1 Produksi Bersih Padi 2025'!D650)</f>
        <v/>
      </c>
      <c r="E650" s="3" t="str">
        <f>IF('1.1 Produksi Bersih Padi 2025'!E650="","",'1.1 Produksi Bersih Padi 2025'!E650)</f>
        <v/>
      </c>
      <c r="F650" s="28" t="str">
        <f>IF(D650="","",VLOOKUP(D650,'[1]0.1 Produksi Pangan &amp; Penduduk'!$D$5:$S$860,16,0))</f>
        <v/>
      </c>
      <c r="G650" s="28" t="str">
        <f t="shared" si="60"/>
        <v/>
      </c>
      <c r="H650" s="29" t="str">
        <f t="shared" si="61"/>
        <v/>
      </c>
      <c r="I650" s="29" t="str">
        <f t="shared" si="62"/>
        <v/>
      </c>
      <c r="J650" s="29" t="str">
        <f t="shared" si="63"/>
        <v/>
      </c>
      <c r="K650" s="29" t="str">
        <f t="shared" si="64"/>
        <v/>
      </c>
      <c r="L650" s="29" t="str">
        <f t="shared" si="65"/>
        <v/>
      </c>
      <c r="N650" s="11"/>
    </row>
    <row r="651" spans="1:14" ht="15" x14ac:dyDescent="0.25">
      <c r="A651" s="1" t="str">
        <f>IF('1.1 Produksi Bersih Padi 2025'!A651="","",'1.1 Produksi Bersih Padi 2025'!A651)</f>
        <v/>
      </c>
      <c r="B651" s="2" t="str">
        <f>IF('1.1 Produksi Bersih Padi 2025'!B651="","",'1.1 Produksi Bersih Padi 2025'!B651)</f>
        <v/>
      </c>
      <c r="C651" s="2" t="str">
        <f>IF('1.1 Produksi Bersih Padi 2025'!C651="","",'1.1 Produksi Bersih Padi 2025'!C651)</f>
        <v/>
      </c>
      <c r="D651" s="3" t="str">
        <f>IF('1.1 Produksi Bersih Padi 2025'!D651="","",'1.1 Produksi Bersih Padi 2025'!D651)</f>
        <v/>
      </c>
      <c r="E651" s="3" t="str">
        <f>IF('1.1 Produksi Bersih Padi 2025'!E651="","",'1.1 Produksi Bersih Padi 2025'!E651)</f>
        <v/>
      </c>
      <c r="F651" s="28" t="str">
        <f>IF(D651="","",VLOOKUP(D651,'[1]0.1 Produksi Pangan &amp; Penduduk'!$D$5:$S$860,16,0))</f>
        <v/>
      </c>
      <c r="G651" s="28" t="str">
        <f t="shared" si="60"/>
        <v/>
      </c>
      <c r="H651" s="29" t="str">
        <f t="shared" si="61"/>
        <v/>
      </c>
      <c r="I651" s="29" t="str">
        <f t="shared" si="62"/>
        <v/>
      </c>
      <c r="J651" s="29" t="str">
        <f t="shared" si="63"/>
        <v/>
      </c>
      <c r="K651" s="29" t="str">
        <f t="shared" si="64"/>
        <v/>
      </c>
      <c r="L651" s="29" t="str">
        <f t="shared" si="65"/>
        <v/>
      </c>
      <c r="N651" s="11"/>
    </row>
    <row r="652" spans="1:14" ht="15" x14ac:dyDescent="0.25">
      <c r="A652" s="1" t="str">
        <f>IF('1.1 Produksi Bersih Padi 2025'!A652="","",'1.1 Produksi Bersih Padi 2025'!A652)</f>
        <v/>
      </c>
      <c r="B652" s="2" t="str">
        <f>IF('1.1 Produksi Bersih Padi 2025'!B652="","",'1.1 Produksi Bersih Padi 2025'!B652)</f>
        <v/>
      </c>
      <c r="C652" s="2" t="str">
        <f>IF('1.1 Produksi Bersih Padi 2025'!C652="","",'1.1 Produksi Bersih Padi 2025'!C652)</f>
        <v/>
      </c>
      <c r="D652" s="3" t="str">
        <f>IF('1.1 Produksi Bersih Padi 2025'!D652="","",'1.1 Produksi Bersih Padi 2025'!D652)</f>
        <v/>
      </c>
      <c r="E652" s="3" t="str">
        <f>IF('1.1 Produksi Bersih Padi 2025'!E652="","",'1.1 Produksi Bersih Padi 2025'!E652)</f>
        <v/>
      </c>
      <c r="F652" s="28" t="str">
        <f>IF(D652="","",VLOOKUP(D652,'[1]0.1 Produksi Pangan &amp; Penduduk'!$D$5:$S$860,16,0))</f>
        <v/>
      </c>
      <c r="G652" s="28" t="str">
        <f t="shared" si="60"/>
        <v/>
      </c>
      <c r="H652" s="29" t="str">
        <f t="shared" si="61"/>
        <v/>
      </c>
      <c r="I652" s="29" t="str">
        <f t="shared" si="62"/>
        <v/>
      </c>
      <c r="J652" s="29" t="str">
        <f t="shared" si="63"/>
        <v/>
      </c>
      <c r="K652" s="29" t="str">
        <f t="shared" si="64"/>
        <v/>
      </c>
      <c r="L652" s="29" t="str">
        <f t="shared" si="65"/>
        <v/>
      </c>
      <c r="N652" s="11"/>
    </row>
    <row r="653" spans="1:14" ht="15" x14ac:dyDescent="0.25">
      <c r="A653" s="1" t="str">
        <f>IF('1.1 Produksi Bersih Padi 2025'!A653="","",'1.1 Produksi Bersih Padi 2025'!A653)</f>
        <v/>
      </c>
      <c r="B653" s="2" t="str">
        <f>IF('1.1 Produksi Bersih Padi 2025'!B653="","",'1.1 Produksi Bersih Padi 2025'!B653)</f>
        <v/>
      </c>
      <c r="C653" s="2" t="str">
        <f>IF('1.1 Produksi Bersih Padi 2025'!C653="","",'1.1 Produksi Bersih Padi 2025'!C653)</f>
        <v/>
      </c>
      <c r="D653" s="3" t="str">
        <f>IF('1.1 Produksi Bersih Padi 2025'!D653="","",'1.1 Produksi Bersih Padi 2025'!D653)</f>
        <v/>
      </c>
      <c r="E653" s="3" t="str">
        <f>IF('1.1 Produksi Bersih Padi 2025'!E653="","",'1.1 Produksi Bersih Padi 2025'!E653)</f>
        <v/>
      </c>
      <c r="F653" s="28" t="str">
        <f>IF(D653="","",VLOOKUP(D653,'[1]0.1 Produksi Pangan &amp; Penduduk'!$D$5:$S$860,16,0))</f>
        <v/>
      </c>
      <c r="G653" s="28" t="str">
        <f t="shared" si="60"/>
        <v/>
      </c>
      <c r="H653" s="29" t="str">
        <f t="shared" si="61"/>
        <v/>
      </c>
      <c r="I653" s="29" t="str">
        <f t="shared" si="62"/>
        <v/>
      </c>
      <c r="J653" s="29" t="str">
        <f t="shared" si="63"/>
        <v/>
      </c>
      <c r="K653" s="29" t="str">
        <f t="shared" si="64"/>
        <v/>
      </c>
      <c r="L653" s="29" t="str">
        <f t="shared" si="65"/>
        <v/>
      </c>
      <c r="N653" s="11"/>
    </row>
    <row r="654" spans="1:14" ht="15" x14ac:dyDescent="0.25">
      <c r="A654" s="1" t="str">
        <f>IF('1.1 Produksi Bersih Padi 2025'!A654="","",'1.1 Produksi Bersih Padi 2025'!A654)</f>
        <v/>
      </c>
      <c r="B654" s="2" t="str">
        <f>IF('1.1 Produksi Bersih Padi 2025'!B654="","",'1.1 Produksi Bersih Padi 2025'!B654)</f>
        <v/>
      </c>
      <c r="C654" s="2" t="str">
        <f>IF('1.1 Produksi Bersih Padi 2025'!C654="","",'1.1 Produksi Bersih Padi 2025'!C654)</f>
        <v/>
      </c>
      <c r="D654" s="3" t="str">
        <f>IF('1.1 Produksi Bersih Padi 2025'!D654="","",'1.1 Produksi Bersih Padi 2025'!D654)</f>
        <v/>
      </c>
      <c r="E654" s="3" t="str">
        <f>IF('1.1 Produksi Bersih Padi 2025'!E654="","",'1.1 Produksi Bersih Padi 2025'!E654)</f>
        <v/>
      </c>
      <c r="F654" s="28" t="str">
        <f>IF(D654="","",VLOOKUP(D654,'[1]0.1 Produksi Pangan &amp; Penduduk'!$D$5:$S$860,16,0))</f>
        <v/>
      </c>
      <c r="G654" s="28" t="str">
        <f t="shared" si="60"/>
        <v/>
      </c>
      <c r="H654" s="29" t="str">
        <f t="shared" si="61"/>
        <v/>
      </c>
      <c r="I654" s="29" t="str">
        <f t="shared" si="62"/>
        <v/>
      </c>
      <c r="J654" s="29" t="str">
        <f t="shared" si="63"/>
        <v/>
      </c>
      <c r="K654" s="29" t="str">
        <f t="shared" si="64"/>
        <v/>
      </c>
      <c r="L654" s="29" t="str">
        <f t="shared" si="65"/>
        <v/>
      </c>
      <c r="N654" s="11"/>
    </row>
    <row r="655" spans="1:14" ht="15" x14ac:dyDescent="0.25">
      <c r="A655" s="1" t="str">
        <f>IF('1.1 Produksi Bersih Padi 2025'!A655="","",'1.1 Produksi Bersih Padi 2025'!A655)</f>
        <v/>
      </c>
      <c r="B655" s="2" t="str">
        <f>IF('1.1 Produksi Bersih Padi 2025'!B655="","",'1.1 Produksi Bersih Padi 2025'!B655)</f>
        <v/>
      </c>
      <c r="C655" s="2" t="str">
        <f>IF('1.1 Produksi Bersih Padi 2025'!C655="","",'1.1 Produksi Bersih Padi 2025'!C655)</f>
        <v/>
      </c>
      <c r="D655" s="3" t="str">
        <f>IF('1.1 Produksi Bersih Padi 2025'!D655="","",'1.1 Produksi Bersih Padi 2025'!D655)</f>
        <v/>
      </c>
      <c r="E655" s="3" t="str">
        <f>IF('1.1 Produksi Bersih Padi 2025'!E655="","",'1.1 Produksi Bersih Padi 2025'!E655)</f>
        <v/>
      </c>
      <c r="F655" s="28" t="str">
        <f>IF(D655="","",VLOOKUP(D655,'[1]0.1 Produksi Pangan &amp; Penduduk'!$D$5:$S$860,16,0))</f>
        <v/>
      </c>
      <c r="G655" s="28" t="str">
        <f t="shared" si="60"/>
        <v/>
      </c>
      <c r="H655" s="29" t="str">
        <f t="shared" si="61"/>
        <v/>
      </c>
      <c r="I655" s="29" t="str">
        <f t="shared" si="62"/>
        <v/>
      </c>
      <c r="J655" s="29" t="str">
        <f t="shared" si="63"/>
        <v/>
      </c>
      <c r="K655" s="29" t="str">
        <f t="shared" si="64"/>
        <v/>
      </c>
      <c r="L655" s="29" t="str">
        <f t="shared" si="65"/>
        <v/>
      </c>
      <c r="N655" s="11"/>
    </row>
    <row r="656" spans="1:14" ht="15" x14ac:dyDescent="0.25">
      <c r="A656" s="1" t="str">
        <f>IF('1.1 Produksi Bersih Padi 2025'!A656="","",'1.1 Produksi Bersih Padi 2025'!A656)</f>
        <v/>
      </c>
      <c r="B656" s="2" t="str">
        <f>IF('1.1 Produksi Bersih Padi 2025'!B656="","",'1.1 Produksi Bersih Padi 2025'!B656)</f>
        <v/>
      </c>
      <c r="C656" s="2" t="str">
        <f>IF('1.1 Produksi Bersih Padi 2025'!C656="","",'1.1 Produksi Bersih Padi 2025'!C656)</f>
        <v/>
      </c>
      <c r="D656" s="3" t="str">
        <f>IF('1.1 Produksi Bersih Padi 2025'!D656="","",'1.1 Produksi Bersih Padi 2025'!D656)</f>
        <v/>
      </c>
      <c r="E656" s="3" t="str">
        <f>IF('1.1 Produksi Bersih Padi 2025'!E656="","",'1.1 Produksi Bersih Padi 2025'!E656)</f>
        <v/>
      </c>
      <c r="F656" s="28" t="str">
        <f>IF(D656="","",VLOOKUP(D656,'[1]0.1 Produksi Pangan &amp; Penduduk'!$D$5:$S$860,16,0))</f>
        <v/>
      </c>
      <c r="G656" s="28" t="str">
        <f t="shared" si="60"/>
        <v/>
      </c>
      <c r="H656" s="29" t="str">
        <f t="shared" si="61"/>
        <v/>
      </c>
      <c r="I656" s="29" t="str">
        <f t="shared" si="62"/>
        <v/>
      </c>
      <c r="J656" s="29" t="str">
        <f t="shared" si="63"/>
        <v/>
      </c>
      <c r="K656" s="29" t="str">
        <f t="shared" si="64"/>
        <v/>
      </c>
      <c r="L656" s="29" t="str">
        <f t="shared" si="65"/>
        <v/>
      </c>
      <c r="N656" s="11"/>
    </row>
    <row r="657" spans="1:14" ht="15" x14ac:dyDescent="0.25">
      <c r="A657" s="1" t="str">
        <f>IF('1.1 Produksi Bersih Padi 2025'!A657="","",'1.1 Produksi Bersih Padi 2025'!A657)</f>
        <v/>
      </c>
      <c r="B657" s="2" t="str">
        <f>IF('1.1 Produksi Bersih Padi 2025'!B657="","",'1.1 Produksi Bersih Padi 2025'!B657)</f>
        <v/>
      </c>
      <c r="C657" s="2" t="str">
        <f>IF('1.1 Produksi Bersih Padi 2025'!C657="","",'1.1 Produksi Bersih Padi 2025'!C657)</f>
        <v/>
      </c>
      <c r="D657" s="3" t="str">
        <f>IF('1.1 Produksi Bersih Padi 2025'!D657="","",'1.1 Produksi Bersih Padi 2025'!D657)</f>
        <v/>
      </c>
      <c r="E657" s="3" t="str">
        <f>IF('1.1 Produksi Bersih Padi 2025'!E657="","",'1.1 Produksi Bersih Padi 2025'!E657)</f>
        <v/>
      </c>
      <c r="F657" s="28" t="str">
        <f>IF(D657="","",VLOOKUP(D657,'[1]0.1 Produksi Pangan &amp; Penduduk'!$D$5:$S$860,16,0))</f>
        <v/>
      </c>
      <c r="G657" s="28" t="str">
        <f t="shared" si="60"/>
        <v/>
      </c>
      <c r="H657" s="29" t="str">
        <f t="shared" si="61"/>
        <v/>
      </c>
      <c r="I657" s="29" t="str">
        <f t="shared" si="62"/>
        <v/>
      </c>
      <c r="J657" s="29" t="str">
        <f t="shared" si="63"/>
        <v/>
      </c>
      <c r="K657" s="29" t="str">
        <f t="shared" si="64"/>
        <v/>
      </c>
      <c r="L657" s="29" t="str">
        <f t="shared" si="65"/>
        <v/>
      </c>
      <c r="N657" s="11"/>
    </row>
    <row r="658" spans="1:14" ht="15" x14ac:dyDescent="0.25">
      <c r="A658" s="1" t="str">
        <f>IF('1.1 Produksi Bersih Padi 2025'!A658="","",'1.1 Produksi Bersih Padi 2025'!A658)</f>
        <v/>
      </c>
      <c r="B658" s="2" t="str">
        <f>IF('1.1 Produksi Bersih Padi 2025'!B658="","",'1.1 Produksi Bersih Padi 2025'!B658)</f>
        <v/>
      </c>
      <c r="C658" s="2" t="str">
        <f>IF('1.1 Produksi Bersih Padi 2025'!C658="","",'1.1 Produksi Bersih Padi 2025'!C658)</f>
        <v/>
      </c>
      <c r="D658" s="3" t="str">
        <f>IF('1.1 Produksi Bersih Padi 2025'!D658="","",'1.1 Produksi Bersih Padi 2025'!D658)</f>
        <v/>
      </c>
      <c r="E658" s="3" t="str">
        <f>IF('1.1 Produksi Bersih Padi 2025'!E658="","",'1.1 Produksi Bersih Padi 2025'!E658)</f>
        <v/>
      </c>
      <c r="F658" s="28" t="str">
        <f>IF(D658="","",VLOOKUP(D658,'[1]0.1 Produksi Pangan &amp; Penduduk'!$D$5:$S$860,16,0))</f>
        <v/>
      </c>
      <c r="G658" s="28" t="str">
        <f t="shared" si="60"/>
        <v/>
      </c>
      <c r="H658" s="29" t="str">
        <f t="shared" si="61"/>
        <v/>
      </c>
      <c r="I658" s="29" t="str">
        <f t="shared" si="62"/>
        <v/>
      </c>
      <c r="J658" s="29" t="str">
        <f t="shared" si="63"/>
        <v/>
      </c>
      <c r="K658" s="29" t="str">
        <f t="shared" si="64"/>
        <v/>
      </c>
      <c r="L658" s="29" t="str">
        <f t="shared" si="65"/>
        <v/>
      </c>
      <c r="N658" s="11"/>
    </row>
    <row r="659" spans="1:14" ht="15" x14ac:dyDescent="0.25">
      <c r="A659" s="1" t="str">
        <f>IF('1.1 Produksi Bersih Padi 2025'!A659="","",'1.1 Produksi Bersih Padi 2025'!A659)</f>
        <v/>
      </c>
      <c r="B659" s="2" t="str">
        <f>IF('1.1 Produksi Bersih Padi 2025'!B659="","",'1.1 Produksi Bersih Padi 2025'!B659)</f>
        <v/>
      </c>
      <c r="C659" s="2" t="str">
        <f>IF('1.1 Produksi Bersih Padi 2025'!C659="","",'1.1 Produksi Bersih Padi 2025'!C659)</f>
        <v/>
      </c>
      <c r="D659" s="3" t="str">
        <f>IF('1.1 Produksi Bersih Padi 2025'!D659="","",'1.1 Produksi Bersih Padi 2025'!D659)</f>
        <v/>
      </c>
      <c r="E659" s="3" t="str">
        <f>IF('1.1 Produksi Bersih Padi 2025'!E659="","",'1.1 Produksi Bersih Padi 2025'!E659)</f>
        <v/>
      </c>
      <c r="F659" s="28" t="str">
        <f>IF(D659="","",VLOOKUP(D659,'[1]0.1 Produksi Pangan &amp; Penduduk'!$D$5:$S$860,16,0))</f>
        <v/>
      </c>
      <c r="G659" s="28" t="str">
        <f t="shared" si="60"/>
        <v/>
      </c>
      <c r="H659" s="29" t="str">
        <f t="shared" si="61"/>
        <v/>
      </c>
      <c r="I659" s="29" t="str">
        <f t="shared" si="62"/>
        <v/>
      </c>
      <c r="J659" s="29" t="str">
        <f t="shared" si="63"/>
        <v/>
      </c>
      <c r="K659" s="29" t="str">
        <f t="shared" si="64"/>
        <v/>
      </c>
      <c r="L659" s="29" t="str">
        <f t="shared" si="65"/>
        <v/>
      </c>
      <c r="N659" s="11"/>
    </row>
    <row r="660" spans="1:14" ht="15" x14ac:dyDescent="0.25">
      <c r="A660" s="1" t="str">
        <f>IF('1.1 Produksi Bersih Padi 2025'!A660="","",'1.1 Produksi Bersih Padi 2025'!A660)</f>
        <v/>
      </c>
      <c r="B660" s="2" t="str">
        <f>IF('1.1 Produksi Bersih Padi 2025'!B660="","",'1.1 Produksi Bersih Padi 2025'!B660)</f>
        <v/>
      </c>
      <c r="C660" s="2" t="str">
        <f>IF('1.1 Produksi Bersih Padi 2025'!C660="","",'1.1 Produksi Bersih Padi 2025'!C660)</f>
        <v/>
      </c>
      <c r="D660" s="3" t="str">
        <f>IF('1.1 Produksi Bersih Padi 2025'!D660="","",'1.1 Produksi Bersih Padi 2025'!D660)</f>
        <v/>
      </c>
      <c r="E660" s="3" t="str">
        <f>IF('1.1 Produksi Bersih Padi 2025'!E660="","",'1.1 Produksi Bersih Padi 2025'!E660)</f>
        <v/>
      </c>
      <c r="F660" s="28" t="str">
        <f>IF(D660="","",VLOOKUP(D660,'[1]0.1 Produksi Pangan &amp; Penduduk'!$D$5:$S$860,16,0))</f>
        <v/>
      </c>
      <c r="G660" s="28" t="str">
        <f t="shared" si="60"/>
        <v/>
      </c>
      <c r="H660" s="29" t="str">
        <f t="shared" si="61"/>
        <v/>
      </c>
      <c r="I660" s="29" t="str">
        <f t="shared" si="62"/>
        <v/>
      </c>
      <c r="J660" s="29" t="str">
        <f t="shared" si="63"/>
        <v/>
      </c>
      <c r="K660" s="29" t="str">
        <f t="shared" si="64"/>
        <v/>
      </c>
      <c r="L660" s="29" t="str">
        <f t="shared" si="65"/>
        <v/>
      </c>
      <c r="N660" s="11"/>
    </row>
    <row r="661" spans="1:14" ht="15" x14ac:dyDescent="0.25">
      <c r="A661" s="1" t="str">
        <f>IF('1.1 Produksi Bersih Padi 2025'!A661="","",'1.1 Produksi Bersih Padi 2025'!A661)</f>
        <v/>
      </c>
      <c r="B661" s="2" t="str">
        <f>IF('1.1 Produksi Bersih Padi 2025'!B661="","",'1.1 Produksi Bersih Padi 2025'!B661)</f>
        <v/>
      </c>
      <c r="C661" s="2" t="str">
        <f>IF('1.1 Produksi Bersih Padi 2025'!C661="","",'1.1 Produksi Bersih Padi 2025'!C661)</f>
        <v/>
      </c>
      <c r="D661" s="3" t="str">
        <f>IF('1.1 Produksi Bersih Padi 2025'!D661="","",'1.1 Produksi Bersih Padi 2025'!D661)</f>
        <v/>
      </c>
      <c r="E661" s="3" t="str">
        <f>IF('1.1 Produksi Bersih Padi 2025'!E661="","",'1.1 Produksi Bersih Padi 2025'!E661)</f>
        <v/>
      </c>
      <c r="F661" s="28" t="str">
        <f>IF(D661="","",VLOOKUP(D661,'[1]0.1 Produksi Pangan &amp; Penduduk'!$D$5:$S$860,16,0))</f>
        <v/>
      </c>
      <c r="G661" s="28" t="str">
        <f t="shared" si="60"/>
        <v/>
      </c>
      <c r="H661" s="29" t="str">
        <f t="shared" si="61"/>
        <v/>
      </c>
      <c r="I661" s="29" t="str">
        <f t="shared" si="62"/>
        <v/>
      </c>
      <c r="J661" s="29" t="str">
        <f t="shared" si="63"/>
        <v/>
      </c>
      <c r="K661" s="29" t="str">
        <f t="shared" si="64"/>
        <v/>
      </c>
      <c r="L661" s="29" t="str">
        <f t="shared" si="65"/>
        <v/>
      </c>
      <c r="N661" s="11"/>
    </row>
    <row r="662" spans="1:14" ht="15" x14ac:dyDescent="0.25">
      <c r="A662" s="1" t="str">
        <f>IF('1.1 Produksi Bersih Padi 2025'!A662="","",'1.1 Produksi Bersih Padi 2025'!A662)</f>
        <v/>
      </c>
      <c r="B662" s="2" t="str">
        <f>IF('1.1 Produksi Bersih Padi 2025'!B662="","",'1.1 Produksi Bersih Padi 2025'!B662)</f>
        <v/>
      </c>
      <c r="C662" s="2" t="str">
        <f>IF('1.1 Produksi Bersih Padi 2025'!C662="","",'1.1 Produksi Bersih Padi 2025'!C662)</f>
        <v/>
      </c>
      <c r="D662" s="3" t="str">
        <f>IF('1.1 Produksi Bersih Padi 2025'!D662="","",'1.1 Produksi Bersih Padi 2025'!D662)</f>
        <v/>
      </c>
      <c r="E662" s="3" t="str">
        <f>IF('1.1 Produksi Bersih Padi 2025'!E662="","",'1.1 Produksi Bersih Padi 2025'!E662)</f>
        <v/>
      </c>
      <c r="F662" s="28" t="str">
        <f>IF(D662="","",VLOOKUP(D662,'[1]0.1 Produksi Pangan &amp; Penduduk'!$D$5:$S$860,16,0))</f>
        <v/>
      </c>
      <c r="G662" s="28" t="str">
        <f t="shared" si="60"/>
        <v/>
      </c>
      <c r="H662" s="29" t="str">
        <f t="shared" si="61"/>
        <v/>
      </c>
      <c r="I662" s="29" t="str">
        <f t="shared" si="62"/>
        <v/>
      </c>
      <c r="J662" s="29" t="str">
        <f t="shared" si="63"/>
        <v/>
      </c>
      <c r="K662" s="29" t="str">
        <f t="shared" si="64"/>
        <v/>
      </c>
      <c r="L662" s="29" t="str">
        <f t="shared" si="65"/>
        <v/>
      </c>
      <c r="N662" s="11"/>
    </row>
    <row r="663" spans="1:14" ht="15" x14ac:dyDescent="0.25">
      <c r="A663" s="1" t="str">
        <f>IF('1.1 Produksi Bersih Padi 2025'!A663="","",'1.1 Produksi Bersih Padi 2025'!A663)</f>
        <v/>
      </c>
      <c r="B663" s="2" t="str">
        <f>IF('1.1 Produksi Bersih Padi 2025'!B663="","",'1.1 Produksi Bersih Padi 2025'!B663)</f>
        <v/>
      </c>
      <c r="C663" s="2" t="str">
        <f>IF('1.1 Produksi Bersih Padi 2025'!C663="","",'1.1 Produksi Bersih Padi 2025'!C663)</f>
        <v/>
      </c>
      <c r="D663" s="3" t="str">
        <f>IF('1.1 Produksi Bersih Padi 2025'!D663="","",'1.1 Produksi Bersih Padi 2025'!D663)</f>
        <v/>
      </c>
      <c r="E663" s="3" t="str">
        <f>IF('1.1 Produksi Bersih Padi 2025'!E663="","",'1.1 Produksi Bersih Padi 2025'!E663)</f>
        <v/>
      </c>
      <c r="F663" s="28" t="str">
        <f>IF(D663="","",VLOOKUP(D663,'[1]0.1 Produksi Pangan &amp; Penduduk'!$D$5:$S$860,16,0))</f>
        <v/>
      </c>
      <c r="G663" s="28" t="str">
        <f t="shared" si="60"/>
        <v/>
      </c>
      <c r="H663" s="29" t="str">
        <f t="shared" si="61"/>
        <v/>
      </c>
      <c r="I663" s="29" t="str">
        <f t="shared" si="62"/>
        <v/>
      </c>
      <c r="J663" s="29" t="str">
        <f t="shared" si="63"/>
        <v/>
      </c>
      <c r="K663" s="29" t="str">
        <f t="shared" si="64"/>
        <v/>
      </c>
      <c r="L663" s="29" t="str">
        <f t="shared" si="65"/>
        <v/>
      </c>
      <c r="N663" s="11"/>
    </row>
    <row r="664" spans="1:14" ht="15" x14ac:dyDescent="0.25">
      <c r="A664" s="1" t="str">
        <f>IF('1.1 Produksi Bersih Padi 2025'!A664="","",'1.1 Produksi Bersih Padi 2025'!A664)</f>
        <v/>
      </c>
      <c r="B664" s="2" t="str">
        <f>IF('1.1 Produksi Bersih Padi 2025'!B664="","",'1.1 Produksi Bersih Padi 2025'!B664)</f>
        <v/>
      </c>
      <c r="C664" s="2" t="str">
        <f>IF('1.1 Produksi Bersih Padi 2025'!C664="","",'1.1 Produksi Bersih Padi 2025'!C664)</f>
        <v/>
      </c>
      <c r="D664" s="3" t="str">
        <f>IF('1.1 Produksi Bersih Padi 2025'!D664="","",'1.1 Produksi Bersih Padi 2025'!D664)</f>
        <v/>
      </c>
      <c r="E664" s="3" t="str">
        <f>IF('1.1 Produksi Bersih Padi 2025'!E664="","",'1.1 Produksi Bersih Padi 2025'!E664)</f>
        <v/>
      </c>
      <c r="F664" s="28" t="str">
        <f>IF(D664="","",VLOOKUP(D664,'[1]0.1 Produksi Pangan &amp; Penduduk'!$D$5:$S$860,16,0))</f>
        <v/>
      </c>
      <c r="G664" s="28" t="str">
        <f t="shared" si="60"/>
        <v/>
      </c>
      <c r="H664" s="29" t="str">
        <f t="shared" si="61"/>
        <v/>
      </c>
      <c r="I664" s="29" t="str">
        <f t="shared" si="62"/>
        <v/>
      </c>
      <c r="J664" s="29" t="str">
        <f t="shared" si="63"/>
        <v/>
      </c>
      <c r="K664" s="29" t="str">
        <f t="shared" si="64"/>
        <v/>
      </c>
      <c r="L664" s="29" t="str">
        <f t="shared" si="65"/>
        <v/>
      </c>
      <c r="N664" s="11"/>
    </row>
    <row r="665" spans="1:14" ht="15" x14ac:dyDescent="0.25">
      <c r="A665" s="1" t="str">
        <f>IF('1.1 Produksi Bersih Padi 2025'!A665="","",'1.1 Produksi Bersih Padi 2025'!A665)</f>
        <v/>
      </c>
      <c r="B665" s="2" t="str">
        <f>IF('1.1 Produksi Bersih Padi 2025'!B665="","",'1.1 Produksi Bersih Padi 2025'!B665)</f>
        <v/>
      </c>
      <c r="C665" s="2" t="str">
        <f>IF('1.1 Produksi Bersih Padi 2025'!C665="","",'1.1 Produksi Bersih Padi 2025'!C665)</f>
        <v/>
      </c>
      <c r="D665" s="3" t="str">
        <f>IF('1.1 Produksi Bersih Padi 2025'!D665="","",'1.1 Produksi Bersih Padi 2025'!D665)</f>
        <v/>
      </c>
      <c r="E665" s="3" t="str">
        <f>IF('1.1 Produksi Bersih Padi 2025'!E665="","",'1.1 Produksi Bersih Padi 2025'!E665)</f>
        <v/>
      </c>
      <c r="F665" s="28" t="str">
        <f>IF(D665="","",VLOOKUP(D665,'[1]0.1 Produksi Pangan &amp; Penduduk'!$D$5:$S$860,16,0))</f>
        <v/>
      </c>
      <c r="G665" s="28" t="str">
        <f t="shared" si="60"/>
        <v/>
      </c>
      <c r="H665" s="29" t="str">
        <f t="shared" si="61"/>
        <v/>
      </c>
      <c r="I665" s="29" t="str">
        <f t="shared" si="62"/>
        <v/>
      </c>
      <c r="J665" s="29" t="str">
        <f t="shared" si="63"/>
        <v/>
      </c>
      <c r="K665" s="29" t="str">
        <f t="shared" si="64"/>
        <v/>
      </c>
      <c r="L665" s="29" t="str">
        <f t="shared" si="65"/>
        <v/>
      </c>
      <c r="N665" s="11"/>
    </row>
    <row r="666" spans="1:14" ht="15" x14ac:dyDescent="0.25">
      <c r="A666" s="1" t="str">
        <f>IF('1.1 Produksi Bersih Padi 2025'!A666="","",'1.1 Produksi Bersih Padi 2025'!A666)</f>
        <v/>
      </c>
      <c r="B666" s="2" t="str">
        <f>IF('1.1 Produksi Bersih Padi 2025'!B666="","",'1.1 Produksi Bersih Padi 2025'!B666)</f>
        <v/>
      </c>
      <c r="C666" s="2" t="str">
        <f>IF('1.1 Produksi Bersih Padi 2025'!C666="","",'1.1 Produksi Bersih Padi 2025'!C666)</f>
        <v/>
      </c>
      <c r="D666" s="3" t="str">
        <f>IF('1.1 Produksi Bersih Padi 2025'!D666="","",'1.1 Produksi Bersih Padi 2025'!D666)</f>
        <v/>
      </c>
      <c r="E666" s="3" t="str">
        <f>IF('1.1 Produksi Bersih Padi 2025'!E666="","",'1.1 Produksi Bersih Padi 2025'!E666)</f>
        <v/>
      </c>
      <c r="F666" s="28" t="str">
        <f>IF(D666="","",VLOOKUP(D666,'[1]0.1 Produksi Pangan &amp; Penduduk'!$D$5:$S$860,16,0))</f>
        <v/>
      </c>
      <c r="G666" s="28" t="str">
        <f t="shared" si="60"/>
        <v/>
      </c>
      <c r="H666" s="29" t="str">
        <f t="shared" si="61"/>
        <v/>
      </c>
      <c r="I666" s="29" t="str">
        <f t="shared" si="62"/>
        <v/>
      </c>
      <c r="J666" s="29" t="str">
        <f t="shared" si="63"/>
        <v/>
      </c>
      <c r="K666" s="29" t="str">
        <f t="shared" si="64"/>
        <v/>
      </c>
      <c r="L666" s="29" t="str">
        <f t="shared" si="65"/>
        <v/>
      </c>
      <c r="N666" s="11"/>
    </row>
    <row r="667" spans="1:14" ht="15" x14ac:dyDescent="0.25">
      <c r="A667" s="1" t="str">
        <f>IF('1.1 Produksi Bersih Padi 2025'!A667="","",'1.1 Produksi Bersih Padi 2025'!A667)</f>
        <v/>
      </c>
      <c r="B667" s="2" t="str">
        <f>IF('1.1 Produksi Bersih Padi 2025'!B667="","",'1.1 Produksi Bersih Padi 2025'!B667)</f>
        <v/>
      </c>
      <c r="C667" s="2" t="str">
        <f>IF('1.1 Produksi Bersih Padi 2025'!C667="","",'1.1 Produksi Bersih Padi 2025'!C667)</f>
        <v/>
      </c>
      <c r="D667" s="3" t="str">
        <f>IF('1.1 Produksi Bersih Padi 2025'!D667="","",'1.1 Produksi Bersih Padi 2025'!D667)</f>
        <v/>
      </c>
      <c r="E667" s="3" t="str">
        <f>IF('1.1 Produksi Bersih Padi 2025'!E667="","",'1.1 Produksi Bersih Padi 2025'!E667)</f>
        <v/>
      </c>
      <c r="F667" s="28" t="str">
        <f>IF(D667="","",VLOOKUP(D667,'[1]0.1 Produksi Pangan &amp; Penduduk'!$D$5:$S$860,16,0))</f>
        <v/>
      </c>
      <c r="G667" s="28" t="str">
        <f t="shared" si="60"/>
        <v/>
      </c>
      <c r="H667" s="29" t="str">
        <f t="shared" si="61"/>
        <v/>
      </c>
      <c r="I667" s="29" t="str">
        <f t="shared" si="62"/>
        <v/>
      </c>
      <c r="J667" s="29" t="str">
        <f t="shared" si="63"/>
        <v/>
      </c>
      <c r="K667" s="29" t="str">
        <f t="shared" si="64"/>
        <v/>
      </c>
      <c r="L667" s="29" t="str">
        <f t="shared" si="65"/>
        <v/>
      </c>
      <c r="N667" s="11"/>
    </row>
    <row r="668" spans="1:14" ht="15" x14ac:dyDescent="0.25">
      <c r="A668" s="1" t="str">
        <f>IF('1.1 Produksi Bersih Padi 2025'!A668="","",'1.1 Produksi Bersih Padi 2025'!A668)</f>
        <v/>
      </c>
      <c r="B668" s="2" t="str">
        <f>IF('1.1 Produksi Bersih Padi 2025'!B668="","",'1.1 Produksi Bersih Padi 2025'!B668)</f>
        <v/>
      </c>
      <c r="C668" s="2" t="str">
        <f>IF('1.1 Produksi Bersih Padi 2025'!C668="","",'1.1 Produksi Bersih Padi 2025'!C668)</f>
        <v/>
      </c>
      <c r="D668" s="3" t="str">
        <f>IF('1.1 Produksi Bersih Padi 2025'!D668="","",'1.1 Produksi Bersih Padi 2025'!D668)</f>
        <v/>
      </c>
      <c r="E668" s="3" t="str">
        <f>IF('1.1 Produksi Bersih Padi 2025'!E668="","",'1.1 Produksi Bersih Padi 2025'!E668)</f>
        <v/>
      </c>
      <c r="F668" s="28" t="str">
        <f>IF(D668="","",VLOOKUP(D668,'[1]0.1 Produksi Pangan &amp; Penduduk'!$D$5:$S$860,16,0))</f>
        <v/>
      </c>
      <c r="G668" s="28" t="str">
        <f t="shared" si="60"/>
        <v/>
      </c>
      <c r="H668" s="29" t="str">
        <f t="shared" si="61"/>
        <v/>
      </c>
      <c r="I668" s="29" t="str">
        <f t="shared" si="62"/>
        <v/>
      </c>
      <c r="J668" s="29" t="str">
        <f t="shared" si="63"/>
        <v/>
      </c>
      <c r="K668" s="29" t="str">
        <f t="shared" si="64"/>
        <v/>
      </c>
      <c r="L668" s="29" t="str">
        <f t="shared" si="65"/>
        <v/>
      </c>
      <c r="N668" s="11"/>
    </row>
    <row r="669" spans="1:14" ht="15" x14ac:dyDescent="0.25">
      <c r="A669" s="1" t="str">
        <f>IF('1.1 Produksi Bersih Padi 2025'!A669="","",'1.1 Produksi Bersih Padi 2025'!A669)</f>
        <v/>
      </c>
      <c r="B669" s="2" t="str">
        <f>IF('1.1 Produksi Bersih Padi 2025'!B669="","",'1.1 Produksi Bersih Padi 2025'!B669)</f>
        <v/>
      </c>
      <c r="C669" s="2" t="str">
        <f>IF('1.1 Produksi Bersih Padi 2025'!C669="","",'1.1 Produksi Bersih Padi 2025'!C669)</f>
        <v/>
      </c>
      <c r="D669" s="3" t="str">
        <f>IF('1.1 Produksi Bersih Padi 2025'!D669="","",'1.1 Produksi Bersih Padi 2025'!D669)</f>
        <v/>
      </c>
      <c r="E669" s="3" t="str">
        <f>IF('1.1 Produksi Bersih Padi 2025'!E669="","",'1.1 Produksi Bersih Padi 2025'!E669)</f>
        <v/>
      </c>
      <c r="F669" s="28" t="str">
        <f>IF(D669="","",VLOOKUP(D669,'[1]0.1 Produksi Pangan &amp; Penduduk'!$D$5:$S$860,16,0))</f>
        <v/>
      </c>
      <c r="G669" s="28" t="str">
        <f t="shared" si="60"/>
        <v/>
      </c>
      <c r="H669" s="29" t="str">
        <f t="shared" si="61"/>
        <v/>
      </c>
      <c r="I669" s="29" t="str">
        <f t="shared" si="62"/>
        <v/>
      </c>
      <c r="J669" s="29" t="str">
        <f t="shared" si="63"/>
        <v/>
      </c>
      <c r="K669" s="29" t="str">
        <f t="shared" si="64"/>
        <v/>
      </c>
      <c r="L669" s="29" t="str">
        <f t="shared" si="65"/>
        <v/>
      </c>
      <c r="N669" s="11"/>
    </row>
    <row r="670" spans="1:14" ht="15" x14ac:dyDescent="0.25">
      <c r="A670" s="1" t="str">
        <f>IF('1.1 Produksi Bersih Padi 2025'!A670="","",'1.1 Produksi Bersih Padi 2025'!A670)</f>
        <v/>
      </c>
      <c r="B670" s="2" t="str">
        <f>IF('1.1 Produksi Bersih Padi 2025'!B670="","",'1.1 Produksi Bersih Padi 2025'!B670)</f>
        <v/>
      </c>
      <c r="C670" s="2" t="str">
        <f>IF('1.1 Produksi Bersih Padi 2025'!C670="","",'1.1 Produksi Bersih Padi 2025'!C670)</f>
        <v/>
      </c>
      <c r="D670" s="3" t="str">
        <f>IF('1.1 Produksi Bersih Padi 2025'!D670="","",'1.1 Produksi Bersih Padi 2025'!D670)</f>
        <v/>
      </c>
      <c r="E670" s="3" t="str">
        <f>IF('1.1 Produksi Bersih Padi 2025'!E670="","",'1.1 Produksi Bersih Padi 2025'!E670)</f>
        <v/>
      </c>
      <c r="F670" s="28" t="str">
        <f>IF(D670="","",VLOOKUP(D670,'[1]0.1 Produksi Pangan &amp; Penduduk'!$D$5:$S$860,16,0))</f>
        <v/>
      </c>
      <c r="G670" s="28" t="str">
        <f t="shared" si="60"/>
        <v/>
      </c>
      <c r="H670" s="29" t="str">
        <f t="shared" si="61"/>
        <v/>
      </c>
      <c r="I670" s="29" t="str">
        <f t="shared" si="62"/>
        <v/>
      </c>
      <c r="J670" s="29" t="str">
        <f t="shared" si="63"/>
        <v/>
      </c>
      <c r="K670" s="29" t="str">
        <f t="shared" si="64"/>
        <v/>
      </c>
      <c r="L670" s="29" t="str">
        <f t="shared" si="65"/>
        <v/>
      </c>
      <c r="N670" s="11"/>
    </row>
    <row r="671" spans="1:14" ht="15" x14ac:dyDescent="0.25">
      <c r="A671" s="1" t="str">
        <f>IF('1.1 Produksi Bersih Padi 2025'!A671="","",'1.1 Produksi Bersih Padi 2025'!A671)</f>
        <v/>
      </c>
      <c r="B671" s="2" t="str">
        <f>IF('1.1 Produksi Bersih Padi 2025'!B671="","",'1.1 Produksi Bersih Padi 2025'!B671)</f>
        <v/>
      </c>
      <c r="C671" s="2" t="str">
        <f>IF('1.1 Produksi Bersih Padi 2025'!C671="","",'1.1 Produksi Bersih Padi 2025'!C671)</f>
        <v/>
      </c>
      <c r="D671" s="3" t="str">
        <f>IF('1.1 Produksi Bersih Padi 2025'!D671="","",'1.1 Produksi Bersih Padi 2025'!D671)</f>
        <v/>
      </c>
      <c r="E671" s="3" t="str">
        <f>IF('1.1 Produksi Bersih Padi 2025'!E671="","",'1.1 Produksi Bersih Padi 2025'!E671)</f>
        <v/>
      </c>
      <c r="F671" s="28" t="str">
        <f>IF(D671="","",VLOOKUP(D671,'[1]0.1 Produksi Pangan &amp; Penduduk'!$D$5:$S$860,16,0))</f>
        <v/>
      </c>
      <c r="G671" s="28" t="str">
        <f t="shared" si="60"/>
        <v/>
      </c>
      <c r="H671" s="29" t="str">
        <f t="shared" si="61"/>
        <v/>
      </c>
      <c r="I671" s="29" t="str">
        <f t="shared" si="62"/>
        <v/>
      </c>
      <c r="J671" s="29" t="str">
        <f t="shared" si="63"/>
        <v/>
      </c>
      <c r="K671" s="29" t="str">
        <f t="shared" si="64"/>
        <v/>
      </c>
      <c r="L671" s="29" t="str">
        <f t="shared" si="65"/>
        <v/>
      </c>
      <c r="N671" s="11"/>
    </row>
    <row r="672" spans="1:14" ht="15" x14ac:dyDescent="0.25">
      <c r="A672" s="1" t="str">
        <f>IF('1.1 Produksi Bersih Padi 2025'!A672="","",'1.1 Produksi Bersih Padi 2025'!A672)</f>
        <v/>
      </c>
      <c r="B672" s="2" t="str">
        <f>IF('1.1 Produksi Bersih Padi 2025'!B672="","",'1.1 Produksi Bersih Padi 2025'!B672)</f>
        <v/>
      </c>
      <c r="C672" s="2" t="str">
        <f>IF('1.1 Produksi Bersih Padi 2025'!C672="","",'1.1 Produksi Bersih Padi 2025'!C672)</f>
        <v/>
      </c>
      <c r="D672" s="3" t="str">
        <f>IF('1.1 Produksi Bersih Padi 2025'!D672="","",'1.1 Produksi Bersih Padi 2025'!D672)</f>
        <v/>
      </c>
      <c r="E672" s="3" t="str">
        <f>IF('1.1 Produksi Bersih Padi 2025'!E672="","",'1.1 Produksi Bersih Padi 2025'!E672)</f>
        <v/>
      </c>
      <c r="F672" s="28" t="str">
        <f>IF(D672="","",VLOOKUP(D672,'[1]0.1 Produksi Pangan &amp; Penduduk'!$D$5:$S$860,16,0))</f>
        <v/>
      </c>
      <c r="G672" s="28" t="str">
        <f t="shared" si="60"/>
        <v/>
      </c>
      <c r="H672" s="29" t="str">
        <f t="shared" si="61"/>
        <v/>
      </c>
      <c r="I672" s="29" t="str">
        <f t="shared" si="62"/>
        <v/>
      </c>
      <c r="J672" s="29" t="str">
        <f t="shared" si="63"/>
        <v/>
      </c>
      <c r="K672" s="29" t="str">
        <f t="shared" si="64"/>
        <v/>
      </c>
      <c r="L672" s="29" t="str">
        <f t="shared" si="65"/>
        <v/>
      </c>
      <c r="N672" s="11"/>
    </row>
    <row r="673" spans="1:14" ht="15" x14ac:dyDescent="0.25">
      <c r="A673" s="1" t="str">
        <f>IF('1.1 Produksi Bersih Padi 2025'!A673="","",'1.1 Produksi Bersih Padi 2025'!A673)</f>
        <v/>
      </c>
      <c r="B673" s="2" t="str">
        <f>IF('1.1 Produksi Bersih Padi 2025'!B673="","",'1.1 Produksi Bersih Padi 2025'!B673)</f>
        <v/>
      </c>
      <c r="C673" s="2" t="str">
        <f>IF('1.1 Produksi Bersih Padi 2025'!C673="","",'1.1 Produksi Bersih Padi 2025'!C673)</f>
        <v/>
      </c>
      <c r="D673" s="3" t="str">
        <f>IF('1.1 Produksi Bersih Padi 2025'!D673="","",'1.1 Produksi Bersih Padi 2025'!D673)</f>
        <v/>
      </c>
      <c r="E673" s="3" t="str">
        <f>IF('1.1 Produksi Bersih Padi 2025'!E673="","",'1.1 Produksi Bersih Padi 2025'!E673)</f>
        <v/>
      </c>
      <c r="F673" s="28" t="str">
        <f>IF(D673="","",VLOOKUP(D673,'[1]0.1 Produksi Pangan &amp; Penduduk'!$D$5:$S$860,16,0))</f>
        <v/>
      </c>
      <c r="G673" s="28" t="str">
        <f t="shared" si="60"/>
        <v/>
      </c>
      <c r="H673" s="29" t="str">
        <f t="shared" si="61"/>
        <v/>
      </c>
      <c r="I673" s="29" t="str">
        <f t="shared" si="62"/>
        <v/>
      </c>
      <c r="J673" s="29" t="str">
        <f t="shared" si="63"/>
        <v/>
      </c>
      <c r="K673" s="29" t="str">
        <f t="shared" si="64"/>
        <v/>
      </c>
      <c r="L673" s="29" t="str">
        <f t="shared" si="65"/>
        <v/>
      </c>
      <c r="N673" s="11"/>
    </row>
    <row r="674" spans="1:14" ht="15" x14ac:dyDescent="0.25">
      <c r="A674" s="1" t="str">
        <f>IF('1.1 Produksi Bersih Padi 2025'!A674="","",'1.1 Produksi Bersih Padi 2025'!A674)</f>
        <v/>
      </c>
      <c r="B674" s="2" t="str">
        <f>IF('1.1 Produksi Bersih Padi 2025'!B674="","",'1.1 Produksi Bersih Padi 2025'!B674)</f>
        <v/>
      </c>
      <c r="C674" s="2" t="str">
        <f>IF('1.1 Produksi Bersih Padi 2025'!C674="","",'1.1 Produksi Bersih Padi 2025'!C674)</f>
        <v/>
      </c>
      <c r="D674" s="3" t="str">
        <f>IF('1.1 Produksi Bersih Padi 2025'!D674="","",'1.1 Produksi Bersih Padi 2025'!D674)</f>
        <v/>
      </c>
      <c r="E674" s="3" t="str">
        <f>IF('1.1 Produksi Bersih Padi 2025'!E674="","",'1.1 Produksi Bersih Padi 2025'!E674)</f>
        <v/>
      </c>
      <c r="F674" s="28" t="str">
        <f>IF(D674="","",VLOOKUP(D674,'[1]0.1 Produksi Pangan &amp; Penduduk'!$D$5:$S$860,16,0))</f>
        <v/>
      </c>
      <c r="G674" s="28" t="str">
        <f t="shared" si="60"/>
        <v/>
      </c>
      <c r="H674" s="29" t="str">
        <f t="shared" si="61"/>
        <v/>
      </c>
      <c r="I674" s="29" t="str">
        <f t="shared" si="62"/>
        <v/>
      </c>
      <c r="J674" s="29" t="str">
        <f t="shared" si="63"/>
        <v/>
      </c>
      <c r="K674" s="29" t="str">
        <f t="shared" si="64"/>
        <v/>
      </c>
      <c r="L674" s="29" t="str">
        <f t="shared" si="65"/>
        <v/>
      </c>
      <c r="N674" s="11"/>
    </row>
    <row r="675" spans="1:14" ht="15" x14ac:dyDescent="0.25">
      <c r="A675" s="1" t="str">
        <f>IF('1.1 Produksi Bersih Padi 2025'!A675="","",'1.1 Produksi Bersih Padi 2025'!A675)</f>
        <v/>
      </c>
      <c r="B675" s="2" t="str">
        <f>IF('1.1 Produksi Bersih Padi 2025'!B675="","",'1.1 Produksi Bersih Padi 2025'!B675)</f>
        <v/>
      </c>
      <c r="C675" s="2" t="str">
        <f>IF('1.1 Produksi Bersih Padi 2025'!C675="","",'1.1 Produksi Bersih Padi 2025'!C675)</f>
        <v/>
      </c>
      <c r="D675" s="3" t="str">
        <f>IF('1.1 Produksi Bersih Padi 2025'!D675="","",'1.1 Produksi Bersih Padi 2025'!D675)</f>
        <v/>
      </c>
      <c r="E675" s="3" t="str">
        <f>IF('1.1 Produksi Bersih Padi 2025'!E675="","",'1.1 Produksi Bersih Padi 2025'!E675)</f>
        <v/>
      </c>
      <c r="F675" s="28" t="str">
        <f>IF(D675="","",VLOOKUP(D675,'[1]0.1 Produksi Pangan &amp; Penduduk'!$D$5:$S$860,16,0))</f>
        <v/>
      </c>
      <c r="G675" s="28" t="str">
        <f t="shared" si="60"/>
        <v/>
      </c>
      <c r="H675" s="29" t="str">
        <f t="shared" si="61"/>
        <v/>
      </c>
      <c r="I675" s="29" t="str">
        <f t="shared" si="62"/>
        <v/>
      </c>
      <c r="J675" s="29" t="str">
        <f t="shared" si="63"/>
        <v/>
      </c>
      <c r="K675" s="29" t="str">
        <f t="shared" si="64"/>
        <v/>
      </c>
      <c r="L675" s="29" t="str">
        <f t="shared" si="65"/>
        <v/>
      </c>
      <c r="N675" s="11"/>
    </row>
    <row r="676" spans="1:14" ht="15" x14ac:dyDescent="0.25">
      <c r="A676" s="1" t="str">
        <f>IF('1.1 Produksi Bersih Padi 2025'!A676="","",'1.1 Produksi Bersih Padi 2025'!A676)</f>
        <v/>
      </c>
      <c r="B676" s="2" t="str">
        <f>IF('1.1 Produksi Bersih Padi 2025'!B676="","",'1.1 Produksi Bersih Padi 2025'!B676)</f>
        <v/>
      </c>
      <c r="C676" s="2" t="str">
        <f>IF('1.1 Produksi Bersih Padi 2025'!C676="","",'1.1 Produksi Bersih Padi 2025'!C676)</f>
        <v/>
      </c>
      <c r="D676" s="3" t="str">
        <f>IF('1.1 Produksi Bersih Padi 2025'!D676="","",'1.1 Produksi Bersih Padi 2025'!D676)</f>
        <v/>
      </c>
      <c r="E676" s="3" t="str">
        <f>IF('1.1 Produksi Bersih Padi 2025'!E676="","",'1.1 Produksi Bersih Padi 2025'!E676)</f>
        <v/>
      </c>
      <c r="F676" s="28" t="str">
        <f>IF(D676="","",VLOOKUP(D676,'[1]0.1 Produksi Pangan &amp; Penduduk'!$D$5:$S$860,16,0))</f>
        <v/>
      </c>
      <c r="G676" s="28" t="str">
        <f t="shared" si="60"/>
        <v/>
      </c>
      <c r="H676" s="29" t="str">
        <f t="shared" si="61"/>
        <v/>
      </c>
      <c r="I676" s="29" t="str">
        <f t="shared" si="62"/>
        <v/>
      </c>
      <c r="J676" s="29" t="str">
        <f t="shared" si="63"/>
        <v/>
      </c>
      <c r="K676" s="29" t="str">
        <f t="shared" si="64"/>
        <v/>
      </c>
      <c r="L676" s="29" t="str">
        <f t="shared" si="65"/>
        <v/>
      </c>
      <c r="N676" s="11"/>
    </row>
    <row r="677" spans="1:14" ht="15" x14ac:dyDescent="0.25">
      <c r="A677" s="1" t="str">
        <f>IF('1.1 Produksi Bersih Padi 2025'!A677="","",'1.1 Produksi Bersih Padi 2025'!A677)</f>
        <v/>
      </c>
      <c r="B677" s="2" t="str">
        <f>IF('1.1 Produksi Bersih Padi 2025'!B677="","",'1.1 Produksi Bersih Padi 2025'!B677)</f>
        <v/>
      </c>
      <c r="C677" s="2" t="str">
        <f>IF('1.1 Produksi Bersih Padi 2025'!C677="","",'1.1 Produksi Bersih Padi 2025'!C677)</f>
        <v/>
      </c>
      <c r="D677" s="3" t="str">
        <f>IF('1.1 Produksi Bersih Padi 2025'!D677="","",'1.1 Produksi Bersih Padi 2025'!D677)</f>
        <v/>
      </c>
      <c r="E677" s="3" t="str">
        <f>IF('1.1 Produksi Bersih Padi 2025'!E677="","",'1.1 Produksi Bersih Padi 2025'!E677)</f>
        <v/>
      </c>
      <c r="F677" s="28" t="str">
        <f>IF(D677="","",VLOOKUP(D677,'[1]0.1 Produksi Pangan &amp; Penduduk'!$D$5:$S$860,16,0))</f>
        <v/>
      </c>
      <c r="G677" s="28" t="str">
        <f t="shared" si="60"/>
        <v/>
      </c>
      <c r="H677" s="29" t="str">
        <f t="shared" si="61"/>
        <v/>
      </c>
      <c r="I677" s="29" t="str">
        <f t="shared" si="62"/>
        <v/>
      </c>
      <c r="J677" s="29" t="str">
        <f t="shared" si="63"/>
        <v/>
      </c>
      <c r="K677" s="29" t="str">
        <f t="shared" si="64"/>
        <v/>
      </c>
      <c r="L677" s="29" t="str">
        <f t="shared" si="65"/>
        <v/>
      </c>
      <c r="N677" s="11"/>
    </row>
    <row r="678" spans="1:14" ht="15" x14ac:dyDescent="0.25">
      <c r="A678" s="1" t="str">
        <f>IF('1.1 Produksi Bersih Padi 2025'!A678="","",'1.1 Produksi Bersih Padi 2025'!A678)</f>
        <v/>
      </c>
      <c r="B678" s="2" t="str">
        <f>IF('1.1 Produksi Bersih Padi 2025'!B678="","",'1.1 Produksi Bersih Padi 2025'!B678)</f>
        <v/>
      </c>
      <c r="C678" s="2" t="str">
        <f>IF('1.1 Produksi Bersih Padi 2025'!C678="","",'1.1 Produksi Bersih Padi 2025'!C678)</f>
        <v/>
      </c>
      <c r="D678" s="3" t="str">
        <f>IF('1.1 Produksi Bersih Padi 2025'!D678="","",'1.1 Produksi Bersih Padi 2025'!D678)</f>
        <v/>
      </c>
      <c r="E678" s="3" t="str">
        <f>IF('1.1 Produksi Bersih Padi 2025'!E678="","",'1.1 Produksi Bersih Padi 2025'!E678)</f>
        <v/>
      </c>
      <c r="F678" s="28" t="str">
        <f>IF(D678="","",VLOOKUP(D678,'[1]0.1 Produksi Pangan &amp; Penduduk'!$D$5:$S$860,16,0))</f>
        <v/>
      </c>
      <c r="G678" s="28" t="str">
        <f t="shared" si="60"/>
        <v/>
      </c>
      <c r="H678" s="29" t="str">
        <f t="shared" si="61"/>
        <v/>
      </c>
      <c r="I678" s="29" t="str">
        <f t="shared" si="62"/>
        <v/>
      </c>
      <c r="J678" s="29" t="str">
        <f t="shared" si="63"/>
        <v/>
      </c>
      <c r="K678" s="29" t="str">
        <f t="shared" si="64"/>
        <v/>
      </c>
      <c r="L678" s="29" t="str">
        <f t="shared" si="65"/>
        <v/>
      </c>
      <c r="N678" s="11"/>
    </row>
    <row r="679" spans="1:14" ht="15" x14ac:dyDescent="0.25">
      <c r="A679" s="1" t="str">
        <f>IF('1.1 Produksi Bersih Padi 2025'!A679="","",'1.1 Produksi Bersih Padi 2025'!A679)</f>
        <v/>
      </c>
      <c r="B679" s="2" t="str">
        <f>IF('1.1 Produksi Bersih Padi 2025'!B679="","",'1.1 Produksi Bersih Padi 2025'!B679)</f>
        <v/>
      </c>
      <c r="C679" s="2" t="str">
        <f>IF('1.1 Produksi Bersih Padi 2025'!C679="","",'1.1 Produksi Bersih Padi 2025'!C679)</f>
        <v/>
      </c>
      <c r="D679" s="3" t="str">
        <f>IF('1.1 Produksi Bersih Padi 2025'!D679="","",'1.1 Produksi Bersih Padi 2025'!D679)</f>
        <v/>
      </c>
      <c r="E679" s="3" t="str">
        <f>IF('1.1 Produksi Bersih Padi 2025'!E679="","",'1.1 Produksi Bersih Padi 2025'!E679)</f>
        <v/>
      </c>
      <c r="F679" s="28" t="str">
        <f>IF(D679="","",VLOOKUP(D679,'[1]0.1 Produksi Pangan &amp; Penduduk'!$D$5:$S$860,16,0))</f>
        <v/>
      </c>
      <c r="G679" s="28" t="str">
        <f t="shared" si="60"/>
        <v/>
      </c>
      <c r="H679" s="29" t="str">
        <f t="shared" si="61"/>
        <v/>
      </c>
      <c r="I679" s="29" t="str">
        <f t="shared" si="62"/>
        <v/>
      </c>
      <c r="J679" s="29" t="str">
        <f t="shared" si="63"/>
        <v/>
      </c>
      <c r="K679" s="29" t="str">
        <f t="shared" si="64"/>
        <v/>
      </c>
      <c r="L679" s="29" t="str">
        <f t="shared" si="65"/>
        <v/>
      </c>
      <c r="N679" s="11"/>
    </row>
    <row r="680" spans="1:14" ht="15" x14ac:dyDescent="0.25">
      <c r="A680" s="1" t="str">
        <f>IF('1.1 Produksi Bersih Padi 2025'!A680="","",'1.1 Produksi Bersih Padi 2025'!A680)</f>
        <v/>
      </c>
      <c r="B680" s="2" t="str">
        <f>IF('1.1 Produksi Bersih Padi 2025'!B680="","",'1.1 Produksi Bersih Padi 2025'!B680)</f>
        <v/>
      </c>
      <c r="C680" s="2" t="str">
        <f>IF('1.1 Produksi Bersih Padi 2025'!C680="","",'1.1 Produksi Bersih Padi 2025'!C680)</f>
        <v/>
      </c>
      <c r="D680" s="3" t="str">
        <f>IF('1.1 Produksi Bersih Padi 2025'!D680="","",'1.1 Produksi Bersih Padi 2025'!D680)</f>
        <v/>
      </c>
      <c r="E680" s="3" t="str">
        <f>IF('1.1 Produksi Bersih Padi 2025'!E680="","",'1.1 Produksi Bersih Padi 2025'!E680)</f>
        <v/>
      </c>
      <c r="F680" s="28" t="str">
        <f>IF(D680="","",VLOOKUP(D680,'[1]0.1 Produksi Pangan &amp; Penduduk'!$D$5:$S$860,16,0))</f>
        <v/>
      </c>
      <c r="G680" s="28" t="str">
        <f t="shared" si="60"/>
        <v/>
      </c>
      <c r="H680" s="29" t="str">
        <f t="shared" si="61"/>
        <v/>
      </c>
      <c r="I680" s="29" t="str">
        <f t="shared" si="62"/>
        <v/>
      </c>
      <c r="J680" s="29" t="str">
        <f t="shared" si="63"/>
        <v/>
      </c>
      <c r="K680" s="29" t="str">
        <f t="shared" si="64"/>
        <v/>
      </c>
      <c r="L680" s="29" t="str">
        <f t="shared" si="65"/>
        <v/>
      </c>
      <c r="N680" s="11"/>
    </row>
    <row r="681" spans="1:14" ht="15" x14ac:dyDescent="0.25">
      <c r="A681" s="1" t="str">
        <f>IF('1.1 Produksi Bersih Padi 2025'!A681="","",'1.1 Produksi Bersih Padi 2025'!A681)</f>
        <v/>
      </c>
      <c r="B681" s="2" t="str">
        <f>IF('1.1 Produksi Bersih Padi 2025'!B681="","",'1.1 Produksi Bersih Padi 2025'!B681)</f>
        <v/>
      </c>
      <c r="C681" s="2" t="str">
        <f>IF('1.1 Produksi Bersih Padi 2025'!C681="","",'1.1 Produksi Bersih Padi 2025'!C681)</f>
        <v/>
      </c>
      <c r="D681" s="3" t="str">
        <f>IF('1.1 Produksi Bersih Padi 2025'!D681="","",'1.1 Produksi Bersih Padi 2025'!D681)</f>
        <v/>
      </c>
      <c r="E681" s="3" t="str">
        <f>IF('1.1 Produksi Bersih Padi 2025'!E681="","",'1.1 Produksi Bersih Padi 2025'!E681)</f>
        <v/>
      </c>
      <c r="F681" s="28" t="str">
        <f>IF(D681="","",VLOOKUP(D681,'[1]0.1 Produksi Pangan &amp; Penduduk'!$D$5:$S$860,16,0))</f>
        <v/>
      </c>
      <c r="G681" s="28" t="str">
        <f t="shared" si="60"/>
        <v/>
      </c>
      <c r="H681" s="29" t="str">
        <f t="shared" si="61"/>
        <v/>
      </c>
      <c r="I681" s="29" t="str">
        <f t="shared" si="62"/>
        <v/>
      </c>
      <c r="J681" s="29" t="str">
        <f t="shared" si="63"/>
        <v/>
      </c>
      <c r="K681" s="29" t="str">
        <f t="shared" si="64"/>
        <v/>
      </c>
      <c r="L681" s="29" t="str">
        <f t="shared" si="65"/>
        <v/>
      </c>
      <c r="N681" s="11"/>
    </row>
    <row r="682" spans="1:14" ht="15" x14ac:dyDescent="0.25">
      <c r="A682" s="1" t="str">
        <f>IF('1.1 Produksi Bersih Padi 2025'!A682="","",'1.1 Produksi Bersih Padi 2025'!A682)</f>
        <v/>
      </c>
      <c r="B682" s="2" t="str">
        <f>IF('1.1 Produksi Bersih Padi 2025'!B682="","",'1.1 Produksi Bersih Padi 2025'!B682)</f>
        <v/>
      </c>
      <c r="C682" s="2" t="str">
        <f>IF('1.1 Produksi Bersih Padi 2025'!C682="","",'1.1 Produksi Bersih Padi 2025'!C682)</f>
        <v/>
      </c>
      <c r="D682" s="3" t="str">
        <f>IF('1.1 Produksi Bersih Padi 2025'!D682="","",'1.1 Produksi Bersih Padi 2025'!D682)</f>
        <v/>
      </c>
      <c r="E682" s="3" t="str">
        <f>IF('1.1 Produksi Bersih Padi 2025'!E682="","",'1.1 Produksi Bersih Padi 2025'!E682)</f>
        <v/>
      </c>
      <c r="F682" s="28" t="str">
        <f>IF(D682="","",VLOOKUP(D682,'[1]0.1 Produksi Pangan &amp; Penduduk'!$D$5:$S$860,16,0))</f>
        <v/>
      </c>
      <c r="G682" s="28" t="str">
        <f t="shared" si="60"/>
        <v/>
      </c>
      <c r="H682" s="29" t="str">
        <f t="shared" si="61"/>
        <v/>
      </c>
      <c r="I682" s="29" t="str">
        <f t="shared" si="62"/>
        <v/>
      </c>
      <c r="J682" s="29" t="str">
        <f t="shared" si="63"/>
        <v/>
      </c>
      <c r="K682" s="29" t="str">
        <f t="shared" si="64"/>
        <v/>
      </c>
      <c r="L682" s="29" t="str">
        <f t="shared" si="65"/>
        <v/>
      </c>
      <c r="N682" s="11"/>
    </row>
    <row r="683" spans="1:14" ht="15" x14ac:dyDescent="0.25">
      <c r="A683" s="1" t="str">
        <f>IF('1.1 Produksi Bersih Padi 2025'!A683="","",'1.1 Produksi Bersih Padi 2025'!A683)</f>
        <v/>
      </c>
      <c r="B683" s="2" t="str">
        <f>IF('1.1 Produksi Bersih Padi 2025'!B683="","",'1.1 Produksi Bersih Padi 2025'!B683)</f>
        <v/>
      </c>
      <c r="C683" s="2" t="str">
        <f>IF('1.1 Produksi Bersih Padi 2025'!C683="","",'1.1 Produksi Bersih Padi 2025'!C683)</f>
        <v/>
      </c>
      <c r="D683" s="3" t="str">
        <f>IF('1.1 Produksi Bersih Padi 2025'!D683="","",'1.1 Produksi Bersih Padi 2025'!D683)</f>
        <v/>
      </c>
      <c r="E683" s="3" t="str">
        <f>IF('1.1 Produksi Bersih Padi 2025'!E683="","",'1.1 Produksi Bersih Padi 2025'!E683)</f>
        <v/>
      </c>
      <c r="F683" s="28" t="str">
        <f>IF(D683="","",VLOOKUP(D683,'[1]0.1 Produksi Pangan &amp; Penduduk'!$D$5:$S$860,16,0))</f>
        <v/>
      </c>
      <c r="G683" s="28" t="str">
        <f t="shared" si="60"/>
        <v/>
      </c>
      <c r="H683" s="29" t="str">
        <f t="shared" si="61"/>
        <v/>
      </c>
      <c r="I683" s="29" t="str">
        <f t="shared" si="62"/>
        <v/>
      </c>
      <c r="J683" s="29" t="str">
        <f t="shared" si="63"/>
        <v/>
      </c>
      <c r="K683" s="29" t="str">
        <f t="shared" si="64"/>
        <v/>
      </c>
      <c r="L683" s="29" t="str">
        <f t="shared" si="65"/>
        <v/>
      </c>
      <c r="N683" s="11"/>
    </row>
    <row r="684" spans="1:14" ht="15" x14ac:dyDescent="0.25">
      <c r="A684" s="1" t="str">
        <f>IF('1.1 Produksi Bersih Padi 2025'!A684="","",'1.1 Produksi Bersih Padi 2025'!A684)</f>
        <v/>
      </c>
      <c r="B684" s="2" t="str">
        <f>IF('1.1 Produksi Bersih Padi 2025'!B684="","",'1.1 Produksi Bersih Padi 2025'!B684)</f>
        <v/>
      </c>
      <c r="C684" s="2" t="str">
        <f>IF('1.1 Produksi Bersih Padi 2025'!C684="","",'1.1 Produksi Bersih Padi 2025'!C684)</f>
        <v/>
      </c>
      <c r="D684" s="3" t="str">
        <f>IF('1.1 Produksi Bersih Padi 2025'!D684="","",'1.1 Produksi Bersih Padi 2025'!D684)</f>
        <v/>
      </c>
      <c r="E684" s="3" t="str">
        <f>IF('1.1 Produksi Bersih Padi 2025'!E684="","",'1.1 Produksi Bersih Padi 2025'!E684)</f>
        <v/>
      </c>
      <c r="F684" s="28" t="str">
        <f>IF(D684="","",VLOOKUP(D684,'[1]0.1 Produksi Pangan &amp; Penduduk'!$D$5:$S$860,16,0))</f>
        <v/>
      </c>
      <c r="G684" s="28" t="str">
        <f t="shared" si="60"/>
        <v/>
      </c>
      <c r="H684" s="29" t="str">
        <f t="shared" si="61"/>
        <v/>
      </c>
      <c r="I684" s="29" t="str">
        <f t="shared" si="62"/>
        <v/>
      </c>
      <c r="J684" s="29" t="str">
        <f t="shared" si="63"/>
        <v/>
      </c>
      <c r="K684" s="29" t="str">
        <f t="shared" si="64"/>
        <v/>
      </c>
      <c r="L684" s="29" t="str">
        <f t="shared" si="65"/>
        <v/>
      </c>
      <c r="N684" s="11"/>
    </row>
    <row r="685" spans="1:14" ht="15" x14ac:dyDescent="0.25">
      <c r="A685" s="1" t="str">
        <f>IF('1.1 Produksi Bersih Padi 2025'!A685="","",'1.1 Produksi Bersih Padi 2025'!A685)</f>
        <v/>
      </c>
      <c r="B685" s="2" t="str">
        <f>IF('1.1 Produksi Bersih Padi 2025'!B685="","",'1.1 Produksi Bersih Padi 2025'!B685)</f>
        <v/>
      </c>
      <c r="C685" s="2" t="str">
        <f>IF('1.1 Produksi Bersih Padi 2025'!C685="","",'1.1 Produksi Bersih Padi 2025'!C685)</f>
        <v/>
      </c>
      <c r="D685" s="3" t="str">
        <f>IF('1.1 Produksi Bersih Padi 2025'!D685="","",'1.1 Produksi Bersih Padi 2025'!D685)</f>
        <v/>
      </c>
      <c r="E685" s="3" t="str">
        <f>IF('1.1 Produksi Bersih Padi 2025'!E685="","",'1.1 Produksi Bersih Padi 2025'!E685)</f>
        <v/>
      </c>
      <c r="F685" s="28" t="str">
        <f>IF(D685="","",VLOOKUP(D685,'[1]0.1 Produksi Pangan &amp; Penduduk'!$D$5:$S$860,16,0))</f>
        <v/>
      </c>
      <c r="G685" s="28" t="str">
        <f t="shared" si="60"/>
        <v/>
      </c>
      <c r="H685" s="29" t="str">
        <f t="shared" si="61"/>
        <v/>
      </c>
      <c r="I685" s="29" t="str">
        <f t="shared" si="62"/>
        <v/>
      </c>
      <c r="J685" s="29" t="str">
        <f t="shared" si="63"/>
        <v/>
      </c>
      <c r="K685" s="29" t="str">
        <f t="shared" si="64"/>
        <v/>
      </c>
      <c r="L685" s="29" t="str">
        <f t="shared" si="65"/>
        <v/>
      </c>
      <c r="N685" s="11"/>
    </row>
    <row r="686" spans="1:14" ht="15" x14ac:dyDescent="0.25">
      <c r="A686" s="1" t="str">
        <f>IF('1.1 Produksi Bersih Padi 2025'!A686="","",'1.1 Produksi Bersih Padi 2025'!A686)</f>
        <v/>
      </c>
      <c r="B686" s="2" t="str">
        <f>IF('1.1 Produksi Bersih Padi 2025'!B686="","",'1.1 Produksi Bersih Padi 2025'!B686)</f>
        <v/>
      </c>
      <c r="C686" s="2" t="str">
        <f>IF('1.1 Produksi Bersih Padi 2025'!C686="","",'1.1 Produksi Bersih Padi 2025'!C686)</f>
        <v/>
      </c>
      <c r="D686" s="3" t="str">
        <f>IF('1.1 Produksi Bersih Padi 2025'!D686="","",'1.1 Produksi Bersih Padi 2025'!D686)</f>
        <v/>
      </c>
      <c r="E686" s="3" t="str">
        <f>IF('1.1 Produksi Bersih Padi 2025'!E686="","",'1.1 Produksi Bersih Padi 2025'!E686)</f>
        <v/>
      </c>
      <c r="F686" s="28" t="str">
        <f>IF(D686="","",VLOOKUP(D686,'[1]0.1 Produksi Pangan &amp; Penduduk'!$D$5:$S$860,16,0))</f>
        <v/>
      </c>
      <c r="G686" s="28" t="str">
        <f t="shared" si="60"/>
        <v/>
      </c>
      <c r="H686" s="29" t="str">
        <f t="shared" si="61"/>
        <v/>
      </c>
      <c r="I686" s="29" t="str">
        <f t="shared" si="62"/>
        <v/>
      </c>
      <c r="J686" s="29" t="str">
        <f t="shared" si="63"/>
        <v/>
      </c>
      <c r="K686" s="29" t="str">
        <f t="shared" si="64"/>
        <v/>
      </c>
      <c r="L686" s="29" t="str">
        <f t="shared" si="65"/>
        <v/>
      </c>
      <c r="N686" s="11"/>
    </row>
    <row r="687" spans="1:14" ht="15" x14ac:dyDescent="0.25">
      <c r="A687" s="1" t="str">
        <f>IF('1.1 Produksi Bersih Padi 2025'!A687="","",'1.1 Produksi Bersih Padi 2025'!A687)</f>
        <v/>
      </c>
      <c r="B687" s="2" t="str">
        <f>IF('1.1 Produksi Bersih Padi 2025'!B687="","",'1.1 Produksi Bersih Padi 2025'!B687)</f>
        <v/>
      </c>
      <c r="C687" s="2" t="str">
        <f>IF('1.1 Produksi Bersih Padi 2025'!C687="","",'1.1 Produksi Bersih Padi 2025'!C687)</f>
        <v/>
      </c>
      <c r="D687" s="3" t="str">
        <f>IF('1.1 Produksi Bersih Padi 2025'!D687="","",'1.1 Produksi Bersih Padi 2025'!D687)</f>
        <v/>
      </c>
      <c r="E687" s="3" t="str">
        <f>IF('1.1 Produksi Bersih Padi 2025'!E687="","",'1.1 Produksi Bersih Padi 2025'!E687)</f>
        <v/>
      </c>
      <c r="F687" s="28" t="str">
        <f>IF(D687="","",VLOOKUP(D687,'[1]0.1 Produksi Pangan &amp; Penduduk'!$D$5:$S$860,16,0))</f>
        <v/>
      </c>
      <c r="G687" s="28" t="str">
        <f t="shared" si="60"/>
        <v/>
      </c>
      <c r="H687" s="29" t="str">
        <f t="shared" si="61"/>
        <v/>
      </c>
      <c r="I687" s="29" t="str">
        <f t="shared" si="62"/>
        <v/>
      </c>
      <c r="J687" s="29" t="str">
        <f t="shared" si="63"/>
        <v/>
      </c>
      <c r="K687" s="29" t="str">
        <f t="shared" si="64"/>
        <v/>
      </c>
      <c r="L687" s="29" t="str">
        <f t="shared" si="65"/>
        <v/>
      </c>
      <c r="N687" s="11"/>
    </row>
    <row r="688" spans="1:14" ht="15" x14ac:dyDescent="0.25">
      <c r="A688" s="1" t="str">
        <f>IF('1.1 Produksi Bersih Padi 2025'!A688="","",'1.1 Produksi Bersih Padi 2025'!A688)</f>
        <v/>
      </c>
      <c r="B688" s="2" t="str">
        <f>IF('1.1 Produksi Bersih Padi 2025'!B688="","",'1.1 Produksi Bersih Padi 2025'!B688)</f>
        <v/>
      </c>
      <c r="C688" s="2" t="str">
        <f>IF('1.1 Produksi Bersih Padi 2025'!C688="","",'1.1 Produksi Bersih Padi 2025'!C688)</f>
        <v/>
      </c>
      <c r="D688" s="3" t="str">
        <f>IF('1.1 Produksi Bersih Padi 2025'!D688="","",'1.1 Produksi Bersih Padi 2025'!D688)</f>
        <v/>
      </c>
      <c r="E688" s="3" t="str">
        <f>IF('1.1 Produksi Bersih Padi 2025'!E688="","",'1.1 Produksi Bersih Padi 2025'!E688)</f>
        <v/>
      </c>
      <c r="F688" s="28" t="str">
        <f>IF(D688="","",VLOOKUP(D688,'[1]0.1 Produksi Pangan &amp; Penduduk'!$D$5:$S$860,16,0))</f>
        <v/>
      </c>
      <c r="G688" s="28" t="str">
        <f t="shared" si="60"/>
        <v/>
      </c>
      <c r="H688" s="29" t="str">
        <f t="shared" si="61"/>
        <v/>
      </c>
      <c r="I688" s="29" t="str">
        <f t="shared" si="62"/>
        <v/>
      </c>
      <c r="J688" s="29" t="str">
        <f t="shared" si="63"/>
        <v/>
      </c>
      <c r="K688" s="29" t="str">
        <f t="shared" si="64"/>
        <v/>
      </c>
      <c r="L688" s="29" t="str">
        <f t="shared" si="65"/>
        <v/>
      </c>
      <c r="N688" s="11"/>
    </row>
    <row r="689" spans="1:14" ht="15" x14ac:dyDescent="0.25">
      <c r="A689" s="1" t="str">
        <f>IF('1.1 Produksi Bersih Padi 2025'!A689="","",'1.1 Produksi Bersih Padi 2025'!A689)</f>
        <v/>
      </c>
      <c r="B689" s="2" t="str">
        <f>IF('1.1 Produksi Bersih Padi 2025'!B689="","",'1.1 Produksi Bersih Padi 2025'!B689)</f>
        <v/>
      </c>
      <c r="C689" s="2" t="str">
        <f>IF('1.1 Produksi Bersih Padi 2025'!C689="","",'1.1 Produksi Bersih Padi 2025'!C689)</f>
        <v/>
      </c>
      <c r="D689" s="3" t="str">
        <f>IF('1.1 Produksi Bersih Padi 2025'!D689="","",'1.1 Produksi Bersih Padi 2025'!D689)</f>
        <v/>
      </c>
      <c r="E689" s="3" t="str">
        <f>IF('1.1 Produksi Bersih Padi 2025'!E689="","",'1.1 Produksi Bersih Padi 2025'!E689)</f>
        <v/>
      </c>
      <c r="F689" s="28" t="str">
        <f>IF(D689="","",VLOOKUP(D689,'[1]0.1 Produksi Pangan &amp; Penduduk'!$D$5:$S$860,16,0))</f>
        <v/>
      </c>
      <c r="G689" s="28" t="str">
        <f t="shared" si="60"/>
        <v/>
      </c>
      <c r="H689" s="29" t="str">
        <f t="shared" si="61"/>
        <v/>
      </c>
      <c r="I689" s="29" t="str">
        <f t="shared" si="62"/>
        <v/>
      </c>
      <c r="J689" s="29" t="str">
        <f t="shared" si="63"/>
        <v/>
      </c>
      <c r="K689" s="29" t="str">
        <f t="shared" si="64"/>
        <v/>
      </c>
      <c r="L689" s="29" t="str">
        <f t="shared" si="65"/>
        <v/>
      </c>
      <c r="N689" s="11"/>
    </row>
    <row r="690" spans="1:14" ht="15" x14ac:dyDescent="0.25">
      <c r="A690" s="1" t="str">
        <f>IF('1.1 Produksi Bersih Padi 2025'!A690="","",'1.1 Produksi Bersih Padi 2025'!A690)</f>
        <v/>
      </c>
      <c r="B690" s="2" t="str">
        <f>IF('1.1 Produksi Bersih Padi 2025'!B690="","",'1.1 Produksi Bersih Padi 2025'!B690)</f>
        <v/>
      </c>
      <c r="C690" s="2" t="str">
        <f>IF('1.1 Produksi Bersih Padi 2025'!C690="","",'1.1 Produksi Bersih Padi 2025'!C690)</f>
        <v/>
      </c>
      <c r="D690" s="3" t="str">
        <f>IF('1.1 Produksi Bersih Padi 2025'!D690="","",'1.1 Produksi Bersih Padi 2025'!D690)</f>
        <v/>
      </c>
      <c r="E690" s="3" t="str">
        <f>IF('1.1 Produksi Bersih Padi 2025'!E690="","",'1.1 Produksi Bersih Padi 2025'!E690)</f>
        <v/>
      </c>
      <c r="F690" s="28" t="str">
        <f>IF(D690="","",VLOOKUP(D690,'[1]0.1 Produksi Pangan &amp; Penduduk'!$D$5:$S$860,16,0))</f>
        <v/>
      </c>
      <c r="G690" s="28" t="str">
        <f t="shared" si="60"/>
        <v/>
      </c>
      <c r="H690" s="29" t="str">
        <f t="shared" si="61"/>
        <v/>
      </c>
      <c r="I690" s="29" t="str">
        <f t="shared" si="62"/>
        <v/>
      </c>
      <c r="J690" s="29" t="str">
        <f t="shared" si="63"/>
        <v/>
      </c>
      <c r="K690" s="29" t="str">
        <f t="shared" si="64"/>
        <v/>
      </c>
      <c r="L690" s="29" t="str">
        <f t="shared" si="65"/>
        <v/>
      </c>
      <c r="N690" s="11"/>
    </row>
    <row r="691" spans="1:14" ht="15" x14ac:dyDescent="0.25">
      <c r="A691" s="1" t="str">
        <f>IF('1.1 Produksi Bersih Padi 2025'!A691="","",'1.1 Produksi Bersih Padi 2025'!A691)</f>
        <v/>
      </c>
      <c r="B691" s="2" t="str">
        <f>IF('1.1 Produksi Bersih Padi 2025'!B691="","",'1.1 Produksi Bersih Padi 2025'!B691)</f>
        <v/>
      </c>
      <c r="C691" s="2" t="str">
        <f>IF('1.1 Produksi Bersih Padi 2025'!C691="","",'1.1 Produksi Bersih Padi 2025'!C691)</f>
        <v/>
      </c>
      <c r="D691" s="3" t="str">
        <f>IF('1.1 Produksi Bersih Padi 2025'!D691="","",'1.1 Produksi Bersih Padi 2025'!D691)</f>
        <v/>
      </c>
      <c r="E691" s="3" t="str">
        <f>IF('1.1 Produksi Bersih Padi 2025'!E691="","",'1.1 Produksi Bersih Padi 2025'!E691)</f>
        <v/>
      </c>
      <c r="F691" s="28" t="str">
        <f>IF(D691="","",VLOOKUP(D691,'[1]0.1 Produksi Pangan &amp; Penduduk'!$D$5:$S$860,16,0))</f>
        <v/>
      </c>
      <c r="G691" s="28" t="str">
        <f t="shared" si="60"/>
        <v/>
      </c>
      <c r="H691" s="29" t="str">
        <f t="shared" si="61"/>
        <v/>
      </c>
      <c r="I691" s="29" t="str">
        <f t="shared" si="62"/>
        <v/>
      </c>
      <c r="J691" s="29" t="str">
        <f t="shared" si="63"/>
        <v/>
      </c>
      <c r="K691" s="29" t="str">
        <f t="shared" si="64"/>
        <v/>
      </c>
      <c r="L691" s="29" t="str">
        <f t="shared" si="65"/>
        <v/>
      </c>
      <c r="N691" s="11"/>
    </row>
    <row r="692" spans="1:14" ht="15" x14ac:dyDescent="0.25">
      <c r="A692" s="1" t="str">
        <f>IF('1.1 Produksi Bersih Padi 2025'!A692="","",'1.1 Produksi Bersih Padi 2025'!A692)</f>
        <v/>
      </c>
      <c r="B692" s="2" t="str">
        <f>IF('1.1 Produksi Bersih Padi 2025'!B692="","",'1.1 Produksi Bersih Padi 2025'!B692)</f>
        <v/>
      </c>
      <c r="C692" s="2" t="str">
        <f>IF('1.1 Produksi Bersih Padi 2025'!C692="","",'1.1 Produksi Bersih Padi 2025'!C692)</f>
        <v/>
      </c>
      <c r="D692" s="3" t="str">
        <f>IF('1.1 Produksi Bersih Padi 2025'!D692="","",'1.1 Produksi Bersih Padi 2025'!D692)</f>
        <v/>
      </c>
      <c r="E692" s="3" t="str">
        <f>IF('1.1 Produksi Bersih Padi 2025'!E692="","",'1.1 Produksi Bersih Padi 2025'!E692)</f>
        <v/>
      </c>
      <c r="F692" s="28" t="str">
        <f>IF(D692="","",VLOOKUP(D692,'[1]0.1 Produksi Pangan &amp; Penduduk'!$D$5:$S$860,16,0))</f>
        <v/>
      </c>
      <c r="G692" s="28" t="str">
        <f t="shared" si="60"/>
        <v/>
      </c>
      <c r="H692" s="29" t="str">
        <f t="shared" si="61"/>
        <v/>
      </c>
      <c r="I692" s="29" t="str">
        <f t="shared" si="62"/>
        <v/>
      </c>
      <c r="J692" s="29" t="str">
        <f t="shared" si="63"/>
        <v/>
      </c>
      <c r="K692" s="29" t="str">
        <f t="shared" si="64"/>
        <v/>
      </c>
      <c r="L692" s="29" t="str">
        <f t="shared" si="65"/>
        <v/>
      </c>
      <c r="N692" s="11"/>
    </row>
    <row r="693" spans="1:14" ht="15" x14ac:dyDescent="0.25">
      <c r="A693" s="1" t="str">
        <f>IF('1.1 Produksi Bersih Padi 2025'!A693="","",'1.1 Produksi Bersih Padi 2025'!A693)</f>
        <v/>
      </c>
      <c r="B693" s="2" t="str">
        <f>IF('1.1 Produksi Bersih Padi 2025'!B693="","",'1.1 Produksi Bersih Padi 2025'!B693)</f>
        <v/>
      </c>
      <c r="C693" s="2" t="str">
        <f>IF('1.1 Produksi Bersih Padi 2025'!C693="","",'1.1 Produksi Bersih Padi 2025'!C693)</f>
        <v/>
      </c>
      <c r="D693" s="3" t="str">
        <f>IF('1.1 Produksi Bersih Padi 2025'!D693="","",'1.1 Produksi Bersih Padi 2025'!D693)</f>
        <v/>
      </c>
      <c r="E693" s="3" t="str">
        <f>IF('1.1 Produksi Bersih Padi 2025'!E693="","",'1.1 Produksi Bersih Padi 2025'!E693)</f>
        <v/>
      </c>
      <c r="F693" s="28" t="str">
        <f>IF(D693="","",VLOOKUP(D693,'[1]0.1 Produksi Pangan &amp; Penduduk'!$D$5:$S$860,16,0))</f>
        <v/>
      </c>
      <c r="G693" s="28" t="str">
        <f t="shared" si="60"/>
        <v/>
      </c>
      <c r="H693" s="29" t="str">
        <f t="shared" si="61"/>
        <v/>
      </c>
      <c r="I693" s="29" t="str">
        <f t="shared" si="62"/>
        <v/>
      </c>
      <c r="J693" s="29" t="str">
        <f t="shared" si="63"/>
        <v/>
      </c>
      <c r="K693" s="29" t="str">
        <f t="shared" si="64"/>
        <v/>
      </c>
      <c r="L693" s="29" t="str">
        <f t="shared" si="65"/>
        <v/>
      </c>
      <c r="N693" s="11"/>
    </row>
    <row r="694" spans="1:14" ht="15" x14ac:dyDescent="0.25">
      <c r="A694" s="1" t="str">
        <f>IF('1.1 Produksi Bersih Padi 2025'!A694="","",'1.1 Produksi Bersih Padi 2025'!A694)</f>
        <v/>
      </c>
      <c r="B694" s="2" t="str">
        <f>IF('1.1 Produksi Bersih Padi 2025'!B694="","",'1.1 Produksi Bersih Padi 2025'!B694)</f>
        <v/>
      </c>
      <c r="C694" s="2" t="str">
        <f>IF('1.1 Produksi Bersih Padi 2025'!C694="","",'1.1 Produksi Bersih Padi 2025'!C694)</f>
        <v/>
      </c>
      <c r="D694" s="3" t="str">
        <f>IF('1.1 Produksi Bersih Padi 2025'!D694="","",'1.1 Produksi Bersih Padi 2025'!D694)</f>
        <v/>
      </c>
      <c r="E694" s="3" t="str">
        <f>IF('1.1 Produksi Bersih Padi 2025'!E694="","",'1.1 Produksi Bersih Padi 2025'!E694)</f>
        <v/>
      </c>
      <c r="F694" s="28" t="str">
        <f>IF(D694="","",VLOOKUP(D694,'[1]0.1 Produksi Pangan &amp; Penduduk'!$D$5:$S$860,16,0))</f>
        <v/>
      </c>
      <c r="G694" s="28" t="str">
        <f t="shared" si="60"/>
        <v/>
      </c>
      <c r="H694" s="29" t="str">
        <f t="shared" si="61"/>
        <v/>
      </c>
      <c r="I694" s="29" t="str">
        <f t="shared" si="62"/>
        <v/>
      </c>
      <c r="J694" s="29" t="str">
        <f t="shared" si="63"/>
        <v/>
      </c>
      <c r="K694" s="29" t="str">
        <f t="shared" si="64"/>
        <v/>
      </c>
      <c r="L694" s="29" t="str">
        <f t="shared" si="65"/>
        <v/>
      </c>
      <c r="N694" s="11"/>
    </row>
    <row r="695" spans="1:14" ht="15" x14ac:dyDescent="0.25">
      <c r="A695" s="1" t="str">
        <f>IF('1.1 Produksi Bersih Padi 2025'!A695="","",'1.1 Produksi Bersih Padi 2025'!A695)</f>
        <v/>
      </c>
      <c r="B695" s="2" t="str">
        <f>IF('1.1 Produksi Bersih Padi 2025'!B695="","",'1.1 Produksi Bersih Padi 2025'!B695)</f>
        <v/>
      </c>
      <c r="C695" s="2" t="str">
        <f>IF('1.1 Produksi Bersih Padi 2025'!C695="","",'1.1 Produksi Bersih Padi 2025'!C695)</f>
        <v/>
      </c>
      <c r="D695" s="3" t="str">
        <f>IF('1.1 Produksi Bersih Padi 2025'!D695="","",'1.1 Produksi Bersih Padi 2025'!D695)</f>
        <v/>
      </c>
      <c r="E695" s="3" t="str">
        <f>IF('1.1 Produksi Bersih Padi 2025'!E695="","",'1.1 Produksi Bersih Padi 2025'!E695)</f>
        <v/>
      </c>
      <c r="F695" s="28" t="str">
        <f>IF(D695="","",VLOOKUP(D695,'[1]0.1 Produksi Pangan &amp; Penduduk'!$D$5:$S$860,16,0))</f>
        <v/>
      </c>
      <c r="G695" s="28" t="str">
        <f t="shared" si="60"/>
        <v/>
      </c>
      <c r="H695" s="29" t="str">
        <f t="shared" si="61"/>
        <v/>
      </c>
      <c r="I695" s="29" t="str">
        <f t="shared" si="62"/>
        <v/>
      </c>
      <c r="J695" s="29" t="str">
        <f t="shared" si="63"/>
        <v/>
      </c>
      <c r="K695" s="29" t="str">
        <f t="shared" si="64"/>
        <v/>
      </c>
      <c r="L695" s="29" t="str">
        <f t="shared" si="65"/>
        <v/>
      </c>
      <c r="N695" s="11"/>
    </row>
    <row r="696" spans="1:14" ht="15" x14ac:dyDescent="0.25">
      <c r="A696" s="1" t="str">
        <f>IF('1.1 Produksi Bersih Padi 2025'!A696="","",'1.1 Produksi Bersih Padi 2025'!A696)</f>
        <v/>
      </c>
      <c r="B696" s="2" t="str">
        <f>IF('1.1 Produksi Bersih Padi 2025'!B696="","",'1.1 Produksi Bersih Padi 2025'!B696)</f>
        <v/>
      </c>
      <c r="C696" s="2" t="str">
        <f>IF('1.1 Produksi Bersih Padi 2025'!C696="","",'1.1 Produksi Bersih Padi 2025'!C696)</f>
        <v/>
      </c>
      <c r="D696" s="3" t="str">
        <f>IF('1.1 Produksi Bersih Padi 2025'!D696="","",'1.1 Produksi Bersih Padi 2025'!D696)</f>
        <v/>
      </c>
      <c r="E696" s="3" t="str">
        <f>IF('1.1 Produksi Bersih Padi 2025'!E696="","",'1.1 Produksi Bersih Padi 2025'!E696)</f>
        <v/>
      </c>
      <c r="F696" s="28" t="str">
        <f>IF(D696="","",VLOOKUP(D696,'[1]0.1 Produksi Pangan &amp; Penduduk'!$D$5:$S$860,16,0))</f>
        <v/>
      </c>
      <c r="G696" s="28" t="str">
        <f t="shared" si="60"/>
        <v/>
      </c>
      <c r="H696" s="29" t="str">
        <f t="shared" si="61"/>
        <v/>
      </c>
      <c r="I696" s="29" t="str">
        <f t="shared" si="62"/>
        <v/>
      </c>
      <c r="J696" s="29" t="str">
        <f t="shared" si="63"/>
        <v/>
      </c>
      <c r="K696" s="29" t="str">
        <f t="shared" si="64"/>
        <v/>
      </c>
      <c r="L696" s="29" t="str">
        <f t="shared" si="65"/>
        <v/>
      </c>
      <c r="N696" s="11"/>
    </row>
    <row r="697" spans="1:14" ht="15" x14ac:dyDescent="0.25">
      <c r="A697" s="1" t="str">
        <f>IF('1.1 Produksi Bersih Padi 2025'!A697="","",'1.1 Produksi Bersih Padi 2025'!A697)</f>
        <v/>
      </c>
      <c r="B697" s="2" t="str">
        <f>IF('1.1 Produksi Bersih Padi 2025'!B697="","",'1.1 Produksi Bersih Padi 2025'!B697)</f>
        <v/>
      </c>
      <c r="C697" s="2" t="str">
        <f>IF('1.1 Produksi Bersih Padi 2025'!C697="","",'1.1 Produksi Bersih Padi 2025'!C697)</f>
        <v/>
      </c>
      <c r="D697" s="3" t="str">
        <f>IF('1.1 Produksi Bersih Padi 2025'!D697="","",'1.1 Produksi Bersih Padi 2025'!D697)</f>
        <v/>
      </c>
      <c r="E697" s="3" t="str">
        <f>IF('1.1 Produksi Bersih Padi 2025'!E697="","",'1.1 Produksi Bersih Padi 2025'!E697)</f>
        <v/>
      </c>
      <c r="F697" s="28" t="str">
        <f>IF(D697="","",VLOOKUP(D697,'[1]0.1 Produksi Pangan &amp; Penduduk'!$D$5:$S$860,16,0))</f>
        <v/>
      </c>
      <c r="G697" s="28" t="str">
        <f t="shared" si="60"/>
        <v/>
      </c>
      <c r="H697" s="29" t="str">
        <f t="shared" si="61"/>
        <v/>
      </c>
      <c r="I697" s="29" t="str">
        <f t="shared" si="62"/>
        <v/>
      </c>
      <c r="J697" s="29" t="str">
        <f t="shared" si="63"/>
        <v/>
      </c>
      <c r="K697" s="29" t="str">
        <f t="shared" si="64"/>
        <v/>
      </c>
      <c r="L697" s="29" t="str">
        <f t="shared" si="65"/>
        <v/>
      </c>
      <c r="N697" s="11"/>
    </row>
    <row r="698" spans="1:14" ht="15" x14ac:dyDescent="0.25">
      <c r="A698" s="1" t="str">
        <f>IF('1.1 Produksi Bersih Padi 2025'!A698="","",'1.1 Produksi Bersih Padi 2025'!A698)</f>
        <v/>
      </c>
      <c r="B698" s="2" t="str">
        <f>IF('1.1 Produksi Bersih Padi 2025'!B698="","",'1.1 Produksi Bersih Padi 2025'!B698)</f>
        <v/>
      </c>
      <c r="C698" s="2" t="str">
        <f>IF('1.1 Produksi Bersih Padi 2025'!C698="","",'1.1 Produksi Bersih Padi 2025'!C698)</f>
        <v/>
      </c>
      <c r="D698" s="3" t="str">
        <f>IF('1.1 Produksi Bersih Padi 2025'!D698="","",'1.1 Produksi Bersih Padi 2025'!D698)</f>
        <v/>
      </c>
      <c r="E698" s="3" t="str">
        <f>IF('1.1 Produksi Bersih Padi 2025'!E698="","",'1.1 Produksi Bersih Padi 2025'!E698)</f>
        <v/>
      </c>
      <c r="F698" s="28" t="str">
        <f>IF(D698="","",VLOOKUP(D698,'[1]0.1 Produksi Pangan &amp; Penduduk'!$D$5:$S$860,16,0))</f>
        <v/>
      </c>
      <c r="G698" s="28" t="str">
        <f t="shared" si="60"/>
        <v/>
      </c>
      <c r="H698" s="29" t="str">
        <f t="shared" si="61"/>
        <v/>
      </c>
      <c r="I698" s="29" t="str">
        <f t="shared" si="62"/>
        <v/>
      </c>
      <c r="J698" s="29" t="str">
        <f t="shared" si="63"/>
        <v/>
      </c>
      <c r="K698" s="29" t="str">
        <f t="shared" si="64"/>
        <v/>
      </c>
      <c r="L698" s="29" t="str">
        <f t="shared" si="65"/>
        <v/>
      </c>
      <c r="N698" s="11"/>
    </row>
    <row r="699" spans="1:14" ht="15" x14ac:dyDescent="0.25">
      <c r="A699" s="1" t="str">
        <f>IF('1.1 Produksi Bersih Padi 2025'!A699="","",'1.1 Produksi Bersih Padi 2025'!A699)</f>
        <v/>
      </c>
      <c r="B699" s="2" t="str">
        <f>IF('1.1 Produksi Bersih Padi 2025'!B699="","",'1.1 Produksi Bersih Padi 2025'!B699)</f>
        <v/>
      </c>
      <c r="C699" s="2" t="str">
        <f>IF('1.1 Produksi Bersih Padi 2025'!C699="","",'1.1 Produksi Bersih Padi 2025'!C699)</f>
        <v/>
      </c>
      <c r="D699" s="3" t="str">
        <f>IF('1.1 Produksi Bersih Padi 2025'!D699="","",'1.1 Produksi Bersih Padi 2025'!D699)</f>
        <v/>
      </c>
      <c r="E699" s="3" t="str">
        <f>IF('1.1 Produksi Bersih Padi 2025'!E699="","",'1.1 Produksi Bersih Padi 2025'!E699)</f>
        <v/>
      </c>
      <c r="F699" s="28" t="str">
        <f>IF(D699="","",VLOOKUP(D699,'[1]0.1 Produksi Pangan &amp; Penduduk'!$D$5:$S$860,16,0))</f>
        <v/>
      </c>
      <c r="G699" s="28" t="str">
        <f t="shared" si="60"/>
        <v/>
      </c>
      <c r="H699" s="29" t="str">
        <f t="shared" si="61"/>
        <v/>
      </c>
      <c r="I699" s="29" t="str">
        <f t="shared" si="62"/>
        <v/>
      </c>
      <c r="J699" s="29" t="str">
        <f t="shared" si="63"/>
        <v/>
      </c>
      <c r="K699" s="29" t="str">
        <f t="shared" si="64"/>
        <v/>
      </c>
      <c r="L699" s="29" t="str">
        <f t="shared" si="65"/>
        <v/>
      </c>
      <c r="N699" s="11"/>
    </row>
    <row r="700" spans="1:14" ht="15" x14ac:dyDescent="0.25">
      <c r="A700" s="1" t="str">
        <f>IF('1.1 Produksi Bersih Padi 2025'!A700="","",'1.1 Produksi Bersih Padi 2025'!A700)</f>
        <v/>
      </c>
      <c r="B700" s="2" t="str">
        <f>IF('1.1 Produksi Bersih Padi 2025'!B700="","",'1.1 Produksi Bersih Padi 2025'!B700)</f>
        <v/>
      </c>
      <c r="C700" s="2" t="str">
        <f>IF('1.1 Produksi Bersih Padi 2025'!C700="","",'1.1 Produksi Bersih Padi 2025'!C700)</f>
        <v/>
      </c>
      <c r="D700" s="3" t="str">
        <f>IF('1.1 Produksi Bersih Padi 2025'!D700="","",'1.1 Produksi Bersih Padi 2025'!D700)</f>
        <v/>
      </c>
      <c r="E700" s="3" t="str">
        <f>IF('1.1 Produksi Bersih Padi 2025'!E700="","",'1.1 Produksi Bersih Padi 2025'!E700)</f>
        <v/>
      </c>
      <c r="F700" s="28" t="str">
        <f>IF(D700="","",VLOOKUP(D700,'[1]0.1 Produksi Pangan &amp; Penduduk'!$D$5:$S$860,16,0))</f>
        <v/>
      </c>
      <c r="G700" s="28" t="str">
        <f t="shared" si="60"/>
        <v/>
      </c>
      <c r="H700" s="29" t="str">
        <f t="shared" si="61"/>
        <v/>
      </c>
      <c r="I700" s="29" t="str">
        <f t="shared" si="62"/>
        <v/>
      </c>
      <c r="J700" s="29" t="str">
        <f t="shared" si="63"/>
        <v/>
      </c>
      <c r="K700" s="29" t="str">
        <f t="shared" si="64"/>
        <v/>
      </c>
      <c r="L700" s="29" t="str">
        <f t="shared" si="65"/>
        <v/>
      </c>
      <c r="N700" s="11"/>
    </row>
    <row r="701" spans="1:14" ht="15" x14ac:dyDescent="0.25">
      <c r="A701" s="1" t="str">
        <f>IF('1.1 Produksi Bersih Padi 2025'!A701="","",'1.1 Produksi Bersih Padi 2025'!A701)</f>
        <v/>
      </c>
      <c r="B701" s="2" t="str">
        <f>IF('1.1 Produksi Bersih Padi 2025'!B701="","",'1.1 Produksi Bersih Padi 2025'!B701)</f>
        <v/>
      </c>
      <c r="C701" s="2" t="str">
        <f>IF('1.1 Produksi Bersih Padi 2025'!C701="","",'1.1 Produksi Bersih Padi 2025'!C701)</f>
        <v/>
      </c>
      <c r="D701" s="3" t="str">
        <f>IF('1.1 Produksi Bersih Padi 2025'!D701="","",'1.1 Produksi Bersih Padi 2025'!D701)</f>
        <v/>
      </c>
      <c r="E701" s="3" t="str">
        <f>IF('1.1 Produksi Bersih Padi 2025'!E701="","",'1.1 Produksi Bersih Padi 2025'!E701)</f>
        <v/>
      </c>
      <c r="F701" s="28" t="str">
        <f>IF(D701="","",VLOOKUP(D701,'[1]0.1 Produksi Pangan &amp; Penduduk'!$D$5:$S$860,16,0))</f>
        <v/>
      </c>
      <c r="G701" s="28" t="str">
        <f t="shared" si="60"/>
        <v/>
      </c>
      <c r="H701" s="29" t="str">
        <f t="shared" si="61"/>
        <v/>
      </c>
      <c r="I701" s="29" t="str">
        <f t="shared" si="62"/>
        <v/>
      </c>
      <c r="J701" s="29" t="str">
        <f t="shared" si="63"/>
        <v/>
      </c>
      <c r="K701" s="29" t="str">
        <f t="shared" si="64"/>
        <v/>
      </c>
      <c r="L701" s="29" t="str">
        <f t="shared" si="65"/>
        <v/>
      </c>
      <c r="N701" s="11"/>
    </row>
    <row r="702" spans="1:14" ht="15" x14ac:dyDescent="0.25">
      <c r="A702" s="1" t="str">
        <f>IF('1.1 Produksi Bersih Padi 2025'!A702="","",'1.1 Produksi Bersih Padi 2025'!A702)</f>
        <v/>
      </c>
      <c r="B702" s="2" t="str">
        <f>IF('1.1 Produksi Bersih Padi 2025'!B702="","",'1.1 Produksi Bersih Padi 2025'!B702)</f>
        <v/>
      </c>
      <c r="C702" s="2" t="str">
        <f>IF('1.1 Produksi Bersih Padi 2025'!C702="","",'1.1 Produksi Bersih Padi 2025'!C702)</f>
        <v/>
      </c>
      <c r="D702" s="3" t="str">
        <f>IF('1.1 Produksi Bersih Padi 2025'!D702="","",'1.1 Produksi Bersih Padi 2025'!D702)</f>
        <v/>
      </c>
      <c r="E702" s="3" t="str">
        <f>IF('1.1 Produksi Bersih Padi 2025'!E702="","",'1.1 Produksi Bersih Padi 2025'!E702)</f>
        <v/>
      </c>
      <c r="F702" s="28" t="str">
        <f>IF(D702="","",VLOOKUP(D702,'[1]0.1 Produksi Pangan &amp; Penduduk'!$D$5:$S$860,16,0))</f>
        <v/>
      </c>
      <c r="G702" s="28" t="str">
        <f t="shared" si="60"/>
        <v/>
      </c>
      <c r="H702" s="29" t="str">
        <f t="shared" si="61"/>
        <v/>
      </c>
      <c r="I702" s="29" t="str">
        <f t="shared" si="62"/>
        <v/>
      </c>
      <c r="J702" s="29" t="str">
        <f t="shared" si="63"/>
        <v/>
      </c>
      <c r="K702" s="29" t="str">
        <f t="shared" si="64"/>
        <v/>
      </c>
      <c r="L702" s="29" t="str">
        <f t="shared" si="65"/>
        <v/>
      </c>
      <c r="N702" s="11"/>
    </row>
    <row r="703" spans="1:14" ht="15" x14ac:dyDescent="0.25">
      <c r="A703" s="1" t="str">
        <f>IF('1.1 Produksi Bersih Padi 2025'!A703="","",'1.1 Produksi Bersih Padi 2025'!A703)</f>
        <v/>
      </c>
      <c r="B703" s="2" t="str">
        <f>IF('1.1 Produksi Bersih Padi 2025'!B703="","",'1.1 Produksi Bersih Padi 2025'!B703)</f>
        <v/>
      </c>
      <c r="C703" s="2" t="str">
        <f>IF('1.1 Produksi Bersih Padi 2025'!C703="","",'1.1 Produksi Bersih Padi 2025'!C703)</f>
        <v/>
      </c>
      <c r="D703" s="3" t="str">
        <f>IF('1.1 Produksi Bersih Padi 2025'!D703="","",'1.1 Produksi Bersih Padi 2025'!D703)</f>
        <v/>
      </c>
      <c r="E703" s="3" t="str">
        <f>IF('1.1 Produksi Bersih Padi 2025'!E703="","",'1.1 Produksi Bersih Padi 2025'!E703)</f>
        <v/>
      </c>
      <c r="F703" s="28" t="str">
        <f>IF(D703="","",VLOOKUP(D703,'[1]0.1 Produksi Pangan &amp; Penduduk'!$D$5:$S$860,16,0))</f>
        <v/>
      </c>
      <c r="G703" s="28" t="str">
        <f t="shared" si="60"/>
        <v/>
      </c>
      <c r="H703" s="29" t="str">
        <f t="shared" si="61"/>
        <v/>
      </c>
      <c r="I703" s="29" t="str">
        <f t="shared" si="62"/>
        <v/>
      </c>
      <c r="J703" s="29" t="str">
        <f t="shared" si="63"/>
        <v/>
      </c>
      <c r="K703" s="29" t="str">
        <f t="shared" si="64"/>
        <v/>
      </c>
      <c r="L703" s="29" t="str">
        <f t="shared" si="65"/>
        <v/>
      </c>
      <c r="N703" s="11"/>
    </row>
    <row r="704" spans="1:14" ht="15" x14ac:dyDescent="0.25">
      <c r="A704" s="1" t="str">
        <f>IF('1.1 Produksi Bersih Padi 2025'!A704="","",'1.1 Produksi Bersih Padi 2025'!A704)</f>
        <v/>
      </c>
      <c r="B704" s="2" t="str">
        <f>IF('1.1 Produksi Bersih Padi 2025'!B704="","",'1.1 Produksi Bersih Padi 2025'!B704)</f>
        <v/>
      </c>
      <c r="C704" s="2" t="str">
        <f>IF('1.1 Produksi Bersih Padi 2025'!C704="","",'1.1 Produksi Bersih Padi 2025'!C704)</f>
        <v/>
      </c>
      <c r="D704" s="3" t="str">
        <f>IF('1.1 Produksi Bersih Padi 2025'!D704="","",'1.1 Produksi Bersih Padi 2025'!D704)</f>
        <v/>
      </c>
      <c r="E704" s="3" t="str">
        <f>IF('1.1 Produksi Bersih Padi 2025'!E704="","",'1.1 Produksi Bersih Padi 2025'!E704)</f>
        <v/>
      </c>
      <c r="F704" s="28" t="str">
        <f>IF(D704="","",VLOOKUP(D704,'[1]0.1 Produksi Pangan &amp; Penduduk'!$D$5:$S$860,16,0))</f>
        <v/>
      </c>
      <c r="G704" s="28" t="str">
        <f t="shared" si="60"/>
        <v/>
      </c>
      <c r="H704" s="29" t="str">
        <f t="shared" si="61"/>
        <v/>
      </c>
      <c r="I704" s="29" t="str">
        <f t="shared" si="62"/>
        <v/>
      </c>
      <c r="J704" s="29" t="str">
        <f t="shared" si="63"/>
        <v/>
      </c>
      <c r="K704" s="29" t="str">
        <f t="shared" si="64"/>
        <v/>
      </c>
      <c r="L704" s="29" t="str">
        <f t="shared" si="65"/>
        <v/>
      </c>
    </row>
    <row r="705" spans="1:12" ht="15" x14ac:dyDescent="0.25">
      <c r="A705" s="1" t="str">
        <f>IF('1.1 Produksi Bersih Padi 2025'!A705="","",'1.1 Produksi Bersih Padi 2025'!A705)</f>
        <v/>
      </c>
      <c r="B705" s="2" t="str">
        <f>IF('1.1 Produksi Bersih Padi 2025'!B705="","",'1.1 Produksi Bersih Padi 2025'!B705)</f>
        <v/>
      </c>
      <c r="C705" s="2" t="str">
        <f>IF('1.1 Produksi Bersih Padi 2025'!C705="","",'1.1 Produksi Bersih Padi 2025'!C705)</f>
        <v/>
      </c>
      <c r="D705" s="3" t="str">
        <f>IF('1.1 Produksi Bersih Padi 2025'!D705="","",'1.1 Produksi Bersih Padi 2025'!D705)</f>
        <v/>
      </c>
      <c r="E705" s="3" t="str">
        <f>IF('1.1 Produksi Bersih Padi 2025'!E705="","",'1.1 Produksi Bersih Padi 2025'!E705)</f>
        <v/>
      </c>
      <c r="F705" s="28" t="str">
        <f>IF(D705="","",VLOOKUP(D705,'[1]0.1 Produksi Pangan &amp; Penduduk'!$D$5:$S$860,16,0))</f>
        <v/>
      </c>
      <c r="G705" s="28" t="str">
        <f t="shared" si="60"/>
        <v/>
      </c>
      <c r="H705" s="29" t="str">
        <f t="shared" si="61"/>
        <v/>
      </c>
      <c r="I705" s="29" t="str">
        <f t="shared" si="62"/>
        <v/>
      </c>
      <c r="J705" s="29" t="str">
        <f t="shared" si="63"/>
        <v/>
      </c>
      <c r="K705" s="29" t="str">
        <f t="shared" si="64"/>
        <v/>
      </c>
      <c r="L705" s="29" t="str">
        <f t="shared" si="65"/>
        <v/>
      </c>
    </row>
    <row r="706" spans="1:12" ht="15" x14ac:dyDescent="0.25">
      <c r="A706" s="1" t="str">
        <f>IF('1.1 Produksi Bersih Padi 2025'!A706="","",'1.1 Produksi Bersih Padi 2025'!A706)</f>
        <v/>
      </c>
      <c r="B706" s="2" t="str">
        <f>IF('1.1 Produksi Bersih Padi 2025'!B706="","",'1.1 Produksi Bersih Padi 2025'!B706)</f>
        <v/>
      </c>
      <c r="C706" s="2" t="str">
        <f>IF('1.1 Produksi Bersih Padi 2025'!C706="","",'1.1 Produksi Bersih Padi 2025'!C706)</f>
        <v/>
      </c>
      <c r="D706" s="3" t="str">
        <f>IF('1.1 Produksi Bersih Padi 2025'!D706="","",'1.1 Produksi Bersih Padi 2025'!D706)</f>
        <v/>
      </c>
      <c r="E706" s="3" t="str">
        <f>IF('1.1 Produksi Bersih Padi 2025'!E706="","",'1.1 Produksi Bersih Padi 2025'!E706)</f>
        <v/>
      </c>
      <c r="F706" s="28" t="str">
        <f>IF(D706="","",VLOOKUP(D706,'[1]0.1 Produksi Pangan &amp; Penduduk'!$D$5:$S$860,16,0))</f>
        <v/>
      </c>
      <c r="G706" s="28" t="str">
        <f t="shared" si="60"/>
        <v/>
      </c>
      <c r="H706" s="29" t="str">
        <f t="shared" si="61"/>
        <v/>
      </c>
      <c r="I706" s="29" t="str">
        <f t="shared" si="62"/>
        <v/>
      </c>
      <c r="J706" s="29" t="str">
        <f t="shared" si="63"/>
        <v/>
      </c>
      <c r="K706" s="29" t="str">
        <f t="shared" si="64"/>
        <v/>
      </c>
      <c r="L706" s="29" t="str">
        <f t="shared" si="65"/>
        <v/>
      </c>
    </row>
    <row r="707" spans="1:12" ht="15" x14ac:dyDescent="0.25">
      <c r="A707" s="1" t="str">
        <f>IF('1.1 Produksi Bersih Padi 2025'!A707="","",'1.1 Produksi Bersih Padi 2025'!A707)</f>
        <v/>
      </c>
      <c r="B707" s="2" t="str">
        <f>IF('1.1 Produksi Bersih Padi 2025'!B707="","",'1.1 Produksi Bersih Padi 2025'!B707)</f>
        <v/>
      </c>
      <c r="C707" s="2" t="str">
        <f>IF('1.1 Produksi Bersih Padi 2025'!C707="","",'1.1 Produksi Bersih Padi 2025'!C707)</f>
        <v/>
      </c>
      <c r="D707" s="3" t="str">
        <f>IF('1.1 Produksi Bersih Padi 2025'!D707="","",'1.1 Produksi Bersih Padi 2025'!D707)</f>
        <v/>
      </c>
      <c r="E707" s="3" t="str">
        <f>IF('1.1 Produksi Bersih Padi 2025'!E707="","",'1.1 Produksi Bersih Padi 2025'!E707)</f>
        <v/>
      </c>
      <c r="F707" s="28" t="str">
        <f>IF(D707="","",VLOOKUP(D707,'[1]0.1 Produksi Pangan &amp; Penduduk'!$D$5:$S$860,16,0))</f>
        <v/>
      </c>
      <c r="G707" s="28" t="str">
        <f t="shared" si="60"/>
        <v/>
      </c>
      <c r="H707" s="29" t="str">
        <f t="shared" si="61"/>
        <v/>
      </c>
      <c r="I707" s="29" t="str">
        <f t="shared" si="62"/>
        <v/>
      </c>
      <c r="J707" s="29" t="str">
        <f t="shared" si="63"/>
        <v/>
      </c>
      <c r="K707" s="29" t="str">
        <f t="shared" si="64"/>
        <v/>
      </c>
      <c r="L707" s="29" t="str">
        <f t="shared" si="65"/>
        <v/>
      </c>
    </row>
    <row r="708" spans="1:12" ht="15" x14ac:dyDescent="0.25">
      <c r="A708" s="1" t="str">
        <f>IF('1.1 Produksi Bersih Padi 2025'!A708="","",'1.1 Produksi Bersih Padi 2025'!A708)</f>
        <v/>
      </c>
      <c r="B708" s="2" t="str">
        <f>IF('1.1 Produksi Bersih Padi 2025'!B708="","",'1.1 Produksi Bersih Padi 2025'!B708)</f>
        <v/>
      </c>
      <c r="C708" s="2" t="str">
        <f>IF('1.1 Produksi Bersih Padi 2025'!C708="","",'1.1 Produksi Bersih Padi 2025'!C708)</f>
        <v/>
      </c>
      <c r="D708" s="3" t="str">
        <f>IF('1.1 Produksi Bersih Padi 2025'!D708="","",'1.1 Produksi Bersih Padi 2025'!D708)</f>
        <v/>
      </c>
      <c r="E708" s="3" t="str">
        <f>IF('1.1 Produksi Bersih Padi 2025'!E708="","",'1.1 Produksi Bersih Padi 2025'!E708)</f>
        <v/>
      </c>
      <c r="F708" s="28" t="str">
        <f>IF(D708="","",VLOOKUP(D708,'[1]0.1 Produksi Pangan &amp; Penduduk'!$D$5:$S$860,16,0))</f>
        <v/>
      </c>
      <c r="G708" s="28" t="str">
        <f t="shared" si="60"/>
        <v/>
      </c>
      <c r="H708" s="29" t="str">
        <f t="shared" si="61"/>
        <v/>
      </c>
      <c r="I708" s="29" t="str">
        <f t="shared" si="62"/>
        <v/>
      </c>
      <c r="J708" s="29" t="str">
        <f t="shared" si="63"/>
        <v/>
      </c>
      <c r="K708" s="29" t="str">
        <f t="shared" si="64"/>
        <v/>
      </c>
      <c r="L708" s="29" t="str">
        <f t="shared" si="65"/>
        <v/>
      </c>
    </row>
    <row r="709" spans="1:12" ht="15" x14ac:dyDescent="0.25">
      <c r="A709" s="1" t="str">
        <f>IF('1.1 Produksi Bersih Padi 2025'!A709="","",'1.1 Produksi Bersih Padi 2025'!A709)</f>
        <v/>
      </c>
      <c r="B709" s="2" t="str">
        <f>IF('1.1 Produksi Bersih Padi 2025'!B709="","",'1.1 Produksi Bersih Padi 2025'!B709)</f>
        <v/>
      </c>
      <c r="C709" s="2" t="str">
        <f>IF('1.1 Produksi Bersih Padi 2025'!C709="","",'1.1 Produksi Bersih Padi 2025'!C709)</f>
        <v/>
      </c>
      <c r="D709" s="3" t="str">
        <f>IF('1.1 Produksi Bersih Padi 2025'!D709="","",'1.1 Produksi Bersih Padi 2025'!D709)</f>
        <v/>
      </c>
      <c r="E709" s="3" t="str">
        <f>IF('1.1 Produksi Bersih Padi 2025'!E709="","",'1.1 Produksi Bersih Padi 2025'!E709)</f>
        <v/>
      </c>
      <c r="F709" s="28" t="str">
        <f>IF(D709="","",VLOOKUP(D709,'[1]0.1 Produksi Pangan &amp; Penduduk'!$D$5:$S$860,16,0))</f>
        <v/>
      </c>
      <c r="G709" s="28" t="str">
        <f t="shared" si="60"/>
        <v/>
      </c>
      <c r="H709" s="29" t="str">
        <f t="shared" si="61"/>
        <v/>
      </c>
      <c r="I709" s="29" t="str">
        <f t="shared" si="62"/>
        <v/>
      </c>
      <c r="J709" s="29" t="str">
        <f t="shared" si="63"/>
        <v/>
      </c>
      <c r="K709" s="29" t="str">
        <f t="shared" si="64"/>
        <v/>
      </c>
      <c r="L709" s="29" t="str">
        <f t="shared" si="65"/>
        <v/>
      </c>
    </row>
    <row r="710" spans="1:12" ht="15" x14ac:dyDescent="0.25">
      <c r="A710" s="1" t="str">
        <f>IF('1.1 Produksi Bersih Padi 2025'!A710="","",'1.1 Produksi Bersih Padi 2025'!A710)</f>
        <v/>
      </c>
      <c r="B710" s="2" t="str">
        <f>IF('1.1 Produksi Bersih Padi 2025'!B710="","",'1.1 Produksi Bersih Padi 2025'!B710)</f>
        <v/>
      </c>
      <c r="C710" s="2" t="str">
        <f>IF('1.1 Produksi Bersih Padi 2025'!C710="","",'1.1 Produksi Bersih Padi 2025'!C710)</f>
        <v/>
      </c>
      <c r="D710" s="3" t="str">
        <f>IF('1.1 Produksi Bersih Padi 2025'!D710="","",'1.1 Produksi Bersih Padi 2025'!D710)</f>
        <v/>
      </c>
      <c r="E710" s="3" t="str">
        <f>IF('1.1 Produksi Bersih Padi 2025'!E710="","",'1.1 Produksi Bersih Padi 2025'!E710)</f>
        <v/>
      </c>
      <c r="F710" s="28" t="str">
        <f>IF(D710="","",VLOOKUP(D710,'[1]0.1 Produksi Pangan &amp; Penduduk'!$D$5:$S$860,16,0))</f>
        <v/>
      </c>
      <c r="G710" s="28" t="str">
        <f t="shared" ref="G710:G773" si="66">IF(F710="","",F710*73.9252%)</f>
        <v/>
      </c>
      <c r="H710" s="29" t="str">
        <f t="shared" ref="H710:H773" si="67">IF(G710="","",G710*0.345%)</f>
        <v/>
      </c>
      <c r="I710" s="29" t="str">
        <f t="shared" ref="I710:I773" si="68">IF(G710="","",G710*78.806%)</f>
        <v/>
      </c>
      <c r="J710" s="29" t="str">
        <f t="shared" ref="J710:J773" si="69">IF(G710="","",G710*4.62%)</f>
        <v/>
      </c>
      <c r="K710" s="29" t="str">
        <f t="shared" ref="K710:K773" si="70">IF(G710="","",G710-(H710+I710+J710))</f>
        <v/>
      </c>
      <c r="L710" s="29" t="str">
        <f t="shared" ref="L710:L773" si="71">IF(K710="","",K710*1.017)</f>
        <v/>
      </c>
    </row>
    <row r="711" spans="1:12" ht="15" x14ac:dyDescent="0.25">
      <c r="A711" s="1" t="str">
        <f>IF('1.1 Produksi Bersih Padi 2025'!A711="","",'1.1 Produksi Bersih Padi 2025'!A711)</f>
        <v/>
      </c>
      <c r="B711" s="2" t="str">
        <f>IF('1.1 Produksi Bersih Padi 2025'!B711="","",'1.1 Produksi Bersih Padi 2025'!B711)</f>
        <v/>
      </c>
      <c r="C711" s="2" t="str">
        <f>IF('1.1 Produksi Bersih Padi 2025'!C711="","",'1.1 Produksi Bersih Padi 2025'!C711)</f>
        <v/>
      </c>
      <c r="D711" s="3" t="str">
        <f>IF('1.1 Produksi Bersih Padi 2025'!D711="","",'1.1 Produksi Bersih Padi 2025'!D711)</f>
        <v/>
      </c>
      <c r="E711" s="3" t="str">
        <f>IF('1.1 Produksi Bersih Padi 2025'!E711="","",'1.1 Produksi Bersih Padi 2025'!E711)</f>
        <v/>
      </c>
      <c r="F711" s="28" t="str">
        <f>IF(D711="","",VLOOKUP(D711,'[1]0.1 Produksi Pangan &amp; Penduduk'!$D$5:$S$860,16,0))</f>
        <v/>
      </c>
      <c r="G711" s="28" t="str">
        <f t="shared" si="66"/>
        <v/>
      </c>
      <c r="H711" s="29" t="str">
        <f t="shared" si="67"/>
        <v/>
      </c>
      <c r="I711" s="29" t="str">
        <f t="shared" si="68"/>
        <v/>
      </c>
      <c r="J711" s="29" t="str">
        <f t="shared" si="69"/>
        <v/>
      </c>
      <c r="K711" s="29" t="str">
        <f t="shared" si="70"/>
        <v/>
      </c>
      <c r="L711" s="29" t="str">
        <f t="shared" si="71"/>
        <v/>
      </c>
    </row>
    <row r="712" spans="1:12" ht="15" x14ac:dyDescent="0.25">
      <c r="A712" s="1" t="str">
        <f>IF('1.1 Produksi Bersih Padi 2025'!A712="","",'1.1 Produksi Bersih Padi 2025'!A712)</f>
        <v/>
      </c>
      <c r="B712" s="2" t="str">
        <f>IF('1.1 Produksi Bersih Padi 2025'!B712="","",'1.1 Produksi Bersih Padi 2025'!B712)</f>
        <v/>
      </c>
      <c r="C712" s="2" t="str">
        <f>IF('1.1 Produksi Bersih Padi 2025'!C712="","",'1.1 Produksi Bersih Padi 2025'!C712)</f>
        <v/>
      </c>
      <c r="D712" s="3" t="str">
        <f>IF('1.1 Produksi Bersih Padi 2025'!D712="","",'1.1 Produksi Bersih Padi 2025'!D712)</f>
        <v/>
      </c>
      <c r="E712" s="3" t="str">
        <f>IF('1.1 Produksi Bersih Padi 2025'!E712="","",'1.1 Produksi Bersih Padi 2025'!E712)</f>
        <v/>
      </c>
      <c r="F712" s="28" t="str">
        <f>IF(D712="","",VLOOKUP(D712,'[1]0.1 Produksi Pangan &amp; Penduduk'!$D$5:$S$860,16,0))</f>
        <v/>
      </c>
      <c r="G712" s="28" t="str">
        <f t="shared" si="66"/>
        <v/>
      </c>
      <c r="H712" s="29" t="str">
        <f t="shared" si="67"/>
        <v/>
      </c>
      <c r="I712" s="29" t="str">
        <f t="shared" si="68"/>
        <v/>
      </c>
      <c r="J712" s="29" t="str">
        <f t="shared" si="69"/>
        <v/>
      </c>
      <c r="K712" s="29" t="str">
        <f t="shared" si="70"/>
        <v/>
      </c>
      <c r="L712" s="29" t="str">
        <f t="shared" si="71"/>
        <v/>
      </c>
    </row>
    <row r="713" spans="1:12" ht="15" x14ac:dyDescent="0.25">
      <c r="A713" s="1" t="str">
        <f>IF('1.1 Produksi Bersih Padi 2025'!A713="","",'1.1 Produksi Bersih Padi 2025'!A713)</f>
        <v/>
      </c>
      <c r="B713" s="2" t="str">
        <f>IF('1.1 Produksi Bersih Padi 2025'!B713="","",'1.1 Produksi Bersih Padi 2025'!B713)</f>
        <v/>
      </c>
      <c r="C713" s="2" t="str">
        <f>IF('1.1 Produksi Bersih Padi 2025'!C713="","",'1.1 Produksi Bersih Padi 2025'!C713)</f>
        <v/>
      </c>
      <c r="D713" s="3" t="str">
        <f>IF('1.1 Produksi Bersih Padi 2025'!D713="","",'1.1 Produksi Bersih Padi 2025'!D713)</f>
        <v/>
      </c>
      <c r="E713" s="3" t="str">
        <f>IF('1.1 Produksi Bersih Padi 2025'!E713="","",'1.1 Produksi Bersih Padi 2025'!E713)</f>
        <v/>
      </c>
      <c r="F713" s="28" t="str">
        <f>IF(D713="","",VLOOKUP(D713,'[1]0.1 Produksi Pangan &amp; Penduduk'!$D$5:$S$860,16,0))</f>
        <v/>
      </c>
      <c r="G713" s="28" t="str">
        <f t="shared" si="66"/>
        <v/>
      </c>
      <c r="H713" s="29" t="str">
        <f t="shared" si="67"/>
        <v/>
      </c>
      <c r="I713" s="29" t="str">
        <f t="shared" si="68"/>
        <v/>
      </c>
      <c r="J713" s="29" t="str">
        <f t="shared" si="69"/>
        <v/>
      </c>
      <c r="K713" s="29" t="str">
        <f t="shared" si="70"/>
        <v/>
      </c>
      <c r="L713" s="29" t="str">
        <f t="shared" si="71"/>
        <v/>
      </c>
    </row>
    <row r="714" spans="1:12" ht="15" x14ac:dyDescent="0.25">
      <c r="A714" s="1" t="str">
        <f>IF('1.1 Produksi Bersih Padi 2025'!A714="","",'1.1 Produksi Bersih Padi 2025'!A714)</f>
        <v/>
      </c>
      <c r="B714" s="2" t="str">
        <f>IF('1.1 Produksi Bersih Padi 2025'!B714="","",'1.1 Produksi Bersih Padi 2025'!B714)</f>
        <v/>
      </c>
      <c r="C714" s="2" t="str">
        <f>IF('1.1 Produksi Bersih Padi 2025'!C714="","",'1.1 Produksi Bersih Padi 2025'!C714)</f>
        <v/>
      </c>
      <c r="D714" s="3" t="str">
        <f>IF('1.1 Produksi Bersih Padi 2025'!D714="","",'1.1 Produksi Bersih Padi 2025'!D714)</f>
        <v/>
      </c>
      <c r="E714" s="3" t="str">
        <f>IF('1.1 Produksi Bersih Padi 2025'!E714="","",'1.1 Produksi Bersih Padi 2025'!E714)</f>
        <v/>
      </c>
      <c r="F714" s="28" t="str">
        <f>IF(D714="","",VLOOKUP(D714,'[1]0.1 Produksi Pangan &amp; Penduduk'!$D$5:$S$860,16,0))</f>
        <v/>
      </c>
      <c r="G714" s="28" t="str">
        <f t="shared" si="66"/>
        <v/>
      </c>
      <c r="H714" s="29" t="str">
        <f t="shared" si="67"/>
        <v/>
      </c>
      <c r="I714" s="29" t="str">
        <f t="shared" si="68"/>
        <v/>
      </c>
      <c r="J714" s="29" t="str">
        <f t="shared" si="69"/>
        <v/>
      </c>
      <c r="K714" s="29" t="str">
        <f t="shared" si="70"/>
        <v/>
      </c>
      <c r="L714" s="29" t="str">
        <f t="shared" si="71"/>
        <v/>
      </c>
    </row>
    <row r="715" spans="1:12" ht="15" x14ac:dyDescent="0.25">
      <c r="A715" s="1" t="str">
        <f>IF('1.1 Produksi Bersih Padi 2025'!A715="","",'1.1 Produksi Bersih Padi 2025'!A715)</f>
        <v/>
      </c>
      <c r="B715" s="2" t="str">
        <f>IF('1.1 Produksi Bersih Padi 2025'!B715="","",'1.1 Produksi Bersih Padi 2025'!B715)</f>
        <v/>
      </c>
      <c r="C715" s="2" t="str">
        <f>IF('1.1 Produksi Bersih Padi 2025'!C715="","",'1.1 Produksi Bersih Padi 2025'!C715)</f>
        <v/>
      </c>
      <c r="D715" s="3" t="str">
        <f>IF('1.1 Produksi Bersih Padi 2025'!D715="","",'1.1 Produksi Bersih Padi 2025'!D715)</f>
        <v/>
      </c>
      <c r="E715" s="3" t="str">
        <f>IF('1.1 Produksi Bersih Padi 2025'!E715="","",'1.1 Produksi Bersih Padi 2025'!E715)</f>
        <v/>
      </c>
      <c r="F715" s="28" t="str">
        <f>IF(D715="","",VLOOKUP(D715,'[1]0.1 Produksi Pangan &amp; Penduduk'!$D$5:$S$860,16,0))</f>
        <v/>
      </c>
      <c r="G715" s="28" t="str">
        <f t="shared" si="66"/>
        <v/>
      </c>
      <c r="H715" s="29" t="str">
        <f t="shared" si="67"/>
        <v/>
      </c>
      <c r="I715" s="29" t="str">
        <f t="shared" si="68"/>
        <v/>
      </c>
      <c r="J715" s="29" t="str">
        <f t="shared" si="69"/>
        <v/>
      </c>
      <c r="K715" s="29" t="str">
        <f t="shared" si="70"/>
        <v/>
      </c>
      <c r="L715" s="29" t="str">
        <f t="shared" si="71"/>
        <v/>
      </c>
    </row>
    <row r="716" spans="1:12" ht="15" x14ac:dyDescent="0.25">
      <c r="A716" s="1" t="str">
        <f>IF('1.1 Produksi Bersih Padi 2025'!A716="","",'1.1 Produksi Bersih Padi 2025'!A716)</f>
        <v/>
      </c>
      <c r="B716" s="2" t="str">
        <f>IF('1.1 Produksi Bersih Padi 2025'!B716="","",'1.1 Produksi Bersih Padi 2025'!B716)</f>
        <v/>
      </c>
      <c r="C716" s="2" t="str">
        <f>IF('1.1 Produksi Bersih Padi 2025'!C716="","",'1.1 Produksi Bersih Padi 2025'!C716)</f>
        <v/>
      </c>
      <c r="D716" s="3" t="str">
        <f>IF('1.1 Produksi Bersih Padi 2025'!D716="","",'1.1 Produksi Bersih Padi 2025'!D716)</f>
        <v/>
      </c>
      <c r="E716" s="3" t="str">
        <f>IF('1.1 Produksi Bersih Padi 2025'!E716="","",'1.1 Produksi Bersih Padi 2025'!E716)</f>
        <v/>
      </c>
      <c r="F716" s="28" t="str">
        <f>IF(D716="","",VLOOKUP(D716,'[1]0.1 Produksi Pangan &amp; Penduduk'!$D$5:$S$860,16,0))</f>
        <v/>
      </c>
      <c r="G716" s="28" t="str">
        <f t="shared" si="66"/>
        <v/>
      </c>
      <c r="H716" s="29" t="str">
        <f t="shared" si="67"/>
        <v/>
      </c>
      <c r="I716" s="29" t="str">
        <f t="shared" si="68"/>
        <v/>
      </c>
      <c r="J716" s="29" t="str">
        <f t="shared" si="69"/>
        <v/>
      </c>
      <c r="K716" s="29" t="str">
        <f t="shared" si="70"/>
        <v/>
      </c>
      <c r="L716" s="29" t="str">
        <f t="shared" si="71"/>
        <v/>
      </c>
    </row>
    <row r="717" spans="1:12" ht="15" x14ac:dyDescent="0.25">
      <c r="A717" s="1" t="str">
        <f>IF('1.1 Produksi Bersih Padi 2025'!A717="","",'1.1 Produksi Bersih Padi 2025'!A717)</f>
        <v/>
      </c>
      <c r="B717" s="2" t="str">
        <f>IF('1.1 Produksi Bersih Padi 2025'!B717="","",'1.1 Produksi Bersih Padi 2025'!B717)</f>
        <v/>
      </c>
      <c r="C717" s="2" t="str">
        <f>IF('1.1 Produksi Bersih Padi 2025'!C717="","",'1.1 Produksi Bersih Padi 2025'!C717)</f>
        <v/>
      </c>
      <c r="D717" s="3" t="str">
        <f>IF('1.1 Produksi Bersih Padi 2025'!D717="","",'1.1 Produksi Bersih Padi 2025'!D717)</f>
        <v/>
      </c>
      <c r="E717" s="3" t="str">
        <f>IF('1.1 Produksi Bersih Padi 2025'!E717="","",'1.1 Produksi Bersih Padi 2025'!E717)</f>
        <v/>
      </c>
      <c r="F717" s="28" t="str">
        <f>IF(D717="","",VLOOKUP(D717,'[1]0.1 Produksi Pangan &amp; Penduduk'!$D$5:$S$860,16,0))</f>
        <v/>
      </c>
      <c r="G717" s="28" t="str">
        <f t="shared" si="66"/>
        <v/>
      </c>
      <c r="H717" s="29" t="str">
        <f t="shared" si="67"/>
        <v/>
      </c>
      <c r="I717" s="29" t="str">
        <f t="shared" si="68"/>
        <v/>
      </c>
      <c r="J717" s="29" t="str">
        <f t="shared" si="69"/>
        <v/>
      </c>
      <c r="K717" s="29" t="str">
        <f t="shared" si="70"/>
        <v/>
      </c>
      <c r="L717" s="29" t="str">
        <f t="shared" si="71"/>
        <v/>
      </c>
    </row>
    <row r="718" spans="1:12" ht="15" x14ac:dyDescent="0.25">
      <c r="A718" s="1" t="str">
        <f>IF('1.1 Produksi Bersih Padi 2025'!A718="","",'1.1 Produksi Bersih Padi 2025'!A718)</f>
        <v/>
      </c>
      <c r="B718" s="2" t="str">
        <f>IF('1.1 Produksi Bersih Padi 2025'!B718="","",'1.1 Produksi Bersih Padi 2025'!B718)</f>
        <v/>
      </c>
      <c r="C718" s="2" t="str">
        <f>IF('1.1 Produksi Bersih Padi 2025'!C718="","",'1.1 Produksi Bersih Padi 2025'!C718)</f>
        <v/>
      </c>
      <c r="D718" s="3" t="str">
        <f>IF('1.1 Produksi Bersih Padi 2025'!D718="","",'1.1 Produksi Bersih Padi 2025'!D718)</f>
        <v/>
      </c>
      <c r="E718" s="3" t="str">
        <f>IF('1.1 Produksi Bersih Padi 2025'!E718="","",'1.1 Produksi Bersih Padi 2025'!E718)</f>
        <v/>
      </c>
      <c r="F718" s="28" t="str">
        <f>IF(D718="","",VLOOKUP(D718,'[1]0.1 Produksi Pangan &amp; Penduduk'!$D$5:$S$860,16,0))</f>
        <v/>
      </c>
      <c r="G718" s="28" t="str">
        <f t="shared" si="66"/>
        <v/>
      </c>
      <c r="H718" s="29" t="str">
        <f t="shared" si="67"/>
        <v/>
      </c>
      <c r="I718" s="29" t="str">
        <f t="shared" si="68"/>
        <v/>
      </c>
      <c r="J718" s="29" t="str">
        <f t="shared" si="69"/>
        <v/>
      </c>
      <c r="K718" s="29" t="str">
        <f t="shared" si="70"/>
        <v/>
      </c>
      <c r="L718" s="29" t="str">
        <f t="shared" si="71"/>
        <v/>
      </c>
    </row>
    <row r="719" spans="1:12" ht="15" x14ac:dyDescent="0.25">
      <c r="A719" s="1" t="str">
        <f>IF('1.1 Produksi Bersih Padi 2025'!A719="","",'1.1 Produksi Bersih Padi 2025'!A719)</f>
        <v/>
      </c>
      <c r="B719" s="2" t="str">
        <f>IF('1.1 Produksi Bersih Padi 2025'!B719="","",'1.1 Produksi Bersih Padi 2025'!B719)</f>
        <v/>
      </c>
      <c r="C719" s="2" t="str">
        <f>IF('1.1 Produksi Bersih Padi 2025'!C719="","",'1.1 Produksi Bersih Padi 2025'!C719)</f>
        <v/>
      </c>
      <c r="D719" s="3" t="str">
        <f>IF('1.1 Produksi Bersih Padi 2025'!D719="","",'1.1 Produksi Bersih Padi 2025'!D719)</f>
        <v/>
      </c>
      <c r="E719" s="3" t="str">
        <f>IF('1.1 Produksi Bersih Padi 2025'!E719="","",'1.1 Produksi Bersih Padi 2025'!E719)</f>
        <v/>
      </c>
      <c r="F719" s="28" t="str">
        <f>IF(D719="","",VLOOKUP(D719,'[1]0.1 Produksi Pangan &amp; Penduduk'!$D$5:$S$860,16,0))</f>
        <v/>
      </c>
      <c r="G719" s="28" t="str">
        <f t="shared" si="66"/>
        <v/>
      </c>
      <c r="H719" s="29" t="str">
        <f t="shared" si="67"/>
        <v/>
      </c>
      <c r="I719" s="29" t="str">
        <f t="shared" si="68"/>
        <v/>
      </c>
      <c r="J719" s="29" t="str">
        <f t="shared" si="69"/>
        <v/>
      </c>
      <c r="K719" s="29" t="str">
        <f t="shared" si="70"/>
        <v/>
      </c>
      <c r="L719" s="29" t="str">
        <f t="shared" si="71"/>
        <v/>
      </c>
    </row>
    <row r="720" spans="1:12" ht="15" x14ac:dyDescent="0.25">
      <c r="A720" s="1" t="str">
        <f>IF('1.1 Produksi Bersih Padi 2025'!A720="","",'1.1 Produksi Bersih Padi 2025'!A720)</f>
        <v/>
      </c>
      <c r="B720" s="2" t="str">
        <f>IF('1.1 Produksi Bersih Padi 2025'!B720="","",'1.1 Produksi Bersih Padi 2025'!B720)</f>
        <v/>
      </c>
      <c r="C720" s="2" t="str">
        <f>IF('1.1 Produksi Bersih Padi 2025'!C720="","",'1.1 Produksi Bersih Padi 2025'!C720)</f>
        <v/>
      </c>
      <c r="D720" s="3" t="str">
        <f>IF('1.1 Produksi Bersih Padi 2025'!D720="","",'1.1 Produksi Bersih Padi 2025'!D720)</f>
        <v/>
      </c>
      <c r="E720" s="3" t="str">
        <f>IF('1.1 Produksi Bersih Padi 2025'!E720="","",'1.1 Produksi Bersih Padi 2025'!E720)</f>
        <v/>
      </c>
      <c r="F720" s="28" t="str">
        <f>IF(D720="","",VLOOKUP(D720,'[1]0.1 Produksi Pangan &amp; Penduduk'!$D$5:$S$860,16,0))</f>
        <v/>
      </c>
      <c r="G720" s="28" t="str">
        <f t="shared" si="66"/>
        <v/>
      </c>
      <c r="H720" s="29" t="str">
        <f t="shared" si="67"/>
        <v/>
      </c>
      <c r="I720" s="29" t="str">
        <f t="shared" si="68"/>
        <v/>
      </c>
      <c r="J720" s="29" t="str">
        <f t="shared" si="69"/>
        <v/>
      </c>
      <c r="K720" s="29" t="str">
        <f t="shared" si="70"/>
        <v/>
      </c>
      <c r="L720" s="29" t="str">
        <f t="shared" si="71"/>
        <v/>
      </c>
    </row>
    <row r="721" spans="1:12" ht="15" x14ac:dyDescent="0.25">
      <c r="A721" s="1" t="str">
        <f>IF('1.1 Produksi Bersih Padi 2025'!A721="","",'1.1 Produksi Bersih Padi 2025'!A721)</f>
        <v/>
      </c>
      <c r="B721" s="2" t="str">
        <f>IF('1.1 Produksi Bersih Padi 2025'!B721="","",'1.1 Produksi Bersih Padi 2025'!B721)</f>
        <v/>
      </c>
      <c r="C721" s="2" t="str">
        <f>IF('1.1 Produksi Bersih Padi 2025'!C721="","",'1.1 Produksi Bersih Padi 2025'!C721)</f>
        <v/>
      </c>
      <c r="D721" s="3" t="str">
        <f>IF('1.1 Produksi Bersih Padi 2025'!D721="","",'1.1 Produksi Bersih Padi 2025'!D721)</f>
        <v/>
      </c>
      <c r="E721" s="3" t="str">
        <f>IF('1.1 Produksi Bersih Padi 2025'!E721="","",'1.1 Produksi Bersih Padi 2025'!E721)</f>
        <v/>
      </c>
      <c r="F721" s="28" t="str">
        <f>IF(D721="","",VLOOKUP(D721,'[1]0.1 Produksi Pangan &amp; Penduduk'!$D$5:$S$860,16,0))</f>
        <v/>
      </c>
      <c r="G721" s="28" t="str">
        <f t="shared" si="66"/>
        <v/>
      </c>
      <c r="H721" s="29" t="str">
        <f t="shared" si="67"/>
        <v/>
      </c>
      <c r="I721" s="29" t="str">
        <f t="shared" si="68"/>
        <v/>
      </c>
      <c r="J721" s="29" t="str">
        <f t="shared" si="69"/>
        <v/>
      </c>
      <c r="K721" s="29" t="str">
        <f t="shared" si="70"/>
        <v/>
      </c>
      <c r="L721" s="29" t="str">
        <f t="shared" si="71"/>
        <v/>
      </c>
    </row>
    <row r="722" spans="1:12" ht="15" x14ac:dyDescent="0.25">
      <c r="A722" s="1" t="str">
        <f>IF('1.1 Produksi Bersih Padi 2025'!A722="","",'1.1 Produksi Bersih Padi 2025'!A722)</f>
        <v/>
      </c>
      <c r="B722" s="2" t="str">
        <f>IF('1.1 Produksi Bersih Padi 2025'!B722="","",'1.1 Produksi Bersih Padi 2025'!B722)</f>
        <v/>
      </c>
      <c r="C722" s="2" t="str">
        <f>IF('1.1 Produksi Bersih Padi 2025'!C722="","",'1.1 Produksi Bersih Padi 2025'!C722)</f>
        <v/>
      </c>
      <c r="D722" s="3" t="str">
        <f>IF('1.1 Produksi Bersih Padi 2025'!D722="","",'1.1 Produksi Bersih Padi 2025'!D722)</f>
        <v/>
      </c>
      <c r="E722" s="3" t="str">
        <f>IF('1.1 Produksi Bersih Padi 2025'!E722="","",'1.1 Produksi Bersih Padi 2025'!E722)</f>
        <v/>
      </c>
      <c r="F722" s="28" t="str">
        <f>IF(D722="","",VLOOKUP(D722,'[1]0.1 Produksi Pangan &amp; Penduduk'!$D$5:$S$860,16,0))</f>
        <v/>
      </c>
      <c r="G722" s="28" t="str">
        <f t="shared" si="66"/>
        <v/>
      </c>
      <c r="H722" s="29" t="str">
        <f t="shared" si="67"/>
        <v/>
      </c>
      <c r="I722" s="29" t="str">
        <f t="shared" si="68"/>
        <v/>
      </c>
      <c r="J722" s="29" t="str">
        <f t="shared" si="69"/>
        <v/>
      </c>
      <c r="K722" s="29" t="str">
        <f t="shared" si="70"/>
        <v/>
      </c>
      <c r="L722" s="29" t="str">
        <f t="shared" si="71"/>
        <v/>
      </c>
    </row>
    <row r="723" spans="1:12" ht="15" x14ac:dyDescent="0.25">
      <c r="A723" s="1" t="str">
        <f>IF('1.1 Produksi Bersih Padi 2025'!A723="","",'1.1 Produksi Bersih Padi 2025'!A723)</f>
        <v/>
      </c>
      <c r="B723" s="2" t="str">
        <f>IF('1.1 Produksi Bersih Padi 2025'!B723="","",'1.1 Produksi Bersih Padi 2025'!B723)</f>
        <v/>
      </c>
      <c r="C723" s="2" t="str">
        <f>IF('1.1 Produksi Bersih Padi 2025'!C723="","",'1.1 Produksi Bersih Padi 2025'!C723)</f>
        <v/>
      </c>
      <c r="D723" s="3" t="str">
        <f>IF('1.1 Produksi Bersih Padi 2025'!D723="","",'1.1 Produksi Bersih Padi 2025'!D723)</f>
        <v/>
      </c>
      <c r="E723" s="3" t="str">
        <f>IF('1.1 Produksi Bersih Padi 2025'!E723="","",'1.1 Produksi Bersih Padi 2025'!E723)</f>
        <v/>
      </c>
      <c r="F723" s="28" t="str">
        <f>IF(D723="","",VLOOKUP(D723,'[1]0.1 Produksi Pangan &amp; Penduduk'!$D$5:$S$860,16,0))</f>
        <v/>
      </c>
      <c r="G723" s="28" t="str">
        <f t="shared" si="66"/>
        <v/>
      </c>
      <c r="H723" s="29" t="str">
        <f t="shared" si="67"/>
        <v/>
      </c>
      <c r="I723" s="29" t="str">
        <f t="shared" si="68"/>
        <v/>
      </c>
      <c r="J723" s="29" t="str">
        <f t="shared" si="69"/>
        <v/>
      </c>
      <c r="K723" s="29" t="str">
        <f t="shared" si="70"/>
        <v/>
      </c>
      <c r="L723" s="29" t="str">
        <f t="shared" si="71"/>
        <v/>
      </c>
    </row>
    <row r="724" spans="1:12" ht="15" x14ac:dyDescent="0.25">
      <c r="A724" s="1" t="str">
        <f>IF('1.1 Produksi Bersih Padi 2025'!A724="","",'1.1 Produksi Bersih Padi 2025'!A724)</f>
        <v/>
      </c>
      <c r="B724" s="2" t="str">
        <f>IF('1.1 Produksi Bersih Padi 2025'!B724="","",'1.1 Produksi Bersih Padi 2025'!B724)</f>
        <v/>
      </c>
      <c r="C724" s="2" t="str">
        <f>IF('1.1 Produksi Bersih Padi 2025'!C724="","",'1.1 Produksi Bersih Padi 2025'!C724)</f>
        <v/>
      </c>
      <c r="D724" s="3" t="str">
        <f>IF('1.1 Produksi Bersih Padi 2025'!D724="","",'1.1 Produksi Bersih Padi 2025'!D724)</f>
        <v/>
      </c>
      <c r="E724" s="3" t="str">
        <f>IF('1.1 Produksi Bersih Padi 2025'!E724="","",'1.1 Produksi Bersih Padi 2025'!E724)</f>
        <v/>
      </c>
      <c r="F724" s="28" t="str">
        <f>IF(D724="","",VLOOKUP(D724,'[1]0.1 Produksi Pangan &amp; Penduduk'!$D$5:$S$860,16,0))</f>
        <v/>
      </c>
      <c r="G724" s="28" t="str">
        <f t="shared" si="66"/>
        <v/>
      </c>
      <c r="H724" s="29" t="str">
        <f t="shared" si="67"/>
        <v/>
      </c>
      <c r="I724" s="29" t="str">
        <f t="shared" si="68"/>
        <v/>
      </c>
      <c r="J724" s="29" t="str">
        <f t="shared" si="69"/>
        <v/>
      </c>
      <c r="K724" s="29" t="str">
        <f t="shared" si="70"/>
        <v/>
      </c>
      <c r="L724" s="29" t="str">
        <f t="shared" si="71"/>
        <v/>
      </c>
    </row>
    <row r="725" spans="1:12" ht="15" x14ac:dyDescent="0.25">
      <c r="A725" s="1" t="str">
        <f>IF('1.1 Produksi Bersih Padi 2025'!A725="","",'1.1 Produksi Bersih Padi 2025'!A725)</f>
        <v/>
      </c>
      <c r="B725" s="2" t="str">
        <f>IF('1.1 Produksi Bersih Padi 2025'!B725="","",'1.1 Produksi Bersih Padi 2025'!B725)</f>
        <v/>
      </c>
      <c r="C725" s="2" t="str">
        <f>IF('1.1 Produksi Bersih Padi 2025'!C725="","",'1.1 Produksi Bersih Padi 2025'!C725)</f>
        <v/>
      </c>
      <c r="D725" s="3" t="str">
        <f>IF('1.1 Produksi Bersih Padi 2025'!D725="","",'1.1 Produksi Bersih Padi 2025'!D725)</f>
        <v/>
      </c>
      <c r="E725" s="3" t="str">
        <f>IF('1.1 Produksi Bersih Padi 2025'!E725="","",'1.1 Produksi Bersih Padi 2025'!E725)</f>
        <v/>
      </c>
      <c r="F725" s="28" t="str">
        <f>IF(D725="","",VLOOKUP(D725,'[1]0.1 Produksi Pangan &amp; Penduduk'!$D$5:$S$860,16,0))</f>
        <v/>
      </c>
      <c r="G725" s="28" t="str">
        <f t="shared" si="66"/>
        <v/>
      </c>
      <c r="H725" s="29" t="str">
        <f t="shared" si="67"/>
        <v/>
      </c>
      <c r="I725" s="29" t="str">
        <f t="shared" si="68"/>
        <v/>
      </c>
      <c r="J725" s="29" t="str">
        <f t="shared" si="69"/>
        <v/>
      </c>
      <c r="K725" s="29" t="str">
        <f t="shared" si="70"/>
        <v/>
      </c>
      <c r="L725" s="29" t="str">
        <f t="shared" si="71"/>
        <v/>
      </c>
    </row>
    <row r="726" spans="1:12" ht="15" x14ac:dyDescent="0.25">
      <c r="A726" s="1" t="str">
        <f>IF('1.1 Produksi Bersih Padi 2025'!A726="","",'1.1 Produksi Bersih Padi 2025'!A726)</f>
        <v/>
      </c>
      <c r="B726" s="2" t="str">
        <f>IF('1.1 Produksi Bersih Padi 2025'!B726="","",'1.1 Produksi Bersih Padi 2025'!B726)</f>
        <v/>
      </c>
      <c r="C726" s="2" t="str">
        <f>IF('1.1 Produksi Bersih Padi 2025'!C726="","",'1.1 Produksi Bersih Padi 2025'!C726)</f>
        <v/>
      </c>
      <c r="D726" s="3" t="str">
        <f>IF('1.1 Produksi Bersih Padi 2025'!D726="","",'1.1 Produksi Bersih Padi 2025'!D726)</f>
        <v/>
      </c>
      <c r="E726" s="3" t="str">
        <f>IF('1.1 Produksi Bersih Padi 2025'!E726="","",'1.1 Produksi Bersih Padi 2025'!E726)</f>
        <v/>
      </c>
      <c r="F726" s="28" t="str">
        <f>IF(D726="","",VLOOKUP(D726,'[1]0.1 Produksi Pangan &amp; Penduduk'!$D$5:$S$860,16,0))</f>
        <v/>
      </c>
      <c r="G726" s="28" t="str">
        <f t="shared" si="66"/>
        <v/>
      </c>
      <c r="H726" s="29" t="str">
        <f t="shared" si="67"/>
        <v/>
      </c>
      <c r="I726" s="29" t="str">
        <f t="shared" si="68"/>
        <v/>
      </c>
      <c r="J726" s="29" t="str">
        <f t="shared" si="69"/>
        <v/>
      </c>
      <c r="K726" s="29" t="str">
        <f t="shared" si="70"/>
        <v/>
      </c>
      <c r="L726" s="29" t="str">
        <f t="shared" si="71"/>
        <v/>
      </c>
    </row>
    <row r="727" spans="1:12" ht="15" x14ac:dyDescent="0.25">
      <c r="A727" s="1" t="str">
        <f>IF('1.1 Produksi Bersih Padi 2025'!A727="","",'1.1 Produksi Bersih Padi 2025'!A727)</f>
        <v/>
      </c>
      <c r="B727" s="2" t="str">
        <f>IF('1.1 Produksi Bersih Padi 2025'!B727="","",'1.1 Produksi Bersih Padi 2025'!B727)</f>
        <v/>
      </c>
      <c r="C727" s="2" t="str">
        <f>IF('1.1 Produksi Bersih Padi 2025'!C727="","",'1.1 Produksi Bersih Padi 2025'!C727)</f>
        <v/>
      </c>
      <c r="D727" s="3" t="str">
        <f>IF('1.1 Produksi Bersih Padi 2025'!D727="","",'1.1 Produksi Bersih Padi 2025'!D727)</f>
        <v/>
      </c>
      <c r="E727" s="3" t="str">
        <f>IF('1.1 Produksi Bersih Padi 2025'!E727="","",'1.1 Produksi Bersih Padi 2025'!E727)</f>
        <v/>
      </c>
      <c r="F727" s="28" t="str">
        <f>IF(D727="","",VLOOKUP(D727,'[1]0.1 Produksi Pangan &amp; Penduduk'!$D$5:$S$860,16,0))</f>
        <v/>
      </c>
      <c r="G727" s="28" t="str">
        <f t="shared" si="66"/>
        <v/>
      </c>
      <c r="H727" s="29" t="str">
        <f t="shared" si="67"/>
        <v/>
      </c>
      <c r="I727" s="29" t="str">
        <f t="shared" si="68"/>
        <v/>
      </c>
      <c r="J727" s="29" t="str">
        <f t="shared" si="69"/>
        <v/>
      </c>
      <c r="K727" s="29" t="str">
        <f t="shared" si="70"/>
        <v/>
      </c>
      <c r="L727" s="29" t="str">
        <f t="shared" si="71"/>
        <v/>
      </c>
    </row>
    <row r="728" spans="1:12" ht="15" x14ac:dyDescent="0.25">
      <c r="A728" s="1" t="str">
        <f>IF('1.1 Produksi Bersih Padi 2025'!A728="","",'1.1 Produksi Bersih Padi 2025'!A728)</f>
        <v/>
      </c>
      <c r="B728" s="2" t="str">
        <f>IF('1.1 Produksi Bersih Padi 2025'!B728="","",'1.1 Produksi Bersih Padi 2025'!B728)</f>
        <v/>
      </c>
      <c r="C728" s="2" t="str">
        <f>IF('1.1 Produksi Bersih Padi 2025'!C728="","",'1.1 Produksi Bersih Padi 2025'!C728)</f>
        <v/>
      </c>
      <c r="D728" s="3" t="str">
        <f>IF('1.1 Produksi Bersih Padi 2025'!D728="","",'1.1 Produksi Bersih Padi 2025'!D728)</f>
        <v/>
      </c>
      <c r="E728" s="3" t="str">
        <f>IF('1.1 Produksi Bersih Padi 2025'!E728="","",'1.1 Produksi Bersih Padi 2025'!E728)</f>
        <v/>
      </c>
      <c r="F728" s="28" t="str">
        <f>IF(D728="","",VLOOKUP(D728,'[1]0.1 Produksi Pangan &amp; Penduduk'!$D$5:$S$860,16,0))</f>
        <v/>
      </c>
      <c r="G728" s="28" t="str">
        <f t="shared" si="66"/>
        <v/>
      </c>
      <c r="H728" s="29" t="str">
        <f t="shared" si="67"/>
        <v/>
      </c>
      <c r="I728" s="29" t="str">
        <f t="shared" si="68"/>
        <v/>
      </c>
      <c r="J728" s="29" t="str">
        <f t="shared" si="69"/>
        <v/>
      </c>
      <c r="K728" s="29" t="str">
        <f t="shared" si="70"/>
        <v/>
      </c>
      <c r="L728" s="29" t="str">
        <f t="shared" si="71"/>
        <v/>
      </c>
    </row>
    <row r="729" spans="1:12" ht="15" x14ac:dyDescent="0.25">
      <c r="A729" s="1" t="str">
        <f>IF('1.1 Produksi Bersih Padi 2025'!A729="","",'1.1 Produksi Bersih Padi 2025'!A729)</f>
        <v/>
      </c>
      <c r="B729" s="2" t="str">
        <f>IF('1.1 Produksi Bersih Padi 2025'!B729="","",'1.1 Produksi Bersih Padi 2025'!B729)</f>
        <v/>
      </c>
      <c r="C729" s="2" t="str">
        <f>IF('1.1 Produksi Bersih Padi 2025'!C729="","",'1.1 Produksi Bersih Padi 2025'!C729)</f>
        <v/>
      </c>
      <c r="D729" s="3" t="str">
        <f>IF('1.1 Produksi Bersih Padi 2025'!D729="","",'1.1 Produksi Bersih Padi 2025'!D729)</f>
        <v/>
      </c>
      <c r="E729" s="3" t="str">
        <f>IF('1.1 Produksi Bersih Padi 2025'!E729="","",'1.1 Produksi Bersih Padi 2025'!E729)</f>
        <v/>
      </c>
      <c r="F729" s="28" t="str">
        <f>IF(D729="","",VLOOKUP(D729,'[1]0.1 Produksi Pangan &amp; Penduduk'!$D$5:$S$860,16,0))</f>
        <v/>
      </c>
      <c r="G729" s="28" t="str">
        <f t="shared" si="66"/>
        <v/>
      </c>
      <c r="H729" s="29" t="str">
        <f t="shared" si="67"/>
        <v/>
      </c>
      <c r="I729" s="29" t="str">
        <f t="shared" si="68"/>
        <v/>
      </c>
      <c r="J729" s="29" t="str">
        <f t="shared" si="69"/>
        <v/>
      </c>
      <c r="K729" s="29" t="str">
        <f t="shared" si="70"/>
        <v/>
      </c>
      <c r="L729" s="29" t="str">
        <f t="shared" si="71"/>
        <v/>
      </c>
    </row>
    <row r="730" spans="1:12" ht="15" x14ac:dyDescent="0.25">
      <c r="A730" s="1" t="str">
        <f>IF('1.1 Produksi Bersih Padi 2025'!A730="","",'1.1 Produksi Bersih Padi 2025'!A730)</f>
        <v/>
      </c>
      <c r="B730" s="2" t="str">
        <f>IF('1.1 Produksi Bersih Padi 2025'!B730="","",'1.1 Produksi Bersih Padi 2025'!B730)</f>
        <v/>
      </c>
      <c r="C730" s="2" t="str">
        <f>IF('1.1 Produksi Bersih Padi 2025'!C730="","",'1.1 Produksi Bersih Padi 2025'!C730)</f>
        <v/>
      </c>
      <c r="D730" s="3" t="str">
        <f>IF('1.1 Produksi Bersih Padi 2025'!D730="","",'1.1 Produksi Bersih Padi 2025'!D730)</f>
        <v/>
      </c>
      <c r="E730" s="3" t="str">
        <f>IF('1.1 Produksi Bersih Padi 2025'!E730="","",'1.1 Produksi Bersih Padi 2025'!E730)</f>
        <v/>
      </c>
      <c r="F730" s="28" t="str">
        <f>IF(D730="","",VLOOKUP(D730,'[1]0.1 Produksi Pangan &amp; Penduduk'!$D$5:$S$860,16,0))</f>
        <v/>
      </c>
      <c r="G730" s="28" t="str">
        <f t="shared" si="66"/>
        <v/>
      </c>
      <c r="H730" s="29" t="str">
        <f t="shared" si="67"/>
        <v/>
      </c>
      <c r="I730" s="29" t="str">
        <f t="shared" si="68"/>
        <v/>
      </c>
      <c r="J730" s="29" t="str">
        <f t="shared" si="69"/>
        <v/>
      </c>
      <c r="K730" s="29" t="str">
        <f t="shared" si="70"/>
        <v/>
      </c>
      <c r="L730" s="29" t="str">
        <f t="shared" si="71"/>
        <v/>
      </c>
    </row>
    <row r="731" spans="1:12" ht="15" x14ac:dyDescent="0.25">
      <c r="A731" s="1" t="str">
        <f>IF('1.1 Produksi Bersih Padi 2025'!A731="","",'1.1 Produksi Bersih Padi 2025'!A731)</f>
        <v/>
      </c>
      <c r="B731" s="2" t="str">
        <f>IF('1.1 Produksi Bersih Padi 2025'!B731="","",'1.1 Produksi Bersih Padi 2025'!B731)</f>
        <v/>
      </c>
      <c r="C731" s="2" t="str">
        <f>IF('1.1 Produksi Bersih Padi 2025'!C731="","",'1.1 Produksi Bersih Padi 2025'!C731)</f>
        <v/>
      </c>
      <c r="D731" s="3" t="str">
        <f>IF('1.1 Produksi Bersih Padi 2025'!D731="","",'1.1 Produksi Bersih Padi 2025'!D731)</f>
        <v/>
      </c>
      <c r="E731" s="3" t="str">
        <f>IF('1.1 Produksi Bersih Padi 2025'!E731="","",'1.1 Produksi Bersih Padi 2025'!E731)</f>
        <v/>
      </c>
      <c r="F731" s="28" t="str">
        <f>IF(D731="","",VLOOKUP(D731,'[1]0.1 Produksi Pangan &amp; Penduduk'!$D$5:$S$860,16,0))</f>
        <v/>
      </c>
      <c r="G731" s="28" t="str">
        <f t="shared" si="66"/>
        <v/>
      </c>
      <c r="H731" s="29" t="str">
        <f t="shared" si="67"/>
        <v/>
      </c>
      <c r="I731" s="29" t="str">
        <f t="shared" si="68"/>
        <v/>
      </c>
      <c r="J731" s="29" t="str">
        <f t="shared" si="69"/>
        <v/>
      </c>
      <c r="K731" s="29" t="str">
        <f t="shared" si="70"/>
        <v/>
      </c>
      <c r="L731" s="29" t="str">
        <f t="shared" si="71"/>
        <v/>
      </c>
    </row>
    <row r="732" spans="1:12" ht="15" x14ac:dyDescent="0.25">
      <c r="A732" s="1" t="str">
        <f>IF('1.1 Produksi Bersih Padi 2025'!A732="","",'1.1 Produksi Bersih Padi 2025'!A732)</f>
        <v/>
      </c>
      <c r="B732" s="2" t="str">
        <f>IF('1.1 Produksi Bersih Padi 2025'!B732="","",'1.1 Produksi Bersih Padi 2025'!B732)</f>
        <v/>
      </c>
      <c r="C732" s="2" t="str">
        <f>IF('1.1 Produksi Bersih Padi 2025'!C732="","",'1.1 Produksi Bersih Padi 2025'!C732)</f>
        <v/>
      </c>
      <c r="D732" s="3" t="str">
        <f>IF('1.1 Produksi Bersih Padi 2025'!D732="","",'1.1 Produksi Bersih Padi 2025'!D732)</f>
        <v/>
      </c>
      <c r="E732" s="3" t="str">
        <f>IF('1.1 Produksi Bersih Padi 2025'!E732="","",'1.1 Produksi Bersih Padi 2025'!E732)</f>
        <v/>
      </c>
      <c r="F732" s="28" t="str">
        <f>IF(D732="","",VLOOKUP(D732,'[1]0.1 Produksi Pangan &amp; Penduduk'!$D$5:$S$860,16,0))</f>
        <v/>
      </c>
      <c r="G732" s="28" t="str">
        <f t="shared" si="66"/>
        <v/>
      </c>
      <c r="H732" s="29" t="str">
        <f t="shared" si="67"/>
        <v/>
      </c>
      <c r="I732" s="29" t="str">
        <f t="shared" si="68"/>
        <v/>
      </c>
      <c r="J732" s="29" t="str">
        <f t="shared" si="69"/>
        <v/>
      </c>
      <c r="K732" s="29" t="str">
        <f t="shared" si="70"/>
        <v/>
      </c>
      <c r="L732" s="29" t="str">
        <f t="shared" si="71"/>
        <v/>
      </c>
    </row>
    <row r="733" spans="1:12" ht="15" x14ac:dyDescent="0.25">
      <c r="A733" s="1" t="str">
        <f>IF('1.1 Produksi Bersih Padi 2025'!A733="","",'1.1 Produksi Bersih Padi 2025'!A733)</f>
        <v/>
      </c>
      <c r="B733" s="2" t="str">
        <f>IF('1.1 Produksi Bersih Padi 2025'!B733="","",'1.1 Produksi Bersih Padi 2025'!B733)</f>
        <v/>
      </c>
      <c r="C733" s="2" t="str">
        <f>IF('1.1 Produksi Bersih Padi 2025'!C733="","",'1.1 Produksi Bersih Padi 2025'!C733)</f>
        <v/>
      </c>
      <c r="D733" s="3" t="str">
        <f>IF('1.1 Produksi Bersih Padi 2025'!D733="","",'1.1 Produksi Bersih Padi 2025'!D733)</f>
        <v/>
      </c>
      <c r="E733" s="3" t="str">
        <f>IF('1.1 Produksi Bersih Padi 2025'!E733="","",'1.1 Produksi Bersih Padi 2025'!E733)</f>
        <v/>
      </c>
      <c r="F733" s="28" t="str">
        <f>IF(D733="","",VLOOKUP(D733,'[1]0.1 Produksi Pangan &amp; Penduduk'!$D$5:$S$860,16,0))</f>
        <v/>
      </c>
      <c r="G733" s="28" t="str">
        <f t="shared" si="66"/>
        <v/>
      </c>
      <c r="H733" s="29" t="str">
        <f t="shared" si="67"/>
        <v/>
      </c>
      <c r="I733" s="29" t="str">
        <f t="shared" si="68"/>
        <v/>
      </c>
      <c r="J733" s="29" t="str">
        <f t="shared" si="69"/>
        <v/>
      </c>
      <c r="K733" s="29" t="str">
        <f t="shared" si="70"/>
        <v/>
      </c>
      <c r="L733" s="29" t="str">
        <f t="shared" si="71"/>
        <v/>
      </c>
    </row>
    <row r="734" spans="1:12" ht="15" x14ac:dyDescent="0.25">
      <c r="A734" s="1" t="str">
        <f>IF('1.1 Produksi Bersih Padi 2025'!A734="","",'1.1 Produksi Bersih Padi 2025'!A734)</f>
        <v/>
      </c>
      <c r="B734" s="2" t="str">
        <f>IF('1.1 Produksi Bersih Padi 2025'!B734="","",'1.1 Produksi Bersih Padi 2025'!B734)</f>
        <v/>
      </c>
      <c r="C734" s="2" t="str">
        <f>IF('1.1 Produksi Bersih Padi 2025'!C734="","",'1.1 Produksi Bersih Padi 2025'!C734)</f>
        <v/>
      </c>
      <c r="D734" s="3" t="str">
        <f>IF('1.1 Produksi Bersih Padi 2025'!D734="","",'1.1 Produksi Bersih Padi 2025'!D734)</f>
        <v/>
      </c>
      <c r="E734" s="3" t="str">
        <f>IF('1.1 Produksi Bersih Padi 2025'!E734="","",'1.1 Produksi Bersih Padi 2025'!E734)</f>
        <v/>
      </c>
      <c r="F734" s="28" t="str">
        <f>IF(D734="","",VLOOKUP(D734,'[1]0.1 Produksi Pangan &amp; Penduduk'!$D$5:$S$860,16,0))</f>
        <v/>
      </c>
      <c r="G734" s="28" t="str">
        <f t="shared" si="66"/>
        <v/>
      </c>
      <c r="H734" s="29" t="str">
        <f t="shared" si="67"/>
        <v/>
      </c>
      <c r="I734" s="29" t="str">
        <f t="shared" si="68"/>
        <v/>
      </c>
      <c r="J734" s="29" t="str">
        <f t="shared" si="69"/>
        <v/>
      </c>
      <c r="K734" s="29" t="str">
        <f t="shared" si="70"/>
        <v/>
      </c>
      <c r="L734" s="29" t="str">
        <f t="shared" si="71"/>
        <v/>
      </c>
    </row>
    <row r="735" spans="1:12" ht="15" x14ac:dyDescent="0.25">
      <c r="A735" s="1" t="str">
        <f>IF('1.1 Produksi Bersih Padi 2025'!A735="","",'1.1 Produksi Bersih Padi 2025'!A735)</f>
        <v/>
      </c>
      <c r="B735" s="2" t="str">
        <f>IF('1.1 Produksi Bersih Padi 2025'!B735="","",'1.1 Produksi Bersih Padi 2025'!B735)</f>
        <v/>
      </c>
      <c r="C735" s="2" t="str">
        <f>IF('1.1 Produksi Bersih Padi 2025'!C735="","",'1.1 Produksi Bersih Padi 2025'!C735)</f>
        <v/>
      </c>
      <c r="D735" s="3" t="str">
        <f>IF('1.1 Produksi Bersih Padi 2025'!D735="","",'1.1 Produksi Bersih Padi 2025'!D735)</f>
        <v/>
      </c>
      <c r="E735" s="3" t="str">
        <f>IF('1.1 Produksi Bersih Padi 2025'!E735="","",'1.1 Produksi Bersih Padi 2025'!E735)</f>
        <v/>
      </c>
      <c r="F735" s="28" t="str">
        <f>IF(D735="","",VLOOKUP(D735,'[1]0.1 Produksi Pangan &amp; Penduduk'!$D$5:$S$860,16,0))</f>
        <v/>
      </c>
      <c r="G735" s="28" t="str">
        <f t="shared" si="66"/>
        <v/>
      </c>
      <c r="H735" s="29" t="str">
        <f t="shared" si="67"/>
        <v/>
      </c>
      <c r="I735" s="29" t="str">
        <f t="shared" si="68"/>
        <v/>
      </c>
      <c r="J735" s="29" t="str">
        <f t="shared" si="69"/>
        <v/>
      </c>
      <c r="K735" s="29" t="str">
        <f t="shared" si="70"/>
        <v/>
      </c>
      <c r="L735" s="29" t="str">
        <f t="shared" si="71"/>
        <v/>
      </c>
    </row>
    <row r="736" spans="1:12" ht="15" x14ac:dyDescent="0.25">
      <c r="A736" s="1" t="str">
        <f>IF('1.1 Produksi Bersih Padi 2025'!A736="","",'1.1 Produksi Bersih Padi 2025'!A736)</f>
        <v/>
      </c>
      <c r="B736" s="2" t="str">
        <f>IF('1.1 Produksi Bersih Padi 2025'!B736="","",'1.1 Produksi Bersih Padi 2025'!B736)</f>
        <v/>
      </c>
      <c r="C736" s="2" t="str">
        <f>IF('1.1 Produksi Bersih Padi 2025'!C736="","",'1.1 Produksi Bersih Padi 2025'!C736)</f>
        <v/>
      </c>
      <c r="D736" s="3" t="str">
        <f>IF('1.1 Produksi Bersih Padi 2025'!D736="","",'1.1 Produksi Bersih Padi 2025'!D736)</f>
        <v/>
      </c>
      <c r="E736" s="3" t="str">
        <f>IF('1.1 Produksi Bersih Padi 2025'!E736="","",'1.1 Produksi Bersih Padi 2025'!E736)</f>
        <v/>
      </c>
      <c r="F736" s="28" t="str">
        <f>IF(D736="","",VLOOKUP(D736,'[1]0.1 Produksi Pangan &amp; Penduduk'!$D$5:$S$860,16,0))</f>
        <v/>
      </c>
      <c r="G736" s="28" t="str">
        <f t="shared" si="66"/>
        <v/>
      </c>
      <c r="H736" s="29" t="str">
        <f t="shared" si="67"/>
        <v/>
      </c>
      <c r="I736" s="29" t="str">
        <f t="shared" si="68"/>
        <v/>
      </c>
      <c r="J736" s="29" t="str">
        <f t="shared" si="69"/>
        <v/>
      </c>
      <c r="K736" s="29" t="str">
        <f t="shared" si="70"/>
        <v/>
      </c>
      <c r="L736" s="29" t="str">
        <f t="shared" si="71"/>
        <v/>
      </c>
    </row>
    <row r="737" spans="1:12" ht="15" x14ac:dyDescent="0.25">
      <c r="A737" s="1" t="str">
        <f>IF('1.1 Produksi Bersih Padi 2025'!A737="","",'1.1 Produksi Bersih Padi 2025'!A737)</f>
        <v/>
      </c>
      <c r="B737" s="2" t="str">
        <f>IF('1.1 Produksi Bersih Padi 2025'!B737="","",'1.1 Produksi Bersih Padi 2025'!B737)</f>
        <v/>
      </c>
      <c r="C737" s="2" t="str">
        <f>IF('1.1 Produksi Bersih Padi 2025'!C737="","",'1.1 Produksi Bersih Padi 2025'!C737)</f>
        <v/>
      </c>
      <c r="D737" s="3" t="str">
        <f>IF('1.1 Produksi Bersih Padi 2025'!D737="","",'1.1 Produksi Bersih Padi 2025'!D737)</f>
        <v/>
      </c>
      <c r="E737" s="3" t="str">
        <f>IF('1.1 Produksi Bersih Padi 2025'!E737="","",'1.1 Produksi Bersih Padi 2025'!E737)</f>
        <v/>
      </c>
      <c r="F737" s="28" t="str">
        <f>IF(D737="","",VLOOKUP(D737,'[1]0.1 Produksi Pangan &amp; Penduduk'!$D$5:$S$860,16,0))</f>
        <v/>
      </c>
      <c r="G737" s="28" t="str">
        <f t="shared" si="66"/>
        <v/>
      </c>
      <c r="H737" s="29" t="str">
        <f t="shared" si="67"/>
        <v/>
      </c>
      <c r="I737" s="29" t="str">
        <f t="shared" si="68"/>
        <v/>
      </c>
      <c r="J737" s="29" t="str">
        <f t="shared" si="69"/>
        <v/>
      </c>
      <c r="K737" s="29" t="str">
        <f t="shared" si="70"/>
        <v/>
      </c>
      <c r="L737" s="29" t="str">
        <f t="shared" si="71"/>
        <v/>
      </c>
    </row>
    <row r="738" spans="1:12" ht="15" x14ac:dyDescent="0.25">
      <c r="A738" s="1" t="str">
        <f>IF('1.1 Produksi Bersih Padi 2025'!A738="","",'1.1 Produksi Bersih Padi 2025'!A738)</f>
        <v/>
      </c>
      <c r="B738" s="2" t="str">
        <f>IF('1.1 Produksi Bersih Padi 2025'!B738="","",'1.1 Produksi Bersih Padi 2025'!B738)</f>
        <v/>
      </c>
      <c r="C738" s="2" t="str">
        <f>IF('1.1 Produksi Bersih Padi 2025'!C738="","",'1.1 Produksi Bersih Padi 2025'!C738)</f>
        <v/>
      </c>
      <c r="D738" s="3" t="str">
        <f>IF('1.1 Produksi Bersih Padi 2025'!D738="","",'1.1 Produksi Bersih Padi 2025'!D738)</f>
        <v/>
      </c>
      <c r="E738" s="3" t="str">
        <f>IF('1.1 Produksi Bersih Padi 2025'!E738="","",'1.1 Produksi Bersih Padi 2025'!E738)</f>
        <v/>
      </c>
      <c r="F738" s="28" t="str">
        <f>IF(D738="","",VLOOKUP(D738,'[1]0.1 Produksi Pangan &amp; Penduduk'!$D$5:$S$860,16,0))</f>
        <v/>
      </c>
      <c r="G738" s="28" t="str">
        <f t="shared" si="66"/>
        <v/>
      </c>
      <c r="H738" s="29" t="str">
        <f t="shared" si="67"/>
        <v/>
      </c>
      <c r="I738" s="29" t="str">
        <f t="shared" si="68"/>
        <v/>
      </c>
      <c r="J738" s="29" t="str">
        <f t="shared" si="69"/>
        <v/>
      </c>
      <c r="K738" s="29" t="str">
        <f t="shared" si="70"/>
        <v/>
      </c>
      <c r="L738" s="29" t="str">
        <f t="shared" si="71"/>
        <v/>
      </c>
    </row>
    <row r="739" spans="1:12" ht="15" x14ac:dyDescent="0.25">
      <c r="A739" s="1" t="str">
        <f>IF('1.1 Produksi Bersih Padi 2025'!A739="","",'1.1 Produksi Bersih Padi 2025'!A739)</f>
        <v/>
      </c>
      <c r="B739" s="2" t="str">
        <f>IF('1.1 Produksi Bersih Padi 2025'!B739="","",'1.1 Produksi Bersih Padi 2025'!B739)</f>
        <v/>
      </c>
      <c r="C739" s="2" t="str">
        <f>IF('1.1 Produksi Bersih Padi 2025'!C739="","",'1.1 Produksi Bersih Padi 2025'!C739)</f>
        <v/>
      </c>
      <c r="D739" s="3" t="str">
        <f>IF('1.1 Produksi Bersih Padi 2025'!D739="","",'1.1 Produksi Bersih Padi 2025'!D739)</f>
        <v/>
      </c>
      <c r="E739" s="3" t="str">
        <f>IF('1.1 Produksi Bersih Padi 2025'!E739="","",'1.1 Produksi Bersih Padi 2025'!E739)</f>
        <v/>
      </c>
      <c r="F739" s="28" t="str">
        <f>IF(D739="","",VLOOKUP(D739,'[1]0.1 Produksi Pangan &amp; Penduduk'!$D$5:$S$860,16,0))</f>
        <v/>
      </c>
      <c r="G739" s="28" t="str">
        <f t="shared" si="66"/>
        <v/>
      </c>
      <c r="H739" s="29" t="str">
        <f t="shared" si="67"/>
        <v/>
      </c>
      <c r="I739" s="29" t="str">
        <f t="shared" si="68"/>
        <v/>
      </c>
      <c r="J739" s="29" t="str">
        <f t="shared" si="69"/>
        <v/>
      </c>
      <c r="K739" s="29" t="str">
        <f t="shared" si="70"/>
        <v/>
      </c>
      <c r="L739" s="29" t="str">
        <f t="shared" si="71"/>
        <v/>
      </c>
    </row>
    <row r="740" spans="1:12" ht="15" x14ac:dyDescent="0.25">
      <c r="A740" s="1" t="str">
        <f>IF('1.1 Produksi Bersih Padi 2025'!A740="","",'1.1 Produksi Bersih Padi 2025'!A740)</f>
        <v/>
      </c>
      <c r="B740" s="2" t="str">
        <f>IF('1.1 Produksi Bersih Padi 2025'!B740="","",'1.1 Produksi Bersih Padi 2025'!B740)</f>
        <v/>
      </c>
      <c r="C740" s="2" t="str">
        <f>IF('1.1 Produksi Bersih Padi 2025'!C740="","",'1.1 Produksi Bersih Padi 2025'!C740)</f>
        <v/>
      </c>
      <c r="D740" s="3" t="str">
        <f>IF('1.1 Produksi Bersih Padi 2025'!D740="","",'1.1 Produksi Bersih Padi 2025'!D740)</f>
        <v/>
      </c>
      <c r="E740" s="3" t="str">
        <f>IF('1.1 Produksi Bersih Padi 2025'!E740="","",'1.1 Produksi Bersih Padi 2025'!E740)</f>
        <v/>
      </c>
      <c r="F740" s="28" t="str">
        <f>IF(D740="","",VLOOKUP(D740,'[1]0.1 Produksi Pangan &amp; Penduduk'!$D$5:$S$860,16,0))</f>
        <v/>
      </c>
      <c r="G740" s="28" t="str">
        <f t="shared" si="66"/>
        <v/>
      </c>
      <c r="H740" s="29" t="str">
        <f t="shared" si="67"/>
        <v/>
      </c>
      <c r="I740" s="29" t="str">
        <f t="shared" si="68"/>
        <v/>
      </c>
      <c r="J740" s="29" t="str">
        <f t="shared" si="69"/>
        <v/>
      </c>
      <c r="K740" s="29" t="str">
        <f t="shared" si="70"/>
        <v/>
      </c>
      <c r="L740" s="29" t="str">
        <f t="shared" si="71"/>
        <v/>
      </c>
    </row>
    <row r="741" spans="1:12" ht="15" x14ac:dyDescent="0.25">
      <c r="A741" s="1" t="str">
        <f>IF('1.1 Produksi Bersih Padi 2025'!A741="","",'1.1 Produksi Bersih Padi 2025'!A741)</f>
        <v/>
      </c>
      <c r="B741" s="2" t="str">
        <f>IF('1.1 Produksi Bersih Padi 2025'!B741="","",'1.1 Produksi Bersih Padi 2025'!B741)</f>
        <v/>
      </c>
      <c r="C741" s="2" t="str">
        <f>IF('1.1 Produksi Bersih Padi 2025'!C741="","",'1.1 Produksi Bersih Padi 2025'!C741)</f>
        <v/>
      </c>
      <c r="D741" s="3" t="str">
        <f>IF('1.1 Produksi Bersih Padi 2025'!D741="","",'1.1 Produksi Bersih Padi 2025'!D741)</f>
        <v/>
      </c>
      <c r="E741" s="3" t="str">
        <f>IF('1.1 Produksi Bersih Padi 2025'!E741="","",'1.1 Produksi Bersih Padi 2025'!E741)</f>
        <v/>
      </c>
      <c r="F741" s="28" t="str">
        <f>IF(D741="","",VLOOKUP(D741,'[1]0.1 Produksi Pangan &amp; Penduduk'!$D$5:$S$860,16,0))</f>
        <v/>
      </c>
      <c r="G741" s="28" t="str">
        <f t="shared" si="66"/>
        <v/>
      </c>
      <c r="H741" s="29" t="str">
        <f t="shared" si="67"/>
        <v/>
      </c>
      <c r="I741" s="29" t="str">
        <f t="shared" si="68"/>
        <v/>
      </c>
      <c r="J741" s="29" t="str">
        <f t="shared" si="69"/>
        <v/>
      </c>
      <c r="K741" s="29" t="str">
        <f t="shared" si="70"/>
        <v/>
      </c>
      <c r="L741" s="29" t="str">
        <f t="shared" si="71"/>
        <v/>
      </c>
    </row>
    <row r="742" spans="1:12" ht="15" x14ac:dyDescent="0.25">
      <c r="A742" s="1" t="str">
        <f>IF('1.1 Produksi Bersih Padi 2025'!A742="","",'1.1 Produksi Bersih Padi 2025'!A742)</f>
        <v/>
      </c>
      <c r="B742" s="2" t="str">
        <f>IF('1.1 Produksi Bersih Padi 2025'!B742="","",'1.1 Produksi Bersih Padi 2025'!B742)</f>
        <v/>
      </c>
      <c r="C742" s="2" t="str">
        <f>IF('1.1 Produksi Bersih Padi 2025'!C742="","",'1.1 Produksi Bersih Padi 2025'!C742)</f>
        <v/>
      </c>
      <c r="D742" s="3" t="str">
        <f>IF('1.1 Produksi Bersih Padi 2025'!D742="","",'1.1 Produksi Bersih Padi 2025'!D742)</f>
        <v/>
      </c>
      <c r="E742" s="3" t="str">
        <f>IF('1.1 Produksi Bersih Padi 2025'!E742="","",'1.1 Produksi Bersih Padi 2025'!E742)</f>
        <v/>
      </c>
      <c r="F742" s="28" t="str">
        <f>IF(D742="","",VLOOKUP(D742,'[1]0.1 Produksi Pangan &amp; Penduduk'!$D$5:$S$860,16,0))</f>
        <v/>
      </c>
      <c r="G742" s="28" t="str">
        <f t="shared" si="66"/>
        <v/>
      </c>
      <c r="H742" s="29" t="str">
        <f t="shared" si="67"/>
        <v/>
      </c>
      <c r="I742" s="29" t="str">
        <f t="shared" si="68"/>
        <v/>
      </c>
      <c r="J742" s="29" t="str">
        <f t="shared" si="69"/>
        <v/>
      </c>
      <c r="K742" s="29" t="str">
        <f t="shared" si="70"/>
        <v/>
      </c>
      <c r="L742" s="29" t="str">
        <f t="shared" si="71"/>
        <v/>
      </c>
    </row>
    <row r="743" spans="1:12" ht="15" x14ac:dyDescent="0.25">
      <c r="A743" s="1" t="str">
        <f>IF('1.1 Produksi Bersih Padi 2025'!A743="","",'1.1 Produksi Bersih Padi 2025'!A743)</f>
        <v/>
      </c>
      <c r="B743" s="2" t="str">
        <f>IF('1.1 Produksi Bersih Padi 2025'!B743="","",'1.1 Produksi Bersih Padi 2025'!B743)</f>
        <v/>
      </c>
      <c r="C743" s="2" t="str">
        <f>IF('1.1 Produksi Bersih Padi 2025'!C743="","",'1.1 Produksi Bersih Padi 2025'!C743)</f>
        <v/>
      </c>
      <c r="D743" s="3" t="str">
        <f>IF('1.1 Produksi Bersih Padi 2025'!D743="","",'1.1 Produksi Bersih Padi 2025'!D743)</f>
        <v/>
      </c>
      <c r="E743" s="3" t="str">
        <f>IF('1.1 Produksi Bersih Padi 2025'!E743="","",'1.1 Produksi Bersih Padi 2025'!E743)</f>
        <v/>
      </c>
      <c r="F743" s="28" t="str">
        <f>IF(D743="","",VLOOKUP(D743,'[1]0.1 Produksi Pangan &amp; Penduduk'!$D$5:$S$860,16,0))</f>
        <v/>
      </c>
      <c r="G743" s="28" t="str">
        <f t="shared" si="66"/>
        <v/>
      </c>
      <c r="H743" s="29" t="str">
        <f t="shared" si="67"/>
        <v/>
      </c>
      <c r="I743" s="29" t="str">
        <f t="shared" si="68"/>
        <v/>
      </c>
      <c r="J743" s="29" t="str">
        <f t="shared" si="69"/>
        <v/>
      </c>
      <c r="K743" s="29" t="str">
        <f t="shared" si="70"/>
        <v/>
      </c>
      <c r="L743" s="29" t="str">
        <f t="shared" si="71"/>
        <v/>
      </c>
    </row>
    <row r="744" spans="1:12" ht="15" x14ac:dyDescent="0.25">
      <c r="A744" s="1" t="str">
        <f>IF('1.1 Produksi Bersih Padi 2025'!A744="","",'1.1 Produksi Bersih Padi 2025'!A744)</f>
        <v/>
      </c>
      <c r="B744" s="2" t="str">
        <f>IF('1.1 Produksi Bersih Padi 2025'!B744="","",'1.1 Produksi Bersih Padi 2025'!B744)</f>
        <v/>
      </c>
      <c r="C744" s="2" t="str">
        <f>IF('1.1 Produksi Bersih Padi 2025'!C744="","",'1.1 Produksi Bersih Padi 2025'!C744)</f>
        <v/>
      </c>
      <c r="D744" s="3" t="str">
        <f>IF('1.1 Produksi Bersih Padi 2025'!D744="","",'1.1 Produksi Bersih Padi 2025'!D744)</f>
        <v/>
      </c>
      <c r="E744" s="3" t="str">
        <f>IF('1.1 Produksi Bersih Padi 2025'!E744="","",'1.1 Produksi Bersih Padi 2025'!E744)</f>
        <v/>
      </c>
      <c r="F744" s="28" t="str">
        <f>IF(D744="","",VLOOKUP(D744,'[1]0.1 Produksi Pangan &amp; Penduduk'!$D$5:$S$860,16,0))</f>
        <v/>
      </c>
      <c r="G744" s="28" t="str">
        <f t="shared" si="66"/>
        <v/>
      </c>
      <c r="H744" s="29" t="str">
        <f t="shared" si="67"/>
        <v/>
      </c>
      <c r="I744" s="29" t="str">
        <f t="shared" si="68"/>
        <v/>
      </c>
      <c r="J744" s="29" t="str">
        <f t="shared" si="69"/>
        <v/>
      </c>
      <c r="K744" s="29" t="str">
        <f t="shared" si="70"/>
        <v/>
      </c>
      <c r="L744" s="29" t="str">
        <f t="shared" si="71"/>
        <v/>
      </c>
    </row>
    <row r="745" spans="1:12" ht="15" x14ac:dyDescent="0.25">
      <c r="A745" s="1" t="str">
        <f>IF('1.1 Produksi Bersih Padi 2025'!A745="","",'1.1 Produksi Bersih Padi 2025'!A745)</f>
        <v/>
      </c>
      <c r="B745" s="2" t="str">
        <f>IF('1.1 Produksi Bersih Padi 2025'!B745="","",'1.1 Produksi Bersih Padi 2025'!B745)</f>
        <v/>
      </c>
      <c r="C745" s="2" t="str">
        <f>IF('1.1 Produksi Bersih Padi 2025'!C745="","",'1.1 Produksi Bersih Padi 2025'!C745)</f>
        <v/>
      </c>
      <c r="D745" s="3" t="str">
        <f>IF('1.1 Produksi Bersih Padi 2025'!D745="","",'1.1 Produksi Bersih Padi 2025'!D745)</f>
        <v/>
      </c>
      <c r="E745" s="3" t="str">
        <f>IF('1.1 Produksi Bersih Padi 2025'!E745="","",'1.1 Produksi Bersih Padi 2025'!E745)</f>
        <v/>
      </c>
      <c r="F745" s="28" t="str">
        <f>IF(D745="","",VLOOKUP(D745,'[1]0.1 Produksi Pangan &amp; Penduduk'!$D$5:$S$860,16,0))</f>
        <v/>
      </c>
      <c r="G745" s="28" t="str">
        <f t="shared" si="66"/>
        <v/>
      </c>
      <c r="H745" s="29" t="str">
        <f t="shared" si="67"/>
        <v/>
      </c>
      <c r="I745" s="29" t="str">
        <f t="shared" si="68"/>
        <v/>
      </c>
      <c r="J745" s="29" t="str">
        <f t="shared" si="69"/>
        <v/>
      </c>
      <c r="K745" s="29" t="str">
        <f t="shared" si="70"/>
        <v/>
      </c>
      <c r="L745" s="29" t="str">
        <f t="shared" si="71"/>
        <v/>
      </c>
    </row>
    <row r="746" spans="1:12" ht="15" x14ac:dyDescent="0.25">
      <c r="A746" s="1" t="str">
        <f>IF('1.1 Produksi Bersih Padi 2025'!A746="","",'1.1 Produksi Bersih Padi 2025'!A746)</f>
        <v/>
      </c>
      <c r="B746" s="2" t="str">
        <f>IF('1.1 Produksi Bersih Padi 2025'!B746="","",'1.1 Produksi Bersih Padi 2025'!B746)</f>
        <v/>
      </c>
      <c r="C746" s="2" t="str">
        <f>IF('1.1 Produksi Bersih Padi 2025'!C746="","",'1.1 Produksi Bersih Padi 2025'!C746)</f>
        <v/>
      </c>
      <c r="D746" s="3" t="str">
        <f>IF('1.1 Produksi Bersih Padi 2025'!D746="","",'1.1 Produksi Bersih Padi 2025'!D746)</f>
        <v/>
      </c>
      <c r="E746" s="3" t="str">
        <f>IF('1.1 Produksi Bersih Padi 2025'!E746="","",'1.1 Produksi Bersih Padi 2025'!E746)</f>
        <v/>
      </c>
      <c r="F746" s="28" t="str">
        <f>IF(D746="","",VLOOKUP(D746,'[1]0.1 Produksi Pangan &amp; Penduduk'!$D$5:$S$860,16,0))</f>
        <v/>
      </c>
      <c r="G746" s="28" t="str">
        <f t="shared" si="66"/>
        <v/>
      </c>
      <c r="H746" s="29" t="str">
        <f t="shared" si="67"/>
        <v/>
      </c>
      <c r="I746" s="29" t="str">
        <f t="shared" si="68"/>
        <v/>
      </c>
      <c r="J746" s="29" t="str">
        <f t="shared" si="69"/>
        <v/>
      </c>
      <c r="K746" s="29" t="str">
        <f t="shared" si="70"/>
        <v/>
      </c>
      <c r="L746" s="29" t="str">
        <f t="shared" si="71"/>
        <v/>
      </c>
    </row>
    <row r="747" spans="1:12" ht="15" x14ac:dyDescent="0.25">
      <c r="A747" s="1" t="str">
        <f>IF('1.1 Produksi Bersih Padi 2025'!A747="","",'1.1 Produksi Bersih Padi 2025'!A747)</f>
        <v/>
      </c>
      <c r="B747" s="2" t="str">
        <f>IF('1.1 Produksi Bersih Padi 2025'!B747="","",'1.1 Produksi Bersih Padi 2025'!B747)</f>
        <v/>
      </c>
      <c r="C747" s="2" t="str">
        <f>IF('1.1 Produksi Bersih Padi 2025'!C747="","",'1.1 Produksi Bersih Padi 2025'!C747)</f>
        <v/>
      </c>
      <c r="D747" s="3" t="str">
        <f>IF('1.1 Produksi Bersih Padi 2025'!D747="","",'1.1 Produksi Bersih Padi 2025'!D747)</f>
        <v/>
      </c>
      <c r="E747" s="3" t="str">
        <f>IF('1.1 Produksi Bersih Padi 2025'!E747="","",'1.1 Produksi Bersih Padi 2025'!E747)</f>
        <v/>
      </c>
      <c r="F747" s="28" t="str">
        <f>IF(D747="","",VLOOKUP(D747,'[1]0.1 Produksi Pangan &amp; Penduduk'!$D$5:$S$860,16,0))</f>
        <v/>
      </c>
      <c r="G747" s="28" t="str">
        <f t="shared" si="66"/>
        <v/>
      </c>
      <c r="H747" s="29" t="str">
        <f t="shared" si="67"/>
        <v/>
      </c>
      <c r="I747" s="29" t="str">
        <f t="shared" si="68"/>
        <v/>
      </c>
      <c r="J747" s="29" t="str">
        <f t="shared" si="69"/>
        <v/>
      </c>
      <c r="K747" s="29" t="str">
        <f t="shared" si="70"/>
        <v/>
      </c>
      <c r="L747" s="29" t="str">
        <f t="shared" si="71"/>
        <v/>
      </c>
    </row>
    <row r="748" spans="1:12" ht="15" x14ac:dyDescent="0.25">
      <c r="A748" s="1" t="str">
        <f>IF('1.1 Produksi Bersih Padi 2025'!A748="","",'1.1 Produksi Bersih Padi 2025'!A748)</f>
        <v/>
      </c>
      <c r="B748" s="2" t="str">
        <f>IF('1.1 Produksi Bersih Padi 2025'!B748="","",'1.1 Produksi Bersih Padi 2025'!B748)</f>
        <v/>
      </c>
      <c r="C748" s="2" t="str">
        <f>IF('1.1 Produksi Bersih Padi 2025'!C748="","",'1.1 Produksi Bersih Padi 2025'!C748)</f>
        <v/>
      </c>
      <c r="D748" s="3" t="str">
        <f>IF('1.1 Produksi Bersih Padi 2025'!D748="","",'1.1 Produksi Bersih Padi 2025'!D748)</f>
        <v/>
      </c>
      <c r="E748" s="3" t="str">
        <f>IF('1.1 Produksi Bersih Padi 2025'!E748="","",'1.1 Produksi Bersih Padi 2025'!E748)</f>
        <v/>
      </c>
      <c r="F748" s="28" t="str">
        <f>IF(D748="","",VLOOKUP(D748,'[1]0.1 Produksi Pangan &amp; Penduduk'!$D$5:$S$860,16,0))</f>
        <v/>
      </c>
      <c r="G748" s="28" t="str">
        <f t="shared" si="66"/>
        <v/>
      </c>
      <c r="H748" s="29" t="str">
        <f t="shared" si="67"/>
        <v/>
      </c>
      <c r="I748" s="29" t="str">
        <f t="shared" si="68"/>
        <v/>
      </c>
      <c r="J748" s="29" t="str">
        <f t="shared" si="69"/>
        <v/>
      </c>
      <c r="K748" s="29" t="str">
        <f t="shared" si="70"/>
        <v/>
      </c>
      <c r="L748" s="29" t="str">
        <f t="shared" si="71"/>
        <v/>
      </c>
    </row>
    <row r="749" spans="1:12" ht="15" x14ac:dyDescent="0.25">
      <c r="A749" s="1" t="str">
        <f>IF('1.1 Produksi Bersih Padi 2025'!A749="","",'1.1 Produksi Bersih Padi 2025'!A749)</f>
        <v/>
      </c>
      <c r="B749" s="2" t="str">
        <f>IF('1.1 Produksi Bersih Padi 2025'!B749="","",'1.1 Produksi Bersih Padi 2025'!B749)</f>
        <v/>
      </c>
      <c r="C749" s="2" t="str">
        <f>IF('1.1 Produksi Bersih Padi 2025'!C749="","",'1.1 Produksi Bersih Padi 2025'!C749)</f>
        <v/>
      </c>
      <c r="D749" s="3" t="str">
        <f>IF('1.1 Produksi Bersih Padi 2025'!D749="","",'1.1 Produksi Bersih Padi 2025'!D749)</f>
        <v/>
      </c>
      <c r="E749" s="3" t="str">
        <f>IF('1.1 Produksi Bersih Padi 2025'!E749="","",'1.1 Produksi Bersih Padi 2025'!E749)</f>
        <v/>
      </c>
      <c r="F749" s="28" t="str">
        <f>IF(D749="","",VLOOKUP(D749,'[1]0.1 Produksi Pangan &amp; Penduduk'!$D$5:$S$860,16,0))</f>
        <v/>
      </c>
      <c r="G749" s="28" t="str">
        <f t="shared" si="66"/>
        <v/>
      </c>
      <c r="H749" s="29" t="str">
        <f t="shared" si="67"/>
        <v/>
      </c>
      <c r="I749" s="29" t="str">
        <f t="shared" si="68"/>
        <v/>
      </c>
      <c r="J749" s="29" t="str">
        <f t="shared" si="69"/>
        <v/>
      </c>
      <c r="K749" s="29" t="str">
        <f t="shared" si="70"/>
        <v/>
      </c>
      <c r="L749" s="29" t="str">
        <f t="shared" si="71"/>
        <v/>
      </c>
    </row>
    <row r="750" spans="1:12" ht="15" x14ac:dyDescent="0.25">
      <c r="A750" s="1" t="str">
        <f>IF('1.1 Produksi Bersih Padi 2025'!A750="","",'1.1 Produksi Bersih Padi 2025'!A750)</f>
        <v/>
      </c>
      <c r="B750" s="2" t="str">
        <f>IF('1.1 Produksi Bersih Padi 2025'!B750="","",'1.1 Produksi Bersih Padi 2025'!B750)</f>
        <v/>
      </c>
      <c r="C750" s="2" t="str">
        <f>IF('1.1 Produksi Bersih Padi 2025'!C750="","",'1.1 Produksi Bersih Padi 2025'!C750)</f>
        <v/>
      </c>
      <c r="D750" s="3" t="str">
        <f>IF('1.1 Produksi Bersih Padi 2025'!D750="","",'1.1 Produksi Bersih Padi 2025'!D750)</f>
        <v/>
      </c>
      <c r="E750" s="3" t="str">
        <f>IF('1.1 Produksi Bersih Padi 2025'!E750="","",'1.1 Produksi Bersih Padi 2025'!E750)</f>
        <v/>
      </c>
      <c r="F750" s="28" t="str">
        <f>IF(D750="","",VLOOKUP(D750,'[1]0.1 Produksi Pangan &amp; Penduduk'!$D$5:$S$860,16,0))</f>
        <v/>
      </c>
      <c r="G750" s="28" t="str">
        <f t="shared" si="66"/>
        <v/>
      </c>
      <c r="H750" s="29" t="str">
        <f t="shared" si="67"/>
        <v/>
      </c>
      <c r="I750" s="29" t="str">
        <f t="shared" si="68"/>
        <v/>
      </c>
      <c r="J750" s="29" t="str">
        <f t="shared" si="69"/>
        <v/>
      </c>
      <c r="K750" s="29" t="str">
        <f t="shared" si="70"/>
        <v/>
      </c>
      <c r="L750" s="29" t="str">
        <f t="shared" si="71"/>
        <v/>
      </c>
    </row>
    <row r="751" spans="1:12" ht="15" x14ac:dyDescent="0.25">
      <c r="A751" s="1" t="str">
        <f>IF('1.1 Produksi Bersih Padi 2025'!A751="","",'1.1 Produksi Bersih Padi 2025'!A751)</f>
        <v/>
      </c>
      <c r="B751" s="2" t="str">
        <f>IF('1.1 Produksi Bersih Padi 2025'!B751="","",'1.1 Produksi Bersih Padi 2025'!B751)</f>
        <v/>
      </c>
      <c r="C751" s="2" t="str">
        <f>IF('1.1 Produksi Bersih Padi 2025'!C751="","",'1.1 Produksi Bersih Padi 2025'!C751)</f>
        <v/>
      </c>
      <c r="D751" s="3" t="str">
        <f>IF('1.1 Produksi Bersih Padi 2025'!D751="","",'1.1 Produksi Bersih Padi 2025'!D751)</f>
        <v/>
      </c>
      <c r="E751" s="3" t="str">
        <f>IF('1.1 Produksi Bersih Padi 2025'!E751="","",'1.1 Produksi Bersih Padi 2025'!E751)</f>
        <v/>
      </c>
      <c r="F751" s="28" t="str">
        <f>IF(D751="","",VLOOKUP(D751,'[1]0.1 Produksi Pangan &amp; Penduduk'!$D$5:$S$860,16,0))</f>
        <v/>
      </c>
      <c r="G751" s="28" t="str">
        <f t="shared" si="66"/>
        <v/>
      </c>
      <c r="H751" s="29" t="str">
        <f t="shared" si="67"/>
        <v/>
      </c>
      <c r="I751" s="29" t="str">
        <f t="shared" si="68"/>
        <v/>
      </c>
      <c r="J751" s="29" t="str">
        <f t="shared" si="69"/>
        <v/>
      </c>
      <c r="K751" s="29" t="str">
        <f t="shared" si="70"/>
        <v/>
      </c>
      <c r="L751" s="29" t="str">
        <f t="shared" si="71"/>
        <v/>
      </c>
    </row>
    <row r="752" spans="1:12" ht="15" x14ac:dyDescent="0.25">
      <c r="A752" s="1" t="str">
        <f>IF('1.1 Produksi Bersih Padi 2025'!A752="","",'1.1 Produksi Bersih Padi 2025'!A752)</f>
        <v/>
      </c>
      <c r="B752" s="2" t="str">
        <f>IF('1.1 Produksi Bersih Padi 2025'!B752="","",'1.1 Produksi Bersih Padi 2025'!B752)</f>
        <v/>
      </c>
      <c r="C752" s="2" t="str">
        <f>IF('1.1 Produksi Bersih Padi 2025'!C752="","",'1.1 Produksi Bersih Padi 2025'!C752)</f>
        <v/>
      </c>
      <c r="D752" s="3" t="str">
        <f>IF('1.1 Produksi Bersih Padi 2025'!D752="","",'1.1 Produksi Bersih Padi 2025'!D752)</f>
        <v/>
      </c>
      <c r="E752" s="3" t="str">
        <f>IF('1.1 Produksi Bersih Padi 2025'!E752="","",'1.1 Produksi Bersih Padi 2025'!E752)</f>
        <v/>
      </c>
      <c r="F752" s="28" t="str">
        <f>IF(D752="","",VLOOKUP(D752,'[1]0.1 Produksi Pangan &amp; Penduduk'!$D$5:$S$860,16,0))</f>
        <v/>
      </c>
      <c r="G752" s="28" t="str">
        <f t="shared" si="66"/>
        <v/>
      </c>
      <c r="H752" s="29" t="str">
        <f t="shared" si="67"/>
        <v/>
      </c>
      <c r="I752" s="29" t="str">
        <f t="shared" si="68"/>
        <v/>
      </c>
      <c r="J752" s="29" t="str">
        <f t="shared" si="69"/>
        <v/>
      </c>
      <c r="K752" s="29" t="str">
        <f t="shared" si="70"/>
        <v/>
      </c>
      <c r="L752" s="29" t="str">
        <f t="shared" si="71"/>
        <v/>
      </c>
    </row>
    <row r="753" spans="1:12" ht="15" x14ac:dyDescent="0.25">
      <c r="A753" s="1" t="str">
        <f>IF('1.1 Produksi Bersih Padi 2025'!A753="","",'1.1 Produksi Bersih Padi 2025'!A753)</f>
        <v/>
      </c>
      <c r="B753" s="2" t="str">
        <f>IF('1.1 Produksi Bersih Padi 2025'!B753="","",'1.1 Produksi Bersih Padi 2025'!B753)</f>
        <v/>
      </c>
      <c r="C753" s="2" t="str">
        <f>IF('1.1 Produksi Bersih Padi 2025'!C753="","",'1.1 Produksi Bersih Padi 2025'!C753)</f>
        <v/>
      </c>
      <c r="D753" s="3" t="str">
        <f>IF('1.1 Produksi Bersih Padi 2025'!D753="","",'1.1 Produksi Bersih Padi 2025'!D753)</f>
        <v/>
      </c>
      <c r="E753" s="3" t="str">
        <f>IF('1.1 Produksi Bersih Padi 2025'!E753="","",'1.1 Produksi Bersih Padi 2025'!E753)</f>
        <v/>
      </c>
      <c r="F753" s="28" t="str">
        <f>IF(D753="","",VLOOKUP(D753,'[1]0.1 Produksi Pangan &amp; Penduduk'!$D$5:$S$860,16,0))</f>
        <v/>
      </c>
      <c r="G753" s="28" t="str">
        <f t="shared" si="66"/>
        <v/>
      </c>
      <c r="H753" s="29" t="str">
        <f t="shared" si="67"/>
        <v/>
      </c>
      <c r="I753" s="29" t="str">
        <f t="shared" si="68"/>
        <v/>
      </c>
      <c r="J753" s="29" t="str">
        <f t="shared" si="69"/>
        <v/>
      </c>
      <c r="K753" s="29" t="str">
        <f t="shared" si="70"/>
        <v/>
      </c>
      <c r="L753" s="29" t="str">
        <f t="shared" si="71"/>
        <v/>
      </c>
    </row>
    <row r="754" spans="1:12" ht="15" x14ac:dyDescent="0.25">
      <c r="A754" s="1" t="str">
        <f>IF('1.1 Produksi Bersih Padi 2025'!A754="","",'1.1 Produksi Bersih Padi 2025'!A754)</f>
        <v/>
      </c>
      <c r="B754" s="2" t="str">
        <f>IF('1.1 Produksi Bersih Padi 2025'!B754="","",'1.1 Produksi Bersih Padi 2025'!B754)</f>
        <v/>
      </c>
      <c r="C754" s="2" t="str">
        <f>IF('1.1 Produksi Bersih Padi 2025'!C754="","",'1.1 Produksi Bersih Padi 2025'!C754)</f>
        <v/>
      </c>
      <c r="D754" s="3" t="str">
        <f>IF('1.1 Produksi Bersih Padi 2025'!D754="","",'1.1 Produksi Bersih Padi 2025'!D754)</f>
        <v/>
      </c>
      <c r="E754" s="3" t="str">
        <f>IF('1.1 Produksi Bersih Padi 2025'!E754="","",'1.1 Produksi Bersih Padi 2025'!E754)</f>
        <v/>
      </c>
      <c r="F754" s="28" t="str">
        <f>IF(D754="","",VLOOKUP(D754,'[1]0.1 Produksi Pangan &amp; Penduduk'!$D$5:$S$860,16,0))</f>
        <v/>
      </c>
      <c r="G754" s="28" t="str">
        <f t="shared" si="66"/>
        <v/>
      </c>
      <c r="H754" s="29" t="str">
        <f t="shared" si="67"/>
        <v/>
      </c>
      <c r="I754" s="29" t="str">
        <f t="shared" si="68"/>
        <v/>
      </c>
      <c r="J754" s="29" t="str">
        <f t="shared" si="69"/>
        <v/>
      </c>
      <c r="K754" s="29" t="str">
        <f t="shared" si="70"/>
        <v/>
      </c>
      <c r="L754" s="29" t="str">
        <f t="shared" si="71"/>
        <v/>
      </c>
    </row>
    <row r="755" spans="1:12" ht="15" x14ac:dyDescent="0.25">
      <c r="A755" s="1" t="str">
        <f>IF('1.1 Produksi Bersih Padi 2025'!A755="","",'1.1 Produksi Bersih Padi 2025'!A755)</f>
        <v/>
      </c>
      <c r="B755" s="2" t="str">
        <f>IF('1.1 Produksi Bersih Padi 2025'!B755="","",'1.1 Produksi Bersih Padi 2025'!B755)</f>
        <v/>
      </c>
      <c r="C755" s="2" t="str">
        <f>IF('1.1 Produksi Bersih Padi 2025'!C755="","",'1.1 Produksi Bersih Padi 2025'!C755)</f>
        <v/>
      </c>
      <c r="D755" s="3" t="str">
        <f>IF('1.1 Produksi Bersih Padi 2025'!D755="","",'1.1 Produksi Bersih Padi 2025'!D755)</f>
        <v/>
      </c>
      <c r="E755" s="3" t="str">
        <f>IF('1.1 Produksi Bersih Padi 2025'!E755="","",'1.1 Produksi Bersih Padi 2025'!E755)</f>
        <v/>
      </c>
      <c r="F755" s="28" t="str">
        <f>IF(D755="","",VLOOKUP(D755,'[1]0.1 Produksi Pangan &amp; Penduduk'!$D$5:$S$860,16,0))</f>
        <v/>
      </c>
      <c r="G755" s="28" t="str">
        <f t="shared" si="66"/>
        <v/>
      </c>
      <c r="H755" s="29" t="str">
        <f t="shared" si="67"/>
        <v/>
      </c>
      <c r="I755" s="29" t="str">
        <f t="shared" si="68"/>
        <v/>
      </c>
      <c r="J755" s="29" t="str">
        <f t="shared" si="69"/>
        <v/>
      </c>
      <c r="K755" s="29" t="str">
        <f t="shared" si="70"/>
        <v/>
      </c>
      <c r="L755" s="29" t="str">
        <f t="shared" si="71"/>
        <v/>
      </c>
    </row>
    <row r="756" spans="1:12" ht="15" x14ac:dyDescent="0.25">
      <c r="A756" s="1" t="str">
        <f>IF('1.1 Produksi Bersih Padi 2025'!A756="","",'1.1 Produksi Bersih Padi 2025'!A756)</f>
        <v/>
      </c>
      <c r="B756" s="2" t="str">
        <f>IF('1.1 Produksi Bersih Padi 2025'!B756="","",'1.1 Produksi Bersih Padi 2025'!B756)</f>
        <v/>
      </c>
      <c r="C756" s="2" t="str">
        <f>IF('1.1 Produksi Bersih Padi 2025'!C756="","",'1.1 Produksi Bersih Padi 2025'!C756)</f>
        <v/>
      </c>
      <c r="D756" s="3" t="str">
        <f>IF('1.1 Produksi Bersih Padi 2025'!D756="","",'1.1 Produksi Bersih Padi 2025'!D756)</f>
        <v/>
      </c>
      <c r="E756" s="3" t="str">
        <f>IF('1.1 Produksi Bersih Padi 2025'!E756="","",'1.1 Produksi Bersih Padi 2025'!E756)</f>
        <v/>
      </c>
      <c r="F756" s="28" t="str">
        <f>IF(D756="","",VLOOKUP(D756,'[1]0.1 Produksi Pangan &amp; Penduduk'!$D$5:$S$860,16,0))</f>
        <v/>
      </c>
      <c r="G756" s="28" t="str">
        <f t="shared" si="66"/>
        <v/>
      </c>
      <c r="H756" s="29" t="str">
        <f t="shared" si="67"/>
        <v/>
      </c>
      <c r="I756" s="29" t="str">
        <f t="shared" si="68"/>
        <v/>
      </c>
      <c r="J756" s="29" t="str">
        <f t="shared" si="69"/>
        <v/>
      </c>
      <c r="K756" s="29" t="str">
        <f t="shared" si="70"/>
        <v/>
      </c>
      <c r="L756" s="29" t="str">
        <f t="shared" si="71"/>
        <v/>
      </c>
    </row>
    <row r="757" spans="1:12" ht="15" x14ac:dyDescent="0.25">
      <c r="A757" s="1" t="str">
        <f>IF('1.1 Produksi Bersih Padi 2025'!A757="","",'1.1 Produksi Bersih Padi 2025'!A757)</f>
        <v/>
      </c>
      <c r="B757" s="2" t="str">
        <f>IF('1.1 Produksi Bersih Padi 2025'!B757="","",'1.1 Produksi Bersih Padi 2025'!B757)</f>
        <v/>
      </c>
      <c r="C757" s="2" t="str">
        <f>IF('1.1 Produksi Bersih Padi 2025'!C757="","",'1.1 Produksi Bersih Padi 2025'!C757)</f>
        <v/>
      </c>
      <c r="D757" s="3" t="str">
        <f>IF('1.1 Produksi Bersih Padi 2025'!D757="","",'1.1 Produksi Bersih Padi 2025'!D757)</f>
        <v/>
      </c>
      <c r="E757" s="3" t="str">
        <f>IF('1.1 Produksi Bersih Padi 2025'!E757="","",'1.1 Produksi Bersih Padi 2025'!E757)</f>
        <v/>
      </c>
      <c r="F757" s="28" t="str">
        <f>IF(D757="","",VLOOKUP(D757,'[1]0.1 Produksi Pangan &amp; Penduduk'!$D$5:$S$860,16,0))</f>
        <v/>
      </c>
      <c r="G757" s="28" t="str">
        <f t="shared" si="66"/>
        <v/>
      </c>
      <c r="H757" s="29" t="str">
        <f t="shared" si="67"/>
        <v/>
      </c>
      <c r="I757" s="29" t="str">
        <f t="shared" si="68"/>
        <v/>
      </c>
      <c r="J757" s="29" t="str">
        <f t="shared" si="69"/>
        <v/>
      </c>
      <c r="K757" s="29" t="str">
        <f t="shared" si="70"/>
        <v/>
      </c>
      <c r="L757" s="29" t="str">
        <f t="shared" si="71"/>
        <v/>
      </c>
    </row>
    <row r="758" spans="1:12" ht="15" x14ac:dyDescent="0.25">
      <c r="A758" s="1" t="str">
        <f>IF('1.1 Produksi Bersih Padi 2025'!A758="","",'1.1 Produksi Bersih Padi 2025'!A758)</f>
        <v/>
      </c>
      <c r="B758" s="2" t="str">
        <f>IF('1.1 Produksi Bersih Padi 2025'!B758="","",'1.1 Produksi Bersih Padi 2025'!B758)</f>
        <v/>
      </c>
      <c r="C758" s="2" t="str">
        <f>IF('1.1 Produksi Bersih Padi 2025'!C758="","",'1.1 Produksi Bersih Padi 2025'!C758)</f>
        <v/>
      </c>
      <c r="D758" s="3" t="str">
        <f>IF('1.1 Produksi Bersih Padi 2025'!D758="","",'1.1 Produksi Bersih Padi 2025'!D758)</f>
        <v/>
      </c>
      <c r="E758" s="3" t="str">
        <f>IF('1.1 Produksi Bersih Padi 2025'!E758="","",'1.1 Produksi Bersih Padi 2025'!E758)</f>
        <v/>
      </c>
      <c r="F758" s="28" t="str">
        <f>IF(D758="","",VLOOKUP(D758,'[1]0.1 Produksi Pangan &amp; Penduduk'!$D$5:$S$860,16,0))</f>
        <v/>
      </c>
      <c r="G758" s="28" t="str">
        <f t="shared" si="66"/>
        <v/>
      </c>
      <c r="H758" s="29" t="str">
        <f t="shared" si="67"/>
        <v/>
      </c>
      <c r="I758" s="29" t="str">
        <f t="shared" si="68"/>
        <v/>
      </c>
      <c r="J758" s="29" t="str">
        <f t="shared" si="69"/>
        <v/>
      </c>
      <c r="K758" s="29" t="str">
        <f t="shared" si="70"/>
        <v/>
      </c>
      <c r="L758" s="29" t="str">
        <f t="shared" si="71"/>
        <v/>
      </c>
    </row>
    <row r="759" spans="1:12" ht="15" x14ac:dyDescent="0.25">
      <c r="A759" s="1" t="str">
        <f>IF('1.1 Produksi Bersih Padi 2025'!A759="","",'1.1 Produksi Bersih Padi 2025'!A759)</f>
        <v/>
      </c>
      <c r="B759" s="2" t="str">
        <f>IF('1.1 Produksi Bersih Padi 2025'!B759="","",'1.1 Produksi Bersih Padi 2025'!B759)</f>
        <v/>
      </c>
      <c r="C759" s="2" t="str">
        <f>IF('1.1 Produksi Bersih Padi 2025'!C759="","",'1.1 Produksi Bersih Padi 2025'!C759)</f>
        <v/>
      </c>
      <c r="D759" s="3" t="str">
        <f>IF('1.1 Produksi Bersih Padi 2025'!D759="","",'1.1 Produksi Bersih Padi 2025'!D759)</f>
        <v/>
      </c>
      <c r="E759" s="3" t="str">
        <f>IF('1.1 Produksi Bersih Padi 2025'!E759="","",'1.1 Produksi Bersih Padi 2025'!E759)</f>
        <v/>
      </c>
      <c r="F759" s="28" t="str">
        <f>IF(D759="","",VLOOKUP(D759,'[1]0.1 Produksi Pangan &amp; Penduduk'!$D$5:$S$860,16,0))</f>
        <v/>
      </c>
      <c r="G759" s="28" t="str">
        <f t="shared" si="66"/>
        <v/>
      </c>
      <c r="H759" s="29" t="str">
        <f t="shared" si="67"/>
        <v/>
      </c>
      <c r="I759" s="29" t="str">
        <f t="shared" si="68"/>
        <v/>
      </c>
      <c r="J759" s="29" t="str">
        <f t="shared" si="69"/>
        <v/>
      </c>
      <c r="K759" s="29" t="str">
        <f t="shared" si="70"/>
        <v/>
      </c>
      <c r="L759" s="29" t="str">
        <f t="shared" si="71"/>
        <v/>
      </c>
    </row>
    <row r="760" spans="1:12" ht="15" x14ac:dyDescent="0.25">
      <c r="A760" s="1" t="str">
        <f>IF('1.1 Produksi Bersih Padi 2025'!A760="","",'1.1 Produksi Bersih Padi 2025'!A760)</f>
        <v/>
      </c>
      <c r="B760" s="2" t="str">
        <f>IF('1.1 Produksi Bersih Padi 2025'!B760="","",'1.1 Produksi Bersih Padi 2025'!B760)</f>
        <v/>
      </c>
      <c r="C760" s="2" t="str">
        <f>IF('1.1 Produksi Bersih Padi 2025'!C760="","",'1.1 Produksi Bersih Padi 2025'!C760)</f>
        <v/>
      </c>
      <c r="D760" s="3" t="str">
        <f>IF('1.1 Produksi Bersih Padi 2025'!D760="","",'1.1 Produksi Bersih Padi 2025'!D760)</f>
        <v/>
      </c>
      <c r="E760" s="3" t="str">
        <f>IF('1.1 Produksi Bersih Padi 2025'!E760="","",'1.1 Produksi Bersih Padi 2025'!E760)</f>
        <v/>
      </c>
      <c r="F760" s="28" t="str">
        <f>IF(D760="","",VLOOKUP(D760,'[1]0.1 Produksi Pangan &amp; Penduduk'!$D$5:$S$860,16,0))</f>
        <v/>
      </c>
      <c r="G760" s="28" t="str">
        <f t="shared" si="66"/>
        <v/>
      </c>
      <c r="H760" s="29" t="str">
        <f t="shared" si="67"/>
        <v/>
      </c>
      <c r="I760" s="29" t="str">
        <f t="shared" si="68"/>
        <v/>
      </c>
      <c r="J760" s="29" t="str">
        <f t="shared" si="69"/>
        <v/>
      </c>
      <c r="K760" s="29" t="str">
        <f t="shared" si="70"/>
        <v/>
      </c>
      <c r="L760" s="29" t="str">
        <f t="shared" si="71"/>
        <v/>
      </c>
    </row>
    <row r="761" spans="1:12" ht="15" x14ac:dyDescent="0.25">
      <c r="A761" s="1" t="str">
        <f>IF('1.1 Produksi Bersih Padi 2025'!A761="","",'1.1 Produksi Bersih Padi 2025'!A761)</f>
        <v/>
      </c>
      <c r="B761" s="2" t="str">
        <f>IF('1.1 Produksi Bersih Padi 2025'!B761="","",'1.1 Produksi Bersih Padi 2025'!B761)</f>
        <v/>
      </c>
      <c r="C761" s="2" t="str">
        <f>IF('1.1 Produksi Bersih Padi 2025'!C761="","",'1.1 Produksi Bersih Padi 2025'!C761)</f>
        <v/>
      </c>
      <c r="D761" s="3" t="str">
        <f>IF('1.1 Produksi Bersih Padi 2025'!D761="","",'1.1 Produksi Bersih Padi 2025'!D761)</f>
        <v/>
      </c>
      <c r="E761" s="3" t="str">
        <f>IF('1.1 Produksi Bersih Padi 2025'!E761="","",'1.1 Produksi Bersih Padi 2025'!E761)</f>
        <v/>
      </c>
      <c r="F761" s="28" t="str">
        <f>IF(D761="","",VLOOKUP(D761,'[1]0.1 Produksi Pangan &amp; Penduduk'!$D$5:$S$860,16,0))</f>
        <v/>
      </c>
      <c r="G761" s="28" t="str">
        <f t="shared" si="66"/>
        <v/>
      </c>
      <c r="H761" s="29" t="str">
        <f t="shared" si="67"/>
        <v/>
      </c>
      <c r="I761" s="29" t="str">
        <f t="shared" si="68"/>
        <v/>
      </c>
      <c r="J761" s="29" t="str">
        <f t="shared" si="69"/>
        <v/>
      </c>
      <c r="K761" s="29" t="str">
        <f t="shared" si="70"/>
        <v/>
      </c>
      <c r="L761" s="29" t="str">
        <f t="shared" si="71"/>
        <v/>
      </c>
    </row>
    <row r="762" spans="1:12" ht="15" x14ac:dyDescent="0.25">
      <c r="A762" s="1" t="str">
        <f>IF('1.1 Produksi Bersih Padi 2025'!A762="","",'1.1 Produksi Bersih Padi 2025'!A762)</f>
        <v/>
      </c>
      <c r="B762" s="2" t="str">
        <f>IF('1.1 Produksi Bersih Padi 2025'!B762="","",'1.1 Produksi Bersih Padi 2025'!B762)</f>
        <v/>
      </c>
      <c r="C762" s="2" t="str">
        <f>IF('1.1 Produksi Bersih Padi 2025'!C762="","",'1.1 Produksi Bersih Padi 2025'!C762)</f>
        <v/>
      </c>
      <c r="D762" s="3" t="str">
        <f>IF('1.1 Produksi Bersih Padi 2025'!D762="","",'1.1 Produksi Bersih Padi 2025'!D762)</f>
        <v/>
      </c>
      <c r="E762" s="3" t="str">
        <f>IF('1.1 Produksi Bersih Padi 2025'!E762="","",'1.1 Produksi Bersih Padi 2025'!E762)</f>
        <v/>
      </c>
      <c r="F762" s="28" t="str">
        <f>IF(D762="","",VLOOKUP(D762,'[1]0.1 Produksi Pangan &amp; Penduduk'!$D$5:$S$860,16,0))</f>
        <v/>
      </c>
      <c r="G762" s="28" t="str">
        <f t="shared" si="66"/>
        <v/>
      </c>
      <c r="H762" s="29" t="str">
        <f t="shared" si="67"/>
        <v/>
      </c>
      <c r="I762" s="29" t="str">
        <f t="shared" si="68"/>
        <v/>
      </c>
      <c r="J762" s="29" t="str">
        <f t="shared" si="69"/>
        <v/>
      </c>
      <c r="K762" s="29" t="str">
        <f t="shared" si="70"/>
        <v/>
      </c>
      <c r="L762" s="29" t="str">
        <f t="shared" si="71"/>
        <v/>
      </c>
    </row>
    <row r="763" spans="1:12" ht="15" x14ac:dyDescent="0.25">
      <c r="A763" s="1" t="str">
        <f>IF('1.1 Produksi Bersih Padi 2025'!A763="","",'1.1 Produksi Bersih Padi 2025'!A763)</f>
        <v/>
      </c>
      <c r="B763" s="2" t="str">
        <f>IF('1.1 Produksi Bersih Padi 2025'!B763="","",'1.1 Produksi Bersih Padi 2025'!B763)</f>
        <v/>
      </c>
      <c r="C763" s="2" t="str">
        <f>IF('1.1 Produksi Bersih Padi 2025'!C763="","",'1.1 Produksi Bersih Padi 2025'!C763)</f>
        <v/>
      </c>
      <c r="D763" s="3" t="str">
        <f>IF('1.1 Produksi Bersih Padi 2025'!D763="","",'1.1 Produksi Bersih Padi 2025'!D763)</f>
        <v/>
      </c>
      <c r="E763" s="3" t="str">
        <f>IF('1.1 Produksi Bersih Padi 2025'!E763="","",'1.1 Produksi Bersih Padi 2025'!E763)</f>
        <v/>
      </c>
      <c r="F763" s="28" t="str">
        <f>IF(D763="","",VLOOKUP(D763,'[1]0.1 Produksi Pangan &amp; Penduduk'!$D$5:$S$860,16,0))</f>
        <v/>
      </c>
      <c r="G763" s="28" t="str">
        <f t="shared" si="66"/>
        <v/>
      </c>
      <c r="H763" s="29" t="str">
        <f t="shared" si="67"/>
        <v/>
      </c>
      <c r="I763" s="29" t="str">
        <f t="shared" si="68"/>
        <v/>
      </c>
      <c r="J763" s="29" t="str">
        <f t="shared" si="69"/>
        <v/>
      </c>
      <c r="K763" s="29" t="str">
        <f t="shared" si="70"/>
        <v/>
      </c>
      <c r="L763" s="29" t="str">
        <f t="shared" si="71"/>
        <v/>
      </c>
    </row>
    <row r="764" spans="1:12" ht="15" x14ac:dyDescent="0.25">
      <c r="A764" s="1" t="str">
        <f>IF('1.1 Produksi Bersih Padi 2025'!A764="","",'1.1 Produksi Bersih Padi 2025'!A764)</f>
        <v/>
      </c>
      <c r="B764" s="2" t="str">
        <f>IF('1.1 Produksi Bersih Padi 2025'!B764="","",'1.1 Produksi Bersih Padi 2025'!B764)</f>
        <v/>
      </c>
      <c r="C764" s="2" t="str">
        <f>IF('1.1 Produksi Bersih Padi 2025'!C764="","",'1.1 Produksi Bersih Padi 2025'!C764)</f>
        <v/>
      </c>
      <c r="D764" s="3" t="str">
        <f>IF('1.1 Produksi Bersih Padi 2025'!D764="","",'1.1 Produksi Bersih Padi 2025'!D764)</f>
        <v/>
      </c>
      <c r="E764" s="3" t="str">
        <f>IF('1.1 Produksi Bersih Padi 2025'!E764="","",'1.1 Produksi Bersih Padi 2025'!E764)</f>
        <v/>
      </c>
      <c r="F764" s="28" t="str">
        <f>IF(D764="","",VLOOKUP(D764,'[1]0.1 Produksi Pangan &amp; Penduduk'!$D$5:$S$860,16,0))</f>
        <v/>
      </c>
      <c r="G764" s="28" t="str">
        <f t="shared" si="66"/>
        <v/>
      </c>
      <c r="H764" s="29" t="str">
        <f t="shared" si="67"/>
        <v/>
      </c>
      <c r="I764" s="29" t="str">
        <f t="shared" si="68"/>
        <v/>
      </c>
      <c r="J764" s="29" t="str">
        <f t="shared" si="69"/>
        <v/>
      </c>
      <c r="K764" s="29" t="str">
        <f t="shared" si="70"/>
        <v/>
      </c>
      <c r="L764" s="29" t="str">
        <f t="shared" si="71"/>
        <v/>
      </c>
    </row>
    <row r="765" spans="1:12" ht="15" x14ac:dyDescent="0.25">
      <c r="A765" s="1" t="str">
        <f>IF('1.1 Produksi Bersih Padi 2025'!A765="","",'1.1 Produksi Bersih Padi 2025'!A765)</f>
        <v/>
      </c>
      <c r="B765" s="2" t="str">
        <f>IF('1.1 Produksi Bersih Padi 2025'!B765="","",'1.1 Produksi Bersih Padi 2025'!B765)</f>
        <v/>
      </c>
      <c r="C765" s="2" t="str">
        <f>IF('1.1 Produksi Bersih Padi 2025'!C765="","",'1.1 Produksi Bersih Padi 2025'!C765)</f>
        <v/>
      </c>
      <c r="D765" s="3" t="str">
        <f>IF('1.1 Produksi Bersih Padi 2025'!D765="","",'1.1 Produksi Bersih Padi 2025'!D765)</f>
        <v/>
      </c>
      <c r="E765" s="3" t="str">
        <f>IF('1.1 Produksi Bersih Padi 2025'!E765="","",'1.1 Produksi Bersih Padi 2025'!E765)</f>
        <v/>
      </c>
      <c r="F765" s="28" t="str">
        <f>IF(D765="","",VLOOKUP(D765,'[1]0.1 Produksi Pangan &amp; Penduduk'!$D$5:$S$860,16,0))</f>
        <v/>
      </c>
      <c r="G765" s="28" t="str">
        <f t="shared" si="66"/>
        <v/>
      </c>
      <c r="H765" s="29" t="str">
        <f t="shared" si="67"/>
        <v/>
      </c>
      <c r="I765" s="29" t="str">
        <f t="shared" si="68"/>
        <v/>
      </c>
      <c r="J765" s="29" t="str">
        <f t="shared" si="69"/>
        <v/>
      </c>
      <c r="K765" s="29" t="str">
        <f t="shared" si="70"/>
        <v/>
      </c>
      <c r="L765" s="29" t="str">
        <f t="shared" si="71"/>
        <v/>
      </c>
    </row>
    <row r="766" spans="1:12" ht="15" x14ac:dyDescent="0.25">
      <c r="A766" s="1" t="str">
        <f>IF('1.1 Produksi Bersih Padi 2025'!A766="","",'1.1 Produksi Bersih Padi 2025'!A766)</f>
        <v/>
      </c>
      <c r="B766" s="2" t="str">
        <f>IF('1.1 Produksi Bersih Padi 2025'!B766="","",'1.1 Produksi Bersih Padi 2025'!B766)</f>
        <v/>
      </c>
      <c r="C766" s="2" t="str">
        <f>IF('1.1 Produksi Bersih Padi 2025'!C766="","",'1.1 Produksi Bersih Padi 2025'!C766)</f>
        <v/>
      </c>
      <c r="D766" s="3" t="str">
        <f>IF('1.1 Produksi Bersih Padi 2025'!D766="","",'1.1 Produksi Bersih Padi 2025'!D766)</f>
        <v/>
      </c>
      <c r="E766" s="3" t="str">
        <f>IF('1.1 Produksi Bersih Padi 2025'!E766="","",'1.1 Produksi Bersih Padi 2025'!E766)</f>
        <v/>
      </c>
      <c r="F766" s="28" t="str">
        <f>IF(D766="","",VLOOKUP(D766,'[1]0.1 Produksi Pangan &amp; Penduduk'!$D$5:$S$860,16,0))</f>
        <v/>
      </c>
      <c r="G766" s="28" t="str">
        <f t="shared" si="66"/>
        <v/>
      </c>
      <c r="H766" s="29" t="str">
        <f t="shared" si="67"/>
        <v/>
      </c>
      <c r="I766" s="29" t="str">
        <f t="shared" si="68"/>
        <v/>
      </c>
      <c r="J766" s="29" t="str">
        <f t="shared" si="69"/>
        <v/>
      </c>
      <c r="K766" s="29" t="str">
        <f t="shared" si="70"/>
        <v/>
      </c>
      <c r="L766" s="29" t="str">
        <f t="shared" si="71"/>
        <v/>
      </c>
    </row>
    <row r="767" spans="1:12" ht="15" x14ac:dyDescent="0.25">
      <c r="A767" s="1" t="str">
        <f>IF('1.1 Produksi Bersih Padi 2025'!A767="","",'1.1 Produksi Bersih Padi 2025'!A767)</f>
        <v/>
      </c>
      <c r="B767" s="2" t="str">
        <f>IF('1.1 Produksi Bersih Padi 2025'!B767="","",'1.1 Produksi Bersih Padi 2025'!B767)</f>
        <v/>
      </c>
      <c r="C767" s="2" t="str">
        <f>IF('1.1 Produksi Bersih Padi 2025'!C767="","",'1.1 Produksi Bersih Padi 2025'!C767)</f>
        <v/>
      </c>
      <c r="D767" s="3" t="str">
        <f>IF('1.1 Produksi Bersih Padi 2025'!D767="","",'1.1 Produksi Bersih Padi 2025'!D767)</f>
        <v/>
      </c>
      <c r="E767" s="3" t="str">
        <f>IF('1.1 Produksi Bersih Padi 2025'!E767="","",'1.1 Produksi Bersih Padi 2025'!E767)</f>
        <v/>
      </c>
      <c r="F767" s="28" t="str">
        <f>IF(D767="","",VLOOKUP(D767,'[1]0.1 Produksi Pangan &amp; Penduduk'!$D$5:$S$860,16,0))</f>
        <v/>
      </c>
      <c r="G767" s="28" t="str">
        <f t="shared" si="66"/>
        <v/>
      </c>
      <c r="H767" s="29" t="str">
        <f t="shared" si="67"/>
        <v/>
      </c>
      <c r="I767" s="29" t="str">
        <f t="shared" si="68"/>
        <v/>
      </c>
      <c r="J767" s="29" t="str">
        <f t="shared" si="69"/>
        <v/>
      </c>
      <c r="K767" s="29" t="str">
        <f t="shared" si="70"/>
        <v/>
      </c>
      <c r="L767" s="29" t="str">
        <f t="shared" si="71"/>
        <v/>
      </c>
    </row>
    <row r="768" spans="1:12" ht="15" x14ac:dyDescent="0.25">
      <c r="A768" s="1" t="str">
        <f>IF('1.1 Produksi Bersih Padi 2025'!A768="","",'1.1 Produksi Bersih Padi 2025'!A768)</f>
        <v/>
      </c>
      <c r="B768" s="2" t="str">
        <f>IF('1.1 Produksi Bersih Padi 2025'!B768="","",'1.1 Produksi Bersih Padi 2025'!B768)</f>
        <v/>
      </c>
      <c r="C768" s="2" t="str">
        <f>IF('1.1 Produksi Bersih Padi 2025'!C768="","",'1.1 Produksi Bersih Padi 2025'!C768)</f>
        <v/>
      </c>
      <c r="D768" s="3" t="str">
        <f>IF('1.1 Produksi Bersih Padi 2025'!D768="","",'1.1 Produksi Bersih Padi 2025'!D768)</f>
        <v/>
      </c>
      <c r="E768" s="3" t="str">
        <f>IF('1.1 Produksi Bersih Padi 2025'!E768="","",'1.1 Produksi Bersih Padi 2025'!E768)</f>
        <v/>
      </c>
      <c r="F768" s="28" t="str">
        <f>IF(D768="","",VLOOKUP(D768,'[1]0.1 Produksi Pangan &amp; Penduduk'!$D$5:$S$860,16,0))</f>
        <v/>
      </c>
      <c r="G768" s="28" t="str">
        <f t="shared" si="66"/>
        <v/>
      </c>
      <c r="H768" s="29" t="str">
        <f t="shared" si="67"/>
        <v/>
      </c>
      <c r="I768" s="29" t="str">
        <f t="shared" si="68"/>
        <v/>
      </c>
      <c r="J768" s="29" t="str">
        <f t="shared" si="69"/>
        <v/>
      </c>
      <c r="K768" s="29" t="str">
        <f t="shared" si="70"/>
        <v/>
      </c>
      <c r="L768" s="29" t="str">
        <f t="shared" si="71"/>
        <v/>
      </c>
    </row>
    <row r="769" spans="1:12" ht="15" x14ac:dyDescent="0.25">
      <c r="A769" s="1" t="str">
        <f>IF('1.1 Produksi Bersih Padi 2025'!A769="","",'1.1 Produksi Bersih Padi 2025'!A769)</f>
        <v/>
      </c>
      <c r="B769" s="2" t="str">
        <f>IF('1.1 Produksi Bersih Padi 2025'!B769="","",'1.1 Produksi Bersih Padi 2025'!B769)</f>
        <v/>
      </c>
      <c r="C769" s="2" t="str">
        <f>IF('1.1 Produksi Bersih Padi 2025'!C769="","",'1.1 Produksi Bersih Padi 2025'!C769)</f>
        <v/>
      </c>
      <c r="D769" s="3" t="str">
        <f>IF('1.1 Produksi Bersih Padi 2025'!D769="","",'1.1 Produksi Bersih Padi 2025'!D769)</f>
        <v/>
      </c>
      <c r="E769" s="3" t="str">
        <f>IF('1.1 Produksi Bersih Padi 2025'!E769="","",'1.1 Produksi Bersih Padi 2025'!E769)</f>
        <v/>
      </c>
      <c r="F769" s="28" t="str">
        <f>IF(D769="","",VLOOKUP(D769,'[1]0.1 Produksi Pangan &amp; Penduduk'!$D$5:$S$860,16,0))</f>
        <v/>
      </c>
      <c r="G769" s="28" t="str">
        <f t="shared" si="66"/>
        <v/>
      </c>
      <c r="H769" s="29" t="str">
        <f t="shared" si="67"/>
        <v/>
      </c>
      <c r="I769" s="29" t="str">
        <f t="shared" si="68"/>
        <v/>
      </c>
      <c r="J769" s="29" t="str">
        <f t="shared" si="69"/>
        <v/>
      </c>
      <c r="K769" s="29" t="str">
        <f t="shared" si="70"/>
        <v/>
      </c>
      <c r="L769" s="29" t="str">
        <f t="shared" si="71"/>
        <v/>
      </c>
    </row>
    <row r="770" spans="1:12" ht="15" x14ac:dyDescent="0.25">
      <c r="A770" s="1" t="str">
        <f>IF('1.1 Produksi Bersih Padi 2025'!A770="","",'1.1 Produksi Bersih Padi 2025'!A770)</f>
        <v/>
      </c>
      <c r="B770" s="2" t="str">
        <f>IF('1.1 Produksi Bersih Padi 2025'!B770="","",'1.1 Produksi Bersih Padi 2025'!B770)</f>
        <v/>
      </c>
      <c r="C770" s="2" t="str">
        <f>IF('1.1 Produksi Bersih Padi 2025'!C770="","",'1.1 Produksi Bersih Padi 2025'!C770)</f>
        <v/>
      </c>
      <c r="D770" s="3" t="str">
        <f>IF('1.1 Produksi Bersih Padi 2025'!D770="","",'1.1 Produksi Bersih Padi 2025'!D770)</f>
        <v/>
      </c>
      <c r="E770" s="3" t="str">
        <f>IF('1.1 Produksi Bersih Padi 2025'!E770="","",'1.1 Produksi Bersih Padi 2025'!E770)</f>
        <v/>
      </c>
      <c r="F770" s="28" t="str">
        <f>IF(D770="","",VLOOKUP(D770,'[1]0.1 Produksi Pangan &amp; Penduduk'!$D$5:$S$860,16,0))</f>
        <v/>
      </c>
      <c r="G770" s="28" t="str">
        <f t="shared" si="66"/>
        <v/>
      </c>
      <c r="H770" s="29" t="str">
        <f t="shared" si="67"/>
        <v/>
      </c>
      <c r="I770" s="29" t="str">
        <f t="shared" si="68"/>
        <v/>
      </c>
      <c r="J770" s="29" t="str">
        <f t="shared" si="69"/>
        <v/>
      </c>
      <c r="K770" s="29" t="str">
        <f t="shared" si="70"/>
        <v/>
      </c>
      <c r="L770" s="29" t="str">
        <f t="shared" si="71"/>
        <v/>
      </c>
    </row>
    <row r="771" spans="1:12" ht="15" x14ac:dyDescent="0.25">
      <c r="A771" s="1" t="str">
        <f>IF('1.1 Produksi Bersih Padi 2025'!A771="","",'1.1 Produksi Bersih Padi 2025'!A771)</f>
        <v/>
      </c>
      <c r="B771" s="2" t="str">
        <f>IF('1.1 Produksi Bersih Padi 2025'!B771="","",'1.1 Produksi Bersih Padi 2025'!B771)</f>
        <v/>
      </c>
      <c r="C771" s="2" t="str">
        <f>IF('1.1 Produksi Bersih Padi 2025'!C771="","",'1.1 Produksi Bersih Padi 2025'!C771)</f>
        <v/>
      </c>
      <c r="D771" s="3" t="str">
        <f>IF('1.1 Produksi Bersih Padi 2025'!D771="","",'1.1 Produksi Bersih Padi 2025'!D771)</f>
        <v/>
      </c>
      <c r="E771" s="3" t="str">
        <f>IF('1.1 Produksi Bersih Padi 2025'!E771="","",'1.1 Produksi Bersih Padi 2025'!E771)</f>
        <v/>
      </c>
      <c r="F771" s="28" t="str">
        <f>IF(D771="","",VLOOKUP(D771,'[1]0.1 Produksi Pangan &amp; Penduduk'!$D$5:$S$860,16,0))</f>
        <v/>
      </c>
      <c r="G771" s="28" t="str">
        <f t="shared" si="66"/>
        <v/>
      </c>
      <c r="H771" s="29" t="str">
        <f t="shared" si="67"/>
        <v/>
      </c>
      <c r="I771" s="29" t="str">
        <f t="shared" si="68"/>
        <v/>
      </c>
      <c r="J771" s="29" t="str">
        <f t="shared" si="69"/>
        <v/>
      </c>
      <c r="K771" s="29" t="str">
        <f t="shared" si="70"/>
        <v/>
      </c>
      <c r="L771" s="29" t="str">
        <f t="shared" si="71"/>
        <v/>
      </c>
    </row>
    <row r="772" spans="1:12" ht="15" x14ac:dyDescent="0.25">
      <c r="A772" s="1" t="str">
        <f>IF('1.1 Produksi Bersih Padi 2025'!A772="","",'1.1 Produksi Bersih Padi 2025'!A772)</f>
        <v/>
      </c>
      <c r="B772" s="2" t="str">
        <f>IF('1.1 Produksi Bersih Padi 2025'!B772="","",'1.1 Produksi Bersih Padi 2025'!B772)</f>
        <v/>
      </c>
      <c r="C772" s="2" t="str">
        <f>IF('1.1 Produksi Bersih Padi 2025'!C772="","",'1.1 Produksi Bersih Padi 2025'!C772)</f>
        <v/>
      </c>
      <c r="D772" s="3" t="str">
        <f>IF('1.1 Produksi Bersih Padi 2025'!D772="","",'1.1 Produksi Bersih Padi 2025'!D772)</f>
        <v/>
      </c>
      <c r="E772" s="3" t="str">
        <f>IF('1.1 Produksi Bersih Padi 2025'!E772="","",'1.1 Produksi Bersih Padi 2025'!E772)</f>
        <v/>
      </c>
      <c r="F772" s="28" t="str">
        <f>IF(D772="","",VLOOKUP(D772,'[1]0.1 Produksi Pangan &amp; Penduduk'!$D$5:$S$860,16,0))</f>
        <v/>
      </c>
      <c r="G772" s="28" t="str">
        <f t="shared" si="66"/>
        <v/>
      </c>
      <c r="H772" s="29" t="str">
        <f t="shared" si="67"/>
        <v/>
      </c>
      <c r="I772" s="29" t="str">
        <f t="shared" si="68"/>
        <v/>
      </c>
      <c r="J772" s="29" t="str">
        <f t="shared" si="69"/>
        <v/>
      </c>
      <c r="K772" s="29" t="str">
        <f t="shared" si="70"/>
        <v/>
      </c>
      <c r="L772" s="29" t="str">
        <f t="shared" si="71"/>
        <v/>
      </c>
    </row>
    <row r="773" spans="1:12" ht="15" x14ac:dyDescent="0.25">
      <c r="A773" s="1" t="str">
        <f>IF('1.1 Produksi Bersih Padi 2025'!A773="","",'1.1 Produksi Bersih Padi 2025'!A773)</f>
        <v/>
      </c>
      <c r="B773" s="2" t="str">
        <f>IF('1.1 Produksi Bersih Padi 2025'!B773="","",'1.1 Produksi Bersih Padi 2025'!B773)</f>
        <v/>
      </c>
      <c r="C773" s="2" t="str">
        <f>IF('1.1 Produksi Bersih Padi 2025'!C773="","",'1.1 Produksi Bersih Padi 2025'!C773)</f>
        <v/>
      </c>
      <c r="D773" s="3" t="str">
        <f>IF('1.1 Produksi Bersih Padi 2025'!D773="","",'1.1 Produksi Bersih Padi 2025'!D773)</f>
        <v/>
      </c>
      <c r="E773" s="3" t="str">
        <f>IF('1.1 Produksi Bersih Padi 2025'!E773="","",'1.1 Produksi Bersih Padi 2025'!E773)</f>
        <v/>
      </c>
      <c r="F773" s="28" t="str">
        <f>IF(D773="","",VLOOKUP(D773,'[1]0.1 Produksi Pangan &amp; Penduduk'!$D$5:$S$860,16,0))</f>
        <v/>
      </c>
      <c r="G773" s="28" t="str">
        <f t="shared" si="66"/>
        <v/>
      </c>
      <c r="H773" s="29" t="str">
        <f t="shared" si="67"/>
        <v/>
      </c>
      <c r="I773" s="29" t="str">
        <f t="shared" si="68"/>
        <v/>
      </c>
      <c r="J773" s="29" t="str">
        <f t="shared" si="69"/>
        <v/>
      </c>
      <c r="K773" s="29" t="str">
        <f t="shared" si="70"/>
        <v/>
      </c>
      <c r="L773" s="29" t="str">
        <f t="shared" si="71"/>
        <v/>
      </c>
    </row>
    <row r="774" spans="1:12" ht="15" x14ac:dyDescent="0.25">
      <c r="A774" s="1" t="str">
        <f>IF('1.1 Produksi Bersih Padi 2025'!A774="","",'1.1 Produksi Bersih Padi 2025'!A774)</f>
        <v/>
      </c>
      <c r="B774" s="2" t="str">
        <f>IF('1.1 Produksi Bersih Padi 2025'!B774="","",'1.1 Produksi Bersih Padi 2025'!B774)</f>
        <v/>
      </c>
      <c r="C774" s="2" t="str">
        <f>IF('1.1 Produksi Bersih Padi 2025'!C774="","",'1.1 Produksi Bersih Padi 2025'!C774)</f>
        <v/>
      </c>
      <c r="D774" s="3" t="str">
        <f>IF('1.1 Produksi Bersih Padi 2025'!D774="","",'1.1 Produksi Bersih Padi 2025'!D774)</f>
        <v/>
      </c>
      <c r="E774" s="3" t="str">
        <f>IF('1.1 Produksi Bersih Padi 2025'!E774="","",'1.1 Produksi Bersih Padi 2025'!E774)</f>
        <v/>
      </c>
      <c r="F774" s="28" t="str">
        <f>IF(D774="","",VLOOKUP(D774,'[1]0.1 Produksi Pangan &amp; Penduduk'!$D$5:$S$860,16,0))</f>
        <v/>
      </c>
      <c r="G774" s="28" t="str">
        <f t="shared" ref="G774:G837" si="72">IF(F774="","",F774*73.9252%)</f>
        <v/>
      </c>
      <c r="H774" s="29" t="str">
        <f t="shared" ref="H774:H837" si="73">IF(G774="","",G774*0.345%)</f>
        <v/>
      </c>
      <c r="I774" s="29" t="str">
        <f t="shared" ref="I774:I837" si="74">IF(G774="","",G774*78.806%)</f>
        <v/>
      </c>
      <c r="J774" s="29" t="str">
        <f t="shared" ref="J774:J837" si="75">IF(G774="","",G774*4.62%)</f>
        <v/>
      </c>
      <c r="K774" s="29" t="str">
        <f t="shared" ref="K774:K837" si="76">IF(G774="","",G774-(H774+I774+J774))</f>
        <v/>
      </c>
      <c r="L774" s="29" t="str">
        <f t="shared" ref="L774:L837" si="77">IF(K774="","",K774*1.017)</f>
        <v/>
      </c>
    </row>
    <row r="775" spans="1:12" ht="15" x14ac:dyDescent="0.25">
      <c r="A775" s="1" t="str">
        <f>IF('1.1 Produksi Bersih Padi 2025'!A775="","",'1.1 Produksi Bersih Padi 2025'!A775)</f>
        <v/>
      </c>
      <c r="B775" s="2" t="str">
        <f>IF('1.1 Produksi Bersih Padi 2025'!B775="","",'1.1 Produksi Bersih Padi 2025'!B775)</f>
        <v/>
      </c>
      <c r="C775" s="2" t="str">
        <f>IF('1.1 Produksi Bersih Padi 2025'!C775="","",'1.1 Produksi Bersih Padi 2025'!C775)</f>
        <v/>
      </c>
      <c r="D775" s="3" t="str">
        <f>IF('1.1 Produksi Bersih Padi 2025'!D775="","",'1.1 Produksi Bersih Padi 2025'!D775)</f>
        <v/>
      </c>
      <c r="E775" s="3" t="str">
        <f>IF('1.1 Produksi Bersih Padi 2025'!E775="","",'1.1 Produksi Bersih Padi 2025'!E775)</f>
        <v/>
      </c>
      <c r="F775" s="28" t="str">
        <f>IF(D775="","",VLOOKUP(D775,'[1]0.1 Produksi Pangan &amp; Penduduk'!$D$5:$S$860,16,0))</f>
        <v/>
      </c>
      <c r="G775" s="28" t="str">
        <f t="shared" si="72"/>
        <v/>
      </c>
      <c r="H775" s="29" t="str">
        <f t="shared" si="73"/>
        <v/>
      </c>
      <c r="I775" s="29" t="str">
        <f t="shared" si="74"/>
        <v/>
      </c>
      <c r="J775" s="29" t="str">
        <f t="shared" si="75"/>
        <v/>
      </c>
      <c r="K775" s="29" t="str">
        <f t="shared" si="76"/>
        <v/>
      </c>
      <c r="L775" s="29" t="str">
        <f t="shared" si="77"/>
        <v/>
      </c>
    </row>
    <row r="776" spans="1:12" ht="15" x14ac:dyDescent="0.25">
      <c r="A776" s="1" t="str">
        <f>IF('1.1 Produksi Bersih Padi 2025'!A776="","",'1.1 Produksi Bersih Padi 2025'!A776)</f>
        <v/>
      </c>
      <c r="B776" s="2" t="str">
        <f>IF('1.1 Produksi Bersih Padi 2025'!B776="","",'1.1 Produksi Bersih Padi 2025'!B776)</f>
        <v/>
      </c>
      <c r="C776" s="2" t="str">
        <f>IF('1.1 Produksi Bersih Padi 2025'!C776="","",'1.1 Produksi Bersih Padi 2025'!C776)</f>
        <v/>
      </c>
      <c r="D776" s="3" t="str">
        <f>IF('1.1 Produksi Bersih Padi 2025'!D776="","",'1.1 Produksi Bersih Padi 2025'!D776)</f>
        <v/>
      </c>
      <c r="E776" s="3" t="str">
        <f>IF('1.1 Produksi Bersih Padi 2025'!E776="","",'1.1 Produksi Bersih Padi 2025'!E776)</f>
        <v/>
      </c>
      <c r="F776" s="28" t="str">
        <f>IF(D776="","",VLOOKUP(D776,'[1]0.1 Produksi Pangan &amp; Penduduk'!$D$5:$S$860,16,0))</f>
        <v/>
      </c>
      <c r="G776" s="28" t="str">
        <f t="shared" si="72"/>
        <v/>
      </c>
      <c r="H776" s="29" t="str">
        <f t="shared" si="73"/>
        <v/>
      </c>
      <c r="I776" s="29" t="str">
        <f t="shared" si="74"/>
        <v/>
      </c>
      <c r="J776" s="29" t="str">
        <f t="shared" si="75"/>
        <v/>
      </c>
      <c r="K776" s="29" t="str">
        <f t="shared" si="76"/>
        <v/>
      </c>
      <c r="L776" s="29" t="str">
        <f t="shared" si="77"/>
        <v/>
      </c>
    </row>
    <row r="777" spans="1:12" ht="15" x14ac:dyDescent="0.25">
      <c r="A777" s="1" t="str">
        <f>IF('1.1 Produksi Bersih Padi 2025'!A777="","",'1.1 Produksi Bersih Padi 2025'!A777)</f>
        <v/>
      </c>
      <c r="B777" s="2" t="str">
        <f>IF('1.1 Produksi Bersih Padi 2025'!B777="","",'1.1 Produksi Bersih Padi 2025'!B777)</f>
        <v/>
      </c>
      <c r="C777" s="2" t="str">
        <f>IF('1.1 Produksi Bersih Padi 2025'!C777="","",'1.1 Produksi Bersih Padi 2025'!C777)</f>
        <v/>
      </c>
      <c r="D777" s="3" t="str">
        <f>IF('1.1 Produksi Bersih Padi 2025'!D777="","",'1.1 Produksi Bersih Padi 2025'!D777)</f>
        <v/>
      </c>
      <c r="E777" s="3" t="str">
        <f>IF('1.1 Produksi Bersih Padi 2025'!E777="","",'1.1 Produksi Bersih Padi 2025'!E777)</f>
        <v/>
      </c>
      <c r="F777" s="28" t="str">
        <f>IF(D777="","",VLOOKUP(D777,'[1]0.1 Produksi Pangan &amp; Penduduk'!$D$5:$S$860,16,0))</f>
        <v/>
      </c>
      <c r="G777" s="28" t="str">
        <f t="shared" si="72"/>
        <v/>
      </c>
      <c r="H777" s="29" t="str">
        <f t="shared" si="73"/>
        <v/>
      </c>
      <c r="I777" s="29" t="str">
        <f t="shared" si="74"/>
        <v/>
      </c>
      <c r="J777" s="29" t="str">
        <f t="shared" si="75"/>
        <v/>
      </c>
      <c r="K777" s="29" t="str">
        <f t="shared" si="76"/>
        <v/>
      </c>
      <c r="L777" s="29" t="str">
        <f t="shared" si="77"/>
        <v/>
      </c>
    </row>
    <row r="778" spans="1:12" ht="15" x14ac:dyDescent="0.25">
      <c r="A778" s="1" t="str">
        <f>IF('1.1 Produksi Bersih Padi 2025'!A778="","",'1.1 Produksi Bersih Padi 2025'!A778)</f>
        <v/>
      </c>
      <c r="B778" s="2" t="str">
        <f>IF('1.1 Produksi Bersih Padi 2025'!B778="","",'1.1 Produksi Bersih Padi 2025'!B778)</f>
        <v/>
      </c>
      <c r="C778" s="2" t="str">
        <f>IF('1.1 Produksi Bersih Padi 2025'!C778="","",'1.1 Produksi Bersih Padi 2025'!C778)</f>
        <v/>
      </c>
      <c r="D778" s="3" t="str">
        <f>IF('1.1 Produksi Bersih Padi 2025'!D778="","",'1.1 Produksi Bersih Padi 2025'!D778)</f>
        <v/>
      </c>
      <c r="E778" s="3" t="str">
        <f>IF('1.1 Produksi Bersih Padi 2025'!E778="","",'1.1 Produksi Bersih Padi 2025'!E778)</f>
        <v/>
      </c>
      <c r="F778" s="28" t="str">
        <f>IF(D778="","",VLOOKUP(D778,'[1]0.1 Produksi Pangan &amp; Penduduk'!$D$5:$S$860,16,0))</f>
        <v/>
      </c>
      <c r="G778" s="28" t="str">
        <f t="shared" si="72"/>
        <v/>
      </c>
      <c r="H778" s="29" t="str">
        <f t="shared" si="73"/>
        <v/>
      </c>
      <c r="I778" s="29" t="str">
        <f t="shared" si="74"/>
        <v/>
      </c>
      <c r="J778" s="29" t="str">
        <f t="shared" si="75"/>
        <v/>
      </c>
      <c r="K778" s="29" t="str">
        <f t="shared" si="76"/>
        <v/>
      </c>
      <c r="L778" s="29" t="str">
        <f t="shared" si="77"/>
        <v/>
      </c>
    </row>
    <row r="779" spans="1:12" ht="15" x14ac:dyDescent="0.25">
      <c r="A779" s="1" t="str">
        <f>IF('1.1 Produksi Bersih Padi 2025'!A779="","",'1.1 Produksi Bersih Padi 2025'!A779)</f>
        <v/>
      </c>
      <c r="B779" s="2" t="str">
        <f>IF('1.1 Produksi Bersih Padi 2025'!B779="","",'1.1 Produksi Bersih Padi 2025'!B779)</f>
        <v/>
      </c>
      <c r="C779" s="2" t="str">
        <f>IF('1.1 Produksi Bersih Padi 2025'!C779="","",'1.1 Produksi Bersih Padi 2025'!C779)</f>
        <v/>
      </c>
      <c r="D779" s="3" t="str">
        <f>IF('1.1 Produksi Bersih Padi 2025'!D779="","",'1.1 Produksi Bersih Padi 2025'!D779)</f>
        <v/>
      </c>
      <c r="E779" s="3" t="str">
        <f>IF('1.1 Produksi Bersih Padi 2025'!E779="","",'1.1 Produksi Bersih Padi 2025'!E779)</f>
        <v/>
      </c>
      <c r="F779" s="28" t="str">
        <f>IF(D779="","",VLOOKUP(D779,'[1]0.1 Produksi Pangan &amp; Penduduk'!$D$5:$S$860,16,0))</f>
        <v/>
      </c>
      <c r="G779" s="28" t="str">
        <f t="shared" si="72"/>
        <v/>
      </c>
      <c r="H779" s="29" t="str">
        <f t="shared" si="73"/>
        <v/>
      </c>
      <c r="I779" s="29" t="str">
        <f t="shared" si="74"/>
        <v/>
      </c>
      <c r="J779" s="29" t="str">
        <f t="shared" si="75"/>
        <v/>
      </c>
      <c r="K779" s="29" t="str">
        <f t="shared" si="76"/>
        <v/>
      </c>
      <c r="L779" s="29" t="str">
        <f t="shared" si="77"/>
        <v/>
      </c>
    </row>
    <row r="780" spans="1:12" ht="15" x14ac:dyDescent="0.25">
      <c r="A780" s="1" t="str">
        <f>IF('1.1 Produksi Bersih Padi 2025'!A780="","",'1.1 Produksi Bersih Padi 2025'!A780)</f>
        <v/>
      </c>
      <c r="B780" s="2" t="str">
        <f>IF('1.1 Produksi Bersih Padi 2025'!B780="","",'1.1 Produksi Bersih Padi 2025'!B780)</f>
        <v/>
      </c>
      <c r="C780" s="2" t="str">
        <f>IF('1.1 Produksi Bersih Padi 2025'!C780="","",'1.1 Produksi Bersih Padi 2025'!C780)</f>
        <v/>
      </c>
      <c r="D780" s="3" t="str">
        <f>IF('1.1 Produksi Bersih Padi 2025'!D780="","",'1.1 Produksi Bersih Padi 2025'!D780)</f>
        <v/>
      </c>
      <c r="E780" s="3" t="str">
        <f>IF('1.1 Produksi Bersih Padi 2025'!E780="","",'1.1 Produksi Bersih Padi 2025'!E780)</f>
        <v/>
      </c>
      <c r="F780" s="28" t="str">
        <f>IF(D780="","",VLOOKUP(D780,'[1]0.1 Produksi Pangan &amp; Penduduk'!$D$5:$S$860,16,0))</f>
        <v/>
      </c>
      <c r="G780" s="28" t="str">
        <f t="shared" si="72"/>
        <v/>
      </c>
      <c r="H780" s="29" t="str">
        <f t="shared" si="73"/>
        <v/>
      </c>
      <c r="I780" s="29" t="str">
        <f t="shared" si="74"/>
        <v/>
      </c>
      <c r="J780" s="29" t="str">
        <f t="shared" si="75"/>
        <v/>
      </c>
      <c r="K780" s="29" t="str">
        <f t="shared" si="76"/>
        <v/>
      </c>
      <c r="L780" s="29" t="str">
        <f t="shared" si="77"/>
        <v/>
      </c>
    </row>
    <row r="781" spans="1:12" ht="15" x14ac:dyDescent="0.25">
      <c r="A781" s="1" t="str">
        <f>IF('1.1 Produksi Bersih Padi 2025'!A781="","",'1.1 Produksi Bersih Padi 2025'!A781)</f>
        <v/>
      </c>
      <c r="B781" s="2" t="str">
        <f>IF('1.1 Produksi Bersih Padi 2025'!B781="","",'1.1 Produksi Bersih Padi 2025'!B781)</f>
        <v/>
      </c>
      <c r="C781" s="2" t="str">
        <f>IF('1.1 Produksi Bersih Padi 2025'!C781="","",'1.1 Produksi Bersih Padi 2025'!C781)</f>
        <v/>
      </c>
      <c r="D781" s="3" t="str">
        <f>IF('1.1 Produksi Bersih Padi 2025'!D781="","",'1.1 Produksi Bersih Padi 2025'!D781)</f>
        <v/>
      </c>
      <c r="E781" s="3" t="str">
        <f>IF('1.1 Produksi Bersih Padi 2025'!E781="","",'1.1 Produksi Bersih Padi 2025'!E781)</f>
        <v/>
      </c>
      <c r="F781" s="28" t="str">
        <f>IF(D781="","",VLOOKUP(D781,'[1]0.1 Produksi Pangan &amp; Penduduk'!$D$5:$S$860,16,0))</f>
        <v/>
      </c>
      <c r="G781" s="28" t="str">
        <f t="shared" si="72"/>
        <v/>
      </c>
      <c r="H781" s="29" t="str">
        <f t="shared" si="73"/>
        <v/>
      </c>
      <c r="I781" s="29" t="str">
        <f t="shared" si="74"/>
        <v/>
      </c>
      <c r="J781" s="29" t="str">
        <f t="shared" si="75"/>
        <v/>
      </c>
      <c r="K781" s="29" t="str">
        <f t="shared" si="76"/>
        <v/>
      </c>
      <c r="L781" s="29" t="str">
        <f t="shared" si="77"/>
        <v/>
      </c>
    </row>
    <row r="782" spans="1:12" ht="15" x14ac:dyDescent="0.25">
      <c r="A782" s="1" t="str">
        <f>IF('1.1 Produksi Bersih Padi 2025'!A782="","",'1.1 Produksi Bersih Padi 2025'!A782)</f>
        <v/>
      </c>
      <c r="B782" s="2" t="str">
        <f>IF('1.1 Produksi Bersih Padi 2025'!B782="","",'1.1 Produksi Bersih Padi 2025'!B782)</f>
        <v/>
      </c>
      <c r="C782" s="2" t="str">
        <f>IF('1.1 Produksi Bersih Padi 2025'!C782="","",'1.1 Produksi Bersih Padi 2025'!C782)</f>
        <v/>
      </c>
      <c r="D782" s="3" t="str">
        <f>IF('1.1 Produksi Bersih Padi 2025'!D782="","",'1.1 Produksi Bersih Padi 2025'!D782)</f>
        <v/>
      </c>
      <c r="E782" s="3" t="str">
        <f>IF('1.1 Produksi Bersih Padi 2025'!E782="","",'1.1 Produksi Bersih Padi 2025'!E782)</f>
        <v/>
      </c>
      <c r="F782" s="28" t="str">
        <f>IF(D782="","",VLOOKUP(D782,'[1]0.1 Produksi Pangan &amp; Penduduk'!$D$5:$S$860,16,0))</f>
        <v/>
      </c>
      <c r="G782" s="28" t="str">
        <f t="shared" si="72"/>
        <v/>
      </c>
      <c r="H782" s="29" t="str">
        <f t="shared" si="73"/>
        <v/>
      </c>
      <c r="I782" s="29" t="str">
        <f t="shared" si="74"/>
        <v/>
      </c>
      <c r="J782" s="29" t="str">
        <f t="shared" si="75"/>
        <v/>
      </c>
      <c r="K782" s="29" t="str">
        <f t="shared" si="76"/>
        <v/>
      </c>
      <c r="L782" s="29" t="str">
        <f t="shared" si="77"/>
        <v/>
      </c>
    </row>
    <row r="783" spans="1:12" ht="15" x14ac:dyDescent="0.25">
      <c r="A783" s="1" t="str">
        <f>IF('1.1 Produksi Bersih Padi 2025'!A783="","",'1.1 Produksi Bersih Padi 2025'!A783)</f>
        <v/>
      </c>
      <c r="B783" s="2" t="str">
        <f>IF('1.1 Produksi Bersih Padi 2025'!B783="","",'1.1 Produksi Bersih Padi 2025'!B783)</f>
        <v/>
      </c>
      <c r="C783" s="2" t="str">
        <f>IF('1.1 Produksi Bersih Padi 2025'!C783="","",'1.1 Produksi Bersih Padi 2025'!C783)</f>
        <v/>
      </c>
      <c r="D783" s="3" t="str">
        <f>IF('1.1 Produksi Bersih Padi 2025'!D783="","",'1.1 Produksi Bersih Padi 2025'!D783)</f>
        <v/>
      </c>
      <c r="E783" s="3" t="str">
        <f>IF('1.1 Produksi Bersih Padi 2025'!E783="","",'1.1 Produksi Bersih Padi 2025'!E783)</f>
        <v/>
      </c>
      <c r="F783" s="28" t="str">
        <f>IF(D783="","",VLOOKUP(D783,'[1]0.1 Produksi Pangan &amp; Penduduk'!$D$5:$S$860,16,0))</f>
        <v/>
      </c>
      <c r="G783" s="28" t="str">
        <f t="shared" si="72"/>
        <v/>
      </c>
      <c r="H783" s="29" t="str">
        <f t="shared" si="73"/>
        <v/>
      </c>
      <c r="I783" s="29" t="str">
        <f t="shared" si="74"/>
        <v/>
      </c>
      <c r="J783" s="29" t="str">
        <f t="shared" si="75"/>
        <v/>
      </c>
      <c r="K783" s="29" t="str">
        <f t="shared" si="76"/>
        <v/>
      </c>
      <c r="L783" s="29" t="str">
        <f t="shared" si="77"/>
        <v/>
      </c>
    </row>
    <row r="784" spans="1:12" ht="15" x14ac:dyDescent="0.25">
      <c r="A784" s="1" t="str">
        <f>IF('1.1 Produksi Bersih Padi 2025'!A784="","",'1.1 Produksi Bersih Padi 2025'!A784)</f>
        <v/>
      </c>
      <c r="B784" s="2" t="str">
        <f>IF('1.1 Produksi Bersih Padi 2025'!B784="","",'1.1 Produksi Bersih Padi 2025'!B784)</f>
        <v/>
      </c>
      <c r="C784" s="2" t="str">
        <f>IF('1.1 Produksi Bersih Padi 2025'!C784="","",'1.1 Produksi Bersih Padi 2025'!C784)</f>
        <v/>
      </c>
      <c r="D784" s="3" t="str">
        <f>IF('1.1 Produksi Bersih Padi 2025'!D784="","",'1.1 Produksi Bersih Padi 2025'!D784)</f>
        <v/>
      </c>
      <c r="E784" s="3" t="str">
        <f>IF('1.1 Produksi Bersih Padi 2025'!E784="","",'1.1 Produksi Bersih Padi 2025'!E784)</f>
        <v/>
      </c>
      <c r="F784" s="28" t="str">
        <f>IF(D784="","",VLOOKUP(D784,'[1]0.1 Produksi Pangan &amp; Penduduk'!$D$5:$S$860,16,0))</f>
        <v/>
      </c>
      <c r="G784" s="28" t="str">
        <f t="shared" si="72"/>
        <v/>
      </c>
      <c r="H784" s="29" t="str">
        <f t="shared" si="73"/>
        <v/>
      </c>
      <c r="I784" s="29" t="str">
        <f t="shared" si="74"/>
        <v/>
      </c>
      <c r="J784" s="29" t="str">
        <f t="shared" si="75"/>
        <v/>
      </c>
      <c r="K784" s="29" t="str">
        <f t="shared" si="76"/>
        <v/>
      </c>
      <c r="L784" s="29" t="str">
        <f t="shared" si="77"/>
        <v/>
      </c>
    </row>
    <row r="785" spans="1:12" ht="15" x14ac:dyDescent="0.25">
      <c r="A785" s="1" t="str">
        <f>IF('1.1 Produksi Bersih Padi 2025'!A785="","",'1.1 Produksi Bersih Padi 2025'!A785)</f>
        <v/>
      </c>
      <c r="B785" s="2" t="str">
        <f>IF('1.1 Produksi Bersih Padi 2025'!B785="","",'1.1 Produksi Bersih Padi 2025'!B785)</f>
        <v/>
      </c>
      <c r="C785" s="2" t="str">
        <f>IF('1.1 Produksi Bersih Padi 2025'!C785="","",'1.1 Produksi Bersih Padi 2025'!C785)</f>
        <v/>
      </c>
      <c r="D785" s="3" t="str">
        <f>IF('1.1 Produksi Bersih Padi 2025'!D785="","",'1.1 Produksi Bersih Padi 2025'!D785)</f>
        <v/>
      </c>
      <c r="E785" s="3" t="str">
        <f>IF('1.1 Produksi Bersih Padi 2025'!E785="","",'1.1 Produksi Bersih Padi 2025'!E785)</f>
        <v/>
      </c>
      <c r="F785" s="28" t="str">
        <f>IF(D785="","",VLOOKUP(D785,'[1]0.1 Produksi Pangan &amp; Penduduk'!$D$5:$S$860,16,0))</f>
        <v/>
      </c>
      <c r="G785" s="28" t="str">
        <f t="shared" si="72"/>
        <v/>
      </c>
      <c r="H785" s="29" t="str">
        <f t="shared" si="73"/>
        <v/>
      </c>
      <c r="I785" s="29" t="str">
        <f t="shared" si="74"/>
        <v/>
      </c>
      <c r="J785" s="29" t="str">
        <f t="shared" si="75"/>
        <v/>
      </c>
      <c r="K785" s="29" t="str">
        <f t="shared" si="76"/>
        <v/>
      </c>
      <c r="L785" s="29" t="str">
        <f t="shared" si="77"/>
        <v/>
      </c>
    </row>
    <row r="786" spans="1:12" ht="15" x14ac:dyDescent="0.25">
      <c r="A786" s="1" t="str">
        <f>IF('1.1 Produksi Bersih Padi 2025'!A786="","",'1.1 Produksi Bersih Padi 2025'!A786)</f>
        <v/>
      </c>
      <c r="B786" s="2" t="str">
        <f>IF('1.1 Produksi Bersih Padi 2025'!B786="","",'1.1 Produksi Bersih Padi 2025'!B786)</f>
        <v/>
      </c>
      <c r="C786" s="2" t="str">
        <f>IF('1.1 Produksi Bersih Padi 2025'!C786="","",'1.1 Produksi Bersih Padi 2025'!C786)</f>
        <v/>
      </c>
      <c r="D786" s="3" t="str">
        <f>IF('1.1 Produksi Bersih Padi 2025'!D786="","",'1.1 Produksi Bersih Padi 2025'!D786)</f>
        <v/>
      </c>
      <c r="E786" s="3" t="str">
        <f>IF('1.1 Produksi Bersih Padi 2025'!E786="","",'1.1 Produksi Bersih Padi 2025'!E786)</f>
        <v/>
      </c>
      <c r="F786" s="28" t="str">
        <f>IF(D786="","",VLOOKUP(D786,'[1]0.1 Produksi Pangan &amp; Penduduk'!$D$5:$S$860,16,0))</f>
        <v/>
      </c>
      <c r="G786" s="28" t="str">
        <f t="shared" si="72"/>
        <v/>
      </c>
      <c r="H786" s="29" t="str">
        <f t="shared" si="73"/>
        <v/>
      </c>
      <c r="I786" s="29" t="str">
        <f t="shared" si="74"/>
        <v/>
      </c>
      <c r="J786" s="29" t="str">
        <f t="shared" si="75"/>
        <v/>
      </c>
      <c r="K786" s="29" t="str">
        <f t="shared" si="76"/>
        <v/>
      </c>
      <c r="L786" s="29" t="str">
        <f t="shared" si="77"/>
        <v/>
      </c>
    </row>
    <row r="787" spans="1:12" ht="15" x14ac:dyDescent="0.25">
      <c r="A787" s="1" t="str">
        <f>IF('1.1 Produksi Bersih Padi 2025'!A787="","",'1.1 Produksi Bersih Padi 2025'!A787)</f>
        <v/>
      </c>
      <c r="B787" s="2" t="str">
        <f>IF('1.1 Produksi Bersih Padi 2025'!B787="","",'1.1 Produksi Bersih Padi 2025'!B787)</f>
        <v/>
      </c>
      <c r="C787" s="2" t="str">
        <f>IF('1.1 Produksi Bersih Padi 2025'!C787="","",'1.1 Produksi Bersih Padi 2025'!C787)</f>
        <v/>
      </c>
      <c r="D787" s="3" t="str">
        <f>IF('1.1 Produksi Bersih Padi 2025'!D787="","",'1.1 Produksi Bersih Padi 2025'!D787)</f>
        <v/>
      </c>
      <c r="E787" s="3" t="str">
        <f>IF('1.1 Produksi Bersih Padi 2025'!E787="","",'1.1 Produksi Bersih Padi 2025'!E787)</f>
        <v/>
      </c>
      <c r="F787" s="28" t="str">
        <f>IF(D787="","",VLOOKUP(D787,'[1]0.1 Produksi Pangan &amp; Penduduk'!$D$5:$S$860,16,0))</f>
        <v/>
      </c>
      <c r="G787" s="28" t="str">
        <f t="shared" si="72"/>
        <v/>
      </c>
      <c r="H787" s="29" t="str">
        <f t="shared" si="73"/>
        <v/>
      </c>
      <c r="I787" s="29" t="str">
        <f t="shared" si="74"/>
        <v/>
      </c>
      <c r="J787" s="29" t="str">
        <f t="shared" si="75"/>
        <v/>
      </c>
      <c r="K787" s="29" t="str">
        <f t="shared" si="76"/>
        <v/>
      </c>
      <c r="L787" s="29" t="str">
        <f t="shared" si="77"/>
        <v/>
      </c>
    </row>
    <row r="788" spans="1:12" ht="15" x14ac:dyDescent="0.25">
      <c r="A788" s="1" t="str">
        <f>IF('1.1 Produksi Bersih Padi 2025'!A788="","",'1.1 Produksi Bersih Padi 2025'!A788)</f>
        <v/>
      </c>
      <c r="B788" s="2" t="str">
        <f>IF('1.1 Produksi Bersih Padi 2025'!B788="","",'1.1 Produksi Bersih Padi 2025'!B788)</f>
        <v/>
      </c>
      <c r="C788" s="2" t="str">
        <f>IF('1.1 Produksi Bersih Padi 2025'!C788="","",'1.1 Produksi Bersih Padi 2025'!C788)</f>
        <v/>
      </c>
      <c r="D788" s="3" t="str">
        <f>IF('1.1 Produksi Bersih Padi 2025'!D788="","",'1.1 Produksi Bersih Padi 2025'!D788)</f>
        <v/>
      </c>
      <c r="E788" s="3" t="str">
        <f>IF('1.1 Produksi Bersih Padi 2025'!E788="","",'1.1 Produksi Bersih Padi 2025'!E788)</f>
        <v/>
      </c>
      <c r="F788" s="28" t="str">
        <f>IF(D788="","",VLOOKUP(D788,'[1]0.1 Produksi Pangan &amp; Penduduk'!$D$5:$S$860,16,0))</f>
        <v/>
      </c>
      <c r="G788" s="28" t="str">
        <f t="shared" si="72"/>
        <v/>
      </c>
      <c r="H788" s="29" t="str">
        <f t="shared" si="73"/>
        <v/>
      </c>
      <c r="I788" s="29" t="str">
        <f t="shared" si="74"/>
        <v/>
      </c>
      <c r="J788" s="29" t="str">
        <f t="shared" si="75"/>
        <v/>
      </c>
      <c r="K788" s="29" t="str">
        <f t="shared" si="76"/>
        <v/>
      </c>
      <c r="L788" s="29" t="str">
        <f t="shared" si="77"/>
        <v/>
      </c>
    </row>
    <row r="789" spans="1:12" ht="15" x14ac:dyDescent="0.25">
      <c r="A789" s="1" t="str">
        <f>IF('1.1 Produksi Bersih Padi 2025'!A789="","",'1.1 Produksi Bersih Padi 2025'!A789)</f>
        <v/>
      </c>
      <c r="B789" s="2" t="str">
        <f>IF('1.1 Produksi Bersih Padi 2025'!B789="","",'1.1 Produksi Bersih Padi 2025'!B789)</f>
        <v/>
      </c>
      <c r="C789" s="2" t="str">
        <f>IF('1.1 Produksi Bersih Padi 2025'!C789="","",'1.1 Produksi Bersih Padi 2025'!C789)</f>
        <v/>
      </c>
      <c r="D789" s="3" t="str">
        <f>IF('1.1 Produksi Bersih Padi 2025'!D789="","",'1.1 Produksi Bersih Padi 2025'!D789)</f>
        <v/>
      </c>
      <c r="E789" s="3" t="str">
        <f>IF('1.1 Produksi Bersih Padi 2025'!E789="","",'1.1 Produksi Bersih Padi 2025'!E789)</f>
        <v/>
      </c>
      <c r="F789" s="28" t="str">
        <f>IF(D789="","",VLOOKUP(D789,'[1]0.1 Produksi Pangan &amp; Penduduk'!$D$5:$S$860,16,0))</f>
        <v/>
      </c>
      <c r="G789" s="28" t="str">
        <f t="shared" si="72"/>
        <v/>
      </c>
      <c r="H789" s="29" t="str">
        <f t="shared" si="73"/>
        <v/>
      </c>
      <c r="I789" s="29" t="str">
        <f t="shared" si="74"/>
        <v/>
      </c>
      <c r="J789" s="29" t="str">
        <f t="shared" si="75"/>
        <v/>
      </c>
      <c r="K789" s="29" t="str">
        <f t="shared" si="76"/>
        <v/>
      </c>
      <c r="L789" s="29" t="str">
        <f t="shared" si="77"/>
        <v/>
      </c>
    </row>
    <row r="790" spans="1:12" ht="15" x14ac:dyDescent="0.25">
      <c r="A790" s="1" t="str">
        <f>IF('1.1 Produksi Bersih Padi 2025'!A790="","",'1.1 Produksi Bersih Padi 2025'!A790)</f>
        <v/>
      </c>
      <c r="B790" s="2" t="str">
        <f>IF('1.1 Produksi Bersih Padi 2025'!B790="","",'1.1 Produksi Bersih Padi 2025'!B790)</f>
        <v/>
      </c>
      <c r="C790" s="2" t="str">
        <f>IF('1.1 Produksi Bersih Padi 2025'!C790="","",'1.1 Produksi Bersih Padi 2025'!C790)</f>
        <v/>
      </c>
      <c r="D790" s="3" t="str">
        <f>IF('1.1 Produksi Bersih Padi 2025'!D790="","",'1.1 Produksi Bersih Padi 2025'!D790)</f>
        <v/>
      </c>
      <c r="E790" s="3" t="str">
        <f>IF('1.1 Produksi Bersih Padi 2025'!E790="","",'1.1 Produksi Bersih Padi 2025'!E790)</f>
        <v/>
      </c>
      <c r="F790" s="28" t="str">
        <f>IF(D790="","",VLOOKUP(D790,'[1]0.1 Produksi Pangan &amp; Penduduk'!$D$5:$S$860,16,0))</f>
        <v/>
      </c>
      <c r="G790" s="28" t="str">
        <f t="shared" si="72"/>
        <v/>
      </c>
      <c r="H790" s="29" t="str">
        <f t="shared" si="73"/>
        <v/>
      </c>
      <c r="I790" s="29" t="str">
        <f t="shared" si="74"/>
        <v/>
      </c>
      <c r="J790" s="29" t="str">
        <f t="shared" si="75"/>
        <v/>
      </c>
      <c r="K790" s="29" t="str">
        <f t="shared" si="76"/>
        <v/>
      </c>
      <c r="L790" s="29" t="str">
        <f t="shared" si="77"/>
        <v/>
      </c>
    </row>
    <row r="791" spans="1:12" ht="15" x14ac:dyDescent="0.25">
      <c r="A791" s="1" t="str">
        <f>IF('1.1 Produksi Bersih Padi 2025'!A791="","",'1.1 Produksi Bersih Padi 2025'!A791)</f>
        <v/>
      </c>
      <c r="B791" s="2" t="str">
        <f>IF('1.1 Produksi Bersih Padi 2025'!B791="","",'1.1 Produksi Bersih Padi 2025'!B791)</f>
        <v/>
      </c>
      <c r="C791" s="2" t="str">
        <f>IF('1.1 Produksi Bersih Padi 2025'!C791="","",'1.1 Produksi Bersih Padi 2025'!C791)</f>
        <v/>
      </c>
      <c r="D791" s="3" t="str">
        <f>IF('1.1 Produksi Bersih Padi 2025'!D791="","",'1.1 Produksi Bersih Padi 2025'!D791)</f>
        <v/>
      </c>
      <c r="E791" s="3" t="str">
        <f>IF('1.1 Produksi Bersih Padi 2025'!E791="","",'1.1 Produksi Bersih Padi 2025'!E791)</f>
        <v/>
      </c>
      <c r="F791" s="28" t="str">
        <f>IF(D791="","",VLOOKUP(D791,'[1]0.1 Produksi Pangan &amp; Penduduk'!$D$5:$S$860,16,0))</f>
        <v/>
      </c>
      <c r="G791" s="28" t="str">
        <f t="shared" si="72"/>
        <v/>
      </c>
      <c r="H791" s="29" t="str">
        <f t="shared" si="73"/>
        <v/>
      </c>
      <c r="I791" s="29" t="str">
        <f t="shared" si="74"/>
        <v/>
      </c>
      <c r="J791" s="29" t="str">
        <f t="shared" si="75"/>
        <v/>
      </c>
      <c r="K791" s="29" t="str">
        <f t="shared" si="76"/>
        <v/>
      </c>
      <c r="L791" s="29" t="str">
        <f t="shared" si="77"/>
        <v/>
      </c>
    </row>
    <row r="792" spans="1:12" ht="15" x14ac:dyDescent="0.25">
      <c r="A792" s="1" t="str">
        <f>IF('1.1 Produksi Bersih Padi 2025'!A792="","",'1.1 Produksi Bersih Padi 2025'!A792)</f>
        <v/>
      </c>
      <c r="B792" s="2" t="str">
        <f>IF('1.1 Produksi Bersih Padi 2025'!B792="","",'1.1 Produksi Bersih Padi 2025'!B792)</f>
        <v/>
      </c>
      <c r="C792" s="2" t="str">
        <f>IF('1.1 Produksi Bersih Padi 2025'!C792="","",'1.1 Produksi Bersih Padi 2025'!C792)</f>
        <v/>
      </c>
      <c r="D792" s="3" t="str">
        <f>IF('1.1 Produksi Bersih Padi 2025'!D792="","",'1.1 Produksi Bersih Padi 2025'!D792)</f>
        <v/>
      </c>
      <c r="E792" s="3" t="str">
        <f>IF('1.1 Produksi Bersih Padi 2025'!E792="","",'1.1 Produksi Bersih Padi 2025'!E792)</f>
        <v/>
      </c>
      <c r="F792" s="28" t="str">
        <f>IF(D792="","",VLOOKUP(D792,'[1]0.1 Produksi Pangan &amp; Penduduk'!$D$5:$S$860,16,0))</f>
        <v/>
      </c>
      <c r="G792" s="28" t="str">
        <f t="shared" si="72"/>
        <v/>
      </c>
      <c r="H792" s="29" t="str">
        <f t="shared" si="73"/>
        <v/>
      </c>
      <c r="I792" s="29" t="str">
        <f t="shared" si="74"/>
        <v/>
      </c>
      <c r="J792" s="29" t="str">
        <f t="shared" si="75"/>
        <v/>
      </c>
      <c r="K792" s="29" t="str">
        <f t="shared" si="76"/>
        <v/>
      </c>
      <c r="L792" s="29" t="str">
        <f t="shared" si="77"/>
        <v/>
      </c>
    </row>
    <row r="793" spans="1:12" ht="15" x14ac:dyDescent="0.25">
      <c r="A793" s="1" t="str">
        <f>IF('1.1 Produksi Bersih Padi 2025'!A793="","",'1.1 Produksi Bersih Padi 2025'!A793)</f>
        <v/>
      </c>
      <c r="B793" s="2" t="str">
        <f>IF('1.1 Produksi Bersih Padi 2025'!B793="","",'1.1 Produksi Bersih Padi 2025'!B793)</f>
        <v/>
      </c>
      <c r="C793" s="2" t="str">
        <f>IF('1.1 Produksi Bersih Padi 2025'!C793="","",'1.1 Produksi Bersih Padi 2025'!C793)</f>
        <v/>
      </c>
      <c r="D793" s="3" t="str">
        <f>IF('1.1 Produksi Bersih Padi 2025'!D793="","",'1.1 Produksi Bersih Padi 2025'!D793)</f>
        <v/>
      </c>
      <c r="E793" s="3" t="str">
        <f>IF('1.1 Produksi Bersih Padi 2025'!E793="","",'1.1 Produksi Bersih Padi 2025'!E793)</f>
        <v/>
      </c>
      <c r="F793" s="28" t="str">
        <f>IF(D793="","",VLOOKUP(D793,'[1]0.1 Produksi Pangan &amp; Penduduk'!$D$5:$S$860,16,0))</f>
        <v/>
      </c>
      <c r="G793" s="28" t="str">
        <f t="shared" si="72"/>
        <v/>
      </c>
      <c r="H793" s="29" t="str">
        <f t="shared" si="73"/>
        <v/>
      </c>
      <c r="I793" s="29" t="str">
        <f t="shared" si="74"/>
        <v/>
      </c>
      <c r="J793" s="29" t="str">
        <f t="shared" si="75"/>
        <v/>
      </c>
      <c r="K793" s="29" t="str">
        <f t="shared" si="76"/>
        <v/>
      </c>
      <c r="L793" s="29" t="str">
        <f t="shared" si="77"/>
        <v/>
      </c>
    </row>
    <row r="794" spans="1:12" ht="15" x14ac:dyDescent="0.25">
      <c r="A794" s="1" t="str">
        <f>IF('1.1 Produksi Bersih Padi 2025'!A794="","",'1.1 Produksi Bersih Padi 2025'!A794)</f>
        <v/>
      </c>
      <c r="B794" s="2" t="str">
        <f>IF('1.1 Produksi Bersih Padi 2025'!B794="","",'1.1 Produksi Bersih Padi 2025'!B794)</f>
        <v/>
      </c>
      <c r="C794" s="2" t="str">
        <f>IF('1.1 Produksi Bersih Padi 2025'!C794="","",'1.1 Produksi Bersih Padi 2025'!C794)</f>
        <v/>
      </c>
      <c r="D794" s="3" t="str">
        <f>IF('1.1 Produksi Bersih Padi 2025'!D794="","",'1.1 Produksi Bersih Padi 2025'!D794)</f>
        <v/>
      </c>
      <c r="E794" s="3" t="str">
        <f>IF('1.1 Produksi Bersih Padi 2025'!E794="","",'1.1 Produksi Bersih Padi 2025'!E794)</f>
        <v/>
      </c>
      <c r="F794" s="28" t="str">
        <f>IF(D794="","",VLOOKUP(D794,'[1]0.1 Produksi Pangan &amp; Penduduk'!$D$5:$S$860,16,0))</f>
        <v/>
      </c>
      <c r="G794" s="28" t="str">
        <f t="shared" si="72"/>
        <v/>
      </c>
      <c r="H794" s="29" t="str">
        <f t="shared" si="73"/>
        <v/>
      </c>
      <c r="I794" s="29" t="str">
        <f t="shared" si="74"/>
        <v/>
      </c>
      <c r="J794" s="29" t="str">
        <f t="shared" si="75"/>
        <v/>
      </c>
      <c r="K794" s="29" t="str">
        <f t="shared" si="76"/>
        <v/>
      </c>
      <c r="L794" s="29" t="str">
        <f t="shared" si="77"/>
        <v/>
      </c>
    </row>
    <row r="795" spans="1:12" ht="15" x14ac:dyDescent="0.25">
      <c r="A795" s="1" t="str">
        <f>IF('1.1 Produksi Bersih Padi 2025'!A795="","",'1.1 Produksi Bersih Padi 2025'!A795)</f>
        <v/>
      </c>
      <c r="B795" s="2" t="str">
        <f>IF('1.1 Produksi Bersih Padi 2025'!B795="","",'1.1 Produksi Bersih Padi 2025'!B795)</f>
        <v/>
      </c>
      <c r="C795" s="2" t="str">
        <f>IF('1.1 Produksi Bersih Padi 2025'!C795="","",'1.1 Produksi Bersih Padi 2025'!C795)</f>
        <v/>
      </c>
      <c r="D795" s="3" t="str">
        <f>IF('1.1 Produksi Bersih Padi 2025'!D795="","",'1.1 Produksi Bersih Padi 2025'!D795)</f>
        <v/>
      </c>
      <c r="E795" s="3" t="str">
        <f>IF('1.1 Produksi Bersih Padi 2025'!E795="","",'1.1 Produksi Bersih Padi 2025'!E795)</f>
        <v/>
      </c>
      <c r="F795" s="28" t="str">
        <f>IF(D795="","",VLOOKUP(D795,'[1]0.1 Produksi Pangan &amp; Penduduk'!$D$5:$S$860,16,0))</f>
        <v/>
      </c>
      <c r="G795" s="28" t="str">
        <f t="shared" si="72"/>
        <v/>
      </c>
      <c r="H795" s="29" t="str">
        <f t="shared" si="73"/>
        <v/>
      </c>
      <c r="I795" s="29" t="str">
        <f t="shared" si="74"/>
        <v/>
      </c>
      <c r="J795" s="29" t="str">
        <f t="shared" si="75"/>
        <v/>
      </c>
      <c r="K795" s="29" t="str">
        <f t="shared" si="76"/>
        <v/>
      </c>
      <c r="L795" s="29" t="str">
        <f t="shared" si="77"/>
        <v/>
      </c>
    </row>
    <row r="796" spans="1:12" ht="15" x14ac:dyDescent="0.25">
      <c r="A796" s="1" t="str">
        <f>IF('1.1 Produksi Bersih Padi 2025'!A796="","",'1.1 Produksi Bersih Padi 2025'!A796)</f>
        <v/>
      </c>
      <c r="B796" s="2" t="str">
        <f>IF('1.1 Produksi Bersih Padi 2025'!B796="","",'1.1 Produksi Bersih Padi 2025'!B796)</f>
        <v/>
      </c>
      <c r="C796" s="2" t="str">
        <f>IF('1.1 Produksi Bersih Padi 2025'!C796="","",'1.1 Produksi Bersih Padi 2025'!C796)</f>
        <v/>
      </c>
      <c r="D796" s="3" t="str">
        <f>IF('1.1 Produksi Bersih Padi 2025'!D796="","",'1.1 Produksi Bersih Padi 2025'!D796)</f>
        <v/>
      </c>
      <c r="E796" s="3" t="str">
        <f>IF('1.1 Produksi Bersih Padi 2025'!E796="","",'1.1 Produksi Bersih Padi 2025'!E796)</f>
        <v/>
      </c>
      <c r="F796" s="28" t="str">
        <f>IF(D796="","",VLOOKUP(D796,'[1]0.1 Produksi Pangan &amp; Penduduk'!$D$5:$S$860,16,0))</f>
        <v/>
      </c>
      <c r="G796" s="28" t="str">
        <f t="shared" si="72"/>
        <v/>
      </c>
      <c r="H796" s="29" t="str">
        <f t="shared" si="73"/>
        <v/>
      </c>
      <c r="I796" s="29" t="str">
        <f t="shared" si="74"/>
        <v/>
      </c>
      <c r="J796" s="29" t="str">
        <f t="shared" si="75"/>
        <v/>
      </c>
      <c r="K796" s="29" t="str">
        <f t="shared" si="76"/>
        <v/>
      </c>
      <c r="L796" s="29" t="str">
        <f t="shared" si="77"/>
        <v/>
      </c>
    </row>
    <row r="797" spans="1:12" ht="15" x14ac:dyDescent="0.25">
      <c r="A797" s="1" t="str">
        <f>IF('1.1 Produksi Bersih Padi 2025'!A797="","",'1.1 Produksi Bersih Padi 2025'!A797)</f>
        <v/>
      </c>
      <c r="B797" s="2" t="str">
        <f>IF('1.1 Produksi Bersih Padi 2025'!B797="","",'1.1 Produksi Bersih Padi 2025'!B797)</f>
        <v/>
      </c>
      <c r="C797" s="2" t="str">
        <f>IF('1.1 Produksi Bersih Padi 2025'!C797="","",'1.1 Produksi Bersih Padi 2025'!C797)</f>
        <v/>
      </c>
      <c r="D797" s="3" t="str">
        <f>IF('1.1 Produksi Bersih Padi 2025'!D797="","",'1.1 Produksi Bersih Padi 2025'!D797)</f>
        <v/>
      </c>
      <c r="E797" s="3" t="str">
        <f>IF('1.1 Produksi Bersih Padi 2025'!E797="","",'1.1 Produksi Bersih Padi 2025'!E797)</f>
        <v/>
      </c>
      <c r="F797" s="28" t="str">
        <f>IF(D797="","",VLOOKUP(D797,'[1]0.1 Produksi Pangan &amp; Penduduk'!$D$5:$S$860,16,0))</f>
        <v/>
      </c>
      <c r="G797" s="28" t="str">
        <f t="shared" si="72"/>
        <v/>
      </c>
      <c r="H797" s="29" t="str">
        <f t="shared" si="73"/>
        <v/>
      </c>
      <c r="I797" s="29" t="str">
        <f t="shared" si="74"/>
        <v/>
      </c>
      <c r="J797" s="29" t="str">
        <f t="shared" si="75"/>
        <v/>
      </c>
      <c r="K797" s="29" t="str">
        <f t="shared" si="76"/>
        <v/>
      </c>
      <c r="L797" s="29" t="str">
        <f t="shared" si="77"/>
        <v/>
      </c>
    </row>
    <row r="798" spans="1:12" ht="15" x14ac:dyDescent="0.25">
      <c r="A798" s="1" t="str">
        <f>IF('1.1 Produksi Bersih Padi 2025'!A798="","",'1.1 Produksi Bersih Padi 2025'!A798)</f>
        <v/>
      </c>
      <c r="B798" s="2" t="str">
        <f>IF('1.1 Produksi Bersih Padi 2025'!B798="","",'1.1 Produksi Bersih Padi 2025'!B798)</f>
        <v/>
      </c>
      <c r="C798" s="2" t="str">
        <f>IF('1.1 Produksi Bersih Padi 2025'!C798="","",'1.1 Produksi Bersih Padi 2025'!C798)</f>
        <v/>
      </c>
      <c r="D798" s="3" t="str">
        <f>IF('1.1 Produksi Bersih Padi 2025'!D798="","",'1.1 Produksi Bersih Padi 2025'!D798)</f>
        <v/>
      </c>
      <c r="E798" s="3" t="str">
        <f>IF('1.1 Produksi Bersih Padi 2025'!E798="","",'1.1 Produksi Bersih Padi 2025'!E798)</f>
        <v/>
      </c>
      <c r="F798" s="28" t="str">
        <f>IF(D798="","",VLOOKUP(D798,'[1]0.1 Produksi Pangan &amp; Penduduk'!$D$5:$S$860,16,0))</f>
        <v/>
      </c>
      <c r="G798" s="28" t="str">
        <f t="shared" si="72"/>
        <v/>
      </c>
      <c r="H798" s="29" t="str">
        <f t="shared" si="73"/>
        <v/>
      </c>
      <c r="I798" s="29" t="str">
        <f t="shared" si="74"/>
        <v/>
      </c>
      <c r="J798" s="29" t="str">
        <f t="shared" si="75"/>
        <v/>
      </c>
      <c r="K798" s="29" t="str">
        <f t="shared" si="76"/>
        <v/>
      </c>
      <c r="L798" s="29" t="str">
        <f t="shared" si="77"/>
        <v/>
      </c>
    </row>
    <row r="799" spans="1:12" ht="15" x14ac:dyDescent="0.25">
      <c r="A799" s="1" t="str">
        <f>IF('1.1 Produksi Bersih Padi 2025'!A799="","",'1.1 Produksi Bersih Padi 2025'!A799)</f>
        <v/>
      </c>
      <c r="B799" s="2" t="str">
        <f>IF('1.1 Produksi Bersih Padi 2025'!B799="","",'1.1 Produksi Bersih Padi 2025'!B799)</f>
        <v/>
      </c>
      <c r="C799" s="2" t="str">
        <f>IF('1.1 Produksi Bersih Padi 2025'!C799="","",'1.1 Produksi Bersih Padi 2025'!C799)</f>
        <v/>
      </c>
      <c r="D799" s="3" t="str">
        <f>IF('1.1 Produksi Bersih Padi 2025'!D799="","",'1.1 Produksi Bersih Padi 2025'!D799)</f>
        <v/>
      </c>
      <c r="E799" s="3" t="str">
        <f>IF('1.1 Produksi Bersih Padi 2025'!E799="","",'1.1 Produksi Bersih Padi 2025'!E799)</f>
        <v/>
      </c>
      <c r="F799" s="28" t="str">
        <f>IF(D799="","",VLOOKUP(D799,'[1]0.1 Produksi Pangan &amp; Penduduk'!$D$5:$S$860,16,0))</f>
        <v/>
      </c>
      <c r="G799" s="28" t="str">
        <f t="shared" si="72"/>
        <v/>
      </c>
      <c r="H799" s="29" t="str">
        <f t="shared" si="73"/>
        <v/>
      </c>
      <c r="I799" s="29" t="str">
        <f t="shared" si="74"/>
        <v/>
      </c>
      <c r="J799" s="29" t="str">
        <f t="shared" si="75"/>
        <v/>
      </c>
      <c r="K799" s="29" t="str">
        <f t="shared" si="76"/>
        <v/>
      </c>
      <c r="L799" s="29" t="str">
        <f t="shared" si="77"/>
        <v/>
      </c>
    </row>
    <row r="800" spans="1:12" ht="15" x14ac:dyDescent="0.25">
      <c r="A800" s="1" t="str">
        <f>IF('1.1 Produksi Bersih Padi 2025'!A800="","",'1.1 Produksi Bersih Padi 2025'!A800)</f>
        <v/>
      </c>
      <c r="B800" s="2" t="str">
        <f>IF('1.1 Produksi Bersih Padi 2025'!B800="","",'1.1 Produksi Bersih Padi 2025'!B800)</f>
        <v/>
      </c>
      <c r="C800" s="2" t="str">
        <f>IF('1.1 Produksi Bersih Padi 2025'!C800="","",'1.1 Produksi Bersih Padi 2025'!C800)</f>
        <v/>
      </c>
      <c r="D800" s="3" t="str">
        <f>IF('1.1 Produksi Bersih Padi 2025'!D800="","",'1.1 Produksi Bersih Padi 2025'!D800)</f>
        <v/>
      </c>
      <c r="E800" s="3" t="str">
        <f>IF('1.1 Produksi Bersih Padi 2025'!E800="","",'1.1 Produksi Bersih Padi 2025'!E800)</f>
        <v/>
      </c>
      <c r="F800" s="28" t="str">
        <f>IF(D800="","",VLOOKUP(D800,'[1]0.1 Produksi Pangan &amp; Penduduk'!$D$5:$S$860,16,0))</f>
        <v/>
      </c>
      <c r="G800" s="28" t="str">
        <f t="shared" si="72"/>
        <v/>
      </c>
      <c r="H800" s="29" t="str">
        <f t="shared" si="73"/>
        <v/>
      </c>
      <c r="I800" s="29" t="str">
        <f t="shared" si="74"/>
        <v/>
      </c>
      <c r="J800" s="29" t="str">
        <f t="shared" si="75"/>
        <v/>
      </c>
      <c r="K800" s="29" t="str">
        <f t="shared" si="76"/>
        <v/>
      </c>
      <c r="L800" s="29" t="str">
        <f t="shared" si="77"/>
        <v/>
      </c>
    </row>
    <row r="801" spans="1:12" ht="15" x14ac:dyDescent="0.25">
      <c r="A801" s="1" t="str">
        <f>IF('1.1 Produksi Bersih Padi 2025'!A801="","",'1.1 Produksi Bersih Padi 2025'!A801)</f>
        <v/>
      </c>
      <c r="B801" s="2" t="str">
        <f>IF('1.1 Produksi Bersih Padi 2025'!B801="","",'1.1 Produksi Bersih Padi 2025'!B801)</f>
        <v/>
      </c>
      <c r="C801" s="2" t="str">
        <f>IF('1.1 Produksi Bersih Padi 2025'!C801="","",'1.1 Produksi Bersih Padi 2025'!C801)</f>
        <v/>
      </c>
      <c r="D801" s="3" t="str">
        <f>IF('1.1 Produksi Bersih Padi 2025'!D801="","",'1.1 Produksi Bersih Padi 2025'!D801)</f>
        <v/>
      </c>
      <c r="E801" s="3" t="str">
        <f>IF('1.1 Produksi Bersih Padi 2025'!E801="","",'1.1 Produksi Bersih Padi 2025'!E801)</f>
        <v/>
      </c>
      <c r="F801" s="28" t="str">
        <f>IF(D801="","",VLOOKUP(D801,'[1]0.1 Produksi Pangan &amp; Penduduk'!$D$5:$S$860,16,0))</f>
        <v/>
      </c>
      <c r="G801" s="28" t="str">
        <f t="shared" si="72"/>
        <v/>
      </c>
      <c r="H801" s="29" t="str">
        <f t="shared" si="73"/>
        <v/>
      </c>
      <c r="I801" s="29" t="str">
        <f t="shared" si="74"/>
        <v/>
      </c>
      <c r="J801" s="29" t="str">
        <f t="shared" si="75"/>
        <v/>
      </c>
      <c r="K801" s="29" t="str">
        <f t="shared" si="76"/>
        <v/>
      </c>
      <c r="L801" s="29" t="str">
        <f t="shared" si="77"/>
        <v/>
      </c>
    </row>
    <row r="802" spans="1:12" ht="15" x14ac:dyDescent="0.25">
      <c r="A802" s="1" t="str">
        <f>IF('1.1 Produksi Bersih Padi 2025'!A802="","",'1.1 Produksi Bersih Padi 2025'!A802)</f>
        <v/>
      </c>
      <c r="B802" s="2" t="str">
        <f>IF('1.1 Produksi Bersih Padi 2025'!B802="","",'1.1 Produksi Bersih Padi 2025'!B802)</f>
        <v/>
      </c>
      <c r="C802" s="2" t="str">
        <f>IF('1.1 Produksi Bersih Padi 2025'!C802="","",'1.1 Produksi Bersih Padi 2025'!C802)</f>
        <v/>
      </c>
      <c r="D802" s="3" t="str">
        <f>IF('1.1 Produksi Bersih Padi 2025'!D802="","",'1.1 Produksi Bersih Padi 2025'!D802)</f>
        <v/>
      </c>
      <c r="E802" s="3" t="str">
        <f>IF('1.1 Produksi Bersih Padi 2025'!E802="","",'1.1 Produksi Bersih Padi 2025'!E802)</f>
        <v/>
      </c>
      <c r="F802" s="28" t="str">
        <f>IF(D802="","",VLOOKUP(D802,'[1]0.1 Produksi Pangan &amp; Penduduk'!$D$5:$S$860,16,0))</f>
        <v/>
      </c>
      <c r="G802" s="28" t="str">
        <f t="shared" si="72"/>
        <v/>
      </c>
      <c r="H802" s="29" t="str">
        <f t="shared" si="73"/>
        <v/>
      </c>
      <c r="I802" s="29" t="str">
        <f t="shared" si="74"/>
        <v/>
      </c>
      <c r="J802" s="29" t="str">
        <f t="shared" si="75"/>
        <v/>
      </c>
      <c r="K802" s="29" t="str">
        <f t="shared" si="76"/>
        <v/>
      </c>
      <c r="L802" s="29" t="str">
        <f t="shared" si="77"/>
        <v/>
      </c>
    </row>
    <row r="803" spans="1:12" ht="15" x14ac:dyDescent="0.25">
      <c r="A803" s="1" t="str">
        <f>IF('1.1 Produksi Bersih Padi 2025'!A803="","",'1.1 Produksi Bersih Padi 2025'!A803)</f>
        <v/>
      </c>
      <c r="B803" s="2" t="str">
        <f>IF('1.1 Produksi Bersih Padi 2025'!B803="","",'1.1 Produksi Bersih Padi 2025'!B803)</f>
        <v/>
      </c>
      <c r="C803" s="2" t="str">
        <f>IF('1.1 Produksi Bersih Padi 2025'!C803="","",'1.1 Produksi Bersih Padi 2025'!C803)</f>
        <v/>
      </c>
      <c r="D803" s="3" t="str">
        <f>IF('1.1 Produksi Bersih Padi 2025'!D803="","",'1.1 Produksi Bersih Padi 2025'!D803)</f>
        <v/>
      </c>
      <c r="E803" s="3" t="str">
        <f>IF('1.1 Produksi Bersih Padi 2025'!E803="","",'1.1 Produksi Bersih Padi 2025'!E803)</f>
        <v/>
      </c>
      <c r="F803" s="28" t="str">
        <f>IF(D803="","",VLOOKUP(D803,'[1]0.1 Produksi Pangan &amp; Penduduk'!$D$5:$S$860,16,0))</f>
        <v/>
      </c>
      <c r="G803" s="28" t="str">
        <f t="shared" si="72"/>
        <v/>
      </c>
      <c r="H803" s="29" t="str">
        <f t="shared" si="73"/>
        <v/>
      </c>
      <c r="I803" s="29" t="str">
        <f t="shared" si="74"/>
        <v/>
      </c>
      <c r="J803" s="29" t="str">
        <f t="shared" si="75"/>
        <v/>
      </c>
      <c r="K803" s="29" t="str">
        <f t="shared" si="76"/>
        <v/>
      </c>
      <c r="L803" s="29" t="str">
        <f t="shared" si="77"/>
        <v/>
      </c>
    </row>
    <row r="804" spans="1:12" ht="15" x14ac:dyDescent="0.25">
      <c r="A804" s="1" t="str">
        <f>IF('1.1 Produksi Bersih Padi 2025'!A804="","",'1.1 Produksi Bersih Padi 2025'!A804)</f>
        <v/>
      </c>
      <c r="B804" s="2" t="str">
        <f>IF('1.1 Produksi Bersih Padi 2025'!B804="","",'1.1 Produksi Bersih Padi 2025'!B804)</f>
        <v/>
      </c>
      <c r="C804" s="2" t="str">
        <f>IF('1.1 Produksi Bersih Padi 2025'!C804="","",'1.1 Produksi Bersih Padi 2025'!C804)</f>
        <v/>
      </c>
      <c r="D804" s="3" t="str">
        <f>IF('1.1 Produksi Bersih Padi 2025'!D804="","",'1.1 Produksi Bersih Padi 2025'!D804)</f>
        <v/>
      </c>
      <c r="E804" s="3" t="str">
        <f>IF('1.1 Produksi Bersih Padi 2025'!E804="","",'1.1 Produksi Bersih Padi 2025'!E804)</f>
        <v/>
      </c>
      <c r="F804" s="28" t="str">
        <f>IF(D804="","",VLOOKUP(D804,'[1]0.1 Produksi Pangan &amp; Penduduk'!$D$5:$S$860,16,0))</f>
        <v/>
      </c>
      <c r="G804" s="28" t="str">
        <f t="shared" si="72"/>
        <v/>
      </c>
      <c r="H804" s="29" t="str">
        <f t="shared" si="73"/>
        <v/>
      </c>
      <c r="I804" s="29" t="str">
        <f t="shared" si="74"/>
        <v/>
      </c>
      <c r="J804" s="29" t="str">
        <f t="shared" si="75"/>
        <v/>
      </c>
      <c r="K804" s="29" t="str">
        <f t="shared" si="76"/>
        <v/>
      </c>
      <c r="L804" s="29" t="str">
        <f t="shared" si="77"/>
        <v/>
      </c>
    </row>
    <row r="805" spans="1:12" ht="15" x14ac:dyDescent="0.25">
      <c r="A805" s="1" t="str">
        <f>IF('1.1 Produksi Bersih Padi 2025'!A805="","",'1.1 Produksi Bersih Padi 2025'!A805)</f>
        <v/>
      </c>
      <c r="B805" s="2" t="str">
        <f>IF('1.1 Produksi Bersih Padi 2025'!B805="","",'1.1 Produksi Bersih Padi 2025'!B805)</f>
        <v/>
      </c>
      <c r="C805" s="2" t="str">
        <f>IF('1.1 Produksi Bersih Padi 2025'!C805="","",'1.1 Produksi Bersih Padi 2025'!C805)</f>
        <v/>
      </c>
      <c r="D805" s="3" t="str">
        <f>IF('1.1 Produksi Bersih Padi 2025'!D805="","",'1.1 Produksi Bersih Padi 2025'!D805)</f>
        <v/>
      </c>
      <c r="E805" s="3" t="str">
        <f>IF('1.1 Produksi Bersih Padi 2025'!E805="","",'1.1 Produksi Bersih Padi 2025'!E805)</f>
        <v/>
      </c>
      <c r="F805" s="28" t="str">
        <f>IF(D805="","",VLOOKUP(D805,'[1]0.1 Produksi Pangan &amp; Penduduk'!$D$5:$S$860,16,0))</f>
        <v/>
      </c>
      <c r="G805" s="28" t="str">
        <f t="shared" si="72"/>
        <v/>
      </c>
      <c r="H805" s="29" t="str">
        <f t="shared" si="73"/>
        <v/>
      </c>
      <c r="I805" s="29" t="str">
        <f t="shared" si="74"/>
        <v/>
      </c>
      <c r="J805" s="29" t="str">
        <f t="shared" si="75"/>
        <v/>
      </c>
      <c r="K805" s="29" t="str">
        <f t="shared" si="76"/>
        <v/>
      </c>
      <c r="L805" s="29" t="str">
        <f t="shared" si="77"/>
        <v/>
      </c>
    </row>
    <row r="806" spans="1:12" ht="15" x14ac:dyDescent="0.25">
      <c r="A806" s="1" t="str">
        <f>IF('1.1 Produksi Bersih Padi 2025'!A806="","",'1.1 Produksi Bersih Padi 2025'!A806)</f>
        <v/>
      </c>
      <c r="B806" s="2" t="str">
        <f>IF('1.1 Produksi Bersih Padi 2025'!B806="","",'1.1 Produksi Bersih Padi 2025'!B806)</f>
        <v/>
      </c>
      <c r="C806" s="2" t="str">
        <f>IF('1.1 Produksi Bersih Padi 2025'!C806="","",'1.1 Produksi Bersih Padi 2025'!C806)</f>
        <v/>
      </c>
      <c r="D806" s="3" t="str">
        <f>IF('1.1 Produksi Bersih Padi 2025'!D806="","",'1.1 Produksi Bersih Padi 2025'!D806)</f>
        <v/>
      </c>
      <c r="E806" s="3" t="str">
        <f>IF('1.1 Produksi Bersih Padi 2025'!E806="","",'1.1 Produksi Bersih Padi 2025'!E806)</f>
        <v/>
      </c>
      <c r="F806" s="28" t="str">
        <f>IF(D806="","",VLOOKUP(D806,'[1]0.1 Produksi Pangan &amp; Penduduk'!$D$5:$S$860,16,0))</f>
        <v/>
      </c>
      <c r="G806" s="28" t="str">
        <f t="shared" si="72"/>
        <v/>
      </c>
      <c r="H806" s="29" t="str">
        <f t="shared" si="73"/>
        <v/>
      </c>
      <c r="I806" s="29" t="str">
        <f t="shared" si="74"/>
        <v/>
      </c>
      <c r="J806" s="29" t="str">
        <f t="shared" si="75"/>
        <v/>
      </c>
      <c r="K806" s="29" t="str">
        <f t="shared" si="76"/>
        <v/>
      </c>
      <c r="L806" s="29" t="str">
        <f t="shared" si="77"/>
        <v/>
      </c>
    </row>
    <row r="807" spans="1:12" ht="15" x14ac:dyDescent="0.25">
      <c r="A807" s="1" t="str">
        <f>IF('1.1 Produksi Bersih Padi 2025'!A807="","",'1.1 Produksi Bersih Padi 2025'!A807)</f>
        <v/>
      </c>
      <c r="B807" s="2" t="str">
        <f>IF('1.1 Produksi Bersih Padi 2025'!B807="","",'1.1 Produksi Bersih Padi 2025'!B807)</f>
        <v/>
      </c>
      <c r="C807" s="2" t="str">
        <f>IF('1.1 Produksi Bersih Padi 2025'!C807="","",'1.1 Produksi Bersih Padi 2025'!C807)</f>
        <v/>
      </c>
      <c r="D807" s="3" t="str">
        <f>IF('1.1 Produksi Bersih Padi 2025'!D807="","",'1.1 Produksi Bersih Padi 2025'!D807)</f>
        <v/>
      </c>
      <c r="E807" s="3" t="str">
        <f>IF('1.1 Produksi Bersih Padi 2025'!E807="","",'1.1 Produksi Bersih Padi 2025'!E807)</f>
        <v/>
      </c>
      <c r="F807" s="28" t="str">
        <f>IF(D807="","",VLOOKUP(D807,'[1]0.1 Produksi Pangan &amp; Penduduk'!$D$5:$S$860,16,0))</f>
        <v/>
      </c>
      <c r="G807" s="28" t="str">
        <f t="shared" si="72"/>
        <v/>
      </c>
      <c r="H807" s="29" t="str">
        <f t="shared" si="73"/>
        <v/>
      </c>
      <c r="I807" s="29" t="str">
        <f t="shared" si="74"/>
        <v/>
      </c>
      <c r="J807" s="29" t="str">
        <f t="shared" si="75"/>
        <v/>
      </c>
      <c r="K807" s="29" t="str">
        <f t="shared" si="76"/>
        <v/>
      </c>
      <c r="L807" s="29" t="str">
        <f t="shared" si="77"/>
        <v/>
      </c>
    </row>
    <row r="808" spans="1:12" ht="15" x14ac:dyDescent="0.25">
      <c r="A808" s="1" t="str">
        <f>IF('1.1 Produksi Bersih Padi 2025'!A808="","",'1.1 Produksi Bersih Padi 2025'!A808)</f>
        <v/>
      </c>
      <c r="B808" s="2" t="str">
        <f>IF('1.1 Produksi Bersih Padi 2025'!B808="","",'1.1 Produksi Bersih Padi 2025'!B808)</f>
        <v/>
      </c>
      <c r="C808" s="2" t="str">
        <f>IF('1.1 Produksi Bersih Padi 2025'!C808="","",'1.1 Produksi Bersih Padi 2025'!C808)</f>
        <v/>
      </c>
      <c r="D808" s="3" t="str">
        <f>IF('1.1 Produksi Bersih Padi 2025'!D808="","",'1.1 Produksi Bersih Padi 2025'!D808)</f>
        <v/>
      </c>
      <c r="E808" s="3" t="str">
        <f>IF('1.1 Produksi Bersih Padi 2025'!E808="","",'1.1 Produksi Bersih Padi 2025'!E808)</f>
        <v/>
      </c>
      <c r="F808" s="28" t="str">
        <f>IF(D808="","",VLOOKUP(D808,'[1]0.1 Produksi Pangan &amp; Penduduk'!$D$5:$S$860,16,0))</f>
        <v/>
      </c>
      <c r="G808" s="28" t="str">
        <f t="shared" si="72"/>
        <v/>
      </c>
      <c r="H808" s="29" t="str">
        <f t="shared" si="73"/>
        <v/>
      </c>
      <c r="I808" s="29" t="str">
        <f t="shared" si="74"/>
        <v/>
      </c>
      <c r="J808" s="29" t="str">
        <f t="shared" si="75"/>
        <v/>
      </c>
      <c r="K808" s="29" t="str">
        <f t="shared" si="76"/>
        <v/>
      </c>
      <c r="L808" s="29" t="str">
        <f t="shared" si="77"/>
        <v/>
      </c>
    </row>
    <row r="809" spans="1:12" ht="15" x14ac:dyDescent="0.25">
      <c r="A809" s="1" t="str">
        <f>IF('1.1 Produksi Bersih Padi 2025'!A809="","",'1.1 Produksi Bersih Padi 2025'!A809)</f>
        <v/>
      </c>
      <c r="B809" s="2" t="str">
        <f>IF('1.1 Produksi Bersih Padi 2025'!B809="","",'1.1 Produksi Bersih Padi 2025'!B809)</f>
        <v/>
      </c>
      <c r="C809" s="2" t="str">
        <f>IF('1.1 Produksi Bersih Padi 2025'!C809="","",'1.1 Produksi Bersih Padi 2025'!C809)</f>
        <v/>
      </c>
      <c r="D809" s="3" t="str">
        <f>IF('1.1 Produksi Bersih Padi 2025'!D809="","",'1.1 Produksi Bersih Padi 2025'!D809)</f>
        <v/>
      </c>
      <c r="E809" s="3" t="str">
        <f>IF('1.1 Produksi Bersih Padi 2025'!E809="","",'1.1 Produksi Bersih Padi 2025'!E809)</f>
        <v/>
      </c>
      <c r="F809" s="28" t="str">
        <f>IF(D809="","",VLOOKUP(D809,'[1]0.1 Produksi Pangan &amp; Penduduk'!$D$5:$S$860,16,0))</f>
        <v/>
      </c>
      <c r="G809" s="28" t="str">
        <f t="shared" si="72"/>
        <v/>
      </c>
      <c r="H809" s="29" t="str">
        <f t="shared" si="73"/>
        <v/>
      </c>
      <c r="I809" s="29" t="str">
        <f t="shared" si="74"/>
        <v/>
      </c>
      <c r="J809" s="29" t="str">
        <f t="shared" si="75"/>
        <v/>
      </c>
      <c r="K809" s="29" t="str">
        <f t="shared" si="76"/>
        <v/>
      </c>
      <c r="L809" s="29" t="str">
        <f t="shared" si="77"/>
        <v/>
      </c>
    </row>
    <row r="810" spans="1:12" ht="15" x14ac:dyDescent="0.25">
      <c r="A810" s="1" t="str">
        <f>IF('1.1 Produksi Bersih Padi 2025'!A810="","",'1.1 Produksi Bersih Padi 2025'!A810)</f>
        <v/>
      </c>
      <c r="B810" s="2" t="str">
        <f>IF('1.1 Produksi Bersih Padi 2025'!B810="","",'1.1 Produksi Bersih Padi 2025'!B810)</f>
        <v/>
      </c>
      <c r="C810" s="2" t="str">
        <f>IF('1.1 Produksi Bersih Padi 2025'!C810="","",'1.1 Produksi Bersih Padi 2025'!C810)</f>
        <v/>
      </c>
      <c r="D810" s="3" t="str">
        <f>IF('1.1 Produksi Bersih Padi 2025'!D810="","",'1.1 Produksi Bersih Padi 2025'!D810)</f>
        <v/>
      </c>
      <c r="E810" s="3" t="str">
        <f>IF('1.1 Produksi Bersih Padi 2025'!E810="","",'1.1 Produksi Bersih Padi 2025'!E810)</f>
        <v/>
      </c>
      <c r="F810" s="28" t="str">
        <f>IF(D810="","",VLOOKUP(D810,'[1]0.1 Produksi Pangan &amp; Penduduk'!$D$5:$S$860,16,0))</f>
        <v/>
      </c>
      <c r="G810" s="28" t="str">
        <f t="shared" si="72"/>
        <v/>
      </c>
      <c r="H810" s="29" t="str">
        <f t="shared" si="73"/>
        <v/>
      </c>
      <c r="I810" s="29" t="str">
        <f t="shared" si="74"/>
        <v/>
      </c>
      <c r="J810" s="29" t="str">
        <f t="shared" si="75"/>
        <v/>
      </c>
      <c r="K810" s="29" t="str">
        <f t="shared" si="76"/>
        <v/>
      </c>
      <c r="L810" s="29" t="str">
        <f t="shared" si="77"/>
        <v/>
      </c>
    </row>
    <row r="811" spans="1:12" ht="15" x14ac:dyDescent="0.25">
      <c r="A811" s="1" t="str">
        <f>IF('1.1 Produksi Bersih Padi 2025'!A811="","",'1.1 Produksi Bersih Padi 2025'!A811)</f>
        <v/>
      </c>
      <c r="B811" s="2" t="str">
        <f>IF('1.1 Produksi Bersih Padi 2025'!B811="","",'1.1 Produksi Bersih Padi 2025'!B811)</f>
        <v/>
      </c>
      <c r="C811" s="2" t="str">
        <f>IF('1.1 Produksi Bersih Padi 2025'!C811="","",'1.1 Produksi Bersih Padi 2025'!C811)</f>
        <v/>
      </c>
      <c r="D811" s="3" t="str">
        <f>IF('1.1 Produksi Bersih Padi 2025'!D811="","",'1.1 Produksi Bersih Padi 2025'!D811)</f>
        <v/>
      </c>
      <c r="E811" s="3" t="str">
        <f>IF('1.1 Produksi Bersih Padi 2025'!E811="","",'1.1 Produksi Bersih Padi 2025'!E811)</f>
        <v/>
      </c>
      <c r="F811" s="28" t="str">
        <f>IF(D811="","",VLOOKUP(D811,'[1]0.1 Produksi Pangan &amp; Penduduk'!$D$5:$S$860,16,0))</f>
        <v/>
      </c>
      <c r="G811" s="28" t="str">
        <f t="shared" si="72"/>
        <v/>
      </c>
      <c r="H811" s="29" t="str">
        <f t="shared" si="73"/>
        <v/>
      </c>
      <c r="I811" s="29" t="str">
        <f t="shared" si="74"/>
        <v/>
      </c>
      <c r="J811" s="29" t="str">
        <f t="shared" si="75"/>
        <v/>
      </c>
      <c r="K811" s="29" t="str">
        <f t="shared" si="76"/>
        <v/>
      </c>
      <c r="L811" s="29" t="str">
        <f t="shared" si="77"/>
        <v/>
      </c>
    </row>
    <row r="812" spans="1:12" ht="15" x14ac:dyDescent="0.25">
      <c r="A812" s="1" t="str">
        <f>IF('1.1 Produksi Bersih Padi 2025'!A812="","",'1.1 Produksi Bersih Padi 2025'!A812)</f>
        <v/>
      </c>
      <c r="B812" s="2" t="str">
        <f>IF('1.1 Produksi Bersih Padi 2025'!B812="","",'1.1 Produksi Bersih Padi 2025'!B812)</f>
        <v/>
      </c>
      <c r="C812" s="2" t="str">
        <f>IF('1.1 Produksi Bersih Padi 2025'!C812="","",'1.1 Produksi Bersih Padi 2025'!C812)</f>
        <v/>
      </c>
      <c r="D812" s="3" t="str">
        <f>IF('1.1 Produksi Bersih Padi 2025'!D812="","",'1.1 Produksi Bersih Padi 2025'!D812)</f>
        <v/>
      </c>
      <c r="E812" s="3" t="str">
        <f>IF('1.1 Produksi Bersih Padi 2025'!E812="","",'1.1 Produksi Bersih Padi 2025'!E812)</f>
        <v/>
      </c>
      <c r="F812" s="28" t="str">
        <f>IF(D812="","",VLOOKUP(D812,'[1]0.1 Produksi Pangan &amp; Penduduk'!$D$5:$S$860,16,0))</f>
        <v/>
      </c>
      <c r="G812" s="28" t="str">
        <f t="shared" si="72"/>
        <v/>
      </c>
      <c r="H812" s="29" t="str">
        <f t="shared" si="73"/>
        <v/>
      </c>
      <c r="I812" s="29" t="str">
        <f t="shared" si="74"/>
        <v/>
      </c>
      <c r="J812" s="29" t="str">
        <f t="shared" si="75"/>
        <v/>
      </c>
      <c r="K812" s="29" t="str">
        <f t="shared" si="76"/>
        <v/>
      </c>
      <c r="L812" s="29" t="str">
        <f t="shared" si="77"/>
        <v/>
      </c>
    </row>
    <row r="813" spans="1:12" ht="15" x14ac:dyDescent="0.25">
      <c r="A813" s="1" t="str">
        <f>IF('1.1 Produksi Bersih Padi 2025'!A813="","",'1.1 Produksi Bersih Padi 2025'!A813)</f>
        <v/>
      </c>
      <c r="B813" s="2" t="str">
        <f>IF('1.1 Produksi Bersih Padi 2025'!B813="","",'1.1 Produksi Bersih Padi 2025'!B813)</f>
        <v/>
      </c>
      <c r="C813" s="2" t="str">
        <f>IF('1.1 Produksi Bersih Padi 2025'!C813="","",'1.1 Produksi Bersih Padi 2025'!C813)</f>
        <v/>
      </c>
      <c r="D813" s="3" t="str">
        <f>IF('1.1 Produksi Bersih Padi 2025'!D813="","",'1.1 Produksi Bersih Padi 2025'!D813)</f>
        <v/>
      </c>
      <c r="E813" s="3" t="str">
        <f>IF('1.1 Produksi Bersih Padi 2025'!E813="","",'1.1 Produksi Bersih Padi 2025'!E813)</f>
        <v/>
      </c>
      <c r="F813" s="28" t="str">
        <f>IF(D813="","",VLOOKUP(D813,'[1]0.1 Produksi Pangan &amp; Penduduk'!$D$5:$S$860,16,0))</f>
        <v/>
      </c>
      <c r="G813" s="28" t="str">
        <f t="shared" si="72"/>
        <v/>
      </c>
      <c r="H813" s="29" t="str">
        <f t="shared" si="73"/>
        <v/>
      </c>
      <c r="I813" s="29" t="str">
        <f t="shared" si="74"/>
        <v/>
      </c>
      <c r="J813" s="29" t="str">
        <f t="shared" si="75"/>
        <v/>
      </c>
      <c r="K813" s="29" t="str">
        <f t="shared" si="76"/>
        <v/>
      </c>
      <c r="L813" s="29" t="str">
        <f t="shared" si="77"/>
        <v/>
      </c>
    </row>
    <row r="814" spans="1:12" ht="15" x14ac:dyDescent="0.25">
      <c r="A814" s="1" t="str">
        <f>IF('1.1 Produksi Bersih Padi 2025'!A814="","",'1.1 Produksi Bersih Padi 2025'!A814)</f>
        <v/>
      </c>
      <c r="B814" s="2" t="str">
        <f>IF('1.1 Produksi Bersih Padi 2025'!B814="","",'1.1 Produksi Bersih Padi 2025'!B814)</f>
        <v/>
      </c>
      <c r="C814" s="2" t="str">
        <f>IF('1.1 Produksi Bersih Padi 2025'!C814="","",'1.1 Produksi Bersih Padi 2025'!C814)</f>
        <v/>
      </c>
      <c r="D814" s="3" t="str">
        <f>IF('1.1 Produksi Bersih Padi 2025'!D814="","",'1.1 Produksi Bersih Padi 2025'!D814)</f>
        <v/>
      </c>
      <c r="E814" s="3" t="str">
        <f>IF('1.1 Produksi Bersih Padi 2025'!E814="","",'1.1 Produksi Bersih Padi 2025'!E814)</f>
        <v/>
      </c>
      <c r="F814" s="28" t="str">
        <f>IF(D814="","",VLOOKUP(D814,'[1]0.1 Produksi Pangan &amp; Penduduk'!$D$5:$S$860,16,0))</f>
        <v/>
      </c>
      <c r="G814" s="28" t="str">
        <f t="shared" si="72"/>
        <v/>
      </c>
      <c r="H814" s="29" t="str">
        <f t="shared" si="73"/>
        <v/>
      </c>
      <c r="I814" s="29" t="str">
        <f t="shared" si="74"/>
        <v/>
      </c>
      <c r="J814" s="29" t="str">
        <f t="shared" si="75"/>
        <v/>
      </c>
      <c r="K814" s="29" t="str">
        <f t="shared" si="76"/>
        <v/>
      </c>
      <c r="L814" s="29" t="str">
        <f t="shared" si="77"/>
        <v/>
      </c>
    </row>
    <row r="815" spans="1:12" ht="15" x14ac:dyDescent="0.25">
      <c r="A815" s="1" t="str">
        <f>IF('1.1 Produksi Bersih Padi 2025'!A815="","",'1.1 Produksi Bersih Padi 2025'!A815)</f>
        <v/>
      </c>
      <c r="B815" s="2" t="str">
        <f>IF('1.1 Produksi Bersih Padi 2025'!B815="","",'1.1 Produksi Bersih Padi 2025'!B815)</f>
        <v/>
      </c>
      <c r="C815" s="2" t="str">
        <f>IF('1.1 Produksi Bersih Padi 2025'!C815="","",'1.1 Produksi Bersih Padi 2025'!C815)</f>
        <v/>
      </c>
      <c r="D815" s="3" t="str">
        <f>IF('1.1 Produksi Bersih Padi 2025'!D815="","",'1.1 Produksi Bersih Padi 2025'!D815)</f>
        <v/>
      </c>
      <c r="E815" s="3" t="str">
        <f>IF('1.1 Produksi Bersih Padi 2025'!E815="","",'1.1 Produksi Bersih Padi 2025'!E815)</f>
        <v/>
      </c>
      <c r="F815" s="28" t="str">
        <f>IF(D815="","",VLOOKUP(D815,'[1]0.1 Produksi Pangan &amp; Penduduk'!$D$5:$S$860,16,0))</f>
        <v/>
      </c>
      <c r="G815" s="28" t="str">
        <f t="shared" si="72"/>
        <v/>
      </c>
      <c r="H815" s="29" t="str">
        <f t="shared" si="73"/>
        <v/>
      </c>
      <c r="I815" s="29" t="str">
        <f t="shared" si="74"/>
        <v/>
      </c>
      <c r="J815" s="29" t="str">
        <f t="shared" si="75"/>
        <v/>
      </c>
      <c r="K815" s="29" t="str">
        <f t="shared" si="76"/>
        <v/>
      </c>
      <c r="L815" s="29" t="str">
        <f t="shared" si="77"/>
        <v/>
      </c>
    </row>
    <row r="816" spans="1:12" ht="15" x14ac:dyDescent="0.25">
      <c r="A816" s="1" t="str">
        <f>IF('1.1 Produksi Bersih Padi 2025'!A816="","",'1.1 Produksi Bersih Padi 2025'!A816)</f>
        <v/>
      </c>
      <c r="B816" s="2" t="str">
        <f>IF('1.1 Produksi Bersih Padi 2025'!B816="","",'1.1 Produksi Bersih Padi 2025'!B816)</f>
        <v/>
      </c>
      <c r="C816" s="2" t="str">
        <f>IF('1.1 Produksi Bersih Padi 2025'!C816="","",'1.1 Produksi Bersih Padi 2025'!C816)</f>
        <v/>
      </c>
      <c r="D816" s="3" t="str">
        <f>IF('1.1 Produksi Bersih Padi 2025'!D816="","",'1.1 Produksi Bersih Padi 2025'!D816)</f>
        <v/>
      </c>
      <c r="E816" s="3" t="str">
        <f>IF('1.1 Produksi Bersih Padi 2025'!E816="","",'1.1 Produksi Bersih Padi 2025'!E816)</f>
        <v/>
      </c>
      <c r="F816" s="28" t="str">
        <f>IF(D816="","",VLOOKUP(D816,'[1]0.1 Produksi Pangan &amp; Penduduk'!$D$5:$S$860,16,0))</f>
        <v/>
      </c>
      <c r="G816" s="28" t="str">
        <f t="shared" si="72"/>
        <v/>
      </c>
      <c r="H816" s="29" t="str">
        <f t="shared" si="73"/>
        <v/>
      </c>
      <c r="I816" s="29" t="str">
        <f t="shared" si="74"/>
        <v/>
      </c>
      <c r="J816" s="29" t="str">
        <f t="shared" si="75"/>
        <v/>
      </c>
      <c r="K816" s="29" t="str">
        <f t="shared" si="76"/>
        <v/>
      </c>
      <c r="L816" s="29" t="str">
        <f t="shared" si="77"/>
        <v/>
      </c>
    </row>
    <row r="817" spans="1:12" ht="15" x14ac:dyDescent="0.25">
      <c r="A817" s="1" t="str">
        <f>IF('1.1 Produksi Bersih Padi 2025'!A817="","",'1.1 Produksi Bersih Padi 2025'!A817)</f>
        <v/>
      </c>
      <c r="B817" s="2" t="str">
        <f>IF('1.1 Produksi Bersih Padi 2025'!B817="","",'1.1 Produksi Bersih Padi 2025'!B817)</f>
        <v/>
      </c>
      <c r="C817" s="2" t="str">
        <f>IF('1.1 Produksi Bersih Padi 2025'!C817="","",'1.1 Produksi Bersih Padi 2025'!C817)</f>
        <v/>
      </c>
      <c r="D817" s="3" t="str">
        <f>IF('1.1 Produksi Bersih Padi 2025'!D817="","",'1.1 Produksi Bersih Padi 2025'!D817)</f>
        <v/>
      </c>
      <c r="E817" s="3" t="str">
        <f>IF('1.1 Produksi Bersih Padi 2025'!E817="","",'1.1 Produksi Bersih Padi 2025'!E817)</f>
        <v/>
      </c>
      <c r="F817" s="28" t="str">
        <f>IF(D817="","",VLOOKUP(D817,'[1]0.1 Produksi Pangan &amp; Penduduk'!$D$5:$S$860,16,0))</f>
        <v/>
      </c>
      <c r="G817" s="28" t="str">
        <f t="shared" si="72"/>
        <v/>
      </c>
      <c r="H817" s="29" t="str">
        <f t="shared" si="73"/>
        <v/>
      </c>
      <c r="I817" s="29" t="str">
        <f t="shared" si="74"/>
        <v/>
      </c>
      <c r="J817" s="29" t="str">
        <f t="shared" si="75"/>
        <v/>
      </c>
      <c r="K817" s="29" t="str">
        <f t="shared" si="76"/>
        <v/>
      </c>
      <c r="L817" s="29" t="str">
        <f t="shared" si="77"/>
        <v/>
      </c>
    </row>
    <row r="818" spans="1:12" ht="15" x14ac:dyDescent="0.25">
      <c r="A818" s="1" t="str">
        <f>IF('1.1 Produksi Bersih Padi 2025'!A818="","",'1.1 Produksi Bersih Padi 2025'!A818)</f>
        <v/>
      </c>
      <c r="B818" s="2" t="str">
        <f>IF('1.1 Produksi Bersih Padi 2025'!B818="","",'1.1 Produksi Bersih Padi 2025'!B818)</f>
        <v/>
      </c>
      <c r="C818" s="2" t="str">
        <f>IF('1.1 Produksi Bersih Padi 2025'!C818="","",'1.1 Produksi Bersih Padi 2025'!C818)</f>
        <v/>
      </c>
      <c r="D818" s="3" t="str">
        <f>IF('1.1 Produksi Bersih Padi 2025'!D818="","",'1.1 Produksi Bersih Padi 2025'!D818)</f>
        <v/>
      </c>
      <c r="E818" s="3" t="str">
        <f>IF('1.1 Produksi Bersih Padi 2025'!E818="","",'1.1 Produksi Bersih Padi 2025'!E818)</f>
        <v/>
      </c>
      <c r="F818" s="28" t="str">
        <f>IF(D818="","",VLOOKUP(D818,'[1]0.1 Produksi Pangan &amp; Penduduk'!$D$5:$S$860,16,0))</f>
        <v/>
      </c>
      <c r="G818" s="28" t="str">
        <f t="shared" si="72"/>
        <v/>
      </c>
      <c r="H818" s="29" t="str">
        <f t="shared" si="73"/>
        <v/>
      </c>
      <c r="I818" s="29" t="str">
        <f t="shared" si="74"/>
        <v/>
      </c>
      <c r="J818" s="29" t="str">
        <f t="shared" si="75"/>
        <v/>
      </c>
      <c r="K818" s="29" t="str">
        <f t="shared" si="76"/>
        <v/>
      </c>
      <c r="L818" s="29" t="str">
        <f t="shared" si="77"/>
        <v/>
      </c>
    </row>
    <row r="819" spans="1:12" ht="15" x14ac:dyDescent="0.25">
      <c r="A819" s="1" t="str">
        <f>IF('1.1 Produksi Bersih Padi 2025'!A819="","",'1.1 Produksi Bersih Padi 2025'!A819)</f>
        <v/>
      </c>
      <c r="B819" s="2" t="str">
        <f>IF('1.1 Produksi Bersih Padi 2025'!B819="","",'1.1 Produksi Bersih Padi 2025'!B819)</f>
        <v/>
      </c>
      <c r="C819" s="2" t="str">
        <f>IF('1.1 Produksi Bersih Padi 2025'!C819="","",'1.1 Produksi Bersih Padi 2025'!C819)</f>
        <v/>
      </c>
      <c r="D819" s="3" t="str">
        <f>IF('1.1 Produksi Bersih Padi 2025'!D819="","",'1.1 Produksi Bersih Padi 2025'!D819)</f>
        <v/>
      </c>
      <c r="E819" s="3" t="str">
        <f>IF('1.1 Produksi Bersih Padi 2025'!E819="","",'1.1 Produksi Bersih Padi 2025'!E819)</f>
        <v/>
      </c>
      <c r="F819" s="28" t="str">
        <f>IF(D819="","",VLOOKUP(D819,'[1]0.1 Produksi Pangan &amp; Penduduk'!$D$5:$S$860,16,0))</f>
        <v/>
      </c>
      <c r="G819" s="28" t="str">
        <f t="shared" si="72"/>
        <v/>
      </c>
      <c r="H819" s="29" t="str">
        <f t="shared" si="73"/>
        <v/>
      </c>
      <c r="I819" s="29" t="str">
        <f t="shared" si="74"/>
        <v/>
      </c>
      <c r="J819" s="29" t="str">
        <f t="shared" si="75"/>
        <v/>
      </c>
      <c r="K819" s="29" t="str">
        <f t="shared" si="76"/>
        <v/>
      </c>
      <c r="L819" s="29" t="str">
        <f t="shared" si="77"/>
        <v/>
      </c>
    </row>
    <row r="820" spans="1:12" ht="15" x14ac:dyDescent="0.25">
      <c r="A820" s="1" t="str">
        <f>IF('1.1 Produksi Bersih Padi 2025'!A820="","",'1.1 Produksi Bersih Padi 2025'!A820)</f>
        <v/>
      </c>
      <c r="B820" s="2" t="str">
        <f>IF('1.1 Produksi Bersih Padi 2025'!B820="","",'1.1 Produksi Bersih Padi 2025'!B820)</f>
        <v/>
      </c>
      <c r="C820" s="2" t="str">
        <f>IF('1.1 Produksi Bersih Padi 2025'!C820="","",'1.1 Produksi Bersih Padi 2025'!C820)</f>
        <v/>
      </c>
      <c r="D820" s="3" t="str">
        <f>IF('1.1 Produksi Bersih Padi 2025'!D820="","",'1.1 Produksi Bersih Padi 2025'!D820)</f>
        <v/>
      </c>
      <c r="E820" s="3" t="str">
        <f>IF('1.1 Produksi Bersih Padi 2025'!E820="","",'1.1 Produksi Bersih Padi 2025'!E820)</f>
        <v/>
      </c>
      <c r="F820" s="28" t="str">
        <f>IF(D820="","",VLOOKUP(D820,'[1]0.1 Produksi Pangan &amp; Penduduk'!$D$5:$S$860,16,0))</f>
        <v/>
      </c>
      <c r="G820" s="28" t="str">
        <f t="shared" si="72"/>
        <v/>
      </c>
      <c r="H820" s="29" t="str">
        <f t="shared" si="73"/>
        <v/>
      </c>
      <c r="I820" s="29" t="str">
        <f t="shared" si="74"/>
        <v/>
      </c>
      <c r="J820" s="29" t="str">
        <f t="shared" si="75"/>
        <v/>
      </c>
      <c r="K820" s="29" t="str">
        <f t="shared" si="76"/>
        <v/>
      </c>
      <c r="L820" s="29" t="str">
        <f t="shared" si="77"/>
        <v/>
      </c>
    </row>
    <row r="821" spans="1:12" ht="15" x14ac:dyDescent="0.25">
      <c r="A821" s="1" t="str">
        <f>IF('1.1 Produksi Bersih Padi 2025'!A821="","",'1.1 Produksi Bersih Padi 2025'!A821)</f>
        <v/>
      </c>
      <c r="B821" s="2" t="str">
        <f>IF('1.1 Produksi Bersih Padi 2025'!B821="","",'1.1 Produksi Bersih Padi 2025'!B821)</f>
        <v/>
      </c>
      <c r="C821" s="2" t="str">
        <f>IF('1.1 Produksi Bersih Padi 2025'!C821="","",'1.1 Produksi Bersih Padi 2025'!C821)</f>
        <v/>
      </c>
      <c r="D821" s="3" t="str">
        <f>IF('1.1 Produksi Bersih Padi 2025'!D821="","",'1.1 Produksi Bersih Padi 2025'!D821)</f>
        <v/>
      </c>
      <c r="E821" s="3" t="str">
        <f>IF('1.1 Produksi Bersih Padi 2025'!E821="","",'1.1 Produksi Bersih Padi 2025'!E821)</f>
        <v/>
      </c>
      <c r="F821" s="28" t="str">
        <f>IF(D821="","",VLOOKUP(D821,'[1]0.1 Produksi Pangan &amp; Penduduk'!$D$5:$S$860,16,0))</f>
        <v/>
      </c>
      <c r="G821" s="28" t="str">
        <f t="shared" si="72"/>
        <v/>
      </c>
      <c r="H821" s="29" t="str">
        <f t="shared" si="73"/>
        <v/>
      </c>
      <c r="I821" s="29" t="str">
        <f t="shared" si="74"/>
        <v/>
      </c>
      <c r="J821" s="29" t="str">
        <f t="shared" si="75"/>
        <v/>
      </c>
      <c r="K821" s="29" t="str">
        <f t="shared" si="76"/>
        <v/>
      </c>
      <c r="L821" s="29" t="str">
        <f t="shared" si="77"/>
        <v/>
      </c>
    </row>
    <row r="822" spans="1:12" ht="15" x14ac:dyDescent="0.25">
      <c r="A822" s="1" t="str">
        <f>IF('1.1 Produksi Bersih Padi 2025'!A822="","",'1.1 Produksi Bersih Padi 2025'!A822)</f>
        <v/>
      </c>
      <c r="B822" s="2" t="str">
        <f>IF('1.1 Produksi Bersih Padi 2025'!B822="","",'1.1 Produksi Bersih Padi 2025'!B822)</f>
        <v/>
      </c>
      <c r="C822" s="2" t="str">
        <f>IF('1.1 Produksi Bersih Padi 2025'!C822="","",'1.1 Produksi Bersih Padi 2025'!C822)</f>
        <v/>
      </c>
      <c r="D822" s="3" t="str">
        <f>IF('1.1 Produksi Bersih Padi 2025'!D822="","",'1.1 Produksi Bersih Padi 2025'!D822)</f>
        <v/>
      </c>
      <c r="E822" s="3" t="str">
        <f>IF('1.1 Produksi Bersih Padi 2025'!E822="","",'1.1 Produksi Bersih Padi 2025'!E822)</f>
        <v/>
      </c>
      <c r="F822" s="28" t="str">
        <f>IF(D822="","",VLOOKUP(D822,'[1]0.1 Produksi Pangan &amp; Penduduk'!$D$5:$S$860,16,0))</f>
        <v/>
      </c>
      <c r="G822" s="28" t="str">
        <f t="shared" si="72"/>
        <v/>
      </c>
      <c r="H822" s="29" t="str">
        <f t="shared" si="73"/>
        <v/>
      </c>
      <c r="I822" s="29" t="str">
        <f t="shared" si="74"/>
        <v/>
      </c>
      <c r="J822" s="29" t="str">
        <f t="shared" si="75"/>
        <v/>
      </c>
      <c r="K822" s="29" t="str">
        <f t="shared" si="76"/>
        <v/>
      </c>
      <c r="L822" s="29" t="str">
        <f t="shared" si="77"/>
        <v/>
      </c>
    </row>
    <row r="823" spans="1:12" ht="15" x14ac:dyDescent="0.25">
      <c r="A823" s="1" t="str">
        <f>IF('1.1 Produksi Bersih Padi 2025'!A823="","",'1.1 Produksi Bersih Padi 2025'!A823)</f>
        <v/>
      </c>
      <c r="B823" s="2" t="str">
        <f>IF('1.1 Produksi Bersih Padi 2025'!B823="","",'1.1 Produksi Bersih Padi 2025'!B823)</f>
        <v/>
      </c>
      <c r="C823" s="2" t="str">
        <f>IF('1.1 Produksi Bersih Padi 2025'!C823="","",'1.1 Produksi Bersih Padi 2025'!C823)</f>
        <v/>
      </c>
      <c r="D823" s="3" t="str">
        <f>IF('1.1 Produksi Bersih Padi 2025'!D823="","",'1.1 Produksi Bersih Padi 2025'!D823)</f>
        <v/>
      </c>
      <c r="E823" s="3" t="str">
        <f>IF('1.1 Produksi Bersih Padi 2025'!E823="","",'1.1 Produksi Bersih Padi 2025'!E823)</f>
        <v/>
      </c>
      <c r="F823" s="28" t="str">
        <f>IF(D823="","",VLOOKUP(D823,'[1]0.1 Produksi Pangan &amp; Penduduk'!$D$5:$S$860,16,0))</f>
        <v/>
      </c>
      <c r="G823" s="28" t="str">
        <f t="shared" si="72"/>
        <v/>
      </c>
      <c r="H823" s="29" t="str">
        <f t="shared" si="73"/>
        <v/>
      </c>
      <c r="I823" s="29" t="str">
        <f t="shared" si="74"/>
        <v/>
      </c>
      <c r="J823" s="29" t="str">
        <f t="shared" si="75"/>
        <v/>
      </c>
      <c r="K823" s="29" t="str">
        <f t="shared" si="76"/>
        <v/>
      </c>
      <c r="L823" s="29" t="str">
        <f t="shared" si="77"/>
        <v/>
      </c>
    </row>
    <row r="824" spans="1:12" ht="15" x14ac:dyDescent="0.25">
      <c r="A824" s="1" t="str">
        <f>IF('1.1 Produksi Bersih Padi 2025'!A824="","",'1.1 Produksi Bersih Padi 2025'!A824)</f>
        <v/>
      </c>
      <c r="B824" s="2" t="str">
        <f>IF('1.1 Produksi Bersih Padi 2025'!B824="","",'1.1 Produksi Bersih Padi 2025'!B824)</f>
        <v/>
      </c>
      <c r="C824" s="2" t="str">
        <f>IF('1.1 Produksi Bersih Padi 2025'!C824="","",'1.1 Produksi Bersih Padi 2025'!C824)</f>
        <v/>
      </c>
      <c r="D824" s="3" t="str">
        <f>IF('1.1 Produksi Bersih Padi 2025'!D824="","",'1.1 Produksi Bersih Padi 2025'!D824)</f>
        <v/>
      </c>
      <c r="E824" s="3" t="str">
        <f>IF('1.1 Produksi Bersih Padi 2025'!E824="","",'1.1 Produksi Bersih Padi 2025'!E824)</f>
        <v/>
      </c>
      <c r="F824" s="28" t="str">
        <f>IF(D824="","",VLOOKUP(D824,'[1]0.1 Produksi Pangan &amp; Penduduk'!$D$5:$S$860,16,0))</f>
        <v/>
      </c>
      <c r="G824" s="28" t="str">
        <f t="shared" si="72"/>
        <v/>
      </c>
      <c r="H824" s="29" t="str">
        <f t="shared" si="73"/>
        <v/>
      </c>
      <c r="I824" s="29" t="str">
        <f t="shared" si="74"/>
        <v/>
      </c>
      <c r="J824" s="29" t="str">
        <f t="shared" si="75"/>
        <v/>
      </c>
      <c r="K824" s="29" t="str">
        <f t="shared" si="76"/>
        <v/>
      </c>
      <c r="L824" s="29" t="str">
        <f t="shared" si="77"/>
        <v/>
      </c>
    </row>
    <row r="825" spans="1:12" ht="15" x14ac:dyDescent="0.25">
      <c r="A825" s="1" t="str">
        <f>IF('1.1 Produksi Bersih Padi 2025'!A825="","",'1.1 Produksi Bersih Padi 2025'!A825)</f>
        <v/>
      </c>
      <c r="B825" s="2" t="str">
        <f>IF('1.1 Produksi Bersih Padi 2025'!B825="","",'1.1 Produksi Bersih Padi 2025'!B825)</f>
        <v/>
      </c>
      <c r="C825" s="2" t="str">
        <f>IF('1.1 Produksi Bersih Padi 2025'!C825="","",'1.1 Produksi Bersih Padi 2025'!C825)</f>
        <v/>
      </c>
      <c r="D825" s="3" t="str">
        <f>IF('1.1 Produksi Bersih Padi 2025'!D825="","",'1.1 Produksi Bersih Padi 2025'!D825)</f>
        <v/>
      </c>
      <c r="E825" s="3" t="str">
        <f>IF('1.1 Produksi Bersih Padi 2025'!E825="","",'1.1 Produksi Bersih Padi 2025'!E825)</f>
        <v/>
      </c>
      <c r="F825" s="28" t="str">
        <f>IF(D825="","",VLOOKUP(D825,'[1]0.1 Produksi Pangan &amp; Penduduk'!$D$5:$S$860,16,0))</f>
        <v/>
      </c>
      <c r="G825" s="28" t="str">
        <f t="shared" si="72"/>
        <v/>
      </c>
      <c r="H825" s="29" t="str">
        <f t="shared" si="73"/>
        <v/>
      </c>
      <c r="I825" s="29" t="str">
        <f t="shared" si="74"/>
        <v/>
      </c>
      <c r="J825" s="29" t="str">
        <f t="shared" si="75"/>
        <v/>
      </c>
      <c r="K825" s="29" t="str">
        <f t="shared" si="76"/>
        <v/>
      </c>
      <c r="L825" s="29" t="str">
        <f t="shared" si="77"/>
        <v/>
      </c>
    </row>
    <row r="826" spans="1:12" ht="15" x14ac:dyDescent="0.25">
      <c r="A826" s="1" t="str">
        <f>IF('1.1 Produksi Bersih Padi 2025'!A826="","",'1.1 Produksi Bersih Padi 2025'!A826)</f>
        <v/>
      </c>
      <c r="B826" s="2" t="str">
        <f>IF('1.1 Produksi Bersih Padi 2025'!B826="","",'1.1 Produksi Bersih Padi 2025'!B826)</f>
        <v/>
      </c>
      <c r="C826" s="2" t="str">
        <f>IF('1.1 Produksi Bersih Padi 2025'!C826="","",'1.1 Produksi Bersih Padi 2025'!C826)</f>
        <v/>
      </c>
      <c r="D826" s="3" t="str">
        <f>IF('1.1 Produksi Bersih Padi 2025'!D826="","",'1.1 Produksi Bersih Padi 2025'!D826)</f>
        <v/>
      </c>
      <c r="E826" s="3" t="str">
        <f>IF('1.1 Produksi Bersih Padi 2025'!E826="","",'1.1 Produksi Bersih Padi 2025'!E826)</f>
        <v/>
      </c>
      <c r="F826" s="28" t="str">
        <f>IF(D826="","",VLOOKUP(D826,'[1]0.1 Produksi Pangan &amp; Penduduk'!$D$5:$S$860,16,0))</f>
        <v/>
      </c>
      <c r="G826" s="28" t="str">
        <f t="shared" si="72"/>
        <v/>
      </c>
      <c r="H826" s="29" t="str">
        <f t="shared" si="73"/>
        <v/>
      </c>
      <c r="I826" s="29" t="str">
        <f t="shared" si="74"/>
        <v/>
      </c>
      <c r="J826" s="29" t="str">
        <f t="shared" si="75"/>
        <v/>
      </c>
      <c r="K826" s="29" t="str">
        <f t="shared" si="76"/>
        <v/>
      </c>
      <c r="L826" s="29" t="str">
        <f t="shared" si="77"/>
        <v/>
      </c>
    </row>
    <row r="827" spans="1:12" ht="15" x14ac:dyDescent="0.25">
      <c r="A827" s="1" t="str">
        <f>IF('1.1 Produksi Bersih Padi 2025'!A827="","",'1.1 Produksi Bersih Padi 2025'!A827)</f>
        <v/>
      </c>
      <c r="B827" s="2" t="str">
        <f>IF('1.1 Produksi Bersih Padi 2025'!B827="","",'1.1 Produksi Bersih Padi 2025'!B827)</f>
        <v/>
      </c>
      <c r="C827" s="2" t="str">
        <f>IF('1.1 Produksi Bersih Padi 2025'!C827="","",'1.1 Produksi Bersih Padi 2025'!C827)</f>
        <v/>
      </c>
      <c r="D827" s="3" t="str">
        <f>IF('1.1 Produksi Bersih Padi 2025'!D827="","",'1.1 Produksi Bersih Padi 2025'!D827)</f>
        <v/>
      </c>
      <c r="E827" s="3" t="str">
        <f>IF('1.1 Produksi Bersih Padi 2025'!E827="","",'1.1 Produksi Bersih Padi 2025'!E827)</f>
        <v/>
      </c>
      <c r="F827" s="28" t="str">
        <f>IF(D827="","",VLOOKUP(D827,'[1]0.1 Produksi Pangan &amp; Penduduk'!$D$5:$S$860,16,0))</f>
        <v/>
      </c>
      <c r="G827" s="28" t="str">
        <f t="shared" si="72"/>
        <v/>
      </c>
      <c r="H827" s="29" t="str">
        <f t="shared" si="73"/>
        <v/>
      </c>
      <c r="I827" s="29" t="str">
        <f t="shared" si="74"/>
        <v/>
      </c>
      <c r="J827" s="29" t="str">
        <f t="shared" si="75"/>
        <v/>
      </c>
      <c r="K827" s="29" t="str">
        <f t="shared" si="76"/>
        <v/>
      </c>
      <c r="L827" s="29" t="str">
        <f t="shared" si="77"/>
        <v/>
      </c>
    </row>
    <row r="828" spans="1:12" ht="15" x14ac:dyDescent="0.25">
      <c r="A828" s="1" t="str">
        <f>IF('1.1 Produksi Bersih Padi 2025'!A828="","",'1.1 Produksi Bersih Padi 2025'!A828)</f>
        <v/>
      </c>
      <c r="B828" s="2" t="str">
        <f>IF('1.1 Produksi Bersih Padi 2025'!B828="","",'1.1 Produksi Bersih Padi 2025'!B828)</f>
        <v/>
      </c>
      <c r="C828" s="2" t="str">
        <f>IF('1.1 Produksi Bersih Padi 2025'!C828="","",'1.1 Produksi Bersih Padi 2025'!C828)</f>
        <v/>
      </c>
      <c r="D828" s="3" t="str">
        <f>IF('1.1 Produksi Bersih Padi 2025'!D828="","",'1.1 Produksi Bersih Padi 2025'!D828)</f>
        <v/>
      </c>
      <c r="E828" s="3" t="str">
        <f>IF('1.1 Produksi Bersih Padi 2025'!E828="","",'1.1 Produksi Bersih Padi 2025'!E828)</f>
        <v/>
      </c>
      <c r="F828" s="28" t="str">
        <f>IF(D828="","",VLOOKUP(D828,'[1]0.1 Produksi Pangan &amp; Penduduk'!$D$5:$S$860,16,0))</f>
        <v/>
      </c>
      <c r="G828" s="28" t="str">
        <f t="shared" si="72"/>
        <v/>
      </c>
      <c r="H828" s="29" t="str">
        <f t="shared" si="73"/>
        <v/>
      </c>
      <c r="I828" s="29" t="str">
        <f t="shared" si="74"/>
        <v/>
      </c>
      <c r="J828" s="29" t="str">
        <f t="shared" si="75"/>
        <v/>
      </c>
      <c r="K828" s="29" t="str">
        <f t="shared" si="76"/>
        <v/>
      </c>
      <c r="L828" s="29" t="str">
        <f t="shared" si="77"/>
        <v/>
      </c>
    </row>
    <row r="829" spans="1:12" ht="15" x14ac:dyDescent="0.25">
      <c r="A829" s="1" t="str">
        <f>IF('1.1 Produksi Bersih Padi 2025'!A829="","",'1.1 Produksi Bersih Padi 2025'!A829)</f>
        <v/>
      </c>
      <c r="B829" s="2" t="str">
        <f>IF('1.1 Produksi Bersih Padi 2025'!B829="","",'1.1 Produksi Bersih Padi 2025'!B829)</f>
        <v/>
      </c>
      <c r="C829" s="2" t="str">
        <f>IF('1.1 Produksi Bersih Padi 2025'!C829="","",'1.1 Produksi Bersih Padi 2025'!C829)</f>
        <v/>
      </c>
      <c r="D829" s="3" t="str">
        <f>IF('1.1 Produksi Bersih Padi 2025'!D829="","",'1.1 Produksi Bersih Padi 2025'!D829)</f>
        <v/>
      </c>
      <c r="E829" s="3" t="str">
        <f>IF('1.1 Produksi Bersih Padi 2025'!E829="","",'1.1 Produksi Bersih Padi 2025'!E829)</f>
        <v/>
      </c>
      <c r="F829" s="28" t="str">
        <f>IF(D829="","",VLOOKUP(D829,'[1]0.1 Produksi Pangan &amp; Penduduk'!$D$5:$S$860,16,0))</f>
        <v/>
      </c>
      <c r="G829" s="28" t="str">
        <f t="shared" si="72"/>
        <v/>
      </c>
      <c r="H829" s="29" t="str">
        <f t="shared" si="73"/>
        <v/>
      </c>
      <c r="I829" s="29" t="str">
        <f t="shared" si="74"/>
        <v/>
      </c>
      <c r="J829" s="29" t="str">
        <f t="shared" si="75"/>
        <v/>
      </c>
      <c r="K829" s="29" t="str">
        <f t="shared" si="76"/>
        <v/>
      </c>
      <c r="L829" s="29" t="str">
        <f t="shared" si="77"/>
        <v/>
      </c>
    </row>
    <row r="830" spans="1:12" ht="15" x14ac:dyDescent="0.25">
      <c r="A830" s="1" t="str">
        <f>IF('1.1 Produksi Bersih Padi 2025'!A830="","",'1.1 Produksi Bersih Padi 2025'!A830)</f>
        <v/>
      </c>
      <c r="B830" s="2" t="str">
        <f>IF('1.1 Produksi Bersih Padi 2025'!B830="","",'1.1 Produksi Bersih Padi 2025'!B830)</f>
        <v/>
      </c>
      <c r="C830" s="2" t="str">
        <f>IF('1.1 Produksi Bersih Padi 2025'!C830="","",'1.1 Produksi Bersih Padi 2025'!C830)</f>
        <v/>
      </c>
      <c r="D830" s="3" t="str">
        <f>IF('1.1 Produksi Bersih Padi 2025'!D830="","",'1.1 Produksi Bersih Padi 2025'!D830)</f>
        <v/>
      </c>
      <c r="E830" s="3" t="str">
        <f>IF('1.1 Produksi Bersih Padi 2025'!E830="","",'1.1 Produksi Bersih Padi 2025'!E830)</f>
        <v/>
      </c>
      <c r="F830" s="28" t="str">
        <f>IF(D830="","",VLOOKUP(D830,'[1]0.1 Produksi Pangan &amp; Penduduk'!$D$5:$S$860,16,0))</f>
        <v/>
      </c>
      <c r="G830" s="28" t="str">
        <f t="shared" si="72"/>
        <v/>
      </c>
      <c r="H830" s="29" t="str">
        <f t="shared" si="73"/>
        <v/>
      </c>
      <c r="I830" s="29" t="str">
        <f t="shared" si="74"/>
        <v/>
      </c>
      <c r="J830" s="29" t="str">
        <f t="shared" si="75"/>
        <v/>
      </c>
      <c r="K830" s="29" t="str">
        <f t="shared" si="76"/>
        <v/>
      </c>
      <c r="L830" s="29" t="str">
        <f t="shared" si="77"/>
        <v/>
      </c>
    </row>
    <row r="831" spans="1:12" ht="15" x14ac:dyDescent="0.25">
      <c r="A831" s="1" t="str">
        <f>IF('1.1 Produksi Bersih Padi 2025'!A831="","",'1.1 Produksi Bersih Padi 2025'!A831)</f>
        <v/>
      </c>
      <c r="B831" s="2" t="str">
        <f>IF('1.1 Produksi Bersih Padi 2025'!B831="","",'1.1 Produksi Bersih Padi 2025'!B831)</f>
        <v/>
      </c>
      <c r="C831" s="2" t="str">
        <f>IF('1.1 Produksi Bersih Padi 2025'!C831="","",'1.1 Produksi Bersih Padi 2025'!C831)</f>
        <v/>
      </c>
      <c r="D831" s="3" t="str">
        <f>IF('1.1 Produksi Bersih Padi 2025'!D831="","",'1.1 Produksi Bersih Padi 2025'!D831)</f>
        <v/>
      </c>
      <c r="E831" s="3" t="str">
        <f>IF('1.1 Produksi Bersih Padi 2025'!E831="","",'1.1 Produksi Bersih Padi 2025'!E831)</f>
        <v/>
      </c>
      <c r="F831" s="28" t="str">
        <f>IF(D831="","",VLOOKUP(D831,'[1]0.1 Produksi Pangan &amp; Penduduk'!$D$5:$S$860,16,0))</f>
        <v/>
      </c>
      <c r="G831" s="28" t="str">
        <f t="shared" si="72"/>
        <v/>
      </c>
      <c r="H831" s="29" t="str">
        <f t="shared" si="73"/>
        <v/>
      </c>
      <c r="I831" s="29" t="str">
        <f t="shared" si="74"/>
        <v/>
      </c>
      <c r="J831" s="29" t="str">
        <f t="shared" si="75"/>
        <v/>
      </c>
      <c r="K831" s="29" t="str">
        <f t="shared" si="76"/>
        <v/>
      </c>
      <c r="L831" s="29" t="str">
        <f t="shared" si="77"/>
        <v/>
      </c>
    </row>
    <row r="832" spans="1:12" ht="15" x14ac:dyDescent="0.25">
      <c r="A832" s="1" t="str">
        <f>IF('1.1 Produksi Bersih Padi 2025'!A832="","",'1.1 Produksi Bersih Padi 2025'!A832)</f>
        <v/>
      </c>
      <c r="B832" s="2" t="str">
        <f>IF('1.1 Produksi Bersih Padi 2025'!B832="","",'1.1 Produksi Bersih Padi 2025'!B832)</f>
        <v/>
      </c>
      <c r="C832" s="2" t="str">
        <f>IF('1.1 Produksi Bersih Padi 2025'!C832="","",'1.1 Produksi Bersih Padi 2025'!C832)</f>
        <v/>
      </c>
      <c r="D832" s="3" t="str">
        <f>IF('1.1 Produksi Bersih Padi 2025'!D832="","",'1.1 Produksi Bersih Padi 2025'!D832)</f>
        <v/>
      </c>
      <c r="E832" s="3" t="str">
        <f>IF('1.1 Produksi Bersih Padi 2025'!E832="","",'1.1 Produksi Bersih Padi 2025'!E832)</f>
        <v/>
      </c>
      <c r="F832" s="28" t="str">
        <f>IF(D832="","",VLOOKUP(D832,'[1]0.1 Produksi Pangan &amp; Penduduk'!$D$5:$S$860,16,0))</f>
        <v/>
      </c>
      <c r="G832" s="28" t="str">
        <f t="shared" si="72"/>
        <v/>
      </c>
      <c r="H832" s="29" t="str">
        <f t="shared" si="73"/>
        <v/>
      </c>
      <c r="I832" s="29" t="str">
        <f t="shared" si="74"/>
        <v/>
      </c>
      <c r="J832" s="29" t="str">
        <f t="shared" si="75"/>
        <v/>
      </c>
      <c r="K832" s="29" t="str">
        <f t="shared" si="76"/>
        <v/>
      </c>
      <c r="L832" s="29" t="str">
        <f t="shared" si="77"/>
        <v/>
      </c>
    </row>
    <row r="833" spans="1:12" ht="15" x14ac:dyDescent="0.25">
      <c r="A833" s="1" t="str">
        <f>IF('1.1 Produksi Bersih Padi 2025'!A833="","",'1.1 Produksi Bersih Padi 2025'!A833)</f>
        <v/>
      </c>
      <c r="B833" s="2" t="str">
        <f>IF('1.1 Produksi Bersih Padi 2025'!B833="","",'1.1 Produksi Bersih Padi 2025'!B833)</f>
        <v/>
      </c>
      <c r="C833" s="2" t="str">
        <f>IF('1.1 Produksi Bersih Padi 2025'!C833="","",'1.1 Produksi Bersih Padi 2025'!C833)</f>
        <v/>
      </c>
      <c r="D833" s="3" t="str">
        <f>IF('1.1 Produksi Bersih Padi 2025'!D833="","",'1.1 Produksi Bersih Padi 2025'!D833)</f>
        <v/>
      </c>
      <c r="E833" s="3" t="str">
        <f>IF('1.1 Produksi Bersih Padi 2025'!E833="","",'1.1 Produksi Bersih Padi 2025'!E833)</f>
        <v/>
      </c>
      <c r="F833" s="28" t="str">
        <f>IF(D833="","",VLOOKUP(D833,'[1]0.1 Produksi Pangan &amp; Penduduk'!$D$5:$S$860,16,0))</f>
        <v/>
      </c>
      <c r="G833" s="28" t="str">
        <f t="shared" si="72"/>
        <v/>
      </c>
      <c r="H833" s="29" t="str">
        <f t="shared" si="73"/>
        <v/>
      </c>
      <c r="I833" s="29" t="str">
        <f t="shared" si="74"/>
        <v/>
      </c>
      <c r="J833" s="29" t="str">
        <f t="shared" si="75"/>
        <v/>
      </c>
      <c r="K833" s="29" t="str">
        <f t="shared" si="76"/>
        <v/>
      </c>
      <c r="L833" s="29" t="str">
        <f t="shared" si="77"/>
        <v/>
      </c>
    </row>
    <row r="834" spans="1:12" ht="15" x14ac:dyDescent="0.25">
      <c r="A834" s="1" t="str">
        <f>IF('1.1 Produksi Bersih Padi 2025'!A834="","",'1.1 Produksi Bersih Padi 2025'!A834)</f>
        <v/>
      </c>
      <c r="B834" s="2" t="str">
        <f>IF('1.1 Produksi Bersih Padi 2025'!B834="","",'1.1 Produksi Bersih Padi 2025'!B834)</f>
        <v/>
      </c>
      <c r="C834" s="2" t="str">
        <f>IF('1.1 Produksi Bersih Padi 2025'!C834="","",'1.1 Produksi Bersih Padi 2025'!C834)</f>
        <v/>
      </c>
      <c r="D834" s="3" t="str">
        <f>IF('1.1 Produksi Bersih Padi 2025'!D834="","",'1.1 Produksi Bersih Padi 2025'!D834)</f>
        <v/>
      </c>
      <c r="E834" s="3" t="str">
        <f>IF('1.1 Produksi Bersih Padi 2025'!E834="","",'1.1 Produksi Bersih Padi 2025'!E834)</f>
        <v/>
      </c>
      <c r="F834" s="28" t="str">
        <f>IF(D834="","",VLOOKUP(D834,'[1]0.1 Produksi Pangan &amp; Penduduk'!$D$5:$S$860,16,0))</f>
        <v/>
      </c>
      <c r="G834" s="28" t="str">
        <f t="shared" si="72"/>
        <v/>
      </c>
      <c r="H834" s="29" t="str">
        <f t="shared" si="73"/>
        <v/>
      </c>
      <c r="I834" s="29" t="str">
        <f t="shared" si="74"/>
        <v/>
      </c>
      <c r="J834" s="29" t="str">
        <f t="shared" si="75"/>
        <v/>
      </c>
      <c r="K834" s="29" t="str">
        <f t="shared" si="76"/>
        <v/>
      </c>
      <c r="L834" s="29" t="str">
        <f t="shared" si="77"/>
        <v/>
      </c>
    </row>
    <row r="835" spans="1:12" ht="15" x14ac:dyDescent="0.25">
      <c r="A835" s="1" t="str">
        <f>IF('1.1 Produksi Bersih Padi 2025'!A835="","",'1.1 Produksi Bersih Padi 2025'!A835)</f>
        <v/>
      </c>
      <c r="B835" s="2" t="str">
        <f>IF('1.1 Produksi Bersih Padi 2025'!B835="","",'1.1 Produksi Bersih Padi 2025'!B835)</f>
        <v/>
      </c>
      <c r="C835" s="2" t="str">
        <f>IF('1.1 Produksi Bersih Padi 2025'!C835="","",'1.1 Produksi Bersih Padi 2025'!C835)</f>
        <v/>
      </c>
      <c r="D835" s="3" t="str">
        <f>IF('1.1 Produksi Bersih Padi 2025'!D835="","",'1.1 Produksi Bersih Padi 2025'!D835)</f>
        <v/>
      </c>
      <c r="E835" s="3" t="str">
        <f>IF('1.1 Produksi Bersih Padi 2025'!E835="","",'1.1 Produksi Bersih Padi 2025'!E835)</f>
        <v/>
      </c>
      <c r="F835" s="28" t="str">
        <f>IF(D835="","",VLOOKUP(D835,'[1]0.1 Produksi Pangan &amp; Penduduk'!$D$5:$S$860,16,0))</f>
        <v/>
      </c>
      <c r="G835" s="28" t="str">
        <f t="shared" si="72"/>
        <v/>
      </c>
      <c r="H835" s="29" t="str">
        <f t="shared" si="73"/>
        <v/>
      </c>
      <c r="I835" s="29" t="str">
        <f t="shared" si="74"/>
        <v/>
      </c>
      <c r="J835" s="29" t="str">
        <f t="shared" si="75"/>
        <v/>
      </c>
      <c r="K835" s="29" t="str">
        <f t="shared" si="76"/>
        <v/>
      </c>
      <c r="L835" s="29" t="str">
        <f t="shared" si="77"/>
        <v/>
      </c>
    </row>
    <row r="836" spans="1:12" ht="15" x14ac:dyDescent="0.25">
      <c r="A836" s="1" t="str">
        <f>IF('1.1 Produksi Bersih Padi 2025'!A836="","",'1.1 Produksi Bersih Padi 2025'!A836)</f>
        <v/>
      </c>
      <c r="B836" s="2" t="str">
        <f>IF('1.1 Produksi Bersih Padi 2025'!B836="","",'1.1 Produksi Bersih Padi 2025'!B836)</f>
        <v/>
      </c>
      <c r="C836" s="2" t="str">
        <f>IF('1.1 Produksi Bersih Padi 2025'!C836="","",'1.1 Produksi Bersih Padi 2025'!C836)</f>
        <v/>
      </c>
      <c r="D836" s="3" t="str">
        <f>IF('1.1 Produksi Bersih Padi 2025'!D836="","",'1.1 Produksi Bersih Padi 2025'!D836)</f>
        <v/>
      </c>
      <c r="E836" s="3" t="str">
        <f>IF('1.1 Produksi Bersih Padi 2025'!E836="","",'1.1 Produksi Bersih Padi 2025'!E836)</f>
        <v/>
      </c>
      <c r="F836" s="28" t="str">
        <f>IF(D836="","",VLOOKUP(D836,'[1]0.1 Produksi Pangan &amp; Penduduk'!$D$5:$S$860,16,0))</f>
        <v/>
      </c>
      <c r="G836" s="28" t="str">
        <f t="shared" si="72"/>
        <v/>
      </c>
      <c r="H836" s="29" t="str">
        <f t="shared" si="73"/>
        <v/>
      </c>
      <c r="I836" s="29" t="str">
        <f t="shared" si="74"/>
        <v/>
      </c>
      <c r="J836" s="29" t="str">
        <f t="shared" si="75"/>
        <v/>
      </c>
      <c r="K836" s="29" t="str">
        <f t="shared" si="76"/>
        <v/>
      </c>
      <c r="L836" s="29" t="str">
        <f t="shared" si="77"/>
        <v/>
      </c>
    </row>
    <row r="837" spans="1:12" ht="15" x14ac:dyDescent="0.25">
      <c r="A837" s="1" t="str">
        <f>IF('1.1 Produksi Bersih Padi 2025'!A837="","",'1.1 Produksi Bersih Padi 2025'!A837)</f>
        <v/>
      </c>
      <c r="B837" s="2" t="str">
        <f>IF('1.1 Produksi Bersih Padi 2025'!B837="","",'1.1 Produksi Bersih Padi 2025'!B837)</f>
        <v/>
      </c>
      <c r="C837" s="2" t="str">
        <f>IF('1.1 Produksi Bersih Padi 2025'!C837="","",'1.1 Produksi Bersih Padi 2025'!C837)</f>
        <v/>
      </c>
      <c r="D837" s="3" t="str">
        <f>IF('1.1 Produksi Bersih Padi 2025'!D837="","",'1.1 Produksi Bersih Padi 2025'!D837)</f>
        <v/>
      </c>
      <c r="E837" s="3" t="str">
        <f>IF('1.1 Produksi Bersih Padi 2025'!E837="","",'1.1 Produksi Bersih Padi 2025'!E837)</f>
        <v/>
      </c>
      <c r="F837" s="28" t="str">
        <f>IF(D837="","",VLOOKUP(D837,'[1]0.1 Produksi Pangan &amp; Penduduk'!$D$5:$S$860,16,0))</f>
        <v/>
      </c>
      <c r="G837" s="28" t="str">
        <f t="shared" si="72"/>
        <v/>
      </c>
      <c r="H837" s="29" t="str">
        <f t="shared" si="73"/>
        <v/>
      </c>
      <c r="I837" s="29" t="str">
        <f t="shared" si="74"/>
        <v/>
      </c>
      <c r="J837" s="29" t="str">
        <f t="shared" si="75"/>
        <v/>
      </c>
      <c r="K837" s="29" t="str">
        <f t="shared" si="76"/>
        <v/>
      </c>
      <c r="L837" s="29" t="str">
        <f t="shared" si="77"/>
        <v/>
      </c>
    </row>
    <row r="838" spans="1:12" ht="15" x14ac:dyDescent="0.25">
      <c r="A838" s="1" t="str">
        <f>IF('1.1 Produksi Bersih Padi 2025'!A838="","",'1.1 Produksi Bersih Padi 2025'!A838)</f>
        <v/>
      </c>
      <c r="B838" s="2" t="str">
        <f>IF('1.1 Produksi Bersih Padi 2025'!B838="","",'1.1 Produksi Bersih Padi 2025'!B838)</f>
        <v/>
      </c>
      <c r="C838" s="2" t="str">
        <f>IF('1.1 Produksi Bersih Padi 2025'!C838="","",'1.1 Produksi Bersih Padi 2025'!C838)</f>
        <v/>
      </c>
      <c r="D838" s="3" t="str">
        <f>IF('1.1 Produksi Bersih Padi 2025'!D838="","",'1.1 Produksi Bersih Padi 2025'!D838)</f>
        <v/>
      </c>
      <c r="E838" s="3" t="str">
        <f>IF('1.1 Produksi Bersih Padi 2025'!E838="","",'1.1 Produksi Bersih Padi 2025'!E838)</f>
        <v/>
      </c>
      <c r="F838" s="28" t="str">
        <f>IF(D838="","",VLOOKUP(D838,'[1]0.1 Produksi Pangan &amp; Penduduk'!$D$5:$S$860,16,0))</f>
        <v/>
      </c>
      <c r="G838" s="28" t="str">
        <f t="shared" ref="G838:G859" si="78">IF(F838="","",F838*73.9252%)</f>
        <v/>
      </c>
      <c r="H838" s="29" t="str">
        <f t="shared" ref="H838:H859" si="79">IF(G838="","",G838*0.345%)</f>
        <v/>
      </c>
      <c r="I838" s="29" t="str">
        <f t="shared" ref="I838:I859" si="80">IF(G838="","",G838*78.806%)</f>
        <v/>
      </c>
      <c r="J838" s="29" t="str">
        <f t="shared" ref="J838:J859" si="81">IF(G838="","",G838*4.62%)</f>
        <v/>
      </c>
      <c r="K838" s="29" t="str">
        <f t="shared" ref="K838:K859" si="82">IF(G838="","",G838-(H838+I838+J838))</f>
        <v/>
      </c>
      <c r="L838" s="29" t="str">
        <f t="shared" ref="L838:L859" si="83">IF(K838="","",K838*1.017)</f>
        <v/>
      </c>
    </row>
    <row r="839" spans="1:12" ht="15" x14ac:dyDescent="0.25">
      <c r="A839" s="1" t="str">
        <f>IF('1.1 Produksi Bersih Padi 2025'!A839="","",'1.1 Produksi Bersih Padi 2025'!A839)</f>
        <v/>
      </c>
      <c r="B839" s="2" t="str">
        <f>IF('1.1 Produksi Bersih Padi 2025'!B839="","",'1.1 Produksi Bersih Padi 2025'!B839)</f>
        <v/>
      </c>
      <c r="C839" s="2" t="str">
        <f>IF('1.1 Produksi Bersih Padi 2025'!C839="","",'1.1 Produksi Bersih Padi 2025'!C839)</f>
        <v/>
      </c>
      <c r="D839" s="3" t="str">
        <f>IF('1.1 Produksi Bersih Padi 2025'!D839="","",'1.1 Produksi Bersih Padi 2025'!D839)</f>
        <v/>
      </c>
      <c r="E839" s="3" t="str">
        <f>IF('1.1 Produksi Bersih Padi 2025'!E839="","",'1.1 Produksi Bersih Padi 2025'!E839)</f>
        <v/>
      </c>
      <c r="F839" s="28" t="str">
        <f>IF(D839="","",VLOOKUP(D839,'[1]0.1 Produksi Pangan &amp; Penduduk'!$D$5:$S$860,16,0))</f>
        <v/>
      </c>
      <c r="G839" s="28" t="str">
        <f t="shared" si="78"/>
        <v/>
      </c>
      <c r="H839" s="29" t="str">
        <f t="shared" si="79"/>
        <v/>
      </c>
      <c r="I839" s="29" t="str">
        <f t="shared" si="80"/>
        <v/>
      </c>
      <c r="J839" s="29" t="str">
        <f t="shared" si="81"/>
        <v/>
      </c>
      <c r="K839" s="29" t="str">
        <f t="shared" si="82"/>
        <v/>
      </c>
      <c r="L839" s="29" t="str">
        <f t="shared" si="83"/>
        <v/>
      </c>
    </row>
    <row r="840" spans="1:12" ht="15" x14ac:dyDescent="0.25">
      <c r="A840" s="1" t="str">
        <f>IF('1.1 Produksi Bersih Padi 2025'!A840="","",'1.1 Produksi Bersih Padi 2025'!A840)</f>
        <v/>
      </c>
      <c r="B840" s="2" t="str">
        <f>IF('1.1 Produksi Bersih Padi 2025'!B840="","",'1.1 Produksi Bersih Padi 2025'!B840)</f>
        <v/>
      </c>
      <c r="C840" s="2" t="str">
        <f>IF('1.1 Produksi Bersih Padi 2025'!C840="","",'1.1 Produksi Bersih Padi 2025'!C840)</f>
        <v/>
      </c>
      <c r="D840" s="3" t="str">
        <f>IF('1.1 Produksi Bersih Padi 2025'!D840="","",'1.1 Produksi Bersih Padi 2025'!D840)</f>
        <v/>
      </c>
      <c r="E840" s="3" t="str">
        <f>IF('1.1 Produksi Bersih Padi 2025'!E840="","",'1.1 Produksi Bersih Padi 2025'!E840)</f>
        <v/>
      </c>
      <c r="F840" s="28" t="str">
        <f>IF(D840="","",VLOOKUP(D840,'[1]0.1 Produksi Pangan &amp; Penduduk'!$D$5:$S$860,16,0))</f>
        <v/>
      </c>
      <c r="G840" s="28" t="str">
        <f t="shared" si="78"/>
        <v/>
      </c>
      <c r="H840" s="29" t="str">
        <f t="shared" si="79"/>
        <v/>
      </c>
      <c r="I840" s="29" t="str">
        <f t="shared" si="80"/>
        <v/>
      </c>
      <c r="J840" s="29" t="str">
        <f t="shared" si="81"/>
        <v/>
      </c>
      <c r="K840" s="29" t="str">
        <f t="shared" si="82"/>
        <v/>
      </c>
      <c r="L840" s="29" t="str">
        <f t="shared" si="83"/>
        <v/>
      </c>
    </row>
    <row r="841" spans="1:12" ht="15" x14ac:dyDescent="0.25">
      <c r="A841" s="1" t="str">
        <f>IF('1.1 Produksi Bersih Padi 2025'!A841="","",'1.1 Produksi Bersih Padi 2025'!A841)</f>
        <v/>
      </c>
      <c r="B841" s="2" t="str">
        <f>IF('1.1 Produksi Bersih Padi 2025'!B841="","",'1.1 Produksi Bersih Padi 2025'!B841)</f>
        <v/>
      </c>
      <c r="C841" s="2" t="str">
        <f>IF('1.1 Produksi Bersih Padi 2025'!C841="","",'1.1 Produksi Bersih Padi 2025'!C841)</f>
        <v/>
      </c>
      <c r="D841" s="3" t="str">
        <f>IF('1.1 Produksi Bersih Padi 2025'!D841="","",'1.1 Produksi Bersih Padi 2025'!D841)</f>
        <v/>
      </c>
      <c r="E841" s="3" t="str">
        <f>IF('1.1 Produksi Bersih Padi 2025'!E841="","",'1.1 Produksi Bersih Padi 2025'!E841)</f>
        <v/>
      </c>
      <c r="F841" s="28" t="str">
        <f>IF(D841="","",VLOOKUP(D841,'[1]0.1 Produksi Pangan &amp; Penduduk'!$D$5:$S$860,16,0))</f>
        <v/>
      </c>
      <c r="G841" s="28" t="str">
        <f t="shared" si="78"/>
        <v/>
      </c>
      <c r="H841" s="29" t="str">
        <f t="shared" si="79"/>
        <v/>
      </c>
      <c r="I841" s="29" t="str">
        <f t="shared" si="80"/>
        <v/>
      </c>
      <c r="J841" s="29" t="str">
        <f t="shared" si="81"/>
        <v/>
      </c>
      <c r="K841" s="29" t="str">
        <f t="shared" si="82"/>
        <v/>
      </c>
      <c r="L841" s="29" t="str">
        <f t="shared" si="83"/>
        <v/>
      </c>
    </row>
    <row r="842" spans="1:12" ht="15" x14ac:dyDescent="0.25">
      <c r="A842" s="1" t="str">
        <f>IF('1.1 Produksi Bersih Padi 2025'!A842="","",'1.1 Produksi Bersih Padi 2025'!A842)</f>
        <v/>
      </c>
      <c r="B842" s="2" t="str">
        <f>IF('1.1 Produksi Bersih Padi 2025'!B842="","",'1.1 Produksi Bersih Padi 2025'!B842)</f>
        <v/>
      </c>
      <c r="C842" s="2" t="str">
        <f>IF('1.1 Produksi Bersih Padi 2025'!C842="","",'1.1 Produksi Bersih Padi 2025'!C842)</f>
        <v/>
      </c>
      <c r="D842" s="3" t="str">
        <f>IF('1.1 Produksi Bersih Padi 2025'!D842="","",'1.1 Produksi Bersih Padi 2025'!D842)</f>
        <v/>
      </c>
      <c r="E842" s="3" t="str">
        <f>IF('1.1 Produksi Bersih Padi 2025'!E842="","",'1.1 Produksi Bersih Padi 2025'!E842)</f>
        <v/>
      </c>
      <c r="F842" s="28" t="str">
        <f>IF(D842="","",VLOOKUP(D842,'[1]0.1 Produksi Pangan &amp; Penduduk'!$D$5:$S$860,16,0))</f>
        <v/>
      </c>
      <c r="G842" s="28" t="str">
        <f t="shared" si="78"/>
        <v/>
      </c>
      <c r="H842" s="29" t="str">
        <f t="shared" si="79"/>
        <v/>
      </c>
      <c r="I842" s="29" t="str">
        <f t="shared" si="80"/>
        <v/>
      </c>
      <c r="J842" s="29" t="str">
        <f t="shared" si="81"/>
        <v/>
      </c>
      <c r="K842" s="29" t="str">
        <f t="shared" si="82"/>
        <v/>
      </c>
      <c r="L842" s="29" t="str">
        <f t="shared" si="83"/>
        <v/>
      </c>
    </row>
    <row r="843" spans="1:12" ht="15" x14ac:dyDescent="0.25">
      <c r="A843" s="1" t="str">
        <f>IF('1.1 Produksi Bersih Padi 2025'!A843="","",'1.1 Produksi Bersih Padi 2025'!A843)</f>
        <v/>
      </c>
      <c r="B843" s="2" t="str">
        <f>IF('1.1 Produksi Bersih Padi 2025'!B843="","",'1.1 Produksi Bersih Padi 2025'!B843)</f>
        <v/>
      </c>
      <c r="C843" s="2" t="str">
        <f>IF('1.1 Produksi Bersih Padi 2025'!C843="","",'1.1 Produksi Bersih Padi 2025'!C843)</f>
        <v/>
      </c>
      <c r="D843" s="3" t="str">
        <f>IF('1.1 Produksi Bersih Padi 2025'!D843="","",'1.1 Produksi Bersih Padi 2025'!D843)</f>
        <v/>
      </c>
      <c r="E843" s="3" t="str">
        <f>IF('1.1 Produksi Bersih Padi 2025'!E843="","",'1.1 Produksi Bersih Padi 2025'!E843)</f>
        <v/>
      </c>
      <c r="F843" s="28" t="str">
        <f>IF(D843="","",VLOOKUP(D843,'[1]0.1 Produksi Pangan &amp; Penduduk'!$D$5:$S$860,16,0))</f>
        <v/>
      </c>
      <c r="G843" s="28" t="str">
        <f t="shared" si="78"/>
        <v/>
      </c>
      <c r="H843" s="29" t="str">
        <f t="shared" si="79"/>
        <v/>
      </c>
      <c r="I843" s="29" t="str">
        <f t="shared" si="80"/>
        <v/>
      </c>
      <c r="J843" s="29" t="str">
        <f t="shared" si="81"/>
        <v/>
      </c>
      <c r="K843" s="29" t="str">
        <f t="shared" si="82"/>
        <v/>
      </c>
      <c r="L843" s="29" t="str">
        <f t="shared" si="83"/>
        <v/>
      </c>
    </row>
    <row r="844" spans="1:12" ht="15" x14ac:dyDescent="0.25">
      <c r="A844" s="1" t="str">
        <f>IF('1.1 Produksi Bersih Padi 2025'!A844="","",'1.1 Produksi Bersih Padi 2025'!A844)</f>
        <v/>
      </c>
      <c r="B844" s="2" t="str">
        <f>IF('1.1 Produksi Bersih Padi 2025'!B844="","",'1.1 Produksi Bersih Padi 2025'!B844)</f>
        <v/>
      </c>
      <c r="C844" s="2" t="str">
        <f>IF('1.1 Produksi Bersih Padi 2025'!C844="","",'1.1 Produksi Bersih Padi 2025'!C844)</f>
        <v/>
      </c>
      <c r="D844" s="3" t="str">
        <f>IF('1.1 Produksi Bersih Padi 2025'!D844="","",'1.1 Produksi Bersih Padi 2025'!D844)</f>
        <v/>
      </c>
      <c r="E844" s="3" t="str">
        <f>IF('1.1 Produksi Bersih Padi 2025'!E844="","",'1.1 Produksi Bersih Padi 2025'!E844)</f>
        <v/>
      </c>
      <c r="F844" s="28" t="str">
        <f>IF(D844="","",VLOOKUP(D844,'[1]0.1 Produksi Pangan &amp; Penduduk'!$D$5:$S$860,16,0))</f>
        <v/>
      </c>
      <c r="G844" s="28" t="str">
        <f t="shared" si="78"/>
        <v/>
      </c>
      <c r="H844" s="29" t="str">
        <f t="shared" si="79"/>
        <v/>
      </c>
      <c r="I844" s="29" t="str">
        <f t="shared" si="80"/>
        <v/>
      </c>
      <c r="J844" s="29" t="str">
        <f t="shared" si="81"/>
        <v/>
      </c>
      <c r="K844" s="29" t="str">
        <f t="shared" si="82"/>
        <v/>
      </c>
      <c r="L844" s="29" t="str">
        <f t="shared" si="83"/>
        <v/>
      </c>
    </row>
    <row r="845" spans="1:12" ht="15" x14ac:dyDescent="0.25">
      <c r="A845" s="1" t="str">
        <f>IF('1.1 Produksi Bersih Padi 2025'!A845="","",'1.1 Produksi Bersih Padi 2025'!A845)</f>
        <v/>
      </c>
      <c r="B845" s="2" t="str">
        <f>IF('1.1 Produksi Bersih Padi 2025'!B845="","",'1.1 Produksi Bersih Padi 2025'!B845)</f>
        <v/>
      </c>
      <c r="C845" s="2" t="str">
        <f>IF('1.1 Produksi Bersih Padi 2025'!C845="","",'1.1 Produksi Bersih Padi 2025'!C845)</f>
        <v/>
      </c>
      <c r="D845" s="3" t="str">
        <f>IF('1.1 Produksi Bersih Padi 2025'!D845="","",'1.1 Produksi Bersih Padi 2025'!D845)</f>
        <v/>
      </c>
      <c r="E845" s="3" t="str">
        <f>IF('1.1 Produksi Bersih Padi 2025'!E845="","",'1.1 Produksi Bersih Padi 2025'!E845)</f>
        <v/>
      </c>
      <c r="F845" s="28" t="str">
        <f>IF(D845="","",VLOOKUP(D845,'[1]0.1 Produksi Pangan &amp; Penduduk'!$D$5:$S$860,16,0))</f>
        <v/>
      </c>
      <c r="G845" s="28" t="str">
        <f t="shared" si="78"/>
        <v/>
      </c>
      <c r="H845" s="29" t="str">
        <f t="shared" si="79"/>
        <v/>
      </c>
      <c r="I845" s="29" t="str">
        <f t="shared" si="80"/>
        <v/>
      </c>
      <c r="J845" s="29" t="str">
        <f t="shared" si="81"/>
        <v/>
      </c>
      <c r="K845" s="29" t="str">
        <f t="shared" si="82"/>
        <v/>
      </c>
      <c r="L845" s="29" t="str">
        <f t="shared" si="83"/>
        <v/>
      </c>
    </row>
    <row r="846" spans="1:12" ht="15" x14ac:dyDescent="0.25">
      <c r="A846" s="1" t="str">
        <f>IF('1.1 Produksi Bersih Padi 2025'!A846="","",'1.1 Produksi Bersih Padi 2025'!A846)</f>
        <v/>
      </c>
      <c r="B846" s="2" t="str">
        <f>IF('1.1 Produksi Bersih Padi 2025'!B846="","",'1.1 Produksi Bersih Padi 2025'!B846)</f>
        <v/>
      </c>
      <c r="C846" s="2" t="str">
        <f>IF('1.1 Produksi Bersih Padi 2025'!C846="","",'1.1 Produksi Bersih Padi 2025'!C846)</f>
        <v/>
      </c>
      <c r="D846" s="3" t="str">
        <f>IF('1.1 Produksi Bersih Padi 2025'!D846="","",'1.1 Produksi Bersih Padi 2025'!D846)</f>
        <v/>
      </c>
      <c r="E846" s="3" t="str">
        <f>IF('1.1 Produksi Bersih Padi 2025'!E846="","",'1.1 Produksi Bersih Padi 2025'!E846)</f>
        <v/>
      </c>
      <c r="F846" s="28" t="str">
        <f>IF(D846="","",VLOOKUP(D846,'[1]0.1 Produksi Pangan &amp; Penduduk'!$D$5:$S$860,16,0))</f>
        <v/>
      </c>
      <c r="G846" s="28" t="str">
        <f t="shared" si="78"/>
        <v/>
      </c>
      <c r="H846" s="29" t="str">
        <f t="shared" si="79"/>
        <v/>
      </c>
      <c r="I846" s="29" t="str">
        <f t="shared" si="80"/>
        <v/>
      </c>
      <c r="J846" s="29" t="str">
        <f t="shared" si="81"/>
        <v/>
      </c>
      <c r="K846" s="29" t="str">
        <f t="shared" si="82"/>
        <v/>
      </c>
      <c r="L846" s="29" t="str">
        <f t="shared" si="83"/>
        <v/>
      </c>
    </row>
    <row r="847" spans="1:12" ht="15" x14ac:dyDescent="0.25">
      <c r="A847" s="1" t="str">
        <f>IF('1.1 Produksi Bersih Padi 2025'!A847="","",'1.1 Produksi Bersih Padi 2025'!A847)</f>
        <v/>
      </c>
      <c r="B847" s="2" t="str">
        <f>IF('1.1 Produksi Bersih Padi 2025'!B847="","",'1.1 Produksi Bersih Padi 2025'!B847)</f>
        <v/>
      </c>
      <c r="C847" s="2" t="str">
        <f>IF('1.1 Produksi Bersih Padi 2025'!C847="","",'1.1 Produksi Bersih Padi 2025'!C847)</f>
        <v/>
      </c>
      <c r="D847" s="3" t="str">
        <f>IF('1.1 Produksi Bersih Padi 2025'!D847="","",'1.1 Produksi Bersih Padi 2025'!D847)</f>
        <v/>
      </c>
      <c r="E847" s="3" t="str">
        <f>IF('1.1 Produksi Bersih Padi 2025'!E847="","",'1.1 Produksi Bersih Padi 2025'!E847)</f>
        <v/>
      </c>
      <c r="F847" s="28" t="str">
        <f>IF(D847="","",VLOOKUP(D847,'[1]0.1 Produksi Pangan &amp; Penduduk'!$D$5:$S$860,16,0))</f>
        <v/>
      </c>
      <c r="G847" s="28" t="str">
        <f t="shared" si="78"/>
        <v/>
      </c>
      <c r="H847" s="29" t="str">
        <f t="shared" si="79"/>
        <v/>
      </c>
      <c r="I847" s="29" t="str">
        <f t="shared" si="80"/>
        <v/>
      </c>
      <c r="J847" s="29" t="str">
        <f t="shared" si="81"/>
        <v/>
      </c>
      <c r="K847" s="29" t="str">
        <f t="shared" si="82"/>
        <v/>
      </c>
      <c r="L847" s="29" t="str">
        <f t="shared" si="83"/>
        <v/>
      </c>
    </row>
    <row r="848" spans="1:12" ht="15" x14ac:dyDescent="0.25">
      <c r="A848" s="1" t="str">
        <f>IF('1.1 Produksi Bersih Padi 2025'!A848="","",'1.1 Produksi Bersih Padi 2025'!A848)</f>
        <v/>
      </c>
      <c r="B848" s="2" t="str">
        <f>IF('1.1 Produksi Bersih Padi 2025'!B848="","",'1.1 Produksi Bersih Padi 2025'!B848)</f>
        <v/>
      </c>
      <c r="C848" s="2" t="str">
        <f>IF('1.1 Produksi Bersih Padi 2025'!C848="","",'1.1 Produksi Bersih Padi 2025'!C848)</f>
        <v/>
      </c>
      <c r="D848" s="3" t="str">
        <f>IF('1.1 Produksi Bersih Padi 2025'!D848="","",'1.1 Produksi Bersih Padi 2025'!D848)</f>
        <v/>
      </c>
      <c r="E848" s="3" t="str">
        <f>IF('1.1 Produksi Bersih Padi 2025'!E848="","",'1.1 Produksi Bersih Padi 2025'!E848)</f>
        <v/>
      </c>
      <c r="F848" s="28" t="str">
        <f>IF(D848="","",VLOOKUP(D848,'[1]0.1 Produksi Pangan &amp; Penduduk'!$D$5:$S$860,16,0))</f>
        <v/>
      </c>
      <c r="G848" s="28" t="str">
        <f t="shared" si="78"/>
        <v/>
      </c>
      <c r="H848" s="29" t="str">
        <f t="shared" si="79"/>
        <v/>
      </c>
      <c r="I848" s="29" t="str">
        <f t="shared" si="80"/>
        <v/>
      </c>
      <c r="J848" s="29" t="str">
        <f t="shared" si="81"/>
        <v/>
      </c>
      <c r="K848" s="29" t="str">
        <f t="shared" si="82"/>
        <v/>
      </c>
      <c r="L848" s="29" t="str">
        <f t="shared" si="83"/>
        <v/>
      </c>
    </row>
    <row r="849" spans="1:12" ht="15" x14ac:dyDescent="0.25">
      <c r="A849" s="1" t="str">
        <f>IF('1.1 Produksi Bersih Padi 2025'!A849="","",'1.1 Produksi Bersih Padi 2025'!A849)</f>
        <v/>
      </c>
      <c r="B849" s="2" t="str">
        <f>IF('1.1 Produksi Bersih Padi 2025'!B849="","",'1.1 Produksi Bersih Padi 2025'!B849)</f>
        <v/>
      </c>
      <c r="C849" s="2" t="str">
        <f>IF('1.1 Produksi Bersih Padi 2025'!C849="","",'1.1 Produksi Bersih Padi 2025'!C849)</f>
        <v/>
      </c>
      <c r="D849" s="3" t="str">
        <f>IF('1.1 Produksi Bersih Padi 2025'!D849="","",'1.1 Produksi Bersih Padi 2025'!D849)</f>
        <v/>
      </c>
      <c r="E849" s="3" t="str">
        <f>IF('1.1 Produksi Bersih Padi 2025'!E849="","",'1.1 Produksi Bersih Padi 2025'!E849)</f>
        <v/>
      </c>
      <c r="F849" s="28" t="str">
        <f>IF(D849="","",VLOOKUP(D849,'[1]0.1 Produksi Pangan &amp; Penduduk'!$D$5:$S$860,16,0))</f>
        <v/>
      </c>
      <c r="G849" s="28" t="str">
        <f t="shared" si="78"/>
        <v/>
      </c>
      <c r="H849" s="29" t="str">
        <f t="shared" si="79"/>
        <v/>
      </c>
      <c r="I849" s="29" t="str">
        <f t="shared" si="80"/>
        <v/>
      </c>
      <c r="J849" s="29" t="str">
        <f t="shared" si="81"/>
        <v/>
      </c>
      <c r="K849" s="29" t="str">
        <f t="shared" si="82"/>
        <v/>
      </c>
      <c r="L849" s="29" t="str">
        <f t="shared" si="83"/>
        <v/>
      </c>
    </row>
    <row r="850" spans="1:12" ht="15" x14ac:dyDescent="0.25">
      <c r="A850" s="1" t="str">
        <f>IF('1.1 Produksi Bersih Padi 2025'!A850="","",'1.1 Produksi Bersih Padi 2025'!A850)</f>
        <v/>
      </c>
      <c r="B850" s="2" t="str">
        <f>IF('1.1 Produksi Bersih Padi 2025'!B850="","",'1.1 Produksi Bersih Padi 2025'!B850)</f>
        <v/>
      </c>
      <c r="C850" s="2" t="str">
        <f>IF('1.1 Produksi Bersih Padi 2025'!C850="","",'1.1 Produksi Bersih Padi 2025'!C850)</f>
        <v/>
      </c>
      <c r="D850" s="3" t="str">
        <f>IF('1.1 Produksi Bersih Padi 2025'!D850="","",'1.1 Produksi Bersih Padi 2025'!D850)</f>
        <v/>
      </c>
      <c r="E850" s="3" t="str">
        <f>IF('1.1 Produksi Bersih Padi 2025'!E850="","",'1.1 Produksi Bersih Padi 2025'!E850)</f>
        <v/>
      </c>
      <c r="F850" s="28" t="str">
        <f>IF(D850="","",VLOOKUP(D850,'[1]0.1 Produksi Pangan &amp; Penduduk'!$D$5:$S$860,16,0))</f>
        <v/>
      </c>
      <c r="G850" s="28" t="str">
        <f t="shared" si="78"/>
        <v/>
      </c>
      <c r="H850" s="29" t="str">
        <f t="shared" si="79"/>
        <v/>
      </c>
      <c r="I850" s="29" t="str">
        <f t="shared" si="80"/>
        <v/>
      </c>
      <c r="J850" s="29" t="str">
        <f t="shared" si="81"/>
        <v/>
      </c>
      <c r="K850" s="29" t="str">
        <f t="shared" si="82"/>
        <v/>
      </c>
      <c r="L850" s="29" t="str">
        <f t="shared" si="83"/>
        <v/>
      </c>
    </row>
    <row r="851" spans="1:12" ht="15" x14ac:dyDescent="0.25">
      <c r="A851" s="1" t="str">
        <f>IF('1.1 Produksi Bersih Padi 2025'!A851="","",'1.1 Produksi Bersih Padi 2025'!A851)</f>
        <v/>
      </c>
      <c r="B851" s="2" t="str">
        <f>IF('1.1 Produksi Bersih Padi 2025'!B851="","",'1.1 Produksi Bersih Padi 2025'!B851)</f>
        <v/>
      </c>
      <c r="C851" s="2" t="str">
        <f>IF('1.1 Produksi Bersih Padi 2025'!C851="","",'1.1 Produksi Bersih Padi 2025'!C851)</f>
        <v/>
      </c>
      <c r="D851" s="3" t="str">
        <f>IF('1.1 Produksi Bersih Padi 2025'!D851="","",'1.1 Produksi Bersih Padi 2025'!D851)</f>
        <v/>
      </c>
      <c r="E851" s="3" t="str">
        <f>IF('1.1 Produksi Bersih Padi 2025'!E851="","",'1.1 Produksi Bersih Padi 2025'!E851)</f>
        <v/>
      </c>
      <c r="F851" s="28" t="str">
        <f>IF(D851="","",VLOOKUP(D851,'[1]0.1 Produksi Pangan &amp; Penduduk'!$D$5:$S$860,16,0))</f>
        <v/>
      </c>
      <c r="G851" s="28" t="str">
        <f t="shared" si="78"/>
        <v/>
      </c>
      <c r="H851" s="29" t="str">
        <f t="shared" si="79"/>
        <v/>
      </c>
      <c r="I851" s="29" t="str">
        <f t="shared" si="80"/>
        <v/>
      </c>
      <c r="J851" s="29" t="str">
        <f t="shared" si="81"/>
        <v/>
      </c>
      <c r="K851" s="29" t="str">
        <f t="shared" si="82"/>
        <v/>
      </c>
      <c r="L851" s="29" t="str">
        <f t="shared" si="83"/>
        <v/>
      </c>
    </row>
    <row r="852" spans="1:12" ht="15" x14ac:dyDescent="0.25">
      <c r="A852" s="1" t="str">
        <f>IF('1.1 Produksi Bersih Padi 2025'!A852="","",'1.1 Produksi Bersih Padi 2025'!A852)</f>
        <v/>
      </c>
      <c r="B852" s="2" t="str">
        <f>IF('1.1 Produksi Bersih Padi 2025'!B852="","",'1.1 Produksi Bersih Padi 2025'!B852)</f>
        <v/>
      </c>
      <c r="C852" s="2" t="str">
        <f>IF('1.1 Produksi Bersih Padi 2025'!C852="","",'1.1 Produksi Bersih Padi 2025'!C852)</f>
        <v/>
      </c>
      <c r="D852" s="3" t="str">
        <f>IF('1.1 Produksi Bersih Padi 2025'!D852="","",'1.1 Produksi Bersih Padi 2025'!D852)</f>
        <v/>
      </c>
      <c r="E852" s="3" t="str">
        <f>IF('1.1 Produksi Bersih Padi 2025'!E852="","",'1.1 Produksi Bersih Padi 2025'!E852)</f>
        <v/>
      </c>
      <c r="F852" s="28" t="str">
        <f>IF(D852="","",VLOOKUP(D852,'[1]0.1 Produksi Pangan &amp; Penduduk'!$D$5:$S$860,16,0))</f>
        <v/>
      </c>
      <c r="G852" s="28" t="str">
        <f t="shared" si="78"/>
        <v/>
      </c>
      <c r="H852" s="29" t="str">
        <f t="shared" si="79"/>
        <v/>
      </c>
      <c r="I852" s="29" t="str">
        <f t="shared" si="80"/>
        <v/>
      </c>
      <c r="J852" s="29" t="str">
        <f t="shared" si="81"/>
        <v/>
      </c>
      <c r="K852" s="29" t="str">
        <f t="shared" si="82"/>
        <v/>
      </c>
      <c r="L852" s="29" t="str">
        <f t="shared" si="83"/>
        <v/>
      </c>
    </row>
    <row r="853" spans="1:12" ht="15" x14ac:dyDescent="0.25">
      <c r="A853" s="1" t="str">
        <f>IF('1.1 Produksi Bersih Padi 2025'!A853="","",'1.1 Produksi Bersih Padi 2025'!A853)</f>
        <v/>
      </c>
      <c r="B853" s="2" t="str">
        <f>IF('1.1 Produksi Bersih Padi 2025'!B853="","",'1.1 Produksi Bersih Padi 2025'!B853)</f>
        <v/>
      </c>
      <c r="C853" s="2" t="str">
        <f>IF('1.1 Produksi Bersih Padi 2025'!C853="","",'1.1 Produksi Bersih Padi 2025'!C853)</f>
        <v/>
      </c>
      <c r="D853" s="3" t="str">
        <f>IF('1.1 Produksi Bersih Padi 2025'!D853="","",'1.1 Produksi Bersih Padi 2025'!D853)</f>
        <v/>
      </c>
      <c r="E853" s="3" t="str">
        <f>IF('1.1 Produksi Bersih Padi 2025'!E853="","",'1.1 Produksi Bersih Padi 2025'!E853)</f>
        <v/>
      </c>
      <c r="F853" s="28" t="str">
        <f>IF(D853="","",VLOOKUP(D853,'[1]0.1 Produksi Pangan &amp; Penduduk'!$D$5:$S$860,16,0))</f>
        <v/>
      </c>
      <c r="G853" s="28" t="str">
        <f t="shared" si="78"/>
        <v/>
      </c>
      <c r="H853" s="29" t="str">
        <f t="shared" si="79"/>
        <v/>
      </c>
      <c r="I853" s="29" t="str">
        <f t="shared" si="80"/>
        <v/>
      </c>
      <c r="J853" s="29" t="str">
        <f t="shared" si="81"/>
        <v/>
      </c>
      <c r="K853" s="29" t="str">
        <f t="shared" si="82"/>
        <v/>
      </c>
      <c r="L853" s="29" t="str">
        <f t="shared" si="83"/>
        <v/>
      </c>
    </row>
    <row r="854" spans="1:12" ht="15" x14ac:dyDescent="0.25">
      <c r="A854" s="1" t="str">
        <f>IF('1.1 Produksi Bersih Padi 2025'!A854="","",'1.1 Produksi Bersih Padi 2025'!A854)</f>
        <v/>
      </c>
      <c r="B854" s="2" t="str">
        <f>IF('1.1 Produksi Bersih Padi 2025'!B854="","",'1.1 Produksi Bersih Padi 2025'!B854)</f>
        <v/>
      </c>
      <c r="C854" s="2" t="str">
        <f>IF('1.1 Produksi Bersih Padi 2025'!C854="","",'1.1 Produksi Bersih Padi 2025'!C854)</f>
        <v/>
      </c>
      <c r="D854" s="3" t="str">
        <f>IF('1.1 Produksi Bersih Padi 2025'!D854="","",'1.1 Produksi Bersih Padi 2025'!D854)</f>
        <v/>
      </c>
      <c r="E854" s="3" t="str">
        <f>IF('1.1 Produksi Bersih Padi 2025'!E854="","",'1.1 Produksi Bersih Padi 2025'!E854)</f>
        <v/>
      </c>
      <c r="F854" s="28" t="str">
        <f>IF(D854="","",VLOOKUP(D854,'[1]0.1 Produksi Pangan &amp; Penduduk'!$D$5:$S$860,16,0))</f>
        <v/>
      </c>
      <c r="G854" s="28" t="str">
        <f t="shared" si="78"/>
        <v/>
      </c>
      <c r="H854" s="29" t="str">
        <f t="shared" si="79"/>
        <v/>
      </c>
      <c r="I854" s="29" t="str">
        <f t="shared" si="80"/>
        <v/>
      </c>
      <c r="J854" s="29" t="str">
        <f t="shared" si="81"/>
        <v/>
      </c>
      <c r="K854" s="29" t="str">
        <f t="shared" si="82"/>
        <v/>
      </c>
      <c r="L854" s="29" t="str">
        <f t="shared" si="83"/>
        <v/>
      </c>
    </row>
    <row r="855" spans="1:12" ht="15" x14ac:dyDescent="0.25">
      <c r="A855" s="1" t="str">
        <f>IF('1.1 Produksi Bersih Padi 2025'!A855="","",'1.1 Produksi Bersih Padi 2025'!A855)</f>
        <v/>
      </c>
      <c r="B855" s="2" t="str">
        <f>IF('1.1 Produksi Bersih Padi 2025'!B855="","",'1.1 Produksi Bersih Padi 2025'!B855)</f>
        <v/>
      </c>
      <c r="C855" s="2" t="str">
        <f>IF('1.1 Produksi Bersih Padi 2025'!C855="","",'1.1 Produksi Bersih Padi 2025'!C855)</f>
        <v/>
      </c>
      <c r="D855" s="3" t="str">
        <f>IF('1.1 Produksi Bersih Padi 2025'!D855="","",'1.1 Produksi Bersih Padi 2025'!D855)</f>
        <v/>
      </c>
      <c r="E855" s="3" t="str">
        <f>IF('1.1 Produksi Bersih Padi 2025'!E855="","",'1.1 Produksi Bersih Padi 2025'!E855)</f>
        <v/>
      </c>
      <c r="F855" s="28" t="str">
        <f>IF(D855="","",VLOOKUP(D855,'[1]0.1 Produksi Pangan &amp; Penduduk'!$D$5:$S$860,16,0))</f>
        <v/>
      </c>
      <c r="G855" s="28" t="str">
        <f t="shared" si="78"/>
        <v/>
      </c>
      <c r="H855" s="29" t="str">
        <f t="shared" si="79"/>
        <v/>
      </c>
      <c r="I855" s="29" t="str">
        <f t="shared" si="80"/>
        <v/>
      </c>
      <c r="J855" s="29" t="str">
        <f t="shared" si="81"/>
        <v/>
      </c>
      <c r="K855" s="29" t="str">
        <f t="shared" si="82"/>
        <v/>
      </c>
      <c r="L855" s="29" t="str">
        <f t="shared" si="83"/>
        <v/>
      </c>
    </row>
    <row r="856" spans="1:12" ht="15" x14ac:dyDescent="0.25">
      <c r="A856" s="1" t="str">
        <f>IF('1.1 Produksi Bersih Padi 2025'!A856="","",'1.1 Produksi Bersih Padi 2025'!A856)</f>
        <v/>
      </c>
      <c r="B856" s="2" t="str">
        <f>IF('1.1 Produksi Bersih Padi 2025'!B856="","",'1.1 Produksi Bersih Padi 2025'!B856)</f>
        <v/>
      </c>
      <c r="C856" s="2" t="str">
        <f>IF('1.1 Produksi Bersih Padi 2025'!C856="","",'1.1 Produksi Bersih Padi 2025'!C856)</f>
        <v/>
      </c>
      <c r="D856" s="3" t="str">
        <f>IF('1.1 Produksi Bersih Padi 2025'!D856="","",'1.1 Produksi Bersih Padi 2025'!D856)</f>
        <v/>
      </c>
      <c r="E856" s="3" t="str">
        <f>IF('1.1 Produksi Bersih Padi 2025'!E856="","",'1.1 Produksi Bersih Padi 2025'!E856)</f>
        <v/>
      </c>
      <c r="F856" s="28" t="str">
        <f>IF(D856="","",VLOOKUP(D856,'[1]0.1 Produksi Pangan &amp; Penduduk'!$D$5:$S$860,16,0))</f>
        <v/>
      </c>
      <c r="G856" s="28" t="str">
        <f t="shared" si="78"/>
        <v/>
      </c>
      <c r="H856" s="29" t="str">
        <f t="shared" si="79"/>
        <v/>
      </c>
      <c r="I856" s="29" t="str">
        <f t="shared" si="80"/>
        <v/>
      </c>
      <c r="J856" s="29" t="str">
        <f t="shared" si="81"/>
        <v/>
      </c>
      <c r="K856" s="29" t="str">
        <f t="shared" si="82"/>
        <v/>
      </c>
      <c r="L856" s="29" t="str">
        <f t="shared" si="83"/>
        <v/>
      </c>
    </row>
    <row r="857" spans="1:12" ht="15" x14ac:dyDescent="0.25">
      <c r="A857" s="1" t="str">
        <f>IF('1.1 Produksi Bersih Padi 2025'!A857="","",'1.1 Produksi Bersih Padi 2025'!A857)</f>
        <v/>
      </c>
      <c r="B857" s="2" t="str">
        <f>IF('1.1 Produksi Bersih Padi 2025'!B857="","",'1.1 Produksi Bersih Padi 2025'!B857)</f>
        <v/>
      </c>
      <c r="C857" s="2" t="str">
        <f>IF('1.1 Produksi Bersih Padi 2025'!C857="","",'1.1 Produksi Bersih Padi 2025'!C857)</f>
        <v/>
      </c>
      <c r="D857" s="3" t="str">
        <f>IF('1.1 Produksi Bersih Padi 2025'!D857="","",'1.1 Produksi Bersih Padi 2025'!D857)</f>
        <v/>
      </c>
      <c r="E857" s="3" t="str">
        <f>IF('1.1 Produksi Bersih Padi 2025'!E857="","",'1.1 Produksi Bersih Padi 2025'!E857)</f>
        <v/>
      </c>
      <c r="F857" s="28" t="str">
        <f>IF(D857="","",VLOOKUP(D857,'[1]0.1 Produksi Pangan &amp; Penduduk'!$D$5:$S$860,16,0))</f>
        <v/>
      </c>
      <c r="G857" s="28" t="str">
        <f t="shared" si="78"/>
        <v/>
      </c>
      <c r="H857" s="29" t="str">
        <f t="shared" si="79"/>
        <v/>
      </c>
      <c r="I857" s="29" t="str">
        <f t="shared" si="80"/>
        <v/>
      </c>
      <c r="J857" s="29" t="str">
        <f t="shared" si="81"/>
        <v/>
      </c>
      <c r="K857" s="29" t="str">
        <f t="shared" si="82"/>
        <v/>
      </c>
      <c r="L857" s="29" t="str">
        <f t="shared" si="83"/>
        <v/>
      </c>
    </row>
    <row r="858" spans="1:12" ht="15" x14ac:dyDescent="0.25">
      <c r="A858" s="1" t="str">
        <f>IF('1.1 Produksi Bersih Padi 2025'!A858="","",'1.1 Produksi Bersih Padi 2025'!A858)</f>
        <v/>
      </c>
      <c r="B858" s="2" t="str">
        <f>IF('1.1 Produksi Bersih Padi 2025'!B858="","",'1.1 Produksi Bersih Padi 2025'!B858)</f>
        <v/>
      </c>
      <c r="C858" s="2" t="str">
        <f>IF('1.1 Produksi Bersih Padi 2025'!C858="","",'1.1 Produksi Bersih Padi 2025'!C858)</f>
        <v/>
      </c>
      <c r="D858" s="3" t="str">
        <f>IF('1.1 Produksi Bersih Padi 2025'!D858="","",'1.1 Produksi Bersih Padi 2025'!D858)</f>
        <v/>
      </c>
      <c r="E858" s="3" t="str">
        <f>IF('1.1 Produksi Bersih Padi 2025'!E858="","",'1.1 Produksi Bersih Padi 2025'!E858)</f>
        <v/>
      </c>
      <c r="F858" s="28" t="str">
        <f>IF(D858="","",VLOOKUP(D858,'[1]0.1 Produksi Pangan &amp; Penduduk'!$D$5:$S$860,16,0))</f>
        <v/>
      </c>
      <c r="G858" s="28" t="str">
        <f t="shared" si="78"/>
        <v/>
      </c>
      <c r="H858" s="29" t="str">
        <f t="shared" si="79"/>
        <v/>
      </c>
      <c r="I858" s="29" t="str">
        <f t="shared" si="80"/>
        <v/>
      </c>
      <c r="J858" s="29" t="str">
        <f t="shared" si="81"/>
        <v/>
      </c>
      <c r="K858" s="29" t="str">
        <f t="shared" si="82"/>
        <v/>
      </c>
      <c r="L858" s="29" t="str">
        <f t="shared" si="83"/>
        <v/>
      </c>
    </row>
    <row r="859" spans="1:12" ht="15" x14ac:dyDescent="0.25">
      <c r="A859" s="1" t="str">
        <f>IF('1.1 Produksi Bersih Padi 2025'!A859="","",'1.1 Produksi Bersih Padi 2025'!A859)</f>
        <v/>
      </c>
      <c r="B859" s="2" t="str">
        <f>IF('1.1 Produksi Bersih Padi 2025'!B859="","",'1.1 Produksi Bersih Padi 2025'!B859)</f>
        <v/>
      </c>
      <c r="C859" s="2" t="str">
        <f>IF('1.1 Produksi Bersih Padi 2025'!C859="","",'1.1 Produksi Bersih Padi 2025'!C859)</f>
        <v/>
      </c>
      <c r="D859" s="3" t="str">
        <f>IF('1.1 Produksi Bersih Padi 2025'!D859="","",'1.1 Produksi Bersih Padi 2025'!D859)</f>
        <v/>
      </c>
      <c r="E859" s="3" t="str">
        <f>IF('1.1 Produksi Bersih Padi 2025'!E859="","",'1.1 Produksi Bersih Padi 2025'!E859)</f>
        <v/>
      </c>
      <c r="F859" s="28" t="str">
        <f>IF(D859="","",VLOOKUP(D859,'[1]0.1 Produksi Pangan &amp; Penduduk'!$D$5:$S$860,16,0))</f>
        <v/>
      </c>
      <c r="G859" s="28" t="str">
        <f t="shared" si="78"/>
        <v/>
      </c>
      <c r="H859" s="29" t="str">
        <f t="shared" si="79"/>
        <v/>
      </c>
      <c r="I859" s="29" t="str">
        <f t="shared" si="80"/>
        <v/>
      </c>
      <c r="J859" s="29" t="str">
        <f t="shared" si="81"/>
        <v/>
      </c>
      <c r="K859" s="29" t="str">
        <f t="shared" si="82"/>
        <v/>
      </c>
      <c r="L859" s="29" t="str">
        <f t="shared" si="83"/>
        <v/>
      </c>
    </row>
  </sheetData>
  <sheetProtection algorithmName="SHA-512" hashValue="6nmC4GEQugN61HmGWNfpII8KRpC6/hSrwH1WE8oqi/PvsRvt4iFoOZSpA4DV/xyGGG2N8WTDSBJY49WJEq6wng==" saltValue="cYrVDMRJL8UDJVxGsxdzEQ==" spinCount="100000" sheet="1" sort="0"/>
  <protectedRanges>
    <protectedRange sqref="A1:H1" name="Range1_2"/>
    <protectedRange sqref="K1:L1" name="Range1_1_2"/>
    <protectedRange sqref="J1" name="Range1_1_1_1"/>
    <protectedRange sqref="I1" name="Range1_1_2_1"/>
  </protectedRanges>
  <mergeCells count="11">
    <mergeCell ref="L2:L3"/>
    <mergeCell ref="A1:H1"/>
    <mergeCell ref="K2:K3"/>
    <mergeCell ref="A2:A4"/>
    <mergeCell ref="B2:B4"/>
    <mergeCell ref="H2:J2"/>
    <mergeCell ref="C2:C4"/>
    <mergeCell ref="D2:D4"/>
    <mergeCell ref="E2:E4"/>
    <mergeCell ref="F2:F3"/>
    <mergeCell ref="G2:G3"/>
  </mergeCells>
  <phoneticPr fontId="0" type="noConversion"/>
  <pageMargins left="0.75" right="0.75" top="1" bottom="0.25" header="0.5" footer="0.5"/>
  <pageSetup orientation="landscape" horizontalDpi="4294967294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A1:M859"/>
  <sheetViews>
    <sheetView showGridLines="0"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sqref="A1:H1"/>
    </sheetView>
  </sheetViews>
  <sheetFormatPr defaultRowHeight="13.2" x14ac:dyDescent="0.25"/>
  <cols>
    <col min="1" max="1" width="6.44140625" customWidth="1"/>
    <col min="2" max="2" width="24.21875" customWidth="1"/>
    <col min="3" max="3" width="28.77734375" customWidth="1"/>
    <col min="4" max="5" width="20.6640625" customWidth="1"/>
    <col min="6" max="6" width="18.6640625" customWidth="1"/>
    <col min="7" max="9" width="14.109375" customWidth="1"/>
    <col min="10" max="11" width="18.6640625" customWidth="1"/>
  </cols>
  <sheetData>
    <row r="1" spans="1:13" ht="30" customHeight="1" x14ac:dyDescent="0.25">
      <c r="A1" s="76" t="s">
        <v>71</v>
      </c>
      <c r="B1" s="76"/>
      <c r="C1" s="76"/>
      <c r="D1" s="76"/>
      <c r="E1" s="76"/>
      <c r="F1" s="76"/>
      <c r="G1" s="76"/>
      <c r="H1" s="76"/>
      <c r="I1" s="33" t="s">
        <v>64</v>
      </c>
      <c r="J1" s="34" t="str">
        <f>IF('[1]0.1 Produksi Pangan &amp; Penduduk'!$C$3="","",'[1]0.1 Produksi Pangan &amp; Penduduk'!$C$3)</f>
        <v/>
      </c>
      <c r="K1" s="12"/>
    </row>
    <row r="2" spans="1:13" ht="16.05" customHeight="1" x14ac:dyDescent="0.25">
      <c r="A2" s="77" t="s">
        <v>15</v>
      </c>
      <c r="B2" s="77" t="s">
        <v>67</v>
      </c>
      <c r="C2" s="77" t="s">
        <v>68</v>
      </c>
      <c r="D2" s="77" t="s">
        <v>65</v>
      </c>
      <c r="E2" s="77" t="s">
        <v>66</v>
      </c>
      <c r="F2" s="77" t="s">
        <v>8</v>
      </c>
      <c r="G2" s="80" t="s">
        <v>7</v>
      </c>
      <c r="H2" s="81"/>
      <c r="I2" s="82"/>
      <c r="J2" s="77" t="s">
        <v>9</v>
      </c>
      <c r="K2" s="77" t="s">
        <v>92</v>
      </c>
    </row>
    <row r="3" spans="1:13" ht="31.95" customHeight="1" x14ac:dyDescent="0.25">
      <c r="A3" s="79"/>
      <c r="B3" s="79"/>
      <c r="C3" s="79"/>
      <c r="D3" s="79"/>
      <c r="E3" s="79"/>
      <c r="F3" s="78"/>
      <c r="G3" s="4" t="s">
        <v>52</v>
      </c>
      <c r="H3" s="4" t="s">
        <v>90</v>
      </c>
      <c r="I3" s="4" t="s">
        <v>91</v>
      </c>
      <c r="J3" s="78"/>
      <c r="K3" s="78"/>
    </row>
    <row r="4" spans="1:13" ht="16.05" customHeight="1" x14ac:dyDescent="0.25">
      <c r="A4" s="78"/>
      <c r="B4" s="78"/>
      <c r="C4" s="78"/>
      <c r="D4" s="78"/>
      <c r="E4" s="78"/>
      <c r="F4" s="4" t="s">
        <v>10</v>
      </c>
      <c r="G4" s="4" t="s">
        <v>2</v>
      </c>
      <c r="H4" s="4" t="s">
        <v>3</v>
      </c>
      <c r="I4" s="4" t="s">
        <v>1</v>
      </c>
      <c r="J4" s="4" t="s">
        <v>11</v>
      </c>
      <c r="K4" s="4" t="s">
        <v>31</v>
      </c>
    </row>
    <row r="5" spans="1:13" ht="15" x14ac:dyDescent="0.25">
      <c r="A5" s="1" t="str">
        <f>IF('1.1 Produksi Bersih Padi 2025'!A5="","",'1.1 Produksi Bersih Padi 2025'!A5)</f>
        <v/>
      </c>
      <c r="B5" s="31" t="str">
        <f>IF('1.1 Produksi Bersih Padi 2025'!B5="","",'1.1 Produksi Bersih Padi 2025'!B5)</f>
        <v/>
      </c>
      <c r="C5" s="31" t="str">
        <f>IF('1.1 Produksi Bersih Padi 2025'!C5="","",'1.1 Produksi Bersih Padi 2025'!C5)</f>
        <v/>
      </c>
      <c r="D5" s="1" t="str">
        <f>IF('1.1 Produksi Bersih Padi 2025'!D5="","",'1.1 Produksi Bersih Padi 2025'!D5)</f>
        <v/>
      </c>
      <c r="E5" s="1" t="str">
        <f>IF('1.1 Produksi Bersih Padi 2025'!E5="","",'1.1 Produksi Bersih Padi 2025'!E5)</f>
        <v/>
      </c>
      <c r="F5" s="28" t="str">
        <f>IF(D5="","",VLOOKUP(D5,'[1]0.1 Produksi Pangan &amp; Penduduk'!$D$5:$Y$860,22,0))</f>
        <v/>
      </c>
      <c r="G5" s="30" t="str">
        <f>IF(F5="","",F5*0%)</f>
        <v/>
      </c>
      <c r="H5" s="30" t="str">
        <f>IF(F5="","",F5*0.43%)</f>
        <v/>
      </c>
      <c r="I5" s="30" t="str">
        <f>IF(F5="","",F5*4.23%)</f>
        <v/>
      </c>
      <c r="J5" s="30" t="str">
        <f>IF(F5="","",F5-(G5+H5+I5))</f>
        <v/>
      </c>
      <c r="K5" s="30" t="str">
        <f>IF(J5="","",J5*0.363)</f>
        <v/>
      </c>
      <c r="M5" s="11"/>
    </row>
    <row r="6" spans="1:13" ht="15" x14ac:dyDescent="0.25">
      <c r="A6" s="1" t="str">
        <f>IF('1.1 Produksi Bersih Padi 2025'!A6="","",'1.1 Produksi Bersih Padi 2025'!A6)</f>
        <v/>
      </c>
      <c r="B6" s="31" t="str">
        <f>IF('1.1 Produksi Bersih Padi 2025'!B6="","",'1.1 Produksi Bersih Padi 2025'!B6)</f>
        <v/>
      </c>
      <c r="C6" s="31" t="str">
        <f>IF('1.1 Produksi Bersih Padi 2025'!C6="","",'1.1 Produksi Bersih Padi 2025'!C6)</f>
        <v/>
      </c>
      <c r="D6" s="1" t="str">
        <f>IF('1.1 Produksi Bersih Padi 2025'!D6="","",'1.1 Produksi Bersih Padi 2025'!D6)</f>
        <v/>
      </c>
      <c r="E6" s="1" t="str">
        <f>IF('1.1 Produksi Bersih Padi 2025'!E6="","",'1.1 Produksi Bersih Padi 2025'!E6)</f>
        <v/>
      </c>
      <c r="F6" s="28" t="str">
        <f>IF(D6="","",VLOOKUP(D6,'[1]0.1 Produksi Pangan &amp; Penduduk'!$D$5:$Y$860,22,0))</f>
        <v/>
      </c>
      <c r="G6" s="30" t="str">
        <f t="shared" ref="G6:G69" si="0">IF(F6="","",F6*0%)</f>
        <v/>
      </c>
      <c r="H6" s="30" t="str">
        <f t="shared" ref="H6:H69" si="1">IF(F6="","",F6*0.43%)</f>
        <v/>
      </c>
      <c r="I6" s="30" t="str">
        <f t="shared" ref="I6:I69" si="2">IF(F6="","",F6*4.23%)</f>
        <v/>
      </c>
      <c r="J6" s="30" t="str">
        <f t="shared" ref="J6:J69" si="3">IF(F6="","",F6-(G6+H6+I6))</f>
        <v/>
      </c>
      <c r="K6" s="30" t="str">
        <f t="shared" ref="K6:K69" si="4">IF(J6="","",J6*0.363)</f>
        <v/>
      </c>
      <c r="M6" s="11"/>
    </row>
    <row r="7" spans="1:13" ht="15" x14ac:dyDescent="0.25">
      <c r="A7" s="1" t="str">
        <f>IF('1.1 Produksi Bersih Padi 2025'!A7="","",'1.1 Produksi Bersih Padi 2025'!A7)</f>
        <v/>
      </c>
      <c r="B7" s="31" t="str">
        <f>IF('1.1 Produksi Bersih Padi 2025'!B7="","",'1.1 Produksi Bersih Padi 2025'!B7)</f>
        <v/>
      </c>
      <c r="C7" s="31" t="str">
        <f>IF('1.1 Produksi Bersih Padi 2025'!C7="","",'1.1 Produksi Bersih Padi 2025'!C7)</f>
        <v/>
      </c>
      <c r="D7" s="1" t="str">
        <f>IF('1.1 Produksi Bersih Padi 2025'!D7="","",'1.1 Produksi Bersih Padi 2025'!D7)</f>
        <v/>
      </c>
      <c r="E7" s="1" t="str">
        <f>IF('1.1 Produksi Bersih Padi 2025'!E7="","",'1.1 Produksi Bersih Padi 2025'!E7)</f>
        <v/>
      </c>
      <c r="F7" s="28" t="str">
        <f>IF(D7="","",VLOOKUP(D7,'[1]0.1 Produksi Pangan &amp; Penduduk'!$D$5:$Y$860,22,0))</f>
        <v/>
      </c>
      <c r="G7" s="30" t="str">
        <f t="shared" si="0"/>
        <v/>
      </c>
      <c r="H7" s="30" t="str">
        <f t="shared" si="1"/>
        <v/>
      </c>
      <c r="I7" s="30" t="str">
        <f t="shared" si="2"/>
        <v/>
      </c>
      <c r="J7" s="30" t="str">
        <f t="shared" si="3"/>
        <v/>
      </c>
      <c r="K7" s="30" t="str">
        <f t="shared" si="4"/>
        <v/>
      </c>
      <c r="M7" s="11"/>
    </row>
    <row r="8" spans="1:13" ht="15" x14ac:dyDescent="0.25">
      <c r="A8" s="1" t="str">
        <f>IF('1.1 Produksi Bersih Padi 2025'!A8="","",'1.1 Produksi Bersih Padi 2025'!A8)</f>
        <v/>
      </c>
      <c r="B8" s="31" t="str">
        <f>IF('1.1 Produksi Bersih Padi 2025'!B8="","",'1.1 Produksi Bersih Padi 2025'!B8)</f>
        <v/>
      </c>
      <c r="C8" s="31" t="str">
        <f>IF('1.1 Produksi Bersih Padi 2025'!C8="","",'1.1 Produksi Bersih Padi 2025'!C8)</f>
        <v/>
      </c>
      <c r="D8" s="1" t="str">
        <f>IF('1.1 Produksi Bersih Padi 2025'!D8="","",'1.1 Produksi Bersih Padi 2025'!D8)</f>
        <v/>
      </c>
      <c r="E8" s="1" t="str">
        <f>IF('1.1 Produksi Bersih Padi 2025'!E8="","",'1.1 Produksi Bersih Padi 2025'!E8)</f>
        <v/>
      </c>
      <c r="F8" s="28" t="str">
        <f>IF(D8="","",VLOOKUP(D8,'[1]0.1 Produksi Pangan &amp; Penduduk'!$D$5:$Y$860,22,0))</f>
        <v/>
      </c>
      <c r="G8" s="30" t="str">
        <f t="shared" si="0"/>
        <v/>
      </c>
      <c r="H8" s="30" t="str">
        <f t="shared" si="1"/>
        <v/>
      </c>
      <c r="I8" s="30" t="str">
        <f t="shared" si="2"/>
        <v/>
      </c>
      <c r="J8" s="30" t="str">
        <f t="shared" si="3"/>
        <v/>
      </c>
      <c r="K8" s="30" t="str">
        <f t="shared" si="4"/>
        <v/>
      </c>
      <c r="M8" s="11"/>
    </row>
    <row r="9" spans="1:13" ht="15" x14ac:dyDescent="0.25">
      <c r="A9" s="1" t="str">
        <f>IF('1.1 Produksi Bersih Padi 2025'!A9="","",'1.1 Produksi Bersih Padi 2025'!A9)</f>
        <v/>
      </c>
      <c r="B9" s="31" t="str">
        <f>IF('1.1 Produksi Bersih Padi 2025'!B9="","",'1.1 Produksi Bersih Padi 2025'!B9)</f>
        <v/>
      </c>
      <c r="C9" s="31" t="str">
        <f>IF('1.1 Produksi Bersih Padi 2025'!C9="","",'1.1 Produksi Bersih Padi 2025'!C9)</f>
        <v/>
      </c>
      <c r="D9" s="1" t="str">
        <f>IF('1.1 Produksi Bersih Padi 2025'!D9="","",'1.1 Produksi Bersih Padi 2025'!D9)</f>
        <v/>
      </c>
      <c r="E9" s="1" t="str">
        <f>IF('1.1 Produksi Bersih Padi 2025'!E9="","",'1.1 Produksi Bersih Padi 2025'!E9)</f>
        <v/>
      </c>
      <c r="F9" s="28" t="str">
        <f>IF(D9="","",VLOOKUP(D9,'[1]0.1 Produksi Pangan &amp; Penduduk'!$D$5:$Y$860,22,0))</f>
        <v/>
      </c>
      <c r="G9" s="30" t="str">
        <f t="shared" si="0"/>
        <v/>
      </c>
      <c r="H9" s="30" t="str">
        <f t="shared" si="1"/>
        <v/>
      </c>
      <c r="I9" s="30" t="str">
        <f t="shared" si="2"/>
        <v/>
      </c>
      <c r="J9" s="30" t="str">
        <f t="shared" si="3"/>
        <v/>
      </c>
      <c r="K9" s="30" t="str">
        <f t="shared" si="4"/>
        <v/>
      </c>
      <c r="M9" s="11"/>
    </row>
    <row r="10" spans="1:13" ht="15" x14ac:dyDescent="0.25">
      <c r="A10" s="1" t="str">
        <f>IF('1.1 Produksi Bersih Padi 2025'!A10="","",'1.1 Produksi Bersih Padi 2025'!A10)</f>
        <v/>
      </c>
      <c r="B10" s="31" t="str">
        <f>IF('1.1 Produksi Bersih Padi 2025'!B10="","",'1.1 Produksi Bersih Padi 2025'!B10)</f>
        <v/>
      </c>
      <c r="C10" s="31" t="str">
        <f>IF('1.1 Produksi Bersih Padi 2025'!C10="","",'1.1 Produksi Bersih Padi 2025'!C10)</f>
        <v/>
      </c>
      <c r="D10" s="1" t="str">
        <f>IF('1.1 Produksi Bersih Padi 2025'!D10="","",'1.1 Produksi Bersih Padi 2025'!D10)</f>
        <v/>
      </c>
      <c r="E10" s="1" t="str">
        <f>IF('1.1 Produksi Bersih Padi 2025'!E10="","",'1.1 Produksi Bersih Padi 2025'!E10)</f>
        <v/>
      </c>
      <c r="F10" s="28" t="str">
        <f>IF(D10="","",VLOOKUP(D10,'[1]0.1 Produksi Pangan &amp; Penduduk'!$D$5:$Y$860,22,0))</f>
        <v/>
      </c>
      <c r="G10" s="30" t="str">
        <f t="shared" si="0"/>
        <v/>
      </c>
      <c r="H10" s="30" t="str">
        <f t="shared" si="1"/>
        <v/>
      </c>
      <c r="I10" s="30" t="str">
        <f t="shared" si="2"/>
        <v/>
      </c>
      <c r="J10" s="30" t="str">
        <f t="shared" si="3"/>
        <v/>
      </c>
      <c r="K10" s="30" t="str">
        <f t="shared" si="4"/>
        <v/>
      </c>
      <c r="M10" s="11"/>
    </row>
    <row r="11" spans="1:13" ht="15" x14ac:dyDescent="0.25">
      <c r="A11" s="1" t="str">
        <f>IF('1.1 Produksi Bersih Padi 2025'!A11="","",'1.1 Produksi Bersih Padi 2025'!A11)</f>
        <v/>
      </c>
      <c r="B11" s="31" t="str">
        <f>IF('1.1 Produksi Bersih Padi 2025'!B11="","",'1.1 Produksi Bersih Padi 2025'!B11)</f>
        <v/>
      </c>
      <c r="C11" s="31" t="str">
        <f>IF('1.1 Produksi Bersih Padi 2025'!C11="","",'1.1 Produksi Bersih Padi 2025'!C11)</f>
        <v/>
      </c>
      <c r="D11" s="1" t="str">
        <f>IF('1.1 Produksi Bersih Padi 2025'!D11="","",'1.1 Produksi Bersih Padi 2025'!D11)</f>
        <v/>
      </c>
      <c r="E11" s="1" t="str">
        <f>IF('1.1 Produksi Bersih Padi 2025'!E11="","",'1.1 Produksi Bersih Padi 2025'!E11)</f>
        <v/>
      </c>
      <c r="F11" s="28" t="str">
        <f>IF(D11="","",VLOOKUP(D11,'[1]0.1 Produksi Pangan &amp; Penduduk'!$D$5:$Y$860,22,0))</f>
        <v/>
      </c>
      <c r="G11" s="30" t="str">
        <f t="shared" si="0"/>
        <v/>
      </c>
      <c r="H11" s="30" t="str">
        <f t="shared" si="1"/>
        <v/>
      </c>
      <c r="I11" s="30" t="str">
        <f t="shared" si="2"/>
        <v/>
      </c>
      <c r="J11" s="30" t="str">
        <f t="shared" si="3"/>
        <v/>
      </c>
      <c r="K11" s="30" t="str">
        <f t="shared" si="4"/>
        <v/>
      </c>
      <c r="M11" s="11"/>
    </row>
    <row r="12" spans="1:13" ht="15" x14ac:dyDescent="0.25">
      <c r="A12" s="1" t="str">
        <f>IF('1.1 Produksi Bersih Padi 2025'!A12="","",'1.1 Produksi Bersih Padi 2025'!A12)</f>
        <v/>
      </c>
      <c r="B12" s="31" t="str">
        <f>IF('1.1 Produksi Bersih Padi 2025'!B12="","",'1.1 Produksi Bersih Padi 2025'!B12)</f>
        <v/>
      </c>
      <c r="C12" s="31" t="str">
        <f>IF('1.1 Produksi Bersih Padi 2025'!C12="","",'1.1 Produksi Bersih Padi 2025'!C12)</f>
        <v/>
      </c>
      <c r="D12" s="1" t="str">
        <f>IF('1.1 Produksi Bersih Padi 2025'!D12="","",'1.1 Produksi Bersih Padi 2025'!D12)</f>
        <v/>
      </c>
      <c r="E12" s="1" t="str">
        <f>IF('1.1 Produksi Bersih Padi 2025'!E12="","",'1.1 Produksi Bersih Padi 2025'!E12)</f>
        <v/>
      </c>
      <c r="F12" s="28" t="str">
        <f>IF(D12="","",VLOOKUP(D12,'[1]0.1 Produksi Pangan &amp; Penduduk'!$D$5:$Y$860,22,0))</f>
        <v/>
      </c>
      <c r="G12" s="30" t="str">
        <f t="shared" si="0"/>
        <v/>
      </c>
      <c r="H12" s="30" t="str">
        <f t="shared" si="1"/>
        <v/>
      </c>
      <c r="I12" s="30" t="str">
        <f t="shared" si="2"/>
        <v/>
      </c>
      <c r="J12" s="30" t="str">
        <f t="shared" si="3"/>
        <v/>
      </c>
      <c r="K12" s="30" t="str">
        <f t="shared" si="4"/>
        <v/>
      </c>
      <c r="M12" s="11"/>
    </row>
    <row r="13" spans="1:13" ht="15" x14ac:dyDescent="0.25">
      <c r="A13" s="1" t="str">
        <f>IF('1.1 Produksi Bersih Padi 2025'!A13="","",'1.1 Produksi Bersih Padi 2025'!A13)</f>
        <v/>
      </c>
      <c r="B13" s="31" t="str">
        <f>IF('1.1 Produksi Bersih Padi 2025'!B13="","",'1.1 Produksi Bersih Padi 2025'!B13)</f>
        <v/>
      </c>
      <c r="C13" s="31" t="str">
        <f>IF('1.1 Produksi Bersih Padi 2025'!C13="","",'1.1 Produksi Bersih Padi 2025'!C13)</f>
        <v/>
      </c>
      <c r="D13" s="1" t="str">
        <f>IF('1.1 Produksi Bersih Padi 2025'!D13="","",'1.1 Produksi Bersih Padi 2025'!D13)</f>
        <v/>
      </c>
      <c r="E13" s="1" t="str">
        <f>IF('1.1 Produksi Bersih Padi 2025'!E13="","",'1.1 Produksi Bersih Padi 2025'!E13)</f>
        <v/>
      </c>
      <c r="F13" s="28" t="str">
        <f>IF(D13="","",VLOOKUP(D13,'[1]0.1 Produksi Pangan &amp; Penduduk'!$D$5:$Y$860,22,0))</f>
        <v/>
      </c>
      <c r="G13" s="30" t="str">
        <f t="shared" si="0"/>
        <v/>
      </c>
      <c r="H13" s="30" t="str">
        <f t="shared" si="1"/>
        <v/>
      </c>
      <c r="I13" s="30" t="str">
        <f t="shared" si="2"/>
        <v/>
      </c>
      <c r="J13" s="30" t="str">
        <f t="shared" si="3"/>
        <v/>
      </c>
      <c r="K13" s="30" t="str">
        <f t="shared" si="4"/>
        <v/>
      </c>
      <c r="M13" s="11"/>
    </row>
    <row r="14" spans="1:13" ht="15" x14ac:dyDescent="0.25">
      <c r="A14" s="1" t="str">
        <f>IF('1.1 Produksi Bersih Padi 2025'!A14="","",'1.1 Produksi Bersih Padi 2025'!A14)</f>
        <v/>
      </c>
      <c r="B14" s="31" t="str">
        <f>IF('1.1 Produksi Bersih Padi 2025'!B14="","",'1.1 Produksi Bersih Padi 2025'!B14)</f>
        <v/>
      </c>
      <c r="C14" s="31" t="str">
        <f>IF('1.1 Produksi Bersih Padi 2025'!C14="","",'1.1 Produksi Bersih Padi 2025'!C14)</f>
        <v/>
      </c>
      <c r="D14" s="1" t="str">
        <f>IF('1.1 Produksi Bersih Padi 2025'!D14="","",'1.1 Produksi Bersih Padi 2025'!D14)</f>
        <v/>
      </c>
      <c r="E14" s="1" t="str">
        <f>IF('1.1 Produksi Bersih Padi 2025'!E14="","",'1.1 Produksi Bersih Padi 2025'!E14)</f>
        <v/>
      </c>
      <c r="F14" s="28" t="str">
        <f>IF(D14="","",VLOOKUP(D14,'[1]0.1 Produksi Pangan &amp; Penduduk'!$D$5:$Y$860,22,0))</f>
        <v/>
      </c>
      <c r="G14" s="30" t="str">
        <f t="shared" si="0"/>
        <v/>
      </c>
      <c r="H14" s="30" t="str">
        <f t="shared" si="1"/>
        <v/>
      </c>
      <c r="I14" s="30" t="str">
        <f t="shared" si="2"/>
        <v/>
      </c>
      <c r="J14" s="30" t="str">
        <f t="shared" si="3"/>
        <v/>
      </c>
      <c r="K14" s="30" t="str">
        <f t="shared" si="4"/>
        <v/>
      </c>
      <c r="M14" s="11"/>
    </row>
    <row r="15" spans="1:13" ht="15" x14ac:dyDescent="0.25">
      <c r="A15" s="1" t="str">
        <f>IF('1.1 Produksi Bersih Padi 2025'!A15="","",'1.1 Produksi Bersih Padi 2025'!A15)</f>
        <v/>
      </c>
      <c r="B15" s="31" t="str">
        <f>IF('1.1 Produksi Bersih Padi 2025'!B15="","",'1.1 Produksi Bersih Padi 2025'!B15)</f>
        <v/>
      </c>
      <c r="C15" s="31" t="str">
        <f>IF('1.1 Produksi Bersih Padi 2025'!C15="","",'1.1 Produksi Bersih Padi 2025'!C15)</f>
        <v/>
      </c>
      <c r="D15" s="1" t="str">
        <f>IF('1.1 Produksi Bersih Padi 2025'!D15="","",'1.1 Produksi Bersih Padi 2025'!D15)</f>
        <v/>
      </c>
      <c r="E15" s="1" t="str">
        <f>IF('1.1 Produksi Bersih Padi 2025'!E15="","",'1.1 Produksi Bersih Padi 2025'!E15)</f>
        <v/>
      </c>
      <c r="F15" s="28" t="str">
        <f>IF(D15="","",VLOOKUP(D15,'[1]0.1 Produksi Pangan &amp; Penduduk'!$D$5:$Y$860,22,0))</f>
        <v/>
      </c>
      <c r="G15" s="30" t="str">
        <f t="shared" si="0"/>
        <v/>
      </c>
      <c r="H15" s="30" t="str">
        <f t="shared" si="1"/>
        <v/>
      </c>
      <c r="I15" s="30" t="str">
        <f t="shared" si="2"/>
        <v/>
      </c>
      <c r="J15" s="30" t="str">
        <f t="shared" si="3"/>
        <v/>
      </c>
      <c r="K15" s="30" t="str">
        <f t="shared" si="4"/>
        <v/>
      </c>
      <c r="M15" s="11"/>
    </row>
    <row r="16" spans="1:13" ht="15" x14ac:dyDescent="0.25">
      <c r="A16" s="1" t="str">
        <f>IF('1.1 Produksi Bersih Padi 2025'!A16="","",'1.1 Produksi Bersih Padi 2025'!A16)</f>
        <v/>
      </c>
      <c r="B16" s="31" t="str">
        <f>IF('1.1 Produksi Bersih Padi 2025'!B16="","",'1.1 Produksi Bersih Padi 2025'!B16)</f>
        <v/>
      </c>
      <c r="C16" s="31" t="str">
        <f>IF('1.1 Produksi Bersih Padi 2025'!C16="","",'1.1 Produksi Bersih Padi 2025'!C16)</f>
        <v/>
      </c>
      <c r="D16" s="1" t="str">
        <f>IF('1.1 Produksi Bersih Padi 2025'!D16="","",'1.1 Produksi Bersih Padi 2025'!D16)</f>
        <v/>
      </c>
      <c r="E16" s="1" t="str">
        <f>IF('1.1 Produksi Bersih Padi 2025'!E16="","",'1.1 Produksi Bersih Padi 2025'!E16)</f>
        <v/>
      </c>
      <c r="F16" s="28" t="str">
        <f>IF(D16="","",VLOOKUP(D16,'[1]0.1 Produksi Pangan &amp; Penduduk'!$D$5:$Y$860,22,0))</f>
        <v/>
      </c>
      <c r="G16" s="30" t="str">
        <f t="shared" si="0"/>
        <v/>
      </c>
      <c r="H16" s="30" t="str">
        <f t="shared" si="1"/>
        <v/>
      </c>
      <c r="I16" s="30" t="str">
        <f t="shared" si="2"/>
        <v/>
      </c>
      <c r="J16" s="30" t="str">
        <f t="shared" si="3"/>
        <v/>
      </c>
      <c r="K16" s="30" t="str">
        <f t="shared" si="4"/>
        <v/>
      </c>
      <c r="M16" s="11"/>
    </row>
    <row r="17" spans="1:13" ht="15" x14ac:dyDescent="0.25">
      <c r="A17" s="1" t="str">
        <f>IF('1.1 Produksi Bersih Padi 2025'!A17="","",'1.1 Produksi Bersih Padi 2025'!A17)</f>
        <v/>
      </c>
      <c r="B17" s="31" t="str">
        <f>IF('1.1 Produksi Bersih Padi 2025'!B17="","",'1.1 Produksi Bersih Padi 2025'!B17)</f>
        <v/>
      </c>
      <c r="C17" s="31" t="str">
        <f>IF('1.1 Produksi Bersih Padi 2025'!C17="","",'1.1 Produksi Bersih Padi 2025'!C17)</f>
        <v/>
      </c>
      <c r="D17" s="1" t="str">
        <f>IF('1.1 Produksi Bersih Padi 2025'!D17="","",'1.1 Produksi Bersih Padi 2025'!D17)</f>
        <v/>
      </c>
      <c r="E17" s="1" t="str">
        <f>IF('1.1 Produksi Bersih Padi 2025'!E17="","",'1.1 Produksi Bersih Padi 2025'!E17)</f>
        <v/>
      </c>
      <c r="F17" s="28" t="str">
        <f>IF(D17="","",VLOOKUP(D17,'[1]0.1 Produksi Pangan &amp; Penduduk'!$D$5:$Y$860,22,0))</f>
        <v/>
      </c>
      <c r="G17" s="30" t="str">
        <f t="shared" si="0"/>
        <v/>
      </c>
      <c r="H17" s="30" t="str">
        <f t="shared" si="1"/>
        <v/>
      </c>
      <c r="I17" s="30" t="str">
        <f t="shared" si="2"/>
        <v/>
      </c>
      <c r="J17" s="30" t="str">
        <f t="shared" si="3"/>
        <v/>
      </c>
      <c r="K17" s="30" t="str">
        <f t="shared" si="4"/>
        <v/>
      </c>
      <c r="M17" s="11"/>
    </row>
    <row r="18" spans="1:13" ht="15" x14ac:dyDescent="0.25">
      <c r="A18" s="1" t="str">
        <f>IF('1.1 Produksi Bersih Padi 2025'!A18="","",'1.1 Produksi Bersih Padi 2025'!A18)</f>
        <v/>
      </c>
      <c r="B18" s="31" t="str">
        <f>IF('1.1 Produksi Bersih Padi 2025'!B18="","",'1.1 Produksi Bersih Padi 2025'!B18)</f>
        <v/>
      </c>
      <c r="C18" s="31" t="str">
        <f>IF('1.1 Produksi Bersih Padi 2025'!C18="","",'1.1 Produksi Bersih Padi 2025'!C18)</f>
        <v/>
      </c>
      <c r="D18" s="1" t="str">
        <f>IF('1.1 Produksi Bersih Padi 2025'!D18="","",'1.1 Produksi Bersih Padi 2025'!D18)</f>
        <v/>
      </c>
      <c r="E18" s="1" t="str">
        <f>IF('1.1 Produksi Bersih Padi 2025'!E18="","",'1.1 Produksi Bersih Padi 2025'!E18)</f>
        <v/>
      </c>
      <c r="F18" s="28" t="str">
        <f>IF(D18="","",VLOOKUP(D18,'[1]0.1 Produksi Pangan &amp; Penduduk'!$D$5:$Y$860,22,0))</f>
        <v/>
      </c>
      <c r="G18" s="30" t="str">
        <f t="shared" si="0"/>
        <v/>
      </c>
      <c r="H18" s="30" t="str">
        <f t="shared" si="1"/>
        <v/>
      </c>
      <c r="I18" s="30" t="str">
        <f t="shared" si="2"/>
        <v/>
      </c>
      <c r="J18" s="30" t="str">
        <f t="shared" si="3"/>
        <v/>
      </c>
      <c r="K18" s="30" t="str">
        <f t="shared" si="4"/>
        <v/>
      </c>
      <c r="M18" s="11"/>
    </row>
    <row r="19" spans="1:13" ht="15" x14ac:dyDescent="0.25">
      <c r="A19" s="1" t="str">
        <f>IF('1.1 Produksi Bersih Padi 2025'!A19="","",'1.1 Produksi Bersih Padi 2025'!A19)</f>
        <v/>
      </c>
      <c r="B19" s="31" t="str">
        <f>IF('1.1 Produksi Bersih Padi 2025'!B19="","",'1.1 Produksi Bersih Padi 2025'!B19)</f>
        <v/>
      </c>
      <c r="C19" s="31" t="str">
        <f>IF('1.1 Produksi Bersih Padi 2025'!C19="","",'1.1 Produksi Bersih Padi 2025'!C19)</f>
        <v/>
      </c>
      <c r="D19" s="1" t="str">
        <f>IF('1.1 Produksi Bersih Padi 2025'!D19="","",'1.1 Produksi Bersih Padi 2025'!D19)</f>
        <v/>
      </c>
      <c r="E19" s="1" t="str">
        <f>IF('1.1 Produksi Bersih Padi 2025'!E19="","",'1.1 Produksi Bersih Padi 2025'!E19)</f>
        <v/>
      </c>
      <c r="F19" s="28" t="str">
        <f>IF(D19="","",VLOOKUP(D19,'[1]0.1 Produksi Pangan &amp; Penduduk'!$D$5:$Y$860,22,0))</f>
        <v/>
      </c>
      <c r="G19" s="30" t="str">
        <f t="shared" si="0"/>
        <v/>
      </c>
      <c r="H19" s="30" t="str">
        <f t="shared" si="1"/>
        <v/>
      </c>
      <c r="I19" s="30" t="str">
        <f t="shared" si="2"/>
        <v/>
      </c>
      <c r="J19" s="30" t="str">
        <f t="shared" si="3"/>
        <v/>
      </c>
      <c r="K19" s="30" t="str">
        <f t="shared" si="4"/>
        <v/>
      </c>
      <c r="M19" s="11"/>
    </row>
    <row r="20" spans="1:13" ht="15" x14ac:dyDescent="0.25">
      <c r="A20" s="1" t="str">
        <f>IF('1.1 Produksi Bersih Padi 2025'!A20="","",'1.1 Produksi Bersih Padi 2025'!A20)</f>
        <v/>
      </c>
      <c r="B20" s="31" t="str">
        <f>IF('1.1 Produksi Bersih Padi 2025'!B20="","",'1.1 Produksi Bersih Padi 2025'!B20)</f>
        <v/>
      </c>
      <c r="C20" s="31" t="str">
        <f>IF('1.1 Produksi Bersih Padi 2025'!C20="","",'1.1 Produksi Bersih Padi 2025'!C20)</f>
        <v/>
      </c>
      <c r="D20" s="1" t="str">
        <f>IF('1.1 Produksi Bersih Padi 2025'!D20="","",'1.1 Produksi Bersih Padi 2025'!D20)</f>
        <v/>
      </c>
      <c r="E20" s="1" t="str">
        <f>IF('1.1 Produksi Bersih Padi 2025'!E20="","",'1.1 Produksi Bersih Padi 2025'!E20)</f>
        <v/>
      </c>
      <c r="F20" s="28" t="str">
        <f>IF(D20="","",VLOOKUP(D20,'[1]0.1 Produksi Pangan &amp; Penduduk'!$D$5:$Y$860,22,0))</f>
        <v/>
      </c>
      <c r="G20" s="30" t="str">
        <f t="shared" si="0"/>
        <v/>
      </c>
      <c r="H20" s="30" t="str">
        <f t="shared" si="1"/>
        <v/>
      </c>
      <c r="I20" s="30" t="str">
        <f t="shared" si="2"/>
        <v/>
      </c>
      <c r="J20" s="30" t="str">
        <f t="shared" si="3"/>
        <v/>
      </c>
      <c r="K20" s="30" t="str">
        <f t="shared" si="4"/>
        <v/>
      </c>
      <c r="M20" s="11"/>
    </row>
    <row r="21" spans="1:13" ht="15" x14ac:dyDescent="0.25">
      <c r="A21" s="1" t="str">
        <f>IF('1.1 Produksi Bersih Padi 2025'!A21="","",'1.1 Produksi Bersih Padi 2025'!A21)</f>
        <v/>
      </c>
      <c r="B21" s="31" t="str">
        <f>IF('1.1 Produksi Bersih Padi 2025'!B21="","",'1.1 Produksi Bersih Padi 2025'!B21)</f>
        <v/>
      </c>
      <c r="C21" s="31" t="str">
        <f>IF('1.1 Produksi Bersih Padi 2025'!C21="","",'1.1 Produksi Bersih Padi 2025'!C21)</f>
        <v/>
      </c>
      <c r="D21" s="1" t="str">
        <f>IF('1.1 Produksi Bersih Padi 2025'!D21="","",'1.1 Produksi Bersih Padi 2025'!D21)</f>
        <v/>
      </c>
      <c r="E21" s="1" t="str">
        <f>IF('1.1 Produksi Bersih Padi 2025'!E21="","",'1.1 Produksi Bersih Padi 2025'!E21)</f>
        <v/>
      </c>
      <c r="F21" s="28" t="str">
        <f>IF(D21="","",VLOOKUP(D21,'[1]0.1 Produksi Pangan &amp; Penduduk'!$D$5:$Y$860,22,0))</f>
        <v/>
      </c>
      <c r="G21" s="30" t="str">
        <f t="shared" si="0"/>
        <v/>
      </c>
      <c r="H21" s="30" t="str">
        <f t="shared" si="1"/>
        <v/>
      </c>
      <c r="I21" s="30" t="str">
        <f t="shared" si="2"/>
        <v/>
      </c>
      <c r="J21" s="30" t="str">
        <f t="shared" si="3"/>
        <v/>
      </c>
      <c r="K21" s="30" t="str">
        <f t="shared" si="4"/>
        <v/>
      </c>
      <c r="M21" s="11"/>
    </row>
    <row r="22" spans="1:13" ht="15" x14ac:dyDescent="0.25">
      <c r="A22" s="1" t="str">
        <f>IF('1.1 Produksi Bersih Padi 2025'!A22="","",'1.1 Produksi Bersih Padi 2025'!A22)</f>
        <v/>
      </c>
      <c r="B22" s="31" t="str">
        <f>IF('1.1 Produksi Bersih Padi 2025'!B22="","",'1.1 Produksi Bersih Padi 2025'!B22)</f>
        <v/>
      </c>
      <c r="C22" s="31" t="str">
        <f>IF('1.1 Produksi Bersih Padi 2025'!C22="","",'1.1 Produksi Bersih Padi 2025'!C22)</f>
        <v/>
      </c>
      <c r="D22" s="1" t="str">
        <f>IF('1.1 Produksi Bersih Padi 2025'!D22="","",'1.1 Produksi Bersih Padi 2025'!D22)</f>
        <v/>
      </c>
      <c r="E22" s="1" t="str">
        <f>IF('1.1 Produksi Bersih Padi 2025'!E22="","",'1.1 Produksi Bersih Padi 2025'!E22)</f>
        <v/>
      </c>
      <c r="F22" s="28" t="str">
        <f>IF(D22="","",VLOOKUP(D22,'[1]0.1 Produksi Pangan &amp; Penduduk'!$D$5:$Y$860,22,0))</f>
        <v/>
      </c>
      <c r="G22" s="30" t="str">
        <f t="shared" si="0"/>
        <v/>
      </c>
      <c r="H22" s="30" t="str">
        <f t="shared" si="1"/>
        <v/>
      </c>
      <c r="I22" s="30" t="str">
        <f t="shared" si="2"/>
        <v/>
      </c>
      <c r="J22" s="30" t="str">
        <f t="shared" si="3"/>
        <v/>
      </c>
      <c r="K22" s="30" t="str">
        <f t="shared" si="4"/>
        <v/>
      </c>
      <c r="M22" s="11"/>
    </row>
    <row r="23" spans="1:13" ht="15" x14ac:dyDescent="0.25">
      <c r="A23" s="1" t="str">
        <f>IF('1.1 Produksi Bersih Padi 2025'!A23="","",'1.1 Produksi Bersih Padi 2025'!A23)</f>
        <v/>
      </c>
      <c r="B23" s="31" t="str">
        <f>IF('1.1 Produksi Bersih Padi 2025'!B23="","",'1.1 Produksi Bersih Padi 2025'!B23)</f>
        <v/>
      </c>
      <c r="C23" s="31" t="str">
        <f>IF('1.1 Produksi Bersih Padi 2025'!C23="","",'1.1 Produksi Bersih Padi 2025'!C23)</f>
        <v/>
      </c>
      <c r="D23" s="1" t="str">
        <f>IF('1.1 Produksi Bersih Padi 2025'!D23="","",'1.1 Produksi Bersih Padi 2025'!D23)</f>
        <v/>
      </c>
      <c r="E23" s="1" t="str">
        <f>IF('1.1 Produksi Bersih Padi 2025'!E23="","",'1.1 Produksi Bersih Padi 2025'!E23)</f>
        <v/>
      </c>
      <c r="F23" s="28" t="str">
        <f>IF(D23="","",VLOOKUP(D23,'[1]0.1 Produksi Pangan &amp; Penduduk'!$D$5:$Y$860,22,0))</f>
        <v/>
      </c>
      <c r="G23" s="30" t="str">
        <f t="shared" si="0"/>
        <v/>
      </c>
      <c r="H23" s="30" t="str">
        <f t="shared" si="1"/>
        <v/>
      </c>
      <c r="I23" s="30" t="str">
        <f t="shared" si="2"/>
        <v/>
      </c>
      <c r="J23" s="30" t="str">
        <f t="shared" si="3"/>
        <v/>
      </c>
      <c r="K23" s="30" t="str">
        <f t="shared" si="4"/>
        <v/>
      </c>
      <c r="M23" s="11"/>
    </row>
    <row r="24" spans="1:13" ht="15" x14ac:dyDescent="0.25">
      <c r="A24" s="1" t="str">
        <f>IF('1.1 Produksi Bersih Padi 2025'!A24="","",'1.1 Produksi Bersih Padi 2025'!A24)</f>
        <v/>
      </c>
      <c r="B24" s="31" t="str">
        <f>IF('1.1 Produksi Bersih Padi 2025'!B24="","",'1.1 Produksi Bersih Padi 2025'!B24)</f>
        <v/>
      </c>
      <c r="C24" s="31" t="str">
        <f>IF('1.1 Produksi Bersih Padi 2025'!C24="","",'1.1 Produksi Bersih Padi 2025'!C24)</f>
        <v/>
      </c>
      <c r="D24" s="1" t="str">
        <f>IF('1.1 Produksi Bersih Padi 2025'!D24="","",'1.1 Produksi Bersih Padi 2025'!D24)</f>
        <v/>
      </c>
      <c r="E24" s="1" t="str">
        <f>IF('1.1 Produksi Bersih Padi 2025'!E24="","",'1.1 Produksi Bersih Padi 2025'!E24)</f>
        <v/>
      </c>
      <c r="F24" s="28" t="str">
        <f>IF(D24="","",VLOOKUP(D24,'[1]0.1 Produksi Pangan &amp; Penduduk'!$D$5:$Y$860,22,0))</f>
        <v/>
      </c>
      <c r="G24" s="30" t="str">
        <f t="shared" si="0"/>
        <v/>
      </c>
      <c r="H24" s="30" t="str">
        <f t="shared" si="1"/>
        <v/>
      </c>
      <c r="I24" s="30" t="str">
        <f t="shared" si="2"/>
        <v/>
      </c>
      <c r="J24" s="30" t="str">
        <f t="shared" si="3"/>
        <v/>
      </c>
      <c r="K24" s="30" t="str">
        <f t="shared" si="4"/>
        <v/>
      </c>
      <c r="M24" s="11"/>
    </row>
    <row r="25" spans="1:13" ht="15" x14ac:dyDescent="0.25">
      <c r="A25" s="1" t="str">
        <f>IF('1.1 Produksi Bersih Padi 2025'!A25="","",'1.1 Produksi Bersih Padi 2025'!A25)</f>
        <v/>
      </c>
      <c r="B25" s="31" t="str">
        <f>IF('1.1 Produksi Bersih Padi 2025'!B25="","",'1.1 Produksi Bersih Padi 2025'!B25)</f>
        <v/>
      </c>
      <c r="C25" s="31" t="str">
        <f>IF('1.1 Produksi Bersih Padi 2025'!C25="","",'1.1 Produksi Bersih Padi 2025'!C25)</f>
        <v/>
      </c>
      <c r="D25" s="1" t="str">
        <f>IF('1.1 Produksi Bersih Padi 2025'!D25="","",'1.1 Produksi Bersih Padi 2025'!D25)</f>
        <v/>
      </c>
      <c r="E25" s="1" t="str">
        <f>IF('1.1 Produksi Bersih Padi 2025'!E25="","",'1.1 Produksi Bersih Padi 2025'!E25)</f>
        <v/>
      </c>
      <c r="F25" s="28" t="str">
        <f>IF(D25="","",VLOOKUP(D25,'[1]0.1 Produksi Pangan &amp; Penduduk'!$D$5:$Y$860,22,0))</f>
        <v/>
      </c>
      <c r="G25" s="30" t="str">
        <f t="shared" si="0"/>
        <v/>
      </c>
      <c r="H25" s="30" t="str">
        <f t="shared" si="1"/>
        <v/>
      </c>
      <c r="I25" s="30" t="str">
        <f t="shared" si="2"/>
        <v/>
      </c>
      <c r="J25" s="30" t="str">
        <f t="shared" si="3"/>
        <v/>
      </c>
      <c r="K25" s="30" t="str">
        <f t="shared" si="4"/>
        <v/>
      </c>
      <c r="M25" s="11"/>
    </row>
    <row r="26" spans="1:13" ht="15" x14ac:dyDescent="0.25">
      <c r="A26" s="1" t="str">
        <f>IF('1.1 Produksi Bersih Padi 2025'!A26="","",'1.1 Produksi Bersih Padi 2025'!A26)</f>
        <v/>
      </c>
      <c r="B26" s="31" t="str">
        <f>IF('1.1 Produksi Bersih Padi 2025'!B26="","",'1.1 Produksi Bersih Padi 2025'!B26)</f>
        <v/>
      </c>
      <c r="C26" s="31" t="str">
        <f>IF('1.1 Produksi Bersih Padi 2025'!C26="","",'1.1 Produksi Bersih Padi 2025'!C26)</f>
        <v/>
      </c>
      <c r="D26" s="1" t="str">
        <f>IF('1.1 Produksi Bersih Padi 2025'!D26="","",'1.1 Produksi Bersih Padi 2025'!D26)</f>
        <v/>
      </c>
      <c r="E26" s="1" t="str">
        <f>IF('1.1 Produksi Bersih Padi 2025'!E26="","",'1.1 Produksi Bersih Padi 2025'!E26)</f>
        <v/>
      </c>
      <c r="F26" s="28" t="str">
        <f>IF(D26="","",VLOOKUP(D26,'[1]0.1 Produksi Pangan &amp; Penduduk'!$D$5:$Y$860,22,0))</f>
        <v/>
      </c>
      <c r="G26" s="30" t="str">
        <f t="shared" si="0"/>
        <v/>
      </c>
      <c r="H26" s="30" t="str">
        <f t="shared" si="1"/>
        <v/>
      </c>
      <c r="I26" s="30" t="str">
        <f t="shared" si="2"/>
        <v/>
      </c>
      <c r="J26" s="30" t="str">
        <f t="shared" si="3"/>
        <v/>
      </c>
      <c r="K26" s="30" t="str">
        <f t="shared" si="4"/>
        <v/>
      </c>
      <c r="M26" s="11"/>
    </row>
    <row r="27" spans="1:13" ht="15" x14ac:dyDescent="0.25">
      <c r="A27" s="1" t="str">
        <f>IF('1.1 Produksi Bersih Padi 2025'!A27="","",'1.1 Produksi Bersih Padi 2025'!A27)</f>
        <v/>
      </c>
      <c r="B27" s="31" t="str">
        <f>IF('1.1 Produksi Bersih Padi 2025'!B27="","",'1.1 Produksi Bersih Padi 2025'!B27)</f>
        <v/>
      </c>
      <c r="C27" s="31" t="str">
        <f>IF('1.1 Produksi Bersih Padi 2025'!C27="","",'1.1 Produksi Bersih Padi 2025'!C27)</f>
        <v/>
      </c>
      <c r="D27" s="1" t="str">
        <f>IF('1.1 Produksi Bersih Padi 2025'!D27="","",'1.1 Produksi Bersih Padi 2025'!D27)</f>
        <v/>
      </c>
      <c r="E27" s="1" t="str">
        <f>IF('1.1 Produksi Bersih Padi 2025'!E27="","",'1.1 Produksi Bersih Padi 2025'!E27)</f>
        <v/>
      </c>
      <c r="F27" s="28" t="str">
        <f>IF(D27="","",VLOOKUP(D27,'[1]0.1 Produksi Pangan &amp; Penduduk'!$D$5:$Y$860,22,0))</f>
        <v/>
      </c>
      <c r="G27" s="30" t="str">
        <f t="shared" si="0"/>
        <v/>
      </c>
      <c r="H27" s="30" t="str">
        <f t="shared" si="1"/>
        <v/>
      </c>
      <c r="I27" s="30" t="str">
        <f t="shared" si="2"/>
        <v/>
      </c>
      <c r="J27" s="30" t="str">
        <f t="shared" si="3"/>
        <v/>
      </c>
      <c r="K27" s="30" t="str">
        <f t="shared" si="4"/>
        <v/>
      </c>
      <c r="M27" s="11"/>
    </row>
    <row r="28" spans="1:13" ht="15" x14ac:dyDescent="0.25">
      <c r="A28" s="1" t="str">
        <f>IF('1.1 Produksi Bersih Padi 2025'!A28="","",'1.1 Produksi Bersih Padi 2025'!A28)</f>
        <v/>
      </c>
      <c r="B28" s="31" t="str">
        <f>IF('1.1 Produksi Bersih Padi 2025'!B28="","",'1.1 Produksi Bersih Padi 2025'!B28)</f>
        <v/>
      </c>
      <c r="C28" s="31" t="str">
        <f>IF('1.1 Produksi Bersih Padi 2025'!C28="","",'1.1 Produksi Bersih Padi 2025'!C28)</f>
        <v/>
      </c>
      <c r="D28" s="1" t="str">
        <f>IF('1.1 Produksi Bersih Padi 2025'!D28="","",'1.1 Produksi Bersih Padi 2025'!D28)</f>
        <v/>
      </c>
      <c r="E28" s="1" t="str">
        <f>IF('1.1 Produksi Bersih Padi 2025'!E28="","",'1.1 Produksi Bersih Padi 2025'!E28)</f>
        <v/>
      </c>
      <c r="F28" s="28" t="str">
        <f>IF(D28="","",VLOOKUP(D28,'[1]0.1 Produksi Pangan &amp; Penduduk'!$D$5:$Y$860,22,0))</f>
        <v/>
      </c>
      <c r="G28" s="30" t="str">
        <f t="shared" si="0"/>
        <v/>
      </c>
      <c r="H28" s="30" t="str">
        <f t="shared" si="1"/>
        <v/>
      </c>
      <c r="I28" s="30" t="str">
        <f t="shared" si="2"/>
        <v/>
      </c>
      <c r="J28" s="30" t="str">
        <f t="shared" si="3"/>
        <v/>
      </c>
      <c r="K28" s="30" t="str">
        <f t="shared" si="4"/>
        <v/>
      </c>
      <c r="M28" s="11"/>
    </row>
    <row r="29" spans="1:13" ht="15" x14ac:dyDescent="0.25">
      <c r="A29" s="1" t="str">
        <f>IF('1.1 Produksi Bersih Padi 2025'!A29="","",'1.1 Produksi Bersih Padi 2025'!A29)</f>
        <v/>
      </c>
      <c r="B29" s="31" t="str">
        <f>IF('1.1 Produksi Bersih Padi 2025'!B29="","",'1.1 Produksi Bersih Padi 2025'!B29)</f>
        <v/>
      </c>
      <c r="C29" s="31" t="str">
        <f>IF('1.1 Produksi Bersih Padi 2025'!C29="","",'1.1 Produksi Bersih Padi 2025'!C29)</f>
        <v/>
      </c>
      <c r="D29" s="1" t="str">
        <f>IF('1.1 Produksi Bersih Padi 2025'!D29="","",'1.1 Produksi Bersih Padi 2025'!D29)</f>
        <v/>
      </c>
      <c r="E29" s="1" t="str">
        <f>IF('1.1 Produksi Bersih Padi 2025'!E29="","",'1.1 Produksi Bersih Padi 2025'!E29)</f>
        <v/>
      </c>
      <c r="F29" s="28" t="str">
        <f>IF(D29="","",VLOOKUP(D29,'[1]0.1 Produksi Pangan &amp; Penduduk'!$D$5:$Y$860,22,0))</f>
        <v/>
      </c>
      <c r="G29" s="30" t="str">
        <f t="shared" si="0"/>
        <v/>
      </c>
      <c r="H29" s="30" t="str">
        <f t="shared" si="1"/>
        <v/>
      </c>
      <c r="I29" s="30" t="str">
        <f t="shared" si="2"/>
        <v/>
      </c>
      <c r="J29" s="30" t="str">
        <f t="shared" si="3"/>
        <v/>
      </c>
      <c r="K29" s="30" t="str">
        <f t="shared" si="4"/>
        <v/>
      </c>
      <c r="M29" s="11"/>
    </row>
    <row r="30" spans="1:13" ht="15" x14ac:dyDescent="0.25">
      <c r="A30" s="1" t="str">
        <f>IF('1.1 Produksi Bersih Padi 2025'!A30="","",'1.1 Produksi Bersih Padi 2025'!A30)</f>
        <v/>
      </c>
      <c r="B30" s="31" t="str">
        <f>IF('1.1 Produksi Bersih Padi 2025'!B30="","",'1.1 Produksi Bersih Padi 2025'!B30)</f>
        <v/>
      </c>
      <c r="C30" s="31" t="str">
        <f>IF('1.1 Produksi Bersih Padi 2025'!C30="","",'1.1 Produksi Bersih Padi 2025'!C30)</f>
        <v/>
      </c>
      <c r="D30" s="1" t="str">
        <f>IF('1.1 Produksi Bersih Padi 2025'!D30="","",'1.1 Produksi Bersih Padi 2025'!D30)</f>
        <v/>
      </c>
      <c r="E30" s="1" t="str">
        <f>IF('1.1 Produksi Bersih Padi 2025'!E30="","",'1.1 Produksi Bersih Padi 2025'!E30)</f>
        <v/>
      </c>
      <c r="F30" s="28" t="str">
        <f>IF(D30="","",VLOOKUP(D30,'[1]0.1 Produksi Pangan &amp; Penduduk'!$D$5:$Y$860,22,0))</f>
        <v/>
      </c>
      <c r="G30" s="30" t="str">
        <f t="shared" si="0"/>
        <v/>
      </c>
      <c r="H30" s="30" t="str">
        <f t="shared" si="1"/>
        <v/>
      </c>
      <c r="I30" s="30" t="str">
        <f t="shared" si="2"/>
        <v/>
      </c>
      <c r="J30" s="30" t="str">
        <f t="shared" si="3"/>
        <v/>
      </c>
      <c r="K30" s="30" t="str">
        <f t="shared" si="4"/>
        <v/>
      </c>
      <c r="M30" s="11"/>
    </row>
    <row r="31" spans="1:13" ht="15" x14ac:dyDescent="0.25">
      <c r="A31" s="1" t="str">
        <f>IF('1.1 Produksi Bersih Padi 2025'!A31="","",'1.1 Produksi Bersih Padi 2025'!A31)</f>
        <v/>
      </c>
      <c r="B31" s="31" t="str">
        <f>IF('1.1 Produksi Bersih Padi 2025'!B31="","",'1.1 Produksi Bersih Padi 2025'!B31)</f>
        <v/>
      </c>
      <c r="C31" s="31" t="str">
        <f>IF('1.1 Produksi Bersih Padi 2025'!C31="","",'1.1 Produksi Bersih Padi 2025'!C31)</f>
        <v/>
      </c>
      <c r="D31" s="1" t="str">
        <f>IF('1.1 Produksi Bersih Padi 2025'!D31="","",'1.1 Produksi Bersih Padi 2025'!D31)</f>
        <v/>
      </c>
      <c r="E31" s="1" t="str">
        <f>IF('1.1 Produksi Bersih Padi 2025'!E31="","",'1.1 Produksi Bersih Padi 2025'!E31)</f>
        <v/>
      </c>
      <c r="F31" s="28" t="str">
        <f>IF(D31="","",VLOOKUP(D31,'[1]0.1 Produksi Pangan &amp; Penduduk'!$D$5:$Y$860,22,0))</f>
        <v/>
      </c>
      <c r="G31" s="30" t="str">
        <f t="shared" si="0"/>
        <v/>
      </c>
      <c r="H31" s="30" t="str">
        <f t="shared" si="1"/>
        <v/>
      </c>
      <c r="I31" s="30" t="str">
        <f t="shared" si="2"/>
        <v/>
      </c>
      <c r="J31" s="30" t="str">
        <f t="shared" si="3"/>
        <v/>
      </c>
      <c r="K31" s="30" t="str">
        <f t="shared" si="4"/>
        <v/>
      </c>
      <c r="M31" s="11"/>
    </row>
    <row r="32" spans="1:13" ht="15" x14ac:dyDescent="0.25">
      <c r="A32" s="1" t="str">
        <f>IF('1.1 Produksi Bersih Padi 2025'!A32="","",'1.1 Produksi Bersih Padi 2025'!A32)</f>
        <v/>
      </c>
      <c r="B32" s="31" t="str">
        <f>IF('1.1 Produksi Bersih Padi 2025'!B32="","",'1.1 Produksi Bersih Padi 2025'!B32)</f>
        <v/>
      </c>
      <c r="C32" s="31" t="str">
        <f>IF('1.1 Produksi Bersih Padi 2025'!C32="","",'1.1 Produksi Bersih Padi 2025'!C32)</f>
        <v/>
      </c>
      <c r="D32" s="1" t="str">
        <f>IF('1.1 Produksi Bersih Padi 2025'!D32="","",'1.1 Produksi Bersih Padi 2025'!D32)</f>
        <v/>
      </c>
      <c r="E32" s="1" t="str">
        <f>IF('1.1 Produksi Bersih Padi 2025'!E32="","",'1.1 Produksi Bersih Padi 2025'!E32)</f>
        <v/>
      </c>
      <c r="F32" s="28" t="str">
        <f>IF(D32="","",VLOOKUP(D32,'[1]0.1 Produksi Pangan &amp; Penduduk'!$D$5:$Y$860,22,0))</f>
        <v/>
      </c>
      <c r="G32" s="30" t="str">
        <f t="shared" si="0"/>
        <v/>
      </c>
      <c r="H32" s="30" t="str">
        <f t="shared" si="1"/>
        <v/>
      </c>
      <c r="I32" s="30" t="str">
        <f t="shared" si="2"/>
        <v/>
      </c>
      <c r="J32" s="30" t="str">
        <f t="shared" si="3"/>
        <v/>
      </c>
      <c r="K32" s="30" t="str">
        <f t="shared" si="4"/>
        <v/>
      </c>
      <c r="M32" s="11"/>
    </row>
    <row r="33" spans="1:13" ht="15" x14ac:dyDescent="0.25">
      <c r="A33" s="1" t="str">
        <f>IF('1.1 Produksi Bersih Padi 2025'!A33="","",'1.1 Produksi Bersih Padi 2025'!A33)</f>
        <v/>
      </c>
      <c r="B33" s="31" t="str">
        <f>IF('1.1 Produksi Bersih Padi 2025'!B33="","",'1.1 Produksi Bersih Padi 2025'!B33)</f>
        <v/>
      </c>
      <c r="C33" s="31" t="str">
        <f>IF('1.1 Produksi Bersih Padi 2025'!C33="","",'1.1 Produksi Bersih Padi 2025'!C33)</f>
        <v/>
      </c>
      <c r="D33" s="1" t="str">
        <f>IF('1.1 Produksi Bersih Padi 2025'!D33="","",'1.1 Produksi Bersih Padi 2025'!D33)</f>
        <v/>
      </c>
      <c r="E33" s="1" t="str">
        <f>IF('1.1 Produksi Bersih Padi 2025'!E33="","",'1.1 Produksi Bersih Padi 2025'!E33)</f>
        <v/>
      </c>
      <c r="F33" s="28" t="str">
        <f>IF(D33="","",VLOOKUP(D33,'[1]0.1 Produksi Pangan &amp; Penduduk'!$D$5:$Y$860,22,0))</f>
        <v/>
      </c>
      <c r="G33" s="30" t="str">
        <f t="shared" si="0"/>
        <v/>
      </c>
      <c r="H33" s="30" t="str">
        <f t="shared" si="1"/>
        <v/>
      </c>
      <c r="I33" s="30" t="str">
        <f t="shared" si="2"/>
        <v/>
      </c>
      <c r="J33" s="30" t="str">
        <f t="shared" si="3"/>
        <v/>
      </c>
      <c r="K33" s="30" t="str">
        <f t="shared" si="4"/>
        <v/>
      </c>
      <c r="M33" s="11"/>
    </row>
    <row r="34" spans="1:13" ht="15" x14ac:dyDescent="0.25">
      <c r="A34" s="1" t="str">
        <f>IF('1.1 Produksi Bersih Padi 2025'!A34="","",'1.1 Produksi Bersih Padi 2025'!A34)</f>
        <v/>
      </c>
      <c r="B34" s="31" t="str">
        <f>IF('1.1 Produksi Bersih Padi 2025'!B34="","",'1.1 Produksi Bersih Padi 2025'!B34)</f>
        <v/>
      </c>
      <c r="C34" s="31" t="str">
        <f>IF('1.1 Produksi Bersih Padi 2025'!C34="","",'1.1 Produksi Bersih Padi 2025'!C34)</f>
        <v/>
      </c>
      <c r="D34" s="1" t="str">
        <f>IF('1.1 Produksi Bersih Padi 2025'!D34="","",'1.1 Produksi Bersih Padi 2025'!D34)</f>
        <v/>
      </c>
      <c r="E34" s="1" t="str">
        <f>IF('1.1 Produksi Bersih Padi 2025'!E34="","",'1.1 Produksi Bersih Padi 2025'!E34)</f>
        <v/>
      </c>
      <c r="F34" s="28" t="str">
        <f>IF(D34="","",VLOOKUP(D34,'[1]0.1 Produksi Pangan &amp; Penduduk'!$D$5:$Y$860,22,0))</f>
        <v/>
      </c>
      <c r="G34" s="30" t="str">
        <f t="shared" si="0"/>
        <v/>
      </c>
      <c r="H34" s="30" t="str">
        <f t="shared" si="1"/>
        <v/>
      </c>
      <c r="I34" s="30" t="str">
        <f t="shared" si="2"/>
        <v/>
      </c>
      <c r="J34" s="30" t="str">
        <f t="shared" si="3"/>
        <v/>
      </c>
      <c r="K34" s="30" t="str">
        <f t="shared" si="4"/>
        <v/>
      </c>
      <c r="M34" s="11"/>
    </row>
    <row r="35" spans="1:13" ht="15" x14ac:dyDescent="0.25">
      <c r="A35" s="1" t="str">
        <f>IF('1.1 Produksi Bersih Padi 2025'!A35="","",'1.1 Produksi Bersih Padi 2025'!A35)</f>
        <v/>
      </c>
      <c r="B35" s="31" t="str">
        <f>IF('1.1 Produksi Bersih Padi 2025'!B35="","",'1.1 Produksi Bersih Padi 2025'!B35)</f>
        <v/>
      </c>
      <c r="C35" s="31" t="str">
        <f>IF('1.1 Produksi Bersih Padi 2025'!C35="","",'1.1 Produksi Bersih Padi 2025'!C35)</f>
        <v/>
      </c>
      <c r="D35" s="1" t="str">
        <f>IF('1.1 Produksi Bersih Padi 2025'!D35="","",'1.1 Produksi Bersih Padi 2025'!D35)</f>
        <v/>
      </c>
      <c r="E35" s="1" t="str">
        <f>IF('1.1 Produksi Bersih Padi 2025'!E35="","",'1.1 Produksi Bersih Padi 2025'!E35)</f>
        <v/>
      </c>
      <c r="F35" s="28" t="str">
        <f>IF(D35="","",VLOOKUP(D35,'[1]0.1 Produksi Pangan &amp; Penduduk'!$D$5:$Y$860,22,0))</f>
        <v/>
      </c>
      <c r="G35" s="30" t="str">
        <f t="shared" si="0"/>
        <v/>
      </c>
      <c r="H35" s="30" t="str">
        <f t="shared" si="1"/>
        <v/>
      </c>
      <c r="I35" s="30" t="str">
        <f t="shared" si="2"/>
        <v/>
      </c>
      <c r="J35" s="30" t="str">
        <f t="shared" si="3"/>
        <v/>
      </c>
      <c r="K35" s="30" t="str">
        <f t="shared" si="4"/>
        <v/>
      </c>
      <c r="M35" s="11"/>
    </row>
    <row r="36" spans="1:13" ht="15" x14ac:dyDescent="0.25">
      <c r="A36" s="1" t="str">
        <f>IF('1.1 Produksi Bersih Padi 2025'!A36="","",'1.1 Produksi Bersih Padi 2025'!A36)</f>
        <v/>
      </c>
      <c r="B36" s="31" t="str">
        <f>IF('1.1 Produksi Bersih Padi 2025'!B36="","",'1.1 Produksi Bersih Padi 2025'!B36)</f>
        <v/>
      </c>
      <c r="C36" s="31" t="str">
        <f>IF('1.1 Produksi Bersih Padi 2025'!C36="","",'1.1 Produksi Bersih Padi 2025'!C36)</f>
        <v/>
      </c>
      <c r="D36" s="1" t="str">
        <f>IF('1.1 Produksi Bersih Padi 2025'!D36="","",'1.1 Produksi Bersih Padi 2025'!D36)</f>
        <v/>
      </c>
      <c r="E36" s="1" t="str">
        <f>IF('1.1 Produksi Bersih Padi 2025'!E36="","",'1.1 Produksi Bersih Padi 2025'!E36)</f>
        <v/>
      </c>
      <c r="F36" s="28" t="str">
        <f>IF(D36="","",VLOOKUP(D36,'[1]0.1 Produksi Pangan &amp; Penduduk'!$D$5:$Y$860,22,0))</f>
        <v/>
      </c>
      <c r="G36" s="30" t="str">
        <f t="shared" si="0"/>
        <v/>
      </c>
      <c r="H36" s="30" t="str">
        <f t="shared" si="1"/>
        <v/>
      </c>
      <c r="I36" s="30" t="str">
        <f t="shared" si="2"/>
        <v/>
      </c>
      <c r="J36" s="30" t="str">
        <f t="shared" si="3"/>
        <v/>
      </c>
      <c r="K36" s="30" t="str">
        <f t="shared" si="4"/>
        <v/>
      </c>
      <c r="M36" s="11"/>
    </row>
    <row r="37" spans="1:13" ht="15" x14ac:dyDescent="0.25">
      <c r="A37" s="1" t="str">
        <f>IF('1.1 Produksi Bersih Padi 2025'!A37="","",'1.1 Produksi Bersih Padi 2025'!A37)</f>
        <v/>
      </c>
      <c r="B37" s="31" t="str">
        <f>IF('1.1 Produksi Bersih Padi 2025'!B37="","",'1.1 Produksi Bersih Padi 2025'!B37)</f>
        <v/>
      </c>
      <c r="C37" s="31" t="str">
        <f>IF('1.1 Produksi Bersih Padi 2025'!C37="","",'1.1 Produksi Bersih Padi 2025'!C37)</f>
        <v/>
      </c>
      <c r="D37" s="1" t="str">
        <f>IF('1.1 Produksi Bersih Padi 2025'!D37="","",'1.1 Produksi Bersih Padi 2025'!D37)</f>
        <v/>
      </c>
      <c r="E37" s="1" t="str">
        <f>IF('1.1 Produksi Bersih Padi 2025'!E37="","",'1.1 Produksi Bersih Padi 2025'!E37)</f>
        <v/>
      </c>
      <c r="F37" s="28" t="str">
        <f>IF(D37="","",VLOOKUP(D37,'[1]0.1 Produksi Pangan &amp; Penduduk'!$D$5:$Y$860,22,0))</f>
        <v/>
      </c>
      <c r="G37" s="30" t="str">
        <f t="shared" si="0"/>
        <v/>
      </c>
      <c r="H37" s="30" t="str">
        <f t="shared" si="1"/>
        <v/>
      </c>
      <c r="I37" s="30" t="str">
        <f t="shared" si="2"/>
        <v/>
      </c>
      <c r="J37" s="30" t="str">
        <f t="shared" si="3"/>
        <v/>
      </c>
      <c r="K37" s="30" t="str">
        <f t="shared" si="4"/>
        <v/>
      </c>
      <c r="M37" s="11"/>
    </row>
    <row r="38" spans="1:13" ht="15" x14ac:dyDescent="0.25">
      <c r="A38" s="1" t="str">
        <f>IF('1.1 Produksi Bersih Padi 2025'!A38="","",'1.1 Produksi Bersih Padi 2025'!A38)</f>
        <v/>
      </c>
      <c r="B38" s="31" t="str">
        <f>IF('1.1 Produksi Bersih Padi 2025'!B38="","",'1.1 Produksi Bersih Padi 2025'!B38)</f>
        <v/>
      </c>
      <c r="C38" s="31" t="str">
        <f>IF('1.1 Produksi Bersih Padi 2025'!C38="","",'1.1 Produksi Bersih Padi 2025'!C38)</f>
        <v/>
      </c>
      <c r="D38" s="1" t="str">
        <f>IF('1.1 Produksi Bersih Padi 2025'!D38="","",'1.1 Produksi Bersih Padi 2025'!D38)</f>
        <v/>
      </c>
      <c r="E38" s="1" t="str">
        <f>IF('1.1 Produksi Bersih Padi 2025'!E38="","",'1.1 Produksi Bersih Padi 2025'!E38)</f>
        <v/>
      </c>
      <c r="F38" s="28" t="str">
        <f>IF(D38="","",VLOOKUP(D38,'[1]0.1 Produksi Pangan &amp; Penduduk'!$D$5:$Y$860,22,0))</f>
        <v/>
      </c>
      <c r="G38" s="30" t="str">
        <f t="shared" si="0"/>
        <v/>
      </c>
      <c r="H38" s="30" t="str">
        <f t="shared" si="1"/>
        <v/>
      </c>
      <c r="I38" s="30" t="str">
        <f t="shared" si="2"/>
        <v/>
      </c>
      <c r="J38" s="30" t="str">
        <f t="shared" si="3"/>
        <v/>
      </c>
      <c r="K38" s="30" t="str">
        <f t="shared" si="4"/>
        <v/>
      </c>
      <c r="M38" s="11"/>
    </row>
    <row r="39" spans="1:13" ht="15" x14ac:dyDescent="0.25">
      <c r="A39" s="1" t="str">
        <f>IF('1.1 Produksi Bersih Padi 2025'!A39="","",'1.1 Produksi Bersih Padi 2025'!A39)</f>
        <v/>
      </c>
      <c r="B39" s="31" t="str">
        <f>IF('1.1 Produksi Bersih Padi 2025'!B39="","",'1.1 Produksi Bersih Padi 2025'!B39)</f>
        <v/>
      </c>
      <c r="C39" s="31" t="str">
        <f>IF('1.1 Produksi Bersih Padi 2025'!C39="","",'1.1 Produksi Bersih Padi 2025'!C39)</f>
        <v/>
      </c>
      <c r="D39" s="1" t="str">
        <f>IF('1.1 Produksi Bersih Padi 2025'!D39="","",'1.1 Produksi Bersih Padi 2025'!D39)</f>
        <v/>
      </c>
      <c r="E39" s="1" t="str">
        <f>IF('1.1 Produksi Bersih Padi 2025'!E39="","",'1.1 Produksi Bersih Padi 2025'!E39)</f>
        <v/>
      </c>
      <c r="F39" s="28" t="str">
        <f>IF(D39="","",VLOOKUP(D39,'[1]0.1 Produksi Pangan &amp; Penduduk'!$D$5:$Y$860,22,0))</f>
        <v/>
      </c>
      <c r="G39" s="30" t="str">
        <f t="shared" si="0"/>
        <v/>
      </c>
      <c r="H39" s="30" t="str">
        <f t="shared" si="1"/>
        <v/>
      </c>
      <c r="I39" s="30" t="str">
        <f t="shared" si="2"/>
        <v/>
      </c>
      <c r="J39" s="30" t="str">
        <f t="shared" si="3"/>
        <v/>
      </c>
      <c r="K39" s="30" t="str">
        <f t="shared" si="4"/>
        <v/>
      </c>
      <c r="M39" s="11"/>
    </row>
    <row r="40" spans="1:13" ht="15" x14ac:dyDescent="0.25">
      <c r="A40" s="1" t="str">
        <f>IF('1.1 Produksi Bersih Padi 2025'!A40="","",'1.1 Produksi Bersih Padi 2025'!A40)</f>
        <v/>
      </c>
      <c r="B40" s="31" t="str">
        <f>IF('1.1 Produksi Bersih Padi 2025'!B40="","",'1.1 Produksi Bersih Padi 2025'!B40)</f>
        <v/>
      </c>
      <c r="C40" s="31" t="str">
        <f>IF('1.1 Produksi Bersih Padi 2025'!C40="","",'1.1 Produksi Bersih Padi 2025'!C40)</f>
        <v/>
      </c>
      <c r="D40" s="1" t="str">
        <f>IF('1.1 Produksi Bersih Padi 2025'!D40="","",'1.1 Produksi Bersih Padi 2025'!D40)</f>
        <v/>
      </c>
      <c r="E40" s="1" t="str">
        <f>IF('1.1 Produksi Bersih Padi 2025'!E40="","",'1.1 Produksi Bersih Padi 2025'!E40)</f>
        <v/>
      </c>
      <c r="F40" s="28" t="str">
        <f>IF(D40="","",VLOOKUP(D40,'[1]0.1 Produksi Pangan &amp; Penduduk'!$D$5:$Y$860,22,0))</f>
        <v/>
      </c>
      <c r="G40" s="30" t="str">
        <f t="shared" si="0"/>
        <v/>
      </c>
      <c r="H40" s="30" t="str">
        <f t="shared" si="1"/>
        <v/>
      </c>
      <c r="I40" s="30" t="str">
        <f t="shared" si="2"/>
        <v/>
      </c>
      <c r="J40" s="30" t="str">
        <f t="shared" si="3"/>
        <v/>
      </c>
      <c r="K40" s="30" t="str">
        <f t="shared" si="4"/>
        <v/>
      </c>
      <c r="M40" s="11"/>
    </row>
    <row r="41" spans="1:13" ht="15" x14ac:dyDescent="0.25">
      <c r="A41" s="1" t="str">
        <f>IF('1.1 Produksi Bersih Padi 2025'!A41="","",'1.1 Produksi Bersih Padi 2025'!A41)</f>
        <v/>
      </c>
      <c r="B41" s="31" t="str">
        <f>IF('1.1 Produksi Bersih Padi 2025'!B41="","",'1.1 Produksi Bersih Padi 2025'!B41)</f>
        <v/>
      </c>
      <c r="C41" s="31" t="str">
        <f>IF('1.1 Produksi Bersih Padi 2025'!C41="","",'1.1 Produksi Bersih Padi 2025'!C41)</f>
        <v/>
      </c>
      <c r="D41" s="1" t="str">
        <f>IF('1.1 Produksi Bersih Padi 2025'!D41="","",'1.1 Produksi Bersih Padi 2025'!D41)</f>
        <v/>
      </c>
      <c r="E41" s="1" t="str">
        <f>IF('1.1 Produksi Bersih Padi 2025'!E41="","",'1.1 Produksi Bersih Padi 2025'!E41)</f>
        <v/>
      </c>
      <c r="F41" s="28" t="str">
        <f>IF(D41="","",VLOOKUP(D41,'[1]0.1 Produksi Pangan &amp; Penduduk'!$D$5:$Y$860,22,0))</f>
        <v/>
      </c>
      <c r="G41" s="30" t="str">
        <f t="shared" si="0"/>
        <v/>
      </c>
      <c r="H41" s="30" t="str">
        <f t="shared" si="1"/>
        <v/>
      </c>
      <c r="I41" s="30" t="str">
        <f t="shared" si="2"/>
        <v/>
      </c>
      <c r="J41" s="30" t="str">
        <f t="shared" si="3"/>
        <v/>
      </c>
      <c r="K41" s="30" t="str">
        <f t="shared" si="4"/>
        <v/>
      </c>
      <c r="M41" s="11"/>
    </row>
    <row r="42" spans="1:13" ht="15" x14ac:dyDescent="0.25">
      <c r="A42" s="1" t="str">
        <f>IF('1.1 Produksi Bersih Padi 2025'!A42="","",'1.1 Produksi Bersih Padi 2025'!A42)</f>
        <v/>
      </c>
      <c r="B42" s="31" t="str">
        <f>IF('1.1 Produksi Bersih Padi 2025'!B42="","",'1.1 Produksi Bersih Padi 2025'!B42)</f>
        <v/>
      </c>
      <c r="C42" s="31" t="str">
        <f>IF('1.1 Produksi Bersih Padi 2025'!C42="","",'1.1 Produksi Bersih Padi 2025'!C42)</f>
        <v/>
      </c>
      <c r="D42" s="1" t="str">
        <f>IF('1.1 Produksi Bersih Padi 2025'!D42="","",'1.1 Produksi Bersih Padi 2025'!D42)</f>
        <v/>
      </c>
      <c r="E42" s="1" t="str">
        <f>IF('1.1 Produksi Bersih Padi 2025'!E42="","",'1.1 Produksi Bersih Padi 2025'!E42)</f>
        <v/>
      </c>
      <c r="F42" s="28" t="str">
        <f>IF(D42="","",VLOOKUP(D42,'[1]0.1 Produksi Pangan &amp; Penduduk'!$D$5:$Y$860,22,0))</f>
        <v/>
      </c>
      <c r="G42" s="30" t="str">
        <f t="shared" si="0"/>
        <v/>
      </c>
      <c r="H42" s="30" t="str">
        <f t="shared" si="1"/>
        <v/>
      </c>
      <c r="I42" s="30" t="str">
        <f t="shared" si="2"/>
        <v/>
      </c>
      <c r="J42" s="30" t="str">
        <f t="shared" si="3"/>
        <v/>
      </c>
      <c r="K42" s="30" t="str">
        <f t="shared" si="4"/>
        <v/>
      </c>
      <c r="M42" s="11"/>
    </row>
    <row r="43" spans="1:13" ht="15" x14ac:dyDescent="0.25">
      <c r="A43" s="1" t="str">
        <f>IF('1.1 Produksi Bersih Padi 2025'!A43="","",'1.1 Produksi Bersih Padi 2025'!A43)</f>
        <v/>
      </c>
      <c r="B43" s="31" t="str">
        <f>IF('1.1 Produksi Bersih Padi 2025'!B43="","",'1.1 Produksi Bersih Padi 2025'!B43)</f>
        <v/>
      </c>
      <c r="C43" s="31" t="str">
        <f>IF('1.1 Produksi Bersih Padi 2025'!C43="","",'1.1 Produksi Bersih Padi 2025'!C43)</f>
        <v/>
      </c>
      <c r="D43" s="1" t="str">
        <f>IF('1.1 Produksi Bersih Padi 2025'!D43="","",'1.1 Produksi Bersih Padi 2025'!D43)</f>
        <v/>
      </c>
      <c r="E43" s="1" t="str">
        <f>IF('1.1 Produksi Bersih Padi 2025'!E43="","",'1.1 Produksi Bersih Padi 2025'!E43)</f>
        <v/>
      </c>
      <c r="F43" s="28" t="str">
        <f>IF(D43="","",VLOOKUP(D43,'[1]0.1 Produksi Pangan &amp; Penduduk'!$D$5:$Y$860,22,0))</f>
        <v/>
      </c>
      <c r="G43" s="30" t="str">
        <f t="shared" si="0"/>
        <v/>
      </c>
      <c r="H43" s="30" t="str">
        <f t="shared" si="1"/>
        <v/>
      </c>
      <c r="I43" s="30" t="str">
        <f t="shared" si="2"/>
        <v/>
      </c>
      <c r="J43" s="30" t="str">
        <f t="shared" si="3"/>
        <v/>
      </c>
      <c r="K43" s="30" t="str">
        <f t="shared" si="4"/>
        <v/>
      </c>
      <c r="M43" s="11"/>
    </row>
    <row r="44" spans="1:13" ht="15" x14ac:dyDescent="0.25">
      <c r="A44" s="1" t="str">
        <f>IF('1.1 Produksi Bersih Padi 2025'!A44="","",'1.1 Produksi Bersih Padi 2025'!A44)</f>
        <v/>
      </c>
      <c r="B44" s="31" t="str">
        <f>IF('1.1 Produksi Bersih Padi 2025'!B44="","",'1.1 Produksi Bersih Padi 2025'!B44)</f>
        <v/>
      </c>
      <c r="C44" s="31" t="str">
        <f>IF('1.1 Produksi Bersih Padi 2025'!C44="","",'1.1 Produksi Bersih Padi 2025'!C44)</f>
        <v/>
      </c>
      <c r="D44" s="1" t="str">
        <f>IF('1.1 Produksi Bersih Padi 2025'!D44="","",'1.1 Produksi Bersih Padi 2025'!D44)</f>
        <v/>
      </c>
      <c r="E44" s="1" t="str">
        <f>IF('1.1 Produksi Bersih Padi 2025'!E44="","",'1.1 Produksi Bersih Padi 2025'!E44)</f>
        <v/>
      </c>
      <c r="F44" s="28" t="str">
        <f>IF(D44="","",VLOOKUP(D44,'[1]0.1 Produksi Pangan &amp; Penduduk'!$D$5:$Y$860,22,0))</f>
        <v/>
      </c>
      <c r="G44" s="30" t="str">
        <f t="shared" si="0"/>
        <v/>
      </c>
      <c r="H44" s="30" t="str">
        <f t="shared" si="1"/>
        <v/>
      </c>
      <c r="I44" s="30" t="str">
        <f t="shared" si="2"/>
        <v/>
      </c>
      <c r="J44" s="30" t="str">
        <f t="shared" si="3"/>
        <v/>
      </c>
      <c r="K44" s="30" t="str">
        <f t="shared" si="4"/>
        <v/>
      </c>
      <c r="M44" s="11"/>
    </row>
    <row r="45" spans="1:13" ht="15" x14ac:dyDescent="0.25">
      <c r="A45" s="1" t="str">
        <f>IF('1.1 Produksi Bersih Padi 2025'!A45="","",'1.1 Produksi Bersih Padi 2025'!A45)</f>
        <v/>
      </c>
      <c r="B45" s="31" t="str">
        <f>IF('1.1 Produksi Bersih Padi 2025'!B45="","",'1.1 Produksi Bersih Padi 2025'!B45)</f>
        <v/>
      </c>
      <c r="C45" s="31" t="str">
        <f>IF('1.1 Produksi Bersih Padi 2025'!C45="","",'1.1 Produksi Bersih Padi 2025'!C45)</f>
        <v/>
      </c>
      <c r="D45" s="1" t="str">
        <f>IF('1.1 Produksi Bersih Padi 2025'!D45="","",'1.1 Produksi Bersih Padi 2025'!D45)</f>
        <v/>
      </c>
      <c r="E45" s="1" t="str">
        <f>IF('1.1 Produksi Bersih Padi 2025'!E45="","",'1.1 Produksi Bersih Padi 2025'!E45)</f>
        <v/>
      </c>
      <c r="F45" s="28" t="str">
        <f>IF(D45="","",VLOOKUP(D45,'[1]0.1 Produksi Pangan &amp; Penduduk'!$D$5:$Y$860,22,0))</f>
        <v/>
      </c>
      <c r="G45" s="30" t="str">
        <f t="shared" si="0"/>
        <v/>
      </c>
      <c r="H45" s="30" t="str">
        <f t="shared" si="1"/>
        <v/>
      </c>
      <c r="I45" s="30" t="str">
        <f t="shared" si="2"/>
        <v/>
      </c>
      <c r="J45" s="30" t="str">
        <f t="shared" si="3"/>
        <v/>
      </c>
      <c r="K45" s="30" t="str">
        <f t="shared" si="4"/>
        <v/>
      </c>
      <c r="M45" s="11"/>
    </row>
    <row r="46" spans="1:13" ht="15" x14ac:dyDescent="0.25">
      <c r="A46" s="1" t="str">
        <f>IF('1.1 Produksi Bersih Padi 2025'!A46="","",'1.1 Produksi Bersih Padi 2025'!A46)</f>
        <v/>
      </c>
      <c r="B46" s="31" t="str">
        <f>IF('1.1 Produksi Bersih Padi 2025'!B46="","",'1.1 Produksi Bersih Padi 2025'!B46)</f>
        <v/>
      </c>
      <c r="C46" s="31" t="str">
        <f>IF('1.1 Produksi Bersih Padi 2025'!C46="","",'1.1 Produksi Bersih Padi 2025'!C46)</f>
        <v/>
      </c>
      <c r="D46" s="1" t="str">
        <f>IF('1.1 Produksi Bersih Padi 2025'!D46="","",'1.1 Produksi Bersih Padi 2025'!D46)</f>
        <v/>
      </c>
      <c r="E46" s="1" t="str">
        <f>IF('1.1 Produksi Bersih Padi 2025'!E46="","",'1.1 Produksi Bersih Padi 2025'!E46)</f>
        <v/>
      </c>
      <c r="F46" s="28" t="str">
        <f>IF(D46="","",VLOOKUP(D46,'[1]0.1 Produksi Pangan &amp; Penduduk'!$D$5:$Y$860,22,0))</f>
        <v/>
      </c>
      <c r="G46" s="30" t="str">
        <f t="shared" si="0"/>
        <v/>
      </c>
      <c r="H46" s="30" t="str">
        <f t="shared" si="1"/>
        <v/>
      </c>
      <c r="I46" s="30" t="str">
        <f t="shared" si="2"/>
        <v/>
      </c>
      <c r="J46" s="30" t="str">
        <f t="shared" si="3"/>
        <v/>
      </c>
      <c r="K46" s="30" t="str">
        <f t="shared" si="4"/>
        <v/>
      </c>
      <c r="M46" s="11"/>
    </row>
    <row r="47" spans="1:13" ht="15" x14ac:dyDescent="0.25">
      <c r="A47" s="1" t="str">
        <f>IF('1.1 Produksi Bersih Padi 2025'!A47="","",'1.1 Produksi Bersih Padi 2025'!A47)</f>
        <v/>
      </c>
      <c r="B47" s="31" t="str">
        <f>IF('1.1 Produksi Bersih Padi 2025'!B47="","",'1.1 Produksi Bersih Padi 2025'!B47)</f>
        <v/>
      </c>
      <c r="C47" s="31" t="str">
        <f>IF('1.1 Produksi Bersih Padi 2025'!C47="","",'1.1 Produksi Bersih Padi 2025'!C47)</f>
        <v/>
      </c>
      <c r="D47" s="1" t="str">
        <f>IF('1.1 Produksi Bersih Padi 2025'!D47="","",'1.1 Produksi Bersih Padi 2025'!D47)</f>
        <v/>
      </c>
      <c r="E47" s="1" t="str">
        <f>IF('1.1 Produksi Bersih Padi 2025'!E47="","",'1.1 Produksi Bersih Padi 2025'!E47)</f>
        <v/>
      </c>
      <c r="F47" s="28" t="str">
        <f>IF(D47="","",VLOOKUP(D47,'[1]0.1 Produksi Pangan &amp; Penduduk'!$D$5:$Y$860,22,0))</f>
        <v/>
      </c>
      <c r="G47" s="30" t="str">
        <f t="shared" si="0"/>
        <v/>
      </c>
      <c r="H47" s="30" t="str">
        <f t="shared" si="1"/>
        <v/>
      </c>
      <c r="I47" s="30" t="str">
        <f t="shared" si="2"/>
        <v/>
      </c>
      <c r="J47" s="30" t="str">
        <f t="shared" si="3"/>
        <v/>
      </c>
      <c r="K47" s="30" t="str">
        <f t="shared" si="4"/>
        <v/>
      </c>
      <c r="M47" s="11"/>
    </row>
    <row r="48" spans="1:13" ht="15" x14ac:dyDescent="0.25">
      <c r="A48" s="1" t="str">
        <f>IF('1.1 Produksi Bersih Padi 2025'!A48="","",'1.1 Produksi Bersih Padi 2025'!A48)</f>
        <v/>
      </c>
      <c r="B48" s="31" t="str">
        <f>IF('1.1 Produksi Bersih Padi 2025'!B48="","",'1.1 Produksi Bersih Padi 2025'!B48)</f>
        <v/>
      </c>
      <c r="C48" s="31" t="str">
        <f>IF('1.1 Produksi Bersih Padi 2025'!C48="","",'1.1 Produksi Bersih Padi 2025'!C48)</f>
        <v/>
      </c>
      <c r="D48" s="1" t="str">
        <f>IF('1.1 Produksi Bersih Padi 2025'!D48="","",'1.1 Produksi Bersih Padi 2025'!D48)</f>
        <v/>
      </c>
      <c r="E48" s="1" t="str">
        <f>IF('1.1 Produksi Bersih Padi 2025'!E48="","",'1.1 Produksi Bersih Padi 2025'!E48)</f>
        <v/>
      </c>
      <c r="F48" s="28" t="str">
        <f>IF(D48="","",VLOOKUP(D48,'[1]0.1 Produksi Pangan &amp; Penduduk'!$D$5:$Y$860,22,0))</f>
        <v/>
      </c>
      <c r="G48" s="30" t="str">
        <f t="shared" si="0"/>
        <v/>
      </c>
      <c r="H48" s="30" t="str">
        <f t="shared" si="1"/>
        <v/>
      </c>
      <c r="I48" s="30" t="str">
        <f t="shared" si="2"/>
        <v/>
      </c>
      <c r="J48" s="30" t="str">
        <f t="shared" si="3"/>
        <v/>
      </c>
      <c r="K48" s="30" t="str">
        <f t="shared" si="4"/>
        <v/>
      </c>
      <c r="M48" s="11"/>
    </row>
    <row r="49" spans="1:13" ht="15" x14ac:dyDescent="0.25">
      <c r="A49" s="1" t="str">
        <f>IF('1.1 Produksi Bersih Padi 2025'!A49="","",'1.1 Produksi Bersih Padi 2025'!A49)</f>
        <v/>
      </c>
      <c r="B49" s="31" t="str">
        <f>IF('1.1 Produksi Bersih Padi 2025'!B49="","",'1.1 Produksi Bersih Padi 2025'!B49)</f>
        <v/>
      </c>
      <c r="C49" s="31" t="str">
        <f>IF('1.1 Produksi Bersih Padi 2025'!C49="","",'1.1 Produksi Bersih Padi 2025'!C49)</f>
        <v/>
      </c>
      <c r="D49" s="1" t="str">
        <f>IF('1.1 Produksi Bersih Padi 2025'!D49="","",'1.1 Produksi Bersih Padi 2025'!D49)</f>
        <v/>
      </c>
      <c r="E49" s="1" t="str">
        <f>IF('1.1 Produksi Bersih Padi 2025'!E49="","",'1.1 Produksi Bersih Padi 2025'!E49)</f>
        <v/>
      </c>
      <c r="F49" s="28" t="str">
        <f>IF(D49="","",VLOOKUP(D49,'[1]0.1 Produksi Pangan &amp; Penduduk'!$D$5:$Y$860,22,0))</f>
        <v/>
      </c>
      <c r="G49" s="30" t="str">
        <f t="shared" si="0"/>
        <v/>
      </c>
      <c r="H49" s="30" t="str">
        <f t="shared" si="1"/>
        <v/>
      </c>
      <c r="I49" s="30" t="str">
        <f t="shared" si="2"/>
        <v/>
      </c>
      <c r="J49" s="30" t="str">
        <f t="shared" si="3"/>
        <v/>
      </c>
      <c r="K49" s="30" t="str">
        <f t="shared" si="4"/>
        <v/>
      </c>
      <c r="M49" s="11"/>
    </row>
    <row r="50" spans="1:13" ht="15" x14ac:dyDescent="0.25">
      <c r="A50" s="1" t="str">
        <f>IF('1.1 Produksi Bersih Padi 2025'!A50="","",'1.1 Produksi Bersih Padi 2025'!A50)</f>
        <v/>
      </c>
      <c r="B50" s="31" t="str">
        <f>IF('1.1 Produksi Bersih Padi 2025'!B50="","",'1.1 Produksi Bersih Padi 2025'!B50)</f>
        <v/>
      </c>
      <c r="C50" s="31" t="str">
        <f>IF('1.1 Produksi Bersih Padi 2025'!C50="","",'1.1 Produksi Bersih Padi 2025'!C50)</f>
        <v/>
      </c>
      <c r="D50" s="1" t="str">
        <f>IF('1.1 Produksi Bersih Padi 2025'!D50="","",'1.1 Produksi Bersih Padi 2025'!D50)</f>
        <v/>
      </c>
      <c r="E50" s="1" t="str">
        <f>IF('1.1 Produksi Bersih Padi 2025'!E50="","",'1.1 Produksi Bersih Padi 2025'!E50)</f>
        <v/>
      </c>
      <c r="F50" s="28" t="str">
        <f>IF(D50="","",VLOOKUP(D50,'[1]0.1 Produksi Pangan &amp; Penduduk'!$D$5:$Y$860,22,0))</f>
        <v/>
      </c>
      <c r="G50" s="30" t="str">
        <f t="shared" si="0"/>
        <v/>
      </c>
      <c r="H50" s="30" t="str">
        <f t="shared" si="1"/>
        <v/>
      </c>
      <c r="I50" s="30" t="str">
        <f t="shared" si="2"/>
        <v/>
      </c>
      <c r="J50" s="30" t="str">
        <f t="shared" si="3"/>
        <v/>
      </c>
      <c r="K50" s="30" t="str">
        <f t="shared" si="4"/>
        <v/>
      </c>
      <c r="M50" s="11"/>
    </row>
    <row r="51" spans="1:13" ht="15" x14ac:dyDescent="0.25">
      <c r="A51" s="1" t="str">
        <f>IF('1.1 Produksi Bersih Padi 2025'!A51="","",'1.1 Produksi Bersih Padi 2025'!A51)</f>
        <v/>
      </c>
      <c r="B51" s="31" t="str">
        <f>IF('1.1 Produksi Bersih Padi 2025'!B51="","",'1.1 Produksi Bersih Padi 2025'!B51)</f>
        <v/>
      </c>
      <c r="C51" s="31" t="str">
        <f>IF('1.1 Produksi Bersih Padi 2025'!C51="","",'1.1 Produksi Bersih Padi 2025'!C51)</f>
        <v/>
      </c>
      <c r="D51" s="1" t="str">
        <f>IF('1.1 Produksi Bersih Padi 2025'!D51="","",'1.1 Produksi Bersih Padi 2025'!D51)</f>
        <v/>
      </c>
      <c r="E51" s="1" t="str">
        <f>IF('1.1 Produksi Bersih Padi 2025'!E51="","",'1.1 Produksi Bersih Padi 2025'!E51)</f>
        <v/>
      </c>
      <c r="F51" s="28" t="str">
        <f>IF(D51="","",VLOOKUP(D51,'[1]0.1 Produksi Pangan &amp; Penduduk'!$D$5:$Y$860,22,0))</f>
        <v/>
      </c>
      <c r="G51" s="30" t="str">
        <f t="shared" si="0"/>
        <v/>
      </c>
      <c r="H51" s="30" t="str">
        <f t="shared" si="1"/>
        <v/>
      </c>
      <c r="I51" s="30" t="str">
        <f t="shared" si="2"/>
        <v/>
      </c>
      <c r="J51" s="30" t="str">
        <f t="shared" si="3"/>
        <v/>
      </c>
      <c r="K51" s="30" t="str">
        <f t="shared" si="4"/>
        <v/>
      </c>
      <c r="M51" s="11"/>
    </row>
    <row r="52" spans="1:13" ht="15" x14ac:dyDescent="0.25">
      <c r="A52" s="1" t="str">
        <f>IF('1.1 Produksi Bersih Padi 2025'!A52="","",'1.1 Produksi Bersih Padi 2025'!A52)</f>
        <v/>
      </c>
      <c r="B52" s="31" t="str">
        <f>IF('1.1 Produksi Bersih Padi 2025'!B52="","",'1.1 Produksi Bersih Padi 2025'!B52)</f>
        <v/>
      </c>
      <c r="C52" s="31" t="str">
        <f>IF('1.1 Produksi Bersih Padi 2025'!C52="","",'1.1 Produksi Bersih Padi 2025'!C52)</f>
        <v/>
      </c>
      <c r="D52" s="1" t="str">
        <f>IF('1.1 Produksi Bersih Padi 2025'!D52="","",'1.1 Produksi Bersih Padi 2025'!D52)</f>
        <v/>
      </c>
      <c r="E52" s="1" t="str">
        <f>IF('1.1 Produksi Bersih Padi 2025'!E52="","",'1.1 Produksi Bersih Padi 2025'!E52)</f>
        <v/>
      </c>
      <c r="F52" s="28" t="str">
        <f>IF(D52="","",VLOOKUP(D52,'[1]0.1 Produksi Pangan &amp; Penduduk'!$D$5:$Y$860,22,0))</f>
        <v/>
      </c>
      <c r="G52" s="30" t="str">
        <f t="shared" si="0"/>
        <v/>
      </c>
      <c r="H52" s="30" t="str">
        <f t="shared" si="1"/>
        <v/>
      </c>
      <c r="I52" s="30" t="str">
        <f t="shared" si="2"/>
        <v/>
      </c>
      <c r="J52" s="30" t="str">
        <f t="shared" si="3"/>
        <v/>
      </c>
      <c r="K52" s="30" t="str">
        <f t="shared" si="4"/>
        <v/>
      </c>
      <c r="M52" s="11"/>
    </row>
    <row r="53" spans="1:13" ht="15" x14ac:dyDescent="0.25">
      <c r="A53" s="1" t="str">
        <f>IF('1.1 Produksi Bersih Padi 2025'!A53="","",'1.1 Produksi Bersih Padi 2025'!A53)</f>
        <v/>
      </c>
      <c r="B53" s="31" t="str">
        <f>IF('1.1 Produksi Bersih Padi 2025'!B53="","",'1.1 Produksi Bersih Padi 2025'!B53)</f>
        <v/>
      </c>
      <c r="C53" s="31" t="str">
        <f>IF('1.1 Produksi Bersih Padi 2025'!C53="","",'1.1 Produksi Bersih Padi 2025'!C53)</f>
        <v/>
      </c>
      <c r="D53" s="1" t="str">
        <f>IF('1.1 Produksi Bersih Padi 2025'!D53="","",'1.1 Produksi Bersih Padi 2025'!D53)</f>
        <v/>
      </c>
      <c r="E53" s="1" t="str">
        <f>IF('1.1 Produksi Bersih Padi 2025'!E53="","",'1.1 Produksi Bersih Padi 2025'!E53)</f>
        <v/>
      </c>
      <c r="F53" s="28" t="str">
        <f>IF(D53="","",VLOOKUP(D53,'[1]0.1 Produksi Pangan &amp; Penduduk'!$D$5:$Y$860,22,0))</f>
        <v/>
      </c>
      <c r="G53" s="30" t="str">
        <f t="shared" si="0"/>
        <v/>
      </c>
      <c r="H53" s="30" t="str">
        <f t="shared" si="1"/>
        <v/>
      </c>
      <c r="I53" s="30" t="str">
        <f t="shared" si="2"/>
        <v/>
      </c>
      <c r="J53" s="30" t="str">
        <f t="shared" si="3"/>
        <v/>
      </c>
      <c r="K53" s="30" t="str">
        <f t="shared" si="4"/>
        <v/>
      </c>
      <c r="M53" s="11"/>
    </row>
    <row r="54" spans="1:13" ht="15" x14ac:dyDescent="0.25">
      <c r="A54" s="1" t="str">
        <f>IF('1.1 Produksi Bersih Padi 2025'!A54="","",'1.1 Produksi Bersih Padi 2025'!A54)</f>
        <v/>
      </c>
      <c r="B54" s="31" t="str">
        <f>IF('1.1 Produksi Bersih Padi 2025'!B54="","",'1.1 Produksi Bersih Padi 2025'!B54)</f>
        <v/>
      </c>
      <c r="C54" s="31" t="str">
        <f>IF('1.1 Produksi Bersih Padi 2025'!C54="","",'1.1 Produksi Bersih Padi 2025'!C54)</f>
        <v/>
      </c>
      <c r="D54" s="1" t="str">
        <f>IF('1.1 Produksi Bersih Padi 2025'!D54="","",'1.1 Produksi Bersih Padi 2025'!D54)</f>
        <v/>
      </c>
      <c r="E54" s="1" t="str">
        <f>IF('1.1 Produksi Bersih Padi 2025'!E54="","",'1.1 Produksi Bersih Padi 2025'!E54)</f>
        <v/>
      </c>
      <c r="F54" s="28" t="str">
        <f>IF(D54="","",VLOOKUP(D54,'[1]0.1 Produksi Pangan &amp; Penduduk'!$D$5:$Y$860,22,0))</f>
        <v/>
      </c>
      <c r="G54" s="30" t="str">
        <f t="shared" si="0"/>
        <v/>
      </c>
      <c r="H54" s="30" t="str">
        <f t="shared" si="1"/>
        <v/>
      </c>
      <c r="I54" s="30" t="str">
        <f t="shared" si="2"/>
        <v/>
      </c>
      <c r="J54" s="30" t="str">
        <f t="shared" si="3"/>
        <v/>
      </c>
      <c r="K54" s="30" t="str">
        <f t="shared" si="4"/>
        <v/>
      </c>
      <c r="M54" s="11"/>
    </row>
    <row r="55" spans="1:13" ht="15" x14ac:dyDescent="0.25">
      <c r="A55" s="1" t="str">
        <f>IF('1.1 Produksi Bersih Padi 2025'!A55="","",'1.1 Produksi Bersih Padi 2025'!A55)</f>
        <v/>
      </c>
      <c r="B55" s="31" t="str">
        <f>IF('1.1 Produksi Bersih Padi 2025'!B55="","",'1.1 Produksi Bersih Padi 2025'!B55)</f>
        <v/>
      </c>
      <c r="C55" s="31" t="str">
        <f>IF('1.1 Produksi Bersih Padi 2025'!C55="","",'1.1 Produksi Bersih Padi 2025'!C55)</f>
        <v/>
      </c>
      <c r="D55" s="1" t="str">
        <f>IF('1.1 Produksi Bersih Padi 2025'!D55="","",'1.1 Produksi Bersih Padi 2025'!D55)</f>
        <v/>
      </c>
      <c r="E55" s="1" t="str">
        <f>IF('1.1 Produksi Bersih Padi 2025'!E55="","",'1.1 Produksi Bersih Padi 2025'!E55)</f>
        <v/>
      </c>
      <c r="F55" s="28" t="str">
        <f>IF(D55="","",VLOOKUP(D55,'[1]0.1 Produksi Pangan &amp; Penduduk'!$D$5:$Y$860,22,0))</f>
        <v/>
      </c>
      <c r="G55" s="30" t="str">
        <f t="shared" si="0"/>
        <v/>
      </c>
      <c r="H55" s="30" t="str">
        <f t="shared" si="1"/>
        <v/>
      </c>
      <c r="I55" s="30" t="str">
        <f t="shared" si="2"/>
        <v/>
      </c>
      <c r="J55" s="30" t="str">
        <f t="shared" si="3"/>
        <v/>
      </c>
      <c r="K55" s="30" t="str">
        <f t="shared" si="4"/>
        <v/>
      </c>
      <c r="M55" s="11"/>
    </row>
    <row r="56" spans="1:13" ht="15" x14ac:dyDescent="0.25">
      <c r="A56" s="1" t="str">
        <f>IF('1.1 Produksi Bersih Padi 2025'!A56="","",'1.1 Produksi Bersih Padi 2025'!A56)</f>
        <v/>
      </c>
      <c r="B56" s="31" t="str">
        <f>IF('1.1 Produksi Bersih Padi 2025'!B56="","",'1.1 Produksi Bersih Padi 2025'!B56)</f>
        <v/>
      </c>
      <c r="C56" s="31" t="str">
        <f>IF('1.1 Produksi Bersih Padi 2025'!C56="","",'1.1 Produksi Bersih Padi 2025'!C56)</f>
        <v/>
      </c>
      <c r="D56" s="1" t="str">
        <f>IF('1.1 Produksi Bersih Padi 2025'!D56="","",'1.1 Produksi Bersih Padi 2025'!D56)</f>
        <v/>
      </c>
      <c r="E56" s="1" t="str">
        <f>IF('1.1 Produksi Bersih Padi 2025'!E56="","",'1.1 Produksi Bersih Padi 2025'!E56)</f>
        <v/>
      </c>
      <c r="F56" s="28" t="str">
        <f>IF(D56="","",VLOOKUP(D56,'[1]0.1 Produksi Pangan &amp; Penduduk'!$D$5:$Y$860,22,0))</f>
        <v/>
      </c>
      <c r="G56" s="30" t="str">
        <f t="shared" si="0"/>
        <v/>
      </c>
      <c r="H56" s="30" t="str">
        <f t="shared" si="1"/>
        <v/>
      </c>
      <c r="I56" s="30" t="str">
        <f t="shared" si="2"/>
        <v/>
      </c>
      <c r="J56" s="30" t="str">
        <f t="shared" si="3"/>
        <v/>
      </c>
      <c r="K56" s="30" t="str">
        <f t="shared" si="4"/>
        <v/>
      </c>
      <c r="M56" s="11"/>
    </row>
    <row r="57" spans="1:13" ht="15" x14ac:dyDescent="0.25">
      <c r="A57" s="1" t="str">
        <f>IF('1.1 Produksi Bersih Padi 2025'!A57="","",'1.1 Produksi Bersih Padi 2025'!A57)</f>
        <v/>
      </c>
      <c r="B57" s="31" t="str">
        <f>IF('1.1 Produksi Bersih Padi 2025'!B57="","",'1.1 Produksi Bersih Padi 2025'!B57)</f>
        <v/>
      </c>
      <c r="C57" s="31" t="str">
        <f>IF('1.1 Produksi Bersih Padi 2025'!C57="","",'1.1 Produksi Bersih Padi 2025'!C57)</f>
        <v/>
      </c>
      <c r="D57" s="1" t="str">
        <f>IF('1.1 Produksi Bersih Padi 2025'!D57="","",'1.1 Produksi Bersih Padi 2025'!D57)</f>
        <v/>
      </c>
      <c r="E57" s="1" t="str">
        <f>IF('1.1 Produksi Bersih Padi 2025'!E57="","",'1.1 Produksi Bersih Padi 2025'!E57)</f>
        <v/>
      </c>
      <c r="F57" s="28" t="str">
        <f>IF(D57="","",VLOOKUP(D57,'[1]0.1 Produksi Pangan &amp; Penduduk'!$D$5:$Y$860,22,0))</f>
        <v/>
      </c>
      <c r="G57" s="30" t="str">
        <f t="shared" si="0"/>
        <v/>
      </c>
      <c r="H57" s="30" t="str">
        <f t="shared" si="1"/>
        <v/>
      </c>
      <c r="I57" s="30" t="str">
        <f t="shared" si="2"/>
        <v/>
      </c>
      <c r="J57" s="30" t="str">
        <f t="shared" si="3"/>
        <v/>
      </c>
      <c r="K57" s="30" t="str">
        <f t="shared" si="4"/>
        <v/>
      </c>
      <c r="M57" s="11"/>
    </row>
    <row r="58" spans="1:13" ht="15" x14ac:dyDescent="0.25">
      <c r="A58" s="1" t="str">
        <f>IF('1.1 Produksi Bersih Padi 2025'!A58="","",'1.1 Produksi Bersih Padi 2025'!A58)</f>
        <v/>
      </c>
      <c r="B58" s="31" t="str">
        <f>IF('1.1 Produksi Bersih Padi 2025'!B58="","",'1.1 Produksi Bersih Padi 2025'!B58)</f>
        <v/>
      </c>
      <c r="C58" s="31" t="str">
        <f>IF('1.1 Produksi Bersih Padi 2025'!C58="","",'1.1 Produksi Bersih Padi 2025'!C58)</f>
        <v/>
      </c>
      <c r="D58" s="1" t="str">
        <f>IF('1.1 Produksi Bersih Padi 2025'!D58="","",'1.1 Produksi Bersih Padi 2025'!D58)</f>
        <v/>
      </c>
      <c r="E58" s="1" t="str">
        <f>IF('1.1 Produksi Bersih Padi 2025'!E58="","",'1.1 Produksi Bersih Padi 2025'!E58)</f>
        <v/>
      </c>
      <c r="F58" s="28" t="str">
        <f>IF(D58="","",VLOOKUP(D58,'[1]0.1 Produksi Pangan &amp; Penduduk'!$D$5:$Y$860,22,0))</f>
        <v/>
      </c>
      <c r="G58" s="30" t="str">
        <f t="shared" si="0"/>
        <v/>
      </c>
      <c r="H58" s="30" t="str">
        <f t="shared" si="1"/>
        <v/>
      </c>
      <c r="I58" s="30" t="str">
        <f t="shared" si="2"/>
        <v/>
      </c>
      <c r="J58" s="30" t="str">
        <f t="shared" si="3"/>
        <v/>
      </c>
      <c r="K58" s="30" t="str">
        <f t="shared" si="4"/>
        <v/>
      </c>
      <c r="M58" s="11"/>
    </row>
    <row r="59" spans="1:13" ht="15" x14ac:dyDescent="0.25">
      <c r="A59" s="1" t="str">
        <f>IF('1.1 Produksi Bersih Padi 2025'!A59="","",'1.1 Produksi Bersih Padi 2025'!A59)</f>
        <v/>
      </c>
      <c r="B59" s="31" t="str">
        <f>IF('1.1 Produksi Bersih Padi 2025'!B59="","",'1.1 Produksi Bersih Padi 2025'!B59)</f>
        <v/>
      </c>
      <c r="C59" s="31" t="str">
        <f>IF('1.1 Produksi Bersih Padi 2025'!C59="","",'1.1 Produksi Bersih Padi 2025'!C59)</f>
        <v/>
      </c>
      <c r="D59" s="1" t="str">
        <f>IF('1.1 Produksi Bersih Padi 2025'!D59="","",'1.1 Produksi Bersih Padi 2025'!D59)</f>
        <v/>
      </c>
      <c r="E59" s="1" t="str">
        <f>IF('1.1 Produksi Bersih Padi 2025'!E59="","",'1.1 Produksi Bersih Padi 2025'!E59)</f>
        <v/>
      </c>
      <c r="F59" s="28" t="str">
        <f>IF(D59="","",VLOOKUP(D59,'[1]0.1 Produksi Pangan &amp; Penduduk'!$D$5:$Y$860,22,0))</f>
        <v/>
      </c>
      <c r="G59" s="30" t="str">
        <f t="shared" si="0"/>
        <v/>
      </c>
      <c r="H59" s="30" t="str">
        <f t="shared" si="1"/>
        <v/>
      </c>
      <c r="I59" s="30" t="str">
        <f t="shared" si="2"/>
        <v/>
      </c>
      <c r="J59" s="30" t="str">
        <f t="shared" si="3"/>
        <v/>
      </c>
      <c r="K59" s="30" t="str">
        <f t="shared" si="4"/>
        <v/>
      </c>
      <c r="M59" s="11"/>
    </row>
    <row r="60" spans="1:13" ht="15" x14ac:dyDescent="0.25">
      <c r="A60" s="1" t="str">
        <f>IF('1.1 Produksi Bersih Padi 2025'!A60="","",'1.1 Produksi Bersih Padi 2025'!A60)</f>
        <v/>
      </c>
      <c r="B60" s="31" t="str">
        <f>IF('1.1 Produksi Bersih Padi 2025'!B60="","",'1.1 Produksi Bersih Padi 2025'!B60)</f>
        <v/>
      </c>
      <c r="C60" s="31" t="str">
        <f>IF('1.1 Produksi Bersih Padi 2025'!C60="","",'1.1 Produksi Bersih Padi 2025'!C60)</f>
        <v/>
      </c>
      <c r="D60" s="1" t="str">
        <f>IF('1.1 Produksi Bersih Padi 2025'!D60="","",'1.1 Produksi Bersih Padi 2025'!D60)</f>
        <v/>
      </c>
      <c r="E60" s="1" t="str">
        <f>IF('1.1 Produksi Bersih Padi 2025'!E60="","",'1.1 Produksi Bersih Padi 2025'!E60)</f>
        <v/>
      </c>
      <c r="F60" s="28" t="str">
        <f>IF(D60="","",VLOOKUP(D60,'[1]0.1 Produksi Pangan &amp; Penduduk'!$D$5:$Y$860,22,0))</f>
        <v/>
      </c>
      <c r="G60" s="30" t="str">
        <f t="shared" si="0"/>
        <v/>
      </c>
      <c r="H60" s="30" t="str">
        <f t="shared" si="1"/>
        <v/>
      </c>
      <c r="I60" s="30" t="str">
        <f t="shared" si="2"/>
        <v/>
      </c>
      <c r="J60" s="30" t="str">
        <f t="shared" si="3"/>
        <v/>
      </c>
      <c r="K60" s="30" t="str">
        <f t="shared" si="4"/>
        <v/>
      </c>
      <c r="M60" s="11"/>
    </row>
    <row r="61" spans="1:13" ht="15" x14ac:dyDescent="0.25">
      <c r="A61" s="1" t="str">
        <f>IF('1.1 Produksi Bersih Padi 2025'!A61="","",'1.1 Produksi Bersih Padi 2025'!A61)</f>
        <v/>
      </c>
      <c r="B61" s="31" t="str">
        <f>IF('1.1 Produksi Bersih Padi 2025'!B61="","",'1.1 Produksi Bersih Padi 2025'!B61)</f>
        <v/>
      </c>
      <c r="C61" s="31" t="str">
        <f>IF('1.1 Produksi Bersih Padi 2025'!C61="","",'1.1 Produksi Bersih Padi 2025'!C61)</f>
        <v/>
      </c>
      <c r="D61" s="1" t="str">
        <f>IF('1.1 Produksi Bersih Padi 2025'!D61="","",'1.1 Produksi Bersih Padi 2025'!D61)</f>
        <v/>
      </c>
      <c r="E61" s="1" t="str">
        <f>IF('1.1 Produksi Bersih Padi 2025'!E61="","",'1.1 Produksi Bersih Padi 2025'!E61)</f>
        <v/>
      </c>
      <c r="F61" s="28" t="str">
        <f>IF(D61="","",VLOOKUP(D61,'[1]0.1 Produksi Pangan &amp; Penduduk'!$D$5:$Y$860,22,0))</f>
        <v/>
      </c>
      <c r="G61" s="30" t="str">
        <f t="shared" si="0"/>
        <v/>
      </c>
      <c r="H61" s="30" t="str">
        <f t="shared" si="1"/>
        <v/>
      </c>
      <c r="I61" s="30" t="str">
        <f t="shared" si="2"/>
        <v/>
      </c>
      <c r="J61" s="30" t="str">
        <f t="shared" si="3"/>
        <v/>
      </c>
      <c r="K61" s="30" t="str">
        <f t="shared" si="4"/>
        <v/>
      </c>
      <c r="M61" s="11"/>
    </row>
    <row r="62" spans="1:13" ht="15" x14ac:dyDescent="0.25">
      <c r="A62" s="1" t="str">
        <f>IF('1.1 Produksi Bersih Padi 2025'!A62="","",'1.1 Produksi Bersih Padi 2025'!A62)</f>
        <v/>
      </c>
      <c r="B62" s="31" t="str">
        <f>IF('1.1 Produksi Bersih Padi 2025'!B62="","",'1.1 Produksi Bersih Padi 2025'!B62)</f>
        <v/>
      </c>
      <c r="C62" s="31" t="str">
        <f>IF('1.1 Produksi Bersih Padi 2025'!C62="","",'1.1 Produksi Bersih Padi 2025'!C62)</f>
        <v/>
      </c>
      <c r="D62" s="1" t="str">
        <f>IF('1.1 Produksi Bersih Padi 2025'!D62="","",'1.1 Produksi Bersih Padi 2025'!D62)</f>
        <v/>
      </c>
      <c r="E62" s="1" t="str">
        <f>IF('1.1 Produksi Bersih Padi 2025'!E62="","",'1.1 Produksi Bersih Padi 2025'!E62)</f>
        <v/>
      </c>
      <c r="F62" s="28" t="str">
        <f>IF(D62="","",VLOOKUP(D62,'[1]0.1 Produksi Pangan &amp; Penduduk'!$D$5:$Y$860,22,0))</f>
        <v/>
      </c>
      <c r="G62" s="30" t="str">
        <f t="shared" si="0"/>
        <v/>
      </c>
      <c r="H62" s="30" t="str">
        <f t="shared" si="1"/>
        <v/>
      </c>
      <c r="I62" s="30" t="str">
        <f t="shared" si="2"/>
        <v/>
      </c>
      <c r="J62" s="30" t="str">
        <f t="shared" si="3"/>
        <v/>
      </c>
      <c r="K62" s="30" t="str">
        <f t="shared" si="4"/>
        <v/>
      </c>
      <c r="M62" s="11"/>
    </row>
    <row r="63" spans="1:13" ht="15" x14ac:dyDescent="0.25">
      <c r="A63" s="1" t="str">
        <f>IF('1.1 Produksi Bersih Padi 2025'!A63="","",'1.1 Produksi Bersih Padi 2025'!A63)</f>
        <v/>
      </c>
      <c r="B63" s="31" t="str">
        <f>IF('1.1 Produksi Bersih Padi 2025'!B63="","",'1.1 Produksi Bersih Padi 2025'!B63)</f>
        <v/>
      </c>
      <c r="C63" s="31" t="str">
        <f>IF('1.1 Produksi Bersih Padi 2025'!C63="","",'1.1 Produksi Bersih Padi 2025'!C63)</f>
        <v/>
      </c>
      <c r="D63" s="1" t="str">
        <f>IF('1.1 Produksi Bersih Padi 2025'!D63="","",'1.1 Produksi Bersih Padi 2025'!D63)</f>
        <v/>
      </c>
      <c r="E63" s="1" t="str">
        <f>IF('1.1 Produksi Bersih Padi 2025'!E63="","",'1.1 Produksi Bersih Padi 2025'!E63)</f>
        <v/>
      </c>
      <c r="F63" s="28" t="str">
        <f>IF(D63="","",VLOOKUP(D63,'[1]0.1 Produksi Pangan &amp; Penduduk'!$D$5:$Y$860,22,0))</f>
        <v/>
      </c>
      <c r="G63" s="30" t="str">
        <f t="shared" si="0"/>
        <v/>
      </c>
      <c r="H63" s="30" t="str">
        <f t="shared" si="1"/>
        <v/>
      </c>
      <c r="I63" s="30" t="str">
        <f t="shared" si="2"/>
        <v/>
      </c>
      <c r="J63" s="30" t="str">
        <f t="shared" si="3"/>
        <v/>
      </c>
      <c r="K63" s="30" t="str">
        <f t="shared" si="4"/>
        <v/>
      </c>
      <c r="M63" s="11"/>
    </row>
    <row r="64" spans="1:13" ht="15" x14ac:dyDescent="0.25">
      <c r="A64" s="1" t="str">
        <f>IF('1.1 Produksi Bersih Padi 2025'!A64="","",'1.1 Produksi Bersih Padi 2025'!A64)</f>
        <v/>
      </c>
      <c r="B64" s="31" t="str">
        <f>IF('1.1 Produksi Bersih Padi 2025'!B64="","",'1.1 Produksi Bersih Padi 2025'!B64)</f>
        <v/>
      </c>
      <c r="C64" s="31" t="str">
        <f>IF('1.1 Produksi Bersih Padi 2025'!C64="","",'1.1 Produksi Bersih Padi 2025'!C64)</f>
        <v/>
      </c>
      <c r="D64" s="1" t="str">
        <f>IF('1.1 Produksi Bersih Padi 2025'!D64="","",'1.1 Produksi Bersih Padi 2025'!D64)</f>
        <v/>
      </c>
      <c r="E64" s="1" t="str">
        <f>IF('1.1 Produksi Bersih Padi 2025'!E64="","",'1.1 Produksi Bersih Padi 2025'!E64)</f>
        <v/>
      </c>
      <c r="F64" s="28" t="str">
        <f>IF(D64="","",VLOOKUP(D64,'[1]0.1 Produksi Pangan &amp; Penduduk'!$D$5:$Y$860,22,0))</f>
        <v/>
      </c>
      <c r="G64" s="30" t="str">
        <f t="shared" si="0"/>
        <v/>
      </c>
      <c r="H64" s="30" t="str">
        <f t="shared" si="1"/>
        <v/>
      </c>
      <c r="I64" s="30" t="str">
        <f t="shared" si="2"/>
        <v/>
      </c>
      <c r="J64" s="30" t="str">
        <f t="shared" si="3"/>
        <v/>
      </c>
      <c r="K64" s="30" t="str">
        <f t="shared" si="4"/>
        <v/>
      </c>
      <c r="M64" s="11"/>
    </row>
    <row r="65" spans="1:13" ht="15" x14ac:dyDescent="0.25">
      <c r="A65" s="1" t="str">
        <f>IF('1.1 Produksi Bersih Padi 2025'!A65="","",'1.1 Produksi Bersih Padi 2025'!A65)</f>
        <v/>
      </c>
      <c r="B65" s="31" t="str">
        <f>IF('1.1 Produksi Bersih Padi 2025'!B65="","",'1.1 Produksi Bersih Padi 2025'!B65)</f>
        <v/>
      </c>
      <c r="C65" s="31" t="str">
        <f>IF('1.1 Produksi Bersih Padi 2025'!C65="","",'1.1 Produksi Bersih Padi 2025'!C65)</f>
        <v/>
      </c>
      <c r="D65" s="1" t="str">
        <f>IF('1.1 Produksi Bersih Padi 2025'!D65="","",'1.1 Produksi Bersih Padi 2025'!D65)</f>
        <v/>
      </c>
      <c r="E65" s="1" t="str">
        <f>IF('1.1 Produksi Bersih Padi 2025'!E65="","",'1.1 Produksi Bersih Padi 2025'!E65)</f>
        <v/>
      </c>
      <c r="F65" s="28" t="str">
        <f>IF(D65="","",VLOOKUP(D65,'[1]0.1 Produksi Pangan &amp; Penduduk'!$D$5:$Y$860,22,0))</f>
        <v/>
      </c>
      <c r="G65" s="30" t="str">
        <f t="shared" si="0"/>
        <v/>
      </c>
      <c r="H65" s="30" t="str">
        <f t="shared" si="1"/>
        <v/>
      </c>
      <c r="I65" s="30" t="str">
        <f t="shared" si="2"/>
        <v/>
      </c>
      <c r="J65" s="30" t="str">
        <f t="shared" si="3"/>
        <v/>
      </c>
      <c r="K65" s="30" t="str">
        <f t="shared" si="4"/>
        <v/>
      </c>
      <c r="M65" s="11"/>
    </row>
    <row r="66" spans="1:13" ht="15" x14ac:dyDescent="0.25">
      <c r="A66" s="1" t="str">
        <f>IF('1.1 Produksi Bersih Padi 2025'!A66="","",'1.1 Produksi Bersih Padi 2025'!A66)</f>
        <v/>
      </c>
      <c r="B66" s="31" t="str">
        <f>IF('1.1 Produksi Bersih Padi 2025'!B66="","",'1.1 Produksi Bersih Padi 2025'!B66)</f>
        <v/>
      </c>
      <c r="C66" s="31" t="str">
        <f>IF('1.1 Produksi Bersih Padi 2025'!C66="","",'1.1 Produksi Bersih Padi 2025'!C66)</f>
        <v/>
      </c>
      <c r="D66" s="1" t="str">
        <f>IF('1.1 Produksi Bersih Padi 2025'!D66="","",'1.1 Produksi Bersih Padi 2025'!D66)</f>
        <v/>
      </c>
      <c r="E66" s="1" t="str">
        <f>IF('1.1 Produksi Bersih Padi 2025'!E66="","",'1.1 Produksi Bersih Padi 2025'!E66)</f>
        <v/>
      </c>
      <c r="F66" s="28" t="str">
        <f>IF(D66="","",VLOOKUP(D66,'[1]0.1 Produksi Pangan &amp; Penduduk'!$D$5:$Y$860,22,0))</f>
        <v/>
      </c>
      <c r="G66" s="30" t="str">
        <f t="shared" si="0"/>
        <v/>
      </c>
      <c r="H66" s="30" t="str">
        <f t="shared" si="1"/>
        <v/>
      </c>
      <c r="I66" s="30" t="str">
        <f t="shared" si="2"/>
        <v/>
      </c>
      <c r="J66" s="30" t="str">
        <f t="shared" si="3"/>
        <v/>
      </c>
      <c r="K66" s="30" t="str">
        <f t="shared" si="4"/>
        <v/>
      </c>
      <c r="M66" s="11"/>
    </row>
    <row r="67" spans="1:13" ht="15" x14ac:dyDescent="0.25">
      <c r="A67" s="1" t="str">
        <f>IF('1.1 Produksi Bersih Padi 2025'!A67="","",'1.1 Produksi Bersih Padi 2025'!A67)</f>
        <v/>
      </c>
      <c r="B67" s="31" t="str">
        <f>IF('1.1 Produksi Bersih Padi 2025'!B67="","",'1.1 Produksi Bersih Padi 2025'!B67)</f>
        <v/>
      </c>
      <c r="C67" s="31" t="str">
        <f>IF('1.1 Produksi Bersih Padi 2025'!C67="","",'1.1 Produksi Bersih Padi 2025'!C67)</f>
        <v/>
      </c>
      <c r="D67" s="1" t="str">
        <f>IF('1.1 Produksi Bersih Padi 2025'!D67="","",'1.1 Produksi Bersih Padi 2025'!D67)</f>
        <v/>
      </c>
      <c r="E67" s="1" t="str">
        <f>IF('1.1 Produksi Bersih Padi 2025'!E67="","",'1.1 Produksi Bersih Padi 2025'!E67)</f>
        <v/>
      </c>
      <c r="F67" s="28" t="str">
        <f>IF(D67="","",VLOOKUP(D67,'[1]0.1 Produksi Pangan &amp; Penduduk'!$D$5:$Y$860,22,0))</f>
        <v/>
      </c>
      <c r="G67" s="30" t="str">
        <f t="shared" si="0"/>
        <v/>
      </c>
      <c r="H67" s="30" t="str">
        <f t="shared" si="1"/>
        <v/>
      </c>
      <c r="I67" s="30" t="str">
        <f t="shared" si="2"/>
        <v/>
      </c>
      <c r="J67" s="30" t="str">
        <f t="shared" si="3"/>
        <v/>
      </c>
      <c r="K67" s="30" t="str">
        <f t="shared" si="4"/>
        <v/>
      </c>
      <c r="M67" s="11"/>
    </row>
    <row r="68" spans="1:13" ht="15" x14ac:dyDescent="0.25">
      <c r="A68" s="1" t="str">
        <f>IF('1.1 Produksi Bersih Padi 2025'!A68="","",'1.1 Produksi Bersih Padi 2025'!A68)</f>
        <v/>
      </c>
      <c r="B68" s="31" t="str">
        <f>IF('1.1 Produksi Bersih Padi 2025'!B68="","",'1.1 Produksi Bersih Padi 2025'!B68)</f>
        <v/>
      </c>
      <c r="C68" s="31" t="str">
        <f>IF('1.1 Produksi Bersih Padi 2025'!C68="","",'1.1 Produksi Bersih Padi 2025'!C68)</f>
        <v/>
      </c>
      <c r="D68" s="1" t="str">
        <f>IF('1.1 Produksi Bersih Padi 2025'!D68="","",'1.1 Produksi Bersih Padi 2025'!D68)</f>
        <v/>
      </c>
      <c r="E68" s="1" t="str">
        <f>IF('1.1 Produksi Bersih Padi 2025'!E68="","",'1.1 Produksi Bersih Padi 2025'!E68)</f>
        <v/>
      </c>
      <c r="F68" s="28" t="str">
        <f>IF(D68="","",VLOOKUP(D68,'[1]0.1 Produksi Pangan &amp; Penduduk'!$D$5:$Y$860,22,0))</f>
        <v/>
      </c>
      <c r="G68" s="30" t="str">
        <f t="shared" si="0"/>
        <v/>
      </c>
      <c r="H68" s="30" t="str">
        <f t="shared" si="1"/>
        <v/>
      </c>
      <c r="I68" s="30" t="str">
        <f t="shared" si="2"/>
        <v/>
      </c>
      <c r="J68" s="30" t="str">
        <f t="shared" si="3"/>
        <v/>
      </c>
      <c r="K68" s="30" t="str">
        <f t="shared" si="4"/>
        <v/>
      </c>
      <c r="M68" s="11"/>
    </row>
    <row r="69" spans="1:13" ht="15" x14ac:dyDescent="0.25">
      <c r="A69" s="1" t="str">
        <f>IF('1.1 Produksi Bersih Padi 2025'!A69="","",'1.1 Produksi Bersih Padi 2025'!A69)</f>
        <v/>
      </c>
      <c r="B69" s="31" t="str">
        <f>IF('1.1 Produksi Bersih Padi 2025'!B69="","",'1.1 Produksi Bersih Padi 2025'!B69)</f>
        <v/>
      </c>
      <c r="C69" s="31" t="str">
        <f>IF('1.1 Produksi Bersih Padi 2025'!C69="","",'1.1 Produksi Bersih Padi 2025'!C69)</f>
        <v/>
      </c>
      <c r="D69" s="1" t="str">
        <f>IF('1.1 Produksi Bersih Padi 2025'!D69="","",'1.1 Produksi Bersih Padi 2025'!D69)</f>
        <v/>
      </c>
      <c r="E69" s="1" t="str">
        <f>IF('1.1 Produksi Bersih Padi 2025'!E69="","",'1.1 Produksi Bersih Padi 2025'!E69)</f>
        <v/>
      </c>
      <c r="F69" s="28" t="str">
        <f>IF(D69="","",VLOOKUP(D69,'[1]0.1 Produksi Pangan &amp; Penduduk'!$D$5:$Y$860,22,0))</f>
        <v/>
      </c>
      <c r="G69" s="30" t="str">
        <f t="shared" si="0"/>
        <v/>
      </c>
      <c r="H69" s="30" t="str">
        <f t="shared" si="1"/>
        <v/>
      </c>
      <c r="I69" s="30" t="str">
        <f t="shared" si="2"/>
        <v/>
      </c>
      <c r="J69" s="30" t="str">
        <f t="shared" si="3"/>
        <v/>
      </c>
      <c r="K69" s="30" t="str">
        <f t="shared" si="4"/>
        <v/>
      </c>
      <c r="M69" s="11"/>
    </row>
    <row r="70" spans="1:13" ht="15" x14ac:dyDescent="0.25">
      <c r="A70" s="1" t="str">
        <f>IF('1.1 Produksi Bersih Padi 2025'!A70="","",'1.1 Produksi Bersih Padi 2025'!A70)</f>
        <v/>
      </c>
      <c r="B70" s="31" t="str">
        <f>IF('1.1 Produksi Bersih Padi 2025'!B70="","",'1.1 Produksi Bersih Padi 2025'!B70)</f>
        <v/>
      </c>
      <c r="C70" s="31" t="str">
        <f>IF('1.1 Produksi Bersih Padi 2025'!C70="","",'1.1 Produksi Bersih Padi 2025'!C70)</f>
        <v/>
      </c>
      <c r="D70" s="1" t="str">
        <f>IF('1.1 Produksi Bersih Padi 2025'!D70="","",'1.1 Produksi Bersih Padi 2025'!D70)</f>
        <v/>
      </c>
      <c r="E70" s="1" t="str">
        <f>IF('1.1 Produksi Bersih Padi 2025'!E70="","",'1.1 Produksi Bersih Padi 2025'!E70)</f>
        <v/>
      </c>
      <c r="F70" s="28" t="str">
        <f>IF(D70="","",VLOOKUP(D70,'[1]0.1 Produksi Pangan &amp; Penduduk'!$D$5:$Y$860,22,0))</f>
        <v/>
      </c>
      <c r="G70" s="30" t="str">
        <f t="shared" ref="G70:G133" si="5">IF(F70="","",F70*0%)</f>
        <v/>
      </c>
      <c r="H70" s="30" t="str">
        <f t="shared" ref="H70:H133" si="6">IF(F70="","",F70*0.43%)</f>
        <v/>
      </c>
      <c r="I70" s="30" t="str">
        <f t="shared" ref="I70:I133" si="7">IF(F70="","",F70*4.23%)</f>
        <v/>
      </c>
      <c r="J70" s="30" t="str">
        <f t="shared" ref="J70:J133" si="8">IF(F70="","",F70-(G70+H70+I70))</f>
        <v/>
      </c>
      <c r="K70" s="30" t="str">
        <f t="shared" ref="K70:K133" si="9">IF(J70="","",J70*0.363)</f>
        <v/>
      </c>
      <c r="M70" s="11"/>
    </row>
    <row r="71" spans="1:13" ht="15" x14ac:dyDescent="0.25">
      <c r="A71" s="1" t="str">
        <f>IF('1.1 Produksi Bersih Padi 2025'!A71="","",'1.1 Produksi Bersih Padi 2025'!A71)</f>
        <v/>
      </c>
      <c r="B71" s="31" t="str">
        <f>IF('1.1 Produksi Bersih Padi 2025'!B71="","",'1.1 Produksi Bersih Padi 2025'!B71)</f>
        <v/>
      </c>
      <c r="C71" s="31" t="str">
        <f>IF('1.1 Produksi Bersih Padi 2025'!C71="","",'1.1 Produksi Bersih Padi 2025'!C71)</f>
        <v/>
      </c>
      <c r="D71" s="1" t="str">
        <f>IF('1.1 Produksi Bersih Padi 2025'!D71="","",'1.1 Produksi Bersih Padi 2025'!D71)</f>
        <v/>
      </c>
      <c r="E71" s="1" t="str">
        <f>IF('1.1 Produksi Bersih Padi 2025'!E71="","",'1.1 Produksi Bersih Padi 2025'!E71)</f>
        <v/>
      </c>
      <c r="F71" s="28" t="str">
        <f>IF(D71="","",VLOOKUP(D71,'[1]0.1 Produksi Pangan &amp; Penduduk'!$D$5:$Y$860,22,0))</f>
        <v/>
      </c>
      <c r="G71" s="30" t="str">
        <f t="shared" si="5"/>
        <v/>
      </c>
      <c r="H71" s="30" t="str">
        <f t="shared" si="6"/>
        <v/>
      </c>
      <c r="I71" s="30" t="str">
        <f t="shared" si="7"/>
        <v/>
      </c>
      <c r="J71" s="30" t="str">
        <f t="shared" si="8"/>
        <v/>
      </c>
      <c r="K71" s="30" t="str">
        <f t="shared" si="9"/>
        <v/>
      </c>
      <c r="M71" s="11"/>
    </row>
    <row r="72" spans="1:13" ht="15" x14ac:dyDescent="0.25">
      <c r="A72" s="1" t="str">
        <f>IF('1.1 Produksi Bersih Padi 2025'!A72="","",'1.1 Produksi Bersih Padi 2025'!A72)</f>
        <v/>
      </c>
      <c r="B72" s="31" t="str">
        <f>IF('1.1 Produksi Bersih Padi 2025'!B72="","",'1.1 Produksi Bersih Padi 2025'!B72)</f>
        <v/>
      </c>
      <c r="C72" s="31" t="str">
        <f>IF('1.1 Produksi Bersih Padi 2025'!C72="","",'1.1 Produksi Bersih Padi 2025'!C72)</f>
        <v/>
      </c>
      <c r="D72" s="1" t="str">
        <f>IF('1.1 Produksi Bersih Padi 2025'!D72="","",'1.1 Produksi Bersih Padi 2025'!D72)</f>
        <v/>
      </c>
      <c r="E72" s="1" t="str">
        <f>IF('1.1 Produksi Bersih Padi 2025'!E72="","",'1.1 Produksi Bersih Padi 2025'!E72)</f>
        <v/>
      </c>
      <c r="F72" s="28" t="str">
        <f>IF(D72="","",VLOOKUP(D72,'[1]0.1 Produksi Pangan &amp; Penduduk'!$D$5:$Y$860,22,0))</f>
        <v/>
      </c>
      <c r="G72" s="30" t="str">
        <f t="shared" si="5"/>
        <v/>
      </c>
      <c r="H72" s="30" t="str">
        <f t="shared" si="6"/>
        <v/>
      </c>
      <c r="I72" s="30" t="str">
        <f t="shared" si="7"/>
        <v/>
      </c>
      <c r="J72" s="30" t="str">
        <f t="shared" si="8"/>
        <v/>
      </c>
      <c r="K72" s="30" t="str">
        <f t="shared" si="9"/>
        <v/>
      </c>
      <c r="M72" s="11"/>
    </row>
    <row r="73" spans="1:13" ht="15" x14ac:dyDescent="0.25">
      <c r="A73" s="1" t="str">
        <f>IF('1.1 Produksi Bersih Padi 2025'!A73="","",'1.1 Produksi Bersih Padi 2025'!A73)</f>
        <v/>
      </c>
      <c r="B73" s="31" t="str">
        <f>IF('1.1 Produksi Bersih Padi 2025'!B73="","",'1.1 Produksi Bersih Padi 2025'!B73)</f>
        <v/>
      </c>
      <c r="C73" s="31" t="str">
        <f>IF('1.1 Produksi Bersih Padi 2025'!C73="","",'1.1 Produksi Bersih Padi 2025'!C73)</f>
        <v/>
      </c>
      <c r="D73" s="1" t="str">
        <f>IF('1.1 Produksi Bersih Padi 2025'!D73="","",'1.1 Produksi Bersih Padi 2025'!D73)</f>
        <v/>
      </c>
      <c r="E73" s="1" t="str">
        <f>IF('1.1 Produksi Bersih Padi 2025'!E73="","",'1.1 Produksi Bersih Padi 2025'!E73)</f>
        <v/>
      </c>
      <c r="F73" s="28" t="str">
        <f>IF(D73="","",VLOOKUP(D73,'[1]0.1 Produksi Pangan &amp; Penduduk'!$D$5:$Y$860,22,0))</f>
        <v/>
      </c>
      <c r="G73" s="30" t="str">
        <f t="shared" si="5"/>
        <v/>
      </c>
      <c r="H73" s="30" t="str">
        <f t="shared" si="6"/>
        <v/>
      </c>
      <c r="I73" s="30" t="str">
        <f t="shared" si="7"/>
        <v/>
      </c>
      <c r="J73" s="30" t="str">
        <f t="shared" si="8"/>
        <v/>
      </c>
      <c r="K73" s="30" t="str">
        <f t="shared" si="9"/>
        <v/>
      </c>
      <c r="M73" s="11"/>
    </row>
    <row r="74" spans="1:13" ht="15" x14ac:dyDescent="0.25">
      <c r="A74" s="1" t="str">
        <f>IF('1.1 Produksi Bersih Padi 2025'!A74="","",'1.1 Produksi Bersih Padi 2025'!A74)</f>
        <v/>
      </c>
      <c r="B74" s="31" t="str">
        <f>IF('1.1 Produksi Bersih Padi 2025'!B74="","",'1.1 Produksi Bersih Padi 2025'!B74)</f>
        <v/>
      </c>
      <c r="C74" s="31" t="str">
        <f>IF('1.1 Produksi Bersih Padi 2025'!C74="","",'1.1 Produksi Bersih Padi 2025'!C74)</f>
        <v/>
      </c>
      <c r="D74" s="1" t="str">
        <f>IF('1.1 Produksi Bersih Padi 2025'!D74="","",'1.1 Produksi Bersih Padi 2025'!D74)</f>
        <v/>
      </c>
      <c r="E74" s="1" t="str">
        <f>IF('1.1 Produksi Bersih Padi 2025'!E74="","",'1.1 Produksi Bersih Padi 2025'!E74)</f>
        <v/>
      </c>
      <c r="F74" s="28" t="str">
        <f>IF(D74="","",VLOOKUP(D74,'[1]0.1 Produksi Pangan &amp; Penduduk'!$D$5:$Y$860,22,0))</f>
        <v/>
      </c>
      <c r="G74" s="30" t="str">
        <f t="shared" si="5"/>
        <v/>
      </c>
      <c r="H74" s="30" t="str">
        <f t="shared" si="6"/>
        <v/>
      </c>
      <c r="I74" s="30" t="str">
        <f t="shared" si="7"/>
        <v/>
      </c>
      <c r="J74" s="30" t="str">
        <f t="shared" si="8"/>
        <v/>
      </c>
      <c r="K74" s="30" t="str">
        <f t="shared" si="9"/>
        <v/>
      </c>
      <c r="M74" s="11"/>
    </row>
    <row r="75" spans="1:13" ht="15" x14ac:dyDescent="0.25">
      <c r="A75" s="1" t="str">
        <f>IF('1.1 Produksi Bersih Padi 2025'!A75="","",'1.1 Produksi Bersih Padi 2025'!A75)</f>
        <v/>
      </c>
      <c r="B75" s="31" t="str">
        <f>IF('1.1 Produksi Bersih Padi 2025'!B75="","",'1.1 Produksi Bersih Padi 2025'!B75)</f>
        <v/>
      </c>
      <c r="C75" s="31" t="str">
        <f>IF('1.1 Produksi Bersih Padi 2025'!C75="","",'1.1 Produksi Bersih Padi 2025'!C75)</f>
        <v/>
      </c>
      <c r="D75" s="1" t="str">
        <f>IF('1.1 Produksi Bersih Padi 2025'!D75="","",'1.1 Produksi Bersih Padi 2025'!D75)</f>
        <v/>
      </c>
      <c r="E75" s="1" t="str">
        <f>IF('1.1 Produksi Bersih Padi 2025'!E75="","",'1.1 Produksi Bersih Padi 2025'!E75)</f>
        <v/>
      </c>
      <c r="F75" s="28" t="str">
        <f>IF(D75="","",VLOOKUP(D75,'[1]0.1 Produksi Pangan &amp; Penduduk'!$D$5:$Y$860,22,0))</f>
        <v/>
      </c>
      <c r="G75" s="30" t="str">
        <f t="shared" si="5"/>
        <v/>
      </c>
      <c r="H75" s="30" t="str">
        <f t="shared" si="6"/>
        <v/>
      </c>
      <c r="I75" s="30" t="str">
        <f t="shared" si="7"/>
        <v/>
      </c>
      <c r="J75" s="30" t="str">
        <f t="shared" si="8"/>
        <v/>
      </c>
      <c r="K75" s="30" t="str">
        <f t="shared" si="9"/>
        <v/>
      </c>
      <c r="M75" s="11"/>
    </row>
    <row r="76" spans="1:13" ht="15" x14ac:dyDescent="0.25">
      <c r="A76" s="1" t="str">
        <f>IF('1.1 Produksi Bersih Padi 2025'!A76="","",'1.1 Produksi Bersih Padi 2025'!A76)</f>
        <v/>
      </c>
      <c r="B76" s="31" t="str">
        <f>IF('1.1 Produksi Bersih Padi 2025'!B76="","",'1.1 Produksi Bersih Padi 2025'!B76)</f>
        <v/>
      </c>
      <c r="C76" s="31" t="str">
        <f>IF('1.1 Produksi Bersih Padi 2025'!C76="","",'1.1 Produksi Bersih Padi 2025'!C76)</f>
        <v/>
      </c>
      <c r="D76" s="1" t="str">
        <f>IF('1.1 Produksi Bersih Padi 2025'!D76="","",'1.1 Produksi Bersih Padi 2025'!D76)</f>
        <v/>
      </c>
      <c r="E76" s="1" t="str">
        <f>IF('1.1 Produksi Bersih Padi 2025'!E76="","",'1.1 Produksi Bersih Padi 2025'!E76)</f>
        <v/>
      </c>
      <c r="F76" s="28" t="str">
        <f>IF(D76="","",VLOOKUP(D76,'[1]0.1 Produksi Pangan &amp; Penduduk'!$D$5:$Y$860,22,0))</f>
        <v/>
      </c>
      <c r="G76" s="30" t="str">
        <f t="shared" si="5"/>
        <v/>
      </c>
      <c r="H76" s="30" t="str">
        <f t="shared" si="6"/>
        <v/>
      </c>
      <c r="I76" s="30" t="str">
        <f t="shared" si="7"/>
        <v/>
      </c>
      <c r="J76" s="30" t="str">
        <f t="shared" si="8"/>
        <v/>
      </c>
      <c r="K76" s="30" t="str">
        <f t="shared" si="9"/>
        <v/>
      </c>
      <c r="M76" s="11"/>
    </row>
    <row r="77" spans="1:13" ht="15" x14ac:dyDescent="0.25">
      <c r="A77" s="1" t="str">
        <f>IF('1.1 Produksi Bersih Padi 2025'!A77="","",'1.1 Produksi Bersih Padi 2025'!A77)</f>
        <v/>
      </c>
      <c r="B77" s="31" t="str">
        <f>IF('1.1 Produksi Bersih Padi 2025'!B77="","",'1.1 Produksi Bersih Padi 2025'!B77)</f>
        <v/>
      </c>
      <c r="C77" s="31" t="str">
        <f>IF('1.1 Produksi Bersih Padi 2025'!C77="","",'1.1 Produksi Bersih Padi 2025'!C77)</f>
        <v/>
      </c>
      <c r="D77" s="1" t="str">
        <f>IF('1.1 Produksi Bersih Padi 2025'!D77="","",'1.1 Produksi Bersih Padi 2025'!D77)</f>
        <v/>
      </c>
      <c r="E77" s="1" t="str">
        <f>IF('1.1 Produksi Bersih Padi 2025'!E77="","",'1.1 Produksi Bersih Padi 2025'!E77)</f>
        <v/>
      </c>
      <c r="F77" s="28" t="str">
        <f>IF(D77="","",VLOOKUP(D77,'[1]0.1 Produksi Pangan &amp; Penduduk'!$D$5:$Y$860,22,0))</f>
        <v/>
      </c>
      <c r="G77" s="30" t="str">
        <f t="shared" si="5"/>
        <v/>
      </c>
      <c r="H77" s="30" t="str">
        <f t="shared" si="6"/>
        <v/>
      </c>
      <c r="I77" s="30" t="str">
        <f t="shared" si="7"/>
        <v/>
      </c>
      <c r="J77" s="30" t="str">
        <f t="shared" si="8"/>
        <v/>
      </c>
      <c r="K77" s="30" t="str">
        <f t="shared" si="9"/>
        <v/>
      </c>
      <c r="M77" s="11"/>
    </row>
    <row r="78" spans="1:13" ht="15" x14ac:dyDescent="0.25">
      <c r="A78" s="1" t="str">
        <f>IF('1.1 Produksi Bersih Padi 2025'!A78="","",'1.1 Produksi Bersih Padi 2025'!A78)</f>
        <v/>
      </c>
      <c r="B78" s="31" t="str">
        <f>IF('1.1 Produksi Bersih Padi 2025'!B78="","",'1.1 Produksi Bersih Padi 2025'!B78)</f>
        <v/>
      </c>
      <c r="C78" s="31" t="str">
        <f>IF('1.1 Produksi Bersih Padi 2025'!C78="","",'1.1 Produksi Bersih Padi 2025'!C78)</f>
        <v/>
      </c>
      <c r="D78" s="1" t="str">
        <f>IF('1.1 Produksi Bersih Padi 2025'!D78="","",'1.1 Produksi Bersih Padi 2025'!D78)</f>
        <v/>
      </c>
      <c r="E78" s="1" t="str">
        <f>IF('1.1 Produksi Bersih Padi 2025'!E78="","",'1.1 Produksi Bersih Padi 2025'!E78)</f>
        <v/>
      </c>
      <c r="F78" s="28" t="str">
        <f>IF(D78="","",VLOOKUP(D78,'[1]0.1 Produksi Pangan &amp; Penduduk'!$D$5:$Y$860,22,0))</f>
        <v/>
      </c>
      <c r="G78" s="30" t="str">
        <f t="shared" si="5"/>
        <v/>
      </c>
      <c r="H78" s="30" t="str">
        <f t="shared" si="6"/>
        <v/>
      </c>
      <c r="I78" s="30" t="str">
        <f t="shared" si="7"/>
        <v/>
      </c>
      <c r="J78" s="30" t="str">
        <f t="shared" si="8"/>
        <v/>
      </c>
      <c r="K78" s="30" t="str">
        <f t="shared" si="9"/>
        <v/>
      </c>
      <c r="M78" s="11"/>
    </row>
    <row r="79" spans="1:13" ht="15" x14ac:dyDescent="0.25">
      <c r="A79" s="1" t="str">
        <f>IF('1.1 Produksi Bersih Padi 2025'!A79="","",'1.1 Produksi Bersih Padi 2025'!A79)</f>
        <v/>
      </c>
      <c r="B79" s="31" t="str">
        <f>IF('1.1 Produksi Bersih Padi 2025'!B79="","",'1.1 Produksi Bersih Padi 2025'!B79)</f>
        <v/>
      </c>
      <c r="C79" s="31" t="str">
        <f>IF('1.1 Produksi Bersih Padi 2025'!C79="","",'1.1 Produksi Bersih Padi 2025'!C79)</f>
        <v/>
      </c>
      <c r="D79" s="1" t="str">
        <f>IF('1.1 Produksi Bersih Padi 2025'!D79="","",'1.1 Produksi Bersih Padi 2025'!D79)</f>
        <v/>
      </c>
      <c r="E79" s="1" t="str">
        <f>IF('1.1 Produksi Bersih Padi 2025'!E79="","",'1.1 Produksi Bersih Padi 2025'!E79)</f>
        <v/>
      </c>
      <c r="F79" s="28" t="str">
        <f>IF(D79="","",VLOOKUP(D79,'[1]0.1 Produksi Pangan &amp; Penduduk'!$D$5:$Y$860,22,0))</f>
        <v/>
      </c>
      <c r="G79" s="30" t="str">
        <f t="shared" si="5"/>
        <v/>
      </c>
      <c r="H79" s="30" t="str">
        <f t="shared" si="6"/>
        <v/>
      </c>
      <c r="I79" s="30" t="str">
        <f t="shared" si="7"/>
        <v/>
      </c>
      <c r="J79" s="30" t="str">
        <f t="shared" si="8"/>
        <v/>
      </c>
      <c r="K79" s="30" t="str">
        <f t="shared" si="9"/>
        <v/>
      </c>
      <c r="M79" s="11"/>
    </row>
    <row r="80" spans="1:13" ht="15" x14ac:dyDescent="0.25">
      <c r="A80" s="1" t="str">
        <f>IF('1.1 Produksi Bersih Padi 2025'!A80="","",'1.1 Produksi Bersih Padi 2025'!A80)</f>
        <v/>
      </c>
      <c r="B80" s="31" t="str">
        <f>IF('1.1 Produksi Bersih Padi 2025'!B80="","",'1.1 Produksi Bersih Padi 2025'!B80)</f>
        <v/>
      </c>
      <c r="C80" s="31" t="str">
        <f>IF('1.1 Produksi Bersih Padi 2025'!C80="","",'1.1 Produksi Bersih Padi 2025'!C80)</f>
        <v/>
      </c>
      <c r="D80" s="1" t="str">
        <f>IF('1.1 Produksi Bersih Padi 2025'!D80="","",'1.1 Produksi Bersih Padi 2025'!D80)</f>
        <v/>
      </c>
      <c r="E80" s="1" t="str">
        <f>IF('1.1 Produksi Bersih Padi 2025'!E80="","",'1.1 Produksi Bersih Padi 2025'!E80)</f>
        <v/>
      </c>
      <c r="F80" s="28" t="str">
        <f>IF(D80="","",VLOOKUP(D80,'[1]0.1 Produksi Pangan &amp; Penduduk'!$D$5:$Y$860,22,0))</f>
        <v/>
      </c>
      <c r="G80" s="30" t="str">
        <f t="shared" si="5"/>
        <v/>
      </c>
      <c r="H80" s="30" t="str">
        <f t="shared" si="6"/>
        <v/>
      </c>
      <c r="I80" s="30" t="str">
        <f t="shared" si="7"/>
        <v/>
      </c>
      <c r="J80" s="30" t="str">
        <f t="shared" si="8"/>
        <v/>
      </c>
      <c r="K80" s="30" t="str">
        <f t="shared" si="9"/>
        <v/>
      </c>
      <c r="M80" s="11"/>
    </row>
    <row r="81" spans="1:13" ht="15" x14ac:dyDescent="0.25">
      <c r="A81" s="1" t="str">
        <f>IF('1.1 Produksi Bersih Padi 2025'!A81="","",'1.1 Produksi Bersih Padi 2025'!A81)</f>
        <v/>
      </c>
      <c r="B81" s="31" t="str">
        <f>IF('1.1 Produksi Bersih Padi 2025'!B81="","",'1.1 Produksi Bersih Padi 2025'!B81)</f>
        <v/>
      </c>
      <c r="C81" s="31" t="str">
        <f>IF('1.1 Produksi Bersih Padi 2025'!C81="","",'1.1 Produksi Bersih Padi 2025'!C81)</f>
        <v/>
      </c>
      <c r="D81" s="1" t="str">
        <f>IF('1.1 Produksi Bersih Padi 2025'!D81="","",'1.1 Produksi Bersih Padi 2025'!D81)</f>
        <v/>
      </c>
      <c r="E81" s="1" t="str">
        <f>IF('1.1 Produksi Bersih Padi 2025'!E81="","",'1.1 Produksi Bersih Padi 2025'!E81)</f>
        <v/>
      </c>
      <c r="F81" s="28" t="str">
        <f>IF(D81="","",VLOOKUP(D81,'[1]0.1 Produksi Pangan &amp; Penduduk'!$D$5:$Y$860,22,0))</f>
        <v/>
      </c>
      <c r="G81" s="30" t="str">
        <f t="shared" si="5"/>
        <v/>
      </c>
      <c r="H81" s="30" t="str">
        <f t="shared" si="6"/>
        <v/>
      </c>
      <c r="I81" s="30" t="str">
        <f t="shared" si="7"/>
        <v/>
      </c>
      <c r="J81" s="30" t="str">
        <f t="shared" si="8"/>
        <v/>
      </c>
      <c r="K81" s="30" t="str">
        <f t="shared" si="9"/>
        <v/>
      </c>
      <c r="M81" s="11"/>
    </row>
    <row r="82" spans="1:13" ht="15" x14ac:dyDescent="0.25">
      <c r="A82" s="1" t="str">
        <f>IF('1.1 Produksi Bersih Padi 2025'!A82="","",'1.1 Produksi Bersih Padi 2025'!A82)</f>
        <v/>
      </c>
      <c r="B82" s="31" t="str">
        <f>IF('1.1 Produksi Bersih Padi 2025'!B82="","",'1.1 Produksi Bersih Padi 2025'!B82)</f>
        <v/>
      </c>
      <c r="C82" s="31" t="str">
        <f>IF('1.1 Produksi Bersih Padi 2025'!C82="","",'1.1 Produksi Bersih Padi 2025'!C82)</f>
        <v/>
      </c>
      <c r="D82" s="1" t="str">
        <f>IF('1.1 Produksi Bersih Padi 2025'!D82="","",'1.1 Produksi Bersih Padi 2025'!D82)</f>
        <v/>
      </c>
      <c r="E82" s="1" t="str">
        <f>IF('1.1 Produksi Bersih Padi 2025'!E82="","",'1.1 Produksi Bersih Padi 2025'!E82)</f>
        <v/>
      </c>
      <c r="F82" s="28" t="str">
        <f>IF(D82="","",VLOOKUP(D82,'[1]0.1 Produksi Pangan &amp; Penduduk'!$D$5:$Y$860,22,0))</f>
        <v/>
      </c>
      <c r="G82" s="30" t="str">
        <f t="shared" si="5"/>
        <v/>
      </c>
      <c r="H82" s="30" t="str">
        <f t="shared" si="6"/>
        <v/>
      </c>
      <c r="I82" s="30" t="str">
        <f t="shared" si="7"/>
        <v/>
      </c>
      <c r="J82" s="30" t="str">
        <f t="shared" si="8"/>
        <v/>
      </c>
      <c r="K82" s="30" t="str">
        <f t="shared" si="9"/>
        <v/>
      </c>
      <c r="M82" s="11"/>
    </row>
    <row r="83" spans="1:13" ht="15" x14ac:dyDescent="0.25">
      <c r="A83" s="1" t="str">
        <f>IF('1.1 Produksi Bersih Padi 2025'!A83="","",'1.1 Produksi Bersih Padi 2025'!A83)</f>
        <v/>
      </c>
      <c r="B83" s="31" t="str">
        <f>IF('1.1 Produksi Bersih Padi 2025'!B83="","",'1.1 Produksi Bersih Padi 2025'!B83)</f>
        <v/>
      </c>
      <c r="C83" s="31" t="str">
        <f>IF('1.1 Produksi Bersih Padi 2025'!C83="","",'1.1 Produksi Bersih Padi 2025'!C83)</f>
        <v/>
      </c>
      <c r="D83" s="1" t="str">
        <f>IF('1.1 Produksi Bersih Padi 2025'!D83="","",'1.1 Produksi Bersih Padi 2025'!D83)</f>
        <v/>
      </c>
      <c r="E83" s="1" t="str">
        <f>IF('1.1 Produksi Bersih Padi 2025'!E83="","",'1.1 Produksi Bersih Padi 2025'!E83)</f>
        <v/>
      </c>
      <c r="F83" s="28" t="str">
        <f>IF(D83="","",VLOOKUP(D83,'[1]0.1 Produksi Pangan &amp; Penduduk'!$D$5:$Y$860,22,0))</f>
        <v/>
      </c>
      <c r="G83" s="30" t="str">
        <f t="shared" si="5"/>
        <v/>
      </c>
      <c r="H83" s="30" t="str">
        <f t="shared" si="6"/>
        <v/>
      </c>
      <c r="I83" s="30" t="str">
        <f t="shared" si="7"/>
        <v/>
      </c>
      <c r="J83" s="30" t="str">
        <f t="shared" si="8"/>
        <v/>
      </c>
      <c r="K83" s="30" t="str">
        <f t="shared" si="9"/>
        <v/>
      </c>
      <c r="M83" s="11"/>
    </row>
    <row r="84" spans="1:13" ht="15" x14ac:dyDescent="0.25">
      <c r="A84" s="1" t="str">
        <f>IF('1.1 Produksi Bersih Padi 2025'!A84="","",'1.1 Produksi Bersih Padi 2025'!A84)</f>
        <v/>
      </c>
      <c r="B84" s="31" t="str">
        <f>IF('1.1 Produksi Bersih Padi 2025'!B84="","",'1.1 Produksi Bersih Padi 2025'!B84)</f>
        <v/>
      </c>
      <c r="C84" s="31" t="str">
        <f>IF('1.1 Produksi Bersih Padi 2025'!C84="","",'1.1 Produksi Bersih Padi 2025'!C84)</f>
        <v/>
      </c>
      <c r="D84" s="1" t="str">
        <f>IF('1.1 Produksi Bersih Padi 2025'!D84="","",'1.1 Produksi Bersih Padi 2025'!D84)</f>
        <v/>
      </c>
      <c r="E84" s="1" t="str">
        <f>IF('1.1 Produksi Bersih Padi 2025'!E84="","",'1.1 Produksi Bersih Padi 2025'!E84)</f>
        <v/>
      </c>
      <c r="F84" s="28" t="str">
        <f>IF(D84="","",VLOOKUP(D84,'[1]0.1 Produksi Pangan &amp; Penduduk'!$D$5:$Y$860,22,0))</f>
        <v/>
      </c>
      <c r="G84" s="30" t="str">
        <f t="shared" si="5"/>
        <v/>
      </c>
      <c r="H84" s="30" t="str">
        <f t="shared" si="6"/>
        <v/>
      </c>
      <c r="I84" s="30" t="str">
        <f t="shared" si="7"/>
        <v/>
      </c>
      <c r="J84" s="30" t="str">
        <f t="shared" si="8"/>
        <v/>
      </c>
      <c r="K84" s="30" t="str">
        <f t="shared" si="9"/>
        <v/>
      </c>
      <c r="M84" s="11"/>
    </row>
    <row r="85" spans="1:13" ht="15" x14ac:dyDescent="0.25">
      <c r="A85" s="1" t="str">
        <f>IF('1.1 Produksi Bersih Padi 2025'!A85="","",'1.1 Produksi Bersih Padi 2025'!A85)</f>
        <v/>
      </c>
      <c r="B85" s="31" t="str">
        <f>IF('1.1 Produksi Bersih Padi 2025'!B85="","",'1.1 Produksi Bersih Padi 2025'!B85)</f>
        <v/>
      </c>
      <c r="C85" s="31" t="str">
        <f>IF('1.1 Produksi Bersih Padi 2025'!C85="","",'1.1 Produksi Bersih Padi 2025'!C85)</f>
        <v/>
      </c>
      <c r="D85" s="1" t="str">
        <f>IF('1.1 Produksi Bersih Padi 2025'!D85="","",'1.1 Produksi Bersih Padi 2025'!D85)</f>
        <v/>
      </c>
      <c r="E85" s="1" t="str">
        <f>IF('1.1 Produksi Bersih Padi 2025'!E85="","",'1.1 Produksi Bersih Padi 2025'!E85)</f>
        <v/>
      </c>
      <c r="F85" s="28" t="str">
        <f>IF(D85="","",VLOOKUP(D85,'[1]0.1 Produksi Pangan &amp; Penduduk'!$D$5:$Y$860,22,0))</f>
        <v/>
      </c>
      <c r="G85" s="30" t="str">
        <f t="shared" si="5"/>
        <v/>
      </c>
      <c r="H85" s="30" t="str">
        <f t="shared" si="6"/>
        <v/>
      </c>
      <c r="I85" s="30" t="str">
        <f t="shared" si="7"/>
        <v/>
      </c>
      <c r="J85" s="30" t="str">
        <f t="shared" si="8"/>
        <v/>
      </c>
      <c r="K85" s="30" t="str">
        <f t="shared" si="9"/>
        <v/>
      </c>
      <c r="M85" s="11"/>
    </row>
    <row r="86" spans="1:13" ht="15" x14ac:dyDescent="0.25">
      <c r="A86" s="1" t="str">
        <f>IF('1.1 Produksi Bersih Padi 2025'!A86="","",'1.1 Produksi Bersih Padi 2025'!A86)</f>
        <v/>
      </c>
      <c r="B86" s="31" t="str">
        <f>IF('1.1 Produksi Bersih Padi 2025'!B86="","",'1.1 Produksi Bersih Padi 2025'!B86)</f>
        <v/>
      </c>
      <c r="C86" s="31" t="str">
        <f>IF('1.1 Produksi Bersih Padi 2025'!C86="","",'1.1 Produksi Bersih Padi 2025'!C86)</f>
        <v/>
      </c>
      <c r="D86" s="1" t="str">
        <f>IF('1.1 Produksi Bersih Padi 2025'!D86="","",'1.1 Produksi Bersih Padi 2025'!D86)</f>
        <v/>
      </c>
      <c r="E86" s="1" t="str">
        <f>IF('1.1 Produksi Bersih Padi 2025'!E86="","",'1.1 Produksi Bersih Padi 2025'!E86)</f>
        <v/>
      </c>
      <c r="F86" s="28" t="str">
        <f>IF(D86="","",VLOOKUP(D86,'[1]0.1 Produksi Pangan &amp; Penduduk'!$D$5:$Y$860,22,0))</f>
        <v/>
      </c>
      <c r="G86" s="30" t="str">
        <f t="shared" si="5"/>
        <v/>
      </c>
      <c r="H86" s="30" t="str">
        <f t="shared" si="6"/>
        <v/>
      </c>
      <c r="I86" s="30" t="str">
        <f t="shared" si="7"/>
        <v/>
      </c>
      <c r="J86" s="30" t="str">
        <f t="shared" si="8"/>
        <v/>
      </c>
      <c r="K86" s="30" t="str">
        <f t="shared" si="9"/>
        <v/>
      </c>
      <c r="M86" s="11"/>
    </row>
    <row r="87" spans="1:13" ht="15" x14ac:dyDescent="0.25">
      <c r="A87" s="1" t="str">
        <f>IF('1.1 Produksi Bersih Padi 2025'!A87="","",'1.1 Produksi Bersih Padi 2025'!A87)</f>
        <v/>
      </c>
      <c r="B87" s="31" t="str">
        <f>IF('1.1 Produksi Bersih Padi 2025'!B87="","",'1.1 Produksi Bersih Padi 2025'!B87)</f>
        <v/>
      </c>
      <c r="C87" s="31" t="str">
        <f>IF('1.1 Produksi Bersih Padi 2025'!C87="","",'1.1 Produksi Bersih Padi 2025'!C87)</f>
        <v/>
      </c>
      <c r="D87" s="1" t="str">
        <f>IF('1.1 Produksi Bersih Padi 2025'!D87="","",'1.1 Produksi Bersih Padi 2025'!D87)</f>
        <v/>
      </c>
      <c r="E87" s="1" t="str">
        <f>IF('1.1 Produksi Bersih Padi 2025'!E87="","",'1.1 Produksi Bersih Padi 2025'!E87)</f>
        <v/>
      </c>
      <c r="F87" s="28" t="str">
        <f>IF(D87="","",VLOOKUP(D87,'[1]0.1 Produksi Pangan &amp; Penduduk'!$D$5:$Y$860,22,0))</f>
        <v/>
      </c>
      <c r="G87" s="30" t="str">
        <f t="shared" si="5"/>
        <v/>
      </c>
      <c r="H87" s="30" t="str">
        <f t="shared" si="6"/>
        <v/>
      </c>
      <c r="I87" s="30" t="str">
        <f t="shared" si="7"/>
        <v/>
      </c>
      <c r="J87" s="30" t="str">
        <f t="shared" si="8"/>
        <v/>
      </c>
      <c r="K87" s="30" t="str">
        <f t="shared" si="9"/>
        <v/>
      </c>
      <c r="M87" s="11"/>
    </row>
    <row r="88" spans="1:13" ht="15" x14ac:dyDescent="0.25">
      <c r="A88" s="1" t="str">
        <f>IF('1.1 Produksi Bersih Padi 2025'!A88="","",'1.1 Produksi Bersih Padi 2025'!A88)</f>
        <v/>
      </c>
      <c r="B88" s="31" t="str">
        <f>IF('1.1 Produksi Bersih Padi 2025'!B88="","",'1.1 Produksi Bersih Padi 2025'!B88)</f>
        <v/>
      </c>
      <c r="C88" s="31" t="str">
        <f>IF('1.1 Produksi Bersih Padi 2025'!C88="","",'1.1 Produksi Bersih Padi 2025'!C88)</f>
        <v/>
      </c>
      <c r="D88" s="1" t="str">
        <f>IF('1.1 Produksi Bersih Padi 2025'!D88="","",'1.1 Produksi Bersih Padi 2025'!D88)</f>
        <v/>
      </c>
      <c r="E88" s="1" t="str">
        <f>IF('1.1 Produksi Bersih Padi 2025'!E88="","",'1.1 Produksi Bersih Padi 2025'!E88)</f>
        <v/>
      </c>
      <c r="F88" s="28" t="str">
        <f>IF(D88="","",VLOOKUP(D88,'[1]0.1 Produksi Pangan &amp; Penduduk'!$D$5:$Y$860,22,0))</f>
        <v/>
      </c>
      <c r="G88" s="30" t="str">
        <f t="shared" si="5"/>
        <v/>
      </c>
      <c r="H88" s="30" t="str">
        <f t="shared" si="6"/>
        <v/>
      </c>
      <c r="I88" s="30" t="str">
        <f t="shared" si="7"/>
        <v/>
      </c>
      <c r="J88" s="30" t="str">
        <f t="shared" si="8"/>
        <v/>
      </c>
      <c r="K88" s="30" t="str">
        <f t="shared" si="9"/>
        <v/>
      </c>
      <c r="M88" s="11"/>
    </row>
    <row r="89" spans="1:13" ht="15" x14ac:dyDescent="0.25">
      <c r="A89" s="1" t="str">
        <f>IF('1.1 Produksi Bersih Padi 2025'!A89="","",'1.1 Produksi Bersih Padi 2025'!A89)</f>
        <v/>
      </c>
      <c r="B89" s="31" t="str">
        <f>IF('1.1 Produksi Bersih Padi 2025'!B89="","",'1.1 Produksi Bersih Padi 2025'!B89)</f>
        <v/>
      </c>
      <c r="C89" s="31" t="str">
        <f>IF('1.1 Produksi Bersih Padi 2025'!C89="","",'1.1 Produksi Bersih Padi 2025'!C89)</f>
        <v/>
      </c>
      <c r="D89" s="1" t="str">
        <f>IF('1.1 Produksi Bersih Padi 2025'!D89="","",'1.1 Produksi Bersih Padi 2025'!D89)</f>
        <v/>
      </c>
      <c r="E89" s="1" t="str">
        <f>IF('1.1 Produksi Bersih Padi 2025'!E89="","",'1.1 Produksi Bersih Padi 2025'!E89)</f>
        <v/>
      </c>
      <c r="F89" s="28" t="str">
        <f>IF(D89="","",VLOOKUP(D89,'[1]0.1 Produksi Pangan &amp; Penduduk'!$D$5:$Y$860,22,0))</f>
        <v/>
      </c>
      <c r="G89" s="30" t="str">
        <f t="shared" si="5"/>
        <v/>
      </c>
      <c r="H89" s="30" t="str">
        <f t="shared" si="6"/>
        <v/>
      </c>
      <c r="I89" s="30" t="str">
        <f t="shared" si="7"/>
        <v/>
      </c>
      <c r="J89" s="30" t="str">
        <f t="shared" si="8"/>
        <v/>
      </c>
      <c r="K89" s="30" t="str">
        <f t="shared" si="9"/>
        <v/>
      </c>
      <c r="M89" s="11"/>
    </row>
    <row r="90" spans="1:13" ht="15" x14ac:dyDescent="0.25">
      <c r="A90" s="1" t="str">
        <f>IF('1.1 Produksi Bersih Padi 2025'!A90="","",'1.1 Produksi Bersih Padi 2025'!A90)</f>
        <v/>
      </c>
      <c r="B90" s="31" t="str">
        <f>IF('1.1 Produksi Bersih Padi 2025'!B90="","",'1.1 Produksi Bersih Padi 2025'!B90)</f>
        <v/>
      </c>
      <c r="C90" s="31" t="str">
        <f>IF('1.1 Produksi Bersih Padi 2025'!C90="","",'1.1 Produksi Bersih Padi 2025'!C90)</f>
        <v/>
      </c>
      <c r="D90" s="1" t="str">
        <f>IF('1.1 Produksi Bersih Padi 2025'!D90="","",'1.1 Produksi Bersih Padi 2025'!D90)</f>
        <v/>
      </c>
      <c r="E90" s="1" t="str">
        <f>IF('1.1 Produksi Bersih Padi 2025'!E90="","",'1.1 Produksi Bersih Padi 2025'!E90)</f>
        <v/>
      </c>
      <c r="F90" s="28" t="str">
        <f>IF(D90="","",VLOOKUP(D90,'[1]0.1 Produksi Pangan &amp; Penduduk'!$D$5:$Y$860,22,0))</f>
        <v/>
      </c>
      <c r="G90" s="30" t="str">
        <f t="shared" si="5"/>
        <v/>
      </c>
      <c r="H90" s="30" t="str">
        <f t="shared" si="6"/>
        <v/>
      </c>
      <c r="I90" s="30" t="str">
        <f t="shared" si="7"/>
        <v/>
      </c>
      <c r="J90" s="30" t="str">
        <f t="shared" si="8"/>
        <v/>
      </c>
      <c r="K90" s="30" t="str">
        <f t="shared" si="9"/>
        <v/>
      </c>
      <c r="M90" s="11"/>
    </row>
    <row r="91" spans="1:13" ht="15" x14ac:dyDescent="0.25">
      <c r="A91" s="1" t="str">
        <f>IF('1.1 Produksi Bersih Padi 2025'!A91="","",'1.1 Produksi Bersih Padi 2025'!A91)</f>
        <v/>
      </c>
      <c r="B91" s="31" t="str">
        <f>IF('1.1 Produksi Bersih Padi 2025'!B91="","",'1.1 Produksi Bersih Padi 2025'!B91)</f>
        <v/>
      </c>
      <c r="C91" s="31" t="str">
        <f>IF('1.1 Produksi Bersih Padi 2025'!C91="","",'1.1 Produksi Bersih Padi 2025'!C91)</f>
        <v/>
      </c>
      <c r="D91" s="1" t="str">
        <f>IF('1.1 Produksi Bersih Padi 2025'!D91="","",'1.1 Produksi Bersih Padi 2025'!D91)</f>
        <v/>
      </c>
      <c r="E91" s="1" t="str">
        <f>IF('1.1 Produksi Bersih Padi 2025'!E91="","",'1.1 Produksi Bersih Padi 2025'!E91)</f>
        <v/>
      </c>
      <c r="F91" s="28" t="str">
        <f>IF(D91="","",VLOOKUP(D91,'[1]0.1 Produksi Pangan &amp; Penduduk'!$D$5:$Y$860,22,0))</f>
        <v/>
      </c>
      <c r="G91" s="30" t="str">
        <f t="shared" si="5"/>
        <v/>
      </c>
      <c r="H91" s="30" t="str">
        <f t="shared" si="6"/>
        <v/>
      </c>
      <c r="I91" s="30" t="str">
        <f t="shared" si="7"/>
        <v/>
      </c>
      <c r="J91" s="30" t="str">
        <f t="shared" si="8"/>
        <v/>
      </c>
      <c r="K91" s="30" t="str">
        <f t="shared" si="9"/>
        <v/>
      </c>
      <c r="M91" s="11"/>
    </row>
    <row r="92" spans="1:13" ht="15" x14ac:dyDescent="0.25">
      <c r="A92" s="1" t="str">
        <f>IF('1.1 Produksi Bersih Padi 2025'!A92="","",'1.1 Produksi Bersih Padi 2025'!A92)</f>
        <v/>
      </c>
      <c r="B92" s="31" t="str">
        <f>IF('1.1 Produksi Bersih Padi 2025'!B92="","",'1.1 Produksi Bersih Padi 2025'!B92)</f>
        <v/>
      </c>
      <c r="C92" s="31" t="str">
        <f>IF('1.1 Produksi Bersih Padi 2025'!C92="","",'1.1 Produksi Bersih Padi 2025'!C92)</f>
        <v/>
      </c>
      <c r="D92" s="1" t="str">
        <f>IF('1.1 Produksi Bersih Padi 2025'!D92="","",'1.1 Produksi Bersih Padi 2025'!D92)</f>
        <v/>
      </c>
      <c r="E92" s="1" t="str">
        <f>IF('1.1 Produksi Bersih Padi 2025'!E92="","",'1.1 Produksi Bersih Padi 2025'!E92)</f>
        <v/>
      </c>
      <c r="F92" s="28" t="str">
        <f>IF(D92="","",VLOOKUP(D92,'[1]0.1 Produksi Pangan &amp; Penduduk'!$D$5:$Y$860,22,0))</f>
        <v/>
      </c>
      <c r="G92" s="30" t="str">
        <f t="shared" si="5"/>
        <v/>
      </c>
      <c r="H92" s="30" t="str">
        <f t="shared" si="6"/>
        <v/>
      </c>
      <c r="I92" s="30" t="str">
        <f t="shared" si="7"/>
        <v/>
      </c>
      <c r="J92" s="30" t="str">
        <f t="shared" si="8"/>
        <v/>
      </c>
      <c r="K92" s="30" t="str">
        <f t="shared" si="9"/>
        <v/>
      </c>
      <c r="M92" s="11"/>
    </row>
    <row r="93" spans="1:13" ht="15" x14ac:dyDescent="0.25">
      <c r="A93" s="1" t="str">
        <f>IF('1.1 Produksi Bersih Padi 2025'!A93="","",'1.1 Produksi Bersih Padi 2025'!A93)</f>
        <v/>
      </c>
      <c r="B93" s="31" t="str">
        <f>IF('1.1 Produksi Bersih Padi 2025'!B93="","",'1.1 Produksi Bersih Padi 2025'!B93)</f>
        <v/>
      </c>
      <c r="C93" s="31" t="str">
        <f>IF('1.1 Produksi Bersih Padi 2025'!C93="","",'1.1 Produksi Bersih Padi 2025'!C93)</f>
        <v/>
      </c>
      <c r="D93" s="1" t="str">
        <f>IF('1.1 Produksi Bersih Padi 2025'!D93="","",'1.1 Produksi Bersih Padi 2025'!D93)</f>
        <v/>
      </c>
      <c r="E93" s="1" t="str">
        <f>IF('1.1 Produksi Bersih Padi 2025'!E93="","",'1.1 Produksi Bersih Padi 2025'!E93)</f>
        <v/>
      </c>
      <c r="F93" s="28" t="str">
        <f>IF(D93="","",VLOOKUP(D93,'[1]0.1 Produksi Pangan &amp; Penduduk'!$D$5:$Y$860,22,0))</f>
        <v/>
      </c>
      <c r="G93" s="30" t="str">
        <f t="shared" si="5"/>
        <v/>
      </c>
      <c r="H93" s="30" t="str">
        <f t="shared" si="6"/>
        <v/>
      </c>
      <c r="I93" s="30" t="str">
        <f t="shared" si="7"/>
        <v/>
      </c>
      <c r="J93" s="30" t="str">
        <f t="shared" si="8"/>
        <v/>
      </c>
      <c r="K93" s="30" t="str">
        <f t="shared" si="9"/>
        <v/>
      </c>
      <c r="M93" s="11"/>
    </row>
    <row r="94" spans="1:13" ht="15" x14ac:dyDescent="0.25">
      <c r="A94" s="1" t="str">
        <f>IF('1.1 Produksi Bersih Padi 2025'!A94="","",'1.1 Produksi Bersih Padi 2025'!A94)</f>
        <v/>
      </c>
      <c r="B94" s="31" t="str">
        <f>IF('1.1 Produksi Bersih Padi 2025'!B94="","",'1.1 Produksi Bersih Padi 2025'!B94)</f>
        <v/>
      </c>
      <c r="C94" s="31" t="str">
        <f>IF('1.1 Produksi Bersih Padi 2025'!C94="","",'1.1 Produksi Bersih Padi 2025'!C94)</f>
        <v/>
      </c>
      <c r="D94" s="1" t="str">
        <f>IF('1.1 Produksi Bersih Padi 2025'!D94="","",'1.1 Produksi Bersih Padi 2025'!D94)</f>
        <v/>
      </c>
      <c r="E94" s="1" t="str">
        <f>IF('1.1 Produksi Bersih Padi 2025'!E94="","",'1.1 Produksi Bersih Padi 2025'!E94)</f>
        <v/>
      </c>
      <c r="F94" s="28" t="str">
        <f>IF(D94="","",VLOOKUP(D94,'[1]0.1 Produksi Pangan &amp; Penduduk'!$D$5:$Y$860,22,0))</f>
        <v/>
      </c>
      <c r="G94" s="30" t="str">
        <f t="shared" si="5"/>
        <v/>
      </c>
      <c r="H94" s="30" t="str">
        <f t="shared" si="6"/>
        <v/>
      </c>
      <c r="I94" s="30" t="str">
        <f t="shared" si="7"/>
        <v/>
      </c>
      <c r="J94" s="30" t="str">
        <f t="shared" si="8"/>
        <v/>
      </c>
      <c r="K94" s="30" t="str">
        <f t="shared" si="9"/>
        <v/>
      </c>
      <c r="M94" s="11"/>
    </row>
    <row r="95" spans="1:13" ht="15" x14ac:dyDescent="0.25">
      <c r="A95" s="1" t="str">
        <f>IF('1.1 Produksi Bersih Padi 2025'!A95="","",'1.1 Produksi Bersih Padi 2025'!A95)</f>
        <v/>
      </c>
      <c r="B95" s="31" t="str">
        <f>IF('1.1 Produksi Bersih Padi 2025'!B95="","",'1.1 Produksi Bersih Padi 2025'!B95)</f>
        <v/>
      </c>
      <c r="C95" s="31" t="str">
        <f>IF('1.1 Produksi Bersih Padi 2025'!C95="","",'1.1 Produksi Bersih Padi 2025'!C95)</f>
        <v/>
      </c>
      <c r="D95" s="1" t="str">
        <f>IF('1.1 Produksi Bersih Padi 2025'!D95="","",'1.1 Produksi Bersih Padi 2025'!D95)</f>
        <v/>
      </c>
      <c r="E95" s="1" t="str">
        <f>IF('1.1 Produksi Bersih Padi 2025'!E95="","",'1.1 Produksi Bersih Padi 2025'!E95)</f>
        <v/>
      </c>
      <c r="F95" s="28" t="str">
        <f>IF(D95="","",VLOOKUP(D95,'[1]0.1 Produksi Pangan &amp; Penduduk'!$D$5:$Y$860,22,0))</f>
        <v/>
      </c>
      <c r="G95" s="30" t="str">
        <f t="shared" si="5"/>
        <v/>
      </c>
      <c r="H95" s="30" t="str">
        <f t="shared" si="6"/>
        <v/>
      </c>
      <c r="I95" s="30" t="str">
        <f t="shared" si="7"/>
        <v/>
      </c>
      <c r="J95" s="30" t="str">
        <f t="shared" si="8"/>
        <v/>
      </c>
      <c r="K95" s="30" t="str">
        <f t="shared" si="9"/>
        <v/>
      </c>
      <c r="M95" s="11"/>
    </row>
    <row r="96" spans="1:13" ht="15" x14ac:dyDescent="0.25">
      <c r="A96" s="1" t="str">
        <f>IF('1.1 Produksi Bersih Padi 2025'!A96="","",'1.1 Produksi Bersih Padi 2025'!A96)</f>
        <v/>
      </c>
      <c r="B96" s="31" t="str">
        <f>IF('1.1 Produksi Bersih Padi 2025'!B96="","",'1.1 Produksi Bersih Padi 2025'!B96)</f>
        <v/>
      </c>
      <c r="C96" s="31" t="str">
        <f>IF('1.1 Produksi Bersih Padi 2025'!C96="","",'1.1 Produksi Bersih Padi 2025'!C96)</f>
        <v/>
      </c>
      <c r="D96" s="1" t="str">
        <f>IF('1.1 Produksi Bersih Padi 2025'!D96="","",'1.1 Produksi Bersih Padi 2025'!D96)</f>
        <v/>
      </c>
      <c r="E96" s="1" t="str">
        <f>IF('1.1 Produksi Bersih Padi 2025'!E96="","",'1.1 Produksi Bersih Padi 2025'!E96)</f>
        <v/>
      </c>
      <c r="F96" s="28" t="str">
        <f>IF(D96="","",VLOOKUP(D96,'[1]0.1 Produksi Pangan &amp; Penduduk'!$D$5:$Y$860,22,0))</f>
        <v/>
      </c>
      <c r="G96" s="30" t="str">
        <f t="shared" si="5"/>
        <v/>
      </c>
      <c r="H96" s="30" t="str">
        <f t="shared" si="6"/>
        <v/>
      </c>
      <c r="I96" s="30" t="str">
        <f t="shared" si="7"/>
        <v/>
      </c>
      <c r="J96" s="30" t="str">
        <f t="shared" si="8"/>
        <v/>
      </c>
      <c r="K96" s="30" t="str">
        <f t="shared" si="9"/>
        <v/>
      </c>
      <c r="M96" s="11"/>
    </row>
    <row r="97" spans="1:13" ht="15" x14ac:dyDescent="0.25">
      <c r="A97" s="1" t="str">
        <f>IF('1.1 Produksi Bersih Padi 2025'!A97="","",'1.1 Produksi Bersih Padi 2025'!A97)</f>
        <v/>
      </c>
      <c r="B97" s="31" t="str">
        <f>IF('1.1 Produksi Bersih Padi 2025'!B97="","",'1.1 Produksi Bersih Padi 2025'!B97)</f>
        <v/>
      </c>
      <c r="C97" s="31" t="str">
        <f>IF('1.1 Produksi Bersih Padi 2025'!C97="","",'1.1 Produksi Bersih Padi 2025'!C97)</f>
        <v/>
      </c>
      <c r="D97" s="1" t="str">
        <f>IF('1.1 Produksi Bersih Padi 2025'!D97="","",'1.1 Produksi Bersih Padi 2025'!D97)</f>
        <v/>
      </c>
      <c r="E97" s="1" t="str">
        <f>IF('1.1 Produksi Bersih Padi 2025'!E97="","",'1.1 Produksi Bersih Padi 2025'!E97)</f>
        <v/>
      </c>
      <c r="F97" s="28" t="str">
        <f>IF(D97="","",VLOOKUP(D97,'[1]0.1 Produksi Pangan &amp; Penduduk'!$D$5:$Y$860,22,0))</f>
        <v/>
      </c>
      <c r="G97" s="30" t="str">
        <f t="shared" si="5"/>
        <v/>
      </c>
      <c r="H97" s="30" t="str">
        <f t="shared" si="6"/>
        <v/>
      </c>
      <c r="I97" s="30" t="str">
        <f t="shared" si="7"/>
        <v/>
      </c>
      <c r="J97" s="30" t="str">
        <f t="shared" si="8"/>
        <v/>
      </c>
      <c r="K97" s="30" t="str">
        <f t="shared" si="9"/>
        <v/>
      </c>
      <c r="M97" s="11"/>
    </row>
    <row r="98" spans="1:13" ht="15" x14ac:dyDescent="0.25">
      <c r="A98" s="1" t="str">
        <f>IF('1.1 Produksi Bersih Padi 2025'!A98="","",'1.1 Produksi Bersih Padi 2025'!A98)</f>
        <v/>
      </c>
      <c r="B98" s="31" t="str">
        <f>IF('1.1 Produksi Bersih Padi 2025'!B98="","",'1.1 Produksi Bersih Padi 2025'!B98)</f>
        <v/>
      </c>
      <c r="C98" s="31" t="str">
        <f>IF('1.1 Produksi Bersih Padi 2025'!C98="","",'1.1 Produksi Bersih Padi 2025'!C98)</f>
        <v/>
      </c>
      <c r="D98" s="1" t="str">
        <f>IF('1.1 Produksi Bersih Padi 2025'!D98="","",'1.1 Produksi Bersih Padi 2025'!D98)</f>
        <v/>
      </c>
      <c r="E98" s="1" t="str">
        <f>IF('1.1 Produksi Bersih Padi 2025'!E98="","",'1.1 Produksi Bersih Padi 2025'!E98)</f>
        <v/>
      </c>
      <c r="F98" s="28" t="str">
        <f>IF(D98="","",VLOOKUP(D98,'[1]0.1 Produksi Pangan &amp; Penduduk'!$D$5:$Y$860,22,0))</f>
        <v/>
      </c>
      <c r="G98" s="30" t="str">
        <f t="shared" si="5"/>
        <v/>
      </c>
      <c r="H98" s="30" t="str">
        <f t="shared" si="6"/>
        <v/>
      </c>
      <c r="I98" s="30" t="str">
        <f t="shared" si="7"/>
        <v/>
      </c>
      <c r="J98" s="30" t="str">
        <f t="shared" si="8"/>
        <v/>
      </c>
      <c r="K98" s="30" t="str">
        <f t="shared" si="9"/>
        <v/>
      </c>
      <c r="M98" s="11"/>
    </row>
    <row r="99" spans="1:13" ht="15" x14ac:dyDescent="0.25">
      <c r="A99" s="1" t="str">
        <f>IF('1.1 Produksi Bersih Padi 2025'!A99="","",'1.1 Produksi Bersih Padi 2025'!A99)</f>
        <v/>
      </c>
      <c r="B99" s="31" t="str">
        <f>IF('1.1 Produksi Bersih Padi 2025'!B99="","",'1.1 Produksi Bersih Padi 2025'!B99)</f>
        <v/>
      </c>
      <c r="C99" s="31" t="str">
        <f>IF('1.1 Produksi Bersih Padi 2025'!C99="","",'1.1 Produksi Bersih Padi 2025'!C99)</f>
        <v/>
      </c>
      <c r="D99" s="1" t="str">
        <f>IF('1.1 Produksi Bersih Padi 2025'!D99="","",'1.1 Produksi Bersih Padi 2025'!D99)</f>
        <v/>
      </c>
      <c r="E99" s="1" t="str">
        <f>IF('1.1 Produksi Bersih Padi 2025'!E99="","",'1.1 Produksi Bersih Padi 2025'!E99)</f>
        <v/>
      </c>
      <c r="F99" s="28" t="str">
        <f>IF(D99="","",VLOOKUP(D99,'[1]0.1 Produksi Pangan &amp; Penduduk'!$D$5:$Y$860,22,0))</f>
        <v/>
      </c>
      <c r="G99" s="30" t="str">
        <f t="shared" si="5"/>
        <v/>
      </c>
      <c r="H99" s="30" t="str">
        <f t="shared" si="6"/>
        <v/>
      </c>
      <c r="I99" s="30" t="str">
        <f t="shared" si="7"/>
        <v/>
      </c>
      <c r="J99" s="30" t="str">
        <f t="shared" si="8"/>
        <v/>
      </c>
      <c r="K99" s="30" t="str">
        <f t="shared" si="9"/>
        <v/>
      </c>
      <c r="M99" s="11"/>
    </row>
    <row r="100" spans="1:13" ht="15" x14ac:dyDescent="0.25">
      <c r="A100" s="1" t="str">
        <f>IF('1.1 Produksi Bersih Padi 2025'!A100="","",'1.1 Produksi Bersih Padi 2025'!A100)</f>
        <v/>
      </c>
      <c r="B100" s="31" t="str">
        <f>IF('1.1 Produksi Bersih Padi 2025'!B100="","",'1.1 Produksi Bersih Padi 2025'!B100)</f>
        <v/>
      </c>
      <c r="C100" s="31" t="str">
        <f>IF('1.1 Produksi Bersih Padi 2025'!C100="","",'1.1 Produksi Bersih Padi 2025'!C100)</f>
        <v/>
      </c>
      <c r="D100" s="1" t="str">
        <f>IF('1.1 Produksi Bersih Padi 2025'!D100="","",'1.1 Produksi Bersih Padi 2025'!D100)</f>
        <v/>
      </c>
      <c r="E100" s="1" t="str">
        <f>IF('1.1 Produksi Bersih Padi 2025'!E100="","",'1.1 Produksi Bersih Padi 2025'!E100)</f>
        <v/>
      </c>
      <c r="F100" s="28" t="str">
        <f>IF(D100="","",VLOOKUP(D100,'[1]0.1 Produksi Pangan &amp; Penduduk'!$D$5:$Y$860,22,0))</f>
        <v/>
      </c>
      <c r="G100" s="30" t="str">
        <f t="shared" si="5"/>
        <v/>
      </c>
      <c r="H100" s="30" t="str">
        <f t="shared" si="6"/>
        <v/>
      </c>
      <c r="I100" s="30" t="str">
        <f t="shared" si="7"/>
        <v/>
      </c>
      <c r="J100" s="30" t="str">
        <f t="shared" si="8"/>
        <v/>
      </c>
      <c r="K100" s="30" t="str">
        <f t="shared" si="9"/>
        <v/>
      </c>
      <c r="M100" s="11"/>
    </row>
    <row r="101" spans="1:13" ht="15" x14ac:dyDescent="0.25">
      <c r="A101" s="1" t="str">
        <f>IF('1.1 Produksi Bersih Padi 2025'!A101="","",'1.1 Produksi Bersih Padi 2025'!A101)</f>
        <v/>
      </c>
      <c r="B101" s="31" t="str">
        <f>IF('1.1 Produksi Bersih Padi 2025'!B101="","",'1.1 Produksi Bersih Padi 2025'!B101)</f>
        <v/>
      </c>
      <c r="C101" s="31" t="str">
        <f>IF('1.1 Produksi Bersih Padi 2025'!C101="","",'1.1 Produksi Bersih Padi 2025'!C101)</f>
        <v/>
      </c>
      <c r="D101" s="1" t="str">
        <f>IF('1.1 Produksi Bersih Padi 2025'!D101="","",'1.1 Produksi Bersih Padi 2025'!D101)</f>
        <v/>
      </c>
      <c r="E101" s="1" t="str">
        <f>IF('1.1 Produksi Bersih Padi 2025'!E101="","",'1.1 Produksi Bersih Padi 2025'!E101)</f>
        <v/>
      </c>
      <c r="F101" s="28" t="str">
        <f>IF(D101="","",VLOOKUP(D101,'[1]0.1 Produksi Pangan &amp; Penduduk'!$D$5:$Y$860,22,0))</f>
        <v/>
      </c>
      <c r="G101" s="30" t="str">
        <f t="shared" si="5"/>
        <v/>
      </c>
      <c r="H101" s="30" t="str">
        <f t="shared" si="6"/>
        <v/>
      </c>
      <c r="I101" s="30" t="str">
        <f t="shared" si="7"/>
        <v/>
      </c>
      <c r="J101" s="30" t="str">
        <f t="shared" si="8"/>
        <v/>
      </c>
      <c r="K101" s="30" t="str">
        <f t="shared" si="9"/>
        <v/>
      </c>
      <c r="M101" s="11"/>
    </row>
    <row r="102" spans="1:13" ht="15" x14ac:dyDescent="0.25">
      <c r="A102" s="1" t="str">
        <f>IF('1.1 Produksi Bersih Padi 2025'!A102="","",'1.1 Produksi Bersih Padi 2025'!A102)</f>
        <v/>
      </c>
      <c r="B102" s="31" t="str">
        <f>IF('1.1 Produksi Bersih Padi 2025'!B102="","",'1.1 Produksi Bersih Padi 2025'!B102)</f>
        <v/>
      </c>
      <c r="C102" s="31" t="str">
        <f>IF('1.1 Produksi Bersih Padi 2025'!C102="","",'1.1 Produksi Bersih Padi 2025'!C102)</f>
        <v/>
      </c>
      <c r="D102" s="1" t="str">
        <f>IF('1.1 Produksi Bersih Padi 2025'!D102="","",'1.1 Produksi Bersih Padi 2025'!D102)</f>
        <v/>
      </c>
      <c r="E102" s="1" t="str">
        <f>IF('1.1 Produksi Bersih Padi 2025'!E102="","",'1.1 Produksi Bersih Padi 2025'!E102)</f>
        <v/>
      </c>
      <c r="F102" s="28" t="str">
        <f>IF(D102="","",VLOOKUP(D102,'[1]0.1 Produksi Pangan &amp; Penduduk'!$D$5:$Y$860,22,0))</f>
        <v/>
      </c>
      <c r="G102" s="30" t="str">
        <f t="shared" si="5"/>
        <v/>
      </c>
      <c r="H102" s="30" t="str">
        <f t="shared" si="6"/>
        <v/>
      </c>
      <c r="I102" s="30" t="str">
        <f t="shared" si="7"/>
        <v/>
      </c>
      <c r="J102" s="30" t="str">
        <f t="shared" si="8"/>
        <v/>
      </c>
      <c r="K102" s="30" t="str">
        <f t="shared" si="9"/>
        <v/>
      </c>
      <c r="M102" s="11"/>
    </row>
    <row r="103" spans="1:13" ht="15" x14ac:dyDescent="0.25">
      <c r="A103" s="1" t="str">
        <f>IF('1.1 Produksi Bersih Padi 2025'!A103="","",'1.1 Produksi Bersih Padi 2025'!A103)</f>
        <v/>
      </c>
      <c r="B103" s="31" t="str">
        <f>IF('1.1 Produksi Bersih Padi 2025'!B103="","",'1.1 Produksi Bersih Padi 2025'!B103)</f>
        <v/>
      </c>
      <c r="C103" s="31" t="str">
        <f>IF('1.1 Produksi Bersih Padi 2025'!C103="","",'1.1 Produksi Bersih Padi 2025'!C103)</f>
        <v/>
      </c>
      <c r="D103" s="1" t="str">
        <f>IF('1.1 Produksi Bersih Padi 2025'!D103="","",'1.1 Produksi Bersih Padi 2025'!D103)</f>
        <v/>
      </c>
      <c r="E103" s="1" t="str">
        <f>IF('1.1 Produksi Bersih Padi 2025'!E103="","",'1.1 Produksi Bersih Padi 2025'!E103)</f>
        <v/>
      </c>
      <c r="F103" s="28" t="str">
        <f>IF(D103="","",VLOOKUP(D103,'[1]0.1 Produksi Pangan &amp; Penduduk'!$D$5:$Y$860,22,0))</f>
        <v/>
      </c>
      <c r="G103" s="30" t="str">
        <f t="shared" si="5"/>
        <v/>
      </c>
      <c r="H103" s="30" t="str">
        <f t="shared" si="6"/>
        <v/>
      </c>
      <c r="I103" s="30" t="str">
        <f t="shared" si="7"/>
        <v/>
      </c>
      <c r="J103" s="30" t="str">
        <f t="shared" si="8"/>
        <v/>
      </c>
      <c r="K103" s="30" t="str">
        <f t="shared" si="9"/>
        <v/>
      </c>
      <c r="M103" s="11"/>
    </row>
    <row r="104" spans="1:13" ht="15" x14ac:dyDescent="0.25">
      <c r="A104" s="1" t="str">
        <f>IF('1.1 Produksi Bersih Padi 2025'!A104="","",'1.1 Produksi Bersih Padi 2025'!A104)</f>
        <v/>
      </c>
      <c r="B104" s="31" t="str">
        <f>IF('1.1 Produksi Bersih Padi 2025'!B104="","",'1.1 Produksi Bersih Padi 2025'!B104)</f>
        <v/>
      </c>
      <c r="C104" s="31" t="str">
        <f>IF('1.1 Produksi Bersih Padi 2025'!C104="","",'1.1 Produksi Bersih Padi 2025'!C104)</f>
        <v/>
      </c>
      <c r="D104" s="1" t="str">
        <f>IF('1.1 Produksi Bersih Padi 2025'!D104="","",'1.1 Produksi Bersih Padi 2025'!D104)</f>
        <v/>
      </c>
      <c r="E104" s="1" t="str">
        <f>IF('1.1 Produksi Bersih Padi 2025'!E104="","",'1.1 Produksi Bersih Padi 2025'!E104)</f>
        <v/>
      </c>
      <c r="F104" s="28" t="str">
        <f>IF(D104="","",VLOOKUP(D104,'[1]0.1 Produksi Pangan &amp; Penduduk'!$D$5:$Y$860,22,0))</f>
        <v/>
      </c>
      <c r="G104" s="30" t="str">
        <f t="shared" si="5"/>
        <v/>
      </c>
      <c r="H104" s="30" t="str">
        <f t="shared" si="6"/>
        <v/>
      </c>
      <c r="I104" s="30" t="str">
        <f t="shared" si="7"/>
        <v/>
      </c>
      <c r="J104" s="30" t="str">
        <f t="shared" si="8"/>
        <v/>
      </c>
      <c r="K104" s="30" t="str">
        <f t="shared" si="9"/>
        <v/>
      </c>
      <c r="M104" s="11"/>
    </row>
    <row r="105" spans="1:13" ht="15" x14ac:dyDescent="0.25">
      <c r="A105" s="1" t="str">
        <f>IF('1.1 Produksi Bersih Padi 2025'!A105="","",'1.1 Produksi Bersih Padi 2025'!A105)</f>
        <v/>
      </c>
      <c r="B105" s="31" t="str">
        <f>IF('1.1 Produksi Bersih Padi 2025'!B105="","",'1.1 Produksi Bersih Padi 2025'!B105)</f>
        <v/>
      </c>
      <c r="C105" s="31" t="str">
        <f>IF('1.1 Produksi Bersih Padi 2025'!C105="","",'1.1 Produksi Bersih Padi 2025'!C105)</f>
        <v/>
      </c>
      <c r="D105" s="1" t="str">
        <f>IF('1.1 Produksi Bersih Padi 2025'!D105="","",'1.1 Produksi Bersih Padi 2025'!D105)</f>
        <v/>
      </c>
      <c r="E105" s="1" t="str">
        <f>IF('1.1 Produksi Bersih Padi 2025'!E105="","",'1.1 Produksi Bersih Padi 2025'!E105)</f>
        <v/>
      </c>
      <c r="F105" s="28" t="str">
        <f>IF(D105="","",VLOOKUP(D105,'[1]0.1 Produksi Pangan &amp; Penduduk'!$D$5:$Y$860,22,0))</f>
        <v/>
      </c>
      <c r="G105" s="30" t="str">
        <f t="shared" si="5"/>
        <v/>
      </c>
      <c r="H105" s="30" t="str">
        <f t="shared" si="6"/>
        <v/>
      </c>
      <c r="I105" s="30" t="str">
        <f t="shared" si="7"/>
        <v/>
      </c>
      <c r="J105" s="30" t="str">
        <f t="shared" si="8"/>
        <v/>
      </c>
      <c r="K105" s="30" t="str">
        <f t="shared" si="9"/>
        <v/>
      </c>
      <c r="M105" s="11"/>
    </row>
    <row r="106" spans="1:13" ht="15" x14ac:dyDescent="0.25">
      <c r="A106" s="1" t="str">
        <f>IF('1.1 Produksi Bersih Padi 2025'!A106="","",'1.1 Produksi Bersih Padi 2025'!A106)</f>
        <v/>
      </c>
      <c r="B106" s="31" t="str">
        <f>IF('1.1 Produksi Bersih Padi 2025'!B106="","",'1.1 Produksi Bersih Padi 2025'!B106)</f>
        <v/>
      </c>
      <c r="C106" s="31" t="str">
        <f>IF('1.1 Produksi Bersih Padi 2025'!C106="","",'1.1 Produksi Bersih Padi 2025'!C106)</f>
        <v/>
      </c>
      <c r="D106" s="1" t="str">
        <f>IF('1.1 Produksi Bersih Padi 2025'!D106="","",'1.1 Produksi Bersih Padi 2025'!D106)</f>
        <v/>
      </c>
      <c r="E106" s="1" t="str">
        <f>IF('1.1 Produksi Bersih Padi 2025'!E106="","",'1.1 Produksi Bersih Padi 2025'!E106)</f>
        <v/>
      </c>
      <c r="F106" s="28" t="str">
        <f>IF(D106="","",VLOOKUP(D106,'[1]0.1 Produksi Pangan &amp; Penduduk'!$D$5:$Y$860,22,0))</f>
        <v/>
      </c>
      <c r="G106" s="30" t="str">
        <f t="shared" si="5"/>
        <v/>
      </c>
      <c r="H106" s="30" t="str">
        <f t="shared" si="6"/>
        <v/>
      </c>
      <c r="I106" s="30" t="str">
        <f t="shared" si="7"/>
        <v/>
      </c>
      <c r="J106" s="30" t="str">
        <f t="shared" si="8"/>
        <v/>
      </c>
      <c r="K106" s="30" t="str">
        <f t="shared" si="9"/>
        <v/>
      </c>
      <c r="M106" s="11"/>
    </row>
    <row r="107" spans="1:13" ht="15" x14ac:dyDescent="0.25">
      <c r="A107" s="1" t="str">
        <f>IF('1.1 Produksi Bersih Padi 2025'!A107="","",'1.1 Produksi Bersih Padi 2025'!A107)</f>
        <v/>
      </c>
      <c r="B107" s="31" t="str">
        <f>IF('1.1 Produksi Bersih Padi 2025'!B107="","",'1.1 Produksi Bersih Padi 2025'!B107)</f>
        <v/>
      </c>
      <c r="C107" s="31" t="str">
        <f>IF('1.1 Produksi Bersih Padi 2025'!C107="","",'1.1 Produksi Bersih Padi 2025'!C107)</f>
        <v/>
      </c>
      <c r="D107" s="1" t="str">
        <f>IF('1.1 Produksi Bersih Padi 2025'!D107="","",'1.1 Produksi Bersih Padi 2025'!D107)</f>
        <v/>
      </c>
      <c r="E107" s="1" t="str">
        <f>IF('1.1 Produksi Bersih Padi 2025'!E107="","",'1.1 Produksi Bersih Padi 2025'!E107)</f>
        <v/>
      </c>
      <c r="F107" s="28" t="str">
        <f>IF(D107="","",VLOOKUP(D107,'[1]0.1 Produksi Pangan &amp; Penduduk'!$D$5:$Y$860,22,0))</f>
        <v/>
      </c>
      <c r="G107" s="30" t="str">
        <f t="shared" si="5"/>
        <v/>
      </c>
      <c r="H107" s="30" t="str">
        <f t="shared" si="6"/>
        <v/>
      </c>
      <c r="I107" s="30" t="str">
        <f t="shared" si="7"/>
        <v/>
      </c>
      <c r="J107" s="30" t="str">
        <f t="shared" si="8"/>
        <v/>
      </c>
      <c r="K107" s="30" t="str">
        <f t="shared" si="9"/>
        <v/>
      </c>
      <c r="M107" s="11"/>
    </row>
    <row r="108" spans="1:13" ht="15" x14ac:dyDescent="0.25">
      <c r="A108" s="1" t="str">
        <f>IF('1.1 Produksi Bersih Padi 2025'!A108="","",'1.1 Produksi Bersih Padi 2025'!A108)</f>
        <v/>
      </c>
      <c r="B108" s="31" t="str">
        <f>IF('1.1 Produksi Bersih Padi 2025'!B108="","",'1.1 Produksi Bersih Padi 2025'!B108)</f>
        <v/>
      </c>
      <c r="C108" s="31" t="str">
        <f>IF('1.1 Produksi Bersih Padi 2025'!C108="","",'1.1 Produksi Bersih Padi 2025'!C108)</f>
        <v/>
      </c>
      <c r="D108" s="1" t="str">
        <f>IF('1.1 Produksi Bersih Padi 2025'!D108="","",'1.1 Produksi Bersih Padi 2025'!D108)</f>
        <v/>
      </c>
      <c r="E108" s="1" t="str">
        <f>IF('1.1 Produksi Bersih Padi 2025'!E108="","",'1.1 Produksi Bersih Padi 2025'!E108)</f>
        <v/>
      </c>
      <c r="F108" s="28" t="str">
        <f>IF(D108="","",VLOOKUP(D108,'[1]0.1 Produksi Pangan &amp; Penduduk'!$D$5:$Y$860,22,0))</f>
        <v/>
      </c>
      <c r="G108" s="30" t="str">
        <f t="shared" si="5"/>
        <v/>
      </c>
      <c r="H108" s="30" t="str">
        <f t="shared" si="6"/>
        <v/>
      </c>
      <c r="I108" s="30" t="str">
        <f t="shared" si="7"/>
        <v/>
      </c>
      <c r="J108" s="30" t="str">
        <f t="shared" si="8"/>
        <v/>
      </c>
      <c r="K108" s="30" t="str">
        <f t="shared" si="9"/>
        <v/>
      </c>
      <c r="M108" s="11"/>
    </row>
    <row r="109" spans="1:13" ht="15" x14ac:dyDescent="0.25">
      <c r="A109" s="1" t="str">
        <f>IF('1.1 Produksi Bersih Padi 2025'!A109="","",'1.1 Produksi Bersih Padi 2025'!A109)</f>
        <v/>
      </c>
      <c r="B109" s="31" t="str">
        <f>IF('1.1 Produksi Bersih Padi 2025'!B109="","",'1.1 Produksi Bersih Padi 2025'!B109)</f>
        <v/>
      </c>
      <c r="C109" s="31" t="str">
        <f>IF('1.1 Produksi Bersih Padi 2025'!C109="","",'1.1 Produksi Bersih Padi 2025'!C109)</f>
        <v/>
      </c>
      <c r="D109" s="1" t="str">
        <f>IF('1.1 Produksi Bersih Padi 2025'!D109="","",'1.1 Produksi Bersih Padi 2025'!D109)</f>
        <v/>
      </c>
      <c r="E109" s="1" t="str">
        <f>IF('1.1 Produksi Bersih Padi 2025'!E109="","",'1.1 Produksi Bersih Padi 2025'!E109)</f>
        <v/>
      </c>
      <c r="F109" s="28" t="str">
        <f>IF(D109="","",VLOOKUP(D109,'[1]0.1 Produksi Pangan &amp; Penduduk'!$D$5:$Y$860,22,0))</f>
        <v/>
      </c>
      <c r="G109" s="30" t="str">
        <f t="shared" si="5"/>
        <v/>
      </c>
      <c r="H109" s="30" t="str">
        <f t="shared" si="6"/>
        <v/>
      </c>
      <c r="I109" s="30" t="str">
        <f t="shared" si="7"/>
        <v/>
      </c>
      <c r="J109" s="30" t="str">
        <f t="shared" si="8"/>
        <v/>
      </c>
      <c r="K109" s="30" t="str">
        <f t="shared" si="9"/>
        <v/>
      </c>
      <c r="M109" s="11"/>
    </row>
    <row r="110" spans="1:13" ht="15" x14ac:dyDescent="0.25">
      <c r="A110" s="1" t="str">
        <f>IF('1.1 Produksi Bersih Padi 2025'!A110="","",'1.1 Produksi Bersih Padi 2025'!A110)</f>
        <v/>
      </c>
      <c r="B110" s="31" t="str">
        <f>IF('1.1 Produksi Bersih Padi 2025'!B110="","",'1.1 Produksi Bersih Padi 2025'!B110)</f>
        <v/>
      </c>
      <c r="C110" s="31" t="str">
        <f>IF('1.1 Produksi Bersih Padi 2025'!C110="","",'1.1 Produksi Bersih Padi 2025'!C110)</f>
        <v/>
      </c>
      <c r="D110" s="1" t="str">
        <f>IF('1.1 Produksi Bersih Padi 2025'!D110="","",'1.1 Produksi Bersih Padi 2025'!D110)</f>
        <v/>
      </c>
      <c r="E110" s="1" t="str">
        <f>IF('1.1 Produksi Bersih Padi 2025'!E110="","",'1.1 Produksi Bersih Padi 2025'!E110)</f>
        <v/>
      </c>
      <c r="F110" s="28" t="str">
        <f>IF(D110="","",VLOOKUP(D110,'[1]0.1 Produksi Pangan &amp; Penduduk'!$D$5:$Y$860,22,0))</f>
        <v/>
      </c>
      <c r="G110" s="30" t="str">
        <f t="shared" si="5"/>
        <v/>
      </c>
      <c r="H110" s="30" t="str">
        <f t="shared" si="6"/>
        <v/>
      </c>
      <c r="I110" s="30" t="str">
        <f t="shared" si="7"/>
        <v/>
      </c>
      <c r="J110" s="30" t="str">
        <f t="shared" si="8"/>
        <v/>
      </c>
      <c r="K110" s="30" t="str">
        <f t="shared" si="9"/>
        <v/>
      </c>
      <c r="M110" s="11"/>
    </row>
    <row r="111" spans="1:13" ht="15" x14ac:dyDescent="0.25">
      <c r="A111" s="1" t="str">
        <f>IF('1.1 Produksi Bersih Padi 2025'!A111="","",'1.1 Produksi Bersih Padi 2025'!A111)</f>
        <v/>
      </c>
      <c r="B111" s="31" t="str">
        <f>IF('1.1 Produksi Bersih Padi 2025'!B111="","",'1.1 Produksi Bersih Padi 2025'!B111)</f>
        <v/>
      </c>
      <c r="C111" s="31" t="str">
        <f>IF('1.1 Produksi Bersih Padi 2025'!C111="","",'1.1 Produksi Bersih Padi 2025'!C111)</f>
        <v/>
      </c>
      <c r="D111" s="1" t="str">
        <f>IF('1.1 Produksi Bersih Padi 2025'!D111="","",'1.1 Produksi Bersih Padi 2025'!D111)</f>
        <v/>
      </c>
      <c r="E111" s="1" t="str">
        <f>IF('1.1 Produksi Bersih Padi 2025'!E111="","",'1.1 Produksi Bersih Padi 2025'!E111)</f>
        <v/>
      </c>
      <c r="F111" s="28" t="str">
        <f>IF(D111="","",VLOOKUP(D111,'[1]0.1 Produksi Pangan &amp; Penduduk'!$D$5:$Y$860,22,0))</f>
        <v/>
      </c>
      <c r="G111" s="30" t="str">
        <f t="shared" si="5"/>
        <v/>
      </c>
      <c r="H111" s="30" t="str">
        <f t="shared" si="6"/>
        <v/>
      </c>
      <c r="I111" s="30" t="str">
        <f t="shared" si="7"/>
        <v/>
      </c>
      <c r="J111" s="30" t="str">
        <f t="shared" si="8"/>
        <v/>
      </c>
      <c r="K111" s="30" t="str">
        <f t="shared" si="9"/>
        <v/>
      </c>
      <c r="M111" s="11"/>
    </row>
    <row r="112" spans="1:13" ht="15" x14ac:dyDescent="0.25">
      <c r="A112" s="1" t="str">
        <f>IF('1.1 Produksi Bersih Padi 2025'!A112="","",'1.1 Produksi Bersih Padi 2025'!A112)</f>
        <v/>
      </c>
      <c r="B112" s="31" t="str">
        <f>IF('1.1 Produksi Bersih Padi 2025'!B112="","",'1.1 Produksi Bersih Padi 2025'!B112)</f>
        <v/>
      </c>
      <c r="C112" s="31" t="str">
        <f>IF('1.1 Produksi Bersih Padi 2025'!C112="","",'1.1 Produksi Bersih Padi 2025'!C112)</f>
        <v/>
      </c>
      <c r="D112" s="1" t="str">
        <f>IF('1.1 Produksi Bersih Padi 2025'!D112="","",'1.1 Produksi Bersih Padi 2025'!D112)</f>
        <v/>
      </c>
      <c r="E112" s="1" t="str">
        <f>IF('1.1 Produksi Bersih Padi 2025'!E112="","",'1.1 Produksi Bersih Padi 2025'!E112)</f>
        <v/>
      </c>
      <c r="F112" s="28" t="str">
        <f>IF(D112="","",VLOOKUP(D112,'[1]0.1 Produksi Pangan &amp; Penduduk'!$D$5:$Y$860,22,0))</f>
        <v/>
      </c>
      <c r="G112" s="30" t="str">
        <f t="shared" si="5"/>
        <v/>
      </c>
      <c r="H112" s="30" t="str">
        <f t="shared" si="6"/>
        <v/>
      </c>
      <c r="I112" s="30" t="str">
        <f t="shared" si="7"/>
        <v/>
      </c>
      <c r="J112" s="30" t="str">
        <f t="shared" si="8"/>
        <v/>
      </c>
      <c r="K112" s="30" t="str">
        <f t="shared" si="9"/>
        <v/>
      </c>
      <c r="M112" s="11"/>
    </row>
    <row r="113" spans="1:13" ht="15" x14ac:dyDescent="0.25">
      <c r="A113" s="1" t="str">
        <f>IF('1.1 Produksi Bersih Padi 2025'!A113="","",'1.1 Produksi Bersih Padi 2025'!A113)</f>
        <v/>
      </c>
      <c r="B113" s="31" t="str">
        <f>IF('1.1 Produksi Bersih Padi 2025'!B113="","",'1.1 Produksi Bersih Padi 2025'!B113)</f>
        <v/>
      </c>
      <c r="C113" s="31" t="str">
        <f>IF('1.1 Produksi Bersih Padi 2025'!C113="","",'1.1 Produksi Bersih Padi 2025'!C113)</f>
        <v/>
      </c>
      <c r="D113" s="1" t="str">
        <f>IF('1.1 Produksi Bersih Padi 2025'!D113="","",'1.1 Produksi Bersih Padi 2025'!D113)</f>
        <v/>
      </c>
      <c r="E113" s="1" t="str">
        <f>IF('1.1 Produksi Bersih Padi 2025'!E113="","",'1.1 Produksi Bersih Padi 2025'!E113)</f>
        <v/>
      </c>
      <c r="F113" s="28" t="str">
        <f>IF(D113="","",VLOOKUP(D113,'[1]0.1 Produksi Pangan &amp; Penduduk'!$D$5:$Y$860,22,0))</f>
        <v/>
      </c>
      <c r="G113" s="30" t="str">
        <f t="shared" si="5"/>
        <v/>
      </c>
      <c r="H113" s="30" t="str">
        <f t="shared" si="6"/>
        <v/>
      </c>
      <c r="I113" s="30" t="str">
        <f t="shared" si="7"/>
        <v/>
      </c>
      <c r="J113" s="30" t="str">
        <f t="shared" si="8"/>
        <v/>
      </c>
      <c r="K113" s="30" t="str">
        <f t="shared" si="9"/>
        <v/>
      </c>
      <c r="M113" s="11"/>
    </row>
    <row r="114" spans="1:13" ht="15" x14ac:dyDescent="0.25">
      <c r="A114" s="1" t="str">
        <f>IF('1.1 Produksi Bersih Padi 2025'!A114="","",'1.1 Produksi Bersih Padi 2025'!A114)</f>
        <v/>
      </c>
      <c r="B114" s="31" t="str">
        <f>IF('1.1 Produksi Bersih Padi 2025'!B114="","",'1.1 Produksi Bersih Padi 2025'!B114)</f>
        <v/>
      </c>
      <c r="C114" s="31" t="str">
        <f>IF('1.1 Produksi Bersih Padi 2025'!C114="","",'1.1 Produksi Bersih Padi 2025'!C114)</f>
        <v/>
      </c>
      <c r="D114" s="1" t="str">
        <f>IF('1.1 Produksi Bersih Padi 2025'!D114="","",'1.1 Produksi Bersih Padi 2025'!D114)</f>
        <v/>
      </c>
      <c r="E114" s="1" t="str">
        <f>IF('1.1 Produksi Bersih Padi 2025'!E114="","",'1.1 Produksi Bersih Padi 2025'!E114)</f>
        <v/>
      </c>
      <c r="F114" s="28" t="str">
        <f>IF(D114="","",VLOOKUP(D114,'[1]0.1 Produksi Pangan &amp; Penduduk'!$D$5:$Y$860,22,0))</f>
        <v/>
      </c>
      <c r="G114" s="30" t="str">
        <f t="shared" si="5"/>
        <v/>
      </c>
      <c r="H114" s="30" t="str">
        <f t="shared" si="6"/>
        <v/>
      </c>
      <c r="I114" s="30" t="str">
        <f t="shared" si="7"/>
        <v/>
      </c>
      <c r="J114" s="30" t="str">
        <f t="shared" si="8"/>
        <v/>
      </c>
      <c r="K114" s="30" t="str">
        <f t="shared" si="9"/>
        <v/>
      </c>
      <c r="M114" s="11"/>
    </row>
    <row r="115" spans="1:13" ht="15" x14ac:dyDescent="0.25">
      <c r="A115" s="1" t="str">
        <f>IF('1.1 Produksi Bersih Padi 2025'!A115="","",'1.1 Produksi Bersih Padi 2025'!A115)</f>
        <v/>
      </c>
      <c r="B115" s="31" t="str">
        <f>IF('1.1 Produksi Bersih Padi 2025'!B115="","",'1.1 Produksi Bersih Padi 2025'!B115)</f>
        <v/>
      </c>
      <c r="C115" s="31" t="str">
        <f>IF('1.1 Produksi Bersih Padi 2025'!C115="","",'1.1 Produksi Bersih Padi 2025'!C115)</f>
        <v/>
      </c>
      <c r="D115" s="1" t="str">
        <f>IF('1.1 Produksi Bersih Padi 2025'!D115="","",'1.1 Produksi Bersih Padi 2025'!D115)</f>
        <v/>
      </c>
      <c r="E115" s="1" t="str">
        <f>IF('1.1 Produksi Bersih Padi 2025'!E115="","",'1.1 Produksi Bersih Padi 2025'!E115)</f>
        <v/>
      </c>
      <c r="F115" s="28" t="str">
        <f>IF(D115="","",VLOOKUP(D115,'[1]0.1 Produksi Pangan &amp; Penduduk'!$D$5:$Y$860,22,0))</f>
        <v/>
      </c>
      <c r="G115" s="30" t="str">
        <f t="shared" si="5"/>
        <v/>
      </c>
      <c r="H115" s="30" t="str">
        <f t="shared" si="6"/>
        <v/>
      </c>
      <c r="I115" s="30" t="str">
        <f t="shared" si="7"/>
        <v/>
      </c>
      <c r="J115" s="30" t="str">
        <f t="shared" si="8"/>
        <v/>
      </c>
      <c r="K115" s="30" t="str">
        <f t="shared" si="9"/>
        <v/>
      </c>
      <c r="M115" s="11"/>
    </row>
    <row r="116" spans="1:13" ht="15" x14ac:dyDescent="0.25">
      <c r="A116" s="1" t="str">
        <f>IF('1.1 Produksi Bersih Padi 2025'!A116="","",'1.1 Produksi Bersih Padi 2025'!A116)</f>
        <v/>
      </c>
      <c r="B116" s="31" t="str">
        <f>IF('1.1 Produksi Bersih Padi 2025'!B116="","",'1.1 Produksi Bersih Padi 2025'!B116)</f>
        <v/>
      </c>
      <c r="C116" s="31" t="str">
        <f>IF('1.1 Produksi Bersih Padi 2025'!C116="","",'1.1 Produksi Bersih Padi 2025'!C116)</f>
        <v/>
      </c>
      <c r="D116" s="1" t="str">
        <f>IF('1.1 Produksi Bersih Padi 2025'!D116="","",'1.1 Produksi Bersih Padi 2025'!D116)</f>
        <v/>
      </c>
      <c r="E116" s="1" t="str">
        <f>IF('1.1 Produksi Bersih Padi 2025'!E116="","",'1.1 Produksi Bersih Padi 2025'!E116)</f>
        <v/>
      </c>
      <c r="F116" s="28" t="str">
        <f>IF(D116="","",VLOOKUP(D116,'[1]0.1 Produksi Pangan &amp; Penduduk'!$D$5:$Y$860,22,0))</f>
        <v/>
      </c>
      <c r="G116" s="30" t="str">
        <f t="shared" si="5"/>
        <v/>
      </c>
      <c r="H116" s="30" t="str">
        <f t="shared" si="6"/>
        <v/>
      </c>
      <c r="I116" s="30" t="str">
        <f t="shared" si="7"/>
        <v/>
      </c>
      <c r="J116" s="30" t="str">
        <f t="shared" si="8"/>
        <v/>
      </c>
      <c r="K116" s="30" t="str">
        <f t="shared" si="9"/>
        <v/>
      </c>
      <c r="M116" s="11"/>
    </row>
    <row r="117" spans="1:13" ht="15" x14ac:dyDescent="0.25">
      <c r="A117" s="1" t="str">
        <f>IF('1.1 Produksi Bersih Padi 2025'!A117="","",'1.1 Produksi Bersih Padi 2025'!A117)</f>
        <v/>
      </c>
      <c r="B117" s="31" t="str">
        <f>IF('1.1 Produksi Bersih Padi 2025'!B117="","",'1.1 Produksi Bersih Padi 2025'!B117)</f>
        <v/>
      </c>
      <c r="C117" s="31" t="str">
        <f>IF('1.1 Produksi Bersih Padi 2025'!C117="","",'1.1 Produksi Bersih Padi 2025'!C117)</f>
        <v/>
      </c>
      <c r="D117" s="1" t="str">
        <f>IF('1.1 Produksi Bersih Padi 2025'!D117="","",'1.1 Produksi Bersih Padi 2025'!D117)</f>
        <v/>
      </c>
      <c r="E117" s="1" t="str">
        <f>IF('1.1 Produksi Bersih Padi 2025'!E117="","",'1.1 Produksi Bersih Padi 2025'!E117)</f>
        <v/>
      </c>
      <c r="F117" s="28" t="str">
        <f>IF(D117="","",VLOOKUP(D117,'[1]0.1 Produksi Pangan &amp; Penduduk'!$D$5:$Y$860,22,0))</f>
        <v/>
      </c>
      <c r="G117" s="30" t="str">
        <f t="shared" si="5"/>
        <v/>
      </c>
      <c r="H117" s="30" t="str">
        <f t="shared" si="6"/>
        <v/>
      </c>
      <c r="I117" s="30" t="str">
        <f t="shared" si="7"/>
        <v/>
      </c>
      <c r="J117" s="30" t="str">
        <f t="shared" si="8"/>
        <v/>
      </c>
      <c r="K117" s="30" t="str">
        <f t="shared" si="9"/>
        <v/>
      </c>
      <c r="M117" s="11"/>
    </row>
    <row r="118" spans="1:13" ht="15" x14ac:dyDescent="0.25">
      <c r="A118" s="1" t="str">
        <f>IF('1.1 Produksi Bersih Padi 2025'!A118="","",'1.1 Produksi Bersih Padi 2025'!A118)</f>
        <v/>
      </c>
      <c r="B118" s="31" t="str">
        <f>IF('1.1 Produksi Bersih Padi 2025'!B118="","",'1.1 Produksi Bersih Padi 2025'!B118)</f>
        <v/>
      </c>
      <c r="C118" s="31" t="str">
        <f>IF('1.1 Produksi Bersih Padi 2025'!C118="","",'1.1 Produksi Bersih Padi 2025'!C118)</f>
        <v/>
      </c>
      <c r="D118" s="1" t="str">
        <f>IF('1.1 Produksi Bersih Padi 2025'!D118="","",'1.1 Produksi Bersih Padi 2025'!D118)</f>
        <v/>
      </c>
      <c r="E118" s="1" t="str">
        <f>IF('1.1 Produksi Bersih Padi 2025'!E118="","",'1.1 Produksi Bersih Padi 2025'!E118)</f>
        <v/>
      </c>
      <c r="F118" s="28" t="str">
        <f>IF(D118="","",VLOOKUP(D118,'[1]0.1 Produksi Pangan &amp; Penduduk'!$D$5:$Y$860,22,0))</f>
        <v/>
      </c>
      <c r="G118" s="30" t="str">
        <f t="shared" si="5"/>
        <v/>
      </c>
      <c r="H118" s="30" t="str">
        <f t="shared" si="6"/>
        <v/>
      </c>
      <c r="I118" s="30" t="str">
        <f t="shared" si="7"/>
        <v/>
      </c>
      <c r="J118" s="30" t="str">
        <f t="shared" si="8"/>
        <v/>
      </c>
      <c r="K118" s="30" t="str">
        <f t="shared" si="9"/>
        <v/>
      </c>
      <c r="M118" s="11"/>
    </row>
    <row r="119" spans="1:13" ht="15" x14ac:dyDescent="0.25">
      <c r="A119" s="1" t="str">
        <f>IF('1.1 Produksi Bersih Padi 2025'!A119="","",'1.1 Produksi Bersih Padi 2025'!A119)</f>
        <v/>
      </c>
      <c r="B119" s="31" t="str">
        <f>IF('1.1 Produksi Bersih Padi 2025'!B119="","",'1.1 Produksi Bersih Padi 2025'!B119)</f>
        <v/>
      </c>
      <c r="C119" s="31" t="str">
        <f>IF('1.1 Produksi Bersih Padi 2025'!C119="","",'1.1 Produksi Bersih Padi 2025'!C119)</f>
        <v/>
      </c>
      <c r="D119" s="1" t="str">
        <f>IF('1.1 Produksi Bersih Padi 2025'!D119="","",'1.1 Produksi Bersih Padi 2025'!D119)</f>
        <v/>
      </c>
      <c r="E119" s="1" t="str">
        <f>IF('1.1 Produksi Bersih Padi 2025'!E119="","",'1.1 Produksi Bersih Padi 2025'!E119)</f>
        <v/>
      </c>
      <c r="F119" s="28" t="str">
        <f>IF(D119="","",VLOOKUP(D119,'[1]0.1 Produksi Pangan &amp; Penduduk'!$D$5:$Y$860,22,0))</f>
        <v/>
      </c>
      <c r="G119" s="30" t="str">
        <f t="shared" si="5"/>
        <v/>
      </c>
      <c r="H119" s="30" t="str">
        <f t="shared" si="6"/>
        <v/>
      </c>
      <c r="I119" s="30" t="str">
        <f t="shared" si="7"/>
        <v/>
      </c>
      <c r="J119" s="30" t="str">
        <f t="shared" si="8"/>
        <v/>
      </c>
      <c r="K119" s="30" t="str">
        <f t="shared" si="9"/>
        <v/>
      </c>
      <c r="M119" s="11"/>
    </row>
    <row r="120" spans="1:13" ht="15" x14ac:dyDescent="0.25">
      <c r="A120" s="1" t="str">
        <f>IF('1.1 Produksi Bersih Padi 2025'!A120="","",'1.1 Produksi Bersih Padi 2025'!A120)</f>
        <v/>
      </c>
      <c r="B120" s="31" t="str">
        <f>IF('1.1 Produksi Bersih Padi 2025'!B120="","",'1.1 Produksi Bersih Padi 2025'!B120)</f>
        <v/>
      </c>
      <c r="C120" s="31" t="str">
        <f>IF('1.1 Produksi Bersih Padi 2025'!C120="","",'1.1 Produksi Bersih Padi 2025'!C120)</f>
        <v/>
      </c>
      <c r="D120" s="1" t="str">
        <f>IF('1.1 Produksi Bersih Padi 2025'!D120="","",'1.1 Produksi Bersih Padi 2025'!D120)</f>
        <v/>
      </c>
      <c r="E120" s="1" t="str">
        <f>IF('1.1 Produksi Bersih Padi 2025'!E120="","",'1.1 Produksi Bersih Padi 2025'!E120)</f>
        <v/>
      </c>
      <c r="F120" s="28" t="str">
        <f>IF(D120="","",VLOOKUP(D120,'[1]0.1 Produksi Pangan &amp; Penduduk'!$D$5:$Y$860,22,0))</f>
        <v/>
      </c>
      <c r="G120" s="30" t="str">
        <f t="shared" si="5"/>
        <v/>
      </c>
      <c r="H120" s="30" t="str">
        <f t="shared" si="6"/>
        <v/>
      </c>
      <c r="I120" s="30" t="str">
        <f t="shared" si="7"/>
        <v/>
      </c>
      <c r="J120" s="30" t="str">
        <f t="shared" si="8"/>
        <v/>
      </c>
      <c r="K120" s="30" t="str">
        <f t="shared" si="9"/>
        <v/>
      </c>
      <c r="M120" s="11"/>
    </row>
    <row r="121" spans="1:13" ht="15" x14ac:dyDescent="0.25">
      <c r="A121" s="1" t="str">
        <f>IF('1.1 Produksi Bersih Padi 2025'!A121="","",'1.1 Produksi Bersih Padi 2025'!A121)</f>
        <v/>
      </c>
      <c r="B121" s="31" t="str">
        <f>IF('1.1 Produksi Bersih Padi 2025'!B121="","",'1.1 Produksi Bersih Padi 2025'!B121)</f>
        <v/>
      </c>
      <c r="C121" s="31" t="str">
        <f>IF('1.1 Produksi Bersih Padi 2025'!C121="","",'1.1 Produksi Bersih Padi 2025'!C121)</f>
        <v/>
      </c>
      <c r="D121" s="1" t="str">
        <f>IF('1.1 Produksi Bersih Padi 2025'!D121="","",'1.1 Produksi Bersih Padi 2025'!D121)</f>
        <v/>
      </c>
      <c r="E121" s="1" t="str">
        <f>IF('1.1 Produksi Bersih Padi 2025'!E121="","",'1.1 Produksi Bersih Padi 2025'!E121)</f>
        <v/>
      </c>
      <c r="F121" s="28" t="str">
        <f>IF(D121="","",VLOOKUP(D121,'[1]0.1 Produksi Pangan &amp; Penduduk'!$D$5:$Y$860,22,0))</f>
        <v/>
      </c>
      <c r="G121" s="30" t="str">
        <f t="shared" si="5"/>
        <v/>
      </c>
      <c r="H121" s="30" t="str">
        <f t="shared" si="6"/>
        <v/>
      </c>
      <c r="I121" s="30" t="str">
        <f t="shared" si="7"/>
        <v/>
      </c>
      <c r="J121" s="30" t="str">
        <f t="shared" si="8"/>
        <v/>
      </c>
      <c r="K121" s="30" t="str">
        <f t="shared" si="9"/>
        <v/>
      </c>
      <c r="M121" s="11"/>
    </row>
    <row r="122" spans="1:13" ht="15" x14ac:dyDescent="0.25">
      <c r="A122" s="1" t="str">
        <f>IF('1.1 Produksi Bersih Padi 2025'!A122="","",'1.1 Produksi Bersih Padi 2025'!A122)</f>
        <v/>
      </c>
      <c r="B122" s="31" t="str">
        <f>IF('1.1 Produksi Bersih Padi 2025'!B122="","",'1.1 Produksi Bersih Padi 2025'!B122)</f>
        <v/>
      </c>
      <c r="C122" s="31" t="str">
        <f>IF('1.1 Produksi Bersih Padi 2025'!C122="","",'1.1 Produksi Bersih Padi 2025'!C122)</f>
        <v/>
      </c>
      <c r="D122" s="1" t="str">
        <f>IF('1.1 Produksi Bersih Padi 2025'!D122="","",'1.1 Produksi Bersih Padi 2025'!D122)</f>
        <v/>
      </c>
      <c r="E122" s="1" t="str">
        <f>IF('1.1 Produksi Bersih Padi 2025'!E122="","",'1.1 Produksi Bersih Padi 2025'!E122)</f>
        <v/>
      </c>
      <c r="F122" s="28" t="str">
        <f>IF(D122="","",VLOOKUP(D122,'[1]0.1 Produksi Pangan &amp; Penduduk'!$D$5:$Y$860,22,0))</f>
        <v/>
      </c>
      <c r="G122" s="30" t="str">
        <f t="shared" si="5"/>
        <v/>
      </c>
      <c r="H122" s="30" t="str">
        <f t="shared" si="6"/>
        <v/>
      </c>
      <c r="I122" s="30" t="str">
        <f t="shared" si="7"/>
        <v/>
      </c>
      <c r="J122" s="30" t="str">
        <f t="shared" si="8"/>
        <v/>
      </c>
      <c r="K122" s="30" t="str">
        <f t="shared" si="9"/>
        <v/>
      </c>
      <c r="M122" s="11"/>
    </row>
    <row r="123" spans="1:13" ht="15" x14ac:dyDescent="0.25">
      <c r="A123" s="1" t="str">
        <f>IF('1.1 Produksi Bersih Padi 2025'!A123="","",'1.1 Produksi Bersih Padi 2025'!A123)</f>
        <v/>
      </c>
      <c r="B123" s="31" t="str">
        <f>IF('1.1 Produksi Bersih Padi 2025'!B123="","",'1.1 Produksi Bersih Padi 2025'!B123)</f>
        <v/>
      </c>
      <c r="C123" s="31" t="str">
        <f>IF('1.1 Produksi Bersih Padi 2025'!C123="","",'1.1 Produksi Bersih Padi 2025'!C123)</f>
        <v/>
      </c>
      <c r="D123" s="1" t="str">
        <f>IF('1.1 Produksi Bersih Padi 2025'!D123="","",'1.1 Produksi Bersih Padi 2025'!D123)</f>
        <v/>
      </c>
      <c r="E123" s="1" t="str">
        <f>IF('1.1 Produksi Bersih Padi 2025'!E123="","",'1.1 Produksi Bersih Padi 2025'!E123)</f>
        <v/>
      </c>
      <c r="F123" s="28" t="str">
        <f>IF(D123="","",VLOOKUP(D123,'[1]0.1 Produksi Pangan &amp; Penduduk'!$D$5:$Y$860,22,0))</f>
        <v/>
      </c>
      <c r="G123" s="30" t="str">
        <f t="shared" si="5"/>
        <v/>
      </c>
      <c r="H123" s="30" t="str">
        <f t="shared" si="6"/>
        <v/>
      </c>
      <c r="I123" s="30" t="str">
        <f t="shared" si="7"/>
        <v/>
      </c>
      <c r="J123" s="30" t="str">
        <f t="shared" si="8"/>
        <v/>
      </c>
      <c r="K123" s="30" t="str">
        <f t="shared" si="9"/>
        <v/>
      </c>
      <c r="M123" s="11"/>
    </row>
    <row r="124" spans="1:13" ht="15" x14ac:dyDescent="0.25">
      <c r="A124" s="1" t="str">
        <f>IF('1.1 Produksi Bersih Padi 2025'!A124="","",'1.1 Produksi Bersih Padi 2025'!A124)</f>
        <v/>
      </c>
      <c r="B124" s="31" t="str">
        <f>IF('1.1 Produksi Bersih Padi 2025'!B124="","",'1.1 Produksi Bersih Padi 2025'!B124)</f>
        <v/>
      </c>
      <c r="C124" s="31" t="str">
        <f>IF('1.1 Produksi Bersih Padi 2025'!C124="","",'1.1 Produksi Bersih Padi 2025'!C124)</f>
        <v/>
      </c>
      <c r="D124" s="1" t="str">
        <f>IF('1.1 Produksi Bersih Padi 2025'!D124="","",'1.1 Produksi Bersih Padi 2025'!D124)</f>
        <v/>
      </c>
      <c r="E124" s="1" t="str">
        <f>IF('1.1 Produksi Bersih Padi 2025'!E124="","",'1.1 Produksi Bersih Padi 2025'!E124)</f>
        <v/>
      </c>
      <c r="F124" s="28" t="str">
        <f>IF(D124="","",VLOOKUP(D124,'[1]0.1 Produksi Pangan &amp; Penduduk'!$D$5:$Y$860,22,0))</f>
        <v/>
      </c>
      <c r="G124" s="30" t="str">
        <f t="shared" si="5"/>
        <v/>
      </c>
      <c r="H124" s="30" t="str">
        <f t="shared" si="6"/>
        <v/>
      </c>
      <c r="I124" s="30" t="str">
        <f t="shared" si="7"/>
        <v/>
      </c>
      <c r="J124" s="30" t="str">
        <f t="shared" si="8"/>
        <v/>
      </c>
      <c r="K124" s="30" t="str">
        <f t="shared" si="9"/>
        <v/>
      </c>
      <c r="M124" s="11"/>
    </row>
    <row r="125" spans="1:13" ht="15" x14ac:dyDescent="0.25">
      <c r="A125" s="1" t="str">
        <f>IF('1.1 Produksi Bersih Padi 2025'!A125="","",'1.1 Produksi Bersih Padi 2025'!A125)</f>
        <v/>
      </c>
      <c r="B125" s="31" t="str">
        <f>IF('1.1 Produksi Bersih Padi 2025'!B125="","",'1.1 Produksi Bersih Padi 2025'!B125)</f>
        <v/>
      </c>
      <c r="C125" s="31" t="str">
        <f>IF('1.1 Produksi Bersih Padi 2025'!C125="","",'1.1 Produksi Bersih Padi 2025'!C125)</f>
        <v/>
      </c>
      <c r="D125" s="1" t="str">
        <f>IF('1.1 Produksi Bersih Padi 2025'!D125="","",'1.1 Produksi Bersih Padi 2025'!D125)</f>
        <v/>
      </c>
      <c r="E125" s="1" t="str">
        <f>IF('1.1 Produksi Bersih Padi 2025'!E125="","",'1.1 Produksi Bersih Padi 2025'!E125)</f>
        <v/>
      </c>
      <c r="F125" s="28" t="str">
        <f>IF(D125="","",VLOOKUP(D125,'[1]0.1 Produksi Pangan &amp; Penduduk'!$D$5:$Y$860,22,0))</f>
        <v/>
      </c>
      <c r="G125" s="30" t="str">
        <f t="shared" si="5"/>
        <v/>
      </c>
      <c r="H125" s="30" t="str">
        <f t="shared" si="6"/>
        <v/>
      </c>
      <c r="I125" s="30" t="str">
        <f t="shared" si="7"/>
        <v/>
      </c>
      <c r="J125" s="30" t="str">
        <f t="shared" si="8"/>
        <v/>
      </c>
      <c r="K125" s="30" t="str">
        <f t="shared" si="9"/>
        <v/>
      </c>
      <c r="M125" s="11"/>
    </row>
    <row r="126" spans="1:13" ht="15" x14ac:dyDescent="0.25">
      <c r="A126" s="1" t="str">
        <f>IF('1.1 Produksi Bersih Padi 2025'!A126="","",'1.1 Produksi Bersih Padi 2025'!A126)</f>
        <v/>
      </c>
      <c r="B126" s="31" t="str">
        <f>IF('1.1 Produksi Bersih Padi 2025'!B126="","",'1.1 Produksi Bersih Padi 2025'!B126)</f>
        <v/>
      </c>
      <c r="C126" s="31" t="str">
        <f>IF('1.1 Produksi Bersih Padi 2025'!C126="","",'1.1 Produksi Bersih Padi 2025'!C126)</f>
        <v/>
      </c>
      <c r="D126" s="1" t="str">
        <f>IF('1.1 Produksi Bersih Padi 2025'!D126="","",'1.1 Produksi Bersih Padi 2025'!D126)</f>
        <v/>
      </c>
      <c r="E126" s="1" t="str">
        <f>IF('1.1 Produksi Bersih Padi 2025'!E126="","",'1.1 Produksi Bersih Padi 2025'!E126)</f>
        <v/>
      </c>
      <c r="F126" s="28" t="str">
        <f>IF(D126="","",VLOOKUP(D126,'[1]0.1 Produksi Pangan &amp; Penduduk'!$D$5:$Y$860,22,0))</f>
        <v/>
      </c>
      <c r="G126" s="30" t="str">
        <f t="shared" si="5"/>
        <v/>
      </c>
      <c r="H126" s="30" t="str">
        <f t="shared" si="6"/>
        <v/>
      </c>
      <c r="I126" s="30" t="str">
        <f t="shared" si="7"/>
        <v/>
      </c>
      <c r="J126" s="30" t="str">
        <f t="shared" si="8"/>
        <v/>
      </c>
      <c r="K126" s="30" t="str">
        <f t="shared" si="9"/>
        <v/>
      </c>
      <c r="M126" s="11"/>
    </row>
    <row r="127" spans="1:13" ht="15" x14ac:dyDescent="0.25">
      <c r="A127" s="1" t="str">
        <f>IF('1.1 Produksi Bersih Padi 2025'!A127="","",'1.1 Produksi Bersih Padi 2025'!A127)</f>
        <v/>
      </c>
      <c r="B127" s="31" t="str">
        <f>IF('1.1 Produksi Bersih Padi 2025'!B127="","",'1.1 Produksi Bersih Padi 2025'!B127)</f>
        <v/>
      </c>
      <c r="C127" s="31" t="str">
        <f>IF('1.1 Produksi Bersih Padi 2025'!C127="","",'1.1 Produksi Bersih Padi 2025'!C127)</f>
        <v/>
      </c>
      <c r="D127" s="1" t="str">
        <f>IF('1.1 Produksi Bersih Padi 2025'!D127="","",'1.1 Produksi Bersih Padi 2025'!D127)</f>
        <v/>
      </c>
      <c r="E127" s="1" t="str">
        <f>IF('1.1 Produksi Bersih Padi 2025'!E127="","",'1.1 Produksi Bersih Padi 2025'!E127)</f>
        <v/>
      </c>
      <c r="F127" s="28" t="str">
        <f>IF(D127="","",VLOOKUP(D127,'[1]0.1 Produksi Pangan &amp; Penduduk'!$D$5:$Y$860,22,0))</f>
        <v/>
      </c>
      <c r="G127" s="30" t="str">
        <f t="shared" si="5"/>
        <v/>
      </c>
      <c r="H127" s="30" t="str">
        <f t="shared" si="6"/>
        <v/>
      </c>
      <c r="I127" s="30" t="str">
        <f t="shared" si="7"/>
        <v/>
      </c>
      <c r="J127" s="30" t="str">
        <f t="shared" si="8"/>
        <v/>
      </c>
      <c r="K127" s="30" t="str">
        <f t="shared" si="9"/>
        <v/>
      </c>
      <c r="M127" s="11"/>
    </row>
    <row r="128" spans="1:13" ht="15" x14ac:dyDescent="0.25">
      <c r="A128" s="1" t="str">
        <f>IF('1.1 Produksi Bersih Padi 2025'!A128="","",'1.1 Produksi Bersih Padi 2025'!A128)</f>
        <v/>
      </c>
      <c r="B128" s="31" t="str">
        <f>IF('1.1 Produksi Bersih Padi 2025'!B128="","",'1.1 Produksi Bersih Padi 2025'!B128)</f>
        <v/>
      </c>
      <c r="C128" s="31" t="str">
        <f>IF('1.1 Produksi Bersih Padi 2025'!C128="","",'1.1 Produksi Bersih Padi 2025'!C128)</f>
        <v/>
      </c>
      <c r="D128" s="1" t="str">
        <f>IF('1.1 Produksi Bersih Padi 2025'!D128="","",'1.1 Produksi Bersih Padi 2025'!D128)</f>
        <v/>
      </c>
      <c r="E128" s="1" t="str">
        <f>IF('1.1 Produksi Bersih Padi 2025'!E128="","",'1.1 Produksi Bersih Padi 2025'!E128)</f>
        <v/>
      </c>
      <c r="F128" s="28" t="str">
        <f>IF(D128="","",VLOOKUP(D128,'[1]0.1 Produksi Pangan &amp; Penduduk'!$D$5:$Y$860,22,0))</f>
        <v/>
      </c>
      <c r="G128" s="30" t="str">
        <f t="shared" si="5"/>
        <v/>
      </c>
      <c r="H128" s="30" t="str">
        <f t="shared" si="6"/>
        <v/>
      </c>
      <c r="I128" s="30" t="str">
        <f t="shared" si="7"/>
        <v/>
      </c>
      <c r="J128" s="30" t="str">
        <f t="shared" si="8"/>
        <v/>
      </c>
      <c r="K128" s="30" t="str">
        <f t="shared" si="9"/>
        <v/>
      </c>
      <c r="M128" s="11"/>
    </row>
    <row r="129" spans="1:13" ht="15" x14ac:dyDescent="0.25">
      <c r="A129" s="1" t="str">
        <f>IF('1.1 Produksi Bersih Padi 2025'!A129="","",'1.1 Produksi Bersih Padi 2025'!A129)</f>
        <v/>
      </c>
      <c r="B129" s="31" t="str">
        <f>IF('1.1 Produksi Bersih Padi 2025'!B129="","",'1.1 Produksi Bersih Padi 2025'!B129)</f>
        <v/>
      </c>
      <c r="C129" s="31" t="str">
        <f>IF('1.1 Produksi Bersih Padi 2025'!C129="","",'1.1 Produksi Bersih Padi 2025'!C129)</f>
        <v/>
      </c>
      <c r="D129" s="1" t="str">
        <f>IF('1.1 Produksi Bersih Padi 2025'!D129="","",'1.1 Produksi Bersih Padi 2025'!D129)</f>
        <v/>
      </c>
      <c r="E129" s="1" t="str">
        <f>IF('1.1 Produksi Bersih Padi 2025'!E129="","",'1.1 Produksi Bersih Padi 2025'!E129)</f>
        <v/>
      </c>
      <c r="F129" s="28" t="str">
        <f>IF(D129="","",VLOOKUP(D129,'[1]0.1 Produksi Pangan &amp; Penduduk'!$D$5:$Y$860,22,0))</f>
        <v/>
      </c>
      <c r="G129" s="30" t="str">
        <f t="shared" si="5"/>
        <v/>
      </c>
      <c r="H129" s="30" t="str">
        <f t="shared" si="6"/>
        <v/>
      </c>
      <c r="I129" s="30" t="str">
        <f t="shared" si="7"/>
        <v/>
      </c>
      <c r="J129" s="30" t="str">
        <f t="shared" si="8"/>
        <v/>
      </c>
      <c r="K129" s="30" t="str">
        <f t="shared" si="9"/>
        <v/>
      </c>
      <c r="M129" s="11"/>
    </row>
    <row r="130" spans="1:13" ht="15" x14ac:dyDescent="0.25">
      <c r="A130" s="1" t="str">
        <f>IF('1.1 Produksi Bersih Padi 2025'!A130="","",'1.1 Produksi Bersih Padi 2025'!A130)</f>
        <v/>
      </c>
      <c r="B130" s="31" t="str">
        <f>IF('1.1 Produksi Bersih Padi 2025'!B130="","",'1.1 Produksi Bersih Padi 2025'!B130)</f>
        <v/>
      </c>
      <c r="C130" s="31" t="str">
        <f>IF('1.1 Produksi Bersih Padi 2025'!C130="","",'1.1 Produksi Bersih Padi 2025'!C130)</f>
        <v/>
      </c>
      <c r="D130" s="1" t="str">
        <f>IF('1.1 Produksi Bersih Padi 2025'!D130="","",'1.1 Produksi Bersih Padi 2025'!D130)</f>
        <v/>
      </c>
      <c r="E130" s="1" t="str">
        <f>IF('1.1 Produksi Bersih Padi 2025'!E130="","",'1.1 Produksi Bersih Padi 2025'!E130)</f>
        <v/>
      </c>
      <c r="F130" s="28" t="str">
        <f>IF(D130="","",VLOOKUP(D130,'[1]0.1 Produksi Pangan &amp; Penduduk'!$D$5:$Y$860,22,0))</f>
        <v/>
      </c>
      <c r="G130" s="30" t="str">
        <f t="shared" si="5"/>
        <v/>
      </c>
      <c r="H130" s="30" t="str">
        <f t="shared" si="6"/>
        <v/>
      </c>
      <c r="I130" s="30" t="str">
        <f t="shared" si="7"/>
        <v/>
      </c>
      <c r="J130" s="30" t="str">
        <f t="shared" si="8"/>
        <v/>
      </c>
      <c r="K130" s="30" t="str">
        <f t="shared" si="9"/>
        <v/>
      </c>
      <c r="M130" s="11"/>
    </row>
    <row r="131" spans="1:13" ht="15" x14ac:dyDescent="0.25">
      <c r="A131" s="1" t="str">
        <f>IF('1.1 Produksi Bersih Padi 2025'!A131="","",'1.1 Produksi Bersih Padi 2025'!A131)</f>
        <v/>
      </c>
      <c r="B131" s="31" t="str">
        <f>IF('1.1 Produksi Bersih Padi 2025'!B131="","",'1.1 Produksi Bersih Padi 2025'!B131)</f>
        <v/>
      </c>
      <c r="C131" s="31" t="str">
        <f>IF('1.1 Produksi Bersih Padi 2025'!C131="","",'1.1 Produksi Bersih Padi 2025'!C131)</f>
        <v/>
      </c>
      <c r="D131" s="1" t="str">
        <f>IF('1.1 Produksi Bersih Padi 2025'!D131="","",'1.1 Produksi Bersih Padi 2025'!D131)</f>
        <v/>
      </c>
      <c r="E131" s="1" t="str">
        <f>IF('1.1 Produksi Bersih Padi 2025'!E131="","",'1.1 Produksi Bersih Padi 2025'!E131)</f>
        <v/>
      </c>
      <c r="F131" s="28" t="str">
        <f>IF(D131="","",VLOOKUP(D131,'[1]0.1 Produksi Pangan &amp; Penduduk'!$D$5:$Y$860,22,0))</f>
        <v/>
      </c>
      <c r="G131" s="30" t="str">
        <f t="shared" si="5"/>
        <v/>
      </c>
      <c r="H131" s="30" t="str">
        <f t="shared" si="6"/>
        <v/>
      </c>
      <c r="I131" s="30" t="str">
        <f t="shared" si="7"/>
        <v/>
      </c>
      <c r="J131" s="30" t="str">
        <f t="shared" si="8"/>
        <v/>
      </c>
      <c r="K131" s="30" t="str">
        <f t="shared" si="9"/>
        <v/>
      </c>
      <c r="M131" s="11"/>
    </row>
    <row r="132" spans="1:13" ht="15" x14ac:dyDescent="0.25">
      <c r="A132" s="1" t="str">
        <f>IF('1.1 Produksi Bersih Padi 2025'!A132="","",'1.1 Produksi Bersih Padi 2025'!A132)</f>
        <v/>
      </c>
      <c r="B132" s="31" t="str">
        <f>IF('1.1 Produksi Bersih Padi 2025'!B132="","",'1.1 Produksi Bersih Padi 2025'!B132)</f>
        <v/>
      </c>
      <c r="C132" s="31" t="str">
        <f>IF('1.1 Produksi Bersih Padi 2025'!C132="","",'1.1 Produksi Bersih Padi 2025'!C132)</f>
        <v/>
      </c>
      <c r="D132" s="1" t="str">
        <f>IF('1.1 Produksi Bersih Padi 2025'!D132="","",'1.1 Produksi Bersih Padi 2025'!D132)</f>
        <v/>
      </c>
      <c r="E132" s="1" t="str">
        <f>IF('1.1 Produksi Bersih Padi 2025'!E132="","",'1.1 Produksi Bersih Padi 2025'!E132)</f>
        <v/>
      </c>
      <c r="F132" s="28" t="str">
        <f>IF(D132="","",VLOOKUP(D132,'[1]0.1 Produksi Pangan &amp; Penduduk'!$D$5:$Y$860,22,0))</f>
        <v/>
      </c>
      <c r="G132" s="30" t="str">
        <f t="shared" si="5"/>
        <v/>
      </c>
      <c r="H132" s="30" t="str">
        <f t="shared" si="6"/>
        <v/>
      </c>
      <c r="I132" s="30" t="str">
        <f t="shared" si="7"/>
        <v/>
      </c>
      <c r="J132" s="30" t="str">
        <f t="shared" si="8"/>
        <v/>
      </c>
      <c r="K132" s="30" t="str">
        <f t="shared" si="9"/>
        <v/>
      </c>
      <c r="M132" s="11"/>
    </row>
    <row r="133" spans="1:13" ht="15" x14ac:dyDescent="0.25">
      <c r="A133" s="1" t="str">
        <f>IF('1.1 Produksi Bersih Padi 2025'!A133="","",'1.1 Produksi Bersih Padi 2025'!A133)</f>
        <v/>
      </c>
      <c r="B133" s="31" t="str">
        <f>IF('1.1 Produksi Bersih Padi 2025'!B133="","",'1.1 Produksi Bersih Padi 2025'!B133)</f>
        <v/>
      </c>
      <c r="C133" s="31" t="str">
        <f>IF('1.1 Produksi Bersih Padi 2025'!C133="","",'1.1 Produksi Bersih Padi 2025'!C133)</f>
        <v/>
      </c>
      <c r="D133" s="1" t="str">
        <f>IF('1.1 Produksi Bersih Padi 2025'!D133="","",'1.1 Produksi Bersih Padi 2025'!D133)</f>
        <v/>
      </c>
      <c r="E133" s="1" t="str">
        <f>IF('1.1 Produksi Bersih Padi 2025'!E133="","",'1.1 Produksi Bersih Padi 2025'!E133)</f>
        <v/>
      </c>
      <c r="F133" s="28" t="str">
        <f>IF(D133="","",VLOOKUP(D133,'[1]0.1 Produksi Pangan &amp; Penduduk'!$D$5:$Y$860,22,0))</f>
        <v/>
      </c>
      <c r="G133" s="30" t="str">
        <f t="shared" si="5"/>
        <v/>
      </c>
      <c r="H133" s="30" t="str">
        <f t="shared" si="6"/>
        <v/>
      </c>
      <c r="I133" s="30" t="str">
        <f t="shared" si="7"/>
        <v/>
      </c>
      <c r="J133" s="30" t="str">
        <f t="shared" si="8"/>
        <v/>
      </c>
      <c r="K133" s="30" t="str">
        <f t="shared" si="9"/>
        <v/>
      </c>
      <c r="M133" s="11"/>
    </row>
    <row r="134" spans="1:13" ht="15" x14ac:dyDescent="0.25">
      <c r="A134" s="1" t="str">
        <f>IF('1.1 Produksi Bersih Padi 2025'!A134="","",'1.1 Produksi Bersih Padi 2025'!A134)</f>
        <v/>
      </c>
      <c r="B134" s="31" t="str">
        <f>IF('1.1 Produksi Bersih Padi 2025'!B134="","",'1.1 Produksi Bersih Padi 2025'!B134)</f>
        <v/>
      </c>
      <c r="C134" s="31" t="str">
        <f>IF('1.1 Produksi Bersih Padi 2025'!C134="","",'1.1 Produksi Bersih Padi 2025'!C134)</f>
        <v/>
      </c>
      <c r="D134" s="1" t="str">
        <f>IF('1.1 Produksi Bersih Padi 2025'!D134="","",'1.1 Produksi Bersih Padi 2025'!D134)</f>
        <v/>
      </c>
      <c r="E134" s="1" t="str">
        <f>IF('1.1 Produksi Bersih Padi 2025'!E134="","",'1.1 Produksi Bersih Padi 2025'!E134)</f>
        <v/>
      </c>
      <c r="F134" s="28" t="str">
        <f>IF(D134="","",VLOOKUP(D134,'[1]0.1 Produksi Pangan &amp; Penduduk'!$D$5:$Y$860,22,0))</f>
        <v/>
      </c>
      <c r="G134" s="30" t="str">
        <f t="shared" ref="G134:G197" si="10">IF(F134="","",F134*0%)</f>
        <v/>
      </c>
      <c r="H134" s="30" t="str">
        <f t="shared" ref="H134:H197" si="11">IF(F134="","",F134*0.43%)</f>
        <v/>
      </c>
      <c r="I134" s="30" t="str">
        <f t="shared" ref="I134:I197" si="12">IF(F134="","",F134*4.23%)</f>
        <v/>
      </c>
      <c r="J134" s="30" t="str">
        <f t="shared" ref="J134:J197" si="13">IF(F134="","",F134-(G134+H134+I134))</f>
        <v/>
      </c>
      <c r="K134" s="30" t="str">
        <f t="shared" ref="K134:K197" si="14">IF(J134="","",J134*0.363)</f>
        <v/>
      </c>
      <c r="M134" s="11"/>
    </row>
    <row r="135" spans="1:13" ht="15" x14ac:dyDescent="0.25">
      <c r="A135" s="1" t="str">
        <f>IF('1.1 Produksi Bersih Padi 2025'!A135="","",'1.1 Produksi Bersih Padi 2025'!A135)</f>
        <v/>
      </c>
      <c r="B135" s="31" t="str">
        <f>IF('1.1 Produksi Bersih Padi 2025'!B135="","",'1.1 Produksi Bersih Padi 2025'!B135)</f>
        <v/>
      </c>
      <c r="C135" s="31" t="str">
        <f>IF('1.1 Produksi Bersih Padi 2025'!C135="","",'1.1 Produksi Bersih Padi 2025'!C135)</f>
        <v/>
      </c>
      <c r="D135" s="1" t="str">
        <f>IF('1.1 Produksi Bersih Padi 2025'!D135="","",'1.1 Produksi Bersih Padi 2025'!D135)</f>
        <v/>
      </c>
      <c r="E135" s="1" t="str">
        <f>IF('1.1 Produksi Bersih Padi 2025'!E135="","",'1.1 Produksi Bersih Padi 2025'!E135)</f>
        <v/>
      </c>
      <c r="F135" s="28" t="str">
        <f>IF(D135="","",VLOOKUP(D135,'[1]0.1 Produksi Pangan &amp; Penduduk'!$D$5:$Y$860,22,0))</f>
        <v/>
      </c>
      <c r="G135" s="30" t="str">
        <f t="shared" si="10"/>
        <v/>
      </c>
      <c r="H135" s="30" t="str">
        <f t="shared" si="11"/>
        <v/>
      </c>
      <c r="I135" s="30" t="str">
        <f t="shared" si="12"/>
        <v/>
      </c>
      <c r="J135" s="30" t="str">
        <f t="shared" si="13"/>
        <v/>
      </c>
      <c r="K135" s="30" t="str">
        <f t="shared" si="14"/>
        <v/>
      </c>
      <c r="M135" s="11"/>
    </row>
    <row r="136" spans="1:13" ht="15" x14ac:dyDescent="0.25">
      <c r="A136" s="1" t="str">
        <f>IF('1.1 Produksi Bersih Padi 2025'!A136="","",'1.1 Produksi Bersih Padi 2025'!A136)</f>
        <v/>
      </c>
      <c r="B136" s="31" t="str">
        <f>IF('1.1 Produksi Bersih Padi 2025'!B136="","",'1.1 Produksi Bersih Padi 2025'!B136)</f>
        <v/>
      </c>
      <c r="C136" s="31" t="str">
        <f>IF('1.1 Produksi Bersih Padi 2025'!C136="","",'1.1 Produksi Bersih Padi 2025'!C136)</f>
        <v/>
      </c>
      <c r="D136" s="1" t="str">
        <f>IF('1.1 Produksi Bersih Padi 2025'!D136="","",'1.1 Produksi Bersih Padi 2025'!D136)</f>
        <v/>
      </c>
      <c r="E136" s="1" t="str">
        <f>IF('1.1 Produksi Bersih Padi 2025'!E136="","",'1.1 Produksi Bersih Padi 2025'!E136)</f>
        <v/>
      </c>
      <c r="F136" s="28" t="str">
        <f>IF(D136="","",VLOOKUP(D136,'[1]0.1 Produksi Pangan &amp; Penduduk'!$D$5:$Y$860,22,0))</f>
        <v/>
      </c>
      <c r="G136" s="30" t="str">
        <f t="shared" si="10"/>
        <v/>
      </c>
      <c r="H136" s="30" t="str">
        <f t="shared" si="11"/>
        <v/>
      </c>
      <c r="I136" s="30" t="str">
        <f t="shared" si="12"/>
        <v/>
      </c>
      <c r="J136" s="30" t="str">
        <f t="shared" si="13"/>
        <v/>
      </c>
      <c r="K136" s="30" t="str">
        <f t="shared" si="14"/>
        <v/>
      </c>
      <c r="M136" s="11"/>
    </row>
    <row r="137" spans="1:13" ht="15" x14ac:dyDescent="0.25">
      <c r="A137" s="1" t="str">
        <f>IF('1.1 Produksi Bersih Padi 2025'!A137="","",'1.1 Produksi Bersih Padi 2025'!A137)</f>
        <v/>
      </c>
      <c r="B137" s="31" t="str">
        <f>IF('1.1 Produksi Bersih Padi 2025'!B137="","",'1.1 Produksi Bersih Padi 2025'!B137)</f>
        <v/>
      </c>
      <c r="C137" s="31" t="str">
        <f>IF('1.1 Produksi Bersih Padi 2025'!C137="","",'1.1 Produksi Bersih Padi 2025'!C137)</f>
        <v/>
      </c>
      <c r="D137" s="1" t="str">
        <f>IF('1.1 Produksi Bersih Padi 2025'!D137="","",'1.1 Produksi Bersih Padi 2025'!D137)</f>
        <v/>
      </c>
      <c r="E137" s="1" t="str">
        <f>IF('1.1 Produksi Bersih Padi 2025'!E137="","",'1.1 Produksi Bersih Padi 2025'!E137)</f>
        <v/>
      </c>
      <c r="F137" s="28" t="str">
        <f>IF(D137="","",VLOOKUP(D137,'[1]0.1 Produksi Pangan &amp; Penduduk'!$D$5:$Y$860,22,0))</f>
        <v/>
      </c>
      <c r="G137" s="30" t="str">
        <f t="shared" si="10"/>
        <v/>
      </c>
      <c r="H137" s="30" t="str">
        <f t="shared" si="11"/>
        <v/>
      </c>
      <c r="I137" s="30" t="str">
        <f t="shared" si="12"/>
        <v/>
      </c>
      <c r="J137" s="30" t="str">
        <f t="shared" si="13"/>
        <v/>
      </c>
      <c r="K137" s="30" t="str">
        <f t="shared" si="14"/>
        <v/>
      </c>
      <c r="M137" s="11"/>
    </row>
    <row r="138" spans="1:13" ht="15" x14ac:dyDescent="0.25">
      <c r="A138" s="1" t="str">
        <f>IF('1.1 Produksi Bersih Padi 2025'!A138="","",'1.1 Produksi Bersih Padi 2025'!A138)</f>
        <v/>
      </c>
      <c r="B138" s="31" t="str">
        <f>IF('1.1 Produksi Bersih Padi 2025'!B138="","",'1.1 Produksi Bersih Padi 2025'!B138)</f>
        <v/>
      </c>
      <c r="C138" s="31" t="str">
        <f>IF('1.1 Produksi Bersih Padi 2025'!C138="","",'1.1 Produksi Bersih Padi 2025'!C138)</f>
        <v/>
      </c>
      <c r="D138" s="1" t="str">
        <f>IF('1.1 Produksi Bersih Padi 2025'!D138="","",'1.1 Produksi Bersih Padi 2025'!D138)</f>
        <v/>
      </c>
      <c r="E138" s="1" t="str">
        <f>IF('1.1 Produksi Bersih Padi 2025'!E138="","",'1.1 Produksi Bersih Padi 2025'!E138)</f>
        <v/>
      </c>
      <c r="F138" s="28" t="str">
        <f>IF(D138="","",VLOOKUP(D138,'[1]0.1 Produksi Pangan &amp; Penduduk'!$D$5:$Y$860,22,0))</f>
        <v/>
      </c>
      <c r="G138" s="30" t="str">
        <f t="shared" si="10"/>
        <v/>
      </c>
      <c r="H138" s="30" t="str">
        <f t="shared" si="11"/>
        <v/>
      </c>
      <c r="I138" s="30" t="str">
        <f t="shared" si="12"/>
        <v/>
      </c>
      <c r="J138" s="30" t="str">
        <f t="shared" si="13"/>
        <v/>
      </c>
      <c r="K138" s="30" t="str">
        <f t="shared" si="14"/>
        <v/>
      </c>
      <c r="M138" s="11"/>
    </row>
    <row r="139" spans="1:13" ht="15" x14ac:dyDescent="0.25">
      <c r="A139" s="1" t="str">
        <f>IF('1.1 Produksi Bersih Padi 2025'!A139="","",'1.1 Produksi Bersih Padi 2025'!A139)</f>
        <v/>
      </c>
      <c r="B139" s="31" t="str">
        <f>IF('1.1 Produksi Bersih Padi 2025'!B139="","",'1.1 Produksi Bersih Padi 2025'!B139)</f>
        <v/>
      </c>
      <c r="C139" s="31" t="str">
        <f>IF('1.1 Produksi Bersih Padi 2025'!C139="","",'1.1 Produksi Bersih Padi 2025'!C139)</f>
        <v/>
      </c>
      <c r="D139" s="1" t="str">
        <f>IF('1.1 Produksi Bersih Padi 2025'!D139="","",'1.1 Produksi Bersih Padi 2025'!D139)</f>
        <v/>
      </c>
      <c r="E139" s="1" t="str">
        <f>IF('1.1 Produksi Bersih Padi 2025'!E139="","",'1.1 Produksi Bersih Padi 2025'!E139)</f>
        <v/>
      </c>
      <c r="F139" s="28" t="str">
        <f>IF(D139="","",VLOOKUP(D139,'[1]0.1 Produksi Pangan &amp; Penduduk'!$D$5:$Y$860,22,0))</f>
        <v/>
      </c>
      <c r="G139" s="30" t="str">
        <f t="shared" si="10"/>
        <v/>
      </c>
      <c r="H139" s="30" t="str">
        <f t="shared" si="11"/>
        <v/>
      </c>
      <c r="I139" s="30" t="str">
        <f t="shared" si="12"/>
        <v/>
      </c>
      <c r="J139" s="30" t="str">
        <f t="shared" si="13"/>
        <v/>
      </c>
      <c r="K139" s="30" t="str">
        <f t="shared" si="14"/>
        <v/>
      </c>
      <c r="M139" s="11"/>
    </row>
    <row r="140" spans="1:13" ht="15" x14ac:dyDescent="0.25">
      <c r="A140" s="1" t="str">
        <f>IF('1.1 Produksi Bersih Padi 2025'!A140="","",'1.1 Produksi Bersih Padi 2025'!A140)</f>
        <v/>
      </c>
      <c r="B140" s="31" t="str">
        <f>IF('1.1 Produksi Bersih Padi 2025'!B140="","",'1.1 Produksi Bersih Padi 2025'!B140)</f>
        <v/>
      </c>
      <c r="C140" s="31" t="str">
        <f>IF('1.1 Produksi Bersih Padi 2025'!C140="","",'1.1 Produksi Bersih Padi 2025'!C140)</f>
        <v/>
      </c>
      <c r="D140" s="1" t="str">
        <f>IF('1.1 Produksi Bersih Padi 2025'!D140="","",'1.1 Produksi Bersih Padi 2025'!D140)</f>
        <v/>
      </c>
      <c r="E140" s="1" t="str">
        <f>IF('1.1 Produksi Bersih Padi 2025'!E140="","",'1.1 Produksi Bersih Padi 2025'!E140)</f>
        <v/>
      </c>
      <c r="F140" s="28" t="str">
        <f>IF(D140="","",VLOOKUP(D140,'[1]0.1 Produksi Pangan &amp; Penduduk'!$D$5:$Y$860,22,0))</f>
        <v/>
      </c>
      <c r="G140" s="30" t="str">
        <f t="shared" si="10"/>
        <v/>
      </c>
      <c r="H140" s="30" t="str">
        <f t="shared" si="11"/>
        <v/>
      </c>
      <c r="I140" s="30" t="str">
        <f t="shared" si="12"/>
        <v/>
      </c>
      <c r="J140" s="30" t="str">
        <f t="shared" si="13"/>
        <v/>
      </c>
      <c r="K140" s="30" t="str">
        <f t="shared" si="14"/>
        <v/>
      </c>
      <c r="M140" s="11"/>
    </row>
    <row r="141" spans="1:13" ht="15" x14ac:dyDescent="0.25">
      <c r="A141" s="1" t="str">
        <f>IF('1.1 Produksi Bersih Padi 2025'!A141="","",'1.1 Produksi Bersih Padi 2025'!A141)</f>
        <v/>
      </c>
      <c r="B141" s="31" t="str">
        <f>IF('1.1 Produksi Bersih Padi 2025'!B141="","",'1.1 Produksi Bersih Padi 2025'!B141)</f>
        <v/>
      </c>
      <c r="C141" s="31" t="str">
        <f>IF('1.1 Produksi Bersih Padi 2025'!C141="","",'1.1 Produksi Bersih Padi 2025'!C141)</f>
        <v/>
      </c>
      <c r="D141" s="1" t="str">
        <f>IF('1.1 Produksi Bersih Padi 2025'!D141="","",'1.1 Produksi Bersih Padi 2025'!D141)</f>
        <v/>
      </c>
      <c r="E141" s="1" t="str">
        <f>IF('1.1 Produksi Bersih Padi 2025'!E141="","",'1.1 Produksi Bersih Padi 2025'!E141)</f>
        <v/>
      </c>
      <c r="F141" s="28" t="str">
        <f>IF(D141="","",VLOOKUP(D141,'[1]0.1 Produksi Pangan &amp; Penduduk'!$D$5:$Y$860,22,0))</f>
        <v/>
      </c>
      <c r="G141" s="30" t="str">
        <f t="shared" si="10"/>
        <v/>
      </c>
      <c r="H141" s="30" t="str">
        <f t="shared" si="11"/>
        <v/>
      </c>
      <c r="I141" s="30" t="str">
        <f t="shared" si="12"/>
        <v/>
      </c>
      <c r="J141" s="30" t="str">
        <f t="shared" si="13"/>
        <v/>
      </c>
      <c r="K141" s="30" t="str">
        <f t="shared" si="14"/>
        <v/>
      </c>
      <c r="M141" s="11"/>
    </row>
    <row r="142" spans="1:13" ht="15" x14ac:dyDescent="0.25">
      <c r="A142" s="1" t="str">
        <f>IF('1.1 Produksi Bersih Padi 2025'!A142="","",'1.1 Produksi Bersih Padi 2025'!A142)</f>
        <v/>
      </c>
      <c r="B142" s="31" t="str">
        <f>IF('1.1 Produksi Bersih Padi 2025'!B142="","",'1.1 Produksi Bersih Padi 2025'!B142)</f>
        <v/>
      </c>
      <c r="C142" s="31" t="str">
        <f>IF('1.1 Produksi Bersih Padi 2025'!C142="","",'1.1 Produksi Bersih Padi 2025'!C142)</f>
        <v/>
      </c>
      <c r="D142" s="1" t="str">
        <f>IF('1.1 Produksi Bersih Padi 2025'!D142="","",'1.1 Produksi Bersih Padi 2025'!D142)</f>
        <v/>
      </c>
      <c r="E142" s="1" t="str">
        <f>IF('1.1 Produksi Bersih Padi 2025'!E142="","",'1.1 Produksi Bersih Padi 2025'!E142)</f>
        <v/>
      </c>
      <c r="F142" s="28" t="str">
        <f>IF(D142="","",VLOOKUP(D142,'[1]0.1 Produksi Pangan &amp; Penduduk'!$D$5:$Y$860,22,0))</f>
        <v/>
      </c>
      <c r="G142" s="30" t="str">
        <f t="shared" si="10"/>
        <v/>
      </c>
      <c r="H142" s="30" t="str">
        <f t="shared" si="11"/>
        <v/>
      </c>
      <c r="I142" s="30" t="str">
        <f t="shared" si="12"/>
        <v/>
      </c>
      <c r="J142" s="30" t="str">
        <f t="shared" si="13"/>
        <v/>
      </c>
      <c r="K142" s="30" t="str">
        <f t="shared" si="14"/>
        <v/>
      </c>
      <c r="M142" s="11"/>
    </row>
    <row r="143" spans="1:13" ht="15" x14ac:dyDescent="0.25">
      <c r="A143" s="1" t="str">
        <f>IF('1.1 Produksi Bersih Padi 2025'!A143="","",'1.1 Produksi Bersih Padi 2025'!A143)</f>
        <v/>
      </c>
      <c r="B143" s="31" t="str">
        <f>IF('1.1 Produksi Bersih Padi 2025'!B143="","",'1.1 Produksi Bersih Padi 2025'!B143)</f>
        <v/>
      </c>
      <c r="C143" s="31" t="str">
        <f>IF('1.1 Produksi Bersih Padi 2025'!C143="","",'1.1 Produksi Bersih Padi 2025'!C143)</f>
        <v/>
      </c>
      <c r="D143" s="1" t="str">
        <f>IF('1.1 Produksi Bersih Padi 2025'!D143="","",'1.1 Produksi Bersih Padi 2025'!D143)</f>
        <v/>
      </c>
      <c r="E143" s="1" t="str">
        <f>IF('1.1 Produksi Bersih Padi 2025'!E143="","",'1.1 Produksi Bersih Padi 2025'!E143)</f>
        <v/>
      </c>
      <c r="F143" s="28" t="str">
        <f>IF(D143="","",VLOOKUP(D143,'[1]0.1 Produksi Pangan &amp; Penduduk'!$D$5:$Y$860,22,0))</f>
        <v/>
      </c>
      <c r="G143" s="30" t="str">
        <f t="shared" si="10"/>
        <v/>
      </c>
      <c r="H143" s="30" t="str">
        <f t="shared" si="11"/>
        <v/>
      </c>
      <c r="I143" s="30" t="str">
        <f t="shared" si="12"/>
        <v/>
      </c>
      <c r="J143" s="30" t="str">
        <f t="shared" si="13"/>
        <v/>
      </c>
      <c r="K143" s="30" t="str">
        <f t="shared" si="14"/>
        <v/>
      </c>
      <c r="M143" s="11"/>
    </row>
    <row r="144" spans="1:13" ht="15" x14ac:dyDescent="0.25">
      <c r="A144" s="1" t="str">
        <f>IF('1.1 Produksi Bersih Padi 2025'!A144="","",'1.1 Produksi Bersih Padi 2025'!A144)</f>
        <v/>
      </c>
      <c r="B144" s="31" t="str">
        <f>IF('1.1 Produksi Bersih Padi 2025'!B144="","",'1.1 Produksi Bersih Padi 2025'!B144)</f>
        <v/>
      </c>
      <c r="C144" s="31" t="str">
        <f>IF('1.1 Produksi Bersih Padi 2025'!C144="","",'1.1 Produksi Bersih Padi 2025'!C144)</f>
        <v/>
      </c>
      <c r="D144" s="1" t="str">
        <f>IF('1.1 Produksi Bersih Padi 2025'!D144="","",'1.1 Produksi Bersih Padi 2025'!D144)</f>
        <v/>
      </c>
      <c r="E144" s="1" t="str">
        <f>IF('1.1 Produksi Bersih Padi 2025'!E144="","",'1.1 Produksi Bersih Padi 2025'!E144)</f>
        <v/>
      </c>
      <c r="F144" s="28" t="str">
        <f>IF(D144="","",VLOOKUP(D144,'[1]0.1 Produksi Pangan &amp; Penduduk'!$D$5:$Y$860,22,0))</f>
        <v/>
      </c>
      <c r="G144" s="30" t="str">
        <f t="shared" si="10"/>
        <v/>
      </c>
      <c r="H144" s="30" t="str">
        <f t="shared" si="11"/>
        <v/>
      </c>
      <c r="I144" s="30" t="str">
        <f t="shared" si="12"/>
        <v/>
      </c>
      <c r="J144" s="30" t="str">
        <f t="shared" si="13"/>
        <v/>
      </c>
      <c r="K144" s="30" t="str">
        <f t="shared" si="14"/>
        <v/>
      </c>
      <c r="M144" s="11"/>
    </row>
    <row r="145" spans="1:13" ht="15" x14ac:dyDescent="0.25">
      <c r="A145" s="1" t="str">
        <f>IF('1.1 Produksi Bersih Padi 2025'!A145="","",'1.1 Produksi Bersih Padi 2025'!A145)</f>
        <v/>
      </c>
      <c r="B145" s="31" t="str">
        <f>IF('1.1 Produksi Bersih Padi 2025'!B145="","",'1.1 Produksi Bersih Padi 2025'!B145)</f>
        <v/>
      </c>
      <c r="C145" s="31" t="str">
        <f>IF('1.1 Produksi Bersih Padi 2025'!C145="","",'1.1 Produksi Bersih Padi 2025'!C145)</f>
        <v/>
      </c>
      <c r="D145" s="1" t="str">
        <f>IF('1.1 Produksi Bersih Padi 2025'!D145="","",'1.1 Produksi Bersih Padi 2025'!D145)</f>
        <v/>
      </c>
      <c r="E145" s="1" t="str">
        <f>IF('1.1 Produksi Bersih Padi 2025'!E145="","",'1.1 Produksi Bersih Padi 2025'!E145)</f>
        <v/>
      </c>
      <c r="F145" s="28" t="str">
        <f>IF(D145="","",VLOOKUP(D145,'[1]0.1 Produksi Pangan &amp; Penduduk'!$D$5:$Y$860,22,0))</f>
        <v/>
      </c>
      <c r="G145" s="30" t="str">
        <f t="shared" si="10"/>
        <v/>
      </c>
      <c r="H145" s="30" t="str">
        <f t="shared" si="11"/>
        <v/>
      </c>
      <c r="I145" s="30" t="str">
        <f t="shared" si="12"/>
        <v/>
      </c>
      <c r="J145" s="30" t="str">
        <f t="shared" si="13"/>
        <v/>
      </c>
      <c r="K145" s="30" t="str">
        <f t="shared" si="14"/>
        <v/>
      </c>
      <c r="M145" s="11"/>
    </row>
    <row r="146" spans="1:13" ht="15" x14ac:dyDescent="0.25">
      <c r="A146" s="1" t="str">
        <f>IF('1.1 Produksi Bersih Padi 2025'!A146="","",'1.1 Produksi Bersih Padi 2025'!A146)</f>
        <v/>
      </c>
      <c r="B146" s="31" t="str">
        <f>IF('1.1 Produksi Bersih Padi 2025'!B146="","",'1.1 Produksi Bersih Padi 2025'!B146)</f>
        <v/>
      </c>
      <c r="C146" s="31" t="str">
        <f>IF('1.1 Produksi Bersih Padi 2025'!C146="","",'1.1 Produksi Bersih Padi 2025'!C146)</f>
        <v/>
      </c>
      <c r="D146" s="1" t="str">
        <f>IF('1.1 Produksi Bersih Padi 2025'!D146="","",'1.1 Produksi Bersih Padi 2025'!D146)</f>
        <v/>
      </c>
      <c r="E146" s="1" t="str">
        <f>IF('1.1 Produksi Bersih Padi 2025'!E146="","",'1.1 Produksi Bersih Padi 2025'!E146)</f>
        <v/>
      </c>
      <c r="F146" s="28" t="str">
        <f>IF(D146="","",VLOOKUP(D146,'[1]0.1 Produksi Pangan &amp; Penduduk'!$D$5:$Y$860,22,0))</f>
        <v/>
      </c>
      <c r="G146" s="30" t="str">
        <f t="shared" si="10"/>
        <v/>
      </c>
      <c r="H146" s="30" t="str">
        <f t="shared" si="11"/>
        <v/>
      </c>
      <c r="I146" s="30" t="str">
        <f t="shared" si="12"/>
        <v/>
      </c>
      <c r="J146" s="30" t="str">
        <f t="shared" si="13"/>
        <v/>
      </c>
      <c r="K146" s="30" t="str">
        <f t="shared" si="14"/>
        <v/>
      </c>
      <c r="M146" s="11"/>
    </row>
    <row r="147" spans="1:13" ht="15" x14ac:dyDescent="0.25">
      <c r="A147" s="1" t="str">
        <f>IF('1.1 Produksi Bersih Padi 2025'!A147="","",'1.1 Produksi Bersih Padi 2025'!A147)</f>
        <v/>
      </c>
      <c r="B147" s="31" t="str">
        <f>IF('1.1 Produksi Bersih Padi 2025'!B147="","",'1.1 Produksi Bersih Padi 2025'!B147)</f>
        <v/>
      </c>
      <c r="C147" s="31" t="str">
        <f>IF('1.1 Produksi Bersih Padi 2025'!C147="","",'1.1 Produksi Bersih Padi 2025'!C147)</f>
        <v/>
      </c>
      <c r="D147" s="1" t="str">
        <f>IF('1.1 Produksi Bersih Padi 2025'!D147="","",'1.1 Produksi Bersih Padi 2025'!D147)</f>
        <v/>
      </c>
      <c r="E147" s="1" t="str">
        <f>IF('1.1 Produksi Bersih Padi 2025'!E147="","",'1.1 Produksi Bersih Padi 2025'!E147)</f>
        <v/>
      </c>
      <c r="F147" s="28" t="str">
        <f>IF(D147="","",VLOOKUP(D147,'[1]0.1 Produksi Pangan &amp; Penduduk'!$D$5:$Y$860,22,0))</f>
        <v/>
      </c>
      <c r="G147" s="30" t="str">
        <f t="shared" si="10"/>
        <v/>
      </c>
      <c r="H147" s="30" t="str">
        <f t="shared" si="11"/>
        <v/>
      </c>
      <c r="I147" s="30" t="str">
        <f t="shared" si="12"/>
        <v/>
      </c>
      <c r="J147" s="30" t="str">
        <f t="shared" si="13"/>
        <v/>
      </c>
      <c r="K147" s="30" t="str">
        <f t="shared" si="14"/>
        <v/>
      </c>
      <c r="M147" s="11"/>
    </row>
    <row r="148" spans="1:13" ht="15" x14ac:dyDescent="0.25">
      <c r="A148" s="1" t="str">
        <f>IF('1.1 Produksi Bersih Padi 2025'!A148="","",'1.1 Produksi Bersih Padi 2025'!A148)</f>
        <v/>
      </c>
      <c r="B148" s="31" t="str">
        <f>IF('1.1 Produksi Bersih Padi 2025'!B148="","",'1.1 Produksi Bersih Padi 2025'!B148)</f>
        <v/>
      </c>
      <c r="C148" s="31" t="str">
        <f>IF('1.1 Produksi Bersih Padi 2025'!C148="","",'1.1 Produksi Bersih Padi 2025'!C148)</f>
        <v/>
      </c>
      <c r="D148" s="1" t="str">
        <f>IF('1.1 Produksi Bersih Padi 2025'!D148="","",'1.1 Produksi Bersih Padi 2025'!D148)</f>
        <v/>
      </c>
      <c r="E148" s="1" t="str">
        <f>IF('1.1 Produksi Bersih Padi 2025'!E148="","",'1.1 Produksi Bersih Padi 2025'!E148)</f>
        <v/>
      </c>
      <c r="F148" s="28" t="str">
        <f>IF(D148="","",VLOOKUP(D148,'[1]0.1 Produksi Pangan &amp; Penduduk'!$D$5:$Y$860,22,0))</f>
        <v/>
      </c>
      <c r="G148" s="30" t="str">
        <f t="shared" si="10"/>
        <v/>
      </c>
      <c r="H148" s="30" t="str">
        <f t="shared" si="11"/>
        <v/>
      </c>
      <c r="I148" s="30" t="str">
        <f t="shared" si="12"/>
        <v/>
      </c>
      <c r="J148" s="30" t="str">
        <f t="shared" si="13"/>
        <v/>
      </c>
      <c r="K148" s="30" t="str">
        <f t="shared" si="14"/>
        <v/>
      </c>
      <c r="M148" s="11"/>
    </row>
    <row r="149" spans="1:13" ht="15" x14ac:dyDescent="0.25">
      <c r="A149" s="1" t="str">
        <f>IF('1.1 Produksi Bersih Padi 2025'!A149="","",'1.1 Produksi Bersih Padi 2025'!A149)</f>
        <v/>
      </c>
      <c r="B149" s="31" t="str">
        <f>IF('1.1 Produksi Bersih Padi 2025'!B149="","",'1.1 Produksi Bersih Padi 2025'!B149)</f>
        <v/>
      </c>
      <c r="C149" s="31" t="str">
        <f>IF('1.1 Produksi Bersih Padi 2025'!C149="","",'1.1 Produksi Bersih Padi 2025'!C149)</f>
        <v/>
      </c>
      <c r="D149" s="1" t="str">
        <f>IF('1.1 Produksi Bersih Padi 2025'!D149="","",'1.1 Produksi Bersih Padi 2025'!D149)</f>
        <v/>
      </c>
      <c r="E149" s="1" t="str">
        <f>IF('1.1 Produksi Bersih Padi 2025'!E149="","",'1.1 Produksi Bersih Padi 2025'!E149)</f>
        <v/>
      </c>
      <c r="F149" s="28" t="str">
        <f>IF(D149="","",VLOOKUP(D149,'[1]0.1 Produksi Pangan &amp; Penduduk'!$D$5:$Y$860,22,0))</f>
        <v/>
      </c>
      <c r="G149" s="30" t="str">
        <f t="shared" si="10"/>
        <v/>
      </c>
      <c r="H149" s="30" t="str">
        <f t="shared" si="11"/>
        <v/>
      </c>
      <c r="I149" s="30" t="str">
        <f t="shared" si="12"/>
        <v/>
      </c>
      <c r="J149" s="30" t="str">
        <f t="shared" si="13"/>
        <v/>
      </c>
      <c r="K149" s="30" t="str">
        <f t="shared" si="14"/>
        <v/>
      </c>
      <c r="M149" s="11"/>
    </row>
    <row r="150" spans="1:13" ht="15" x14ac:dyDescent="0.25">
      <c r="A150" s="1" t="str">
        <f>IF('1.1 Produksi Bersih Padi 2025'!A150="","",'1.1 Produksi Bersih Padi 2025'!A150)</f>
        <v/>
      </c>
      <c r="B150" s="31" t="str">
        <f>IF('1.1 Produksi Bersih Padi 2025'!B150="","",'1.1 Produksi Bersih Padi 2025'!B150)</f>
        <v/>
      </c>
      <c r="C150" s="31" t="str">
        <f>IF('1.1 Produksi Bersih Padi 2025'!C150="","",'1.1 Produksi Bersih Padi 2025'!C150)</f>
        <v/>
      </c>
      <c r="D150" s="1" t="str">
        <f>IF('1.1 Produksi Bersih Padi 2025'!D150="","",'1.1 Produksi Bersih Padi 2025'!D150)</f>
        <v/>
      </c>
      <c r="E150" s="1" t="str">
        <f>IF('1.1 Produksi Bersih Padi 2025'!E150="","",'1.1 Produksi Bersih Padi 2025'!E150)</f>
        <v/>
      </c>
      <c r="F150" s="28" t="str">
        <f>IF(D150="","",VLOOKUP(D150,'[1]0.1 Produksi Pangan &amp; Penduduk'!$D$5:$Y$860,22,0))</f>
        <v/>
      </c>
      <c r="G150" s="30" t="str">
        <f t="shared" si="10"/>
        <v/>
      </c>
      <c r="H150" s="30" t="str">
        <f t="shared" si="11"/>
        <v/>
      </c>
      <c r="I150" s="30" t="str">
        <f t="shared" si="12"/>
        <v/>
      </c>
      <c r="J150" s="30" t="str">
        <f t="shared" si="13"/>
        <v/>
      </c>
      <c r="K150" s="30" t="str">
        <f t="shared" si="14"/>
        <v/>
      </c>
      <c r="M150" s="11"/>
    </row>
    <row r="151" spans="1:13" ht="15" x14ac:dyDescent="0.25">
      <c r="A151" s="1" t="str">
        <f>IF('1.1 Produksi Bersih Padi 2025'!A151="","",'1.1 Produksi Bersih Padi 2025'!A151)</f>
        <v/>
      </c>
      <c r="B151" s="31" t="str">
        <f>IF('1.1 Produksi Bersih Padi 2025'!B151="","",'1.1 Produksi Bersih Padi 2025'!B151)</f>
        <v/>
      </c>
      <c r="C151" s="31" t="str">
        <f>IF('1.1 Produksi Bersih Padi 2025'!C151="","",'1.1 Produksi Bersih Padi 2025'!C151)</f>
        <v/>
      </c>
      <c r="D151" s="1" t="str">
        <f>IF('1.1 Produksi Bersih Padi 2025'!D151="","",'1.1 Produksi Bersih Padi 2025'!D151)</f>
        <v/>
      </c>
      <c r="E151" s="1" t="str">
        <f>IF('1.1 Produksi Bersih Padi 2025'!E151="","",'1.1 Produksi Bersih Padi 2025'!E151)</f>
        <v/>
      </c>
      <c r="F151" s="28" t="str">
        <f>IF(D151="","",VLOOKUP(D151,'[1]0.1 Produksi Pangan &amp; Penduduk'!$D$5:$Y$860,22,0))</f>
        <v/>
      </c>
      <c r="G151" s="30" t="str">
        <f t="shared" si="10"/>
        <v/>
      </c>
      <c r="H151" s="30" t="str">
        <f t="shared" si="11"/>
        <v/>
      </c>
      <c r="I151" s="30" t="str">
        <f t="shared" si="12"/>
        <v/>
      </c>
      <c r="J151" s="30" t="str">
        <f t="shared" si="13"/>
        <v/>
      </c>
      <c r="K151" s="30" t="str">
        <f t="shared" si="14"/>
        <v/>
      </c>
      <c r="M151" s="11"/>
    </row>
    <row r="152" spans="1:13" ht="15" x14ac:dyDescent="0.25">
      <c r="A152" s="1" t="str">
        <f>IF('1.1 Produksi Bersih Padi 2025'!A152="","",'1.1 Produksi Bersih Padi 2025'!A152)</f>
        <v/>
      </c>
      <c r="B152" s="31" t="str">
        <f>IF('1.1 Produksi Bersih Padi 2025'!B152="","",'1.1 Produksi Bersih Padi 2025'!B152)</f>
        <v/>
      </c>
      <c r="C152" s="31" t="str">
        <f>IF('1.1 Produksi Bersih Padi 2025'!C152="","",'1.1 Produksi Bersih Padi 2025'!C152)</f>
        <v/>
      </c>
      <c r="D152" s="1" t="str">
        <f>IF('1.1 Produksi Bersih Padi 2025'!D152="","",'1.1 Produksi Bersih Padi 2025'!D152)</f>
        <v/>
      </c>
      <c r="E152" s="1" t="str">
        <f>IF('1.1 Produksi Bersih Padi 2025'!E152="","",'1.1 Produksi Bersih Padi 2025'!E152)</f>
        <v/>
      </c>
      <c r="F152" s="28" t="str">
        <f>IF(D152="","",VLOOKUP(D152,'[1]0.1 Produksi Pangan &amp; Penduduk'!$D$5:$Y$860,22,0))</f>
        <v/>
      </c>
      <c r="G152" s="30" t="str">
        <f t="shared" si="10"/>
        <v/>
      </c>
      <c r="H152" s="30" t="str">
        <f t="shared" si="11"/>
        <v/>
      </c>
      <c r="I152" s="30" t="str">
        <f t="shared" si="12"/>
        <v/>
      </c>
      <c r="J152" s="30" t="str">
        <f t="shared" si="13"/>
        <v/>
      </c>
      <c r="K152" s="30" t="str">
        <f t="shared" si="14"/>
        <v/>
      </c>
      <c r="M152" s="11"/>
    </row>
    <row r="153" spans="1:13" ht="15" x14ac:dyDescent="0.25">
      <c r="A153" s="1" t="str">
        <f>IF('1.1 Produksi Bersih Padi 2025'!A153="","",'1.1 Produksi Bersih Padi 2025'!A153)</f>
        <v/>
      </c>
      <c r="B153" s="31" t="str">
        <f>IF('1.1 Produksi Bersih Padi 2025'!B153="","",'1.1 Produksi Bersih Padi 2025'!B153)</f>
        <v/>
      </c>
      <c r="C153" s="31" t="str">
        <f>IF('1.1 Produksi Bersih Padi 2025'!C153="","",'1.1 Produksi Bersih Padi 2025'!C153)</f>
        <v/>
      </c>
      <c r="D153" s="1" t="str">
        <f>IF('1.1 Produksi Bersih Padi 2025'!D153="","",'1.1 Produksi Bersih Padi 2025'!D153)</f>
        <v/>
      </c>
      <c r="E153" s="1" t="str">
        <f>IF('1.1 Produksi Bersih Padi 2025'!E153="","",'1.1 Produksi Bersih Padi 2025'!E153)</f>
        <v/>
      </c>
      <c r="F153" s="28" t="str">
        <f>IF(D153="","",VLOOKUP(D153,'[1]0.1 Produksi Pangan &amp; Penduduk'!$D$5:$Y$860,22,0))</f>
        <v/>
      </c>
      <c r="G153" s="30" t="str">
        <f t="shared" si="10"/>
        <v/>
      </c>
      <c r="H153" s="30" t="str">
        <f t="shared" si="11"/>
        <v/>
      </c>
      <c r="I153" s="30" t="str">
        <f t="shared" si="12"/>
        <v/>
      </c>
      <c r="J153" s="30" t="str">
        <f t="shared" si="13"/>
        <v/>
      </c>
      <c r="K153" s="30" t="str">
        <f t="shared" si="14"/>
        <v/>
      </c>
      <c r="M153" s="11"/>
    </row>
    <row r="154" spans="1:13" ht="15" x14ac:dyDescent="0.25">
      <c r="A154" s="1" t="str">
        <f>IF('1.1 Produksi Bersih Padi 2025'!A154="","",'1.1 Produksi Bersih Padi 2025'!A154)</f>
        <v/>
      </c>
      <c r="B154" s="31" t="str">
        <f>IF('1.1 Produksi Bersih Padi 2025'!B154="","",'1.1 Produksi Bersih Padi 2025'!B154)</f>
        <v/>
      </c>
      <c r="C154" s="31" t="str">
        <f>IF('1.1 Produksi Bersih Padi 2025'!C154="","",'1.1 Produksi Bersih Padi 2025'!C154)</f>
        <v/>
      </c>
      <c r="D154" s="1" t="str">
        <f>IF('1.1 Produksi Bersih Padi 2025'!D154="","",'1.1 Produksi Bersih Padi 2025'!D154)</f>
        <v/>
      </c>
      <c r="E154" s="1" t="str">
        <f>IF('1.1 Produksi Bersih Padi 2025'!E154="","",'1.1 Produksi Bersih Padi 2025'!E154)</f>
        <v/>
      </c>
      <c r="F154" s="28" t="str">
        <f>IF(D154="","",VLOOKUP(D154,'[1]0.1 Produksi Pangan &amp; Penduduk'!$D$5:$Y$860,22,0))</f>
        <v/>
      </c>
      <c r="G154" s="30" t="str">
        <f t="shared" si="10"/>
        <v/>
      </c>
      <c r="H154" s="30" t="str">
        <f t="shared" si="11"/>
        <v/>
      </c>
      <c r="I154" s="30" t="str">
        <f t="shared" si="12"/>
        <v/>
      </c>
      <c r="J154" s="30" t="str">
        <f t="shared" si="13"/>
        <v/>
      </c>
      <c r="K154" s="30" t="str">
        <f t="shared" si="14"/>
        <v/>
      </c>
      <c r="M154" s="11"/>
    </row>
    <row r="155" spans="1:13" ht="15" x14ac:dyDescent="0.25">
      <c r="A155" s="1" t="str">
        <f>IF('1.1 Produksi Bersih Padi 2025'!A155="","",'1.1 Produksi Bersih Padi 2025'!A155)</f>
        <v/>
      </c>
      <c r="B155" s="31" t="str">
        <f>IF('1.1 Produksi Bersih Padi 2025'!B155="","",'1.1 Produksi Bersih Padi 2025'!B155)</f>
        <v/>
      </c>
      <c r="C155" s="31" t="str">
        <f>IF('1.1 Produksi Bersih Padi 2025'!C155="","",'1.1 Produksi Bersih Padi 2025'!C155)</f>
        <v/>
      </c>
      <c r="D155" s="1" t="str">
        <f>IF('1.1 Produksi Bersih Padi 2025'!D155="","",'1.1 Produksi Bersih Padi 2025'!D155)</f>
        <v/>
      </c>
      <c r="E155" s="1" t="str">
        <f>IF('1.1 Produksi Bersih Padi 2025'!E155="","",'1.1 Produksi Bersih Padi 2025'!E155)</f>
        <v/>
      </c>
      <c r="F155" s="28" t="str">
        <f>IF(D155="","",VLOOKUP(D155,'[1]0.1 Produksi Pangan &amp; Penduduk'!$D$5:$Y$860,22,0))</f>
        <v/>
      </c>
      <c r="G155" s="30" t="str">
        <f t="shared" si="10"/>
        <v/>
      </c>
      <c r="H155" s="30" t="str">
        <f t="shared" si="11"/>
        <v/>
      </c>
      <c r="I155" s="30" t="str">
        <f t="shared" si="12"/>
        <v/>
      </c>
      <c r="J155" s="30" t="str">
        <f t="shared" si="13"/>
        <v/>
      </c>
      <c r="K155" s="30" t="str">
        <f t="shared" si="14"/>
        <v/>
      </c>
      <c r="M155" s="11"/>
    </row>
    <row r="156" spans="1:13" ht="15" x14ac:dyDescent="0.25">
      <c r="A156" s="1" t="str">
        <f>IF('1.1 Produksi Bersih Padi 2025'!A156="","",'1.1 Produksi Bersih Padi 2025'!A156)</f>
        <v/>
      </c>
      <c r="B156" s="31" t="str">
        <f>IF('1.1 Produksi Bersih Padi 2025'!B156="","",'1.1 Produksi Bersih Padi 2025'!B156)</f>
        <v/>
      </c>
      <c r="C156" s="31" t="str">
        <f>IF('1.1 Produksi Bersih Padi 2025'!C156="","",'1.1 Produksi Bersih Padi 2025'!C156)</f>
        <v/>
      </c>
      <c r="D156" s="1" t="str">
        <f>IF('1.1 Produksi Bersih Padi 2025'!D156="","",'1.1 Produksi Bersih Padi 2025'!D156)</f>
        <v/>
      </c>
      <c r="E156" s="1" t="str">
        <f>IF('1.1 Produksi Bersih Padi 2025'!E156="","",'1.1 Produksi Bersih Padi 2025'!E156)</f>
        <v/>
      </c>
      <c r="F156" s="28" t="str">
        <f>IF(D156="","",VLOOKUP(D156,'[1]0.1 Produksi Pangan &amp; Penduduk'!$D$5:$Y$860,22,0))</f>
        <v/>
      </c>
      <c r="G156" s="30" t="str">
        <f t="shared" si="10"/>
        <v/>
      </c>
      <c r="H156" s="30" t="str">
        <f t="shared" si="11"/>
        <v/>
      </c>
      <c r="I156" s="30" t="str">
        <f t="shared" si="12"/>
        <v/>
      </c>
      <c r="J156" s="30" t="str">
        <f t="shared" si="13"/>
        <v/>
      </c>
      <c r="K156" s="30" t="str">
        <f t="shared" si="14"/>
        <v/>
      </c>
      <c r="M156" s="11"/>
    </row>
    <row r="157" spans="1:13" ht="15" x14ac:dyDescent="0.25">
      <c r="A157" s="1" t="str">
        <f>IF('1.1 Produksi Bersih Padi 2025'!A157="","",'1.1 Produksi Bersih Padi 2025'!A157)</f>
        <v/>
      </c>
      <c r="B157" s="31" t="str">
        <f>IF('1.1 Produksi Bersih Padi 2025'!B157="","",'1.1 Produksi Bersih Padi 2025'!B157)</f>
        <v/>
      </c>
      <c r="C157" s="31" t="str">
        <f>IF('1.1 Produksi Bersih Padi 2025'!C157="","",'1.1 Produksi Bersih Padi 2025'!C157)</f>
        <v/>
      </c>
      <c r="D157" s="1" t="str">
        <f>IF('1.1 Produksi Bersih Padi 2025'!D157="","",'1.1 Produksi Bersih Padi 2025'!D157)</f>
        <v/>
      </c>
      <c r="E157" s="1" t="str">
        <f>IF('1.1 Produksi Bersih Padi 2025'!E157="","",'1.1 Produksi Bersih Padi 2025'!E157)</f>
        <v/>
      </c>
      <c r="F157" s="28" t="str">
        <f>IF(D157="","",VLOOKUP(D157,'[1]0.1 Produksi Pangan &amp; Penduduk'!$D$5:$Y$860,22,0))</f>
        <v/>
      </c>
      <c r="G157" s="30" t="str">
        <f t="shared" si="10"/>
        <v/>
      </c>
      <c r="H157" s="30" t="str">
        <f t="shared" si="11"/>
        <v/>
      </c>
      <c r="I157" s="30" t="str">
        <f t="shared" si="12"/>
        <v/>
      </c>
      <c r="J157" s="30" t="str">
        <f t="shared" si="13"/>
        <v/>
      </c>
      <c r="K157" s="30" t="str">
        <f t="shared" si="14"/>
        <v/>
      </c>
      <c r="M157" s="11"/>
    </row>
    <row r="158" spans="1:13" ht="15" x14ac:dyDescent="0.25">
      <c r="A158" s="1" t="str">
        <f>IF('1.1 Produksi Bersih Padi 2025'!A158="","",'1.1 Produksi Bersih Padi 2025'!A158)</f>
        <v/>
      </c>
      <c r="B158" s="31" t="str">
        <f>IF('1.1 Produksi Bersih Padi 2025'!B158="","",'1.1 Produksi Bersih Padi 2025'!B158)</f>
        <v/>
      </c>
      <c r="C158" s="31" t="str">
        <f>IF('1.1 Produksi Bersih Padi 2025'!C158="","",'1.1 Produksi Bersih Padi 2025'!C158)</f>
        <v/>
      </c>
      <c r="D158" s="1" t="str">
        <f>IF('1.1 Produksi Bersih Padi 2025'!D158="","",'1.1 Produksi Bersih Padi 2025'!D158)</f>
        <v/>
      </c>
      <c r="E158" s="1" t="str">
        <f>IF('1.1 Produksi Bersih Padi 2025'!E158="","",'1.1 Produksi Bersih Padi 2025'!E158)</f>
        <v/>
      </c>
      <c r="F158" s="28" t="str">
        <f>IF(D158="","",VLOOKUP(D158,'[1]0.1 Produksi Pangan &amp; Penduduk'!$D$5:$Y$860,22,0))</f>
        <v/>
      </c>
      <c r="G158" s="30" t="str">
        <f t="shared" si="10"/>
        <v/>
      </c>
      <c r="H158" s="30" t="str">
        <f t="shared" si="11"/>
        <v/>
      </c>
      <c r="I158" s="30" t="str">
        <f t="shared" si="12"/>
        <v/>
      </c>
      <c r="J158" s="30" t="str">
        <f t="shared" si="13"/>
        <v/>
      </c>
      <c r="K158" s="30" t="str">
        <f t="shared" si="14"/>
        <v/>
      </c>
      <c r="M158" s="11"/>
    </row>
    <row r="159" spans="1:13" ht="15" x14ac:dyDescent="0.25">
      <c r="A159" s="1" t="str">
        <f>IF('1.1 Produksi Bersih Padi 2025'!A159="","",'1.1 Produksi Bersih Padi 2025'!A159)</f>
        <v/>
      </c>
      <c r="B159" s="31" t="str">
        <f>IF('1.1 Produksi Bersih Padi 2025'!B159="","",'1.1 Produksi Bersih Padi 2025'!B159)</f>
        <v/>
      </c>
      <c r="C159" s="31" t="str">
        <f>IF('1.1 Produksi Bersih Padi 2025'!C159="","",'1.1 Produksi Bersih Padi 2025'!C159)</f>
        <v/>
      </c>
      <c r="D159" s="1" t="str">
        <f>IF('1.1 Produksi Bersih Padi 2025'!D159="","",'1.1 Produksi Bersih Padi 2025'!D159)</f>
        <v/>
      </c>
      <c r="E159" s="1" t="str">
        <f>IF('1.1 Produksi Bersih Padi 2025'!E159="","",'1.1 Produksi Bersih Padi 2025'!E159)</f>
        <v/>
      </c>
      <c r="F159" s="28" t="str">
        <f>IF(D159="","",VLOOKUP(D159,'[1]0.1 Produksi Pangan &amp; Penduduk'!$D$5:$Y$860,22,0))</f>
        <v/>
      </c>
      <c r="G159" s="30" t="str">
        <f t="shared" si="10"/>
        <v/>
      </c>
      <c r="H159" s="30" t="str">
        <f t="shared" si="11"/>
        <v/>
      </c>
      <c r="I159" s="30" t="str">
        <f t="shared" si="12"/>
        <v/>
      </c>
      <c r="J159" s="30" t="str">
        <f t="shared" si="13"/>
        <v/>
      </c>
      <c r="K159" s="30" t="str">
        <f t="shared" si="14"/>
        <v/>
      </c>
      <c r="M159" s="11"/>
    </row>
    <row r="160" spans="1:13" ht="15" x14ac:dyDescent="0.25">
      <c r="A160" s="1" t="str">
        <f>IF('1.1 Produksi Bersih Padi 2025'!A160="","",'1.1 Produksi Bersih Padi 2025'!A160)</f>
        <v/>
      </c>
      <c r="B160" s="31" t="str">
        <f>IF('1.1 Produksi Bersih Padi 2025'!B160="","",'1.1 Produksi Bersih Padi 2025'!B160)</f>
        <v/>
      </c>
      <c r="C160" s="31" t="str">
        <f>IF('1.1 Produksi Bersih Padi 2025'!C160="","",'1.1 Produksi Bersih Padi 2025'!C160)</f>
        <v/>
      </c>
      <c r="D160" s="1" t="str">
        <f>IF('1.1 Produksi Bersih Padi 2025'!D160="","",'1.1 Produksi Bersih Padi 2025'!D160)</f>
        <v/>
      </c>
      <c r="E160" s="1" t="str">
        <f>IF('1.1 Produksi Bersih Padi 2025'!E160="","",'1.1 Produksi Bersih Padi 2025'!E160)</f>
        <v/>
      </c>
      <c r="F160" s="28" t="str">
        <f>IF(D160="","",VLOOKUP(D160,'[1]0.1 Produksi Pangan &amp; Penduduk'!$D$5:$Y$860,22,0))</f>
        <v/>
      </c>
      <c r="G160" s="30" t="str">
        <f t="shared" si="10"/>
        <v/>
      </c>
      <c r="H160" s="30" t="str">
        <f t="shared" si="11"/>
        <v/>
      </c>
      <c r="I160" s="30" t="str">
        <f t="shared" si="12"/>
        <v/>
      </c>
      <c r="J160" s="30" t="str">
        <f t="shared" si="13"/>
        <v/>
      </c>
      <c r="K160" s="30" t="str">
        <f t="shared" si="14"/>
        <v/>
      </c>
      <c r="M160" s="11"/>
    </row>
    <row r="161" spans="1:13" ht="15" x14ac:dyDescent="0.25">
      <c r="A161" s="1" t="str">
        <f>IF('1.1 Produksi Bersih Padi 2025'!A161="","",'1.1 Produksi Bersih Padi 2025'!A161)</f>
        <v/>
      </c>
      <c r="B161" s="31" t="str">
        <f>IF('1.1 Produksi Bersih Padi 2025'!B161="","",'1.1 Produksi Bersih Padi 2025'!B161)</f>
        <v/>
      </c>
      <c r="C161" s="31" t="str">
        <f>IF('1.1 Produksi Bersih Padi 2025'!C161="","",'1.1 Produksi Bersih Padi 2025'!C161)</f>
        <v/>
      </c>
      <c r="D161" s="1" t="str">
        <f>IF('1.1 Produksi Bersih Padi 2025'!D161="","",'1.1 Produksi Bersih Padi 2025'!D161)</f>
        <v/>
      </c>
      <c r="E161" s="1" t="str">
        <f>IF('1.1 Produksi Bersih Padi 2025'!E161="","",'1.1 Produksi Bersih Padi 2025'!E161)</f>
        <v/>
      </c>
      <c r="F161" s="28" t="str">
        <f>IF(D161="","",VLOOKUP(D161,'[1]0.1 Produksi Pangan &amp; Penduduk'!$D$5:$Y$860,22,0))</f>
        <v/>
      </c>
      <c r="G161" s="30" t="str">
        <f t="shared" si="10"/>
        <v/>
      </c>
      <c r="H161" s="30" t="str">
        <f t="shared" si="11"/>
        <v/>
      </c>
      <c r="I161" s="30" t="str">
        <f t="shared" si="12"/>
        <v/>
      </c>
      <c r="J161" s="30" t="str">
        <f t="shared" si="13"/>
        <v/>
      </c>
      <c r="K161" s="30" t="str">
        <f t="shared" si="14"/>
        <v/>
      </c>
      <c r="M161" s="11"/>
    </row>
    <row r="162" spans="1:13" ht="15" x14ac:dyDescent="0.25">
      <c r="A162" s="1" t="str">
        <f>IF('1.1 Produksi Bersih Padi 2025'!A162="","",'1.1 Produksi Bersih Padi 2025'!A162)</f>
        <v/>
      </c>
      <c r="B162" s="31" t="str">
        <f>IF('1.1 Produksi Bersih Padi 2025'!B162="","",'1.1 Produksi Bersih Padi 2025'!B162)</f>
        <v/>
      </c>
      <c r="C162" s="31" t="str">
        <f>IF('1.1 Produksi Bersih Padi 2025'!C162="","",'1.1 Produksi Bersih Padi 2025'!C162)</f>
        <v/>
      </c>
      <c r="D162" s="1" t="str">
        <f>IF('1.1 Produksi Bersih Padi 2025'!D162="","",'1.1 Produksi Bersih Padi 2025'!D162)</f>
        <v/>
      </c>
      <c r="E162" s="1" t="str">
        <f>IF('1.1 Produksi Bersih Padi 2025'!E162="","",'1.1 Produksi Bersih Padi 2025'!E162)</f>
        <v/>
      </c>
      <c r="F162" s="28" t="str">
        <f>IF(D162="","",VLOOKUP(D162,'[1]0.1 Produksi Pangan &amp; Penduduk'!$D$5:$Y$860,22,0))</f>
        <v/>
      </c>
      <c r="G162" s="30" t="str">
        <f t="shared" si="10"/>
        <v/>
      </c>
      <c r="H162" s="30" t="str">
        <f t="shared" si="11"/>
        <v/>
      </c>
      <c r="I162" s="30" t="str">
        <f t="shared" si="12"/>
        <v/>
      </c>
      <c r="J162" s="30" t="str">
        <f t="shared" si="13"/>
        <v/>
      </c>
      <c r="K162" s="30" t="str">
        <f t="shared" si="14"/>
        <v/>
      </c>
      <c r="M162" s="11"/>
    </row>
    <row r="163" spans="1:13" ht="15" x14ac:dyDescent="0.25">
      <c r="A163" s="1" t="str">
        <f>IF('1.1 Produksi Bersih Padi 2025'!A163="","",'1.1 Produksi Bersih Padi 2025'!A163)</f>
        <v/>
      </c>
      <c r="B163" s="31" t="str">
        <f>IF('1.1 Produksi Bersih Padi 2025'!B163="","",'1.1 Produksi Bersih Padi 2025'!B163)</f>
        <v/>
      </c>
      <c r="C163" s="31" t="str">
        <f>IF('1.1 Produksi Bersih Padi 2025'!C163="","",'1.1 Produksi Bersih Padi 2025'!C163)</f>
        <v/>
      </c>
      <c r="D163" s="1" t="str">
        <f>IF('1.1 Produksi Bersih Padi 2025'!D163="","",'1.1 Produksi Bersih Padi 2025'!D163)</f>
        <v/>
      </c>
      <c r="E163" s="1" t="str">
        <f>IF('1.1 Produksi Bersih Padi 2025'!E163="","",'1.1 Produksi Bersih Padi 2025'!E163)</f>
        <v/>
      </c>
      <c r="F163" s="28" t="str">
        <f>IF(D163="","",VLOOKUP(D163,'[1]0.1 Produksi Pangan &amp; Penduduk'!$D$5:$Y$860,22,0))</f>
        <v/>
      </c>
      <c r="G163" s="30" t="str">
        <f t="shared" si="10"/>
        <v/>
      </c>
      <c r="H163" s="30" t="str">
        <f t="shared" si="11"/>
        <v/>
      </c>
      <c r="I163" s="30" t="str">
        <f t="shared" si="12"/>
        <v/>
      </c>
      <c r="J163" s="30" t="str">
        <f t="shared" si="13"/>
        <v/>
      </c>
      <c r="K163" s="30" t="str">
        <f t="shared" si="14"/>
        <v/>
      </c>
      <c r="M163" s="11"/>
    </row>
    <row r="164" spans="1:13" ht="15" x14ac:dyDescent="0.25">
      <c r="A164" s="1" t="str">
        <f>IF('1.1 Produksi Bersih Padi 2025'!A164="","",'1.1 Produksi Bersih Padi 2025'!A164)</f>
        <v/>
      </c>
      <c r="B164" s="31" t="str">
        <f>IF('1.1 Produksi Bersih Padi 2025'!B164="","",'1.1 Produksi Bersih Padi 2025'!B164)</f>
        <v/>
      </c>
      <c r="C164" s="31" t="str">
        <f>IF('1.1 Produksi Bersih Padi 2025'!C164="","",'1.1 Produksi Bersih Padi 2025'!C164)</f>
        <v/>
      </c>
      <c r="D164" s="1" t="str">
        <f>IF('1.1 Produksi Bersih Padi 2025'!D164="","",'1.1 Produksi Bersih Padi 2025'!D164)</f>
        <v/>
      </c>
      <c r="E164" s="1" t="str">
        <f>IF('1.1 Produksi Bersih Padi 2025'!E164="","",'1.1 Produksi Bersih Padi 2025'!E164)</f>
        <v/>
      </c>
      <c r="F164" s="28" t="str">
        <f>IF(D164="","",VLOOKUP(D164,'[1]0.1 Produksi Pangan &amp; Penduduk'!$D$5:$Y$860,22,0))</f>
        <v/>
      </c>
      <c r="G164" s="30" t="str">
        <f t="shared" si="10"/>
        <v/>
      </c>
      <c r="H164" s="30" t="str">
        <f t="shared" si="11"/>
        <v/>
      </c>
      <c r="I164" s="30" t="str">
        <f t="shared" si="12"/>
        <v/>
      </c>
      <c r="J164" s="30" t="str">
        <f t="shared" si="13"/>
        <v/>
      </c>
      <c r="K164" s="30" t="str">
        <f t="shared" si="14"/>
        <v/>
      </c>
      <c r="M164" s="11"/>
    </row>
    <row r="165" spans="1:13" ht="15" x14ac:dyDescent="0.25">
      <c r="A165" s="1" t="str">
        <f>IF('1.1 Produksi Bersih Padi 2025'!A165="","",'1.1 Produksi Bersih Padi 2025'!A165)</f>
        <v/>
      </c>
      <c r="B165" s="31" t="str">
        <f>IF('1.1 Produksi Bersih Padi 2025'!B165="","",'1.1 Produksi Bersih Padi 2025'!B165)</f>
        <v/>
      </c>
      <c r="C165" s="31" t="str">
        <f>IF('1.1 Produksi Bersih Padi 2025'!C165="","",'1.1 Produksi Bersih Padi 2025'!C165)</f>
        <v/>
      </c>
      <c r="D165" s="1" t="str">
        <f>IF('1.1 Produksi Bersih Padi 2025'!D165="","",'1.1 Produksi Bersih Padi 2025'!D165)</f>
        <v/>
      </c>
      <c r="E165" s="1" t="str">
        <f>IF('1.1 Produksi Bersih Padi 2025'!E165="","",'1.1 Produksi Bersih Padi 2025'!E165)</f>
        <v/>
      </c>
      <c r="F165" s="28" t="str">
        <f>IF(D165="","",VLOOKUP(D165,'[1]0.1 Produksi Pangan &amp; Penduduk'!$D$5:$Y$860,22,0))</f>
        <v/>
      </c>
      <c r="G165" s="30" t="str">
        <f t="shared" si="10"/>
        <v/>
      </c>
      <c r="H165" s="30" t="str">
        <f t="shared" si="11"/>
        <v/>
      </c>
      <c r="I165" s="30" t="str">
        <f t="shared" si="12"/>
        <v/>
      </c>
      <c r="J165" s="30" t="str">
        <f t="shared" si="13"/>
        <v/>
      </c>
      <c r="K165" s="30" t="str">
        <f t="shared" si="14"/>
        <v/>
      </c>
      <c r="M165" s="11"/>
    </row>
    <row r="166" spans="1:13" ht="15" x14ac:dyDescent="0.25">
      <c r="A166" s="1" t="str">
        <f>IF('1.1 Produksi Bersih Padi 2025'!A166="","",'1.1 Produksi Bersih Padi 2025'!A166)</f>
        <v/>
      </c>
      <c r="B166" s="31" t="str">
        <f>IF('1.1 Produksi Bersih Padi 2025'!B166="","",'1.1 Produksi Bersih Padi 2025'!B166)</f>
        <v/>
      </c>
      <c r="C166" s="31" t="str">
        <f>IF('1.1 Produksi Bersih Padi 2025'!C166="","",'1.1 Produksi Bersih Padi 2025'!C166)</f>
        <v/>
      </c>
      <c r="D166" s="1" t="str">
        <f>IF('1.1 Produksi Bersih Padi 2025'!D166="","",'1.1 Produksi Bersih Padi 2025'!D166)</f>
        <v/>
      </c>
      <c r="E166" s="1" t="str">
        <f>IF('1.1 Produksi Bersih Padi 2025'!E166="","",'1.1 Produksi Bersih Padi 2025'!E166)</f>
        <v/>
      </c>
      <c r="F166" s="28" t="str">
        <f>IF(D166="","",VLOOKUP(D166,'[1]0.1 Produksi Pangan &amp; Penduduk'!$D$5:$Y$860,22,0))</f>
        <v/>
      </c>
      <c r="G166" s="30" t="str">
        <f t="shared" si="10"/>
        <v/>
      </c>
      <c r="H166" s="30" t="str">
        <f t="shared" si="11"/>
        <v/>
      </c>
      <c r="I166" s="30" t="str">
        <f t="shared" si="12"/>
        <v/>
      </c>
      <c r="J166" s="30" t="str">
        <f t="shared" si="13"/>
        <v/>
      </c>
      <c r="K166" s="30" t="str">
        <f t="shared" si="14"/>
        <v/>
      </c>
      <c r="M166" s="11"/>
    </row>
    <row r="167" spans="1:13" ht="15" x14ac:dyDescent="0.25">
      <c r="A167" s="1" t="str">
        <f>IF('1.1 Produksi Bersih Padi 2025'!A167="","",'1.1 Produksi Bersih Padi 2025'!A167)</f>
        <v/>
      </c>
      <c r="B167" s="31" t="str">
        <f>IF('1.1 Produksi Bersih Padi 2025'!B167="","",'1.1 Produksi Bersih Padi 2025'!B167)</f>
        <v/>
      </c>
      <c r="C167" s="31" t="str">
        <f>IF('1.1 Produksi Bersih Padi 2025'!C167="","",'1.1 Produksi Bersih Padi 2025'!C167)</f>
        <v/>
      </c>
      <c r="D167" s="1" t="str">
        <f>IF('1.1 Produksi Bersih Padi 2025'!D167="","",'1.1 Produksi Bersih Padi 2025'!D167)</f>
        <v/>
      </c>
      <c r="E167" s="1" t="str">
        <f>IF('1.1 Produksi Bersih Padi 2025'!E167="","",'1.1 Produksi Bersih Padi 2025'!E167)</f>
        <v/>
      </c>
      <c r="F167" s="28" t="str">
        <f>IF(D167="","",VLOOKUP(D167,'[1]0.1 Produksi Pangan &amp; Penduduk'!$D$5:$Y$860,22,0))</f>
        <v/>
      </c>
      <c r="G167" s="30" t="str">
        <f t="shared" si="10"/>
        <v/>
      </c>
      <c r="H167" s="30" t="str">
        <f t="shared" si="11"/>
        <v/>
      </c>
      <c r="I167" s="30" t="str">
        <f t="shared" si="12"/>
        <v/>
      </c>
      <c r="J167" s="30" t="str">
        <f t="shared" si="13"/>
        <v/>
      </c>
      <c r="K167" s="30" t="str">
        <f t="shared" si="14"/>
        <v/>
      </c>
      <c r="M167" s="11"/>
    </row>
    <row r="168" spans="1:13" ht="15" x14ac:dyDescent="0.25">
      <c r="A168" s="1" t="str">
        <f>IF('1.1 Produksi Bersih Padi 2025'!A168="","",'1.1 Produksi Bersih Padi 2025'!A168)</f>
        <v/>
      </c>
      <c r="B168" s="31" t="str">
        <f>IF('1.1 Produksi Bersih Padi 2025'!B168="","",'1.1 Produksi Bersih Padi 2025'!B168)</f>
        <v/>
      </c>
      <c r="C168" s="31" t="str">
        <f>IF('1.1 Produksi Bersih Padi 2025'!C168="","",'1.1 Produksi Bersih Padi 2025'!C168)</f>
        <v/>
      </c>
      <c r="D168" s="1" t="str">
        <f>IF('1.1 Produksi Bersih Padi 2025'!D168="","",'1.1 Produksi Bersih Padi 2025'!D168)</f>
        <v/>
      </c>
      <c r="E168" s="1" t="str">
        <f>IF('1.1 Produksi Bersih Padi 2025'!E168="","",'1.1 Produksi Bersih Padi 2025'!E168)</f>
        <v/>
      </c>
      <c r="F168" s="28" t="str">
        <f>IF(D168="","",VLOOKUP(D168,'[1]0.1 Produksi Pangan &amp; Penduduk'!$D$5:$Y$860,22,0))</f>
        <v/>
      </c>
      <c r="G168" s="30" t="str">
        <f t="shared" si="10"/>
        <v/>
      </c>
      <c r="H168" s="30" t="str">
        <f t="shared" si="11"/>
        <v/>
      </c>
      <c r="I168" s="30" t="str">
        <f t="shared" si="12"/>
        <v/>
      </c>
      <c r="J168" s="30" t="str">
        <f t="shared" si="13"/>
        <v/>
      </c>
      <c r="K168" s="30" t="str">
        <f t="shared" si="14"/>
        <v/>
      </c>
      <c r="M168" s="11"/>
    </row>
    <row r="169" spans="1:13" ht="15" x14ac:dyDescent="0.25">
      <c r="A169" s="1" t="str">
        <f>IF('1.1 Produksi Bersih Padi 2025'!A169="","",'1.1 Produksi Bersih Padi 2025'!A169)</f>
        <v/>
      </c>
      <c r="B169" s="31" t="str">
        <f>IF('1.1 Produksi Bersih Padi 2025'!B169="","",'1.1 Produksi Bersih Padi 2025'!B169)</f>
        <v/>
      </c>
      <c r="C169" s="31" t="str">
        <f>IF('1.1 Produksi Bersih Padi 2025'!C169="","",'1.1 Produksi Bersih Padi 2025'!C169)</f>
        <v/>
      </c>
      <c r="D169" s="1" t="str">
        <f>IF('1.1 Produksi Bersih Padi 2025'!D169="","",'1.1 Produksi Bersih Padi 2025'!D169)</f>
        <v/>
      </c>
      <c r="E169" s="1" t="str">
        <f>IF('1.1 Produksi Bersih Padi 2025'!E169="","",'1.1 Produksi Bersih Padi 2025'!E169)</f>
        <v/>
      </c>
      <c r="F169" s="28" t="str">
        <f>IF(D169="","",VLOOKUP(D169,'[1]0.1 Produksi Pangan &amp; Penduduk'!$D$5:$Y$860,22,0))</f>
        <v/>
      </c>
      <c r="G169" s="30" t="str">
        <f t="shared" si="10"/>
        <v/>
      </c>
      <c r="H169" s="30" t="str">
        <f t="shared" si="11"/>
        <v/>
      </c>
      <c r="I169" s="30" t="str">
        <f t="shared" si="12"/>
        <v/>
      </c>
      <c r="J169" s="30" t="str">
        <f t="shared" si="13"/>
        <v/>
      </c>
      <c r="K169" s="30" t="str">
        <f t="shared" si="14"/>
        <v/>
      </c>
      <c r="M169" s="11"/>
    </row>
    <row r="170" spans="1:13" ht="15" x14ac:dyDescent="0.25">
      <c r="A170" s="1" t="str">
        <f>IF('1.1 Produksi Bersih Padi 2025'!A170="","",'1.1 Produksi Bersih Padi 2025'!A170)</f>
        <v/>
      </c>
      <c r="B170" s="31" t="str">
        <f>IF('1.1 Produksi Bersih Padi 2025'!B170="","",'1.1 Produksi Bersih Padi 2025'!B170)</f>
        <v/>
      </c>
      <c r="C170" s="31" t="str">
        <f>IF('1.1 Produksi Bersih Padi 2025'!C170="","",'1.1 Produksi Bersih Padi 2025'!C170)</f>
        <v/>
      </c>
      <c r="D170" s="1" t="str">
        <f>IF('1.1 Produksi Bersih Padi 2025'!D170="","",'1.1 Produksi Bersih Padi 2025'!D170)</f>
        <v/>
      </c>
      <c r="E170" s="1" t="str">
        <f>IF('1.1 Produksi Bersih Padi 2025'!E170="","",'1.1 Produksi Bersih Padi 2025'!E170)</f>
        <v/>
      </c>
      <c r="F170" s="28" t="str">
        <f>IF(D170="","",VLOOKUP(D170,'[1]0.1 Produksi Pangan &amp; Penduduk'!$D$5:$Y$860,22,0))</f>
        <v/>
      </c>
      <c r="G170" s="30" t="str">
        <f t="shared" si="10"/>
        <v/>
      </c>
      <c r="H170" s="30" t="str">
        <f t="shared" si="11"/>
        <v/>
      </c>
      <c r="I170" s="30" t="str">
        <f t="shared" si="12"/>
        <v/>
      </c>
      <c r="J170" s="30" t="str">
        <f t="shared" si="13"/>
        <v/>
      </c>
      <c r="K170" s="30" t="str">
        <f t="shared" si="14"/>
        <v/>
      </c>
      <c r="M170" s="11"/>
    </row>
    <row r="171" spans="1:13" ht="15" x14ac:dyDescent="0.25">
      <c r="A171" s="1" t="str">
        <f>IF('1.1 Produksi Bersih Padi 2025'!A171="","",'1.1 Produksi Bersih Padi 2025'!A171)</f>
        <v/>
      </c>
      <c r="B171" s="31" t="str">
        <f>IF('1.1 Produksi Bersih Padi 2025'!B171="","",'1.1 Produksi Bersih Padi 2025'!B171)</f>
        <v/>
      </c>
      <c r="C171" s="31" t="str">
        <f>IF('1.1 Produksi Bersih Padi 2025'!C171="","",'1.1 Produksi Bersih Padi 2025'!C171)</f>
        <v/>
      </c>
      <c r="D171" s="1" t="str">
        <f>IF('1.1 Produksi Bersih Padi 2025'!D171="","",'1.1 Produksi Bersih Padi 2025'!D171)</f>
        <v/>
      </c>
      <c r="E171" s="1" t="str">
        <f>IF('1.1 Produksi Bersih Padi 2025'!E171="","",'1.1 Produksi Bersih Padi 2025'!E171)</f>
        <v/>
      </c>
      <c r="F171" s="28" t="str">
        <f>IF(D171="","",VLOOKUP(D171,'[1]0.1 Produksi Pangan &amp; Penduduk'!$D$5:$Y$860,22,0))</f>
        <v/>
      </c>
      <c r="G171" s="30" t="str">
        <f t="shared" si="10"/>
        <v/>
      </c>
      <c r="H171" s="30" t="str">
        <f t="shared" si="11"/>
        <v/>
      </c>
      <c r="I171" s="30" t="str">
        <f t="shared" si="12"/>
        <v/>
      </c>
      <c r="J171" s="30" t="str">
        <f t="shared" si="13"/>
        <v/>
      </c>
      <c r="K171" s="30" t="str">
        <f t="shared" si="14"/>
        <v/>
      </c>
      <c r="M171" s="11"/>
    </row>
    <row r="172" spans="1:13" ht="15" x14ac:dyDescent="0.25">
      <c r="A172" s="1" t="str">
        <f>IF('1.1 Produksi Bersih Padi 2025'!A172="","",'1.1 Produksi Bersih Padi 2025'!A172)</f>
        <v/>
      </c>
      <c r="B172" s="31" t="str">
        <f>IF('1.1 Produksi Bersih Padi 2025'!B172="","",'1.1 Produksi Bersih Padi 2025'!B172)</f>
        <v/>
      </c>
      <c r="C172" s="31" t="str">
        <f>IF('1.1 Produksi Bersih Padi 2025'!C172="","",'1.1 Produksi Bersih Padi 2025'!C172)</f>
        <v/>
      </c>
      <c r="D172" s="1" t="str">
        <f>IF('1.1 Produksi Bersih Padi 2025'!D172="","",'1.1 Produksi Bersih Padi 2025'!D172)</f>
        <v/>
      </c>
      <c r="E172" s="1" t="str">
        <f>IF('1.1 Produksi Bersih Padi 2025'!E172="","",'1.1 Produksi Bersih Padi 2025'!E172)</f>
        <v/>
      </c>
      <c r="F172" s="28" t="str">
        <f>IF(D172="","",VLOOKUP(D172,'[1]0.1 Produksi Pangan &amp; Penduduk'!$D$5:$Y$860,22,0))</f>
        <v/>
      </c>
      <c r="G172" s="30" t="str">
        <f t="shared" si="10"/>
        <v/>
      </c>
      <c r="H172" s="30" t="str">
        <f t="shared" si="11"/>
        <v/>
      </c>
      <c r="I172" s="30" t="str">
        <f t="shared" si="12"/>
        <v/>
      </c>
      <c r="J172" s="30" t="str">
        <f t="shared" si="13"/>
        <v/>
      </c>
      <c r="K172" s="30" t="str">
        <f t="shared" si="14"/>
        <v/>
      </c>
      <c r="M172" s="11"/>
    </row>
    <row r="173" spans="1:13" ht="15" x14ac:dyDescent="0.25">
      <c r="A173" s="1" t="str">
        <f>IF('1.1 Produksi Bersih Padi 2025'!A173="","",'1.1 Produksi Bersih Padi 2025'!A173)</f>
        <v/>
      </c>
      <c r="B173" s="31" t="str">
        <f>IF('1.1 Produksi Bersih Padi 2025'!B173="","",'1.1 Produksi Bersih Padi 2025'!B173)</f>
        <v/>
      </c>
      <c r="C173" s="31" t="str">
        <f>IF('1.1 Produksi Bersih Padi 2025'!C173="","",'1.1 Produksi Bersih Padi 2025'!C173)</f>
        <v/>
      </c>
      <c r="D173" s="1" t="str">
        <f>IF('1.1 Produksi Bersih Padi 2025'!D173="","",'1.1 Produksi Bersih Padi 2025'!D173)</f>
        <v/>
      </c>
      <c r="E173" s="1" t="str">
        <f>IF('1.1 Produksi Bersih Padi 2025'!E173="","",'1.1 Produksi Bersih Padi 2025'!E173)</f>
        <v/>
      </c>
      <c r="F173" s="28" t="str">
        <f>IF(D173="","",VLOOKUP(D173,'[1]0.1 Produksi Pangan &amp; Penduduk'!$D$5:$Y$860,22,0))</f>
        <v/>
      </c>
      <c r="G173" s="30" t="str">
        <f t="shared" si="10"/>
        <v/>
      </c>
      <c r="H173" s="30" t="str">
        <f t="shared" si="11"/>
        <v/>
      </c>
      <c r="I173" s="30" t="str">
        <f t="shared" si="12"/>
        <v/>
      </c>
      <c r="J173" s="30" t="str">
        <f t="shared" si="13"/>
        <v/>
      </c>
      <c r="K173" s="30" t="str">
        <f t="shared" si="14"/>
        <v/>
      </c>
      <c r="M173" s="11"/>
    </row>
    <row r="174" spans="1:13" ht="15" x14ac:dyDescent="0.25">
      <c r="A174" s="1" t="str">
        <f>IF('1.1 Produksi Bersih Padi 2025'!A174="","",'1.1 Produksi Bersih Padi 2025'!A174)</f>
        <v/>
      </c>
      <c r="B174" s="31" t="str">
        <f>IF('1.1 Produksi Bersih Padi 2025'!B174="","",'1.1 Produksi Bersih Padi 2025'!B174)</f>
        <v/>
      </c>
      <c r="C174" s="31" t="str">
        <f>IF('1.1 Produksi Bersih Padi 2025'!C174="","",'1.1 Produksi Bersih Padi 2025'!C174)</f>
        <v/>
      </c>
      <c r="D174" s="1" t="str">
        <f>IF('1.1 Produksi Bersih Padi 2025'!D174="","",'1.1 Produksi Bersih Padi 2025'!D174)</f>
        <v/>
      </c>
      <c r="E174" s="1" t="str">
        <f>IF('1.1 Produksi Bersih Padi 2025'!E174="","",'1.1 Produksi Bersih Padi 2025'!E174)</f>
        <v/>
      </c>
      <c r="F174" s="28" t="str">
        <f>IF(D174="","",VLOOKUP(D174,'[1]0.1 Produksi Pangan &amp; Penduduk'!$D$5:$Y$860,22,0))</f>
        <v/>
      </c>
      <c r="G174" s="30" t="str">
        <f t="shared" si="10"/>
        <v/>
      </c>
      <c r="H174" s="30" t="str">
        <f t="shared" si="11"/>
        <v/>
      </c>
      <c r="I174" s="30" t="str">
        <f t="shared" si="12"/>
        <v/>
      </c>
      <c r="J174" s="30" t="str">
        <f t="shared" si="13"/>
        <v/>
      </c>
      <c r="K174" s="30" t="str">
        <f t="shared" si="14"/>
        <v/>
      </c>
      <c r="M174" s="11"/>
    </row>
    <row r="175" spans="1:13" ht="15" x14ac:dyDescent="0.25">
      <c r="A175" s="1" t="str">
        <f>IF('1.1 Produksi Bersih Padi 2025'!A175="","",'1.1 Produksi Bersih Padi 2025'!A175)</f>
        <v/>
      </c>
      <c r="B175" s="31" t="str">
        <f>IF('1.1 Produksi Bersih Padi 2025'!B175="","",'1.1 Produksi Bersih Padi 2025'!B175)</f>
        <v/>
      </c>
      <c r="C175" s="31" t="str">
        <f>IF('1.1 Produksi Bersih Padi 2025'!C175="","",'1.1 Produksi Bersih Padi 2025'!C175)</f>
        <v/>
      </c>
      <c r="D175" s="1" t="str">
        <f>IF('1.1 Produksi Bersih Padi 2025'!D175="","",'1.1 Produksi Bersih Padi 2025'!D175)</f>
        <v/>
      </c>
      <c r="E175" s="1" t="str">
        <f>IF('1.1 Produksi Bersih Padi 2025'!E175="","",'1.1 Produksi Bersih Padi 2025'!E175)</f>
        <v/>
      </c>
      <c r="F175" s="28" t="str">
        <f>IF(D175="","",VLOOKUP(D175,'[1]0.1 Produksi Pangan &amp; Penduduk'!$D$5:$Y$860,22,0))</f>
        <v/>
      </c>
      <c r="G175" s="30" t="str">
        <f t="shared" si="10"/>
        <v/>
      </c>
      <c r="H175" s="30" t="str">
        <f t="shared" si="11"/>
        <v/>
      </c>
      <c r="I175" s="30" t="str">
        <f t="shared" si="12"/>
        <v/>
      </c>
      <c r="J175" s="30" t="str">
        <f t="shared" si="13"/>
        <v/>
      </c>
      <c r="K175" s="30" t="str">
        <f t="shared" si="14"/>
        <v/>
      </c>
      <c r="M175" s="11"/>
    </row>
    <row r="176" spans="1:13" ht="15" x14ac:dyDescent="0.25">
      <c r="A176" s="1" t="str">
        <f>IF('1.1 Produksi Bersih Padi 2025'!A176="","",'1.1 Produksi Bersih Padi 2025'!A176)</f>
        <v/>
      </c>
      <c r="B176" s="31" t="str">
        <f>IF('1.1 Produksi Bersih Padi 2025'!B176="","",'1.1 Produksi Bersih Padi 2025'!B176)</f>
        <v/>
      </c>
      <c r="C176" s="31" t="str">
        <f>IF('1.1 Produksi Bersih Padi 2025'!C176="","",'1.1 Produksi Bersih Padi 2025'!C176)</f>
        <v/>
      </c>
      <c r="D176" s="1" t="str">
        <f>IF('1.1 Produksi Bersih Padi 2025'!D176="","",'1.1 Produksi Bersih Padi 2025'!D176)</f>
        <v/>
      </c>
      <c r="E176" s="1" t="str">
        <f>IF('1.1 Produksi Bersih Padi 2025'!E176="","",'1.1 Produksi Bersih Padi 2025'!E176)</f>
        <v/>
      </c>
      <c r="F176" s="28" t="str">
        <f>IF(D176="","",VLOOKUP(D176,'[1]0.1 Produksi Pangan &amp; Penduduk'!$D$5:$Y$860,22,0))</f>
        <v/>
      </c>
      <c r="G176" s="30" t="str">
        <f t="shared" si="10"/>
        <v/>
      </c>
      <c r="H176" s="30" t="str">
        <f t="shared" si="11"/>
        <v/>
      </c>
      <c r="I176" s="30" t="str">
        <f t="shared" si="12"/>
        <v/>
      </c>
      <c r="J176" s="30" t="str">
        <f t="shared" si="13"/>
        <v/>
      </c>
      <c r="K176" s="30" t="str">
        <f t="shared" si="14"/>
        <v/>
      </c>
      <c r="M176" s="11"/>
    </row>
    <row r="177" spans="1:13" ht="15" x14ac:dyDescent="0.25">
      <c r="A177" s="1" t="str">
        <f>IF('1.1 Produksi Bersih Padi 2025'!A177="","",'1.1 Produksi Bersih Padi 2025'!A177)</f>
        <v/>
      </c>
      <c r="B177" s="31" t="str">
        <f>IF('1.1 Produksi Bersih Padi 2025'!B177="","",'1.1 Produksi Bersih Padi 2025'!B177)</f>
        <v/>
      </c>
      <c r="C177" s="31" t="str">
        <f>IF('1.1 Produksi Bersih Padi 2025'!C177="","",'1.1 Produksi Bersih Padi 2025'!C177)</f>
        <v/>
      </c>
      <c r="D177" s="1" t="str">
        <f>IF('1.1 Produksi Bersih Padi 2025'!D177="","",'1.1 Produksi Bersih Padi 2025'!D177)</f>
        <v/>
      </c>
      <c r="E177" s="1" t="str">
        <f>IF('1.1 Produksi Bersih Padi 2025'!E177="","",'1.1 Produksi Bersih Padi 2025'!E177)</f>
        <v/>
      </c>
      <c r="F177" s="28" t="str">
        <f>IF(D177="","",VLOOKUP(D177,'[1]0.1 Produksi Pangan &amp; Penduduk'!$D$5:$Y$860,22,0))</f>
        <v/>
      </c>
      <c r="G177" s="30" t="str">
        <f t="shared" si="10"/>
        <v/>
      </c>
      <c r="H177" s="30" t="str">
        <f t="shared" si="11"/>
        <v/>
      </c>
      <c r="I177" s="30" t="str">
        <f t="shared" si="12"/>
        <v/>
      </c>
      <c r="J177" s="30" t="str">
        <f t="shared" si="13"/>
        <v/>
      </c>
      <c r="K177" s="30" t="str">
        <f t="shared" si="14"/>
        <v/>
      </c>
      <c r="M177" s="11"/>
    </row>
    <row r="178" spans="1:13" ht="15" x14ac:dyDescent="0.25">
      <c r="A178" s="1" t="str">
        <f>IF('1.1 Produksi Bersih Padi 2025'!A178="","",'1.1 Produksi Bersih Padi 2025'!A178)</f>
        <v/>
      </c>
      <c r="B178" s="31" t="str">
        <f>IF('1.1 Produksi Bersih Padi 2025'!B178="","",'1.1 Produksi Bersih Padi 2025'!B178)</f>
        <v/>
      </c>
      <c r="C178" s="31" t="str">
        <f>IF('1.1 Produksi Bersih Padi 2025'!C178="","",'1.1 Produksi Bersih Padi 2025'!C178)</f>
        <v/>
      </c>
      <c r="D178" s="1" t="str">
        <f>IF('1.1 Produksi Bersih Padi 2025'!D178="","",'1.1 Produksi Bersih Padi 2025'!D178)</f>
        <v/>
      </c>
      <c r="E178" s="1" t="str">
        <f>IF('1.1 Produksi Bersih Padi 2025'!E178="","",'1.1 Produksi Bersih Padi 2025'!E178)</f>
        <v/>
      </c>
      <c r="F178" s="28" t="str">
        <f>IF(D178="","",VLOOKUP(D178,'[1]0.1 Produksi Pangan &amp; Penduduk'!$D$5:$Y$860,22,0))</f>
        <v/>
      </c>
      <c r="G178" s="30" t="str">
        <f t="shared" si="10"/>
        <v/>
      </c>
      <c r="H178" s="30" t="str">
        <f t="shared" si="11"/>
        <v/>
      </c>
      <c r="I178" s="30" t="str">
        <f t="shared" si="12"/>
        <v/>
      </c>
      <c r="J178" s="30" t="str">
        <f t="shared" si="13"/>
        <v/>
      </c>
      <c r="K178" s="30" t="str">
        <f t="shared" si="14"/>
        <v/>
      </c>
      <c r="M178" s="11"/>
    </row>
    <row r="179" spans="1:13" ht="15" x14ac:dyDescent="0.25">
      <c r="A179" s="1" t="str">
        <f>IF('1.1 Produksi Bersih Padi 2025'!A179="","",'1.1 Produksi Bersih Padi 2025'!A179)</f>
        <v/>
      </c>
      <c r="B179" s="31" t="str">
        <f>IF('1.1 Produksi Bersih Padi 2025'!B179="","",'1.1 Produksi Bersih Padi 2025'!B179)</f>
        <v/>
      </c>
      <c r="C179" s="31" t="str">
        <f>IF('1.1 Produksi Bersih Padi 2025'!C179="","",'1.1 Produksi Bersih Padi 2025'!C179)</f>
        <v/>
      </c>
      <c r="D179" s="1" t="str">
        <f>IF('1.1 Produksi Bersih Padi 2025'!D179="","",'1.1 Produksi Bersih Padi 2025'!D179)</f>
        <v/>
      </c>
      <c r="E179" s="1" t="str">
        <f>IF('1.1 Produksi Bersih Padi 2025'!E179="","",'1.1 Produksi Bersih Padi 2025'!E179)</f>
        <v/>
      </c>
      <c r="F179" s="28" t="str">
        <f>IF(D179="","",VLOOKUP(D179,'[1]0.1 Produksi Pangan &amp; Penduduk'!$D$5:$Y$860,22,0))</f>
        <v/>
      </c>
      <c r="G179" s="30" t="str">
        <f t="shared" si="10"/>
        <v/>
      </c>
      <c r="H179" s="30" t="str">
        <f t="shared" si="11"/>
        <v/>
      </c>
      <c r="I179" s="30" t="str">
        <f t="shared" si="12"/>
        <v/>
      </c>
      <c r="J179" s="30" t="str">
        <f t="shared" si="13"/>
        <v/>
      </c>
      <c r="K179" s="30" t="str">
        <f t="shared" si="14"/>
        <v/>
      </c>
      <c r="M179" s="11"/>
    </row>
    <row r="180" spans="1:13" ht="15" x14ac:dyDescent="0.25">
      <c r="A180" s="1" t="str">
        <f>IF('1.1 Produksi Bersih Padi 2025'!A180="","",'1.1 Produksi Bersih Padi 2025'!A180)</f>
        <v/>
      </c>
      <c r="B180" s="31" t="str">
        <f>IF('1.1 Produksi Bersih Padi 2025'!B180="","",'1.1 Produksi Bersih Padi 2025'!B180)</f>
        <v/>
      </c>
      <c r="C180" s="31" t="str">
        <f>IF('1.1 Produksi Bersih Padi 2025'!C180="","",'1.1 Produksi Bersih Padi 2025'!C180)</f>
        <v/>
      </c>
      <c r="D180" s="1" t="str">
        <f>IF('1.1 Produksi Bersih Padi 2025'!D180="","",'1.1 Produksi Bersih Padi 2025'!D180)</f>
        <v/>
      </c>
      <c r="E180" s="1" t="str">
        <f>IF('1.1 Produksi Bersih Padi 2025'!E180="","",'1.1 Produksi Bersih Padi 2025'!E180)</f>
        <v/>
      </c>
      <c r="F180" s="28" t="str">
        <f>IF(D180="","",VLOOKUP(D180,'[1]0.1 Produksi Pangan &amp; Penduduk'!$D$5:$Y$860,22,0))</f>
        <v/>
      </c>
      <c r="G180" s="30" t="str">
        <f t="shared" si="10"/>
        <v/>
      </c>
      <c r="H180" s="30" t="str">
        <f t="shared" si="11"/>
        <v/>
      </c>
      <c r="I180" s="30" t="str">
        <f t="shared" si="12"/>
        <v/>
      </c>
      <c r="J180" s="30" t="str">
        <f t="shared" si="13"/>
        <v/>
      </c>
      <c r="K180" s="30" t="str">
        <f t="shared" si="14"/>
        <v/>
      </c>
      <c r="M180" s="11"/>
    </row>
    <row r="181" spans="1:13" ht="15" x14ac:dyDescent="0.25">
      <c r="A181" s="1" t="str">
        <f>IF('1.1 Produksi Bersih Padi 2025'!A181="","",'1.1 Produksi Bersih Padi 2025'!A181)</f>
        <v/>
      </c>
      <c r="B181" s="31" t="str">
        <f>IF('1.1 Produksi Bersih Padi 2025'!B181="","",'1.1 Produksi Bersih Padi 2025'!B181)</f>
        <v/>
      </c>
      <c r="C181" s="31" t="str">
        <f>IF('1.1 Produksi Bersih Padi 2025'!C181="","",'1.1 Produksi Bersih Padi 2025'!C181)</f>
        <v/>
      </c>
      <c r="D181" s="1" t="str">
        <f>IF('1.1 Produksi Bersih Padi 2025'!D181="","",'1.1 Produksi Bersih Padi 2025'!D181)</f>
        <v/>
      </c>
      <c r="E181" s="1" t="str">
        <f>IF('1.1 Produksi Bersih Padi 2025'!E181="","",'1.1 Produksi Bersih Padi 2025'!E181)</f>
        <v/>
      </c>
      <c r="F181" s="28" t="str">
        <f>IF(D181="","",VLOOKUP(D181,'[1]0.1 Produksi Pangan &amp; Penduduk'!$D$5:$Y$860,22,0))</f>
        <v/>
      </c>
      <c r="G181" s="30" t="str">
        <f t="shared" si="10"/>
        <v/>
      </c>
      <c r="H181" s="30" t="str">
        <f t="shared" si="11"/>
        <v/>
      </c>
      <c r="I181" s="30" t="str">
        <f t="shared" si="12"/>
        <v/>
      </c>
      <c r="J181" s="30" t="str">
        <f t="shared" si="13"/>
        <v/>
      </c>
      <c r="K181" s="30" t="str">
        <f t="shared" si="14"/>
        <v/>
      </c>
      <c r="M181" s="11"/>
    </row>
    <row r="182" spans="1:13" ht="15" x14ac:dyDescent="0.25">
      <c r="A182" s="1" t="str">
        <f>IF('1.1 Produksi Bersih Padi 2025'!A182="","",'1.1 Produksi Bersih Padi 2025'!A182)</f>
        <v/>
      </c>
      <c r="B182" s="31" t="str">
        <f>IF('1.1 Produksi Bersih Padi 2025'!B182="","",'1.1 Produksi Bersih Padi 2025'!B182)</f>
        <v/>
      </c>
      <c r="C182" s="31" t="str">
        <f>IF('1.1 Produksi Bersih Padi 2025'!C182="","",'1.1 Produksi Bersih Padi 2025'!C182)</f>
        <v/>
      </c>
      <c r="D182" s="1" t="str">
        <f>IF('1.1 Produksi Bersih Padi 2025'!D182="","",'1.1 Produksi Bersih Padi 2025'!D182)</f>
        <v/>
      </c>
      <c r="E182" s="1" t="str">
        <f>IF('1.1 Produksi Bersih Padi 2025'!E182="","",'1.1 Produksi Bersih Padi 2025'!E182)</f>
        <v/>
      </c>
      <c r="F182" s="28" t="str">
        <f>IF(D182="","",VLOOKUP(D182,'[1]0.1 Produksi Pangan &amp; Penduduk'!$D$5:$Y$860,22,0))</f>
        <v/>
      </c>
      <c r="G182" s="30" t="str">
        <f t="shared" si="10"/>
        <v/>
      </c>
      <c r="H182" s="30" t="str">
        <f t="shared" si="11"/>
        <v/>
      </c>
      <c r="I182" s="30" t="str">
        <f t="shared" si="12"/>
        <v/>
      </c>
      <c r="J182" s="30" t="str">
        <f t="shared" si="13"/>
        <v/>
      </c>
      <c r="K182" s="30" t="str">
        <f t="shared" si="14"/>
        <v/>
      </c>
      <c r="M182" s="11"/>
    </row>
    <row r="183" spans="1:13" ht="15" x14ac:dyDescent="0.25">
      <c r="A183" s="1" t="str">
        <f>IF('1.1 Produksi Bersih Padi 2025'!A183="","",'1.1 Produksi Bersih Padi 2025'!A183)</f>
        <v/>
      </c>
      <c r="B183" s="31" t="str">
        <f>IF('1.1 Produksi Bersih Padi 2025'!B183="","",'1.1 Produksi Bersih Padi 2025'!B183)</f>
        <v/>
      </c>
      <c r="C183" s="31" t="str">
        <f>IF('1.1 Produksi Bersih Padi 2025'!C183="","",'1.1 Produksi Bersih Padi 2025'!C183)</f>
        <v/>
      </c>
      <c r="D183" s="1" t="str">
        <f>IF('1.1 Produksi Bersih Padi 2025'!D183="","",'1.1 Produksi Bersih Padi 2025'!D183)</f>
        <v/>
      </c>
      <c r="E183" s="1" t="str">
        <f>IF('1.1 Produksi Bersih Padi 2025'!E183="","",'1.1 Produksi Bersih Padi 2025'!E183)</f>
        <v/>
      </c>
      <c r="F183" s="28" t="str">
        <f>IF(D183="","",VLOOKUP(D183,'[1]0.1 Produksi Pangan &amp; Penduduk'!$D$5:$Y$860,22,0))</f>
        <v/>
      </c>
      <c r="G183" s="30" t="str">
        <f t="shared" si="10"/>
        <v/>
      </c>
      <c r="H183" s="30" t="str">
        <f t="shared" si="11"/>
        <v/>
      </c>
      <c r="I183" s="30" t="str">
        <f t="shared" si="12"/>
        <v/>
      </c>
      <c r="J183" s="30" t="str">
        <f t="shared" si="13"/>
        <v/>
      </c>
      <c r="K183" s="30" t="str">
        <f t="shared" si="14"/>
        <v/>
      </c>
      <c r="M183" s="11"/>
    </row>
    <row r="184" spans="1:13" ht="15" x14ac:dyDescent="0.25">
      <c r="A184" s="1" t="str">
        <f>IF('1.1 Produksi Bersih Padi 2025'!A184="","",'1.1 Produksi Bersih Padi 2025'!A184)</f>
        <v/>
      </c>
      <c r="B184" s="31" t="str">
        <f>IF('1.1 Produksi Bersih Padi 2025'!B184="","",'1.1 Produksi Bersih Padi 2025'!B184)</f>
        <v/>
      </c>
      <c r="C184" s="31" t="str">
        <f>IF('1.1 Produksi Bersih Padi 2025'!C184="","",'1.1 Produksi Bersih Padi 2025'!C184)</f>
        <v/>
      </c>
      <c r="D184" s="1" t="str">
        <f>IF('1.1 Produksi Bersih Padi 2025'!D184="","",'1.1 Produksi Bersih Padi 2025'!D184)</f>
        <v/>
      </c>
      <c r="E184" s="1" t="str">
        <f>IF('1.1 Produksi Bersih Padi 2025'!E184="","",'1.1 Produksi Bersih Padi 2025'!E184)</f>
        <v/>
      </c>
      <c r="F184" s="28" t="str">
        <f>IF(D184="","",VLOOKUP(D184,'[1]0.1 Produksi Pangan &amp; Penduduk'!$D$5:$Y$860,22,0))</f>
        <v/>
      </c>
      <c r="G184" s="30" t="str">
        <f t="shared" si="10"/>
        <v/>
      </c>
      <c r="H184" s="30" t="str">
        <f t="shared" si="11"/>
        <v/>
      </c>
      <c r="I184" s="30" t="str">
        <f t="shared" si="12"/>
        <v/>
      </c>
      <c r="J184" s="30" t="str">
        <f t="shared" si="13"/>
        <v/>
      </c>
      <c r="K184" s="30" t="str">
        <f t="shared" si="14"/>
        <v/>
      </c>
      <c r="M184" s="11"/>
    </row>
    <row r="185" spans="1:13" ht="15" x14ac:dyDescent="0.25">
      <c r="A185" s="1" t="str">
        <f>IF('1.1 Produksi Bersih Padi 2025'!A185="","",'1.1 Produksi Bersih Padi 2025'!A185)</f>
        <v/>
      </c>
      <c r="B185" s="31" t="str">
        <f>IF('1.1 Produksi Bersih Padi 2025'!B185="","",'1.1 Produksi Bersih Padi 2025'!B185)</f>
        <v/>
      </c>
      <c r="C185" s="31" t="str">
        <f>IF('1.1 Produksi Bersih Padi 2025'!C185="","",'1.1 Produksi Bersih Padi 2025'!C185)</f>
        <v/>
      </c>
      <c r="D185" s="1" t="str">
        <f>IF('1.1 Produksi Bersih Padi 2025'!D185="","",'1.1 Produksi Bersih Padi 2025'!D185)</f>
        <v/>
      </c>
      <c r="E185" s="1" t="str">
        <f>IF('1.1 Produksi Bersih Padi 2025'!E185="","",'1.1 Produksi Bersih Padi 2025'!E185)</f>
        <v/>
      </c>
      <c r="F185" s="28" t="str">
        <f>IF(D185="","",VLOOKUP(D185,'[1]0.1 Produksi Pangan &amp; Penduduk'!$D$5:$Y$860,22,0))</f>
        <v/>
      </c>
      <c r="G185" s="30" t="str">
        <f t="shared" si="10"/>
        <v/>
      </c>
      <c r="H185" s="30" t="str">
        <f t="shared" si="11"/>
        <v/>
      </c>
      <c r="I185" s="30" t="str">
        <f t="shared" si="12"/>
        <v/>
      </c>
      <c r="J185" s="30" t="str">
        <f t="shared" si="13"/>
        <v/>
      </c>
      <c r="K185" s="30" t="str">
        <f t="shared" si="14"/>
        <v/>
      </c>
      <c r="M185" s="11"/>
    </row>
    <row r="186" spans="1:13" ht="15" x14ac:dyDescent="0.25">
      <c r="A186" s="1" t="str">
        <f>IF('1.1 Produksi Bersih Padi 2025'!A186="","",'1.1 Produksi Bersih Padi 2025'!A186)</f>
        <v/>
      </c>
      <c r="B186" s="31" t="str">
        <f>IF('1.1 Produksi Bersih Padi 2025'!B186="","",'1.1 Produksi Bersih Padi 2025'!B186)</f>
        <v/>
      </c>
      <c r="C186" s="31" t="str">
        <f>IF('1.1 Produksi Bersih Padi 2025'!C186="","",'1.1 Produksi Bersih Padi 2025'!C186)</f>
        <v/>
      </c>
      <c r="D186" s="1" t="str">
        <f>IF('1.1 Produksi Bersih Padi 2025'!D186="","",'1.1 Produksi Bersih Padi 2025'!D186)</f>
        <v/>
      </c>
      <c r="E186" s="1" t="str">
        <f>IF('1.1 Produksi Bersih Padi 2025'!E186="","",'1.1 Produksi Bersih Padi 2025'!E186)</f>
        <v/>
      </c>
      <c r="F186" s="28" t="str">
        <f>IF(D186="","",VLOOKUP(D186,'[1]0.1 Produksi Pangan &amp; Penduduk'!$D$5:$Y$860,22,0))</f>
        <v/>
      </c>
      <c r="G186" s="30" t="str">
        <f t="shared" si="10"/>
        <v/>
      </c>
      <c r="H186" s="30" t="str">
        <f t="shared" si="11"/>
        <v/>
      </c>
      <c r="I186" s="30" t="str">
        <f t="shared" si="12"/>
        <v/>
      </c>
      <c r="J186" s="30" t="str">
        <f t="shared" si="13"/>
        <v/>
      </c>
      <c r="K186" s="30" t="str">
        <f t="shared" si="14"/>
        <v/>
      </c>
      <c r="M186" s="11"/>
    </row>
    <row r="187" spans="1:13" ht="15" x14ac:dyDescent="0.25">
      <c r="A187" s="1" t="str">
        <f>IF('1.1 Produksi Bersih Padi 2025'!A187="","",'1.1 Produksi Bersih Padi 2025'!A187)</f>
        <v/>
      </c>
      <c r="B187" s="31" t="str">
        <f>IF('1.1 Produksi Bersih Padi 2025'!B187="","",'1.1 Produksi Bersih Padi 2025'!B187)</f>
        <v/>
      </c>
      <c r="C187" s="31" t="str">
        <f>IF('1.1 Produksi Bersih Padi 2025'!C187="","",'1.1 Produksi Bersih Padi 2025'!C187)</f>
        <v/>
      </c>
      <c r="D187" s="1" t="str">
        <f>IF('1.1 Produksi Bersih Padi 2025'!D187="","",'1.1 Produksi Bersih Padi 2025'!D187)</f>
        <v/>
      </c>
      <c r="E187" s="1" t="str">
        <f>IF('1.1 Produksi Bersih Padi 2025'!E187="","",'1.1 Produksi Bersih Padi 2025'!E187)</f>
        <v/>
      </c>
      <c r="F187" s="28" t="str">
        <f>IF(D187="","",VLOOKUP(D187,'[1]0.1 Produksi Pangan &amp; Penduduk'!$D$5:$Y$860,22,0))</f>
        <v/>
      </c>
      <c r="G187" s="30" t="str">
        <f t="shared" si="10"/>
        <v/>
      </c>
      <c r="H187" s="30" t="str">
        <f t="shared" si="11"/>
        <v/>
      </c>
      <c r="I187" s="30" t="str">
        <f t="shared" si="12"/>
        <v/>
      </c>
      <c r="J187" s="30" t="str">
        <f t="shared" si="13"/>
        <v/>
      </c>
      <c r="K187" s="30" t="str">
        <f t="shared" si="14"/>
        <v/>
      </c>
      <c r="M187" s="11"/>
    </row>
    <row r="188" spans="1:13" ht="15" x14ac:dyDescent="0.25">
      <c r="A188" s="1" t="str">
        <f>IF('1.1 Produksi Bersih Padi 2025'!A188="","",'1.1 Produksi Bersih Padi 2025'!A188)</f>
        <v/>
      </c>
      <c r="B188" s="31" t="str">
        <f>IF('1.1 Produksi Bersih Padi 2025'!B188="","",'1.1 Produksi Bersih Padi 2025'!B188)</f>
        <v/>
      </c>
      <c r="C188" s="31" t="str">
        <f>IF('1.1 Produksi Bersih Padi 2025'!C188="","",'1.1 Produksi Bersih Padi 2025'!C188)</f>
        <v/>
      </c>
      <c r="D188" s="1" t="str">
        <f>IF('1.1 Produksi Bersih Padi 2025'!D188="","",'1.1 Produksi Bersih Padi 2025'!D188)</f>
        <v/>
      </c>
      <c r="E188" s="1" t="str">
        <f>IF('1.1 Produksi Bersih Padi 2025'!E188="","",'1.1 Produksi Bersih Padi 2025'!E188)</f>
        <v/>
      </c>
      <c r="F188" s="28" t="str">
        <f>IF(D188="","",VLOOKUP(D188,'[1]0.1 Produksi Pangan &amp; Penduduk'!$D$5:$Y$860,22,0))</f>
        <v/>
      </c>
      <c r="G188" s="30" t="str">
        <f t="shared" si="10"/>
        <v/>
      </c>
      <c r="H188" s="30" t="str">
        <f t="shared" si="11"/>
        <v/>
      </c>
      <c r="I188" s="30" t="str">
        <f t="shared" si="12"/>
        <v/>
      </c>
      <c r="J188" s="30" t="str">
        <f t="shared" si="13"/>
        <v/>
      </c>
      <c r="K188" s="30" t="str">
        <f t="shared" si="14"/>
        <v/>
      </c>
      <c r="M188" s="11"/>
    </row>
    <row r="189" spans="1:13" ht="15" x14ac:dyDescent="0.25">
      <c r="A189" s="1" t="str">
        <f>IF('1.1 Produksi Bersih Padi 2025'!A189="","",'1.1 Produksi Bersih Padi 2025'!A189)</f>
        <v/>
      </c>
      <c r="B189" s="31" t="str">
        <f>IF('1.1 Produksi Bersih Padi 2025'!B189="","",'1.1 Produksi Bersih Padi 2025'!B189)</f>
        <v/>
      </c>
      <c r="C189" s="31" t="str">
        <f>IF('1.1 Produksi Bersih Padi 2025'!C189="","",'1.1 Produksi Bersih Padi 2025'!C189)</f>
        <v/>
      </c>
      <c r="D189" s="1" t="str">
        <f>IF('1.1 Produksi Bersih Padi 2025'!D189="","",'1.1 Produksi Bersih Padi 2025'!D189)</f>
        <v/>
      </c>
      <c r="E189" s="1" t="str">
        <f>IF('1.1 Produksi Bersih Padi 2025'!E189="","",'1.1 Produksi Bersih Padi 2025'!E189)</f>
        <v/>
      </c>
      <c r="F189" s="28" t="str">
        <f>IF(D189="","",VLOOKUP(D189,'[1]0.1 Produksi Pangan &amp; Penduduk'!$D$5:$Y$860,22,0))</f>
        <v/>
      </c>
      <c r="G189" s="30" t="str">
        <f t="shared" si="10"/>
        <v/>
      </c>
      <c r="H189" s="30" t="str">
        <f t="shared" si="11"/>
        <v/>
      </c>
      <c r="I189" s="30" t="str">
        <f t="shared" si="12"/>
        <v/>
      </c>
      <c r="J189" s="30" t="str">
        <f t="shared" si="13"/>
        <v/>
      </c>
      <c r="K189" s="30" t="str">
        <f t="shared" si="14"/>
        <v/>
      </c>
      <c r="M189" s="11"/>
    </row>
    <row r="190" spans="1:13" ht="15" x14ac:dyDescent="0.25">
      <c r="A190" s="1" t="str">
        <f>IF('1.1 Produksi Bersih Padi 2025'!A190="","",'1.1 Produksi Bersih Padi 2025'!A190)</f>
        <v/>
      </c>
      <c r="B190" s="31" t="str">
        <f>IF('1.1 Produksi Bersih Padi 2025'!B190="","",'1.1 Produksi Bersih Padi 2025'!B190)</f>
        <v/>
      </c>
      <c r="C190" s="31" t="str">
        <f>IF('1.1 Produksi Bersih Padi 2025'!C190="","",'1.1 Produksi Bersih Padi 2025'!C190)</f>
        <v/>
      </c>
      <c r="D190" s="1" t="str">
        <f>IF('1.1 Produksi Bersih Padi 2025'!D190="","",'1.1 Produksi Bersih Padi 2025'!D190)</f>
        <v/>
      </c>
      <c r="E190" s="1" t="str">
        <f>IF('1.1 Produksi Bersih Padi 2025'!E190="","",'1.1 Produksi Bersih Padi 2025'!E190)</f>
        <v/>
      </c>
      <c r="F190" s="28" t="str">
        <f>IF(D190="","",VLOOKUP(D190,'[1]0.1 Produksi Pangan &amp; Penduduk'!$D$5:$Y$860,22,0))</f>
        <v/>
      </c>
      <c r="G190" s="30" t="str">
        <f t="shared" si="10"/>
        <v/>
      </c>
      <c r="H190" s="30" t="str">
        <f t="shared" si="11"/>
        <v/>
      </c>
      <c r="I190" s="30" t="str">
        <f t="shared" si="12"/>
        <v/>
      </c>
      <c r="J190" s="30" t="str">
        <f t="shared" si="13"/>
        <v/>
      </c>
      <c r="K190" s="30" t="str">
        <f t="shared" si="14"/>
        <v/>
      </c>
      <c r="M190" s="11"/>
    </row>
    <row r="191" spans="1:13" ht="15" x14ac:dyDescent="0.25">
      <c r="A191" s="1" t="str">
        <f>IF('1.1 Produksi Bersih Padi 2025'!A191="","",'1.1 Produksi Bersih Padi 2025'!A191)</f>
        <v/>
      </c>
      <c r="B191" s="31" t="str">
        <f>IF('1.1 Produksi Bersih Padi 2025'!B191="","",'1.1 Produksi Bersih Padi 2025'!B191)</f>
        <v/>
      </c>
      <c r="C191" s="31" t="str">
        <f>IF('1.1 Produksi Bersih Padi 2025'!C191="","",'1.1 Produksi Bersih Padi 2025'!C191)</f>
        <v/>
      </c>
      <c r="D191" s="1" t="str">
        <f>IF('1.1 Produksi Bersih Padi 2025'!D191="","",'1.1 Produksi Bersih Padi 2025'!D191)</f>
        <v/>
      </c>
      <c r="E191" s="1" t="str">
        <f>IF('1.1 Produksi Bersih Padi 2025'!E191="","",'1.1 Produksi Bersih Padi 2025'!E191)</f>
        <v/>
      </c>
      <c r="F191" s="28" t="str">
        <f>IF(D191="","",VLOOKUP(D191,'[1]0.1 Produksi Pangan &amp; Penduduk'!$D$5:$Y$860,22,0))</f>
        <v/>
      </c>
      <c r="G191" s="30" t="str">
        <f t="shared" si="10"/>
        <v/>
      </c>
      <c r="H191" s="30" t="str">
        <f t="shared" si="11"/>
        <v/>
      </c>
      <c r="I191" s="30" t="str">
        <f t="shared" si="12"/>
        <v/>
      </c>
      <c r="J191" s="30" t="str">
        <f t="shared" si="13"/>
        <v/>
      </c>
      <c r="K191" s="30" t="str">
        <f t="shared" si="14"/>
        <v/>
      </c>
      <c r="M191" s="11"/>
    </row>
    <row r="192" spans="1:13" ht="15" x14ac:dyDescent="0.25">
      <c r="A192" s="1" t="str">
        <f>IF('1.1 Produksi Bersih Padi 2025'!A192="","",'1.1 Produksi Bersih Padi 2025'!A192)</f>
        <v/>
      </c>
      <c r="B192" s="31" t="str">
        <f>IF('1.1 Produksi Bersih Padi 2025'!B192="","",'1.1 Produksi Bersih Padi 2025'!B192)</f>
        <v/>
      </c>
      <c r="C192" s="31" t="str">
        <f>IF('1.1 Produksi Bersih Padi 2025'!C192="","",'1.1 Produksi Bersih Padi 2025'!C192)</f>
        <v/>
      </c>
      <c r="D192" s="1" t="str">
        <f>IF('1.1 Produksi Bersih Padi 2025'!D192="","",'1.1 Produksi Bersih Padi 2025'!D192)</f>
        <v/>
      </c>
      <c r="E192" s="1" t="str">
        <f>IF('1.1 Produksi Bersih Padi 2025'!E192="","",'1.1 Produksi Bersih Padi 2025'!E192)</f>
        <v/>
      </c>
      <c r="F192" s="28" t="str">
        <f>IF(D192="","",VLOOKUP(D192,'[1]0.1 Produksi Pangan &amp; Penduduk'!$D$5:$Y$860,22,0))</f>
        <v/>
      </c>
      <c r="G192" s="30" t="str">
        <f t="shared" si="10"/>
        <v/>
      </c>
      <c r="H192" s="30" t="str">
        <f t="shared" si="11"/>
        <v/>
      </c>
      <c r="I192" s="30" t="str">
        <f t="shared" si="12"/>
        <v/>
      </c>
      <c r="J192" s="30" t="str">
        <f t="shared" si="13"/>
        <v/>
      </c>
      <c r="K192" s="30" t="str">
        <f t="shared" si="14"/>
        <v/>
      </c>
      <c r="M192" s="11"/>
    </row>
    <row r="193" spans="1:13" ht="15" x14ac:dyDescent="0.25">
      <c r="A193" s="1" t="str">
        <f>IF('1.1 Produksi Bersih Padi 2025'!A193="","",'1.1 Produksi Bersih Padi 2025'!A193)</f>
        <v/>
      </c>
      <c r="B193" s="31" t="str">
        <f>IF('1.1 Produksi Bersih Padi 2025'!B193="","",'1.1 Produksi Bersih Padi 2025'!B193)</f>
        <v/>
      </c>
      <c r="C193" s="31" t="str">
        <f>IF('1.1 Produksi Bersih Padi 2025'!C193="","",'1.1 Produksi Bersih Padi 2025'!C193)</f>
        <v/>
      </c>
      <c r="D193" s="1" t="str">
        <f>IF('1.1 Produksi Bersih Padi 2025'!D193="","",'1.1 Produksi Bersih Padi 2025'!D193)</f>
        <v/>
      </c>
      <c r="E193" s="1" t="str">
        <f>IF('1.1 Produksi Bersih Padi 2025'!E193="","",'1.1 Produksi Bersih Padi 2025'!E193)</f>
        <v/>
      </c>
      <c r="F193" s="28" t="str">
        <f>IF(D193="","",VLOOKUP(D193,'[1]0.1 Produksi Pangan &amp; Penduduk'!$D$5:$Y$860,22,0))</f>
        <v/>
      </c>
      <c r="G193" s="30" t="str">
        <f t="shared" si="10"/>
        <v/>
      </c>
      <c r="H193" s="30" t="str">
        <f t="shared" si="11"/>
        <v/>
      </c>
      <c r="I193" s="30" t="str">
        <f t="shared" si="12"/>
        <v/>
      </c>
      <c r="J193" s="30" t="str">
        <f t="shared" si="13"/>
        <v/>
      </c>
      <c r="K193" s="30" t="str">
        <f t="shared" si="14"/>
        <v/>
      </c>
      <c r="M193" s="11"/>
    </row>
    <row r="194" spans="1:13" ht="15" x14ac:dyDescent="0.25">
      <c r="A194" s="1" t="str">
        <f>IF('1.1 Produksi Bersih Padi 2025'!A194="","",'1.1 Produksi Bersih Padi 2025'!A194)</f>
        <v/>
      </c>
      <c r="B194" s="31" t="str">
        <f>IF('1.1 Produksi Bersih Padi 2025'!B194="","",'1.1 Produksi Bersih Padi 2025'!B194)</f>
        <v/>
      </c>
      <c r="C194" s="31" t="str">
        <f>IF('1.1 Produksi Bersih Padi 2025'!C194="","",'1.1 Produksi Bersih Padi 2025'!C194)</f>
        <v/>
      </c>
      <c r="D194" s="1" t="str">
        <f>IF('1.1 Produksi Bersih Padi 2025'!D194="","",'1.1 Produksi Bersih Padi 2025'!D194)</f>
        <v/>
      </c>
      <c r="E194" s="1" t="str">
        <f>IF('1.1 Produksi Bersih Padi 2025'!E194="","",'1.1 Produksi Bersih Padi 2025'!E194)</f>
        <v/>
      </c>
      <c r="F194" s="28" t="str">
        <f>IF(D194="","",VLOOKUP(D194,'[1]0.1 Produksi Pangan &amp; Penduduk'!$D$5:$Y$860,22,0))</f>
        <v/>
      </c>
      <c r="G194" s="30" t="str">
        <f t="shared" si="10"/>
        <v/>
      </c>
      <c r="H194" s="30" t="str">
        <f t="shared" si="11"/>
        <v/>
      </c>
      <c r="I194" s="30" t="str">
        <f t="shared" si="12"/>
        <v/>
      </c>
      <c r="J194" s="30" t="str">
        <f t="shared" si="13"/>
        <v/>
      </c>
      <c r="K194" s="30" t="str">
        <f t="shared" si="14"/>
        <v/>
      </c>
      <c r="M194" s="11"/>
    </row>
    <row r="195" spans="1:13" ht="15" x14ac:dyDescent="0.25">
      <c r="A195" s="1" t="str">
        <f>IF('1.1 Produksi Bersih Padi 2025'!A195="","",'1.1 Produksi Bersih Padi 2025'!A195)</f>
        <v/>
      </c>
      <c r="B195" s="31" t="str">
        <f>IF('1.1 Produksi Bersih Padi 2025'!B195="","",'1.1 Produksi Bersih Padi 2025'!B195)</f>
        <v/>
      </c>
      <c r="C195" s="31" t="str">
        <f>IF('1.1 Produksi Bersih Padi 2025'!C195="","",'1.1 Produksi Bersih Padi 2025'!C195)</f>
        <v/>
      </c>
      <c r="D195" s="1" t="str">
        <f>IF('1.1 Produksi Bersih Padi 2025'!D195="","",'1.1 Produksi Bersih Padi 2025'!D195)</f>
        <v/>
      </c>
      <c r="E195" s="1" t="str">
        <f>IF('1.1 Produksi Bersih Padi 2025'!E195="","",'1.1 Produksi Bersih Padi 2025'!E195)</f>
        <v/>
      </c>
      <c r="F195" s="28" t="str">
        <f>IF(D195="","",VLOOKUP(D195,'[1]0.1 Produksi Pangan &amp; Penduduk'!$D$5:$Y$860,22,0))</f>
        <v/>
      </c>
      <c r="G195" s="30" t="str">
        <f t="shared" si="10"/>
        <v/>
      </c>
      <c r="H195" s="30" t="str">
        <f t="shared" si="11"/>
        <v/>
      </c>
      <c r="I195" s="30" t="str">
        <f t="shared" si="12"/>
        <v/>
      </c>
      <c r="J195" s="30" t="str">
        <f t="shared" si="13"/>
        <v/>
      </c>
      <c r="K195" s="30" t="str">
        <f t="shared" si="14"/>
        <v/>
      </c>
      <c r="M195" s="11"/>
    </row>
    <row r="196" spans="1:13" ht="15" x14ac:dyDescent="0.25">
      <c r="A196" s="1" t="str">
        <f>IF('1.1 Produksi Bersih Padi 2025'!A196="","",'1.1 Produksi Bersih Padi 2025'!A196)</f>
        <v/>
      </c>
      <c r="B196" s="31" t="str">
        <f>IF('1.1 Produksi Bersih Padi 2025'!B196="","",'1.1 Produksi Bersih Padi 2025'!B196)</f>
        <v/>
      </c>
      <c r="C196" s="31" t="str">
        <f>IF('1.1 Produksi Bersih Padi 2025'!C196="","",'1.1 Produksi Bersih Padi 2025'!C196)</f>
        <v/>
      </c>
      <c r="D196" s="1" t="str">
        <f>IF('1.1 Produksi Bersih Padi 2025'!D196="","",'1.1 Produksi Bersih Padi 2025'!D196)</f>
        <v/>
      </c>
      <c r="E196" s="1" t="str">
        <f>IF('1.1 Produksi Bersih Padi 2025'!E196="","",'1.1 Produksi Bersih Padi 2025'!E196)</f>
        <v/>
      </c>
      <c r="F196" s="28" t="str">
        <f>IF(D196="","",VLOOKUP(D196,'[1]0.1 Produksi Pangan &amp; Penduduk'!$D$5:$Y$860,22,0))</f>
        <v/>
      </c>
      <c r="G196" s="30" t="str">
        <f t="shared" si="10"/>
        <v/>
      </c>
      <c r="H196" s="30" t="str">
        <f t="shared" si="11"/>
        <v/>
      </c>
      <c r="I196" s="30" t="str">
        <f t="shared" si="12"/>
        <v/>
      </c>
      <c r="J196" s="30" t="str">
        <f t="shared" si="13"/>
        <v/>
      </c>
      <c r="K196" s="30" t="str">
        <f t="shared" si="14"/>
        <v/>
      </c>
      <c r="M196" s="11"/>
    </row>
    <row r="197" spans="1:13" ht="15" x14ac:dyDescent="0.25">
      <c r="A197" s="1" t="str">
        <f>IF('1.1 Produksi Bersih Padi 2025'!A197="","",'1.1 Produksi Bersih Padi 2025'!A197)</f>
        <v/>
      </c>
      <c r="B197" s="31" t="str">
        <f>IF('1.1 Produksi Bersih Padi 2025'!B197="","",'1.1 Produksi Bersih Padi 2025'!B197)</f>
        <v/>
      </c>
      <c r="C197" s="31" t="str">
        <f>IF('1.1 Produksi Bersih Padi 2025'!C197="","",'1.1 Produksi Bersih Padi 2025'!C197)</f>
        <v/>
      </c>
      <c r="D197" s="1" t="str">
        <f>IF('1.1 Produksi Bersih Padi 2025'!D197="","",'1.1 Produksi Bersih Padi 2025'!D197)</f>
        <v/>
      </c>
      <c r="E197" s="1" t="str">
        <f>IF('1.1 Produksi Bersih Padi 2025'!E197="","",'1.1 Produksi Bersih Padi 2025'!E197)</f>
        <v/>
      </c>
      <c r="F197" s="28" t="str">
        <f>IF(D197="","",VLOOKUP(D197,'[1]0.1 Produksi Pangan &amp; Penduduk'!$D$5:$Y$860,22,0))</f>
        <v/>
      </c>
      <c r="G197" s="30" t="str">
        <f t="shared" si="10"/>
        <v/>
      </c>
      <c r="H197" s="30" t="str">
        <f t="shared" si="11"/>
        <v/>
      </c>
      <c r="I197" s="30" t="str">
        <f t="shared" si="12"/>
        <v/>
      </c>
      <c r="J197" s="30" t="str">
        <f t="shared" si="13"/>
        <v/>
      </c>
      <c r="K197" s="30" t="str">
        <f t="shared" si="14"/>
        <v/>
      </c>
      <c r="M197" s="11"/>
    </row>
    <row r="198" spans="1:13" ht="15" x14ac:dyDescent="0.25">
      <c r="A198" s="1" t="str">
        <f>IF('1.1 Produksi Bersih Padi 2025'!A198="","",'1.1 Produksi Bersih Padi 2025'!A198)</f>
        <v/>
      </c>
      <c r="B198" s="31" t="str">
        <f>IF('1.1 Produksi Bersih Padi 2025'!B198="","",'1.1 Produksi Bersih Padi 2025'!B198)</f>
        <v/>
      </c>
      <c r="C198" s="31" t="str">
        <f>IF('1.1 Produksi Bersih Padi 2025'!C198="","",'1.1 Produksi Bersih Padi 2025'!C198)</f>
        <v/>
      </c>
      <c r="D198" s="1" t="str">
        <f>IF('1.1 Produksi Bersih Padi 2025'!D198="","",'1.1 Produksi Bersih Padi 2025'!D198)</f>
        <v/>
      </c>
      <c r="E198" s="1" t="str">
        <f>IF('1.1 Produksi Bersih Padi 2025'!E198="","",'1.1 Produksi Bersih Padi 2025'!E198)</f>
        <v/>
      </c>
      <c r="F198" s="28" t="str">
        <f>IF(D198="","",VLOOKUP(D198,'[1]0.1 Produksi Pangan &amp; Penduduk'!$D$5:$Y$860,22,0))</f>
        <v/>
      </c>
      <c r="G198" s="30" t="str">
        <f t="shared" ref="G198:G261" si="15">IF(F198="","",F198*0%)</f>
        <v/>
      </c>
      <c r="H198" s="30" t="str">
        <f t="shared" ref="H198:H261" si="16">IF(F198="","",F198*0.43%)</f>
        <v/>
      </c>
      <c r="I198" s="30" t="str">
        <f t="shared" ref="I198:I261" si="17">IF(F198="","",F198*4.23%)</f>
        <v/>
      </c>
      <c r="J198" s="30" t="str">
        <f t="shared" ref="J198:J261" si="18">IF(F198="","",F198-(G198+H198+I198))</f>
        <v/>
      </c>
      <c r="K198" s="30" t="str">
        <f t="shared" ref="K198:K261" si="19">IF(J198="","",J198*0.363)</f>
        <v/>
      </c>
      <c r="M198" s="11"/>
    </row>
    <row r="199" spans="1:13" ht="15" x14ac:dyDescent="0.25">
      <c r="A199" s="1" t="str">
        <f>IF('1.1 Produksi Bersih Padi 2025'!A199="","",'1.1 Produksi Bersih Padi 2025'!A199)</f>
        <v/>
      </c>
      <c r="B199" s="31" t="str">
        <f>IF('1.1 Produksi Bersih Padi 2025'!B199="","",'1.1 Produksi Bersih Padi 2025'!B199)</f>
        <v/>
      </c>
      <c r="C199" s="31" t="str">
        <f>IF('1.1 Produksi Bersih Padi 2025'!C199="","",'1.1 Produksi Bersih Padi 2025'!C199)</f>
        <v/>
      </c>
      <c r="D199" s="1" t="str">
        <f>IF('1.1 Produksi Bersih Padi 2025'!D199="","",'1.1 Produksi Bersih Padi 2025'!D199)</f>
        <v/>
      </c>
      <c r="E199" s="1" t="str">
        <f>IF('1.1 Produksi Bersih Padi 2025'!E199="","",'1.1 Produksi Bersih Padi 2025'!E199)</f>
        <v/>
      </c>
      <c r="F199" s="28" t="str">
        <f>IF(D199="","",VLOOKUP(D199,'[1]0.1 Produksi Pangan &amp; Penduduk'!$D$5:$Y$860,22,0))</f>
        <v/>
      </c>
      <c r="G199" s="30" t="str">
        <f t="shared" si="15"/>
        <v/>
      </c>
      <c r="H199" s="30" t="str">
        <f t="shared" si="16"/>
        <v/>
      </c>
      <c r="I199" s="30" t="str">
        <f t="shared" si="17"/>
        <v/>
      </c>
      <c r="J199" s="30" t="str">
        <f t="shared" si="18"/>
        <v/>
      </c>
      <c r="K199" s="30" t="str">
        <f t="shared" si="19"/>
        <v/>
      </c>
      <c r="M199" s="11"/>
    </row>
    <row r="200" spans="1:13" ht="15" x14ac:dyDescent="0.25">
      <c r="A200" s="1" t="str">
        <f>IF('1.1 Produksi Bersih Padi 2025'!A200="","",'1.1 Produksi Bersih Padi 2025'!A200)</f>
        <v/>
      </c>
      <c r="B200" s="31" t="str">
        <f>IF('1.1 Produksi Bersih Padi 2025'!B200="","",'1.1 Produksi Bersih Padi 2025'!B200)</f>
        <v/>
      </c>
      <c r="C200" s="31" t="str">
        <f>IF('1.1 Produksi Bersih Padi 2025'!C200="","",'1.1 Produksi Bersih Padi 2025'!C200)</f>
        <v/>
      </c>
      <c r="D200" s="1" t="str">
        <f>IF('1.1 Produksi Bersih Padi 2025'!D200="","",'1.1 Produksi Bersih Padi 2025'!D200)</f>
        <v/>
      </c>
      <c r="E200" s="1" t="str">
        <f>IF('1.1 Produksi Bersih Padi 2025'!E200="","",'1.1 Produksi Bersih Padi 2025'!E200)</f>
        <v/>
      </c>
      <c r="F200" s="28" t="str">
        <f>IF(D200="","",VLOOKUP(D200,'[1]0.1 Produksi Pangan &amp; Penduduk'!$D$5:$Y$860,22,0))</f>
        <v/>
      </c>
      <c r="G200" s="30" t="str">
        <f t="shared" si="15"/>
        <v/>
      </c>
      <c r="H200" s="30" t="str">
        <f t="shared" si="16"/>
        <v/>
      </c>
      <c r="I200" s="30" t="str">
        <f t="shared" si="17"/>
        <v/>
      </c>
      <c r="J200" s="30" t="str">
        <f t="shared" si="18"/>
        <v/>
      </c>
      <c r="K200" s="30" t="str">
        <f t="shared" si="19"/>
        <v/>
      </c>
      <c r="M200" s="11"/>
    </row>
    <row r="201" spans="1:13" ht="15" x14ac:dyDescent="0.25">
      <c r="A201" s="1" t="str">
        <f>IF('1.1 Produksi Bersih Padi 2025'!A201="","",'1.1 Produksi Bersih Padi 2025'!A201)</f>
        <v/>
      </c>
      <c r="B201" s="31" t="str">
        <f>IF('1.1 Produksi Bersih Padi 2025'!B201="","",'1.1 Produksi Bersih Padi 2025'!B201)</f>
        <v/>
      </c>
      <c r="C201" s="31" t="str">
        <f>IF('1.1 Produksi Bersih Padi 2025'!C201="","",'1.1 Produksi Bersih Padi 2025'!C201)</f>
        <v/>
      </c>
      <c r="D201" s="1" t="str">
        <f>IF('1.1 Produksi Bersih Padi 2025'!D201="","",'1.1 Produksi Bersih Padi 2025'!D201)</f>
        <v/>
      </c>
      <c r="E201" s="1" t="str">
        <f>IF('1.1 Produksi Bersih Padi 2025'!E201="","",'1.1 Produksi Bersih Padi 2025'!E201)</f>
        <v/>
      </c>
      <c r="F201" s="28" t="str">
        <f>IF(D201="","",VLOOKUP(D201,'[1]0.1 Produksi Pangan &amp; Penduduk'!$D$5:$Y$860,22,0))</f>
        <v/>
      </c>
      <c r="G201" s="30" t="str">
        <f t="shared" si="15"/>
        <v/>
      </c>
      <c r="H201" s="30" t="str">
        <f t="shared" si="16"/>
        <v/>
      </c>
      <c r="I201" s="30" t="str">
        <f t="shared" si="17"/>
        <v/>
      </c>
      <c r="J201" s="30" t="str">
        <f t="shared" si="18"/>
        <v/>
      </c>
      <c r="K201" s="30" t="str">
        <f t="shared" si="19"/>
        <v/>
      </c>
      <c r="M201" s="11"/>
    </row>
    <row r="202" spans="1:13" ht="15" x14ac:dyDescent="0.25">
      <c r="A202" s="1" t="str">
        <f>IF('1.1 Produksi Bersih Padi 2025'!A202="","",'1.1 Produksi Bersih Padi 2025'!A202)</f>
        <v/>
      </c>
      <c r="B202" s="31" t="str">
        <f>IF('1.1 Produksi Bersih Padi 2025'!B202="","",'1.1 Produksi Bersih Padi 2025'!B202)</f>
        <v/>
      </c>
      <c r="C202" s="31" t="str">
        <f>IF('1.1 Produksi Bersih Padi 2025'!C202="","",'1.1 Produksi Bersih Padi 2025'!C202)</f>
        <v/>
      </c>
      <c r="D202" s="1" t="str">
        <f>IF('1.1 Produksi Bersih Padi 2025'!D202="","",'1.1 Produksi Bersih Padi 2025'!D202)</f>
        <v/>
      </c>
      <c r="E202" s="1" t="str">
        <f>IF('1.1 Produksi Bersih Padi 2025'!E202="","",'1.1 Produksi Bersih Padi 2025'!E202)</f>
        <v/>
      </c>
      <c r="F202" s="28" t="str">
        <f>IF(D202="","",VLOOKUP(D202,'[1]0.1 Produksi Pangan &amp; Penduduk'!$D$5:$Y$860,22,0))</f>
        <v/>
      </c>
      <c r="G202" s="30" t="str">
        <f t="shared" si="15"/>
        <v/>
      </c>
      <c r="H202" s="30" t="str">
        <f t="shared" si="16"/>
        <v/>
      </c>
      <c r="I202" s="30" t="str">
        <f t="shared" si="17"/>
        <v/>
      </c>
      <c r="J202" s="30" t="str">
        <f t="shared" si="18"/>
        <v/>
      </c>
      <c r="K202" s="30" t="str">
        <f t="shared" si="19"/>
        <v/>
      </c>
      <c r="M202" s="11"/>
    </row>
    <row r="203" spans="1:13" ht="15" x14ac:dyDescent="0.25">
      <c r="A203" s="1" t="str">
        <f>IF('1.1 Produksi Bersih Padi 2025'!A203="","",'1.1 Produksi Bersih Padi 2025'!A203)</f>
        <v/>
      </c>
      <c r="B203" s="31" t="str">
        <f>IF('1.1 Produksi Bersih Padi 2025'!B203="","",'1.1 Produksi Bersih Padi 2025'!B203)</f>
        <v/>
      </c>
      <c r="C203" s="31" t="str">
        <f>IF('1.1 Produksi Bersih Padi 2025'!C203="","",'1.1 Produksi Bersih Padi 2025'!C203)</f>
        <v/>
      </c>
      <c r="D203" s="1" t="str">
        <f>IF('1.1 Produksi Bersih Padi 2025'!D203="","",'1.1 Produksi Bersih Padi 2025'!D203)</f>
        <v/>
      </c>
      <c r="E203" s="1" t="str">
        <f>IF('1.1 Produksi Bersih Padi 2025'!E203="","",'1.1 Produksi Bersih Padi 2025'!E203)</f>
        <v/>
      </c>
      <c r="F203" s="28" t="str">
        <f>IF(D203="","",VLOOKUP(D203,'[1]0.1 Produksi Pangan &amp; Penduduk'!$D$5:$Y$860,22,0))</f>
        <v/>
      </c>
      <c r="G203" s="30" t="str">
        <f t="shared" si="15"/>
        <v/>
      </c>
      <c r="H203" s="30" t="str">
        <f t="shared" si="16"/>
        <v/>
      </c>
      <c r="I203" s="30" t="str">
        <f t="shared" si="17"/>
        <v/>
      </c>
      <c r="J203" s="30" t="str">
        <f t="shared" si="18"/>
        <v/>
      </c>
      <c r="K203" s="30" t="str">
        <f t="shared" si="19"/>
        <v/>
      </c>
      <c r="M203" s="11"/>
    </row>
    <row r="204" spans="1:13" ht="15" x14ac:dyDescent="0.25">
      <c r="A204" s="1" t="str">
        <f>IF('1.1 Produksi Bersih Padi 2025'!A204="","",'1.1 Produksi Bersih Padi 2025'!A204)</f>
        <v/>
      </c>
      <c r="B204" s="31" t="str">
        <f>IF('1.1 Produksi Bersih Padi 2025'!B204="","",'1.1 Produksi Bersih Padi 2025'!B204)</f>
        <v/>
      </c>
      <c r="C204" s="31" t="str">
        <f>IF('1.1 Produksi Bersih Padi 2025'!C204="","",'1.1 Produksi Bersih Padi 2025'!C204)</f>
        <v/>
      </c>
      <c r="D204" s="1" t="str">
        <f>IF('1.1 Produksi Bersih Padi 2025'!D204="","",'1.1 Produksi Bersih Padi 2025'!D204)</f>
        <v/>
      </c>
      <c r="E204" s="1" t="str">
        <f>IF('1.1 Produksi Bersih Padi 2025'!E204="","",'1.1 Produksi Bersih Padi 2025'!E204)</f>
        <v/>
      </c>
      <c r="F204" s="28" t="str">
        <f>IF(D204="","",VLOOKUP(D204,'[1]0.1 Produksi Pangan &amp; Penduduk'!$D$5:$Y$860,22,0))</f>
        <v/>
      </c>
      <c r="G204" s="30" t="str">
        <f t="shared" si="15"/>
        <v/>
      </c>
      <c r="H204" s="30" t="str">
        <f t="shared" si="16"/>
        <v/>
      </c>
      <c r="I204" s="30" t="str">
        <f t="shared" si="17"/>
        <v/>
      </c>
      <c r="J204" s="30" t="str">
        <f t="shared" si="18"/>
        <v/>
      </c>
      <c r="K204" s="30" t="str">
        <f t="shared" si="19"/>
        <v/>
      </c>
      <c r="M204" s="11"/>
    </row>
    <row r="205" spans="1:13" ht="15" x14ac:dyDescent="0.25">
      <c r="A205" s="1" t="str">
        <f>IF('1.1 Produksi Bersih Padi 2025'!A205="","",'1.1 Produksi Bersih Padi 2025'!A205)</f>
        <v/>
      </c>
      <c r="B205" s="31" t="str">
        <f>IF('1.1 Produksi Bersih Padi 2025'!B205="","",'1.1 Produksi Bersih Padi 2025'!B205)</f>
        <v/>
      </c>
      <c r="C205" s="31" t="str">
        <f>IF('1.1 Produksi Bersih Padi 2025'!C205="","",'1.1 Produksi Bersih Padi 2025'!C205)</f>
        <v/>
      </c>
      <c r="D205" s="1" t="str">
        <f>IF('1.1 Produksi Bersih Padi 2025'!D205="","",'1.1 Produksi Bersih Padi 2025'!D205)</f>
        <v/>
      </c>
      <c r="E205" s="1" t="str">
        <f>IF('1.1 Produksi Bersih Padi 2025'!E205="","",'1.1 Produksi Bersih Padi 2025'!E205)</f>
        <v/>
      </c>
      <c r="F205" s="28" t="str">
        <f>IF(D205="","",VLOOKUP(D205,'[1]0.1 Produksi Pangan &amp; Penduduk'!$D$5:$Y$860,22,0))</f>
        <v/>
      </c>
      <c r="G205" s="30" t="str">
        <f t="shared" si="15"/>
        <v/>
      </c>
      <c r="H205" s="30" t="str">
        <f t="shared" si="16"/>
        <v/>
      </c>
      <c r="I205" s="30" t="str">
        <f t="shared" si="17"/>
        <v/>
      </c>
      <c r="J205" s="30" t="str">
        <f t="shared" si="18"/>
        <v/>
      </c>
      <c r="K205" s="30" t="str">
        <f t="shared" si="19"/>
        <v/>
      </c>
      <c r="M205" s="11"/>
    </row>
    <row r="206" spans="1:13" ht="15" x14ac:dyDescent="0.25">
      <c r="A206" s="1" t="str">
        <f>IF('1.1 Produksi Bersih Padi 2025'!A206="","",'1.1 Produksi Bersih Padi 2025'!A206)</f>
        <v/>
      </c>
      <c r="B206" s="31" t="str">
        <f>IF('1.1 Produksi Bersih Padi 2025'!B206="","",'1.1 Produksi Bersih Padi 2025'!B206)</f>
        <v/>
      </c>
      <c r="C206" s="31" t="str">
        <f>IF('1.1 Produksi Bersih Padi 2025'!C206="","",'1.1 Produksi Bersih Padi 2025'!C206)</f>
        <v/>
      </c>
      <c r="D206" s="1" t="str">
        <f>IF('1.1 Produksi Bersih Padi 2025'!D206="","",'1.1 Produksi Bersih Padi 2025'!D206)</f>
        <v/>
      </c>
      <c r="E206" s="1" t="str">
        <f>IF('1.1 Produksi Bersih Padi 2025'!E206="","",'1.1 Produksi Bersih Padi 2025'!E206)</f>
        <v/>
      </c>
      <c r="F206" s="28" t="str">
        <f>IF(D206="","",VLOOKUP(D206,'[1]0.1 Produksi Pangan &amp; Penduduk'!$D$5:$Y$860,22,0))</f>
        <v/>
      </c>
      <c r="G206" s="30" t="str">
        <f t="shared" si="15"/>
        <v/>
      </c>
      <c r="H206" s="30" t="str">
        <f t="shared" si="16"/>
        <v/>
      </c>
      <c r="I206" s="30" t="str">
        <f t="shared" si="17"/>
        <v/>
      </c>
      <c r="J206" s="30" t="str">
        <f t="shared" si="18"/>
        <v/>
      </c>
      <c r="K206" s="30" t="str">
        <f t="shared" si="19"/>
        <v/>
      </c>
      <c r="M206" s="11"/>
    </row>
    <row r="207" spans="1:13" ht="15" x14ac:dyDescent="0.25">
      <c r="A207" s="1" t="str">
        <f>IF('1.1 Produksi Bersih Padi 2025'!A207="","",'1.1 Produksi Bersih Padi 2025'!A207)</f>
        <v/>
      </c>
      <c r="B207" s="31" t="str">
        <f>IF('1.1 Produksi Bersih Padi 2025'!B207="","",'1.1 Produksi Bersih Padi 2025'!B207)</f>
        <v/>
      </c>
      <c r="C207" s="31" t="str">
        <f>IF('1.1 Produksi Bersih Padi 2025'!C207="","",'1.1 Produksi Bersih Padi 2025'!C207)</f>
        <v/>
      </c>
      <c r="D207" s="1" t="str">
        <f>IF('1.1 Produksi Bersih Padi 2025'!D207="","",'1.1 Produksi Bersih Padi 2025'!D207)</f>
        <v/>
      </c>
      <c r="E207" s="1" t="str">
        <f>IF('1.1 Produksi Bersih Padi 2025'!E207="","",'1.1 Produksi Bersih Padi 2025'!E207)</f>
        <v/>
      </c>
      <c r="F207" s="28" t="str">
        <f>IF(D207="","",VLOOKUP(D207,'[1]0.1 Produksi Pangan &amp; Penduduk'!$D$5:$Y$860,22,0))</f>
        <v/>
      </c>
      <c r="G207" s="30" t="str">
        <f t="shared" si="15"/>
        <v/>
      </c>
      <c r="H207" s="30" t="str">
        <f t="shared" si="16"/>
        <v/>
      </c>
      <c r="I207" s="30" t="str">
        <f t="shared" si="17"/>
        <v/>
      </c>
      <c r="J207" s="30" t="str">
        <f t="shared" si="18"/>
        <v/>
      </c>
      <c r="K207" s="30" t="str">
        <f t="shared" si="19"/>
        <v/>
      </c>
      <c r="M207" s="11"/>
    </row>
    <row r="208" spans="1:13" ht="15" x14ac:dyDescent="0.25">
      <c r="A208" s="1" t="str">
        <f>IF('1.1 Produksi Bersih Padi 2025'!A208="","",'1.1 Produksi Bersih Padi 2025'!A208)</f>
        <v/>
      </c>
      <c r="B208" s="31" t="str">
        <f>IF('1.1 Produksi Bersih Padi 2025'!B208="","",'1.1 Produksi Bersih Padi 2025'!B208)</f>
        <v/>
      </c>
      <c r="C208" s="31" t="str">
        <f>IF('1.1 Produksi Bersih Padi 2025'!C208="","",'1.1 Produksi Bersih Padi 2025'!C208)</f>
        <v/>
      </c>
      <c r="D208" s="1" t="str">
        <f>IF('1.1 Produksi Bersih Padi 2025'!D208="","",'1.1 Produksi Bersih Padi 2025'!D208)</f>
        <v/>
      </c>
      <c r="E208" s="1" t="str">
        <f>IF('1.1 Produksi Bersih Padi 2025'!E208="","",'1.1 Produksi Bersih Padi 2025'!E208)</f>
        <v/>
      </c>
      <c r="F208" s="28" t="str">
        <f>IF(D208="","",VLOOKUP(D208,'[1]0.1 Produksi Pangan &amp; Penduduk'!$D$5:$Y$860,22,0))</f>
        <v/>
      </c>
      <c r="G208" s="30" t="str">
        <f t="shared" si="15"/>
        <v/>
      </c>
      <c r="H208" s="30" t="str">
        <f t="shared" si="16"/>
        <v/>
      </c>
      <c r="I208" s="30" t="str">
        <f t="shared" si="17"/>
        <v/>
      </c>
      <c r="J208" s="30" t="str">
        <f t="shared" si="18"/>
        <v/>
      </c>
      <c r="K208" s="30" t="str">
        <f t="shared" si="19"/>
        <v/>
      </c>
      <c r="M208" s="11"/>
    </row>
    <row r="209" spans="1:13" ht="15" x14ac:dyDescent="0.25">
      <c r="A209" s="1" t="str">
        <f>IF('1.1 Produksi Bersih Padi 2025'!A209="","",'1.1 Produksi Bersih Padi 2025'!A209)</f>
        <v/>
      </c>
      <c r="B209" s="31" t="str">
        <f>IF('1.1 Produksi Bersih Padi 2025'!B209="","",'1.1 Produksi Bersih Padi 2025'!B209)</f>
        <v/>
      </c>
      <c r="C209" s="31" t="str">
        <f>IF('1.1 Produksi Bersih Padi 2025'!C209="","",'1.1 Produksi Bersih Padi 2025'!C209)</f>
        <v/>
      </c>
      <c r="D209" s="1" t="str">
        <f>IF('1.1 Produksi Bersih Padi 2025'!D209="","",'1.1 Produksi Bersih Padi 2025'!D209)</f>
        <v/>
      </c>
      <c r="E209" s="1" t="str">
        <f>IF('1.1 Produksi Bersih Padi 2025'!E209="","",'1.1 Produksi Bersih Padi 2025'!E209)</f>
        <v/>
      </c>
      <c r="F209" s="28" t="str">
        <f>IF(D209="","",VLOOKUP(D209,'[1]0.1 Produksi Pangan &amp; Penduduk'!$D$5:$Y$860,22,0))</f>
        <v/>
      </c>
      <c r="G209" s="30" t="str">
        <f t="shared" si="15"/>
        <v/>
      </c>
      <c r="H209" s="30" t="str">
        <f t="shared" si="16"/>
        <v/>
      </c>
      <c r="I209" s="30" t="str">
        <f t="shared" si="17"/>
        <v/>
      </c>
      <c r="J209" s="30" t="str">
        <f t="shared" si="18"/>
        <v/>
      </c>
      <c r="K209" s="30" t="str">
        <f t="shared" si="19"/>
        <v/>
      </c>
      <c r="M209" s="11"/>
    </row>
    <row r="210" spans="1:13" ht="15" x14ac:dyDescent="0.25">
      <c r="A210" s="1" t="str">
        <f>IF('1.1 Produksi Bersih Padi 2025'!A210="","",'1.1 Produksi Bersih Padi 2025'!A210)</f>
        <v/>
      </c>
      <c r="B210" s="31" t="str">
        <f>IF('1.1 Produksi Bersih Padi 2025'!B210="","",'1.1 Produksi Bersih Padi 2025'!B210)</f>
        <v/>
      </c>
      <c r="C210" s="31" t="str">
        <f>IF('1.1 Produksi Bersih Padi 2025'!C210="","",'1.1 Produksi Bersih Padi 2025'!C210)</f>
        <v/>
      </c>
      <c r="D210" s="1" t="str">
        <f>IF('1.1 Produksi Bersih Padi 2025'!D210="","",'1.1 Produksi Bersih Padi 2025'!D210)</f>
        <v/>
      </c>
      <c r="E210" s="1" t="str">
        <f>IF('1.1 Produksi Bersih Padi 2025'!E210="","",'1.1 Produksi Bersih Padi 2025'!E210)</f>
        <v/>
      </c>
      <c r="F210" s="28" t="str">
        <f>IF(D210="","",VLOOKUP(D210,'[1]0.1 Produksi Pangan &amp; Penduduk'!$D$5:$Y$860,22,0))</f>
        <v/>
      </c>
      <c r="G210" s="30" t="str">
        <f t="shared" si="15"/>
        <v/>
      </c>
      <c r="H210" s="30" t="str">
        <f t="shared" si="16"/>
        <v/>
      </c>
      <c r="I210" s="30" t="str">
        <f t="shared" si="17"/>
        <v/>
      </c>
      <c r="J210" s="30" t="str">
        <f t="shared" si="18"/>
        <v/>
      </c>
      <c r="K210" s="30" t="str">
        <f t="shared" si="19"/>
        <v/>
      </c>
      <c r="M210" s="11"/>
    </row>
    <row r="211" spans="1:13" ht="15" x14ac:dyDescent="0.25">
      <c r="A211" s="1" t="str">
        <f>IF('1.1 Produksi Bersih Padi 2025'!A211="","",'1.1 Produksi Bersih Padi 2025'!A211)</f>
        <v/>
      </c>
      <c r="B211" s="31" t="str">
        <f>IF('1.1 Produksi Bersih Padi 2025'!B211="","",'1.1 Produksi Bersih Padi 2025'!B211)</f>
        <v/>
      </c>
      <c r="C211" s="31" t="str">
        <f>IF('1.1 Produksi Bersih Padi 2025'!C211="","",'1.1 Produksi Bersih Padi 2025'!C211)</f>
        <v/>
      </c>
      <c r="D211" s="1" t="str">
        <f>IF('1.1 Produksi Bersih Padi 2025'!D211="","",'1.1 Produksi Bersih Padi 2025'!D211)</f>
        <v/>
      </c>
      <c r="E211" s="1" t="str">
        <f>IF('1.1 Produksi Bersih Padi 2025'!E211="","",'1.1 Produksi Bersih Padi 2025'!E211)</f>
        <v/>
      </c>
      <c r="F211" s="28" t="str">
        <f>IF(D211="","",VLOOKUP(D211,'[1]0.1 Produksi Pangan &amp; Penduduk'!$D$5:$Y$860,22,0))</f>
        <v/>
      </c>
      <c r="G211" s="30" t="str">
        <f t="shared" si="15"/>
        <v/>
      </c>
      <c r="H211" s="30" t="str">
        <f t="shared" si="16"/>
        <v/>
      </c>
      <c r="I211" s="30" t="str">
        <f t="shared" si="17"/>
        <v/>
      </c>
      <c r="J211" s="30" t="str">
        <f t="shared" si="18"/>
        <v/>
      </c>
      <c r="K211" s="30" t="str">
        <f t="shared" si="19"/>
        <v/>
      </c>
      <c r="M211" s="11"/>
    </row>
    <row r="212" spans="1:13" ht="15" x14ac:dyDescent="0.25">
      <c r="A212" s="1" t="str">
        <f>IF('1.1 Produksi Bersih Padi 2025'!A212="","",'1.1 Produksi Bersih Padi 2025'!A212)</f>
        <v/>
      </c>
      <c r="B212" s="31" t="str">
        <f>IF('1.1 Produksi Bersih Padi 2025'!B212="","",'1.1 Produksi Bersih Padi 2025'!B212)</f>
        <v/>
      </c>
      <c r="C212" s="31" t="str">
        <f>IF('1.1 Produksi Bersih Padi 2025'!C212="","",'1.1 Produksi Bersih Padi 2025'!C212)</f>
        <v/>
      </c>
      <c r="D212" s="1" t="str">
        <f>IF('1.1 Produksi Bersih Padi 2025'!D212="","",'1.1 Produksi Bersih Padi 2025'!D212)</f>
        <v/>
      </c>
      <c r="E212" s="1" t="str">
        <f>IF('1.1 Produksi Bersih Padi 2025'!E212="","",'1.1 Produksi Bersih Padi 2025'!E212)</f>
        <v/>
      </c>
      <c r="F212" s="28" t="str">
        <f>IF(D212="","",VLOOKUP(D212,'[1]0.1 Produksi Pangan &amp; Penduduk'!$D$5:$Y$860,22,0))</f>
        <v/>
      </c>
      <c r="G212" s="30" t="str">
        <f t="shared" si="15"/>
        <v/>
      </c>
      <c r="H212" s="30" t="str">
        <f t="shared" si="16"/>
        <v/>
      </c>
      <c r="I212" s="30" t="str">
        <f t="shared" si="17"/>
        <v/>
      </c>
      <c r="J212" s="30" t="str">
        <f t="shared" si="18"/>
        <v/>
      </c>
      <c r="K212" s="30" t="str">
        <f t="shared" si="19"/>
        <v/>
      </c>
      <c r="M212" s="11"/>
    </row>
    <row r="213" spans="1:13" ht="15" x14ac:dyDescent="0.25">
      <c r="A213" s="1" t="str">
        <f>IF('1.1 Produksi Bersih Padi 2025'!A213="","",'1.1 Produksi Bersih Padi 2025'!A213)</f>
        <v/>
      </c>
      <c r="B213" s="31" t="str">
        <f>IF('1.1 Produksi Bersih Padi 2025'!B213="","",'1.1 Produksi Bersih Padi 2025'!B213)</f>
        <v/>
      </c>
      <c r="C213" s="31" t="str">
        <f>IF('1.1 Produksi Bersih Padi 2025'!C213="","",'1.1 Produksi Bersih Padi 2025'!C213)</f>
        <v/>
      </c>
      <c r="D213" s="1" t="str">
        <f>IF('1.1 Produksi Bersih Padi 2025'!D213="","",'1.1 Produksi Bersih Padi 2025'!D213)</f>
        <v/>
      </c>
      <c r="E213" s="1" t="str">
        <f>IF('1.1 Produksi Bersih Padi 2025'!E213="","",'1.1 Produksi Bersih Padi 2025'!E213)</f>
        <v/>
      </c>
      <c r="F213" s="28" t="str">
        <f>IF(D213="","",VLOOKUP(D213,'[1]0.1 Produksi Pangan &amp; Penduduk'!$D$5:$Y$860,22,0))</f>
        <v/>
      </c>
      <c r="G213" s="30" t="str">
        <f t="shared" si="15"/>
        <v/>
      </c>
      <c r="H213" s="30" t="str">
        <f t="shared" si="16"/>
        <v/>
      </c>
      <c r="I213" s="30" t="str">
        <f t="shared" si="17"/>
        <v/>
      </c>
      <c r="J213" s="30" t="str">
        <f t="shared" si="18"/>
        <v/>
      </c>
      <c r="K213" s="30" t="str">
        <f t="shared" si="19"/>
        <v/>
      </c>
      <c r="M213" s="11"/>
    </row>
    <row r="214" spans="1:13" ht="15" x14ac:dyDescent="0.25">
      <c r="A214" s="1" t="str">
        <f>IF('1.1 Produksi Bersih Padi 2025'!A214="","",'1.1 Produksi Bersih Padi 2025'!A214)</f>
        <v/>
      </c>
      <c r="B214" s="31" t="str">
        <f>IF('1.1 Produksi Bersih Padi 2025'!B214="","",'1.1 Produksi Bersih Padi 2025'!B214)</f>
        <v/>
      </c>
      <c r="C214" s="31" t="str">
        <f>IF('1.1 Produksi Bersih Padi 2025'!C214="","",'1.1 Produksi Bersih Padi 2025'!C214)</f>
        <v/>
      </c>
      <c r="D214" s="1" t="str">
        <f>IF('1.1 Produksi Bersih Padi 2025'!D214="","",'1.1 Produksi Bersih Padi 2025'!D214)</f>
        <v/>
      </c>
      <c r="E214" s="1" t="str">
        <f>IF('1.1 Produksi Bersih Padi 2025'!E214="","",'1.1 Produksi Bersih Padi 2025'!E214)</f>
        <v/>
      </c>
      <c r="F214" s="28" t="str">
        <f>IF(D214="","",VLOOKUP(D214,'[1]0.1 Produksi Pangan &amp; Penduduk'!$D$5:$Y$860,22,0))</f>
        <v/>
      </c>
      <c r="G214" s="30" t="str">
        <f t="shared" si="15"/>
        <v/>
      </c>
      <c r="H214" s="30" t="str">
        <f t="shared" si="16"/>
        <v/>
      </c>
      <c r="I214" s="30" t="str">
        <f t="shared" si="17"/>
        <v/>
      </c>
      <c r="J214" s="30" t="str">
        <f t="shared" si="18"/>
        <v/>
      </c>
      <c r="K214" s="30" t="str">
        <f t="shared" si="19"/>
        <v/>
      </c>
      <c r="M214" s="11"/>
    </row>
    <row r="215" spans="1:13" ht="15" x14ac:dyDescent="0.25">
      <c r="A215" s="1" t="str">
        <f>IF('1.1 Produksi Bersih Padi 2025'!A215="","",'1.1 Produksi Bersih Padi 2025'!A215)</f>
        <v/>
      </c>
      <c r="B215" s="31" t="str">
        <f>IF('1.1 Produksi Bersih Padi 2025'!B215="","",'1.1 Produksi Bersih Padi 2025'!B215)</f>
        <v/>
      </c>
      <c r="C215" s="31" t="str">
        <f>IF('1.1 Produksi Bersih Padi 2025'!C215="","",'1.1 Produksi Bersih Padi 2025'!C215)</f>
        <v/>
      </c>
      <c r="D215" s="1" t="str">
        <f>IF('1.1 Produksi Bersih Padi 2025'!D215="","",'1.1 Produksi Bersih Padi 2025'!D215)</f>
        <v/>
      </c>
      <c r="E215" s="1" t="str">
        <f>IF('1.1 Produksi Bersih Padi 2025'!E215="","",'1.1 Produksi Bersih Padi 2025'!E215)</f>
        <v/>
      </c>
      <c r="F215" s="28" t="str">
        <f>IF(D215="","",VLOOKUP(D215,'[1]0.1 Produksi Pangan &amp; Penduduk'!$D$5:$Y$860,22,0))</f>
        <v/>
      </c>
      <c r="G215" s="30" t="str">
        <f t="shared" si="15"/>
        <v/>
      </c>
      <c r="H215" s="30" t="str">
        <f t="shared" si="16"/>
        <v/>
      </c>
      <c r="I215" s="30" t="str">
        <f t="shared" si="17"/>
        <v/>
      </c>
      <c r="J215" s="30" t="str">
        <f t="shared" si="18"/>
        <v/>
      </c>
      <c r="K215" s="30" t="str">
        <f t="shared" si="19"/>
        <v/>
      </c>
      <c r="M215" s="11"/>
    </row>
    <row r="216" spans="1:13" ht="15" x14ac:dyDescent="0.25">
      <c r="A216" s="1" t="str">
        <f>IF('1.1 Produksi Bersih Padi 2025'!A216="","",'1.1 Produksi Bersih Padi 2025'!A216)</f>
        <v/>
      </c>
      <c r="B216" s="31" t="str">
        <f>IF('1.1 Produksi Bersih Padi 2025'!B216="","",'1.1 Produksi Bersih Padi 2025'!B216)</f>
        <v/>
      </c>
      <c r="C216" s="31" t="str">
        <f>IF('1.1 Produksi Bersih Padi 2025'!C216="","",'1.1 Produksi Bersih Padi 2025'!C216)</f>
        <v/>
      </c>
      <c r="D216" s="1" t="str">
        <f>IF('1.1 Produksi Bersih Padi 2025'!D216="","",'1.1 Produksi Bersih Padi 2025'!D216)</f>
        <v/>
      </c>
      <c r="E216" s="1" t="str">
        <f>IF('1.1 Produksi Bersih Padi 2025'!E216="","",'1.1 Produksi Bersih Padi 2025'!E216)</f>
        <v/>
      </c>
      <c r="F216" s="28" t="str">
        <f>IF(D216="","",VLOOKUP(D216,'[1]0.1 Produksi Pangan &amp; Penduduk'!$D$5:$Y$860,22,0))</f>
        <v/>
      </c>
      <c r="G216" s="30" t="str">
        <f t="shared" si="15"/>
        <v/>
      </c>
      <c r="H216" s="30" t="str">
        <f t="shared" si="16"/>
        <v/>
      </c>
      <c r="I216" s="30" t="str">
        <f t="shared" si="17"/>
        <v/>
      </c>
      <c r="J216" s="30" t="str">
        <f t="shared" si="18"/>
        <v/>
      </c>
      <c r="K216" s="30" t="str">
        <f t="shared" si="19"/>
        <v/>
      </c>
      <c r="M216" s="11"/>
    </row>
    <row r="217" spans="1:13" ht="15" x14ac:dyDescent="0.25">
      <c r="A217" s="1" t="str">
        <f>IF('1.1 Produksi Bersih Padi 2025'!A217="","",'1.1 Produksi Bersih Padi 2025'!A217)</f>
        <v/>
      </c>
      <c r="B217" s="31" t="str">
        <f>IF('1.1 Produksi Bersih Padi 2025'!B217="","",'1.1 Produksi Bersih Padi 2025'!B217)</f>
        <v/>
      </c>
      <c r="C217" s="31" t="str">
        <f>IF('1.1 Produksi Bersih Padi 2025'!C217="","",'1.1 Produksi Bersih Padi 2025'!C217)</f>
        <v/>
      </c>
      <c r="D217" s="1" t="str">
        <f>IF('1.1 Produksi Bersih Padi 2025'!D217="","",'1.1 Produksi Bersih Padi 2025'!D217)</f>
        <v/>
      </c>
      <c r="E217" s="1" t="str">
        <f>IF('1.1 Produksi Bersih Padi 2025'!E217="","",'1.1 Produksi Bersih Padi 2025'!E217)</f>
        <v/>
      </c>
      <c r="F217" s="28" t="str">
        <f>IF(D217="","",VLOOKUP(D217,'[1]0.1 Produksi Pangan &amp; Penduduk'!$D$5:$Y$860,22,0))</f>
        <v/>
      </c>
      <c r="G217" s="30" t="str">
        <f t="shared" si="15"/>
        <v/>
      </c>
      <c r="H217" s="30" t="str">
        <f t="shared" si="16"/>
        <v/>
      </c>
      <c r="I217" s="30" t="str">
        <f t="shared" si="17"/>
        <v/>
      </c>
      <c r="J217" s="30" t="str">
        <f t="shared" si="18"/>
        <v/>
      </c>
      <c r="K217" s="30" t="str">
        <f t="shared" si="19"/>
        <v/>
      </c>
      <c r="M217" s="11"/>
    </row>
    <row r="218" spans="1:13" ht="15" x14ac:dyDescent="0.25">
      <c r="A218" s="1" t="str">
        <f>IF('1.1 Produksi Bersih Padi 2025'!A218="","",'1.1 Produksi Bersih Padi 2025'!A218)</f>
        <v/>
      </c>
      <c r="B218" s="31" t="str">
        <f>IF('1.1 Produksi Bersih Padi 2025'!B218="","",'1.1 Produksi Bersih Padi 2025'!B218)</f>
        <v/>
      </c>
      <c r="C218" s="31" t="str">
        <f>IF('1.1 Produksi Bersih Padi 2025'!C218="","",'1.1 Produksi Bersih Padi 2025'!C218)</f>
        <v/>
      </c>
      <c r="D218" s="1" t="str">
        <f>IF('1.1 Produksi Bersih Padi 2025'!D218="","",'1.1 Produksi Bersih Padi 2025'!D218)</f>
        <v/>
      </c>
      <c r="E218" s="1" t="str">
        <f>IF('1.1 Produksi Bersih Padi 2025'!E218="","",'1.1 Produksi Bersih Padi 2025'!E218)</f>
        <v/>
      </c>
      <c r="F218" s="28" t="str">
        <f>IF(D218="","",VLOOKUP(D218,'[1]0.1 Produksi Pangan &amp; Penduduk'!$D$5:$Y$860,22,0))</f>
        <v/>
      </c>
      <c r="G218" s="30" t="str">
        <f t="shared" si="15"/>
        <v/>
      </c>
      <c r="H218" s="30" t="str">
        <f t="shared" si="16"/>
        <v/>
      </c>
      <c r="I218" s="30" t="str">
        <f t="shared" si="17"/>
        <v/>
      </c>
      <c r="J218" s="30" t="str">
        <f t="shared" si="18"/>
        <v/>
      </c>
      <c r="K218" s="30" t="str">
        <f t="shared" si="19"/>
        <v/>
      </c>
      <c r="M218" s="11"/>
    </row>
    <row r="219" spans="1:13" ht="15" x14ac:dyDescent="0.25">
      <c r="A219" s="1" t="str">
        <f>IF('1.1 Produksi Bersih Padi 2025'!A219="","",'1.1 Produksi Bersih Padi 2025'!A219)</f>
        <v/>
      </c>
      <c r="B219" s="31" t="str">
        <f>IF('1.1 Produksi Bersih Padi 2025'!B219="","",'1.1 Produksi Bersih Padi 2025'!B219)</f>
        <v/>
      </c>
      <c r="C219" s="31" t="str">
        <f>IF('1.1 Produksi Bersih Padi 2025'!C219="","",'1.1 Produksi Bersih Padi 2025'!C219)</f>
        <v/>
      </c>
      <c r="D219" s="1" t="str">
        <f>IF('1.1 Produksi Bersih Padi 2025'!D219="","",'1.1 Produksi Bersih Padi 2025'!D219)</f>
        <v/>
      </c>
      <c r="E219" s="1" t="str">
        <f>IF('1.1 Produksi Bersih Padi 2025'!E219="","",'1.1 Produksi Bersih Padi 2025'!E219)</f>
        <v/>
      </c>
      <c r="F219" s="28" t="str">
        <f>IF(D219="","",VLOOKUP(D219,'[1]0.1 Produksi Pangan &amp; Penduduk'!$D$5:$Y$860,22,0))</f>
        <v/>
      </c>
      <c r="G219" s="30" t="str">
        <f t="shared" si="15"/>
        <v/>
      </c>
      <c r="H219" s="30" t="str">
        <f t="shared" si="16"/>
        <v/>
      </c>
      <c r="I219" s="30" t="str">
        <f t="shared" si="17"/>
        <v/>
      </c>
      <c r="J219" s="30" t="str">
        <f t="shared" si="18"/>
        <v/>
      </c>
      <c r="K219" s="30" t="str">
        <f t="shared" si="19"/>
        <v/>
      </c>
      <c r="M219" s="11"/>
    </row>
    <row r="220" spans="1:13" ht="15" x14ac:dyDescent="0.25">
      <c r="A220" s="1" t="str">
        <f>IF('1.1 Produksi Bersih Padi 2025'!A220="","",'1.1 Produksi Bersih Padi 2025'!A220)</f>
        <v/>
      </c>
      <c r="B220" s="31" t="str">
        <f>IF('1.1 Produksi Bersih Padi 2025'!B220="","",'1.1 Produksi Bersih Padi 2025'!B220)</f>
        <v/>
      </c>
      <c r="C220" s="31" t="str">
        <f>IF('1.1 Produksi Bersih Padi 2025'!C220="","",'1.1 Produksi Bersih Padi 2025'!C220)</f>
        <v/>
      </c>
      <c r="D220" s="1" t="str">
        <f>IF('1.1 Produksi Bersih Padi 2025'!D220="","",'1.1 Produksi Bersih Padi 2025'!D220)</f>
        <v/>
      </c>
      <c r="E220" s="1" t="str">
        <f>IF('1.1 Produksi Bersih Padi 2025'!E220="","",'1.1 Produksi Bersih Padi 2025'!E220)</f>
        <v/>
      </c>
      <c r="F220" s="28" t="str">
        <f>IF(D220="","",VLOOKUP(D220,'[1]0.1 Produksi Pangan &amp; Penduduk'!$D$5:$Y$860,22,0))</f>
        <v/>
      </c>
      <c r="G220" s="30" t="str">
        <f t="shared" si="15"/>
        <v/>
      </c>
      <c r="H220" s="30" t="str">
        <f t="shared" si="16"/>
        <v/>
      </c>
      <c r="I220" s="30" t="str">
        <f t="shared" si="17"/>
        <v/>
      </c>
      <c r="J220" s="30" t="str">
        <f t="shared" si="18"/>
        <v/>
      </c>
      <c r="K220" s="30" t="str">
        <f t="shared" si="19"/>
        <v/>
      </c>
      <c r="M220" s="11"/>
    </row>
    <row r="221" spans="1:13" ht="15" x14ac:dyDescent="0.25">
      <c r="A221" s="1" t="str">
        <f>IF('1.1 Produksi Bersih Padi 2025'!A221="","",'1.1 Produksi Bersih Padi 2025'!A221)</f>
        <v/>
      </c>
      <c r="B221" s="31" t="str">
        <f>IF('1.1 Produksi Bersih Padi 2025'!B221="","",'1.1 Produksi Bersih Padi 2025'!B221)</f>
        <v/>
      </c>
      <c r="C221" s="31" t="str">
        <f>IF('1.1 Produksi Bersih Padi 2025'!C221="","",'1.1 Produksi Bersih Padi 2025'!C221)</f>
        <v/>
      </c>
      <c r="D221" s="1" t="str">
        <f>IF('1.1 Produksi Bersih Padi 2025'!D221="","",'1.1 Produksi Bersih Padi 2025'!D221)</f>
        <v/>
      </c>
      <c r="E221" s="1" t="str">
        <f>IF('1.1 Produksi Bersih Padi 2025'!E221="","",'1.1 Produksi Bersih Padi 2025'!E221)</f>
        <v/>
      </c>
      <c r="F221" s="28" t="str">
        <f>IF(D221="","",VLOOKUP(D221,'[1]0.1 Produksi Pangan &amp; Penduduk'!$D$5:$Y$860,22,0))</f>
        <v/>
      </c>
      <c r="G221" s="30" t="str">
        <f t="shared" si="15"/>
        <v/>
      </c>
      <c r="H221" s="30" t="str">
        <f t="shared" si="16"/>
        <v/>
      </c>
      <c r="I221" s="30" t="str">
        <f t="shared" si="17"/>
        <v/>
      </c>
      <c r="J221" s="30" t="str">
        <f t="shared" si="18"/>
        <v/>
      </c>
      <c r="K221" s="30" t="str">
        <f t="shared" si="19"/>
        <v/>
      </c>
      <c r="M221" s="11"/>
    </row>
    <row r="222" spans="1:13" ht="15" x14ac:dyDescent="0.25">
      <c r="A222" s="1" t="str">
        <f>IF('1.1 Produksi Bersih Padi 2025'!A222="","",'1.1 Produksi Bersih Padi 2025'!A222)</f>
        <v/>
      </c>
      <c r="B222" s="31" t="str">
        <f>IF('1.1 Produksi Bersih Padi 2025'!B222="","",'1.1 Produksi Bersih Padi 2025'!B222)</f>
        <v/>
      </c>
      <c r="C222" s="31" t="str">
        <f>IF('1.1 Produksi Bersih Padi 2025'!C222="","",'1.1 Produksi Bersih Padi 2025'!C222)</f>
        <v/>
      </c>
      <c r="D222" s="1" t="str">
        <f>IF('1.1 Produksi Bersih Padi 2025'!D222="","",'1.1 Produksi Bersih Padi 2025'!D222)</f>
        <v/>
      </c>
      <c r="E222" s="1" t="str">
        <f>IF('1.1 Produksi Bersih Padi 2025'!E222="","",'1.1 Produksi Bersih Padi 2025'!E222)</f>
        <v/>
      </c>
      <c r="F222" s="28" t="str">
        <f>IF(D222="","",VLOOKUP(D222,'[1]0.1 Produksi Pangan &amp; Penduduk'!$D$5:$Y$860,22,0))</f>
        <v/>
      </c>
      <c r="G222" s="30" t="str">
        <f t="shared" si="15"/>
        <v/>
      </c>
      <c r="H222" s="30" t="str">
        <f t="shared" si="16"/>
        <v/>
      </c>
      <c r="I222" s="30" t="str">
        <f t="shared" si="17"/>
        <v/>
      </c>
      <c r="J222" s="30" t="str">
        <f t="shared" si="18"/>
        <v/>
      </c>
      <c r="K222" s="30" t="str">
        <f t="shared" si="19"/>
        <v/>
      </c>
      <c r="M222" s="11"/>
    </row>
    <row r="223" spans="1:13" ht="15" x14ac:dyDescent="0.25">
      <c r="A223" s="1" t="str">
        <f>IF('1.1 Produksi Bersih Padi 2025'!A223="","",'1.1 Produksi Bersih Padi 2025'!A223)</f>
        <v/>
      </c>
      <c r="B223" s="31" t="str">
        <f>IF('1.1 Produksi Bersih Padi 2025'!B223="","",'1.1 Produksi Bersih Padi 2025'!B223)</f>
        <v/>
      </c>
      <c r="C223" s="31" t="str">
        <f>IF('1.1 Produksi Bersih Padi 2025'!C223="","",'1.1 Produksi Bersih Padi 2025'!C223)</f>
        <v/>
      </c>
      <c r="D223" s="1" t="str">
        <f>IF('1.1 Produksi Bersih Padi 2025'!D223="","",'1.1 Produksi Bersih Padi 2025'!D223)</f>
        <v/>
      </c>
      <c r="E223" s="1" t="str">
        <f>IF('1.1 Produksi Bersih Padi 2025'!E223="","",'1.1 Produksi Bersih Padi 2025'!E223)</f>
        <v/>
      </c>
      <c r="F223" s="28" t="str">
        <f>IF(D223="","",VLOOKUP(D223,'[1]0.1 Produksi Pangan &amp; Penduduk'!$D$5:$Y$860,22,0))</f>
        <v/>
      </c>
      <c r="G223" s="30" t="str">
        <f t="shared" si="15"/>
        <v/>
      </c>
      <c r="H223" s="30" t="str">
        <f t="shared" si="16"/>
        <v/>
      </c>
      <c r="I223" s="30" t="str">
        <f t="shared" si="17"/>
        <v/>
      </c>
      <c r="J223" s="30" t="str">
        <f t="shared" si="18"/>
        <v/>
      </c>
      <c r="K223" s="30" t="str">
        <f t="shared" si="19"/>
        <v/>
      </c>
      <c r="M223" s="11"/>
    </row>
    <row r="224" spans="1:13" ht="15" x14ac:dyDescent="0.25">
      <c r="A224" s="1" t="str">
        <f>IF('1.1 Produksi Bersih Padi 2025'!A224="","",'1.1 Produksi Bersih Padi 2025'!A224)</f>
        <v/>
      </c>
      <c r="B224" s="31" t="str">
        <f>IF('1.1 Produksi Bersih Padi 2025'!B224="","",'1.1 Produksi Bersih Padi 2025'!B224)</f>
        <v/>
      </c>
      <c r="C224" s="31" t="str">
        <f>IF('1.1 Produksi Bersih Padi 2025'!C224="","",'1.1 Produksi Bersih Padi 2025'!C224)</f>
        <v/>
      </c>
      <c r="D224" s="1" t="str">
        <f>IF('1.1 Produksi Bersih Padi 2025'!D224="","",'1.1 Produksi Bersih Padi 2025'!D224)</f>
        <v/>
      </c>
      <c r="E224" s="1" t="str">
        <f>IF('1.1 Produksi Bersih Padi 2025'!E224="","",'1.1 Produksi Bersih Padi 2025'!E224)</f>
        <v/>
      </c>
      <c r="F224" s="28" t="str">
        <f>IF(D224="","",VLOOKUP(D224,'[1]0.1 Produksi Pangan &amp; Penduduk'!$D$5:$Y$860,22,0))</f>
        <v/>
      </c>
      <c r="G224" s="30" t="str">
        <f t="shared" si="15"/>
        <v/>
      </c>
      <c r="H224" s="30" t="str">
        <f t="shared" si="16"/>
        <v/>
      </c>
      <c r="I224" s="30" t="str">
        <f t="shared" si="17"/>
        <v/>
      </c>
      <c r="J224" s="30" t="str">
        <f t="shared" si="18"/>
        <v/>
      </c>
      <c r="K224" s="30" t="str">
        <f t="shared" si="19"/>
        <v/>
      </c>
      <c r="M224" s="11"/>
    </row>
    <row r="225" spans="1:13" ht="15" x14ac:dyDescent="0.25">
      <c r="A225" s="1" t="str">
        <f>IF('1.1 Produksi Bersih Padi 2025'!A225="","",'1.1 Produksi Bersih Padi 2025'!A225)</f>
        <v/>
      </c>
      <c r="B225" s="31" t="str">
        <f>IF('1.1 Produksi Bersih Padi 2025'!B225="","",'1.1 Produksi Bersih Padi 2025'!B225)</f>
        <v/>
      </c>
      <c r="C225" s="31" t="str">
        <f>IF('1.1 Produksi Bersih Padi 2025'!C225="","",'1.1 Produksi Bersih Padi 2025'!C225)</f>
        <v/>
      </c>
      <c r="D225" s="1" t="str">
        <f>IF('1.1 Produksi Bersih Padi 2025'!D225="","",'1.1 Produksi Bersih Padi 2025'!D225)</f>
        <v/>
      </c>
      <c r="E225" s="1" t="str">
        <f>IF('1.1 Produksi Bersih Padi 2025'!E225="","",'1.1 Produksi Bersih Padi 2025'!E225)</f>
        <v/>
      </c>
      <c r="F225" s="28" t="str">
        <f>IF(D225="","",VLOOKUP(D225,'[1]0.1 Produksi Pangan &amp; Penduduk'!$D$5:$Y$860,22,0))</f>
        <v/>
      </c>
      <c r="G225" s="30" t="str">
        <f t="shared" si="15"/>
        <v/>
      </c>
      <c r="H225" s="30" t="str">
        <f t="shared" si="16"/>
        <v/>
      </c>
      <c r="I225" s="30" t="str">
        <f t="shared" si="17"/>
        <v/>
      </c>
      <c r="J225" s="30" t="str">
        <f t="shared" si="18"/>
        <v/>
      </c>
      <c r="K225" s="30" t="str">
        <f t="shared" si="19"/>
        <v/>
      </c>
      <c r="M225" s="11"/>
    </row>
    <row r="226" spans="1:13" ht="15" x14ac:dyDescent="0.25">
      <c r="A226" s="1" t="str">
        <f>IF('1.1 Produksi Bersih Padi 2025'!A226="","",'1.1 Produksi Bersih Padi 2025'!A226)</f>
        <v/>
      </c>
      <c r="B226" s="31" t="str">
        <f>IF('1.1 Produksi Bersih Padi 2025'!B226="","",'1.1 Produksi Bersih Padi 2025'!B226)</f>
        <v/>
      </c>
      <c r="C226" s="31" t="str">
        <f>IF('1.1 Produksi Bersih Padi 2025'!C226="","",'1.1 Produksi Bersih Padi 2025'!C226)</f>
        <v/>
      </c>
      <c r="D226" s="1" t="str">
        <f>IF('1.1 Produksi Bersih Padi 2025'!D226="","",'1.1 Produksi Bersih Padi 2025'!D226)</f>
        <v/>
      </c>
      <c r="E226" s="1" t="str">
        <f>IF('1.1 Produksi Bersih Padi 2025'!E226="","",'1.1 Produksi Bersih Padi 2025'!E226)</f>
        <v/>
      </c>
      <c r="F226" s="28" t="str">
        <f>IF(D226="","",VLOOKUP(D226,'[1]0.1 Produksi Pangan &amp; Penduduk'!$D$5:$Y$860,22,0))</f>
        <v/>
      </c>
      <c r="G226" s="30" t="str">
        <f t="shared" si="15"/>
        <v/>
      </c>
      <c r="H226" s="30" t="str">
        <f t="shared" si="16"/>
        <v/>
      </c>
      <c r="I226" s="30" t="str">
        <f t="shared" si="17"/>
        <v/>
      </c>
      <c r="J226" s="30" t="str">
        <f t="shared" si="18"/>
        <v/>
      </c>
      <c r="K226" s="30" t="str">
        <f t="shared" si="19"/>
        <v/>
      </c>
      <c r="M226" s="11"/>
    </row>
    <row r="227" spans="1:13" ht="15" x14ac:dyDescent="0.25">
      <c r="A227" s="1" t="str">
        <f>IF('1.1 Produksi Bersih Padi 2025'!A227="","",'1.1 Produksi Bersih Padi 2025'!A227)</f>
        <v/>
      </c>
      <c r="B227" s="31" t="str">
        <f>IF('1.1 Produksi Bersih Padi 2025'!B227="","",'1.1 Produksi Bersih Padi 2025'!B227)</f>
        <v/>
      </c>
      <c r="C227" s="31" t="str">
        <f>IF('1.1 Produksi Bersih Padi 2025'!C227="","",'1.1 Produksi Bersih Padi 2025'!C227)</f>
        <v/>
      </c>
      <c r="D227" s="1" t="str">
        <f>IF('1.1 Produksi Bersih Padi 2025'!D227="","",'1.1 Produksi Bersih Padi 2025'!D227)</f>
        <v/>
      </c>
      <c r="E227" s="1" t="str">
        <f>IF('1.1 Produksi Bersih Padi 2025'!E227="","",'1.1 Produksi Bersih Padi 2025'!E227)</f>
        <v/>
      </c>
      <c r="F227" s="28" t="str">
        <f>IF(D227="","",VLOOKUP(D227,'[1]0.1 Produksi Pangan &amp; Penduduk'!$D$5:$Y$860,22,0))</f>
        <v/>
      </c>
      <c r="G227" s="30" t="str">
        <f t="shared" si="15"/>
        <v/>
      </c>
      <c r="H227" s="30" t="str">
        <f t="shared" si="16"/>
        <v/>
      </c>
      <c r="I227" s="30" t="str">
        <f t="shared" si="17"/>
        <v/>
      </c>
      <c r="J227" s="30" t="str">
        <f t="shared" si="18"/>
        <v/>
      </c>
      <c r="K227" s="30" t="str">
        <f t="shared" si="19"/>
        <v/>
      </c>
      <c r="M227" s="11"/>
    </row>
    <row r="228" spans="1:13" ht="15" x14ac:dyDescent="0.25">
      <c r="A228" s="1" t="str">
        <f>IF('1.1 Produksi Bersih Padi 2025'!A228="","",'1.1 Produksi Bersih Padi 2025'!A228)</f>
        <v/>
      </c>
      <c r="B228" s="31" t="str">
        <f>IF('1.1 Produksi Bersih Padi 2025'!B228="","",'1.1 Produksi Bersih Padi 2025'!B228)</f>
        <v/>
      </c>
      <c r="C228" s="31" t="str">
        <f>IF('1.1 Produksi Bersih Padi 2025'!C228="","",'1.1 Produksi Bersih Padi 2025'!C228)</f>
        <v/>
      </c>
      <c r="D228" s="1" t="str">
        <f>IF('1.1 Produksi Bersih Padi 2025'!D228="","",'1.1 Produksi Bersih Padi 2025'!D228)</f>
        <v/>
      </c>
      <c r="E228" s="1" t="str">
        <f>IF('1.1 Produksi Bersih Padi 2025'!E228="","",'1.1 Produksi Bersih Padi 2025'!E228)</f>
        <v/>
      </c>
      <c r="F228" s="28" t="str">
        <f>IF(D228="","",VLOOKUP(D228,'[1]0.1 Produksi Pangan &amp; Penduduk'!$D$5:$Y$860,22,0))</f>
        <v/>
      </c>
      <c r="G228" s="30" t="str">
        <f t="shared" si="15"/>
        <v/>
      </c>
      <c r="H228" s="30" t="str">
        <f t="shared" si="16"/>
        <v/>
      </c>
      <c r="I228" s="30" t="str">
        <f t="shared" si="17"/>
        <v/>
      </c>
      <c r="J228" s="30" t="str">
        <f t="shared" si="18"/>
        <v/>
      </c>
      <c r="K228" s="30" t="str">
        <f t="shared" si="19"/>
        <v/>
      </c>
      <c r="M228" s="11"/>
    </row>
    <row r="229" spans="1:13" ht="15" x14ac:dyDescent="0.25">
      <c r="A229" s="1" t="str">
        <f>IF('1.1 Produksi Bersih Padi 2025'!A229="","",'1.1 Produksi Bersih Padi 2025'!A229)</f>
        <v/>
      </c>
      <c r="B229" s="31" t="str">
        <f>IF('1.1 Produksi Bersih Padi 2025'!B229="","",'1.1 Produksi Bersih Padi 2025'!B229)</f>
        <v/>
      </c>
      <c r="C229" s="31" t="str">
        <f>IF('1.1 Produksi Bersih Padi 2025'!C229="","",'1.1 Produksi Bersih Padi 2025'!C229)</f>
        <v/>
      </c>
      <c r="D229" s="1" t="str">
        <f>IF('1.1 Produksi Bersih Padi 2025'!D229="","",'1.1 Produksi Bersih Padi 2025'!D229)</f>
        <v/>
      </c>
      <c r="E229" s="1" t="str">
        <f>IF('1.1 Produksi Bersih Padi 2025'!E229="","",'1.1 Produksi Bersih Padi 2025'!E229)</f>
        <v/>
      </c>
      <c r="F229" s="28" t="str">
        <f>IF(D229="","",VLOOKUP(D229,'[1]0.1 Produksi Pangan &amp; Penduduk'!$D$5:$Y$860,22,0))</f>
        <v/>
      </c>
      <c r="G229" s="30" t="str">
        <f t="shared" si="15"/>
        <v/>
      </c>
      <c r="H229" s="30" t="str">
        <f t="shared" si="16"/>
        <v/>
      </c>
      <c r="I229" s="30" t="str">
        <f t="shared" si="17"/>
        <v/>
      </c>
      <c r="J229" s="30" t="str">
        <f t="shared" si="18"/>
        <v/>
      </c>
      <c r="K229" s="30" t="str">
        <f t="shared" si="19"/>
        <v/>
      </c>
      <c r="M229" s="11"/>
    </row>
    <row r="230" spans="1:13" ht="15" x14ac:dyDescent="0.25">
      <c r="A230" s="1" t="str">
        <f>IF('1.1 Produksi Bersih Padi 2025'!A230="","",'1.1 Produksi Bersih Padi 2025'!A230)</f>
        <v/>
      </c>
      <c r="B230" s="31" t="str">
        <f>IF('1.1 Produksi Bersih Padi 2025'!B230="","",'1.1 Produksi Bersih Padi 2025'!B230)</f>
        <v/>
      </c>
      <c r="C230" s="31" t="str">
        <f>IF('1.1 Produksi Bersih Padi 2025'!C230="","",'1.1 Produksi Bersih Padi 2025'!C230)</f>
        <v/>
      </c>
      <c r="D230" s="1" t="str">
        <f>IF('1.1 Produksi Bersih Padi 2025'!D230="","",'1.1 Produksi Bersih Padi 2025'!D230)</f>
        <v/>
      </c>
      <c r="E230" s="1" t="str">
        <f>IF('1.1 Produksi Bersih Padi 2025'!E230="","",'1.1 Produksi Bersih Padi 2025'!E230)</f>
        <v/>
      </c>
      <c r="F230" s="28" t="str">
        <f>IF(D230="","",VLOOKUP(D230,'[1]0.1 Produksi Pangan &amp; Penduduk'!$D$5:$Y$860,22,0))</f>
        <v/>
      </c>
      <c r="G230" s="30" t="str">
        <f t="shared" si="15"/>
        <v/>
      </c>
      <c r="H230" s="30" t="str">
        <f t="shared" si="16"/>
        <v/>
      </c>
      <c r="I230" s="30" t="str">
        <f t="shared" si="17"/>
        <v/>
      </c>
      <c r="J230" s="30" t="str">
        <f t="shared" si="18"/>
        <v/>
      </c>
      <c r="K230" s="30" t="str">
        <f t="shared" si="19"/>
        <v/>
      </c>
      <c r="M230" s="11"/>
    </row>
    <row r="231" spans="1:13" ht="15" x14ac:dyDescent="0.25">
      <c r="A231" s="1" t="str">
        <f>IF('1.1 Produksi Bersih Padi 2025'!A231="","",'1.1 Produksi Bersih Padi 2025'!A231)</f>
        <v/>
      </c>
      <c r="B231" s="31" t="str">
        <f>IF('1.1 Produksi Bersih Padi 2025'!B231="","",'1.1 Produksi Bersih Padi 2025'!B231)</f>
        <v/>
      </c>
      <c r="C231" s="31" t="str">
        <f>IF('1.1 Produksi Bersih Padi 2025'!C231="","",'1.1 Produksi Bersih Padi 2025'!C231)</f>
        <v/>
      </c>
      <c r="D231" s="1" t="str">
        <f>IF('1.1 Produksi Bersih Padi 2025'!D231="","",'1.1 Produksi Bersih Padi 2025'!D231)</f>
        <v/>
      </c>
      <c r="E231" s="1" t="str">
        <f>IF('1.1 Produksi Bersih Padi 2025'!E231="","",'1.1 Produksi Bersih Padi 2025'!E231)</f>
        <v/>
      </c>
      <c r="F231" s="28" t="str">
        <f>IF(D231="","",VLOOKUP(D231,'[1]0.1 Produksi Pangan &amp; Penduduk'!$D$5:$Y$860,22,0))</f>
        <v/>
      </c>
      <c r="G231" s="30" t="str">
        <f t="shared" si="15"/>
        <v/>
      </c>
      <c r="H231" s="30" t="str">
        <f t="shared" si="16"/>
        <v/>
      </c>
      <c r="I231" s="30" t="str">
        <f t="shared" si="17"/>
        <v/>
      </c>
      <c r="J231" s="30" t="str">
        <f t="shared" si="18"/>
        <v/>
      </c>
      <c r="K231" s="30" t="str">
        <f t="shared" si="19"/>
        <v/>
      </c>
      <c r="M231" s="11"/>
    </row>
    <row r="232" spans="1:13" ht="15" x14ac:dyDescent="0.25">
      <c r="A232" s="1" t="str">
        <f>IF('1.1 Produksi Bersih Padi 2025'!A232="","",'1.1 Produksi Bersih Padi 2025'!A232)</f>
        <v/>
      </c>
      <c r="B232" s="31" t="str">
        <f>IF('1.1 Produksi Bersih Padi 2025'!B232="","",'1.1 Produksi Bersih Padi 2025'!B232)</f>
        <v/>
      </c>
      <c r="C232" s="31" t="str">
        <f>IF('1.1 Produksi Bersih Padi 2025'!C232="","",'1.1 Produksi Bersih Padi 2025'!C232)</f>
        <v/>
      </c>
      <c r="D232" s="1" t="str">
        <f>IF('1.1 Produksi Bersih Padi 2025'!D232="","",'1.1 Produksi Bersih Padi 2025'!D232)</f>
        <v/>
      </c>
      <c r="E232" s="1" t="str">
        <f>IF('1.1 Produksi Bersih Padi 2025'!E232="","",'1.1 Produksi Bersih Padi 2025'!E232)</f>
        <v/>
      </c>
      <c r="F232" s="28" t="str">
        <f>IF(D232="","",VLOOKUP(D232,'[1]0.1 Produksi Pangan &amp; Penduduk'!$D$5:$Y$860,22,0))</f>
        <v/>
      </c>
      <c r="G232" s="30" t="str">
        <f t="shared" si="15"/>
        <v/>
      </c>
      <c r="H232" s="30" t="str">
        <f t="shared" si="16"/>
        <v/>
      </c>
      <c r="I232" s="30" t="str">
        <f t="shared" si="17"/>
        <v/>
      </c>
      <c r="J232" s="30" t="str">
        <f t="shared" si="18"/>
        <v/>
      </c>
      <c r="K232" s="30" t="str">
        <f t="shared" si="19"/>
        <v/>
      </c>
      <c r="M232" s="11"/>
    </row>
    <row r="233" spans="1:13" ht="15" x14ac:dyDescent="0.25">
      <c r="A233" s="1" t="str">
        <f>IF('1.1 Produksi Bersih Padi 2025'!A233="","",'1.1 Produksi Bersih Padi 2025'!A233)</f>
        <v/>
      </c>
      <c r="B233" s="31" t="str">
        <f>IF('1.1 Produksi Bersih Padi 2025'!B233="","",'1.1 Produksi Bersih Padi 2025'!B233)</f>
        <v/>
      </c>
      <c r="C233" s="31" t="str">
        <f>IF('1.1 Produksi Bersih Padi 2025'!C233="","",'1.1 Produksi Bersih Padi 2025'!C233)</f>
        <v/>
      </c>
      <c r="D233" s="1" t="str">
        <f>IF('1.1 Produksi Bersih Padi 2025'!D233="","",'1.1 Produksi Bersih Padi 2025'!D233)</f>
        <v/>
      </c>
      <c r="E233" s="1" t="str">
        <f>IF('1.1 Produksi Bersih Padi 2025'!E233="","",'1.1 Produksi Bersih Padi 2025'!E233)</f>
        <v/>
      </c>
      <c r="F233" s="28" t="str">
        <f>IF(D233="","",VLOOKUP(D233,'[1]0.1 Produksi Pangan &amp; Penduduk'!$D$5:$Y$860,22,0))</f>
        <v/>
      </c>
      <c r="G233" s="30" t="str">
        <f t="shared" si="15"/>
        <v/>
      </c>
      <c r="H233" s="30" t="str">
        <f t="shared" si="16"/>
        <v/>
      </c>
      <c r="I233" s="30" t="str">
        <f t="shared" si="17"/>
        <v/>
      </c>
      <c r="J233" s="30" t="str">
        <f t="shared" si="18"/>
        <v/>
      </c>
      <c r="K233" s="30" t="str">
        <f t="shared" si="19"/>
        <v/>
      </c>
      <c r="M233" s="11"/>
    </row>
    <row r="234" spans="1:13" ht="15" x14ac:dyDescent="0.25">
      <c r="A234" s="1" t="str">
        <f>IF('1.1 Produksi Bersih Padi 2025'!A234="","",'1.1 Produksi Bersih Padi 2025'!A234)</f>
        <v/>
      </c>
      <c r="B234" s="31" t="str">
        <f>IF('1.1 Produksi Bersih Padi 2025'!B234="","",'1.1 Produksi Bersih Padi 2025'!B234)</f>
        <v/>
      </c>
      <c r="C234" s="31" t="str">
        <f>IF('1.1 Produksi Bersih Padi 2025'!C234="","",'1.1 Produksi Bersih Padi 2025'!C234)</f>
        <v/>
      </c>
      <c r="D234" s="1" t="str">
        <f>IF('1.1 Produksi Bersih Padi 2025'!D234="","",'1.1 Produksi Bersih Padi 2025'!D234)</f>
        <v/>
      </c>
      <c r="E234" s="1" t="str">
        <f>IF('1.1 Produksi Bersih Padi 2025'!E234="","",'1.1 Produksi Bersih Padi 2025'!E234)</f>
        <v/>
      </c>
      <c r="F234" s="28" t="str">
        <f>IF(D234="","",VLOOKUP(D234,'[1]0.1 Produksi Pangan &amp; Penduduk'!$D$5:$Y$860,22,0))</f>
        <v/>
      </c>
      <c r="G234" s="30" t="str">
        <f t="shared" si="15"/>
        <v/>
      </c>
      <c r="H234" s="30" t="str">
        <f t="shared" si="16"/>
        <v/>
      </c>
      <c r="I234" s="30" t="str">
        <f t="shared" si="17"/>
        <v/>
      </c>
      <c r="J234" s="30" t="str">
        <f t="shared" si="18"/>
        <v/>
      </c>
      <c r="K234" s="30" t="str">
        <f t="shared" si="19"/>
        <v/>
      </c>
      <c r="M234" s="11"/>
    </row>
    <row r="235" spans="1:13" ht="15" x14ac:dyDescent="0.25">
      <c r="A235" s="1" t="str">
        <f>IF('1.1 Produksi Bersih Padi 2025'!A235="","",'1.1 Produksi Bersih Padi 2025'!A235)</f>
        <v/>
      </c>
      <c r="B235" s="31" t="str">
        <f>IF('1.1 Produksi Bersih Padi 2025'!B235="","",'1.1 Produksi Bersih Padi 2025'!B235)</f>
        <v/>
      </c>
      <c r="C235" s="31" t="str">
        <f>IF('1.1 Produksi Bersih Padi 2025'!C235="","",'1.1 Produksi Bersih Padi 2025'!C235)</f>
        <v/>
      </c>
      <c r="D235" s="1" t="str">
        <f>IF('1.1 Produksi Bersih Padi 2025'!D235="","",'1.1 Produksi Bersih Padi 2025'!D235)</f>
        <v/>
      </c>
      <c r="E235" s="1" t="str">
        <f>IF('1.1 Produksi Bersih Padi 2025'!E235="","",'1.1 Produksi Bersih Padi 2025'!E235)</f>
        <v/>
      </c>
      <c r="F235" s="28" t="str">
        <f>IF(D235="","",VLOOKUP(D235,'[1]0.1 Produksi Pangan &amp; Penduduk'!$D$5:$Y$860,22,0))</f>
        <v/>
      </c>
      <c r="G235" s="30" t="str">
        <f t="shared" si="15"/>
        <v/>
      </c>
      <c r="H235" s="30" t="str">
        <f t="shared" si="16"/>
        <v/>
      </c>
      <c r="I235" s="30" t="str">
        <f t="shared" si="17"/>
        <v/>
      </c>
      <c r="J235" s="30" t="str">
        <f t="shared" si="18"/>
        <v/>
      </c>
      <c r="K235" s="30" t="str">
        <f t="shared" si="19"/>
        <v/>
      </c>
      <c r="M235" s="11"/>
    </row>
    <row r="236" spans="1:13" ht="15" x14ac:dyDescent="0.25">
      <c r="A236" s="1" t="str">
        <f>IF('1.1 Produksi Bersih Padi 2025'!A236="","",'1.1 Produksi Bersih Padi 2025'!A236)</f>
        <v/>
      </c>
      <c r="B236" s="31" t="str">
        <f>IF('1.1 Produksi Bersih Padi 2025'!B236="","",'1.1 Produksi Bersih Padi 2025'!B236)</f>
        <v/>
      </c>
      <c r="C236" s="31" t="str">
        <f>IF('1.1 Produksi Bersih Padi 2025'!C236="","",'1.1 Produksi Bersih Padi 2025'!C236)</f>
        <v/>
      </c>
      <c r="D236" s="1" t="str">
        <f>IF('1.1 Produksi Bersih Padi 2025'!D236="","",'1.1 Produksi Bersih Padi 2025'!D236)</f>
        <v/>
      </c>
      <c r="E236" s="1" t="str">
        <f>IF('1.1 Produksi Bersih Padi 2025'!E236="","",'1.1 Produksi Bersih Padi 2025'!E236)</f>
        <v/>
      </c>
      <c r="F236" s="28" t="str">
        <f>IF(D236="","",VLOOKUP(D236,'[1]0.1 Produksi Pangan &amp; Penduduk'!$D$5:$Y$860,22,0))</f>
        <v/>
      </c>
      <c r="G236" s="30" t="str">
        <f t="shared" si="15"/>
        <v/>
      </c>
      <c r="H236" s="30" t="str">
        <f t="shared" si="16"/>
        <v/>
      </c>
      <c r="I236" s="30" t="str">
        <f t="shared" si="17"/>
        <v/>
      </c>
      <c r="J236" s="30" t="str">
        <f t="shared" si="18"/>
        <v/>
      </c>
      <c r="K236" s="30" t="str">
        <f t="shared" si="19"/>
        <v/>
      </c>
      <c r="M236" s="11"/>
    </row>
    <row r="237" spans="1:13" ht="15" x14ac:dyDescent="0.25">
      <c r="A237" s="1" t="str">
        <f>IF('1.1 Produksi Bersih Padi 2025'!A237="","",'1.1 Produksi Bersih Padi 2025'!A237)</f>
        <v/>
      </c>
      <c r="B237" s="31" t="str">
        <f>IF('1.1 Produksi Bersih Padi 2025'!B237="","",'1.1 Produksi Bersih Padi 2025'!B237)</f>
        <v/>
      </c>
      <c r="C237" s="31" t="str">
        <f>IF('1.1 Produksi Bersih Padi 2025'!C237="","",'1.1 Produksi Bersih Padi 2025'!C237)</f>
        <v/>
      </c>
      <c r="D237" s="1" t="str">
        <f>IF('1.1 Produksi Bersih Padi 2025'!D237="","",'1.1 Produksi Bersih Padi 2025'!D237)</f>
        <v/>
      </c>
      <c r="E237" s="1" t="str">
        <f>IF('1.1 Produksi Bersih Padi 2025'!E237="","",'1.1 Produksi Bersih Padi 2025'!E237)</f>
        <v/>
      </c>
      <c r="F237" s="28" t="str">
        <f>IF(D237="","",VLOOKUP(D237,'[1]0.1 Produksi Pangan &amp; Penduduk'!$D$5:$Y$860,22,0))</f>
        <v/>
      </c>
      <c r="G237" s="30" t="str">
        <f t="shared" si="15"/>
        <v/>
      </c>
      <c r="H237" s="30" t="str">
        <f t="shared" si="16"/>
        <v/>
      </c>
      <c r="I237" s="30" t="str">
        <f t="shared" si="17"/>
        <v/>
      </c>
      <c r="J237" s="30" t="str">
        <f t="shared" si="18"/>
        <v/>
      </c>
      <c r="K237" s="30" t="str">
        <f t="shared" si="19"/>
        <v/>
      </c>
      <c r="M237" s="11"/>
    </row>
    <row r="238" spans="1:13" ht="15" x14ac:dyDescent="0.25">
      <c r="A238" s="1" t="str">
        <f>IF('1.1 Produksi Bersih Padi 2025'!A238="","",'1.1 Produksi Bersih Padi 2025'!A238)</f>
        <v/>
      </c>
      <c r="B238" s="31" t="str">
        <f>IF('1.1 Produksi Bersih Padi 2025'!B238="","",'1.1 Produksi Bersih Padi 2025'!B238)</f>
        <v/>
      </c>
      <c r="C238" s="31" t="str">
        <f>IF('1.1 Produksi Bersih Padi 2025'!C238="","",'1.1 Produksi Bersih Padi 2025'!C238)</f>
        <v/>
      </c>
      <c r="D238" s="1" t="str">
        <f>IF('1.1 Produksi Bersih Padi 2025'!D238="","",'1.1 Produksi Bersih Padi 2025'!D238)</f>
        <v/>
      </c>
      <c r="E238" s="1" t="str">
        <f>IF('1.1 Produksi Bersih Padi 2025'!E238="","",'1.1 Produksi Bersih Padi 2025'!E238)</f>
        <v/>
      </c>
      <c r="F238" s="28" t="str">
        <f>IF(D238="","",VLOOKUP(D238,'[1]0.1 Produksi Pangan &amp; Penduduk'!$D$5:$Y$860,22,0))</f>
        <v/>
      </c>
      <c r="G238" s="30" t="str">
        <f t="shared" si="15"/>
        <v/>
      </c>
      <c r="H238" s="30" t="str">
        <f t="shared" si="16"/>
        <v/>
      </c>
      <c r="I238" s="30" t="str">
        <f t="shared" si="17"/>
        <v/>
      </c>
      <c r="J238" s="30" t="str">
        <f t="shared" si="18"/>
        <v/>
      </c>
      <c r="K238" s="30" t="str">
        <f t="shared" si="19"/>
        <v/>
      </c>
      <c r="M238" s="11"/>
    </row>
    <row r="239" spans="1:13" ht="15" x14ac:dyDescent="0.25">
      <c r="A239" s="1" t="str">
        <f>IF('1.1 Produksi Bersih Padi 2025'!A239="","",'1.1 Produksi Bersih Padi 2025'!A239)</f>
        <v/>
      </c>
      <c r="B239" s="31" t="str">
        <f>IF('1.1 Produksi Bersih Padi 2025'!B239="","",'1.1 Produksi Bersih Padi 2025'!B239)</f>
        <v/>
      </c>
      <c r="C239" s="31" t="str">
        <f>IF('1.1 Produksi Bersih Padi 2025'!C239="","",'1.1 Produksi Bersih Padi 2025'!C239)</f>
        <v/>
      </c>
      <c r="D239" s="1" t="str">
        <f>IF('1.1 Produksi Bersih Padi 2025'!D239="","",'1.1 Produksi Bersih Padi 2025'!D239)</f>
        <v/>
      </c>
      <c r="E239" s="1" t="str">
        <f>IF('1.1 Produksi Bersih Padi 2025'!E239="","",'1.1 Produksi Bersih Padi 2025'!E239)</f>
        <v/>
      </c>
      <c r="F239" s="28" t="str">
        <f>IF(D239="","",VLOOKUP(D239,'[1]0.1 Produksi Pangan &amp; Penduduk'!$D$5:$Y$860,22,0))</f>
        <v/>
      </c>
      <c r="G239" s="30" t="str">
        <f t="shared" si="15"/>
        <v/>
      </c>
      <c r="H239" s="30" t="str">
        <f t="shared" si="16"/>
        <v/>
      </c>
      <c r="I239" s="30" t="str">
        <f t="shared" si="17"/>
        <v/>
      </c>
      <c r="J239" s="30" t="str">
        <f t="shared" si="18"/>
        <v/>
      </c>
      <c r="K239" s="30" t="str">
        <f t="shared" si="19"/>
        <v/>
      </c>
      <c r="M239" s="11"/>
    </row>
    <row r="240" spans="1:13" ht="15" x14ac:dyDescent="0.25">
      <c r="A240" s="1" t="str">
        <f>IF('1.1 Produksi Bersih Padi 2025'!A240="","",'1.1 Produksi Bersih Padi 2025'!A240)</f>
        <v/>
      </c>
      <c r="B240" s="31" t="str">
        <f>IF('1.1 Produksi Bersih Padi 2025'!B240="","",'1.1 Produksi Bersih Padi 2025'!B240)</f>
        <v/>
      </c>
      <c r="C240" s="31" t="str">
        <f>IF('1.1 Produksi Bersih Padi 2025'!C240="","",'1.1 Produksi Bersih Padi 2025'!C240)</f>
        <v/>
      </c>
      <c r="D240" s="1" t="str">
        <f>IF('1.1 Produksi Bersih Padi 2025'!D240="","",'1.1 Produksi Bersih Padi 2025'!D240)</f>
        <v/>
      </c>
      <c r="E240" s="1" t="str">
        <f>IF('1.1 Produksi Bersih Padi 2025'!E240="","",'1.1 Produksi Bersih Padi 2025'!E240)</f>
        <v/>
      </c>
      <c r="F240" s="28" t="str">
        <f>IF(D240="","",VLOOKUP(D240,'[1]0.1 Produksi Pangan &amp; Penduduk'!$D$5:$Y$860,22,0))</f>
        <v/>
      </c>
      <c r="G240" s="30" t="str">
        <f t="shared" si="15"/>
        <v/>
      </c>
      <c r="H240" s="30" t="str">
        <f t="shared" si="16"/>
        <v/>
      </c>
      <c r="I240" s="30" t="str">
        <f t="shared" si="17"/>
        <v/>
      </c>
      <c r="J240" s="30" t="str">
        <f t="shared" si="18"/>
        <v/>
      </c>
      <c r="K240" s="30" t="str">
        <f t="shared" si="19"/>
        <v/>
      </c>
      <c r="M240" s="11"/>
    </row>
    <row r="241" spans="1:13" ht="15" x14ac:dyDescent="0.25">
      <c r="A241" s="1" t="str">
        <f>IF('1.1 Produksi Bersih Padi 2025'!A241="","",'1.1 Produksi Bersih Padi 2025'!A241)</f>
        <v/>
      </c>
      <c r="B241" s="31" t="str">
        <f>IF('1.1 Produksi Bersih Padi 2025'!B241="","",'1.1 Produksi Bersih Padi 2025'!B241)</f>
        <v/>
      </c>
      <c r="C241" s="31" t="str">
        <f>IF('1.1 Produksi Bersih Padi 2025'!C241="","",'1.1 Produksi Bersih Padi 2025'!C241)</f>
        <v/>
      </c>
      <c r="D241" s="1" t="str">
        <f>IF('1.1 Produksi Bersih Padi 2025'!D241="","",'1.1 Produksi Bersih Padi 2025'!D241)</f>
        <v/>
      </c>
      <c r="E241" s="1" t="str">
        <f>IF('1.1 Produksi Bersih Padi 2025'!E241="","",'1.1 Produksi Bersih Padi 2025'!E241)</f>
        <v/>
      </c>
      <c r="F241" s="28" t="str">
        <f>IF(D241="","",VLOOKUP(D241,'[1]0.1 Produksi Pangan &amp; Penduduk'!$D$5:$Y$860,22,0))</f>
        <v/>
      </c>
      <c r="G241" s="30" t="str">
        <f t="shared" si="15"/>
        <v/>
      </c>
      <c r="H241" s="30" t="str">
        <f t="shared" si="16"/>
        <v/>
      </c>
      <c r="I241" s="30" t="str">
        <f t="shared" si="17"/>
        <v/>
      </c>
      <c r="J241" s="30" t="str">
        <f t="shared" si="18"/>
        <v/>
      </c>
      <c r="K241" s="30" t="str">
        <f t="shared" si="19"/>
        <v/>
      </c>
      <c r="M241" s="11"/>
    </row>
    <row r="242" spans="1:13" ht="15" x14ac:dyDescent="0.25">
      <c r="A242" s="1" t="str">
        <f>IF('1.1 Produksi Bersih Padi 2025'!A242="","",'1.1 Produksi Bersih Padi 2025'!A242)</f>
        <v/>
      </c>
      <c r="B242" s="31" t="str">
        <f>IF('1.1 Produksi Bersih Padi 2025'!B242="","",'1.1 Produksi Bersih Padi 2025'!B242)</f>
        <v/>
      </c>
      <c r="C242" s="31" t="str">
        <f>IF('1.1 Produksi Bersih Padi 2025'!C242="","",'1.1 Produksi Bersih Padi 2025'!C242)</f>
        <v/>
      </c>
      <c r="D242" s="1" t="str">
        <f>IF('1.1 Produksi Bersih Padi 2025'!D242="","",'1.1 Produksi Bersih Padi 2025'!D242)</f>
        <v/>
      </c>
      <c r="E242" s="1" t="str">
        <f>IF('1.1 Produksi Bersih Padi 2025'!E242="","",'1.1 Produksi Bersih Padi 2025'!E242)</f>
        <v/>
      </c>
      <c r="F242" s="28" t="str">
        <f>IF(D242="","",VLOOKUP(D242,'[1]0.1 Produksi Pangan &amp; Penduduk'!$D$5:$Y$860,22,0))</f>
        <v/>
      </c>
      <c r="G242" s="30" t="str">
        <f t="shared" si="15"/>
        <v/>
      </c>
      <c r="H242" s="30" t="str">
        <f t="shared" si="16"/>
        <v/>
      </c>
      <c r="I242" s="30" t="str">
        <f t="shared" si="17"/>
        <v/>
      </c>
      <c r="J242" s="30" t="str">
        <f t="shared" si="18"/>
        <v/>
      </c>
      <c r="K242" s="30" t="str">
        <f t="shared" si="19"/>
        <v/>
      </c>
      <c r="M242" s="11"/>
    </row>
    <row r="243" spans="1:13" ht="15" x14ac:dyDescent="0.25">
      <c r="A243" s="1" t="str">
        <f>IF('1.1 Produksi Bersih Padi 2025'!A243="","",'1.1 Produksi Bersih Padi 2025'!A243)</f>
        <v/>
      </c>
      <c r="B243" s="31" t="str">
        <f>IF('1.1 Produksi Bersih Padi 2025'!B243="","",'1.1 Produksi Bersih Padi 2025'!B243)</f>
        <v/>
      </c>
      <c r="C243" s="31" t="str">
        <f>IF('1.1 Produksi Bersih Padi 2025'!C243="","",'1.1 Produksi Bersih Padi 2025'!C243)</f>
        <v/>
      </c>
      <c r="D243" s="1" t="str">
        <f>IF('1.1 Produksi Bersih Padi 2025'!D243="","",'1.1 Produksi Bersih Padi 2025'!D243)</f>
        <v/>
      </c>
      <c r="E243" s="1" t="str">
        <f>IF('1.1 Produksi Bersih Padi 2025'!E243="","",'1.1 Produksi Bersih Padi 2025'!E243)</f>
        <v/>
      </c>
      <c r="F243" s="28" t="str">
        <f>IF(D243="","",VLOOKUP(D243,'[1]0.1 Produksi Pangan &amp; Penduduk'!$D$5:$Y$860,22,0))</f>
        <v/>
      </c>
      <c r="G243" s="30" t="str">
        <f t="shared" si="15"/>
        <v/>
      </c>
      <c r="H243" s="30" t="str">
        <f t="shared" si="16"/>
        <v/>
      </c>
      <c r="I243" s="30" t="str">
        <f t="shared" si="17"/>
        <v/>
      </c>
      <c r="J243" s="30" t="str">
        <f t="shared" si="18"/>
        <v/>
      </c>
      <c r="K243" s="30" t="str">
        <f t="shared" si="19"/>
        <v/>
      </c>
      <c r="M243" s="11"/>
    </row>
    <row r="244" spans="1:13" ht="15" x14ac:dyDescent="0.25">
      <c r="A244" s="1" t="str">
        <f>IF('1.1 Produksi Bersih Padi 2025'!A244="","",'1.1 Produksi Bersih Padi 2025'!A244)</f>
        <v/>
      </c>
      <c r="B244" s="31" t="str">
        <f>IF('1.1 Produksi Bersih Padi 2025'!B244="","",'1.1 Produksi Bersih Padi 2025'!B244)</f>
        <v/>
      </c>
      <c r="C244" s="31" t="str">
        <f>IF('1.1 Produksi Bersih Padi 2025'!C244="","",'1.1 Produksi Bersih Padi 2025'!C244)</f>
        <v/>
      </c>
      <c r="D244" s="1" t="str">
        <f>IF('1.1 Produksi Bersih Padi 2025'!D244="","",'1.1 Produksi Bersih Padi 2025'!D244)</f>
        <v/>
      </c>
      <c r="E244" s="1" t="str">
        <f>IF('1.1 Produksi Bersih Padi 2025'!E244="","",'1.1 Produksi Bersih Padi 2025'!E244)</f>
        <v/>
      </c>
      <c r="F244" s="28" t="str">
        <f>IF(D244="","",VLOOKUP(D244,'[1]0.1 Produksi Pangan &amp; Penduduk'!$D$5:$Y$860,22,0))</f>
        <v/>
      </c>
      <c r="G244" s="30" t="str">
        <f t="shared" si="15"/>
        <v/>
      </c>
      <c r="H244" s="30" t="str">
        <f t="shared" si="16"/>
        <v/>
      </c>
      <c r="I244" s="30" t="str">
        <f t="shared" si="17"/>
        <v/>
      </c>
      <c r="J244" s="30" t="str">
        <f t="shared" si="18"/>
        <v/>
      </c>
      <c r="K244" s="30" t="str">
        <f t="shared" si="19"/>
        <v/>
      </c>
      <c r="M244" s="11"/>
    </row>
    <row r="245" spans="1:13" ht="15" x14ac:dyDescent="0.25">
      <c r="A245" s="1" t="str">
        <f>IF('1.1 Produksi Bersih Padi 2025'!A245="","",'1.1 Produksi Bersih Padi 2025'!A245)</f>
        <v/>
      </c>
      <c r="B245" s="31" t="str">
        <f>IF('1.1 Produksi Bersih Padi 2025'!B245="","",'1.1 Produksi Bersih Padi 2025'!B245)</f>
        <v/>
      </c>
      <c r="C245" s="31" t="str">
        <f>IF('1.1 Produksi Bersih Padi 2025'!C245="","",'1.1 Produksi Bersih Padi 2025'!C245)</f>
        <v/>
      </c>
      <c r="D245" s="1" t="str">
        <f>IF('1.1 Produksi Bersih Padi 2025'!D245="","",'1.1 Produksi Bersih Padi 2025'!D245)</f>
        <v/>
      </c>
      <c r="E245" s="1" t="str">
        <f>IF('1.1 Produksi Bersih Padi 2025'!E245="","",'1.1 Produksi Bersih Padi 2025'!E245)</f>
        <v/>
      </c>
      <c r="F245" s="28" t="str">
        <f>IF(D245="","",VLOOKUP(D245,'[1]0.1 Produksi Pangan &amp; Penduduk'!$D$5:$Y$860,22,0))</f>
        <v/>
      </c>
      <c r="G245" s="30" t="str">
        <f t="shared" si="15"/>
        <v/>
      </c>
      <c r="H245" s="30" t="str">
        <f t="shared" si="16"/>
        <v/>
      </c>
      <c r="I245" s="30" t="str">
        <f t="shared" si="17"/>
        <v/>
      </c>
      <c r="J245" s="30" t="str">
        <f t="shared" si="18"/>
        <v/>
      </c>
      <c r="K245" s="30" t="str">
        <f t="shared" si="19"/>
        <v/>
      </c>
      <c r="M245" s="11"/>
    </row>
    <row r="246" spans="1:13" ht="15" x14ac:dyDescent="0.25">
      <c r="A246" s="1" t="str">
        <f>IF('1.1 Produksi Bersih Padi 2025'!A246="","",'1.1 Produksi Bersih Padi 2025'!A246)</f>
        <v/>
      </c>
      <c r="B246" s="31" t="str">
        <f>IF('1.1 Produksi Bersih Padi 2025'!B246="","",'1.1 Produksi Bersih Padi 2025'!B246)</f>
        <v/>
      </c>
      <c r="C246" s="31" t="str">
        <f>IF('1.1 Produksi Bersih Padi 2025'!C246="","",'1.1 Produksi Bersih Padi 2025'!C246)</f>
        <v/>
      </c>
      <c r="D246" s="1" t="str">
        <f>IF('1.1 Produksi Bersih Padi 2025'!D246="","",'1.1 Produksi Bersih Padi 2025'!D246)</f>
        <v/>
      </c>
      <c r="E246" s="1" t="str">
        <f>IF('1.1 Produksi Bersih Padi 2025'!E246="","",'1.1 Produksi Bersih Padi 2025'!E246)</f>
        <v/>
      </c>
      <c r="F246" s="28" t="str">
        <f>IF(D246="","",VLOOKUP(D246,'[1]0.1 Produksi Pangan &amp; Penduduk'!$D$5:$Y$860,22,0))</f>
        <v/>
      </c>
      <c r="G246" s="30" t="str">
        <f t="shared" si="15"/>
        <v/>
      </c>
      <c r="H246" s="30" t="str">
        <f t="shared" si="16"/>
        <v/>
      </c>
      <c r="I246" s="30" t="str">
        <f t="shared" si="17"/>
        <v/>
      </c>
      <c r="J246" s="30" t="str">
        <f t="shared" si="18"/>
        <v/>
      </c>
      <c r="K246" s="30" t="str">
        <f t="shared" si="19"/>
        <v/>
      </c>
      <c r="M246" s="11"/>
    </row>
    <row r="247" spans="1:13" ht="15" x14ac:dyDescent="0.25">
      <c r="A247" s="1" t="str">
        <f>IF('1.1 Produksi Bersih Padi 2025'!A247="","",'1.1 Produksi Bersih Padi 2025'!A247)</f>
        <v/>
      </c>
      <c r="B247" s="31" t="str">
        <f>IF('1.1 Produksi Bersih Padi 2025'!B247="","",'1.1 Produksi Bersih Padi 2025'!B247)</f>
        <v/>
      </c>
      <c r="C247" s="31" t="str">
        <f>IF('1.1 Produksi Bersih Padi 2025'!C247="","",'1.1 Produksi Bersih Padi 2025'!C247)</f>
        <v/>
      </c>
      <c r="D247" s="1" t="str">
        <f>IF('1.1 Produksi Bersih Padi 2025'!D247="","",'1.1 Produksi Bersih Padi 2025'!D247)</f>
        <v/>
      </c>
      <c r="E247" s="1" t="str">
        <f>IF('1.1 Produksi Bersih Padi 2025'!E247="","",'1.1 Produksi Bersih Padi 2025'!E247)</f>
        <v/>
      </c>
      <c r="F247" s="28" t="str">
        <f>IF(D247="","",VLOOKUP(D247,'[1]0.1 Produksi Pangan &amp; Penduduk'!$D$5:$Y$860,22,0))</f>
        <v/>
      </c>
      <c r="G247" s="30" t="str">
        <f t="shared" si="15"/>
        <v/>
      </c>
      <c r="H247" s="30" t="str">
        <f t="shared" si="16"/>
        <v/>
      </c>
      <c r="I247" s="30" t="str">
        <f t="shared" si="17"/>
        <v/>
      </c>
      <c r="J247" s="30" t="str">
        <f t="shared" si="18"/>
        <v/>
      </c>
      <c r="K247" s="30" t="str">
        <f t="shared" si="19"/>
        <v/>
      </c>
      <c r="M247" s="11"/>
    </row>
    <row r="248" spans="1:13" ht="15" x14ac:dyDescent="0.25">
      <c r="A248" s="1" t="str">
        <f>IF('1.1 Produksi Bersih Padi 2025'!A248="","",'1.1 Produksi Bersih Padi 2025'!A248)</f>
        <v/>
      </c>
      <c r="B248" s="31" t="str">
        <f>IF('1.1 Produksi Bersih Padi 2025'!B248="","",'1.1 Produksi Bersih Padi 2025'!B248)</f>
        <v/>
      </c>
      <c r="C248" s="31" t="str">
        <f>IF('1.1 Produksi Bersih Padi 2025'!C248="","",'1.1 Produksi Bersih Padi 2025'!C248)</f>
        <v/>
      </c>
      <c r="D248" s="1" t="str">
        <f>IF('1.1 Produksi Bersih Padi 2025'!D248="","",'1.1 Produksi Bersih Padi 2025'!D248)</f>
        <v/>
      </c>
      <c r="E248" s="1" t="str">
        <f>IF('1.1 Produksi Bersih Padi 2025'!E248="","",'1.1 Produksi Bersih Padi 2025'!E248)</f>
        <v/>
      </c>
      <c r="F248" s="28" t="str">
        <f>IF(D248="","",VLOOKUP(D248,'[1]0.1 Produksi Pangan &amp; Penduduk'!$D$5:$Y$860,22,0))</f>
        <v/>
      </c>
      <c r="G248" s="30" t="str">
        <f t="shared" si="15"/>
        <v/>
      </c>
      <c r="H248" s="30" t="str">
        <f t="shared" si="16"/>
        <v/>
      </c>
      <c r="I248" s="30" t="str">
        <f t="shared" si="17"/>
        <v/>
      </c>
      <c r="J248" s="30" t="str">
        <f t="shared" si="18"/>
        <v/>
      </c>
      <c r="K248" s="30" t="str">
        <f t="shared" si="19"/>
        <v/>
      </c>
      <c r="M248" s="11"/>
    </row>
    <row r="249" spans="1:13" ht="15" x14ac:dyDescent="0.25">
      <c r="A249" s="1" t="str">
        <f>IF('1.1 Produksi Bersih Padi 2025'!A249="","",'1.1 Produksi Bersih Padi 2025'!A249)</f>
        <v/>
      </c>
      <c r="B249" s="31" t="str">
        <f>IF('1.1 Produksi Bersih Padi 2025'!B249="","",'1.1 Produksi Bersih Padi 2025'!B249)</f>
        <v/>
      </c>
      <c r="C249" s="31" t="str">
        <f>IF('1.1 Produksi Bersih Padi 2025'!C249="","",'1.1 Produksi Bersih Padi 2025'!C249)</f>
        <v/>
      </c>
      <c r="D249" s="1" t="str">
        <f>IF('1.1 Produksi Bersih Padi 2025'!D249="","",'1.1 Produksi Bersih Padi 2025'!D249)</f>
        <v/>
      </c>
      <c r="E249" s="1" t="str">
        <f>IF('1.1 Produksi Bersih Padi 2025'!E249="","",'1.1 Produksi Bersih Padi 2025'!E249)</f>
        <v/>
      </c>
      <c r="F249" s="28" t="str">
        <f>IF(D249="","",VLOOKUP(D249,'[1]0.1 Produksi Pangan &amp; Penduduk'!$D$5:$Y$860,22,0))</f>
        <v/>
      </c>
      <c r="G249" s="30" t="str">
        <f t="shared" si="15"/>
        <v/>
      </c>
      <c r="H249" s="30" t="str">
        <f t="shared" si="16"/>
        <v/>
      </c>
      <c r="I249" s="30" t="str">
        <f t="shared" si="17"/>
        <v/>
      </c>
      <c r="J249" s="30" t="str">
        <f t="shared" si="18"/>
        <v/>
      </c>
      <c r="K249" s="30" t="str">
        <f t="shared" si="19"/>
        <v/>
      </c>
      <c r="M249" s="11"/>
    </row>
    <row r="250" spans="1:13" ht="15" x14ac:dyDescent="0.25">
      <c r="A250" s="1" t="str">
        <f>IF('1.1 Produksi Bersih Padi 2025'!A250="","",'1.1 Produksi Bersih Padi 2025'!A250)</f>
        <v/>
      </c>
      <c r="B250" s="31" t="str">
        <f>IF('1.1 Produksi Bersih Padi 2025'!B250="","",'1.1 Produksi Bersih Padi 2025'!B250)</f>
        <v/>
      </c>
      <c r="C250" s="31" t="str">
        <f>IF('1.1 Produksi Bersih Padi 2025'!C250="","",'1.1 Produksi Bersih Padi 2025'!C250)</f>
        <v/>
      </c>
      <c r="D250" s="1" t="str">
        <f>IF('1.1 Produksi Bersih Padi 2025'!D250="","",'1.1 Produksi Bersih Padi 2025'!D250)</f>
        <v/>
      </c>
      <c r="E250" s="1" t="str">
        <f>IF('1.1 Produksi Bersih Padi 2025'!E250="","",'1.1 Produksi Bersih Padi 2025'!E250)</f>
        <v/>
      </c>
      <c r="F250" s="28" t="str">
        <f>IF(D250="","",VLOOKUP(D250,'[1]0.1 Produksi Pangan &amp; Penduduk'!$D$5:$Y$860,22,0))</f>
        <v/>
      </c>
      <c r="G250" s="30" t="str">
        <f t="shared" si="15"/>
        <v/>
      </c>
      <c r="H250" s="30" t="str">
        <f t="shared" si="16"/>
        <v/>
      </c>
      <c r="I250" s="30" t="str">
        <f t="shared" si="17"/>
        <v/>
      </c>
      <c r="J250" s="30" t="str">
        <f t="shared" si="18"/>
        <v/>
      </c>
      <c r="K250" s="30" t="str">
        <f t="shared" si="19"/>
        <v/>
      </c>
      <c r="M250" s="11"/>
    </row>
    <row r="251" spans="1:13" ht="15" x14ac:dyDescent="0.25">
      <c r="A251" s="1" t="str">
        <f>IF('1.1 Produksi Bersih Padi 2025'!A251="","",'1.1 Produksi Bersih Padi 2025'!A251)</f>
        <v/>
      </c>
      <c r="B251" s="31" t="str">
        <f>IF('1.1 Produksi Bersih Padi 2025'!B251="","",'1.1 Produksi Bersih Padi 2025'!B251)</f>
        <v/>
      </c>
      <c r="C251" s="31" t="str">
        <f>IF('1.1 Produksi Bersih Padi 2025'!C251="","",'1.1 Produksi Bersih Padi 2025'!C251)</f>
        <v/>
      </c>
      <c r="D251" s="1" t="str">
        <f>IF('1.1 Produksi Bersih Padi 2025'!D251="","",'1.1 Produksi Bersih Padi 2025'!D251)</f>
        <v/>
      </c>
      <c r="E251" s="1" t="str">
        <f>IF('1.1 Produksi Bersih Padi 2025'!E251="","",'1.1 Produksi Bersih Padi 2025'!E251)</f>
        <v/>
      </c>
      <c r="F251" s="28" t="str">
        <f>IF(D251="","",VLOOKUP(D251,'[1]0.1 Produksi Pangan &amp; Penduduk'!$D$5:$Y$860,22,0))</f>
        <v/>
      </c>
      <c r="G251" s="30" t="str">
        <f t="shared" si="15"/>
        <v/>
      </c>
      <c r="H251" s="30" t="str">
        <f t="shared" si="16"/>
        <v/>
      </c>
      <c r="I251" s="30" t="str">
        <f t="shared" si="17"/>
        <v/>
      </c>
      <c r="J251" s="30" t="str">
        <f t="shared" si="18"/>
        <v/>
      </c>
      <c r="K251" s="30" t="str">
        <f t="shared" si="19"/>
        <v/>
      </c>
      <c r="M251" s="11"/>
    </row>
    <row r="252" spans="1:13" ht="15" x14ac:dyDescent="0.25">
      <c r="A252" s="1" t="str">
        <f>IF('1.1 Produksi Bersih Padi 2025'!A252="","",'1.1 Produksi Bersih Padi 2025'!A252)</f>
        <v/>
      </c>
      <c r="B252" s="31" t="str">
        <f>IF('1.1 Produksi Bersih Padi 2025'!B252="","",'1.1 Produksi Bersih Padi 2025'!B252)</f>
        <v/>
      </c>
      <c r="C252" s="31" t="str">
        <f>IF('1.1 Produksi Bersih Padi 2025'!C252="","",'1.1 Produksi Bersih Padi 2025'!C252)</f>
        <v/>
      </c>
      <c r="D252" s="1" t="str">
        <f>IF('1.1 Produksi Bersih Padi 2025'!D252="","",'1.1 Produksi Bersih Padi 2025'!D252)</f>
        <v/>
      </c>
      <c r="E252" s="1" t="str">
        <f>IF('1.1 Produksi Bersih Padi 2025'!E252="","",'1.1 Produksi Bersih Padi 2025'!E252)</f>
        <v/>
      </c>
      <c r="F252" s="28" t="str">
        <f>IF(D252="","",VLOOKUP(D252,'[1]0.1 Produksi Pangan &amp; Penduduk'!$D$5:$Y$860,22,0))</f>
        <v/>
      </c>
      <c r="G252" s="30" t="str">
        <f t="shared" si="15"/>
        <v/>
      </c>
      <c r="H252" s="30" t="str">
        <f t="shared" si="16"/>
        <v/>
      </c>
      <c r="I252" s="30" t="str">
        <f t="shared" si="17"/>
        <v/>
      </c>
      <c r="J252" s="30" t="str">
        <f t="shared" si="18"/>
        <v/>
      </c>
      <c r="K252" s="30" t="str">
        <f t="shared" si="19"/>
        <v/>
      </c>
      <c r="M252" s="11"/>
    </row>
    <row r="253" spans="1:13" ht="15" x14ac:dyDescent="0.25">
      <c r="A253" s="1" t="str">
        <f>IF('1.1 Produksi Bersih Padi 2025'!A253="","",'1.1 Produksi Bersih Padi 2025'!A253)</f>
        <v/>
      </c>
      <c r="B253" s="31" t="str">
        <f>IF('1.1 Produksi Bersih Padi 2025'!B253="","",'1.1 Produksi Bersih Padi 2025'!B253)</f>
        <v/>
      </c>
      <c r="C253" s="31" t="str">
        <f>IF('1.1 Produksi Bersih Padi 2025'!C253="","",'1.1 Produksi Bersih Padi 2025'!C253)</f>
        <v/>
      </c>
      <c r="D253" s="1" t="str">
        <f>IF('1.1 Produksi Bersih Padi 2025'!D253="","",'1.1 Produksi Bersih Padi 2025'!D253)</f>
        <v/>
      </c>
      <c r="E253" s="1" t="str">
        <f>IF('1.1 Produksi Bersih Padi 2025'!E253="","",'1.1 Produksi Bersih Padi 2025'!E253)</f>
        <v/>
      </c>
      <c r="F253" s="28" t="str">
        <f>IF(D253="","",VLOOKUP(D253,'[1]0.1 Produksi Pangan &amp; Penduduk'!$D$5:$Y$860,22,0))</f>
        <v/>
      </c>
      <c r="G253" s="30" t="str">
        <f t="shared" si="15"/>
        <v/>
      </c>
      <c r="H253" s="30" t="str">
        <f t="shared" si="16"/>
        <v/>
      </c>
      <c r="I253" s="30" t="str">
        <f t="shared" si="17"/>
        <v/>
      </c>
      <c r="J253" s="30" t="str">
        <f t="shared" si="18"/>
        <v/>
      </c>
      <c r="K253" s="30" t="str">
        <f t="shared" si="19"/>
        <v/>
      </c>
      <c r="M253" s="11"/>
    </row>
    <row r="254" spans="1:13" ht="15" x14ac:dyDescent="0.25">
      <c r="A254" s="1" t="str">
        <f>IF('1.1 Produksi Bersih Padi 2025'!A254="","",'1.1 Produksi Bersih Padi 2025'!A254)</f>
        <v/>
      </c>
      <c r="B254" s="31" t="str">
        <f>IF('1.1 Produksi Bersih Padi 2025'!B254="","",'1.1 Produksi Bersih Padi 2025'!B254)</f>
        <v/>
      </c>
      <c r="C254" s="31" t="str">
        <f>IF('1.1 Produksi Bersih Padi 2025'!C254="","",'1.1 Produksi Bersih Padi 2025'!C254)</f>
        <v/>
      </c>
      <c r="D254" s="1" t="str">
        <f>IF('1.1 Produksi Bersih Padi 2025'!D254="","",'1.1 Produksi Bersih Padi 2025'!D254)</f>
        <v/>
      </c>
      <c r="E254" s="1" t="str">
        <f>IF('1.1 Produksi Bersih Padi 2025'!E254="","",'1.1 Produksi Bersih Padi 2025'!E254)</f>
        <v/>
      </c>
      <c r="F254" s="28" t="str">
        <f>IF(D254="","",VLOOKUP(D254,'[1]0.1 Produksi Pangan &amp; Penduduk'!$D$5:$Y$860,22,0))</f>
        <v/>
      </c>
      <c r="G254" s="30" t="str">
        <f t="shared" si="15"/>
        <v/>
      </c>
      <c r="H254" s="30" t="str">
        <f t="shared" si="16"/>
        <v/>
      </c>
      <c r="I254" s="30" t="str">
        <f t="shared" si="17"/>
        <v/>
      </c>
      <c r="J254" s="30" t="str">
        <f t="shared" si="18"/>
        <v/>
      </c>
      <c r="K254" s="30" t="str">
        <f t="shared" si="19"/>
        <v/>
      </c>
      <c r="M254" s="11"/>
    </row>
    <row r="255" spans="1:13" ht="15" x14ac:dyDescent="0.25">
      <c r="A255" s="1" t="str">
        <f>IF('1.1 Produksi Bersih Padi 2025'!A255="","",'1.1 Produksi Bersih Padi 2025'!A255)</f>
        <v/>
      </c>
      <c r="B255" s="31" t="str">
        <f>IF('1.1 Produksi Bersih Padi 2025'!B255="","",'1.1 Produksi Bersih Padi 2025'!B255)</f>
        <v/>
      </c>
      <c r="C255" s="31" t="str">
        <f>IF('1.1 Produksi Bersih Padi 2025'!C255="","",'1.1 Produksi Bersih Padi 2025'!C255)</f>
        <v/>
      </c>
      <c r="D255" s="1" t="str">
        <f>IF('1.1 Produksi Bersih Padi 2025'!D255="","",'1.1 Produksi Bersih Padi 2025'!D255)</f>
        <v/>
      </c>
      <c r="E255" s="1" t="str">
        <f>IF('1.1 Produksi Bersih Padi 2025'!E255="","",'1.1 Produksi Bersih Padi 2025'!E255)</f>
        <v/>
      </c>
      <c r="F255" s="28" t="str">
        <f>IF(D255="","",VLOOKUP(D255,'[1]0.1 Produksi Pangan &amp; Penduduk'!$D$5:$Y$860,22,0))</f>
        <v/>
      </c>
      <c r="G255" s="30" t="str">
        <f t="shared" si="15"/>
        <v/>
      </c>
      <c r="H255" s="30" t="str">
        <f t="shared" si="16"/>
        <v/>
      </c>
      <c r="I255" s="30" t="str">
        <f t="shared" si="17"/>
        <v/>
      </c>
      <c r="J255" s="30" t="str">
        <f t="shared" si="18"/>
        <v/>
      </c>
      <c r="K255" s="30" t="str">
        <f t="shared" si="19"/>
        <v/>
      </c>
      <c r="M255" s="11"/>
    </row>
    <row r="256" spans="1:13" ht="15" x14ac:dyDescent="0.25">
      <c r="A256" s="1" t="str">
        <f>IF('1.1 Produksi Bersih Padi 2025'!A256="","",'1.1 Produksi Bersih Padi 2025'!A256)</f>
        <v/>
      </c>
      <c r="B256" s="31" t="str">
        <f>IF('1.1 Produksi Bersih Padi 2025'!B256="","",'1.1 Produksi Bersih Padi 2025'!B256)</f>
        <v/>
      </c>
      <c r="C256" s="31" t="str">
        <f>IF('1.1 Produksi Bersih Padi 2025'!C256="","",'1.1 Produksi Bersih Padi 2025'!C256)</f>
        <v/>
      </c>
      <c r="D256" s="1" t="str">
        <f>IF('1.1 Produksi Bersih Padi 2025'!D256="","",'1.1 Produksi Bersih Padi 2025'!D256)</f>
        <v/>
      </c>
      <c r="E256" s="1" t="str">
        <f>IF('1.1 Produksi Bersih Padi 2025'!E256="","",'1.1 Produksi Bersih Padi 2025'!E256)</f>
        <v/>
      </c>
      <c r="F256" s="28" t="str">
        <f>IF(D256="","",VLOOKUP(D256,'[1]0.1 Produksi Pangan &amp; Penduduk'!$D$5:$Y$860,22,0))</f>
        <v/>
      </c>
      <c r="G256" s="30" t="str">
        <f t="shared" si="15"/>
        <v/>
      </c>
      <c r="H256" s="30" t="str">
        <f t="shared" si="16"/>
        <v/>
      </c>
      <c r="I256" s="30" t="str">
        <f t="shared" si="17"/>
        <v/>
      </c>
      <c r="J256" s="30" t="str">
        <f t="shared" si="18"/>
        <v/>
      </c>
      <c r="K256" s="30" t="str">
        <f t="shared" si="19"/>
        <v/>
      </c>
      <c r="M256" s="11"/>
    </row>
    <row r="257" spans="1:13" ht="15" x14ac:dyDescent="0.25">
      <c r="A257" s="1" t="str">
        <f>IF('1.1 Produksi Bersih Padi 2025'!A257="","",'1.1 Produksi Bersih Padi 2025'!A257)</f>
        <v/>
      </c>
      <c r="B257" s="31" t="str">
        <f>IF('1.1 Produksi Bersih Padi 2025'!B257="","",'1.1 Produksi Bersih Padi 2025'!B257)</f>
        <v/>
      </c>
      <c r="C257" s="31" t="str">
        <f>IF('1.1 Produksi Bersih Padi 2025'!C257="","",'1.1 Produksi Bersih Padi 2025'!C257)</f>
        <v/>
      </c>
      <c r="D257" s="1" t="str">
        <f>IF('1.1 Produksi Bersih Padi 2025'!D257="","",'1.1 Produksi Bersih Padi 2025'!D257)</f>
        <v/>
      </c>
      <c r="E257" s="1" t="str">
        <f>IF('1.1 Produksi Bersih Padi 2025'!E257="","",'1.1 Produksi Bersih Padi 2025'!E257)</f>
        <v/>
      </c>
      <c r="F257" s="28" t="str">
        <f>IF(D257="","",VLOOKUP(D257,'[1]0.1 Produksi Pangan &amp; Penduduk'!$D$5:$Y$860,22,0))</f>
        <v/>
      </c>
      <c r="G257" s="30" t="str">
        <f t="shared" si="15"/>
        <v/>
      </c>
      <c r="H257" s="30" t="str">
        <f t="shared" si="16"/>
        <v/>
      </c>
      <c r="I257" s="30" t="str">
        <f t="shared" si="17"/>
        <v/>
      </c>
      <c r="J257" s="30" t="str">
        <f t="shared" si="18"/>
        <v/>
      </c>
      <c r="K257" s="30" t="str">
        <f t="shared" si="19"/>
        <v/>
      </c>
      <c r="M257" s="11"/>
    </row>
    <row r="258" spans="1:13" ht="15" x14ac:dyDescent="0.25">
      <c r="A258" s="1" t="str">
        <f>IF('1.1 Produksi Bersih Padi 2025'!A258="","",'1.1 Produksi Bersih Padi 2025'!A258)</f>
        <v/>
      </c>
      <c r="B258" s="31" t="str">
        <f>IF('1.1 Produksi Bersih Padi 2025'!B258="","",'1.1 Produksi Bersih Padi 2025'!B258)</f>
        <v/>
      </c>
      <c r="C258" s="31" t="str">
        <f>IF('1.1 Produksi Bersih Padi 2025'!C258="","",'1.1 Produksi Bersih Padi 2025'!C258)</f>
        <v/>
      </c>
      <c r="D258" s="1" t="str">
        <f>IF('1.1 Produksi Bersih Padi 2025'!D258="","",'1.1 Produksi Bersih Padi 2025'!D258)</f>
        <v/>
      </c>
      <c r="E258" s="1" t="str">
        <f>IF('1.1 Produksi Bersih Padi 2025'!E258="","",'1.1 Produksi Bersih Padi 2025'!E258)</f>
        <v/>
      </c>
      <c r="F258" s="28" t="str">
        <f>IF(D258="","",VLOOKUP(D258,'[1]0.1 Produksi Pangan &amp; Penduduk'!$D$5:$Y$860,22,0))</f>
        <v/>
      </c>
      <c r="G258" s="30" t="str">
        <f t="shared" si="15"/>
        <v/>
      </c>
      <c r="H258" s="30" t="str">
        <f t="shared" si="16"/>
        <v/>
      </c>
      <c r="I258" s="30" t="str">
        <f t="shared" si="17"/>
        <v/>
      </c>
      <c r="J258" s="30" t="str">
        <f t="shared" si="18"/>
        <v/>
      </c>
      <c r="K258" s="30" t="str">
        <f t="shared" si="19"/>
        <v/>
      </c>
      <c r="M258" s="11"/>
    </row>
    <row r="259" spans="1:13" ht="15" x14ac:dyDescent="0.25">
      <c r="A259" s="1" t="str">
        <f>IF('1.1 Produksi Bersih Padi 2025'!A259="","",'1.1 Produksi Bersih Padi 2025'!A259)</f>
        <v/>
      </c>
      <c r="B259" s="31" t="str">
        <f>IF('1.1 Produksi Bersih Padi 2025'!B259="","",'1.1 Produksi Bersih Padi 2025'!B259)</f>
        <v/>
      </c>
      <c r="C259" s="31" t="str">
        <f>IF('1.1 Produksi Bersih Padi 2025'!C259="","",'1.1 Produksi Bersih Padi 2025'!C259)</f>
        <v/>
      </c>
      <c r="D259" s="1" t="str">
        <f>IF('1.1 Produksi Bersih Padi 2025'!D259="","",'1.1 Produksi Bersih Padi 2025'!D259)</f>
        <v/>
      </c>
      <c r="E259" s="1" t="str">
        <f>IF('1.1 Produksi Bersih Padi 2025'!E259="","",'1.1 Produksi Bersih Padi 2025'!E259)</f>
        <v/>
      </c>
      <c r="F259" s="28" t="str">
        <f>IF(D259="","",VLOOKUP(D259,'[1]0.1 Produksi Pangan &amp; Penduduk'!$D$5:$Y$860,22,0))</f>
        <v/>
      </c>
      <c r="G259" s="30" t="str">
        <f t="shared" si="15"/>
        <v/>
      </c>
      <c r="H259" s="30" t="str">
        <f t="shared" si="16"/>
        <v/>
      </c>
      <c r="I259" s="30" t="str">
        <f t="shared" si="17"/>
        <v/>
      </c>
      <c r="J259" s="30" t="str">
        <f t="shared" si="18"/>
        <v/>
      </c>
      <c r="K259" s="30" t="str">
        <f t="shared" si="19"/>
        <v/>
      </c>
      <c r="M259" s="11"/>
    </row>
    <row r="260" spans="1:13" ht="15" x14ac:dyDescent="0.25">
      <c r="A260" s="1" t="str">
        <f>IF('1.1 Produksi Bersih Padi 2025'!A260="","",'1.1 Produksi Bersih Padi 2025'!A260)</f>
        <v/>
      </c>
      <c r="B260" s="31" t="str">
        <f>IF('1.1 Produksi Bersih Padi 2025'!B260="","",'1.1 Produksi Bersih Padi 2025'!B260)</f>
        <v/>
      </c>
      <c r="C260" s="31" t="str">
        <f>IF('1.1 Produksi Bersih Padi 2025'!C260="","",'1.1 Produksi Bersih Padi 2025'!C260)</f>
        <v/>
      </c>
      <c r="D260" s="1" t="str">
        <f>IF('1.1 Produksi Bersih Padi 2025'!D260="","",'1.1 Produksi Bersih Padi 2025'!D260)</f>
        <v/>
      </c>
      <c r="E260" s="1" t="str">
        <f>IF('1.1 Produksi Bersih Padi 2025'!E260="","",'1.1 Produksi Bersih Padi 2025'!E260)</f>
        <v/>
      </c>
      <c r="F260" s="28" t="str">
        <f>IF(D260="","",VLOOKUP(D260,'[1]0.1 Produksi Pangan &amp; Penduduk'!$D$5:$Y$860,22,0))</f>
        <v/>
      </c>
      <c r="G260" s="30" t="str">
        <f t="shared" si="15"/>
        <v/>
      </c>
      <c r="H260" s="30" t="str">
        <f t="shared" si="16"/>
        <v/>
      </c>
      <c r="I260" s="30" t="str">
        <f t="shared" si="17"/>
        <v/>
      </c>
      <c r="J260" s="30" t="str">
        <f t="shared" si="18"/>
        <v/>
      </c>
      <c r="K260" s="30" t="str">
        <f t="shared" si="19"/>
        <v/>
      </c>
      <c r="M260" s="11"/>
    </row>
    <row r="261" spans="1:13" ht="15" x14ac:dyDescent="0.25">
      <c r="A261" s="1" t="str">
        <f>IF('1.1 Produksi Bersih Padi 2025'!A261="","",'1.1 Produksi Bersih Padi 2025'!A261)</f>
        <v/>
      </c>
      <c r="B261" s="31" t="str">
        <f>IF('1.1 Produksi Bersih Padi 2025'!B261="","",'1.1 Produksi Bersih Padi 2025'!B261)</f>
        <v/>
      </c>
      <c r="C261" s="31" t="str">
        <f>IF('1.1 Produksi Bersih Padi 2025'!C261="","",'1.1 Produksi Bersih Padi 2025'!C261)</f>
        <v/>
      </c>
      <c r="D261" s="1" t="str">
        <f>IF('1.1 Produksi Bersih Padi 2025'!D261="","",'1.1 Produksi Bersih Padi 2025'!D261)</f>
        <v/>
      </c>
      <c r="E261" s="1" t="str">
        <f>IF('1.1 Produksi Bersih Padi 2025'!E261="","",'1.1 Produksi Bersih Padi 2025'!E261)</f>
        <v/>
      </c>
      <c r="F261" s="28" t="str">
        <f>IF(D261="","",VLOOKUP(D261,'[1]0.1 Produksi Pangan &amp; Penduduk'!$D$5:$Y$860,22,0))</f>
        <v/>
      </c>
      <c r="G261" s="30" t="str">
        <f t="shared" si="15"/>
        <v/>
      </c>
      <c r="H261" s="30" t="str">
        <f t="shared" si="16"/>
        <v/>
      </c>
      <c r="I261" s="30" t="str">
        <f t="shared" si="17"/>
        <v/>
      </c>
      <c r="J261" s="30" t="str">
        <f t="shared" si="18"/>
        <v/>
      </c>
      <c r="K261" s="30" t="str">
        <f t="shared" si="19"/>
        <v/>
      </c>
      <c r="M261" s="11"/>
    </row>
    <row r="262" spans="1:13" ht="15" x14ac:dyDescent="0.25">
      <c r="A262" s="1" t="str">
        <f>IF('1.1 Produksi Bersih Padi 2025'!A262="","",'1.1 Produksi Bersih Padi 2025'!A262)</f>
        <v/>
      </c>
      <c r="B262" s="31" t="str">
        <f>IF('1.1 Produksi Bersih Padi 2025'!B262="","",'1.1 Produksi Bersih Padi 2025'!B262)</f>
        <v/>
      </c>
      <c r="C262" s="31" t="str">
        <f>IF('1.1 Produksi Bersih Padi 2025'!C262="","",'1.1 Produksi Bersih Padi 2025'!C262)</f>
        <v/>
      </c>
      <c r="D262" s="1" t="str">
        <f>IF('1.1 Produksi Bersih Padi 2025'!D262="","",'1.1 Produksi Bersih Padi 2025'!D262)</f>
        <v/>
      </c>
      <c r="E262" s="1" t="str">
        <f>IF('1.1 Produksi Bersih Padi 2025'!E262="","",'1.1 Produksi Bersih Padi 2025'!E262)</f>
        <v/>
      </c>
      <c r="F262" s="28" t="str">
        <f>IF(D262="","",VLOOKUP(D262,'[1]0.1 Produksi Pangan &amp; Penduduk'!$D$5:$Y$860,22,0))</f>
        <v/>
      </c>
      <c r="G262" s="30" t="str">
        <f t="shared" ref="G262:G325" si="20">IF(F262="","",F262*0%)</f>
        <v/>
      </c>
      <c r="H262" s="30" t="str">
        <f t="shared" ref="H262:H325" si="21">IF(F262="","",F262*0.43%)</f>
        <v/>
      </c>
      <c r="I262" s="30" t="str">
        <f t="shared" ref="I262:I325" si="22">IF(F262="","",F262*4.23%)</f>
        <v/>
      </c>
      <c r="J262" s="30" t="str">
        <f t="shared" ref="J262:J325" si="23">IF(F262="","",F262-(G262+H262+I262))</f>
        <v/>
      </c>
      <c r="K262" s="30" t="str">
        <f t="shared" ref="K262:K325" si="24">IF(J262="","",J262*0.363)</f>
        <v/>
      </c>
      <c r="M262" s="11"/>
    </row>
    <row r="263" spans="1:13" ht="15" x14ac:dyDescent="0.25">
      <c r="A263" s="1" t="str">
        <f>IF('1.1 Produksi Bersih Padi 2025'!A263="","",'1.1 Produksi Bersih Padi 2025'!A263)</f>
        <v/>
      </c>
      <c r="B263" s="31" t="str">
        <f>IF('1.1 Produksi Bersih Padi 2025'!B263="","",'1.1 Produksi Bersih Padi 2025'!B263)</f>
        <v/>
      </c>
      <c r="C263" s="31" t="str">
        <f>IF('1.1 Produksi Bersih Padi 2025'!C263="","",'1.1 Produksi Bersih Padi 2025'!C263)</f>
        <v/>
      </c>
      <c r="D263" s="1" t="str">
        <f>IF('1.1 Produksi Bersih Padi 2025'!D263="","",'1.1 Produksi Bersih Padi 2025'!D263)</f>
        <v/>
      </c>
      <c r="E263" s="1" t="str">
        <f>IF('1.1 Produksi Bersih Padi 2025'!E263="","",'1.1 Produksi Bersih Padi 2025'!E263)</f>
        <v/>
      </c>
      <c r="F263" s="28" t="str">
        <f>IF(D263="","",VLOOKUP(D263,'[1]0.1 Produksi Pangan &amp; Penduduk'!$D$5:$Y$860,22,0))</f>
        <v/>
      </c>
      <c r="G263" s="30" t="str">
        <f t="shared" si="20"/>
        <v/>
      </c>
      <c r="H263" s="30" t="str">
        <f t="shared" si="21"/>
        <v/>
      </c>
      <c r="I263" s="30" t="str">
        <f t="shared" si="22"/>
        <v/>
      </c>
      <c r="J263" s="30" t="str">
        <f t="shared" si="23"/>
        <v/>
      </c>
      <c r="K263" s="30" t="str">
        <f t="shared" si="24"/>
        <v/>
      </c>
      <c r="M263" s="11"/>
    </row>
    <row r="264" spans="1:13" ht="15" x14ac:dyDescent="0.25">
      <c r="A264" s="1" t="str">
        <f>IF('1.1 Produksi Bersih Padi 2025'!A264="","",'1.1 Produksi Bersih Padi 2025'!A264)</f>
        <v/>
      </c>
      <c r="B264" s="31" t="str">
        <f>IF('1.1 Produksi Bersih Padi 2025'!B264="","",'1.1 Produksi Bersih Padi 2025'!B264)</f>
        <v/>
      </c>
      <c r="C264" s="31" t="str">
        <f>IF('1.1 Produksi Bersih Padi 2025'!C264="","",'1.1 Produksi Bersih Padi 2025'!C264)</f>
        <v/>
      </c>
      <c r="D264" s="1" t="str">
        <f>IF('1.1 Produksi Bersih Padi 2025'!D264="","",'1.1 Produksi Bersih Padi 2025'!D264)</f>
        <v/>
      </c>
      <c r="E264" s="1" t="str">
        <f>IF('1.1 Produksi Bersih Padi 2025'!E264="","",'1.1 Produksi Bersih Padi 2025'!E264)</f>
        <v/>
      </c>
      <c r="F264" s="28" t="str">
        <f>IF(D264="","",VLOOKUP(D264,'[1]0.1 Produksi Pangan &amp; Penduduk'!$D$5:$Y$860,22,0))</f>
        <v/>
      </c>
      <c r="G264" s="30" t="str">
        <f t="shared" si="20"/>
        <v/>
      </c>
      <c r="H264" s="30" t="str">
        <f t="shared" si="21"/>
        <v/>
      </c>
      <c r="I264" s="30" t="str">
        <f t="shared" si="22"/>
        <v/>
      </c>
      <c r="J264" s="30" t="str">
        <f t="shared" si="23"/>
        <v/>
      </c>
      <c r="K264" s="30" t="str">
        <f t="shared" si="24"/>
        <v/>
      </c>
      <c r="M264" s="11"/>
    </row>
    <row r="265" spans="1:13" ht="15" x14ac:dyDescent="0.25">
      <c r="A265" s="1" t="str">
        <f>IF('1.1 Produksi Bersih Padi 2025'!A265="","",'1.1 Produksi Bersih Padi 2025'!A265)</f>
        <v/>
      </c>
      <c r="B265" s="31" t="str">
        <f>IF('1.1 Produksi Bersih Padi 2025'!B265="","",'1.1 Produksi Bersih Padi 2025'!B265)</f>
        <v/>
      </c>
      <c r="C265" s="31" t="str">
        <f>IF('1.1 Produksi Bersih Padi 2025'!C265="","",'1.1 Produksi Bersih Padi 2025'!C265)</f>
        <v/>
      </c>
      <c r="D265" s="1" t="str">
        <f>IF('1.1 Produksi Bersih Padi 2025'!D265="","",'1.1 Produksi Bersih Padi 2025'!D265)</f>
        <v/>
      </c>
      <c r="E265" s="1" t="str">
        <f>IF('1.1 Produksi Bersih Padi 2025'!E265="","",'1.1 Produksi Bersih Padi 2025'!E265)</f>
        <v/>
      </c>
      <c r="F265" s="28" t="str">
        <f>IF(D265="","",VLOOKUP(D265,'[1]0.1 Produksi Pangan &amp; Penduduk'!$D$5:$Y$860,22,0))</f>
        <v/>
      </c>
      <c r="G265" s="30" t="str">
        <f t="shared" si="20"/>
        <v/>
      </c>
      <c r="H265" s="30" t="str">
        <f t="shared" si="21"/>
        <v/>
      </c>
      <c r="I265" s="30" t="str">
        <f t="shared" si="22"/>
        <v/>
      </c>
      <c r="J265" s="30" t="str">
        <f t="shared" si="23"/>
        <v/>
      </c>
      <c r="K265" s="30" t="str">
        <f t="shared" si="24"/>
        <v/>
      </c>
      <c r="M265" s="11"/>
    </row>
    <row r="266" spans="1:13" ht="15" x14ac:dyDescent="0.25">
      <c r="A266" s="1" t="str">
        <f>IF('1.1 Produksi Bersih Padi 2025'!A266="","",'1.1 Produksi Bersih Padi 2025'!A266)</f>
        <v/>
      </c>
      <c r="B266" s="31" t="str">
        <f>IF('1.1 Produksi Bersih Padi 2025'!B266="","",'1.1 Produksi Bersih Padi 2025'!B266)</f>
        <v/>
      </c>
      <c r="C266" s="31" t="str">
        <f>IF('1.1 Produksi Bersih Padi 2025'!C266="","",'1.1 Produksi Bersih Padi 2025'!C266)</f>
        <v/>
      </c>
      <c r="D266" s="1" t="str">
        <f>IF('1.1 Produksi Bersih Padi 2025'!D266="","",'1.1 Produksi Bersih Padi 2025'!D266)</f>
        <v/>
      </c>
      <c r="E266" s="1" t="str">
        <f>IF('1.1 Produksi Bersih Padi 2025'!E266="","",'1.1 Produksi Bersih Padi 2025'!E266)</f>
        <v/>
      </c>
      <c r="F266" s="28" t="str">
        <f>IF(D266="","",VLOOKUP(D266,'[1]0.1 Produksi Pangan &amp; Penduduk'!$D$5:$Y$860,22,0))</f>
        <v/>
      </c>
      <c r="G266" s="30" t="str">
        <f t="shared" si="20"/>
        <v/>
      </c>
      <c r="H266" s="30" t="str">
        <f t="shared" si="21"/>
        <v/>
      </c>
      <c r="I266" s="30" t="str">
        <f t="shared" si="22"/>
        <v/>
      </c>
      <c r="J266" s="30" t="str">
        <f t="shared" si="23"/>
        <v/>
      </c>
      <c r="K266" s="30" t="str">
        <f t="shared" si="24"/>
        <v/>
      </c>
      <c r="M266" s="11"/>
    </row>
    <row r="267" spans="1:13" ht="15" x14ac:dyDescent="0.25">
      <c r="A267" s="1" t="str">
        <f>IF('1.1 Produksi Bersih Padi 2025'!A267="","",'1.1 Produksi Bersih Padi 2025'!A267)</f>
        <v/>
      </c>
      <c r="B267" s="31" t="str">
        <f>IF('1.1 Produksi Bersih Padi 2025'!B267="","",'1.1 Produksi Bersih Padi 2025'!B267)</f>
        <v/>
      </c>
      <c r="C267" s="31" t="str">
        <f>IF('1.1 Produksi Bersih Padi 2025'!C267="","",'1.1 Produksi Bersih Padi 2025'!C267)</f>
        <v/>
      </c>
      <c r="D267" s="1" t="str">
        <f>IF('1.1 Produksi Bersih Padi 2025'!D267="","",'1.1 Produksi Bersih Padi 2025'!D267)</f>
        <v/>
      </c>
      <c r="E267" s="1" t="str">
        <f>IF('1.1 Produksi Bersih Padi 2025'!E267="","",'1.1 Produksi Bersih Padi 2025'!E267)</f>
        <v/>
      </c>
      <c r="F267" s="28" t="str">
        <f>IF(D267="","",VLOOKUP(D267,'[1]0.1 Produksi Pangan &amp; Penduduk'!$D$5:$Y$860,22,0))</f>
        <v/>
      </c>
      <c r="G267" s="30" t="str">
        <f t="shared" si="20"/>
        <v/>
      </c>
      <c r="H267" s="30" t="str">
        <f t="shared" si="21"/>
        <v/>
      </c>
      <c r="I267" s="30" t="str">
        <f t="shared" si="22"/>
        <v/>
      </c>
      <c r="J267" s="30" t="str">
        <f t="shared" si="23"/>
        <v/>
      </c>
      <c r="K267" s="30" t="str">
        <f t="shared" si="24"/>
        <v/>
      </c>
      <c r="M267" s="11"/>
    </row>
    <row r="268" spans="1:13" ht="15" x14ac:dyDescent="0.25">
      <c r="A268" s="1" t="str">
        <f>IF('1.1 Produksi Bersih Padi 2025'!A268="","",'1.1 Produksi Bersih Padi 2025'!A268)</f>
        <v/>
      </c>
      <c r="B268" s="31" t="str">
        <f>IF('1.1 Produksi Bersih Padi 2025'!B268="","",'1.1 Produksi Bersih Padi 2025'!B268)</f>
        <v/>
      </c>
      <c r="C268" s="31" t="str">
        <f>IF('1.1 Produksi Bersih Padi 2025'!C268="","",'1.1 Produksi Bersih Padi 2025'!C268)</f>
        <v/>
      </c>
      <c r="D268" s="1" t="str">
        <f>IF('1.1 Produksi Bersih Padi 2025'!D268="","",'1.1 Produksi Bersih Padi 2025'!D268)</f>
        <v/>
      </c>
      <c r="E268" s="1" t="str">
        <f>IF('1.1 Produksi Bersih Padi 2025'!E268="","",'1.1 Produksi Bersih Padi 2025'!E268)</f>
        <v/>
      </c>
      <c r="F268" s="28" t="str">
        <f>IF(D268="","",VLOOKUP(D268,'[1]0.1 Produksi Pangan &amp; Penduduk'!$D$5:$Y$860,22,0))</f>
        <v/>
      </c>
      <c r="G268" s="30" t="str">
        <f t="shared" si="20"/>
        <v/>
      </c>
      <c r="H268" s="30" t="str">
        <f t="shared" si="21"/>
        <v/>
      </c>
      <c r="I268" s="30" t="str">
        <f t="shared" si="22"/>
        <v/>
      </c>
      <c r="J268" s="30" t="str">
        <f t="shared" si="23"/>
        <v/>
      </c>
      <c r="K268" s="30" t="str">
        <f t="shared" si="24"/>
        <v/>
      </c>
      <c r="M268" s="11"/>
    </row>
    <row r="269" spans="1:13" ht="15" x14ac:dyDescent="0.25">
      <c r="A269" s="1" t="str">
        <f>IF('1.1 Produksi Bersih Padi 2025'!A269="","",'1.1 Produksi Bersih Padi 2025'!A269)</f>
        <v/>
      </c>
      <c r="B269" s="31" t="str">
        <f>IF('1.1 Produksi Bersih Padi 2025'!B269="","",'1.1 Produksi Bersih Padi 2025'!B269)</f>
        <v/>
      </c>
      <c r="C269" s="31" t="str">
        <f>IF('1.1 Produksi Bersih Padi 2025'!C269="","",'1.1 Produksi Bersih Padi 2025'!C269)</f>
        <v/>
      </c>
      <c r="D269" s="1" t="str">
        <f>IF('1.1 Produksi Bersih Padi 2025'!D269="","",'1.1 Produksi Bersih Padi 2025'!D269)</f>
        <v/>
      </c>
      <c r="E269" s="1" t="str">
        <f>IF('1.1 Produksi Bersih Padi 2025'!E269="","",'1.1 Produksi Bersih Padi 2025'!E269)</f>
        <v/>
      </c>
      <c r="F269" s="28" t="str">
        <f>IF(D269="","",VLOOKUP(D269,'[1]0.1 Produksi Pangan &amp; Penduduk'!$D$5:$Y$860,22,0))</f>
        <v/>
      </c>
      <c r="G269" s="30" t="str">
        <f t="shared" si="20"/>
        <v/>
      </c>
      <c r="H269" s="30" t="str">
        <f t="shared" si="21"/>
        <v/>
      </c>
      <c r="I269" s="30" t="str">
        <f t="shared" si="22"/>
        <v/>
      </c>
      <c r="J269" s="30" t="str">
        <f t="shared" si="23"/>
        <v/>
      </c>
      <c r="K269" s="30" t="str">
        <f t="shared" si="24"/>
        <v/>
      </c>
      <c r="M269" s="11"/>
    </row>
    <row r="270" spans="1:13" ht="15" x14ac:dyDescent="0.25">
      <c r="A270" s="1" t="str">
        <f>IF('1.1 Produksi Bersih Padi 2025'!A270="","",'1.1 Produksi Bersih Padi 2025'!A270)</f>
        <v/>
      </c>
      <c r="B270" s="31" t="str">
        <f>IF('1.1 Produksi Bersih Padi 2025'!B270="","",'1.1 Produksi Bersih Padi 2025'!B270)</f>
        <v/>
      </c>
      <c r="C270" s="31" t="str">
        <f>IF('1.1 Produksi Bersih Padi 2025'!C270="","",'1.1 Produksi Bersih Padi 2025'!C270)</f>
        <v/>
      </c>
      <c r="D270" s="1" t="str">
        <f>IF('1.1 Produksi Bersih Padi 2025'!D270="","",'1.1 Produksi Bersih Padi 2025'!D270)</f>
        <v/>
      </c>
      <c r="E270" s="1" t="str">
        <f>IF('1.1 Produksi Bersih Padi 2025'!E270="","",'1.1 Produksi Bersih Padi 2025'!E270)</f>
        <v/>
      </c>
      <c r="F270" s="28" t="str">
        <f>IF(D270="","",VLOOKUP(D270,'[1]0.1 Produksi Pangan &amp; Penduduk'!$D$5:$Y$860,22,0))</f>
        <v/>
      </c>
      <c r="G270" s="30" t="str">
        <f t="shared" si="20"/>
        <v/>
      </c>
      <c r="H270" s="30" t="str">
        <f t="shared" si="21"/>
        <v/>
      </c>
      <c r="I270" s="30" t="str">
        <f t="shared" si="22"/>
        <v/>
      </c>
      <c r="J270" s="30" t="str">
        <f t="shared" si="23"/>
        <v/>
      </c>
      <c r="K270" s="30" t="str">
        <f t="shared" si="24"/>
        <v/>
      </c>
      <c r="M270" s="11"/>
    </row>
    <row r="271" spans="1:13" ht="15" x14ac:dyDescent="0.25">
      <c r="A271" s="1" t="str">
        <f>IF('1.1 Produksi Bersih Padi 2025'!A271="","",'1.1 Produksi Bersih Padi 2025'!A271)</f>
        <v/>
      </c>
      <c r="B271" s="31" t="str">
        <f>IF('1.1 Produksi Bersih Padi 2025'!B271="","",'1.1 Produksi Bersih Padi 2025'!B271)</f>
        <v/>
      </c>
      <c r="C271" s="31" t="str">
        <f>IF('1.1 Produksi Bersih Padi 2025'!C271="","",'1.1 Produksi Bersih Padi 2025'!C271)</f>
        <v/>
      </c>
      <c r="D271" s="1" t="str">
        <f>IF('1.1 Produksi Bersih Padi 2025'!D271="","",'1.1 Produksi Bersih Padi 2025'!D271)</f>
        <v/>
      </c>
      <c r="E271" s="1" t="str">
        <f>IF('1.1 Produksi Bersih Padi 2025'!E271="","",'1.1 Produksi Bersih Padi 2025'!E271)</f>
        <v/>
      </c>
      <c r="F271" s="28" t="str">
        <f>IF(D271="","",VLOOKUP(D271,'[1]0.1 Produksi Pangan &amp; Penduduk'!$D$5:$Y$860,22,0))</f>
        <v/>
      </c>
      <c r="G271" s="30" t="str">
        <f t="shared" si="20"/>
        <v/>
      </c>
      <c r="H271" s="30" t="str">
        <f t="shared" si="21"/>
        <v/>
      </c>
      <c r="I271" s="30" t="str">
        <f t="shared" si="22"/>
        <v/>
      </c>
      <c r="J271" s="30" t="str">
        <f t="shared" si="23"/>
        <v/>
      </c>
      <c r="K271" s="30" t="str">
        <f t="shared" si="24"/>
        <v/>
      </c>
      <c r="M271" s="11"/>
    </row>
    <row r="272" spans="1:13" ht="15" x14ac:dyDescent="0.25">
      <c r="A272" s="1" t="str">
        <f>IF('1.1 Produksi Bersih Padi 2025'!A272="","",'1.1 Produksi Bersih Padi 2025'!A272)</f>
        <v/>
      </c>
      <c r="B272" s="31" t="str">
        <f>IF('1.1 Produksi Bersih Padi 2025'!B272="","",'1.1 Produksi Bersih Padi 2025'!B272)</f>
        <v/>
      </c>
      <c r="C272" s="31" t="str">
        <f>IF('1.1 Produksi Bersih Padi 2025'!C272="","",'1.1 Produksi Bersih Padi 2025'!C272)</f>
        <v/>
      </c>
      <c r="D272" s="1" t="str">
        <f>IF('1.1 Produksi Bersih Padi 2025'!D272="","",'1.1 Produksi Bersih Padi 2025'!D272)</f>
        <v/>
      </c>
      <c r="E272" s="1" t="str">
        <f>IF('1.1 Produksi Bersih Padi 2025'!E272="","",'1.1 Produksi Bersih Padi 2025'!E272)</f>
        <v/>
      </c>
      <c r="F272" s="28" t="str">
        <f>IF(D272="","",VLOOKUP(D272,'[1]0.1 Produksi Pangan &amp; Penduduk'!$D$5:$Y$860,22,0))</f>
        <v/>
      </c>
      <c r="G272" s="30" t="str">
        <f t="shared" si="20"/>
        <v/>
      </c>
      <c r="H272" s="30" t="str">
        <f t="shared" si="21"/>
        <v/>
      </c>
      <c r="I272" s="30" t="str">
        <f t="shared" si="22"/>
        <v/>
      </c>
      <c r="J272" s="30" t="str">
        <f t="shared" si="23"/>
        <v/>
      </c>
      <c r="K272" s="30" t="str">
        <f t="shared" si="24"/>
        <v/>
      </c>
      <c r="M272" s="11"/>
    </row>
    <row r="273" spans="1:13" ht="15" x14ac:dyDescent="0.25">
      <c r="A273" s="1" t="str">
        <f>IF('1.1 Produksi Bersih Padi 2025'!A273="","",'1.1 Produksi Bersih Padi 2025'!A273)</f>
        <v/>
      </c>
      <c r="B273" s="31" t="str">
        <f>IF('1.1 Produksi Bersih Padi 2025'!B273="","",'1.1 Produksi Bersih Padi 2025'!B273)</f>
        <v/>
      </c>
      <c r="C273" s="31" t="str">
        <f>IF('1.1 Produksi Bersih Padi 2025'!C273="","",'1.1 Produksi Bersih Padi 2025'!C273)</f>
        <v/>
      </c>
      <c r="D273" s="1" t="str">
        <f>IF('1.1 Produksi Bersih Padi 2025'!D273="","",'1.1 Produksi Bersih Padi 2025'!D273)</f>
        <v/>
      </c>
      <c r="E273" s="1" t="str">
        <f>IF('1.1 Produksi Bersih Padi 2025'!E273="","",'1.1 Produksi Bersih Padi 2025'!E273)</f>
        <v/>
      </c>
      <c r="F273" s="28" t="str">
        <f>IF(D273="","",VLOOKUP(D273,'[1]0.1 Produksi Pangan &amp; Penduduk'!$D$5:$Y$860,22,0))</f>
        <v/>
      </c>
      <c r="G273" s="30" t="str">
        <f t="shared" si="20"/>
        <v/>
      </c>
      <c r="H273" s="30" t="str">
        <f t="shared" si="21"/>
        <v/>
      </c>
      <c r="I273" s="30" t="str">
        <f t="shared" si="22"/>
        <v/>
      </c>
      <c r="J273" s="30" t="str">
        <f t="shared" si="23"/>
        <v/>
      </c>
      <c r="K273" s="30" t="str">
        <f t="shared" si="24"/>
        <v/>
      </c>
      <c r="M273" s="11"/>
    </row>
    <row r="274" spans="1:13" ht="15" x14ac:dyDescent="0.25">
      <c r="A274" s="1" t="str">
        <f>IF('1.1 Produksi Bersih Padi 2025'!A274="","",'1.1 Produksi Bersih Padi 2025'!A274)</f>
        <v/>
      </c>
      <c r="B274" s="31" t="str">
        <f>IF('1.1 Produksi Bersih Padi 2025'!B274="","",'1.1 Produksi Bersih Padi 2025'!B274)</f>
        <v/>
      </c>
      <c r="C274" s="31" t="str">
        <f>IF('1.1 Produksi Bersih Padi 2025'!C274="","",'1.1 Produksi Bersih Padi 2025'!C274)</f>
        <v/>
      </c>
      <c r="D274" s="1" t="str">
        <f>IF('1.1 Produksi Bersih Padi 2025'!D274="","",'1.1 Produksi Bersih Padi 2025'!D274)</f>
        <v/>
      </c>
      <c r="E274" s="1" t="str">
        <f>IF('1.1 Produksi Bersih Padi 2025'!E274="","",'1.1 Produksi Bersih Padi 2025'!E274)</f>
        <v/>
      </c>
      <c r="F274" s="28" t="str">
        <f>IF(D274="","",VLOOKUP(D274,'[1]0.1 Produksi Pangan &amp; Penduduk'!$D$5:$Y$860,22,0))</f>
        <v/>
      </c>
      <c r="G274" s="30" t="str">
        <f t="shared" si="20"/>
        <v/>
      </c>
      <c r="H274" s="30" t="str">
        <f t="shared" si="21"/>
        <v/>
      </c>
      <c r="I274" s="30" t="str">
        <f t="shared" si="22"/>
        <v/>
      </c>
      <c r="J274" s="30" t="str">
        <f t="shared" si="23"/>
        <v/>
      </c>
      <c r="K274" s="30" t="str">
        <f t="shared" si="24"/>
        <v/>
      </c>
      <c r="M274" s="11"/>
    </row>
    <row r="275" spans="1:13" ht="15" x14ac:dyDescent="0.25">
      <c r="A275" s="1" t="str">
        <f>IF('1.1 Produksi Bersih Padi 2025'!A275="","",'1.1 Produksi Bersih Padi 2025'!A275)</f>
        <v/>
      </c>
      <c r="B275" s="31" t="str">
        <f>IF('1.1 Produksi Bersih Padi 2025'!B275="","",'1.1 Produksi Bersih Padi 2025'!B275)</f>
        <v/>
      </c>
      <c r="C275" s="31" t="str">
        <f>IF('1.1 Produksi Bersih Padi 2025'!C275="","",'1.1 Produksi Bersih Padi 2025'!C275)</f>
        <v/>
      </c>
      <c r="D275" s="1" t="str">
        <f>IF('1.1 Produksi Bersih Padi 2025'!D275="","",'1.1 Produksi Bersih Padi 2025'!D275)</f>
        <v/>
      </c>
      <c r="E275" s="1" t="str">
        <f>IF('1.1 Produksi Bersih Padi 2025'!E275="","",'1.1 Produksi Bersih Padi 2025'!E275)</f>
        <v/>
      </c>
      <c r="F275" s="28" t="str">
        <f>IF(D275="","",VLOOKUP(D275,'[1]0.1 Produksi Pangan &amp; Penduduk'!$D$5:$Y$860,22,0))</f>
        <v/>
      </c>
      <c r="G275" s="30" t="str">
        <f t="shared" si="20"/>
        <v/>
      </c>
      <c r="H275" s="30" t="str">
        <f t="shared" si="21"/>
        <v/>
      </c>
      <c r="I275" s="30" t="str">
        <f t="shared" si="22"/>
        <v/>
      </c>
      <c r="J275" s="30" t="str">
        <f t="shared" si="23"/>
        <v/>
      </c>
      <c r="K275" s="30" t="str">
        <f t="shared" si="24"/>
        <v/>
      </c>
      <c r="M275" s="11"/>
    </row>
    <row r="276" spans="1:13" ht="15" x14ac:dyDescent="0.25">
      <c r="A276" s="1" t="str">
        <f>IF('1.1 Produksi Bersih Padi 2025'!A276="","",'1.1 Produksi Bersih Padi 2025'!A276)</f>
        <v/>
      </c>
      <c r="B276" s="31" t="str">
        <f>IF('1.1 Produksi Bersih Padi 2025'!B276="","",'1.1 Produksi Bersih Padi 2025'!B276)</f>
        <v/>
      </c>
      <c r="C276" s="31" t="str">
        <f>IF('1.1 Produksi Bersih Padi 2025'!C276="","",'1.1 Produksi Bersih Padi 2025'!C276)</f>
        <v/>
      </c>
      <c r="D276" s="1" t="str">
        <f>IF('1.1 Produksi Bersih Padi 2025'!D276="","",'1.1 Produksi Bersih Padi 2025'!D276)</f>
        <v/>
      </c>
      <c r="E276" s="1" t="str">
        <f>IF('1.1 Produksi Bersih Padi 2025'!E276="","",'1.1 Produksi Bersih Padi 2025'!E276)</f>
        <v/>
      </c>
      <c r="F276" s="28" t="str">
        <f>IF(D276="","",VLOOKUP(D276,'[1]0.1 Produksi Pangan &amp; Penduduk'!$D$5:$Y$860,22,0))</f>
        <v/>
      </c>
      <c r="G276" s="30" t="str">
        <f t="shared" si="20"/>
        <v/>
      </c>
      <c r="H276" s="30" t="str">
        <f t="shared" si="21"/>
        <v/>
      </c>
      <c r="I276" s="30" t="str">
        <f t="shared" si="22"/>
        <v/>
      </c>
      <c r="J276" s="30" t="str">
        <f t="shared" si="23"/>
        <v/>
      </c>
      <c r="K276" s="30" t="str">
        <f t="shared" si="24"/>
        <v/>
      </c>
      <c r="M276" s="11"/>
    </row>
    <row r="277" spans="1:13" ht="15" x14ac:dyDescent="0.25">
      <c r="A277" s="1" t="str">
        <f>IF('1.1 Produksi Bersih Padi 2025'!A277="","",'1.1 Produksi Bersih Padi 2025'!A277)</f>
        <v/>
      </c>
      <c r="B277" s="31" t="str">
        <f>IF('1.1 Produksi Bersih Padi 2025'!B277="","",'1.1 Produksi Bersih Padi 2025'!B277)</f>
        <v/>
      </c>
      <c r="C277" s="31" t="str">
        <f>IF('1.1 Produksi Bersih Padi 2025'!C277="","",'1.1 Produksi Bersih Padi 2025'!C277)</f>
        <v/>
      </c>
      <c r="D277" s="1" t="str">
        <f>IF('1.1 Produksi Bersih Padi 2025'!D277="","",'1.1 Produksi Bersih Padi 2025'!D277)</f>
        <v/>
      </c>
      <c r="E277" s="1" t="str">
        <f>IF('1.1 Produksi Bersih Padi 2025'!E277="","",'1.1 Produksi Bersih Padi 2025'!E277)</f>
        <v/>
      </c>
      <c r="F277" s="28" t="str">
        <f>IF(D277="","",VLOOKUP(D277,'[1]0.1 Produksi Pangan &amp; Penduduk'!$D$5:$Y$860,22,0))</f>
        <v/>
      </c>
      <c r="G277" s="30" t="str">
        <f t="shared" si="20"/>
        <v/>
      </c>
      <c r="H277" s="30" t="str">
        <f t="shared" si="21"/>
        <v/>
      </c>
      <c r="I277" s="30" t="str">
        <f t="shared" si="22"/>
        <v/>
      </c>
      <c r="J277" s="30" t="str">
        <f t="shared" si="23"/>
        <v/>
      </c>
      <c r="K277" s="30" t="str">
        <f t="shared" si="24"/>
        <v/>
      </c>
      <c r="M277" s="11"/>
    </row>
    <row r="278" spans="1:13" ht="15" x14ac:dyDescent="0.25">
      <c r="A278" s="1" t="str">
        <f>IF('1.1 Produksi Bersih Padi 2025'!A278="","",'1.1 Produksi Bersih Padi 2025'!A278)</f>
        <v/>
      </c>
      <c r="B278" s="31" t="str">
        <f>IF('1.1 Produksi Bersih Padi 2025'!B278="","",'1.1 Produksi Bersih Padi 2025'!B278)</f>
        <v/>
      </c>
      <c r="C278" s="31" t="str">
        <f>IF('1.1 Produksi Bersih Padi 2025'!C278="","",'1.1 Produksi Bersih Padi 2025'!C278)</f>
        <v/>
      </c>
      <c r="D278" s="1" t="str">
        <f>IF('1.1 Produksi Bersih Padi 2025'!D278="","",'1.1 Produksi Bersih Padi 2025'!D278)</f>
        <v/>
      </c>
      <c r="E278" s="1" t="str">
        <f>IF('1.1 Produksi Bersih Padi 2025'!E278="","",'1.1 Produksi Bersih Padi 2025'!E278)</f>
        <v/>
      </c>
      <c r="F278" s="28" t="str">
        <f>IF(D278="","",VLOOKUP(D278,'[1]0.1 Produksi Pangan &amp; Penduduk'!$D$5:$Y$860,22,0))</f>
        <v/>
      </c>
      <c r="G278" s="30" t="str">
        <f t="shared" si="20"/>
        <v/>
      </c>
      <c r="H278" s="30" t="str">
        <f t="shared" si="21"/>
        <v/>
      </c>
      <c r="I278" s="30" t="str">
        <f t="shared" si="22"/>
        <v/>
      </c>
      <c r="J278" s="30" t="str">
        <f t="shared" si="23"/>
        <v/>
      </c>
      <c r="K278" s="30" t="str">
        <f t="shared" si="24"/>
        <v/>
      </c>
      <c r="M278" s="11"/>
    </row>
    <row r="279" spans="1:13" ht="15" x14ac:dyDescent="0.25">
      <c r="A279" s="1" t="str">
        <f>IF('1.1 Produksi Bersih Padi 2025'!A279="","",'1.1 Produksi Bersih Padi 2025'!A279)</f>
        <v/>
      </c>
      <c r="B279" s="31" t="str">
        <f>IF('1.1 Produksi Bersih Padi 2025'!B279="","",'1.1 Produksi Bersih Padi 2025'!B279)</f>
        <v/>
      </c>
      <c r="C279" s="31" t="str">
        <f>IF('1.1 Produksi Bersih Padi 2025'!C279="","",'1.1 Produksi Bersih Padi 2025'!C279)</f>
        <v/>
      </c>
      <c r="D279" s="1" t="str">
        <f>IF('1.1 Produksi Bersih Padi 2025'!D279="","",'1.1 Produksi Bersih Padi 2025'!D279)</f>
        <v/>
      </c>
      <c r="E279" s="1" t="str">
        <f>IF('1.1 Produksi Bersih Padi 2025'!E279="","",'1.1 Produksi Bersih Padi 2025'!E279)</f>
        <v/>
      </c>
      <c r="F279" s="28" t="str">
        <f>IF(D279="","",VLOOKUP(D279,'[1]0.1 Produksi Pangan &amp; Penduduk'!$D$5:$Y$860,22,0))</f>
        <v/>
      </c>
      <c r="G279" s="30" t="str">
        <f t="shared" si="20"/>
        <v/>
      </c>
      <c r="H279" s="30" t="str">
        <f t="shared" si="21"/>
        <v/>
      </c>
      <c r="I279" s="30" t="str">
        <f t="shared" si="22"/>
        <v/>
      </c>
      <c r="J279" s="30" t="str">
        <f t="shared" si="23"/>
        <v/>
      </c>
      <c r="K279" s="30" t="str">
        <f t="shared" si="24"/>
        <v/>
      </c>
      <c r="M279" s="11"/>
    </row>
    <row r="280" spans="1:13" ht="15" x14ac:dyDescent="0.25">
      <c r="A280" s="1" t="str">
        <f>IF('1.1 Produksi Bersih Padi 2025'!A280="","",'1.1 Produksi Bersih Padi 2025'!A280)</f>
        <v/>
      </c>
      <c r="B280" s="31" t="str">
        <f>IF('1.1 Produksi Bersih Padi 2025'!B280="","",'1.1 Produksi Bersih Padi 2025'!B280)</f>
        <v/>
      </c>
      <c r="C280" s="31" t="str">
        <f>IF('1.1 Produksi Bersih Padi 2025'!C280="","",'1.1 Produksi Bersih Padi 2025'!C280)</f>
        <v/>
      </c>
      <c r="D280" s="1" t="str">
        <f>IF('1.1 Produksi Bersih Padi 2025'!D280="","",'1.1 Produksi Bersih Padi 2025'!D280)</f>
        <v/>
      </c>
      <c r="E280" s="1" t="str">
        <f>IF('1.1 Produksi Bersih Padi 2025'!E280="","",'1.1 Produksi Bersih Padi 2025'!E280)</f>
        <v/>
      </c>
      <c r="F280" s="28" t="str">
        <f>IF(D280="","",VLOOKUP(D280,'[1]0.1 Produksi Pangan &amp; Penduduk'!$D$5:$Y$860,22,0))</f>
        <v/>
      </c>
      <c r="G280" s="30" t="str">
        <f t="shared" si="20"/>
        <v/>
      </c>
      <c r="H280" s="30" t="str">
        <f t="shared" si="21"/>
        <v/>
      </c>
      <c r="I280" s="30" t="str">
        <f t="shared" si="22"/>
        <v/>
      </c>
      <c r="J280" s="30" t="str">
        <f t="shared" si="23"/>
        <v/>
      </c>
      <c r="K280" s="30" t="str">
        <f t="shared" si="24"/>
        <v/>
      </c>
      <c r="M280" s="11"/>
    </row>
    <row r="281" spans="1:13" ht="15" x14ac:dyDescent="0.25">
      <c r="A281" s="1" t="str">
        <f>IF('1.1 Produksi Bersih Padi 2025'!A281="","",'1.1 Produksi Bersih Padi 2025'!A281)</f>
        <v/>
      </c>
      <c r="B281" s="31" t="str">
        <f>IF('1.1 Produksi Bersih Padi 2025'!B281="","",'1.1 Produksi Bersih Padi 2025'!B281)</f>
        <v/>
      </c>
      <c r="C281" s="31" t="str">
        <f>IF('1.1 Produksi Bersih Padi 2025'!C281="","",'1.1 Produksi Bersih Padi 2025'!C281)</f>
        <v/>
      </c>
      <c r="D281" s="1" t="str">
        <f>IF('1.1 Produksi Bersih Padi 2025'!D281="","",'1.1 Produksi Bersih Padi 2025'!D281)</f>
        <v/>
      </c>
      <c r="E281" s="1" t="str">
        <f>IF('1.1 Produksi Bersih Padi 2025'!E281="","",'1.1 Produksi Bersih Padi 2025'!E281)</f>
        <v/>
      </c>
      <c r="F281" s="28" t="str">
        <f>IF(D281="","",VLOOKUP(D281,'[1]0.1 Produksi Pangan &amp; Penduduk'!$D$5:$Y$860,22,0))</f>
        <v/>
      </c>
      <c r="G281" s="30" t="str">
        <f t="shared" si="20"/>
        <v/>
      </c>
      <c r="H281" s="30" t="str">
        <f t="shared" si="21"/>
        <v/>
      </c>
      <c r="I281" s="30" t="str">
        <f t="shared" si="22"/>
        <v/>
      </c>
      <c r="J281" s="30" t="str">
        <f t="shared" si="23"/>
        <v/>
      </c>
      <c r="K281" s="30" t="str">
        <f t="shared" si="24"/>
        <v/>
      </c>
      <c r="M281" s="11"/>
    </row>
    <row r="282" spans="1:13" ht="15" x14ac:dyDescent="0.25">
      <c r="A282" s="1" t="str">
        <f>IF('1.1 Produksi Bersih Padi 2025'!A282="","",'1.1 Produksi Bersih Padi 2025'!A282)</f>
        <v/>
      </c>
      <c r="B282" s="31" t="str">
        <f>IF('1.1 Produksi Bersih Padi 2025'!B282="","",'1.1 Produksi Bersih Padi 2025'!B282)</f>
        <v/>
      </c>
      <c r="C282" s="31" t="str">
        <f>IF('1.1 Produksi Bersih Padi 2025'!C282="","",'1.1 Produksi Bersih Padi 2025'!C282)</f>
        <v/>
      </c>
      <c r="D282" s="1" t="str">
        <f>IF('1.1 Produksi Bersih Padi 2025'!D282="","",'1.1 Produksi Bersih Padi 2025'!D282)</f>
        <v/>
      </c>
      <c r="E282" s="1" t="str">
        <f>IF('1.1 Produksi Bersih Padi 2025'!E282="","",'1.1 Produksi Bersih Padi 2025'!E282)</f>
        <v/>
      </c>
      <c r="F282" s="28" t="str">
        <f>IF(D282="","",VLOOKUP(D282,'[1]0.1 Produksi Pangan &amp; Penduduk'!$D$5:$Y$860,22,0))</f>
        <v/>
      </c>
      <c r="G282" s="30" t="str">
        <f t="shared" si="20"/>
        <v/>
      </c>
      <c r="H282" s="30" t="str">
        <f t="shared" si="21"/>
        <v/>
      </c>
      <c r="I282" s="30" t="str">
        <f t="shared" si="22"/>
        <v/>
      </c>
      <c r="J282" s="30" t="str">
        <f t="shared" si="23"/>
        <v/>
      </c>
      <c r="K282" s="30" t="str">
        <f t="shared" si="24"/>
        <v/>
      </c>
      <c r="M282" s="11"/>
    </row>
    <row r="283" spans="1:13" ht="15" x14ac:dyDescent="0.25">
      <c r="A283" s="1" t="str">
        <f>IF('1.1 Produksi Bersih Padi 2025'!A283="","",'1.1 Produksi Bersih Padi 2025'!A283)</f>
        <v/>
      </c>
      <c r="B283" s="31" t="str">
        <f>IF('1.1 Produksi Bersih Padi 2025'!B283="","",'1.1 Produksi Bersih Padi 2025'!B283)</f>
        <v/>
      </c>
      <c r="C283" s="31" t="str">
        <f>IF('1.1 Produksi Bersih Padi 2025'!C283="","",'1.1 Produksi Bersih Padi 2025'!C283)</f>
        <v/>
      </c>
      <c r="D283" s="1" t="str">
        <f>IF('1.1 Produksi Bersih Padi 2025'!D283="","",'1.1 Produksi Bersih Padi 2025'!D283)</f>
        <v/>
      </c>
      <c r="E283" s="1" t="str">
        <f>IF('1.1 Produksi Bersih Padi 2025'!E283="","",'1.1 Produksi Bersih Padi 2025'!E283)</f>
        <v/>
      </c>
      <c r="F283" s="28" t="str">
        <f>IF(D283="","",VLOOKUP(D283,'[1]0.1 Produksi Pangan &amp; Penduduk'!$D$5:$Y$860,22,0))</f>
        <v/>
      </c>
      <c r="G283" s="30" t="str">
        <f t="shared" si="20"/>
        <v/>
      </c>
      <c r="H283" s="30" t="str">
        <f t="shared" si="21"/>
        <v/>
      </c>
      <c r="I283" s="30" t="str">
        <f t="shared" si="22"/>
        <v/>
      </c>
      <c r="J283" s="30" t="str">
        <f t="shared" si="23"/>
        <v/>
      </c>
      <c r="K283" s="30" t="str">
        <f t="shared" si="24"/>
        <v/>
      </c>
      <c r="M283" s="11"/>
    </row>
    <row r="284" spans="1:13" ht="15" x14ac:dyDescent="0.25">
      <c r="A284" s="1" t="str">
        <f>IF('1.1 Produksi Bersih Padi 2025'!A284="","",'1.1 Produksi Bersih Padi 2025'!A284)</f>
        <v/>
      </c>
      <c r="B284" s="31" t="str">
        <f>IF('1.1 Produksi Bersih Padi 2025'!B284="","",'1.1 Produksi Bersih Padi 2025'!B284)</f>
        <v/>
      </c>
      <c r="C284" s="31" t="str">
        <f>IF('1.1 Produksi Bersih Padi 2025'!C284="","",'1.1 Produksi Bersih Padi 2025'!C284)</f>
        <v/>
      </c>
      <c r="D284" s="1" t="str">
        <f>IF('1.1 Produksi Bersih Padi 2025'!D284="","",'1.1 Produksi Bersih Padi 2025'!D284)</f>
        <v/>
      </c>
      <c r="E284" s="1" t="str">
        <f>IF('1.1 Produksi Bersih Padi 2025'!E284="","",'1.1 Produksi Bersih Padi 2025'!E284)</f>
        <v/>
      </c>
      <c r="F284" s="28" t="str">
        <f>IF(D284="","",VLOOKUP(D284,'[1]0.1 Produksi Pangan &amp; Penduduk'!$D$5:$Y$860,22,0))</f>
        <v/>
      </c>
      <c r="G284" s="30" t="str">
        <f t="shared" si="20"/>
        <v/>
      </c>
      <c r="H284" s="30" t="str">
        <f t="shared" si="21"/>
        <v/>
      </c>
      <c r="I284" s="30" t="str">
        <f t="shared" si="22"/>
        <v/>
      </c>
      <c r="J284" s="30" t="str">
        <f t="shared" si="23"/>
        <v/>
      </c>
      <c r="K284" s="30" t="str">
        <f t="shared" si="24"/>
        <v/>
      </c>
      <c r="M284" s="11"/>
    </row>
    <row r="285" spans="1:13" ht="15" x14ac:dyDescent="0.25">
      <c r="A285" s="1" t="str">
        <f>IF('1.1 Produksi Bersih Padi 2025'!A285="","",'1.1 Produksi Bersih Padi 2025'!A285)</f>
        <v/>
      </c>
      <c r="B285" s="31" t="str">
        <f>IF('1.1 Produksi Bersih Padi 2025'!B285="","",'1.1 Produksi Bersih Padi 2025'!B285)</f>
        <v/>
      </c>
      <c r="C285" s="31" t="str">
        <f>IF('1.1 Produksi Bersih Padi 2025'!C285="","",'1.1 Produksi Bersih Padi 2025'!C285)</f>
        <v/>
      </c>
      <c r="D285" s="1" t="str">
        <f>IF('1.1 Produksi Bersih Padi 2025'!D285="","",'1.1 Produksi Bersih Padi 2025'!D285)</f>
        <v/>
      </c>
      <c r="E285" s="1" t="str">
        <f>IF('1.1 Produksi Bersih Padi 2025'!E285="","",'1.1 Produksi Bersih Padi 2025'!E285)</f>
        <v/>
      </c>
      <c r="F285" s="28" t="str">
        <f>IF(D285="","",VLOOKUP(D285,'[1]0.1 Produksi Pangan &amp; Penduduk'!$D$5:$Y$860,22,0))</f>
        <v/>
      </c>
      <c r="G285" s="30" t="str">
        <f t="shared" si="20"/>
        <v/>
      </c>
      <c r="H285" s="30" t="str">
        <f t="shared" si="21"/>
        <v/>
      </c>
      <c r="I285" s="30" t="str">
        <f t="shared" si="22"/>
        <v/>
      </c>
      <c r="J285" s="30" t="str">
        <f t="shared" si="23"/>
        <v/>
      </c>
      <c r="K285" s="30" t="str">
        <f t="shared" si="24"/>
        <v/>
      </c>
      <c r="M285" s="11"/>
    </row>
    <row r="286" spans="1:13" ht="15" x14ac:dyDescent="0.25">
      <c r="A286" s="1" t="str">
        <f>IF('1.1 Produksi Bersih Padi 2025'!A286="","",'1.1 Produksi Bersih Padi 2025'!A286)</f>
        <v/>
      </c>
      <c r="B286" s="31" t="str">
        <f>IF('1.1 Produksi Bersih Padi 2025'!B286="","",'1.1 Produksi Bersih Padi 2025'!B286)</f>
        <v/>
      </c>
      <c r="C286" s="31" t="str">
        <f>IF('1.1 Produksi Bersih Padi 2025'!C286="","",'1.1 Produksi Bersih Padi 2025'!C286)</f>
        <v/>
      </c>
      <c r="D286" s="1" t="str">
        <f>IF('1.1 Produksi Bersih Padi 2025'!D286="","",'1.1 Produksi Bersih Padi 2025'!D286)</f>
        <v/>
      </c>
      <c r="E286" s="1" t="str">
        <f>IF('1.1 Produksi Bersih Padi 2025'!E286="","",'1.1 Produksi Bersih Padi 2025'!E286)</f>
        <v/>
      </c>
      <c r="F286" s="28" t="str">
        <f>IF(D286="","",VLOOKUP(D286,'[1]0.1 Produksi Pangan &amp; Penduduk'!$D$5:$Y$860,22,0))</f>
        <v/>
      </c>
      <c r="G286" s="30" t="str">
        <f t="shared" si="20"/>
        <v/>
      </c>
      <c r="H286" s="30" t="str">
        <f t="shared" si="21"/>
        <v/>
      </c>
      <c r="I286" s="30" t="str">
        <f t="shared" si="22"/>
        <v/>
      </c>
      <c r="J286" s="30" t="str">
        <f t="shared" si="23"/>
        <v/>
      </c>
      <c r="K286" s="30" t="str">
        <f t="shared" si="24"/>
        <v/>
      </c>
      <c r="M286" s="11"/>
    </row>
    <row r="287" spans="1:13" ht="15" x14ac:dyDescent="0.25">
      <c r="A287" s="1" t="str">
        <f>IF('1.1 Produksi Bersih Padi 2025'!A287="","",'1.1 Produksi Bersih Padi 2025'!A287)</f>
        <v/>
      </c>
      <c r="B287" s="31" t="str">
        <f>IF('1.1 Produksi Bersih Padi 2025'!B287="","",'1.1 Produksi Bersih Padi 2025'!B287)</f>
        <v/>
      </c>
      <c r="C287" s="31" t="str">
        <f>IF('1.1 Produksi Bersih Padi 2025'!C287="","",'1.1 Produksi Bersih Padi 2025'!C287)</f>
        <v/>
      </c>
      <c r="D287" s="1" t="str">
        <f>IF('1.1 Produksi Bersih Padi 2025'!D287="","",'1.1 Produksi Bersih Padi 2025'!D287)</f>
        <v/>
      </c>
      <c r="E287" s="1" t="str">
        <f>IF('1.1 Produksi Bersih Padi 2025'!E287="","",'1.1 Produksi Bersih Padi 2025'!E287)</f>
        <v/>
      </c>
      <c r="F287" s="28" t="str">
        <f>IF(D287="","",VLOOKUP(D287,'[1]0.1 Produksi Pangan &amp; Penduduk'!$D$5:$Y$860,22,0))</f>
        <v/>
      </c>
      <c r="G287" s="30" t="str">
        <f t="shared" si="20"/>
        <v/>
      </c>
      <c r="H287" s="30" t="str">
        <f t="shared" si="21"/>
        <v/>
      </c>
      <c r="I287" s="30" t="str">
        <f t="shared" si="22"/>
        <v/>
      </c>
      <c r="J287" s="30" t="str">
        <f t="shared" si="23"/>
        <v/>
      </c>
      <c r="K287" s="30" t="str">
        <f t="shared" si="24"/>
        <v/>
      </c>
      <c r="M287" s="11"/>
    </row>
    <row r="288" spans="1:13" ht="15" x14ac:dyDescent="0.25">
      <c r="A288" s="1" t="str">
        <f>IF('1.1 Produksi Bersih Padi 2025'!A288="","",'1.1 Produksi Bersih Padi 2025'!A288)</f>
        <v/>
      </c>
      <c r="B288" s="31" t="str">
        <f>IF('1.1 Produksi Bersih Padi 2025'!B288="","",'1.1 Produksi Bersih Padi 2025'!B288)</f>
        <v/>
      </c>
      <c r="C288" s="31" t="str">
        <f>IF('1.1 Produksi Bersih Padi 2025'!C288="","",'1.1 Produksi Bersih Padi 2025'!C288)</f>
        <v/>
      </c>
      <c r="D288" s="1" t="str">
        <f>IF('1.1 Produksi Bersih Padi 2025'!D288="","",'1.1 Produksi Bersih Padi 2025'!D288)</f>
        <v/>
      </c>
      <c r="E288" s="1" t="str">
        <f>IF('1.1 Produksi Bersih Padi 2025'!E288="","",'1.1 Produksi Bersih Padi 2025'!E288)</f>
        <v/>
      </c>
      <c r="F288" s="28" t="str">
        <f>IF(D288="","",VLOOKUP(D288,'[1]0.1 Produksi Pangan &amp; Penduduk'!$D$5:$Y$860,22,0))</f>
        <v/>
      </c>
      <c r="G288" s="30" t="str">
        <f t="shared" si="20"/>
        <v/>
      </c>
      <c r="H288" s="30" t="str">
        <f t="shared" si="21"/>
        <v/>
      </c>
      <c r="I288" s="30" t="str">
        <f t="shared" si="22"/>
        <v/>
      </c>
      <c r="J288" s="30" t="str">
        <f t="shared" si="23"/>
        <v/>
      </c>
      <c r="K288" s="30" t="str">
        <f t="shared" si="24"/>
        <v/>
      </c>
      <c r="M288" s="11"/>
    </row>
    <row r="289" spans="1:13" ht="15" x14ac:dyDescent="0.25">
      <c r="A289" s="1" t="str">
        <f>IF('1.1 Produksi Bersih Padi 2025'!A289="","",'1.1 Produksi Bersih Padi 2025'!A289)</f>
        <v/>
      </c>
      <c r="B289" s="31" t="str">
        <f>IF('1.1 Produksi Bersih Padi 2025'!B289="","",'1.1 Produksi Bersih Padi 2025'!B289)</f>
        <v/>
      </c>
      <c r="C289" s="31" t="str">
        <f>IF('1.1 Produksi Bersih Padi 2025'!C289="","",'1.1 Produksi Bersih Padi 2025'!C289)</f>
        <v/>
      </c>
      <c r="D289" s="1" t="str">
        <f>IF('1.1 Produksi Bersih Padi 2025'!D289="","",'1.1 Produksi Bersih Padi 2025'!D289)</f>
        <v/>
      </c>
      <c r="E289" s="1" t="str">
        <f>IF('1.1 Produksi Bersih Padi 2025'!E289="","",'1.1 Produksi Bersih Padi 2025'!E289)</f>
        <v/>
      </c>
      <c r="F289" s="28" t="str">
        <f>IF(D289="","",VLOOKUP(D289,'[1]0.1 Produksi Pangan &amp; Penduduk'!$D$5:$Y$860,22,0))</f>
        <v/>
      </c>
      <c r="G289" s="30" t="str">
        <f t="shared" si="20"/>
        <v/>
      </c>
      <c r="H289" s="30" t="str">
        <f t="shared" si="21"/>
        <v/>
      </c>
      <c r="I289" s="30" t="str">
        <f t="shared" si="22"/>
        <v/>
      </c>
      <c r="J289" s="30" t="str">
        <f t="shared" si="23"/>
        <v/>
      </c>
      <c r="K289" s="30" t="str">
        <f t="shared" si="24"/>
        <v/>
      </c>
      <c r="M289" s="11"/>
    </row>
    <row r="290" spans="1:13" ht="15" x14ac:dyDescent="0.25">
      <c r="A290" s="1" t="str">
        <f>IF('1.1 Produksi Bersih Padi 2025'!A290="","",'1.1 Produksi Bersih Padi 2025'!A290)</f>
        <v/>
      </c>
      <c r="B290" s="31" t="str">
        <f>IF('1.1 Produksi Bersih Padi 2025'!B290="","",'1.1 Produksi Bersih Padi 2025'!B290)</f>
        <v/>
      </c>
      <c r="C290" s="31" t="str">
        <f>IF('1.1 Produksi Bersih Padi 2025'!C290="","",'1.1 Produksi Bersih Padi 2025'!C290)</f>
        <v/>
      </c>
      <c r="D290" s="1" t="str">
        <f>IF('1.1 Produksi Bersih Padi 2025'!D290="","",'1.1 Produksi Bersih Padi 2025'!D290)</f>
        <v/>
      </c>
      <c r="E290" s="1" t="str">
        <f>IF('1.1 Produksi Bersih Padi 2025'!E290="","",'1.1 Produksi Bersih Padi 2025'!E290)</f>
        <v/>
      </c>
      <c r="F290" s="28" t="str">
        <f>IF(D290="","",VLOOKUP(D290,'[1]0.1 Produksi Pangan &amp; Penduduk'!$D$5:$Y$860,22,0))</f>
        <v/>
      </c>
      <c r="G290" s="30" t="str">
        <f t="shared" si="20"/>
        <v/>
      </c>
      <c r="H290" s="30" t="str">
        <f t="shared" si="21"/>
        <v/>
      </c>
      <c r="I290" s="30" t="str">
        <f t="shared" si="22"/>
        <v/>
      </c>
      <c r="J290" s="30" t="str">
        <f t="shared" si="23"/>
        <v/>
      </c>
      <c r="K290" s="30" t="str">
        <f t="shared" si="24"/>
        <v/>
      </c>
      <c r="M290" s="11"/>
    </row>
    <row r="291" spans="1:13" ht="15" x14ac:dyDescent="0.25">
      <c r="A291" s="1" t="str">
        <f>IF('1.1 Produksi Bersih Padi 2025'!A291="","",'1.1 Produksi Bersih Padi 2025'!A291)</f>
        <v/>
      </c>
      <c r="B291" s="31" t="str">
        <f>IF('1.1 Produksi Bersih Padi 2025'!B291="","",'1.1 Produksi Bersih Padi 2025'!B291)</f>
        <v/>
      </c>
      <c r="C291" s="31" t="str">
        <f>IF('1.1 Produksi Bersih Padi 2025'!C291="","",'1.1 Produksi Bersih Padi 2025'!C291)</f>
        <v/>
      </c>
      <c r="D291" s="1" t="str">
        <f>IF('1.1 Produksi Bersih Padi 2025'!D291="","",'1.1 Produksi Bersih Padi 2025'!D291)</f>
        <v/>
      </c>
      <c r="E291" s="1" t="str">
        <f>IF('1.1 Produksi Bersih Padi 2025'!E291="","",'1.1 Produksi Bersih Padi 2025'!E291)</f>
        <v/>
      </c>
      <c r="F291" s="28" t="str">
        <f>IF(D291="","",VLOOKUP(D291,'[1]0.1 Produksi Pangan &amp; Penduduk'!$D$5:$Y$860,22,0))</f>
        <v/>
      </c>
      <c r="G291" s="30" t="str">
        <f t="shared" si="20"/>
        <v/>
      </c>
      <c r="H291" s="30" t="str">
        <f t="shared" si="21"/>
        <v/>
      </c>
      <c r="I291" s="30" t="str">
        <f t="shared" si="22"/>
        <v/>
      </c>
      <c r="J291" s="30" t="str">
        <f t="shared" si="23"/>
        <v/>
      </c>
      <c r="K291" s="30" t="str">
        <f t="shared" si="24"/>
        <v/>
      </c>
      <c r="M291" s="11"/>
    </row>
    <row r="292" spans="1:13" ht="15" x14ac:dyDescent="0.25">
      <c r="A292" s="1" t="str">
        <f>IF('1.1 Produksi Bersih Padi 2025'!A292="","",'1.1 Produksi Bersih Padi 2025'!A292)</f>
        <v/>
      </c>
      <c r="B292" s="31" t="str">
        <f>IF('1.1 Produksi Bersih Padi 2025'!B292="","",'1.1 Produksi Bersih Padi 2025'!B292)</f>
        <v/>
      </c>
      <c r="C292" s="31" t="str">
        <f>IF('1.1 Produksi Bersih Padi 2025'!C292="","",'1.1 Produksi Bersih Padi 2025'!C292)</f>
        <v/>
      </c>
      <c r="D292" s="1" t="str">
        <f>IF('1.1 Produksi Bersih Padi 2025'!D292="","",'1.1 Produksi Bersih Padi 2025'!D292)</f>
        <v/>
      </c>
      <c r="E292" s="1" t="str">
        <f>IF('1.1 Produksi Bersih Padi 2025'!E292="","",'1.1 Produksi Bersih Padi 2025'!E292)</f>
        <v/>
      </c>
      <c r="F292" s="28" t="str">
        <f>IF(D292="","",VLOOKUP(D292,'[1]0.1 Produksi Pangan &amp; Penduduk'!$D$5:$Y$860,22,0))</f>
        <v/>
      </c>
      <c r="G292" s="30" t="str">
        <f t="shared" si="20"/>
        <v/>
      </c>
      <c r="H292" s="30" t="str">
        <f t="shared" si="21"/>
        <v/>
      </c>
      <c r="I292" s="30" t="str">
        <f t="shared" si="22"/>
        <v/>
      </c>
      <c r="J292" s="30" t="str">
        <f t="shared" si="23"/>
        <v/>
      </c>
      <c r="K292" s="30" t="str">
        <f t="shared" si="24"/>
        <v/>
      </c>
      <c r="M292" s="11"/>
    </row>
    <row r="293" spans="1:13" ht="15" x14ac:dyDescent="0.25">
      <c r="A293" s="1" t="str">
        <f>IF('1.1 Produksi Bersih Padi 2025'!A293="","",'1.1 Produksi Bersih Padi 2025'!A293)</f>
        <v/>
      </c>
      <c r="B293" s="31" t="str">
        <f>IF('1.1 Produksi Bersih Padi 2025'!B293="","",'1.1 Produksi Bersih Padi 2025'!B293)</f>
        <v/>
      </c>
      <c r="C293" s="31" t="str">
        <f>IF('1.1 Produksi Bersih Padi 2025'!C293="","",'1.1 Produksi Bersih Padi 2025'!C293)</f>
        <v/>
      </c>
      <c r="D293" s="1" t="str">
        <f>IF('1.1 Produksi Bersih Padi 2025'!D293="","",'1.1 Produksi Bersih Padi 2025'!D293)</f>
        <v/>
      </c>
      <c r="E293" s="1" t="str">
        <f>IF('1.1 Produksi Bersih Padi 2025'!E293="","",'1.1 Produksi Bersih Padi 2025'!E293)</f>
        <v/>
      </c>
      <c r="F293" s="28" t="str">
        <f>IF(D293="","",VLOOKUP(D293,'[1]0.1 Produksi Pangan &amp; Penduduk'!$D$5:$Y$860,22,0))</f>
        <v/>
      </c>
      <c r="G293" s="30" t="str">
        <f t="shared" si="20"/>
        <v/>
      </c>
      <c r="H293" s="30" t="str">
        <f t="shared" si="21"/>
        <v/>
      </c>
      <c r="I293" s="30" t="str">
        <f t="shared" si="22"/>
        <v/>
      </c>
      <c r="J293" s="30" t="str">
        <f t="shared" si="23"/>
        <v/>
      </c>
      <c r="K293" s="30" t="str">
        <f t="shared" si="24"/>
        <v/>
      </c>
      <c r="M293" s="11"/>
    </row>
    <row r="294" spans="1:13" ht="15" x14ac:dyDescent="0.25">
      <c r="A294" s="1" t="str">
        <f>IF('1.1 Produksi Bersih Padi 2025'!A294="","",'1.1 Produksi Bersih Padi 2025'!A294)</f>
        <v/>
      </c>
      <c r="B294" s="31" t="str">
        <f>IF('1.1 Produksi Bersih Padi 2025'!B294="","",'1.1 Produksi Bersih Padi 2025'!B294)</f>
        <v/>
      </c>
      <c r="C294" s="31" t="str">
        <f>IF('1.1 Produksi Bersih Padi 2025'!C294="","",'1.1 Produksi Bersih Padi 2025'!C294)</f>
        <v/>
      </c>
      <c r="D294" s="1" t="str">
        <f>IF('1.1 Produksi Bersih Padi 2025'!D294="","",'1.1 Produksi Bersih Padi 2025'!D294)</f>
        <v/>
      </c>
      <c r="E294" s="1" t="str">
        <f>IF('1.1 Produksi Bersih Padi 2025'!E294="","",'1.1 Produksi Bersih Padi 2025'!E294)</f>
        <v/>
      </c>
      <c r="F294" s="28" t="str">
        <f>IF(D294="","",VLOOKUP(D294,'[1]0.1 Produksi Pangan &amp; Penduduk'!$D$5:$Y$860,22,0))</f>
        <v/>
      </c>
      <c r="G294" s="30" t="str">
        <f t="shared" si="20"/>
        <v/>
      </c>
      <c r="H294" s="30" t="str">
        <f t="shared" si="21"/>
        <v/>
      </c>
      <c r="I294" s="30" t="str">
        <f t="shared" si="22"/>
        <v/>
      </c>
      <c r="J294" s="30" t="str">
        <f t="shared" si="23"/>
        <v/>
      </c>
      <c r="K294" s="30" t="str">
        <f t="shared" si="24"/>
        <v/>
      </c>
      <c r="M294" s="11"/>
    </row>
    <row r="295" spans="1:13" ht="15" x14ac:dyDescent="0.25">
      <c r="A295" s="1" t="str">
        <f>IF('1.1 Produksi Bersih Padi 2025'!A295="","",'1.1 Produksi Bersih Padi 2025'!A295)</f>
        <v/>
      </c>
      <c r="B295" s="31" t="str">
        <f>IF('1.1 Produksi Bersih Padi 2025'!B295="","",'1.1 Produksi Bersih Padi 2025'!B295)</f>
        <v/>
      </c>
      <c r="C295" s="31" t="str">
        <f>IF('1.1 Produksi Bersih Padi 2025'!C295="","",'1.1 Produksi Bersih Padi 2025'!C295)</f>
        <v/>
      </c>
      <c r="D295" s="1" t="str">
        <f>IF('1.1 Produksi Bersih Padi 2025'!D295="","",'1.1 Produksi Bersih Padi 2025'!D295)</f>
        <v/>
      </c>
      <c r="E295" s="1" t="str">
        <f>IF('1.1 Produksi Bersih Padi 2025'!E295="","",'1.1 Produksi Bersih Padi 2025'!E295)</f>
        <v/>
      </c>
      <c r="F295" s="28" t="str">
        <f>IF(D295="","",VLOOKUP(D295,'[1]0.1 Produksi Pangan &amp; Penduduk'!$D$5:$Y$860,22,0))</f>
        <v/>
      </c>
      <c r="G295" s="30" t="str">
        <f t="shared" si="20"/>
        <v/>
      </c>
      <c r="H295" s="30" t="str">
        <f t="shared" si="21"/>
        <v/>
      </c>
      <c r="I295" s="30" t="str">
        <f t="shared" si="22"/>
        <v/>
      </c>
      <c r="J295" s="30" t="str">
        <f t="shared" si="23"/>
        <v/>
      </c>
      <c r="K295" s="30" t="str">
        <f t="shared" si="24"/>
        <v/>
      </c>
      <c r="M295" s="11"/>
    </row>
    <row r="296" spans="1:13" ht="15" x14ac:dyDescent="0.25">
      <c r="A296" s="1" t="str">
        <f>IF('1.1 Produksi Bersih Padi 2025'!A296="","",'1.1 Produksi Bersih Padi 2025'!A296)</f>
        <v/>
      </c>
      <c r="B296" s="31" t="str">
        <f>IF('1.1 Produksi Bersih Padi 2025'!B296="","",'1.1 Produksi Bersih Padi 2025'!B296)</f>
        <v/>
      </c>
      <c r="C296" s="31" t="str">
        <f>IF('1.1 Produksi Bersih Padi 2025'!C296="","",'1.1 Produksi Bersih Padi 2025'!C296)</f>
        <v/>
      </c>
      <c r="D296" s="1" t="str">
        <f>IF('1.1 Produksi Bersih Padi 2025'!D296="","",'1.1 Produksi Bersih Padi 2025'!D296)</f>
        <v/>
      </c>
      <c r="E296" s="1" t="str">
        <f>IF('1.1 Produksi Bersih Padi 2025'!E296="","",'1.1 Produksi Bersih Padi 2025'!E296)</f>
        <v/>
      </c>
      <c r="F296" s="28" t="str">
        <f>IF(D296="","",VLOOKUP(D296,'[1]0.1 Produksi Pangan &amp; Penduduk'!$D$5:$Y$860,22,0))</f>
        <v/>
      </c>
      <c r="G296" s="30" t="str">
        <f t="shared" si="20"/>
        <v/>
      </c>
      <c r="H296" s="30" t="str">
        <f t="shared" si="21"/>
        <v/>
      </c>
      <c r="I296" s="30" t="str">
        <f t="shared" si="22"/>
        <v/>
      </c>
      <c r="J296" s="30" t="str">
        <f t="shared" si="23"/>
        <v/>
      </c>
      <c r="K296" s="30" t="str">
        <f t="shared" si="24"/>
        <v/>
      </c>
      <c r="M296" s="11"/>
    </row>
    <row r="297" spans="1:13" ht="15" x14ac:dyDescent="0.25">
      <c r="A297" s="1" t="str">
        <f>IF('1.1 Produksi Bersih Padi 2025'!A297="","",'1.1 Produksi Bersih Padi 2025'!A297)</f>
        <v/>
      </c>
      <c r="B297" s="31" t="str">
        <f>IF('1.1 Produksi Bersih Padi 2025'!B297="","",'1.1 Produksi Bersih Padi 2025'!B297)</f>
        <v/>
      </c>
      <c r="C297" s="31" t="str">
        <f>IF('1.1 Produksi Bersih Padi 2025'!C297="","",'1.1 Produksi Bersih Padi 2025'!C297)</f>
        <v/>
      </c>
      <c r="D297" s="1" t="str">
        <f>IF('1.1 Produksi Bersih Padi 2025'!D297="","",'1.1 Produksi Bersih Padi 2025'!D297)</f>
        <v/>
      </c>
      <c r="E297" s="1" t="str">
        <f>IF('1.1 Produksi Bersih Padi 2025'!E297="","",'1.1 Produksi Bersih Padi 2025'!E297)</f>
        <v/>
      </c>
      <c r="F297" s="28" t="str">
        <f>IF(D297="","",VLOOKUP(D297,'[1]0.1 Produksi Pangan &amp; Penduduk'!$D$5:$Y$860,22,0))</f>
        <v/>
      </c>
      <c r="G297" s="30" t="str">
        <f t="shared" si="20"/>
        <v/>
      </c>
      <c r="H297" s="30" t="str">
        <f t="shared" si="21"/>
        <v/>
      </c>
      <c r="I297" s="30" t="str">
        <f t="shared" si="22"/>
        <v/>
      </c>
      <c r="J297" s="30" t="str">
        <f t="shared" si="23"/>
        <v/>
      </c>
      <c r="K297" s="30" t="str">
        <f t="shared" si="24"/>
        <v/>
      </c>
      <c r="M297" s="11"/>
    </row>
    <row r="298" spans="1:13" ht="15" x14ac:dyDescent="0.25">
      <c r="A298" s="1" t="str">
        <f>IF('1.1 Produksi Bersih Padi 2025'!A298="","",'1.1 Produksi Bersih Padi 2025'!A298)</f>
        <v/>
      </c>
      <c r="B298" s="31" t="str">
        <f>IF('1.1 Produksi Bersih Padi 2025'!B298="","",'1.1 Produksi Bersih Padi 2025'!B298)</f>
        <v/>
      </c>
      <c r="C298" s="31" t="str">
        <f>IF('1.1 Produksi Bersih Padi 2025'!C298="","",'1.1 Produksi Bersih Padi 2025'!C298)</f>
        <v/>
      </c>
      <c r="D298" s="1" t="str">
        <f>IF('1.1 Produksi Bersih Padi 2025'!D298="","",'1.1 Produksi Bersih Padi 2025'!D298)</f>
        <v/>
      </c>
      <c r="E298" s="1" t="str">
        <f>IF('1.1 Produksi Bersih Padi 2025'!E298="","",'1.1 Produksi Bersih Padi 2025'!E298)</f>
        <v/>
      </c>
      <c r="F298" s="28" t="str">
        <f>IF(D298="","",VLOOKUP(D298,'[1]0.1 Produksi Pangan &amp; Penduduk'!$D$5:$Y$860,22,0))</f>
        <v/>
      </c>
      <c r="G298" s="30" t="str">
        <f t="shared" si="20"/>
        <v/>
      </c>
      <c r="H298" s="30" t="str">
        <f t="shared" si="21"/>
        <v/>
      </c>
      <c r="I298" s="30" t="str">
        <f t="shared" si="22"/>
        <v/>
      </c>
      <c r="J298" s="30" t="str">
        <f t="shared" si="23"/>
        <v/>
      </c>
      <c r="K298" s="30" t="str">
        <f t="shared" si="24"/>
        <v/>
      </c>
      <c r="M298" s="11"/>
    </row>
    <row r="299" spans="1:13" ht="15" x14ac:dyDescent="0.25">
      <c r="A299" s="1" t="str">
        <f>IF('1.1 Produksi Bersih Padi 2025'!A299="","",'1.1 Produksi Bersih Padi 2025'!A299)</f>
        <v/>
      </c>
      <c r="B299" s="31" t="str">
        <f>IF('1.1 Produksi Bersih Padi 2025'!B299="","",'1.1 Produksi Bersih Padi 2025'!B299)</f>
        <v/>
      </c>
      <c r="C299" s="31" t="str">
        <f>IF('1.1 Produksi Bersih Padi 2025'!C299="","",'1.1 Produksi Bersih Padi 2025'!C299)</f>
        <v/>
      </c>
      <c r="D299" s="1" t="str">
        <f>IF('1.1 Produksi Bersih Padi 2025'!D299="","",'1.1 Produksi Bersih Padi 2025'!D299)</f>
        <v/>
      </c>
      <c r="E299" s="1" t="str">
        <f>IF('1.1 Produksi Bersih Padi 2025'!E299="","",'1.1 Produksi Bersih Padi 2025'!E299)</f>
        <v/>
      </c>
      <c r="F299" s="28" t="str">
        <f>IF(D299="","",VLOOKUP(D299,'[1]0.1 Produksi Pangan &amp; Penduduk'!$D$5:$Y$860,22,0))</f>
        <v/>
      </c>
      <c r="G299" s="30" t="str">
        <f t="shared" si="20"/>
        <v/>
      </c>
      <c r="H299" s="30" t="str">
        <f t="shared" si="21"/>
        <v/>
      </c>
      <c r="I299" s="30" t="str">
        <f t="shared" si="22"/>
        <v/>
      </c>
      <c r="J299" s="30" t="str">
        <f t="shared" si="23"/>
        <v/>
      </c>
      <c r="K299" s="30" t="str">
        <f t="shared" si="24"/>
        <v/>
      </c>
      <c r="M299" s="11"/>
    </row>
    <row r="300" spans="1:13" ht="15" x14ac:dyDescent="0.25">
      <c r="A300" s="1" t="str">
        <f>IF('1.1 Produksi Bersih Padi 2025'!A300="","",'1.1 Produksi Bersih Padi 2025'!A300)</f>
        <v/>
      </c>
      <c r="B300" s="31" t="str">
        <f>IF('1.1 Produksi Bersih Padi 2025'!B300="","",'1.1 Produksi Bersih Padi 2025'!B300)</f>
        <v/>
      </c>
      <c r="C300" s="31" t="str">
        <f>IF('1.1 Produksi Bersih Padi 2025'!C300="","",'1.1 Produksi Bersih Padi 2025'!C300)</f>
        <v/>
      </c>
      <c r="D300" s="1" t="str">
        <f>IF('1.1 Produksi Bersih Padi 2025'!D300="","",'1.1 Produksi Bersih Padi 2025'!D300)</f>
        <v/>
      </c>
      <c r="E300" s="1" t="str">
        <f>IF('1.1 Produksi Bersih Padi 2025'!E300="","",'1.1 Produksi Bersih Padi 2025'!E300)</f>
        <v/>
      </c>
      <c r="F300" s="28" t="str">
        <f>IF(D300="","",VLOOKUP(D300,'[1]0.1 Produksi Pangan &amp; Penduduk'!$D$5:$Y$860,22,0))</f>
        <v/>
      </c>
      <c r="G300" s="30" t="str">
        <f t="shared" si="20"/>
        <v/>
      </c>
      <c r="H300" s="30" t="str">
        <f t="shared" si="21"/>
        <v/>
      </c>
      <c r="I300" s="30" t="str">
        <f t="shared" si="22"/>
        <v/>
      </c>
      <c r="J300" s="30" t="str">
        <f t="shared" si="23"/>
        <v/>
      </c>
      <c r="K300" s="30" t="str">
        <f t="shared" si="24"/>
        <v/>
      </c>
      <c r="M300" s="11"/>
    </row>
    <row r="301" spans="1:13" ht="15" x14ac:dyDescent="0.25">
      <c r="A301" s="1" t="str">
        <f>IF('1.1 Produksi Bersih Padi 2025'!A301="","",'1.1 Produksi Bersih Padi 2025'!A301)</f>
        <v/>
      </c>
      <c r="B301" s="31" t="str">
        <f>IF('1.1 Produksi Bersih Padi 2025'!B301="","",'1.1 Produksi Bersih Padi 2025'!B301)</f>
        <v/>
      </c>
      <c r="C301" s="31" t="str">
        <f>IF('1.1 Produksi Bersih Padi 2025'!C301="","",'1.1 Produksi Bersih Padi 2025'!C301)</f>
        <v/>
      </c>
      <c r="D301" s="1" t="str">
        <f>IF('1.1 Produksi Bersih Padi 2025'!D301="","",'1.1 Produksi Bersih Padi 2025'!D301)</f>
        <v/>
      </c>
      <c r="E301" s="1" t="str">
        <f>IF('1.1 Produksi Bersih Padi 2025'!E301="","",'1.1 Produksi Bersih Padi 2025'!E301)</f>
        <v/>
      </c>
      <c r="F301" s="28" t="str">
        <f>IF(D301="","",VLOOKUP(D301,'[1]0.1 Produksi Pangan &amp; Penduduk'!$D$5:$Y$860,22,0))</f>
        <v/>
      </c>
      <c r="G301" s="30" t="str">
        <f t="shared" si="20"/>
        <v/>
      </c>
      <c r="H301" s="30" t="str">
        <f t="shared" si="21"/>
        <v/>
      </c>
      <c r="I301" s="30" t="str">
        <f t="shared" si="22"/>
        <v/>
      </c>
      <c r="J301" s="30" t="str">
        <f t="shared" si="23"/>
        <v/>
      </c>
      <c r="K301" s="30" t="str">
        <f t="shared" si="24"/>
        <v/>
      </c>
      <c r="M301" s="11"/>
    </row>
    <row r="302" spans="1:13" ht="15" x14ac:dyDescent="0.25">
      <c r="A302" s="1" t="str">
        <f>IF('1.1 Produksi Bersih Padi 2025'!A302="","",'1.1 Produksi Bersih Padi 2025'!A302)</f>
        <v/>
      </c>
      <c r="B302" s="31" t="str">
        <f>IF('1.1 Produksi Bersih Padi 2025'!B302="","",'1.1 Produksi Bersih Padi 2025'!B302)</f>
        <v/>
      </c>
      <c r="C302" s="31" t="str">
        <f>IF('1.1 Produksi Bersih Padi 2025'!C302="","",'1.1 Produksi Bersih Padi 2025'!C302)</f>
        <v/>
      </c>
      <c r="D302" s="1" t="str">
        <f>IF('1.1 Produksi Bersih Padi 2025'!D302="","",'1.1 Produksi Bersih Padi 2025'!D302)</f>
        <v/>
      </c>
      <c r="E302" s="1" t="str">
        <f>IF('1.1 Produksi Bersih Padi 2025'!E302="","",'1.1 Produksi Bersih Padi 2025'!E302)</f>
        <v/>
      </c>
      <c r="F302" s="28" t="str">
        <f>IF(D302="","",VLOOKUP(D302,'[1]0.1 Produksi Pangan &amp; Penduduk'!$D$5:$Y$860,22,0))</f>
        <v/>
      </c>
      <c r="G302" s="30" t="str">
        <f t="shared" si="20"/>
        <v/>
      </c>
      <c r="H302" s="30" t="str">
        <f t="shared" si="21"/>
        <v/>
      </c>
      <c r="I302" s="30" t="str">
        <f t="shared" si="22"/>
        <v/>
      </c>
      <c r="J302" s="30" t="str">
        <f t="shared" si="23"/>
        <v/>
      </c>
      <c r="K302" s="30" t="str">
        <f t="shared" si="24"/>
        <v/>
      </c>
      <c r="M302" s="11"/>
    </row>
    <row r="303" spans="1:13" ht="15" x14ac:dyDescent="0.25">
      <c r="A303" s="1" t="str">
        <f>IF('1.1 Produksi Bersih Padi 2025'!A303="","",'1.1 Produksi Bersih Padi 2025'!A303)</f>
        <v/>
      </c>
      <c r="B303" s="31" t="str">
        <f>IF('1.1 Produksi Bersih Padi 2025'!B303="","",'1.1 Produksi Bersih Padi 2025'!B303)</f>
        <v/>
      </c>
      <c r="C303" s="31" t="str">
        <f>IF('1.1 Produksi Bersih Padi 2025'!C303="","",'1.1 Produksi Bersih Padi 2025'!C303)</f>
        <v/>
      </c>
      <c r="D303" s="1" t="str">
        <f>IF('1.1 Produksi Bersih Padi 2025'!D303="","",'1.1 Produksi Bersih Padi 2025'!D303)</f>
        <v/>
      </c>
      <c r="E303" s="1" t="str">
        <f>IF('1.1 Produksi Bersih Padi 2025'!E303="","",'1.1 Produksi Bersih Padi 2025'!E303)</f>
        <v/>
      </c>
      <c r="F303" s="28" t="str">
        <f>IF(D303="","",VLOOKUP(D303,'[1]0.1 Produksi Pangan &amp; Penduduk'!$D$5:$Y$860,22,0))</f>
        <v/>
      </c>
      <c r="G303" s="30" t="str">
        <f t="shared" si="20"/>
        <v/>
      </c>
      <c r="H303" s="30" t="str">
        <f t="shared" si="21"/>
        <v/>
      </c>
      <c r="I303" s="30" t="str">
        <f t="shared" si="22"/>
        <v/>
      </c>
      <c r="J303" s="30" t="str">
        <f t="shared" si="23"/>
        <v/>
      </c>
      <c r="K303" s="30" t="str">
        <f t="shared" si="24"/>
        <v/>
      </c>
      <c r="M303" s="11"/>
    </row>
    <row r="304" spans="1:13" ht="15" x14ac:dyDescent="0.25">
      <c r="A304" s="1" t="str">
        <f>IF('1.1 Produksi Bersih Padi 2025'!A304="","",'1.1 Produksi Bersih Padi 2025'!A304)</f>
        <v/>
      </c>
      <c r="B304" s="31" t="str">
        <f>IF('1.1 Produksi Bersih Padi 2025'!B304="","",'1.1 Produksi Bersih Padi 2025'!B304)</f>
        <v/>
      </c>
      <c r="C304" s="31" t="str">
        <f>IF('1.1 Produksi Bersih Padi 2025'!C304="","",'1.1 Produksi Bersih Padi 2025'!C304)</f>
        <v/>
      </c>
      <c r="D304" s="1" t="str">
        <f>IF('1.1 Produksi Bersih Padi 2025'!D304="","",'1.1 Produksi Bersih Padi 2025'!D304)</f>
        <v/>
      </c>
      <c r="E304" s="1" t="str">
        <f>IF('1.1 Produksi Bersih Padi 2025'!E304="","",'1.1 Produksi Bersih Padi 2025'!E304)</f>
        <v/>
      </c>
      <c r="F304" s="28" t="str">
        <f>IF(D304="","",VLOOKUP(D304,'[1]0.1 Produksi Pangan &amp; Penduduk'!$D$5:$Y$860,22,0))</f>
        <v/>
      </c>
      <c r="G304" s="30" t="str">
        <f t="shared" si="20"/>
        <v/>
      </c>
      <c r="H304" s="30" t="str">
        <f t="shared" si="21"/>
        <v/>
      </c>
      <c r="I304" s="30" t="str">
        <f t="shared" si="22"/>
        <v/>
      </c>
      <c r="J304" s="30" t="str">
        <f t="shared" si="23"/>
        <v/>
      </c>
      <c r="K304" s="30" t="str">
        <f t="shared" si="24"/>
        <v/>
      </c>
      <c r="M304" s="11"/>
    </row>
    <row r="305" spans="1:13" ht="15" x14ac:dyDescent="0.25">
      <c r="A305" s="1" t="str">
        <f>IF('1.1 Produksi Bersih Padi 2025'!A305="","",'1.1 Produksi Bersih Padi 2025'!A305)</f>
        <v/>
      </c>
      <c r="B305" s="31" t="str">
        <f>IF('1.1 Produksi Bersih Padi 2025'!B305="","",'1.1 Produksi Bersih Padi 2025'!B305)</f>
        <v/>
      </c>
      <c r="C305" s="31" t="str">
        <f>IF('1.1 Produksi Bersih Padi 2025'!C305="","",'1.1 Produksi Bersih Padi 2025'!C305)</f>
        <v/>
      </c>
      <c r="D305" s="1" t="str">
        <f>IF('1.1 Produksi Bersih Padi 2025'!D305="","",'1.1 Produksi Bersih Padi 2025'!D305)</f>
        <v/>
      </c>
      <c r="E305" s="1" t="str">
        <f>IF('1.1 Produksi Bersih Padi 2025'!E305="","",'1.1 Produksi Bersih Padi 2025'!E305)</f>
        <v/>
      </c>
      <c r="F305" s="28" t="str">
        <f>IF(D305="","",VLOOKUP(D305,'[1]0.1 Produksi Pangan &amp; Penduduk'!$D$5:$Y$860,22,0))</f>
        <v/>
      </c>
      <c r="G305" s="30" t="str">
        <f t="shared" si="20"/>
        <v/>
      </c>
      <c r="H305" s="30" t="str">
        <f t="shared" si="21"/>
        <v/>
      </c>
      <c r="I305" s="30" t="str">
        <f t="shared" si="22"/>
        <v/>
      </c>
      <c r="J305" s="30" t="str">
        <f t="shared" si="23"/>
        <v/>
      </c>
      <c r="K305" s="30" t="str">
        <f t="shared" si="24"/>
        <v/>
      </c>
      <c r="M305" s="11"/>
    </row>
    <row r="306" spans="1:13" ht="15" x14ac:dyDescent="0.25">
      <c r="A306" s="1" t="str">
        <f>IF('1.1 Produksi Bersih Padi 2025'!A306="","",'1.1 Produksi Bersih Padi 2025'!A306)</f>
        <v/>
      </c>
      <c r="B306" s="31" t="str">
        <f>IF('1.1 Produksi Bersih Padi 2025'!B306="","",'1.1 Produksi Bersih Padi 2025'!B306)</f>
        <v/>
      </c>
      <c r="C306" s="31" t="str">
        <f>IF('1.1 Produksi Bersih Padi 2025'!C306="","",'1.1 Produksi Bersih Padi 2025'!C306)</f>
        <v/>
      </c>
      <c r="D306" s="1" t="str">
        <f>IF('1.1 Produksi Bersih Padi 2025'!D306="","",'1.1 Produksi Bersih Padi 2025'!D306)</f>
        <v/>
      </c>
      <c r="E306" s="1" t="str">
        <f>IF('1.1 Produksi Bersih Padi 2025'!E306="","",'1.1 Produksi Bersih Padi 2025'!E306)</f>
        <v/>
      </c>
      <c r="F306" s="28" t="str">
        <f>IF(D306="","",VLOOKUP(D306,'[1]0.1 Produksi Pangan &amp; Penduduk'!$D$5:$Y$860,22,0))</f>
        <v/>
      </c>
      <c r="G306" s="30" t="str">
        <f t="shared" si="20"/>
        <v/>
      </c>
      <c r="H306" s="30" t="str">
        <f t="shared" si="21"/>
        <v/>
      </c>
      <c r="I306" s="30" t="str">
        <f t="shared" si="22"/>
        <v/>
      </c>
      <c r="J306" s="30" t="str">
        <f t="shared" si="23"/>
        <v/>
      </c>
      <c r="K306" s="30" t="str">
        <f t="shared" si="24"/>
        <v/>
      </c>
      <c r="M306" s="11"/>
    </row>
    <row r="307" spans="1:13" ht="15" x14ac:dyDescent="0.25">
      <c r="A307" s="1" t="str">
        <f>IF('1.1 Produksi Bersih Padi 2025'!A307="","",'1.1 Produksi Bersih Padi 2025'!A307)</f>
        <v/>
      </c>
      <c r="B307" s="31" t="str">
        <f>IF('1.1 Produksi Bersih Padi 2025'!B307="","",'1.1 Produksi Bersih Padi 2025'!B307)</f>
        <v/>
      </c>
      <c r="C307" s="31" t="str">
        <f>IF('1.1 Produksi Bersih Padi 2025'!C307="","",'1.1 Produksi Bersih Padi 2025'!C307)</f>
        <v/>
      </c>
      <c r="D307" s="1" t="str">
        <f>IF('1.1 Produksi Bersih Padi 2025'!D307="","",'1.1 Produksi Bersih Padi 2025'!D307)</f>
        <v/>
      </c>
      <c r="E307" s="1" t="str">
        <f>IF('1.1 Produksi Bersih Padi 2025'!E307="","",'1.1 Produksi Bersih Padi 2025'!E307)</f>
        <v/>
      </c>
      <c r="F307" s="28" t="str">
        <f>IF(D307="","",VLOOKUP(D307,'[1]0.1 Produksi Pangan &amp; Penduduk'!$D$5:$Y$860,22,0))</f>
        <v/>
      </c>
      <c r="G307" s="30" t="str">
        <f t="shared" si="20"/>
        <v/>
      </c>
      <c r="H307" s="30" t="str">
        <f t="shared" si="21"/>
        <v/>
      </c>
      <c r="I307" s="30" t="str">
        <f t="shared" si="22"/>
        <v/>
      </c>
      <c r="J307" s="30" t="str">
        <f t="shared" si="23"/>
        <v/>
      </c>
      <c r="K307" s="30" t="str">
        <f t="shared" si="24"/>
        <v/>
      </c>
      <c r="M307" s="11"/>
    </row>
    <row r="308" spans="1:13" ht="15" x14ac:dyDescent="0.25">
      <c r="A308" s="1" t="str">
        <f>IF('1.1 Produksi Bersih Padi 2025'!A308="","",'1.1 Produksi Bersih Padi 2025'!A308)</f>
        <v/>
      </c>
      <c r="B308" s="31" t="str">
        <f>IF('1.1 Produksi Bersih Padi 2025'!B308="","",'1.1 Produksi Bersih Padi 2025'!B308)</f>
        <v/>
      </c>
      <c r="C308" s="31" t="str">
        <f>IF('1.1 Produksi Bersih Padi 2025'!C308="","",'1.1 Produksi Bersih Padi 2025'!C308)</f>
        <v/>
      </c>
      <c r="D308" s="1" t="str">
        <f>IF('1.1 Produksi Bersih Padi 2025'!D308="","",'1.1 Produksi Bersih Padi 2025'!D308)</f>
        <v/>
      </c>
      <c r="E308" s="1" t="str">
        <f>IF('1.1 Produksi Bersih Padi 2025'!E308="","",'1.1 Produksi Bersih Padi 2025'!E308)</f>
        <v/>
      </c>
      <c r="F308" s="28" t="str">
        <f>IF(D308="","",VLOOKUP(D308,'[1]0.1 Produksi Pangan &amp; Penduduk'!$D$5:$Y$860,22,0))</f>
        <v/>
      </c>
      <c r="G308" s="30" t="str">
        <f t="shared" si="20"/>
        <v/>
      </c>
      <c r="H308" s="30" t="str">
        <f t="shared" si="21"/>
        <v/>
      </c>
      <c r="I308" s="30" t="str">
        <f t="shared" si="22"/>
        <v/>
      </c>
      <c r="J308" s="30" t="str">
        <f t="shared" si="23"/>
        <v/>
      </c>
      <c r="K308" s="30" t="str">
        <f t="shared" si="24"/>
        <v/>
      </c>
      <c r="M308" s="11"/>
    </row>
    <row r="309" spans="1:13" ht="15" x14ac:dyDescent="0.25">
      <c r="A309" s="1" t="str">
        <f>IF('1.1 Produksi Bersih Padi 2025'!A309="","",'1.1 Produksi Bersih Padi 2025'!A309)</f>
        <v/>
      </c>
      <c r="B309" s="31" t="str">
        <f>IF('1.1 Produksi Bersih Padi 2025'!B309="","",'1.1 Produksi Bersih Padi 2025'!B309)</f>
        <v/>
      </c>
      <c r="C309" s="31" t="str">
        <f>IF('1.1 Produksi Bersih Padi 2025'!C309="","",'1.1 Produksi Bersih Padi 2025'!C309)</f>
        <v/>
      </c>
      <c r="D309" s="1" t="str">
        <f>IF('1.1 Produksi Bersih Padi 2025'!D309="","",'1.1 Produksi Bersih Padi 2025'!D309)</f>
        <v/>
      </c>
      <c r="E309" s="1" t="str">
        <f>IF('1.1 Produksi Bersih Padi 2025'!E309="","",'1.1 Produksi Bersih Padi 2025'!E309)</f>
        <v/>
      </c>
      <c r="F309" s="28" t="str">
        <f>IF(D309="","",VLOOKUP(D309,'[1]0.1 Produksi Pangan &amp; Penduduk'!$D$5:$Y$860,22,0))</f>
        <v/>
      </c>
      <c r="G309" s="30" t="str">
        <f t="shared" si="20"/>
        <v/>
      </c>
      <c r="H309" s="30" t="str">
        <f t="shared" si="21"/>
        <v/>
      </c>
      <c r="I309" s="30" t="str">
        <f t="shared" si="22"/>
        <v/>
      </c>
      <c r="J309" s="30" t="str">
        <f t="shared" si="23"/>
        <v/>
      </c>
      <c r="K309" s="30" t="str">
        <f t="shared" si="24"/>
        <v/>
      </c>
      <c r="M309" s="11"/>
    </row>
    <row r="310" spans="1:13" ht="15" x14ac:dyDescent="0.25">
      <c r="A310" s="1" t="str">
        <f>IF('1.1 Produksi Bersih Padi 2025'!A310="","",'1.1 Produksi Bersih Padi 2025'!A310)</f>
        <v/>
      </c>
      <c r="B310" s="31" t="str">
        <f>IF('1.1 Produksi Bersih Padi 2025'!B310="","",'1.1 Produksi Bersih Padi 2025'!B310)</f>
        <v/>
      </c>
      <c r="C310" s="31" t="str">
        <f>IF('1.1 Produksi Bersih Padi 2025'!C310="","",'1.1 Produksi Bersih Padi 2025'!C310)</f>
        <v/>
      </c>
      <c r="D310" s="1" t="str">
        <f>IF('1.1 Produksi Bersih Padi 2025'!D310="","",'1.1 Produksi Bersih Padi 2025'!D310)</f>
        <v/>
      </c>
      <c r="E310" s="1" t="str">
        <f>IF('1.1 Produksi Bersih Padi 2025'!E310="","",'1.1 Produksi Bersih Padi 2025'!E310)</f>
        <v/>
      </c>
      <c r="F310" s="28" t="str">
        <f>IF(D310="","",VLOOKUP(D310,'[1]0.1 Produksi Pangan &amp; Penduduk'!$D$5:$Y$860,22,0))</f>
        <v/>
      </c>
      <c r="G310" s="30" t="str">
        <f t="shared" si="20"/>
        <v/>
      </c>
      <c r="H310" s="30" t="str">
        <f t="shared" si="21"/>
        <v/>
      </c>
      <c r="I310" s="30" t="str">
        <f t="shared" si="22"/>
        <v/>
      </c>
      <c r="J310" s="30" t="str">
        <f t="shared" si="23"/>
        <v/>
      </c>
      <c r="K310" s="30" t="str">
        <f t="shared" si="24"/>
        <v/>
      </c>
      <c r="M310" s="11"/>
    </row>
    <row r="311" spans="1:13" ht="15" x14ac:dyDescent="0.25">
      <c r="A311" s="1" t="str">
        <f>IF('1.1 Produksi Bersih Padi 2025'!A311="","",'1.1 Produksi Bersih Padi 2025'!A311)</f>
        <v/>
      </c>
      <c r="B311" s="31" t="str">
        <f>IF('1.1 Produksi Bersih Padi 2025'!B311="","",'1.1 Produksi Bersih Padi 2025'!B311)</f>
        <v/>
      </c>
      <c r="C311" s="31" t="str">
        <f>IF('1.1 Produksi Bersih Padi 2025'!C311="","",'1.1 Produksi Bersih Padi 2025'!C311)</f>
        <v/>
      </c>
      <c r="D311" s="1" t="str">
        <f>IF('1.1 Produksi Bersih Padi 2025'!D311="","",'1.1 Produksi Bersih Padi 2025'!D311)</f>
        <v/>
      </c>
      <c r="E311" s="1" t="str">
        <f>IF('1.1 Produksi Bersih Padi 2025'!E311="","",'1.1 Produksi Bersih Padi 2025'!E311)</f>
        <v/>
      </c>
      <c r="F311" s="28" t="str">
        <f>IF(D311="","",VLOOKUP(D311,'[1]0.1 Produksi Pangan &amp; Penduduk'!$D$5:$Y$860,22,0))</f>
        <v/>
      </c>
      <c r="G311" s="30" t="str">
        <f t="shared" si="20"/>
        <v/>
      </c>
      <c r="H311" s="30" t="str">
        <f t="shared" si="21"/>
        <v/>
      </c>
      <c r="I311" s="30" t="str">
        <f t="shared" si="22"/>
        <v/>
      </c>
      <c r="J311" s="30" t="str">
        <f t="shared" si="23"/>
        <v/>
      </c>
      <c r="K311" s="30" t="str">
        <f t="shared" si="24"/>
        <v/>
      </c>
      <c r="M311" s="11"/>
    </row>
    <row r="312" spans="1:13" ht="15" x14ac:dyDescent="0.25">
      <c r="A312" s="1" t="str">
        <f>IF('1.1 Produksi Bersih Padi 2025'!A312="","",'1.1 Produksi Bersih Padi 2025'!A312)</f>
        <v/>
      </c>
      <c r="B312" s="31" t="str">
        <f>IF('1.1 Produksi Bersih Padi 2025'!B312="","",'1.1 Produksi Bersih Padi 2025'!B312)</f>
        <v/>
      </c>
      <c r="C312" s="31" t="str">
        <f>IF('1.1 Produksi Bersih Padi 2025'!C312="","",'1.1 Produksi Bersih Padi 2025'!C312)</f>
        <v/>
      </c>
      <c r="D312" s="1" t="str">
        <f>IF('1.1 Produksi Bersih Padi 2025'!D312="","",'1.1 Produksi Bersih Padi 2025'!D312)</f>
        <v/>
      </c>
      <c r="E312" s="1" t="str">
        <f>IF('1.1 Produksi Bersih Padi 2025'!E312="","",'1.1 Produksi Bersih Padi 2025'!E312)</f>
        <v/>
      </c>
      <c r="F312" s="28" t="str">
        <f>IF(D312="","",VLOOKUP(D312,'[1]0.1 Produksi Pangan &amp; Penduduk'!$D$5:$Y$860,22,0))</f>
        <v/>
      </c>
      <c r="G312" s="30" t="str">
        <f t="shared" si="20"/>
        <v/>
      </c>
      <c r="H312" s="30" t="str">
        <f t="shared" si="21"/>
        <v/>
      </c>
      <c r="I312" s="30" t="str">
        <f t="shared" si="22"/>
        <v/>
      </c>
      <c r="J312" s="30" t="str">
        <f t="shared" si="23"/>
        <v/>
      </c>
      <c r="K312" s="30" t="str">
        <f t="shared" si="24"/>
        <v/>
      </c>
      <c r="M312" s="11"/>
    </row>
    <row r="313" spans="1:13" ht="15" x14ac:dyDescent="0.25">
      <c r="A313" s="1" t="str">
        <f>IF('1.1 Produksi Bersih Padi 2025'!A313="","",'1.1 Produksi Bersih Padi 2025'!A313)</f>
        <v/>
      </c>
      <c r="B313" s="31" t="str">
        <f>IF('1.1 Produksi Bersih Padi 2025'!B313="","",'1.1 Produksi Bersih Padi 2025'!B313)</f>
        <v/>
      </c>
      <c r="C313" s="31" t="str">
        <f>IF('1.1 Produksi Bersih Padi 2025'!C313="","",'1.1 Produksi Bersih Padi 2025'!C313)</f>
        <v/>
      </c>
      <c r="D313" s="1" t="str">
        <f>IF('1.1 Produksi Bersih Padi 2025'!D313="","",'1.1 Produksi Bersih Padi 2025'!D313)</f>
        <v/>
      </c>
      <c r="E313" s="1" t="str">
        <f>IF('1.1 Produksi Bersih Padi 2025'!E313="","",'1.1 Produksi Bersih Padi 2025'!E313)</f>
        <v/>
      </c>
      <c r="F313" s="28" t="str">
        <f>IF(D313="","",VLOOKUP(D313,'[1]0.1 Produksi Pangan &amp; Penduduk'!$D$5:$Y$860,22,0))</f>
        <v/>
      </c>
      <c r="G313" s="30" t="str">
        <f t="shared" si="20"/>
        <v/>
      </c>
      <c r="H313" s="30" t="str">
        <f t="shared" si="21"/>
        <v/>
      </c>
      <c r="I313" s="30" t="str">
        <f t="shared" si="22"/>
        <v/>
      </c>
      <c r="J313" s="30" t="str">
        <f t="shared" si="23"/>
        <v/>
      </c>
      <c r="K313" s="30" t="str">
        <f t="shared" si="24"/>
        <v/>
      </c>
      <c r="M313" s="11"/>
    </row>
    <row r="314" spans="1:13" ht="15" x14ac:dyDescent="0.25">
      <c r="A314" s="1" t="str">
        <f>IF('1.1 Produksi Bersih Padi 2025'!A314="","",'1.1 Produksi Bersih Padi 2025'!A314)</f>
        <v/>
      </c>
      <c r="B314" s="31" t="str">
        <f>IF('1.1 Produksi Bersih Padi 2025'!B314="","",'1.1 Produksi Bersih Padi 2025'!B314)</f>
        <v/>
      </c>
      <c r="C314" s="31" t="str">
        <f>IF('1.1 Produksi Bersih Padi 2025'!C314="","",'1.1 Produksi Bersih Padi 2025'!C314)</f>
        <v/>
      </c>
      <c r="D314" s="1" t="str">
        <f>IF('1.1 Produksi Bersih Padi 2025'!D314="","",'1.1 Produksi Bersih Padi 2025'!D314)</f>
        <v/>
      </c>
      <c r="E314" s="1" t="str">
        <f>IF('1.1 Produksi Bersih Padi 2025'!E314="","",'1.1 Produksi Bersih Padi 2025'!E314)</f>
        <v/>
      </c>
      <c r="F314" s="28" t="str">
        <f>IF(D314="","",VLOOKUP(D314,'[1]0.1 Produksi Pangan &amp; Penduduk'!$D$5:$Y$860,22,0))</f>
        <v/>
      </c>
      <c r="G314" s="30" t="str">
        <f t="shared" si="20"/>
        <v/>
      </c>
      <c r="H314" s="30" t="str">
        <f t="shared" si="21"/>
        <v/>
      </c>
      <c r="I314" s="30" t="str">
        <f t="shared" si="22"/>
        <v/>
      </c>
      <c r="J314" s="30" t="str">
        <f t="shared" si="23"/>
        <v/>
      </c>
      <c r="K314" s="30" t="str">
        <f t="shared" si="24"/>
        <v/>
      </c>
      <c r="M314" s="11"/>
    </row>
    <row r="315" spans="1:13" ht="15" x14ac:dyDescent="0.25">
      <c r="A315" s="1" t="str">
        <f>IF('1.1 Produksi Bersih Padi 2025'!A315="","",'1.1 Produksi Bersih Padi 2025'!A315)</f>
        <v/>
      </c>
      <c r="B315" s="31" t="str">
        <f>IF('1.1 Produksi Bersih Padi 2025'!B315="","",'1.1 Produksi Bersih Padi 2025'!B315)</f>
        <v/>
      </c>
      <c r="C315" s="31" t="str">
        <f>IF('1.1 Produksi Bersih Padi 2025'!C315="","",'1.1 Produksi Bersih Padi 2025'!C315)</f>
        <v/>
      </c>
      <c r="D315" s="1" t="str">
        <f>IF('1.1 Produksi Bersih Padi 2025'!D315="","",'1.1 Produksi Bersih Padi 2025'!D315)</f>
        <v/>
      </c>
      <c r="E315" s="1" t="str">
        <f>IF('1.1 Produksi Bersih Padi 2025'!E315="","",'1.1 Produksi Bersih Padi 2025'!E315)</f>
        <v/>
      </c>
      <c r="F315" s="28" t="str">
        <f>IF(D315="","",VLOOKUP(D315,'[1]0.1 Produksi Pangan &amp; Penduduk'!$D$5:$Y$860,22,0))</f>
        <v/>
      </c>
      <c r="G315" s="30" t="str">
        <f t="shared" si="20"/>
        <v/>
      </c>
      <c r="H315" s="30" t="str">
        <f t="shared" si="21"/>
        <v/>
      </c>
      <c r="I315" s="30" t="str">
        <f t="shared" si="22"/>
        <v/>
      </c>
      <c r="J315" s="30" t="str">
        <f t="shared" si="23"/>
        <v/>
      </c>
      <c r="K315" s="30" t="str">
        <f t="shared" si="24"/>
        <v/>
      </c>
      <c r="M315" s="11"/>
    </row>
    <row r="316" spans="1:13" ht="15" x14ac:dyDescent="0.25">
      <c r="A316" s="1" t="str">
        <f>IF('1.1 Produksi Bersih Padi 2025'!A316="","",'1.1 Produksi Bersih Padi 2025'!A316)</f>
        <v/>
      </c>
      <c r="B316" s="31" t="str">
        <f>IF('1.1 Produksi Bersih Padi 2025'!B316="","",'1.1 Produksi Bersih Padi 2025'!B316)</f>
        <v/>
      </c>
      <c r="C316" s="31" t="str">
        <f>IF('1.1 Produksi Bersih Padi 2025'!C316="","",'1.1 Produksi Bersih Padi 2025'!C316)</f>
        <v/>
      </c>
      <c r="D316" s="1" t="str">
        <f>IF('1.1 Produksi Bersih Padi 2025'!D316="","",'1.1 Produksi Bersih Padi 2025'!D316)</f>
        <v/>
      </c>
      <c r="E316" s="1" t="str">
        <f>IF('1.1 Produksi Bersih Padi 2025'!E316="","",'1.1 Produksi Bersih Padi 2025'!E316)</f>
        <v/>
      </c>
      <c r="F316" s="28" t="str">
        <f>IF(D316="","",VLOOKUP(D316,'[1]0.1 Produksi Pangan &amp; Penduduk'!$D$5:$Y$860,22,0))</f>
        <v/>
      </c>
      <c r="G316" s="30" t="str">
        <f t="shared" si="20"/>
        <v/>
      </c>
      <c r="H316" s="30" t="str">
        <f t="shared" si="21"/>
        <v/>
      </c>
      <c r="I316" s="30" t="str">
        <f t="shared" si="22"/>
        <v/>
      </c>
      <c r="J316" s="30" t="str">
        <f t="shared" si="23"/>
        <v/>
      </c>
      <c r="K316" s="30" t="str">
        <f t="shared" si="24"/>
        <v/>
      </c>
      <c r="M316" s="11"/>
    </row>
    <row r="317" spans="1:13" ht="15" x14ac:dyDescent="0.25">
      <c r="A317" s="1" t="str">
        <f>IF('1.1 Produksi Bersih Padi 2025'!A317="","",'1.1 Produksi Bersih Padi 2025'!A317)</f>
        <v/>
      </c>
      <c r="B317" s="31" t="str">
        <f>IF('1.1 Produksi Bersih Padi 2025'!B317="","",'1.1 Produksi Bersih Padi 2025'!B317)</f>
        <v/>
      </c>
      <c r="C317" s="31" t="str">
        <f>IF('1.1 Produksi Bersih Padi 2025'!C317="","",'1.1 Produksi Bersih Padi 2025'!C317)</f>
        <v/>
      </c>
      <c r="D317" s="1" t="str">
        <f>IF('1.1 Produksi Bersih Padi 2025'!D317="","",'1.1 Produksi Bersih Padi 2025'!D317)</f>
        <v/>
      </c>
      <c r="E317" s="1" t="str">
        <f>IF('1.1 Produksi Bersih Padi 2025'!E317="","",'1.1 Produksi Bersih Padi 2025'!E317)</f>
        <v/>
      </c>
      <c r="F317" s="28" t="str">
        <f>IF(D317="","",VLOOKUP(D317,'[1]0.1 Produksi Pangan &amp; Penduduk'!$D$5:$Y$860,22,0))</f>
        <v/>
      </c>
      <c r="G317" s="30" t="str">
        <f t="shared" si="20"/>
        <v/>
      </c>
      <c r="H317" s="30" t="str">
        <f t="shared" si="21"/>
        <v/>
      </c>
      <c r="I317" s="30" t="str">
        <f t="shared" si="22"/>
        <v/>
      </c>
      <c r="J317" s="30" t="str">
        <f t="shared" si="23"/>
        <v/>
      </c>
      <c r="K317" s="30" t="str">
        <f t="shared" si="24"/>
        <v/>
      </c>
      <c r="M317" s="11"/>
    </row>
    <row r="318" spans="1:13" ht="15" x14ac:dyDescent="0.25">
      <c r="A318" s="1" t="str">
        <f>IF('1.1 Produksi Bersih Padi 2025'!A318="","",'1.1 Produksi Bersih Padi 2025'!A318)</f>
        <v/>
      </c>
      <c r="B318" s="31" t="str">
        <f>IF('1.1 Produksi Bersih Padi 2025'!B318="","",'1.1 Produksi Bersih Padi 2025'!B318)</f>
        <v/>
      </c>
      <c r="C318" s="31" t="str">
        <f>IF('1.1 Produksi Bersih Padi 2025'!C318="","",'1.1 Produksi Bersih Padi 2025'!C318)</f>
        <v/>
      </c>
      <c r="D318" s="1" t="str">
        <f>IF('1.1 Produksi Bersih Padi 2025'!D318="","",'1.1 Produksi Bersih Padi 2025'!D318)</f>
        <v/>
      </c>
      <c r="E318" s="1" t="str">
        <f>IF('1.1 Produksi Bersih Padi 2025'!E318="","",'1.1 Produksi Bersih Padi 2025'!E318)</f>
        <v/>
      </c>
      <c r="F318" s="28" t="str">
        <f>IF(D318="","",VLOOKUP(D318,'[1]0.1 Produksi Pangan &amp; Penduduk'!$D$5:$Y$860,22,0))</f>
        <v/>
      </c>
      <c r="G318" s="30" t="str">
        <f t="shared" si="20"/>
        <v/>
      </c>
      <c r="H318" s="30" t="str">
        <f t="shared" si="21"/>
        <v/>
      </c>
      <c r="I318" s="30" t="str">
        <f t="shared" si="22"/>
        <v/>
      </c>
      <c r="J318" s="30" t="str">
        <f t="shared" si="23"/>
        <v/>
      </c>
      <c r="K318" s="30" t="str">
        <f t="shared" si="24"/>
        <v/>
      </c>
      <c r="M318" s="11"/>
    </row>
    <row r="319" spans="1:13" ht="15" x14ac:dyDescent="0.25">
      <c r="A319" s="1" t="str">
        <f>IF('1.1 Produksi Bersih Padi 2025'!A319="","",'1.1 Produksi Bersih Padi 2025'!A319)</f>
        <v/>
      </c>
      <c r="B319" s="31" t="str">
        <f>IF('1.1 Produksi Bersih Padi 2025'!B319="","",'1.1 Produksi Bersih Padi 2025'!B319)</f>
        <v/>
      </c>
      <c r="C319" s="31" t="str">
        <f>IF('1.1 Produksi Bersih Padi 2025'!C319="","",'1.1 Produksi Bersih Padi 2025'!C319)</f>
        <v/>
      </c>
      <c r="D319" s="1" t="str">
        <f>IF('1.1 Produksi Bersih Padi 2025'!D319="","",'1.1 Produksi Bersih Padi 2025'!D319)</f>
        <v/>
      </c>
      <c r="E319" s="1" t="str">
        <f>IF('1.1 Produksi Bersih Padi 2025'!E319="","",'1.1 Produksi Bersih Padi 2025'!E319)</f>
        <v/>
      </c>
      <c r="F319" s="28" t="str">
        <f>IF(D319="","",VLOOKUP(D319,'[1]0.1 Produksi Pangan &amp; Penduduk'!$D$5:$Y$860,22,0))</f>
        <v/>
      </c>
      <c r="G319" s="30" t="str">
        <f t="shared" si="20"/>
        <v/>
      </c>
      <c r="H319" s="30" t="str">
        <f t="shared" si="21"/>
        <v/>
      </c>
      <c r="I319" s="30" t="str">
        <f t="shared" si="22"/>
        <v/>
      </c>
      <c r="J319" s="30" t="str">
        <f t="shared" si="23"/>
        <v/>
      </c>
      <c r="K319" s="30" t="str">
        <f t="shared" si="24"/>
        <v/>
      </c>
      <c r="M319" s="11"/>
    </row>
    <row r="320" spans="1:13" ht="15" x14ac:dyDescent="0.25">
      <c r="A320" s="1" t="str">
        <f>IF('1.1 Produksi Bersih Padi 2025'!A320="","",'1.1 Produksi Bersih Padi 2025'!A320)</f>
        <v/>
      </c>
      <c r="B320" s="31" t="str">
        <f>IF('1.1 Produksi Bersih Padi 2025'!B320="","",'1.1 Produksi Bersih Padi 2025'!B320)</f>
        <v/>
      </c>
      <c r="C320" s="31" t="str">
        <f>IF('1.1 Produksi Bersih Padi 2025'!C320="","",'1.1 Produksi Bersih Padi 2025'!C320)</f>
        <v/>
      </c>
      <c r="D320" s="1" t="str">
        <f>IF('1.1 Produksi Bersih Padi 2025'!D320="","",'1.1 Produksi Bersih Padi 2025'!D320)</f>
        <v/>
      </c>
      <c r="E320" s="1" t="str">
        <f>IF('1.1 Produksi Bersih Padi 2025'!E320="","",'1.1 Produksi Bersih Padi 2025'!E320)</f>
        <v/>
      </c>
      <c r="F320" s="28" t="str">
        <f>IF(D320="","",VLOOKUP(D320,'[1]0.1 Produksi Pangan &amp; Penduduk'!$D$5:$Y$860,22,0))</f>
        <v/>
      </c>
      <c r="G320" s="30" t="str">
        <f t="shared" si="20"/>
        <v/>
      </c>
      <c r="H320" s="30" t="str">
        <f t="shared" si="21"/>
        <v/>
      </c>
      <c r="I320" s="30" t="str">
        <f t="shared" si="22"/>
        <v/>
      </c>
      <c r="J320" s="30" t="str">
        <f t="shared" si="23"/>
        <v/>
      </c>
      <c r="K320" s="30" t="str">
        <f t="shared" si="24"/>
        <v/>
      </c>
      <c r="M320" s="11"/>
    </row>
    <row r="321" spans="1:13" ht="15" x14ac:dyDescent="0.25">
      <c r="A321" s="1" t="str">
        <f>IF('1.1 Produksi Bersih Padi 2025'!A321="","",'1.1 Produksi Bersih Padi 2025'!A321)</f>
        <v/>
      </c>
      <c r="B321" s="31" t="str">
        <f>IF('1.1 Produksi Bersih Padi 2025'!B321="","",'1.1 Produksi Bersih Padi 2025'!B321)</f>
        <v/>
      </c>
      <c r="C321" s="31" t="str">
        <f>IF('1.1 Produksi Bersih Padi 2025'!C321="","",'1.1 Produksi Bersih Padi 2025'!C321)</f>
        <v/>
      </c>
      <c r="D321" s="1" t="str">
        <f>IF('1.1 Produksi Bersih Padi 2025'!D321="","",'1.1 Produksi Bersih Padi 2025'!D321)</f>
        <v/>
      </c>
      <c r="E321" s="1" t="str">
        <f>IF('1.1 Produksi Bersih Padi 2025'!E321="","",'1.1 Produksi Bersih Padi 2025'!E321)</f>
        <v/>
      </c>
      <c r="F321" s="28" t="str">
        <f>IF(D321="","",VLOOKUP(D321,'[1]0.1 Produksi Pangan &amp; Penduduk'!$D$5:$Y$860,22,0))</f>
        <v/>
      </c>
      <c r="G321" s="30" t="str">
        <f t="shared" si="20"/>
        <v/>
      </c>
      <c r="H321" s="30" t="str">
        <f t="shared" si="21"/>
        <v/>
      </c>
      <c r="I321" s="30" t="str">
        <f t="shared" si="22"/>
        <v/>
      </c>
      <c r="J321" s="30" t="str">
        <f t="shared" si="23"/>
        <v/>
      </c>
      <c r="K321" s="30" t="str">
        <f t="shared" si="24"/>
        <v/>
      </c>
      <c r="M321" s="11"/>
    </row>
    <row r="322" spans="1:13" ht="15" x14ac:dyDescent="0.25">
      <c r="A322" s="1" t="str">
        <f>IF('1.1 Produksi Bersih Padi 2025'!A322="","",'1.1 Produksi Bersih Padi 2025'!A322)</f>
        <v/>
      </c>
      <c r="B322" s="31" t="str">
        <f>IF('1.1 Produksi Bersih Padi 2025'!B322="","",'1.1 Produksi Bersih Padi 2025'!B322)</f>
        <v/>
      </c>
      <c r="C322" s="31" t="str">
        <f>IF('1.1 Produksi Bersih Padi 2025'!C322="","",'1.1 Produksi Bersih Padi 2025'!C322)</f>
        <v/>
      </c>
      <c r="D322" s="1" t="str">
        <f>IF('1.1 Produksi Bersih Padi 2025'!D322="","",'1.1 Produksi Bersih Padi 2025'!D322)</f>
        <v/>
      </c>
      <c r="E322" s="1" t="str">
        <f>IF('1.1 Produksi Bersih Padi 2025'!E322="","",'1.1 Produksi Bersih Padi 2025'!E322)</f>
        <v/>
      </c>
      <c r="F322" s="28" t="str">
        <f>IF(D322="","",VLOOKUP(D322,'[1]0.1 Produksi Pangan &amp; Penduduk'!$D$5:$Y$860,22,0))</f>
        <v/>
      </c>
      <c r="G322" s="30" t="str">
        <f t="shared" si="20"/>
        <v/>
      </c>
      <c r="H322" s="30" t="str">
        <f t="shared" si="21"/>
        <v/>
      </c>
      <c r="I322" s="30" t="str">
        <f t="shared" si="22"/>
        <v/>
      </c>
      <c r="J322" s="30" t="str">
        <f t="shared" si="23"/>
        <v/>
      </c>
      <c r="K322" s="30" t="str">
        <f t="shared" si="24"/>
        <v/>
      </c>
      <c r="M322" s="11"/>
    </row>
    <row r="323" spans="1:13" ht="15" x14ac:dyDescent="0.25">
      <c r="A323" s="1" t="str">
        <f>IF('1.1 Produksi Bersih Padi 2025'!A323="","",'1.1 Produksi Bersih Padi 2025'!A323)</f>
        <v/>
      </c>
      <c r="B323" s="31" t="str">
        <f>IF('1.1 Produksi Bersih Padi 2025'!B323="","",'1.1 Produksi Bersih Padi 2025'!B323)</f>
        <v/>
      </c>
      <c r="C323" s="31" t="str">
        <f>IF('1.1 Produksi Bersih Padi 2025'!C323="","",'1.1 Produksi Bersih Padi 2025'!C323)</f>
        <v/>
      </c>
      <c r="D323" s="1" t="str">
        <f>IF('1.1 Produksi Bersih Padi 2025'!D323="","",'1.1 Produksi Bersih Padi 2025'!D323)</f>
        <v/>
      </c>
      <c r="E323" s="1" t="str">
        <f>IF('1.1 Produksi Bersih Padi 2025'!E323="","",'1.1 Produksi Bersih Padi 2025'!E323)</f>
        <v/>
      </c>
      <c r="F323" s="28" t="str">
        <f>IF(D323="","",VLOOKUP(D323,'[1]0.1 Produksi Pangan &amp; Penduduk'!$D$5:$Y$860,22,0))</f>
        <v/>
      </c>
      <c r="G323" s="30" t="str">
        <f t="shared" si="20"/>
        <v/>
      </c>
      <c r="H323" s="30" t="str">
        <f t="shared" si="21"/>
        <v/>
      </c>
      <c r="I323" s="30" t="str">
        <f t="shared" si="22"/>
        <v/>
      </c>
      <c r="J323" s="30" t="str">
        <f t="shared" si="23"/>
        <v/>
      </c>
      <c r="K323" s="30" t="str">
        <f t="shared" si="24"/>
        <v/>
      </c>
      <c r="M323" s="11"/>
    </row>
    <row r="324" spans="1:13" ht="15" x14ac:dyDescent="0.25">
      <c r="A324" s="1" t="str">
        <f>IF('1.1 Produksi Bersih Padi 2025'!A324="","",'1.1 Produksi Bersih Padi 2025'!A324)</f>
        <v/>
      </c>
      <c r="B324" s="31" t="str">
        <f>IF('1.1 Produksi Bersih Padi 2025'!B324="","",'1.1 Produksi Bersih Padi 2025'!B324)</f>
        <v/>
      </c>
      <c r="C324" s="31" t="str">
        <f>IF('1.1 Produksi Bersih Padi 2025'!C324="","",'1.1 Produksi Bersih Padi 2025'!C324)</f>
        <v/>
      </c>
      <c r="D324" s="1" t="str">
        <f>IF('1.1 Produksi Bersih Padi 2025'!D324="","",'1.1 Produksi Bersih Padi 2025'!D324)</f>
        <v/>
      </c>
      <c r="E324" s="1" t="str">
        <f>IF('1.1 Produksi Bersih Padi 2025'!E324="","",'1.1 Produksi Bersih Padi 2025'!E324)</f>
        <v/>
      </c>
      <c r="F324" s="28" t="str">
        <f>IF(D324="","",VLOOKUP(D324,'[1]0.1 Produksi Pangan &amp; Penduduk'!$D$5:$Y$860,22,0))</f>
        <v/>
      </c>
      <c r="G324" s="30" t="str">
        <f t="shared" si="20"/>
        <v/>
      </c>
      <c r="H324" s="30" t="str">
        <f t="shared" si="21"/>
        <v/>
      </c>
      <c r="I324" s="30" t="str">
        <f t="shared" si="22"/>
        <v/>
      </c>
      <c r="J324" s="30" t="str">
        <f t="shared" si="23"/>
        <v/>
      </c>
      <c r="K324" s="30" t="str">
        <f t="shared" si="24"/>
        <v/>
      </c>
      <c r="M324" s="11"/>
    </row>
    <row r="325" spans="1:13" ht="15" x14ac:dyDescent="0.25">
      <c r="A325" s="1" t="str">
        <f>IF('1.1 Produksi Bersih Padi 2025'!A325="","",'1.1 Produksi Bersih Padi 2025'!A325)</f>
        <v/>
      </c>
      <c r="B325" s="31" t="str">
        <f>IF('1.1 Produksi Bersih Padi 2025'!B325="","",'1.1 Produksi Bersih Padi 2025'!B325)</f>
        <v/>
      </c>
      <c r="C325" s="31" t="str">
        <f>IF('1.1 Produksi Bersih Padi 2025'!C325="","",'1.1 Produksi Bersih Padi 2025'!C325)</f>
        <v/>
      </c>
      <c r="D325" s="1" t="str">
        <f>IF('1.1 Produksi Bersih Padi 2025'!D325="","",'1.1 Produksi Bersih Padi 2025'!D325)</f>
        <v/>
      </c>
      <c r="E325" s="1" t="str">
        <f>IF('1.1 Produksi Bersih Padi 2025'!E325="","",'1.1 Produksi Bersih Padi 2025'!E325)</f>
        <v/>
      </c>
      <c r="F325" s="28" t="str">
        <f>IF(D325="","",VLOOKUP(D325,'[1]0.1 Produksi Pangan &amp; Penduduk'!$D$5:$Y$860,22,0))</f>
        <v/>
      </c>
      <c r="G325" s="30" t="str">
        <f t="shared" si="20"/>
        <v/>
      </c>
      <c r="H325" s="30" t="str">
        <f t="shared" si="21"/>
        <v/>
      </c>
      <c r="I325" s="30" t="str">
        <f t="shared" si="22"/>
        <v/>
      </c>
      <c r="J325" s="30" t="str">
        <f t="shared" si="23"/>
        <v/>
      </c>
      <c r="K325" s="30" t="str">
        <f t="shared" si="24"/>
        <v/>
      </c>
      <c r="M325" s="11"/>
    </row>
    <row r="326" spans="1:13" ht="15" x14ac:dyDescent="0.25">
      <c r="A326" s="1" t="str">
        <f>IF('1.1 Produksi Bersih Padi 2025'!A326="","",'1.1 Produksi Bersih Padi 2025'!A326)</f>
        <v/>
      </c>
      <c r="B326" s="31" t="str">
        <f>IF('1.1 Produksi Bersih Padi 2025'!B326="","",'1.1 Produksi Bersih Padi 2025'!B326)</f>
        <v/>
      </c>
      <c r="C326" s="31" t="str">
        <f>IF('1.1 Produksi Bersih Padi 2025'!C326="","",'1.1 Produksi Bersih Padi 2025'!C326)</f>
        <v/>
      </c>
      <c r="D326" s="1" t="str">
        <f>IF('1.1 Produksi Bersih Padi 2025'!D326="","",'1.1 Produksi Bersih Padi 2025'!D326)</f>
        <v/>
      </c>
      <c r="E326" s="1" t="str">
        <f>IF('1.1 Produksi Bersih Padi 2025'!E326="","",'1.1 Produksi Bersih Padi 2025'!E326)</f>
        <v/>
      </c>
      <c r="F326" s="28" t="str">
        <f>IF(D326="","",VLOOKUP(D326,'[1]0.1 Produksi Pangan &amp; Penduduk'!$D$5:$Y$860,22,0))</f>
        <v/>
      </c>
      <c r="G326" s="30" t="str">
        <f t="shared" ref="G326:G389" si="25">IF(F326="","",F326*0%)</f>
        <v/>
      </c>
      <c r="H326" s="30" t="str">
        <f t="shared" ref="H326:H389" si="26">IF(F326="","",F326*0.43%)</f>
        <v/>
      </c>
      <c r="I326" s="30" t="str">
        <f t="shared" ref="I326:I389" si="27">IF(F326="","",F326*4.23%)</f>
        <v/>
      </c>
      <c r="J326" s="30" t="str">
        <f t="shared" ref="J326:J389" si="28">IF(F326="","",F326-(G326+H326+I326))</f>
        <v/>
      </c>
      <c r="K326" s="30" t="str">
        <f t="shared" ref="K326:K389" si="29">IF(J326="","",J326*0.363)</f>
        <v/>
      </c>
      <c r="M326" s="11"/>
    </row>
    <row r="327" spans="1:13" ht="15" x14ac:dyDescent="0.25">
      <c r="A327" s="1" t="str">
        <f>IF('1.1 Produksi Bersih Padi 2025'!A327="","",'1.1 Produksi Bersih Padi 2025'!A327)</f>
        <v/>
      </c>
      <c r="B327" s="31" t="str">
        <f>IF('1.1 Produksi Bersih Padi 2025'!B327="","",'1.1 Produksi Bersih Padi 2025'!B327)</f>
        <v/>
      </c>
      <c r="C327" s="31" t="str">
        <f>IF('1.1 Produksi Bersih Padi 2025'!C327="","",'1.1 Produksi Bersih Padi 2025'!C327)</f>
        <v/>
      </c>
      <c r="D327" s="1" t="str">
        <f>IF('1.1 Produksi Bersih Padi 2025'!D327="","",'1.1 Produksi Bersih Padi 2025'!D327)</f>
        <v/>
      </c>
      <c r="E327" s="1" t="str">
        <f>IF('1.1 Produksi Bersih Padi 2025'!E327="","",'1.1 Produksi Bersih Padi 2025'!E327)</f>
        <v/>
      </c>
      <c r="F327" s="28" t="str">
        <f>IF(D327="","",VLOOKUP(D327,'[1]0.1 Produksi Pangan &amp; Penduduk'!$D$5:$Y$860,22,0))</f>
        <v/>
      </c>
      <c r="G327" s="30" t="str">
        <f t="shared" si="25"/>
        <v/>
      </c>
      <c r="H327" s="30" t="str">
        <f t="shared" si="26"/>
        <v/>
      </c>
      <c r="I327" s="30" t="str">
        <f t="shared" si="27"/>
        <v/>
      </c>
      <c r="J327" s="30" t="str">
        <f t="shared" si="28"/>
        <v/>
      </c>
      <c r="K327" s="30" t="str">
        <f t="shared" si="29"/>
        <v/>
      </c>
      <c r="M327" s="11"/>
    </row>
    <row r="328" spans="1:13" ht="15" x14ac:dyDescent="0.25">
      <c r="A328" s="1" t="str">
        <f>IF('1.1 Produksi Bersih Padi 2025'!A328="","",'1.1 Produksi Bersih Padi 2025'!A328)</f>
        <v/>
      </c>
      <c r="B328" s="31" t="str">
        <f>IF('1.1 Produksi Bersih Padi 2025'!B328="","",'1.1 Produksi Bersih Padi 2025'!B328)</f>
        <v/>
      </c>
      <c r="C328" s="31" t="str">
        <f>IF('1.1 Produksi Bersih Padi 2025'!C328="","",'1.1 Produksi Bersih Padi 2025'!C328)</f>
        <v/>
      </c>
      <c r="D328" s="1" t="str">
        <f>IF('1.1 Produksi Bersih Padi 2025'!D328="","",'1.1 Produksi Bersih Padi 2025'!D328)</f>
        <v/>
      </c>
      <c r="E328" s="1" t="str">
        <f>IF('1.1 Produksi Bersih Padi 2025'!E328="","",'1.1 Produksi Bersih Padi 2025'!E328)</f>
        <v/>
      </c>
      <c r="F328" s="28" t="str">
        <f>IF(D328="","",VLOOKUP(D328,'[1]0.1 Produksi Pangan &amp; Penduduk'!$D$5:$Y$860,22,0))</f>
        <v/>
      </c>
      <c r="G328" s="30" t="str">
        <f t="shared" si="25"/>
        <v/>
      </c>
      <c r="H328" s="30" t="str">
        <f t="shared" si="26"/>
        <v/>
      </c>
      <c r="I328" s="30" t="str">
        <f t="shared" si="27"/>
        <v/>
      </c>
      <c r="J328" s="30" t="str">
        <f t="shared" si="28"/>
        <v/>
      </c>
      <c r="K328" s="30" t="str">
        <f t="shared" si="29"/>
        <v/>
      </c>
      <c r="M328" s="11"/>
    </row>
    <row r="329" spans="1:13" ht="15" x14ac:dyDescent="0.25">
      <c r="A329" s="1" t="str">
        <f>IF('1.1 Produksi Bersih Padi 2025'!A329="","",'1.1 Produksi Bersih Padi 2025'!A329)</f>
        <v/>
      </c>
      <c r="B329" s="31" t="str">
        <f>IF('1.1 Produksi Bersih Padi 2025'!B329="","",'1.1 Produksi Bersih Padi 2025'!B329)</f>
        <v/>
      </c>
      <c r="C329" s="31" t="str">
        <f>IF('1.1 Produksi Bersih Padi 2025'!C329="","",'1.1 Produksi Bersih Padi 2025'!C329)</f>
        <v/>
      </c>
      <c r="D329" s="1" t="str">
        <f>IF('1.1 Produksi Bersih Padi 2025'!D329="","",'1.1 Produksi Bersih Padi 2025'!D329)</f>
        <v/>
      </c>
      <c r="E329" s="1" t="str">
        <f>IF('1.1 Produksi Bersih Padi 2025'!E329="","",'1.1 Produksi Bersih Padi 2025'!E329)</f>
        <v/>
      </c>
      <c r="F329" s="28" t="str">
        <f>IF(D329="","",VLOOKUP(D329,'[1]0.1 Produksi Pangan &amp; Penduduk'!$D$5:$Y$860,22,0))</f>
        <v/>
      </c>
      <c r="G329" s="30" t="str">
        <f t="shared" si="25"/>
        <v/>
      </c>
      <c r="H329" s="30" t="str">
        <f t="shared" si="26"/>
        <v/>
      </c>
      <c r="I329" s="30" t="str">
        <f t="shared" si="27"/>
        <v/>
      </c>
      <c r="J329" s="30" t="str">
        <f t="shared" si="28"/>
        <v/>
      </c>
      <c r="K329" s="30" t="str">
        <f t="shared" si="29"/>
        <v/>
      </c>
      <c r="M329" s="11"/>
    </row>
    <row r="330" spans="1:13" ht="15" x14ac:dyDescent="0.25">
      <c r="A330" s="1" t="str">
        <f>IF('1.1 Produksi Bersih Padi 2025'!A330="","",'1.1 Produksi Bersih Padi 2025'!A330)</f>
        <v/>
      </c>
      <c r="B330" s="31" t="str">
        <f>IF('1.1 Produksi Bersih Padi 2025'!B330="","",'1.1 Produksi Bersih Padi 2025'!B330)</f>
        <v/>
      </c>
      <c r="C330" s="31" t="str">
        <f>IF('1.1 Produksi Bersih Padi 2025'!C330="","",'1.1 Produksi Bersih Padi 2025'!C330)</f>
        <v/>
      </c>
      <c r="D330" s="1" t="str">
        <f>IF('1.1 Produksi Bersih Padi 2025'!D330="","",'1.1 Produksi Bersih Padi 2025'!D330)</f>
        <v/>
      </c>
      <c r="E330" s="1" t="str">
        <f>IF('1.1 Produksi Bersih Padi 2025'!E330="","",'1.1 Produksi Bersih Padi 2025'!E330)</f>
        <v/>
      </c>
      <c r="F330" s="28" t="str">
        <f>IF(D330="","",VLOOKUP(D330,'[1]0.1 Produksi Pangan &amp; Penduduk'!$D$5:$Y$860,22,0))</f>
        <v/>
      </c>
      <c r="G330" s="30" t="str">
        <f t="shared" si="25"/>
        <v/>
      </c>
      <c r="H330" s="30" t="str">
        <f t="shared" si="26"/>
        <v/>
      </c>
      <c r="I330" s="30" t="str">
        <f t="shared" si="27"/>
        <v/>
      </c>
      <c r="J330" s="30" t="str">
        <f t="shared" si="28"/>
        <v/>
      </c>
      <c r="K330" s="30" t="str">
        <f t="shared" si="29"/>
        <v/>
      </c>
      <c r="M330" s="11"/>
    </row>
    <row r="331" spans="1:13" ht="15" x14ac:dyDescent="0.25">
      <c r="A331" s="1" t="str">
        <f>IF('1.1 Produksi Bersih Padi 2025'!A331="","",'1.1 Produksi Bersih Padi 2025'!A331)</f>
        <v/>
      </c>
      <c r="B331" s="31" t="str">
        <f>IF('1.1 Produksi Bersih Padi 2025'!B331="","",'1.1 Produksi Bersih Padi 2025'!B331)</f>
        <v/>
      </c>
      <c r="C331" s="31" t="str">
        <f>IF('1.1 Produksi Bersih Padi 2025'!C331="","",'1.1 Produksi Bersih Padi 2025'!C331)</f>
        <v/>
      </c>
      <c r="D331" s="1" t="str">
        <f>IF('1.1 Produksi Bersih Padi 2025'!D331="","",'1.1 Produksi Bersih Padi 2025'!D331)</f>
        <v/>
      </c>
      <c r="E331" s="1" t="str">
        <f>IF('1.1 Produksi Bersih Padi 2025'!E331="","",'1.1 Produksi Bersih Padi 2025'!E331)</f>
        <v/>
      </c>
      <c r="F331" s="28" t="str">
        <f>IF(D331="","",VLOOKUP(D331,'[1]0.1 Produksi Pangan &amp; Penduduk'!$D$5:$Y$860,22,0))</f>
        <v/>
      </c>
      <c r="G331" s="30" t="str">
        <f t="shared" si="25"/>
        <v/>
      </c>
      <c r="H331" s="30" t="str">
        <f t="shared" si="26"/>
        <v/>
      </c>
      <c r="I331" s="30" t="str">
        <f t="shared" si="27"/>
        <v/>
      </c>
      <c r="J331" s="30" t="str">
        <f t="shared" si="28"/>
        <v/>
      </c>
      <c r="K331" s="30" t="str">
        <f t="shared" si="29"/>
        <v/>
      </c>
      <c r="M331" s="11"/>
    </row>
    <row r="332" spans="1:13" ht="15" x14ac:dyDescent="0.25">
      <c r="A332" s="1" t="str">
        <f>IF('1.1 Produksi Bersih Padi 2025'!A332="","",'1.1 Produksi Bersih Padi 2025'!A332)</f>
        <v/>
      </c>
      <c r="B332" s="31" t="str">
        <f>IF('1.1 Produksi Bersih Padi 2025'!B332="","",'1.1 Produksi Bersih Padi 2025'!B332)</f>
        <v/>
      </c>
      <c r="C332" s="31" t="str">
        <f>IF('1.1 Produksi Bersih Padi 2025'!C332="","",'1.1 Produksi Bersih Padi 2025'!C332)</f>
        <v/>
      </c>
      <c r="D332" s="1" t="str">
        <f>IF('1.1 Produksi Bersih Padi 2025'!D332="","",'1.1 Produksi Bersih Padi 2025'!D332)</f>
        <v/>
      </c>
      <c r="E332" s="1" t="str">
        <f>IF('1.1 Produksi Bersih Padi 2025'!E332="","",'1.1 Produksi Bersih Padi 2025'!E332)</f>
        <v/>
      </c>
      <c r="F332" s="28" t="str">
        <f>IF(D332="","",VLOOKUP(D332,'[1]0.1 Produksi Pangan &amp; Penduduk'!$D$5:$Y$860,22,0))</f>
        <v/>
      </c>
      <c r="G332" s="30" t="str">
        <f t="shared" si="25"/>
        <v/>
      </c>
      <c r="H332" s="30" t="str">
        <f t="shared" si="26"/>
        <v/>
      </c>
      <c r="I332" s="30" t="str">
        <f t="shared" si="27"/>
        <v/>
      </c>
      <c r="J332" s="30" t="str">
        <f t="shared" si="28"/>
        <v/>
      </c>
      <c r="K332" s="30" t="str">
        <f t="shared" si="29"/>
        <v/>
      </c>
      <c r="M332" s="11"/>
    </row>
    <row r="333" spans="1:13" ht="15" x14ac:dyDescent="0.25">
      <c r="A333" s="1" t="str">
        <f>IF('1.1 Produksi Bersih Padi 2025'!A333="","",'1.1 Produksi Bersih Padi 2025'!A333)</f>
        <v/>
      </c>
      <c r="B333" s="31" t="str">
        <f>IF('1.1 Produksi Bersih Padi 2025'!B333="","",'1.1 Produksi Bersih Padi 2025'!B333)</f>
        <v/>
      </c>
      <c r="C333" s="31" t="str">
        <f>IF('1.1 Produksi Bersih Padi 2025'!C333="","",'1.1 Produksi Bersih Padi 2025'!C333)</f>
        <v/>
      </c>
      <c r="D333" s="1" t="str">
        <f>IF('1.1 Produksi Bersih Padi 2025'!D333="","",'1.1 Produksi Bersih Padi 2025'!D333)</f>
        <v/>
      </c>
      <c r="E333" s="1" t="str">
        <f>IF('1.1 Produksi Bersih Padi 2025'!E333="","",'1.1 Produksi Bersih Padi 2025'!E333)</f>
        <v/>
      </c>
      <c r="F333" s="28" t="str">
        <f>IF(D333="","",VLOOKUP(D333,'[1]0.1 Produksi Pangan &amp; Penduduk'!$D$5:$Y$860,22,0))</f>
        <v/>
      </c>
      <c r="G333" s="30" t="str">
        <f t="shared" si="25"/>
        <v/>
      </c>
      <c r="H333" s="30" t="str">
        <f t="shared" si="26"/>
        <v/>
      </c>
      <c r="I333" s="30" t="str">
        <f t="shared" si="27"/>
        <v/>
      </c>
      <c r="J333" s="30" t="str">
        <f t="shared" si="28"/>
        <v/>
      </c>
      <c r="K333" s="30" t="str">
        <f t="shared" si="29"/>
        <v/>
      </c>
      <c r="M333" s="11"/>
    </row>
    <row r="334" spans="1:13" ht="15" x14ac:dyDescent="0.25">
      <c r="A334" s="1" t="str">
        <f>IF('1.1 Produksi Bersih Padi 2025'!A334="","",'1.1 Produksi Bersih Padi 2025'!A334)</f>
        <v/>
      </c>
      <c r="B334" s="31" t="str">
        <f>IF('1.1 Produksi Bersih Padi 2025'!B334="","",'1.1 Produksi Bersih Padi 2025'!B334)</f>
        <v/>
      </c>
      <c r="C334" s="31" t="str">
        <f>IF('1.1 Produksi Bersih Padi 2025'!C334="","",'1.1 Produksi Bersih Padi 2025'!C334)</f>
        <v/>
      </c>
      <c r="D334" s="1" t="str">
        <f>IF('1.1 Produksi Bersih Padi 2025'!D334="","",'1.1 Produksi Bersih Padi 2025'!D334)</f>
        <v/>
      </c>
      <c r="E334" s="1" t="str">
        <f>IF('1.1 Produksi Bersih Padi 2025'!E334="","",'1.1 Produksi Bersih Padi 2025'!E334)</f>
        <v/>
      </c>
      <c r="F334" s="28" t="str">
        <f>IF(D334="","",VLOOKUP(D334,'[1]0.1 Produksi Pangan &amp; Penduduk'!$D$5:$Y$860,22,0))</f>
        <v/>
      </c>
      <c r="G334" s="30" t="str">
        <f t="shared" si="25"/>
        <v/>
      </c>
      <c r="H334" s="30" t="str">
        <f t="shared" si="26"/>
        <v/>
      </c>
      <c r="I334" s="30" t="str">
        <f t="shared" si="27"/>
        <v/>
      </c>
      <c r="J334" s="30" t="str">
        <f t="shared" si="28"/>
        <v/>
      </c>
      <c r="K334" s="30" t="str">
        <f t="shared" si="29"/>
        <v/>
      </c>
      <c r="M334" s="11"/>
    </row>
    <row r="335" spans="1:13" ht="15" x14ac:dyDescent="0.25">
      <c r="A335" s="1" t="str">
        <f>IF('1.1 Produksi Bersih Padi 2025'!A335="","",'1.1 Produksi Bersih Padi 2025'!A335)</f>
        <v/>
      </c>
      <c r="B335" s="31" t="str">
        <f>IF('1.1 Produksi Bersih Padi 2025'!B335="","",'1.1 Produksi Bersih Padi 2025'!B335)</f>
        <v/>
      </c>
      <c r="C335" s="31" t="str">
        <f>IF('1.1 Produksi Bersih Padi 2025'!C335="","",'1.1 Produksi Bersih Padi 2025'!C335)</f>
        <v/>
      </c>
      <c r="D335" s="1" t="str">
        <f>IF('1.1 Produksi Bersih Padi 2025'!D335="","",'1.1 Produksi Bersih Padi 2025'!D335)</f>
        <v/>
      </c>
      <c r="E335" s="1" t="str">
        <f>IF('1.1 Produksi Bersih Padi 2025'!E335="","",'1.1 Produksi Bersih Padi 2025'!E335)</f>
        <v/>
      </c>
      <c r="F335" s="28" t="str">
        <f>IF(D335="","",VLOOKUP(D335,'[1]0.1 Produksi Pangan &amp; Penduduk'!$D$5:$Y$860,22,0))</f>
        <v/>
      </c>
      <c r="G335" s="30" t="str">
        <f t="shared" si="25"/>
        <v/>
      </c>
      <c r="H335" s="30" t="str">
        <f t="shared" si="26"/>
        <v/>
      </c>
      <c r="I335" s="30" t="str">
        <f t="shared" si="27"/>
        <v/>
      </c>
      <c r="J335" s="30" t="str">
        <f t="shared" si="28"/>
        <v/>
      </c>
      <c r="K335" s="30" t="str">
        <f t="shared" si="29"/>
        <v/>
      </c>
      <c r="M335" s="11"/>
    </row>
    <row r="336" spans="1:13" ht="15" x14ac:dyDescent="0.25">
      <c r="A336" s="1" t="str">
        <f>IF('1.1 Produksi Bersih Padi 2025'!A336="","",'1.1 Produksi Bersih Padi 2025'!A336)</f>
        <v/>
      </c>
      <c r="B336" s="31" t="str">
        <f>IF('1.1 Produksi Bersih Padi 2025'!B336="","",'1.1 Produksi Bersih Padi 2025'!B336)</f>
        <v/>
      </c>
      <c r="C336" s="31" t="str">
        <f>IF('1.1 Produksi Bersih Padi 2025'!C336="","",'1.1 Produksi Bersih Padi 2025'!C336)</f>
        <v/>
      </c>
      <c r="D336" s="1" t="str">
        <f>IF('1.1 Produksi Bersih Padi 2025'!D336="","",'1.1 Produksi Bersih Padi 2025'!D336)</f>
        <v/>
      </c>
      <c r="E336" s="1" t="str">
        <f>IF('1.1 Produksi Bersih Padi 2025'!E336="","",'1.1 Produksi Bersih Padi 2025'!E336)</f>
        <v/>
      </c>
      <c r="F336" s="28" t="str">
        <f>IF(D336="","",VLOOKUP(D336,'[1]0.1 Produksi Pangan &amp; Penduduk'!$D$5:$Y$860,22,0))</f>
        <v/>
      </c>
      <c r="G336" s="30" t="str">
        <f t="shared" si="25"/>
        <v/>
      </c>
      <c r="H336" s="30" t="str">
        <f t="shared" si="26"/>
        <v/>
      </c>
      <c r="I336" s="30" t="str">
        <f t="shared" si="27"/>
        <v/>
      </c>
      <c r="J336" s="30" t="str">
        <f t="shared" si="28"/>
        <v/>
      </c>
      <c r="K336" s="30" t="str">
        <f t="shared" si="29"/>
        <v/>
      </c>
      <c r="M336" s="11"/>
    </row>
    <row r="337" spans="1:13" ht="15" x14ac:dyDescent="0.25">
      <c r="A337" s="1" t="str">
        <f>IF('1.1 Produksi Bersih Padi 2025'!A337="","",'1.1 Produksi Bersih Padi 2025'!A337)</f>
        <v/>
      </c>
      <c r="B337" s="31" t="str">
        <f>IF('1.1 Produksi Bersih Padi 2025'!B337="","",'1.1 Produksi Bersih Padi 2025'!B337)</f>
        <v/>
      </c>
      <c r="C337" s="31" t="str">
        <f>IF('1.1 Produksi Bersih Padi 2025'!C337="","",'1.1 Produksi Bersih Padi 2025'!C337)</f>
        <v/>
      </c>
      <c r="D337" s="1" t="str">
        <f>IF('1.1 Produksi Bersih Padi 2025'!D337="","",'1.1 Produksi Bersih Padi 2025'!D337)</f>
        <v/>
      </c>
      <c r="E337" s="1" t="str">
        <f>IF('1.1 Produksi Bersih Padi 2025'!E337="","",'1.1 Produksi Bersih Padi 2025'!E337)</f>
        <v/>
      </c>
      <c r="F337" s="28" t="str">
        <f>IF(D337="","",VLOOKUP(D337,'[1]0.1 Produksi Pangan &amp; Penduduk'!$D$5:$Y$860,22,0))</f>
        <v/>
      </c>
      <c r="G337" s="30" t="str">
        <f t="shared" si="25"/>
        <v/>
      </c>
      <c r="H337" s="30" t="str">
        <f t="shared" si="26"/>
        <v/>
      </c>
      <c r="I337" s="30" t="str">
        <f t="shared" si="27"/>
        <v/>
      </c>
      <c r="J337" s="30" t="str">
        <f t="shared" si="28"/>
        <v/>
      </c>
      <c r="K337" s="30" t="str">
        <f t="shared" si="29"/>
        <v/>
      </c>
      <c r="M337" s="11"/>
    </row>
    <row r="338" spans="1:13" ht="15" x14ac:dyDescent="0.25">
      <c r="A338" s="1" t="str">
        <f>IF('1.1 Produksi Bersih Padi 2025'!A338="","",'1.1 Produksi Bersih Padi 2025'!A338)</f>
        <v/>
      </c>
      <c r="B338" s="31" t="str">
        <f>IF('1.1 Produksi Bersih Padi 2025'!B338="","",'1.1 Produksi Bersih Padi 2025'!B338)</f>
        <v/>
      </c>
      <c r="C338" s="31" t="str">
        <f>IF('1.1 Produksi Bersih Padi 2025'!C338="","",'1.1 Produksi Bersih Padi 2025'!C338)</f>
        <v/>
      </c>
      <c r="D338" s="1" t="str">
        <f>IF('1.1 Produksi Bersih Padi 2025'!D338="","",'1.1 Produksi Bersih Padi 2025'!D338)</f>
        <v/>
      </c>
      <c r="E338" s="1" t="str">
        <f>IF('1.1 Produksi Bersih Padi 2025'!E338="","",'1.1 Produksi Bersih Padi 2025'!E338)</f>
        <v/>
      </c>
      <c r="F338" s="28" t="str">
        <f>IF(D338="","",VLOOKUP(D338,'[1]0.1 Produksi Pangan &amp; Penduduk'!$D$5:$Y$860,22,0))</f>
        <v/>
      </c>
      <c r="G338" s="30" t="str">
        <f t="shared" si="25"/>
        <v/>
      </c>
      <c r="H338" s="30" t="str">
        <f t="shared" si="26"/>
        <v/>
      </c>
      <c r="I338" s="30" t="str">
        <f t="shared" si="27"/>
        <v/>
      </c>
      <c r="J338" s="30" t="str">
        <f t="shared" si="28"/>
        <v/>
      </c>
      <c r="K338" s="30" t="str">
        <f t="shared" si="29"/>
        <v/>
      </c>
      <c r="M338" s="11"/>
    </row>
    <row r="339" spans="1:13" ht="15" x14ac:dyDescent="0.25">
      <c r="A339" s="1" t="str">
        <f>IF('1.1 Produksi Bersih Padi 2025'!A339="","",'1.1 Produksi Bersih Padi 2025'!A339)</f>
        <v/>
      </c>
      <c r="B339" s="31" t="str">
        <f>IF('1.1 Produksi Bersih Padi 2025'!B339="","",'1.1 Produksi Bersih Padi 2025'!B339)</f>
        <v/>
      </c>
      <c r="C339" s="31" t="str">
        <f>IF('1.1 Produksi Bersih Padi 2025'!C339="","",'1.1 Produksi Bersih Padi 2025'!C339)</f>
        <v/>
      </c>
      <c r="D339" s="1" t="str">
        <f>IF('1.1 Produksi Bersih Padi 2025'!D339="","",'1.1 Produksi Bersih Padi 2025'!D339)</f>
        <v/>
      </c>
      <c r="E339" s="1" t="str">
        <f>IF('1.1 Produksi Bersih Padi 2025'!E339="","",'1.1 Produksi Bersih Padi 2025'!E339)</f>
        <v/>
      </c>
      <c r="F339" s="28" t="str">
        <f>IF(D339="","",VLOOKUP(D339,'[1]0.1 Produksi Pangan &amp; Penduduk'!$D$5:$Y$860,22,0))</f>
        <v/>
      </c>
      <c r="G339" s="30" t="str">
        <f t="shared" si="25"/>
        <v/>
      </c>
      <c r="H339" s="30" t="str">
        <f t="shared" si="26"/>
        <v/>
      </c>
      <c r="I339" s="30" t="str">
        <f t="shared" si="27"/>
        <v/>
      </c>
      <c r="J339" s="30" t="str">
        <f t="shared" si="28"/>
        <v/>
      </c>
      <c r="K339" s="30" t="str">
        <f t="shared" si="29"/>
        <v/>
      </c>
      <c r="M339" s="11"/>
    </row>
    <row r="340" spans="1:13" ht="15" x14ac:dyDescent="0.25">
      <c r="A340" s="1" t="str">
        <f>IF('1.1 Produksi Bersih Padi 2025'!A340="","",'1.1 Produksi Bersih Padi 2025'!A340)</f>
        <v/>
      </c>
      <c r="B340" s="31" t="str">
        <f>IF('1.1 Produksi Bersih Padi 2025'!B340="","",'1.1 Produksi Bersih Padi 2025'!B340)</f>
        <v/>
      </c>
      <c r="C340" s="31" t="str">
        <f>IF('1.1 Produksi Bersih Padi 2025'!C340="","",'1.1 Produksi Bersih Padi 2025'!C340)</f>
        <v/>
      </c>
      <c r="D340" s="1" t="str">
        <f>IF('1.1 Produksi Bersih Padi 2025'!D340="","",'1.1 Produksi Bersih Padi 2025'!D340)</f>
        <v/>
      </c>
      <c r="E340" s="1" t="str">
        <f>IF('1.1 Produksi Bersih Padi 2025'!E340="","",'1.1 Produksi Bersih Padi 2025'!E340)</f>
        <v/>
      </c>
      <c r="F340" s="28" t="str">
        <f>IF(D340="","",VLOOKUP(D340,'[1]0.1 Produksi Pangan &amp; Penduduk'!$D$5:$Y$860,22,0))</f>
        <v/>
      </c>
      <c r="G340" s="30" t="str">
        <f t="shared" si="25"/>
        <v/>
      </c>
      <c r="H340" s="30" t="str">
        <f t="shared" si="26"/>
        <v/>
      </c>
      <c r="I340" s="30" t="str">
        <f t="shared" si="27"/>
        <v/>
      </c>
      <c r="J340" s="30" t="str">
        <f t="shared" si="28"/>
        <v/>
      </c>
      <c r="K340" s="30" t="str">
        <f t="shared" si="29"/>
        <v/>
      </c>
      <c r="M340" s="11"/>
    </row>
    <row r="341" spans="1:13" ht="15" x14ac:dyDescent="0.25">
      <c r="A341" s="1" t="str">
        <f>IF('1.1 Produksi Bersih Padi 2025'!A341="","",'1.1 Produksi Bersih Padi 2025'!A341)</f>
        <v/>
      </c>
      <c r="B341" s="31" t="str">
        <f>IF('1.1 Produksi Bersih Padi 2025'!B341="","",'1.1 Produksi Bersih Padi 2025'!B341)</f>
        <v/>
      </c>
      <c r="C341" s="31" t="str">
        <f>IF('1.1 Produksi Bersih Padi 2025'!C341="","",'1.1 Produksi Bersih Padi 2025'!C341)</f>
        <v/>
      </c>
      <c r="D341" s="1" t="str">
        <f>IF('1.1 Produksi Bersih Padi 2025'!D341="","",'1.1 Produksi Bersih Padi 2025'!D341)</f>
        <v/>
      </c>
      <c r="E341" s="1" t="str">
        <f>IF('1.1 Produksi Bersih Padi 2025'!E341="","",'1.1 Produksi Bersih Padi 2025'!E341)</f>
        <v/>
      </c>
      <c r="F341" s="28" t="str">
        <f>IF(D341="","",VLOOKUP(D341,'[1]0.1 Produksi Pangan &amp; Penduduk'!$D$5:$Y$860,22,0))</f>
        <v/>
      </c>
      <c r="G341" s="30" t="str">
        <f t="shared" si="25"/>
        <v/>
      </c>
      <c r="H341" s="30" t="str">
        <f t="shared" si="26"/>
        <v/>
      </c>
      <c r="I341" s="30" t="str">
        <f t="shared" si="27"/>
        <v/>
      </c>
      <c r="J341" s="30" t="str">
        <f t="shared" si="28"/>
        <v/>
      </c>
      <c r="K341" s="30" t="str">
        <f t="shared" si="29"/>
        <v/>
      </c>
      <c r="M341" s="11"/>
    </row>
    <row r="342" spans="1:13" ht="15" x14ac:dyDescent="0.25">
      <c r="A342" s="1" t="str">
        <f>IF('1.1 Produksi Bersih Padi 2025'!A342="","",'1.1 Produksi Bersih Padi 2025'!A342)</f>
        <v/>
      </c>
      <c r="B342" s="31" t="str">
        <f>IF('1.1 Produksi Bersih Padi 2025'!B342="","",'1.1 Produksi Bersih Padi 2025'!B342)</f>
        <v/>
      </c>
      <c r="C342" s="31" t="str">
        <f>IF('1.1 Produksi Bersih Padi 2025'!C342="","",'1.1 Produksi Bersih Padi 2025'!C342)</f>
        <v/>
      </c>
      <c r="D342" s="1" t="str">
        <f>IF('1.1 Produksi Bersih Padi 2025'!D342="","",'1.1 Produksi Bersih Padi 2025'!D342)</f>
        <v/>
      </c>
      <c r="E342" s="1" t="str">
        <f>IF('1.1 Produksi Bersih Padi 2025'!E342="","",'1.1 Produksi Bersih Padi 2025'!E342)</f>
        <v/>
      </c>
      <c r="F342" s="28" t="str">
        <f>IF(D342="","",VLOOKUP(D342,'[1]0.1 Produksi Pangan &amp; Penduduk'!$D$5:$Y$860,22,0))</f>
        <v/>
      </c>
      <c r="G342" s="30" t="str">
        <f t="shared" si="25"/>
        <v/>
      </c>
      <c r="H342" s="30" t="str">
        <f t="shared" si="26"/>
        <v/>
      </c>
      <c r="I342" s="30" t="str">
        <f t="shared" si="27"/>
        <v/>
      </c>
      <c r="J342" s="30" t="str">
        <f t="shared" si="28"/>
        <v/>
      </c>
      <c r="K342" s="30" t="str">
        <f t="shared" si="29"/>
        <v/>
      </c>
      <c r="M342" s="11"/>
    </row>
    <row r="343" spans="1:13" ht="15" x14ac:dyDescent="0.25">
      <c r="A343" s="1" t="str">
        <f>IF('1.1 Produksi Bersih Padi 2025'!A343="","",'1.1 Produksi Bersih Padi 2025'!A343)</f>
        <v/>
      </c>
      <c r="B343" s="31" t="str">
        <f>IF('1.1 Produksi Bersih Padi 2025'!B343="","",'1.1 Produksi Bersih Padi 2025'!B343)</f>
        <v/>
      </c>
      <c r="C343" s="31" t="str">
        <f>IF('1.1 Produksi Bersih Padi 2025'!C343="","",'1.1 Produksi Bersih Padi 2025'!C343)</f>
        <v/>
      </c>
      <c r="D343" s="1" t="str">
        <f>IF('1.1 Produksi Bersih Padi 2025'!D343="","",'1.1 Produksi Bersih Padi 2025'!D343)</f>
        <v/>
      </c>
      <c r="E343" s="1" t="str">
        <f>IF('1.1 Produksi Bersih Padi 2025'!E343="","",'1.1 Produksi Bersih Padi 2025'!E343)</f>
        <v/>
      </c>
      <c r="F343" s="28" t="str">
        <f>IF(D343="","",VLOOKUP(D343,'[1]0.1 Produksi Pangan &amp; Penduduk'!$D$5:$Y$860,22,0))</f>
        <v/>
      </c>
      <c r="G343" s="30" t="str">
        <f t="shared" si="25"/>
        <v/>
      </c>
      <c r="H343" s="30" t="str">
        <f t="shared" si="26"/>
        <v/>
      </c>
      <c r="I343" s="30" t="str">
        <f t="shared" si="27"/>
        <v/>
      </c>
      <c r="J343" s="30" t="str">
        <f t="shared" si="28"/>
        <v/>
      </c>
      <c r="K343" s="30" t="str">
        <f t="shared" si="29"/>
        <v/>
      </c>
      <c r="M343" s="11"/>
    </row>
    <row r="344" spans="1:13" ht="15" x14ac:dyDescent="0.25">
      <c r="A344" s="1" t="str">
        <f>IF('1.1 Produksi Bersih Padi 2025'!A344="","",'1.1 Produksi Bersih Padi 2025'!A344)</f>
        <v/>
      </c>
      <c r="B344" s="31" t="str">
        <f>IF('1.1 Produksi Bersih Padi 2025'!B344="","",'1.1 Produksi Bersih Padi 2025'!B344)</f>
        <v/>
      </c>
      <c r="C344" s="31" t="str">
        <f>IF('1.1 Produksi Bersih Padi 2025'!C344="","",'1.1 Produksi Bersih Padi 2025'!C344)</f>
        <v/>
      </c>
      <c r="D344" s="1" t="str">
        <f>IF('1.1 Produksi Bersih Padi 2025'!D344="","",'1.1 Produksi Bersih Padi 2025'!D344)</f>
        <v/>
      </c>
      <c r="E344" s="1" t="str">
        <f>IF('1.1 Produksi Bersih Padi 2025'!E344="","",'1.1 Produksi Bersih Padi 2025'!E344)</f>
        <v/>
      </c>
      <c r="F344" s="28" t="str">
        <f>IF(D344="","",VLOOKUP(D344,'[1]0.1 Produksi Pangan &amp; Penduduk'!$D$5:$Y$860,22,0))</f>
        <v/>
      </c>
      <c r="G344" s="30" t="str">
        <f t="shared" si="25"/>
        <v/>
      </c>
      <c r="H344" s="30" t="str">
        <f t="shared" si="26"/>
        <v/>
      </c>
      <c r="I344" s="30" t="str">
        <f t="shared" si="27"/>
        <v/>
      </c>
      <c r="J344" s="30" t="str">
        <f t="shared" si="28"/>
        <v/>
      </c>
      <c r="K344" s="30" t="str">
        <f t="shared" si="29"/>
        <v/>
      </c>
      <c r="M344" s="11"/>
    </row>
    <row r="345" spans="1:13" ht="15" x14ac:dyDescent="0.25">
      <c r="A345" s="1" t="str">
        <f>IF('1.1 Produksi Bersih Padi 2025'!A345="","",'1.1 Produksi Bersih Padi 2025'!A345)</f>
        <v/>
      </c>
      <c r="B345" s="31" t="str">
        <f>IF('1.1 Produksi Bersih Padi 2025'!B345="","",'1.1 Produksi Bersih Padi 2025'!B345)</f>
        <v/>
      </c>
      <c r="C345" s="31" t="str">
        <f>IF('1.1 Produksi Bersih Padi 2025'!C345="","",'1.1 Produksi Bersih Padi 2025'!C345)</f>
        <v/>
      </c>
      <c r="D345" s="1" t="str">
        <f>IF('1.1 Produksi Bersih Padi 2025'!D345="","",'1.1 Produksi Bersih Padi 2025'!D345)</f>
        <v/>
      </c>
      <c r="E345" s="1" t="str">
        <f>IF('1.1 Produksi Bersih Padi 2025'!E345="","",'1.1 Produksi Bersih Padi 2025'!E345)</f>
        <v/>
      </c>
      <c r="F345" s="28" t="str">
        <f>IF(D345="","",VLOOKUP(D345,'[1]0.1 Produksi Pangan &amp; Penduduk'!$D$5:$Y$860,22,0))</f>
        <v/>
      </c>
      <c r="G345" s="30" t="str">
        <f t="shared" si="25"/>
        <v/>
      </c>
      <c r="H345" s="30" t="str">
        <f t="shared" si="26"/>
        <v/>
      </c>
      <c r="I345" s="30" t="str">
        <f t="shared" si="27"/>
        <v/>
      </c>
      <c r="J345" s="30" t="str">
        <f t="shared" si="28"/>
        <v/>
      </c>
      <c r="K345" s="30" t="str">
        <f t="shared" si="29"/>
        <v/>
      </c>
      <c r="M345" s="11"/>
    </row>
    <row r="346" spans="1:13" ht="15" x14ac:dyDescent="0.25">
      <c r="A346" s="1" t="str">
        <f>IF('1.1 Produksi Bersih Padi 2025'!A346="","",'1.1 Produksi Bersih Padi 2025'!A346)</f>
        <v/>
      </c>
      <c r="B346" s="31" t="str">
        <f>IF('1.1 Produksi Bersih Padi 2025'!B346="","",'1.1 Produksi Bersih Padi 2025'!B346)</f>
        <v/>
      </c>
      <c r="C346" s="31" t="str">
        <f>IF('1.1 Produksi Bersih Padi 2025'!C346="","",'1.1 Produksi Bersih Padi 2025'!C346)</f>
        <v/>
      </c>
      <c r="D346" s="1" t="str">
        <f>IF('1.1 Produksi Bersih Padi 2025'!D346="","",'1.1 Produksi Bersih Padi 2025'!D346)</f>
        <v/>
      </c>
      <c r="E346" s="1" t="str">
        <f>IF('1.1 Produksi Bersih Padi 2025'!E346="","",'1.1 Produksi Bersih Padi 2025'!E346)</f>
        <v/>
      </c>
      <c r="F346" s="28" t="str">
        <f>IF(D346="","",VLOOKUP(D346,'[1]0.1 Produksi Pangan &amp; Penduduk'!$D$5:$Y$860,22,0))</f>
        <v/>
      </c>
      <c r="G346" s="30" t="str">
        <f t="shared" si="25"/>
        <v/>
      </c>
      <c r="H346" s="30" t="str">
        <f t="shared" si="26"/>
        <v/>
      </c>
      <c r="I346" s="30" t="str">
        <f t="shared" si="27"/>
        <v/>
      </c>
      <c r="J346" s="30" t="str">
        <f t="shared" si="28"/>
        <v/>
      </c>
      <c r="K346" s="30" t="str">
        <f t="shared" si="29"/>
        <v/>
      </c>
      <c r="M346" s="11"/>
    </row>
    <row r="347" spans="1:13" ht="15" x14ac:dyDescent="0.25">
      <c r="A347" s="1" t="str">
        <f>IF('1.1 Produksi Bersih Padi 2025'!A347="","",'1.1 Produksi Bersih Padi 2025'!A347)</f>
        <v/>
      </c>
      <c r="B347" s="31" t="str">
        <f>IF('1.1 Produksi Bersih Padi 2025'!B347="","",'1.1 Produksi Bersih Padi 2025'!B347)</f>
        <v/>
      </c>
      <c r="C347" s="31" t="str">
        <f>IF('1.1 Produksi Bersih Padi 2025'!C347="","",'1.1 Produksi Bersih Padi 2025'!C347)</f>
        <v/>
      </c>
      <c r="D347" s="1" t="str">
        <f>IF('1.1 Produksi Bersih Padi 2025'!D347="","",'1.1 Produksi Bersih Padi 2025'!D347)</f>
        <v/>
      </c>
      <c r="E347" s="1" t="str">
        <f>IF('1.1 Produksi Bersih Padi 2025'!E347="","",'1.1 Produksi Bersih Padi 2025'!E347)</f>
        <v/>
      </c>
      <c r="F347" s="28" t="str">
        <f>IF(D347="","",VLOOKUP(D347,'[1]0.1 Produksi Pangan &amp; Penduduk'!$D$5:$Y$860,22,0))</f>
        <v/>
      </c>
      <c r="G347" s="30" t="str">
        <f t="shared" si="25"/>
        <v/>
      </c>
      <c r="H347" s="30" t="str">
        <f t="shared" si="26"/>
        <v/>
      </c>
      <c r="I347" s="30" t="str">
        <f t="shared" si="27"/>
        <v/>
      </c>
      <c r="J347" s="30" t="str">
        <f t="shared" si="28"/>
        <v/>
      </c>
      <c r="K347" s="30" t="str">
        <f t="shared" si="29"/>
        <v/>
      </c>
      <c r="M347" s="11"/>
    </row>
    <row r="348" spans="1:13" ht="15" x14ac:dyDescent="0.25">
      <c r="A348" s="1" t="str">
        <f>IF('1.1 Produksi Bersih Padi 2025'!A348="","",'1.1 Produksi Bersih Padi 2025'!A348)</f>
        <v/>
      </c>
      <c r="B348" s="31" t="str">
        <f>IF('1.1 Produksi Bersih Padi 2025'!B348="","",'1.1 Produksi Bersih Padi 2025'!B348)</f>
        <v/>
      </c>
      <c r="C348" s="31" t="str">
        <f>IF('1.1 Produksi Bersih Padi 2025'!C348="","",'1.1 Produksi Bersih Padi 2025'!C348)</f>
        <v/>
      </c>
      <c r="D348" s="1" t="str">
        <f>IF('1.1 Produksi Bersih Padi 2025'!D348="","",'1.1 Produksi Bersih Padi 2025'!D348)</f>
        <v/>
      </c>
      <c r="E348" s="1" t="str">
        <f>IF('1.1 Produksi Bersih Padi 2025'!E348="","",'1.1 Produksi Bersih Padi 2025'!E348)</f>
        <v/>
      </c>
      <c r="F348" s="28" t="str">
        <f>IF(D348="","",VLOOKUP(D348,'[1]0.1 Produksi Pangan &amp; Penduduk'!$D$5:$Y$860,22,0))</f>
        <v/>
      </c>
      <c r="G348" s="30" t="str">
        <f t="shared" si="25"/>
        <v/>
      </c>
      <c r="H348" s="30" t="str">
        <f t="shared" si="26"/>
        <v/>
      </c>
      <c r="I348" s="30" t="str">
        <f t="shared" si="27"/>
        <v/>
      </c>
      <c r="J348" s="30" t="str">
        <f t="shared" si="28"/>
        <v/>
      </c>
      <c r="K348" s="30" t="str">
        <f t="shared" si="29"/>
        <v/>
      </c>
      <c r="M348" s="11"/>
    </row>
    <row r="349" spans="1:13" ht="15" x14ac:dyDescent="0.25">
      <c r="A349" s="1" t="str">
        <f>IF('1.1 Produksi Bersih Padi 2025'!A349="","",'1.1 Produksi Bersih Padi 2025'!A349)</f>
        <v/>
      </c>
      <c r="B349" s="31" t="str">
        <f>IF('1.1 Produksi Bersih Padi 2025'!B349="","",'1.1 Produksi Bersih Padi 2025'!B349)</f>
        <v/>
      </c>
      <c r="C349" s="31" t="str">
        <f>IF('1.1 Produksi Bersih Padi 2025'!C349="","",'1.1 Produksi Bersih Padi 2025'!C349)</f>
        <v/>
      </c>
      <c r="D349" s="1" t="str">
        <f>IF('1.1 Produksi Bersih Padi 2025'!D349="","",'1.1 Produksi Bersih Padi 2025'!D349)</f>
        <v/>
      </c>
      <c r="E349" s="1" t="str">
        <f>IF('1.1 Produksi Bersih Padi 2025'!E349="","",'1.1 Produksi Bersih Padi 2025'!E349)</f>
        <v/>
      </c>
      <c r="F349" s="28" t="str">
        <f>IF(D349="","",VLOOKUP(D349,'[1]0.1 Produksi Pangan &amp; Penduduk'!$D$5:$Y$860,22,0))</f>
        <v/>
      </c>
      <c r="G349" s="30" t="str">
        <f t="shared" si="25"/>
        <v/>
      </c>
      <c r="H349" s="30" t="str">
        <f t="shared" si="26"/>
        <v/>
      </c>
      <c r="I349" s="30" t="str">
        <f t="shared" si="27"/>
        <v/>
      </c>
      <c r="J349" s="30" t="str">
        <f t="shared" si="28"/>
        <v/>
      </c>
      <c r="K349" s="30" t="str">
        <f t="shared" si="29"/>
        <v/>
      </c>
      <c r="M349" s="11"/>
    </row>
    <row r="350" spans="1:13" ht="15" x14ac:dyDescent="0.25">
      <c r="A350" s="1" t="str">
        <f>IF('1.1 Produksi Bersih Padi 2025'!A350="","",'1.1 Produksi Bersih Padi 2025'!A350)</f>
        <v/>
      </c>
      <c r="B350" s="31" t="str">
        <f>IF('1.1 Produksi Bersih Padi 2025'!B350="","",'1.1 Produksi Bersih Padi 2025'!B350)</f>
        <v/>
      </c>
      <c r="C350" s="31" t="str">
        <f>IF('1.1 Produksi Bersih Padi 2025'!C350="","",'1.1 Produksi Bersih Padi 2025'!C350)</f>
        <v/>
      </c>
      <c r="D350" s="1" t="str">
        <f>IF('1.1 Produksi Bersih Padi 2025'!D350="","",'1.1 Produksi Bersih Padi 2025'!D350)</f>
        <v/>
      </c>
      <c r="E350" s="1" t="str">
        <f>IF('1.1 Produksi Bersih Padi 2025'!E350="","",'1.1 Produksi Bersih Padi 2025'!E350)</f>
        <v/>
      </c>
      <c r="F350" s="28" t="str">
        <f>IF(D350="","",VLOOKUP(D350,'[1]0.1 Produksi Pangan &amp; Penduduk'!$D$5:$Y$860,22,0))</f>
        <v/>
      </c>
      <c r="G350" s="30" t="str">
        <f t="shared" si="25"/>
        <v/>
      </c>
      <c r="H350" s="30" t="str">
        <f t="shared" si="26"/>
        <v/>
      </c>
      <c r="I350" s="30" t="str">
        <f t="shared" si="27"/>
        <v/>
      </c>
      <c r="J350" s="30" t="str">
        <f t="shared" si="28"/>
        <v/>
      </c>
      <c r="K350" s="30" t="str">
        <f t="shared" si="29"/>
        <v/>
      </c>
      <c r="M350" s="11"/>
    </row>
    <row r="351" spans="1:13" ht="15" x14ac:dyDescent="0.25">
      <c r="A351" s="1" t="str">
        <f>IF('1.1 Produksi Bersih Padi 2025'!A351="","",'1.1 Produksi Bersih Padi 2025'!A351)</f>
        <v/>
      </c>
      <c r="B351" s="31" t="str">
        <f>IF('1.1 Produksi Bersih Padi 2025'!B351="","",'1.1 Produksi Bersih Padi 2025'!B351)</f>
        <v/>
      </c>
      <c r="C351" s="31" t="str">
        <f>IF('1.1 Produksi Bersih Padi 2025'!C351="","",'1.1 Produksi Bersih Padi 2025'!C351)</f>
        <v/>
      </c>
      <c r="D351" s="1" t="str">
        <f>IF('1.1 Produksi Bersih Padi 2025'!D351="","",'1.1 Produksi Bersih Padi 2025'!D351)</f>
        <v/>
      </c>
      <c r="E351" s="1" t="str">
        <f>IF('1.1 Produksi Bersih Padi 2025'!E351="","",'1.1 Produksi Bersih Padi 2025'!E351)</f>
        <v/>
      </c>
      <c r="F351" s="28" t="str">
        <f>IF(D351="","",VLOOKUP(D351,'[1]0.1 Produksi Pangan &amp; Penduduk'!$D$5:$Y$860,22,0))</f>
        <v/>
      </c>
      <c r="G351" s="30" t="str">
        <f t="shared" si="25"/>
        <v/>
      </c>
      <c r="H351" s="30" t="str">
        <f t="shared" si="26"/>
        <v/>
      </c>
      <c r="I351" s="30" t="str">
        <f t="shared" si="27"/>
        <v/>
      </c>
      <c r="J351" s="30" t="str">
        <f t="shared" si="28"/>
        <v/>
      </c>
      <c r="K351" s="30" t="str">
        <f t="shared" si="29"/>
        <v/>
      </c>
      <c r="M351" s="11"/>
    </row>
    <row r="352" spans="1:13" ht="15" x14ac:dyDescent="0.25">
      <c r="A352" s="1" t="str">
        <f>IF('1.1 Produksi Bersih Padi 2025'!A352="","",'1.1 Produksi Bersih Padi 2025'!A352)</f>
        <v/>
      </c>
      <c r="B352" s="31" t="str">
        <f>IF('1.1 Produksi Bersih Padi 2025'!B352="","",'1.1 Produksi Bersih Padi 2025'!B352)</f>
        <v/>
      </c>
      <c r="C352" s="31" t="str">
        <f>IF('1.1 Produksi Bersih Padi 2025'!C352="","",'1.1 Produksi Bersih Padi 2025'!C352)</f>
        <v/>
      </c>
      <c r="D352" s="1" t="str">
        <f>IF('1.1 Produksi Bersih Padi 2025'!D352="","",'1.1 Produksi Bersih Padi 2025'!D352)</f>
        <v/>
      </c>
      <c r="E352" s="1" t="str">
        <f>IF('1.1 Produksi Bersih Padi 2025'!E352="","",'1.1 Produksi Bersih Padi 2025'!E352)</f>
        <v/>
      </c>
      <c r="F352" s="28" t="str">
        <f>IF(D352="","",VLOOKUP(D352,'[1]0.1 Produksi Pangan &amp; Penduduk'!$D$5:$Y$860,22,0))</f>
        <v/>
      </c>
      <c r="G352" s="30" t="str">
        <f t="shared" si="25"/>
        <v/>
      </c>
      <c r="H352" s="30" t="str">
        <f t="shared" si="26"/>
        <v/>
      </c>
      <c r="I352" s="30" t="str">
        <f t="shared" si="27"/>
        <v/>
      </c>
      <c r="J352" s="30" t="str">
        <f t="shared" si="28"/>
        <v/>
      </c>
      <c r="K352" s="30" t="str">
        <f t="shared" si="29"/>
        <v/>
      </c>
      <c r="M352" s="11"/>
    </row>
    <row r="353" spans="1:13" ht="15" x14ac:dyDescent="0.25">
      <c r="A353" s="1" t="str">
        <f>IF('1.1 Produksi Bersih Padi 2025'!A353="","",'1.1 Produksi Bersih Padi 2025'!A353)</f>
        <v/>
      </c>
      <c r="B353" s="31" t="str">
        <f>IF('1.1 Produksi Bersih Padi 2025'!B353="","",'1.1 Produksi Bersih Padi 2025'!B353)</f>
        <v/>
      </c>
      <c r="C353" s="31" t="str">
        <f>IF('1.1 Produksi Bersih Padi 2025'!C353="","",'1.1 Produksi Bersih Padi 2025'!C353)</f>
        <v/>
      </c>
      <c r="D353" s="1" t="str">
        <f>IF('1.1 Produksi Bersih Padi 2025'!D353="","",'1.1 Produksi Bersih Padi 2025'!D353)</f>
        <v/>
      </c>
      <c r="E353" s="1" t="str">
        <f>IF('1.1 Produksi Bersih Padi 2025'!E353="","",'1.1 Produksi Bersih Padi 2025'!E353)</f>
        <v/>
      </c>
      <c r="F353" s="28" t="str">
        <f>IF(D353="","",VLOOKUP(D353,'[1]0.1 Produksi Pangan &amp; Penduduk'!$D$5:$Y$860,22,0))</f>
        <v/>
      </c>
      <c r="G353" s="30" t="str">
        <f t="shared" si="25"/>
        <v/>
      </c>
      <c r="H353" s="30" t="str">
        <f t="shared" si="26"/>
        <v/>
      </c>
      <c r="I353" s="30" t="str">
        <f t="shared" si="27"/>
        <v/>
      </c>
      <c r="J353" s="30" t="str">
        <f t="shared" si="28"/>
        <v/>
      </c>
      <c r="K353" s="30" t="str">
        <f t="shared" si="29"/>
        <v/>
      </c>
      <c r="M353" s="11"/>
    </row>
    <row r="354" spans="1:13" ht="15" x14ac:dyDescent="0.25">
      <c r="A354" s="1" t="str">
        <f>IF('1.1 Produksi Bersih Padi 2025'!A354="","",'1.1 Produksi Bersih Padi 2025'!A354)</f>
        <v/>
      </c>
      <c r="B354" s="31" t="str">
        <f>IF('1.1 Produksi Bersih Padi 2025'!B354="","",'1.1 Produksi Bersih Padi 2025'!B354)</f>
        <v/>
      </c>
      <c r="C354" s="31" t="str">
        <f>IF('1.1 Produksi Bersih Padi 2025'!C354="","",'1.1 Produksi Bersih Padi 2025'!C354)</f>
        <v/>
      </c>
      <c r="D354" s="1" t="str">
        <f>IF('1.1 Produksi Bersih Padi 2025'!D354="","",'1.1 Produksi Bersih Padi 2025'!D354)</f>
        <v/>
      </c>
      <c r="E354" s="1" t="str">
        <f>IF('1.1 Produksi Bersih Padi 2025'!E354="","",'1.1 Produksi Bersih Padi 2025'!E354)</f>
        <v/>
      </c>
      <c r="F354" s="28" t="str">
        <f>IF(D354="","",VLOOKUP(D354,'[1]0.1 Produksi Pangan &amp; Penduduk'!$D$5:$Y$860,22,0))</f>
        <v/>
      </c>
      <c r="G354" s="30" t="str">
        <f t="shared" si="25"/>
        <v/>
      </c>
      <c r="H354" s="30" t="str">
        <f t="shared" si="26"/>
        <v/>
      </c>
      <c r="I354" s="30" t="str">
        <f t="shared" si="27"/>
        <v/>
      </c>
      <c r="J354" s="30" t="str">
        <f t="shared" si="28"/>
        <v/>
      </c>
      <c r="K354" s="30" t="str">
        <f t="shared" si="29"/>
        <v/>
      </c>
      <c r="M354" s="11"/>
    </row>
    <row r="355" spans="1:13" ht="15" x14ac:dyDescent="0.25">
      <c r="A355" s="1" t="str">
        <f>IF('1.1 Produksi Bersih Padi 2025'!A355="","",'1.1 Produksi Bersih Padi 2025'!A355)</f>
        <v/>
      </c>
      <c r="B355" s="31" t="str">
        <f>IF('1.1 Produksi Bersih Padi 2025'!B355="","",'1.1 Produksi Bersih Padi 2025'!B355)</f>
        <v/>
      </c>
      <c r="C355" s="31" t="str">
        <f>IF('1.1 Produksi Bersih Padi 2025'!C355="","",'1.1 Produksi Bersih Padi 2025'!C355)</f>
        <v/>
      </c>
      <c r="D355" s="1" t="str">
        <f>IF('1.1 Produksi Bersih Padi 2025'!D355="","",'1.1 Produksi Bersih Padi 2025'!D355)</f>
        <v/>
      </c>
      <c r="E355" s="1" t="str">
        <f>IF('1.1 Produksi Bersih Padi 2025'!E355="","",'1.1 Produksi Bersih Padi 2025'!E355)</f>
        <v/>
      </c>
      <c r="F355" s="28" t="str">
        <f>IF(D355="","",VLOOKUP(D355,'[1]0.1 Produksi Pangan &amp; Penduduk'!$D$5:$Y$860,22,0))</f>
        <v/>
      </c>
      <c r="G355" s="30" t="str">
        <f t="shared" si="25"/>
        <v/>
      </c>
      <c r="H355" s="30" t="str">
        <f t="shared" si="26"/>
        <v/>
      </c>
      <c r="I355" s="30" t="str">
        <f t="shared" si="27"/>
        <v/>
      </c>
      <c r="J355" s="30" t="str">
        <f t="shared" si="28"/>
        <v/>
      </c>
      <c r="K355" s="30" t="str">
        <f t="shared" si="29"/>
        <v/>
      </c>
      <c r="M355" s="11"/>
    </row>
    <row r="356" spans="1:13" ht="15" x14ac:dyDescent="0.25">
      <c r="A356" s="1" t="str">
        <f>IF('1.1 Produksi Bersih Padi 2025'!A356="","",'1.1 Produksi Bersih Padi 2025'!A356)</f>
        <v/>
      </c>
      <c r="B356" s="31" t="str">
        <f>IF('1.1 Produksi Bersih Padi 2025'!B356="","",'1.1 Produksi Bersih Padi 2025'!B356)</f>
        <v/>
      </c>
      <c r="C356" s="31" t="str">
        <f>IF('1.1 Produksi Bersih Padi 2025'!C356="","",'1.1 Produksi Bersih Padi 2025'!C356)</f>
        <v/>
      </c>
      <c r="D356" s="1" t="str">
        <f>IF('1.1 Produksi Bersih Padi 2025'!D356="","",'1.1 Produksi Bersih Padi 2025'!D356)</f>
        <v/>
      </c>
      <c r="E356" s="1" t="str">
        <f>IF('1.1 Produksi Bersih Padi 2025'!E356="","",'1.1 Produksi Bersih Padi 2025'!E356)</f>
        <v/>
      </c>
      <c r="F356" s="28" t="str">
        <f>IF(D356="","",VLOOKUP(D356,'[1]0.1 Produksi Pangan &amp; Penduduk'!$D$5:$Y$860,22,0))</f>
        <v/>
      </c>
      <c r="G356" s="30" t="str">
        <f t="shared" si="25"/>
        <v/>
      </c>
      <c r="H356" s="30" t="str">
        <f t="shared" si="26"/>
        <v/>
      </c>
      <c r="I356" s="30" t="str">
        <f t="shared" si="27"/>
        <v/>
      </c>
      <c r="J356" s="30" t="str">
        <f t="shared" si="28"/>
        <v/>
      </c>
      <c r="K356" s="30" t="str">
        <f t="shared" si="29"/>
        <v/>
      </c>
      <c r="M356" s="11"/>
    </row>
    <row r="357" spans="1:13" ht="15" x14ac:dyDescent="0.25">
      <c r="A357" s="1" t="str">
        <f>IF('1.1 Produksi Bersih Padi 2025'!A357="","",'1.1 Produksi Bersih Padi 2025'!A357)</f>
        <v/>
      </c>
      <c r="B357" s="31" t="str">
        <f>IF('1.1 Produksi Bersih Padi 2025'!B357="","",'1.1 Produksi Bersih Padi 2025'!B357)</f>
        <v/>
      </c>
      <c r="C357" s="31" t="str">
        <f>IF('1.1 Produksi Bersih Padi 2025'!C357="","",'1.1 Produksi Bersih Padi 2025'!C357)</f>
        <v/>
      </c>
      <c r="D357" s="1" t="str">
        <f>IF('1.1 Produksi Bersih Padi 2025'!D357="","",'1.1 Produksi Bersih Padi 2025'!D357)</f>
        <v/>
      </c>
      <c r="E357" s="1" t="str">
        <f>IF('1.1 Produksi Bersih Padi 2025'!E357="","",'1.1 Produksi Bersih Padi 2025'!E357)</f>
        <v/>
      </c>
      <c r="F357" s="28" t="str">
        <f>IF(D357="","",VLOOKUP(D357,'[1]0.1 Produksi Pangan &amp; Penduduk'!$D$5:$Y$860,22,0))</f>
        <v/>
      </c>
      <c r="G357" s="30" t="str">
        <f t="shared" si="25"/>
        <v/>
      </c>
      <c r="H357" s="30" t="str">
        <f t="shared" si="26"/>
        <v/>
      </c>
      <c r="I357" s="30" t="str">
        <f t="shared" si="27"/>
        <v/>
      </c>
      <c r="J357" s="30" t="str">
        <f t="shared" si="28"/>
        <v/>
      </c>
      <c r="K357" s="30" t="str">
        <f t="shared" si="29"/>
        <v/>
      </c>
      <c r="M357" s="11"/>
    </row>
    <row r="358" spans="1:13" ht="15" x14ac:dyDescent="0.25">
      <c r="A358" s="1" t="str">
        <f>IF('1.1 Produksi Bersih Padi 2025'!A358="","",'1.1 Produksi Bersih Padi 2025'!A358)</f>
        <v/>
      </c>
      <c r="B358" s="31" t="str">
        <f>IF('1.1 Produksi Bersih Padi 2025'!B358="","",'1.1 Produksi Bersih Padi 2025'!B358)</f>
        <v/>
      </c>
      <c r="C358" s="31" t="str">
        <f>IF('1.1 Produksi Bersih Padi 2025'!C358="","",'1.1 Produksi Bersih Padi 2025'!C358)</f>
        <v/>
      </c>
      <c r="D358" s="1" t="str">
        <f>IF('1.1 Produksi Bersih Padi 2025'!D358="","",'1.1 Produksi Bersih Padi 2025'!D358)</f>
        <v/>
      </c>
      <c r="E358" s="1" t="str">
        <f>IF('1.1 Produksi Bersih Padi 2025'!E358="","",'1.1 Produksi Bersih Padi 2025'!E358)</f>
        <v/>
      </c>
      <c r="F358" s="28" t="str">
        <f>IF(D358="","",VLOOKUP(D358,'[1]0.1 Produksi Pangan &amp; Penduduk'!$D$5:$Y$860,22,0))</f>
        <v/>
      </c>
      <c r="G358" s="30" t="str">
        <f t="shared" si="25"/>
        <v/>
      </c>
      <c r="H358" s="30" t="str">
        <f t="shared" si="26"/>
        <v/>
      </c>
      <c r="I358" s="30" t="str">
        <f t="shared" si="27"/>
        <v/>
      </c>
      <c r="J358" s="30" t="str">
        <f t="shared" si="28"/>
        <v/>
      </c>
      <c r="K358" s="30" t="str">
        <f t="shared" si="29"/>
        <v/>
      </c>
      <c r="M358" s="11"/>
    </row>
    <row r="359" spans="1:13" ht="15" x14ac:dyDescent="0.25">
      <c r="A359" s="1" t="str">
        <f>IF('1.1 Produksi Bersih Padi 2025'!A359="","",'1.1 Produksi Bersih Padi 2025'!A359)</f>
        <v/>
      </c>
      <c r="B359" s="31" t="str">
        <f>IF('1.1 Produksi Bersih Padi 2025'!B359="","",'1.1 Produksi Bersih Padi 2025'!B359)</f>
        <v/>
      </c>
      <c r="C359" s="31" t="str">
        <f>IF('1.1 Produksi Bersih Padi 2025'!C359="","",'1.1 Produksi Bersih Padi 2025'!C359)</f>
        <v/>
      </c>
      <c r="D359" s="1" t="str">
        <f>IF('1.1 Produksi Bersih Padi 2025'!D359="","",'1.1 Produksi Bersih Padi 2025'!D359)</f>
        <v/>
      </c>
      <c r="E359" s="1" t="str">
        <f>IF('1.1 Produksi Bersih Padi 2025'!E359="","",'1.1 Produksi Bersih Padi 2025'!E359)</f>
        <v/>
      </c>
      <c r="F359" s="28" t="str">
        <f>IF(D359="","",VLOOKUP(D359,'[1]0.1 Produksi Pangan &amp; Penduduk'!$D$5:$Y$860,22,0))</f>
        <v/>
      </c>
      <c r="G359" s="30" t="str">
        <f t="shared" si="25"/>
        <v/>
      </c>
      <c r="H359" s="30" t="str">
        <f t="shared" si="26"/>
        <v/>
      </c>
      <c r="I359" s="30" t="str">
        <f t="shared" si="27"/>
        <v/>
      </c>
      <c r="J359" s="30" t="str">
        <f t="shared" si="28"/>
        <v/>
      </c>
      <c r="K359" s="30" t="str">
        <f t="shared" si="29"/>
        <v/>
      </c>
      <c r="M359" s="11"/>
    </row>
    <row r="360" spans="1:13" ht="15" x14ac:dyDescent="0.25">
      <c r="A360" s="1" t="str">
        <f>IF('1.1 Produksi Bersih Padi 2025'!A360="","",'1.1 Produksi Bersih Padi 2025'!A360)</f>
        <v/>
      </c>
      <c r="B360" s="31" t="str">
        <f>IF('1.1 Produksi Bersih Padi 2025'!B360="","",'1.1 Produksi Bersih Padi 2025'!B360)</f>
        <v/>
      </c>
      <c r="C360" s="31" t="str">
        <f>IF('1.1 Produksi Bersih Padi 2025'!C360="","",'1.1 Produksi Bersih Padi 2025'!C360)</f>
        <v/>
      </c>
      <c r="D360" s="1" t="str">
        <f>IF('1.1 Produksi Bersih Padi 2025'!D360="","",'1.1 Produksi Bersih Padi 2025'!D360)</f>
        <v/>
      </c>
      <c r="E360" s="1" t="str">
        <f>IF('1.1 Produksi Bersih Padi 2025'!E360="","",'1.1 Produksi Bersih Padi 2025'!E360)</f>
        <v/>
      </c>
      <c r="F360" s="28" t="str">
        <f>IF(D360="","",VLOOKUP(D360,'[1]0.1 Produksi Pangan &amp; Penduduk'!$D$5:$Y$860,22,0))</f>
        <v/>
      </c>
      <c r="G360" s="30" t="str">
        <f t="shared" si="25"/>
        <v/>
      </c>
      <c r="H360" s="30" t="str">
        <f t="shared" si="26"/>
        <v/>
      </c>
      <c r="I360" s="30" t="str">
        <f t="shared" si="27"/>
        <v/>
      </c>
      <c r="J360" s="30" t="str">
        <f t="shared" si="28"/>
        <v/>
      </c>
      <c r="K360" s="30" t="str">
        <f t="shared" si="29"/>
        <v/>
      </c>
      <c r="M360" s="11"/>
    </row>
    <row r="361" spans="1:13" ht="15" x14ac:dyDescent="0.25">
      <c r="A361" s="1" t="str">
        <f>IF('1.1 Produksi Bersih Padi 2025'!A361="","",'1.1 Produksi Bersih Padi 2025'!A361)</f>
        <v/>
      </c>
      <c r="B361" s="31" t="str">
        <f>IF('1.1 Produksi Bersih Padi 2025'!B361="","",'1.1 Produksi Bersih Padi 2025'!B361)</f>
        <v/>
      </c>
      <c r="C361" s="31" t="str">
        <f>IF('1.1 Produksi Bersih Padi 2025'!C361="","",'1.1 Produksi Bersih Padi 2025'!C361)</f>
        <v/>
      </c>
      <c r="D361" s="1" t="str">
        <f>IF('1.1 Produksi Bersih Padi 2025'!D361="","",'1.1 Produksi Bersih Padi 2025'!D361)</f>
        <v/>
      </c>
      <c r="E361" s="1" t="str">
        <f>IF('1.1 Produksi Bersih Padi 2025'!E361="","",'1.1 Produksi Bersih Padi 2025'!E361)</f>
        <v/>
      </c>
      <c r="F361" s="28" t="str">
        <f>IF(D361="","",VLOOKUP(D361,'[1]0.1 Produksi Pangan &amp; Penduduk'!$D$5:$Y$860,22,0))</f>
        <v/>
      </c>
      <c r="G361" s="30" t="str">
        <f t="shared" si="25"/>
        <v/>
      </c>
      <c r="H361" s="30" t="str">
        <f t="shared" si="26"/>
        <v/>
      </c>
      <c r="I361" s="30" t="str">
        <f t="shared" si="27"/>
        <v/>
      </c>
      <c r="J361" s="30" t="str">
        <f t="shared" si="28"/>
        <v/>
      </c>
      <c r="K361" s="30" t="str">
        <f t="shared" si="29"/>
        <v/>
      </c>
      <c r="M361" s="11"/>
    </row>
    <row r="362" spans="1:13" ht="15" x14ac:dyDescent="0.25">
      <c r="A362" s="1" t="str">
        <f>IF('1.1 Produksi Bersih Padi 2025'!A362="","",'1.1 Produksi Bersih Padi 2025'!A362)</f>
        <v/>
      </c>
      <c r="B362" s="31" t="str">
        <f>IF('1.1 Produksi Bersih Padi 2025'!B362="","",'1.1 Produksi Bersih Padi 2025'!B362)</f>
        <v/>
      </c>
      <c r="C362" s="31" t="str">
        <f>IF('1.1 Produksi Bersih Padi 2025'!C362="","",'1.1 Produksi Bersih Padi 2025'!C362)</f>
        <v/>
      </c>
      <c r="D362" s="1" t="str">
        <f>IF('1.1 Produksi Bersih Padi 2025'!D362="","",'1.1 Produksi Bersih Padi 2025'!D362)</f>
        <v/>
      </c>
      <c r="E362" s="1" t="str">
        <f>IF('1.1 Produksi Bersih Padi 2025'!E362="","",'1.1 Produksi Bersih Padi 2025'!E362)</f>
        <v/>
      </c>
      <c r="F362" s="28" t="str">
        <f>IF(D362="","",VLOOKUP(D362,'[1]0.1 Produksi Pangan &amp; Penduduk'!$D$5:$Y$860,22,0))</f>
        <v/>
      </c>
      <c r="G362" s="30" t="str">
        <f t="shared" si="25"/>
        <v/>
      </c>
      <c r="H362" s="30" t="str">
        <f t="shared" si="26"/>
        <v/>
      </c>
      <c r="I362" s="30" t="str">
        <f t="shared" si="27"/>
        <v/>
      </c>
      <c r="J362" s="30" t="str">
        <f t="shared" si="28"/>
        <v/>
      </c>
      <c r="K362" s="30" t="str">
        <f t="shared" si="29"/>
        <v/>
      </c>
      <c r="M362" s="11"/>
    </row>
    <row r="363" spans="1:13" ht="15" x14ac:dyDescent="0.25">
      <c r="A363" s="1" t="str">
        <f>IF('1.1 Produksi Bersih Padi 2025'!A363="","",'1.1 Produksi Bersih Padi 2025'!A363)</f>
        <v/>
      </c>
      <c r="B363" s="31" t="str">
        <f>IF('1.1 Produksi Bersih Padi 2025'!B363="","",'1.1 Produksi Bersih Padi 2025'!B363)</f>
        <v/>
      </c>
      <c r="C363" s="31" t="str">
        <f>IF('1.1 Produksi Bersih Padi 2025'!C363="","",'1.1 Produksi Bersih Padi 2025'!C363)</f>
        <v/>
      </c>
      <c r="D363" s="1" t="str">
        <f>IF('1.1 Produksi Bersih Padi 2025'!D363="","",'1.1 Produksi Bersih Padi 2025'!D363)</f>
        <v/>
      </c>
      <c r="E363" s="1" t="str">
        <f>IF('1.1 Produksi Bersih Padi 2025'!E363="","",'1.1 Produksi Bersih Padi 2025'!E363)</f>
        <v/>
      </c>
      <c r="F363" s="28" t="str">
        <f>IF(D363="","",VLOOKUP(D363,'[1]0.1 Produksi Pangan &amp; Penduduk'!$D$5:$Y$860,22,0))</f>
        <v/>
      </c>
      <c r="G363" s="30" t="str">
        <f t="shared" si="25"/>
        <v/>
      </c>
      <c r="H363" s="30" t="str">
        <f t="shared" si="26"/>
        <v/>
      </c>
      <c r="I363" s="30" t="str">
        <f t="shared" si="27"/>
        <v/>
      </c>
      <c r="J363" s="30" t="str">
        <f t="shared" si="28"/>
        <v/>
      </c>
      <c r="K363" s="30" t="str">
        <f t="shared" si="29"/>
        <v/>
      </c>
      <c r="M363" s="11"/>
    </row>
    <row r="364" spans="1:13" ht="15" x14ac:dyDescent="0.25">
      <c r="A364" s="1" t="str">
        <f>IF('1.1 Produksi Bersih Padi 2025'!A364="","",'1.1 Produksi Bersih Padi 2025'!A364)</f>
        <v/>
      </c>
      <c r="B364" s="31" t="str">
        <f>IF('1.1 Produksi Bersih Padi 2025'!B364="","",'1.1 Produksi Bersih Padi 2025'!B364)</f>
        <v/>
      </c>
      <c r="C364" s="31" t="str">
        <f>IF('1.1 Produksi Bersih Padi 2025'!C364="","",'1.1 Produksi Bersih Padi 2025'!C364)</f>
        <v/>
      </c>
      <c r="D364" s="1" t="str">
        <f>IF('1.1 Produksi Bersih Padi 2025'!D364="","",'1.1 Produksi Bersih Padi 2025'!D364)</f>
        <v/>
      </c>
      <c r="E364" s="1" t="str">
        <f>IF('1.1 Produksi Bersih Padi 2025'!E364="","",'1.1 Produksi Bersih Padi 2025'!E364)</f>
        <v/>
      </c>
      <c r="F364" s="28" t="str">
        <f>IF(D364="","",VLOOKUP(D364,'[1]0.1 Produksi Pangan &amp; Penduduk'!$D$5:$Y$860,22,0))</f>
        <v/>
      </c>
      <c r="G364" s="30" t="str">
        <f t="shared" si="25"/>
        <v/>
      </c>
      <c r="H364" s="30" t="str">
        <f t="shared" si="26"/>
        <v/>
      </c>
      <c r="I364" s="30" t="str">
        <f t="shared" si="27"/>
        <v/>
      </c>
      <c r="J364" s="30" t="str">
        <f t="shared" si="28"/>
        <v/>
      </c>
      <c r="K364" s="30" t="str">
        <f t="shared" si="29"/>
        <v/>
      </c>
      <c r="M364" s="11"/>
    </row>
    <row r="365" spans="1:13" ht="15" x14ac:dyDescent="0.25">
      <c r="A365" s="1" t="str">
        <f>IF('1.1 Produksi Bersih Padi 2025'!A365="","",'1.1 Produksi Bersih Padi 2025'!A365)</f>
        <v/>
      </c>
      <c r="B365" s="31" t="str">
        <f>IF('1.1 Produksi Bersih Padi 2025'!B365="","",'1.1 Produksi Bersih Padi 2025'!B365)</f>
        <v/>
      </c>
      <c r="C365" s="31" t="str">
        <f>IF('1.1 Produksi Bersih Padi 2025'!C365="","",'1.1 Produksi Bersih Padi 2025'!C365)</f>
        <v/>
      </c>
      <c r="D365" s="1" t="str">
        <f>IF('1.1 Produksi Bersih Padi 2025'!D365="","",'1.1 Produksi Bersih Padi 2025'!D365)</f>
        <v/>
      </c>
      <c r="E365" s="1" t="str">
        <f>IF('1.1 Produksi Bersih Padi 2025'!E365="","",'1.1 Produksi Bersih Padi 2025'!E365)</f>
        <v/>
      </c>
      <c r="F365" s="28" t="str">
        <f>IF(D365="","",VLOOKUP(D365,'[1]0.1 Produksi Pangan &amp; Penduduk'!$D$5:$Y$860,22,0))</f>
        <v/>
      </c>
      <c r="G365" s="30" t="str">
        <f t="shared" si="25"/>
        <v/>
      </c>
      <c r="H365" s="30" t="str">
        <f t="shared" si="26"/>
        <v/>
      </c>
      <c r="I365" s="30" t="str">
        <f t="shared" si="27"/>
        <v/>
      </c>
      <c r="J365" s="30" t="str">
        <f t="shared" si="28"/>
        <v/>
      </c>
      <c r="K365" s="30" t="str">
        <f t="shared" si="29"/>
        <v/>
      </c>
      <c r="M365" s="11"/>
    </row>
    <row r="366" spans="1:13" ht="15" x14ac:dyDescent="0.25">
      <c r="A366" s="1" t="str">
        <f>IF('1.1 Produksi Bersih Padi 2025'!A366="","",'1.1 Produksi Bersih Padi 2025'!A366)</f>
        <v/>
      </c>
      <c r="B366" s="31" t="str">
        <f>IF('1.1 Produksi Bersih Padi 2025'!B366="","",'1.1 Produksi Bersih Padi 2025'!B366)</f>
        <v/>
      </c>
      <c r="C366" s="31" t="str">
        <f>IF('1.1 Produksi Bersih Padi 2025'!C366="","",'1.1 Produksi Bersih Padi 2025'!C366)</f>
        <v/>
      </c>
      <c r="D366" s="1" t="str">
        <f>IF('1.1 Produksi Bersih Padi 2025'!D366="","",'1.1 Produksi Bersih Padi 2025'!D366)</f>
        <v/>
      </c>
      <c r="E366" s="1" t="str">
        <f>IF('1.1 Produksi Bersih Padi 2025'!E366="","",'1.1 Produksi Bersih Padi 2025'!E366)</f>
        <v/>
      </c>
      <c r="F366" s="28" t="str">
        <f>IF(D366="","",VLOOKUP(D366,'[1]0.1 Produksi Pangan &amp; Penduduk'!$D$5:$Y$860,22,0))</f>
        <v/>
      </c>
      <c r="G366" s="30" t="str">
        <f t="shared" si="25"/>
        <v/>
      </c>
      <c r="H366" s="30" t="str">
        <f t="shared" si="26"/>
        <v/>
      </c>
      <c r="I366" s="30" t="str">
        <f t="shared" si="27"/>
        <v/>
      </c>
      <c r="J366" s="30" t="str">
        <f t="shared" si="28"/>
        <v/>
      </c>
      <c r="K366" s="30" t="str">
        <f t="shared" si="29"/>
        <v/>
      </c>
      <c r="M366" s="11"/>
    </row>
    <row r="367" spans="1:13" ht="15" x14ac:dyDescent="0.25">
      <c r="A367" s="1" t="str">
        <f>IF('1.1 Produksi Bersih Padi 2025'!A367="","",'1.1 Produksi Bersih Padi 2025'!A367)</f>
        <v/>
      </c>
      <c r="B367" s="31" t="str">
        <f>IF('1.1 Produksi Bersih Padi 2025'!B367="","",'1.1 Produksi Bersih Padi 2025'!B367)</f>
        <v/>
      </c>
      <c r="C367" s="31" t="str">
        <f>IF('1.1 Produksi Bersih Padi 2025'!C367="","",'1.1 Produksi Bersih Padi 2025'!C367)</f>
        <v/>
      </c>
      <c r="D367" s="1" t="str">
        <f>IF('1.1 Produksi Bersih Padi 2025'!D367="","",'1.1 Produksi Bersih Padi 2025'!D367)</f>
        <v/>
      </c>
      <c r="E367" s="1" t="str">
        <f>IF('1.1 Produksi Bersih Padi 2025'!E367="","",'1.1 Produksi Bersih Padi 2025'!E367)</f>
        <v/>
      </c>
      <c r="F367" s="28" t="str">
        <f>IF(D367="","",VLOOKUP(D367,'[1]0.1 Produksi Pangan &amp; Penduduk'!$D$5:$Y$860,22,0))</f>
        <v/>
      </c>
      <c r="G367" s="30" t="str">
        <f t="shared" si="25"/>
        <v/>
      </c>
      <c r="H367" s="30" t="str">
        <f t="shared" si="26"/>
        <v/>
      </c>
      <c r="I367" s="30" t="str">
        <f t="shared" si="27"/>
        <v/>
      </c>
      <c r="J367" s="30" t="str">
        <f t="shared" si="28"/>
        <v/>
      </c>
      <c r="K367" s="30" t="str">
        <f t="shared" si="29"/>
        <v/>
      </c>
      <c r="M367" s="11"/>
    </row>
    <row r="368" spans="1:13" ht="15" x14ac:dyDescent="0.25">
      <c r="A368" s="1" t="str">
        <f>IF('1.1 Produksi Bersih Padi 2025'!A368="","",'1.1 Produksi Bersih Padi 2025'!A368)</f>
        <v/>
      </c>
      <c r="B368" s="31" t="str">
        <f>IF('1.1 Produksi Bersih Padi 2025'!B368="","",'1.1 Produksi Bersih Padi 2025'!B368)</f>
        <v/>
      </c>
      <c r="C368" s="31" t="str">
        <f>IF('1.1 Produksi Bersih Padi 2025'!C368="","",'1.1 Produksi Bersih Padi 2025'!C368)</f>
        <v/>
      </c>
      <c r="D368" s="1" t="str">
        <f>IF('1.1 Produksi Bersih Padi 2025'!D368="","",'1.1 Produksi Bersih Padi 2025'!D368)</f>
        <v/>
      </c>
      <c r="E368" s="1" t="str">
        <f>IF('1.1 Produksi Bersih Padi 2025'!E368="","",'1.1 Produksi Bersih Padi 2025'!E368)</f>
        <v/>
      </c>
      <c r="F368" s="28" t="str">
        <f>IF(D368="","",VLOOKUP(D368,'[1]0.1 Produksi Pangan &amp; Penduduk'!$D$5:$Y$860,22,0))</f>
        <v/>
      </c>
      <c r="G368" s="30" t="str">
        <f t="shared" si="25"/>
        <v/>
      </c>
      <c r="H368" s="30" t="str">
        <f t="shared" si="26"/>
        <v/>
      </c>
      <c r="I368" s="30" t="str">
        <f t="shared" si="27"/>
        <v/>
      </c>
      <c r="J368" s="30" t="str">
        <f t="shared" si="28"/>
        <v/>
      </c>
      <c r="K368" s="30" t="str">
        <f t="shared" si="29"/>
        <v/>
      </c>
      <c r="M368" s="11"/>
    </row>
    <row r="369" spans="1:13" ht="15" x14ac:dyDescent="0.25">
      <c r="A369" s="1" t="str">
        <f>IF('1.1 Produksi Bersih Padi 2025'!A369="","",'1.1 Produksi Bersih Padi 2025'!A369)</f>
        <v/>
      </c>
      <c r="B369" s="31" t="str">
        <f>IF('1.1 Produksi Bersih Padi 2025'!B369="","",'1.1 Produksi Bersih Padi 2025'!B369)</f>
        <v/>
      </c>
      <c r="C369" s="31" t="str">
        <f>IF('1.1 Produksi Bersih Padi 2025'!C369="","",'1.1 Produksi Bersih Padi 2025'!C369)</f>
        <v/>
      </c>
      <c r="D369" s="1" t="str">
        <f>IF('1.1 Produksi Bersih Padi 2025'!D369="","",'1.1 Produksi Bersih Padi 2025'!D369)</f>
        <v/>
      </c>
      <c r="E369" s="1" t="str">
        <f>IF('1.1 Produksi Bersih Padi 2025'!E369="","",'1.1 Produksi Bersih Padi 2025'!E369)</f>
        <v/>
      </c>
      <c r="F369" s="28" t="str">
        <f>IF(D369="","",VLOOKUP(D369,'[1]0.1 Produksi Pangan &amp; Penduduk'!$D$5:$Y$860,22,0))</f>
        <v/>
      </c>
      <c r="G369" s="30" t="str">
        <f t="shared" si="25"/>
        <v/>
      </c>
      <c r="H369" s="30" t="str">
        <f t="shared" si="26"/>
        <v/>
      </c>
      <c r="I369" s="30" t="str">
        <f t="shared" si="27"/>
        <v/>
      </c>
      <c r="J369" s="30" t="str">
        <f t="shared" si="28"/>
        <v/>
      </c>
      <c r="K369" s="30" t="str">
        <f t="shared" si="29"/>
        <v/>
      </c>
      <c r="M369" s="11"/>
    </row>
    <row r="370" spans="1:13" ht="15" x14ac:dyDescent="0.25">
      <c r="A370" s="1" t="str">
        <f>IF('1.1 Produksi Bersih Padi 2025'!A370="","",'1.1 Produksi Bersih Padi 2025'!A370)</f>
        <v/>
      </c>
      <c r="B370" s="31" t="str">
        <f>IF('1.1 Produksi Bersih Padi 2025'!B370="","",'1.1 Produksi Bersih Padi 2025'!B370)</f>
        <v/>
      </c>
      <c r="C370" s="31" t="str">
        <f>IF('1.1 Produksi Bersih Padi 2025'!C370="","",'1.1 Produksi Bersih Padi 2025'!C370)</f>
        <v/>
      </c>
      <c r="D370" s="1" t="str">
        <f>IF('1.1 Produksi Bersih Padi 2025'!D370="","",'1.1 Produksi Bersih Padi 2025'!D370)</f>
        <v/>
      </c>
      <c r="E370" s="1" t="str">
        <f>IF('1.1 Produksi Bersih Padi 2025'!E370="","",'1.1 Produksi Bersih Padi 2025'!E370)</f>
        <v/>
      </c>
      <c r="F370" s="28" t="str">
        <f>IF(D370="","",VLOOKUP(D370,'[1]0.1 Produksi Pangan &amp; Penduduk'!$D$5:$Y$860,22,0))</f>
        <v/>
      </c>
      <c r="G370" s="30" t="str">
        <f t="shared" si="25"/>
        <v/>
      </c>
      <c r="H370" s="30" t="str">
        <f t="shared" si="26"/>
        <v/>
      </c>
      <c r="I370" s="30" t="str">
        <f t="shared" si="27"/>
        <v/>
      </c>
      <c r="J370" s="30" t="str">
        <f t="shared" si="28"/>
        <v/>
      </c>
      <c r="K370" s="30" t="str">
        <f t="shared" si="29"/>
        <v/>
      </c>
      <c r="M370" s="11"/>
    </row>
    <row r="371" spans="1:13" ht="15" x14ac:dyDescent="0.25">
      <c r="A371" s="1" t="str">
        <f>IF('1.1 Produksi Bersih Padi 2025'!A371="","",'1.1 Produksi Bersih Padi 2025'!A371)</f>
        <v/>
      </c>
      <c r="B371" s="31" t="str">
        <f>IF('1.1 Produksi Bersih Padi 2025'!B371="","",'1.1 Produksi Bersih Padi 2025'!B371)</f>
        <v/>
      </c>
      <c r="C371" s="31" t="str">
        <f>IF('1.1 Produksi Bersih Padi 2025'!C371="","",'1.1 Produksi Bersih Padi 2025'!C371)</f>
        <v/>
      </c>
      <c r="D371" s="1" t="str">
        <f>IF('1.1 Produksi Bersih Padi 2025'!D371="","",'1.1 Produksi Bersih Padi 2025'!D371)</f>
        <v/>
      </c>
      <c r="E371" s="1" t="str">
        <f>IF('1.1 Produksi Bersih Padi 2025'!E371="","",'1.1 Produksi Bersih Padi 2025'!E371)</f>
        <v/>
      </c>
      <c r="F371" s="28" t="str">
        <f>IF(D371="","",VLOOKUP(D371,'[1]0.1 Produksi Pangan &amp; Penduduk'!$D$5:$Y$860,22,0))</f>
        <v/>
      </c>
      <c r="G371" s="30" t="str">
        <f t="shared" si="25"/>
        <v/>
      </c>
      <c r="H371" s="30" t="str">
        <f t="shared" si="26"/>
        <v/>
      </c>
      <c r="I371" s="30" t="str">
        <f t="shared" si="27"/>
        <v/>
      </c>
      <c r="J371" s="30" t="str">
        <f t="shared" si="28"/>
        <v/>
      </c>
      <c r="K371" s="30" t="str">
        <f t="shared" si="29"/>
        <v/>
      </c>
      <c r="M371" s="11"/>
    </row>
    <row r="372" spans="1:13" ht="15" x14ac:dyDescent="0.25">
      <c r="A372" s="1" t="str">
        <f>IF('1.1 Produksi Bersih Padi 2025'!A372="","",'1.1 Produksi Bersih Padi 2025'!A372)</f>
        <v/>
      </c>
      <c r="B372" s="31" t="str">
        <f>IF('1.1 Produksi Bersih Padi 2025'!B372="","",'1.1 Produksi Bersih Padi 2025'!B372)</f>
        <v/>
      </c>
      <c r="C372" s="31" t="str">
        <f>IF('1.1 Produksi Bersih Padi 2025'!C372="","",'1.1 Produksi Bersih Padi 2025'!C372)</f>
        <v/>
      </c>
      <c r="D372" s="1" t="str">
        <f>IF('1.1 Produksi Bersih Padi 2025'!D372="","",'1.1 Produksi Bersih Padi 2025'!D372)</f>
        <v/>
      </c>
      <c r="E372" s="1" t="str">
        <f>IF('1.1 Produksi Bersih Padi 2025'!E372="","",'1.1 Produksi Bersih Padi 2025'!E372)</f>
        <v/>
      </c>
      <c r="F372" s="28" t="str">
        <f>IF(D372="","",VLOOKUP(D372,'[1]0.1 Produksi Pangan &amp; Penduduk'!$D$5:$Y$860,22,0))</f>
        <v/>
      </c>
      <c r="G372" s="30" t="str">
        <f t="shared" si="25"/>
        <v/>
      </c>
      <c r="H372" s="30" t="str">
        <f t="shared" si="26"/>
        <v/>
      </c>
      <c r="I372" s="30" t="str">
        <f t="shared" si="27"/>
        <v/>
      </c>
      <c r="J372" s="30" t="str">
        <f t="shared" si="28"/>
        <v/>
      </c>
      <c r="K372" s="30" t="str">
        <f t="shared" si="29"/>
        <v/>
      </c>
      <c r="M372" s="11"/>
    </row>
    <row r="373" spans="1:13" ht="15" x14ac:dyDescent="0.25">
      <c r="A373" s="1" t="str">
        <f>IF('1.1 Produksi Bersih Padi 2025'!A373="","",'1.1 Produksi Bersih Padi 2025'!A373)</f>
        <v/>
      </c>
      <c r="B373" s="31" t="str">
        <f>IF('1.1 Produksi Bersih Padi 2025'!B373="","",'1.1 Produksi Bersih Padi 2025'!B373)</f>
        <v/>
      </c>
      <c r="C373" s="31" t="str">
        <f>IF('1.1 Produksi Bersih Padi 2025'!C373="","",'1.1 Produksi Bersih Padi 2025'!C373)</f>
        <v/>
      </c>
      <c r="D373" s="1" t="str">
        <f>IF('1.1 Produksi Bersih Padi 2025'!D373="","",'1.1 Produksi Bersih Padi 2025'!D373)</f>
        <v/>
      </c>
      <c r="E373" s="1" t="str">
        <f>IF('1.1 Produksi Bersih Padi 2025'!E373="","",'1.1 Produksi Bersih Padi 2025'!E373)</f>
        <v/>
      </c>
      <c r="F373" s="28" t="str">
        <f>IF(D373="","",VLOOKUP(D373,'[1]0.1 Produksi Pangan &amp; Penduduk'!$D$5:$Y$860,22,0))</f>
        <v/>
      </c>
      <c r="G373" s="30" t="str">
        <f t="shared" si="25"/>
        <v/>
      </c>
      <c r="H373" s="30" t="str">
        <f t="shared" si="26"/>
        <v/>
      </c>
      <c r="I373" s="30" t="str">
        <f t="shared" si="27"/>
        <v/>
      </c>
      <c r="J373" s="30" t="str">
        <f t="shared" si="28"/>
        <v/>
      </c>
      <c r="K373" s="30" t="str">
        <f t="shared" si="29"/>
        <v/>
      </c>
      <c r="M373" s="11"/>
    </row>
    <row r="374" spans="1:13" ht="15" x14ac:dyDescent="0.25">
      <c r="A374" s="1" t="str">
        <f>IF('1.1 Produksi Bersih Padi 2025'!A374="","",'1.1 Produksi Bersih Padi 2025'!A374)</f>
        <v/>
      </c>
      <c r="B374" s="31" t="str">
        <f>IF('1.1 Produksi Bersih Padi 2025'!B374="","",'1.1 Produksi Bersih Padi 2025'!B374)</f>
        <v/>
      </c>
      <c r="C374" s="31" t="str">
        <f>IF('1.1 Produksi Bersih Padi 2025'!C374="","",'1.1 Produksi Bersih Padi 2025'!C374)</f>
        <v/>
      </c>
      <c r="D374" s="1" t="str">
        <f>IF('1.1 Produksi Bersih Padi 2025'!D374="","",'1.1 Produksi Bersih Padi 2025'!D374)</f>
        <v/>
      </c>
      <c r="E374" s="1" t="str">
        <f>IF('1.1 Produksi Bersih Padi 2025'!E374="","",'1.1 Produksi Bersih Padi 2025'!E374)</f>
        <v/>
      </c>
      <c r="F374" s="28" t="str">
        <f>IF(D374="","",VLOOKUP(D374,'[1]0.1 Produksi Pangan &amp; Penduduk'!$D$5:$Y$860,22,0))</f>
        <v/>
      </c>
      <c r="G374" s="30" t="str">
        <f t="shared" si="25"/>
        <v/>
      </c>
      <c r="H374" s="30" t="str">
        <f t="shared" si="26"/>
        <v/>
      </c>
      <c r="I374" s="30" t="str">
        <f t="shared" si="27"/>
        <v/>
      </c>
      <c r="J374" s="30" t="str">
        <f t="shared" si="28"/>
        <v/>
      </c>
      <c r="K374" s="30" t="str">
        <f t="shared" si="29"/>
        <v/>
      </c>
      <c r="M374" s="11"/>
    </row>
    <row r="375" spans="1:13" ht="15" x14ac:dyDescent="0.25">
      <c r="A375" s="1" t="str">
        <f>IF('1.1 Produksi Bersih Padi 2025'!A375="","",'1.1 Produksi Bersih Padi 2025'!A375)</f>
        <v/>
      </c>
      <c r="B375" s="31" t="str">
        <f>IF('1.1 Produksi Bersih Padi 2025'!B375="","",'1.1 Produksi Bersih Padi 2025'!B375)</f>
        <v/>
      </c>
      <c r="C375" s="31" t="str">
        <f>IF('1.1 Produksi Bersih Padi 2025'!C375="","",'1.1 Produksi Bersih Padi 2025'!C375)</f>
        <v/>
      </c>
      <c r="D375" s="1" t="str">
        <f>IF('1.1 Produksi Bersih Padi 2025'!D375="","",'1.1 Produksi Bersih Padi 2025'!D375)</f>
        <v/>
      </c>
      <c r="E375" s="1" t="str">
        <f>IF('1.1 Produksi Bersih Padi 2025'!E375="","",'1.1 Produksi Bersih Padi 2025'!E375)</f>
        <v/>
      </c>
      <c r="F375" s="28" t="str">
        <f>IF(D375="","",VLOOKUP(D375,'[1]0.1 Produksi Pangan &amp; Penduduk'!$D$5:$Y$860,22,0))</f>
        <v/>
      </c>
      <c r="G375" s="30" t="str">
        <f t="shared" si="25"/>
        <v/>
      </c>
      <c r="H375" s="30" t="str">
        <f t="shared" si="26"/>
        <v/>
      </c>
      <c r="I375" s="30" t="str">
        <f t="shared" si="27"/>
        <v/>
      </c>
      <c r="J375" s="30" t="str">
        <f t="shared" si="28"/>
        <v/>
      </c>
      <c r="K375" s="30" t="str">
        <f t="shared" si="29"/>
        <v/>
      </c>
      <c r="M375" s="11"/>
    </row>
    <row r="376" spans="1:13" ht="15" x14ac:dyDescent="0.25">
      <c r="A376" s="1" t="str">
        <f>IF('1.1 Produksi Bersih Padi 2025'!A376="","",'1.1 Produksi Bersih Padi 2025'!A376)</f>
        <v/>
      </c>
      <c r="B376" s="31" t="str">
        <f>IF('1.1 Produksi Bersih Padi 2025'!B376="","",'1.1 Produksi Bersih Padi 2025'!B376)</f>
        <v/>
      </c>
      <c r="C376" s="31" t="str">
        <f>IF('1.1 Produksi Bersih Padi 2025'!C376="","",'1.1 Produksi Bersih Padi 2025'!C376)</f>
        <v/>
      </c>
      <c r="D376" s="1" t="str">
        <f>IF('1.1 Produksi Bersih Padi 2025'!D376="","",'1.1 Produksi Bersih Padi 2025'!D376)</f>
        <v/>
      </c>
      <c r="E376" s="1" t="str">
        <f>IF('1.1 Produksi Bersih Padi 2025'!E376="","",'1.1 Produksi Bersih Padi 2025'!E376)</f>
        <v/>
      </c>
      <c r="F376" s="28" t="str">
        <f>IF(D376="","",VLOOKUP(D376,'[1]0.1 Produksi Pangan &amp; Penduduk'!$D$5:$Y$860,22,0))</f>
        <v/>
      </c>
      <c r="G376" s="30" t="str">
        <f t="shared" si="25"/>
        <v/>
      </c>
      <c r="H376" s="30" t="str">
        <f t="shared" si="26"/>
        <v/>
      </c>
      <c r="I376" s="30" t="str">
        <f t="shared" si="27"/>
        <v/>
      </c>
      <c r="J376" s="30" t="str">
        <f t="shared" si="28"/>
        <v/>
      </c>
      <c r="K376" s="30" t="str">
        <f t="shared" si="29"/>
        <v/>
      </c>
      <c r="M376" s="11"/>
    </row>
    <row r="377" spans="1:13" ht="15" x14ac:dyDescent="0.25">
      <c r="A377" s="1" t="str">
        <f>IF('1.1 Produksi Bersih Padi 2025'!A377="","",'1.1 Produksi Bersih Padi 2025'!A377)</f>
        <v/>
      </c>
      <c r="B377" s="31" t="str">
        <f>IF('1.1 Produksi Bersih Padi 2025'!B377="","",'1.1 Produksi Bersih Padi 2025'!B377)</f>
        <v/>
      </c>
      <c r="C377" s="31" t="str">
        <f>IF('1.1 Produksi Bersih Padi 2025'!C377="","",'1.1 Produksi Bersih Padi 2025'!C377)</f>
        <v/>
      </c>
      <c r="D377" s="1" t="str">
        <f>IF('1.1 Produksi Bersih Padi 2025'!D377="","",'1.1 Produksi Bersih Padi 2025'!D377)</f>
        <v/>
      </c>
      <c r="E377" s="1" t="str">
        <f>IF('1.1 Produksi Bersih Padi 2025'!E377="","",'1.1 Produksi Bersih Padi 2025'!E377)</f>
        <v/>
      </c>
      <c r="F377" s="28" t="str">
        <f>IF(D377="","",VLOOKUP(D377,'[1]0.1 Produksi Pangan &amp; Penduduk'!$D$5:$Y$860,22,0))</f>
        <v/>
      </c>
      <c r="G377" s="30" t="str">
        <f t="shared" si="25"/>
        <v/>
      </c>
      <c r="H377" s="30" t="str">
        <f t="shared" si="26"/>
        <v/>
      </c>
      <c r="I377" s="30" t="str">
        <f t="shared" si="27"/>
        <v/>
      </c>
      <c r="J377" s="30" t="str">
        <f t="shared" si="28"/>
        <v/>
      </c>
      <c r="K377" s="30" t="str">
        <f t="shared" si="29"/>
        <v/>
      </c>
      <c r="M377" s="11"/>
    </row>
    <row r="378" spans="1:13" ht="15" x14ac:dyDescent="0.25">
      <c r="A378" s="1" t="str">
        <f>IF('1.1 Produksi Bersih Padi 2025'!A378="","",'1.1 Produksi Bersih Padi 2025'!A378)</f>
        <v/>
      </c>
      <c r="B378" s="31" t="str">
        <f>IF('1.1 Produksi Bersih Padi 2025'!B378="","",'1.1 Produksi Bersih Padi 2025'!B378)</f>
        <v/>
      </c>
      <c r="C378" s="31" t="str">
        <f>IF('1.1 Produksi Bersih Padi 2025'!C378="","",'1.1 Produksi Bersih Padi 2025'!C378)</f>
        <v/>
      </c>
      <c r="D378" s="1" t="str">
        <f>IF('1.1 Produksi Bersih Padi 2025'!D378="","",'1.1 Produksi Bersih Padi 2025'!D378)</f>
        <v/>
      </c>
      <c r="E378" s="1" t="str">
        <f>IF('1.1 Produksi Bersih Padi 2025'!E378="","",'1.1 Produksi Bersih Padi 2025'!E378)</f>
        <v/>
      </c>
      <c r="F378" s="28" t="str">
        <f>IF(D378="","",VLOOKUP(D378,'[1]0.1 Produksi Pangan &amp; Penduduk'!$D$5:$Y$860,22,0))</f>
        <v/>
      </c>
      <c r="G378" s="30" t="str">
        <f t="shared" si="25"/>
        <v/>
      </c>
      <c r="H378" s="30" t="str">
        <f t="shared" si="26"/>
        <v/>
      </c>
      <c r="I378" s="30" t="str">
        <f t="shared" si="27"/>
        <v/>
      </c>
      <c r="J378" s="30" t="str">
        <f t="shared" si="28"/>
        <v/>
      </c>
      <c r="K378" s="30" t="str">
        <f t="shared" si="29"/>
        <v/>
      </c>
      <c r="M378" s="11"/>
    </row>
    <row r="379" spans="1:13" ht="15" x14ac:dyDescent="0.25">
      <c r="A379" s="1" t="str">
        <f>IF('1.1 Produksi Bersih Padi 2025'!A379="","",'1.1 Produksi Bersih Padi 2025'!A379)</f>
        <v/>
      </c>
      <c r="B379" s="31" t="str">
        <f>IF('1.1 Produksi Bersih Padi 2025'!B379="","",'1.1 Produksi Bersih Padi 2025'!B379)</f>
        <v/>
      </c>
      <c r="C379" s="31" t="str">
        <f>IF('1.1 Produksi Bersih Padi 2025'!C379="","",'1.1 Produksi Bersih Padi 2025'!C379)</f>
        <v/>
      </c>
      <c r="D379" s="1" t="str">
        <f>IF('1.1 Produksi Bersih Padi 2025'!D379="","",'1.1 Produksi Bersih Padi 2025'!D379)</f>
        <v/>
      </c>
      <c r="E379" s="1" t="str">
        <f>IF('1.1 Produksi Bersih Padi 2025'!E379="","",'1.1 Produksi Bersih Padi 2025'!E379)</f>
        <v/>
      </c>
      <c r="F379" s="28" t="str">
        <f>IF(D379="","",VLOOKUP(D379,'[1]0.1 Produksi Pangan &amp; Penduduk'!$D$5:$Y$860,22,0))</f>
        <v/>
      </c>
      <c r="G379" s="30" t="str">
        <f t="shared" si="25"/>
        <v/>
      </c>
      <c r="H379" s="30" t="str">
        <f t="shared" si="26"/>
        <v/>
      </c>
      <c r="I379" s="30" t="str">
        <f t="shared" si="27"/>
        <v/>
      </c>
      <c r="J379" s="30" t="str">
        <f t="shared" si="28"/>
        <v/>
      </c>
      <c r="K379" s="30" t="str">
        <f t="shared" si="29"/>
        <v/>
      </c>
      <c r="M379" s="11"/>
    </row>
    <row r="380" spans="1:13" ht="15" x14ac:dyDescent="0.25">
      <c r="A380" s="1" t="str">
        <f>IF('1.1 Produksi Bersih Padi 2025'!A380="","",'1.1 Produksi Bersih Padi 2025'!A380)</f>
        <v/>
      </c>
      <c r="B380" s="31" t="str">
        <f>IF('1.1 Produksi Bersih Padi 2025'!B380="","",'1.1 Produksi Bersih Padi 2025'!B380)</f>
        <v/>
      </c>
      <c r="C380" s="31" t="str">
        <f>IF('1.1 Produksi Bersih Padi 2025'!C380="","",'1.1 Produksi Bersih Padi 2025'!C380)</f>
        <v/>
      </c>
      <c r="D380" s="1" t="str">
        <f>IF('1.1 Produksi Bersih Padi 2025'!D380="","",'1.1 Produksi Bersih Padi 2025'!D380)</f>
        <v/>
      </c>
      <c r="E380" s="1" t="str">
        <f>IF('1.1 Produksi Bersih Padi 2025'!E380="","",'1.1 Produksi Bersih Padi 2025'!E380)</f>
        <v/>
      </c>
      <c r="F380" s="28" t="str">
        <f>IF(D380="","",VLOOKUP(D380,'[1]0.1 Produksi Pangan &amp; Penduduk'!$D$5:$Y$860,22,0))</f>
        <v/>
      </c>
      <c r="G380" s="30" t="str">
        <f t="shared" si="25"/>
        <v/>
      </c>
      <c r="H380" s="30" t="str">
        <f t="shared" si="26"/>
        <v/>
      </c>
      <c r="I380" s="30" t="str">
        <f t="shared" si="27"/>
        <v/>
      </c>
      <c r="J380" s="30" t="str">
        <f t="shared" si="28"/>
        <v/>
      </c>
      <c r="K380" s="30" t="str">
        <f t="shared" si="29"/>
        <v/>
      </c>
      <c r="M380" s="11"/>
    </row>
    <row r="381" spans="1:13" ht="15" x14ac:dyDescent="0.25">
      <c r="A381" s="1" t="str">
        <f>IF('1.1 Produksi Bersih Padi 2025'!A381="","",'1.1 Produksi Bersih Padi 2025'!A381)</f>
        <v/>
      </c>
      <c r="B381" s="31" t="str">
        <f>IF('1.1 Produksi Bersih Padi 2025'!B381="","",'1.1 Produksi Bersih Padi 2025'!B381)</f>
        <v/>
      </c>
      <c r="C381" s="31" t="str">
        <f>IF('1.1 Produksi Bersih Padi 2025'!C381="","",'1.1 Produksi Bersih Padi 2025'!C381)</f>
        <v/>
      </c>
      <c r="D381" s="1" t="str">
        <f>IF('1.1 Produksi Bersih Padi 2025'!D381="","",'1.1 Produksi Bersih Padi 2025'!D381)</f>
        <v/>
      </c>
      <c r="E381" s="1" t="str">
        <f>IF('1.1 Produksi Bersih Padi 2025'!E381="","",'1.1 Produksi Bersih Padi 2025'!E381)</f>
        <v/>
      </c>
      <c r="F381" s="28" t="str">
        <f>IF(D381="","",VLOOKUP(D381,'[1]0.1 Produksi Pangan &amp; Penduduk'!$D$5:$Y$860,22,0))</f>
        <v/>
      </c>
      <c r="G381" s="30" t="str">
        <f t="shared" si="25"/>
        <v/>
      </c>
      <c r="H381" s="30" t="str">
        <f t="shared" si="26"/>
        <v/>
      </c>
      <c r="I381" s="30" t="str">
        <f t="shared" si="27"/>
        <v/>
      </c>
      <c r="J381" s="30" t="str">
        <f t="shared" si="28"/>
        <v/>
      </c>
      <c r="K381" s="30" t="str">
        <f t="shared" si="29"/>
        <v/>
      </c>
      <c r="M381" s="11"/>
    </row>
    <row r="382" spans="1:13" ht="15" x14ac:dyDescent="0.25">
      <c r="A382" s="1" t="str">
        <f>IF('1.1 Produksi Bersih Padi 2025'!A382="","",'1.1 Produksi Bersih Padi 2025'!A382)</f>
        <v/>
      </c>
      <c r="B382" s="31" t="str">
        <f>IF('1.1 Produksi Bersih Padi 2025'!B382="","",'1.1 Produksi Bersih Padi 2025'!B382)</f>
        <v/>
      </c>
      <c r="C382" s="31" t="str">
        <f>IF('1.1 Produksi Bersih Padi 2025'!C382="","",'1.1 Produksi Bersih Padi 2025'!C382)</f>
        <v/>
      </c>
      <c r="D382" s="1" t="str">
        <f>IF('1.1 Produksi Bersih Padi 2025'!D382="","",'1.1 Produksi Bersih Padi 2025'!D382)</f>
        <v/>
      </c>
      <c r="E382" s="1" t="str">
        <f>IF('1.1 Produksi Bersih Padi 2025'!E382="","",'1.1 Produksi Bersih Padi 2025'!E382)</f>
        <v/>
      </c>
      <c r="F382" s="28" t="str">
        <f>IF(D382="","",VLOOKUP(D382,'[1]0.1 Produksi Pangan &amp; Penduduk'!$D$5:$Y$860,22,0))</f>
        <v/>
      </c>
      <c r="G382" s="30" t="str">
        <f t="shared" si="25"/>
        <v/>
      </c>
      <c r="H382" s="30" t="str">
        <f t="shared" si="26"/>
        <v/>
      </c>
      <c r="I382" s="30" t="str">
        <f t="shared" si="27"/>
        <v/>
      </c>
      <c r="J382" s="30" t="str">
        <f t="shared" si="28"/>
        <v/>
      </c>
      <c r="K382" s="30" t="str">
        <f t="shared" si="29"/>
        <v/>
      </c>
      <c r="M382" s="11"/>
    </row>
    <row r="383" spans="1:13" ht="15" x14ac:dyDescent="0.25">
      <c r="A383" s="1" t="str">
        <f>IF('1.1 Produksi Bersih Padi 2025'!A383="","",'1.1 Produksi Bersih Padi 2025'!A383)</f>
        <v/>
      </c>
      <c r="B383" s="31" t="str">
        <f>IF('1.1 Produksi Bersih Padi 2025'!B383="","",'1.1 Produksi Bersih Padi 2025'!B383)</f>
        <v/>
      </c>
      <c r="C383" s="31" t="str">
        <f>IF('1.1 Produksi Bersih Padi 2025'!C383="","",'1.1 Produksi Bersih Padi 2025'!C383)</f>
        <v/>
      </c>
      <c r="D383" s="1" t="str">
        <f>IF('1.1 Produksi Bersih Padi 2025'!D383="","",'1.1 Produksi Bersih Padi 2025'!D383)</f>
        <v/>
      </c>
      <c r="E383" s="1" t="str">
        <f>IF('1.1 Produksi Bersih Padi 2025'!E383="","",'1.1 Produksi Bersih Padi 2025'!E383)</f>
        <v/>
      </c>
      <c r="F383" s="28" t="str">
        <f>IF(D383="","",VLOOKUP(D383,'[1]0.1 Produksi Pangan &amp; Penduduk'!$D$5:$Y$860,22,0))</f>
        <v/>
      </c>
      <c r="G383" s="30" t="str">
        <f t="shared" si="25"/>
        <v/>
      </c>
      <c r="H383" s="30" t="str">
        <f t="shared" si="26"/>
        <v/>
      </c>
      <c r="I383" s="30" t="str">
        <f t="shared" si="27"/>
        <v/>
      </c>
      <c r="J383" s="30" t="str">
        <f t="shared" si="28"/>
        <v/>
      </c>
      <c r="K383" s="30" t="str">
        <f t="shared" si="29"/>
        <v/>
      </c>
      <c r="M383" s="11"/>
    </row>
    <row r="384" spans="1:13" ht="15" x14ac:dyDescent="0.25">
      <c r="A384" s="1" t="str">
        <f>IF('1.1 Produksi Bersih Padi 2025'!A384="","",'1.1 Produksi Bersih Padi 2025'!A384)</f>
        <v/>
      </c>
      <c r="B384" s="31" t="str">
        <f>IF('1.1 Produksi Bersih Padi 2025'!B384="","",'1.1 Produksi Bersih Padi 2025'!B384)</f>
        <v/>
      </c>
      <c r="C384" s="31" t="str">
        <f>IF('1.1 Produksi Bersih Padi 2025'!C384="","",'1.1 Produksi Bersih Padi 2025'!C384)</f>
        <v/>
      </c>
      <c r="D384" s="1" t="str">
        <f>IF('1.1 Produksi Bersih Padi 2025'!D384="","",'1.1 Produksi Bersih Padi 2025'!D384)</f>
        <v/>
      </c>
      <c r="E384" s="1" t="str">
        <f>IF('1.1 Produksi Bersih Padi 2025'!E384="","",'1.1 Produksi Bersih Padi 2025'!E384)</f>
        <v/>
      </c>
      <c r="F384" s="28" t="str">
        <f>IF(D384="","",VLOOKUP(D384,'[1]0.1 Produksi Pangan &amp; Penduduk'!$D$5:$Y$860,22,0))</f>
        <v/>
      </c>
      <c r="G384" s="30" t="str">
        <f t="shared" si="25"/>
        <v/>
      </c>
      <c r="H384" s="30" t="str">
        <f t="shared" si="26"/>
        <v/>
      </c>
      <c r="I384" s="30" t="str">
        <f t="shared" si="27"/>
        <v/>
      </c>
      <c r="J384" s="30" t="str">
        <f t="shared" si="28"/>
        <v/>
      </c>
      <c r="K384" s="30" t="str">
        <f t="shared" si="29"/>
        <v/>
      </c>
      <c r="M384" s="11"/>
    </row>
    <row r="385" spans="1:13" ht="15" x14ac:dyDescent="0.25">
      <c r="A385" s="1" t="str">
        <f>IF('1.1 Produksi Bersih Padi 2025'!A385="","",'1.1 Produksi Bersih Padi 2025'!A385)</f>
        <v/>
      </c>
      <c r="B385" s="31" t="str">
        <f>IF('1.1 Produksi Bersih Padi 2025'!B385="","",'1.1 Produksi Bersih Padi 2025'!B385)</f>
        <v/>
      </c>
      <c r="C385" s="31" t="str">
        <f>IF('1.1 Produksi Bersih Padi 2025'!C385="","",'1.1 Produksi Bersih Padi 2025'!C385)</f>
        <v/>
      </c>
      <c r="D385" s="1" t="str">
        <f>IF('1.1 Produksi Bersih Padi 2025'!D385="","",'1.1 Produksi Bersih Padi 2025'!D385)</f>
        <v/>
      </c>
      <c r="E385" s="1" t="str">
        <f>IF('1.1 Produksi Bersih Padi 2025'!E385="","",'1.1 Produksi Bersih Padi 2025'!E385)</f>
        <v/>
      </c>
      <c r="F385" s="28" t="str">
        <f>IF(D385="","",VLOOKUP(D385,'[1]0.1 Produksi Pangan &amp; Penduduk'!$D$5:$Y$860,22,0))</f>
        <v/>
      </c>
      <c r="G385" s="30" t="str">
        <f t="shared" si="25"/>
        <v/>
      </c>
      <c r="H385" s="30" t="str">
        <f t="shared" si="26"/>
        <v/>
      </c>
      <c r="I385" s="30" t="str">
        <f t="shared" si="27"/>
        <v/>
      </c>
      <c r="J385" s="30" t="str">
        <f t="shared" si="28"/>
        <v/>
      </c>
      <c r="K385" s="30" t="str">
        <f t="shared" si="29"/>
        <v/>
      </c>
      <c r="M385" s="11"/>
    </row>
    <row r="386" spans="1:13" ht="15" x14ac:dyDescent="0.25">
      <c r="A386" s="1" t="str">
        <f>IF('1.1 Produksi Bersih Padi 2025'!A386="","",'1.1 Produksi Bersih Padi 2025'!A386)</f>
        <v/>
      </c>
      <c r="B386" s="31" t="str">
        <f>IF('1.1 Produksi Bersih Padi 2025'!B386="","",'1.1 Produksi Bersih Padi 2025'!B386)</f>
        <v/>
      </c>
      <c r="C386" s="31" t="str">
        <f>IF('1.1 Produksi Bersih Padi 2025'!C386="","",'1.1 Produksi Bersih Padi 2025'!C386)</f>
        <v/>
      </c>
      <c r="D386" s="1" t="str">
        <f>IF('1.1 Produksi Bersih Padi 2025'!D386="","",'1.1 Produksi Bersih Padi 2025'!D386)</f>
        <v/>
      </c>
      <c r="E386" s="1" t="str">
        <f>IF('1.1 Produksi Bersih Padi 2025'!E386="","",'1.1 Produksi Bersih Padi 2025'!E386)</f>
        <v/>
      </c>
      <c r="F386" s="28" t="str">
        <f>IF(D386="","",VLOOKUP(D386,'[1]0.1 Produksi Pangan &amp; Penduduk'!$D$5:$Y$860,22,0))</f>
        <v/>
      </c>
      <c r="G386" s="30" t="str">
        <f t="shared" si="25"/>
        <v/>
      </c>
      <c r="H386" s="30" t="str">
        <f t="shared" si="26"/>
        <v/>
      </c>
      <c r="I386" s="30" t="str">
        <f t="shared" si="27"/>
        <v/>
      </c>
      <c r="J386" s="30" t="str">
        <f t="shared" si="28"/>
        <v/>
      </c>
      <c r="K386" s="30" t="str">
        <f t="shared" si="29"/>
        <v/>
      </c>
      <c r="M386" s="11"/>
    </row>
    <row r="387" spans="1:13" ht="15" x14ac:dyDescent="0.25">
      <c r="A387" s="1" t="str">
        <f>IF('1.1 Produksi Bersih Padi 2025'!A387="","",'1.1 Produksi Bersih Padi 2025'!A387)</f>
        <v/>
      </c>
      <c r="B387" s="31" t="str">
        <f>IF('1.1 Produksi Bersih Padi 2025'!B387="","",'1.1 Produksi Bersih Padi 2025'!B387)</f>
        <v/>
      </c>
      <c r="C387" s="31" t="str">
        <f>IF('1.1 Produksi Bersih Padi 2025'!C387="","",'1.1 Produksi Bersih Padi 2025'!C387)</f>
        <v/>
      </c>
      <c r="D387" s="1" t="str">
        <f>IF('1.1 Produksi Bersih Padi 2025'!D387="","",'1.1 Produksi Bersih Padi 2025'!D387)</f>
        <v/>
      </c>
      <c r="E387" s="1" t="str">
        <f>IF('1.1 Produksi Bersih Padi 2025'!E387="","",'1.1 Produksi Bersih Padi 2025'!E387)</f>
        <v/>
      </c>
      <c r="F387" s="28" t="str">
        <f>IF(D387="","",VLOOKUP(D387,'[1]0.1 Produksi Pangan &amp; Penduduk'!$D$5:$Y$860,22,0))</f>
        <v/>
      </c>
      <c r="G387" s="30" t="str">
        <f t="shared" si="25"/>
        <v/>
      </c>
      <c r="H387" s="30" t="str">
        <f t="shared" si="26"/>
        <v/>
      </c>
      <c r="I387" s="30" t="str">
        <f t="shared" si="27"/>
        <v/>
      </c>
      <c r="J387" s="30" t="str">
        <f t="shared" si="28"/>
        <v/>
      </c>
      <c r="K387" s="30" t="str">
        <f t="shared" si="29"/>
        <v/>
      </c>
      <c r="M387" s="11"/>
    </row>
    <row r="388" spans="1:13" ht="15" x14ac:dyDescent="0.25">
      <c r="A388" s="1" t="str">
        <f>IF('1.1 Produksi Bersih Padi 2025'!A388="","",'1.1 Produksi Bersih Padi 2025'!A388)</f>
        <v/>
      </c>
      <c r="B388" s="31" t="str">
        <f>IF('1.1 Produksi Bersih Padi 2025'!B388="","",'1.1 Produksi Bersih Padi 2025'!B388)</f>
        <v/>
      </c>
      <c r="C388" s="31" t="str">
        <f>IF('1.1 Produksi Bersih Padi 2025'!C388="","",'1.1 Produksi Bersih Padi 2025'!C388)</f>
        <v/>
      </c>
      <c r="D388" s="1" t="str">
        <f>IF('1.1 Produksi Bersih Padi 2025'!D388="","",'1.1 Produksi Bersih Padi 2025'!D388)</f>
        <v/>
      </c>
      <c r="E388" s="1" t="str">
        <f>IF('1.1 Produksi Bersih Padi 2025'!E388="","",'1.1 Produksi Bersih Padi 2025'!E388)</f>
        <v/>
      </c>
      <c r="F388" s="28" t="str">
        <f>IF(D388="","",VLOOKUP(D388,'[1]0.1 Produksi Pangan &amp; Penduduk'!$D$5:$Y$860,22,0))</f>
        <v/>
      </c>
      <c r="G388" s="30" t="str">
        <f t="shared" si="25"/>
        <v/>
      </c>
      <c r="H388" s="30" t="str">
        <f t="shared" si="26"/>
        <v/>
      </c>
      <c r="I388" s="30" t="str">
        <f t="shared" si="27"/>
        <v/>
      </c>
      <c r="J388" s="30" t="str">
        <f t="shared" si="28"/>
        <v/>
      </c>
      <c r="K388" s="30" t="str">
        <f t="shared" si="29"/>
        <v/>
      </c>
      <c r="M388" s="11"/>
    </row>
    <row r="389" spans="1:13" ht="15" x14ac:dyDescent="0.25">
      <c r="A389" s="1" t="str">
        <f>IF('1.1 Produksi Bersih Padi 2025'!A389="","",'1.1 Produksi Bersih Padi 2025'!A389)</f>
        <v/>
      </c>
      <c r="B389" s="31" t="str">
        <f>IF('1.1 Produksi Bersih Padi 2025'!B389="","",'1.1 Produksi Bersih Padi 2025'!B389)</f>
        <v/>
      </c>
      <c r="C389" s="31" t="str">
        <f>IF('1.1 Produksi Bersih Padi 2025'!C389="","",'1.1 Produksi Bersih Padi 2025'!C389)</f>
        <v/>
      </c>
      <c r="D389" s="1" t="str">
        <f>IF('1.1 Produksi Bersih Padi 2025'!D389="","",'1.1 Produksi Bersih Padi 2025'!D389)</f>
        <v/>
      </c>
      <c r="E389" s="1" t="str">
        <f>IF('1.1 Produksi Bersih Padi 2025'!E389="","",'1.1 Produksi Bersih Padi 2025'!E389)</f>
        <v/>
      </c>
      <c r="F389" s="28" t="str">
        <f>IF(D389="","",VLOOKUP(D389,'[1]0.1 Produksi Pangan &amp; Penduduk'!$D$5:$Y$860,22,0))</f>
        <v/>
      </c>
      <c r="G389" s="30" t="str">
        <f t="shared" si="25"/>
        <v/>
      </c>
      <c r="H389" s="30" t="str">
        <f t="shared" si="26"/>
        <v/>
      </c>
      <c r="I389" s="30" t="str">
        <f t="shared" si="27"/>
        <v/>
      </c>
      <c r="J389" s="30" t="str">
        <f t="shared" si="28"/>
        <v/>
      </c>
      <c r="K389" s="30" t="str">
        <f t="shared" si="29"/>
        <v/>
      </c>
      <c r="M389" s="11"/>
    </row>
    <row r="390" spans="1:13" ht="15" x14ac:dyDescent="0.25">
      <c r="A390" s="1" t="str">
        <f>IF('1.1 Produksi Bersih Padi 2025'!A390="","",'1.1 Produksi Bersih Padi 2025'!A390)</f>
        <v/>
      </c>
      <c r="B390" s="31" t="str">
        <f>IF('1.1 Produksi Bersih Padi 2025'!B390="","",'1.1 Produksi Bersih Padi 2025'!B390)</f>
        <v/>
      </c>
      <c r="C390" s="31" t="str">
        <f>IF('1.1 Produksi Bersih Padi 2025'!C390="","",'1.1 Produksi Bersih Padi 2025'!C390)</f>
        <v/>
      </c>
      <c r="D390" s="1" t="str">
        <f>IF('1.1 Produksi Bersih Padi 2025'!D390="","",'1.1 Produksi Bersih Padi 2025'!D390)</f>
        <v/>
      </c>
      <c r="E390" s="1" t="str">
        <f>IF('1.1 Produksi Bersih Padi 2025'!E390="","",'1.1 Produksi Bersih Padi 2025'!E390)</f>
        <v/>
      </c>
      <c r="F390" s="28" t="str">
        <f>IF(D390="","",VLOOKUP(D390,'[1]0.1 Produksi Pangan &amp; Penduduk'!$D$5:$Y$860,22,0))</f>
        <v/>
      </c>
      <c r="G390" s="30" t="str">
        <f t="shared" ref="G390:G453" si="30">IF(F390="","",F390*0%)</f>
        <v/>
      </c>
      <c r="H390" s="30" t="str">
        <f t="shared" ref="H390:H453" si="31">IF(F390="","",F390*0.43%)</f>
        <v/>
      </c>
      <c r="I390" s="30" t="str">
        <f t="shared" ref="I390:I453" si="32">IF(F390="","",F390*4.23%)</f>
        <v/>
      </c>
      <c r="J390" s="30" t="str">
        <f t="shared" ref="J390:J453" si="33">IF(F390="","",F390-(G390+H390+I390))</f>
        <v/>
      </c>
      <c r="K390" s="30" t="str">
        <f t="shared" ref="K390:K453" si="34">IF(J390="","",J390*0.363)</f>
        <v/>
      </c>
      <c r="M390" s="11"/>
    </row>
    <row r="391" spans="1:13" ht="15" x14ac:dyDescent="0.25">
      <c r="A391" s="1" t="str">
        <f>IF('1.1 Produksi Bersih Padi 2025'!A391="","",'1.1 Produksi Bersih Padi 2025'!A391)</f>
        <v/>
      </c>
      <c r="B391" s="31" t="str">
        <f>IF('1.1 Produksi Bersih Padi 2025'!B391="","",'1.1 Produksi Bersih Padi 2025'!B391)</f>
        <v/>
      </c>
      <c r="C391" s="31" t="str">
        <f>IF('1.1 Produksi Bersih Padi 2025'!C391="","",'1.1 Produksi Bersih Padi 2025'!C391)</f>
        <v/>
      </c>
      <c r="D391" s="1" t="str">
        <f>IF('1.1 Produksi Bersih Padi 2025'!D391="","",'1.1 Produksi Bersih Padi 2025'!D391)</f>
        <v/>
      </c>
      <c r="E391" s="1" t="str">
        <f>IF('1.1 Produksi Bersih Padi 2025'!E391="","",'1.1 Produksi Bersih Padi 2025'!E391)</f>
        <v/>
      </c>
      <c r="F391" s="28" t="str">
        <f>IF(D391="","",VLOOKUP(D391,'[1]0.1 Produksi Pangan &amp; Penduduk'!$D$5:$Y$860,22,0))</f>
        <v/>
      </c>
      <c r="G391" s="30" t="str">
        <f t="shared" si="30"/>
        <v/>
      </c>
      <c r="H391" s="30" t="str">
        <f t="shared" si="31"/>
        <v/>
      </c>
      <c r="I391" s="30" t="str">
        <f t="shared" si="32"/>
        <v/>
      </c>
      <c r="J391" s="30" t="str">
        <f t="shared" si="33"/>
        <v/>
      </c>
      <c r="K391" s="30" t="str">
        <f t="shared" si="34"/>
        <v/>
      </c>
      <c r="M391" s="11"/>
    </row>
    <row r="392" spans="1:13" ht="15" x14ac:dyDescent="0.25">
      <c r="A392" s="1" t="str">
        <f>IF('1.1 Produksi Bersih Padi 2025'!A392="","",'1.1 Produksi Bersih Padi 2025'!A392)</f>
        <v/>
      </c>
      <c r="B392" s="31" t="str">
        <f>IF('1.1 Produksi Bersih Padi 2025'!B392="","",'1.1 Produksi Bersih Padi 2025'!B392)</f>
        <v/>
      </c>
      <c r="C392" s="31" t="str">
        <f>IF('1.1 Produksi Bersih Padi 2025'!C392="","",'1.1 Produksi Bersih Padi 2025'!C392)</f>
        <v/>
      </c>
      <c r="D392" s="1" t="str">
        <f>IF('1.1 Produksi Bersih Padi 2025'!D392="","",'1.1 Produksi Bersih Padi 2025'!D392)</f>
        <v/>
      </c>
      <c r="E392" s="1" t="str">
        <f>IF('1.1 Produksi Bersih Padi 2025'!E392="","",'1.1 Produksi Bersih Padi 2025'!E392)</f>
        <v/>
      </c>
      <c r="F392" s="28" t="str">
        <f>IF(D392="","",VLOOKUP(D392,'[1]0.1 Produksi Pangan &amp; Penduduk'!$D$5:$Y$860,22,0))</f>
        <v/>
      </c>
      <c r="G392" s="30" t="str">
        <f t="shared" si="30"/>
        <v/>
      </c>
      <c r="H392" s="30" t="str">
        <f t="shared" si="31"/>
        <v/>
      </c>
      <c r="I392" s="30" t="str">
        <f t="shared" si="32"/>
        <v/>
      </c>
      <c r="J392" s="30" t="str">
        <f t="shared" si="33"/>
        <v/>
      </c>
      <c r="K392" s="30" t="str">
        <f t="shared" si="34"/>
        <v/>
      </c>
      <c r="M392" s="11"/>
    </row>
    <row r="393" spans="1:13" ht="15" x14ac:dyDescent="0.25">
      <c r="A393" s="1" t="str">
        <f>IF('1.1 Produksi Bersih Padi 2025'!A393="","",'1.1 Produksi Bersih Padi 2025'!A393)</f>
        <v/>
      </c>
      <c r="B393" s="31" t="str">
        <f>IF('1.1 Produksi Bersih Padi 2025'!B393="","",'1.1 Produksi Bersih Padi 2025'!B393)</f>
        <v/>
      </c>
      <c r="C393" s="31" t="str">
        <f>IF('1.1 Produksi Bersih Padi 2025'!C393="","",'1.1 Produksi Bersih Padi 2025'!C393)</f>
        <v/>
      </c>
      <c r="D393" s="1" t="str">
        <f>IF('1.1 Produksi Bersih Padi 2025'!D393="","",'1.1 Produksi Bersih Padi 2025'!D393)</f>
        <v/>
      </c>
      <c r="E393" s="1" t="str">
        <f>IF('1.1 Produksi Bersih Padi 2025'!E393="","",'1.1 Produksi Bersih Padi 2025'!E393)</f>
        <v/>
      </c>
      <c r="F393" s="28" t="str">
        <f>IF(D393="","",VLOOKUP(D393,'[1]0.1 Produksi Pangan &amp; Penduduk'!$D$5:$Y$860,22,0))</f>
        <v/>
      </c>
      <c r="G393" s="30" t="str">
        <f t="shared" si="30"/>
        <v/>
      </c>
      <c r="H393" s="30" t="str">
        <f t="shared" si="31"/>
        <v/>
      </c>
      <c r="I393" s="30" t="str">
        <f t="shared" si="32"/>
        <v/>
      </c>
      <c r="J393" s="30" t="str">
        <f t="shared" si="33"/>
        <v/>
      </c>
      <c r="K393" s="30" t="str">
        <f t="shared" si="34"/>
        <v/>
      </c>
      <c r="M393" s="11"/>
    </row>
    <row r="394" spans="1:13" ht="15" x14ac:dyDescent="0.25">
      <c r="A394" s="1" t="str">
        <f>IF('1.1 Produksi Bersih Padi 2025'!A394="","",'1.1 Produksi Bersih Padi 2025'!A394)</f>
        <v/>
      </c>
      <c r="B394" s="31" t="str">
        <f>IF('1.1 Produksi Bersih Padi 2025'!B394="","",'1.1 Produksi Bersih Padi 2025'!B394)</f>
        <v/>
      </c>
      <c r="C394" s="31" t="str">
        <f>IF('1.1 Produksi Bersih Padi 2025'!C394="","",'1.1 Produksi Bersih Padi 2025'!C394)</f>
        <v/>
      </c>
      <c r="D394" s="1" t="str">
        <f>IF('1.1 Produksi Bersih Padi 2025'!D394="","",'1.1 Produksi Bersih Padi 2025'!D394)</f>
        <v/>
      </c>
      <c r="E394" s="1" t="str">
        <f>IF('1.1 Produksi Bersih Padi 2025'!E394="","",'1.1 Produksi Bersih Padi 2025'!E394)</f>
        <v/>
      </c>
      <c r="F394" s="28" t="str">
        <f>IF(D394="","",VLOOKUP(D394,'[1]0.1 Produksi Pangan &amp; Penduduk'!$D$5:$Y$860,22,0))</f>
        <v/>
      </c>
      <c r="G394" s="30" t="str">
        <f t="shared" si="30"/>
        <v/>
      </c>
      <c r="H394" s="30" t="str">
        <f t="shared" si="31"/>
        <v/>
      </c>
      <c r="I394" s="30" t="str">
        <f t="shared" si="32"/>
        <v/>
      </c>
      <c r="J394" s="30" t="str">
        <f t="shared" si="33"/>
        <v/>
      </c>
      <c r="K394" s="30" t="str">
        <f t="shared" si="34"/>
        <v/>
      </c>
      <c r="M394" s="11"/>
    </row>
    <row r="395" spans="1:13" ht="15" x14ac:dyDescent="0.25">
      <c r="A395" s="1" t="str">
        <f>IF('1.1 Produksi Bersih Padi 2025'!A395="","",'1.1 Produksi Bersih Padi 2025'!A395)</f>
        <v/>
      </c>
      <c r="B395" s="31" t="str">
        <f>IF('1.1 Produksi Bersih Padi 2025'!B395="","",'1.1 Produksi Bersih Padi 2025'!B395)</f>
        <v/>
      </c>
      <c r="C395" s="31" t="str">
        <f>IF('1.1 Produksi Bersih Padi 2025'!C395="","",'1.1 Produksi Bersih Padi 2025'!C395)</f>
        <v/>
      </c>
      <c r="D395" s="1" t="str">
        <f>IF('1.1 Produksi Bersih Padi 2025'!D395="","",'1.1 Produksi Bersih Padi 2025'!D395)</f>
        <v/>
      </c>
      <c r="E395" s="1" t="str">
        <f>IF('1.1 Produksi Bersih Padi 2025'!E395="","",'1.1 Produksi Bersih Padi 2025'!E395)</f>
        <v/>
      </c>
      <c r="F395" s="28" t="str">
        <f>IF(D395="","",VLOOKUP(D395,'[1]0.1 Produksi Pangan &amp; Penduduk'!$D$5:$Y$860,22,0))</f>
        <v/>
      </c>
      <c r="G395" s="30" t="str">
        <f t="shared" si="30"/>
        <v/>
      </c>
      <c r="H395" s="30" t="str">
        <f t="shared" si="31"/>
        <v/>
      </c>
      <c r="I395" s="30" t="str">
        <f t="shared" si="32"/>
        <v/>
      </c>
      <c r="J395" s="30" t="str">
        <f t="shared" si="33"/>
        <v/>
      </c>
      <c r="K395" s="30" t="str">
        <f t="shared" si="34"/>
        <v/>
      </c>
      <c r="M395" s="11"/>
    </row>
    <row r="396" spans="1:13" ht="15" x14ac:dyDescent="0.25">
      <c r="A396" s="1" t="str">
        <f>IF('1.1 Produksi Bersih Padi 2025'!A396="","",'1.1 Produksi Bersih Padi 2025'!A396)</f>
        <v/>
      </c>
      <c r="B396" s="31" t="str">
        <f>IF('1.1 Produksi Bersih Padi 2025'!B396="","",'1.1 Produksi Bersih Padi 2025'!B396)</f>
        <v/>
      </c>
      <c r="C396" s="31" t="str">
        <f>IF('1.1 Produksi Bersih Padi 2025'!C396="","",'1.1 Produksi Bersih Padi 2025'!C396)</f>
        <v/>
      </c>
      <c r="D396" s="1" t="str">
        <f>IF('1.1 Produksi Bersih Padi 2025'!D396="","",'1.1 Produksi Bersih Padi 2025'!D396)</f>
        <v/>
      </c>
      <c r="E396" s="1" t="str">
        <f>IF('1.1 Produksi Bersih Padi 2025'!E396="","",'1.1 Produksi Bersih Padi 2025'!E396)</f>
        <v/>
      </c>
      <c r="F396" s="28" t="str">
        <f>IF(D396="","",VLOOKUP(D396,'[1]0.1 Produksi Pangan &amp; Penduduk'!$D$5:$Y$860,22,0))</f>
        <v/>
      </c>
      <c r="G396" s="30" t="str">
        <f t="shared" si="30"/>
        <v/>
      </c>
      <c r="H396" s="30" t="str">
        <f t="shared" si="31"/>
        <v/>
      </c>
      <c r="I396" s="30" t="str">
        <f t="shared" si="32"/>
        <v/>
      </c>
      <c r="J396" s="30" t="str">
        <f t="shared" si="33"/>
        <v/>
      </c>
      <c r="K396" s="30" t="str">
        <f t="shared" si="34"/>
        <v/>
      </c>
      <c r="M396" s="11"/>
    </row>
    <row r="397" spans="1:13" ht="15" x14ac:dyDescent="0.25">
      <c r="A397" s="1" t="str">
        <f>IF('1.1 Produksi Bersih Padi 2025'!A397="","",'1.1 Produksi Bersih Padi 2025'!A397)</f>
        <v/>
      </c>
      <c r="B397" s="31" t="str">
        <f>IF('1.1 Produksi Bersih Padi 2025'!B397="","",'1.1 Produksi Bersih Padi 2025'!B397)</f>
        <v/>
      </c>
      <c r="C397" s="31" t="str">
        <f>IF('1.1 Produksi Bersih Padi 2025'!C397="","",'1.1 Produksi Bersih Padi 2025'!C397)</f>
        <v/>
      </c>
      <c r="D397" s="1" t="str">
        <f>IF('1.1 Produksi Bersih Padi 2025'!D397="","",'1.1 Produksi Bersih Padi 2025'!D397)</f>
        <v/>
      </c>
      <c r="E397" s="1" t="str">
        <f>IF('1.1 Produksi Bersih Padi 2025'!E397="","",'1.1 Produksi Bersih Padi 2025'!E397)</f>
        <v/>
      </c>
      <c r="F397" s="28" t="str">
        <f>IF(D397="","",VLOOKUP(D397,'[1]0.1 Produksi Pangan &amp; Penduduk'!$D$5:$Y$860,22,0))</f>
        <v/>
      </c>
      <c r="G397" s="30" t="str">
        <f t="shared" si="30"/>
        <v/>
      </c>
      <c r="H397" s="30" t="str">
        <f t="shared" si="31"/>
        <v/>
      </c>
      <c r="I397" s="30" t="str">
        <f t="shared" si="32"/>
        <v/>
      </c>
      <c r="J397" s="30" t="str">
        <f t="shared" si="33"/>
        <v/>
      </c>
      <c r="K397" s="30" t="str">
        <f t="shared" si="34"/>
        <v/>
      </c>
      <c r="M397" s="11"/>
    </row>
    <row r="398" spans="1:13" ht="15" x14ac:dyDescent="0.25">
      <c r="A398" s="1" t="str">
        <f>IF('1.1 Produksi Bersih Padi 2025'!A398="","",'1.1 Produksi Bersih Padi 2025'!A398)</f>
        <v/>
      </c>
      <c r="B398" s="31" t="str">
        <f>IF('1.1 Produksi Bersih Padi 2025'!B398="","",'1.1 Produksi Bersih Padi 2025'!B398)</f>
        <v/>
      </c>
      <c r="C398" s="31" t="str">
        <f>IF('1.1 Produksi Bersih Padi 2025'!C398="","",'1.1 Produksi Bersih Padi 2025'!C398)</f>
        <v/>
      </c>
      <c r="D398" s="1" t="str">
        <f>IF('1.1 Produksi Bersih Padi 2025'!D398="","",'1.1 Produksi Bersih Padi 2025'!D398)</f>
        <v/>
      </c>
      <c r="E398" s="1" t="str">
        <f>IF('1.1 Produksi Bersih Padi 2025'!E398="","",'1.1 Produksi Bersih Padi 2025'!E398)</f>
        <v/>
      </c>
      <c r="F398" s="28" t="str">
        <f>IF(D398="","",VLOOKUP(D398,'[1]0.1 Produksi Pangan &amp; Penduduk'!$D$5:$Y$860,22,0))</f>
        <v/>
      </c>
      <c r="G398" s="30" t="str">
        <f t="shared" si="30"/>
        <v/>
      </c>
      <c r="H398" s="30" t="str">
        <f t="shared" si="31"/>
        <v/>
      </c>
      <c r="I398" s="30" t="str">
        <f t="shared" si="32"/>
        <v/>
      </c>
      <c r="J398" s="30" t="str">
        <f t="shared" si="33"/>
        <v/>
      </c>
      <c r="K398" s="30" t="str">
        <f t="shared" si="34"/>
        <v/>
      </c>
      <c r="M398" s="11"/>
    </row>
    <row r="399" spans="1:13" ht="15" x14ac:dyDescent="0.25">
      <c r="A399" s="1" t="str">
        <f>IF('1.1 Produksi Bersih Padi 2025'!A399="","",'1.1 Produksi Bersih Padi 2025'!A399)</f>
        <v/>
      </c>
      <c r="B399" s="31" t="str">
        <f>IF('1.1 Produksi Bersih Padi 2025'!B399="","",'1.1 Produksi Bersih Padi 2025'!B399)</f>
        <v/>
      </c>
      <c r="C399" s="31" t="str">
        <f>IF('1.1 Produksi Bersih Padi 2025'!C399="","",'1.1 Produksi Bersih Padi 2025'!C399)</f>
        <v/>
      </c>
      <c r="D399" s="1" t="str">
        <f>IF('1.1 Produksi Bersih Padi 2025'!D399="","",'1.1 Produksi Bersih Padi 2025'!D399)</f>
        <v/>
      </c>
      <c r="E399" s="1" t="str">
        <f>IF('1.1 Produksi Bersih Padi 2025'!E399="","",'1.1 Produksi Bersih Padi 2025'!E399)</f>
        <v/>
      </c>
      <c r="F399" s="28" t="str">
        <f>IF(D399="","",VLOOKUP(D399,'[1]0.1 Produksi Pangan &amp; Penduduk'!$D$5:$Y$860,22,0))</f>
        <v/>
      </c>
      <c r="G399" s="30" t="str">
        <f t="shared" si="30"/>
        <v/>
      </c>
      <c r="H399" s="30" t="str">
        <f t="shared" si="31"/>
        <v/>
      </c>
      <c r="I399" s="30" t="str">
        <f t="shared" si="32"/>
        <v/>
      </c>
      <c r="J399" s="30" t="str">
        <f t="shared" si="33"/>
        <v/>
      </c>
      <c r="K399" s="30" t="str">
        <f t="shared" si="34"/>
        <v/>
      </c>
      <c r="M399" s="11"/>
    </row>
    <row r="400" spans="1:13" ht="15" x14ac:dyDescent="0.25">
      <c r="A400" s="1" t="str">
        <f>IF('1.1 Produksi Bersih Padi 2025'!A400="","",'1.1 Produksi Bersih Padi 2025'!A400)</f>
        <v/>
      </c>
      <c r="B400" s="31" t="str">
        <f>IF('1.1 Produksi Bersih Padi 2025'!B400="","",'1.1 Produksi Bersih Padi 2025'!B400)</f>
        <v/>
      </c>
      <c r="C400" s="31" t="str">
        <f>IF('1.1 Produksi Bersih Padi 2025'!C400="","",'1.1 Produksi Bersih Padi 2025'!C400)</f>
        <v/>
      </c>
      <c r="D400" s="1" t="str">
        <f>IF('1.1 Produksi Bersih Padi 2025'!D400="","",'1.1 Produksi Bersih Padi 2025'!D400)</f>
        <v/>
      </c>
      <c r="E400" s="1" t="str">
        <f>IF('1.1 Produksi Bersih Padi 2025'!E400="","",'1.1 Produksi Bersih Padi 2025'!E400)</f>
        <v/>
      </c>
      <c r="F400" s="28" t="str">
        <f>IF(D400="","",VLOOKUP(D400,'[1]0.1 Produksi Pangan &amp; Penduduk'!$D$5:$Y$860,22,0))</f>
        <v/>
      </c>
      <c r="G400" s="30" t="str">
        <f t="shared" si="30"/>
        <v/>
      </c>
      <c r="H400" s="30" t="str">
        <f t="shared" si="31"/>
        <v/>
      </c>
      <c r="I400" s="30" t="str">
        <f t="shared" si="32"/>
        <v/>
      </c>
      <c r="J400" s="30" t="str">
        <f t="shared" si="33"/>
        <v/>
      </c>
      <c r="K400" s="30" t="str">
        <f t="shared" si="34"/>
        <v/>
      </c>
      <c r="M400" s="11"/>
    </row>
    <row r="401" spans="1:13" ht="15" x14ac:dyDescent="0.25">
      <c r="A401" s="1" t="str">
        <f>IF('1.1 Produksi Bersih Padi 2025'!A401="","",'1.1 Produksi Bersih Padi 2025'!A401)</f>
        <v/>
      </c>
      <c r="B401" s="31" t="str">
        <f>IF('1.1 Produksi Bersih Padi 2025'!B401="","",'1.1 Produksi Bersih Padi 2025'!B401)</f>
        <v/>
      </c>
      <c r="C401" s="31" t="str">
        <f>IF('1.1 Produksi Bersih Padi 2025'!C401="","",'1.1 Produksi Bersih Padi 2025'!C401)</f>
        <v/>
      </c>
      <c r="D401" s="1" t="str">
        <f>IF('1.1 Produksi Bersih Padi 2025'!D401="","",'1.1 Produksi Bersih Padi 2025'!D401)</f>
        <v/>
      </c>
      <c r="E401" s="1" t="str">
        <f>IF('1.1 Produksi Bersih Padi 2025'!E401="","",'1.1 Produksi Bersih Padi 2025'!E401)</f>
        <v/>
      </c>
      <c r="F401" s="28" t="str">
        <f>IF(D401="","",VLOOKUP(D401,'[1]0.1 Produksi Pangan &amp; Penduduk'!$D$5:$Y$860,22,0))</f>
        <v/>
      </c>
      <c r="G401" s="30" t="str">
        <f t="shared" si="30"/>
        <v/>
      </c>
      <c r="H401" s="30" t="str">
        <f t="shared" si="31"/>
        <v/>
      </c>
      <c r="I401" s="30" t="str">
        <f t="shared" si="32"/>
        <v/>
      </c>
      <c r="J401" s="30" t="str">
        <f t="shared" si="33"/>
        <v/>
      </c>
      <c r="K401" s="30" t="str">
        <f t="shared" si="34"/>
        <v/>
      </c>
      <c r="M401" s="11"/>
    </row>
    <row r="402" spans="1:13" ht="15" x14ac:dyDescent="0.25">
      <c r="A402" s="1" t="str">
        <f>IF('1.1 Produksi Bersih Padi 2025'!A402="","",'1.1 Produksi Bersih Padi 2025'!A402)</f>
        <v/>
      </c>
      <c r="B402" s="31" t="str">
        <f>IF('1.1 Produksi Bersih Padi 2025'!B402="","",'1.1 Produksi Bersih Padi 2025'!B402)</f>
        <v/>
      </c>
      <c r="C402" s="31" t="str">
        <f>IF('1.1 Produksi Bersih Padi 2025'!C402="","",'1.1 Produksi Bersih Padi 2025'!C402)</f>
        <v/>
      </c>
      <c r="D402" s="1" t="str">
        <f>IF('1.1 Produksi Bersih Padi 2025'!D402="","",'1.1 Produksi Bersih Padi 2025'!D402)</f>
        <v/>
      </c>
      <c r="E402" s="1" t="str">
        <f>IF('1.1 Produksi Bersih Padi 2025'!E402="","",'1.1 Produksi Bersih Padi 2025'!E402)</f>
        <v/>
      </c>
      <c r="F402" s="28" t="str">
        <f>IF(D402="","",VLOOKUP(D402,'[1]0.1 Produksi Pangan &amp; Penduduk'!$D$5:$Y$860,22,0))</f>
        <v/>
      </c>
      <c r="G402" s="30" t="str">
        <f t="shared" si="30"/>
        <v/>
      </c>
      <c r="H402" s="30" t="str">
        <f t="shared" si="31"/>
        <v/>
      </c>
      <c r="I402" s="30" t="str">
        <f t="shared" si="32"/>
        <v/>
      </c>
      <c r="J402" s="30" t="str">
        <f t="shared" si="33"/>
        <v/>
      </c>
      <c r="K402" s="30" t="str">
        <f t="shared" si="34"/>
        <v/>
      </c>
      <c r="M402" s="11"/>
    </row>
    <row r="403" spans="1:13" ht="15" x14ac:dyDescent="0.25">
      <c r="A403" s="1" t="str">
        <f>IF('1.1 Produksi Bersih Padi 2025'!A403="","",'1.1 Produksi Bersih Padi 2025'!A403)</f>
        <v/>
      </c>
      <c r="B403" s="31" t="str">
        <f>IF('1.1 Produksi Bersih Padi 2025'!B403="","",'1.1 Produksi Bersih Padi 2025'!B403)</f>
        <v/>
      </c>
      <c r="C403" s="31" t="str">
        <f>IF('1.1 Produksi Bersih Padi 2025'!C403="","",'1.1 Produksi Bersih Padi 2025'!C403)</f>
        <v/>
      </c>
      <c r="D403" s="1" t="str">
        <f>IF('1.1 Produksi Bersih Padi 2025'!D403="","",'1.1 Produksi Bersih Padi 2025'!D403)</f>
        <v/>
      </c>
      <c r="E403" s="1" t="str">
        <f>IF('1.1 Produksi Bersih Padi 2025'!E403="","",'1.1 Produksi Bersih Padi 2025'!E403)</f>
        <v/>
      </c>
      <c r="F403" s="28" t="str">
        <f>IF(D403="","",VLOOKUP(D403,'[1]0.1 Produksi Pangan &amp; Penduduk'!$D$5:$Y$860,22,0))</f>
        <v/>
      </c>
      <c r="G403" s="30" t="str">
        <f t="shared" si="30"/>
        <v/>
      </c>
      <c r="H403" s="30" t="str">
        <f t="shared" si="31"/>
        <v/>
      </c>
      <c r="I403" s="30" t="str">
        <f t="shared" si="32"/>
        <v/>
      </c>
      <c r="J403" s="30" t="str">
        <f t="shared" si="33"/>
        <v/>
      </c>
      <c r="K403" s="30" t="str">
        <f t="shared" si="34"/>
        <v/>
      </c>
      <c r="M403" s="11"/>
    </row>
    <row r="404" spans="1:13" ht="15" x14ac:dyDescent="0.25">
      <c r="A404" s="1" t="str">
        <f>IF('1.1 Produksi Bersih Padi 2025'!A404="","",'1.1 Produksi Bersih Padi 2025'!A404)</f>
        <v/>
      </c>
      <c r="B404" s="31" t="str">
        <f>IF('1.1 Produksi Bersih Padi 2025'!B404="","",'1.1 Produksi Bersih Padi 2025'!B404)</f>
        <v/>
      </c>
      <c r="C404" s="31" t="str">
        <f>IF('1.1 Produksi Bersih Padi 2025'!C404="","",'1.1 Produksi Bersih Padi 2025'!C404)</f>
        <v/>
      </c>
      <c r="D404" s="1" t="str">
        <f>IF('1.1 Produksi Bersih Padi 2025'!D404="","",'1.1 Produksi Bersih Padi 2025'!D404)</f>
        <v/>
      </c>
      <c r="E404" s="1" t="str">
        <f>IF('1.1 Produksi Bersih Padi 2025'!E404="","",'1.1 Produksi Bersih Padi 2025'!E404)</f>
        <v/>
      </c>
      <c r="F404" s="28" t="str">
        <f>IF(D404="","",VLOOKUP(D404,'[1]0.1 Produksi Pangan &amp; Penduduk'!$D$5:$Y$860,22,0))</f>
        <v/>
      </c>
      <c r="G404" s="30" t="str">
        <f t="shared" si="30"/>
        <v/>
      </c>
      <c r="H404" s="30" t="str">
        <f t="shared" si="31"/>
        <v/>
      </c>
      <c r="I404" s="30" t="str">
        <f t="shared" si="32"/>
        <v/>
      </c>
      <c r="J404" s="30" t="str">
        <f t="shared" si="33"/>
        <v/>
      </c>
      <c r="K404" s="30" t="str">
        <f t="shared" si="34"/>
        <v/>
      </c>
      <c r="M404" s="11"/>
    </row>
    <row r="405" spans="1:13" ht="15" x14ac:dyDescent="0.25">
      <c r="A405" s="1" t="str">
        <f>IF('1.1 Produksi Bersih Padi 2025'!A405="","",'1.1 Produksi Bersih Padi 2025'!A405)</f>
        <v/>
      </c>
      <c r="B405" s="31" t="str">
        <f>IF('1.1 Produksi Bersih Padi 2025'!B405="","",'1.1 Produksi Bersih Padi 2025'!B405)</f>
        <v/>
      </c>
      <c r="C405" s="31" t="str">
        <f>IF('1.1 Produksi Bersih Padi 2025'!C405="","",'1.1 Produksi Bersih Padi 2025'!C405)</f>
        <v/>
      </c>
      <c r="D405" s="1" t="str">
        <f>IF('1.1 Produksi Bersih Padi 2025'!D405="","",'1.1 Produksi Bersih Padi 2025'!D405)</f>
        <v/>
      </c>
      <c r="E405" s="1" t="str">
        <f>IF('1.1 Produksi Bersih Padi 2025'!E405="","",'1.1 Produksi Bersih Padi 2025'!E405)</f>
        <v/>
      </c>
      <c r="F405" s="28" t="str">
        <f>IF(D405="","",VLOOKUP(D405,'[1]0.1 Produksi Pangan &amp; Penduduk'!$D$5:$Y$860,22,0))</f>
        <v/>
      </c>
      <c r="G405" s="30" t="str">
        <f t="shared" si="30"/>
        <v/>
      </c>
      <c r="H405" s="30" t="str">
        <f t="shared" si="31"/>
        <v/>
      </c>
      <c r="I405" s="30" t="str">
        <f t="shared" si="32"/>
        <v/>
      </c>
      <c r="J405" s="30" t="str">
        <f t="shared" si="33"/>
        <v/>
      </c>
      <c r="K405" s="30" t="str">
        <f t="shared" si="34"/>
        <v/>
      </c>
      <c r="M405" s="11"/>
    </row>
    <row r="406" spans="1:13" ht="15" x14ac:dyDescent="0.25">
      <c r="A406" s="1" t="str">
        <f>IF('1.1 Produksi Bersih Padi 2025'!A406="","",'1.1 Produksi Bersih Padi 2025'!A406)</f>
        <v/>
      </c>
      <c r="B406" s="31" t="str">
        <f>IF('1.1 Produksi Bersih Padi 2025'!B406="","",'1.1 Produksi Bersih Padi 2025'!B406)</f>
        <v/>
      </c>
      <c r="C406" s="31" t="str">
        <f>IF('1.1 Produksi Bersih Padi 2025'!C406="","",'1.1 Produksi Bersih Padi 2025'!C406)</f>
        <v/>
      </c>
      <c r="D406" s="1" t="str">
        <f>IF('1.1 Produksi Bersih Padi 2025'!D406="","",'1.1 Produksi Bersih Padi 2025'!D406)</f>
        <v/>
      </c>
      <c r="E406" s="1" t="str">
        <f>IF('1.1 Produksi Bersih Padi 2025'!E406="","",'1.1 Produksi Bersih Padi 2025'!E406)</f>
        <v/>
      </c>
      <c r="F406" s="28" t="str">
        <f>IF(D406="","",VLOOKUP(D406,'[1]0.1 Produksi Pangan &amp; Penduduk'!$D$5:$Y$860,22,0))</f>
        <v/>
      </c>
      <c r="G406" s="30" t="str">
        <f t="shared" si="30"/>
        <v/>
      </c>
      <c r="H406" s="30" t="str">
        <f t="shared" si="31"/>
        <v/>
      </c>
      <c r="I406" s="30" t="str">
        <f t="shared" si="32"/>
        <v/>
      </c>
      <c r="J406" s="30" t="str">
        <f t="shared" si="33"/>
        <v/>
      </c>
      <c r="K406" s="30" t="str">
        <f t="shared" si="34"/>
        <v/>
      </c>
      <c r="M406" s="11"/>
    </row>
    <row r="407" spans="1:13" ht="15" x14ac:dyDescent="0.25">
      <c r="A407" s="1" t="str">
        <f>IF('1.1 Produksi Bersih Padi 2025'!A407="","",'1.1 Produksi Bersih Padi 2025'!A407)</f>
        <v/>
      </c>
      <c r="B407" s="31" t="str">
        <f>IF('1.1 Produksi Bersih Padi 2025'!B407="","",'1.1 Produksi Bersih Padi 2025'!B407)</f>
        <v/>
      </c>
      <c r="C407" s="31" t="str">
        <f>IF('1.1 Produksi Bersih Padi 2025'!C407="","",'1.1 Produksi Bersih Padi 2025'!C407)</f>
        <v/>
      </c>
      <c r="D407" s="1" t="str">
        <f>IF('1.1 Produksi Bersih Padi 2025'!D407="","",'1.1 Produksi Bersih Padi 2025'!D407)</f>
        <v/>
      </c>
      <c r="E407" s="1" t="str">
        <f>IF('1.1 Produksi Bersih Padi 2025'!E407="","",'1.1 Produksi Bersih Padi 2025'!E407)</f>
        <v/>
      </c>
      <c r="F407" s="28" t="str">
        <f>IF(D407="","",VLOOKUP(D407,'[1]0.1 Produksi Pangan &amp; Penduduk'!$D$5:$Y$860,22,0))</f>
        <v/>
      </c>
      <c r="G407" s="30" t="str">
        <f t="shared" si="30"/>
        <v/>
      </c>
      <c r="H407" s="30" t="str">
        <f t="shared" si="31"/>
        <v/>
      </c>
      <c r="I407" s="30" t="str">
        <f t="shared" si="32"/>
        <v/>
      </c>
      <c r="J407" s="30" t="str">
        <f t="shared" si="33"/>
        <v/>
      </c>
      <c r="K407" s="30" t="str">
        <f t="shared" si="34"/>
        <v/>
      </c>
      <c r="M407" s="11"/>
    </row>
    <row r="408" spans="1:13" ht="15" x14ac:dyDescent="0.25">
      <c r="A408" s="1" t="str">
        <f>IF('1.1 Produksi Bersih Padi 2025'!A408="","",'1.1 Produksi Bersih Padi 2025'!A408)</f>
        <v/>
      </c>
      <c r="B408" s="31" t="str">
        <f>IF('1.1 Produksi Bersih Padi 2025'!B408="","",'1.1 Produksi Bersih Padi 2025'!B408)</f>
        <v/>
      </c>
      <c r="C408" s="31" t="str">
        <f>IF('1.1 Produksi Bersih Padi 2025'!C408="","",'1.1 Produksi Bersih Padi 2025'!C408)</f>
        <v/>
      </c>
      <c r="D408" s="1" t="str">
        <f>IF('1.1 Produksi Bersih Padi 2025'!D408="","",'1.1 Produksi Bersih Padi 2025'!D408)</f>
        <v/>
      </c>
      <c r="E408" s="1" t="str">
        <f>IF('1.1 Produksi Bersih Padi 2025'!E408="","",'1.1 Produksi Bersih Padi 2025'!E408)</f>
        <v/>
      </c>
      <c r="F408" s="28" t="str">
        <f>IF(D408="","",VLOOKUP(D408,'[1]0.1 Produksi Pangan &amp; Penduduk'!$D$5:$Y$860,22,0))</f>
        <v/>
      </c>
      <c r="G408" s="30" t="str">
        <f t="shared" si="30"/>
        <v/>
      </c>
      <c r="H408" s="30" t="str">
        <f t="shared" si="31"/>
        <v/>
      </c>
      <c r="I408" s="30" t="str">
        <f t="shared" si="32"/>
        <v/>
      </c>
      <c r="J408" s="30" t="str">
        <f t="shared" si="33"/>
        <v/>
      </c>
      <c r="K408" s="30" t="str">
        <f t="shared" si="34"/>
        <v/>
      </c>
      <c r="M408" s="11"/>
    </row>
    <row r="409" spans="1:13" ht="15" x14ac:dyDescent="0.25">
      <c r="A409" s="1" t="str">
        <f>IF('1.1 Produksi Bersih Padi 2025'!A409="","",'1.1 Produksi Bersih Padi 2025'!A409)</f>
        <v/>
      </c>
      <c r="B409" s="31" t="str">
        <f>IF('1.1 Produksi Bersih Padi 2025'!B409="","",'1.1 Produksi Bersih Padi 2025'!B409)</f>
        <v/>
      </c>
      <c r="C409" s="31" t="str">
        <f>IF('1.1 Produksi Bersih Padi 2025'!C409="","",'1.1 Produksi Bersih Padi 2025'!C409)</f>
        <v/>
      </c>
      <c r="D409" s="1" t="str">
        <f>IF('1.1 Produksi Bersih Padi 2025'!D409="","",'1.1 Produksi Bersih Padi 2025'!D409)</f>
        <v/>
      </c>
      <c r="E409" s="1" t="str">
        <f>IF('1.1 Produksi Bersih Padi 2025'!E409="","",'1.1 Produksi Bersih Padi 2025'!E409)</f>
        <v/>
      </c>
      <c r="F409" s="28" t="str">
        <f>IF(D409="","",VLOOKUP(D409,'[1]0.1 Produksi Pangan &amp; Penduduk'!$D$5:$Y$860,22,0))</f>
        <v/>
      </c>
      <c r="G409" s="30" t="str">
        <f t="shared" si="30"/>
        <v/>
      </c>
      <c r="H409" s="30" t="str">
        <f t="shared" si="31"/>
        <v/>
      </c>
      <c r="I409" s="30" t="str">
        <f t="shared" si="32"/>
        <v/>
      </c>
      <c r="J409" s="30" t="str">
        <f t="shared" si="33"/>
        <v/>
      </c>
      <c r="K409" s="30" t="str">
        <f t="shared" si="34"/>
        <v/>
      </c>
      <c r="M409" s="11"/>
    </row>
    <row r="410" spans="1:13" ht="15" x14ac:dyDescent="0.25">
      <c r="A410" s="1" t="str">
        <f>IF('1.1 Produksi Bersih Padi 2025'!A410="","",'1.1 Produksi Bersih Padi 2025'!A410)</f>
        <v/>
      </c>
      <c r="B410" s="31" t="str">
        <f>IF('1.1 Produksi Bersih Padi 2025'!B410="","",'1.1 Produksi Bersih Padi 2025'!B410)</f>
        <v/>
      </c>
      <c r="C410" s="31" t="str">
        <f>IF('1.1 Produksi Bersih Padi 2025'!C410="","",'1.1 Produksi Bersih Padi 2025'!C410)</f>
        <v/>
      </c>
      <c r="D410" s="1" t="str">
        <f>IF('1.1 Produksi Bersih Padi 2025'!D410="","",'1.1 Produksi Bersih Padi 2025'!D410)</f>
        <v/>
      </c>
      <c r="E410" s="1" t="str">
        <f>IF('1.1 Produksi Bersih Padi 2025'!E410="","",'1.1 Produksi Bersih Padi 2025'!E410)</f>
        <v/>
      </c>
      <c r="F410" s="28" t="str">
        <f>IF(D410="","",VLOOKUP(D410,'[1]0.1 Produksi Pangan &amp; Penduduk'!$D$5:$Y$860,22,0))</f>
        <v/>
      </c>
      <c r="G410" s="30" t="str">
        <f t="shared" si="30"/>
        <v/>
      </c>
      <c r="H410" s="30" t="str">
        <f t="shared" si="31"/>
        <v/>
      </c>
      <c r="I410" s="30" t="str">
        <f t="shared" si="32"/>
        <v/>
      </c>
      <c r="J410" s="30" t="str">
        <f t="shared" si="33"/>
        <v/>
      </c>
      <c r="K410" s="30" t="str">
        <f t="shared" si="34"/>
        <v/>
      </c>
      <c r="M410" s="11"/>
    </row>
    <row r="411" spans="1:13" ht="15" x14ac:dyDescent="0.25">
      <c r="A411" s="1" t="str">
        <f>IF('1.1 Produksi Bersih Padi 2025'!A411="","",'1.1 Produksi Bersih Padi 2025'!A411)</f>
        <v/>
      </c>
      <c r="B411" s="31" t="str">
        <f>IF('1.1 Produksi Bersih Padi 2025'!B411="","",'1.1 Produksi Bersih Padi 2025'!B411)</f>
        <v/>
      </c>
      <c r="C411" s="31" t="str">
        <f>IF('1.1 Produksi Bersih Padi 2025'!C411="","",'1.1 Produksi Bersih Padi 2025'!C411)</f>
        <v/>
      </c>
      <c r="D411" s="1" t="str">
        <f>IF('1.1 Produksi Bersih Padi 2025'!D411="","",'1.1 Produksi Bersih Padi 2025'!D411)</f>
        <v/>
      </c>
      <c r="E411" s="1" t="str">
        <f>IF('1.1 Produksi Bersih Padi 2025'!E411="","",'1.1 Produksi Bersih Padi 2025'!E411)</f>
        <v/>
      </c>
      <c r="F411" s="28" t="str">
        <f>IF(D411="","",VLOOKUP(D411,'[1]0.1 Produksi Pangan &amp; Penduduk'!$D$5:$Y$860,22,0))</f>
        <v/>
      </c>
      <c r="G411" s="30" t="str">
        <f t="shared" si="30"/>
        <v/>
      </c>
      <c r="H411" s="30" t="str">
        <f t="shared" si="31"/>
        <v/>
      </c>
      <c r="I411" s="30" t="str">
        <f t="shared" si="32"/>
        <v/>
      </c>
      <c r="J411" s="30" t="str">
        <f t="shared" si="33"/>
        <v/>
      </c>
      <c r="K411" s="30" t="str">
        <f t="shared" si="34"/>
        <v/>
      </c>
      <c r="M411" s="11"/>
    </row>
    <row r="412" spans="1:13" ht="15" x14ac:dyDescent="0.25">
      <c r="A412" s="1" t="str">
        <f>IF('1.1 Produksi Bersih Padi 2025'!A412="","",'1.1 Produksi Bersih Padi 2025'!A412)</f>
        <v/>
      </c>
      <c r="B412" s="31" t="str">
        <f>IF('1.1 Produksi Bersih Padi 2025'!B412="","",'1.1 Produksi Bersih Padi 2025'!B412)</f>
        <v/>
      </c>
      <c r="C412" s="31" t="str">
        <f>IF('1.1 Produksi Bersih Padi 2025'!C412="","",'1.1 Produksi Bersih Padi 2025'!C412)</f>
        <v/>
      </c>
      <c r="D412" s="1" t="str">
        <f>IF('1.1 Produksi Bersih Padi 2025'!D412="","",'1.1 Produksi Bersih Padi 2025'!D412)</f>
        <v/>
      </c>
      <c r="E412" s="1" t="str">
        <f>IF('1.1 Produksi Bersih Padi 2025'!E412="","",'1.1 Produksi Bersih Padi 2025'!E412)</f>
        <v/>
      </c>
      <c r="F412" s="28" t="str">
        <f>IF(D412="","",VLOOKUP(D412,'[1]0.1 Produksi Pangan &amp; Penduduk'!$D$5:$Y$860,22,0))</f>
        <v/>
      </c>
      <c r="G412" s="30" t="str">
        <f t="shared" si="30"/>
        <v/>
      </c>
      <c r="H412" s="30" t="str">
        <f t="shared" si="31"/>
        <v/>
      </c>
      <c r="I412" s="30" t="str">
        <f t="shared" si="32"/>
        <v/>
      </c>
      <c r="J412" s="30" t="str">
        <f t="shared" si="33"/>
        <v/>
      </c>
      <c r="K412" s="30" t="str">
        <f t="shared" si="34"/>
        <v/>
      </c>
      <c r="M412" s="11"/>
    </row>
    <row r="413" spans="1:13" ht="15" x14ac:dyDescent="0.25">
      <c r="A413" s="1" t="str">
        <f>IF('1.1 Produksi Bersih Padi 2025'!A413="","",'1.1 Produksi Bersih Padi 2025'!A413)</f>
        <v/>
      </c>
      <c r="B413" s="31" t="str">
        <f>IF('1.1 Produksi Bersih Padi 2025'!B413="","",'1.1 Produksi Bersih Padi 2025'!B413)</f>
        <v/>
      </c>
      <c r="C413" s="31" t="str">
        <f>IF('1.1 Produksi Bersih Padi 2025'!C413="","",'1.1 Produksi Bersih Padi 2025'!C413)</f>
        <v/>
      </c>
      <c r="D413" s="1" t="str">
        <f>IF('1.1 Produksi Bersih Padi 2025'!D413="","",'1.1 Produksi Bersih Padi 2025'!D413)</f>
        <v/>
      </c>
      <c r="E413" s="1" t="str">
        <f>IF('1.1 Produksi Bersih Padi 2025'!E413="","",'1.1 Produksi Bersih Padi 2025'!E413)</f>
        <v/>
      </c>
      <c r="F413" s="28" t="str">
        <f>IF(D413="","",VLOOKUP(D413,'[1]0.1 Produksi Pangan &amp; Penduduk'!$D$5:$Y$860,22,0))</f>
        <v/>
      </c>
      <c r="G413" s="30" t="str">
        <f t="shared" si="30"/>
        <v/>
      </c>
      <c r="H413" s="30" t="str">
        <f t="shared" si="31"/>
        <v/>
      </c>
      <c r="I413" s="30" t="str">
        <f t="shared" si="32"/>
        <v/>
      </c>
      <c r="J413" s="30" t="str">
        <f t="shared" si="33"/>
        <v/>
      </c>
      <c r="K413" s="30" t="str">
        <f t="shared" si="34"/>
        <v/>
      </c>
      <c r="M413" s="11"/>
    </row>
    <row r="414" spans="1:13" ht="15" x14ac:dyDescent="0.25">
      <c r="A414" s="1" t="str">
        <f>IF('1.1 Produksi Bersih Padi 2025'!A414="","",'1.1 Produksi Bersih Padi 2025'!A414)</f>
        <v/>
      </c>
      <c r="B414" s="31" t="str">
        <f>IF('1.1 Produksi Bersih Padi 2025'!B414="","",'1.1 Produksi Bersih Padi 2025'!B414)</f>
        <v/>
      </c>
      <c r="C414" s="31" t="str">
        <f>IF('1.1 Produksi Bersih Padi 2025'!C414="","",'1.1 Produksi Bersih Padi 2025'!C414)</f>
        <v/>
      </c>
      <c r="D414" s="1" t="str">
        <f>IF('1.1 Produksi Bersih Padi 2025'!D414="","",'1.1 Produksi Bersih Padi 2025'!D414)</f>
        <v/>
      </c>
      <c r="E414" s="1" t="str">
        <f>IF('1.1 Produksi Bersih Padi 2025'!E414="","",'1.1 Produksi Bersih Padi 2025'!E414)</f>
        <v/>
      </c>
      <c r="F414" s="28" t="str">
        <f>IF(D414="","",VLOOKUP(D414,'[1]0.1 Produksi Pangan &amp; Penduduk'!$D$5:$Y$860,22,0))</f>
        <v/>
      </c>
      <c r="G414" s="30" t="str">
        <f t="shared" si="30"/>
        <v/>
      </c>
      <c r="H414" s="30" t="str">
        <f t="shared" si="31"/>
        <v/>
      </c>
      <c r="I414" s="30" t="str">
        <f t="shared" si="32"/>
        <v/>
      </c>
      <c r="J414" s="30" t="str">
        <f t="shared" si="33"/>
        <v/>
      </c>
      <c r="K414" s="30" t="str">
        <f t="shared" si="34"/>
        <v/>
      </c>
      <c r="M414" s="11"/>
    </row>
    <row r="415" spans="1:13" ht="15" x14ac:dyDescent="0.25">
      <c r="A415" s="1" t="str">
        <f>IF('1.1 Produksi Bersih Padi 2025'!A415="","",'1.1 Produksi Bersih Padi 2025'!A415)</f>
        <v/>
      </c>
      <c r="B415" s="31" t="str">
        <f>IF('1.1 Produksi Bersih Padi 2025'!B415="","",'1.1 Produksi Bersih Padi 2025'!B415)</f>
        <v/>
      </c>
      <c r="C415" s="31" t="str">
        <f>IF('1.1 Produksi Bersih Padi 2025'!C415="","",'1.1 Produksi Bersih Padi 2025'!C415)</f>
        <v/>
      </c>
      <c r="D415" s="1" t="str">
        <f>IF('1.1 Produksi Bersih Padi 2025'!D415="","",'1.1 Produksi Bersih Padi 2025'!D415)</f>
        <v/>
      </c>
      <c r="E415" s="1" t="str">
        <f>IF('1.1 Produksi Bersih Padi 2025'!E415="","",'1.1 Produksi Bersih Padi 2025'!E415)</f>
        <v/>
      </c>
      <c r="F415" s="28" t="str">
        <f>IF(D415="","",VLOOKUP(D415,'[1]0.1 Produksi Pangan &amp; Penduduk'!$D$5:$Y$860,22,0))</f>
        <v/>
      </c>
      <c r="G415" s="30" t="str">
        <f t="shared" si="30"/>
        <v/>
      </c>
      <c r="H415" s="30" t="str">
        <f t="shared" si="31"/>
        <v/>
      </c>
      <c r="I415" s="30" t="str">
        <f t="shared" si="32"/>
        <v/>
      </c>
      <c r="J415" s="30" t="str">
        <f t="shared" si="33"/>
        <v/>
      </c>
      <c r="K415" s="30" t="str">
        <f t="shared" si="34"/>
        <v/>
      </c>
      <c r="M415" s="11"/>
    </row>
    <row r="416" spans="1:13" ht="15" x14ac:dyDescent="0.25">
      <c r="A416" s="1" t="str">
        <f>IF('1.1 Produksi Bersih Padi 2025'!A416="","",'1.1 Produksi Bersih Padi 2025'!A416)</f>
        <v/>
      </c>
      <c r="B416" s="31" t="str">
        <f>IF('1.1 Produksi Bersih Padi 2025'!B416="","",'1.1 Produksi Bersih Padi 2025'!B416)</f>
        <v/>
      </c>
      <c r="C416" s="31" t="str">
        <f>IF('1.1 Produksi Bersih Padi 2025'!C416="","",'1.1 Produksi Bersih Padi 2025'!C416)</f>
        <v/>
      </c>
      <c r="D416" s="1" t="str">
        <f>IF('1.1 Produksi Bersih Padi 2025'!D416="","",'1.1 Produksi Bersih Padi 2025'!D416)</f>
        <v/>
      </c>
      <c r="E416" s="1" t="str">
        <f>IF('1.1 Produksi Bersih Padi 2025'!E416="","",'1.1 Produksi Bersih Padi 2025'!E416)</f>
        <v/>
      </c>
      <c r="F416" s="28" t="str">
        <f>IF(D416="","",VLOOKUP(D416,'[1]0.1 Produksi Pangan &amp; Penduduk'!$D$5:$Y$860,22,0))</f>
        <v/>
      </c>
      <c r="G416" s="30" t="str">
        <f t="shared" si="30"/>
        <v/>
      </c>
      <c r="H416" s="30" t="str">
        <f t="shared" si="31"/>
        <v/>
      </c>
      <c r="I416" s="30" t="str">
        <f t="shared" si="32"/>
        <v/>
      </c>
      <c r="J416" s="30" t="str">
        <f t="shared" si="33"/>
        <v/>
      </c>
      <c r="K416" s="30" t="str">
        <f t="shared" si="34"/>
        <v/>
      </c>
      <c r="M416" s="11"/>
    </row>
    <row r="417" spans="1:13" ht="15" x14ac:dyDescent="0.25">
      <c r="A417" s="1" t="str">
        <f>IF('1.1 Produksi Bersih Padi 2025'!A417="","",'1.1 Produksi Bersih Padi 2025'!A417)</f>
        <v/>
      </c>
      <c r="B417" s="31" t="str">
        <f>IF('1.1 Produksi Bersih Padi 2025'!B417="","",'1.1 Produksi Bersih Padi 2025'!B417)</f>
        <v/>
      </c>
      <c r="C417" s="31" t="str">
        <f>IF('1.1 Produksi Bersih Padi 2025'!C417="","",'1.1 Produksi Bersih Padi 2025'!C417)</f>
        <v/>
      </c>
      <c r="D417" s="1" t="str">
        <f>IF('1.1 Produksi Bersih Padi 2025'!D417="","",'1.1 Produksi Bersih Padi 2025'!D417)</f>
        <v/>
      </c>
      <c r="E417" s="1" t="str">
        <f>IF('1.1 Produksi Bersih Padi 2025'!E417="","",'1.1 Produksi Bersih Padi 2025'!E417)</f>
        <v/>
      </c>
      <c r="F417" s="28" t="str">
        <f>IF(D417="","",VLOOKUP(D417,'[1]0.1 Produksi Pangan &amp; Penduduk'!$D$5:$Y$860,22,0))</f>
        <v/>
      </c>
      <c r="G417" s="30" t="str">
        <f t="shared" si="30"/>
        <v/>
      </c>
      <c r="H417" s="30" t="str">
        <f t="shared" si="31"/>
        <v/>
      </c>
      <c r="I417" s="30" t="str">
        <f t="shared" si="32"/>
        <v/>
      </c>
      <c r="J417" s="30" t="str">
        <f t="shared" si="33"/>
        <v/>
      </c>
      <c r="K417" s="30" t="str">
        <f t="shared" si="34"/>
        <v/>
      </c>
      <c r="M417" s="11"/>
    </row>
    <row r="418" spans="1:13" ht="15" x14ac:dyDescent="0.25">
      <c r="A418" s="1" t="str">
        <f>IF('1.1 Produksi Bersih Padi 2025'!A418="","",'1.1 Produksi Bersih Padi 2025'!A418)</f>
        <v/>
      </c>
      <c r="B418" s="31" t="str">
        <f>IF('1.1 Produksi Bersih Padi 2025'!B418="","",'1.1 Produksi Bersih Padi 2025'!B418)</f>
        <v/>
      </c>
      <c r="C418" s="31" t="str">
        <f>IF('1.1 Produksi Bersih Padi 2025'!C418="","",'1.1 Produksi Bersih Padi 2025'!C418)</f>
        <v/>
      </c>
      <c r="D418" s="1" t="str">
        <f>IF('1.1 Produksi Bersih Padi 2025'!D418="","",'1.1 Produksi Bersih Padi 2025'!D418)</f>
        <v/>
      </c>
      <c r="E418" s="1" t="str">
        <f>IF('1.1 Produksi Bersih Padi 2025'!E418="","",'1.1 Produksi Bersih Padi 2025'!E418)</f>
        <v/>
      </c>
      <c r="F418" s="28" t="str">
        <f>IF(D418="","",VLOOKUP(D418,'[1]0.1 Produksi Pangan &amp; Penduduk'!$D$5:$Y$860,22,0))</f>
        <v/>
      </c>
      <c r="G418" s="30" t="str">
        <f t="shared" si="30"/>
        <v/>
      </c>
      <c r="H418" s="30" t="str">
        <f t="shared" si="31"/>
        <v/>
      </c>
      <c r="I418" s="30" t="str">
        <f t="shared" si="32"/>
        <v/>
      </c>
      <c r="J418" s="30" t="str">
        <f t="shared" si="33"/>
        <v/>
      </c>
      <c r="K418" s="30" t="str">
        <f t="shared" si="34"/>
        <v/>
      </c>
      <c r="M418" s="11"/>
    </row>
    <row r="419" spans="1:13" ht="15" x14ac:dyDescent="0.25">
      <c r="A419" s="1" t="str">
        <f>IF('1.1 Produksi Bersih Padi 2025'!A419="","",'1.1 Produksi Bersih Padi 2025'!A419)</f>
        <v/>
      </c>
      <c r="B419" s="31" t="str">
        <f>IF('1.1 Produksi Bersih Padi 2025'!B419="","",'1.1 Produksi Bersih Padi 2025'!B419)</f>
        <v/>
      </c>
      <c r="C419" s="31" t="str">
        <f>IF('1.1 Produksi Bersih Padi 2025'!C419="","",'1.1 Produksi Bersih Padi 2025'!C419)</f>
        <v/>
      </c>
      <c r="D419" s="1" t="str">
        <f>IF('1.1 Produksi Bersih Padi 2025'!D419="","",'1.1 Produksi Bersih Padi 2025'!D419)</f>
        <v/>
      </c>
      <c r="E419" s="1" t="str">
        <f>IF('1.1 Produksi Bersih Padi 2025'!E419="","",'1.1 Produksi Bersih Padi 2025'!E419)</f>
        <v/>
      </c>
      <c r="F419" s="28" t="str">
        <f>IF(D419="","",VLOOKUP(D419,'[1]0.1 Produksi Pangan &amp; Penduduk'!$D$5:$Y$860,22,0))</f>
        <v/>
      </c>
      <c r="G419" s="30" t="str">
        <f t="shared" si="30"/>
        <v/>
      </c>
      <c r="H419" s="30" t="str">
        <f t="shared" si="31"/>
        <v/>
      </c>
      <c r="I419" s="30" t="str">
        <f t="shared" si="32"/>
        <v/>
      </c>
      <c r="J419" s="30" t="str">
        <f t="shared" si="33"/>
        <v/>
      </c>
      <c r="K419" s="30" t="str">
        <f t="shared" si="34"/>
        <v/>
      </c>
      <c r="M419" s="11"/>
    </row>
    <row r="420" spans="1:13" ht="15" x14ac:dyDescent="0.25">
      <c r="A420" s="1" t="str">
        <f>IF('1.1 Produksi Bersih Padi 2025'!A420="","",'1.1 Produksi Bersih Padi 2025'!A420)</f>
        <v/>
      </c>
      <c r="B420" s="31" t="str">
        <f>IF('1.1 Produksi Bersih Padi 2025'!B420="","",'1.1 Produksi Bersih Padi 2025'!B420)</f>
        <v/>
      </c>
      <c r="C420" s="31" t="str">
        <f>IF('1.1 Produksi Bersih Padi 2025'!C420="","",'1.1 Produksi Bersih Padi 2025'!C420)</f>
        <v/>
      </c>
      <c r="D420" s="1" t="str">
        <f>IF('1.1 Produksi Bersih Padi 2025'!D420="","",'1.1 Produksi Bersih Padi 2025'!D420)</f>
        <v/>
      </c>
      <c r="E420" s="1" t="str">
        <f>IF('1.1 Produksi Bersih Padi 2025'!E420="","",'1.1 Produksi Bersih Padi 2025'!E420)</f>
        <v/>
      </c>
      <c r="F420" s="28" t="str">
        <f>IF(D420="","",VLOOKUP(D420,'[1]0.1 Produksi Pangan &amp; Penduduk'!$D$5:$Y$860,22,0))</f>
        <v/>
      </c>
      <c r="G420" s="30" t="str">
        <f t="shared" si="30"/>
        <v/>
      </c>
      <c r="H420" s="30" t="str">
        <f t="shared" si="31"/>
        <v/>
      </c>
      <c r="I420" s="30" t="str">
        <f t="shared" si="32"/>
        <v/>
      </c>
      <c r="J420" s="30" t="str">
        <f t="shared" si="33"/>
        <v/>
      </c>
      <c r="K420" s="30" t="str">
        <f t="shared" si="34"/>
        <v/>
      </c>
      <c r="M420" s="11"/>
    </row>
    <row r="421" spans="1:13" ht="15" x14ac:dyDescent="0.25">
      <c r="A421" s="1" t="str">
        <f>IF('1.1 Produksi Bersih Padi 2025'!A421="","",'1.1 Produksi Bersih Padi 2025'!A421)</f>
        <v/>
      </c>
      <c r="B421" s="31" t="str">
        <f>IF('1.1 Produksi Bersih Padi 2025'!B421="","",'1.1 Produksi Bersih Padi 2025'!B421)</f>
        <v/>
      </c>
      <c r="C421" s="31" t="str">
        <f>IF('1.1 Produksi Bersih Padi 2025'!C421="","",'1.1 Produksi Bersih Padi 2025'!C421)</f>
        <v/>
      </c>
      <c r="D421" s="1" t="str">
        <f>IF('1.1 Produksi Bersih Padi 2025'!D421="","",'1.1 Produksi Bersih Padi 2025'!D421)</f>
        <v/>
      </c>
      <c r="E421" s="1" t="str">
        <f>IF('1.1 Produksi Bersih Padi 2025'!E421="","",'1.1 Produksi Bersih Padi 2025'!E421)</f>
        <v/>
      </c>
      <c r="F421" s="28" t="str">
        <f>IF(D421="","",VLOOKUP(D421,'[1]0.1 Produksi Pangan &amp; Penduduk'!$D$5:$Y$860,22,0))</f>
        <v/>
      </c>
      <c r="G421" s="30" t="str">
        <f t="shared" si="30"/>
        <v/>
      </c>
      <c r="H421" s="30" t="str">
        <f t="shared" si="31"/>
        <v/>
      </c>
      <c r="I421" s="30" t="str">
        <f t="shared" si="32"/>
        <v/>
      </c>
      <c r="J421" s="30" t="str">
        <f t="shared" si="33"/>
        <v/>
      </c>
      <c r="K421" s="30" t="str">
        <f t="shared" si="34"/>
        <v/>
      </c>
    </row>
    <row r="422" spans="1:13" ht="15" x14ac:dyDescent="0.25">
      <c r="A422" s="1" t="str">
        <f>IF('1.1 Produksi Bersih Padi 2025'!A422="","",'1.1 Produksi Bersih Padi 2025'!A422)</f>
        <v/>
      </c>
      <c r="B422" s="31" t="str">
        <f>IF('1.1 Produksi Bersih Padi 2025'!B422="","",'1.1 Produksi Bersih Padi 2025'!B422)</f>
        <v/>
      </c>
      <c r="C422" s="31" t="str">
        <f>IF('1.1 Produksi Bersih Padi 2025'!C422="","",'1.1 Produksi Bersih Padi 2025'!C422)</f>
        <v/>
      </c>
      <c r="D422" s="1" t="str">
        <f>IF('1.1 Produksi Bersih Padi 2025'!D422="","",'1.1 Produksi Bersih Padi 2025'!D422)</f>
        <v/>
      </c>
      <c r="E422" s="1" t="str">
        <f>IF('1.1 Produksi Bersih Padi 2025'!E422="","",'1.1 Produksi Bersih Padi 2025'!E422)</f>
        <v/>
      </c>
      <c r="F422" s="28" t="str">
        <f>IF(D422="","",VLOOKUP(D422,'[1]0.1 Produksi Pangan &amp; Penduduk'!$D$5:$Y$860,22,0))</f>
        <v/>
      </c>
      <c r="G422" s="30" t="str">
        <f t="shared" si="30"/>
        <v/>
      </c>
      <c r="H422" s="30" t="str">
        <f t="shared" si="31"/>
        <v/>
      </c>
      <c r="I422" s="30" t="str">
        <f t="shared" si="32"/>
        <v/>
      </c>
      <c r="J422" s="30" t="str">
        <f t="shared" si="33"/>
        <v/>
      </c>
      <c r="K422" s="30" t="str">
        <f t="shared" si="34"/>
        <v/>
      </c>
    </row>
    <row r="423" spans="1:13" ht="15" x14ac:dyDescent="0.25">
      <c r="A423" s="1" t="str">
        <f>IF('1.1 Produksi Bersih Padi 2025'!A423="","",'1.1 Produksi Bersih Padi 2025'!A423)</f>
        <v/>
      </c>
      <c r="B423" s="31" t="str">
        <f>IF('1.1 Produksi Bersih Padi 2025'!B423="","",'1.1 Produksi Bersih Padi 2025'!B423)</f>
        <v/>
      </c>
      <c r="C423" s="31" t="str">
        <f>IF('1.1 Produksi Bersih Padi 2025'!C423="","",'1.1 Produksi Bersih Padi 2025'!C423)</f>
        <v/>
      </c>
      <c r="D423" s="1" t="str">
        <f>IF('1.1 Produksi Bersih Padi 2025'!D423="","",'1.1 Produksi Bersih Padi 2025'!D423)</f>
        <v/>
      </c>
      <c r="E423" s="1" t="str">
        <f>IF('1.1 Produksi Bersih Padi 2025'!E423="","",'1.1 Produksi Bersih Padi 2025'!E423)</f>
        <v/>
      </c>
      <c r="F423" s="28" t="str">
        <f>IF(D423="","",VLOOKUP(D423,'[1]0.1 Produksi Pangan &amp; Penduduk'!$D$5:$Y$860,22,0))</f>
        <v/>
      </c>
      <c r="G423" s="30" t="str">
        <f t="shared" si="30"/>
        <v/>
      </c>
      <c r="H423" s="30" t="str">
        <f t="shared" si="31"/>
        <v/>
      </c>
      <c r="I423" s="30" t="str">
        <f t="shared" si="32"/>
        <v/>
      </c>
      <c r="J423" s="30" t="str">
        <f t="shared" si="33"/>
        <v/>
      </c>
      <c r="K423" s="30" t="str">
        <f t="shared" si="34"/>
        <v/>
      </c>
    </row>
    <row r="424" spans="1:13" ht="15" x14ac:dyDescent="0.25">
      <c r="A424" s="1" t="str">
        <f>IF('1.1 Produksi Bersih Padi 2025'!A424="","",'1.1 Produksi Bersih Padi 2025'!A424)</f>
        <v/>
      </c>
      <c r="B424" s="31" t="str">
        <f>IF('1.1 Produksi Bersih Padi 2025'!B424="","",'1.1 Produksi Bersih Padi 2025'!B424)</f>
        <v/>
      </c>
      <c r="C424" s="31" t="str">
        <f>IF('1.1 Produksi Bersih Padi 2025'!C424="","",'1.1 Produksi Bersih Padi 2025'!C424)</f>
        <v/>
      </c>
      <c r="D424" s="1" t="str">
        <f>IF('1.1 Produksi Bersih Padi 2025'!D424="","",'1.1 Produksi Bersih Padi 2025'!D424)</f>
        <v/>
      </c>
      <c r="E424" s="1" t="str">
        <f>IF('1.1 Produksi Bersih Padi 2025'!E424="","",'1.1 Produksi Bersih Padi 2025'!E424)</f>
        <v/>
      </c>
      <c r="F424" s="28" t="str">
        <f>IF(D424="","",VLOOKUP(D424,'[1]0.1 Produksi Pangan &amp; Penduduk'!$D$5:$Y$860,22,0))</f>
        <v/>
      </c>
      <c r="G424" s="30" t="str">
        <f t="shared" si="30"/>
        <v/>
      </c>
      <c r="H424" s="30" t="str">
        <f t="shared" si="31"/>
        <v/>
      </c>
      <c r="I424" s="30" t="str">
        <f t="shared" si="32"/>
        <v/>
      </c>
      <c r="J424" s="30" t="str">
        <f t="shared" si="33"/>
        <v/>
      </c>
      <c r="K424" s="30" t="str">
        <f t="shared" si="34"/>
        <v/>
      </c>
    </row>
    <row r="425" spans="1:13" ht="15" x14ac:dyDescent="0.25">
      <c r="A425" s="1" t="str">
        <f>IF('1.1 Produksi Bersih Padi 2025'!A425="","",'1.1 Produksi Bersih Padi 2025'!A425)</f>
        <v/>
      </c>
      <c r="B425" s="31" t="str">
        <f>IF('1.1 Produksi Bersih Padi 2025'!B425="","",'1.1 Produksi Bersih Padi 2025'!B425)</f>
        <v/>
      </c>
      <c r="C425" s="31" t="str">
        <f>IF('1.1 Produksi Bersih Padi 2025'!C425="","",'1.1 Produksi Bersih Padi 2025'!C425)</f>
        <v/>
      </c>
      <c r="D425" s="1" t="str">
        <f>IF('1.1 Produksi Bersih Padi 2025'!D425="","",'1.1 Produksi Bersih Padi 2025'!D425)</f>
        <v/>
      </c>
      <c r="E425" s="1" t="str">
        <f>IF('1.1 Produksi Bersih Padi 2025'!E425="","",'1.1 Produksi Bersih Padi 2025'!E425)</f>
        <v/>
      </c>
      <c r="F425" s="28" t="str">
        <f>IF(D425="","",VLOOKUP(D425,'[1]0.1 Produksi Pangan &amp; Penduduk'!$D$5:$Y$860,22,0))</f>
        <v/>
      </c>
      <c r="G425" s="30" t="str">
        <f t="shared" si="30"/>
        <v/>
      </c>
      <c r="H425" s="30" t="str">
        <f t="shared" si="31"/>
        <v/>
      </c>
      <c r="I425" s="30" t="str">
        <f t="shared" si="32"/>
        <v/>
      </c>
      <c r="J425" s="30" t="str">
        <f t="shared" si="33"/>
        <v/>
      </c>
      <c r="K425" s="30" t="str">
        <f t="shared" si="34"/>
        <v/>
      </c>
    </row>
    <row r="426" spans="1:13" ht="15" x14ac:dyDescent="0.25">
      <c r="A426" s="1" t="str">
        <f>IF('1.1 Produksi Bersih Padi 2025'!A426="","",'1.1 Produksi Bersih Padi 2025'!A426)</f>
        <v/>
      </c>
      <c r="B426" s="31" t="str">
        <f>IF('1.1 Produksi Bersih Padi 2025'!B426="","",'1.1 Produksi Bersih Padi 2025'!B426)</f>
        <v/>
      </c>
      <c r="C426" s="31" t="str">
        <f>IF('1.1 Produksi Bersih Padi 2025'!C426="","",'1.1 Produksi Bersih Padi 2025'!C426)</f>
        <v/>
      </c>
      <c r="D426" s="1" t="str">
        <f>IF('1.1 Produksi Bersih Padi 2025'!D426="","",'1.1 Produksi Bersih Padi 2025'!D426)</f>
        <v/>
      </c>
      <c r="E426" s="1" t="str">
        <f>IF('1.1 Produksi Bersih Padi 2025'!E426="","",'1.1 Produksi Bersih Padi 2025'!E426)</f>
        <v/>
      </c>
      <c r="F426" s="28" t="str">
        <f>IF(D426="","",VLOOKUP(D426,'[1]0.1 Produksi Pangan &amp; Penduduk'!$D$5:$Y$860,22,0))</f>
        <v/>
      </c>
      <c r="G426" s="30" t="str">
        <f t="shared" si="30"/>
        <v/>
      </c>
      <c r="H426" s="30" t="str">
        <f t="shared" si="31"/>
        <v/>
      </c>
      <c r="I426" s="30" t="str">
        <f t="shared" si="32"/>
        <v/>
      </c>
      <c r="J426" s="30" t="str">
        <f t="shared" si="33"/>
        <v/>
      </c>
      <c r="K426" s="30" t="str">
        <f t="shared" si="34"/>
        <v/>
      </c>
    </row>
    <row r="427" spans="1:13" ht="15" x14ac:dyDescent="0.25">
      <c r="A427" s="1" t="str">
        <f>IF('1.1 Produksi Bersih Padi 2025'!A427="","",'1.1 Produksi Bersih Padi 2025'!A427)</f>
        <v/>
      </c>
      <c r="B427" s="31" t="str">
        <f>IF('1.1 Produksi Bersih Padi 2025'!B427="","",'1.1 Produksi Bersih Padi 2025'!B427)</f>
        <v/>
      </c>
      <c r="C427" s="31" t="str">
        <f>IF('1.1 Produksi Bersih Padi 2025'!C427="","",'1.1 Produksi Bersih Padi 2025'!C427)</f>
        <v/>
      </c>
      <c r="D427" s="1" t="str">
        <f>IF('1.1 Produksi Bersih Padi 2025'!D427="","",'1.1 Produksi Bersih Padi 2025'!D427)</f>
        <v/>
      </c>
      <c r="E427" s="1" t="str">
        <f>IF('1.1 Produksi Bersih Padi 2025'!E427="","",'1.1 Produksi Bersih Padi 2025'!E427)</f>
        <v/>
      </c>
      <c r="F427" s="28" t="str">
        <f>IF(D427="","",VLOOKUP(D427,'[1]0.1 Produksi Pangan &amp; Penduduk'!$D$5:$Y$860,22,0))</f>
        <v/>
      </c>
      <c r="G427" s="30" t="str">
        <f t="shared" si="30"/>
        <v/>
      </c>
      <c r="H427" s="30" t="str">
        <f t="shared" si="31"/>
        <v/>
      </c>
      <c r="I427" s="30" t="str">
        <f t="shared" si="32"/>
        <v/>
      </c>
      <c r="J427" s="30" t="str">
        <f t="shared" si="33"/>
        <v/>
      </c>
      <c r="K427" s="30" t="str">
        <f t="shared" si="34"/>
        <v/>
      </c>
    </row>
    <row r="428" spans="1:13" ht="15" x14ac:dyDescent="0.25">
      <c r="A428" s="1" t="str">
        <f>IF('1.1 Produksi Bersih Padi 2025'!A428="","",'1.1 Produksi Bersih Padi 2025'!A428)</f>
        <v/>
      </c>
      <c r="B428" s="31" t="str">
        <f>IF('1.1 Produksi Bersih Padi 2025'!B428="","",'1.1 Produksi Bersih Padi 2025'!B428)</f>
        <v/>
      </c>
      <c r="C428" s="31" t="str">
        <f>IF('1.1 Produksi Bersih Padi 2025'!C428="","",'1.1 Produksi Bersih Padi 2025'!C428)</f>
        <v/>
      </c>
      <c r="D428" s="1" t="str">
        <f>IF('1.1 Produksi Bersih Padi 2025'!D428="","",'1.1 Produksi Bersih Padi 2025'!D428)</f>
        <v/>
      </c>
      <c r="E428" s="1" t="str">
        <f>IF('1.1 Produksi Bersih Padi 2025'!E428="","",'1.1 Produksi Bersih Padi 2025'!E428)</f>
        <v/>
      </c>
      <c r="F428" s="28" t="str">
        <f>IF(D428="","",VLOOKUP(D428,'[1]0.1 Produksi Pangan &amp; Penduduk'!$D$5:$Y$860,22,0))</f>
        <v/>
      </c>
      <c r="G428" s="30" t="str">
        <f t="shared" si="30"/>
        <v/>
      </c>
      <c r="H428" s="30" t="str">
        <f t="shared" si="31"/>
        <v/>
      </c>
      <c r="I428" s="30" t="str">
        <f t="shared" si="32"/>
        <v/>
      </c>
      <c r="J428" s="30" t="str">
        <f t="shared" si="33"/>
        <v/>
      </c>
      <c r="K428" s="30" t="str">
        <f t="shared" si="34"/>
        <v/>
      </c>
    </row>
    <row r="429" spans="1:13" ht="15" x14ac:dyDescent="0.25">
      <c r="A429" s="1" t="str">
        <f>IF('1.1 Produksi Bersih Padi 2025'!A429="","",'1.1 Produksi Bersih Padi 2025'!A429)</f>
        <v/>
      </c>
      <c r="B429" s="31" t="str">
        <f>IF('1.1 Produksi Bersih Padi 2025'!B429="","",'1.1 Produksi Bersih Padi 2025'!B429)</f>
        <v/>
      </c>
      <c r="C429" s="31" t="str">
        <f>IF('1.1 Produksi Bersih Padi 2025'!C429="","",'1.1 Produksi Bersih Padi 2025'!C429)</f>
        <v/>
      </c>
      <c r="D429" s="1" t="str">
        <f>IF('1.1 Produksi Bersih Padi 2025'!D429="","",'1.1 Produksi Bersih Padi 2025'!D429)</f>
        <v/>
      </c>
      <c r="E429" s="1" t="str">
        <f>IF('1.1 Produksi Bersih Padi 2025'!E429="","",'1.1 Produksi Bersih Padi 2025'!E429)</f>
        <v/>
      </c>
      <c r="F429" s="28" t="str">
        <f>IF(D429="","",VLOOKUP(D429,'[1]0.1 Produksi Pangan &amp; Penduduk'!$D$5:$Y$860,22,0))</f>
        <v/>
      </c>
      <c r="G429" s="30" t="str">
        <f t="shared" si="30"/>
        <v/>
      </c>
      <c r="H429" s="30" t="str">
        <f t="shared" si="31"/>
        <v/>
      </c>
      <c r="I429" s="30" t="str">
        <f t="shared" si="32"/>
        <v/>
      </c>
      <c r="J429" s="30" t="str">
        <f t="shared" si="33"/>
        <v/>
      </c>
      <c r="K429" s="30" t="str">
        <f t="shared" si="34"/>
        <v/>
      </c>
    </row>
    <row r="430" spans="1:13" ht="15" x14ac:dyDescent="0.25">
      <c r="A430" s="1" t="str">
        <f>IF('1.1 Produksi Bersih Padi 2025'!A430="","",'1.1 Produksi Bersih Padi 2025'!A430)</f>
        <v/>
      </c>
      <c r="B430" s="31" t="str">
        <f>IF('1.1 Produksi Bersih Padi 2025'!B430="","",'1.1 Produksi Bersih Padi 2025'!B430)</f>
        <v/>
      </c>
      <c r="C430" s="31" t="str">
        <f>IF('1.1 Produksi Bersih Padi 2025'!C430="","",'1.1 Produksi Bersih Padi 2025'!C430)</f>
        <v/>
      </c>
      <c r="D430" s="1" t="str">
        <f>IF('1.1 Produksi Bersih Padi 2025'!D430="","",'1.1 Produksi Bersih Padi 2025'!D430)</f>
        <v/>
      </c>
      <c r="E430" s="1" t="str">
        <f>IF('1.1 Produksi Bersih Padi 2025'!E430="","",'1.1 Produksi Bersih Padi 2025'!E430)</f>
        <v/>
      </c>
      <c r="F430" s="28" t="str">
        <f>IF(D430="","",VLOOKUP(D430,'[1]0.1 Produksi Pangan &amp; Penduduk'!$D$5:$Y$860,22,0))</f>
        <v/>
      </c>
      <c r="G430" s="30" t="str">
        <f t="shared" si="30"/>
        <v/>
      </c>
      <c r="H430" s="30" t="str">
        <f t="shared" si="31"/>
        <v/>
      </c>
      <c r="I430" s="30" t="str">
        <f t="shared" si="32"/>
        <v/>
      </c>
      <c r="J430" s="30" t="str">
        <f t="shared" si="33"/>
        <v/>
      </c>
      <c r="K430" s="30" t="str">
        <f t="shared" si="34"/>
        <v/>
      </c>
    </row>
    <row r="431" spans="1:13" ht="15" x14ac:dyDescent="0.25">
      <c r="A431" s="1" t="str">
        <f>IF('1.1 Produksi Bersih Padi 2025'!A431="","",'1.1 Produksi Bersih Padi 2025'!A431)</f>
        <v/>
      </c>
      <c r="B431" s="31" t="str">
        <f>IF('1.1 Produksi Bersih Padi 2025'!B431="","",'1.1 Produksi Bersih Padi 2025'!B431)</f>
        <v/>
      </c>
      <c r="C431" s="31" t="str">
        <f>IF('1.1 Produksi Bersih Padi 2025'!C431="","",'1.1 Produksi Bersih Padi 2025'!C431)</f>
        <v/>
      </c>
      <c r="D431" s="1" t="str">
        <f>IF('1.1 Produksi Bersih Padi 2025'!D431="","",'1.1 Produksi Bersih Padi 2025'!D431)</f>
        <v/>
      </c>
      <c r="E431" s="1" t="str">
        <f>IF('1.1 Produksi Bersih Padi 2025'!E431="","",'1.1 Produksi Bersih Padi 2025'!E431)</f>
        <v/>
      </c>
      <c r="F431" s="28" t="str">
        <f>IF(D431="","",VLOOKUP(D431,'[1]0.1 Produksi Pangan &amp; Penduduk'!$D$5:$Y$860,22,0))</f>
        <v/>
      </c>
      <c r="G431" s="30" t="str">
        <f t="shared" si="30"/>
        <v/>
      </c>
      <c r="H431" s="30" t="str">
        <f t="shared" si="31"/>
        <v/>
      </c>
      <c r="I431" s="30" t="str">
        <f t="shared" si="32"/>
        <v/>
      </c>
      <c r="J431" s="30" t="str">
        <f t="shared" si="33"/>
        <v/>
      </c>
      <c r="K431" s="30" t="str">
        <f t="shared" si="34"/>
        <v/>
      </c>
    </row>
    <row r="432" spans="1:13" ht="15" x14ac:dyDescent="0.25">
      <c r="A432" s="1" t="str">
        <f>IF('1.1 Produksi Bersih Padi 2025'!A432="","",'1.1 Produksi Bersih Padi 2025'!A432)</f>
        <v/>
      </c>
      <c r="B432" s="31" t="str">
        <f>IF('1.1 Produksi Bersih Padi 2025'!B432="","",'1.1 Produksi Bersih Padi 2025'!B432)</f>
        <v/>
      </c>
      <c r="C432" s="31" t="str">
        <f>IF('1.1 Produksi Bersih Padi 2025'!C432="","",'1.1 Produksi Bersih Padi 2025'!C432)</f>
        <v/>
      </c>
      <c r="D432" s="1" t="str">
        <f>IF('1.1 Produksi Bersih Padi 2025'!D432="","",'1.1 Produksi Bersih Padi 2025'!D432)</f>
        <v/>
      </c>
      <c r="E432" s="1" t="str">
        <f>IF('1.1 Produksi Bersih Padi 2025'!E432="","",'1.1 Produksi Bersih Padi 2025'!E432)</f>
        <v/>
      </c>
      <c r="F432" s="28" t="str">
        <f>IF(D432="","",VLOOKUP(D432,'[1]0.1 Produksi Pangan &amp; Penduduk'!$D$5:$Y$860,22,0))</f>
        <v/>
      </c>
      <c r="G432" s="30" t="str">
        <f t="shared" si="30"/>
        <v/>
      </c>
      <c r="H432" s="30" t="str">
        <f t="shared" si="31"/>
        <v/>
      </c>
      <c r="I432" s="30" t="str">
        <f t="shared" si="32"/>
        <v/>
      </c>
      <c r="J432" s="30" t="str">
        <f t="shared" si="33"/>
        <v/>
      </c>
      <c r="K432" s="30" t="str">
        <f t="shared" si="34"/>
        <v/>
      </c>
    </row>
    <row r="433" spans="1:11" ht="15" x14ac:dyDescent="0.25">
      <c r="A433" s="1" t="str">
        <f>IF('1.1 Produksi Bersih Padi 2025'!A433="","",'1.1 Produksi Bersih Padi 2025'!A433)</f>
        <v/>
      </c>
      <c r="B433" s="31" t="str">
        <f>IF('1.1 Produksi Bersih Padi 2025'!B433="","",'1.1 Produksi Bersih Padi 2025'!B433)</f>
        <v/>
      </c>
      <c r="C433" s="31" t="str">
        <f>IF('1.1 Produksi Bersih Padi 2025'!C433="","",'1.1 Produksi Bersih Padi 2025'!C433)</f>
        <v/>
      </c>
      <c r="D433" s="1" t="str">
        <f>IF('1.1 Produksi Bersih Padi 2025'!D433="","",'1.1 Produksi Bersih Padi 2025'!D433)</f>
        <v/>
      </c>
      <c r="E433" s="1" t="str">
        <f>IF('1.1 Produksi Bersih Padi 2025'!E433="","",'1.1 Produksi Bersih Padi 2025'!E433)</f>
        <v/>
      </c>
      <c r="F433" s="28" t="str">
        <f>IF(D433="","",VLOOKUP(D433,'[1]0.1 Produksi Pangan &amp; Penduduk'!$D$5:$Y$860,22,0))</f>
        <v/>
      </c>
      <c r="G433" s="30" t="str">
        <f t="shared" si="30"/>
        <v/>
      </c>
      <c r="H433" s="30" t="str">
        <f t="shared" si="31"/>
        <v/>
      </c>
      <c r="I433" s="30" t="str">
        <f t="shared" si="32"/>
        <v/>
      </c>
      <c r="J433" s="30" t="str">
        <f t="shared" si="33"/>
        <v/>
      </c>
      <c r="K433" s="30" t="str">
        <f t="shared" si="34"/>
        <v/>
      </c>
    </row>
    <row r="434" spans="1:11" ht="15" x14ac:dyDescent="0.25">
      <c r="A434" s="1" t="str">
        <f>IF('1.1 Produksi Bersih Padi 2025'!A434="","",'1.1 Produksi Bersih Padi 2025'!A434)</f>
        <v/>
      </c>
      <c r="B434" s="31" t="str">
        <f>IF('1.1 Produksi Bersih Padi 2025'!B434="","",'1.1 Produksi Bersih Padi 2025'!B434)</f>
        <v/>
      </c>
      <c r="C434" s="31" t="str">
        <f>IF('1.1 Produksi Bersih Padi 2025'!C434="","",'1.1 Produksi Bersih Padi 2025'!C434)</f>
        <v/>
      </c>
      <c r="D434" s="1" t="str">
        <f>IF('1.1 Produksi Bersih Padi 2025'!D434="","",'1.1 Produksi Bersih Padi 2025'!D434)</f>
        <v/>
      </c>
      <c r="E434" s="1" t="str">
        <f>IF('1.1 Produksi Bersih Padi 2025'!E434="","",'1.1 Produksi Bersih Padi 2025'!E434)</f>
        <v/>
      </c>
      <c r="F434" s="28" t="str">
        <f>IF(D434="","",VLOOKUP(D434,'[1]0.1 Produksi Pangan &amp; Penduduk'!$D$5:$Y$860,22,0))</f>
        <v/>
      </c>
      <c r="G434" s="30" t="str">
        <f t="shared" si="30"/>
        <v/>
      </c>
      <c r="H434" s="30" t="str">
        <f t="shared" si="31"/>
        <v/>
      </c>
      <c r="I434" s="30" t="str">
        <f t="shared" si="32"/>
        <v/>
      </c>
      <c r="J434" s="30" t="str">
        <f t="shared" si="33"/>
        <v/>
      </c>
      <c r="K434" s="30" t="str">
        <f t="shared" si="34"/>
        <v/>
      </c>
    </row>
    <row r="435" spans="1:11" ht="15" x14ac:dyDescent="0.25">
      <c r="A435" s="1" t="str">
        <f>IF('1.1 Produksi Bersih Padi 2025'!A435="","",'1.1 Produksi Bersih Padi 2025'!A435)</f>
        <v/>
      </c>
      <c r="B435" s="31" t="str">
        <f>IF('1.1 Produksi Bersih Padi 2025'!B435="","",'1.1 Produksi Bersih Padi 2025'!B435)</f>
        <v/>
      </c>
      <c r="C435" s="31" t="str">
        <f>IF('1.1 Produksi Bersih Padi 2025'!C435="","",'1.1 Produksi Bersih Padi 2025'!C435)</f>
        <v/>
      </c>
      <c r="D435" s="1" t="str">
        <f>IF('1.1 Produksi Bersih Padi 2025'!D435="","",'1.1 Produksi Bersih Padi 2025'!D435)</f>
        <v/>
      </c>
      <c r="E435" s="1" t="str">
        <f>IF('1.1 Produksi Bersih Padi 2025'!E435="","",'1.1 Produksi Bersih Padi 2025'!E435)</f>
        <v/>
      </c>
      <c r="F435" s="28" t="str">
        <f>IF(D435="","",VLOOKUP(D435,'[1]0.1 Produksi Pangan &amp; Penduduk'!$D$5:$Y$860,22,0))</f>
        <v/>
      </c>
      <c r="G435" s="30" t="str">
        <f t="shared" si="30"/>
        <v/>
      </c>
      <c r="H435" s="30" t="str">
        <f t="shared" si="31"/>
        <v/>
      </c>
      <c r="I435" s="30" t="str">
        <f t="shared" si="32"/>
        <v/>
      </c>
      <c r="J435" s="30" t="str">
        <f t="shared" si="33"/>
        <v/>
      </c>
      <c r="K435" s="30" t="str">
        <f t="shared" si="34"/>
        <v/>
      </c>
    </row>
    <row r="436" spans="1:11" ht="15" x14ac:dyDescent="0.25">
      <c r="A436" s="1" t="str">
        <f>IF('1.1 Produksi Bersih Padi 2025'!A436="","",'1.1 Produksi Bersih Padi 2025'!A436)</f>
        <v/>
      </c>
      <c r="B436" s="31" t="str">
        <f>IF('1.1 Produksi Bersih Padi 2025'!B436="","",'1.1 Produksi Bersih Padi 2025'!B436)</f>
        <v/>
      </c>
      <c r="C436" s="31" t="str">
        <f>IF('1.1 Produksi Bersih Padi 2025'!C436="","",'1.1 Produksi Bersih Padi 2025'!C436)</f>
        <v/>
      </c>
      <c r="D436" s="1" t="str">
        <f>IF('1.1 Produksi Bersih Padi 2025'!D436="","",'1.1 Produksi Bersih Padi 2025'!D436)</f>
        <v/>
      </c>
      <c r="E436" s="1" t="str">
        <f>IF('1.1 Produksi Bersih Padi 2025'!E436="","",'1.1 Produksi Bersih Padi 2025'!E436)</f>
        <v/>
      </c>
      <c r="F436" s="28" t="str">
        <f>IF(D436="","",VLOOKUP(D436,'[1]0.1 Produksi Pangan &amp; Penduduk'!$D$5:$Y$860,22,0))</f>
        <v/>
      </c>
      <c r="G436" s="30" t="str">
        <f t="shared" si="30"/>
        <v/>
      </c>
      <c r="H436" s="30" t="str">
        <f t="shared" si="31"/>
        <v/>
      </c>
      <c r="I436" s="30" t="str">
        <f t="shared" si="32"/>
        <v/>
      </c>
      <c r="J436" s="30" t="str">
        <f t="shared" si="33"/>
        <v/>
      </c>
      <c r="K436" s="30" t="str">
        <f t="shared" si="34"/>
        <v/>
      </c>
    </row>
    <row r="437" spans="1:11" ht="15" x14ac:dyDescent="0.25">
      <c r="A437" s="1" t="str">
        <f>IF('1.1 Produksi Bersih Padi 2025'!A437="","",'1.1 Produksi Bersih Padi 2025'!A437)</f>
        <v/>
      </c>
      <c r="B437" s="31" t="str">
        <f>IF('1.1 Produksi Bersih Padi 2025'!B437="","",'1.1 Produksi Bersih Padi 2025'!B437)</f>
        <v/>
      </c>
      <c r="C437" s="31" t="str">
        <f>IF('1.1 Produksi Bersih Padi 2025'!C437="","",'1.1 Produksi Bersih Padi 2025'!C437)</f>
        <v/>
      </c>
      <c r="D437" s="1" t="str">
        <f>IF('1.1 Produksi Bersih Padi 2025'!D437="","",'1.1 Produksi Bersih Padi 2025'!D437)</f>
        <v/>
      </c>
      <c r="E437" s="1" t="str">
        <f>IF('1.1 Produksi Bersih Padi 2025'!E437="","",'1.1 Produksi Bersih Padi 2025'!E437)</f>
        <v/>
      </c>
      <c r="F437" s="28" t="str">
        <f>IF(D437="","",VLOOKUP(D437,'[1]0.1 Produksi Pangan &amp; Penduduk'!$D$5:$Y$860,22,0))</f>
        <v/>
      </c>
      <c r="G437" s="30" t="str">
        <f t="shared" si="30"/>
        <v/>
      </c>
      <c r="H437" s="30" t="str">
        <f t="shared" si="31"/>
        <v/>
      </c>
      <c r="I437" s="30" t="str">
        <f t="shared" si="32"/>
        <v/>
      </c>
      <c r="J437" s="30" t="str">
        <f t="shared" si="33"/>
        <v/>
      </c>
      <c r="K437" s="30" t="str">
        <f t="shared" si="34"/>
        <v/>
      </c>
    </row>
    <row r="438" spans="1:11" ht="15" x14ac:dyDescent="0.25">
      <c r="A438" s="1" t="str">
        <f>IF('1.1 Produksi Bersih Padi 2025'!A438="","",'1.1 Produksi Bersih Padi 2025'!A438)</f>
        <v/>
      </c>
      <c r="B438" s="31" t="str">
        <f>IF('1.1 Produksi Bersih Padi 2025'!B438="","",'1.1 Produksi Bersih Padi 2025'!B438)</f>
        <v/>
      </c>
      <c r="C438" s="31" t="str">
        <f>IF('1.1 Produksi Bersih Padi 2025'!C438="","",'1.1 Produksi Bersih Padi 2025'!C438)</f>
        <v/>
      </c>
      <c r="D438" s="1" t="str">
        <f>IF('1.1 Produksi Bersih Padi 2025'!D438="","",'1.1 Produksi Bersih Padi 2025'!D438)</f>
        <v/>
      </c>
      <c r="E438" s="1" t="str">
        <f>IF('1.1 Produksi Bersih Padi 2025'!E438="","",'1.1 Produksi Bersih Padi 2025'!E438)</f>
        <v/>
      </c>
      <c r="F438" s="28" t="str">
        <f>IF(D438="","",VLOOKUP(D438,'[1]0.1 Produksi Pangan &amp; Penduduk'!$D$5:$Y$860,22,0))</f>
        <v/>
      </c>
      <c r="G438" s="30" t="str">
        <f t="shared" si="30"/>
        <v/>
      </c>
      <c r="H438" s="30" t="str">
        <f t="shared" si="31"/>
        <v/>
      </c>
      <c r="I438" s="30" t="str">
        <f t="shared" si="32"/>
        <v/>
      </c>
      <c r="J438" s="30" t="str">
        <f t="shared" si="33"/>
        <v/>
      </c>
      <c r="K438" s="30" t="str">
        <f t="shared" si="34"/>
        <v/>
      </c>
    </row>
    <row r="439" spans="1:11" ht="15" x14ac:dyDescent="0.25">
      <c r="A439" s="1" t="str">
        <f>IF('1.1 Produksi Bersih Padi 2025'!A439="","",'1.1 Produksi Bersih Padi 2025'!A439)</f>
        <v/>
      </c>
      <c r="B439" s="31" t="str">
        <f>IF('1.1 Produksi Bersih Padi 2025'!B439="","",'1.1 Produksi Bersih Padi 2025'!B439)</f>
        <v/>
      </c>
      <c r="C439" s="31" t="str">
        <f>IF('1.1 Produksi Bersih Padi 2025'!C439="","",'1.1 Produksi Bersih Padi 2025'!C439)</f>
        <v/>
      </c>
      <c r="D439" s="1" t="str">
        <f>IF('1.1 Produksi Bersih Padi 2025'!D439="","",'1.1 Produksi Bersih Padi 2025'!D439)</f>
        <v/>
      </c>
      <c r="E439" s="1" t="str">
        <f>IF('1.1 Produksi Bersih Padi 2025'!E439="","",'1.1 Produksi Bersih Padi 2025'!E439)</f>
        <v/>
      </c>
      <c r="F439" s="28" t="str">
        <f>IF(D439="","",VLOOKUP(D439,'[1]0.1 Produksi Pangan &amp; Penduduk'!$D$5:$Y$860,22,0))</f>
        <v/>
      </c>
      <c r="G439" s="30" t="str">
        <f t="shared" si="30"/>
        <v/>
      </c>
      <c r="H439" s="30" t="str">
        <f t="shared" si="31"/>
        <v/>
      </c>
      <c r="I439" s="30" t="str">
        <f t="shared" si="32"/>
        <v/>
      </c>
      <c r="J439" s="30" t="str">
        <f t="shared" si="33"/>
        <v/>
      </c>
      <c r="K439" s="30" t="str">
        <f t="shared" si="34"/>
        <v/>
      </c>
    </row>
    <row r="440" spans="1:11" ht="15" x14ac:dyDescent="0.25">
      <c r="A440" s="1" t="str">
        <f>IF('1.1 Produksi Bersih Padi 2025'!A440="","",'1.1 Produksi Bersih Padi 2025'!A440)</f>
        <v/>
      </c>
      <c r="B440" s="31" t="str">
        <f>IF('1.1 Produksi Bersih Padi 2025'!B440="","",'1.1 Produksi Bersih Padi 2025'!B440)</f>
        <v/>
      </c>
      <c r="C440" s="31" t="str">
        <f>IF('1.1 Produksi Bersih Padi 2025'!C440="","",'1.1 Produksi Bersih Padi 2025'!C440)</f>
        <v/>
      </c>
      <c r="D440" s="1" t="str">
        <f>IF('1.1 Produksi Bersih Padi 2025'!D440="","",'1.1 Produksi Bersih Padi 2025'!D440)</f>
        <v/>
      </c>
      <c r="E440" s="1" t="str">
        <f>IF('1.1 Produksi Bersih Padi 2025'!E440="","",'1.1 Produksi Bersih Padi 2025'!E440)</f>
        <v/>
      </c>
      <c r="F440" s="28" t="str">
        <f>IF(D440="","",VLOOKUP(D440,'[1]0.1 Produksi Pangan &amp; Penduduk'!$D$5:$Y$860,22,0))</f>
        <v/>
      </c>
      <c r="G440" s="30" t="str">
        <f t="shared" si="30"/>
        <v/>
      </c>
      <c r="H440" s="30" t="str">
        <f t="shared" si="31"/>
        <v/>
      </c>
      <c r="I440" s="30" t="str">
        <f t="shared" si="32"/>
        <v/>
      </c>
      <c r="J440" s="30" t="str">
        <f t="shared" si="33"/>
        <v/>
      </c>
      <c r="K440" s="30" t="str">
        <f t="shared" si="34"/>
        <v/>
      </c>
    </row>
    <row r="441" spans="1:11" ht="15" x14ac:dyDescent="0.25">
      <c r="A441" s="1" t="str">
        <f>IF('1.1 Produksi Bersih Padi 2025'!A441="","",'1.1 Produksi Bersih Padi 2025'!A441)</f>
        <v/>
      </c>
      <c r="B441" s="31" t="str">
        <f>IF('1.1 Produksi Bersih Padi 2025'!B441="","",'1.1 Produksi Bersih Padi 2025'!B441)</f>
        <v/>
      </c>
      <c r="C441" s="31" t="str">
        <f>IF('1.1 Produksi Bersih Padi 2025'!C441="","",'1.1 Produksi Bersih Padi 2025'!C441)</f>
        <v/>
      </c>
      <c r="D441" s="1" t="str">
        <f>IF('1.1 Produksi Bersih Padi 2025'!D441="","",'1.1 Produksi Bersih Padi 2025'!D441)</f>
        <v/>
      </c>
      <c r="E441" s="1" t="str">
        <f>IF('1.1 Produksi Bersih Padi 2025'!E441="","",'1.1 Produksi Bersih Padi 2025'!E441)</f>
        <v/>
      </c>
      <c r="F441" s="28" t="str">
        <f>IF(D441="","",VLOOKUP(D441,'[1]0.1 Produksi Pangan &amp; Penduduk'!$D$5:$Y$860,22,0))</f>
        <v/>
      </c>
      <c r="G441" s="30" t="str">
        <f t="shared" si="30"/>
        <v/>
      </c>
      <c r="H441" s="30" t="str">
        <f t="shared" si="31"/>
        <v/>
      </c>
      <c r="I441" s="30" t="str">
        <f t="shared" si="32"/>
        <v/>
      </c>
      <c r="J441" s="30" t="str">
        <f t="shared" si="33"/>
        <v/>
      </c>
      <c r="K441" s="30" t="str">
        <f t="shared" si="34"/>
        <v/>
      </c>
    </row>
    <row r="442" spans="1:11" ht="15" x14ac:dyDescent="0.25">
      <c r="A442" s="1" t="str">
        <f>IF('1.1 Produksi Bersih Padi 2025'!A442="","",'1.1 Produksi Bersih Padi 2025'!A442)</f>
        <v/>
      </c>
      <c r="B442" s="31" t="str">
        <f>IF('1.1 Produksi Bersih Padi 2025'!B442="","",'1.1 Produksi Bersih Padi 2025'!B442)</f>
        <v/>
      </c>
      <c r="C442" s="31" t="str">
        <f>IF('1.1 Produksi Bersih Padi 2025'!C442="","",'1.1 Produksi Bersih Padi 2025'!C442)</f>
        <v/>
      </c>
      <c r="D442" s="1" t="str">
        <f>IF('1.1 Produksi Bersih Padi 2025'!D442="","",'1.1 Produksi Bersih Padi 2025'!D442)</f>
        <v/>
      </c>
      <c r="E442" s="1" t="str">
        <f>IF('1.1 Produksi Bersih Padi 2025'!E442="","",'1.1 Produksi Bersih Padi 2025'!E442)</f>
        <v/>
      </c>
      <c r="F442" s="28" t="str">
        <f>IF(D442="","",VLOOKUP(D442,'[1]0.1 Produksi Pangan &amp; Penduduk'!$D$5:$Y$860,22,0))</f>
        <v/>
      </c>
      <c r="G442" s="30" t="str">
        <f t="shared" si="30"/>
        <v/>
      </c>
      <c r="H442" s="30" t="str">
        <f t="shared" si="31"/>
        <v/>
      </c>
      <c r="I442" s="30" t="str">
        <f t="shared" si="32"/>
        <v/>
      </c>
      <c r="J442" s="30" t="str">
        <f t="shared" si="33"/>
        <v/>
      </c>
      <c r="K442" s="30" t="str">
        <f t="shared" si="34"/>
        <v/>
      </c>
    </row>
    <row r="443" spans="1:11" ht="15" x14ac:dyDescent="0.25">
      <c r="A443" s="1" t="str">
        <f>IF('1.1 Produksi Bersih Padi 2025'!A443="","",'1.1 Produksi Bersih Padi 2025'!A443)</f>
        <v/>
      </c>
      <c r="B443" s="31" t="str">
        <f>IF('1.1 Produksi Bersih Padi 2025'!B443="","",'1.1 Produksi Bersih Padi 2025'!B443)</f>
        <v/>
      </c>
      <c r="C443" s="31" t="str">
        <f>IF('1.1 Produksi Bersih Padi 2025'!C443="","",'1.1 Produksi Bersih Padi 2025'!C443)</f>
        <v/>
      </c>
      <c r="D443" s="1" t="str">
        <f>IF('1.1 Produksi Bersih Padi 2025'!D443="","",'1.1 Produksi Bersih Padi 2025'!D443)</f>
        <v/>
      </c>
      <c r="E443" s="1" t="str">
        <f>IF('1.1 Produksi Bersih Padi 2025'!E443="","",'1.1 Produksi Bersih Padi 2025'!E443)</f>
        <v/>
      </c>
      <c r="F443" s="28" t="str">
        <f>IF(D443="","",VLOOKUP(D443,'[1]0.1 Produksi Pangan &amp; Penduduk'!$D$5:$Y$860,22,0))</f>
        <v/>
      </c>
      <c r="G443" s="30" t="str">
        <f t="shared" si="30"/>
        <v/>
      </c>
      <c r="H443" s="30" t="str">
        <f t="shared" si="31"/>
        <v/>
      </c>
      <c r="I443" s="30" t="str">
        <f t="shared" si="32"/>
        <v/>
      </c>
      <c r="J443" s="30" t="str">
        <f t="shared" si="33"/>
        <v/>
      </c>
      <c r="K443" s="30" t="str">
        <f t="shared" si="34"/>
        <v/>
      </c>
    </row>
    <row r="444" spans="1:11" ht="15" x14ac:dyDescent="0.25">
      <c r="A444" s="1" t="str">
        <f>IF('1.1 Produksi Bersih Padi 2025'!A444="","",'1.1 Produksi Bersih Padi 2025'!A444)</f>
        <v/>
      </c>
      <c r="B444" s="31" t="str">
        <f>IF('1.1 Produksi Bersih Padi 2025'!B444="","",'1.1 Produksi Bersih Padi 2025'!B444)</f>
        <v/>
      </c>
      <c r="C444" s="31" t="str">
        <f>IF('1.1 Produksi Bersih Padi 2025'!C444="","",'1.1 Produksi Bersih Padi 2025'!C444)</f>
        <v/>
      </c>
      <c r="D444" s="1" t="str">
        <f>IF('1.1 Produksi Bersih Padi 2025'!D444="","",'1.1 Produksi Bersih Padi 2025'!D444)</f>
        <v/>
      </c>
      <c r="E444" s="1" t="str">
        <f>IF('1.1 Produksi Bersih Padi 2025'!E444="","",'1.1 Produksi Bersih Padi 2025'!E444)</f>
        <v/>
      </c>
      <c r="F444" s="28" t="str">
        <f>IF(D444="","",VLOOKUP(D444,'[1]0.1 Produksi Pangan &amp; Penduduk'!$D$5:$Y$860,22,0))</f>
        <v/>
      </c>
      <c r="G444" s="30" t="str">
        <f t="shared" si="30"/>
        <v/>
      </c>
      <c r="H444" s="30" t="str">
        <f t="shared" si="31"/>
        <v/>
      </c>
      <c r="I444" s="30" t="str">
        <f t="shared" si="32"/>
        <v/>
      </c>
      <c r="J444" s="30" t="str">
        <f t="shared" si="33"/>
        <v/>
      </c>
      <c r="K444" s="30" t="str">
        <f t="shared" si="34"/>
        <v/>
      </c>
    </row>
    <row r="445" spans="1:11" ht="15" x14ac:dyDescent="0.25">
      <c r="A445" s="1" t="str">
        <f>IF('1.1 Produksi Bersih Padi 2025'!A445="","",'1.1 Produksi Bersih Padi 2025'!A445)</f>
        <v/>
      </c>
      <c r="B445" s="31" t="str">
        <f>IF('1.1 Produksi Bersih Padi 2025'!B445="","",'1.1 Produksi Bersih Padi 2025'!B445)</f>
        <v/>
      </c>
      <c r="C445" s="31" t="str">
        <f>IF('1.1 Produksi Bersih Padi 2025'!C445="","",'1.1 Produksi Bersih Padi 2025'!C445)</f>
        <v/>
      </c>
      <c r="D445" s="1" t="str">
        <f>IF('1.1 Produksi Bersih Padi 2025'!D445="","",'1.1 Produksi Bersih Padi 2025'!D445)</f>
        <v/>
      </c>
      <c r="E445" s="1" t="str">
        <f>IF('1.1 Produksi Bersih Padi 2025'!E445="","",'1.1 Produksi Bersih Padi 2025'!E445)</f>
        <v/>
      </c>
      <c r="F445" s="28" t="str">
        <f>IF(D445="","",VLOOKUP(D445,'[1]0.1 Produksi Pangan &amp; Penduduk'!$D$5:$Y$860,22,0))</f>
        <v/>
      </c>
      <c r="G445" s="30" t="str">
        <f t="shared" si="30"/>
        <v/>
      </c>
      <c r="H445" s="30" t="str">
        <f t="shared" si="31"/>
        <v/>
      </c>
      <c r="I445" s="30" t="str">
        <f t="shared" si="32"/>
        <v/>
      </c>
      <c r="J445" s="30" t="str">
        <f t="shared" si="33"/>
        <v/>
      </c>
      <c r="K445" s="30" t="str">
        <f t="shared" si="34"/>
        <v/>
      </c>
    </row>
    <row r="446" spans="1:11" ht="15" x14ac:dyDescent="0.25">
      <c r="A446" s="1" t="str">
        <f>IF('1.1 Produksi Bersih Padi 2025'!A446="","",'1.1 Produksi Bersih Padi 2025'!A446)</f>
        <v/>
      </c>
      <c r="B446" s="31" t="str">
        <f>IF('1.1 Produksi Bersih Padi 2025'!B446="","",'1.1 Produksi Bersih Padi 2025'!B446)</f>
        <v/>
      </c>
      <c r="C446" s="31" t="str">
        <f>IF('1.1 Produksi Bersih Padi 2025'!C446="","",'1.1 Produksi Bersih Padi 2025'!C446)</f>
        <v/>
      </c>
      <c r="D446" s="1" t="str">
        <f>IF('1.1 Produksi Bersih Padi 2025'!D446="","",'1.1 Produksi Bersih Padi 2025'!D446)</f>
        <v/>
      </c>
      <c r="E446" s="1" t="str">
        <f>IF('1.1 Produksi Bersih Padi 2025'!E446="","",'1.1 Produksi Bersih Padi 2025'!E446)</f>
        <v/>
      </c>
      <c r="F446" s="28" t="str">
        <f>IF(D446="","",VLOOKUP(D446,'[1]0.1 Produksi Pangan &amp; Penduduk'!$D$5:$Y$860,22,0))</f>
        <v/>
      </c>
      <c r="G446" s="30" t="str">
        <f t="shared" si="30"/>
        <v/>
      </c>
      <c r="H446" s="30" t="str">
        <f t="shared" si="31"/>
        <v/>
      </c>
      <c r="I446" s="30" t="str">
        <f t="shared" si="32"/>
        <v/>
      </c>
      <c r="J446" s="30" t="str">
        <f t="shared" si="33"/>
        <v/>
      </c>
      <c r="K446" s="30" t="str">
        <f t="shared" si="34"/>
        <v/>
      </c>
    </row>
    <row r="447" spans="1:11" ht="15" x14ac:dyDescent="0.25">
      <c r="A447" s="1" t="str">
        <f>IF('1.1 Produksi Bersih Padi 2025'!A447="","",'1.1 Produksi Bersih Padi 2025'!A447)</f>
        <v/>
      </c>
      <c r="B447" s="31" t="str">
        <f>IF('1.1 Produksi Bersih Padi 2025'!B447="","",'1.1 Produksi Bersih Padi 2025'!B447)</f>
        <v/>
      </c>
      <c r="C447" s="31" t="str">
        <f>IF('1.1 Produksi Bersih Padi 2025'!C447="","",'1.1 Produksi Bersih Padi 2025'!C447)</f>
        <v/>
      </c>
      <c r="D447" s="1" t="str">
        <f>IF('1.1 Produksi Bersih Padi 2025'!D447="","",'1.1 Produksi Bersih Padi 2025'!D447)</f>
        <v/>
      </c>
      <c r="E447" s="1" t="str">
        <f>IF('1.1 Produksi Bersih Padi 2025'!E447="","",'1.1 Produksi Bersih Padi 2025'!E447)</f>
        <v/>
      </c>
      <c r="F447" s="28" t="str">
        <f>IF(D447="","",VLOOKUP(D447,'[1]0.1 Produksi Pangan &amp; Penduduk'!$D$5:$Y$860,22,0))</f>
        <v/>
      </c>
      <c r="G447" s="30" t="str">
        <f t="shared" si="30"/>
        <v/>
      </c>
      <c r="H447" s="30" t="str">
        <f t="shared" si="31"/>
        <v/>
      </c>
      <c r="I447" s="30" t="str">
        <f t="shared" si="32"/>
        <v/>
      </c>
      <c r="J447" s="30" t="str">
        <f t="shared" si="33"/>
        <v/>
      </c>
      <c r="K447" s="30" t="str">
        <f t="shared" si="34"/>
        <v/>
      </c>
    </row>
    <row r="448" spans="1:11" ht="15" x14ac:dyDescent="0.25">
      <c r="A448" s="1" t="str">
        <f>IF('1.1 Produksi Bersih Padi 2025'!A448="","",'1.1 Produksi Bersih Padi 2025'!A448)</f>
        <v/>
      </c>
      <c r="B448" s="31" t="str">
        <f>IF('1.1 Produksi Bersih Padi 2025'!B448="","",'1.1 Produksi Bersih Padi 2025'!B448)</f>
        <v/>
      </c>
      <c r="C448" s="31" t="str">
        <f>IF('1.1 Produksi Bersih Padi 2025'!C448="","",'1.1 Produksi Bersih Padi 2025'!C448)</f>
        <v/>
      </c>
      <c r="D448" s="1" t="str">
        <f>IF('1.1 Produksi Bersih Padi 2025'!D448="","",'1.1 Produksi Bersih Padi 2025'!D448)</f>
        <v/>
      </c>
      <c r="E448" s="1" t="str">
        <f>IF('1.1 Produksi Bersih Padi 2025'!E448="","",'1.1 Produksi Bersih Padi 2025'!E448)</f>
        <v/>
      </c>
      <c r="F448" s="28" t="str">
        <f>IF(D448="","",VLOOKUP(D448,'[1]0.1 Produksi Pangan &amp; Penduduk'!$D$5:$Y$860,22,0))</f>
        <v/>
      </c>
      <c r="G448" s="30" t="str">
        <f t="shared" si="30"/>
        <v/>
      </c>
      <c r="H448" s="30" t="str">
        <f t="shared" si="31"/>
        <v/>
      </c>
      <c r="I448" s="30" t="str">
        <f t="shared" si="32"/>
        <v/>
      </c>
      <c r="J448" s="30" t="str">
        <f t="shared" si="33"/>
        <v/>
      </c>
      <c r="K448" s="30" t="str">
        <f t="shared" si="34"/>
        <v/>
      </c>
    </row>
    <row r="449" spans="1:11" ht="15" x14ac:dyDescent="0.25">
      <c r="A449" s="1" t="str">
        <f>IF('1.1 Produksi Bersih Padi 2025'!A449="","",'1.1 Produksi Bersih Padi 2025'!A449)</f>
        <v/>
      </c>
      <c r="B449" s="31" t="str">
        <f>IF('1.1 Produksi Bersih Padi 2025'!B449="","",'1.1 Produksi Bersih Padi 2025'!B449)</f>
        <v/>
      </c>
      <c r="C449" s="31" t="str">
        <f>IF('1.1 Produksi Bersih Padi 2025'!C449="","",'1.1 Produksi Bersih Padi 2025'!C449)</f>
        <v/>
      </c>
      <c r="D449" s="1" t="str">
        <f>IF('1.1 Produksi Bersih Padi 2025'!D449="","",'1.1 Produksi Bersih Padi 2025'!D449)</f>
        <v/>
      </c>
      <c r="E449" s="1" t="str">
        <f>IF('1.1 Produksi Bersih Padi 2025'!E449="","",'1.1 Produksi Bersih Padi 2025'!E449)</f>
        <v/>
      </c>
      <c r="F449" s="28" t="str">
        <f>IF(D449="","",VLOOKUP(D449,'[1]0.1 Produksi Pangan &amp; Penduduk'!$D$5:$Y$860,22,0))</f>
        <v/>
      </c>
      <c r="G449" s="30" t="str">
        <f t="shared" si="30"/>
        <v/>
      </c>
      <c r="H449" s="30" t="str">
        <f t="shared" si="31"/>
        <v/>
      </c>
      <c r="I449" s="30" t="str">
        <f t="shared" si="32"/>
        <v/>
      </c>
      <c r="J449" s="30" t="str">
        <f t="shared" si="33"/>
        <v/>
      </c>
      <c r="K449" s="30" t="str">
        <f t="shared" si="34"/>
        <v/>
      </c>
    </row>
    <row r="450" spans="1:11" ht="15" x14ac:dyDescent="0.25">
      <c r="A450" s="1" t="str">
        <f>IF('1.1 Produksi Bersih Padi 2025'!A450="","",'1.1 Produksi Bersih Padi 2025'!A450)</f>
        <v/>
      </c>
      <c r="B450" s="31" t="str">
        <f>IF('1.1 Produksi Bersih Padi 2025'!B450="","",'1.1 Produksi Bersih Padi 2025'!B450)</f>
        <v/>
      </c>
      <c r="C450" s="31" t="str">
        <f>IF('1.1 Produksi Bersih Padi 2025'!C450="","",'1.1 Produksi Bersih Padi 2025'!C450)</f>
        <v/>
      </c>
      <c r="D450" s="1" t="str">
        <f>IF('1.1 Produksi Bersih Padi 2025'!D450="","",'1.1 Produksi Bersih Padi 2025'!D450)</f>
        <v/>
      </c>
      <c r="E450" s="1" t="str">
        <f>IF('1.1 Produksi Bersih Padi 2025'!E450="","",'1.1 Produksi Bersih Padi 2025'!E450)</f>
        <v/>
      </c>
      <c r="F450" s="28" t="str">
        <f>IF(D450="","",VLOOKUP(D450,'[1]0.1 Produksi Pangan &amp; Penduduk'!$D$5:$Y$860,22,0))</f>
        <v/>
      </c>
      <c r="G450" s="30" t="str">
        <f t="shared" si="30"/>
        <v/>
      </c>
      <c r="H450" s="30" t="str">
        <f t="shared" si="31"/>
        <v/>
      </c>
      <c r="I450" s="30" t="str">
        <f t="shared" si="32"/>
        <v/>
      </c>
      <c r="J450" s="30" t="str">
        <f t="shared" si="33"/>
        <v/>
      </c>
      <c r="K450" s="30" t="str">
        <f t="shared" si="34"/>
        <v/>
      </c>
    </row>
    <row r="451" spans="1:11" ht="15" x14ac:dyDescent="0.25">
      <c r="A451" s="1" t="str">
        <f>IF('1.1 Produksi Bersih Padi 2025'!A451="","",'1.1 Produksi Bersih Padi 2025'!A451)</f>
        <v/>
      </c>
      <c r="B451" s="31" t="str">
        <f>IF('1.1 Produksi Bersih Padi 2025'!B451="","",'1.1 Produksi Bersih Padi 2025'!B451)</f>
        <v/>
      </c>
      <c r="C451" s="31" t="str">
        <f>IF('1.1 Produksi Bersih Padi 2025'!C451="","",'1.1 Produksi Bersih Padi 2025'!C451)</f>
        <v/>
      </c>
      <c r="D451" s="1" t="str">
        <f>IF('1.1 Produksi Bersih Padi 2025'!D451="","",'1.1 Produksi Bersih Padi 2025'!D451)</f>
        <v/>
      </c>
      <c r="E451" s="1" t="str">
        <f>IF('1.1 Produksi Bersih Padi 2025'!E451="","",'1.1 Produksi Bersih Padi 2025'!E451)</f>
        <v/>
      </c>
      <c r="F451" s="28" t="str">
        <f>IF(D451="","",VLOOKUP(D451,'[1]0.1 Produksi Pangan &amp; Penduduk'!$D$5:$Y$860,22,0))</f>
        <v/>
      </c>
      <c r="G451" s="30" t="str">
        <f t="shared" si="30"/>
        <v/>
      </c>
      <c r="H451" s="30" t="str">
        <f t="shared" si="31"/>
        <v/>
      </c>
      <c r="I451" s="30" t="str">
        <f t="shared" si="32"/>
        <v/>
      </c>
      <c r="J451" s="30" t="str">
        <f t="shared" si="33"/>
        <v/>
      </c>
      <c r="K451" s="30" t="str">
        <f t="shared" si="34"/>
        <v/>
      </c>
    </row>
    <row r="452" spans="1:11" ht="15" x14ac:dyDescent="0.25">
      <c r="A452" s="1" t="str">
        <f>IF('1.1 Produksi Bersih Padi 2025'!A452="","",'1.1 Produksi Bersih Padi 2025'!A452)</f>
        <v/>
      </c>
      <c r="B452" s="31" t="str">
        <f>IF('1.1 Produksi Bersih Padi 2025'!B452="","",'1.1 Produksi Bersih Padi 2025'!B452)</f>
        <v/>
      </c>
      <c r="C452" s="31" t="str">
        <f>IF('1.1 Produksi Bersih Padi 2025'!C452="","",'1.1 Produksi Bersih Padi 2025'!C452)</f>
        <v/>
      </c>
      <c r="D452" s="1" t="str">
        <f>IF('1.1 Produksi Bersih Padi 2025'!D452="","",'1.1 Produksi Bersih Padi 2025'!D452)</f>
        <v/>
      </c>
      <c r="E452" s="1" t="str">
        <f>IF('1.1 Produksi Bersih Padi 2025'!E452="","",'1.1 Produksi Bersih Padi 2025'!E452)</f>
        <v/>
      </c>
      <c r="F452" s="28" t="str">
        <f>IF(D452="","",VLOOKUP(D452,'[1]0.1 Produksi Pangan &amp; Penduduk'!$D$5:$Y$860,22,0))</f>
        <v/>
      </c>
      <c r="G452" s="30" t="str">
        <f t="shared" si="30"/>
        <v/>
      </c>
      <c r="H452" s="30" t="str">
        <f t="shared" si="31"/>
        <v/>
      </c>
      <c r="I452" s="30" t="str">
        <f t="shared" si="32"/>
        <v/>
      </c>
      <c r="J452" s="30" t="str">
        <f t="shared" si="33"/>
        <v/>
      </c>
      <c r="K452" s="30" t="str">
        <f t="shared" si="34"/>
        <v/>
      </c>
    </row>
    <row r="453" spans="1:11" ht="15" x14ac:dyDescent="0.25">
      <c r="A453" s="1" t="str">
        <f>IF('1.1 Produksi Bersih Padi 2025'!A453="","",'1.1 Produksi Bersih Padi 2025'!A453)</f>
        <v/>
      </c>
      <c r="B453" s="31" t="str">
        <f>IF('1.1 Produksi Bersih Padi 2025'!B453="","",'1.1 Produksi Bersih Padi 2025'!B453)</f>
        <v/>
      </c>
      <c r="C453" s="31" t="str">
        <f>IF('1.1 Produksi Bersih Padi 2025'!C453="","",'1.1 Produksi Bersih Padi 2025'!C453)</f>
        <v/>
      </c>
      <c r="D453" s="1" t="str">
        <f>IF('1.1 Produksi Bersih Padi 2025'!D453="","",'1.1 Produksi Bersih Padi 2025'!D453)</f>
        <v/>
      </c>
      <c r="E453" s="1" t="str">
        <f>IF('1.1 Produksi Bersih Padi 2025'!E453="","",'1.1 Produksi Bersih Padi 2025'!E453)</f>
        <v/>
      </c>
      <c r="F453" s="28" t="str">
        <f>IF(D453="","",VLOOKUP(D453,'[1]0.1 Produksi Pangan &amp; Penduduk'!$D$5:$Y$860,22,0))</f>
        <v/>
      </c>
      <c r="G453" s="30" t="str">
        <f t="shared" si="30"/>
        <v/>
      </c>
      <c r="H453" s="30" t="str">
        <f t="shared" si="31"/>
        <v/>
      </c>
      <c r="I453" s="30" t="str">
        <f t="shared" si="32"/>
        <v/>
      </c>
      <c r="J453" s="30" t="str">
        <f t="shared" si="33"/>
        <v/>
      </c>
      <c r="K453" s="30" t="str">
        <f t="shared" si="34"/>
        <v/>
      </c>
    </row>
    <row r="454" spans="1:11" ht="15" x14ac:dyDescent="0.25">
      <c r="A454" s="1" t="str">
        <f>IF('1.1 Produksi Bersih Padi 2025'!A454="","",'1.1 Produksi Bersih Padi 2025'!A454)</f>
        <v/>
      </c>
      <c r="B454" s="31" t="str">
        <f>IF('1.1 Produksi Bersih Padi 2025'!B454="","",'1.1 Produksi Bersih Padi 2025'!B454)</f>
        <v/>
      </c>
      <c r="C454" s="31" t="str">
        <f>IF('1.1 Produksi Bersih Padi 2025'!C454="","",'1.1 Produksi Bersih Padi 2025'!C454)</f>
        <v/>
      </c>
      <c r="D454" s="1" t="str">
        <f>IF('1.1 Produksi Bersih Padi 2025'!D454="","",'1.1 Produksi Bersih Padi 2025'!D454)</f>
        <v/>
      </c>
      <c r="E454" s="1" t="str">
        <f>IF('1.1 Produksi Bersih Padi 2025'!E454="","",'1.1 Produksi Bersih Padi 2025'!E454)</f>
        <v/>
      </c>
      <c r="F454" s="28" t="str">
        <f>IF(D454="","",VLOOKUP(D454,'[1]0.1 Produksi Pangan &amp; Penduduk'!$D$5:$Y$860,22,0))</f>
        <v/>
      </c>
      <c r="G454" s="30" t="str">
        <f t="shared" ref="G454:G517" si="35">IF(F454="","",F454*0%)</f>
        <v/>
      </c>
      <c r="H454" s="30" t="str">
        <f t="shared" ref="H454:H517" si="36">IF(F454="","",F454*0.43%)</f>
        <v/>
      </c>
      <c r="I454" s="30" t="str">
        <f t="shared" ref="I454:I517" si="37">IF(F454="","",F454*4.23%)</f>
        <v/>
      </c>
      <c r="J454" s="30" t="str">
        <f t="shared" ref="J454:J517" si="38">IF(F454="","",F454-(G454+H454+I454))</f>
        <v/>
      </c>
      <c r="K454" s="30" t="str">
        <f t="shared" ref="K454:K517" si="39">IF(J454="","",J454*0.363)</f>
        <v/>
      </c>
    </row>
    <row r="455" spans="1:11" ht="15" x14ac:dyDescent="0.25">
      <c r="A455" s="1" t="str">
        <f>IF('1.1 Produksi Bersih Padi 2025'!A455="","",'1.1 Produksi Bersih Padi 2025'!A455)</f>
        <v/>
      </c>
      <c r="B455" s="31" t="str">
        <f>IF('1.1 Produksi Bersih Padi 2025'!B455="","",'1.1 Produksi Bersih Padi 2025'!B455)</f>
        <v/>
      </c>
      <c r="C455" s="31" t="str">
        <f>IF('1.1 Produksi Bersih Padi 2025'!C455="","",'1.1 Produksi Bersih Padi 2025'!C455)</f>
        <v/>
      </c>
      <c r="D455" s="1" t="str">
        <f>IF('1.1 Produksi Bersih Padi 2025'!D455="","",'1.1 Produksi Bersih Padi 2025'!D455)</f>
        <v/>
      </c>
      <c r="E455" s="1" t="str">
        <f>IF('1.1 Produksi Bersih Padi 2025'!E455="","",'1.1 Produksi Bersih Padi 2025'!E455)</f>
        <v/>
      </c>
      <c r="F455" s="28" t="str">
        <f>IF(D455="","",VLOOKUP(D455,'[1]0.1 Produksi Pangan &amp; Penduduk'!$D$5:$Y$860,22,0))</f>
        <v/>
      </c>
      <c r="G455" s="30" t="str">
        <f t="shared" si="35"/>
        <v/>
      </c>
      <c r="H455" s="30" t="str">
        <f t="shared" si="36"/>
        <v/>
      </c>
      <c r="I455" s="30" t="str">
        <f t="shared" si="37"/>
        <v/>
      </c>
      <c r="J455" s="30" t="str">
        <f t="shared" si="38"/>
        <v/>
      </c>
      <c r="K455" s="30" t="str">
        <f t="shared" si="39"/>
        <v/>
      </c>
    </row>
    <row r="456" spans="1:11" ht="15" x14ac:dyDescent="0.25">
      <c r="A456" s="1" t="str">
        <f>IF('1.1 Produksi Bersih Padi 2025'!A456="","",'1.1 Produksi Bersih Padi 2025'!A456)</f>
        <v/>
      </c>
      <c r="B456" s="31" t="str">
        <f>IF('1.1 Produksi Bersih Padi 2025'!B456="","",'1.1 Produksi Bersih Padi 2025'!B456)</f>
        <v/>
      </c>
      <c r="C456" s="31" t="str">
        <f>IF('1.1 Produksi Bersih Padi 2025'!C456="","",'1.1 Produksi Bersih Padi 2025'!C456)</f>
        <v/>
      </c>
      <c r="D456" s="1" t="str">
        <f>IF('1.1 Produksi Bersih Padi 2025'!D456="","",'1.1 Produksi Bersih Padi 2025'!D456)</f>
        <v/>
      </c>
      <c r="E456" s="1" t="str">
        <f>IF('1.1 Produksi Bersih Padi 2025'!E456="","",'1.1 Produksi Bersih Padi 2025'!E456)</f>
        <v/>
      </c>
      <c r="F456" s="28" t="str">
        <f>IF(D456="","",VLOOKUP(D456,'[1]0.1 Produksi Pangan &amp; Penduduk'!$D$5:$Y$860,22,0))</f>
        <v/>
      </c>
      <c r="G456" s="30" t="str">
        <f t="shared" si="35"/>
        <v/>
      </c>
      <c r="H456" s="30" t="str">
        <f t="shared" si="36"/>
        <v/>
      </c>
      <c r="I456" s="30" t="str">
        <f t="shared" si="37"/>
        <v/>
      </c>
      <c r="J456" s="30" t="str">
        <f t="shared" si="38"/>
        <v/>
      </c>
      <c r="K456" s="30" t="str">
        <f t="shared" si="39"/>
        <v/>
      </c>
    </row>
    <row r="457" spans="1:11" ht="15" x14ac:dyDescent="0.25">
      <c r="A457" s="1" t="str">
        <f>IF('1.1 Produksi Bersih Padi 2025'!A457="","",'1.1 Produksi Bersih Padi 2025'!A457)</f>
        <v/>
      </c>
      <c r="B457" s="31" t="str">
        <f>IF('1.1 Produksi Bersih Padi 2025'!B457="","",'1.1 Produksi Bersih Padi 2025'!B457)</f>
        <v/>
      </c>
      <c r="C457" s="31" t="str">
        <f>IF('1.1 Produksi Bersih Padi 2025'!C457="","",'1.1 Produksi Bersih Padi 2025'!C457)</f>
        <v/>
      </c>
      <c r="D457" s="1" t="str">
        <f>IF('1.1 Produksi Bersih Padi 2025'!D457="","",'1.1 Produksi Bersih Padi 2025'!D457)</f>
        <v/>
      </c>
      <c r="E457" s="1" t="str">
        <f>IF('1.1 Produksi Bersih Padi 2025'!E457="","",'1.1 Produksi Bersih Padi 2025'!E457)</f>
        <v/>
      </c>
      <c r="F457" s="28" t="str">
        <f>IF(D457="","",VLOOKUP(D457,'[1]0.1 Produksi Pangan &amp; Penduduk'!$D$5:$Y$860,22,0))</f>
        <v/>
      </c>
      <c r="G457" s="30" t="str">
        <f t="shared" si="35"/>
        <v/>
      </c>
      <c r="H457" s="30" t="str">
        <f t="shared" si="36"/>
        <v/>
      </c>
      <c r="I457" s="30" t="str">
        <f t="shared" si="37"/>
        <v/>
      </c>
      <c r="J457" s="30" t="str">
        <f t="shared" si="38"/>
        <v/>
      </c>
      <c r="K457" s="30" t="str">
        <f t="shared" si="39"/>
        <v/>
      </c>
    </row>
    <row r="458" spans="1:11" ht="15" x14ac:dyDescent="0.25">
      <c r="A458" s="1" t="str">
        <f>IF('1.1 Produksi Bersih Padi 2025'!A458="","",'1.1 Produksi Bersih Padi 2025'!A458)</f>
        <v/>
      </c>
      <c r="B458" s="31" t="str">
        <f>IF('1.1 Produksi Bersih Padi 2025'!B458="","",'1.1 Produksi Bersih Padi 2025'!B458)</f>
        <v/>
      </c>
      <c r="C458" s="31" t="str">
        <f>IF('1.1 Produksi Bersih Padi 2025'!C458="","",'1.1 Produksi Bersih Padi 2025'!C458)</f>
        <v/>
      </c>
      <c r="D458" s="1" t="str">
        <f>IF('1.1 Produksi Bersih Padi 2025'!D458="","",'1.1 Produksi Bersih Padi 2025'!D458)</f>
        <v/>
      </c>
      <c r="E458" s="1" t="str">
        <f>IF('1.1 Produksi Bersih Padi 2025'!E458="","",'1.1 Produksi Bersih Padi 2025'!E458)</f>
        <v/>
      </c>
      <c r="F458" s="28" t="str">
        <f>IF(D458="","",VLOOKUP(D458,'[1]0.1 Produksi Pangan &amp; Penduduk'!$D$5:$Y$860,22,0))</f>
        <v/>
      </c>
      <c r="G458" s="30" t="str">
        <f t="shared" si="35"/>
        <v/>
      </c>
      <c r="H458" s="30" t="str">
        <f t="shared" si="36"/>
        <v/>
      </c>
      <c r="I458" s="30" t="str">
        <f t="shared" si="37"/>
        <v/>
      </c>
      <c r="J458" s="30" t="str">
        <f t="shared" si="38"/>
        <v/>
      </c>
      <c r="K458" s="30" t="str">
        <f t="shared" si="39"/>
        <v/>
      </c>
    </row>
    <row r="459" spans="1:11" ht="15" x14ac:dyDescent="0.25">
      <c r="A459" s="1" t="str">
        <f>IF('1.1 Produksi Bersih Padi 2025'!A459="","",'1.1 Produksi Bersih Padi 2025'!A459)</f>
        <v/>
      </c>
      <c r="B459" s="31" t="str">
        <f>IF('1.1 Produksi Bersih Padi 2025'!B459="","",'1.1 Produksi Bersih Padi 2025'!B459)</f>
        <v/>
      </c>
      <c r="C459" s="31" t="str">
        <f>IF('1.1 Produksi Bersih Padi 2025'!C459="","",'1.1 Produksi Bersih Padi 2025'!C459)</f>
        <v/>
      </c>
      <c r="D459" s="1" t="str">
        <f>IF('1.1 Produksi Bersih Padi 2025'!D459="","",'1.1 Produksi Bersih Padi 2025'!D459)</f>
        <v/>
      </c>
      <c r="E459" s="1" t="str">
        <f>IF('1.1 Produksi Bersih Padi 2025'!E459="","",'1.1 Produksi Bersih Padi 2025'!E459)</f>
        <v/>
      </c>
      <c r="F459" s="28" t="str">
        <f>IF(D459="","",VLOOKUP(D459,'[1]0.1 Produksi Pangan &amp; Penduduk'!$D$5:$Y$860,22,0))</f>
        <v/>
      </c>
      <c r="G459" s="30" t="str">
        <f t="shared" si="35"/>
        <v/>
      </c>
      <c r="H459" s="30" t="str">
        <f t="shared" si="36"/>
        <v/>
      </c>
      <c r="I459" s="30" t="str">
        <f t="shared" si="37"/>
        <v/>
      </c>
      <c r="J459" s="30" t="str">
        <f t="shared" si="38"/>
        <v/>
      </c>
      <c r="K459" s="30" t="str">
        <f t="shared" si="39"/>
        <v/>
      </c>
    </row>
    <row r="460" spans="1:11" ht="15" x14ac:dyDescent="0.25">
      <c r="A460" s="1" t="str">
        <f>IF('1.1 Produksi Bersih Padi 2025'!A460="","",'1.1 Produksi Bersih Padi 2025'!A460)</f>
        <v/>
      </c>
      <c r="B460" s="31" t="str">
        <f>IF('1.1 Produksi Bersih Padi 2025'!B460="","",'1.1 Produksi Bersih Padi 2025'!B460)</f>
        <v/>
      </c>
      <c r="C460" s="31" t="str">
        <f>IF('1.1 Produksi Bersih Padi 2025'!C460="","",'1.1 Produksi Bersih Padi 2025'!C460)</f>
        <v/>
      </c>
      <c r="D460" s="1" t="str">
        <f>IF('1.1 Produksi Bersih Padi 2025'!D460="","",'1.1 Produksi Bersih Padi 2025'!D460)</f>
        <v/>
      </c>
      <c r="E460" s="1" t="str">
        <f>IF('1.1 Produksi Bersih Padi 2025'!E460="","",'1.1 Produksi Bersih Padi 2025'!E460)</f>
        <v/>
      </c>
      <c r="F460" s="28" t="str">
        <f>IF(D460="","",VLOOKUP(D460,'[1]0.1 Produksi Pangan &amp; Penduduk'!$D$5:$Y$860,22,0))</f>
        <v/>
      </c>
      <c r="G460" s="30" t="str">
        <f t="shared" si="35"/>
        <v/>
      </c>
      <c r="H460" s="30" t="str">
        <f t="shared" si="36"/>
        <v/>
      </c>
      <c r="I460" s="30" t="str">
        <f t="shared" si="37"/>
        <v/>
      </c>
      <c r="J460" s="30" t="str">
        <f t="shared" si="38"/>
        <v/>
      </c>
      <c r="K460" s="30" t="str">
        <f t="shared" si="39"/>
        <v/>
      </c>
    </row>
    <row r="461" spans="1:11" ht="15" x14ac:dyDescent="0.25">
      <c r="A461" s="1" t="str">
        <f>IF('1.1 Produksi Bersih Padi 2025'!A461="","",'1.1 Produksi Bersih Padi 2025'!A461)</f>
        <v/>
      </c>
      <c r="B461" s="31" t="str">
        <f>IF('1.1 Produksi Bersih Padi 2025'!B461="","",'1.1 Produksi Bersih Padi 2025'!B461)</f>
        <v/>
      </c>
      <c r="C461" s="31" t="str">
        <f>IF('1.1 Produksi Bersih Padi 2025'!C461="","",'1.1 Produksi Bersih Padi 2025'!C461)</f>
        <v/>
      </c>
      <c r="D461" s="1" t="str">
        <f>IF('1.1 Produksi Bersih Padi 2025'!D461="","",'1.1 Produksi Bersih Padi 2025'!D461)</f>
        <v/>
      </c>
      <c r="E461" s="1" t="str">
        <f>IF('1.1 Produksi Bersih Padi 2025'!E461="","",'1.1 Produksi Bersih Padi 2025'!E461)</f>
        <v/>
      </c>
      <c r="F461" s="28" t="str">
        <f>IF(D461="","",VLOOKUP(D461,'[1]0.1 Produksi Pangan &amp; Penduduk'!$D$5:$Y$860,22,0))</f>
        <v/>
      </c>
      <c r="G461" s="30" t="str">
        <f t="shared" si="35"/>
        <v/>
      </c>
      <c r="H461" s="30" t="str">
        <f t="shared" si="36"/>
        <v/>
      </c>
      <c r="I461" s="30" t="str">
        <f t="shared" si="37"/>
        <v/>
      </c>
      <c r="J461" s="30" t="str">
        <f t="shared" si="38"/>
        <v/>
      </c>
      <c r="K461" s="30" t="str">
        <f t="shared" si="39"/>
        <v/>
      </c>
    </row>
    <row r="462" spans="1:11" ht="15" x14ac:dyDescent="0.25">
      <c r="A462" s="1" t="str">
        <f>IF('1.1 Produksi Bersih Padi 2025'!A462="","",'1.1 Produksi Bersih Padi 2025'!A462)</f>
        <v/>
      </c>
      <c r="B462" s="31" t="str">
        <f>IF('1.1 Produksi Bersih Padi 2025'!B462="","",'1.1 Produksi Bersih Padi 2025'!B462)</f>
        <v/>
      </c>
      <c r="C462" s="31" t="str">
        <f>IF('1.1 Produksi Bersih Padi 2025'!C462="","",'1.1 Produksi Bersih Padi 2025'!C462)</f>
        <v/>
      </c>
      <c r="D462" s="1" t="str">
        <f>IF('1.1 Produksi Bersih Padi 2025'!D462="","",'1.1 Produksi Bersih Padi 2025'!D462)</f>
        <v/>
      </c>
      <c r="E462" s="1" t="str">
        <f>IF('1.1 Produksi Bersih Padi 2025'!E462="","",'1.1 Produksi Bersih Padi 2025'!E462)</f>
        <v/>
      </c>
      <c r="F462" s="28" t="str">
        <f>IF(D462="","",VLOOKUP(D462,'[1]0.1 Produksi Pangan &amp; Penduduk'!$D$5:$Y$860,22,0))</f>
        <v/>
      </c>
      <c r="G462" s="30" t="str">
        <f t="shared" si="35"/>
        <v/>
      </c>
      <c r="H462" s="30" t="str">
        <f t="shared" si="36"/>
        <v/>
      </c>
      <c r="I462" s="30" t="str">
        <f t="shared" si="37"/>
        <v/>
      </c>
      <c r="J462" s="30" t="str">
        <f t="shared" si="38"/>
        <v/>
      </c>
      <c r="K462" s="30" t="str">
        <f t="shared" si="39"/>
        <v/>
      </c>
    </row>
    <row r="463" spans="1:11" ht="15" x14ac:dyDescent="0.25">
      <c r="A463" s="1" t="str">
        <f>IF('1.1 Produksi Bersih Padi 2025'!A463="","",'1.1 Produksi Bersih Padi 2025'!A463)</f>
        <v/>
      </c>
      <c r="B463" s="31" t="str">
        <f>IF('1.1 Produksi Bersih Padi 2025'!B463="","",'1.1 Produksi Bersih Padi 2025'!B463)</f>
        <v/>
      </c>
      <c r="C463" s="31" t="str">
        <f>IF('1.1 Produksi Bersih Padi 2025'!C463="","",'1.1 Produksi Bersih Padi 2025'!C463)</f>
        <v/>
      </c>
      <c r="D463" s="1" t="str">
        <f>IF('1.1 Produksi Bersih Padi 2025'!D463="","",'1.1 Produksi Bersih Padi 2025'!D463)</f>
        <v/>
      </c>
      <c r="E463" s="1" t="str">
        <f>IF('1.1 Produksi Bersih Padi 2025'!E463="","",'1.1 Produksi Bersih Padi 2025'!E463)</f>
        <v/>
      </c>
      <c r="F463" s="28" t="str">
        <f>IF(D463="","",VLOOKUP(D463,'[1]0.1 Produksi Pangan &amp; Penduduk'!$D$5:$Y$860,22,0))</f>
        <v/>
      </c>
      <c r="G463" s="30" t="str">
        <f t="shared" si="35"/>
        <v/>
      </c>
      <c r="H463" s="30" t="str">
        <f t="shared" si="36"/>
        <v/>
      </c>
      <c r="I463" s="30" t="str">
        <f t="shared" si="37"/>
        <v/>
      </c>
      <c r="J463" s="30" t="str">
        <f t="shared" si="38"/>
        <v/>
      </c>
      <c r="K463" s="30" t="str">
        <f t="shared" si="39"/>
        <v/>
      </c>
    </row>
    <row r="464" spans="1:11" ht="15" x14ac:dyDescent="0.25">
      <c r="A464" s="1" t="str">
        <f>IF('1.1 Produksi Bersih Padi 2025'!A464="","",'1.1 Produksi Bersih Padi 2025'!A464)</f>
        <v/>
      </c>
      <c r="B464" s="31" t="str">
        <f>IF('1.1 Produksi Bersih Padi 2025'!B464="","",'1.1 Produksi Bersih Padi 2025'!B464)</f>
        <v/>
      </c>
      <c r="C464" s="31" t="str">
        <f>IF('1.1 Produksi Bersih Padi 2025'!C464="","",'1.1 Produksi Bersih Padi 2025'!C464)</f>
        <v/>
      </c>
      <c r="D464" s="1" t="str">
        <f>IF('1.1 Produksi Bersih Padi 2025'!D464="","",'1.1 Produksi Bersih Padi 2025'!D464)</f>
        <v/>
      </c>
      <c r="E464" s="1" t="str">
        <f>IF('1.1 Produksi Bersih Padi 2025'!E464="","",'1.1 Produksi Bersih Padi 2025'!E464)</f>
        <v/>
      </c>
      <c r="F464" s="28" t="str">
        <f>IF(D464="","",VLOOKUP(D464,'[1]0.1 Produksi Pangan &amp; Penduduk'!$D$5:$Y$860,22,0))</f>
        <v/>
      </c>
      <c r="G464" s="30" t="str">
        <f t="shared" si="35"/>
        <v/>
      </c>
      <c r="H464" s="30" t="str">
        <f t="shared" si="36"/>
        <v/>
      </c>
      <c r="I464" s="30" t="str">
        <f t="shared" si="37"/>
        <v/>
      </c>
      <c r="J464" s="30" t="str">
        <f t="shared" si="38"/>
        <v/>
      </c>
      <c r="K464" s="30" t="str">
        <f t="shared" si="39"/>
        <v/>
      </c>
    </row>
    <row r="465" spans="1:11" ht="15" x14ac:dyDescent="0.25">
      <c r="A465" s="1" t="str">
        <f>IF('1.1 Produksi Bersih Padi 2025'!A465="","",'1.1 Produksi Bersih Padi 2025'!A465)</f>
        <v/>
      </c>
      <c r="B465" s="31" t="str">
        <f>IF('1.1 Produksi Bersih Padi 2025'!B465="","",'1.1 Produksi Bersih Padi 2025'!B465)</f>
        <v/>
      </c>
      <c r="C465" s="31" t="str">
        <f>IF('1.1 Produksi Bersih Padi 2025'!C465="","",'1.1 Produksi Bersih Padi 2025'!C465)</f>
        <v/>
      </c>
      <c r="D465" s="1" t="str">
        <f>IF('1.1 Produksi Bersih Padi 2025'!D465="","",'1.1 Produksi Bersih Padi 2025'!D465)</f>
        <v/>
      </c>
      <c r="E465" s="1" t="str">
        <f>IF('1.1 Produksi Bersih Padi 2025'!E465="","",'1.1 Produksi Bersih Padi 2025'!E465)</f>
        <v/>
      </c>
      <c r="F465" s="28" t="str">
        <f>IF(D465="","",VLOOKUP(D465,'[1]0.1 Produksi Pangan &amp; Penduduk'!$D$5:$Y$860,22,0))</f>
        <v/>
      </c>
      <c r="G465" s="30" t="str">
        <f t="shared" si="35"/>
        <v/>
      </c>
      <c r="H465" s="30" t="str">
        <f t="shared" si="36"/>
        <v/>
      </c>
      <c r="I465" s="30" t="str">
        <f t="shared" si="37"/>
        <v/>
      </c>
      <c r="J465" s="30" t="str">
        <f t="shared" si="38"/>
        <v/>
      </c>
      <c r="K465" s="30" t="str">
        <f t="shared" si="39"/>
        <v/>
      </c>
    </row>
    <row r="466" spans="1:11" ht="15" x14ac:dyDescent="0.25">
      <c r="A466" s="1" t="str">
        <f>IF('1.1 Produksi Bersih Padi 2025'!A466="","",'1.1 Produksi Bersih Padi 2025'!A466)</f>
        <v/>
      </c>
      <c r="B466" s="31" t="str">
        <f>IF('1.1 Produksi Bersih Padi 2025'!B466="","",'1.1 Produksi Bersih Padi 2025'!B466)</f>
        <v/>
      </c>
      <c r="C466" s="31" t="str">
        <f>IF('1.1 Produksi Bersih Padi 2025'!C466="","",'1.1 Produksi Bersih Padi 2025'!C466)</f>
        <v/>
      </c>
      <c r="D466" s="1" t="str">
        <f>IF('1.1 Produksi Bersih Padi 2025'!D466="","",'1.1 Produksi Bersih Padi 2025'!D466)</f>
        <v/>
      </c>
      <c r="E466" s="1" t="str">
        <f>IF('1.1 Produksi Bersih Padi 2025'!E466="","",'1.1 Produksi Bersih Padi 2025'!E466)</f>
        <v/>
      </c>
      <c r="F466" s="28" t="str">
        <f>IF(D466="","",VLOOKUP(D466,'[1]0.1 Produksi Pangan &amp; Penduduk'!$D$5:$Y$860,22,0))</f>
        <v/>
      </c>
      <c r="G466" s="30" t="str">
        <f t="shared" si="35"/>
        <v/>
      </c>
      <c r="H466" s="30" t="str">
        <f t="shared" si="36"/>
        <v/>
      </c>
      <c r="I466" s="30" t="str">
        <f t="shared" si="37"/>
        <v/>
      </c>
      <c r="J466" s="30" t="str">
        <f t="shared" si="38"/>
        <v/>
      </c>
      <c r="K466" s="30" t="str">
        <f t="shared" si="39"/>
        <v/>
      </c>
    </row>
    <row r="467" spans="1:11" ht="15" x14ac:dyDescent="0.25">
      <c r="A467" s="1" t="str">
        <f>IF('1.1 Produksi Bersih Padi 2025'!A467="","",'1.1 Produksi Bersih Padi 2025'!A467)</f>
        <v/>
      </c>
      <c r="B467" s="31" t="str">
        <f>IF('1.1 Produksi Bersih Padi 2025'!B467="","",'1.1 Produksi Bersih Padi 2025'!B467)</f>
        <v/>
      </c>
      <c r="C467" s="31" t="str">
        <f>IF('1.1 Produksi Bersih Padi 2025'!C467="","",'1.1 Produksi Bersih Padi 2025'!C467)</f>
        <v/>
      </c>
      <c r="D467" s="1" t="str">
        <f>IF('1.1 Produksi Bersih Padi 2025'!D467="","",'1.1 Produksi Bersih Padi 2025'!D467)</f>
        <v/>
      </c>
      <c r="E467" s="1" t="str">
        <f>IF('1.1 Produksi Bersih Padi 2025'!E467="","",'1.1 Produksi Bersih Padi 2025'!E467)</f>
        <v/>
      </c>
      <c r="F467" s="28" t="str">
        <f>IF(D467="","",VLOOKUP(D467,'[1]0.1 Produksi Pangan &amp; Penduduk'!$D$5:$Y$860,22,0))</f>
        <v/>
      </c>
      <c r="G467" s="30" t="str">
        <f t="shared" si="35"/>
        <v/>
      </c>
      <c r="H467" s="30" t="str">
        <f t="shared" si="36"/>
        <v/>
      </c>
      <c r="I467" s="30" t="str">
        <f t="shared" si="37"/>
        <v/>
      </c>
      <c r="J467" s="30" t="str">
        <f t="shared" si="38"/>
        <v/>
      </c>
      <c r="K467" s="30" t="str">
        <f t="shared" si="39"/>
        <v/>
      </c>
    </row>
    <row r="468" spans="1:11" ht="15" x14ac:dyDescent="0.25">
      <c r="A468" s="1" t="str">
        <f>IF('1.1 Produksi Bersih Padi 2025'!A468="","",'1.1 Produksi Bersih Padi 2025'!A468)</f>
        <v/>
      </c>
      <c r="B468" s="31" t="str">
        <f>IF('1.1 Produksi Bersih Padi 2025'!B468="","",'1.1 Produksi Bersih Padi 2025'!B468)</f>
        <v/>
      </c>
      <c r="C468" s="31" t="str">
        <f>IF('1.1 Produksi Bersih Padi 2025'!C468="","",'1.1 Produksi Bersih Padi 2025'!C468)</f>
        <v/>
      </c>
      <c r="D468" s="1" t="str">
        <f>IF('1.1 Produksi Bersih Padi 2025'!D468="","",'1.1 Produksi Bersih Padi 2025'!D468)</f>
        <v/>
      </c>
      <c r="E468" s="1" t="str">
        <f>IF('1.1 Produksi Bersih Padi 2025'!E468="","",'1.1 Produksi Bersih Padi 2025'!E468)</f>
        <v/>
      </c>
      <c r="F468" s="28" t="str">
        <f>IF(D468="","",VLOOKUP(D468,'[1]0.1 Produksi Pangan &amp; Penduduk'!$D$5:$Y$860,22,0))</f>
        <v/>
      </c>
      <c r="G468" s="30" t="str">
        <f t="shared" si="35"/>
        <v/>
      </c>
      <c r="H468" s="30" t="str">
        <f t="shared" si="36"/>
        <v/>
      </c>
      <c r="I468" s="30" t="str">
        <f t="shared" si="37"/>
        <v/>
      </c>
      <c r="J468" s="30" t="str">
        <f t="shared" si="38"/>
        <v/>
      </c>
      <c r="K468" s="30" t="str">
        <f t="shared" si="39"/>
        <v/>
      </c>
    </row>
    <row r="469" spans="1:11" ht="15" x14ac:dyDescent="0.25">
      <c r="A469" s="1" t="str">
        <f>IF('1.1 Produksi Bersih Padi 2025'!A469="","",'1.1 Produksi Bersih Padi 2025'!A469)</f>
        <v/>
      </c>
      <c r="B469" s="31" t="str">
        <f>IF('1.1 Produksi Bersih Padi 2025'!B469="","",'1.1 Produksi Bersih Padi 2025'!B469)</f>
        <v/>
      </c>
      <c r="C469" s="31" t="str">
        <f>IF('1.1 Produksi Bersih Padi 2025'!C469="","",'1.1 Produksi Bersih Padi 2025'!C469)</f>
        <v/>
      </c>
      <c r="D469" s="1" t="str">
        <f>IF('1.1 Produksi Bersih Padi 2025'!D469="","",'1.1 Produksi Bersih Padi 2025'!D469)</f>
        <v/>
      </c>
      <c r="E469" s="1" t="str">
        <f>IF('1.1 Produksi Bersih Padi 2025'!E469="","",'1.1 Produksi Bersih Padi 2025'!E469)</f>
        <v/>
      </c>
      <c r="F469" s="28" t="str">
        <f>IF(D469="","",VLOOKUP(D469,'[1]0.1 Produksi Pangan &amp; Penduduk'!$D$5:$Y$860,22,0))</f>
        <v/>
      </c>
      <c r="G469" s="30" t="str">
        <f t="shared" si="35"/>
        <v/>
      </c>
      <c r="H469" s="30" t="str">
        <f t="shared" si="36"/>
        <v/>
      </c>
      <c r="I469" s="30" t="str">
        <f t="shared" si="37"/>
        <v/>
      </c>
      <c r="J469" s="30" t="str">
        <f t="shared" si="38"/>
        <v/>
      </c>
      <c r="K469" s="30" t="str">
        <f t="shared" si="39"/>
        <v/>
      </c>
    </row>
    <row r="470" spans="1:11" ht="15" x14ac:dyDescent="0.25">
      <c r="A470" s="1" t="str">
        <f>IF('1.1 Produksi Bersih Padi 2025'!A470="","",'1.1 Produksi Bersih Padi 2025'!A470)</f>
        <v/>
      </c>
      <c r="B470" s="31" t="str">
        <f>IF('1.1 Produksi Bersih Padi 2025'!B470="","",'1.1 Produksi Bersih Padi 2025'!B470)</f>
        <v/>
      </c>
      <c r="C470" s="31" t="str">
        <f>IF('1.1 Produksi Bersih Padi 2025'!C470="","",'1.1 Produksi Bersih Padi 2025'!C470)</f>
        <v/>
      </c>
      <c r="D470" s="1" t="str">
        <f>IF('1.1 Produksi Bersih Padi 2025'!D470="","",'1.1 Produksi Bersih Padi 2025'!D470)</f>
        <v/>
      </c>
      <c r="E470" s="1" t="str">
        <f>IF('1.1 Produksi Bersih Padi 2025'!E470="","",'1.1 Produksi Bersih Padi 2025'!E470)</f>
        <v/>
      </c>
      <c r="F470" s="28" t="str">
        <f>IF(D470="","",VLOOKUP(D470,'[1]0.1 Produksi Pangan &amp; Penduduk'!$D$5:$Y$860,22,0))</f>
        <v/>
      </c>
      <c r="G470" s="30" t="str">
        <f t="shared" si="35"/>
        <v/>
      </c>
      <c r="H470" s="30" t="str">
        <f t="shared" si="36"/>
        <v/>
      </c>
      <c r="I470" s="30" t="str">
        <f t="shared" si="37"/>
        <v/>
      </c>
      <c r="J470" s="30" t="str">
        <f t="shared" si="38"/>
        <v/>
      </c>
      <c r="K470" s="30" t="str">
        <f t="shared" si="39"/>
        <v/>
      </c>
    </row>
    <row r="471" spans="1:11" ht="15" x14ac:dyDescent="0.25">
      <c r="A471" s="1" t="str">
        <f>IF('1.1 Produksi Bersih Padi 2025'!A471="","",'1.1 Produksi Bersih Padi 2025'!A471)</f>
        <v/>
      </c>
      <c r="B471" s="31" t="str">
        <f>IF('1.1 Produksi Bersih Padi 2025'!B471="","",'1.1 Produksi Bersih Padi 2025'!B471)</f>
        <v/>
      </c>
      <c r="C471" s="31" t="str">
        <f>IF('1.1 Produksi Bersih Padi 2025'!C471="","",'1.1 Produksi Bersih Padi 2025'!C471)</f>
        <v/>
      </c>
      <c r="D471" s="1" t="str">
        <f>IF('1.1 Produksi Bersih Padi 2025'!D471="","",'1.1 Produksi Bersih Padi 2025'!D471)</f>
        <v/>
      </c>
      <c r="E471" s="1" t="str">
        <f>IF('1.1 Produksi Bersih Padi 2025'!E471="","",'1.1 Produksi Bersih Padi 2025'!E471)</f>
        <v/>
      </c>
      <c r="F471" s="28" t="str">
        <f>IF(D471="","",VLOOKUP(D471,'[1]0.1 Produksi Pangan &amp; Penduduk'!$D$5:$Y$860,22,0))</f>
        <v/>
      </c>
      <c r="G471" s="30" t="str">
        <f t="shared" si="35"/>
        <v/>
      </c>
      <c r="H471" s="30" t="str">
        <f t="shared" si="36"/>
        <v/>
      </c>
      <c r="I471" s="30" t="str">
        <f t="shared" si="37"/>
        <v/>
      </c>
      <c r="J471" s="30" t="str">
        <f t="shared" si="38"/>
        <v/>
      </c>
      <c r="K471" s="30" t="str">
        <f t="shared" si="39"/>
        <v/>
      </c>
    </row>
    <row r="472" spans="1:11" ht="15" x14ac:dyDescent="0.25">
      <c r="A472" s="1" t="str">
        <f>IF('1.1 Produksi Bersih Padi 2025'!A472="","",'1.1 Produksi Bersih Padi 2025'!A472)</f>
        <v/>
      </c>
      <c r="B472" s="31" t="str">
        <f>IF('1.1 Produksi Bersih Padi 2025'!B472="","",'1.1 Produksi Bersih Padi 2025'!B472)</f>
        <v/>
      </c>
      <c r="C472" s="31" t="str">
        <f>IF('1.1 Produksi Bersih Padi 2025'!C472="","",'1.1 Produksi Bersih Padi 2025'!C472)</f>
        <v/>
      </c>
      <c r="D472" s="1" t="str">
        <f>IF('1.1 Produksi Bersih Padi 2025'!D472="","",'1.1 Produksi Bersih Padi 2025'!D472)</f>
        <v/>
      </c>
      <c r="E472" s="1" t="str">
        <f>IF('1.1 Produksi Bersih Padi 2025'!E472="","",'1.1 Produksi Bersih Padi 2025'!E472)</f>
        <v/>
      </c>
      <c r="F472" s="28" t="str">
        <f>IF(D472="","",VLOOKUP(D472,'[1]0.1 Produksi Pangan &amp; Penduduk'!$D$5:$Y$860,22,0))</f>
        <v/>
      </c>
      <c r="G472" s="30" t="str">
        <f t="shared" si="35"/>
        <v/>
      </c>
      <c r="H472" s="30" t="str">
        <f t="shared" si="36"/>
        <v/>
      </c>
      <c r="I472" s="30" t="str">
        <f t="shared" si="37"/>
        <v/>
      </c>
      <c r="J472" s="30" t="str">
        <f t="shared" si="38"/>
        <v/>
      </c>
      <c r="K472" s="30" t="str">
        <f t="shared" si="39"/>
        <v/>
      </c>
    </row>
    <row r="473" spans="1:11" ht="15" x14ac:dyDescent="0.25">
      <c r="A473" s="1" t="str">
        <f>IF('1.1 Produksi Bersih Padi 2025'!A473="","",'1.1 Produksi Bersih Padi 2025'!A473)</f>
        <v/>
      </c>
      <c r="B473" s="31" t="str">
        <f>IF('1.1 Produksi Bersih Padi 2025'!B473="","",'1.1 Produksi Bersih Padi 2025'!B473)</f>
        <v/>
      </c>
      <c r="C473" s="31" t="str">
        <f>IF('1.1 Produksi Bersih Padi 2025'!C473="","",'1.1 Produksi Bersih Padi 2025'!C473)</f>
        <v/>
      </c>
      <c r="D473" s="1" t="str">
        <f>IF('1.1 Produksi Bersih Padi 2025'!D473="","",'1.1 Produksi Bersih Padi 2025'!D473)</f>
        <v/>
      </c>
      <c r="E473" s="1" t="str">
        <f>IF('1.1 Produksi Bersih Padi 2025'!E473="","",'1.1 Produksi Bersih Padi 2025'!E473)</f>
        <v/>
      </c>
      <c r="F473" s="28" t="str">
        <f>IF(D473="","",VLOOKUP(D473,'[1]0.1 Produksi Pangan &amp; Penduduk'!$D$5:$Y$860,22,0))</f>
        <v/>
      </c>
      <c r="G473" s="30" t="str">
        <f t="shared" si="35"/>
        <v/>
      </c>
      <c r="H473" s="30" t="str">
        <f t="shared" si="36"/>
        <v/>
      </c>
      <c r="I473" s="30" t="str">
        <f t="shared" si="37"/>
        <v/>
      </c>
      <c r="J473" s="30" t="str">
        <f t="shared" si="38"/>
        <v/>
      </c>
      <c r="K473" s="30" t="str">
        <f t="shared" si="39"/>
        <v/>
      </c>
    </row>
    <row r="474" spans="1:11" ht="15" x14ac:dyDescent="0.25">
      <c r="A474" s="1" t="str">
        <f>IF('1.1 Produksi Bersih Padi 2025'!A474="","",'1.1 Produksi Bersih Padi 2025'!A474)</f>
        <v/>
      </c>
      <c r="B474" s="31" t="str">
        <f>IF('1.1 Produksi Bersih Padi 2025'!B474="","",'1.1 Produksi Bersih Padi 2025'!B474)</f>
        <v/>
      </c>
      <c r="C474" s="31" t="str">
        <f>IF('1.1 Produksi Bersih Padi 2025'!C474="","",'1.1 Produksi Bersih Padi 2025'!C474)</f>
        <v/>
      </c>
      <c r="D474" s="1" t="str">
        <f>IF('1.1 Produksi Bersih Padi 2025'!D474="","",'1.1 Produksi Bersih Padi 2025'!D474)</f>
        <v/>
      </c>
      <c r="E474" s="1" t="str">
        <f>IF('1.1 Produksi Bersih Padi 2025'!E474="","",'1.1 Produksi Bersih Padi 2025'!E474)</f>
        <v/>
      </c>
      <c r="F474" s="28" t="str">
        <f>IF(D474="","",VLOOKUP(D474,'[1]0.1 Produksi Pangan &amp; Penduduk'!$D$5:$Y$860,22,0))</f>
        <v/>
      </c>
      <c r="G474" s="30" t="str">
        <f t="shared" si="35"/>
        <v/>
      </c>
      <c r="H474" s="30" t="str">
        <f t="shared" si="36"/>
        <v/>
      </c>
      <c r="I474" s="30" t="str">
        <f t="shared" si="37"/>
        <v/>
      </c>
      <c r="J474" s="30" t="str">
        <f t="shared" si="38"/>
        <v/>
      </c>
      <c r="K474" s="30" t="str">
        <f t="shared" si="39"/>
        <v/>
      </c>
    </row>
    <row r="475" spans="1:11" ht="15" x14ac:dyDescent="0.25">
      <c r="A475" s="1" t="str">
        <f>IF('1.1 Produksi Bersih Padi 2025'!A475="","",'1.1 Produksi Bersih Padi 2025'!A475)</f>
        <v/>
      </c>
      <c r="B475" s="31" t="str">
        <f>IF('1.1 Produksi Bersih Padi 2025'!B475="","",'1.1 Produksi Bersih Padi 2025'!B475)</f>
        <v/>
      </c>
      <c r="C475" s="31" t="str">
        <f>IF('1.1 Produksi Bersih Padi 2025'!C475="","",'1.1 Produksi Bersih Padi 2025'!C475)</f>
        <v/>
      </c>
      <c r="D475" s="1" t="str">
        <f>IF('1.1 Produksi Bersih Padi 2025'!D475="","",'1.1 Produksi Bersih Padi 2025'!D475)</f>
        <v/>
      </c>
      <c r="E475" s="1" t="str">
        <f>IF('1.1 Produksi Bersih Padi 2025'!E475="","",'1.1 Produksi Bersih Padi 2025'!E475)</f>
        <v/>
      </c>
      <c r="F475" s="28" t="str">
        <f>IF(D475="","",VLOOKUP(D475,'[1]0.1 Produksi Pangan &amp; Penduduk'!$D$5:$Y$860,22,0))</f>
        <v/>
      </c>
      <c r="G475" s="30" t="str">
        <f t="shared" si="35"/>
        <v/>
      </c>
      <c r="H475" s="30" t="str">
        <f t="shared" si="36"/>
        <v/>
      </c>
      <c r="I475" s="30" t="str">
        <f t="shared" si="37"/>
        <v/>
      </c>
      <c r="J475" s="30" t="str">
        <f t="shared" si="38"/>
        <v/>
      </c>
      <c r="K475" s="30" t="str">
        <f t="shared" si="39"/>
        <v/>
      </c>
    </row>
    <row r="476" spans="1:11" ht="15" x14ac:dyDescent="0.25">
      <c r="A476" s="1" t="str">
        <f>IF('1.1 Produksi Bersih Padi 2025'!A476="","",'1.1 Produksi Bersih Padi 2025'!A476)</f>
        <v/>
      </c>
      <c r="B476" s="31" t="str">
        <f>IF('1.1 Produksi Bersih Padi 2025'!B476="","",'1.1 Produksi Bersih Padi 2025'!B476)</f>
        <v/>
      </c>
      <c r="C476" s="31" t="str">
        <f>IF('1.1 Produksi Bersih Padi 2025'!C476="","",'1.1 Produksi Bersih Padi 2025'!C476)</f>
        <v/>
      </c>
      <c r="D476" s="1" t="str">
        <f>IF('1.1 Produksi Bersih Padi 2025'!D476="","",'1.1 Produksi Bersih Padi 2025'!D476)</f>
        <v/>
      </c>
      <c r="E476" s="1" t="str">
        <f>IF('1.1 Produksi Bersih Padi 2025'!E476="","",'1.1 Produksi Bersih Padi 2025'!E476)</f>
        <v/>
      </c>
      <c r="F476" s="28" t="str">
        <f>IF(D476="","",VLOOKUP(D476,'[1]0.1 Produksi Pangan &amp; Penduduk'!$D$5:$Y$860,22,0))</f>
        <v/>
      </c>
      <c r="G476" s="30" t="str">
        <f t="shared" si="35"/>
        <v/>
      </c>
      <c r="H476" s="30" t="str">
        <f t="shared" si="36"/>
        <v/>
      </c>
      <c r="I476" s="30" t="str">
        <f t="shared" si="37"/>
        <v/>
      </c>
      <c r="J476" s="30" t="str">
        <f t="shared" si="38"/>
        <v/>
      </c>
      <c r="K476" s="30" t="str">
        <f t="shared" si="39"/>
        <v/>
      </c>
    </row>
    <row r="477" spans="1:11" ht="15" x14ac:dyDescent="0.25">
      <c r="A477" s="1" t="str">
        <f>IF('1.1 Produksi Bersih Padi 2025'!A477="","",'1.1 Produksi Bersih Padi 2025'!A477)</f>
        <v/>
      </c>
      <c r="B477" s="31" t="str">
        <f>IF('1.1 Produksi Bersih Padi 2025'!B477="","",'1.1 Produksi Bersih Padi 2025'!B477)</f>
        <v/>
      </c>
      <c r="C477" s="31" t="str">
        <f>IF('1.1 Produksi Bersih Padi 2025'!C477="","",'1.1 Produksi Bersih Padi 2025'!C477)</f>
        <v/>
      </c>
      <c r="D477" s="1" t="str">
        <f>IF('1.1 Produksi Bersih Padi 2025'!D477="","",'1.1 Produksi Bersih Padi 2025'!D477)</f>
        <v/>
      </c>
      <c r="E477" s="1" t="str">
        <f>IF('1.1 Produksi Bersih Padi 2025'!E477="","",'1.1 Produksi Bersih Padi 2025'!E477)</f>
        <v/>
      </c>
      <c r="F477" s="28" t="str">
        <f>IF(D477="","",VLOOKUP(D477,'[1]0.1 Produksi Pangan &amp; Penduduk'!$D$5:$Y$860,22,0))</f>
        <v/>
      </c>
      <c r="G477" s="30" t="str">
        <f t="shared" si="35"/>
        <v/>
      </c>
      <c r="H477" s="30" t="str">
        <f t="shared" si="36"/>
        <v/>
      </c>
      <c r="I477" s="30" t="str">
        <f t="shared" si="37"/>
        <v/>
      </c>
      <c r="J477" s="30" t="str">
        <f t="shared" si="38"/>
        <v/>
      </c>
      <c r="K477" s="30" t="str">
        <f t="shared" si="39"/>
        <v/>
      </c>
    </row>
    <row r="478" spans="1:11" ht="15" x14ac:dyDescent="0.25">
      <c r="A478" s="1" t="str">
        <f>IF('1.1 Produksi Bersih Padi 2025'!A478="","",'1.1 Produksi Bersih Padi 2025'!A478)</f>
        <v/>
      </c>
      <c r="B478" s="31" t="str">
        <f>IF('1.1 Produksi Bersih Padi 2025'!B478="","",'1.1 Produksi Bersih Padi 2025'!B478)</f>
        <v/>
      </c>
      <c r="C478" s="31" t="str">
        <f>IF('1.1 Produksi Bersih Padi 2025'!C478="","",'1.1 Produksi Bersih Padi 2025'!C478)</f>
        <v/>
      </c>
      <c r="D478" s="1" t="str">
        <f>IF('1.1 Produksi Bersih Padi 2025'!D478="","",'1.1 Produksi Bersih Padi 2025'!D478)</f>
        <v/>
      </c>
      <c r="E478" s="1" t="str">
        <f>IF('1.1 Produksi Bersih Padi 2025'!E478="","",'1.1 Produksi Bersih Padi 2025'!E478)</f>
        <v/>
      </c>
      <c r="F478" s="28" t="str">
        <f>IF(D478="","",VLOOKUP(D478,'[1]0.1 Produksi Pangan &amp; Penduduk'!$D$5:$Y$860,22,0))</f>
        <v/>
      </c>
      <c r="G478" s="30" t="str">
        <f t="shared" si="35"/>
        <v/>
      </c>
      <c r="H478" s="30" t="str">
        <f t="shared" si="36"/>
        <v/>
      </c>
      <c r="I478" s="30" t="str">
        <f t="shared" si="37"/>
        <v/>
      </c>
      <c r="J478" s="30" t="str">
        <f t="shared" si="38"/>
        <v/>
      </c>
      <c r="K478" s="30" t="str">
        <f t="shared" si="39"/>
        <v/>
      </c>
    </row>
    <row r="479" spans="1:11" ht="15" x14ac:dyDescent="0.25">
      <c r="A479" s="1" t="str">
        <f>IF('1.1 Produksi Bersih Padi 2025'!A479="","",'1.1 Produksi Bersih Padi 2025'!A479)</f>
        <v/>
      </c>
      <c r="B479" s="31" t="str">
        <f>IF('1.1 Produksi Bersih Padi 2025'!B479="","",'1.1 Produksi Bersih Padi 2025'!B479)</f>
        <v/>
      </c>
      <c r="C479" s="31" t="str">
        <f>IF('1.1 Produksi Bersih Padi 2025'!C479="","",'1.1 Produksi Bersih Padi 2025'!C479)</f>
        <v/>
      </c>
      <c r="D479" s="1" t="str">
        <f>IF('1.1 Produksi Bersih Padi 2025'!D479="","",'1.1 Produksi Bersih Padi 2025'!D479)</f>
        <v/>
      </c>
      <c r="E479" s="1" t="str">
        <f>IF('1.1 Produksi Bersih Padi 2025'!E479="","",'1.1 Produksi Bersih Padi 2025'!E479)</f>
        <v/>
      </c>
      <c r="F479" s="28" t="str">
        <f>IF(D479="","",VLOOKUP(D479,'[1]0.1 Produksi Pangan &amp; Penduduk'!$D$5:$Y$860,22,0))</f>
        <v/>
      </c>
      <c r="G479" s="30" t="str">
        <f t="shared" si="35"/>
        <v/>
      </c>
      <c r="H479" s="30" t="str">
        <f t="shared" si="36"/>
        <v/>
      </c>
      <c r="I479" s="30" t="str">
        <f t="shared" si="37"/>
        <v/>
      </c>
      <c r="J479" s="30" t="str">
        <f t="shared" si="38"/>
        <v/>
      </c>
      <c r="K479" s="30" t="str">
        <f t="shared" si="39"/>
        <v/>
      </c>
    </row>
    <row r="480" spans="1:11" ht="15" x14ac:dyDescent="0.25">
      <c r="A480" s="1" t="str">
        <f>IF('1.1 Produksi Bersih Padi 2025'!A480="","",'1.1 Produksi Bersih Padi 2025'!A480)</f>
        <v/>
      </c>
      <c r="B480" s="31" t="str">
        <f>IF('1.1 Produksi Bersih Padi 2025'!B480="","",'1.1 Produksi Bersih Padi 2025'!B480)</f>
        <v/>
      </c>
      <c r="C480" s="31" t="str">
        <f>IF('1.1 Produksi Bersih Padi 2025'!C480="","",'1.1 Produksi Bersih Padi 2025'!C480)</f>
        <v/>
      </c>
      <c r="D480" s="1" t="str">
        <f>IF('1.1 Produksi Bersih Padi 2025'!D480="","",'1.1 Produksi Bersih Padi 2025'!D480)</f>
        <v/>
      </c>
      <c r="E480" s="1" t="str">
        <f>IF('1.1 Produksi Bersih Padi 2025'!E480="","",'1.1 Produksi Bersih Padi 2025'!E480)</f>
        <v/>
      </c>
      <c r="F480" s="28" t="str">
        <f>IF(D480="","",VLOOKUP(D480,'[1]0.1 Produksi Pangan &amp; Penduduk'!$D$5:$Y$860,22,0))</f>
        <v/>
      </c>
      <c r="G480" s="30" t="str">
        <f t="shared" si="35"/>
        <v/>
      </c>
      <c r="H480" s="30" t="str">
        <f t="shared" si="36"/>
        <v/>
      </c>
      <c r="I480" s="30" t="str">
        <f t="shared" si="37"/>
        <v/>
      </c>
      <c r="J480" s="30" t="str">
        <f t="shared" si="38"/>
        <v/>
      </c>
      <c r="K480" s="30" t="str">
        <f t="shared" si="39"/>
        <v/>
      </c>
    </row>
    <row r="481" spans="1:11" ht="15" x14ac:dyDescent="0.25">
      <c r="A481" s="1" t="str">
        <f>IF('1.1 Produksi Bersih Padi 2025'!A481="","",'1.1 Produksi Bersih Padi 2025'!A481)</f>
        <v/>
      </c>
      <c r="B481" s="31" t="str">
        <f>IF('1.1 Produksi Bersih Padi 2025'!B481="","",'1.1 Produksi Bersih Padi 2025'!B481)</f>
        <v/>
      </c>
      <c r="C481" s="31" t="str">
        <f>IF('1.1 Produksi Bersih Padi 2025'!C481="","",'1.1 Produksi Bersih Padi 2025'!C481)</f>
        <v/>
      </c>
      <c r="D481" s="1" t="str">
        <f>IF('1.1 Produksi Bersih Padi 2025'!D481="","",'1.1 Produksi Bersih Padi 2025'!D481)</f>
        <v/>
      </c>
      <c r="E481" s="1" t="str">
        <f>IF('1.1 Produksi Bersih Padi 2025'!E481="","",'1.1 Produksi Bersih Padi 2025'!E481)</f>
        <v/>
      </c>
      <c r="F481" s="28" t="str">
        <f>IF(D481="","",VLOOKUP(D481,'[1]0.1 Produksi Pangan &amp; Penduduk'!$D$5:$Y$860,22,0))</f>
        <v/>
      </c>
      <c r="G481" s="30" t="str">
        <f t="shared" si="35"/>
        <v/>
      </c>
      <c r="H481" s="30" t="str">
        <f t="shared" si="36"/>
        <v/>
      </c>
      <c r="I481" s="30" t="str">
        <f t="shared" si="37"/>
        <v/>
      </c>
      <c r="J481" s="30" t="str">
        <f t="shared" si="38"/>
        <v/>
      </c>
      <c r="K481" s="30" t="str">
        <f t="shared" si="39"/>
        <v/>
      </c>
    </row>
    <row r="482" spans="1:11" ht="15" x14ac:dyDescent="0.25">
      <c r="A482" s="1" t="str">
        <f>IF('1.1 Produksi Bersih Padi 2025'!A482="","",'1.1 Produksi Bersih Padi 2025'!A482)</f>
        <v/>
      </c>
      <c r="B482" s="31" t="str">
        <f>IF('1.1 Produksi Bersih Padi 2025'!B482="","",'1.1 Produksi Bersih Padi 2025'!B482)</f>
        <v/>
      </c>
      <c r="C482" s="31" t="str">
        <f>IF('1.1 Produksi Bersih Padi 2025'!C482="","",'1.1 Produksi Bersih Padi 2025'!C482)</f>
        <v/>
      </c>
      <c r="D482" s="1" t="str">
        <f>IF('1.1 Produksi Bersih Padi 2025'!D482="","",'1.1 Produksi Bersih Padi 2025'!D482)</f>
        <v/>
      </c>
      <c r="E482" s="1" t="str">
        <f>IF('1.1 Produksi Bersih Padi 2025'!E482="","",'1.1 Produksi Bersih Padi 2025'!E482)</f>
        <v/>
      </c>
      <c r="F482" s="28" t="str">
        <f>IF(D482="","",VLOOKUP(D482,'[1]0.1 Produksi Pangan &amp; Penduduk'!$D$5:$Y$860,22,0))</f>
        <v/>
      </c>
      <c r="G482" s="30" t="str">
        <f t="shared" si="35"/>
        <v/>
      </c>
      <c r="H482" s="30" t="str">
        <f t="shared" si="36"/>
        <v/>
      </c>
      <c r="I482" s="30" t="str">
        <f t="shared" si="37"/>
        <v/>
      </c>
      <c r="J482" s="30" t="str">
        <f t="shared" si="38"/>
        <v/>
      </c>
      <c r="K482" s="30" t="str">
        <f t="shared" si="39"/>
        <v/>
      </c>
    </row>
    <row r="483" spans="1:11" ht="15" x14ac:dyDescent="0.25">
      <c r="A483" s="1" t="str">
        <f>IF('1.1 Produksi Bersih Padi 2025'!A483="","",'1.1 Produksi Bersih Padi 2025'!A483)</f>
        <v/>
      </c>
      <c r="B483" s="31" t="str">
        <f>IF('1.1 Produksi Bersih Padi 2025'!B483="","",'1.1 Produksi Bersih Padi 2025'!B483)</f>
        <v/>
      </c>
      <c r="C483" s="31" t="str">
        <f>IF('1.1 Produksi Bersih Padi 2025'!C483="","",'1.1 Produksi Bersih Padi 2025'!C483)</f>
        <v/>
      </c>
      <c r="D483" s="1" t="str">
        <f>IF('1.1 Produksi Bersih Padi 2025'!D483="","",'1.1 Produksi Bersih Padi 2025'!D483)</f>
        <v/>
      </c>
      <c r="E483" s="1" t="str">
        <f>IF('1.1 Produksi Bersih Padi 2025'!E483="","",'1.1 Produksi Bersih Padi 2025'!E483)</f>
        <v/>
      </c>
      <c r="F483" s="28" t="str">
        <f>IF(D483="","",VLOOKUP(D483,'[1]0.1 Produksi Pangan &amp; Penduduk'!$D$5:$Y$860,22,0))</f>
        <v/>
      </c>
      <c r="G483" s="30" t="str">
        <f t="shared" si="35"/>
        <v/>
      </c>
      <c r="H483" s="30" t="str">
        <f t="shared" si="36"/>
        <v/>
      </c>
      <c r="I483" s="30" t="str">
        <f t="shared" si="37"/>
        <v/>
      </c>
      <c r="J483" s="30" t="str">
        <f t="shared" si="38"/>
        <v/>
      </c>
      <c r="K483" s="30" t="str">
        <f t="shared" si="39"/>
        <v/>
      </c>
    </row>
    <row r="484" spans="1:11" ht="15" x14ac:dyDescent="0.25">
      <c r="A484" s="1" t="str">
        <f>IF('1.1 Produksi Bersih Padi 2025'!A484="","",'1.1 Produksi Bersih Padi 2025'!A484)</f>
        <v/>
      </c>
      <c r="B484" s="31" t="str">
        <f>IF('1.1 Produksi Bersih Padi 2025'!B484="","",'1.1 Produksi Bersih Padi 2025'!B484)</f>
        <v/>
      </c>
      <c r="C484" s="31" t="str">
        <f>IF('1.1 Produksi Bersih Padi 2025'!C484="","",'1.1 Produksi Bersih Padi 2025'!C484)</f>
        <v/>
      </c>
      <c r="D484" s="1" t="str">
        <f>IF('1.1 Produksi Bersih Padi 2025'!D484="","",'1.1 Produksi Bersih Padi 2025'!D484)</f>
        <v/>
      </c>
      <c r="E484" s="1" t="str">
        <f>IF('1.1 Produksi Bersih Padi 2025'!E484="","",'1.1 Produksi Bersih Padi 2025'!E484)</f>
        <v/>
      </c>
      <c r="F484" s="28" t="str">
        <f>IF(D484="","",VLOOKUP(D484,'[1]0.1 Produksi Pangan &amp; Penduduk'!$D$5:$Y$860,22,0))</f>
        <v/>
      </c>
      <c r="G484" s="30" t="str">
        <f t="shared" si="35"/>
        <v/>
      </c>
      <c r="H484" s="30" t="str">
        <f t="shared" si="36"/>
        <v/>
      </c>
      <c r="I484" s="30" t="str">
        <f t="shared" si="37"/>
        <v/>
      </c>
      <c r="J484" s="30" t="str">
        <f t="shared" si="38"/>
        <v/>
      </c>
      <c r="K484" s="30" t="str">
        <f t="shared" si="39"/>
        <v/>
      </c>
    </row>
    <row r="485" spans="1:11" ht="15" x14ac:dyDescent="0.25">
      <c r="A485" s="1" t="str">
        <f>IF('1.1 Produksi Bersih Padi 2025'!A485="","",'1.1 Produksi Bersih Padi 2025'!A485)</f>
        <v/>
      </c>
      <c r="B485" s="31" t="str">
        <f>IF('1.1 Produksi Bersih Padi 2025'!B485="","",'1.1 Produksi Bersih Padi 2025'!B485)</f>
        <v/>
      </c>
      <c r="C485" s="31" t="str">
        <f>IF('1.1 Produksi Bersih Padi 2025'!C485="","",'1.1 Produksi Bersih Padi 2025'!C485)</f>
        <v/>
      </c>
      <c r="D485" s="1" t="str">
        <f>IF('1.1 Produksi Bersih Padi 2025'!D485="","",'1.1 Produksi Bersih Padi 2025'!D485)</f>
        <v/>
      </c>
      <c r="E485" s="1" t="str">
        <f>IF('1.1 Produksi Bersih Padi 2025'!E485="","",'1.1 Produksi Bersih Padi 2025'!E485)</f>
        <v/>
      </c>
      <c r="F485" s="28" t="str">
        <f>IF(D485="","",VLOOKUP(D485,'[1]0.1 Produksi Pangan &amp; Penduduk'!$D$5:$Y$860,22,0))</f>
        <v/>
      </c>
      <c r="G485" s="30" t="str">
        <f t="shared" si="35"/>
        <v/>
      </c>
      <c r="H485" s="30" t="str">
        <f t="shared" si="36"/>
        <v/>
      </c>
      <c r="I485" s="30" t="str">
        <f t="shared" si="37"/>
        <v/>
      </c>
      <c r="J485" s="30" t="str">
        <f t="shared" si="38"/>
        <v/>
      </c>
      <c r="K485" s="30" t="str">
        <f t="shared" si="39"/>
        <v/>
      </c>
    </row>
    <row r="486" spans="1:11" ht="15" x14ac:dyDescent="0.25">
      <c r="A486" s="1" t="str">
        <f>IF('1.1 Produksi Bersih Padi 2025'!A486="","",'1.1 Produksi Bersih Padi 2025'!A486)</f>
        <v/>
      </c>
      <c r="B486" s="31" t="str">
        <f>IF('1.1 Produksi Bersih Padi 2025'!B486="","",'1.1 Produksi Bersih Padi 2025'!B486)</f>
        <v/>
      </c>
      <c r="C486" s="31" t="str">
        <f>IF('1.1 Produksi Bersih Padi 2025'!C486="","",'1.1 Produksi Bersih Padi 2025'!C486)</f>
        <v/>
      </c>
      <c r="D486" s="1" t="str">
        <f>IF('1.1 Produksi Bersih Padi 2025'!D486="","",'1.1 Produksi Bersih Padi 2025'!D486)</f>
        <v/>
      </c>
      <c r="E486" s="1" t="str">
        <f>IF('1.1 Produksi Bersih Padi 2025'!E486="","",'1.1 Produksi Bersih Padi 2025'!E486)</f>
        <v/>
      </c>
      <c r="F486" s="28" t="str">
        <f>IF(D486="","",VLOOKUP(D486,'[1]0.1 Produksi Pangan &amp; Penduduk'!$D$5:$Y$860,22,0))</f>
        <v/>
      </c>
      <c r="G486" s="30" t="str">
        <f t="shared" si="35"/>
        <v/>
      </c>
      <c r="H486" s="30" t="str">
        <f t="shared" si="36"/>
        <v/>
      </c>
      <c r="I486" s="30" t="str">
        <f t="shared" si="37"/>
        <v/>
      </c>
      <c r="J486" s="30" t="str">
        <f t="shared" si="38"/>
        <v/>
      </c>
      <c r="K486" s="30" t="str">
        <f t="shared" si="39"/>
        <v/>
      </c>
    </row>
    <row r="487" spans="1:11" ht="15" x14ac:dyDescent="0.25">
      <c r="A487" s="1" t="str">
        <f>IF('1.1 Produksi Bersih Padi 2025'!A487="","",'1.1 Produksi Bersih Padi 2025'!A487)</f>
        <v/>
      </c>
      <c r="B487" s="31" t="str">
        <f>IF('1.1 Produksi Bersih Padi 2025'!B487="","",'1.1 Produksi Bersih Padi 2025'!B487)</f>
        <v/>
      </c>
      <c r="C487" s="31" t="str">
        <f>IF('1.1 Produksi Bersih Padi 2025'!C487="","",'1.1 Produksi Bersih Padi 2025'!C487)</f>
        <v/>
      </c>
      <c r="D487" s="1" t="str">
        <f>IF('1.1 Produksi Bersih Padi 2025'!D487="","",'1.1 Produksi Bersih Padi 2025'!D487)</f>
        <v/>
      </c>
      <c r="E487" s="1" t="str">
        <f>IF('1.1 Produksi Bersih Padi 2025'!E487="","",'1.1 Produksi Bersih Padi 2025'!E487)</f>
        <v/>
      </c>
      <c r="F487" s="28" t="str">
        <f>IF(D487="","",VLOOKUP(D487,'[1]0.1 Produksi Pangan &amp; Penduduk'!$D$5:$Y$860,22,0))</f>
        <v/>
      </c>
      <c r="G487" s="30" t="str">
        <f t="shared" si="35"/>
        <v/>
      </c>
      <c r="H487" s="30" t="str">
        <f t="shared" si="36"/>
        <v/>
      </c>
      <c r="I487" s="30" t="str">
        <f t="shared" si="37"/>
        <v/>
      </c>
      <c r="J487" s="30" t="str">
        <f t="shared" si="38"/>
        <v/>
      </c>
      <c r="K487" s="30" t="str">
        <f t="shared" si="39"/>
        <v/>
      </c>
    </row>
    <row r="488" spans="1:11" ht="15" x14ac:dyDescent="0.25">
      <c r="A488" s="1" t="str">
        <f>IF('1.1 Produksi Bersih Padi 2025'!A488="","",'1.1 Produksi Bersih Padi 2025'!A488)</f>
        <v/>
      </c>
      <c r="B488" s="31" t="str">
        <f>IF('1.1 Produksi Bersih Padi 2025'!B488="","",'1.1 Produksi Bersih Padi 2025'!B488)</f>
        <v/>
      </c>
      <c r="C488" s="31" t="str">
        <f>IF('1.1 Produksi Bersih Padi 2025'!C488="","",'1.1 Produksi Bersih Padi 2025'!C488)</f>
        <v/>
      </c>
      <c r="D488" s="1" t="str">
        <f>IF('1.1 Produksi Bersih Padi 2025'!D488="","",'1.1 Produksi Bersih Padi 2025'!D488)</f>
        <v/>
      </c>
      <c r="E488" s="1" t="str">
        <f>IF('1.1 Produksi Bersih Padi 2025'!E488="","",'1.1 Produksi Bersih Padi 2025'!E488)</f>
        <v/>
      </c>
      <c r="F488" s="28" t="str">
        <f>IF(D488="","",VLOOKUP(D488,'[1]0.1 Produksi Pangan &amp; Penduduk'!$D$5:$Y$860,22,0))</f>
        <v/>
      </c>
      <c r="G488" s="30" t="str">
        <f t="shared" si="35"/>
        <v/>
      </c>
      <c r="H488" s="30" t="str">
        <f t="shared" si="36"/>
        <v/>
      </c>
      <c r="I488" s="30" t="str">
        <f t="shared" si="37"/>
        <v/>
      </c>
      <c r="J488" s="30" t="str">
        <f t="shared" si="38"/>
        <v/>
      </c>
      <c r="K488" s="30" t="str">
        <f t="shared" si="39"/>
        <v/>
      </c>
    </row>
    <row r="489" spans="1:11" ht="15" x14ac:dyDescent="0.25">
      <c r="A489" s="1" t="str">
        <f>IF('1.1 Produksi Bersih Padi 2025'!A489="","",'1.1 Produksi Bersih Padi 2025'!A489)</f>
        <v/>
      </c>
      <c r="B489" s="31" t="str">
        <f>IF('1.1 Produksi Bersih Padi 2025'!B489="","",'1.1 Produksi Bersih Padi 2025'!B489)</f>
        <v/>
      </c>
      <c r="C489" s="31" t="str">
        <f>IF('1.1 Produksi Bersih Padi 2025'!C489="","",'1.1 Produksi Bersih Padi 2025'!C489)</f>
        <v/>
      </c>
      <c r="D489" s="1" t="str">
        <f>IF('1.1 Produksi Bersih Padi 2025'!D489="","",'1.1 Produksi Bersih Padi 2025'!D489)</f>
        <v/>
      </c>
      <c r="E489" s="1" t="str">
        <f>IF('1.1 Produksi Bersih Padi 2025'!E489="","",'1.1 Produksi Bersih Padi 2025'!E489)</f>
        <v/>
      </c>
      <c r="F489" s="28" t="str">
        <f>IF(D489="","",VLOOKUP(D489,'[1]0.1 Produksi Pangan &amp; Penduduk'!$D$5:$Y$860,22,0))</f>
        <v/>
      </c>
      <c r="G489" s="30" t="str">
        <f t="shared" si="35"/>
        <v/>
      </c>
      <c r="H489" s="30" t="str">
        <f t="shared" si="36"/>
        <v/>
      </c>
      <c r="I489" s="30" t="str">
        <f t="shared" si="37"/>
        <v/>
      </c>
      <c r="J489" s="30" t="str">
        <f t="shared" si="38"/>
        <v/>
      </c>
      <c r="K489" s="30" t="str">
        <f t="shared" si="39"/>
        <v/>
      </c>
    </row>
    <row r="490" spans="1:11" ht="15" x14ac:dyDescent="0.25">
      <c r="A490" s="1" t="str">
        <f>IF('1.1 Produksi Bersih Padi 2025'!A490="","",'1.1 Produksi Bersih Padi 2025'!A490)</f>
        <v/>
      </c>
      <c r="B490" s="31" t="str">
        <f>IF('1.1 Produksi Bersih Padi 2025'!B490="","",'1.1 Produksi Bersih Padi 2025'!B490)</f>
        <v/>
      </c>
      <c r="C490" s="31" t="str">
        <f>IF('1.1 Produksi Bersih Padi 2025'!C490="","",'1.1 Produksi Bersih Padi 2025'!C490)</f>
        <v/>
      </c>
      <c r="D490" s="1" t="str">
        <f>IF('1.1 Produksi Bersih Padi 2025'!D490="","",'1.1 Produksi Bersih Padi 2025'!D490)</f>
        <v/>
      </c>
      <c r="E490" s="1" t="str">
        <f>IF('1.1 Produksi Bersih Padi 2025'!E490="","",'1.1 Produksi Bersih Padi 2025'!E490)</f>
        <v/>
      </c>
      <c r="F490" s="28" t="str">
        <f>IF(D490="","",VLOOKUP(D490,'[1]0.1 Produksi Pangan &amp; Penduduk'!$D$5:$Y$860,22,0))</f>
        <v/>
      </c>
      <c r="G490" s="30" t="str">
        <f t="shared" si="35"/>
        <v/>
      </c>
      <c r="H490" s="30" t="str">
        <f t="shared" si="36"/>
        <v/>
      </c>
      <c r="I490" s="30" t="str">
        <f t="shared" si="37"/>
        <v/>
      </c>
      <c r="J490" s="30" t="str">
        <f t="shared" si="38"/>
        <v/>
      </c>
      <c r="K490" s="30" t="str">
        <f t="shared" si="39"/>
        <v/>
      </c>
    </row>
    <row r="491" spans="1:11" ht="15" x14ac:dyDescent="0.25">
      <c r="A491" s="1" t="str">
        <f>IF('1.1 Produksi Bersih Padi 2025'!A491="","",'1.1 Produksi Bersih Padi 2025'!A491)</f>
        <v/>
      </c>
      <c r="B491" s="31" t="str">
        <f>IF('1.1 Produksi Bersih Padi 2025'!B491="","",'1.1 Produksi Bersih Padi 2025'!B491)</f>
        <v/>
      </c>
      <c r="C491" s="31" t="str">
        <f>IF('1.1 Produksi Bersih Padi 2025'!C491="","",'1.1 Produksi Bersih Padi 2025'!C491)</f>
        <v/>
      </c>
      <c r="D491" s="1" t="str">
        <f>IF('1.1 Produksi Bersih Padi 2025'!D491="","",'1.1 Produksi Bersih Padi 2025'!D491)</f>
        <v/>
      </c>
      <c r="E491" s="1" t="str">
        <f>IF('1.1 Produksi Bersih Padi 2025'!E491="","",'1.1 Produksi Bersih Padi 2025'!E491)</f>
        <v/>
      </c>
      <c r="F491" s="28" t="str">
        <f>IF(D491="","",VLOOKUP(D491,'[1]0.1 Produksi Pangan &amp; Penduduk'!$D$5:$Y$860,22,0))</f>
        <v/>
      </c>
      <c r="G491" s="30" t="str">
        <f t="shared" si="35"/>
        <v/>
      </c>
      <c r="H491" s="30" t="str">
        <f t="shared" si="36"/>
        <v/>
      </c>
      <c r="I491" s="30" t="str">
        <f t="shared" si="37"/>
        <v/>
      </c>
      <c r="J491" s="30" t="str">
        <f t="shared" si="38"/>
        <v/>
      </c>
      <c r="K491" s="30" t="str">
        <f t="shared" si="39"/>
        <v/>
      </c>
    </row>
    <row r="492" spans="1:11" ht="15" x14ac:dyDescent="0.25">
      <c r="A492" s="1" t="str">
        <f>IF('1.1 Produksi Bersih Padi 2025'!A492="","",'1.1 Produksi Bersih Padi 2025'!A492)</f>
        <v/>
      </c>
      <c r="B492" s="31" t="str">
        <f>IF('1.1 Produksi Bersih Padi 2025'!B492="","",'1.1 Produksi Bersih Padi 2025'!B492)</f>
        <v/>
      </c>
      <c r="C492" s="31" t="str">
        <f>IF('1.1 Produksi Bersih Padi 2025'!C492="","",'1.1 Produksi Bersih Padi 2025'!C492)</f>
        <v/>
      </c>
      <c r="D492" s="1" t="str">
        <f>IF('1.1 Produksi Bersih Padi 2025'!D492="","",'1.1 Produksi Bersih Padi 2025'!D492)</f>
        <v/>
      </c>
      <c r="E492" s="1" t="str">
        <f>IF('1.1 Produksi Bersih Padi 2025'!E492="","",'1.1 Produksi Bersih Padi 2025'!E492)</f>
        <v/>
      </c>
      <c r="F492" s="28" t="str">
        <f>IF(D492="","",VLOOKUP(D492,'[1]0.1 Produksi Pangan &amp; Penduduk'!$D$5:$Y$860,22,0))</f>
        <v/>
      </c>
      <c r="G492" s="30" t="str">
        <f t="shared" si="35"/>
        <v/>
      </c>
      <c r="H492" s="30" t="str">
        <f t="shared" si="36"/>
        <v/>
      </c>
      <c r="I492" s="30" t="str">
        <f t="shared" si="37"/>
        <v/>
      </c>
      <c r="J492" s="30" t="str">
        <f t="shared" si="38"/>
        <v/>
      </c>
      <c r="K492" s="30" t="str">
        <f t="shared" si="39"/>
        <v/>
      </c>
    </row>
    <row r="493" spans="1:11" ht="15" x14ac:dyDescent="0.25">
      <c r="A493" s="1" t="str">
        <f>IF('1.1 Produksi Bersih Padi 2025'!A493="","",'1.1 Produksi Bersih Padi 2025'!A493)</f>
        <v/>
      </c>
      <c r="B493" s="31" t="str">
        <f>IF('1.1 Produksi Bersih Padi 2025'!B493="","",'1.1 Produksi Bersih Padi 2025'!B493)</f>
        <v/>
      </c>
      <c r="C493" s="31" t="str">
        <f>IF('1.1 Produksi Bersih Padi 2025'!C493="","",'1.1 Produksi Bersih Padi 2025'!C493)</f>
        <v/>
      </c>
      <c r="D493" s="1" t="str">
        <f>IF('1.1 Produksi Bersih Padi 2025'!D493="","",'1.1 Produksi Bersih Padi 2025'!D493)</f>
        <v/>
      </c>
      <c r="E493" s="1" t="str">
        <f>IF('1.1 Produksi Bersih Padi 2025'!E493="","",'1.1 Produksi Bersih Padi 2025'!E493)</f>
        <v/>
      </c>
      <c r="F493" s="28" t="str">
        <f>IF(D493="","",VLOOKUP(D493,'[1]0.1 Produksi Pangan &amp; Penduduk'!$D$5:$Y$860,22,0))</f>
        <v/>
      </c>
      <c r="G493" s="30" t="str">
        <f t="shared" si="35"/>
        <v/>
      </c>
      <c r="H493" s="30" t="str">
        <f t="shared" si="36"/>
        <v/>
      </c>
      <c r="I493" s="30" t="str">
        <f t="shared" si="37"/>
        <v/>
      </c>
      <c r="J493" s="30" t="str">
        <f t="shared" si="38"/>
        <v/>
      </c>
      <c r="K493" s="30" t="str">
        <f t="shared" si="39"/>
        <v/>
      </c>
    </row>
    <row r="494" spans="1:11" ht="15" x14ac:dyDescent="0.25">
      <c r="A494" s="1" t="str">
        <f>IF('1.1 Produksi Bersih Padi 2025'!A494="","",'1.1 Produksi Bersih Padi 2025'!A494)</f>
        <v/>
      </c>
      <c r="B494" s="31" t="str">
        <f>IF('1.1 Produksi Bersih Padi 2025'!B494="","",'1.1 Produksi Bersih Padi 2025'!B494)</f>
        <v/>
      </c>
      <c r="C494" s="31" t="str">
        <f>IF('1.1 Produksi Bersih Padi 2025'!C494="","",'1.1 Produksi Bersih Padi 2025'!C494)</f>
        <v/>
      </c>
      <c r="D494" s="1" t="str">
        <f>IF('1.1 Produksi Bersih Padi 2025'!D494="","",'1.1 Produksi Bersih Padi 2025'!D494)</f>
        <v/>
      </c>
      <c r="E494" s="1" t="str">
        <f>IF('1.1 Produksi Bersih Padi 2025'!E494="","",'1.1 Produksi Bersih Padi 2025'!E494)</f>
        <v/>
      </c>
      <c r="F494" s="28" t="str">
        <f>IF(D494="","",VLOOKUP(D494,'[1]0.1 Produksi Pangan &amp; Penduduk'!$D$5:$Y$860,22,0))</f>
        <v/>
      </c>
      <c r="G494" s="30" t="str">
        <f t="shared" si="35"/>
        <v/>
      </c>
      <c r="H494" s="30" t="str">
        <f t="shared" si="36"/>
        <v/>
      </c>
      <c r="I494" s="30" t="str">
        <f t="shared" si="37"/>
        <v/>
      </c>
      <c r="J494" s="30" t="str">
        <f t="shared" si="38"/>
        <v/>
      </c>
      <c r="K494" s="30" t="str">
        <f t="shared" si="39"/>
        <v/>
      </c>
    </row>
    <row r="495" spans="1:11" ht="15" x14ac:dyDescent="0.25">
      <c r="A495" s="1" t="str">
        <f>IF('1.1 Produksi Bersih Padi 2025'!A495="","",'1.1 Produksi Bersih Padi 2025'!A495)</f>
        <v/>
      </c>
      <c r="B495" s="31" t="str">
        <f>IF('1.1 Produksi Bersih Padi 2025'!B495="","",'1.1 Produksi Bersih Padi 2025'!B495)</f>
        <v/>
      </c>
      <c r="C495" s="31" t="str">
        <f>IF('1.1 Produksi Bersih Padi 2025'!C495="","",'1.1 Produksi Bersih Padi 2025'!C495)</f>
        <v/>
      </c>
      <c r="D495" s="1" t="str">
        <f>IF('1.1 Produksi Bersih Padi 2025'!D495="","",'1.1 Produksi Bersih Padi 2025'!D495)</f>
        <v/>
      </c>
      <c r="E495" s="1" t="str">
        <f>IF('1.1 Produksi Bersih Padi 2025'!E495="","",'1.1 Produksi Bersih Padi 2025'!E495)</f>
        <v/>
      </c>
      <c r="F495" s="28" t="str">
        <f>IF(D495="","",VLOOKUP(D495,'[1]0.1 Produksi Pangan &amp; Penduduk'!$D$5:$Y$860,22,0))</f>
        <v/>
      </c>
      <c r="G495" s="30" t="str">
        <f t="shared" si="35"/>
        <v/>
      </c>
      <c r="H495" s="30" t="str">
        <f t="shared" si="36"/>
        <v/>
      </c>
      <c r="I495" s="30" t="str">
        <f t="shared" si="37"/>
        <v/>
      </c>
      <c r="J495" s="30" t="str">
        <f t="shared" si="38"/>
        <v/>
      </c>
      <c r="K495" s="30" t="str">
        <f t="shared" si="39"/>
        <v/>
      </c>
    </row>
    <row r="496" spans="1:11" ht="15" x14ac:dyDescent="0.25">
      <c r="A496" s="1" t="str">
        <f>IF('1.1 Produksi Bersih Padi 2025'!A496="","",'1.1 Produksi Bersih Padi 2025'!A496)</f>
        <v/>
      </c>
      <c r="B496" s="31" t="str">
        <f>IF('1.1 Produksi Bersih Padi 2025'!B496="","",'1.1 Produksi Bersih Padi 2025'!B496)</f>
        <v/>
      </c>
      <c r="C496" s="31" t="str">
        <f>IF('1.1 Produksi Bersih Padi 2025'!C496="","",'1.1 Produksi Bersih Padi 2025'!C496)</f>
        <v/>
      </c>
      <c r="D496" s="1" t="str">
        <f>IF('1.1 Produksi Bersih Padi 2025'!D496="","",'1.1 Produksi Bersih Padi 2025'!D496)</f>
        <v/>
      </c>
      <c r="E496" s="1" t="str">
        <f>IF('1.1 Produksi Bersih Padi 2025'!E496="","",'1.1 Produksi Bersih Padi 2025'!E496)</f>
        <v/>
      </c>
      <c r="F496" s="28" t="str">
        <f>IF(D496="","",VLOOKUP(D496,'[1]0.1 Produksi Pangan &amp; Penduduk'!$D$5:$Y$860,22,0))</f>
        <v/>
      </c>
      <c r="G496" s="30" t="str">
        <f t="shared" si="35"/>
        <v/>
      </c>
      <c r="H496" s="30" t="str">
        <f t="shared" si="36"/>
        <v/>
      </c>
      <c r="I496" s="30" t="str">
        <f t="shared" si="37"/>
        <v/>
      </c>
      <c r="J496" s="30" t="str">
        <f t="shared" si="38"/>
        <v/>
      </c>
      <c r="K496" s="30" t="str">
        <f t="shared" si="39"/>
        <v/>
      </c>
    </row>
    <row r="497" spans="1:11" ht="15" x14ac:dyDescent="0.25">
      <c r="A497" s="1" t="str">
        <f>IF('1.1 Produksi Bersih Padi 2025'!A497="","",'1.1 Produksi Bersih Padi 2025'!A497)</f>
        <v/>
      </c>
      <c r="B497" s="31" t="str">
        <f>IF('1.1 Produksi Bersih Padi 2025'!B497="","",'1.1 Produksi Bersih Padi 2025'!B497)</f>
        <v/>
      </c>
      <c r="C497" s="31" t="str">
        <f>IF('1.1 Produksi Bersih Padi 2025'!C497="","",'1.1 Produksi Bersih Padi 2025'!C497)</f>
        <v/>
      </c>
      <c r="D497" s="1" t="str">
        <f>IF('1.1 Produksi Bersih Padi 2025'!D497="","",'1.1 Produksi Bersih Padi 2025'!D497)</f>
        <v/>
      </c>
      <c r="E497" s="1" t="str">
        <f>IF('1.1 Produksi Bersih Padi 2025'!E497="","",'1.1 Produksi Bersih Padi 2025'!E497)</f>
        <v/>
      </c>
      <c r="F497" s="28" t="str">
        <f>IF(D497="","",VLOOKUP(D497,'[1]0.1 Produksi Pangan &amp; Penduduk'!$D$5:$Y$860,22,0))</f>
        <v/>
      </c>
      <c r="G497" s="30" t="str">
        <f t="shared" si="35"/>
        <v/>
      </c>
      <c r="H497" s="30" t="str">
        <f t="shared" si="36"/>
        <v/>
      </c>
      <c r="I497" s="30" t="str">
        <f t="shared" si="37"/>
        <v/>
      </c>
      <c r="J497" s="30" t="str">
        <f t="shared" si="38"/>
        <v/>
      </c>
      <c r="K497" s="30" t="str">
        <f t="shared" si="39"/>
        <v/>
      </c>
    </row>
    <row r="498" spans="1:11" ht="15" x14ac:dyDescent="0.25">
      <c r="A498" s="1" t="str">
        <f>IF('1.1 Produksi Bersih Padi 2025'!A498="","",'1.1 Produksi Bersih Padi 2025'!A498)</f>
        <v/>
      </c>
      <c r="B498" s="31" t="str">
        <f>IF('1.1 Produksi Bersih Padi 2025'!B498="","",'1.1 Produksi Bersih Padi 2025'!B498)</f>
        <v/>
      </c>
      <c r="C498" s="31" t="str">
        <f>IF('1.1 Produksi Bersih Padi 2025'!C498="","",'1.1 Produksi Bersih Padi 2025'!C498)</f>
        <v/>
      </c>
      <c r="D498" s="1" t="str">
        <f>IF('1.1 Produksi Bersih Padi 2025'!D498="","",'1.1 Produksi Bersih Padi 2025'!D498)</f>
        <v/>
      </c>
      <c r="E498" s="1" t="str">
        <f>IF('1.1 Produksi Bersih Padi 2025'!E498="","",'1.1 Produksi Bersih Padi 2025'!E498)</f>
        <v/>
      </c>
      <c r="F498" s="28" t="str">
        <f>IF(D498="","",VLOOKUP(D498,'[1]0.1 Produksi Pangan &amp; Penduduk'!$D$5:$Y$860,22,0))</f>
        <v/>
      </c>
      <c r="G498" s="30" t="str">
        <f t="shared" si="35"/>
        <v/>
      </c>
      <c r="H498" s="30" t="str">
        <f t="shared" si="36"/>
        <v/>
      </c>
      <c r="I498" s="30" t="str">
        <f t="shared" si="37"/>
        <v/>
      </c>
      <c r="J498" s="30" t="str">
        <f t="shared" si="38"/>
        <v/>
      </c>
      <c r="K498" s="30" t="str">
        <f t="shared" si="39"/>
        <v/>
      </c>
    </row>
    <row r="499" spans="1:11" ht="15" x14ac:dyDescent="0.25">
      <c r="A499" s="1" t="str">
        <f>IF('1.1 Produksi Bersih Padi 2025'!A499="","",'1.1 Produksi Bersih Padi 2025'!A499)</f>
        <v/>
      </c>
      <c r="B499" s="31" t="str">
        <f>IF('1.1 Produksi Bersih Padi 2025'!B499="","",'1.1 Produksi Bersih Padi 2025'!B499)</f>
        <v/>
      </c>
      <c r="C499" s="31" t="str">
        <f>IF('1.1 Produksi Bersih Padi 2025'!C499="","",'1.1 Produksi Bersih Padi 2025'!C499)</f>
        <v/>
      </c>
      <c r="D499" s="1" t="str">
        <f>IF('1.1 Produksi Bersih Padi 2025'!D499="","",'1.1 Produksi Bersih Padi 2025'!D499)</f>
        <v/>
      </c>
      <c r="E499" s="1" t="str">
        <f>IF('1.1 Produksi Bersih Padi 2025'!E499="","",'1.1 Produksi Bersih Padi 2025'!E499)</f>
        <v/>
      </c>
      <c r="F499" s="28" t="str">
        <f>IF(D499="","",VLOOKUP(D499,'[1]0.1 Produksi Pangan &amp; Penduduk'!$D$5:$Y$860,22,0))</f>
        <v/>
      </c>
      <c r="G499" s="30" t="str">
        <f t="shared" si="35"/>
        <v/>
      </c>
      <c r="H499" s="30" t="str">
        <f t="shared" si="36"/>
        <v/>
      </c>
      <c r="I499" s="30" t="str">
        <f t="shared" si="37"/>
        <v/>
      </c>
      <c r="J499" s="30" t="str">
        <f t="shared" si="38"/>
        <v/>
      </c>
      <c r="K499" s="30" t="str">
        <f t="shared" si="39"/>
        <v/>
      </c>
    </row>
    <row r="500" spans="1:11" ht="15" x14ac:dyDescent="0.25">
      <c r="A500" s="1" t="str">
        <f>IF('1.1 Produksi Bersih Padi 2025'!A500="","",'1.1 Produksi Bersih Padi 2025'!A500)</f>
        <v/>
      </c>
      <c r="B500" s="31" t="str">
        <f>IF('1.1 Produksi Bersih Padi 2025'!B500="","",'1.1 Produksi Bersih Padi 2025'!B500)</f>
        <v/>
      </c>
      <c r="C500" s="31" t="str">
        <f>IF('1.1 Produksi Bersih Padi 2025'!C500="","",'1.1 Produksi Bersih Padi 2025'!C500)</f>
        <v/>
      </c>
      <c r="D500" s="1" t="str">
        <f>IF('1.1 Produksi Bersih Padi 2025'!D500="","",'1.1 Produksi Bersih Padi 2025'!D500)</f>
        <v/>
      </c>
      <c r="E500" s="1" t="str">
        <f>IF('1.1 Produksi Bersih Padi 2025'!E500="","",'1.1 Produksi Bersih Padi 2025'!E500)</f>
        <v/>
      </c>
      <c r="F500" s="28" t="str">
        <f>IF(D500="","",VLOOKUP(D500,'[1]0.1 Produksi Pangan &amp; Penduduk'!$D$5:$Y$860,22,0))</f>
        <v/>
      </c>
      <c r="G500" s="30" t="str">
        <f t="shared" si="35"/>
        <v/>
      </c>
      <c r="H500" s="30" t="str">
        <f t="shared" si="36"/>
        <v/>
      </c>
      <c r="I500" s="30" t="str">
        <f t="shared" si="37"/>
        <v/>
      </c>
      <c r="J500" s="30" t="str">
        <f t="shared" si="38"/>
        <v/>
      </c>
      <c r="K500" s="30" t="str">
        <f t="shared" si="39"/>
        <v/>
      </c>
    </row>
    <row r="501" spans="1:11" ht="15" x14ac:dyDescent="0.25">
      <c r="A501" s="1" t="str">
        <f>IF('1.1 Produksi Bersih Padi 2025'!A501="","",'1.1 Produksi Bersih Padi 2025'!A501)</f>
        <v/>
      </c>
      <c r="B501" s="31" t="str">
        <f>IF('1.1 Produksi Bersih Padi 2025'!B501="","",'1.1 Produksi Bersih Padi 2025'!B501)</f>
        <v/>
      </c>
      <c r="C501" s="31" t="str">
        <f>IF('1.1 Produksi Bersih Padi 2025'!C501="","",'1.1 Produksi Bersih Padi 2025'!C501)</f>
        <v/>
      </c>
      <c r="D501" s="1" t="str">
        <f>IF('1.1 Produksi Bersih Padi 2025'!D501="","",'1.1 Produksi Bersih Padi 2025'!D501)</f>
        <v/>
      </c>
      <c r="E501" s="1" t="str">
        <f>IF('1.1 Produksi Bersih Padi 2025'!E501="","",'1.1 Produksi Bersih Padi 2025'!E501)</f>
        <v/>
      </c>
      <c r="F501" s="28" t="str">
        <f>IF(D501="","",VLOOKUP(D501,'[1]0.1 Produksi Pangan &amp; Penduduk'!$D$5:$Y$860,22,0))</f>
        <v/>
      </c>
      <c r="G501" s="30" t="str">
        <f t="shared" si="35"/>
        <v/>
      </c>
      <c r="H501" s="30" t="str">
        <f t="shared" si="36"/>
        <v/>
      </c>
      <c r="I501" s="30" t="str">
        <f t="shared" si="37"/>
        <v/>
      </c>
      <c r="J501" s="30" t="str">
        <f t="shared" si="38"/>
        <v/>
      </c>
      <c r="K501" s="30" t="str">
        <f t="shared" si="39"/>
        <v/>
      </c>
    </row>
    <row r="502" spans="1:11" ht="15" x14ac:dyDescent="0.25">
      <c r="A502" s="1" t="str">
        <f>IF('1.1 Produksi Bersih Padi 2025'!A502="","",'1.1 Produksi Bersih Padi 2025'!A502)</f>
        <v/>
      </c>
      <c r="B502" s="31" t="str">
        <f>IF('1.1 Produksi Bersih Padi 2025'!B502="","",'1.1 Produksi Bersih Padi 2025'!B502)</f>
        <v/>
      </c>
      <c r="C502" s="31" t="str">
        <f>IF('1.1 Produksi Bersih Padi 2025'!C502="","",'1.1 Produksi Bersih Padi 2025'!C502)</f>
        <v/>
      </c>
      <c r="D502" s="1" t="str">
        <f>IF('1.1 Produksi Bersih Padi 2025'!D502="","",'1.1 Produksi Bersih Padi 2025'!D502)</f>
        <v/>
      </c>
      <c r="E502" s="1" t="str">
        <f>IF('1.1 Produksi Bersih Padi 2025'!E502="","",'1.1 Produksi Bersih Padi 2025'!E502)</f>
        <v/>
      </c>
      <c r="F502" s="28" t="str">
        <f>IF(D502="","",VLOOKUP(D502,'[1]0.1 Produksi Pangan &amp; Penduduk'!$D$5:$Y$860,22,0))</f>
        <v/>
      </c>
      <c r="G502" s="30" t="str">
        <f t="shared" si="35"/>
        <v/>
      </c>
      <c r="H502" s="30" t="str">
        <f t="shared" si="36"/>
        <v/>
      </c>
      <c r="I502" s="30" t="str">
        <f t="shared" si="37"/>
        <v/>
      </c>
      <c r="J502" s="30" t="str">
        <f t="shared" si="38"/>
        <v/>
      </c>
      <c r="K502" s="30" t="str">
        <f t="shared" si="39"/>
        <v/>
      </c>
    </row>
    <row r="503" spans="1:11" ht="15" x14ac:dyDescent="0.25">
      <c r="A503" s="1" t="str">
        <f>IF('1.1 Produksi Bersih Padi 2025'!A503="","",'1.1 Produksi Bersih Padi 2025'!A503)</f>
        <v/>
      </c>
      <c r="B503" s="31" t="str">
        <f>IF('1.1 Produksi Bersih Padi 2025'!B503="","",'1.1 Produksi Bersih Padi 2025'!B503)</f>
        <v/>
      </c>
      <c r="C503" s="31" t="str">
        <f>IF('1.1 Produksi Bersih Padi 2025'!C503="","",'1.1 Produksi Bersih Padi 2025'!C503)</f>
        <v/>
      </c>
      <c r="D503" s="1" t="str">
        <f>IF('1.1 Produksi Bersih Padi 2025'!D503="","",'1.1 Produksi Bersih Padi 2025'!D503)</f>
        <v/>
      </c>
      <c r="E503" s="1" t="str">
        <f>IF('1.1 Produksi Bersih Padi 2025'!E503="","",'1.1 Produksi Bersih Padi 2025'!E503)</f>
        <v/>
      </c>
      <c r="F503" s="28" t="str">
        <f>IF(D503="","",VLOOKUP(D503,'[1]0.1 Produksi Pangan &amp; Penduduk'!$D$5:$Y$860,22,0))</f>
        <v/>
      </c>
      <c r="G503" s="30" t="str">
        <f t="shared" si="35"/>
        <v/>
      </c>
      <c r="H503" s="30" t="str">
        <f t="shared" si="36"/>
        <v/>
      </c>
      <c r="I503" s="30" t="str">
        <f t="shared" si="37"/>
        <v/>
      </c>
      <c r="J503" s="30" t="str">
        <f t="shared" si="38"/>
        <v/>
      </c>
      <c r="K503" s="30" t="str">
        <f t="shared" si="39"/>
        <v/>
      </c>
    </row>
    <row r="504" spans="1:11" ht="15" x14ac:dyDescent="0.25">
      <c r="A504" s="1" t="str">
        <f>IF('1.1 Produksi Bersih Padi 2025'!A504="","",'1.1 Produksi Bersih Padi 2025'!A504)</f>
        <v/>
      </c>
      <c r="B504" s="31" t="str">
        <f>IF('1.1 Produksi Bersih Padi 2025'!B504="","",'1.1 Produksi Bersih Padi 2025'!B504)</f>
        <v/>
      </c>
      <c r="C504" s="31" t="str">
        <f>IF('1.1 Produksi Bersih Padi 2025'!C504="","",'1.1 Produksi Bersih Padi 2025'!C504)</f>
        <v/>
      </c>
      <c r="D504" s="1" t="str">
        <f>IF('1.1 Produksi Bersih Padi 2025'!D504="","",'1.1 Produksi Bersih Padi 2025'!D504)</f>
        <v/>
      </c>
      <c r="E504" s="1" t="str">
        <f>IF('1.1 Produksi Bersih Padi 2025'!E504="","",'1.1 Produksi Bersih Padi 2025'!E504)</f>
        <v/>
      </c>
      <c r="F504" s="28" t="str">
        <f>IF(D504="","",VLOOKUP(D504,'[1]0.1 Produksi Pangan &amp; Penduduk'!$D$5:$Y$860,22,0))</f>
        <v/>
      </c>
      <c r="G504" s="30" t="str">
        <f t="shared" si="35"/>
        <v/>
      </c>
      <c r="H504" s="30" t="str">
        <f t="shared" si="36"/>
        <v/>
      </c>
      <c r="I504" s="30" t="str">
        <f t="shared" si="37"/>
        <v/>
      </c>
      <c r="J504" s="30" t="str">
        <f t="shared" si="38"/>
        <v/>
      </c>
      <c r="K504" s="30" t="str">
        <f t="shared" si="39"/>
        <v/>
      </c>
    </row>
    <row r="505" spans="1:11" ht="15" x14ac:dyDescent="0.25">
      <c r="A505" s="1" t="str">
        <f>IF('1.1 Produksi Bersih Padi 2025'!A505="","",'1.1 Produksi Bersih Padi 2025'!A505)</f>
        <v/>
      </c>
      <c r="B505" s="31" t="str">
        <f>IF('1.1 Produksi Bersih Padi 2025'!B505="","",'1.1 Produksi Bersih Padi 2025'!B505)</f>
        <v/>
      </c>
      <c r="C505" s="31" t="str">
        <f>IF('1.1 Produksi Bersih Padi 2025'!C505="","",'1.1 Produksi Bersih Padi 2025'!C505)</f>
        <v/>
      </c>
      <c r="D505" s="1" t="str">
        <f>IF('1.1 Produksi Bersih Padi 2025'!D505="","",'1.1 Produksi Bersih Padi 2025'!D505)</f>
        <v/>
      </c>
      <c r="E505" s="1" t="str">
        <f>IF('1.1 Produksi Bersih Padi 2025'!E505="","",'1.1 Produksi Bersih Padi 2025'!E505)</f>
        <v/>
      </c>
      <c r="F505" s="28" t="str">
        <f>IF(D505="","",VLOOKUP(D505,'[1]0.1 Produksi Pangan &amp; Penduduk'!$D$5:$Y$860,22,0))</f>
        <v/>
      </c>
      <c r="G505" s="30" t="str">
        <f t="shared" si="35"/>
        <v/>
      </c>
      <c r="H505" s="30" t="str">
        <f t="shared" si="36"/>
        <v/>
      </c>
      <c r="I505" s="30" t="str">
        <f t="shared" si="37"/>
        <v/>
      </c>
      <c r="J505" s="30" t="str">
        <f t="shared" si="38"/>
        <v/>
      </c>
      <c r="K505" s="30" t="str">
        <f t="shared" si="39"/>
        <v/>
      </c>
    </row>
    <row r="506" spans="1:11" ht="15" x14ac:dyDescent="0.25">
      <c r="A506" s="1" t="str">
        <f>IF('1.1 Produksi Bersih Padi 2025'!A506="","",'1.1 Produksi Bersih Padi 2025'!A506)</f>
        <v/>
      </c>
      <c r="B506" s="31" t="str">
        <f>IF('1.1 Produksi Bersih Padi 2025'!B506="","",'1.1 Produksi Bersih Padi 2025'!B506)</f>
        <v/>
      </c>
      <c r="C506" s="31" t="str">
        <f>IF('1.1 Produksi Bersih Padi 2025'!C506="","",'1.1 Produksi Bersih Padi 2025'!C506)</f>
        <v/>
      </c>
      <c r="D506" s="1" t="str">
        <f>IF('1.1 Produksi Bersih Padi 2025'!D506="","",'1.1 Produksi Bersih Padi 2025'!D506)</f>
        <v/>
      </c>
      <c r="E506" s="1" t="str">
        <f>IF('1.1 Produksi Bersih Padi 2025'!E506="","",'1.1 Produksi Bersih Padi 2025'!E506)</f>
        <v/>
      </c>
      <c r="F506" s="28" t="str">
        <f>IF(D506="","",VLOOKUP(D506,'[1]0.1 Produksi Pangan &amp; Penduduk'!$D$5:$Y$860,22,0))</f>
        <v/>
      </c>
      <c r="G506" s="30" t="str">
        <f t="shared" si="35"/>
        <v/>
      </c>
      <c r="H506" s="30" t="str">
        <f t="shared" si="36"/>
        <v/>
      </c>
      <c r="I506" s="30" t="str">
        <f t="shared" si="37"/>
        <v/>
      </c>
      <c r="J506" s="30" t="str">
        <f t="shared" si="38"/>
        <v/>
      </c>
      <c r="K506" s="30" t="str">
        <f t="shared" si="39"/>
        <v/>
      </c>
    </row>
    <row r="507" spans="1:11" ht="15" x14ac:dyDescent="0.25">
      <c r="A507" s="1" t="str">
        <f>IF('1.1 Produksi Bersih Padi 2025'!A507="","",'1.1 Produksi Bersih Padi 2025'!A507)</f>
        <v/>
      </c>
      <c r="B507" s="31" t="str">
        <f>IF('1.1 Produksi Bersih Padi 2025'!B507="","",'1.1 Produksi Bersih Padi 2025'!B507)</f>
        <v/>
      </c>
      <c r="C507" s="31" t="str">
        <f>IF('1.1 Produksi Bersih Padi 2025'!C507="","",'1.1 Produksi Bersih Padi 2025'!C507)</f>
        <v/>
      </c>
      <c r="D507" s="1" t="str">
        <f>IF('1.1 Produksi Bersih Padi 2025'!D507="","",'1.1 Produksi Bersih Padi 2025'!D507)</f>
        <v/>
      </c>
      <c r="E507" s="1" t="str">
        <f>IF('1.1 Produksi Bersih Padi 2025'!E507="","",'1.1 Produksi Bersih Padi 2025'!E507)</f>
        <v/>
      </c>
      <c r="F507" s="28" t="str">
        <f>IF(D507="","",VLOOKUP(D507,'[1]0.1 Produksi Pangan &amp; Penduduk'!$D$5:$Y$860,22,0))</f>
        <v/>
      </c>
      <c r="G507" s="30" t="str">
        <f t="shared" si="35"/>
        <v/>
      </c>
      <c r="H507" s="30" t="str">
        <f t="shared" si="36"/>
        <v/>
      </c>
      <c r="I507" s="30" t="str">
        <f t="shared" si="37"/>
        <v/>
      </c>
      <c r="J507" s="30" t="str">
        <f t="shared" si="38"/>
        <v/>
      </c>
      <c r="K507" s="30" t="str">
        <f t="shared" si="39"/>
        <v/>
      </c>
    </row>
    <row r="508" spans="1:11" ht="15" x14ac:dyDescent="0.25">
      <c r="A508" s="1" t="str">
        <f>IF('1.1 Produksi Bersih Padi 2025'!A508="","",'1.1 Produksi Bersih Padi 2025'!A508)</f>
        <v/>
      </c>
      <c r="B508" s="31" t="str">
        <f>IF('1.1 Produksi Bersih Padi 2025'!B508="","",'1.1 Produksi Bersih Padi 2025'!B508)</f>
        <v/>
      </c>
      <c r="C508" s="31" t="str">
        <f>IF('1.1 Produksi Bersih Padi 2025'!C508="","",'1.1 Produksi Bersih Padi 2025'!C508)</f>
        <v/>
      </c>
      <c r="D508" s="1" t="str">
        <f>IF('1.1 Produksi Bersih Padi 2025'!D508="","",'1.1 Produksi Bersih Padi 2025'!D508)</f>
        <v/>
      </c>
      <c r="E508" s="1" t="str">
        <f>IF('1.1 Produksi Bersih Padi 2025'!E508="","",'1.1 Produksi Bersih Padi 2025'!E508)</f>
        <v/>
      </c>
      <c r="F508" s="28" t="str">
        <f>IF(D508="","",VLOOKUP(D508,'[1]0.1 Produksi Pangan &amp; Penduduk'!$D$5:$Y$860,22,0))</f>
        <v/>
      </c>
      <c r="G508" s="30" t="str">
        <f t="shared" si="35"/>
        <v/>
      </c>
      <c r="H508" s="30" t="str">
        <f t="shared" si="36"/>
        <v/>
      </c>
      <c r="I508" s="30" t="str">
        <f t="shared" si="37"/>
        <v/>
      </c>
      <c r="J508" s="30" t="str">
        <f t="shared" si="38"/>
        <v/>
      </c>
      <c r="K508" s="30" t="str">
        <f t="shared" si="39"/>
        <v/>
      </c>
    </row>
    <row r="509" spans="1:11" ht="15" x14ac:dyDescent="0.25">
      <c r="A509" s="1" t="str">
        <f>IF('1.1 Produksi Bersih Padi 2025'!A509="","",'1.1 Produksi Bersih Padi 2025'!A509)</f>
        <v/>
      </c>
      <c r="B509" s="31" t="str">
        <f>IF('1.1 Produksi Bersih Padi 2025'!B509="","",'1.1 Produksi Bersih Padi 2025'!B509)</f>
        <v/>
      </c>
      <c r="C509" s="31" t="str">
        <f>IF('1.1 Produksi Bersih Padi 2025'!C509="","",'1.1 Produksi Bersih Padi 2025'!C509)</f>
        <v/>
      </c>
      <c r="D509" s="1" t="str">
        <f>IF('1.1 Produksi Bersih Padi 2025'!D509="","",'1.1 Produksi Bersih Padi 2025'!D509)</f>
        <v/>
      </c>
      <c r="E509" s="1" t="str">
        <f>IF('1.1 Produksi Bersih Padi 2025'!E509="","",'1.1 Produksi Bersih Padi 2025'!E509)</f>
        <v/>
      </c>
      <c r="F509" s="28" t="str">
        <f>IF(D509="","",VLOOKUP(D509,'[1]0.1 Produksi Pangan &amp; Penduduk'!$D$5:$Y$860,22,0))</f>
        <v/>
      </c>
      <c r="G509" s="30" t="str">
        <f t="shared" si="35"/>
        <v/>
      </c>
      <c r="H509" s="30" t="str">
        <f t="shared" si="36"/>
        <v/>
      </c>
      <c r="I509" s="30" t="str">
        <f t="shared" si="37"/>
        <v/>
      </c>
      <c r="J509" s="30" t="str">
        <f t="shared" si="38"/>
        <v/>
      </c>
      <c r="K509" s="30" t="str">
        <f t="shared" si="39"/>
        <v/>
      </c>
    </row>
    <row r="510" spans="1:11" ht="15" x14ac:dyDescent="0.25">
      <c r="A510" s="1" t="str">
        <f>IF('1.1 Produksi Bersih Padi 2025'!A510="","",'1.1 Produksi Bersih Padi 2025'!A510)</f>
        <v/>
      </c>
      <c r="B510" s="31" t="str">
        <f>IF('1.1 Produksi Bersih Padi 2025'!B510="","",'1.1 Produksi Bersih Padi 2025'!B510)</f>
        <v/>
      </c>
      <c r="C510" s="31" t="str">
        <f>IF('1.1 Produksi Bersih Padi 2025'!C510="","",'1.1 Produksi Bersih Padi 2025'!C510)</f>
        <v/>
      </c>
      <c r="D510" s="1" t="str">
        <f>IF('1.1 Produksi Bersih Padi 2025'!D510="","",'1.1 Produksi Bersih Padi 2025'!D510)</f>
        <v/>
      </c>
      <c r="E510" s="1" t="str">
        <f>IF('1.1 Produksi Bersih Padi 2025'!E510="","",'1.1 Produksi Bersih Padi 2025'!E510)</f>
        <v/>
      </c>
      <c r="F510" s="28" t="str">
        <f>IF(D510="","",VLOOKUP(D510,'[1]0.1 Produksi Pangan &amp; Penduduk'!$D$5:$Y$860,22,0))</f>
        <v/>
      </c>
      <c r="G510" s="30" t="str">
        <f t="shared" si="35"/>
        <v/>
      </c>
      <c r="H510" s="30" t="str">
        <f t="shared" si="36"/>
        <v/>
      </c>
      <c r="I510" s="30" t="str">
        <f t="shared" si="37"/>
        <v/>
      </c>
      <c r="J510" s="30" t="str">
        <f t="shared" si="38"/>
        <v/>
      </c>
      <c r="K510" s="30" t="str">
        <f t="shared" si="39"/>
        <v/>
      </c>
    </row>
    <row r="511" spans="1:11" ht="15" x14ac:dyDescent="0.25">
      <c r="A511" s="1" t="str">
        <f>IF('1.1 Produksi Bersih Padi 2025'!A511="","",'1.1 Produksi Bersih Padi 2025'!A511)</f>
        <v/>
      </c>
      <c r="B511" s="31" t="str">
        <f>IF('1.1 Produksi Bersih Padi 2025'!B511="","",'1.1 Produksi Bersih Padi 2025'!B511)</f>
        <v/>
      </c>
      <c r="C511" s="31" t="str">
        <f>IF('1.1 Produksi Bersih Padi 2025'!C511="","",'1.1 Produksi Bersih Padi 2025'!C511)</f>
        <v/>
      </c>
      <c r="D511" s="1" t="str">
        <f>IF('1.1 Produksi Bersih Padi 2025'!D511="","",'1.1 Produksi Bersih Padi 2025'!D511)</f>
        <v/>
      </c>
      <c r="E511" s="1" t="str">
        <f>IF('1.1 Produksi Bersih Padi 2025'!E511="","",'1.1 Produksi Bersih Padi 2025'!E511)</f>
        <v/>
      </c>
      <c r="F511" s="28" t="str">
        <f>IF(D511="","",VLOOKUP(D511,'[1]0.1 Produksi Pangan &amp; Penduduk'!$D$5:$Y$860,22,0))</f>
        <v/>
      </c>
      <c r="G511" s="30" t="str">
        <f t="shared" si="35"/>
        <v/>
      </c>
      <c r="H511" s="30" t="str">
        <f t="shared" si="36"/>
        <v/>
      </c>
      <c r="I511" s="30" t="str">
        <f t="shared" si="37"/>
        <v/>
      </c>
      <c r="J511" s="30" t="str">
        <f t="shared" si="38"/>
        <v/>
      </c>
      <c r="K511" s="30" t="str">
        <f t="shared" si="39"/>
        <v/>
      </c>
    </row>
    <row r="512" spans="1:11" ht="15" x14ac:dyDescent="0.25">
      <c r="A512" s="1" t="str">
        <f>IF('1.1 Produksi Bersih Padi 2025'!A512="","",'1.1 Produksi Bersih Padi 2025'!A512)</f>
        <v/>
      </c>
      <c r="B512" s="31" t="str">
        <f>IF('1.1 Produksi Bersih Padi 2025'!B512="","",'1.1 Produksi Bersih Padi 2025'!B512)</f>
        <v/>
      </c>
      <c r="C512" s="31" t="str">
        <f>IF('1.1 Produksi Bersih Padi 2025'!C512="","",'1.1 Produksi Bersih Padi 2025'!C512)</f>
        <v/>
      </c>
      <c r="D512" s="1" t="str">
        <f>IF('1.1 Produksi Bersih Padi 2025'!D512="","",'1.1 Produksi Bersih Padi 2025'!D512)</f>
        <v/>
      </c>
      <c r="E512" s="1" t="str">
        <f>IF('1.1 Produksi Bersih Padi 2025'!E512="","",'1.1 Produksi Bersih Padi 2025'!E512)</f>
        <v/>
      </c>
      <c r="F512" s="28" t="str">
        <f>IF(D512="","",VLOOKUP(D512,'[1]0.1 Produksi Pangan &amp; Penduduk'!$D$5:$Y$860,22,0))</f>
        <v/>
      </c>
      <c r="G512" s="30" t="str">
        <f t="shared" si="35"/>
        <v/>
      </c>
      <c r="H512" s="30" t="str">
        <f t="shared" si="36"/>
        <v/>
      </c>
      <c r="I512" s="30" t="str">
        <f t="shared" si="37"/>
        <v/>
      </c>
      <c r="J512" s="30" t="str">
        <f t="shared" si="38"/>
        <v/>
      </c>
      <c r="K512" s="30" t="str">
        <f t="shared" si="39"/>
        <v/>
      </c>
    </row>
    <row r="513" spans="1:11" ht="15" x14ac:dyDescent="0.25">
      <c r="A513" s="1" t="str">
        <f>IF('1.1 Produksi Bersih Padi 2025'!A513="","",'1.1 Produksi Bersih Padi 2025'!A513)</f>
        <v/>
      </c>
      <c r="B513" s="31" t="str">
        <f>IF('1.1 Produksi Bersih Padi 2025'!B513="","",'1.1 Produksi Bersih Padi 2025'!B513)</f>
        <v/>
      </c>
      <c r="C513" s="31" t="str">
        <f>IF('1.1 Produksi Bersih Padi 2025'!C513="","",'1.1 Produksi Bersih Padi 2025'!C513)</f>
        <v/>
      </c>
      <c r="D513" s="1" t="str">
        <f>IF('1.1 Produksi Bersih Padi 2025'!D513="","",'1.1 Produksi Bersih Padi 2025'!D513)</f>
        <v/>
      </c>
      <c r="E513" s="1" t="str">
        <f>IF('1.1 Produksi Bersih Padi 2025'!E513="","",'1.1 Produksi Bersih Padi 2025'!E513)</f>
        <v/>
      </c>
      <c r="F513" s="28" t="str">
        <f>IF(D513="","",VLOOKUP(D513,'[1]0.1 Produksi Pangan &amp; Penduduk'!$D$5:$Y$860,22,0))</f>
        <v/>
      </c>
      <c r="G513" s="30" t="str">
        <f t="shared" si="35"/>
        <v/>
      </c>
      <c r="H513" s="30" t="str">
        <f t="shared" si="36"/>
        <v/>
      </c>
      <c r="I513" s="30" t="str">
        <f t="shared" si="37"/>
        <v/>
      </c>
      <c r="J513" s="30" t="str">
        <f t="shared" si="38"/>
        <v/>
      </c>
      <c r="K513" s="30" t="str">
        <f t="shared" si="39"/>
        <v/>
      </c>
    </row>
    <row r="514" spans="1:11" ht="15" x14ac:dyDescent="0.25">
      <c r="A514" s="1" t="str">
        <f>IF('1.1 Produksi Bersih Padi 2025'!A514="","",'1.1 Produksi Bersih Padi 2025'!A514)</f>
        <v/>
      </c>
      <c r="B514" s="31" t="str">
        <f>IF('1.1 Produksi Bersih Padi 2025'!B514="","",'1.1 Produksi Bersih Padi 2025'!B514)</f>
        <v/>
      </c>
      <c r="C514" s="31" t="str">
        <f>IF('1.1 Produksi Bersih Padi 2025'!C514="","",'1.1 Produksi Bersih Padi 2025'!C514)</f>
        <v/>
      </c>
      <c r="D514" s="1" t="str">
        <f>IF('1.1 Produksi Bersih Padi 2025'!D514="","",'1.1 Produksi Bersih Padi 2025'!D514)</f>
        <v/>
      </c>
      <c r="E514" s="1" t="str">
        <f>IF('1.1 Produksi Bersih Padi 2025'!E514="","",'1.1 Produksi Bersih Padi 2025'!E514)</f>
        <v/>
      </c>
      <c r="F514" s="28" t="str">
        <f>IF(D514="","",VLOOKUP(D514,'[1]0.1 Produksi Pangan &amp; Penduduk'!$D$5:$Y$860,22,0))</f>
        <v/>
      </c>
      <c r="G514" s="30" t="str">
        <f t="shared" si="35"/>
        <v/>
      </c>
      <c r="H514" s="30" t="str">
        <f t="shared" si="36"/>
        <v/>
      </c>
      <c r="I514" s="30" t="str">
        <f t="shared" si="37"/>
        <v/>
      </c>
      <c r="J514" s="30" t="str">
        <f t="shared" si="38"/>
        <v/>
      </c>
      <c r="K514" s="30" t="str">
        <f t="shared" si="39"/>
        <v/>
      </c>
    </row>
    <row r="515" spans="1:11" ht="15" x14ac:dyDescent="0.25">
      <c r="A515" s="1" t="str">
        <f>IF('1.1 Produksi Bersih Padi 2025'!A515="","",'1.1 Produksi Bersih Padi 2025'!A515)</f>
        <v/>
      </c>
      <c r="B515" s="31" t="str">
        <f>IF('1.1 Produksi Bersih Padi 2025'!B515="","",'1.1 Produksi Bersih Padi 2025'!B515)</f>
        <v/>
      </c>
      <c r="C515" s="31" t="str">
        <f>IF('1.1 Produksi Bersih Padi 2025'!C515="","",'1.1 Produksi Bersih Padi 2025'!C515)</f>
        <v/>
      </c>
      <c r="D515" s="1" t="str">
        <f>IF('1.1 Produksi Bersih Padi 2025'!D515="","",'1.1 Produksi Bersih Padi 2025'!D515)</f>
        <v/>
      </c>
      <c r="E515" s="1" t="str">
        <f>IF('1.1 Produksi Bersih Padi 2025'!E515="","",'1.1 Produksi Bersih Padi 2025'!E515)</f>
        <v/>
      </c>
      <c r="F515" s="28" t="str">
        <f>IF(D515="","",VLOOKUP(D515,'[1]0.1 Produksi Pangan &amp; Penduduk'!$D$5:$Y$860,22,0))</f>
        <v/>
      </c>
      <c r="G515" s="30" t="str">
        <f t="shared" si="35"/>
        <v/>
      </c>
      <c r="H515" s="30" t="str">
        <f t="shared" si="36"/>
        <v/>
      </c>
      <c r="I515" s="30" t="str">
        <f t="shared" si="37"/>
        <v/>
      </c>
      <c r="J515" s="30" t="str">
        <f t="shared" si="38"/>
        <v/>
      </c>
      <c r="K515" s="30" t="str">
        <f t="shared" si="39"/>
        <v/>
      </c>
    </row>
    <row r="516" spans="1:11" ht="15" x14ac:dyDescent="0.25">
      <c r="A516" s="1" t="str">
        <f>IF('1.1 Produksi Bersih Padi 2025'!A516="","",'1.1 Produksi Bersih Padi 2025'!A516)</f>
        <v/>
      </c>
      <c r="B516" s="31" t="str">
        <f>IF('1.1 Produksi Bersih Padi 2025'!B516="","",'1.1 Produksi Bersih Padi 2025'!B516)</f>
        <v/>
      </c>
      <c r="C516" s="31" t="str">
        <f>IF('1.1 Produksi Bersih Padi 2025'!C516="","",'1.1 Produksi Bersih Padi 2025'!C516)</f>
        <v/>
      </c>
      <c r="D516" s="1" t="str">
        <f>IF('1.1 Produksi Bersih Padi 2025'!D516="","",'1.1 Produksi Bersih Padi 2025'!D516)</f>
        <v/>
      </c>
      <c r="E516" s="1" t="str">
        <f>IF('1.1 Produksi Bersih Padi 2025'!E516="","",'1.1 Produksi Bersih Padi 2025'!E516)</f>
        <v/>
      </c>
      <c r="F516" s="28" t="str">
        <f>IF(D516="","",VLOOKUP(D516,'[1]0.1 Produksi Pangan &amp; Penduduk'!$D$5:$Y$860,22,0))</f>
        <v/>
      </c>
      <c r="G516" s="30" t="str">
        <f t="shared" si="35"/>
        <v/>
      </c>
      <c r="H516" s="30" t="str">
        <f t="shared" si="36"/>
        <v/>
      </c>
      <c r="I516" s="30" t="str">
        <f t="shared" si="37"/>
        <v/>
      </c>
      <c r="J516" s="30" t="str">
        <f t="shared" si="38"/>
        <v/>
      </c>
      <c r="K516" s="30" t="str">
        <f t="shared" si="39"/>
        <v/>
      </c>
    </row>
    <row r="517" spans="1:11" ht="15" x14ac:dyDescent="0.25">
      <c r="A517" s="1" t="str">
        <f>IF('1.1 Produksi Bersih Padi 2025'!A517="","",'1.1 Produksi Bersih Padi 2025'!A517)</f>
        <v/>
      </c>
      <c r="B517" s="31" t="str">
        <f>IF('1.1 Produksi Bersih Padi 2025'!B517="","",'1.1 Produksi Bersih Padi 2025'!B517)</f>
        <v/>
      </c>
      <c r="C517" s="31" t="str">
        <f>IF('1.1 Produksi Bersih Padi 2025'!C517="","",'1.1 Produksi Bersih Padi 2025'!C517)</f>
        <v/>
      </c>
      <c r="D517" s="1" t="str">
        <f>IF('1.1 Produksi Bersih Padi 2025'!D517="","",'1.1 Produksi Bersih Padi 2025'!D517)</f>
        <v/>
      </c>
      <c r="E517" s="1" t="str">
        <f>IF('1.1 Produksi Bersih Padi 2025'!E517="","",'1.1 Produksi Bersih Padi 2025'!E517)</f>
        <v/>
      </c>
      <c r="F517" s="28" t="str">
        <f>IF(D517="","",VLOOKUP(D517,'[1]0.1 Produksi Pangan &amp; Penduduk'!$D$5:$Y$860,22,0))</f>
        <v/>
      </c>
      <c r="G517" s="30" t="str">
        <f t="shared" si="35"/>
        <v/>
      </c>
      <c r="H517" s="30" t="str">
        <f t="shared" si="36"/>
        <v/>
      </c>
      <c r="I517" s="30" t="str">
        <f t="shared" si="37"/>
        <v/>
      </c>
      <c r="J517" s="30" t="str">
        <f t="shared" si="38"/>
        <v/>
      </c>
      <c r="K517" s="30" t="str">
        <f t="shared" si="39"/>
        <v/>
      </c>
    </row>
    <row r="518" spans="1:11" ht="15" x14ac:dyDescent="0.25">
      <c r="A518" s="1" t="str">
        <f>IF('1.1 Produksi Bersih Padi 2025'!A518="","",'1.1 Produksi Bersih Padi 2025'!A518)</f>
        <v/>
      </c>
      <c r="B518" s="31" t="str">
        <f>IF('1.1 Produksi Bersih Padi 2025'!B518="","",'1.1 Produksi Bersih Padi 2025'!B518)</f>
        <v/>
      </c>
      <c r="C518" s="31" t="str">
        <f>IF('1.1 Produksi Bersih Padi 2025'!C518="","",'1.1 Produksi Bersih Padi 2025'!C518)</f>
        <v/>
      </c>
      <c r="D518" s="1" t="str">
        <f>IF('1.1 Produksi Bersih Padi 2025'!D518="","",'1.1 Produksi Bersih Padi 2025'!D518)</f>
        <v/>
      </c>
      <c r="E518" s="1" t="str">
        <f>IF('1.1 Produksi Bersih Padi 2025'!E518="","",'1.1 Produksi Bersih Padi 2025'!E518)</f>
        <v/>
      </c>
      <c r="F518" s="28" t="str">
        <f>IF(D518="","",VLOOKUP(D518,'[1]0.1 Produksi Pangan &amp; Penduduk'!$D$5:$Y$860,22,0))</f>
        <v/>
      </c>
      <c r="G518" s="30" t="str">
        <f t="shared" ref="G518:G581" si="40">IF(F518="","",F518*0%)</f>
        <v/>
      </c>
      <c r="H518" s="30" t="str">
        <f t="shared" ref="H518:H581" si="41">IF(F518="","",F518*0.43%)</f>
        <v/>
      </c>
      <c r="I518" s="30" t="str">
        <f t="shared" ref="I518:I581" si="42">IF(F518="","",F518*4.23%)</f>
        <v/>
      </c>
      <c r="J518" s="30" t="str">
        <f t="shared" ref="J518:J581" si="43">IF(F518="","",F518-(G518+H518+I518))</f>
        <v/>
      </c>
      <c r="K518" s="30" t="str">
        <f t="shared" ref="K518:K581" si="44">IF(J518="","",J518*0.363)</f>
        <v/>
      </c>
    </row>
    <row r="519" spans="1:11" ht="15" x14ac:dyDescent="0.25">
      <c r="A519" s="1" t="str">
        <f>IF('1.1 Produksi Bersih Padi 2025'!A519="","",'1.1 Produksi Bersih Padi 2025'!A519)</f>
        <v/>
      </c>
      <c r="B519" s="31" t="str">
        <f>IF('1.1 Produksi Bersih Padi 2025'!B519="","",'1.1 Produksi Bersih Padi 2025'!B519)</f>
        <v/>
      </c>
      <c r="C519" s="31" t="str">
        <f>IF('1.1 Produksi Bersih Padi 2025'!C519="","",'1.1 Produksi Bersih Padi 2025'!C519)</f>
        <v/>
      </c>
      <c r="D519" s="1" t="str">
        <f>IF('1.1 Produksi Bersih Padi 2025'!D519="","",'1.1 Produksi Bersih Padi 2025'!D519)</f>
        <v/>
      </c>
      <c r="E519" s="1" t="str">
        <f>IF('1.1 Produksi Bersih Padi 2025'!E519="","",'1.1 Produksi Bersih Padi 2025'!E519)</f>
        <v/>
      </c>
      <c r="F519" s="28" t="str">
        <f>IF(D519="","",VLOOKUP(D519,'[1]0.1 Produksi Pangan &amp; Penduduk'!$D$5:$Y$860,22,0))</f>
        <v/>
      </c>
      <c r="G519" s="30" t="str">
        <f t="shared" si="40"/>
        <v/>
      </c>
      <c r="H519" s="30" t="str">
        <f t="shared" si="41"/>
        <v/>
      </c>
      <c r="I519" s="30" t="str">
        <f t="shared" si="42"/>
        <v/>
      </c>
      <c r="J519" s="30" t="str">
        <f t="shared" si="43"/>
        <v/>
      </c>
      <c r="K519" s="30" t="str">
        <f t="shared" si="44"/>
        <v/>
      </c>
    </row>
    <row r="520" spans="1:11" ht="15" x14ac:dyDescent="0.25">
      <c r="A520" s="1" t="str">
        <f>IF('1.1 Produksi Bersih Padi 2025'!A520="","",'1.1 Produksi Bersih Padi 2025'!A520)</f>
        <v/>
      </c>
      <c r="B520" s="31" t="str">
        <f>IF('1.1 Produksi Bersih Padi 2025'!B520="","",'1.1 Produksi Bersih Padi 2025'!B520)</f>
        <v/>
      </c>
      <c r="C520" s="31" t="str">
        <f>IF('1.1 Produksi Bersih Padi 2025'!C520="","",'1.1 Produksi Bersih Padi 2025'!C520)</f>
        <v/>
      </c>
      <c r="D520" s="1" t="str">
        <f>IF('1.1 Produksi Bersih Padi 2025'!D520="","",'1.1 Produksi Bersih Padi 2025'!D520)</f>
        <v/>
      </c>
      <c r="E520" s="1" t="str">
        <f>IF('1.1 Produksi Bersih Padi 2025'!E520="","",'1.1 Produksi Bersih Padi 2025'!E520)</f>
        <v/>
      </c>
      <c r="F520" s="28" t="str">
        <f>IF(D520="","",VLOOKUP(D520,'[1]0.1 Produksi Pangan &amp; Penduduk'!$D$5:$Y$860,22,0))</f>
        <v/>
      </c>
      <c r="G520" s="30" t="str">
        <f t="shared" si="40"/>
        <v/>
      </c>
      <c r="H520" s="30" t="str">
        <f t="shared" si="41"/>
        <v/>
      </c>
      <c r="I520" s="30" t="str">
        <f t="shared" si="42"/>
        <v/>
      </c>
      <c r="J520" s="30" t="str">
        <f t="shared" si="43"/>
        <v/>
      </c>
      <c r="K520" s="30" t="str">
        <f t="shared" si="44"/>
        <v/>
      </c>
    </row>
    <row r="521" spans="1:11" ht="15" x14ac:dyDescent="0.25">
      <c r="A521" s="1" t="str">
        <f>IF('1.1 Produksi Bersih Padi 2025'!A521="","",'1.1 Produksi Bersih Padi 2025'!A521)</f>
        <v/>
      </c>
      <c r="B521" s="31" t="str">
        <f>IF('1.1 Produksi Bersih Padi 2025'!B521="","",'1.1 Produksi Bersih Padi 2025'!B521)</f>
        <v/>
      </c>
      <c r="C521" s="31" t="str">
        <f>IF('1.1 Produksi Bersih Padi 2025'!C521="","",'1.1 Produksi Bersih Padi 2025'!C521)</f>
        <v/>
      </c>
      <c r="D521" s="1" t="str">
        <f>IF('1.1 Produksi Bersih Padi 2025'!D521="","",'1.1 Produksi Bersih Padi 2025'!D521)</f>
        <v/>
      </c>
      <c r="E521" s="1" t="str">
        <f>IF('1.1 Produksi Bersih Padi 2025'!E521="","",'1.1 Produksi Bersih Padi 2025'!E521)</f>
        <v/>
      </c>
      <c r="F521" s="28" t="str">
        <f>IF(D521="","",VLOOKUP(D521,'[1]0.1 Produksi Pangan &amp; Penduduk'!$D$5:$Y$860,22,0))</f>
        <v/>
      </c>
      <c r="G521" s="30" t="str">
        <f t="shared" si="40"/>
        <v/>
      </c>
      <c r="H521" s="30" t="str">
        <f t="shared" si="41"/>
        <v/>
      </c>
      <c r="I521" s="30" t="str">
        <f t="shared" si="42"/>
        <v/>
      </c>
      <c r="J521" s="30" t="str">
        <f t="shared" si="43"/>
        <v/>
      </c>
      <c r="K521" s="30" t="str">
        <f t="shared" si="44"/>
        <v/>
      </c>
    </row>
    <row r="522" spans="1:11" ht="15" x14ac:dyDescent="0.25">
      <c r="A522" s="1" t="str">
        <f>IF('1.1 Produksi Bersih Padi 2025'!A522="","",'1.1 Produksi Bersih Padi 2025'!A522)</f>
        <v/>
      </c>
      <c r="B522" s="31" t="str">
        <f>IF('1.1 Produksi Bersih Padi 2025'!B522="","",'1.1 Produksi Bersih Padi 2025'!B522)</f>
        <v/>
      </c>
      <c r="C522" s="31" t="str">
        <f>IF('1.1 Produksi Bersih Padi 2025'!C522="","",'1.1 Produksi Bersih Padi 2025'!C522)</f>
        <v/>
      </c>
      <c r="D522" s="1" t="str">
        <f>IF('1.1 Produksi Bersih Padi 2025'!D522="","",'1.1 Produksi Bersih Padi 2025'!D522)</f>
        <v/>
      </c>
      <c r="E522" s="1" t="str">
        <f>IF('1.1 Produksi Bersih Padi 2025'!E522="","",'1.1 Produksi Bersih Padi 2025'!E522)</f>
        <v/>
      </c>
      <c r="F522" s="28" t="str">
        <f>IF(D522="","",VLOOKUP(D522,'[1]0.1 Produksi Pangan &amp; Penduduk'!$D$5:$Y$860,22,0))</f>
        <v/>
      </c>
      <c r="G522" s="30" t="str">
        <f t="shared" si="40"/>
        <v/>
      </c>
      <c r="H522" s="30" t="str">
        <f t="shared" si="41"/>
        <v/>
      </c>
      <c r="I522" s="30" t="str">
        <f t="shared" si="42"/>
        <v/>
      </c>
      <c r="J522" s="30" t="str">
        <f t="shared" si="43"/>
        <v/>
      </c>
      <c r="K522" s="30" t="str">
        <f t="shared" si="44"/>
        <v/>
      </c>
    </row>
    <row r="523" spans="1:11" ht="15" x14ac:dyDescent="0.25">
      <c r="A523" s="1" t="str">
        <f>IF('1.1 Produksi Bersih Padi 2025'!A523="","",'1.1 Produksi Bersih Padi 2025'!A523)</f>
        <v/>
      </c>
      <c r="B523" s="31" t="str">
        <f>IF('1.1 Produksi Bersih Padi 2025'!B523="","",'1.1 Produksi Bersih Padi 2025'!B523)</f>
        <v/>
      </c>
      <c r="C523" s="31" t="str">
        <f>IF('1.1 Produksi Bersih Padi 2025'!C523="","",'1.1 Produksi Bersih Padi 2025'!C523)</f>
        <v/>
      </c>
      <c r="D523" s="1" t="str">
        <f>IF('1.1 Produksi Bersih Padi 2025'!D523="","",'1.1 Produksi Bersih Padi 2025'!D523)</f>
        <v/>
      </c>
      <c r="E523" s="1" t="str">
        <f>IF('1.1 Produksi Bersih Padi 2025'!E523="","",'1.1 Produksi Bersih Padi 2025'!E523)</f>
        <v/>
      </c>
      <c r="F523" s="28" t="str">
        <f>IF(D523="","",VLOOKUP(D523,'[1]0.1 Produksi Pangan &amp; Penduduk'!$D$5:$Y$860,22,0))</f>
        <v/>
      </c>
      <c r="G523" s="30" t="str">
        <f t="shared" si="40"/>
        <v/>
      </c>
      <c r="H523" s="30" t="str">
        <f t="shared" si="41"/>
        <v/>
      </c>
      <c r="I523" s="30" t="str">
        <f t="shared" si="42"/>
        <v/>
      </c>
      <c r="J523" s="30" t="str">
        <f t="shared" si="43"/>
        <v/>
      </c>
      <c r="K523" s="30" t="str">
        <f t="shared" si="44"/>
        <v/>
      </c>
    </row>
    <row r="524" spans="1:11" ht="15" x14ac:dyDescent="0.25">
      <c r="A524" s="1" t="str">
        <f>IF('1.1 Produksi Bersih Padi 2025'!A524="","",'1.1 Produksi Bersih Padi 2025'!A524)</f>
        <v/>
      </c>
      <c r="B524" s="31" t="str">
        <f>IF('1.1 Produksi Bersih Padi 2025'!B524="","",'1.1 Produksi Bersih Padi 2025'!B524)</f>
        <v/>
      </c>
      <c r="C524" s="31" t="str">
        <f>IF('1.1 Produksi Bersih Padi 2025'!C524="","",'1.1 Produksi Bersih Padi 2025'!C524)</f>
        <v/>
      </c>
      <c r="D524" s="1" t="str">
        <f>IF('1.1 Produksi Bersih Padi 2025'!D524="","",'1.1 Produksi Bersih Padi 2025'!D524)</f>
        <v/>
      </c>
      <c r="E524" s="1" t="str">
        <f>IF('1.1 Produksi Bersih Padi 2025'!E524="","",'1.1 Produksi Bersih Padi 2025'!E524)</f>
        <v/>
      </c>
      <c r="F524" s="28" t="str">
        <f>IF(D524="","",VLOOKUP(D524,'[1]0.1 Produksi Pangan &amp; Penduduk'!$D$5:$Y$860,22,0))</f>
        <v/>
      </c>
      <c r="G524" s="30" t="str">
        <f t="shared" si="40"/>
        <v/>
      </c>
      <c r="H524" s="30" t="str">
        <f t="shared" si="41"/>
        <v/>
      </c>
      <c r="I524" s="30" t="str">
        <f t="shared" si="42"/>
        <v/>
      </c>
      <c r="J524" s="30" t="str">
        <f t="shared" si="43"/>
        <v/>
      </c>
      <c r="K524" s="30" t="str">
        <f t="shared" si="44"/>
        <v/>
      </c>
    </row>
    <row r="525" spans="1:11" ht="15" x14ac:dyDescent="0.25">
      <c r="A525" s="1" t="str">
        <f>IF('1.1 Produksi Bersih Padi 2025'!A525="","",'1.1 Produksi Bersih Padi 2025'!A525)</f>
        <v/>
      </c>
      <c r="B525" s="31" t="str">
        <f>IF('1.1 Produksi Bersih Padi 2025'!B525="","",'1.1 Produksi Bersih Padi 2025'!B525)</f>
        <v/>
      </c>
      <c r="C525" s="31" t="str">
        <f>IF('1.1 Produksi Bersih Padi 2025'!C525="","",'1.1 Produksi Bersih Padi 2025'!C525)</f>
        <v/>
      </c>
      <c r="D525" s="1" t="str">
        <f>IF('1.1 Produksi Bersih Padi 2025'!D525="","",'1.1 Produksi Bersih Padi 2025'!D525)</f>
        <v/>
      </c>
      <c r="E525" s="1" t="str">
        <f>IF('1.1 Produksi Bersih Padi 2025'!E525="","",'1.1 Produksi Bersih Padi 2025'!E525)</f>
        <v/>
      </c>
      <c r="F525" s="28" t="str">
        <f>IF(D525="","",VLOOKUP(D525,'[1]0.1 Produksi Pangan &amp; Penduduk'!$D$5:$Y$860,22,0))</f>
        <v/>
      </c>
      <c r="G525" s="30" t="str">
        <f t="shared" si="40"/>
        <v/>
      </c>
      <c r="H525" s="30" t="str">
        <f t="shared" si="41"/>
        <v/>
      </c>
      <c r="I525" s="30" t="str">
        <f t="shared" si="42"/>
        <v/>
      </c>
      <c r="J525" s="30" t="str">
        <f t="shared" si="43"/>
        <v/>
      </c>
      <c r="K525" s="30" t="str">
        <f t="shared" si="44"/>
        <v/>
      </c>
    </row>
    <row r="526" spans="1:11" ht="15" x14ac:dyDescent="0.25">
      <c r="A526" s="1" t="str">
        <f>IF('1.1 Produksi Bersih Padi 2025'!A526="","",'1.1 Produksi Bersih Padi 2025'!A526)</f>
        <v/>
      </c>
      <c r="B526" s="31" t="str">
        <f>IF('1.1 Produksi Bersih Padi 2025'!B526="","",'1.1 Produksi Bersih Padi 2025'!B526)</f>
        <v/>
      </c>
      <c r="C526" s="31" t="str">
        <f>IF('1.1 Produksi Bersih Padi 2025'!C526="","",'1.1 Produksi Bersih Padi 2025'!C526)</f>
        <v/>
      </c>
      <c r="D526" s="1" t="str">
        <f>IF('1.1 Produksi Bersih Padi 2025'!D526="","",'1.1 Produksi Bersih Padi 2025'!D526)</f>
        <v/>
      </c>
      <c r="E526" s="1" t="str">
        <f>IF('1.1 Produksi Bersih Padi 2025'!E526="","",'1.1 Produksi Bersih Padi 2025'!E526)</f>
        <v/>
      </c>
      <c r="F526" s="28" t="str">
        <f>IF(D526="","",VLOOKUP(D526,'[1]0.1 Produksi Pangan &amp; Penduduk'!$D$5:$Y$860,22,0))</f>
        <v/>
      </c>
      <c r="G526" s="30" t="str">
        <f t="shared" si="40"/>
        <v/>
      </c>
      <c r="H526" s="30" t="str">
        <f t="shared" si="41"/>
        <v/>
      </c>
      <c r="I526" s="30" t="str">
        <f t="shared" si="42"/>
        <v/>
      </c>
      <c r="J526" s="30" t="str">
        <f t="shared" si="43"/>
        <v/>
      </c>
      <c r="K526" s="30" t="str">
        <f t="shared" si="44"/>
        <v/>
      </c>
    </row>
    <row r="527" spans="1:11" ht="15" x14ac:dyDescent="0.25">
      <c r="A527" s="1" t="str">
        <f>IF('1.1 Produksi Bersih Padi 2025'!A527="","",'1.1 Produksi Bersih Padi 2025'!A527)</f>
        <v/>
      </c>
      <c r="B527" s="31" t="str">
        <f>IF('1.1 Produksi Bersih Padi 2025'!B527="","",'1.1 Produksi Bersih Padi 2025'!B527)</f>
        <v/>
      </c>
      <c r="C527" s="31" t="str">
        <f>IF('1.1 Produksi Bersih Padi 2025'!C527="","",'1.1 Produksi Bersih Padi 2025'!C527)</f>
        <v/>
      </c>
      <c r="D527" s="1" t="str">
        <f>IF('1.1 Produksi Bersih Padi 2025'!D527="","",'1.1 Produksi Bersih Padi 2025'!D527)</f>
        <v/>
      </c>
      <c r="E527" s="1" t="str">
        <f>IF('1.1 Produksi Bersih Padi 2025'!E527="","",'1.1 Produksi Bersih Padi 2025'!E527)</f>
        <v/>
      </c>
      <c r="F527" s="28" t="str">
        <f>IF(D527="","",VLOOKUP(D527,'[1]0.1 Produksi Pangan &amp; Penduduk'!$D$5:$Y$860,22,0))</f>
        <v/>
      </c>
      <c r="G527" s="30" t="str">
        <f t="shared" si="40"/>
        <v/>
      </c>
      <c r="H527" s="30" t="str">
        <f t="shared" si="41"/>
        <v/>
      </c>
      <c r="I527" s="30" t="str">
        <f t="shared" si="42"/>
        <v/>
      </c>
      <c r="J527" s="30" t="str">
        <f t="shared" si="43"/>
        <v/>
      </c>
      <c r="K527" s="30" t="str">
        <f t="shared" si="44"/>
        <v/>
      </c>
    </row>
    <row r="528" spans="1:11" ht="15" x14ac:dyDescent="0.25">
      <c r="A528" s="1" t="str">
        <f>IF('1.1 Produksi Bersih Padi 2025'!A528="","",'1.1 Produksi Bersih Padi 2025'!A528)</f>
        <v/>
      </c>
      <c r="B528" s="31" t="str">
        <f>IF('1.1 Produksi Bersih Padi 2025'!B528="","",'1.1 Produksi Bersih Padi 2025'!B528)</f>
        <v/>
      </c>
      <c r="C528" s="31" t="str">
        <f>IF('1.1 Produksi Bersih Padi 2025'!C528="","",'1.1 Produksi Bersih Padi 2025'!C528)</f>
        <v/>
      </c>
      <c r="D528" s="1" t="str">
        <f>IF('1.1 Produksi Bersih Padi 2025'!D528="","",'1.1 Produksi Bersih Padi 2025'!D528)</f>
        <v/>
      </c>
      <c r="E528" s="1" t="str">
        <f>IF('1.1 Produksi Bersih Padi 2025'!E528="","",'1.1 Produksi Bersih Padi 2025'!E528)</f>
        <v/>
      </c>
      <c r="F528" s="28" t="str">
        <f>IF(D528="","",VLOOKUP(D528,'[1]0.1 Produksi Pangan &amp; Penduduk'!$D$5:$Y$860,22,0))</f>
        <v/>
      </c>
      <c r="G528" s="30" t="str">
        <f t="shared" si="40"/>
        <v/>
      </c>
      <c r="H528" s="30" t="str">
        <f t="shared" si="41"/>
        <v/>
      </c>
      <c r="I528" s="30" t="str">
        <f t="shared" si="42"/>
        <v/>
      </c>
      <c r="J528" s="30" t="str">
        <f t="shared" si="43"/>
        <v/>
      </c>
      <c r="K528" s="30" t="str">
        <f t="shared" si="44"/>
        <v/>
      </c>
    </row>
    <row r="529" spans="1:11" ht="15" x14ac:dyDescent="0.25">
      <c r="A529" s="1" t="str">
        <f>IF('1.1 Produksi Bersih Padi 2025'!A529="","",'1.1 Produksi Bersih Padi 2025'!A529)</f>
        <v/>
      </c>
      <c r="B529" s="31" t="str">
        <f>IF('1.1 Produksi Bersih Padi 2025'!B529="","",'1.1 Produksi Bersih Padi 2025'!B529)</f>
        <v/>
      </c>
      <c r="C529" s="31" t="str">
        <f>IF('1.1 Produksi Bersih Padi 2025'!C529="","",'1.1 Produksi Bersih Padi 2025'!C529)</f>
        <v/>
      </c>
      <c r="D529" s="1" t="str">
        <f>IF('1.1 Produksi Bersih Padi 2025'!D529="","",'1.1 Produksi Bersih Padi 2025'!D529)</f>
        <v/>
      </c>
      <c r="E529" s="1" t="str">
        <f>IF('1.1 Produksi Bersih Padi 2025'!E529="","",'1.1 Produksi Bersih Padi 2025'!E529)</f>
        <v/>
      </c>
      <c r="F529" s="28" t="str">
        <f>IF(D529="","",VLOOKUP(D529,'[1]0.1 Produksi Pangan &amp; Penduduk'!$D$5:$Y$860,22,0))</f>
        <v/>
      </c>
      <c r="G529" s="30" t="str">
        <f t="shared" si="40"/>
        <v/>
      </c>
      <c r="H529" s="30" t="str">
        <f t="shared" si="41"/>
        <v/>
      </c>
      <c r="I529" s="30" t="str">
        <f t="shared" si="42"/>
        <v/>
      </c>
      <c r="J529" s="30" t="str">
        <f t="shared" si="43"/>
        <v/>
      </c>
      <c r="K529" s="30" t="str">
        <f t="shared" si="44"/>
        <v/>
      </c>
    </row>
    <row r="530" spans="1:11" ht="15" x14ac:dyDescent="0.25">
      <c r="A530" s="1" t="str">
        <f>IF('1.1 Produksi Bersih Padi 2025'!A530="","",'1.1 Produksi Bersih Padi 2025'!A530)</f>
        <v/>
      </c>
      <c r="B530" s="31" t="str">
        <f>IF('1.1 Produksi Bersih Padi 2025'!B530="","",'1.1 Produksi Bersih Padi 2025'!B530)</f>
        <v/>
      </c>
      <c r="C530" s="31" t="str">
        <f>IF('1.1 Produksi Bersih Padi 2025'!C530="","",'1.1 Produksi Bersih Padi 2025'!C530)</f>
        <v/>
      </c>
      <c r="D530" s="1" t="str">
        <f>IF('1.1 Produksi Bersih Padi 2025'!D530="","",'1.1 Produksi Bersih Padi 2025'!D530)</f>
        <v/>
      </c>
      <c r="E530" s="1" t="str">
        <f>IF('1.1 Produksi Bersih Padi 2025'!E530="","",'1.1 Produksi Bersih Padi 2025'!E530)</f>
        <v/>
      </c>
      <c r="F530" s="28" t="str">
        <f>IF(D530="","",VLOOKUP(D530,'[1]0.1 Produksi Pangan &amp; Penduduk'!$D$5:$Y$860,22,0))</f>
        <v/>
      </c>
      <c r="G530" s="30" t="str">
        <f t="shared" si="40"/>
        <v/>
      </c>
      <c r="H530" s="30" t="str">
        <f t="shared" si="41"/>
        <v/>
      </c>
      <c r="I530" s="30" t="str">
        <f t="shared" si="42"/>
        <v/>
      </c>
      <c r="J530" s="30" t="str">
        <f t="shared" si="43"/>
        <v/>
      </c>
      <c r="K530" s="30" t="str">
        <f t="shared" si="44"/>
        <v/>
      </c>
    </row>
    <row r="531" spans="1:11" ht="15" x14ac:dyDescent="0.25">
      <c r="A531" s="1" t="str">
        <f>IF('1.1 Produksi Bersih Padi 2025'!A531="","",'1.1 Produksi Bersih Padi 2025'!A531)</f>
        <v/>
      </c>
      <c r="B531" s="31" t="str">
        <f>IF('1.1 Produksi Bersih Padi 2025'!B531="","",'1.1 Produksi Bersih Padi 2025'!B531)</f>
        <v/>
      </c>
      <c r="C531" s="31" t="str">
        <f>IF('1.1 Produksi Bersih Padi 2025'!C531="","",'1.1 Produksi Bersih Padi 2025'!C531)</f>
        <v/>
      </c>
      <c r="D531" s="1" t="str">
        <f>IF('1.1 Produksi Bersih Padi 2025'!D531="","",'1.1 Produksi Bersih Padi 2025'!D531)</f>
        <v/>
      </c>
      <c r="E531" s="1" t="str">
        <f>IF('1.1 Produksi Bersih Padi 2025'!E531="","",'1.1 Produksi Bersih Padi 2025'!E531)</f>
        <v/>
      </c>
      <c r="F531" s="28" t="str">
        <f>IF(D531="","",VLOOKUP(D531,'[1]0.1 Produksi Pangan &amp; Penduduk'!$D$5:$Y$860,22,0))</f>
        <v/>
      </c>
      <c r="G531" s="30" t="str">
        <f t="shared" si="40"/>
        <v/>
      </c>
      <c r="H531" s="30" t="str">
        <f t="shared" si="41"/>
        <v/>
      </c>
      <c r="I531" s="30" t="str">
        <f t="shared" si="42"/>
        <v/>
      </c>
      <c r="J531" s="30" t="str">
        <f t="shared" si="43"/>
        <v/>
      </c>
      <c r="K531" s="30" t="str">
        <f t="shared" si="44"/>
        <v/>
      </c>
    </row>
    <row r="532" spans="1:11" ht="15" x14ac:dyDescent="0.25">
      <c r="A532" s="1" t="str">
        <f>IF('1.1 Produksi Bersih Padi 2025'!A532="","",'1.1 Produksi Bersih Padi 2025'!A532)</f>
        <v/>
      </c>
      <c r="B532" s="31" t="str">
        <f>IF('1.1 Produksi Bersih Padi 2025'!B532="","",'1.1 Produksi Bersih Padi 2025'!B532)</f>
        <v/>
      </c>
      <c r="C532" s="31" t="str">
        <f>IF('1.1 Produksi Bersih Padi 2025'!C532="","",'1.1 Produksi Bersih Padi 2025'!C532)</f>
        <v/>
      </c>
      <c r="D532" s="1" t="str">
        <f>IF('1.1 Produksi Bersih Padi 2025'!D532="","",'1.1 Produksi Bersih Padi 2025'!D532)</f>
        <v/>
      </c>
      <c r="E532" s="1" t="str">
        <f>IF('1.1 Produksi Bersih Padi 2025'!E532="","",'1.1 Produksi Bersih Padi 2025'!E532)</f>
        <v/>
      </c>
      <c r="F532" s="28" t="str">
        <f>IF(D532="","",VLOOKUP(D532,'[1]0.1 Produksi Pangan &amp; Penduduk'!$D$5:$Y$860,22,0))</f>
        <v/>
      </c>
      <c r="G532" s="30" t="str">
        <f t="shared" si="40"/>
        <v/>
      </c>
      <c r="H532" s="30" t="str">
        <f t="shared" si="41"/>
        <v/>
      </c>
      <c r="I532" s="30" t="str">
        <f t="shared" si="42"/>
        <v/>
      </c>
      <c r="J532" s="30" t="str">
        <f t="shared" si="43"/>
        <v/>
      </c>
      <c r="K532" s="30" t="str">
        <f t="shared" si="44"/>
        <v/>
      </c>
    </row>
    <row r="533" spans="1:11" ht="15" x14ac:dyDescent="0.25">
      <c r="A533" s="1" t="str">
        <f>IF('1.1 Produksi Bersih Padi 2025'!A533="","",'1.1 Produksi Bersih Padi 2025'!A533)</f>
        <v/>
      </c>
      <c r="B533" s="31" t="str">
        <f>IF('1.1 Produksi Bersih Padi 2025'!B533="","",'1.1 Produksi Bersih Padi 2025'!B533)</f>
        <v/>
      </c>
      <c r="C533" s="31" t="str">
        <f>IF('1.1 Produksi Bersih Padi 2025'!C533="","",'1.1 Produksi Bersih Padi 2025'!C533)</f>
        <v/>
      </c>
      <c r="D533" s="1" t="str">
        <f>IF('1.1 Produksi Bersih Padi 2025'!D533="","",'1.1 Produksi Bersih Padi 2025'!D533)</f>
        <v/>
      </c>
      <c r="E533" s="1" t="str">
        <f>IF('1.1 Produksi Bersih Padi 2025'!E533="","",'1.1 Produksi Bersih Padi 2025'!E533)</f>
        <v/>
      </c>
      <c r="F533" s="28" t="str">
        <f>IF(D533="","",VLOOKUP(D533,'[1]0.1 Produksi Pangan &amp; Penduduk'!$D$5:$Y$860,22,0))</f>
        <v/>
      </c>
      <c r="G533" s="30" t="str">
        <f t="shared" si="40"/>
        <v/>
      </c>
      <c r="H533" s="30" t="str">
        <f t="shared" si="41"/>
        <v/>
      </c>
      <c r="I533" s="30" t="str">
        <f t="shared" si="42"/>
        <v/>
      </c>
      <c r="J533" s="30" t="str">
        <f t="shared" si="43"/>
        <v/>
      </c>
      <c r="K533" s="30" t="str">
        <f t="shared" si="44"/>
        <v/>
      </c>
    </row>
    <row r="534" spans="1:11" ht="15" x14ac:dyDescent="0.25">
      <c r="A534" s="1" t="str">
        <f>IF('1.1 Produksi Bersih Padi 2025'!A534="","",'1.1 Produksi Bersih Padi 2025'!A534)</f>
        <v/>
      </c>
      <c r="B534" s="31" t="str">
        <f>IF('1.1 Produksi Bersih Padi 2025'!B534="","",'1.1 Produksi Bersih Padi 2025'!B534)</f>
        <v/>
      </c>
      <c r="C534" s="31" t="str">
        <f>IF('1.1 Produksi Bersih Padi 2025'!C534="","",'1.1 Produksi Bersih Padi 2025'!C534)</f>
        <v/>
      </c>
      <c r="D534" s="1" t="str">
        <f>IF('1.1 Produksi Bersih Padi 2025'!D534="","",'1.1 Produksi Bersih Padi 2025'!D534)</f>
        <v/>
      </c>
      <c r="E534" s="1" t="str">
        <f>IF('1.1 Produksi Bersih Padi 2025'!E534="","",'1.1 Produksi Bersih Padi 2025'!E534)</f>
        <v/>
      </c>
      <c r="F534" s="28" t="str">
        <f>IF(D534="","",VLOOKUP(D534,'[1]0.1 Produksi Pangan &amp; Penduduk'!$D$5:$Y$860,22,0))</f>
        <v/>
      </c>
      <c r="G534" s="30" t="str">
        <f t="shared" si="40"/>
        <v/>
      </c>
      <c r="H534" s="30" t="str">
        <f t="shared" si="41"/>
        <v/>
      </c>
      <c r="I534" s="30" t="str">
        <f t="shared" si="42"/>
        <v/>
      </c>
      <c r="J534" s="30" t="str">
        <f t="shared" si="43"/>
        <v/>
      </c>
      <c r="K534" s="30" t="str">
        <f t="shared" si="44"/>
        <v/>
      </c>
    </row>
    <row r="535" spans="1:11" ht="15" x14ac:dyDescent="0.25">
      <c r="A535" s="1" t="str">
        <f>IF('1.1 Produksi Bersih Padi 2025'!A535="","",'1.1 Produksi Bersih Padi 2025'!A535)</f>
        <v/>
      </c>
      <c r="B535" s="31" t="str">
        <f>IF('1.1 Produksi Bersih Padi 2025'!B535="","",'1.1 Produksi Bersih Padi 2025'!B535)</f>
        <v/>
      </c>
      <c r="C535" s="31" t="str">
        <f>IF('1.1 Produksi Bersih Padi 2025'!C535="","",'1.1 Produksi Bersih Padi 2025'!C535)</f>
        <v/>
      </c>
      <c r="D535" s="1" t="str">
        <f>IF('1.1 Produksi Bersih Padi 2025'!D535="","",'1.1 Produksi Bersih Padi 2025'!D535)</f>
        <v/>
      </c>
      <c r="E535" s="1" t="str">
        <f>IF('1.1 Produksi Bersih Padi 2025'!E535="","",'1.1 Produksi Bersih Padi 2025'!E535)</f>
        <v/>
      </c>
      <c r="F535" s="28" t="str">
        <f>IF(D535="","",VLOOKUP(D535,'[1]0.1 Produksi Pangan &amp; Penduduk'!$D$5:$Y$860,22,0))</f>
        <v/>
      </c>
      <c r="G535" s="30" t="str">
        <f t="shared" si="40"/>
        <v/>
      </c>
      <c r="H535" s="30" t="str">
        <f t="shared" si="41"/>
        <v/>
      </c>
      <c r="I535" s="30" t="str">
        <f t="shared" si="42"/>
        <v/>
      </c>
      <c r="J535" s="30" t="str">
        <f t="shared" si="43"/>
        <v/>
      </c>
      <c r="K535" s="30" t="str">
        <f t="shared" si="44"/>
        <v/>
      </c>
    </row>
    <row r="536" spans="1:11" ht="15" x14ac:dyDescent="0.25">
      <c r="A536" s="1" t="str">
        <f>IF('1.1 Produksi Bersih Padi 2025'!A536="","",'1.1 Produksi Bersih Padi 2025'!A536)</f>
        <v/>
      </c>
      <c r="B536" s="31" t="str">
        <f>IF('1.1 Produksi Bersih Padi 2025'!B536="","",'1.1 Produksi Bersih Padi 2025'!B536)</f>
        <v/>
      </c>
      <c r="C536" s="31" t="str">
        <f>IF('1.1 Produksi Bersih Padi 2025'!C536="","",'1.1 Produksi Bersih Padi 2025'!C536)</f>
        <v/>
      </c>
      <c r="D536" s="1" t="str">
        <f>IF('1.1 Produksi Bersih Padi 2025'!D536="","",'1.1 Produksi Bersih Padi 2025'!D536)</f>
        <v/>
      </c>
      <c r="E536" s="1" t="str">
        <f>IF('1.1 Produksi Bersih Padi 2025'!E536="","",'1.1 Produksi Bersih Padi 2025'!E536)</f>
        <v/>
      </c>
      <c r="F536" s="28" t="str">
        <f>IF(D536="","",VLOOKUP(D536,'[1]0.1 Produksi Pangan &amp; Penduduk'!$D$5:$Y$860,22,0))</f>
        <v/>
      </c>
      <c r="G536" s="30" t="str">
        <f t="shared" si="40"/>
        <v/>
      </c>
      <c r="H536" s="30" t="str">
        <f t="shared" si="41"/>
        <v/>
      </c>
      <c r="I536" s="30" t="str">
        <f t="shared" si="42"/>
        <v/>
      </c>
      <c r="J536" s="30" t="str">
        <f t="shared" si="43"/>
        <v/>
      </c>
      <c r="K536" s="30" t="str">
        <f t="shared" si="44"/>
        <v/>
      </c>
    </row>
    <row r="537" spans="1:11" ht="15" x14ac:dyDescent="0.25">
      <c r="A537" s="1" t="str">
        <f>IF('1.1 Produksi Bersih Padi 2025'!A537="","",'1.1 Produksi Bersih Padi 2025'!A537)</f>
        <v/>
      </c>
      <c r="B537" s="31" t="str">
        <f>IF('1.1 Produksi Bersih Padi 2025'!B537="","",'1.1 Produksi Bersih Padi 2025'!B537)</f>
        <v/>
      </c>
      <c r="C537" s="31" t="str">
        <f>IF('1.1 Produksi Bersih Padi 2025'!C537="","",'1.1 Produksi Bersih Padi 2025'!C537)</f>
        <v/>
      </c>
      <c r="D537" s="1" t="str">
        <f>IF('1.1 Produksi Bersih Padi 2025'!D537="","",'1.1 Produksi Bersih Padi 2025'!D537)</f>
        <v/>
      </c>
      <c r="E537" s="1" t="str">
        <f>IF('1.1 Produksi Bersih Padi 2025'!E537="","",'1.1 Produksi Bersih Padi 2025'!E537)</f>
        <v/>
      </c>
      <c r="F537" s="28" t="str">
        <f>IF(D537="","",VLOOKUP(D537,'[1]0.1 Produksi Pangan &amp; Penduduk'!$D$5:$Y$860,22,0))</f>
        <v/>
      </c>
      <c r="G537" s="30" t="str">
        <f t="shared" si="40"/>
        <v/>
      </c>
      <c r="H537" s="30" t="str">
        <f t="shared" si="41"/>
        <v/>
      </c>
      <c r="I537" s="30" t="str">
        <f t="shared" si="42"/>
        <v/>
      </c>
      <c r="J537" s="30" t="str">
        <f t="shared" si="43"/>
        <v/>
      </c>
      <c r="K537" s="30" t="str">
        <f t="shared" si="44"/>
        <v/>
      </c>
    </row>
    <row r="538" spans="1:11" ht="15" x14ac:dyDescent="0.25">
      <c r="A538" s="1" t="str">
        <f>IF('1.1 Produksi Bersih Padi 2025'!A538="","",'1.1 Produksi Bersih Padi 2025'!A538)</f>
        <v/>
      </c>
      <c r="B538" s="31" t="str">
        <f>IF('1.1 Produksi Bersih Padi 2025'!B538="","",'1.1 Produksi Bersih Padi 2025'!B538)</f>
        <v/>
      </c>
      <c r="C538" s="31" t="str">
        <f>IF('1.1 Produksi Bersih Padi 2025'!C538="","",'1.1 Produksi Bersih Padi 2025'!C538)</f>
        <v/>
      </c>
      <c r="D538" s="1" t="str">
        <f>IF('1.1 Produksi Bersih Padi 2025'!D538="","",'1.1 Produksi Bersih Padi 2025'!D538)</f>
        <v/>
      </c>
      <c r="E538" s="1" t="str">
        <f>IF('1.1 Produksi Bersih Padi 2025'!E538="","",'1.1 Produksi Bersih Padi 2025'!E538)</f>
        <v/>
      </c>
      <c r="F538" s="28" t="str">
        <f>IF(D538="","",VLOOKUP(D538,'[1]0.1 Produksi Pangan &amp; Penduduk'!$D$5:$Y$860,22,0))</f>
        <v/>
      </c>
      <c r="G538" s="30" t="str">
        <f t="shared" si="40"/>
        <v/>
      </c>
      <c r="H538" s="30" t="str">
        <f t="shared" si="41"/>
        <v/>
      </c>
      <c r="I538" s="30" t="str">
        <f t="shared" si="42"/>
        <v/>
      </c>
      <c r="J538" s="30" t="str">
        <f t="shared" si="43"/>
        <v/>
      </c>
      <c r="K538" s="30" t="str">
        <f t="shared" si="44"/>
        <v/>
      </c>
    </row>
    <row r="539" spans="1:11" ht="15" x14ac:dyDescent="0.25">
      <c r="A539" s="1" t="str">
        <f>IF('1.1 Produksi Bersih Padi 2025'!A539="","",'1.1 Produksi Bersih Padi 2025'!A539)</f>
        <v/>
      </c>
      <c r="B539" s="31" t="str">
        <f>IF('1.1 Produksi Bersih Padi 2025'!B539="","",'1.1 Produksi Bersih Padi 2025'!B539)</f>
        <v/>
      </c>
      <c r="C539" s="31" t="str">
        <f>IF('1.1 Produksi Bersih Padi 2025'!C539="","",'1.1 Produksi Bersih Padi 2025'!C539)</f>
        <v/>
      </c>
      <c r="D539" s="1" t="str">
        <f>IF('1.1 Produksi Bersih Padi 2025'!D539="","",'1.1 Produksi Bersih Padi 2025'!D539)</f>
        <v/>
      </c>
      <c r="E539" s="1" t="str">
        <f>IF('1.1 Produksi Bersih Padi 2025'!E539="","",'1.1 Produksi Bersih Padi 2025'!E539)</f>
        <v/>
      </c>
      <c r="F539" s="28" t="str">
        <f>IF(D539="","",VLOOKUP(D539,'[1]0.1 Produksi Pangan &amp; Penduduk'!$D$5:$Y$860,22,0))</f>
        <v/>
      </c>
      <c r="G539" s="30" t="str">
        <f t="shared" si="40"/>
        <v/>
      </c>
      <c r="H539" s="30" t="str">
        <f t="shared" si="41"/>
        <v/>
      </c>
      <c r="I539" s="30" t="str">
        <f t="shared" si="42"/>
        <v/>
      </c>
      <c r="J539" s="30" t="str">
        <f t="shared" si="43"/>
        <v/>
      </c>
      <c r="K539" s="30" t="str">
        <f t="shared" si="44"/>
        <v/>
      </c>
    </row>
    <row r="540" spans="1:11" ht="15" x14ac:dyDescent="0.25">
      <c r="A540" s="1" t="str">
        <f>IF('1.1 Produksi Bersih Padi 2025'!A540="","",'1.1 Produksi Bersih Padi 2025'!A540)</f>
        <v/>
      </c>
      <c r="B540" s="31" t="str">
        <f>IF('1.1 Produksi Bersih Padi 2025'!B540="","",'1.1 Produksi Bersih Padi 2025'!B540)</f>
        <v/>
      </c>
      <c r="C540" s="31" t="str">
        <f>IF('1.1 Produksi Bersih Padi 2025'!C540="","",'1.1 Produksi Bersih Padi 2025'!C540)</f>
        <v/>
      </c>
      <c r="D540" s="1" t="str">
        <f>IF('1.1 Produksi Bersih Padi 2025'!D540="","",'1.1 Produksi Bersih Padi 2025'!D540)</f>
        <v/>
      </c>
      <c r="E540" s="1" t="str">
        <f>IF('1.1 Produksi Bersih Padi 2025'!E540="","",'1.1 Produksi Bersih Padi 2025'!E540)</f>
        <v/>
      </c>
      <c r="F540" s="28" t="str">
        <f>IF(D540="","",VLOOKUP(D540,'[1]0.1 Produksi Pangan &amp; Penduduk'!$D$5:$Y$860,22,0))</f>
        <v/>
      </c>
      <c r="G540" s="30" t="str">
        <f t="shared" si="40"/>
        <v/>
      </c>
      <c r="H540" s="30" t="str">
        <f t="shared" si="41"/>
        <v/>
      </c>
      <c r="I540" s="30" t="str">
        <f t="shared" si="42"/>
        <v/>
      </c>
      <c r="J540" s="30" t="str">
        <f t="shared" si="43"/>
        <v/>
      </c>
      <c r="K540" s="30" t="str">
        <f t="shared" si="44"/>
        <v/>
      </c>
    </row>
    <row r="541" spans="1:11" ht="15" x14ac:dyDescent="0.25">
      <c r="A541" s="1" t="str">
        <f>IF('1.1 Produksi Bersih Padi 2025'!A541="","",'1.1 Produksi Bersih Padi 2025'!A541)</f>
        <v/>
      </c>
      <c r="B541" s="31" t="str">
        <f>IF('1.1 Produksi Bersih Padi 2025'!B541="","",'1.1 Produksi Bersih Padi 2025'!B541)</f>
        <v/>
      </c>
      <c r="C541" s="31" t="str">
        <f>IF('1.1 Produksi Bersih Padi 2025'!C541="","",'1.1 Produksi Bersih Padi 2025'!C541)</f>
        <v/>
      </c>
      <c r="D541" s="1" t="str">
        <f>IF('1.1 Produksi Bersih Padi 2025'!D541="","",'1.1 Produksi Bersih Padi 2025'!D541)</f>
        <v/>
      </c>
      <c r="E541" s="1" t="str">
        <f>IF('1.1 Produksi Bersih Padi 2025'!E541="","",'1.1 Produksi Bersih Padi 2025'!E541)</f>
        <v/>
      </c>
      <c r="F541" s="28" t="str">
        <f>IF(D541="","",VLOOKUP(D541,'[1]0.1 Produksi Pangan &amp; Penduduk'!$D$5:$Y$860,22,0))</f>
        <v/>
      </c>
      <c r="G541" s="30" t="str">
        <f t="shared" si="40"/>
        <v/>
      </c>
      <c r="H541" s="30" t="str">
        <f t="shared" si="41"/>
        <v/>
      </c>
      <c r="I541" s="30" t="str">
        <f t="shared" si="42"/>
        <v/>
      </c>
      <c r="J541" s="30" t="str">
        <f t="shared" si="43"/>
        <v/>
      </c>
      <c r="K541" s="30" t="str">
        <f t="shared" si="44"/>
        <v/>
      </c>
    </row>
    <row r="542" spans="1:11" ht="15" x14ac:dyDescent="0.25">
      <c r="A542" s="1" t="str">
        <f>IF('1.1 Produksi Bersih Padi 2025'!A542="","",'1.1 Produksi Bersih Padi 2025'!A542)</f>
        <v/>
      </c>
      <c r="B542" s="31" t="str">
        <f>IF('1.1 Produksi Bersih Padi 2025'!B542="","",'1.1 Produksi Bersih Padi 2025'!B542)</f>
        <v/>
      </c>
      <c r="C542" s="31" t="str">
        <f>IF('1.1 Produksi Bersih Padi 2025'!C542="","",'1.1 Produksi Bersih Padi 2025'!C542)</f>
        <v/>
      </c>
      <c r="D542" s="1" t="str">
        <f>IF('1.1 Produksi Bersih Padi 2025'!D542="","",'1.1 Produksi Bersih Padi 2025'!D542)</f>
        <v/>
      </c>
      <c r="E542" s="1" t="str">
        <f>IF('1.1 Produksi Bersih Padi 2025'!E542="","",'1.1 Produksi Bersih Padi 2025'!E542)</f>
        <v/>
      </c>
      <c r="F542" s="28" t="str">
        <f>IF(D542="","",VLOOKUP(D542,'[1]0.1 Produksi Pangan &amp; Penduduk'!$D$5:$Y$860,22,0))</f>
        <v/>
      </c>
      <c r="G542" s="30" t="str">
        <f t="shared" si="40"/>
        <v/>
      </c>
      <c r="H542" s="30" t="str">
        <f t="shared" si="41"/>
        <v/>
      </c>
      <c r="I542" s="30" t="str">
        <f t="shared" si="42"/>
        <v/>
      </c>
      <c r="J542" s="30" t="str">
        <f t="shared" si="43"/>
        <v/>
      </c>
      <c r="K542" s="30" t="str">
        <f t="shared" si="44"/>
        <v/>
      </c>
    </row>
    <row r="543" spans="1:11" ht="15" x14ac:dyDescent="0.25">
      <c r="A543" s="1" t="str">
        <f>IF('1.1 Produksi Bersih Padi 2025'!A543="","",'1.1 Produksi Bersih Padi 2025'!A543)</f>
        <v/>
      </c>
      <c r="B543" s="31" t="str">
        <f>IF('1.1 Produksi Bersih Padi 2025'!B543="","",'1.1 Produksi Bersih Padi 2025'!B543)</f>
        <v/>
      </c>
      <c r="C543" s="31" t="str">
        <f>IF('1.1 Produksi Bersih Padi 2025'!C543="","",'1.1 Produksi Bersih Padi 2025'!C543)</f>
        <v/>
      </c>
      <c r="D543" s="1" t="str">
        <f>IF('1.1 Produksi Bersih Padi 2025'!D543="","",'1.1 Produksi Bersih Padi 2025'!D543)</f>
        <v/>
      </c>
      <c r="E543" s="1" t="str">
        <f>IF('1.1 Produksi Bersih Padi 2025'!E543="","",'1.1 Produksi Bersih Padi 2025'!E543)</f>
        <v/>
      </c>
      <c r="F543" s="28" t="str">
        <f>IF(D543="","",VLOOKUP(D543,'[1]0.1 Produksi Pangan &amp; Penduduk'!$D$5:$Y$860,22,0))</f>
        <v/>
      </c>
      <c r="G543" s="30" t="str">
        <f t="shared" si="40"/>
        <v/>
      </c>
      <c r="H543" s="30" t="str">
        <f t="shared" si="41"/>
        <v/>
      </c>
      <c r="I543" s="30" t="str">
        <f t="shared" si="42"/>
        <v/>
      </c>
      <c r="J543" s="30" t="str">
        <f t="shared" si="43"/>
        <v/>
      </c>
      <c r="K543" s="30" t="str">
        <f t="shared" si="44"/>
        <v/>
      </c>
    </row>
    <row r="544" spans="1:11" ht="15" x14ac:dyDescent="0.25">
      <c r="A544" s="1" t="str">
        <f>IF('1.1 Produksi Bersih Padi 2025'!A544="","",'1.1 Produksi Bersih Padi 2025'!A544)</f>
        <v/>
      </c>
      <c r="B544" s="31" t="str">
        <f>IF('1.1 Produksi Bersih Padi 2025'!B544="","",'1.1 Produksi Bersih Padi 2025'!B544)</f>
        <v/>
      </c>
      <c r="C544" s="31" t="str">
        <f>IF('1.1 Produksi Bersih Padi 2025'!C544="","",'1.1 Produksi Bersih Padi 2025'!C544)</f>
        <v/>
      </c>
      <c r="D544" s="1" t="str">
        <f>IF('1.1 Produksi Bersih Padi 2025'!D544="","",'1.1 Produksi Bersih Padi 2025'!D544)</f>
        <v/>
      </c>
      <c r="E544" s="1" t="str">
        <f>IF('1.1 Produksi Bersih Padi 2025'!E544="","",'1.1 Produksi Bersih Padi 2025'!E544)</f>
        <v/>
      </c>
      <c r="F544" s="28" t="str">
        <f>IF(D544="","",VLOOKUP(D544,'[1]0.1 Produksi Pangan &amp; Penduduk'!$D$5:$Y$860,22,0))</f>
        <v/>
      </c>
      <c r="G544" s="30" t="str">
        <f t="shared" si="40"/>
        <v/>
      </c>
      <c r="H544" s="30" t="str">
        <f t="shared" si="41"/>
        <v/>
      </c>
      <c r="I544" s="30" t="str">
        <f t="shared" si="42"/>
        <v/>
      </c>
      <c r="J544" s="30" t="str">
        <f t="shared" si="43"/>
        <v/>
      </c>
      <c r="K544" s="30" t="str">
        <f t="shared" si="44"/>
        <v/>
      </c>
    </row>
    <row r="545" spans="1:11" ht="15" x14ac:dyDescent="0.25">
      <c r="A545" s="1" t="str">
        <f>IF('1.1 Produksi Bersih Padi 2025'!A545="","",'1.1 Produksi Bersih Padi 2025'!A545)</f>
        <v/>
      </c>
      <c r="B545" s="31" t="str">
        <f>IF('1.1 Produksi Bersih Padi 2025'!B545="","",'1.1 Produksi Bersih Padi 2025'!B545)</f>
        <v/>
      </c>
      <c r="C545" s="31" t="str">
        <f>IF('1.1 Produksi Bersih Padi 2025'!C545="","",'1.1 Produksi Bersih Padi 2025'!C545)</f>
        <v/>
      </c>
      <c r="D545" s="1" t="str">
        <f>IF('1.1 Produksi Bersih Padi 2025'!D545="","",'1.1 Produksi Bersih Padi 2025'!D545)</f>
        <v/>
      </c>
      <c r="E545" s="1" t="str">
        <f>IF('1.1 Produksi Bersih Padi 2025'!E545="","",'1.1 Produksi Bersih Padi 2025'!E545)</f>
        <v/>
      </c>
      <c r="F545" s="28" t="str">
        <f>IF(D545="","",VLOOKUP(D545,'[1]0.1 Produksi Pangan &amp; Penduduk'!$D$5:$Y$860,22,0))</f>
        <v/>
      </c>
      <c r="G545" s="30" t="str">
        <f t="shared" si="40"/>
        <v/>
      </c>
      <c r="H545" s="30" t="str">
        <f t="shared" si="41"/>
        <v/>
      </c>
      <c r="I545" s="30" t="str">
        <f t="shared" si="42"/>
        <v/>
      </c>
      <c r="J545" s="30" t="str">
        <f t="shared" si="43"/>
        <v/>
      </c>
      <c r="K545" s="30" t="str">
        <f t="shared" si="44"/>
        <v/>
      </c>
    </row>
    <row r="546" spans="1:11" ht="15" x14ac:dyDescent="0.25">
      <c r="A546" s="1" t="str">
        <f>IF('1.1 Produksi Bersih Padi 2025'!A546="","",'1.1 Produksi Bersih Padi 2025'!A546)</f>
        <v/>
      </c>
      <c r="B546" s="31" t="str">
        <f>IF('1.1 Produksi Bersih Padi 2025'!B546="","",'1.1 Produksi Bersih Padi 2025'!B546)</f>
        <v/>
      </c>
      <c r="C546" s="31" t="str">
        <f>IF('1.1 Produksi Bersih Padi 2025'!C546="","",'1.1 Produksi Bersih Padi 2025'!C546)</f>
        <v/>
      </c>
      <c r="D546" s="1" t="str">
        <f>IF('1.1 Produksi Bersih Padi 2025'!D546="","",'1.1 Produksi Bersih Padi 2025'!D546)</f>
        <v/>
      </c>
      <c r="E546" s="1" t="str">
        <f>IF('1.1 Produksi Bersih Padi 2025'!E546="","",'1.1 Produksi Bersih Padi 2025'!E546)</f>
        <v/>
      </c>
      <c r="F546" s="28" t="str">
        <f>IF(D546="","",VLOOKUP(D546,'[1]0.1 Produksi Pangan &amp; Penduduk'!$D$5:$Y$860,22,0))</f>
        <v/>
      </c>
      <c r="G546" s="30" t="str">
        <f t="shared" si="40"/>
        <v/>
      </c>
      <c r="H546" s="30" t="str">
        <f t="shared" si="41"/>
        <v/>
      </c>
      <c r="I546" s="30" t="str">
        <f t="shared" si="42"/>
        <v/>
      </c>
      <c r="J546" s="30" t="str">
        <f t="shared" si="43"/>
        <v/>
      </c>
      <c r="K546" s="30" t="str">
        <f t="shared" si="44"/>
        <v/>
      </c>
    </row>
    <row r="547" spans="1:11" ht="15" x14ac:dyDescent="0.25">
      <c r="A547" s="1" t="str">
        <f>IF('1.1 Produksi Bersih Padi 2025'!A547="","",'1.1 Produksi Bersih Padi 2025'!A547)</f>
        <v/>
      </c>
      <c r="B547" s="31" t="str">
        <f>IF('1.1 Produksi Bersih Padi 2025'!B547="","",'1.1 Produksi Bersih Padi 2025'!B547)</f>
        <v/>
      </c>
      <c r="C547" s="31" t="str">
        <f>IF('1.1 Produksi Bersih Padi 2025'!C547="","",'1.1 Produksi Bersih Padi 2025'!C547)</f>
        <v/>
      </c>
      <c r="D547" s="1" t="str">
        <f>IF('1.1 Produksi Bersih Padi 2025'!D547="","",'1.1 Produksi Bersih Padi 2025'!D547)</f>
        <v/>
      </c>
      <c r="E547" s="1" t="str">
        <f>IF('1.1 Produksi Bersih Padi 2025'!E547="","",'1.1 Produksi Bersih Padi 2025'!E547)</f>
        <v/>
      </c>
      <c r="F547" s="28" t="str">
        <f>IF(D547="","",VLOOKUP(D547,'[1]0.1 Produksi Pangan &amp; Penduduk'!$D$5:$Y$860,22,0))</f>
        <v/>
      </c>
      <c r="G547" s="30" t="str">
        <f t="shared" si="40"/>
        <v/>
      </c>
      <c r="H547" s="30" t="str">
        <f t="shared" si="41"/>
        <v/>
      </c>
      <c r="I547" s="30" t="str">
        <f t="shared" si="42"/>
        <v/>
      </c>
      <c r="J547" s="30" t="str">
        <f t="shared" si="43"/>
        <v/>
      </c>
      <c r="K547" s="30" t="str">
        <f t="shared" si="44"/>
        <v/>
      </c>
    </row>
    <row r="548" spans="1:11" ht="15" x14ac:dyDescent="0.25">
      <c r="A548" s="1" t="str">
        <f>IF('1.1 Produksi Bersih Padi 2025'!A548="","",'1.1 Produksi Bersih Padi 2025'!A548)</f>
        <v/>
      </c>
      <c r="B548" s="31" t="str">
        <f>IF('1.1 Produksi Bersih Padi 2025'!B548="","",'1.1 Produksi Bersih Padi 2025'!B548)</f>
        <v/>
      </c>
      <c r="C548" s="31" t="str">
        <f>IF('1.1 Produksi Bersih Padi 2025'!C548="","",'1.1 Produksi Bersih Padi 2025'!C548)</f>
        <v/>
      </c>
      <c r="D548" s="1" t="str">
        <f>IF('1.1 Produksi Bersih Padi 2025'!D548="","",'1.1 Produksi Bersih Padi 2025'!D548)</f>
        <v/>
      </c>
      <c r="E548" s="1" t="str">
        <f>IF('1.1 Produksi Bersih Padi 2025'!E548="","",'1.1 Produksi Bersih Padi 2025'!E548)</f>
        <v/>
      </c>
      <c r="F548" s="28" t="str">
        <f>IF(D548="","",VLOOKUP(D548,'[1]0.1 Produksi Pangan &amp; Penduduk'!$D$5:$Y$860,22,0))</f>
        <v/>
      </c>
      <c r="G548" s="30" t="str">
        <f t="shared" si="40"/>
        <v/>
      </c>
      <c r="H548" s="30" t="str">
        <f t="shared" si="41"/>
        <v/>
      </c>
      <c r="I548" s="30" t="str">
        <f t="shared" si="42"/>
        <v/>
      </c>
      <c r="J548" s="30" t="str">
        <f t="shared" si="43"/>
        <v/>
      </c>
      <c r="K548" s="30" t="str">
        <f t="shared" si="44"/>
        <v/>
      </c>
    </row>
    <row r="549" spans="1:11" ht="15" x14ac:dyDescent="0.25">
      <c r="A549" s="1" t="str">
        <f>IF('1.1 Produksi Bersih Padi 2025'!A549="","",'1.1 Produksi Bersih Padi 2025'!A549)</f>
        <v/>
      </c>
      <c r="B549" s="31" t="str">
        <f>IF('1.1 Produksi Bersih Padi 2025'!B549="","",'1.1 Produksi Bersih Padi 2025'!B549)</f>
        <v/>
      </c>
      <c r="C549" s="31" t="str">
        <f>IF('1.1 Produksi Bersih Padi 2025'!C549="","",'1.1 Produksi Bersih Padi 2025'!C549)</f>
        <v/>
      </c>
      <c r="D549" s="1" t="str">
        <f>IF('1.1 Produksi Bersih Padi 2025'!D549="","",'1.1 Produksi Bersih Padi 2025'!D549)</f>
        <v/>
      </c>
      <c r="E549" s="1" t="str">
        <f>IF('1.1 Produksi Bersih Padi 2025'!E549="","",'1.1 Produksi Bersih Padi 2025'!E549)</f>
        <v/>
      </c>
      <c r="F549" s="28" t="str">
        <f>IF(D549="","",VLOOKUP(D549,'[1]0.1 Produksi Pangan &amp; Penduduk'!$D$5:$Y$860,22,0))</f>
        <v/>
      </c>
      <c r="G549" s="30" t="str">
        <f t="shared" si="40"/>
        <v/>
      </c>
      <c r="H549" s="30" t="str">
        <f t="shared" si="41"/>
        <v/>
      </c>
      <c r="I549" s="30" t="str">
        <f t="shared" si="42"/>
        <v/>
      </c>
      <c r="J549" s="30" t="str">
        <f t="shared" si="43"/>
        <v/>
      </c>
      <c r="K549" s="30" t="str">
        <f t="shared" si="44"/>
        <v/>
      </c>
    </row>
    <row r="550" spans="1:11" ht="15" x14ac:dyDescent="0.25">
      <c r="A550" s="1" t="str">
        <f>IF('1.1 Produksi Bersih Padi 2025'!A550="","",'1.1 Produksi Bersih Padi 2025'!A550)</f>
        <v/>
      </c>
      <c r="B550" s="31" t="str">
        <f>IF('1.1 Produksi Bersih Padi 2025'!B550="","",'1.1 Produksi Bersih Padi 2025'!B550)</f>
        <v/>
      </c>
      <c r="C550" s="31" t="str">
        <f>IF('1.1 Produksi Bersih Padi 2025'!C550="","",'1.1 Produksi Bersih Padi 2025'!C550)</f>
        <v/>
      </c>
      <c r="D550" s="1" t="str">
        <f>IF('1.1 Produksi Bersih Padi 2025'!D550="","",'1.1 Produksi Bersih Padi 2025'!D550)</f>
        <v/>
      </c>
      <c r="E550" s="1" t="str">
        <f>IF('1.1 Produksi Bersih Padi 2025'!E550="","",'1.1 Produksi Bersih Padi 2025'!E550)</f>
        <v/>
      </c>
      <c r="F550" s="28" t="str">
        <f>IF(D550="","",VLOOKUP(D550,'[1]0.1 Produksi Pangan &amp; Penduduk'!$D$5:$Y$860,22,0))</f>
        <v/>
      </c>
      <c r="G550" s="30" t="str">
        <f t="shared" si="40"/>
        <v/>
      </c>
      <c r="H550" s="30" t="str">
        <f t="shared" si="41"/>
        <v/>
      </c>
      <c r="I550" s="30" t="str">
        <f t="shared" si="42"/>
        <v/>
      </c>
      <c r="J550" s="30" t="str">
        <f t="shared" si="43"/>
        <v/>
      </c>
      <c r="K550" s="30" t="str">
        <f t="shared" si="44"/>
        <v/>
      </c>
    </row>
    <row r="551" spans="1:11" ht="15" x14ac:dyDescent="0.25">
      <c r="A551" s="1" t="str">
        <f>IF('1.1 Produksi Bersih Padi 2025'!A551="","",'1.1 Produksi Bersih Padi 2025'!A551)</f>
        <v/>
      </c>
      <c r="B551" s="31" t="str">
        <f>IF('1.1 Produksi Bersih Padi 2025'!B551="","",'1.1 Produksi Bersih Padi 2025'!B551)</f>
        <v/>
      </c>
      <c r="C551" s="31" t="str">
        <f>IF('1.1 Produksi Bersih Padi 2025'!C551="","",'1.1 Produksi Bersih Padi 2025'!C551)</f>
        <v/>
      </c>
      <c r="D551" s="1" t="str">
        <f>IF('1.1 Produksi Bersih Padi 2025'!D551="","",'1.1 Produksi Bersih Padi 2025'!D551)</f>
        <v/>
      </c>
      <c r="E551" s="1" t="str">
        <f>IF('1.1 Produksi Bersih Padi 2025'!E551="","",'1.1 Produksi Bersih Padi 2025'!E551)</f>
        <v/>
      </c>
      <c r="F551" s="28" t="str">
        <f>IF(D551="","",VLOOKUP(D551,'[1]0.1 Produksi Pangan &amp; Penduduk'!$D$5:$Y$860,22,0))</f>
        <v/>
      </c>
      <c r="G551" s="30" t="str">
        <f t="shared" si="40"/>
        <v/>
      </c>
      <c r="H551" s="30" t="str">
        <f t="shared" si="41"/>
        <v/>
      </c>
      <c r="I551" s="30" t="str">
        <f t="shared" si="42"/>
        <v/>
      </c>
      <c r="J551" s="30" t="str">
        <f t="shared" si="43"/>
        <v/>
      </c>
      <c r="K551" s="30" t="str">
        <f t="shared" si="44"/>
        <v/>
      </c>
    </row>
    <row r="552" spans="1:11" ht="15" x14ac:dyDescent="0.25">
      <c r="A552" s="1" t="str">
        <f>IF('1.1 Produksi Bersih Padi 2025'!A552="","",'1.1 Produksi Bersih Padi 2025'!A552)</f>
        <v/>
      </c>
      <c r="B552" s="31" t="str">
        <f>IF('1.1 Produksi Bersih Padi 2025'!B552="","",'1.1 Produksi Bersih Padi 2025'!B552)</f>
        <v/>
      </c>
      <c r="C552" s="31" t="str">
        <f>IF('1.1 Produksi Bersih Padi 2025'!C552="","",'1.1 Produksi Bersih Padi 2025'!C552)</f>
        <v/>
      </c>
      <c r="D552" s="1" t="str">
        <f>IF('1.1 Produksi Bersih Padi 2025'!D552="","",'1.1 Produksi Bersih Padi 2025'!D552)</f>
        <v/>
      </c>
      <c r="E552" s="1" t="str">
        <f>IF('1.1 Produksi Bersih Padi 2025'!E552="","",'1.1 Produksi Bersih Padi 2025'!E552)</f>
        <v/>
      </c>
      <c r="F552" s="28" t="str">
        <f>IF(D552="","",VLOOKUP(D552,'[1]0.1 Produksi Pangan &amp; Penduduk'!$D$5:$Y$860,22,0))</f>
        <v/>
      </c>
      <c r="G552" s="30" t="str">
        <f t="shared" si="40"/>
        <v/>
      </c>
      <c r="H552" s="30" t="str">
        <f t="shared" si="41"/>
        <v/>
      </c>
      <c r="I552" s="30" t="str">
        <f t="shared" si="42"/>
        <v/>
      </c>
      <c r="J552" s="30" t="str">
        <f t="shared" si="43"/>
        <v/>
      </c>
      <c r="K552" s="30" t="str">
        <f t="shared" si="44"/>
        <v/>
      </c>
    </row>
    <row r="553" spans="1:11" ht="15" x14ac:dyDescent="0.25">
      <c r="A553" s="1" t="str">
        <f>IF('1.1 Produksi Bersih Padi 2025'!A553="","",'1.1 Produksi Bersih Padi 2025'!A553)</f>
        <v/>
      </c>
      <c r="B553" s="31" t="str">
        <f>IF('1.1 Produksi Bersih Padi 2025'!B553="","",'1.1 Produksi Bersih Padi 2025'!B553)</f>
        <v/>
      </c>
      <c r="C553" s="31" t="str">
        <f>IF('1.1 Produksi Bersih Padi 2025'!C553="","",'1.1 Produksi Bersih Padi 2025'!C553)</f>
        <v/>
      </c>
      <c r="D553" s="1" t="str">
        <f>IF('1.1 Produksi Bersih Padi 2025'!D553="","",'1.1 Produksi Bersih Padi 2025'!D553)</f>
        <v/>
      </c>
      <c r="E553" s="1" t="str">
        <f>IF('1.1 Produksi Bersih Padi 2025'!E553="","",'1.1 Produksi Bersih Padi 2025'!E553)</f>
        <v/>
      </c>
      <c r="F553" s="28" t="str">
        <f>IF(D553="","",VLOOKUP(D553,'[1]0.1 Produksi Pangan &amp; Penduduk'!$D$5:$Y$860,22,0))</f>
        <v/>
      </c>
      <c r="G553" s="30" t="str">
        <f t="shared" si="40"/>
        <v/>
      </c>
      <c r="H553" s="30" t="str">
        <f t="shared" si="41"/>
        <v/>
      </c>
      <c r="I553" s="30" t="str">
        <f t="shared" si="42"/>
        <v/>
      </c>
      <c r="J553" s="30" t="str">
        <f t="shared" si="43"/>
        <v/>
      </c>
      <c r="K553" s="30" t="str">
        <f t="shared" si="44"/>
        <v/>
      </c>
    </row>
    <row r="554" spans="1:11" ht="15" x14ac:dyDescent="0.25">
      <c r="A554" s="1" t="str">
        <f>IF('1.1 Produksi Bersih Padi 2025'!A554="","",'1.1 Produksi Bersih Padi 2025'!A554)</f>
        <v/>
      </c>
      <c r="B554" s="31" t="str">
        <f>IF('1.1 Produksi Bersih Padi 2025'!B554="","",'1.1 Produksi Bersih Padi 2025'!B554)</f>
        <v/>
      </c>
      <c r="C554" s="31" t="str">
        <f>IF('1.1 Produksi Bersih Padi 2025'!C554="","",'1.1 Produksi Bersih Padi 2025'!C554)</f>
        <v/>
      </c>
      <c r="D554" s="1" t="str">
        <f>IF('1.1 Produksi Bersih Padi 2025'!D554="","",'1.1 Produksi Bersih Padi 2025'!D554)</f>
        <v/>
      </c>
      <c r="E554" s="1" t="str">
        <f>IF('1.1 Produksi Bersih Padi 2025'!E554="","",'1.1 Produksi Bersih Padi 2025'!E554)</f>
        <v/>
      </c>
      <c r="F554" s="28" t="str">
        <f>IF(D554="","",VLOOKUP(D554,'[1]0.1 Produksi Pangan &amp; Penduduk'!$D$5:$Y$860,22,0))</f>
        <v/>
      </c>
      <c r="G554" s="30" t="str">
        <f t="shared" si="40"/>
        <v/>
      </c>
      <c r="H554" s="30" t="str">
        <f t="shared" si="41"/>
        <v/>
      </c>
      <c r="I554" s="30" t="str">
        <f t="shared" si="42"/>
        <v/>
      </c>
      <c r="J554" s="30" t="str">
        <f t="shared" si="43"/>
        <v/>
      </c>
      <c r="K554" s="30" t="str">
        <f t="shared" si="44"/>
        <v/>
      </c>
    </row>
    <row r="555" spans="1:11" ht="15" x14ac:dyDescent="0.25">
      <c r="A555" s="1" t="str">
        <f>IF('1.1 Produksi Bersih Padi 2025'!A555="","",'1.1 Produksi Bersih Padi 2025'!A555)</f>
        <v/>
      </c>
      <c r="B555" s="31" t="str">
        <f>IF('1.1 Produksi Bersih Padi 2025'!B555="","",'1.1 Produksi Bersih Padi 2025'!B555)</f>
        <v/>
      </c>
      <c r="C555" s="31" t="str">
        <f>IF('1.1 Produksi Bersih Padi 2025'!C555="","",'1.1 Produksi Bersih Padi 2025'!C555)</f>
        <v/>
      </c>
      <c r="D555" s="1" t="str">
        <f>IF('1.1 Produksi Bersih Padi 2025'!D555="","",'1.1 Produksi Bersih Padi 2025'!D555)</f>
        <v/>
      </c>
      <c r="E555" s="1" t="str">
        <f>IF('1.1 Produksi Bersih Padi 2025'!E555="","",'1.1 Produksi Bersih Padi 2025'!E555)</f>
        <v/>
      </c>
      <c r="F555" s="28" t="str">
        <f>IF(D555="","",VLOOKUP(D555,'[1]0.1 Produksi Pangan &amp; Penduduk'!$D$5:$Y$860,22,0))</f>
        <v/>
      </c>
      <c r="G555" s="30" t="str">
        <f t="shared" si="40"/>
        <v/>
      </c>
      <c r="H555" s="30" t="str">
        <f t="shared" si="41"/>
        <v/>
      </c>
      <c r="I555" s="30" t="str">
        <f t="shared" si="42"/>
        <v/>
      </c>
      <c r="J555" s="30" t="str">
        <f t="shared" si="43"/>
        <v/>
      </c>
      <c r="K555" s="30" t="str">
        <f t="shared" si="44"/>
        <v/>
      </c>
    </row>
    <row r="556" spans="1:11" ht="15" x14ac:dyDescent="0.25">
      <c r="A556" s="1" t="str">
        <f>IF('1.1 Produksi Bersih Padi 2025'!A556="","",'1.1 Produksi Bersih Padi 2025'!A556)</f>
        <v/>
      </c>
      <c r="B556" s="31" t="str">
        <f>IF('1.1 Produksi Bersih Padi 2025'!B556="","",'1.1 Produksi Bersih Padi 2025'!B556)</f>
        <v/>
      </c>
      <c r="C556" s="31" t="str">
        <f>IF('1.1 Produksi Bersih Padi 2025'!C556="","",'1.1 Produksi Bersih Padi 2025'!C556)</f>
        <v/>
      </c>
      <c r="D556" s="1" t="str">
        <f>IF('1.1 Produksi Bersih Padi 2025'!D556="","",'1.1 Produksi Bersih Padi 2025'!D556)</f>
        <v/>
      </c>
      <c r="E556" s="1" t="str">
        <f>IF('1.1 Produksi Bersih Padi 2025'!E556="","",'1.1 Produksi Bersih Padi 2025'!E556)</f>
        <v/>
      </c>
      <c r="F556" s="28" t="str">
        <f>IF(D556="","",VLOOKUP(D556,'[1]0.1 Produksi Pangan &amp; Penduduk'!$D$5:$Y$860,22,0))</f>
        <v/>
      </c>
      <c r="G556" s="30" t="str">
        <f t="shared" si="40"/>
        <v/>
      </c>
      <c r="H556" s="30" t="str">
        <f t="shared" si="41"/>
        <v/>
      </c>
      <c r="I556" s="30" t="str">
        <f t="shared" si="42"/>
        <v/>
      </c>
      <c r="J556" s="30" t="str">
        <f t="shared" si="43"/>
        <v/>
      </c>
      <c r="K556" s="30" t="str">
        <f t="shared" si="44"/>
        <v/>
      </c>
    </row>
    <row r="557" spans="1:11" ht="15" x14ac:dyDescent="0.25">
      <c r="A557" s="1" t="str">
        <f>IF('1.1 Produksi Bersih Padi 2025'!A557="","",'1.1 Produksi Bersih Padi 2025'!A557)</f>
        <v/>
      </c>
      <c r="B557" s="31" t="str">
        <f>IF('1.1 Produksi Bersih Padi 2025'!B557="","",'1.1 Produksi Bersih Padi 2025'!B557)</f>
        <v/>
      </c>
      <c r="C557" s="31" t="str">
        <f>IF('1.1 Produksi Bersih Padi 2025'!C557="","",'1.1 Produksi Bersih Padi 2025'!C557)</f>
        <v/>
      </c>
      <c r="D557" s="1" t="str">
        <f>IF('1.1 Produksi Bersih Padi 2025'!D557="","",'1.1 Produksi Bersih Padi 2025'!D557)</f>
        <v/>
      </c>
      <c r="E557" s="1" t="str">
        <f>IF('1.1 Produksi Bersih Padi 2025'!E557="","",'1.1 Produksi Bersih Padi 2025'!E557)</f>
        <v/>
      </c>
      <c r="F557" s="28" t="str">
        <f>IF(D557="","",VLOOKUP(D557,'[1]0.1 Produksi Pangan &amp; Penduduk'!$D$5:$Y$860,22,0))</f>
        <v/>
      </c>
      <c r="G557" s="30" t="str">
        <f t="shared" si="40"/>
        <v/>
      </c>
      <c r="H557" s="30" t="str">
        <f t="shared" si="41"/>
        <v/>
      </c>
      <c r="I557" s="30" t="str">
        <f t="shared" si="42"/>
        <v/>
      </c>
      <c r="J557" s="30" t="str">
        <f t="shared" si="43"/>
        <v/>
      </c>
      <c r="K557" s="30" t="str">
        <f t="shared" si="44"/>
        <v/>
      </c>
    </row>
    <row r="558" spans="1:11" ht="15" x14ac:dyDescent="0.25">
      <c r="A558" s="1" t="str">
        <f>IF('1.1 Produksi Bersih Padi 2025'!A558="","",'1.1 Produksi Bersih Padi 2025'!A558)</f>
        <v/>
      </c>
      <c r="B558" s="31" t="str">
        <f>IF('1.1 Produksi Bersih Padi 2025'!B558="","",'1.1 Produksi Bersih Padi 2025'!B558)</f>
        <v/>
      </c>
      <c r="C558" s="31" t="str">
        <f>IF('1.1 Produksi Bersih Padi 2025'!C558="","",'1.1 Produksi Bersih Padi 2025'!C558)</f>
        <v/>
      </c>
      <c r="D558" s="1" t="str">
        <f>IF('1.1 Produksi Bersih Padi 2025'!D558="","",'1.1 Produksi Bersih Padi 2025'!D558)</f>
        <v/>
      </c>
      <c r="E558" s="1" t="str">
        <f>IF('1.1 Produksi Bersih Padi 2025'!E558="","",'1.1 Produksi Bersih Padi 2025'!E558)</f>
        <v/>
      </c>
      <c r="F558" s="28" t="str">
        <f>IF(D558="","",VLOOKUP(D558,'[1]0.1 Produksi Pangan &amp; Penduduk'!$D$5:$Y$860,22,0))</f>
        <v/>
      </c>
      <c r="G558" s="30" t="str">
        <f t="shared" si="40"/>
        <v/>
      </c>
      <c r="H558" s="30" t="str">
        <f t="shared" si="41"/>
        <v/>
      </c>
      <c r="I558" s="30" t="str">
        <f t="shared" si="42"/>
        <v/>
      </c>
      <c r="J558" s="30" t="str">
        <f t="shared" si="43"/>
        <v/>
      </c>
      <c r="K558" s="30" t="str">
        <f t="shared" si="44"/>
        <v/>
      </c>
    </row>
    <row r="559" spans="1:11" ht="15" x14ac:dyDescent="0.25">
      <c r="A559" s="1" t="str">
        <f>IF('1.1 Produksi Bersih Padi 2025'!A559="","",'1.1 Produksi Bersih Padi 2025'!A559)</f>
        <v/>
      </c>
      <c r="B559" s="31" t="str">
        <f>IF('1.1 Produksi Bersih Padi 2025'!B559="","",'1.1 Produksi Bersih Padi 2025'!B559)</f>
        <v/>
      </c>
      <c r="C559" s="31" t="str">
        <f>IF('1.1 Produksi Bersih Padi 2025'!C559="","",'1.1 Produksi Bersih Padi 2025'!C559)</f>
        <v/>
      </c>
      <c r="D559" s="1" t="str">
        <f>IF('1.1 Produksi Bersih Padi 2025'!D559="","",'1.1 Produksi Bersih Padi 2025'!D559)</f>
        <v/>
      </c>
      <c r="E559" s="1" t="str">
        <f>IF('1.1 Produksi Bersih Padi 2025'!E559="","",'1.1 Produksi Bersih Padi 2025'!E559)</f>
        <v/>
      </c>
      <c r="F559" s="28" t="str">
        <f>IF(D559="","",VLOOKUP(D559,'[1]0.1 Produksi Pangan &amp; Penduduk'!$D$5:$Y$860,22,0))</f>
        <v/>
      </c>
      <c r="G559" s="30" t="str">
        <f t="shared" si="40"/>
        <v/>
      </c>
      <c r="H559" s="30" t="str">
        <f t="shared" si="41"/>
        <v/>
      </c>
      <c r="I559" s="30" t="str">
        <f t="shared" si="42"/>
        <v/>
      </c>
      <c r="J559" s="30" t="str">
        <f t="shared" si="43"/>
        <v/>
      </c>
      <c r="K559" s="30" t="str">
        <f t="shared" si="44"/>
        <v/>
      </c>
    </row>
    <row r="560" spans="1:11" ht="15" x14ac:dyDescent="0.25">
      <c r="A560" s="1" t="str">
        <f>IF('1.1 Produksi Bersih Padi 2025'!A560="","",'1.1 Produksi Bersih Padi 2025'!A560)</f>
        <v/>
      </c>
      <c r="B560" s="31" t="str">
        <f>IF('1.1 Produksi Bersih Padi 2025'!B560="","",'1.1 Produksi Bersih Padi 2025'!B560)</f>
        <v/>
      </c>
      <c r="C560" s="31" t="str">
        <f>IF('1.1 Produksi Bersih Padi 2025'!C560="","",'1.1 Produksi Bersih Padi 2025'!C560)</f>
        <v/>
      </c>
      <c r="D560" s="1" t="str">
        <f>IF('1.1 Produksi Bersih Padi 2025'!D560="","",'1.1 Produksi Bersih Padi 2025'!D560)</f>
        <v/>
      </c>
      <c r="E560" s="1" t="str">
        <f>IF('1.1 Produksi Bersih Padi 2025'!E560="","",'1.1 Produksi Bersih Padi 2025'!E560)</f>
        <v/>
      </c>
      <c r="F560" s="28" t="str">
        <f>IF(D560="","",VLOOKUP(D560,'[1]0.1 Produksi Pangan &amp; Penduduk'!$D$5:$Y$860,22,0))</f>
        <v/>
      </c>
      <c r="G560" s="30" t="str">
        <f t="shared" si="40"/>
        <v/>
      </c>
      <c r="H560" s="30" t="str">
        <f t="shared" si="41"/>
        <v/>
      </c>
      <c r="I560" s="30" t="str">
        <f t="shared" si="42"/>
        <v/>
      </c>
      <c r="J560" s="30" t="str">
        <f t="shared" si="43"/>
        <v/>
      </c>
      <c r="K560" s="30" t="str">
        <f t="shared" si="44"/>
        <v/>
      </c>
    </row>
    <row r="561" spans="1:11" ht="15" x14ac:dyDescent="0.25">
      <c r="A561" s="1" t="str">
        <f>IF('1.1 Produksi Bersih Padi 2025'!A561="","",'1.1 Produksi Bersih Padi 2025'!A561)</f>
        <v/>
      </c>
      <c r="B561" s="31" t="str">
        <f>IF('1.1 Produksi Bersih Padi 2025'!B561="","",'1.1 Produksi Bersih Padi 2025'!B561)</f>
        <v/>
      </c>
      <c r="C561" s="31" t="str">
        <f>IF('1.1 Produksi Bersih Padi 2025'!C561="","",'1.1 Produksi Bersih Padi 2025'!C561)</f>
        <v/>
      </c>
      <c r="D561" s="1" t="str">
        <f>IF('1.1 Produksi Bersih Padi 2025'!D561="","",'1.1 Produksi Bersih Padi 2025'!D561)</f>
        <v/>
      </c>
      <c r="E561" s="1" t="str">
        <f>IF('1.1 Produksi Bersih Padi 2025'!E561="","",'1.1 Produksi Bersih Padi 2025'!E561)</f>
        <v/>
      </c>
      <c r="F561" s="28" t="str">
        <f>IF(D561="","",VLOOKUP(D561,'[1]0.1 Produksi Pangan &amp; Penduduk'!$D$5:$Y$860,22,0))</f>
        <v/>
      </c>
      <c r="G561" s="30" t="str">
        <f t="shared" si="40"/>
        <v/>
      </c>
      <c r="H561" s="30" t="str">
        <f t="shared" si="41"/>
        <v/>
      </c>
      <c r="I561" s="30" t="str">
        <f t="shared" si="42"/>
        <v/>
      </c>
      <c r="J561" s="30" t="str">
        <f t="shared" si="43"/>
        <v/>
      </c>
      <c r="K561" s="30" t="str">
        <f t="shared" si="44"/>
        <v/>
      </c>
    </row>
    <row r="562" spans="1:11" ht="15" x14ac:dyDescent="0.25">
      <c r="A562" s="1" t="str">
        <f>IF('1.1 Produksi Bersih Padi 2025'!A562="","",'1.1 Produksi Bersih Padi 2025'!A562)</f>
        <v/>
      </c>
      <c r="B562" s="31" t="str">
        <f>IF('1.1 Produksi Bersih Padi 2025'!B562="","",'1.1 Produksi Bersih Padi 2025'!B562)</f>
        <v/>
      </c>
      <c r="C562" s="31" t="str">
        <f>IF('1.1 Produksi Bersih Padi 2025'!C562="","",'1.1 Produksi Bersih Padi 2025'!C562)</f>
        <v/>
      </c>
      <c r="D562" s="1" t="str">
        <f>IF('1.1 Produksi Bersih Padi 2025'!D562="","",'1.1 Produksi Bersih Padi 2025'!D562)</f>
        <v/>
      </c>
      <c r="E562" s="1" t="str">
        <f>IF('1.1 Produksi Bersih Padi 2025'!E562="","",'1.1 Produksi Bersih Padi 2025'!E562)</f>
        <v/>
      </c>
      <c r="F562" s="28" t="str">
        <f>IF(D562="","",VLOOKUP(D562,'[1]0.1 Produksi Pangan &amp; Penduduk'!$D$5:$Y$860,22,0))</f>
        <v/>
      </c>
      <c r="G562" s="30" t="str">
        <f t="shared" si="40"/>
        <v/>
      </c>
      <c r="H562" s="30" t="str">
        <f t="shared" si="41"/>
        <v/>
      </c>
      <c r="I562" s="30" t="str">
        <f t="shared" si="42"/>
        <v/>
      </c>
      <c r="J562" s="30" t="str">
        <f t="shared" si="43"/>
        <v/>
      </c>
      <c r="K562" s="30" t="str">
        <f t="shared" si="44"/>
        <v/>
      </c>
    </row>
    <row r="563" spans="1:11" ht="15" x14ac:dyDescent="0.25">
      <c r="A563" s="1" t="str">
        <f>IF('1.1 Produksi Bersih Padi 2025'!A563="","",'1.1 Produksi Bersih Padi 2025'!A563)</f>
        <v/>
      </c>
      <c r="B563" s="31" t="str">
        <f>IF('1.1 Produksi Bersih Padi 2025'!B563="","",'1.1 Produksi Bersih Padi 2025'!B563)</f>
        <v/>
      </c>
      <c r="C563" s="31" t="str">
        <f>IF('1.1 Produksi Bersih Padi 2025'!C563="","",'1.1 Produksi Bersih Padi 2025'!C563)</f>
        <v/>
      </c>
      <c r="D563" s="1" t="str">
        <f>IF('1.1 Produksi Bersih Padi 2025'!D563="","",'1.1 Produksi Bersih Padi 2025'!D563)</f>
        <v/>
      </c>
      <c r="E563" s="1" t="str">
        <f>IF('1.1 Produksi Bersih Padi 2025'!E563="","",'1.1 Produksi Bersih Padi 2025'!E563)</f>
        <v/>
      </c>
      <c r="F563" s="28" t="str">
        <f>IF(D563="","",VLOOKUP(D563,'[1]0.1 Produksi Pangan &amp; Penduduk'!$D$5:$Y$860,22,0))</f>
        <v/>
      </c>
      <c r="G563" s="30" t="str">
        <f t="shared" si="40"/>
        <v/>
      </c>
      <c r="H563" s="30" t="str">
        <f t="shared" si="41"/>
        <v/>
      </c>
      <c r="I563" s="30" t="str">
        <f t="shared" si="42"/>
        <v/>
      </c>
      <c r="J563" s="30" t="str">
        <f t="shared" si="43"/>
        <v/>
      </c>
      <c r="K563" s="30" t="str">
        <f t="shared" si="44"/>
        <v/>
      </c>
    </row>
    <row r="564" spans="1:11" ht="15" x14ac:dyDescent="0.25">
      <c r="A564" s="1" t="str">
        <f>IF('1.1 Produksi Bersih Padi 2025'!A564="","",'1.1 Produksi Bersih Padi 2025'!A564)</f>
        <v/>
      </c>
      <c r="B564" s="31" t="str">
        <f>IF('1.1 Produksi Bersih Padi 2025'!B564="","",'1.1 Produksi Bersih Padi 2025'!B564)</f>
        <v/>
      </c>
      <c r="C564" s="31" t="str">
        <f>IF('1.1 Produksi Bersih Padi 2025'!C564="","",'1.1 Produksi Bersih Padi 2025'!C564)</f>
        <v/>
      </c>
      <c r="D564" s="1" t="str">
        <f>IF('1.1 Produksi Bersih Padi 2025'!D564="","",'1.1 Produksi Bersih Padi 2025'!D564)</f>
        <v/>
      </c>
      <c r="E564" s="1" t="str">
        <f>IF('1.1 Produksi Bersih Padi 2025'!E564="","",'1.1 Produksi Bersih Padi 2025'!E564)</f>
        <v/>
      </c>
      <c r="F564" s="28" t="str">
        <f>IF(D564="","",VLOOKUP(D564,'[1]0.1 Produksi Pangan &amp; Penduduk'!$D$5:$Y$860,22,0))</f>
        <v/>
      </c>
      <c r="G564" s="30" t="str">
        <f t="shared" si="40"/>
        <v/>
      </c>
      <c r="H564" s="30" t="str">
        <f t="shared" si="41"/>
        <v/>
      </c>
      <c r="I564" s="30" t="str">
        <f t="shared" si="42"/>
        <v/>
      </c>
      <c r="J564" s="30" t="str">
        <f t="shared" si="43"/>
        <v/>
      </c>
      <c r="K564" s="30" t="str">
        <f t="shared" si="44"/>
        <v/>
      </c>
    </row>
    <row r="565" spans="1:11" ht="15" x14ac:dyDescent="0.25">
      <c r="A565" s="1" t="str">
        <f>IF('1.1 Produksi Bersih Padi 2025'!A565="","",'1.1 Produksi Bersih Padi 2025'!A565)</f>
        <v/>
      </c>
      <c r="B565" s="31" t="str">
        <f>IF('1.1 Produksi Bersih Padi 2025'!B565="","",'1.1 Produksi Bersih Padi 2025'!B565)</f>
        <v/>
      </c>
      <c r="C565" s="31" t="str">
        <f>IF('1.1 Produksi Bersih Padi 2025'!C565="","",'1.1 Produksi Bersih Padi 2025'!C565)</f>
        <v/>
      </c>
      <c r="D565" s="1" t="str">
        <f>IF('1.1 Produksi Bersih Padi 2025'!D565="","",'1.1 Produksi Bersih Padi 2025'!D565)</f>
        <v/>
      </c>
      <c r="E565" s="1" t="str">
        <f>IF('1.1 Produksi Bersih Padi 2025'!E565="","",'1.1 Produksi Bersih Padi 2025'!E565)</f>
        <v/>
      </c>
      <c r="F565" s="28" t="str">
        <f>IF(D565="","",VLOOKUP(D565,'[1]0.1 Produksi Pangan &amp; Penduduk'!$D$5:$Y$860,22,0))</f>
        <v/>
      </c>
      <c r="G565" s="30" t="str">
        <f t="shared" si="40"/>
        <v/>
      </c>
      <c r="H565" s="30" t="str">
        <f t="shared" si="41"/>
        <v/>
      </c>
      <c r="I565" s="30" t="str">
        <f t="shared" si="42"/>
        <v/>
      </c>
      <c r="J565" s="30" t="str">
        <f t="shared" si="43"/>
        <v/>
      </c>
      <c r="K565" s="30" t="str">
        <f t="shared" si="44"/>
        <v/>
      </c>
    </row>
    <row r="566" spans="1:11" ht="15" x14ac:dyDescent="0.25">
      <c r="A566" s="1" t="str">
        <f>IF('1.1 Produksi Bersih Padi 2025'!A566="","",'1.1 Produksi Bersih Padi 2025'!A566)</f>
        <v/>
      </c>
      <c r="B566" s="31" t="str">
        <f>IF('1.1 Produksi Bersih Padi 2025'!B566="","",'1.1 Produksi Bersih Padi 2025'!B566)</f>
        <v/>
      </c>
      <c r="C566" s="31" t="str">
        <f>IF('1.1 Produksi Bersih Padi 2025'!C566="","",'1.1 Produksi Bersih Padi 2025'!C566)</f>
        <v/>
      </c>
      <c r="D566" s="1" t="str">
        <f>IF('1.1 Produksi Bersih Padi 2025'!D566="","",'1.1 Produksi Bersih Padi 2025'!D566)</f>
        <v/>
      </c>
      <c r="E566" s="1" t="str">
        <f>IF('1.1 Produksi Bersih Padi 2025'!E566="","",'1.1 Produksi Bersih Padi 2025'!E566)</f>
        <v/>
      </c>
      <c r="F566" s="28" t="str">
        <f>IF(D566="","",VLOOKUP(D566,'[1]0.1 Produksi Pangan &amp; Penduduk'!$D$5:$Y$860,22,0))</f>
        <v/>
      </c>
      <c r="G566" s="30" t="str">
        <f t="shared" si="40"/>
        <v/>
      </c>
      <c r="H566" s="30" t="str">
        <f t="shared" si="41"/>
        <v/>
      </c>
      <c r="I566" s="30" t="str">
        <f t="shared" si="42"/>
        <v/>
      </c>
      <c r="J566" s="30" t="str">
        <f t="shared" si="43"/>
        <v/>
      </c>
      <c r="K566" s="30" t="str">
        <f t="shared" si="44"/>
        <v/>
      </c>
    </row>
    <row r="567" spans="1:11" ht="15" x14ac:dyDescent="0.25">
      <c r="A567" s="1" t="str">
        <f>IF('1.1 Produksi Bersih Padi 2025'!A567="","",'1.1 Produksi Bersih Padi 2025'!A567)</f>
        <v/>
      </c>
      <c r="B567" s="31" t="str">
        <f>IF('1.1 Produksi Bersih Padi 2025'!B567="","",'1.1 Produksi Bersih Padi 2025'!B567)</f>
        <v/>
      </c>
      <c r="C567" s="31" t="str">
        <f>IF('1.1 Produksi Bersih Padi 2025'!C567="","",'1.1 Produksi Bersih Padi 2025'!C567)</f>
        <v/>
      </c>
      <c r="D567" s="1" t="str">
        <f>IF('1.1 Produksi Bersih Padi 2025'!D567="","",'1.1 Produksi Bersih Padi 2025'!D567)</f>
        <v/>
      </c>
      <c r="E567" s="1" t="str">
        <f>IF('1.1 Produksi Bersih Padi 2025'!E567="","",'1.1 Produksi Bersih Padi 2025'!E567)</f>
        <v/>
      </c>
      <c r="F567" s="28" t="str">
        <f>IF(D567="","",VLOOKUP(D567,'[1]0.1 Produksi Pangan &amp; Penduduk'!$D$5:$Y$860,22,0))</f>
        <v/>
      </c>
      <c r="G567" s="30" t="str">
        <f t="shared" si="40"/>
        <v/>
      </c>
      <c r="H567" s="30" t="str">
        <f t="shared" si="41"/>
        <v/>
      </c>
      <c r="I567" s="30" t="str">
        <f t="shared" si="42"/>
        <v/>
      </c>
      <c r="J567" s="30" t="str">
        <f t="shared" si="43"/>
        <v/>
      </c>
      <c r="K567" s="30" t="str">
        <f t="shared" si="44"/>
        <v/>
      </c>
    </row>
    <row r="568" spans="1:11" ht="15" x14ac:dyDescent="0.25">
      <c r="A568" s="1" t="str">
        <f>IF('1.1 Produksi Bersih Padi 2025'!A568="","",'1.1 Produksi Bersih Padi 2025'!A568)</f>
        <v/>
      </c>
      <c r="B568" s="31" t="str">
        <f>IF('1.1 Produksi Bersih Padi 2025'!B568="","",'1.1 Produksi Bersih Padi 2025'!B568)</f>
        <v/>
      </c>
      <c r="C568" s="31" t="str">
        <f>IF('1.1 Produksi Bersih Padi 2025'!C568="","",'1.1 Produksi Bersih Padi 2025'!C568)</f>
        <v/>
      </c>
      <c r="D568" s="1" t="str">
        <f>IF('1.1 Produksi Bersih Padi 2025'!D568="","",'1.1 Produksi Bersih Padi 2025'!D568)</f>
        <v/>
      </c>
      <c r="E568" s="1" t="str">
        <f>IF('1.1 Produksi Bersih Padi 2025'!E568="","",'1.1 Produksi Bersih Padi 2025'!E568)</f>
        <v/>
      </c>
      <c r="F568" s="28" t="str">
        <f>IF(D568="","",VLOOKUP(D568,'[1]0.1 Produksi Pangan &amp; Penduduk'!$D$5:$Y$860,22,0))</f>
        <v/>
      </c>
      <c r="G568" s="30" t="str">
        <f t="shared" si="40"/>
        <v/>
      </c>
      <c r="H568" s="30" t="str">
        <f t="shared" si="41"/>
        <v/>
      </c>
      <c r="I568" s="30" t="str">
        <f t="shared" si="42"/>
        <v/>
      </c>
      <c r="J568" s="30" t="str">
        <f t="shared" si="43"/>
        <v/>
      </c>
      <c r="K568" s="30" t="str">
        <f t="shared" si="44"/>
        <v/>
      </c>
    </row>
    <row r="569" spans="1:11" ht="15" x14ac:dyDescent="0.25">
      <c r="A569" s="1" t="str">
        <f>IF('1.1 Produksi Bersih Padi 2025'!A569="","",'1.1 Produksi Bersih Padi 2025'!A569)</f>
        <v/>
      </c>
      <c r="B569" s="31" t="str">
        <f>IF('1.1 Produksi Bersih Padi 2025'!B569="","",'1.1 Produksi Bersih Padi 2025'!B569)</f>
        <v/>
      </c>
      <c r="C569" s="31" t="str">
        <f>IF('1.1 Produksi Bersih Padi 2025'!C569="","",'1.1 Produksi Bersih Padi 2025'!C569)</f>
        <v/>
      </c>
      <c r="D569" s="1" t="str">
        <f>IF('1.1 Produksi Bersih Padi 2025'!D569="","",'1.1 Produksi Bersih Padi 2025'!D569)</f>
        <v/>
      </c>
      <c r="E569" s="1" t="str">
        <f>IF('1.1 Produksi Bersih Padi 2025'!E569="","",'1.1 Produksi Bersih Padi 2025'!E569)</f>
        <v/>
      </c>
      <c r="F569" s="28" t="str">
        <f>IF(D569="","",VLOOKUP(D569,'[1]0.1 Produksi Pangan &amp; Penduduk'!$D$5:$Y$860,22,0))</f>
        <v/>
      </c>
      <c r="G569" s="30" t="str">
        <f t="shared" si="40"/>
        <v/>
      </c>
      <c r="H569" s="30" t="str">
        <f t="shared" si="41"/>
        <v/>
      </c>
      <c r="I569" s="30" t="str">
        <f t="shared" si="42"/>
        <v/>
      </c>
      <c r="J569" s="30" t="str">
        <f t="shared" si="43"/>
        <v/>
      </c>
      <c r="K569" s="30" t="str">
        <f t="shared" si="44"/>
        <v/>
      </c>
    </row>
    <row r="570" spans="1:11" ht="15" x14ac:dyDescent="0.25">
      <c r="A570" s="1" t="str">
        <f>IF('1.1 Produksi Bersih Padi 2025'!A570="","",'1.1 Produksi Bersih Padi 2025'!A570)</f>
        <v/>
      </c>
      <c r="B570" s="31" t="str">
        <f>IF('1.1 Produksi Bersih Padi 2025'!B570="","",'1.1 Produksi Bersih Padi 2025'!B570)</f>
        <v/>
      </c>
      <c r="C570" s="31" t="str">
        <f>IF('1.1 Produksi Bersih Padi 2025'!C570="","",'1.1 Produksi Bersih Padi 2025'!C570)</f>
        <v/>
      </c>
      <c r="D570" s="1" t="str">
        <f>IF('1.1 Produksi Bersih Padi 2025'!D570="","",'1.1 Produksi Bersih Padi 2025'!D570)</f>
        <v/>
      </c>
      <c r="E570" s="1" t="str">
        <f>IF('1.1 Produksi Bersih Padi 2025'!E570="","",'1.1 Produksi Bersih Padi 2025'!E570)</f>
        <v/>
      </c>
      <c r="F570" s="28" t="str">
        <f>IF(D570="","",VLOOKUP(D570,'[1]0.1 Produksi Pangan &amp; Penduduk'!$D$5:$Y$860,22,0))</f>
        <v/>
      </c>
      <c r="G570" s="30" t="str">
        <f t="shared" si="40"/>
        <v/>
      </c>
      <c r="H570" s="30" t="str">
        <f t="shared" si="41"/>
        <v/>
      </c>
      <c r="I570" s="30" t="str">
        <f t="shared" si="42"/>
        <v/>
      </c>
      <c r="J570" s="30" t="str">
        <f t="shared" si="43"/>
        <v/>
      </c>
      <c r="K570" s="30" t="str">
        <f t="shared" si="44"/>
        <v/>
      </c>
    </row>
    <row r="571" spans="1:11" ht="15" x14ac:dyDescent="0.25">
      <c r="A571" s="1" t="str">
        <f>IF('1.1 Produksi Bersih Padi 2025'!A571="","",'1.1 Produksi Bersih Padi 2025'!A571)</f>
        <v/>
      </c>
      <c r="B571" s="31" t="str">
        <f>IF('1.1 Produksi Bersih Padi 2025'!B571="","",'1.1 Produksi Bersih Padi 2025'!B571)</f>
        <v/>
      </c>
      <c r="C571" s="31" t="str">
        <f>IF('1.1 Produksi Bersih Padi 2025'!C571="","",'1.1 Produksi Bersih Padi 2025'!C571)</f>
        <v/>
      </c>
      <c r="D571" s="1" t="str">
        <f>IF('1.1 Produksi Bersih Padi 2025'!D571="","",'1.1 Produksi Bersih Padi 2025'!D571)</f>
        <v/>
      </c>
      <c r="E571" s="1" t="str">
        <f>IF('1.1 Produksi Bersih Padi 2025'!E571="","",'1.1 Produksi Bersih Padi 2025'!E571)</f>
        <v/>
      </c>
      <c r="F571" s="28" t="str">
        <f>IF(D571="","",VLOOKUP(D571,'[1]0.1 Produksi Pangan &amp; Penduduk'!$D$5:$Y$860,22,0))</f>
        <v/>
      </c>
      <c r="G571" s="30" t="str">
        <f t="shared" si="40"/>
        <v/>
      </c>
      <c r="H571" s="30" t="str">
        <f t="shared" si="41"/>
        <v/>
      </c>
      <c r="I571" s="30" t="str">
        <f t="shared" si="42"/>
        <v/>
      </c>
      <c r="J571" s="30" t="str">
        <f t="shared" si="43"/>
        <v/>
      </c>
      <c r="K571" s="30" t="str">
        <f t="shared" si="44"/>
        <v/>
      </c>
    </row>
    <row r="572" spans="1:11" ht="15" x14ac:dyDescent="0.25">
      <c r="A572" s="1" t="str">
        <f>IF('1.1 Produksi Bersih Padi 2025'!A572="","",'1.1 Produksi Bersih Padi 2025'!A572)</f>
        <v/>
      </c>
      <c r="B572" s="31" t="str">
        <f>IF('1.1 Produksi Bersih Padi 2025'!B572="","",'1.1 Produksi Bersih Padi 2025'!B572)</f>
        <v/>
      </c>
      <c r="C572" s="31" t="str">
        <f>IF('1.1 Produksi Bersih Padi 2025'!C572="","",'1.1 Produksi Bersih Padi 2025'!C572)</f>
        <v/>
      </c>
      <c r="D572" s="1" t="str">
        <f>IF('1.1 Produksi Bersih Padi 2025'!D572="","",'1.1 Produksi Bersih Padi 2025'!D572)</f>
        <v/>
      </c>
      <c r="E572" s="1" t="str">
        <f>IF('1.1 Produksi Bersih Padi 2025'!E572="","",'1.1 Produksi Bersih Padi 2025'!E572)</f>
        <v/>
      </c>
      <c r="F572" s="28" t="str">
        <f>IF(D572="","",VLOOKUP(D572,'[1]0.1 Produksi Pangan &amp; Penduduk'!$D$5:$Y$860,22,0))</f>
        <v/>
      </c>
      <c r="G572" s="30" t="str">
        <f t="shared" si="40"/>
        <v/>
      </c>
      <c r="H572" s="30" t="str">
        <f t="shared" si="41"/>
        <v/>
      </c>
      <c r="I572" s="30" t="str">
        <f t="shared" si="42"/>
        <v/>
      </c>
      <c r="J572" s="30" t="str">
        <f t="shared" si="43"/>
        <v/>
      </c>
      <c r="K572" s="30" t="str">
        <f t="shared" si="44"/>
        <v/>
      </c>
    </row>
    <row r="573" spans="1:11" ht="15" x14ac:dyDescent="0.25">
      <c r="A573" s="1" t="str">
        <f>IF('1.1 Produksi Bersih Padi 2025'!A573="","",'1.1 Produksi Bersih Padi 2025'!A573)</f>
        <v/>
      </c>
      <c r="B573" s="31" t="str">
        <f>IF('1.1 Produksi Bersih Padi 2025'!B573="","",'1.1 Produksi Bersih Padi 2025'!B573)</f>
        <v/>
      </c>
      <c r="C573" s="31" t="str">
        <f>IF('1.1 Produksi Bersih Padi 2025'!C573="","",'1.1 Produksi Bersih Padi 2025'!C573)</f>
        <v/>
      </c>
      <c r="D573" s="1" t="str">
        <f>IF('1.1 Produksi Bersih Padi 2025'!D573="","",'1.1 Produksi Bersih Padi 2025'!D573)</f>
        <v/>
      </c>
      <c r="E573" s="1" t="str">
        <f>IF('1.1 Produksi Bersih Padi 2025'!E573="","",'1.1 Produksi Bersih Padi 2025'!E573)</f>
        <v/>
      </c>
      <c r="F573" s="28" t="str">
        <f>IF(D573="","",VLOOKUP(D573,'[1]0.1 Produksi Pangan &amp; Penduduk'!$D$5:$Y$860,22,0))</f>
        <v/>
      </c>
      <c r="G573" s="30" t="str">
        <f t="shared" si="40"/>
        <v/>
      </c>
      <c r="H573" s="30" t="str">
        <f t="shared" si="41"/>
        <v/>
      </c>
      <c r="I573" s="30" t="str">
        <f t="shared" si="42"/>
        <v/>
      </c>
      <c r="J573" s="30" t="str">
        <f t="shared" si="43"/>
        <v/>
      </c>
      <c r="K573" s="30" t="str">
        <f t="shared" si="44"/>
        <v/>
      </c>
    </row>
    <row r="574" spans="1:11" ht="15" x14ac:dyDescent="0.25">
      <c r="A574" s="1" t="str">
        <f>IF('1.1 Produksi Bersih Padi 2025'!A574="","",'1.1 Produksi Bersih Padi 2025'!A574)</f>
        <v/>
      </c>
      <c r="B574" s="31" t="str">
        <f>IF('1.1 Produksi Bersih Padi 2025'!B574="","",'1.1 Produksi Bersih Padi 2025'!B574)</f>
        <v/>
      </c>
      <c r="C574" s="31" t="str">
        <f>IF('1.1 Produksi Bersih Padi 2025'!C574="","",'1.1 Produksi Bersih Padi 2025'!C574)</f>
        <v/>
      </c>
      <c r="D574" s="1" t="str">
        <f>IF('1.1 Produksi Bersih Padi 2025'!D574="","",'1.1 Produksi Bersih Padi 2025'!D574)</f>
        <v/>
      </c>
      <c r="E574" s="1" t="str">
        <f>IF('1.1 Produksi Bersih Padi 2025'!E574="","",'1.1 Produksi Bersih Padi 2025'!E574)</f>
        <v/>
      </c>
      <c r="F574" s="28" t="str">
        <f>IF(D574="","",VLOOKUP(D574,'[1]0.1 Produksi Pangan &amp; Penduduk'!$D$5:$Y$860,22,0))</f>
        <v/>
      </c>
      <c r="G574" s="30" t="str">
        <f t="shared" si="40"/>
        <v/>
      </c>
      <c r="H574" s="30" t="str">
        <f t="shared" si="41"/>
        <v/>
      </c>
      <c r="I574" s="30" t="str">
        <f t="shared" si="42"/>
        <v/>
      </c>
      <c r="J574" s="30" t="str">
        <f t="shared" si="43"/>
        <v/>
      </c>
      <c r="K574" s="30" t="str">
        <f t="shared" si="44"/>
        <v/>
      </c>
    </row>
    <row r="575" spans="1:11" ht="15" x14ac:dyDescent="0.25">
      <c r="A575" s="1" t="str">
        <f>IF('1.1 Produksi Bersih Padi 2025'!A575="","",'1.1 Produksi Bersih Padi 2025'!A575)</f>
        <v/>
      </c>
      <c r="B575" s="31" t="str">
        <f>IF('1.1 Produksi Bersih Padi 2025'!B575="","",'1.1 Produksi Bersih Padi 2025'!B575)</f>
        <v/>
      </c>
      <c r="C575" s="31" t="str">
        <f>IF('1.1 Produksi Bersih Padi 2025'!C575="","",'1.1 Produksi Bersih Padi 2025'!C575)</f>
        <v/>
      </c>
      <c r="D575" s="1" t="str">
        <f>IF('1.1 Produksi Bersih Padi 2025'!D575="","",'1.1 Produksi Bersih Padi 2025'!D575)</f>
        <v/>
      </c>
      <c r="E575" s="1" t="str">
        <f>IF('1.1 Produksi Bersih Padi 2025'!E575="","",'1.1 Produksi Bersih Padi 2025'!E575)</f>
        <v/>
      </c>
      <c r="F575" s="28" t="str">
        <f>IF(D575="","",VLOOKUP(D575,'[1]0.1 Produksi Pangan &amp; Penduduk'!$D$5:$Y$860,22,0))</f>
        <v/>
      </c>
      <c r="G575" s="30" t="str">
        <f t="shared" si="40"/>
        <v/>
      </c>
      <c r="H575" s="30" t="str">
        <f t="shared" si="41"/>
        <v/>
      </c>
      <c r="I575" s="30" t="str">
        <f t="shared" si="42"/>
        <v/>
      </c>
      <c r="J575" s="30" t="str">
        <f t="shared" si="43"/>
        <v/>
      </c>
      <c r="K575" s="30" t="str">
        <f t="shared" si="44"/>
        <v/>
      </c>
    </row>
    <row r="576" spans="1:11" ht="15" x14ac:dyDescent="0.25">
      <c r="A576" s="1" t="str">
        <f>IF('1.1 Produksi Bersih Padi 2025'!A576="","",'1.1 Produksi Bersih Padi 2025'!A576)</f>
        <v/>
      </c>
      <c r="B576" s="31" t="str">
        <f>IF('1.1 Produksi Bersih Padi 2025'!B576="","",'1.1 Produksi Bersih Padi 2025'!B576)</f>
        <v/>
      </c>
      <c r="C576" s="31" t="str">
        <f>IF('1.1 Produksi Bersih Padi 2025'!C576="","",'1.1 Produksi Bersih Padi 2025'!C576)</f>
        <v/>
      </c>
      <c r="D576" s="1" t="str">
        <f>IF('1.1 Produksi Bersih Padi 2025'!D576="","",'1.1 Produksi Bersih Padi 2025'!D576)</f>
        <v/>
      </c>
      <c r="E576" s="1" t="str">
        <f>IF('1.1 Produksi Bersih Padi 2025'!E576="","",'1.1 Produksi Bersih Padi 2025'!E576)</f>
        <v/>
      </c>
      <c r="F576" s="28" t="str">
        <f>IF(D576="","",VLOOKUP(D576,'[1]0.1 Produksi Pangan &amp; Penduduk'!$D$5:$Y$860,22,0))</f>
        <v/>
      </c>
      <c r="G576" s="30" t="str">
        <f t="shared" si="40"/>
        <v/>
      </c>
      <c r="H576" s="30" t="str">
        <f t="shared" si="41"/>
        <v/>
      </c>
      <c r="I576" s="30" t="str">
        <f t="shared" si="42"/>
        <v/>
      </c>
      <c r="J576" s="30" t="str">
        <f t="shared" si="43"/>
        <v/>
      </c>
      <c r="K576" s="30" t="str">
        <f t="shared" si="44"/>
        <v/>
      </c>
    </row>
    <row r="577" spans="1:11" ht="15" x14ac:dyDescent="0.25">
      <c r="A577" s="1" t="str">
        <f>IF('1.1 Produksi Bersih Padi 2025'!A577="","",'1.1 Produksi Bersih Padi 2025'!A577)</f>
        <v/>
      </c>
      <c r="B577" s="31" t="str">
        <f>IF('1.1 Produksi Bersih Padi 2025'!B577="","",'1.1 Produksi Bersih Padi 2025'!B577)</f>
        <v/>
      </c>
      <c r="C577" s="31" t="str">
        <f>IF('1.1 Produksi Bersih Padi 2025'!C577="","",'1.1 Produksi Bersih Padi 2025'!C577)</f>
        <v/>
      </c>
      <c r="D577" s="1" t="str">
        <f>IF('1.1 Produksi Bersih Padi 2025'!D577="","",'1.1 Produksi Bersih Padi 2025'!D577)</f>
        <v/>
      </c>
      <c r="E577" s="1" t="str">
        <f>IF('1.1 Produksi Bersih Padi 2025'!E577="","",'1.1 Produksi Bersih Padi 2025'!E577)</f>
        <v/>
      </c>
      <c r="F577" s="28" t="str">
        <f>IF(D577="","",VLOOKUP(D577,'[1]0.1 Produksi Pangan &amp; Penduduk'!$D$5:$Y$860,22,0))</f>
        <v/>
      </c>
      <c r="G577" s="30" t="str">
        <f t="shared" si="40"/>
        <v/>
      </c>
      <c r="H577" s="30" t="str">
        <f t="shared" si="41"/>
        <v/>
      </c>
      <c r="I577" s="30" t="str">
        <f t="shared" si="42"/>
        <v/>
      </c>
      <c r="J577" s="30" t="str">
        <f t="shared" si="43"/>
        <v/>
      </c>
      <c r="K577" s="30" t="str">
        <f t="shared" si="44"/>
        <v/>
      </c>
    </row>
    <row r="578" spans="1:11" ht="15" x14ac:dyDescent="0.25">
      <c r="A578" s="1" t="str">
        <f>IF('1.1 Produksi Bersih Padi 2025'!A578="","",'1.1 Produksi Bersih Padi 2025'!A578)</f>
        <v/>
      </c>
      <c r="B578" s="31" t="str">
        <f>IF('1.1 Produksi Bersih Padi 2025'!B578="","",'1.1 Produksi Bersih Padi 2025'!B578)</f>
        <v/>
      </c>
      <c r="C578" s="31" t="str">
        <f>IF('1.1 Produksi Bersih Padi 2025'!C578="","",'1.1 Produksi Bersih Padi 2025'!C578)</f>
        <v/>
      </c>
      <c r="D578" s="1" t="str">
        <f>IF('1.1 Produksi Bersih Padi 2025'!D578="","",'1.1 Produksi Bersih Padi 2025'!D578)</f>
        <v/>
      </c>
      <c r="E578" s="1" t="str">
        <f>IF('1.1 Produksi Bersih Padi 2025'!E578="","",'1.1 Produksi Bersih Padi 2025'!E578)</f>
        <v/>
      </c>
      <c r="F578" s="28" t="str">
        <f>IF(D578="","",VLOOKUP(D578,'[1]0.1 Produksi Pangan &amp; Penduduk'!$D$5:$Y$860,22,0))</f>
        <v/>
      </c>
      <c r="G578" s="30" t="str">
        <f t="shared" si="40"/>
        <v/>
      </c>
      <c r="H578" s="30" t="str">
        <f t="shared" si="41"/>
        <v/>
      </c>
      <c r="I578" s="30" t="str">
        <f t="shared" si="42"/>
        <v/>
      </c>
      <c r="J578" s="30" t="str">
        <f t="shared" si="43"/>
        <v/>
      </c>
      <c r="K578" s="30" t="str">
        <f t="shared" si="44"/>
        <v/>
      </c>
    </row>
    <row r="579" spans="1:11" ht="15" x14ac:dyDescent="0.25">
      <c r="A579" s="1" t="str">
        <f>IF('1.1 Produksi Bersih Padi 2025'!A579="","",'1.1 Produksi Bersih Padi 2025'!A579)</f>
        <v/>
      </c>
      <c r="B579" s="31" t="str">
        <f>IF('1.1 Produksi Bersih Padi 2025'!B579="","",'1.1 Produksi Bersih Padi 2025'!B579)</f>
        <v/>
      </c>
      <c r="C579" s="31" t="str">
        <f>IF('1.1 Produksi Bersih Padi 2025'!C579="","",'1.1 Produksi Bersih Padi 2025'!C579)</f>
        <v/>
      </c>
      <c r="D579" s="1" t="str">
        <f>IF('1.1 Produksi Bersih Padi 2025'!D579="","",'1.1 Produksi Bersih Padi 2025'!D579)</f>
        <v/>
      </c>
      <c r="E579" s="1" t="str">
        <f>IF('1.1 Produksi Bersih Padi 2025'!E579="","",'1.1 Produksi Bersih Padi 2025'!E579)</f>
        <v/>
      </c>
      <c r="F579" s="28" t="str">
        <f>IF(D579="","",VLOOKUP(D579,'[1]0.1 Produksi Pangan &amp; Penduduk'!$D$5:$Y$860,22,0))</f>
        <v/>
      </c>
      <c r="G579" s="30" t="str">
        <f t="shared" si="40"/>
        <v/>
      </c>
      <c r="H579" s="30" t="str">
        <f t="shared" si="41"/>
        <v/>
      </c>
      <c r="I579" s="30" t="str">
        <f t="shared" si="42"/>
        <v/>
      </c>
      <c r="J579" s="30" t="str">
        <f t="shared" si="43"/>
        <v/>
      </c>
      <c r="K579" s="30" t="str">
        <f t="shared" si="44"/>
        <v/>
      </c>
    </row>
    <row r="580" spans="1:11" ht="15" x14ac:dyDescent="0.25">
      <c r="A580" s="1" t="str">
        <f>IF('1.1 Produksi Bersih Padi 2025'!A580="","",'1.1 Produksi Bersih Padi 2025'!A580)</f>
        <v/>
      </c>
      <c r="B580" s="31" t="str">
        <f>IF('1.1 Produksi Bersih Padi 2025'!B580="","",'1.1 Produksi Bersih Padi 2025'!B580)</f>
        <v/>
      </c>
      <c r="C580" s="31" t="str">
        <f>IF('1.1 Produksi Bersih Padi 2025'!C580="","",'1.1 Produksi Bersih Padi 2025'!C580)</f>
        <v/>
      </c>
      <c r="D580" s="1" t="str">
        <f>IF('1.1 Produksi Bersih Padi 2025'!D580="","",'1.1 Produksi Bersih Padi 2025'!D580)</f>
        <v/>
      </c>
      <c r="E580" s="1" t="str">
        <f>IF('1.1 Produksi Bersih Padi 2025'!E580="","",'1.1 Produksi Bersih Padi 2025'!E580)</f>
        <v/>
      </c>
      <c r="F580" s="28" t="str">
        <f>IF(D580="","",VLOOKUP(D580,'[1]0.1 Produksi Pangan &amp; Penduduk'!$D$5:$Y$860,22,0))</f>
        <v/>
      </c>
      <c r="G580" s="30" t="str">
        <f t="shared" si="40"/>
        <v/>
      </c>
      <c r="H580" s="30" t="str">
        <f t="shared" si="41"/>
        <v/>
      </c>
      <c r="I580" s="30" t="str">
        <f t="shared" si="42"/>
        <v/>
      </c>
      <c r="J580" s="30" t="str">
        <f t="shared" si="43"/>
        <v/>
      </c>
      <c r="K580" s="30" t="str">
        <f t="shared" si="44"/>
        <v/>
      </c>
    </row>
    <row r="581" spans="1:11" ht="15" x14ac:dyDescent="0.25">
      <c r="A581" s="1" t="str">
        <f>IF('1.1 Produksi Bersih Padi 2025'!A581="","",'1.1 Produksi Bersih Padi 2025'!A581)</f>
        <v/>
      </c>
      <c r="B581" s="31" t="str">
        <f>IF('1.1 Produksi Bersih Padi 2025'!B581="","",'1.1 Produksi Bersih Padi 2025'!B581)</f>
        <v/>
      </c>
      <c r="C581" s="31" t="str">
        <f>IF('1.1 Produksi Bersih Padi 2025'!C581="","",'1.1 Produksi Bersih Padi 2025'!C581)</f>
        <v/>
      </c>
      <c r="D581" s="1" t="str">
        <f>IF('1.1 Produksi Bersih Padi 2025'!D581="","",'1.1 Produksi Bersih Padi 2025'!D581)</f>
        <v/>
      </c>
      <c r="E581" s="1" t="str">
        <f>IF('1.1 Produksi Bersih Padi 2025'!E581="","",'1.1 Produksi Bersih Padi 2025'!E581)</f>
        <v/>
      </c>
      <c r="F581" s="28" t="str">
        <f>IF(D581="","",VLOOKUP(D581,'[1]0.1 Produksi Pangan &amp; Penduduk'!$D$5:$Y$860,22,0))</f>
        <v/>
      </c>
      <c r="G581" s="30" t="str">
        <f t="shared" si="40"/>
        <v/>
      </c>
      <c r="H581" s="30" t="str">
        <f t="shared" si="41"/>
        <v/>
      </c>
      <c r="I581" s="30" t="str">
        <f t="shared" si="42"/>
        <v/>
      </c>
      <c r="J581" s="30" t="str">
        <f t="shared" si="43"/>
        <v/>
      </c>
      <c r="K581" s="30" t="str">
        <f t="shared" si="44"/>
        <v/>
      </c>
    </row>
    <row r="582" spans="1:11" ht="15" x14ac:dyDescent="0.25">
      <c r="A582" s="1" t="str">
        <f>IF('1.1 Produksi Bersih Padi 2025'!A582="","",'1.1 Produksi Bersih Padi 2025'!A582)</f>
        <v/>
      </c>
      <c r="B582" s="31" t="str">
        <f>IF('1.1 Produksi Bersih Padi 2025'!B582="","",'1.1 Produksi Bersih Padi 2025'!B582)</f>
        <v/>
      </c>
      <c r="C582" s="31" t="str">
        <f>IF('1.1 Produksi Bersih Padi 2025'!C582="","",'1.1 Produksi Bersih Padi 2025'!C582)</f>
        <v/>
      </c>
      <c r="D582" s="1" t="str">
        <f>IF('1.1 Produksi Bersih Padi 2025'!D582="","",'1.1 Produksi Bersih Padi 2025'!D582)</f>
        <v/>
      </c>
      <c r="E582" s="1" t="str">
        <f>IF('1.1 Produksi Bersih Padi 2025'!E582="","",'1.1 Produksi Bersih Padi 2025'!E582)</f>
        <v/>
      </c>
      <c r="F582" s="28" t="str">
        <f>IF(D582="","",VLOOKUP(D582,'[1]0.1 Produksi Pangan &amp; Penduduk'!$D$5:$Y$860,22,0))</f>
        <v/>
      </c>
      <c r="G582" s="30" t="str">
        <f t="shared" ref="G582:G645" si="45">IF(F582="","",F582*0%)</f>
        <v/>
      </c>
      <c r="H582" s="30" t="str">
        <f t="shared" ref="H582:H645" si="46">IF(F582="","",F582*0.43%)</f>
        <v/>
      </c>
      <c r="I582" s="30" t="str">
        <f t="shared" ref="I582:I645" si="47">IF(F582="","",F582*4.23%)</f>
        <v/>
      </c>
      <c r="J582" s="30" t="str">
        <f t="shared" ref="J582:J645" si="48">IF(F582="","",F582-(G582+H582+I582))</f>
        <v/>
      </c>
      <c r="K582" s="30" t="str">
        <f t="shared" ref="K582:K645" si="49">IF(J582="","",J582*0.363)</f>
        <v/>
      </c>
    </row>
    <row r="583" spans="1:11" ht="15" x14ac:dyDescent="0.25">
      <c r="A583" s="1" t="str">
        <f>IF('1.1 Produksi Bersih Padi 2025'!A583="","",'1.1 Produksi Bersih Padi 2025'!A583)</f>
        <v/>
      </c>
      <c r="B583" s="31" t="str">
        <f>IF('1.1 Produksi Bersih Padi 2025'!B583="","",'1.1 Produksi Bersih Padi 2025'!B583)</f>
        <v/>
      </c>
      <c r="C583" s="31" t="str">
        <f>IF('1.1 Produksi Bersih Padi 2025'!C583="","",'1.1 Produksi Bersih Padi 2025'!C583)</f>
        <v/>
      </c>
      <c r="D583" s="1" t="str">
        <f>IF('1.1 Produksi Bersih Padi 2025'!D583="","",'1.1 Produksi Bersih Padi 2025'!D583)</f>
        <v/>
      </c>
      <c r="E583" s="1" t="str">
        <f>IF('1.1 Produksi Bersih Padi 2025'!E583="","",'1.1 Produksi Bersih Padi 2025'!E583)</f>
        <v/>
      </c>
      <c r="F583" s="28" t="str">
        <f>IF(D583="","",VLOOKUP(D583,'[1]0.1 Produksi Pangan &amp; Penduduk'!$D$5:$Y$860,22,0))</f>
        <v/>
      </c>
      <c r="G583" s="30" t="str">
        <f t="shared" si="45"/>
        <v/>
      </c>
      <c r="H583" s="30" t="str">
        <f t="shared" si="46"/>
        <v/>
      </c>
      <c r="I583" s="30" t="str">
        <f t="shared" si="47"/>
        <v/>
      </c>
      <c r="J583" s="30" t="str">
        <f t="shared" si="48"/>
        <v/>
      </c>
      <c r="K583" s="30" t="str">
        <f t="shared" si="49"/>
        <v/>
      </c>
    </row>
    <row r="584" spans="1:11" ht="15" x14ac:dyDescent="0.25">
      <c r="A584" s="1" t="str">
        <f>IF('1.1 Produksi Bersih Padi 2025'!A584="","",'1.1 Produksi Bersih Padi 2025'!A584)</f>
        <v/>
      </c>
      <c r="B584" s="31" t="str">
        <f>IF('1.1 Produksi Bersih Padi 2025'!B584="","",'1.1 Produksi Bersih Padi 2025'!B584)</f>
        <v/>
      </c>
      <c r="C584" s="31" t="str">
        <f>IF('1.1 Produksi Bersih Padi 2025'!C584="","",'1.1 Produksi Bersih Padi 2025'!C584)</f>
        <v/>
      </c>
      <c r="D584" s="1" t="str">
        <f>IF('1.1 Produksi Bersih Padi 2025'!D584="","",'1.1 Produksi Bersih Padi 2025'!D584)</f>
        <v/>
      </c>
      <c r="E584" s="1" t="str">
        <f>IF('1.1 Produksi Bersih Padi 2025'!E584="","",'1.1 Produksi Bersih Padi 2025'!E584)</f>
        <v/>
      </c>
      <c r="F584" s="28" t="str">
        <f>IF(D584="","",VLOOKUP(D584,'[1]0.1 Produksi Pangan &amp; Penduduk'!$D$5:$Y$860,22,0))</f>
        <v/>
      </c>
      <c r="G584" s="30" t="str">
        <f t="shared" si="45"/>
        <v/>
      </c>
      <c r="H584" s="30" t="str">
        <f t="shared" si="46"/>
        <v/>
      </c>
      <c r="I584" s="30" t="str">
        <f t="shared" si="47"/>
        <v/>
      </c>
      <c r="J584" s="30" t="str">
        <f t="shared" si="48"/>
        <v/>
      </c>
      <c r="K584" s="30" t="str">
        <f t="shared" si="49"/>
        <v/>
      </c>
    </row>
    <row r="585" spans="1:11" ht="15" x14ac:dyDescent="0.25">
      <c r="A585" s="1" t="str">
        <f>IF('1.1 Produksi Bersih Padi 2025'!A585="","",'1.1 Produksi Bersih Padi 2025'!A585)</f>
        <v/>
      </c>
      <c r="B585" s="31" t="str">
        <f>IF('1.1 Produksi Bersih Padi 2025'!B585="","",'1.1 Produksi Bersih Padi 2025'!B585)</f>
        <v/>
      </c>
      <c r="C585" s="31" t="str">
        <f>IF('1.1 Produksi Bersih Padi 2025'!C585="","",'1.1 Produksi Bersih Padi 2025'!C585)</f>
        <v/>
      </c>
      <c r="D585" s="1" t="str">
        <f>IF('1.1 Produksi Bersih Padi 2025'!D585="","",'1.1 Produksi Bersih Padi 2025'!D585)</f>
        <v/>
      </c>
      <c r="E585" s="1" t="str">
        <f>IF('1.1 Produksi Bersih Padi 2025'!E585="","",'1.1 Produksi Bersih Padi 2025'!E585)</f>
        <v/>
      </c>
      <c r="F585" s="28" t="str">
        <f>IF(D585="","",VLOOKUP(D585,'[1]0.1 Produksi Pangan &amp; Penduduk'!$D$5:$Y$860,22,0))</f>
        <v/>
      </c>
      <c r="G585" s="30" t="str">
        <f t="shared" si="45"/>
        <v/>
      </c>
      <c r="H585" s="30" t="str">
        <f t="shared" si="46"/>
        <v/>
      </c>
      <c r="I585" s="30" t="str">
        <f t="shared" si="47"/>
        <v/>
      </c>
      <c r="J585" s="30" t="str">
        <f t="shared" si="48"/>
        <v/>
      </c>
      <c r="K585" s="30" t="str">
        <f t="shared" si="49"/>
        <v/>
      </c>
    </row>
    <row r="586" spans="1:11" ht="15" x14ac:dyDescent="0.25">
      <c r="A586" s="1" t="str">
        <f>IF('1.1 Produksi Bersih Padi 2025'!A586="","",'1.1 Produksi Bersih Padi 2025'!A586)</f>
        <v/>
      </c>
      <c r="B586" s="31" t="str">
        <f>IF('1.1 Produksi Bersih Padi 2025'!B586="","",'1.1 Produksi Bersih Padi 2025'!B586)</f>
        <v/>
      </c>
      <c r="C586" s="31" t="str">
        <f>IF('1.1 Produksi Bersih Padi 2025'!C586="","",'1.1 Produksi Bersih Padi 2025'!C586)</f>
        <v/>
      </c>
      <c r="D586" s="1" t="str">
        <f>IF('1.1 Produksi Bersih Padi 2025'!D586="","",'1.1 Produksi Bersih Padi 2025'!D586)</f>
        <v/>
      </c>
      <c r="E586" s="1" t="str">
        <f>IF('1.1 Produksi Bersih Padi 2025'!E586="","",'1.1 Produksi Bersih Padi 2025'!E586)</f>
        <v/>
      </c>
      <c r="F586" s="28" t="str">
        <f>IF(D586="","",VLOOKUP(D586,'[1]0.1 Produksi Pangan &amp; Penduduk'!$D$5:$Y$860,22,0))</f>
        <v/>
      </c>
      <c r="G586" s="30" t="str">
        <f t="shared" si="45"/>
        <v/>
      </c>
      <c r="H586" s="30" t="str">
        <f t="shared" si="46"/>
        <v/>
      </c>
      <c r="I586" s="30" t="str">
        <f t="shared" si="47"/>
        <v/>
      </c>
      <c r="J586" s="30" t="str">
        <f t="shared" si="48"/>
        <v/>
      </c>
      <c r="K586" s="30" t="str">
        <f t="shared" si="49"/>
        <v/>
      </c>
    </row>
    <row r="587" spans="1:11" ht="15" x14ac:dyDescent="0.25">
      <c r="A587" s="1" t="str">
        <f>IF('1.1 Produksi Bersih Padi 2025'!A587="","",'1.1 Produksi Bersih Padi 2025'!A587)</f>
        <v/>
      </c>
      <c r="B587" s="31" t="str">
        <f>IF('1.1 Produksi Bersih Padi 2025'!B587="","",'1.1 Produksi Bersih Padi 2025'!B587)</f>
        <v/>
      </c>
      <c r="C587" s="31" t="str">
        <f>IF('1.1 Produksi Bersih Padi 2025'!C587="","",'1.1 Produksi Bersih Padi 2025'!C587)</f>
        <v/>
      </c>
      <c r="D587" s="1" t="str">
        <f>IF('1.1 Produksi Bersih Padi 2025'!D587="","",'1.1 Produksi Bersih Padi 2025'!D587)</f>
        <v/>
      </c>
      <c r="E587" s="1" t="str">
        <f>IF('1.1 Produksi Bersih Padi 2025'!E587="","",'1.1 Produksi Bersih Padi 2025'!E587)</f>
        <v/>
      </c>
      <c r="F587" s="28" t="str">
        <f>IF(D587="","",VLOOKUP(D587,'[1]0.1 Produksi Pangan &amp; Penduduk'!$D$5:$Y$860,22,0))</f>
        <v/>
      </c>
      <c r="G587" s="30" t="str">
        <f t="shared" si="45"/>
        <v/>
      </c>
      <c r="H587" s="30" t="str">
        <f t="shared" si="46"/>
        <v/>
      </c>
      <c r="I587" s="30" t="str">
        <f t="shared" si="47"/>
        <v/>
      </c>
      <c r="J587" s="30" t="str">
        <f t="shared" si="48"/>
        <v/>
      </c>
      <c r="K587" s="30" t="str">
        <f t="shared" si="49"/>
        <v/>
      </c>
    </row>
    <row r="588" spans="1:11" ht="15" x14ac:dyDescent="0.25">
      <c r="A588" s="1" t="str">
        <f>IF('1.1 Produksi Bersih Padi 2025'!A588="","",'1.1 Produksi Bersih Padi 2025'!A588)</f>
        <v/>
      </c>
      <c r="B588" s="31" t="str">
        <f>IF('1.1 Produksi Bersih Padi 2025'!B588="","",'1.1 Produksi Bersih Padi 2025'!B588)</f>
        <v/>
      </c>
      <c r="C588" s="31" t="str">
        <f>IF('1.1 Produksi Bersih Padi 2025'!C588="","",'1.1 Produksi Bersih Padi 2025'!C588)</f>
        <v/>
      </c>
      <c r="D588" s="1" t="str">
        <f>IF('1.1 Produksi Bersih Padi 2025'!D588="","",'1.1 Produksi Bersih Padi 2025'!D588)</f>
        <v/>
      </c>
      <c r="E588" s="1" t="str">
        <f>IF('1.1 Produksi Bersih Padi 2025'!E588="","",'1.1 Produksi Bersih Padi 2025'!E588)</f>
        <v/>
      </c>
      <c r="F588" s="28" t="str">
        <f>IF(D588="","",VLOOKUP(D588,'[1]0.1 Produksi Pangan &amp; Penduduk'!$D$5:$Y$860,22,0))</f>
        <v/>
      </c>
      <c r="G588" s="30" t="str">
        <f t="shared" si="45"/>
        <v/>
      </c>
      <c r="H588" s="30" t="str">
        <f t="shared" si="46"/>
        <v/>
      </c>
      <c r="I588" s="30" t="str">
        <f t="shared" si="47"/>
        <v/>
      </c>
      <c r="J588" s="30" t="str">
        <f t="shared" si="48"/>
        <v/>
      </c>
      <c r="K588" s="30" t="str">
        <f t="shared" si="49"/>
        <v/>
      </c>
    </row>
    <row r="589" spans="1:11" ht="15" x14ac:dyDescent="0.25">
      <c r="A589" s="1" t="str">
        <f>IF('1.1 Produksi Bersih Padi 2025'!A589="","",'1.1 Produksi Bersih Padi 2025'!A589)</f>
        <v/>
      </c>
      <c r="B589" s="31" t="str">
        <f>IF('1.1 Produksi Bersih Padi 2025'!B589="","",'1.1 Produksi Bersih Padi 2025'!B589)</f>
        <v/>
      </c>
      <c r="C589" s="31" t="str">
        <f>IF('1.1 Produksi Bersih Padi 2025'!C589="","",'1.1 Produksi Bersih Padi 2025'!C589)</f>
        <v/>
      </c>
      <c r="D589" s="1" t="str">
        <f>IF('1.1 Produksi Bersih Padi 2025'!D589="","",'1.1 Produksi Bersih Padi 2025'!D589)</f>
        <v/>
      </c>
      <c r="E589" s="1" t="str">
        <f>IF('1.1 Produksi Bersih Padi 2025'!E589="","",'1.1 Produksi Bersih Padi 2025'!E589)</f>
        <v/>
      </c>
      <c r="F589" s="28" t="str">
        <f>IF(D589="","",VLOOKUP(D589,'[1]0.1 Produksi Pangan &amp; Penduduk'!$D$5:$Y$860,22,0))</f>
        <v/>
      </c>
      <c r="G589" s="30" t="str">
        <f t="shared" si="45"/>
        <v/>
      </c>
      <c r="H589" s="30" t="str">
        <f t="shared" si="46"/>
        <v/>
      </c>
      <c r="I589" s="30" t="str">
        <f t="shared" si="47"/>
        <v/>
      </c>
      <c r="J589" s="30" t="str">
        <f t="shared" si="48"/>
        <v/>
      </c>
      <c r="K589" s="30" t="str">
        <f t="shared" si="49"/>
        <v/>
      </c>
    </row>
    <row r="590" spans="1:11" ht="15" x14ac:dyDescent="0.25">
      <c r="A590" s="1" t="str">
        <f>IF('1.1 Produksi Bersih Padi 2025'!A590="","",'1.1 Produksi Bersih Padi 2025'!A590)</f>
        <v/>
      </c>
      <c r="B590" s="31" t="str">
        <f>IF('1.1 Produksi Bersih Padi 2025'!B590="","",'1.1 Produksi Bersih Padi 2025'!B590)</f>
        <v/>
      </c>
      <c r="C590" s="31" t="str">
        <f>IF('1.1 Produksi Bersih Padi 2025'!C590="","",'1.1 Produksi Bersih Padi 2025'!C590)</f>
        <v/>
      </c>
      <c r="D590" s="1" t="str">
        <f>IF('1.1 Produksi Bersih Padi 2025'!D590="","",'1.1 Produksi Bersih Padi 2025'!D590)</f>
        <v/>
      </c>
      <c r="E590" s="1" t="str">
        <f>IF('1.1 Produksi Bersih Padi 2025'!E590="","",'1.1 Produksi Bersih Padi 2025'!E590)</f>
        <v/>
      </c>
      <c r="F590" s="28" t="str">
        <f>IF(D590="","",VLOOKUP(D590,'[1]0.1 Produksi Pangan &amp; Penduduk'!$D$5:$Y$860,22,0))</f>
        <v/>
      </c>
      <c r="G590" s="30" t="str">
        <f t="shared" si="45"/>
        <v/>
      </c>
      <c r="H590" s="30" t="str">
        <f t="shared" si="46"/>
        <v/>
      </c>
      <c r="I590" s="30" t="str">
        <f t="shared" si="47"/>
        <v/>
      </c>
      <c r="J590" s="30" t="str">
        <f t="shared" si="48"/>
        <v/>
      </c>
      <c r="K590" s="30" t="str">
        <f t="shared" si="49"/>
        <v/>
      </c>
    </row>
    <row r="591" spans="1:11" ht="15" x14ac:dyDescent="0.25">
      <c r="A591" s="1" t="str">
        <f>IF('1.1 Produksi Bersih Padi 2025'!A591="","",'1.1 Produksi Bersih Padi 2025'!A591)</f>
        <v/>
      </c>
      <c r="B591" s="31" t="str">
        <f>IF('1.1 Produksi Bersih Padi 2025'!B591="","",'1.1 Produksi Bersih Padi 2025'!B591)</f>
        <v/>
      </c>
      <c r="C591" s="31" t="str">
        <f>IF('1.1 Produksi Bersih Padi 2025'!C591="","",'1.1 Produksi Bersih Padi 2025'!C591)</f>
        <v/>
      </c>
      <c r="D591" s="1" t="str">
        <f>IF('1.1 Produksi Bersih Padi 2025'!D591="","",'1.1 Produksi Bersih Padi 2025'!D591)</f>
        <v/>
      </c>
      <c r="E591" s="1" t="str">
        <f>IF('1.1 Produksi Bersih Padi 2025'!E591="","",'1.1 Produksi Bersih Padi 2025'!E591)</f>
        <v/>
      </c>
      <c r="F591" s="28" t="str">
        <f>IF(D591="","",VLOOKUP(D591,'[1]0.1 Produksi Pangan &amp; Penduduk'!$D$5:$Y$860,22,0))</f>
        <v/>
      </c>
      <c r="G591" s="30" t="str">
        <f t="shared" si="45"/>
        <v/>
      </c>
      <c r="H591" s="30" t="str">
        <f t="shared" si="46"/>
        <v/>
      </c>
      <c r="I591" s="30" t="str">
        <f t="shared" si="47"/>
        <v/>
      </c>
      <c r="J591" s="30" t="str">
        <f t="shared" si="48"/>
        <v/>
      </c>
      <c r="K591" s="30" t="str">
        <f t="shared" si="49"/>
        <v/>
      </c>
    </row>
    <row r="592" spans="1:11" ht="15" x14ac:dyDescent="0.25">
      <c r="A592" s="1" t="str">
        <f>IF('1.1 Produksi Bersih Padi 2025'!A592="","",'1.1 Produksi Bersih Padi 2025'!A592)</f>
        <v/>
      </c>
      <c r="B592" s="31" t="str">
        <f>IF('1.1 Produksi Bersih Padi 2025'!B592="","",'1.1 Produksi Bersih Padi 2025'!B592)</f>
        <v/>
      </c>
      <c r="C592" s="31" t="str">
        <f>IF('1.1 Produksi Bersih Padi 2025'!C592="","",'1.1 Produksi Bersih Padi 2025'!C592)</f>
        <v/>
      </c>
      <c r="D592" s="1" t="str">
        <f>IF('1.1 Produksi Bersih Padi 2025'!D592="","",'1.1 Produksi Bersih Padi 2025'!D592)</f>
        <v/>
      </c>
      <c r="E592" s="1" t="str">
        <f>IF('1.1 Produksi Bersih Padi 2025'!E592="","",'1.1 Produksi Bersih Padi 2025'!E592)</f>
        <v/>
      </c>
      <c r="F592" s="28" t="str">
        <f>IF(D592="","",VLOOKUP(D592,'[1]0.1 Produksi Pangan &amp; Penduduk'!$D$5:$Y$860,22,0))</f>
        <v/>
      </c>
      <c r="G592" s="30" t="str">
        <f t="shared" si="45"/>
        <v/>
      </c>
      <c r="H592" s="30" t="str">
        <f t="shared" si="46"/>
        <v/>
      </c>
      <c r="I592" s="30" t="str">
        <f t="shared" si="47"/>
        <v/>
      </c>
      <c r="J592" s="30" t="str">
        <f t="shared" si="48"/>
        <v/>
      </c>
      <c r="K592" s="30" t="str">
        <f t="shared" si="49"/>
        <v/>
      </c>
    </row>
    <row r="593" spans="1:11" ht="15" x14ac:dyDescent="0.25">
      <c r="A593" s="1" t="str">
        <f>IF('1.1 Produksi Bersih Padi 2025'!A593="","",'1.1 Produksi Bersih Padi 2025'!A593)</f>
        <v/>
      </c>
      <c r="B593" s="31" t="str">
        <f>IF('1.1 Produksi Bersih Padi 2025'!B593="","",'1.1 Produksi Bersih Padi 2025'!B593)</f>
        <v/>
      </c>
      <c r="C593" s="31" t="str">
        <f>IF('1.1 Produksi Bersih Padi 2025'!C593="","",'1.1 Produksi Bersih Padi 2025'!C593)</f>
        <v/>
      </c>
      <c r="D593" s="1" t="str">
        <f>IF('1.1 Produksi Bersih Padi 2025'!D593="","",'1.1 Produksi Bersih Padi 2025'!D593)</f>
        <v/>
      </c>
      <c r="E593" s="1" t="str">
        <f>IF('1.1 Produksi Bersih Padi 2025'!E593="","",'1.1 Produksi Bersih Padi 2025'!E593)</f>
        <v/>
      </c>
      <c r="F593" s="28" t="str">
        <f>IF(D593="","",VLOOKUP(D593,'[1]0.1 Produksi Pangan &amp; Penduduk'!$D$5:$Y$860,22,0))</f>
        <v/>
      </c>
      <c r="G593" s="30" t="str">
        <f t="shared" si="45"/>
        <v/>
      </c>
      <c r="H593" s="30" t="str">
        <f t="shared" si="46"/>
        <v/>
      </c>
      <c r="I593" s="30" t="str">
        <f t="shared" si="47"/>
        <v/>
      </c>
      <c r="J593" s="30" t="str">
        <f t="shared" si="48"/>
        <v/>
      </c>
      <c r="K593" s="30" t="str">
        <f t="shared" si="49"/>
        <v/>
      </c>
    </row>
    <row r="594" spans="1:11" ht="15" x14ac:dyDescent="0.25">
      <c r="A594" s="1" t="str">
        <f>IF('1.1 Produksi Bersih Padi 2025'!A594="","",'1.1 Produksi Bersih Padi 2025'!A594)</f>
        <v/>
      </c>
      <c r="B594" s="31" t="str">
        <f>IF('1.1 Produksi Bersih Padi 2025'!B594="","",'1.1 Produksi Bersih Padi 2025'!B594)</f>
        <v/>
      </c>
      <c r="C594" s="31" t="str">
        <f>IF('1.1 Produksi Bersih Padi 2025'!C594="","",'1.1 Produksi Bersih Padi 2025'!C594)</f>
        <v/>
      </c>
      <c r="D594" s="1" t="str">
        <f>IF('1.1 Produksi Bersih Padi 2025'!D594="","",'1.1 Produksi Bersih Padi 2025'!D594)</f>
        <v/>
      </c>
      <c r="E594" s="1" t="str">
        <f>IF('1.1 Produksi Bersih Padi 2025'!E594="","",'1.1 Produksi Bersih Padi 2025'!E594)</f>
        <v/>
      </c>
      <c r="F594" s="28" t="str">
        <f>IF(D594="","",VLOOKUP(D594,'[1]0.1 Produksi Pangan &amp; Penduduk'!$D$5:$Y$860,22,0))</f>
        <v/>
      </c>
      <c r="G594" s="30" t="str">
        <f t="shared" si="45"/>
        <v/>
      </c>
      <c r="H594" s="30" t="str">
        <f t="shared" si="46"/>
        <v/>
      </c>
      <c r="I594" s="30" t="str">
        <f t="shared" si="47"/>
        <v/>
      </c>
      <c r="J594" s="30" t="str">
        <f t="shared" si="48"/>
        <v/>
      </c>
      <c r="K594" s="30" t="str">
        <f t="shared" si="49"/>
        <v/>
      </c>
    </row>
    <row r="595" spans="1:11" ht="15" x14ac:dyDescent="0.25">
      <c r="A595" s="1" t="str">
        <f>IF('1.1 Produksi Bersih Padi 2025'!A595="","",'1.1 Produksi Bersih Padi 2025'!A595)</f>
        <v/>
      </c>
      <c r="B595" s="31" t="str">
        <f>IF('1.1 Produksi Bersih Padi 2025'!B595="","",'1.1 Produksi Bersih Padi 2025'!B595)</f>
        <v/>
      </c>
      <c r="C595" s="31" t="str">
        <f>IF('1.1 Produksi Bersih Padi 2025'!C595="","",'1.1 Produksi Bersih Padi 2025'!C595)</f>
        <v/>
      </c>
      <c r="D595" s="1" t="str">
        <f>IF('1.1 Produksi Bersih Padi 2025'!D595="","",'1.1 Produksi Bersih Padi 2025'!D595)</f>
        <v/>
      </c>
      <c r="E595" s="1" t="str">
        <f>IF('1.1 Produksi Bersih Padi 2025'!E595="","",'1.1 Produksi Bersih Padi 2025'!E595)</f>
        <v/>
      </c>
      <c r="F595" s="28" t="str">
        <f>IF(D595="","",VLOOKUP(D595,'[1]0.1 Produksi Pangan &amp; Penduduk'!$D$5:$Y$860,22,0))</f>
        <v/>
      </c>
      <c r="G595" s="30" t="str">
        <f t="shared" si="45"/>
        <v/>
      </c>
      <c r="H595" s="30" t="str">
        <f t="shared" si="46"/>
        <v/>
      </c>
      <c r="I595" s="30" t="str">
        <f t="shared" si="47"/>
        <v/>
      </c>
      <c r="J595" s="30" t="str">
        <f t="shared" si="48"/>
        <v/>
      </c>
      <c r="K595" s="30" t="str">
        <f t="shared" si="49"/>
        <v/>
      </c>
    </row>
    <row r="596" spans="1:11" ht="15" x14ac:dyDescent="0.25">
      <c r="A596" s="1" t="str">
        <f>IF('1.1 Produksi Bersih Padi 2025'!A596="","",'1.1 Produksi Bersih Padi 2025'!A596)</f>
        <v/>
      </c>
      <c r="B596" s="31" t="str">
        <f>IF('1.1 Produksi Bersih Padi 2025'!B596="","",'1.1 Produksi Bersih Padi 2025'!B596)</f>
        <v/>
      </c>
      <c r="C596" s="31" t="str">
        <f>IF('1.1 Produksi Bersih Padi 2025'!C596="","",'1.1 Produksi Bersih Padi 2025'!C596)</f>
        <v/>
      </c>
      <c r="D596" s="1" t="str">
        <f>IF('1.1 Produksi Bersih Padi 2025'!D596="","",'1.1 Produksi Bersih Padi 2025'!D596)</f>
        <v/>
      </c>
      <c r="E596" s="1" t="str">
        <f>IF('1.1 Produksi Bersih Padi 2025'!E596="","",'1.1 Produksi Bersih Padi 2025'!E596)</f>
        <v/>
      </c>
      <c r="F596" s="28" t="str">
        <f>IF(D596="","",VLOOKUP(D596,'[1]0.1 Produksi Pangan &amp; Penduduk'!$D$5:$Y$860,22,0))</f>
        <v/>
      </c>
      <c r="G596" s="30" t="str">
        <f t="shared" si="45"/>
        <v/>
      </c>
      <c r="H596" s="30" t="str">
        <f t="shared" si="46"/>
        <v/>
      </c>
      <c r="I596" s="30" t="str">
        <f t="shared" si="47"/>
        <v/>
      </c>
      <c r="J596" s="30" t="str">
        <f t="shared" si="48"/>
        <v/>
      </c>
      <c r="K596" s="30" t="str">
        <f t="shared" si="49"/>
        <v/>
      </c>
    </row>
    <row r="597" spans="1:11" ht="15" x14ac:dyDescent="0.25">
      <c r="A597" s="1" t="str">
        <f>IF('1.1 Produksi Bersih Padi 2025'!A597="","",'1.1 Produksi Bersih Padi 2025'!A597)</f>
        <v/>
      </c>
      <c r="B597" s="31" t="str">
        <f>IF('1.1 Produksi Bersih Padi 2025'!B597="","",'1.1 Produksi Bersih Padi 2025'!B597)</f>
        <v/>
      </c>
      <c r="C597" s="31" t="str">
        <f>IF('1.1 Produksi Bersih Padi 2025'!C597="","",'1.1 Produksi Bersih Padi 2025'!C597)</f>
        <v/>
      </c>
      <c r="D597" s="1" t="str">
        <f>IF('1.1 Produksi Bersih Padi 2025'!D597="","",'1.1 Produksi Bersih Padi 2025'!D597)</f>
        <v/>
      </c>
      <c r="E597" s="1" t="str">
        <f>IF('1.1 Produksi Bersih Padi 2025'!E597="","",'1.1 Produksi Bersih Padi 2025'!E597)</f>
        <v/>
      </c>
      <c r="F597" s="28" t="str">
        <f>IF(D597="","",VLOOKUP(D597,'[1]0.1 Produksi Pangan &amp; Penduduk'!$D$5:$Y$860,22,0))</f>
        <v/>
      </c>
      <c r="G597" s="30" t="str">
        <f t="shared" si="45"/>
        <v/>
      </c>
      <c r="H597" s="30" t="str">
        <f t="shared" si="46"/>
        <v/>
      </c>
      <c r="I597" s="30" t="str">
        <f t="shared" si="47"/>
        <v/>
      </c>
      <c r="J597" s="30" t="str">
        <f t="shared" si="48"/>
        <v/>
      </c>
      <c r="K597" s="30" t="str">
        <f t="shared" si="49"/>
        <v/>
      </c>
    </row>
    <row r="598" spans="1:11" ht="15" x14ac:dyDescent="0.25">
      <c r="A598" s="1" t="str">
        <f>IF('1.1 Produksi Bersih Padi 2025'!A598="","",'1.1 Produksi Bersih Padi 2025'!A598)</f>
        <v/>
      </c>
      <c r="B598" s="31" t="str">
        <f>IF('1.1 Produksi Bersih Padi 2025'!B598="","",'1.1 Produksi Bersih Padi 2025'!B598)</f>
        <v/>
      </c>
      <c r="C598" s="31" t="str">
        <f>IF('1.1 Produksi Bersih Padi 2025'!C598="","",'1.1 Produksi Bersih Padi 2025'!C598)</f>
        <v/>
      </c>
      <c r="D598" s="1" t="str">
        <f>IF('1.1 Produksi Bersih Padi 2025'!D598="","",'1.1 Produksi Bersih Padi 2025'!D598)</f>
        <v/>
      </c>
      <c r="E598" s="1" t="str">
        <f>IF('1.1 Produksi Bersih Padi 2025'!E598="","",'1.1 Produksi Bersih Padi 2025'!E598)</f>
        <v/>
      </c>
      <c r="F598" s="28" t="str">
        <f>IF(D598="","",VLOOKUP(D598,'[1]0.1 Produksi Pangan &amp; Penduduk'!$D$5:$Y$860,22,0))</f>
        <v/>
      </c>
      <c r="G598" s="30" t="str">
        <f t="shared" si="45"/>
        <v/>
      </c>
      <c r="H598" s="30" t="str">
        <f t="shared" si="46"/>
        <v/>
      </c>
      <c r="I598" s="30" t="str">
        <f t="shared" si="47"/>
        <v/>
      </c>
      <c r="J598" s="30" t="str">
        <f t="shared" si="48"/>
        <v/>
      </c>
      <c r="K598" s="30" t="str">
        <f t="shared" si="49"/>
        <v/>
      </c>
    </row>
    <row r="599" spans="1:11" ht="15" x14ac:dyDescent="0.25">
      <c r="A599" s="1" t="str">
        <f>IF('1.1 Produksi Bersih Padi 2025'!A599="","",'1.1 Produksi Bersih Padi 2025'!A599)</f>
        <v/>
      </c>
      <c r="B599" s="31" t="str">
        <f>IF('1.1 Produksi Bersih Padi 2025'!B599="","",'1.1 Produksi Bersih Padi 2025'!B599)</f>
        <v/>
      </c>
      <c r="C599" s="31" t="str">
        <f>IF('1.1 Produksi Bersih Padi 2025'!C599="","",'1.1 Produksi Bersih Padi 2025'!C599)</f>
        <v/>
      </c>
      <c r="D599" s="1" t="str">
        <f>IF('1.1 Produksi Bersih Padi 2025'!D599="","",'1.1 Produksi Bersih Padi 2025'!D599)</f>
        <v/>
      </c>
      <c r="E599" s="1" t="str">
        <f>IF('1.1 Produksi Bersih Padi 2025'!E599="","",'1.1 Produksi Bersih Padi 2025'!E599)</f>
        <v/>
      </c>
      <c r="F599" s="28" t="str">
        <f>IF(D599="","",VLOOKUP(D599,'[1]0.1 Produksi Pangan &amp; Penduduk'!$D$5:$Y$860,22,0))</f>
        <v/>
      </c>
      <c r="G599" s="30" t="str">
        <f t="shared" si="45"/>
        <v/>
      </c>
      <c r="H599" s="30" t="str">
        <f t="shared" si="46"/>
        <v/>
      </c>
      <c r="I599" s="30" t="str">
        <f t="shared" si="47"/>
        <v/>
      </c>
      <c r="J599" s="30" t="str">
        <f t="shared" si="48"/>
        <v/>
      </c>
      <c r="K599" s="30" t="str">
        <f t="shared" si="49"/>
        <v/>
      </c>
    </row>
    <row r="600" spans="1:11" ht="15" x14ac:dyDescent="0.25">
      <c r="A600" s="1" t="str">
        <f>IF('1.1 Produksi Bersih Padi 2025'!A600="","",'1.1 Produksi Bersih Padi 2025'!A600)</f>
        <v/>
      </c>
      <c r="B600" s="31" t="str">
        <f>IF('1.1 Produksi Bersih Padi 2025'!B600="","",'1.1 Produksi Bersih Padi 2025'!B600)</f>
        <v/>
      </c>
      <c r="C600" s="31" t="str">
        <f>IF('1.1 Produksi Bersih Padi 2025'!C600="","",'1.1 Produksi Bersih Padi 2025'!C600)</f>
        <v/>
      </c>
      <c r="D600" s="1" t="str">
        <f>IF('1.1 Produksi Bersih Padi 2025'!D600="","",'1.1 Produksi Bersih Padi 2025'!D600)</f>
        <v/>
      </c>
      <c r="E600" s="1" t="str">
        <f>IF('1.1 Produksi Bersih Padi 2025'!E600="","",'1.1 Produksi Bersih Padi 2025'!E600)</f>
        <v/>
      </c>
      <c r="F600" s="28" t="str">
        <f>IF(D600="","",VLOOKUP(D600,'[1]0.1 Produksi Pangan &amp; Penduduk'!$D$5:$Y$860,22,0))</f>
        <v/>
      </c>
      <c r="G600" s="30" t="str">
        <f t="shared" si="45"/>
        <v/>
      </c>
      <c r="H600" s="30" t="str">
        <f t="shared" si="46"/>
        <v/>
      </c>
      <c r="I600" s="30" t="str">
        <f t="shared" si="47"/>
        <v/>
      </c>
      <c r="J600" s="30" t="str">
        <f t="shared" si="48"/>
        <v/>
      </c>
      <c r="K600" s="30" t="str">
        <f t="shared" si="49"/>
        <v/>
      </c>
    </row>
    <row r="601" spans="1:11" ht="15" x14ac:dyDescent="0.25">
      <c r="A601" s="1" t="str">
        <f>IF('1.1 Produksi Bersih Padi 2025'!A601="","",'1.1 Produksi Bersih Padi 2025'!A601)</f>
        <v/>
      </c>
      <c r="B601" s="31" t="str">
        <f>IF('1.1 Produksi Bersih Padi 2025'!B601="","",'1.1 Produksi Bersih Padi 2025'!B601)</f>
        <v/>
      </c>
      <c r="C601" s="31" t="str">
        <f>IF('1.1 Produksi Bersih Padi 2025'!C601="","",'1.1 Produksi Bersih Padi 2025'!C601)</f>
        <v/>
      </c>
      <c r="D601" s="1" t="str">
        <f>IF('1.1 Produksi Bersih Padi 2025'!D601="","",'1.1 Produksi Bersih Padi 2025'!D601)</f>
        <v/>
      </c>
      <c r="E601" s="1" t="str">
        <f>IF('1.1 Produksi Bersih Padi 2025'!E601="","",'1.1 Produksi Bersih Padi 2025'!E601)</f>
        <v/>
      </c>
      <c r="F601" s="28" t="str">
        <f>IF(D601="","",VLOOKUP(D601,'[1]0.1 Produksi Pangan &amp; Penduduk'!$D$5:$Y$860,22,0))</f>
        <v/>
      </c>
      <c r="G601" s="30" t="str">
        <f t="shared" si="45"/>
        <v/>
      </c>
      <c r="H601" s="30" t="str">
        <f t="shared" si="46"/>
        <v/>
      </c>
      <c r="I601" s="30" t="str">
        <f t="shared" si="47"/>
        <v/>
      </c>
      <c r="J601" s="30" t="str">
        <f t="shared" si="48"/>
        <v/>
      </c>
      <c r="K601" s="30" t="str">
        <f t="shared" si="49"/>
        <v/>
      </c>
    </row>
    <row r="602" spans="1:11" ht="15" x14ac:dyDescent="0.25">
      <c r="A602" s="1" t="str">
        <f>IF('1.1 Produksi Bersih Padi 2025'!A602="","",'1.1 Produksi Bersih Padi 2025'!A602)</f>
        <v/>
      </c>
      <c r="B602" s="31" t="str">
        <f>IF('1.1 Produksi Bersih Padi 2025'!B602="","",'1.1 Produksi Bersih Padi 2025'!B602)</f>
        <v/>
      </c>
      <c r="C602" s="31" t="str">
        <f>IF('1.1 Produksi Bersih Padi 2025'!C602="","",'1.1 Produksi Bersih Padi 2025'!C602)</f>
        <v/>
      </c>
      <c r="D602" s="1" t="str">
        <f>IF('1.1 Produksi Bersih Padi 2025'!D602="","",'1.1 Produksi Bersih Padi 2025'!D602)</f>
        <v/>
      </c>
      <c r="E602" s="1" t="str">
        <f>IF('1.1 Produksi Bersih Padi 2025'!E602="","",'1.1 Produksi Bersih Padi 2025'!E602)</f>
        <v/>
      </c>
      <c r="F602" s="28" t="str">
        <f>IF(D602="","",VLOOKUP(D602,'[1]0.1 Produksi Pangan &amp; Penduduk'!$D$5:$Y$860,22,0))</f>
        <v/>
      </c>
      <c r="G602" s="30" t="str">
        <f t="shared" si="45"/>
        <v/>
      </c>
      <c r="H602" s="30" t="str">
        <f t="shared" si="46"/>
        <v/>
      </c>
      <c r="I602" s="30" t="str">
        <f t="shared" si="47"/>
        <v/>
      </c>
      <c r="J602" s="30" t="str">
        <f t="shared" si="48"/>
        <v/>
      </c>
      <c r="K602" s="30" t="str">
        <f t="shared" si="49"/>
        <v/>
      </c>
    </row>
    <row r="603" spans="1:11" ht="15" x14ac:dyDescent="0.25">
      <c r="A603" s="1" t="str">
        <f>IF('1.1 Produksi Bersih Padi 2025'!A603="","",'1.1 Produksi Bersih Padi 2025'!A603)</f>
        <v/>
      </c>
      <c r="B603" s="31" t="str">
        <f>IF('1.1 Produksi Bersih Padi 2025'!B603="","",'1.1 Produksi Bersih Padi 2025'!B603)</f>
        <v/>
      </c>
      <c r="C603" s="31" t="str">
        <f>IF('1.1 Produksi Bersih Padi 2025'!C603="","",'1.1 Produksi Bersih Padi 2025'!C603)</f>
        <v/>
      </c>
      <c r="D603" s="1" t="str">
        <f>IF('1.1 Produksi Bersih Padi 2025'!D603="","",'1.1 Produksi Bersih Padi 2025'!D603)</f>
        <v/>
      </c>
      <c r="E603" s="1" t="str">
        <f>IF('1.1 Produksi Bersih Padi 2025'!E603="","",'1.1 Produksi Bersih Padi 2025'!E603)</f>
        <v/>
      </c>
      <c r="F603" s="28" t="str">
        <f>IF(D603="","",VLOOKUP(D603,'[1]0.1 Produksi Pangan &amp; Penduduk'!$D$5:$Y$860,22,0))</f>
        <v/>
      </c>
      <c r="G603" s="30" t="str">
        <f t="shared" si="45"/>
        <v/>
      </c>
      <c r="H603" s="30" t="str">
        <f t="shared" si="46"/>
        <v/>
      </c>
      <c r="I603" s="30" t="str">
        <f t="shared" si="47"/>
        <v/>
      </c>
      <c r="J603" s="30" t="str">
        <f t="shared" si="48"/>
        <v/>
      </c>
      <c r="K603" s="30" t="str">
        <f t="shared" si="49"/>
        <v/>
      </c>
    </row>
    <row r="604" spans="1:11" ht="15" x14ac:dyDescent="0.25">
      <c r="A604" s="1" t="str">
        <f>IF('1.1 Produksi Bersih Padi 2025'!A604="","",'1.1 Produksi Bersih Padi 2025'!A604)</f>
        <v/>
      </c>
      <c r="B604" s="31" t="str">
        <f>IF('1.1 Produksi Bersih Padi 2025'!B604="","",'1.1 Produksi Bersih Padi 2025'!B604)</f>
        <v/>
      </c>
      <c r="C604" s="31" t="str">
        <f>IF('1.1 Produksi Bersih Padi 2025'!C604="","",'1.1 Produksi Bersih Padi 2025'!C604)</f>
        <v/>
      </c>
      <c r="D604" s="1" t="str">
        <f>IF('1.1 Produksi Bersih Padi 2025'!D604="","",'1.1 Produksi Bersih Padi 2025'!D604)</f>
        <v/>
      </c>
      <c r="E604" s="1" t="str">
        <f>IF('1.1 Produksi Bersih Padi 2025'!E604="","",'1.1 Produksi Bersih Padi 2025'!E604)</f>
        <v/>
      </c>
      <c r="F604" s="28" t="str">
        <f>IF(D604="","",VLOOKUP(D604,'[1]0.1 Produksi Pangan &amp; Penduduk'!$D$5:$Y$860,22,0))</f>
        <v/>
      </c>
      <c r="G604" s="30" t="str">
        <f t="shared" si="45"/>
        <v/>
      </c>
      <c r="H604" s="30" t="str">
        <f t="shared" si="46"/>
        <v/>
      </c>
      <c r="I604" s="30" t="str">
        <f t="shared" si="47"/>
        <v/>
      </c>
      <c r="J604" s="30" t="str">
        <f t="shared" si="48"/>
        <v/>
      </c>
      <c r="K604" s="30" t="str">
        <f t="shared" si="49"/>
        <v/>
      </c>
    </row>
    <row r="605" spans="1:11" ht="15" x14ac:dyDescent="0.25">
      <c r="A605" s="1" t="str">
        <f>IF('1.1 Produksi Bersih Padi 2025'!A605="","",'1.1 Produksi Bersih Padi 2025'!A605)</f>
        <v/>
      </c>
      <c r="B605" s="31" t="str">
        <f>IF('1.1 Produksi Bersih Padi 2025'!B605="","",'1.1 Produksi Bersih Padi 2025'!B605)</f>
        <v/>
      </c>
      <c r="C605" s="31" t="str">
        <f>IF('1.1 Produksi Bersih Padi 2025'!C605="","",'1.1 Produksi Bersih Padi 2025'!C605)</f>
        <v/>
      </c>
      <c r="D605" s="1" t="str">
        <f>IF('1.1 Produksi Bersih Padi 2025'!D605="","",'1.1 Produksi Bersih Padi 2025'!D605)</f>
        <v/>
      </c>
      <c r="E605" s="1" t="str">
        <f>IF('1.1 Produksi Bersih Padi 2025'!E605="","",'1.1 Produksi Bersih Padi 2025'!E605)</f>
        <v/>
      </c>
      <c r="F605" s="28" t="str">
        <f>IF(D605="","",VLOOKUP(D605,'[1]0.1 Produksi Pangan &amp; Penduduk'!$D$5:$Y$860,22,0))</f>
        <v/>
      </c>
      <c r="G605" s="30" t="str">
        <f t="shared" si="45"/>
        <v/>
      </c>
      <c r="H605" s="30" t="str">
        <f t="shared" si="46"/>
        <v/>
      </c>
      <c r="I605" s="30" t="str">
        <f t="shared" si="47"/>
        <v/>
      </c>
      <c r="J605" s="30" t="str">
        <f t="shared" si="48"/>
        <v/>
      </c>
      <c r="K605" s="30" t="str">
        <f t="shared" si="49"/>
        <v/>
      </c>
    </row>
    <row r="606" spans="1:11" ht="15" x14ac:dyDescent="0.25">
      <c r="A606" s="1" t="str">
        <f>IF('1.1 Produksi Bersih Padi 2025'!A606="","",'1.1 Produksi Bersih Padi 2025'!A606)</f>
        <v/>
      </c>
      <c r="B606" s="31" t="str">
        <f>IF('1.1 Produksi Bersih Padi 2025'!B606="","",'1.1 Produksi Bersih Padi 2025'!B606)</f>
        <v/>
      </c>
      <c r="C606" s="31" t="str">
        <f>IF('1.1 Produksi Bersih Padi 2025'!C606="","",'1.1 Produksi Bersih Padi 2025'!C606)</f>
        <v/>
      </c>
      <c r="D606" s="1" t="str">
        <f>IF('1.1 Produksi Bersih Padi 2025'!D606="","",'1.1 Produksi Bersih Padi 2025'!D606)</f>
        <v/>
      </c>
      <c r="E606" s="1" t="str">
        <f>IF('1.1 Produksi Bersih Padi 2025'!E606="","",'1.1 Produksi Bersih Padi 2025'!E606)</f>
        <v/>
      </c>
      <c r="F606" s="28" t="str">
        <f>IF(D606="","",VLOOKUP(D606,'[1]0.1 Produksi Pangan &amp; Penduduk'!$D$5:$Y$860,22,0))</f>
        <v/>
      </c>
      <c r="G606" s="30" t="str">
        <f t="shared" si="45"/>
        <v/>
      </c>
      <c r="H606" s="30" t="str">
        <f t="shared" si="46"/>
        <v/>
      </c>
      <c r="I606" s="30" t="str">
        <f t="shared" si="47"/>
        <v/>
      </c>
      <c r="J606" s="30" t="str">
        <f t="shared" si="48"/>
        <v/>
      </c>
      <c r="K606" s="30" t="str">
        <f t="shared" si="49"/>
        <v/>
      </c>
    </row>
    <row r="607" spans="1:11" ht="15" x14ac:dyDescent="0.25">
      <c r="A607" s="1" t="str">
        <f>IF('1.1 Produksi Bersih Padi 2025'!A607="","",'1.1 Produksi Bersih Padi 2025'!A607)</f>
        <v/>
      </c>
      <c r="B607" s="31" t="str">
        <f>IF('1.1 Produksi Bersih Padi 2025'!B607="","",'1.1 Produksi Bersih Padi 2025'!B607)</f>
        <v/>
      </c>
      <c r="C607" s="31" t="str">
        <f>IF('1.1 Produksi Bersih Padi 2025'!C607="","",'1.1 Produksi Bersih Padi 2025'!C607)</f>
        <v/>
      </c>
      <c r="D607" s="1" t="str">
        <f>IF('1.1 Produksi Bersih Padi 2025'!D607="","",'1.1 Produksi Bersih Padi 2025'!D607)</f>
        <v/>
      </c>
      <c r="E607" s="1" t="str">
        <f>IF('1.1 Produksi Bersih Padi 2025'!E607="","",'1.1 Produksi Bersih Padi 2025'!E607)</f>
        <v/>
      </c>
      <c r="F607" s="28" t="str">
        <f>IF(D607="","",VLOOKUP(D607,'[1]0.1 Produksi Pangan &amp; Penduduk'!$D$5:$Y$860,22,0))</f>
        <v/>
      </c>
      <c r="G607" s="30" t="str">
        <f t="shared" si="45"/>
        <v/>
      </c>
      <c r="H607" s="30" t="str">
        <f t="shared" si="46"/>
        <v/>
      </c>
      <c r="I607" s="30" t="str">
        <f t="shared" si="47"/>
        <v/>
      </c>
      <c r="J607" s="30" t="str">
        <f t="shared" si="48"/>
        <v/>
      </c>
      <c r="K607" s="30" t="str">
        <f t="shared" si="49"/>
        <v/>
      </c>
    </row>
    <row r="608" spans="1:11" ht="15" x14ac:dyDescent="0.25">
      <c r="A608" s="1" t="str">
        <f>IF('1.1 Produksi Bersih Padi 2025'!A608="","",'1.1 Produksi Bersih Padi 2025'!A608)</f>
        <v/>
      </c>
      <c r="B608" s="31" t="str">
        <f>IF('1.1 Produksi Bersih Padi 2025'!B608="","",'1.1 Produksi Bersih Padi 2025'!B608)</f>
        <v/>
      </c>
      <c r="C608" s="31" t="str">
        <f>IF('1.1 Produksi Bersih Padi 2025'!C608="","",'1.1 Produksi Bersih Padi 2025'!C608)</f>
        <v/>
      </c>
      <c r="D608" s="1" t="str">
        <f>IF('1.1 Produksi Bersih Padi 2025'!D608="","",'1.1 Produksi Bersih Padi 2025'!D608)</f>
        <v/>
      </c>
      <c r="E608" s="1" t="str">
        <f>IF('1.1 Produksi Bersih Padi 2025'!E608="","",'1.1 Produksi Bersih Padi 2025'!E608)</f>
        <v/>
      </c>
      <c r="F608" s="28" t="str">
        <f>IF(D608="","",VLOOKUP(D608,'[1]0.1 Produksi Pangan &amp; Penduduk'!$D$5:$Y$860,22,0))</f>
        <v/>
      </c>
      <c r="G608" s="30" t="str">
        <f t="shared" si="45"/>
        <v/>
      </c>
      <c r="H608" s="30" t="str">
        <f t="shared" si="46"/>
        <v/>
      </c>
      <c r="I608" s="30" t="str">
        <f t="shared" si="47"/>
        <v/>
      </c>
      <c r="J608" s="30" t="str">
        <f t="shared" si="48"/>
        <v/>
      </c>
      <c r="K608" s="30" t="str">
        <f t="shared" si="49"/>
        <v/>
      </c>
    </row>
    <row r="609" spans="1:11" ht="15" x14ac:dyDescent="0.25">
      <c r="A609" s="1" t="str">
        <f>IF('1.1 Produksi Bersih Padi 2025'!A609="","",'1.1 Produksi Bersih Padi 2025'!A609)</f>
        <v/>
      </c>
      <c r="B609" s="31" t="str">
        <f>IF('1.1 Produksi Bersih Padi 2025'!B609="","",'1.1 Produksi Bersih Padi 2025'!B609)</f>
        <v/>
      </c>
      <c r="C609" s="31" t="str">
        <f>IF('1.1 Produksi Bersih Padi 2025'!C609="","",'1.1 Produksi Bersih Padi 2025'!C609)</f>
        <v/>
      </c>
      <c r="D609" s="1" t="str">
        <f>IF('1.1 Produksi Bersih Padi 2025'!D609="","",'1.1 Produksi Bersih Padi 2025'!D609)</f>
        <v/>
      </c>
      <c r="E609" s="1" t="str">
        <f>IF('1.1 Produksi Bersih Padi 2025'!E609="","",'1.1 Produksi Bersih Padi 2025'!E609)</f>
        <v/>
      </c>
      <c r="F609" s="28" t="str">
        <f>IF(D609="","",VLOOKUP(D609,'[1]0.1 Produksi Pangan &amp; Penduduk'!$D$5:$Y$860,22,0))</f>
        <v/>
      </c>
      <c r="G609" s="30" t="str">
        <f t="shared" si="45"/>
        <v/>
      </c>
      <c r="H609" s="30" t="str">
        <f t="shared" si="46"/>
        <v/>
      </c>
      <c r="I609" s="30" t="str">
        <f t="shared" si="47"/>
        <v/>
      </c>
      <c r="J609" s="30" t="str">
        <f t="shared" si="48"/>
        <v/>
      </c>
      <c r="K609" s="30" t="str">
        <f t="shared" si="49"/>
        <v/>
      </c>
    </row>
    <row r="610" spans="1:11" ht="15" x14ac:dyDescent="0.25">
      <c r="A610" s="1" t="str">
        <f>IF('1.1 Produksi Bersih Padi 2025'!A610="","",'1.1 Produksi Bersih Padi 2025'!A610)</f>
        <v/>
      </c>
      <c r="B610" s="31" t="str">
        <f>IF('1.1 Produksi Bersih Padi 2025'!B610="","",'1.1 Produksi Bersih Padi 2025'!B610)</f>
        <v/>
      </c>
      <c r="C610" s="31" t="str">
        <f>IF('1.1 Produksi Bersih Padi 2025'!C610="","",'1.1 Produksi Bersih Padi 2025'!C610)</f>
        <v/>
      </c>
      <c r="D610" s="1" t="str">
        <f>IF('1.1 Produksi Bersih Padi 2025'!D610="","",'1.1 Produksi Bersih Padi 2025'!D610)</f>
        <v/>
      </c>
      <c r="E610" s="1" t="str">
        <f>IF('1.1 Produksi Bersih Padi 2025'!E610="","",'1.1 Produksi Bersih Padi 2025'!E610)</f>
        <v/>
      </c>
      <c r="F610" s="28" t="str">
        <f>IF(D610="","",VLOOKUP(D610,'[1]0.1 Produksi Pangan &amp; Penduduk'!$D$5:$Y$860,22,0))</f>
        <v/>
      </c>
      <c r="G610" s="30" t="str">
        <f t="shared" si="45"/>
        <v/>
      </c>
      <c r="H610" s="30" t="str">
        <f t="shared" si="46"/>
        <v/>
      </c>
      <c r="I610" s="30" t="str">
        <f t="shared" si="47"/>
        <v/>
      </c>
      <c r="J610" s="30" t="str">
        <f t="shared" si="48"/>
        <v/>
      </c>
      <c r="K610" s="30" t="str">
        <f t="shared" si="49"/>
        <v/>
      </c>
    </row>
    <row r="611" spans="1:11" ht="15" x14ac:dyDescent="0.25">
      <c r="A611" s="1" t="str">
        <f>IF('1.1 Produksi Bersih Padi 2025'!A611="","",'1.1 Produksi Bersih Padi 2025'!A611)</f>
        <v/>
      </c>
      <c r="B611" s="31" t="str">
        <f>IF('1.1 Produksi Bersih Padi 2025'!B611="","",'1.1 Produksi Bersih Padi 2025'!B611)</f>
        <v/>
      </c>
      <c r="C611" s="31" t="str">
        <f>IF('1.1 Produksi Bersih Padi 2025'!C611="","",'1.1 Produksi Bersih Padi 2025'!C611)</f>
        <v/>
      </c>
      <c r="D611" s="1" t="str">
        <f>IF('1.1 Produksi Bersih Padi 2025'!D611="","",'1.1 Produksi Bersih Padi 2025'!D611)</f>
        <v/>
      </c>
      <c r="E611" s="1" t="str">
        <f>IF('1.1 Produksi Bersih Padi 2025'!E611="","",'1.1 Produksi Bersih Padi 2025'!E611)</f>
        <v/>
      </c>
      <c r="F611" s="28" t="str">
        <f>IF(D611="","",VLOOKUP(D611,'[1]0.1 Produksi Pangan &amp; Penduduk'!$D$5:$Y$860,22,0))</f>
        <v/>
      </c>
      <c r="G611" s="30" t="str">
        <f t="shared" si="45"/>
        <v/>
      </c>
      <c r="H611" s="30" t="str">
        <f t="shared" si="46"/>
        <v/>
      </c>
      <c r="I611" s="30" t="str">
        <f t="shared" si="47"/>
        <v/>
      </c>
      <c r="J611" s="30" t="str">
        <f t="shared" si="48"/>
        <v/>
      </c>
      <c r="K611" s="30" t="str">
        <f t="shared" si="49"/>
        <v/>
      </c>
    </row>
    <row r="612" spans="1:11" ht="15" x14ac:dyDescent="0.25">
      <c r="A612" s="1" t="str">
        <f>IF('1.1 Produksi Bersih Padi 2025'!A612="","",'1.1 Produksi Bersih Padi 2025'!A612)</f>
        <v/>
      </c>
      <c r="B612" s="31" t="str">
        <f>IF('1.1 Produksi Bersih Padi 2025'!B612="","",'1.1 Produksi Bersih Padi 2025'!B612)</f>
        <v/>
      </c>
      <c r="C612" s="31" t="str">
        <f>IF('1.1 Produksi Bersih Padi 2025'!C612="","",'1.1 Produksi Bersih Padi 2025'!C612)</f>
        <v/>
      </c>
      <c r="D612" s="1" t="str">
        <f>IF('1.1 Produksi Bersih Padi 2025'!D612="","",'1.1 Produksi Bersih Padi 2025'!D612)</f>
        <v/>
      </c>
      <c r="E612" s="1" t="str">
        <f>IF('1.1 Produksi Bersih Padi 2025'!E612="","",'1.1 Produksi Bersih Padi 2025'!E612)</f>
        <v/>
      </c>
      <c r="F612" s="28" t="str">
        <f>IF(D612="","",VLOOKUP(D612,'[1]0.1 Produksi Pangan &amp; Penduduk'!$D$5:$Y$860,22,0))</f>
        <v/>
      </c>
      <c r="G612" s="30" t="str">
        <f t="shared" si="45"/>
        <v/>
      </c>
      <c r="H612" s="30" t="str">
        <f t="shared" si="46"/>
        <v/>
      </c>
      <c r="I612" s="30" t="str">
        <f t="shared" si="47"/>
        <v/>
      </c>
      <c r="J612" s="30" t="str">
        <f t="shared" si="48"/>
        <v/>
      </c>
      <c r="K612" s="30" t="str">
        <f t="shared" si="49"/>
        <v/>
      </c>
    </row>
    <row r="613" spans="1:11" ht="15" x14ac:dyDescent="0.25">
      <c r="A613" s="1" t="str">
        <f>IF('1.1 Produksi Bersih Padi 2025'!A613="","",'1.1 Produksi Bersih Padi 2025'!A613)</f>
        <v/>
      </c>
      <c r="B613" s="31" t="str">
        <f>IF('1.1 Produksi Bersih Padi 2025'!B613="","",'1.1 Produksi Bersih Padi 2025'!B613)</f>
        <v/>
      </c>
      <c r="C613" s="31" t="str">
        <f>IF('1.1 Produksi Bersih Padi 2025'!C613="","",'1.1 Produksi Bersih Padi 2025'!C613)</f>
        <v/>
      </c>
      <c r="D613" s="1" t="str">
        <f>IF('1.1 Produksi Bersih Padi 2025'!D613="","",'1.1 Produksi Bersih Padi 2025'!D613)</f>
        <v/>
      </c>
      <c r="E613" s="1" t="str">
        <f>IF('1.1 Produksi Bersih Padi 2025'!E613="","",'1.1 Produksi Bersih Padi 2025'!E613)</f>
        <v/>
      </c>
      <c r="F613" s="28" t="str">
        <f>IF(D613="","",VLOOKUP(D613,'[1]0.1 Produksi Pangan &amp; Penduduk'!$D$5:$Y$860,22,0))</f>
        <v/>
      </c>
      <c r="G613" s="30" t="str">
        <f t="shared" si="45"/>
        <v/>
      </c>
      <c r="H613" s="30" t="str">
        <f t="shared" si="46"/>
        <v/>
      </c>
      <c r="I613" s="30" t="str">
        <f t="shared" si="47"/>
        <v/>
      </c>
      <c r="J613" s="30" t="str">
        <f t="shared" si="48"/>
        <v/>
      </c>
      <c r="K613" s="30" t="str">
        <f t="shared" si="49"/>
        <v/>
      </c>
    </row>
    <row r="614" spans="1:11" ht="15" x14ac:dyDescent="0.25">
      <c r="A614" s="1" t="str">
        <f>IF('1.1 Produksi Bersih Padi 2025'!A614="","",'1.1 Produksi Bersih Padi 2025'!A614)</f>
        <v/>
      </c>
      <c r="B614" s="31" t="str">
        <f>IF('1.1 Produksi Bersih Padi 2025'!B614="","",'1.1 Produksi Bersih Padi 2025'!B614)</f>
        <v/>
      </c>
      <c r="C614" s="31" t="str">
        <f>IF('1.1 Produksi Bersih Padi 2025'!C614="","",'1.1 Produksi Bersih Padi 2025'!C614)</f>
        <v/>
      </c>
      <c r="D614" s="1" t="str">
        <f>IF('1.1 Produksi Bersih Padi 2025'!D614="","",'1.1 Produksi Bersih Padi 2025'!D614)</f>
        <v/>
      </c>
      <c r="E614" s="1" t="str">
        <f>IF('1.1 Produksi Bersih Padi 2025'!E614="","",'1.1 Produksi Bersih Padi 2025'!E614)</f>
        <v/>
      </c>
      <c r="F614" s="28" t="str">
        <f>IF(D614="","",VLOOKUP(D614,'[1]0.1 Produksi Pangan &amp; Penduduk'!$D$5:$Y$860,22,0))</f>
        <v/>
      </c>
      <c r="G614" s="30" t="str">
        <f t="shared" si="45"/>
        <v/>
      </c>
      <c r="H614" s="30" t="str">
        <f t="shared" si="46"/>
        <v/>
      </c>
      <c r="I614" s="30" t="str">
        <f t="shared" si="47"/>
        <v/>
      </c>
      <c r="J614" s="30" t="str">
        <f t="shared" si="48"/>
        <v/>
      </c>
      <c r="K614" s="30" t="str">
        <f t="shared" si="49"/>
        <v/>
      </c>
    </row>
    <row r="615" spans="1:11" ht="15" x14ac:dyDescent="0.25">
      <c r="A615" s="1" t="str">
        <f>IF('1.1 Produksi Bersih Padi 2025'!A615="","",'1.1 Produksi Bersih Padi 2025'!A615)</f>
        <v/>
      </c>
      <c r="B615" s="31" t="str">
        <f>IF('1.1 Produksi Bersih Padi 2025'!B615="","",'1.1 Produksi Bersih Padi 2025'!B615)</f>
        <v/>
      </c>
      <c r="C615" s="31" t="str">
        <f>IF('1.1 Produksi Bersih Padi 2025'!C615="","",'1.1 Produksi Bersih Padi 2025'!C615)</f>
        <v/>
      </c>
      <c r="D615" s="1" t="str">
        <f>IF('1.1 Produksi Bersih Padi 2025'!D615="","",'1.1 Produksi Bersih Padi 2025'!D615)</f>
        <v/>
      </c>
      <c r="E615" s="1" t="str">
        <f>IF('1.1 Produksi Bersih Padi 2025'!E615="","",'1.1 Produksi Bersih Padi 2025'!E615)</f>
        <v/>
      </c>
      <c r="F615" s="28" t="str">
        <f>IF(D615="","",VLOOKUP(D615,'[1]0.1 Produksi Pangan &amp; Penduduk'!$D$5:$Y$860,22,0))</f>
        <v/>
      </c>
      <c r="G615" s="30" t="str">
        <f t="shared" si="45"/>
        <v/>
      </c>
      <c r="H615" s="30" t="str">
        <f t="shared" si="46"/>
        <v/>
      </c>
      <c r="I615" s="30" t="str">
        <f t="shared" si="47"/>
        <v/>
      </c>
      <c r="J615" s="30" t="str">
        <f t="shared" si="48"/>
        <v/>
      </c>
      <c r="K615" s="30" t="str">
        <f t="shared" si="49"/>
        <v/>
      </c>
    </row>
    <row r="616" spans="1:11" ht="15" x14ac:dyDescent="0.25">
      <c r="A616" s="1" t="str">
        <f>IF('1.1 Produksi Bersih Padi 2025'!A616="","",'1.1 Produksi Bersih Padi 2025'!A616)</f>
        <v/>
      </c>
      <c r="B616" s="31" t="str">
        <f>IF('1.1 Produksi Bersih Padi 2025'!B616="","",'1.1 Produksi Bersih Padi 2025'!B616)</f>
        <v/>
      </c>
      <c r="C616" s="31" t="str">
        <f>IF('1.1 Produksi Bersih Padi 2025'!C616="","",'1.1 Produksi Bersih Padi 2025'!C616)</f>
        <v/>
      </c>
      <c r="D616" s="1" t="str">
        <f>IF('1.1 Produksi Bersih Padi 2025'!D616="","",'1.1 Produksi Bersih Padi 2025'!D616)</f>
        <v/>
      </c>
      <c r="E616" s="1" t="str">
        <f>IF('1.1 Produksi Bersih Padi 2025'!E616="","",'1.1 Produksi Bersih Padi 2025'!E616)</f>
        <v/>
      </c>
      <c r="F616" s="28" t="str">
        <f>IF(D616="","",VLOOKUP(D616,'[1]0.1 Produksi Pangan &amp; Penduduk'!$D$5:$Y$860,22,0))</f>
        <v/>
      </c>
      <c r="G616" s="30" t="str">
        <f t="shared" si="45"/>
        <v/>
      </c>
      <c r="H616" s="30" t="str">
        <f t="shared" si="46"/>
        <v/>
      </c>
      <c r="I616" s="30" t="str">
        <f t="shared" si="47"/>
        <v/>
      </c>
      <c r="J616" s="30" t="str">
        <f t="shared" si="48"/>
        <v/>
      </c>
      <c r="K616" s="30" t="str">
        <f t="shared" si="49"/>
        <v/>
      </c>
    </row>
    <row r="617" spans="1:11" ht="15" x14ac:dyDescent="0.25">
      <c r="A617" s="1" t="str">
        <f>IF('1.1 Produksi Bersih Padi 2025'!A617="","",'1.1 Produksi Bersih Padi 2025'!A617)</f>
        <v/>
      </c>
      <c r="B617" s="31" t="str">
        <f>IF('1.1 Produksi Bersih Padi 2025'!B617="","",'1.1 Produksi Bersih Padi 2025'!B617)</f>
        <v/>
      </c>
      <c r="C617" s="31" t="str">
        <f>IF('1.1 Produksi Bersih Padi 2025'!C617="","",'1.1 Produksi Bersih Padi 2025'!C617)</f>
        <v/>
      </c>
      <c r="D617" s="1" t="str">
        <f>IF('1.1 Produksi Bersih Padi 2025'!D617="","",'1.1 Produksi Bersih Padi 2025'!D617)</f>
        <v/>
      </c>
      <c r="E617" s="1" t="str">
        <f>IF('1.1 Produksi Bersih Padi 2025'!E617="","",'1.1 Produksi Bersih Padi 2025'!E617)</f>
        <v/>
      </c>
      <c r="F617" s="28" t="str">
        <f>IF(D617="","",VLOOKUP(D617,'[1]0.1 Produksi Pangan &amp; Penduduk'!$D$5:$Y$860,22,0))</f>
        <v/>
      </c>
      <c r="G617" s="30" t="str">
        <f t="shared" si="45"/>
        <v/>
      </c>
      <c r="H617" s="30" t="str">
        <f t="shared" si="46"/>
        <v/>
      </c>
      <c r="I617" s="30" t="str">
        <f t="shared" si="47"/>
        <v/>
      </c>
      <c r="J617" s="30" t="str">
        <f t="shared" si="48"/>
        <v/>
      </c>
      <c r="K617" s="30" t="str">
        <f t="shared" si="49"/>
        <v/>
      </c>
    </row>
    <row r="618" spans="1:11" ht="15" x14ac:dyDescent="0.25">
      <c r="A618" s="1" t="str">
        <f>IF('1.1 Produksi Bersih Padi 2025'!A618="","",'1.1 Produksi Bersih Padi 2025'!A618)</f>
        <v/>
      </c>
      <c r="B618" s="31" t="str">
        <f>IF('1.1 Produksi Bersih Padi 2025'!B618="","",'1.1 Produksi Bersih Padi 2025'!B618)</f>
        <v/>
      </c>
      <c r="C618" s="31" t="str">
        <f>IF('1.1 Produksi Bersih Padi 2025'!C618="","",'1.1 Produksi Bersih Padi 2025'!C618)</f>
        <v/>
      </c>
      <c r="D618" s="1" t="str">
        <f>IF('1.1 Produksi Bersih Padi 2025'!D618="","",'1.1 Produksi Bersih Padi 2025'!D618)</f>
        <v/>
      </c>
      <c r="E618" s="1" t="str">
        <f>IF('1.1 Produksi Bersih Padi 2025'!E618="","",'1.1 Produksi Bersih Padi 2025'!E618)</f>
        <v/>
      </c>
      <c r="F618" s="28" t="str">
        <f>IF(D618="","",VLOOKUP(D618,'[1]0.1 Produksi Pangan &amp; Penduduk'!$D$5:$Y$860,22,0))</f>
        <v/>
      </c>
      <c r="G618" s="30" t="str">
        <f t="shared" si="45"/>
        <v/>
      </c>
      <c r="H618" s="30" t="str">
        <f t="shared" si="46"/>
        <v/>
      </c>
      <c r="I618" s="30" t="str">
        <f t="shared" si="47"/>
        <v/>
      </c>
      <c r="J618" s="30" t="str">
        <f t="shared" si="48"/>
        <v/>
      </c>
      <c r="K618" s="30" t="str">
        <f t="shared" si="49"/>
        <v/>
      </c>
    </row>
    <row r="619" spans="1:11" ht="15" x14ac:dyDescent="0.25">
      <c r="A619" s="1" t="str">
        <f>IF('1.1 Produksi Bersih Padi 2025'!A619="","",'1.1 Produksi Bersih Padi 2025'!A619)</f>
        <v/>
      </c>
      <c r="B619" s="31" t="str">
        <f>IF('1.1 Produksi Bersih Padi 2025'!B619="","",'1.1 Produksi Bersih Padi 2025'!B619)</f>
        <v/>
      </c>
      <c r="C619" s="31" t="str">
        <f>IF('1.1 Produksi Bersih Padi 2025'!C619="","",'1.1 Produksi Bersih Padi 2025'!C619)</f>
        <v/>
      </c>
      <c r="D619" s="1" t="str">
        <f>IF('1.1 Produksi Bersih Padi 2025'!D619="","",'1.1 Produksi Bersih Padi 2025'!D619)</f>
        <v/>
      </c>
      <c r="E619" s="1" t="str">
        <f>IF('1.1 Produksi Bersih Padi 2025'!E619="","",'1.1 Produksi Bersih Padi 2025'!E619)</f>
        <v/>
      </c>
      <c r="F619" s="28" t="str">
        <f>IF(D619="","",VLOOKUP(D619,'[1]0.1 Produksi Pangan &amp; Penduduk'!$D$5:$Y$860,22,0))</f>
        <v/>
      </c>
      <c r="G619" s="30" t="str">
        <f t="shared" si="45"/>
        <v/>
      </c>
      <c r="H619" s="30" t="str">
        <f t="shared" si="46"/>
        <v/>
      </c>
      <c r="I619" s="30" t="str">
        <f t="shared" si="47"/>
        <v/>
      </c>
      <c r="J619" s="30" t="str">
        <f t="shared" si="48"/>
        <v/>
      </c>
      <c r="K619" s="30" t="str">
        <f t="shared" si="49"/>
        <v/>
      </c>
    </row>
    <row r="620" spans="1:11" ht="15" x14ac:dyDescent="0.25">
      <c r="A620" s="1" t="str">
        <f>IF('1.1 Produksi Bersih Padi 2025'!A620="","",'1.1 Produksi Bersih Padi 2025'!A620)</f>
        <v/>
      </c>
      <c r="B620" s="31" t="str">
        <f>IF('1.1 Produksi Bersih Padi 2025'!B620="","",'1.1 Produksi Bersih Padi 2025'!B620)</f>
        <v/>
      </c>
      <c r="C620" s="31" t="str">
        <f>IF('1.1 Produksi Bersih Padi 2025'!C620="","",'1.1 Produksi Bersih Padi 2025'!C620)</f>
        <v/>
      </c>
      <c r="D620" s="1" t="str">
        <f>IF('1.1 Produksi Bersih Padi 2025'!D620="","",'1.1 Produksi Bersih Padi 2025'!D620)</f>
        <v/>
      </c>
      <c r="E620" s="1" t="str">
        <f>IF('1.1 Produksi Bersih Padi 2025'!E620="","",'1.1 Produksi Bersih Padi 2025'!E620)</f>
        <v/>
      </c>
      <c r="F620" s="28" t="str">
        <f>IF(D620="","",VLOOKUP(D620,'[1]0.1 Produksi Pangan &amp; Penduduk'!$D$5:$Y$860,22,0))</f>
        <v/>
      </c>
      <c r="G620" s="30" t="str">
        <f t="shared" si="45"/>
        <v/>
      </c>
      <c r="H620" s="30" t="str">
        <f t="shared" si="46"/>
        <v/>
      </c>
      <c r="I620" s="30" t="str">
        <f t="shared" si="47"/>
        <v/>
      </c>
      <c r="J620" s="30" t="str">
        <f t="shared" si="48"/>
        <v/>
      </c>
      <c r="K620" s="30" t="str">
        <f t="shared" si="49"/>
        <v/>
      </c>
    </row>
    <row r="621" spans="1:11" ht="15" x14ac:dyDescent="0.25">
      <c r="A621" s="1" t="str">
        <f>IF('1.1 Produksi Bersih Padi 2025'!A621="","",'1.1 Produksi Bersih Padi 2025'!A621)</f>
        <v/>
      </c>
      <c r="B621" s="31" t="str">
        <f>IF('1.1 Produksi Bersih Padi 2025'!B621="","",'1.1 Produksi Bersih Padi 2025'!B621)</f>
        <v/>
      </c>
      <c r="C621" s="31" t="str">
        <f>IF('1.1 Produksi Bersih Padi 2025'!C621="","",'1.1 Produksi Bersih Padi 2025'!C621)</f>
        <v/>
      </c>
      <c r="D621" s="1" t="str">
        <f>IF('1.1 Produksi Bersih Padi 2025'!D621="","",'1.1 Produksi Bersih Padi 2025'!D621)</f>
        <v/>
      </c>
      <c r="E621" s="1" t="str">
        <f>IF('1.1 Produksi Bersih Padi 2025'!E621="","",'1.1 Produksi Bersih Padi 2025'!E621)</f>
        <v/>
      </c>
      <c r="F621" s="28" t="str">
        <f>IF(D621="","",VLOOKUP(D621,'[1]0.1 Produksi Pangan &amp; Penduduk'!$D$5:$Y$860,22,0))</f>
        <v/>
      </c>
      <c r="G621" s="30" t="str">
        <f t="shared" si="45"/>
        <v/>
      </c>
      <c r="H621" s="30" t="str">
        <f t="shared" si="46"/>
        <v/>
      </c>
      <c r="I621" s="30" t="str">
        <f t="shared" si="47"/>
        <v/>
      </c>
      <c r="J621" s="30" t="str">
        <f t="shared" si="48"/>
        <v/>
      </c>
      <c r="K621" s="30" t="str">
        <f t="shared" si="49"/>
        <v/>
      </c>
    </row>
    <row r="622" spans="1:11" ht="15" x14ac:dyDescent="0.25">
      <c r="A622" s="1" t="str">
        <f>IF('1.1 Produksi Bersih Padi 2025'!A622="","",'1.1 Produksi Bersih Padi 2025'!A622)</f>
        <v/>
      </c>
      <c r="B622" s="31" t="str">
        <f>IF('1.1 Produksi Bersih Padi 2025'!B622="","",'1.1 Produksi Bersih Padi 2025'!B622)</f>
        <v/>
      </c>
      <c r="C622" s="31" t="str">
        <f>IF('1.1 Produksi Bersih Padi 2025'!C622="","",'1.1 Produksi Bersih Padi 2025'!C622)</f>
        <v/>
      </c>
      <c r="D622" s="1" t="str">
        <f>IF('1.1 Produksi Bersih Padi 2025'!D622="","",'1.1 Produksi Bersih Padi 2025'!D622)</f>
        <v/>
      </c>
      <c r="E622" s="1" t="str">
        <f>IF('1.1 Produksi Bersih Padi 2025'!E622="","",'1.1 Produksi Bersih Padi 2025'!E622)</f>
        <v/>
      </c>
      <c r="F622" s="28" t="str">
        <f>IF(D622="","",VLOOKUP(D622,'[1]0.1 Produksi Pangan &amp; Penduduk'!$D$5:$Y$860,22,0))</f>
        <v/>
      </c>
      <c r="G622" s="30" t="str">
        <f t="shared" si="45"/>
        <v/>
      </c>
      <c r="H622" s="30" t="str">
        <f t="shared" si="46"/>
        <v/>
      </c>
      <c r="I622" s="30" t="str">
        <f t="shared" si="47"/>
        <v/>
      </c>
      <c r="J622" s="30" t="str">
        <f t="shared" si="48"/>
        <v/>
      </c>
      <c r="K622" s="30" t="str">
        <f t="shared" si="49"/>
        <v/>
      </c>
    </row>
    <row r="623" spans="1:11" ht="15" x14ac:dyDescent="0.25">
      <c r="A623" s="1" t="str">
        <f>IF('1.1 Produksi Bersih Padi 2025'!A623="","",'1.1 Produksi Bersih Padi 2025'!A623)</f>
        <v/>
      </c>
      <c r="B623" s="31" t="str">
        <f>IF('1.1 Produksi Bersih Padi 2025'!B623="","",'1.1 Produksi Bersih Padi 2025'!B623)</f>
        <v/>
      </c>
      <c r="C623" s="31" t="str">
        <f>IF('1.1 Produksi Bersih Padi 2025'!C623="","",'1.1 Produksi Bersih Padi 2025'!C623)</f>
        <v/>
      </c>
      <c r="D623" s="1" t="str">
        <f>IF('1.1 Produksi Bersih Padi 2025'!D623="","",'1.1 Produksi Bersih Padi 2025'!D623)</f>
        <v/>
      </c>
      <c r="E623" s="1" t="str">
        <f>IF('1.1 Produksi Bersih Padi 2025'!E623="","",'1.1 Produksi Bersih Padi 2025'!E623)</f>
        <v/>
      </c>
      <c r="F623" s="28" t="str">
        <f>IF(D623="","",VLOOKUP(D623,'[1]0.1 Produksi Pangan &amp; Penduduk'!$D$5:$Y$860,22,0))</f>
        <v/>
      </c>
      <c r="G623" s="30" t="str">
        <f t="shared" si="45"/>
        <v/>
      </c>
      <c r="H623" s="30" t="str">
        <f t="shared" si="46"/>
        <v/>
      </c>
      <c r="I623" s="30" t="str">
        <f t="shared" si="47"/>
        <v/>
      </c>
      <c r="J623" s="30" t="str">
        <f t="shared" si="48"/>
        <v/>
      </c>
      <c r="K623" s="30" t="str">
        <f t="shared" si="49"/>
        <v/>
      </c>
    </row>
    <row r="624" spans="1:11" ht="15" x14ac:dyDescent="0.25">
      <c r="A624" s="1" t="str">
        <f>IF('1.1 Produksi Bersih Padi 2025'!A624="","",'1.1 Produksi Bersih Padi 2025'!A624)</f>
        <v/>
      </c>
      <c r="B624" s="31" t="str">
        <f>IF('1.1 Produksi Bersih Padi 2025'!B624="","",'1.1 Produksi Bersih Padi 2025'!B624)</f>
        <v/>
      </c>
      <c r="C624" s="31" t="str">
        <f>IF('1.1 Produksi Bersih Padi 2025'!C624="","",'1.1 Produksi Bersih Padi 2025'!C624)</f>
        <v/>
      </c>
      <c r="D624" s="1" t="str">
        <f>IF('1.1 Produksi Bersih Padi 2025'!D624="","",'1.1 Produksi Bersih Padi 2025'!D624)</f>
        <v/>
      </c>
      <c r="E624" s="1" t="str">
        <f>IF('1.1 Produksi Bersih Padi 2025'!E624="","",'1.1 Produksi Bersih Padi 2025'!E624)</f>
        <v/>
      </c>
      <c r="F624" s="28" t="str">
        <f>IF(D624="","",VLOOKUP(D624,'[1]0.1 Produksi Pangan &amp; Penduduk'!$D$5:$Y$860,22,0))</f>
        <v/>
      </c>
      <c r="G624" s="30" t="str">
        <f t="shared" si="45"/>
        <v/>
      </c>
      <c r="H624" s="30" t="str">
        <f t="shared" si="46"/>
        <v/>
      </c>
      <c r="I624" s="30" t="str">
        <f t="shared" si="47"/>
        <v/>
      </c>
      <c r="J624" s="30" t="str">
        <f t="shared" si="48"/>
        <v/>
      </c>
      <c r="K624" s="30" t="str">
        <f t="shared" si="49"/>
        <v/>
      </c>
    </row>
    <row r="625" spans="1:11" ht="15" x14ac:dyDescent="0.25">
      <c r="A625" s="1" t="str">
        <f>IF('1.1 Produksi Bersih Padi 2025'!A625="","",'1.1 Produksi Bersih Padi 2025'!A625)</f>
        <v/>
      </c>
      <c r="B625" s="31" t="str">
        <f>IF('1.1 Produksi Bersih Padi 2025'!B625="","",'1.1 Produksi Bersih Padi 2025'!B625)</f>
        <v/>
      </c>
      <c r="C625" s="31" t="str">
        <f>IF('1.1 Produksi Bersih Padi 2025'!C625="","",'1.1 Produksi Bersih Padi 2025'!C625)</f>
        <v/>
      </c>
      <c r="D625" s="1" t="str">
        <f>IF('1.1 Produksi Bersih Padi 2025'!D625="","",'1.1 Produksi Bersih Padi 2025'!D625)</f>
        <v/>
      </c>
      <c r="E625" s="1" t="str">
        <f>IF('1.1 Produksi Bersih Padi 2025'!E625="","",'1.1 Produksi Bersih Padi 2025'!E625)</f>
        <v/>
      </c>
      <c r="F625" s="28" t="str">
        <f>IF(D625="","",VLOOKUP(D625,'[1]0.1 Produksi Pangan &amp; Penduduk'!$D$5:$Y$860,22,0))</f>
        <v/>
      </c>
      <c r="G625" s="30" t="str">
        <f t="shared" si="45"/>
        <v/>
      </c>
      <c r="H625" s="30" t="str">
        <f t="shared" si="46"/>
        <v/>
      </c>
      <c r="I625" s="30" t="str">
        <f t="shared" si="47"/>
        <v/>
      </c>
      <c r="J625" s="30" t="str">
        <f t="shared" si="48"/>
        <v/>
      </c>
      <c r="K625" s="30" t="str">
        <f t="shared" si="49"/>
        <v/>
      </c>
    </row>
    <row r="626" spans="1:11" ht="15" x14ac:dyDescent="0.25">
      <c r="A626" s="1" t="str">
        <f>IF('1.1 Produksi Bersih Padi 2025'!A626="","",'1.1 Produksi Bersih Padi 2025'!A626)</f>
        <v/>
      </c>
      <c r="B626" s="31" t="str">
        <f>IF('1.1 Produksi Bersih Padi 2025'!B626="","",'1.1 Produksi Bersih Padi 2025'!B626)</f>
        <v/>
      </c>
      <c r="C626" s="31" t="str">
        <f>IF('1.1 Produksi Bersih Padi 2025'!C626="","",'1.1 Produksi Bersih Padi 2025'!C626)</f>
        <v/>
      </c>
      <c r="D626" s="1" t="str">
        <f>IF('1.1 Produksi Bersih Padi 2025'!D626="","",'1.1 Produksi Bersih Padi 2025'!D626)</f>
        <v/>
      </c>
      <c r="E626" s="1" t="str">
        <f>IF('1.1 Produksi Bersih Padi 2025'!E626="","",'1.1 Produksi Bersih Padi 2025'!E626)</f>
        <v/>
      </c>
      <c r="F626" s="28" t="str">
        <f>IF(D626="","",VLOOKUP(D626,'[1]0.1 Produksi Pangan &amp; Penduduk'!$D$5:$Y$860,22,0))</f>
        <v/>
      </c>
      <c r="G626" s="30" t="str">
        <f t="shared" si="45"/>
        <v/>
      </c>
      <c r="H626" s="30" t="str">
        <f t="shared" si="46"/>
        <v/>
      </c>
      <c r="I626" s="30" t="str">
        <f t="shared" si="47"/>
        <v/>
      </c>
      <c r="J626" s="30" t="str">
        <f t="shared" si="48"/>
        <v/>
      </c>
      <c r="K626" s="30" t="str">
        <f t="shared" si="49"/>
        <v/>
      </c>
    </row>
    <row r="627" spans="1:11" ht="15" x14ac:dyDescent="0.25">
      <c r="A627" s="1" t="str">
        <f>IF('1.1 Produksi Bersih Padi 2025'!A627="","",'1.1 Produksi Bersih Padi 2025'!A627)</f>
        <v/>
      </c>
      <c r="B627" s="31" t="str">
        <f>IF('1.1 Produksi Bersih Padi 2025'!B627="","",'1.1 Produksi Bersih Padi 2025'!B627)</f>
        <v/>
      </c>
      <c r="C627" s="31" t="str">
        <f>IF('1.1 Produksi Bersih Padi 2025'!C627="","",'1.1 Produksi Bersih Padi 2025'!C627)</f>
        <v/>
      </c>
      <c r="D627" s="1" t="str">
        <f>IF('1.1 Produksi Bersih Padi 2025'!D627="","",'1.1 Produksi Bersih Padi 2025'!D627)</f>
        <v/>
      </c>
      <c r="E627" s="1" t="str">
        <f>IF('1.1 Produksi Bersih Padi 2025'!E627="","",'1.1 Produksi Bersih Padi 2025'!E627)</f>
        <v/>
      </c>
      <c r="F627" s="28" t="str">
        <f>IF(D627="","",VLOOKUP(D627,'[1]0.1 Produksi Pangan &amp; Penduduk'!$D$5:$Y$860,22,0))</f>
        <v/>
      </c>
      <c r="G627" s="30" t="str">
        <f t="shared" si="45"/>
        <v/>
      </c>
      <c r="H627" s="30" t="str">
        <f t="shared" si="46"/>
        <v/>
      </c>
      <c r="I627" s="30" t="str">
        <f t="shared" si="47"/>
        <v/>
      </c>
      <c r="J627" s="30" t="str">
        <f t="shared" si="48"/>
        <v/>
      </c>
      <c r="K627" s="30" t="str">
        <f t="shared" si="49"/>
        <v/>
      </c>
    </row>
    <row r="628" spans="1:11" ht="15" x14ac:dyDescent="0.25">
      <c r="A628" s="1" t="str">
        <f>IF('1.1 Produksi Bersih Padi 2025'!A628="","",'1.1 Produksi Bersih Padi 2025'!A628)</f>
        <v/>
      </c>
      <c r="B628" s="31" t="str">
        <f>IF('1.1 Produksi Bersih Padi 2025'!B628="","",'1.1 Produksi Bersih Padi 2025'!B628)</f>
        <v/>
      </c>
      <c r="C628" s="31" t="str">
        <f>IF('1.1 Produksi Bersih Padi 2025'!C628="","",'1.1 Produksi Bersih Padi 2025'!C628)</f>
        <v/>
      </c>
      <c r="D628" s="1" t="str">
        <f>IF('1.1 Produksi Bersih Padi 2025'!D628="","",'1.1 Produksi Bersih Padi 2025'!D628)</f>
        <v/>
      </c>
      <c r="E628" s="1" t="str">
        <f>IF('1.1 Produksi Bersih Padi 2025'!E628="","",'1.1 Produksi Bersih Padi 2025'!E628)</f>
        <v/>
      </c>
      <c r="F628" s="28" t="str">
        <f>IF(D628="","",VLOOKUP(D628,'[1]0.1 Produksi Pangan &amp; Penduduk'!$D$5:$Y$860,22,0))</f>
        <v/>
      </c>
      <c r="G628" s="30" t="str">
        <f t="shared" si="45"/>
        <v/>
      </c>
      <c r="H628" s="30" t="str">
        <f t="shared" si="46"/>
        <v/>
      </c>
      <c r="I628" s="30" t="str">
        <f t="shared" si="47"/>
        <v/>
      </c>
      <c r="J628" s="30" t="str">
        <f t="shared" si="48"/>
        <v/>
      </c>
      <c r="K628" s="30" t="str">
        <f t="shared" si="49"/>
        <v/>
      </c>
    </row>
    <row r="629" spans="1:11" ht="15" x14ac:dyDescent="0.25">
      <c r="A629" s="1" t="str">
        <f>IF('1.1 Produksi Bersih Padi 2025'!A629="","",'1.1 Produksi Bersih Padi 2025'!A629)</f>
        <v/>
      </c>
      <c r="B629" s="31" t="str">
        <f>IF('1.1 Produksi Bersih Padi 2025'!B629="","",'1.1 Produksi Bersih Padi 2025'!B629)</f>
        <v/>
      </c>
      <c r="C629" s="31" t="str">
        <f>IF('1.1 Produksi Bersih Padi 2025'!C629="","",'1.1 Produksi Bersih Padi 2025'!C629)</f>
        <v/>
      </c>
      <c r="D629" s="1" t="str">
        <f>IF('1.1 Produksi Bersih Padi 2025'!D629="","",'1.1 Produksi Bersih Padi 2025'!D629)</f>
        <v/>
      </c>
      <c r="E629" s="1" t="str">
        <f>IF('1.1 Produksi Bersih Padi 2025'!E629="","",'1.1 Produksi Bersih Padi 2025'!E629)</f>
        <v/>
      </c>
      <c r="F629" s="28" t="str">
        <f>IF(D629="","",VLOOKUP(D629,'[1]0.1 Produksi Pangan &amp; Penduduk'!$D$5:$Y$860,22,0))</f>
        <v/>
      </c>
      <c r="G629" s="30" t="str">
        <f t="shared" si="45"/>
        <v/>
      </c>
      <c r="H629" s="30" t="str">
        <f t="shared" si="46"/>
        <v/>
      </c>
      <c r="I629" s="30" t="str">
        <f t="shared" si="47"/>
        <v/>
      </c>
      <c r="J629" s="30" t="str">
        <f t="shared" si="48"/>
        <v/>
      </c>
      <c r="K629" s="30" t="str">
        <f t="shared" si="49"/>
        <v/>
      </c>
    </row>
    <row r="630" spans="1:11" ht="15" x14ac:dyDescent="0.25">
      <c r="A630" s="1" t="str">
        <f>IF('1.1 Produksi Bersih Padi 2025'!A630="","",'1.1 Produksi Bersih Padi 2025'!A630)</f>
        <v/>
      </c>
      <c r="B630" s="31" t="str">
        <f>IF('1.1 Produksi Bersih Padi 2025'!B630="","",'1.1 Produksi Bersih Padi 2025'!B630)</f>
        <v/>
      </c>
      <c r="C630" s="31" t="str">
        <f>IF('1.1 Produksi Bersih Padi 2025'!C630="","",'1.1 Produksi Bersih Padi 2025'!C630)</f>
        <v/>
      </c>
      <c r="D630" s="1" t="str">
        <f>IF('1.1 Produksi Bersih Padi 2025'!D630="","",'1.1 Produksi Bersih Padi 2025'!D630)</f>
        <v/>
      </c>
      <c r="E630" s="1" t="str">
        <f>IF('1.1 Produksi Bersih Padi 2025'!E630="","",'1.1 Produksi Bersih Padi 2025'!E630)</f>
        <v/>
      </c>
      <c r="F630" s="28" t="str">
        <f>IF(D630="","",VLOOKUP(D630,'[1]0.1 Produksi Pangan &amp; Penduduk'!$D$5:$Y$860,22,0))</f>
        <v/>
      </c>
      <c r="G630" s="30" t="str">
        <f t="shared" si="45"/>
        <v/>
      </c>
      <c r="H630" s="30" t="str">
        <f t="shared" si="46"/>
        <v/>
      </c>
      <c r="I630" s="30" t="str">
        <f t="shared" si="47"/>
        <v/>
      </c>
      <c r="J630" s="30" t="str">
        <f t="shared" si="48"/>
        <v/>
      </c>
      <c r="K630" s="30" t="str">
        <f t="shared" si="49"/>
        <v/>
      </c>
    </row>
    <row r="631" spans="1:11" ht="15" x14ac:dyDescent="0.25">
      <c r="A631" s="1" t="str">
        <f>IF('1.1 Produksi Bersih Padi 2025'!A631="","",'1.1 Produksi Bersih Padi 2025'!A631)</f>
        <v/>
      </c>
      <c r="B631" s="31" t="str">
        <f>IF('1.1 Produksi Bersih Padi 2025'!B631="","",'1.1 Produksi Bersih Padi 2025'!B631)</f>
        <v/>
      </c>
      <c r="C631" s="31" t="str">
        <f>IF('1.1 Produksi Bersih Padi 2025'!C631="","",'1.1 Produksi Bersih Padi 2025'!C631)</f>
        <v/>
      </c>
      <c r="D631" s="1" t="str">
        <f>IF('1.1 Produksi Bersih Padi 2025'!D631="","",'1.1 Produksi Bersih Padi 2025'!D631)</f>
        <v/>
      </c>
      <c r="E631" s="1" t="str">
        <f>IF('1.1 Produksi Bersih Padi 2025'!E631="","",'1.1 Produksi Bersih Padi 2025'!E631)</f>
        <v/>
      </c>
      <c r="F631" s="28" t="str">
        <f>IF(D631="","",VLOOKUP(D631,'[1]0.1 Produksi Pangan &amp; Penduduk'!$D$5:$Y$860,22,0))</f>
        <v/>
      </c>
      <c r="G631" s="30" t="str">
        <f t="shared" si="45"/>
        <v/>
      </c>
      <c r="H631" s="30" t="str">
        <f t="shared" si="46"/>
        <v/>
      </c>
      <c r="I631" s="30" t="str">
        <f t="shared" si="47"/>
        <v/>
      </c>
      <c r="J631" s="30" t="str">
        <f t="shared" si="48"/>
        <v/>
      </c>
      <c r="K631" s="30" t="str">
        <f t="shared" si="49"/>
        <v/>
      </c>
    </row>
    <row r="632" spans="1:11" ht="15" x14ac:dyDescent="0.25">
      <c r="A632" s="1" t="str">
        <f>IF('1.1 Produksi Bersih Padi 2025'!A632="","",'1.1 Produksi Bersih Padi 2025'!A632)</f>
        <v/>
      </c>
      <c r="B632" s="31" t="str">
        <f>IF('1.1 Produksi Bersih Padi 2025'!B632="","",'1.1 Produksi Bersih Padi 2025'!B632)</f>
        <v/>
      </c>
      <c r="C632" s="31" t="str">
        <f>IF('1.1 Produksi Bersih Padi 2025'!C632="","",'1.1 Produksi Bersih Padi 2025'!C632)</f>
        <v/>
      </c>
      <c r="D632" s="1" t="str">
        <f>IF('1.1 Produksi Bersih Padi 2025'!D632="","",'1.1 Produksi Bersih Padi 2025'!D632)</f>
        <v/>
      </c>
      <c r="E632" s="1" t="str">
        <f>IF('1.1 Produksi Bersih Padi 2025'!E632="","",'1.1 Produksi Bersih Padi 2025'!E632)</f>
        <v/>
      </c>
      <c r="F632" s="28" t="str">
        <f>IF(D632="","",VLOOKUP(D632,'[1]0.1 Produksi Pangan &amp; Penduduk'!$D$5:$Y$860,22,0))</f>
        <v/>
      </c>
      <c r="G632" s="30" t="str">
        <f t="shared" si="45"/>
        <v/>
      </c>
      <c r="H632" s="30" t="str">
        <f t="shared" si="46"/>
        <v/>
      </c>
      <c r="I632" s="30" t="str">
        <f t="shared" si="47"/>
        <v/>
      </c>
      <c r="J632" s="30" t="str">
        <f t="shared" si="48"/>
        <v/>
      </c>
      <c r="K632" s="30" t="str">
        <f t="shared" si="49"/>
        <v/>
      </c>
    </row>
    <row r="633" spans="1:11" ht="15" x14ac:dyDescent="0.25">
      <c r="A633" s="1" t="str">
        <f>IF('1.1 Produksi Bersih Padi 2025'!A633="","",'1.1 Produksi Bersih Padi 2025'!A633)</f>
        <v/>
      </c>
      <c r="B633" s="31" t="str">
        <f>IF('1.1 Produksi Bersih Padi 2025'!B633="","",'1.1 Produksi Bersih Padi 2025'!B633)</f>
        <v/>
      </c>
      <c r="C633" s="31" t="str">
        <f>IF('1.1 Produksi Bersih Padi 2025'!C633="","",'1.1 Produksi Bersih Padi 2025'!C633)</f>
        <v/>
      </c>
      <c r="D633" s="1" t="str">
        <f>IF('1.1 Produksi Bersih Padi 2025'!D633="","",'1.1 Produksi Bersih Padi 2025'!D633)</f>
        <v/>
      </c>
      <c r="E633" s="1" t="str">
        <f>IF('1.1 Produksi Bersih Padi 2025'!E633="","",'1.1 Produksi Bersih Padi 2025'!E633)</f>
        <v/>
      </c>
      <c r="F633" s="28" t="str">
        <f>IF(D633="","",VLOOKUP(D633,'[1]0.1 Produksi Pangan &amp; Penduduk'!$D$5:$Y$860,22,0))</f>
        <v/>
      </c>
      <c r="G633" s="30" t="str">
        <f t="shared" si="45"/>
        <v/>
      </c>
      <c r="H633" s="30" t="str">
        <f t="shared" si="46"/>
        <v/>
      </c>
      <c r="I633" s="30" t="str">
        <f t="shared" si="47"/>
        <v/>
      </c>
      <c r="J633" s="30" t="str">
        <f t="shared" si="48"/>
        <v/>
      </c>
      <c r="K633" s="30" t="str">
        <f t="shared" si="49"/>
        <v/>
      </c>
    </row>
    <row r="634" spans="1:11" ht="15" x14ac:dyDescent="0.25">
      <c r="A634" s="1" t="str">
        <f>IF('1.1 Produksi Bersih Padi 2025'!A634="","",'1.1 Produksi Bersih Padi 2025'!A634)</f>
        <v/>
      </c>
      <c r="B634" s="31" t="str">
        <f>IF('1.1 Produksi Bersih Padi 2025'!B634="","",'1.1 Produksi Bersih Padi 2025'!B634)</f>
        <v/>
      </c>
      <c r="C634" s="31" t="str">
        <f>IF('1.1 Produksi Bersih Padi 2025'!C634="","",'1.1 Produksi Bersih Padi 2025'!C634)</f>
        <v/>
      </c>
      <c r="D634" s="1" t="str">
        <f>IF('1.1 Produksi Bersih Padi 2025'!D634="","",'1.1 Produksi Bersih Padi 2025'!D634)</f>
        <v/>
      </c>
      <c r="E634" s="1" t="str">
        <f>IF('1.1 Produksi Bersih Padi 2025'!E634="","",'1.1 Produksi Bersih Padi 2025'!E634)</f>
        <v/>
      </c>
      <c r="F634" s="28" t="str">
        <f>IF(D634="","",VLOOKUP(D634,'[1]0.1 Produksi Pangan &amp; Penduduk'!$D$5:$Y$860,22,0))</f>
        <v/>
      </c>
      <c r="G634" s="30" t="str">
        <f t="shared" si="45"/>
        <v/>
      </c>
      <c r="H634" s="30" t="str">
        <f t="shared" si="46"/>
        <v/>
      </c>
      <c r="I634" s="30" t="str">
        <f t="shared" si="47"/>
        <v/>
      </c>
      <c r="J634" s="30" t="str">
        <f t="shared" si="48"/>
        <v/>
      </c>
      <c r="K634" s="30" t="str">
        <f t="shared" si="49"/>
        <v/>
      </c>
    </row>
    <row r="635" spans="1:11" ht="15" x14ac:dyDescent="0.25">
      <c r="A635" s="1" t="str">
        <f>IF('1.1 Produksi Bersih Padi 2025'!A635="","",'1.1 Produksi Bersih Padi 2025'!A635)</f>
        <v/>
      </c>
      <c r="B635" s="31" t="str">
        <f>IF('1.1 Produksi Bersih Padi 2025'!B635="","",'1.1 Produksi Bersih Padi 2025'!B635)</f>
        <v/>
      </c>
      <c r="C635" s="31" t="str">
        <f>IF('1.1 Produksi Bersih Padi 2025'!C635="","",'1.1 Produksi Bersih Padi 2025'!C635)</f>
        <v/>
      </c>
      <c r="D635" s="1" t="str">
        <f>IF('1.1 Produksi Bersih Padi 2025'!D635="","",'1.1 Produksi Bersih Padi 2025'!D635)</f>
        <v/>
      </c>
      <c r="E635" s="1" t="str">
        <f>IF('1.1 Produksi Bersih Padi 2025'!E635="","",'1.1 Produksi Bersih Padi 2025'!E635)</f>
        <v/>
      </c>
      <c r="F635" s="28" t="str">
        <f>IF(D635="","",VLOOKUP(D635,'[1]0.1 Produksi Pangan &amp; Penduduk'!$D$5:$Y$860,22,0))</f>
        <v/>
      </c>
      <c r="G635" s="30" t="str">
        <f t="shared" si="45"/>
        <v/>
      </c>
      <c r="H635" s="30" t="str">
        <f t="shared" si="46"/>
        <v/>
      </c>
      <c r="I635" s="30" t="str">
        <f t="shared" si="47"/>
        <v/>
      </c>
      <c r="J635" s="30" t="str">
        <f t="shared" si="48"/>
        <v/>
      </c>
      <c r="K635" s="30" t="str">
        <f t="shared" si="49"/>
        <v/>
      </c>
    </row>
    <row r="636" spans="1:11" ht="15" x14ac:dyDescent="0.25">
      <c r="A636" s="1" t="str">
        <f>IF('1.1 Produksi Bersih Padi 2025'!A636="","",'1.1 Produksi Bersih Padi 2025'!A636)</f>
        <v/>
      </c>
      <c r="B636" s="31" t="str">
        <f>IF('1.1 Produksi Bersih Padi 2025'!B636="","",'1.1 Produksi Bersih Padi 2025'!B636)</f>
        <v/>
      </c>
      <c r="C636" s="31" t="str">
        <f>IF('1.1 Produksi Bersih Padi 2025'!C636="","",'1.1 Produksi Bersih Padi 2025'!C636)</f>
        <v/>
      </c>
      <c r="D636" s="1" t="str">
        <f>IF('1.1 Produksi Bersih Padi 2025'!D636="","",'1.1 Produksi Bersih Padi 2025'!D636)</f>
        <v/>
      </c>
      <c r="E636" s="1" t="str">
        <f>IF('1.1 Produksi Bersih Padi 2025'!E636="","",'1.1 Produksi Bersih Padi 2025'!E636)</f>
        <v/>
      </c>
      <c r="F636" s="28" t="str">
        <f>IF(D636="","",VLOOKUP(D636,'[1]0.1 Produksi Pangan &amp; Penduduk'!$D$5:$Y$860,22,0))</f>
        <v/>
      </c>
      <c r="G636" s="30" t="str">
        <f t="shared" si="45"/>
        <v/>
      </c>
      <c r="H636" s="30" t="str">
        <f t="shared" si="46"/>
        <v/>
      </c>
      <c r="I636" s="30" t="str">
        <f t="shared" si="47"/>
        <v/>
      </c>
      <c r="J636" s="30" t="str">
        <f t="shared" si="48"/>
        <v/>
      </c>
      <c r="K636" s="30" t="str">
        <f t="shared" si="49"/>
        <v/>
      </c>
    </row>
    <row r="637" spans="1:11" ht="15" x14ac:dyDescent="0.25">
      <c r="A637" s="1" t="str">
        <f>IF('1.1 Produksi Bersih Padi 2025'!A637="","",'1.1 Produksi Bersih Padi 2025'!A637)</f>
        <v/>
      </c>
      <c r="B637" s="31" t="str">
        <f>IF('1.1 Produksi Bersih Padi 2025'!B637="","",'1.1 Produksi Bersih Padi 2025'!B637)</f>
        <v/>
      </c>
      <c r="C637" s="31" t="str">
        <f>IF('1.1 Produksi Bersih Padi 2025'!C637="","",'1.1 Produksi Bersih Padi 2025'!C637)</f>
        <v/>
      </c>
      <c r="D637" s="1" t="str">
        <f>IF('1.1 Produksi Bersih Padi 2025'!D637="","",'1.1 Produksi Bersih Padi 2025'!D637)</f>
        <v/>
      </c>
      <c r="E637" s="1" t="str">
        <f>IF('1.1 Produksi Bersih Padi 2025'!E637="","",'1.1 Produksi Bersih Padi 2025'!E637)</f>
        <v/>
      </c>
      <c r="F637" s="28" t="str">
        <f>IF(D637="","",VLOOKUP(D637,'[1]0.1 Produksi Pangan &amp; Penduduk'!$D$5:$Y$860,22,0))</f>
        <v/>
      </c>
      <c r="G637" s="30" t="str">
        <f t="shared" si="45"/>
        <v/>
      </c>
      <c r="H637" s="30" t="str">
        <f t="shared" si="46"/>
        <v/>
      </c>
      <c r="I637" s="30" t="str">
        <f t="shared" si="47"/>
        <v/>
      </c>
      <c r="J637" s="30" t="str">
        <f t="shared" si="48"/>
        <v/>
      </c>
      <c r="K637" s="30" t="str">
        <f t="shared" si="49"/>
        <v/>
      </c>
    </row>
    <row r="638" spans="1:11" ht="15" x14ac:dyDescent="0.25">
      <c r="A638" s="1" t="str">
        <f>IF('1.1 Produksi Bersih Padi 2025'!A638="","",'1.1 Produksi Bersih Padi 2025'!A638)</f>
        <v/>
      </c>
      <c r="B638" s="31" t="str">
        <f>IF('1.1 Produksi Bersih Padi 2025'!B638="","",'1.1 Produksi Bersih Padi 2025'!B638)</f>
        <v/>
      </c>
      <c r="C638" s="31" t="str">
        <f>IF('1.1 Produksi Bersih Padi 2025'!C638="","",'1.1 Produksi Bersih Padi 2025'!C638)</f>
        <v/>
      </c>
      <c r="D638" s="1" t="str">
        <f>IF('1.1 Produksi Bersih Padi 2025'!D638="","",'1.1 Produksi Bersih Padi 2025'!D638)</f>
        <v/>
      </c>
      <c r="E638" s="1" t="str">
        <f>IF('1.1 Produksi Bersih Padi 2025'!E638="","",'1.1 Produksi Bersih Padi 2025'!E638)</f>
        <v/>
      </c>
      <c r="F638" s="28" t="str">
        <f>IF(D638="","",VLOOKUP(D638,'[1]0.1 Produksi Pangan &amp; Penduduk'!$D$5:$Y$860,22,0))</f>
        <v/>
      </c>
      <c r="G638" s="30" t="str">
        <f t="shared" si="45"/>
        <v/>
      </c>
      <c r="H638" s="30" t="str">
        <f t="shared" si="46"/>
        <v/>
      </c>
      <c r="I638" s="30" t="str">
        <f t="shared" si="47"/>
        <v/>
      </c>
      <c r="J638" s="30" t="str">
        <f t="shared" si="48"/>
        <v/>
      </c>
      <c r="K638" s="30" t="str">
        <f t="shared" si="49"/>
        <v/>
      </c>
    </row>
    <row r="639" spans="1:11" ht="15" x14ac:dyDescent="0.25">
      <c r="A639" s="1" t="str">
        <f>IF('1.1 Produksi Bersih Padi 2025'!A639="","",'1.1 Produksi Bersih Padi 2025'!A639)</f>
        <v/>
      </c>
      <c r="B639" s="31" t="str">
        <f>IF('1.1 Produksi Bersih Padi 2025'!B639="","",'1.1 Produksi Bersih Padi 2025'!B639)</f>
        <v/>
      </c>
      <c r="C639" s="31" t="str">
        <f>IF('1.1 Produksi Bersih Padi 2025'!C639="","",'1.1 Produksi Bersih Padi 2025'!C639)</f>
        <v/>
      </c>
      <c r="D639" s="1" t="str">
        <f>IF('1.1 Produksi Bersih Padi 2025'!D639="","",'1.1 Produksi Bersih Padi 2025'!D639)</f>
        <v/>
      </c>
      <c r="E639" s="1" t="str">
        <f>IF('1.1 Produksi Bersih Padi 2025'!E639="","",'1.1 Produksi Bersih Padi 2025'!E639)</f>
        <v/>
      </c>
      <c r="F639" s="28" t="str">
        <f>IF(D639="","",VLOOKUP(D639,'[1]0.1 Produksi Pangan &amp; Penduduk'!$D$5:$Y$860,22,0))</f>
        <v/>
      </c>
      <c r="G639" s="30" t="str">
        <f t="shared" si="45"/>
        <v/>
      </c>
      <c r="H639" s="30" t="str">
        <f t="shared" si="46"/>
        <v/>
      </c>
      <c r="I639" s="30" t="str">
        <f t="shared" si="47"/>
        <v/>
      </c>
      <c r="J639" s="30" t="str">
        <f t="shared" si="48"/>
        <v/>
      </c>
      <c r="K639" s="30" t="str">
        <f t="shared" si="49"/>
        <v/>
      </c>
    </row>
    <row r="640" spans="1:11" ht="15" x14ac:dyDescent="0.25">
      <c r="A640" s="1" t="str">
        <f>IF('1.1 Produksi Bersih Padi 2025'!A640="","",'1.1 Produksi Bersih Padi 2025'!A640)</f>
        <v/>
      </c>
      <c r="B640" s="31" t="str">
        <f>IF('1.1 Produksi Bersih Padi 2025'!B640="","",'1.1 Produksi Bersih Padi 2025'!B640)</f>
        <v/>
      </c>
      <c r="C640" s="31" t="str">
        <f>IF('1.1 Produksi Bersih Padi 2025'!C640="","",'1.1 Produksi Bersih Padi 2025'!C640)</f>
        <v/>
      </c>
      <c r="D640" s="1" t="str">
        <f>IF('1.1 Produksi Bersih Padi 2025'!D640="","",'1.1 Produksi Bersih Padi 2025'!D640)</f>
        <v/>
      </c>
      <c r="E640" s="1" t="str">
        <f>IF('1.1 Produksi Bersih Padi 2025'!E640="","",'1.1 Produksi Bersih Padi 2025'!E640)</f>
        <v/>
      </c>
      <c r="F640" s="28" t="str">
        <f>IF(D640="","",VLOOKUP(D640,'[1]0.1 Produksi Pangan &amp; Penduduk'!$D$5:$Y$860,22,0))</f>
        <v/>
      </c>
      <c r="G640" s="30" t="str">
        <f t="shared" si="45"/>
        <v/>
      </c>
      <c r="H640" s="30" t="str">
        <f t="shared" si="46"/>
        <v/>
      </c>
      <c r="I640" s="30" t="str">
        <f t="shared" si="47"/>
        <v/>
      </c>
      <c r="J640" s="30" t="str">
        <f t="shared" si="48"/>
        <v/>
      </c>
      <c r="K640" s="30" t="str">
        <f t="shared" si="49"/>
        <v/>
      </c>
    </row>
    <row r="641" spans="1:11" ht="15" x14ac:dyDescent="0.25">
      <c r="A641" s="1" t="str">
        <f>IF('1.1 Produksi Bersih Padi 2025'!A641="","",'1.1 Produksi Bersih Padi 2025'!A641)</f>
        <v/>
      </c>
      <c r="B641" s="31" t="str">
        <f>IF('1.1 Produksi Bersih Padi 2025'!B641="","",'1.1 Produksi Bersih Padi 2025'!B641)</f>
        <v/>
      </c>
      <c r="C641" s="31" t="str">
        <f>IF('1.1 Produksi Bersih Padi 2025'!C641="","",'1.1 Produksi Bersih Padi 2025'!C641)</f>
        <v/>
      </c>
      <c r="D641" s="1" t="str">
        <f>IF('1.1 Produksi Bersih Padi 2025'!D641="","",'1.1 Produksi Bersih Padi 2025'!D641)</f>
        <v/>
      </c>
      <c r="E641" s="1" t="str">
        <f>IF('1.1 Produksi Bersih Padi 2025'!E641="","",'1.1 Produksi Bersih Padi 2025'!E641)</f>
        <v/>
      </c>
      <c r="F641" s="28" t="str">
        <f>IF(D641="","",VLOOKUP(D641,'[1]0.1 Produksi Pangan &amp; Penduduk'!$D$5:$Y$860,22,0))</f>
        <v/>
      </c>
      <c r="G641" s="30" t="str">
        <f t="shared" si="45"/>
        <v/>
      </c>
      <c r="H641" s="30" t="str">
        <f t="shared" si="46"/>
        <v/>
      </c>
      <c r="I641" s="30" t="str">
        <f t="shared" si="47"/>
        <v/>
      </c>
      <c r="J641" s="30" t="str">
        <f t="shared" si="48"/>
        <v/>
      </c>
      <c r="K641" s="30" t="str">
        <f t="shared" si="49"/>
        <v/>
      </c>
    </row>
    <row r="642" spans="1:11" ht="15" x14ac:dyDescent="0.25">
      <c r="A642" s="1" t="str">
        <f>IF('1.1 Produksi Bersih Padi 2025'!A642="","",'1.1 Produksi Bersih Padi 2025'!A642)</f>
        <v/>
      </c>
      <c r="B642" s="31" t="str">
        <f>IF('1.1 Produksi Bersih Padi 2025'!B642="","",'1.1 Produksi Bersih Padi 2025'!B642)</f>
        <v/>
      </c>
      <c r="C642" s="31" t="str">
        <f>IF('1.1 Produksi Bersih Padi 2025'!C642="","",'1.1 Produksi Bersih Padi 2025'!C642)</f>
        <v/>
      </c>
      <c r="D642" s="1" t="str">
        <f>IF('1.1 Produksi Bersih Padi 2025'!D642="","",'1.1 Produksi Bersih Padi 2025'!D642)</f>
        <v/>
      </c>
      <c r="E642" s="1" t="str">
        <f>IF('1.1 Produksi Bersih Padi 2025'!E642="","",'1.1 Produksi Bersih Padi 2025'!E642)</f>
        <v/>
      </c>
      <c r="F642" s="28" t="str">
        <f>IF(D642="","",VLOOKUP(D642,'[1]0.1 Produksi Pangan &amp; Penduduk'!$D$5:$Y$860,22,0))</f>
        <v/>
      </c>
      <c r="G642" s="30" t="str">
        <f t="shared" si="45"/>
        <v/>
      </c>
      <c r="H642" s="30" t="str">
        <f t="shared" si="46"/>
        <v/>
      </c>
      <c r="I642" s="30" t="str">
        <f t="shared" si="47"/>
        <v/>
      </c>
      <c r="J642" s="30" t="str">
        <f t="shared" si="48"/>
        <v/>
      </c>
      <c r="K642" s="30" t="str">
        <f t="shared" si="49"/>
        <v/>
      </c>
    </row>
    <row r="643" spans="1:11" ht="15" x14ac:dyDescent="0.25">
      <c r="A643" s="1" t="str">
        <f>IF('1.1 Produksi Bersih Padi 2025'!A643="","",'1.1 Produksi Bersih Padi 2025'!A643)</f>
        <v/>
      </c>
      <c r="B643" s="31" t="str">
        <f>IF('1.1 Produksi Bersih Padi 2025'!B643="","",'1.1 Produksi Bersih Padi 2025'!B643)</f>
        <v/>
      </c>
      <c r="C643" s="31" t="str">
        <f>IF('1.1 Produksi Bersih Padi 2025'!C643="","",'1.1 Produksi Bersih Padi 2025'!C643)</f>
        <v/>
      </c>
      <c r="D643" s="1" t="str">
        <f>IF('1.1 Produksi Bersih Padi 2025'!D643="","",'1.1 Produksi Bersih Padi 2025'!D643)</f>
        <v/>
      </c>
      <c r="E643" s="1" t="str">
        <f>IF('1.1 Produksi Bersih Padi 2025'!E643="","",'1.1 Produksi Bersih Padi 2025'!E643)</f>
        <v/>
      </c>
      <c r="F643" s="28" t="str">
        <f>IF(D643="","",VLOOKUP(D643,'[1]0.1 Produksi Pangan &amp; Penduduk'!$D$5:$Y$860,22,0))</f>
        <v/>
      </c>
      <c r="G643" s="30" t="str">
        <f t="shared" si="45"/>
        <v/>
      </c>
      <c r="H643" s="30" t="str">
        <f t="shared" si="46"/>
        <v/>
      </c>
      <c r="I643" s="30" t="str">
        <f t="shared" si="47"/>
        <v/>
      </c>
      <c r="J643" s="30" t="str">
        <f t="shared" si="48"/>
        <v/>
      </c>
      <c r="K643" s="30" t="str">
        <f t="shared" si="49"/>
        <v/>
      </c>
    </row>
    <row r="644" spans="1:11" ht="15" x14ac:dyDescent="0.25">
      <c r="A644" s="1" t="str">
        <f>IF('1.1 Produksi Bersih Padi 2025'!A644="","",'1.1 Produksi Bersih Padi 2025'!A644)</f>
        <v/>
      </c>
      <c r="B644" s="31" t="str">
        <f>IF('1.1 Produksi Bersih Padi 2025'!B644="","",'1.1 Produksi Bersih Padi 2025'!B644)</f>
        <v/>
      </c>
      <c r="C644" s="31" t="str">
        <f>IF('1.1 Produksi Bersih Padi 2025'!C644="","",'1.1 Produksi Bersih Padi 2025'!C644)</f>
        <v/>
      </c>
      <c r="D644" s="1" t="str">
        <f>IF('1.1 Produksi Bersih Padi 2025'!D644="","",'1.1 Produksi Bersih Padi 2025'!D644)</f>
        <v/>
      </c>
      <c r="E644" s="1" t="str">
        <f>IF('1.1 Produksi Bersih Padi 2025'!E644="","",'1.1 Produksi Bersih Padi 2025'!E644)</f>
        <v/>
      </c>
      <c r="F644" s="28" t="str">
        <f>IF(D644="","",VLOOKUP(D644,'[1]0.1 Produksi Pangan &amp; Penduduk'!$D$5:$Y$860,22,0))</f>
        <v/>
      </c>
      <c r="G644" s="30" t="str">
        <f t="shared" si="45"/>
        <v/>
      </c>
      <c r="H644" s="30" t="str">
        <f t="shared" si="46"/>
        <v/>
      </c>
      <c r="I644" s="30" t="str">
        <f t="shared" si="47"/>
        <v/>
      </c>
      <c r="J644" s="30" t="str">
        <f t="shared" si="48"/>
        <v/>
      </c>
      <c r="K644" s="30" t="str">
        <f t="shared" si="49"/>
        <v/>
      </c>
    </row>
    <row r="645" spans="1:11" ht="15" x14ac:dyDescent="0.25">
      <c r="A645" s="1" t="str">
        <f>IF('1.1 Produksi Bersih Padi 2025'!A645="","",'1.1 Produksi Bersih Padi 2025'!A645)</f>
        <v/>
      </c>
      <c r="B645" s="31" t="str">
        <f>IF('1.1 Produksi Bersih Padi 2025'!B645="","",'1.1 Produksi Bersih Padi 2025'!B645)</f>
        <v/>
      </c>
      <c r="C645" s="31" t="str">
        <f>IF('1.1 Produksi Bersih Padi 2025'!C645="","",'1.1 Produksi Bersih Padi 2025'!C645)</f>
        <v/>
      </c>
      <c r="D645" s="1" t="str">
        <f>IF('1.1 Produksi Bersih Padi 2025'!D645="","",'1.1 Produksi Bersih Padi 2025'!D645)</f>
        <v/>
      </c>
      <c r="E645" s="1" t="str">
        <f>IF('1.1 Produksi Bersih Padi 2025'!E645="","",'1.1 Produksi Bersih Padi 2025'!E645)</f>
        <v/>
      </c>
      <c r="F645" s="28" t="str">
        <f>IF(D645="","",VLOOKUP(D645,'[1]0.1 Produksi Pangan &amp; Penduduk'!$D$5:$Y$860,22,0))</f>
        <v/>
      </c>
      <c r="G645" s="30" t="str">
        <f t="shared" si="45"/>
        <v/>
      </c>
      <c r="H645" s="30" t="str">
        <f t="shared" si="46"/>
        <v/>
      </c>
      <c r="I645" s="30" t="str">
        <f t="shared" si="47"/>
        <v/>
      </c>
      <c r="J645" s="30" t="str">
        <f t="shared" si="48"/>
        <v/>
      </c>
      <c r="K645" s="30" t="str">
        <f t="shared" si="49"/>
        <v/>
      </c>
    </row>
    <row r="646" spans="1:11" ht="15" x14ac:dyDescent="0.25">
      <c r="A646" s="1" t="str">
        <f>IF('1.1 Produksi Bersih Padi 2025'!A646="","",'1.1 Produksi Bersih Padi 2025'!A646)</f>
        <v/>
      </c>
      <c r="B646" s="31" t="str">
        <f>IF('1.1 Produksi Bersih Padi 2025'!B646="","",'1.1 Produksi Bersih Padi 2025'!B646)</f>
        <v/>
      </c>
      <c r="C646" s="31" t="str">
        <f>IF('1.1 Produksi Bersih Padi 2025'!C646="","",'1.1 Produksi Bersih Padi 2025'!C646)</f>
        <v/>
      </c>
      <c r="D646" s="1" t="str">
        <f>IF('1.1 Produksi Bersih Padi 2025'!D646="","",'1.1 Produksi Bersih Padi 2025'!D646)</f>
        <v/>
      </c>
      <c r="E646" s="1" t="str">
        <f>IF('1.1 Produksi Bersih Padi 2025'!E646="","",'1.1 Produksi Bersih Padi 2025'!E646)</f>
        <v/>
      </c>
      <c r="F646" s="28" t="str">
        <f>IF(D646="","",VLOOKUP(D646,'[1]0.1 Produksi Pangan &amp; Penduduk'!$D$5:$Y$860,22,0))</f>
        <v/>
      </c>
      <c r="G646" s="30" t="str">
        <f t="shared" ref="G646:G709" si="50">IF(F646="","",F646*0%)</f>
        <v/>
      </c>
      <c r="H646" s="30" t="str">
        <f t="shared" ref="H646:H709" si="51">IF(F646="","",F646*0.43%)</f>
        <v/>
      </c>
      <c r="I646" s="30" t="str">
        <f t="shared" ref="I646:I709" si="52">IF(F646="","",F646*4.23%)</f>
        <v/>
      </c>
      <c r="J646" s="30" t="str">
        <f t="shared" ref="J646:J709" si="53">IF(F646="","",F646-(G646+H646+I646))</f>
        <v/>
      </c>
      <c r="K646" s="30" t="str">
        <f t="shared" ref="K646:K709" si="54">IF(J646="","",J646*0.363)</f>
        <v/>
      </c>
    </row>
    <row r="647" spans="1:11" ht="15" x14ac:dyDescent="0.25">
      <c r="A647" s="1" t="str">
        <f>IF('1.1 Produksi Bersih Padi 2025'!A647="","",'1.1 Produksi Bersih Padi 2025'!A647)</f>
        <v/>
      </c>
      <c r="B647" s="31" t="str">
        <f>IF('1.1 Produksi Bersih Padi 2025'!B647="","",'1.1 Produksi Bersih Padi 2025'!B647)</f>
        <v/>
      </c>
      <c r="C647" s="31" t="str">
        <f>IF('1.1 Produksi Bersih Padi 2025'!C647="","",'1.1 Produksi Bersih Padi 2025'!C647)</f>
        <v/>
      </c>
      <c r="D647" s="1" t="str">
        <f>IF('1.1 Produksi Bersih Padi 2025'!D647="","",'1.1 Produksi Bersih Padi 2025'!D647)</f>
        <v/>
      </c>
      <c r="E647" s="1" t="str">
        <f>IF('1.1 Produksi Bersih Padi 2025'!E647="","",'1.1 Produksi Bersih Padi 2025'!E647)</f>
        <v/>
      </c>
      <c r="F647" s="28" t="str">
        <f>IF(D647="","",VLOOKUP(D647,'[1]0.1 Produksi Pangan &amp; Penduduk'!$D$5:$Y$860,22,0))</f>
        <v/>
      </c>
      <c r="G647" s="30" t="str">
        <f t="shared" si="50"/>
        <v/>
      </c>
      <c r="H647" s="30" t="str">
        <f t="shared" si="51"/>
        <v/>
      </c>
      <c r="I647" s="30" t="str">
        <f t="shared" si="52"/>
        <v/>
      </c>
      <c r="J647" s="30" t="str">
        <f t="shared" si="53"/>
        <v/>
      </c>
      <c r="K647" s="30" t="str">
        <f t="shared" si="54"/>
        <v/>
      </c>
    </row>
    <row r="648" spans="1:11" ht="15" x14ac:dyDescent="0.25">
      <c r="A648" s="1" t="str">
        <f>IF('1.1 Produksi Bersih Padi 2025'!A648="","",'1.1 Produksi Bersih Padi 2025'!A648)</f>
        <v/>
      </c>
      <c r="B648" s="31" t="str">
        <f>IF('1.1 Produksi Bersih Padi 2025'!B648="","",'1.1 Produksi Bersih Padi 2025'!B648)</f>
        <v/>
      </c>
      <c r="C648" s="31" t="str">
        <f>IF('1.1 Produksi Bersih Padi 2025'!C648="","",'1.1 Produksi Bersih Padi 2025'!C648)</f>
        <v/>
      </c>
      <c r="D648" s="1" t="str">
        <f>IF('1.1 Produksi Bersih Padi 2025'!D648="","",'1.1 Produksi Bersih Padi 2025'!D648)</f>
        <v/>
      </c>
      <c r="E648" s="1" t="str">
        <f>IF('1.1 Produksi Bersih Padi 2025'!E648="","",'1.1 Produksi Bersih Padi 2025'!E648)</f>
        <v/>
      </c>
      <c r="F648" s="28" t="str">
        <f>IF(D648="","",VLOOKUP(D648,'[1]0.1 Produksi Pangan &amp; Penduduk'!$D$5:$Y$860,22,0))</f>
        <v/>
      </c>
      <c r="G648" s="30" t="str">
        <f t="shared" si="50"/>
        <v/>
      </c>
      <c r="H648" s="30" t="str">
        <f t="shared" si="51"/>
        <v/>
      </c>
      <c r="I648" s="30" t="str">
        <f t="shared" si="52"/>
        <v/>
      </c>
      <c r="J648" s="30" t="str">
        <f t="shared" si="53"/>
        <v/>
      </c>
      <c r="K648" s="30" t="str">
        <f t="shared" si="54"/>
        <v/>
      </c>
    </row>
    <row r="649" spans="1:11" ht="15" x14ac:dyDescent="0.25">
      <c r="A649" s="1" t="str">
        <f>IF('1.1 Produksi Bersih Padi 2025'!A649="","",'1.1 Produksi Bersih Padi 2025'!A649)</f>
        <v/>
      </c>
      <c r="B649" s="31" t="str">
        <f>IF('1.1 Produksi Bersih Padi 2025'!B649="","",'1.1 Produksi Bersih Padi 2025'!B649)</f>
        <v/>
      </c>
      <c r="C649" s="31" t="str">
        <f>IF('1.1 Produksi Bersih Padi 2025'!C649="","",'1.1 Produksi Bersih Padi 2025'!C649)</f>
        <v/>
      </c>
      <c r="D649" s="1" t="str">
        <f>IF('1.1 Produksi Bersih Padi 2025'!D649="","",'1.1 Produksi Bersih Padi 2025'!D649)</f>
        <v/>
      </c>
      <c r="E649" s="1" t="str">
        <f>IF('1.1 Produksi Bersih Padi 2025'!E649="","",'1.1 Produksi Bersih Padi 2025'!E649)</f>
        <v/>
      </c>
      <c r="F649" s="28" t="str">
        <f>IF(D649="","",VLOOKUP(D649,'[1]0.1 Produksi Pangan &amp; Penduduk'!$D$5:$Y$860,22,0))</f>
        <v/>
      </c>
      <c r="G649" s="30" t="str">
        <f t="shared" si="50"/>
        <v/>
      </c>
      <c r="H649" s="30" t="str">
        <f t="shared" si="51"/>
        <v/>
      </c>
      <c r="I649" s="30" t="str">
        <f t="shared" si="52"/>
        <v/>
      </c>
      <c r="J649" s="30" t="str">
        <f t="shared" si="53"/>
        <v/>
      </c>
      <c r="K649" s="30" t="str">
        <f t="shared" si="54"/>
        <v/>
      </c>
    </row>
    <row r="650" spans="1:11" ht="15" x14ac:dyDescent="0.25">
      <c r="A650" s="1" t="str">
        <f>IF('1.1 Produksi Bersih Padi 2025'!A650="","",'1.1 Produksi Bersih Padi 2025'!A650)</f>
        <v/>
      </c>
      <c r="B650" s="31" t="str">
        <f>IF('1.1 Produksi Bersih Padi 2025'!B650="","",'1.1 Produksi Bersih Padi 2025'!B650)</f>
        <v/>
      </c>
      <c r="C650" s="31" t="str">
        <f>IF('1.1 Produksi Bersih Padi 2025'!C650="","",'1.1 Produksi Bersih Padi 2025'!C650)</f>
        <v/>
      </c>
      <c r="D650" s="1" t="str">
        <f>IF('1.1 Produksi Bersih Padi 2025'!D650="","",'1.1 Produksi Bersih Padi 2025'!D650)</f>
        <v/>
      </c>
      <c r="E650" s="1" t="str">
        <f>IF('1.1 Produksi Bersih Padi 2025'!E650="","",'1.1 Produksi Bersih Padi 2025'!E650)</f>
        <v/>
      </c>
      <c r="F650" s="28" t="str">
        <f>IF(D650="","",VLOOKUP(D650,'[1]0.1 Produksi Pangan &amp; Penduduk'!$D$5:$Y$860,22,0))</f>
        <v/>
      </c>
      <c r="G650" s="30" t="str">
        <f t="shared" si="50"/>
        <v/>
      </c>
      <c r="H650" s="30" t="str">
        <f t="shared" si="51"/>
        <v/>
      </c>
      <c r="I650" s="30" t="str">
        <f t="shared" si="52"/>
        <v/>
      </c>
      <c r="J650" s="30" t="str">
        <f t="shared" si="53"/>
        <v/>
      </c>
      <c r="K650" s="30" t="str">
        <f t="shared" si="54"/>
        <v/>
      </c>
    </row>
    <row r="651" spans="1:11" ht="15" x14ac:dyDescent="0.25">
      <c r="A651" s="1" t="str">
        <f>IF('1.1 Produksi Bersih Padi 2025'!A651="","",'1.1 Produksi Bersih Padi 2025'!A651)</f>
        <v/>
      </c>
      <c r="B651" s="31" t="str">
        <f>IF('1.1 Produksi Bersih Padi 2025'!B651="","",'1.1 Produksi Bersih Padi 2025'!B651)</f>
        <v/>
      </c>
      <c r="C651" s="31" t="str">
        <f>IF('1.1 Produksi Bersih Padi 2025'!C651="","",'1.1 Produksi Bersih Padi 2025'!C651)</f>
        <v/>
      </c>
      <c r="D651" s="1" t="str">
        <f>IF('1.1 Produksi Bersih Padi 2025'!D651="","",'1.1 Produksi Bersih Padi 2025'!D651)</f>
        <v/>
      </c>
      <c r="E651" s="1" t="str">
        <f>IF('1.1 Produksi Bersih Padi 2025'!E651="","",'1.1 Produksi Bersih Padi 2025'!E651)</f>
        <v/>
      </c>
      <c r="F651" s="28" t="str">
        <f>IF(D651="","",VLOOKUP(D651,'[1]0.1 Produksi Pangan &amp; Penduduk'!$D$5:$Y$860,22,0))</f>
        <v/>
      </c>
      <c r="G651" s="30" t="str">
        <f t="shared" si="50"/>
        <v/>
      </c>
      <c r="H651" s="30" t="str">
        <f t="shared" si="51"/>
        <v/>
      </c>
      <c r="I651" s="30" t="str">
        <f t="shared" si="52"/>
        <v/>
      </c>
      <c r="J651" s="30" t="str">
        <f t="shared" si="53"/>
        <v/>
      </c>
      <c r="K651" s="30" t="str">
        <f t="shared" si="54"/>
        <v/>
      </c>
    </row>
    <row r="652" spans="1:11" ht="15" x14ac:dyDescent="0.25">
      <c r="A652" s="1" t="str">
        <f>IF('1.1 Produksi Bersih Padi 2025'!A652="","",'1.1 Produksi Bersih Padi 2025'!A652)</f>
        <v/>
      </c>
      <c r="B652" s="31" t="str">
        <f>IF('1.1 Produksi Bersih Padi 2025'!B652="","",'1.1 Produksi Bersih Padi 2025'!B652)</f>
        <v/>
      </c>
      <c r="C652" s="31" t="str">
        <f>IF('1.1 Produksi Bersih Padi 2025'!C652="","",'1.1 Produksi Bersih Padi 2025'!C652)</f>
        <v/>
      </c>
      <c r="D652" s="1" t="str">
        <f>IF('1.1 Produksi Bersih Padi 2025'!D652="","",'1.1 Produksi Bersih Padi 2025'!D652)</f>
        <v/>
      </c>
      <c r="E652" s="1" t="str">
        <f>IF('1.1 Produksi Bersih Padi 2025'!E652="","",'1.1 Produksi Bersih Padi 2025'!E652)</f>
        <v/>
      </c>
      <c r="F652" s="28" t="str">
        <f>IF(D652="","",VLOOKUP(D652,'[1]0.1 Produksi Pangan &amp; Penduduk'!$D$5:$Y$860,22,0))</f>
        <v/>
      </c>
      <c r="G652" s="30" t="str">
        <f t="shared" si="50"/>
        <v/>
      </c>
      <c r="H652" s="30" t="str">
        <f t="shared" si="51"/>
        <v/>
      </c>
      <c r="I652" s="30" t="str">
        <f t="shared" si="52"/>
        <v/>
      </c>
      <c r="J652" s="30" t="str">
        <f t="shared" si="53"/>
        <v/>
      </c>
      <c r="K652" s="30" t="str">
        <f t="shared" si="54"/>
        <v/>
      </c>
    </row>
    <row r="653" spans="1:11" ht="15" x14ac:dyDescent="0.25">
      <c r="A653" s="1" t="str">
        <f>IF('1.1 Produksi Bersih Padi 2025'!A653="","",'1.1 Produksi Bersih Padi 2025'!A653)</f>
        <v/>
      </c>
      <c r="B653" s="31" t="str">
        <f>IF('1.1 Produksi Bersih Padi 2025'!B653="","",'1.1 Produksi Bersih Padi 2025'!B653)</f>
        <v/>
      </c>
      <c r="C653" s="31" t="str">
        <f>IF('1.1 Produksi Bersih Padi 2025'!C653="","",'1.1 Produksi Bersih Padi 2025'!C653)</f>
        <v/>
      </c>
      <c r="D653" s="1" t="str">
        <f>IF('1.1 Produksi Bersih Padi 2025'!D653="","",'1.1 Produksi Bersih Padi 2025'!D653)</f>
        <v/>
      </c>
      <c r="E653" s="1" t="str">
        <f>IF('1.1 Produksi Bersih Padi 2025'!E653="","",'1.1 Produksi Bersih Padi 2025'!E653)</f>
        <v/>
      </c>
      <c r="F653" s="28" t="str">
        <f>IF(D653="","",VLOOKUP(D653,'[1]0.1 Produksi Pangan &amp; Penduduk'!$D$5:$Y$860,22,0))</f>
        <v/>
      </c>
      <c r="G653" s="30" t="str">
        <f t="shared" si="50"/>
        <v/>
      </c>
      <c r="H653" s="30" t="str">
        <f t="shared" si="51"/>
        <v/>
      </c>
      <c r="I653" s="30" t="str">
        <f t="shared" si="52"/>
        <v/>
      </c>
      <c r="J653" s="30" t="str">
        <f t="shared" si="53"/>
        <v/>
      </c>
      <c r="K653" s="30" t="str">
        <f t="shared" si="54"/>
        <v/>
      </c>
    </row>
    <row r="654" spans="1:11" ht="15" x14ac:dyDescent="0.25">
      <c r="A654" s="1" t="str">
        <f>IF('1.1 Produksi Bersih Padi 2025'!A654="","",'1.1 Produksi Bersih Padi 2025'!A654)</f>
        <v/>
      </c>
      <c r="B654" s="31" t="str">
        <f>IF('1.1 Produksi Bersih Padi 2025'!B654="","",'1.1 Produksi Bersih Padi 2025'!B654)</f>
        <v/>
      </c>
      <c r="C654" s="31" t="str">
        <f>IF('1.1 Produksi Bersih Padi 2025'!C654="","",'1.1 Produksi Bersih Padi 2025'!C654)</f>
        <v/>
      </c>
      <c r="D654" s="1" t="str">
        <f>IF('1.1 Produksi Bersih Padi 2025'!D654="","",'1.1 Produksi Bersih Padi 2025'!D654)</f>
        <v/>
      </c>
      <c r="E654" s="1" t="str">
        <f>IF('1.1 Produksi Bersih Padi 2025'!E654="","",'1.1 Produksi Bersih Padi 2025'!E654)</f>
        <v/>
      </c>
      <c r="F654" s="28" t="str">
        <f>IF(D654="","",VLOOKUP(D654,'[1]0.1 Produksi Pangan &amp; Penduduk'!$D$5:$Y$860,22,0))</f>
        <v/>
      </c>
      <c r="G654" s="30" t="str">
        <f t="shared" si="50"/>
        <v/>
      </c>
      <c r="H654" s="30" t="str">
        <f t="shared" si="51"/>
        <v/>
      </c>
      <c r="I654" s="30" t="str">
        <f t="shared" si="52"/>
        <v/>
      </c>
      <c r="J654" s="30" t="str">
        <f t="shared" si="53"/>
        <v/>
      </c>
      <c r="K654" s="30" t="str">
        <f t="shared" si="54"/>
        <v/>
      </c>
    </row>
    <row r="655" spans="1:11" ht="15" x14ac:dyDescent="0.25">
      <c r="A655" s="1" t="str">
        <f>IF('1.1 Produksi Bersih Padi 2025'!A655="","",'1.1 Produksi Bersih Padi 2025'!A655)</f>
        <v/>
      </c>
      <c r="B655" s="31" t="str">
        <f>IF('1.1 Produksi Bersih Padi 2025'!B655="","",'1.1 Produksi Bersih Padi 2025'!B655)</f>
        <v/>
      </c>
      <c r="C655" s="31" t="str">
        <f>IF('1.1 Produksi Bersih Padi 2025'!C655="","",'1.1 Produksi Bersih Padi 2025'!C655)</f>
        <v/>
      </c>
      <c r="D655" s="1" t="str">
        <f>IF('1.1 Produksi Bersih Padi 2025'!D655="","",'1.1 Produksi Bersih Padi 2025'!D655)</f>
        <v/>
      </c>
      <c r="E655" s="1" t="str">
        <f>IF('1.1 Produksi Bersih Padi 2025'!E655="","",'1.1 Produksi Bersih Padi 2025'!E655)</f>
        <v/>
      </c>
      <c r="F655" s="28" t="str">
        <f>IF(D655="","",VLOOKUP(D655,'[1]0.1 Produksi Pangan &amp; Penduduk'!$D$5:$Y$860,22,0))</f>
        <v/>
      </c>
      <c r="G655" s="30" t="str">
        <f t="shared" si="50"/>
        <v/>
      </c>
      <c r="H655" s="30" t="str">
        <f t="shared" si="51"/>
        <v/>
      </c>
      <c r="I655" s="30" t="str">
        <f t="shared" si="52"/>
        <v/>
      </c>
      <c r="J655" s="30" t="str">
        <f t="shared" si="53"/>
        <v/>
      </c>
      <c r="K655" s="30" t="str">
        <f t="shared" si="54"/>
        <v/>
      </c>
    </row>
    <row r="656" spans="1:11" ht="15" x14ac:dyDescent="0.25">
      <c r="A656" s="1" t="str">
        <f>IF('1.1 Produksi Bersih Padi 2025'!A656="","",'1.1 Produksi Bersih Padi 2025'!A656)</f>
        <v/>
      </c>
      <c r="B656" s="31" t="str">
        <f>IF('1.1 Produksi Bersih Padi 2025'!B656="","",'1.1 Produksi Bersih Padi 2025'!B656)</f>
        <v/>
      </c>
      <c r="C656" s="31" t="str">
        <f>IF('1.1 Produksi Bersih Padi 2025'!C656="","",'1.1 Produksi Bersih Padi 2025'!C656)</f>
        <v/>
      </c>
      <c r="D656" s="1" t="str">
        <f>IF('1.1 Produksi Bersih Padi 2025'!D656="","",'1.1 Produksi Bersih Padi 2025'!D656)</f>
        <v/>
      </c>
      <c r="E656" s="1" t="str">
        <f>IF('1.1 Produksi Bersih Padi 2025'!E656="","",'1.1 Produksi Bersih Padi 2025'!E656)</f>
        <v/>
      </c>
      <c r="F656" s="28" t="str">
        <f>IF(D656="","",VLOOKUP(D656,'[1]0.1 Produksi Pangan &amp; Penduduk'!$D$5:$Y$860,22,0))</f>
        <v/>
      </c>
      <c r="G656" s="30" t="str">
        <f t="shared" si="50"/>
        <v/>
      </c>
      <c r="H656" s="30" t="str">
        <f t="shared" si="51"/>
        <v/>
      </c>
      <c r="I656" s="30" t="str">
        <f t="shared" si="52"/>
        <v/>
      </c>
      <c r="J656" s="30" t="str">
        <f t="shared" si="53"/>
        <v/>
      </c>
      <c r="K656" s="30" t="str">
        <f t="shared" si="54"/>
        <v/>
      </c>
    </row>
    <row r="657" spans="1:11" ht="15" x14ac:dyDescent="0.25">
      <c r="A657" s="1" t="str">
        <f>IF('1.1 Produksi Bersih Padi 2025'!A657="","",'1.1 Produksi Bersih Padi 2025'!A657)</f>
        <v/>
      </c>
      <c r="B657" s="31" t="str">
        <f>IF('1.1 Produksi Bersih Padi 2025'!B657="","",'1.1 Produksi Bersih Padi 2025'!B657)</f>
        <v/>
      </c>
      <c r="C657" s="31" t="str">
        <f>IF('1.1 Produksi Bersih Padi 2025'!C657="","",'1.1 Produksi Bersih Padi 2025'!C657)</f>
        <v/>
      </c>
      <c r="D657" s="1" t="str">
        <f>IF('1.1 Produksi Bersih Padi 2025'!D657="","",'1.1 Produksi Bersih Padi 2025'!D657)</f>
        <v/>
      </c>
      <c r="E657" s="1" t="str">
        <f>IF('1.1 Produksi Bersih Padi 2025'!E657="","",'1.1 Produksi Bersih Padi 2025'!E657)</f>
        <v/>
      </c>
      <c r="F657" s="28" t="str">
        <f>IF(D657="","",VLOOKUP(D657,'[1]0.1 Produksi Pangan &amp; Penduduk'!$D$5:$Y$860,22,0))</f>
        <v/>
      </c>
      <c r="G657" s="30" t="str">
        <f t="shared" si="50"/>
        <v/>
      </c>
      <c r="H657" s="30" t="str">
        <f t="shared" si="51"/>
        <v/>
      </c>
      <c r="I657" s="30" t="str">
        <f t="shared" si="52"/>
        <v/>
      </c>
      <c r="J657" s="30" t="str">
        <f t="shared" si="53"/>
        <v/>
      </c>
      <c r="K657" s="30" t="str">
        <f t="shared" si="54"/>
        <v/>
      </c>
    </row>
    <row r="658" spans="1:11" ht="15" x14ac:dyDescent="0.25">
      <c r="A658" s="1" t="str">
        <f>IF('1.1 Produksi Bersih Padi 2025'!A658="","",'1.1 Produksi Bersih Padi 2025'!A658)</f>
        <v/>
      </c>
      <c r="B658" s="31" t="str">
        <f>IF('1.1 Produksi Bersih Padi 2025'!B658="","",'1.1 Produksi Bersih Padi 2025'!B658)</f>
        <v/>
      </c>
      <c r="C658" s="31" t="str">
        <f>IF('1.1 Produksi Bersih Padi 2025'!C658="","",'1.1 Produksi Bersih Padi 2025'!C658)</f>
        <v/>
      </c>
      <c r="D658" s="1" t="str">
        <f>IF('1.1 Produksi Bersih Padi 2025'!D658="","",'1.1 Produksi Bersih Padi 2025'!D658)</f>
        <v/>
      </c>
      <c r="E658" s="1" t="str">
        <f>IF('1.1 Produksi Bersih Padi 2025'!E658="","",'1.1 Produksi Bersih Padi 2025'!E658)</f>
        <v/>
      </c>
      <c r="F658" s="28" t="str">
        <f>IF(D658="","",VLOOKUP(D658,'[1]0.1 Produksi Pangan &amp; Penduduk'!$D$5:$Y$860,22,0))</f>
        <v/>
      </c>
      <c r="G658" s="30" t="str">
        <f t="shared" si="50"/>
        <v/>
      </c>
      <c r="H658" s="30" t="str">
        <f t="shared" si="51"/>
        <v/>
      </c>
      <c r="I658" s="30" t="str">
        <f t="shared" si="52"/>
        <v/>
      </c>
      <c r="J658" s="30" t="str">
        <f t="shared" si="53"/>
        <v/>
      </c>
      <c r="K658" s="30" t="str">
        <f t="shared" si="54"/>
        <v/>
      </c>
    </row>
    <row r="659" spans="1:11" ht="15" x14ac:dyDescent="0.25">
      <c r="A659" s="1" t="str">
        <f>IF('1.1 Produksi Bersih Padi 2025'!A659="","",'1.1 Produksi Bersih Padi 2025'!A659)</f>
        <v/>
      </c>
      <c r="B659" s="31" t="str">
        <f>IF('1.1 Produksi Bersih Padi 2025'!B659="","",'1.1 Produksi Bersih Padi 2025'!B659)</f>
        <v/>
      </c>
      <c r="C659" s="31" t="str">
        <f>IF('1.1 Produksi Bersih Padi 2025'!C659="","",'1.1 Produksi Bersih Padi 2025'!C659)</f>
        <v/>
      </c>
      <c r="D659" s="1" t="str">
        <f>IF('1.1 Produksi Bersih Padi 2025'!D659="","",'1.1 Produksi Bersih Padi 2025'!D659)</f>
        <v/>
      </c>
      <c r="E659" s="1" t="str">
        <f>IF('1.1 Produksi Bersih Padi 2025'!E659="","",'1.1 Produksi Bersih Padi 2025'!E659)</f>
        <v/>
      </c>
      <c r="F659" s="28" t="str">
        <f>IF(D659="","",VLOOKUP(D659,'[1]0.1 Produksi Pangan &amp; Penduduk'!$D$5:$Y$860,22,0))</f>
        <v/>
      </c>
      <c r="G659" s="30" t="str">
        <f t="shared" si="50"/>
        <v/>
      </c>
      <c r="H659" s="30" t="str">
        <f t="shared" si="51"/>
        <v/>
      </c>
      <c r="I659" s="30" t="str">
        <f t="shared" si="52"/>
        <v/>
      </c>
      <c r="J659" s="30" t="str">
        <f t="shared" si="53"/>
        <v/>
      </c>
      <c r="K659" s="30" t="str">
        <f t="shared" si="54"/>
        <v/>
      </c>
    </row>
    <row r="660" spans="1:11" ht="15" x14ac:dyDescent="0.25">
      <c r="A660" s="1" t="str">
        <f>IF('1.1 Produksi Bersih Padi 2025'!A660="","",'1.1 Produksi Bersih Padi 2025'!A660)</f>
        <v/>
      </c>
      <c r="B660" s="31" t="str">
        <f>IF('1.1 Produksi Bersih Padi 2025'!B660="","",'1.1 Produksi Bersih Padi 2025'!B660)</f>
        <v/>
      </c>
      <c r="C660" s="31" t="str">
        <f>IF('1.1 Produksi Bersih Padi 2025'!C660="","",'1.1 Produksi Bersih Padi 2025'!C660)</f>
        <v/>
      </c>
      <c r="D660" s="1" t="str">
        <f>IF('1.1 Produksi Bersih Padi 2025'!D660="","",'1.1 Produksi Bersih Padi 2025'!D660)</f>
        <v/>
      </c>
      <c r="E660" s="1" t="str">
        <f>IF('1.1 Produksi Bersih Padi 2025'!E660="","",'1.1 Produksi Bersih Padi 2025'!E660)</f>
        <v/>
      </c>
      <c r="F660" s="28" t="str">
        <f>IF(D660="","",VLOOKUP(D660,'[1]0.1 Produksi Pangan &amp; Penduduk'!$D$5:$Y$860,22,0))</f>
        <v/>
      </c>
      <c r="G660" s="30" t="str">
        <f t="shared" si="50"/>
        <v/>
      </c>
      <c r="H660" s="30" t="str">
        <f t="shared" si="51"/>
        <v/>
      </c>
      <c r="I660" s="30" t="str">
        <f t="shared" si="52"/>
        <v/>
      </c>
      <c r="J660" s="30" t="str">
        <f t="shared" si="53"/>
        <v/>
      </c>
      <c r="K660" s="30" t="str">
        <f t="shared" si="54"/>
        <v/>
      </c>
    </row>
    <row r="661" spans="1:11" ht="15" x14ac:dyDescent="0.25">
      <c r="A661" s="1" t="str">
        <f>IF('1.1 Produksi Bersih Padi 2025'!A661="","",'1.1 Produksi Bersih Padi 2025'!A661)</f>
        <v/>
      </c>
      <c r="B661" s="31" t="str">
        <f>IF('1.1 Produksi Bersih Padi 2025'!B661="","",'1.1 Produksi Bersih Padi 2025'!B661)</f>
        <v/>
      </c>
      <c r="C661" s="31" t="str">
        <f>IF('1.1 Produksi Bersih Padi 2025'!C661="","",'1.1 Produksi Bersih Padi 2025'!C661)</f>
        <v/>
      </c>
      <c r="D661" s="1" t="str">
        <f>IF('1.1 Produksi Bersih Padi 2025'!D661="","",'1.1 Produksi Bersih Padi 2025'!D661)</f>
        <v/>
      </c>
      <c r="E661" s="1" t="str">
        <f>IF('1.1 Produksi Bersih Padi 2025'!E661="","",'1.1 Produksi Bersih Padi 2025'!E661)</f>
        <v/>
      </c>
      <c r="F661" s="28" t="str">
        <f>IF(D661="","",VLOOKUP(D661,'[1]0.1 Produksi Pangan &amp; Penduduk'!$D$5:$Y$860,22,0))</f>
        <v/>
      </c>
      <c r="G661" s="30" t="str">
        <f t="shared" si="50"/>
        <v/>
      </c>
      <c r="H661" s="30" t="str">
        <f t="shared" si="51"/>
        <v/>
      </c>
      <c r="I661" s="30" t="str">
        <f t="shared" si="52"/>
        <v/>
      </c>
      <c r="J661" s="30" t="str">
        <f t="shared" si="53"/>
        <v/>
      </c>
      <c r="K661" s="30" t="str">
        <f t="shared" si="54"/>
        <v/>
      </c>
    </row>
    <row r="662" spans="1:11" ht="15" x14ac:dyDescent="0.25">
      <c r="A662" s="1" t="str">
        <f>IF('1.1 Produksi Bersih Padi 2025'!A662="","",'1.1 Produksi Bersih Padi 2025'!A662)</f>
        <v/>
      </c>
      <c r="B662" s="31" t="str">
        <f>IF('1.1 Produksi Bersih Padi 2025'!B662="","",'1.1 Produksi Bersih Padi 2025'!B662)</f>
        <v/>
      </c>
      <c r="C662" s="31" t="str">
        <f>IF('1.1 Produksi Bersih Padi 2025'!C662="","",'1.1 Produksi Bersih Padi 2025'!C662)</f>
        <v/>
      </c>
      <c r="D662" s="1" t="str">
        <f>IF('1.1 Produksi Bersih Padi 2025'!D662="","",'1.1 Produksi Bersih Padi 2025'!D662)</f>
        <v/>
      </c>
      <c r="E662" s="1" t="str">
        <f>IF('1.1 Produksi Bersih Padi 2025'!E662="","",'1.1 Produksi Bersih Padi 2025'!E662)</f>
        <v/>
      </c>
      <c r="F662" s="28" t="str">
        <f>IF(D662="","",VLOOKUP(D662,'[1]0.1 Produksi Pangan &amp; Penduduk'!$D$5:$Y$860,22,0))</f>
        <v/>
      </c>
      <c r="G662" s="30" t="str">
        <f t="shared" si="50"/>
        <v/>
      </c>
      <c r="H662" s="30" t="str">
        <f t="shared" si="51"/>
        <v/>
      </c>
      <c r="I662" s="30" t="str">
        <f t="shared" si="52"/>
        <v/>
      </c>
      <c r="J662" s="30" t="str">
        <f t="shared" si="53"/>
        <v/>
      </c>
      <c r="K662" s="30" t="str">
        <f t="shared" si="54"/>
        <v/>
      </c>
    </row>
    <row r="663" spans="1:11" ht="15" x14ac:dyDescent="0.25">
      <c r="A663" s="1" t="str">
        <f>IF('1.1 Produksi Bersih Padi 2025'!A663="","",'1.1 Produksi Bersih Padi 2025'!A663)</f>
        <v/>
      </c>
      <c r="B663" s="31" t="str">
        <f>IF('1.1 Produksi Bersih Padi 2025'!B663="","",'1.1 Produksi Bersih Padi 2025'!B663)</f>
        <v/>
      </c>
      <c r="C663" s="31" t="str">
        <f>IF('1.1 Produksi Bersih Padi 2025'!C663="","",'1.1 Produksi Bersih Padi 2025'!C663)</f>
        <v/>
      </c>
      <c r="D663" s="1" t="str">
        <f>IF('1.1 Produksi Bersih Padi 2025'!D663="","",'1.1 Produksi Bersih Padi 2025'!D663)</f>
        <v/>
      </c>
      <c r="E663" s="1" t="str">
        <f>IF('1.1 Produksi Bersih Padi 2025'!E663="","",'1.1 Produksi Bersih Padi 2025'!E663)</f>
        <v/>
      </c>
      <c r="F663" s="28" t="str">
        <f>IF(D663="","",VLOOKUP(D663,'[1]0.1 Produksi Pangan &amp; Penduduk'!$D$5:$Y$860,22,0))</f>
        <v/>
      </c>
      <c r="G663" s="30" t="str">
        <f t="shared" si="50"/>
        <v/>
      </c>
      <c r="H663" s="30" t="str">
        <f t="shared" si="51"/>
        <v/>
      </c>
      <c r="I663" s="30" t="str">
        <f t="shared" si="52"/>
        <v/>
      </c>
      <c r="J663" s="30" t="str">
        <f t="shared" si="53"/>
        <v/>
      </c>
      <c r="K663" s="30" t="str">
        <f t="shared" si="54"/>
        <v/>
      </c>
    </row>
    <row r="664" spans="1:11" ht="15" x14ac:dyDescent="0.25">
      <c r="A664" s="1" t="str">
        <f>IF('1.1 Produksi Bersih Padi 2025'!A664="","",'1.1 Produksi Bersih Padi 2025'!A664)</f>
        <v/>
      </c>
      <c r="B664" s="31" t="str">
        <f>IF('1.1 Produksi Bersih Padi 2025'!B664="","",'1.1 Produksi Bersih Padi 2025'!B664)</f>
        <v/>
      </c>
      <c r="C664" s="31" t="str">
        <f>IF('1.1 Produksi Bersih Padi 2025'!C664="","",'1.1 Produksi Bersih Padi 2025'!C664)</f>
        <v/>
      </c>
      <c r="D664" s="1" t="str">
        <f>IF('1.1 Produksi Bersih Padi 2025'!D664="","",'1.1 Produksi Bersih Padi 2025'!D664)</f>
        <v/>
      </c>
      <c r="E664" s="1" t="str">
        <f>IF('1.1 Produksi Bersih Padi 2025'!E664="","",'1.1 Produksi Bersih Padi 2025'!E664)</f>
        <v/>
      </c>
      <c r="F664" s="28" t="str">
        <f>IF(D664="","",VLOOKUP(D664,'[1]0.1 Produksi Pangan &amp; Penduduk'!$D$5:$Y$860,22,0))</f>
        <v/>
      </c>
      <c r="G664" s="30" t="str">
        <f t="shared" si="50"/>
        <v/>
      </c>
      <c r="H664" s="30" t="str">
        <f t="shared" si="51"/>
        <v/>
      </c>
      <c r="I664" s="30" t="str">
        <f t="shared" si="52"/>
        <v/>
      </c>
      <c r="J664" s="30" t="str">
        <f t="shared" si="53"/>
        <v/>
      </c>
      <c r="K664" s="30" t="str">
        <f t="shared" si="54"/>
        <v/>
      </c>
    </row>
    <row r="665" spans="1:11" ht="15" x14ac:dyDescent="0.25">
      <c r="A665" s="1" t="str">
        <f>IF('1.1 Produksi Bersih Padi 2025'!A665="","",'1.1 Produksi Bersih Padi 2025'!A665)</f>
        <v/>
      </c>
      <c r="B665" s="31" t="str">
        <f>IF('1.1 Produksi Bersih Padi 2025'!B665="","",'1.1 Produksi Bersih Padi 2025'!B665)</f>
        <v/>
      </c>
      <c r="C665" s="31" t="str">
        <f>IF('1.1 Produksi Bersih Padi 2025'!C665="","",'1.1 Produksi Bersih Padi 2025'!C665)</f>
        <v/>
      </c>
      <c r="D665" s="1" t="str">
        <f>IF('1.1 Produksi Bersih Padi 2025'!D665="","",'1.1 Produksi Bersih Padi 2025'!D665)</f>
        <v/>
      </c>
      <c r="E665" s="1" t="str">
        <f>IF('1.1 Produksi Bersih Padi 2025'!E665="","",'1.1 Produksi Bersih Padi 2025'!E665)</f>
        <v/>
      </c>
      <c r="F665" s="28" t="str">
        <f>IF(D665="","",VLOOKUP(D665,'[1]0.1 Produksi Pangan &amp; Penduduk'!$D$5:$Y$860,22,0))</f>
        <v/>
      </c>
      <c r="G665" s="30" t="str">
        <f t="shared" si="50"/>
        <v/>
      </c>
      <c r="H665" s="30" t="str">
        <f t="shared" si="51"/>
        <v/>
      </c>
      <c r="I665" s="30" t="str">
        <f t="shared" si="52"/>
        <v/>
      </c>
      <c r="J665" s="30" t="str">
        <f t="shared" si="53"/>
        <v/>
      </c>
      <c r="K665" s="30" t="str">
        <f t="shared" si="54"/>
        <v/>
      </c>
    </row>
    <row r="666" spans="1:11" ht="15" x14ac:dyDescent="0.25">
      <c r="A666" s="1" t="str">
        <f>IF('1.1 Produksi Bersih Padi 2025'!A666="","",'1.1 Produksi Bersih Padi 2025'!A666)</f>
        <v/>
      </c>
      <c r="B666" s="31" t="str">
        <f>IF('1.1 Produksi Bersih Padi 2025'!B666="","",'1.1 Produksi Bersih Padi 2025'!B666)</f>
        <v/>
      </c>
      <c r="C666" s="31" t="str">
        <f>IF('1.1 Produksi Bersih Padi 2025'!C666="","",'1.1 Produksi Bersih Padi 2025'!C666)</f>
        <v/>
      </c>
      <c r="D666" s="1" t="str">
        <f>IF('1.1 Produksi Bersih Padi 2025'!D666="","",'1.1 Produksi Bersih Padi 2025'!D666)</f>
        <v/>
      </c>
      <c r="E666" s="1" t="str">
        <f>IF('1.1 Produksi Bersih Padi 2025'!E666="","",'1.1 Produksi Bersih Padi 2025'!E666)</f>
        <v/>
      </c>
      <c r="F666" s="28" t="str">
        <f>IF(D666="","",VLOOKUP(D666,'[1]0.1 Produksi Pangan &amp; Penduduk'!$D$5:$Y$860,22,0))</f>
        <v/>
      </c>
      <c r="G666" s="30" t="str">
        <f t="shared" si="50"/>
        <v/>
      </c>
      <c r="H666" s="30" t="str">
        <f t="shared" si="51"/>
        <v/>
      </c>
      <c r="I666" s="30" t="str">
        <f t="shared" si="52"/>
        <v/>
      </c>
      <c r="J666" s="30" t="str">
        <f t="shared" si="53"/>
        <v/>
      </c>
      <c r="K666" s="30" t="str">
        <f t="shared" si="54"/>
        <v/>
      </c>
    </row>
    <row r="667" spans="1:11" ht="15" x14ac:dyDescent="0.25">
      <c r="A667" s="1" t="str">
        <f>IF('1.1 Produksi Bersih Padi 2025'!A667="","",'1.1 Produksi Bersih Padi 2025'!A667)</f>
        <v/>
      </c>
      <c r="B667" s="31" t="str">
        <f>IF('1.1 Produksi Bersih Padi 2025'!B667="","",'1.1 Produksi Bersih Padi 2025'!B667)</f>
        <v/>
      </c>
      <c r="C667" s="31" t="str">
        <f>IF('1.1 Produksi Bersih Padi 2025'!C667="","",'1.1 Produksi Bersih Padi 2025'!C667)</f>
        <v/>
      </c>
      <c r="D667" s="1" t="str">
        <f>IF('1.1 Produksi Bersih Padi 2025'!D667="","",'1.1 Produksi Bersih Padi 2025'!D667)</f>
        <v/>
      </c>
      <c r="E667" s="1" t="str">
        <f>IF('1.1 Produksi Bersih Padi 2025'!E667="","",'1.1 Produksi Bersih Padi 2025'!E667)</f>
        <v/>
      </c>
      <c r="F667" s="28" t="str">
        <f>IF(D667="","",VLOOKUP(D667,'[1]0.1 Produksi Pangan &amp; Penduduk'!$D$5:$Y$860,22,0))</f>
        <v/>
      </c>
      <c r="G667" s="30" t="str">
        <f t="shared" si="50"/>
        <v/>
      </c>
      <c r="H667" s="30" t="str">
        <f t="shared" si="51"/>
        <v/>
      </c>
      <c r="I667" s="30" t="str">
        <f t="shared" si="52"/>
        <v/>
      </c>
      <c r="J667" s="30" t="str">
        <f t="shared" si="53"/>
        <v/>
      </c>
      <c r="K667" s="30" t="str">
        <f t="shared" si="54"/>
        <v/>
      </c>
    </row>
    <row r="668" spans="1:11" ht="15" x14ac:dyDescent="0.25">
      <c r="A668" s="1" t="str">
        <f>IF('1.1 Produksi Bersih Padi 2025'!A668="","",'1.1 Produksi Bersih Padi 2025'!A668)</f>
        <v/>
      </c>
      <c r="B668" s="31" t="str">
        <f>IF('1.1 Produksi Bersih Padi 2025'!B668="","",'1.1 Produksi Bersih Padi 2025'!B668)</f>
        <v/>
      </c>
      <c r="C668" s="31" t="str">
        <f>IF('1.1 Produksi Bersih Padi 2025'!C668="","",'1.1 Produksi Bersih Padi 2025'!C668)</f>
        <v/>
      </c>
      <c r="D668" s="1" t="str">
        <f>IF('1.1 Produksi Bersih Padi 2025'!D668="","",'1.1 Produksi Bersih Padi 2025'!D668)</f>
        <v/>
      </c>
      <c r="E668" s="1" t="str">
        <f>IF('1.1 Produksi Bersih Padi 2025'!E668="","",'1.1 Produksi Bersih Padi 2025'!E668)</f>
        <v/>
      </c>
      <c r="F668" s="28" t="str">
        <f>IF(D668="","",VLOOKUP(D668,'[1]0.1 Produksi Pangan &amp; Penduduk'!$D$5:$Y$860,22,0))</f>
        <v/>
      </c>
      <c r="G668" s="30" t="str">
        <f t="shared" si="50"/>
        <v/>
      </c>
      <c r="H668" s="30" t="str">
        <f t="shared" si="51"/>
        <v/>
      </c>
      <c r="I668" s="30" t="str">
        <f t="shared" si="52"/>
        <v/>
      </c>
      <c r="J668" s="30" t="str">
        <f t="shared" si="53"/>
        <v/>
      </c>
      <c r="K668" s="30" t="str">
        <f t="shared" si="54"/>
        <v/>
      </c>
    </row>
    <row r="669" spans="1:11" ht="15" x14ac:dyDescent="0.25">
      <c r="A669" s="1" t="str">
        <f>IF('1.1 Produksi Bersih Padi 2025'!A669="","",'1.1 Produksi Bersih Padi 2025'!A669)</f>
        <v/>
      </c>
      <c r="B669" s="31" t="str">
        <f>IF('1.1 Produksi Bersih Padi 2025'!B669="","",'1.1 Produksi Bersih Padi 2025'!B669)</f>
        <v/>
      </c>
      <c r="C669" s="31" t="str">
        <f>IF('1.1 Produksi Bersih Padi 2025'!C669="","",'1.1 Produksi Bersih Padi 2025'!C669)</f>
        <v/>
      </c>
      <c r="D669" s="1" t="str">
        <f>IF('1.1 Produksi Bersih Padi 2025'!D669="","",'1.1 Produksi Bersih Padi 2025'!D669)</f>
        <v/>
      </c>
      <c r="E669" s="1" t="str">
        <f>IF('1.1 Produksi Bersih Padi 2025'!E669="","",'1.1 Produksi Bersih Padi 2025'!E669)</f>
        <v/>
      </c>
      <c r="F669" s="28" t="str">
        <f>IF(D669="","",VLOOKUP(D669,'[1]0.1 Produksi Pangan &amp; Penduduk'!$D$5:$Y$860,22,0))</f>
        <v/>
      </c>
      <c r="G669" s="30" t="str">
        <f t="shared" si="50"/>
        <v/>
      </c>
      <c r="H669" s="30" t="str">
        <f t="shared" si="51"/>
        <v/>
      </c>
      <c r="I669" s="30" t="str">
        <f t="shared" si="52"/>
        <v/>
      </c>
      <c r="J669" s="30" t="str">
        <f t="shared" si="53"/>
        <v/>
      </c>
      <c r="K669" s="30" t="str">
        <f t="shared" si="54"/>
        <v/>
      </c>
    </row>
    <row r="670" spans="1:11" ht="15" x14ac:dyDescent="0.25">
      <c r="A670" s="1" t="str">
        <f>IF('1.1 Produksi Bersih Padi 2025'!A670="","",'1.1 Produksi Bersih Padi 2025'!A670)</f>
        <v/>
      </c>
      <c r="B670" s="31" t="str">
        <f>IF('1.1 Produksi Bersih Padi 2025'!B670="","",'1.1 Produksi Bersih Padi 2025'!B670)</f>
        <v/>
      </c>
      <c r="C670" s="31" t="str">
        <f>IF('1.1 Produksi Bersih Padi 2025'!C670="","",'1.1 Produksi Bersih Padi 2025'!C670)</f>
        <v/>
      </c>
      <c r="D670" s="1" t="str">
        <f>IF('1.1 Produksi Bersih Padi 2025'!D670="","",'1.1 Produksi Bersih Padi 2025'!D670)</f>
        <v/>
      </c>
      <c r="E670" s="1" t="str">
        <f>IF('1.1 Produksi Bersih Padi 2025'!E670="","",'1.1 Produksi Bersih Padi 2025'!E670)</f>
        <v/>
      </c>
      <c r="F670" s="28" t="str">
        <f>IF(D670="","",VLOOKUP(D670,'[1]0.1 Produksi Pangan &amp; Penduduk'!$D$5:$Y$860,22,0))</f>
        <v/>
      </c>
      <c r="G670" s="30" t="str">
        <f t="shared" si="50"/>
        <v/>
      </c>
      <c r="H670" s="30" t="str">
        <f t="shared" si="51"/>
        <v/>
      </c>
      <c r="I670" s="30" t="str">
        <f t="shared" si="52"/>
        <v/>
      </c>
      <c r="J670" s="30" t="str">
        <f t="shared" si="53"/>
        <v/>
      </c>
      <c r="K670" s="30" t="str">
        <f t="shared" si="54"/>
        <v/>
      </c>
    </row>
    <row r="671" spans="1:11" ht="15" x14ac:dyDescent="0.25">
      <c r="A671" s="1" t="str">
        <f>IF('1.1 Produksi Bersih Padi 2025'!A671="","",'1.1 Produksi Bersih Padi 2025'!A671)</f>
        <v/>
      </c>
      <c r="B671" s="31" t="str">
        <f>IF('1.1 Produksi Bersih Padi 2025'!B671="","",'1.1 Produksi Bersih Padi 2025'!B671)</f>
        <v/>
      </c>
      <c r="C671" s="31" t="str">
        <f>IF('1.1 Produksi Bersih Padi 2025'!C671="","",'1.1 Produksi Bersih Padi 2025'!C671)</f>
        <v/>
      </c>
      <c r="D671" s="1" t="str">
        <f>IF('1.1 Produksi Bersih Padi 2025'!D671="","",'1.1 Produksi Bersih Padi 2025'!D671)</f>
        <v/>
      </c>
      <c r="E671" s="1" t="str">
        <f>IF('1.1 Produksi Bersih Padi 2025'!E671="","",'1.1 Produksi Bersih Padi 2025'!E671)</f>
        <v/>
      </c>
      <c r="F671" s="28" t="str">
        <f>IF(D671="","",VLOOKUP(D671,'[1]0.1 Produksi Pangan &amp; Penduduk'!$D$5:$Y$860,22,0))</f>
        <v/>
      </c>
      <c r="G671" s="30" t="str">
        <f t="shared" si="50"/>
        <v/>
      </c>
      <c r="H671" s="30" t="str">
        <f t="shared" si="51"/>
        <v/>
      </c>
      <c r="I671" s="30" t="str">
        <f t="shared" si="52"/>
        <v/>
      </c>
      <c r="J671" s="30" t="str">
        <f t="shared" si="53"/>
        <v/>
      </c>
      <c r="K671" s="30" t="str">
        <f t="shared" si="54"/>
        <v/>
      </c>
    </row>
    <row r="672" spans="1:11" ht="15" x14ac:dyDescent="0.25">
      <c r="A672" s="1" t="str">
        <f>IF('1.1 Produksi Bersih Padi 2025'!A672="","",'1.1 Produksi Bersih Padi 2025'!A672)</f>
        <v/>
      </c>
      <c r="B672" s="31" t="str">
        <f>IF('1.1 Produksi Bersih Padi 2025'!B672="","",'1.1 Produksi Bersih Padi 2025'!B672)</f>
        <v/>
      </c>
      <c r="C672" s="31" t="str">
        <f>IF('1.1 Produksi Bersih Padi 2025'!C672="","",'1.1 Produksi Bersih Padi 2025'!C672)</f>
        <v/>
      </c>
      <c r="D672" s="1" t="str">
        <f>IF('1.1 Produksi Bersih Padi 2025'!D672="","",'1.1 Produksi Bersih Padi 2025'!D672)</f>
        <v/>
      </c>
      <c r="E672" s="1" t="str">
        <f>IF('1.1 Produksi Bersih Padi 2025'!E672="","",'1.1 Produksi Bersih Padi 2025'!E672)</f>
        <v/>
      </c>
      <c r="F672" s="28" t="str">
        <f>IF(D672="","",VLOOKUP(D672,'[1]0.1 Produksi Pangan &amp; Penduduk'!$D$5:$Y$860,22,0))</f>
        <v/>
      </c>
      <c r="G672" s="30" t="str">
        <f t="shared" si="50"/>
        <v/>
      </c>
      <c r="H672" s="30" t="str">
        <f t="shared" si="51"/>
        <v/>
      </c>
      <c r="I672" s="30" t="str">
        <f t="shared" si="52"/>
        <v/>
      </c>
      <c r="J672" s="30" t="str">
        <f t="shared" si="53"/>
        <v/>
      </c>
      <c r="K672" s="30" t="str">
        <f t="shared" si="54"/>
        <v/>
      </c>
    </row>
    <row r="673" spans="1:11" ht="15" x14ac:dyDescent="0.25">
      <c r="A673" s="1" t="str">
        <f>IF('1.1 Produksi Bersih Padi 2025'!A673="","",'1.1 Produksi Bersih Padi 2025'!A673)</f>
        <v/>
      </c>
      <c r="B673" s="31" t="str">
        <f>IF('1.1 Produksi Bersih Padi 2025'!B673="","",'1.1 Produksi Bersih Padi 2025'!B673)</f>
        <v/>
      </c>
      <c r="C673" s="31" t="str">
        <f>IF('1.1 Produksi Bersih Padi 2025'!C673="","",'1.1 Produksi Bersih Padi 2025'!C673)</f>
        <v/>
      </c>
      <c r="D673" s="1" t="str">
        <f>IF('1.1 Produksi Bersih Padi 2025'!D673="","",'1.1 Produksi Bersih Padi 2025'!D673)</f>
        <v/>
      </c>
      <c r="E673" s="1" t="str">
        <f>IF('1.1 Produksi Bersih Padi 2025'!E673="","",'1.1 Produksi Bersih Padi 2025'!E673)</f>
        <v/>
      </c>
      <c r="F673" s="28" t="str">
        <f>IF(D673="","",VLOOKUP(D673,'[1]0.1 Produksi Pangan &amp; Penduduk'!$D$5:$Y$860,22,0))</f>
        <v/>
      </c>
      <c r="G673" s="30" t="str">
        <f t="shared" si="50"/>
        <v/>
      </c>
      <c r="H673" s="30" t="str">
        <f t="shared" si="51"/>
        <v/>
      </c>
      <c r="I673" s="30" t="str">
        <f t="shared" si="52"/>
        <v/>
      </c>
      <c r="J673" s="30" t="str">
        <f t="shared" si="53"/>
        <v/>
      </c>
      <c r="K673" s="30" t="str">
        <f t="shared" si="54"/>
        <v/>
      </c>
    </row>
    <row r="674" spans="1:11" ht="15" x14ac:dyDescent="0.25">
      <c r="A674" s="1" t="str">
        <f>IF('1.1 Produksi Bersih Padi 2025'!A674="","",'1.1 Produksi Bersih Padi 2025'!A674)</f>
        <v/>
      </c>
      <c r="B674" s="31" t="str">
        <f>IF('1.1 Produksi Bersih Padi 2025'!B674="","",'1.1 Produksi Bersih Padi 2025'!B674)</f>
        <v/>
      </c>
      <c r="C674" s="31" t="str">
        <f>IF('1.1 Produksi Bersih Padi 2025'!C674="","",'1.1 Produksi Bersih Padi 2025'!C674)</f>
        <v/>
      </c>
      <c r="D674" s="1" t="str">
        <f>IF('1.1 Produksi Bersih Padi 2025'!D674="","",'1.1 Produksi Bersih Padi 2025'!D674)</f>
        <v/>
      </c>
      <c r="E674" s="1" t="str">
        <f>IF('1.1 Produksi Bersih Padi 2025'!E674="","",'1.1 Produksi Bersih Padi 2025'!E674)</f>
        <v/>
      </c>
      <c r="F674" s="28" t="str">
        <f>IF(D674="","",VLOOKUP(D674,'[1]0.1 Produksi Pangan &amp; Penduduk'!$D$5:$Y$860,22,0))</f>
        <v/>
      </c>
      <c r="G674" s="30" t="str">
        <f t="shared" si="50"/>
        <v/>
      </c>
      <c r="H674" s="30" t="str">
        <f t="shared" si="51"/>
        <v/>
      </c>
      <c r="I674" s="30" t="str">
        <f t="shared" si="52"/>
        <v/>
      </c>
      <c r="J674" s="30" t="str">
        <f t="shared" si="53"/>
        <v/>
      </c>
      <c r="K674" s="30" t="str">
        <f t="shared" si="54"/>
        <v/>
      </c>
    </row>
    <row r="675" spans="1:11" ht="15" x14ac:dyDescent="0.25">
      <c r="A675" s="1" t="str">
        <f>IF('1.1 Produksi Bersih Padi 2025'!A675="","",'1.1 Produksi Bersih Padi 2025'!A675)</f>
        <v/>
      </c>
      <c r="B675" s="31" t="str">
        <f>IF('1.1 Produksi Bersih Padi 2025'!B675="","",'1.1 Produksi Bersih Padi 2025'!B675)</f>
        <v/>
      </c>
      <c r="C675" s="31" t="str">
        <f>IF('1.1 Produksi Bersih Padi 2025'!C675="","",'1.1 Produksi Bersih Padi 2025'!C675)</f>
        <v/>
      </c>
      <c r="D675" s="1" t="str">
        <f>IF('1.1 Produksi Bersih Padi 2025'!D675="","",'1.1 Produksi Bersih Padi 2025'!D675)</f>
        <v/>
      </c>
      <c r="E675" s="1" t="str">
        <f>IF('1.1 Produksi Bersih Padi 2025'!E675="","",'1.1 Produksi Bersih Padi 2025'!E675)</f>
        <v/>
      </c>
      <c r="F675" s="28" t="str">
        <f>IF(D675="","",VLOOKUP(D675,'[1]0.1 Produksi Pangan &amp; Penduduk'!$D$5:$Y$860,22,0))</f>
        <v/>
      </c>
      <c r="G675" s="30" t="str">
        <f t="shared" si="50"/>
        <v/>
      </c>
      <c r="H675" s="30" t="str">
        <f t="shared" si="51"/>
        <v/>
      </c>
      <c r="I675" s="30" t="str">
        <f t="shared" si="52"/>
        <v/>
      </c>
      <c r="J675" s="30" t="str">
        <f t="shared" si="53"/>
        <v/>
      </c>
      <c r="K675" s="30" t="str">
        <f t="shared" si="54"/>
        <v/>
      </c>
    </row>
    <row r="676" spans="1:11" ht="15" x14ac:dyDescent="0.25">
      <c r="A676" s="1" t="str">
        <f>IF('1.1 Produksi Bersih Padi 2025'!A676="","",'1.1 Produksi Bersih Padi 2025'!A676)</f>
        <v/>
      </c>
      <c r="B676" s="31" t="str">
        <f>IF('1.1 Produksi Bersih Padi 2025'!B676="","",'1.1 Produksi Bersih Padi 2025'!B676)</f>
        <v/>
      </c>
      <c r="C676" s="31" t="str">
        <f>IF('1.1 Produksi Bersih Padi 2025'!C676="","",'1.1 Produksi Bersih Padi 2025'!C676)</f>
        <v/>
      </c>
      <c r="D676" s="1" t="str">
        <f>IF('1.1 Produksi Bersih Padi 2025'!D676="","",'1.1 Produksi Bersih Padi 2025'!D676)</f>
        <v/>
      </c>
      <c r="E676" s="1" t="str">
        <f>IF('1.1 Produksi Bersih Padi 2025'!E676="","",'1.1 Produksi Bersih Padi 2025'!E676)</f>
        <v/>
      </c>
      <c r="F676" s="28" t="str">
        <f>IF(D676="","",VLOOKUP(D676,'[1]0.1 Produksi Pangan &amp; Penduduk'!$D$5:$Y$860,22,0))</f>
        <v/>
      </c>
      <c r="G676" s="30" t="str">
        <f t="shared" si="50"/>
        <v/>
      </c>
      <c r="H676" s="30" t="str">
        <f t="shared" si="51"/>
        <v/>
      </c>
      <c r="I676" s="30" t="str">
        <f t="shared" si="52"/>
        <v/>
      </c>
      <c r="J676" s="30" t="str">
        <f t="shared" si="53"/>
        <v/>
      </c>
      <c r="K676" s="30" t="str">
        <f t="shared" si="54"/>
        <v/>
      </c>
    </row>
    <row r="677" spans="1:11" ht="15" x14ac:dyDescent="0.25">
      <c r="A677" s="1" t="str">
        <f>IF('1.1 Produksi Bersih Padi 2025'!A677="","",'1.1 Produksi Bersih Padi 2025'!A677)</f>
        <v/>
      </c>
      <c r="B677" s="31" t="str">
        <f>IF('1.1 Produksi Bersih Padi 2025'!B677="","",'1.1 Produksi Bersih Padi 2025'!B677)</f>
        <v/>
      </c>
      <c r="C677" s="31" t="str">
        <f>IF('1.1 Produksi Bersih Padi 2025'!C677="","",'1.1 Produksi Bersih Padi 2025'!C677)</f>
        <v/>
      </c>
      <c r="D677" s="1" t="str">
        <f>IF('1.1 Produksi Bersih Padi 2025'!D677="","",'1.1 Produksi Bersih Padi 2025'!D677)</f>
        <v/>
      </c>
      <c r="E677" s="1" t="str">
        <f>IF('1.1 Produksi Bersih Padi 2025'!E677="","",'1.1 Produksi Bersih Padi 2025'!E677)</f>
        <v/>
      </c>
      <c r="F677" s="28" t="str">
        <f>IF(D677="","",VLOOKUP(D677,'[1]0.1 Produksi Pangan &amp; Penduduk'!$D$5:$Y$860,22,0))</f>
        <v/>
      </c>
      <c r="G677" s="30" t="str">
        <f t="shared" si="50"/>
        <v/>
      </c>
      <c r="H677" s="30" t="str">
        <f t="shared" si="51"/>
        <v/>
      </c>
      <c r="I677" s="30" t="str">
        <f t="shared" si="52"/>
        <v/>
      </c>
      <c r="J677" s="30" t="str">
        <f t="shared" si="53"/>
        <v/>
      </c>
      <c r="K677" s="30" t="str">
        <f t="shared" si="54"/>
        <v/>
      </c>
    </row>
    <row r="678" spans="1:11" ht="15" x14ac:dyDescent="0.25">
      <c r="A678" s="1" t="str">
        <f>IF('1.1 Produksi Bersih Padi 2025'!A678="","",'1.1 Produksi Bersih Padi 2025'!A678)</f>
        <v/>
      </c>
      <c r="B678" s="31" t="str">
        <f>IF('1.1 Produksi Bersih Padi 2025'!B678="","",'1.1 Produksi Bersih Padi 2025'!B678)</f>
        <v/>
      </c>
      <c r="C678" s="31" t="str">
        <f>IF('1.1 Produksi Bersih Padi 2025'!C678="","",'1.1 Produksi Bersih Padi 2025'!C678)</f>
        <v/>
      </c>
      <c r="D678" s="1" t="str">
        <f>IF('1.1 Produksi Bersih Padi 2025'!D678="","",'1.1 Produksi Bersih Padi 2025'!D678)</f>
        <v/>
      </c>
      <c r="E678" s="1" t="str">
        <f>IF('1.1 Produksi Bersih Padi 2025'!E678="","",'1.1 Produksi Bersih Padi 2025'!E678)</f>
        <v/>
      </c>
      <c r="F678" s="28" t="str">
        <f>IF(D678="","",VLOOKUP(D678,'[1]0.1 Produksi Pangan &amp; Penduduk'!$D$5:$Y$860,22,0))</f>
        <v/>
      </c>
      <c r="G678" s="30" t="str">
        <f t="shared" si="50"/>
        <v/>
      </c>
      <c r="H678" s="30" t="str">
        <f t="shared" si="51"/>
        <v/>
      </c>
      <c r="I678" s="30" t="str">
        <f t="shared" si="52"/>
        <v/>
      </c>
      <c r="J678" s="30" t="str">
        <f t="shared" si="53"/>
        <v/>
      </c>
      <c r="K678" s="30" t="str">
        <f t="shared" si="54"/>
        <v/>
      </c>
    </row>
    <row r="679" spans="1:11" ht="15" x14ac:dyDescent="0.25">
      <c r="A679" s="1" t="str">
        <f>IF('1.1 Produksi Bersih Padi 2025'!A679="","",'1.1 Produksi Bersih Padi 2025'!A679)</f>
        <v/>
      </c>
      <c r="B679" s="31" t="str">
        <f>IF('1.1 Produksi Bersih Padi 2025'!B679="","",'1.1 Produksi Bersih Padi 2025'!B679)</f>
        <v/>
      </c>
      <c r="C679" s="31" t="str">
        <f>IF('1.1 Produksi Bersih Padi 2025'!C679="","",'1.1 Produksi Bersih Padi 2025'!C679)</f>
        <v/>
      </c>
      <c r="D679" s="1" t="str">
        <f>IF('1.1 Produksi Bersih Padi 2025'!D679="","",'1.1 Produksi Bersih Padi 2025'!D679)</f>
        <v/>
      </c>
      <c r="E679" s="1" t="str">
        <f>IF('1.1 Produksi Bersih Padi 2025'!E679="","",'1.1 Produksi Bersih Padi 2025'!E679)</f>
        <v/>
      </c>
      <c r="F679" s="28" t="str">
        <f>IF(D679="","",VLOOKUP(D679,'[1]0.1 Produksi Pangan &amp; Penduduk'!$D$5:$Y$860,22,0))</f>
        <v/>
      </c>
      <c r="G679" s="30" t="str">
        <f t="shared" si="50"/>
        <v/>
      </c>
      <c r="H679" s="30" t="str">
        <f t="shared" si="51"/>
        <v/>
      </c>
      <c r="I679" s="30" t="str">
        <f t="shared" si="52"/>
        <v/>
      </c>
      <c r="J679" s="30" t="str">
        <f t="shared" si="53"/>
        <v/>
      </c>
      <c r="K679" s="30" t="str">
        <f t="shared" si="54"/>
        <v/>
      </c>
    </row>
    <row r="680" spans="1:11" ht="15" x14ac:dyDescent="0.25">
      <c r="A680" s="1" t="str">
        <f>IF('1.1 Produksi Bersih Padi 2025'!A680="","",'1.1 Produksi Bersih Padi 2025'!A680)</f>
        <v/>
      </c>
      <c r="B680" s="31" t="str">
        <f>IF('1.1 Produksi Bersih Padi 2025'!B680="","",'1.1 Produksi Bersih Padi 2025'!B680)</f>
        <v/>
      </c>
      <c r="C680" s="31" t="str">
        <f>IF('1.1 Produksi Bersih Padi 2025'!C680="","",'1.1 Produksi Bersih Padi 2025'!C680)</f>
        <v/>
      </c>
      <c r="D680" s="1" t="str">
        <f>IF('1.1 Produksi Bersih Padi 2025'!D680="","",'1.1 Produksi Bersih Padi 2025'!D680)</f>
        <v/>
      </c>
      <c r="E680" s="1" t="str">
        <f>IF('1.1 Produksi Bersih Padi 2025'!E680="","",'1.1 Produksi Bersih Padi 2025'!E680)</f>
        <v/>
      </c>
      <c r="F680" s="28" t="str">
        <f>IF(D680="","",VLOOKUP(D680,'[1]0.1 Produksi Pangan &amp; Penduduk'!$D$5:$Y$860,22,0))</f>
        <v/>
      </c>
      <c r="G680" s="30" t="str">
        <f t="shared" si="50"/>
        <v/>
      </c>
      <c r="H680" s="30" t="str">
        <f t="shared" si="51"/>
        <v/>
      </c>
      <c r="I680" s="30" t="str">
        <f t="shared" si="52"/>
        <v/>
      </c>
      <c r="J680" s="30" t="str">
        <f t="shared" si="53"/>
        <v/>
      </c>
      <c r="K680" s="30" t="str">
        <f t="shared" si="54"/>
        <v/>
      </c>
    </row>
    <row r="681" spans="1:11" ht="15" x14ac:dyDescent="0.25">
      <c r="A681" s="1" t="str">
        <f>IF('1.1 Produksi Bersih Padi 2025'!A681="","",'1.1 Produksi Bersih Padi 2025'!A681)</f>
        <v/>
      </c>
      <c r="B681" s="31" t="str">
        <f>IF('1.1 Produksi Bersih Padi 2025'!B681="","",'1.1 Produksi Bersih Padi 2025'!B681)</f>
        <v/>
      </c>
      <c r="C681" s="31" t="str">
        <f>IF('1.1 Produksi Bersih Padi 2025'!C681="","",'1.1 Produksi Bersih Padi 2025'!C681)</f>
        <v/>
      </c>
      <c r="D681" s="1" t="str">
        <f>IF('1.1 Produksi Bersih Padi 2025'!D681="","",'1.1 Produksi Bersih Padi 2025'!D681)</f>
        <v/>
      </c>
      <c r="E681" s="1" t="str">
        <f>IF('1.1 Produksi Bersih Padi 2025'!E681="","",'1.1 Produksi Bersih Padi 2025'!E681)</f>
        <v/>
      </c>
      <c r="F681" s="28" t="str">
        <f>IF(D681="","",VLOOKUP(D681,'[1]0.1 Produksi Pangan &amp; Penduduk'!$D$5:$Y$860,22,0))</f>
        <v/>
      </c>
      <c r="G681" s="30" t="str">
        <f t="shared" si="50"/>
        <v/>
      </c>
      <c r="H681" s="30" t="str">
        <f t="shared" si="51"/>
        <v/>
      </c>
      <c r="I681" s="30" t="str">
        <f t="shared" si="52"/>
        <v/>
      </c>
      <c r="J681" s="30" t="str">
        <f t="shared" si="53"/>
        <v/>
      </c>
      <c r="K681" s="30" t="str">
        <f t="shared" si="54"/>
        <v/>
      </c>
    </row>
    <row r="682" spans="1:11" ht="15" x14ac:dyDescent="0.25">
      <c r="A682" s="1" t="str">
        <f>IF('1.1 Produksi Bersih Padi 2025'!A682="","",'1.1 Produksi Bersih Padi 2025'!A682)</f>
        <v/>
      </c>
      <c r="B682" s="31" t="str">
        <f>IF('1.1 Produksi Bersih Padi 2025'!B682="","",'1.1 Produksi Bersih Padi 2025'!B682)</f>
        <v/>
      </c>
      <c r="C682" s="31" t="str">
        <f>IF('1.1 Produksi Bersih Padi 2025'!C682="","",'1.1 Produksi Bersih Padi 2025'!C682)</f>
        <v/>
      </c>
      <c r="D682" s="1" t="str">
        <f>IF('1.1 Produksi Bersih Padi 2025'!D682="","",'1.1 Produksi Bersih Padi 2025'!D682)</f>
        <v/>
      </c>
      <c r="E682" s="1" t="str">
        <f>IF('1.1 Produksi Bersih Padi 2025'!E682="","",'1.1 Produksi Bersih Padi 2025'!E682)</f>
        <v/>
      </c>
      <c r="F682" s="28" t="str">
        <f>IF(D682="","",VLOOKUP(D682,'[1]0.1 Produksi Pangan &amp; Penduduk'!$D$5:$Y$860,22,0))</f>
        <v/>
      </c>
      <c r="G682" s="30" t="str">
        <f t="shared" si="50"/>
        <v/>
      </c>
      <c r="H682" s="30" t="str">
        <f t="shared" si="51"/>
        <v/>
      </c>
      <c r="I682" s="30" t="str">
        <f t="shared" si="52"/>
        <v/>
      </c>
      <c r="J682" s="30" t="str">
        <f t="shared" si="53"/>
        <v/>
      </c>
      <c r="K682" s="30" t="str">
        <f t="shared" si="54"/>
        <v/>
      </c>
    </row>
    <row r="683" spans="1:11" ht="15" x14ac:dyDescent="0.25">
      <c r="A683" s="1" t="str">
        <f>IF('1.1 Produksi Bersih Padi 2025'!A683="","",'1.1 Produksi Bersih Padi 2025'!A683)</f>
        <v/>
      </c>
      <c r="B683" s="31" t="str">
        <f>IF('1.1 Produksi Bersih Padi 2025'!B683="","",'1.1 Produksi Bersih Padi 2025'!B683)</f>
        <v/>
      </c>
      <c r="C683" s="31" t="str">
        <f>IF('1.1 Produksi Bersih Padi 2025'!C683="","",'1.1 Produksi Bersih Padi 2025'!C683)</f>
        <v/>
      </c>
      <c r="D683" s="1" t="str">
        <f>IF('1.1 Produksi Bersih Padi 2025'!D683="","",'1.1 Produksi Bersih Padi 2025'!D683)</f>
        <v/>
      </c>
      <c r="E683" s="1" t="str">
        <f>IF('1.1 Produksi Bersih Padi 2025'!E683="","",'1.1 Produksi Bersih Padi 2025'!E683)</f>
        <v/>
      </c>
      <c r="F683" s="28" t="str">
        <f>IF(D683="","",VLOOKUP(D683,'[1]0.1 Produksi Pangan &amp; Penduduk'!$D$5:$Y$860,22,0))</f>
        <v/>
      </c>
      <c r="G683" s="30" t="str">
        <f t="shared" si="50"/>
        <v/>
      </c>
      <c r="H683" s="30" t="str">
        <f t="shared" si="51"/>
        <v/>
      </c>
      <c r="I683" s="30" t="str">
        <f t="shared" si="52"/>
        <v/>
      </c>
      <c r="J683" s="30" t="str">
        <f t="shared" si="53"/>
        <v/>
      </c>
      <c r="K683" s="30" t="str">
        <f t="shared" si="54"/>
        <v/>
      </c>
    </row>
    <row r="684" spans="1:11" ht="15" x14ac:dyDescent="0.25">
      <c r="A684" s="1" t="str">
        <f>IF('1.1 Produksi Bersih Padi 2025'!A684="","",'1.1 Produksi Bersih Padi 2025'!A684)</f>
        <v/>
      </c>
      <c r="B684" s="31" t="str">
        <f>IF('1.1 Produksi Bersih Padi 2025'!B684="","",'1.1 Produksi Bersih Padi 2025'!B684)</f>
        <v/>
      </c>
      <c r="C684" s="31" t="str">
        <f>IF('1.1 Produksi Bersih Padi 2025'!C684="","",'1.1 Produksi Bersih Padi 2025'!C684)</f>
        <v/>
      </c>
      <c r="D684" s="1" t="str">
        <f>IF('1.1 Produksi Bersih Padi 2025'!D684="","",'1.1 Produksi Bersih Padi 2025'!D684)</f>
        <v/>
      </c>
      <c r="E684" s="1" t="str">
        <f>IF('1.1 Produksi Bersih Padi 2025'!E684="","",'1.1 Produksi Bersih Padi 2025'!E684)</f>
        <v/>
      </c>
      <c r="F684" s="28" t="str">
        <f>IF(D684="","",VLOOKUP(D684,'[1]0.1 Produksi Pangan &amp; Penduduk'!$D$5:$Y$860,22,0))</f>
        <v/>
      </c>
      <c r="G684" s="30" t="str">
        <f t="shared" si="50"/>
        <v/>
      </c>
      <c r="H684" s="30" t="str">
        <f t="shared" si="51"/>
        <v/>
      </c>
      <c r="I684" s="30" t="str">
        <f t="shared" si="52"/>
        <v/>
      </c>
      <c r="J684" s="30" t="str">
        <f t="shared" si="53"/>
        <v/>
      </c>
      <c r="K684" s="30" t="str">
        <f t="shared" si="54"/>
        <v/>
      </c>
    </row>
    <row r="685" spans="1:11" ht="15" x14ac:dyDescent="0.25">
      <c r="A685" s="1" t="str">
        <f>IF('1.1 Produksi Bersih Padi 2025'!A685="","",'1.1 Produksi Bersih Padi 2025'!A685)</f>
        <v/>
      </c>
      <c r="B685" s="31" t="str">
        <f>IF('1.1 Produksi Bersih Padi 2025'!B685="","",'1.1 Produksi Bersih Padi 2025'!B685)</f>
        <v/>
      </c>
      <c r="C685" s="31" t="str">
        <f>IF('1.1 Produksi Bersih Padi 2025'!C685="","",'1.1 Produksi Bersih Padi 2025'!C685)</f>
        <v/>
      </c>
      <c r="D685" s="1" t="str">
        <f>IF('1.1 Produksi Bersih Padi 2025'!D685="","",'1.1 Produksi Bersih Padi 2025'!D685)</f>
        <v/>
      </c>
      <c r="E685" s="1" t="str">
        <f>IF('1.1 Produksi Bersih Padi 2025'!E685="","",'1.1 Produksi Bersih Padi 2025'!E685)</f>
        <v/>
      </c>
      <c r="F685" s="28" t="str">
        <f>IF(D685="","",VLOOKUP(D685,'[1]0.1 Produksi Pangan &amp; Penduduk'!$D$5:$Y$860,22,0))</f>
        <v/>
      </c>
      <c r="G685" s="30" t="str">
        <f t="shared" si="50"/>
        <v/>
      </c>
      <c r="H685" s="30" t="str">
        <f t="shared" si="51"/>
        <v/>
      </c>
      <c r="I685" s="30" t="str">
        <f t="shared" si="52"/>
        <v/>
      </c>
      <c r="J685" s="30" t="str">
        <f t="shared" si="53"/>
        <v/>
      </c>
      <c r="K685" s="30" t="str">
        <f t="shared" si="54"/>
        <v/>
      </c>
    </row>
    <row r="686" spans="1:11" ht="15" x14ac:dyDescent="0.25">
      <c r="A686" s="1" t="str">
        <f>IF('1.1 Produksi Bersih Padi 2025'!A686="","",'1.1 Produksi Bersih Padi 2025'!A686)</f>
        <v/>
      </c>
      <c r="B686" s="31" t="str">
        <f>IF('1.1 Produksi Bersih Padi 2025'!B686="","",'1.1 Produksi Bersih Padi 2025'!B686)</f>
        <v/>
      </c>
      <c r="C686" s="31" t="str">
        <f>IF('1.1 Produksi Bersih Padi 2025'!C686="","",'1.1 Produksi Bersih Padi 2025'!C686)</f>
        <v/>
      </c>
      <c r="D686" s="1" t="str">
        <f>IF('1.1 Produksi Bersih Padi 2025'!D686="","",'1.1 Produksi Bersih Padi 2025'!D686)</f>
        <v/>
      </c>
      <c r="E686" s="1" t="str">
        <f>IF('1.1 Produksi Bersih Padi 2025'!E686="","",'1.1 Produksi Bersih Padi 2025'!E686)</f>
        <v/>
      </c>
      <c r="F686" s="28" t="str">
        <f>IF(D686="","",VLOOKUP(D686,'[1]0.1 Produksi Pangan &amp; Penduduk'!$D$5:$Y$860,22,0))</f>
        <v/>
      </c>
      <c r="G686" s="30" t="str">
        <f t="shared" si="50"/>
        <v/>
      </c>
      <c r="H686" s="30" t="str">
        <f t="shared" si="51"/>
        <v/>
      </c>
      <c r="I686" s="30" t="str">
        <f t="shared" si="52"/>
        <v/>
      </c>
      <c r="J686" s="30" t="str">
        <f t="shared" si="53"/>
        <v/>
      </c>
      <c r="K686" s="30" t="str">
        <f t="shared" si="54"/>
        <v/>
      </c>
    </row>
    <row r="687" spans="1:11" ht="15" x14ac:dyDescent="0.25">
      <c r="A687" s="1" t="str">
        <f>IF('1.1 Produksi Bersih Padi 2025'!A687="","",'1.1 Produksi Bersih Padi 2025'!A687)</f>
        <v/>
      </c>
      <c r="B687" s="31" t="str">
        <f>IF('1.1 Produksi Bersih Padi 2025'!B687="","",'1.1 Produksi Bersih Padi 2025'!B687)</f>
        <v/>
      </c>
      <c r="C687" s="31" t="str">
        <f>IF('1.1 Produksi Bersih Padi 2025'!C687="","",'1.1 Produksi Bersih Padi 2025'!C687)</f>
        <v/>
      </c>
      <c r="D687" s="1" t="str">
        <f>IF('1.1 Produksi Bersih Padi 2025'!D687="","",'1.1 Produksi Bersih Padi 2025'!D687)</f>
        <v/>
      </c>
      <c r="E687" s="1" t="str">
        <f>IF('1.1 Produksi Bersih Padi 2025'!E687="","",'1.1 Produksi Bersih Padi 2025'!E687)</f>
        <v/>
      </c>
      <c r="F687" s="28" t="str">
        <f>IF(D687="","",VLOOKUP(D687,'[1]0.1 Produksi Pangan &amp; Penduduk'!$D$5:$Y$860,22,0))</f>
        <v/>
      </c>
      <c r="G687" s="30" t="str">
        <f t="shared" si="50"/>
        <v/>
      </c>
      <c r="H687" s="30" t="str">
        <f t="shared" si="51"/>
        <v/>
      </c>
      <c r="I687" s="30" t="str">
        <f t="shared" si="52"/>
        <v/>
      </c>
      <c r="J687" s="30" t="str">
        <f t="shared" si="53"/>
        <v/>
      </c>
      <c r="K687" s="30" t="str">
        <f t="shared" si="54"/>
        <v/>
      </c>
    </row>
    <row r="688" spans="1:11" ht="15" x14ac:dyDescent="0.25">
      <c r="A688" s="1" t="str">
        <f>IF('1.1 Produksi Bersih Padi 2025'!A688="","",'1.1 Produksi Bersih Padi 2025'!A688)</f>
        <v/>
      </c>
      <c r="B688" s="31" t="str">
        <f>IF('1.1 Produksi Bersih Padi 2025'!B688="","",'1.1 Produksi Bersih Padi 2025'!B688)</f>
        <v/>
      </c>
      <c r="C688" s="31" t="str">
        <f>IF('1.1 Produksi Bersih Padi 2025'!C688="","",'1.1 Produksi Bersih Padi 2025'!C688)</f>
        <v/>
      </c>
      <c r="D688" s="1" t="str">
        <f>IF('1.1 Produksi Bersih Padi 2025'!D688="","",'1.1 Produksi Bersih Padi 2025'!D688)</f>
        <v/>
      </c>
      <c r="E688" s="1" t="str">
        <f>IF('1.1 Produksi Bersih Padi 2025'!E688="","",'1.1 Produksi Bersih Padi 2025'!E688)</f>
        <v/>
      </c>
      <c r="F688" s="28" t="str">
        <f>IF(D688="","",VLOOKUP(D688,'[1]0.1 Produksi Pangan &amp; Penduduk'!$D$5:$Y$860,22,0))</f>
        <v/>
      </c>
      <c r="G688" s="30" t="str">
        <f t="shared" si="50"/>
        <v/>
      </c>
      <c r="H688" s="30" t="str">
        <f t="shared" si="51"/>
        <v/>
      </c>
      <c r="I688" s="30" t="str">
        <f t="shared" si="52"/>
        <v/>
      </c>
      <c r="J688" s="30" t="str">
        <f t="shared" si="53"/>
        <v/>
      </c>
      <c r="K688" s="30" t="str">
        <f t="shared" si="54"/>
        <v/>
      </c>
    </row>
    <row r="689" spans="1:11" ht="15" x14ac:dyDescent="0.25">
      <c r="A689" s="1" t="str">
        <f>IF('1.1 Produksi Bersih Padi 2025'!A689="","",'1.1 Produksi Bersih Padi 2025'!A689)</f>
        <v/>
      </c>
      <c r="B689" s="31" t="str">
        <f>IF('1.1 Produksi Bersih Padi 2025'!B689="","",'1.1 Produksi Bersih Padi 2025'!B689)</f>
        <v/>
      </c>
      <c r="C689" s="31" t="str">
        <f>IF('1.1 Produksi Bersih Padi 2025'!C689="","",'1.1 Produksi Bersih Padi 2025'!C689)</f>
        <v/>
      </c>
      <c r="D689" s="1" t="str">
        <f>IF('1.1 Produksi Bersih Padi 2025'!D689="","",'1.1 Produksi Bersih Padi 2025'!D689)</f>
        <v/>
      </c>
      <c r="E689" s="1" t="str">
        <f>IF('1.1 Produksi Bersih Padi 2025'!E689="","",'1.1 Produksi Bersih Padi 2025'!E689)</f>
        <v/>
      </c>
      <c r="F689" s="28" t="str">
        <f>IF(D689="","",VLOOKUP(D689,'[1]0.1 Produksi Pangan &amp; Penduduk'!$D$5:$Y$860,22,0))</f>
        <v/>
      </c>
      <c r="G689" s="30" t="str">
        <f t="shared" si="50"/>
        <v/>
      </c>
      <c r="H689" s="30" t="str">
        <f t="shared" si="51"/>
        <v/>
      </c>
      <c r="I689" s="30" t="str">
        <f t="shared" si="52"/>
        <v/>
      </c>
      <c r="J689" s="30" t="str">
        <f t="shared" si="53"/>
        <v/>
      </c>
      <c r="K689" s="30" t="str">
        <f t="shared" si="54"/>
        <v/>
      </c>
    </row>
    <row r="690" spans="1:11" ht="15" x14ac:dyDescent="0.25">
      <c r="A690" s="1" t="str">
        <f>IF('1.1 Produksi Bersih Padi 2025'!A690="","",'1.1 Produksi Bersih Padi 2025'!A690)</f>
        <v/>
      </c>
      <c r="B690" s="31" t="str">
        <f>IF('1.1 Produksi Bersih Padi 2025'!B690="","",'1.1 Produksi Bersih Padi 2025'!B690)</f>
        <v/>
      </c>
      <c r="C690" s="31" t="str">
        <f>IF('1.1 Produksi Bersih Padi 2025'!C690="","",'1.1 Produksi Bersih Padi 2025'!C690)</f>
        <v/>
      </c>
      <c r="D690" s="1" t="str">
        <f>IF('1.1 Produksi Bersih Padi 2025'!D690="","",'1.1 Produksi Bersih Padi 2025'!D690)</f>
        <v/>
      </c>
      <c r="E690" s="1" t="str">
        <f>IF('1.1 Produksi Bersih Padi 2025'!E690="","",'1.1 Produksi Bersih Padi 2025'!E690)</f>
        <v/>
      </c>
      <c r="F690" s="28" t="str">
        <f>IF(D690="","",VLOOKUP(D690,'[1]0.1 Produksi Pangan &amp; Penduduk'!$D$5:$Y$860,22,0))</f>
        <v/>
      </c>
      <c r="G690" s="30" t="str">
        <f t="shared" si="50"/>
        <v/>
      </c>
      <c r="H690" s="30" t="str">
        <f t="shared" si="51"/>
        <v/>
      </c>
      <c r="I690" s="30" t="str">
        <f t="shared" si="52"/>
        <v/>
      </c>
      <c r="J690" s="30" t="str">
        <f t="shared" si="53"/>
        <v/>
      </c>
      <c r="K690" s="30" t="str">
        <f t="shared" si="54"/>
        <v/>
      </c>
    </row>
    <row r="691" spans="1:11" ht="15" x14ac:dyDescent="0.25">
      <c r="A691" s="1" t="str">
        <f>IF('1.1 Produksi Bersih Padi 2025'!A691="","",'1.1 Produksi Bersih Padi 2025'!A691)</f>
        <v/>
      </c>
      <c r="B691" s="31" t="str">
        <f>IF('1.1 Produksi Bersih Padi 2025'!B691="","",'1.1 Produksi Bersih Padi 2025'!B691)</f>
        <v/>
      </c>
      <c r="C691" s="31" t="str">
        <f>IF('1.1 Produksi Bersih Padi 2025'!C691="","",'1.1 Produksi Bersih Padi 2025'!C691)</f>
        <v/>
      </c>
      <c r="D691" s="1" t="str">
        <f>IF('1.1 Produksi Bersih Padi 2025'!D691="","",'1.1 Produksi Bersih Padi 2025'!D691)</f>
        <v/>
      </c>
      <c r="E691" s="1" t="str">
        <f>IF('1.1 Produksi Bersih Padi 2025'!E691="","",'1.1 Produksi Bersih Padi 2025'!E691)</f>
        <v/>
      </c>
      <c r="F691" s="28" t="str">
        <f>IF(D691="","",VLOOKUP(D691,'[1]0.1 Produksi Pangan &amp; Penduduk'!$D$5:$Y$860,22,0))</f>
        <v/>
      </c>
      <c r="G691" s="30" t="str">
        <f t="shared" si="50"/>
        <v/>
      </c>
      <c r="H691" s="30" t="str">
        <f t="shared" si="51"/>
        <v/>
      </c>
      <c r="I691" s="30" t="str">
        <f t="shared" si="52"/>
        <v/>
      </c>
      <c r="J691" s="30" t="str">
        <f t="shared" si="53"/>
        <v/>
      </c>
      <c r="K691" s="30" t="str">
        <f t="shared" si="54"/>
        <v/>
      </c>
    </row>
    <row r="692" spans="1:11" ht="15" x14ac:dyDescent="0.25">
      <c r="A692" s="1" t="str">
        <f>IF('1.1 Produksi Bersih Padi 2025'!A692="","",'1.1 Produksi Bersih Padi 2025'!A692)</f>
        <v/>
      </c>
      <c r="B692" s="31" t="str">
        <f>IF('1.1 Produksi Bersih Padi 2025'!B692="","",'1.1 Produksi Bersih Padi 2025'!B692)</f>
        <v/>
      </c>
      <c r="C692" s="31" t="str">
        <f>IF('1.1 Produksi Bersih Padi 2025'!C692="","",'1.1 Produksi Bersih Padi 2025'!C692)</f>
        <v/>
      </c>
      <c r="D692" s="1" t="str">
        <f>IF('1.1 Produksi Bersih Padi 2025'!D692="","",'1.1 Produksi Bersih Padi 2025'!D692)</f>
        <v/>
      </c>
      <c r="E692" s="1" t="str">
        <f>IF('1.1 Produksi Bersih Padi 2025'!E692="","",'1.1 Produksi Bersih Padi 2025'!E692)</f>
        <v/>
      </c>
      <c r="F692" s="28" t="str">
        <f>IF(D692="","",VLOOKUP(D692,'[1]0.1 Produksi Pangan &amp; Penduduk'!$D$5:$Y$860,22,0))</f>
        <v/>
      </c>
      <c r="G692" s="30" t="str">
        <f t="shared" si="50"/>
        <v/>
      </c>
      <c r="H692" s="30" t="str">
        <f t="shared" si="51"/>
        <v/>
      </c>
      <c r="I692" s="30" t="str">
        <f t="shared" si="52"/>
        <v/>
      </c>
      <c r="J692" s="30" t="str">
        <f t="shared" si="53"/>
        <v/>
      </c>
      <c r="K692" s="30" t="str">
        <f t="shared" si="54"/>
        <v/>
      </c>
    </row>
    <row r="693" spans="1:11" ht="15" x14ac:dyDescent="0.25">
      <c r="A693" s="1" t="str">
        <f>IF('1.1 Produksi Bersih Padi 2025'!A693="","",'1.1 Produksi Bersih Padi 2025'!A693)</f>
        <v/>
      </c>
      <c r="B693" s="31" t="str">
        <f>IF('1.1 Produksi Bersih Padi 2025'!B693="","",'1.1 Produksi Bersih Padi 2025'!B693)</f>
        <v/>
      </c>
      <c r="C693" s="31" t="str">
        <f>IF('1.1 Produksi Bersih Padi 2025'!C693="","",'1.1 Produksi Bersih Padi 2025'!C693)</f>
        <v/>
      </c>
      <c r="D693" s="1" t="str">
        <f>IF('1.1 Produksi Bersih Padi 2025'!D693="","",'1.1 Produksi Bersih Padi 2025'!D693)</f>
        <v/>
      </c>
      <c r="E693" s="1" t="str">
        <f>IF('1.1 Produksi Bersih Padi 2025'!E693="","",'1.1 Produksi Bersih Padi 2025'!E693)</f>
        <v/>
      </c>
      <c r="F693" s="28" t="str">
        <f>IF(D693="","",VLOOKUP(D693,'[1]0.1 Produksi Pangan &amp; Penduduk'!$D$5:$Y$860,22,0))</f>
        <v/>
      </c>
      <c r="G693" s="30" t="str">
        <f t="shared" si="50"/>
        <v/>
      </c>
      <c r="H693" s="30" t="str">
        <f t="shared" si="51"/>
        <v/>
      </c>
      <c r="I693" s="30" t="str">
        <f t="shared" si="52"/>
        <v/>
      </c>
      <c r="J693" s="30" t="str">
        <f t="shared" si="53"/>
        <v/>
      </c>
      <c r="K693" s="30" t="str">
        <f t="shared" si="54"/>
        <v/>
      </c>
    </row>
    <row r="694" spans="1:11" ht="15" x14ac:dyDescent="0.25">
      <c r="A694" s="1" t="str">
        <f>IF('1.1 Produksi Bersih Padi 2025'!A694="","",'1.1 Produksi Bersih Padi 2025'!A694)</f>
        <v/>
      </c>
      <c r="B694" s="31" t="str">
        <f>IF('1.1 Produksi Bersih Padi 2025'!B694="","",'1.1 Produksi Bersih Padi 2025'!B694)</f>
        <v/>
      </c>
      <c r="C694" s="31" t="str">
        <f>IF('1.1 Produksi Bersih Padi 2025'!C694="","",'1.1 Produksi Bersih Padi 2025'!C694)</f>
        <v/>
      </c>
      <c r="D694" s="1" t="str">
        <f>IF('1.1 Produksi Bersih Padi 2025'!D694="","",'1.1 Produksi Bersih Padi 2025'!D694)</f>
        <v/>
      </c>
      <c r="E694" s="1" t="str">
        <f>IF('1.1 Produksi Bersih Padi 2025'!E694="","",'1.1 Produksi Bersih Padi 2025'!E694)</f>
        <v/>
      </c>
      <c r="F694" s="28" t="str">
        <f>IF(D694="","",VLOOKUP(D694,'[1]0.1 Produksi Pangan &amp; Penduduk'!$D$5:$Y$860,22,0))</f>
        <v/>
      </c>
      <c r="G694" s="30" t="str">
        <f t="shared" si="50"/>
        <v/>
      </c>
      <c r="H694" s="30" t="str">
        <f t="shared" si="51"/>
        <v/>
      </c>
      <c r="I694" s="30" t="str">
        <f t="shared" si="52"/>
        <v/>
      </c>
      <c r="J694" s="30" t="str">
        <f t="shared" si="53"/>
        <v/>
      </c>
      <c r="K694" s="30" t="str">
        <f t="shared" si="54"/>
        <v/>
      </c>
    </row>
    <row r="695" spans="1:11" ht="15" x14ac:dyDescent="0.25">
      <c r="A695" s="1" t="str">
        <f>IF('1.1 Produksi Bersih Padi 2025'!A695="","",'1.1 Produksi Bersih Padi 2025'!A695)</f>
        <v/>
      </c>
      <c r="B695" s="31" t="str">
        <f>IF('1.1 Produksi Bersih Padi 2025'!B695="","",'1.1 Produksi Bersih Padi 2025'!B695)</f>
        <v/>
      </c>
      <c r="C695" s="31" t="str">
        <f>IF('1.1 Produksi Bersih Padi 2025'!C695="","",'1.1 Produksi Bersih Padi 2025'!C695)</f>
        <v/>
      </c>
      <c r="D695" s="1" t="str">
        <f>IF('1.1 Produksi Bersih Padi 2025'!D695="","",'1.1 Produksi Bersih Padi 2025'!D695)</f>
        <v/>
      </c>
      <c r="E695" s="1" t="str">
        <f>IF('1.1 Produksi Bersih Padi 2025'!E695="","",'1.1 Produksi Bersih Padi 2025'!E695)</f>
        <v/>
      </c>
      <c r="F695" s="28" t="str">
        <f>IF(D695="","",VLOOKUP(D695,'[1]0.1 Produksi Pangan &amp; Penduduk'!$D$5:$Y$860,22,0))</f>
        <v/>
      </c>
      <c r="G695" s="30" t="str">
        <f t="shared" si="50"/>
        <v/>
      </c>
      <c r="H695" s="30" t="str">
        <f t="shared" si="51"/>
        <v/>
      </c>
      <c r="I695" s="30" t="str">
        <f t="shared" si="52"/>
        <v/>
      </c>
      <c r="J695" s="30" t="str">
        <f t="shared" si="53"/>
        <v/>
      </c>
      <c r="K695" s="30" t="str">
        <f t="shared" si="54"/>
        <v/>
      </c>
    </row>
    <row r="696" spans="1:11" ht="15" x14ac:dyDescent="0.25">
      <c r="A696" s="1" t="str">
        <f>IF('1.1 Produksi Bersih Padi 2025'!A696="","",'1.1 Produksi Bersih Padi 2025'!A696)</f>
        <v/>
      </c>
      <c r="B696" s="31" t="str">
        <f>IF('1.1 Produksi Bersih Padi 2025'!B696="","",'1.1 Produksi Bersih Padi 2025'!B696)</f>
        <v/>
      </c>
      <c r="C696" s="31" t="str">
        <f>IF('1.1 Produksi Bersih Padi 2025'!C696="","",'1.1 Produksi Bersih Padi 2025'!C696)</f>
        <v/>
      </c>
      <c r="D696" s="1" t="str">
        <f>IF('1.1 Produksi Bersih Padi 2025'!D696="","",'1.1 Produksi Bersih Padi 2025'!D696)</f>
        <v/>
      </c>
      <c r="E696" s="1" t="str">
        <f>IF('1.1 Produksi Bersih Padi 2025'!E696="","",'1.1 Produksi Bersih Padi 2025'!E696)</f>
        <v/>
      </c>
      <c r="F696" s="28" t="str">
        <f>IF(D696="","",VLOOKUP(D696,'[1]0.1 Produksi Pangan &amp; Penduduk'!$D$5:$Y$860,22,0))</f>
        <v/>
      </c>
      <c r="G696" s="30" t="str">
        <f t="shared" si="50"/>
        <v/>
      </c>
      <c r="H696" s="30" t="str">
        <f t="shared" si="51"/>
        <v/>
      </c>
      <c r="I696" s="30" t="str">
        <f t="shared" si="52"/>
        <v/>
      </c>
      <c r="J696" s="30" t="str">
        <f t="shared" si="53"/>
        <v/>
      </c>
      <c r="K696" s="30" t="str">
        <f t="shared" si="54"/>
        <v/>
      </c>
    </row>
    <row r="697" spans="1:11" ht="15" x14ac:dyDescent="0.25">
      <c r="A697" s="1" t="str">
        <f>IF('1.1 Produksi Bersih Padi 2025'!A697="","",'1.1 Produksi Bersih Padi 2025'!A697)</f>
        <v/>
      </c>
      <c r="B697" s="31" t="str">
        <f>IF('1.1 Produksi Bersih Padi 2025'!B697="","",'1.1 Produksi Bersih Padi 2025'!B697)</f>
        <v/>
      </c>
      <c r="C697" s="31" t="str">
        <f>IF('1.1 Produksi Bersih Padi 2025'!C697="","",'1.1 Produksi Bersih Padi 2025'!C697)</f>
        <v/>
      </c>
      <c r="D697" s="1" t="str">
        <f>IF('1.1 Produksi Bersih Padi 2025'!D697="","",'1.1 Produksi Bersih Padi 2025'!D697)</f>
        <v/>
      </c>
      <c r="E697" s="1" t="str">
        <f>IF('1.1 Produksi Bersih Padi 2025'!E697="","",'1.1 Produksi Bersih Padi 2025'!E697)</f>
        <v/>
      </c>
      <c r="F697" s="28" t="str">
        <f>IF(D697="","",VLOOKUP(D697,'[1]0.1 Produksi Pangan &amp; Penduduk'!$D$5:$Y$860,22,0))</f>
        <v/>
      </c>
      <c r="G697" s="30" t="str">
        <f t="shared" si="50"/>
        <v/>
      </c>
      <c r="H697" s="30" t="str">
        <f t="shared" si="51"/>
        <v/>
      </c>
      <c r="I697" s="30" t="str">
        <f t="shared" si="52"/>
        <v/>
      </c>
      <c r="J697" s="30" t="str">
        <f t="shared" si="53"/>
        <v/>
      </c>
      <c r="K697" s="30" t="str">
        <f t="shared" si="54"/>
        <v/>
      </c>
    </row>
    <row r="698" spans="1:11" ht="15" x14ac:dyDescent="0.25">
      <c r="A698" s="1" t="str">
        <f>IF('1.1 Produksi Bersih Padi 2025'!A698="","",'1.1 Produksi Bersih Padi 2025'!A698)</f>
        <v/>
      </c>
      <c r="B698" s="31" t="str">
        <f>IF('1.1 Produksi Bersih Padi 2025'!B698="","",'1.1 Produksi Bersih Padi 2025'!B698)</f>
        <v/>
      </c>
      <c r="C698" s="31" t="str">
        <f>IF('1.1 Produksi Bersih Padi 2025'!C698="","",'1.1 Produksi Bersih Padi 2025'!C698)</f>
        <v/>
      </c>
      <c r="D698" s="1" t="str">
        <f>IF('1.1 Produksi Bersih Padi 2025'!D698="","",'1.1 Produksi Bersih Padi 2025'!D698)</f>
        <v/>
      </c>
      <c r="E698" s="1" t="str">
        <f>IF('1.1 Produksi Bersih Padi 2025'!E698="","",'1.1 Produksi Bersih Padi 2025'!E698)</f>
        <v/>
      </c>
      <c r="F698" s="28" t="str">
        <f>IF(D698="","",VLOOKUP(D698,'[1]0.1 Produksi Pangan &amp; Penduduk'!$D$5:$Y$860,22,0))</f>
        <v/>
      </c>
      <c r="G698" s="30" t="str">
        <f t="shared" si="50"/>
        <v/>
      </c>
      <c r="H698" s="30" t="str">
        <f t="shared" si="51"/>
        <v/>
      </c>
      <c r="I698" s="30" t="str">
        <f t="shared" si="52"/>
        <v/>
      </c>
      <c r="J698" s="30" t="str">
        <f t="shared" si="53"/>
        <v/>
      </c>
      <c r="K698" s="30" t="str">
        <f t="shared" si="54"/>
        <v/>
      </c>
    </row>
    <row r="699" spans="1:11" ht="15" x14ac:dyDescent="0.25">
      <c r="A699" s="1" t="str">
        <f>IF('1.1 Produksi Bersih Padi 2025'!A699="","",'1.1 Produksi Bersih Padi 2025'!A699)</f>
        <v/>
      </c>
      <c r="B699" s="31" t="str">
        <f>IF('1.1 Produksi Bersih Padi 2025'!B699="","",'1.1 Produksi Bersih Padi 2025'!B699)</f>
        <v/>
      </c>
      <c r="C699" s="31" t="str">
        <f>IF('1.1 Produksi Bersih Padi 2025'!C699="","",'1.1 Produksi Bersih Padi 2025'!C699)</f>
        <v/>
      </c>
      <c r="D699" s="1" t="str">
        <f>IF('1.1 Produksi Bersih Padi 2025'!D699="","",'1.1 Produksi Bersih Padi 2025'!D699)</f>
        <v/>
      </c>
      <c r="E699" s="1" t="str">
        <f>IF('1.1 Produksi Bersih Padi 2025'!E699="","",'1.1 Produksi Bersih Padi 2025'!E699)</f>
        <v/>
      </c>
      <c r="F699" s="28" t="str">
        <f>IF(D699="","",VLOOKUP(D699,'[1]0.1 Produksi Pangan &amp; Penduduk'!$D$5:$Y$860,22,0))</f>
        <v/>
      </c>
      <c r="G699" s="30" t="str">
        <f t="shared" si="50"/>
        <v/>
      </c>
      <c r="H699" s="30" t="str">
        <f t="shared" si="51"/>
        <v/>
      </c>
      <c r="I699" s="30" t="str">
        <f t="shared" si="52"/>
        <v/>
      </c>
      <c r="J699" s="30" t="str">
        <f t="shared" si="53"/>
        <v/>
      </c>
      <c r="K699" s="30" t="str">
        <f t="shared" si="54"/>
        <v/>
      </c>
    </row>
    <row r="700" spans="1:11" ht="15" x14ac:dyDescent="0.25">
      <c r="A700" s="1" t="str">
        <f>IF('1.1 Produksi Bersih Padi 2025'!A700="","",'1.1 Produksi Bersih Padi 2025'!A700)</f>
        <v/>
      </c>
      <c r="B700" s="31" t="str">
        <f>IF('1.1 Produksi Bersih Padi 2025'!B700="","",'1.1 Produksi Bersih Padi 2025'!B700)</f>
        <v/>
      </c>
      <c r="C700" s="31" t="str">
        <f>IF('1.1 Produksi Bersih Padi 2025'!C700="","",'1.1 Produksi Bersih Padi 2025'!C700)</f>
        <v/>
      </c>
      <c r="D700" s="1" t="str">
        <f>IF('1.1 Produksi Bersih Padi 2025'!D700="","",'1.1 Produksi Bersih Padi 2025'!D700)</f>
        <v/>
      </c>
      <c r="E700" s="1" t="str">
        <f>IF('1.1 Produksi Bersih Padi 2025'!E700="","",'1.1 Produksi Bersih Padi 2025'!E700)</f>
        <v/>
      </c>
      <c r="F700" s="28" t="str">
        <f>IF(D700="","",VLOOKUP(D700,'[1]0.1 Produksi Pangan &amp; Penduduk'!$D$5:$Y$860,22,0))</f>
        <v/>
      </c>
      <c r="G700" s="30" t="str">
        <f t="shared" si="50"/>
        <v/>
      </c>
      <c r="H700" s="30" t="str">
        <f t="shared" si="51"/>
        <v/>
      </c>
      <c r="I700" s="30" t="str">
        <f t="shared" si="52"/>
        <v/>
      </c>
      <c r="J700" s="30" t="str">
        <f t="shared" si="53"/>
        <v/>
      </c>
      <c r="K700" s="30" t="str">
        <f t="shared" si="54"/>
        <v/>
      </c>
    </row>
    <row r="701" spans="1:11" ht="15" x14ac:dyDescent="0.25">
      <c r="A701" s="1" t="str">
        <f>IF('1.1 Produksi Bersih Padi 2025'!A701="","",'1.1 Produksi Bersih Padi 2025'!A701)</f>
        <v/>
      </c>
      <c r="B701" s="31" t="str">
        <f>IF('1.1 Produksi Bersih Padi 2025'!B701="","",'1.1 Produksi Bersih Padi 2025'!B701)</f>
        <v/>
      </c>
      <c r="C701" s="31" t="str">
        <f>IF('1.1 Produksi Bersih Padi 2025'!C701="","",'1.1 Produksi Bersih Padi 2025'!C701)</f>
        <v/>
      </c>
      <c r="D701" s="1" t="str">
        <f>IF('1.1 Produksi Bersih Padi 2025'!D701="","",'1.1 Produksi Bersih Padi 2025'!D701)</f>
        <v/>
      </c>
      <c r="E701" s="1" t="str">
        <f>IF('1.1 Produksi Bersih Padi 2025'!E701="","",'1.1 Produksi Bersih Padi 2025'!E701)</f>
        <v/>
      </c>
      <c r="F701" s="28" t="str">
        <f>IF(D701="","",VLOOKUP(D701,'[1]0.1 Produksi Pangan &amp; Penduduk'!$D$5:$Y$860,22,0))</f>
        <v/>
      </c>
      <c r="G701" s="30" t="str">
        <f t="shared" si="50"/>
        <v/>
      </c>
      <c r="H701" s="30" t="str">
        <f t="shared" si="51"/>
        <v/>
      </c>
      <c r="I701" s="30" t="str">
        <f t="shared" si="52"/>
        <v/>
      </c>
      <c r="J701" s="30" t="str">
        <f t="shared" si="53"/>
        <v/>
      </c>
      <c r="K701" s="30" t="str">
        <f t="shared" si="54"/>
        <v/>
      </c>
    </row>
    <row r="702" spans="1:11" ht="15" x14ac:dyDescent="0.25">
      <c r="A702" s="1" t="str">
        <f>IF('1.1 Produksi Bersih Padi 2025'!A702="","",'1.1 Produksi Bersih Padi 2025'!A702)</f>
        <v/>
      </c>
      <c r="B702" s="31" t="str">
        <f>IF('1.1 Produksi Bersih Padi 2025'!B702="","",'1.1 Produksi Bersih Padi 2025'!B702)</f>
        <v/>
      </c>
      <c r="C702" s="31" t="str">
        <f>IF('1.1 Produksi Bersih Padi 2025'!C702="","",'1.1 Produksi Bersih Padi 2025'!C702)</f>
        <v/>
      </c>
      <c r="D702" s="1" t="str">
        <f>IF('1.1 Produksi Bersih Padi 2025'!D702="","",'1.1 Produksi Bersih Padi 2025'!D702)</f>
        <v/>
      </c>
      <c r="E702" s="1" t="str">
        <f>IF('1.1 Produksi Bersih Padi 2025'!E702="","",'1.1 Produksi Bersih Padi 2025'!E702)</f>
        <v/>
      </c>
      <c r="F702" s="28" t="str">
        <f>IF(D702="","",VLOOKUP(D702,'[1]0.1 Produksi Pangan &amp; Penduduk'!$D$5:$Y$860,22,0))</f>
        <v/>
      </c>
      <c r="G702" s="30" t="str">
        <f t="shared" si="50"/>
        <v/>
      </c>
      <c r="H702" s="30" t="str">
        <f t="shared" si="51"/>
        <v/>
      </c>
      <c r="I702" s="30" t="str">
        <f t="shared" si="52"/>
        <v/>
      </c>
      <c r="J702" s="30" t="str">
        <f t="shared" si="53"/>
        <v/>
      </c>
      <c r="K702" s="30" t="str">
        <f t="shared" si="54"/>
        <v/>
      </c>
    </row>
    <row r="703" spans="1:11" ht="15" x14ac:dyDescent="0.25">
      <c r="A703" s="1" t="str">
        <f>IF('1.1 Produksi Bersih Padi 2025'!A703="","",'1.1 Produksi Bersih Padi 2025'!A703)</f>
        <v/>
      </c>
      <c r="B703" s="31" t="str">
        <f>IF('1.1 Produksi Bersih Padi 2025'!B703="","",'1.1 Produksi Bersih Padi 2025'!B703)</f>
        <v/>
      </c>
      <c r="C703" s="31" t="str">
        <f>IF('1.1 Produksi Bersih Padi 2025'!C703="","",'1.1 Produksi Bersih Padi 2025'!C703)</f>
        <v/>
      </c>
      <c r="D703" s="1" t="str">
        <f>IF('1.1 Produksi Bersih Padi 2025'!D703="","",'1.1 Produksi Bersih Padi 2025'!D703)</f>
        <v/>
      </c>
      <c r="E703" s="1" t="str">
        <f>IF('1.1 Produksi Bersih Padi 2025'!E703="","",'1.1 Produksi Bersih Padi 2025'!E703)</f>
        <v/>
      </c>
      <c r="F703" s="28" t="str">
        <f>IF(D703="","",VLOOKUP(D703,'[1]0.1 Produksi Pangan &amp; Penduduk'!$D$5:$Y$860,22,0))</f>
        <v/>
      </c>
      <c r="G703" s="30" t="str">
        <f t="shared" si="50"/>
        <v/>
      </c>
      <c r="H703" s="30" t="str">
        <f t="shared" si="51"/>
        <v/>
      </c>
      <c r="I703" s="30" t="str">
        <f t="shared" si="52"/>
        <v/>
      </c>
      <c r="J703" s="30" t="str">
        <f t="shared" si="53"/>
        <v/>
      </c>
      <c r="K703" s="30" t="str">
        <f t="shared" si="54"/>
        <v/>
      </c>
    </row>
    <row r="704" spans="1:11" ht="15" x14ac:dyDescent="0.25">
      <c r="A704" s="1" t="str">
        <f>IF('1.1 Produksi Bersih Padi 2025'!A704="","",'1.1 Produksi Bersih Padi 2025'!A704)</f>
        <v/>
      </c>
      <c r="B704" s="31" t="str">
        <f>IF('1.1 Produksi Bersih Padi 2025'!B704="","",'1.1 Produksi Bersih Padi 2025'!B704)</f>
        <v/>
      </c>
      <c r="C704" s="31" t="str">
        <f>IF('1.1 Produksi Bersih Padi 2025'!C704="","",'1.1 Produksi Bersih Padi 2025'!C704)</f>
        <v/>
      </c>
      <c r="D704" s="1" t="str">
        <f>IF('1.1 Produksi Bersih Padi 2025'!D704="","",'1.1 Produksi Bersih Padi 2025'!D704)</f>
        <v/>
      </c>
      <c r="E704" s="1" t="str">
        <f>IF('1.1 Produksi Bersih Padi 2025'!E704="","",'1.1 Produksi Bersih Padi 2025'!E704)</f>
        <v/>
      </c>
      <c r="F704" s="28" t="str">
        <f>IF(D704="","",VLOOKUP(D704,'[1]0.1 Produksi Pangan &amp; Penduduk'!$D$5:$Y$860,22,0))</f>
        <v/>
      </c>
      <c r="G704" s="30" t="str">
        <f t="shared" si="50"/>
        <v/>
      </c>
      <c r="H704" s="30" t="str">
        <f t="shared" si="51"/>
        <v/>
      </c>
      <c r="I704" s="30" t="str">
        <f t="shared" si="52"/>
        <v/>
      </c>
      <c r="J704" s="30" t="str">
        <f t="shared" si="53"/>
        <v/>
      </c>
      <c r="K704" s="30" t="str">
        <f t="shared" si="54"/>
        <v/>
      </c>
    </row>
    <row r="705" spans="1:11" ht="15" x14ac:dyDescent="0.25">
      <c r="A705" s="1" t="str">
        <f>IF('1.1 Produksi Bersih Padi 2025'!A705="","",'1.1 Produksi Bersih Padi 2025'!A705)</f>
        <v/>
      </c>
      <c r="B705" s="31" t="str">
        <f>IF('1.1 Produksi Bersih Padi 2025'!B705="","",'1.1 Produksi Bersih Padi 2025'!B705)</f>
        <v/>
      </c>
      <c r="C705" s="31" t="str">
        <f>IF('1.1 Produksi Bersih Padi 2025'!C705="","",'1.1 Produksi Bersih Padi 2025'!C705)</f>
        <v/>
      </c>
      <c r="D705" s="1" t="str">
        <f>IF('1.1 Produksi Bersih Padi 2025'!D705="","",'1.1 Produksi Bersih Padi 2025'!D705)</f>
        <v/>
      </c>
      <c r="E705" s="1" t="str">
        <f>IF('1.1 Produksi Bersih Padi 2025'!E705="","",'1.1 Produksi Bersih Padi 2025'!E705)</f>
        <v/>
      </c>
      <c r="F705" s="28" t="str">
        <f>IF(D705="","",VLOOKUP(D705,'[1]0.1 Produksi Pangan &amp; Penduduk'!$D$5:$Y$860,22,0))</f>
        <v/>
      </c>
      <c r="G705" s="30" t="str">
        <f t="shared" si="50"/>
        <v/>
      </c>
      <c r="H705" s="30" t="str">
        <f t="shared" si="51"/>
        <v/>
      </c>
      <c r="I705" s="30" t="str">
        <f t="shared" si="52"/>
        <v/>
      </c>
      <c r="J705" s="30" t="str">
        <f t="shared" si="53"/>
        <v/>
      </c>
      <c r="K705" s="30" t="str">
        <f t="shared" si="54"/>
        <v/>
      </c>
    </row>
    <row r="706" spans="1:11" ht="15" x14ac:dyDescent="0.25">
      <c r="A706" s="1" t="str">
        <f>IF('1.1 Produksi Bersih Padi 2025'!A706="","",'1.1 Produksi Bersih Padi 2025'!A706)</f>
        <v/>
      </c>
      <c r="B706" s="31" t="str">
        <f>IF('1.1 Produksi Bersih Padi 2025'!B706="","",'1.1 Produksi Bersih Padi 2025'!B706)</f>
        <v/>
      </c>
      <c r="C706" s="31" t="str">
        <f>IF('1.1 Produksi Bersih Padi 2025'!C706="","",'1.1 Produksi Bersih Padi 2025'!C706)</f>
        <v/>
      </c>
      <c r="D706" s="1" t="str">
        <f>IF('1.1 Produksi Bersih Padi 2025'!D706="","",'1.1 Produksi Bersih Padi 2025'!D706)</f>
        <v/>
      </c>
      <c r="E706" s="1" t="str">
        <f>IF('1.1 Produksi Bersih Padi 2025'!E706="","",'1.1 Produksi Bersih Padi 2025'!E706)</f>
        <v/>
      </c>
      <c r="F706" s="28" t="str">
        <f>IF(D706="","",VLOOKUP(D706,'[1]0.1 Produksi Pangan &amp; Penduduk'!$D$5:$Y$860,22,0))</f>
        <v/>
      </c>
      <c r="G706" s="30" t="str">
        <f t="shared" si="50"/>
        <v/>
      </c>
      <c r="H706" s="30" t="str">
        <f t="shared" si="51"/>
        <v/>
      </c>
      <c r="I706" s="30" t="str">
        <f t="shared" si="52"/>
        <v/>
      </c>
      <c r="J706" s="30" t="str">
        <f t="shared" si="53"/>
        <v/>
      </c>
      <c r="K706" s="30" t="str">
        <f t="shared" si="54"/>
        <v/>
      </c>
    </row>
    <row r="707" spans="1:11" ht="15" x14ac:dyDescent="0.25">
      <c r="A707" s="1" t="str">
        <f>IF('1.1 Produksi Bersih Padi 2025'!A707="","",'1.1 Produksi Bersih Padi 2025'!A707)</f>
        <v/>
      </c>
      <c r="B707" s="31" t="str">
        <f>IF('1.1 Produksi Bersih Padi 2025'!B707="","",'1.1 Produksi Bersih Padi 2025'!B707)</f>
        <v/>
      </c>
      <c r="C707" s="31" t="str">
        <f>IF('1.1 Produksi Bersih Padi 2025'!C707="","",'1.1 Produksi Bersih Padi 2025'!C707)</f>
        <v/>
      </c>
      <c r="D707" s="1" t="str">
        <f>IF('1.1 Produksi Bersih Padi 2025'!D707="","",'1.1 Produksi Bersih Padi 2025'!D707)</f>
        <v/>
      </c>
      <c r="E707" s="1" t="str">
        <f>IF('1.1 Produksi Bersih Padi 2025'!E707="","",'1.1 Produksi Bersih Padi 2025'!E707)</f>
        <v/>
      </c>
      <c r="F707" s="28" t="str">
        <f>IF(D707="","",VLOOKUP(D707,'[1]0.1 Produksi Pangan &amp; Penduduk'!$D$5:$Y$860,22,0))</f>
        <v/>
      </c>
      <c r="G707" s="30" t="str">
        <f t="shared" si="50"/>
        <v/>
      </c>
      <c r="H707" s="30" t="str">
        <f t="shared" si="51"/>
        <v/>
      </c>
      <c r="I707" s="30" t="str">
        <f t="shared" si="52"/>
        <v/>
      </c>
      <c r="J707" s="30" t="str">
        <f t="shared" si="53"/>
        <v/>
      </c>
      <c r="K707" s="30" t="str">
        <f t="shared" si="54"/>
        <v/>
      </c>
    </row>
    <row r="708" spans="1:11" ht="15" x14ac:dyDescent="0.25">
      <c r="A708" s="1" t="str">
        <f>IF('1.1 Produksi Bersih Padi 2025'!A708="","",'1.1 Produksi Bersih Padi 2025'!A708)</f>
        <v/>
      </c>
      <c r="B708" s="31" t="str">
        <f>IF('1.1 Produksi Bersih Padi 2025'!B708="","",'1.1 Produksi Bersih Padi 2025'!B708)</f>
        <v/>
      </c>
      <c r="C708" s="31" t="str">
        <f>IF('1.1 Produksi Bersih Padi 2025'!C708="","",'1.1 Produksi Bersih Padi 2025'!C708)</f>
        <v/>
      </c>
      <c r="D708" s="1" t="str">
        <f>IF('1.1 Produksi Bersih Padi 2025'!D708="","",'1.1 Produksi Bersih Padi 2025'!D708)</f>
        <v/>
      </c>
      <c r="E708" s="1" t="str">
        <f>IF('1.1 Produksi Bersih Padi 2025'!E708="","",'1.1 Produksi Bersih Padi 2025'!E708)</f>
        <v/>
      </c>
      <c r="F708" s="28" t="str">
        <f>IF(D708="","",VLOOKUP(D708,'[1]0.1 Produksi Pangan &amp; Penduduk'!$D$5:$Y$860,22,0))</f>
        <v/>
      </c>
      <c r="G708" s="30" t="str">
        <f t="shared" si="50"/>
        <v/>
      </c>
      <c r="H708" s="30" t="str">
        <f t="shared" si="51"/>
        <v/>
      </c>
      <c r="I708" s="30" t="str">
        <f t="shared" si="52"/>
        <v/>
      </c>
      <c r="J708" s="30" t="str">
        <f t="shared" si="53"/>
        <v/>
      </c>
      <c r="K708" s="30" t="str">
        <f t="shared" si="54"/>
        <v/>
      </c>
    </row>
    <row r="709" spans="1:11" ht="15" x14ac:dyDescent="0.25">
      <c r="A709" s="1" t="str">
        <f>IF('1.1 Produksi Bersih Padi 2025'!A709="","",'1.1 Produksi Bersih Padi 2025'!A709)</f>
        <v/>
      </c>
      <c r="B709" s="31" t="str">
        <f>IF('1.1 Produksi Bersih Padi 2025'!B709="","",'1.1 Produksi Bersih Padi 2025'!B709)</f>
        <v/>
      </c>
      <c r="C709" s="31" t="str">
        <f>IF('1.1 Produksi Bersih Padi 2025'!C709="","",'1.1 Produksi Bersih Padi 2025'!C709)</f>
        <v/>
      </c>
      <c r="D709" s="1" t="str">
        <f>IF('1.1 Produksi Bersih Padi 2025'!D709="","",'1.1 Produksi Bersih Padi 2025'!D709)</f>
        <v/>
      </c>
      <c r="E709" s="1" t="str">
        <f>IF('1.1 Produksi Bersih Padi 2025'!E709="","",'1.1 Produksi Bersih Padi 2025'!E709)</f>
        <v/>
      </c>
      <c r="F709" s="28" t="str">
        <f>IF(D709="","",VLOOKUP(D709,'[1]0.1 Produksi Pangan &amp; Penduduk'!$D$5:$Y$860,22,0))</f>
        <v/>
      </c>
      <c r="G709" s="30" t="str">
        <f t="shared" si="50"/>
        <v/>
      </c>
      <c r="H709" s="30" t="str">
        <f t="shared" si="51"/>
        <v/>
      </c>
      <c r="I709" s="30" t="str">
        <f t="shared" si="52"/>
        <v/>
      </c>
      <c r="J709" s="30" t="str">
        <f t="shared" si="53"/>
        <v/>
      </c>
      <c r="K709" s="30" t="str">
        <f t="shared" si="54"/>
        <v/>
      </c>
    </row>
    <row r="710" spans="1:11" ht="15" x14ac:dyDescent="0.25">
      <c r="A710" s="1" t="str">
        <f>IF('1.1 Produksi Bersih Padi 2025'!A710="","",'1.1 Produksi Bersih Padi 2025'!A710)</f>
        <v/>
      </c>
      <c r="B710" s="31" t="str">
        <f>IF('1.1 Produksi Bersih Padi 2025'!B710="","",'1.1 Produksi Bersih Padi 2025'!B710)</f>
        <v/>
      </c>
      <c r="C710" s="31" t="str">
        <f>IF('1.1 Produksi Bersih Padi 2025'!C710="","",'1.1 Produksi Bersih Padi 2025'!C710)</f>
        <v/>
      </c>
      <c r="D710" s="1" t="str">
        <f>IF('1.1 Produksi Bersih Padi 2025'!D710="","",'1.1 Produksi Bersih Padi 2025'!D710)</f>
        <v/>
      </c>
      <c r="E710" s="1" t="str">
        <f>IF('1.1 Produksi Bersih Padi 2025'!E710="","",'1.1 Produksi Bersih Padi 2025'!E710)</f>
        <v/>
      </c>
      <c r="F710" s="28" t="str">
        <f>IF(D710="","",VLOOKUP(D710,'[1]0.1 Produksi Pangan &amp; Penduduk'!$D$5:$Y$860,22,0))</f>
        <v/>
      </c>
      <c r="G710" s="30" t="str">
        <f t="shared" ref="G710:G773" si="55">IF(F710="","",F710*0%)</f>
        <v/>
      </c>
      <c r="H710" s="30" t="str">
        <f t="shared" ref="H710:H773" si="56">IF(F710="","",F710*0.43%)</f>
        <v/>
      </c>
      <c r="I710" s="30" t="str">
        <f t="shared" ref="I710:I773" si="57">IF(F710="","",F710*4.23%)</f>
        <v/>
      </c>
      <c r="J710" s="30" t="str">
        <f t="shared" ref="J710:J773" si="58">IF(F710="","",F710-(G710+H710+I710))</f>
        <v/>
      </c>
      <c r="K710" s="30" t="str">
        <f t="shared" ref="K710:K773" si="59">IF(J710="","",J710*0.363)</f>
        <v/>
      </c>
    </row>
    <row r="711" spans="1:11" ht="15" x14ac:dyDescent="0.25">
      <c r="A711" s="1" t="str">
        <f>IF('1.1 Produksi Bersih Padi 2025'!A711="","",'1.1 Produksi Bersih Padi 2025'!A711)</f>
        <v/>
      </c>
      <c r="B711" s="31" t="str">
        <f>IF('1.1 Produksi Bersih Padi 2025'!B711="","",'1.1 Produksi Bersih Padi 2025'!B711)</f>
        <v/>
      </c>
      <c r="C711" s="31" t="str">
        <f>IF('1.1 Produksi Bersih Padi 2025'!C711="","",'1.1 Produksi Bersih Padi 2025'!C711)</f>
        <v/>
      </c>
      <c r="D711" s="1" t="str">
        <f>IF('1.1 Produksi Bersih Padi 2025'!D711="","",'1.1 Produksi Bersih Padi 2025'!D711)</f>
        <v/>
      </c>
      <c r="E711" s="1" t="str">
        <f>IF('1.1 Produksi Bersih Padi 2025'!E711="","",'1.1 Produksi Bersih Padi 2025'!E711)</f>
        <v/>
      </c>
      <c r="F711" s="28" t="str">
        <f>IF(D711="","",VLOOKUP(D711,'[1]0.1 Produksi Pangan &amp; Penduduk'!$D$5:$Y$860,22,0))</f>
        <v/>
      </c>
      <c r="G711" s="30" t="str">
        <f t="shared" si="55"/>
        <v/>
      </c>
      <c r="H711" s="30" t="str">
        <f t="shared" si="56"/>
        <v/>
      </c>
      <c r="I711" s="30" t="str">
        <f t="shared" si="57"/>
        <v/>
      </c>
      <c r="J711" s="30" t="str">
        <f t="shared" si="58"/>
        <v/>
      </c>
      <c r="K711" s="30" t="str">
        <f t="shared" si="59"/>
        <v/>
      </c>
    </row>
    <row r="712" spans="1:11" ht="15" x14ac:dyDescent="0.25">
      <c r="A712" s="1" t="str">
        <f>IF('1.1 Produksi Bersih Padi 2025'!A712="","",'1.1 Produksi Bersih Padi 2025'!A712)</f>
        <v/>
      </c>
      <c r="B712" s="31" t="str">
        <f>IF('1.1 Produksi Bersih Padi 2025'!B712="","",'1.1 Produksi Bersih Padi 2025'!B712)</f>
        <v/>
      </c>
      <c r="C712" s="31" t="str">
        <f>IF('1.1 Produksi Bersih Padi 2025'!C712="","",'1.1 Produksi Bersih Padi 2025'!C712)</f>
        <v/>
      </c>
      <c r="D712" s="1" t="str">
        <f>IF('1.1 Produksi Bersih Padi 2025'!D712="","",'1.1 Produksi Bersih Padi 2025'!D712)</f>
        <v/>
      </c>
      <c r="E712" s="1" t="str">
        <f>IF('1.1 Produksi Bersih Padi 2025'!E712="","",'1.1 Produksi Bersih Padi 2025'!E712)</f>
        <v/>
      </c>
      <c r="F712" s="28" t="str">
        <f>IF(D712="","",VLOOKUP(D712,'[1]0.1 Produksi Pangan &amp; Penduduk'!$D$5:$Y$860,22,0))</f>
        <v/>
      </c>
      <c r="G712" s="30" t="str">
        <f t="shared" si="55"/>
        <v/>
      </c>
      <c r="H712" s="30" t="str">
        <f t="shared" si="56"/>
        <v/>
      </c>
      <c r="I712" s="30" t="str">
        <f t="shared" si="57"/>
        <v/>
      </c>
      <c r="J712" s="30" t="str">
        <f t="shared" si="58"/>
        <v/>
      </c>
      <c r="K712" s="30" t="str">
        <f t="shared" si="59"/>
        <v/>
      </c>
    </row>
    <row r="713" spans="1:11" ht="15" x14ac:dyDescent="0.25">
      <c r="A713" s="1" t="str">
        <f>IF('1.1 Produksi Bersih Padi 2025'!A713="","",'1.1 Produksi Bersih Padi 2025'!A713)</f>
        <v/>
      </c>
      <c r="B713" s="31" t="str">
        <f>IF('1.1 Produksi Bersih Padi 2025'!B713="","",'1.1 Produksi Bersih Padi 2025'!B713)</f>
        <v/>
      </c>
      <c r="C713" s="31" t="str">
        <f>IF('1.1 Produksi Bersih Padi 2025'!C713="","",'1.1 Produksi Bersih Padi 2025'!C713)</f>
        <v/>
      </c>
      <c r="D713" s="1" t="str">
        <f>IF('1.1 Produksi Bersih Padi 2025'!D713="","",'1.1 Produksi Bersih Padi 2025'!D713)</f>
        <v/>
      </c>
      <c r="E713" s="1" t="str">
        <f>IF('1.1 Produksi Bersih Padi 2025'!E713="","",'1.1 Produksi Bersih Padi 2025'!E713)</f>
        <v/>
      </c>
      <c r="F713" s="28" t="str">
        <f>IF(D713="","",VLOOKUP(D713,'[1]0.1 Produksi Pangan &amp; Penduduk'!$D$5:$Y$860,22,0))</f>
        <v/>
      </c>
      <c r="G713" s="30" t="str">
        <f t="shared" si="55"/>
        <v/>
      </c>
      <c r="H713" s="30" t="str">
        <f t="shared" si="56"/>
        <v/>
      </c>
      <c r="I713" s="30" t="str">
        <f t="shared" si="57"/>
        <v/>
      </c>
      <c r="J713" s="30" t="str">
        <f t="shared" si="58"/>
        <v/>
      </c>
      <c r="K713" s="30" t="str">
        <f t="shared" si="59"/>
        <v/>
      </c>
    </row>
    <row r="714" spans="1:11" ht="15" x14ac:dyDescent="0.25">
      <c r="A714" s="1" t="str">
        <f>IF('1.1 Produksi Bersih Padi 2025'!A714="","",'1.1 Produksi Bersih Padi 2025'!A714)</f>
        <v/>
      </c>
      <c r="B714" s="31" t="str">
        <f>IF('1.1 Produksi Bersih Padi 2025'!B714="","",'1.1 Produksi Bersih Padi 2025'!B714)</f>
        <v/>
      </c>
      <c r="C714" s="31" t="str">
        <f>IF('1.1 Produksi Bersih Padi 2025'!C714="","",'1.1 Produksi Bersih Padi 2025'!C714)</f>
        <v/>
      </c>
      <c r="D714" s="1" t="str">
        <f>IF('1.1 Produksi Bersih Padi 2025'!D714="","",'1.1 Produksi Bersih Padi 2025'!D714)</f>
        <v/>
      </c>
      <c r="E714" s="1" t="str">
        <f>IF('1.1 Produksi Bersih Padi 2025'!E714="","",'1.1 Produksi Bersih Padi 2025'!E714)</f>
        <v/>
      </c>
      <c r="F714" s="28" t="str">
        <f>IF(D714="","",VLOOKUP(D714,'[1]0.1 Produksi Pangan &amp; Penduduk'!$D$5:$Y$860,22,0))</f>
        <v/>
      </c>
      <c r="G714" s="30" t="str">
        <f t="shared" si="55"/>
        <v/>
      </c>
      <c r="H714" s="30" t="str">
        <f t="shared" si="56"/>
        <v/>
      </c>
      <c r="I714" s="30" t="str">
        <f t="shared" si="57"/>
        <v/>
      </c>
      <c r="J714" s="30" t="str">
        <f t="shared" si="58"/>
        <v/>
      </c>
      <c r="K714" s="30" t="str">
        <f t="shared" si="59"/>
        <v/>
      </c>
    </row>
    <row r="715" spans="1:11" ht="15" x14ac:dyDescent="0.25">
      <c r="A715" s="1" t="str">
        <f>IF('1.1 Produksi Bersih Padi 2025'!A715="","",'1.1 Produksi Bersih Padi 2025'!A715)</f>
        <v/>
      </c>
      <c r="B715" s="31" t="str">
        <f>IF('1.1 Produksi Bersih Padi 2025'!B715="","",'1.1 Produksi Bersih Padi 2025'!B715)</f>
        <v/>
      </c>
      <c r="C715" s="31" t="str">
        <f>IF('1.1 Produksi Bersih Padi 2025'!C715="","",'1.1 Produksi Bersih Padi 2025'!C715)</f>
        <v/>
      </c>
      <c r="D715" s="1" t="str">
        <f>IF('1.1 Produksi Bersih Padi 2025'!D715="","",'1.1 Produksi Bersih Padi 2025'!D715)</f>
        <v/>
      </c>
      <c r="E715" s="1" t="str">
        <f>IF('1.1 Produksi Bersih Padi 2025'!E715="","",'1.1 Produksi Bersih Padi 2025'!E715)</f>
        <v/>
      </c>
      <c r="F715" s="28" t="str">
        <f>IF(D715="","",VLOOKUP(D715,'[1]0.1 Produksi Pangan &amp; Penduduk'!$D$5:$Y$860,22,0))</f>
        <v/>
      </c>
      <c r="G715" s="30" t="str">
        <f t="shared" si="55"/>
        <v/>
      </c>
      <c r="H715" s="30" t="str">
        <f t="shared" si="56"/>
        <v/>
      </c>
      <c r="I715" s="30" t="str">
        <f t="shared" si="57"/>
        <v/>
      </c>
      <c r="J715" s="30" t="str">
        <f t="shared" si="58"/>
        <v/>
      </c>
      <c r="K715" s="30" t="str">
        <f t="shared" si="59"/>
        <v/>
      </c>
    </row>
    <row r="716" spans="1:11" ht="15" x14ac:dyDescent="0.25">
      <c r="A716" s="1" t="str">
        <f>IF('1.1 Produksi Bersih Padi 2025'!A716="","",'1.1 Produksi Bersih Padi 2025'!A716)</f>
        <v/>
      </c>
      <c r="B716" s="31" t="str">
        <f>IF('1.1 Produksi Bersih Padi 2025'!B716="","",'1.1 Produksi Bersih Padi 2025'!B716)</f>
        <v/>
      </c>
      <c r="C716" s="31" t="str">
        <f>IF('1.1 Produksi Bersih Padi 2025'!C716="","",'1.1 Produksi Bersih Padi 2025'!C716)</f>
        <v/>
      </c>
      <c r="D716" s="1" t="str">
        <f>IF('1.1 Produksi Bersih Padi 2025'!D716="","",'1.1 Produksi Bersih Padi 2025'!D716)</f>
        <v/>
      </c>
      <c r="E716" s="1" t="str">
        <f>IF('1.1 Produksi Bersih Padi 2025'!E716="","",'1.1 Produksi Bersih Padi 2025'!E716)</f>
        <v/>
      </c>
      <c r="F716" s="28" t="str">
        <f>IF(D716="","",VLOOKUP(D716,'[1]0.1 Produksi Pangan &amp; Penduduk'!$D$5:$Y$860,22,0))</f>
        <v/>
      </c>
      <c r="G716" s="30" t="str">
        <f t="shared" si="55"/>
        <v/>
      </c>
      <c r="H716" s="30" t="str">
        <f t="shared" si="56"/>
        <v/>
      </c>
      <c r="I716" s="30" t="str">
        <f t="shared" si="57"/>
        <v/>
      </c>
      <c r="J716" s="30" t="str">
        <f t="shared" si="58"/>
        <v/>
      </c>
      <c r="K716" s="30" t="str">
        <f t="shared" si="59"/>
        <v/>
      </c>
    </row>
    <row r="717" spans="1:11" ht="15" x14ac:dyDescent="0.25">
      <c r="A717" s="1" t="str">
        <f>IF('1.1 Produksi Bersih Padi 2025'!A717="","",'1.1 Produksi Bersih Padi 2025'!A717)</f>
        <v/>
      </c>
      <c r="B717" s="31" t="str">
        <f>IF('1.1 Produksi Bersih Padi 2025'!B717="","",'1.1 Produksi Bersih Padi 2025'!B717)</f>
        <v/>
      </c>
      <c r="C717" s="31" t="str">
        <f>IF('1.1 Produksi Bersih Padi 2025'!C717="","",'1.1 Produksi Bersih Padi 2025'!C717)</f>
        <v/>
      </c>
      <c r="D717" s="1" t="str">
        <f>IF('1.1 Produksi Bersih Padi 2025'!D717="","",'1.1 Produksi Bersih Padi 2025'!D717)</f>
        <v/>
      </c>
      <c r="E717" s="1" t="str">
        <f>IF('1.1 Produksi Bersih Padi 2025'!E717="","",'1.1 Produksi Bersih Padi 2025'!E717)</f>
        <v/>
      </c>
      <c r="F717" s="28" t="str">
        <f>IF(D717="","",VLOOKUP(D717,'[1]0.1 Produksi Pangan &amp; Penduduk'!$D$5:$Y$860,22,0))</f>
        <v/>
      </c>
      <c r="G717" s="30" t="str">
        <f t="shared" si="55"/>
        <v/>
      </c>
      <c r="H717" s="30" t="str">
        <f t="shared" si="56"/>
        <v/>
      </c>
      <c r="I717" s="30" t="str">
        <f t="shared" si="57"/>
        <v/>
      </c>
      <c r="J717" s="30" t="str">
        <f t="shared" si="58"/>
        <v/>
      </c>
      <c r="K717" s="30" t="str">
        <f t="shared" si="59"/>
        <v/>
      </c>
    </row>
    <row r="718" spans="1:11" ht="15" x14ac:dyDescent="0.25">
      <c r="A718" s="1" t="str">
        <f>IF('1.1 Produksi Bersih Padi 2025'!A718="","",'1.1 Produksi Bersih Padi 2025'!A718)</f>
        <v/>
      </c>
      <c r="B718" s="31" t="str">
        <f>IF('1.1 Produksi Bersih Padi 2025'!B718="","",'1.1 Produksi Bersih Padi 2025'!B718)</f>
        <v/>
      </c>
      <c r="C718" s="31" t="str">
        <f>IF('1.1 Produksi Bersih Padi 2025'!C718="","",'1.1 Produksi Bersih Padi 2025'!C718)</f>
        <v/>
      </c>
      <c r="D718" s="1" t="str">
        <f>IF('1.1 Produksi Bersih Padi 2025'!D718="","",'1.1 Produksi Bersih Padi 2025'!D718)</f>
        <v/>
      </c>
      <c r="E718" s="1" t="str">
        <f>IF('1.1 Produksi Bersih Padi 2025'!E718="","",'1.1 Produksi Bersih Padi 2025'!E718)</f>
        <v/>
      </c>
      <c r="F718" s="28" t="str">
        <f>IF(D718="","",VLOOKUP(D718,'[1]0.1 Produksi Pangan &amp; Penduduk'!$D$5:$Y$860,22,0))</f>
        <v/>
      </c>
      <c r="G718" s="30" t="str">
        <f t="shared" si="55"/>
        <v/>
      </c>
      <c r="H718" s="30" t="str">
        <f t="shared" si="56"/>
        <v/>
      </c>
      <c r="I718" s="30" t="str">
        <f t="shared" si="57"/>
        <v/>
      </c>
      <c r="J718" s="30" t="str">
        <f t="shared" si="58"/>
        <v/>
      </c>
      <c r="K718" s="30" t="str">
        <f t="shared" si="59"/>
        <v/>
      </c>
    </row>
    <row r="719" spans="1:11" ht="15" x14ac:dyDescent="0.25">
      <c r="A719" s="1" t="str">
        <f>IF('1.1 Produksi Bersih Padi 2025'!A719="","",'1.1 Produksi Bersih Padi 2025'!A719)</f>
        <v/>
      </c>
      <c r="B719" s="31" t="str">
        <f>IF('1.1 Produksi Bersih Padi 2025'!B719="","",'1.1 Produksi Bersih Padi 2025'!B719)</f>
        <v/>
      </c>
      <c r="C719" s="31" t="str">
        <f>IF('1.1 Produksi Bersih Padi 2025'!C719="","",'1.1 Produksi Bersih Padi 2025'!C719)</f>
        <v/>
      </c>
      <c r="D719" s="1" t="str">
        <f>IF('1.1 Produksi Bersih Padi 2025'!D719="","",'1.1 Produksi Bersih Padi 2025'!D719)</f>
        <v/>
      </c>
      <c r="E719" s="1" t="str">
        <f>IF('1.1 Produksi Bersih Padi 2025'!E719="","",'1.1 Produksi Bersih Padi 2025'!E719)</f>
        <v/>
      </c>
      <c r="F719" s="28" t="str">
        <f>IF(D719="","",VLOOKUP(D719,'[1]0.1 Produksi Pangan &amp; Penduduk'!$D$5:$Y$860,22,0))</f>
        <v/>
      </c>
      <c r="G719" s="30" t="str">
        <f t="shared" si="55"/>
        <v/>
      </c>
      <c r="H719" s="30" t="str">
        <f t="shared" si="56"/>
        <v/>
      </c>
      <c r="I719" s="30" t="str">
        <f t="shared" si="57"/>
        <v/>
      </c>
      <c r="J719" s="30" t="str">
        <f t="shared" si="58"/>
        <v/>
      </c>
      <c r="K719" s="30" t="str">
        <f t="shared" si="59"/>
        <v/>
      </c>
    </row>
    <row r="720" spans="1:11" ht="15" x14ac:dyDescent="0.25">
      <c r="A720" s="1" t="str">
        <f>IF('1.1 Produksi Bersih Padi 2025'!A720="","",'1.1 Produksi Bersih Padi 2025'!A720)</f>
        <v/>
      </c>
      <c r="B720" s="31" t="str">
        <f>IF('1.1 Produksi Bersih Padi 2025'!B720="","",'1.1 Produksi Bersih Padi 2025'!B720)</f>
        <v/>
      </c>
      <c r="C720" s="31" t="str">
        <f>IF('1.1 Produksi Bersih Padi 2025'!C720="","",'1.1 Produksi Bersih Padi 2025'!C720)</f>
        <v/>
      </c>
      <c r="D720" s="1" t="str">
        <f>IF('1.1 Produksi Bersih Padi 2025'!D720="","",'1.1 Produksi Bersih Padi 2025'!D720)</f>
        <v/>
      </c>
      <c r="E720" s="1" t="str">
        <f>IF('1.1 Produksi Bersih Padi 2025'!E720="","",'1.1 Produksi Bersih Padi 2025'!E720)</f>
        <v/>
      </c>
      <c r="F720" s="28" t="str">
        <f>IF(D720="","",VLOOKUP(D720,'[1]0.1 Produksi Pangan &amp; Penduduk'!$D$5:$Y$860,22,0))</f>
        <v/>
      </c>
      <c r="G720" s="30" t="str">
        <f t="shared" si="55"/>
        <v/>
      </c>
      <c r="H720" s="30" t="str">
        <f t="shared" si="56"/>
        <v/>
      </c>
      <c r="I720" s="30" t="str">
        <f t="shared" si="57"/>
        <v/>
      </c>
      <c r="J720" s="30" t="str">
        <f t="shared" si="58"/>
        <v/>
      </c>
      <c r="K720" s="30" t="str">
        <f t="shared" si="59"/>
        <v/>
      </c>
    </row>
    <row r="721" spans="1:11" ht="15" x14ac:dyDescent="0.25">
      <c r="A721" s="1" t="str">
        <f>IF('1.1 Produksi Bersih Padi 2025'!A721="","",'1.1 Produksi Bersih Padi 2025'!A721)</f>
        <v/>
      </c>
      <c r="B721" s="31" t="str">
        <f>IF('1.1 Produksi Bersih Padi 2025'!B721="","",'1.1 Produksi Bersih Padi 2025'!B721)</f>
        <v/>
      </c>
      <c r="C721" s="31" t="str">
        <f>IF('1.1 Produksi Bersih Padi 2025'!C721="","",'1.1 Produksi Bersih Padi 2025'!C721)</f>
        <v/>
      </c>
      <c r="D721" s="1" t="str">
        <f>IF('1.1 Produksi Bersih Padi 2025'!D721="","",'1.1 Produksi Bersih Padi 2025'!D721)</f>
        <v/>
      </c>
      <c r="E721" s="1" t="str">
        <f>IF('1.1 Produksi Bersih Padi 2025'!E721="","",'1.1 Produksi Bersih Padi 2025'!E721)</f>
        <v/>
      </c>
      <c r="F721" s="28" t="str">
        <f>IF(D721="","",VLOOKUP(D721,'[1]0.1 Produksi Pangan &amp; Penduduk'!$D$5:$Y$860,22,0))</f>
        <v/>
      </c>
      <c r="G721" s="30" t="str">
        <f t="shared" si="55"/>
        <v/>
      </c>
      <c r="H721" s="30" t="str">
        <f t="shared" si="56"/>
        <v/>
      </c>
      <c r="I721" s="30" t="str">
        <f t="shared" si="57"/>
        <v/>
      </c>
      <c r="J721" s="30" t="str">
        <f t="shared" si="58"/>
        <v/>
      </c>
      <c r="K721" s="30" t="str">
        <f t="shared" si="59"/>
        <v/>
      </c>
    </row>
    <row r="722" spans="1:11" ht="15" x14ac:dyDescent="0.25">
      <c r="A722" s="1" t="str">
        <f>IF('1.1 Produksi Bersih Padi 2025'!A722="","",'1.1 Produksi Bersih Padi 2025'!A722)</f>
        <v/>
      </c>
      <c r="B722" s="31" t="str">
        <f>IF('1.1 Produksi Bersih Padi 2025'!B722="","",'1.1 Produksi Bersih Padi 2025'!B722)</f>
        <v/>
      </c>
      <c r="C722" s="31" t="str">
        <f>IF('1.1 Produksi Bersih Padi 2025'!C722="","",'1.1 Produksi Bersih Padi 2025'!C722)</f>
        <v/>
      </c>
      <c r="D722" s="1" t="str">
        <f>IF('1.1 Produksi Bersih Padi 2025'!D722="","",'1.1 Produksi Bersih Padi 2025'!D722)</f>
        <v/>
      </c>
      <c r="E722" s="1" t="str">
        <f>IF('1.1 Produksi Bersih Padi 2025'!E722="","",'1.1 Produksi Bersih Padi 2025'!E722)</f>
        <v/>
      </c>
      <c r="F722" s="28" t="str">
        <f>IF(D722="","",VLOOKUP(D722,'[1]0.1 Produksi Pangan &amp; Penduduk'!$D$5:$Y$860,22,0))</f>
        <v/>
      </c>
      <c r="G722" s="30" t="str">
        <f t="shared" si="55"/>
        <v/>
      </c>
      <c r="H722" s="30" t="str">
        <f t="shared" si="56"/>
        <v/>
      </c>
      <c r="I722" s="30" t="str">
        <f t="shared" si="57"/>
        <v/>
      </c>
      <c r="J722" s="30" t="str">
        <f t="shared" si="58"/>
        <v/>
      </c>
      <c r="K722" s="30" t="str">
        <f t="shared" si="59"/>
        <v/>
      </c>
    </row>
    <row r="723" spans="1:11" ht="15" x14ac:dyDescent="0.25">
      <c r="A723" s="1" t="str">
        <f>IF('1.1 Produksi Bersih Padi 2025'!A723="","",'1.1 Produksi Bersih Padi 2025'!A723)</f>
        <v/>
      </c>
      <c r="B723" s="31" t="str">
        <f>IF('1.1 Produksi Bersih Padi 2025'!B723="","",'1.1 Produksi Bersih Padi 2025'!B723)</f>
        <v/>
      </c>
      <c r="C723" s="31" t="str">
        <f>IF('1.1 Produksi Bersih Padi 2025'!C723="","",'1.1 Produksi Bersih Padi 2025'!C723)</f>
        <v/>
      </c>
      <c r="D723" s="1" t="str">
        <f>IF('1.1 Produksi Bersih Padi 2025'!D723="","",'1.1 Produksi Bersih Padi 2025'!D723)</f>
        <v/>
      </c>
      <c r="E723" s="1" t="str">
        <f>IF('1.1 Produksi Bersih Padi 2025'!E723="","",'1.1 Produksi Bersih Padi 2025'!E723)</f>
        <v/>
      </c>
      <c r="F723" s="28" t="str">
        <f>IF(D723="","",VLOOKUP(D723,'[1]0.1 Produksi Pangan &amp; Penduduk'!$D$5:$Y$860,22,0))</f>
        <v/>
      </c>
      <c r="G723" s="30" t="str">
        <f t="shared" si="55"/>
        <v/>
      </c>
      <c r="H723" s="30" t="str">
        <f t="shared" si="56"/>
        <v/>
      </c>
      <c r="I723" s="30" t="str">
        <f t="shared" si="57"/>
        <v/>
      </c>
      <c r="J723" s="30" t="str">
        <f t="shared" si="58"/>
        <v/>
      </c>
      <c r="K723" s="30" t="str">
        <f t="shared" si="59"/>
        <v/>
      </c>
    </row>
    <row r="724" spans="1:11" ht="15" x14ac:dyDescent="0.25">
      <c r="A724" s="1" t="str">
        <f>IF('1.1 Produksi Bersih Padi 2025'!A724="","",'1.1 Produksi Bersih Padi 2025'!A724)</f>
        <v/>
      </c>
      <c r="B724" s="31" t="str">
        <f>IF('1.1 Produksi Bersih Padi 2025'!B724="","",'1.1 Produksi Bersih Padi 2025'!B724)</f>
        <v/>
      </c>
      <c r="C724" s="31" t="str">
        <f>IF('1.1 Produksi Bersih Padi 2025'!C724="","",'1.1 Produksi Bersih Padi 2025'!C724)</f>
        <v/>
      </c>
      <c r="D724" s="1" t="str">
        <f>IF('1.1 Produksi Bersih Padi 2025'!D724="","",'1.1 Produksi Bersih Padi 2025'!D724)</f>
        <v/>
      </c>
      <c r="E724" s="1" t="str">
        <f>IF('1.1 Produksi Bersih Padi 2025'!E724="","",'1.1 Produksi Bersih Padi 2025'!E724)</f>
        <v/>
      </c>
      <c r="F724" s="28" t="str">
        <f>IF(D724="","",VLOOKUP(D724,'[1]0.1 Produksi Pangan &amp; Penduduk'!$D$5:$Y$860,22,0))</f>
        <v/>
      </c>
      <c r="G724" s="30" t="str">
        <f t="shared" si="55"/>
        <v/>
      </c>
      <c r="H724" s="30" t="str">
        <f t="shared" si="56"/>
        <v/>
      </c>
      <c r="I724" s="30" t="str">
        <f t="shared" si="57"/>
        <v/>
      </c>
      <c r="J724" s="30" t="str">
        <f t="shared" si="58"/>
        <v/>
      </c>
      <c r="K724" s="30" t="str">
        <f t="shared" si="59"/>
        <v/>
      </c>
    </row>
    <row r="725" spans="1:11" ht="15" x14ac:dyDescent="0.25">
      <c r="A725" s="1" t="str">
        <f>IF('1.1 Produksi Bersih Padi 2025'!A725="","",'1.1 Produksi Bersih Padi 2025'!A725)</f>
        <v/>
      </c>
      <c r="B725" s="31" t="str">
        <f>IF('1.1 Produksi Bersih Padi 2025'!B725="","",'1.1 Produksi Bersih Padi 2025'!B725)</f>
        <v/>
      </c>
      <c r="C725" s="31" t="str">
        <f>IF('1.1 Produksi Bersih Padi 2025'!C725="","",'1.1 Produksi Bersih Padi 2025'!C725)</f>
        <v/>
      </c>
      <c r="D725" s="1" t="str">
        <f>IF('1.1 Produksi Bersih Padi 2025'!D725="","",'1.1 Produksi Bersih Padi 2025'!D725)</f>
        <v/>
      </c>
      <c r="E725" s="1" t="str">
        <f>IF('1.1 Produksi Bersih Padi 2025'!E725="","",'1.1 Produksi Bersih Padi 2025'!E725)</f>
        <v/>
      </c>
      <c r="F725" s="28" t="str">
        <f>IF(D725="","",VLOOKUP(D725,'[1]0.1 Produksi Pangan &amp; Penduduk'!$D$5:$Y$860,22,0))</f>
        <v/>
      </c>
      <c r="G725" s="30" t="str">
        <f t="shared" si="55"/>
        <v/>
      </c>
      <c r="H725" s="30" t="str">
        <f t="shared" si="56"/>
        <v/>
      </c>
      <c r="I725" s="30" t="str">
        <f t="shared" si="57"/>
        <v/>
      </c>
      <c r="J725" s="30" t="str">
        <f t="shared" si="58"/>
        <v/>
      </c>
      <c r="K725" s="30" t="str">
        <f t="shared" si="59"/>
        <v/>
      </c>
    </row>
    <row r="726" spans="1:11" ht="15" x14ac:dyDescent="0.25">
      <c r="A726" s="1" t="str">
        <f>IF('1.1 Produksi Bersih Padi 2025'!A726="","",'1.1 Produksi Bersih Padi 2025'!A726)</f>
        <v/>
      </c>
      <c r="B726" s="31" t="str">
        <f>IF('1.1 Produksi Bersih Padi 2025'!B726="","",'1.1 Produksi Bersih Padi 2025'!B726)</f>
        <v/>
      </c>
      <c r="C726" s="31" t="str">
        <f>IF('1.1 Produksi Bersih Padi 2025'!C726="","",'1.1 Produksi Bersih Padi 2025'!C726)</f>
        <v/>
      </c>
      <c r="D726" s="1" t="str">
        <f>IF('1.1 Produksi Bersih Padi 2025'!D726="","",'1.1 Produksi Bersih Padi 2025'!D726)</f>
        <v/>
      </c>
      <c r="E726" s="1" t="str">
        <f>IF('1.1 Produksi Bersih Padi 2025'!E726="","",'1.1 Produksi Bersih Padi 2025'!E726)</f>
        <v/>
      </c>
      <c r="F726" s="28" t="str">
        <f>IF(D726="","",VLOOKUP(D726,'[1]0.1 Produksi Pangan &amp; Penduduk'!$D$5:$Y$860,22,0))</f>
        <v/>
      </c>
      <c r="G726" s="30" t="str">
        <f t="shared" si="55"/>
        <v/>
      </c>
      <c r="H726" s="30" t="str">
        <f t="shared" si="56"/>
        <v/>
      </c>
      <c r="I726" s="30" t="str">
        <f t="shared" si="57"/>
        <v/>
      </c>
      <c r="J726" s="30" t="str">
        <f t="shared" si="58"/>
        <v/>
      </c>
      <c r="K726" s="30" t="str">
        <f t="shared" si="59"/>
        <v/>
      </c>
    </row>
    <row r="727" spans="1:11" ht="15" x14ac:dyDescent="0.25">
      <c r="A727" s="1" t="str">
        <f>IF('1.1 Produksi Bersih Padi 2025'!A727="","",'1.1 Produksi Bersih Padi 2025'!A727)</f>
        <v/>
      </c>
      <c r="B727" s="31" t="str">
        <f>IF('1.1 Produksi Bersih Padi 2025'!B727="","",'1.1 Produksi Bersih Padi 2025'!B727)</f>
        <v/>
      </c>
      <c r="C727" s="31" t="str">
        <f>IF('1.1 Produksi Bersih Padi 2025'!C727="","",'1.1 Produksi Bersih Padi 2025'!C727)</f>
        <v/>
      </c>
      <c r="D727" s="1" t="str">
        <f>IF('1.1 Produksi Bersih Padi 2025'!D727="","",'1.1 Produksi Bersih Padi 2025'!D727)</f>
        <v/>
      </c>
      <c r="E727" s="1" t="str">
        <f>IF('1.1 Produksi Bersih Padi 2025'!E727="","",'1.1 Produksi Bersih Padi 2025'!E727)</f>
        <v/>
      </c>
      <c r="F727" s="28" t="str">
        <f>IF(D727="","",VLOOKUP(D727,'[1]0.1 Produksi Pangan &amp; Penduduk'!$D$5:$Y$860,22,0))</f>
        <v/>
      </c>
      <c r="G727" s="30" t="str">
        <f t="shared" si="55"/>
        <v/>
      </c>
      <c r="H727" s="30" t="str">
        <f t="shared" si="56"/>
        <v/>
      </c>
      <c r="I727" s="30" t="str">
        <f t="shared" si="57"/>
        <v/>
      </c>
      <c r="J727" s="30" t="str">
        <f t="shared" si="58"/>
        <v/>
      </c>
      <c r="K727" s="30" t="str">
        <f t="shared" si="59"/>
        <v/>
      </c>
    </row>
    <row r="728" spans="1:11" ht="15" x14ac:dyDescent="0.25">
      <c r="A728" s="1" t="str">
        <f>IF('1.1 Produksi Bersih Padi 2025'!A728="","",'1.1 Produksi Bersih Padi 2025'!A728)</f>
        <v/>
      </c>
      <c r="B728" s="31" t="str">
        <f>IF('1.1 Produksi Bersih Padi 2025'!B728="","",'1.1 Produksi Bersih Padi 2025'!B728)</f>
        <v/>
      </c>
      <c r="C728" s="31" t="str">
        <f>IF('1.1 Produksi Bersih Padi 2025'!C728="","",'1.1 Produksi Bersih Padi 2025'!C728)</f>
        <v/>
      </c>
      <c r="D728" s="1" t="str">
        <f>IF('1.1 Produksi Bersih Padi 2025'!D728="","",'1.1 Produksi Bersih Padi 2025'!D728)</f>
        <v/>
      </c>
      <c r="E728" s="1" t="str">
        <f>IF('1.1 Produksi Bersih Padi 2025'!E728="","",'1.1 Produksi Bersih Padi 2025'!E728)</f>
        <v/>
      </c>
      <c r="F728" s="28" t="str">
        <f>IF(D728="","",VLOOKUP(D728,'[1]0.1 Produksi Pangan &amp; Penduduk'!$D$5:$Y$860,22,0))</f>
        <v/>
      </c>
      <c r="G728" s="30" t="str">
        <f t="shared" si="55"/>
        <v/>
      </c>
      <c r="H728" s="30" t="str">
        <f t="shared" si="56"/>
        <v/>
      </c>
      <c r="I728" s="30" t="str">
        <f t="shared" si="57"/>
        <v/>
      </c>
      <c r="J728" s="30" t="str">
        <f t="shared" si="58"/>
        <v/>
      </c>
      <c r="K728" s="30" t="str">
        <f t="shared" si="59"/>
        <v/>
      </c>
    </row>
    <row r="729" spans="1:11" ht="15" x14ac:dyDescent="0.25">
      <c r="A729" s="1" t="str">
        <f>IF('1.1 Produksi Bersih Padi 2025'!A729="","",'1.1 Produksi Bersih Padi 2025'!A729)</f>
        <v/>
      </c>
      <c r="B729" s="31" t="str">
        <f>IF('1.1 Produksi Bersih Padi 2025'!B729="","",'1.1 Produksi Bersih Padi 2025'!B729)</f>
        <v/>
      </c>
      <c r="C729" s="31" t="str">
        <f>IF('1.1 Produksi Bersih Padi 2025'!C729="","",'1.1 Produksi Bersih Padi 2025'!C729)</f>
        <v/>
      </c>
      <c r="D729" s="1" t="str">
        <f>IF('1.1 Produksi Bersih Padi 2025'!D729="","",'1.1 Produksi Bersih Padi 2025'!D729)</f>
        <v/>
      </c>
      <c r="E729" s="1" t="str">
        <f>IF('1.1 Produksi Bersih Padi 2025'!E729="","",'1.1 Produksi Bersih Padi 2025'!E729)</f>
        <v/>
      </c>
      <c r="F729" s="28" t="str">
        <f>IF(D729="","",VLOOKUP(D729,'[1]0.1 Produksi Pangan &amp; Penduduk'!$D$5:$Y$860,22,0))</f>
        <v/>
      </c>
      <c r="G729" s="30" t="str">
        <f t="shared" si="55"/>
        <v/>
      </c>
      <c r="H729" s="30" t="str">
        <f t="shared" si="56"/>
        <v/>
      </c>
      <c r="I729" s="30" t="str">
        <f t="shared" si="57"/>
        <v/>
      </c>
      <c r="J729" s="30" t="str">
        <f t="shared" si="58"/>
        <v/>
      </c>
      <c r="K729" s="30" t="str">
        <f t="shared" si="59"/>
        <v/>
      </c>
    </row>
    <row r="730" spans="1:11" ht="15" x14ac:dyDescent="0.25">
      <c r="A730" s="1" t="str">
        <f>IF('1.1 Produksi Bersih Padi 2025'!A730="","",'1.1 Produksi Bersih Padi 2025'!A730)</f>
        <v/>
      </c>
      <c r="B730" s="31" t="str">
        <f>IF('1.1 Produksi Bersih Padi 2025'!B730="","",'1.1 Produksi Bersih Padi 2025'!B730)</f>
        <v/>
      </c>
      <c r="C730" s="31" t="str">
        <f>IF('1.1 Produksi Bersih Padi 2025'!C730="","",'1.1 Produksi Bersih Padi 2025'!C730)</f>
        <v/>
      </c>
      <c r="D730" s="1" t="str">
        <f>IF('1.1 Produksi Bersih Padi 2025'!D730="","",'1.1 Produksi Bersih Padi 2025'!D730)</f>
        <v/>
      </c>
      <c r="E730" s="1" t="str">
        <f>IF('1.1 Produksi Bersih Padi 2025'!E730="","",'1.1 Produksi Bersih Padi 2025'!E730)</f>
        <v/>
      </c>
      <c r="F730" s="28" t="str">
        <f>IF(D730="","",VLOOKUP(D730,'[1]0.1 Produksi Pangan &amp; Penduduk'!$D$5:$Y$860,22,0))</f>
        <v/>
      </c>
      <c r="G730" s="30" t="str">
        <f t="shared" si="55"/>
        <v/>
      </c>
      <c r="H730" s="30" t="str">
        <f t="shared" si="56"/>
        <v/>
      </c>
      <c r="I730" s="30" t="str">
        <f t="shared" si="57"/>
        <v/>
      </c>
      <c r="J730" s="30" t="str">
        <f t="shared" si="58"/>
        <v/>
      </c>
      <c r="K730" s="30" t="str">
        <f t="shared" si="59"/>
        <v/>
      </c>
    </row>
    <row r="731" spans="1:11" ht="15" x14ac:dyDescent="0.25">
      <c r="A731" s="1" t="str">
        <f>IF('1.1 Produksi Bersih Padi 2025'!A731="","",'1.1 Produksi Bersih Padi 2025'!A731)</f>
        <v/>
      </c>
      <c r="B731" s="31" t="str">
        <f>IF('1.1 Produksi Bersih Padi 2025'!B731="","",'1.1 Produksi Bersih Padi 2025'!B731)</f>
        <v/>
      </c>
      <c r="C731" s="31" t="str">
        <f>IF('1.1 Produksi Bersih Padi 2025'!C731="","",'1.1 Produksi Bersih Padi 2025'!C731)</f>
        <v/>
      </c>
      <c r="D731" s="1" t="str">
        <f>IF('1.1 Produksi Bersih Padi 2025'!D731="","",'1.1 Produksi Bersih Padi 2025'!D731)</f>
        <v/>
      </c>
      <c r="E731" s="1" t="str">
        <f>IF('1.1 Produksi Bersih Padi 2025'!E731="","",'1.1 Produksi Bersih Padi 2025'!E731)</f>
        <v/>
      </c>
      <c r="F731" s="28" t="str">
        <f>IF(D731="","",VLOOKUP(D731,'[1]0.1 Produksi Pangan &amp; Penduduk'!$D$5:$Y$860,22,0))</f>
        <v/>
      </c>
      <c r="G731" s="30" t="str">
        <f t="shared" si="55"/>
        <v/>
      </c>
      <c r="H731" s="30" t="str">
        <f t="shared" si="56"/>
        <v/>
      </c>
      <c r="I731" s="30" t="str">
        <f t="shared" si="57"/>
        <v/>
      </c>
      <c r="J731" s="30" t="str">
        <f t="shared" si="58"/>
        <v/>
      </c>
      <c r="K731" s="30" t="str">
        <f t="shared" si="59"/>
        <v/>
      </c>
    </row>
    <row r="732" spans="1:11" ht="15" x14ac:dyDescent="0.25">
      <c r="A732" s="1" t="str">
        <f>IF('1.1 Produksi Bersih Padi 2025'!A732="","",'1.1 Produksi Bersih Padi 2025'!A732)</f>
        <v/>
      </c>
      <c r="B732" s="31" t="str">
        <f>IF('1.1 Produksi Bersih Padi 2025'!B732="","",'1.1 Produksi Bersih Padi 2025'!B732)</f>
        <v/>
      </c>
      <c r="C732" s="31" t="str">
        <f>IF('1.1 Produksi Bersih Padi 2025'!C732="","",'1.1 Produksi Bersih Padi 2025'!C732)</f>
        <v/>
      </c>
      <c r="D732" s="1" t="str">
        <f>IF('1.1 Produksi Bersih Padi 2025'!D732="","",'1.1 Produksi Bersih Padi 2025'!D732)</f>
        <v/>
      </c>
      <c r="E732" s="1" t="str">
        <f>IF('1.1 Produksi Bersih Padi 2025'!E732="","",'1.1 Produksi Bersih Padi 2025'!E732)</f>
        <v/>
      </c>
      <c r="F732" s="28" t="str">
        <f>IF(D732="","",VLOOKUP(D732,'[1]0.1 Produksi Pangan &amp; Penduduk'!$D$5:$Y$860,22,0))</f>
        <v/>
      </c>
      <c r="G732" s="30" t="str">
        <f t="shared" si="55"/>
        <v/>
      </c>
      <c r="H732" s="30" t="str">
        <f t="shared" si="56"/>
        <v/>
      </c>
      <c r="I732" s="30" t="str">
        <f t="shared" si="57"/>
        <v/>
      </c>
      <c r="J732" s="30" t="str">
        <f t="shared" si="58"/>
        <v/>
      </c>
      <c r="K732" s="30" t="str">
        <f t="shared" si="59"/>
        <v/>
      </c>
    </row>
    <row r="733" spans="1:11" ht="15" x14ac:dyDescent="0.25">
      <c r="A733" s="1" t="str">
        <f>IF('1.1 Produksi Bersih Padi 2025'!A733="","",'1.1 Produksi Bersih Padi 2025'!A733)</f>
        <v/>
      </c>
      <c r="B733" s="31" t="str">
        <f>IF('1.1 Produksi Bersih Padi 2025'!B733="","",'1.1 Produksi Bersih Padi 2025'!B733)</f>
        <v/>
      </c>
      <c r="C733" s="31" t="str">
        <f>IF('1.1 Produksi Bersih Padi 2025'!C733="","",'1.1 Produksi Bersih Padi 2025'!C733)</f>
        <v/>
      </c>
      <c r="D733" s="1" t="str">
        <f>IF('1.1 Produksi Bersih Padi 2025'!D733="","",'1.1 Produksi Bersih Padi 2025'!D733)</f>
        <v/>
      </c>
      <c r="E733" s="1" t="str">
        <f>IF('1.1 Produksi Bersih Padi 2025'!E733="","",'1.1 Produksi Bersih Padi 2025'!E733)</f>
        <v/>
      </c>
      <c r="F733" s="28" t="str">
        <f>IF(D733="","",VLOOKUP(D733,'[1]0.1 Produksi Pangan &amp; Penduduk'!$D$5:$Y$860,22,0))</f>
        <v/>
      </c>
      <c r="G733" s="30" t="str">
        <f t="shared" si="55"/>
        <v/>
      </c>
      <c r="H733" s="30" t="str">
        <f t="shared" si="56"/>
        <v/>
      </c>
      <c r="I733" s="30" t="str">
        <f t="shared" si="57"/>
        <v/>
      </c>
      <c r="J733" s="30" t="str">
        <f t="shared" si="58"/>
        <v/>
      </c>
      <c r="K733" s="30" t="str">
        <f t="shared" si="59"/>
        <v/>
      </c>
    </row>
    <row r="734" spans="1:11" ht="15" x14ac:dyDescent="0.25">
      <c r="A734" s="1" t="str">
        <f>IF('1.1 Produksi Bersih Padi 2025'!A734="","",'1.1 Produksi Bersih Padi 2025'!A734)</f>
        <v/>
      </c>
      <c r="B734" s="31" t="str">
        <f>IF('1.1 Produksi Bersih Padi 2025'!B734="","",'1.1 Produksi Bersih Padi 2025'!B734)</f>
        <v/>
      </c>
      <c r="C734" s="31" t="str">
        <f>IF('1.1 Produksi Bersih Padi 2025'!C734="","",'1.1 Produksi Bersih Padi 2025'!C734)</f>
        <v/>
      </c>
      <c r="D734" s="1" t="str">
        <f>IF('1.1 Produksi Bersih Padi 2025'!D734="","",'1.1 Produksi Bersih Padi 2025'!D734)</f>
        <v/>
      </c>
      <c r="E734" s="1" t="str">
        <f>IF('1.1 Produksi Bersih Padi 2025'!E734="","",'1.1 Produksi Bersih Padi 2025'!E734)</f>
        <v/>
      </c>
      <c r="F734" s="28" t="str">
        <f>IF(D734="","",VLOOKUP(D734,'[1]0.1 Produksi Pangan &amp; Penduduk'!$D$5:$Y$860,22,0))</f>
        <v/>
      </c>
      <c r="G734" s="30" t="str">
        <f t="shared" si="55"/>
        <v/>
      </c>
      <c r="H734" s="30" t="str">
        <f t="shared" si="56"/>
        <v/>
      </c>
      <c r="I734" s="30" t="str">
        <f t="shared" si="57"/>
        <v/>
      </c>
      <c r="J734" s="30" t="str">
        <f t="shared" si="58"/>
        <v/>
      </c>
      <c r="K734" s="30" t="str">
        <f t="shared" si="59"/>
        <v/>
      </c>
    </row>
    <row r="735" spans="1:11" ht="15" x14ac:dyDescent="0.25">
      <c r="A735" s="1" t="str">
        <f>IF('1.1 Produksi Bersih Padi 2025'!A735="","",'1.1 Produksi Bersih Padi 2025'!A735)</f>
        <v/>
      </c>
      <c r="B735" s="31" t="str">
        <f>IF('1.1 Produksi Bersih Padi 2025'!B735="","",'1.1 Produksi Bersih Padi 2025'!B735)</f>
        <v/>
      </c>
      <c r="C735" s="31" t="str">
        <f>IF('1.1 Produksi Bersih Padi 2025'!C735="","",'1.1 Produksi Bersih Padi 2025'!C735)</f>
        <v/>
      </c>
      <c r="D735" s="1" t="str">
        <f>IF('1.1 Produksi Bersih Padi 2025'!D735="","",'1.1 Produksi Bersih Padi 2025'!D735)</f>
        <v/>
      </c>
      <c r="E735" s="1" t="str">
        <f>IF('1.1 Produksi Bersih Padi 2025'!E735="","",'1.1 Produksi Bersih Padi 2025'!E735)</f>
        <v/>
      </c>
      <c r="F735" s="28" t="str">
        <f>IF(D735="","",VLOOKUP(D735,'[1]0.1 Produksi Pangan &amp; Penduduk'!$D$5:$Y$860,22,0))</f>
        <v/>
      </c>
      <c r="G735" s="30" t="str">
        <f t="shared" si="55"/>
        <v/>
      </c>
      <c r="H735" s="30" t="str">
        <f t="shared" si="56"/>
        <v/>
      </c>
      <c r="I735" s="30" t="str">
        <f t="shared" si="57"/>
        <v/>
      </c>
      <c r="J735" s="30" t="str">
        <f t="shared" si="58"/>
        <v/>
      </c>
      <c r="K735" s="30" t="str">
        <f t="shared" si="59"/>
        <v/>
      </c>
    </row>
    <row r="736" spans="1:11" ht="15" x14ac:dyDescent="0.25">
      <c r="A736" s="1" t="str">
        <f>IF('1.1 Produksi Bersih Padi 2025'!A736="","",'1.1 Produksi Bersih Padi 2025'!A736)</f>
        <v/>
      </c>
      <c r="B736" s="31" t="str">
        <f>IF('1.1 Produksi Bersih Padi 2025'!B736="","",'1.1 Produksi Bersih Padi 2025'!B736)</f>
        <v/>
      </c>
      <c r="C736" s="31" t="str">
        <f>IF('1.1 Produksi Bersih Padi 2025'!C736="","",'1.1 Produksi Bersih Padi 2025'!C736)</f>
        <v/>
      </c>
      <c r="D736" s="1" t="str">
        <f>IF('1.1 Produksi Bersih Padi 2025'!D736="","",'1.1 Produksi Bersih Padi 2025'!D736)</f>
        <v/>
      </c>
      <c r="E736" s="1" t="str">
        <f>IF('1.1 Produksi Bersih Padi 2025'!E736="","",'1.1 Produksi Bersih Padi 2025'!E736)</f>
        <v/>
      </c>
      <c r="F736" s="28" t="str">
        <f>IF(D736="","",VLOOKUP(D736,'[1]0.1 Produksi Pangan &amp; Penduduk'!$D$5:$Y$860,22,0))</f>
        <v/>
      </c>
      <c r="G736" s="30" t="str">
        <f t="shared" si="55"/>
        <v/>
      </c>
      <c r="H736" s="30" t="str">
        <f t="shared" si="56"/>
        <v/>
      </c>
      <c r="I736" s="30" t="str">
        <f t="shared" si="57"/>
        <v/>
      </c>
      <c r="J736" s="30" t="str">
        <f t="shared" si="58"/>
        <v/>
      </c>
      <c r="K736" s="30" t="str">
        <f t="shared" si="59"/>
        <v/>
      </c>
    </row>
    <row r="737" spans="1:11" ht="15" x14ac:dyDescent="0.25">
      <c r="A737" s="1" t="str">
        <f>IF('1.1 Produksi Bersih Padi 2025'!A737="","",'1.1 Produksi Bersih Padi 2025'!A737)</f>
        <v/>
      </c>
      <c r="B737" s="31" t="str">
        <f>IF('1.1 Produksi Bersih Padi 2025'!B737="","",'1.1 Produksi Bersih Padi 2025'!B737)</f>
        <v/>
      </c>
      <c r="C737" s="31" t="str">
        <f>IF('1.1 Produksi Bersih Padi 2025'!C737="","",'1.1 Produksi Bersih Padi 2025'!C737)</f>
        <v/>
      </c>
      <c r="D737" s="1" t="str">
        <f>IF('1.1 Produksi Bersih Padi 2025'!D737="","",'1.1 Produksi Bersih Padi 2025'!D737)</f>
        <v/>
      </c>
      <c r="E737" s="1" t="str">
        <f>IF('1.1 Produksi Bersih Padi 2025'!E737="","",'1.1 Produksi Bersih Padi 2025'!E737)</f>
        <v/>
      </c>
      <c r="F737" s="28" t="str">
        <f>IF(D737="","",VLOOKUP(D737,'[1]0.1 Produksi Pangan &amp; Penduduk'!$D$5:$Y$860,22,0))</f>
        <v/>
      </c>
      <c r="G737" s="30" t="str">
        <f t="shared" si="55"/>
        <v/>
      </c>
      <c r="H737" s="30" t="str">
        <f t="shared" si="56"/>
        <v/>
      </c>
      <c r="I737" s="30" t="str">
        <f t="shared" si="57"/>
        <v/>
      </c>
      <c r="J737" s="30" t="str">
        <f t="shared" si="58"/>
        <v/>
      </c>
      <c r="K737" s="30" t="str">
        <f t="shared" si="59"/>
        <v/>
      </c>
    </row>
    <row r="738" spans="1:11" ht="15" x14ac:dyDescent="0.25">
      <c r="A738" s="1" t="str">
        <f>IF('1.1 Produksi Bersih Padi 2025'!A738="","",'1.1 Produksi Bersih Padi 2025'!A738)</f>
        <v/>
      </c>
      <c r="B738" s="31" t="str">
        <f>IF('1.1 Produksi Bersih Padi 2025'!B738="","",'1.1 Produksi Bersih Padi 2025'!B738)</f>
        <v/>
      </c>
      <c r="C738" s="31" t="str">
        <f>IF('1.1 Produksi Bersih Padi 2025'!C738="","",'1.1 Produksi Bersih Padi 2025'!C738)</f>
        <v/>
      </c>
      <c r="D738" s="1" t="str">
        <f>IF('1.1 Produksi Bersih Padi 2025'!D738="","",'1.1 Produksi Bersih Padi 2025'!D738)</f>
        <v/>
      </c>
      <c r="E738" s="1" t="str">
        <f>IF('1.1 Produksi Bersih Padi 2025'!E738="","",'1.1 Produksi Bersih Padi 2025'!E738)</f>
        <v/>
      </c>
      <c r="F738" s="28" t="str">
        <f>IF(D738="","",VLOOKUP(D738,'[1]0.1 Produksi Pangan &amp; Penduduk'!$D$5:$Y$860,22,0))</f>
        <v/>
      </c>
      <c r="G738" s="30" t="str">
        <f t="shared" si="55"/>
        <v/>
      </c>
      <c r="H738" s="30" t="str">
        <f t="shared" si="56"/>
        <v/>
      </c>
      <c r="I738" s="30" t="str">
        <f t="shared" si="57"/>
        <v/>
      </c>
      <c r="J738" s="30" t="str">
        <f t="shared" si="58"/>
        <v/>
      </c>
      <c r="K738" s="30" t="str">
        <f t="shared" si="59"/>
        <v/>
      </c>
    </row>
    <row r="739" spans="1:11" ht="15" x14ac:dyDescent="0.25">
      <c r="A739" s="1" t="str">
        <f>IF('1.1 Produksi Bersih Padi 2025'!A739="","",'1.1 Produksi Bersih Padi 2025'!A739)</f>
        <v/>
      </c>
      <c r="B739" s="31" t="str">
        <f>IF('1.1 Produksi Bersih Padi 2025'!B739="","",'1.1 Produksi Bersih Padi 2025'!B739)</f>
        <v/>
      </c>
      <c r="C739" s="31" t="str">
        <f>IF('1.1 Produksi Bersih Padi 2025'!C739="","",'1.1 Produksi Bersih Padi 2025'!C739)</f>
        <v/>
      </c>
      <c r="D739" s="1" t="str">
        <f>IF('1.1 Produksi Bersih Padi 2025'!D739="","",'1.1 Produksi Bersih Padi 2025'!D739)</f>
        <v/>
      </c>
      <c r="E739" s="1" t="str">
        <f>IF('1.1 Produksi Bersih Padi 2025'!E739="","",'1.1 Produksi Bersih Padi 2025'!E739)</f>
        <v/>
      </c>
      <c r="F739" s="28" t="str">
        <f>IF(D739="","",VLOOKUP(D739,'[1]0.1 Produksi Pangan &amp; Penduduk'!$D$5:$Y$860,22,0))</f>
        <v/>
      </c>
      <c r="G739" s="30" t="str">
        <f t="shared" si="55"/>
        <v/>
      </c>
      <c r="H739" s="30" t="str">
        <f t="shared" si="56"/>
        <v/>
      </c>
      <c r="I739" s="30" t="str">
        <f t="shared" si="57"/>
        <v/>
      </c>
      <c r="J739" s="30" t="str">
        <f t="shared" si="58"/>
        <v/>
      </c>
      <c r="K739" s="30" t="str">
        <f t="shared" si="59"/>
        <v/>
      </c>
    </row>
    <row r="740" spans="1:11" ht="15" x14ac:dyDescent="0.25">
      <c r="A740" s="1" t="str">
        <f>IF('1.1 Produksi Bersih Padi 2025'!A740="","",'1.1 Produksi Bersih Padi 2025'!A740)</f>
        <v/>
      </c>
      <c r="B740" s="31" t="str">
        <f>IF('1.1 Produksi Bersih Padi 2025'!B740="","",'1.1 Produksi Bersih Padi 2025'!B740)</f>
        <v/>
      </c>
      <c r="C740" s="31" t="str">
        <f>IF('1.1 Produksi Bersih Padi 2025'!C740="","",'1.1 Produksi Bersih Padi 2025'!C740)</f>
        <v/>
      </c>
      <c r="D740" s="1" t="str">
        <f>IF('1.1 Produksi Bersih Padi 2025'!D740="","",'1.1 Produksi Bersih Padi 2025'!D740)</f>
        <v/>
      </c>
      <c r="E740" s="1" t="str">
        <f>IF('1.1 Produksi Bersih Padi 2025'!E740="","",'1.1 Produksi Bersih Padi 2025'!E740)</f>
        <v/>
      </c>
      <c r="F740" s="28" t="str">
        <f>IF(D740="","",VLOOKUP(D740,'[1]0.1 Produksi Pangan &amp; Penduduk'!$D$5:$Y$860,22,0))</f>
        <v/>
      </c>
      <c r="G740" s="30" t="str">
        <f t="shared" si="55"/>
        <v/>
      </c>
      <c r="H740" s="30" t="str">
        <f t="shared" si="56"/>
        <v/>
      </c>
      <c r="I740" s="30" t="str">
        <f t="shared" si="57"/>
        <v/>
      </c>
      <c r="J740" s="30" t="str">
        <f t="shared" si="58"/>
        <v/>
      </c>
      <c r="K740" s="30" t="str">
        <f t="shared" si="59"/>
        <v/>
      </c>
    </row>
    <row r="741" spans="1:11" ht="15" x14ac:dyDescent="0.25">
      <c r="A741" s="1" t="str">
        <f>IF('1.1 Produksi Bersih Padi 2025'!A741="","",'1.1 Produksi Bersih Padi 2025'!A741)</f>
        <v/>
      </c>
      <c r="B741" s="31" t="str">
        <f>IF('1.1 Produksi Bersih Padi 2025'!B741="","",'1.1 Produksi Bersih Padi 2025'!B741)</f>
        <v/>
      </c>
      <c r="C741" s="31" t="str">
        <f>IF('1.1 Produksi Bersih Padi 2025'!C741="","",'1.1 Produksi Bersih Padi 2025'!C741)</f>
        <v/>
      </c>
      <c r="D741" s="1" t="str">
        <f>IF('1.1 Produksi Bersih Padi 2025'!D741="","",'1.1 Produksi Bersih Padi 2025'!D741)</f>
        <v/>
      </c>
      <c r="E741" s="1" t="str">
        <f>IF('1.1 Produksi Bersih Padi 2025'!E741="","",'1.1 Produksi Bersih Padi 2025'!E741)</f>
        <v/>
      </c>
      <c r="F741" s="28" t="str">
        <f>IF(D741="","",VLOOKUP(D741,'[1]0.1 Produksi Pangan &amp; Penduduk'!$D$5:$Y$860,22,0))</f>
        <v/>
      </c>
      <c r="G741" s="30" t="str">
        <f t="shared" si="55"/>
        <v/>
      </c>
      <c r="H741" s="30" t="str">
        <f t="shared" si="56"/>
        <v/>
      </c>
      <c r="I741" s="30" t="str">
        <f t="shared" si="57"/>
        <v/>
      </c>
      <c r="J741" s="30" t="str">
        <f t="shared" si="58"/>
        <v/>
      </c>
      <c r="K741" s="30" t="str">
        <f t="shared" si="59"/>
        <v/>
      </c>
    </row>
    <row r="742" spans="1:11" ht="15" x14ac:dyDescent="0.25">
      <c r="A742" s="1" t="str">
        <f>IF('1.1 Produksi Bersih Padi 2025'!A742="","",'1.1 Produksi Bersih Padi 2025'!A742)</f>
        <v/>
      </c>
      <c r="B742" s="31" t="str">
        <f>IF('1.1 Produksi Bersih Padi 2025'!B742="","",'1.1 Produksi Bersih Padi 2025'!B742)</f>
        <v/>
      </c>
      <c r="C742" s="31" t="str">
        <f>IF('1.1 Produksi Bersih Padi 2025'!C742="","",'1.1 Produksi Bersih Padi 2025'!C742)</f>
        <v/>
      </c>
      <c r="D742" s="1" t="str">
        <f>IF('1.1 Produksi Bersih Padi 2025'!D742="","",'1.1 Produksi Bersih Padi 2025'!D742)</f>
        <v/>
      </c>
      <c r="E742" s="1" t="str">
        <f>IF('1.1 Produksi Bersih Padi 2025'!E742="","",'1.1 Produksi Bersih Padi 2025'!E742)</f>
        <v/>
      </c>
      <c r="F742" s="28" t="str">
        <f>IF(D742="","",VLOOKUP(D742,'[1]0.1 Produksi Pangan &amp; Penduduk'!$D$5:$Y$860,22,0))</f>
        <v/>
      </c>
      <c r="G742" s="30" t="str">
        <f t="shared" si="55"/>
        <v/>
      </c>
      <c r="H742" s="30" t="str">
        <f t="shared" si="56"/>
        <v/>
      </c>
      <c r="I742" s="30" t="str">
        <f t="shared" si="57"/>
        <v/>
      </c>
      <c r="J742" s="30" t="str">
        <f t="shared" si="58"/>
        <v/>
      </c>
      <c r="K742" s="30" t="str">
        <f t="shared" si="59"/>
        <v/>
      </c>
    </row>
    <row r="743" spans="1:11" ht="15" x14ac:dyDescent="0.25">
      <c r="A743" s="1" t="str">
        <f>IF('1.1 Produksi Bersih Padi 2025'!A743="","",'1.1 Produksi Bersih Padi 2025'!A743)</f>
        <v/>
      </c>
      <c r="B743" s="31" t="str">
        <f>IF('1.1 Produksi Bersih Padi 2025'!B743="","",'1.1 Produksi Bersih Padi 2025'!B743)</f>
        <v/>
      </c>
      <c r="C743" s="31" t="str">
        <f>IF('1.1 Produksi Bersih Padi 2025'!C743="","",'1.1 Produksi Bersih Padi 2025'!C743)</f>
        <v/>
      </c>
      <c r="D743" s="1" t="str">
        <f>IF('1.1 Produksi Bersih Padi 2025'!D743="","",'1.1 Produksi Bersih Padi 2025'!D743)</f>
        <v/>
      </c>
      <c r="E743" s="1" t="str">
        <f>IF('1.1 Produksi Bersih Padi 2025'!E743="","",'1.1 Produksi Bersih Padi 2025'!E743)</f>
        <v/>
      </c>
      <c r="F743" s="28" t="str">
        <f>IF(D743="","",VLOOKUP(D743,'[1]0.1 Produksi Pangan &amp; Penduduk'!$D$5:$Y$860,22,0))</f>
        <v/>
      </c>
      <c r="G743" s="30" t="str">
        <f t="shared" si="55"/>
        <v/>
      </c>
      <c r="H743" s="30" t="str">
        <f t="shared" si="56"/>
        <v/>
      </c>
      <c r="I743" s="30" t="str">
        <f t="shared" si="57"/>
        <v/>
      </c>
      <c r="J743" s="30" t="str">
        <f t="shared" si="58"/>
        <v/>
      </c>
      <c r="K743" s="30" t="str">
        <f t="shared" si="59"/>
        <v/>
      </c>
    </row>
    <row r="744" spans="1:11" ht="15" x14ac:dyDescent="0.25">
      <c r="A744" s="1" t="str">
        <f>IF('1.1 Produksi Bersih Padi 2025'!A744="","",'1.1 Produksi Bersih Padi 2025'!A744)</f>
        <v/>
      </c>
      <c r="B744" s="31" t="str">
        <f>IF('1.1 Produksi Bersih Padi 2025'!B744="","",'1.1 Produksi Bersih Padi 2025'!B744)</f>
        <v/>
      </c>
      <c r="C744" s="31" t="str">
        <f>IF('1.1 Produksi Bersih Padi 2025'!C744="","",'1.1 Produksi Bersih Padi 2025'!C744)</f>
        <v/>
      </c>
      <c r="D744" s="1" t="str">
        <f>IF('1.1 Produksi Bersih Padi 2025'!D744="","",'1.1 Produksi Bersih Padi 2025'!D744)</f>
        <v/>
      </c>
      <c r="E744" s="1" t="str">
        <f>IF('1.1 Produksi Bersih Padi 2025'!E744="","",'1.1 Produksi Bersih Padi 2025'!E744)</f>
        <v/>
      </c>
      <c r="F744" s="28" t="str">
        <f>IF(D744="","",VLOOKUP(D744,'[1]0.1 Produksi Pangan &amp; Penduduk'!$D$5:$Y$860,22,0))</f>
        <v/>
      </c>
      <c r="G744" s="30" t="str">
        <f t="shared" si="55"/>
        <v/>
      </c>
      <c r="H744" s="30" t="str">
        <f t="shared" si="56"/>
        <v/>
      </c>
      <c r="I744" s="30" t="str">
        <f t="shared" si="57"/>
        <v/>
      </c>
      <c r="J744" s="30" t="str">
        <f t="shared" si="58"/>
        <v/>
      </c>
      <c r="K744" s="30" t="str">
        <f t="shared" si="59"/>
        <v/>
      </c>
    </row>
    <row r="745" spans="1:11" ht="15" x14ac:dyDescent="0.25">
      <c r="A745" s="1" t="str">
        <f>IF('1.1 Produksi Bersih Padi 2025'!A745="","",'1.1 Produksi Bersih Padi 2025'!A745)</f>
        <v/>
      </c>
      <c r="B745" s="31" t="str">
        <f>IF('1.1 Produksi Bersih Padi 2025'!B745="","",'1.1 Produksi Bersih Padi 2025'!B745)</f>
        <v/>
      </c>
      <c r="C745" s="31" t="str">
        <f>IF('1.1 Produksi Bersih Padi 2025'!C745="","",'1.1 Produksi Bersih Padi 2025'!C745)</f>
        <v/>
      </c>
      <c r="D745" s="1" t="str">
        <f>IF('1.1 Produksi Bersih Padi 2025'!D745="","",'1.1 Produksi Bersih Padi 2025'!D745)</f>
        <v/>
      </c>
      <c r="E745" s="1" t="str">
        <f>IF('1.1 Produksi Bersih Padi 2025'!E745="","",'1.1 Produksi Bersih Padi 2025'!E745)</f>
        <v/>
      </c>
      <c r="F745" s="28" t="str">
        <f>IF(D745="","",VLOOKUP(D745,'[1]0.1 Produksi Pangan &amp; Penduduk'!$D$5:$Y$860,22,0))</f>
        <v/>
      </c>
      <c r="G745" s="30" t="str">
        <f t="shared" si="55"/>
        <v/>
      </c>
      <c r="H745" s="30" t="str">
        <f t="shared" si="56"/>
        <v/>
      </c>
      <c r="I745" s="30" t="str">
        <f t="shared" si="57"/>
        <v/>
      </c>
      <c r="J745" s="30" t="str">
        <f t="shared" si="58"/>
        <v/>
      </c>
      <c r="K745" s="30" t="str">
        <f t="shared" si="59"/>
        <v/>
      </c>
    </row>
    <row r="746" spans="1:11" ht="15" x14ac:dyDescent="0.25">
      <c r="A746" s="1" t="str">
        <f>IF('1.1 Produksi Bersih Padi 2025'!A746="","",'1.1 Produksi Bersih Padi 2025'!A746)</f>
        <v/>
      </c>
      <c r="B746" s="31" t="str">
        <f>IF('1.1 Produksi Bersih Padi 2025'!B746="","",'1.1 Produksi Bersih Padi 2025'!B746)</f>
        <v/>
      </c>
      <c r="C746" s="31" t="str">
        <f>IF('1.1 Produksi Bersih Padi 2025'!C746="","",'1.1 Produksi Bersih Padi 2025'!C746)</f>
        <v/>
      </c>
      <c r="D746" s="1" t="str">
        <f>IF('1.1 Produksi Bersih Padi 2025'!D746="","",'1.1 Produksi Bersih Padi 2025'!D746)</f>
        <v/>
      </c>
      <c r="E746" s="1" t="str">
        <f>IF('1.1 Produksi Bersih Padi 2025'!E746="","",'1.1 Produksi Bersih Padi 2025'!E746)</f>
        <v/>
      </c>
      <c r="F746" s="28" t="str">
        <f>IF(D746="","",VLOOKUP(D746,'[1]0.1 Produksi Pangan &amp; Penduduk'!$D$5:$Y$860,22,0))</f>
        <v/>
      </c>
      <c r="G746" s="30" t="str">
        <f t="shared" si="55"/>
        <v/>
      </c>
      <c r="H746" s="30" t="str">
        <f t="shared" si="56"/>
        <v/>
      </c>
      <c r="I746" s="30" t="str">
        <f t="shared" si="57"/>
        <v/>
      </c>
      <c r="J746" s="30" t="str">
        <f t="shared" si="58"/>
        <v/>
      </c>
      <c r="K746" s="30" t="str">
        <f t="shared" si="59"/>
        <v/>
      </c>
    </row>
    <row r="747" spans="1:11" ht="15" x14ac:dyDescent="0.25">
      <c r="A747" s="1" t="str">
        <f>IF('1.1 Produksi Bersih Padi 2025'!A747="","",'1.1 Produksi Bersih Padi 2025'!A747)</f>
        <v/>
      </c>
      <c r="B747" s="31" t="str">
        <f>IF('1.1 Produksi Bersih Padi 2025'!B747="","",'1.1 Produksi Bersih Padi 2025'!B747)</f>
        <v/>
      </c>
      <c r="C747" s="31" t="str">
        <f>IF('1.1 Produksi Bersih Padi 2025'!C747="","",'1.1 Produksi Bersih Padi 2025'!C747)</f>
        <v/>
      </c>
      <c r="D747" s="1" t="str">
        <f>IF('1.1 Produksi Bersih Padi 2025'!D747="","",'1.1 Produksi Bersih Padi 2025'!D747)</f>
        <v/>
      </c>
      <c r="E747" s="1" t="str">
        <f>IF('1.1 Produksi Bersih Padi 2025'!E747="","",'1.1 Produksi Bersih Padi 2025'!E747)</f>
        <v/>
      </c>
      <c r="F747" s="28" t="str">
        <f>IF(D747="","",VLOOKUP(D747,'[1]0.1 Produksi Pangan &amp; Penduduk'!$D$5:$Y$860,22,0))</f>
        <v/>
      </c>
      <c r="G747" s="30" t="str">
        <f t="shared" si="55"/>
        <v/>
      </c>
      <c r="H747" s="30" t="str">
        <f t="shared" si="56"/>
        <v/>
      </c>
      <c r="I747" s="30" t="str">
        <f t="shared" si="57"/>
        <v/>
      </c>
      <c r="J747" s="30" t="str">
        <f t="shared" si="58"/>
        <v/>
      </c>
      <c r="K747" s="30" t="str">
        <f t="shared" si="59"/>
        <v/>
      </c>
    </row>
    <row r="748" spans="1:11" ht="15" x14ac:dyDescent="0.25">
      <c r="A748" s="1" t="str">
        <f>IF('1.1 Produksi Bersih Padi 2025'!A748="","",'1.1 Produksi Bersih Padi 2025'!A748)</f>
        <v/>
      </c>
      <c r="B748" s="31" t="str">
        <f>IF('1.1 Produksi Bersih Padi 2025'!B748="","",'1.1 Produksi Bersih Padi 2025'!B748)</f>
        <v/>
      </c>
      <c r="C748" s="31" t="str">
        <f>IF('1.1 Produksi Bersih Padi 2025'!C748="","",'1.1 Produksi Bersih Padi 2025'!C748)</f>
        <v/>
      </c>
      <c r="D748" s="1" t="str">
        <f>IF('1.1 Produksi Bersih Padi 2025'!D748="","",'1.1 Produksi Bersih Padi 2025'!D748)</f>
        <v/>
      </c>
      <c r="E748" s="1" t="str">
        <f>IF('1.1 Produksi Bersih Padi 2025'!E748="","",'1.1 Produksi Bersih Padi 2025'!E748)</f>
        <v/>
      </c>
      <c r="F748" s="28" t="str">
        <f>IF(D748="","",VLOOKUP(D748,'[1]0.1 Produksi Pangan &amp; Penduduk'!$D$5:$Y$860,22,0))</f>
        <v/>
      </c>
      <c r="G748" s="30" t="str">
        <f t="shared" si="55"/>
        <v/>
      </c>
      <c r="H748" s="30" t="str">
        <f t="shared" si="56"/>
        <v/>
      </c>
      <c r="I748" s="30" t="str">
        <f t="shared" si="57"/>
        <v/>
      </c>
      <c r="J748" s="30" t="str">
        <f t="shared" si="58"/>
        <v/>
      </c>
      <c r="K748" s="30" t="str">
        <f t="shared" si="59"/>
        <v/>
      </c>
    </row>
    <row r="749" spans="1:11" ht="15" x14ac:dyDescent="0.25">
      <c r="A749" s="1" t="str">
        <f>IF('1.1 Produksi Bersih Padi 2025'!A749="","",'1.1 Produksi Bersih Padi 2025'!A749)</f>
        <v/>
      </c>
      <c r="B749" s="31" t="str">
        <f>IF('1.1 Produksi Bersih Padi 2025'!B749="","",'1.1 Produksi Bersih Padi 2025'!B749)</f>
        <v/>
      </c>
      <c r="C749" s="31" t="str">
        <f>IF('1.1 Produksi Bersih Padi 2025'!C749="","",'1.1 Produksi Bersih Padi 2025'!C749)</f>
        <v/>
      </c>
      <c r="D749" s="1" t="str">
        <f>IF('1.1 Produksi Bersih Padi 2025'!D749="","",'1.1 Produksi Bersih Padi 2025'!D749)</f>
        <v/>
      </c>
      <c r="E749" s="1" t="str">
        <f>IF('1.1 Produksi Bersih Padi 2025'!E749="","",'1.1 Produksi Bersih Padi 2025'!E749)</f>
        <v/>
      </c>
      <c r="F749" s="28" t="str">
        <f>IF(D749="","",VLOOKUP(D749,'[1]0.1 Produksi Pangan &amp; Penduduk'!$D$5:$Y$860,22,0))</f>
        <v/>
      </c>
      <c r="G749" s="30" t="str">
        <f t="shared" si="55"/>
        <v/>
      </c>
      <c r="H749" s="30" t="str">
        <f t="shared" si="56"/>
        <v/>
      </c>
      <c r="I749" s="30" t="str">
        <f t="shared" si="57"/>
        <v/>
      </c>
      <c r="J749" s="30" t="str">
        <f t="shared" si="58"/>
        <v/>
      </c>
      <c r="K749" s="30" t="str">
        <f t="shared" si="59"/>
        <v/>
      </c>
    </row>
    <row r="750" spans="1:11" ht="15" x14ac:dyDescent="0.25">
      <c r="A750" s="1" t="str">
        <f>IF('1.1 Produksi Bersih Padi 2025'!A750="","",'1.1 Produksi Bersih Padi 2025'!A750)</f>
        <v/>
      </c>
      <c r="B750" s="31" t="str">
        <f>IF('1.1 Produksi Bersih Padi 2025'!B750="","",'1.1 Produksi Bersih Padi 2025'!B750)</f>
        <v/>
      </c>
      <c r="C750" s="31" t="str">
        <f>IF('1.1 Produksi Bersih Padi 2025'!C750="","",'1.1 Produksi Bersih Padi 2025'!C750)</f>
        <v/>
      </c>
      <c r="D750" s="1" t="str">
        <f>IF('1.1 Produksi Bersih Padi 2025'!D750="","",'1.1 Produksi Bersih Padi 2025'!D750)</f>
        <v/>
      </c>
      <c r="E750" s="1" t="str">
        <f>IF('1.1 Produksi Bersih Padi 2025'!E750="","",'1.1 Produksi Bersih Padi 2025'!E750)</f>
        <v/>
      </c>
      <c r="F750" s="28" t="str">
        <f>IF(D750="","",VLOOKUP(D750,'[1]0.1 Produksi Pangan &amp; Penduduk'!$D$5:$Y$860,22,0))</f>
        <v/>
      </c>
      <c r="G750" s="30" t="str">
        <f t="shared" si="55"/>
        <v/>
      </c>
      <c r="H750" s="30" t="str">
        <f t="shared" si="56"/>
        <v/>
      </c>
      <c r="I750" s="30" t="str">
        <f t="shared" si="57"/>
        <v/>
      </c>
      <c r="J750" s="30" t="str">
        <f t="shared" si="58"/>
        <v/>
      </c>
      <c r="K750" s="30" t="str">
        <f t="shared" si="59"/>
        <v/>
      </c>
    </row>
    <row r="751" spans="1:11" ht="15" x14ac:dyDescent="0.25">
      <c r="A751" s="1" t="str">
        <f>IF('1.1 Produksi Bersih Padi 2025'!A751="","",'1.1 Produksi Bersih Padi 2025'!A751)</f>
        <v/>
      </c>
      <c r="B751" s="31" t="str">
        <f>IF('1.1 Produksi Bersih Padi 2025'!B751="","",'1.1 Produksi Bersih Padi 2025'!B751)</f>
        <v/>
      </c>
      <c r="C751" s="31" t="str">
        <f>IF('1.1 Produksi Bersih Padi 2025'!C751="","",'1.1 Produksi Bersih Padi 2025'!C751)</f>
        <v/>
      </c>
      <c r="D751" s="1" t="str">
        <f>IF('1.1 Produksi Bersih Padi 2025'!D751="","",'1.1 Produksi Bersih Padi 2025'!D751)</f>
        <v/>
      </c>
      <c r="E751" s="1" t="str">
        <f>IF('1.1 Produksi Bersih Padi 2025'!E751="","",'1.1 Produksi Bersih Padi 2025'!E751)</f>
        <v/>
      </c>
      <c r="F751" s="28" t="str">
        <f>IF(D751="","",VLOOKUP(D751,'[1]0.1 Produksi Pangan &amp; Penduduk'!$D$5:$Y$860,22,0))</f>
        <v/>
      </c>
      <c r="G751" s="30" t="str">
        <f t="shared" si="55"/>
        <v/>
      </c>
      <c r="H751" s="30" t="str">
        <f t="shared" si="56"/>
        <v/>
      </c>
      <c r="I751" s="30" t="str">
        <f t="shared" si="57"/>
        <v/>
      </c>
      <c r="J751" s="30" t="str">
        <f t="shared" si="58"/>
        <v/>
      </c>
      <c r="K751" s="30" t="str">
        <f t="shared" si="59"/>
        <v/>
      </c>
    </row>
    <row r="752" spans="1:11" ht="15" x14ac:dyDescent="0.25">
      <c r="A752" s="1" t="str">
        <f>IF('1.1 Produksi Bersih Padi 2025'!A752="","",'1.1 Produksi Bersih Padi 2025'!A752)</f>
        <v/>
      </c>
      <c r="B752" s="31" t="str">
        <f>IF('1.1 Produksi Bersih Padi 2025'!B752="","",'1.1 Produksi Bersih Padi 2025'!B752)</f>
        <v/>
      </c>
      <c r="C752" s="31" t="str">
        <f>IF('1.1 Produksi Bersih Padi 2025'!C752="","",'1.1 Produksi Bersih Padi 2025'!C752)</f>
        <v/>
      </c>
      <c r="D752" s="1" t="str">
        <f>IF('1.1 Produksi Bersih Padi 2025'!D752="","",'1.1 Produksi Bersih Padi 2025'!D752)</f>
        <v/>
      </c>
      <c r="E752" s="1" t="str">
        <f>IF('1.1 Produksi Bersih Padi 2025'!E752="","",'1.1 Produksi Bersih Padi 2025'!E752)</f>
        <v/>
      </c>
      <c r="F752" s="28" t="str">
        <f>IF(D752="","",VLOOKUP(D752,'[1]0.1 Produksi Pangan &amp; Penduduk'!$D$5:$Y$860,22,0))</f>
        <v/>
      </c>
      <c r="G752" s="30" t="str">
        <f t="shared" si="55"/>
        <v/>
      </c>
      <c r="H752" s="30" t="str">
        <f t="shared" si="56"/>
        <v/>
      </c>
      <c r="I752" s="30" t="str">
        <f t="shared" si="57"/>
        <v/>
      </c>
      <c r="J752" s="30" t="str">
        <f t="shared" si="58"/>
        <v/>
      </c>
      <c r="K752" s="30" t="str">
        <f t="shared" si="59"/>
        <v/>
      </c>
    </row>
    <row r="753" spans="1:11" ht="15" x14ac:dyDescent="0.25">
      <c r="A753" s="1" t="str">
        <f>IF('1.1 Produksi Bersih Padi 2025'!A753="","",'1.1 Produksi Bersih Padi 2025'!A753)</f>
        <v/>
      </c>
      <c r="B753" s="31" t="str">
        <f>IF('1.1 Produksi Bersih Padi 2025'!B753="","",'1.1 Produksi Bersih Padi 2025'!B753)</f>
        <v/>
      </c>
      <c r="C753" s="31" t="str">
        <f>IF('1.1 Produksi Bersih Padi 2025'!C753="","",'1.1 Produksi Bersih Padi 2025'!C753)</f>
        <v/>
      </c>
      <c r="D753" s="1" t="str">
        <f>IF('1.1 Produksi Bersih Padi 2025'!D753="","",'1.1 Produksi Bersih Padi 2025'!D753)</f>
        <v/>
      </c>
      <c r="E753" s="1" t="str">
        <f>IF('1.1 Produksi Bersih Padi 2025'!E753="","",'1.1 Produksi Bersih Padi 2025'!E753)</f>
        <v/>
      </c>
      <c r="F753" s="28" t="str">
        <f>IF(D753="","",VLOOKUP(D753,'[1]0.1 Produksi Pangan &amp; Penduduk'!$D$5:$Y$860,22,0))</f>
        <v/>
      </c>
      <c r="G753" s="30" t="str">
        <f t="shared" si="55"/>
        <v/>
      </c>
      <c r="H753" s="30" t="str">
        <f t="shared" si="56"/>
        <v/>
      </c>
      <c r="I753" s="30" t="str">
        <f t="shared" si="57"/>
        <v/>
      </c>
      <c r="J753" s="30" t="str">
        <f t="shared" si="58"/>
        <v/>
      </c>
      <c r="K753" s="30" t="str">
        <f t="shared" si="59"/>
        <v/>
      </c>
    </row>
    <row r="754" spans="1:11" ht="15" x14ac:dyDescent="0.25">
      <c r="A754" s="1" t="str">
        <f>IF('1.1 Produksi Bersih Padi 2025'!A754="","",'1.1 Produksi Bersih Padi 2025'!A754)</f>
        <v/>
      </c>
      <c r="B754" s="31" t="str">
        <f>IF('1.1 Produksi Bersih Padi 2025'!B754="","",'1.1 Produksi Bersih Padi 2025'!B754)</f>
        <v/>
      </c>
      <c r="C754" s="31" t="str">
        <f>IF('1.1 Produksi Bersih Padi 2025'!C754="","",'1.1 Produksi Bersih Padi 2025'!C754)</f>
        <v/>
      </c>
      <c r="D754" s="1" t="str">
        <f>IF('1.1 Produksi Bersih Padi 2025'!D754="","",'1.1 Produksi Bersih Padi 2025'!D754)</f>
        <v/>
      </c>
      <c r="E754" s="1" t="str">
        <f>IF('1.1 Produksi Bersih Padi 2025'!E754="","",'1.1 Produksi Bersih Padi 2025'!E754)</f>
        <v/>
      </c>
      <c r="F754" s="28" t="str">
        <f>IF(D754="","",VLOOKUP(D754,'[1]0.1 Produksi Pangan &amp; Penduduk'!$D$5:$Y$860,22,0))</f>
        <v/>
      </c>
      <c r="G754" s="30" t="str">
        <f t="shared" si="55"/>
        <v/>
      </c>
      <c r="H754" s="30" t="str">
        <f t="shared" si="56"/>
        <v/>
      </c>
      <c r="I754" s="30" t="str">
        <f t="shared" si="57"/>
        <v/>
      </c>
      <c r="J754" s="30" t="str">
        <f t="shared" si="58"/>
        <v/>
      </c>
      <c r="K754" s="30" t="str">
        <f t="shared" si="59"/>
        <v/>
      </c>
    </row>
    <row r="755" spans="1:11" ht="15" x14ac:dyDescent="0.25">
      <c r="A755" s="1" t="str">
        <f>IF('1.1 Produksi Bersih Padi 2025'!A755="","",'1.1 Produksi Bersih Padi 2025'!A755)</f>
        <v/>
      </c>
      <c r="B755" s="31" t="str">
        <f>IF('1.1 Produksi Bersih Padi 2025'!B755="","",'1.1 Produksi Bersih Padi 2025'!B755)</f>
        <v/>
      </c>
      <c r="C755" s="31" t="str">
        <f>IF('1.1 Produksi Bersih Padi 2025'!C755="","",'1.1 Produksi Bersih Padi 2025'!C755)</f>
        <v/>
      </c>
      <c r="D755" s="1" t="str">
        <f>IF('1.1 Produksi Bersih Padi 2025'!D755="","",'1.1 Produksi Bersih Padi 2025'!D755)</f>
        <v/>
      </c>
      <c r="E755" s="1" t="str">
        <f>IF('1.1 Produksi Bersih Padi 2025'!E755="","",'1.1 Produksi Bersih Padi 2025'!E755)</f>
        <v/>
      </c>
      <c r="F755" s="28" t="str">
        <f>IF(D755="","",VLOOKUP(D755,'[1]0.1 Produksi Pangan &amp; Penduduk'!$D$5:$Y$860,22,0))</f>
        <v/>
      </c>
      <c r="G755" s="30" t="str">
        <f t="shared" si="55"/>
        <v/>
      </c>
      <c r="H755" s="30" t="str">
        <f t="shared" si="56"/>
        <v/>
      </c>
      <c r="I755" s="30" t="str">
        <f t="shared" si="57"/>
        <v/>
      </c>
      <c r="J755" s="30" t="str">
        <f t="shared" si="58"/>
        <v/>
      </c>
      <c r="K755" s="30" t="str">
        <f t="shared" si="59"/>
        <v/>
      </c>
    </row>
    <row r="756" spans="1:11" ht="15" x14ac:dyDescent="0.25">
      <c r="A756" s="1" t="str">
        <f>IF('1.1 Produksi Bersih Padi 2025'!A756="","",'1.1 Produksi Bersih Padi 2025'!A756)</f>
        <v/>
      </c>
      <c r="B756" s="31" t="str">
        <f>IF('1.1 Produksi Bersih Padi 2025'!B756="","",'1.1 Produksi Bersih Padi 2025'!B756)</f>
        <v/>
      </c>
      <c r="C756" s="31" t="str">
        <f>IF('1.1 Produksi Bersih Padi 2025'!C756="","",'1.1 Produksi Bersih Padi 2025'!C756)</f>
        <v/>
      </c>
      <c r="D756" s="1" t="str">
        <f>IF('1.1 Produksi Bersih Padi 2025'!D756="","",'1.1 Produksi Bersih Padi 2025'!D756)</f>
        <v/>
      </c>
      <c r="E756" s="1" t="str">
        <f>IF('1.1 Produksi Bersih Padi 2025'!E756="","",'1.1 Produksi Bersih Padi 2025'!E756)</f>
        <v/>
      </c>
      <c r="F756" s="28" t="str">
        <f>IF(D756="","",VLOOKUP(D756,'[1]0.1 Produksi Pangan &amp; Penduduk'!$D$5:$Y$860,22,0))</f>
        <v/>
      </c>
      <c r="G756" s="30" t="str">
        <f t="shared" si="55"/>
        <v/>
      </c>
      <c r="H756" s="30" t="str">
        <f t="shared" si="56"/>
        <v/>
      </c>
      <c r="I756" s="30" t="str">
        <f t="shared" si="57"/>
        <v/>
      </c>
      <c r="J756" s="30" t="str">
        <f t="shared" si="58"/>
        <v/>
      </c>
      <c r="K756" s="30" t="str">
        <f t="shared" si="59"/>
        <v/>
      </c>
    </row>
    <row r="757" spans="1:11" ht="15" x14ac:dyDescent="0.25">
      <c r="A757" s="1" t="str">
        <f>IF('1.1 Produksi Bersih Padi 2025'!A757="","",'1.1 Produksi Bersih Padi 2025'!A757)</f>
        <v/>
      </c>
      <c r="B757" s="31" t="str">
        <f>IF('1.1 Produksi Bersih Padi 2025'!B757="","",'1.1 Produksi Bersih Padi 2025'!B757)</f>
        <v/>
      </c>
      <c r="C757" s="31" t="str">
        <f>IF('1.1 Produksi Bersih Padi 2025'!C757="","",'1.1 Produksi Bersih Padi 2025'!C757)</f>
        <v/>
      </c>
      <c r="D757" s="1" t="str">
        <f>IF('1.1 Produksi Bersih Padi 2025'!D757="","",'1.1 Produksi Bersih Padi 2025'!D757)</f>
        <v/>
      </c>
      <c r="E757" s="1" t="str">
        <f>IF('1.1 Produksi Bersih Padi 2025'!E757="","",'1.1 Produksi Bersih Padi 2025'!E757)</f>
        <v/>
      </c>
      <c r="F757" s="28" t="str">
        <f>IF(D757="","",VLOOKUP(D757,'[1]0.1 Produksi Pangan &amp; Penduduk'!$D$5:$Y$860,22,0))</f>
        <v/>
      </c>
      <c r="G757" s="30" t="str">
        <f t="shared" si="55"/>
        <v/>
      </c>
      <c r="H757" s="30" t="str">
        <f t="shared" si="56"/>
        <v/>
      </c>
      <c r="I757" s="30" t="str">
        <f t="shared" si="57"/>
        <v/>
      </c>
      <c r="J757" s="30" t="str">
        <f t="shared" si="58"/>
        <v/>
      </c>
      <c r="K757" s="30" t="str">
        <f t="shared" si="59"/>
        <v/>
      </c>
    </row>
    <row r="758" spans="1:11" ht="15" x14ac:dyDescent="0.25">
      <c r="A758" s="1" t="str">
        <f>IF('1.1 Produksi Bersih Padi 2025'!A758="","",'1.1 Produksi Bersih Padi 2025'!A758)</f>
        <v/>
      </c>
      <c r="B758" s="31" t="str">
        <f>IF('1.1 Produksi Bersih Padi 2025'!B758="","",'1.1 Produksi Bersih Padi 2025'!B758)</f>
        <v/>
      </c>
      <c r="C758" s="31" t="str">
        <f>IF('1.1 Produksi Bersih Padi 2025'!C758="","",'1.1 Produksi Bersih Padi 2025'!C758)</f>
        <v/>
      </c>
      <c r="D758" s="1" t="str">
        <f>IF('1.1 Produksi Bersih Padi 2025'!D758="","",'1.1 Produksi Bersih Padi 2025'!D758)</f>
        <v/>
      </c>
      <c r="E758" s="1" t="str">
        <f>IF('1.1 Produksi Bersih Padi 2025'!E758="","",'1.1 Produksi Bersih Padi 2025'!E758)</f>
        <v/>
      </c>
      <c r="F758" s="28" t="str">
        <f>IF(D758="","",VLOOKUP(D758,'[1]0.1 Produksi Pangan &amp; Penduduk'!$D$5:$Y$860,22,0))</f>
        <v/>
      </c>
      <c r="G758" s="30" t="str">
        <f t="shared" si="55"/>
        <v/>
      </c>
      <c r="H758" s="30" t="str">
        <f t="shared" si="56"/>
        <v/>
      </c>
      <c r="I758" s="30" t="str">
        <f t="shared" si="57"/>
        <v/>
      </c>
      <c r="J758" s="30" t="str">
        <f t="shared" si="58"/>
        <v/>
      </c>
      <c r="K758" s="30" t="str">
        <f t="shared" si="59"/>
        <v/>
      </c>
    </row>
    <row r="759" spans="1:11" ht="15" x14ac:dyDescent="0.25">
      <c r="A759" s="1" t="str">
        <f>IF('1.1 Produksi Bersih Padi 2025'!A759="","",'1.1 Produksi Bersih Padi 2025'!A759)</f>
        <v/>
      </c>
      <c r="B759" s="31" t="str">
        <f>IF('1.1 Produksi Bersih Padi 2025'!B759="","",'1.1 Produksi Bersih Padi 2025'!B759)</f>
        <v/>
      </c>
      <c r="C759" s="31" t="str">
        <f>IF('1.1 Produksi Bersih Padi 2025'!C759="","",'1.1 Produksi Bersih Padi 2025'!C759)</f>
        <v/>
      </c>
      <c r="D759" s="1" t="str">
        <f>IF('1.1 Produksi Bersih Padi 2025'!D759="","",'1.1 Produksi Bersih Padi 2025'!D759)</f>
        <v/>
      </c>
      <c r="E759" s="1" t="str">
        <f>IF('1.1 Produksi Bersih Padi 2025'!E759="","",'1.1 Produksi Bersih Padi 2025'!E759)</f>
        <v/>
      </c>
      <c r="F759" s="28" t="str">
        <f>IF(D759="","",VLOOKUP(D759,'[1]0.1 Produksi Pangan &amp; Penduduk'!$D$5:$Y$860,22,0))</f>
        <v/>
      </c>
      <c r="G759" s="30" t="str">
        <f t="shared" si="55"/>
        <v/>
      </c>
      <c r="H759" s="30" t="str">
        <f t="shared" si="56"/>
        <v/>
      </c>
      <c r="I759" s="30" t="str">
        <f t="shared" si="57"/>
        <v/>
      </c>
      <c r="J759" s="30" t="str">
        <f t="shared" si="58"/>
        <v/>
      </c>
      <c r="K759" s="30" t="str">
        <f t="shared" si="59"/>
        <v/>
      </c>
    </row>
    <row r="760" spans="1:11" ht="15" x14ac:dyDescent="0.25">
      <c r="A760" s="1" t="str">
        <f>IF('1.1 Produksi Bersih Padi 2025'!A760="","",'1.1 Produksi Bersih Padi 2025'!A760)</f>
        <v/>
      </c>
      <c r="B760" s="31" t="str">
        <f>IF('1.1 Produksi Bersih Padi 2025'!B760="","",'1.1 Produksi Bersih Padi 2025'!B760)</f>
        <v/>
      </c>
      <c r="C760" s="31" t="str">
        <f>IF('1.1 Produksi Bersih Padi 2025'!C760="","",'1.1 Produksi Bersih Padi 2025'!C760)</f>
        <v/>
      </c>
      <c r="D760" s="1" t="str">
        <f>IF('1.1 Produksi Bersih Padi 2025'!D760="","",'1.1 Produksi Bersih Padi 2025'!D760)</f>
        <v/>
      </c>
      <c r="E760" s="1" t="str">
        <f>IF('1.1 Produksi Bersih Padi 2025'!E760="","",'1.1 Produksi Bersih Padi 2025'!E760)</f>
        <v/>
      </c>
      <c r="F760" s="28" t="str">
        <f>IF(D760="","",VLOOKUP(D760,'[1]0.1 Produksi Pangan &amp; Penduduk'!$D$5:$Y$860,22,0))</f>
        <v/>
      </c>
      <c r="G760" s="30" t="str">
        <f t="shared" si="55"/>
        <v/>
      </c>
      <c r="H760" s="30" t="str">
        <f t="shared" si="56"/>
        <v/>
      </c>
      <c r="I760" s="30" t="str">
        <f t="shared" si="57"/>
        <v/>
      </c>
      <c r="J760" s="30" t="str">
        <f t="shared" si="58"/>
        <v/>
      </c>
      <c r="K760" s="30" t="str">
        <f t="shared" si="59"/>
        <v/>
      </c>
    </row>
    <row r="761" spans="1:11" ht="15" x14ac:dyDescent="0.25">
      <c r="A761" s="1" t="str">
        <f>IF('1.1 Produksi Bersih Padi 2025'!A761="","",'1.1 Produksi Bersih Padi 2025'!A761)</f>
        <v/>
      </c>
      <c r="B761" s="31" t="str">
        <f>IF('1.1 Produksi Bersih Padi 2025'!B761="","",'1.1 Produksi Bersih Padi 2025'!B761)</f>
        <v/>
      </c>
      <c r="C761" s="31" t="str">
        <f>IF('1.1 Produksi Bersih Padi 2025'!C761="","",'1.1 Produksi Bersih Padi 2025'!C761)</f>
        <v/>
      </c>
      <c r="D761" s="1" t="str">
        <f>IF('1.1 Produksi Bersih Padi 2025'!D761="","",'1.1 Produksi Bersih Padi 2025'!D761)</f>
        <v/>
      </c>
      <c r="E761" s="1" t="str">
        <f>IF('1.1 Produksi Bersih Padi 2025'!E761="","",'1.1 Produksi Bersih Padi 2025'!E761)</f>
        <v/>
      </c>
      <c r="F761" s="28" t="str">
        <f>IF(D761="","",VLOOKUP(D761,'[1]0.1 Produksi Pangan &amp; Penduduk'!$D$5:$Y$860,22,0))</f>
        <v/>
      </c>
      <c r="G761" s="30" t="str">
        <f t="shared" si="55"/>
        <v/>
      </c>
      <c r="H761" s="30" t="str">
        <f t="shared" si="56"/>
        <v/>
      </c>
      <c r="I761" s="30" t="str">
        <f t="shared" si="57"/>
        <v/>
      </c>
      <c r="J761" s="30" t="str">
        <f t="shared" si="58"/>
        <v/>
      </c>
      <c r="K761" s="30" t="str">
        <f t="shared" si="59"/>
        <v/>
      </c>
    </row>
    <row r="762" spans="1:11" ht="15" x14ac:dyDescent="0.25">
      <c r="A762" s="1" t="str">
        <f>IF('1.1 Produksi Bersih Padi 2025'!A762="","",'1.1 Produksi Bersih Padi 2025'!A762)</f>
        <v/>
      </c>
      <c r="B762" s="31" t="str">
        <f>IF('1.1 Produksi Bersih Padi 2025'!B762="","",'1.1 Produksi Bersih Padi 2025'!B762)</f>
        <v/>
      </c>
      <c r="C762" s="31" t="str">
        <f>IF('1.1 Produksi Bersih Padi 2025'!C762="","",'1.1 Produksi Bersih Padi 2025'!C762)</f>
        <v/>
      </c>
      <c r="D762" s="1" t="str">
        <f>IF('1.1 Produksi Bersih Padi 2025'!D762="","",'1.1 Produksi Bersih Padi 2025'!D762)</f>
        <v/>
      </c>
      <c r="E762" s="1" t="str">
        <f>IF('1.1 Produksi Bersih Padi 2025'!E762="","",'1.1 Produksi Bersih Padi 2025'!E762)</f>
        <v/>
      </c>
      <c r="F762" s="28" t="str">
        <f>IF(D762="","",VLOOKUP(D762,'[1]0.1 Produksi Pangan &amp; Penduduk'!$D$5:$Y$860,22,0))</f>
        <v/>
      </c>
      <c r="G762" s="30" t="str">
        <f t="shared" si="55"/>
        <v/>
      </c>
      <c r="H762" s="30" t="str">
        <f t="shared" si="56"/>
        <v/>
      </c>
      <c r="I762" s="30" t="str">
        <f t="shared" si="57"/>
        <v/>
      </c>
      <c r="J762" s="30" t="str">
        <f t="shared" si="58"/>
        <v/>
      </c>
      <c r="K762" s="30" t="str">
        <f t="shared" si="59"/>
        <v/>
      </c>
    </row>
    <row r="763" spans="1:11" ht="15" x14ac:dyDescent="0.25">
      <c r="A763" s="1" t="str">
        <f>IF('1.1 Produksi Bersih Padi 2025'!A763="","",'1.1 Produksi Bersih Padi 2025'!A763)</f>
        <v/>
      </c>
      <c r="B763" s="31" t="str">
        <f>IF('1.1 Produksi Bersih Padi 2025'!B763="","",'1.1 Produksi Bersih Padi 2025'!B763)</f>
        <v/>
      </c>
      <c r="C763" s="31" t="str">
        <f>IF('1.1 Produksi Bersih Padi 2025'!C763="","",'1.1 Produksi Bersih Padi 2025'!C763)</f>
        <v/>
      </c>
      <c r="D763" s="1" t="str">
        <f>IF('1.1 Produksi Bersih Padi 2025'!D763="","",'1.1 Produksi Bersih Padi 2025'!D763)</f>
        <v/>
      </c>
      <c r="E763" s="1" t="str">
        <f>IF('1.1 Produksi Bersih Padi 2025'!E763="","",'1.1 Produksi Bersih Padi 2025'!E763)</f>
        <v/>
      </c>
      <c r="F763" s="28" t="str">
        <f>IF(D763="","",VLOOKUP(D763,'[1]0.1 Produksi Pangan &amp; Penduduk'!$D$5:$Y$860,22,0))</f>
        <v/>
      </c>
      <c r="G763" s="30" t="str">
        <f t="shared" si="55"/>
        <v/>
      </c>
      <c r="H763" s="30" t="str">
        <f t="shared" si="56"/>
        <v/>
      </c>
      <c r="I763" s="30" t="str">
        <f t="shared" si="57"/>
        <v/>
      </c>
      <c r="J763" s="30" t="str">
        <f t="shared" si="58"/>
        <v/>
      </c>
      <c r="K763" s="30" t="str">
        <f t="shared" si="59"/>
        <v/>
      </c>
    </row>
    <row r="764" spans="1:11" ht="15" x14ac:dyDescent="0.25">
      <c r="A764" s="1" t="str">
        <f>IF('1.1 Produksi Bersih Padi 2025'!A764="","",'1.1 Produksi Bersih Padi 2025'!A764)</f>
        <v/>
      </c>
      <c r="B764" s="31" t="str">
        <f>IF('1.1 Produksi Bersih Padi 2025'!B764="","",'1.1 Produksi Bersih Padi 2025'!B764)</f>
        <v/>
      </c>
      <c r="C764" s="31" t="str">
        <f>IF('1.1 Produksi Bersih Padi 2025'!C764="","",'1.1 Produksi Bersih Padi 2025'!C764)</f>
        <v/>
      </c>
      <c r="D764" s="1" t="str">
        <f>IF('1.1 Produksi Bersih Padi 2025'!D764="","",'1.1 Produksi Bersih Padi 2025'!D764)</f>
        <v/>
      </c>
      <c r="E764" s="1" t="str">
        <f>IF('1.1 Produksi Bersih Padi 2025'!E764="","",'1.1 Produksi Bersih Padi 2025'!E764)</f>
        <v/>
      </c>
      <c r="F764" s="28" t="str">
        <f>IF(D764="","",VLOOKUP(D764,'[1]0.1 Produksi Pangan &amp; Penduduk'!$D$5:$Y$860,22,0))</f>
        <v/>
      </c>
      <c r="G764" s="30" t="str">
        <f t="shared" si="55"/>
        <v/>
      </c>
      <c r="H764" s="30" t="str">
        <f t="shared" si="56"/>
        <v/>
      </c>
      <c r="I764" s="30" t="str">
        <f t="shared" si="57"/>
        <v/>
      </c>
      <c r="J764" s="30" t="str">
        <f t="shared" si="58"/>
        <v/>
      </c>
      <c r="K764" s="30" t="str">
        <f t="shared" si="59"/>
        <v/>
      </c>
    </row>
    <row r="765" spans="1:11" ht="15" x14ac:dyDescent="0.25">
      <c r="A765" s="1" t="str">
        <f>IF('1.1 Produksi Bersih Padi 2025'!A765="","",'1.1 Produksi Bersih Padi 2025'!A765)</f>
        <v/>
      </c>
      <c r="B765" s="31" t="str">
        <f>IF('1.1 Produksi Bersih Padi 2025'!B765="","",'1.1 Produksi Bersih Padi 2025'!B765)</f>
        <v/>
      </c>
      <c r="C765" s="31" t="str">
        <f>IF('1.1 Produksi Bersih Padi 2025'!C765="","",'1.1 Produksi Bersih Padi 2025'!C765)</f>
        <v/>
      </c>
      <c r="D765" s="1" t="str">
        <f>IF('1.1 Produksi Bersih Padi 2025'!D765="","",'1.1 Produksi Bersih Padi 2025'!D765)</f>
        <v/>
      </c>
      <c r="E765" s="1" t="str">
        <f>IF('1.1 Produksi Bersih Padi 2025'!E765="","",'1.1 Produksi Bersih Padi 2025'!E765)</f>
        <v/>
      </c>
      <c r="F765" s="28" t="str">
        <f>IF(D765="","",VLOOKUP(D765,'[1]0.1 Produksi Pangan &amp; Penduduk'!$D$5:$Y$860,22,0))</f>
        <v/>
      </c>
      <c r="G765" s="30" t="str">
        <f t="shared" si="55"/>
        <v/>
      </c>
      <c r="H765" s="30" t="str">
        <f t="shared" si="56"/>
        <v/>
      </c>
      <c r="I765" s="30" t="str">
        <f t="shared" si="57"/>
        <v/>
      </c>
      <c r="J765" s="30" t="str">
        <f t="shared" si="58"/>
        <v/>
      </c>
      <c r="K765" s="30" t="str">
        <f t="shared" si="59"/>
        <v/>
      </c>
    </row>
    <row r="766" spans="1:11" ht="15" x14ac:dyDescent="0.25">
      <c r="A766" s="1" t="str">
        <f>IF('1.1 Produksi Bersih Padi 2025'!A766="","",'1.1 Produksi Bersih Padi 2025'!A766)</f>
        <v/>
      </c>
      <c r="B766" s="31" t="str">
        <f>IF('1.1 Produksi Bersih Padi 2025'!B766="","",'1.1 Produksi Bersih Padi 2025'!B766)</f>
        <v/>
      </c>
      <c r="C766" s="31" t="str">
        <f>IF('1.1 Produksi Bersih Padi 2025'!C766="","",'1.1 Produksi Bersih Padi 2025'!C766)</f>
        <v/>
      </c>
      <c r="D766" s="1" t="str">
        <f>IF('1.1 Produksi Bersih Padi 2025'!D766="","",'1.1 Produksi Bersih Padi 2025'!D766)</f>
        <v/>
      </c>
      <c r="E766" s="1" t="str">
        <f>IF('1.1 Produksi Bersih Padi 2025'!E766="","",'1.1 Produksi Bersih Padi 2025'!E766)</f>
        <v/>
      </c>
      <c r="F766" s="28" t="str">
        <f>IF(D766="","",VLOOKUP(D766,'[1]0.1 Produksi Pangan &amp; Penduduk'!$D$5:$Y$860,22,0))</f>
        <v/>
      </c>
      <c r="G766" s="30" t="str">
        <f t="shared" si="55"/>
        <v/>
      </c>
      <c r="H766" s="30" t="str">
        <f t="shared" si="56"/>
        <v/>
      </c>
      <c r="I766" s="30" t="str">
        <f t="shared" si="57"/>
        <v/>
      </c>
      <c r="J766" s="30" t="str">
        <f t="shared" si="58"/>
        <v/>
      </c>
      <c r="K766" s="30" t="str">
        <f t="shared" si="59"/>
        <v/>
      </c>
    </row>
    <row r="767" spans="1:11" ht="15" x14ac:dyDescent="0.25">
      <c r="A767" s="1" t="str">
        <f>IF('1.1 Produksi Bersih Padi 2025'!A767="","",'1.1 Produksi Bersih Padi 2025'!A767)</f>
        <v/>
      </c>
      <c r="B767" s="31" t="str">
        <f>IF('1.1 Produksi Bersih Padi 2025'!B767="","",'1.1 Produksi Bersih Padi 2025'!B767)</f>
        <v/>
      </c>
      <c r="C767" s="31" t="str">
        <f>IF('1.1 Produksi Bersih Padi 2025'!C767="","",'1.1 Produksi Bersih Padi 2025'!C767)</f>
        <v/>
      </c>
      <c r="D767" s="1" t="str">
        <f>IF('1.1 Produksi Bersih Padi 2025'!D767="","",'1.1 Produksi Bersih Padi 2025'!D767)</f>
        <v/>
      </c>
      <c r="E767" s="1" t="str">
        <f>IF('1.1 Produksi Bersih Padi 2025'!E767="","",'1.1 Produksi Bersih Padi 2025'!E767)</f>
        <v/>
      </c>
      <c r="F767" s="28" t="str">
        <f>IF(D767="","",VLOOKUP(D767,'[1]0.1 Produksi Pangan &amp; Penduduk'!$D$5:$Y$860,22,0))</f>
        <v/>
      </c>
      <c r="G767" s="30" t="str">
        <f t="shared" si="55"/>
        <v/>
      </c>
      <c r="H767" s="30" t="str">
        <f t="shared" si="56"/>
        <v/>
      </c>
      <c r="I767" s="30" t="str">
        <f t="shared" si="57"/>
        <v/>
      </c>
      <c r="J767" s="30" t="str">
        <f t="shared" si="58"/>
        <v/>
      </c>
      <c r="K767" s="30" t="str">
        <f t="shared" si="59"/>
        <v/>
      </c>
    </row>
    <row r="768" spans="1:11" ht="15" x14ac:dyDescent="0.25">
      <c r="A768" s="1" t="str">
        <f>IF('1.1 Produksi Bersih Padi 2025'!A768="","",'1.1 Produksi Bersih Padi 2025'!A768)</f>
        <v/>
      </c>
      <c r="B768" s="31" t="str">
        <f>IF('1.1 Produksi Bersih Padi 2025'!B768="","",'1.1 Produksi Bersih Padi 2025'!B768)</f>
        <v/>
      </c>
      <c r="C768" s="31" t="str">
        <f>IF('1.1 Produksi Bersih Padi 2025'!C768="","",'1.1 Produksi Bersih Padi 2025'!C768)</f>
        <v/>
      </c>
      <c r="D768" s="1" t="str">
        <f>IF('1.1 Produksi Bersih Padi 2025'!D768="","",'1.1 Produksi Bersih Padi 2025'!D768)</f>
        <v/>
      </c>
      <c r="E768" s="1" t="str">
        <f>IF('1.1 Produksi Bersih Padi 2025'!E768="","",'1.1 Produksi Bersih Padi 2025'!E768)</f>
        <v/>
      </c>
      <c r="F768" s="28" t="str">
        <f>IF(D768="","",VLOOKUP(D768,'[1]0.1 Produksi Pangan &amp; Penduduk'!$D$5:$Y$860,22,0))</f>
        <v/>
      </c>
      <c r="G768" s="30" t="str">
        <f t="shared" si="55"/>
        <v/>
      </c>
      <c r="H768" s="30" t="str">
        <f t="shared" si="56"/>
        <v/>
      </c>
      <c r="I768" s="30" t="str">
        <f t="shared" si="57"/>
        <v/>
      </c>
      <c r="J768" s="30" t="str">
        <f t="shared" si="58"/>
        <v/>
      </c>
      <c r="K768" s="30" t="str">
        <f t="shared" si="59"/>
        <v/>
      </c>
    </row>
    <row r="769" spans="1:11" ht="15" x14ac:dyDescent="0.25">
      <c r="A769" s="1" t="str">
        <f>IF('1.1 Produksi Bersih Padi 2025'!A769="","",'1.1 Produksi Bersih Padi 2025'!A769)</f>
        <v/>
      </c>
      <c r="B769" s="31" t="str">
        <f>IF('1.1 Produksi Bersih Padi 2025'!B769="","",'1.1 Produksi Bersih Padi 2025'!B769)</f>
        <v/>
      </c>
      <c r="C769" s="31" t="str">
        <f>IF('1.1 Produksi Bersih Padi 2025'!C769="","",'1.1 Produksi Bersih Padi 2025'!C769)</f>
        <v/>
      </c>
      <c r="D769" s="1" t="str">
        <f>IF('1.1 Produksi Bersih Padi 2025'!D769="","",'1.1 Produksi Bersih Padi 2025'!D769)</f>
        <v/>
      </c>
      <c r="E769" s="1" t="str">
        <f>IF('1.1 Produksi Bersih Padi 2025'!E769="","",'1.1 Produksi Bersih Padi 2025'!E769)</f>
        <v/>
      </c>
      <c r="F769" s="28" t="str">
        <f>IF(D769="","",VLOOKUP(D769,'[1]0.1 Produksi Pangan &amp; Penduduk'!$D$5:$Y$860,22,0))</f>
        <v/>
      </c>
      <c r="G769" s="30" t="str">
        <f t="shared" si="55"/>
        <v/>
      </c>
      <c r="H769" s="30" t="str">
        <f t="shared" si="56"/>
        <v/>
      </c>
      <c r="I769" s="30" t="str">
        <f t="shared" si="57"/>
        <v/>
      </c>
      <c r="J769" s="30" t="str">
        <f t="shared" si="58"/>
        <v/>
      </c>
      <c r="K769" s="30" t="str">
        <f t="shared" si="59"/>
        <v/>
      </c>
    </row>
    <row r="770" spans="1:11" ht="15" x14ac:dyDescent="0.25">
      <c r="A770" s="1" t="str">
        <f>IF('1.1 Produksi Bersih Padi 2025'!A770="","",'1.1 Produksi Bersih Padi 2025'!A770)</f>
        <v/>
      </c>
      <c r="B770" s="31" t="str">
        <f>IF('1.1 Produksi Bersih Padi 2025'!B770="","",'1.1 Produksi Bersih Padi 2025'!B770)</f>
        <v/>
      </c>
      <c r="C770" s="31" t="str">
        <f>IF('1.1 Produksi Bersih Padi 2025'!C770="","",'1.1 Produksi Bersih Padi 2025'!C770)</f>
        <v/>
      </c>
      <c r="D770" s="1" t="str">
        <f>IF('1.1 Produksi Bersih Padi 2025'!D770="","",'1.1 Produksi Bersih Padi 2025'!D770)</f>
        <v/>
      </c>
      <c r="E770" s="1" t="str">
        <f>IF('1.1 Produksi Bersih Padi 2025'!E770="","",'1.1 Produksi Bersih Padi 2025'!E770)</f>
        <v/>
      </c>
      <c r="F770" s="28" t="str">
        <f>IF(D770="","",VLOOKUP(D770,'[1]0.1 Produksi Pangan &amp; Penduduk'!$D$5:$Y$860,22,0))</f>
        <v/>
      </c>
      <c r="G770" s="30" t="str">
        <f t="shared" si="55"/>
        <v/>
      </c>
      <c r="H770" s="30" t="str">
        <f t="shared" si="56"/>
        <v/>
      </c>
      <c r="I770" s="30" t="str">
        <f t="shared" si="57"/>
        <v/>
      </c>
      <c r="J770" s="30" t="str">
        <f t="shared" si="58"/>
        <v/>
      </c>
      <c r="K770" s="30" t="str">
        <f t="shared" si="59"/>
        <v/>
      </c>
    </row>
    <row r="771" spans="1:11" ht="15" x14ac:dyDescent="0.25">
      <c r="A771" s="1" t="str">
        <f>IF('1.1 Produksi Bersih Padi 2025'!A771="","",'1.1 Produksi Bersih Padi 2025'!A771)</f>
        <v/>
      </c>
      <c r="B771" s="31" t="str">
        <f>IF('1.1 Produksi Bersih Padi 2025'!B771="","",'1.1 Produksi Bersih Padi 2025'!B771)</f>
        <v/>
      </c>
      <c r="C771" s="31" t="str">
        <f>IF('1.1 Produksi Bersih Padi 2025'!C771="","",'1.1 Produksi Bersih Padi 2025'!C771)</f>
        <v/>
      </c>
      <c r="D771" s="1" t="str">
        <f>IF('1.1 Produksi Bersih Padi 2025'!D771="","",'1.1 Produksi Bersih Padi 2025'!D771)</f>
        <v/>
      </c>
      <c r="E771" s="1" t="str">
        <f>IF('1.1 Produksi Bersih Padi 2025'!E771="","",'1.1 Produksi Bersih Padi 2025'!E771)</f>
        <v/>
      </c>
      <c r="F771" s="28" t="str">
        <f>IF(D771="","",VLOOKUP(D771,'[1]0.1 Produksi Pangan &amp; Penduduk'!$D$5:$Y$860,22,0))</f>
        <v/>
      </c>
      <c r="G771" s="30" t="str">
        <f t="shared" si="55"/>
        <v/>
      </c>
      <c r="H771" s="30" t="str">
        <f t="shared" si="56"/>
        <v/>
      </c>
      <c r="I771" s="30" t="str">
        <f t="shared" si="57"/>
        <v/>
      </c>
      <c r="J771" s="30" t="str">
        <f t="shared" si="58"/>
        <v/>
      </c>
      <c r="K771" s="30" t="str">
        <f t="shared" si="59"/>
        <v/>
      </c>
    </row>
    <row r="772" spans="1:11" ht="15" x14ac:dyDescent="0.25">
      <c r="A772" s="1" t="str">
        <f>IF('1.1 Produksi Bersih Padi 2025'!A772="","",'1.1 Produksi Bersih Padi 2025'!A772)</f>
        <v/>
      </c>
      <c r="B772" s="31" t="str">
        <f>IF('1.1 Produksi Bersih Padi 2025'!B772="","",'1.1 Produksi Bersih Padi 2025'!B772)</f>
        <v/>
      </c>
      <c r="C772" s="31" t="str">
        <f>IF('1.1 Produksi Bersih Padi 2025'!C772="","",'1.1 Produksi Bersih Padi 2025'!C772)</f>
        <v/>
      </c>
      <c r="D772" s="1" t="str">
        <f>IF('1.1 Produksi Bersih Padi 2025'!D772="","",'1.1 Produksi Bersih Padi 2025'!D772)</f>
        <v/>
      </c>
      <c r="E772" s="1" t="str">
        <f>IF('1.1 Produksi Bersih Padi 2025'!E772="","",'1.1 Produksi Bersih Padi 2025'!E772)</f>
        <v/>
      </c>
      <c r="F772" s="28" t="str">
        <f>IF(D772="","",VLOOKUP(D772,'[1]0.1 Produksi Pangan &amp; Penduduk'!$D$5:$Y$860,22,0))</f>
        <v/>
      </c>
      <c r="G772" s="30" t="str">
        <f t="shared" si="55"/>
        <v/>
      </c>
      <c r="H772" s="30" t="str">
        <f t="shared" si="56"/>
        <v/>
      </c>
      <c r="I772" s="30" t="str">
        <f t="shared" si="57"/>
        <v/>
      </c>
      <c r="J772" s="30" t="str">
        <f t="shared" si="58"/>
        <v/>
      </c>
      <c r="K772" s="30" t="str">
        <f t="shared" si="59"/>
        <v/>
      </c>
    </row>
    <row r="773" spans="1:11" ht="15" x14ac:dyDescent="0.25">
      <c r="A773" s="1" t="str">
        <f>IF('1.1 Produksi Bersih Padi 2025'!A773="","",'1.1 Produksi Bersih Padi 2025'!A773)</f>
        <v/>
      </c>
      <c r="B773" s="31" t="str">
        <f>IF('1.1 Produksi Bersih Padi 2025'!B773="","",'1.1 Produksi Bersih Padi 2025'!B773)</f>
        <v/>
      </c>
      <c r="C773" s="31" t="str">
        <f>IF('1.1 Produksi Bersih Padi 2025'!C773="","",'1.1 Produksi Bersih Padi 2025'!C773)</f>
        <v/>
      </c>
      <c r="D773" s="1" t="str">
        <f>IF('1.1 Produksi Bersih Padi 2025'!D773="","",'1.1 Produksi Bersih Padi 2025'!D773)</f>
        <v/>
      </c>
      <c r="E773" s="1" t="str">
        <f>IF('1.1 Produksi Bersih Padi 2025'!E773="","",'1.1 Produksi Bersih Padi 2025'!E773)</f>
        <v/>
      </c>
      <c r="F773" s="28" t="str">
        <f>IF(D773="","",VLOOKUP(D773,'[1]0.1 Produksi Pangan &amp; Penduduk'!$D$5:$Y$860,22,0))</f>
        <v/>
      </c>
      <c r="G773" s="30" t="str">
        <f t="shared" si="55"/>
        <v/>
      </c>
      <c r="H773" s="30" t="str">
        <f t="shared" si="56"/>
        <v/>
      </c>
      <c r="I773" s="30" t="str">
        <f t="shared" si="57"/>
        <v/>
      </c>
      <c r="J773" s="30" t="str">
        <f t="shared" si="58"/>
        <v/>
      </c>
      <c r="K773" s="30" t="str">
        <f t="shared" si="59"/>
        <v/>
      </c>
    </row>
    <row r="774" spans="1:11" ht="15" x14ac:dyDescent="0.25">
      <c r="A774" s="1" t="str">
        <f>IF('1.1 Produksi Bersih Padi 2025'!A774="","",'1.1 Produksi Bersih Padi 2025'!A774)</f>
        <v/>
      </c>
      <c r="B774" s="31" t="str">
        <f>IF('1.1 Produksi Bersih Padi 2025'!B774="","",'1.1 Produksi Bersih Padi 2025'!B774)</f>
        <v/>
      </c>
      <c r="C774" s="31" t="str">
        <f>IF('1.1 Produksi Bersih Padi 2025'!C774="","",'1.1 Produksi Bersih Padi 2025'!C774)</f>
        <v/>
      </c>
      <c r="D774" s="1" t="str">
        <f>IF('1.1 Produksi Bersih Padi 2025'!D774="","",'1.1 Produksi Bersih Padi 2025'!D774)</f>
        <v/>
      </c>
      <c r="E774" s="1" t="str">
        <f>IF('1.1 Produksi Bersih Padi 2025'!E774="","",'1.1 Produksi Bersih Padi 2025'!E774)</f>
        <v/>
      </c>
      <c r="F774" s="28" t="str">
        <f>IF(D774="","",VLOOKUP(D774,'[1]0.1 Produksi Pangan &amp; Penduduk'!$D$5:$Y$860,22,0))</f>
        <v/>
      </c>
      <c r="G774" s="30" t="str">
        <f t="shared" ref="G774:G837" si="60">IF(F774="","",F774*0%)</f>
        <v/>
      </c>
      <c r="H774" s="30" t="str">
        <f t="shared" ref="H774:H837" si="61">IF(F774="","",F774*0.43%)</f>
        <v/>
      </c>
      <c r="I774" s="30" t="str">
        <f t="shared" ref="I774:I837" si="62">IF(F774="","",F774*4.23%)</f>
        <v/>
      </c>
      <c r="J774" s="30" t="str">
        <f t="shared" ref="J774:J837" si="63">IF(F774="","",F774-(G774+H774+I774))</f>
        <v/>
      </c>
      <c r="K774" s="30" t="str">
        <f t="shared" ref="K774:K837" si="64">IF(J774="","",J774*0.363)</f>
        <v/>
      </c>
    </row>
    <row r="775" spans="1:11" ht="15" x14ac:dyDescent="0.25">
      <c r="A775" s="1" t="str">
        <f>IF('1.1 Produksi Bersih Padi 2025'!A775="","",'1.1 Produksi Bersih Padi 2025'!A775)</f>
        <v/>
      </c>
      <c r="B775" s="31" t="str">
        <f>IF('1.1 Produksi Bersih Padi 2025'!B775="","",'1.1 Produksi Bersih Padi 2025'!B775)</f>
        <v/>
      </c>
      <c r="C775" s="31" t="str">
        <f>IF('1.1 Produksi Bersih Padi 2025'!C775="","",'1.1 Produksi Bersih Padi 2025'!C775)</f>
        <v/>
      </c>
      <c r="D775" s="1" t="str">
        <f>IF('1.1 Produksi Bersih Padi 2025'!D775="","",'1.1 Produksi Bersih Padi 2025'!D775)</f>
        <v/>
      </c>
      <c r="E775" s="1" t="str">
        <f>IF('1.1 Produksi Bersih Padi 2025'!E775="","",'1.1 Produksi Bersih Padi 2025'!E775)</f>
        <v/>
      </c>
      <c r="F775" s="28" t="str">
        <f>IF(D775="","",VLOOKUP(D775,'[1]0.1 Produksi Pangan &amp; Penduduk'!$D$5:$Y$860,22,0))</f>
        <v/>
      </c>
      <c r="G775" s="30" t="str">
        <f t="shared" si="60"/>
        <v/>
      </c>
      <c r="H775" s="30" t="str">
        <f t="shared" si="61"/>
        <v/>
      </c>
      <c r="I775" s="30" t="str">
        <f t="shared" si="62"/>
        <v/>
      </c>
      <c r="J775" s="30" t="str">
        <f t="shared" si="63"/>
        <v/>
      </c>
      <c r="K775" s="30" t="str">
        <f t="shared" si="64"/>
        <v/>
      </c>
    </row>
    <row r="776" spans="1:11" ht="15" x14ac:dyDescent="0.25">
      <c r="A776" s="1" t="str">
        <f>IF('1.1 Produksi Bersih Padi 2025'!A776="","",'1.1 Produksi Bersih Padi 2025'!A776)</f>
        <v/>
      </c>
      <c r="B776" s="31" t="str">
        <f>IF('1.1 Produksi Bersih Padi 2025'!B776="","",'1.1 Produksi Bersih Padi 2025'!B776)</f>
        <v/>
      </c>
      <c r="C776" s="31" t="str">
        <f>IF('1.1 Produksi Bersih Padi 2025'!C776="","",'1.1 Produksi Bersih Padi 2025'!C776)</f>
        <v/>
      </c>
      <c r="D776" s="1" t="str">
        <f>IF('1.1 Produksi Bersih Padi 2025'!D776="","",'1.1 Produksi Bersih Padi 2025'!D776)</f>
        <v/>
      </c>
      <c r="E776" s="1" t="str">
        <f>IF('1.1 Produksi Bersih Padi 2025'!E776="","",'1.1 Produksi Bersih Padi 2025'!E776)</f>
        <v/>
      </c>
      <c r="F776" s="28" t="str">
        <f>IF(D776="","",VLOOKUP(D776,'[1]0.1 Produksi Pangan &amp; Penduduk'!$D$5:$Y$860,22,0))</f>
        <v/>
      </c>
      <c r="G776" s="30" t="str">
        <f t="shared" si="60"/>
        <v/>
      </c>
      <c r="H776" s="30" t="str">
        <f t="shared" si="61"/>
        <v/>
      </c>
      <c r="I776" s="30" t="str">
        <f t="shared" si="62"/>
        <v/>
      </c>
      <c r="J776" s="30" t="str">
        <f t="shared" si="63"/>
        <v/>
      </c>
      <c r="K776" s="30" t="str">
        <f t="shared" si="64"/>
        <v/>
      </c>
    </row>
    <row r="777" spans="1:11" ht="15" x14ac:dyDescent="0.25">
      <c r="A777" s="1" t="str">
        <f>IF('1.1 Produksi Bersih Padi 2025'!A777="","",'1.1 Produksi Bersih Padi 2025'!A777)</f>
        <v/>
      </c>
      <c r="B777" s="31" t="str">
        <f>IF('1.1 Produksi Bersih Padi 2025'!B777="","",'1.1 Produksi Bersih Padi 2025'!B777)</f>
        <v/>
      </c>
      <c r="C777" s="31" t="str">
        <f>IF('1.1 Produksi Bersih Padi 2025'!C777="","",'1.1 Produksi Bersih Padi 2025'!C777)</f>
        <v/>
      </c>
      <c r="D777" s="1" t="str">
        <f>IF('1.1 Produksi Bersih Padi 2025'!D777="","",'1.1 Produksi Bersih Padi 2025'!D777)</f>
        <v/>
      </c>
      <c r="E777" s="1" t="str">
        <f>IF('1.1 Produksi Bersih Padi 2025'!E777="","",'1.1 Produksi Bersih Padi 2025'!E777)</f>
        <v/>
      </c>
      <c r="F777" s="28" t="str">
        <f>IF(D777="","",VLOOKUP(D777,'[1]0.1 Produksi Pangan &amp; Penduduk'!$D$5:$Y$860,22,0))</f>
        <v/>
      </c>
      <c r="G777" s="30" t="str">
        <f t="shared" si="60"/>
        <v/>
      </c>
      <c r="H777" s="30" t="str">
        <f t="shared" si="61"/>
        <v/>
      </c>
      <c r="I777" s="30" t="str">
        <f t="shared" si="62"/>
        <v/>
      </c>
      <c r="J777" s="30" t="str">
        <f t="shared" si="63"/>
        <v/>
      </c>
      <c r="K777" s="30" t="str">
        <f t="shared" si="64"/>
        <v/>
      </c>
    </row>
    <row r="778" spans="1:11" ht="15" x14ac:dyDescent="0.25">
      <c r="A778" s="1" t="str">
        <f>IF('1.1 Produksi Bersih Padi 2025'!A778="","",'1.1 Produksi Bersih Padi 2025'!A778)</f>
        <v/>
      </c>
      <c r="B778" s="31" t="str">
        <f>IF('1.1 Produksi Bersih Padi 2025'!B778="","",'1.1 Produksi Bersih Padi 2025'!B778)</f>
        <v/>
      </c>
      <c r="C778" s="31" t="str">
        <f>IF('1.1 Produksi Bersih Padi 2025'!C778="","",'1.1 Produksi Bersih Padi 2025'!C778)</f>
        <v/>
      </c>
      <c r="D778" s="1" t="str">
        <f>IF('1.1 Produksi Bersih Padi 2025'!D778="","",'1.1 Produksi Bersih Padi 2025'!D778)</f>
        <v/>
      </c>
      <c r="E778" s="1" t="str">
        <f>IF('1.1 Produksi Bersih Padi 2025'!E778="","",'1.1 Produksi Bersih Padi 2025'!E778)</f>
        <v/>
      </c>
      <c r="F778" s="28" t="str">
        <f>IF(D778="","",VLOOKUP(D778,'[1]0.1 Produksi Pangan &amp; Penduduk'!$D$5:$Y$860,22,0))</f>
        <v/>
      </c>
      <c r="G778" s="30" t="str">
        <f t="shared" si="60"/>
        <v/>
      </c>
      <c r="H778" s="30" t="str">
        <f t="shared" si="61"/>
        <v/>
      </c>
      <c r="I778" s="30" t="str">
        <f t="shared" si="62"/>
        <v/>
      </c>
      <c r="J778" s="30" t="str">
        <f t="shared" si="63"/>
        <v/>
      </c>
      <c r="K778" s="30" t="str">
        <f t="shared" si="64"/>
        <v/>
      </c>
    </row>
    <row r="779" spans="1:11" ht="15" x14ac:dyDescent="0.25">
      <c r="A779" s="1" t="str">
        <f>IF('1.1 Produksi Bersih Padi 2025'!A779="","",'1.1 Produksi Bersih Padi 2025'!A779)</f>
        <v/>
      </c>
      <c r="B779" s="31" t="str">
        <f>IF('1.1 Produksi Bersih Padi 2025'!B779="","",'1.1 Produksi Bersih Padi 2025'!B779)</f>
        <v/>
      </c>
      <c r="C779" s="31" t="str">
        <f>IF('1.1 Produksi Bersih Padi 2025'!C779="","",'1.1 Produksi Bersih Padi 2025'!C779)</f>
        <v/>
      </c>
      <c r="D779" s="1" t="str">
        <f>IF('1.1 Produksi Bersih Padi 2025'!D779="","",'1.1 Produksi Bersih Padi 2025'!D779)</f>
        <v/>
      </c>
      <c r="E779" s="1" t="str">
        <f>IF('1.1 Produksi Bersih Padi 2025'!E779="","",'1.1 Produksi Bersih Padi 2025'!E779)</f>
        <v/>
      </c>
      <c r="F779" s="28" t="str">
        <f>IF(D779="","",VLOOKUP(D779,'[1]0.1 Produksi Pangan &amp; Penduduk'!$D$5:$Y$860,22,0))</f>
        <v/>
      </c>
      <c r="G779" s="30" t="str">
        <f t="shared" si="60"/>
        <v/>
      </c>
      <c r="H779" s="30" t="str">
        <f t="shared" si="61"/>
        <v/>
      </c>
      <c r="I779" s="30" t="str">
        <f t="shared" si="62"/>
        <v/>
      </c>
      <c r="J779" s="30" t="str">
        <f t="shared" si="63"/>
        <v/>
      </c>
      <c r="K779" s="30" t="str">
        <f t="shared" si="64"/>
        <v/>
      </c>
    </row>
    <row r="780" spans="1:11" ht="15" x14ac:dyDescent="0.25">
      <c r="A780" s="1" t="str">
        <f>IF('1.1 Produksi Bersih Padi 2025'!A780="","",'1.1 Produksi Bersih Padi 2025'!A780)</f>
        <v/>
      </c>
      <c r="B780" s="31" t="str">
        <f>IF('1.1 Produksi Bersih Padi 2025'!B780="","",'1.1 Produksi Bersih Padi 2025'!B780)</f>
        <v/>
      </c>
      <c r="C780" s="31" t="str">
        <f>IF('1.1 Produksi Bersih Padi 2025'!C780="","",'1.1 Produksi Bersih Padi 2025'!C780)</f>
        <v/>
      </c>
      <c r="D780" s="1" t="str">
        <f>IF('1.1 Produksi Bersih Padi 2025'!D780="","",'1.1 Produksi Bersih Padi 2025'!D780)</f>
        <v/>
      </c>
      <c r="E780" s="1" t="str">
        <f>IF('1.1 Produksi Bersih Padi 2025'!E780="","",'1.1 Produksi Bersih Padi 2025'!E780)</f>
        <v/>
      </c>
      <c r="F780" s="28" t="str">
        <f>IF(D780="","",VLOOKUP(D780,'[1]0.1 Produksi Pangan &amp; Penduduk'!$D$5:$Y$860,22,0))</f>
        <v/>
      </c>
      <c r="G780" s="30" t="str">
        <f t="shared" si="60"/>
        <v/>
      </c>
      <c r="H780" s="30" t="str">
        <f t="shared" si="61"/>
        <v/>
      </c>
      <c r="I780" s="30" t="str">
        <f t="shared" si="62"/>
        <v/>
      </c>
      <c r="J780" s="30" t="str">
        <f t="shared" si="63"/>
        <v/>
      </c>
      <c r="K780" s="30" t="str">
        <f t="shared" si="64"/>
        <v/>
      </c>
    </row>
    <row r="781" spans="1:11" ht="15" x14ac:dyDescent="0.25">
      <c r="A781" s="1" t="str">
        <f>IF('1.1 Produksi Bersih Padi 2025'!A781="","",'1.1 Produksi Bersih Padi 2025'!A781)</f>
        <v/>
      </c>
      <c r="B781" s="31" t="str">
        <f>IF('1.1 Produksi Bersih Padi 2025'!B781="","",'1.1 Produksi Bersih Padi 2025'!B781)</f>
        <v/>
      </c>
      <c r="C781" s="31" t="str">
        <f>IF('1.1 Produksi Bersih Padi 2025'!C781="","",'1.1 Produksi Bersih Padi 2025'!C781)</f>
        <v/>
      </c>
      <c r="D781" s="1" t="str">
        <f>IF('1.1 Produksi Bersih Padi 2025'!D781="","",'1.1 Produksi Bersih Padi 2025'!D781)</f>
        <v/>
      </c>
      <c r="E781" s="1" t="str">
        <f>IF('1.1 Produksi Bersih Padi 2025'!E781="","",'1.1 Produksi Bersih Padi 2025'!E781)</f>
        <v/>
      </c>
      <c r="F781" s="28" t="str">
        <f>IF(D781="","",VLOOKUP(D781,'[1]0.1 Produksi Pangan &amp; Penduduk'!$D$5:$Y$860,22,0))</f>
        <v/>
      </c>
      <c r="G781" s="30" t="str">
        <f t="shared" si="60"/>
        <v/>
      </c>
      <c r="H781" s="30" t="str">
        <f t="shared" si="61"/>
        <v/>
      </c>
      <c r="I781" s="30" t="str">
        <f t="shared" si="62"/>
        <v/>
      </c>
      <c r="J781" s="30" t="str">
        <f t="shared" si="63"/>
        <v/>
      </c>
      <c r="K781" s="30" t="str">
        <f t="shared" si="64"/>
        <v/>
      </c>
    </row>
    <row r="782" spans="1:11" ht="15" x14ac:dyDescent="0.25">
      <c r="A782" s="1" t="str">
        <f>IF('1.1 Produksi Bersih Padi 2025'!A782="","",'1.1 Produksi Bersih Padi 2025'!A782)</f>
        <v/>
      </c>
      <c r="B782" s="31" t="str">
        <f>IF('1.1 Produksi Bersih Padi 2025'!B782="","",'1.1 Produksi Bersih Padi 2025'!B782)</f>
        <v/>
      </c>
      <c r="C782" s="31" t="str">
        <f>IF('1.1 Produksi Bersih Padi 2025'!C782="","",'1.1 Produksi Bersih Padi 2025'!C782)</f>
        <v/>
      </c>
      <c r="D782" s="1" t="str">
        <f>IF('1.1 Produksi Bersih Padi 2025'!D782="","",'1.1 Produksi Bersih Padi 2025'!D782)</f>
        <v/>
      </c>
      <c r="E782" s="1" t="str">
        <f>IF('1.1 Produksi Bersih Padi 2025'!E782="","",'1.1 Produksi Bersih Padi 2025'!E782)</f>
        <v/>
      </c>
      <c r="F782" s="28" t="str">
        <f>IF(D782="","",VLOOKUP(D782,'[1]0.1 Produksi Pangan &amp; Penduduk'!$D$5:$Y$860,22,0))</f>
        <v/>
      </c>
      <c r="G782" s="30" t="str">
        <f t="shared" si="60"/>
        <v/>
      </c>
      <c r="H782" s="30" t="str">
        <f t="shared" si="61"/>
        <v/>
      </c>
      <c r="I782" s="30" t="str">
        <f t="shared" si="62"/>
        <v/>
      </c>
      <c r="J782" s="30" t="str">
        <f t="shared" si="63"/>
        <v/>
      </c>
      <c r="K782" s="30" t="str">
        <f t="shared" si="64"/>
        <v/>
      </c>
    </row>
    <row r="783" spans="1:11" ht="15" x14ac:dyDescent="0.25">
      <c r="A783" s="1" t="str">
        <f>IF('1.1 Produksi Bersih Padi 2025'!A783="","",'1.1 Produksi Bersih Padi 2025'!A783)</f>
        <v/>
      </c>
      <c r="B783" s="31" t="str">
        <f>IF('1.1 Produksi Bersih Padi 2025'!B783="","",'1.1 Produksi Bersih Padi 2025'!B783)</f>
        <v/>
      </c>
      <c r="C783" s="31" t="str">
        <f>IF('1.1 Produksi Bersih Padi 2025'!C783="","",'1.1 Produksi Bersih Padi 2025'!C783)</f>
        <v/>
      </c>
      <c r="D783" s="1" t="str">
        <f>IF('1.1 Produksi Bersih Padi 2025'!D783="","",'1.1 Produksi Bersih Padi 2025'!D783)</f>
        <v/>
      </c>
      <c r="E783" s="1" t="str">
        <f>IF('1.1 Produksi Bersih Padi 2025'!E783="","",'1.1 Produksi Bersih Padi 2025'!E783)</f>
        <v/>
      </c>
      <c r="F783" s="28" t="str">
        <f>IF(D783="","",VLOOKUP(D783,'[1]0.1 Produksi Pangan &amp; Penduduk'!$D$5:$Y$860,22,0))</f>
        <v/>
      </c>
      <c r="G783" s="30" t="str">
        <f t="shared" si="60"/>
        <v/>
      </c>
      <c r="H783" s="30" t="str">
        <f t="shared" si="61"/>
        <v/>
      </c>
      <c r="I783" s="30" t="str">
        <f t="shared" si="62"/>
        <v/>
      </c>
      <c r="J783" s="30" t="str">
        <f t="shared" si="63"/>
        <v/>
      </c>
      <c r="K783" s="30" t="str">
        <f t="shared" si="64"/>
        <v/>
      </c>
    </row>
    <row r="784" spans="1:11" ht="15" x14ac:dyDescent="0.25">
      <c r="A784" s="1" t="str">
        <f>IF('1.1 Produksi Bersih Padi 2025'!A784="","",'1.1 Produksi Bersih Padi 2025'!A784)</f>
        <v/>
      </c>
      <c r="B784" s="31" t="str">
        <f>IF('1.1 Produksi Bersih Padi 2025'!B784="","",'1.1 Produksi Bersih Padi 2025'!B784)</f>
        <v/>
      </c>
      <c r="C784" s="31" t="str">
        <f>IF('1.1 Produksi Bersih Padi 2025'!C784="","",'1.1 Produksi Bersih Padi 2025'!C784)</f>
        <v/>
      </c>
      <c r="D784" s="1" t="str">
        <f>IF('1.1 Produksi Bersih Padi 2025'!D784="","",'1.1 Produksi Bersih Padi 2025'!D784)</f>
        <v/>
      </c>
      <c r="E784" s="1" t="str">
        <f>IF('1.1 Produksi Bersih Padi 2025'!E784="","",'1.1 Produksi Bersih Padi 2025'!E784)</f>
        <v/>
      </c>
      <c r="F784" s="28" t="str">
        <f>IF(D784="","",VLOOKUP(D784,'[1]0.1 Produksi Pangan &amp; Penduduk'!$D$5:$Y$860,22,0))</f>
        <v/>
      </c>
      <c r="G784" s="30" t="str">
        <f t="shared" si="60"/>
        <v/>
      </c>
      <c r="H784" s="30" t="str">
        <f t="shared" si="61"/>
        <v/>
      </c>
      <c r="I784" s="30" t="str">
        <f t="shared" si="62"/>
        <v/>
      </c>
      <c r="J784" s="30" t="str">
        <f t="shared" si="63"/>
        <v/>
      </c>
      <c r="K784" s="30" t="str">
        <f t="shared" si="64"/>
        <v/>
      </c>
    </row>
    <row r="785" spans="1:11" ht="15" x14ac:dyDescent="0.25">
      <c r="A785" s="1" t="str">
        <f>IF('1.1 Produksi Bersih Padi 2025'!A785="","",'1.1 Produksi Bersih Padi 2025'!A785)</f>
        <v/>
      </c>
      <c r="B785" s="31" t="str">
        <f>IF('1.1 Produksi Bersih Padi 2025'!B785="","",'1.1 Produksi Bersih Padi 2025'!B785)</f>
        <v/>
      </c>
      <c r="C785" s="31" t="str">
        <f>IF('1.1 Produksi Bersih Padi 2025'!C785="","",'1.1 Produksi Bersih Padi 2025'!C785)</f>
        <v/>
      </c>
      <c r="D785" s="1" t="str">
        <f>IF('1.1 Produksi Bersih Padi 2025'!D785="","",'1.1 Produksi Bersih Padi 2025'!D785)</f>
        <v/>
      </c>
      <c r="E785" s="1" t="str">
        <f>IF('1.1 Produksi Bersih Padi 2025'!E785="","",'1.1 Produksi Bersih Padi 2025'!E785)</f>
        <v/>
      </c>
      <c r="F785" s="28" t="str">
        <f>IF(D785="","",VLOOKUP(D785,'[1]0.1 Produksi Pangan &amp; Penduduk'!$D$5:$Y$860,22,0))</f>
        <v/>
      </c>
      <c r="G785" s="30" t="str">
        <f t="shared" si="60"/>
        <v/>
      </c>
      <c r="H785" s="30" t="str">
        <f t="shared" si="61"/>
        <v/>
      </c>
      <c r="I785" s="30" t="str">
        <f t="shared" si="62"/>
        <v/>
      </c>
      <c r="J785" s="30" t="str">
        <f t="shared" si="63"/>
        <v/>
      </c>
      <c r="K785" s="30" t="str">
        <f t="shared" si="64"/>
        <v/>
      </c>
    </row>
    <row r="786" spans="1:11" ht="15" x14ac:dyDescent="0.25">
      <c r="A786" s="1" t="str">
        <f>IF('1.1 Produksi Bersih Padi 2025'!A786="","",'1.1 Produksi Bersih Padi 2025'!A786)</f>
        <v/>
      </c>
      <c r="B786" s="31" t="str">
        <f>IF('1.1 Produksi Bersih Padi 2025'!B786="","",'1.1 Produksi Bersih Padi 2025'!B786)</f>
        <v/>
      </c>
      <c r="C786" s="31" t="str">
        <f>IF('1.1 Produksi Bersih Padi 2025'!C786="","",'1.1 Produksi Bersih Padi 2025'!C786)</f>
        <v/>
      </c>
      <c r="D786" s="1" t="str">
        <f>IF('1.1 Produksi Bersih Padi 2025'!D786="","",'1.1 Produksi Bersih Padi 2025'!D786)</f>
        <v/>
      </c>
      <c r="E786" s="1" t="str">
        <f>IF('1.1 Produksi Bersih Padi 2025'!E786="","",'1.1 Produksi Bersih Padi 2025'!E786)</f>
        <v/>
      </c>
      <c r="F786" s="28" t="str">
        <f>IF(D786="","",VLOOKUP(D786,'[1]0.1 Produksi Pangan &amp; Penduduk'!$D$5:$Y$860,22,0))</f>
        <v/>
      </c>
      <c r="G786" s="30" t="str">
        <f t="shared" si="60"/>
        <v/>
      </c>
      <c r="H786" s="30" t="str">
        <f t="shared" si="61"/>
        <v/>
      </c>
      <c r="I786" s="30" t="str">
        <f t="shared" si="62"/>
        <v/>
      </c>
      <c r="J786" s="30" t="str">
        <f t="shared" si="63"/>
        <v/>
      </c>
      <c r="K786" s="30" t="str">
        <f t="shared" si="64"/>
        <v/>
      </c>
    </row>
    <row r="787" spans="1:11" ht="15" x14ac:dyDescent="0.25">
      <c r="A787" s="1" t="str">
        <f>IF('1.1 Produksi Bersih Padi 2025'!A787="","",'1.1 Produksi Bersih Padi 2025'!A787)</f>
        <v/>
      </c>
      <c r="B787" s="31" t="str">
        <f>IF('1.1 Produksi Bersih Padi 2025'!B787="","",'1.1 Produksi Bersih Padi 2025'!B787)</f>
        <v/>
      </c>
      <c r="C787" s="31" t="str">
        <f>IF('1.1 Produksi Bersih Padi 2025'!C787="","",'1.1 Produksi Bersih Padi 2025'!C787)</f>
        <v/>
      </c>
      <c r="D787" s="1" t="str">
        <f>IF('1.1 Produksi Bersih Padi 2025'!D787="","",'1.1 Produksi Bersih Padi 2025'!D787)</f>
        <v/>
      </c>
      <c r="E787" s="1" t="str">
        <f>IF('1.1 Produksi Bersih Padi 2025'!E787="","",'1.1 Produksi Bersih Padi 2025'!E787)</f>
        <v/>
      </c>
      <c r="F787" s="28" t="str">
        <f>IF(D787="","",VLOOKUP(D787,'[1]0.1 Produksi Pangan &amp; Penduduk'!$D$5:$Y$860,22,0))</f>
        <v/>
      </c>
      <c r="G787" s="30" t="str">
        <f t="shared" si="60"/>
        <v/>
      </c>
      <c r="H787" s="30" t="str">
        <f t="shared" si="61"/>
        <v/>
      </c>
      <c r="I787" s="30" t="str">
        <f t="shared" si="62"/>
        <v/>
      </c>
      <c r="J787" s="30" t="str">
        <f t="shared" si="63"/>
        <v/>
      </c>
      <c r="K787" s="30" t="str">
        <f t="shared" si="64"/>
        <v/>
      </c>
    </row>
    <row r="788" spans="1:11" ht="15" x14ac:dyDescent="0.25">
      <c r="A788" s="1" t="str">
        <f>IF('1.1 Produksi Bersih Padi 2025'!A788="","",'1.1 Produksi Bersih Padi 2025'!A788)</f>
        <v/>
      </c>
      <c r="B788" s="31" t="str">
        <f>IF('1.1 Produksi Bersih Padi 2025'!B788="","",'1.1 Produksi Bersih Padi 2025'!B788)</f>
        <v/>
      </c>
      <c r="C788" s="31" t="str">
        <f>IF('1.1 Produksi Bersih Padi 2025'!C788="","",'1.1 Produksi Bersih Padi 2025'!C788)</f>
        <v/>
      </c>
      <c r="D788" s="1" t="str">
        <f>IF('1.1 Produksi Bersih Padi 2025'!D788="","",'1.1 Produksi Bersih Padi 2025'!D788)</f>
        <v/>
      </c>
      <c r="E788" s="1" t="str">
        <f>IF('1.1 Produksi Bersih Padi 2025'!E788="","",'1.1 Produksi Bersih Padi 2025'!E788)</f>
        <v/>
      </c>
      <c r="F788" s="28" t="str">
        <f>IF(D788="","",VLOOKUP(D788,'[1]0.1 Produksi Pangan &amp; Penduduk'!$D$5:$Y$860,22,0))</f>
        <v/>
      </c>
      <c r="G788" s="30" t="str">
        <f t="shared" si="60"/>
        <v/>
      </c>
      <c r="H788" s="30" t="str">
        <f t="shared" si="61"/>
        <v/>
      </c>
      <c r="I788" s="30" t="str">
        <f t="shared" si="62"/>
        <v/>
      </c>
      <c r="J788" s="30" t="str">
        <f t="shared" si="63"/>
        <v/>
      </c>
      <c r="K788" s="30" t="str">
        <f t="shared" si="64"/>
        <v/>
      </c>
    </row>
    <row r="789" spans="1:11" ht="15" x14ac:dyDescent="0.25">
      <c r="A789" s="1" t="str">
        <f>IF('1.1 Produksi Bersih Padi 2025'!A789="","",'1.1 Produksi Bersih Padi 2025'!A789)</f>
        <v/>
      </c>
      <c r="B789" s="31" t="str">
        <f>IF('1.1 Produksi Bersih Padi 2025'!B789="","",'1.1 Produksi Bersih Padi 2025'!B789)</f>
        <v/>
      </c>
      <c r="C789" s="31" t="str">
        <f>IF('1.1 Produksi Bersih Padi 2025'!C789="","",'1.1 Produksi Bersih Padi 2025'!C789)</f>
        <v/>
      </c>
      <c r="D789" s="1" t="str">
        <f>IF('1.1 Produksi Bersih Padi 2025'!D789="","",'1.1 Produksi Bersih Padi 2025'!D789)</f>
        <v/>
      </c>
      <c r="E789" s="1" t="str">
        <f>IF('1.1 Produksi Bersih Padi 2025'!E789="","",'1.1 Produksi Bersih Padi 2025'!E789)</f>
        <v/>
      </c>
      <c r="F789" s="28" t="str">
        <f>IF(D789="","",VLOOKUP(D789,'[1]0.1 Produksi Pangan &amp; Penduduk'!$D$5:$Y$860,22,0))</f>
        <v/>
      </c>
      <c r="G789" s="30" t="str">
        <f t="shared" si="60"/>
        <v/>
      </c>
      <c r="H789" s="30" t="str">
        <f t="shared" si="61"/>
        <v/>
      </c>
      <c r="I789" s="30" t="str">
        <f t="shared" si="62"/>
        <v/>
      </c>
      <c r="J789" s="30" t="str">
        <f t="shared" si="63"/>
        <v/>
      </c>
      <c r="K789" s="30" t="str">
        <f t="shared" si="64"/>
        <v/>
      </c>
    </row>
    <row r="790" spans="1:11" ht="15" x14ac:dyDescent="0.25">
      <c r="A790" s="1" t="str">
        <f>IF('1.1 Produksi Bersih Padi 2025'!A790="","",'1.1 Produksi Bersih Padi 2025'!A790)</f>
        <v/>
      </c>
      <c r="B790" s="31" t="str">
        <f>IF('1.1 Produksi Bersih Padi 2025'!B790="","",'1.1 Produksi Bersih Padi 2025'!B790)</f>
        <v/>
      </c>
      <c r="C790" s="31" t="str">
        <f>IF('1.1 Produksi Bersih Padi 2025'!C790="","",'1.1 Produksi Bersih Padi 2025'!C790)</f>
        <v/>
      </c>
      <c r="D790" s="1" t="str">
        <f>IF('1.1 Produksi Bersih Padi 2025'!D790="","",'1.1 Produksi Bersih Padi 2025'!D790)</f>
        <v/>
      </c>
      <c r="E790" s="1" t="str">
        <f>IF('1.1 Produksi Bersih Padi 2025'!E790="","",'1.1 Produksi Bersih Padi 2025'!E790)</f>
        <v/>
      </c>
      <c r="F790" s="28" t="str">
        <f>IF(D790="","",VLOOKUP(D790,'[1]0.1 Produksi Pangan &amp; Penduduk'!$D$5:$Y$860,22,0))</f>
        <v/>
      </c>
      <c r="G790" s="30" t="str">
        <f t="shared" si="60"/>
        <v/>
      </c>
      <c r="H790" s="30" t="str">
        <f t="shared" si="61"/>
        <v/>
      </c>
      <c r="I790" s="30" t="str">
        <f t="shared" si="62"/>
        <v/>
      </c>
      <c r="J790" s="30" t="str">
        <f t="shared" si="63"/>
        <v/>
      </c>
      <c r="K790" s="30" t="str">
        <f t="shared" si="64"/>
        <v/>
      </c>
    </row>
    <row r="791" spans="1:11" ht="15" x14ac:dyDescent="0.25">
      <c r="A791" s="1" t="str">
        <f>IF('1.1 Produksi Bersih Padi 2025'!A791="","",'1.1 Produksi Bersih Padi 2025'!A791)</f>
        <v/>
      </c>
      <c r="B791" s="31" t="str">
        <f>IF('1.1 Produksi Bersih Padi 2025'!B791="","",'1.1 Produksi Bersih Padi 2025'!B791)</f>
        <v/>
      </c>
      <c r="C791" s="31" t="str">
        <f>IF('1.1 Produksi Bersih Padi 2025'!C791="","",'1.1 Produksi Bersih Padi 2025'!C791)</f>
        <v/>
      </c>
      <c r="D791" s="1" t="str">
        <f>IF('1.1 Produksi Bersih Padi 2025'!D791="","",'1.1 Produksi Bersih Padi 2025'!D791)</f>
        <v/>
      </c>
      <c r="E791" s="1" t="str">
        <f>IF('1.1 Produksi Bersih Padi 2025'!E791="","",'1.1 Produksi Bersih Padi 2025'!E791)</f>
        <v/>
      </c>
      <c r="F791" s="28" t="str">
        <f>IF(D791="","",VLOOKUP(D791,'[1]0.1 Produksi Pangan &amp; Penduduk'!$D$5:$Y$860,22,0))</f>
        <v/>
      </c>
      <c r="G791" s="30" t="str">
        <f t="shared" si="60"/>
        <v/>
      </c>
      <c r="H791" s="30" t="str">
        <f t="shared" si="61"/>
        <v/>
      </c>
      <c r="I791" s="30" t="str">
        <f t="shared" si="62"/>
        <v/>
      </c>
      <c r="J791" s="30" t="str">
        <f t="shared" si="63"/>
        <v/>
      </c>
      <c r="K791" s="30" t="str">
        <f t="shared" si="64"/>
        <v/>
      </c>
    </row>
    <row r="792" spans="1:11" ht="15" x14ac:dyDescent="0.25">
      <c r="A792" s="1" t="str">
        <f>IF('1.1 Produksi Bersih Padi 2025'!A792="","",'1.1 Produksi Bersih Padi 2025'!A792)</f>
        <v/>
      </c>
      <c r="B792" s="31" t="str">
        <f>IF('1.1 Produksi Bersih Padi 2025'!B792="","",'1.1 Produksi Bersih Padi 2025'!B792)</f>
        <v/>
      </c>
      <c r="C792" s="31" t="str">
        <f>IF('1.1 Produksi Bersih Padi 2025'!C792="","",'1.1 Produksi Bersih Padi 2025'!C792)</f>
        <v/>
      </c>
      <c r="D792" s="1" t="str">
        <f>IF('1.1 Produksi Bersih Padi 2025'!D792="","",'1.1 Produksi Bersih Padi 2025'!D792)</f>
        <v/>
      </c>
      <c r="E792" s="1" t="str">
        <f>IF('1.1 Produksi Bersih Padi 2025'!E792="","",'1.1 Produksi Bersih Padi 2025'!E792)</f>
        <v/>
      </c>
      <c r="F792" s="28" t="str">
        <f>IF(D792="","",VLOOKUP(D792,'[1]0.1 Produksi Pangan &amp; Penduduk'!$D$5:$Y$860,22,0))</f>
        <v/>
      </c>
      <c r="G792" s="30" t="str">
        <f t="shared" si="60"/>
        <v/>
      </c>
      <c r="H792" s="30" t="str">
        <f t="shared" si="61"/>
        <v/>
      </c>
      <c r="I792" s="30" t="str">
        <f t="shared" si="62"/>
        <v/>
      </c>
      <c r="J792" s="30" t="str">
        <f t="shared" si="63"/>
        <v/>
      </c>
      <c r="K792" s="30" t="str">
        <f t="shared" si="64"/>
        <v/>
      </c>
    </row>
    <row r="793" spans="1:11" ht="15" x14ac:dyDescent="0.25">
      <c r="A793" s="1" t="str">
        <f>IF('1.1 Produksi Bersih Padi 2025'!A793="","",'1.1 Produksi Bersih Padi 2025'!A793)</f>
        <v/>
      </c>
      <c r="B793" s="31" t="str">
        <f>IF('1.1 Produksi Bersih Padi 2025'!B793="","",'1.1 Produksi Bersih Padi 2025'!B793)</f>
        <v/>
      </c>
      <c r="C793" s="31" t="str">
        <f>IF('1.1 Produksi Bersih Padi 2025'!C793="","",'1.1 Produksi Bersih Padi 2025'!C793)</f>
        <v/>
      </c>
      <c r="D793" s="1" t="str">
        <f>IF('1.1 Produksi Bersih Padi 2025'!D793="","",'1.1 Produksi Bersih Padi 2025'!D793)</f>
        <v/>
      </c>
      <c r="E793" s="1" t="str">
        <f>IF('1.1 Produksi Bersih Padi 2025'!E793="","",'1.1 Produksi Bersih Padi 2025'!E793)</f>
        <v/>
      </c>
      <c r="F793" s="28" t="str">
        <f>IF(D793="","",VLOOKUP(D793,'[1]0.1 Produksi Pangan &amp; Penduduk'!$D$5:$Y$860,22,0))</f>
        <v/>
      </c>
      <c r="G793" s="30" t="str">
        <f t="shared" si="60"/>
        <v/>
      </c>
      <c r="H793" s="30" t="str">
        <f t="shared" si="61"/>
        <v/>
      </c>
      <c r="I793" s="30" t="str">
        <f t="shared" si="62"/>
        <v/>
      </c>
      <c r="J793" s="30" t="str">
        <f t="shared" si="63"/>
        <v/>
      </c>
      <c r="K793" s="30" t="str">
        <f t="shared" si="64"/>
        <v/>
      </c>
    </row>
    <row r="794" spans="1:11" ht="15" x14ac:dyDescent="0.25">
      <c r="A794" s="1" t="str">
        <f>IF('1.1 Produksi Bersih Padi 2025'!A794="","",'1.1 Produksi Bersih Padi 2025'!A794)</f>
        <v/>
      </c>
      <c r="B794" s="31" t="str">
        <f>IF('1.1 Produksi Bersih Padi 2025'!B794="","",'1.1 Produksi Bersih Padi 2025'!B794)</f>
        <v/>
      </c>
      <c r="C794" s="31" t="str">
        <f>IF('1.1 Produksi Bersih Padi 2025'!C794="","",'1.1 Produksi Bersih Padi 2025'!C794)</f>
        <v/>
      </c>
      <c r="D794" s="1" t="str">
        <f>IF('1.1 Produksi Bersih Padi 2025'!D794="","",'1.1 Produksi Bersih Padi 2025'!D794)</f>
        <v/>
      </c>
      <c r="E794" s="1" t="str">
        <f>IF('1.1 Produksi Bersih Padi 2025'!E794="","",'1.1 Produksi Bersih Padi 2025'!E794)</f>
        <v/>
      </c>
      <c r="F794" s="28" t="str">
        <f>IF(D794="","",VLOOKUP(D794,'[1]0.1 Produksi Pangan &amp; Penduduk'!$D$5:$Y$860,22,0))</f>
        <v/>
      </c>
      <c r="G794" s="30" t="str">
        <f t="shared" si="60"/>
        <v/>
      </c>
      <c r="H794" s="30" t="str">
        <f t="shared" si="61"/>
        <v/>
      </c>
      <c r="I794" s="30" t="str">
        <f t="shared" si="62"/>
        <v/>
      </c>
      <c r="J794" s="30" t="str">
        <f t="shared" si="63"/>
        <v/>
      </c>
      <c r="K794" s="30" t="str">
        <f t="shared" si="64"/>
        <v/>
      </c>
    </row>
    <row r="795" spans="1:11" ht="15" x14ac:dyDescent="0.25">
      <c r="A795" s="1" t="str">
        <f>IF('1.1 Produksi Bersih Padi 2025'!A795="","",'1.1 Produksi Bersih Padi 2025'!A795)</f>
        <v/>
      </c>
      <c r="B795" s="31" t="str">
        <f>IF('1.1 Produksi Bersih Padi 2025'!B795="","",'1.1 Produksi Bersih Padi 2025'!B795)</f>
        <v/>
      </c>
      <c r="C795" s="31" t="str">
        <f>IF('1.1 Produksi Bersih Padi 2025'!C795="","",'1.1 Produksi Bersih Padi 2025'!C795)</f>
        <v/>
      </c>
      <c r="D795" s="1" t="str">
        <f>IF('1.1 Produksi Bersih Padi 2025'!D795="","",'1.1 Produksi Bersih Padi 2025'!D795)</f>
        <v/>
      </c>
      <c r="E795" s="1" t="str">
        <f>IF('1.1 Produksi Bersih Padi 2025'!E795="","",'1.1 Produksi Bersih Padi 2025'!E795)</f>
        <v/>
      </c>
      <c r="F795" s="28" t="str">
        <f>IF(D795="","",VLOOKUP(D795,'[1]0.1 Produksi Pangan &amp; Penduduk'!$D$5:$Y$860,22,0))</f>
        <v/>
      </c>
      <c r="G795" s="30" t="str">
        <f t="shared" si="60"/>
        <v/>
      </c>
      <c r="H795" s="30" t="str">
        <f t="shared" si="61"/>
        <v/>
      </c>
      <c r="I795" s="30" t="str">
        <f t="shared" si="62"/>
        <v/>
      </c>
      <c r="J795" s="30" t="str">
        <f t="shared" si="63"/>
        <v/>
      </c>
      <c r="K795" s="30" t="str">
        <f t="shared" si="64"/>
        <v/>
      </c>
    </row>
    <row r="796" spans="1:11" ht="15" x14ac:dyDescent="0.25">
      <c r="A796" s="1" t="str">
        <f>IF('1.1 Produksi Bersih Padi 2025'!A796="","",'1.1 Produksi Bersih Padi 2025'!A796)</f>
        <v/>
      </c>
      <c r="B796" s="31" t="str">
        <f>IF('1.1 Produksi Bersih Padi 2025'!B796="","",'1.1 Produksi Bersih Padi 2025'!B796)</f>
        <v/>
      </c>
      <c r="C796" s="31" t="str">
        <f>IF('1.1 Produksi Bersih Padi 2025'!C796="","",'1.1 Produksi Bersih Padi 2025'!C796)</f>
        <v/>
      </c>
      <c r="D796" s="1" t="str">
        <f>IF('1.1 Produksi Bersih Padi 2025'!D796="","",'1.1 Produksi Bersih Padi 2025'!D796)</f>
        <v/>
      </c>
      <c r="E796" s="1" t="str">
        <f>IF('1.1 Produksi Bersih Padi 2025'!E796="","",'1.1 Produksi Bersih Padi 2025'!E796)</f>
        <v/>
      </c>
      <c r="F796" s="28" t="str">
        <f>IF(D796="","",VLOOKUP(D796,'[1]0.1 Produksi Pangan &amp; Penduduk'!$D$5:$Y$860,22,0))</f>
        <v/>
      </c>
      <c r="G796" s="30" t="str">
        <f t="shared" si="60"/>
        <v/>
      </c>
      <c r="H796" s="30" t="str">
        <f t="shared" si="61"/>
        <v/>
      </c>
      <c r="I796" s="30" t="str">
        <f t="shared" si="62"/>
        <v/>
      </c>
      <c r="J796" s="30" t="str">
        <f t="shared" si="63"/>
        <v/>
      </c>
      <c r="K796" s="30" t="str">
        <f t="shared" si="64"/>
        <v/>
      </c>
    </row>
    <row r="797" spans="1:11" ht="15" x14ac:dyDescent="0.25">
      <c r="A797" s="1" t="str">
        <f>IF('1.1 Produksi Bersih Padi 2025'!A797="","",'1.1 Produksi Bersih Padi 2025'!A797)</f>
        <v/>
      </c>
      <c r="B797" s="31" t="str">
        <f>IF('1.1 Produksi Bersih Padi 2025'!B797="","",'1.1 Produksi Bersih Padi 2025'!B797)</f>
        <v/>
      </c>
      <c r="C797" s="31" t="str">
        <f>IF('1.1 Produksi Bersih Padi 2025'!C797="","",'1.1 Produksi Bersih Padi 2025'!C797)</f>
        <v/>
      </c>
      <c r="D797" s="1" t="str">
        <f>IF('1.1 Produksi Bersih Padi 2025'!D797="","",'1.1 Produksi Bersih Padi 2025'!D797)</f>
        <v/>
      </c>
      <c r="E797" s="1" t="str">
        <f>IF('1.1 Produksi Bersih Padi 2025'!E797="","",'1.1 Produksi Bersih Padi 2025'!E797)</f>
        <v/>
      </c>
      <c r="F797" s="28" t="str">
        <f>IF(D797="","",VLOOKUP(D797,'[1]0.1 Produksi Pangan &amp; Penduduk'!$D$5:$Y$860,22,0))</f>
        <v/>
      </c>
      <c r="G797" s="30" t="str">
        <f t="shared" si="60"/>
        <v/>
      </c>
      <c r="H797" s="30" t="str">
        <f t="shared" si="61"/>
        <v/>
      </c>
      <c r="I797" s="30" t="str">
        <f t="shared" si="62"/>
        <v/>
      </c>
      <c r="J797" s="30" t="str">
        <f t="shared" si="63"/>
        <v/>
      </c>
      <c r="K797" s="30" t="str">
        <f t="shared" si="64"/>
        <v/>
      </c>
    </row>
    <row r="798" spans="1:11" ht="15" x14ac:dyDescent="0.25">
      <c r="A798" s="1" t="str">
        <f>IF('1.1 Produksi Bersih Padi 2025'!A798="","",'1.1 Produksi Bersih Padi 2025'!A798)</f>
        <v/>
      </c>
      <c r="B798" s="31" t="str">
        <f>IF('1.1 Produksi Bersih Padi 2025'!B798="","",'1.1 Produksi Bersih Padi 2025'!B798)</f>
        <v/>
      </c>
      <c r="C798" s="31" t="str">
        <f>IF('1.1 Produksi Bersih Padi 2025'!C798="","",'1.1 Produksi Bersih Padi 2025'!C798)</f>
        <v/>
      </c>
      <c r="D798" s="1" t="str">
        <f>IF('1.1 Produksi Bersih Padi 2025'!D798="","",'1.1 Produksi Bersih Padi 2025'!D798)</f>
        <v/>
      </c>
      <c r="E798" s="1" t="str">
        <f>IF('1.1 Produksi Bersih Padi 2025'!E798="","",'1.1 Produksi Bersih Padi 2025'!E798)</f>
        <v/>
      </c>
      <c r="F798" s="28" t="str">
        <f>IF(D798="","",VLOOKUP(D798,'[1]0.1 Produksi Pangan &amp; Penduduk'!$D$5:$Y$860,22,0))</f>
        <v/>
      </c>
      <c r="G798" s="30" t="str">
        <f t="shared" si="60"/>
        <v/>
      </c>
      <c r="H798" s="30" t="str">
        <f t="shared" si="61"/>
        <v/>
      </c>
      <c r="I798" s="30" t="str">
        <f t="shared" si="62"/>
        <v/>
      </c>
      <c r="J798" s="30" t="str">
        <f t="shared" si="63"/>
        <v/>
      </c>
      <c r="K798" s="30" t="str">
        <f t="shared" si="64"/>
        <v/>
      </c>
    </row>
    <row r="799" spans="1:11" ht="15" x14ac:dyDescent="0.25">
      <c r="A799" s="1" t="str">
        <f>IF('1.1 Produksi Bersih Padi 2025'!A799="","",'1.1 Produksi Bersih Padi 2025'!A799)</f>
        <v/>
      </c>
      <c r="B799" s="31" t="str">
        <f>IF('1.1 Produksi Bersih Padi 2025'!B799="","",'1.1 Produksi Bersih Padi 2025'!B799)</f>
        <v/>
      </c>
      <c r="C799" s="31" t="str">
        <f>IF('1.1 Produksi Bersih Padi 2025'!C799="","",'1.1 Produksi Bersih Padi 2025'!C799)</f>
        <v/>
      </c>
      <c r="D799" s="1" t="str">
        <f>IF('1.1 Produksi Bersih Padi 2025'!D799="","",'1.1 Produksi Bersih Padi 2025'!D799)</f>
        <v/>
      </c>
      <c r="E799" s="1" t="str">
        <f>IF('1.1 Produksi Bersih Padi 2025'!E799="","",'1.1 Produksi Bersih Padi 2025'!E799)</f>
        <v/>
      </c>
      <c r="F799" s="28" t="str">
        <f>IF(D799="","",VLOOKUP(D799,'[1]0.1 Produksi Pangan &amp; Penduduk'!$D$5:$Y$860,22,0))</f>
        <v/>
      </c>
      <c r="G799" s="30" t="str">
        <f t="shared" si="60"/>
        <v/>
      </c>
      <c r="H799" s="30" t="str">
        <f t="shared" si="61"/>
        <v/>
      </c>
      <c r="I799" s="30" t="str">
        <f t="shared" si="62"/>
        <v/>
      </c>
      <c r="J799" s="30" t="str">
        <f t="shared" si="63"/>
        <v/>
      </c>
      <c r="K799" s="30" t="str">
        <f t="shared" si="64"/>
        <v/>
      </c>
    </row>
    <row r="800" spans="1:11" ht="15" x14ac:dyDescent="0.25">
      <c r="A800" s="1" t="str">
        <f>IF('1.1 Produksi Bersih Padi 2025'!A800="","",'1.1 Produksi Bersih Padi 2025'!A800)</f>
        <v/>
      </c>
      <c r="B800" s="31" t="str">
        <f>IF('1.1 Produksi Bersih Padi 2025'!B800="","",'1.1 Produksi Bersih Padi 2025'!B800)</f>
        <v/>
      </c>
      <c r="C800" s="31" t="str">
        <f>IF('1.1 Produksi Bersih Padi 2025'!C800="","",'1.1 Produksi Bersih Padi 2025'!C800)</f>
        <v/>
      </c>
      <c r="D800" s="1" t="str">
        <f>IF('1.1 Produksi Bersih Padi 2025'!D800="","",'1.1 Produksi Bersih Padi 2025'!D800)</f>
        <v/>
      </c>
      <c r="E800" s="1" t="str">
        <f>IF('1.1 Produksi Bersih Padi 2025'!E800="","",'1.1 Produksi Bersih Padi 2025'!E800)</f>
        <v/>
      </c>
      <c r="F800" s="28" t="str">
        <f>IF(D800="","",VLOOKUP(D800,'[1]0.1 Produksi Pangan &amp; Penduduk'!$D$5:$Y$860,22,0))</f>
        <v/>
      </c>
      <c r="G800" s="30" t="str">
        <f t="shared" si="60"/>
        <v/>
      </c>
      <c r="H800" s="30" t="str">
        <f t="shared" si="61"/>
        <v/>
      </c>
      <c r="I800" s="30" t="str">
        <f t="shared" si="62"/>
        <v/>
      </c>
      <c r="J800" s="30" t="str">
        <f t="shared" si="63"/>
        <v/>
      </c>
      <c r="K800" s="30" t="str">
        <f t="shared" si="64"/>
        <v/>
      </c>
    </row>
    <row r="801" spans="1:11" ht="15" x14ac:dyDescent="0.25">
      <c r="A801" s="1" t="str">
        <f>IF('1.1 Produksi Bersih Padi 2025'!A801="","",'1.1 Produksi Bersih Padi 2025'!A801)</f>
        <v/>
      </c>
      <c r="B801" s="31" t="str">
        <f>IF('1.1 Produksi Bersih Padi 2025'!B801="","",'1.1 Produksi Bersih Padi 2025'!B801)</f>
        <v/>
      </c>
      <c r="C801" s="31" t="str">
        <f>IF('1.1 Produksi Bersih Padi 2025'!C801="","",'1.1 Produksi Bersih Padi 2025'!C801)</f>
        <v/>
      </c>
      <c r="D801" s="1" t="str">
        <f>IF('1.1 Produksi Bersih Padi 2025'!D801="","",'1.1 Produksi Bersih Padi 2025'!D801)</f>
        <v/>
      </c>
      <c r="E801" s="1" t="str">
        <f>IF('1.1 Produksi Bersih Padi 2025'!E801="","",'1.1 Produksi Bersih Padi 2025'!E801)</f>
        <v/>
      </c>
      <c r="F801" s="28" t="str">
        <f>IF(D801="","",VLOOKUP(D801,'[1]0.1 Produksi Pangan &amp; Penduduk'!$D$5:$Y$860,22,0))</f>
        <v/>
      </c>
      <c r="G801" s="30" t="str">
        <f t="shared" si="60"/>
        <v/>
      </c>
      <c r="H801" s="30" t="str">
        <f t="shared" si="61"/>
        <v/>
      </c>
      <c r="I801" s="30" t="str">
        <f t="shared" si="62"/>
        <v/>
      </c>
      <c r="J801" s="30" t="str">
        <f t="shared" si="63"/>
        <v/>
      </c>
      <c r="K801" s="30" t="str">
        <f t="shared" si="64"/>
        <v/>
      </c>
    </row>
    <row r="802" spans="1:11" ht="15" x14ac:dyDescent="0.25">
      <c r="A802" s="1" t="str">
        <f>IF('1.1 Produksi Bersih Padi 2025'!A802="","",'1.1 Produksi Bersih Padi 2025'!A802)</f>
        <v/>
      </c>
      <c r="B802" s="31" t="str">
        <f>IF('1.1 Produksi Bersih Padi 2025'!B802="","",'1.1 Produksi Bersih Padi 2025'!B802)</f>
        <v/>
      </c>
      <c r="C802" s="31" t="str">
        <f>IF('1.1 Produksi Bersih Padi 2025'!C802="","",'1.1 Produksi Bersih Padi 2025'!C802)</f>
        <v/>
      </c>
      <c r="D802" s="1" t="str">
        <f>IF('1.1 Produksi Bersih Padi 2025'!D802="","",'1.1 Produksi Bersih Padi 2025'!D802)</f>
        <v/>
      </c>
      <c r="E802" s="1" t="str">
        <f>IF('1.1 Produksi Bersih Padi 2025'!E802="","",'1.1 Produksi Bersih Padi 2025'!E802)</f>
        <v/>
      </c>
      <c r="F802" s="28" t="str">
        <f>IF(D802="","",VLOOKUP(D802,'[1]0.1 Produksi Pangan &amp; Penduduk'!$D$5:$Y$860,22,0))</f>
        <v/>
      </c>
      <c r="G802" s="30" t="str">
        <f t="shared" si="60"/>
        <v/>
      </c>
      <c r="H802" s="30" t="str">
        <f t="shared" si="61"/>
        <v/>
      </c>
      <c r="I802" s="30" t="str">
        <f t="shared" si="62"/>
        <v/>
      </c>
      <c r="J802" s="30" t="str">
        <f t="shared" si="63"/>
        <v/>
      </c>
      <c r="K802" s="30" t="str">
        <f t="shared" si="64"/>
        <v/>
      </c>
    </row>
    <row r="803" spans="1:11" ht="15" x14ac:dyDescent="0.25">
      <c r="A803" s="1" t="str">
        <f>IF('1.1 Produksi Bersih Padi 2025'!A803="","",'1.1 Produksi Bersih Padi 2025'!A803)</f>
        <v/>
      </c>
      <c r="B803" s="31" t="str">
        <f>IF('1.1 Produksi Bersih Padi 2025'!B803="","",'1.1 Produksi Bersih Padi 2025'!B803)</f>
        <v/>
      </c>
      <c r="C803" s="31" t="str">
        <f>IF('1.1 Produksi Bersih Padi 2025'!C803="","",'1.1 Produksi Bersih Padi 2025'!C803)</f>
        <v/>
      </c>
      <c r="D803" s="1" t="str">
        <f>IF('1.1 Produksi Bersih Padi 2025'!D803="","",'1.1 Produksi Bersih Padi 2025'!D803)</f>
        <v/>
      </c>
      <c r="E803" s="1" t="str">
        <f>IF('1.1 Produksi Bersih Padi 2025'!E803="","",'1.1 Produksi Bersih Padi 2025'!E803)</f>
        <v/>
      </c>
      <c r="F803" s="28" t="str">
        <f>IF(D803="","",VLOOKUP(D803,'[1]0.1 Produksi Pangan &amp; Penduduk'!$D$5:$Y$860,22,0))</f>
        <v/>
      </c>
      <c r="G803" s="30" t="str">
        <f t="shared" si="60"/>
        <v/>
      </c>
      <c r="H803" s="30" t="str">
        <f t="shared" si="61"/>
        <v/>
      </c>
      <c r="I803" s="30" t="str">
        <f t="shared" si="62"/>
        <v/>
      </c>
      <c r="J803" s="30" t="str">
        <f t="shared" si="63"/>
        <v/>
      </c>
      <c r="K803" s="30" t="str">
        <f t="shared" si="64"/>
        <v/>
      </c>
    </row>
    <row r="804" spans="1:11" ht="15" x14ac:dyDescent="0.25">
      <c r="A804" s="1" t="str">
        <f>IF('1.1 Produksi Bersih Padi 2025'!A804="","",'1.1 Produksi Bersih Padi 2025'!A804)</f>
        <v/>
      </c>
      <c r="B804" s="31" t="str">
        <f>IF('1.1 Produksi Bersih Padi 2025'!B804="","",'1.1 Produksi Bersih Padi 2025'!B804)</f>
        <v/>
      </c>
      <c r="C804" s="31" t="str">
        <f>IF('1.1 Produksi Bersih Padi 2025'!C804="","",'1.1 Produksi Bersih Padi 2025'!C804)</f>
        <v/>
      </c>
      <c r="D804" s="1" t="str">
        <f>IF('1.1 Produksi Bersih Padi 2025'!D804="","",'1.1 Produksi Bersih Padi 2025'!D804)</f>
        <v/>
      </c>
      <c r="E804" s="1" t="str">
        <f>IF('1.1 Produksi Bersih Padi 2025'!E804="","",'1.1 Produksi Bersih Padi 2025'!E804)</f>
        <v/>
      </c>
      <c r="F804" s="28" t="str">
        <f>IF(D804="","",VLOOKUP(D804,'[1]0.1 Produksi Pangan &amp; Penduduk'!$D$5:$Y$860,22,0))</f>
        <v/>
      </c>
      <c r="G804" s="30" t="str">
        <f t="shared" si="60"/>
        <v/>
      </c>
      <c r="H804" s="30" t="str">
        <f t="shared" si="61"/>
        <v/>
      </c>
      <c r="I804" s="30" t="str">
        <f t="shared" si="62"/>
        <v/>
      </c>
      <c r="J804" s="30" t="str">
        <f t="shared" si="63"/>
        <v/>
      </c>
      <c r="K804" s="30" t="str">
        <f t="shared" si="64"/>
        <v/>
      </c>
    </row>
    <row r="805" spans="1:11" ht="15" x14ac:dyDescent="0.25">
      <c r="A805" s="1" t="str">
        <f>IF('1.1 Produksi Bersih Padi 2025'!A805="","",'1.1 Produksi Bersih Padi 2025'!A805)</f>
        <v/>
      </c>
      <c r="B805" s="31" t="str">
        <f>IF('1.1 Produksi Bersih Padi 2025'!B805="","",'1.1 Produksi Bersih Padi 2025'!B805)</f>
        <v/>
      </c>
      <c r="C805" s="31" t="str">
        <f>IF('1.1 Produksi Bersih Padi 2025'!C805="","",'1.1 Produksi Bersih Padi 2025'!C805)</f>
        <v/>
      </c>
      <c r="D805" s="1" t="str">
        <f>IF('1.1 Produksi Bersih Padi 2025'!D805="","",'1.1 Produksi Bersih Padi 2025'!D805)</f>
        <v/>
      </c>
      <c r="E805" s="1" t="str">
        <f>IF('1.1 Produksi Bersih Padi 2025'!E805="","",'1.1 Produksi Bersih Padi 2025'!E805)</f>
        <v/>
      </c>
      <c r="F805" s="28" t="str">
        <f>IF(D805="","",VLOOKUP(D805,'[1]0.1 Produksi Pangan &amp; Penduduk'!$D$5:$Y$860,22,0))</f>
        <v/>
      </c>
      <c r="G805" s="30" t="str">
        <f t="shared" si="60"/>
        <v/>
      </c>
      <c r="H805" s="30" t="str">
        <f t="shared" si="61"/>
        <v/>
      </c>
      <c r="I805" s="30" t="str">
        <f t="shared" si="62"/>
        <v/>
      </c>
      <c r="J805" s="30" t="str">
        <f t="shared" si="63"/>
        <v/>
      </c>
      <c r="K805" s="30" t="str">
        <f t="shared" si="64"/>
        <v/>
      </c>
    </row>
    <row r="806" spans="1:11" ht="15" x14ac:dyDescent="0.25">
      <c r="A806" s="1" t="str">
        <f>IF('1.1 Produksi Bersih Padi 2025'!A806="","",'1.1 Produksi Bersih Padi 2025'!A806)</f>
        <v/>
      </c>
      <c r="B806" s="31" t="str">
        <f>IF('1.1 Produksi Bersih Padi 2025'!B806="","",'1.1 Produksi Bersih Padi 2025'!B806)</f>
        <v/>
      </c>
      <c r="C806" s="31" t="str">
        <f>IF('1.1 Produksi Bersih Padi 2025'!C806="","",'1.1 Produksi Bersih Padi 2025'!C806)</f>
        <v/>
      </c>
      <c r="D806" s="1" t="str">
        <f>IF('1.1 Produksi Bersih Padi 2025'!D806="","",'1.1 Produksi Bersih Padi 2025'!D806)</f>
        <v/>
      </c>
      <c r="E806" s="1" t="str">
        <f>IF('1.1 Produksi Bersih Padi 2025'!E806="","",'1.1 Produksi Bersih Padi 2025'!E806)</f>
        <v/>
      </c>
      <c r="F806" s="28" t="str">
        <f>IF(D806="","",VLOOKUP(D806,'[1]0.1 Produksi Pangan &amp; Penduduk'!$D$5:$Y$860,22,0))</f>
        <v/>
      </c>
      <c r="G806" s="30" t="str">
        <f t="shared" si="60"/>
        <v/>
      </c>
      <c r="H806" s="30" t="str">
        <f t="shared" si="61"/>
        <v/>
      </c>
      <c r="I806" s="30" t="str">
        <f t="shared" si="62"/>
        <v/>
      </c>
      <c r="J806" s="30" t="str">
        <f t="shared" si="63"/>
        <v/>
      </c>
      <c r="K806" s="30" t="str">
        <f t="shared" si="64"/>
        <v/>
      </c>
    </row>
    <row r="807" spans="1:11" ht="15" x14ac:dyDescent="0.25">
      <c r="A807" s="1" t="str">
        <f>IF('1.1 Produksi Bersih Padi 2025'!A807="","",'1.1 Produksi Bersih Padi 2025'!A807)</f>
        <v/>
      </c>
      <c r="B807" s="31" t="str">
        <f>IF('1.1 Produksi Bersih Padi 2025'!B807="","",'1.1 Produksi Bersih Padi 2025'!B807)</f>
        <v/>
      </c>
      <c r="C807" s="31" t="str">
        <f>IF('1.1 Produksi Bersih Padi 2025'!C807="","",'1.1 Produksi Bersih Padi 2025'!C807)</f>
        <v/>
      </c>
      <c r="D807" s="1" t="str">
        <f>IF('1.1 Produksi Bersih Padi 2025'!D807="","",'1.1 Produksi Bersih Padi 2025'!D807)</f>
        <v/>
      </c>
      <c r="E807" s="1" t="str">
        <f>IF('1.1 Produksi Bersih Padi 2025'!E807="","",'1.1 Produksi Bersih Padi 2025'!E807)</f>
        <v/>
      </c>
      <c r="F807" s="28" t="str">
        <f>IF(D807="","",VLOOKUP(D807,'[1]0.1 Produksi Pangan &amp; Penduduk'!$D$5:$Y$860,22,0))</f>
        <v/>
      </c>
      <c r="G807" s="30" t="str">
        <f t="shared" si="60"/>
        <v/>
      </c>
      <c r="H807" s="30" t="str">
        <f t="shared" si="61"/>
        <v/>
      </c>
      <c r="I807" s="30" t="str">
        <f t="shared" si="62"/>
        <v/>
      </c>
      <c r="J807" s="30" t="str">
        <f t="shared" si="63"/>
        <v/>
      </c>
      <c r="K807" s="30" t="str">
        <f t="shared" si="64"/>
        <v/>
      </c>
    </row>
    <row r="808" spans="1:11" ht="15" x14ac:dyDescent="0.25">
      <c r="A808" s="1" t="str">
        <f>IF('1.1 Produksi Bersih Padi 2025'!A808="","",'1.1 Produksi Bersih Padi 2025'!A808)</f>
        <v/>
      </c>
      <c r="B808" s="31" t="str">
        <f>IF('1.1 Produksi Bersih Padi 2025'!B808="","",'1.1 Produksi Bersih Padi 2025'!B808)</f>
        <v/>
      </c>
      <c r="C808" s="31" t="str">
        <f>IF('1.1 Produksi Bersih Padi 2025'!C808="","",'1.1 Produksi Bersih Padi 2025'!C808)</f>
        <v/>
      </c>
      <c r="D808" s="1" t="str">
        <f>IF('1.1 Produksi Bersih Padi 2025'!D808="","",'1.1 Produksi Bersih Padi 2025'!D808)</f>
        <v/>
      </c>
      <c r="E808" s="1" t="str">
        <f>IF('1.1 Produksi Bersih Padi 2025'!E808="","",'1.1 Produksi Bersih Padi 2025'!E808)</f>
        <v/>
      </c>
      <c r="F808" s="28" t="str">
        <f>IF(D808="","",VLOOKUP(D808,'[1]0.1 Produksi Pangan &amp; Penduduk'!$D$5:$Y$860,22,0))</f>
        <v/>
      </c>
      <c r="G808" s="30" t="str">
        <f t="shared" si="60"/>
        <v/>
      </c>
      <c r="H808" s="30" t="str">
        <f t="shared" si="61"/>
        <v/>
      </c>
      <c r="I808" s="30" t="str">
        <f t="shared" si="62"/>
        <v/>
      </c>
      <c r="J808" s="30" t="str">
        <f t="shared" si="63"/>
        <v/>
      </c>
      <c r="K808" s="30" t="str">
        <f t="shared" si="64"/>
        <v/>
      </c>
    </row>
    <row r="809" spans="1:11" ht="15" x14ac:dyDescent="0.25">
      <c r="A809" s="1" t="str">
        <f>IF('1.1 Produksi Bersih Padi 2025'!A809="","",'1.1 Produksi Bersih Padi 2025'!A809)</f>
        <v/>
      </c>
      <c r="B809" s="31" t="str">
        <f>IF('1.1 Produksi Bersih Padi 2025'!B809="","",'1.1 Produksi Bersih Padi 2025'!B809)</f>
        <v/>
      </c>
      <c r="C809" s="31" t="str">
        <f>IF('1.1 Produksi Bersih Padi 2025'!C809="","",'1.1 Produksi Bersih Padi 2025'!C809)</f>
        <v/>
      </c>
      <c r="D809" s="1" t="str">
        <f>IF('1.1 Produksi Bersih Padi 2025'!D809="","",'1.1 Produksi Bersih Padi 2025'!D809)</f>
        <v/>
      </c>
      <c r="E809" s="1" t="str">
        <f>IF('1.1 Produksi Bersih Padi 2025'!E809="","",'1.1 Produksi Bersih Padi 2025'!E809)</f>
        <v/>
      </c>
      <c r="F809" s="28" t="str">
        <f>IF(D809="","",VLOOKUP(D809,'[1]0.1 Produksi Pangan &amp; Penduduk'!$D$5:$Y$860,22,0))</f>
        <v/>
      </c>
      <c r="G809" s="30" t="str">
        <f t="shared" si="60"/>
        <v/>
      </c>
      <c r="H809" s="30" t="str">
        <f t="shared" si="61"/>
        <v/>
      </c>
      <c r="I809" s="30" t="str">
        <f t="shared" si="62"/>
        <v/>
      </c>
      <c r="J809" s="30" t="str">
        <f t="shared" si="63"/>
        <v/>
      </c>
      <c r="K809" s="30" t="str">
        <f t="shared" si="64"/>
        <v/>
      </c>
    </row>
    <row r="810" spans="1:11" ht="15" x14ac:dyDescent="0.25">
      <c r="A810" s="1" t="str">
        <f>IF('1.1 Produksi Bersih Padi 2025'!A810="","",'1.1 Produksi Bersih Padi 2025'!A810)</f>
        <v/>
      </c>
      <c r="B810" s="31" t="str">
        <f>IF('1.1 Produksi Bersih Padi 2025'!B810="","",'1.1 Produksi Bersih Padi 2025'!B810)</f>
        <v/>
      </c>
      <c r="C810" s="31" t="str">
        <f>IF('1.1 Produksi Bersih Padi 2025'!C810="","",'1.1 Produksi Bersih Padi 2025'!C810)</f>
        <v/>
      </c>
      <c r="D810" s="1" t="str">
        <f>IF('1.1 Produksi Bersih Padi 2025'!D810="","",'1.1 Produksi Bersih Padi 2025'!D810)</f>
        <v/>
      </c>
      <c r="E810" s="1" t="str">
        <f>IF('1.1 Produksi Bersih Padi 2025'!E810="","",'1.1 Produksi Bersih Padi 2025'!E810)</f>
        <v/>
      </c>
      <c r="F810" s="28" t="str">
        <f>IF(D810="","",VLOOKUP(D810,'[1]0.1 Produksi Pangan &amp; Penduduk'!$D$5:$Y$860,22,0))</f>
        <v/>
      </c>
      <c r="G810" s="30" t="str">
        <f t="shared" si="60"/>
        <v/>
      </c>
      <c r="H810" s="30" t="str">
        <f t="shared" si="61"/>
        <v/>
      </c>
      <c r="I810" s="30" t="str">
        <f t="shared" si="62"/>
        <v/>
      </c>
      <c r="J810" s="30" t="str">
        <f t="shared" si="63"/>
        <v/>
      </c>
      <c r="K810" s="30" t="str">
        <f t="shared" si="64"/>
        <v/>
      </c>
    </row>
    <row r="811" spans="1:11" ht="15" x14ac:dyDescent="0.25">
      <c r="A811" s="1" t="str">
        <f>IF('1.1 Produksi Bersih Padi 2025'!A811="","",'1.1 Produksi Bersih Padi 2025'!A811)</f>
        <v/>
      </c>
      <c r="B811" s="31" t="str">
        <f>IF('1.1 Produksi Bersih Padi 2025'!B811="","",'1.1 Produksi Bersih Padi 2025'!B811)</f>
        <v/>
      </c>
      <c r="C811" s="31" t="str">
        <f>IF('1.1 Produksi Bersih Padi 2025'!C811="","",'1.1 Produksi Bersih Padi 2025'!C811)</f>
        <v/>
      </c>
      <c r="D811" s="1" t="str">
        <f>IF('1.1 Produksi Bersih Padi 2025'!D811="","",'1.1 Produksi Bersih Padi 2025'!D811)</f>
        <v/>
      </c>
      <c r="E811" s="1" t="str">
        <f>IF('1.1 Produksi Bersih Padi 2025'!E811="","",'1.1 Produksi Bersih Padi 2025'!E811)</f>
        <v/>
      </c>
      <c r="F811" s="28" t="str">
        <f>IF(D811="","",VLOOKUP(D811,'[1]0.1 Produksi Pangan &amp; Penduduk'!$D$5:$Y$860,22,0))</f>
        <v/>
      </c>
      <c r="G811" s="30" t="str">
        <f t="shared" si="60"/>
        <v/>
      </c>
      <c r="H811" s="30" t="str">
        <f t="shared" si="61"/>
        <v/>
      </c>
      <c r="I811" s="30" t="str">
        <f t="shared" si="62"/>
        <v/>
      </c>
      <c r="J811" s="30" t="str">
        <f t="shared" si="63"/>
        <v/>
      </c>
      <c r="K811" s="30" t="str">
        <f t="shared" si="64"/>
        <v/>
      </c>
    </row>
    <row r="812" spans="1:11" ht="15" x14ac:dyDescent="0.25">
      <c r="A812" s="1" t="str">
        <f>IF('1.1 Produksi Bersih Padi 2025'!A812="","",'1.1 Produksi Bersih Padi 2025'!A812)</f>
        <v/>
      </c>
      <c r="B812" s="31" t="str">
        <f>IF('1.1 Produksi Bersih Padi 2025'!B812="","",'1.1 Produksi Bersih Padi 2025'!B812)</f>
        <v/>
      </c>
      <c r="C812" s="31" t="str">
        <f>IF('1.1 Produksi Bersih Padi 2025'!C812="","",'1.1 Produksi Bersih Padi 2025'!C812)</f>
        <v/>
      </c>
      <c r="D812" s="1" t="str">
        <f>IF('1.1 Produksi Bersih Padi 2025'!D812="","",'1.1 Produksi Bersih Padi 2025'!D812)</f>
        <v/>
      </c>
      <c r="E812" s="1" t="str">
        <f>IF('1.1 Produksi Bersih Padi 2025'!E812="","",'1.1 Produksi Bersih Padi 2025'!E812)</f>
        <v/>
      </c>
      <c r="F812" s="28" t="str">
        <f>IF(D812="","",VLOOKUP(D812,'[1]0.1 Produksi Pangan &amp; Penduduk'!$D$5:$Y$860,22,0))</f>
        <v/>
      </c>
      <c r="G812" s="30" t="str">
        <f t="shared" si="60"/>
        <v/>
      </c>
      <c r="H812" s="30" t="str">
        <f t="shared" si="61"/>
        <v/>
      </c>
      <c r="I812" s="30" t="str">
        <f t="shared" si="62"/>
        <v/>
      </c>
      <c r="J812" s="30" t="str">
        <f t="shared" si="63"/>
        <v/>
      </c>
      <c r="K812" s="30" t="str">
        <f t="shared" si="64"/>
        <v/>
      </c>
    </row>
    <row r="813" spans="1:11" ht="15" x14ac:dyDescent="0.25">
      <c r="A813" s="1" t="str">
        <f>IF('1.1 Produksi Bersih Padi 2025'!A813="","",'1.1 Produksi Bersih Padi 2025'!A813)</f>
        <v/>
      </c>
      <c r="B813" s="31" t="str">
        <f>IF('1.1 Produksi Bersih Padi 2025'!B813="","",'1.1 Produksi Bersih Padi 2025'!B813)</f>
        <v/>
      </c>
      <c r="C813" s="31" t="str">
        <f>IF('1.1 Produksi Bersih Padi 2025'!C813="","",'1.1 Produksi Bersih Padi 2025'!C813)</f>
        <v/>
      </c>
      <c r="D813" s="1" t="str">
        <f>IF('1.1 Produksi Bersih Padi 2025'!D813="","",'1.1 Produksi Bersih Padi 2025'!D813)</f>
        <v/>
      </c>
      <c r="E813" s="1" t="str">
        <f>IF('1.1 Produksi Bersih Padi 2025'!E813="","",'1.1 Produksi Bersih Padi 2025'!E813)</f>
        <v/>
      </c>
      <c r="F813" s="28" t="str">
        <f>IF(D813="","",VLOOKUP(D813,'[1]0.1 Produksi Pangan &amp; Penduduk'!$D$5:$Y$860,22,0))</f>
        <v/>
      </c>
      <c r="G813" s="30" t="str">
        <f t="shared" si="60"/>
        <v/>
      </c>
      <c r="H813" s="30" t="str">
        <f t="shared" si="61"/>
        <v/>
      </c>
      <c r="I813" s="30" t="str">
        <f t="shared" si="62"/>
        <v/>
      </c>
      <c r="J813" s="30" t="str">
        <f t="shared" si="63"/>
        <v/>
      </c>
      <c r="K813" s="30" t="str">
        <f t="shared" si="64"/>
        <v/>
      </c>
    </row>
    <row r="814" spans="1:11" ht="15" x14ac:dyDescent="0.25">
      <c r="A814" s="1" t="str">
        <f>IF('1.1 Produksi Bersih Padi 2025'!A814="","",'1.1 Produksi Bersih Padi 2025'!A814)</f>
        <v/>
      </c>
      <c r="B814" s="31" t="str">
        <f>IF('1.1 Produksi Bersih Padi 2025'!B814="","",'1.1 Produksi Bersih Padi 2025'!B814)</f>
        <v/>
      </c>
      <c r="C814" s="31" t="str">
        <f>IF('1.1 Produksi Bersih Padi 2025'!C814="","",'1.1 Produksi Bersih Padi 2025'!C814)</f>
        <v/>
      </c>
      <c r="D814" s="1" t="str">
        <f>IF('1.1 Produksi Bersih Padi 2025'!D814="","",'1.1 Produksi Bersih Padi 2025'!D814)</f>
        <v/>
      </c>
      <c r="E814" s="1" t="str">
        <f>IF('1.1 Produksi Bersih Padi 2025'!E814="","",'1.1 Produksi Bersih Padi 2025'!E814)</f>
        <v/>
      </c>
      <c r="F814" s="28" t="str">
        <f>IF(D814="","",VLOOKUP(D814,'[1]0.1 Produksi Pangan &amp; Penduduk'!$D$5:$Y$860,22,0))</f>
        <v/>
      </c>
      <c r="G814" s="30" t="str">
        <f t="shared" si="60"/>
        <v/>
      </c>
      <c r="H814" s="30" t="str">
        <f t="shared" si="61"/>
        <v/>
      </c>
      <c r="I814" s="30" t="str">
        <f t="shared" si="62"/>
        <v/>
      </c>
      <c r="J814" s="30" t="str">
        <f t="shared" si="63"/>
        <v/>
      </c>
      <c r="K814" s="30" t="str">
        <f t="shared" si="64"/>
        <v/>
      </c>
    </row>
    <row r="815" spans="1:11" ht="15" x14ac:dyDescent="0.25">
      <c r="A815" s="1" t="str">
        <f>IF('1.1 Produksi Bersih Padi 2025'!A815="","",'1.1 Produksi Bersih Padi 2025'!A815)</f>
        <v/>
      </c>
      <c r="B815" s="31" t="str">
        <f>IF('1.1 Produksi Bersih Padi 2025'!B815="","",'1.1 Produksi Bersih Padi 2025'!B815)</f>
        <v/>
      </c>
      <c r="C815" s="31" t="str">
        <f>IF('1.1 Produksi Bersih Padi 2025'!C815="","",'1.1 Produksi Bersih Padi 2025'!C815)</f>
        <v/>
      </c>
      <c r="D815" s="1" t="str">
        <f>IF('1.1 Produksi Bersih Padi 2025'!D815="","",'1.1 Produksi Bersih Padi 2025'!D815)</f>
        <v/>
      </c>
      <c r="E815" s="1" t="str">
        <f>IF('1.1 Produksi Bersih Padi 2025'!E815="","",'1.1 Produksi Bersih Padi 2025'!E815)</f>
        <v/>
      </c>
      <c r="F815" s="28" t="str">
        <f>IF(D815="","",VLOOKUP(D815,'[1]0.1 Produksi Pangan &amp; Penduduk'!$D$5:$Y$860,22,0))</f>
        <v/>
      </c>
      <c r="G815" s="30" t="str">
        <f t="shared" si="60"/>
        <v/>
      </c>
      <c r="H815" s="30" t="str">
        <f t="shared" si="61"/>
        <v/>
      </c>
      <c r="I815" s="30" t="str">
        <f t="shared" si="62"/>
        <v/>
      </c>
      <c r="J815" s="30" t="str">
        <f t="shared" si="63"/>
        <v/>
      </c>
      <c r="K815" s="30" t="str">
        <f t="shared" si="64"/>
        <v/>
      </c>
    </row>
    <row r="816" spans="1:11" ht="15" x14ac:dyDescent="0.25">
      <c r="A816" s="1" t="str">
        <f>IF('1.1 Produksi Bersih Padi 2025'!A816="","",'1.1 Produksi Bersih Padi 2025'!A816)</f>
        <v/>
      </c>
      <c r="B816" s="31" t="str">
        <f>IF('1.1 Produksi Bersih Padi 2025'!B816="","",'1.1 Produksi Bersih Padi 2025'!B816)</f>
        <v/>
      </c>
      <c r="C816" s="31" t="str">
        <f>IF('1.1 Produksi Bersih Padi 2025'!C816="","",'1.1 Produksi Bersih Padi 2025'!C816)</f>
        <v/>
      </c>
      <c r="D816" s="1" t="str">
        <f>IF('1.1 Produksi Bersih Padi 2025'!D816="","",'1.1 Produksi Bersih Padi 2025'!D816)</f>
        <v/>
      </c>
      <c r="E816" s="1" t="str">
        <f>IF('1.1 Produksi Bersih Padi 2025'!E816="","",'1.1 Produksi Bersih Padi 2025'!E816)</f>
        <v/>
      </c>
      <c r="F816" s="28" t="str">
        <f>IF(D816="","",VLOOKUP(D816,'[1]0.1 Produksi Pangan &amp; Penduduk'!$D$5:$Y$860,22,0))</f>
        <v/>
      </c>
      <c r="G816" s="30" t="str">
        <f t="shared" si="60"/>
        <v/>
      </c>
      <c r="H816" s="30" t="str">
        <f t="shared" si="61"/>
        <v/>
      </c>
      <c r="I816" s="30" t="str">
        <f t="shared" si="62"/>
        <v/>
      </c>
      <c r="J816" s="30" t="str">
        <f t="shared" si="63"/>
        <v/>
      </c>
      <c r="K816" s="30" t="str">
        <f t="shared" si="64"/>
        <v/>
      </c>
    </row>
    <row r="817" spans="1:11" ht="15" x14ac:dyDescent="0.25">
      <c r="A817" s="1" t="str">
        <f>IF('1.1 Produksi Bersih Padi 2025'!A817="","",'1.1 Produksi Bersih Padi 2025'!A817)</f>
        <v/>
      </c>
      <c r="B817" s="31" t="str">
        <f>IF('1.1 Produksi Bersih Padi 2025'!B817="","",'1.1 Produksi Bersih Padi 2025'!B817)</f>
        <v/>
      </c>
      <c r="C817" s="31" t="str">
        <f>IF('1.1 Produksi Bersih Padi 2025'!C817="","",'1.1 Produksi Bersih Padi 2025'!C817)</f>
        <v/>
      </c>
      <c r="D817" s="1" t="str">
        <f>IF('1.1 Produksi Bersih Padi 2025'!D817="","",'1.1 Produksi Bersih Padi 2025'!D817)</f>
        <v/>
      </c>
      <c r="E817" s="1" t="str">
        <f>IF('1.1 Produksi Bersih Padi 2025'!E817="","",'1.1 Produksi Bersih Padi 2025'!E817)</f>
        <v/>
      </c>
      <c r="F817" s="28" t="str">
        <f>IF(D817="","",VLOOKUP(D817,'[1]0.1 Produksi Pangan &amp; Penduduk'!$D$5:$Y$860,22,0))</f>
        <v/>
      </c>
      <c r="G817" s="30" t="str">
        <f t="shared" si="60"/>
        <v/>
      </c>
      <c r="H817" s="30" t="str">
        <f t="shared" si="61"/>
        <v/>
      </c>
      <c r="I817" s="30" t="str">
        <f t="shared" si="62"/>
        <v/>
      </c>
      <c r="J817" s="30" t="str">
        <f t="shared" si="63"/>
        <v/>
      </c>
      <c r="K817" s="30" t="str">
        <f t="shared" si="64"/>
        <v/>
      </c>
    </row>
    <row r="818" spans="1:11" ht="15" x14ac:dyDescent="0.25">
      <c r="A818" s="1" t="str">
        <f>IF('1.1 Produksi Bersih Padi 2025'!A818="","",'1.1 Produksi Bersih Padi 2025'!A818)</f>
        <v/>
      </c>
      <c r="B818" s="31" t="str">
        <f>IF('1.1 Produksi Bersih Padi 2025'!B818="","",'1.1 Produksi Bersih Padi 2025'!B818)</f>
        <v/>
      </c>
      <c r="C818" s="31" t="str">
        <f>IF('1.1 Produksi Bersih Padi 2025'!C818="","",'1.1 Produksi Bersih Padi 2025'!C818)</f>
        <v/>
      </c>
      <c r="D818" s="1" t="str">
        <f>IF('1.1 Produksi Bersih Padi 2025'!D818="","",'1.1 Produksi Bersih Padi 2025'!D818)</f>
        <v/>
      </c>
      <c r="E818" s="1" t="str">
        <f>IF('1.1 Produksi Bersih Padi 2025'!E818="","",'1.1 Produksi Bersih Padi 2025'!E818)</f>
        <v/>
      </c>
      <c r="F818" s="28" t="str">
        <f>IF(D818="","",VLOOKUP(D818,'[1]0.1 Produksi Pangan &amp; Penduduk'!$D$5:$Y$860,22,0))</f>
        <v/>
      </c>
      <c r="G818" s="30" t="str">
        <f t="shared" si="60"/>
        <v/>
      </c>
      <c r="H818" s="30" t="str">
        <f t="shared" si="61"/>
        <v/>
      </c>
      <c r="I818" s="30" t="str">
        <f t="shared" si="62"/>
        <v/>
      </c>
      <c r="J818" s="30" t="str">
        <f t="shared" si="63"/>
        <v/>
      </c>
      <c r="K818" s="30" t="str">
        <f t="shared" si="64"/>
        <v/>
      </c>
    </row>
    <row r="819" spans="1:11" ht="15" x14ac:dyDescent="0.25">
      <c r="A819" s="1" t="str">
        <f>IF('1.1 Produksi Bersih Padi 2025'!A819="","",'1.1 Produksi Bersih Padi 2025'!A819)</f>
        <v/>
      </c>
      <c r="B819" s="31" t="str">
        <f>IF('1.1 Produksi Bersih Padi 2025'!B819="","",'1.1 Produksi Bersih Padi 2025'!B819)</f>
        <v/>
      </c>
      <c r="C819" s="31" t="str">
        <f>IF('1.1 Produksi Bersih Padi 2025'!C819="","",'1.1 Produksi Bersih Padi 2025'!C819)</f>
        <v/>
      </c>
      <c r="D819" s="1" t="str">
        <f>IF('1.1 Produksi Bersih Padi 2025'!D819="","",'1.1 Produksi Bersih Padi 2025'!D819)</f>
        <v/>
      </c>
      <c r="E819" s="1" t="str">
        <f>IF('1.1 Produksi Bersih Padi 2025'!E819="","",'1.1 Produksi Bersih Padi 2025'!E819)</f>
        <v/>
      </c>
      <c r="F819" s="28" t="str">
        <f>IF(D819="","",VLOOKUP(D819,'[1]0.1 Produksi Pangan &amp; Penduduk'!$D$5:$Y$860,22,0))</f>
        <v/>
      </c>
      <c r="G819" s="30" t="str">
        <f t="shared" si="60"/>
        <v/>
      </c>
      <c r="H819" s="30" t="str">
        <f t="shared" si="61"/>
        <v/>
      </c>
      <c r="I819" s="30" t="str">
        <f t="shared" si="62"/>
        <v/>
      </c>
      <c r="J819" s="30" t="str">
        <f t="shared" si="63"/>
        <v/>
      </c>
      <c r="K819" s="30" t="str">
        <f t="shared" si="64"/>
        <v/>
      </c>
    </row>
    <row r="820" spans="1:11" ht="15" x14ac:dyDescent="0.25">
      <c r="A820" s="1" t="str">
        <f>IF('1.1 Produksi Bersih Padi 2025'!A820="","",'1.1 Produksi Bersih Padi 2025'!A820)</f>
        <v/>
      </c>
      <c r="B820" s="31" t="str">
        <f>IF('1.1 Produksi Bersih Padi 2025'!B820="","",'1.1 Produksi Bersih Padi 2025'!B820)</f>
        <v/>
      </c>
      <c r="C820" s="31" t="str">
        <f>IF('1.1 Produksi Bersih Padi 2025'!C820="","",'1.1 Produksi Bersih Padi 2025'!C820)</f>
        <v/>
      </c>
      <c r="D820" s="1" t="str">
        <f>IF('1.1 Produksi Bersih Padi 2025'!D820="","",'1.1 Produksi Bersih Padi 2025'!D820)</f>
        <v/>
      </c>
      <c r="E820" s="1" t="str">
        <f>IF('1.1 Produksi Bersih Padi 2025'!E820="","",'1.1 Produksi Bersih Padi 2025'!E820)</f>
        <v/>
      </c>
      <c r="F820" s="28" t="str">
        <f>IF(D820="","",VLOOKUP(D820,'[1]0.1 Produksi Pangan &amp; Penduduk'!$D$5:$Y$860,22,0))</f>
        <v/>
      </c>
      <c r="G820" s="30" t="str">
        <f t="shared" si="60"/>
        <v/>
      </c>
      <c r="H820" s="30" t="str">
        <f t="shared" si="61"/>
        <v/>
      </c>
      <c r="I820" s="30" t="str">
        <f t="shared" si="62"/>
        <v/>
      </c>
      <c r="J820" s="30" t="str">
        <f t="shared" si="63"/>
        <v/>
      </c>
      <c r="K820" s="30" t="str">
        <f t="shared" si="64"/>
        <v/>
      </c>
    </row>
    <row r="821" spans="1:11" ht="15" x14ac:dyDescent="0.25">
      <c r="A821" s="1" t="str">
        <f>IF('1.1 Produksi Bersih Padi 2025'!A821="","",'1.1 Produksi Bersih Padi 2025'!A821)</f>
        <v/>
      </c>
      <c r="B821" s="31" t="str">
        <f>IF('1.1 Produksi Bersih Padi 2025'!B821="","",'1.1 Produksi Bersih Padi 2025'!B821)</f>
        <v/>
      </c>
      <c r="C821" s="31" t="str">
        <f>IF('1.1 Produksi Bersih Padi 2025'!C821="","",'1.1 Produksi Bersih Padi 2025'!C821)</f>
        <v/>
      </c>
      <c r="D821" s="1" t="str">
        <f>IF('1.1 Produksi Bersih Padi 2025'!D821="","",'1.1 Produksi Bersih Padi 2025'!D821)</f>
        <v/>
      </c>
      <c r="E821" s="1" t="str">
        <f>IF('1.1 Produksi Bersih Padi 2025'!E821="","",'1.1 Produksi Bersih Padi 2025'!E821)</f>
        <v/>
      </c>
      <c r="F821" s="28" t="str">
        <f>IF(D821="","",VLOOKUP(D821,'[1]0.1 Produksi Pangan &amp; Penduduk'!$D$5:$Y$860,22,0))</f>
        <v/>
      </c>
      <c r="G821" s="30" t="str">
        <f t="shared" si="60"/>
        <v/>
      </c>
      <c r="H821" s="30" t="str">
        <f t="shared" si="61"/>
        <v/>
      </c>
      <c r="I821" s="30" t="str">
        <f t="shared" si="62"/>
        <v/>
      </c>
      <c r="J821" s="30" t="str">
        <f t="shared" si="63"/>
        <v/>
      </c>
      <c r="K821" s="30" t="str">
        <f t="shared" si="64"/>
        <v/>
      </c>
    </row>
    <row r="822" spans="1:11" ht="15" x14ac:dyDescent="0.25">
      <c r="A822" s="1" t="str">
        <f>IF('1.1 Produksi Bersih Padi 2025'!A822="","",'1.1 Produksi Bersih Padi 2025'!A822)</f>
        <v/>
      </c>
      <c r="B822" s="31" t="str">
        <f>IF('1.1 Produksi Bersih Padi 2025'!B822="","",'1.1 Produksi Bersih Padi 2025'!B822)</f>
        <v/>
      </c>
      <c r="C822" s="31" t="str">
        <f>IF('1.1 Produksi Bersih Padi 2025'!C822="","",'1.1 Produksi Bersih Padi 2025'!C822)</f>
        <v/>
      </c>
      <c r="D822" s="1" t="str">
        <f>IF('1.1 Produksi Bersih Padi 2025'!D822="","",'1.1 Produksi Bersih Padi 2025'!D822)</f>
        <v/>
      </c>
      <c r="E822" s="1" t="str">
        <f>IF('1.1 Produksi Bersih Padi 2025'!E822="","",'1.1 Produksi Bersih Padi 2025'!E822)</f>
        <v/>
      </c>
      <c r="F822" s="28" t="str">
        <f>IF(D822="","",VLOOKUP(D822,'[1]0.1 Produksi Pangan &amp; Penduduk'!$D$5:$Y$860,22,0))</f>
        <v/>
      </c>
      <c r="G822" s="30" t="str">
        <f t="shared" si="60"/>
        <v/>
      </c>
      <c r="H822" s="30" t="str">
        <f t="shared" si="61"/>
        <v/>
      </c>
      <c r="I822" s="30" t="str">
        <f t="shared" si="62"/>
        <v/>
      </c>
      <c r="J822" s="30" t="str">
        <f t="shared" si="63"/>
        <v/>
      </c>
      <c r="K822" s="30" t="str">
        <f t="shared" si="64"/>
        <v/>
      </c>
    </row>
    <row r="823" spans="1:11" ht="15" x14ac:dyDescent="0.25">
      <c r="A823" s="1" t="str">
        <f>IF('1.1 Produksi Bersih Padi 2025'!A823="","",'1.1 Produksi Bersih Padi 2025'!A823)</f>
        <v/>
      </c>
      <c r="B823" s="31" t="str">
        <f>IF('1.1 Produksi Bersih Padi 2025'!B823="","",'1.1 Produksi Bersih Padi 2025'!B823)</f>
        <v/>
      </c>
      <c r="C823" s="31" t="str">
        <f>IF('1.1 Produksi Bersih Padi 2025'!C823="","",'1.1 Produksi Bersih Padi 2025'!C823)</f>
        <v/>
      </c>
      <c r="D823" s="1" t="str">
        <f>IF('1.1 Produksi Bersih Padi 2025'!D823="","",'1.1 Produksi Bersih Padi 2025'!D823)</f>
        <v/>
      </c>
      <c r="E823" s="1" t="str">
        <f>IF('1.1 Produksi Bersih Padi 2025'!E823="","",'1.1 Produksi Bersih Padi 2025'!E823)</f>
        <v/>
      </c>
      <c r="F823" s="28" t="str">
        <f>IF(D823="","",VLOOKUP(D823,'[1]0.1 Produksi Pangan &amp; Penduduk'!$D$5:$Y$860,22,0))</f>
        <v/>
      </c>
      <c r="G823" s="30" t="str">
        <f t="shared" si="60"/>
        <v/>
      </c>
      <c r="H823" s="30" t="str">
        <f t="shared" si="61"/>
        <v/>
      </c>
      <c r="I823" s="30" t="str">
        <f t="shared" si="62"/>
        <v/>
      </c>
      <c r="J823" s="30" t="str">
        <f t="shared" si="63"/>
        <v/>
      </c>
      <c r="K823" s="30" t="str">
        <f t="shared" si="64"/>
        <v/>
      </c>
    </row>
    <row r="824" spans="1:11" ht="15" x14ac:dyDescent="0.25">
      <c r="A824" s="1" t="str">
        <f>IF('1.1 Produksi Bersih Padi 2025'!A824="","",'1.1 Produksi Bersih Padi 2025'!A824)</f>
        <v/>
      </c>
      <c r="B824" s="31" t="str">
        <f>IF('1.1 Produksi Bersih Padi 2025'!B824="","",'1.1 Produksi Bersih Padi 2025'!B824)</f>
        <v/>
      </c>
      <c r="C824" s="31" t="str">
        <f>IF('1.1 Produksi Bersih Padi 2025'!C824="","",'1.1 Produksi Bersih Padi 2025'!C824)</f>
        <v/>
      </c>
      <c r="D824" s="1" t="str">
        <f>IF('1.1 Produksi Bersih Padi 2025'!D824="","",'1.1 Produksi Bersih Padi 2025'!D824)</f>
        <v/>
      </c>
      <c r="E824" s="1" t="str">
        <f>IF('1.1 Produksi Bersih Padi 2025'!E824="","",'1.1 Produksi Bersih Padi 2025'!E824)</f>
        <v/>
      </c>
      <c r="F824" s="28" t="str">
        <f>IF(D824="","",VLOOKUP(D824,'[1]0.1 Produksi Pangan &amp; Penduduk'!$D$5:$Y$860,22,0))</f>
        <v/>
      </c>
      <c r="G824" s="30" t="str">
        <f t="shared" si="60"/>
        <v/>
      </c>
      <c r="H824" s="30" t="str">
        <f t="shared" si="61"/>
        <v/>
      </c>
      <c r="I824" s="30" t="str">
        <f t="shared" si="62"/>
        <v/>
      </c>
      <c r="J824" s="30" t="str">
        <f t="shared" si="63"/>
        <v/>
      </c>
      <c r="K824" s="30" t="str">
        <f t="shared" si="64"/>
        <v/>
      </c>
    </row>
    <row r="825" spans="1:11" ht="15" x14ac:dyDescent="0.25">
      <c r="A825" s="1" t="str">
        <f>IF('1.1 Produksi Bersih Padi 2025'!A825="","",'1.1 Produksi Bersih Padi 2025'!A825)</f>
        <v/>
      </c>
      <c r="B825" s="31" t="str">
        <f>IF('1.1 Produksi Bersih Padi 2025'!B825="","",'1.1 Produksi Bersih Padi 2025'!B825)</f>
        <v/>
      </c>
      <c r="C825" s="31" t="str">
        <f>IF('1.1 Produksi Bersih Padi 2025'!C825="","",'1.1 Produksi Bersih Padi 2025'!C825)</f>
        <v/>
      </c>
      <c r="D825" s="1" t="str">
        <f>IF('1.1 Produksi Bersih Padi 2025'!D825="","",'1.1 Produksi Bersih Padi 2025'!D825)</f>
        <v/>
      </c>
      <c r="E825" s="1" t="str">
        <f>IF('1.1 Produksi Bersih Padi 2025'!E825="","",'1.1 Produksi Bersih Padi 2025'!E825)</f>
        <v/>
      </c>
      <c r="F825" s="28" t="str">
        <f>IF(D825="","",VLOOKUP(D825,'[1]0.1 Produksi Pangan &amp; Penduduk'!$D$5:$Y$860,22,0))</f>
        <v/>
      </c>
      <c r="G825" s="30" t="str">
        <f t="shared" si="60"/>
        <v/>
      </c>
      <c r="H825" s="30" t="str">
        <f t="shared" si="61"/>
        <v/>
      </c>
      <c r="I825" s="30" t="str">
        <f t="shared" si="62"/>
        <v/>
      </c>
      <c r="J825" s="30" t="str">
        <f t="shared" si="63"/>
        <v/>
      </c>
      <c r="K825" s="30" t="str">
        <f t="shared" si="64"/>
        <v/>
      </c>
    </row>
    <row r="826" spans="1:11" ht="15" x14ac:dyDescent="0.25">
      <c r="A826" s="1" t="str">
        <f>IF('1.1 Produksi Bersih Padi 2025'!A826="","",'1.1 Produksi Bersih Padi 2025'!A826)</f>
        <v/>
      </c>
      <c r="B826" s="31" t="str">
        <f>IF('1.1 Produksi Bersih Padi 2025'!B826="","",'1.1 Produksi Bersih Padi 2025'!B826)</f>
        <v/>
      </c>
      <c r="C826" s="31" t="str">
        <f>IF('1.1 Produksi Bersih Padi 2025'!C826="","",'1.1 Produksi Bersih Padi 2025'!C826)</f>
        <v/>
      </c>
      <c r="D826" s="1" t="str">
        <f>IF('1.1 Produksi Bersih Padi 2025'!D826="","",'1.1 Produksi Bersih Padi 2025'!D826)</f>
        <v/>
      </c>
      <c r="E826" s="1" t="str">
        <f>IF('1.1 Produksi Bersih Padi 2025'!E826="","",'1.1 Produksi Bersih Padi 2025'!E826)</f>
        <v/>
      </c>
      <c r="F826" s="28" t="str">
        <f>IF(D826="","",VLOOKUP(D826,'[1]0.1 Produksi Pangan &amp; Penduduk'!$D$5:$Y$860,22,0))</f>
        <v/>
      </c>
      <c r="G826" s="30" t="str">
        <f t="shared" si="60"/>
        <v/>
      </c>
      <c r="H826" s="30" t="str">
        <f t="shared" si="61"/>
        <v/>
      </c>
      <c r="I826" s="30" t="str">
        <f t="shared" si="62"/>
        <v/>
      </c>
      <c r="J826" s="30" t="str">
        <f t="shared" si="63"/>
        <v/>
      </c>
      <c r="K826" s="30" t="str">
        <f t="shared" si="64"/>
        <v/>
      </c>
    </row>
    <row r="827" spans="1:11" ht="15" x14ac:dyDescent="0.25">
      <c r="A827" s="1" t="str">
        <f>IF('1.1 Produksi Bersih Padi 2025'!A827="","",'1.1 Produksi Bersih Padi 2025'!A827)</f>
        <v/>
      </c>
      <c r="B827" s="31" t="str">
        <f>IF('1.1 Produksi Bersih Padi 2025'!B827="","",'1.1 Produksi Bersih Padi 2025'!B827)</f>
        <v/>
      </c>
      <c r="C827" s="31" t="str">
        <f>IF('1.1 Produksi Bersih Padi 2025'!C827="","",'1.1 Produksi Bersih Padi 2025'!C827)</f>
        <v/>
      </c>
      <c r="D827" s="1" t="str">
        <f>IF('1.1 Produksi Bersih Padi 2025'!D827="","",'1.1 Produksi Bersih Padi 2025'!D827)</f>
        <v/>
      </c>
      <c r="E827" s="1" t="str">
        <f>IF('1.1 Produksi Bersih Padi 2025'!E827="","",'1.1 Produksi Bersih Padi 2025'!E827)</f>
        <v/>
      </c>
      <c r="F827" s="28" t="str">
        <f>IF(D827="","",VLOOKUP(D827,'[1]0.1 Produksi Pangan &amp; Penduduk'!$D$5:$Y$860,22,0))</f>
        <v/>
      </c>
      <c r="G827" s="30" t="str">
        <f t="shared" si="60"/>
        <v/>
      </c>
      <c r="H827" s="30" t="str">
        <f t="shared" si="61"/>
        <v/>
      </c>
      <c r="I827" s="30" t="str">
        <f t="shared" si="62"/>
        <v/>
      </c>
      <c r="J827" s="30" t="str">
        <f t="shared" si="63"/>
        <v/>
      </c>
      <c r="K827" s="30" t="str">
        <f t="shared" si="64"/>
        <v/>
      </c>
    </row>
    <row r="828" spans="1:11" ht="15" x14ac:dyDescent="0.25">
      <c r="A828" s="1" t="str">
        <f>IF('1.1 Produksi Bersih Padi 2025'!A828="","",'1.1 Produksi Bersih Padi 2025'!A828)</f>
        <v/>
      </c>
      <c r="B828" s="31" t="str">
        <f>IF('1.1 Produksi Bersih Padi 2025'!B828="","",'1.1 Produksi Bersih Padi 2025'!B828)</f>
        <v/>
      </c>
      <c r="C828" s="31" t="str">
        <f>IF('1.1 Produksi Bersih Padi 2025'!C828="","",'1.1 Produksi Bersih Padi 2025'!C828)</f>
        <v/>
      </c>
      <c r="D828" s="1" t="str">
        <f>IF('1.1 Produksi Bersih Padi 2025'!D828="","",'1.1 Produksi Bersih Padi 2025'!D828)</f>
        <v/>
      </c>
      <c r="E828" s="1" t="str">
        <f>IF('1.1 Produksi Bersih Padi 2025'!E828="","",'1.1 Produksi Bersih Padi 2025'!E828)</f>
        <v/>
      </c>
      <c r="F828" s="28" t="str">
        <f>IF(D828="","",VLOOKUP(D828,'[1]0.1 Produksi Pangan &amp; Penduduk'!$D$5:$Y$860,22,0))</f>
        <v/>
      </c>
      <c r="G828" s="30" t="str">
        <f t="shared" si="60"/>
        <v/>
      </c>
      <c r="H828" s="30" t="str">
        <f t="shared" si="61"/>
        <v/>
      </c>
      <c r="I828" s="30" t="str">
        <f t="shared" si="62"/>
        <v/>
      </c>
      <c r="J828" s="30" t="str">
        <f t="shared" si="63"/>
        <v/>
      </c>
      <c r="K828" s="30" t="str">
        <f t="shared" si="64"/>
        <v/>
      </c>
    </row>
    <row r="829" spans="1:11" ht="15" x14ac:dyDescent="0.25">
      <c r="A829" s="1" t="str">
        <f>IF('1.1 Produksi Bersih Padi 2025'!A829="","",'1.1 Produksi Bersih Padi 2025'!A829)</f>
        <v/>
      </c>
      <c r="B829" s="31" t="str">
        <f>IF('1.1 Produksi Bersih Padi 2025'!B829="","",'1.1 Produksi Bersih Padi 2025'!B829)</f>
        <v/>
      </c>
      <c r="C829" s="31" t="str">
        <f>IF('1.1 Produksi Bersih Padi 2025'!C829="","",'1.1 Produksi Bersih Padi 2025'!C829)</f>
        <v/>
      </c>
      <c r="D829" s="1" t="str">
        <f>IF('1.1 Produksi Bersih Padi 2025'!D829="","",'1.1 Produksi Bersih Padi 2025'!D829)</f>
        <v/>
      </c>
      <c r="E829" s="1" t="str">
        <f>IF('1.1 Produksi Bersih Padi 2025'!E829="","",'1.1 Produksi Bersih Padi 2025'!E829)</f>
        <v/>
      </c>
      <c r="F829" s="28" t="str">
        <f>IF(D829="","",VLOOKUP(D829,'[1]0.1 Produksi Pangan &amp; Penduduk'!$D$5:$Y$860,22,0))</f>
        <v/>
      </c>
      <c r="G829" s="30" t="str">
        <f t="shared" si="60"/>
        <v/>
      </c>
      <c r="H829" s="30" t="str">
        <f t="shared" si="61"/>
        <v/>
      </c>
      <c r="I829" s="30" t="str">
        <f t="shared" si="62"/>
        <v/>
      </c>
      <c r="J829" s="30" t="str">
        <f t="shared" si="63"/>
        <v/>
      </c>
      <c r="K829" s="30" t="str">
        <f t="shared" si="64"/>
        <v/>
      </c>
    </row>
    <row r="830" spans="1:11" ht="15" x14ac:dyDescent="0.25">
      <c r="A830" s="1" t="str">
        <f>IF('1.1 Produksi Bersih Padi 2025'!A830="","",'1.1 Produksi Bersih Padi 2025'!A830)</f>
        <v/>
      </c>
      <c r="B830" s="31" t="str">
        <f>IF('1.1 Produksi Bersih Padi 2025'!B830="","",'1.1 Produksi Bersih Padi 2025'!B830)</f>
        <v/>
      </c>
      <c r="C830" s="31" t="str">
        <f>IF('1.1 Produksi Bersih Padi 2025'!C830="","",'1.1 Produksi Bersih Padi 2025'!C830)</f>
        <v/>
      </c>
      <c r="D830" s="1" t="str">
        <f>IF('1.1 Produksi Bersih Padi 2025'!D830="","",'1.1 Produksi Bersih Padi 2025'!D830)</f>
        <v/>
      </c>
      <c r="E830" s="1" t="str">
        <f>IF('1.1 Produksi Bersih Padi 2025'!E830="","",'1.1 Produksi Bersih Padi 2025'!E830)</f>
        <v/>
      </c>
      <c r="F830" s="28" t="str">
        <f>IF(D830="","",VLOOKUP(D830,'[1]0.1 Produksi Pangan &amp; Penduduk'!$D$5:$Y$860,22,0))</f>
        <v/>
      </c>
      <c r="G830" s="30" t="str">
        <f t="shared" si="60"/>
        <v/>
      </c>
      <c r="H830" s="30" t="str">
        <f t="shared" si="61"/>
        <v/>
      </c>
      <c r="I830" s="30" t="str">
        <f t="shared" si="62"/>
        <v/>
      </c>
      <c r="J830" s="30" t="str">
        <f t="shared" si="63"/>
        <v/>
      </c>
      <c r="K830" s="30" t="str">
        <f t="shared" si="64"/>
        <v/>
      </c>
    </row>
    <row r="831" spans="1:11" ht="15" x14ac:dyDescent="0.25">
      <c r="A831" s="1" t="str">
        <f>IF('1.1 Produksi Bersih Padi 2025'!A831="","",'1.1 Produksi Bersih Padi 2025'!A831)</f>
        <v/>
      </c>
      <c r="B831" s="31" t="str">
        <f>IF('1.1 Produksi Bersih Padi 2025'!B831="","",'1.1 Produksi Bersih Padi 2025'!B831)</f>
        <v/>
      </c>
      <c r="C831" s="31" t="str">
        <f>IF('1.1 Produksi Bersih Padi 2025'!C831="","",'1.1 Produksi Bersih Padi 2025'!C831)</f>
        <v/>
      </c>
      <c r="D831" s="1" t="str">
        <f>IF('1.1 Produksi Bersih Padi 2025'!D831="","",'1.1 Produksi Bersih Padi 2025'!D831)</f>
        <v/>
      </c>
      <c r="E831" s="1" t="str">
        <f>IF('1.1 Produksi Bersih Padi 2025'!E831="","",'1.1 Produksi Bersih Padi 2025'!E831)</f>
        <v/>
      </c>
      <c r="F831" s="28" t="str">
        <f>IF(D831="","",VLOOKUP(D831,'[1]0.1 Produksi Pangan &amp; Penduduk'!$D$5:$Y$860,22,0))</f>
        <v/>
      </c>
      <c r="G831" s="30" t="str">
        <f t="shared" si="60"/>
        <v/>
      </c>
      <c r="H831" s="30" t="str">
        <f t="shared" si="61"/>
        <v/>
      </c>
      <c r="I831" s="30" t="str">
        <f t="shared" si="62"/>
        <v/>
      </c>
      <c r="J831" s="30" t="str">
        <f t="shared" si="63"/>
        <v/>
      </c>
      <c r="K831" s="30" t="str">
        <f t="shared" si="64"/>
        <v/>
      </c>
    </row>
    <row r="832" spans="1:11" ht="15" x14ac:dyDescent="0.25">
      <c r="A832" s="1" t="str">
        <f>IF('1.1 Produksi Bersih Padi 2025'!A832="","",'1.1 Produksi Bersih Padi 2025'!A832)</f>
        <v/>
      </c>
      <c r="B832" s="31" t="str">
        <f>IF('1.1 Produksi Bersih Padi 2025'!B832="","",'1.1 Produksi Bersih Padi 2025'!B832)</f>
        <v/>
      </c>
      <c r="C832" s="31" t="str">
        <f>IF('1.1 Produksi Bersih Padi 2025'!C832="","",'1.1 Produksi Bersih Padi 2025'!C832)</f>
        <v/>
      </c>
      <c r="D832" s="1" t="str">
        <f>IF('1.1 Produksi Bersih Padi 2025'!D832="","",'1.1 Produksi Bersih Padi 2025'!D832)</f>
        <v/>
      </c>
      <c r="E832" s="1" t="str">
        <f>IF('1.1 Produksi Bersih Padi 2025'!E832="","",'1.1 Produksi Bersih Padi 2025'!E832)</f>
        <v/>
      </c>
      <c r="F832" s="28" t="str">
        <f>IF(D832="","",VLOOKUP(D832,'[1]0.1 Produksi Pangan &amp; Penduduk'!$D$5:$Y$860,22,0))</f>
        <v/>
      </c>
      <c r="G832" s="30" t="str">
        <f t="shared" si="60"/>
        <v/>
      </c>
      <c r="H832" s="30" t="str">
        <f t="shared" si="61"/>
        <v/>
      </c>
      <c r="I832" s="30" t="str">
        <f t="shared" si="62"/>
        <v/>
      </c>
      <c r="J832" s="30" t="str">
        <f t="shared" si="63"/>
        <v/>
      </c>
      <c r="K832" s="30" t="str">
        <f t="shared" si="64"/>
        <v/>
      </c>
    </row>
    <row r="833" spans="1:11" ht="15" x14ac:dyDescent="0.25">
      <c r="A833" s="1" t="str">
        <f>IF('1.1 Produksi Bersih Padi 2025'!A833="","",'1.1 Produksi Bersih Padi 2025'!A833)</f>
        <v/>
      </c>
      <c r="B833" s="31" t="str">
        <f>IF('1.1 Produksi Bersih Padi 2025'!B833="","",'1.1 Produksi Bersih Padi 2025'!B833)</f>
        <v/>
      </c>
      <c r="C833" s="31" t="str">
        <f>IF('1.1 Produksi Bersih Padi 2025'!C833="","",'1.1 Produksi Bersih Padi 2025'!C833)</f>
        <v/>
      </c>
      <c r="D833" s="1" t="str">
        <f>IF('1.1 Produksi Bersih Padi 2025'!D833="","",'1.1 Produksi Bersih Padi 2025'!D833)</f>
        <v/>
      </c>
      <c r="E833" s="1" t="str">
        <f>IF('1.1 Produksi Bersih Padi 2025'!E833="","",'1.1 Produksi Bersih Padi 2025'!E833)</f>
        <v/>
      </c>
      <c r="F833" s="28" t="str">
        <f>IF(D833="","",VLOOKUP(D833,'[1]0.1 Produksi Pangan &amp; Penduduk'!$D$5:$Y$860,22,0))</f>
        <v/>
      </c>
      <c r="G833" s="30" t="str">
        <f t="shared" si="60"/>
        <v/>
      </c>
      <c r="H833" s="30" t="str">
        <f t="shared" si="61"/>
        <v/>
      </c>
      <c r="I833" s="30" t="str">
        <f t="shared" si="62"/>
        <v/>
      </c>
      <c r="J833" s="30" t="str">
        <f t="shared" si="63"/>
        <v/>
      </c>
      <c r="K833" s="30" t="str">
        <f t="shared" si="64"/>
        <v/>
      </c>
    </row>
    <row r="834" spans="1:11" ht="15" x14ac:dyDescent="0.25">
      <c r="A834" s="1" t="str">
        <f>IF('1.1 Produksi Bersih Padi 2025'!A834="","",'1.1 Produksi Bersih Padi 2025'!A834)</f>
        <v/>
      </c>
      <c r="B834" s="31" t="str">
        <f>IF('1.1 Produksi Bersih Padi 2025'!B834="","",'1.1 Produksi Bersih Padi 2025'!B834)</f>
        <v/>
      </c>
      <c r="C834" s="31" t="str">
        <f>IF('1.1 Produksi Bersih Padi 2025'!C834="","",'1.1 Produksi Bersih Padi 2025'!C834)</f>
        <v/>
      </c>
      <c r="D834" s="1" t="str">
        <f>IF('1.1 Produksi Bersih Padi 2025'!D834="","",'1.1 Produksi Bersih Padi 2025'!D834)</f>
        <v/>
      </c>
      <c r="E834" s="1" t="str">
        <f>IF('1.1 Produksi Bersih Padi 2025'!E834="","",'1.1 Produksi Bersih Padi 2025'!E834)</f>
        <v/>
      </c>
      <c r="F834" s="28" t="str">
        <f>IF(D834="","",VLOOKUP(D834,'[1]0.1 Produksi Pangan &amp; Penduduk'!$D$5:$Y$860,22,0))</f>
        <v/>
      </c>
      <c r="G834" s="30" t="str">
        <f t="shared" si="60"/>
        <v/>
      </c>
      <c r="H834" s="30" t="str">
        <f t="shared" si="61"/>
        <v/>
      </c>
      <c r="I834" s="30" t="str">
        <f t="shared" si="62"/>
        <v/>
      </c>
      <c r="J834" s="30" t="str">
        <f t="shared" si="63"/>
        <v/>
      </c>
      <c r="K834" s="30" t="str">
        <f t="shared" si="64"/>
        <v/>
      </c>
    </row>
    <row r="835" spans="1:11" ht="15" x14ac:dyDescent="0.25">
      <c r="A835" s="1" t="str">
        <f>IF('1.1 Produksi Bersih Padi 2025'!A835="","",'1.1 Produksi Bersih Padi 2025'!A835)</f>
        <v/>
      </c>
      <c r="B835" s="31" t="str">
        <f>IF('1.1 Produksi Bersih Padi 2025'!B835="","",'1.1 Produksi Bersih Padi 2025'!B835)</f>
        <v/>
      </c>
      <c r="C835" s="31" t="str">
        <f>IF('1.1 Produksi Bersih Padi 2025'!C835="","",'1.1 Produksi Bersih Padi 2025'!C835)</f>
        <v/>
      </c>
      <c r="D835" s="1" t="str">
        <f>IF('1.1 Produksi Bersih Padi 2025'!D835="","",'1.1 Produksi Bersih Padi 2025'!D835)</f>
        <v/>
      </c>
      <c r="E835" s="1" t="str">
        <f>IF('1.1 Produksi Bersih Padi 2025'!E835="","",'1.1 Produksi Bersih Padi 2025'!E835)</f>
        <v/>
      </c>
      <c r="F835" s="28" t="str">
        <f>IF(D835="","",VLOOKUP(D835,'[1]0.1 Produksi Pangan &amp; Penduduk'!$D$5:$Y$860,22,0))</f>
        <v/>
      </c>
      <c r="G835" s="30" t="str">
        <f t="shared" si="60"/>
        <v/>
      </c>
      <c r="H835" s="30" t="str">
        <f t="shared" si="61"/>
        <v/>
      </c>
      <c r="I835" s="30" t="str">
        <f t="shared" si="62"/>
        <v/>
      </c>
      <c r="J835" s="30" t="str">
        <f t="shared" si="63"/>
        <v/>
      </c>
      <c r="K835" s="30" t="str">
        <f t="shared" si="64"/>
        <v/>
      </c>
    </row>
    <row r="836" spans="1:11" ht="15" x14ac:dyDescent="0.25">
      <c r="A836" s="1" t="str">
        <f>IF('1.1 Produksi Bersih Padi 2025'!A836="","",'1.1 Produksi Bersih Padi 2025'!A836)</f>
        <v/>
      </c>
      <c r="B836" s="31" t="str">
        <f>IF('1.1 Produksi Bersih Padi 2025'!B836="","",'1.1 Produksi Bersih Padi 2025'!B836)</f>
        <v/>
      </c>
      <c r="C836" s="31" t="str">
        <f>IF('1.1 Produksi Bersih Padi 2025'!C836="","",'1.1 Produksi Bersih Padi 2025'!C836)</f>
        <v/>
      </c>
      <c r="D836" s="1" t="str">
        <f>IF('1.1 Produksi Bersih Padi 2025'!D836="","",'1.1 Produksi Bersih Padi 2025'!D836)</f>
        <v/>
      </c>
      <c r="E836" s="1" t="str">
        <f>IF('1.1 Produksi Bersih Padi 2025'!E836="","",'1.1 Produksi Bersih Padi 2025'!E836)</f>
        <v/>
      </c>
      <c r="F836" s="28" t="str">
        <f>IF(D836="","",VLOOKUP(D836,'[1]0.1 Produksi Pangan &amp; Penduduk'!$D$5:$Y$860,22,0))</f>
        <v/>
      </c>
      <c r="G836" s="30" t="str">
        <f t="shared" si="60"/>
        <v/>
      </c>
      <c r="H836" s="30" t="str">
        <f t="shared" si="61"/>
        <v/>
      </c>
      <c r="I836" s="30" t="str">
        <f t="shared" si="62"/>
        <v/>
      </c>
      <c r="J836" s="30" t="str">
        <f t="shared" si="63"/>
        <v/>
      </c>
      <c r="K836" s="30" t="str">
        <f t="shared" si="64"/>
        <v/>
      </c>
    </row>
    <row r="837" spans="1:11" ht="15" x14ac:dyDescent="0.25">
      <c r="A837" s="1" t="str">
        <f>IF('1.1 Produksi Bersih Padi 2025'!A837="","",'1.1 Produksi Bersih Padi 2025'!A837)</f>
        <v/>
      </c>
      <c r="B837" s="31" t="str">
        <f>IF('1.1 Produksi Bersih Padi 2025'!B837="","",'1.1 Produksi Bersih Padi 2025'!B837)</f>
        <v/>
      </c>
      <c r="C837" s="31" t="str">
        <f>IF('1.1 Produksi Bersih Padi 2025'!C837="","",'1.1 Produksi Bersih Padi 2025'!C837)</f>
        <v/>
      </c>
      <c r="D837" s="1" t="str">
        <f>IF('1.1 Produksi Bersih Padi 2025'!D837="","",'1.1 Produksi Bersih Padi 2025'!D837)</f>
        <v/>
      </c>
      <c r="E837" s="1" t="str">
        <f>IF('1.1 Produksi Bersih Padi 2025'!E837="","",'1.1 Produksi Bersih Padi 2025'!E837)</f>
        <v/>
      </c>
      <c r="F837" s="28" t="str">
        <f>IF(D837="","",VLOOKUP(D837,'[1]0.1 Produksi Pangan &amp; Penduduk'!$D$5:$Y$860,22,0))</f>
        <v/>
      </c>
      <c r="G837" s="30" t="str">
        <f t="shared" si="60"/>
        <v/>
      </c>
      <c r="H837" s="30" t="str">
        <f t="shared" si="61"/>
        <v/>
      </c>
      <c r="I837" s="30" t="str">
        <f t="shared" si="62"/>
        <v/>
      </c>
      <c r="J837" s="30" t="str">
        <f t="shared" si="63"/>
        <v/>
      </c>
      <c r="K837" s="30" t="str">
        <f t="shared" si="64"/>
        <v/>
      </c>
    </row>
    <row r="838" spans="1:11" ht="15" x14ac:dyDescent="0.25">
      <c r="A838" s="1" t="str">
        <f>IF('1.1 Produksi Bersih Padi 2025'!A838="","",'1.1 Produksi Bersih Padi 2025'!A838)</f>
        <v/>
      </c>
      <c r="B838" s="31" t="str">
        <f>IF('1.1 Produksi Bersih Padi 2025'!B838="","",'1.1 Produksi Bersih Padi 2025'!B838)</f>
        <v/>
      </c>
      <c r="C838" s="31" t="str">
        <f>IF('1.1 Produksi Bersih Padi 2025'!C838="","",'1.1 Produksi Bersih Padi 2025'!C838)</f>
        <v/>
      </c>
      <c r="D838" s="1" t="str">
        <f>IF('1.1 Produksi Bersih Padi 2025'!D838="","",'1.1 Produksi Bersih Padi 2025'!D838)</f>
        <v/>
      </c>
      <c r="E838" s="1" t="str">
        <f>IF('1.1 Produksi Bersih Padi 2025'!E838="","",'1.1 Produksi Bersih Padi 2025'!E838)</f>
        <v/>
      </c>
      <c r="F838" s="28" t="str">
        <f>IF(D838="","",VLOOKUP(D838,'[1]0.1 Produksi Pangan &amp; Penduduk'!$D$5:$Y$860,22,0))</f>
        <v/>
      </c>
      <c r="G838" s="30" t="str">
        <f t="shared" ref="G838:G859" si="65">IF(F838="","",F838*0%)</f>
        <v/>
      </c>
      <c r="H838" s="30" t="str">
        <f t="shared" ref="H838:H859" si="66">IF(F838="","",F838*0.43%)</f>
        <v/>
      </c>
      <c r="I838" s="30" t="str">
        <f t="shared" ref="I838:I859" si="67">IF(F838="","",F838*4.23%)</f>
        <v/>
      </c>
      <c r="J838" s="30" t="str">
        <f t="shared" ref="J838:J859" si="68">IF(F838="","",F838-(G838+H838+I838))</f>
        <v/>
      </c>
      <c r="K838" s="30" t="str">
        <f t="shared" ref="K838:K859" si="69">IF(J838="","",J838*0.363)</f>
        <v/>
      </c>
    </row>
    <row r="839" spans="1:11" ht="15" x14ac:dyDescent="0.25">
      <c r="A839" s="1" t="str">
        <f>IF('1.1 Produksi Bersih Padi 2025'!A839="","",'1.1 Produksi Bersih Padi 2025'!A839)</f>
        <v/>
      </c>
      <c r="B839" s="31" t="str">
        <f>IF('1.1 Produksi Bersih Padi 2025'!B839="","",'1.1 Produksi Bersih Padi 2025'!B839)</f>
        <v/>
      </c>
      <c r="C839" s="31" t="str">
        <f>IF('1.1 Produksi Bersih Padi 2025'!C839="","",'1.1 Produksi Bersih Padi 2025'!C839)</f>
        <v/>
      </c>
      <c r="D839" s="1" t="str">
        <f>IF('1.1 Produksi Bersih Padi 2025'!D839="","",'1.1 Produksi Bersih Padi 2025'!D839)</f>
        <v/>
      </c>
      <c r="E839" s="1" t="str">
        <f>IF('1.1 Produksi Bersih Padi 2025'!E839="","",'1.1 Produksi Bersih Padi 2025'!E839)</f>
        <v/>
      </c>
      <c r="F839" s="28" t="str">
        <f>IF(D839="","",VLOOKUP(D839,'[1]0.1 Produksi Pangan &amp; Penduduk'!$D$5:$Y$860,22,0))</f>
        <v/>
      </c>
      <c r="G839" s="30" t="str">
        <f t="shared" si="65"/>
        <v/>
      </c>
      <c r="H839" s="30" t="str">
        <f t="shared" si="66"/>
        <v/>
      </c>
      <c r="I839" s="30" t="str">
        <f t="shared" si="67"/>
        <v/>
      </c>
      <c r="J839" s="30" t="str">
        <f t="shared" si="68"/>
        <v/>
      </c>
      <c r="K839" s="30" t="str">
        <f t="shared" si="69"/>
        <v/>
      </c>
    </row>
    <row r="840" spans="1:11" ht="15" x14ac:dyDescent="0.25">
      <c r="A840" s="1" t="str">
        <f>IF('1.1 Produksi Bersih Padi 2025'!A840="","",'1.1 Produksi Bersih Padi 2025'!A840)</f>
        <v/>
      </c>
      <c r="B840" s="31" t="str">
        <f>IF('1.1 Produksi Bersih Padi 2025'!B840="","",'1.1 Produksi Bersih Padi 2025'!B840)</f>
        <v/>
      </c>
      <c r="C840" s="31" t="str">
        <f>IF('1.1 Produksi Bersih Padi 2025'!C840="","",'1.1 Produksi Bersih Padi 2025'!C840)</f>
        <v/>
      </c>
      <c r="D840" s="1" t="str">
        <f>IF('1.1 Produksi Bersih Padi 2025'!D840="","",'1.1 Produksi Bersih Padi 2025'!D840)</f>
        <v/>
      </c>
      <c r="E840" s="1" t="str">
        <f>IF('1.1 Produksi Bersih Padi 2025'!E840="","",'1.1 Produksi Bersih Padi 2025'!E840)</f>
        <v/>
      </c>
      <c r="F840" s="28" t="str">
        <f>IF(D840="","",VLOOKUP(D840,'[1]0.1 Produksi Pangan &amp; Penduduk'!$D$5:$Y$860,22,0))</f>
        <v/>
      </c>
      <c r="G840" s="30" t="str">
        <f t="shared" si="65"/>
        <v/>
      </c>
      <c r="H840" s="30" t="str">
        <f t="shared" si="66"/>
        <v/>
      </c>
      <c r="I840" s="30" t="str">
        <f t="shared" si="67"/>
        <v/>
      </c>
      <c r="J840" s="30" t="str">
        <f t="shared" si="68"/>
        <v/>
      </c>
      <c r="K840" s="30" t="str">
        <f t="shared" si="69"/>
        <v/>
      </c>
    </row>
    <row r="841" spans="1:11" ht="15" x14ac:dyDescent="0.25">
      <c r="A841" s="1" t="str">
        <f>IF('1.1 Produksi Bersih Padi 2025'!A841="","",'1.1 Produksi Bersih Padi 2025'!A841)</f>
        <v/>
      </c>
      <c r="B841" s="31" t="str">
        <f>IF('1.1 Produksi Bersih Padi 2025'!B841="","",'1.1 Produksi Bersih Padi 2025'!B841)</f>
        <v/>
      </c>
      <c r="C841" s="31" t="str">
        <f>IF('1.1 Produksi Bersih Padi 2025'!C841="","",'1.1 Produksi Bersih Padi 2025'!C841)</f>
        <v/>
      </c>
      <c r="D841" s="1" t="str">
        <f>IF('1.1 Produksi Bersih Padi 2025'!D841="","",'1.1 Produksi Bersih Padi 2025'!D841)</f>
        <v/>
      </c>
      <c r="E841" s="1" t="str">
        <f>IF('1.1 Produksi Bersih Padi 2025'!E841="","",'1.1 Produksi Bersih Padi 2025'!E841)</f>
        <v/>
      </c>
      <c r="F841" s="28" t="str">
        <f>IF(D841="","",VLOOKUP(D841,'[1]0.1 Produksi Pangan &amp; Penduduk'!$D$5:$Y$860,22,0))</f>
        <v/>
      </c>
      <c r="G841" s="30" t="str">
        <f t="shared" si="65"/>
        <v/>
      </c>
      <c r="H841" s="30" t="str">
        <f t="shared" si="66"/>
        <v/>
      </c>
      <c r="I841" s="30" t="str">
        <f t="shared" si="67"/>
        <v/>
      </c>
      <c r="J841" s="30" t="str">
        <f t="shared" si="68"/>
        <v/>
      </c>
      <c r="K841" s="30" t="str">
        <f t="shared" si="69"/>
        <v/>
      </c>
    </row>
    <row r="842" spans="1:11" ht="15" x14ac:dyDescent="0.25">
      <c r="A842" s="1" t="str">
        <f>IF('1.1 Produksi Bersih Padi 2025'!A842="","",'1.1 Produksi Bersih Padi 2025'!A842)</f>
        <v/>
      </c>
      <c r="B842" s="31" t="str">
        <f>IF('1.1 Produksi Bersih Padi 2025'!B842="","",'1.1 Produksi Bersih Padi 2025'!B842)</f>
        <v/>
      </c>
      <c r="C842" s="31" t="str">
        <f>IF('1.1 Produksi Bersih Padi 2025'!C842="","",'1.1 Produksi Bersih Padi 2025'!C842)</f>
        <v/>
      </c>
      <c r="D842" s="1" t="str">
        <f>IF('1.1 Produksi Bersih Padi 2025'!D842="","",'1.1 Produksi Bersih Padi 2025'!D842)</f>
        <v/>
      </c>
      <c r="E842" s="1" t="str">
        <f>IF('1.1 Produksi Bersih Padi 2025'!E842="","",'1.1 Produksi Bersih Padi 2025'!E842)</f>
        <v/>
      </c>
      <c r="F842" s="28" t="str">
        <f>IF(D842="","",VLOOKUP(D842,'[1]0.1 Produksi Pangan &amp; Penduduk'!$D$5:$Y$860,22,0))</f>
        <v/>
      </c>
      <c r="G842" s="30" t="str">
        <f t="shared" si="65"/>
        <v/>
      </c>
      <c r="H842" s="30" t="str">
        <f t="shared" si="66"/>
        <v/>
      </c>
      <c r="I842" s="30" t="str">
        <f t="shared" si="67"/>
        <v/>
      </c>
      <c r="J842" s="30" t="str">
        <f t="shared" si="68"/>
        <v/>
      </c>
      <c r="K842" s="30" t="str">
        <f t="shared" si="69"/>
        <v/>
      </c>
    </row>
    <row r="843" spans="1:11" ht="15" x14ac:dyDescent="0.25">
      <c r="A843" s="1" t="str">
        <f>IF('1.1 Produksi Bersih Padi 2025'!A843="","",'1.1 Produksi Bersih Padi 2025'!A843)</f>
        <v/>
      </c>
      <c r="B843" s="31" t="str">
        <f>IF('1.1 Produksi Bersih Padi 2025'!B843="","",'1.1 Produksi Bersih Padi 2025'!B843)</f>
        <v/>
      </c>
      <c r="C843" s="31" t="str">
        <f>IF('1.1 Produksi Bersih Padi 2025'!C843="","",'1.1 Produksi Bersih Padi 2025'!C843)</f>
        <v/>
      </c>
      <c r="D843" s="1" t="str">
        <f>IF('1.1 Produksi Bersih Padi 2025'!D843="","",'1.1 Produksi Bersih Padi 2025'!D843)</f>
        <v/>
      </c>
      <c r="E843" s="1" t="str">
        <f>IF('1.1 Produksi Bersih Padi 2025'!E843="","",'1.1 Produksi Bersih Padi 2025'!E843)</f>
        <v/>
      </c>
      <c r="F843" s="28" t="str">
        <f>IF(D843="","",VLOOKUP(D843,'[1]0.1 Produksi Pangan &amp; Penduduk'!$D$5:$Y$860,22,0))</f>
        <v/>
      </c>
      <c r="G843" s="30" t="str">
        <f t="shared" si="65"/>
        <v/>
      </c>
      <c r="H843" s="30" t="str">
        <f t="shared" si="66"/>
        <v/>
      </c>
      <c r="I843" s="30" t="str">
        <f t="shared" si="67"/>
        <v/>
      </c>
      <c r="J843" s="30" t="str">
        <f t="shared" si="68"/>
        <v/>
      </c>
      <c r="K843" s="30" t="str">
        <f t="shared" si="69"/>
        <v/>
      </c>
    </row>
    <row r="844" spans="1:11" ht="15" x14ac:dyDescent="0.25">
      <c r="A844" s="1" t="str">
        <f>IF('1.1 Produksi Bersih Padi 2025'!A844="","",'1.1 Produksi Bersih Padi 2025'!A844)</f>
        <v/>
      </c>
      <c r="B844" s="31" t="str">
        <f>IF('1.1 Produksi Bersih Padi 2025'!B844="","",'1.1 Produksi Bersih Padi 2025'!B844)</f>
        <v/>
      </c>
      <c r="C844" s="31" t="str">
        <f>IF('1.1 Produksi Bersih Padi 2025'!C844="","",'1.1 Produksi Bersih Padi 2025'!C844)</f>
        <v/>
      </c>
      <c r="D844" s="1" t="str">
        <f>IF('1.1 Produksi Bersih Padi 2025'!D844="","",'1.1 Produksi Bersih Padi 2025'!D844)</f>
        <v/>
      </c>
      <c r="E844" s="1" t="str">
        <f>IF('1.1 Produksi Bersih Padi 2025'!E844="","",'1.1 Produksi Bersih Padi 2025'!E844)</f>
        <v/>
      </c>
      <c r="F844" s="28" t="str">
        <f>IF(D844="","",VLOOKUP(D844,'[1]0.1 Produksi Pangan &amp; Penduduk'!$D$5:$Y$860,22,0))</f>
        <v/>
      </c>
      <c r="G844" s="30" t="str">
        <f t="shared" si="65"/>
        <v/>
      </c>
      <c r="H844" s="30" t="str">
        <f t="shared" si="66"/>
        <v/>
      </c>
      <c r="I844" s="30" t="str">
        <f t="shared" si="67"/>
        <v/>
      </c>
      <c r="J844" s="30" t="str">
        <f t="shared" si="68"/>
        <v/>
      </c>
      <c r="K844" s="30" t="str">
        <f t="shared" si="69"/>
        <v/>
      </c>
    </row>
    <row r="845" spans="1:11" ht="15" x14ac:dyDescent="0.25">
      <c r="A845" s="1" t="str">
        <f>IF('1.1 Produksi Bersih Padi 2025'!A845="","",'1.1 Produksi Bersih Padi 2025'!A845)</f>
        <v/>
      </c>
      <c r="B845" s="31" t="str">
        <f>IF('1.1 Produksi Bersih Padi 2025'!B845="","",'1.1 Produksi Bersih Padi 2025'!B845)</f>
        <v/>
      </c>
      <c r="C845" s="31" t="str">
        <f>IF('1.1 Produksi Bersih Padi 2025'!C845="","",'1.1 Produksi Bersih Padi 2025'!C845)</f>
        <v/>
      </c>
      <c r="D845" s="1" t="str">
        <f>IF('1.1 Produksi Bersih Padi 2025'!D845="","",'1.1 Produksi Bersih Padi 2025'!D845)</f>
        <v/>
      </c>
      <c r="E845" s="1" t="str">
        <f>IF('1.1 Produksi Bersih Padi 2025'!E845="","",'1.1 Produksi Bersih Padi 2025'!E845)</f>
        <v/>
      </c>
      <c r="F845" s="28" t="str">
        <f>IF(D845="","",VLOOKUP(D845,'[1]0.1 Produksi Pangan &amp; Penduduk'!$D$5:$Y$860,22,0))</f>
        <v/>
      </c>
      <c r="G845" s="30" t="str">
        <f t="shared" si="65"/>
        <v/>
      </c>
      <c r="H845" s="30" t="str">
        <f t="shared" si="66"/>
        <v/>
      </c>
      <c r="I845" s="30" t="str">
        <f t="shared" si="67"/>
        <v/>
      </c>
      <c r="J845" s="30" t="str">
        <f t="shared" si="68"/>
        <v/>
      </c>
      <c r="K845" s="30" t="str">
        <f t="shared" si="69"/>
        <v/>
      </c>
    </row>
    <row r="846" spans="1:11" ht="15" x14ac:dyDescent="0.25">
      <c r="A846" s="1" t="str">
        <f>IF('1.1 Produksi Bersih Padi 2025'!A846="","",'1.1 Produksi Bersih Padi 2025'!A846)</f>
        <v/>
      </c>
      <c r="B846" s="31" t="str">
        <f>IF('1.1 Produksi Bersih Padi 2025'!B846="","",'1.1 Produksi Bersih Padi 2025'!B846)</f>
        <v/>
      </c>
      <c r="C846" s="31" t="str">
        <f>IF('1.1 Produksi Bersih Padi 2025'!C846="","",'1.1 Produksi Bersih Padi 2025'!C846)</f>
        <v/>
      </c>
      <c r="D846" s="1" t="str">
        <f>IF('1.1 Produksi Bersih Padi 2025'!D846="","",'1.1 Produksi Bersih Padi 2025'!D846)</f>
        <v/>
      </c>
      <c r="E846" s="1" t="str">
        <f>IF('1.1 Produksi Bersih Padi 2025'!E846="","",'1.1 Produksi Bersih Padi 2025'!E846)</f>
        <v/>
      </c>
      <c r="F846" s="28" t="str">
        <f>IF(D846="","",VLOOKUP(D846,'[1]0.1 Produksi Pangan &amp; Penduduk'!$D$5:$Y$860,22,0))</f>
        <v/>
      </c>
      <c r="G846" s="30" t="str">
        <f t="shared" si="65"/>
        <v/>
      </c>
      <c r="H846" s="30" t="str">
        <f t="shared" si="66"/>
        <v/>
      </c>
      <c r="I846" s="30" t="str">
        <f t="shared" si="67"/>
        <v/>
      </c>
      <c r="J846" s="30" t="str">
        <f t="shared" si="68"/>
        <v/>
      </c>
      <c r="K846" s="30" t="str">
        <f t="shared" si="69"/>
        <v/>
      </c>
    </row>
    <row r="847" spans="1:11" ht="15" x14ac:dyDescent="0.25">
      <c r="A847" s="1" t="str">
        <f>IF('1.1 Produksi Bersih Padi 2025'!A847="","",'1.1 Produksi Bersih Padi 2025'!A847)</f>
        <v/>
      </c>
      <c r="B847" s="31" t="str">
        <f>IF('1.1 Produksi Bersih Padi 2025'!B847="","",'1.1 Produksi Bersih Padi 2025'!B847)</f>
        <v/>
      </c>
      <c r="C847" s="31" t="str">
        <f>IF('1.1 Produksi Bersih Padi 2025'!C847="","",'1.1 Produksi Bersih Padi 2025'!C847)</f>
        <v/>
      </c>
      <c r="D847" s="1" t="str">
        <f>IF('1.1 Produksi Bersih Padi 2025'!D847="","",'1.1 Produksi Bersih Padi 2025'!D847)</f>
        <v/>
      </c>
      <c r="E847" s="1" t="str">
        <f>IF('1.1 Produksi Bersih Padi 2025'!E847="","",'1.1 Produksi Bersih Padi 2025'!E847)</f>
        <v/>
      </c>
      <c r="F847" s="28" t="str">
        <f>IF(D847="","",VLOOKUP(D847,'[1]0.1 Produksi Pangan &amp; Penduduk'!$D$5:$Y$860,22,0))</f>
        <v/>
      </c>
      <c r="G847" s="30" t="str">
        <f t="shared" si="65"/>
        <v/>
      </c>
      <c r="H847" s="30" t="str">
        <f t="shared" si="66"/>
        <v/>
      </c>
      <c r="I847" s="30" t="str">
        <f t="shared" si="67"/>
        <v/>
      </c>
      <c r="J847" s="30" t="str">
        <f t="shared" si="68"/>
        <v/>
      </c>
      <c r="K847" s="30" t="str">
        <f t="shared" si="69"/>
        <v/>
      </c>
    </row>
    <row r="848" spans="1:11" ht="15" x14ac:dyDescent="0.25">
      <c r="A848" s="1" t="str">
        <f>IF('1.1 Produksi Bersih Padi 2025'!A848="","",'1.1 Produksi Bersih Padi 2025'!A848)</f>
        <v/>
      </c>
      <c r="B848" s="31" t="str">
        <f>IF('1.1 Produksi Bersih Padi 2025'!B848="","",'1.1 Produksi Bersih Padi 2025'!B848)</f>
        <v/>
      </c>
      <c r="C848" s="31" t="str">
        <f>IF('1.1 Produksi Bersih Padi 2025'!C848="","",'1.1 Produksi Bersih Padi 2025'!C848)</f>
        <v/>
      </c>
      <c r="D848" s="1" t="str">
        <f>IF('1.1 Produksi Bersih Padi 2025'!D848="","",'1.1 Produksi Bersih Padi 2025'!D848)</f>
        <v/>
      </c>
      <c r="E848" s="1" t="str">
        <f>IF('1.1 Produksi Bersih Padi 2025'!E848="","",'1.1 Produksi Bersih Padi 2025'!E848)</f>
        <v/>
      </c>
      <c r="F848" s="28" t="str">
        <f>IF(D848="","",VLOOKUP(D848,'[1]0.1 Produksi Pangan &amp; Penduduk'!$D$5:$Y$860,22,0))</f>
        <v/>
      </c>
      <c r="G848" s="30" t="str">
        <f t="shared" si="65"/>
        <v/>
      </c>
      <c r="H848" s="30" t="str">
        <f t="shared" si="66"/>
        <v/>
      </c>
      <c r="I848" s="30" t="str">
        <f t="shared" si="67"/>
        <v/>
      </c>
      <c r="J848" s="30" t="str">
        <f t="shared" si="68"/>
        <v/>
      </c>
      <c r="K848" s="30" t="str">
        <f t="shared" si="69"/>
        <v/>
      </c>
    </row>
    <row r="849" spans="1:11" ht="15" x14ac:dyDescent="0.25">
      <c r="A849" s="1" t="str">
        <f>IF('1.1 Produksi Bersih Padi 2025'!A849="","",'1.1 Produksi Bersih Padi 2025'!A849)</f>
        <v/>
      </c>
      <c r="B849" s="31" t="str">
        <f>IF('1.1 Produksi Bersih Padi 2025'!B849="","",'1.1 Produksi Bersih Padi 2025'!B849)</f>
        <v/>
      </c>
      <c r="C849" s="31" t="str">
        <f>IF('1.1 Produksi Bersih Padi 2025'!C849="","",'1.1 Produksi Bersih Padi 2025'!C849)</f>
        <v/>
      </c>
      <c r="D849" s="1" t="str">
        <f>IF('1.1 Produksi Bersih Padi 2025'!D849="","",'1.1 Produksi Bersih Padi 2025'!D849)</f>
        <v/>
      </c>
      <c r="E849" s="1" t="str">
        <f>IF('1.1 Produksi Bersih Padi 2025'!E849="","",'1.1 Produksi Bersih Padi 2025'!E849)</f>
        <v/>
      </c>
      <c r="F849" s="28" t="str">
        <f>IF(D849="","",VLOOKUP(D849,'[1]0.1 Produksi Pangan &amp; Penduduk'!$D$5:$Y$860,22,0))</f>
        <v/>
      </c>
      <c r="G849" s="30" t="str">
        <f t="shared" si="65"/>
        <v/>
      </c>
      <c r="H849" s="30" t="str">
        <f t="shared" si="66"/>
        <v/>
      </c>
      <c r="I849" s="30" t="str">
        <f t="shared" si="67"/>
        <v/>
      </c>
      <c r="J849" s="30" t="str">
        <f t="shared" si="68"/>
        <v/>
      </c>
      <c r="K849" s="30" t="str">
        <f t="shared" si="69"/>
        <v/>
      </c>
    </row>
    <row r="850" spans="1:11" ht="15" x14ac:dyDescent="0.25">
      <c r="A850" s="1" t="str">
        <f>IF('1.1 Produksi Bersih Padi 2025'!A850="","",'1.1 Produksi Bersih Padi 2025'!A850)</f>
        <v/>
      </c>
      <c r="B850" s="31" t="str">
        <f>IF('1.1 Produksi Bersih Padi 2025'!B850="","",'1.1 Produksi Bersih Padi 2025'!B850)</f>
        <v/>
      </c>
      <c r="C850" s="31" t="str">
        <f>IF('1.1 Produksi Bersih Padi 2025'!C850="","",'1.1 Produksi Bersih Padi 2025'!C850)</f>
        <v/>
      </c>
      <c r="D850" s="1" t="str">
        <f>IF('1.1 Produksi Bersih Padi 2025'!D850="","",'1.1 Produksi Bersih Padi 2025'!D850)</f>
        <v/>
      </c>
      <c r="E850" s="1" t="str">
        <f>IF('1.1 Produksi Bersih Padi 2025'!E850="","",'1.1 Produksi Bersih Padi 2025'!E850)</f>
        <v/>
      </c>
      <c r="F850" s="28" t="str">
        <f>IF(D850="","",VLOOKUP(D850,'[1]0.1 Produksi Pangan &amp; Penduduk'!$D$5:$Y$860,22,0))</f>
        <v/>
      </c>
      <c r="G850" s="30" t="str">
        <f t="shared" si="65"/>
        <v/>
      </c>
      <c r="H850" s="30" t="str">
        <f t="shared" si="66"/>
        <v/>
      </c>
      <c r="I850" s="30" t="str">
        <f t="shared" si="67"/>
        <v/>
      </c>
      <c r="J850" s="30" t="str">
        <f t="shared" si="68"/>
        <v/>
      </c>
      <c r="K850" s="30" t="str">
        <f t="shared" si="69"/>
        <v/>
      </c>
    </row>
    <row r="851" spans="1:11" ht="15" x14ac:dyDescent="0.25">
      <c r="A851" s="1" t="str">
        <f>IF('1.1 Produksi Bersih Padi 2025'!A851="","",'1.1 Produksi Bersih Padi 2025'!A851)</f>
        <v/>
      </c>
      <c r="B851" s="31" t="str">
        <f>IF('1.1 Produksi Bersih Padi 2025'!B851="","",'1.1 Produksi Bersih Padi 2025'!B851)</f>
        <v/>
      </c>
      <c r="C851" s="31" t="str">
        <f>IF('1.1 Produksi Bersih Padi 2025'!C851="","",'1.1 Produksi Bersih Padi 2025'!C851)</f>
        <v/>
      </c>
      <c r="D851" s="1" t="str">
        <f>IF('1.1 Produksi Bersih Padi 2025'!D851="","",'1.1 Produksi Bersih Padi 2025'!D851)</f>
        <v/>
      </c>
      <c r="E851" s="1" t="str">
        <f>IF('1.1 Produksi Bersih Padi 2025'!E851="","",'1.1 Produksi Bersih Padi 2025'!E851)</f>
        <v/>
      </c>
      <c r="F851" s="28" t="str">
        <f>IF(D851="","",VLOOKUP(D851,'[1]0.1 Produksi Pangan &amp; Penduduk'!$D$5:$Y$860,22,0))</f>
        <v/>
      </c>
      <c r="G851" s="30" t="str">
        <f t="shared" si="65"/>
        <v/>
      </c>
      <c r="H851" s="30" t="str">
        <f t="shared" si="66"/>
        <v/>
      </c>
      <c r="I851" s="30" t="str">
        <f t="shared" si="67"/>
        <v/>
      </c>
      <c r="J851" s="30" t="str">
        <f t="shared" si="68"/>
        <v/>
      </c>
      <c r="K851" s="30" t="str">
        <f t="shared" si="69"/>
        <v/>
      </c>
    </row>
    <row r="852" spans="1:11" ht="15" x14ac:dyDescent="0.25">
      <c r="A852" s="1" t="str">
        <f>IF('1.1 Produksi Bersih Padi 2025'!A852="","",'1.1 Produksi Bersih Padi 2025'!A852)</f>
        <v/>
      </c>
      <c r="B852" s="31" t="str">
        <f>IF('1.1 Produksi Bersih Padi 2025'!B852="","",'1.1 Produksi Bersih Padi 2025'!B852)</f>
        <v/>
      </c>
      <c r="C852" s="31" t="str">
        <f>IF('1.1 Produksi Bersih Padi 2025'!C852="","",'1.1 Produksi Bersih Padi 2025'!C852)</f>
        <v/>
      </c>
      <c r="D852" s="1" t="str">
        <f>IF('1.1 Produksi Bersih Padi 2025'!D852="","",'1.1 Produksi Bersih Padi 2025'!D852)</f>
        <v/>
      </c>
      <c r="E852" s="1" t="str">
        <f>IF('1.1 Produksi Bersih Padi 2025'!E852="","",'1.1 Produksi Bersih Padi 2025'!E852)</f>
        <v/>
      </c>
      <c r="F852" s="28" t="str">
        <f>IF(D852="","",VLOOKUP(D852,'[1]0.1 Produksi Pangan &amp; Penduduk'!$D$5:$Y$860,22,0))</f>
        <v/>
      </c>
      <c r="G852" s="30" t="str">
        <f t="shared" si="65"/>
        <v/>
      </c>
      <c r="H852" s="30" t="str">
        <f t="shared" si="66"/>
        <v/>
      </c>
      <c r="I852" s="30" t="str">
        <f t="shared" si="67"/>
        <v/>
      </c>
      <c r="J852" s="30" t="str">
        <f t="shared" si="68"/>
        <v/>
      </c>
      <c r="K852" s="30" t="str">
        <f t="shared" si="69"/>
        <v/>
      </c>
    </row>
    <row r="853" spans="1:11" ht="15" x14ac:dyDescent="0.25">
      <c r="A853" s="1" t="str">
        <f>IF('1.1 Produksi Bersih Padi 2025'!A853="","",'1.1 Produksi Bersih Padi 2025'!A853)</f>
        <v/>
      </c>
      <c r="B853" s="31" t="str">
        <f>IF('1.1 Produksi Bersih Padi 2025'!B853="","",'1.1 Produksi Bersih Padi 2025'!B853)</f>
        <v/>
      </c>
      <c r="C853" s="31" t="str">
        <f>IF('1.1 Produksi Bersih Padi 2025'!C853="","",'1.1 Produksi Bersih Padi 2025'!C853)</f>
        <v/>
      </c>
      <c r="D853" s="1" t="str">
        <f>IF('1.1 Produksi Bersih Padi 2025'!D853="","",'1.1 Produksi Bersih Padi 2025'!D853)</f>
        <v/>
      </c>
      <c r="E853" s="1" t="str">
        <f>IF('1.1 Produksi Bersih Padi 2025'!E853="","",'1.1 Produksi Bersih Padi 2025'!E853)</f>
        <v/>
      </c>
      <c r="F853" s="28" t="str">
        <f>IF(D853="","",VLOOKUP(D853,'[1]0.1 Produksi Pangan &amp; Penduduk'!$D$5:$Y$860,22,0))</f>
        <v/>
      </c>
      <c r="G853" s="30" t="str">
        <f t="shared" si="65"/>
        <v/>
      </c>
      <c r="H853" s="30" t="str">
        <f t="shared" si="66"/>
        <v/>
      </c>
      <c r="I853" s="30" t="str">
        <f t="shared" si="67"/>
        <v/>
      </c>
      <c r="J853" s="30" t="str">
        <f t="shared" si="68"/>
        <v/>
      </c>
      <c r="K853" s="30" t="str">
        <f t="shared" si="69"/>
        <v/>
      </c>
    </row>
    <row r="854" spans="1:11" ht="15" x14ac:dyDescent="0.25">
      <c r="A854" s="1" t="str">
        <f>IF('1.1 Produksi Bersih Padi 2025'!A854="","",'1.1 Produksi Bersih Padi 2025'!A854)</f>
        <v/>
      </c>
      <c r="B854" s="31" t="str">
        <f>IF('1.1 Produksi Bersih Padi 2025'!B854="","",'1.1 Produksi Bersih Padi 2025'!B854)</f>
        <v/>
      </c>
      <c r="C854" s="31" t="str">
        <f>IF('1.1 Produksi Bersih Padi 2025'!C854="","",'1.1 Produksi Bersih Padi 2025'!C854)</f>
        <v/>
      </c>
      <c r="D854" s="1" t="str">
        <f>IF('1.1 Produksi Bersih Padi 2025'!D854="","",'1.1 Produksi Bersih Padi 2025'!D854)</f>
        <v/>
      </c>
      <c r="E854" s="1" t="str">
        <f>IF('1.1 Produksi Bersih Padi 2025'!E854="","",'1.1 Produksi Bersih Padi 2025'!E854)</f>
        <v/>
      </c>
      <c r="F854" s="28" t="str">
        <f>IF(D854="","",VLOOKUP(D854,'[1]0.1 Produksi Pangan &amp; Penduduk'!$D$5:$Y$860,22,0))</f>
        <v/>
      </c>
      <c r="G854" s="30" t="str">
        <f t="shared" si="65"/>
        <v/>
      </c>
      <c r="H854" s="30" t="str">
        <f t="shared" si="66"/>
        <v/>
      </c>
      <c r="I854" s="30" t="str">
        <f t="shared" si="67"/>
        <v/>
      </c>
      <c r="J854" s="30" t="str">
        <f t="shared" si="68"/>
        <v/>
      </c>
      <c r="K854" s="30" t="str">
        <f t="shared" si="69"/>
        <v/>
      </c>
    </row>
    <row r="855" spans="1:11" ht="15" x14ac:dyDescent="0.25">
      <c r="A855" s="1" t="str">
        <f>IF('1.1 Produksi Bersih Padi 2025'!A855="","",'1.1 Produksi Bersih Padi 2025'!A855)</f>
        <v/>
      </c>
      <c r="B855" s="31" t="str">
        <f>IF('1.1 Produksi Bersih Padi 2025'!B855="","",'1.1 Produksi Bersih Padi 2025'!B855)</f>
        <v/>
      </c>
      <c r="C855" s="31" t="str">
        <f>IF('1.1 Produksi Bersih Padi 2025'!C855="","",'1.1 Produksi Bersih Padi 2025'!C855)</f>
        <v/>
      </c>
      <c r="D855" s="1" t="str">
        <f>IF('1.1 Produksi Bersih Padi 2025'!D855="","",'1.1 Produksi Bersih Padi 2025'!D855)</f>
        <v/>
      </c>
      <c r="E855" s="1" t="str">
        <f>IF('1.1 Produksi Bersih Padi 2025'!E855="","",'1.1 Produksi Bersih Padi 2025'!E855)</f>
        <v/>
      </c>
      <c r="F855" s="28" t="str">
        <f>IF(D855="","",VLOOKUP(D855,'[1]0.1 Produksi Pangan &amp; Penduduk'!$D$5:$Y$860,22,0))</f>
        <v/>
      </c>
      <c r="G855" s="30" t="str">
        <f t="shared" si="65"/>
        <v/>
      </c>
      <c r="H855" s="30" t="str">
        <f t="shared" si="66"/>
        <v/>
      </c>
      <c r="I855" s="30" t="str">
        <f t="shared" si="67"/>
        <v/>
      </c>
      <c r="J855" s="30" t="str">
        <f t="shared" si="68"/>
        <v/>
      </c>
      <c r="K855" s="30" t="str">
        <f t="shared" si="69"/>
        <v/>
      </c>
    </row>
    <row r="856" spans="1:11" ht="15" x14ac:dyDescent="0.25">
      <c r="A856" s="1" t="str">
        <f>IF('1.1 Produksi Bersih Padi 2025'!A856="","",'1.1 Produksi Bersih Padi 2025'!A856)</f>
        <v/>
      </c>
      <c r="B856" s="31" t="str">
        <f>IF('1.1 Produksi Bersih Padi 2025'!B856="","",'1.1 Produksi Bersih Padi 2025'!B856)</f>
        <v/>
      </c>
      <c r="C856" s="31" t="str">
        <f>IF('1.1 Produksi Bersih Padi 2025'!C856="","",'1.1 Produksi Bersih Padi 2025'!C856)</f>
        <v/>
      </c>
      <c r="D856" s="1" t="str">
        <f>IF('1.1 Produksi Bersih Padi 2025'!D856="","",'1.1 Produksi Bersih Padi 2025'!D856)</f>
        <v/>
      </c>
      <c r="E856" s="1" t="str">
        <f>IF('1.1 Produksi Bersih Padi 2025'!E856="","",'1.1 Produksi Bersih Padi 2025'!E856)</f>
        <v/>
      </c>
      <c r="F856" s="28" t="str">
        <f>IF(D856="","",VLOOKUP(D856,'[1]0.1 Produksi Pangan &amp; Penduduk'!$D$5:$Y$860,22,0))</f>
        <v/>
      </c>
      <c r="G856" s="30" t="str">
        <f t="shared" si="65"/>
        <v/>
      </c>
      <c r="H856" s="30" t="str">
        <f t="shared" si="66"/>
        <v/>
      </c>
      <c r="I856" s="30" t="str">
        <f t="shared" si="67"/>
        <v/>
      </c>
      <c r="J856" s="30" t="str">
        <f t="shared" si="68"/>
        <v/>
      </c>
      <c r="K856" s="30" t="str">
        <f t="shared" si="69"/>
        <v/>
      </c>
    </row>
    <row r="857" spans="1:11" ht="15" x14ac:dyDescent="0.25">
      <c r="A857" s="1" t="str">
        <f>IF('1.1 Produksi Bersih Padi 2025'!A857="","",'1.1 Produksi Bersih Padi 2025'!A857)</f>
        <v/>
      </c>
      <c r="B857" s="31" t="str">
        <f>IF('1.1 Produksi Bersih Padi 2025'!B857="","",'1.1 Produksi Bersih Padi 2025'!B857)</f>
        <v/>
      </c>
      <c r="C857" s="31" t="str">
        <f>IF('1.1 Produksi Bersih Padi 2025'!C857="","",'1.1 Produksi Bersih Padi 2025'!C857)</f>
        <v/>
      </c>
      <c r="D857" s="1" t="str">
        <f>IF('1.1 Produksi Bersih Padi 2025'!D857="","",'1.1 Produksi Bersih Padi 2025'!D857)</f>
        <v/>
      </c>
      <c r="E857" s="1" t="str">
        <f>IF('1.1 Produksi Bersih Padi 2025'!E857="","",'1.1 Produksi Bersih Padi 2025'!E857)</f>
        <v/>
      </c>
      <c r="F857" s="28" t="str">
        <f>IF(D857="","",VLOOKUP(D857,'[1]0.1 Produksi Pangan &amp; Penduduk'!$D$5:$Y$860,22,0))</f>
        <v/>
      </c>
      <c r="G857" s="30" t="str">
        <f t="shared" si="65"/>
        <v/>
      </c>
      <c r="H857" s="30" t="str">
        <f t="shared" si="66"/>
        <v/>
      </c>
      <c r="I857" s="30" t="str">
        <f t="shared" si="67"/>
        <v/>
      </c>
      <c r="J857" s="30" t="str">
        <f t="shared" si="68"/>
        <v/>
      </c>
      <c r="K857" s="30" t="str">
        <f t="shared" si="69"/>
        <v/>
      </c>
    </row>
    <row r="858" spans="1:11" ht="15" x14ac:dyDescent="0.25">
      <c r="A858" s="1" t="str">
        <f>IF('1.1 Produksi Bersih Padi 2025'!A858="","",'1.1 Produksi Bersih Padi 2025'!A858)</f>
        <v/>
      </c>
      <c r="B858" s="31" t="str">
        <f>IF('1.1 Produksi Bersih Padi 2025'!B858="","",'1.1 Produksi Bersih Padi 2025'!B858)</f>
        <v/>
      </c>
      <c r="C858" s="31" t="str">
        <f>IF('1.1 Produksi Bersih Padi 2025'!C858="","",'1.1 Produksi Bersih Padi 2025'!C858)</f>
        <v/>
      </c>
      <c r="D858" s="1" t="str">
        <f>IF('1.1 Produksi Bersih Padi 2025'!D858="","",'1.1 Produksi Bersih Padi 2025'!D858)</f>
        <v/>
      </c>
      <c r="E858" s="1" t="str">
        <f>IF('1.1 Produksi Bersih Padi 2025'!E858="","",'1.1 Produksi Bersih Padi 2025'!E858)</f>
        <v/>
      </c>
      <c r="F858" s="28" t="str">
        <f>IF(D858="","",VLOOKUP(D858,'[1]0.1 Produksi Pangan &amp; Penduduk'!$D$5:$Y$860,22,0))</f>
        <v/>
      </c>
      <c r="G858" s="30" t="str">
        <f t="shared" si="65"/>
        <v/>
      </c>
      <c r="H858" s="30" t="str">
        <f t="shared" si="66"/>
        <v/>
      </c>
      <c r="I858" s="30" t="str">
        <f t="shared" si="67"/>
        <v/>
      </c>
      <c r="J858" s="30" t="str">
        <f t="shared" si="68"/>
        <v/>
      </c>
      <c r="K858" s="30" t="str">
        <f t="shared" si="69"/>
        <v/>
      </c>
    </row>
    <row r="859" spans="1:11" ht="15" x14ac:dyDescent="0.25">
      <c r="A859" s="1" t="str">
        <f>IF('1.1 Produksi Bersih Padi 2025'!A859="","",'1.1 Produksi Bersih Padi 2025'!A859)</f>
        <v/>
      </c>
      <c r="B859" s="31" t="str">
        <f>IF('1.1 Produksi Bersih Padi 2025'!B859="","",'1.1 Produksi Bersih Padi 2025'!B859)</f>
        <v/>
      </c>
      <c r="C859" s="31" t="str">
        <f>IF('1.1 Produksi Bersih Padi 2025'!C859="","",'1.1 Produksi Bersih Padi 2025'!C859)</f>
        <v/>
      </c>
      <c r="D859" s="1" t="str">
        <f>IF('1.1 Produksi Bersih Padi 2025'!D859="","",'1.1 Produksi Bersih Padi 2025'!D859)</f>
        <v/>
      </c>
      <c r="E859" s="1" t="str">
        <f>IF('1.1 Produksi Bersih Padi 2025'!E859="","",'1.1 Produksi Bersih Padi 2025'!E859)</f>
        <v/>
      </c>
      <c r="F859" s="28" t="str">
        <f>IF(D859="","",VLOOKUP(D859,'[1]0.1 Produksi Pangan &amp; Penduduk'!$D$5:$Y$860,22,0))</f>
        <v/>
      </c>
      <c r="G859" s="30" t="str">
        <f t="shared" si="65"/>
        <v/>
      </c>
      <c r="H859" s="30" t="str">
        <f t="shared" si="66"/>
        <v/>
      </c>
      <c r="I859" s="30" t="str">
        <f t="shared" si="67"/>
        <v/>
      </c>
      <c r="J859" s="30" t="str">
        <f t="shared" si="68"/>
        <v/>
      </c>
      <c r="K859" s="30" t="str">
        <f t="shared" si="69"/>
        <v/>
      </c>
    </row>
  </sheetData>
  <sheetProtection algorithmName="SHA-512" hashValue="4aN1msA7hQZd5UgM31xfcdoQ4Ssgy36iqqf5NDvvRmMKcBeVw8GygOruJaO0SdLvlu45dMtXDKq6g4IA4FV49w==" saltValue="557MANCzKt/muqm/pJB9sQ==" spinCount="100000" sheet="1"/>
  <protectedRanges>
    <protectedRange sqref="A1:G1" name="Range1_2"/>
    <protectedRange sqref="H1" name="Range1_1_2"/>
    <protectedRange sqref="J1" name="Range1_1_1_1"/>
    <protectedRange sqref="I1" name="Range1_1_2_1"/>
  </protectedRanges>
  <mergeCells count="10">
    <mergeCell ref="A1:H1"/>
    <mergeCell ref="K2:K3"/>
    <mergeCell ref="J2:J3"/>
    <mergeCell ref="A2:A4"/>
    <mergeCell ref="B2:B4"/>
    <mergeCell ref="F2:F3"/>
    <mergeCell ref="G2:I2"/>
    <mergeCell ref="C2:C4"/>
    <mergeCell ref="D2:D4"/>
    <mergeCell ref="E2:E4"/>
  </mergeCells>
  <phoneticPr fontId="4" type="noConversion"/>
  <pageMargins left="0.75" right="0.5" top="1" bottom="0.5" header="0.5" footer="0.5"/>
  <pageSetup orientation="landscape" horizontalDpi="4294967294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39997558519241921"/>
  </sheetPr>
  <dimension ref="A1:K859"/>
  <sheetViews>
    <sheetView showGridLines="0"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sqref="A1:H1"/>
    </sheetView>
  </sheetViews>
  <sheetFormatPr defaultRowHeight="13.2" x14ac:dyDescent="0.25"/>
  <cols>
    <col min="1" max="1" width="6.44140625" customWidth="1"/>
    <col min="2" max="2" width="24.21875" customWidth="1"/>
    <col min="3" max="3" width="28.77734375" customWidth="1"/>
    <col min="4" max="5" width="20.6640625" customWidth="1"/>
    <col min="6" max="6" width="18.6640625" customWidth="1"/>
    <col min="7" max="9" width="14.109375" customWidth="1"/>
    <col min="10" max="11" width="18.6640625" customWidth="1"/>
  </cols>
  <sheetData>
    <row r="1" spans="1:11" ht="30" customHeight="1" x14ac:dyDescent="0.25">
      <c r="A1" s="83" t="s">
        <v>72</v>
      </c>
      <c r="B1" s="83"/>
      <c r="C1" s="83"/>
      <c r="D1" s="83"/>
      <c r="E1" s="83"/>
      <c r="F1" s="83"/>
      <c r="G1" s="83"/>
      <c r="H1" s="83"/>
      <c r="I1" s="33" t="s">
        <v>64</v>
      </c>
      <c r="J1" s="34" t="str">
        <f>IF('[1]0.1 Produksi Pangan &amp; Penduduk'!$C$3="","",'[1]0.1 Produksi Pangan &amp; Penduduk'!$C$3)</f>
        <v/>
      </c>
      <c r="K1" s="12"/>
    </row>
    <row r="2" spans="1:11" ht="16.05" customHeight="1" x14ac:dyDescent="0.25">
      <c r="A2" s="84" t="s">
        <v>15</v>
      </c>
      <c r="B2" s="84" t="s">
        <v>67</v>
      </c>
      <c r="C2" s="84" t="s">
        <v>68</v>
      </c>
      <c r="D2" s="84" t="s">
        <v>65</v>
      </c>
      <c r="E2" s="84" t="s">
        <v>66</v>
      </c>
      <c r="F2" s="84" t="s">
        <v>12</v>
      </c>
      <c r="G2" s="84" t="s">
        <v>13</v>
      </c>
      <c r="H2" s="84"/>
      <c r="I2" s="84"/>
      <c r="J2" s="84" t="s">
        <v>14</v>
      </c>
      <c r="K2" s="84" t="s">
        <v>95</v>
      </c>
    </row>
    <row r="3" spans="1:11" ht="31.95" customHeight="1" x14ac:dyDescent="0.25">
      <c r="A3" s="84"/>
      <c r="B3" s="84"/>
      <c r="C3" s="84"/>
      <c r="D3" s="84"/>
      <c r="E3" s="84"/>
      <c r="F3" s="84"/>
      <c r="G3" s="21" t="s">
        <v>53</v>
      </c>
      <c r="H3" s="21" t="s">
        <v>93</v>
      </c>
      <c r="I3" s="21" t="s">
        <v>94</v>
      </c>
      <c r="J3" s="84"/>
      <c r="K3" s="84"/>
    </row>
    <row r="4" spans="1:11" ht="16.05" customHeight="1" x14ac:dyDescent="0.25">
      <c r="A4" s="84"/>
      <c r="B4" s="84"/>
      <c r="C4" s="84"/>
      <c r="D4" s="84"/>
      <c r="E4" s="84"/>
      <c r="F4" s="21" t="s">
        <v>54</v>
      </c>
      <c r="G4" s="21" t="s">
        <v>2</v>
      </c>
      <c r="H4" s="21" t="s">
        <v>3</v>
      </c>
      <c r="I4" s="21" t="s">
        <v>1</v>
      </c>
      <c r="J4" s="21" t="s">
        <v>55</v>
      </c>
      <c r="K4" s="21" t="s">
        <v>32</v>
      </c>
    </row>
    <row r="5" spans="1:11" ht="13.5" customHeight="1" x14ac:dyDescent="0.25">
      <c r="A5" s="1" t="str">
        <f>IF('1.1 Produksi Bersih Padi 2025'!A5="","",'1.1 Produksi Bersih Padi 2025'!A5)</f>
        <v/>
      </c>
      <c r="B5" s="31" t="str">
        <f>IF('1.1 Produksi Bersih Padi 2025'!B5="","",'1.1 Produksi Bersih Padi 2025'!B5)</f>
        <v/>
      </c>
      <c r="C5" s="31" t="str">
        <f>IF('1.1 Produksi Bersih Padi 2025'!C5="","",'1.1 Produksi Bersih Padi 2025'!C5)</f>
        <v/>
      </c>
      <c r="D5" s="1" t="str">
        <f>IF('1.1 Produksi Bersih Padi 2025'!D5="","",'1.1 Produksi Bersih Padi 2025'!D5)</f>
        <v/>
      </c>
      <c r="E5" s="1" t="str">
        <f>IF('1.1 Produksi Bersih Padi 2025'!E5="","",'1.1 Produksi Bersih Padi 2025'!E5)</f>
        <v/>
      </c>
      <c r="F5" s="28" t="str">
        <f>IF(D5="","",VLOOKUP(D5,'[1]0.1 Produksi Pangan &amp; Penduduk'!$D$5:$AE$860,28,0))</f>
        <v/>
      </c>
      <c r="G5" s="29" t="str">
        <f>IF(F5="","",F5*0%)</f>
        <v/>
      </c>
      <c r="H5" s="29" t="str">
        <f>IF(F5="","",F5*0.77%)</f>
        <v/>
      </c>
      <c r="I5" s="29" t="str">
        <f>IF(F5="","",F5*4.9%)</f>
        <v/>
      </c>
      <c r="J5" s="29" t="str">
        <f>IF(F5="","",F5-(G5+H5+I5))</f>
        <v/>
      </c>
      <c r="K5" s="29" t="str">
        <f>IF(J5="","",J5*0.259)</f>
        <v/>
      </c>
    </row>
    <row r="6" spans="1:11" ht="13.5" customHeight="1" x14ac:dyDescent="0.25">
      <c r="A6" s="1" t="str">
        <f>IF('1.1 Produksi Bersih Padi 2025'!A6="","",'1.1 Produksi Bersih Padi 2025'!A6)</f>
        <v/>
      </c>
      <c r="B6" s="31" t="str">
        <f>IF('1.1 Produksi Bersih Padi 2025'!B6="","",'1.1 Produksi Bersih Padi 2025'!B6)</f>
        <v/>
      </c>
      <c r="C6" s="31" t="str">
        <f>IF('1.1 Produksi Bersih Padi 2025'!C6="","",'1.1 Produksi Bersih Padi 2025'!C6)</f>
        <v/>
      </c>
      <c r="D6" s="1" t="str">
        <f>IF('1.1 Produksi Bersih Padi 2025'!D6="","",'1.1 Produksi Bersih Padi 2025'!D6)</f>
        <v/>
      </c>
      <c r="E6" s="1" t="str">
        <f>IF('1.1 Produksi Bersih Padi 2025'!E6="","",'1.1 Produksi Bersih Padi 2025'!E6)</f>
        <v/>
      </c>
      <c r="F6" s="28" t="str">
        <f>IF(D6="","",VLOOKUP(D6,'[1]0.1 Produksi Pangan &amp; Penduduk'!$D$5:$AE$860,28,0))</f>
        <v/>
      </c>
      <c r="G6" s="29" t="str">
        <f t="shared" ref="G6:G69" si="0">IF(F6="","",F6*0%)</f>
        <v/>
      </c>
      <c r="H6" s="29" t="str">
        <f t="shared" ref="H6:H69" si="1">IF(F6="","",F6*0.77%)</f>
        <v/>
      </c>
      <c r="I6" s="29" t="str">
        <f t="shared" ref="I6:I69" si="2">IF(F6="","",F6*4.9%)</f>
        <v/>
      </c>
      <c r="J6" s="29" t="str">
        <f t="shared" ref="J6:J69" si="3">IF(F6="","",F6-(G6+H6+I6))</f>
        <v/>
      </c>
      <c r="K6" s="29" t="str">
        <f t="shared" ref="K6:K69" si="4">IF(J6="","",J6*0.259)</f>
        <v/>
      </c>
    </row>
    <row r="7" spans="1:11" ht="13.5" customHeight="1" x14ac:dyDescent="0.25">
      <c r="A7" s="1" t="str">
        <f>IF('1.1 Produksi Bersih Padi 2025'!A7="","",'1.1 Produksi Bersih Padi 2025'!A7)</f>
        <v/>
      </c>
      <c r="B7" s="31" t="str">
        <f>IF('1.1 Produksi Bersih Padi 2025'!B7="","",'1.1 Produksi Bersih Padi 2025'!B7)</f>
        <v/>
      </c>
      <c r="C7" s="31" t="str">
        <f>IF('1.1 Produksi Bersih Padi 2025'!C7="","",'1.1 Produksi Bersih Padi 2025'!C7)</f>
        <v/>
      </c>
      <c r="D7" s="1" t="str">
        <f>IF('1.1 Produksi Bersih Padi 2025'!D7="","",'1.1 Produksi Bersih Padi 2025'!D7)</f>
        <v/>
      </c>
      <c r="E7" s="1" t="str">
        <f>IF('1.1 Produksi Bersih Padi 2025'!E7="","",'1.1 Produksi Bersih Padi 2025'!E7)</f>
        <v/>
      </c>
      <c r="F7" s="28" t="str">
        <f>IF(D7="","",VLOOKUP(D7,'[1]0.1 Produksi Pangan &amp; Penduduk'!$D$5:$AE$860,28,0))</f>
        <v/>
      </c>
      <c r="G7" s="29" t="str">
        <f t="shared" si="0"/>
        <v/>
      </c>
      <c r="H7" s="29" t="str">
        <f t="shared" si="1"/>
        <v/>
      </c>
      <c r="I7" s="29" t="str">
        <f t="shared" si="2"/>
        <v/>
      </c>
      <c r="J7" s="29" t="str">
        <f t="shared" si="3"/>
        <v/>
      </c>
      <c r="K7" s="29" t="str">
        <f t="shared" si="4"/>
        <v/>
      </c>
    </row>
    <row r="8" spans="1:11" ht="13.5" customHeight="1" x14ac:dyDescent="0.25">
      <c r="A8" s="1" t="str">
        <f>IF('1.1 Produksi Bersih Padi 2025'!A8="","",'1.1 Produksi Bersih Padi 2025'!A8)</f>
        <v/>
      </c>
      <c r="B8" s="31" t="str">
        <f>IF('1.1 Produksi Bersih Padi 2025'!B8="","",'1.1 Produksi Bersih Padi 2025'!B8)</f>
        <v/>
      </c>
      <c r="C8" s="31" t="str">
        <f>IF('1.1 Produksi Bersih Padi 2025'!C8="","",'1.1 Produksi Bersih Padi 2025'!C8)</f>
        <v/>
      </c>
      <c r="D8" s="1" t="str">
        <f>IF('1.1 Produksi Bersih Padi 2025'!D8="","",'1.1 Produksi Bersih Padi 2025'!D8)</f>
        <v/>
      </c>
      <c r="E8" s="1" t="str">
        <f>IF('1.1 Produksi Bersih Padi 2025'!E8="","",'1.1 Produksi Bersih Padi 2025'!E8)</f>
        <v/>
      </c>
      <c r="F8" s="28" t="str">
        <f>IF(D8="","",VLOOKUP(D8,'[1]0.1 Produksi Pangan &amp; Penduduk'!$D$5:$AE$860,28,0))</f>
        <v/>
      </c>
      <c r="G8" s="29" t="str">
        <f t="shared" si="0"/>
        <v/>
      </c>
      <c r="H8" s="29" t="str">
        <f t="shared" si="1"/>
        <v/>
      </c>
      <c r="I8" s="29" t="str">
        <f t="shared" si="2"/>
        <v/>
      </c>
      <c r="J8" s="29" t="str">
        <f t="shared" si="3"/>
        <v/>
      </c>
      <c r="K8" s="29" t="str">
        <f t="shared" si="4"/>
        <v/>
      </c>
    </row>
    <row r="9" spans="1:11" ht="13.5" customHeight="1" x14ac:dyDescent="0.25">
      <c r="A9" s="1" t="str">
        <f>IF('1.1 Produksi Bersih Padi 2025'!A9="","",'1.1 Produksi Bersih Padi 2025'!A9)</f>
        <v/>
      </c>
      <c r="B9" s="31" t="str">
        <f>IF('1.1 Produksi Bersih Padi 2025'!B9="","",'1.1 Produksi Bersih Padi 2025'!B9)</f>
        <v/>
      </c>
      <c r="C9" s="31" t="str">
        <f>IF('1.1 Produksi Bersih Padi 2025'!C9="","",'1.1 Produksi Bersih Padi 2025'!C9)</f>
        <v/>
      </c>
      <c r="D9" s="1" t="str">
        <f>IF('1.1 Produksi Bersih Padi 2025'!D9="","",'1.1 Produksi Bersih Padi 2025'!D9)</f>
        <v/>
      </c>
      <c r="E9" s="1" t="str">
        <f>IF('1.1 Produksi Bersih Padi 2025'!E9="","",'1.1 Produksi Bersih Padi 2025'!E9)</f>
        <v/>
      </c>
      <c r="F9" s="28" t="str">
        <f>IF(D9="","",VLOOKUP(D9,'[1]0.1 Produksi Pangan &amp; Penduduk'!$D$5:$AE$860,28,0))</f>
        <v/>
      </c>
      <c r="G9" s="29" t="str">
        <f t="shared" si="0"/>
        <v/>
      </c>
      <c r="H9" s="29" t="str">
        <f t="shared" si="1"/>
        <v/>
      </c>
      <c r="I9" s="29" t="str">
        <f t="shared" si="2"/>
        <v/>
      </c>
      <c r="J9" s="29" t="str">
        <f t="shared" si="3"/>
        <v/>
      </c>
      <c r="K9" s="29" t="str">
        <f t="shared" si="4"/>
        <v/>
      </c>
    </row>
    <row r="10" spans="1:11" ht="13.5" customHeight="1" x14ac:dyDescent="0.25">
      <c r="A10" s="1" t="str">
        <f>IF('1.1 Produksi Bersih Padi 2025'!A10="","",'1.1 Produksi Bersih Padi 2025'!A10)</f>
        <v/>
      </c>
      <c r="B10" s="31" t="str">
        <f>IF('1.1 Produksi Bersih Padi 2025'!B10="","",'1.1 Produksi Bersih Padi 2025'!B10)</f>
        <v/>
      </c>
      <c r="C10" s="31" t="str">
        <f>IF('1.1 Produksi Bersih Padi 2025'!C10="","",'1.1 Produksi Bersih Padi 2025'!C10)</f>
        <v/>
      </c>
      <c r="D10" s="1" t="str">
        <f>IF('1.1 Produksi Bersih Padi 2025'!D10="","",'1.1 Produksi Bersih Padi 2025'!D10)</f>
        <v/>
      </c>
      <c r="E10" s="1" t="str">
        <f>IF('1.1 Produksi Bersih Padi 2025'!E10="","",'1.1 Produksi Bersih Padi 2025'!E10)</f>
        <v/>
      </c>
      <c r="F10" s="28" t="str">
        <f>IF(D10="","",VLOOKUP(D10,'[1]0.1 Produksi Pangan &amp; Penduduk'!$D$5:$AE$860,28,0))</f>
        <v/>
      </c>
      <c r="G10" s="29" t="str">
        <f t="shared" si="0"/>
        <v/>
      </c>
      <c r="H10" s="29" t="str">
        <f t="shared" si="1"/>
        <v/>
      </c>
      <c r="I10" s="29" t="str">
        <f t="shared" si="2"/>
        <v/>
      </c>
      <c r="J10" s="29" t="str">
        <f t="shared" si="3"/>
        <v/>
      </c>
      <c r="K10" s="29" t="str">
        <f t="shared" si="4"/>
        <v/>
      </c>
    </row>
    <row r="11" spans="1:11" ht="13.5" customHeight="1" x14ac:dyDescent="0.25">
      <c r="A11" s="1" t="str">
        <f>IF('1.1 Produksi Bersih Padi 2025'!A11="","",'1.1 Produksi Bersih Padi 2025'!A11)</f>
        <v/>
      </c>
      <c r="B11" s="31" t="str">
        <f>IF('1.1 Produksi Bersih Padi 2025'!B11="","",'1.1 Produksi Bersih Padi 2025'!B11)</f>
        <v/>
      </c>
      <c r="C11" s="31" t="str">
        <f>IF('1.1 Produksi Bersih Padi 2025'!C11="","",'1.1 Produksi Bersih Padi 2025'!C11)</f>
        <v/>
      </c>
      <c r="D11" s="1" t="str">
        <f>IF('1.1 Produksi Bersih Padi 2025'!D11="","",'1.1 Produksi Bersih Padi 2025'!D11)</f>
        <v/>
      </c>
      <c r="E11" s="1" t="str">
        <f>IF('1.1 Produksi Bersih Padi 2025'!E11="","",'1.1 Produksi Bersih Padi 2025'!E11)</f>
        <v/>
      </c>
      <c r="F11" s="28" t="str">
        <f>IF(D11="","",VLOOKUP(D11,'[1]0.1 Produksi Pangan &amp; Penduduk'!$D$5:$AE$860,28,0))</f>
        <v/>
      </c>
      <c r="G11" s="29" t="str">
        <f t="shared" si="0"/>
        <v/>
      </c>
      <c r="H11" s="29" t="str">
        <f t="shared" si="1"/>
        <v/>
      </c>
      <c r="I11" s="29" t="str">
        <f t="shared" si="2"/>
        <v/>
      </c>
      <c r="J11" s="29" t="str">
        <f t="shared" si="3"/>
        <v/>
      </c>
      <c r="K11" s="29" t="str">
        <f t="shared" si="4"/>
        <v/>
      </c>
    </row>
    <row r="12" spans="1:11" ht="13.5" customHeight="1" x14ac:dyDescent="0.25">
      <c r="A12" s="1" t="str">
        <f>IF('1.1 Produksi Bersih Padi 2025'!A12="","",'1.1 Produksi Bersih Padi 2025'!A12)</f>
        <v/>
      </c>
      <c r="B12" s="31" t="str">
        <f>IF('1.1 Produksi Bersih Padi 2025'!B12="","",'1.1 Produksi Bersih Padi 2025'!B12)</f>
        <v/>
      </c>
      <c r="C12" s="31" t="str">
        <f>IF('1.1 Produksi Bersih Padi 2025'!C12="","",'1.1 Produksi Bersih Padi 2025'!C12)</f>
        <v/>
      </c>
      <c r="D12" s="1" t="str">
        <f>IF('1.1 Produksi Bersih Padi 2025'!D12="","",'1.1 Produksi Bersih Padi 2025'!D12)</f>
        <v/>
      </c>
      <c r="E12" s="1" t="str">
        <f>IF('1.1 Produksi Bersih Padi 2025'!E12="","",'1.1 Produksi Bersih Padi 2025'!E12)</f>
        <v/>
      </c>
      <c r="F12" s="28" t="str">
        <f>IF(D12="","",VLOOKUP(D12,'[1]0.1 Produksi Pangan &amp; Penduduk'!$D$5:$AE$860,28,0))</f>
        <v/>
      </c>
      <c r="G12" s="29" t="str">
        <f t="shared" si="0"/>
        <v/>
      </c>
      <c r="H12" s="29" t="str">
        <f t="shared" si="1"/>
        <v/>
      </c>
      <c r="I12" s="29" t="str">
        <f t="shared" si="2"/>
        <v/>
      </c>
      <c r="J12" s="29" t="str">
        <f t="shared" si="3"/>
        <v/>
      </c>
      <c r="K12" s="29" t="str">
        <f t="shared" si="4"/>
        <v/>
      </c>
    </row>
    <row r="13" spans="1:11" ht="13.5" customHeight="1" x14ac:dyDescent="0.25">
      <c r="A13" s="1" t="str">
        <f>IF('1.1 Produksi Bersih Padi 2025'!A13="","",'1.1 Produksi Bersih Padi 2025'!A13)</f>
        <v/>
      </c>
      <c r="B13" s="31" t="str">
        <f>IF('1.1 Produksi Bersih Padi 2025'!B13="","",'1.1 Produksi Bersih Padi 2025'!B13)</f>
        <v/>
      </c>
      <c r="C13" s="31" t="str">
        <f>IF('1.1 Produksi Bersih Padi 2025'!C13="","",'1.1 Produksi Bersih Padi 2025'!C13)</f>
        <v/>
      </c>
      <c r="D13" s="1" t="str">
        <f>IF('1.1 Produksi Bersih Padi 2025'!D13="","",'1.1 Produksi Bersih Padi 2025'!D13)</f>
        <v/>
      </c>
      <c r="E13" s="1" t="str">
        <f>IF('1.1 Produksi Bersih Padi 2025'!E13="","",'1.1 Produksi Bersih Padi 2025'!E13)</f>
        <v/>
      </c>
      <c r="F13" s="28" t="str">
        <f>IF(D13="","",VLOOKUP(D13,'[1]0.1 Produksi Pangan &amp; Penduduk'!$D$5:$AE$860,28,0))</f>
        <v/>
      </c>
      <c r="G13" s="29" t="str">
        <f t="shared" si="0"/>
        <v/>
      </c>
      <c r="H13" s="29" t="str">
        <f t="shared" si="1"/>
        <v/>
      </c>
      <c r="I13" s="29" t="str">
        <f t="shared" si="2"/>
        <v/>
      </c>
      <c r="J13" s="29" t="str">
        <f t="shared" si="3"/>
        <v/>
      </c>
      <c r="K13" s="29" t="str">
        <f t="shared" si="4"/>
        <v/>
      </c>
    </row>
    <row r="14" spans="1:11" ht="13.5" customHeight="1" x14ac:dyDescent="0.25">
      <c r="A14" s="1" t="str">
        <f>IF('1.1 Produksi Bersih Padi 2025'!A14="","",'1.1 Produksi Bersih Padi 2025'!A14)</f>
        <v/>
      </c>
      <c r="B14" s="31" t="str">
        <f>IF('1.1 Produksi Bersih Padi 2025'!B14="","",'1.1 Produksi Bersih Padi 2025'!B14)</f>
        <v/>
      </c>
      <c r="C14" s="31" t="str">
        <f>IF('1.1 Produksi Bersih Padi 2025'!C14="","",'1.1 Produksi Bersih Padi 2025'!C14)</f>
        <v/>
      </c>
      <c r="D14" s="1" t="str">
        <f>IF('1.1 Produksi Bersih Padi 2025'!D14="","",'1.1 Produksi Bersih Padi 2025'!D14)</f>
        <v/>
      </c>
      <c r="E14" s="1" t="str">
        <f>IF('1.1 Produksi Bersih Padi 2025'!E14="","",'1.1 Produksi Bersih Padi 2025'!E14)</f>
        <v/>
      </c>
      <c r="F14" s="28" t="str">
        <f>IF(D14="","",VLOOKUP(D14,'[1]0.1 Produksi Pangan &amp; Penduduk'!$D$5:$AE$860,28,0))</f>
        <v/>
      </c>
      <c r="G14" s="29" t="str">
        <f t="shared" si="0"/>
        <v/>
      </c>
      <c r="H14" s="29" t="str">
        <f t="shared" si="1"/>
        <v/>
      </c>
      <c r="I14" s="29" t="str">
        <f t="shared" si="2"/>
        <v/>
      </c>
      <c r="J14" s="29" t="str">
        <f t="shared" si="3"/>
        <v/>
      </c>
      <c r="K14" s="29" t="str">
        <f t="shared" si="4"/>
        <v/>
      </c>
    </row>
    <row r="15" spans="1:11" ht="13.5" customHeight="1" x14ac:dyDescent="0.25">
      <c r="A15" s="1" t="str">
        <f>IF('1.1 Produksi Bersih Padi 2025'!A15="","",'1.1 Produksi Bersih Padi 2025'!A15)</f>
        <v/>
      </c>
      <c r="B15" s="31" t="str">
        <f>IF('1.1 Produksi Bersih Padi 2025'!B15="","",'1.1 Produksi Bersih Padi 2025'!B15)</f>
        <v/>
      </c>
      <c r="C15" s="31" t="str">
        <f>IF('1.1 Produksi Bersih Padi 2025'!C15="","",'1.1 Produksi Bersih Padi 2025'!C15)</f>
        <v/>
      </c>
      <c r="D15" s="1" t="str">
        <f>IF('1.1 Produksi Bersih Padi 2025'!D15="","",'1.1 Produksi Bersih Padi 2025'!D15)</f>
        <v/>
      </c>
      <c r="E15" s="1" t="str">
        <f>IF('1.1 Produksi Bersih Padi 2025'!E15="","",'1.1 Produksi Bersih Padi 2025'!E15)</f>
        <v/>
      </c>
      <c r="F15" s="28" t="str">
        <f>IF(D15="","",VLOOKUP(D15,'[1]0.1 Produksi Pangan &amp; Penduduk'!$D$5:$AE$860,28,0))</f>
        <v/>
      </c>
      <c r="G15" s="29" t="str">
        <f t="shared" si="0"/>
        <v/>
      </c>
      <c r="H15" s="29" t="str">
        <f t="shared" si="1"/>
        <v/>
      </c>
      <c r="I15" s="29" t="str">
        <f t="shared" si="2"/>
        <v/>
      </c>
      <c r="J15" s="29" t="str">
        <f t="shared" si="3"/>
        <v/>
      </c>
      <c r="K15" s="29" t="str">
        <f t="shared" si="4"/>
        <v/>
      </c>
    </row>
    <row r="16" spans="1:11" ht="13.5" customHeight="1" x14ac:dyDescent="0.25">
      <c r="A16" s="1" t="str">
        <f>IF('1.1 Produksi Bersih Padi 2025'!A16="","",'1.1 Produksi Bersih Padi 2025'!A16)</f>
        <v/>
      </c>
      <c r="B16" s="31" t="str">
        <f>IF('1.1 Produksi Bersih Padi 2025'!B16="","",'1.1 Produksi Bersih Padi 2025'!B16)</f>
        <v/>
      </c>
      <c r="C16" s="31" t="str">
        <f>IF('1.1 Produksi Bersih Padi 2025'!C16="","",'1.1 Produksi Bersih Padi 2025'!C16)</f>
        <v/>
      </c>
      <c r="D16" s="1" t="str">
        <f>IF('1.1 Produksi Bersih Padi 2025'!D16="","",'1.1 Produksi Bersih Padi 2025'!D16)</f>
        <v/>
      </c>
      <c r="E16" s="1" t="str">
        <f>IF('1.1 Produksi Bersih Padi 2025'!E16="","",'1.1 Produksi Bersih Padi 2025'!E16)</f>
        <v/>
      </c>
      <c r="F16" s="28" t="str">
        <f>IF(D16="","",VLOOKUP(D16,'[1]0.1 Produksi Pangan &amp; Penduduk'!$D$5:$AE$860,28,0))</f>
        <v/>
      </c>
      <c r="G16" s="29" t="str">
        <f t="shared" si="0"/>
        <v/>
      </c>
      <c r="H16" s="29" t="str">
        <f t="shared" si="1"/>
        <v/>
      </c>
      <c r="I16" s="29" t="str">
        <f t="shared" si="2"/>
        <v/>
      </c>
      <c r="J16" s="29" t="str">
        <f t="shared" si="3"/>
        <v/>
      </c>
      <c r="K16" s="29" t="str">
        <f t="shared" si="4"/>
        <v/>
      </c>
    </row>
    <row r="17" spans="1:11" ht="13.5" customHeight="1" x14ac:dyDescent="0.25">
      <c r="A17" s="1" t="str">
        <f>IF('1.1 Produksi Bersih Padi 2025'!A17="","",'1.1 Produksi Bersih Padi 2025'!A17)</f>
        <v/>
      </c>
      <c r="B17" s="31" t="str">
        <f>IF('1.1 Produksi Bersih Padi 2025'!B17="","",'1.1 Produksi Bersih Padi 2025'!B17)</f>
        <v/>
      </c>
      <c r="C17" s="31" t="str">
        <f>IF('1.1 Produksi Bersih Padi 2025'!C17="","",'1.1 Produksi Bersih Padi 2025'!C17)</f>
        <v/>
      </c>
      <c r="D17" s="1" t="str">
        <f>IF('1.1 Produksi Bersih Padi 2025'!D17="","",'1.1 Produksi Bersih Padi 2025'!D17)</f>
        <v/>
      </c>
      <c r="E17" s="1" t="str">
        <f>IF('1.1 Produksi Bersih Padi 2025'!E17="","",'1.1 Produksi Bersih Padi 2025'!E17)</f>
        <v/>
      </c>
      <c r="F17" s="28" t="str">
        <f>IF(D17="","",VLOOKUP(D17,'[1]0.1 Produksi Pangan &amp; Penduduk'!$D$5:$AE$860,28,0))</f>
        <v/>
      </c>
      <c r="G17" s="29" t="str">
        <f t="shared" si="0"/>
        <v/>
      </c>
      <c r="H17" s="29" t="str">
        <f t="shared" si="1"/>
        <v/>
      </c>
      <c r="I17" s="29" t="str">
        <f t="shared" si="2"/>
        <v/>
      </c>
      <c r="J17" s="29" t="str">
        <f t="shared" si="3"/>
        <v/>
      </c>
      <c r="K17" s="29" t="str">
        <f t="shared" si="4"/>
        <v/>
      </c>
    </row>
    <row r="18" spans="1:11" ht="13.5" customHeight="1" x14ac:dyDescent="0.25">
      <c r="A18" s="1" t="str">
        <f>IF('1.1 Produksi Bersih Padi 2025'!A18="","",'1.1 Produksi Bersih Padi 2025'!A18)</f>
        <v/>
      </c>
      <c r="B18" s="31" t="str">
        <f>IF('1.1 Produksi Bersih Padi 2025'!B18="","",'1.1 Produksi Bersih Padi 2025'!B18)</f>
        <v/>
      </c>
      <c r="C18" s="31" t="str">
        <f>IF('1.1 Produksi Bersih Padi 2025'!C18="","",'1.1 Produksi Bersih Padi 2025'!C18)</f>
        <v/>
      </c>
      <c r="D18" s="1" t="str">
        <f>IF('1.1 Produksi Bersih Padi 2025'!D18="","",'1.1 Produksi Bersih Padi 2025'!D18)</f>
        <v/>
      </c>
      <c r="E18" s="1" t="str">
        <f>IF('1.1 Produksi Bersih Padi 2025'!E18="","",'1.1 Produksi Bersih Padi 2025'!E18)</f>
        <v/>
      </c>
      <c r="F18" s="28" t="str">
        <f>IF(D18="","",VLOOKUP(D18,'[1]0.1 Produksi Pangan &amp; Penduduk'!$D$5:$AE$860,28,0))</f>
        <v/>
      </c>
      <c r="G18" s="29" t="str">
        <f t="shared" si="0"/>
        <v/>
      </c>
      <c r="H18" s="29" t="str">
        <f t="shared" si="1"/>
        <v/>
      </c>
      <c r="I18" s="29" t="str">
        <f t="shared" si="2"/>
        <v/>
      </c>
      <c r="J18" s="29" t="str">
        <f t="shared" si="3"/>
        <v/>
      </c>
      <c r="K18" s="29" t="str">
        <f t="shared" si="4"/>
        <v/>
      </c>
    </row>
    <row r="19" spans="1:11" ht="13.5" customHeight="1" x14ac:dyDescent="0.25">
      <c r="A19" s="1" t="str">
        <f>IF('1.1 Produksi Bersih Padi 2025'!A19="","",'1.1 Produksi Bersih Padi 2025'!A19)</f>
        <v/>
      </c>
      <c r="B19" s="31" t="str">
        <f>IF('1.1 Produksi Bersih Padi 2025'!B19="","",'1.1 Produksi Bersih Padi 2025'!B19)</f>
        <v/>
      </c>
      <c r="C19" s="31" t="str">
        <f>IF('1.1 Produksi Bersih Padi 2025'!C19="","",'1.1 Produksi Bersih Padi 2025'!C19)</f>
        <v/>
      </c>
      <c r="D19" s="1" t="str">
        <f>IF('1.1 Produksi Bersih Padi 2025'!D19="","",'1.1 Produksi Bersih Padi 2025'!D19)</f>
        <v/>
      </c>
      <c r="E19" s="1" t="str">
        <f>IF('1.1 Produksi Bersih Padi 2025'!E19="","",'1.1 Produksi Bersih Padi 2025'!E19)</f>
        <v/>
      </c>
      <c r="F19" s="28" t="str">
        <f>IF(D19="","",VLOOKUP(D19,'[1]0.1 Produksi Pangan &amp; Penduduk'!$D$5:$AE$860,28,0))</f>
        <v/>
      </c>
      <c r="G19" s="29" t="str">
        <f t="shared" si="0"/>
        <v/>
      </c>
      <c r="H19" s="29" t="str">
        <f t="shared" si="1"/>
        <v/>
      </c>
      <c r="I19" s="29" t="str">
        <f t="shared" si="2"/>
        <v/>
      </c>
      <c r="J19" s="29" t="str">
        <f t="shared" si="3"/>
        <v/>
      </c>
      <c r="K19" s="29" t="str">
        <f t="shared" si="4"/>
        <v/>
      </c>
    </row>
    <row r="20" spans="1:11" ht="15" x14ac:dyDescent="0.25">
      <c r="A20" s="1" t="str">
        <f>IF('1.1 Produksi Bersih Padi 2025'!A20="","",'1.1 Produksi Bersih Padi 2025'!A20)</f>
        <v/>
      </c>
      <c r="B20" s="31" t="str">
        <f>IF('1.1 Produksi Bersih Padi 2025'!B20="","",'1.1 Produksi Bersih Padi 2025'!B20)</f>
        <v/>
      </c>
      <c r="C20" s="31" t="str">
        <f>IF('1.1 Produksi Bersih Padi 2025'!C20="","",'1.1 Produksi Bersih Padi 2025'!C20)</f>
        <v/>
      </c>
      <c r="D20" s="1" t="str">
        <f>IF('1.1 Produksi Bersih Padi 2025'!D20="","",'1.1 Produksi Bersih Padi 2025'!D20)</f>
        <v/>
      </c>
      <c r="E20" s="1" t="str">
        <f>IF('1.1 Produksi Bersih Padi 2025'!E20="","",'1.1 Produksi Bersih Padi 2025'!E20)</f>
        <v/>
      </c>
      <c r="F20" s="28" t="str">
        <f>IF(D20="","",VLOOKUP(D20,'[1]0.1 Produksi Pangan &amp; Penduduk'!$D$5:$AE$860,28,0))</f>
        <v/>
      </c>
      <c r="G20" s="29" t="str">
        <f t="shared" si="0"/>
        <v/>
      </c>
      <c r="H20" s="29" t="str">
        <f t="shared" si="1"/>
        <v/>
      </c>
      <c r="I20" s="29" t="str">
        <f t="shared" si="2"/>
        <v/>
      </c>
      <c r="J20" s="29" t="str">
        <f t="shared" si="3"/>
        <v/>
      </c>
      <c r="K20" s="29" t="str">
        <f t="shared" si="4"/>
        <v/>
      </c>
    </row>
    <row r="21" spans="1:11" ht="15" x14ac:dyDescent="0.25">
      <c r="A21" s="1" t="str">
        <f>IF('1.1 Produksi Bersih Padi 2025'!A21="","",'1.1 Produksi Bersih Padi 2025'!A21)</f>
        <v/>
      </c>
      <c r="B21" s="31" t="str">
        <f>IF('1.1 Produksi Bersih Padi 2025'!B21="","",'1.1 Produksi Bersih Padi 2025'!B21)</f>
        <v/>
      </c>
      <c r="C21" s="31" t="str">
        <f>IF('1.1 Produksi Bersih Padi 2025'!C21="","",'1.1 Produksi Bersih Padi 2025'!C21)</f>
        <v/>
      </c>
      <c r="D21" s="1" t="str">
        <f>IF('1.1 Produksi Bersih Padi 2025'!D21="","",'1.1 Produksi Bersih Padi 2025'!D21)</f>
        <v/>
      </c>
      <c r="E21" s="1" t="str">
        <f>IF('1.1 Produksi Bersih Padi 2025'!E21="","",'1.1 Produksi Bersih Padi 2025'!E21)</f>
        <v/>
      </c>
      <c r="F21" s="28" t="str">
        <f>IF(D21="","",VLOOKUP(D21,'[1]0.1 Produksi Pangan &amp; Penduduk'!$D$5:$AE$860,28,0))</f>
        <v/>
      </c>
      <c r="G21" s="29" t="str">
        <f t="shared" si="0"/>
        <v/>
      </c>
      <c r="H21" s="29" t="str">
        <f t="shared" si="1"/>
        <v/>
      </c>
      <c r="I21" s="29" t="str">
        <f t="shared" si="2"/>
        <v/>
      </c>
      <c r="J21" s="29" t="str">
        <f t="shared" si="3"/>
        <v/>
      </c>
      <c r="K21" s="29" t="str">
        <f t="shared" si="4"/>
        <v/>
      </c>
    </row>
    <row r="22" spans="1:11" ht="15" x14ac:dyDescent="0.25">
      <c r="A22" s="1" t="str">
        <f>IF('1.1 Produksi Bersih Padi 2025'!A22="","",'1.1 Produksi Bersih Padi 2025'!A22)</f>
        <v/>
      </c>
      <c r="B22" s="31" t="str">
        <f>IF('1.1 Produksi Bersih Padi 2025'!B22="","",'1.1 Produksi Bersih Padi 2025'!B22)</f>
        <v/>
      </c>
      <c r="C22" s="31" t="str">
        <f>IF('1.1 Produksi Bersih Padi 2025'!C22="","",'1.1 Produksi Bersih Padi 2025'!C22)</f>
        <v/>
      </c>
      <c r="D22" s="1" t="str">
        <f>IF('1.1 Produksi Bersih Padi 2025'!D22="","",'1.1 Produksi Bersih Padi 2025'!D22)</f>
        <v/>
      </c>
      <c r="E22" s="1" t="str">
        <f>IF('1.1 Produksi Bersih Padi 2025'!E22="","",'1.1 Produksi Bersih Padi 2025'!E22)</f>
        <v/>
      </c>
      <c r="F22" s="28" t="str">
        <f>IF(D22="","",VLOOKUP(D22,'[1]0.1 Produksi Pangan &amp; Penduduk'!$D$5:$AE$860,28,0))</f>
        <v/>
      </c>
      <c r="G22" s="29" t="str">
        <f t="shared" si="0"/>
        <v/>
      </c>
      <c r="H22" s="29" t="str">
        <f t="shared" si="1"/>
        <v/>
      </c>
      <c r="I22" s="29" t="str">
        <f t="shared" si="2"/>
        <v/>
      </c>
      <c r="J22" s="29" t="str">
        <f t="shared" si="3"/>
        <v/>
      </c>
      <c r="K22" s="29" t="str">
        <f t="shared" si="4"/>
        <v/>
      </c>
    </row>
    <row r="23" spans="1:11" ht="15" x14ac:dyDescent="0.25">
      <c r="A23" s="1" t="str">
        <f>IF('1.1 Produksi Bersih Padi 2025'!A23="","",'1.1 Produksi Bersih Padi 2025'!A23)</f>
        <v/>
      </c>
      <c r="B23" s="31" t="str">
        <f>IF('1.1 Produksi Bersih Padi 2025'!B23="","",'1.1 Produksi Bersih Padi 2025'!B23)</f>
        <v/>
      </c>
      <c r="C23" s="31" t="str">
        <f>IF('1.1 Produksi Bersih Padi 2025'!C23="","",'1.1 Produksi Bersih Padi 2025'!C23)</f>
        <v/>
      </c>
      <c r="D23" s="1" t="str">
        <f>IF('1.1 Produksi Bersih Padi 2025'!D23="","",'1.1 Produksi Bersih Padi 2025'!D23)</f>
        <v/>
      </c>
      <c r="E23" s="1" t="str">
        <f>IF('1.1 Produksi Bersih Padi 2025'!E23="","",'1.1 Produksi Bersih Padi 2025'!E23)</f>
        <v/>
      </c>
      <c r="F23" s="28" t="str">
        <f>IF(D23="","",VLOOKUP(D23,'[1]0.1 Produksi Pangan &amp; Penduduk'!$D$5:$AE$860,28,0))</f>
        <v/>
      </c>
      <c r="G23" s="29" t="str">
        <f t="shared" si="0"/>
        <v/>
      </c>
      <c r="H23" s="29" t="str">
        <f t="shared" si="1"/>
        <v/>
      </c>
      <c r="I23" s="29" t="str">
        <f t="shared" si="2"/>
        <v/>
      </c>
      <c r="J23" s="29" t="str">
        <f t="shared" si="3"/>
        <v/>
      </c>
      <c r="K23" s="29" t="str">
        <f t="shared" si="4"/>
        <v/>
      </c>
    </row>
    <row r="24" spans="1:11" ht="15" x14ac:dyDescent="0.25">
      <c r="A24" s="1" t="str">
        <f>IF('1.1 Produksi Bersih Padi 2025'!A24="","",'1.1 Produksi Bersih Padi 2025'!A24)</f>
        <v/>
      </c>
      <c r="B24" s="31" t="str">
        <f>IF('1.1 Produksi Bersih Padi 2025'!B24="","",'1.1 Produksi Bersih Padi 2025'!B24)</f>
        <v/>
      </c>
      <c r="C24" s="31" t="str">
        <f>IF('1.1 Produksi Bersih Padi 2025'!C24="","",'1.1 Produksi Bersih Padi 2025'!C24)</f>
        <v/>
      </c>
      <c r="D24" s="1" t="str">
        <f>IF('1.1 Produksi Bersih Padi 2025'!D24="","",'1.1 Produksi Bersih Padi 2025'!D24)</f>
        <v/>
      </c>
      <c r="E24" s="1" t="str">
        <f>IF('1.1 Produksi Bersih Padi 2025'!E24="","",'1.1 Produksi Bersih Padi 2025'!E24)</f>
        <v/>
      </c>
      <c r="F24" s="28" t="str">
        <f>IF(D24="","",VLOOKUP(D24,'[1]0.1 Produksi Pangan &amp; Penduduk'!$D$5:$AE$860,28,0))</f>
        <v/>
      </c>
      <c r="G24" s="29" t="str">
        <f t="shared" si="0"/>
        <v/>
      </c>
      <c r="H24" s="29" t="str">
        <f t="shared" si="1"/>
        <v/>
      </c>
      <c r="I24" s="29" t="str">
        <f t="shared" si="2"/>
        <v/>
      </c>
      <c r="J24" s="29" t="str">
        <f t="shared" si="3"/>
        <v/>
      </c>
      <c r="K24" s="29" t="str">
        <f t="shared" si="4"/>
        <v/>
      </c>
    </row>
    <row r="25" spans="1:11" ht="15" x14ac:dyDescent="0.25">
      <c r="A25" s="1" t="str">
        <f>IF('1.1 Produksi Bersih Padi 2025'!A25="","",'1.1 Produksi Bersih Padi 2025'!A25)</f>
        <v/>
      </c>
      <c r="B25" s="31" t="str">
        <f>IF('1.1 Produksi Bersih Padi 2025'!B25="","",'1.1 Produksi Bersih Padi 2025'!B25)</f>
        <v/>
      </c>
      <c r="C25" s="31" t="str">
        <f>IF('1.1 Produksi Bersih Padi 2025'!C25="","",'1.1 Produksi Bersih Padi 2025'!C25)</f>
        <v/>
      </c>
      <c r="D25" s="1" t="str">
        <f>IF('1.1 Produksi Bersih Padi 2025'!D25="","",'1.1 Produksi Bersih Padi 2025'!D25)</f>
        <v/>
      </c>
      <c r="E25" s="1" t="str">
        <f>IF('1.1 Produksi Bersih Padi 2025'!E25="","",'1.1 Produksi Bersih Padi 2025'!E25)</f>
        <v/>
      </c>
      <c r="F25" s="28" t="str">
        <f>IF(D25="","",VLOOKUP(D25,'[1]0.1 Produksi Pangan &amp; Penduduk'!$D$5:$AE$860,28,0))</f>
        <v/>
      </c>
      <c r="G25" s="29" t="str">
        <f t="shared" si="0"/>
        <v/>
      </c>
      <c r="H25" s="29" t="str">
        <f t="shared" si="1"/>
        <v/>
      </c>
      <c r="I25" s="29" t="str">
        <f t="shared" si="2"/>
        <v/>
      </c>
      <c r="J25" s="29" t="str">
        <f t="shared" si="3"/>
        <v/>
      </c>
      <c r="K25" s="29" t="str">
        <f t="shared" si="4"/>
        <v/>
      </c>
    </row>
    <row r="26" spans="1:11" ht="15" x14ac:dyDescent="0.25">
      <c r="A26" s="1" t="str">
        <f>IF('1.1 Produksi Bersih Padi 2025'!A26="","",'1.1 Produksi Bersih Padi 2025'!A26)</f>
        <v/>
      </c>
      <c r="B26" s="31" t="str">
        <f>IF('1.1 Produksi Bersih Padi 2025'!B26="","",'1.1 Produksi Bersih Padi 2025'!B26)</f>
        <v/>
      </c>
      <c r="C26" s="31" t="str">
        <f>IF('1.1 Produksi Bersih Padi 2025'!C26="","",'1.1 Produksi Bersih Padi 2025'!C26)</f>
        <v/>
      </c>
      <c r="D26" s="1" t="str">
        <f>IF('1.1 Produksi Bersih Padi 2025'!D26="","",'1.1 Produksi Bersih Padi 2025'!D26)</f>
        <v/>
      </c>
      <c r="E26" s="1" t="str">
        <f>IF('1.1 Produksi Bersih Padi 2025'!E26="","",'1.1 Produksi Bersih Padi 2025'!E26)</f>
        <v/>
      </c>
      <c r="F26" s="28" t="str">
        <f>IF(D26="","",VLOOKUP(D26,'[1]0.1 Produksi Pangan &amp; Penduduk'!$D$5:$AE$860,28,0))</f>
        <v/>
      </c>
      <c r="G26" s="29" t="str">
        <f t="shared" si="0"/>
        <v/>
      </c>
      <c r="H26" s="29" t="str">
        <f t="shared" si="1"/>
        <v/>
      </c>
      <c r="I26" s="29" t="str">
        <f t="shared" si="2"/>
        <v/>
      </c>
      <c r="J26" s="29" t="str">
        <f t="shared" si="3"/>
        <v/>
      </c>
      <c r="K26" s="29" t="str">
        <f t="shared" si="4"/>
        <v/>
      </c>
    </row>
    <row r="27" spans="1:11" ht="15" x14ac:dyDescent="0.25">
      <c r="A27" s="1" t="str">
        <f>IF('1.1 Produksi Bersih Padi 2025'!A27="","",'1.1 Produksi Bersih Padi 2025'!A27)</f>
        <v/>
      </c>
      <c r="B27" s="31" t="str">
        <f>IF('1.1 Produksi Bersih Padi 2025'!B27="","",'1.1 Produksi Bersih Padi 2025'!B27)</f>
        <v/>
      </c>
      <c r="C27" s="31" t="str">
        <f>IF('1.1 Produksi Bersih Padi 2025'!C27="","",'1.1 Produksi Bersih Padi 2025'!C27)</f>
        <v/>
      </c>
      <c r="D27" s="1" t="str">
        <f>IF('1.1 Produksi Bersih Padi 2025'!D27="","",'1.1 Produksi Bersih Padi 2025'!D27)</f>
        <v/>
      </c>
      <c r="E27" s="1" t="str">
        <f>IF('1.1 Produksi Bersih Padi 2025'!E27="","",'1.1 Produksi Bersih Padi 2025'!E27)</f>
        <v/>
      </c>
      <c r="F27" s="28" t="str">
        <f>IF(D27="","",VLOOKUP(D27,'[1]0.1 Produksi Pangan &amp; Penduduk'!$D$5:$AE$860,28,0))</f>
        <v/>
      </c>
      <c r="G27" s="29" t="str">
        <f t="shared" si="0"/>
        <v/>
      </c>
      <c r="H27" s="29" t="str">
        <f t="shared" si="1"/>
        <v/>
      </c>
      <c r="I27" s="29" t="str">
        <f t="shared" si="2"/>
        <v/>
      </c>
      <c r="J27" s="29" t="str">
        <f t="shared" si="3"/>
        <v/>
      </c>
      <c r="K27" s="29" t="str">
        <f t="shared" si="4"/>
        <v/>
      </c>
    </row>
    <row r="28" spans="1:11" ht="15" x14ac:dyDescent="0.25">
      <c r="A28" s="1" t="str">
        <f>IF('1.1 Produksi Bersih Padi 2025'!A28="","",'1.1 Produksi Bersih Padi 2025'!A28)</f>
        <v/>
      </c>
      <c r="B28" s="31" t="str">
        <f>IF('1.1 Produksi Bersih Padi 2025'!B28="","",'1.1 Produksi Bersih Padi 2025'!B28)</f>
        <v/>
      </c>
      <c r="C28" s="31" t="str">
        <f>IF('1.1 Produksi Bersih Padi 2025'!C28="","",'1.1 Produksi Bersih Padi 2025'!C28)</f>
        <v/>
      </c>
      <c r="D28" s="1" t="str">
        <f>IF('1.1 Produksi Bersih Padi 2025'!D28="","",'1.1 Produksi Bersih Padi 2025'!D28)</f>
        <v/>
      </c>
      <c r="E28" s="1" t="str">
        <f>IF('1.1 Produksi Bersih Padi 2025'!E28="","",'1.1 Produksi Bersih Padi 2025'!E28)</f>
        <v/>
      </c>
      <c r="F28" s="28" t="str">
        <f>IF(D28="","",VLOOKUP(D28,'[1]0.1 Produksi Pangan &amp; Penduduk'!$D$5:$AE$860,28,0))</f>
        <v/>
      </c>
      <c r="G28" s="29" t="str">
        <f t="shared" si="0"/>
        <v/>
      </c>
      <c r="H28" s="29" t="str">
        <f t="shared" si="1"/>
        <v/>
      </c>
      <c r="I28" s="29" t="str">
        <f t="shared" si="2"/>
        <v/>
      </c>
      <c r="J28" s="29" t="str">
        <f t="shared" si="3"/>
        <v/>
      </c>
      <c r="K28" s="29" t="str">
        <f t="shared" si="4"/>
        <v/>
      </c>
    </row>
    <row r="29" spans="1:11" ht="15" x14ac:dyDescent="0.25">
      <c r="A29" s="1" t="str">
        <f>IF('1.1 Produksi Bersih Padi 2025'!A29="","",'1.1 Produksi Bersih Padi 2025'!A29)</f>
        <v/>
      </c>
      <c r="B29" s="31" t="str">
        <f>IF('1.1 Produksi Bersih Padi 2025'!B29="","",'1.1 Produksi Bersih Padi 2025'!B29)</f>
        <v/>
      </c>
      <c r="C29" s="31" t="str">
        <f>IF('1.1 Produksi Bersih Padi 2025'!C29="","",'1.1 Produksi Bersih Padi 2025'!C29)</f>
        <v/>
      </c>
      <c r="D29" s="1" t="str">
        <f>IF('1.1 Produksi Bersih Padi 2025'!D29="","",'1.1 Produksi Bersih Padi 2025'!D29)</f>
        <v/>
      </c>
      <c r="E29" s="1" t="str">
        <f>IF('1.1 Produksi Bersih Padi 2025'!E29="","",'1.1 Produksi Bersih Padi 2025'!E29)</f>
        <v/>
      </c>
      <c r="F29" s="28" t="str">
        <f>IF(D29="","",VLOOKUP(D29,'[1]0.1 Produksi Pangan &amp; Penduduk'!$D$5:$AE$860,28,0))</f>
        <v/>
      </c>
      <c r="G29" s="29" t="str">
        <f t="shared" si="0"/>
        <v/>
      </c>
      <c r="H29" s="29" t="str">
        <f t="shared" si="1"/>
        <v/>
      </c>
      <c r="I29" s="29" t="str">
        <f t="shared" si="2"/>
        <v/>
      </c>
      <c r="J29" s="29" t="str">
        <f t="shared" si="3"/>
        <v/>
      </c>
      <c r="K29" s="29" t="str">
        <f t="shared" si="4"/>
        <v/>
      </c>
    </row>
    <row r="30" spans="1:11" ht="15" x14ac:dyDescent="0.25">
      <c r="A30" s="1" t="str">
        <f>IF('1.1 Produksi Bersih Padi 2025'!A30="","",'1.1 Produksi Bersih Padi 2025'!A30)</f>
        <v/>
      </c>
      <c r="B30" s="31" t="str">
        <f>IF('1.1 Produksi Bersih Padi 2025'!B30="","",'1.1 Produksi Bersih Padi 2025'!B30)</f>
        <v/>
      </c>
      <c r="C30" s="31" t="str">
        <f>IF('1.1 Produksi Bersih Padi 2025'!C30="","",'1.1 Produksi Bersih Padi 2025'!C30)</f>
        <v/>
      </c>
      <c r="D30" s="1" t="str">
        <f>IF('1.1 Produksi Bersih Padi 2025'!D30="","",'1.1 Produksi Bersih Padi 2025'!D30)</f>
        <v/>
      </c>
      <c r="E30" s="1" t="str">
        <f>IF('1.1 Produksi Bersih Padi 2025'!E30="","",'1.1 Produksi Bersih Padi 2025'!E30)</f>
        <v/>
      </c>
      <c r="F30" s="28" t="str">
        <f>IF(D30="","",VLOOKUP(D30,'[1]0.1 Produksi Pangan &amp; Penduduk'!$D$5:$AE$860,28,0))</f>
        <v/>
      </c>
      <c r="G30" s="29" t="str">
        <f t="shared" si="0"/>
        <v/>
      </c>
      <c r="H30" s="29" t="str">
        <f t="shared" si="1"/>
        <v/>
      </c>
      <c r="I30" s="29" t="str">
        <f t="shared" si="2"/>
        <v/>
      </c>
      <c r="J30" s="29" t="str">
        <f t="shared" si="3"/>
        <v/>
      </c>
      <c r="K30" s="29" t="str">
        <f t="shared" si="4"/>
        <v/>
      </c>
    </row>
    <row r="31" spans="1:11" ht="15" x14ac:dyDescent="0.25">
      <c r="A31" s="1" t="str">
        <f>IF('1.1 Produksi Bersih Padi 2025'!A31="","",'1.1 Produksi Bersih Padi 2025'!A31)</f>
        <v/>
      </c>
      <c r="B31" s="31" t="str">
        <f>IF('1.1 Produksi Bersih Padi 2025'!B31="","",'1.1 Produksi Bersih Padi 2025'!B31)</f>
        <v/>
      </c>
      <c r="C31" s="31" t="str">
        <f>IF('1.1 Produksi Bersih Padi 2025'!C31="","",'1.1 Produksi Bersih Padi 2025'!C31)</f>
        <v/>
      </c>
      <c r="D31" s="1" t="str">
        <f>IF('1.1 Produksi Bersih Padi 2025'!D31="","",'1.1 Produksi Bersih Padi 2025'!D31)</f>
        <v/>
      </c>
      <c r="E31" s="1" t="str">
        <f>IF('1.1 Produksi Bersih Padi 2025'!E31="","",'1.1 Produksi Bersih Padi 2025'!E31)</f>
        <v/>
      </c>
      <c r="F31" s="28" t="str">
        <f>IF(D31="","",VLOOKUP(D31,'[1]0.1 Produksi Pangan &amp; Penduduk'!$D$5:$AE$860,28,0))</f>
        <v/>
      </c>
      <c r="G31" s="29" t="str">
        <f t="shared" si="0"/>
        <v/>
      </c>
      <c r="H31" s="29" t="str">
        <f t="shared" si="1"/>
        <v/>
      </c>
      <c r="I31" s="29" t="str">
        <f t="shared" si="2"/>
        <v/>
      </c>
      <c r="J31" s="29" t="str">
        <f t="shared" si="3"/>
        <v/>
      </c>
      <c r="K31" s="29" t="str">
        <f t="shared" si="4"/>
        <v/>
      </c>
    </row>
    <row r="32" spans="1:11" ht="15" x14ac:dyDescent="0.25">
      <c r="A32" s="1" t="str">
        <f>IF('1.1 Produksi Bersih Padi 2025'!A32="","",'1.1 Produksi Bersih Padi 2025'!A32)</f>
        <v/>
      </c>
      <c r="B32" s="31" t="str">
        <f>IF('1.1 Produksi Bersih Padi 2025'!B32="","",'1.1 Produksi Bersih Padi 2025'!B32)</f>
        <v/>
      </c>
      <c r="C32" s="31" t="str">
        <f>IF('1.1 Produksi Bersih Padi 2025'!C32="","",'1.1 Produksi Bersih Padi 2025'!C32)</f>
        <v/>
      </c>
      <c r="D32" s="1" t="str">
        <f>IF('1.1 Produksi Bersih Padi 2025'!D32="","",'1.1 Produksi Bersih Padi 2025'!D32)</f>
        <v/>
      </c>
      <c r="E32" s="1" t="str">
        <f>IF('1.1 Produksi Bersih Padi 2025'!E32="","",'1.1 Produksi Bersih Padi 2025'!E32)</f>
        <v/>
      </c>
      <c r="F32" s="28" t="str">
        <f>IF(D32="","",VLOOKUP(D32,'[1]0.1 Produksi Pangan &amp; Penduduk'!$D$5:$AE$860,28,0))</f>
        <v/>
      </c>
      <c r="G32" s="29" t="str">
        <f t="shared" si="0"/>
        <v/>
      </c>
      <c r="H32" s="29" t="str">
        <f t="shared" si="1"/>
        <v/>
      </c>
      <c r="I32" s="29" t="str">
        <f t="shared" si="2"/>
        <v/>
      </c>
      <c r="J32" s="29" t="str">
        <f t="shared" si="3"/>
        <v/>
      </c>
      <c r="K32" s="29" t="str">
        <f t="shared" si="4"/>
        <v/>
      </c>
    </row>
    <row r="33" spans="1:11" ht="15" x14ac:dyDescent="0.25">
      <c r="A33" s="1" t="str">
        <f>IF('1.1 Produksi Bersih Padi 2025'!A33="","",'1.1 Produksi Bersih Padi 2025'!A33)</f>
        <v/>
      </c>
      <c r="B33" s="31" t="str">
        <f>IF('1.1 Produksi Bersih Padi 2025'!B33="","",'1.1 Produksi Bersih Padi 2025'!B33)</f>
        <v/>
      </c>
      <c r="C33" s="31" t="str">
        <f>IF('1.1 Produksi Bersih Padi 2025'!C33="","",'1.1 Produksi Bersih Padi 2025'!C33)</f>
        <v/>
      </c>
      <c r="D33" s="1" t="str">
        <f>IF('1.1 Produksi Bersih Padi 2025'!D33="","",'1.1 Produksi Bersih Padi 2025'!D33)</f>
        <v/>
      </c>
      <c r="E33" s="1" t="str">
        <f>IF('1.1 Produksi Bersih Padi 2025'!E33="","",'1.1 Produksi Bersih Padi 2025'!E33)</f>
        <v/>
      </c>
      <c r="F33" s="28" t="str">
        <f>IF(D33="","",VLOOKUP(D33,'[1]0.1 Produksi Pangan &amp; Penduduk'!$D$5:$AE$860,28,0))</f>
        <v/>
      </c>
      <c r="G33" s="29" t="str">
        <f t="shared" si="0"/>
        <v/>
      </c>
      <c r="H33" s="29" t="str">
        <f t="shared" si="1"/>
        <v/>
      </c>
      <c r="I33" s="29" t="str">
        <f t="shared" si="2"/>
        <v/>
      </c>
      <c r="J33" s="29" t="str">
        <f t="shared" si="3"/>
        <v/>
      </c>
      <c r="K33" s="29" t="str">
        <f t="shared" si="4"/>
        <v/>
      </c>
    </row>
    <row r="34" spans="1:11" ht="15" x14ac:dyDescent="0.25">
      <c r="A34" s="1" t="str">
        <f>IF('1.1 Produksi Bersih Padi 2025'!A34="","",'1.1 Produksi Bersih Padi 2025'!A34)</f>
        <v/>
      </c>
      <c r="B34" s="31" t="str">
        <f>IF('1.1 Produksi Bersih Padi 2025'!B34="","",'1.1 Produksi Bersih Padi 2025'!B34)</f>
        <v/>
      </c>
      <c r="C34" s="31" t="str">
        <f>IF('1.1 Produksi Bersih Padi 2025'!C34="","",'1.1 Produksi Bersih Padi 2025'!C34)</f>
        <v/>
      </c>
      <c r="D34" s="1" t="str">
        <f>IF('1.1 Produksi Bersih Padi 2025'!D34="","",'1.1 Produksi Bersih Padi 2025'!D34)</f>
        <v/>
      </c>
      <c r="E34" s="1" t="str">
        <f>IF('1.1 Produksi Bersih Padi 2025'!E34="","",'1.1 Produksi Bersih Padi 2025'!E34)</f>
        <v/>
      </c>
      <c r="F34" s="28" t="str">
        <f>IF(D34="","",VLOOKUP(D34,'[1]0.1 Produksi Pangan &amp; Penduduk'!$D$5:$AE$860,28,0))</f>
        <v/>
      </c>
      <c r="G34" s="29" t="str">
        <f t="shared" si="0"/>
        <v/>
      </c>
      <c r="H34" s="29" t="str">
        <f t="shared" si="1"/>
        <v/>
      </c>
      <c r="I34" s="29" t="str">
        <f t="shared" si="2"/>
        <v/>
      </c>
      <c r="J34" s="29" t="str">
        <f t="shared" si="3"/>
        <v/>
      </c>
      <c r="K34" s="29" t="str">
        <f t="shared" si="4"/>
        <v/>
      </c>
    </row>
    <row r="35" spans="1:11" ht="15" x14ac:dyDescent="0.25">
      <c r="A35" s="1" t="str">
        <f>IF('1.1 Produksi Bersih Padi 2025'!A35="","",'1.1 Produksi Bersih Padi 2025'!A35)</f>
        <v/>
      </c>
      <c r="B35" s="31" t="str">
        <f>IF('1.1 Produksi Bersih Padi 2025'!B35="","",'1.1 Produksi Bersih Padi 2025'!B35)</f>
        <v/>
      </c>
      <c r="C35" s="31" t="str">
        <f>IF('1.1 Produksi Bersih Padi 2025'!C35="","",'1.1 Produksi Bersih Padi 2025'!C35)</f>
        <v/>
      </c>
      <c r="D35" s="1" t="str">
        <f>IF('1.1 Produksi Bersih Padi 2025'!D35="","",'1.1 Produksi Bersih Padi 2025'!D35)</f>
        <v/>
      </c>
      <c r="E35" s="1" t="str">
        <f>IF('1.1 Produksi Bersih Padi 2025'!E35="","",'1.1 Produksi Bersih Padi 2025'!E35)</f>
        <v/>
      </c>
      <c r="F35" s="28" t="str">
        <f>IF(D35="","",VLOOKUP(D35,'[1]0.1 Produksi Pangan &amp; Penduduk'!$D$5:$AE$860,28,0))</f>
        <v/>
      </c>
      <c r="G35" s="29" t="str">
        <f t="shared" si="0"/>
        <v/>
      </c>
      <c r="H35" s="29" t="str">
        <f t="shared" si="1"/>
        <v/>
      </c>
      <c r="I35" s="29" t="str">
        <f t="shared" si="2"/>
        <v/>
      </c>
      <c r="J35" s="29" t="str">
        <f t="shared" si="3"/>
        <v/>
      </c>
      <c r="K35" s="29" t="str">
        <f t="shared" si="4"/>
        <v/>
      </c>
    </row>
    <row r="36" spans="1:11" ht="15" x14ac:dyDescent="0.25">
      <c r="A36" s="1" t="str">
        <f>IF('1.1 Produksi Bersih Padi 2025'!A36="","",'1.1 Produksi Bersih Padi 2025'!A36)</f>
        <v/>
      </c>
      <c r="B36" s="31" t="str">
        <f>IF('1.1 Produksi Bersih Padi 2025'!B36="","",'1.1 Produksi Bersih Padi 2025'!B36)</f>
        <v/>
      </c>
      <c r="C36" s="31" t="str">
        <f>IF('1.1 Produksi Bersih Padi 2025'!C36="","",'1.1 Produksi Bersih Padi 2025'!C36)</f>
        <v/>
      </c>
      <c r="D36" s="1" t="str">
        <f>IF('1.1 Produksi Bersih Padi 2025'!D36="","",'1.1 Produksi Bersih Padi 2025'!D36)</f>
        <v/>
      </c>
      <c r="E36" s="1" t="str">
        <f>IF('1.1 Produksi Bersih Padi 2025'!E36="","",'1.1 Produksi Bersih Padi 2025'!E36)</f>
        <v/>
      </c>
      <c r="F36" s="28" t="str">
        <f>IF(D36="","",VLOOKUP(D36,'[1]0.1 Produksi Pangan &amp; Penduduk'!$D$5:$AE$860,28,0))</f>
        <v/>
      </c>
      <c r="G36" s="29" t="str">
        <f t="shared" si="0"/>
        <v/>
      </c>
      <c r="H36" s="29" t="str">
        <f t="shared" si="1"/>
        <v/>
      </c>
      <c r="I36" s="29" t="str">
        <f t="shared" si="2"/>
        <v/>
      </c>
      <c r="J36" s="29" t="str">
        <f t="shared" si="3"/>
        <v/>
      </c>
      <c r="K36" s="29" t="str">
        <f t="shared" si="4"/>
        <v/>
      </c>
    </row>
    <row r="37" spans="1:11" ht="15" x14ac:dyDescent="0.25">
      <c r="A37" s="1" t="str">
        <f>IF('1.1 Produksi Bersih Padi 2025'!A37="","",'1.1 Produksi Bersih Padi 2025'!A37)</f>
        <v/>
      </c>
      <c r="B37" s="31" t="str">
        <f>IF('1.1 Produksi Bersih Padi 2025'!B37="","",'1.1 Produksi Bersih Padi 2025'!B37)</f>
        <v/>
      </c>
      <c r="C37" s="31" t="str">
        <f>IF('1.1 Produksi Bersih Padi 2025'!C37="","",'1.1 Produksi Bersih Padi 2025'!C37)</f>
        <v/>
      </c>
      <c r="D37" s="1" t="str">
        <f>IF('1.1 Produksi Bersih Padi 2025'!D37="","",'1.1 Produksi Bersih Padi 2025'!D37)</f>
        <v/>
      </c>
      <c r="E37" s="1" t="str">
        <f>IF('1.1 Produksi Bersih Padi 2025'!E37="","",'1.1 Produksi Bersih Padi 2025'!E37)</f>
        <v/>
      </c>
      <c r="F37" s="28" t="str">
        <f>IF(D37="","",VLOOKUP(D37,'[1]0.1 Produksi Pangan &amp; Penduduk'!$D$5:$AE$860,28,0))</f>
        <v/>
      </c>
      <c r="G37" s="29" t="str">
        <f t="shared" si="0"/>
        <v/>
      </c>
      <c r="H37" s="29" t="str">
        <f t="shared" si="1"/>
        <v/>
      </c>
      <c r="I37" s="29" t="str">
        <f t="shared" si="2"/>
        <v/>
      </c>
      <c r="J37" s="29" t="str">
        <f t="shared" si="3"/>
        <v/>
      </c>
      <c r="K37" s="29" t="str">
        <f t="shared" si="4"/>
        <v/>
      </c>
    </row>
    <row r="38" spans="1:11" ht="15" x14ac:dyDescent="0.25">
      <c r="A38" s="1" t="str">
        <f>IF('1.1 Produksi Bersih Padi 2025'!A38="","",'1.1 Produksi Bersih Padi 2025'!A38)</f>
        <v/>
      </c>
      <c r="B38" s="31" t="str">
        <f>IF('1.1 Produksi Bersih Padi 2025'!B38="","",'1.1 Produksi Bersih Padi 2025'!B38)</f>
        <v/>
      </c>
      <c r="C38" s="31" t="str">
        <f>IF('1.1 Produksi Bersih Padi 2025'!C38="","",'1.1 Produksi Bersih Padi 2025'!C38)</f>
        <v/>
      </c>
      <c r="D38" s="1" t="str">
        <f>IF('1.1 Produksi Bersih Padi 2025'!D38="","",'1.1 Produksi Bersih Padi 2025'!D38)</f>
        <v/>
      </c>
      <c r="E38" s="1" t="str">
        <f>IF('1.1 Produksi Bersih Padi 2025'!E38="","",'1.1 Produksi Bersih Padi 2025'!E38)</f>
        <v/>
      </c>
      <c r="F38" s="28" t="str">
        <f>IF(D38="","",VLOOKUP(D38,'[1]0.1 Produksi Pangan &amp; Penduduk'!$D$5:$AE$860,28,0))</f>
        <v/>
      </c>
      <c r="G38" s="29" t="str">
        <f t="shared" si="0"/>
        <v/>
      </c>
      <c r="H38" s="29" t="str">
        <f t="shared" si="1"/>
        <v/>
      </c>
      <c r="I38" s="29" t="str">
        <f t="shared" si="2"/>
        <v/>
      </c>
      <c r="J38" s="29" t="str">
        <f t="shared" si="3"/>
        <v/>
      </c>
      <c r="K38" s="29" t="str">
        <f t="shared" si="4"/>
        <v/>
      </c>
    </row>
    <row r="39" spans="1:11" ht="15" x14ac:dyDescent="0.25">
      <c r="A39" s="1" t="str">
        <f>IF('1.1 Produksi Bersih Padi 2025'!A39="","",'1.1 Produksi Bersih Padi 2025'!A39)</f>
        <v/>
      </c>
      <c r="B39" s="31" t="str">
        <f>IF('1.1 Produksi Bersih Padi 2025'!B39="","",'1.1 Produksi Bersih Padi 2025'!B39)</f>
        <v/>
      </c>
      <c r="C39" s="31" t="str">
        <f>IF('1.1 Produksi Bersih Padi 2025'!C39="","",'1.1 Produksi Bersih Padi 2025'!C39)</f>
        <v/>
      </c>
      <c r="D39" s="1" t="str">
        <f>IF('1.1 Produksi Bersih Padi 2025'!D39="","",'1.1 Produksi Bersih Padi 2025'!D39)</f>
        <v/>
      </c>
      <c r="E39" s="1" t="str">
        <f>IF('1.1 Produksi Bersih Padi 2025'!E39="","",'1.1 Produksi Bersih Padi 2025'!E39)</f>
        <v/>
      </c>
      <c r="F39" s="28" t="str">
        <f>IF(D39="","",VLOOKUP(D39,'[1]0.1 Produksi Pangan &amp; Penduduk'!$D$5:$AE$860,28,0))</f>
        <v/>
      </c>
      <c r="G39" s="29" t="str">
        <f t="shared" si="0"/>
        <v/>
      </c>
      <c r="H39" s="29" t="str">
        <f t="shared" si="1"/>
        <v/>
      </c>
      <c r="I39" s="29" t="str">
        <f t="shared" si="2"/>
        <v/>
      </c>
      <c r="J39" s="29" t="str">
        <f t="shared" si="3"/>
        <v/>
      </c>
      <c r="K39" s="29" t="str">
        <f t="shared" si="4"/>
        <v/>
      </c>
    </row>
    <row r="40" spans="1:11" ht="15" x14ac:dyDescent="0.25">
      <c r="A40" s="1" t="str">
        <f>IF('1.1 Produksi Bersih Padi 2025'!A40="","",'1.1 Produksi Bersih Padi 2025'!A40)</f>
        <v/>
      </c>
      <c r="B40" s="31" t="str">
        <f>IF('1.1 Produksi Bersih Padi 2025'!B40="","",'1.1 Produksi Bersih Padi 2025'!B40)</f>
        <v/>
      </c>
      <c r="C40" s="31" t="str">
        <f>IF('1.1 Produksi Bersih Padi 2025'!C40="","",'1.1 Produksi Bersih Padi 2025'!C40)</f>
        <v/>
      </c>
      <c r="D40" s="1" t="str">
        <f>IF('1.1 Produksi Bersih Padi 2025'!D40="","",'1.1 Produksi Bersih Padi 2025'!D40)</f>
        <v/>
      </c>
      <c r="E40" s="1" t="str">
        <f>IF('1.1 Produksi Bersih Padi 2025'!E40="","",'1.1 Produksi Bersih Padi 2025'!E40)</f>
        <v/>
      </c>
      <c r="F40" s="28" t="str">
        <f>IF(D40="","",VLOOKUP(D40,'[1]0.1 Produksi Pangan &amp; Penduduk'!$D$5:$AE$860,28,0))</f>
        <v/>
      </c>
      <c r="G40" s="29" t="str">
        <f t="shared" si="0"/>
        <v/>
      </c>
      <c r="H40" s="29" t="str">
        <f t="shared" si="1"/>
        <v/>
      </c>
      <c r="I40" s="29" t="str">
        <f t="shared" si="2"/>
        <v/>
      </c>
      <c r="J40" s="29" t="str">
        <f t="shared" si="3"/>
        <v/>
      </c>
      <c r="K40" s="29" t="str">
        <f t="shared" si="4"/>
        <v/>
      </c>
    </row>
    <row r="41" spans="1:11" ht="15" x14ac:dyDescent="0.25">
      <c r="A41" s="1" t="str">
        <f>IF('1.1 Produksi Bersih Padi 2025'!A41="","",'1.1 Produksi Bersih Padi 2025'!A41)</f>
        <v/>
      </c>
      <c r="B41" s="31" t="str">
        <f>IF('1.1 Produksi Bersih Padi 2025'!B41="","",'1.1 Produksi Bersih Padi 2025'!B41)</f>
        <v/>
      </c>
      <c r="C41" s="31" t="str">
        <f>IF('1.1 Produksi Bersih Padi 2025'!C41="","",'1.1 Produksi Bersih Padi 2025'!C41)</f>
        <v/>
      </c>
      <c r="D41" s="1" t="str">
        <f>IF('1.1 Produksi Bersih Padi 2025'!D41="","",'1.1 Produksi Bersih Padi 2025'!D41)</f>
        <v/>
      </c>
      <c r="E41" s="1" t="str">
        <f>IF('1.1 Produksi Bersih Padi 2025'!E41="","",'1.1 Produksi Bersih Padi 2025'!E41)</f>
        <v/>
      </c>
      <c r="F41" s="28" t="str">
        <f>IF(D41="","",VLOOKUP(D41,'[1]0.1 Produksi Pangan &amp; Penduduk'!$D$5:$AE$860,28,0))</f>
        <v/>
      </c>
      <c r="G41" s="29" t="str">
        <f t="shared" si="0"/>
        <v/>
      </c>
      <c r="H41" s="29" t="str">
        <f t="shared" si="1"/>
        <v/>
      </c>
      <c r="I41" s="29" t="str">
        <f t="shared" si="2"/>
        <v/>
      </c>
      <c r="J41" s="29" t="str">
        <f t="shared" si="3"/>
        <v/>
      </c>
      <c r="K41" s="29" t="str">
        <f t="shared" si="4"/>
        <v/>
      </c>
    </row>
    <row r="42" spans="1:11" ht="15" x14ac:dyDescent="0.25">
      <c r="A42" s="1" t="str">
        <f>IF('1.1 Produksi Bersih Padi 2025'!A42="","",'1.1 Produksi Bersih Padi 2025'!A42)</f>
        <v/>
      </c>
      <c r="B42" s="31" t="str">
        <f>IF('1.1 Produksi Bersih Padi 2025'!B42="","",'1.1 Produksi Bersih Padi 2025'!B42)</f>
        <v/>
      </c>
      <c r="C42" s="31" t="str">
        <f>IF('1.1 Produksi Bersih Padi 2025'!C42="","",'1.1 Produksi Bersih Padi 2025'!C42)</f>
        <v/>
      </c>
      <c r="D42" s="1" t="str">
        <f>IF('1.1 Produksi Bersih Padi 2025'!D42="","",'1.1 Produksi Bersih Padi 2025'!D42)</f>
        <v/>
      </c>
      <c r="E42" s="1" t="str">
        <f>IF('1.1 Produksi Bersih Padi 2025'!E42="","",'1.1 Produksi Bersih Padi 2025'!E42)</f>
        <v/>
      </c>
      <c r="F42" s="28" t="str">
        <f>IF(D42="","",VLOOKUP(D42,'[1]0.1 Produksi Pangan &amp; Penduduk'!$D$5:$AE$860,28,0))</f>
        <v/>
      </c>
      <c r="G42" s="29" t="str">
        <f t="shared" si="0"/>
        <v/>
      </c>
      <c r="H42" s="29" t="str">
        <f t="shared" si="1"/>
        <v/>
      </c>
      <c r="I42" s="29" t="str">
        <f t="shared" si="2"/>
        <v/>
      </c>
      <c r="J42" s="29" t="str">
        <f t="shared" si="3"/>
        <v/>
      </c>
      <c r="K42" s="29" t="str">
        <f t="shared" si="4"/>
        <v/>
      </c>
    </row>
    <row r="43" spans="1:11" ht="15" x14ac:dyDescent="0.25">
      <c r="A43" s="1" t="str">
        <f>IF('1.1 Produksi Bersih Padi 2025'!A43="","",'1.1 Produksi Bersih Padi 2025'!A43)</f>
        <v/>
      </c>
      <c r="B43" s="31" t="str">
        <f>IF('1.1 Produksi Bersih Padi 2025'!B43="","",'1.1 Produksi Bersih Padi 2025'!B43)</f>
        <v/>
      </c>
      <c r="C43" s="31" t="str">
        <f>IF('1.1 Produksi Bersih Padi 2025'!C43="","",'1.1 Produksi Bersih Padi 2025'!C43)</f>
        <v/>
      </c>
      <c r="D43" s="1" t="str">
        <f>IF('1.1 Produksi Bersih Padi 2025'!D43="","",'1.1 Produksi Bersih Padi 2025'!D43)</f>
        <v/>
      </c>
      <c r="E43" s="1" t="str">
        <f>IF('1.1 Produksi Bersih Padi 2025'!E43="","",'1.1 Produksi Bersih Padi 2025'!E43)</f>
        <v/>
      </c>
      <c r="F43" s="28" t="str">
        <f>IF(D43="","",VLOOKUP(D43,'[1]0.1 Produksi Pangan &amp; Penduduk'!$D$5:$AE$860,28,0))</f>
        <v/>
      </c>
      <c r="G43" s="29" t="str">
        <f t="shared" si="0"/>
        <v/>
      </c>
      <c r="H43" s="29" t="str">
        <f t="shared" si="1"/>
        <v/>
      </c>
      <c r="I43" s="29" t="str">
        <f t="shared" si="2"/>
        <v/>
      </c>
      <c r="J43" s="29" t="str">
        <f t="shared" si="3"/>
        <v/>
      </c>
      <c r="K43" s="29" t="str">
        <f t="shared" si="4"/>
        <v/>
      </c>
    </row>
    <row r="44" spans="1:11" ht="15" x14ac:dyDescent="0.25">
      <c r="A44" s="1" t="str">
        <f>IF('1.1 Produksi Bersih Padi 2025'!A44="","",'1.1 Produksi Bersih Padi 2025'!A44)</f>
        <v/>
      </c>
      <c r="B44" s="31" t="str">
        <f>IF('1.1 Produksi Bersih Padi 2025'!B44="","",'1.1 Produksi Bersih Padi 2025'!B44)</f>
        <v/>
      </c>
      <c r="C44" s="31" t="str">
        <f>IF('1.1 Produksi Bersih Padi 2025'!C44="","",'1.1 Produksi Bersih Padi 2025'!C44)</f>
        <v/>
      </c>
      <c r="D44" s="1" t="str">
        <f>IF('1.1 Produksi Bersih Padi 2025'!D44="","",'1.1 Produksi Bersih Padi 2025'!D44)</f>
        <v/>
      </c>
      <c r="E44" s="1" t="str">
        <f>IF('1.1 Produksi Bersih Padi 2025'!E44="","",'1.1 Produksi Bersih Padi 2025'!E44)</f>
        <v/>
      </c>
      <c r="F44" s="28" t="str">
        <f>IF(D44="","",VLOOKUP(D44,'[1]0.1 Produksi Pangan &amp; Penduduk'!$D$5:$AE$860,28,0))</f>
        <v/>
      </c>
      <c r="G44" s="29" t="str">
        <f t="shared" si="0"/>
        <v/>
      </c>
      <c r="H44" s="29" t="str">
        <f t="shared" si="1"/>
        <v/>
      </c>
      <c r="I44" s="29" t="str">
        <f t="shared" si="2"/>
        <v/>
      </c>
      <c r="J44" s="29" t="str">
        <f t="shared" si="3"/>
        <v/>
      </c>
      <c r="K44" s="29" t="str">
        <f t="shared" si="4"/>
        <v/>
      </c>
    </row>
    <row r="45" spans="1:11" ht="15" x14ac:dyDescent="0.25">
      <c r="A45" s="1" t="str">
        <f>IF('1.1 Produksi Bersih Padi 2025'!A45="","",'1.1 Produksi Bersih Padi 2025'!A45)</f>
        <v/>
      </c>
      <c r="B45" s="31" t="str">
        <f>IF('1.1 Produksi Bersih Padi 2025'!B45="","",'1.1 Produksi Bersih Padi 2025'!B45)</f>
        <v/>
      </c>
      <c r="C45" s="31" t="str">
        <f>IF('1.1 Produksi Bersih Padi 2025'!C45="","",'1.1 Produksi Bersih Padi 2025'!C45)</f>
        <v/>
      </c>
      <c r="D45" s="1" t="str">
        <f>IF('1.1 Produksi Bersih Padi 2025'!D45="","",'1.1 Produksi Bersih Padi 2025'!D45)</f>
        <v/>
      </c>
      <c r="E45" s="1" t="str">
        <f>IF('1.1 Produksi Bersih Padi 2025'!E45="","",'1.1 Produksi Bersih Padi 2025'!E45)</f>
        <v/>
      </c>
      <c r="F45" s="28" t="str">
        <f>IF(D45="","",VLOOKUP(D45,'[1]0.1 Produksi Pangan &amp; Penduduk'!$D$5:$AE$860,28,0))</f>
        <v/>
      </c>
      <c r="G45" s="29" t="str">
        <f t="shared" si="0"/>
        <v/>
      </c>
      <c r="H45" s="29" t="str">
        <f t="shared" si="1"/>
        <v/>
      </c>
      <c r="I45" s="29" t="str">
        <f t="shared" si="2"/>
        <v/>
      </c>
      <c r="J45" s="29" t="str">
        <f t="shared" si="3"/>
        <v/>
      </c>
      <c r="K45" s="29" t="str">
        <f t="shared" si="4"/>
        <v/>
      </c>
    </row>
    <row r="46" spans="1:11" ht="15" x14ac:dyDescent="0.25">
      <c r="A46" s="1" t="str">
        <f>IF('1.1 Produksi Bersih Padi 2025'!A46="","",'1.1 Produksi Bersih Padi 2025'!A46)</f>
        <v/>
      </c>
      <c r="B46" s="31" t="str">
        <f>IF('1.1 Produksi Bersih Padi 2025'!B46="","",'1.1 Produksi Bersih Padi 2025'!B46)</f>
        <v/>
      </c>
      <c r="C46" s="31" t="str">
        <f>IF('1.1 Produksi Bersih Padi 2025'!C46="","",'1.1 Produksi Bersih Padi 2025'!C46)</f>
        <v/>
      </c>
      <c r="D46" s="1" t="str">
        <f>IF('1.1 Produksi Bersih Padi 2025'!D46="","",'1.1 Produksi Bersih Padi 2025'!D46)</f>
        <v/>
      </c>
      <c r="E46" s="1" t="str">
        <f>IF('1.1 Produksi Bersih Padi 2025'!E46="","",'1.1 Produksi Bersih Padi 2025'!E46)</f>
        <v/>
      </c>
      <c r="F46" s="28" t="str">
        <f>IF(D46="","",VLOOKUP(D46,'[1]0.1 Produksi Pangan &amp; Penduduk'!$D$5:$AE$860,28,0))</f>
        <v/>
      </c>
      <c r="G46" s="29" t="str">
        <f t="shared" si="0"/>
        <v/>
      </c>
      <c r="H46" s="29" t="str">
        <f t="shared" si="1"/>
        <v/>
      </c>
      <c r="I46" s="29" t="str">
        <f t="shared" si="2"/>
        <v/>
      </c>
      <c r="J46" s="29" t="str">
        <f t="shared" si="3"/>
        <v/>
      </c>
      <c r="K46" s="29" t="str">
        <f t="shared" si="4"/>
        <v/>
      </c>
    </row>
    <row r="47" spans="1:11" ht="15" x14ac:dyDescent="0.25">
      <c r="A47" s="1" t="str">
        <f>IF('1.1 Produksi Bersih Padi 2025'!A47="","",'1.1 Produksi Bersih Padi 2025'!A47)</f>
        <v/>
      </c>
      <c r="B47" s="31" t="str">
        <f>IF('1.1 Produksi Bersih Padi 2025'!B47="","",'1.1 Produksi Bersih Padi 2025'!B47)</f>
        <v/>
      </c>
      <c r="C47" s="31" t="str">
        <f>IF('1.1 Produksi Bersih Padi 2025'!C47="","",'1.1 Produksi Bersih Padi 2025'!C47)</f>
        <v/>
      </c>
      <c r="D47" s="1" t="str">
        <f>IF('1.1 Produksi Bersih Padi 2025'!D47="","",'1.1 Produksi Bersih Padi 2025'!D47)</f>
        <v/>
      </c>
      <c r="E47" s="1" t="str">
        <f>IF('1.1 Produksi Bersih Padi 2025'!E47="","",'1.1 Produksi Bersih Padi 2025'!E47)</f>
        <v/>
      </c>
      <c r="F47" s="28" t="str">
        <f>IF(D47="","",VLOOKUP(D47,'[1]0.1 Produksi Pangan &amp; Penduduk'!$D$5:$AE$860,28,0))</f>
        <v/>
      </c>
      <c r="G47" s="29" t="str">
        <f t="shared" si="0"/>
        <v/>
      </c>
      <c r="H47" s="29" t="str">
        <f t="shared" si="1"/>
        <v/>
      </c>
      <c r="I47" s="29" t="str">
        <f t="shared" si="2"/>
        <v/>
      </c>
      <c r="J47" s="29" t="str">
        <f t="shared" si="3"/>
        <v/>
      </c>
      <c r="K47" s="29" t="str">
        <f t="shared" si="4"/>
        <v/>
      </c>
    </row>
    <row r="48" spans="1:11" ht="15" x14ac:dyDescent="0.25">
      <c r="A48" s="1" t="str">
        <f>IF('1.1 Produksi Bersih Padi 2025'!A48="","",'1.1 Produksi Bersih Padi 2025'!A48)</f>
        <v/>
      </c>
      <c r="B48" s="31" t="str">
        <f>IF('1.1 Produksi Bersih Padi 2025'!B48="","",'1.1 Produksi Bersih Padi 2025'!B48)</f>
        <v/>
      </c>
      <c r="C48" s="31" t="str">
        <f>IF('1.1 Produksi Bersih Padi 2025'!C48="","",'1.1 Produksi Bersih Padi 2025'!C48)</f>
        <v/>
      </c>
      <c r="D48" s="1" t="str">
        <f>IF('1.1 Produksi Bersih Padi 2025'!D48="","",'1.1 Produksi Bersih Padi 2025'!D48)</f>
        <v/>
      </c>
      <c r="E48" s="1" t="str">
        <f>IF('1.1 Produksi Bersih Padi 2025'!E48="","",'1.1 Produksi Bersih Padi 2025'!E48)</f>
        <v/>
      </c>
      <c r="F48" s="28" t="str">
        <f>IF(D48="","",VLOOKUP(D48,'[1]0.1 Produksi Pangan &amp; Penduduk'!$D$5:$AE$860,28,0))</f>
        <v/>
      </c>
      <c r="G48" s="29" t="str">
        <f t="shared" si="0"/>
        <v/>
      </c>
      <c r="H48" s="29" t="str">
        <f t="shared" si="1"/>
        <v/>
      </c>
      <c r="I48" s="29" t="str">
        <f t="shared" si="2"/>
        <v/>
      </c>
      <c r="J48" s="29" t="str">
        <f t="shared" si="3"/>
        <v/>
      </c>
      <c r="K48" s="29" t="str">
        <f t="shared" si="4"/>
        <v/>
      </c>
    </row>
    <row r="49" spans="1:11" ht="15" x14ac:dyDescent="0.25">
      <c r="A49" s="1" t="str">
        <f>IF('1.1 Produksi Bersih Padi 2025'!A49="","",'1.1 Produksi Bersih Padi 2025'!A49)</f>
        <v/>
      </c>
      <c r="B49" s="31" t="str">
        <f>IF('1.1 Produksi Bersih Padi 2025'!B49="","",'1.1 Produksi Bersih Padi 2025'!B49)</f>
        <v/>
      </c>
      <c r="C49" s="31" t="str">
        <f>IF('1.1 Produksi Bersih Padi 2025'!C49="","",'1.1 Produksi Bersih Padi 2025'!C49)</f>
        <v/>
      </c>
      <c r="D49" s="1" t="str">
        <f>IF('1.1 Produksi Bersih Padi 2025'!D49="","",'1.1 Produksi Bersih Padi 2025'!D49)</f>
        <v/>
      </c>
      <c r="E49" s="1" t="str">
        <f>IF('1.1 Produksi Bersih Padi 2025'!E49="","",'1.1 Produksi Bersih Padi 2025'!E49)</f>
        <v/>
      </c>
      <c r="F49" s="28" t="str">
        <f>IF(D49="","",VLOOKUP(D49,'[1]0.1 Produksi Pangan &amp; Penduduk'!$D$5:$AE$860,28,0))</f>
        <v/>
      </c>
      <c r="G49" s="29" t="str">
        <f t="shared" si="0"/>
        <v/>
      </c>
      <c r="H49" s="29" t="str">
        <f t="shared" si="1"/>
        <v/>
      </c>
      <c r="I49" s="29" t="str">
        <f t="shared" si="2"/>
        <v/>
      </c>
      <c r="J49" s="29" t="str">
        <f t="shared" si="3"/>
        <v/>
      </c>
      <c r="K49" s="29" t="str">
        <f t="shared" si="4"/>
        <v/>
      </c>
    </row>
    <row r="50" spans="1:11" ht="15" x14ac:dyDescent="0.25">
      <c r="A50" s="1" t="str">
        <f>IF('1.1 Produksi Bersih Padi 2025'!A50="","",'1.1 Produksi Bersih Padi 2025'!A50)</f>
        <v/>
      </c>
      <c r="B50" s="31" t="str">
        <f>IF('1.1 Produksi Bersih Padi 2025'!B50="","",'1.1 Produksi Bersih Padi 2025'!B50)</f>
        <v/>
      </c>
      <c r="C50" s="31" t="str">
        <f>IF('1.1 Produksi Bersih Padi 2025'!C50="","",'1.1 Produksi Bersih Padi 2025'!C50)</f>
        <v/>
      </c>
      <c r="D50" s="1" t="str">
        <f>IF('1.1 Produksi Bersih Padi 2025'!D50="","",'1.1 Produksi Bersih Padi 2025'!D50)</f>
        <v/>
      </c>
      <c r="E50" s="1" t="str">
        <f>IF('1.1 Produksi Bersih Padi 2025'!E50="","",'1.1 Produksi Bersih Padi 2025'!E50)</f>
        <v/>
      </c>
      <c r="F50" s="28" t="str">
        <f>IF(D50="","",VLOOKUP(D50,'[1]0.1 Produksi Pangan &amp; Penduduk'!$D$5:$AE$860,28,0))</f>
        <v/>
      </c>
      <c r="G50" s="29" t="str">
        <f t="shared" si="0"/>
        <v/>
      </c>
      <c r="H50" s="29" t="str">
        <f t="shared" si="1"/>
        <v/>
      </c>
      <c r="I50" s="29" t="str">
        <f t="shared" si="2"/>
        <v/>
      </c>
      <c r="J50" s="29" t="str">
        <f t="shared" si="3"/>
        <v/>
      </c>
      <c r="K50" s="29" t="str">
        <f t="shared" si="4"/>
        <v/>
      </c>
    </row>
    <row r="51" spans="1:11" ht="15" x14ac:dyDescent="0.25">
      <c r="A51" s="1" t="str">
        <f>IF('1.1 Produksi Bersih Padi 2025'!A51="","",'1.1 Produksi Bersih Padi 2025'!A51)</f>
        <v/>
      </c>
      <c r="B51" s="31" t="str">
        <f>IF('1.1 Produksi Bersih Padi 2025'!B51="","",'1.1 Produksi Bersih Padi 2025'!B51)</f>
        <v/>
      </c>
      <c r="C51" s="31" t="str">
        <f>IF('1.1 Produksi Bersih Padi 2025'!C51="","",'1.1 Produksi Bersih Padi 2025'!C51)</f>
        <v/>
      </c>
      <c r="D51" s="1" t="str">
        <f>IF('1.1 Produksi Bersih Padi 2025'!D51="","",'1.1 Produksi Bersih Padi 2025'!D51)</f>
        <v/>
      </c>
      <c r="E51" s="1" t="str">
        <f>IF('1.1 Produksi Bersih Padi 2025'!E51="","",'1.1 Produksi Bersih Padi 2025'!E51)</f>
        <v/>
      </c>
      <c r="F51" s="28" t="str">
        <f>IF(D51="","",VLOOKUP(D51,'[1]0.1 Produksi Pangan &amp; Penduduk'!$D$5:$AE$860,28,0))</f>
        <v/>
      </c>
      <c r="G51" s="29" t="str">
        <f t="shared" si="0"/>
        <v/>
      </c>
      <c r="H51" s="29" t="str">
        <f t="shared" si="1"/>
        <v/>
      </c>
      <c r="I51" s="29" t="str">
        <f t="shared" si="2"/>
        <v/>
      </c>
      <c r="J51" s="29" t="str">
        <f t="shared" si="3"/>
        <v/>
      </c>
      <c r="K51" s="29" t="str">
        <f t="shared" si="4"/>
        <v/>
      </c>
    </row>
    <row r="52" spans="1:11" ht="15" x14ac:dyDescent="0.25">
      <c r="A52" s="1" t="str">
        <f>IF('1.1 Produksi Bersih Padi 2025'!A52="","",'1.1 Produksi Bersih Padi 2025'!A52)</f>
        <v/>
      </c>
      <c r="B52" s="31" t="str">
        <f>IF('1.1 Produksi Bersih Padi 2025'!B52="","",'1.1 Produksi Bersih Padi 2025'!B52)</f>
        <v/>
      </c>
      <c r="C52" s="31" t="str">
        <f>IF('1.1 Produksi Bersih Padi 2025'!C52="","",'1.1 Produksi Bersih Padi 2025'!C52)</f>
        <v/>
      </c>
      <c r="D52" s="1" t="str">
        <f>IF('1.1 Produksi Bersih Padi 2025'!D52="","",'1.1 Produksi Bersih Padi 2025'!D52)</f>
        <v/>
      </c>
      <c r="E52" s="1" t="str">
        <f>IF('1.1 Produksi Bersih Padi 2025'!E52="","",'1.1 Produksi Bersih Padi 2025'!E52)</f>
        <v/>
      </c>
      <c r="F52" s="28" t="str">
        <f>IF(D52="","",VLOOKUP(D52,'[1]0.1 Produksi Pangan &amp; Penduduk'!$D$5:$AE$860,28,0))</f>
        <v/>
      </c>
      <c r="G52" s="29" t="str">
        <f t="shared" si="0"/>
        <v/>
      </c>
      <c r="H52" s="29" t="str">
        <f t="shared" si="1"/>
        <v/>
      </c>
      <c r="I52" s="29" t="str">
        <f t="shared" si="2"/>
        <v/>
      </c>
      <c r="J52" s="29" t="str">
        <f t="shared" si="3"/>
        <v/>
      </c>
      <c r="K52" s="29" t="str">
        <f t="shared" si="4"/>
        <v/>
      </c>
    </row>
    <row r="53" spans="1:11" ht="15" x14ac:dyDescent="0.25">
      <c r="A53" s="1" t="str">
        <f>IF('1.1 Produksi Bersih Padi 2025'!A53="","",'1.1 Produksi Bersih Padi 2025'!A53)</f>
        <v/>
      </c>
      <c r="B53" s="31" t="str">
        <f>IF('1.1 Produksi Bersih Padi 2025'!B53="","",'1.1 Produksi Bersih Padi 2025'!B53)</f>
        <v/>
      </c>
      <c r="C53" s="31" t="str">
        <f>IF('1.1 Produksi Bersih Padi 2025'!C53="","",'1.1 Produksi Bersih Padi 2025'!C53)</f>
        <v/>
      </c>
      <c r="D53" s="1" t="str">
        <f>IF('1.1 Produksi Bersih Padi 2025'!D53="","",'1.1 Produksi Bersih Padi 2025'!D53)</f>
        <v/>
      </c>
      <c r="E53" s="1" t="str">
        <f>IF('1.1 Produksi Bersih Padi 2025'!E53="","",'1.1 Produksi Bersih Padi 2025'!E53)</f>
        <v/>
      </c>
      <c r="F53" s="28" t="str">
        <f>IF(D53="","",VLOOKUP(D53,'[1]0.1 Produksi Pangan &amp; Penduduk'!$D$5:$AE$860,28,0))</f>
        <v/>
      </c>
      <c r="G53" s="29" t="str">
        <f t="shared" si="0"/>
        <v/>
      </c>
      <c r="H53" s="29" t="str">
        <f t="shared" si="1"/>
        <v/>
      </c>
      <c r="I53" s="29" t="str">
        <f t="shared" si="2"/>
        <v/>
      </c>
      <c r="J53" s="29" t="str">
        <f t="shared" si="3"/>
        <v/>
      </c>
      <c r="K53" s="29" t="str">
        <f t="shared" si="4"/>
        <v/>
      </c>
    </row>
    <row r="54" spans="1:11" ht="15" x14ac:dyDescent="0.25">
      <c r="A54" s="1" t="str">
        <f>IF('1.1 Produksi Bersih Padi 2025'!A54="","",'1.1 Produksi Bersih Padi 2025'!A54)</f>
        <v/>
      </c>
      <c r="B54" s="31" t="str">
        <f>IF('1.1 Produksi Bersih Padi 2025'!B54="","",'1.1 Produksi Bersih Padi 2025'!B54)</f>
        <v/>
      </c>
      <c r="C54" s="31" t="str">
        <f>IF('1.1 Produksi Bersih Padi 2025'!C54="","",'1.1 Produksi Bersih Padi 2025'!C54)</f>
        <v/>
      </c>
      <c r="D54" s="1" t="str">
        <f>IF('1.1 Produksi Bersih Padi 2025'!D54="","",'1.1 Produksi Bersih Padi 2025'!D54)</f>
        <v/>
      </c>
      <c r="E54" s="1" t="str">
        <f>IF('1.1 Produksi Bersih Padi 2025'!E54="","",'1.1 Produksi Bersih Padi 2025'!E54)</f>
        <v/>
      </c>
      <c r="F54" s="28" t="str">
        <f>IF(D54="","",VLOOKUP(D54,'[1]0.1 Produksi Pangan &amp; Penduduk'!$D$5:$AE$860,28,0))</f>
        <v/>
      </c>
      <c r="G54" s="29" t="str">
        <f t="shared" si="0"/>
        <v/>
      </c>
      <c r="H54" s="29" t="str">
        <f t="shared" si="1"/>
        <v/>
      </c>
      <c r="I54" s="29" t="str">
        <f t="shared" si="2"/>
        <v/>
      </c>
      <c r="J54" s="29" t="str">
        <f t="shared" si="3"/>
        <v/>
      </c>
      <c r="K54" s="29" t="str">
        <f t="shared" si="4"/>
        <v/>
      </c>
    </row>
    <row r="55" spans="1:11" ht="15" x14ac:dyDescent="0.25">
      <c r="A55" s="1" t="str">
        <f>IF('1.1 Produksi Bersih Padi 2025'!A55="","",'1.1 Produksi Bersih Padi 2025'!A55)</f>
        <v/>
      </c>
      <c r="B55" s="31" t="str">
        <f>IF('1.1 Produksi Bersih Padi 2025'!B55="","",'1.1 Produksi Bersih Padi 2025'!B55)</f>
        <v/>
      </c>
      <c r="C55" s="31" t="str">
        <f>IF('1.1 Produksi Bersih Padi 2025'!C55="","",'1.1 Produksi Bersih Padi 2025'!C55)</f>
        <v/>
      </c>
      <c r="D55" s="1" t="str">
        <f>IF('1.1 Produksi Bersih Padi 2025'!D55="","",'1.1 Produksi Bersih Padi 2025'!D55)</f>
        <v/>
      </c>
      <c r="E55" s="1" t="str">
        <f>IF('1.1 Produksi Bersih Padi 2025'!E55="","",'1.1 Produksi Bersih Padi 2025'!E55)</f>
        <v/>
      </c>
      <c r="F55" s="28" t="str">
        <f>IF(D55="","",VLOOKUP(D55,'[1]0.1 Produksi Pangan &amp; Penduduk'!$D$5:$AE$860,28,0))</f>
        <v/>
      </c>
      <c r="G55" s="29" t="str">
        <f t="shared" si="0"/>
        <v/>
      </c>
      <c r="H55" s="29" t="str">
        <f t="shared" si="1"/>
        <v/>
      </c>
      <c r="I55" s="29" t="str">
        <f t="shared" si="2"/>
        <v/>
      </c>
      <c r="J55" s="29" t="str">
        <f t="shared" si="3"/>
        <v/>
      </c>
      <c r="K55" s="29" t="str">
        <f t="shared" si="4"/>
        <v/>
      </c>
    </row>
    <row r="56" spans="1:11" ht="15" x14ac:dyDescent="0.25">
      <c r="A56" s="1" t="str">
        <f>IF('1.1 Produksi Bersih Padi 2025'!A56="","",'1.1 Produksi Bersih Padi 2025'!A56)</f>
        <v/>
      </c>
      <c r="B56" s="31" t="str">
        <f>IF('1.1 Produksi Bersih Padi 2025'!B56="","",'1.1 Produksi Bersih Padi 2025'!B56)</f>
        <v/>
      </c>
      <c r="C56" s="31" t="str">
        <f>IF('1.1 Produksi Bersih Padi 2025'!C56="","",'1.1 Produksi Bersih Padi 2025'!C56)</f>
        <v/>
      </c>
      <c r="D56" s="1" t="str">
        <f>IF('1.1 Produksi Bersih Padi 2025'!D56="","",'1.1 Produksi Bersih Padi 2025'!D56)</f>
        <v/>
      </c>
      <c r="E56" s="1" t="str">
        <f>IF('1.1 Produksi Bersih Padi 2025'!E56="","",'1.1 Produksi Bersih Padi 2025'!E56)</f>
        <v/>
      </c>
      <c r="F56" s="28" t="str">
        <f>IF(D56="","",VLOOKUP(D56,'[1]0.1 Produksi Pangan &amp; Penduduk'!$D$5:$AE$860,28,0))</f>
        <v/>
      </c>
      <c r="G56" s="29" t="str">
        <f t="shared" si="0"/>
        <v/>
      </c>
      <c r="H56" s="29" t="str">
        <f t="shared" si="1"/>
        <v/>
      </c>
      <c r="I56" s="29" t="str">
        <f t="shared" si="2"/>
        <v/>
      </c>
      <c r="J56" s="29" t="str">
        <f t="shared" si="3"/>
        <v/>
      </c>
      <c r="K56" s="29" t="str">
        <f t="shared" si="4"/>
        <v/>
      </c>
    </row>
    <row r="57" spans="1:11" ht="15" x14ac:dyDescent="0.25">
      <c r="A57" s="1" t="str">
        <f>IF('1.1 Produksi Bersih Padi 2025'!A57="","",'1.1 Produksi Bersih Padi 2025'!A57)</f>
        <v/>
      </c>
      <c r="B57" s="31" t="str">
        <f>IF('1.1 Produksi Bersih Padi 2025'!B57="","",'1.1 Produksi Bersih Padi 2025'!B57)</f>
        <v/>
      </c>
      <c r="C57" s="31" t="str">
        <f>IF('1.1 Produksi Bersih Padi 2025'!C57="","",'1.1 Produksi Bersih Padi 2025'!C57)</f>
        <v/>
      </c>
      <c r="D57" s="1" t="str">
        <f>IF('1.1 Produksi Bersih Padi 2025'!D57="","",'1.1 Produksi Bersih Padi 2025'!D57)</f>
        <v/>
      </c>
      <c r="E57" s="1" t="str">
        <f>IF('1.1 Produksi Bersih Padi 2025'!E57="","",'1.1 Produksi Bersih Padi 2025'!E57)</f>
        <v/>
      </c>
      <c r="F57" s="28" t="str">
        <f>IF(D57="","",VLOOKUP(D57,'[1]0.1 Produksi Pangan &amp; Penduduk'!$D$5:$AE$860,28,0))</f>
        <v/>
      </c>
      <c r="G57" s="29" t="str">
        <f t="shared" si="0"/>
        <v/>
      </c>
      <c r="H57" s="29" t="str">
        <f t="shared" si="1"/>
        <v/>
      </c>
      <c r="I57" s="29" t="str">
        <f t="shared" si="2"/>
        <v/>
      </c>
      <c r="J57" s="29" t="str">
        <f t="shared" si="3"/>
        <v/>
      </c>
      <c r="K57" s="29" t="str">
        <f t="shared" si="4"/>
        <v/>
      </c>
    </row>
    <row r="58" spans="1:11" ht="15" x14ac:dyDescent="0.25">
      <c r="A58" s="1" t="str">
        <f>IF('1.1 Produksi Bersih Padi 2025'!A58="","",'1.1 Produksi Bersih Padi 2025'!A58)</f>
        <v/>
      </c>
      <c r="B58" s="31" t="str">
        <f>IF('1.1 Produksi Bersih Padi 2025'!B58="","",'1.1 Produksi Bersih Padi 2025'!B58)</f>
        <v/>
      </c>
      <c r="C58" s="31" t="str">
        <f>IF('1.1 Produksi Bersih Padi 2025'!C58="","",'1.1 Produksi Bersih Padi 2025'!C58)</f>
        <v/>
      </c>
      <c r="D58" s="1" t="str">
        <f>IF('1.1 Produksi Bersih Padi 2025'!D58="","",'1.1 Produksi Bersih Padi 2025'!D58)</f>
        <v/>
      </c>
      <c r="E58" s="1" t="str">
        <f>IF('1.1 Produksi Bersih Padi 2025'!E58="","",'1.1 Produksi Bersih Padi 2025'!E58)</f>
        <v/>
      </c>
      <c r="F58" s="28" t="str">
        <f>IF(D58="","",VLOOKUP(D58,'[1]0.1 Produksi Pangan &amp; Penduduk'!$D$5:$AE$860,28,0))</f>
        <v/>
      </c>
      <c r="G58" s="29" t="str">
        <f t="shared" si="0"/>
        <v/>
      </c>
      <c r="H58" s="29" t="str">
        <f t="shared" si="1"/>
        <v/>
      </c>
      <c r="I58" s="29" t="str">
        <f t="shared" si="2"/>
        <v/>
      </c>
      <c r="J58" s="29" t="str">
        <f t="shared" si="3"/>
        <v/>
      </c>
      <c r="K58" s="29" t="str">
        <f t="shared" si="4"/>
        <v/>
      </c>
    </row>
    <row r="59" spans="1:11" ht="15" x14ac:dyDescent="0.25">
      <c r="A59" s="1" t="str">
        <f>IF('1.1 Produksi Bersih Padi 2025'!A59="","",'1.1 Produksi Bersih Padi 2025'!A59)</f>
        <v/>
      </c>
      <c r="B59" s="31" t="str">
        <f>IF('1.1 Produksi Bersih Padi 2025'!B59="","",'1.1 Produksi Bersih Padi 2025'!B59)</f>
        <v/>
      </c>
      <c r="C59" s="31" t="str">
        <f>IF('1.1 Produksi Bersih Padi 2025'!C59="","",'1.1 Produksi Bersih Padi 2025'!C59)</f>
        <v/>
      </c>
      <c r="D59" s="1" t="str">
        <f>IF('1.1 Produksi Bersih Padi 2025'!D59="","",'1.1 Produksi Bersih Padi 2025'!D59)</f>
        <v/>
      </c>
      <c r="E59" s="1" t="str">
        <f>IF('1.1 Produksi Bersih Padi 2025'!E59="","",'1.1 Produksi Bersih Padi 2025'!E59)</f>
        <v/>
      </c>
      <c r="F59" s="28" t="str">
        <f>IF(D59="","",VLOOKUP(D59,'[1]0.1 Produksi Pangan &amp; Penduduk'!$D$5:$AE$860,28,0))</f>
        <v/>
      </c>
      <c r="G59" s="29" t="str">
        <f t="shared" si="0"/>
        <v/>
      </c>
      <c r="H59" s="29" t="str">
        <f t="shared" si="1"/>
        <v/>
      </c>
      <c r="I59" s="29" t="str">
        <f t="shared" si="2"/>
        <v/>
      </c>
      <c r="J59" s="29" t="str">
        <f t="shared" si="3"/>
        <v/>
      </c>
      <c r="K59" s="29" t="str">
        <f t="shared" si="4"/>
        <v/>
      </c>
    </row>
    <row r="60" spans="1:11" ht="15" x14ac:dyDescent="0.25">
      <c r="A60" s="1" t="str">
        <f>IF('1.1 Produksi Bersih Padi 2025'!A60="","",'1.1 Produksi Bersih Padi 2025'!A60)</f>
        <v/>
      </c>
      <c r="B60" s="31" t="str">
        <f>IF('1.1 Produksi Bersih Padi 2025'!B60="","",'1.1 Produksi Bersih Padi 2025'!B60)</f>
        <v/>
      </c>
      <c r="C60" s="31" t="str">
        <f>IF('1.1 Produksi Bersih Padi 2025'!C60="","",'1.1 Produksi Bersih Padi 2025'!C60)</f>
        <v/>
      </c>
      <c r="D60" s="1" t="str">
        <f>IF('1.1 Produksi Bersih Padi 2025'!D60="","",'1.1 Produksi Bersih Padi 2025'!D60)</f>
        <v/>
      </c>
      <c r="E60" s="1" t="str">
        <f>IF('1.1 Produksi Bersih Padi 2025'!E60="","",'1.1 Produksi Bersih Padi 2025'!E60)</f>
        <v/>
      </c>
      <c r="F60" s="28" t="str">
        <f>IF(D60="","",VLOOKUP(D60,'[1]0.1 Produksi Pangan &amp; Penduduk'!$D$5:$AE$860,28,0))</f>
        <v/>
      </c>
      <c r="G60" s="29" t="str">
        <f t="shared" si="0"/>
        <v/>
      </c>
      <c r="H60" s="29" t="str">
        <f t="shared" si="1"/>
        <v/>
      </c>
      <c r="I60" s="29" t="str">
        <f t="shared" si="2"/>
        <v/>
      </c>
      <c r="J60" s="29" t="str">
        <f t="shared" si="3"/>
        <v/>
      </c>
      <c r="K60" s="29" t="str">
        <f t="shared" si="4"/>
        <v/>
      </c>
    </row>
    <row r="61" spans="1:11" ht="15" x14ac:dyDescent="0.25">
      <c r="A61" s="1" t="str">
        <f>IF('1.1 Produksi Bersih Padi 2025'!A61="","",'1.1 Produksi Bersih Padi 2025'!A61)</f>
        <v/>
      </c>
      <c r="B61" s="31" t="str">
        <f>IF('1.1 Produksi Bersih Padi 2025'!B61="","",'1.1 Produksi Bersih Padi 2025'!B61)</f>
        <v/>
      </c>
      <c r="C61" s="31" t="str">
        <f>IF('1.1 Produksi Bersih Padi 2025'!C61="","",'1.1 Produksi Bersih Padi 2025'!C61)</f>
        <v/>
      </c>
      <c r="D61" s="1" t="str">
        <f>IF('1.1 Produksi Bersih Padi 2025'!D61="","",'1.1 Produksi Bersih Padi 2025'!D61)</f>
        <v/>
      </c>
      <c r="E61" s="1" t="str">
        <f>IF('1.1 Produksi Bersih Padi 2025'!E61="","",'1.1 Produksi Bersih Padi 2025'!E61)</f>
        <v/>
      </c>
      <c r="F61" s="28" t="str">
        <f>IF(D61="","",VLOOKUP(D61,'[1]0.1 Produksi Pangan &amp; Penduduk'!$D$5:$AE$860,28,0))</f>
        <v/>
      </c>
      <c r="G61" s="29" t="str">
        <f t="shared" si="0"/>
        <v/>
      </c>
      <c r="H61" s="29" t="str">
        <f t="shared" si="1"/>
        <v/>
      </c>
      <c r="I61" s="29" t="str">
        <f t="shared" si="2"/>
        <v/>
      </c>
      <c r="J61" s="29" t="str">
        <f t="shared" si="3"/>
        <v/>
      </c>
      <c r="K61" s="29" t="str">
        <f t="shared" si="4"/>
        <v/>
      </c>
    </row>
    <row r="62" spans="1:11" ht="15" x14ac:dyDescent="0.25">
      <c r="A62" s="1" t="str">
        <f>IF('1.1 Produksi Bersih Padi 2025'!A62="","",'1.1 Produksi Bersih Padi 2025'!A62)</f>
        <v/>
      </c>
      <c r="B62" s="31" t="str">
        <f>IF('1.1 Produksi Bersih Padi 2025'!B62="","",'1.1 Produksi Bersih Padi 2025'!B62)</f>
        <v/>
      </c>
      <c r="C62" s="31" t="str">
        <f>IF('1.1 Produksi Bersih Padi 2025'!C62="","",'1.1 Produksi Bersih Padi 2025'!C62)</f>
        <v/>
      </c>
      <c r="D62" s="1" t="str">
        <f>IF('1.1 Produksi Bersih Padi 2025'!D62="","",'1.1 Produksi Bersih Padi 2025'!D62)</f>
        <v/>
      </c>
      <c r="E62" s="1" t="str">
        <f>IF('1.1 Produksi Bersih Padi 2025'!E62="","",'1.1 Produksi Bersih Padi 2025'!E62)</f>
        <v/>
      </c>
      <c r="F62" s="28" t="str">
        <f>IF(D62="","",VLOOKUP(D62,'[1]0.1 Produksi Pangan &amp; Penduduk'!$D$5:$AE$860,28,0))</f>
        <v/>
      </c>
      <c r="G62" s="29" t="str">
        <f t="shared" si="0"/>
        <v/>
      </c>
      <c r="H62" s="29" t="str">
        <f t="shared" si="1"/>
        <v/>
      </c>
      <c r="I62" s="29" t="str">
        <f t="shared" si="2"/>
        <v/>
      </c>
      <c r="J62" s="29" t="str">
        <f t="shared" si="3"/>
        <v/>
      </c>
      <c r="K62" s="29" t="str">
        <f t="shared" si="4"/>
        <v/>
      </c>
    </row>
    <row r="63" spans="1:11" ht="15" x14ac:dyDescent="0.25">
      <c r="A63" s="1" t="str">
        <f>IF('1.1 Produksi Bersih Padi 2025'!A63="","",'1.1 Produksi Bersih Padi 2025'!A63)</f>
        <v/>
      </c>
      <c r="B63" s="31" t="str">
        <f>IF('1.1 Produksi Bersih Padi 2025'!B63="","",'1.1 Produksi Bersih Padi 2025'!B63)</f>
        <v/>
      </c>
      <c r="C63" s="31" t="str">
        <f>IF('1.1 Produksi Bersih Padi 2025'!C63="","",'1.1 Produksi Bersih Padi 2025'!C63)</f>
        <v/>
      </c>
      <c r="D63" s="1" t="str">
        <f>IF('1.1 Produksi Bersih Padi 2025'!D63="","",'1.1 Produksi Bersih Padi 2025'!D63)</f>
        <v/>
      </c>
      <c r="E63" s="1" t="str">
        <f>IF('1.1 Produksi Bersih Padi 2025'!E63="","",'1.1 Produksi Bersih Padi 2025'!E63)</f>
        <v/>
      </c>
      <c r="F63" s="28" t="str">
        <f>IF(D63="","",VLOOKUP(D63,'[1]0.1 Produksi Pangan &amp; Penduduk'!$D$5:$AE$860,28,0))</f>
        <v/>
      </c>
      <c r="G63" s="29" t="str">
        <f t="shared" si="0"/>
        <v/>
      </c>
      <c r="H63" s="29" t="str">
        <f t="shared" si="1"/>
        <v/>
      </c>
      <c r="I63" s="29" t="str">
        <f t="shared" si="2"/>
        <v/>
      </c>
      <c r="J63" s="29" t="str">
        <f t="shared" si="3"/>
        <v/>
      </c>
      <c r="K63" s="29" t="str">
        <f t="shared" si="4"/>
        <v/>
      </c>
    </row>
    <row r="64" spans="1:11" ht="15" x14ac:dyDescent="0.25">
      <c r="A64" s="1" t="str">
        <f>IF('1.1 Produksi Bersih Padi 2025'!A64="","",'1.1 Produksi Bersih Padi 2025'!A64)</f>
        <v/>
      </c>
      <c r="B64" s="31" t="str">
        <f>IF('1.1 Produksi Bersih Padi 2025'!B64="","",'1.1 Produksi Bersih Padi 2025'!B64)</f>
        <v/>
      </c>
      <c r="C64" s="31" t="str">
        <f>IF('1.1 Produksi Bersih Padi 2025'!C64="","",'1.1 Produksi Bersih Padi 2025'!C64)</f>
        <v/>
      </c>
      <c r="D64" s="1" t="str">
        <f>IF('1.1 Produksi Bersih Padi 2025'!D64="","",'1.1 Produksi Bersih Padi 2025'!D64)</f>
        <v/>
      </c>
      <c r="E64" s="1" t="str">
        <f>IF('1.1 Produksi Bersih Padi 2025'!E64="","",'1.1 Produksi Bersih Padi 2025'!E64)</f>
        <v/>
      </c>
      <c r="F64" s="28" t="str">
        <f>IF(D64="","",VLOOKUP(D64,'[1]0.1 Produksi Pangan &amp; Penduduk'!$D$5:$AE$860,28,0))</f>
        <v/>
      </c>
      <c r="G64" s="29" t="str">
        <f t="shared" si="0"/>
        <v/>
      </c>
      <c r="H64" s="29" t="str">
        <f t="shared" si="1"/>
        <v/>
      </c>
      <c r="I64" s="29" t="str">
        <f t="shared" si="2"/>
        <v/>
      </c>
      <c r="J64" s="29" t="str">
        <f t="shared" si="3"/>
        <v/>
      </c>
      <c r="K64" s="29" t="str">
        <f t="shared" si="4"/>
        <v/>
      </c>
    </row>
    <row r="65" spans="1:11" ht="15" x14ac:dyDescent="0.25">
      <c r="A65" s="1" t="str">
        <f>IF('1.1 Produksi Bersih Padi 2025'!A65="","",'1.1 Produksi Bersih Padi 2025'!A65)</f>
        <v/>
      </c>
      <c r="B65" s="31" t="str">
        <f>IF('1.1 Produksi Bersih Padi 2025'!B65="","",'1.1 Produksi Bersih Padi 2025'!B65)</f>
        <v/>
      </c>
      <c r="C65" s="31" t="str">
        <f>IF('1.1 Produksi Bersih Padi 2025'!C65="","",'1.1 Produksi Bersih Padi 2025'!C65)</f>
        <v/>
      </c>
      <c r="D65" s="1" t="str">
        <f>IF('1.1 Produksi Bersih Padi 2025'!D65="","",'1.1 Produksi Bersih Padi 2025'!D65)</f>
        <v/>
      </c>
      <c r="E65" s="1" t="str">
        <f>IF('1.1 Produksi Bersih Padi 2025'!E65="","",'1.1 Produksi Bersih Padi 2025'!E65)</f>
        <v/>
      </c>
      <c r="F65" s="28" t="str">
        <f>IF(D65="","",VLOOKUP(D65,'[1]0.1 Produksi Pangan &amp; Penduduk'!$D$5:$AE$860,28,0))</f>
        <v/>
      </c>
      <c r="G65" s="29" t="str">
        <f t="shared" si="0"/>
        <v/>
      </c>
      <c r="H65" s="29" t="str">
        <f t="shared" si="1"/>
        <v/>
      </c>
      <c r="I65" s="29" t="str">
        <f t="shared" si="2"/>
        <v/>
      </c>
      <c r="J65" s="29" t="str">
        <f t="shared" si="3"/>
        <v/>
      </c>
      <c r="K65" s="29" t="str">
        <f t="shared" si="4"/>
        <v/>
      </c>
    </row>
    <row r="66" spans="1:11" ht="15" x14ac:dyDescent="0.25">
      <c r="A66" s="1" t="str">
        <f>IF('1.1 Produksi Bersih Padi 2025'!A66="","",'1.1 Produksi Bersih Padi 2025'!A66)</f>
        <v/>
      </c>
      <c r="B66" s="31" t="str">
        <f>IF('1.1 Produksi Bersih Padi 2025'!B66="","",'1.1 Produksi Bersih Padi 2025'!B66)</f>
        <v/>
      </c>
      <c r="C66" s="31" t="str">
        <f>IF('1.1 Produksi Bersih Padi 2025'!C66="","",'1.1 Produksi Bersih Padi 2025'!C66)</f>
        <v/>
      </c>
      <c r="D66" s="1" t="str">
        <f>IF('1.1 Produksi Bersih Padi 2025'!D66="","",'1.1 Produksi Bersih Padi 2025'!D66)</f>
        <v/>
      </c>
      <c r="E66" s="1" t="str">
        <f>IF('1.1 Produksi Bersih Padi 2025'!E66="","",'1.1 Produksi Bersih Padi 2025'!E66)</f>
        <v/>
      </c>
      <c r="F66" s="28" t="str">
        <f>IF(D66="","",VLOOKUP(D66,'[1]0.1 Produksi Pangan &amp; Penduduk'!$D$5:$AE$860,28,0))</f>
        <v/>
      </c>
      <c r="G66" s="29" t="str">
        <f t="shared" si="0"/>
        <v/>
      </c>
      <c r="H66" s="29" t="str">
        <f t="shared" si="1"/>
        <v/>
      </c>
      <c r="I66" s="29" t="str">
        <f t="shared" si="2"/>
        <v/>
      </c>
      <c r="J66" s="29" t="str">
        <f t="shared" si="3"/>
        <v/>
      </c>
      <c r="K66" s="29" t="str">
        <f t="shared" si="4"/>
        <v/>
      </c>
    </row>
    <row r="67" spans="1:11" ht="15" x14ac:dyDescent="0.25">
      <c r="A67" s="1" t="str">
        <f>IF('1.1 Produksi Bersih Padi 2025'!A67="","",'1.1 Produksi Bersih Padi 2025'!A67)</f>
        <v/>
      </c>
      <c r="B67" s="31" t="str">
        <f>IF('1.1 Produksi Bersih Padi 2025'!B67="","",'1.1 Produksi Bersih Padi 2025'!B67)</f>
        <v/>
      </c>
      <c r="C67" s="31" t="str">
        <f>IF('1.1 Produksi Bersih Padi 2025'!C67="","",'1.1 Produksi Bersih Padi 2025'!C67)</f>
        <v/>
      </c>
      <c r="D67" s="1" t="str">
        <f>IF('1.1 Produksi Bersih Padi 2025'!D67="","",'1.1 Produksi Bersih Padi 2025'!D67)</f>
        <v/>
      </c>
      <c r="E67" s="1" t="str">
        <f>IF('1.1 Produksi Bersih Padi 2025'!E67="","",'1.1 Produksi Bersih Padi 2025'!E67)</f>
        <v/>
      </c>
      <c r="F67" s="28" t="str">
        <f>IF(D67="","",VLOOKUP(D67,'[1]0.1 Produksi Pangan &amp; Penduduk'!$D$5:$AE$860,28,0))</f>
        <v/>
      </c>
      <c r="G67" s="29" t="str">
        <f t="shared" si="0"/>
        <v/>
      </c>
      <c r="H67" s="29" t="str">
        <f t="shared" si="1"/>
        <v/>
      </c>
      <c r="I67" s="29" t="str">
        <f t="shared" si="2"/>
        <v/>
      </c>
      <c r="J67" s="29" t="str">
        <f t="shared" si="3"/>
        <v/>
      </c>
      <c r="K67" s="29" t="str">
        <f t="shared" si="4"/>
        <v/>
      </c>
    </row>
    <row r="68" spans="1:11" ht="15" x14ac:dyDescent="0.25">
      <c r="A68" s="1" t="str">
        <f>IF('1.1 Produksi Bersih Padi 2025'!A68="","",'1.1 Produksi Bersih Padi 2025'!A68)</f>
        <v/>
      </c>
      <c r="B68" s="31" t="str">
        <f>IF('1.1 Produksi Bersih Padi 2025'!B68="","",'1.1 Produksi Bersih Padi 2025'!B68)</f>
        <v/>
      </c>
      <c r="C68" s="31" t="str">
        <f>IF('1.1 Produksi Bersih Padi 2025'!C68="","",'1.1 Produksi Bersih Padi 2025'!C68)</f>
        <v/>
      </c>
      <c r="D68" s="1" t="str">
        <f>IF('1.1 Produksi Bersih Padi 2025'!D68="","",'1.1 Produksi Bersih Padi 2025'!D68)</f>
        <v/>
      </c>
      <c r="E68" s="1" t="str">
        <f>IF('1.1 Produksi Bersih Padi 2025'!E68="","",'1.1 Produksi Bersih Padi 2025'!E68)</f>
        <v/>
      </c>
      <c r="F68" s="28" t="str">
        <f>IF(D68="","",VLOOKUP(D68,'[1]0.1 Produksi Pangan &amp; Penduduk'!$D$5:$AE$860,28,0))</f>
        <v/>
      </c>
      <c r="G68" s="29" t="str">
        <f t="shared" si="0"/>
        <v/>
      </c>
      <c r="H68" s="29" t="str">
        <f t="shared" si="1"/>
        <v/>
      </c>
      <c r="I68" s="29" t="str">
        <f t="shared" si="2"/>
        <v/>
      </c>
      <c r="J68" s="29" t="str">
        <f t="shared" si="3"/>
        <v/>
      </c>
      <c r="K68" s="29" t="str">
        <f t="shared" si="4"/>
        <v/>
      </c>
    </row>
    <row r="69" spans="1:11" ht="15" x14ac:dyDescent="0.25">
      <c r="A69" s="1" t="str">
        <f>IF('1.1 Produksi Bersih Padi 2025'!A69="","",'1.1 Produksi Bersih Padi 2025'!A69)</f>
        <v/>
      </c>
      <c r="B69" s="31" t="str">
        <f>IF('1.1 Produksi Bersih Padi 2025'!B69="","",'1.1 Produksi Bersih Padi 2025'!B69)</f>
        <v/>
      </c>
      <c r="C69" s="31" t="str">
        <f>IF('1.1 Produksi Bersih Padi 2025'!C69="","",'1.1 Produksi Bersih Padi 2025'!C69)</f>
        <v/>
      </c>
      <c r="D69" s="1" t="str">
        <f>IF('1.1 Produksi Bersih Padi 2025'!D69="","",'1.1 Produksi Bersih Padi 2025'!D69)</f>
        <v/>
      </c>
      <c r="E69" s="1" t="str">
        <f>IF('1.1 Produksi Bersih Padi 2025'!E69="","",'1.1 Produksi Bersih Padi 2025'!E69)</f>
        <v/>
      </c>
      <c r="F69" s="28" t="str">
        <f>IF(D69="","",VLOOKUP(D69,'[1]0.1 Produksi Pangan &amp; Penduduk'!$D$5:$AE$860,28,0))</f>
        <v/>
      </c>
      <c r="G69" s="29" t="str">
        <f t="shared" si="0"/>
        <v/>
      </c>
      <c r="H69" s="29" t="str">
        <f t="shared" si="1"/>
        <v/>
      </c>
      <c r="I69" s="29" t="str">
        <f t="shared" si="2"/>
        <v/>
      </c>
      <c r="J69" s="29" t="str">
        <f t="shared" si="3"/>
        <v/>
      </c>
      <c r="K69" s="29" t="str">
        <f t="shared" si="4"/>
        <v/>
      </c>
    </row>
    <row r="70" spans="1:11" ht="15" x14ac:dyDescent="0.25">
      <c r="A70" s="1" t="str">
        <f>IF('1.1 Produksi Bersih Padi 2025'!A70="","",'1.1 Produksi Bersih Padi 2025'!A70)</f>
        <v/>
      </c>
      <c r="B70" s="31" t="str">
        <f>IF('1.1 Produksi Bersih Padi 2025'!B70="","",'1.1 Produksi Bersih Padi 2025'!B70)</f>
        <v/>
      </c>
      <c r="C70" s="31" t="str">
        <f>IF('1.1 Produksi Bersih Padi 2025'!C70="","",'1.1 Produksi Bersih Padi 2025'!C70)</f>
        <v/>
      </c>
      <c r="D70" s="1" t="str">
        <f>IF('1.1 Produksi Bersih Padi 2025'!D70="","",'1.1 Produksi Bersih Padi 2025'!D70)</f>
        <v/>
      </c>
      <c r="E70" s="1" t="str">
        <f>IF('1.1 Produksi Bersih Padi 2025'!E70="","",'1.1 Produksi Bersih Padi 2025'!E70)</f>
        <v/>
      </c>
      <c r="F70" s="28" t="str">
        <f>IF(D70="","",VLOOKUP(D70,'[1]0.1 Produksi Pangan &amp; Penduduk'!$D$5:$AE$860,28,0))</f>
        <v/>
      </c>
      <c r="G70" s="29" t="str">
        <f t="shared" ref="G70:G133" si="5">IF(F70="","",F70*0%)</f>
        <v/>
      </c>
      <c r="H70" s="29" t="str">
        <f t="shared" ref="H70:H133" si="6">IF(F70="","",F70*0.77%)</f>
        <v/>
      </c>
      <c r="I70" s="29" t="str">
        <f t="shared" ref="I70:I133" si="7">IF(F70="","",F70*4.9%)</f>
        <v/>
      </c>
      <c r="J70" s="29" t="str">
        <f t="shared" ref="J70:J133" si="8">IF(F70="","",F70-(G70+H70+I70))</f>
        <v/>
      </c>
      <c r="K70" s="29" t="str">
        <f t="shared" ref="K70:K133" si="9">IF(J70="","",J70*0.259)</f>
        <v/>
      </c>
    </row>
    <row r="71" spans="1:11" ht="15" x14ac:dyDescent="0.25">
      <c r="A71" s="1" t="str">
        <f>IF('1.1 Produksi Bersih Padi 2025'!A71="","",'1.1 Produksi Bersih Padi 2025'!A71)</f>
        <v/>
      </c>
      <c r="B71" s="31" t="str">
        <f>IF('1.1 Produksi Bersih Padi 2025'!B71="","",'1.1 Produksi Bersih Padi 2025'!B71)</f>
        <v/>
      </c>
      <c r="C71" s="31" t="str">
        <f>IF('1.1 Produksi Bersih Padi 2025'!C71="","",'1.1 Produksi Bersih Padi 2025'!C71)</f>
        <v/>
      </c>
      <c r="D71" s="1" t="str">
        <f>IF('1.1 Produksi Bersih Padi 2025'!D71="","",'1.1 Produksi Bersih Padi 2025'!D71)</f>
        <v/>
      </c>
      <c r="E71" s="1" t="str">
        <f>IF('1.1 Produksi Bersih Padi 2025'!E71="","",'1.1 Produksi Bersih Padi 2025'!E71)</f>
        <v/>
      </c>
      <c r="F71" s="28" t="str">
        <f>IF(D71="","",VLOOKUP(D71,'[1]0.1 Produksi Pangan &amp; Penduduk'!$D$5:$AE$860,28,0))</f>
        <v/>
      </c>
      <c r="G71" s="29" t="str">
        <f t="shared" si="5"/>
        <v/>
      </c>
      <c r="H71" s="29" t="str">
        <f t="shared" si="6"/>
        <v/>
      </c>
      <c r="I71" s="29" t="str">
        <f t="shared" si="7"/>
        <v/>
      </c>
      <c r="J71" s="29" t="str">
        <f t="shared" si="8"/>
        <v/>
      </c>
      <c r="K71" s="29" t="str">
        <f t="shared" si="9"/>
        <v/>
      </c>
    </row>
    <row r="72" spans="1:11" ht="15" x14ac:dyDescent="0.25">
      <c r="A72" s="1" t="str">
        <f>IF('1.1 Produksi Bersih Padi 2025'!A72="","",'1.1 Produksi Bersih Padi 2025'!A72)</f>
        <v/>
      </c>
      <c r="B72" s="31" t="str">
        <f>IF('1.1 Produksi Bersih Padi 2025'!B72="","",'1.1 Produksi Bersih Padi 2025'!B72)</f>
        <v/>
      </c>
      <c r="C72" s="31" t="str">
        <f>IF('1.1 Produksi Bersih Padi 2025'!C72="","",'1.1 Produksi Bersih Padi 2025'!C72)</f>
        <v/>
      </c>
      <c r="D72" s="1" t="str">
        <f>IF('1.1 Produksi Bersih Padi 2025'!D72="","",'1.1 Produksi Bersih Padi 2025'!D72)</f>
        <v/>
      </c>
      <c r="E72" s="1" t="str">
        <f>IF('1.1 Produksi Bersih Padi 2025'!E72="","",'1.1 Produksi Bersih Padi 2025'!E72)</f>
        <v/>
      </c>
      <c r="F72" s="28" t="str">
        <f>IF(D72="","",VLOOKUP(D72,'[1]0.1 Produksi Pangan &amp; Penduduk'!$D$5:$AE$860,28,0))</f>
        <v/>
      </c>
      <c r="G72" s="29" t="str">
        <f t="shared" si="5"/>
        <v/>
      </c>
      <c r="H72" s="29" t="str">
        <f t="shared" si="6"/>
        <v/>
      </c>
      <c r="I72" s="29" t="str">
        <f t="shared" si="7"/>
        <v/>
      </c>
      <c r="J72" s="29" t="str">
        <f t="shared" si="8"/>
        <v/>
      </c>
      <c r="K72" s="29" t="str">
        <f t="shared" si="9"/>
        <v/>
      </c>
    </row>
    <row r="73" spans="1:11" ht="15" x14ac:dyDescent="0.25">
      <c r="A73" s="1" t="str">
        <f>IF('1.1 Produksi Bersih Padi 2025'!A73="","",'1.1 Produksi Bersih Padi 2025'!A73)</f>
        <v/>
      </c>
      <c r="B73" s="31" t="str">
        <f>IF('1.1 Produksi Bersih Padi 2025'!B73="","",'1.1 Produksi Bersih Padi 2025'!B73)</f>
        <v/>
      </c>
      <c r="C73" s="31" t="str">
        <f>IF('1.1 Produksi Bersih Padi 2025'!C73="","",'1.1 Produksi Bersih Padi 2025'!C73)</f>
        <v/>
      </c>
      <c r="D73" s="1" t="str">
        <f>IF('1.1 Produksi Bersih Padi 2025'!D73="","",'1.1 Produksi Bersih Padi 2025'!D73)</f>
        <v/>
      </c>
      <c r="E73" s="1" t="str">
        <f>IF('1.1 Produksi Bersih Padi 2025'!E73="","",'1.1 Produksi Bersih Padi 2025'!E73)</f>
        <v/>
      </c>
      <c r="F73" s="28" t="str">
        <f>IF(D73="","",VLOOKUP(D73,'[1]0.1 Produksi Pangan &amp; Penduduk'!$D$5:$AE$860,28,0))</f>
        <v/>
      </c>
      <c r="G73" s="29" t="str">
        <f t="shared" si="5"/>
        <v/>
      </c>
      <c r="H73" s="29" t="str">
        <f t="shared" si="6"/>
        <v/>
      </c>
      <c r="I73" s="29" t="str">
        <f t="shared" si="7"/>
        <v/>
      </c>
      <c r="J73" s="29" t="str">
        <f t="shared" si="8"/>
        <v/>
      </c>
      <c r="K73" s="29" t="str">
        <f t="shared" si="9"/>
        <v/>
      </c>
    </row>
    <row r="74" spans="1:11" ht="15" x14ac:dyDescent="0.25">
      <c r="A74" s="1" t="str">
        <f>IF('1.1 Produksi Bersih Padi 2025'!A74="","",'1.1 Produksi Bersih Padi 2025'!A74)</f>
        <v/>
      </c>
      <c r="B74" s="31" t="str">
        <f>IF('1.1 Produksi Bersih Padi 2025'!B74="","",'1.1 Produksi Bersih Padi 2025'!B74)</f>
        <v/>
      </c>
      <c r="C74" s="31" t="str">
        <f>IF('1.1 Produksi Bersih Padi 2025'!C74="","",'1.1 Produksi Bersih Padi 2025'!C74)</f>
        <v/>
      </c>
      <c r="D74" s="1" t="str">
        <f>IF('1.1 Produksi Bersih Padi 2025'!D74="","",'1.1 Produksi Bersih Padi 2025'!D74)</f>
        <v/>
      </c>
      <c r="E74" s="1" t="str">
        <f>IF('1.1 Produksi Bersih Padi 2025'!E74="","",'1.1 Produksi Bersih Padi 2025'!E74)</f>
        <v/>
      </c>
      <c r="F74" s="28" t="str">
        <f>IF(D74="","",VLOOKUP(D74,'[1]0.1 Produksi Pangan &amp; Penduduk'!$D$5:$AE$860,28,0))</f>
        <v/>
      </c>
      <c r="G74" s="29" t="str">
        <f t="shared" si="5"/>
        <v/>
      </c>
      <c r="H74" s="29" t="str">
        <f t="shared" si="6"/>
        <v/>
      </c>
      <c r="I74" s="29" t="str">
        <f t="shared" si="7"/>
        <v/>
      </c>
      <c r="J74" s="29" t="str">
        <f t="shared" si="8"/>
        <v/>
      </c>
      <c r="K74" s="29" t="str">
        <f t="shared" si="9"/>
        <v/>
      </c>
    </row>
    <row r="75" spans="1:11" ht="15" x14ac:dyDescent="0.25">
      <c r="A75" s="1" t="str">
        <f>IF('1.1 Produksi Bersih Padi 2025'!A75="","",'1.1 Produksi Bersih Padi 2025'!A75)</f>
        <v/>
      </c>
      <c r="B75" s="31" t="str">
        <f>IF('1.1 Produksi Bersih Padi 2025'!B75="","",'1.1 Produksi Bersih Padi 2025'!B75)</f>
        <v/>
      </c>
      <c r="C75" s="31" t="str">
        <f>IF('1.1 Produksi Bersih Padi 2025'!C75="","",'1.1 Produksi Bersih Padi 2025'!C75)</f>
        <v/>
      </c>
      <c r="D75" s="1" t="str">
        <f>IF('1.1 Produksi Bersih Padi 2025'!D75="","",'1.1 Produksi Bersih Padi 2025'!D75)</f>
        <v/>
      </c>
      <c r="E75" s="1" t="str">
        <f>IF('1.1 Produksi Bersih Padi 2025'!E75="","",'1.1 Produksi Bersih Padi 2025'!E75)</f>
        <v/>
      </c>
      <c r="F75" s="28" t="str">
        <f>IF(D75="","",VLOOKUP(D75,'[1]0.1 Produksi Pangan &amp; Penduduk'!$D$5:$AE$860,28,0))</f>
        <v/>
      </c>
      <c r="G75" s="29" t="str">
        <f t="shared" si="5"/>
        <v/>
      </c>
      <c r="H75" s="29" t="str">
        <f t="shared" si="6"/>
        <v/>
      </c>
      <c r="I75" s="29" t="str">
        <f t="shared" si="7"/>
        <v/>
      </c>
      <c r="J75" s="29" t="str">
        <f t="shared" si="8"/>
        <v/>
      </c>
      <c r="K75" s="29" t="str">
        <f t="shared" si="9"/>
        <v/>
      </c>
    </row>
    <row r="76" spans="1:11" ht="15" x14ac:dyDescent="0.25">
      <c r="A76" s="1" t="str">
        <f>IF('1.1 Produksi Bersih Padi 2025'!A76="","",'1.1 Produksi Bersih Padi 2025'!A76)</f>
        <v/>
      </c>
      <c r="B76" s="31" t="str">
        <f>IF('1.1 Produksi Bersih Padi 2025'!B76="","",'1.1 Produksi Bersih Padi 2025'!B76)</f>
        <v/>
      </c>
      <c r="C76" s="31" t="str">
        <f>IF('1.1 Produksi Bersih Padi 2025'!C76="","",'1.1 Produksi Bersih Padi 2025'!C76)</f>
        <v/>
      </c>
      <c r="D76" s="1" t="str">
        <f>IF('1.1 Produksi Bersih Padi 2025'!D76="","",'1.1 Produksi Bersih Padi 2025'!D76)</f>
        <v/>
      </c>
      <c r="E76" s="1" t="str">
        <f>IF('1.1 Produksi Bersih Padi 2025'!E76="","",'1.1 Produksi Bersih Padi 2025'!E76)</f>
        <v/>
      </c>
      <c r="F76" s="28" t="str">
        <f>IF(D76="","",VLOOKUP(D76,'[1]0.1 Produksi Pangan &amp; Penduduk'!$D$5:$AE$860,28,0))</f>
        <v/>
      </c>
      <c r="G76" s="29" t="str">
        <f t="shared" si="5"/>
        <v/>
      </c>
      <c r="H76" s="29" t="str">
        <f t="shared" si="6"/>
        <v/>
      </c>
      <c r="I76" s="29" t="str">
        <f t="shared" si="7"/>
        <v/>
      </c>
      <c r="J76" s="29" t="str">
        <f t="shared" si="8"/>
        <v/>
      </c>
      <c r="K76" s="29" t="str">
        <f t="shared" si="9"/>
        <v/>
      </c>
    </row>
    <row r="77" spans="1:11" ht="15" x14ac:dyDescent="0.25">
      <c r="A77" s="1" t="str">
        <f>IF('1.1 Produksi Bersih Padi 2025'!A77="","",'1.1 Produksi Bersih Padi 2025'!A77)</f>
        <v/>
      </c>
      <c r="B77" s="31" t="str">
        <f>IF('1.1 Produksi Bersih Padi 2025'!B77="","",'1.1 Produksi Bersih Padi 2025'!B77)</f>
        <v/>
      </c>
      <c r="C77" s="31" t="str">
        <f>IF('1.1 Produksi Bersih Padi 2025'!C77="","",'1.1 Produksi Bersih Padi 2025'!C77)</f>
        <v/>
      </c>
      <c r="D77" s="1" t="str">
        <f>IF('1.1 Produksi Bersih Padi 2025'!D77="","",'1.1 Produksi Bersih Padi 2025'!D77)</f>
        <v/>
      </c>
      <c r="E77" s="1" t="str">
        <f>IF('1.1 Produksi Bersih Padi 2025'!E77="","",'1.1 Produksi Bersih Padi 2025'!E77)</f>
        <v/>
      </c>
      <c r="F77" s="28" t="str">
        <f>IF(D77="","",VLOOKUP(D77,'[1]0.1 Produksi Pangan &amp; Penduduk'!$D$5:$AE$860,28,0))</f>
        <v/>
      </c>
      <c r="G77" s="29" t="str">
        <f t="shared" si="5"/>
        <v/>
      </c>
      <c r="H77" s="29" t="str">
        <f t="shared" si="6"/>
        <v/>
      </c>
      <c r="I77" s="29" t="str">
        <f t="shared" si="7"/>
        <v/>
      </c>
      <c r="J77" s="29" t="str">
        <f t="shared" si="8"/>
        <v/>
      </c>
      <c r="K77" s="29" t="str">
        <f t="shared" si="9"/>
        <v/>
      </c>
    </row>
    <row r="78" spans="1:11" ht="15" x14ac:dyDescent="0.25">
      <c r="A78" s="1" t="str">
        <f>IF('1.1 Produksi Bersih Padi 2025'!A78="","",'1.1 Produksi Bersih Padi 2025'!A78)</f>
        <v/>
      </c>
      <c r="B78" s="31" t="str">
        <f>IF('1.1 Produksi Bersih Padi 2025'!B78="","",'1.1 Produksi Bersih Padi 2025'!B78)</f>
        <v/>
      </c>
      <c r="C78" s="31" t="str">
        <f>IF('1.1 Produksi Bersih Padi 2025'!C78="","",'1.1 Produksi Bersih Padi 2025'!C78)</f>
        <v/>
      </c>
      <c r="D78" s="1" t="str">
        <f>IF('1.1 Produksi Bersih Padi 2025'!D78="","",'1.1 Produksi Bersih Padi 2025'!D78)</f>
        <v/>
      </c>
      <c r="E78" s="1" t="str">
        <f>IF('1.1 Produksi Bersih Padi 2025'!E78="","",'1.1 Produksi Bersih Padi 2025'!E78)</f>
        <v/>
      </c>
      <c r="F78" s="28" t="str">
        <f>IF(D78="","",VLOOKUP(D78,'[1]0.1 Produksi Pangan &amp; Penduduk'!$D$5:$AE$860,28,0))</f>
        <v/>
      </c>
      <c r="G78" s="29" t="str">
        <f t="shared" si="5"/>
        <v/>
      </c>
      <c r="H78" s="29" t="str">
        <f t="shared" si="6"/>
        <v/>
      </c>
      <c r="I78" s="29" t="str">
        <f t="shared" si="7"/>
        <v/>
      </c>
      <c r="J78" s="29" t="str">
        <f t="shared" si="8"/>
        <v/>
      </c>
      <c r="K78" s="29" t="str">
        <f t="shared" si="9"/>
        <v/>
      </c>
    </row>
    <row r="79" spans="1:11" ht="15" x14ac:dyDescent="0.25">
      <c r="A79" s="1" t="str">
        <f>IF('1.1 Produksi Bersih Padi 2025'!A79="","",'1.1 Produksi Bersih Padi 2025'!A79)</f>
        <v/>
      </c>
      <c r="B79" s="31" t="str">
        <f>IF('1.1 Produksi Bersih Padi 2025'!B79="","",'1.1 Produksi Bersih Padi 2025'!B79)</f>
        <v/>
      </c>
      <c r="C79" s="31" t="str">
        <f>IF('1.1 Produksi Bersih Padi 2025'!C79="","",'1.1 Produksi Bersih Padi 2025'!C79)</f>
        <v/>
      </c>
      <c r="D79" s="1" t="str">
        <f>IF('1.1 Produksi Bersih Padi 2025'!D79="","",'1.1 Produksi Bersih Padi 2025'!D79)</f>
        <v/>
      </c>
      <c r="E79" s="1" t="str">
        <f>IF('1.1 Produksi Bersih Padi 2025'!E79="","",'1.1 Produksi Bersih Padi 2025'!E79)</f>
        <v/>
      </c>
      <c r="F79" s="28" t="str">
        <f>IF(D79="","",VLOOKUP(D79,'[1]0.1 Produksi Pangan &amp; Penduduk'!$D$5:$AE$860,28,0))</f>
        <v/>
      </c>
      <c r="G79" s="29" t="str">
        <f t="shared" si="5"/>
        <v/>
      </c>
      <c r="H79" s="29" t="str">
        <f t="shared" si="6"/>
        <v/>
      </c>
      <c r="I79" s="29" t="str">
        <f t="shared" si="7"/>
        <v/>
      </c>
      <c r="J79" s="29" t="str">
        <f t="shared" si="8"/>
        <v/>
      </c>
      <c r="K79" s="29" t="str">
        <f t="shared" si="9"/>
        <v/>
      </c>
    </row>
    <row r="80" spans="1:11" ht="15" x14ac:dyDescent="0.25">
      <c r="A80" s="1" t="str">
        <f>IF('1.1 Produksi Bersih Padi 2025'!A80="","",'1.1 Produksi Bersih Padi 2025'!A80)</f>
        <v/>
      </c>
      <c r="B80" s="31" t="str">
        <f>IF('1.1 Produksi Bersih Padi 2025'!B80="","",'1.1 Produksi Bersih Padi 2025'!B80)</f>
        <v/>
      </c>
      <c r="C80" s="31" t="str">
        <f>IF('1.1 Produksi Bersih Padi 2025'!C80="","",'1.1 Produksi Bersih Padi 2025'!C80)</f>
        <v/>
      </c>
      <c r="D80" s="1" t="str">
        <f>IF('1.1 Produksi Bersih Padi 2025'!D80="","",'1.1 Produksi Bersih Padi 2025'!D80)</f>
        <v/>
      </c>
      <c r="E80" s="1" t="str">
        <f>IF('1.1 Produksi Bersih Padi 2025'!E80="","",'1.1 Produksi Bersih Padi 2025'!E80)</f>
        <v/>
      </c>
      <c r="F80" s="28" t="str">
        <f>IF(D80="","",VLOOKUP(D80,'[1]0.1 Produksi Pangan &amp; Penduduk'!$D$5:$AE$860,28,0))</f>
        <v/>
      </c>
      <c r="G80" s="29" t="str">
        <f t="shared" si="5"/>
        <v/>
      </c>
      <c r="H80" s="29" t="str">
        <f t="shared" si="6"/>
        <v/>
      </c>
      <c r="I80" s="29" t="str">
        <f t="shared" si="7"/>
        <v/>
      </c>
      <c r="J80" s="29" t="str">
        <f t="shared" si="8"/>
        <v/>
      </c>
      <c r="K80" s="29" t="str">
        <f t="shared" si="9"/>
        <v/>
      </c>
    </row>
    <row r="81" spans="1:11" ht="15" x14ac:dyDescent="0.25">
      <c r="A81" s="1" t="str">
        <f>IF('1.1 Produksi Bersih Padi 2025'!A81="","",'1.1 Produksi Bersih Padi 2025'!A81)</f>
        <v/>
      </c>
      <c r="B81" s="31" t="str">
        <f>IF('1.1 Produksi Bersih Padi 2025'!B81="","",'1.1 Produksi Bersih Padi 2025'!B81)</f>
        <v/>
      </c>
      <c r="C81" s="31" t="str">
        <f>IF('1.1 Produksi Bersih Padi 2025'!C81="","",'1.1 Produksi Bersih Padi 2025'!C81)</f>
        <v/>
      </c>
      <c r="D81" s="1" t="str">
        <f>IF('1.1 Produksi Bersih Padi 2025'!D81="","",'1.1 Produksi Bersih Padi 2025'!D81)</f>
        <v/>
      </c>
      <c r="E81" s="1" t="str">
        <f>IF('1.1 Produksi Bersih Padi 2025'!E81="","",'1.1 Produksi Bersih Padi 2025'!E81)</f>
        <v/>
      </c>
      <c r="F81" s="28" t="str">
        <f>IF(D81="","",VLOOKUP(D81,'[1]0.1 Produksi Pangan &amp; Penduduk'!$D$5:$AE$860,28,0))</f>
        <v/>
      </c>
      <c r="G81" s="29" t="str">
        <f t="shared" si="5"/>
        <v/>
      </c>
      <c r="H81" s="29" t="str">
        <f t="shared" si="6"/>
        <v/>
      </c>
      <c r="I81" s="29" t="str">
        <f t="shared" si="7"/>
        <v/>
      </c>
      <c r="J81" s="29" t="str">
        <f t="shared" si="8"/>
        <v/>
      </c>
      <c r="K81" s="29" t="str">
        <f t="shared" si="9"/>
        <v/>
      </c>
    </row>
    <row r="82" spans="1:11" ht="15" x14ac:dyDescent="0.25">
      <c r="A82" s="1" t="str">
        <f>IF('1.1 Produksi Bersih Padi 2025'!A82="","",'1.1 Produksi Bersih Padi 2025'!A82)</f>
        <v/>
      </c>
      <c r="B82" s="31" t="str">
        <f>IF('1.1 Produksi Bersih Padi 2025'!B82="","",'1.1 Produksi Bersih Padi 2025'!B82)</f>
        <v/>
      </c>
      <c r="C82" s="31" t="str">
        <f>IF('1.1 Produksi Bersih Padi 2025'!C82="","",'1.1 Produksi Bersih Padi 2025'!C82)</f>
        <v/>
      </c>
      <c r="D82" s="1" t="str">
        <f>IF('1.1 Produksi Bersih Padi 2025'!D82="","",'1.1 Produksi Bersih Padi 2025'!D82)</f>
        <v/>
      </c>
      <c r="E82" s="1" t="str">
        <f>IF('1.1 Produksi Bersih Padi 2025'!E82="","",'1.1 Produksi Bersih Padi 2025'!E82)</f>
        <v/>
      </c>
      <c r="F82" s="28" t="str">
        <f>IF(D82="","",VLOOKUP(D82,'[1]0.1 Produksi Pangan &amp; Penduduk'!$D$5:$AE$860,28,0))</f>
        <v/>
      </c>
      <c r="G82" s="29" t="str">
        <f t="shared" si="5"/>
        <v/>
      </c>
      <c r="H82" s="29" t="str">
        <f t="shared" si="6"/>
        <v/>
      </c>
      <c r="I82" s="29" t="str">
        <f t="shared" si="7"/>
        <v/>
      </c>
      <c r="J82" s="29" t="str">
        <f t="shared" si="8"/>
        <v/>
      </c>
      <c r="K82" s="29" t="str">
        <f t="shared" si="9"/>
        <v/>
      </c>
    </row>
    <row r="83" spans="1:11" ht="15" x14ac:dyDescent="0.25">
      <c r="A83" s="1" t="str">
        <f>IF('1.1 Produksi Bersih Padi 2025'!A83="","",'1.1 Produksi Bersih Padi 2025'!A83)</f>
        <v/>
      </c>
      <c r="B83" s="31" t="str">
        <f>IF('1.1 Produksi Bersih Padi 2025'!B83="","",'1.1 Produksi Bersih Padi 2025'!B83)</f>
        <v/>
      </c>
      <c r="C83" s="31" t="str">
        <f>IF('1.1 Produksi Bersih Padi 2025'!C83="","",'1.1 Produksi Bersih Padi 2025'!C83)</f>
        <v/>
      </c>
      <c r="D83" s="1" t="str">
        <f>IF('1.1 Produksi Bersih Padi 2025'!D83="","",'1.1 Produksi Bersih Padi 2025'!D83)</f>
        <v/>
      </c>
      <c r="E83" s="1" t="str">
        <f>IF('1.1 Produksi Bersih Padi 2025'!E83="","",'1.1 Produksi Bersih Padi 2025'!E83)</f>
        <v/>
      </c>
      <c r="F83" s="28" t="str">
        <f>IF(D83="","",VLOOKUP(D83,'[1]0.1 Produksi Pangan &amp; Penduduk'!$D$5:$AE$860,28,0))</f>
        <v/>
      </c>
      <c r="G83" s="29" t="str">
        <f t="shared" si="5"/>
        <v/>
      </c>
      <c r="H83" s="29" t="str">
        <f t="shared" si="6"/>
        <v/>
      </c>
      <c r="I83" s="29" t="str">
        <f t="shared" si="7"/>
        <v/>
      </c>
      <c r="J83" s="29" t="str">
        <f t="shared" si="8"/>
        <v/>
      </c>
      <c r="K83" s="29" t="str">
        <f t="shared" si="9"/>
        <v/>
      </c>
    </row>
    <row r="84" spans="1:11" ht="15" x14ac:dyDescent="0.25">
      <c r="A84" s="1" t="str">
        <f>IF('1.1 Produksi Bersih Padi 2025'!A84="","",'1.1 Produksi Bersih Padi 2025'!A84)</f>
        <v/>
      </c>
      <c r="B84" s="31" t="str">
        <f>IF('1.1 Produksi Bersih Padi 2025'!B84="","",'1.1 Produksi Bersih Padi 2025'!B84)</f>
        <v/>
      </c>
      <c r="C84" s="31" t="str">
        <f>IF('1.1 Produksi Bersih Padi 2025'!C84="","",'1.1 Produksi Bersih Padi 2025'!C84)</f>
        <v/>
      </c>
      <c r="D84" s="1" t="str">
        <f>IF('1.1 Produksi Bersih Padi 2025'!D84="","",'1.1 Produksi Bersih Padi 2025'!D84)</f>
        <v/>
      </c>
      <c r="E84" s="1" t="str">
        <f>IF('1.1 Produksi Bersih Padi 2025'!E84="","",'1.1 Produksi Bersih Padi 2025'!E84)</f>
        <v/>
      </c>
      <c r="F84" s="28" t="str">
        <f>IF(D84="","",VLOOKUP(D84,'[1]0.1 Produksi Pangan &amp; Penduduk'!$D$5:$AE$860,28,0))</f>
        <v/>
      </c>
      <c r="G84" s="29" t="str">
        <f t="shared" si="5"/>
        <v/>
      </c>
      <c r="H84" s="29" t="str">
        <f t="shared" si="6"/>
        <v/>
      </c>
      <c r="I84" s="29" t="str">
        <f t="shared" si="7"/>
        <v/>
      </c>
      <c r="J84" s="29" t="str">
        <f t="shared" si="8"/>
        <v/>
      </c>
      <c r="K84" s="29" t="str">
        <f t="shared" si="9"/>
        <v/>
      </c>
    </row>
    <row r="85" spans="1:11" ht="15" x14ac:dyDescent="0.25">
      <c r="A85" s="1" t="str">
        <f>IF('1.1 Produksi Bersih Padi 2025'!A85="","",'1.1 Produksi Bersih Padi 2025'!A85)</f>
        <v/>
      </c>
      <c r="B85" s="31" t="str">
        <f>IF('1.1 Produksi Bersih Padi 2025'!B85="","",'1.1 Produksi Bersih Padi 2025'!B85)</f>
        <v/>
      </c>
      <c r="C85" s="31" t="str">
        <f>IF('1.1 Produksi Bersih Padi 2025'!C85="","",'1.1 Produksi Bersih Padi 2025'!C85)</f>
        <v/>
      </c>
      <c r="D85" s="1" t="str">
        <f>IF('1.1 Produksi Bersih Padi 2025'!D85="","",'1.1 Produksi Bersih Padi 2025'!D85)</f>
        <v/>
      </c>
      <c r="E85" s="1" t="str">
        <f>IF('1.1 Produksi Bersih Padi 2025'!E85="","",'1.1 Produksi Bersih Padi 2025'!E85)</f>
        <v/>
      </c>
      <c r="F85" s="28" t="str">
        <f>IF(D85="","",VLOOKUP(D85,'[1]0.1 Produksi Pangan &amp; Penduduk'!$D$5:$AE$860,28,0))</f>
        <v/>
      </c>
      <c r="G85" s="29" t="str">
        <f t="shared" si="5"/>
        <v/>
      </c>
      <c r="H85" s="29" t="str">
        <f t="shared" si="6"/>
        <v/>
      </c>
      <c r="I85" s="29" t="str">
        <f t="shared" si="7"/>
        <v/>
      </c>
      <c r="J85" s="29" t="str">
        <f t="shared" si="8"/>
        <v/>
      </c>
      <c r="K85" s="29" t="str">
        <f t="shared" si="9"/>
        <v/>
      </c>
    </row>
    <row r="86" spans="1:11" ht="15" x14ac:dyDescent="0.25">
      <c r="A86" s="1" t="str">
        <f>IF('1.1 Produksi Bersih Padi 2025'!A86="","",'1.1 Produksi Bersih Padi 2025'!A86)</f>
        <v/>
      </c>
      <c r="B86" s="31" t="str">
        <f>IF('1.1 Produksi Bersih Padi 2025'!B86="","",'1.1 Produksi Bersih Padi 2025'!B86)</f>
        <v/>
      </c>
      <c r="C86" s="31" t="str">
        <f>IF('1.1 Produksi Bersih Padi 2025'!C86="","",'1.1 Produksi Bersih Padi 2025'!C86)</f>
        <v/>
      </c>
      <c r="D86" s="1" t="str">
        <f>IF('1.1 Produksi Bersih Padi 2025'!D86="","",'1.1 Produksi Bersih Padi 2025'!D86)</f>
        <v/>
      </c>
      <c r="E86" s="1" t="str">
        <f>IF('1.1 Produksi Bersih Padi 2025'!E86="","",'1.1 Produksi Bersih Padi 2025'!E86)</f>
        <v/>
      </c>
      <c r="F86" s="28" t="str">
        <f>IF(D86="","",VLOOKUP(D86,'[1]0.1 Produksi Pangan &amp; Penduduk'!$D$5:$AE$860,28,0))</f>
        <v/>
      </c>
      <c r="G86" s="29" t="str">
        <f t="shared" si="5"/>
        <v/>
      </c>
      <c r="H86" s="29" t="str">
        <f t="shared" si="6"/>
        <v/>
      </c>
      <c r="I86" s="29" t="str">
        <f t="shared" si="7"/>
        <v/>
      </c>
      <c r="J86" s="29" t="str">
        <f t="shared" si="8"/>
        <v/>
      </c>
      <c r="K86" s="29" t="str">
        <f t="shared" si="9"/>
        <v/>
      </c>
    </row>
    <row r="87" spans="1:11" ht="15" x14ac:dyDescent="0.25">
      <c r="A87" s="1" t="str">
        <f>IF('1.1 Produksi Bersih Padi 2025'!A87="","",'1.1 Produksi Bersih Padi 2025'!A87)</f>
        <v/>
      </c>
      <c r="B87" s="31" t="str">
        <f>IF('1.1 Produksi Bersih Padi 2025'!B87="","",'1.1 Produksi Bersih Padi 2025'!B87)</f>
        <v/>
      </c>
      <c r="C87" s="31" t="str">
        <f>IF('1.1 Produksi Bersih Padi 2025'!C87="","",'1.1 Produksi Bersih Padi 2025'!C87)</f>
        <v/>
      </c>
      <c r="D87" s="1" t="str">
        <f>IF('1.1 Produksi Bersih Padi 2025'!D87="","",'1.1 Produksi Bersih Padi 2025'!D87)</f>
        <v/>
      </c>
      <c r="E87" s="1" t="str">
        <f>IF('1.1 Produksi Bersih Padi 2025'!E87="","",'1.1 Produksi Bersih Padi 2025'!E87)</f>
        <v/>
      </c>
      <c r="F87" s="28" t="str">
        <f>IF(D87="","",VLOOKUP(D87,'[1]0.1 Produksi Pangan &amp; Penduduk'!$D$5:$AE$860,28,0))</f>
        <v/>
      </c>
      <c r="G87" s="29" t="str">
        <f t="shared" si="5"/>
        <v/>
      </c>
      <c r="H87" s="29" t="str">
        <f t="shared" si="6"/>
        <v/>
      </c>
      <c r="I87" s="29" t="str">
        <f t="shared" si="7"/>
        <v/>
      </c>
      <c r="J87" s="29" t="str">
        <f t="shared" si="8"/>
        <v/>
      </c>
      <c r="K87" s="29" t="str">
        <f t="shared" si="9"/>
        <v/>
      </c>
    </row>
    <row r="88" spans="1:11" ht="15" x14ac:dyDescent="0.25">
      <c r="A88" s="1" t="str">
        <f>IF('1.1 Produksi Bersih Padi 2025'!A88="","",'1.1 Produksi Bersih Padi 2025'!A88)</f>
        <v/>
      </c>
      <c r="B88" s="31" t="str">
        <f>IF('1.1 Produksi Bersih Padi 2025'!B88="","",'1.1 Produksi Bersih Padi 2025'!B88)</f>
        <v/>
      </c>
      <c r="C88" s="31" t="str">
        <f>IF('1.1 Produksi Bersih Padi 2025'!C88="","",'1.1 Produksi Bersih Padi 2025'!C88)</f>
        <v/>
      </c>
      <c r="D88" s="1" t="str">
        <f>IF('1.1 Produksi Bersih Padi 2025'!D88="","",'1.1 Produksi Bersih Padi 2025'!D88)</f>
        <v/>
      </c>
      <c r="E88" s="1" t="str">
        <f>IF('1.1 Produksi Bersih Padi 2025'!E88="","",'1.1 Produksi Bersih Padi 2025'!E88)</f>
        <v/>
      </c>
      <c r="F88" s="28" t="str">
        <f>IF(D88="","",VLOOKUP(D88,'[1]0.1 Produksi Pangan &amp; Penduduk'!$D$5:$AE$860,28,0))</f>
        <v/>
      </c>
      <c r="G88" s="29" t="str">
        <f t="shared" si="5"/>
        <v/>
      </c>
      <c r="H88" s="29" t="str">
        <f t="shared" si="6"/>
        <v/>
      </c>
      <c r="I88" s="29" t="str">
        <f t="shared" si="7"/>
        <v/>
      </c>
      <c r="J88" s="29" t="str">
        <f t="shared" si="8"/>
        <v/>
      </c>
      <c r="K88" s="29" t="str">
        <f t="shared" si="9"/>
        <v/>
      </c>
    </row>
    <row r="89" spans="1:11" ht="15" x14ac:dyDescent="0.25">
      <c r="A89" s="1" t="str">
        <f>IF('1.1 Produksi Bersih Padi 2025'!A89="","",'1.1 Produksi Bersih Padi 2025'!A89)</f>
        <v/>
      </c>
      <c r="B89" s="31" t="str">
        <f>IF('1.1 Produksi Bersih Padi 2025'!B89="","",'1.1 Produksi Bersih Padi 2025'!B89)</f>
        <v/>
      </c>
      <c r="C89" s="31" t="str">
        <f>IF('1.1 Produksi Bersih Padi 2025'!C89="","",'1.1 Produksi Bersih Padi 2025'!C89)</f>
        <v/>
      </c>
      <c r="D89" s="1" t="str">
        <f>IF('1.1 Produksi Bersih Padi 2025'!D89="","",'1.1 Produksi Bersih Padi 2025'!D89)</f>
        <v/>
      </c>
      <c r="E89" s="1" t="str">
        <f>IF('1.1 Produksi Bersih Padi 2025'!E89="","",'1.1 Produksi Bersih Padi 2025'!E89)</f>
        <v/>
      </c>
      <c r="F89" s="28" t="str">
        <f>IF(D89="","",VLOOKUP(D89,'[1]0.1 Produksi Pangan &amp; Penduduk'!$D$5:$AE$860,28,0))</f>
        <v/>
      </c>
      <c r="G89" s="29" t="str">
        <f t="shared" si="5"/>
        <v/>
      </c>
      <c r="H89" s="29" t="str">
        <f t="shared" si="6"/>
        <v/>
      </c>
      <c r="I89" s="29" t="str">
        <f t="shared" si="7"/>
        <v/>
      </c>
      <c r="J89" s="29" t="str">
        <f t="shared" si="8"/>
        <v/>
      </c>
      <c r="K89" s="29" t="str">
        <f t="shared" si="9"/>
        <v/>
      </c>
    </row>
    <row r="90" spans="1:11" ht="15" x14ac:dyDescent="0.25">
      <c r="A90" s="1" t="str">
        <f>IF('1.1 Produksi Bersih Padi 2025'!A90="","",'1.1 Produksi Bersih Padi 2025'!A90)</f>
        <v/>
      </c>
      <c r="B90" s="31" t="str">
        <f>IF('1.1 Produksi Bersih Padi 2025'!B90="","",'1.1 Produksi Bersih Padi 2025'!B90)</f>
        <v/>
      </c>
      <c r="C90" s="31" t="str">
        <f>IF('1.1 Produksi Bersih Padi 2025'!C90="","",'1.1 Produksi Bersih Padi 2025'!C90)</f>
        <v/>
      </c>
      <c r="D90" s="1" t="str">
        <f>IF('1.1 Produksi Bersih Padi 2025'!D90="","",'1.1 Produksi Bersih Padi 2025'!D90)</f>
        <v/>
      </c>
      <c r="E90" s="1" t="str">
        <f>IF('1.1 Produksi Bersih Padi 2025'!E90="","",'1.1 Produksi Bersih Padi 2025'!E90)</f>
        <v/>
      </c>
      <c r="F90" s="28" t="str">
        <f>IF(D90="","",VLOOKUP(D90,'[1]0.1 Produksi Pangan &amp; Penduduk'!$D$5:$AE$860,28,0))</f>
        <v/>
      </c>
      <c r="G90" s="29" t="str">
        <f t="shared" si="5"/>
        <v/>
      </c>
      <c r="H90" s="29" t="str">
        <f t="shared" si="6"/>
        <v/>
      </c>
      <c r="I90" s="29" t="str">
        <f t="shared" si="7"/>
        <v/>
      </c>
      <c r="J90" s="29" t="str">
        <f t="shared" si="8"/>
        <v/>
      </c>
      <c r="K90" s="29" t="str">
        <f t="shared" si="9"/>
        <v/>
      </c>
    </row>
    <row r="91" spans="1:11" ht="15" x14ac:dyDescent="0.25">
      <c r="A91" s="1" t="str">
        <f>IF('1.1 Produksi Bersih Padi 2025'!A91="","",'1.1 Produksi Bersih Padi 2025'!A91)</f>
        <v/>
      </c>
      <c r="B91" s="31" t="str">
        <f>IF('1.1 Produksi Bersih Padi 2025'!B91="","",'1.1 Produksi Bersih Padi 2025'!B91)</f>
        <v/>
      </c>
      <c r="C91" s="31" t="str">
        <f>IF('1.1 Produksi Bersih Padi 2025'!C91="","",'1.1 Produksi Bersih Padi 2025'!C91)</f>
        <v/>
      </c>
      <c r="D91" s="1" t="str">
        <f>IF('1.1 Produksi Bersih Padi 2025'!D91="","",'1.1 Produksi Bersih Padi 2025'!D91)</f>
        <v/>
      </c>
      <c r="E91" s="1" t="str">
        <f>IF('1.1 Produksi Bersih Padi 2025'!E91="","",'1.1 Produksi Bersih Padi 2025'!E91)</f>
        <v/>
      </c>
      <c r="F91" s="28" t="str">
        <f>IF(D91="","",VLOOKUP(D91,'[1]0.1 Produksi Pangan &amp; Penduduk'!$D$5:$AE$860,28,0))</f>
        <v/>
      </c>
      <c r="G91" s="29" t="str">
        <f t="shared" si="5"/>
        <v/>
      </c>
      <c r="H91" s="29" t="str">
        <f t="shared" si="6"/>
        <v/>
      </c>
      <c r="I91" s="29" t="str">
        <f t="shared" si="7"/>
        <v/>
      </c>
      <c r="J91" s="29" t="str">
        <f t="shared" si="8"/>
        <v/>
      </c>
      <c r="K91" s="29" t="str">
        <f t="shared" si="9"/>
        <v/>
      </c>
    </row>
    <row r="92" spans="1:11" ht="15" x14ac:dyDescent="0.25">
      <c r="A92" s="1" t="str">
        <f>IF('1.1 Produksi Bersih Padi 2025'!A92="","",'1.1 Produksi Bersih Padi 2025'!A92)</f>
        <v/>
      </c>
      <c r="B92" s="31" t="str">
        <f>IF('1.1 Produksi Bersih Padi 2025'!B92="","",'1.1 Produksi Bersih Padi 2025'!B92)</f>
        <v/>
      </c>
      <c r="C92" s="31" t="str">
        <f>IF('1.1 Produksi Bersih Padi 2025'!C92="","",'1.1 Produksi Bersih Padi 2025'!C92)</f>
        <v/>
      </c>
      <c r="D92" s="1" t="str">
        <f>IF('1.1 Produksi Bersih Padi 2025'!D92="","",'1.1 Produksi Bersih Padi 2025'!D92)</f>
        <v/>
      </c>
      <c r="E92" s="1" t="str">
        <f>IF('1.1 Produksi Bersih Padi 2025'!E92="","",'1.1 Produksi Bersih Padi 2025'!E92)</f>
        <v/>
      </c>
      <c r="F92" s="28" t="str">
        <f>IF(D92="","",VLOOKUP(D92,'[1]0.1 Produksi Pangan &amp; Penduduk'!$D$5:$AE$860,28,0))</f>
        <v/>
      </c>
      <c r="G92" s="29" t="str">
        <f t="shared" si="5"/>
        <v/>
      </c>
      <c r="H92" s="29" t="str">
        <f t="shared" si="6"/>
        <v/>
      </c>
      <c r="I92" s="29" t="str">
        <f t="shared" si="7"/>
        <v/>
      </c>
      <c r="J92" s="29" t="str">
        <f t="shared" si="8"/>
        <v/>
      </c>
      <c r="K92" s="29" t="str">
        <f t="shared" si="9"/>
        <v/>
      </c>
    </row>
    <row r="93" spans="1:11" ht="15" x14ac:dyDescent="0.25">
      <c r="A93" s="1" t="str">
        <f>IF('1.1 Produksi Bersih Padi 2025'!A93="","",'1.1 Produksi Bersih Padi 2025'!A93)</f>
        <v/>
      </c>
      <c r="B93" s="31" t="str">
        <f>IF('1.1 Produksi Bersih Padi 2025'!B93="","",'1.1 Produksi Bersih Padi 2025'!B93)</f>
        <v/>
      </c>
      <c r="C93" s="31" t="str">
        <f>IF('1.1 Produksi Bersih Padi 2025'!C93="","",'1.1 Produksi Bersih Padi 2025'!C93)</f>
        <v/>
      </c>
      <c r="D93" s="1" t="str">
        <f>IF('1.1 Produksi Bersih Padi 2025'!D93="","",'1.1 Produksi Bersih Padi 2025'!D93)</f>
        <v/>
      </c>
      <c r="E93" s="1" t="str">
        <f>IF('1.1 Produksi Bersih Padi 2025'!E93="","",'1.1 Produksi Bersih Padi 2025'!E93)</f>
        <v/>
      </c>
      <c r="F93" s="28" t="str">
        <f>IF(D93="","",VLOOKUP(D93,'[1]0.1 Produksi Pangan &amp; Penduduk'!$D$5:$AE$860,28,0))</f>
        <v/>
      </c>
      <c r="G93" s="29" t="str">
        <f t="shared" si="5"/>
        <v/>
      </c>
      <c r="H93" s="29" t="str">
        <f t="shared" si="6"/>
        <v/>
      </c>
      <c r="I93" s="29" t="str">
        <f t="shared" si="7"/>
        <v/>
      </c>
      <c r="J93" s="29" t="str">
        <f t="shared" si="8"/>
        <v/>
      </c>
      <c r="K93" s="29" t="str">
        <f t="shared" si="9"/>
        <v/>
      </c>
    </row>
    <row r="94" spans="1:11" ht="15" x14ac:dyDescent="0.25">
      <c r="A94" s="1" t="str">
        <f>IF('1.1 Produksi Bersih Padi 2025'!A94="","",'1.1 Produksi Bersih Padi 2025'!A94)</f>
        <v/>
      </c>
      <c r="B94" s="31" t="str">
        <f>IF('1.1 Produksi Bersih Padi 2025'!B94="","",'1.1 Produksi Bersih Padi 2025'!B94)</f>
        <v/>
      </c>
      <c r="C94" s="31" t="str">
        <f>IF('1.1 Produksi Bersih Padi 2025'!C94="","",'1.1 Produksi Bersih Padi 2025'!C94)</f>
        <v/>
      </c>
      <c r="D94" s="1" t="str">
        <f>IF('1.1 Produksi Bersih Padi 2025'!D94="","",'1.1 Produksi Bersih Padi 2025'!D94)</f>
        <v/>
      </c>
      <c r="E94" s="1" t="str">
        <f>IF('1.1 Produksi Bersih Padi 2025'!E94="","",'1.1 Produksi Bersih Padi 2025'!E94)</f>
        <v/>
      </c>
      <c r="F94" s="28" t="str">
        <f>IF(D94="","",VLOOKUP(D94,'[1]0.1 Produksi Pangan &amp; Penduduk'!$D$5:$AE$860,28,0))</f>
        <v/>
      </c>
      <c r="G94" s="29" t="str">
        <f t="shared" si="5"/>
        <v/>
      </c>
      <c r="H94" s="29" t="str">
        <f t="shared" si="6"/>
        <v/>
      </c>
      <c r="I94" s="29" t="str">
        <f t="shared" si="7"/>
        <v/>
      </c>
      <c r="J94" s="29" t="str">
        <f t="shared" si="8"/>
        <v/>
      </c>
      <c r="K94" s="29" t="str">
        <f t="shared" si="9"/>
        <v/>
      </c>
    </row>
    <row r="95" spans="1:11" ht="15" x14ac:dyDescent="0.25">
      <c r="A95" s="1" t="str">
        <f>IF('1.1 Produksi Bersih Padi 2025'!A95="","",'1.1 Produksi Bersih Padi 2025'!A95)</f>
        <v/>
      </c>
      <c r="B95" s="31" t="str">
        <f>IF('1.1 Produksi Bersih Padi 2025'!B95="","",'1.1 Produksi Bersih Padi 2025'!B95)</f>
        <v/>
      </c>
      <c r="C95" s="31" t="str">
        <f>IF('1.1 Produksi Bersih Padi 2025'!C95="","",'1.1 Produksi Bersih Padi 2025'!C95)</f>
        <v/>
      </c>
      <c r="D95" s="1" t="str">
        <f>IF('1.1 Produksi Bersih Padi 2025'!D95="","",'1.1 Produksi Bersih Padi 2025'!D95)</f>
        <v/>
      </c>
      <c r="E95" s="1" t="str">
        <f>IF('1.1 Produksi Bersih Padi 2025'!E95="","",'1.1 Produksi Bersih Padi 2025'!E95)</f>
        <v/>
      </c>
      <c r="F95" s="28" t="str">
        <f>IF(D95="","",VLOOKUP(D95,'[1]0.1 Produksi Pangan &amp; Penduduk'!$D$5:$AE$860,28,0))</f>
        <v/>
      </c>
      <c r="G95" s="29" t="str">
        <f t="shared" si="5"/>
        <v/>
      </c>
      <c r="H95" s="29" t="str">
        <f t="shared" si="6"/>
        <v/>
      </c>
      <c r="I95" s="29" t="str">
        <f t="shared" si="7"/>
        <v/>
      </c>
      <c r="J95" s="29" t="str">
        <f t="shared" si="8"/>
        <v/>
      </c>
      <c r="K95" s="29" t="str">
        <f t="shared" si="9"/>
        <v/>
      </c>
    </row>
    <row r="96" spans="1:11" ht="15" x14ac:dyDescent="0.25">
      <c r="A96" s="1" t="str">
        <f>IF('1.1 Produksi Bersih Padi 2025'!A96="","",'1.1 Produksi Bersih Padi 2025'!A96)</f>
        <v/>
      </c>
      <c r="B96" s="31" t="str">
        <f>IF('1.1 Produksi Bersih Padi 2025'!B96="","",'1.1 Produksi Bersih Padi 2025'!B96)</f>
        <v/>
      </c>
      <c r="C96" s="31" t="str">
        <f>IF('1.1 Produksi Bersih Padi 2025'!C96="","",'1.1 Produksi Bersih Padi 2025'!C96)</f>
        <v/>
      </c>
      <c r="D96" s="1" t="str">
        <f>IF('1.1 Produksi Bersih Padi 2025'!D96="","",'1.1 Produksi Bersih Padi 2025'!D96)</f>
        <v/>
      </c>
      <c r="E96" s="1" t="str">
        <f>IF('1.1 Produksi Bersih Padi 2025'!E96="","",'1.1 Produksi Bersih Padi 2025'!E96)</f>
        <v/>
      </c>
      <c r="F96" s="28" t="str">
        <f>IF(D96="","",VLOOKUP(D96,'[1]0.1 Produksi Pangan &amp; Penduduk'!$D$5:$AE$860,28,0))</f>
        <v/>
      </c>
      <c r="G96" s="29" t="str">
        <f t="shared" si="5"/>
        <v/>
      </c>
      <c r="H96" s="29" t="str">
        <f t="shared" si="6"/>
        <v/>
      </c>
      <c r="I96" s="29" t="str">
        <f t="shared" si="7"/>
        <v/>
      </c>
      <c r="J96" s="29" t="str">
        <f t="shared" si="8"/>
        <v/>
      </c>
      <c r="K96" s="29" t="str">
        <f t="shared" si="9"/>
        <v/>
      </c>
    </row>
    <row r="97" spans="1:11" ht="15" x14ac:dyDescent="0.25">
      <c r="A97" s="1" t="str">
        <f>IF('1.1 Produksi Bersih Padi 2025'!A97="","",'1.1 Produksi Bersih Padi 2025'!A97)</f>
        <v/>
      </c>
      <c r="B97" s="31" t="str">
        <f>IF('1.1 Produksi Bersih Padi 2025'!B97="","",'1.1 Produksi Bersih Padi 2025'!B97)</f>
        <v/>
      </c>
      <c r="C97" s="31" t="str">
        <f>IF('1.1 Produksi Bersih Padi 2025'!C97="","",'1.1 Produksi Bersih Padi 2025'!C97)</f>
        <v/>
      </c>
      <c r="D97" s="1" t="str">
        <f>IF('1.1 Produksi Bersih Padi 2025'!D97="","",'1.1 Produksi Bersih Padi 2025'!D97)</f>
        <v/>
      </c>
      <c r="E97" s="1" t="str">
        <f>IF('1.1 Produksi Bersih Padi 2025'!E97="","",'1.1 Produksi Bersih Padi 2025'!E97)</f>
        <v/>
      </c>
      <c r="F97" s="28" t="str">
        <f>IF(D97="","",VLOOKUP(D97,'[1]0.1 Produksi Pangan &amp; Penduduk'!$D$5:$AE$860,28,0))</f>
        <v/>
      </c>
      <c r="G97" s="29" t="str">
        <f t="shared" si="5"/>
        <v/>
      </c>
      <c r="H97" s="29" t="str">
        <f t="shared" si="6"/>
        <v/>
      </c>
      <c r="I97" s="29" t="str">
        <f t="shared" si="7"/>
        <v/>
      </c>
      <c r="J97" s="29" t="str">
        <f t="shared" si="8"/>
        <v/>
      </c>
      <c r="K97" s="29" t="str">
        <f t="shared" si="9"/>
        <v/>
      </c>
    </row>
    <row r="98" spans="1:11" ht="15" x14ac:dyDescent="0.25">
      <c r="A98" s="1" t="str">
        <f>IF('1.1 Produksi Bersih Padi 2025'!A98="","",'1.1 Produksi Bersih Padi 2025'!A98)</f>
        <v/>
      </c>
      <c r="B98" s="31" t="str">
        <f>IF('1.1 Produksi Bersih Padi 2025'!B98="","",'1.1 Produksi Bersih Padi 2025'!B98)</f>
        <v/>
      </c>
      <c r="C98" s="31" t="str">
        <f>IF('1.1 Produksi Bersih Padi 2025'!C98="","",'1.1 Produksi Bersih Padi 2025'!C98)</f>
        <v/>
      </c>
      <c r="D98" s="1" t="str">
        <f>IF('1.1 Produksi Bersih Padi 2025'!D98="","",'1.1 Produksi Bersih Padi 2025'!D98)</f>
        <v/>
      </c>
      <c r="E98" s="1" t="str">
        <f>IF('1.1 Produksi Bersih Padi 2025'!E98="","",'1.1 Produksi Bersih Padi 2025'!E98)</f>
        <v/>
      </c>
      <c r="F98" s="28" t="str">
        <f>IF(D98="","",VLOOKUP(D98,'[1]0.1 Produksi Pangan &amp; Penduduk'!$D$5:$AE$860,28,0))</f>
        <v/>
      </c>
      <c r="G98" s="29" t="str">
        <f t="shared" si="5"/>
        <v/>
      </c>
      <c r="H98" s="29" t="str">
        <f t="shared" si="6"/>
        <v/>
      </c>
      <c r="I98" s="29" t="str">
        <f t="shared" si="7"/>
        <v/>
      </c>
      <c r="J98" s="29" t="str">
        <f t="shared" si="8"/>
        <v/>
      </c>
      <c r="K98" s="29" t="str">
        <f t="shared" si="9"/>
        <v/>
      </c>
    </row>
    <row r="99" spans="1:11" ht="15" x14ac:dyDescent="0.25">
      <c r="A99" s="1" t="str">
        <f>IF('1.1 Produksi Bersih Padi 2025'!A99="","",'1.1 Produksi Bersih Padi 2025'!A99)</f>
        <v/>
      </c>
      <c r="B99" s="31" t="str">
        <f>IF('1.1 Produksi Bersih Padi 2025'!B99="","",'1.1 Produksi Bersih Padi 2025'!B99)</f>
        <v/>
      </c>
      <c r="C99" s="31" t="str">
        <f>IF('1.1 Produksi Bersih Padi 2025'!C99="","",'1.1 Produksi Bersih Padi 2025'!C99)</f>
        <v/>
      </c>
      <c r="D99" s="1" t="str">
        <f>IF('1.1 Produksi Bersih Padi 2025'!D99="","",'1.1 Produksi Bersih Padi 2025'!D99)</f>
        <v/>
      </c>
      <c r="E99" s="1" t="str">
        <f>IF('1.1 Produksi Bersih Padi 2025'!E99="","",'1.1 Produksi Bersih Padi 2025'!E99)</f>
        <v/>
      </c>
      <c r="F99" s="28" t="str">
        <f>IF(D99="","",VLOOKUP(D99,'[1]0.1 Produksi Pangan &amp; Penduduk'!$D$5:$AE$860,28,0))</f>
        <v/>
      </c>
      <c r="G99" s="29" t="str">
        <f t="shared" si="5"/>
        <v/>
      </c>
      <c r="H99" s="29" t="str">
        <f t="shared" si="6"/>
        <v/>
      </c>
      <c r="I99" s="29" t="str">
        <f t="shared" si="7"/>
        <v/>
      </c>
      <c r="J99" s="29" t="str">
        <f t="shared" si="8"/>
        <v/>
      </c>
      <c r="K99" s="29" t="str">
        <f t="shared" si="9"/>
        <v/>
      </c>
    </row>
    <row r="100" spans="1:11" ht="15" x14ac:dyDescent="0.25">
      <c r="A100" s="1" t="str">
        <f>IF('1.1 Produksi Bersih Padi 2025'!A100="","",'1.1 Produksi Bersih Padi 2025'!A100)</f>
        <v/>
      </c>
      <c r="B100" s="31" t="str">
        <f>IF('1.1 Produksi Bersih Padi 2025'!B100="","",'1.1 Produksi Bersih Padi 2025'!B100)</f>
        <v/>
      </c>
      <c r="C100" s="31" t="str">
        <f>IF('1.1 Produksi Bersih Padi 2025'!C100="","",'1.1 Produksi Bersih Padi 2025'!C100)</f>
        <v/>
      </c>
      <c r="D100" s="1" t="str">
        <f>IF('1.1 Produksi Bersih Padi 2025'!D100="","",'1.1 Produksi Bersih Padi 2025'!D100)</f>
        <v/>
      </c>
      <c r="E100" s="1" t="str">
        <f>IF('1.1 Produksi Bersih Padi 2025'!E100="","",'1.1 Produksi Bersih Padi 2025'!E100)</f>
        <v/>
      </c>
      <c r="F100" s="28" t="str">
        <f>IF(D100="","",VLOOKUP(D100,'[1]0.1 Produksi Pangan &amp; Penduduk'!$D$5:$AE$860,28,0))</f>
        <v/>
      </c>
      <c r="G100" s="29" t="str">
        <f t="shared" si="5"/>
        <v/>
      </c>
      <c r="H100" s="29" t="str">
        <f t="shared" si="6"/>
        <v/>
      </c>
      <c r="I100" s="29" t="str">
        <f t="shared" si="7"/>
        <v/>
      </c>
      <c r="J100" s="29" t="str">
        <f t="shared" si="8"/>
        <v/>
      </c>
      <c r="K100" s="29" t="str">
        <f t="shared" si="9"/>
        <v/>
      </c>
    </row>
    <row r="101" spans="1:11" ht="15" x14ac:dyDescent="0.25">
      <c r="A101" s="1" t="str">
        <f>IF('1.1 Produksi Bersih Padi 2025'!A101="","",'1.1 Produksi Bersih Padi 2025'!A101)</f>
        <v/>
      </c>
      <c r="B101" s="31" t="str">
        <f>IF('1.1 Produksi Bersih Padi 2025'!B101="","",'1.1 Produksi Bersih Padi 2025'!B101)</f>
        <v/>
      </c>
      <c r="C101" s="31" t="str">
        <f>IF('1.1 Produksi Bersih Padi 2025'!C101="","",'1.1 Produksi Bersih Padi 2025'!C101)</f>
        <v/>
      </c>
      <c r="D101" s="1" t="str">
        <f>IF('1.1 Produksi Bersih Padi 2025'!D101="","",'1.1 Produksi Bersih Padi 2025'!D101)</f>
        <v/>
      </c>
      <c r="E101" s="1" t="str">
        <f>IF('1.1 Produksi Bersih Padi 2025'!E101="","",'1.1 Produksi Bersih Padi 2025'!E101)</f>
        <v/>
      </c>
      <c r="F101" s="28" t="str">
        <f>IF(D101="","",VLOOKUP(D101,'[1]0.1 Produksi Pangan &amp; Penduduk'!$D$5:$AE$860,28,0))</f>
        <v/>
      </c>
      <c r="G101" s="29" t="str">
        <f t="shared" si="5"/>
        <v/>
      </c>
      <c r="H101" s="29" t="str">
        <f t="shared" si="6"/>
        <v/>
      </c>
      <c r="I101" s="29" t="str">
        <f t="shared" si="7"/>
        <v/>
      </c>
      <c r="J101" s="29" t="str">
        <f t="shared" si="8"/>
        <v/>
      </c>
      <c r="K101" s="29" t="str">
        <f t="shared" si="9"/>
        <v/>
      </c>
    </row>
    <row r="102" spans="1:11" ht="15" x14ac:dyDescent="0.25">
      <c r="A102" s="1" t="str">
        <f>IF('1.1 Produksi Bersih Padi 2025'!A102="","",'1.1 Produksi Bersih Padi 2025'!A102)</f>
        <v/>
      </c>
      <c r="B102" s="31" t="str">
        <f>IF('1.1 Produksi Bersih Padi 2025'!B102="","",'1.1 Produksi Bersih Padi 2025'!B102)</f>
        <v/>
      </c>
      <c r="C102" s="31" t="str">
        <f>IF('1.1 Produksi Bersih Padi 2025'!C102="","",'1.1 Produksi Bersih Padi 2025'!C102)</f>
        <v/>
      </c>
      <c r="D102" s="1" t="str">
        <f>IF('1.1 Produksi Bersih Padi 2025'!D102="","",'1.1 Produksi Bersih Padi 2025'!D102)</f>
        <v/>
      </c>
      <c r="E102" s="1" t="str">
        <f>IF('1.1 Produksi Bersih Padi 2025'!E102="","",'1.1 Produksi Bersih Padi 2025'!E102)</f>
        <v/>
      </c>
      <c r="F102" s="28" t="str">
        <f>IF(D102="","",VLOOKUP(D102,'[1]0.1 Produksi Pangan &amp; Penduduk'!$D$5:$AE$860,28,0))</f>
        <v/>
      </c>
      <c r="G102" s="29" t="str">
        <f t="shared" si="5"/>
        <v/>
      </c>
      <c r="H102" s="29" t="str">
        <f t="shared" si="6"/>
        <v/>
      </c>
      <c r="I102" s="29" t="str">
        <f t="shared" si="7"/>
        <v/>
      </c>
      <c r="J102" s="29" t="str">
        <f t="shared" si="8"/>
        <v/>
      </c>
      <c r="K102" s="29" t="str">
        <f t="shared" si="9"/>
        <v/>
      </c>
    </row>
    <row r="103" spans="1:11" ht="15" x14ac:dyDescent="0.25">
      <c r="A103" s="1" t="str">
        <f>IF('1.1 Produksi Bersih Padi 2025'!A103="","",'1.1 Produksi Bersih Padi 2025'!A103)</f>
        <v/>
      </c>
      <c r="B103" s="31" t="str">
        <f>IF('1.1 Produksi Bersih Padi 2025'!B103="","",'1.1 Produksi Bersih Padi 2025'!B103)</f>
        <v/>
      </c>
      <c r="C103" s="31" t="str">
        <f>IF('1.1 Produksi Bersih Padi 2025'!C103="","",'1.1 Produksi Bersih Padi 2025'!C103)</f>
        <v/>
      </c>
      <c r="D103" s="1" t="str">
        <f>IF('1.1 Produksi Bersih Padi 2025'!D103="","",'1.1 Produksi Bersih Padi 2025'!D103)</f>
        <v/>
      </c>
      <c r="E103" s="1" t="str">
        <f>IF('1.1 Produksi Bersih Padi 2025'!E103="","",'1.1 Produksi Bersih Padi 2025'!E103)</f>
        <v/>
      </c>
      <c r="F103" s="28" t="str">
        <f>IF(D103="","",VLOOKUP(D103,'[1]0.1 Produksi Pangan &amp; Penduduk'!$D$5:$AE$860,28,0))</f>
        <v/>
      </c>
      <c r="G103" s="29" t="str">
        <f t="shared" si="5"/>
        <v/>
      </c>
      <c r="H103" s="29" t="str">
        <f t="shared" si="6"/>
        <v/>
      </c>
      <c r="I103" s="29" t="str">
        <f t="shared" si="7"/>
        <v/>
      </c>
      <c r="J103" s="29" t="str">
        <f t="shared" si="8"/>
        <v/>
      </c>
      <c r="K103" s="29" t="str">
        <f t="shared" si="9"/>
        <v/>
      </c>
    </row>
    <row r="104" spans="1:11" ht="15" x14ac:dyDescent="0.25">
      <c r="A104" s="1" t="str">
        <f>IF('1.1 Produksi Bersih Padi 2025'!A104="","",'1.1 Produksi Bersih Padi 2025'!A104)</f>
        <v/>
      </c>
      <c r="B104" s="31" t="str">
        <f>IF('1.1 Produksi Bersih Padi 2025'!B104="","",'1.1 Produksi Bersih Padi 2025'!B104)</f>
        <v/>
      </c>
      <c r="C104" s="31" t="str">
        <f>IF('1.1 Produksi Bersih Padi 2025'!C104="","",'1.1 Produksi Bersih Padi 2025'!C104)</f>
        <v/>
      </c>
      <c r="D104" s="1" t="str">
        <f>IF('1.1 Produksi Bersih Padi 2025'!D104="","",'1.1 Produksi Bersih Padi 2025'!D104)</f>
        <v/>
      </c>
      <c r="E104" s="1" t="str">
        <f>IF('1.1 Produksi Bersih Padi 2025'!E104="","",'1.1 Produksi Bersih Padi 2025'!E104)</f>
        <v/>
      </c>
      <c r="F104" s="28" t="str">
        <f>IF(D104="","",VLOOKUP(D104,'[1]0.1 Produksi Pangan &amp; Penduduk'!$D$5:$AE$860,28,0))</f>
        <v/>
      </c>
      <c r="G104" s="29" t="str">
        <f t="shared" si="5"/>
        <v/>
      </c>
      <c r="H104" s="29" t="str">
        <f t="shared" si="6"/>
        <v/>
      </c>
      <c r="I104" s="29" t="str">
        <f t="shared" si="7"/>
        <v/>
      </c>
      <c r="J104" s="29" t="str">
        <f t="shared" si="8"/>
        <v/>
      </c>
      <c r="K104" s="29" t="str">
        <f t="shared" si="9"/>
        <v/>
      </c>
    </row>
    <row r="105" spans="1:11" ht="15" x14ac:dyDescent="0.25">
      <c r="A105" s="1" t="str">
        <f>IF('1.1 Produksi Bersih Padi 2025'!A105="","",'1.1 Produksi Bersih Padi 2025'!A105)</f>
        <v/>
      </c>
      <c r="B105" s="31" t="str">
        <f>IF('1.1 Produksi Bersih Padi 2025'!B105="","",'1.1 Produksi Bersih Padi 2025'!B105)</f>
        <v/>
      </c>
      <c r="C105" s="31" t="str">
        <f>IF('1.1 Produksi Bersih Padi 2025'!C105="","",'1.1 Produksi Bersih Padi 2025'!C105)</f>
        <v/>
      </c>
      <c r="D105" s="1" t="str">
        <f>IF('1.1 Produksi Bersih Padi 2025'!D105="","",'1.1 Produksi Bersih Padi 2025'!D105)</f>
        <v/>
      </c>
      <c r="E105" s="1" t="str">
        <f>IF('1.1 Produksi Bersih Padi 2025'!E105="","",'1.1 Produksi Bersih Padi 2025'!E105)</f>
        <v/>
      </c>
      <c r="F105" s="28" t="str">
        <f>IF(D105="","",VLOOKUP(D105,'[1]0.1 Produksi Pangan &amp; Penduduk'!$D$5:$AE$860,28,0))</f>
        <v/>
      </c>
      <c r="G105" s="29" t="str">
        <f t="shared" si="5"/>
        <v/>
      </c>
      <c r="H105" s="29" t="str">
        <f t="shared" si="6"/>
        <v/>
      </c>
      <c r="I105" s="29" t="str">
        <f t="shared" si="7"/>
        <v/>
      </c>
      <c r="J105" s="29" t="str">
        <f t="shared" si="8"/>
        <v/>
      </c>
      <c r="K105" s="29" t="str">
        <f t="shared" si="9"/>
        <v/>
      </c>
    </row>
    <row r="106" spans="1:11" ht="15" x14ac:dyDescent="0.25">
      <c r="A106" s="1" t="str">
        <f>IF('1.1 Produksi Bersih Padi 2025'!A106="","",'1.1 Produksi Bersih Padi 2025'!A106)</f>
        <v/>
      </c>
      <c r="B106" s="31" t="str">
        <f>IF('1.1 Produksi Bersih Padi 2025'!B106="","",'1.1 Produksi Bersih Padi 2025'!B106)</f>
        <v/>
      </c>
      <c r="C106" s="31" t="str">
        <f>IF('1.1 Produksi Bersih Padi 2025'!C106="","",'1.1 Produksi Bersih Padi 2025'!C106)</f>
        <v/>
      </c>
      <c r="D106" s="1" t="str">
        <f>IF('1.1 Produksi Bersih Padi 2025'!D106="","",'1.1 Produksi Bersih Padi 2025'!D106)</f>
        <v/>
      </c>
      <c r="E106" s="1" t="str">
        <f>IF('1.1 Produksi Bersih Padi 2025'!E106="","",'1.1 Produksi Bersih Padi 2025'!E106)</f>
        <v/>
      </c>
      <c r="F106" s="28" t="str">
        <f>IF(D106="","",VLOOKUP(D106,'[1]0.1 Produksi Pangan &amp; Penduduk'!$D$5:$AE$860,28,0))</f>
        <v/>
      </c>
      <c r="G106" s="29" t="str">
        <f t="shared" si="5"/>
        <v/>
      </c>
      <c r="H106" s="29" t="str">
        <f t="shared" si="6"/>
        <v/>
      </c>
      <c r="I106" s="29" t="str">
        <f t="shared" si="7"/>
        <v/>
      </c>
      <c r="J106" s="29" t="str">
        <f t="shared" si="8"/>
        <v/>
      </c>
      <c r="K106" s="29" t="str">
        <f t="shared" si="9"/>
        <v/>
      </c>
    </row>
    <row r="107" spans="1:11" ht="15" x14ac:dyDescent="0.25">
      <c r="A107" s="1" t="str">
        <f>IF('1.1 Produksi Bersih Padi 2025'!A107="","",'1.1 Produksi Bersih Padi 2025'!A107)</f>
        <v/>
      </c>
      <c r="B107" s="31" t="str">
        <f>IF('1.1 Produksi Bersih Padi 2025'!B107="","",'1.1 Produksi Bersih Padi 2025'!B107)</f>
        <v/>
      </c>
      <c r="C107" s="31" t="str">
        <f>IF('1.1 Produksi Bersih Padi 2025'!C107="","",'1.1 Produksi Bersih Padi 2025'!C107)</f>
        <v/>
      </c>
      <c r="D107" s="1" t="str">
        <f>IF('1.1 Produksi Bersih Padi 2025'!D107="","",'1.1 Produksi Bersih Padi 2025'!D107)</f>
        <v/>
      </c>
      <c r="E107" s="1" t="str">
        <f>IF('1.1 Produksi Bersih Padi 2025'!E107="","",'1.1 Produksi Bersih Padi 2025'!E107)</f>
        <v/>
      </c>
      <c r="F107" s="28" t="str">
        <f>IF(D107="","",VLOOKUP(D107,'[1]0.1 Produksi Pangan &amp; Penduduk'!$D$5:$AE$860,28,0))</f>
        <v/>
      </c>
      <c r="G107" s="29" t="str">
        <f t="shared" si="5"/>
        <v/>
      </c>
      <c r="H107" s="29" t="str">
        <f t="shared" si="6"/>
        <v/>
      </c>
      <c r="I107" s="29" t="str">
        <f t="shared" si="7"/>
        <v/>
      </c>
      <c r="J107" s="29" t="str">
        <f t="shared" si="8"/>
        <v/>
      </c>
      <c r="K107" s="29" t="str">
        <f t="shared" si="9"/>
        <v/>
      </c>
    </row>
    <row r="108" spans="1:11" ht="15" x14ac:dyDescent="0.25">
      <c r="A108" s="1" t="str">
        <f>IF('1.1 Produksi Bersih Padi 2025'!A108="","",'1.1 Produksi Bersih Padi 2025'!A108)</f>
        <v/>
      </c>
      <c r="B108" s="31" t="str">
        <f>IF('1.1 Produksi Bersih Padi 2025'!B108="","",'1.1 Produksi Bersih Padi 2025'!B108)</f>
        <v/>
      </c>
      <c r="C108" s="31" t="str">
        <f>IF('1.1 Produksi Bersih Padi 2025'!C108="","",'1.1 Produksi Bersih Padi 2025'!C108)</f>
        <v/>
      </c>
      <c r="D108" s="1" t="str">
        <f>IF('1.1 Produksi Bersih Padi 2025'!D108="","",'1.1 Produksi Bersih Padi 2025'!D108)</f>
        <v/>
      </c>
      <c r="E108" s="1" t="str">
        <f>IF('1.1 Produksi Bersih Padi 2025'!E108="","",'1.1 Produksi Bersih Padi 2025'!E108)</f>
        <v/>
      </c>
      <c r="F108" s="28" t="str">
        <f>IF(D108="","",VLOOKUP(D108,'[1]0.1 Produksi Pangan &amp; Penduduk'!$D$5:$AE$860,28,0))</f>
        <v/>
      </c>
      <c r="G108" s="29" t="str">
        <f t="shared" si="5"/>
        <v/>
      </c>
      <c r="H108" s="29" t="str">
        <f t="shared" si="6"/>
        <v/>
      </c>
      <c r="I108" s="29" t="str">
        <f t="shared" si="7"/>
        <v/>
      </c>
      <c r="J108" s="29" t="str">
        <f t="shared" si="8"/>
        <v/>
      </c>
      <c r="K108" s="29" t="str">
        <f t="shared" si="9"/>
        <v/>
      </c>
    </row>
    <row r="109" spans="1:11" ht="15" x14ac:dyDescent="0.25">
      <c r="A109" s="1" t="str">
        <f>IF('1.1 Produksi Bersih Padi 2025'!A109="","",'1.1 Produksi Bersih Padi 2025'!A109)</f>
        <v/>
      </c>
      <c r="B109" s="31" t="str">
        <f>IF('1.1 Produksi Bersih Padi 2025'!B109="","",'1.1 Produksi Bersih Padi 2025'!B109)</f>
        <v/>
      </c>
      <c r="C109" s="31" t="str">
        <f>IF('1.1 Produksi Bersih Padi 2025'!C109="","",'1.1 Produksi Bersih Padi 2025'!C109)</f>
        <v/>
      </c>
      <c r="D109" s="1" t="str">
        <f>IF('1.1 Produksi Bersih Padi 2025'!D109="","",'1.1 Produksi Bersih Padi 2025'!D109)</f>
        <v/>
      </c>
      <c r="E109" s="1" t="str">
        <f>IF('1.1 Produksi Bersih Padi 2025'!E109="","",'1.1 Produksi Bersih Padi 2025'!E109)</f>
        <v/>
      </c>
      <c r="F109" s="28" t="str">
        <f>IF(D109="","",VLOOKUP(D109,'[1]0.1 Produksi Pangan &amp; Penduduk'!$D$5:$AE$860,28,0))</f>
        <v/>
      </c>
      <c r="G109" s="29" t="str">
        <f t="shared" si="5"/>
        <v/>
      </c>
      <c r="H109" s="29" t="str">
        <f t="shared" si="6"/>
        <v/>
      </c>
      <c r="I109" s="29" t="str">
        <f t="shared" si="7"/>
        <v/>
      </c>
      <c r="J109" s="29" t="str">
        <f t="shared" si="8"/>
        <v/>
      </c>
      <c r="K109" s="29" t="str">
        <f t="shared" si="9"/>
        <v/>
      </c>
    </row>
    <row r="110" spans="1:11" ht="15" x14ac:dyDescent="0.25">
      <c r="A110" s="1" t="str">
        <f>IF('1.1 Produksi Bersih Padi 2025'!A110="","",'1.1 Produksi Bersih Padi 2025'!A110)</f>
        <v/>
      </c>
      <c r="B110" s="31" t="str">
        <f>IF('1.1 Produksi Bersih Padi 2025'!B110="","",'1.1 Produksi Bersih Padi 2025'!B110)</f>
        <v/>
      </c>
      <c r="C110" s="31" t="str">
        <f>IF('1.1 Produksi Bersih Padi 2025'!C110="","",'1.1 Produksi Bersih Padi 2025'!C110)</f>
        <v/>
      </c>
      <c r="D110" s="1" t="str">
        <f>IF('1.1 Produksi Bersih Padi 2025'!D110="","",'1.1 Produksi Bersih Padi 2025'!D110)</f>
        <v/>
      </c>
      <c r="E110" s="1" t="str">
        <f>IF('1.1 Produksi Bersih Padi 2025'!E110="","",'1.1 Produksi Bersih Padi 2025'!E110)</f>
        <v/>
      </c>
      <c r="F110" s="28" t="str">
        <f>IF(D110="","",VLOOKUP(D110,'[1]0.1 Produksi Pangan &amp; Penduduk'!$D$5:$AE$860,28,0))</f>
        <v/>
      </c>
      <c r="G110" s="29" t="str">
        <f t="shared" si="5"/>
        <v/>
      </c>
      <c r="H110" s="29" t="str">
        <f t="shared" si="6"/>
        <v/>
      </c>
      <c r="I110" s="29" t="str">
        <f t="shared" si="7"/>
        <v/>
      </c>
      <c r="J110" s="29" t="str">
        <f t="shared" si="8"/>
        <v/>
      </c>
      <c r="K110" s="29" t="str">
        <f t="shared" si="9"/>
        <v/>
      </c>
    </row>
    <row r="111" spans="1:11" ht="15" x14ac:dyDescent="0.25">
      <c r="A111" s="1" t="str">
        <f>IF('1.1 Produksi Bersih Padi 2025'!A111="","",'1.1 Produksi Bersih Padi 2025'!A111)</f>
        <v/>
      </c>
      <c r="B111" s="31" t="str">
        <f>IF('1.1 Produksi Bersih Padi 2025'!B111="","",'1.1 Produksi Bersih Padi 2025'!B111)</f>
        <v/>
      </c>
      <c r="C111" s="31" t="str">
        <f>IF('1.1 Produksi Bersih Padi 2025'!C111="","",'1.1 Produksi Bersih Padi 2025'!C111)</f>
        <v/>
      </c>
      <c r="D111" s="1" t="str">
        <f>IF('1.1 Produksi Bersih Padi 2025'!D111="","",'1.1 Produksi Bersih Padi 2025'!D111)</f>
        <v/>
      </c>
      <c r="E111" s="1" t="str">
        <f>IF('1.1 Produksi Bersih Padi 2025'!E111="","",'1.1 Produksi Bersih Padi 2025'!E111)</f>
        <v/>
      </c>
      <c r="F111" s="28" t="str">
        <f>IF(D111="","",VLOOKUP(D111,'[1]0.1 Produksi Pangan &amp; Penduduk'!$D$5:$AE$860,28,0))</f>
        <v/>
      </c>
      <c r="G111" s="29" t="str">
        <f t="shared" si="5"/>
        <v/>
      </c>
      <c r="H111" s="29" t="str">
        <f t="shared" si="6"/>
        <v/>
      </c>
      <c r="I111" s="29" t="str">
        <f t="shared" si="7"/>
        <v/>
      </c>
      <c r="J111" s="29" t="str">
        <f t="shared" si="8"/>
        <v/>
      </c>
      <c r="K111" s="29" t="str">
        <f t="shared" si="9"/>
        <v/>
      </c>
    </row>
    <row r="112" spans="1:11" ht="15" x14ac:dyDescent="0.25">
      <c r="A112" s="1" t="str">
        <f>IF('1.1 Produksi Bersih Padi 2025'!A112="","",'1.1 Produksi Bersih Padi 2025'!A112)</f>
        <v/>
      </c>
      <c r="B112" s="31" t="str">
        <f>IF('1.1 Produksi Bersih Padi 2025'!B112="","",'1.1 Produksi Bersih Padi 2025'!B112)</f>
        <v/>
      </c>
      <c r="C112" s="31" t="str">
        <f>IF('1.1 Produksi Bersih Padi 2025'!C112="","",'1.1 Produksi Bersih Padi 2025'!C112)</f>
        <v/>
      </c>
      <c r="D112" s="1" t="str">
        <f>IF('1.1 Produksi Bersih Padi 2025'!D112="","",'1.1 Produksi Bersih Padi 2025'!D112)</f>
        <v/>
      </c>
      <c r="E112" s="1" t="str">
        <f>IF('1.1 Produksi Bersih Padi 2025'!E112="","",'1.1 Produksi Bersih Padi 2025'!E112)</f>
        <v/>
      </c>
      <c r="F112" s="28" t="str">
        <f>IF(D112="","",VLOOKUP(D112,'[1]0.1 Produksi Pangan &amp; Penduduk'!$D$5:$AE$860,28,0))</f>
        <v/>
      </c>
      <c r="G112" s="29" t="str">
        <f t="shared" si="5"/>
        <v/>
      </c>
      <c r="H112" s="29" t="str">
        <f t="shared" si="6"/>
        <v/>
      </c>
      <c r="I112" s="29" t="str">
        <f t="shared" si="7"/>
        <v/>
      </c>
      <c r="J112" s="29" t="str">
        <f t="shared" si="8"/>
        <v/>
      </c>
      <c r="K112" s="29" t="str">
        <f t="shared" si="9"/>
        <v/>
      </c>
    </row>
    <row r="113" spans="1:11" ht="15" x14ac:dyDescent="0.25">
      <c r="A113" s="1" t="str">
        <f>IF('1.1 Produksi Bersih Padi 2025'!A113="","",'1.1 Produksi Bersih Padi 2025'!A113)</f>
        <v/>
      </c>
      <c r="B113" s="31" t="str">
        <f>IF('1.1 Produksi Bersih Padi 2025'!B113="","",'1.1 Produksi Bersih Padi 2025'!B113)</f>
        <v/>
      </c>
      <c r="C113" s="31" t="str">
        <f>IF('1.1 Produksi Bersih Padi 2025'!C113="","",'1.1 Produksi Bersih Padi 2025'!C113)</f>
        <v/>
      </c>
      <c r="D113" s="1" t="str">
        <f>IF('1.1 Produksi Bersih Padi 2025'!D113="","",'1.1 Produksi Bersih Padi 2025'!D113)</f>
        <v/>
      </c>
      <c r="E113" s="1" t="str">
        <f>IF('1.1 Produksi Bersih Padi 2025'!E113="","",'1.1 Produksi Bersih Padi 2025'!E113)</f>
        <v/>
      </c>
      <c r="F113" s="28" t="str">
        <f>IF(D113="","",VLOOKUP(D113,'[1]0.1 Produksi Pangan &amp; Penduduk'!$D$5:$AE$860,28,0))</f>
        <v/>
      </c>
      <c r="G113" s="29" t="str">
        <f t="shared" si="5"/>
        <v/>
      </c>
      <c r="H113" s="29" t="str">
        <f t="shared" si="6"/>
        <v/>
      </c>
      <c r="I113" s="29" t="str">
        <f t="shared" si="7"/>
        <v/>
      </c>
      <c r="J113" s="29" t="str">
        <f t="shared" si="8"/>
        <v/>
      </c>
      <c r="K113" s="29" t="str">
        <f t="shared" si="9"/>
        <v/>
      </c>
    </row>
    <row r="114" spans="1:11" ht="15" x14ac:dyDescent="0.25">
      <c r="A114" s="1" t="str">
        <f>IF('1.1 Produksi Bersih Padi 2025'!A114="","",'1.1 Produksi Bersih Padi 2025'!A114)</f>
        <v/>
      </c>
      <c r="B114" s="31" t="str">
        <f>IF('1.1 Produksi Bersih Padi 2025'!B114="","",'1.1 Produksi Bersih Padi 2025'!B114)</f>
        <v/>
      </c>
      <c r="C114" s="31" t="str">
        <f>IF('1.1 Produksi Bersih Padi 2025'!C114="","",'1.1 Produksi Bersih Padi 2025'!C114)</f>
        <v/>
      </c>
      <c r="D114" s="1" t="str">
        <f>IF('1.1 Produksi Bersih Padi 2025'!D114="","",'1.1 Produksi Bersih Padi 2025'!D114)</f>
        <v/>
      </c>
      <c r="E114" s="1" t="str">
        <f>IF('1.1 Produksi Bersih Padi 2025'!E114="","",'1.1 Produksi Bersih Padi 2025'!E114)</f>
        <v/>
      </c>
      <c r="F114" s="28" t="str">
        <f>IF(D114="","",VLOOKUP(D114,'[1]0.1 Produksi Pangan &amp; Penduduk'!$D$5:$AE$860,28,0))</f>
        <v/>
      </c>
      <c r="G114" s="29" t="str">
        <f t="shared" si="5"/>
        <v/>
      </c>
      <c r="H114" s="29" t="str">
        <f t="shared" si="6"/>
        <v/>
      </c>
      <c r="I114" s="29" t="str">
        <f t="shared" si="7"/>
        <v/>
      </c>
      <c r="J114" s="29" t="str">
        <f t="shared" si="8"/>
        <v/>
      </c>
      <c r="K114" s="29" t="str">
        <f t="shared" si="9"/>
        <v/>
      </c>
    </row>
    <row r="115" spans="1:11" ht="15" x14ac:dyDescent="0.25">
      <c r="A115" s="1" t="str">
        <f>IF('1.1 Produksi Bersih Padi 2025'!A115="","",'1.1 Produksi Bersih Padi 2025'!A115)</f>
        <v/>
      </c>
      <c r="B115" s="31" t="str">
        <f>IF('1.1 Produksi Bersih Padi 2025'!B115="","",'1.1 Produksi Bersih Padi 2025'!B115)</f>
        <v/>
      </c>
      <c r="C115" s="31" t="str">
        <f>IF('1.1 Produksi Bersih Padi 2025'!C115="","",'1.1 Produksi Bersih Padi 2025'!C115)</f>
        <v/>
      </c>
      <c r="D115" s="1" t="str">
        <f>IF('1.1 Produksi Bersih Padi 2025'!D115="","",'1.1 Produksi Bersih Padi 2025'!D115)</f>
        <v/>
      </c>
      <c r="E115" s="1" t="str">
        <f>IF('1.1 Produksi Bersih Padi 2025'!E115="","",'1.1 Produksi Bersih Padi 2025'!E115)</f>
        <v/>
      </c>
      <c r="F115" s="28" t="str">
        <f>IF(D115="","",VLOOKUP(D115,'[1]0.1 Produksi Pangan &amp; Penduduk'!$D$5:$AE$860,28,0))</f>
        <v/>
      </c>
      <c r="G115" s="29" t="str">
        <f t="shared" si="5"/>
        <v/>
      </c>
      <c r="H115" s="29" t="str">
        <f t="shared" si="6"/>
        <v/>
      </c>
      <c r="I115" s="29" t="str">
        <f t="shared" si="7"/>
        <v/>
      </c>
      <c r="J115" s="29" t="str">
        <f t="shared" si="8"/>
        <v/>
      </c>
      <c r="K115" s="29" t="str">
        <f t="shared" si="9"/>
        <v/>
      </c>
    </row>
    <row r="116" spans="1:11" ht="15" x14ac:dyDescent="0.25">
      <c r="A116" s="1" t="str">
        <f>IF('1.1 Produksi Bersih Padi 2025'!A116="","",'1.1 Produksi Bersih Padi 2025'!A116)</f>
        <v/>
      </c>
      <c r="B116" s="31" t="str">
        <f>IF('1.1 Produksi Bersih Padi 2025'!B116="","",'1.1 Produksi Bersih Padi 2025'!B116)</f>
        <v/>
      </c>
      <c r="C116" s="31" t="str">
        <f>IF('1.1 Produksi Bersih Padi 2025'!C116="","",'1.1 Produksi Bersih Padi 2025'!C116)</f>
        <v/>
      </c>
      <c r="D116" s="1" t="str">
        <f>IF('1.1 Produksi Bersih Padi 2025'!D116="","",'1.1 Produksi Bersih Padi 2025'!D116)</f>
        <v/>
      </c>
      <c r="E116" s="1" t="str">
        <f>IF('1.1 Produksi Bersih Padi 2025'!E116="","",'1.1 Produksi Bersih Padi 2025'!E116)</f>
        <v/>
      </c>
      <c r="F116" s="28" t="str">
        <f>IF(D116="","",VLOOKUP(D116,'[1]0.1 Produksi Pangan &amp; Penduduk'!$D$5:$AE$860,28,0))</f>
        <v/>
      </c>
      <c r="G116" s="29" t="str">
        <f t="shared" si="5"/>
        <v/>
      </c>
      <c r="H116" s="29" t="str">
        <f t="shared" si="6"/>
        <v/>
      </c>
      <c r="I116" s="29" t="str">
        <f t="shared" si="7"/>
        <v/>
      </c>
      <c r="J116" s="29" t="str">
        <f t="shared" si="8"/>
        <v/>
      </c>
      <c r="K116" s="29" t="str">
        <f t="shared" si="9"/>
        <v/>
      </c>
    </row>
    <row r="117" spans="1:11" ht="15" x14ac:dyDescent="0.25">
      <c r="A117" s="1" t="str">
        <f>IF('1.1 Produksi Bersih Padi 2025'!A117="","",'1.1 Produksi Bersih Padi 2025'!A117)</f>
        <v/>
      </c>
      <c r="B117" s="31" t="str">
        <f>IF('1.1 Produksi Bersih Padi 2025'!B117="","",'1.1 Produksi Bersih Padi 2025'!B117)</f>
        <v/>
      </c>
      <c r="C117" s="31" t="str">
        <f>IF('1.1 Produksi Bersih Padi 2025'!C117="","",'1.1 Produksi Bersih Padi 2025'!C117)</f>
        <v/>
      </c>
      <c r="D117" s="1" t="str">
        <f>IF('1.1 Produksi Bersih Padi 2025'!D117="","",'1.1 Produksi Bersih Padi 2025'!D117)</f>
        <v/>
      </c>
      <c r="E117" s="1" t="str">
        <f>IF('1.1 Produksi Bersih Padi 2025'!E117="","",'1.1 Produksi Bersih Padi 2025'!E117)</f>
        <v/>
      </c>
      <c r="F117" s="28" t="str">
        <f>IF(D117="","",VLOOKUP(D117,'[1]0.1 Produksi Pangan &amp; Penduduk'!$D$5:$AE$860,28,0))</f>
        <v/>
      </c>
      <c r="G117" s="29" t="str">
        <f t="shared" si="5"/>
        <v/>
      </c>
      <c r="H117" s="29" t="str">
        <f t="shared" si="6"/>
        <v/>
      </c>
      <c r="I117" s="29" t="str">
        <f t="shared" si="7"/>
        <v/>
      </c>
      <c r="J117" s="29" t="str">
        <f t="shared" si="8"/>
        <v/>
      </c>
      <c r="K117" s="29" t="str">
        <f t="shared" si="9"/>
        <v/>
      </c>
    </row>
    <row r="118" spans="1:11" ht="15" x14ac:dyDescent="0.25">
      <c r="A118" s="1" t="str">
        <f>IF('1.1 Produksi Bersih Padi 2025'!A118="","",'1.1 Produksi Bersih Padi 2025'!A118)</f>
        <v/>
      </c>
      <c r="B118" s="31" t="str">
        <f>IF('1.1 Produksi Bersih Padi 2025'!B118="","",'1.1 Produksi Bersih Padi 2025'!B118)</f>
        <v/>
      </c>
      <c r="C118" s="31" t="str">
        <f>IF('1.1 Produksi Bersih Padi 2025'!C118="","",'1.1 Produksi Bersih Padi 2025'!C118)</f>
        <v/>
      </c>
      <c r="D118" s="1" t="str">
        <f>IF('1.1 Produksi Bersih Padi 2025'!D118="","",'1.1 Produksi Bersih Padi 2025'!D118)</f>
        <v/>
      </c>
      <c r="E118" s="1" t="str">
        <f>IF('1.1 Produksi Bersih Padi 2025'!E118="","",'1.1 Produksi Bersih Padi 2025'!E118)</f>
        <v/>
      </c>
      <c r="F118" s="28" t="str">
        <f>IF(D118="","",VLOOKUP(D118,'[1]0.1 Produksi Pangan &amp; Penduduk'!$D$5:$AE$860,28,0))</f>
        <v/>
      </c>
      <c r="G118" s="29" t="str">
        <f t="shared" si="5"/>
        <v/>
      </c>
      <c r="H118" s="29" t="str">
        <f t="shared" si="6"/>
        <v/>
      </c>
      <c r="I118" s="29" t="str">
        <f t="shared" si="7"/>
        <v/>
      </c>
      <c r="J118" s="29" t="str">
        <f t="shared" si="8"/>
        <v/>
      </c>
      <c r="K118" s="29" t="str">
        <f t="shared" si="9"/>
        <v/>
      </c>
    </row>
    <row r="119" spans="1:11" ht="15" x14ac:dyDescent="0.25">
      <c r="A119" s="1" t="str">
        <f>IF('1.1 Produksi Bersih Padi 2025'!A119="","",'1.1 Produksi Bersih Padi 2025'!A119)</f>
        <v/>
      </c>
      <c r="B119" s="31" t="str">
        <f>IF('1.1 Produksi Bersih Padi 2025'!B119="","",'1.1 Produksi Bersih Padi 2025'!B119)</f>
        <v/>
      </c>
      <c r="C119" s="31" t="str">
        <f>IF('1.1 Produksi Bersih Padi 2025'!C119="","",'1.1 Produksi Bersih Padi 2025'!C119)</f>
        <v/>
      </c>
      <c r="D119" s="1" t="str">
        <f>IF('1.1 Produksi Bersih Padi 2025'!D119="","",'1.1 Produksi Bersih Padi 2025'!D119)</f>
        <v/>
      </c>
      <c r="E119" s="1" t="str">
        <f>IF('1.1 Produksi Bersih Padi 2025'!E119="","",'1.1 Produksi Bersih Padi 2025'!E119)</f>
        <v/>
      </c>
      <c r="F119" s="28" t="str">
        <f>IF(D119="","",VLOOKUP(D119,'[1]0.1 Produksi Pangan &amp; Penduduk'!$D$5:$AE$860,28,0))</f>
        <v/>
      </c>
      <c r="G119" s="29" t="str">
        <f t="shared" si="5"/>
        <v/>
      </c>
      <c r="H119" s="29" t="str">
        <f t="shared" si="6"/>
        <v/>
      </c>
      <c r="I119" s="29" t="str">
        <f t="shared" si="7"/>
        <v/>
      </c>
      <c r="J119" s="29" t="str">
        <f t="shared" si="8"/>
        <v/>
      </c>
      <c r="K119" s="29" t="str">
        <f t="shared" si="9"/>
        <v/>
      </c>
    </row>
    <row r="120" spans="1:11" ht="15" x14ac:dyDescent="0.25">
      <c r="A120" s="1" t="str">
        <f>IF('1.1 Produksi Bersih Padi 2025'!A120="","",'1.1 Produksi Bersih Padi 2025'!A120)</f>
        <v/>
      </c>
      <c r="B120" s="31" t="str">
        <f>IF('1.1 Produksi Bersih Padi 2025'!B120="","",'1.1 Produksi Bersih Padi 2025'!B120)</f>
        <v/>
      </c>
      <c r="C120" s="31" t="str">
        <f>IF('1.1 Produksi Bersih Padi 2025'!C120="","",'1.1 Produksi Bersih Padi 2025'!C120)</f>
        <v/>
      </c>
      <c r="D120" s="1" t="str">
        <f>IF('1.1 Produksi Bersih Padi 2025'!D120="","",'1.1 Produksi Bersih Padi 2025'!D120)</f>
        <v/>
      </c>
      <c r="E120" s="1" t="str">
        <f>IF('1.1 Produksi Bersih Padi 2025'!E120="","",'1.1 Produksi Bersih Padi 2025'!E120)</f>
        <v/>
      </c>
      <c r="F120" s="28" t="str">
        <f>IF(D120="","",VLOOKUP(D120,'[1]0.1 Produksi Pangan &amp; Penduduk'!$D$5:$AE$860,28,0))</f>
        <v/>
      </c>
      <c r="G120" s="29" t="str">
        <f t="shared" si="5"/>
        <v/>
      </c>
      <c r="H120" s="29" t="str">
        <f t="shared" si="6"/>
        <v/>
      </c>
      <c r="I120" s="29" t="str">
        <f t="shared" si="7"/>
        <v/>
      </c>
      <c r="J120" s="29" t="str">
        <f t="shared" si="8"/>
        <v/>
      </c>
      <c r="K120" s="29" t="str">
        <f t="shared" si="9"/>
        <v/>
      </c>
    </row>
    <row r="121" spans="1:11" ht="15" x14ac:dyDescent="0.25">
      <c r="A121" s="1" t="str">
        <f>IF('1.1 Produksi Bersih Padi 2025'!A121="","",'1.1 Produksi Bersih Padi 2025'!A121)</f>
        <v/>
      </c>
      <c r="B121" s="31" t="str">
        <f>IF('1.1 Produksi Bersih Padi 2025'!B121="","",'1.1 Produksi Bersih Padi 2025'!B121)</f>
        <v/>
      </c>
      <c r="C121" s="31" t="str">
        <f>IF('1.1 Produksi Bersih Padi 2025'!C121="","",'1.1 Produksi Bersih Padi 2025'!C121)</f>
        <v/>
      </c>
      <c r="D121" s="1" t="str">
        <f>IF('1.1 Produksi Bersih Padi 2025'!D121="","",'1.1 Produksi Bersih Padi 2025'!D121)</f>
        <v/>
      </c>
      <c r="E121" s="1" t="str">
        <f>IF('1.1 Produksi Bersih Padi 2025'!E121="","",'1.1 Produksi Bersih Padi 2025'!E121)</f>
        <v/>
      </c>
      <c r="F121" s="28" t="str">
        <f>IF(D121="","",VLOOKUP(D121,'[1]0.1 Produksi Pangan &amp; Penduduk'!$D$5:$AE$860,28,0))</f>
        <v/>
      </c>
      <c r="G121" s="29" t="str">
        <f t="shared" si="5"/>
        <v/>
      </c>
      <c r="H121" s="29" t="str">
        <f t="shared" si="6"/>
        <v/>
      </c>
      <c r="I121" s="29" t="str">
        <f t="shared" si="7"/>
        <v/>
      </c>
      <c r="J121" s="29" t="str">
        <f t="shared" si="8"/>
        <v/>
      </c>
      <c r="K121" s="29" t="str">
        <f t="shared" si="9"/>
        <v/>
      </c>
    </row>
    <row r="122" spans="1:11" ht="15" x14ac:dyDescent="0.25">
      <c r="A122" s="1" t="str">
        <f>IF('1.1 Produksi Bersih Padi 2025'!A122="","",'1.1 Produksi Bersih Padi 2025'!A122)</f>
        <v/>
      </c>
      <c r="B122" s="31" t="str">
        <f>IF('1.1 Produksi Bersih Padi 2025'!B122="","",'1.1 Produksi Bersih Padi 2025'!B122)</f>
        <v/>
      </c>
      <c r="C122" s="31" t="str">
        <f>IF('1.1 Produksi Bersih Padi 2025'!C122="","",'1.1 Produksi Bersih Padi 2025'!C122)</f>
        <v/>
      </c>
      <c r="D122" s="1" t="str">
        <f>IF('1.1 Produksi Bersih Padi 2025'!D122="","",'1.1 Produksi Bersih Padi 2025'!D122)</f>
        <v/>
      </c>
      <c r="E122" s="1" t="str">
        <f>IF('1.1 Produksi Bersih Padi 2025'!E122="","",'1.1 Produksi Bersih Padi 2025'!E122)</f>
        <v/>
      </c>
      <c r="F122" s="28" t="str">
        <f>IF(D122="","",VLOOKUP(D122,'[1]0.1 Produksi Pangan &amp; Penduduk'!$D$5:$AE$860,28,0))</f>
        <v/>
      </c>
      <c r="G122" s="29" t="str">
        <f t="shared" si="5"/>
        <v/>
      </c>
      <c r="H122" s="29" t="str">
        <f t="shared" si="6"/>
        <v/>
      </c>
      <c r="I122" s="29" t="str">
        <f t="shared" si="7"/>
        <v/>
      </c>
      <c r="J122" s="29" t="str">
        <f t="shared" si="8"/>
        <v/>
      </c>
      <c r="K122" s="29" t="str">
        <f t="shared" si="9"/>
        <v/>
      </c>
    </row>
    <row r="123" spans="1:11" ht="15" x14ac:dyDescent="0.25">
      <c r="A123" s="1" t="str">
        <f>IF('1.1 Produksi Bersih Padi 2025'!A123="","",'1.1 Produksi Bersih Padi 2025'!A123)</f>
        <v/>
      </c>
      <c r="B123" s="31" t="str">
        <f>IF('1.1 Produksi Bersih Padi 2025'!B123="","",'1.1 Produksi Bersih Padi 2025'!B123)</f>
        <v/>
      </c>
      <c r="C123" s="31" t="str">
        <f>IF('1.1 Produksi Bersih Padi 2025'!C123="","",'1.1 Produksi Bersih Padi 2025'!C123)</f>
        <v/>
      </c>
      <c r="D123" s="1" t="str">
        <f>IF('1.1 Produksi Bersih Padi 2025'!D123="","",'1.1 Produksi Bersih Padi 2025'!D123)</f>
        <v/>
      </c>
      <c r="E123" s="1" t="str">
        <f>IF('1.1 Produksi Bersih Padi 2025'!E123="","",'1.1 Produksi Bersih Padi 2025'!E123)</f>
        <v/>
      </c>
      <c r="F123" s="28" t="str">
        <f>IF(D123="","",VLOOKUP(D123,'[1]0.1 Produksi Pangan &amp; Penduduk'!$D$5:$AE$860,28,0))</f>
        <v/>
      </c>
      <c r="G123" s="29" t="str">
        <f t="shared" si="5"/>
        <v/>
      </c>
      <c r="H123" s="29" t="str">
        <f t="shared" si="6"/>
        <v/>
      </c>
      <c r="I123" s="29" t="str">
        <f t="shared" si="7"/>
        <v/>
      </c>
      <c r="J123" s="29" t="str">
        <f t="shared" si="8"/>
        <v/>
      </c>
      <c r="K123" s="29" t="str">
        <f t="shared" si="9"/>
        <v/>
      </c>
    </row>
    <row r="124" spans="1:11" ht="15" x14ac:dyDescent="0.25">
      <c r="A124" s="1" t="str">
        <f>IF('1.1 Produksi Bersih Padi 2025'!A124="","",'1.1 Produksi Bersih Padi 2025'!A124)</f>
        <v/>
      </c>
      <c r="B124" s="31" t="str">
        <f>IF('1.1 Produksi Bersih Padi 2025'!B124="","",'1.1 Produksi Bersih Padi 2025'!B124)</f>
        <v/>
      </c>
      <c r="C124" s="31" t="str">
        <f>IF('1.1 Produksi Bersih Padi 2025'!C124="","",'1.1 Produksi Bersih Padi 2025'!C124)</f>
        <v/>
      </c>
      <c r="D124" s="1" t="str">
        <f>IF('1.1 Produksi Bersih Padi 2025'!D124="","",'1.1 Produksi Bersih Padi 2025'!D124)</f>
        <v/>
      </c>
      <c r="E124" s="1" t="str">
        <f>IF('1.1 Produksi Bersih Padi 2025'!E124="","",'1.1 Produksi Bersih Padi 2025'!E124)</f>
        <v/>
      </c>
      <c r="F124" s="28" t="str">
        <f>IF(D124="","",VLOOKUP(D124,'[1]0.1 Produksi Pangan &amp; Penduduk'!$D$5:$AE$860,28,0))</f>
        <v/>
      </c>
      <c r="G124" s="29" t="str">
        <f t="shared" si="5"/>
        <v/>
      </c>
      <c r="H124" s="29" t="str">
        <f t="shared" si="6"/>
        <v/>
      </c>
      <c r="I124" s="29" t="str">
        <f t="shared" si="7"/>
        <v/>
      </c>
      <c r="J124" s="29" t="str">
        <f t="shared" si="8"/>
        <v/>
      </c>
      <c r="K124" s="29" t="str">
        <f t="shared" si="9"/>
        <v/>
      </c>
    </row>
    <row r="125" spans="1:11" ht="15" x14ac:dyDescent="0.25">
      <c r="A125" s="1" t="str">
        <f>IF('1.1 Produksi Bersih Padi 2025'!A125="","",'1.1 Produksi Bersih Padi 2025'!A125)</f>
        <v/>
      </c>
      <c r="B125" s="31" t="str">
        <f>IF('1.1 Produksi Bersih Padi 2025'!B125="","",'1.1 Produksi Bersih Padi 2025'!B125)</f>
        <v/>
      </c>
      <c r="C125" s="31" t="str">
        <f>IF('1.1 Produksi Bersih Padi 2025'!C125="","",'1.1 Produksi Bersih Padi 2025'!C125)</f>
        <v/>
      </c>
      <c r="D125" s="1" t="str">
        <f>IF('1.1 Produksi Bersih Padi 2025'!D125="","",'1.1 Produksi Bersih Padi 2025'!D125)</f>
        <v/>
      </c>
      <c r="E125" s="1" t="str">
        <f>IF('1.1 Produksi Bersih Padi 2025'!E125="","",'1.1 Produksi Bersih Padi 2025'!E125)</f>
        <v/>
      </c>
      <c r="F125" s="28" t="str">
        <f>IF(D125="","",VLOOKUP(D125,'[1]0.1 Produksi Pangan &amp; Penduduk'!$D$5:$AE$860,28,0))</f>
        <v/>
      </c>
      <c r="G125" s="29" t="str">
        <f t="shared" si="5"/>
        <v/>
      </c>
      <c r="H125" s="29" t="str">
        <f t="shared" si="6"/>
        <v/>
      </c>
      <c r="I125" s="29" t="str">
        <f t="shared" si="7"/>
        <v/>
      </c>
      <c r="J125" s="29" t="str">
        <f t="shared" si="8"/>
        <v/>
      </c>
      <c r="K125" s="29" t="str">
        <f t="shared" si="9"/>
        <v/>
      </c>
    </row>
    <row r="126" spans="1:11" ht="15" x14ac:dyDescent="0.25">
      <c r="A126" s="1" t="str">
        <f>IF('1.1 Produksi Bersih Padi 2025'!A126="","",'1.1 Produksi Bersih Padi 2025'!A126)</f>
        <v/>
      </c>
      <c r="B126" s="31" t="str">
        <f>IF('1.1 Produksi Bersih Padi 2025'!B126="","",'1.1 Produksi Bersih Padi 2025'!B126)</f>
        <v/>
      </c>
      <c r="C126" s="31" t="str">
        <f>IF('1.1 Produksi Bersih Padi 2025'!C126="","",'1.1 Produksi Bersih Padi 2025'!C126)</f>
        <v/>
      </c>
      <c r="D126" s="1" t="str">
        <f>IF('1.1 Produksi Bersih Padi 2025'!D126="","",'1.1 Produksi Bersih Padi 2025'!D126)</f>
        <v/>
      </c>
      <c r="E126" s="1" t="str">
        <f>IF('1.1 Produksi Bersih Padi 2025'!E126="","",'1.1 Produksi Bersih Padi 2025'!E126)</f>
        <v/>
      </c>
      <c r="F126" s="28" t="str">
        <f>IF(D126="","",VLOOKUP(D126,'[1]0.1 Produksi Pangan &amp; Penduduk'!$D$5:$AE$860,28,0))</f>
        <v/>
      </c>
      <c r="G126" s="29" t="str">
        <f t="shared" si="5"/>
        <v/>
      </c>
      <c r="H126" s="29" t="str">
        <f t="shared" si="6"/>
        <v/>
      </c>
      <c r="I126" s="29" t="str">
        <f t="shared" si="7"/>
        <v/>
      </c>
      <c r="J126" s="29" t="str">
        <f t="shared" si="8"/>
        <v/>
      </c>
      <c r="K126" s="29" t="str">
        <f t="shared" si="9"/>
        <v/>
      </c>
    </row>
    <row r="127" spans="1:11" ht="15" x14ac:dyDescent="0.25">
      <c r="A127" s="1" t="str">
        <f>IF('1.1 Produksi Bersih Padi 2025'!A127="","",'1.1 Produksi Bersih Padi 2025'!A127)</f>
        <v/>
      </c>
      <c r="B127" s="31" t="str">
        <f>IF('1.1 Produksi Bersih Padi 2025'!B127="","",'1.1 Produksi Bersih Padi 2025'!B127)</f>
        <v/>
      </c>
      <c r="C127" s="31" t="str">
        <f>IF('1.1 Produksi Bersih Padi 2025'!C127="","",'1.1 Produksi Bersih Padi 2025'!C127)</f>
        <v/>
      </c>
      <c r="D127" s="1" t="str">
        <f>IF('1.1 Produksi Bersih Padi 2025'!D127="","",'1.1 Produksi Bersih Padi 2025'!D127)</f>
        <v/>
      </c>
      <c r="E127" s="1" t="str">
        <f>IF('1.1 Produksi Bersih Padi 2025'!E127="","",'1.1 Produksi Bersih Padi 2025'!E127)</f>
        <v/>
      </c>
      <c r="F127" s="28" t="str">
        <f>IF(D127="","",VLOOKUP(D127,'[1]0.1 Produksi Pangan &amp; Penduduk'!$D$5:$AE$860,28,0))</f>
        <v/>
      </c>
      <c r="G127" s="29" t="str">
        <f t="shared" si="5"/>
        <v/>
      </c>
      <c r="H127" s="29" t="str">
        <f t="shared" si="6"/>
        <v/>
      </c>
      <c r="I127" s="29" t="str">
        <f t="shared" si="7"/>
        <v/>
      </c>
      <c r="J127" s="29" t="str">
        <f t="shared" si="8"/>
        <v/>
      </c>
      <c r="K127" s="29" t="str">
        <f t="shared" si="9"/>
        <v/>
      </c>
    </row>
    <row r="128" spans="1:11" ht="15" x14ac:dyDescent="0.25">
      <c r="A128" s="1" t="str">
        <f>IF('1.1 Produksi Bersih Padi 2025'!A128="","",'1.1 Produksi Bersih Padi 2025'!A128)</f>
        <v/>
      </c>
      <c r="B128" s="31" t="str">
        <f>IF('1.1 Produksi Bersih Padi 2025'!B128="","",'1.1 Produksi Bersih Padi 2025'!B128)</f>
        <v/>
      </c>
      <c r="C128" s="31" t="str">
        <f>IF('1.1 Produksi Bersih Padi 2025'!C128="","",'1.1 Produksi Bersih Padi 2025'!C128)</f>
        <v/>
      </c>
      <c r="D128" s="1" t="str">
        <f>IF('1.1 Produksi Bersih Padi 2025'!D128="","",'1.1 Produksi Bersih Padi 2025'!D128)</f>
        <v/>
      </c>
      <c r="E128" s="1" t="str">
        <f>IF('1.1 Produksi Bersih Padi 2025'!E128="","",'1.1 Produksi Bersih Padi 2025'!E128)</f>
        <v/>
      </c>
      <c r="F128" s="28" t="str">
        <f>IF(D128="","",VLOOKUP(D128,'[1]0.1 Produksi Pangan &amp; Penduduk'!$D$5:$AE$860,28,0))</f>
        <v/>
      </c>
      <c r="G128" s="29" t="str">
        <f t="shared" si="5"/>
        <v/>
      </c>
      <c r="H128" s="29" t="str">
        <f t="shared" si="6"/>
        <v/>
      </c>
      <c r="I128" s="29" t="str">
        <f t="shared" si="7"/>
        <v/>
      </c>
      <c r="J128" s="29" t="str">
        <f t="shared" si="8"/>
        <v/>
      </c>
      <c r="K128" s="29" t="str">
        <f t="shared" si="9"/>
        <v/>
      </c>
    </row>
    <row r="129" spans="1:11" ht="15" x14ac:dyDescent="0.25">
      <c r="A129" s="1" t="str">
        <f>IF('1.1 Produksi Bersih Padi 2025'!A129="","",'1.1 Produksi Bersih Padi 2025'!A129)</f>
        <v/>
      </c>
      <c r="B129" s="31" t="str">
        <f>IF('1.1 Produksi Bersih Padi 2025'!B129="","",'1.1 Produksi Bersih Padi 2025'!B129)</f>
        <v/>
      </c>
      <c r="C129" s="31" t="str">
        <f>IF('1.1 Produksi Bersih Padi 2025'!C129="","",'1.1 Produksi Bersih Padi 2025'!C129)</f>
        <v/>
      </c>
      <c r="D129" s="1" t="str">
        <f>IF('1.1 Produksi Bersih Padi 2025'!D129="","",'1.1 Produksi Bersih Padi 2025'!D129)</f>
        <v/>
      </c>
      <c r="E129" s="1" t="str">
        <f>IF('1.1 Produksi Bersih Padi 2025'!E129="","",'1.1 Produksi Bersih Padi 2025'!E129)</f>
        <v/>
      </c>
      <c r="F129" s="28" t="str">
        <f>IF(D129="","",VLOOKUP(D129,'[1]0.1 Produksi Pangan &amp; Penduduk'!$D$5:$AE$860,28,0))</f>
        <v/>
      </c>
      <c r="G129" s="29" t="str">
        <f t="shared" si="5"/>
        <v/>
      </c>
      <c r="H129" s="29" t="str">
        <f t="shared" si="6"/>
        <v/>
      </c>
      <c r="I129" s="29" t="str">
        <f t="shared" si="7"/>
        <v/>
      </c>
      <c r="J129" s="29" t="str">
        <f t="shared" si="8"/>
        <v/>
      </c>
      <c r="K129" s="29" t="str">
        <f t="shared" si="9"/>
        <v/>
      </c>
    </row>
    <row r="130" spans="1:11" ht="15" x14ac:dyDescent="0.25">
      <c r="A130" s="1" t="str">
        <f>IF('1.1 Produksi Bersih Padi 2025'!A130="","",'1.1 Produksi Bersih Padi 2025'!A130)</f>
        <v/>
      </c>
      <c r="B130" s="31" t="str">
        <f>IF('1.1 Produksi Bersih Padi 2025'!B130="","",'1.1 Produksi Bersih Padi 2025'!B130)</f>
        <v/>
      </c>
      <c r="C130" s="31" t="str">
        <f>IF('1.1 Produksi Bersih Padi 2025'!C130="","",'1.1 Produksi Bersih Padi 2025'!C130)</f>
        <v/>
      </c>
      <c r="D130" s="1" t="str">
        <f>IF('1.1 Produksi Bersih Padi 2025'!D130="","",'1.1 Produksi Bersih Padi 2025'!D130)</f>
        <v/>
      </c>
      <c r="E130" s="1" t="str">
        <f>IF('1.1 Produksi Bersih Padi 2025'!E130="","",'1.1 Produksi Bersih Padi 2025'!E130)</f>
        <v/>
      </c>
      <c r="F130" s="28" t="str">
        <f>IF(D130="","",VLOOKUP(D130,'[1]0.1 Produksi Pangan &amp; Penduduk'!$D$5:$AE$860,28,0))</f>
        <v/>
      </c>
      <c r="G130" s="29" t="str">
        <f t="shared" si="5"/>
        <v/>
      </c>
      <c r="H130" s="29" t="str">
        <f t="shared" si="6"/>
        <v/>
      </c>
      <c r="I130" s="29" t="str">
        <f t="shared" si="7"/>
        <v/>
      </c>
      <c r="J130" s="29" t="str">
        <f t="shared" si="8"/>
        <v/>
      </c>
      <c r="K130" s="29" t="str">
        <f t="shared" si="9"/>
        <v/>
      </c>
    </row>
    <row r="131" spans="1:11" ht="15" x14ac:dyDescent="0.25">
      <c r="A131" s="1" t="str">
        <f>IF('1.1 Produksi Bersih Padi 2025'!A131="","",'1.1 Produksi Bersih Padi 2025'!A131)</f>
        <v/>
      </c>
      <c r="B131" s="31" t="str">
        <f>IF('1.1 Produksi Bersih Padi 2025'!B131="","",'1.1 Produksi Bersih Padi 2025'!B131)</f>
        <v/>
      </c>
      <c r="C131" s="31" t="str">
        <f>IF('1.1 Produksi Bersih Padi 2025'!C131="","",'1.1 Produksi Bersih Padi 2025'!C131)</f>
        <v/>
      </c>
      <c r="D131" s="1" t="str">
        <f>IF('1.1 Produksi Bersih Padi 2025'!D131="","",'1.1 Produksi Bersih Padi 2025'!D131)</f>
        <v/>
      </c>
      <c r="E131" s="1" t="str">
        <f>IF('1.1 Produksi Bersih Padi 2025'!E131="","",'1.1 Produksi Bersih Padi 2025'!E131)</f>
        <v/>
      </c>
      <c r="F131" s="28" t="str">
        <f>IF(D131="","",VLOOKUP(D131,'[1]0.1 Produksi Pangan &amp; Penduduk'!$D$5:$AE$860,28,0))</f>
        <v/>
      </c>
      <c r="G131" s="29" t="str">
        <f t="shared" si="5"/>
        <v/>
      </c>
      <c r="H131" s="29" t="str">
        <f t="shared" si="6"/>
        <v/>
      </c>
      <c r="I131" s="29" t="str">
        <f t="shared" si="7"/>
        <v/>
      </c>
      <c r="J131" s="29" t="str">
        <f t="shared" si="8"/>
        <v/>
      </c>
      <c r="K131" s="29" t="str">
        <f t="shared" si="9"/>
        <v/>
      </c>
    </row>
    <row r="132" spans="1:11" ht="15" x14ac:dyDescent="0.25">
      <c r="A132" s="1" t="str">
        <f>IF('1.1 Produksi Bersih Padi 2025'!A132="","",'1.1 Produksi Bersih Padi 2025'!A132)</f>
        <v/>
      </c>
      <c r="B132" s="31" t="str">
        <f>IF('1.1 Produksi Bersih Padi 2025'!B132="","",'1.1 Produksi Bersih Padi 2025'!B132)</f>
        <v/>
      </c>
      <c r="C132" s="31" t="str">
        <f>IF('1.1 Produksi Bersih Padi 2025'!C132="","",'1.1 Produksi Bersih Padi 2025'!C132)</f>
        <v/>
      </c>
      <c r="D132" s="1" t="str">
        <f>IF('1.1 Produksi Bersih Padi 2025'!D132="","",'1.1 Produksi Bersih Padi 2025'!D132)</f>
        <v/>
      </c>
      <c r="E132" s="1" t="str">
        <f>IF('1.1 Produksi Bersih Padi 2025'!E132="","",'1.1 Produksi Bersih Padi 2025'!E132)</f>
        <v/>
      </c>
      <c r="F132" s="28" t="str">
        <f>IF(D132="","",VLOOKUP(D132,'[1]0.1 Produksi Pangan &amp; Penduduk'!$D$5:$AE$860,28,0))</f>
        <v/>
      </c>
      <c r="G132" s="29" t="str">
        <f t="shared" si="5"/>
        <v/>
      </c>
      <c r="H132" s="29" t="str">
        <f t="shared" si="6"/>
        <v/>
      </c>
      <c r="I132" s="29" t="str">
        <f t="shared" si="7"/>
        <v/>
      </c>
      <c r="J132" s="29" t="str">
        <f t="shared" si="8"/>
        <v/>
      </c>
      <c r="K132" s="29" t="str">
        <f t="shared" si="9"/>
        <v/>
      </c>
    </row>
    <row r="133" spans="1:11" ht="15" x14ac:dyDescent="0.25">
      <c r="A133" s="1" t="str">
        <f>IF('1.1 Produksi Bersih Padi 2025'!A133="","",'1.1 Produksi Bersih Padi 2025'!A133)</f>
        <v/>
      </c>
      <c r="B133" s="31" t="str">
        <f>IF('1.1 Produksi Bersih Padi 2025'!B133="","",'1.1 Produksi Bersih Padi 2025'!B133)</f>
        <v/>
      </c>
      <c r="C133" s="31" t="str">
        <f>IF('1.1 Produksi Bersih Padi 2025'!C133="","",'1.1 Produksi Bersih Padi 2025'!C133)</f>
        <v/>
      </c>
      <c r="D133" s="1" t="str">
        <f>IF('1.1 Produksi Bersih Padi 2025'!D133="","",'1.1 Produksi Bersih Padi 2025'!D133)</f>
        <v/>
      </c>
      <c r="E133" s="1" t="str">
        <f>IF('1.1 Produksi Bersih Padi 2025'!E133="","",'1.1 Produksi Bersih Padi 2025'!E133)</f>
        <v/>
      </c>
      <c r="F133" s="28" t="str">
        <f>IF(D133="","",VLOOKUP(D133,'[1]0.1 Produksi Pangan &amp; Penduduk'!$D$5:$AE$860,28,0))</f>
        <v/>
      </c>
      <c r="G133" s="29" t="str">
        <f t="shared" si="5"/>
        <v/>
      </c>
      <c r="H133" s="29" t="str">
        <f t="shared" si="6"/>
        <v/>
      </c>
      <c r="I133" s="29" t="str">
        <f t="shared" si="7"/>
        <v/>
      </c>
      <c r="J133" s="29" t="str">
        <f t="shared" si="8"/>
        <v/>
      </c>
      <c r="K133" s="29" t="str">
        <f t="shared" si="9"/>
        <v/>
      </c>
    </row>
    <row r="134" spans="1:11" ht="15" x14ac:dyDescent="0.25">
      <c r="A134" s="1" t="str">
        <f>IF('1.1 Produksi Bersih Padi 2025'!A134="","",'1.1 Produksi Bersih Padi 2025'!A134)</f>
        <v/>
      </c>
      <c r="B134" s="31" t="str">
        <f>IF('1.1 Produksi Bersih Padi 2025'!B134="","",'1.1 Produksi Bersih Padi 2025'!B134)</f>
        <v/>
      </c>
      <c r="C134" s="31" t="str">
        <f>IF('1.1 Produksi Bersih Padi 2025'!C134="","",'1.1 Produksi Bersih Padi 2025'!C134)</f>
        <v/>
      </c>
      <c r="D134" s="1" t="str">
        <f>IF('1.1 Produksi Bersih Padi 2025'!D134="","",'1.1 Produksi Bersih Padi 2025'!D134)</f>
        <v/>
      </c>
      <c r="E134" s="1" t="str">
        <f>IF('1.1 Produksi Bersih Padi 2025'!E134="","",'1.1 Produksi Bersih Padi 2025'!E134)</f>
        <v/>
      </c>
      <c r="F134" s="28" t="str">
        <f>IF(D134="","",VLOOKUP(D134,'[1]0.1 Produksi Pangan &amp; Penduduk'!$D$5:$AE$860,28,0))</f>
        <v/>
      </c>
      <c r="G134" s="29" t="str">
        <f t="shared" ref="G134:G197" si="10">IF(F134="","",F134*0%)</f>
        <v/>
      </c>
      <c r="H134" s="29" t="str">
        <f t="shared" ref="H134:H197" si="11">IF(F134="","",F134*0.77%)</f>
        <v/>
      </c>
      <c r="I134" s="29" t="str">
        <f t="shared" ref="I134:I197" si="12">IF(F134="","",F134*4.9%)</f>
        <v/>
      </c>
      <c r="J134" s="29" t="str">
        <f t="shared" ref="J134:J197" si="13">IF(F134="","",F134-(G134+H134+I134))</f>
        <v/>
      </c>
      <c r="K134" s="29" t="str">
        <f t="shared" ref="K134:K197" si="14">IF(J134="","",J134*0.259)</f>
        <v/>
      </c>
    </row>
    <row r="135" spans="1:11" ht="15" x14ac:dyDescent="0.25">
      <c r="A135" s="1" t="str">
        <f>IF('1.1 Produksi Bersih Padi 2025'!A135="","",'1.1 Produksi Bersih Padi 2025'!A135)</f>
        <v/>
      </c>
      <c r="B135" s="31" t="str">
        <f>IF('1.1 Produksi Bersih Padi 2025'!B135="","",'1.1 Produksi Bersih Padi 2025'!B135)</f>
        <v/>
      </c>
      <c r="C135" s="31" t="str">
        <f>IF('1.1 Produksi Bersih Padi 2025'!C135="","",'1.1 Produksi Bersih Padi 2025'!C135)</f>
        <v/>
      </c>
      <c r="D135" s="1" t="str">
        <f>IF('1.1 Produksi Bersih Padi 2025'!D135="","",'1.1 Produksi Bersih Padi 2025'!D135)</f>
        <v/>
      </c>
      <c r="E135" s="1" t="str">
        <f>IF('1.1 Produksi Bersih Padi 2025'!E135="","",'1.1 Produksi Bersih Padi 2025'!E135)</f>
        <v/>
      </c>
      <c r="F135" s="28" t="str">
        <f>IF(D135="","",VLOOKUP(D135,'[1]0.1 Produksi Pangan &amp; Penduduk'!$D$5:$AE$860,28,0))</f>
        <v/>
      </c>
      <c r="G135" s="29" t="str">
        <f t="shared" si="10"/>
        <v/>
      </c>
      <c r="H135" s="29" t="str">
        <f t="shared" si="11"/>
        <v/>
      </c>
      <c r="I135" s="29" t="str">
        <f t="shared" si="12"/>
        <v/>
      </c>
      <c r="J135" s="29" t="str">
        <f t="shared" si="13"/>
        <v/>
      </c>
      <c r="K135" s="29" t="str">
        <f t="shared" si="14"/>
        <v/>
      </c>
    </row>
    <row r="136" spans="1:11" ht="15" x14ac:dyDescent="0.25">
      <c r="A136" s="1" t="str">
        <f>IF('1.1 Produksi Bersih Padi 2025'!A136="","",'1.1 Produksi Bersih Padi 2025'!A136)</f>
        <v/>
      </c>
      <c r="B136" s="31" t="str">
        <f>IF('1.1 Produksi Bersih Padi 2025'!B136="","",'1.1 Produksi Bersih Padi 2025'!B136)</f>
        <v/>
      </c>
      <c r="C136" s="31" t="str">
        <f>IF('1.1 Produksi Bersih Padi 2025'!C136="","",'1.1 Produksi Bersih Padi 2025'!C136)</f>
        <v/>
      </c>
      <c r="D136" s="1" t="str">
        <f>IF('1.1 Produksi Bersih Padi 2025'!D136="","",'1.1 Produksi Bersih Padi 2025'!D136)</f>
        <v/>
      </c>
      <c r="E136" s="1" t="str">
        <f>IF('1.1 Produksi Bersih Padi 2025'!E136="","",'1.1 Produksi Bersih Padi 2025'!E136)</f>
        <v/>
      </c>
      <c r="F136" s="28" t="str">
        <f>IF(D136="","",VLOOKUP(D136,'[1]0.1 Produksi Pangan &amp; Penduduk'!$D$5:$AE$860,28,0))</f>
        <v/>
      </c>
      <c r="G136" s="29" t="str">
        <f t="shared" si="10"/>
        <v/>
      </c>
      <c r="H136" s="29" t="str">
        <f t="shared" si="11"/>
        <v/>
      </c>
      <c r="I136" s="29" t="str">
        <f t="shared" si="12"/>
        <v/>
      </c>
      <c r="J136" s="29" t="str">
        <f t="shared" si="13"/>
        <v/>
      </c>
      <c r="K136" s="29" t="str">
        <f t="shared" si="14"/>
        <v/>
      </c>
    </row>
    <row r="137" spans="1:11" ht="15" x14ac:dyDescent="0.25">
      <c r="A137" s="1" t="str">
        <f>IF('1.1 Produksi Bersih Padi 2025'!A137="","",'1.1 Produksi Bersih Padi 2025'!A137)</f>
        <v/>
      </c>
      <c r="B137" s="31" t="str">
        <f>IF('1.1 Produksi Bersih Padi 2025'!B137="","",'1.1 Produksi Bersih Padi 2025'!B137)</f>
        <v/>
      </c>
      <c r="C137" s="31" t="str">
        <f>IF('1.1 Produksi Bersih Padi 2025'!C137="","",'1.1 Produksi Bersih Padi 2025'!C137)</f>
        <v/>
      </c>
      <c r="D137" s="1" t="str">
        <f>IF('1.1 Produksi Bersih Padi 2025'!D137="","",'1.1 Produksi Bersih Padi 2025'!D137)</f>
        <v/>
      </c>
      <c r="E137" s="1" t="str">
        <f>IF('1.1 Produksi Bersih Padi 2025'!E137="","",'1.1 Produksi Bersih Padi 2025'!E137)</f>
        <v/>
      </c>
      <c r="F137" s="28" t="str">
        <f>IF(D137="","",VLOOKUP(D137,'[1]0.1 Produksi Pangan &amp; Penduduk'!$D$5:$AE$860,28,0))</f>
        <v/>
      </c>
      <c r="G137" s="29" t="str">
        <f t="shared" si="10"/>
        <v/>
      </c>
      <c r="H137" s="29" t="str">
        <f t="shared" si="11"/>
        <v/>
      </c>
      <c r="I137" s="29" t="str">
        <f t="shared" si="12"/>
        <v/>
      </c>
      <c r="J137" s="29" t="str">
        <f t="shared" si="13"/>
        <v/>
      </c>
      <c r="K137" s="29" t="str">
        <f t="shared" si="14"/>
        <v/>
      </c>
    </row>
    <row r="138" spans="1:11" ht="15" x14ac:dyDescent="0.25">
      <c r="A138" s="1" t="str">
        <f>IF('1.1 Produksi Bersih Padi 2025'!A138="","",'1.1 Produksi Bersih Padi 2025'!A138)</f>
        <v/>
      </c>
      <c r="B138" s="31" t="str">
        <f>IF('1.1 Produksi Bersih Padi 2025'!B138="","",'1.1 Produksi Bersih Padi 2025'!B138)</f>
        <v/>
      </c>
      <c r="C138" s="31" t="str">
        <f>IF('1.1 Produksi Bersih Padi 2025'!C138="","",'1.1 Produksi Bersih Padi 2025'!C138)</f>
        <v/>
      </c>
      <c r="D138" s="1" t="str">
        <f>IF('1.1 Produksi Bersih Padi 2025'!D138="","",'1.1 Produksi Bersih Padi 2025'!D138)</f>
        <v/>
      </c>
      <c r="E138" s="1" t="str">
        <f>IF('1.1 Produksi Bersih Padi 2025'!E138="","",'1.1 Produksi Bersih Padi 2025'!E138)</f>
        <v/>
      </c>
      <c r="F138" s="28" t="str">
        <f>IF(D138="","",VLOOKUP(D138,'[1]0.1 Produksi Pangan &amp; Penduduk'!$D$5:$AE$860,28,0))</f>
        <v/>
      </c>
      <c r="G138" s="29" t="str">
        <f t="shared" si="10"/>
        <v/>
      </c>
      <c r="H138" s="29" t="str">
        <f t="shared" si="11"/>
        <v/>
      </c>
      <c r="I138" s="29" t="str">
        <f t="shared" si="12"/>
        <v/>
      </c>
      <c r="J138" s="29" t="str">
        <f t="shared" si="13"/>
        <v/>
      </c>
      <c r="K138" s="29" t="str">
        <f t="shared" si="14"/>
        <v/>
      </c>
    </row>
    <row r="139" spans="1:11" ht="15" x14ac:dyDescent="0.25">
      <c r="A139" s="1" t="str">
        <f>IF('1.1 Produksi Bersih Padi 2025'!A139="","",'1.1 Produksi Bersih Padi 2025'!A139)</f>
        <v/>
      </c>
      <c r="B139" s="31" t="str">
        <f>IF('1.1 Produksi Bersih Padi 2025'!B139="","",'1.1 Produksi Bersih Padi 2025'!B139)</f>
        <v/>
      </c>
      <c r="C139" s="31" t="str">
        <f>IF('1.1 Produksi Bersih Padi 2025'!C139="","",'1.1 Produksi Bersih Padi 2025'!C139)</f>
        <v/>
      </c>
      <c r="D139" s="1" t="str">
        <f>IF('1.1 Produksi Bersih Padi 2025'!D139="","",'1.1 Produksi Bersih Padi 2025'!D139)</f>
        <v/>
      </c>
      <c r="E139" s="1" t="str">
        <f>IF('1.1 Produksi Bersih Padi 2025'!E139="","",'1.1 Produksi Bersih Padi 2025'!E139)</f>
        <v/>
      </c>
      <c r="F139" s="28" t="str">
        <f>IF(D139="","",VLOOKUP(D139,'[1]0.1 Produksi Pangan &amp; Penduduk'!$D$5:$AE$860,28,0))</f>
        <v/>
      </c>
      <c r="G139" s="29" t="str">
        <f t="shared" si="10"/>
        <v/>
      </c>
      <c r="H139" s="29" t="str">
        <f t="shared" si="11"/>
        <v/>
      </c>
      <c r="I139" s="29" t="str">
        <f t="shared" si="12"/>
        <v/>
      </c>
      <c r="J139" s="29" t="str">
        <f t="shared" si="13"/>
        <v/>
      </c>
      <c r="K139" s="29" t="str">
        <f t="shared" si="14"/>
        <v/>
      </c>
    </row>
    <row r="140" spans="1:11" ht="15" x14ac:dyDescent="0.25">
      <c r="A140" s="1" t="str">
        <f>IF('1.1 Produksi Bersih Padi 2025'!A140="","",'1.1 Produksi Bersih Padi 2025'!A140)</f>
        <v/>
      </c>
      <c r="B140" s="31" t="str">
        <f>IF('1.1 Produksi Bersih Padi 2025'!B140="","",'1.1 Produksi Bersih Padi 2025'!B140)</f>
        <v/>
      </c>
      <c r="C140" s="31" t="str">
        <f>IF('1.1 Produksi Bersih Padi 2025'!C140="","",'1.1 Produksi Bersih Padi 2025'!C140)</f>
        <v/>
      </c>
      <c r="D140" s="1" t="str">
        <f>IF('1.1 Produksi Bersih Padi 2025'!D140="","",'1.1 Produksi Bersih Padi 2025'!D140)</f>
        <v/>
      </c>
      <c r="E140" s="1" t="str">
        <f>IF('1.1 Produksi Bersih Padi 2025'!E140="","",'1.1 Produksi Bersih Padi 2025'!E140)</f>
        <v/>
      </c>
      <c r="F140" s="28" t="str">
        <f>IF(D140="","",VLOOKUP(D140,'[1]0.1 Produksi Pangan &amp; Penduduk'!$D$5:$AE$860,28,0))</f>
        <v/>
      </c>
      <c r="G140" s="29" t="str">
        <f t="shared" si="10"/>
        <v/>
      </c>
      <c r="H140" s="29" t="str">
        <f t="shared" si="11"/>
        <v/>
      </c>
      <c r="I140" s="29" t="str">
        <f t="shared" si="12"/>
        <v/>
      </c>
      <c r="J140" s="29" t="str">
        <f t="shared" si="13"/>
        <v/>
      </c>
      <c r="K140" s="29" t="str">
        <f t="shared" si="14"/>
        <v/>
      </c>
    </row>
    <row r="141" spans="1:11" ht="15" x14ac:dyDescent="0.25">
      <c r="A141" s="1" t="str">
        <f>IF('1.1 Produksi Bersih Padi 2025'!A141="","",'1.1 Produksi Bersih Padi 2025'!A141)</f>
        <v/>
      </c>
      <c r="B141" s="31" t="str">
        <f>IF('1.1 Produksi Bersih Padi 2025'!B141="","",'1.1 Produksi Bersih Padi 2025'!B141)</f>
        <v/>
      </c>
      <c r="C141" s="31" t="str">
        <f>IF('1.1 Produksi Bersih Padi 2025'!C141="","",'1.1 Produksi Bersih Padi 2025'!C141)</f>
        <v/>
      </c>
      <c r="D141" s="1" t="str">
        <f>IF('1.1 Produksi Bersih Padi 2025'!D141="","",'1.1 Produksi Bersih Padi 2025'!D141)</f>
        <v/>
      </c>
      <c r="E141" s="1" t="str">
        <f>IF('1.1 Produksi Bersih Padi 2025'!E141="","",'1.1 Produksi Bersih Padi 2025'!E141)</f>
        <v/>
      </c>
      <c r="F141" s="28" t="str">
        <f>IF(D141="","",VLOOKUP(D141,'[1]0.1 Produksi Pangan &amp; Penduduk'!$D$5:$AE$860,28,0))</f>
        <v/>
      </c>
      <c r="G141" s="29" t="str">
        <f t="shared" si="10"/>
        <v/>
      </c>
      <c r="H141" s="29" t="str">
        <f t="shared" si="11"/>
        <v/>
      </c>
      <c r="I141" s="29" t="str">
        <f t="shared" si="12"/>
        <v/>
      </c>
      <c r="J141" s="29" t="str">
        <f t="shared" si="13"/>
        <v/>
      </c>
      <c r="K141" s="29" t="str">
        <f t="shared" si="14"/>
        <v/>
      </c>
    </row>
    <row r="142" spans="1:11" ht="15" x14ac:dyDescent="0.25">
      <c r="A142" s="1" t="str">
        <f>IF('1.1 Produksi Bersih Padi 2025'!A142="","",'1.1 Produksi Bersih Padi 2025'!A142)</f>
        <v/>
      </c>
      <c r="B142" s="31" t="str">
        <f>IF('1.1 Produksi Bersih Padi 2025'!B142="","",'1.1 Produksi Bersih Padi 2025'!B142)</f>
        <v/>
      </c>
      <c r="C142" s="31" t="str">
        <f>IF('1.1 Produksi Bersih Padi 2025'!C142="","",'1.1 Produksi Bersih Padi 2025'!C142)</f>
        <v/>
      </c>
      <c r="D142" s="1" t="str">
        <f>IF('1.1 Produksi Bersih Padi 2025'!D142="","",'1.1 Produksi Bersih Padi 2025'!D142)</f>
        <v/>
      </c>
      <c r="E142" s="1" t="str">
        <f>IF('1.1 Produksi Bersih Padi 2025'!E142="","",'1.1 Produksi Bersih Padi 2025'!E142)</f>
        <v/>
      </c>
      <c r="F142" s="28" t="str">
        <f>IF(D142="","",VLOOKUP(D142,'[1]0.1 Produksi Pangan &amp; Penduduk'!$D$5:$AE$860,28,0))</f>
        <v/>
      </c>
      <c r="G142" s="29" t="str">
        <f t="shared" si="10"/>
        <v/>
      </c>
      <c r="H142" s="29" t="str">
        <f t="shared" si="11"/>
        <v/>
      </c>
      <c r="I142" s="29" t="str">
        <f t="shared" si="12"/>
        <v/>
      </c>
      <c r="J142" s="29" t="str">
        <f t="shared" si="13"/>
        <v/>
      </c>
      <c r="K142" s="29" t="str">
        <f t="shared" si="14"/>
        <v/>
      </c>
    </row>
    <row r="143" spans="1:11" ht="15" x14ac:dyDescent="0.25">
      <c r="A143" s="1" t="str">
        <f>IF('1.1 Produksi Bersih Padi 2025'!A143="","",'1.1 Produksi Bersih Padi 2025'!A143)</f>
        <v/>
      </c>
      <c r="B143" s="31" t="str">
        <f>IF('1.1 Produksi Bersih Padi 2025'!B143="","",'1.1 Produksi Bersih Padi 2025'!B143)</f>
        <v/>
      </c>
      <c r="C143" s="31" t="str">
        <f>IF('1.1 Produksi Bersih Padi 2025'!C143="","",'1.1 Produksi Bersih Padi 2025'!C143)</f>
        <v/>
      </c>
      <c r="D143" s="1" t="str">
        <f>IF('1.1 Produksi Bersih Padi 2025'!D143="","",'1.1 Produksi Bersih Padi 2025'!D143)</f>
        <v/>
      </c>
      <c r="E143" s="1" t="str">
        <f>IF('1.1 Produksi Bersih Padi 2025'!E143="","",'1.1 Produksi Bersih Padi 2025'!E143)</f>
        <v/>
      </c>
      <c r="F143" s="28" t="str">
        <f>IF(D143="","",VLOOKUP(D143,'[1]0.1 Produksi Pangan &amp; Penduduk'!$D$5:$AE$860,28,0))</f>
        <v/>
      </c>
      <c r="G143" s="29" t="str">
        <f t="shared" si="10"/>
        <v/>
      </c>
      <c r="H143" s="29" t="str">
        <f t="shared" si="11"/>
        <v/>
      </c>
      <c r="I143" s="29" t="str">
        <f t="shared" si="12"/>
        <v/>
      </c>
      <c r="J143" s="29" t="str">
        <f t="shared" si="13"/>
        <v/>
      </c>
      <c r="K143" s="29" t="str">
        <f t="shared" si="14"/>
        <v/>
      </c>
    </row>
    <row r="144" spans="1:11" ht="15" x14ac:dyDescent="0.25">
      <c r="A144" s="1" t="str">
        <f>IF('1.1 Produksi Bersih Padi 2025'!A144="","",'1.1 Produksi Bersih Padi 2025'!A144)</f>
        <v/>
      </c>
      <c r="B144" s="31" t="str">
        <f>IF('1.1 Produksi Bersih Padi 2025'!B144="","",'1.1 Produksi Bersih Padi 2025'!B144)</f>
        <v/>
      </c>
      <c r="C144" s="31" t="str">
        <f>IF('1.1 Produksi Bersih Padi 2025'!C144="","",'1.1 Produksi Bersih Padi 2025'!C144)</f>
        <v/>
      </c>
      <c r="D144" s="1" t="str">
        <f>IF('1.1 Produksi Bersih Padi 2025'!D144="","",'1.1 Produksi Bersih Padi 2025'!D144)</f>
        <v/>
      </c>
      <c r="E144" s="1" t="str">
        <f>IF('1.1 Produksi Bersih Padi 2025'!E144="","",'1.1 Produksi Bersih Padi 2025'!E144)</f>
        <v/>
      </c>
      <c r="F144" s="28" t="str">
        <f>IF(D144="","",VLOOKUP(D144,'[1]0.1 Produksi Pangan &amp; Penduduk'!$D$5:$AE$860,28,0))</f>
        <v/>
      </c>
      <c r="G144" s="29" t="str">
        <f t="shared" si="10"/>
        <v/>
      </c>
      <c r="H144" s="29" t="str">
        <f t="shared" si="11"/>
        <v/>
      </c>
      <c r="I144" s="29" t="str">
        <f t="shared" si="12"/>
        <v/>
      </c>
      <c r="J144" s="29" t="str">
        <f t="shared" si="13"/>
        <v/>
      </c>
      <c r="K144" s="29" t="str">
        <f t="shared" si="14"/>
        <v/>
      </c>
    </row>
    <row r="145" spans="1:11" ht="15" x14ac:dyDescent="0.25">
      <c r="A145" s="1" t="str">
        <f>IF('1.1 Produksi Bersih Padi 2025'!A145="","",'1.1 Produksi Bersih Padi 2025'!A145)</f>
        <v/>
      </c>
      <c r="B145" s="31" t="str">
        <f>IF('1.1 Produksi Bersih Padi 2025'!B145="","",'1.1 Produksi Bersih Padi 2025'!B145)</f>
        <v/>
      </c>
      <c r="C145" s="31" t="str">
        <f>IF('1.1 Produksi Bersih Padi 2025'!C145="","",'1.1 Produksi Bersih Padi 2025'!C145)</f>
        <v/>
      </c>
      <c r="D145" s="1" t="str">
        <f>IF('1.1 Produksi Bersih Padi 2025'!D145="","",'1.1 Produksi Bersih Padi 2025'!D145)</f>
        <v/>
      </c>
      <c r="E145" s="1" t="str">
        <f>IF('1.1 Produksi Bersih Padi 2025'!E145="","",'1.1 Produksi Bersih Padi 2025'!E145)</f>
        <v/>
      </c>
      <c r="F145" s="28" t="str">
        <f>IF(D145="","",VLOOKUP(D145,'[1]0.1 Produksi Pangan &amp; Penduduk'!$D$5:$AE$860,28,0))</f>
        <v/>
      </c>
      <c r="G145" s="29" t="str">
        <f t="shared" si="10"/>
        <v/>
      </c>
      <c r="H145" s="29" t="str">
        <f t="shared" si="11"/>
        <v/>
      </c>
      <c r="I145" s="29" t="str">
        <f t="shared" si="12"/>
        <v/>
      </c>
      <c r="J145" s="29" t="str">
        <f t="shared" si="13"/>
        <v/>
      </c>
      <c r="K145" s="29" t="str">
        <f t="shared" si="14"/>
        <v/>
      </c>
    </row>
    <row r="146" spans="1:11" ht="15" x14ac:dyDescent="0.25">
      <c r="A146" s="1" t="str">
        <f>IF('1.1 Produksi Bersih Padi 2025'!A146="","",'1.1 Produksi Bersih Padi 2025'!A146)</f>
        <v/>
      </c>
      <c r="B146" s="31" t="str">
        <f>IF('1.1 Produksi Bersih Padi 2025'!B146="","",'1.1 Produksi Bersih Padi 2025'!B146)</f>
        <v/>
      </c>
      <c r="C146" s="31" t="str">
        <f>IF('1.1 Produksi Bersih Padi 2025'!C146="","",'1.1 Produksi Bersih Padi 2025'!C146)</f>
        <v/>
      </c>
      <c r="D146" s="1" t="str">
        <f>IF('1.1 Produksi Bersih Padi 2025'!D146="","",'1.1 Produksi Bersih Padi 2025'!D146)</f>
        <v/>
      </c>
      <c r="E146" s="1" t="str">
        <f>IF('1.1 Produksi Bersih Padi 2025'!E146="","",'1.1 Produksi Bersih Padi 2025'!E146)</f>
        <v/>
      </c>
      <c r="F146" s="28" t="str">
        <f>IF(D146="","",VLOOKUP(D146,'[1]0.1 Produksi Pangan &amp; Penduduk'!$D$5:$AE$860,28,0))</f>
        <v/>
      </c>
      <c r="G146" s="29" t="str">
        <f t="shared" si="10"/>
        <v/>
      </c>
      <c r="H146" s="29" t="str">
        <f t="shared" si="11"/>
        <v/>
      </c>
      <c r="I146" s="29" t="str">
        <f t="shared" si="12"/>
        <v/>
      </c>
      <c r="J146" s="29" t="str">
        <f t="shared" si="13"/>
        <v/>
      </c>
      <c r="K146" s="29" t="str">
        <f t="shared" si="14"/>
        <v/>
      </c>
    </row>
    <row r="147" spans="1:11" ht="15" x14ac:dyDescent="0.25">
      <c r="A147" s="1" t="str">
        <f>IF('1.1 Produksi Bersih Padi 2025'!A147="","",'1.1 Produksi Bersih Padi 2025'!A147)</f>
        <v/>
      </c>
      <c r="B147" s="31" t="str">
        <f>IF('1.1 Produksi Bersih Padi 2025'!B147="","",'1.1 Produksi Bersih Padi 2025'!B147)</f>
        <v/>
      </c>
      <c r="C147" s="31" t="str">
        <f>IF('1.1 Produksi Bersih Padi 2025'!C147="","",'1.1 Produksi Bersih Padi 2025'!C147)</f>
        <v/>
      </c>
      <c r="D147" s="1" t="str">
        <f>IF('1.1 Produksi Bersih Padi 2025'!D147="","",'1.1 Produksi Bersih Padi 2025'!D147)</f>
        <v/>
      </c>
      <c r="E147" s="1" t="str">
        <f>IF('1.1 Produksi Bersih Padi 2025'!E147="","",'1.1 Produksi Bersih Padi 2025'!E147)</f>
        <v/>
      </c>
      <c r="F147" s="28" t="str">
        <f>IF(D147="","",VLOOKUP(D147,'[1]0.1 Produksi Pangan &amp; Penduduk'!$D$5:$AE$860,28,0))</f>
        <v/>
      </c>
      <c r="G147" s="29" t="str">
        <f t="shared" si="10"/>
        <v/>
      </c>
      <c r="H147" s="29" t="str">
        <f t="shared" si="11"/>
        <v/>
      </c>
      <c r="I147" s="29" t="str">
        <f t="shared" si="12"/>
        <v/>
      </c>
      <c r="J147" s="29" t="str">
        <f t="shared" si="13"/>
        <v/>
      </c>
      <c r="K147" s="29" t="str">
        <f t="shared" si="14"/>
        <v/>
      </c>
    </row>
    <row r="148" spans="1:11" ht="15" x14ac:dyDescent="0.25">
      <c r="A148" s="1" t="str">
        <f>IF('1.1 Produksi Bersih Padi 2025'!A148="","",'1.1 Produksi Bersih Padi 2025'!A148)</f>
        <v/>
      </c>
      <c r="B148" s="31" t="str">
        <f>IF('1.1 Produksi Bersih Padi 2025'!B148="","",'1.1 Produksi Bersih Padi 2025'!B148)</f>
        <v/>
      </c>
      <c r="C148" s="31" t="str">
        <f>IF('1.1 Produksi Bersih Padi 2025'!C148="","",'1.1 Produksi Bersih Padi 2025'!C148)</f>
        <v/>
      </c>
      <c r="D148" s="1" t="str">
        <f>IF('1.1 Produksi Bersih Padi 2025'!D148="","",'1.1 Produksi Bersih Padi 2025'!D148)</f>
        <v/>
      </c>
      <c r="E148" s="1" t="str">
        <f>IF('1.1 Produksi Bersih Padi 2025'!E148="","",'1.1 Produksi Bersih Padi 2025'!E148)</f>
        <v/>
      </c>
      <c r="F148" s="28" t="str">
        <f>IF(D148="","",VLOOKUP(D148,'[1]0.1 Produksi Pangan &amp; Penduduk'!$D$5:$AE$860,28,0))</f>
        <v/>
      </c>
      <c r="G148" s="29" t="str">
        <f t="shared" si="10"/>
        <v/>
      </c>
      <c r="H148" s="29" t="str">
        <f t="shared" si="11"/>
        <v/>
      </c>
      <c r="I148" s="29" t="str">
        <f t="shared" si="12"/>
        <v/>
      </c>
      <c r="J148" s="29" t="str">
        <f t="shared" si="13"/>
        <v/>
      </c>
      <c r="K148" s="29" t="str">
        <f t="shared" si="14"/>
        <v/>
      </c>
    </row>
    <row r="149" spans="1:11" ht="15" x14ac:dyDescent="0.25">
      <c r="A149" s="1" t="str">
        <f>IF('1.1 Produksi Bersih Padi 2025'!A149="","",'1.1 Produksi Bersih Padi 2025'!A149)</f>
        <v/>
      </c>
      <c r="B149" s="31" t="str">
        <f>IF('1.1 Produksi Bersih Padi 2025'!B149="","",'1.1 Produksi Bersih Padi 2025'!B149)</f>
        <v/>
      </c>
      <c r="C149" s="31" t="str">
        <f>IF('1.1 Produksi Bersih Padi 2025'!C149="","",'1.1 Produksi Bersih Padi 2025'!C149)</f>
        <v/>
      </c>
      <c r="D149" s="1" t="str">
        <f>IF('1.1 Produksi Bersih Padi 2025'!D149="","",'1.1 Produksi Bersih Padi 2025'!D149)</f>
        <v/>
      </c>
      <c r="E149" s="1" t="str">
        <f>IF('1.1 Produksi Bersih Padi 2025'!E149="","",'1.1 Produksi Bersih Padi 2025'!E149)</f>
        <v/>
      </c>
      <c r="F149" s="28" t="str">
        <f>IF(D149="","",VLOOKUP(D149,'[1]0.1 Produksi Pangan &amp; Penduduk'!$D$5:$AE$860,28,0))</f>
        <v/>
      </c>
      <c r="G149" s="29" t="str">
        <f t="shared" si="10"/>
        <v/>
      </c>
      <c r="H149" s="29" t="str">
        <f t="shared" si="11"/>
        <v/>
      </c>
      <c r="I149" s="29" t="str">
        <f t="shared" si="12"/>
        <v/>
      </c>
      <c r="J149" s="29" t="str">
        <f t="shared" si="13"/>
        <v/>
      </c>
      <c r="K149" s="29" t="str">
        <f t="shared" si="14"/>
        <v/>
      </c>
    </row>
    <row r="150" spans="1:11" ht="15" x14ac:dyDescent="0.25">
      <c r="A150" s="1" t="str">
        <f>IF('1.1 Produksi Bersih Padi 2025'!A150="","",'1.1 Produksi Bersih Padi 2025'!A150)</f>
        <v/>
      </c>
      <c r="B150" s="31" t="str">
        <f>IF('1.1 Produksi Bersih Padi 2025'!B150="","",'1.1 Produksi Bersih Padi 2025'!B150)</f>
        <v/>
      </c>
      <c r="C150" s="31" t="str">
        <f>IF('1.1 Produksi Bersih Padi 2025'!C150="","",'1.1 Produksi Bersih Padi 2025'!C150)</f>
        <v/>
      </c>
      <c r="D150" s="1" t="str">
        <f>IF('1.1 Produksi Bersih Padi 2025'!D150="","",'1.1 Produksi Bersih Padi 2025'!D150)</f>
        <v/>
      </c>
      <c r="E150" s="1" t="str">
        <f>IF('1.1 Produksi Bersih Padi 2025'!E150="","",'1.1 Produksi Bersih Padi 2025'!E150)</f>
        <v/>
      </c>
      <c r="F150" s="28" t="str">
        <f>IF(D150="","",VLOOKUP(D150,'[1]0.1 Produksi Pangan &amp; Penduduk'!$D$5:$AE$860,28,0))</f>
        <v/>
      </c>
      <c r="G150" s="29" t="str">
        <f t="shared" si="10"/>
        <v/>
      </c>
      <c r="H150" s="29" t="str">
        <f t="shared" si="11"/>
        <v/>
      </c>
      <c r="I150" s="29" t="str">
        <f t="shared" si="12"/>
        <v/>
      </c>
      <c r="J150" s="29" t="str">
        <f t="shared" si="13"/>
        <v/>
      </c>
      <c r="K150" s="29" t="str">
        <f t="shared" si="14"/>
        <v/>
      </c>
    </row>
    <row r="151" spans="1:11" ht="15" x14ac:dyDescent="0.25">
      <c r="A151" s="1" t="str">
        <f>IF('1.1 Produksi Bersih Padi 2025'!A151="","",'1.1 Produksi Bersih Padi 2025'!A151)</f>
        <v/>
      </c>
      <c r="B151" s="31" t="str">
        <f>IF('1.1 Produksi Bersih Padi 2025'!B151="","",'1.1 Produksi Bersih Padi 2025'!B151)</f>
        <v/>
      </c>
      <c r="C151" s="31" t="str">
        <f>IF('1.1 Produksi Bersih Padi 2025'!C151="","",'1.1 Produksi Bersih Padi 2025'!C151)</f>
        <v/>
      </c>
      <c r="D151" s="1" t="str">
        <f>IF('1.1 Produksi Bersih Padi 2025'!D151="","",'1.1 Produksi Bersih Padi 2025'!D151)</f>
        <v/>
      </c>
      <c r="E151" s="1" t="str">
        <f>IF('1.1 Produksi Bersih Padi 2025'!E151="","",'1.1 Produksi Bersih Padi 2025'!E151)</f>
        <v/>
      </c>
      <c r="F151" s="28" t="str">
        <f>IF(D151="","",VLOOKUP(D151,'[1]0.1 Produksi Pangan &amp; Penduduk'!$D$5:$AE$860,28,0))</f>
        <v/>
      </c>
      <c r="G151" s="29" t="str">
        <f t="shared" si="10"/>
        <v/>
      </c>
      <c r="H151" s="29" t="str">
        <f t="shared" si="11"/>
        <v/>
      </c>
      <c r="I151" s="29" t="str">
        <f t="shared" si="12"/>
        <v/>
      </c>
      <c r="J151" s="29" t="str">
        <f t="shared" si="13"/>
        <v/>
      </c>
      <c r="K151" s="29" t="str">
        <f t="shared" si="14"/>
        <v/>
      </c>
    </row>
    <row r="152" spans="1:11" ht="15" x14ac:dyDescent="0.25">
      <c r="A152" s="1" t="str">
        <f>IF('1.1 Produksi Bersih Padi 2025'!A152="","",'1.1 Produksi Bersih Padi 2025'!A152)</f>
        <v/>
      </c>
      <c r="B152" s="31" t="str">
        <f>IF('1.1 Produksi Bersih Padi 2025'!B152="","",'1.1 Produksi Bersih Padi 2025'!B152)</f>
        <v/>
      </c>
      <c r="C152" s="31" t="str">
        <f>IF('1.1 Produksi Bersih Padi 2025'!C152="","",'1.1 Produksi Bersih Padi 2025'!C152)</f>
        <v/>
      </c>
      <c r="D152" s="1" t="str">
        <f>IF('1.1 Produksi Bersih Padi 2025'!D152="","",'1.1 Produksi Bersih Padi 2025'!D152)</f>
        <v/>
      </c>
      <c r="E152" s="1" t="str">
        <f>IF('1.1 Produksi Bersih Padi 2025'!E152="","",'1.1 Produksi Bersih Padi 2025'!E152)</f>
        <v/>
      </c>
      <c r="F152" s="28" t="str">
        <f>IF(D152="","",VLOOKUP(D152,'[1]0.1 Produksi Pangan &amp; Penduduk'!$D$5:$AE$860,28,0))</f>
        <v/>
      </c>
      <c r="G152" s="29" t="str">
        <f t="shared" si="10"/>
        <v/>
      </c>
      <c r="H152" s="29" t="str">
        <f t="shared" si="11"/>
        <v/>
      </c>
      <c r="I152" s="29" t="str">
        <f t="shared" si="12"/>
        <v/>
      </c>
      <c r="J152" s="29" t="str">
        <f t="shared" si="13"/>
        <v/>
      </c>
      <c r="K152" s="29" t="str">
        <f t="shared" si="14"/>
        <v/>
      </c>
    </row>
    <row r="153" spans="1:11" ht="15" x14ac:dyDescent="0.25">
      <c r="A153" s="1" t="str">
        <f>IF('1.1 Produksi Bersih Padi 2025'!A153="","",'1.1 Produksi Bersih Padi 2025'!A153)</f>
        <v/>
      </c>
      <c r="B153" s="31" t="str">
        <f>IF('1.1 Produksi Bersih Padi 2025'!B153="","",'1.1 Produksi Bersih Padi 2025'!B153)</f>
        <v/>
      </c>
      <c r="C153" s="31" t="str">
        <f>IF('1.1 Produksi Bersih Padi 2025'!C153="","",'1.1 Produksi Bersih Padi 2025'!C153)</f>
        <v/>
      </c>
      <c r="D153" s="1" t="str">
        <f>IF('1.1 Produksi Bersih Padi 2025'!D153="","",'1.1 Produksi Bersih Padi 2025'!D153)</f>
        <v/>
      </c>
      <c r="E153" s="1" t="str">
        <f>IF('1.1 Produksi Bersih Padi 2025'!E153="","",'1.1 Produksi Bersih Padi 2025'!E153)</f>
        <v/>
      </c>
      <c r="F153" s="28" t="str">
        <f>IF(D153="","",VLOOKUP(D153,'[1]0.1 Produksi Pangan &amp; Penduduk'!$D$5:$AE$860,28,0))</f>
        <v/>
      </c>
      <c r="G153" s="29" t="str">
        <f t="shared" si="10"/>
        <v/>
      </c>
      <c r="H153" s="29" t="str">
        <f t="shared" si="11"/>
        <v/>
      </c>
      <c r="I153" s="29" t="str">
        <f t="shared" si="12"/>
        <v/>
      </c>
      <c r="J153" s="29" t="str">
        <f t="shared" si="13"/>
        <v/>
      </c>
      <c r="K153" s="29" t="str">
        <f t="shared" si="14"/>
        <v/>
      </c>
    </row>
    <row r="154" spans="1:11" ht="15" x14ac:dyDescent="0.25">
      <c r="A154" s="1" t="str">
        <f>IF('1.1 Produksi Bersih Padi 2025'!A154="","",'1.1 Produksi Bersih Padi 2025'!A154)</f>
        <v/>
      </c>
      <c r="B154" s="31" t="str">
        <f>IF('1.1 Produksi Bersih Padi 2025'!B154="","",'1.1 Produksi Bersih Padi 2025'!B154)</f>
        <v/>
      </c>
      <c r="C154" s="31" t="str">
        <f>IF('1.1 Produksi Bersih Padi 2025'!C154="","",'1.1 Produksi Bersih Padi 2025'!C154)</f>
        <v/>
      </c>
      <c r="D154" s="1" t="str">
        <f>IF('1.1 Produksi Bersih Padi 2025'!D154="","",'1.1 Produksi Bersih Padi 2025'!D154)</f>
        <v/>
      </c>
      <c r="E154" s="1" t="str">
        <f>IF('1.1 Produksi Bersih Padi 2025'!E154="","",'1.1 Produksi Bersih Padi 2025'!E154)</f>
        <v/>
      </c>
      <c r="F154" s="28" t="str">
        <f>IF(D154="","",VLOOKUP(D154,'[1]0.1 Produksi Pangan &amp; Penduduk'!$D$5:$AE$860,28,0))</f>
        <v/>
      </c>
      <c r="G154" s="29" t="str">
        <f t="shared" si="10"/>
        <v/>
      </c>
      <c r="H154" s="29" t="str">
        <f t="shared" si="11"/>
        <v/>
      </c>
      <c r="I154" s="29" t="str">
        <f t="shared" si="12"/>
        <v/>
      </c>
      <c r="J154" s="29" t="str">
        <f t="shared" si="13"/>
        <v/>
      </c>
      <c r="K154" s="29" t="str">
        <f t="shared" si="14"/>
        <v/>
      </c>
    </row>
    <row r="155" spans="1:11" ht="15" x14ac:dyDescent="0.25">
      <c r="A155" s="1" t="str">
        <f>IF('1.1 Produksi Bersih Padi 2025'!A155="","",'1.1 Produksi Bersih Padi 2025'!A155)</f>
        <v/>
      </c>
      <c r="B155" s="31" t="str">
        <f>IF('1.1 Produksi Bersih Padi 2025'!B155="","",'1.1 Produksi Bersih Padi 2025'!B155)</f>
        <v/>
      </c>
      <c r="C155" s="31" t="str">
        <f>IF('1.1 Produksi Bersih Padi 2025'!C155="","",'1.1 Produksi Bersih Padi 2025'!C155)</f>
        <v/>
      </c>
      <c r="D155" s="1" t="str">
        <f>IF('1.1 Produksi Bersih Padi 2025'!D155="","",'1.1 Produksi Bersih Padi 2025'!D155)</f>
        <v/>
      </c>
      <c r="E155" s="1" t="str">
        <f>IF('1.1 Produksi Bersih Padi 2025'!E155="","",'1.1 Produksi Bersih Padi 2025'!E155)</f>
        <v/>
      </c>
      <c r="F155" s="28" t="str">
        <f>IF(D155="","",VLOOKUP(D155,'[1]0.1 Produksi Pangan &amp; Penduduk'!$D$5:$AE$860,28,0))</f>
        <v/>
      </c>
      <c r="G155" s="29" t="str">
        <f t="shared" si="10"/>
        <v/>
      </c>
      <c r="H155" s="29" t="str">
        <f t="shared" si="11"/>
        <v/>
      </c>
      <c r="I155" s="29" t="str">
        <f t="shared" si="12"/>
        <v/>
      </c>
      <c r="J155" s="29" t="str">
        <f t="shared" si="13"/>
        <v/>
      </c>
      <c r="K155" s="29" t="str">
        <f t="shared" si="14"/>
        <v/>
      </c>
    </row>
    <row r="156" spans="1:11" ht="15" x14ac:dyDescent="0.25">
      <c r="A156" s="1" t="str">
        <f>IF('1.1 Produksi Bersih Padi 2025'!A156="","",'1.1 Produksi Bersih Padi 2025'!A156)</f>
        <v/>
      </c>
      <c r="B156" s="31" t="str">
        <f>IF('1.1 Produksi Bersih Padi 2025'!B156="","",'1.1 Produksi Bersih Padi 2025'!B156)</f>
        <v/>
      </c>
      <c r="C156" s="31" t="str">
        <f>IF('1.1 Produksi Bersih Padi 2025'!C156="","",'1.1 Produksi Bersih Padi 2025'!C156)</f>
        <v/>
      </c>
      <c r="D156" s="1" t="str">
        <f>IF('1.1 Produksi Bersih Padi 2025'!D156="","",'1.1 Produksi Bersih Padi 2025'!D156)</f>
        <v/>
      </c>
      <c r="E156" s="1" t="str">
        <f>IF('1.1 Produksi Bersih Padi 2025'!E156="","",'1.1 Produksi Bersih Padi 2025'!E156)</f>
        <v/>
      </c>
      <c r="F156" s="28" t="str">
        <f>IF(D156="","",VLOOKUP(D156,'[1]0.1 Produksi Pangan &amp; Penduduk'!$D$5:$AE$860,28,0))</f>
        <v/>
      </c>
      <c r="G156" s="29" t="str">
        <f t="shared" si="10"/>
        <v/>
      </c>
      <c r="H156" s="29" t="str">
        <f t="shared" si="11"/>
        <v/>
      </c>
      <c r="I156" s="29" t="str">
        <f t="shared" si="12"/>
        <v/>
      </c>
      <c r="J156" s="29" t="str">
        <f t="shared" si="13"/>
        <v/>
      </c>
      <c r="K156" s="29" t="str">
        <f t="shared" si="14"/>
        <v/>
      </c>
    </row>
    <row r="157" spans="1:11" ht="15" x14ac:dyDescent="0.25">
      <c r="A157" s="1" t="str">
        <f>IF('1.1 Produksi Bersih Padi 2025'!A157="","",'1.1 Produksi Bersih Padi 2025'!A157)</f>
        <v/>
      </c>
      <c r="B157" s="31" t="str">
        <f>IF('1.1 Produksi Bersih Padi 2025'!B157="","",'1.1 Produksi Bersih Padi 2025'!B157)</f>
        <v/>
      </c>
      <c r="C157" s="31" t="str">
        <f>IF('1.1 Produksi Bersih Padi 2025'!C157="","",'1.1 Produksi Bersih Padi 2025'!C157)</f>
        <v/>
      </c>
      <c r="D157" s="1" t="str">
        <f>IF('1.1 Produksi Bersih Padi 2025'!D157="","",'1.1 Produksi Bersih Padi 2025'!D157)</f>
        <v/>
      </c>
      <c r="E157" s="1" t="str">
        <f>IF('1.1 Produksi Bersih Padi 2025'!E157="","",'1.1 Produksi Bersih Padi 2025'!E157)</f>
        <v/>
      </c>
      <c r="F157" s="28" t="str">
        <f>IF(D157="","",VLOOKUP(D157,'[1]0.1 Produksi Pangan &amp; Penduduk'!$D$5:$AE$860,28,0))</f>
        <v/>
      </c>
      <c r="G157" s="29" t="str">
        <f t="shared" si="10"/>
        <v/>
      </c>
      <c r="H157" s="29" t="str">
        <f t="shared" si="11"/>
        <v/>
      </c>
      <c r="I157" s="29" t="str">
        <f t="shared" si="12"/>
        <v/>
      </c>
      <c r="J157" s="29" t="str">
        <f t="shared" si="13"/>
        <v/>
      </c>
      <c r="K157" s="29" t="str">
        <f t="shared" si="14"/>
        <v/>
      </c>
    </row>
    <row r="158" spans="1:11" ht="15" x14ac:dyDescent="0.25">
      <c r="A158" s="1" t="str">
        <f>IF('1.1 Produksi Bersih Padi 2025'!A158="","",'1.1 Produksi Bersih Padi 2025'!A158)</f>
        <v/>
      </c>
      <c r="B158" s="31" t="str">
        <f>IF('1.1 Produksi Bersih Padi 2025'!B158="","",'1.1 Produksi Bersih Padi 2025'!B158)</f>
        <v/>
      </c>
      <c r="C158" s="31" t="str">
        <f>IF('1.1 Produksi Bersih Padi 2025'!C158="","",'1.1 Produksi Bersih Padi 2025'!C158)</f>
        <v/>
      </c>
      <c r="D158" s="1" t="str">
        <f>IF('1.1 Produksi Bersih Padi 2025'!D158="","",'1.1 Produksi Bersih Padi 2025'!D158)</f>
        <v/>
      </c>
      <c r="E158" s="1" t="str">
        <f>IF('1.1 Produksi Bersih Padi 2025'!E158="","",'1.1 Produksi Bersih Padi 2025'!E158)</f>
        <v/>
      </c>
      <c r="F158" s="28" t="str">
        <f>IF(D158="","",VLOOKUP(D158,'[1]0.1 Produksi Pangan &amp; Penduduk'!$D$5:$AE$860,28,0))</f>
        <v/>
      </c>
      <c r="G158" s="29" t="str">
        <f t="shared" si="10"/>
        <v/>
      </c>
      <c r="H158" s="29" t="str">
        <f t="shared" si="11"/>
        <v/>
      </c>
      <c r="I158" s="29" t="str">
        <f t="shared" si="12"/>
        <v/>
      </c>
      <c r="J158" s="29" t="str">
        <f t="shared" si="13"/>
        <v/>
      </c>
      <c r="K158" s="29" t="str">
        <f t="shared" si="14"/>
        <v/>
      </c>
    </row>
    <row r="159" spans="1:11" ht="15" x14ac:dyDescent="0.25">
      <c r="A159" s="1" t="str">
        <f>IF('1.1 Produksi Bersih Padi 2025'!A159="","",'1.1 Produksi Bersih Padi 2025'!A159)</f>
        <v/>
      </c>
      <c r="B159" s="31" t="str">
        <f>IF('1.1 Produksi Bersih Padi 2025'!B159="","",'1.1 Produksi Bersih Padi 2025'!B159)</f>
        <v/>
      </c>
      <c r="C159" s="31" t="str">
        <f>IF('1.1 Produksi Bersih Padi 2025'!C159="","",'1.1 Produksi Bersih Padi 2025'!C159)</f>
        <v/>
      </c>
      <c r="D159" s="1" t="str">
        <f>IF('1.1 Produksi Bersih Padi 2025'!D159="","",'1.1 Produksi Bersih Padi 2025'!D159)</f>
        <v/>
      </c>
      <c r="E159" s="1" t="str">
        <f>IF('1.1 Produksi Bersih Padi 2025'!E159="","",'1.1 Produksi Bersih Padi 2025'!E159)</f>
        <v/>
      </c>
      <c r="F159" s="28" t="str">
        <f>IF(D159="","",VLOOKUP(D159,'[1]0.1 Produksi Pangan &amp; Penduduk'!$D$5:$AE$860,28,0))</f>
        <v/>
      </c>
      <c r="G159" s="29" t="str">
        <f t="shared" si="10"/>
        <v/>
      </c>
      <c r="H159" s="29" t="str">
        <f t="shared" si="11"/>
        <v/>
      </c>
      <c r="I159" s="29" t="str">
        <f t="shared" si="12"/>
        <v/>
      </c>
      <c r="J159" s="29" t="str">
        <f t="shared" si="13"/>
        <v/>
      </c>
      <c r="K159" s="29" t="str">
        <f t="shared" si="14"/>
        <v/>
      </c>
    </row>
    <row r="160" spans="1:11" ht="15" x14ac:dyDescent="0.25">
      <c r="A160" s="1" t="str">
        <f>IF('1.1 Produksi Bersih Padi 2025'!A160="","",'1.1 Produksi Bersih Padi 2025'!A160)</f>
        <v/>
      </c>
      <c r="B160" s="31" t="str">
        <f>IF('1.1 Produksi Bersih Padi 2025'!B160="","",'1.1 Produksi Bersih Padi 2025'!B160)</f>
        <v/>
      </c>
      <c r="C160" s="31" t="str">
        <f>IF('1.1 Produksi Bersih Padi 2025'!C160="","",'1.1 Produksi Bersih Padi 2025'!C160)</f>
        <v/>
      </c>
      <c r="D160" s="1" t="str">
        <f>IF('1.1 Produksi Bersih Padi 2025'!D160="","",'1.1 Produksi Bersih Padi 2025'!D160)</f>
        <v/>
      </c>
      <c r="E160" s="1" t="str">
        <f>IF('1.1 Produksi Bersih Padi 2025'!E160="","",'1.1 Produksi Bersih Padi 2025'!E160)</f>
        <v/>
      </c>
      <c r="F160" s="28" t="str">
        <f>IF(D160="","",VLOOKUP(D160,'[1]0.1 Produksi Pangan &amp; Penduduk'!$D$5:$AE$860,28,0))</f>
        <v/>
      </c>
      <c r="G160" s="29" t="str">
        <f t="shared" si="10"/>
        <v/>
      </c>
      <c r="H160" s="29" t="str">
        <f t="shared" si="11"/>
        <v/>
      </c>
      <c r="I160" s="29" t="str">
        <f t="shared" si="12"/>
        <v/>
      </c>
      <c r="J160" s="29" t="str">
        <f t="shared" si="13"/>
        <v/>
      </c>
      <c r="K160" s="29" t="str">
        <f t="shared" si="14"/>
        <v/>
      </c>
    </row>
    <row r="161" spans="1:11" ht="15" x14ac:dyDescent="0.25">
      <c r="A161" s="1" t="str">
        <f>IF('1.1 Produksi Bersih Padi 2025'!A161="","",'1.1 Produksi Bersih Padi 2025'!A161)</f>
        <v/>
      </c>
      <c r="B161" s="31" t="str">
        <f>IF('1.1 Produksi Bersih Padi 2025'!B161="","",'1.1 Produksi Bersih Padi 2025'!B161)</f>
        <v/>
      </c>
      <c r="C161" s="31" t="str">
        <f>IF('1.1 Produksi Bersih Padi 2025'!C161="","",'1.1 Produksi Bersih Padi 2025'!C161)</f>
        <v/>
      </c>
      <c r="D161" s="1" t="str">
        <f>IF('1.1 Produksi Bersih Padi 2025'!D161="","",'1.1 Produksi Bersih Padi 2025'!D161)</f>
        <v/>
      </c>
      <c r="E161" s="1" t="str">
        <f>IF('1.1 Produksi Bersih Padi 2025'!E161="","",'1.1 Produksi Bersih Padi 2025'!E161)</f>
        <v/>
      </c>
      <c r="F161" s="28" t="str">
        <f>IF(D161="","",VLOOKUP(D161,'[1]0.1 Produksi Pangan &amp; Penduduk'!$D$5:$AE$860,28,0))</f>
        <v/>
      </c>
      <c r="G161" s="29" t="str">
        <f t="shared" si="10"/>
        <v/>
      </c>
      <c r="H161" s="29" t="str">
        <f t="shared" si="11"/>
        <v/>
      </c>
      <c r="I161" s="29" t="str">
        <f t="shared" si="12"/>
        <v/>
      </c>
      <c r="J161" s="29" t="str">
        <f t="shared" si="13"/>
        <v/>
      </c>
      <c r="K161" s="29" t="str">
        <f t="shared" si="14"/>
        <v/>
      </c>
    </row>
    <row r="162" spans="1:11" ht="15" x14ac:dyDescent="0.25">
      <c r="A162" s="1" t="str">
        <f>IF('1.1 Produksi Bersih Padi 2025'!A162="","",'1.1 Produksi Bersih Padi 2025'!A162)</f>
        <v/>
      </c>
      <c r="B162" s="31" t="str">
        <f>IF('1.1 Produksi Bersih Padi 2025'!B162="","",'1.1 Produksi Bersih Padi 2025'!B162)</f>
        <v/>
      </c>
      <c r="C162" s="31" t="str">
        <f>IF('1.1 Produksi Bersih Padi 2025'!C162="","",'1.1 Produksi Bersih Padi 2025'!C162)</f>
        <v/>
      </c>
      <c r="D162" s="1" t="str">
        <f>IF('1.1 Produksi Bersih Padi 2025'!D162="","",'1.1 Produksi Bersih Padi 2025'!D162)</f>
        <v/>
      </c>
      <c r="E162" s="1" t="str">
        <f>IF('1.1 Produksi Bersih Padi 2025'!E162="","",'1.1 Produksi Bersih Padi 2025'!E162)</f>
        <v/>
      </c>
      <c r="F162" s="28" t="str">
        <f>IF(D162="","",VLOOKUP(D162,'[1]0.1 Produksi Pangan &amp; Penduduk'!$D$5:$AE$860,28,0))</f>
        <v/>
      </c>
      <c r="G162" s="29" t="str">
        <f t="shared" si="10"/>
        <v/>
      </c>
      <c r="H162" s="29" t="str">
        <f t="shared" si="11"/>
        <v/>
      </c>
      <c r="I162" s="29" t="str">
        <f t="shared" si="12"/>
        <v/>
      </c>
      <c r="J162" s="29" t="str">
        <f t="shared" si="13"/>
        <v/>
      </c>
      <c r="K162" s="29" t="str">
        <f t="shared" si="14"/>
        <v/>
      </c>
    </row>
    <row r="163" spans="1:11" ht="15" x14ac:dyDescent="0.25">
      <c r="A163" s="1" t="str">
        <f>IF('1.1 Produksi Bersih Padi 2025'!A163="","",'1.1 Produksi Bersih Padi 2025'!A163)</f>
        <v/>
      </c>
      <c r="B163" s="31" t="str">
        <f>IF('1.1 Produksi Bersih Padi 2025'!B163="","",'1.1 Produksi Bersih Padi 2025'!B163)</f>
        <v/>
      </c>
      <c r="C163" s="31" t="str">
        <f>IF('1.1 Produksi Bersih Padi 2025'!C163="","",'1.1 Produksi Bersih Padi 2025'!C163)</f>
        <v/>
      </c>
      <c r="D163" s="1" t="str">
        <f>IF('1.1 Produksi Bersih Padi 2025'!D163="","",'1.1 Produksi Bersih Padi 2025'!D163)</f>
        <v/>
      </c>
      <c r="E163" s="1" t="str">
        <f>IF('1.1 Produksi Bersih Padi 2025'!E163="","",'1.1 Produksi Bersih Padi 2025'!E163)</f>
        <v/>
      </c>
      <c r="F163" s="28" t="str">
        <f>IF(D163="","",VLOOKUP(D163,'[1]0.1 Produksi Pangan &amp; Penduduk'!$D$5:$AE$860,28,0))</f>
        <v/>
      </c>
      <c r="G163" s="29" t="str">
        <f t="shared" si="10"/>
        <v/>
      </c>
      <c r="H163" s="29" t="str">
        <f t="shared" si="11"/>
        <v/>
      </c>
      <c r="I163" s="29" t="str">
        <f t="shared" si="12"/>
        <v/>
      </c>
      <c r="J163" s="29" t="str">
        <f t="shared" si="13"/>
        <v/>
      </c>
      <c r="K163" s="29" t="str">
        <f t="shared" si="14"/>
        <v/>
      </c>
    </row>
    <row r="164" spans="1:11" ht="15" x14ac:dyDescent="0.25">
      <c r="A164" s="1" t="str">
        <f>IF('1.1 Produksi Bersih Padi 2025'!A164="","",'1.1 Produksi Bersih Padi 2025'!A164)</f>
        <v/>
      </c>
      <c r="B164" s="31" t="str">
        <f>IF('1.1 Produksi Bersih Padi 2025'!B164="","",'1.1 Produksi Bersih Padi 2025'!B164)</f>
        <v/>
      </c>
      <c r="C164" s="31" t="str">
        <f>IF('1.1 Produksi Bersih Padi 2025'!C164="","",'1.1 Produksi Bersih Padi 2025'!C164)</f>
        <v/>
      </c>
      <c r="D164" s="1" t="str">
        <f>IF('1.1 Produksi Bersih Padi 2025'!D164="","",'1.1 Produksi Bersih Padi 2025'!D164)</f>
        <v/>
      </c>
      <c r="E164" s="1" t="str">
        <f>IF('1.1 Produksi Bersih Padi 2025'!E164="","",'1.1 Produksi Bersih Padi 2025'!E164)</f>
        <v/>
      </c>
      <c r="F164" s="28" t="str">
        <f>IF(D164="","",VLOOKUP(D164,'[1]0.1 Produksi Pangan &amp; Penduduk'!$D$5:$AE$860,28,0))</f>
        <v/>
      </c>
      <c r="G164" s="29" t="str">
        <f t="shared" si="10"/>
        <v/>
      </c>
      <c r="H164" s="29" t="str">
        <f t="shared" si="11"/>
        <v/>
      </c>
      <c r="I164" s="29" t="str">
        <f t="shared" si="12"/>
        <v/>
      </c>
      <c r="J164" s="29" t="str">
        <f t="shared" si="13"/>
        <v/>
      </c>
      <c r="K164" s="29" t="str">
        <f t="shared" si="14"/>
        <v/>
      </c>
    </row>
    <row r="165" spans="1:11" ht="15" x14ac:dyDescent="0.25">
      <c r="A165" s="1" t="str">
        <f>IF('1.1 Produksi Bersih Padi 2025'!A165="","",'1.1 Produksi Bersih Padi 2025'!A165)</f>
        <v/>
      </c>
      <c r="B165" s="31" t="str">
        <f>IF('1.1 Produksi Bersih Padi 2025'!B165="","",'1.1 Produksi Bersih Padi 2025'!B165)</f>
        <v/>
      </c>
      <c r="C165" s="31" t="str">
        <f>IF('1.1 Produksi Bersih Padi 2025'!C165="","",'1.1 Produksi Bersih Padi 2025'!C165)</f>
        <v/>
      </c>
      <c r="D165" s="1" t="str">
        <f>IF('1.1 Produksi Bersih Padi 2025'!D165="","",'1.1 Produksi Bersih Padi 2025'!D165)</f>
        <v/>
      </c>
      <c r="E165" s="1" t="str">
        <f>IF('1.1 Produksi Bersih Padi 2025'!E165="","",'1.1 Produksi Bersih Padi 2025'!E165)</f>
        <v/>
      </c>
      <c r="F165" s="28" t="str">
        <f>IF(D165="","",VLOOKUP(D165,'[1]0.1 Produksi Pangan &amp; Penduduk'!$D$5:$AE$860,28,0))</f>
        <v/>
      </c>
      <c r="G165" s="29" t="str">
        <f t="shared" si="10"/>
        <v/>
      </c>
      <c r="H165" s="29" t="str">
        <f t="shared" si="11"/>
        <v/>
      </c>
      <c r="I165" s="29" t="str">
        <f t="shared" si="12"/>
        <v/>
      </c>
      <c r="J165" s="29" t="str">
        <f t="shared" si="13"/>
        <v/>
      </c>
      <c r="K165" s="29" t="str">
        <f t="shared" si="14"/>
        <v/>
      </c>
    </row>
    <row r="166" spans="1:11" ht="15" x14ac:dyDescent="0.25">
      <c r="A166" s="1" t="str">
        <f>IF('1.1 Produksi Bersih Padi 2025'!A166="","",'1.1 Produksi Bersih Padi 2025'!A166)</f>
        <v/>
      </c>
      <c r="B166" s="31" t="str">
        <f>IF('1.1 Produksi Bersih Padi 2025'!B166="","",'1.1 Produksi Bersih Padi 2025'!B166)</f>
        <v/>
      </c>
      <c r="C166" s="31" t="str">
        <f>IF('1.1 Produksi Bersih Padi 2025'!C166="","",'1.1 Produksi Bersih Padi 2025'!C166)</f>
        <v/>
      </c>
      <c r="D166" s="1" t="str">
        <f>IF('1.1 Produksi Bersih Padi 2025'!D166="","",'1.1 Produksi Bersih Padi 2025'!D166)</f>
        <v/>
      </c>
      <c r="E166" s="1" t="str">
        <f>IF('1.1 Produksi Bersih Padi 2025'!E166="","",'1.1 Produksi Bersih Padi 2025'!E166)</f>
        <v/>
      </c>
      <c r="F166" s="28" t="str">
        <f>IF(D166="","",VLOOKUP(D166,'[1]0.1 Produksi Pangan &amp; Penduduk'!$D$5:$AE$860,28,0))</f>
        <v/>
      </c>
      <c r="G166" s="29" t="str">
        <f t="shared" si="10"/>
        <v/>
      </c>
      <c r="H166" s="29" t="str">
        <f t="shared" si="11"/>
        <v/>
      </c>
      <c r="I166" s="29" t="str">
        <f t="shared" si="12"/>
        <v/>
      </c>
      <c r="J166" s="29" t="str">
        <f t="shared" si="13"/>
        <v/>
      </c>
      <c r="K166" s="29" t="str">
        <f t="shared" si="14"/>
        <v/>
      </c>
    </row>
    <row r="167" spans="1:11" ht="15" x14ac:dyDescent="0.25">
      <c r="A167" s="1" t="str">
        <f>IF('1.1 Produksi Bersih Padi 2025'!A167="","",'1.1 Produksi Bersih Padi 2025'!A167)</f>
        <v/>
      </c>
      <c r="B167" s="31" t="str">
        <f>IF('1.1 Produksi Bersih Padi 2025'!B167="","",'1.1 Produksi Bersih Padi 2025'!B167)</f>
        <v/>
      </c>
      <c r="C167" s="31" t="str">
        <f>IF('1.1 Produksi Bersih Padi 2025'!C167="","",'1.1 Produksi Bersih Padi 2025'!C167)</f>
        <v/>
      </c>
      <c r="D167" s="1" t="str">
        <f>IF('1.1 Produksi Bersih Padi 2025'!D167="","",'1.1 Produksi Bersih Padi 2025'!D167)</f>
        <v/>
      </c>
      <c r="E167" s="1" t="str">
        <f>IF('1.1 Produksi Bersih Padi 2025'!E167="","",'1.1 Produksi Bersih Padi 2025'!E167)</f>
        <v/>
      </c>
      <c r="F167" s="28" t="str">
        <f>IF(D167="","",VLOOKUP(D167,'[1]0.1 Produksi Pangan &amp; Penduduk'!$D$5:$AE$860,28,0))</f>
        <v/>
      </c>
      <c r="G167" s="29" t="str">
        <f t="shared" si="10"/>
        <v/>
      </c>
      <c r="H167" s="29" t="str">
        <f t="shared" si="11"/>
        <v/>
      </c>
      <c r="I167" s="29" t="str">
        <f t="shared" si="12"/>
        <v/>
      </c>
      <c r="J167" s="29" t="str">
        <f t="shared" si="13"/>
        <v/>
      </c>
      <c r="K167" s="29" t="str">
        <f t="shared" si="14"/>
        <v/>
      </c>
    </row>
    <row r="168" spans="1:11" ht="15" x14ac:dyDescent="0.25">
      <c r="A168" s="1" t="str">
        <f>IF('1.1 Produksi Bersih Padi 2025'!A168="","",'1.1 Produksi Bersih Padi 2025'!A168)</f>
        <v/>
      </c>
      <c r="B168" s="31" t="str">
        <f>IF('1.1 Produksi Bersih Padi 2025'!B168="","",'1.1 Produksi Bersih Padi 2025'!B168)</f>
        <v/>
      </c>
      <c r="C168" s="31" t="str">
        <f>IF('1.1 Produksi Bersih Padi 2025'!C168="","",'1.1 Produksi Bersih Padi 2025'!C168)</f>
        <v/>
      </c>
      <c r="D168" s="1" t="str">
        <f>IF('1.1 Produksi Bersih Padi 2025'!D168="","",'1.1 Produksi Bersih Padi 2025'!D168)</f>
        <v/>
      </c>
      <c r="E168" s="1" t="str">
        <f>IF('1.1 Produksi Bersih Padi 2025'!E168="","",'1.1 Produksi Bersih Padi 2025'!E168)</f>
        <v/>
      </c>
      <c r="F168" s="28" t="str">
        <f>IF(D168="","",VLOOKUP(D168,'[1]0.1 Produksi Pangan &amp; Penduduk'!$D$5:$AE$860,28,0))</f>
        <v/>
      </c>
      <c r="G168" s="29" t="str">
        <f t="shared" si="10"/>
        <v/>
      </c>
      <c r="H168" s="29" t="str">
        <f t="shared" si="11"/>
        <v/>
      </c>
      <c r="I168" s="29" t="str">
        <f t="shared" si="12"/>
        <v/>
      </c>
      <c r="J168" s="29" t="str">
        <f t="shared" si="13"/>
        <v/>
      </c>
      <c r="K168" s="29" t="str">
        <f t="shared" si="14"/>
        <v/>
      </c>
    </row>
    <row r="169" spans="1:11" ht="15" x14ac:dyDescent="0.25">
      <c r="A169" s="1" t="str">
        <f>IF('1.1 Produksi Bersih Padi 2025'!A169="","",'1.1 Produksi Bersih Padi 2025'!A169)</f>
        <v/>
      </c>
      <c r="B169" s="31" t="str">
        <f>IF('1.1 Produksi Bersih Padi 2025'!B169="","",'1.1 Produksi Bersih Padi 2025'!B169)</f>
        <v/>
      </c>
      <c r="C169" s="31" t="str">
        <f>IF('1.1 Produksi Bersih Padi 2025'!C169="","",'1.1 Produksi Bersih Padi 2025'!C169)</f>
        <v/>
      </c>
      <c r="D169" s="1" t="str">
        <f>IF('1.1 Produksi Bersih Padi 2025'!D169="","",'1.1 Produksi Bersih Padi 2025'!D169)</f>
        <v/>
      </c>
      <c r="E169" s="1" t="str">
        <f>IF('1.1 Produksi Bersih Padi 2025'!E169="","",'1.1 Produksi Bersih Padi 2025'!E169)</f>
        <v/>
      </c>
      <c r="F169" s="28" t="str">
        <f>IF(D169="","",VLOOKUP(D169,'[1]0.1 Produksi Pangan &amp; Penduduk'!$D$5:$AE$860,28,0))</f>
        <v/>
      </c>
      <c r="G169" s="29" t="str">
        <f t="shared" si="10"/>
        <v/>
      </c>
      <c r="H169" s="29" t="str">
        <f t="shared" si="11"/>
        <v/>
      </c>
      <c r="I169" s="29" t="str">
        <f t="shared" si="12"/>
        <v/>
      </c>
      <c r="J169" s="29" t="str">
        <f t="shared" si="13"/>
        <v/>
      </c>
      <c r="K169" s="29" t="str">
        <f t="shared" si="14"/>
        <v/>
      </c>
    </row>
    <row r="170" spans="1:11" ht="15" x14ac:dyDescent="0.25">
      <c r="A170" s="1" t="str">
        <f>IF('1.1 Produksi Bersih Padi 2025'!A170="","",'1.1 Produksi Bersih Padi 2025'!A170)</f>
        <v/>
      </c>
      <c r="B170" s="31" t="str">
        <f>IF('1.1 Produksi Bersih Padi 2025'!B170="","",'1.1 Produksi Bersih Padi 2025'!B170)</f>
        <v/>
      </c>
      <c r="C170" s="31" t="str">
        <f>IF('1.1 Produksi Bersih Padi 2025'!C170="","",'1.1 Produksi Bersih Padi 2025'!C170)</f>
        <v/>
      </c>
      <c r="D170" s="1" t="str">
        <f>IF('1.1 Produksi Bersih Padi 2025'!D170="","",'1.1 Produksi Bersih Padi 2025'!D170)</f>
        <v/>
      </c>
      <c r="E170" s="1" t="str">
        <f>IF('1.1 Produksi Bersih Padi 2025'!E170="","",'1.1 Produksi Bersih Padi 2025'!E170)</f>
        <v/>
      </c>
      <c r="F170" s="28" t="str">
        <f>IF(D170="","",VLOOKUP(D170,'[1]0.1 Produksi Pangan &amp; Penduduk'!$D$5:$AE$860,28,0))</f>
        <v/>
      </c>
      <c r="G170" s="29" t="str">
        <f t="shared" si="10"/>
        <v/>
      </c>
      <c r="H170" s="29" t="str">
        <f t="shared" si="11"/>
        <v/>
      </c>
      <c r="I170" s="29" t="str">
        <f t="shared" si="12"/>
        <v/>
      </c>
      <c r="J170" s="29" t="str">
        <f t="shared" si="13"/>
        <v/>
      </c>
      <c r="K170" s="29" t="str">
        <f t="shared" si="14"/>
        <v/>
      </c>
    </row>
    <row r="171" spans="1:11" ht="15" x14ac:dyDescent="0.25">
      <c r="A171" s="1" t="str">
        <f>IF('1.1 Produksi Bersih Padi 2025'!A171="","",'1.1 Produksi Bersih Padi 2025'!A171)</f>
        <v/>
      </c>
      <c r="B171" s="31" t="str">
        <f>IF('1.1 Produksi Bersih Padi 2025'!B171="","",'1.1 Produksi Bersih Padi 2025'!B171)</f>
        <v/>
      </c>
      <c r="C171" s="31" t="str">
        <f>IF('1.1 Produksi Bersih Padi 2025'!C171="","",'1.1 Produksi Bersih Padi 2025'!C171)</f>
        <v/>
      </c>
      <c r="D171" s="1" t="str">
        <f>IF('1.1 Produksi Bersih Padi 2025'!D171="","",'1.1 Produksi Bersih Padi 2025'!D171)</f>
        <v/>
      </c>
      <c r="E171" s="1" t="str">
        <f>IF('1.1 Produksi Bersih Padi 2025'!E171="","",'1.1 Produksi Bersih Padi 2025'!E171)</f>
        <v/>
      </c>
      <c r="F171" s="28" t="str">
        <f>IF(D171="","",VLOOKUP(D171,'[1]0.1 Produksi Pangan &amp; Penduduk'!$D$5:$AE$860,28,0))</f>
        <v/>
      </c>
      <c r="G171" s="29" t="str">
        <f t="shared" si="10"/>
        <v/>
      </c>
      <c r="H171" s="29" t="str">
        <f t="shared" si="11"/>
        <v/>
      </c>
      <c r="I171" s="29" t="str">
        <f t="shared" si="12"/>
        <v/>
      </c>
      <c r="J171" s="29" t="str">
        <f t="shared" si="13"/>
        <v/>
      </c>
      <c r="K171" s="29" t="str">
        <f t="shared" si="14"/>
        <v/>
      </c>
    </row>
    <row r="172" spans="1:11" ht="15" x14ac:dyDescent="0.25">
      <c r="A172" s="1" t="str">
        <f>IF('1.1 Produksi Bersih Padi 2025'!A172="","",'1.1 Produksi Bersih Padi 2025'!A172)</f>
        <v/>
      </c>
      <c r="B172" s="31" t="str">
        <f>IF('1.1 Produksi Bersih Padi 2025'!B172="","",'1.1 Produksi Bersih Padi 2025'!B172)</f>
        <v/>
      </c>
      <c r="C172" s="31" t="str">
        <f>IF('1.1 Produksi Bersih Padi 2025'!C172="","",'1.1 Produksi Bersih Padi 2025'!C172)</f>
        <v/>
      </c>
      <c r="D172" s="1" t="str">
        <f>IF('1.1 Produksi Bersih Padi 2025'!D172="","",'1.1 Produksi Bersih Padi 2025'!D172)</f>
        <v/>
      </c>
      <c r="E172" s="1" t="str">
        <f>IF('1.1 Produksi Bersih Padi 2025'!E172="","",'1.1 Produksi Bersih Padi 2025'!E172)</f>
        <v/>
      </c>
      <c r="F172" s="28" t="str">
        <f>IF(D172="","",VLOOKUP(D172,'[1]0.1 Produksi Pangan &amp; Penduduk'!$D$5:$AE$860,28,0))</f>
        <v/>
      </c>
      <c r="G172" s="29" t="str">
        <f t="shared" si="10"/>
        <v/>
      </c>
      <c r="H172" s="29" t="str">
        <f t="shared" si="11"/>
        <v/>
      </c>
      <c r="I172" s="29" t="str">
        <f t="shared" si="12"/>
        <v/>
      </c>
      <c r="J172" s="29" t="str">
        <f t="shared" si="13"/>
        <v/>
      </c>
      <c r="K172" s="29" t="str">
        <f t="shared" si="14"/>
        <v/>
      </c>
    </row>
    <row r="173" spans="1:11" ht="15" x14ac:dyDescent="0.25">
      <c r="A173" s="1" t="str">
        <f>IF('1.1 Produksi Bersih Padi 2025'!A173="","",'1.1 Produksi Bersih Padi 2025'!A173)</f>
        <v/>
      </c>
      <c r="B173" s="31" t="str">
        <f>IF('1.1 Produksi Bersih Padi 2025'!B173="","",'1.1 Produksi Bersih Padi 2025'!B173)</f>
        <v/>
      </c>
      <c r="C173" s="31" t="str">
        <f>IF('1.1 Produksi Bersih Padi 2025'!C173="","",'1.1 Produksi Bersih Padi 2025'!C173)</f>
        <v/>
      </c>
      <c r="D173" s="1" t="str">
        <f>IF('1.1 Produksi Bersih Padi 2025'!D173="","",'1.1 Produksi Bersih Padi 2025'!D173)</f>
        <v/>
      </c>
      <c r="E173" s="1" t="str">
        <f>IF('1.1 Produksi Bersih Padi 2025'!E173="","",'1.1 Produksi Bersih Padi 2025'!E173)</f>
        <v/>
      </c>
      <c r="F173" s="28" t="str">
        <f>IF(D173="","",VLOOKUP(D173,'[1]0.1 Produksi Pangan &amp; Penduduk'!$D$5:$AE$860,28,0))</f>
        <v/>
      </c>
      <c r="G173" s="29" t="str">
        <f t="shared" si="10"/>
        <v/>
      </c>
      <c r="H173" s="29" t="str">
        <f t="shared" si="11"/>
        <v/>
      </c>
      <c r="I173" s="29" t="str">
        <f t="shared" si="12"/>
        <v/>
      </c>
      <c r="J173" s="29" t="str">
        <f t="shared" si="13"/>
        <v/>
      </c>
      <c r="K173" s="29" t="str">
        <f t="shared" si="14"/>
        <v/>
      </c>
    </row>
    <row r="174" spans="1:11" ht="15" x14ac:dyDescent="0.25">
      <c r="A174" s="1" t="str">
        <f>IF('1.1 Produksi Bersih Padi 2025'!A174="","",'1.1 Produksi Bersih Padi 2025'!A174)</f>
        <v/>
      </c>
      <c r="B174" s="31" t="str">
        <f>IF('1.1 Produksi Bersih Padi 2025'!B174="","",'1.1 Produksi Bersih Padi 2025'!B174)</f>
        <v/>
      </c>
      <c r="C174" s="31" t="str">
        <f>IF('1.1 Produksi Bersih Padi 2025'!C174="","",'1.1 Produksi Bersih Padi 2025'!C174)</f>
        <v/>
      </c>
      <c r="D174" s="1" t="str">
        <f>IF('1.1 Produksi Bersih Padi 2025'!D174="","",'1.1 Produksi Bersih Padi 2025'!D174)</f>
        <v/>
      </c>
      <c r="E174" s="1" t="str">
        <f>IF('1.1 Produksi Bersih Padi 2025'!E174="","",'1.1 Produksi Bersih Padi 2025'!E174)</f>
        <v/>
      </c>
      <c r="F174" s="28" t="str">
        <f>IF(D174="","",VLOOKUP(D174,'[1]0.1 Produksi Pangan &amp; Penduduk'!$D$5:$AE$860,28,0))</f>
        <v/>
      </c>
      <c r="G174" s="29" t="str">
        <f t="shared" si="10"/>
        <v/>
      </c>
      <c r="H174" s="29" t="str">
        <f t="shared" si="11"/>
        <v/>
      </c>
      <c r="I174" s="29" t="str">
        <f t="shared" si="12"/>
        <v/>
      </c>
      <c r="J174" s="29" t="str">
        <f t="shared" si="13"/>
        <v/>
      </c>
      <c r="K174" s="29" t="str">
        <f t="shared" si="14"/>
        <v/>
      </c>
    </row>
    <row r="175" spans="1:11" ht="15" x14ac:dyDescent="0.25">
      <c r="A175" s="1" t="str">
        <f>IF('1.1 Produksi Bersih Padi 2025'!A175="","",'1.1 Produksi Bersih Padi 2025'!A175)</f>
        <v/>
      </c>
      <c r="B175" s="31" t="str">
        <f>IF('1.1 Produksi Bersih Padi 2025'!B175="","",'1.1 Produksi Bersih Padi 2025'!B175)</f>
        <v/>
      </c>
      <c r="C175" s="31" t="str">
        <f>IF('1.1 Produksi Bersih Padi 2025'!C175="","",'1.1 Produksi Bersih Padi 2025'!C175)</f>
        <v/>
      </c>
      <c r="D175" s="1" t="str">
        <f>IF('1.1 Produksi Bersih Padi 2025'!D175="","",'1.1 Produksi Bersih Padi 2025'!D175)</f>
        <v/>
      </c>
      <c r="E175" s="1" t="str">
        <f>IF('1.1 Produksi Bersih Padi 2025'!E175="","",'1.1 Produksi Bersih Padi 2025'!E175)</f>
        <v/>
      </c>
      <c r="F175" s="28" t="str">
        <f>IF(D175="","",VLOOKUP(D175,'[1]0.1 Produksi Pangan &amp; Penduduk'!$D$5:$AE$860,28,0))</f>
        <v/>
      </c>
      <c r="G175" s="29" t="str">
        <f t="shared" si="10"/>
        <v/>
      </c>
      <c r="H175" s="29" t="str">
        <f t="shared" si="11"/>
        <v/>
      </c>
      <c r="I175" s="29" t="str">
        <f t="shared" si="12"/>
        <v/>
      </c>
      <c r="J175" s="29" t="str">
        <f t="shared" si="13"/>
        <v/>
      </c>
      <c r="K175" s="29" t="str">
        <f t="shared" si="14"/>
        <v/>
      </c>
    </row>
    <row r="176" spans="1:11" ht="15" x14ac:dyDescent="0.25">
      <c r="A176" s="1" t="str">
        <f>IF('1.1 Produksi Bersih Padi 2025'!A176="","",'1.1 Produksi Bersih Padi 2025'!A176)</f>
        <v/>
      </c>
      <c r="B176" s="31" t="str">
        <f>IF('1.1 Produksi Bersih Padi 2025'!B176="","",'1.1 Produksi Bersih Padi 2025'!B176)</f>
        <v/>
      </c>
      <c r="C176" s="31" t="str">
        <f>IF('1.1 Produksi Bersih Padi 2025'!C176="","",'1.1 Produksi Bersih Padi 2025'!C176)</f>
        <v/>
      </c>
      <c r="D176" s="1" t="str">
        <f>IF('1.1 Produksi Bersih Padi 2025'!D176="","",'1.1 Produksi Bersih Padi 2025'!D176)</f>
        <v/>
      </c>
      <c r="E176" s="1" t="str">
        <f>IF('1.1 Produksi Bersih Padi 2025'!E176="","",'1.1 Produksi Bersih Padi 2025'!E176)</f>
        <v/>
      </c>
      <c r="F176" s="28" t="str">
        <f>IF(D176="","",VLOOKUP(D176,'[1]0.1 Produksi Pangan &amp; Penduduk'!$D$5:$AE$860,28,0))</f>
        <v/>
      </c>
      <c r="G176" s="29" t="str">
        <f t="shared" si="10"/>
        <v/>
      </c>
      <c r="H176" s="29" t="str">
        <f t="shared" si="11"/>
        <v/>
      </c>
      <c r="I176" s="29" t="str">
        <f t="shared" si="12"/>
        <v/>
      </c>
      <c r="J176" s="29" t="str">
        <f t="shared" si="13"/>
        <v/>
      </c>
      <c r="K176" s="29" t="str">
        <f t="shared" si="14"/>
        <v/>
      </c>
    </row>
    <row r="177" spans="1:11" ht="15" x14ac:dyDescent="0.25">
      <c r="A177" s="1" t="str">
        <f>IF('1.1 Produksi Bersih Padi 2025'!A177="","",'1.1 Produksi Bersih Padi 2025'!A177)</f>
        <v/>
      </c>
      <c r="B177" s="31" t="str">
        <f>IF('1.1 Produksi Bersih Padi 2025'!B177="","",'1.1 Produksi Bersih Padi 2025'!B177)</f>
        <v/>
      </c>
      <c r="C177" s="31" t="str">
        <f>IF('1.1 Produksi Bersih Padi 2025'!C177="","",'1.1 Produksi Bersih Padi 2025'!C177)</f>
        <v/>
      </c>
      <c r="D177" s="1" t="str">
        <f>IF('1.1 Produksi Bersih Padi 2025'!D177="","",'1.1 Produksi Bersih Padi 2025'!D177)</f>
        <v/>
      </c>
      <c r="E177" s="1" t="str">
        <f>IF('1.1 Produksi Bersih Padi 2025'!E177="","",'1.1 Produksi Bersih Padi 2025'!E177)</f>
        <v/>
      </c>
      <c r="F177" s="28" t="str">
        <f>IF(D177="","",VLOOKUP(D177,'[1]0.1 Produksi Pangan &amp; Penduduk'!$D$5:$AE$860,28,0))</f>
        <v/>
      </c>
      <c r="G177" s="29" t="str">
        <f t="shared" si="10"/>
        <v/>
      </c>
      <c r="H177" s="29" t="str">
        <f t="shared" si="11"/>
        <v/>
      </c>
      <c r="I177" s="29" t="str">
        <f t="shared" si="12"/>
        <v/>
      </c>
      <c r="J177" s="29" t="str">
        <f t="shared" si="13"/>
        <v/>
      </c>
      <c r="K177" s="29" t="str">
        <f t="shared" si="14"/>
        <v/>
      </c>
    </row>
    <row r="178" spans="1:11" ht="15" x14ac:dyDescent="0.25">
      <c r="A178" s="1" t="str">
        <f>IF('1.1 Produksi Bersih Padi 2025'!A178="","",'1.1 Produksi Bersih Padi 2025'!A178)</f>
        <v/>
      </c>
      <c r="B178" s="31" t="str">
        <f>IF('1.1 Produksi Bersih Padi 2025'!B178="","",'1.1 Produksi Bersih Padi 2025'!B178)</f>
        <v/>
      </c>
      <c r="C178" s="31" t="str">
        <f>IF('1.1 Produksi Bersih Padi 2025'!C178="","",'1.1 Produksi Bersih Padi 2025'!C178)</f>
        <v/>
      </c>
      <c r="D178" s="1" t="str">
        <f>IF('1.1 Produksi Bersih Padi 2025'!D178="","",'1.1 Produksi Bersih Padi 2025'!D178)</f>
        <v/>
      </c>
      <c r="E178" s="1" t="str">
        <f>IF('1.1 Produksi Bersih Padi 2025'!E178="","",'1.1 Produksi Bersih Padi 2025'!E178)</f>
        <v/>
      </c>
      <c r="F178" s="28" t="str">
        <f>IF(D178="","",VLOOKUP(D178,'[1]0.1 Produksi Pangan &amp; Penduduk'!$D$5:$AE$860,28,0))</f>
        <v/>
      </c>
      <c r="G178" s="29" t="str">
        <f t="shared" si="10"/>
        <v/>
      </c>
      <c r="H178" s="29" t="str">
        <f t="shared" si="11"/>
        <v/>
      </c>
      <c r="I178" s="29" t="str">
        <f t="shared" si="12"/>
        <v/>
      </c>
      <c r="J178" s="29" t="str">
        <f t="shared" si="13"/>
        <v/>
      </c>
      <c r="K178" s="29" t="str">
        <f t="shared" si="14"/>
        <v/>
      </c>
    </row>
    <row r="179" spans="1:11" ht="15" x14ac:dyDescent="0.25">
      <c r="A179" s="1" t="str">
        <f>IF('1.1 Produksi Bersih Padi 2025'!A179="","",'1.1 Produksi Bersih Padi 2025'!A179)</f>
        <v/>
      </c>
      <c r="B179" s="31" t="str">
        <f>IF('1.1 Produksi Bersih Padi 2025'!B179="","",'1.1 Produksi Bersih Padi 2025'!B179)</f>
        <v/>
      </c>
      <c r="C179" s="31" t="str">
        <f>IF('1.1 Produksi Bersih Padi 2025'!C179="","",'1.1 Produksi Bersih Padi 2025'!C179)</f>
        <v/>
      </c>
      <c r="D179" s="1" t="str">
        <f>IF('1.1 Produksi Bersih Padi 2025'!D179="","",'1.1 Produksi Bersih Padi 2025'!D179)</f>
        <v/>
      </c>
      <c r="E179" s="1" t="str">
        <f>IF('1.1 Produksi Bersih Padi 2025'!E179="","",'1.1 Produksi Bersih Padi 2025'!E179)</f>
        <v/>
      </c>
      <c r="F179" s="28" t="str">
        <f>IF(D179="","",VLOOKUP(D179,'[1]0.1 Produksi Pangan &amp; Penduduk'!$D$5:$AE$860,28,0))</f>
        <v/>
      </c>
      <c r="G179" s="29" t="str">
        <f t="shared" si="10"/>
        <v/>
      </c>
      <c r="H179" s="29" t="str">
        <f t="shared" si="11"/>
        <v/>
      </c>
      <c r="I179" s="29" t="str">
        <f t="shared" si="12"/>
        <v/>
      </c>
      <c r="J179" s="29" t="str">
        <f t="shared" si="13"/>
        <v/>
      </c>
      <c r="K179" s="29" t="str">
        <f t="shared" si="14"/>
        <v/>
      </c>
    </row>
    <row r="180" spans="1:11" ht="15" x14ac:dyDescent="0.25">
      <c r="A180" s="1" t="str">
        <f>IF('1.1 Produksi Bersih Padi 2025'!A180="","",'1.1 Produksi Bersih Padi 2025'!A180)</f>
        <v/>
      </c>
      <c r="B180" s="31" t="str">
        <f>IF('1.1 Produksi Bersih Padi 2025'!B180="","",'1.1 Produksi Bersih Padi 2025'!B180)</f>
        <v/>
      </c>
      <c r="C180" s="31" t="str">
        <f>IF('1.1 Produksi Bersih Padi 2025'!C180="","",'1.1 Produksi Bersih Padi 2025'!C180)</f>
        <v/>
      </c>
      <c r="D180" s="1" t="str">
        <f>IF('1.1 Produksi Bersih Padi 2025'!D180="","",'1.1 Produksi Bersih Padi 2025'!D180)</f>
        <v/>
      </c>
      <c r="E180" s="1" t="str">
        <f>IF('1.1 Produksi Bersih Padi 2025'!E180="","",'1.1 Produksi Bersih Padi 2025'!E180)</f>
        <v/>
      </c>
      <c r="F180" s="28" t="str">
        <f>IF(D180="","",VLOOKUP(D180,'[1]0.1 Produksi Pangan &amp; Penduduk'!$D$5:$AE$860,28,0))</f>
        <v/>
      </c>
      <c r="G180" s="29" t="str">
        <f t="shared" si="10"/>
        <v/>
      </c>
      <c r="H180" s="29" t="str">
        <f t="shared" si="11"/>
        <v/>
      </c>
      <c r="I180" s="29" t="str">
        <f t="shared" si="12"/>
        <v/>
      </c>
      <c r="J180" s="29" t="str">
        <f t="shared" si="13"/>
        <v/>
      </c>
      <c r="K180" s="29" t="str">
        <f t="shared" si="14"/>
        <v/>
      </c>
    </row>
    <row r="181" spans="1:11" ht="15" x14ac:dyDescent="0.25">
      <c r="A181" s="1" t="str">
        <f>IF('1.1 Produksi Bersih Padi 2025'!A181="","",'1.1 Produksi Bersih Padi 2025'!A181)</f>
        <v/>
      </c>
      <c r="B181" s="31" t="str">
        <f>IF('1.1 Produksi Bersih Padi 2025'!B181="","",'1.1 Produksi Bersih Padi 2025'!B181)</f>
        <v/>
      </c>
      <c r="C181" s="31" t="str">
        <f>IF('1.1 Produksi Bersih Padi 2025'!C181="","",'1.1 Produksi Bersih Padi 2025'!C181)</f>
        <v/>
      </c>
      <c r="D181" s="1" t="str">
        <f>IF('1.1 Produksi Bersih Padi 2025'!D181="","",'1.1 Produksi Bersih Padi 2025'!D181)</f>
        <v/>
      </c>
      <c r="E181" s="1" t="str">
        <f>IF('1.1 Produksi Bersih Padi 2025'!E181="","",'1.1 Produksi Bersih Padi 2025'!E181)</f>
        <v/>
      </c>
      <c r="F181" s="28" t="str">
        <f>IF(D181="","",VLOOKUP(D181,'[1]0.1 Produksi Pangan &amp; Penduduk'!$D$5:$AE$860,28,0))</f>
        <v/>
      </c>
      <c r="G181" s="29" t="str">
        <f t="shared" si="10"/>
        <v/>
      </c>
      <c r="H181" s="29" t="str">
        <f t="shared" si="11"/>
        <v/>
      </c>
      <c r="I181" s="29" t="str">
        <f t="shared" si="12"/>
        <v/>
      </c>
      <c r="J181" s="29" t="str">
        <f t="shared" si="13"/>
        <v/>
      </c>
      <c r="K181" s="29" t="str">
        <f t="shared" si="14"/>
        <v/>
      </c>
    </row>
    <row r="182" spans="1:11" ht="15" x14ac:dyDescent="0.25">
      <c r="A182" s="1" t="str">
        <f>IF('1.1 Produksi Bersih Padi 2025'!A182="","",'1.1 Produksi Bersih Padi 2025'!A182)</f>
        <v/>
      </c>
      <c r="B182" s="31" t="str">
        <f>IF('1.1 Produksi Bersih Padi 2025'!B182="","",'1.1 Produksi Bersih Padi 2025'!B182)</f>
        <v/>
      </c>
      <c r="C182" s="31" t="str">
        <f>IF('1.1 Produksi Bersih Padi 2025'!C182="","",'1.1 Produksi Bersih Padi 2025'!C182)</f>
        <v/>
      </c>
      <c r="D182" s="1" t="str">
        <f>IF('1.1 Produksi Bersih Padi 2025'!D182="","",'1.1 Produksi Bersih Padi 2025'!D182)</f>
        <v/>
      </c>
      <c r="E182" s="1" t="str">
        <f>IF('1.1 Produksi Bersih Padi 2025'!E182="","",'1.1 Produksi Bersih Padi 2025'!E182)</f>
        <v/>
      </c>
      <c r="F182" s="28" t="str">
        <f>IF(D182="","",VLOOKUP(D182,'[1]0.1 Produksi Pangan &amp; Penduduk'!$D$5:$AE$860,28,0))</f>
        <v/>
      </c>
      <c r="G182" s="29" t="str">
        <f t="shared" si="10"/>
        <v/>
      </c>
      <c r="H182" s="29" t="str">
        <f t="shared" si="11"/>
        <v/>
      </c>
      <c r="I182" s="29" t="str">
        <f t="shared" si="12"/>
        <v/>
      </c>
      <c r="J182" s="29" t="str">
        <f t="shared" si="13"/>
        <v/>
      </c>
      <c r="K182" s="29" t="str">
        <f t="shared" si="14"/>
        <v/>
      </c>
    </row>
    <row r="183" spans="1:11" ht="15" x14ac:dyDescent="0.25">
      <c r="A183" s="1" t="str">
        <f>IF('1.1 Produksi Bersih Padi 2025'!A183="","",'1.1 Produksi Bersih Padi 2025'!A183)</f>
        <v/>
      </c>
      <c r="B183" s="31" t="str">
        <f>IF('1.1 Produksi Bersih Padi 2025'!B183="","",'1.1 Produksi Bersih Padi 2025'!B183)</f>
        <v/>
      </c>
      <c r="C183" s="31" t="str">
        <f>IF('1.1 Produksi Bersih Padi 2025'!C183="","",'1.1 Produksi Bersih Padi 2025'!C183)</f>
        <v/>
      </c>
      <c r="D183" s="1" t="str">
        <f>IF('1.1 Produksi Bersih Padi 2025'!D183="","",'1.1 Produksi Bersih Padi 2025'!D183)</f>
        <v/>
      </c>
      <c r="E183" s="1" t="str">
        <f>IF('1.1 Produksi Bersih Padi 2025'!E183="","",'1.1 Produksi Bersih Padi 2025'!E183)</f>
        <v/>
      </c>
      <c r="F183" s="28" t="str">
        <f>IF(D183="","",VLOOKUP(D183,'[1]0.1 Produksi Pangan &amp; Penduduk'!$D$5:$AE$860,28,0))</f>
        <v/>
      </c>
      <c r="G183" s="29" t="str">
        <f t="shared" si="10"/>
        <v/>
      </c>
      <c r="H183" s="29" t="str">
        <f t="shared" si="11"/>
        <v/>
      </c>
      <c r="I183" s="29" t="str">
        <f t="shared" si="12"/>
        <v/>
      </c>
      <c r="J183" s="29" t="str">
        <f t="shared" si="13"/>
        <v/>
      </c>
      <c r="K183" s="29" t="str">
        <f t="shared" si="14"/>
        <v/>
      </c>
    </row>
    <row r="184" spans="1:11" ht="15" x14ac:dyDescent="0.25">
      <c r="A184" s="1" t="str">
        <f>IF('1.1 Produksi Bersih Padi 2025'!A184="","",'1.1 Produksi Bersih Padi 2025'!A184)</f>
        <v/>
      </c>
      <c r="B184" s="31" t="str">
        <f>IF('1.1 Produksi Bersih Padi 2025'!B184="","",'1.1 Produksi Bersih Padi 2025'!B184)</f>
        <v/>
      </c>
      <c r="C184" s="31" t="str">
        <f>IF('1.1 Produksi Bersih Padi 2025'!C184="","",'1.1 Produksi Bersih Padi 2025'!C184)</f>
        <v/>
      </c>
      <c r="D184" s="1" t="str">
        <f>IF('1.1 Produksi Bersih Padi 2025'!D184="","",'1.1 Produksi Bersih Padi 2025'!D184)</f>
        <v/>
      </c>
      <c r="E184" s="1" t="str">
        <f>IF('1.1 Produksi Bersih Padi 2025'!E184="","",'1.1 Produksi Bersih Padi 2025'!E184)</f>
        <v/>
      </c>
      <c r="F184" s="28" t="str">
        <f>IF(D184="","",VLOOKUP(D184,'[1]0.1 Produksi Pangan &amp; Penduduk'!$D$5:$AE$860,28,0))</f>
        <v/>
      </c>
      <c r="G184" s="29" t="str">
        <f t="shared" si="10"/>
        <v/>
      </c>
      <c r="H184" s="29" t="str">
        <f t="shared" si="11"/>
        <v/>
      </c>
      <c r="I184" s="29" t="str">
        <f t="shared" si="12"/>
        <v/>
      </c>
      <c r="J184" s="29" t="str">
        <f t="shared" si="13"/>
        <v/>
      </c>
      <c r="K184" s="29" t="str">
        <f t="shared" si="14"/>
        <v/>
      </c>
    </row>
    <row r="185" spans="1:11" ht="15" x14ac:dyDescent="0.25">
      <c r="A185" s="1" t="str">
        <f>IF('1.1 Produksi Bersih Padi 2025'!A185="","",'1.1 Produksi Bersih Padi 2025'!A185)</f>
        <v/>
      </c>
      <c r="B185" s="31" t="str">
        <f>IF('1.1 Produksi Bersih Padi 2025'!B185="","",'1.1 Produksi Bersih Padi 2025'!B185)</f>
        <v/>
      </c>
      <c r="C185" s="31" t="str">
        <f>IF('1.1 Produksi Bersih Padi 2025'!C185="","",'1.1 Produksi Bersih Padi 2025'!C185)</f>
        <v/>
      </c>
      <c r="D185" s="1" t="str">
        <f>IF('1.1 Produksi Bersih Padi 2025'!D185="","",'1.1 Produksi Bersih Padi 2025'!D185)</f>
        <v/>
      </c>
      <c r="E185" s="1" t="str">
        <f>IF('1.1 Produksi Bersih Padi 2025'!E185="","",'1.1 Produksi Bersih Padi 2025'!E185)</f>
        <v/>
      </c>
      <c r="F185" s="28" t="str">
        <f>IF(D185="","",VLOOKUP(D185,'[1]0.1 Produksi Pangan &amp; Penduduk'!$D$5:$AE$860,28,0))</f>
        <v/>
      </c>
      <c r="G185" s="29" t="str">
        <f t="shared" si="10"/>
        <v/>
      </c>
      <c r="H185" s="29" t="str">
        <f t="shared" si="11"/>
        <v/>
      </c>
      <c r="I185" s="29" t="str">
        <f t="shared" si="12"/>
        <v/>
      </c>
      <c r="J185" s="29" t="str">
        <f t="shared" si="13"/>
        <v/>
      </c>
      <c r="K185" s="29" t="str">
        <f t="shared" si="14"/>
        <v/>
      </c>
    </row>
    <row r="186" spans="1:11" ht="15" x14ac:dyDescent="0.25">
      <c r="A186" s="1" t="str">
        <f>IF('1.1 Produksi Bersih Padi 2025'!A186="","",'1.1 Produksi Bersih Padi 2025'!A186)</f>
        <v/>
      </c>
      <c r="B186" s="31" t="str">
        <f>IF('1.1 Produksi Bersih Padi 2025'!B186="","",'1.1 Produksi Bersih Padi 2025'!B186)</f>
        <v/>
      </c>
      <c r="C186" s="31" t="str">
        <f>IF('1.1 Produksi Bersih Padi 2025'!C186="","",'1.1 Produksi Bersih Padi 2025'!C186)</f>
        <v/>
      </c>
      <c r="D186" s="1" t="str">
        <f>IF('1.1 Produksi Bersih Padi 2025'!D186="","",'1.1 Produksi Bersih Padi 2025'!D186)</f>
        <v/>
      </c>
      <c r="E186" s="1" t="str">
        <f>IF('1.1 Produksi Bersih Padi 2025'!E186="","",'1.1 Produksi Bersih Padi 2025'!E186)</f>
        <v/>
      </c>
      <c r="F186" s="28" t="str">
        <f>IF(D186="","",VLOOKUP(D186,'[1]0.1 Produksi Pangan &amp; Penduduk'!$D$5:$AE$860,28,0))</f>
        <v/>
      </c>
      <c r="G186" s="29" t="str">
        <f t="shared" si="10"/>
        <v/>
      </c>
      <c r="H186" s="29" t="str">
        <f t="shared" si="11"/>
        <v/>
      </c>
      <c r="I186" s="29" t="str">
        <f t="shared" si="12"/>
        <v/>
      </c>
      <c r="J186" s="29" t="str">
        <f t="shared" si="13"/>
        <v/>
      </c>
      <c r="K186" s="29" t="str">
        <f t="shared" si="14"/>
        <v/>
      </c>
    </row>
    <row r="187" spans="1:11" ht="15" x14ac:dyDescent="0.25">
      <c r="A187" s="1" t="str">
        <f>IF('1.1 Produksi Bersih Padi 2025'!A187="","",'1.1 Produksi Bersih Padi 2025'!A187)</f>
        <v/>
      </c>
      <c r="B187" s="31" t="str">
        <f>IF('1.1 Produksi Bersih Padi 2025'!B187="","",'1.1 Produksi Bersih Padi 2025'!B187)</f>
        <v/>
      </c>
      <c r="C187" s="31" t="str">
        <f>IF('1.1 Produksi Bersih Padi 2025'!C187="","",'1.1 Produksi Bersih Padi 2025'!C187)</f>
        <v/>
      </c>
      <c r="D187" s="1" t="str">
        <f>IF('1.1 Produksi Bersih Padi 2025'!D187="","",'1.1 Produksi Bersih Padi 2025'!D187)</f>
        <v/>
      </c>
      <c r="E187" s="1" t="str">
        <f>IF('1.1 Produksi Bersih Padi 2025'!E187="","",'1.1 Produksi Bersih Padi 2025'!E187)</f>
        <v/>
      </c>
      <c r="F187" s="28" t="str">
        <f>IF(D187="","",VLOOKUP(D187,'[1]0.1 Produksi Pangan &amp; Penduduk'!$D$5:$AE$860,28,0))</f>
        <v/>
      </c>
      <c r="G187" s="29" t="str">
        <f t="shared" si="10"/>
        <v/>
      </c>
      <c r="H187" s="29" t="str">
        <f t="shared" si="11"/>
        <v/>
      </c>
      <c r="I187" s="29" t="str">
        <f t="shared" si="12"/>
        <v/>
      </c>
      <c r="J187" s="29" t="str">
        <f t="shared" si="13"/>
        <v/>
      </c>
      <c r="K187" s="29" t="str">
        <f t="shared" si="14"/>
        <v/>
      </c>
    </row>
    <row r="188" spans="1:11" ht="15" x14ac:dyDescent="0.25">
      <c r="A188" s="1" t="str">
        <f>IF('1.1 Produksi Bersih Padi 2025'!A188="","",'1.1 Produksi Bersih Padi 2025'!A188)</f>
        <v/>
      </c>
      <c r="B188" s="31" t="str">
        <f>IF('1.1 Produksi Bersih Padi 2025'!B188="","",'1.1 Produksi Bersih Padi 2025'!B188)</f>
        <v/>
      </c>
      <c r="C188" s="31" t="str">
        <f>IF('1.1 Produksi Bersih Padi 2025'!C188="","",'1.1 Produksi Bersih Padi 2025'!C188)</f>
        <v/>
      </c>
      <c r="D188" s="1" t="str">
        <f>IF('1.1 Produksi Bersih Padi 2025'!D188="","",'1.1 Produksi Bersih Padi 2025'!D188)</f>
        <v/>
      </c>
      <c r="E188" s="1" t="str">
        <f>IF('1.1 Produksi Bersih Padi 2025'!E188="","",'1.1 Produksi Bersih Padi 2025'!E188)</f>
        <v/>
      </c>
      <c r="F188" s="28" t="str">
        <f>IF(D188="","",VLOOKUP(D188,'[1]0.1 Produksi Pangan &amp; Penduduk'!$D$5:$AE$860,28,0))</f>
        <v/>
      </c>
      <c r="G188" s="29" t="str">
        <f t="shared" si="10"/>
        <v/>
      </c>
      <c r="H188" s="29" t="str">
        <f t="shared" si="11"/>
        <v/>
      </c>
      <c r="I188" s="29" t="str">
        <f t="shared" si="12"/>
        <v/>
      </c>
      <c r="J188" s="29" t="str">
        <f t="shared" si="13"/>
        <v/>
      </c>
      <c r="K188" s="29" t="str">
        <f t="shared" si="14"/>
        <v/>
      </c>
    </row>
    <row r="189" spans="1:11" ht="15" x14ac:dyDescent="0.25">
      <c r="A189" s="1" t="str">
        <f>IF('1.1 Produksi Bersih Padi 2025'!A189="","",'1.1 Produksi Bersih Padi 2025'!A189)</f>
        <v/>
      </c>
      <c r="B189" s="31" t="str">
        <f>IF('1.1 Produksi Bersih Padi 2025'!B189="","",'1.1 Produksi Bersih Padi 2025'!B189)</f>
        <v/>
      </c>
      <c r="C189" s="31" t="str">
        <f>IF('1.1 Produksi Bersih Padi 2025'!C189="","",'1.1 Produksi Bersih Padi 2025'!C189)</f>
        <v/>
      </c>
      <c r="D189" s="1" t="str">
        <f>IF('1.1 Produksi Bersih Padi 2025'!D189="","",'1.1 Produksi Bersih Padi 2025'!D189)</f>
        <v/>
      </c>
      <c r="E189" s="1" t="str">
        <f>IF('1.1 Produksi Bersih Padi 2025'!E189="","",'1.1 Produksi Bersih Padi 2025'!E189)</f>
        <v/>
      </c>
      <c r="F189" s="28" t="str">
        <f>IF(D189="","",VLOOKUP(D189,'[1]0.1 Produksi Pangan &amp; Penduduk'!$D$5:$AE$860,28,0))</f>
        <v/>
      </c>
      <c r="G189" s="29" t="str">
        <f t="shared" si="10"/>
        <v/>
      </c>
      <c r="H189" s="29" t="str">
        <f t="shared" si="11"/>
        <v/>
      </c>
      <c r="I189" s="29" t="str">
        <f t="shared" si="12"/>
        <v/>
      </c>
      <c r="J189" s="29" t="str">
        <f t="shared" si="13"/>
        <v/>
      </c>
      <c r="K189" s="29" t="str">
        <f t="shared" si="14"/>
        <v/>
      </c>
    </row>
    <row r="190" spans="1:11" ht="15" x14ac:dyDescent="0.25">
      <c r="A190" s="1" t="str">
        <f>IF('1.1 Produksi Bersih Padi 2025'!A190="","",'1.1 Produksi Bersih Padi 2025'!A190)</f>
        <v/>
      </c>
      <c r="B190" s="31" t="str">
        <f>IF('1.1 Produksi Bersih Padi 2025'!B190="","",'1.1 Produksi Bersih Padi 2025'!B190)</f>
        <v/>
      </c>
      <c r="C190" s="31" t="str">
        <f>IF('1.1 Produksi Bersih Padi 2025'!C190="","",'1.1 Produksi Bersih Padi 2025'!C190)</f>
        <v/>
      </c>
      <c r="D190" s="1" t="str">
        <f>IF('1.1 Produksi Bersih Padi 2025'!D190="","",'1.1 Produksi Bersih Padi 2025'!D190)</f>
        <v/>
      </c>
      <c r="E190" s="1" t="str">
        <f>IF('1.1 Produksi Bersih Padi 2025'!E190="","",'1.1 Produksi Bersih Padi 2025'!E190)</f>
        <v/>
      </c>
      <c r="F190" s="28" t="str">
        <f>IF(D190="","",VLOOKUP(D190,'[1]0.1 Produksi Pangan &amp; Penduduk'!$D$5:$AE$860,28,0))</f>
        <v/>
      </c>
      <c r="G190" s="29" t="str">
        <f t="shared" si="10"/>
        <v/>
      </c>
      <c r="H190" s="29" t="str">
        <f t="shared" si="11"/>
        <v/>
      </c>
      <c r="I190" s="29" t="str">
        <f t="shared" si="12"/>
        <v/>
      </c>
      <c r="J190" s="29" t="str">
        <f t="shared" si="13"/>
        <v/>
      </c>
      <c r="K190" s="29" t="str">
        <f t="shared" si="14"/>
        <v/>
      </c>
    </row>
    <row r="191" spans="1:11" ht="15" x14ac:dyDescent="0.25">
      <c r="A191" s="1" t="str">
        <f>IF('1.1 Produksi Bersih Padi 2025'!A191="","",'1.1 Produksi Bersih Padi 2025'!A191)</f>
        <v/>
      </c>
      <c r="B191" s="31" t="str">
        <f>IF('1.1 Produksi Bersih Padi 2025'!B191="","",'1.1 Produksi Bersih Padi 2025'!B191)</f>
        <v/>
      </c>
      <c r="C191" s="31" t="str">
        <f>IF('1.1 Produksi Bersih Padi 2025'!C191="","",'1.1 Produksi Bersih Padi 2025'!C191)</f>
        <v/>
      </c>
      <c r="D191" s="1" t="str">
        <f>IF('1.1 Produksi Bersih Padi 2025'!D191="","",'1.1 Produksi Bersih Padi 2025'!D191)</f>
        <v/>
      </c>
      <c r="E191" s="1" t="str">
        <f>IF('1.1 Produksi Bersih Padi 2025'!E191="","",'1.1 Produksi Bersih Padi 2025'!E191)</f>
        <v/>
      </c>
      <c r="F191" s="28" t="str">
        <f>IF(D191="","",VLOOKUP(D191,'[1]0.1 Produksi Pangan &amp; Penduduk'!$D$5:$AE$860,28,0))</f>
        <v/>
      </c>
      <c r="G191" s="29" t="str">
        <f t="shared" si="10"/>
        <v/>
      </c>
      <c r="H191" s="29" t="str">
        <f t="shared" si="11"/>
        <v/>
      </c>
      <c r="I191" s="29" t="str">
        <f t="shared" si="12"/>
        <v/>
      </c>
      <c r="J191" s="29" t="str">
        <f t="shared" si="13"/>
        <v/>
      </c>
      <c r="K191" s="29" t="str">
        <f t="shared" si="14"/>
        <v/>
      </c>
    </row>
    <row r="192" spans="1:11" ht="15" x14ac:dyDescent="0.25">
      <c r="A192" s="1" t="str">
        <f>IF('1.1 Produksi Bersih Padi 2025'!A192="","",'1.1 Produksi Bersih Padi 2025'!A192)</f>
        <v/>
      </c>
      <c r="B192" s="31" t="str">
        <f>IF('1.1 Produksi Bersih Padi 2025'!B192="","",'1.1 Produksi Bersih Padi 2025'!B192)</f>
        <v/>
      </c>
      <c r="C192" s="31" t="str">
        <f>IF('1.1 Produksi Bersih Padi 2025'!C192="","",'1.1 Produksi Bersih Padi 2025'!C192)</f>
        <v/>
      </c>
      <c r="D192" s="1" t="str">
        <f>IF('1.1 Produksi Bersih Padi 2025'!D192="","",'1.1 Produksi Bersih Padi 2025'!D192)</f>
        <v/>
      </c>
      <c r="E192" s="1" t="str">
        <f>IF('1.1 Produksi Bersih Padi 2025'!E192="","",'1.1 Produksi Bersih Padi 2025'!E192)</f>
        <v/>
      </c>
      <c r="F192" s="28" t="str">
        <f>IF(D192="","",VLOOKUP(D192,'[1]0.1 Produksi Pangan &amp; Penduduk'!$D$5:$AE$860,28,0))</f>
        <v/>
      </c>
      <c r="G192" s="29" t="str">
        <f t="shared" si="10"/>
        <v/>
      </c>
      <c r="H192" s="29" t="str">
        <f t="shared" si="11"/>
        <v/>
      </c>
      <c r="I192" s="29" t="str">
        <f t="shared" si="12"/>
        <v/>
      </c>
      <c r="J192" s="29" t="str">
        <f t="shared" si="13"/>
        <v/>
      </c>
      <c r="K192" s="29" t="str">
        <f t="shared" si="14"/>
        <v/>
      </c>
    </row>
    <row r="193" spans="1:11" ht="15" x14ac:dyDescent="0.25">
      <c r="A193" s="1" t="str">
        <f>IF('1.1 Produksi Bersih Padi 2025'!A193="","",'1.1 Produksi Bersih Padi 2025'!A193)</f>
        <v/>
      </c>
      <c r="B193" s="31" t="str">
        <f>IF('1.1 Produksi Bersih Padi 2025'!B193="","",'1.1 Produksi Bersih Padi 2025'!B193)</f>
        <v/>
      </c>
      <c r="C193" s="31" t="str">
        <f>IF('1.1 Produksi Bersih Padi 2025'!C193="","",'1.1 Produksi Bersih Padi 2025'!C193)</f>
        <v/>
      </c>
      <c r="D193" s="1" t="str">
        <f>IF('1.1 Produksi Bersih Padi 2025'!D193="","",'1.1 Produksi Bersih Padi 2025'!D193)</f>
        <v/>
      </c>
      <c r="E193" s="1" t="str">
        <f>IF('1.1 Produksi Bersih Padi 2025'!E193="","",'1.1 Produksi Bersih Padi 2025'!E193)</f>
        <v/>
      </c>
      <c r="F193" s="28" t="str">
        <f>IF(D193="","",VLOOKUP(D193,'[1]0.1 Produksi Pangan &amp; Penduduk'!$D$5:$AE$860,28,0))</f>
        <v/>
      </c>
      <c r="G193" s="29" t="str">
        <f t="shared" si="10"/>
        <v/>
      </c>
      <c r="H193" s="29" t="str">
        <f t="shared" si="11"/>
        <v/>
      </c>
      <c r="I193" s="29" t="str">
        <f t="shared" si="12"/>
        <v/>
      </c>
      <c r="J193" s="29" t="str">
        <f t="shared" si="13"/>
        <v/>
      </c>
      <c r="K193" s="29" t="str">
        <f t="shared" si="14"/>
        <v/>
      </c>
    </row>
    <row r="194" spans="1:11" ht="15" x14ac:dyDescent="0.25">
      <c r="A194" s="1" t="str">
        <f>IF('1.1 Produksi Bersih Padi 2025'!A194="","",'1.1 Produksi Bersih Padi 2025'!A194)</f>
        <v/>
      </c>
      <c r="B194" s="31" t="str">
        <f>IF('1.1 Produksi Bersih Padi 2025'!B194="","",'1.1 Produksi Bersih Padi 2025'!B194)</f>
        <v/>
      </c>
      <c r="C194" s="31" t="str">
        <f>IF('1.1 Produksi Bersih Padi 2025'!C194="","",'1.1 Produksi Bersih Padi 2025'!C194)</f>
        <v/>
      </c>
      <c r="D194" s="1" t="str">
        <f>IF('1.1 Produksi Bersih Padi 2025'!D194="","",'1.1 Produksi Bersih Padi 2025'!D194)</f>
        <v/>
      </c>
      <c r="E194" s="1" t="str">
        <f>IF('1.1 Produksi Bersih Padi 2025'!E194="","",'1.1 Produksi Bersih Padi 2025'!E194)</f>
        <v/>
      </c>
      <c r="F194" s="28" t="str">
        <f>IF(D194="","",VLOOKUP(D194,'[1]0.1 Produksi Pangan &amp; Penduduk'!$D$5:$AE$860,28,0))</f>
        <v/>
      </c>
      <c r="G194" s="29" t="str">
        <f t="shared" si="10"/>
        <v/>
      </c>
      <c r="H194" s="29" t="str">
        <f t="shared" si="11"/>
        <v/>
      </c>
      <c r="I194" s="29" t="str">
        <f t="shared" si="12"/>
        <v/>
      </c>
      <c r="J194" s="29" t="str">
        <f t="shared" si="13"/>
        <v/>
      </c>
      <c r="K194" s="29" t="str">
        <f t="shared" si="14"/>
        <v/>
      </c>
    </row>
    <row r="195" spans="1:11" ht="15" x14ac:dyDescent="0.25">
      <c r="A195" s="1" t="str">
        <f>IF('1.1 Produksi Bersih Padi 2025'!A195="","",'1.1 Produksi Bersih Padi 2025'!A195)</f>
        <v/>
      </c>
      <c r="B195" s="31" t="str">
        <f>IF('1.1 Produksi Bersih Padi 2025'!B195="","",'1.1 Produksi Bersih Padi 2025'!B195)</f>
        <v/>
      </c>
      <c r="C195" s="31" t="str">
        <f>IF('1.1 Produksi Bersih Padi 2025'!C195="","",'1.1 Produksi Bersih Padi 2025'!C195)</f>
        <v/>
      </c>
      <c r="D195" s="1" t="str">
        <f>IF('1.1 Produksi Bersih Padi 2025'!D195="","",'1.1 Produksi Bersih Padi 2025'!D195)</f>
        <v/>
      </c>
      <c r="E195" s="1" t="str">
        <f>IF('1.1 Produksi Bersih Padi 2025'!E195="","",'1.1 Produksi Bersih Padi 2025'!E195)</f>
        <v/>
      </c>
      <c r="F195" s="28" t="str">
        <f>IF(D195="","",VLOOKUP(D195,'[1]0.1 Produksi Pangan &amp; Penduduk'!$D$5:$AE$860,28,0))</f>
        <v/>
      </c>
      <c r="G195" s="29" t="str">
        <f t="shared" si="10"/>
        <v/>
      </c>
      <c r="H195" s="29" t="str">
        <f t="shared" si="11"/>
        <v/>
      </c>
      <c r="I195" s="29" t="str">
        <f t="shared" si="12"/>
        <v/>
      </c>
      <c r="J195" s="29" t="str">
        <f t="shared" si="13"/>
        <v/>
      </c>
      <c r="K195" s="29" t="str">
        <f t="shared" si="14"/>
        <v/>
      </c>
    </row>
    <row r="196" spans="1:11" ht="15" x14ac:dyDescent="0.25">
      <c r="A196" s="1" t="str">
        <f>IF('1.1 Produksi Bersih Padi 2025'!A196="","",'1.1 Produksi Bersih Padi 2025'!A196)</f>
        <v/>
      </c>
      <c r="B196" s="31" t="str">
        <f>IF('1.1 Produksi Bersih Padi 2025'!B196="","",'1.1 Produksi Bersih Padi 2025'!B196)</f>
        <v/>
      </c>
      <c r="C196" s="31" t="str">
        <f>IF('1.1 Produksi Bersih Padi 2025'!C196="","",'1.1 Produksi Bersih Padi 2025'!C196)</f>
        <v/>
      </c>
      <c r="D196" s="1" t="str">
        <f>IF('1.1 Produksi Bersih Padi 2025'!D196="","",'1.1 Produksi Bersih Padi 2025'!D196)</f>
        <v/>
      </c>
      <c r="E196" s="1" t="str">
        <f>IF('1.1 Produksi Bersih Padi 2025'!E196="","",'1.1 Produksi Bersih Padi 2025'!E196)</f>
        <v/>
      </c>
      <c r="F196" s="28" t="str">
        <f>IF(D196="","",VLOOKUP(D196,'[1]0.1 Produksi Pangan &amp; Penduduk'!$D$5:$AE$860,28,0))</f>
        <v/>
      </c>
      <c r="G196" s="29" t="str">
        <f t="shared" si="10"/>
        <v/>
      </c>
      <c r="H196" s="29" t="str">
        <f t="shared" si="11"/>
        <v/>
      </c>
      <c r="I196" s="29" t="str">
        <f t="shared" si="12"/>
        <v/>
      </c>
      <c r="J196" s="29" t="str">
        <f t="shared" si="13"/>
        <v/>
      </c>
      <c r="K196" s="29" t="str">
        <f t="shared" si="14"/>
        <v/>
      </c>
    </row>
    <row r="197" spans="1:11" ht="15" x14ac:dyDescent="0.25">
      <c r="A197" s="1" t="str">
        <f>IF('1.1 Produksi Bersih Padi 2025'!A197="","",'1.1 Produksi Bersih Padi 2025'!A197)</f>
        <v/>
      </c>
      <c r="B197" s="31" t="str">
        <f>IF('1.1 Produksi Bersih Padi 2025'!B197="","",'1.1 Produksi Bersih Padi 2025'!B197)</f>
        <v/>
      </c>
      <c r="C197" s="31" t="str">
        <f>IF('1.1 Produksi Bersih Padi 2025'!C197="","",'1.1 Produksi Bersih Padi 2025'!C197)</f>
        <v/>
      </c>
      <c r="D197" s="1" t="str">
        <f>IF('1.1 Produksi Bersih Padi 2025'!D197="","",'1.1 Produksi Bersih Padi 2025'!D197)</f>
        <v/>
      </c>
      <c r="E197" s="1" t="str">
        <f>IF('1.1 Produksi Bersih Padi 2025'!E197="","",'1.1 Produksi Bersih Padi 2025'!E197)</f>
        <v/>
      </c>
      <c r="F197" s="28" t="str">
        <f>IF(D197="","",VLOOKUP(D197,'[1]0.1 Produksi Pangan &amp; Penduduk'!$D$5:$AE$860,28,0))</f>
        <v/>
      </c>
      <c r="G197" s="29" t="str">
        <f t="shared" si="10"/>
        <v/>
      </c>
      <c r="H197" s="29" t="str">
        <f t="shared" si="11"/>
        <v/>
      </c>
      <c r="I197" s="29" t="str">
        <f t="shared" si="12"/>
        <v/>
      </c>
      <c r="J197" s="29" t="str">
        <f t="shared" si="13"/>
        <v/>
      </c>
      <c r="K197" s="29" t="str">
        <f t="shared" si="14"/>
        <v/>
      </c>
    </row>
    <row r="198" spans="1:11" ht="15" x14ac:dyDescent="0.25">
      <c r="A198" s="1" t="str">
        <f>IF('1.1 Produksi Bersih Padi 2025'!A198="","",'1.1 Produksi Bersih Padi 2025'!A198)</f>
        <v/>
      </c>
      <c r="B198" s="31" t="str">
        <f>IF('1.1 Produksi Bersih Padi 2025'!B198="","",'1.1 Produksi Bersih Padi 2025'!B198)</f>
        <v/>
      </c>
      <c r="C198" s="31" t="str">
        <f>IF('1.1 Produksi Bersih Padi 2025'!C198="","",'1.1 Produksi Bersih Padi 2025'!C198)</f>
        <v/>
      </c>
      <c r="D198" s="1" t="str">
        <f>IF('1.1 Produksi Bersih Padi 2025'!D198="","",'1.1 Produksi Bersih Padi 2025'!D198)</f>
        <v/>
      </c>
      <c r="E198" s="1" t="str">
        <f>IF('1.1 Produksi Bersih Padi 2025'!E198="","",'1.1 Produksi Bersih Padi 2025'!E198)</f>
        <v/>
      </c>
      <c r="F198" s="28" t="str">
        <f>IF(D198="","",VLOOKUP(D198,'[1]0.1 Produksi Pangan &amp; Penduduk'!$D$5:$AE$860,28,0))</f>
        <v/>
      </c>
      <c r="G198" s="29" t="str">
        <f t="shared" ref="G198:G261" si="15">IF(F198="","",F198*0%)</f>
        <v/>
      </c>
      <c r="H198" s="29" t="str">
        <f t="shared" ref="H198:H261" si="16">IF(F198="","",F198*0.77%)</f>
        <v/>
      </c>
      <c r="I198" s="29" t="str">
        <f t="shared" ref="I198:I261" si="17">IF(F198="","",F198*4.9%)</f>
        <v/>
      </c>
      <c r="J198" s="29" t="str">
        <f t="shared" ref="J198:J261" si="18">IF(F198="","",F198-(G198+H198+I198))</f>
        <v/>
      </c>
      <c r="K198" s="29" t="str">
        <f t="shared" ref="K198:K261" si="19">IF(J198="","",J198*0.259)</f>
        <v/>
      </c>
    </row>
    <row r="199" spans="1:11" ht="15" x14ac:dyDescent="0.25">
      <c r="A199" s="1" t="str">
        <f>IF('1.1 Produksi Bersih Padi 2025'!A199="","",'1.1 Produksi Bersih Padi 2025'!A199)</f>
        <v/>
      </c>
      <c r="B199" s="31" t="str">
        <f>IF('1.1 Produksi Bersih Padi 2025'!B199="","",'1.1 Produksi Bersih Padi 2025'!B199)</f>
        <v/>
      </c>
      <c r="C199" s="31" t="str">
        <f>IF('1.1 Produksi Bersih Padi 2025'!C199="","",'1.1 Produksi Bersih Padi 2025'!C199)</f>
        <v/>
      </c>
      <c r="D199" s="1" t="str">
        <f>IF('1.1 Produksi Bersih Padi 2025'!D199="","",'1.1 Produksi Bersih Padi 2025'!D199)</f>
        <v/>
      </c>
      <c r="E199" s="1" t="str">
        <f>IF('1.1 Produksi Bersih Padi 2025'!E199="","",'1.1 Produksi Bersih Padi 2025'!E199)</f>
        <v/>
      </c>
      <c r="F199" s="28" t="str">
        <f>IF(D199="","",VLOOKUP(D199,'[1]0.1 Produksi Pangan &amp; Penduduk'!$D$5:$AE$860,28,0))</f>
        <v/>
      </c>
      <c r="G199" s="29" t="str">
        <f t="shared" si="15"/>
        <v/>
      </c>
      <c r="H199" s="29" t="str">
        <f t="shared" si="16"/>
        <v/>
      </c>
      <c r="I199" s="29" t="str">
        <f t="shared" si="17"/>
        <v/>
      </c>
      <c r="J199" s="29" t="str">
        <f t="shared" si="18"/>
        <v/>
      </c>
      <c r="K199" s="29" t="str">
        <f t="shared" si="19"/>
        <v/>
      </c>
    </row>
    <row r="200" spans="1:11" ht="15" x14ac:dyDescent="0.25">
      <c r="A200" s="1" t="str">
        <f>IF('1.1 Produksi Bersih Padi 2025'!A200="","",'1.1 Produksi Bersih Padi 2025'!A200)</f>
        <v/>
      </c>
      <c r="B200" s="31" t="str">
        <f>IF('1.1 Produksi Bersih Padi 2025'!B200="","",'1.1 Produksi Bersih Padi 2025'!B200)</f>
        <v/>
      </c>
      <c r="C200" s="31" t="str">
        <f>IF('1.1 Produksi Bersih Padi 2025'!C200="","",'1.1 Produksi Bersih Padi 2025'!C200)</f>
        <v/>
      </c>
      <c r="D200" s="1" t="str">
        <f>IF('1.1 Produksi Bersih Padi 2025'!D200="","",'1.1 Produksi Bersih Padi 2025'!D200)</f>
        <v/>
      </c>
      <c r="E200" s="1" t="str">
        <f>IF('1.1 Produksi Bersih Padi 2025'!E200="","",'1.1 Produksi Bersih Padi 2025'!E200)</f>
        <v/>
      </c>
      <c r="F200" s="28" t="str">
        <f>IF(D200="","",VLOOKUP(D200,'[1]0.1 Produksi Pangan &amp; Penduduk'!$D$5:$AE$860,28,0))</f>
        <v/>
      </c>
      <c r="G200" s="29" t="str">
        <f t="shared" si="15"/>
        <v/>
      </c>
      <c r="H200" s="29" t="str">
        <f t="shared" si="16"/>
        <v/>
      </c>
      <c r="I200" s="29" t="str">
        <f t="shared" si="17"/>
        <v/>
      </c>
      <c r="J200" s="29" t="str">
        <f t="shared" si="18"/>
        <v/>
      </c>
      <c r="K200" s="29" t="str">
        <f t="shared" si="19"/>
        <v/>
      </c>
    </row>
    <row r="201" spans="1:11" ht="15" x14ac:dyDescent="0.25">
      <c r="A201" s="1" t="str">
        <f>IF('1.1 Produksi Bersih Padi 2025'!A201="","",'1.1 Produksi Bersih Padi 2025'!A201)</f>
        <v/>
      </c>
      <c r="B201" s="31" t="str">
        <f>IF('1.1 Produksi Bersih Padi 2025'!B201="","",'1.1 Produksi Bersih Padi 2025'!B201)</f>
        <v/>
      </c>
      <c r="C201" s="31" t="str">
        <f>IF('1.1 Produksi Bersih Padi 2025'!C201="","",'1.1 Produksi Bersih Padi 2025'!C201)</f>
        <v/>
      </c>
      <c r="D201" s="1" t="str">
        <f>IF('1.1 Produksi Bersih Padi 2025'!D201="","",'1.1 Produksi Bersih Padi 2025'!D201)</f>
        <v/>
      </c>
      <c r="E201" s="1" t="str">
        <f>IF('1.1 Produksi Bersih Padi 2025'!E201="","",'1.1 Produksi Bersih Padi 2025'!E201)</f>
        <v/>
      </c>
      <c r="F201" s="28" t="str">
        <f>IF(D201="","",VLOOKUP(D201,'[1]0.1 Produksi Pangan &amp; Penduduk'!$D$5:$AE$860,28,0))</f>
        <v/>
      </c>
      <c r="G201" s="29" t="str">
        <f t="shared" si="15"/>
        <v/>
      </c>
      <c r="H201" s="29" t="str">
        <f t="shared" si="16"/>
        <v/>
      </c>
      <c r="I201" s="29" t="str">
        <f t="shared" si="17"/>
        <v/>
      </c>
      <c r="J201" s="29" t="str">
        <f t="shared" si="18"/>
        <v/>
      </c>
      <c r="K201" s="29" t="str">
        <f t="shared" si="19"/>
        <v/>
      </c>
    </row>
    <row r="202" spans="1:11" ht="15" x14ac:dyDescent="0.25">
      <c r="A202" s="1" t="str">
        <f>IF('1.1 Produksi Bersih Padi 2025'!A202="","",'1.1 Produksi Bersih Padi 2025'!A202)</f>
        <v/>
      </c>
      <c r="B202" s="31" t="str">
        <f>IF('1.1 Produksi Bersih Padi 2025'!B202="","",'1.1 Produksi Bersih Padi 2025'!B202)</f>
        <v/>
      </c>
      <c r="C202" s="31" t="str">
        <f>IF('1.1 Produksi Bersih Padi 2025'!C202="","",'1.1 Produksi Bersih Padi 2025'!C202)</f>
        <v/>
      </c>
      <c r="D202" s="1" t="str">
        <f>IF('1.1 Produksi Bersih Padi 2025'!D202="","",'1.1 Produksi Bersih Padi 2025'!D202)</f>
        <v/>
      </c>
      <c r="E202" s="1" t="str">
        <f>IF('1.1 Produksi Bersih Padi 2025'!E202="","",'1.1 Produksi Bersih Padi 2025'!E202)</f>
        <v/>
      </c>
      <c r="F202" s="28" t="str">
        <f>IF(D202="","",VLOOKUP(D202,'[1]0.1 Produksi Pangan &amp; Penduduk'!$D$5:$AE$860,28,0))</f>
        <v/>
      </c>
      <c r="G202" s="29" t="str">
        <f t="shared" si="15"/>
        <v/>
      </c>
      <c r="H202" s="29" t="str">
        <f t="shared" si="16"/>
        <v/>
      </c>
      <c r="I202" s="29" t="str">
        <f t="shared" si="17"/>
        <v/>
      </c>
      <c r="J202" s="29" t="str">
        <f t="shared" si="18"/>
        <v/>
      </c>
      <c r="K202" s="29" t="str">
        <f t="shared" si="19"/>
        <v/>
      </c>
    </row>
    <row r="203" spans="1:11" ht="15" x14ac:dyDescent="0.25">
      <c r="A203" s="1" t="str">
        <f>IF('1.1 Produksi Bersih Padi 2025'!A203="","",'1.1 Produksi Bersih Padi 2025'!A203)</f>
        <v/>
      </c>
      <c r="B203" s="31" t="str">
        <f>IF('1.1 Produksi Bersih Padi 2025'!B203="","",'1.1 Produksi Bersih Padi 2025'!B203)</f>
        <v/>
      </c>
      <c r="C203" s="31" t="str">
        <f>IF('1.1 Produksi Bersih Padi 2025'!C203="","",'1.1 Produksi Bersih Padi 2025'!C203)</f>
        <v/>
      </c>
      <c r="D203" s="1" t="str">
        <f>IF('1.1 Produksi Bersih Padi 2025'!D203="","",'1.1 Produksi Bersih Padi 2025'!D203)</f>
        <v/>
      </c>
      <c r="E203" s="1" t="str">
        <f>IF('1.1 Produksi Bersih Padi 2025'!E203="","",'1.1 Produksi Bersih Padi 2025'!E203)</f>
        <v/>
      </c>
      <c r="F203" s="28" t="str">
        <f>IF(D203="","",VLOOKUP(D203,'[1]0.1 Produksi Pangan &amp; Penduduk'!$D$5:$AE$860,28,0))</f>
        <v/>
      </c>
      <c r="G203" s="29" t="str">
        <f t="shared" si="15"/>
        <v/>
      </c>
      <c r="H203" s="29" t="str">
        <f t="shared" si="16"/>
        <v/>
      </c>
      <c r="I203" s="29" t="str">
        <f t="shared" si="17"/>
        <v/>
      </c>
      <c r="J203" s="29" t="str">
        <f t="shared" si="18"/>
        <v/>
      </c>
      <c r="K203" s="29" t="str">
        <f t="shared" si="19"/>
        <v/>
      </c>
    </row>
    <row r="204" spans="1:11" ht="15" x14ac:dyDescent="0.25">
      <c r="A204" s="1" t="str">
        <f>IF('1.1 Produksi Bersih Padi 2025'!A204="","",'1.1 Produksi Bersih Padi 2025'!A204)</f>
        <v/>
      </c>
      <c r="B204" s="31" t="str">
        <f>IF('1.1 Produksi Bersih Padi 2025'!B204="","",'1.1 Produksi Bersih Padi 2025'!B204)</f>
        <v/>
      </c>
      <c r="C204" s="31" t="str">
        <f>IF('1.1 Produksi Bersih Padi 2025'!C204="","",'1.1 Produksi Bersih Padi 2025'!C204)</f>
        <v/>
      </c>
      <c r="D204" s="1" t="str">
        <f>IF('1.1 Produksi Bersih Padi 2025'!D204="","",'1.1 Produksi Bersih Padi 2025'!D204)</f>
        <v/>
      </c>
      <c r="E204" s="1" t="str">
        <f>IF('1.1 Produksi Bersih Padi 2025'!E204="","",'1.1 Produksi Bersih Padi 2025'!E204)</f>
        <v/>
      </c>
      <c r="F204" s="28" t="str">
        <f>IF(D204="","",VLOOKUP(D204,'[1]0.1 Produksi Pangan &amp; Penduduk'!$D$5:$AE$860,28,0))</f>
        <v/>
      </c>
      <c r="G204" s="29" t="str">
        <f t="shared" si="15"/>
        <v/>
      </c>
      <c r="H204" s="29" t="str">
        <f t="shared" si="16"/>
        <v/>
      </c>
      <c r="I204" s="29" t="str">
        <f t="shared" si="17"/>
        <v/>
      </c>
      <c r="J204" s="29" t="str">
        <f t="shared" si="18"/>
        <v/>
      </c>
      <c r="K204" s="29" t="str">
        <f t="shared" si="19"/>
        <v/>
      </c>
    </row>
    <row r="205" spans="1:11" ht="15" x14ac:dyDescent="0.25">
      <c r="A205" s="1" t="str">
        <f>IF('1.1 Produksi Bersih Padi 2025'!A205="","",'1.1 Produksi Bersih Padi 2025'!A205)</f>
        <v/>
      </c>
      <c r="B205" s="31" t="str">
        <f>IF('1.1 Produksi Bersih Padi 2025'!B205="","",'1.1 Produksi Bersih Padi 2025'!B205)</f>
        <v/>
      </c>
      <c r="C205" s="31" t="str">
        <f>IF('1.1 Produksi Bersih Padi 2025'!C205="","",'1.1 Produksi Bersih Padi 2025'!C205)</f>
        <v/>
      </c>
      <c r="D205" s="1" t="str">
        <f>IF('1.1 Produksi Bersih Padi 2025'!D205="","",'1.1 Produksi Bersih Padi 2025'!D205)</f>
        <v/>
      </c>
      <c r="E205" s="1" t="str">
        <f>IF('1.1 Produksi Bersih Padi 2025'!E205="","",'1.1 Produksi Bersih Padi 2025'!E205)</f>
        <v/>
      </c>
      <c r="F205" s="28" t="str">
        <f>IF(D205="","",VLOOKUP(D205,'[1]0.1 Produksi Pangan &amp; Penduduk'!$D$5:$AE$860,28,0))</f>
        <v/>
      </c>
      <c r="G205" s="29" t="str">
        <f t="shared" si="15"/>
        <v/>
      </c>
      <c r="H205" s="29" t="str">
        <f t="shared" si="16"/>
        <v/>
      </c>
      <c r="I205" s="29" t="str">
        <f t="shared" si="17"/>
        <v/>
      </c>
      <c r="J205" s="29" t="str">
        <f t="shared" si="18"/>
        <v/>
      </c>
      <c r="K205" s="29" t="str">
        <f t="shared" si="19"/>
        <v/>
      </c>
    </row>
    <row r="206" spans="1:11" ht="15" x14ac:dyDescent="0.25">
      <c r="A206" s="1" t="str">
        <f>IF('1.1 Produksi Bersih Padi 2025'!A206="","",'1.1 Produksi Bersih Padi 2025'!A206)</f>
        <v/>
      </c>
      <c r="B206" s="31" t="str">
        <f>IF('1.1 Produksi Bersih Padi 2025'!B206="","",'1.1 Produksi Bersih Padi 2025'!B206)</f>
        <v/>
      </c>
      <c r="C206" s="31" t="str">
        <f>IF('1.1 Produksi Bersih Padi 2025'!C206="","",'1.1 Produksi Bersih Padi 2025'!C206)</f>
        <v/>
      </c>
      <c r="D206" s="1" t="str">
        <f>IF('1.1 Produksi Bersih Padi 2025'!D206="","",'1.1 Produksi Bersih Padi 2025'!D206)</f>
        <v/>
      </c>
      <c r="E206" s="1" t="str">
        <f>IF('1.1 Produksi Bersih Padi 2025'!E206="","",'1.1 Produksi Bersih Padi 2025'!E206)</f>
        <v/>
      </c>
      <c r="F206" s="28" t="str">
        <f>IF(D206="","",VLOOKUP(D206,'[1]0.1 Produksi Pangan &amp; Penduduk'!$D$5:$AE$860,28,0))</f>
        <v/>
      </c>
      <c r="G206" s="29" t="str">
        <f t="shared" si="15"/>
        <v/>
      </c>
      <c r="H206" s="29" t="str">
        <f t="shared" si="16"/>
        <v/>
      </c>
      <c r="I206" s="29" t="str">
        <f t="shared" si="17"/>
        <v/>
      </c>
      <c r="J206" s="29" t="str">
        <f t="shared" si="18"/>
        <v/>
      </c>
      <c r="K206" s="29" t="str">
        <f t="shared" si="19"/>
        <v/>
      </c>
    </row>
    <row r="207" spans="1:11" ht="15" x14ac:dyDescent="0.25">
      <c r="A207" s="1" t="str">
        <f>IF('1.1 Produksi Bersih Padi 2025'!A207="","",'1.1 Produksi Bersih Padi 2025'!A207)</f>
        <v/>
      </c>
      <c r="B207" s="31" t="str">
        <f>IF('1.1 Produksi Bersih Padi 2025'!B207="","",'1.1 Produksi Bersih Padi 2025'!B207)</f>
        <v/>
      </c>
      <c r="C207" s="31" t="str">
        <f>IF('1.1 Produksi Bersih Padi 2025'!C207="","",'1.1 Produksi Bersih Padi 2025'!C207)</f>
        <v/>
      </c>
      <c r="D207" s="1" t="str">
        <f>IF('1.1 Produksi Bersih Padi 2025'!D207="","",'1.1 Produksi Bersih Padi 2025'!D207)</f>
        <v/>
      </c>
      <c r="E207" s="1" t="str">
        <f>IF('1.1 Produksi Bersih Padi 2025'!E207="","",'1.1 Produksi Bersih Padi 2025'!E207)</f>
        <v/>
      </c>
      <c r="F207" s="28" t="str">
        <f>IF(D207="","",VLOOKUP(D207,'[1]0.1 Produksi Pangan &amp; Penduduk'!$D$5:$AE$860,28,0))</f>
        <v/>
      </c>
      <c r="G207" s="29" t="str">
        <f t="shared" si="15"/>
        <v/>
      </c>
      <c r="H207" s="29" t="str">
        <f t="shared" si="16"/>
        <v/>
      </c>
      <c r="I207" s="29" t="str">
        <f t="shared" si="17"/>
        <v/>
      </c>
      <c r="J207" s="29" t="str">
        <f t="shared" si="18"/>
        <v/>
      </c>
      <c r="K207" s="29" t="str">
        <f t="shared" si="19"/>
        <v/>
      </c>
    </row>
    <row r="208" spans="1:11" ht="15" x14ac:dyDescent="0.25">
      <c r="A208" s="1" t="str">
        <f>IF('1.1 Produksi Bersih Padi 2025'!A208="","",'1.1 Produksi Bersih Padi 2025'!A208)</f>
        <v/>
      </c>
      <c r="B208" s="31" t="str">
        <f>IF('1.1 Produksi Bersih Padi 2025'!B208="","",'1.1 Produksi Bersih Padi 2025'!B208)</f>
        <v/>
      </c>
      <c r="C208" s="31" t="str">
        <f>IF('1.1 Produksi Bersih Padi 2025'!C208="","",'1.1 Produksi Bersih Padi 2025'!C208)</f>
        <v/>
      </c>
      <c r="D208" s="1" t="str">
        <f>IF('1.1 Produksi Bersih Padi 2025'!D208="","",'1.1 Produksi Bersih Padi 2025'!D208)</f>
        <v/>
      </c>
      <c r="E208" s="1" t="str">
        <f>IF('1.1 Produksi Bersih Padi 2025'!E208="","",'1.1 Produksi Bersih Padi 2025'!E208)</f>
        <v/>
      </c>
      <c r="F208" s="28" t="str">
        <f>IF(D208="","",VLOOKUP(D208,'[1]0.1 Produksi Pangan &amp; Penduduk'!$D$5:$AE$860,28,0))</f>
        <v/>
      </c>
      <c r="G208" s="29" t="str">
        <f t="shared" si="15"/>
        <v/>
      </c>
      <c r="H208" s="29" t="str">
        <f t="shared" si="16"/>
        <v/>
      </c>
      <c r="I208" s="29" t="str">
        <f t="shared" si="17"/>
        <v/>
      </c>
      <c r="J208" s="29" t="str">
        <f t="shared" si="18"/>
        <v/>
      </c>
      <c r="K208" s="29" t="str">
        <f t="shared" si="19"/>
        <v/>
      </c>
    </row>
    <row r="209" spans="1:11" ht="15" x14ac:dyDescent="0.25">
      <c r="A209" s="1" t="str">
        <f>IF('1.1 Produksi Bersih Padi 2025'!A209="","",'1.1 Produksi Bersih Padi 2025'!A209)</f>
        <v/>
      </c>
      <c r="B209" s="31" t="str">
        <f>IF('1.1 Produksi Bersih Padi 2025'!B209="","",'1.1 Produksi Bersih Padi 2025'!B209)</f>
        <v/>
      </c>
      <c r="C209" s="31" t="str">
        <f>IF('1.1 Produksi Bersih Padi 2025'!C209="","",'1.1 Produksi Bersih Padi 2025'!C209)</f>
        <v/>
      </c>
      <c r="D209" s="1" t="str">
        <f>IF('1.1 Produksi Bersih Padi 2025'!D209="","",'1.1 Produksi Bersih Padi 2025'!D209)</f>
        <v/>
      </c>
      <c r="E209" s="1" t="str">
        <f>IF('1.1 Produksi Bersih Padi 2025'!E209="","",'1.1 Produksi Bersih Padi 2025'!E209)</f>
        <v/>
      </c>
      <c r="F209" s="28" t="str">
        <f>IF(D209="","",VLOOKUP(D209,'[1]0.1 Produksi Pangan &amp; Penduduk'!$D$5:$AE$860,28,0))</f>
        <v/>
      </c>
      <c r="G209" s="29" t="str">
        <f t="shared" si="15"/>
        <v/>
      </c>
      <c r="H209" s="29" t="str">
        <f t="shared" si="16"/>
        <v/>
      </c>
      <c r="I209" s="29" t="str">
        <f t="shared" si="17"/>
        <v/>
      </c>
      <c r="J209" s="29" t="str">
        <f t="shared" si="18"/>
        <v/>
      </c>
      <c r="K209" s="29" t="str">
        <f t="shared" si="19"/>
        <v/>
      </c>
    </row>
    <row r="210" spans="1:11" ht="15" x14ac:dyDescent="0.25">
      <c r="A210" s="1" t="str">
        <f>IF('1.1 Produksi Bersih Padi 2025'!A210="","",'1.1 Produksi Bersih Padi 2025'!A210)</f>
        <v/>
      </c>
      <c r="B210" s="31" t="str">
        <f>IF('1.1 Produksi Bersih Padi 2025'!B210="","",'1.1 Produksi Bersih Padi 2025'!B210)</f>
        <v/>
      </c>
      <c r="C210" s="31" t="str">
        <f>IF('1.1 Produksi Bersih Padi 2025'!C210="","",'1.1 Produksi Bersih Padi 2025'!C210)</f>
        <v/>
      </c>
      <c r="D210" s="1" t="str">
        <f>IF('1.1 Produksi Bersih Padi 2025'!D210="","",'1.1 Produksi Bersih Padi 2025'!D210)</f>
        <v/>
      </c>
      <c r="E210" s="1" t="str">
        <f>IF('1.1 Produksi Bersih Padi 2025'!E210="","",'1.1 Produksi Bersih Padi 2025'!E210)</f>
        <v/>
      </c>
      <c r="F210" s="28" t="str">
        <f>IF(D210="","",VLOOKUP(D210,'[1]0.1 Produksi Pangan &amp; Penduduk'!$D$5:$AE$860,28,0))</f>
        <v/>
      </c>
      <c r="G210" s="29" t="str">
        <f t="shared" si="15"/>
        <v/>
      </c>
      <c r="H210" s="29" t="str">
        <f t="shared" si="16"/>
        <v/>
      </c>
      <c r="I210" s="29" t="str">
        <f t="shared" si="17"/>
        <v/>
      </c>
      <c r="J210" s="29" t="str">
        <f t="shared" si="18"/>
        <v/>
      </c>
      <c r="K210" s="29" t="str">
        <f t="shared" si="19"/>
        <v/>
      </c>
    </row>
    <row r="211" spans="1:11" ht="15" x14ac:dyDescent="0.25">
      <c r="A211" s="1" t="str">
        <f>IF('1.1 Produksi Bersih Padi 2025'!A211="","",'1.1 Produksi Bersih Padi 2025'!A211)</f>
        <v/>
      </c>
      <c r="B211" s="31" t="str">
        <f>IF('1.1 Produksi Bersih Padi 2025'!B211="","",'1.1 Produksi Bersih Padi 2025'!B211)</f>
        <v/>
      </c>
      <c r="C211" s="31" t="str">
        <f>IF('1.1 Produksi Bersih Padi 2025'!C211="","",'1.1 Produksi Bersih Padi 2025'!C211)</f>
        <v/>
      </c>
      <c r="D211" s="1" t="str">
        <f>IF('1.1 Produksi Bersih Padi 2025'!D211="","",'1.1 Produksi Bersih Padi 2025'!D211)</f>
        <v/>
      </c>
      <c r="E211" s="1" t="str">
        <f>IF('1.1 Produksi Bersih Padi 2025'!E211="","",'1.1 Produksi Bersih Padi 2025'!E211)</f>
        <v/>
      </c>
      <c r="F211" s="28" t="str">
        <f>IF(D211="","",VLOOKUP(D211,'[1]0.1 Produksi Pangan &amp; Penduduk'!$D$5:$AE$860,28,0))</f>
        <v/>
      </c>
      <c r="G211" s="29" t="str">
        <f t="shared" si="15"/>
        <v/>
      </c>
      <c r="H211" s="29" t="str">
        <f t="shared" si="16"/>
        <v/>
      </c>
      <c r="I211" s="29" t="str">
        <f t="shared" si="17"/>
        <v/>
      </c>
      <c r="J211" s="29" t="str">
        <f t="shared" si="18"/>
        <v/>
      </c>
      <c r="K211" s="29" t="str">
        <f t="shared" si="19"/>
        <v/>
      </c>
    </row>
    <row r="212" spans="1:11" ht="15" x14ac:dyDescent="0.25">
      <c r="A212" s="1" t="str">
        <f>IF('1.1 Produksi Bersih Padi 2025'!A212="","",'1.1 Produksi Bersih Padi 2025'!A212)</f>
        <v/>
      </c>
      <c r="B212" s="31" t="str">
        <f>IF('1.1 Produksi Bersih Padi 2025'!B212="","",'1.1 Produksi Bersih Padi 2025'!B212)</f>
        <v/>
      </c>
      <c r="C212" s="31" t="str">
        <f>IF('1.1 Produksi Bersih Padi 2025'!C212="","",'1.1 Produksi Bersih Padi 2025'!C212)</f>
        <v/>
      </c>
      <c r="D212" s="1" t="str">
        <f>IF('1.1 Produksi Bersih Padi 2025'!D212="","",'1.1 Produksi Bersih Padi 2025'!D212)</f>
        <v/>
      </c>
      <c r="E212" s="1" t="str">
        <f>IF('1.1 Produksi Bersih Padi 2025'!E212="","",'1.1 Produksi Bersih Padi 2025'!E212)</f>
        <v/>
      </c>
      <c r="F212" s="28" t="str">
        <f>IF(D212="","",VLOOKUP(D212,'[1]0.1 Produksi Pangan &amp; Penduduk'!$D$5:$AE$860,28,0))</f>
        <v/>
      </c>
      <c r="G212" s="29" t="str">
        <f t="shared" si="15"/>
        <v/>
      </c>
      <c r="H212" s="29" t="str">
        <f t="shared" si="16"/>
        <v/>
      </c>
      <c r="I212" s="29" t="str">
        <f t="shared" si="17"/>
        <v/>
      </c>
      <c r="J212" s="29" t="str">
        <f t="shared" si="18"/>
        <v/>
      </c>
      <c r="K212" s="29" t="str">
        <f t="shared" si="19"/>
        <v/>
      </c>
    </row>
    <row r="213" spans="1:11" ht="15" x14ac:dyDescent="0.25">
      <c r="A213" s="1" t="str">
        <f>IF('1.1 Produksi Bersih Padi 2025'!A213="","",'1.1 Produksi Bersih Padi 2025'!A213)</f>
        <v/>
      </c>
      <c r="B213" s="31" t="str">
        <f>IF('1.1 Produksi Bersih Padi 2025'!B213="","",'1.1 Produksi Bersih Padi 2025'!B213)</f>
        <v/>
      </c>
      <c r="C213" s="31" t="str">
        <f>IF('1.1 Produksi Bersih Padi 2025'!C213="","",'1.1 Produksi Bersih Padi 2025'!C213)</f>
        <v/>
      </c>
      <c r="D213" s="1" t="str">
        <f>IF('1.1 Produksi Bersih Padi 2025'!D213="","",'1.1 Produksi Bersih Padi 2025'!D213)</f>
        <v/>
      </c>
      <c r="E213" s="1" t="str">
        <f>IF('1.1 Produksi Bersih Padi 2025'!E213="","",'1.1 Produksi Bersih Padi 2025'!E213)</f>
        <v/>
      </c>
      <c r="F213" s="28" t="str">
        <f>IF(D213="","",VLOOKUP(D213,'[1]0.1 Produksi Pangan &amp; Penduduk'!$D$5:$AE$860,28,0))</f>
        <v/>
      </c>
      <c r="G213" s="29" t="str">
        <f t="shared" si="15"/>
        <v/>
      </c>
      <c r="H213" s="29" t="str">
        <f t="shared" si="16"/>
        <v/>
      </c>
      <c r="I213" s="29" t="str">
        <f t="shared" si="17"/>
        <v/>
      </c>
      <c r="J213" s="29" t="str">
        <f t="shared" si="18"/>
        <v/>
      </c>
      <c r="K213" s="29" t="str">
        <f t="shared" si="19"/>
        <v/>
      </c>
    </row>
    <row r="214" spans="1:11" ht="15" x14ac:dyDescent="0.25">
      <c r="A214" s="1" t="str">
        <f>IF('1.1 Produksi Bersih Padi 2025'!A214="","",'1.1 Produksi Bersih Padi 2025'!A214)</f>
        <v/>
      </c>
      <c r="B214" s="31" t="str">
        <f>IF('1.1 Produksi Bersih Padi 2025'!B214="","",'1.1 Produksi Bersih Padi 2025'!B214)</f>
        <v/>
      </c>
      <c r="C214" s="31" t="str">
        <f>IF('1.1 Produksi Bersih Padi 2025'!C214="","",'1.1 Produksi Bersih Padi 2025'!C214)</f>
        <v/>
      </c>
      <c r="D214" s="1" t="str">
        <f>IF('1.1 Produksi Bersih Padi 2025'!D214="","",'1.1 Produksi Bersih Padi 2025'!D214)</f>
        <v/>
      </c>
      <c r="E214" s="1" t="str">
        <f>IF('1.1 Produksi Bersih Padi 2025'!E214="","",'1.1 Produksi Bersih Padi 2025'!E214)</f>
        <v/>
      </c>
      <c r="F214" s="28" t="str">
        <f>IF(D214="","",VLOOKUP(D214,'[1]0.1 Produksi Pangan &amp; Penduduk'!$D$5:$AE$860,28,0))</f>
        <v/>
      </c>
      <c r="G214" s="29" t="str">
        <f t="shared" si="15"/>
        <v/>
      </c>
      <c r="H214" s="29" t="str">
        <f t="shared" si="16"/>
        <v/>
      </c>
      <c r="I214" s="29" t="str">
        <f t="shared" si="17"/>
        <v/>
      </c>
      <c r="J214" s="29" t="str">
        <f t="shared" si="18"/>
        <v/>
      </c>
      <c r="K214" s="29" t="str">
        <f t="shared" si="19"/>
        <v/>
      </c>
    </row>
    <row r="215" spans="1:11" ht="15" x14ac:dyDescent="0.25">
      <c r="A215" s="1" t="str">
        <f>IF('1.1 Produksi Bersih Padi 2025'!A215="","",'1.1 Produksi Bersih Padi 2025'!A215)</f>
        <v/>
      </c>
      <c r="B215" s="31" t="str">
        <f>IF('1.1 Produksi Bersih Padi 2025'!B215="","",'1.1 Produksi Bersih Padi 2025'!B215)</f>
        <v/>
      </c>
      <c r="C215" s="31" t="str">
        <f>IF('1.1 Produksi Bersih Padi 2025'!C215="","",'1.1 Produksi Bersih Padi 2025'!C215)</f>
        <v/>
      </c>
      <c r="D215" s="1" t="str">
        <f>IF('1.1 Produksi Bersih Padi 2025'!D215="","",'1.1 Produksi Bersih Padi 2025'!D215)</f>
        <v/>
      </c>
      <c r="E215" s="1" t="str">
        <f>IF('1.1 Produksi Bersih Padi 2025'!E215="","",'1.1 Produksi Bersih Padi 2025'!E215)</f>
        <v/>
      </c>
      <c r="F215" s="28" t="str">
        <f>IF(D215="","",VLOOKUP(D215,'[1]0.1 Produksi Pangan &amp; Penduduk'!$D$5:$AE$860,28,0))</f>
        <v/>
      </c>
      <c r="G215" s="29" t="str">
        <f t="shared" si="15"/>
        <v/>
      </c>
      <c r="H215" s="29" t="str">
        <f t="shared" si="16"/>
        <v/>
      </c>
      <c r="I215" s="29" t="str">
        <f t="shared" si="17"/>
        <v/>
      </c>
      <c r="J215" s="29" t="str">
        <f t="shared" si="18"/>
        <v/>
      </c>
      <c r="K215" s="29" t="str">
        <f t="shared" si="19"/>
        <v/>
      </c>
    </row>
    <row r="216" spans="1:11" ht="15" x14ac:dyDescent="0.25">
      <c r="A216" s="1" t="str">
        <f>IF('1.1 Produksi Bersih Padi 2025'!A216="","",'1.1 Produksi Bersih Padi 2025'!A216)</f>
        <v/>
      </c>
      <c r="B216" s="31" t="str">
        <f>IF('1.1 Produksi Bersih Padi 2025'!B216="","",'1.1 Produksi Bersih Padi 2025'!B216)</f>
        <v/>
      </c>
      <c r="C216" s="31" t="str">
        <f>IF('1.1 Produksi Bersih Padi 2025'!C216="","",'1.1 Produksi Bersih Padi 2025'!C216)</f>
        <v/>
      </c>
      <c r="D216" s="1" t="str">
        <f>IF('1.1 Produksi Bersih Padi 2025'!D216="","",'1.1 Produksi Bersih Padi 2025'!D216)</f>
        <v/>
      </c>
      <c r="E216" s="1" t="str">
        <f>IF('1.1 Produksi Bersih Padi 2025'!E216="","",'1.1 Produksi Bersih Padi 2025'!E216)</f>
        <v/>
      </c>
      <c r="F216" s="28" t="str">
        <f>IF(D216="","",VLOOKUP(D216,'[1]0.1 Produksi Pangan &amp; Penduduk'!$D$5:$AE$860,28,0))</f>
        <v/>
      </c>
      <c r="G216" s="29" t="str">
        <f t="shared" si="15"/>
        <v/>
      </c>
      <c r="H216" s="29" t="str">
        <f t="shared" si="16"/>
        <v/>
      </c>
      <c r="I216" s="29" t="str">
        <f t="shared" si="17"/>
        <v/>
      </c>
      <c r="J216" s="29" t="str">
        <f t="shared" si="18"/>
        <v/>
      </c>
      <c r="K216" s="29" t="str">
        <f t="shared" si="19"/>
        <v/>
      </c>
    </row>
    <row r="217" spans="1:11" ht="15" x14ac:dyDescent="0.25">
      <c r="A217" s="1" t="str">
        <f>IF('1.1 Produksi Bersih Padi 2025'!A217="","",'1.1 Produksi Bersih Padi 2025'!A217)</f>
        <v/>
      </c>
      <c r="B217" s="31" t="str">
        <f>IF('1.1 Produksi Bersih Padi 2025'!B217="","",'1.1 Produksi Bersih Padi 2025'!B217)</f>
        <v/>
      </c>
      <c r="C217" s="31" t="str">
        <f>IF('1.1 Produksi Bersih Padi 2025'!C217="","",'1.1 Produksi Bersih Padi 2025'!C217)</f>
        <v/>
      </c>
      <c r="D217" s="1" t="str">
        <f>IF('1.1 Produksi Bersih Padi 2025'!D217="","",'1.1 Produksi Bersih Padi 2025'!D217)</f>
        <v/>
      </c>
      <c r="E217" s="1" t="str">
        <f>IF('1.1 Produksi Bersih Padi 2025'!E217="","",'1.1 Produksi Bersih Padi 2025'!E217)</f>
        <v/>
      </c>
      <c r="F217" s="28" t="str">
        <f>IF(D217="","",VLOOKUP(D217,'[1]0.1 Produksi Pangan &amp; Penduduk'!$D$5:$AE$860,28,0))</f>
        <v/>
      </c>
      <c r="G217" s="29" t="str">
        <f t="shared" si="15"/>
        <v/>
      </c>
      <c r="H217" s="29" t="str">
        <f t="shared" si="16"/>
        <v/>
      </c>
      <c r="I217" s="29" t="str">
        <f t="shared" si="17"/>
        <v/>
      </c>
      <c r="J217" s="29" t="str">
        <f t="shared" si="18"/>
        <v/>
      </c>
      <c r="K217" s="29" t="str">
        <f t="shared" si="19"/>
        <v/>
      </c>
    </row>
    <row r="218" spans="1:11" ht="15" x14ac:dyDescent="0.25">
      <c r="A218" s="1" t="str">
        <f>IF('1.1 Produksi Bersih Padi 2025'!A218="","",'1.1 Produksi Bersih Padi 2025'!A218)</f>
        <v/>
      </c>
      <c r="B218" s="31" t="str">
        <f>IF('1.1 Produksi Bersih Padi 2025'!B218="","",'1.1 Produksi Bersih Padi 2025'!B218)</f>
        <v/>
      </c>
      <c r="C218" s="31" t="str">
        <f>IF('1.1 Produksi Bersih Padi 2025'!C218="","",'1.1 Produksi Bersih Padi 2025'!C218)</f>
        <v/>
      </c>
      <c r="D218" s="1" t="str">
        <f>IF('1.1 Produksi Bersih Padi 2025'!D218="","",'1.1 Produksi Bersih Padi 2025'!D218)</f>
        <v/>
      </c>
      <c r="E218" s="1" t="str">
        <f>IF('1.1 Produksi Bersih Padi 2025'!E218="","",'1.1 Produksi Bersih Padi 2025'!E218)</f>
        <v/>
      </c>
      <c r="F218" s="28" t="str">
        <f>IF(D218="","",VLOOKUP(D218,'[1]0.1 Produksi Pangan &amp; Penduduk'!$D$5:$AE$860,28,0))</f>
        <v/>
      </c>
      <c r="G218" s="29" t="str">
        <f t="shared" si="15"/>
        <v/>
      </c>
      <c r="H218" s="29" t="str">
        <f t="shared" si="16"/>
        <v/>
      </c>
      <c r="I218" s="29" t="str">
        <f t="shared" si="17"/>
        <v/>
      </c>
      <c r="J218" s="29" t="str">
        <f t="shared" si="18"/>
        <v/>
      </c>
      <c r="K218" s="29" t="str">
        <f t="shared" si="19"/>
        <v/>
      </c>
    </row>
    <row r="219" spans="1:11" ht="15" x14ac:dyDescent="0.25">
      <c r="A219" s="1" t="str">
        <f>IF('1.1 Produksi Bersih Padi 2025'!A219="","",'1.1 Produksi Bersih Padi 2025'!A219)</f>
        <v/>
      </c>
      <c r="B219" s="31" t="str">
        <f>IF('1.1 Produksi Bersih Padi 2025'!B219="","",'1.1 Produksi Bersih Padi 2025'!B219)</f>
        <v/>
      </c>
      <c r="C219" s="31" t="str">
        <f>IF('1.1 Produksi Bersih Padi 2025'!C219="","",'1.1 Produksi Bersih Padi 2025'!C219)</f>
        <v/>
      </c>
      <c r="D219" s="1" t="str">
        <f>IF('1.1 Produksi Bersih Padi 2025'!D219="","",'1.1 Produksi Bersih Padi 2025'!D219)</f>
        <v/>
      </c>
      <c r="E219" s="1" t="str">
        <f>IF('1.1 Produksi Bersih Padi 2025'!E219="","",'1.1 Produksi Bersih Padi 2025'!E219)</f>
        <v/>
      </c>
      <c r="F219" s="28" t="str">
        <f>IF(D219="","",VLOOKUP(D219,'[1]0.1 Produksi Pangan &amp; Penduduk'!$D$5:$AE$860,28,0))</f>
        <v/>
      </c>
      <c r="G219" s="29" t="str">
        <f t="shared" si="15"/>
        <v/>
      </c>
      <c r="H219" s="29" t="str">
        <f t="shared" si="16"/>
        <v/>
      </c>
      <c r="I219" s="29" t="str">
        <f t="shared" si="17"/>
        <v/>
      </c>
      <c r="J219" s="29" t="str">
        <f t="shared" si="18"/>
        <v/>
      </c>
      <c r="K219" s="29" t="str">
        <f t="shared" si="19"/>
        <v/>
      </c>
    </row>
    <row r="220" spans="1:11" ht="15" x14ac:dyDescent="0.25">
      <c r="A220" s="1" t="str">
        <f>IF('1.1 Produksi Bersih Padi 2025'!A220="","",'1.1 Produksi Bersih Padi 2025'!A220)</f>
        <v/>
      </c>
      <c r="B220" s="31" t="str">
        <f>IF('1.1 Produksi Bersih Padi 2025'!B220="","",'1.1 Produksi Bersih Padi 2025'!B220)</f>
        <v/>
      </c>
      <c r="C220" s="31" t="str">
        <f>IF('1.1 Produksi Bersih Padi 2025'!C220="","",'1.1 Produksi Bersih Padi 2025'!C220)</f>
        <v/>
      </c>
      <c r="D220" s="1" t="str">
        <f>IF('1.1 Produksi Bersih Padi 2025'!D220="","",'1.1 Produksi Bersih Padi 2025'!D220)</f>
        <v/>
      </c>
      <c r="E220" s="1" t="str">
        <f>IF('1.1 Produksi Bersih Padi 2025'!E220="","",'1.1 Produksi Bersih Padi 2025'!E220)</f>
        <v/>
      </c>
      <c r="F220" s="28" t="str">
        <f>IF(D220="","",VLOOKUP(D220,'[1]0.1 Produksi Pangan &amp; Penduduk'!$D$5:$AE$860,28,0))</f>
        <v/>
      </c>
      <c r="G220" s="29" t="str">
        <f t="shared" si="15"/>
        <v/>
      </c>
      <c r="H220" s="29" t="str">
        <f t="shared" si="16"/>
        <v/>
      </c>
      <c r="I220" s="29" t="str">
        <f t="shared" si="17"/>
        <v/>
      </c>
      <c r="J220" s="29" t="str">
        <f t="shared" si="18"/>
        <v/>
      </c>
      <c r="K220" s="29" t="str">
        <f t="shared" si="19"/>
        <v/>
      </c>
    </row>
    <row r="221" spans="1:11" ht="15" x14ac:dyDescent="0.25">
      <c r="A221" s="1" t="str">
        <f>IF('1.1 Produksi Bersih Padi 2025'!A221="","",'1.1 Produksi Bersih Padi 2025'!A221)</f>
        <v/>
      </c>
      <c r="B221" s="31" t="str">
        <f>IF('1.1 Produksi Bersih Padi 2025'!B221="","",'1.1 Produksi Bersih Padi 2025'!B221)</f>
        <v/>
      </c>
      <c r="C221" s="31" t="str">
        <f>IF('1.1 Produksi Bersih Padi 2025'!C221="","",'1.1 Produksi Bersih Padi 2025'!C221)</f>
        <v/>
      </c>
      <c r="D221" s="1" t="str">
        <f>IF('1.1 Produksi Bersih Padi 2025'!D221="","",'1.1 Produksi Bersih Padi 2025'!D221)</f>
        <v/>
      </c>
      <c r="E221" s="1" t="str">
        <f>IF('1.1 Produksi Bersih Padi 2025'!E221="","",'1.1 Produksi Bersih Padi 2025'!E221)</f>
        <v/>
      </c>
      <c r="F221" s="28" t="str">
        <f>IF(D221="","",VLOOKUP(D221,'[1]0.1 Produksi Pangan &amp; Penduduk'!$D$5:$AE$860,28,0))</f>
        <v/>
      </c>
      <c r="G221" s="29" t="str">
        <f t="shared" si="15"/>
        <v/>
      </c>
      <c r="H221" s="29" t="str">
        <f t="shared" si="16"/>
        <v/>
      </c>
      <c r="I221" s="29" t="str">
        <f t="shared" si="17"/>
        <v/>
      </c>
      <c r="J221" s="29" t="str">
        <f t="shared" si="18"/>
        <v/>
      </c>
      <c r="K221" s="29" t="str">
        <f t="shared" si="19"/>
        <v/>
      </c>
    </row>
    <row r="222" spans="1:11" ht="15" x14ac:dyDescent="0.25">
      <c r="A222" s="1" t="str">
        <f>IF('1.1 Produksi Bersih Padi 2025'!A222="","",'1.1 Produksi Bersih Padi 2025'!A222)</f>
        <v/>
      </c>
      <c r="B222" s="31" t="str">
        <f>IF('1.1 Produksi Bersih Padi 2025'!B222="","",'1.1 Produksi Bersih Padi 2025'!B222)</f>
        <v/>
      </c>
      <c r="C222" s="31" t="str">
        <f>IF('1.1 Produksi Bersih Padi 2025'!C222="","",'1.1 Produksi Bersih Padi 2025'!C222)</f>
        <v/>
      </c>
      <c r="D222" s="1" t="str">
        <f>IF('1.1 Produksi Bersih Padi 2025'!D222="","",'1.1 Produksi Bersih Padi 2025'!D222)</f>
        <v/>
      </c>
      <c r="E222" s="1" t="str">
        <f>IF('1.1 Produksi Bersih Padi 2025'!E222="","",'1.1 Produksi Bersih Padi 2025'!E222)</f>
        <v/>
      </c>
      <c r="F222" s="28" t="str">
        <f>IF(D222="","",VLOOKUP(D222,'[1]0.1 Produksi Pangan &amp; Penduduk'!$D$5:$AE$860,28,0))</f>
        <v/>
      </c>
      <c r="G222" s="29" t="str">
        <f t="shared" si="15"/>
        <v/>
      </c>
      <c r="H222" s="29" t="str">
        <f t="shared" si="16"/>
        <v/>
      </c>
      <c r="I222" s="29" t="str">
        <f t="shared" si="17"/>
        <v/>
      </c>
      <c r="J222" s="29" t="str">
        <f t="shared" si="18"/>
        <v/>
      </c>
      <c r="K222" s="29" t="str">
        <f t="shared" si="19"/>
        <v/>
      </c>
    </row>
    <row r="223" spans="1:11" ht="15" x14ac:dyDescent="0.25">
      <c r="A223" s="1" t="str">
        <f>IF('1.1 Produksi Bersih Padi 2025'!A223="","",'1.1 Produksi Bersih Padi 2025'!A223)</f>
        <v/>
      </c>
      <c r="B223" s="31" t="str">
        <f>IF('1.1 Produksi Bersih Padi 2025'!B223="","",'1.1 Produksi Bersih Padi 2025'!B223)</f>
        <v/>
      </c>
      <c r="C223" s="31" t="str">
        <f>IF('1.1 Produksi Bersih Padi 2025'!C223="","",'1.1 Produksi Bersih Padi 2025'!C223)</f>
        <v/>
      </c>
      <c r="D223" s="1" t="str">
        <f>IF('1.1 Produksi Bersih Padi 2025'!D223="","",'1.1 Produksi Bersih Padi 2025'!D223)</f>
        <v/>
      </c>
      <c r="E223" s="1" t="str">
        <f>IF('1.1 Produksi Bersih Padi 2025'!E223="","",'1.1 Produksi Bersih Padi 2025'!E223)</f>
        <v/>
      </c>
      <c r="F223" s="28" t="str">
        <f>IF(D223="","",VLOOKUP(D223,'[1]0.1 Produksi Pangan &amp; Penduduk'!$D$5:$AE$860,28,0))</f>
        <v/>
      </c>
      <c r="G223" s="29" t="str">
        <f t="shared" si="15"/>
        <v/>
      </c>
      <c r="H223" s="29" t="str">
        <f t="shared" si="16"/>
        <v/>
      </c>
      <c r="I223" s="29" t="str">
        <f t="shared" si="17"/>
        <v/>
      </c>
      <c r="J223" s="29" t="str">
        <f t="shared" si="18"/>
        <v/>
      </c>
      <c r="K223" s="29" t="str">
        <f t="shared" si="19"/>
        <v/>
      </c>
    </row>
    <row r="224" spans="1:11" ht="15" x14ac:dyDescent="0.25">
      <c r="A224" s="1" t="str">
        <f>IF('1.1 Produksi Bersih Padi 2025'!A224="","",'1.1 Produksi Bersih Padi 2025'!A224)</f>
        <v/>
      </c>
      <c r="B224" s="31" t="str">
        <f>IF('1.1 Produksi Bersih Padi 2025'!B224="","",'1.1 Produksi Bersih Padi 2025'!B224)</f>
        <v/>
      </c>
      <c r="C224" s="31" t="str">
        <f>IF('1.1 Produksi Bersih Padi 2025'!C224="","",'1.1 Produksi Bersih Padi 2025'!C224)</f>
        <v/>
      </c>
      <c r="D224" s="1" t="str">
        <f>IF('1.1 Produksi Bersih Padi 2025'!D224="","",'1.1 Produksi Bersih Padi 2025'!D224)</f>
        <v/>
      </c>
      <c r="E224" s="1" t="str">
        <f>IF('1.1 Produksi Bersih Padi 2025'!E224="","",'1.1 Produksi Bersih Padi 2025'!E224)</f>
        <v/>
      </c>
      <c r="F224" s="28" t="str">
        <f>IF(D224="","",VLOOKUP(D224,'[1]0.1 Produksi Pangan &amp; Penduduk'!$D$5:$AE$860,28,0))</f>
        <v/>
      </c>
      <c r="G224" s="29" t="str">
        <f t="shared" si="15"/>
        <v/>
      </c>
      <c r="H224" s="29" t="str">
        <f t="shared" si="16"/>
        <v/>
      </c>
      <c r="I224" s="29" t="str">
        <f t="shared" si="17"/>
        <v/>
      </c>
      <c r="J224" s="29" t="str">
        <f t="shared" si="18"/>
        <v/>
      </c>
      <c r="K224" s="29" t="str">
        <f t="shared" si="19"/>
        <v/>
      </c>
    </row>
    <row r="225" spans="1:11" ht="15" x14ac:dyDescent="0.25">
      <c r="A225" s="1" t="str">
        <f>IF('1.1 Produksi Bersih Padi 2025'!A225="","",'1.1 Produksi Bersih Padi 2025'!A225)</f>
        <v/>
      </c>
      <c r="B225" s="31" t="str">
        <f>IF('1.1 Produksi Bersih Padi 2025'!B225="","",'1.1 Produksi Bersih Padi 2025'!B225)</f>
        <v/>
      </c>
      <c r="C225" s="31" t="str">
        <f>IF('1.1 Produksi Bersih Padi 2025'!C225="","",'1.1 Produksi Bersih Padi 2025'!C225)</f>
        <v/>
      </c>
      <c r="D225" s="1" t="str">
        <f>IF('1.1 Produksi Bersih Padi 2025'!D225="","",'1.1 Produksi Bersih Padi 2025'!D225)</f>
        <v/>
      </c>
      <c r="E225" s="1" t="str">
        <f>IF('1.1 Produksi Bersih Padi 2025'!E225="","",'1.1 Produksi Bersih Padi 2025'!E225)</f>
        <v/>
      </c>
      <c r="F225" s="28" t="str">
        <f>IF(D225="","",VLOOKUP(D225,'[1]0.1 Produksi Pangan &amp; Penduduk'!$D$5:$AE$860,28,0))</f>
        <v/>
      </c>
      <c r="G225" s="29" t="str">
        <f t="shared" si="15"/>
        <v/>
      </c>
      <c r="H225" s="29" t="str">
        <f t="shared" si="16"/>
        <v/>
      </c>
      <c r="I225" s="29" t="str">
        <f t="shared" si="17"/>
        <v/>
      </c>
      <c r="J225" s="29" t="str">
        <f t="shared" si="18"/>
        <v/>
      </c>
      <c r="K225" s="29" t="str">
        <f t="shared" si="19"/>
        <v/>
      </c>
    </row>
    <row r="226" spans="1:11" ht="15" x14ac:dyDescent="0.25">
      <c r="A226" s="1" t="str">
        <f>IF('1.1 Produksi Bersih Padi 2025'!A226="","",'1.1 Produksi Bersih Padi 2025'!A226)</f>
        <v/>
      </c>
      <c r="B226" s="31" t="str">
        <f>IF('1.1 Produksi Bersih Padi 2025'!B226="","",'1.1 Produksi Bersih Padi 2025'!B226)</f>
        <v/>
      </c>
      <c r="C226" s="31" t="str">
        <f>IF('1.1 Produksi Bersih Padi 2025'!C226="","",'1.1 Produksi Bersih Padi 2025'!C226)</f>
        <v/>
      </c>
      <c r="D226" s="1" t="str">
        <f>IF('1.1 Produksi Bersih Padi 2025'!D226="","",'1.1 Produksi Bersih Padi 2025'!D226)</f>
        <v/>
      </c>
      <c r="E226" s="1" t="str">
        <f>IF('1.1 Produksi Bersih Padi 2025'!E226="","",'1.1 Produksi Bersih Padi 2025'!E226)</f>
        <v/>
      </c>
      <c r="F226" s="28" t="str">
        <f>IF(D226="","",VLOOKUP(D226,'[1]0.1 Produksi Pangan &amp; Penduduk'!$D$5:$AE$860,28,0))</f>
        <v/>
      </c>
      <c r="G226" s="29" t="str">
        <f t="shared" si="15"/>
        <v/>
      </c>
      <c r="H226" s="29" t="str">
        <f t="shared" si="16"/>
        <v/>
      </c>
      <c r="I226" s="29" t="str">
        <f t="shared" si="17"/>
        <v/>
      </c>
      <c r="J226" s="29" t="str">
        <f t="shared" si="18"/>
        <v/>
      </c>
      <c r="K226" s="29" t="str">
        <f t="shared" si="19"/>
        <v/>
      </c>
    </row>
    <row r="227" spans="1:11" ht="15" x14ac:dyDescent="0.25">
      <c r="A227" s="1" t="str">
        <f>IF('1.1 Produksi Bersih Padi 2025'!A227="","",'1.1 Produksi Bersih Padi 2025'!A227)</f>
        <v/>
      </c>
      <c r="B227" s="31" t="str">
        <f>IF('1.1 Produksi Bersih Padi 2025'!B227="","",'1.1 Produksi Bersih Padi 2025'!B227)</f>
        <v/>
      </c>
      <c r="C227" s="31" t="str">
        <f>IF('1.1 Produksi Bersih Padi 2025'!C227="","",'1.1 Produksi Bersih Padi 2025'!C227)</f>
        <v/>
      </c>
      <c r="D227" s="1" t="str">
        <f>IF('1.1 Produksi Bersih Padi 2025'!D227="","",'1.1 Produksi Bersih Padi 2025'!D227)</f>
        <v/>
      </c>
      <c r="E227" s="1" t="str">
        <f>IF('1.1 Produksi Bersih Padi 2025'!E227="","",'1.1 Produksi Bersih Padi 2025'!E227)</f>
        <v/>
      </c>
      <c r="F227" s="28" t="str">
        <f>IF(D227="","",VLOOKUP(D227,'[1]0.1 Produksi Pangan &amp; Penduduk'!$D$5:$AE$860,28,0))</f>
        <v/>
      </c>
      <c r="G227" s="29" t="str">
        <f t="shared" si="15"/>
        <v/>
      </c>
      <c r="H227" s="29" t="str">
        <f t="shared" si="16"/>
        <v/>
      </c>
      <c r="I227" s="29" t="str">
        <f t="shared" si="17"/>
        <v/>
      </c>
      <c r="J227" s="29" t="str">
        <f t="shared" si="18"/>
        <v/>
      </c>
      <c r="K227" s="29" t="str">
        <f t="shared" si="19"/>
        <v/>
      </c>
    </row>
    <row r="228" spans="1:11" ht="15" x14ac:dyDescent="0.25">
      <c r="A228" s="1" t="str">
        <f>IF('1.1 Produksi Bersih Padi 2025'!A228="","",'1.1 Produksi Bersih Padi 2025'!A228)</f>
        <v/>
      </c>
      <c r="B228" s="31" t="str">
        <f>IF('1.1 Produksi Bersih Padi 2025'!B228="","",'1.1 Produksi Bersih Padi 2025'!B228)</f>
        <v/>
      </c>
      <c r="C228" s="31" t="str">
        <f>IF('1.1 Produksi Bersih Padi 2025'!C228="","",'1.1 Produksi Bersih Padi 2025'!C228)</f>
        <v/>
      </c>
      <c r="D228" s="1" t="str">
        <f>IF('1.1 Produksi Bersih Padi 2025'!D228="","",'1.1 Produksi Bersih Padi 2025'!D228)</f>
        <v/>
      </c>
      <c r="E228" s="1" t="str">
        <f>IF('1.1 Produksi Bersih Padi 2025'!E228="","",'1.1 Produksi Bersih Padi 2025'!E228)</f>
        <v/>
      </c>
      <c r="F228" s="28" t="str">
        <f>IF(D228="","",VLOOKUP(D228,'[1]0.1 Produksi Pangan &amp; Penduduk'!$D$5:$AE$860,28,0))</f>
        <v/>
      </c>
      <c r="G228" s="29" t="str">
        <f t="shared" si="15"/>
        <v/>
      </c>
      <c r="H228" s="29" t="str">
        <f t="shared" si="16"/>
        <v/>
      </c>
      <c r="I228" s="29" t="str">
        <f t="shared" si="17"/>
        <v/>
      </c>
      <c r="J228" s="29" t="str">
        <f t="shared" si="18"/>
        <v/>
      </c>
      <c r="K228" s="29" t="str">
        <f t="shared" si="19"/>
        <v/>
      </c>
    </row>
    <row r="229" spans="1:11" ht="15" x14ac:dyDescent="0.25">
      <c r="A229" s="1" t="str">
        <f>IF('1.1 Produksi Bersih Padi 2025'!A229="","",'1.1 Produksi Bersih Padi 2025'!A229)</f>
        <v/>
      </c>
      <c r="B229" s="31" t="str">
        <f>IF('1.1 Produksi Bersih Padi 2025'!B229="","",'1.1 Produksi Bersih Padi 2025'!B229)</f>
        <v/>
      </c>
      <c r="C229" s="31" t="str">
        <f>IF('1.1 Produksi Bersih Padi 2025'!C229="","",'1.1 Produksi Bersih Padi 2025'!C229)</f>
        <v/>
      </c>
      <c r="D229" s="1" t="str">
        <f>IF('1.1 Produksi Bersih Padi 2025'!D229="","",'1.1 Produksi Bersih Padi 2025'!D229)</f>
        <v/>
      </c>
      <c r="E229" s="1" t="str">
        <f>IF('1.1 Produksi Bersih Padi 2025'!E229="","",'1.1 Produksi Bersih Padi 2025'!E229)</f>
        <v/>
      </c>
      <c r="F229" s="28" t="str">
        <f>IF(D229="","",VLOOKUP(D229,'[1]0.1 Produksi Pangan &amp; Penduduk'!$D$5:$AE$860,28,0))</f>
        <v/>
      </c>
      <c r="G229" s="29" t="str">
        <f t="shared" si="15"/>
        <v/>
      </c>
      <c r="H229" s="29" t="str">
        <f t="shared" si="16"/>
        <v/>
      </c>
      <c r="I229" s="29" t="str">
        <f t="shared" si="17"/>
        <v/>
      </c>
      <c r="J229" s="29" t="str">
        <f t="shared" si="18"/>
        <v/>
      </c>
      <c r="K229" s="29" t="str">
        <f t="shared" si="19"/>
        <v/>
      </c>
    </row>
    <row r="230" spans="1:11" ht="15" x14ac:dyDescent="0.25">
      <c r="A230" s="1" t="str">
        <f>IF('1.1 Produksi Bersih Padi 2025'!A230="","",'1.1 Produksi Bersih Padi 2025'!A230)</f>
        <v/>
      </c>
      <c r="B230" s="31" t="str">
        <f>IF('1.1 Produksi Bersih Padi 2025'!B230="","",'1.1 Produksi Bersih Padi 2025'!B230)</f>
        <v/>
      </c>
      <c r="C230" s="31" t="str">
        <f>IF('1.1 Produksi Bersih Padi 2025'!C230="","",'1.1 Produksi Bersih Padi 2025'!C230)</f>
        <v/>
      </c>
      <c r="D230" s="1" t="str">
        <f>IF('1.1 Produksi Bersih Padi 2025'!D230="","",'1.1 Produksi Bersih Padi 2025'!D230)</f>
        <v/>
      </c>
      <c r="E230" s="1" t="str">
        <f>IF('1.1 Produksi Bersih Padi 2025'!E230="","",'1.1 Produksi Bersih Padi 2025'!E230)</f>
        <v/>
      </c>
      <c r="F230" s="28" t="str">
        <f>IF(D230="","",VLOOKUP(D230,'[1]0.1 Produksi Pangan &amp; Penduduk'!$D$5:$AE$860,28,0))</f>
        <v/>
      </c>
      <c r="G230" s="29" t="str">
        <f t="shared" si="15"/>
        <v/>
      </c>
      <c r="H230" s="29" t="str">
        <f t="shared" si="16"/>
        <v/>
      </c>
      <c r="I230" s="29" t="str">
        <f t="shared" si="17"/>
        <v/>
      </c>
      <c r="J230" s="29" t="str">
        <f t="shared" si="18"/>
        <v/>
      </c>
      <c r="K230" s="29" t="str">
        <f t="shared" si="19"/>
        <v/>
      </c>
    </row>
    <row r="231" spans="1:11" ht="15" x14ac:dyDescent="0.25">
      <c r="A231" s="1" t="str">
        <f>IF('1.1 Produksi Bersih Padi 2025'!A231="","",'1.1 Produksi Bersih Padi 2025'!A231)</f>
        <v/>
      </c>
      <c r="B231" s="31" t="str">
        <f>IF('1.1 Produksi Bersih Padi 2025'!B231="","",'1.1 Produksi Bersih Padi 2025'!B231)</f>
        <v/>
      </c>
      <c r="C231" s="31" t="str">
        <f>IF('1.1 Produksi Bersih Padi 2025'!C231="","",'1.1 Produksi Bersih Padi 2025'!C231)</f>
        <v/>
      </c>
      <c r="D231" s="1" t="str">
        <f>IF('1.1 Produksi Bersih Padi 2025'!D231="","",'1.1 Produksi Bersih Padi 2025'!D231)</f>
        <v/>
      </c>
      <c r="E231" s="1" t="str">
        <f>IF('1.1 Produksi Bersih Padi 2025'!E231="","",'1.1 Produksi Bersih Padi 2025'!E231)</f>
        <v/>
      </c>
      <c r="F231" s="28" t="str">
        <f>IF(D231="","",VLOOKUP(D231,'[1]0.1 Produksi Pangan &amp; Penduduk'!$D$5:$AE$860,28,0))</f>
        <v/>
      </c>
      <c r="G231" s="29" t="str">
        <f t="shared" si="15"/>
        <v/>
      </c>
      <c r="H231" s="29" t="str">
        <f t="shared" si="16"/>
        <v/>
      </c>
      <c r="I231" s="29" t="str">
        <f t="shared" si="17"/>
        <v/>
      </c>
      <c r="J231" s="29" t="str">
        <f t="shared" si="18"/>
        <v/>
      </c>
      <c r="K231" s="29" t="str">
        <f t="shared" si="19"/>
        <v/>
      </c>
    </row>
    <row r="232" spans="1:11" ht="15" x14ac:dyDescent="0.25">
      <c r="A232" s="1" t="str">
        <f>IF('1.1 Produksi Bersih Padi 2025'!A232="","",'1.1 Produksi Bersih Padi 2025'!A232)</f>
        <v/>
      </c>
      <c r="B232" s="31" t="str">
        <f>IF('1.1 Produksi Bersih Padi 2025'!B232="","",'1.1 Produksi Bersih Padi 2025'!B232)</f>
        <v/>
      </c>
      <c r="C232" s="31" t="str">
        <f>IF('1.1 Produksi Bersih Padi 2025'!C232="","",'1.1 Produksi Bersih Padi 2025'!C232)</f>
        <v/>
      </c>
      <c r="D232" s="1" t="str">
        <f>IF('1.1 Produksi Bersih Padi 2025'!D232="","",'1.1 Produksi Bersih Padi 2025'!D232)</f>
        <v/>
      </c>
      <c r="E232" s="1" t="str">
        <f>IF('1.1 Produksi Bersih Padi 2025'!E232="","",'1.1 Produksi Bersih Padi 2025'!E232)</f>
        <v/>
      </c>
      <c r="F232" s="28" t="str">
        <f>IF(D232="","",VLOOKUP(D232,'[1]0.1 Produksi Pangan &amp; Penduduk'!$D$5:$AE$860,28,0))</f>
        <v/>
      </c>
      <c r="G232" s="29" t="str">
        <f t="shared" si="15"/>
        <v/>
      </c>
      <c r="H232" s="29" t="str">
        <f t="shared" si="16"/>
        <v/>
      </c>
      <c r="I232" s="29" t="str">
        <f t="shared" si="17"/>
        <v/>
      </c>
      <c r="J232" s="29" t="str">
        <f t="shared" si="18"/>
        <v/>
      </c>
      <c r="K232" s="29" t="str">
        <f t="shared" si="19"/>
        <v/>
      </c>
    </row>
    <row r="233" spans="1:11" ht="15" x14ac:dyDescent="0.25">
      <c r="A233" s="1" t="str">
        <f>IF('1.1 Produksi Bersih Padi 2025'!A233="","",'1.1 Produksi Bersih Padi 2025'!A233)</f>
        <v/>
      </c>
      <c r="B233" s="31" t="str">
        <f>IF('1.1 Produksi Bersih Padi 2025'!B233="","",'1.1 Produksi Bersih Padi 2025'!B233)</f>
        <v/>
      </c>
      <c r="C233" s="31" t="str">
        <f>IF('1.1 Produksi Bersih Padi 2025'!C233="","",'1.1 Produksi Bersih Padi 2025'!C233)</f>
        <v/>
      </c>
      <c r="D233" s="1" t="str">
        <f>IF('1.1 Produksi Bersih Padi 2025'!D233="","",'1.1 Produksi Bersih Padi 2025'!D233)</f>
        <v/>
      </c>
      <c r="E233" s="1" t="str">
        <f>IF('1.1 Produksi Bersih Padi 2025'!E233="","",'1.1 Produksi Bersih Padi 2025'!E233)</f>
        <v/>
      </c>
      <c r="F233" s="28" t="str">
        <f>IF(D233="","",VLOOKUP(D233,'[1]0.1 Produksi Pangan &amp; Penduduk'!$D$5:$AE$860,28,0))</f>
        <v/>
      </c>
      <c r="G233" s="29" t="str">
        <f t="shared" si="15"/>
        <v/>
      </c>
      <c r="H233" s="29" t="str">
        <f t="shared" si="16"/>
        <v/>
      </c>
      <c r="I233" s="29" t="str">
        <f t="shared" si="17"/>
        <v/>
      </c>
      <c r="J233" s="29" t="str">
        <f t="shared" si="18"/>
        <v/>
      </c>
      <c r="K233" s="29" t="str">
        <f t="shared" si="19"/>
        <v/>
      </c>
    </row>
    <row r="234" spans="1:11" ht="15" x14ac:dyDescent="0.25">
      <c r="A234" s="1" t="str">
        <f>IF('1.1 Produksi Bersih Padi 2025'!A234="","",'1.1 Produksi Bersih Padi 2025'!A234)</f>
        <v/>
      </c>
      <c r="B234" s="31" t="str">
        <f>IF('1.1 Produksi Bersih Padi 2025'!B234="","",'1.1 Produksi Bersih Padi 2025'!B234)</f>
        <v/>
      </c>
      <c r="C234" s="31" t="str">
        <f>IF('1.1 Produksi Bersih Padi 2025'!C234="","",'1.1 Produksi Bersih Padi 2025'!C234)</f>
        <v/>
      </c>
      <c r="D234" s="1" t="str">
        <f>IF('1.1 Produksi Bersih Padi 2025'!D234="","",'1.1 Produksi Bersih Padi 2025'!D234)</f>
        <v/>
      </c>
      <c r="E234" s="1" t="str">
        <f>IF('1.1 Produksi Bersih Padi 2025'!E234="","",'1.1 Produksi Bersih Padi 2025'!E234)</f>
        <v/>
      </c>
      <c r="F234" s="28" t="str">
        <f>IF(D234="","",VLOOKUP(D234,'[1]0.1 Produksi Pangan &amp; Penduduk'!$D$5:$AE$860,28,0))</f>
        <v/>
      </c>
      <c r="G234" s="29" t="str">
        <f t="shared" si="15"/>
        <v/>
      </c>
      <c r="H234" s="29" t="str">
        <f t="shared" si="16"/>
        <v/>
      </c>
      <c r="I234" s="29" t="str">
        <f t="shared" si="17"/>
        <v/>
      </c>
      <c r="J234" s="29" t="str">
        <f t="shared" si="18"/>
        <v/>
      </c>
      <c r="K234" s="29" t="str">
        <f t="shared" si="19"/>
        <v/>
      </c>
    </row>
    <row r="235" spans="1:11" ht="15" x14ac:dyDescent="0.25">
      <c r="A235" s="1" t="str">
        <f>IF('1.1 Produksi Bersih Padi 2025'!A235="","",'1.1 Produksi Bersih Padi 2025'!A235)</f>
        <v/>
      </c>
      <c r="B235" s="31" t="str">
        <f>IF('1.1 Produksi Bersih Padi 2025'!B235="","",'1.1 Produksi Bersih Padi 2025'!B235)</f>
        <v/>
      </c>
      <c r="C235" s="31" t="str">
        <f>IF('1.1 Produksi Bersih Padi 2025'!C235="","",'1.1 Produksi Bersih Padi 2025'!C235)</f>
        <v/>
      </c>
      <c r="D235" s="1" t="str">
        <f>IF('1.1 Produksi Bersih Padi 2025'!D235="","",'1.1 Produksi Bersih Padi 2025'!D235)</f>
        <v/>
      </c>
      <c r="E235" s="1" t="str">
        <f>IF('1.1 Produksi Bersih Padi 2025'!E235="","",'1.1 Produksi Bersih Padi 2025'!E235)</f>
        <v/>
      </c>
      <c r="F235" s="28" t="str">
        <f>IF(D235="","",VLOOKUP(D235,'[1]0.1 Produksi Pangan &amp; Penduduk'!$D$5:$AE$860,28,0))</f>
        <v/>
      </c>
      <c r="G235" s="29" t="str">
        <f t="shared" si="15"/>
        <v/>
      </c>
      <c r="H235" s="29" t="str">
        <f t="shared" si="16"/>
        <v/>
      </c>
      <c r="I235" s="29" t="str">
        <f t="shared" si="17"/>
        <v/>
      </c>
      <c r="J235" s="29" t="str">
        <f t="shared" si="18"/>
        <v/>
      </c>
      <c r="K235" s="29" t="str">
        <f t="shared" si="19"/>
        <v/>
      </c>
    </row>
    <row r="236" spans="1:11" ht="15" x14ac:dyDescent="0.25">
      <c r="A236" s="1" t="str">
        <f>IF('1.1 Produksi Bersih Padi 2025'!A236="","",'1.1 Produksi Bersih Padi 2025'!A236)</f>
        <v/>
      </c>
      <c r="B236" s="31" t="str">
        <f>IF('1.1 Produksi Bersih Padi 2025'!B236="","",'1.1 Produksi Bersih Padi 2025'!B236)</f>
        <v/>
      </c>
      <c r="C236" s="31" t="str">
        <f>IF('1.1 Produksi Bersih Padi 2025'!C236="","",'1.1 Produksi Bersih Padi 2025'!C236)</f>
        <v/>
      </c>
      <c r="D236" s="1" t="str">
        <f>IF('1.1 Produksi Bersih Padi 2025'!D236="","",'1.1 Produksi Bersih Padi 2025'!D236)</f>
        <v/>
      </c>
      <c r="E236" s="1" t="str">
        <f>IF('1.1 Produksi Bersih Padi 2025'!E236="","",'1.1 Produksi Bersih Padi 2025'!E236)</f>
        <v/>
      </c>
      <c r="F236" s="28" t="str">
        <f>IF(D236="","",VLOOKUP(D236,'[1]0.1 Produksi Pangan &amp; Penduduk'!$D$5:$AE$860,28,0))</f>
        <v/>
      </c>
      <c r="G236" s="29" t="str">
        <f t="shared" si="15"/>
        <v/>
      </c>
      <c r="H236" s="29" t="str">
        <f t="shared" si="16"/>
        <v/>
      </c>
      <c r="I236" s="29" t="str">
        <f t="shared" si="17"/>
        <v/>
      </c>
      <c r="J236" s="29" t="str">
        <f t="shared" si="18"/>
        <v/>
      </c>
      <c r="K236" s="29" t="str">
        <f t="shared" si="19"/>
        <v/>
      </c>
    </row>
    <row r="237" spans="1:11" ht="15" x14ac:dyDescent="0.25">
      <c r="A237" s="1" t="str">
        <f>IF('1.1 Produksi Bersih Padi 2025'!A237="","",'1.1 Produksi Bersih Padi 2025'!A237)</f>
        <v/>
      </c>
      <c r="B237" s="31" t="str">
        <f>IF('1.1 Produksi Bersih Padi 2025'!B237="","",'1.1 Produksi Bersih Padi 2025'!B237)</f>
        <v/>
      </c>
      <c r="C237" s="31" t="str">
        <f>IF('1.1 Produksi Bersih Padi 2025'!C237="","",'1.1 Produksi Bersih Padi 2025'!C237)</f>
        <v/>
      </c>
      <c r="D237" s="1" t="str">
        <f>IF('1.1 Produksi Bersih Padi 2025'!D237="","",'1.1 Produksi Bersih Padi 2025'!D237)</f>
        <v/>
      </c>
      <c r="E237" s="1" t="str">
        <f>IF('1.1 Produksi Bersih Padi 2025'!E237="","",'1.1 Produksi Bersih Padi 2025'!E237)</f>
        <v/>
      </c>
      <c r="F237" s="28" t="str">
        <f>IF(D237="","",VLOOKUP(D237,'[1]0.1 Produksi Pangan &amp; Penduduk'!$D$5:$AE$860,28,0))</f>
        <v/>
      </c>
      <c r="G237" s="29" t="str">
        <f t="shared" si="15"/>
        <v/>
      </c>
      <c r="H237" s="29" t="str">
        <f t="shared" si="16"/>
        <v/>
      </c>
      <c r="I237" s="29" t="str">
        <f t="shared" si="17"/>
        <v/>
      </c>
      <c r="J237" s="29" t="str">
        <f t="shared" si="18"/>
        <v/>
      </c>
      <c r="K237" s="29" t="str">
        <f t="shared" si="19"/>
        <v/>
      </c>
    </row>
    <row r="238" spans="1:11" ht="15" x14ac:dyDescent="0.25">
      <c r="A238" s="1" t="str">
        <f>IF('1.1 Produksi Bersih Padi 2025'!A238="","",'1.1 Produksi Bersih Padi 2025'!A238)</f>
        <v/>
      </c>
      <c r="B238" s="31" t="str">
        <f>IF('1.1 Produksi Bersih Padi 2025'!B238="","",'1.1 Produksi Bersih Padi 2025'!B238)</f>
        <v/>
      </c>
      <c r="C238" s="31" t="str">
        <f>IF('1.1 Produksi Bersih Padi 2025'!C238="","",'1.1 Produksi Bersih Padi 2025'!C238)</f>
        <v/>
      </c>
      <c r="D238" s="1" t="str">
        <f>IF('1.1 Produksi Bersih Padi 2025'!D238="","",'1.1 Produksi Bersih Padi 2025'!D238)</f>
        <v/>
      </c>
      <c r="E238" s="1" t="str">
        <f>IF('1.1 Produksi Bersih Padi 2025'!E238="","",'1.1 Produksi Bersih Padi 2025'!E238)</f>
        <v/>
      </c>
      <c r="F238" s="28" t="str">
        <f>IF(D238="","",VLOOKUP(D238,'[1]0.1 Produksi Pangan &amp; Penduduk'!$D$5:$AE$860,28,0))</f>
        <v/>
      </c>
      <c r="G238" s="29" t="str">
        <f t="shared" si="15"/>
        <v/>
      </c>
      <c r="H238" s="29" t="str">
        <f t="shared" si="16"/>
        <v/>
      </c>
      <c r="I238" s="29" t="str">
        <f t="shared" si="17"/>
        <v/>
      </c>
      <c r="J238" s="29" t="str">
        <f t="shared" si="18"/>
        <v/>
      </c>
      <c r="K238" s="29" t="str">
        <f t="shared" si="19"/>
        <v/>
      </c>
    </row>
    <row r="239" spans="1:11" ht="15" x14ac:dyDescent="0.25">
      <c r="A239" s="1" t="str">
        <f>IF('1.1 Produksi Bersih Padi 2025'!A239="","",'1.1 Produksi Bersih Padi 2025'!A239)</f>
        <v/>
      </c>
      <c r="B239" s="31" t="str">
        <f>IF('1.1 Produksi Bersih Padi 2025'!B239="","",'1.1 Produksi Bersih Padi 2025'!B239)</f>
        <v/>
      </c>
      <c r="C239" s="31" t="str">
        <f>IF('1.1 Produksi Bersih Padi 2025'!C239="","",'1.1 Produksi Bersih Padi 2025'!C239)</f>
        <v/>
      </c>
      <c r="D239" s="1" t="str">
        <f>IF('1.1 Produksi Bersih Padi 2025'!D239="","",'1.1 Produksi Bersih Padi 2025'!D239)</f>
        <v/>
      </c>
      <c r="E239" s="1" t="str">
        <f>IF('1.1 Produksi Bersih Padi 2025'!E239="","",'1.1 Produksi Bersih Padi 2025'!E239)</f>
        <v/>
      </c>
      <c r="F239" s="28" t="str">
        <f>IF(D239="","",VLOOKUP(D239,'[1]0.1 Produksi Pangan &amp; Penduduk'!$D$5:$AE$860,28,0))</f>
        <v/>
      </c>
      <c r="G239" s="29" t="str">
        <f t="shared" si="15"/>
        <v/>
      </c>
      <c r="H239" s="29" t="str">
        <f t="shared" si="16"/>
        <v/>
      </c>
      <c r="I239" s="29" t="str">
        <f t="shared" si="17"/>
        <v/>
      </c>
      <c r="J239" s="29" t="str">
        <f t="shared" si="18"/>
        <v/>
      </c>
      <c r="K239" s="29" t="str">
        <f t="shared" si="19"/>
        <v/>
      </c>
    </row>
    <row r="240" spans="1:11" ht="15" x14ac:dyDescent="0.25">
      <c r="A240" s="1" t="str">
        <f>IF('1.1 Produksi Bersih Padi 2025'!A240="","",'1.1 Produksi Bersih Padi 2025'!A240)</f>
        <v/>
      </c>
      <c r="B240" s="31" t="str">
        <f>IF('1.1 Produksi Bersih Padi 2025'!B240="","",'1.1 Produksi Bersih Padi 2025'!B240)</f>
        <v/>
      </c>
      <c r="C240" s="31" t="str">
        <f>IF('1.1 Produksi Bersih Padi 2025'!C240="","",'1.1 Produksi Bersih Padi 2025'!C240)</f>
        <v/>
      </c>
      <c r="D240" s="1" t="str">
        <f>IF('1.1 Produksi Bersih Padi 2025'!D240="","",'1.1 Produksi Bersih Padi 2025'!D240)</f>
        <v/>
      </c>
      <c r="E240" s="1" t="str">
        <f>IF('1.1 Produksi Bersih Padi 2025'!E240="","",'1.1 Produksi Bersih Padi 2025'!E240)</f>
        <v/>
      </c>
      <c r="F240" s="28" t="str">
        <f>IF(D240="","",VLOOKUP(D240,'[1]0.1 Produksi Pangan &amp; Penduduk'!$D$5:$AE$860,28,0))</f>
        <v/>
      </c>
      <c r="G240" s="29" t="str">
        <f t="shared" si="15"/>
        <v/>
      </c>
      <c r="H240" s="29" t="str">
        <f t="shared" si="16"/>
        <v/>
      </c>
      <c r="I240" s="29" t="str">
        <f t="shared" si="17"/>
        <v/>
      </c>
      <c r="J240" s="29" t="str">
        <f t="shared" si="18"/>
        <v/>
      </c>
      <c r="K240" s="29" t="str">
        <f t="shared" si="19"/>
        <v/>
      </c>
    </row>
    <row r="241" spans="1:11" ht="15" x14ac:dyDescent="0.25">
      <c r="A241" s="1" t="str">
        <f>IF('1.1 Produksi Bersih Padi 2025'!A241="","",'1.1 Produksi Bersih Padi 2025'!A241)</f>
        <v/>
      </c>
      <c r="B241" s="31" t="str">
        <f>IF('1.1 Produksi Bersih Padi 2025'!B241="","",'1.1 Produksi Bersih Padi 2025'!B241)</f>
        <v/>
      </c>
      <c r="C241" s="31" t="str">
        <f>IF('1.1 Produksi Bersih Padi 2025'!C241="","",'1.1 Produksi Bersih Padi 2025'!C241)</f>
        <v/>
      </c>
      <c r="D241" s="1" t="str">
        <f>IF('1.1 Produksi Bersih Padi 2025'!D241="","",'1.1 Produksi Bersih Padi 2025'!D241)</f>
        <v/>
      </c>
      <c r="E241" s="1" t="str">
        <f>IF('1.1 Produksi Bersih Padi 2025'!E241="","",'1.1 Produksi Bersih Padi 2025'!E241)</f>
        <v/>
      </c>
      <c r="F241" s="28" t="str">
        <f>IF(D241="","",VLOOKUP(D241,'[1]0.1 Produksi Pangan &amp; Penduduk'!$D$5:$AE$860,28,0))</f>
        <v/>
      </c>
      <c r="G241" s="29" t="str">
        <f t="shared" si="15"/>
        <v/>
      </c>
      <c r="H241" s="29" t="str">
        <f t="shared" si="16"/>
        <v/>
      </c>
      <c r="I241" s="29" t="str">
        <f t="shared" si="17"/>
        <v/>
      </c>
      <c r="J241" s="29" t="str">
        <f t="shared" si="18"/>
        <v/>
      </c>
      <c r="K241" s="29" t="str">
        <f t="shared" si="19"/>
        <v/>
      </c>
    </row>
    <row r="242" spans="1:11" ht="15" x14ac:dyDescent="0.25">
      <c r="A242" s="1" t="str">
        <f>IF('1.1 Produksi Bersih Padi 2025'!A242="","",'1.1 Produksi Bersih Padi 2025'!A242)</f>
        <v/>
      </c>
      <c r="B242" s="31" t="str">
        <f>IF('1.1 Produksi Bersih Padi 2025'!B242="","",'1.1 Produksi Bersih Padi 2025'!B242)</f>
        <v/>
      </c>
      <c r="C242" s="31" t="str">
        <f>IF('1.1 Produksi Bersih Padi 2025'!C242="","",'1.1 Produksi Bersih Padi 2025'!C242)</f>
        <v/>
      </c>
      <c r="D242" s="1" t="str">
        <f>IF('1.1 Produksi Bersih Padi 2025'!D242="","",'1.1 Produksi Bersih Padi 2025'!D242)</f>
        <v/>
      </c>
      <c r="E242" s="1" t="str">
        <f>IF('1.1 Produksi Bersih Padi 2025'!E242="","",'1.1 Produksi Bersih Padi 2025'!E242)</f>
        <v/>
      </c>
      <c r="F242" s="28" t="str">
        <f>IF(D242="","",VLOOKUP(D242,'[1]0.1 Produksi Pangan &amp; Penduduk'!$D$5:$AE$860,28,0))</f>
        <v/>
      </c>
      <c r="G242" s="29" t="str">
        <f t="shared" si="15"/>
        <v/>
      </c>
      <c r="H242" s="29" t="str">
        <f t="shared" si="16"/>
        <v/>
      </c>
      <c r="I242" s="29" t="str">
        <f t="shared" si="17"/>
        <v/>
      </c>
      <c r="J242" s="29" t="str">
        <f t="shared" si="18"/>
        <v/>
      </c>
      <c r="K242" s="29" t="str">
        <f t="shared" si="19"/>
        <v/>
      </c>
    </row>
    <row r="243" spans="1:11" ht="15" x14ac:dyDescent="0.25">
      <c r="A243" s="1" t="str">
        <f>IF('1.1 Produksi Bersih Padi 2025'!A243="","",'1.1 Produksi Bersih Padi 2025'!A243)</f>
        <v/>
      </c>
      <c r="B243" s="31" t="str">
        <f>IF('1.1 Produksi Bersih Padi 2025'!B243="","",'1.1 Produksi Bersih Padi 2025'!B243)</f>
        <v/>
      </c>
      <c r="C243" s="31" t="str">
        <f>IF('1.1 Produksi Bersih Padi 2025'!C243="","",'1.1 Produksi Bersih Padi 2025'!C243)</f>
        <v/>
      </c>
      <c r="D243" s="1" t="str">
        <f>IF('1.1 Produksi Bersih Padi 2025'!D243="","",'1.1 Produksi Bersih Padi 2025'!D243)</f>
        <v/>
      </c>
      <c r="E243" s="1" t="str">
        <f>IF('1.1 Produksi Bersih Padi 2025'!E243="","",'1.1 Produksi Bersih Padi 2025'!E243)</f>
        <v/>
      </c>
      <c r="F243" s="28" t="str">
        <f>IF(D243="","",VLOOKUP(D243,'[1]0.1 Produksi Pangan &amp; Penduduk'!$D$5:$AE$860,28,0))</f>
        <v/>
      </c>
      <c r="G243" s="29" t="str">
        <f t="shared" si="15"/>
        <v/>
      </c>
      <c r="H243" s="29" t="str">
        <f t="shared" si="16"/>
        <v/>
      </c>
      <c r="I243" s="29" t="str">
        <f t="shared" si="17"/>
        <v/>
      </c>
      <c r="J243" s="29" t="str">
        <f t="shared" si="18"/>
        <v/>
      </c>
      <c r="K243" s="29" t="str">
        <f t="shared" si="19"/>
        <v/>
      </c>
    </row>
    <row r="244" spans="1:11" ht="15" x14ac:dyDescent="0.25">
      <c r="A244" s="1" t="str">
        <f>IF('1.1 Produksi Bersih Padi 2025'!A244="","",'1.1 Produksi Bersih Padi 2025'!A244)</f>
        <v/>
      </c>
      <c r="B244" s="31" t="str">
        <f>IF('1.1 Produksi Bersih Padi 2025'!B244="","",'1.1 Produksi Bersih Padi 2025'!B244)</f>
        <v/>
      </c>
      <c r="C244" s="31" t="str">
        <f>IF('1.1 Produksi Bersih Padi 2025'!C244="","",'1.1 Produksi Bersih Padi 2025'!C244)</f>
        <v/>
      </c>
      <c r="D244" s="1" t="str">
        <f>IF('1.1 Produksi Bersih Padi 2025'!D244="","",'1.1 Produksi Bersih Padi 2025'!D244)</f>
        <v/>
      </c>
      <c r="E244" s="1" t="str">
        <f>IF('1.1 Produksi Bersih Padi 2025'!E244="","",'1.1 Produksi Bersih Padi 2025'!E244)</f>
        <v/>
      </c>
      <c r="F244" s="28" t="str">
        <f>IF(D244="","",VLOOKUP(D244,'[1]0.1 Produksi Pangan &amp; Penduduk'!$D$5:$AE$860,28,0))</f>
        <v/>
      </c>
      <c r="G244" s="29" t="str">
        <f t="shared" si="15"/>
        <v/>
      </c>
      <c r="H244" s="29" t="str">
        <f t="shared" si="16"/>
        <v/>
      </c>
      <c r="I244" s="29" t="str">
        <f t="shared" si="17"/>
        <v/>
      </c>
      <c r="J244" s="29" t="str">
        <f t="shared" si="18"/>
        <v/>
      </c>
      <c r="K244" s="29" t="str">
        <f t="shared" si="19"/>
        <v/>
      </c>
    </row>
    <row r="245" spans="1:11" ht="15" x14ac:dyDescent="0.25">
      <c r="A245" s="1" t="str">
        <f>IF('1.1 Produksi Bersih Padi 2025'!A245="","",'1.1 Produksi Bersih Padi 2025'!A245)</f>
        <v/>
      </c>
      <c r="B245" s="31" t="str">
        <f>IF('1.1 Produksi Bersih Padi 2025'!B245="","",'1.1 Produksi Bersih Padi 2025'!B245)</f>
        <v/>
      </c>
      <c r="C245" s="31" t="str">
        <f>IF('1.1 Produksi Bersih Padi 2025'!C245="","",'1.1 Produksi Bersih Padi 2025'!C245)</f>
        <v/>
      </c>
      <c r="D245" s="1" t="str">
        <f>IF('1.1 Produksi Bersih Padi 2025'!D245="","",'1.1 Produksi Bersih Padi 2025'!D245)</f>
        <v/>
      </c>
      <c r="E245" s="1" t="str">
        <f>IF('1.1 Produksi Bersih Padi 2025'!E245="","",'1.1 Produksi Bersih Padi 2025'!E245)</f>
        <v/>
      </c>
      <c r="F245" s="28" t="str">
        <f>IF(D245="","",VLOOKUP(D245,'[1]0.1 Produksi Pangan &amp; Penduduk'!$D$5:$AE$860,28,0))</f>
        <v/>
      </c>
      <c r="G245" s="29" t="str">
        <f t="shared" si="15"/>
        <v/>
      </c>
      <c r="H245" s="29" t="str">
        <f t="shared" si="16"/>
        <v/>
      </c>
      <c r="I245" s="29" t="str">
        <f t="shared" si="17"/>
        <v/>
      </c>
      <c r="J245" s="29" t="str">
        <f t="shared" si="18"/>
        <v/>
      </c>
      <c r="K245" s="29" t="str">
        <f t="shared" si="19"/>
        <v/>
      </c>
    </row>
    <row r="246" spans="1:11" ht="15" x14ac:dyDescent="0.25">
      <c r="A246" s="1" t="str">
        <f>IF('1.1 Produksi Bersih Padi 2025'!A246="","",'1.1 Produksi Bersih Padi 2025'!A246)</f>
        <v/>
      </c>
      <c r="B246" s="31" t="str">
        <f>IF('1.1 Produksi Bersih Padi 2025'!B246="","",'1.1 Produksi Bersih Padi 2025'!B246)</f>
        <v/>
      </c>
      <c r="C246" s="31" t="str">
        <f>IF('1.1 Produksi Bersih Padi 2025'!C246="","",'1.1 Produksi Bersih Padi 2025'!C246)</f>
        <v/>
      </c>
      <c r="D246" s="1" t="str">
        <f>IF('1.1 Produksi Bersih Padi 2025'!D246="","",'1.1 Produksi Bersih Padi 2025'!D246)</f>
        <v/>
      </c>
      <c r="E246" s="1" t="str">
        <f>IF('1.1 Produksi Bersih Padi 2025'!E246="","",'1.1 Produksi Bersih Padi 2025'!E246)</f>
        <v/>
      </c>
      <c r="F246" s="28" t="str">
        <f>IF(D246="","",VLOOKUP(D246,'[1]0.1 Produksi Pangan &amp; Penduduk'!$D$5:$AE$860,28,0))</f>
        <v/>
      </c>
      <c r="G246" s="29" t="str">
        <f t="shared" si="15"/>
        <v/>
      </c>
      <c r="H246" s="29" t="str">
        <f t="shared" si="16"/>
        <v/>
      </c>
      <c r="I246" s="29" t="str">
        <f t="shared" si="17"/>
        <v/>
      </c>
      <c r="J246" s="29" t="str">
        <f t="shared" si="18"/>
        <v/>
      </c>
      <c r="K246" s="29" t="str">
        <f t="shared" si="19"/>
        <v/>
      </c>
    </row>
    <row r="247" spans="1:11" ht="15" x14ac:dyDescent="0.25">
      <c r="A247" s="1" t="str">
        <f>IF('1.1 Produksi Bersih Padi 2025'!A247="","",'1.1 Produksi Bersih Padi 2025'!A247)</f>
        <v/>
      </c>
      <c r="B247" s="31" t="str">
        <f>IF('1.1 Produksi Bersih Padi 2025'!B247="","",'1.1 Produksi Bersih Padi 2025'!B247)</f>
        <v/>
      </c>
      <c r="C247" s="31" t="str">
        <f>IF('1.1 Produksi Bersih Padi 2025'!C247="","",'1.1 Produksi Bersih Padi 2025'!C247)</f>
        <v/>
      </c>
      <c r="D247" s="1" t="str">
        <f>IF('1.1 Produksi Bersih Padi 2025'!D247="","",'1.1 Produksi Bersih Padi 2025'!D247)</f>
        <v/>
      </c>
      <c r="E247" s="1" t="str">
        <f>IF('1.1 Produksi Bersih Padi 2025'!E247="","",'1.1 Produksi Bersih Padi 2025'!E247)</f>
        <v/>
      </c>
      <c r="F247" s="28" t="str">
        <f>IF(D247="","",VLOOKUP(D247,'[1]0.1 Produksi Pangan &amp; Penduduk'!$D$5:$AE$860,28,0))</f>
        <v/>
      </c>
      <c r="G247" s="29" t="str">
        <f t="shared" si="15"/>
        <v/>
      </c>
      <c r="H247" s="29" t="str">
        <f t="shared" si="16"/>
        <v/>
      </c>
      <c r="I247" s="29" t="str">
        <f t="shared" si="17"/>
        <v/>
      </c>
      <c r="J247" s="29" t="str">
        <f t="shared" si="18"/>
        <v/>
      </c>
      <c r="K247" s="29" t="str">
        <f t="shared" si="19"/>
        <v/>
      </c>
    </row>
    <row r="248" spans="1:11" ht="15" x14ac:dyDescent="0.25">
      <c r="A248" s="1" t="str">
        <f>IF('1.1 Produksi Bersih Padi 2025'!A248="","",'1.1 Produksi Bersih Padi 2025'!A248)</f>
        <v/>
      </c>
      <c r="B248" s="31" t="str">
        <f>IF('1.1 Produksi Bersih Padi 2025'!B248="","",'1.1 Produksi Bersih Padi 2025'!B248)</f>
        <v/>
      </c>
      <c r="C248" s="31" t="str">
        <f>IF('1.1 Produksi Bersih Padi 2025'!C248="","",'1.1 Produksi Bersih Padi 2025'!C248)</f>
        <v/>
      </c>
      <c r="D248" s="1" t="str">
        <f>IF('1.1 Produksi Bersih Padi 2025'!D248="","",'1.1 Produksi Bersih Padi 2025'!D248)</f>
        <v/>
      </c>
      <c r="E248" s="1" t="str">
        <f>IF('1.1 Produksi Bersih Padi 2025'!E248="","",'1.1 Produksi Bersih Padi 2025'!E248)</f>
        <v/>
      </c>
      <c r="F248" s="28" t="str">
        <f>IF(D248="","",VLOOKUP(D248,'[1]0.1 Produksi Pangan &amp; Penduduk'!$D$5:$AE$860,28,0))</f>
        <v/>
      </c>
      <c r="G248" s="29" t="str">
        <f t="shared" si="15"/>
        <v/>
      </c>
      <c r="H248" s="29" t="str">
        <f t="shared" si="16"/>
        <v/>
      </c>
      <c r="I248" s="29" t="str">
        <f t="shared" si="17"/>
        <v/>
      </c>
      <c r="J248" s="29" t="str">
        <f t="shared" si="18"/>
        <v/>
      </c>
      <c r="K248" s="29" t="str">
        <f t="shared" si="19"/>
        <v/>
      </c>
    </row>
    <row r="249" spans="1:11" ht="15" x14ac:dyDescent="0.25">
      <c r="A249" s="1" t="str">
        <f>IF('1.1 Produksi Bersih Padi 2025'!A249="","",'1.1 Produksi Bersih Padi 2025'!A249)</f>
        <v/>
      </c>
      <c r="B249" s="31" t="str">
        <f>IF('1.1 Produksi Bersih Padi 2025'!B249="","",'1.1 Produksi Bersih Padi 2025'!B249)</f>
        <v/>
      </c>
      <c r="C249" s="31" t="str">
        <f>IF('1.1 Produksi Bersih Padi 2025'!C249="","",'1.1 Produksi Bersih Padi 2025'!C249)</f>
        <v/>
      </c>
      <c r="D249" s="1" t="str">
        <f>IF('1.1 Produksi Bersih Padi 2025'!D249="","",'1.1 Produksi Bersih Padi 2025'!D249)</f>
        <v/>
      </c>
      <c r="E249" s="1" t="str">
        <f>IF('1.1 Produksi Bersih Padi 2025'!E249="","",'1.1 Produksi Bersih Padi 2025'!E249)</f>
        <v/>
      </c>
      <c r="F249" s="28" t="str">
        <f>IF(D249="","",VLOOKUP(D249,'[1]0.1 Produksi Pangan &amp; Penduduk'!$D$5:$AE$860,28,0))</f>
        <v/>
      </c>
      <c r="G249" s="29" t="str">
        <f t="shared" si="15"/>
        <v/>
      </c>
      <c r="H249" s="29" t="str">
        <f t="shared" si="16"/>
        <v/>
      </c>
      <c r="I249" s="29" t="str">
        <f t="shared" si="17"/>
        <v/>
      </c>
      <c r="J249" s="29" t="str">
        <f t="shared" si="18"/>
        <v/>
      </c>
      <c r="K249" s="29" t="str">
        <f t="shared" si="19"/>
        <v/>
      </c>
    </row>
    <row r="250" spans="1:11" ht="15" x14ac:dyDescent="0.25">
      <c r="A250" s="1" t="str">
        <f>IF('1.1 Produksi Bersih Padi 2025'!A250="","",'1.1 Produksi Bersih Padi 2025'!A250)</f>
        <v/>
      </c>
      <c r="B250" s="31" t="str">
        <f>IF('1.1 Produksi Bersih Padi 2025'!B250="","",'1.1 Produksi Bersih Padi 2025'!B250)</f>
        <v/>
      </c>
      <c r="C250" s="31" t="str">
        <f>IF('1.1 Produksi Bersih Padi 2025'!C250="","",'1.1 Produksi Bersih Padi 2025'!C250)</f>
        <v/>
      </c>
      <c r="D250" s="1" t="str">
        <f>IF('1.1 Produksi Bersih Padi 2025'!D250="","",'1.1 Produksi Bersih Padi 2025'!D250)</f>
        <v/>
      </c>
      <c r="E250" s="1" t="str">
        <f>IF('1.1 Produksi Bersih Padi 2025'!E250="","",'1.1 Produksi Bersih Padi 2025'!E250)</f>
        <v/>
      </c>
      <c r="F250" s="28" t="str">
        <f>IF(D250="","",VLOOKUP(D250,'[1]0.1 Produksi Pangan &amp; Penduduk'!$D$5:$AE$860,28,0))</f>
        <v/>
      </c>
      <c r="G250" s="29" t="str">
        <f t="shared" si="15"/>
        <v/>
      </c>
      <c r="H250" s="29" t="str">
        <f t="shared" si="16"/>
        <v/>
      </c>
      <c r="I250" s="29" t="str">
        <f t="shared" si="17"/>
        <v/>
      </c>
      <c r="J250" s="29" t="str">
        <f t="shared" si="18"/>
        <v/>
      </c>
      <c r="K250" s="29" t="str">
        <f t="shared" si="19"/>
        <v/>
      </c>
    </row>
    <row r="251" spans="1:11" ht="15" x14ac:dyDescent="0.25">
      <c r="A251" s="1" t="str">
        <f>IF('1.1 Produksi Bersih Padi 2025'!A251="","",'1.1 Produksi Bersih Padi 2025'!A251)</f>
        <v/>
      </c>
      <c r="B251" s="31" t="str">
        <f>IF('1.1 Produksi Bersih Padi 2025'!B251="","",'1.1 Produksi Bersih Padi 2025'!B251)</f>
        <v/>
      </c>
      <c r="C251" s="31" t="str">
        <f>IF('1.1 Produksi Bersih Padi 2025'!C251="","",'1.1 Produksi Bersih Padi 2025'!C251)</f>
        <v/>
      </c>
      <c r="D251" s="1" t="str">
        <f>IF('1.1 Produksi Bersih Padi 2025'!D251="","",'1.1 Produksi Bersih Padi 2025'!D251)</f>
        <v/>
      </c>
      <c r="E251" s="1" t="str">
        <f>IF('1.1 Produksi Bersih Padi 2025'!E251="","",'1.1 Produksi Bersih Padi 2025'!E251)</f>
        <v/>
      </c>
      <c r="F251" s="28" t="str">
        <f>IF(D251="","",VLOOKUP(D251,'[1]0.1 Produksi Pangan &amp; Penduduk'!$D$5:$AE$860,28,0))</f>
        <v/>
      </c>
      <c r="G251" s="29" t="str">
        <f t="shared" si="15"/>
        <v/>
      </c>
      <c r="H251" s="29" t="str">
        <f t="shared" si="16"/>
        <v/>
      </c>
      <c r="I251" s="29" t="str">
        <f t="shared" si="17"/>
        <v/>
      </c>
      <c r="J251" s="29" t="str">
        <f t="shared" si="18"/>
        <v/>
      </c>
      <c r="K251" s="29" t="str">
        <f t="shared" si="19"/>
        <v/>
      </c>
    </row>
    <row r="252" spans="1:11" ht="15" x14ac:dyDescent="0.25">
      <c r="A252" s="1" t="str">
        <f>IF('1.1 Produksi Bersih Padi 2025'!A252="","",'1.1 Produksi Bersih Padi 2025'!A252)</f>
        <v/>
      </c>
      <c r="B252" s="31" t="str">
        <f>IF('1.1 Produksi Bersih Padi 2025'!B252="","",'1.1 Produksi Bersih Padi 2025'!B252)</f>
        <v/>
      </c>
      <c r="C252" s="31" t="str">
        <f>IF('1.1 Produksi Bersih Padi 2025'!C252="","",'1.1 Produksi Bersih Padi 2025'!C252)</f>
        <v/>
      </c>
      <c r="D252" s="1" t="str">
        <f>IF('1.1 Produksi Bersih Padi 2025'!D252="","",'1.1 Produksi Bersih Padi 2025'!D252)</f>
        <v/>
      </c>
      <c r="E252" s="1" t="str">
        <f>IF('1.1 Produksi Bersih Padi 2025'!E252="","",'1.1 Produksi Bersih Padi 2025'!E252)</f>
        <v/>
      </c>
      <c r="F252" s="28" t="str">
        <f>IF(D252="","",VLOOKUP(D252,'[1]0.1 Produksi Pangan &amp; Penduduk'!$D$5:$AE$860,28,0))</f>
        <v/>
      </c>
      <c r="G252" s="29" t="str">
        <f t="shared" si="15"/>
        <v/>
      </c>
      <c r="H252" s="29" t="str">
        <f t="shared" si="16"/>
        <v/>
      </c>
      <c r="I252" s="29" t="str">
        <f t="shared" si="17"/>
        <v/>
      </c>
      <c r="J252" s="29" t="str">
        <f t="shared" si="18"/>
        <v/>
      </c>
      <c r="K252" s="29" t="str">
        <f t="shared" si="19"/>
        <v/>
      </c>
    </row>
    <row r="253" spans="1:11" ht="15" x14ac:dyDescent="0.25">
      <c r="A253" s="1" t="str">
        <f>IF('1.1 Produksi Bersih Padi 2025'!A253="","",'1.1 Produksi Bersih Padi 2025'!A253)</f>
        <v/>
      </c>
      <c r="B253" s="31" t="str">
        <f>IF('1.1 Produksi Bersih Padi 2025'!B253="","",'1.1 Produksi Bersih Padi 2025'!B253)</f>
        <v/>
      </c>
      <c r="C253" s="31" t="str">
        <f>IF('1.1 Produksi Bersih Padi 2025'!C253="","",'1.1 Produksi Bersih Padi 2025'!C253)</f>
        <v/>
      </c>
      <c r="D253" s="1" t="str">
        <f>IF('1.1 Produksi Bersih Padi 2025'!D253="","",'1.1 Produksi Bersih Padi 2025'!D253)</f>
        <v/>
      </c>
      <c r="E253" s="1" t="str">
        <f>IF('1.1 Produksi Bersih Padi 2025'!E253="","",'1.1 Produksi Bersih Padi 2025'!E253)</f>
        <v/>
      </c>
      <c r="F253" s="28" t="str">
        <f>IF(D253="","",VLOOKUP(D253,'[1]0.1 Produksi Pangan &amp; Penduduk'!$D$5:$AE$860,28,0))</f>
        <v/>
      </c>
      <c r="G253" s="29" t="str">
        <f t="shared" si="15"/>
        <v/>
      </c>
      <c r="H253" s="29" t="str">
        <f t="shared" si="16"/>
        <v/>
      </c>
      <c r="I253" s="29" t="str">
        <f t="shared" si="17"/>
        <v/>
      </c>
      <c r="J253" s="29" t="str">
        <f t="shared" si="18"/>
        <v/>
      </c>
      <c r="K253" s="29" t="str">
        <f t="shared" si="19"/>
        <v/>
      </c>
    </row>
    <row r="254" spans="1:11" ht="15" x14ac:dyDescent="0.25">
      <c r="A254" s="1" t="str">
        <f>IF('1.1 Produksi Bersih Padi 2025'!A254="","",'1.1 Produksi Bersih Padi 2025'!A254)</f>
        <v/>
      </c>
      <c r="B254" s="31" t="str">
        <f>IF('1.1 Produksi Bersih Padi 2025'!B254="","",'1.1 Produksi Bersih Padi 2025'!B254)</f>
        <v/>
      </c>
      <c r="C254" s="31" t="str">
        <f>IF('1.1 Produksi Bersih Padi 2025'!C254="","",'1.1 Produksi Bersih Padi 2025'!C254)</f>
        <v/>
      </c>
      <c r="D254" s="1" t="str">
        <f>IF('1.1 Produksi Bersih Padi 2025'!D254="","",'1.1 Produksi Bersih Padi 2025'!D254)</f>
        <v/>
      </c>
      <c r="E254" s="1" t="str">
        <f>IF('1.1 Produksi Bersih Padi 2025'!E254="","",'1.1 Produksi Bersih Padi 2025'!E254)</f>
        <v/>
      </c>
      <c r="F254" s="28" t="str">
        <f>IF(D254="","",VLOOKUP(D254,'[1]0.1 Produksi Pangan &amp; Penduduk'!$D$5:$AE$860,28,0))</f>
        <v/>
      </c>
      <c r="G254" s="29" t="str">
        <f t="shared" si="15"/>
        <v/>
      </c>
      <c r="H254" s="29" t="str">
        <f t="shared" si="16"/>
        <v/>
      </c>
      <c r="I254" s="29" t="str">
        <f t="shared" si="17"/>
        <v/>
      </c>
      <c r="J254" s="29" t="str">
        <f t="shared" si="18"/>
        <v/>
      </c>
      <c r="K254" s="29" t="str">
        <f t="shared" si="19"/>
        <v/>
      </c>
    </row>
    <row r="255" spans="1:11" ht="15" x14ac:dyDescent="0.25">
      <c r="A255" s="1" t="str">
        <f>IF('1.1 Produksi Bersih Padi 2025'!A255="","",'1.1 Produksi Bersih Padi 2025'!A255)</f>
        <v/>
      </c>
      <c r="B255" s="31" t="str">
        <f>IF('1.1 Produksi Bersih Padi 2025'!B255="","",'1.1 Produksi Bersih Padi 2025'!B255)</f>
        <v/>
      </c>
      <c r="C255" s="31" t="str">
        <f>IF('1.1 Produksi Bersih Padi 2025'!C255="","",'1.1 Produksi Bersih Padi 2025'!C255)</f>
        <v/>
      </c>
      <c r="D255" s="1" t="str">
        <f>IF('1.1 Produksi Bersih Padi 2025'!D255="","",'1.1 Produksi Bersih Padi 2025'!D255)</f>
        <v/>
      </c>
      <c r="E255" s="1" t="str">
        <f>IF('1.1 Produksi Bersih Padi 2025'!E255="","",'1.1 Produksi Bersih Padi 2025'!E255)</f>
        <v/>
      </c>
      <c r="F255" s="28" t="str">
        <f>IF(D255="","",VLOOKUP(D255,'[1]0.1 Produksi Pangan &amp; Penduduk'!$D$5:$AE$860,28,0))</f>
        <v/>
      </c>
      <c r="G255" s="29" t="str">
        <f t="shared" si="15"/>
        <v/>
      </c>
      <c r="H255" s="29" t="str">
        <f t="shared" si="16"/>
        <v/>
      </c>
      <c r="I255" s="29" t="str">
        <f t="shared" si="17"/>
        <v/>
      </c>
      <c r="J255" s="29" t="str">
        <f t="shared" si="18"/>
        <v/>
      </c>
      <c r="K255" s="29" t="str">
        <f t="shared" si="19"/>
        <v/>
      </c>
    </row>
    <row r="256" spans="1:11" ht="15" x14ac:dyDescent="0.25">
      <c r="A256" s="1" t="str">
        <f>IF('1.1 Produksi Bersih Padi 2025'!A256="","",'1.1 Produksi Bersih Padi 2025'!A256)</f>
        <v/>
      </c>
      <c r="B256" s="31" t="str">
        <f>IF('1.1 Produksi Bersih Padi 2025'!B256="","",'1.1 Produksi Bersih Padi 2025'!B256)</f>
        <v/>
      </c>
      <c r="C256" s="31" t="str">
        <f>IF('1.1 Produksi Bersih Padi 2025'!C256="","",'1.1 Produksi Bersih Padi 2025'!C256)</f>
        <v/>
      </c>
      <c r="D256" s="1" t="str">
        <f>IF('1.1 Produksi Bersih Padi 2025'!D256="","",'1.1 Produksi Bersih Padi 2025'!D256)</f>
        <v/>
      </c>
      <c r="E256" s="1" t="str">
        <f>IF('1.1 Produksi Bersih Padi 2025'!E256="","",'1.1 Produksi Bersih Padi 2025'!E256)</f>
        <v/>
      </c>
      <c r="F256" s="28" t="str">
        <f>IF(D256="","",VLOOKUP(D256,'[1]0.1 Produksi Pangan &amp; Penduduk'!$D$5:$AE$860,28,0))</f>
        <v/>
      </c>
      <c r="G256" s="29" t="str">
        <f t="shared" si="15"/>
        <v/>
      </c>
      <c r="H256" s="29" t="str">
        <f t="shared" si="16"/>
        <v/>
      </c>
      <c r="I256" s="29" t="str">
        <f t="shared" si="17"/>
        <v/>
      </c>
      <c r="J256" s="29" t="str">
        <f t="shared" si="18"/>
        <v/>
      </c>
      <c r="K256" s="29" t="str">
        <f t="shared" si="19"/>
        <v/>
      </c>
    </row>
    <row r="257" spans="1:11" ht="15" x14ac:dyDescent="0.25">
      <c r="A257" s="1" t="str">
        <f>IF('1.1 Produksi Bersih Padi 2025'!A257="","",'1.1 Produksi Bersih Padi 2025'!A257)</f>
        <v/>
      </c>
      <c r="B257" s="31" t="str">
        <f>IF('1.1 Produksi Bersih Padi 2025'!B257="","",'1.1 Produksi Bersih Padi 2025'!B257)</f>
        <v/>
      </c>
      <c r="C257" s="31" t="str">
        <f>IF('1.1 Produksi Bersih Padi 2025'!C257="","",'1.1 Produksi Bersih Padi 2025'!C257)</f>
        <v/>
      </c>
      <c r="D257" s="1" t="str">
        <f>IF('1.1 Produksi Bersih Padi 2025'!D257="","",'1.1 Produksi Bersih Padi 2025'!D257)</f>
        <v/>
      </c>
      <c r="E257" s="1" t="str">
        <f>IF('1.1 Produksi Bersih Padi 2025'!E257="","",'1.1 Produksi Bersih Padi 2025'!E257)</f>
        <v/>
      </c>
      <c r="F257" s="28" t="str">
        <f>IF(D257="","",VLOOKUP(D257,'[1]0.1 Produksi Pangan &amp; Penduduk'!$D$5:$AE$860,28,0))</f>
        <v/>
      </c>
      <c r="G257" s="29" t="str">
        <f t="shared" si="15"/>
        <v/>
      </c>
      <c r="H257" s="29" t="str">
        <f t="shared" si="16"/>
        <v/>
      </c>
      <c r="I257" s="29" t="str">
        <f t="shared" si="17"/>
        <v/>
      </c>
      <c r="J257" s="29" t="str">
        <f t="shared" si="18"/>
        <v/>
      </c>
      <c r="K257" s="29" t="str">
        <f t="shared" si="19"/>
        <v/>
      </c>
    </row>
    <row r="258" spans="1:11" ht="15" x14ac:dyDescent="0.25">
      <c r="A258" s="1" t="str">
        <f>IF('1.1 Produksi Bersih Padi 2025'!A258="","",'1.1 Produksi Bersih Padi 2025'!A258)</f>
        <v/>
      </c>
      <c r="B258" s="31" t="str">
        <f>IF('1.1 Produksi Bersih Padi 2025'!B258="","",'1.1 Produksi Bersih Padi 2025'!B258)</f>
        <v/>
      </c>
      <c r="C258" s="31" t="str">
        <f>IF('1.1 Produksi Bersih Padi 2025'!C258="","",'1.1 Produksi Bersih Padi 2025'!C258)</f>
        <v/>
      </c>
      <c r="D258" s="1" t="str">
        <f>IF('1.1 Produksi Bersih Padi 2025'!D258="","",'1.1 Produksi Bersih Padi 2025'!D258)</f>
        <v/>
      </c>
      <c r="E258" s="1" t="str">
        <f>IF('1.1 Produksi Bersih Padi 2025'!E258="","",'1.1 Produksi Bersih Padi 2025'!E258)</f>
        <v/>
      </c>
      <c r="F258" s="28" t="str">
        <f>IF(D258="","",VLOOKUP(D258,'[1]0.1 Produksi Pangan &amp; Penduduk'!$D$5:$AE$860,28,0))</f>
        <v/>
      </c>
      <c r="G258" s="29" t="str">
        <f t="shared" si="15"/>
        <v/>
      </c>
      <c r="H258" s="29" t="str">
        <f t="shared" si="16"/>
        <v/>
      </c>
      <c r="I258" s="29" t="str">
        <f t="shared" si="17"/>
        <v/>
      </c>
      <c r="J258" s="29" t="str">
        <f t="shared" si="18"/>
        <v/>
      </c>
      <c r="K258" s="29" t="str">
        <f t="shared" si="19"/>
        <v/>
      </c>
    </row>
    <row r="259" spans="1:11" ht="15" x14ac:dyDescent="0.25">
      <c r="A259" s="1" t="str">
        <f>IF('1.1 Produksi Bersih Padi 2025'!A259="","",'1.1 Produksi Bersih Padi 2025'!A259)</f>
        <v/>
      </c>
      <c r="B259" s="31" t="str">
        <f>IF('1.1 Produksi Bersih Padi 2025'!B259="","",'1.1 Produksi Bersih Padi 2025'!B259)</f>
        <v/>
      </c>
      <c r="C259" s="31" t="str">
        <f>IF('1.1 Produksi Bersih Padi 2025'!C259="","",'1.1 Produksi Bersih Padi 2025'!C259)</f>
        <v/>
      </c>
      <c r="D259" s="1" t="str">
        <f>IF('1.1 Produksi Bersih Padi 2025'!D259="","",'1.1 Produksi Bersih Padi 2025'!D259)</f>
        <v/>
      </c>
      <c r="E259" s="1" t="str">
        <f>IF('1.1 Produksi Bersih Padi 2025'!E259="","",'1.1 Produksi Bersih Padi 2025'!E259)</f>
        <v/>
      </c>
      <c r="F259" s="28" t="str">
        <f>IF(D259="","",VLOOKUP(D259,'[1]0.1 Produksi Pangan &amp; Penduduk'!$D$5:$AE$860,28,0))</f>
        <v/>
      </c>
      <c r="G259" s="29" t="str">
        <f t="shared" si="15"/>
        <v/>
      </c>
      <c r="H259" s="29" t="str">
        <f t="shared" si="16"/>
        <v/>
      </c>
      <c r="I259" s="29" t="str">
        <f t="shared" si="17"/>
        <v/>
      </c>
      <c r="J259" s="29" t="str">
        <f t="shared" si="18"/>
        <v/>
      </c>
      <c r="K259" s="29" t="str">
        <f t="shared" si="19"/>
        <v/>
      </c>
    </row>
    <row r="260" spans="1:11" ht="15" x14ac:dyDescent="0.25">
      <c r="A260" s="1" t="str">
        <f>IF('1.1 Produksi Bersih Padi 2025'!A260="","",'1.1 Produksi Bersih Padi 2025'!A260)</f>
        <v/>
      </c>
      <c r="B260" s="31" t="str">
        <f>IF('1.1 Produksi Bersih Padi 2025'!B260="","",'1.1 Produksi Bersih Padi 2025'!B260)</f>
        <v/>
      </c>
      <c r="C260" s="31" t="str">
        <f>IF('1.1 Produksi Bersih Padi 2025'!C260="","",'1.1 Produksi Bersih Padi 2025'!C260)</f>
        <v/>
      </c>
      <c r="D260" s="1" t="str">
        <f>IF('1.1 Produksi Bersih Padi 2025'!D260="","",'1.1 Produksi Bersih Padi 2025'!D260)</f>
        <v/>
      </c>
      <c r="E260" s="1" t="str">
        <f>IF('1.1 Produksi Bersih Padi 2025'!E260="","",'1.1 Produksi Bersih Padi 2025'!E260)</f>
        <v/>
      </c>
      <c r="F260" s="28" t="str">
        <f>IF(D260="","",VLOOKUP(D260,'[1]0.1 Produksi Pangan &amp; Penduduk'!$D$5:$AE$860,28,0))</f>
        <v/>
      </c>
      <c r="G260" s="29" t="str">
        <f t="shared" si="15"/>
        <v/>
      </c>
      <c r="H260" s="29" t="str">
        <f t="shared" si="16"/>
        <v/>
      </c>
      <c r="I260" s="29" t="str">
        <f t="shared" si="17"/>
        <v/>
      </c>
      <c r="J260" s="29" t="str">
        <f t="shared" si="18"/>
        <v/>
      </c>
      <c r="K260" s="29" t="str">
        <f t="shared" si="19"/>
        <v/>
      </c>
    </row>
    <row r="261" spans="1:11" ht="15" x14ac:dyDescent="0.25">
      <c r="A261" s="1" t="str">
        <f>IF('1.1 Produksi Bersih Padi 2025'!A261="","",'1.1 Produksi Bersih Padi 2025'!A261)</f>
        <v/>
      </c>
      <c r="B261" s="31" t="str">
        <f>IF('1.1 Produksi Bersih Padi 2025'!B261="","",'1.1 Produksi Bersih Padi 2025'!B261)</f>
        <v/>
      </c>
      <c r="C261" s="31" t="str">
        <f>IF('1.1 Produksi Bersih Padi 2025'!C261="","",'1.1 Produksi Bersih Padi 2025'!C261)</f>
        <v/>
      </c>
      <c r="D261" s="1" t="str">
        <f>IF('1.1 Produksi Bersih Padi 2025'!D261="","",'1.1 Produksi Bersih Padi 2025'!D261)</f>
        <v/>
      </c>
      <c r="E261" s="1" t="str">
        <f>IF('1.1 Produksi Bersih Padi 2025'!E261="","",'1.1 Produksi Bersih Padi 2025'!E261)</f>
        <v/>
      </c>
      <c r="F261" s="28" t="str">
        <f>IF(D261="","",VLOOKUP(D261,'[1]0.1 Produksi Pangan &amp; Penduduk'!$D$5:$AE$860,28,0))</f>
        <v/>
      </c>
      <c r="G261" s="29" t="str">
        <f t="shared" si="15"/>
        <v/>
      </c>
      <c r="H261" s="29" t="str">
        <f t="shared" si="16"/>
        <v/>
      </c>
      <c r="I261" s="29" t="str">
        <f t="shared" si="17"/>
        <v/>
      </c>
      <c r="J261" s="29" t="str">
        <f t="shared" si="18"/>
        <v/>
      </c>
      <c r="K261" s="29" t="str">
        <f t="shared" si="19"/>
        <v/>
      </c>
    </row>
    <row r="262" spans="1:11" ht="15" x14ac:dyDescent="0.25">
      <c r="A262" s="1" t="str">
        <f>IF('1.1 Produksi Bersih Padi 2025'!A262="","",'1.1 Produksi Bersih Padi 2025'!A262)</f>
        <v/>
      </c>
      <c r="B262" s="31" t="str">
        <f>IF('1.1 Produksi Bersih Padi 2025'!B262="","",'1.1 Produksi Bersih Padi 2025'!B262)</f>
        <v/>
      </c>
      <c r="C262" s="31" t="str">
        <f>IF('1.1 Produksi Bersih Padi 2025'!C262="","",'1.1 Produksi Bersih Padi 2025'!C262)</f>
        <v/>
      </c>
      <c r="D262" s="1" t="str">
        <f>IF('1.1 Produksi Bersih Padi 2025'!D262="","",'1.1 Produksi Bersih Padi 2025'!D262)</f>
        <v/>
      </c>
      <c r="E262" s="1" t="str">
        <f>IF('1.1 Produksi Bersih Padi 2025'!E262="","",'1.1 Produksi Bersih Padi 2025'!E262)</f>
        <v/>
      </c>
      <c r="F262" s="28" t="str">
        <f>IF(D262="","",VLOOKUP(D262,'[1]0.1 Produksi Pangan &amp; Penduduk'!$D$5:$AE$860,28,0))</f>
        <v/>
      </c>
      <c r="G262" s="29" t="str">
        <f t="shared" ref="G262:G325" si="20">IF(F262="","",F262*0%)</f>
        <v/>
      </c>
      <c r="H262" s="29" t="str">
        <f t="shared" ref="H262:H325" si="21">IF(F262="","",F262*0.77%)</f>
        <v/>
      </c>
      <c r="I262" s="29" t="str">
        <f t="shared" ref="I262:I325" si="22">IF(F262="","",F262*4.9%)</f>
        <v/>
      </c>
      <c r="J262" s="29" t="str">
        <f t="shared" ref="J262:J325" si="23">IF(F262="","",F262-(G262+H262+I262))</f>
        <v/>
      </c>
      <c r="K262" s="29" t="str">
        <f t="shared" ref="K262:K325" si="24">IF(J262="","",J262*0.259)</f>
        <v/>
      </c>
    </row>
    <row r="263" spans="1:11" ht="15" x14ac:dyDescent="0.25">
      <c r="A263" s="1" t="str">
        <f>IF('1.1 Produksi Bersih Padi 2025'!A263="","",'1.1 Produksi Bersih Padi 2025'!A263)</f>
        <v/>
      </c>
      <c r="B263" s="31" t="str">
        <f>IF('1.1 Produksi Bersih Padi 2025'!B263="","",'1.1 Produksi Bersih Padi 2025'!B263)</f>
        <v/>
      </c>
      <c r="C263" s="31" t="str">
        <f>IF('1.1 Produksi Bersih Padi 2025'!C263="","",'1.1 Produksi Bersih Padi 2025'!C263)</f>
        <v/>
      </c>
      <c r="D263" s="1" t="str">
        <f>IF('1.1 Produksi Bersih Padi 2025'!D263="","",'1.1 Produksi Bersih Padi 2025'!D263)</f>
        <v/>
      </c>
      <c r="E263" s="1" t="str">
        <f>IF('1.1 Produksi Bersih Padi 2025'!E263="","",'1.1 Produksi Bersih Padi 2025'!E263)</f>
        <v/>
      </c>
      <c r="F263" s="28" t="str">
        <f>IF(D263="","",VLOOKUP(D263,'[1]0.1 Produksi Pangan &amp; Penduduk'!$D$5:$AE$860,28,0))</f>
        <v/>
      </c>
      <c r="G263" s="29" t="str">
        <f t="shared" si="20"/>
        <v/>
      </c>
      <c r="H263" s="29" t="str">
        <f t="shared" si="21"/>
        <v/>
      </c>
      <c r="I263" s="29" t="str">
        <f t="shared" si="22"/>
        <v/>
      </c>
      <c r="J263" s="29" t="str">
        <f t="shared" si="23"/>
        <v/>
      </c>
      <c r="K263" s="29" t="str">
        <f t="shared" si="24"/>
        <v/>
      </c>
    </row>
    <row r="264" spans="1:11" ht="15" x14ac:dyDescent="0.25">
      <c r="A264" s="1" t="str">
        <f>IF('1.1 Produksi Bersih Padi 2025'!A264="","",'1.1 Produksi Bersih Padi 2025'!A264)</f>
        <v/>
      </c>
      <c r="B264" s="31" t="str">
        <f>IF('1.1 Produksi Bersih Padi 2025'!B264="","",'1.1 Produksi Bersih Padi 2025'!B264)</f>
        <v/>
      </c>
      <c r="C264" s="31" t="str">
        <f>IF('1.1 Produksi Bersih Padi 2025'!C264="","",'1.1 Produksi Bersih Padi 2025'!C264)</f>
        <v/>
      </c>
      <c r="D264" s="1" t="str">
        <f>IF('1.1 Produksi Bersih Padi 2025'!D264="","",'1.1 Produksi Bersih Padi 2025'!D264)</f>
        <v/>
      </c>
      <c r="E264" s="1" t="str">
        <f>IF('1.1 Produksi Bersih Padi 2025'!E264="","",'1.1 Produksi Bersih Padi 2025'!E264)</f>
        <v/>
      </c>
      <c r="F264" s="28" t="str">
        <f>IF(D264="","",VLOOKUP(D264,'[1]0.1 Produksi Pangan &amp; Penduduk'!$D$5:$AE$860,28,0))</f>
        <v/>
      </c>
      <c r="G264" s="29" t="str">
        <f t="shared" si="20"/>
        <v/>
      </c>
      <c r="H264" s="29" t="str">
        <f t="shared" si="21"/>
        <v/>
      </c>
      <c r="I264" s="29" t="str">
        <f t="shared" si="22"/>
        <v/>
      </c>
      <c r="J264" s="29" t="str">
        <f t="shared" si="23"/>
        <v/>
      </c>
      <c r="K264" s="29" t="str">
        <f t="shared" si="24"/>
        <v/>
      </c>
    </row>
    <row r="265" spans="1:11" ht="15" x14ac:dyDescent="0.25">
      <c r="A265" s="1" t="str">
        <f>IF('1.1 Produksi Bersih Padi 2025'!A265="","",'1.1 Produksi Bersih Padi 2025'!A265)</f>
        <v/>
      </c>
      <c r="B265" s="31" t="str">
        <f>IF('1.1 Produksi Bersih Padi 2025'!B265="","",'1.1 Produksi Bersih Padi 2025'!B265)</f>
        <v/>
      </c>
      <c r="C265" s="31" t="str">
        <f>IF('1.1 Produksi Bersih Padi 2025'!C265="","",'1.1 Produksi Bersih Padi 2025'!C265)</f>
        <v/>
      </c>
      <c r="D265" s="1" t="str">
        <f>IF('1.1 Produksi Bersih Padi 2025'!D265="","",'1.1 Produksi Bersih Padi 2025'!D265)</f>
        <v/>
      </c>
      <c r="E265" s="1" t="str">
        <f>IF('1.1 Produksi Bersih Padi 2025'!E265="","",'1.1 Produksi Bersih Padi 2025'!E265)</f>
        <v/>
      </c>
      <c r="F265" s="28" t="str">
        <f>IF(D265="","",VLOOKUP(D265,'[1]0.1 Produksi Pangan &amp; Penduduk'!$D$5:$AE$860,28,0))</f>
        <v/>
      </c>
      <c r="G265" s="29" t="str">
        <f t="shared" si="20"/>
        <v/>
      </c>
      <c r="H265" s="29" t="str">
        <f t="shared" si="21"/>
        <v/>
      </c>
      <c r="I265" s="29" t="str">
        <f t="shared" si="22"/>
        <v/>
      </c>
      <c r="J265" s="29" t="str">
        <f t="shared" si="23"/>
        <v/>
      </c>
      <c r="K265" s="29" t="str">
        <f t="shared" si="24"/>
        <v/>
      </c>
    </row>
    <row r="266" spans="1:11" ht="15" x14ac:dyDescent="0.25">
      <c r="A266" s="1" t="str">
        <f>IF('1.1 Produksi Bersih Padi 2025'!A266="","",'1.1 Produksi Bersih Padi 2025'!A266)</f>
        <v/>
      </c>
      <c r="B266" s="31" t="str">
        <f>IF('1.1 Produksi Bersih Padi 2025'!B266="","",'1.1 Produksi Bersih Padi 2025'!B266)</f>
        <v/>
      </c>
      <c r="C266" s="31" t="str">
        <f>IF('1.1 Produksi Bersih Padi 2025'!C266="","",'1.1 Produksi Bersih Padi 2025'!C266)</f>
        <v/>
      </c>
      <c r="D266" s="1" t="str">
        <f>IF('1.1 Produksi Bersih Padi 2025'!D266="","",'1.1 Produksi Bersih Padi 2025'!D266)</f>
        <v/>
      </c>
      <c r="E266" s="1" t="str">
        <f>IF('1.1 Produksi Bersih Padi 2025'!E266="","",'1.1 Produksi Bersih Padi 2025'!E266)</f>
        <v/>
      </c>
      <c r="F266" s="28" t="str">
        <f>IF(D266="","",VLOOKUP(D266,'[1]0.1 Produksi Pangan &amp; Penduduk'!$D$5:$AE$860,28,0))</f>
        <v/>
      </c>
      <c r="G266" s="29" t="str">
        <f t="shared" si="20"/>
        <v/>
      </c>
      <c r="H266" s="29" t="str">
        <f t="shared" si="21"/>
        <v/>
      </c>
      <c r="I266" s="29" t="str">
        <f t="shared" si="22"/>
        <v/>
      </c>
      <c r="J266" s="29" t="str">
        <f t="shared" si="23"/>
        <v/>
      </c>
      <c r="K266" s="29" t="str">
        <f t="shared" si="24"/>
        <v/>
      </c>
    </row>
    <row r="267" spans="1:11" ht="15" x14ac:dyDescent="0.25">
      <c r="A267" s="1" t="str">
        <f>IF('1.1 Produksi Bersih Padi 2025'!A267="","",'1.1 Produksi Bersih Padi 2025'!A267)</f>
        <v/>
      </c>
      <c r="B267" s="31" t="str">
        <f>IF('1.1 Produksi Bersih Padi 2025'!B267="","",'1.1 Produksi Bersih Padi 2025'!B267)</f>
        <v/>
      </c>
      <c r="C267" s="31" t="str">
        <f>IF('1.1 Produksi Bersih Padi 2025'!C267="","",'1.1 Produksi Bersih Padi 2025'!C267)</f>
        <v/>
      </c>
      <c r="D267" s="1" t="str">
        <f>IF('1.1 Produksi Bersih Padi 2025'!D267="","",'1.1 Produksi Bersih Padi 2025'!D267)</f>
        <v/>
      </c>
      <c r="E267" s="1" t="str">
        <f>IF('1.1 Produksi Bersih Padi 2025'!E267="","",'1.1 Produksi Bersih Padi 2025'!E267)</f>
        <v/>
      </c>
      <c r="F267" s="28" t="str">
        <f>IF(D267="","",VLOOKUP(D267,'[1]0.1 Produksi Pangan &amp; Penduduk'!$D$5:$AE$860,28,0))</f>
        <v/>
      </c>
      <c r="G267" s="29" t="str">
        <f t="shared" si="20"/>
        <v/>
      </c>
      <c r="H267" s="29" t="str">
        <f t="shared" si="21"/>
        <v/>
      </c>
      <c r="I267" s="29" t="str">
        <f t="shared" si="22"/>
        <v/>
      </c>
      <c r="J267" s="29" t="str">
        <f t="shared" si="23"/>
        <v/>
      </c>
      <c r="K267" s="29" t="str">
        <f t="shared" si="24"/>
        <v/>
      </c>
    </row>
    <row r="268" spans="1:11" ht="15" x14ac:dyDescent="0.25">
      <c r="A268" s="1" t="str">
        <f>IF('1.1 Produksi Bersih Padi 2025'!A268="","",'1.1 Produksi Bersih Padi 2025'!A268)</f>
        <v/>
      </c>
      <c r="B268" s="31" t="str">
        <f>IF('1.1 Produksi Bersih Padi 2025'!B268="","",'1.1 Produksi Bersih Padi 2025'!B268)</f>
        <v/>
      </c>
      <c r="C268" s="31" t="str">
        <f>IF('1.1 Produksi Bersih Padi 2025'!C268="","",'1.1 Produksi Bersih Padi 2025'!C268)</f>
        <v/>
      </c>
      <c r="D268" s="1" t="str">
        <f>IF('1.1 Produksi Bersih Padi 2025'!D268="","",'1.1 Produksi Bersih Padi 2025'!D268)</f>
        <v/>
      </c>
      <c r="E268" s="1" t="str">
        <f>IF('1.1 Produksi Bersih Padi 2025'!E268="","",'1.1 Produksi Bersih Padi 2025'!E268)</f>
        <v/>
      </c>
      <c r="F268" s="28" t="str">
        <f>IF(D268="","",VLOOKUP(D268,'[1]0.1 Produksi Pangan &amp; Penduduk'!$D$5:$AE$860,28,0))</f>
        <v/>
      </c>
      <c r="G268" s="29" t="str">
        <f t="shared" si="20"/>
        <v/>
      </c>
      <c r="H268" s="29" t="str">
        <f t="shared" si="21"/>
        <v/>
      </c>
      <c r="I268" s="29" t="str">
        <f t="shared" si="22"/>
        <v/>
      </c>
      <c r="J268" s="29" t="str">
        <f t="shared" si="23"/>
        <v/>
      </c>
      <c r="K268" s="29" t="str">
        <f t="shared" si="24"/>
        <v/>
      </c>
    </row>
    <row r="269" spans="1:11" ht="15" x14ac:dyDescent="0.25">
      <c r="A269" s="1" t="str">
        <f>IF('1.1 Produksi Bersih Padi 2025'!A269="","",'1.1 Produksi Bersih Padi 2025'!A269)</f>
        <v/>
      </c>
      <c r="B269" s="31" t="str">
        <f>IF('1.1 Produksi Bersih Padi 2025'!B269="","",'1.1 Produksi Bersih Padi 2025'!B269)</f>
        <v/>
      </c>
      <c r="C269" s="31" t="str">
        <f>IF('1.1 Produksi Bersih Padi 2025'!C269="","",'1.1 Produksi Bersih Padi 2025'!C269)</f>
        <v/>
      </c>
      <c r="D269" s="1" t="str">
        <f>IF('1.1 Produksi Bersih Padi 2025'!D269="","",'1.1 Produksi Bersih Padi 2025'!D269)</f>
        <v/>
      </c>
      <c r="E269" s="1" t="str">
        <f>IF('1.1 Produksi Bersih Padi 2025'!E269="","",'1.1 Produksi Bersih Padi 2025'!E269)</f>
        <v/>
      </c>
      <c r="F269" s="28" t="str">
        <f>IF(D269="","",VLOOKUP(D269,'[1]0.1 Produksi Pangan &amp; Penduduk'!$D$5:$AE$860,28,0))</f>
        <v/>
      </c>
      <c r="G269" s="29" t="str">
        <f t="shared" si="20"/>
        <v/>
      </c>
      <c r="H269" s="29" t="str">
        <f t="shared" si="21"/>
        <v/>
      </c>
      <c r="I269" s="29" t="str">
        <f t="shared" si="22"/>
        <v/>
      </c>
      <c r="J269" s="29" t="str">
        <f t="shared" si="23"/>
        <v/>
      </c>
      <c r="K269" s="29" t="str">
        <f t="shared" si="24"/>
        <v/>
      </c>
    </row>
    <row r="270" spans="1:11" ht="15" x14ac:dyDescent="0.25">
      <c r="A270" s="1" t="str">
        <f>IF('1.1 Produksi Bersih Padi 2025'!A270="","",'1.1 Produksi Bersih Padi 2025'!A270)</f>
        <v/>
      </c>
      <c r="B270" s="31" t="str">
        <f>IF('1.1 Produksi Bersih Padi 2025'!B270="","",'1.1 Produksi Bersih Padi 2025'!B270)</f>
        <v/>
      </c>
      <c r="C270" s="31" t="str">
        <f>IF('1.1 Produksi Bersih Padi 2025'!C270="","",'1.1 Produksi Bersih Padi 2025'!C270)</f>
        <v/>
      </c>
      <c r="D270" s="1" t="str">
        <f>IF('1.1 Produksi Bersih Padi 2025'!D270="","",'1.1 Produksi Bersih Padi 2025'!D270)</f>
        <v/>
      </c>
      <c r="E270" s="1" t="str">
        <f>IF('1.1 Produksi Bersih Padi 2025'!E270="","",'1.1 Produksi Bersih Padi 2025'!E270)</f>
        <v/>
      </c>
      <c r="F270" s="28" t="str">
        <f>IF(D270="","",VLOOKUP(D270,'[1]0.1 Produksi Pangan &amp; Penduduk'!$D$5:$AE$860,28,0))</f>
        <v/>
      </c>
      <c r="G270" s="29" t="str">
        <f t="shared" si="20"/>
        <v/>
      </c>
      <c r="H270" s="29" t="str">
        <f t="shared" si="21"/>
        <v/>
      </c>
      <c r="I270" s="29" t="str">
        <f t="shared" si="22"/>
        <v/>
      </c>
      <c r="J270" s="29" t="str">
        <f t="shared" si="23"/>
        <v/>
      </c>
      <c r="K270" s="29" t="str">
        <f t="shared" si="24"/>
        <v/>
      </c>
    </row>
    <row r="271" spans="1:11" ht="15" x14ac:dyDescent="0.25">
      <c r="A271" s="1" t="str">
        <f>IF('1.1 Produksi Bersih Padi 2025'!A271="","",'1.1 Produksi Bersih Padi 2025'!A271)</f>
        <v/>
      </c>
      <c r="B271" s="31" t="str">
        <f>IF('1.1 Produksi Bersih Padi 2025'!B271="","",'1.1 Produksi Bersih Padi 2025'!B271)</f>
        <v/>
      </c>
      <c r="C271" s="31" t="str">
        <f>IF('1.1 Produksi Bersih Padi 2025'!C271="","",'1.1 Produksi Bersih Padi 2025'!C271)</f>
        <v/>
      </c>
      <c r="D271" s="1" t="str">
        <f>IF('1.1 Produksi Bersih Padi 2025'!D271="","",'1.1 Produksi Bersih Padi 2025'!D271)</f>
        <v/>
      </c>
      <c r="E271" s="1" t="str">
        <f>IF('1.1 Produksi Bersih Padi 2025'!E271="","",'1.1 Produksi Bersih Padi 2025'!E271)</f>
        <v/>
      </c>
      <c r="F271" s="28" t="str">
        <f>IF(D271="","",VLOOKUP(D271,'[1]0.1 Produksi Pangan &amp; Penduduk'!$D$5:$AE$860,28,0))</f>
        <v/>
      </c>
      <c r="G271" s="29" t="str">
        <f t="shared" si="20"/>
        <v/>
      </c>
      <c r="H271" s="29" t="str">
        <f t="shared" si="21"/>
        <v/>
      </c>
      <c r="I271" s="29" t="str">
        <f t="shared" si="22"/>
        <v/>
      </c>
      <c r="J271" s="29" t="str">
        <f t="shared" si="23"/>
        <v/>
      </c>
      <c r="K271" s="29" t="str">
        <f t="shared" si="24"/>
        <v/>
      </c>
    </row>
    <row r="272" spans="1:11" ht="15" x14ac:dyDescent="0.25">
      <c r="A272" s="1" t="str">
        <f>IF('1.1 Produksi Bersih Padi 2025'!A272="","",'1.1 Produksi Bersih Padi 2025'!A272)</f>
        <v/>
      </c>
      <c r="B272" s="31" t="str">
        <f>IF('1.1 Produksi Bersih Padi 2025'!B272="","",'1.1 Produksi Bersih Padi 2025'!B272)</f>
        <v/>
      </c>
      <c r="C272" s="31" t="str">
        <f>IF('1.1 Produksi Bersih Padi 2025'!C272="","",'1.1 Produksi Bersih Padi 2025'!C272)</f>
        <v/>
      </c>
      <c r="D272" s="1" t="str">
        <f>IF('1.1 Produksi Bersih Padi 2025'!D272="","",'1.1 Produksi Bersih Padi 2025'!D272)</f>
        <v/>
      </c>
      <c r="E272" s="1" t="str">
        <f>IF('1.1 Produksi Bersih Padi 2025'!E272="","",'1.1 Produksi Bersih Padi 2025'!E272)</f>
        <v/>
      </c>
      <c r="F272" s="28" t="str">
        <f>IF(D272="","",VLOOKUP(D272,'[1]0.1 Produksi Pangan &amp; Penduduk'!$D$5:$AE$860,28,0))</f>
        <v/>
      </c>
      <c r="G272" s="29" t="str">
        <f t="shared" si="20"/>
        <v/>
      </c>
      <c r="H272" s="29" t="str">
        <f t="shared" si="21"/>
        <v/>
      </c>
      <c r="I272" s="29" t="str">
        <f t="shared" si="22"/>
        <v/>
      </c>
      <c r="J272" s="29" t="str">
        <f t="shared" si="23"/>
        <v/>
      </c>
      <c r="K272" s="29" t="str">
        <f t="shared" si="24"/>
        <v/>
      </c>
    </row>
    <row r="273" spans="1:11" ht="15" x14ac:dyDescent="0.25">
      <c r="A273" s="1" t="str">
        <f>IF('1.1 Produksi Bersih Padi 2025'!A273="","",'1.1 Produksi Bersih Padi 2025'!A273)</f>
        <v/>
      </c>
      <c r="B273" s="31" t="str">
        <f>IF('1.1 Produksi Bersih Padi 2025'!B273="","",'1.1 Produksi Bersih Padi 2025'!B273)</f>
        <v/>
      </c>
      <c r="C273" s="31" t="str">
        <f>IF('1.1 Produksi Bersih Padi 2025'!C273="","",'1.1 Produksi Bersih Padi 2025'!C273)</f>
        <v/>
      </c>
      <c r="D273" s="1" t="str">
        <f>IF('1.1 Produksi Bersih Padi 2025'!D273="","",'1.1 Produksi Bersih Padi 2025'!D273)</f>
        <v/>
      </c>
      <c r="E273" s="1" t="str">
        <f>IF('1.1 Produksi Bersih Padi 2025'!E273="","",'1.1 Produksi Bersih Padi 2025'!E273)</f>
        <v/>
      </c>
      <c r="F273" s="28" t="str">
        <f>IF(D273="","",VLOOKUP(D273,'[1]0.1 Produksi Pangan &amp; Penduduk'!$D$5:$AE$860,28,0))</f>
        <v/>
      </c>
      <c r="G273" s="29" t="str">
        <f t="shared" si="20"/>
        <v/>
      </c>
      <c r="H273" s="29" t="str">
        <f t="shared" si="21"/>
        <v/>
      </c>
      <c r="I273" s="29" t="str">
        <f t="shared" si="22"/>
        <v/>
      </c>
      <c r="J273" s="29" t="str">
        <f t="shared" si="23"/>
        <v/>
      </c>
      <c r="K273" s="29" t="str">
        <f t="shared" si="24"/>
        <v/>
      </c>
    </row>
    <row r="274" spans="1:11" ht="15" x14ac:dyDescent="0.25">
      <c r="A274" s="1" t="str">
        <f>IF('1.1 Produksi Bersih Padi 2025'!A274="","",'1.1 Produksi Bersih Padi 2025'!A274)</f>
        <v/>
      </c>
      <c r="B274" s="31" t="str">
        <f>IF('1.1 Produksi Bersih Padi 2025'!B274="","",'1.1 Produksi Bersih Padi 2025'!B274)</f>
        <v/>
      </c>
      <c r="C274" s="31" t="str">
        <f>IF('1.1 Produksi Bersih Padi 2025'!C274="","",'1.1 Produksi Bersih Padi 2025'!C274)</f>
        <v/>
      </c>
      <c r="D274" s="1" t="str">
        <f>IF('1.1 Produksi Bersih Padi 2025'!D274="","",'1.1 Produksi Bersih Padi 2025'!D274)</f>
        <v/>
      </c>
      <c r="E274" s="1" t="str">
        <f>IF('1.1 Produksi Bersih Padi 2025'!E274="","",'1.1 Produksi Bersih Padi 2025'!E274)</f>
        <v/>
      </c>
      <c r="F274" s="28" t="str">
        <f>IF(D274="","",VLOOKUP(D274,'[1]0.1 Produksi Pangan &amp; Penduduk'!$D$5:$AE$860,28,0))</f>
        <v/>
      </c>
      <c r="G274" s="29" t="str">
        <f t="shared" si="20"/>
        <v/>
      </c>
      <c r="H274" s="29" t="str">
        <f t="shared" si="21"/>
        <v/>
      </c>
      <c r="I274" s="29" t="str">
        <f t="shared" si="22"/>
        <v/>
      </c>
      <c r="J274" s="29" t="str">
        <f t="shared" si="23"/>
        <v/>
      </c>
      <c r="K274" s="29" t="str">
        <f t="shared" si="24"/>
        <v/>
      </c>
    </row>
    <row r="275" spans="1:11" ht="15" x14ac:dyDescent="0.25">
      <c r="A275" s="1" t="str">
        <f>IF('1.1 Produksi Bersih Padi 2025'!A275="","",'1.1 Produksi Bersih Padi 2025'!A275)</f>
        <v/>
      </c>
      <c r="B275" s="31" t="str">
        <f>IF('1.1 Produksi Bersih Padi 2025'!B275="","",'1.1 Produksi Bersih Padi 2025'!B275)</f>
        <v/>
      </c>
      <c r="C275" s="31" t="str">
        <f>IF('1.1 Produksi Bersih Padi 2025'!C275="","",'1.1 Produksi Bersih Padi 2025'!C275)</f>
        <v/>
      </c>
      <c r="D275" s="1" t="str">
        <f>IF('1.1 Produksi Bersih Padi 2025'!D275="","",'1.1 Produksi Bersih Padi 2025'!D275)</f>
        <v/>
      </c>
      <c r="E275" s="1" t="str">
        <f>IF('1.1 Produksi Bersih Padi 2025'!E275="","",'1.1 Produksi Bersih Padi 2025'!E275)</f>
        <v/>
      </c>
      <c r="F275" s="28" t="str">
        <f>IF(D275="","",VLOOKUP(D275,'[1]0.1 Produksi Pangan &amp; Penduduk'!$D$5:$AE$860,28,0))</f>
        <v/>
      </c>
      <c r="G275" s="29" t="str">
        <f t="shared" si="20"/>
        <v/>
      </c>
      <c r="H275" s="29" t="str">
        <f t="shared" si="21"/>
        <v/>
      </c>
      <c r="I275" s="29" t="str">
        <f t="shared" si="22"/>
        <v/>
      </c>
      <c r="J275" s="29" t="str">
        <f t="shared" si="23"/>
        <v/>
      </c>
      <c r="K275" s="29" t="str">
        <f t="shared" si="24"/>
        <v/>
      </c>
    </row>
    <row r="276" spans="1:11" ht="15" x14ac:dyDescent="0.25">
      <c r="A276" s="1" t="str">
        <f>IF('1.1 Produksi Bersih Padi 2025'!A276="","",'1.1 Produksi Bersih Padi 2025'!A276)</f>
        <v/>
      </c>
      <c r="B276" s="31" t="str">
        <f>IF('1.1 Produksi Bersih Padi 2025'!B276="","",'1.1 Produksi Bersih Padi 2025'!B276)</f>
        <v/>
      </c>
      <c r="C276" s="31" t="str">
        <f>IF('1.1 Produksi Bersih Padi 2025'!C276="","",'1.1 Produksi Bersih Padi 2025'!C276)</f>
        <v/>
      </c>
      <c r="D276" s="1" t="str">
        <f>IF('1.1 Produksi Bersih Padi 2025'!D276="","",'1.1 Produksi Bersih Padi 2025'!D276)</f>
        <v/>
      </c>
      <c r="E276" s="1" t="str">
        <f>IF('1.1 Produksi Bersih Padi 2025'!E276="","",'1.1 Produksi Bersih Padi 2025'!E276)</f>
        <v/>
      </c>
      <c r="F276" s="28" t="str">
        <f>IF(D276="","",VLOOKUP(D276,'[1]0.1 Produksi Pangan &amp; Penduduk'!$D$5:$AE$860,28,0))</f>
        <v/>
      </c>
      <c r="G276" s="29" t="str">
        <f t="shared" si="20"/>
        <v/>
      </c>
      <c r="H276" s="29" t="str">
        <f t="shared" si="21"/>
        <v/>
      </c>
      <c r="I276" s="29" t="str">
        <f t="shared" si="22"/>
        <v/>
      </c>
      <c r="J276" s="29" t="str">
        <f t="shared" si="23"/>
        <v/>
      </c>
      <c r="K276" s="29" t="str">
        <f t="shared" si="24"/>
        <v/>
      </c>
    </row>
    <row r="277" spans="1:11" ht="15" x14ac:dyDescent="0.25">
      <c r="A277" s="1" t="str">
        <f>IF('1.1 Produksi Bersih Padi 2025'!A277="","",'1.1 Produksi Bersih Padi 2025'!A277)</f>
        <v/>
      </c>
      <c r="B277" s="31" t="str">
        <f>IF('1.1 Produksi Bersih Padi 2025'!B277="","",'1.1 Produksi Bersih Padi 2025'!B277)</f>
        <v/>
      </c>
      <c r="C277" s="31" t="str">
        <f>IF('1.1 Produksi Bersih Padi 2025'!C277="","",'1.1 Produksi Bersih Padi 2025'!C277)</f>
        <v/>
      </c>
      <c r="D277" s="1" t="str">
        <f>IF('1.1 Produksi Bersih Padi 2025'!D277="","",'1.1 Produksi Bersih Padi 2025'!D277)</f>
        <v/>
      </c>
      <c r="E277" s="1" t="str">
        <f>IF('1.1 Produksi Bersih Padi 2025'!E277="","",'1.1 Produksi Bersih Padi 2025'!E277)</f>
        <v/>
      </c>
      <c r="F277" s="28" t="str">
        <f>IF(D277="","",VLOOKUP(D277,'[1]0.1 Produksi Pangan &amp; Penduduk'!$D$5:$AE$860,28,0))</f>
        <v/>
      </c>
      <c r="G277" s="29" t="str">
        <f t="shared" si="20"/>
        <v/>
      </c>
      <c r="H277" s="29" t="str">
        <f t="shared" si="21"/>
        <v/>
      </c>
      <c r="I277" s="29" t="str">
        <f t="shared" si="22"/>
        <v/>
      </c>
      <c r="J277" s="29" t="str">
        <f t="shared" si="23"/>
        <v/>
      </c>
      <c r="K277" s="29" t="str">
        <f t="shared" si="24"/>
        <v/>
      </c>
    </row>
    <row r="278" spans="1:11" ht="15" x14ac:dyDescent="0.25">
      <c r="A278" s="1" t="str">
        <f>IF('1.1 Produksi Bersih Padi 2025'!A278="","",'1.1 Produksi Bersih Padi 2025'!A278)</f>
        <v/>
      </c>
      <c r="B278" s="31" t="str">
        <f>IF('1.1 Produksi Bersih Padi 2025'!B278="","",'1.1 Produksi Bersih Padi 2025'!B278)</f>
        <v/>
      </c>
      <c r="C278" s="31" t="str">
        <f>IF('1.1 Produksi Bersih Padi 2025'!C278="","",'1.1 Produksi Bersih Padi 2025'!C278)</f>
        <v/>
      </c>
      <c r="D278" s="1" t="str">
        <f>IF('1.1 Produksi Bersih Padi 2025'!D278="","",'1.1 Produksi Bersih Padi 2025'!D278)</f>
        <v/>
      </c>
      <c r="E278" s="1" t="str">
        <f>IF('1.1 Produksi Bersih Padi 2025'!E278="","",'1.1 Produksi Bersih Padi 2025'!E278)</f>
        <v/>
      </c>
      <c r="F278" s="28" t="str">
        <f>IF(D278="","",VLOOKUP(D278,'[1]0.1 Produksi Pangan &amp; Penduduk'!$D$5:$AE$860,28,0))</f>
        <v/>
      </c>
      <c r="G278" s="29" t="str">
        <f t="shared" si="20"/>
        <v/>
      </c>
      <c r="H278" s="29" t="str">
        <f t="shared" si="21"/>
        <v/>
      </c>
      <c r="I278" s="29" t="str">
        <f t="shared" si="22"/>
        <v/>
      </c>
      <c r="J278" s="29" t="str">
        <f t="shared" si="23"/>
        <v/>
      </c>
      <c r="K278" s="29" t="str">
        <f t="shared" si="24"/>
        <v/>
      </c>
    </row>
    <row r="279" spans="1:11" ht="15" x14ac:dyDescent="0.25">
      <c r="A279" s="1" t="str">
        <f>IF('1.1 Produksi Bersih Padi 2025'!A279="","",'1.1 Produksi Bersih Padi 2025'!A279)</f>
        <v/>
      </c>
      <c r="B279" s="31" t="str">
        <f>IF('1.1 Produksi Bersih Padi 2025'!B279="","",'1.1 Produksi Bersih Padi 2025'!B279)</f>
        <v/>
      </c>
      <c r="C279" s="31" t="str">
        <f>IF('1.1 Produksi Bersih Padi 2025'!C279="","",'1.1 Produksi Bersih Padi 2025'!C279)</f>
        <v/>
      </c>
      <c r="D279" s="1" t="str">
        <f>IF('1.1 Produksi Bersih Padi 2025'!D279="","",'1.1 Produksi Bersih Padi 2025'!D279)</f>
        <v/>
      </c>
      <c r="E279" s="1" t="str">
        <f>IF('1.1 Produksi Bersih Padi 2025'!E279="","",'1.1 Produksi Bersih Padi 2025'!E279)</f>
        <v/>
      </c>
      <c r="F279" s="28" t="str">
        <f>IF(D279="","",VLOOKUP(D279,'[1]0.1 Produksi Pangan &amp; Penduduk'!$D$5:$AE$860,28,0))</f>
        <v/>
      </c>
      <c r="G279" s="29" t="str">
        <f t="shared" si="20"/>
        <v/>
      </c>
      <c r="H279" s="29" t="str">
        <f t="shared" si="21"/>
        <v/>
      </c>
      <c r="I279" s="29" t="str">
        <f t="shared" si="22"/>
        <v/>
      </c>
      <c r="J279" s="29" t="str">
        <f t="shared" si="23"/>
        <v/>
      </c>
      <c r="K279" s="29" t="str">
        <f t="shared" si="24"/>
        <v/>
      </c>
    </row>
    <row r="280" spans="1:11" ht="15" x14ac:dyDescent="0.25">
      <c r="A280" s="1" t="str">
        <f>IF('1.1 Produksi Bersih Padi 2025'!A280="","",'1.1 Produksi Bersih Padi 2025'!A280)</f>
        <v/>
      </c>
      <c r="B280" s="31" t="str">
        <f>IF('1.1 Produksi Bersih Padi 2025'!B280="","",'1.1 Produksi Bersih Padi 2025'!B280)</f>
        <v/>
      </c>
      <c r="C280" s="31" t="str">
        <f>IF('1.1 Produksi Bersih Padi 2025'!C280="","",'1.1 Produksi Bersih Padi 2025'!C280)</f>
        <v/>
      </c>
      <c r="D280" s="1" t="str">
        <f>IF('1.1 Produksi Bersih Padi 2025'!D280="","",'1.1 Produksi Bersih Padi 2025'!D280)</f>
        <v/>
      </c>
      <c r="E280" s="1" t="str">
        <f>IF('1.1 Produksi Bersih Padi 2025'!E280="","",'1.1 Produksi Bersih Padi 2025'!E280)</f>
        <v/>
      </c>
      <c r="F280" s="28" t="str">
        <f>IF(D280="","",VLOOKUP(D280,'[1]0.1 Produksi Pangan &amp; Penduduk'!$D$5:$AE$860,28,0))</f>
        <v/>
      </c>
      <c r="G280" s="29" t="str">
        <f t="shared" si="20"/>
        <v/>
      </c>
      <c r="H280" s="29" t="str">
        <f t="shared" si="21"/>
        <v/>
      </c>
      <c r="I280" s="29" t="str">
        <f t="shared" si="22"/>
        <v/>
      </c>
      <c r="J280" s="29" t="str">
        <f t="shared" si="23"/>
        <v/>
      </c>
      <c r="K280" s="29" t="str">
        <f t="shared" si="24"/>
        <v/>
      </c>
    </row>
    <row r="281" spans="1:11" ht="15" x14ac:dyDescent="0.25">
      <c r="A281" s="1" t="str">
        <f>IF('1.1 Produksi Bersih Padi 2025'!A281="","",'1.1 Produksi Bersih Padi 2025'!A281)</f>
        <v/>
      </c>
      <c r="B281" s="31" t="str">
        <f>IF('1.1 Produksi Bersih Padi 2025'!B281="","",'1.1 Produksi Bersih Padi 2025'!B281)</f>
        <v/>
      </c>
      <c r="C281" s="31" t="str">
        <f>IF('1.1 Produksi Bersih Padi 2025'!C281="","",'1.1 Produksi Bersih Padi 2025'!C281)</f>
        <v/>
      </c>
      <c r="D281" s="1" t="str">
        <f>IF('1.1 Produksi Bersih Padi 2025'!D281="","",'1.1 Produksi Bersih Padi 2025'!D281)</f>
        <v/>
      </c>
      <c r="E281" s="1" t="str">
        <f>IF('1.1 Produksi Bersih Padi 2025'!E281="","",'1.1 Produksi Bersih Padi 2025'!E281)</f>
        <v/>
      </c>
      <c r="F281" s="28" t="str">
        <f>IF(D281="","",VLOOKUP(D281,'[1]0.1 Produksi Pangan &amp; Penduduk'!$D$5:$AE$860,28,0))</f>
        <v/>
      </c>
      <c r="G281" s="29" t="str">
        <f t="shared" si="20"/>
        <v/>
      </c>
      <c r="H281" s="29" t="str">
        <f t="shared" si="21"/>
        <v/>
      </c>
      <c r="I281" s="29" t="str">
        <f t="shared" si="22"/>
        <v/>
      </c>
      <c r="J281" s="29" t="str">
        <f t="shared" si="23"/>
        <v/>
      </c>
      <c r="K281" s="29" t="str">
        <f t="shared" si="24"/>
        <v/>
      </c>
    </row>
    <row r="282" spans="1:11" ht="15" x14ac:dyDescent="0.25">
      <c r="A282" s="1" t="str">
        <f>IF('1.1 Produksi Bersih Padi 2025'!A282="","",'1.1 Produksi Bersih Padi 2025'!A282)</f>
        <v/>
      </c>
      <c r="B282" s="31" t="str">
        <f>IF('1.1 Produksi Bersih Padi 2025'!B282="","",'1.1 Produksi Bersih Padi 2025'!B282)</f>
        <v/>
      </c>
      <c r="C282" s="31" t="str">
        <f>IF('1.1 Produksi Bersih Padi 2025'!C282="","",'1.1 Produksi Bersih Padi 2025'!C282)</f>
        <v/>
      </c>
      <c r="D282" s="1" t="str">
        <f>IF('1.1 Produksi Bersih Padi 2025'!D282="","",'1.1 Produksi Bersih Padi 2025'!D282)</f>
        <v/>
      </c>
      <c r="E282" s="1" t="str">
        <f>IF('1.1 Produksi Bersih Padi 2025'!E282="","",'1.1 Produksi Bersih Padi 2025'!E282)</f>
        <v/>
      </c>
      <c r="F282" s="28" t="str">
        <f>IF(D282="","",VLOOKUP(D282,'[1]0.1 Produksi Pangan &amp; Penduduk'!$D$5:$AE$860,28,0))</f>
        <v/>
      </c>
      <c r="G282" s="29" t="str">
        <f t="shared" si="20"/>
        <v/>
      </c>
      <c r="H282" s="29" t="str">
        <f t="shared" si="21"/>
        <v/>
      </c>
      <c r="I282" s="29" t="str">
        <f t="shared" si="22"/>
        <v/>
      </c>
      <c r="J282" s="29" t="str">
        <f t="shared" si="23"/>
        <v/>
      </c>
      <c r="K282" s="29" t="str">
        <f t="shared" si="24"/>
        <v/>
      </c>
    </row>
    <row r="283" spans="1:11" ht="15" x14ac:dyDescent="0.25">
      <c r="A283" s="1" t="str">
        <f>IF('1.1 Produksi Bersih Padi 2025'!A283="","",'1.1 Produksi Bersih Padi 2025'!A283)</f>
        <v/>
      </c>
      <c r="B283" s="31" t="str">
        <f>IF('1.1 Produksi Bersih Padi 2025'!B283="","",'1.1 Produksi Bersih Padi 2025'!B283)</f>
        <v/>
      </c>
      <c r="C283" s="31" t="str">
        <f>IF('1.1 Produksi Bersih Padi 2025'!C283="","",'1.1 Produksi Bersih Padi 2025'!C283)</f>
        <v/>
      </c>
      <c r="D283" s="1" t="str">
        <f>IF('1.1 Produksi Bersih Padi 2025'!D283="","",'1.1 Produksi Bersih Padi 2025'!D283)</f>
        <v/>
      </c>
      <c r="E283" s="1" t="str">
        <f>IF('1.1 Produksi Bersih Padi 2025'!E283="","",'1.1 Produksi Bersih Padi 2025'!E283)</f>
        <v/>
      </c>
      <c r="F283" s="28" t="str">
        <f>IF(D283="","",VLOOKUP(D283,'[1]0.1 Produksi Pangan &amp; Penduduk'!$D$5:$AE$860,28,0))</f>
        <v/>
      </c>
      <c r="G283" s="29" t="str">
        <f t="shared" si="20"/>
        <v/>
      </c>
      <c r="H283" s="29" t="str">
        <f t="shared" si="21"/>
        <v/>
      </c>
      <c r="I283" s="29" t="str">
        <f t="shared" si="22"/>
        <v/>
      </c>
      <c r="J283" s="29" t="str">
        <f t="shared" si="23"/>
        <v/>
      </c>
      <c r="K283" s="29" t="str">
        <f t="shared" si="24"/>
        <v/>
      </c>
    </row>
    <row r="284" spans="1:11" ht="15" x14ac:dyDescent="0.25">
      <c r="A284" s="1" t="str">
        <f>IF('1.1 Produksi Bersih Padi 2025'!A284="","",'1.1 Produksi Bersih Padi 2025'!A284)</f>
        <v/>
      </c>
      <c r="B284" s="31" t="str">
        <f>IF('1.1 Produksi Bersih Padi 2025'!B284="","",'1.1 Produksi Bersih Padi 2025'!B284)</f>
        <v/>
      </c>
      <c r="C284" s="31" t="str">
        <f>IF('1.1 Produksi Bersih Padi 2025'!C284="","",'1.1 Produksi Bersih Padi 2025'!C284)</f>
        <v/>
      </c>
      <c r="D284" s="1" t="str">
        <f>IF('1.1 Produksi Bersih Padi 2025'!D284="","",'1.1 Produksi Bersih Padi 2025'!D284)</f>
        <v/>
      </c>
      <c r="E284" s="1" t="str">
        <f>IF('1.1 Produksi Bersih Padi 2025'!E284="","",'1.1 Produksi Bersih Padi 2025'!E284)</f>
        <v/>
      </c>
      <c r="F284" s="28" t="str">
        <f>IF(D284="","",VLOOKUP(D284,'[1]0.1 Produksi Pangan &amp; Penduduk'!$D$5:$AE$860,28,0))</f>
        <v/>
      </c>
      <c r="G284" s="29" t="str">
        <f t="shared" si="20"/>
        <v/>
      </c>
      <c r="H284" s="29" t="str">
        <f t="shared" si="21"/>
        <v/>
      </c>
      <c r="I284" s="29" t="str">
        <f t="shared" si="22"/>
        <v/>
      </c>
      <c r="J284" s="29" t="str">
        <f t="shared" si="23"/>
        <v/>
      </c>
      <c r="K284" s="29" t="str">
        <f t="shared" si="24"/>
        <v/>
      </c>
    </row>
    <row r="285" spans="1:11" ht="15" x14ac:dyDescent="0.25">
      <c r="A285" s="1" t="str">
        <f>IF('1.1 Produksi Bersih Padi 2025'!A285="","",'1.1 Produksi Bersih Padi 2025'!A285)</f>
        <v/>
      </c>
      <c r="B285" s="31" t="str">
        <f>IF('1.1 Produksi Bersih Padi 2025'!B285="","",'1.1 Produksi Bersih Padi 2025'!B285)</f>
        <v/>
      </c>
      <c r="C285" s="31" t="str">
        <f>IF('1.1 Produksi Bersih Padi 2025'!C285="","",'1.1 Produksi Bersih Padi 2025'!C285)</f>
        <v/>
      </c>
      <c r="D285" s="1" t="str">
        <f>IF('1.1 Produksi Bersih Padi 2025'!D285="","",'1.1 Produksi Bersih Padi 2025'!D285)</f>
        <v/>
      </c>
      <c r="E285" s="1" t="str">
        <f>IF('1.1 Produksi Bersih Padi 2025'!E285="","",'1.1 Produksi Bersih Padi 2025'!E285)</f>
        <v/>
      </c>
      <c r="F285" s="28" t="str">
        <f>IF(D285="","",VLOOKUP(D285,'[1]0.1 Produksi Pangan &amp; Penduduk'!$D$5:$AE$860,28,0))</f>
        <v/>
      </c>
      <c r="G285" s="29" t="str">
        <f t="shared" si="20"/>
        <v/>
      </c>
      <c r="H285" s="29" t="str">
        <f t="shared" si="21"/>
        <v/>
      </c>
      <c r="I285" s="29" t="str">
        <f t="shared" si="22"/>
        <v/>
      </c>
      <c r="J285" s="29" t="str">
        <f t="shared" si="23"/>
        <v/>
      </c>
      <c r="K285" s="29" t="str">
        <f t="shared" si="24"/>
        <v/>
      </c>
    </row>
    <row r="286" spans="1:11" ht="15" x14ac:dyDescent="0.25">
      <c r="A286" s="1" t="str">
        <f>IF('1.1 Produksi Bersih Padi 2025'!A286="","",'1.1 Produksi Bersih Padi 2025'!A286)</f>
        <v/>
      </c>
      <c r="B286" s="31" t="str">
        <f>IF('1.1 Produksi Bersih Padi 2025'!B286="","",'1.1 Produksi Bersih Padi 2025'!B286)</f>
        <v/>
      </c>
      <c r="C286" s="31" t="str">
        <f>IF('1.1 Produksi Bersih Padi 2025'!C286="","",'1.1 Produksi Bersih Padi 2025'!C286)</f>
        <v/>
      </c>
      <c r="D286" s="1" t="str">
        <f>IF('1.1 Produksi Bersih Padi 2025'!D286="","",'1.1 Produksi Bersih Padi 2025'!D286)</f>
        <v/>
      </c>
      <c r="E286" s="1" t="str">
        <f>IF('1.1 Produksi Bersih Padi 2025'!E286="","",'1.1 Produksi Bersih Padi 2025'!E286)</f>
        <v/>
      </c>
      <c r="F286" s="28" t="str">
        <f>IF(D286="","",VLOOKUP(D286,'[1]0.1 Produksi Pangan &amp; Penduduk'!$D$5:$AE$860,28,0))</f>
        <v/>
      </c>
      <c r="G286" s="29" t="str">
        <f t="shared" si="20"/>
        <v/>
      </c>
      <c r="H286" s="29" t="str">
        <f t="shared" si="21"/>
        <v/>
      </c>
      <c r="I286" s="29" t="str">
        <f t="shared" si="22"/>
        <v/>
      </c>
      <c r="J286" s="29" t="str">
        <f t="shared" si="23"/>
        <v/>
      </c>
      <c r="K286" s="29" t="str">
        <f t="shared" si="24"/>
        <v/>
      </c>
    </row>
    <row r="287" spans="1:11" ht="15" x14ac:dyDescent="0.25">
      <c r="A287" s="1" t="str">
        <f>IF('1.1 Produksi Bersih Padi 2025'!A287="","",'1.1 Produksi Bersih Padi 2025'!A287)</f>
        <v/>
      </c>
      <c r="B287" s="31" t="str">
        <f>IF('1.1 Produksi Bersih Padi 2025'!B287="","",'1.1 Produksi Bersih Padi 2025'!B287)</f>
        <v/>
      </c>
      <c r="C287" s="31" t="str">
        <f>IF('1.1 Produksi Bersih Padi 2025'!C287="","",'1.1 Produksi Bersih Padi 2025'!C287)</f>
        <v/>
      </c>
      <c r="D287" s="1" t="str">
        <f>IF('1.1 Produksi Bersih Padi 2025'!D287="","",'1.1 Produksi Bersih Padi 2025'!D287)</f>
        <v/>
      </c>
      <c r="E287" s="1" t="str">
        <f>IF('1.1 Produksi Bersih Padi 2025'!E287="","",'1.1 Produksi Bersih Padi 2025'!E287)</f>
        <v/>
      </c>
      <c r="F287" s="28" t="str">
        <f>IF(D287="","",VLOOKUP(D287,'[1]0.1 Produksi Pangan &amp; Penduduk'!$D$5:$AE$860,28,0))</f>
        <v/>
      </c>
      <c r="G287" s="29" t="str">
        <f t="shared" si="20"/>
        <v/>
      </c>
      <c r="H287" s="29" t="str">
        <f t="shared" si="21"/>
        <v/>
      </c>
      <c r="I287" s="29" t="str">
        <f t="shared" si="22"/>
        <v/>
      </c>
      <c r="J287" s="29" t="str">
        <f t="shared" si="23"/>
        <v/>
      </c>
      <c r="K287" s="29" t="str">
        <f t="shared" si="24"/>
        <v/>
      </c>
    </row>
    <row r="288" spans="1:11" ht="15" x14ac:dyDescent="0.25">
      <c r="A288" s="1" t="str">
        <f>IF('1.1 Produksi Bersih Padi 2025'!A288="","",'1.1 Produksi Bersih Padi 2025'!A288)</f>
        <v/>
      </c>
      <c r="B288" s="31" t="str">
        <f>IF('1.1 Produksi Bersih Padi 2025'!B288="","",'1.1 Produksi Bersih Padi 2025'!B288)</f>
        <v/>
      </c>
      <c r="C288" s="31" t="str">
        <f>IF('1.1 Produksi Bersih Padi 2025'!C288="","",'1.1 Produksi Bersih Padi 2025'!C288)</f>
        <v/>
      </c>
      <c r="D288" s="1" t="str">
        <f>IF('1.1 Produksi Bersih Padi 2025'!D288="","",'1.1 Produksi Bersih Padi 2025'!D288)</f>
        <v/>
      </c>
      <c r="E288" s="1" t="str">
        <f>IF('1.1 Produksi Bersih Padi 2025'!E288="","",'1.1 Produksi Bersih Padi 2025'!E288)</f>
        <v/>
      </c>
      <c r="F288" s="28" t="str">
        <f>IF(D288="","",VLOOKUP(D288,'[1]0.1 Produksi Pangan &amp; Penduduk'!$D$5:$AE$860,28,0))</f>
        <v/>
      </c>
      <c r="G288" s="29" t="str">
        <f t="shared" si="20"/>
        <v/>
      </c>
      <c r="H288" s="29" t="str">
        <f t="shared" si="21"/>
        <v/>
      </c>
      <c r="I288" s="29" t="str">
        <f t="shared" si="22"/>
        <v/>
      </c>
      <c r="J288" s="29" t="str">
        <f t="shared" si="23"/>
        <v/>
      </c>
      <c r="K288" s="29" t="str">
        <f t="shared" si="24"/>
        <v/>
      </c>
    </row>
    <row r="289" spans="1:11" ht="15" x14ac:dyDescent="0.25">
      <c r="A289" s="1" t="str">
        <f>IF('1.1 Produksi Bersih Padi 2025'!A289="","",'1.1 Produksi Bersih Padi 2025'!A289)</f>
        <v/>
      </c>
      <c r="B289" s="31" t="str">
        <f>IF('1.1 Produksi Bersih Padi 2025'!B289="","",'1.1 Produksi Bersih Padi 2025'!B289)</f>
        <v/>
      </c>
      <c r="C289" s="31" t="str">
        <f>IF('1.1 Produksi Bersih Padi 2025'!C289="","",'1.1 Produksi Bersih Padi 2025'!C289)</f>
        <v/>
      </c>
      <c r="D289" s="1" t="str">
        <f>IF('1.1 Produksi Bersih Padi 2025'!D289="","",'1.1 Produksi Bersih Padi 2025'!D289)</f>
        <v/>
      </c>
      <c r="E289" s="1" t="str">
        <f>IF('1.1 Produksi Bersih Padi 2025'!E289="","",'1.1 Produksi Bersih Padi 2025'!E289)</f>
        <v/>
      </c>
      <c r="F289" s="28" t="str">
        <f>IF(D289="","",VLOOKUP(D289,'[1]0.1 Produksi Pangan &amp; Penduduk'!$D$5:$AE$860,28,0))</f>
        <v/>
      </c>
      <c r="G289" s="29" t="str">
        <f t="shared" si="20"/>
        <v/>
      </c>
      <c r="H289" s="29" t="str">
        <f t="shared" si="21"/>
        <v/>
      </c>
      <c r="I289" s="29" t="str">
        <f t="shared" si="22"/>
        <v/>
      </c>
      <c r="J289" s="29" t="str">
        <f t="shared" si="23"/>
        <v/>
      </c>
      <c r="K289" s="29" t="str">
        <f t="shared" si="24"/>
        <v/>
      </c>
    </row>
    <row r="290" spans="1:11" ht="15" x14ac:dyDescent="0.25">
      <c r="A290" s="1" t="str">
        <f>IF('1.1 Produksi Bersih Padi 2025'!A290="","",'1.1 Produksi Bersih Padi 2025'!A290)</f>
        <v/>
      </c>
      <c r="B290" s="31" t="str">
        <f>IF('1.1 Produksi Bersih Padi 2025'!B290="","",'1.1 Produksi Bersih Padi 2025'!B290)</f>
        <v/>
      </c>
      <c r="C290" s="31" t="str">
        <f>IF('1.1 Produksi Bersih Padi 2025'!C290="","",'1.1 Produksi Bersih Padi 2025'!C290)</f>
        <v/>
      </c>
      <c r="D290" s="1" t="str">
        <f>IF('1.1 Produksi Bersih Padi 2025'!D290="","",'1.1 Produksi Bersih Padi 2025'!D290)</f>
        <v/>
      </c>
      <c r="E290" s="1" t="str">
        <f>IF('1.1 Produksi Bersih Padi 2025'!E290="","",'1.1 Produksi Bersih Padi 2025'!E290)</f>
        <v/>
      </c>
      <c r="F290" s="28" t="str">
        <f>IF(D290="","",VLOOKUP(D290,'[1]0.1 Produksi Pangan &amp; Penduduk'!$D$5:$AE$860,28,0))</f>
        <v/>
      </c>
      <c r="G290" s="29" t="str">
        <f t="shared" si="20"/>
        <v/>
      </c>
      <c r="H290" s="29" t="str">
        <f t="shared" si="21"/>
        <v/>
      </c>
      <c r="I290" s="29" t="str">
        <f t="shared" si="22"/>
        <v/>
      </c>
      <c r="J290" s="29" t="str">
        <f t="shared" si="23"/>
        <v/>
      </c>
      <c r="K290" s="29" t="str">
        <f t="shared" si="24"/>
        <v/>
      </c>
    </row>
    <row r="291" spans="1:11" ht="15" x14ac:dyDescent="0.25">
      <c r="A291" s="1" t="str">
        <f>IF('1.1 Produksi Bersih Padi 2025'!A291="","",'1.1 Produksi Bersih Padi 2025'!A291)</f>
        <v/>
      </c>
      <c r="B291" s="31" t="str">
        <f>IF('1.1 Produksi Bersih Padi 2025'!B291="","",'1.1 Produksi Bersih Padi 2025'!B291)</f>
        <v/>
      </c>
      <c r="C291" s="31" t="str">
        <f>IF('1.1 Produksi Bersih Padi 2025'!C291="","",'1.1 Produksi Bersih Padi 2025'!C291)</f>
        <v/>
      </c>
      <c r="D291" s="1" t="str">
        <f>IF('1.1 Produksi Bersih Padi 2025'!D291="","",'1.1 Produksi Bersih Padi 2025'!D291)</f>
        <v/>
      </c>
      <c r="E291" s="1" t="str">
        <f>IF('1.1 Produksi Bersih Padi 2025'!E291="","",'1.1 Produksi Bersih Padi 2025'!E291)</f>
        <v/>
      </c>
      <c r="F291" s="28" t="str">
        <f>IF(D291="","",VLOOKUP(D291,'[1]0.1 Produksi Pangan &amp; Penduduk'!$D$5:$AE$860,28,0))</f>
        <v/>
      </c>
      <c r="G291" s="29" t="str">
        <f t="shared" si="20"/>
        <v/>
      </c>
      <c r="H291" s="29" t="str">
        <f t="shared" si="21"/>
        <v/>
      </c>
      <c r="I291" s="29" t="str">
        <f t="shared" si="22"/>
        <v/>
      </c>
      <c r="J291" s="29" t="str">
        <f t="shared" si="23"/>
        <v/>
      </c>
      <c r="K291" s="29" t="str">
        <f t="shared" si="24"/>
        <v/>
      </c>
    </row>
    <row r="292" spans="1:11" ht="15" x14ac:dyDescent="0.25">
      <c r="A292" s="1" t="str">
        <f>IF('1.1 Produksi Bersih Padi 2025'!A292="","",'1.1 Produksi Bersih Padi 2025'!A292)</f>
        <v/>
      </c>
      <c r="B292" s="31" t="str">
        <f>IF('1.1 Produksi Bersih Padi 2025'!B292="","",'1.1 Produksi Bersih Padi 2025'!B292)</f>
        <v/>
      </c>
      <c r="C292" s="31" t="str">
        <f>IF('1.1 Produksi Bersih Padi 2025'!C292="","",'1.1 Produksi Bersih Padi 2025'!C292)</f>
        <v/>
      </c>
      <c r="D292" s="1" t="str">
        <f>IF('1.1 Produksi Bersih Padi 2025'!D292="","",'1.1 Produksi Bersih Padi 2025'!D292)</f>
        <v/>
      </c>
      <c r="E292" s="1" t="str">
        <f>IF('1.1 Produksi Bersih Padi 2025'!E292="","",'1.1 Produksi Bersih Padi 2025'!E292)</f>
        <v/>
      </c>
      <c r="F292" s="28" t="str">
        <f>IF(D292="","",VLOOKUP(D292,'[1]0.1 Produksi Pangan &amp; Penduduk'!$D$5:$AE$860,28,0))</f>
        <v/>
      </c>
      <c r="G292" s="29" t="str">
        <f t="shared" si="20"/>
        <v/>
      </c>
      <c r="H292" s="29" t="str">
        <f t="shared" si="21"/>
        <v/>
      </c>
      <c r="I292" s="29" t="str">
        <f t="shared" si="22"/>
        <v/>
      </c>
      <c r="J292" s="29" t="str">
        <f t="shared" si="23"/>
        <v/>
      </c>
      <c r="K292" s="29" t="str">
        <f t="shared" si="24"/>
        <v/>
      </c>
    </row>
    <row r="293" spans="1:11" ht="15" x14ac:dyDescent="0.25">
      <c r="A293" s="1" t="str">
        <f>IF('1.1 Produksi Bersih Padi 2025'!A293="","",'1.1 Produksi Bersih Padi 2025'!A293)</f>
        <v/>
      </c>
      <c r="B293" s="31" t="str">
        <f>IF('1.1 Produksi Bersih Padi 2025'!B293="","",'1.1 Produksi Bersih Padi 2025'!B293)</f>
        <v/>
      </c>
      <c r="C293" s="31" t="str">
        <f>IF('1.1 Produksi Bersih Padi 2025'!C293="","",'1.1 Produksi Bersih Padi 2025'!C293)</f>
        <v/>
      </c>
      <c r="D293" s="1" t="str">
        <f>IF('1.1 Produksi Bersih Padi 2025'!D293="","",'1.1 Produksi Bersih Padi 2025'!D293)</f>
        <v/>
      </c>
      <c r="E293" s="1" t="str">
        <f>IF('1.1 Produksi Bersih Padi 2025'!E293="","",'1.1 Produksi Bersih Padi 2025'!E293)</f>
        <v/>
      </c>
      <c r="F293" s="28" t="str">
        <f>IF(D293="","",VLOOKUP(D293,'[1]0.1 Produksi Pangan &amp; Penduduk'!$D$5:$AE$860,28,0))</f>
        <v/>
      </c>
      <c r="G293" s="29" t="str">
        <f t="shared" si="20"/>
        <v/>
      </c>
      <c r="H293" s="29" t="str">
        <f t="shared" si="21"/>
        <v/>
      </c>
      <c r="I293" s="29" t="str">
        <f t="shared" si="22"/>
        <v/>
      </c>
      <c r="J293" s="29" t="str">
        <f t="shared" si="23"/>
        <v/>
      </c>
      <c r="K293" s="29" t="str">
        <f t="shared" si="24"/>
        <v/>
      </c>
    </row>
    <row r="294" spans="1:11" ht="15" x14ac:dyDescent="0.25">
      <c r="A294" s="1" t="str">
        <f>IF('1.1 Produksi Bersih Padi 2025'!A294="","",'1.1 Produksi Bersih Padi 2025'!A294)</f>
        <v/>
      </c>
      <c r="B294" s="31" t="str">
        <f>IF('1.1 Produksi Bersih Padi 2025'!B294="","",'1.1 Produksi Bersih Padi 2025'!B294)</f>
        <v/>
      </c>
      <c r="C294" s="31" t="str">
        <f>IF('1.1 Produksi Bersih Padi 2025'!C294="","",'1.1 Produksi Bersih Padi 2025'!C294)</f>
        <v/>
      </c>
      <c r="D294" s="1" t="str">
        <f>IF('1.1 Produksi Bersih Padi 2025'!D294="","",'1.1 Produksi Bersih Padi 2025'!D294)</f>
        <v/>
      </c>
      <c r="E294" s="1" t="str">
        <f>IF('1.1 Produksi Bersih Padi 2025'!E294="","",'1.1 Produksi Bersih Padi 2025'!E294)</f>
        <v/>
      </c>
      <c r="F294" s="28" t="str">
        <f>IF(D294="","",VLOOKUP(D294,'[1]0.1 Produksi Pangan &amp; Penduduk'!$D$5:$AE$860,28,0))</f>
        <v/>
      </c>
      <c r="G294" s="29" t="str">
        <f t="shared" si="20"/>
        <v/>
      </c>
      <c r="H294" s="29" t="str">
        <f t="shared" si="21"/>
        <v/>
      </c>
      <c r="I294" s="29" t="str">
        <f t="shared" si="22"/>
        <v/>
      </c>
      <c r="J294" s="29" t="str">
        <f t="shared" si="23"/>
        <v/>
      </c>
      <c r="K294" s="29" t="str">
        <f t="shared" si="24"/>
        <v/>
      </c>
    </row>
    <row r="295" spans="1:11" ht="15" x14ac:dyDescent="0.25">
      <c r="A295" s="1" t="str">
        <f>IF('1.1 Produksi Bersih Padi 2025'!A295="","",'1.1 Produksi Bersih Padi 2025'!A295)</f>
        <v/>
      </c>
      <c r="B295" s="31" t="str">
        <f>IF('1.1 Produksi Bersih Padi 2025'!B295="","",'1.1 Produksi Bersih Padi 2025'!B295)</f>
        <v/>
      </c>
      <c r="C295" s="31" t="str">
        <f>IF('1.1 Produksi Bersih Padi 2025'!C295="","",'1.1 Produksi Bersih Padi 2025'!C295)</f>
        <v/>
      </c>
      <c r="D295" s="1" t="str">
        <f>IF('1.1 Produksi Bersih Padi 2025'!D295="","",'1.1 Produksi Bersih Padi 2025'!D295)</f>
        <v/>
      </c>
      <c r="E295" s="1" t="str">
        <f>IF('1.1 Produksi Bersih Padi 2025'!E295="","",'1.1 Produksi Bersih Padi 2025'!E295)</f>
        <v/>
      </c>
      <c r="F295" s="28" t="str">
        <f>IF(D295="","",VLOOKUP(D295,'[1]0.1 Produksi Pangan &amp; Penduduk'!$D$5:$AE$860,28,0))</f>
        <v/>
      </c>
      <c r="G295" s="29" t="str">
        <f t="shared" si="20"/>
        <v/>
      </c>
      <c r="H295" s="29" t="str">
        <f t="shared" si="21"/>
        <v/>
      </c>
      <c r="I295" s="29" t="str">
        <f t="shared" si="22"/>
        <v/>
      </c>
      <c r="J295" s="29" t="str">
        <f t="shared" si="23"/>
        <v/>
      </c>
      <c r="K295" s="29" t="str">
        <f t="shared" si="24"/>
        <v/>
      </c>
    </row>
    <row r="296" spans="1:11" ht="15" x14ac:dyDescent="0.25">
      <c r="A296" s="1" t="str">
        <f>IF('1.1 Produksi Bersih Padi 2025'!A296="","",'1.1 Produksi Bersih Padi 2025'!A296)</f>
        <v/>
      </c>
      <c r="B296" s="31" t="str">
        <f>IF('1.1 Produksi Bersih Padi 2025'!B296="","",'1.1 Produksi Bersih Padi 2025'!B296)</f>
        <v/>
      </c>
      <c r="C296" s="31" t="str">
        <f>IF('1.1 Produksi Bersih Padi 2025'!C296="","",'1.1 Produksi Bersih Padi 2025'!C296)</f>
        <v/>
      </c>
      <c r="D296" s="1" t="str">
        <f>IF('1.1 Produksi Bersih Padi 2025'!D296="","",'1.1 Produksi Bersih Padi 2025'!D296)</f>
        <v/>
      </c>
      <c r="E296" s="1" t="str">
        <f>IF('1.1 Produksi Bersih Padi 2025'!E296="","",'1.1 Produksi Bersih Padi 2025'!E296)</f>
        <v/>
      </c>
      <c r="F296" s="28" t="str">
        <f>IF(D296="","",VLOOKUP(D296,'[1]0.1 Produksi Pangan &amp; Penduduk'!$D$5:$AE$860,28,0))</f>
        <v/>
      </c>
      <c r="G296" s="29" t="str">
        <f t="shared" si="20"/>
        <v/>
      </c>
      <c r="H296" s="29" t="str">
        <f t="shared" si="21"/>
        <v/>
      </c>
      <c r="I296" s="29" t="str">
        <f t="shared" si="22"/>
        <v/>
      </c>
      <c r="J296" s="29" t="str">
        <f t="shared" si="23"/>
        <v/>
      </c>
      <c r="K296" s="29" t="str">
        <f t="shared" si="24"/>
        <v/>
      </c>
    </row>
    <row r="297" spans="1:11" ht="15" x14ac:dyDescent="0.25">
      <c r="A297" s="1" t="str">
        <f>IF('1.1 Produksi Bersih Padi 2025'!A297="","",'1.1 Produksi Bersih Padi 2025'!A297)</f>
        <v/>
      </c>
      <c r="B297" s="31" t="str">
        <f>IF('1.1 Produksi Bersih Padi 2025'!B297="","",'1.1 Produksi Bersih Padi 2025'!B297)</f>
        <v/>
      </c>
      <c r="C297" s="31" t="str">
        <f>IF('1.1 Produksi Bersih Padi 2025'!C297="","",'1.1 Produksi Bersih Padi 2025'!C297)</f>
        <v/>
      </c>
      <c r="D297" s="1" t="str">
        <f>IF('1.1 Produksi Bersih Padi 2025'!D297="","",'1.1 Produksi Bersih Padi 2025'!D297)</f>
        <v/>
      </c>
      <c r="E297" s="1" t="str">
        <f>IF('1.1 Produksi Bersih Padi 2025'!E297="","",'1.1 Produksi Bersih Padi 2025'!E297)</f>
        <v/>
      </c>
      <c r="F297" s="28" t="str">
        <f>IF(D297="","",VLOOKUP(D297,'[1]0.1 Produksi Pangan &amp; Penduduk'!$D$5:$AE$860,28,0))</f>
        <v/>
      </c>
      <c r="G297" s="29" t="str">
        <f t="shared" si="20"/>
        <v/>
      </c>
      <c r="H297" s="29" t="str">
        <f t="shared" si="21"/>
        <v/>
      </c>
      <c r="I297" s="29" t="str">
        <f t="shared" si="22"/>
        <v/>
      </c>
      <c r="J297" s="29" t="str">
        <f t="shared" si="23"/>
        <v/>
      </c>
      <c r="K297" s="29" t="str">
        <f t="shared" si="24"/>
        <v/>
      </c>
    </row>
    <row r="298" spans="1:11" ht="15" x14ac:dyDescent="0.25">
      <c r="A298" s="1" t="str">
        <f>IF('1.1 Produksi Bersih Padi 2025'!A298="","",'1.1 Produksi Bersih Padi 2025'!A298)</f>
        <v/>
      </c>
      <c r="B298" s="31" t="str">
        <f>IF('1.1 Produksi Bersih Padi 2025'!B298="","",'1.1 Produksi Bersih Padi 2025'!B298)</f>
        <v/>
      </c>
      <c r="C298" s="31" t="str">
        <f>IF('1.1 Produksi Bersih Padi 2025'!C298="","",'1.1 Produksi Bersih Padi 2025'!C298)</f>
        <v/>
      </c>
      <c r="D298" s="1" t="str">
        <f>IF('1.1 Produksi Bersih Padi 2025'!D298="","",'1.1 Produksi Bersih Padi 2025'!D298)</f>
        <v/>
      </c>
      <c r="E298" s="1" t="str">
        <f>IF('1.1 Produksi Bersih Padi 2025'!E298="","",'1.1 Produksi Bersih Padi 2025'!E298)</f>
        <v/>
      </c>
      <c r="F298" s="28" t="str">
        <f>IF(D298="","",VLOOKUP(D298,'[1]0.1 Produksi Pangan &amp; Penduduk'!$D$5:$AE$860,28,0))</f>
        <v/>
      </c>
      <c r="G298" s="29" t="str">
        <f t="shared" si="20"/>
        <v/>
      </c>
      <c r="H298" s="29" t="str">
        <f t="shared" si="21"/>
        <v/>
      </c>
      <c r="I298" s="29" t="str">
        <f t="shared" si="22"/>
        <v/>
      </c>
      <c r="J298" s="29" t="str">
        <f t="shared" si="23"/>
        <v/>
      </c>
      <c r="K298" s="29" t="str">
        <f t="shared" si="24"/>
        <v/>
      </c>
    </row>
    <row r="299" spans="1:11" ht="15" x14ac:dyDescent="0.25">
      <c r="A299" s="1" t="str">
        <f>IF('1.1 Produksi Bersih Padi 2025'!A299="","",'1.1 Produksi Bersih Padi 2025'!A299)</f>
        <v/>
      </c>
      <c r="B299" s="31" t="str">
        <f>IF('1.1 Produksi Bersih Padi 2025'!B299="","",'1.1 Produksi Bersih Padi 2025'!B299)</f>
        <v/>
      </c>
      <c r="C299" s="31" t="str">
        <f>IF('1.1 Produksi Bersih Padi 2025'!C299="","",'1.1 Produksi Bersih Padi 2025'!C299)</f>
        <v/>
      </c>
      <c r="D299" s="1" t="str">
        <f>IF('1.1 Produksi Bersih Padi 2025'!D299="","",'1.1 Produksi Bersih Padi 2025'!D299)</f>
        <v/>
      </c>
      <c r="E299" s="1" t="str">
        <f>IF('1.1 Produksi Bersih Padi 2025'!E299="","",'1.1 Produksi Bersih Padi 2025'!E299)</f>
        <v/>
      </c>
      <c r="F299" s="28" t="str">
        <f>IF(D299="","",VLOOKUP(D299,'[1]0.1 Produksi Pangan &amp; Penduduk'!$D$5:$AE$860,28,0))</f>
        <v/>
      </c>
      <c r="G299" s="29" t="str">
        <f t="shared" si="20"/>
        <v/>
      </c>
      <c r="H299" s="29" t="str">
        <f t="shared" si="21"/>
        <v/>
      </c>
      <c r="I299" s="29" t="str">
        <f t="shared" si="22"/>
        <v/>
      </c>
      <c r="J299" s="29" t="str">
        <f t="shared" si="23"/>
        <v/>
      </c>
      <c r="K299" s="29" t="str">
        <f t="shared" si="24"/>
        <v/>
      </c>
    </row>
    <row r="300" spans="1:11" ht="15" x14ac:dyDescent="0.25">
      <c r="A300" s="1" t="str">
        <f>IF('1.1 Produksi Bersih Padi 2025'!A300="","",'1.1 Produksi Bersih Padi 2025'!A300)</f>
        <v/>
      </c>
      <c r="B300" s="31" t="str">
        <f>IF('1.1 Produksi Bersih Padi 2025'!B300="","",'1.1 Produksi Bersih Padi 2025'!B300)</f>
        <v/>
      </c>
      <c r="C300" s="31" t="str">
        <f>IF('1.1 Produksi Bersih Padi 2025'!C300="","",'1.1 Produksi Bersih Padi 2025'!C300)</f>
        <v/>
      </c>
      <c r="D300" s="1" t="str">
        <f>IF('1.1 Produksi Bersih Padi 2025'!D300="","",'1.1 Produksi Bersih Padi 2025'!D300)</f>
        <v/>
      </c>
      <c r="E300" s="1" t="str">
        <f>IF('1.1 Produksi Bersih Padi 2025'!E300="","",'1.1 Produksi Bersih Padi 2025'!E300)</f>
        <v/>
      </c>
      <c r="F300" s="28" t="str">
        <f>IF(D300="","",VLOOKUP(D300,'[1]0.1 Produksi Pangan &amp; Penduduk'!$D$5:$AE$860,28,0))</f>
        <v/>
      </c>
      <c r="G300" s="29" t="str">
        <f t="shared" si="20"/>
        <v/>
      </c>
      <c r="H300" s="29" t="str">
        <f t="shared" si="21"/>
        <v/>
      </c>
      <c r="I300" s="29" t="str">
        <f t="shared" si="22"/>
        <v/>
      </c>
      <c r="J300" s="29" t="str">
        <f t="shared" si="23"/>
        <v/>
      </c>
      <c r="K300" s="29" t="str">
        <f t="shared" si="24"/>
        <v/>
      </c>
    </row>
    <row r="301" spans="1:11" ht="15" x14ac:dyDescent="0.25">
      <c r="A301" s="1" t="str">
        <f>IF('1.1 Produksi Bersih Padi 2025'!A301="","",'1.1 Produksi Bersih Padi 2025'!A301)</f>
        <v/>
      </c>
      <c r="B301" s="31" t="str">
        <f>IF('1.1 Produksi Bersih Padi 2025'!B301="","",'1.1 Produksi Bersih Padi 2025'!B301)</f>
        <v/>
      </c>
      <c r="C301" s="31" t="str">
        <f>IF('1.1 Produksi Bersih Padi 2025'!C301="","",'1.1 Produksi Bersih Padi 2025'!C301)</f>
        <v/>
      </c>
      <c r="D301" s="1" t="str">
        <f>IF('1.1 Produksi Bersih Padi 2025'!D301="","",'1.1 Produksi Bersih Padi 2025'!D301)</f>
        <v/>
      </c>
      <c r="E301" s="1" t="str">
        <f>IF('1.1 Produksi Bersih Padi 2025'!E301="","",'1.1 Produksi Bersih Padi 2025'!E301)</f>
        <v/>
      </c>
      <c r="F301" s="28" t="str">
        <f>IF(D301="","",VLOOKUP(D301,'[1]0.1 Produksi Pangan &amp; Penduduk'!$D$5:$AE$860,28,0))</f>
        <v/>
      </c>
      <c r="G301" s="29" t="str">
        <f t="shared" si="20"/>
        <v/>
      </c>
      <c r="H301" s="29" t="str">
        <f t="shared" si="21"/>
        <v/>
      </c>
      <c r="I301" s="29" t="str">
        <f t="shared" si="22"/>
        <v/>
      </c>
      <c r="J301" s="29" t="str">
        <f t="shared" si="23"/>
        <v/>
      </c>
      <c r="K301" s="29" t="str">
        <f t="shared" si="24"/>
        <v/>
      </c>
    </row>
    <row r="302" spans="1:11" ht="15" x14ac:dyDescent="0.25">
      <c r="A302" s="1" t="str">
        <f>IF('1.1 Produksi Bersih Padi 2025'!A302="","",'1.1 Produksi Bersih Padi 2025'!A302)</f>
        <v/>
      </c>
      <c r="B302" s="31" t="str">
        <f>IF('1.1 Produksi Bersih Padi 2025'!B302="","",'1.1 Produksi Bersih Padi 2025'!B302)</f>
        <v/>
      </c>
      <c r="C302" s="31" t="str">
        <f>IF('1.1 Produksi Bersih Padi 2025'!C302="","",'1.1 Produksi Bersih Padi 2025'!C302)</f>
        <v/>
      </c>
      <c r="D302" s="1" t="str">
        <f>IF('1.1 Produksi Bersih Padi 2025'!D302="","",'1.1 Produksi Bersih Padi 2025'!D302)</f>
        <v/>
      </c>
      <c r="E302" s="1" t="str">
        <f>IF('1.1 Produksi Bersih Padi 2025'!E302="","",'1.1 Produksi Bersih Padi 2025'!E302)</f>
        <v/>
      </c>
      <c r="F302" s="28" t="str">
        <f>IF(D302="","",VLOOKUP(D302,'[1]0.1 Produksi Pangan &amp; Penduduk'!$D$5:$AE$860,28,0))</f>
        <v/>
      </c>
      <c r="G302" s="29" t="str">
        <f t="shared" si="20"/>
        <v/>
      </c>
      <c r="H302" s="29" t="str">
        <f t="shared" si="21"/>
        <v/>
      </c>
      <c r="I302" s="29" t="str">
        <f t="shared" si="22"/>
        <v/>
      </c>
      <c r="J302" s="29" t="str">
        <f t="shared" si="23"/>
        <v/>
      </c>
      <c r="K302" s="29" t="str">
        <f t="shared" si="24"/>
        <v/>
      </c>
    </row>
    <row r="303" spans="1:11" ht="15" x14ac:dyDescent="0.25">
      <c r="A303" s="1" t="str">
        <f>IF('1.1 Produksi Bersih Padi 2025'!A303="","",'1.1 Produksi Bersih Padi 2025'!A303)</f>
        <v/>
      </c>
      <c r="B303" s="31" t="str">
        <f>IF('1.1 Produksi Bersih Padi 2025'!B303="","",'1.1 Produksi Bersih Padi 2025'!B303)</f>
        <v/>
      </c>
      <c r="C303" s="31" t="str">
        <f>IF('1.1 Produksi Bersih Padi 2025'!C303="","",'1.1 Produksi Bersih Padi 2025'!C303)</f>
        <v/>
      </c>
      <c r="D303" s="1" t="str">
        <f>IF('1.1 Produksi Bersih Padi 2025'!D303="","",'1.1 Produksi Bersih Padi 2025'!D303)</f>
        <v/>
      </c>
      <c r="E303" s="1" t="str">
        <f>IF('1.1 Produksi Bersih Padi 2025'!E303="","",'1.1 Produksi Bersih Padi 2025'!E303)</f>
        <v/>
      </c>
      <c r="F303" s="28" t="str">
        <f>IF(D303="","",VLOOKUP(D303,'[1]0.1 Produksi Pangan &amp; Penduduk'!$D$5:$AE$860,28,0))</f>
        <v/>
      </c>
      <c r="G303" s="29" t="str">
        <f t="shared" si="20"/>
        <v/>
      </c>
      <c r="H303" s="29" t="str">
        <f t="shared" si="21"/>
        <v/>
      </c>
      <c r="I303" s="29" t="str">
        <f t="shared" si="22"/>
        <v/>
      </c>
      <c r="J303" s="29" t="str">
        <f t="shared" si="23"/>
        <v/>
      </c>
      <c r="K303" s="29" t="str">
        <f t="shared" si="24"/>
        <v/>
      </c>
    </row>
    <row r="304" spans="1:11" ht="15" x14ac:dyDescent="0.25">
      <c r="A304" s="1" t="str">
        <f>IF('1.1 Produksi Bersih Padi 2025'!A304="","",'1.1 Produksi Bersih Padi 2025'!A304)</f>
        <v/>
      </c>
      <c r="B304" s="31" t="str">
        <f>IF('1.1 Produksi Bersih Padi 2025'!B304="","",'1.1 Produksi Bersih Padi 2025'!B304)</f>
        <v/>
      </c>
      <c r="C304" s="31" t="str">
        <f>IF('1.1 Produksi Bersih Padi 2025'!C304="","",'1.1 Produksi Bersih Padi 2025'!C304)</f>
        <v/>
      </c>
      <c r="D304" s="1" t="str">
        <f>IF('1.1 Produksi Bersih Padi 2025'!D304="","",'1.1 Produksi Bersih Padi 2025'!D304)</f>
        <v/>
      </c>
      <c r="E304" s="1" t="str">
        <f>IF('1.1 Produksi Bersih Padi 2025'!E304="","",'1.1 Produksi Bersih Padi 2025'!E304)</f>
        <v/>
      </c>
      <c r="F304" s="28" t="str">
        <f>IF(D304="","",VLOOKUP(D304,'[1]0.1 Produksi Pangan &amp; Penduduk'!$D$5:$AE$860,28,0))</f>
        <v/>
      </c>
      <c r="G304" s="29" t="str">
        <f t="shared" si="20"/>
        <v/>
      </c>
      <c r="H304" s="29" t="str">
        <f t="shared" si="21"/>
        <v/>
      </c>
      <c r="I304" s="29" t="str">
        <f t="shared" si="22"/>
        <v/>
      </c>
      <c r="J304" s="29" t="str">
        <f t="shared" si="23"/>
        <v/>
      </c>
      <c r="K304" s="29" t="str">
        <f t="shared" si="24"/>
        <v/>
      </c>
    </row>
    <row r="305" spans="1:11" ht="15" x14ac:dyDescent="0.25">
      <c r="A305" s="1" t="str">
        <f>IF('1.1 Produksi Bersih Padi 2025'!A305="","",'1.1 Produksi Bersih Padi 2025'!A305)</f>
        <v/>
      </c>
      <c r="B305" s="31" t="str">
        <f>IF('1.1 Produksi Bersih Padi 2025'!B305="","",'1.1 Produksi Bersih Padi 2025'!B305)</f>
        <v/>
      </c>
      <c r="C305" s="31" t="str">
        <f>IF('1.1 Produksi Bersih Padi 2025'!C305="","",'1.1 Produksi Bersih Padi 2025'!C305)</f>
        <v/>
      </c>
      <c r="D305" s="1" t="str">
        <f>IF('1.1 Produksi Bersih Padi 2025'!D305="","",'1.1 Produksi Bersih Padi 2025'!D305)</f>
        <v/>
      </c>
      <c r="E305" s="1" t="str">
        <f>IF('1.1 Produksi Bersih Padi 2025'!E305="","",'1.1 Produksi Bersih Padi 2025'!E305)</f>
        <v/>
      </c>
      <c r="F305" s="28" t="str">
        <f>IF(D305="","",VLOOKUP(D305,'[1]0.1 Produksi Pangan &amp; Penduduk'!$D$5:$AE$860,28,0))</f>
        <v/>
      </c>
      <c r="G305" s="29" t="str">
        <f t="shared" si="20"/>
        <v/>
      </c>
      <c r="H305" s="29" t="str">
        <f t="shared" si="21"/>
        <v/>
      </c>
      <c r="I305" s="29" t="str">
        <f t="shared" si="22"/>
        <v/>
      </c>
      <c r="J305" s="29" t="str">
        <f t="shared" si="23"/>
        <v/>
      </c>
      <c r="K305" s="29" t="str">
        <f t="shared" si="24"/>
        <v/>
      </c>
    </row>
    <row r="306" spans="1:11" ht="15" x14ac:dyDescent="0.25">
      <c r="A306" s="1" t="str">
        <f>IF('1.1 Produksi Bersih Padi 2025'!A306="","",'1.1 Produksi Bersih Padi 2025'!A306)</f>
        <v/>
      </c>
      <c r="B306" s="31" t="str">
        <f>IF('1.1 Produksi Bersih Padi 2025'!B306="","",'1.1 Produksi Bersih Padi 2025'!B306)</f>
        <v/>
      </c>
      <c r="C306" s="31" t="str">
        <f>IF('1.1 Produksi Bersih Padi 2025'!C306="","",'1.1 Produksi Bersih Padi 2025'!C306)</f>
        <v/>
      </c>
      <c r="D306" s="1" t="str">
        <f>IF('1.1 Produksi Bersih Padi 2025'!D306="","",'1.1 Produksi Bersih Padi 2025'!D306)</f>
        <v/>
      </c>
      <c r="E306" s="1" t="str">
        <f>IF('1.1 Produksi Bersih Padi 2025'!E306="","",'1.1 Produksi Bersih Padi 2025'!E306)</f>
        <v/>
      </c>
      <c r="F306" s="28" t="str">
        <f>IF(D306="","",VLOOKUP(D306,'[1]0.1 Produksi Pangan &amp; Penduduk'!$D$5:$AE$860,28,0))</f>
        <v/>
      </c>
      <c r="G306" s="29" t="str">
        <f t="shared" si="20"/>
        <v/>
      </c>
      <c r="H306" s="29" t="str">
        <f t="shared" si="21"/>
        <v/>
      </c>
      <c r="I306" s="29" t="str">
        <f t="shared" si="22"/>
        <v/>
      </c>
      <c r="J306" s="29" t="str">
        <f t="shared" si="23"/>
        <v/>
      </c>
      <c r="K306" s="29" t="str">
        <f t="shared" si="24"/>
        <v/>
      </c>
    </row>
    <row r="307" spans="1:11" ht="15" x14ac:dyDescent="0.25">
      <c r="A307" s="1" t="str">
        <f>IF('1.1 Produksi Bersih Padi 2025'!A307="","",'1.1 Produksi Bersih Padi 2025'!A307)</f>
        <v/>
      </c>
      <c r="B307" s="31" t="str">
        <f>IF('1.1 Produksi Bersih Padi 2025'!B307="","",'1.1 Produksi Bersih Padi 2025'!B307)</f>
        <v/>
      </c>
      <c r="C307" s="31" t="str">
        <f>IF('1.1 Produksi Bersih Padi 2025'!C307="","",'1.1 Produksi Bersih Padi 2025'!C307)</f>
        <v/>
      </c>
      <c r="D307" s="1" t="str">
        <f>IF('1.1 Produksi Bersih Padi 2025'!D307="","",'1.1 Produksi Bersih Padi 2025'!D307)</f>
        <v/>
      </c>
      <c r="E307" s="1" t="str">
        <f>IF('1.1 Produksi Bersih Padi 2025'!E307="","",'1.1 Produksi Bersih Padi 2025'!E307)</f>
        <v/>
      </c>
      <c r="F307" s="28" t="str">
        <f>IF(D307="","",VLOOKUP(D307,'[1]0.1 Produksi Pangan &amp; Penduduk'!$D$5:$AE$860,28,0))</f>
        <v/>
      </c>
      <c r="G307" s="29" t="str">
        <f t="shared" si="20"/>
        <v/>
      </c>
      <c r="H307" s="29" t="str">
        <f t="shared" si="21"/>
        <v/>
      </c>
      <c r="I307" s="29" t="str">
        <f t="shared" si="22"/>
        <v/>
      </c>
      <c r="J307" s="29" t="str">
        <f t="shared" si="23"/>
        <v/>
      </c>
      <c r="K307" s="29" t="str">
        <f t="shared" si="24"/>
        <v/>
      </c>
    </row>
    <row r="308" spans="1:11" ht="15" x14ac:dyDescent="0.25">
      <c r="A308" s="1" t="str">
        <f>IF('1.1 Produksi Bersih Padi 2025'!A308="","",'1.1 Produksi Bersih Padi 2025'!A308)</f>
        <v/>
      </c>
      <c r="B308" s="31" t="str">
        <f>IF('1.1 Produksi Bersih Padi 2025'!B308="","",'1.1 Produksi Bersih Padi 2025'!B308)</f>
        <v/>
      </c>
      <c r="C308" s="31" t="str">
        <f>IF('1.1 Produksi Bersih Padi 2025'!C308="","",'1.1 Produksi Bersih Padi 2025'!C308)</f>
        <v/>
      </c>
      <c r="D308" s="1" t="str">
        <f>IF('1.1 Produksi Bersih Padi 2025'!D308="","",'1.1 Produksi Bersih Padi 2025'!D308)</f>
        <v/>
      </c>
      <c r="E308" s="1" t="str">
        <f>IF('1.1 Produksi Bersih Padi 2025'!E308="","",'1.1 Produksi Bersih Padi 2025'!E308)</f>
        <v/>
      </c>
      <c r="F308" s="28" t="str">
        <f>IF(D308="","",VLOOKUP(D308,'[1]0.1 Produksi Pangan &amp; Penduduk'!$D$5:$AE$860,28,0))</f>
        <v/>
      </c>
      <c r="G308" s="29" t="str">
        <f t="shared" si="20"/>
        <v/>
      </c>
      <c r="H308" s="29" t="str">
        <f t="shared" si="21"/>
        <v/>
      </c>
      <c r="I308" s="29" t="str">
        <f t="shared" si="22"/>
        <v/>
      </c>
      <c r="J308" s="29" t="str">
        <f t="shared" si="23"/>
        <v/>
      </c>
      <c r="K308" s="29" t="str">
        <f t="shared" si="24"/>
        <v/>
      </c>
    </row>
    <row r="309" spans="1:11" ht="15" x14ac:dyDescent="0.25">
      <c r="A309" s="1" t="str">
        <f>IF('1.1 Produksi Bersih Padi 2025'!A309="","",'1.1 Produksi Bersih Padi 2025'!A309)</f>
        <v/>
      </c>
      <c r="B309" s="31" t="str">
        <f>IF('1.1 Produksi Bersih Padi 2025'!B309="","",'1.1 Produksi Bersih Padi 2025'!B309)</f>
        <v/>
      </c>
      <c r="C309" s="31" t="str">
        <f>IF('1.1 Produksi Bersih Padi 2025'!C309="","",'1.1 Produksi Bersih Padi 2025'!C309)</f>
        <v/>
      </c>
      <c r="D309" s="1" t="str">
        <f>IF('1.1 Produksi Bersih Padi 2025'!D309="","",'1.1 Produksi Bersih Padi 2025'!D309)</f>
        <v/>
      </c>
      <c r="E309" s="1" t="str">
        <f>IF('1.1 Produksi Bersih Padi 2025'!E309="","",'1.1 Produksi Bersih Padi 2025'!E309)</f>
        <v/>
      </c>
      <c r="F309" s="28" t="str">
        <f>IF(D309="","",VLOOKUP(D309,'[1]0.1 Produksi Pangan &amp; Penduduk'!$D$5:$AE$860,28,0))</f>
        <v/>
      </c>
      <c r="G309" s="29" t="str">
        <f t="shared" si="20"/>
        <v/>
      </c>
      <c r="H309" s="29" t="str">
        <f t="shared" si="21"/>
        <v/>
      </c>
      <c r="I309" s="29" t="str">
        <f t="shared" si="22"/>
        <v/>
      </c>
      <c r="J309" s="29" t="str">
        <f t="shared" si="23"/>
        <v/>
      </c>
      <c r="K309" s="29" t="str">
        <f t="shared" si="24"/>
        <v/>
      </c>
    </row>
    <row r="310" spans="1:11" ht="15" x14ac:dyDescent="0.25">
      <c r="A310" s="1" t="str">
        <f>IF('1.1 Produksi Bersih Padi 2025'!A310="","",'1.1 Produksi Bersih Padi 2025'!A310)</f>
        <v/>
      </c>
      <c r="B310" s="31" t="str">
        <f>IF('1.1 Produksi Bersih Padi 2025'!B310="","",'1.1 Produksi Bersih Padi 2025'!B310)</f>
        <v/>
      </c>
      <c r="C310" s="31" t="str">
        <f>IF('1.1 Produksi Bersih Padi 2025'!C310="","",'1.1 Produksi Bersih Padi 2025'!C310)</f>
        <v/>
      </c>
      <c r="D310" s="1" t="str">
        <f>IF('1.1 Produksi Bersih Padi 2025'!D310="","",'1.1 Produksi Bersih Padi 2025'!D310)</f>
        <v/>
      </c>
      <c r="E310" s="1" t="str">
        <f>IF('1.1 Produksi Bersih Padi 2025'!E310="","",'1.1 Produksi Bersih Padi 2025'!E310)</f>
        <v/>
      </c>
      <c r="F310" s="28" t="str">
        <f>IF(D310="","",VLOOKUP(D310,'[1]0.1 Produksi Pangan &amp; Penduduk'!$D$5:$AE$860,28,0))</f>
        <v/>
      </c>
      <c r="G310" s="29" t="str">
        <f t="shared" si="20"/>
        <v/>
      </c>
      <c r="H310" s="29" t="str">
        <f t="shared" si="21"/>
        <v/>
      </c>
      <c r="I310" s="29" t="str">
        <f t="shared" si="22"/>
        <v/>
      </c>
      <c r="J310" s="29" t="str">
        <f t="shared" si="23"/>
        <v/>
      </c>
      <c r="K310" s="29" t="str">
        <f t="shared" si="24"/>
        <v/>
      </c>
    </row>
    <row r="311" spans="1:11" ht="15" x14ac:dyDescent="0.25">
      <c r="A311" s="1" t="str">
        <f>IF('1.1 Produksi Bersih Padi 2025'!A311="","",'1.1 Produksi Bersih Padi 2025'!A311)</f>
        <v/>
      </c>
      <c r="B311" s="31" t="str">
        <f>IF('1.1 Produksi Bersih Padi 2025'!B311="","",'1.1 Produksi Bersih Padi 2025'!B311)</f>
        <v/>
      </c>
      <c r="C311" s="31" t="str">
        <f>IF('1.1 Produksi Bersih Padi 2025'!C311="","",'1.1 Produksi Bersih Padi 2025'!C311)</f>
        <v/>
      </c>
      <c r="D311" s="1" t="str">
        <f>IF('1.1 Produksi Bersih Padi 2025'!D311="","",'1.1 Produksi Bersih Padi 2025'!D311)</f>
        <v/>
      </c>
      <c r="E311" s="1" t="str">
        <f>IF('1.1 Produksi Bersih Padi 2025'!E311="","",'1.1 Produksi Bersih Padi 2025'!E311)</f>
        <v/>
      </c>
      <c r="F311" s="28" t="str">
        <f>IF(D311="","",VLOOKUP(D311,'[1]0.1 Produksi Pangan &amp; Penduduk'!$D$5:$AE$860,28,0))</f>
        <v/>
      </c>
      <c r="G311" s="29" t="str">
        <f t="shared" si="20"/>
        <v/>
      </c>
      <c r="H311" s="29" t="str">
        <f t="shared" si="21"/>
        <v/>
      </c>
      <c r="I311" s="29" t="str">
        <f t="shared" si="22"/>
        <v/>
      </c>
      <c r="J311" s="29" t="str">
        <f t="shared" si="23"/>
        <v/>
      </c>
      <c r="K311" s="29" t="str">
        <f t="shared" si="24"/>
        <v/>
      </c>
    </row>
    <row r="312" spans="1:11" ht="15" x14ac:dyDescent="0.25">
      <c r="A312" s="1" t="str">
        <f>IF('1.1 Produksi Bersih Padi 2025'!A312="","",'1.1 Produksi Bersih Padi 2025'!A312)</f>
        <v/>
      </c>
      <c r="B312" s="31" t="str">
        <f>IF('1.1 Produksi Bersih Padi 2025'!B312="","",'1.1 Produksi Bersih Padi 2025'!B312)</f>
        <v/>
      </c>
      <c r="C312" s="31" t="str">
        <f>IF('1.1 Produksi Bersih Padi 2025'!C312="","",'1.1 Produksi Bersih Padi 2025'!C312)</f>
        <v/>
      </c>
      <c r="D312" s="1" t="str">
        <f>IF('1.1 Produksi Bersih Padi 2025'!D312="","",'1.1 Produksi Bersih Padi 2025'!D312)</f>
        <v/>
      </c>
      <c r="E312" s="1" t="str">
        <f>IF('1.1 Produksi Bersih Padi 2025'!E312="","",'1.1 Produksi Bersih Padi 2025'!E312)</f>
        <v/>
      </c>
      <c r="F312" s="28" t="str">
        <f>IF(D312="","",VLOOKUP(D312,'[1]0.1 Produksi Pangan &amp; Penduduk'!$D$5:$AE$860,28,0))</f>
        <v/>
      </c>
      <c r="G312" s="29" t="str">
        <f t="shared" si="20"/>
        <v/>
      </c>
      <c r="H312" s="29" t="str">
        <f t="shared" si="21"/>
        <v/>
      </c>
      <c r="I312" s="29" t="str">
        <f t="shared" si="22"/>
        <v/>
      </c>
      <c r="J312" s="29" t="str">
        <f t="shared" si="23"/>
        <v/>
      </c>
      <c r="K312" s="29" t="str">
        <f t="shared" si="24"/>
        <v/>
      </c>
    </row>
    <row r="313" spans="1:11" ht="15" x14ac:dyDescent="0.25">
      <c r="A313" s="1" t="str">
        <f>IF('1.1 Produksi Bersih Padi 2025'!A313="","",'1.1 Produksi Bersih Padi 2025'!A313)</f>
        <v/>
      </c>
      <c r="B313" s="31" t="str">
        <f>IF('1.1 Produksi Bersih Padi 2025'!B313="","",'1.1 Produksi Bersih Padi 2025'!B313)</f>
        <v/>
      </c>
      <c r="C313" s="31" t="str">
        <f>IF('1.1 Produksi Bersih Padi 2025'!C313="","",'1.1 Produksi Bersih Padi 2025'!C313)</f>
        <v/>
      </c>
      <c r="D313" s="1" t="str">
        <f>IF('1.1 Produksi Bersih Padi 2025'!D313="","",'1.1 Produksi Bersih Padi 2025'!D313)</f>
        <v/>
      </c>
      <c r="E313" s="1" t="str">
        <f>IF('1.1 Produksi Bersih Padi 2025'!E313="","",'1.1 Produksi Bersih Padi 2025'!E313)</f>
        <v/>
      </c>
      <c r="F313" s="28" t="str">
        <f>IF(D313="","",VLOOKUP(D313,'[1]0.1 Produksi Pangan &amp; Penduduk'!$D$5:$AE$860,28,0))</f>
        <v/>
      </c>
      <c r="G313" s="29" t="str">
        <f t="shared" si="20"/>
        <v/>
      </c>
      <c r="H313" s="29" t="str">
        <f t="shared" si="21"/>
        <v/>
      </c>
      <c r="I313" s="29" t="str">
        <f t="shared" si="22"/>
        <v/>
      </c>
      <c r="J313" s="29" t="str">
        <f t="shared" si="23"/>
        <v/>
      </c>
      <c r="K313" s="29" t="str">
        <f t="shared" si="24"/>
        <v/>
      </c>
    </row>
    <row r="314" spans="1:11" ht="15" x14ac:dyDescent="0.25">
      <c r="A314" s="1" t="str">
        <f>IF('1.1 Produksi Bersih Padi 2025'!A314="","",'1.1 Produksi Bersih Padi 2025'!A314)</f>
        <v/>
      </c>
      <c r="B314" s="31" t="str">
        <f>IF('1.1 Produksi Bersih Padi 2025'!B314="","",'1.1 Produksi Bersih Padi 2025'!B314)</f>
        <v/>
      </c>
      <c r="C314" s="31" t="str">
        <f>IF('1.1 Produksi Bersih Padi 2025'!C314="","",'1.1 Produksi Bersih Padi 2025'!C314)</f>
        <v/>
      </c>
      <c r="D314" s="1" t="str">
        <f>IF('1.1 Produksi Bersih Padi 2025'!D314="","",'1.1 Produksi Bersih Padi 2025'!D314)</f>
        <v/>
      </c>
      <c r="E314" s="1" t="str">
        <f>IF('1.1 Produksi Bersih Padi 2025'!E314="","",'1.1 Produksi Bersih Padi 2025'!E314)</f>
        <v/>
      </c>
      <c r="F314" s="28" t="str">
        <f>IF(D314="","",VLOOKUP(D314,'[1]0.1 Produksi Pangan &amp; Penduduk'!$D$5:$AE$860,28,0))</f>
        <v/>
      </c>
      <c r="G314" s="29" t="str">
        <f t="shared" si="20"/>
        <v/>
      </c>
      <c r="H314" s="29" t="str">
        <f t="shared" si="21"/>
        <v/>
      </c>
      <c r="I314" s="29" t="str">
        <f t="shared" si="22"/>
        <v/>
      </c>
      <c r="J314" s="29" t="str">
        <f t="shared" si="23"/>
        <v/>
      </c>
      <c r="K314" s="29" t="str">
        <f t="shared" si="24"/>
        <v/>
      </c>
    </row>
    <row r="315" spans="1:11" ht="15" x14ac:dyDescent="0.25">
      <c r="A315" s="1" t="str">
        <f>IF('1.1 Produksi Bersih Padi 2025'!A315="","",'1.1 Produksi Bersih Padi 2025'!A315)</f>
        <v/>
      </c>
      <c r="B315" s="31" t="str">
        <f>IF('1.1 Produksi Bersih Padi 2025'!B315="","",'1.1 Produksi Bersih Padi 2025'!B315)</f>
        <v/>
      </c>
      <c r="C315" s="31" t="str">
        <f>IF('1.1 Produksi Bersih Padi 2025'!C315="","",'1.1 Produksi Bersih Padi 2025'!C315)</f>
        <v/>
      </c>
      <c r="D315" s="1" t="str">
        <f>IF('1.1 Produksi Bersih Padi 2025'!D315="","",'1.1 Produksi Bersih Padi 2025'!D315)</f>
        <v/>
      </c>
      <c r="E315" s="1" t="str">
        <f>IF('1.1 Produksi Bersih Padi 2025'!E315="","",'1.1 Produksi Bersih Padi 2025'!E315)</f>
        <v/>
      </c>
      <c r="F315" s="28" t="str">
        <f>IF(D315="","",VLOOKUP(D315,'[1]0.1 Produksi Pangan &amp; Penduduk'!$D$5:$AE$860,28,0))</f>
        <v/>
      </c>
      <c r="G315" s="29" t="str">
        <f t="shared" si="20"/>
        <v/>
      </c>
      <c r="H315" s="29" t="str">
        <f t="shared" si="21"/>
        <v/>
      </c>
      <c r="I315" s="29" t="str">
        <f t="shared" si="22"/>
        <v/>
      </c>
      <c r="J315" s="29" t="str">
        <f t="shared" si="23"/>
        <v/>
      </c>
      <c r="K315" s="29" t="str">
        <f t="shared" si="24"/>
        <v/>
      </c>
    </row>
    <row r="316" spans="1:11" ht="15" x14ac:dyDescent="0.25">
      <c r="A316" s="1" t="str">
        <f>IF('1.1 Produksi Bersih Padi 2025'!A316="","",'1.1 Produksi Bersih Padi 2025'!A316)</f>
        <v/>
      </c>
      <c r="B316" s="31" t="str">
        <f>IF('1.1 Produksi Bersih Padi 2025'!B316="","",'1.1 Produksi Bersih Padi 2025'!B316)</f>
        <v/>
      </c>
      <c r="C316" s="31" t="str">
        <f>IF('1.1 Produksi Bersih Padi 2025'!C316="","",'1.1 Produksi Bersih Padi 2025'!C316)</f>
        <v/>
      </c>
      <c r="D316" s="1" t="str">
        <f>IF('1.1 Produksi Bersih Padi 2025'!D316="","",'1.1 Produksi Bersih Padi 2025'!D316)</f>
        <v/>
      </c>
      <c r="E316" s="1" t="str">
        <f>IF('1.1 Produksi Bersih Padi 2025'!E316="","",'1.1 Produksi Bersih Padi 2025'!E316)</f>
        <v/>
      </c>
      <c r="F316" s="28" t="str">
        <f>IF(D316="","",VLOOKUP(D316,'[1]0.1 Produksi Pangan &amp; Penduduk'!$D$5:$AE$860,28,0))</f>
        <v/>
      </c>
      <c r="G316" s="29" t="str">
        <f t="shared" si="20"/>
        <v/>
      </c>
      <c r="H316" s="29" t="str">
        <f t="shared" si="21"/>
        <v/>
      </c>
      <c r="I316" s="29" t="str">
        <f t="shared" si="22"/>
        <v/>
      </c>
      <c r="J316" s="29" t="str">
        <f t="shared" si="23"/>
        <v/>
      </c>
      <c r="K316" s="29" t="str">
        <f t="shared" si="24"/>
        <v/>
      </c>
    </row>
    <row r="317" spans="1:11" ht="15" x14ac:dyDescent="0.25">
      <c r="A317" s="1" t="str">
        <f>IF('1.1 Produksi Bersih Padi 2025'!A317="","",'1.1 Produksi Bersih Padi 2025'!A317)</f>
        <v/>
      </c>
      <c r="B317" s="31" t="str">
        <f>IF('1.1 Produksi Bersih Padi 2025'!B317="","",'1.1 Produksi Bersih Padi 2025'!B317)</f>
        <v/>
      </c>
      <c r="C317" s="31" t="str">
        <f>IF('1.1 Produksi Bersih Padi 2025'!C317="","",'1.1 Produksi Bersih Padi 2025'!C317)</f>
        <v/>
      </c>
      <c r="D317" s="1" t="str">
        <f>IF('1.1 Produksi Bersih Padi 2025'!D317="","",'1.1 Produksi Bersih Padi 2025'!D317)</f>
        <v/>
      </c>
      <c r="E317" s="1" t="str">
        <f>IF('1.1 Produksi Bersih Padi 2025'!E317="","",'1.1 Produksi Bersih Padi 2025'!E317)</f>
        <v/>
      </c>
      <c r="F317" s="28" t="str">
        <f>IF(D317="","",VLOOKUP(D317,'[1]0.1 Produksi Pangan &amp; Penduduk'!$D$5:$AE$860,28,0))</f>
        <v/>
      </c>
      <c r="G317" s="29" t="str">
        <f t="shared" si="20"/>
        <v/>
      </c>
      <c r="H317" s="29" t="str">
        <f t="shared" si="21"/>
        <v/>
      </c>
      <c r="I317" s="29" t="str">
        <f t="shared" si="22"/>
        <v/>
      </c>
      <c r="J317" s="29" t="str">
        <f t="shared" si="23"/>
        <v/>
      </c>
      <c r="K317" s="29" t="str">
        <f t="shared" si="24"/>
        <v/>
      </c>
    </row>
    <row r="318" spans="1:11" ht="15" x14ac:dyDescent="0.25">
      <c r="A318" s="1" t="str">
        <f>IF('1.1 Produksi Bersih Padi 2025'!A318="","",'1.1 Produksi Bersih Padi 2025'!A318)</f>
        <v/>
      </c>
      <c r="B318" s="31" t="str">
        <f>IF('1.1 Produksi Bersih Padi 2025'!B318="","",'1.1 Produksi Bersih Padi 2025'!B318)</f>
        <v/>
      </c>
      <c r="C318" s="31" t="str">
        <f>IF('1.1 Produksi Bersih Padi 2025'!C318="","",'1.1 Produksi Bersih Padi 2025'!C318)</f>
        <v/>
      </c>
      <c r="D318" s="1" t="str">
        <f>IF('1.1 Produksi Bersih Padi 2025'!D318="","",'1.1 Produksi Bersih Padi 2025'!D318)</f>
        <v/>
      </c>
      <c r="E318" s="1" t="str">
        <f>IF('1.1 Produksi Bersih Padi 2025'!E318="","",'1.1 Produksi Bersih Padi 2025'!E318)</f>
        <v/>
      </c>
      <c r="F318" s="28" t="str">
        <f>IF(D318="","",VLOOKUP(D318,'[1]0.1 Produksi Pangan &amp; Penduduk'!$D$5:$AE$860,28,0))</f>
        <v/>
      </c>
      <c r="G318" s="29" t="str">
        <f t="shared" si="20"/>
        <v/>
      </c>
      <c r="H318" s="29" t="str">
        <f t="shared" si="21"/>
        <v/>
      </c>
      <c r="I318" s="29" t="str">
        <f t="shared" si="22"/>
        <v/>
      </c>
      <c r="J318" s="29" t="str">
        <f t="shared" si="23"/>
        <v/>
      </c>
      <c r="K318" s="29" t="str">
        <f t="shared" si="24"/>
        <v/>
      </c>
    </row>
    <row r="319" spans="1:11" ht="15" x14ac:dyDescent="0.25">
      <c r="A319" s="1" t="str">
        <f>IF('1.1 Produksi Bersih Padi 2025'!A319="","",'1.1 Produksi Bersih Padi 2025'!A319)</f>
        <v/>
      </c>
      <c r="B319" s="31" t="str">
        <f>IF('1.1 Produksi Bersih Padi 2025'!B319="","",'1.1 Produksi Bersih Padi 2025'!B319)</f>
        <v/>
      </c>
      <c r="C319" s="31" t="str">
        <f>IF('1.1 Produksi Bersih Padi 2025'!C319="","",'1.1 Produksi Bersih Padi 2025'!C319)</f>
        <v/>
      </c>
      <c r="D319" s="1" t="str">
        <f>IF('1.1 Produksi Bersih Padi 2025'!D319="","",'1.1 Produksi Bersih Padi 2025'!D319)</f>
        <v/>
      </c>
      <c r="E319" s="1" t="str">
        <f>IF('1.1 Produksi Bersih Padi 2025'!E319="","",'1.1 Produksi Bersih Padi 2025'!E319)</f>
        <v/>
      </c>
      <c r="F319" s="28" t="str">
        <f>IF(D319="","",VLOOKUP(D319,'[1]0.1 Produksi Pangan &amp; Penduduk'!$D$5:$AE$860,28,0))</f>
        <v/>
      </c>
      <c r="G319" s="29" t="str">
        <f t="shared" si="20"/>
        <v/>
      </c>
      <c r="H319" s="29" t="str">
        <f t="shared" si="21"/>
        <v/>
      </c>
      <c r="I319" s="29" t="str">
        <f t="shared" si="22"/>
        <v/>
      </c>
      <c r="J319" s="29" t="str">
        <f t="shared" si="23"/>
        <v/>
      </c>
      <c r="K319" s="29" t="str">
        <f t="shared" si="24"/>
        <v/>
      </c>
    </row>
    <row r="320" spans="1:11" ht="15" x14ac:dyDescent="0.25">
      <c r="A320" s="1" t="str">
        <f>IF('1.1 Produksi Bersih Padi 2025'!A320="","",'1.1 Produksi Bersih Padi 2025'!A320)</f>
        <v/>
      </c>
      <c r="B320" s="31" t="str">
        <f>IF('1.1 Produksi Bersih Padi 2025'!B320="","",'1.1 Produksi Bersih Padi 2025'!B320)</f>
        <v/>
      </c>
      <c r="C320" s="31" t="str">
        <f>IF('1.1 Produksi Bersih Padi 2025'!C320="","",'1.1 Produksi Bersih Padi 2025'!C320)</f>
        <v/>
      </c>
      <c r="D320" s="1" t="str">
        <f>IF('1.1 Produksi Bersih Padi 2025'!D320="","",'1.1 Produksi Bersih Padi 2025'!D320)</f>
        <v/>
      </c>
      <c r="E320" s="1" t="str">
        <f>IF('1.1 Produksi Bersih Padi 2025'!E320="","",'1.1 Produksi Bersih Padi 2025'!E320)</f>
        <v/>
      </c>
      <c r="F320" s="28" t="str">
        <f>IF(D320="","",VLOOKUP(D320,'[1]0.1 Produksi Pangan &amp; Penduduk'!$D$5:$AE$860,28,0))</f>
        <v/>
      </c>
      <c r="G320" s="29" t="str">
        <f t="shared" si="20"/>
        <v/>
      </c>
      <c r="H320" s="29" t="str">
        <f t="shared" si="21"/>
        <v/>
      </c>
      <c r="I320" s="29" t="str">
        <f t="shared" si="22"/>
        <v/>
      </c>
      <c r="J320" s="29" t="str">
        <f t="shared" si="23"/>
        <v/>
      </c>
      <c r="K320" s="29" t="str">
        <f t="shared" si="24"/>
        <v/>
      </c>
    </row>
    <row r="321" spans="1:11" ht="15" x14ac:dyDescent="0.25">
      <c r="A321" s="1" t="str">
        <f>IF('1.1 Produksi Bersih Padi 2025'!A321="","",'1.1 Produksi Bersih Padi 2025'!A321)</f>
        <v/>
      </c>
      <c r="B321" s="31" t="str">
        <f>IF('1.1 Produksi Bersih Padi 2025'!B321="","",'1.1 Produksi Bersih Padi 2025'!B321)</f>
        <v/>
      </c>
      <c r="C321" s="31" t="str">
        <f>IF('1.1 Produksi Bersih Padi 2025'!C321="","",'1.1 Produksi Bersih Padi 2025'!C321)</f>
        <v/>
      </c>
      <c r="D321" s="1" t="str">
        <f>IF('1.1 Produksi Bersih Padi 2025'!D321="","",'1.1 Produksi Bersih Padi 2025'!D321)</f>
        <v/>
      </c>
      <c r="E321" s="1" t="str">
        <f>IF('1.1 Produksi Bersih Padi 2025'!E321="","",'1.1 Produksi Bersih Padi 2025'!E321)</f>
        <v/>
      </c>
      <c r="F321" s="28" t="str">
        <f>IF(D321="","",VLOOKUP(D321,'[1]0.1 Produksi Pangan &amp; Penduduk'!$D$5:$AE$860,28,0))</f>
        <v/>
      </c>
      <c r="G321" s="29" t="str">
        <f t="shared" si="20"/>
        <v/>
      </c>
      <c r="H321" s="29" t="str">
        <f t="shared" si="21"/>
        <v/>
      </c>
      <c r="I321" s="29" t="str">
        <f t="shared" si="22"/>
        <v/>
      </c>
      <c r="J321" s="29" t="str">
        <f t="shared" si="23"/>
        <v/>
      </c>
      <c r="K321" s="29" t="str">
        <f t="shared" si="24"/>
        <v/>
      </c>
    </row>
    <row r="322" spans="1:11" ht="15" x14ac:dyDescent="0.25">
      <c r="A322" s="1" t="str">
        <f>IF('1.1 Produksi Bersih Padi 2025'!A322="","",'1.1 Produksi Bersih Padi 2025'!A322)</f>
        <v/>
      </c>
      <c r="B322" s="31" t="str">
        <f>IF('1.1 Produksi Bersih Padi 2025'!B322="","",'1.1 Produksi Bersih Padi 2025'!B322)</f>
        <v/>
      </c>
      <c r="C322" s="31" t="str">
        <f>IF('1.1 Produksi Bersih Padi 2025'!C322="","",'1.1 Produksi Bersih Padi 2025'!C322)</f>
        <v/>
      </c>
      <c r="D322" s="1" t="str">
        <f>IF('1.1 Produksi Bersih Padi 2025'!D322="","",'1.1 Produksi Bersih Padi 2025'!D322)</f>
        <v/>
      </c>
      <c r="E322" s="1" t="str">
        <f>IF('1.1 Produksi Bersih Padi 2025'!E322="","",'1.1 Produksi Bersih Padi 2025'!E322)</f>
        <v/>
      </c>
      <c r="F322" s="28" t="str">
        <f>IF(D322="","",VLOOKUP(D322,'[1]0.1 Produksi Pangan &amp; Penduduk'!$D$5:$AE$860,28,0))</f>
        <v/>
      </c>
      <c r="G322" s="29" t="str">
        <f t="shared" si="20"/>
        <v/>
      </c>
      <c r="H322" s="29" t="str">
        <f t="shared" si="21"/>
        <v/>
      </c>
      <c r="I322" s="29" t="str">
        <f t="shared" si="22"/>
        <v/>
      </c>
      <c r="J322" s="29" t="str">
        <f t="shared" si="23"/>
        <v/>
      </c>
      <c r="K322" s="29" t="str">
        <f t="shared" si="24"/>
        <v/>
      </c>
    </row>
    <row r="323" spans="1:11" ht="15" x14ac:dyDescent="0.25">
      <c r="A323" s="1" t="str">
        <f>IF('1.1 Produksi Bersih Padi 2025'!A323="","",'1.1 Produksi Bersih Padi 2025'!A323)</f>
        <v/>
      </c>
      <c r="B323" s="31" t="str">
        <f>IF('1.1 Produksi Bersih Padi 2025'!B323="","",'1.1 Produksi Bersih Padi 2025'!B323)</f>
        <v/>
      </c>
      <c r="C323" s="31" t="str">
        <f>IF('1.1 Produksi Bersih Padi 2025'!C323="","",'1.1 Produksi Bersih Padi 2025'!C323)</f>
        <v/>
      </c>
      <c r="D323" s="1" t="str">
        <f>IF('1.1 Produksi Bersih Padi 2025'!D323="","",'1.1 Produksi Bersih Padi 2025'!D323)</f>
        <v/>
      </c>
      <c r="E323" s="1" t="str">
        <f>IF('1.1 Produksi Bersih Padi 2025'!E323="","",'1.1 Produksi Bersih Padi 2025'!E323)</f>
        <v/>
      </c>
      <c r="F323" s="28" t="str">
        <f>IF(D323="","",VLOOKUP(D323,'[1]0.1 Produksi Pangan &amp; Penduduk'!$D$5:$AE$860,28,0))</f>
        <v/>
      </c>
      <c r="G323" s="29" t="str">
        <f t="shared" si="20"/>
        <v/>
      </c>
      <c r="H323" s="29" t="str">
        <f t="shared" si="21"/>
        <v/>
      </c>
      <c r="I323" s="29" t="str">
        <f t="shared" si="22"/>
        <v/>
      </c>
      <c r="J323" s="29" t="str">
        <f t="shared" si="23"/>
        <v/>
      </c>
      <c r="K323" s="29" t="str">
        <f t="shared" si="24"/>
        <v/>
      </c>
    </row>
    <row r="324" spans="1:11" ht="15" x14ac:dyDescent="0.25">
      <c r="A324" s="1" t="str">
        <f>IF('1.1 Produksi Bersih Padi 2025'!A324="","",'1.1 Produksi Bersih Padi 2025'!A324)</f>
        <v/>
      </c>
      <c r="B324" s="31" t="str">
        <f>IF('1.1 Produksi Bersih Padi 2025'!B324="","",'1.1 Produksi Bersih Padi 2025'!B324)</f>
        <v/>
      </c>
      <c r="C324" s="31" t="str">
        <f>IF('1.1 Produksi Bersih Padi 2025'!C324="","",'1.1 Produksi Bersih Padi 2025'!C324)</f>
        <v/>
      </c>
      <c r="D324" s="1" t="str">
        <f>IF('1.1 Produksi Bersih Padi 2025'!D324="","",'1.1 Produksi Bersih Padi 2025'!D324)</f>
        <v/>
      </c>
      <c r="E324" s="1" t="str">
        <f>IF('1.1 Produksi Bersih Padi 2025'!E324="","",'1.1 Produksi Bersih Padi 2025'!E324)</f>
        <v/>
      </c>
      <c r="F324" s="28" t="str">
        <f>IF(D324="","",VLOOKUP(D324,'[1]0.1 Produksi Pangan &amp; Penduduk'!$D$5:$AE$860,28,0))</f>
        <v/>
      </c>
      <c r="G324" s="29" t="str">
        <f t="shared" si="20"/>
        <v/>
      </c>
      <c r="H324" s="29" t="str">
        <f t="shared" si="21"/>
        <v/>
      </c>
      <c r="I324" s="29" t="str">
        <f t="shared" si="22"/>
        <v/>
      </c>
      <c r="J324" s="29" t="str">
        <f t="shared" si="23"/>
        <v/>
      </c>
      <c r="K324" s="29" t="str">
        <f t="shared" si="24"/>
        <v/>
      </c>
    </row>
    <row r="325" spans="1:11" ht="15" x14ac:dyDescent="0.25">
      <c r="A325" s="1" t="str">
        <f>IF('1.1 Produksi Bersih Padi 2025'!A325="","",'1.1 Produksi Bersih Padi 2025'!A325)</f>
        <v/>
      </c>
      <c r="B325" s="31" t="str">
        <f>IF('1.1 Produksi Bersih Padi 2025'!B325="","",'1.1 Produksi Bersih Padi 2025'!B325)</f>
        <v/>
      </c>
      <c r="C325" s="31" t="str">
        <f>IF('1.1 Produksi Bersih Padi 2025'!C325="","",'1.1 Produksi Bersih Padi 2025'!C325)</f>
        <v/>
      </c>
      <c r="D325" s="1" t="str">
        <f>IF('1.1 Produksi Bersih Padi 2025'!D325="","",'1.1 Produksi Bersih Padi 2025'!D325)</f>
        <v/>
      </c>
      <c r="E325" s="1" t="str">
        <f>IF('1.1 Produksi Bersih Padi 2025'!E325="","",'1.1 Produksi Bersih Padi 2025'!E325)</f>
        <v/>
      </c>
      <c r="F325" s="28" t="str">
        <f>IF(D325="","",VLOOKUP(D325,'[1]0.1 Produksi Pangan &amp; Penduduk'!$D$5:$AE$860,28,0))</f>
        <v/>
      </c>
      <c r="G325" s="29" t="str">
        <f t="shared" si="20"/>
        <v/>
      </c>
      <c r="H325" s="29" t="str">
        <f t="shared" si="21"/>
        <v/>
      </c>
      <c r="I325" s="29" t="str">
        <f t="shared" si="22"/>
        <v/>
      </c>
      <c r="J325" s="29" t="str">
        <f t="shared" si="23"/>
        <v/>
      </c>
      <c r="K325" s="29" t="str">
        <f t="shared" si="24"/>
        <v/>
      </c>
    </row>
    <row r="326" spans="1:11" ht="15" x14ac:dyDescent="0.25">
      <c r="A326" s="1" t="str">
        <f>IF('1.1 Produksi Bersih Padi 2025'!A326="","",'1.1 Produksi Bersih Padi 2025'!A326)</f>
        <v/>
      </c>
      <c r="B326" s="31" t="str">
        <f>IF('1.1 Produksi Bersih Padi 2025'!B326="","",'1.1 Produksi Bersih Padi 2025'!B326)</f>
        <v/>
      </c>
      <c r="C326" s="31" t="str">
        <f>IF('1.1 Produksi Bersih Padi 2025'!C326="","",'1.1 Produksi Bersih Padi 2025'!C326)</f>
        <v/>
      </c>
      <c r="D326" s="1" t="str">
        <f>IF('1.1 Produksi Bersih Padi 2025'!D326="","",'1.1 Produksi Bersih Padi 2025'!D326)</f>
        <v/>
      </c>
      <c r="E326" s="1" t="str">
        <f>IF('1.1 Produksi Bersih Padi 2025'!E326="","",'1.1 Produksi Bersih Padi 2025'!E326)</f>
        <v/>
      </c>
      <c r="F326" s="28" t="str">
        <f>IF(D326="","",VLOOKUP(D326,'[1]0.1 Produksi Pangan &amp; Penduduk'!$D$5:$AE$860,28,0))</f>
        <v/>
      </c>
      <c r="G326" s="29" t="str">
        <f t="shared" ref="G326:G389" si="25">IF(F326="","",F326*0%)</f>
        <v/>
      </c>
      <c r="H326" s="29" t="str">
        <f t="shared" ref="H326:H389" si="26">IF(F326="","",F326*0.77%)</f>
        <v/>
      </c>
      <c r="I326" s="29" t="str">
        <f t="shared" ref="I326:I389" si="27">IF(F326="","",F326*4.9%)</f>
        <v/>
      </c>
      <c r="J326" s="29" t="str">
        <f t="shared" ref="J326:J389" si="28">IF(F326="","",F326-(G326+H326+I326))</f>
        <v/>
      </c>
      <c r="K326" s="29" t="str">
        <f t="shared" ref="K326:K389" si="29">IF(J326="","",J326*0.259)</f>
        <v/>
      </c>
    </row>
    <row r="327" spans="1:11" ht="15" x14ac:dyDescent="0.25">
      <c r="A327" s="1" t="str">
        <f>IF('1.1 Produksi Bersih Padi 2025'!A327="","",'1.1 Produksi Bersih Padi 2025'!A327)</f>
        <v/>
      </c>
      <c r="B327" s="31" t="str">
        <f>IF('1.1 Produksi Bersih Padi 2025'!B327="","",'1.1 Produksi Bersih Padi 2025'!B327)</f>
        <v/>
      </c>
      <c r="C327" s="31" t="str">
        <f>IF('1.1 Produksi Bersih Padi 2025'!C327="","",'1.1 Produksi Bersih Padi 2025'!C327)</f>
        <v/>
      </c>
      <c r="D327" s="1" t="str">
        <f>IF('1.1 Produksi Bersih Padi 2025'!D327="","",'1.1 Produksi Bersih Padi 2025'!D327)</f>
        <v/>
      </c>
      <c r="E327" s="1" t="str">
        <f>IF('1.1 Produksi Bersih Padi 2025'!E327="","",'1.1 Produksi Bersih Padi 2025'!E327)</f>
        <v/>
      </c>
      <c r="F327" s="28" t="str">
        <f>IF(D327="","",VLOOKUP(D327,'[1]0.1 Produksi Pangan &amp; Penduduk'!$D$5:$AE$860,28,0))</f>
        <v/>
      </c>
      <c r="G327" s="29" t="str">
        <f t="shared" si="25"/>
        <v/>
      </c>
      <c r="H327" s="29" t="str">
        <f t="shared" si="26"/>
        <v/>
      </c>
      <c r="I327" s="29" t="str">
        <f t="shared" si="27"/>
        <v/>
      </c>
      <c r="J327" s="29" t="str">
        <f t="shared" si="28"/>
        <v/>
      </c>
      <c r="K327" s="29" t="str">
        <f t="shared" si="29"/>
        <v/>
      </c>
    </row>
    <row r="328" spans="1:11" ht="15" x14ac:dyDescent="0.25">
      <c r="A328" s="1" t="str">
        <f>IF('1.1 Produksi Bersih Padi 2025'!A328="","",'1.1 Produksi Bersih Padi 2025'!A328)</f>
        <v/>
      </c>
      <c r="B328" s="31" t="str">
        <f>IF('1.1 Produksi Bersih Padi 2025'!B328="","",'1.1 Produksi Bersih Padi 2025'!B328)</f>
        <v/>
      </c>
      <c r="C328" s="31" t="str">
        <f>IF('1.1 Produksi Bersih Padi 2025'!C328="","",'1.1 Produksi Bersih Padi 2025'!C328)</f>
        <v/>
      </c>
      <c r="D328" s="1" t="str">
        <f>IF('1.1 Produksi Bersih Padi 2025'!D328="","",'1.1 Produksi Bersih Padi 2025'!D328)</f>
        <v/>
      </c>
      <c r="E328" s="1" t="str">
        <f>IF('1.1 Produksi Bersih Padi 2025'!E328="","",'1.1 Produksi Bersih Padi 2025'!E328)</f>
        <v/>
      </c>
      <c r="F328" s="28" t="str">
        <f>IF(D328="","",VLOOKUP(D328,'[1]0.1 Produksi Pangan &amp; Penduduk'!$D$5:$AE$860,28,0))</f>
        <v/>
      </c>
      <c r="G328" s="29" t="str">
        <f t="shared" si="25"/>
        <v/>
      </c>
      <c r="H328" s="29" t="str">
        <f t="shared" si="26"/>
        <v/>
      </c>
      <c r="I328" s="29" t="str">
        <f t="shared" si="27"/>
        <v/>
      </c>
      <c r="J328" s="29" t="str">
        <f t="shared" si="28"/>
        <v/>
      </c>
      <c r="K328" s="29" t="str">
        <f t="shared" si="29"/>
        <v/>
      </c>
    </row>
    <row r="329" spans="1:11" ht="15" x14ac:dyDescent="0.25">
      <c r="A329" s="1" t="str">
        <f>IF('1.1 Produksi Bersih Padi 2025'!A329="","",'1.1 Produksi Bersih Padi 2025'!A329)</f>
        <v/>
      </c>
      <c r="B329" s="31" t="str">
        <f>IF('1.1 Produksi Bersih Padi 2025'!B329="","",'1.1 Produksi Bersih Padi 2025'!B329)</f>
        <v/>
      </c>
      <c r="C329" s="31" t="str">
        <f>IF('1.1 Produksi Bersih Padi 2025'!C329="","",'1.1 Produksi Bersih Padi 2025'!C329)</f>
        <v/>
      </c>
      <c r="D329" s="1" t="str">
        <f>IF('1.1 Produksi Bersih Padi 2025'!D329="","",'1.1 Produksi Bersih Padi 2025'!D329)</f>
        <v/>
      </c>
      <c r="E329" s="1" t="str">
        <f>IF('1.1 Produksi Bersih Padi 2025'!E329="","",'1.1 Produksi Bersih Padi 2025'!E329)</f>
        <v/>
      </c>
      <c r="F329" s="28" t="str">
        <f>IF(D329="","",VLOOKUP(D329,'[1]0.1 Produksi Pangan &amp; Penduduk'!$D$5:$AE$860,28,0))</f>
        <v/>
      </c>
      <c r="G329" s="29" t="str">
        <f t="shared" si="25"/>
        <v/>
      </c>
      <c r="H329" s="29" t="str">
        <f t="shared" si="26"/>
        <v/>
      </c>
      <c r="I329" s="29" t="str">
        <f t="shared" si="27"/>
        <v/>
      </c>
      <c r="J329" s="29" t="str">
        <f t="shared" si="28"/>
        <v/>
      </c>
      <c r="K329" s="29" t="str">
        <f t="shared" si="29"/>
        <v/>
      </c>
    </row>
    <row r="330" spans="1:11" ht="15" x14ac:dyDescent="0.25">
      <c r="A330" s="1" t="str">
        <f>IF('1.1 Produksi Bersih Padi 2025'!A330="","",'1.1 Produksi Bersih Padi 2025'!A330)</f>
        <v/>
      </c>
      <c r="B330" s="31" t="str">
        <f>IF('1.1 Produksi Bersih Padi 2025'!B330="","",'1.1 Produksi Bersih Padi 2025'!B330)</f>
        <v/>
      </c>
      <c r="C330" s="31" t="str">
        <f>IF('1.1 Produksi Bersih Padi 2025'!C330="","",'1.1 Produksi Bersih Padi 2025'!C330)</f>
        <v/>
      </c>
      <c r="D330" s="1" t="str">
        <f>IF('1.1 Produksi Bersih Padi 2025'!D330="","",'1.1 Produksi Bersih Padi 2025'!D330)</f>
        <v/>
      </c>
      <c r="E330" s="1" t="str">
        <f>IF('1.1 Produksi Bersih Padi 2025'!E330="","",'1.1 Produksi Bersih Padi 2025'!E330)</f>
        <v/>
      </c>
      <c r="F330" s="28" t="str">
        <f>IF(D330="","",VLOOKUP(D330,'[1]0.1 Produksi Pangan &amp; Penduduk'!$D$5:$AE$860,28,0))</f>
        <v/>
      </c>
      <c r="G330" s="29" t="str">
        <f t="shared" si="25"/>
        <v/>
      </c>
      <c r="H330" s="29" t="str">
        <f t="shared" si="26"/>
        <v/>
      </c>
      <c r="I330" s="29" t="str">
        <f t="shared" si="27"/>
        <v/>
      </c>
      <c r="J330" s="29" t="str">
        <f t="shared" si="28"/>
        <v/>
      </c>
      <c r="K330" s="29" t="str">
        <f t="shared" si="29"/>
        <v/>
      </c>
    </row>
    <row r="331" spans="1:11" ht="15" x14ac:dyDescent="0.25">
      <c r="A331" s="1" t="str">
        <f>IF('1.1 Produksi Bersih Padi 2025'!A331="","",'1.1 Produksi Bersih Padi 2025'!A331)</f>
        <v/>
      </c>
      <c r="B331" s="31" t="str">
        <f>IF('1.1 Produksi Bersih Padi 2025'!B331="","",'1.1 Produksi Bersih Padi 2025'!B331)</f>
        <v/>
      </c>
      <c r="C331" s="31" t="str">
        <f>IF('1.1 Produksi Bersih Padi 2025'!C331="","",'1.1 Produksi Bersih Padi 2025'!C331)</f>
        <v/>
      </c>
      <c r="D331" s="1" t="str">
        <f>IF('1.1 Produksi Bersih Padi 2025'!D331="","",'1.1 Produksi Bersih Padi 2025'!D331)</f>
        <v/>
      </c>
      <c r="E331" s="1" t="str">
        <f>IF('1.1 Produksi Bersih Padi 2025'!E331="","",'1.1 Produksi Bersih Padi 2025'!E331)</f>
        <v/>
      </c>
      <c r="F331" s="28" t="str">
        <f>IF(D331="","",VLOOKUP(D331,'[1]0.1 Produksi Pangan &amp; Penduduk'!$D$5:$AE$860,28,0))</f>
        <v/>
      </c>
      <c r="G331" s="29" t="str">
        <f t="shared" si="25"/>
        <v/>
      </c>
      <c r="H331" s="29" t="str">
        <f t="shared" si="26"/>
        <v/>
      </c>
      <c r="I331" s="29" t="str">
        <f t="shared" si="27"/>
        <v/>
      </c>
      <c r="J331" s="29" t="str">
        <f t="shared" si="28"/>
        <v/>
      </c>
      <c r="K331" s="29" t="str">
        <f t="shared" si="29"/>
        <v/>
      </c>
    </row>
    <row r="332" spans="1:11" ht="15" x14ac:dyDescent="0.25">
      <c r="A332" s="1" t="str">
        <f>IF('1.1 Produksi Bersih Padi 2025'!A332="","",'1.1 Produksi Bersih Padi 2025'!A332)</f>
        <v/>
      </c>
      <c r="B332" s="31" t="str">
        <f>IF('1.1 Produksi Bersih Padi 2025'!B332="","",'1.1 Produksi Bersih Padi 2025'!B332)</f>
        <v/>
      </c>
      <c r="C332" s="31" t="str">
        <f>IF('1.1 Produksi Bersih Padi 2025'!C332="","",'1.1 Produksi Bersih Padi 2025'!C332)</f>
        <v/>
      </c>
      <c r="D332" s="1" t="str">
        <f>IF('1.1 Produksi Bersih Padi 2025'!D332="","",'1.1 Produksi Bersih Padi 2025'!D332)</f>
        <v/>
      </c>
      <c r="E332" s="1" t="str">
        <f>IF('1.1 Produksi Bersih Padi 2025'!E332="","",'1.1 Produksi Bersih Padi 2025'!E332)</f>
        <v/>
      </c>
      <c r="F332" s="28" t="str">
        <f>IF(D332="","",VLOOKUP(D332,'[1]0.1 Produksi Pangan &amp; Penduduk'!$D$5:$AE$860,28,0))</f>
        <v/>
      </c>
      <c r="G332" s="29" t="str">
        <f t="shared" si="25"/>
        <v/>
      </c>
      <c r="H332" s="29" t="str">
        <f t="shared" si="26"/>
        <v/>
      </c>
      <c r="I332" s="29" t="str">
        <f t="shared" si="27"/>
        <v/>
      </c>
      <c r="J332" s="29" t="str">
        <f t="shared" si="28"/>
        <v/>
      </c>
      <c r="K332" s="29" t="str">
        <f t="shared" si="29"/>
        <v/>
      </c>
    </row>
    <row r="333" spans="1:11" ht="15" x14ac:dyDescent="0.25">
      <c r="A333" s="1" t="str">
        <f>IF('1.1 Produksi Bersih Padi 2025'!A333="","",'1.1 Produksi Bersih Padi 2025'!A333)</f>
        <v/>
      </c>
      <c r="B333" s="31" t="str">
        <f>IF('1.1 Produksi Bersih Padi 2025'!B333="","",'1.1 Produksi Bersih Padi 2025'!B333)</f>
        <v/>
      </c>
      <c r="C333" s="31" t="str">
        <f>IF('1.1 Produksi Bersih Padi 2025'!C333="","",'1.1 Produksi Bersih Padi 2025'!C333)</f>
        <v/>
      </c>
      <c r="D333" s="1" t="str">
        <f>IF('1.1 Produksi Bersih Padi 2025'!D333="","",'1.1 Produksi Bersih Padi 2025'!D333)</f>
        <v/>
      </c>
      <c r="E333" s="1" t="str">
        <f>IF('1.1 Produksi Bersih Padi 2025'!E333="","",'1.1 Produksi Bersih Padi 2025'!E333)</f>
        <v/>
      </c>
      <c r="F333" s="28" t="str">
        <f>IF(D333="","",VLOOKUP(D333,'[1]0.1 Produksi Pangan &amp; Penduduk'!$D$5:$AE$860,28,0))</f>
        <v/>
      </c>
      <c r="G333" s="29" t="str">
        <f t="shared" si="25"/>
        <v/>
      </c>
      <c r="H333" s="29" t="str">
        <f t="shared" si="26"/>
        <v/>
      </c>
      <c r="I333" s="29" t="str">
        <f t="shared" si="27"/>
        <v/>
      </c>
      <c r="J333" s="29" t="str">
        <f t="shared" si="28"/>
        <v/>
      </c>
      <c r="K333" s="29" t="str">
        <f t="shared" si="29"/>
        <v/>
      </c>
    </row>
    <row r="334" spans="1:11" ht="15" x14ac:dyDescent="0.25">
      <c r="A334" s="1" t="str">
        <f>IF('1.1 Produksi Bersih Padi 2025'!A334="","",'1.1 Produksi Bersih Padi 2025'!A334)</f>
        <v/>
      </c>
      <c r="B334" s="31" t="str">
        <f>IF('1.1 Produksi Bersih Padi 2025'!B334="","",'1.1 Produksi Bersih Padi 2025'!B334)</f>
        <v/>
      </c>
      <c r="C334" s="31" t="str">
        <f>IF('1.1 Produksi Bersih Padi 2025'!C334="","",'1.1 Produksi Bersih Padi 2025'!C334)</f>
        <v/>
      </c>
      <c r="D334" s="1" t="str">
        <f>IF('1.1 Produksi Bersih Padi 2025'!D334="","",'1.1 Produksi Bersih Padi 2025'!D334)</f>
        <v/>
      </c>
      <c r="E334" s="1" t="str">
        <f>IF('1.1 Produksi Bersih Padi 2025'!E334="","",'1.1 Produksi Bersih Padi 2025'!E334)</f>
        <v/>
      </c>
      <c r="F334" s="28" t="str">
        <f>IF(D334="","",VLOOKUP(D334,'[1]0.1 Produksi Pangan &amp; Penduduk'!$D$5:$AE$860,28,0))</f>
        <v/>
      </c>
      <c r="G334" s="29" t="str">
        <f t="shared" si="25"/>
        <v/>
      </c>
      <c r="H334" s="29" t="str">
        <f t="shared" si="26"/>
        <v/>
      </c>
      <c r="I334" s="29" t="str">
        <f t="shared" si="27"/>
        <v/>
      </c>
      <c r="J334" s="29" t="str">
        <f t="shared" si="28"/>
        <v/>
      </c>
      <c r="K334" s="29" t="str">
        <f t="shared" si="29"/>
        <v/>
      </c>
    </row>
    <row r="335" spans="1:11" ht="15" x14ac:dyDescent="0.25">
      <c r="A335" s="1" t="str">
        <f>IF('1.1 Produksi Bersih Padi 2025'!A335="","",'1.1 Produksi Bersih Padi 2025'!A335)</f>
        <v/>
      </c>
      <c r="B335" s="31" t="str">
        <f>IF('1.1 Produksi Bersih Padi 2025'!B335="","",'1.1 Produksi Bersih Padi 2025'!B335)</f>
        <v/>
      </c>
      <c r="C335" s="31" t="str">
        <f>IF('1.1 Produksi Bersih Padi 2025'!C335="","",'1.1 Produksi Bersih Padi 2025'!C335)</f>
        <v/>
      </c>
      <c r="D335" s="1" t="str">
        <f>IF('1.1 Produksi Bersih Padi 2025'!D335="","",'1.1 Produksi Bersih Padi 2025'!D335)</f>
        <v/>
      </c>
      <c r="E335" s="1" t="str">
        <f>IF('1.1 Produksi Bersih Padi 2025'!E335="","",'1.1 Produksi Bersih Padi 2025'!E335)</f>
        <v/>
      </c>
      <c r="F335" s="28" t="str">
        <f>IF(D335="","",VLOOKUP(D335,'[1]0.1 Produksi Pangan &amp; Penduduk'!$D$5:$AE$860,28,0))</f>
        <v/>
      </c>
      <c r="G335" s="29" t="str">
        <f t="shared" si="25"/>
        <v/>
      </c>
      <c r="H335" s="29" t="str">
        <f t="shared" si="26"/>
        <v/>
      </c>
      <c r="I335" s="29" t="str">
        <f t="shared" si="27"/>
        <v/>
      </c>
      <c r="J335" s="29" t="str">
        <f t="shared" si="28"/>
        <v/>
      </c>
      <c r="K335" s="29" t="str">
        <f t="shared" si="29"/>
        <v/>
      </c>
    </row>
    <row r="336" spans="1:11" ht="15" x14ac:dyDescent="0.25">
      <c r="A336" s="1" t="str">
        <f>IF('1.1 Produksi Bersih Padi 2025'!A336="","",'1.1 Produksi Bersih Padi 2025'!A336)</f>
        <v/>
      </c>
      <c r="B336" s="31" t="str">
        <f>IF('1.1 Produksi Bersih Padi 2025'!B336="","",'1.1 Produksi Bersih Padi 2025'!B336)</f>
        <v/>
      </c>
      <c r="C336" s="31" t="str">
        <f>IF('1.1 Produksi Bersih Padi 2025'!C336="","",'1.1 Produksi Bersih Padi 2025'!C336)</f>
        <v/>
      </c>
      <c r="D336" s="1" t="str">
        <f>IF('1.1 Produksi Bersih Padi 2025'!D336="","",'1.1 Produksi Bersih Padi 2025'!D336)</f>
        <v/>
      </c>
      <c r="E336" s="1" t="str">
        <f>IF('1.1 Produksi Bersih Padi 2025'!E336="","",'1.1 Produksi Bersih Padi 2025'!E336)</f>
        <v/>
      </c>
      <c r="F336" s="28" t="str">
        <f>IF(D336="","",VLOOKUP(D336,'[1]0.1 Produksi Pangan &amp; Penduduk'!$D$5:$AE$860,28,0))</f>
        <v/>
      </c>
      <c r="G336" s="29" t="str">
        <f t="shared" si="25"/>
        <v/>
      </c>
      <c r="H336" s="29" t="str">
        <f t="shared" si="26"/>
        <v/>
      </c>
      <c r="I336" s="29" t="str">
        <f t="shared" si="27"/>
        <v/>
      </c>
      <c r="J336" s="29" t="str">
        <f t="shared" si="28"/>
        <v/>
      </c>
      <c r="K336" s="29" t="str">
        <f t="shared" si="29"/>
        <v/>
      </c>
    </row>
    <row r="337" spans="1:11" ht="15" x14ac:dyDescent="0.25">
      <c r="A337" s="1" t="str">
        <f>IF('1.1 Produksi Bersih Padi 2025'!A337="","",'1.1 Produksi Bersih Padi 2025'!A337)</f>
        <v/>
      </c>
      <c r="B337" s="31" t="str">
        <f>IF('1.1 Produksi Bersih Padi 2025'!B337="","",'1.1 Produksi Bersih Padi 2025'!B337)</f>
        <v/>
      </c>
      <c r="C337" s="31" t="str">
        <f>IF('1.1 Produksi Bersih Padi 2025'!C337="","",'1.1 Produksi Bersih Padi 2025'!C337)</f>
        <v/>
      </c>
      <c r="D337" s="1" t="str">
        <f>IF('1.1 Produksi Bersih Padi 2025'!D337="","",'1.1 Produksi Bersih Padi 2025'!D337)</f>
        <v/>
      </c>
      <c r="E337" s="1" t="str">
        <f>IF('1.1 Produksi Bersih Padi 2025'!E337="","",'1.1 Produksi Bersih Padi 2025'!E337)</f>
        <v/>
      </c>
      <c r="F337" s="28" t="str">
        <f>IF(D337="","",VLOOKUP(D337,'[1]0.1 Produksi Pangan &amp; Penduduk'!$D$5:$AE$860,28,0))</f>
        <v/>
      </c>
      <c r="G337" s="29" t="str">
        <f t="shared" si="25"/>
        <v/>
      </c>
      <c r="H337" s="29" t="str">
        <f t="shared" si="26"/>
        <v/>
      </c>
      <c r="I337" s="29" t="str">
        <f t="shared" si="27"/>
        <v/>
      </c>
      <c r="J337" s="29" t="str">
        <f t="shared" si="28"/>
        <v/>
      </c>
      <c r="K337" s="29" t="str">
        <f t="shared" si="29"/>
        <v/>
      </c>
    </row>
    <row r="338" spans="1:11" ht="15" x14ac:dyDescent="0.25">
      <c r="A338" s="1" t="str">
        <f>IF('1.1 Produksi Bersih Padi 2025'!A338="","",'1.1 Produksi Bersih Padi 2025'!A338)</f>
        <v/>
      </c>
      <c r="B338" s="31" t="str">
        <f>IF('1.1 Produksi Bersih Padi 2025'!B338="","",'1.1 Produksi Bersih Padi 2025'!B338)</f>
        <v/>
      </c>
      <c r="C338" s="31" t="str">
        <f>IF('1.1 Produksi Bersih Padi 2025'!C338="","",'1.1 Produksi Bersih Padi 2025'!C338)</f>
        <v/>
      </c>
      <c r="D338" s="1" t="str">
        <f>IF('1.1 Produksi Bersih Padi 2025'!D338="","",'1.1 Produksi Bersih Padi 2025'!D338)</f>
        <v/>
      </c>
      <c r="E338" s="1" t="str">
        <f>IF('1.1 Produksi Bersih Padi 2025'!E338="","",'1.1 Produksi Bersih Padi 2025'!E338)</f>
        <v/>
      </c>
      <c r="F338" s="28" t="str">
        <f>IF(D338="","",VLOOKUP(D338,'[1]0.1 Produksi Pangan &amp; Penduduk'!$D$5:$AE$860,28,0))</f>
        <v/>
      </c>
      <c r="G338" s="29" t="str">
        <f t="shared" si="25"/>
        <v/>
      </c>
      <c r="H338" s="29" t="str">
        <f t="shared" si="26"/>
        <v/>
      </c>
      <c r="I338" s="29" t="str">
        <f t="shared" si="27"/>
        <v/>
      </c>
      <c r="J338" s="29" t="str">
        <f t="shared" si="28"/>
        <v/>
      </c>
      <c r="K338" s="29" t="str">
        <f t="shared" si="29"/>
        <v/>
      </c>
    </row>
    <row r="339" spans="1:11" ht="15" x14ac:dyDescent="0.25">
      <c r="A339" s="1" t="str">
        <f>IF('1.1 Produksi Bersih Padi 2025'!A339="","",'1.1 Produksi Bersih Padi 2025'!A339)</f>
        <v/>
      </c>
      <c r="B339" s="31" t="str">
        <f>IF('1.1 Produksi Bersih Padi 2025'!B339="","",'1.1 Produksi Bersih Padi 2025'!B339)</f>
        <v/>
      </c>
      <c r="C339" s="31" t="str">
        <f>IF('1.1 Produksi Bersih Padi 2025'!C339="","",'1.1 Produksi Bersih Padi 2025'!C339)</f>
        <v/>
      </c>
      <c r="D339" s="1" t="str">
        <f>IF('1.1 Produksi Bersih Padi 2025'!D339="","",'1.1 Produksi Bersih Padi 2025'!D339)</f>
        <v/>
      </c>
      <c r="E339" s="1" t="str">
        <f>IF('1.1 Produksi Bersih Padi 2025'!E339="","",'1.1 Produksi Bersih Padi 2025'!E339)</f>
        <v/>
      </c>
      <c r="F339" s="28" t="str">
        <f>IF(D339="","",VLOOKUP(D339,'[1]0.1 Produksi Pangan &amp; Penduduk'!$D$5:$AE$860,28,0))</f>
        <v/>
      </c>
      <c r="G339" s="29" t="str">
        <f t="shared" si="25"/>
        <v/>
      </c>
      <c r="H339" s="29" t="str">
        <f t="shared" si="26"/>
        <v/>
      </c>
      <c r="I339" s="29" t="str">
        <f t="shared" si="27"/>
        <v/>
      </c>
      <c r="J339" s="29" t="str">
        <f t="shared" si="28"/>
        <v/>
      </c>
      <c r="K339" s="29" t="str">
        <f t="shared" si="29"/>
        <v/>
      </c>
    </row>
    <row r="340" spans="1:11" ht="15" x14ac:dyDescent="0.25">
      <c r="A340" s="1" t="str">
        <f>IF('1.1 Produksi Bersih Padi 2025'!A340="","",'1.1 Produksi Bersih Padi 2025'!A340)</f>
        <v/>
      </c>
      <c r="B340" s="31" t="str">
        <f>IF('1.1 Produksi Bersih Padi 2025'!B340="","",'1.1 Produksi Bersih Padi 2025'!B340)</f>
        <v/>
      </c>
      <c r="C340" s="31" t="str">
        <f>IF('1.1 Produksi Bersih Padi 2025'!C340="","",'1.1 Produksi Bersih Padi 2025'!C340)</f>
        <v/>
      </c>
      <c r="D340" s="1" t="str">
        <f>IF('1.1 Produksi Bersih Padi 2025'!D340="","",'1.1 Produksi Bersih Padi 2025'!D340)</f>
        <v/>
      </c>
      <c r="E340" s="1" t="str">
        <f>IF('1.1 Produksi Bersih Padi 2025'!E340="","",'1.1 Produksi Bersih Padi 2025'!E340)</f>
        <v/>
      </c>
      <c r="F340" s="28" t="str">
        <f>IF(D340="","",VLOOKUP(D340,'[1]0.1 Produksi Pangan &amp; Penduduk'!$D$5:$AE$860,28,0))</f>
        <v/>
      </c>
      <c r="G340" s="29" t="str">
        <f t="shared" si="25"/>
        <v/>
      </c>
      <c r="H340" s="29" t="str">
        <f t="shared" si="26"/>
        <v/>
      </c>
      <c r="I340" s="29" t="str">
        <f t="shared" si="27"/>
        <v/>
      </c>
      <c r="J340" s="29" t="str">
        <f t="shared" si="28"/>
        <v/>
      </c>
      <c r="K340" s="29" t="str">
        <f t="shared" si="29"/>
        <v/>
      </c>
    </row>
    <row r="341" spans="1:11" ht="15" x14ac:dyDescent="0.25">
      <c r="A341" s="1" t="str">
        <f>IF('1.1 Produksi Bersih Padi 2025'!A341="","",'1.1 Produksi Bersih Padi 2025'!A341)</f>
        <v/>
      </c>
      <c r="B341" s="31" t="str">
        <f>IF('1.1 Produksi Bersih Padi 2025'!B341="","",'1.1 Produksi Bersih Padi 2025'!B341)</f>
        <v/>
      </c>
      <c r="C341" s="31" t="str">
        <f>IF('1.1 Produksi Bersih Padi 2025'!C341="","",'1.1 Produksi Bersih Padi 2025'!C341)</f>
        <v/>
      </c>
      <c r="D341" s="1" t="str">
        <f>IF('1.1 Produksi Bersih Padi 2025'!D341="","",'1.1 Produksi Bersih Padi 2025'!D341)</f>
        <v/>
      </c>
      <c r="E341" s="1" t="str">
        <f>IF('1.1 Produksi Bersih Padi 2025'!E341="","",'1.1 Produksi Bersih Padi 2025'!E341)</f>
        <v/>
      </c>
      <c r="F341" s="28" t="str">
        <f>IF(D341="","",VLOOKUP(D341,'[1]0.1 Produksi Pangan &amp; Penduduk'!$D$5:$AE$860,28,0))</f>
        <v/>
      </c>
      <c r="G341" s="29" t="str">
        <f t="shared" si="25"/>
        <v/>
      </c>
      <c r="H341" s="29" t="str">
        <f t="shared" si="26"/>
        <v/>
      </c>
      <c r="I341" s="29" t="str">
        <f t="shared" si="27"/>
        <v/>
      </c>
      <c r="J341" s="29" t="str">
        <f t="shared" si="28"/>
        <v/>
      </c>
      <c r="K341" s="29" t="str">
        <f t="shared" si="29"/>
        <v/>
      </c>
    </row>
    <row r="342" spans="1:11" ht="15" x14ac:dyDescent="0.25">
      <c r="A342" s="1" t="str">
        <f>IF('1.1 Produksi Bersih Padi 2025'!A342="","",'1.1 Produksi Bersih Padi 2025'!A342)</f>
        <v/>
      </c>
      <c r="B342" s="31" t="str">
        <f>IF('1.1 Produksi Bersih Padi 2025'!B342="","",'1.1 Produksi Bersih Padi 2025'!B342)</f>
        <v/>
      </c>
      <c r="C342" s="31" t="str">
        <f>IF('1.1 Produksi Bersih Padi 2025'!C342="","",'1.1 Produksi Bersih Padi 2025'!C342)</f>
        <v/>
      </c>
      <c r="D342" s="1" t="str">
        <f>IF('1.1 Produksi Bersih Padi 2025'!D342="","",'1.1 Produksi Bersih Padi 2025'!D342)</f>
        <v/>
      </c>
      <c r="E342" s="1" t="str">
        <f>IF('1.1 Produksi Bersih Padi 2025'!E342="","",'1.1 Produksi Bersih Padi 2025'!E342)</f>
        <v/>
      </c>
      <c r="F342" s="28" t="str">
        <f>IF(D342="","",VLOOKUP(D342,'[1]0.1 Produksi Pangan &amp; Penduduk'!$D$5:$AE$860,28,0))</f>
        <v/>
      </c>
      <c r="G342" s="29" t="str">
        <f t="shared" si="25"/>
        <v/>
      </c>
      <c r="H342" s="29" t="str">
        <f t="shared" si="26"/>
        <v/>
      </c>
      <c r="I342" s="29" t="str">
        <f t="shared" si="27"/>
        <v/>
      </c>
      <c r="J342" s="29" t="str">
        <f t="shared" si="28"/>
        <v/>
      </c>
      <c r="K342" s="29" t="str">
        <f t="shared" si="29"/>
        <v/>
      </c>
    </row>
    <row r="343" spans="1:11" ht="15" x14ac:dyDescent="0.25">
      <c r="A343" s="1" t="str">
        <f>IF('1.1 Produksi Bersih Padi 2025'!A343="","",'1.1 Produksi Bersih Padi 2025'!A343)</f>
        <v/>
      </c>
      <c r="B343" s="31" t="str">
        <f>IF('1.1 Produksi Bersih Padi 2025'!B343="","",'1.1 Produksi Bersih Padi 2025'!B343)</f>
        <v/>
      </c>
      <c r="C343" s="31" t="str">
        <f>IF('1.1 Produksi Bersih Padi 2025'!C343="","",'1.1 Produksi Bersih Padi 2025'!C343)</f>
        <v/>
      </c>
      <c r="D343" s="1" t="str">
        <f>IF('1.1 Produksi Bersih Padi 2025'!D343="","",'1.1 Produksi Bersih Padi 2025'!D343)</f>
        <v/>
      </c>
      <c r="E343" s="1" t="str">
        <f>IF('1.1 Produksi Bersih Padi 2025'!E343="","",'1.1 Produksi Bersih Padi 2025'!E343)</f>
        <v/>
      </c>
      <c r="F343" s="28" t="str">
        <f>IF(D343="","",VLOOKUP(D343,'[1]0.1 Produksi Pangan &amp; Penduduk'!$D$5:$AE$860,28,0))</f>
        <v/>
      </c>
      <c r="G343" s="29" t="str">
        <f t="shared" si="25"/>
        <v/>
      </c>
      <c r="H343" s="29" t="str">
        <f t="shared" si="26"/>
        <v/>
      </c>
      <c r="I343" s="29" t="str">
        <f t="shared" si="27"/>
        <v/>
      </c>
      <c r="J343" s="29" t="str">
        <f t="shared" si="28"/>
        <v/>
      </c>
      <c r="K343" s="29" t="str">
        <f t="shared" si="29"/>
        <v/>
      </c>
    </row>
    <row r="344" spans="1:11" ht="15" x14ac:dyDescent="0.25">
      <c r="A344" s="1" t="str">
        <f>IF('1.1 Produksi Bersih Padi 2025'!A344="","",'1.1 Produksi Bersih Padi 2025'!A344)</f>
        <v/>
      </c>
      <c r="B344" s="31" t="str">
        <f>IF('1.1 Produksi Bersih Padi 2025'!B344="","",'1.1 Produksi Bersih Padi 2025'!B344)</f>
        <v/>
      </c>
      <c r="C344" s="31" t="str">
        <f>IF('1.1 Produksi Bersih Padi 2025'!C344="","",'1.1 Produksi Bersih Padi 2025'!C344)</f>
        <v/>
      </c>
      <c r="D344" s="1" t="str">
        <f>IF('1.1 Produksi Bersih Padi 2025'!D344="","",'1.1 Produksi Bersih Padi 2025'!D344)</f>
        <v/>
      </c>
      <c r="E344" s="1" t="str">
        <f>IF('1.1 Produksi Bersih Padi 2025'!E344="","",'1.1 Produksi Bersih Padi 2025'!E344)</f>
        <v/>
      </c>
      <c r="F344" s="28" t="str">
        <f>IF(D344="","",VLOOKUP(D344,'[1]0.1 Produksi Pangan &amp; Penduduk'!$D$5:$AE$860,28,0))</f>
        <v/>
      </c>
      <c r="G344" s="29" t="str">
        <f t="shared" si="25"/>
        <v/>
      </c>
      <c r="H344" s="29" t="str">
        <f t="shared" si="26"/>
        <v/>
      </c>
      <c r="I344" s="29" t="str">
        <f t="shared" si="27"/>
        <v/>
      </c>
      <c r="J344" s="29" t="str">
        <f t="shared" si="28"/>
        <v/>
      </c>
      <c r="K344" s="29" t="str">
        <f t="shared" si="29"/>
        <v/>
      </c>
    </row>
    <row r="345" spans="1:11" ht="15" x14ac:dyDescent="0.25">
      <c r="A345" s="1" t="str">
        <f>IF('1.1 Produksi Bersih Padi 2025'!A345="","",'1.1 Produksi Bersih Padi 2025'!A345)</f>
        <v/>
      </c>
      <c r="B345" s="31" t="str">
        <f>IF('1.1 Produksi Bersih Padi 2025'!B345="","",'1.1 Produksi Bersih Padi 2025'!B345)</f>
        <v/>
      </c>
      <c r="C345" s="31" t="str">
        <f>IF('1.1 Produksi Bersih Padi 2025'!C345="","",'1.1 Produksi Bersih Padi 2025'!C345)</f>
        <v/>
      </c>
      <c r="D345" s="1" t="str">
        <f>IF('1.1 Produksi Bersih Padi 2025'!D345="","",'1.1 Produksi Bersih Padi 2025'!D345)</f>
        <v/>
      </c>
      <c r="E345" s="1" t="str">
        <f>IF('1.1 Produksi Bersih Padi 2025'!E345="","",'1.1 Produksi Bersih Padi 2025'!E345)</f>
        <v/>
      </c>
      <c r="F345" s="28" t="str">
        <f>IF(D345="","",VLOOKUP(D345,'[1]0.1 Produksi Pangan &amp; Penduduk'!$D$5:$AE$860,28,0))</f>
        <v/>
      </c>
      <c r="G345" s="29" t="str">
        <f t="shared" si="25"/>
        <v/>
      </c>
      <c r="H345" s="29" t="str">
        <f t="shared" si="26"/>
        <v/>
      </c>
      <c r="I345" s="29" t="str">
        <f t="shared" si="27"/>
        <v/>
      </c>
      <c r="J345" s="29" t="str">
        <f t="shared" si="28"/>
        <v/>
      </c>
      <c r="K345" s="29" t="str">
        <f t="shared" si="29"/>
        <v/>
      </c>
    </row>
    <row r="346" spans="1:11" ht="15" x14ac:dyDescent="0.25">
      <c r="A346" s="1" t="str">
        <f>IF('1.1 Produksi Bersih Padi 2025'!A346="","",'1.1 Produksi Bersih Padi 2025'!A346)</f>
        <v/>
      </c>
      <c r="B346" s="31" t="str">
        <f>IF('1.1 Produksi Bersih Padi 2025'!B346="","",'1.1 Produksi Bersih Padi 2025'!B346)</f>
        <v/>
      </c>
      <c r="C346" s="31" t="str">
        <f>IF('1.1 Produksi Bersih Padi 2025'!C346="","",'1.1 Produksi Bersih Padi 2025'!C346)</f>
        <v/>
      </c>
      <c r="D346" s="1" t="str">
        <f>IF('1.1 Produksi Bersih Padi 2025'!D346="","",'1.1 Produksi Bersih Padi 2025'!D346)</f>
        <v/>
      </c>
      <c r="E346" s="1" t="str">
        <f>IF('1.1 Produksi Bersih Padi 2025'!E346="","",'1.1 Produksi Bersih Padi 2025'!E346)</f>
        <v/>
      </c>
      <c r="F346" s="28" t="str">
        <f>IF(D346="","",VLOOKUP(D346,'[1]0.1 Produksi Pangan &amp; Penduduk'!$D$5:$AE$860,28,0))</f>
        <v/>
      </c>
      <c r="G346" s="29" t="str">
        <f t="shared" si="25"/>
        <v/>
      </c>
      <c r="H346" s="29" t="str">
        <f t="shared" si="26"/>
        <v/>
      </c>
      <c r="I346" s="29" t="str">
        <f t="shared" si="27"/>
        <v/>
      </c>
      <c r="J346" s="29" t="str">
        <f t="shared" si="28"/>
        <v/>
      </c>
      <c r="K346" s="29" t="str">
        <f t="shared" si="29"/>
        <v/>
      </c>
    </row>
    <row r="347" spans="1:11" ht="15" x14ac:dyDescent="0.25">
      <c r="A347" s="1" t="str">
        <f>IF('1.1 Produksi Bersih Padi 2025'!A347="","",'1.1 Produksi Bersih Padi 2025'!A347)</f>
        <v/>
      </c>
      <c r="B347" s="31" t="str">
        <f>IF('1.1 Produksi Bersih Padi 2025'!B347="","",'1.1 Produksi Bersih Padi 2025'!B347)</f>
        <v/>
      </c>
      <c r="C347" s="31" t="str">
        <f>IF('1.1 Produksi Bersih Padi 2025'!C347="","",'1.1 Produksi Bersih Padi 2025'!C347)</f>
        <v/>
      </c>
      <c r="D347" s="1" t="str">
        <f>IF('1.1 Produksi Bersih Padi 2025'!D347="","",'1.1 Produksi Bersih Padi 2025'!D347)</f>
        <v/>
      </c>
      <c r="E347" s="1" t="str">
        <f>IF('1.1 Produksi Bersih Padi 2025'!E347="","",'1.1 Produksi Bersih Padi 2025'!E347)</f>
        <v/>
      </c>
      <c r="F347" s="28" t="str">
        <f>IF(D347="","",VLOOKUP(D347,'[1]0.1 Produksi Pangan &amp; Penduduk'!$D$5:$AE$860,28,0))</f>
        <v/>
      </c>
      <c r="G347" s="29" t="str">
        <f t="shared" si="25"/>
        <v/>
      </c>
      <c r="H347" s="29" t="str">
        <f t="shared" si="26"/>
        <v/>
      </c>
      <c r="I347" s="29" t="str">
        <f t="shared" si="27"/>
        <v/>
      </c>
      <c r="J347" s="29" t="str">
        <f t="shared" si="28"/>
        <v/>
      </c>
      <c r="K347" s="29" t="str">
        <f t="shared" si="29"/>
        <v/>
      </c>
    </row>
    <row r="348" spans="1:11" ht="15" x14ac:dyDescent="0.25">
      <c r="A348" s="1" t="str">
        <f>IF('1.1 Produksi Bersih Padi 2025'!A348="","",'1.1 Produksi Bersih Padi 2025'!A348)</f>
        <v/>
      </c>
      <c r="B348" s="31" t="str">
        <f>IF('1.1 Produksi Bersih Padi 2025'!B348="","",'1.1 Produksi Bersih Padi 2025'!B348)</f>
        <v/>
      </c>
      <c r="C348" s="31" t="str">
        <f>IF('1.1 Produksi Bersih Padi 2025'!C348="","",'1.1 Produksi Bersih Padi 2025'!C348)</f>
        <v/>
      </c>
      <c r="D348" s="1" t="str">
        <f>IF('1.1 Produksi Bersih Padi 2025'!D348="","",'1.1 Produksi Bersih Padi 2025'!D348)</f>
        <v/>
      </c>
      <c r="E348" s="1" t="str">
        <f>IF('1.1 Produksi Bersih Padi 2025'!E348="","",'1.1 Produksi Bersih Padi 2025'!E348)</f>
        <v/>
      </c>
      <c r="F348" s="28" t="str">
        <f>IF(D348="","",VLOOKUP(D348,'[1]0.1 Produksi Pangan &amp; Penduduk'!$D$5:$AE$860,28,0))</f>
        <v/>
      </c>
      <c r="G348" s="29" t="str">
        <f t="shared" si="25"/>
        <v/>
      </c>
      <c r="H348" s="29" t="str">
        <f t="shared" si="26"/>
        <v/>
      </c>
      <c r="I348" s="29" t="str">
        <f t="shared" si="27"/>
        <v/>
      </c>
      <c r="J348" s="29" t="str">
        <f t="shared" si="28"/>
        <v/>
      </c>
      <c r="K348" s="29" t="str">
        <f t="shared" si="29"/>
        <v/>
      </c>
    </row>
    <row r="349" spans="1:11" ht="15" x14ac:dyDescent="0.25">
      <c r="A349" s="1" t="str">
        <f>IF('1.1 Produksi Bersih Padi 2025'!A349="","",'1.1 Produksi Bersih Padi 2025'!A349)</f>
        <v/>
      </c>
      <c r="B349" s="31" t="str">
        <f>IF('1.1 Produksi Bersih Padi 2025'!B349="","",'1.1 Produksi Bersih Padi 2025'!B349)</f>
        <v/>
      </c>
      <c r="C349" s="31" t="str">
        <f>IF('1.1 Produksi Bersih Padi 2025'!C349="","",'1.1 Produksi Bersih Padi 2025'!C349)</f>
        <v/>
      </c>
      <c r="D349" s="1" t="str">
        <f>IF('1.1 Produksi Bersih Padi 2025'!D349="","",'1.1 Produksi Bersih Padi 2025'!D349)</f>
        <v/>
      </c>
      <c r="E349" s="1" t="str">
        <f>IF('1.1 Produksi Bersih Padi 2025'!E349="","",'1.1 Produksi Bersih Padi 2025'!E349)</f>
        <v/>
      </c>
      <c r="F349" s="28" t="str">
        <f>IF(D349="","",VLOOKUP(D349,'[1]0.1 Produksi Pangan &amp; Penduduk'!$D$5:$AE$860,28,0))</f>
        <v/>
      </c>
      <c r="G349" s="29" t="str">
        <f t="shared" si="25"/>
        <v/>
      </c>
      <c r="H349" s="29" t="str">
        <f t="shared" si="26"/>
        <v/>
      </c>
      <c r="I349" s="29" t="str">
        <f t="shared" si="27"/>
        <v/>
      </c>
      <c r="J349" s="29" t="str">
        <f t="shared" si="28"/>
        <v/>
      </c>
      <c r="K349" s="29" t="str">
        <f t="shared" si="29"/>
        <v/>
      </c>
    </row>
    <row r="350" spans="1:11" ht="15" x14ac:dyDescent="0.25">
      <c r="A350" s="1" t="str">
        <f>IF('1.1 Produksi Bersih Padi 2025'!A350="","",'1.1 Produksi Bersih Padi 2025'!A350)</f>
        <v/>
      </c>
      <c r="B350" s="31" t="str">
        <f>IF('1.1 Produksi Bersih Padi 2025'!B350="","",'1.1 Produksi Bersih Padi 2025'!B350)</f>
        <v/>
      </c>
      <c r="C350" s="31" t="str">
        <f>IF('1.1 Produksi Bersih Padi 2025'!C350="","",'1.1 Produksi Bersih Padi 2025'!C350)</f>
        <v/>
      </c>
      <c r="D350" s="1" t="str">
        <f>IF('1.1 Produksi Bersih Padi 2025'!D350="","",'1.1 Produksi Bersih Padi 2025'!D350)</f>
        <v/>
      </c>
      <c r="E350" s="1" t="str">
        <f>IF('1.1 Produksi Bersih Padi 2025'!E350="","",'1.1 Produksi Bersih Padi 2025'!E350)</f>
        <v/>
      </c>
      <c r="F350" s="28" t="str">
        <f>IF(D350="","",VLOOKUP(D350,'[1]0.1 Produksi Pangan &amp; Penduduk'!$D$5:$AE$860,28,0))</f>
        <v/>
      </c>
      <c r="G350" s="29" t="str">
        <f t="shared" si="25"/>
        <v/>
      </c>
      <c r="H350" s="29" t="str">
        <f t="shared" si="26"/>
        <v/>
      </c>
      <c r="I350" s="29" t="str">
        <f t="shared" si="27"/>
        <v/>
      </c>
      <c r="J350" s="29" t="str">
        <f t="shared" si="28"/>
        <v/>
      </c>
      <c r="K350" s="29" t="str">
        <f t="shared" si="29"/>
        <v/>
      </c>
    </row>
    <row r="351" spans="1:11" ht="15" x14ac:dyDescent="0.25">
      <c r="A351" s="1" t="str">
        <f>IF('1.1 Produksi Bersih Padi 2025'!A351="","",'1.1 Produksi Bersih Padi 2025'!A351)</f>
        <v/>
      </c>
      <c r="B351" s="31" t="str">
        <f>IF('1.1 Produksi Bersih Padi 2025'!B351="","",'1.1 Produksi Bersih Padi 2025'!B351)</f>
        <v/>
      </c>
      <c r="C351" s="31" t="str">
        <f>IF('1.1 Produksi Bersih Padi 2025'!C351="","",'1.1 Produksi Bersih Padi 2025'!C351)</f>
        <v/>
      </c>
      <c r="D351" s="1" t="str">
        <f>IF('1.1 Produksi Bersih Padi 2025'!D351="","",'1.1 Produksi Bersih Padi 2025'!D351)</f>
        <v/>
      </c>
      <c r="E351" s="1" t="str">
        <f>IF('1.1 Produksi Bersih Padi 2025'!E351="","",'1.1 Produksi Bersih Padi 2025'!E351)</f>
        <v/>
      </c>
      <c r="F351" s="28" t="str">
        <f>IF(D351="","",VLOOKUP(D351,'[1]0.1 Produksi Pangan &amp; Penduduk'!$D$5:$AE$860,28,0))</f>
        <v/>
      </c>
      <c r="G351" s="29" t="str">
        <f t="shared" si="25"/>
        <v/>
      </c>
      <c r="H351" s="29" t="str">
        <f t="shared" si="26"/>
        <v/>
      </c>
      <c r="I351" s="29" t="str">
        <f t="shared" si="27"/>
        <v/>
      </c>
      <c r="J351" s="29" t="str">
        <f t="shared" si="28"/>
        <v/>
      </c>
      <c r="K351" s="29" t="str">
        <f t="shared" si="29"/>
        <v/>
      </c>
    </row>
    <row r="352" spans="1:11" ht="15" x14ac:dyDescent="0.25">
      <c r="A352" s="1" t="str">
        <f>IF('1.1 Produksi Bersih Padi 2025'!A352="","",'1.1 Produksi Bersih Padi 2025'!A352)</f>
        <v/>
      </c>
      <c r="B352" s="31" t="str">
        <f>IF('1.1 Produksi Bersih Padi 2025'!B352="","",'1.1 Produksi Bersih Padi 2025'!B352)</f>
        <v/>
      </c>
      <c r="C352" s="31" t="str">
        <f>IF('1.1 Produksi Bersih Padi 2025'!C352="","",'1.1 Produksi Bersih Padi 2025'!C352)</f>
        <v/>
      </c>
      <c r="D352" s="1" t="str">
        <f>IF('1.1 Produksi Bersih Padi 2025'!D352="","",'1.1 Produksi Bersih Padi 2025'!D352)</f>
        <v/>
      </c>
      <c r="E352" s="1" t="str">
        <f>IF('1.1 Produksi Bersih Padi 2025'!E352="","",'1.1 Produksi Bersih Padi 2025'!E352)</f>
        <v/>
      </c>
      <c r="F352" s="28" t="str">
        <f>IF(D352="","",VLOOKUP(D352,'[1]0.1 Produksi Pangan &amp; Penduduk'!$D$5:$AE$860,28,0))</f>
        <v/>
      </c>
      <c r="G352" s="29" t="str">
        <f t="shared" si="25"/>
        <v/>
      </c>
      <c r="H352" s="29" t="str">
        <f t="shared" si="26"/>
        <v/>
      </c>
      <c r="I352" s="29" t="str">
        <f t="shared" si="27"/>
        <v/>
      </c>
      <c r="J352" s="29" t="str">
        <f t="shared" si="28"/>
        <v/>
      </c>
      <c r="K352" s="29" t="str">
        <f t="shared" si="29"/>
        <v/>
      </c>
    </row>
    <row r="353" spans="1:11" ht="15" x14ac:dyDescent="0.25">
      <c r="A353" s="1" t="str">
        <f>IF('1.1 Produksi Bersih Padi 2025'!A353="","",'1.1 Produksi Bersih Padi 2025'!A353)</f>
        <v/>
      </c>
      <c r="B353" s="31" t="str">
        <f>IF('1.1 Produksi Bersih Padi 2025'!B353="","",'1.1 Produksi Bersih Padi 2025'!B353)</f>
        <v/>
      </c>
      <c r="C353" s="31" t="str">
        <f>IF('1.1 Produksi Bersih Padi 2025'!C353="","",'1.1 Produksi Bersih Padi 2025'!C353)</f>
        <v/>
      </c>
      <c r="D353" s="1" t="str">
        <f>IF('1.1 Produksi Bersih Padi 2025'!D353="","",'1.1 Produksi Bersih Padi 2025'!D353)</f>
        <v/>
      </c>
      <c r="E353" s="1" t="str">
        <f>IF('1.1 Produksi Bersih Padi 2025'!E353="","",'1.1 Produksi Bersih Padi 2025'!E353)</f>
        <v/>
      </c>
      <c r="F353" s="28" t="str">
        <f>IF(D353="","",VLOOKUP(D353,'[1]0.1 Produksi Pangan &amp; Penduduk'!$D$5:$AE$860,28,0))</f>
        <v/>
      </c>
      <c r="G353" s="29" t="str">
        <f t="shared" si="25"/>
        <v/>
      </c>
      <c r="H353" s="29" t="str">
        <f t="shared" si="26"/>
        <v/>
      </c>
      <c r="I353" s="29" t="str">
        <f t="shared" si="27"/>
        <v/>
      </c>
      <c r="J353" s="29" t="str">
        <f t="shared" si="28"/>
        <v/>
      </c>
      <c r="K353" s="29" t="str">
        <f t="shared" si="29"/>
        <v/>
      </c>
    </row>
    <row r="354" spans="1:11" ht="15" x14ac:dyDescent="0.25">
      <c r="A354" s="1" t="str">
        <f>IF('1.1 Produksi Bersih Padi 2025'!A354="","",'1.1 Produksi Bersih Padi 2025'!A354)</f>
        <v/>
      </c>
      <c r="B354" s="31" t="str">
        <f>IF('1.1 Produksi Bersih Padi 2025'!B354="","",'1.1 Produksi Bersih Padi 2025'!B354)</f>
        <v/>
      </c>
      <c r="C354" s="31" t="str">
        <f>IF('1.1 Produksi Bersih Padi 2025'!C354="","",'1.1 Produksi Bersih Padi 2025'!C354)</f>
        <v/>
      </c>
      <c r="D354" s="1" t="str">
        <f>IF('1.1 Produksi Bersih Padi 2025'!D354="","",'1.1 Produksi Bersih Padi 2025'!D354)</f>
        <v/>
      </c>
      <c r="E354" s="1" t="str">
        <f>IF('1.1 Produksi Bersih Padi 2025'!E354="","",'1.1 Produksi Bersih Padi 2025'!E354)</f>
        <v/>
      </c>
      <c r="F354" s="28" t="str">
        <f>IF(D354="","",VLOOKUP(D354,'[1]0.1 Produksi Pangan &amp; Penduduk'!$D$5:$AE$860,28,0))</f>
        <v/>
      </c>
      <c r="G354" s="29" t="str">
        <f t="shared" si="25"/>
        <v/>
      </c>
      <c r="H354" s="29" t="str">
        <f t="shared" si="26"/>
        <v/>
      </c>
      <c r="I354" s="29" t="str">
        <f t="shared" si="27"/>
        <v/>
      </c>
      <c r="J354" s="29" t="str">
        <f t="shared" si="28"/>
        <v/>
      </c>
      <c r="K354" s="29" t="str">
        <f t="shared" si="29"/>
        <v/>
      </c>
    </row>
    <row r="355" spans="1:11" ht="15" x14ac:dyDescent="0.25">
      <c r="A355" s="1" t="str">
        <f>IF('1.1 Produksi Bersih Padi 2025'!A355="","",'1.1 Produksi Bersih Padi 2025'!A355)</f>
        <v/>
      </c>
      <c r="B355" s="31" t="str">
        <f>IF('1.1 Produksi Bersih Padi 2025'!B355="","",'1.1 Produksi Bersih Padi 2025'!B355)</f>
        <v/>
      </c>
      <c r="C355" s="31" t="str">
        <f>IF('1.1 Produksi Bersih Padi 2025'!C355="","",'1.1 Produksi Bersih Padi 2025'!C355)</f>
        <v/>
      </c>
      <c r="D355" s="1" t="str">
        <f>IF('1.1 Produksi Bersih Padi 2025'!D355="","",'1.1 Produksi Bersih Padi 2025'!D355)</f>
        <v/>
      </c>
      <c r="E355" s="1" t="str">
        <f>IF('1.1 Produksi Bersih Padi 2025'!E355="","",'1.1 Produksi Bersih Padi 2025'!E355)</f>
        <v/>
      </c>
      <c r="F355" s="28" t="str">
        <f>IF(D355="","",VLOOKUP(D355,'[1]0.1 Produksi Pangan &amp; Penduduk'!$D$5:$AE$860,28,0))</f>
        <v/>
      </c>
      <c r="G355" s="29" t="str">
        <f t="shared" si="25"/>
        <v/>
      </c>
      <c r="H355" s="29" t="str">
        <f t="shared" si="26"/>
        <v/>
      </c>
      <c r="I355" s="29" t="str">
        <f t="shared" si="27"/>
        <v/>
      </c>
      <c r="J355" s="29" t="str">
        <f t="shared" si="28"/>
        <v/>
      </c>
      <c r="K355" s="29" t="str">
        <f t="shared" si="29"/>
        <v/>
      </c>
    </row>
    <row r="356" spans="1:11" ht="15" x14ac:dyDescent="0.25">
      <c r="A356" s="1" t="str">
        <f>IF('1.1 Produksi Bersih Padi 2025'!A356="","",'1.1 Produksi Bersih Padi 2025'!A356)</f>
        <v/>
      </c>
      <c r="B356" s="31" t="str">
        <f>IF('1.1 Produksi Bersih Padi 2025'!B356="","",'1.1 Produksi Bersih Padi 2025'!B356)</f>
        <v/>
      </c>
      <c r="C356" s="31" t="str">
        <f>IF('1.1 Produksi Bersih Padi 2025'!C356="","",'1.1 Produksi Bersih Padi 2025'!C356)</f>
        <v/>
      </c>
      <c r="D356" s="1" t="str">
        <f>IF('1.1 Produksi Bersih Padi 2025'!D356="","",'1.1 Produksi Bersih Padi 2025'!D356)</f>
        <v/>
      </c>
      <c r="E356" s="1" t="str">
        <f>IF('1.1 Produksi Bersih Padi 2025'!E356="","",'1.1 Produksi Bersih Padi 2025'!E356)</f>
        <v/>
      </c>
      <c r="F356" s="28" t="str">
        <f>IF(D356="","",VLOOKUP(D356,'[1]0.1 Produksi Pangan &amp; Penduduk'!$D$5:$AE$860,28,0))</f>
        <v/>
      </c>
      <c r="G356" s="29" t="str">
        <f t="shared" si="25"/>
        <v/>
      </c>
      <c r="H356" s="29" t="str">
        <f t="shared" si="26"/>
        <v/>
      </c>
      <c r="I356" s="29" t="str">
        <f t="shared" si="27"/>
        <v/>
      </c>
      <c r="J356" s="29" t="str">
        <f t="shared" si="28"/>
        <v/>
      </c>
      <c r="K356" s="29" t="str">
        <f t="shared" si="29"/>
        <v/>
      </c>
    </row>
    <row r="357" spans="1:11" ht="15" x14ac:dyDescent="0.25">
      <c r="A357" s="1" t="str">
        <f>IF('1.1 Produksi Bersih Padi 2025'!A357="","",'1.1 Produksi Bersih Padi 2025'!A357)</f>
        <v/>
      </c>
      <c r="B357" s="31" t="str">
        <f>IF('1.1 Produksi Bersih Padi 2025'!B357="","",'1.1 Produksi Bersih Padi 2025'!B357)</f>
        <v/>
      </c>
      <c r="C357" s="31" t="str">
        <f>IF('1.1 Produksi Bersih Padi 2025'!C357="","",'1.1 Produksi Bersih Padi 2025'!C357)</f>
        <v/>
      </c>
      <c r="D357" s="1" t="str">
        <f>IF('1.1 Produksi Bersih Padi 2025'!D357="","",'1.1 Produksi Bersih Padi 2025'!D357)</f>
        <v/>
      </c>
      <c r="E357" s="1" t="str">
        <f>IF('1.1 Produksi Bersih Padi 2025'!E357="","",'1.1 Produksi Bersih Padi 2025'!E357)</f>
        <v/>
      </c>
      <c r="F357" s="28" t="str">
        <f>IF(D357="","",VLOOKUP(D357,'[1]0.1 Produksi Pangan &amp; Penduduk'!$D$5:$AE$860,28,0))</f>
        <v/>
      </c>
      <c r="G357" s="29" t="str">
        <f t="shared" si="25"/>
        <v/>
      </c>
      <c r="H357" s="29" t="str">
        <f t="shared" si="26"/>
        <v/>
      </c>
      <c r="I357" s="29" t="str">
        <f t="shared" si="27"/>
        <v/>
      </c>
      <c r="J357" s="29" t="str">
        <f t="shared" si="28"/>
        <v/>
      </c>
      <c r="K357" s="29" t="str">
        <f t="shared" si="29"/>
        <v/>
      </c>
    </row>
    <row r="358" spans="1:11" ht="15" x14ac:dyDescent="0.25">
      <c r="A358" s="1" t="str">
        <f>IF('1.1 Produksi Bersih Padi 2025'!A358="","",'1.1 Produksi Bersih Padi 2025'!A358)</f>
        <v/>
      </c>
      <c r="B358" s="31" t="str">
        <f>IF('1.1 Produksi Bersih Padi 2025'!B358="","",'1.1 Produksi Bersih Padi 2025'!B358)</f>
        <v/>
      </c>
      <c r="C358" s="31" t="str">
        <f>IF('1.1 Produksi Bersih Padi 2025'!C358="","",'1.1 Produksi Bersih Padi 2025'!C358)</f>
        <v/>
      </c>
      <c r="D358" s="1" t="str">
        <f>IF('1.1 Produksi Bersih Padi 2025'!D358="","",'1.1 Produksi Bersih Padi 2025'!D358)</f>
        <v/>
      </c>
      <c r="E358" s="1" t="str">
        <f>IF('1.1 Produksi Bersih Padi 2025'!E358="","",'1.1 Produksi Bersih Padi 2025'!E358)</f>
        <v/>
      </c>
      <c r="F358" s="28" t="str">
        <f>IF(D358="","",VLOOKUP(D358,'[1]0.1 Produksi Pangan &amp; Penduduk'!$D$5:$AE$860,28,0))</f>
        <v/>
      </c>
      <c r="G358" s="29" t="str">
        <f t="shared" si="25"/>
        <v/>
      </c>
      <c r="H358" s="29" t="str">
        <f t="shared" si="26"/>
        <v/>
      </c>
      <c r="I358" s="29" t="str">
        <f t="shared" si="27"/>
        <v/>
      </c>
      <c r="J358" s="29" t="str">
        <f t="shared" si="28"/>
        <v/>
      </c>
      <c r="K358" s="29" t="str">
        <f t="shared" si="29"/>
        <v/>
      </c>
    </row>
    <row r="359" spans="1:11" ht="15" x14ac:dyDescent="0.25">
      <c r="A359" s="1" t="str">
        <f>IF('1.1 Produksi Bersih Padi 2025'!A359="","",'1.1 Produksi Bersih Padi 2025'!A359)</f>
        <v/>
      </c>
      <c r="B359" s="31" t="str">
        <f>IF('1.1 Produksi Bersih Padi 2025'!B359="","",'1.1 Produksi Bersih Padi 2025'!B359)</f>
        <v/>
      </c>
      <c r="C359" s="31" t="str">
        <f>IF('1.1 Produksi Bersih Padi 2025'!C359="","",'1.1 Produksi Bersih Padi 2025'!C359)</f>
        <v/>
      </c>
      <c r="D359" s="1" t="str">
        <f>IF('1.1 Produksi Bersih Padi 2025'!D359="","",'1.1 Produksi Bersih Padi 2025'!D359)</f>
        <v/>
      </c>
      <c r="E359" s="1" t="str">
        <f>IF('1.1 Produksi Bersih Padi 2025'!E359="","",'1.1 Produksi Bersih Padi 2025'!E359)</f>
        <v/>
      </c>
      <c r="F359" s="28" t="str">
        <f>IF(D359="","",VLOOKUP(D359,'[1]0.1 Produksi Pangan &amp; Penduduk'!$D$5:$AE$860,28,0))</f>
        <v/>
      </c>
      <c r="G359" s="29" t="str">
        <f t="shared" si="25"/>
        <v/>
      </c>
      <c r="H359" s="29" t="str">
        <f t="shared" si="26"/>
        <v/>
      </c>
      <c r="I359" s="29" t="str">
        <f t="shared" si="27"/>
        <v/>
      </c>
      <c r="J359" s="29" t="str">
        <f t="shared" si="28"/>
        <v/>
      </c>
      <c r="K359" s="29" t="str">
        <f t="shared" si="29"/>
        <v/>
      </c>
    </row>
    <row r="360" spans="1:11" ht="15" x14ac:dyDescent="0.25">
      <c r="A360" s="1" t="str">
        <f>IF('1.1 Produksi Bersih Padi 2025'!A360="","",'1.1 Produksi Bersih Padi 2025'!A360)</f>
        <v/>
      </c>
      <c r="B360" s="31" t="str">
        <f>IF('1.1 Produksi Bersih Padi 2025'!B360="","",'1.1 Produksi Bersih Padi 2025'!B360)</f>
        <v/>
      </c>
      <c r="C360" s="31" t="str">
        <f>IF('1.1 Produksi Bersih Padi 2025'!C360="","",'1.1 Produksi Bersih Padi 2025'!C360)</f>
        <v/>
      </c>
      <c r="D360" s="1" t="str">
        <f>IF('1.1 Produksi Bersih Padi 2025'!D360="","",'1.1 Produksi Bersih Padi 2025'!D360)</f>
        <v/>
      </c>
      <c r="E360" s="1" t="str">
        <f>IF('1.1 Produksi Bersih Padi 2025'!E360="","",'1.1 Produksi Bersih Padi 2025'!E360)</f>
        <v/>
      </c>
      <c r="F360" s="28" t="str">
        <f>IF(D360="","",VLOOKUP(D360,'[1]0.1 Produksi Pangan &amp; Penduduk'!$D$5:$AE$860,28,0))</f>
        <v/>
      </c>
      <c r="G360" s="29" t="str">
        <f t="shared" si="25"/>
        <v/>
      </c>
      <c r="H360" s="29" t="str">
        <f t="shared" si="26"/>
        <v/>
      </c>
      <c r="I360" s="29" t="str">
        <f t="shared" si="27"/>
        <v/>
      </c>
      <c r="J360" s="29" t="str">
        <f t="shared" si="28"/>
        <v/>
      </c>
      <c r="K360" s="29" t="str">
        <f t="shared" si="29"/>
        <v/>
      </c>
    </row>
    <row r="361" spans="1:11" ht="15" x14ac:dyDescent="0.25">
      <c r="A361" s="1" t="str">
        <f>IF('1.1 Produksi Bersih Padi 2025'!A361="","",'1.1 Produksi Bersih Padi 2025'!A361)</f>
        <v/>
      </c>
      <c r="B361" s="31" t="str">
        <f>IF('1.1 Produksi Bersih Padi 2025'!B361="","",'1.1 Produksi Bersih Padi 2025'!B361)</f>
        <v/>
      </c>
      <c r="C361" s="31" t="str">
        <f>IF('1.1 Produksi Bersih Padi 2025'!C361="","",'1.1 Produksi Bersih Padi 2025'!C361)</f>
        <v/>
      </c>
      <c r="D361" s="1" t="str">
        <f>IF('1.1 Produksi Bersih Padi 2025'!D361="","",'1.1 Produksi Bersih Padi 2025'!D361)</f>
        <v/>
      </c>
      <c r="E361" s="1" t="str">
        <f>IF('1.1 Produksi Bersih Padi 2025'!E361="","",'1.1 Produksi Bersih Padi 2025'!E361)</f>
        <v/>
      </c>
      <c r="F361" s="28" t="str">
        <f>IF(D361="","",VLOOKUP(D361,'[1]0.1 Produksi Pangan &amp; Penduduk'!$D$5:$AE$860,28,0))</f>
        <v/>
      </c>
      <c r="G361" s="29" t="str">
        <f t="shared" si="25"/>
        <v/>
      </c>
      <c r="H361" s="29" t="str">
        <f t="shared" si="26"/>
        <v/>
      </c>
      <c r="I361" s="29" t="str">
        <f t="shared" si="27"/>
        <v/>
      </c>
      <c r="J361" s="29" t="str">
        <f t="shared" si="28"/>
        <v/>
      </c>
      <c r="K361" s="29" t="str">
        <f t="shared" si="29"/>
        <v/>
      </c>
    </row>
    <row r="362" spans="1:11" ht="15" x14ac:dyDescent="0.25">
      <c r="A362" s="1" t="str">
        <f>IF('1.1 Produksi Bersih Padi 2025'!A362="","",'1.1 Produksi Bersih Padi 2025'!A362)</f>
        <v/>
      </c>
      <c r="B362" s="31" t="str">
        <f>IF('1.1 Produksi Bersih Padi 2025'!B362="","",'1.1 Produksi Bersih Padi 2025'!B362)</f>
        <v/>
      </c>
      <c r="C362" s="31" t="str">
        <f>IF('1.1 Produksi Bersih Padi 2025'!C362="","",'1.1 Produksi Bersih Padi 2025'!C362)</f>
        <v/>
      </c>
      <c r="D362" s="1" t="str">
        <f>IF('1.1 Produksi Bersih Padi 2025'!D362="","",'1.1 Produksi Bersih Padi 2025'!D362)</f>
        <v/>
      </c>
      <c r="E362" s="1" t="str">
        <f>IF('1.1 Produksi Bersih Padi 2025'!E362="","",'1.1 Produksi Bersih Padi 2025'!E362)</f>
        <v/>
      </c>
      <c r="F362" s="28" t="str">
        <f>IF(D362="","",VLOOKUP(D362,'[1]0.1 Produksi Pangan &amp; Penduduk'!$D$5:$AE$860,28,0))</f>
        <v/>
      </c>
      <c r="G362" s="29" t="str">
        <f t="shared" si="25"/>
        <v/>
      </c>
      <c r="H362" s="29" t="str">
        <f t="shared" si="26"/>
        <v/>
      </c>
      <c r="I362" s="29" t="str">
        <f t="shared" si="27"/>
        <v/>
      </c>
      <c r="J362" s="29" t="str">
        <f t="shared" si="28"/>
        <v/>
      </c>
      <c r="K362" s="29" t="str">
        <f t="shared" si="29"/>
        <v/>
      </c>
    </row>
    <row r="363" spans="1:11" ht="15" x14ac:dyDescent="0.25">
      <c r="A363" s="1" t="str">
        <f>IF('1.1 Produksi Bersih Padi 2025'!A363="","",'1.1 Produksi Bersih Padi 2025'!A363)</f>
        <v/>
      </c>
      <c r="B363" s="31" t="str">
        <f>IF('1.1 Produksi Bersih Padi 2025'!B363="","",'1.1 Produksi Bersih Padi 2025'!B363)</f>
        <v/>
      </c>
      <c r="C363" s="31" t="str">
        <f>IF('1.1 Produksi Bersih Padi 2025'!C363="","",'1.1 Produksi Bersih Padi 2025'!C363)</f>
        <v/>
      </c>
      <c r="D363" s="1" t="str">
        <f>IF('1.1 Produksi Bersih Padi 2025'!D363="","",'1.1 Produksi Bersih Padi 2025'!D363)</f>
        <v/>
      </c>
      <c r="E363" s="1" t="str">
        <f>IF('1.1 Produksi Bersih Padi 2025'!E363="","",'1.1 Produksi Bersih Padi 2025'!E363)</f>
        <v/>
      </c>
      <c r="F363" s="28" t="str">
        <f>IF(D363="","",VLOOKUP(D363,'[1]0.1 Produksi Pangan &amp; Penduduk'!$D$5:$AE$860,28,0))</f>
        <v/>
      </c>
      <c r="G363" s="29" t="str">
        <f t="shared" si="25"/>
        <v/>
      </c>
      <c r="H363" s="29" t="str">
        <f t="shared" si="26"/>
        <v/>
      </c>
      <c r="I363" s="29" t="str">
        <f t="shared" si="27"/>
        <v/>
      </c>
      <c r="J363" s="29" t="str">
        <f t="shared" si="28"/>
        <v/>
      </c>
      <c r="K363" s="29" t="str">
        <f t="shared" si="29"/>
        <v/>
      </c>
    </row>
    <row r="364" spans="1:11" ht="15" x14ac:dyDescent="0.25">
      <c r="A364" s="1" t="str">
        <f>IF('1.1 Produksi Bersih Padi 2025'!A364="","",'1.1 Produksi Bersih Padi 2025'!A364)</f>
        <v/>
      </c>
      <c r="B364" s="31" t="str">
        <f>IF('1.1 Produksi Bersih Padi 2025'!B364="","",'1.1 Produksi Bersih Padi 2025'!B364)</f>
        <v/>
      </c>
      <c r="C364" s="31" t="str">
        <f>IF('1.1 Produksi Bersih Padi 2025'!C364="","",'1.1 Produksi Bersih Padi 2025'!C364)</f>
        <v/>
      </c>
      <c r="D364" s="1" t="str">
        <f>IF('1.1 Produksi Bersih Padi 2025'!D364="","",'1.1 Produksi Bersih Padi 2025'!D364)</f>
        <v/>
      </c>
      <c r="E364" s="1" t="str">
        <f>IF('1.1 Produksi Bersih Padi 2025'!E364="","",'1.1 Produksi Bersih Padi 2025'!E364)</f>
        <v/>
      </c>
      <c r="F364" s="28" t="str">
        <f>IF(D364="","",VLOOKUP(D364,'[1]0.1 Produksi Pangan &amp; Penduduk'!$D$5:$AE$860,28,0))</f>
        <v/>
      </c>
      <c r="G364" s="29" t="str">
        <f t="shared" si="25"/>
        <v/>
      </c>
      <c r="H364" s="29" t="str">
        <f t="shared" si="26"/>
        <v/>
      </c>
      <c r="I364" s="29" t="str">
        <f t="shared" si="27"/>
        <v/>
      </c>
      <c r="J364" s="29" t="str">
        <f t="shared" si="28"/>
        <v/>
      </c>
      <c r="K364" s="29" t="str">
        <f t="shared" si="29"/>
        <v/>
      </c>
    </row>
    <row r="365" spans="1:11" ht="15" x14ac:dyDescent="0.25">
      <c r="A365" s="1" t="str">
        <f>IF('1.1 Produksi Bersih Padi 2025'!A365="","",'1.1 Produksi Bersih Padi 2025'!A365)</f>
        <v/>
      </c>
      <c r="B365" s="31" t="str">
        <f>IF('1.1 Produksi Bersih Padi 2025'!B365="","",'1.1 Produksi Bersih Padi 2025'!B365)</f>
        <v/>
      </c>
      <c r="C365" s="31" t="str">
        <f>IF('1.1 Produksi Bersih Padi 2025'!C365="","",'1.1 Produksi Bersih Padi 2025'!C365)</f>
        <v/>
      </c>
      <c r="D365" s="1" t="str">
        <f>IF('1.1 Produksi Bersih Padi 2025'!D365="","",'1.1 Produksi Bersih Padi 2025'!D365)</f>
        <v/>
      </c>
      <c r="E365" s="1" t="str">
        <f>IF('1.1 Produksi Bersih Padi 2025'!E365="","",'1.1 Produksi Bersih Padi 2025'!E365)</f>
        <v/>
      </c>
      <c r="F365" s="28" t="str">
        <f>IF(D365="","",VLOOKUP(D365,'[1]0.1 Produksi Pangan &amp; Penduduk'!$D$5:$AE$860,28,0))</f>
        <v/>
      </c>
      <c r="G365" s="29" t="str">
        <f t="shared" si="25"/>
        <v/>
      </c>
      <c r="H365" s="29" t="str">
        <f t="shared" si="26"/>
        <v/>
      </c>
      <c r="I365" s="29" t="str">
        <f t="shared" si="27"/>
        <v/>
      </c>
      <c r="J365" s="29" t="str">
        <f t="shared" si="28"/>
        <v/>
      </c>
      <c r="K365" s="29" t="str">
        <f t="shared" si="29"/>
        <v/>
      </c>
    </row>
    <row r="366" spans="1:11" ht="15" x14ac:dyDescent="0.25">
      <c r="A366" s="1" t="str">
        <f>IF('1.1 Produksi Bersih Padi 2025'!A366="","",'1.1 Produksi Bersih Padi 2025'!A366)</f>
        <v/>
      </c>
      <c r="B366" s="31" t="str">
        <f>IF('1.1 Produksi Bersih Padi 2025'!B366="","",'1.1 Produksi Bersih Padi 2025'!B366)</f>
        <v/>
      </c>
      <c r="C366" s="31" t="str">
        <f>IF('1.1 Produksi Bersih Padi 2025'!C366="","",'1.1 Produksi Bersih Padi 2025'!C366)</f>
        <v/>
      </c>
      <c r="D366" s="1" t="str">
        <f>IF('1.1 Produksi Bersih Padi 2025'!D366="","",'1.1 Produksi Bersih Padi 2025'!D366)</f>
        <v/>
      </c>
      <c r="E366" s="1" t="str">
        <f>IF('1.1 Produksi Bersih Padi 2025'!E366="","",'1.1 Produksi Bersih Padi 2025'!E366)</f>
        <v/>
      </c>
      <c r="F366" s="28" t="str">
        <f>IF(D366="","",VLOOKUP(D366,'[1]0.1 Produksi Pangan &amp; Penduduk'!$D$5:$AE$860,28,0))</f>
        <v/>
      </c>
      <c r="G366" s="29" t="str">
        <f t="shared" si="25"/>
        <v/>
      </c>
      <c r="H366" s="29" t="str">
        <f t="shared" si="26"/>
        <v/>
      </c>
      <c r="I366" s="29" t="str">
        <f t="shared" si="27"/>
        <v/>
      </c>
      <c r="J366" s="29" t="str">
        <f t="shared" si="28"/>
        <v/>
      </c>
      <c r="K366" s="29" t="str">
        <f t="shared" si="29"/>
        <v/>
      </c>
    </row>
    <row r="367" spans="1:11" ht="15" x14ac:dyDescent="0.25">
      <c r="A367" s="1" t="str">
        <f>IF('1.1 Produksi Bersih Padi 2025'!A367="","",'1.1 Produksi Bersih Padi 2025'!A367)</f>
        <v/>
      </c>
      <c r="B367" s="31" t="str">
        <f>IF('1.1 Produksi Bersih Padi 2025'!B367="","",'1.1 Produksi Bersih Padi 2025'!B367)</f>
        <v/>
      </c>
      <c r="C367" s="31" t="str">
        <f>IF('1.1 Produksi Bersih Padi 2025'!C367="","",'1.1 Produksi Bersih Padi 2025'!C367)</f>
        <v/>
      </c>
      <c r="D367" s="1" t="str">
        <f>IF('1.1 Produksi Bersih Padi 2025'!D367="","",'1.1 Produksi Bersih Padi 2025'!D367)</f>
        <v/>
      </c>
      <c r="E367" s="1" t="str">
        <f>IF('1.1 Produksi Bersih Padi 2025'!E367="","",'1.1 Produksi Bersih Padi 2025'!E367)</f>
        <v/>
      </c>
      <c r="F367" s="28" t="str">
        <f>IF(D367="","",VLOOKUP(D367,'[1]0.1 Produksi Pangan &amp; Penduduk'!$D$5:$AE$860,28,0))</f>
        <v/>
      </c>
      <c r="G367" s="29" t="str">
        <f t="shared" si="25"/>
        <v/>
      </c>
      <c r="H367" s="29" t="str">
        <f t="shared" si="26"/>
        <v/>
      </c>
      <c r="I367" s="29" t="str">
        <f t="shared" si="27"/>
        <v/>
      </c>
      <c r="J367" s="29" t="str">
        <f t="shared" si="28"/>
        <v/>
      </c>
      <c r="K367" s="29" t="str">
        <f t="shared" si="29"/>
        <v/>
      </c>
    </row>
    <row r="368" spans="1:11" ht="15" x14ac:dyDescent="0.25">
      <c r="A368" s="1" t="str">
        <f>IF('1.1 Produksi Bersih Padi 2025'!A368="","",'1.1 Produksi Bersih Padi 2025'!A368)</f>
        <v/>
      </c>
      <c r="B368" s="31" t="str">
        <f>IF('1.1 Produksi Bersih Padi 2025'!B368="","",'1.1 Produksi Bersih Padi 2025'!B368)</f>
        <v/>
      </c>
      <c r="C368" s="31" t="str">
        <f>IF('1.1 Produksi Bersih Padi 2025'!C368="","",'1.1 Produksi Bersih Padi 2025'!C368)</f>
        <v/>
      </c>
      <c r="D368" s="1" t="str">
        <f>IF('1.1 Produksi Bersih Padi 2025'!D368="","",'1.1 Produksi Bersih Padi 2025'!D368)</f>
        <v/>
      </c>
      <c r="E368" s="1" t="str">
        <f>IF('1.1 Produksi Bersih Padi 2025'!E368="","",'1.1 Produksi Bersih Padi 2025'!E368)</f>
        <v/>
      </c>
      <c r="F368" s="28" t="str">
        <f>IF(D368="","",VLOOKUP(D368,'[1]0.1 Produksi Pangan &amp; Penduduk'!$D$5:$AE$860,28,0))</f>
        <v/>
      </c>
      <c r="G368" s="29" t="str">
        <f t="shared" si="25"/>
        <v/>
      </c>
      <c r="H368" s="29" t="str">
        <f t="shared" si="26"/>
        <v/>
      </c>
      <c r="I368" s="29" t="str">
        <f t="shared" si="27"/>
        <v/>
      </c>
      <c r="J368" s="29" t="str">
        <f t="shared" si="28"/>
        <v/>
      </c>
      <c r="K368" s="29" t="str">
        <f t="shared" si="29"/>
        <v/>
      </c>
    </row>
    <row r="369" spans="1:11" ht="15" x14ac:dyDescent="0.25">
      <c r="A369" s="1" t="str">
        <f>IF('1.1 Produksi Bersih Padi 2025'!A369="","",'1.1 Produksi Bersih Padi 2025'!A369)</f>
        <v/>
      </c>
      <c r="B369" s="31" t="str">
        <f>IF('1.1 Produksi Bersih Padi 2025'!B369="","",'1.1 Produksi Bersih Padi 2025'!B369)</f>
        <v/>
      </c>
      <c r="C369" s="31" t="str">
        <f>IF('1.1 Produksi Bersih Padi 2025'!C369="","",'1.1 Produksi Bersih Padi 2025'!C369)</f>
        <v/>
      </c>
      <c r="D369" s="1" t="str">
        <f>IF('1.1 Produksi Bersih Padi 2025'!D369="","",'1.1 Produksi Bersih Padi 2025'!D369)</f>
        <v/>
      </c>
      <c r="E369" s="1" t="str">
        <f>IF('1.1 Produksi Bersih Padi 2025'!E369="","",'1.1 Produksi Bersih Padi 2025'!E369)</f>
        <v/>
      </c>
      <c r="F369" s="28" t="str">
        <f>IF(D369="","",VLOOKUP(D369,'[1]0.1 Produksi Pangan &amp; Penduduk'!$D$5:$AE$860,28,0))</f>
        <v/>
      </c>
      <c r="G369" s="29" t="str">
        <f t="shared" si="25"/>
        <v/>
      </c>
      <c r="H369" s="29" t="str">
        <f t="shared" si="26"/>
        <v/>
      </c>
      <c r="I369" s="29" t="str">
        <f t="shared" si="27"/>
        <v/>
      </c>
      <c r="J369" s="29" t="str">
        <f t="shared" si="28"/>
        <v/>
      </c>
      <c r="K369" s="29" t="str">
        <f t="shared" si="29"/>
        <v/>
      </c>
    </row>
    <row r="370" spans="1:11" ht="15" x14ac:dyDescent="0.25">
      <c r="A370" s="1" t="str">
        <f>IF('1.1 Produksi Bersih Padi 2025'!A370="","",'1.1 Produksi Bersih Padi 2025'!A370)</f>
        <v/>
      </c>
      <c r="B370" s="31" t="str">
        <f>IF('1.1 Produksi Bersih Padi 2025'!B370="","",'1.1 Produksi Bersih Padi 2025'!B370)</f>
        <v/>
      </c>
      <c r="C370" s="31" t="str">
        <f>IF('1.1 Produksi Bersih Padi 2025'!C370="","",'1.1 Produksi Bersih Padi 2025'!C370)</f>
        <v/>
      </c>
      <c r="D370" s="1" t="str">
        <f>IF('1.1 Produksi Bersih Padi 2025'!D370="","",'1.1 Produksi Bersih Padi 2025'!D370)</f>
        <v/>
      </c>
      <c r="E370" s="1" t="str">
        <f>IF('1.1 Produksi Bersih Padi 2025'!E370="","",'1.1 Produksi Bersih Padi 2025'!E370)</f>
        <v/>
      </c>
      <c r="F370" s="28" t="str">
        <f>IF(D370="","",VLOOKUP(D370,'[1]0.1 Produksi Pangan &amp; Penduduk'!$D$5:$AE$860,28,0))</f>
        <v/>
      </c>
      <c r="G370" s="29" t="str">
        <f t="shared" si="25"/>
        <v/>
      </c>
      <c r="H370" s="29" t="str">
        <f t="shared" si="26"/>
        <v/>
      </c>
      <c r="I370" s="29" t="str">
        <f t="shared" si="27"/>
        <v/>
      </c>
      <c r="J370" s="29" t="str">
        <f t="shared" si="28"/>
        <v/>
      </c>
      <c r="K370" s="29" t="str">
        <f t="shared" si="29"/>
        <v/>
      </c>
    </row>
    <row r="371" spans="1:11" ht="15" x14ac:dyDescent="0.25">
      <c r="A371" s="1" t="str">
        <f>IF('1.1 Produksi Bersih Padi 2025'!A371="","",'1.1 Produksi Bersih Padi 2025'!A371)</f>
        <v/>
      </c>
      <c r="B371" s="31" t="str">
        <f>IF('1.1 Produksi Bersih Padi 2025'!B371="","",'1.1 Produksi Bersih Padi 2025'!B371)</f>
        <v/>
      </c>
      <c r="C371" s="31" t="str">
        <f>IF('1.1 Produksi Bersih Padi 2025'!C371="","",'1.1 Produksi Bersih Padi 2025'!C371)</f>
        <v/>
      </c>
      <c r="D371" s="1" t="str">
        <f>IF('1.1 Produksi Bersih Padi 2025'!D371="","",'1.1 Produksi Bersih Padi 2025'!D371)</f>
        <v/>
      </c>
      <c r="E371" s="1" t="str">
        <f>IF('1.1 Produksi Bersih Padi 2025'!E371="","",'1.1 Produksi Bersih Padi 2025'!E371)</f>
        <v/>
      </c>
      <c r="F371" s="28" t="str">
        <f>IF(D371="","",VLOOKUP(D371,'[1]0.1 Produksi Pangan &amp; Penduduk'!$D$5:$AE$860,28,0))</f>
        <v/>
      </c>
      <c r="G371" s="29" t="str">
        <f t="shared" si="25"/>
        <v/>
      </c>
      <c r="H371" s="29" t="str">
        <f t="shared" si="26"/>
        <v/>
      </c>
      <c r="I371" s="29" t="str">
        <f t="shared" si="27"/>
        <v/>
      </c>
      <c r="J371" s="29" t="str">
        <f t="shared" si="28"/>
        <v/>
      </c>
      <c r="K371" s="29" t="str">
        <f t="shared" si="29"/>
        <v/>
      </c>
    </row>
    <row r="372" spans="1:11" ht="15" x14ac:dyDescent="0.25">
      <c r="A372" s="1" t="str">
        <f>IF('1.1 Produksi Bersih Padi 2025'!A372="","",'1.1 Produksi Bersih Padi 2025'!A372)</f>
        <v/>
      </c>
      <c r="B372" s="31" t="str">
        <f>IF('1.1 Produksi Bersih Padi 2025'!B372="","",'1.1 Produksi Bersih Padi 2025'!B372)</f>
        <v/>
      </c>
      <c r="C372" s="31" t="str">
        <f>IF('1.1 Produksi Bersih Padi 2025'!C372="","",'1.1 Produksi Bersih Padi 2025'!C372)</f>
        <v/>
      </c>
      <c r="D372" s="1" t="str">
        <f>IF('1.1 Produksi Bersih Padi 2025'!D372="","",'1.1 Produksi Bersih Padi 2025'!D372)</f>
        <v/>
      </c>
      <c r="E372" s="1" t="str">
        <f>IF('1.1 Produksi Bersih Padi 2025'!E372="","",'1.1 Produksi Bersih Padi 2025'!E372)</f>
        <v/>
      </c>
      <c r="F372" s="28" t="str">
        <f>IF(D372="","",VLOOKUP(D372,'[1]0.1 Produksi Pangan &amp; Penduduk'!$D$5:$AE$860,28,0))</f>
        <v/>
      </c>
      <c r="G372" s="29" t="str">
        <f t="shared" si="25"/>
        <v/>
      </c>
      <c r="H372" s="29" t="str">
        <f t="shared" si="26"/>
        <v/>
      </c>
      <c r="I372" s="29" t="str">
        <f t="shared" si="27"/>
        <v/>
      </c>
      <c r="J372" s="29" t="str">
        <f t="shared" si="28"/>
        <v/>
      </c>
      <c r="K372" s="29" t="str">
        <f t="shared" si="29"/>
        <v/>
      </c>
    </row>
    <row r="373" spans="1:11" ht="15" x14ac:dyDescent="0.25">
      <c r="A373" s="1" t="str">
        <f>IF('1.1 Produksi Bersih Padi 2025'!A373="","",'1.1 Produksi Bersih Padi 2025'!A373)</f>
        <v/>
      </c>
      <c r="B373" s="31" t="str">
        <f>IF('1.1 Produksi Bersih Padi 2025'!B373="","",'1.1 Produksi Bersih Padi 2025'!B373)</f>
        <v/>
      </c>
      <c r="C373" s="31" t="str">
        <f>IF('1.1 Produksi Bersih Padi 2025'!C373="","",'1.1 Produksi Bersih Padi 2025'!C373)</f>
        <v/>
      </c>
      <c r="D373" s="1" t="str">
        <f>IF('1.1 Produksi Bersih Padi 2025'!D373="","",'1.1 Produksi Bersih Padi 2025'!D373)</f>
        <v/>
      </c>
      <c r="E373" s="1" t="str">
        <f>IF('1.1 Produksi Bersih Padi 2025'!E373="","",'1.1 Produksi Bersih Padi 2025'!E373)</f>
        <v/>
      </c>
      <c r="F373" s="28" t="str">
        <f>IF(D373="","",VLOOKUP(D373,'[1]0.1 Produksi Pangan &amp; Penduduk'!$D$5:$AE$860,28,0))</f>
        <v/>
      </c>
      <c r="G373" s="29" t="str">
        <f t="shared" si="25"/>
        <v/>
      </c>
      <c r="H373" s="29" t="str">
        <f t="shared" si="26"/>
        <v/>
      </c>
      <c r="I373" s="29" t="str">
        <f t="shared" si="27"/>
        <v/>
      </c>
      <c r="J373" s="29" t="str">
        <f t="shared" si="28"/>
        <v/>
      </c>
      <c r="K373" s="29" t="str">
        <f t="shared" si="29"/>
        <v/>
      </c>
    </row>
    <row r="374" spans="1:11" ht="15" x14ac:dyDescent="0.25">
      <c r="A374" s="1" t="str">
        <f>IF('1.1 Produksi Bersih Padi 2025'!A374="","",'1.1 Produksi Bersih Padi 2025'!A374)</f>
        <v/>
      </c>
      <c r="B374" s="31" t="str">
        <f>IF('1.1 Produksi Bersih Padi 2025'!B374="","",'1.1 Produksi Bersih Padi 2025'!B374)</f>
        <v/>
      </c>
      <c r="C374" s="31" t="str">
        <f>IF('1.1 Produksi Bersih Padi 2025'!C374="","",'1.1 Produksi Bersih Padi 2025'!C374)</f>
        <v/>
      </c>
      <c r="D374" s="1" t="str">
        <f>IF('1.1 Produksi Bersih Padi 2025'!D374="","",'1.1 Produksi Bersih Padi 2025'!D374)</f>
        <v/>
      </c>
      <c r="E374" s="1" t="str">
        <f>IF('1.1 Produksi Bersih Padi 2025'!E374="","",'1.1 Produksi Bersih Padi 2025'!E374)</f>
        <v/>
      </c>
      <c r="F374" s="28" t="str">
        <f>IF(D374="","",VLOOKUP(D374,'[1]0.1 Produksi Pangan &amp; Penduduk'!$D$5:$AE$860,28,0))</f>
        <v/>
      </c>
      <c r="G374" s="29" t="str">
        <f t="shared" si="25"/>
        <v/>
      </c>
      <c r="H374" s="29" t="str">
        <f t="shared" si="26"/>
        <v/>
      </c>
      <c r="I374" s="29" t="str">
        <f t="shared" si="27"/>
        <v/>
      </c>
      <c r="J374" s="29" t="str">
        <f t="shared" si="28"/>
        <v/>
      </c>
      <c r="K374" s="29" t="str">
        <f t="shared" si="29"/>
        <v/>
      </c>
    </row>
    <row r="375" spans="1:11" ht="15" x14ac:dyDescent="0.25">
      <c r="A375" s="1" t="str">
        <f>IF('1.1 Produksi Bersih Padi 2025'!A375="","",'1.1 Produksi Bersih Padi 2025'!A375)</f>
        <v/>
      </c>
      <c r="B375" s="31" t="str">
        <f>IF('1.1 Produksi Bersih Padi 2025'!B375="","",'1.1 Produksi Bersih Padi 2025'!B375)</f>
        <v/>
      </c>
      <c r="C375" s="31" t="str">
        <f>IF('1.1 Produksi Bersih Padi 2025'!C375="","",'1.1 Produksi Bersih Padi 2025'!C375)</f>
        <v/>
      </c>
      <c r="D375" s="1" t="str">
        <f>IF('1.1 Produksi Bersih Padi 2025'!D375="","",'1.1 Produksi Bersih Padi 2025'!D375)</f>
        <v/>
      </c>
      <c r="E375" s="1" t="str">
        <f>IF('1.1 Produksi Bersih Padi 2025'!E375="","",'1.1 Produksi Bersih Padi 2025'!E375)</f>
        <v/>
      </c>
      <c r="F375" s="28" t="str">
        <f>IF(D375="","",VLOOKUP(D375,'[1]0.1 Produksi Pangan &amp; Penduduk'!$D$5:$AE$860,28,0))</f>
        <v/>
      </c>
      <c r="G375" s="29" t="str">
        <f t="shared" si="25"/>
        <v/>
      </c>
      <c r="H375" s="29" t="str">
        <f t="shared" si="26"/>
        <v/>
      </c>
      <c r="I375" s="29" t="str">
        <f t="shared" si="27"/>
        <v/>
      </c>
      <c r="J375" s="29" t="str">
        <f t="shared" si="28"/>
        <v/>
      </c>
      <c r="K375" s="29" t="str">
        <f t="shared" si="29"/>
        <v/>
      </c>
    </row>
    <row r="376" spans="1:11" ht="15" x14ac:dyDescent="0.25">
      <c r="A376" s="1" t="str">
        <f>IF('1.1 Produksi Bersih Padi 2025'!A376="","",'1.1 Produksi Bersih Padi 2025'!A376)</f>
        <v/>
      </c>
      <c r="B376" s="31" t="str">
        <f>IF('1.1 Produksi Bersih Padi 2025'!B376="","",'1.1 Produksi Bersih Padi 2025'!B376)</f>
        <v/>
      </c>
      <c r="C376" s="31" t="str">
        <f>IF('1.1 Produksi Bersih Padi 2025'!C376="","",'1.1 Produksi Bersih Padi 2025'!C376)</f>
        <v/>
      </c>
      <c r="D376" s="1" t="str">
        <f>IF('1.1 Produksi Bersih Padi 2025'!D376="","",'1.1 Produksi Bersih Padi 2025'!D376)</f>
        <v/>
      </c>
      <c r="E376" s="1" t="str">
        <f>IF('1.1 Produksi Bersih Padi 2025'!E376="","",'1.1 Produksi Bersih Padi 2025'!E376)</f>
        <v/>
      </c>
      <c r="F376" s="28" t="str">
        <f>IF(D376="","",VLOOKUP(D376,'[1]0.1 Produksi Pangan &amp; Penduduk'!$D$5:$AE$860,28,0))</f>
        <v/>
      </c>
      <c r="G376" s="29" t="str">
        <f t="shared" si="25"/>
        <v/>
      </c>
      <c r="H376" s="29" t="str">
        <f t="shared" si="26"/>
        <v/>
      </c>
      <c r="I376" s="29" t="str">
        <f t="shared" si="27"/>
        <v/>
      </c>
      <c r="J376" s="29" t="str">
        <f t="shared" si="28"/>
        <v/>
      </c>
      <c r="K376" s="29" t="str">
        <f t="shared" si="29"/>
        <v/>
      </c>
    </row>
    <row r="377" spans="1:11" ht="15" x14ac:dyDescent="0.25">
      <c r="A377" s="1" t="str">
        <f>IF('1.1 Produksi Bersih Padi 2025'!A377="","",'1.1 Produksi Bersih Padi 2025'!A377)</f>
        <v/>
      </c>
      <c r="B377" s="31" t="str">
        <f>IF('1.1 Produksi Bersih Padi 2025'!B377="","",'1.1 Produksi Bersih Padi 2025'!B377)</f>
        <v/>
      </c>
      <c r="C377" s="31" t="str">
        <f>IF('1.1 Produksi Bersih Padi 2025'!C377="","",'1.1 Produksi Bersih Padi 2025'!C377)</f>
        <v/>
      </c>
      <c r="D377" s="1" t="str">
        <f>IF('1.1 Produksi Bersih Padi 2025'!D377="","",'1.1 Produksi Bersih Padi 2025'!D377)</f>
        <v/>
      </c>
      <c r="E377" s="1" t="str">
        <f>IF('1.1 Produksi Bersih Padi 2025'!E377="","",'1.1 Produksi Bersih Padi 2025'!E377)</f>
        <v/>
      </c>
      <c r="F377" s="28" t="str">
        <f>IF(D377="","",VLOOKUP(D377,'[1]0.1 Produksi Pangan &amp; Penduduk'!$D$5:$AE$860,28,0))</f>
        <v/>
      </c>
      <c r="G377" s="29" t="str">
        <f t="shared" si="25"/>
        <v/>
      </c>
      <c r="H377" s="29" t="str">
        <f t="shared" si="26"/>
        <v/>
      </c>
      <c r="I377" s="29" t="str">
        <f t="shared" si="27"/>
        <v/>
      </c>
      <c r="J377" s="29" t="str">
        <f t="shared" si="28"/>
        <v/>
      </c>
      <c r="K377" s="29" t="str">
        <f t="shared" si="29"/>
        <v/>
      </c>
    </row>
    <row r="378" spans="1:11" ht="15" x14ac:dyDescent="0.25">
      <c r="A378" s="1" t="str">
        <f>IF('1.1 Produksi Bersih Padi 2025'!A378="","",'1.1 Produksi Bersih Padi 2025'!A378)</f>
        <v/>
      </c>
      <c r="B378" s="31" t="str">
        <f>IF('1.1 Produksi Bersih Padi 2025'!B378="","",'1.1 Produksi Bersih Padi 2025'!B378)</f>
        <v/>
      </c>
      <c r="C378" s="31" t="str">
        <f>IF('1.1 Produksi Bersih Padi 2025'!C378="","",'1.1 Produksi Bersih Padi 2025'!C378)</f>
        <v/>
      </c>
      <c r="D378" s="1" t="str">
        <f>IF('1.1 Produksi Bersih Padi 2025'!D378="","",'1.1 Produksi Bersih Padi 2025'!D378)</f>
        <v/>
      </c>
      <c r="E378" s="1" t="str">
        <f>IF('1.1 Produksi Bersih Padi 2025'!E378="","",'1.1 Produksi Bersih Padi 2025'!E378)</f>
        <v/>
      </c>
      <c r="F378" s="28" t="str">
        <f>IF(D378="","",VLOOKUP(D378,'[1]0.1 Produksi Pangan &amp; Penduduk'!$D$5:$AE$860,28,0))</f>
        <v/>
      </c>
      <c r="G378" s="29" t="str">
        <f t="shared" si="25"/>
        <v/>
      </c>
      <c r="H378" s="29" t="str">
        <f t="shared" si="26"/>
        <v/>
      </c>
      <c r="I378" s="29" t="str">
        <f t="shared" si="27"/>
        <v/>
      </c>
      <c r="J378" s="29" t="str">
        <f t="shared" si="28"/>
        <v/>
      </c>
      <c r="K378" s="29" t="str">
        <f t="shared" si="29"/>
        <v/>
      </c>
    </row>
    <row r="379" spans="1:11" ht="15" x14ac:dyDescent="0.25">
      <c r="A379" s="1" t="str">
        <f>IF('1.1 Produksi Bersih Padi 2025'!A379="","",'1.1 Produksi Bersih Padi 2025'!A379)</f>
        <v/>
      </c>
      <c r="B379" s="31" t="str">
        <f>IF('1.1 Produksi Bersih Padi 2025'!B379="","",'1.1 Produksi Bersih Padi 2025'!B379)</f>
        <v/>
      </c>
      <c r="C379" s="31" t="str">
        <f>IF('1.1 Produksi Bersih Padi 2025'!C379="","",'1.1 Produksi Bersih Padi 2025'!C379)</f>
        <v/>
      </c>
      <c r="D379" s="1" t="str">
        <f>IF('1.1 Produksi Bersih Padi 2025'!D379="","",'1.1 Produksi Bersih Padi 2025'!D379)</f>
        <v/>
      </c>
      <c r="E379" s="1" t="str">
        <f>IF('1.1 Produksi Bersih Padi 2025'!E379="","",'1.1 Produksi Bersih Padi 2025'!E379)</f>
        <v/>
      </c>
      <c r="F379" s="28" t="str">
        <f>IF(D379="","",VLOOKUP(D379,'[1]0.1 Produksi Pangan &amp; Penduduk'!$D$5:$AE$860,28,0))</f>
        <v/>
      </c>
      <c r="G379" s="29" t="str">
        <f t="shared" si="25"/>
        <v/>
      </c>
      <c r="H379" s="29" t="str">
        <f t="shared" si="26"/>
        <v/>
      </c>
      <c r="I379" s="29" t="str">
        <f t="shared" si="27"/>
        <v/>
      </c>
      <c r="J379" s="29" t="str">
        <f t="shared" si="28"/>
        <v/>
      </c>
      <c r="K379" s="29" t="str">
        <f t="shared" si="29"/>
        <v/>
      </c>
    </row>
    <row r="380" spans="1:11" ht="15" x14ac:dyDescent="0.25">
      <c r="A380" s="1" t="str">
        <f>IF('1.1 Produksi Bersih Padi 2025'!A380="","",'1.1 Produksi Bersih Padi 2025'!A380)</f>
        <v/>
      </c>
      <c r="B380" s="31" t="str">
        <f>IF('1.1 Produksi Bersih Padi 2025'!B380="","",'1.1 Produksi Bersih Padi 2025'!B380)</f>
        <v/>
      </c>
      <c r="C380" s="31" t="str">
        <f>IF('1.1 Produksi Bersih Padi 2025'!C380="","",'1.1 Produksi Bersih Padi 2025'!C380)</f>
        <v/>
      </c>
      <c r="D380" s="1" t="str">
        <f>IF('1.1 Produksi Bersih Padi 2025'!D380="","",'1.1 Produksi Bersih Padi 2025'!D380)</f>
        <v/>
      </c>
      <c r="E380" s="1" t="str">
        <f>IF('1.1 Produksi Bersih Padi 2025'!E380="","",'1.1 Produksi Bersih Padi 2025'!E380)</f>
        <v/>
      </c>
      <c r="F380" s="28" t="str">
        <f>IF(D380="","",VLOOKUP(D380,'[1]0.1 Produksi Pangan &amp; Penduduk'!$D$5:$AE$860,28,0))</f>
        <v/>
      </c>
      <c r="G380" s="29" t="str">
        <f t="shared" si="25"/>
        <v/>
      </c>
      <c r="H380" s="29" t="str">
        <f t="shared" si="26"/>
        <v/>
      </c>
      <c r="I380" s="29" t="str">
        <f t="shared" si="27"/>
        <v/>
      </c>
      <c r="J380" s="29" t="str">
        <f t="shared" si="28"/>
        <v/>
      </c>
      <c r="K380" s="29" t="str">
        <f t="shared" si="29"/>
        <v/>
      </c>
    </row>
    <row r="381" spans="1:11" ht="15" x14ac:dyDescent="0.25">
      <c r="A381" s="1" t="str">
        <f>IF('1.1 Produksi Bersih Padi 2025'!A381="","",'1.1 Produksi Bersih Padi 2025'!A381)</f>
        <v/>
      </c>
      <c r="B381" s="31" t="str">
        <f>IF('1.1 Produksi Bersih Padi 2025'!B381="","",'1.1 Produksi Bersih Padi 2025'!B381)</f>
        <v/>
      </c>
      <c r="C381" s="31" t="str">
        <f>IF('1.1 Produksi Bersih Padi 2025'!C381="","",'1.1 Produksi Bersih Padi 2025'!C381)</f>
        <v/>
      </c>
      <c r="D381" s="1" t="str">
        <f>IF('1.1 Produksi Bersih Padi 2025'!D381="","",'1.1 Produksi Bersih Padi 2025'!D381)</f>
        <v/>
      </c>
      <c r="E381" s="1" t="str">
        <f>IF('1.1 Produksi Bersih Padi 2025'!E381="","",'1.1 Produksi Bersih Padi 2025'!E381)</f>
        <v/>
      </c>
      <c r="F381" s="28" t="str">
        <f>IF(D381="","",VLOOKUP(D381,'[1]0.1 Produksi Pangan &amp; Penduduk'!$D$5:$AE$860,28,0))</f>
        <v/>
      </c>
      <c r="G381" s="29" t="str">
        <f t="shared" si="25"/>
        <v/>
      </c>
      <c r="H381" s="29" t="str">
        <f t="shared" si="26"/>
        <v/>
      </c>
      <c r="I381" s="29" t="str">
        <f t="shared" si="27"/>
        <v/>
      </c>
      <c r="J381" s="29" t="str">
        <f t="shared" si="28"/>
        <v/>
      </c>
      <c r="K381" s="29" t="str">
        <f t="shared" si="29"/>
        <v/>
      </c>
    </row>
    <row r="382" spans="1:11" ht="15" x14ac:dyDescent="0.25">
      <c r="A382" s="1" t="str">
        <f>IF('1.1 Produksi Bersih Padi 2025'!A382="","",'1.1 Produksi Bersih Padi 2025'!A382)</f>
        <v/>
      </c>
      <c r="B382" s="31" t="str">
        <f>IF('1.1 Produksi Bersih Padi 2025'!B382="","",'1.1 Produksi Bersih Padi 2025'!B382)</f>
        <v/>
      </c>
      <c r="C382" s="31" t="str">
        <f>IF('1.1 Produksi Bersih Padi 2025'!C382="","",'1.1 Produksi Bersih Padi 2025'!C382)</f>
        <v/>
      </c>
      <c r="D382" s="1" t="str">
        <f>IF('1.1 Produksi Bersih Padi 2025'!D382="","",'1.1 Produksi Bersih Padi 2025'!D382)</f>
        <v/>
      </c>
      <c r="E382" s="1" t="str">
        <f>IF('1.1 Produksi Bersih Padi 2025'!E382="","",'1.1 Produksi Bersih Padi 2025'!E382)</f>
        <v/>
      </c>
      <c r="F382" s="28" t="str">
        <f>IF(D382="","",VLOOKUP(D382,'[1]0.1 Produksi Pangan &amp; Penduduk'!$D$5:$AE$860,28,0))</f>
        <v/>
      </c>
      <c r="G382" s="29" t="str">
        <f t="shared" si="25"/>
        <v/>
      </c>
      <c r="H382" s="29" t="str">
        <f t="shared" si="26"/>
        <v/>
      </c>
      <c r="I382" s="29" t="str">
        <f t="shared" si="27"/>
        <v/>
      </c>
      <c r="J382" s="29" t="str">
        <f t="shared" si="28"/>
        <v/>
      </c>
      <c r="K382" s="29" t="str">
        <f t="shared" si="29"/>
        <v/>
      </c>
    </row>
    <row r="383" spans="1:11" ht="15" x14ac:dyDescent="0.25">
      <c r="A383" s="1" t="str">
        <f>IF('1.1 Produksi Bersih Padi 2025'!A383="","",'1.1 Produksi Bersih Padi 2025'!A383)</f>
        <v/>
      </c>
      <c r="B383" s="31" t="str">
        <f>IF('1.1 Produksi Bersih Padi 2025'!B383="","",'1.1 Produksi Bersih Padi 2025'!B383)</f>
        <v/>
      </c>
      <c r="C383" s="31" t="str">
        <f>IF('1.1 Produksi Bersih Padi 2025'!C383="","",'1.1 Produksi Bersih Padi 2025'!C383)</f>
        <v/>
      </c>
      <c r="D383" s="1" t="str">
        <f>IF('1.1 Produksi Bersih Padi 2025'!D383="","",'1.1 Produksi Bersih Padi 2025'!D383)</f>
        <v/>
      </c>
      <c r="E383" s="1" t="str">
        <f>IF('1.1 Produksi Bersih Padi 2025'!E383="","",'1.1 Produksi Bersih Padi 2025'!E383)</f>
        <v/>
      </c>
      <c r="F383" s="28" t="str">
        <f>IF(D383="","",VLOOKUP(D383,'[1]0.1 Produksi Pangan &amp; Penduduk'!$D$5:$AE$860,28,0))</f>
        <v/>
      </c>
      <c r="G383" s="29" t="str">
        <f t="shared" si="25"/>
        <v/>
      </c>
      <c r="H383" s="29" t="str">
        <f t="shared" si="26"/>
        <v/>
      </c>
      <c r="I383" s="29" t="str">
        <f t="shared" si="27"/>
        <v/>
      </c>
      <c r="J383" s="29" t="str">
        <f t="shared" si="28"/>
        <v/>
      </c>
      <c r="K383" s="29" t="str">
        <f t="shared" si="29"/>
        <v/>
      </c>
    </row>
    <row r="384" spans="1:11" ht="15" x14ac:dyDescent="0.25">
      <c r="A384" s="1" t="str">
        <f>IF('1.1 Produksi Bersih Padi 2025'!A384="","",'1.1 Produksi Bersih Padi 2025'!A384)</f>
        <v/>
      </c>
      <c r="B384" s="31" t="str">
        <f>IF('1.1 Produksi Bersih Padi 2025'!B384="","",'1.1 Produksi Bersih Padi 2025'!B384)</f>
        <v/>
      </c>
      <c r="C384" s="31" t="str">
        <f>IF('1.1 Produksi Bersih Padi 2025'!C384="","",'1.1 Produksi Bersih Padi 2025'!C384)</f>
        <v/>
      </c>
      <c r="D384" s="1" t="str">
        <f>IF('1.1 Produksi Bersih Padi 2025'!D384="","",'1.1 Produksi Bersih Padi 2025'!D384)</f>
        <v/>
      </c>
      <c r="E384" s="1" t="str">
        <f>IF('1.1 Produksi Bersih Padi 2025'!E384="","",'1.1 Produksi Bersih Padi 2025'!E384)</f>
        <v/>
      </c>
      <c r="F384" s="28" t="str">
        <f>IF(D384="","",VLOOKUP(D384,'[1]0.1 Produksi Pangan &amp; Penduduk'!$D$5:$AE$860,28,0))</f>
        <v/>
      </c>
      <c r="G384" s="29" t="str">
        <f t="shared" si="25"/>
        <v/>
      </c>
      <c r="H384" s="29" t="str">
        <f t="shared" si="26"/>
        <v/>
      </c>
      <c r="I384" s="29" t="str">
        <f t="shared" si="27"/>
        <v/>
      </c>
      <c r="J384" s="29" t="str">
        <f t="shared" si="28"/>
        <v/>
      </c>
      <c r="K384" s="29" t="str">
        <f t="shared" si="29"/>
        <v/>
      </c>
    </row>
    <row r="385" spans="1:11" ht="15" x14ac:dyDescent="0.25">
      <c r="A385" s="1" t="str">
        <f>IF('1.1 Produksi Bersih Padi 2025'!A385="","",'1.1 Produksi Bersih Padi 2025'!A385)</f>
        <v/>
      </c>
      <c r="B385" s="31" t="str">
        <f>IF('1.1 Produksi Bersih Padi 2025'!B385="","",'1.1 Produksi Bersih Padi 2025'!B385)</f>
        <v/>
      </c>
      <c r="C385" s="31" t="str">
        <f>IF('1.1 Produksi Bersih Padi 2025'!C385="","",'1.1 Produksi Bersih Padi 2025'!C385)</f>
        <v/>
      </c>
      <c r="D385" s="1" t="str">
        <f>IF('1.1 Produksi Bersih Padi 2025'!D385="","",'1.1 Produksi Bersih Padi 2025'!D385)</f>
        <v/>
      </c>
      <c r="E385" s="1" t="str">
        <f>IF('1.1 Produksi Bersih Padi 2025'!E385="","",'1.1 Produksi Bersih Padi 2025'!E385)</f>
        <v/>
      </c>
      <c r="F385" s="28" t="str">
        <f>IF(D385="","",VLOOKUP(D385,'[1]0.1 Produksi Pangan &amp; Penduduk'!$D$5:$AE$860,28,0))</f>
        <v/>
      </c>
      <c r="G385" s="29" t="str">
        <f t="shared" si="25"/>
        <v/>
      </c>
      <c r="H385" s="29" t="str">
        <f t="shared" si="26"/>
        <v/>
      </c>
      <c r="I385" s="29" t="str">
        <f t="shared" si="27"/>
        <v/>
      </c>
      <c r="J385" s="29" t="str">
        <f t="shared" si="28"/>
        <v/>
      </c>
      <c r="K385" s="29" t="str">
        <f t="shared" si="29"/>
        <v/>
      </c>
    </row>
    <row r="386" spans="1:11" ht="15" x14ac:dyDescent="0.25">
      <c r="A386" s="1" t="str">
        <f>IF('1.1 Produksi Bersih Padi 2025'!A386="","",'1.1 Produksi Bersih Padi 2025'!A386)</f>
        <v/>
      </c>
      <c r="B386" s="31" t="str">
        <f>IF('1.1 Produksi Bersih Padi 2025'!B386="","",'1.1 Produksi Bersih Padi 2025'!B386)</f>
        <v/>
      </c>
      <c r="C386" s="31" t="str">
        <f>IF('1.1 Produksi Bersih Padi 2025'!C386="","",'1.1 Produksi Bersih Padi 2025'!C386)</f>
        <v/>
      </c>
      <c r="D386" s="1" t="str">
        <f>IF('1.1 Produksi Bersih Padi 2025'!D386="","",'1.1 Produksi Bersih Padi 2025'!D386)</f>
        <v/>
      </c>
      <c r="E386" s="1" t="str">
        <f>IF('1.1 Produksi Bersih Padi 2025'!E386="","",'1.1 Produksi Bersih Padi 2025'!E386)</f>
        <v/>
      </c>
      <c r="F386" s="28" t="str">
        <f>IF(D386="","",VLOOKUP(D386,'[1]0.1 Produksi Pangan &amp; Penduduk'!$D$5:$AE$860,28,0))</f>
        <v/>
      </c>
      <c r="G386" s="29" t="str">
        <f t="shared" si="25"/>
        <v/>
      </c>
      <c r="H386" s="29" t="str">
        <f t="shared" si="26"/>
        <v/>
      </c>
      <c r="I386" s="29" t="str">
        <f t="shared" si="27"/>
        <v/>
      </c>
      <c r="J386" s="29" t="str">
        <f t="shared" si="28"/>
        <v/>
      </c>
      <c r="K386" s="29" t="str">
        <f t="shared" si="29"/>
        <v/>
      </c>
    </row>
    <row r="387" spans="1:11" ht="15" x14ac:dyDescent="0.25">
      <c r="A387" s="1" t="str">
        <f>IF('1.1 Produksi Bersih Padi 2025'!A387="","",'1.1 Produksi Bersih Padi 2025'!A387)</f>
        <v/>
      </c>
      <c r="B387" s="31" t="str">
        <f>IF('1.1 Produksi Bersih Padi 2025'!B387="","",'1.1 Produksi Bersih Padi 2025'!B387)</f>
        <v/>
      </c>
      <c r="C387" s="31" t="str">
        <f>IF('1.1 Produksi Bersih Padi 2025'!C387="","",'1.1 Produksi Bersih Padi 2025'!C387)</f>
        <v/>
      </c>
      <c r="D387" s="1" t="str">
        <f>IF('1.1 Produksi Bersih Padi 2025'!D387="","",'1.1 Produksi Bersih Padi 2025'!D387)</f>
        <v/>
      </c>
      <c r="E387" s="1" t="str">
        <f>IF('1.1 Produksi Bersih Padi 2025'!E387="","",'1.1 Produksi Bersih Padi 2025'!E387)</f>
        <v/>
      </c>
      <c r="F387" s="28" t="str">
        <f>IF(D387="","",VLOOKUP(D387,'[1]0.1 Produksi Pangan &amp; Penduduk'!$D$5:$AE$860,28,0))</f>
        <v/>
      </c>
      <c r="G387" s="29" t="str">
        <f t="shared" si="25"/>
        <v/>
      </c>
      <c r="H387" s="29" t="str">
        <f t="shared" si="26"/>
        <v/>
      </c>
      <c r="I387" s="29" t="str">
        <f t="shared" si="27"/>
        <v/>
      </c>
      <c r="J387" s="29" t="str">
        <f t="shared" si="28"/>
        <v/>
      </c>
      <c r="K387" s="29" t="str">
        <f t="shared" si="29"/>
        <v/>
      </c>
    </row>
    <row r="388" spans="1:11" ht="15" x14ac:dyDescent="0.25">
      <c r="A388" s="1" t="str">
        <f>IF('1.1 Produksi Bersih Padi 2025'!A388="","",'1.1 Produksi Bersih Padi 2025'!A388)</f>
        <v/>
      </c>
      <c r="B388" s="31" t="str">
        <f>IF('1.1 Produksi Bersih Padi 2025'!B388="","",'1.1 Produksi Bersih Padi 2025'!B388)</f>
        <v/>
      </c>
      <c r="C388" s="31" t="str">
        <f>IF('1.1 Produksi Bersih Padi 2025'!C388="","",'1.1 Produksi Bersih Padi 2025'!C388)</f>
        <v/>
      </c>
      <c r="D388" s="1" t="str">
        <f>IF('1.1 Produksi Bersih Padi 2025'!D388="","",'1.1 Produksi Bersih Padi 2025'!D388)</f>
        <v/>
      </c>
      <c r="E388" s="1" t="str">
        <f>IF('1.1 Produksi Bersih Padi 2025'!E388="","",'1.1 Produksi Bersih Padi 2025'!E388)</f>
        <v/>
      </c>
      <c r="F388" s="28" t="str">
        <f>IF(D388="","",VLOOKUP(D388,'[1]0.1 Produksi Pangan &amp; Penduduk'!$D$5:$AE$860,28,0))</f>
        <v/>
      </c>
      <c r="G388" s="29" t="str">
        <f t="shared" si="25"/>
        <v/>
      </c>
      <c r="H388" s="29" t="str">
        <f t="shared" si="26"/>
        <v/>
      </c>
      <c r="I388" s="29" t="str">
        <f t="shared" si="27"/>
        <v/>
      </c>
      <c r="J388" s="29" t="str">
        <f t="shared" si="28"/>
        <v/>
      </c>
      <c r="K388" s="29" t="str">
        <f t="shared" si="29"/>
        <v/>
      </c>
    </row>
    <row r="389" spans="1:11" ht="15" x14ac:dyDescent="0.25">
      <c r="A389" s="1" t="str">
        <f>IF('1.1 Produksi Bersih Padi 2025'!A389="","",'1.1 Produksi Bersih Padi 2025'!A389)</f>
        <v/>
      </c>
      <c r="B389" s="31" t="str">
        <f>IF('1.1 Produksi Bersih Padi 2025'!B389="","",'1.1 Produksi Bersih Padi 2025'!B389)</f>
        <v/>
      </c>
      <c r="C389" s="31" t="str">
        <f>IF('1.1 Produksi Bersih Padi 2025'!C389="","",'1.1 Produksi Bersih Padi 2025'!C389)</f>
        <v/>
      </c>
      <c r="D389" s="1" t="str">
        <f>IF('1.1 Produksi Bersih Padi 2025'!D389="","",'1.1 Produksi Bersih Padi 2025'!D389)</f>
        <v/>
      </c>
      <c r="E389" s="1" t="str">
        <f>IF('1.1 Produksi Bersih Padi 2025'!E389="","",'1.1 Produksi Bersih Padi 2025'!E389)</f>
        <v/>
      </c>
      <c r="F389" s="28" t="str">
        <f>IF(D389="","",VLOOKUP(D389,'[1]0.1 Produksi Pangan &amp; Penduduk'!$D$5:$AE$860,28,0))</f>
        <v/>
      </c>
      <c r="G389" s="29" t="str">
        <f t="shared" si="25"/>
        <v/>
      </c>
      <c r="H389" s="29" t="str">
        <f t="shared" si="26"/>
        <v/>
      </c>
      <c r="I389" s="29" t="str">
        <f t="shared" si="27"/>
        <v/>
      </c>
      <c r="J389" s="29" t="str">
        <f t="shared" si="28"/>
        <v/>
      </c>
      <c r="K389" s="29" t="str">
        <f t="shared" si="29"/>
        <v/>
      </c>
    </row>
    <row r="390" spans="1:11" ht="15" x14ac:dyDescent="0.25">
      <c r="A390" s="1" t="str">
        <f>IF('1.1 Produksi Bersih Padi 2025'!A390="","",'1.1 Produksi Bersih Padi 2025'!A390)</f>
        <v/>
      </c>
      <c r="B390" s="31" t="str">
        <f>IF('1.1 Produksi Bersih Padi 2025'!B390="","",'1.1 Produksi Bersih Padi 2025'!B390)</f>
        <v/>
      </c>
      <c r="C390" s="31" t="str">
        <f>IF('1.1 Produksi Bersih Padi 2025'!C390="","",'1.1 Produksi Bersih Padi 2025'!C390)</f>
        <v/>
      </c>
      <c r="D390" s="1" t="str">
        <f>IF('1.1 Produksi Bersih Padi 2025'!D390="","",'1.1 Produksi Bersih Padi 2025'!D390)</f>
        <v/>
      </c>
      <c r="E390" s="1" t="str">
        <f>IF('1.1 Produksi Bersih Padi 2025'!E390="","",'1.1 Produksi Bersih Padi 2025'!E390)</f>
        <v/>
      </c>
      <c r="F390" s="28" t="str">
        <f>IF(D390="","",VLOOKUP(D390,'[1]0.1 Produksi Pangan &amp; Penduduk'!$D$5:$AE$860,28,0))</f>
        <v/>
      </c>
      <c r="G390" s="29" t="str">
        <f t="shared" ref="G390:G453" si="30">IF(F390="","",F390*0%)</f>
        <v/>
      </c>
      <c r="H390" s="29" t="str">
        <f t="shared" ref="H390:H453" si="31">IF(F390="","",F390*0.77%)</f>
        <v/>
      </c>
      <c r="I390" s="29" t="str">
        <f t="shared" ref="I390:I453" si="32">IF(F390="","",F390*4.9%)</f>
        <v/>
      </c>
      <c r="J390" s="29" t="str">
        <f t="shared" ref="J390:J453" si="33">IF(F390="","",F390-(G390+H390+I390))</f>
        <v/>
      </c>
      <c r="K390" s="29" t="str">
        <f t="shared" ref="K390:K453" si="34">IF(J390="","",J390*0.259)</f>
        <v/>
      </c>
    </row>
    <row r="391" spans="1:11" ht="15" x14ac:dyDescent="0.25">
      <c r="A391" s="1" t="str">
        <f>IF('1.1 Produksi Bersih Padi 2025'!A391="","",'1.1 Produksi Bersih Padi 2025'!A391)</f>
        <v/>
      </c>
      <c r="B391" s="31" t="str">
        <f>IF('1.1 Produksi Bersih Padi 2025'!B391="","",'1.1 Produksi Bersih Padi 2025'!B391)</f>
        <v/>
      </c>
      <c r="C391" s="31" t="str">
        <f>IF('1.1 Produksi Bersih Padi 2025'!C391="","",'1.1 Produksi Bersih Padi 2025'!C391)</f>
        <v/>
      </c>
      <c r="D391" s="1" t="str">
        <f>IF('1.1 Produksi Bersih Padi 2025'!D391="","",'1.1 Produksi Bersih Padi 2025'!D391)</f>
        <v/>
      </c>
      <c r="E391" s="1" t="str">
        <f>IF('1.1 Produksi Bersih Padi 2025'!E391="","",'1.1 Produksi Bersih Padi 2025'!E391)</f>
        <v/>
      </c>
      <c r="F391" s="28" t="str">
        <f>IF(D391="","",VLOOKUP(D391,'[1]0.1 Produksi Pangan &amp; Penduduk'!$D$5:$AE$860,28,0))</f>
        <v/>
      </c>
      <c r="G391" s="29" t="str">
        <f t="shared" si="30"/>
        <v/>
      </c>
      <c r="H391" s="29" t="str">
        <f t="shared" si="31"/>
        <v/>
      </c>
      <c r="I391" s="29" t="str">
        <f t="shared" si="32"/>
        <v/>
      </c>
      <c r="J391" s="29" t="str">
        <f t="shared" si="33"/>
        <v/>
      </c>
      <c r="K391" s="29" t="str">
        <f t="shared" si="34"/>
        <v/>
      </c>
    </row>
    <row r="392" spans="1:11" ht="15" x14ac:dyDescent="0.25">
      <c r="A392" s="1" t="str">
        <f>IF('1.1 Produksi Bersih Padi 2025'!A392="","",'1.1 Produksi Bersih Padi 2025'!A392)</f>
        <v/>
      </c>
      <c r="B392" s="31" t="str">
        <f>IF('1.1 Produksi Bersih Padi 2025'!B392="","",'1.1 Produksi Bersih Padi 2025'!B392)</f>
        <v/>
      </c>
      <c r="C392" s="31" t="str">
        <f>IF('1.1 Produksi Bersih Padi 2025'!C392="","",'1.1 Produksi Bersih Padi 2025'!C392)</f>
        <v/>
      </c>
      <c r="D392" s="1" t="str">
        <f>IF('1.1 Produksi Bersih Padi 2025'!D392="","",'1.1 Produksi Bersih Padi 2025'!D392)</f>
        <v/>
      </c>
      <c r="E392" s="1" t="str">
        <f>IF('1.1 Produksi Bersih Padi 2025'!E392="","",'1.1 Produksi Bersih Padi 2025'!E392)</f>
        <v/>
      </c>
      <c r="F392" s="28" t="str">
        <f>IF(D392="","",VLOOKUP(D392,'[1]0.1 Produksi Pangan &amp; Penduduk'!$D$5:$AE$860,28,0))</f>
        <v/>
      </c>
      <c r="G392" s="29" t="str">
        <f t="shared" si="30"/>
        <v/>
      </c>
      <c r="H392" s="29" t="str">
        <f t="shared" si="31"/>
        <v/>
      </c>
      <c r="I392" s="29" t="str">
        <f t="shared" si="32"/>
        <v/>
      </c>
      <c r="J392" s="29" t="str">
        <f t="shared" si="33"/>
        <v/>
      </c>
      <c r="K392" s="29" t="str">
        <f t="shared" si="34"/>
        <v/>
      </c>
    </row>
    <row r="393" spans="1:11" ht="15" x14ac:dyDescent="0.25">
      <c r="A393" s="1" t="str">
        <f>IF('1.1 Produksi Bersih Padi 2025'!A393="","",'1.1 Produksi Bersih Padi 2025'!A393)</f>
        <v/>
      </c>
      <c r="B393" s="31" t="str">
        <f>IF('1.1 Produksi Bersih Padi 2025'!B393="","",'1.1 Produksi Bersih Padi 2025'!B393)</f>
        <v/>
      </c>
      <c r="C393" s="31" t="str">
        <f>IF('1.1 Produksi Bersih Padi 2025'!C393="","",'1.1 Produksi Bersih Padi 2025'!C393)</f>
        <v/>
      </c>
      <c r="D393" s="1" t="str">
        <f>IF('1.1 Produksi Bersih Padi 2025'!D393="","",'1.1 Produksi Bersih Padi 2025'!D393)</f>
        <v/>
      </c>
      <c r="E393" s="1" t="str">
        <f>IF('1.1 Produksi Bersih Padi 2025'!E393="","",'1.1 Produksi Bersih Padi 2025'!E393)</f>
        <v/>
      </c>
      <c r="F393" s="28" t="str">
        <f>IF(D393="","",VLOOKUP(D393,'[1]0.1 Produksi Pangan &amp; Penduduk'!$D$5:$AE$860,28,0))</f>
        <v/>
      </c>
      <c r="G393" s="29" t="str">
        <f t="shared" si="30"/>
        <v/>
      </c>
      <c r="H393" s="29" t="str">
        <f t="shared" si="31"/>
        <v/>
      </c>
      <c r="I393" s="29" t="str">
        <f t="shared" si="32"/>
        <v/>
      </c>
      <c r="J393" s="29" t="str">
        <f t="shared" si="33"/>
        <v/>
      </c>
      <c r="K393" s="29" t="str">
        <f t="shared" si="34"/>
        <v/>
      </c>
    </row>
    <row r="394" spans="1:11" ht="15" x14ac:dyDescent="0.25">
      <c r="A394" s="1" t="str">
        <f>IF('1.1 Produksi Bersih Padi 2025'!A394="","",'1.1 Produksi Bersih Padi 2025'!A394)</f>
        <v/>
      </c>
      <c r="B394" s="31" t="str">
        <f>IF('1.1 Produksi Bersih Padi 2025'!B394="","",'1.1 Produksi Bersih Padi 2025'!B394)</f>
        <v/>
      </c>
      <c r="C394" s="31" t="str">
        <f>IF('1.1 Produksi Bersih Padi 2025'!C394="","",'1.1 Produksi Bersih Padi 2025'!C394)</f>
        <v/>
      </c>
      <c r="D394" s="1" t="str">
        <f>IF('1.1 Produksi Bersih Padi 2025'!D394="","",'1.1 Produksi Bersih Padi 2025'!D394)</f>
        <v/>
      </c>
      <c r="E394" s="1" t="str">
        <f>IF('1.1 Produksi Bersih Padi 2025'!E394="","",'1.1 Produksi Bersih Padi 2025'!E394)</f>
        <v/>
      </c>
      <c r="F394" s="28" t="str">
        <f>IF(D394="","",VLOOKUP(D394,'[1]0.1 Produksi Pangan &amp; Penduduk'!$D$5:$AE$860,28,0))</f>
        <v/>
      </c>
      <c r="G394" s="29" t="str">
        <f t="shared" si="30"/>
        <v/>
      </c>
      <c r="H394" s="29" t="str">
        <f t="shared" si="31"/>
        <v/>
      </c>
      <c r="I394" s="29" t="str">
        <f t="shared" si="32"/>
        <v/>
      </c>
      <c r="J394" s="29" t="str">
        <f t="shared" si="33"/>
        <v/>
      </c>
      <c r="K394" s="29" t="str">
        <f t="shared" si="34"/>
        <v/>
      </c>
    </row>
    <row r="395" spans="1:11" ht="15" x14ac:dyDescent="0.25">
      <c r="A395" s="1" t="str">
        <f>IF('1.1 Produksi Bersih Padi 2025'!A395="","",'1.1 Produksi Bersih Padi 2025'!A395)</f>
        <v/>
      </c>
      <c r="B395" s="31" t="str">
        <f>IF('1.1 Produksi Bersih Padi 2025'!B395="","",'1.1 Produksi Bersih Padi 2025'!B395)</f>
        <v/>
      </c>
      <c r="C395" s="31" t="str">
        <f>IF('1.1 Produksi Bersih Padi 2025'!C395="","",'1.1 Produksi Bersih Padi 2025'!C395)</f>
        <v/>
      </c>
      <c r="D395" s="1" t="str">
        <f>IF('1.1 Produksi Bersih Padi 2025'!D395="","",'1.1 Produksi Bersih Padi 2025'!D395)</f>
        <v/>
      </c>
      <c r="E395" s="1" t="str">
        <f>IF('1.1 Produksi Bersih Padi 2025'!E395="","",'1.1 Produksi Bersih Padi 2025'!E395)</f>
        <v/>
      </c>
      <c r="F395" s="28" t="str">
        <f>IF(D395="","",VLOOKUP(D395,'[1]0.1 Produksi Pangan &amp; Penduduk'!$D$5:$AE$860,28,0))</f>
        <v/>
      </c>
      <c r="G395" s="29" t="str">
        <f t="shared" si="30"/>
        <v/>
      </c>
      <c r="H395" s="29" t="str">
        <f t="shared" si="31"/>
        <v/>
      </c>
      <c r="I395" s="29" t="str">
        <f t="shared" si="32"/>
        <v/>
      </c>
      <c r="J395" s="29" t="str">
        <f t="shared" si="33"/>
        <v/>
      </c>
      <c r="K395" s="29" t="str">
        <f t="shared" si="34"/>
        <v/>
      </c>
    </row>
    <row r="396" spans="1:11" ht="15" x14ac:dyDescent="0.25">
      <c r="A396" s="1" t="str">
        <f>IF('1.1 Produksi Bersih Padi 2025'!A396="","",'1.1 Produksi Bersih Padi 2025'!A396)</f>
        <v/>
      </c>
      <c r="B396" s="31" t="str">
        <f>IF('1.1 Produksi Bersih Padi 2025'!B396="","",'1.1 Produksi Bersih Padi 2025'!B396)</f>
        <v/>
      </c>
      <c r="C396" s="31" t="str">
        <f>IF('1.1 Produksi Bersih Padi 2025'!C396="","",'1.1 Produksi Bersih Padi 2025'!C396)</f>
        <v/>
      </c>
      <c r="D396" s="1" t="str">
        <f>IF('1.1 Produksi Bersih Padi 2025'!D396="","",'1.1 Produksi Bersih Padi 2025'!D396)</f>
        <v/>
      </c>
      <c r="E396" s="1" t="str">
        <f>IF('1.1 Produksi Bersih Padi 2025'!E396="","",'1.1 Produksi Bersih Padi 2025'!E396)</f>
        <v/>
      </c>
      <c r="F396" s="28" t="str">
        <f>IF(D396="","",VLOOKUP(D396,'[1]0.1 Produksi Pangan &amp; Penduduk'!$D$5:$AE$860,28,0))</f>
        <v/>
      </c>
      <c r="G396" s="29" t="str">
        <f t="shared" si="30"/>
        <v/>
      </c>
      <c r="H396" s="29" t="str">
        <f t="shared" si="31"/>
        <v/>
      </c>
      <c r="I396" s="29" t="str">
        <f t="shared" si="32"/>
        <v/>
      </c>
      <c r="J396" s="29" t="str">
        <f t="shared" si="33"/>
        <v/>
      </c>
      <c r="K396" s="29" t="str">
        <f t="shared" si="34"/>
        <v/>
      </c>
    </row>
    <row r="397" spans="1:11" ht="15" x14ac:dyDescent="0.25">
      <c r="A397" s="1" t="str">
        <f>IF('1.1 Produksi Bersih Padi 2025'!A397="","",'1.1 Produksi Bersih Padi 2025'!A397)</f>
        <v/>
      </c>
      <c r="B397" s="31" t="str">
        <f>IF('1.1 Produksi Bersih Padi 2025'!B397="","",'1.1 Produksi Bersih Padi 2025'!B397)</f>
        <v/>
      </c>
      <c r="C397" s="31" t="str">
        <f>IF('1.1 Produksi Bersih Padi 2025'!C397="","",'1.1 Produksi Bersih Padi 2025'!C397)</f>
        <v/>
      </c>
      <c r="D397" s="1" t="str">
        <f>IF('1.1 Produksi Bersih Padi 2025'!D397="","",'1.1 Produksi Bersih Padi 2025'!D397)</f>
        <v/>
      </c>
      <c r="E397" s="1" t="str">
        <f>IF('1.1 Produksi Bersih Padi 2025'!E397="","",'1.1 Produksi Bersih Padi 2025'!E397)</f>
        <v/>
      </c>
      <c r="F397" s="28" t="str">
        <f>IF(D397="","",VLOOKUP(D397,'[1]0.1 Produksi Pangan &amp; Penduduk'!$D$5:$AE$860,28,0))</f>
        <v/>
      </c>
      <c r="G397" s="29" t="str">
        <f t="shared" si="30"/>
        <v/>
      </c>
      <c r="H397" s="29" t="str">
        <f t="shared" si="31"/>
        <v/>
      </c>
      <c r="I397" s="29" t="str">
        <f t="shared" si="32"/>
        <v/>
      </c>
      <c r="J397" s="29" t="str">
        <f t="shared" si="33"/>
        <v/>
      </c>
      <c r="K397" s="29" t="str">
        <f t="shared" si="34"/>
        <v/>
      </c>
    </row>
    <row r="398" spans="1:11" ht="15" x14ac:dyDescent="0.25">
      <c r="A398" s="1" t="str">
        <f>IF('1.1 Produksi Bersih Padi 2025'!A398="","",'1.1 Produksi Bersih Padi 2025'!A398)</f>
        <v/>
      </c>
      <c r="B398" s="31" t="str">
        <f>IF('1.1 Produksi Bersih Padi 2025'!B398="","",'1.1 Produksi Bersih Padi 2025'!B398)</f>
        <v/>
      </c>
      <c r="C398" s="31" t="str">
        <f>IF('1.1 Produksi Bersih Padi 2025'!C398="","",'1.1 Produksi Bersih Padi 2025'!C398)</f>
        <v/>
      </c>
      <c r="D398" s="1" t="str">
        <f>IF('1.1 Produksi Bersih Padi 2025'!D398="","",'1.1 Produksi Bersih Padi 2025'!D398)</f>
        <v/>
      </c>
      <c r="E398" s="1" t="str">
        <f>IF('1.1 Produksi Bersih Padi 2025'!E398="","",'1.1 Produksi Bersih Padi 2025'!E398)</f>
        <v/>
      </c>
      <c r="F398" s="28" t="str">
        <f>IF(D398="","",VLOOKUP(D398,'[1]0.1 Produksi Pangan &amp; Penduduk'!$D$5:$AE$860,28,0))</f>
        <v/>
      </c>
      <c r="G398" s="29" t="str">
        <f t="shared" si="30"/>
        <v/>
      </c>
      <c r="H398" s="29" t="str">
        <f t="shared" si="31"/>
        <v/>
      </c>
      <c r="I398" s="29" t="str">
        <f t="shared" si="32"/>
        <v/>
      </c>
      <c r="J398" s="29" t="str">
        <f t="shared" si="33"/>
        <v/>
      </c>
      <c r="K398" s="29" t="str">
        <f t="shared" si="34"/>
        <v/>
      </c>
    </row>
    <row r="399" spans="1:11" ht="15" x14ac:dyDescent="0.25">
      <c r="A399" s="1" t="str">
        <f>IF('1.1 Produksi Bersih Padi 2025'!A399="","",'1.1 Produksi Bersih Padi 2025'!A399)</f>
        <v/>
      </c>
      <c r="B399" s="31" t="str">
        <f>IF('1.1 Produksi Bersih Padi 2025'!B399="","",'1.1 Produksi Bersih Padi 2025'!B399)</f>
        <v/>
      </c>
      <c r="C399" s="31" t="str">
        <f>IF('1.1 Produksi Bersih Padi 2025'!C399="","",'1.1 Produksi Bersih Padi 2025'!C399)</f>
        <v/>
      </c>
      <c r="D399" s="1" t="str">
        <f>IF('1.1 Produksi Bersih Padi 2025'!D399="","",'1.1 Produksi Bersih Padi 2025'!D399)</f>
        <v/>
      </c>
      <c r="E399" s="1" t="str">
        <f>IF('1.1 Produksi Bersih Padi 2025'!E399="","",'1.1 Produksi Bersih Padi 2025'!E399)</f>
        <v/>
      </c>
      <c r="F399" s="28" t="str">
        <f>IF(D399="","",VLOOKUP(D399,'[1]0.1 Produksi Pangan &amp; Penduduk'!$D$5:$AE$860,28,0))</f>
        <v/>
      </c>
      <c r="G399" s="29" t="str">
        <f t="shared" si="30"/>
        <v/>
      </c>
      <c r="H399" s="29" t="str">
        <f t="shared" si="31"/>
        <v/>
      </c>
      <c r="I399" s="29" t="str">
        <f t="shared" si="32"/>
        <v/>
      </c>
      <c r="J399" s="29" t="str">
        <f t="shared" si="33"/>
        <v/>
      </c>
      <c r="K399" s="29" t="str">
        <f t="shared" si="34"/>
        <v/>
      </c>
    </row>
    <row r="400" spans="1:11" ht="15" x14ac:dyDescent="0.25">
      <c r="A400" s="1" t="str">
        <f>IF('1.1 Produksi Bersih Padi 2025'!A400="","",'1.1 Produksi Bersih Padi 2025'!A400)</f>
        <v/>
      </c>
      <c r="B400" s="31" t="str">
        <f>IF('1.1 Produksi Bersih Padi 2025'!B400="","",'1.1 Produksi Bersih Padi 2025'!B400)</f>
        <v/>
      </c>
      <c r="C400" s="31" t="str">
        <f>IF('1.1 Produksi Bersih Padi 2025'!C400="","",'1.1 Produksi Bersih Padi 2025'!C400)</f>
        <v/>
      </c>
      <c r="D400" s="1" t="str">
        <f>IF('1.1 Produksi Bersih Padi 2025'!D400="","",'1.1 Produksi Bersih Padi 2025'!D400)</f>
        <v/>
      </c>
      <c r="E400" s="1" t="str">
        <f>IF('1.1 Produksi Bersih Padi 2025'!E400="","",'1.1 Produksi Bersih Padi 2025'!E400)</f>
        <v/>
      </c>
      <c r="F400" s="28" t="str">
        <f>IF(D400="","",VLOOKUP(D400,'[1]0.1 Produksi Pangan &amp; Penduduk'!$D$5:$AE$860,28,0))</f>
        <v/>
      </c>
      <c r="G400" s="29" t="str">
        <f t="shared" si="30"/>
        <v/>
      </c>
      <c r="H400" s="29" t="str">
        <f t="shared" si="31"/>
        <v/>
      </c>
      <c r="I400" s="29" t="str">
        <f t="shared" si="32"/>
        <v/>
      </c>
      <c r="J400" s="29" t="str">
        <f t="shared" si="33"/>
        <v/>
      </c>
      <c r="K400" s="29" t="str">
        <f t="shared" si="34"/>
        <v/>
      </c>
    </row>
    <row r="401" spans="1:11" ht="15" x14ac:dyDescent="0.25">
      <c r="A401" s="1" t="str">
        <f>IF('1.1 Produksi Bersih Padi 2025'!A401="","",'1.1 Produksi Bersih Padi 2025'!A401)</f>
        <v/>
      </c>
      <c r="B401" s="31" t="str">
        <f>IF('1.1 Produksi Bersih Padi 2025'!B401="","",'1.1 Produksi Bersih Padi 2025'!B401)</f>
        <v/>
      </c>
      <c r="C401" s="31" t="str">
        <f>IF('1.1 Produksi Bersih Padi 2025'!C401="","",'1.1 Produksi Bersih Padi 2025'!C401)</f>
        <v/>
      </c>
      <c r="D401" s="1" t="str">
        <f>IF('1.1 Produksi Bersih Padi 2025'!D401="","",'1.1 Produksi Bersih Padi 2025'!D401)</f>
        <v/>
      </c>
      <c r="E401" s="1" t="str">
        <f>IF('1.1 Produksi Bersih Padi 2025'!E401="","",'1.1 Produksi Bersih Padi 2025'!E401)</f>
        <v/>
      </c>
      <c r="F401" s="28" t="str">
        <f>IF(D401="","",VLOOKUP(D401,'[1]0.1 Produksi Pangan &amp; Penduduk'!$D$5:$AE$860,28,0))</f>
        <v/>
      </c>
      <c r="G401" s="29" t="str">
        <f t="shared" si="30"/>
        <v/>
      </c>
      <c r="H401" s="29" t="str">
        <f t="shared" si="31"/>
        <v/>
      </c>
      <c r="I401" s="29" t="str">
        <f t="shared" si="32"/>
        <v/>
      </c>
      <c r="J401" s="29" t="str">
        <f t="shared" si="33"/>
        <v/>
      </c>
      <c r="K401" s="29" t="str">
        <f t="shared" si="34"/>
        <v/>
      </c>
    </row>
    <row r="402" spans="1:11" ht="15" x14ac:dyDescent="0.25">
      <c r="A402" s="1" t="str">
        <f>IF('1.1 Produksi Bersih Padi 2025'!A402="","",'1.1 Produksi Bersih Padi 2025'!A402)</f>
        <v/>
      </c>
      <c r="B402" s="31" t="str">
        <f>IF('1.1 Produksi Bersih Padi 2025'!B402="","",'1.1 Produksi Bersih Padi 2025'!B402)</f>
        <v/>
      </c>
      <c r="C402" s="31" t="str">
        <f>IF('1.1 Produksi Bersih Padi 2025'!C402="","",'1.1 Produksi Bersih Padi 2025'!C402)</f>
        <v/>
      </c>
      <c r="D402" s="1" t="str">
        <f>IF('1.1 Produksi Bersih Padi 2025'!D402="","",'1.1 Produksi Bersih Padi 2025'!D402)</f>
        <v/>
      </c>
      <c r="E402" s="1" t="str">
        <f>IF('1.1 Produksi Bersih Padi 2025'!E402="","",'1.1 Produksi Bersih Padi 2025'!E402)</f>
        <v/>
      </c>
      <c r="F402" s="28" t="str">
        <f>IF(D402="","",VLOOKUP(D402,'[1]0.1 Produksi Pangan &amp; Penduduk'!$D$5:$AE$860,28,0))</f>
        <v/>
      </c>
      <c r="G402" s="29" t="str">
        <f t="shared" si="30"/>
        <v/>
      </c>
      <c r="H402" s="29" t="str">
        <f t="shared" si="31"/>
        <v/>
      </c>
      <c r="I402" s="29" t="str">
        <f t="shared" si="32"/>
        <v/>
      </c>
      <c r="J402" s="29" t="str">
        <f t="shared" si="33"/>
        <v/>
      </c>
      <c r="K402" s="29" t="str">
        <f t="shared" si="34"/>
        <v/>
      </c>
    </row>
    <row r="403" spans="1:11" ht="15" x14ac:dyDescent="0.25">
      <c r="A403" s="1" t="str">
        <f>IF('1.1 Produksi Bersih Padi 2025'!A403="","",'1.1 Produksi Bersih Padi 2025'!A403)</f>
        <v/>
      </c>
      <c r="B403" s="31" t="str">
        <f>IF('1.1 Produksi Bersih Padi 2025'!B403="","",'1.1 Produksi Bersih Padi 2025'!B403)</f>
        <v/>
      </c>
      <c r="C403" s="31" t="str">
        <f>IF('1.1 Produksi Bersih Padi 2025'!C403="","",'1.1 Produksi Bersih Padi 2025'!C403)</f>
        <v/>
      </c>
      <c r="D403" s="1" t="str">
        <f>IF('1.1 Produksi Bersih Padi 2025'!D403="","",'1.1 Produksi Bersih Padi 2025'!D403)</f>
        <v/>
      </c>
      <c r="E403" s="1" t="str">
        <f>IF('1.1 Produksi Bersih Padi 2025'!E403="","",'1.1 Produksi Bersih Padi 2025'!E403)</f>
        <v/>
      </c>
      <c r="F403" s="28" t="str">
        <f>IF(D403="","",VLOOKUP(D403,'[1]0.1 Produksi Pangan &amp; Penduduk'!$D$5:$AE$860,28,0))</f>
        <v/>
      </c>
      <c r="G403" s="29" t="str">
        <f t="shared" si="30"/>
        <v/>
      </c>
      <c r="H403" s="29" t="str">
        <f t="shared" si="31"/>
        <v/>
      </c>
      <c r="I403" s="29" t="str">
        <f t="shared" si="32"/>
        <v/>
      </c>
      <c r="J403" s="29" t="str">
        <f t="shared" si="33"/>
        <v/>
      </c>
      <c r="K403" s="29" t="str">
        <f t="shared" si="34"/>
        <v/>
      </c>
    </row>
    <row r="404" spans="1:11" ht="15" x14ac:dyDescent="0.25">
      <c r="A404" s="1" t="str">
        <f>IF('1.1 Produksi Bersih Padi 2025'!A404="","",'1.1 Produksi Bersih Padi 2025'!A404)</f>
        <v/>
      </c>
      <c r="B404" s="31" t="str">
        <f>IF('1.1 Produksi Bersih Padi 2025'!B404="","",'1.1 Produksi Bersih Padi 2025'!B404)</f>
        <v/>
      </c>
      <c r="C404" s="31" t="str">
        <f>IF('1.1 Produksi Bersih Padi 2025'!C404="","",'1.1 Produksi Bersih Padi 2025'!C404)</f>
        <v/>
      </c>
      <c r="D404" s="1" t="str">
        <f>IF('1.1 Produksi Bersih Padi 2025'!D404="","",'1.1 Produksi Bersih Padi 2025'!D404)</f>
        <v/>
      </c>
      <c r="E404" s="1" t="str">
        <f>IF('1.1 Produksi Bersih Padi 2025'!E404="","",'1.1 Produksi Bersih Padi 2025'!E404)</f>
        <v/>
      </c>
      <c r="F404" s="28" t="str">
        <f>IF(D404="","",VLOOKUP(D404,'[1]0.1 Produksi Pangan &amp; Penduduk'!$D$5:$AE$860,28,0))</f>
        <v/>
      </c>
      <c r="G404" s="29" t="str">
        <f t="shared" si="30"/>
        <v/>
      </c>
      <c r="H404" s="29" t="str">
        <f t="shared" si="31"/>
        <v/>
      </c>
      <c r="I404" s="29" t="str">
        <f t="shared" si="32"/>
        <v/>
      </c>
      <c r="J404" s="29" t="str">
        <f t="shared" si="33"/>
        <v/>
      </c>
      <c r="K404" s="29" t="str">
        <f t="shared" si="34"/>
        <v/>
      </c>
    </row>
    <row r="405" spans="1:11" ht="15" x14ac:dyDescent="0.25">
      <c r="A405" s="1" t="str">
        <f>IF('1.1 Produksi Bersih Padi 2025'!A405="","",'1.1 Produksi Bersih Padi 2025'!A405)</f>
        <v/>
      </c>
      <c r="B405" s="31" t="str">
        <f>IF('1.1 Produksi Bersih Padi 2025'!B405="","",'1.1 Produksi Bersih Padi 2025'!B405)</f>
        <v/>
      </c>
      <c r="C405" s="31" t="str">
        <f>IF('1.1 Produksi Bersih Padi 2025'!C405="","",'1.1 Produksi Bersih Padi 2025'!C405)</f>
        <v/>
      </c>
      <c r="D405" s="1" t="str">
        <f>IF('1.1 Produksi Bersih Padi 2025'!D405="","",'1.1 Produksi Bersih Padi 2025'!D405)</f>
        <v/>
      </c>
      <c r="E405" s="1" t="str">
        <f>IF('1.1 Produksi Bersih Padi 2025'!E405="","",'1.1 Produksi Bersih Padi 2025'!E405)</f>
        <v/>
      </c>
      <c r="F405" s="28" t="str">
        <f>IF(D405="","",VLOOKUP(D405,'[1]0.1 Produksi Pangan &amp; Penduduk'!$D$5:$AE$860,28,0))</f>
        <v/>
      </c>
      <c r="G405" s="29" t="str">
        <f t="shared" si="30"/>
        <v/>
      </c>
      <c r="H405" s="29" t="str">
        <f t="shared" si="31"/>
        <v/>
      </c>
      <c r="I405" s="29" t="str">
        <f t="shared" si="32"/>
        <v/>
      </c>
      <c r="J405" s="29" t="str">
        <f t="shared" si="33"/>
        <v/>
      </c>
      <c r="K405" s="29" t="str">
        <f t="shared" si="34"/>
        <v/>
      </c>
    </row>
    <row r="406" spans="1:11" ht="15" x14ac:dyDescent="0.25">
      <c r="A406" s="1" t="str">
        <f>IF('1.1 Produksi Bersih Padi 2025'!A406="","",'1.1 Produksi Bersih Padi 2025'!A406)</f>
        <v/>
      </c>
      <c r="B406" s="31" t="str">
        <f>IF('1.1 Produksi Bersih Padi 2025'!B406="","",'1.1 Produksi Bersih Padi 2025'!B406)</f>
        <v/>
      </c>
      <c r="C406" s="31" t="str">
        <f>IF('1.1 Produksi Bersih Padi 2025'!C406="","",'1.1 Produksi Bersih Padi 2025'!C406)</f>
        <v/>
      </c>
      <c r="D406" s="1" t="str">
        <f>IF('1.1 Produksi Bersih Padi 2025'!D406="","",'1.1 Produksi Bersih Padi 2025'!D406)</f>
        <v/>
      </c>
      <c r="E406" s="1" t="str">
        <f>IF('1.1 Produksi Bersih Padi 2025'!E406="","",'1.1 Produksi Bersih Padi 2025'!E406)</f>
        <v/>
      </c>
      <c r="F406" s="28" t="str">
        <f>IF(D406="","",VLOOKUP(D406,'[1]0.1 Produksi Pangan &amp; Penduduk'!$D$5:$AE$860,28,0))</f>
        <v/>
      </c>
      <c r="G406" s="29" t="str">
        <f t="shared" si="30"/>
        <v/>
      </c>
      <c r="H406" s="29" t="str">
        <f t="shared" si="31"/>
        <v/>
      </c>
      <c r="I406" s="29" t="str">
        <f t="shared" si="32"/>
        <v/>
      </c>
      <c r="J406" s="29" t="str">
        <f t="shared" si="33"/>
        <v/>
      </c>
      <c r="K406" s="29" t="str">
        <f t="shared" si="34"/>
        <v/>
      </c>
    </row>
    <row r="407" spans="1:11" ht="15" x14ac:dyDescent="0.25">
      <c r="A407" s="1" t="str">
        <f>IF('1.1 Produksi Bersih Padi 2025'!A407="","",'1.1 Produksi Bersih Padi 2025'!A407)</f>
        <v/>
      </c>
      <c r="B407" s="31" t="str">
        <f>IF('1.1 Produksi Bersih Padi 2025'!B407="","",'1.1 Produksi Bersih Padi 2025'!B407)</f>
        <v/>
      </c>
      <c r="C407" s="31" t="str">
        <f>IF('1.1 Produksi Bersih Padi 2025'!C407="","",'1.1 Produksi Bersih Padi 2025'!C407)</f>
        <v/>
      </c>
      <c r="D407" s="1" t="str">
        <f>IF('1.1 Produksi Bersih Padi 2025'!D407="","",'1.1 Produksi Bersih Padi 2025'!D407)</f>
        <v/>
      </c>
      <c r="E407" s="1" t="str">
        <f>IF('1.1 Produksi Bersih Padi 2025'!E407="","",'1.1 Produksi Bersih Padi 2025'!E407)</f>
        <v/>
      </c>
      <c r="F407" s="28" t="str">
        <f>IF(D407="","",VLOOKUP(D407,'[1]0.1 Produksi Pangan &amp; Penduduk'!$D$5:$AE$860,28,0))</f>
        <v/>
      </c>
      <c r="G407" s="29" t="str">
        <f t="shared" si="30"/>
        <v/>
      </c>
      <c r="H407" s="29" t="str">
        <f t="shared" si="31"/>
        <v/>
      </c>
      <c r="I407" s="29" t="str">
        <f t="shared" si="32"/>
        <v/>
      </c>
      <c r="J407" s="29" t="str">
        <f t="shared" si="33"/>
        <v/>
      </c>
      <c r="K407" s="29" t="str">
        <f t="shared" si="34"/>
        <v/>
      </c>
    </row>
    <row r="408" spans="1:11" ht="15" x14ac:dyDescent="0.25">
      <c r="A408" s="1" t="str">
        <f>IF('1.1 Produksi Bersih Padi 2025'!A408="","",'1.1 Produksi Bersih Padi 2025'!A408)</f>
        <v/>
      </c>
      <c r="B408" s="31" t="str">
        <f>IF('1.1 Produksi Bersih Padi 2025'!B408="","",'1.1 Produksi Bersih Padi 2025'!B408)</f>
        <v/>
      </c>
      <c r="C408" s="31" t="str">
        <f>IF('1.1 Produksi Bersih Padi 2025'!C408="","",'1.1 Produksi Bersih Padi 2025'!C408)</f>
        <v/>
      </c>
      <c r="D408" s="1" t="str">
        <f>IF('1.1 Produksi Bersih Padi 2025'!D408="","",'1.1 Produksi Bersih Padi 2025'!D408)</f>
        <v/>
      </c>
      <c r="E408" s="1" t="str">
        <f>IF('1.1 Produksi Bersih Padi 2025'!E408="","",'1.1 Produksi Bersih Padi 2025'!E408)</f>
        <v/>
      </c>
      <c r="F408" s="28" t="str">
        <f>IF(D408="","",VLOOKUP(D408,'[1]0.1 Produksi Pangan &amp; Penduduk'!$D$5:$AE$860,28,0))</f>
        <v/>
      </c>
      <c r="G408" s="29" t="str">
        <f t="shared" si="30"/>
        <v/>
      </c>
      <c r="H408" s="29" t="str">
        <f t="shared" si="31"/>
        <v/>
      </c>
      <c r="I408" s="29" t="str">
        <f t="shared" si="32"/>
        <v/>
      </c>
      <c r="J408" s="29" t="str">
        <f t="shared" si="33"/>
        <v/>
      </c>
      <c r="K408" s="29" t="str">
        <f t="shared" si="34"/>
        <v/>
      </c>
    </row>
    <row r="409" spans="1:11" ht="15" x14ac:dyDescent="0.25">
      <c r="A409" s="1" t="str">
        <f>IF('1.1 Produksi Bersih Padi 2025'!A409="","",'1.1 Produksi Bersih Padi 2025'!A409)</f>
        <v/>
      </c>
      <c r="B409" s="31" t="str">
        <f>IF('1.1 Produksi Bersih Padi 2025'!B409="","",'1.1 Produksi Bersih Padi 2025'!B409)</f>
        <v/>
      </c>
      <c r="C409" s="31" t="str">
        <f>IF('1.1 Produksi Bersih Padi 2025'!C409="","",'1.1 Produksi Bersih Padi 2025'!C409)</f>
        <v/>
      </c>
      <c r="D409" s="1" t="str">
        <f>IF('1.1 Produksi Bersih Padi 2025'!D409="","",'1.1 Produksi Bersih Padi 2025'!D409)</f>
        <v/>
      </c>
      <c r="E409" s="1" t="str">
        <f>IF('1.1 Produksi Bersih Padi 2025'!E409="","",'1.1 Produksi Bersih Padi 2025'!E409)</f>
        <v/>
      </c>
      <c r="F409" s="28" t="str">
        <f>IF(D409="","",VLOOKUP(D409,'[1]0.1 Produksi Pangan &amp; Penduduk'!$D$5:$AE$860,28,0))</f>
        <v/>
      </c>
      <c r="G409" s="29" t="str">
        <f t="shared" si="30"/>
        <v/>
      </c>
      <c r="H409" s="29" t="str">
        <f t="shared" si="31"/>
        <v/>
      </c>
      <c r="I409" s="29" t="str">
        <f t="shared" si="32"/>
        <v/>
      </c>
      <c r="J409" s="29" t="str">
        <f t="shared" si="33"/>
        <v/>
      </c>
      <c r="K409" s="29" t="str">
        <f t="shared" si="34"/>
        <v/>
      </c>
    </row>
    <row r="410" spans="1:11" ht="15" x14ac:dyDescent="0.25">
      <c r="A410" s="1" t="str">
        <f>IF('1.1 Produksi Bersih Padi 2025'!A410="","",'1.1 Produksi Bersih Padi 2025'!A410)</f>
        <v/>
      </c>
      <c r="B410" s="31" t="str">
        <f>IF('1.1 Produksi Bersih Padi 2025'!B410="","",'1.1 Produksi Bersih Padi 2025'!B410)</f>
        <v/>
      </c>
      <c r="C410" s="31" t="str">
        <f>IF('1.1 Produksi Bersih Padi 2025'!C410="","",'1.1 Produksi Bersih Padi 2025'!C410)</f>
        <v/>
      </c>
      <c r="D410" s="1" t="str">
        <f>IF('1.1 Produksi Bersih Padi 2025'!D410="","",'1.1 Produksi Bersih Padi 2025'!D410)</f>
        <v/>
      </c>
      <c r="E410" s="1" t="str">
        <f>IF('1.1 Produksi Bersih Padi 2025'!E410="","",'1.1 Produksi Bersih Padi 2025'!E410)</f>
        <v/>
      </c>
      <c r="F410" s="28" t="str">
        <f>IF(D410="","",VLOOKUP(D410,'[1]0.1 Produksi Pangan &amp; Penduduk'!$D$5:$AE$860,28,0))</f>
        <v/>
      </c>
      <c r="G410" s="29" t="str">
        <f t="shared" si="30"/>
        <v/>
      </c>
      <c r="H410" s="29" t="str">
        <f t="shared" si="31"/>
        <v/>
      </c>
      <c r="I410" s="29" t="str">
        <f t="shared" si="32"/>
        <v/>
      </c>
      <c r="J410" s="29" t="str">
        <f t="shared" si="33"/>
        <v/>
      </c>
      <c r="K410" s="29" t="str">
        <f t="shared" si="34"/>
        <v/>
      </c>
    </row>
    <row r="411" spans="1:11" ht="15" x14ac:dyDescent="0.25">
      <c r="A411" s="1" t="str">
        <f>IF('1.1 Produksi Bersih Padi 2025'!A411="","",'1.1 Produksi Bersih Padi 2025'!A411)</f>
        <v/>
      </c>
      <c r="B411" s="31" t="str">
        <f>IF('1.1 Produksi Bersih Padi 2025'!B411="","",'1.1 Produksi Bersih Padi 2025'!B411)</f>
        <v/>
      </c>
      <c r="C411" s="31" t="str">
        <f>IF('1.1 Produksi Bersih Padi 2025'!C411="","",'1.1 Produksi Bersih Padi 2025'!C411)</f>
        <v/>
      </c>
      <c r="D411" s="1" t="str">
        <f>IF('1.1 Produksi Bersih Padi 2025'!D411="","",'1.1 Produksi Bersih Padi 2025'!D411)</f>
        <v/>
      </c>
      <c r="E411" s="1" t="str">
        <f>IF('1.1 Produksi Bersih Padi 2025'!E411="","",'1.1 Produksi Bersih Padi 2025'!E411)</f>
        <v/>
      </c>
      <c r="F411" s="28" t="str">
        <f>IF(D411="","",VLOOKUP(D411,'[1]0.1 Produksi Pangan &amp; Penduduk'!$D$5:$AE$860,28,0))</f>
        <v/>
      </c>
      <c r="G411" s="29" t="str">
        <f t="shared" si="30"/>
        <v/>
      </c>
      <c r="H411" s="29" t="str">
        <f t="shared" si="31"/>
        <v/>
      </c>
      <c r="I411" s="29" t="str">
        <f t="shared" si="32"/>
        <v/>
      </c>
      <c r="J411" s="29" t="str">
        <f t="shared" si="33"/>
        <v/>
      </c>
      <c r="K411" s="29" t="str">
        <f t="shared" si="34"/>
        <v/>
      </c>
    </row>
    <row r="412" spans="1:11" ht="15" x14ac:dyDescent="0.25">
      <c r="A412" s="1" t="str">
        <f>IF('1.1 Produksi Bersih Padi 2025'!A412="","",'1.1 Produksi Bersih Padi 2025'!A412)</f>
        <v/>
      </c>
      <c r="B412" s="31" t="str">
        <f>IF('1.1 Produksi Bersih Padi 2025'!B412="","",'1.1 Produksi Bersih Padi 2025'!B412)</f>
        <v/>
      </c>
      <c r="C412" s="31" t="str">
        <f>IF('1.1 Produksi Bersih Padi 2025'!C412="","",'1.1 Produksi Bersih Padi 2025'!C412)</f>
        <v/>
      </c>
      <c r="D412" s="1" t="str">
        <f>IF('1.1 Produksi Bersih Padi 2025'!D412="","",'1.1 Produksi Bersih Padi 2025'!D412)</f>
        <v/>
      </c>
      <c r="E412" s="1" t="str">
        <f>IF('1.1 Produksi Bersih Padi 2025'!E412="","",'1.1 Produksi Bersih Padi 2025'!E412)</f>
        <v/>
      </c>
      <c r="F412" s="28" t="str">
        <f>IF(D412="","",VLOOKUP(D412,'[1]0.1 Produksi Pangan &amp; Penduduk'!$D$5:$AE$860,28,0))</f>
        <v/>
      </c>
      <c r="G412" s="29" t="str">
        <f t="shared" si="30"/>
        <v/>
      </c>
      <c r="H412" s="29" t="str">
        <f t="shared" si="31"/>
        <v/>
      </c>
      <c r="I412" s="29" t="str">
        <f t="shared" si="32"/>
        <v/>
      </c>
      <c r="J412" s="29" t="str">
        <f t="shared" si="33"/>
        <v/>
      </c>
      <c r="K412" s="29" t="str">
        <f t="shared" si="34"/>
        <v/>
      </c>
    </row>
    <row r="413" spans="1:11" ht="15" x14ac:dyDescent="0.25">
      <c r="A413" s="1" t="str">
        <f>IF('1.1 Produksi Bersih Padi 2025'!A413="","",'1.1 Produksi Bersih Padi 2025'!A413)</f>
        <v/>
      </c>
      <c r="B413" s="31" t="str">
        <f>IF('1.1 Produksi Bersih Padi 2025'!B413="","",'1.1 Produksi Bersih Padi 2025'!B413)</f>
        <v/>
      </c>
      <c r="C413" s="31" t="str">
        <f>IF('1.1 Produksi Bersih Padi 2025'!C413="","",'1.1 Produksi Bersih Padi 2025'!C413)</f>
        <v/>
      </c>
      <c r="D413" s="1" t="str">
        <f>IF('1.1 Produksi Bersih Padi 2025'!D413="","",'1.1 Produksi Bersih Padi 2025'!D413)</f>
        <v/>
      </c>
      <c r="E413" s="1" t="str">
        <f>IF('1.1 Produksi Bersih Padi 2025'!E413="","",'1.1 Produksi Bersih Padi 2025'!E413)</f>
        <v/>
      </c>
      <c r="F413" s="28" t="str">
        <f>IF(D413="","",VLOOKUP(D413,'[1]0.1 Produksi Pangan &amp; Penduduk'!$D$5:$AE$860,28,0))</f>
        <v/>
      </c>
      <c r="G413" s="29" t="str">
        <f t="shared" si="30"/>
        <v/>
      </c>
      <c r="H413" s="29" t="str">
        <f t="shared" si="31"/>
        <v/>
      </c>
      <c r="I413" s="29" t="str">
        <f t="shared" si="32"/>
        <v/>
      </c>
      <c r="J413" s="29" t="str">
        <f t="shared" si="33"/>
        <v/>
      </c>
      <c r="K413" s="29" t="str">
        <f t="shared" si="34"/>
        <v/>
      </c>
    </row>
    <row r="414" spans="1:11" ht="15" x14ac:dyDescent="0.25">
      <c r="A414" s="1" t="str">
        <f>IF('1.1 Produksi Bersih Padi 2025'!A414="","",'1.1 Produksi Bersih Padi 2025'!A414)</f>
        <v/>
      </c>
      <c r="B414" s="31" t="str">
        <f>IF('1.1 Produksi Bersih Padi 2025'!B414="","",'1.1 Produksi Bersih Padi 2025'!B414)</f>
        <v/>
      </c>
      <c r="C414" s="31" t="str">
        <f>IF('1.1 Produksi Bersih Padi 2025'!C414="","",'1.1 Produksi Bersih Padi 2025'!C414)</f>
        <v/>
      </c>
      <c r="D414" s="1" t="str">
        <f>IF('1.1 Produksi Bersih Padi 2025'!D414="","",'1.1 Produksi Bersih Padi 2025'!D414)</f>
        <v/>
      </c>
      <c r="E414" s="1" t="str">
        <f>IF('1.1 Produksi Bersih Padi 2025'!E414="","",'1.1 Produksi Bersih Padi 2025'!E414)</f>
        <v/>
      </c>
      <c r="F414" s="28" t="str">
        <f>IF(D414="","",VLOOKUP(D414,'[1]0.1 Produksi Pangan &amp; Penduduk'!$D$5:$AE$860,28,0))</f>
        <v/>
      </c>
      <c r="G414" s="29" t="str">
        <f t="shared" si="30"/>
        <v/>
      </c>
      <c r="H414" s="29" t="str">
        <f t="shared" si="31"/>
        <v/>
      </c>
      <c r="I414" s="29" t="str">
        <f t="shared" si="32"/>
        <v/>
      </c>
      <c r="J414" s="29" t="str">
        <f t="shared" si="33"/>
        <v/>
      </c>
      <c r="K414" s="29" t="str">
        <f t="shared" si="34"/>
        <v/>
      </c>
    </row>
    <row r="415" spans="1:11" ht="15" x14ac:dyDescent="0.25">
      <c r="A415" s="1" t="str">
        <f>IF('1.1 Produksi Bersih Padi 2025'!A415="","",'1.1 Produksi Bersih Padi 2025'!A415)</f>
        <v/>
      </c>
      <c r="B415" s="31" t="str">
        <f>IF('1.1 Produksi Bersih Padi 2025'!B415="","",'1.1 Produksi Bersih Padi 2025'!B415)</f>
        <v/>
      </c>
      <c r="C415" s="31" t="str">
        <f>IF('1.1 Produksi Bersih Padi 2025'!C415="","",'1.1 Produksi Bersih Padi 2025'!C415)</f>
        <v/>
      </c>
      <c r="D415" s="1" t="str">
        <f>IF('1.1 Produksi Bersih Padi 2025'!D415="","",'1.1 Produksi Bersih Padi 2025'!D415)</f>
        <v/>
      </c>
      <c r="E415" s="1" t="str">
        <f>IF('1.1 Produksi Bersih Padi 2025'!E415="","",'1.1 Produksi Bersih Padi 2025'!E415)</f>
        <v/>
      </c>
      <c r="F415" s="28" t="str">
        <f>IF(D415="","",VLOOKUP(D415,'[1]0.1 Produksi Pangan &amp; Penduduk'!$D$5:$AE$860,28,0))</f>
        <v/>
      </c>
      <c r="G415" s="29" t="str">
        <f t="shared" si="30"/>
        <v/>
      </c>
      <c r="H415" s="29" t="str">
        <f t="shared" si="31"/>
        <v/>
      </c>
      <c r="I415" s="29" t="str">
        <f t="shared" si="32"/>
        <v/>
      </c>
      <c r="J415" s="29" t="str">
        <f t="shared" si="33"/>
        <v/>
      </c>
      <c r="K415" s="29" t="str">
        <f t="shared" si="34"/>
        <v/>
      </c>
    </row>
    <row r="416" spans="1:11" ht="15" x14ac:dyDescent="0.25">
      <c r="A416" s="1" t="str">
        <f>IF('1.1 Produksi Bersih Padi 2025'!A416="","",'1.1 Produksi Bersih Padi 2025'!A416)</f>
        <v/>
      </c>
      <c r="B416" s="31" t="str">
        <f>IF('1.1 Produksi Bersih Padi 2025'!B416="","",'1.1 Produksi Bersih Padi 2025'!B416)</f>
        <v/>
      </c>
      <c r="C416" s="31" t="str">
        <f>IF('1.1 Produksi Bersih Padi 2025'!C416="","",'1.1 Produksi Bersih Padi 2025'!C416)</f>
        <v/>
      </c>
      <c r="D416" s="1" t="str">
        <f>IF('1.1 Produksi Bersih Padi 2025'!D416="","",'1.1 Produksi Bersih Padi 2025'!D416)</f>
        <v/>
      </c>
      <c r="E416" s="1" t="str">
        <f>IF('1.1 Produksi Bersih Padi 2025'!E416="","",'1.1 Produksi Bersih Padi 2025'!E416)</f>
        <v/>
      </c>
      <c r="F416" s="28" t="str">
        <f>IF(D416="","",VLOOKUP(D416,'[1]0.1 Produksi Pangan &amp; Penduduk'!$D$5:$AE$860,28,0))</f>
        <v/>
      </c>
      <c r="G416" s="29" t="str">
        <f t="shared" si="30"/>
        <v/>
      </c>
      <c r="H416" s="29" t="str">
        <f t="shared" si="31"/>
        <v/>
      </c>
      <c r="I416" s="29" t="str">
        <f t="shared" si="32"/>
        <v/>
      </c>
      <c r="J416" s="29" t="str">
        <f t="shared" si="33"/>
        <v/>
      </c>
      <c r="K416" s="29" t="str">
        <f t="shared" si="34"/>
        <v/>
      </c>
    </row>
    <row r="417" spans="1:11" ht="15" x14ac:dyDescent="0.25">
      <c r="A417" s="1" t="str">
        <f>IF('1.1 Produksi Bersih Padi 2025'!A417="","",'1.1 Produksi Bersih Padi 2025'!A417)</f>
        <v/>
      </c>
      <c r="B417" s="31" t="str">
        <f>IF('1.1 Produksi Bersih Padi 2025'!B417="","",'1.1 Produksi Bersih Padi 2025'!B417)</f>
        <v/>
      </c>
      <c r="C417" s="31" t="str">
        <f>IF('1.1 Produksi Bersih Padi 2025'!C417="","",'1.1 Produksi Bersih Padi 2025'!C417)</f>
        <v/>
      </c>
      <c r="D417" s="1" t="str">
        <f>IF('1.1 Produksi Bersih Padi 2025'!D417="","",'1.1 Produksi Bersih Padi 2025'!D417)</f>
        <v/>
      </c>
      <c r="E417" s="1" t="str">
        <f>IF('1.1 Produksi Bersih Padi 2025'!E417="","",'1.1 Produksi Bersih Padi 2025'!E417)</f>
        <v/>
      </c>
      <c r="F417" s="28" t="str">
        <f>IF(D417="","",VLOOKUP(D417,'[1]0.1 Produksi Pangan &amp; Penduduk'!$D$5:$AE$860,28,0))</f>
        <v/>
      </c>
      <c r="G417" s="29" t="str">
        <f t="shared" si="30"/>
        <v/>
      </c>
      <c r="H417" s="29" t="str">
        <f t="shared" si="31"/>
        <v/>
      </c>
      <c r="I417" s="29" t="str">
        <f t="shared" si="32"/>
        <v/>
      </c>
      <c r="J417" s="29" t="str">
        <f t="shared" si="33"/>
        <v/>
      </c>
      <c r="K417" s="29" t="str">
        <f t="shared" si="34"/>
        <v/>
      </c>
    </row>
    <row r="418" spans="1:11" ht="15" x14ac:dyDescent="0.25">
      <c r="A418" s="1" t="str">
        <f>IF('1.1 Produksi Bersih Padi 2025'!A418="","",'1.1 Produksi Bersih Padi 2025'!A418)</f>
        <v/>
      </c>
      <c r="B418" s="31" t="str">
        <f>IF('1.1 Produksi Bersih Padi 2025'!B418="","",'1.1 Produksi Bersih Padi 2025'!B418)</f>
        <v/>
      </c>
      <c r="C418" s="31" t="str">
        <f>IF('1.1 Produksi Bersih Padi 2025'!C418="","",'1.1 Produksi Bersih Padi 2025'!C418)</f>
        <v/>
      </c>
      <c r="D418" s="1" t="str">
        <f>IF('1.1 Produksi Bersih Padi 2025'!D418="","",'1.1 Produksi Bersih Padi 2025'!D418)</f>
        <v/>
      </c>
      <c r="E418" s="1" t="str">
        <f>IF('1.1 Produksi Bersih Padi 2025'!E418="","",'1.1 Produksi Bersih Padi 2025'!E418)</f>
        <v/>
      </c>
      <c r="F418" s="28" t="str">
        <f>IF(D418="","",VLOOKUP(D418,'[1]0.1 Produksi Pangan &amp; Penduduk'!$D$5:$AE$860,28,0))</f>
        <v/>
      </c>
      <c r="G418" s="29" t="str">
        <f t="shared" si="30"/>
        <v/>
      </c>
      <c r="H418" s="29" t="str">
        <f t="shared" si="31"/>
        <v/>
      </c>
      <c r="I418" s="29" t="str">
        <f t="shared" si="32"/>
        <v/>
      </c>
      <c r="J418" s="29" t="str">
        <f t="shared" si="33"/>
        <v/>
      </c>
      <c r="K418" s="29" t="str">
        <f t="shared" si="34"/>
        <v/>
      </c>
    </row>
    <row r="419" spans="1:11" ht="15" x14ac:dyDescent="0.25">
      <c r="A419" s="1" t="str">
        <f>IF('1.1 Produksi Bersih Padi 2025'!A419="","",'1.1 Produksi Bersih Padi 2025'!A419)</f>
        <v/>
      </c>
      <c r="B419" s="31" t="str">
        <f>IF('1.1 Produksi Bersih Padi 2025'!B419="","",'1.1 Produksi Bersih Padi 2025'!B419)</f>
        <v/>
      </c>
      <c r="C419" s="31" t="str">
        <f>IF('1.1 Produksi Bersih Padi 2025'!C419="","",'1.1 Produksi Bersih Padi 2025'!C419)</f>
        <v/>
      </c>
      <c r="D419" s="1" t="str">
        <f>IF('1.1 Produksi Bersih Padi 2025'!D419="","",'1.1 Produksi Bersih Padi 2025'!D419)</f>
        <v/>
      </c>
      <c r="E419" s="1" t="str">
        <f>IF('1.1 Produksi Bersih Padi 2025'!E419="","",'1.1 Produksi Bersih Padi 2025'!E419)</f>
        <v/>
      </c>
      <c r="F419" s="28" t="str">
        <f>IF(D419="","",VLOOKUP(D419,'[1]0.1 Produksi Pangan &amp; Penduduk'!$D$5:$AE$860,28,0))</f>
        <v/>
      </c>
      <c r="G419" s="29" t="str">
        <f t="shared" si="30"/>
        <v/>
      </c>
      <c r="H419" s="29" t="str">
        <f t="shared" si="31"/>
        <v/>
      </c>
      <c r="I419" s="29" t="str">
        <f t="shared" si="32"/>
        <v/>
      </c>
      <c r="J419" s="29" t="str">
        <f t="shared" si="33"/>
        <v/>
      </c>
      <c r="K419" s="29" t="str">
        <f t="shared" si="34"/>
        <v/>
      </c>
    </row>
    <row r="420" spans="1:11" ht="15" x14ac:dyDescent="0.25">
      <c r="A420" s="1" t="str">
        <f>IF('1.1 Produksi Bersih Padi 2025'!A420="","",'1.1 Produksi Bersih Padi 2025'!A420)</f>
        <v/>
      </c>
      <c r="B420" s="31" t="str">
        <f>IF('1.1 Produksi Bersih Padi 2025'!B420="","",'1.1 Produksi Bersih Padi 2025'!B420)</f>
        <v/>
      </c>
      <c r="C420" s="31" t="str">
        <f>IF('1.1 Produksi Bersih Padi 2025'!C420="","",'1.1 Produksi Bersih Padi 2025'!C420)</f>
        <v/>
      </c>
      <c r="D420" s="1" t="str">
        <f>IF('1.1 Produksi Bersih Padi 2025'!D420="","",'1.1 Produksi Bersih Padi 2025'!D420)</f>
        <v/>
      </c>
      <c r="E420" s="1" t="str">
        <f>IF('1.1 Produksi Bersih Padi 2025'!E420="","",'1.1 Produksi Bersih Padi 2025'!E420)</f>
        <v/>
      </c>
      <c r="F420" s="28" t="str">
        <f>IF(D420="","",VLOOKUP(D420,'[1]0.1 Produksi Pangan &amp; Penduduk'!$D$5:$AE$860,28,0))</f>
        <v/>
      </c>
      <c r="G420" s="29" t="str">
        <f t="shared" si="30"/>
        <v/>
      </c>
      <c r="H420" s="29" t="str">
        <f t="shared" si="31"/>
        <v/>
      </c>
      <c r="I420" s="29" t="str">
        <f t="shared" si="32"/>
        <v/>
      </c>
      <c r="J420" s="29" t="str">
        <f t="shared" si="33"/>
        <v/>
      </c>
      <c r="K420" s="29" t="str">
        <f t="shared" si="34"/>
        <v/>
      </c>
    </row>
    <row r="421" spans="1:11" ht="15" x14ac:dyDescent="0.25">
      <c r="A421" s="1" t="str">
        <f>IF('1.1 Produksi Bersih Padi 2025'!A421="","",'1.1 Produksi Bersih Padi 2025'!A421)</f>
        <v/>
      </c>
      <c r="B421" s="31" t="str">
        <f>IF('1.1 Produksi Bersih Padi 2025'!B421="","",'1.1 Produksi Bersih Padi 2025'!B421)</f>
        <v/>
      </c>
      <c r="C421" s="31" t="str">
        <f>IF('1.1 Produksi Bersih Padi 2025'!C421="","",'1.1 Produksi Bersih Padi 2025'!C421)</f>
        <v/>
      </c>
      <c r="D421" s="1" t="str">
        <f>IF('1.1 Produksi Bersih Padi 2025'!D421="","",'1.1 Produksi Bersih Padi 2025'!D421)</f>
        <v/>
      </c>
      <c r="E421" s="1" t="str">
        <f>IF('1.1 Produksi Bersih Padi 2025'!E421="","",'1.1 Produksi Bersih Padi 2025'!E421)</f>
        <v/>
      </c>
      <c r="F421" s="28" t="str">
        <f>IF(D421="","",VLOOKUP(D421,'[1]0.1 Produksi Pangan &amp; Penduduk'!$D$5:$AE$860,28,0))</f>
        <v/>
      </c>
      <c r="G421" s="29" t="str">
        <f t="shared" si="30"/>
        <v/>
      </c>
      <c r="H421" s="29" t="str">
        <f t="shared" si="31"/>
        <v/>
      </c>
      <c r="I421" s="29" t="str">
        <f t="shared" si="32"/>
        <v/>
      </c>
      <c r="J421" s="29" t="str">
        <f t="shared" si="33"/>
        <v/>
      </c>
      <c r="K421" s="29" t="str">
        <f t="shared" si="34"/>
        <v/>
      </c>
    </row>
    <row r="422" spans="1:11" ht="15" x14ac:dyDescent="0.25">
      <c r="A422" s="1" t="str">
        <f>IF('1.1 Produksi Bersih Padi 2025'!A422="","",'1.1 Produksi Bersih Padi 2025'!A422)</f>
        <v/>
      </c>
      <c r="B422" s="31" t="str">
        <f>IF('1.1 Produksi Bersih Padi 2025'!B422="","",'1.1 Produksi Bersih Padi 2025'!B422)</f>
        <v/>
      </c>
      <c r="C422" s="31" t="str">
        <f>IF('1.1 Produksi Bersih Padi 2025'!C422="","",'1.1 Produksi Bersih Padi 2025'!C422)</f>
        <v/>
      </c>
      <c r="D422" s="1" t="str">
        <f>IF('1.1 Produksi Bersih Padi 2025'!D422="","",'1.1 Produksi Bersih Padi 2025'!D422)</f>
        <v/>
      </c>
      <c r="E422" s="1" t="str">
        <f>IF('1.1 Produksi Bersih Padi 2025'!E422="","",'1.1 Produksi Bersih Padi 2025'!E422)</f>
        <v/>
      </c>
      <c r="F422" s="28" t="str">
        <f>IF(D422="","",VLOOKUP(D422,'[1]0.1 Produksi Pangan &amp; Penduduk'!$D$5:$AE$860,28,0))</f>
        <v/>
      </c>
      <c r="G422" s="29" t="str">
        <f t="shared" si="30"/>
        <v/>
      </c>
      <c r="H422" s="29" t="str">
        <f t="shared" si="31"/>
        <v/>
      </c>
      <c r="I422" s="29" t="str">
        <f t="shared" si="32"/>
        <v/>
      </c>
      <c r="J422" s="29" t="str">
        <f t="shared" si="33"/>
        <v/>
      </c>
      <c r="K422" s="29" t="str">
        <f t="shared" si="34"/>
        <v/>
      </c>
    </row>
    <row r="423" spans="1:11" ht="15" x14ac:dyDescent="0.25">
      <c r="A423" s="1" t="str">
        <f>IF('1.1 Produksi Bersih Padi 2025'!A423="","",'1.1 Produksi Bersih Padi 2025'!A423)</f>
        <v/>
      </c>
      <c r="B423" s="31" t="str">
        <f>IF('1.1 Produksi Bersih Padi 2025'!B423="","",'1.1 Produksi Bersih Padi 2025'!B423)</f>
        <v/>
      </c>
      <c r="C423" s="31" t="str">
        <f>IF('1.1 Produksi Bersih Padi 2025'!C423="","",'1.1 Produksi Bersih Padi 2025'!C423)</f>
        <v/>
      </c>
      <c r="D423" s="1" t="str">
        <f>IF('1.1 Produksi Bersih Padi 2025'!D423="","",'1.1 Produksi Bersih Padi 2025'!D423)</f>
        <v/>
      </c>
      <c r="E423" s="1" t="str">
        <f>IF('1.1 Produksi Bersih Padi 2025'!E423="","",'1.1 Produksi Bersih Padi 2025'!E423)</f>
        <v/>
      </c>
      <c r="F423" s="28" t="str">
        <f>IF(D423="","",VLOOKUP(D423,'[1]0.1 Produksi Pangan &amp; Penduduk'!$D$5:$AE$860,28,0))</f>
        <v/>
      </c>
      <c r="G423" s="29" t="str">
        <f t="shared" si="30"/>
        <v/>
      </c>
      <c r="H423" s="29" t="str">
        <f t="shared" si="31"/>
        <v/>
      </c>
      <c r="I423" s="29" t="str">
        <f t="shared" si="32"/>
        <v/>
      </c>
      <c r="J423" s="29" t="str">
        <f t="shared" si="33"/>
        <v/>
      </c>
      <c r="K423" s="29" t="str">
        <f t="shared" si="34"/>
        <v/>
      </c>
    </row>
    <row r="424" spans="1:11" ht="15" x14ac:dyDescent="0.25">
      <c r="A424" s="1" t="str">
        <f>IF('1.1 Produksi Bersih Padi 2025'!A424="","",'1.1 Produksi Bersih Padi 2025'!A424)</f>
        <v/>
      </c>
      <c r="B424" s="31" t="str">
        <f>IF('1.1 Produksi Bersih Padi 2025'!B424="","",'1.1 Produksi Bersih Padi 2025'!B424)</f>
        <v/>
      </c>
      <c r="C424" s="31" t="str">
        <f>IF('1.1 Produksi Bersih Padi 2025'!C424="","",'1.1 Produksi Bersih Padi 2025'!C424)</f>
        <v/>
      </c>
      <c r="D424" s="1" t="str">
        <f>IF('1.1 Produksi Bersih Padi 2025'!D424="","",'1.1 Produksi Bersih Padi 2025'!D424)</f>
        <v/>
      </c>
      <c r="E424" s="1" t="str">
        <f>IF('1.1 Produksi Bersih Padi 2025'!E424="","",'1.1 Produksi Bersih Padi 2025'!E424)</f>
        <v/>
      </c>
      <c r="F424" s="28" t="str">
        <f>IF(D424="","",VLOOKUP(D424,'[1]0.1 Produksi Pangan &amp; Penduduk'!$D$5:$AE$860,28,0))</f>
        <v/>
      </c>
      <c r="G424" s="29" t="str">
        <f t="shared" si="30"/>
        <v/>
      </c>
      <c r="H424" s="29" t="str">
        <f t="shared" si="31"/>
        <v/>
      </c>
      <c r="I424" s="29" t="str">
        <f t="shared" si="32"/>
        <v/>
      </c>
      <c r="J424" s="29" t="str">
        <f t="shared" si="33"/>
        <v/>
      </c>
      <c r="K424" s="29" t="str">
        <f t="shared" si="34"/>
        <v/>
      </c>
    </row>
    <row r="425" spans="1:11" ht="15" x14ac:dyDescent="0.25">
      <c r="A425" s="1" t="str">
        <f>IF('1.1 Produksi Bersih Padi 2025'!A425="","",'1.1 Produksi Bersih Padi 2025'!A425)</f>
        <v/>
      </c>
      <c r="B425" s="31" t="str">
        <f>IF('1.1 Produksi Bersih Padi 2025'!B425="","",'1.1 Produksi Bersih Padi 2025'!B425)</f>
        <v/>
      </c>
      <c r="C425" s="31" t="str">
        <f>IF('1.1 Produksi Bersih Padi 2025'!C425="","",'1.1 Produksi Bersih Padi 2025'!C425)</f>
        <v/>
      </c>
      <c r="D425" s="1" t="str">
        <f>IF('1.1 Produksi Bersih Padi 2025'!D425="","",'1.1 Produksi Bersih Padi 2025'!D425)</f>
        <v/>
      </c>
      <c r="E425" s="1" t="str">
        <f>IF('1.1 Produksi Bersih Padi 2025'!E425="","",'1.1 Produksi Bersih Padi 2025'!E425)</f>
        <v/>
      </c>
      <c r="F425" s="28" t="str">
        <f>IF(D425="","",VLOOKUP(D425,'[1]0.1 Produksi Pangan &amp; Penduduk'!$D$5:$AE$860,28,0))</f>
        <v/>
      </c>
      <c r="G425" s="29" t="str">
        <f t="shared" si="30"/>
        <v/>
      </c>
      <c r="H425" s="29" t="str">
        <f t="shared" si="31"/>
        <v/>
      </c>
      <c r="I425" s="29" t="str">
        <f t="shared" si="32"/>
        <v/>
      </c>
      <c r="J425" s="29" t="str">
        <f t="shared" si="33"/>
        <v/>
      </c>
      <c r="K425" s="29" t="str">
        <f t="shared" si="34"/>
        <v/>
      </c>
    </row>
    <row r="426" spans="1:11" ht="15" x14ac:dyDescent="0.25">
      <c r="A426" s="1" t="str">
        <f>IF('1.1 Produksi Bersih Padi 2025'!A426="","",'1.1 Produksi Bersih Padi 2025'!A426)</f>
        <v/>
      </c>
      <c r="B426" s="31" t="str">
        <f>IF('1.1 Produksi Bersih Padi 2025'!B426="","",'1.1 Produksi Bersih Padi 2025'!B426)</f>
        <v/>
      </c>
      <c r="C426" s="31" t="str">
        <f>IF('1.1 Produksi Bersih Padi 2025'!C426="","",'1.1 Produksi Bersih Padi 2025'!C426)</f>
        <v/>
      </c>
      <c r="D426" s="1" t="str">
        <f>IF('1.1 Produksi Bersih Padi 2025'!D426="","",'1.1 Produksi Bersih Padi 2025'!D426)</f>
        <v/>
      </c>
      <c r="E426" s="1" t="str">
        <f>IF('1.1 Produksi Bersih Padi 2025'!E426="","",'1.1 Produksi Bersih Padi 2025'!E426)</f>
        <v/>
      </c>
      <c r="F426" s="28" t="str">
        <f>IF(D426="","",VLOOKUP(D426,'[1]0.1 Produksi Pangan &amp; Penduduk'!$D$5:$AE$860,28,0))</f>
        <v/>
      </c>
      <c r="G426" s="29" t="str">
        <f t="shared" si="30"/>
        <v/>
      </c>
      <c r="H426" s="29" t="str">
        <f t="shared" si="31"/>
        <v/>
      </c>
      <c r="I426" s="29" t="str">
        <f t="shared" si="32"/>
        <v/>
      </c>
      <c r="J426" s="29" t="str">
        <f t="shared" si="33"/>
        <v/>
      </c>
      <c r="K426" s="29" t="str">
        <f t="shared" si="34"/>
        <v/>
      </c>
    </row>
    <row r="427" spans="1:11" ht="15" x14ac:dyDescent="0.25">
      <c r="A427" s="1" t="str">
        <f>IF('1.1 Produksi Bersih Padi 2025'!A427="","",'1.1 Produksi Bersih Padi 2025'!A427)</f>
        <v/>
      </c>
      <c r="B427" s="31" t="str">
        <f>IF('1.1 Produksi Bersih Padi 2025'!B427="","",'1.1 Produksi Bersih Padi 2025'!B427)</f>
        <v/>
      </c>
      <c r="C427" s="31" t="str">
        <f>IF('1.1 Produksi Bersih Padi 2025'!C427="","",'1.1 Produksi Bersih Padi 2025'!C427)</f>
        <v/>
      </c>
      <c r="D427" s="1" t="str">
        <f>IF('1.1 Produksi Bersih Padi 2025'!D427="","",'1.1 Produksi Bersih Padi 2025'!D427)</f>
        <v/>
      </c>
      <c r="E427" s="1" t="str">
        <f>IF('1.1 Produksi Bersih Padi 2025'!E427="","",'1.1 Produksi Bersih Padi 2025'!E427)</f>
        <v/>
      </c>
      <c r="F427" s="28" t="str">
        <f>IF(D427="","",VLOOKUP(D427,'[1]0.1 Produksi Pangan &amp; Penduduk'!$D$5:$AE$860,28,0))</f>
        <v/>
      </c>
      <c r="G427" s="29" t="str">
        <f t="shared" si="30"/>
        <v/>
      </c>
      <c r="H427" s="29" t="str">
        <f t="shared" si="31"/>
        <v/>
      </c>
      <c r="I427" s="29" t="str">
        <f t="shared" si="32"/>
        <v/>
      </c>
      <c r="J427" s="29" t="str">
        <f t="shared" si="33"/>
        <v/>
      </c>
      <c r="K427" s="29" t="str">
        <f t="shared" si="34"/>
        <v/>
      </c>
    </row>
    <row r="428" spans="1:11" ht="15" x14ac:dyDescent="0.25">
      <c r="A428" s="1" t="str">
        <f>IF('1.1 Produksi Bersih Padi 2025'!A428="","",'1.1 Produksi Bersih Padi 2025'!A428)</f>
        <v/>
      </c>
      <c r="B428" s="31" t="str">
        <f>IF('1.1 Produksi Bersih Padi 2025'!B428="","",'1.1 Produksi Bersih Padi 2025'!B428)</f>
        <v/>
      </c>
      <c r="C428" s="31" t="str">
        <f>IF('1.1 Produksi Bersih Padi 2025'!C428="","",'1.1 Produksi Bersih Padi 2025'!C428)</f>
        <v/>
      </c>
      <c r="D428" s="1" t="str">
        <f>IF('1.1 Produksi Bersih Padi 2025'!D428="","",'1.1 Produksi Bersih Padi 2025'!D428)</f>
        <v/>
      </c>
      <c r="E428" s="1" t="str">
        <f>IF('1.1 Produksi Bersih Padi 2025'!E428="","",'1.1 Produksi Bersih Padi 2025'!E428)</f>
        <v/>
      </c>
      <c r="F428" s="28" t="str">
        <f>IF(D428="","",VLOOKUP(D428,'[1]0.1 Produksi Pangan &amp; Penduduk'!$D$5:$AE$860,28,0))</f>
        <v/>
      </c>
      <c r="G428" s="29" t="str">
        <f t="shared" si="30"/>
        <v/>
      </c>
      <c r="H428" s="29" t="str">
        <f t="shared" si="31"/>
        <v/>
      </c>
      <c r="I428" s="29" t="str">
        <f t="shared" si="32"/>
        <v/>
      </c>
      <c r="J428" s="29" t="str">
        <f t="shared" si="33"/>
        <v/>
      </c>
      <c r="K428" s="29" t="str">
        <f t="shared" si="34"/>
        <v/>
      </c>
    </row>
    <row r="429" spans="1:11" ht="15" x14ac:dyDescent="0.25">
      <c r="A429" s="1" t="str">
        <f>IF('1.1 Produksi Bersih Padi 2025'!A429="","",'1.1 Produksi Bersih Padi 2025'!A429)</f>
        <v/>
      </c>
      <c r="B429" s="31" t="str">
        <f>IF('1.1 Produksi Bersih Padi 2025'!B429="","",'1.1 Produksi Bersih Padi 2025'!B429)</f>
        <v/>
      </c>
      <c r="C429" s="31" t="str">
        <f>IF('1.1 Produksi Bersih Padi 2025'!C429="","",'1.1 Produksi Bersih Padi 2025'!C429)</f>
        <v/>
      </c>
      <c r="D429" s="1" t="str">
        <f>IF('1.1 Produksi Bersih Padi 2025'!D429="","",'1.1 Produksi Bersih Padi 2025'!D429)</f>
        <v/>
      </c>
      <c r="E429" s="1" t="str">
        <f>IF('1.1 Produksi Bersih Padi 2025'!E429="","",'1.1 Produksi Bersih Padi 2025'!E429)</f>
        <v/>
      </c>
      <c r="F429" s="28" t="str">
        <f>IF(D429="","",VLOOKUP(D429,'[1]0.1 Produksi Pangan &amp; Penduduk'!$D$5:$AE$860,28,0))</f>
        <v/>
      </c>
      <c r="G429" s="29" t="str">
        <f t="shared" si="30"/>
        <v/>
      </c>
      <c r="H429" s="29" t="str">
        <f t="shared" si="31"/>
        <v/>
      </c>
      <c r="I429" s="29" t="str">
        <f t="shared" si="32"/>
        <v/>
      </c>
      <c r="J429" s="29" t="str">
        <f t="shared" si="33"/>
        <v/>
      </c>
      <c r="K429" s="29" t="str">
        <f t="shared" si="34"/>
        <v/>
      </c>
    </row>
    <row r="430" spans="1:11" ht="15" x14ac:dyDescent="0.25">
      <c r="A430" s="1" t="str">
        <f>IF('1.1 Produksi Bersih Padi 2025'!A430="","",'1.1 Produksi Bersih Padi 2025'!A430)</f>
        <v/>
      </c>
      <c r="B430" s="31" t="str">
        <f>IF('1.1 Produksi Bersih Padi 2025'!B430="","",'1.1 Produksi Bersih Padi 2025'!B430)</f>
        <v/>
      </c>
      <c r="C430" s="31" t="str">
        <f>IF('1.1 Produksi Bersih Padi 2025'!C430="","",'1.1 Produksi Bersih Padi 2025'!C430)</f>
        <v/>
      </c>
      <c r="D430" s="1" t="str">
        <f>IF('1.1 Produksi Bersih Padi 2025'!D430="","",'1.1 Produksi Bersih Padi 2025'!D430)</f>
        <v/>
      </c>
      <c r="E430" s="1" t="str">
        <f>IF('1.1 Produksi Bersih Padi 2025'!E430="","",'1.1 Produksi Bersih Padi 2025'!E430)</f>
        <v/>
      </c>
      <c r="F430" s="28" t="str">
        <f>IF(D430="","",VLOOKUP(D430,'[1]0.1 Produksi Pangan &amp; Penduduk'!$D$5:$AE$860,28,0))</f>
        <v/>
      </c>
      <c r="G430" s="29" t="str">
        <f t="shared" si="30"/>
        <v/>
      </c>
      <c r="H430" s="29" t="str">
        <f t="shared" si="31"/>
        <v/>
      </c>
      <c r="I430" s="29" t="str">
        <f t="shared" si="32"/>
        <v/>
      </c>
      <c r="J430" s="29" t="str">
        <f t="shared" si="33"/>
        <v/>
      </c>
      <c r="K430" s="29" t="str">
        <f t="shared" si="34"/>
        <v/>
      </c>
    </row>
    <row r="431" spans="1:11" ht="15" x14ac:dyDescent="0.25">
      <c r="A431" s="1" t="str">
        <f>IF('1.1 Produksi Bersih Padi 2025'!A431="","",'1.1 Produksi Bersih Padi 2025'!A431)</f>
        <v/>
      </c>
      <c r="B431" s="31" t="str">
        <f>IF('1.1 Produksi Bersih Padi 2025'!B431="","",'1.1 Produksi Bersih Padi 2025'!B431)</f>
        <v/>
      </c>
      <c r="C431" s="31" t="str">
        <f>IF('1.1 Produksi Bersih Padi 2025'!C431="","",'1.1 Produksi Bersih Padi 2025'!C431)</f>
        <v/>
      </c>
      <c r="D431" s="1" t="str">
        <f>IF('1.1 Produksi Bersih Padi 2025'!D431="","",'1.1 Produksi Bersih Padi 2025'!D431)</f>
        <v/>
      </c>
      <c r="E431" s="1" t="str">
        <f>IF('1.1 Produksi Bersih Padi 2025'!E431="","",'1.1 Produksi Bersih Padi 2025'!E431)</f>
        <v/>
      </c>
      <c r="F431" s="28" t="str">
        <f>IF(D431="","",VLOOKUP(D431,'[1]0.1 Produksi Pangan &amp; Penduduk'!$D$5:$AE$860,28,0))</f>
        <v/>
      </c>
      <c r="G431" s="29" t="str">
        <f t="shared" si="30"/>
        <v/>
      </c>
      <c r="H431" s="29" t="str">
        <f t="shared" si="31"/>
        <v/>
      </c>
      <c r="I431" s="29" t="str">
        <f t="shared" si="32"/>
        <v/>
      </c>
      <c r="J431" s="29" t="str">
        <f t="shared" si="33"/>
        <v/>
      </c>
      <c r="K431" s="29" t="str">
        <f t="shared" si="34"/>
        <v/>
      </c>
    </row>
    <row r="432" spans="1:11" ht="15" x14ac:dyDescent="0.25">
      <c r="A432" s="1" t="str">
        <f>IF('1.1 Produksi Bersih Padi 2025'!A432="","",'1.1 Produksi Bersih Padi 2025'!A432)</f>
        <v/>
      </c>
      <c r="B432" s="31" t="str">
        <f>IF('1.1 Produksi Bersih Padi 2025'!B432="","",'1.1 Produksi Bersih Padi 2025'!B432)</f>
        <v/>
      </c>
      <c r="C432" s="31" t="str">
        <f>IF('1.1 Produksi Bersih Padi 2025'!C432="","",'1.1 Produksi Bersih Padi 2025'!C432)</f>
        <v/>
      </c>
      <c r="D432" s="1" t="str">
        <f>IF('1.1 Produksi Bersih Padi 2025'!D432="","",'1.1 Produksi Bersih Padi 2025'!D432)</f>
        <v/>
      </c>
      <c r="E432" s="1" t="str">
        <f>IF('1.1 Produksi Bersih Padi 2025'!E432="","",'1.1 Produksi Bersih Padi 2025'!E432)</f>
        <v/>
      </c>
      <c r="F432" s="28" t="str">
        <f>IF(D432="","",VLOOKUP(D432,'[1]0.1 Produksi Pangan &amp; Penduduk'!$D$5:$AE$860,28,0))</f>
        <v/>
      </c>
      <c r="G432" s="29" t="str">
        <f t="shared" si="30"/>
        <v/>
      </c>
      <c r="H432" s="29" t="str">
        <f t="shared" si="31"/>
        <v/>
      </c>
      <c r="I432" s="29" t="str">
        <f t="shared" si="32"/>
        <v/>
      </c>
      <c r="J432" s="29" t="str">
        <f t="shared" si="33"/>
        <v/>
      </c>
      <c r="K432" s="29" t="str">
        <f t="shared" si="34"/>
        <v/>
      </c>
    </row>
    <row r="433" spans="1:11" ht="15" x14ac:dyDescent="0.25">
      <c r="A433" s="1" t="str">
        <f>IF('1.1 Produksi Bersih Padi 2025'!A433="","",'1.1 Produksi Bersih Padi 2025'!A433)</f>
        <v/>
      </c>
      <c r="B433" s="31" t="str">
        <f>IF('1.1 Produksi Bersih Padi 2025'!B433="","",'1.1 Produksi Bersih Padi 2025'!B433)</f>
        <v/>
      </c>
      <c r="C433" s="31" t="str">
        <f>IF('1.1 Produksi Bersih Padi 2025'!C433="","",'1.1 Produksi Bersih Padi 2025'!C433)</f>
        <v/>
      </c>
      <c r="D433" s="1" t="str">
        <f>IF('1.1 Produksi Bersih Padi 2025'!D433="","",'1.1 Produksi Bersih Padi 2025'!D433)</f>
        <v/>
      </c>
      <c r="E433" s="1" t="str">
        <f>IF('1.1 Produksi Bersih Padi 2025'!E433="","",'1.1 Produksi Bersih Padi 2025'!E433)</f>
        <v/>
      </c>
      <c r="F433" s="28" t="str">
        <f>IF(D433="","",VLOOKUP(D433,'[1]0.1 Produksi Pangan &amp; Penduduk'!$D$5:$AE$860,28,0))</f>
        <v/>
      </c>
      <c r="G433" s="29" t="str">
        <f t="shared" si="30"/>
        <v/>
      </c>
      <c r="H433" s="29" t="str">
        <f t="shared" si="31"/>
        <v/>
      </c>
      <c r="I433" s="29" t="str">
        <f t="shared" si="32"/>
        <v/>
      </c>
      <c r="J433" s="29" t="str">
        <f t="shared" si="33"/>
        <v/>
      </c>
      <c r="K433" s="29" t="str">
        <f t="shared" si="34"/>
        <v/>
      </c>
    </row>
    <row r="434" spans="1:11" ht="15" x14ac:dyDescent="0.25">
      <c r="A434" s="1" t="str">
        <f>IF('1.1 Produksi Bersih Padi 2025'!A434="","",'1.1 Produksi Bersih Padi 2025'!A434)</f>
        <v/>
      </c>
      <c r="B434" s="31" t="str">
        <f>IF('1.1 Produksi Bersih Padi 2025'!B434="","",'1.1 Produksi Bersih Padi 2025'!B434)</f>
        <v/>
      </c>
      <c r="C434" s="31" t="str">
        <f>IF('1.1 Produksi Bersih Padi 2025'!C434="","",'1.1 Produksi Bersih Padi 2025'!C434)</f>
        <v/>
      </c>
      <c r="D434" s="1" t="str">
        <f>IF('1.1 Produksi Bersih Padi 2025'!D434="","",'1.1 Produksi Bersih Padi 2025'!D434)</f>
        <v/>
      </c>
      <c r="E434" s="1" t="str">
        <f>IF('1.1 Produksi Bersih Padi 2025'!E434="","",'1.1 Produksi Bersih Padi 2025'!E434)</f>
        <v/>
      </c>
      <c r="F434" s="28" t="str">
        <f>IF(D434="","",VLOOKUP(D434,'[1]0.1 Produksi Pangan &amp; Penduduk'!$D$5:$AE$860,28,0))</f>
        <v/>
      </c>
      <c r="G434" s="29" t="str">
        <f t="shared" si="30"/>
        <v/>
      </c>
      <c r="H434" s="29" t="str">
        <f t="shared" si="31"/>
        <v/>
      </c>
      <c r="I434" s="29" t="str">
        <f t="shared" si="32"/>
        <v/>
      </c>
      <c r="J434" s="29" t="str">
        <f t="shared" si="33"/>
        <v/>
      </c>
      <c r="K434" s="29" t="str">
        <f t="shared" si="34"/>
        <v/>
      </c>
    </row>
    <row r="435" spans="1:11" ht="15" x14ac:dyDescent="0.25">
      <c r="A435" s="1" t="str">
        <f>IF('1.1 Produksi Bersih Padi 2025'!A435="","",'1.1 Produksi Bersih Padi 2025'!A435)</f>
        <v/>
      </c>
      <c r="B435" s="31" t="str">
        <f>IF('1.1 Produksi Bersih Padi 2025'!B435="","",'1.1 Produksi Bersih Padi 2025'!B435)</f>
        <v/>
      </c>
      <c r="C435" s="31" t="str">
        <f>IF('1.1 Produksi Bersih Padi 2025'!C435="","",'1.1 Produksi Bersih Padi 2025'!C435)</f>
        <v/>
      </c>
      <c r="D435" s="1" t="str">
        <f>IF('1.1 Produksi Bersih Padi 2025'!D435="","",'1.1 Produksi Bersih Padi 2025'!D435)</f>
        <v/>
      </c>
      <c r="E435" s="1" t="str">
        <f>IF('1.1 Produksi Bersih Padi 2025'!E435="","",'1.1 Produksi Bersih Padi 2025'!E435)</f>
        <v/>
      </c>
      <c r="F435" s="28" t="str">
        <f>IF(D435="","",VLOOKUP(D435,'[1]0.1 Produksi Pangan &amp; Penduduk'!$D$5:$AE$860,28,0))</f>
        <v/>
      </c>
      <c r="G435" s="29" t="str">
        <f t="shared" si="30"/>
        <v/>
      </c>
      <c r="H435" s="29" t="str">
        <f t="shared" si="31"/>
        <v/>
      </c>
      <c r="I435" s="29" t="str">
        <f t="shared" si="32"/>
        <v/>
      </c>
      <c r="J435" s="29" t="str">
        <f t="shared" si="33"/>
        <v/>
      </c>
      <c r="K435" s="29" t="str">
        <f t="shared" si="34"/>
        <v/>
      </c>
    </row>
    <row r="436" spans="1:11" ht="15" x14ac:dyDescent="0.25">
      <c r="A436" s="1" t="str">
        <f>IF('1.1 Produksi Bersih Padi 2025'!A436="","",'1.1 Produksi Bersih Padi 2025'!A436)</f>
        <v/>
      </c>
      <c r="B436" s="31" t="str">
        <f>IF('1.1 Produksi Bersih Padi 2025'!B436="","",'1.1 Produksi Bersih Padi 2025'!B436)</f>
        <v/>
      </c>
      <c r="C436" s="31" t="str">
        <f>IF('1.1 Produksi Bersih Padi 2025'!C436="","",'1.1 Produksi Bersih Padi 2025'!C436)</f>
        <v/>
      </c>
      <c r="D436" s="1" t="str">
        <f>IF('1.1 Produksi Bersih Padi 2025'!D436="","",'1.1 Produksi Bersih Padi 2025'!D436)</f>
        <v/>
      </c>
      <c r="E436" s="1" t="str">
        <f>IF('1.1 Produksi Bersih Padi 2025'!E436="","",'1.1 Produksi Bersih Padi 2025'!E436)</f>
        <v/>
      </c>
      <c r="F436" s="28" t="str">
        <f>IF(D436="","",VLOOKUP(D436,'[1]0.1 Produksi Pangan &amp; Penduduk'!$D$5:$AE$860,28,0))</f>
        <v/>
      </c>
      <c r="G436" s="29" t="str">
        <f t="shared" si="30"/>
        <v/>
      </c>
      <c r="H436" s="29" t="str">
        <f t="shared" si="31"/>
        <v/>
      </c>
      <c r="I436" s="29" t="str">
        <f t="shared" si="32"/>
        <v/>
      </c>
      <c r="J436" s="29" t="str">
        <f t="shared" si="33"/>
        <v/>
      </c>
      <c r="K436" s="29" t="str">
        <f t="shared" si="34"/>
        <v/>
      </c>
    </row>
    <row r="437" spans="1:11" ht="15" x14ac:dyDescent="0.25">
      <c r="A437" s="1" t="str">
        <f>IF('1.1 Produksi Bersih Padi 2025'!A437="","",'1.1 Produksi Bersih Padi 2025'!A437)</f>
        <v/>
      </c>
      <c r="B437" s="31" t="str">
        <f>IF('1.1 Produksi Bersih Padi 2025'!B437="","",'1.1 Produksi Bersih Padi 2025'!B437)</f>
        <v/>
      </c>
      <c r="C437" s="31" t="str">
        <f>IF('1.1 Produksi Bersih Padi 2025'!C437="","",'1.1 Produksi Bersih Padi 2025'!C437)</f>
        <v/>
      </c>
      <c r="D437" s="1" t="str">
        <f>IF('1.1 Produksi Bersih Padi 2025'!D437="","",'1.1 Produksi Bersih Padi 2025'!D437)</f>
        <v/>
      </c>
      <c r="E437" s="1" t="str">
        <f>IF('1.1 Produksi Bersih Padi 2025'!E437="","",'1.1 Produksi Bersih Padi 2025'!E437)</f>
        <v/>
      </c>
      <c r="F437" s="28" t="str">
        <f>IF(D437="","",VLOOKUP(D437,'[1]0.1 Produksi Pangan &amp; Penduduk'!$D$5:$AE$860,28,0))</f>
        <v/>
      </c>
      <c r="G437" s="29" t="str">
        <f t="shared" si="30"/>
        <v/>
      </c>
      <c r="H437" s="29" t="str">
        <f t="shared" si="31"/>
        <v/>
      </c>
      <c r="I437" s="29" t="str">
        <f t="shared" si="32"/>
        <v/>
      </c>
      <c r="J437" s="29" t="str">
        <f t="shared" si="33"/>
        <v/>
      </c>
      <c r="K437" s="29" t="str">
        <f t="shared" si="34"/>
        <v/>
      </c>
    </row>
    <row r="438" spans="1:11" ht="15" x14ac:dyDescent="0.25">
      <c r="A438" s="1" t="str">
        <f>IF('1.1 Produksi Bersih Padi 2025'!A438="","",'1.1 Produksi Bersih Padi 2025'!A438)</f>
        <v/>
      </c>
      <c r="B438" s="31" t="str">
        <f>IF('1.1 Produksi Bersih Padi 2025'!B438="","",'1.1 Produksi Bersih Padi 2025'!B438)</f>
        <v/>
      </c>
      <c r="C438" s="31" t="str">
        <f>IF('1.1 Produksi Bersih Padi 2025'!C438="","",'1.1 Produksi Bersih Padi 2025'!C438)</f>
        <v/>
      </c>
      <c r="D438" s="1" t="str">
        <f>IF('1.1 Produksi Bersih Padi 2025'!D438="","",'1.1 Produksi Bersih Padi 2025'!D438)</f>
        <v/>
      </c>
      <c r="E438" s="1" t="str">
        <f>IF('1.1 Produksi Bersih Padi 2025'!E438="","",'1.1 Produksi Bersih Padi 2025'!E438)</f>
        <v/>
      </c>
      <c r="F438" s="28" t="str">
        <f>IF(D438="","",VLOOKUP(D438,'[1]0.1 Produksi Pangan &amp; Penduduk'!$D$5:$AE$860,28,0))</f>
        <v/>
      </c>
      <c r="G438" s="29" t="str">
        <f t="shared" si="30"/>
        <v/>
      </c>
      <c r="H438" s="29" t="str">
        <f t="shared" si="31"/>
        <v/>
      </c>
      <c r="I438" s="29" t="str">
        <f t="shared" si="32"/>
        <v/>
      </c>
      <c r="J438" s="29" t="str">
        <f t="shared" si="33"/>
        <v/>
      </c>
      <c r="K438" s="29" t="str">
        <f t="shared" si="34"/>
        <v/>
      </c>
    </row>
    <row r="439" spans="1:11" ht="15" x14ac:dyDescent="0.25">
      <c r="A439" s="1" t="str">
        <f>IF('1.1 Produksi Bersih Padi 2025'!A439="","",'1.1 Produksi Bersih Padi 2025'!A439)</f>
        <v/>
      </c>
      <c r="B439" s="31" t="str">
        <f>IF('1.1 Produksi Bersih Padi 2025'!B439="","",'1.1 Produksi Bersih Padi 2025'!B439)</f>
        <v/>
      </c>
      <c r="C439" s="31" t="str">
        <f>IF('1.1 Produksi Bersih Padi 2025'!C439="","",'1.1 Produksi Bersih Padi 2025'!C439)</f>
        <v/>
      </c>
      <c r="D439" s="1" t="str">
        <f>IF('1.1 Produksi Bersih Padi 2025'!D439="","",'1.1 Produksi Bersih Padi 2025'!D439)</f>
        <v/>
      </c>
      <c r="E439" s="1" t="str">
        <f>IF('1.1 Produksi Bersih Padi 2025'!E439="","",'1.1 Produksi Bersih Padi 2025'!E439)</f>
        <v/>
      </c>
      <c r="F439" s="28" t="str">
        <f>IF(D439="","",VLOOKUP(D439,'[1]0.1 Produksi Pangan &amp; Penduduk'!$D$5:$AE$860,28,0))</f>
        <v/>
      </c>
      <c r="G439" s="29" t="str">
        <f t="shared" si="30"/>
        <v/>
      </c>
      <c r="H439" s="29" t="str">
        <f t="shared" si="31"/>
        <v/>
      </c>
      <c r="I439" s="29" t="str">
        <f t="shared" si="32"/>
        <v/>
      </c>
      <c r="J439" s="29" t="str">
        <f t="shared" si="33"/>
        <v/>
      </c>
      <c r="K439" s="29" t="str">
        <f t="shared" si="34"/>
        <v/>
      </c>
    </row>
    <row r="440" spans="1:11" ht="15" x14ac:dyDescent="0.25">
      <c r="A440" s="1" t="str">
        <f>IF('1.1 Produksi Bersih Padi 2025'!A440="","",'1.1 Produksi Bersih Padi 2025'!A440)</f>
        <v/>
      </c>
      <c r="B440" s="31" t="str">
        <f>IF('1.1 Produksi Bersih Padi 2025'!B440="","",'1.1 Produksi Bersih Padi 2025'!B440)</f>
        <v/>
      </c>
      <c r="C440" s="31" t="str">
        <f>IF('1.1 Produksi Bersih Padi 2025'!C440="","",'1.1 Produksi Bersih Padi 2025'!C440)</f>
        <v/>
      </c>
      <c r="D440" s="1" t="str">
        <f>IF('1.1 Produksi Bersih Padi 2025'!D440="","",'1.1 Produksi Bersih Padi 2025'!D440)</f>
        <v/>
      </c>
      <c r="E440" s="1" t="str">
        <f>IF('1.1 Produksi Bersih Padi 2025'!E440="","",'1.1 Produksi Bersih Padi 2025'!E440)</f>
        <v/>
      </c>
      <c r="F440" s="28" t="str">
        <f>IF(D440="","",VLOOKUP(D440,'[1]0.1 Produksi Pangan &amp; Penduduk'!$D$5:$AE$860,28,0))</f>
        <v/>
      </c>
      <c r="G440" s="29" t="str">
        <f t="shared" si="30"/>
        <v/>
      </c>
      <c r="H440" s="29" t="str">
        <f t="shared" si="31"/>
        <v/>
      </c>
      <c r="I440" s="29" t="str">
        <f t="shared" si="32"/>
        <v/>
      </c>
      <c r="J440" s="29" t="str">
        <f t="shared" si="33"/>
        <v/>
      </c>
      <c r="K440" s="29" t="str">
        <f t="shared" si="34"/>
        <v/>
      </c>
    </row>
    <row r="441" spans="1:11" ht="15" x14ac:dyDescent="0.25">
      <c r="A441" s="1" t="str">
        <f>IF('1.1 Produksi Bersih Padi 2025'!A441="","",'1.1 Produksi Bersih Padi 2025'!A441)</f>
        <v/>
      </c>
      <c r="B441" s="31" t="str">
        <f>IF('1.1 Produksi Bersih Padi 2025'!B441="","",'1.1 Produksi Bersih Padi 2025'!B441)</f>
        <v/>
      </c>
      <c r="C441" s="31" t="str">
        <f>IF('1.1 Produksi Bersih Padi 2025'!C441="","",'1.1 Produksi Bersih Padi 2025'!C441)</f>
        <v/>
      </c>
      <c r="D441" s="1" t="str">
        <f>IF('1.1 Produksi Bersih Padi 2025'!D441="","",'1.1 Produksi Bersih Padi 2025'!D441)</f>
        <v/>
      </c>
      <c r="E441" s="1" t="str">
        <f>IF('1.1 Produksi Bersih Padi 2025'!E441="","",'1.1 Produksi Bersih Padi 2025'!E441)</f>
        <v/>
      </c>
      <c r="F441" s="28" t="str">
        <f>IF(D441="","",VLOOKUP(D441,'[1]0.1 Produksi Pangan &amp; Penduduk'!$D$5:$AE$860,28,0))</f>
        <v/>
      </c>
      <c r="G441" s="29" t="str">
        <f t="shared" si="30"/>
        <v/>
      </c>
      <c r="H441" s="29" t="str">
        <f t="shared" si="31"/>
        <v/>
      </c>
      <c r="I441" s="29" t="str">
        <f t="shared" si="32"/>
        <v/>
      </c>
      <c r="J441" s="29" t="str">
        <f t="shared" si="33"/>
        <v/>
      </c>
      <c r="K441" s="29" t="str">
        <f t="shared" si="34"/>
        <v/>
      </c>
    </row>
    <row r="442" spans="1:11" ht="15" x14ac:dyDescent="0.25">
      <c r="A442" s="1" t="str">
        <f>IF('1.1 Produksi Bersih Padi 2025'!A442="","",'1.1 Produksi Bersih Padi 2025'!A442)</f>
        <v/>
      </c>
      <c r="B442" s="31" t="str">
        <f>IF('1.1 Produksi Bersih Padi 2025'!B442="","",'1.1 Produksi Bersih Padi 2025'!B442)</f>
        <v/>
      </c>
      <c r="C442" s="31" t="str">
        <f>IF('1.1 Produksi Bersih Padi 2025'!C442="","",'1.1 Produksi Bersih Padi 2025'!C442)</f>
        <v/>
      </c>
      <c r="D442" s="1" t="str">
        <f>IF('1.1 Produksi Bersih Padi 2025'!D442="","",'1.1 Produksi Bersih Padi 2025'!D442)</f>
        <v/>
      </c>
      <c r="E442" s="1" t="str">
        <f>IF('1.1 Produksi Bersih Padi 2025'!E442="","",'1.1 Produksi Bersih Padi 2025'!E442)</f>
        <v/>
      </c>
      <c r="F442" s="28" t="str">
        <f>IF(D442="","",VLOOKUP(D442,'[1]0.1 Produksi Pangan &amp; Penduduk'!$D$5:$AE$860,28,0))</f>
        <v/>
      </c>
      <c r="G442" s="29" t="str">
        <f t="shared" si="30"/>
        <v/>
      </c>
      <c r="H442" s="29" t="str">
        <f t="shared" si="31"/>
        <v/>
      </c>
      <c r="I442" s="29" t="str">
        <f t="shared" si="32"/>
        <v/>
      </c>
      <c r="J442" s="29" t="str">
        <f t="shared" si="33"/>
        <v/>
      </c>
      <c r="K442" s="29" t="str">
        <f t="shared" si="34"/>
        <v/>
      </c>
    </row>
    <row r="443" spans="1:11" ht="15" x14ac:dyDescent="0.25">
      <c r="A443" s="1" t="str">
        <f>IF('1.1 Produksi Bersih Padi 2025'!A443="","",'1.1 Produksi Bersih Padi 2025'!A443)</f>
        <v/>
      </c>
      <c r="B443" s="31" t="str">
        <f>IF('1.1 Produksi Bersih Padi 2025'!B443="","",'1.1 Produksi Bersih Padi 2025'!B443)</f>
        <v/>
      </c>
      <c r="C443" s="31" t="str">
        <f>IF('1.1 Produksi Bersih Padi 2025'!C443="","",'1.1 Produksi Bersih Padi 2025'!C443)</f>
        <v/>
      </c>
      <c r="D443" s="1" t="str">
        <f>IF('1.1 Produksi Bersih Padi 2025'!D443="","",'1.1 Produksi Bersih Padi 2025'!D443)</f>
        <v/>
      </c>
      <c r="E443" s="1" t="str">
        <f>IF('1.1 Produksi Bersih Padi 2025'!E443="","",'1.1 Produksi Bersih Padi 2025'!E443)</f>
        <v/>
      </c>
      <c r="F443" s="28" t="str">
        <f>IF(D443="","",VLOOKUP(D443,'[1]0.1 Produksi Pangan &amp; Penduduk'!$D$5:$AE$860,28,0))</f>
        <v/>
      </c>
      <c r="G443" s="29" t="str">
        <f t="shared" si="30"/>
        <v/>
      </c>
      <c r="H443" s="29" t="str">
        <f t="shared" si="31"/>
        <v/>
      </c>
      <c r="I443" s="29" t="str">
        <f t="shared" si="32"/>
        <v/>
      </c>
      <c r="J443" s="29" t="str">
        <f t="shared" si="33"/>
        <v/>
      </c>
      <c r="K443" s="29" t="str">
        <f t="shared" si="34"/>
        <v/>
      </c>
    </row>
    <row r="444" spans="1:11" ht="15" x14ac:dyDescent="0.25">
      <c r="A444" s="1" t="str">
        <f>IF('1.1 Produksi Bersih Padi 2025'!A444="","",'1.1 Produksi Bersih Padi 2025'!A444)</f>
        <v/>
      </c>
      <c r="B444" s="31" t="str">
        <f>IF('1.1 Produksi Bersih Padi 2025'!B444="","",'1.1 Produksi Bersih Padi 2025'!B444)</f>
        <v/>
      </c>
      <c r="C444" s="31" t="str">
        <f>IF('1.1 Produksi Bersih Padi 2025'!C444="","",'1.1 Produksi Bersih Padi 2025'!C444)</f>
        <v/>
      </c>
      <c r="D444" s="1" t="str">
        <f>IF('1.1 Produksi Bersih Padi 2025'!D444="","",'1.1 Produksi Bersih Padi 2025'!D444)</f>
        <v/>
      </c>
      <c r="E444" s="1" t="str">
        <f>IF('1.1 Produksi Bersih Padi 2025'!E444="","",'1.1 Produksi Bersih Padi 2025'!E444)</f>
        <v/>
      </c>
      <c r="F444" s="28" t="str">
        <f>IF(D444="","",VLOOKUP(D444,'[1]0.1 Produksi Pangan &amp; Penduduk'!$D$5:$AE$860,28,0))</f>
        <v/>
      </c>
      <c r="G444" s="29" t="str">
        <f t="shared" si="30"/>
        <v/>
      </c>
      <c r="H444" s="29" t="str">
        <f t="shared" si="31"/>
        <v/>
      </c>
      <c r="I444" s="29" t="str">
        <f t="shared" si="32"/>
        <v/>
      </c>
      <c r="J444" s="29" t="str">
        <f t="shared" si="33"/>
        <v/>
      </c>
      <c r="K444" s="29" t="str">
        <f t="shared" si="34"/>
        <v/>
      </c>
    </row>
    <row r="445" spans="1:11" ht="15" x14ac:dyDescent="0.25">
      <c r="A445" s="1" t="str">
        <f>IF('1.1 Produksi Bersih Padi 2025'!A445="","",'1.1 Produksi Bersih Padi 2025'!A445)</f>
        <v/>
      </c>
      <c r="B445" s="31" t="str">
        <f>IF('1.1 Produksi Bersih Padi 2025'!B445="","",'1.1 Produksi Bersih Padi 2025'!B445)</f>
        <v/>
      </c>
      <c r="C445" s="31" t="str">
        <f>IF('1.1 Produksi Bersih Padi 2025'!C445="","",'1.1 Produksi Bersih Padi 2025'!C445)</f>
        <v/>
      </c>
      <c r="D445" s="1" t="str">
        <f>IF('1.1 Produksi Bersih Padi 2025'!D445="","",'1.1 Produksi Bersih Padi 2025'!D445)</f>
        <v/>
      </c>
      <c r="E445" s="1" t="str">
        <f>IF('1.1 Produksi Bersih Padi 2025'!E445="","",'1.1 Produksi Bersih Padi 2025'!E445)</f>
        <v/>
      </c>
      <c r="F445" s="28" t="str">
        <f>IF(D445="","",VLOOKUP(D445,'[1]0.1 Produksi Pangan &amp; Penduduk'!$D$5:$AE$860,28,0))</f>
        <v/>
      </c>
      <c r="G445" s="29" t="str">
        <f t="shared" si="30"/>
        <v/>
      </c>
      <c r="H445" s="29" t="str">
        <f t="shared" si="31"/>
        <v/>
      </c>
      <c r="I445" s="29" t="str">
        <f t="shared" si="32"/>
        <v/>
      </c>
      <c r="J445" s="29" t="str">
        <f t="shared" si="33"/>
        <v/>
      </c>
      <c r="K445" s="29" t="str">
        <f t="shared" si="34"/>
        <v/>
      </c>
    </row>
    <row r="446" spans="1:11" ht="15" x14ac:dyDescent="0.25">
      <c r="A446" s="1" t="str">
        <f>IF('1.1 Produksi Bersih Padi 2025'!A446="","",'1.1 Produksi Bersih Padi 2025'!A446)</f>
        <v/>
      </c>
      <c r="B446" s="31" t="str">
        <f>IF('1.1 Produksi Bersih Padi 2025'!B446="","",'1.1 Produksi Bersih Padi 2025'!B446)</f>
        <v/>
      </c>
      <c r="C446" s="31" t="str">
        <f>IF('1.1 Produksi Bersih Padi 2025'!C446="","",'1.1 Produksi Bersih Padi 2025'!C446)</f>
        <v/>
      </c>
      <c r="D446" s="1" t="str">
        <f>IF('1.1 Produksi Bersih Padi 2025'!D446="","",'1.1 Produksi Bersih Padi 2025'!D446)</f>
        <v/>
      </c>
      <c r="E446" s="1" t="str">
        <f>IF('1.1 Produksi Bersih Padi 2025'!E446="","",'1.1 Produksi Bersih Padi 2025'!E446)</f>
        <v/>
      </c>
      <c r="F446" s="28" t="str">
        <f>IF(D446="","",VLOOKUP(D446,'[1]0.1 Produksi Pangan &amp; Penduduk'!$D$5:$AE$860,28,0))</f>
        <v/>
      </c>
      <c r="G446" s="29" t="str">
        <f t="shared" si="30"/>
        <v/>
      </c>
      <c r="H446" s="29" t="str">
        <f t="shared" si="31"/>
        <v/>
      </c>
      <c r="I446" s="29" t="str">
        <f t="shared" si="32"/>
        <v/>
      </c>
      <c r="J446" s="29" t="str">
        <f t="shared" si="33"/>
        <v/>
      </c>
      <c r="K446" s="29" t="str">
        <f t="shared" si="34"/>
        <v/>
      </c>
    </row>
    <row r="447" spans="1:11" ht="15" x14ac:dyDescent="0.25">
      <c r="A447" s="1" t="str">
        <f>IF('1.1 Produksi Bersih Padi 2025'!A447="","",'1.1 Produksi Bersih Padi 2025'!A447)</f>
        <v/>
      </c>
      <c r="B447" s="31" t="str">
        <f>IF('1.1 Produksi Bersih Padi 2025'!B447="","",'1.1 Produksi Bersih Padi 2025'!B447)</f>
        <v/>
      </c>
      <c r="C447" s="31" t="str">
        <f>IF('1.1 Produksi Bersih Padi 2025'!C447="","",'1.1 Produksi Bersih Padi 2025'!C447)</f>
        <v/>
      </c>
      <c r="D447" s="1" t="str">
        <f>IF('1.1 Produksi Bersih Padi 2025'!D447="","",'1.1 Produksi Bersih Padi 2025'!D447)</f>
        <v/>
      </c>
      <c r="E447" s="1" t="str">
        <f>IF('1.1 Produksi Bersih Padi 2025'!E447="","",'1.1 Produksi Bersih Padi 2025'!E447)</f>
        <v/>
      </c>
      <c r="F447" s="28" t="str">
        <f>IF(D447="","",VLOOKUP(D447,'[1]0.1 Produksi Pangan &amp; Penduduk'!$D$5:$AE$860,28,0))</f>
        <v/>
      </c>
      <c r="G447" s="29" t="str">
        <f t="shared" si="30"/>
        <v/>
      </c>
      <c r="H447" s="29" t="str">
        <f t="shared" si="31"/>
        <v/>
      </c>
      <c r="I447" s="29" t="str">
        <f t="shared" si="32"/>
        <v/>
      </c>
      <c r="J447" s="29" t="str">
        <f t="shared" si="33"/>
        <v/>
      </c>
      <c r="K447" s="29" t="str">
        <f t="shared" si="34"/>
        <v/>
      </c>
    </row>
    <row r="448" spans="1:11" ht="15" x14ac:dyDescent="0.25">
      <c r="A448" s="1" t="str">
        <f>IF('1.1 Produksi Bersih Padi 2025'!A448="","",'1.1 Produksi Bersih Padi 2025'!A448)</f>
        <v/>
      </c>
      <c r="B448" s="31" t="str">
        <f>IF('1.1 Produksi Bersih Padi 2025'!B448="","",'1.1 Produksi Bersih Padi 2025'!B448)</f>
        <v/>
      </c>
      <c r="C448" s="31" t="str">
        <f>IF('1.1 Produksi Bersih Padi 2025'!C448="","",'1.1 Produksi Bersih Padi 2025'!C448)</f>
        <v/>
      </c>
      <c r="D448" s="1" t="str">
        <f>IF('1.1 Produksi Bersih Padi 2025'!D448="","",'1.1 Produksi Bersih Padi 2025'!D448)</f>
        <v/>
      </c>
      <c r="E448" s="1" t="str">
        <f>IF('1.1 Produksi Bersih Padi 2025'!E448="","",'1.1 Produksi Bersih Padi 2025'!E448)</f>
        <v/>
      </c>
      <c r="F448" s="28" t="str">
        <f>IF(D448="","",VLOOKUP(D448,'[1]0.1 Produksi Pangan &amp; Penduduk'!$D$5:$AE$860,28,0))</f>
        <v/>
      </c>
      <c r="G448" s="29" t="str">
        <f t="shared" si="30"/>
        <v/>
      </c>
      <c r="H448" s="29" t="str">
        <f t="shared" si="31"/>
        <v/>
      </c>
      <c r="I448" s="29" t="str">
        <f t="shared" si="32"/>
        <v/>
      </c>
      <c r="J448" s="29" t="str">
        <f t="shared" si="33"/>
        <v/>
      </c>
      <c r="K448" s="29" t="str">
        <f t="shared" si="34"/>
        <v/>
      </c>
    </row>
    <row r="449" spans="1:11" ht="15" x14ac:dyDescent="0.25">
      <c r="A449" s="1" t="str">
        <f>IF('1.1 Produksi Bersih Padi 2025'!A449="","",'1.1 Produksi Bersih Padi 2025'!A449)</f>
        <v/>
      </c>
      <c r="B449" s="31" t="str">
        <f>IF('1.1 Produksi Bersih Padi 2025'!B449="","",'1.1 Produksi Bersih Padi 2025'!B449)</f>
        <v/>
      </c>
      <c r="C449" s="31" t="str">
        <f>IF('1.1 Produksi Bersih Padi 2025'!C449="","",'1.1 Produksi Bersih Padi 2025'!C449)</f>
        <v/>
      </c>
      <c r="D449" s="1" t="str">
        <f>IF('1.1 Produksi Bersih Padi 2025'!D449="","",'1.1 Produksi Bersih Padi 2025'!D449)</f>
        <v/>
      </c>
      <c r="E449" s="1" t="str">
        <f>IF('1.1 Produksi Bersih Padi 2025'!E449="","",'1.1 Produksi Bersih Padi 2025'!E449)</f>
        <v/>
      </c>
      <c r="F449" s="28" t="str">
        <f>IF(D449="","",VLOOKUP(D449,'[1]0.1 Produksi Pangan &amp; Penduduk'!$D$5:$AE$860,28,0))</f>
        <v/>
      </c>
      <c r="G449" s="29" t="str">
        <f t="shared" si="30"/>
        <v/>
      </c>
      <c r="H449" s="29" t="str">
        <f t="shared" si="31"/>
        <v/>
      </c>
      <c r="I449" s="29" t="str">
        <f t="shared" si="32"/>
        <v/>
      </c>
      <c r="J449" s="29" t="str">
        <f t="shared" si="33"/>
        <v/>
      </c>
      <c r="K449" s="29" t="str">
        <f t="shared" si="34"/>
        <v/>
      </c>
    </row>
    <row r="450" spans="1:11" ht="15" x14ac:dyDescent="0.25">
      <c r="A450" s="1" t="str">
        <f>IF('1.1 Produksi Bersih Padi 2025'!A450="","",'1.1 Produksi Bersih Padi 2025'!A450)</f>
        <v/>
      </c>
      <c r="B450" s="31" t="str">
        <f>IF('1.1 Produksi Bersih Padi 2025'!B450="","",'1.1 Produksi Bersih Padi 2025'!B450)</f>
        <v/>
      </c>
      <c r="C450" s="31" t="str">
        <f>IF('1.1 Produksi Bersih Padi 2025'!C450="","",'1.1 Produksi Bersih Padi 2025'!C450)</f>
        <v/>
      </c>
      <c r="D450" s="1" t="str">
        <f>IF('1.1 Produksi Bersih Padi 2025'!D450="","",'1.1 Produksi Bersih Padi 2025'!D450)</f>
        <v/>
      </c>
      <c r="E450" s="1" t="str">
        <f>IF('1.1 Produksi Bersih Padi 2025'!E450="","",'1.1 Produksi Bersih Padi 2025'!E450)</f>
        <v/>
      </c>
      <c r="F450" s="28" t="str">
        <f>IF(D450="","",VLOOKUP(D450,'[1]0.1 Produksi Pangan &amp; Penduduk'!$D$5:$AE$860,28,0))</f>
        <v/>
      </c>
      <c r="G450" s="29" t="str">
        <f t="shared" si="30"/>
        <v/>
      </c>
      <c r="H450" s="29" t="str">
        <f t="shared" si="31"/>
        <v/>
      </c>
      <c r="I450" s="29" t="str">
        <f t="shared" si="32"/>
        <v/>
      </c>
      <c r="J450" s="29" t="str">
        <f t="shared" si="33"/>
        <v/>
      </c>
      <c r="K450" s="29" t="str">
        <f t="shared" si="34"/>
        <v/>
      </c>
    </row>
    <row r="451" spans="1:11" ht="15" x14ac:dyDescent="0.25">
      <c r="A451" s="1" t="str">
        <f>IF('1.1 Produksi Bersih Padi 2025'!A451="","",'1.1 Produksi Bersih Padi 2025'!A451)</f>
        <v/>
      </c>
      <c r="B451" s="31" t="str">
        <f>IF('1.1 Produksi Bersih Padi 2025'!B451="","",'1.1 Produksi Bersih Padi 2025'!B451)</f>
        <v/>
      </c>
      <c r="C451" s="31" t="str">
        <f>IF('1.1 Produksi Bersih Padi 2025'!C451="","",'1.1 Produksi Bersih Padi 2025'!C451)</f>
        <v/>
      </c>
      <c r="D451" s="1" t="str">
        <f>IF('1.1 Produksi Bersih Padi 2025'!D451="","",'1.1 Produksi Bersih Padi 2025'!D451)</f>
        <v/>
      </c>
      <c r="E451" s="1" t="str">
        <f>IF('1.1 Produksi Bersih Padi 2025'!E451="","",'1.1 Produksi Bersih Padi 2025'!E451)</f>
        <v/>
      </c>
      <c r="F451" s="28" t="str">
        <f>IF(D451="","",VLOOKUP(D451,'[1]0.1 Produksi Pangan &amp; Penduduk'!$D$5:$AE$860,28,0))</f>
        <v/>
      </c>
      <c r="G451" s="29" t="str">
        <f t="shared" si="30"/>
        <v/>
      </c>
      <c r="H451" s="29" t="str">
        <f t="shared" si="31"/>
        <v/>
      </c>
      <c r="I451" s="29" t="str">
        <f t="shared" si="32"/>
        <v/>
      </c>
      <c r="J451" s="29" t="str">
        <f t="shared" si="33"/>
        <v/>
      </c>
      <c r="K451" s="29" t="str">
        <f t="shared" si="34"/>
        <v/>
      </c>
    </row>
    <row r="452" spans="1:11" ht="15" x14ac:dyDescent="0.25">
      <c r="A452" s="1" t="str">
        <f>IF('1.1 Produksi Bersih Padi 2025'!A452="","",'1.1 Produksi Bersih Padi 2025'!A452)</f>
        <v/>
      </c>
      <c r="B452" s="31" t="str">
        <f>IF('1.1 Produksi Bersih Padi 2025'!B452="","",'1.1 Produksi Bersih Padi 2025'!B452)</f>
        <v/>
      </c>
      <c r="C452" s="31" t="str">
        <f>IF('1.1 Produksi Bersih Padi 2025'!C452="","",'1.1 Produksi Bersih Padi 2025'!C452)</f>
        <v/>
      </c>
      <c r="D452" s="1" t="str">
        <f>IF('1.1 Produksi Bersih Padi 2025'!D452="","",'1.1 Produksi Bersih Padi 2025'!D452)</f>
        <v/>
      </c>
      <c r="E452" s="1" t="str">
        <f>IF('1.1 Produksi Bersih Padi 2025'!E452="","",'1.1 Produksi Bersih Padi 2025'!E452)</f>
        <v/>
      </c>
      <c r="F452" s="28" t="str">
        <f>IF(D452="","",VLOOKUP(D452,'[1]0.1 Produksi Pangan &amp; Penduduk'!$D$5:$AE$860,28,0))</f>
        <v/>
      </c>
      <c r="G452" s="29" t="str">
        <f t="shared" si="30"/>
        <v/>
      </c>
      <c r="H452" s="29" t="str">
        <f t="shared" si="31"/>
        <v/>
      </c>
      <c r="I452" s="29" t="str">
        <f t="shared" si="32"/>
        <v/>
      </c>
      <c r="J452" s="29" t="str">
        <f t="shared" si="33"/>
        <v/>
      </c>
      <c r="K452" s="29" t="str">
        <f t="shared" si="34"/>
        <v/>
      </c>
    </row>
    <row r="453" spans="1:11" ht="15" x14ac:dyDescent="0.25">
      <c r="A453" s="1" t="str">
        <f>IF('1.1 Produksi Bersih Padi 2025'!A453="","",'1.1 Produksi Bersih Padi 2025'!A453)</f>
        <v/>
      </c>
      <c r="B453" s="31" t="str">
        <f>IF('1.1 Produksi Bersih Padi 2025'!B453="","",'1.1 Produksi Bersih Padi 2025'!B453)</f>
        <v/>
      </c>
      <c r="C453" s="31" t="str">
        <f>IF('1.1 Produksi Bersih Padi 2025'!C453="","",'1.1 Produksi Bersih Padi 2025'!C453)</f>
        <v/>
      </c>
      <c r="D453" s="1" t="str">
        <f>IF('1.1 Produksi Bersih Padi 2025'!D453="","",'1.1 Produksi Bersih Padi 2025'!D453)</f>
        <v/>
      </c>
      <c r="E453" s="1" t="str">
        <f>IF('1.1 Produksi Bersih Padi 2025'!E453="","",'1.1 Produksi Bersih Padi 2025'!E453)</f>
        <v/>
      </c>
      <c r="F453" s="28" t="str">
        <f>IF(D453="","",VLOOKUP(D453,'[1]0.1 Produksi Pangan &amp; Penduduk'!$D$5:$AE$860,28,0))</f>
        <v/>
      </c>
      <c r="G453" s="29" t="str">
        <f t="shared" si="30"/>
        <v/>
      </c>
      <c r="H453" s="29" t="str">
        <f t="shared" si="31"/>
        <v/>
      </c>
      <c r="I453" s="29" t="str">
        <f t="shared" si="32"/>
        <v/>
      </c>
      <c r="J453" s="29" t="str">
        <f t="shared" si="33"/>
        <v/>
      </c>
      <c r="K453" s="29" t="str">
        <f t="shared" si="34"/>
        <v/>
      </c>
    </row>
    <row r="454" spans="1:11" ht="15" x14ac:dyDescent="0.25">
      <c r="A454" s="1" t="str">
        <f>IF('1.1 Produksi Bersih Padi 2025'!A454="","",'1.1 Produksi Bersih Padi 2025'!A454)</f>
        <v/>
      </c>
      <c r="B454" s="31" t="str">
        <f>IF('1.1 Produksi Bersih Padi 2025'!B454="","",'1.1 Produksi Bersih Padi 2025'!B454)</f>
        <v/>
      </c>
      <c r="C454" s="31" t="str">
        <f>IF('1.1 Produksi Bersih Padi 2025'!C454="","",'1.1 Produksi Bersih Padi 2025'!C454)</f>
        <v/>
      </c>
      <c r="D454" s="1" t="str">
        <f>IF('1.1 Produksi Bersih Padi 2025'!D454="","",'1.1 Produksi Bersih Padi 2025'!D454)</f>
        <v/>
      </c>
      <c r="E454" s="1" t="str">
        <f>IF('1.1 Produksi Bersih Padi 2025'!E454="","",'1.1 Produksi Bersih Padi 2025'!E454)</f>
        <v/>
      </c>
      <c r="F454" s="28" t="str">
        <f>IF(D454="","",VLOOKUP(D454,'[1]0.1 Produksi Pangan &amp; Penduduk'!$D$5:$AE$860,28,0))</f>
        <v/>
      </c>
      <c r="G454" s="29" t="str">
        <f t="shared" ref="G454:G517" si="35">IF(F454="","",F454*0%)</f>
        <v/>
      </c>
      <c r="H454" s="29" t="str">
        <f t="shared" ref="H454:H517" si="36">IF(F454="","",F454*0.77%)</f>
        <v/>
      </c>
      <c r="I454" s="29" t="str">
        <f t="shared" ref="I454:I517" si="37">IF(F454="","",F454*4.9%)</f>
        <v/>
      </c>
      <c r="J454" s="29" t="str">
        <f t="shared" ref="J454:J517" si="38">IF(F454="","",F454-(G454+H454+I454))</f>
        <v/>
      </c>
      <c r="K454" s="29" t="str">
        <f t="shared" ref="K454:K517" si="39">IF(J454="","",J454*0.259)</f>
        <v/>
      </c>
    </row>
    <row r="455" spans="1:11" ht="15" x14ac:dyDescent="0.25">
      <c r="A455" s="1" t="str">
        <f>IF('1.1 Produksi Bersih Padi 2025'!A455="","",'1.1 Produksi Bersih Padi 2025'!A455)</f>
        <v/>
      </c>
      <c r="B455" s="31" t="str">
        <f>IF('1.1 Produksi Bersih Padi 2025'!B455="","",'1.1 Produksi Bersih Padi 2025'!B455)</f>
        <v/>
      </c>
      <c r="C455" s="31" t="str">
        <f>IF('1.1 Produksi Bersih Padi 2025'!C455="","",'1.1 Produksi Bersih Padi 2025'!C455)</f>
        <v/>
      </c>
      <c r="D455" s="1" t="str">
        <f>IF('1.1 Produksi Bersih Padi 2025'!D455="","",'1.1 Produksi Bersih Padi 2025'!D455)</f>
        <v/>
      </c>
      <c r="E455" s="1" t="str">
        <f>IF('1.1 Produksi Bersih Padi 2025'!E455="","",'1.1 Produksi Bersih Padi 2025'!E455)</f>
        <v/>
      </c>
      <c r="F455" s="28" t="str">
        <f>IF(D455="","",VLOOKUP(D455,'[1]0.1 Produksi Pangan &amp; Penduduk'!$D$5:$AE$860,28,0))</f>
        <v/>
      </c>
      <c r="G455" s="29" t="str">
        <f t="shared" si="35"/>
        <v/>
      </c>
      <c r="H455" s="29" t="str">
        <f t="shared" si="36"/>
        <v/>
      </c>
      <c r="I455" s="29" t="str">
        <f t="shared" si="37"/>
        <v/>
      </c>
      <c r="J455" s="29" t="str">
        <f t="shared" si="38"/>
        <v/>
      </c>
      <c r="K455" s="29" t="str">
        <f t="shared" si="39"/>
        <v/>
      </c>
    </row>
    <row r="456" spans="1:11" ht="15" x14ac:dyDescent="0.25">
      <c r="A456" s="1" t="str">
        <f>IF('1.1 Produksi Bersih Padi 2025'!A456="","",'1.1 Produksi Bersih Padi 2025'!A456)</f>
        <v/>
      </c>
      <c r="B456" s="31" t="str">
        <f>IF('1.1 Produksi Bersih Padi 2025'!B456="","",'1.1 Produksi Bersih Padi 2025'!B456)</f>
        <v/>
      </c>
      <c r="C456" s="31" t="str">
        <f>IF('1.1 Produksi Bersih Padi 2025'!C456="","",'1.1 Produksi Bersih Padi 2025'!C456)</f>
        <v/>
      </c>
      <c r="D456" s="1" t="str">
        <f>IF('1.1 Produksi Bersih Padi 2025'!D456="","",'1.1 Produksi Bersih Padi 2025'!D456)</f>
        <v/>
      </c>
      <c r="E456" s="1" t="str">
        <f>IF('1.1 Produksi Bersih Padi 2025'!E456="","",'1.1 Produksi Bersih Padi 2025'!E456)</f>
        <v/>
      </c>
      <c r="F456" s="28" t="str">
        <f>IF(D456="","",VLOOKUP(D456,'[1]0.1 Produksi Pangan &amp; Penduduk'!$D$5:$AE$860,28,0))</f>
        <v/>
      </c>
      <c r="G456" s="29" t="str">
        <f t="shared" si="35"/>
        <v/>
      </c>
      <c r="H456" s="29" t="str">
        <f t="shared" si="36"/>
        <v/>
      </c>
      <c r="I456" s="29" t="str">
        <f t="shared" si="37"/>
        <v/>
      </c>
      <c r="J456" s="29" t="str">
        <f t="shared" si="38"/>
        <v/>
      </c>
      <c r="K456" s="29" t="str">
        <f t="shared" si="39"/>
        <v/>
      </c>
    </row>
    <row r="457" spans="1:11" ht="15" x14ac:dyDescent="0.25">
      <c r="A457" s="1" t="str">
        <f>IF('1.1 Produksi Bersih Padi 2025'!A457="","",'1.1 Produksi Bersih Padi 2025'!A457)</f>
        <v/>
      </c>
      <c r="B457" s="31" t="str">
        <f>IF('1.1 Produksi Bersih Padi 2025'!B457="","",'1.1 Produksi Bersih Padi 2025'!B457)</f>
        <v/>
      </c>
      <c r="C457" s="31" t="str">
        <f>IF('1.1 Produksi Bersih Padi 2025'!C457="","",'1.1 Produksi Bersih Padi 2025'!C457)</f>
        <v/>
      </c>
      <c r="D457" s="1" t="str">
        <f>IF('1.1 Produksi Bersih Padi 2025'!D457="","",'1.1 Produksi Bersih Padi 2025'!D457)</f>
        <v/>
      </c>
      <c r="E457" s="1" t="str">
        <f>IF('1.1 Produksi Bersih Padi 2025'!E457="","",'1.1 Produksi Bersih Padi 2025'!E457)</f>
        <v/>
      </c>
      <c r="F457" s="28" t="str">
        <f>IF(D457="","",VLOOKUP(D457,'[1]0.1 Produksi Pangan &amp; Penduduk'!$D$5:$AE$860,28,0))</f>
        <v/>
      </c>
      <c r="G457" s="29" t="str">
        <f t="shared" si="35"/>
        <v/>
      </c>
      <c r="H457" s="29" t="str">
        <f t="shared" si="36"/>
        <v/>
      </c>
      <c r="I457" s="29" t="str">
        <f t="shared" si="37"/>
        <v/>
      </c>
      <c r="J457" s="29" t="str">
        <f t="shared" si="38"/>
        <v/>
      </c>
      <c r="K457" s="29" t="str">
        <f t="shared" si="39"/>
        <v/>
      </c>
    </row>
    <row r="458" spans="1:11" ht="15" x14ac:dyDescent="0.25">
      <c r="A458" s="1" t="str">
        <f>IF('1.1 Produksi Bersih Padi 2025'!A458="","",'1.1 Produksi Bersih Padi 2025'!A458)</f>
        <v/>
      </c>
      <c r="B458" s="31" t="str">
        <f>IF('1.1 Produksi Bersih Padi 2025'!B458="","",'1.1 Produksi Bersih Padi 2025'!B458)</f>
        <v/>
      </c>
      <c r="C458" s="31" t="str">
        <f>IF('1.1 Produksi Bersih Padi 2025'!C458="","",'1.1 Produksi Bersih Padi 2025'!C458)</f>
        <v/>
      </c>
      <c r="D458" s="1" t="str">
        <f>IF('1.1 Produksi Bersih Padi 2025'!D458="","",'1.1 Produksi Bersih Padi 2025'!D458)</f>
        <v/>
      </c>
      <c r="E458" s="1" t="str">
        <f>IF('1.1 Produksi Bersih Padi 2025'!E458="","",'1.1 Produksi Bersih Padi 2025'!E458)</f>
        <v/>
      </c>
      <c r="F458" s="28" t="str">
        <f>IF(D458="","",VLOOKUP(D458,'[1]0.1 Produksi Pangan &amp; Penduduk'!$D$5:$AE$860,28,0))</f>
        <v/>
      </c>
      <c r="G458" s="29" t="str">
        <f t="shared" si="35"/>
        <v/>
      </c>
      <c r="H458" s="29" t="str">
        <f t="shared" si="36"/>
        <v/>
      </c>
      <c r="I458" s="29" t="str">
        <f t="shared" si="37"/>
        <v/>
      </c>
      <c r="J458" s="29" t="str">
        <f t="shared" si="38"/>
        <v/>
      </c>
      <c r="K458" s="29" t="str">
        <f t="shared" si="39"/>
        <v/>
      </c>
    </row>
    <row r="459" spans="1:11" ht="15" x14ac:dyDescent="0.25">
      <c r="A459" s="1" t="str">
        <f>IF('1.1 Produksi Bersih Padi 2025'!A459="","",'1.1 Produksi Bersih Padi 2025'!A459)</f>
        <v/>
      </c>
      <c r="B459" s="31" t="str">
        <f>IF('1.1 Produksi Bersih Padi 2025'!B459="","",'1.1 Produksi Bersih Padi 2025'!B459)</f>
        <v/>
      </c>
      <c r="C459" s="31" t="str">
        <f>IF('1.1 Produksi Bersih Padi 2025'!C459="","",'1.1 Produksi Bersih Padi 2025'!C459)</f>
        <v/>
      </c>
      <c r="D459" s="1" t="str">
        <f>IF('1.1 Produksi Bersih Padi 2025'!D459="","",'1.1 Produksi Bersih Padi 2025'!D459)</f>
        <v/>
      </c>
      <c r="E459" s="1" t="str">
        <f>IF('1.1 Produksi Bersih Padi 2025'!E459="","",'1.1 Produksi Bersih Padi 2025'!E459)</f>
        <v/>
      </c>
      <c r="F459" s="28" t="str">
        <f>IF(D459="","",VLOOKUP(D459,'[1]0.1 Produksi Pangan &amp; Penduduk'!$D$5:$AE$860,28,0))</f>
        <v/>
      </c>
      <c r="G459" s="29" t="str">
        <f t="shared" si="35"/>
        <v/>
      </c>
      <c r="H459" s="29" t="str">
        <f t="shared" si="36"/>
        <v/>
      </c>
      <c r="I459" s="29" t="str">
        <f t="shared" si="37"/>
        <v/>
      </c>
      <c r="J459" s="29" t="str">
        <f t="shared" si="38"/>
        <v/>
      </c>
      <c r="K459" s="29" t="str">
        <f t="shared" si="39"/>
        <v/>
      </c>
    </row>
    <row r="460" spans="1:11" ht="15" x14ac:dyDescent="0.25">
      <c r="A460" s="1" t="str">
        <f>IF('1.1 Produksi Bersih Padi 2025'!A460="","",'1.1 Produksi Bersih Padi 2025'!A460)</f>
        <v/>
      </c>
      <c r="B460" s="31" t="str">
        <f>IF('1.1 Produksi Bersih Padi 2025'!B460="","",'1.1 Produksi Bersih Padi 2025'!B460)</f>
        <v/>
      </c>
      <c r="C460" s="31" t="str">
        <f>IF('1.1 Produksi Bersih Padi 2025'!C460="","",'1.1 Produksi Bersih Padi 2025'!C460)</f>
        <v/>
      </c>
      <c r="D460" s="1" t="str">
        <f>IF('1.1 Produksi Bersih Padi 2025'!D460="","",'1.1 Produksi Bersih Padi 2025'!D460)</f>
        <v/>
      </c>
      <c r="E460" s="1" t="str">
        <f>IF('1.1 Produksi Bersih Padi 2025'!E460="","",'1.1 Produksi Bersih Padi 2025'!E460)</f>
        <v/>
      </c>
      <c r="F460" s="28" t="str">
        <f>IF(D460="","",VLOOKUP(D460,'[1]0.1 Produksi Pangan &amp; Penduduk'!$D$5:$AE$860,28,0))</f>
        <v/>
      </c>
      <c r="G460" s="29" t="str">
        <f t="shared" si="35"/>
        <v/>
      </c>
      <c r="H460" s="29" t="str">
        <f t="shared" si="36"/>
        <v/>
      </c>
      <c r="I460" s="29" t="str">
        <f t="shared" si="37"/>
        <v/>
      </c>
      <c r="J460" s="29" t="str">
        <f t="shared" si="38"/>
        <v/>
      </c>
      <c r="K460" s="29" t="str">
        <f t="shared" si="39"/>
        <v/>
      </c>
    </row>
    <row r="461" spans="1:11" ht="15" x14ac:dyDescent="0.25">
      <c r="A461" s="1" t="str">
        <f>IF('1.1 Produksi Bersih Padi 2025'!A461="","",'1.1 Produksi Bersih Padi 2025'!A461)</f>
        <v/>
      </c>
      <c r="B461" s="31" t="str">
        <f>IF('1.1 Produksi Bersih Padi 2025'!B461="","",'1.1 Produksi Bersih Padi 2025'!B461)</f>
        <v/>
      </c>
      <c r="C461" s="31" t="str">
        <f>IF('1.1 Produksi Bersih Padi 2025'!C461="","",'1.1 Produksi Bersih Padi 2025'!C461)</f>
        <v/>
      </c>
      <c r="D461" s="1" t="str">
        <f>IF('1.1 Produksi Bersih Padi 2025'!D461="","",'1.1 Produksi Bersih Padi 2025'!D461)</f>
        <v/>
      </c>
      <c r="E461" s="1" t="str">
        <f>IF('1.1 Produksi Bersih Padi 2025'!E461="","",'1.1 Produksi Bersih Padi 2025'!E461)</f>
        <v/>
      </c>
      <c r="F461" s="28" t="str">
        <f>IF(D461="","",VLOOKUP(D461,'[1]0.1 Produksi Pangan &amp; Penduduk'!$D$5:$AE$860,28,0))</f>
        <v/>
      </c>
      <c r="G461" s="29" t="str">
        <f t="shared" si="35"/>
        <v/>
      </c>
      <c r="H461" s="29" t="str">
        <f t="shared" si="36"/>
        <v/>
      </c>
      <c r="I461" s="29" t="str">
        <f t="shared" si="37"/>
        <v/>
      </c>
      <c r="J461" s="29" t="str">
        <f t="shared" si="38"/>
        <v/>
      </c>
      <c r="K461" s="29" t="str">
        <f t="shared" si="39"/>
        <v/>
      </c>
    </row>
    <row r="462" spans="1:11" ht="15" x14ac:dyDescent="0.25">
      <c r="A462" s="1" t="str">
        <f>IF('1.1 Produksi Bersih Padi 2025'!A462="","",'1.1 Produksi Bersih Padi 2025'!A462)</f>
        <v/>
      </c>
      <c r="B462" s="31" t="str">
        <f>IF('1.1 Produksi Bersih Padi 2025'!B462="","",'1.1 Produksi Bersih Padi 2025'!B462)</f>
        <v/>
      </c>
      <c r="C462" s="31" t="str">
        <f>IF('1.1 Produksi Bersih Padi 2025'!C462="","",'1.1 Produksi Bersih Padi 2025'!C462)</f>
        <v/>
      </c>
      <c r="D462" s="1" t="str">
        <f>IF('1.1 Produksi Bersih Padi 2025'!D462="","",'1.1 Produksi Bersih Padi 2025'!D462)</f>
        <v/>
      </c>
      <c r="E462" s="1" t="str">
        <f>IF('1.1 Produksi Bersih Padi 2025'!E462="","",'1.1 Produksi Bersih Padi 2025'!E462)</f>
        <v/>
      </c>
      <c r="F462" s="28" t="str">
        <f>IF(D462="","",VLOOKUP(D462,'[1]0.1 Produksi Pangan &amp; Penduduk'!$D$5:$AE$860,28,0))</f>
        <v/>
      </c>
      <c r="G462" s="29" t="str">
        <f t="shared" si="35"/>
        <v/>
      </c>
      <c r="H462" s="29" t="str">
        <f t="shared" si="36"/>
        <v/>
      </c>
      <c r="I462" s="29" t="str">
        <f t="shared" si="37"/>
        <v/>
      </c>
      <c r="J462" s="29" t="str">
        <f t="shared" si="38"/>
        <v/>
      </c>
      <c r="K462" s="29" t="str">
        <f t="shared" si="39"/>
        <v/>
      </c>
    </row>
    <row r="463" spans="1:11" ht="15" x14ac:dyDescent="0.25">
      <c r="A463" s="1" t="str">
        <f>IF('1.1 Produksi Bersih Padi 2025'!A463="","",'1.1 Produksi Bersih Padi 2025'!A463)</f>
        <v/>
      </c>
      <c r="B463" s="31" t="str">
        <f>IF('1.1 Produksi Bersih Padi 2025'!B463="","",'1.1 Produksi Bersih Padi 2025'!B463)</f>
        <v/>
      </c>
      <c r="C463" s="31" t="str">
        <f>IF('1.1 Produksi Bersih Padi 2025'!C463="","",'1.1 Produksi Bersih Padi 2025'!C463)</f>
        <v/>
      </c>
      <c r="D463" s="1" t="str">
        <f>IF('1.1 Produksi Bersih Padi 2025'!D463="","",'1.1 Produksi Bersih Padi 2025'!D463)</f>
        <v/>
      </c>
      <c r="E463" s="1" t="str">
        <f>IF('1.1 Produksi Bersih Padi 2025'!E463="","",'1.1 Produksi Bersih Padi 2025'!E463)</f>
        <v/>
      </c>
      <c r="F463" s="28" t="str">
        <f>IF(D463="","",VLOOKUP(D463,'[1]0.1 Produksi Pangan &amp; Penduduk'!$D$5:$AE$860,28,0))</f>
        <v/>
      </c>
      <c r="G463" s="29" t="str">
        <f t="shared" si="35"/>
        <v/>
      </c>
      <c r="H463" s="29" t="str">
        <f t="shared" si="36"/>
        <v/>
      </c>
      <c r="I463" s="29" t="str">
        <f t="shared" si="37"/>
        <v/>
      </c>
      <c r="J463" s="29" t="str">
        <f t="shared" si="38"/>
        <v/>
      </c>
      <c r="K463" s="29" t="str">
        <f t="shared" si="39"/>
        <v/>
      </c>
    </row>
    <row r="464" spans="1:11" ht="15" x14ac:dyDescent="0.25">
      <c r="A464" s="1" t="str">
        <f>IF('1.1 Produksi Bersih Padi 2025'!A464="","",'1.1 Produksi Bersih Padi 2025'!A464)</f>
        <v/>
      </c>
      <c r="B464" s="31" t="str">
        <f>IF('1.1 Produksi Bersih Padi 2025'!B464="","",'1.1 Produksi Bersih Padi 2025'!B464)</f>
        <v/>
      </c>
      <c r="C464" s="31" t="str">
        <f>IF('1.1 Produksi Bersih Padi 2025'!C464="","",'1.1 Produksi Bersih Padi 2025'!C464)</f>
        <v/>
      </c>
      <c r="D464" s="1" t="str">
        <f>IF('1.1 Produksi Bersih Padi 2025'!D464="","",'1.1 Produksi Bersih Padi 2025'!D464)</f>
        <v/>
      </c>
      <c r="E464" s="1" t="str">
        <f>IF('1.1 Produksi Bersih Padi 2025'!E464="","",'1.1 Produksi Bersih Padi 2025'!E464)</f>
        <v/>
      </c>
      <c r="F464" s="28" t="str">
        <f>IF(D464="","",VLOOKUP(D464,'[1]0.1 Produksi Pangan &amp; Penduduk'!$D$5:$AE$860,28,0))</f>
        <v/>
      </c>
      <c r="G464" s="29" t="str">
        <f t="shared" si="35"/>
        <v/>
      </c>
      <c r="H464" s="29" t="str">
        <f t="shared" si="36"/>
        <v/>
      </c>
      <c r="I464" s="29" t="str">
        <f t="shared" si="37"/>
        <v/>
      </c>
      <c r="J464" s="29" t="str">
        <f t="shared" si="38"/>
        <v/>
      </c>
      <c r="K464" s="29" t="str">
        <f t="shared" si="39"/>
        <v/>
      </c>
    </row>
    <row r="465" spans="1:11" ht="15" x14ac:dyDescent="0.25">
      <c r="A465" s="1" t="str">
        <f>IF('1.1 Produksi Bersih Padi 2025'!A465="","",'1.1 Produksi Bersih Padi 2025'!A465)</f>
        <v/>
      </c>
      <c r="B465" s="31" t="str">
        <f>IF('1.1 Produksi Bersih Padi 2025'!B465="","",'1.1 Produksi Bersih Padi 2025'!B465)</f>
        <v/>
      </c>
      <c r="C465" s="31" t="str">
        <f>IF('1.1 Produksi Bersih Padi 2025'!C465="","",'1.1 Produksi Bersih Padi 2025'!C465)</f>
        <v/>
      </c>
      <c r="D465" s="1" t="str">
        <f>IF('1.1 Produksi Bersih Padi 2025'!D465="","",'1.1 Produksi Bersih Padi 2025'!D465)</f>
        <v/>
      </c>
      <c r="E465" s="1" t="str">
        <f>IF('1.1 Produksi Bersih Padi 2025'!E465="","",'1.1 Produksi Bersih Padi 2025'!E465)</f>
        <v/>
      </c>
      <c r="F465" s="28" t="str">
        <f>IF(D465="","",VLOOKUP(D465,'[1]0.1 Produksi Pangan &amp; Penduduk'!$D$5:$AE$860,28,0))</f>
        <v/>
      </c>
      <c r="G465" s="29" t="str">
        <f t="shared" si="35"/>
        <v/>
      </c>
      <c r="H465" s="29" t="str">
        <f t="shared" si="36"/>
        <v/>
      </c>
      <c r="I465" s="29" t="str">
        <f t="shared" si="37"/>
        <v/>
      </c>
      <c r="J465" s="29" t="str">
        <f t="shared" si="38"/>
        <v/>
      </c>
      <c r="K465" s="29" t="str">
        <f t="shared" si="39"/>
        <v/>
      </c>
    </row>
    <row r="466" spans="1:11" ht="15" x14ac:dyDescent="0.25">
      <c r="A466" s="1" t="str">
        <f>IF('1.1 Produksi Bersih Padi 2025'!A466="","",'1.1 Produksi Bersih Padi 2025'!A466)</f>
        <v/>
      </c>
      <c r="B466" s="31" t="str">
        <f>IF('1.1 Produksi Bersih Padi 2025'!B466="","",'1.1 Produksi Bersih Padi 2025'!B466)</f>
        <v/>
      </c>
      <c r="C466" s="31" t="str">
        <f>IF('1.1 Produksi Bersih Padi 2025'!C466="","",'1.1 Produksi Bersih Padi 2025'!C466)</f>
        <v/>
      </c>
      <c r="D466" s="1" t="str">
        <f>IF('1.1 Produksi Bersih Padi 2025'!D466="","",'1.1 Produksi Bersih Padi 2025'!D466)</f>
        <v/>
      </c>
      <c r="E466" s="1" t="str">
        <f>IF('1.1 Produksi Bersih Padi 2025'!E466="","",'1.1 Produksi Bersih Padi 2025'!E466)</f>
        <v/>
      </c>
      <c r="F466" s="28" t="str">
        <f>IF(D466="","",VLOOKUP(D466,'[1]0.1 Produksi Pangan &amp; Penduduk'!$D$5:$AE$860,28,0))</f>
        <v/>
      </c>
      <c r="G466" s="29" t="str">
        <f t="shared" si="35"/>
        <v/>
      </c>
      <c r="H466" s="29" t="str">
        <f t="shared" si="36"/>
        <v/>
      </c>
      <c r="I466" s="29" t="str">
        <f t="shared" si="37"/>
        <v/>
      </c>
      <c r="J466" s="29" t="str">
        <f t="shared" si="38"/>
        <v/>
      </c>
      <c r="K466" s="29" t="str">
        <f t="shared" si="39"/>
        <v/>
      </c>
    </row>
    <row r="467" spans="1:11" ht="15" x14ac:dyDescent="0.25">
      <c r="A467" s="1" t="str">
        <f>IF('1.1 Produksi Bersih Padi 2025'!A467="","",'1.1 Produksi Bersih Padi 2025'!A467)</f>
        <v/>
      </c>
      <c r="B467" s="31" t="str">
        <f>IF('1.1 Produksi Bersih Padi 2025'!B467="","",'1.1 Produksi Bersih Padi 2025'!B467)</f>
        <v/>
      </c>
      <c r="C467" s="31" t="str">
        <f>IF('1.1 Produksi Bersih Padi 2025'!C467="","",'1.1 Produksi Bersih Padi 2025'!C467)</f>
        <v/>
      </c>
      <c r="D467" s="1" t="str">
        <f>IF('1.1 Produksi Bersih Padi 2025'!D467="","",'1.1 Produksi Bersih Padi 2025'!D467)</f>
        <v/>
      </c>
      <c r="E467" s="1" t="str">
        <f>IF('1.1 Produksi Bersih Padi 2025'!E467="","",'1.1 Produksi Bersih Padi 2025'!E467)</f>
        <v/>
      </c>
      <c r="F467" s="28" t="str">
        <f>IF(D467="","",VLOOKUP(D467,'[1]0.1 Produksi Pangan &amp; Penduduk'!$D$5:$AE$860,28,0))</f>
        <v/>
      </c>
      <c r="G467" s="29" t="str">
        <f t="shared" si="35"/>
        <v/>
      </c>
      <c r="H467" s="29" t="str">
        <f t="shared" si="36"/>
        <v/>
      </c>
      <c r="I467" s="29" t="str">
        <f t="shared" si="37"/>
        <v/>
      </c>
      <c r="J467" s="29" t="str">
        <f t="shared" si="38"/>
        <v/>
      </c>
      <c r="K467" s="29" t="str">
        <f t="shared" si="39"/>
        <v/>
      </c>
    </row>
    <row r="468" spans="1:11" ht="15" x14ac:dyDescent="0.25">
      <c r="A468" s="1" t="str">
        <f>IF('1.1 Produksi Bersih Padi 2025'!A468="","",'1.1 Produksi Bersih Padi 2025'!A468)</f>
        <v/>
      </c>
      <c r="B468" s="31" t="str">
        <f>IF('1.1 Produksi Bersih Padi 2025'!B468="","",'1.1 Produksi Bersih Padi 2025'!B468)</f>
        <v/>
      </c>
      <c r="C468" s="31" t="str">
        <f>IF('1.1 Produksi Bersih Padi 2025'!C468="","",'1.1 Produksi Bersih Padi 2025'!C468)</f>
        <v/>
      </c>
      <c r="D468" s="1" t="str">
        <f>IF('1.1 Produksi Bersih Padi 2025'!D468="","",'1.1 Produksi Bersih Padi 2025'!D468)</f>
        <v/>
      </c>
      <c r="E468" s="1" t="str">
        <f>IF('1.1 Produksi Bersih Padi 2025'!E468="","",'1.1 Produksi Bersih Padi 2025'!E468)</f>
        <v/>
      </c>
      <c r="F468" s="28" t="str">
        <f>IF(D468="","",VLOOKUP(D468,'[1]0.1 Produksi Pangan &amp; Penduduk'!$D$5:$AE$860,28,0))</f>
        <v/>
      </c>
      <c r="G468" s="29" t="str">
        <f t="shared" si="35"/>
        <v/>
      </c>
      <c r="H468" s="29" t="str">
        <f t="shared" si="36"/>
        <v/>
      </c>
      <c r="I468" s="29" t="str">
        <f t="shared" si="37"/>
        <v/>
      </c>
      <c r="J468" s="29" t="str">
        <f t="shared" si="38"/>
        <v/>
      </c>
      <c r="K468" s="29" t="str">
        <f t="shared" si="39"/>
        <v/>
      </c>
    </row>
    <row r="469" spans="1:11" ht="15" x14ac:dyDescent="0.25">
      <c r="A469" s="1" t="str">
        <f>IF('1.1 Produksi Bersih Padi 2025'!A469="","",'1.1 Produksi Bersih Padi 2025'!A469)</f>
        <v/>
      </c>
      <c r="B469" s="31" t="str">
        <f>IF('1.1 Produksi Bersih Padi 2025'!B469="","",'1.1 Produksi Bersih Padi 2025'!B469)</f>
        <v/>
      </c>
      <c r="C469" s="31" t="str">
        <f>IF('1.1 Produksi Bersih Padi 2025'!C469="","",'1.1 Produksi Bersih Padi 2025'!C469)</f>
        <v/>
      </c>
      <c r="D469" s="1" t="str">
        <f>IF('1.1 Produksi Bersih Padi 2025'!D469="","",'1.1 Produksi Bersih Padi 2025'!D469)</f>
        <v/>
      </c>
      <c r="E469" s="1" t="str">
        <f>IF('1.1 Produksi Bersih Padi 2025'!E469="","",'1.1 Produksi Bersih Padi 2025'!E469)</f>
        <v/>
      </c>
      <c r="F469" s="28" t="str">
        <f>IF(D469="","",VLOOKUP(D469,'[1]0.1 Produksi Pangan &amp; Penduduk'!$D$5:$AE$860,28,0))</f>
        <v/>
      </c>
      <c r="G469" s="29" t="str">
        <f t="shared" si="35"/>
        <v/>
      </c>
      <c r="H469" s="29" t="str">
        <f t="shared" si="36"/>
        <v/>
      </c>
      <c r="I469" s="29" t="str">
        <f t="shared" si="37"/>
        <v/>
      </c>
      <c r="J469" s="29" t="str">
        <f t="shared" si="38"/>
        <v/>
      </c>
      <c r="K469" s="29" t="str">
        <f t="shared" si="39"/>
        <v/>
      </c>
    </row>
    <row r="470" spans="1:11" ht="15" x14ac:dyDescent="0.25">
      <c r="A470" s="1" t="str">
        <f>IF('1.1 Produksi Bersih Padi 2025'!A470="","",'1.1 Produksi Bersih Padi 2025'!A470)</f>
        <v/>
      </c>
      <c r="B470" s="31" t="str">
        <f>IF('1.1 Produksi Bersih Padi 2025'!B470="","",'1.1 Produksi Bersih Padi 2025'!B470)</f>
        <v/>
      </c>
      <c r="C470" s="31" t="str">
        <f>IF('1.1 Produksi Bersih Padi 2025'!C470="","",'1.1 Produksi Bersih Padi 2025'!C470)</f>
        <v/>
      </c>
      <c r="D470" s="1" t="str">
        <f>IF('1.1 Produksi Bersih Padi 2025'!D470="","",'1.1 Produksi Bersih Padi 2025'!D470)</f>
        <v/>
      </c>
      <c r="E470" s="1" t="str">
        <f>IF('1.1 Produksi Bersih Padi 2025'!E470="","",'1.1 Produksi Bersih Padi 2025'!E470)</f>
        <v/>
      </c>
      <c r="F470" s="28" t="str">
        <f>IF(D470="","",VLOOKUP(D470,'[1]0.1 Produksi Pangan &amp; Penduduk'!$D$5:$AE$860,28,0))</f>
        <v/>
      </c>
      <c r="G470" s="29" t="str">
        <f t="shared" si="35"/>
        <v/>
      </c>
      <c r="H470" s="29" t="str">
        <f t="shared" si="36"/>
        <v/>
      </c>
      <c r="I470" s="29" t="str">
        <f t="shared" si="37"/>
        <v/>
      </c>
      <c r="J470" s="29" t="str">
        <f t="shared" si="38"/>
        <v/>
      </c>
      <c r="K470" s="29" t="str">
        <f t="shared" si="39"/>
        <v/>
      </c>
    </row>
    <row r="471" spans="1:11" ht="15" x14ac:dyDescent="0.25">
      <c r="A471" s="1" t="str">
        <f>IF('1.1 Produksi Bersih Padi 2025'!A471="","",'1.1 Produksi Bersih Padi 2025'!A471)</f>
        <v/>
      </c>
      <c r="B471" s="31" t="str">
        <f>IF('1.1 Produksi Bersih Padi 2025'!B471="","",'1.1 Produksi Bersih Padi 2025'!B471)</f>
        <v/>
      </c>
      <c r="C471" s="31" t="str">
        <f>IF('1.1 Produksi Bersih Padi 2025'!C471="","",'1.1 Produksi Bersih Padi 2025'!C471)</f>
        <v/>
      </c>
      <c r="D471" s="1" t="str">
        <f>IF('1.1 Produksi Bersih Padi 2025'!D471="","",'1.1 Produksi Bersih Padi 2025'!D471)</f>
        <v/>
      </c>
      <c r="E471" s="1" t="str">
        <f>IF('1.1 Produksi Bersih Padi 2025'!E471="","",'1.1 Produksi Bersih Padi 2025'!E471)</f>
        <v/>
      </c>
      <c r="F471" s="28" t="str">
        <f>IF(D471="","",VLOOKUP(D471,'[1]0.1 Produksi Pangan &amp; Penduduk'!$D$5:$AE$860,28,0))</f>
        <v/>
      </c>
      <c r="G471" s="29" t="str">
        <f t="shared" si="35"/>
        <v/>
      </c>
      <c r="H471" s="29" t="str">
        <f t="shared" si="36"/>
        <v/>
      </c>
      <c r="I471" s="29" t="str">
        <f t="shared" si="37"/>
        <v/>
      </c>
      <c r="J471" s="29" t="str">
        <f t="shared" si="38"/>
        <v/>
      </c>
      <c r="K471" s="29" t="str">
        <f t="shared" si="39"/>
        <v/>
      </c>
    </row>
    <row r="472" spans="1:11" ht="15" x14ac:dyDescent="0.25">
      <c r="A472" s="1" t="str">
        <f>IF('1.1 Produksi Bersih Padi 2025'!A472="","",'1.1 Produksi Bersih Padi 2025'!A472)</f>
        <v/>
      </c>
      <c r="B472" s="31" t="str">
        <f>IF('1.1 Produksi Bersih Padi 2025'!B472="","",'1.1 Produksi Bersih Padi 2025'!B472)</f>
        <v/>
      </c>
      <c r="C472" s="31" t="str">
        <f>IF('1.1 Produksi Bersih Padi 2025'!C472="","",'1.1 Produksi Bersih Padi 2025'!C472)</f>
        <v/>
      </c>
      <c r="D472" s="1" t="str">
        <f>IF('1.1 Produksi Bersih Padi 2025'!D472="","",'1.1 Produksi Bersih Padi 2025'!D472)</f>
        <v/>
      </c>
      <c r="E472" s="1" t="str">
        <f>IF('1.1 Produksi Bersih Padi 2025'!E472="","",'1.1 Produksi Bersih Padi 2025'!E472)</f>
        <v/>
      </c>
      <c r="F472" s="28" t="str">
        <f>IF(D472="","",VLOOKUP(D472,'[1]0.1 Produksi Pangan &amp; Penduduk'!$D$5:$AE$860,28,0))</f>
        <v/>
      </c>
      <c r="G472" s="29" t="str">
        <f t="shared" si="35"/>
        <v/>
      </c>
      <c r="H472" s="29" t="str">
        <f t="shared" si="36"/>
        <v/>
      </c>
      <c r="I472" s="29" t="str">
        <f t="shared" si="37"/>
        <v/>
      </c>
      <c r="J472" s="29" t="str">
        <f t="shared" si="38"/>
        <v/>
      </c>
      <c r="K472" s="29" t="str">
        <f t="shared" si="39"/>
        <v/>
      </c>
    </row>
    <row r="473" spans="1:11" ht="15" x14ac:dyDescent="0.25">
      <c r="A473" s="1" t="str">
        <f>IF('1.1 Produksi Bersih Padi 2025'!A473="","",'1.1 Produksi Bersih Padi 2025'!A473)</f>
        <v/>
      </c>
      <c r="B473" s="31" t="str">
        <f>IF('1.1 Produksi Bersih Padi 2025'!B473="","",'1.1 Produksi Bersih Padi 2025'!B473)</f>
        <v/>
      </c>
      <c r="C473" s="31" t="str">
        <f>IF('1.1 Produksi Bersih Padi 2025'!C473="","",'1.1 Produksi Bersih Padi 2025'!C473)</f>
        <v/>
      </c>
      <c r="D473" s="1" t="str">
        <f>IF('1.1 Produksi Bersih Padi 2025'!D473="","",'1.1 Produksi Bersih Padi 2025'!D473)</f>
        <v/>
      </c>
      <c r="E473" s="1" t="str">
        <f>IF('1.1 Produksi Bersih Padi 2025'!E473="","",'1.1 Produksi Bersih Padi 2025'!E473)</f>
        <v/>
      </c>
      <c r="F473" s="28" t="str">
        <f>IF(D473="","",VLOOKUP(D473,'[1]0.1 Produksi Pangan &amp; Penduduk'!$D$5:$AE$860,28,0))</f>
        <v/>
      </c>
      <c r="G473" s="29" t="str">
        <f t="shared" si="35"/>
        <v/>
      </c>
      <c r="H473" s="29" t="str">
        <f t="shared" si="36"/>
        <v/>
      </c>
      <c r="I473" s="29" t="str">
        <f t="shared" si="37"/>
        <v/>
      </c>
      <c r="J473" s="29" t="str">
        <f t="shared" si="38"/>
        <v/>
      </c>
      <c r="K473" s="29" t="str">
        <f t="shared" si="39"/>
        <v/>
      </c>
    </row>
    <row r="474" spans="1:11" ht="15" x14ac:dyDescent="0.25">
      <c r="A474" s="1" t="str">
        <f>IF('1.1 Produksi Bersih Padi 2025'!A474="","",'1.1 Produksi Bersih Padi 2025'!A474)</f>
        <v/>
      </c>
      <c r="B474" s="31" t="str">
        <f>IF('1.1 Produksi Bersih Padi 2025'!B474="","",'1.1 Produksi Bersih Padi 2025'!B474)</f>
        <v/>
      </c>
      <c r="C474" s="31" t="str">
        <f>IF('1.1 Produksi Bersih Padi 2025'!C474="","",'1.1 Produksi Bersih Padi 2025'!C474)</f>
        <v/>
      </c>
      <c r="D474" s="1" t="str">
        <f>IF('1.1 Produksi Bersih Padi 2025'!D474="","",'1.1 Produksi Bersih Padi 2025'!D474)</f>
        <v/>
      </c>
      <c r="E474" s="1" t="str">
        <f>IF('1.1 Produksi Bersih Padi 2025'!E474="","",'1.1 Produksi Bersih Padi 2025'!E474)</f>
        <v/>
      </c>
      <c r="F474" s="28" t="str">
        <f>IF(D474="","",VLOOKUP(D474,'[1]0.1 Produksi Pangan &amp; Penduduk'!$D$5:$AE$860,28,0))</f>
        <v/>
      </c>
      <c r="G474" s="29" t="str">
        <f t="shared" si="35"/>
        <v/>
      </c>
      <c r="H474" s="29" t="str">
        <f t="shared" si="36"/>
        <v/>
      </c>
      <c r="I474" s="29" t="str">
        <f t="shared" si="37"/>
        <v/>
      </c>
      <c r="J474" s="29" t="str">
        <f t="shared" si="38"/>
        <v/>
      </c>
      <c r="K474" s="29" t="str">
        <f t="shared" si="39"/>
        <v/>
      </c>
    </row>
    <row r="475" spans="1:11" ht="15" x14ac:dyDescent="0.25">
      <c r="A475" s="1" t="str">
        <f>IF('1.1 Produksi Bersih Padi 2025'!A475="","",'1.1 Produksi Bersih Padi 2025'!A475)</f>
        <v/>
      </c>
      <c r="B475" s="31" t="str">
        <f>IF('1.1 Produksi Bersih Padi 2025'!B475="","",'1.1 Produksi Bersih Padi 2025'!B475)</f>
        <v/>
      </c>
      <c r="C475" s="31" t="str">
        <f>IF('1.1 Produksi Bersih Padi 2025'!C475="","",'1.1 Produksi Bersih Padi 2025'!C475)</f>
        <v/>
      </c>
      <c r="D475" s="1" t="str">
        <f>IF('1.1 Produksi Bersih Padi 2025'!D475="","",'1.1 Produksi Bersih Padi 2025'!D475)</f>
        <v/>
      </c>
      <c r="E475" s="1" t="str">
        <f>IF('1.1 Produksi Bersih Padi 2025'!E475="","",'1.1 Produksi Bersih Padi 2025'!E475)</f>
        <v/>
      </c>
      <c r="F475" s="28" t="str">
        <f>IF(D475="","",VLOOKUP(D475,'[1]0.1 Produksi Pangan &amp; Penduduk'!$D$5:$AE$860,28,0))</f>
        <v/>
      </c>
      <c r="G475" s="29" t="str">
        <f t="shared" si="35"/>
        <v/>
      </c>
      <c r="H475" s="29" t="str">
        <f t="shared" si="36"/>
        <v/>
      </c>
      <c r="I475" s="29" t="str">
        <f t="shared" si="37"/>
        <v/>
      </c>
      <c r="J475" s="29" t="str">
        <f t="shared" si="38"/>
        <v/>
      </c>
      <c r="K475" s="29" t="str">
        <f t="shared" si="39"/>
        <v/>
      </c>
    </row>
    <row r="476" spans="1:11" ht="15" x14ac:dyDescent="0.25">
      <c r="A476" s="1" t="str">
        <f>IF('1.1 Produksi Bersih Padi 2025'!A476="","",'1.1 Produksi Bersih Padi 2025'!A476)</f>
        <v/>
      </c>
      <c r="B476" s="31" t="str">
        <f>IF('1.1 Produksi Bersih Padi 2025'!B476="","",'1.1 Produksi Bersih Padi 2025'!B476)</f>
        <v/>
      </c>
      <c r="C476" s="31" t="str">
        <f>IF('1.1 Produksi Bersih Padi 2025'!C476="","",'1.1 Produksi Bersih Padi 2025'!C476)</f>
        <v/>
      </c>
      <c r="D476" s="1" t="str">
        <f>IF('1.1 Produksi Bersih Padi 2025'!D476="","",'1.1 Produksi Bersih Padi 2025'!D476)</f>
        <v/>
      </c>
      <c r="E476" s="1" t="str">
        <f>IF('1.1 Produksi Bersih Padi 2025'!E476="","",'1.1 Produksi Bersih Padi 2025'!E476)</f>
        <v/>
      </c>
      <c r="F476" s="28" t="str">
        <f>IF(D476="","",VLOOKUP(D476,'[1]0.1 Produksi Pangan &amp; Penduduk'!$D$5:$AE$860,28,0))</f>
        <v/>
      </c>
      <c r="G476" s="29" t="str">
        <f t="shared" si="35"/>
        <v/>
      </c>
      <c r="H476" s="29" t="str">
        <f t="shared" si="36"/>
        <v/>
      </c>
      <c r="I476" s="29" t="str">
        <f t="shared" si="37"/>
        <v/>
      </c>
      <c r="J476" s="29" t="str">
        <f t="shared" si="38"/>
        <v/>
      </c>
      <c r="K476" s="29" t="str">
        <f t="shared" si="39"/>
        <v/>
      </c>
    </row>
    <row r="477" spans="1:11" ht="15" x14ac:dyDescent="0.25">
      <c r="A477" s="1" t="str">
        <f>IF('1.1 Produksi Bersih Padi 2025'!A477="","",'1.1 Produksi Bersih Padi 2025'!A477)</f>
        <v/>
      </c>
      <c r="B477" s="31" t="str">
        <f>IF('1.1 Produksi Bersih Padi 2025'!B477="","",'1.1 Produksi Bersih Padi 2025'!B477)</f>
        <v/>
      </c>
      <c r="C477" s="31" t="str">
        <f>IF('1.1 Produksi Bersih Padi 2025'!C477="","",'1.1 Produksi Bersih Padi 2025'!C477)</f>
        <v/>
      </c>
      <c r="D477" s="1" t="str">
        <f>IF('1.1 Produksi Bersih Padi 2025'!D477="","",'1.1 Produksi Bersih Padi 2025'!D477)</f>
        <v/>
      </c>
      <c r="E477" s="1" t="str">
        <f>IF('1.1 Produksi Bersih Padi 2025'!E477="","",'1.1 Produksi Bersih Padi 2025'!E477)</f>
        <v/>
      </c>
      <c r="F477" s="28" t="str">
        <f>IF(D477="","",VLOOKUP(D477,'[1]0.1 Produksi Pangan &amp; Penduduk'!$D$5:$AE$860,28,0))</f>
        <v/>
      </c>
      <c r="G477" s="29" t="str">
        <f t="shared" si="35"/>
        <v/>
      </c>
      <c r="H477" s="29" t="str">
        <f t="shared" si="36"/>
        <v/>
      </c>
      <c r="I477" s="29" t="str">
        <f t="shared" si="37"/>
        <v/>
      </c>
      <c r="J477" s="29" t="str">
        <f t="shared" si="38"/>
        <v/>
      </c>
      <c r="K477" s="29" t="str">
        <f t="shared" si="39"/>
        <v/>
      </c>
    </row>
    <row r="478" spans="1:11" ht="15" x14ac:dyDescent="0.25">
      <c r="A478" s="1" t="str">
        <f>IF('1.1 Produksi Bersih Padi 2025'!A478="","",'1.1 Produksi Bersih Padi 2025'!A478)</f>
        <v/>
      </c>
      <c r="B478" s="31" t="str">
        <f>IF('1.1 Produksi Bersih Padi 2025'!B478="","",'1.1 Produksi Bersih Padi 2025'!B478)</f>
        <v/>
      </c>
      <c r="C478" s="31" t="str">
        <f>IF('1.1 Produksi Bersih Padi 2025'!C478="","",'1.1 Produksi Bersih Padi 2025'!C478)</f>
        <v/>
      </c>
      <c r="D478" s="1" t="str">
        <f>IF('1.1 Produksi Bersih Padi 2025'!D478="","",'1.1 Produksi Bersih Padi 2025'!D478)</f>
        <v/>
      </c>
      <c r="E478" s="1" t="str">
        <f>IF('1.1 Produksi Bersih Padi 2025'!E478="","",'1.1 Produksi Bersih Padi 2025'!E478)</f>
        <v/>
      </c>
      <c r="F478" s="28" t="str">
        <f>IF(D478="","",VLOOKUP(D478,'[1]0.1 Produksi Pangan &amp; Penduduk'!$D$5:$AE$860,28,0))</f>
        <v/>
      </c>
      <c r="G478" s="29" t="str">
        <f t="shared" si="35"/>
        <v/>
      </c>
      <c r="H478" s="29" t="str">
        <f t="shared" si="36"/>
        <v/>
      </c>
      <c r="I478" s="29" t="str">
        <f t="shared" si="37"/>
        <v/>
      </c>
      <c r="J478" s="29" t="str">
        <f t="shared" si="38"/>
        <v/>
      </c>
      <c r="K478" s="29" t="str">
        <f t="shared" si="39"/>
        <v/>
      </c>
    </row>
    <row r="479" spans="1:11" ht="15" x14ac:dyDescent="0.25">
      <c r="A479" s="1" t="str">
        <f>IF('1.1 Produksi Bersih Padi 2025'!A479="","",'1.1 Produksi Bersih Padi 2025'!A479)</f>
        <v/>
      </c>
      <c r="B479" s="31" t="str">
        <f>IF('1.1 Produksi Bersih Padi 2025'!B479="","",'1.1 Produksi Bersih Padi 2025'!B479)</f>
        <v/>
      </c>
      <c r="C479" s="31" t="str">
        <f>IF('1.1 Produksi Bersih Padi 2025'!C479="","",'1.1 Produksi Bersih Padi 2025'!C479)</f>
        <v/>
      </c>
      <c r="D479" s="1" t="str">
        <f>IF('1.1 Produksi Bersih Padi 2025'!D479="","",'1.1 Produksi Bersih Padi 2025'!D479)</f>
        <v/>
      </c>
      <c r="E479" s="1" t="str">
        <f>IF('1.1 Produksi Bersih Padi 2025'!E479="","",'1.1 Produksi Bersih Padi 2025'!E479)</f>
        <v/>
      </c>
      <c r="F479" s="28" t="str">
        <f>IF(D479="","",VLOOKUP(D479,'[1]0.1 Produksi Pangan &amp; Penduduk'!$D$5:$AE$860,28,0))</f>
        <v/>
      </c>
      <c r="G479" s="29" t="str">
        <f t="shared" si="35"/>
        <v/>
      </c>
      <c r="H479" s="29" t="str">
        <f t="shared" si="36"/>
        <v/>
      </c>
      <c r="I479" s="29" t="str">
        <f t="shared" si="37"/>
        <v/>
      </c>
      <c r="J479" s="29" t="str">
        <f t="shared" si="38"/>
        <v/>
      </c>
      <c r="K479" s="29" t="str">
        <f t="shared" si="39"/>
        <v/>
      </c>
    </row>
    <row r="480" spans="1:11" ht="15" x14ac:dyDescent="0.25">
      <c r="A480" s="1" t="str">
        <f>IF('1.1 Produksi Bersih Padi 2025'!A480="","",'1.1 Produksi Bersih Padi 2025'!A480)</f>
        <v/>
      </c>
      <c r="B480" s="31" t="str">
        <f>IF('1.1 Produksi Bersih Padi 2025'!B480="","",'1.1 Produksi Bersih Padi 2025'!B480)</f>
        <v/>
      </c>
      <c r="C480" s="31" t="str">
        <f>IF('1.1 Produksi Bersih Padi 2025'!C480="","",'1.1 Produksi Bersih Padi 2025'!C480)</f>
        <v/>
      </c>
      <c r="D480" s="1" t="str">
        <f>IF('1.1 Produksi Bersih Padi 2025'!D480="","",'1.1 Produksi Bersih Padi 2025'!D480)</f>
        <v/>
      </c>
      <c r="E480" s="1" t="str">
        <f>IF('1.1 Produksi Bersih Padi 2025'!E480="","",'1.1 Produksi Bersih Padi 2025'!E480)</f>
        <v/>
      </c>
      <c r="F480" s="28" t="str">
        <f>IF(D480="","",VLOOKUP(D480,'[1]0.1 Produksi Pangan &amp; Penduduk'!$D$5:$AE$860,28,0))</f>
        <v/>
      </c>
      <c r="G480" s="29" t="str">
        <f t="shared" si="35"/>
        <v/>
      </c>
      <c r="H480" s="29" t="str">
        <f t="shared" si="36"/>
        <v/>
      </c>
      <c r="I480" s="29" t="str">
        <f t="shared" si="37"/>
        <v/>
      </c>
      <c r="J480" s="29" t="str">
        <f t="shared" si="38"/>
        <v/>
      </c>
      <c r="K480" s="29" t="str">
        <f t="shared" si="39"/>
        <v/>
      </c>
    </row>
    <row r="481" spans="1:11" ht="15" x14ac:dyDescent="0.25">
      <c r="A481" s="1" t="str">
        <f>IF('1.1 Produksi Bersih Padi 2025'!A481="","",'1.1 Produksi Bersih Padi 2025'!A481)</f>
        <v/>
      </c>
      <c r="B481" s="31" t="str">
        <f>IF('1.1 Produksi Bersih Padi 2025'!B481="","",'1.1 Produksi Bersih Padi 2025'!B481)</f>
        <v/>
      </c>
      <c r="C481" s="31" t="str">
        <f>IF('1.1 Produksi Bersih Padi 2025'!C481="","",'1.1 Produksi Bersih Padi 2025'!C481)</f>
        <v/>
      </c>
      <c r="D481" s="1" t="str">
        <f>IF('1.1 Produksi Bersih Padi 2025'!D481="","",'1.1 Produksi Bersih Padi 2025'!D481)</f>
        <v/>
      </c>
      <c r="E481" s="1" t="str">
        <f>IF('1.1 Produksi Bersih Padi 2025'!E481="","",'1.1 Produksi Bersih Padi 2025'!E481)</f>
        <v/>
      </c>
      <c r="F481" s="28" t="str">
        <f>IF(D481="","",VLOOKUP(D481,'[1]0.1 Produksi Pangan &amp; Penduduk'!$D$5:$AE$860,28,0))</f>
        <v/>
      </c>
      <c r="G481" s="29" t="str">
        <f t="shared" si="35"/>
        <v/>
      </c>
      <c r="H481" s="29" t="str">
        <f t="shared" si="36"/>
        <v/>
      </c>
      <c r="I481" s="29" t="str">
        <f t="shared" si="37"/>
        <v/>
      </c>
      <c r="J481" s="29" t="str">
        <f t="shared" si="38"/>
        <v/>
      </c>
      <c r="K481" s="29" t="str">
        <f t="shared" si="39"/>
        <v/>
      </c>
    </row>
    <row r="482" spans="1:11" ht="15" x14ac:dyDescent="0.25">
      <c r="A482" s="1" t="str">
        <f>IF('1.1 Produksi Bersih Padi 2025'!A482="","",'1.1 Produksi Bersih Padi 2025'!A482)</f>
        <v/>
      </c>
      <c r="B482" s="31" t="str">
        <f>IF('1.1 Produksi Bersih Padi 2025'!B482="","",'1.1 Produksi Bersih Padi 2025'!B482)</f>
        <v/>
      </c>
      <c r="C482" s="31" t="str">
        <f>IF('1.1 Produksi Bersih Padi 2025'!C482="","",'1.1 Produksi Bersih Padi 2025'!C482)</f>
        <v/>
      </c>
      <c r="D482" s="1" t="str">
        <f>IF('1.1 Produksi Bersih Padi 2025'!D482="","",'1.1 Produksi Bersih Padi 2025'!D482)</f>
        <v/>
      </c>
      <c r="E482" s="1" t="str">
        <f>IF('1.1 Produksi Bersih Padi 2025'!E482="","",'1.1 Produksi Bersih Padi 2025'!E482)</f>
        <v/>
      </c>
      <c r="F482" s="28" t="str">
        <f>IF(D482="","",VLOOKUP(D482,'[1]0.1 Produksi Pangan &amp; Penduduk'!$D$5:$AE$860,28,0))</f>
        <v/>
      </c>
      <c r="G482" s="29" t="str">
        <f t="shared" si="35"/>
        <v/>
      </c>
      <c r="H482" s="29" t="str">
        <f t="shared" si="36"/>
        <v/>
      </c>
      <c r="I482" s="29" t="str">
        <f t="shared" si="37"/>
        <v/>
      </c>
      <c r="J482" s="29" t="str">
        <f t="shared" si="38"/>
        <v/>
      </c>
      <c r="K482" s="29" t="str">
        <f t="shared" si="39"/>
        <v/>
      </c>
    </row>
    <row r="483" spans="1:11" ht="15" x14ac:dyDescent="0.25">
      <c r="A483" s="1" t="str">
        <f>IF('1.1 Produksi Bersih Padi 2025'!A483="","",'1.1 Produksi Bersih Padi 2025'!A483)</f>
        <v/>
      </c>
      <c r="B483" s="31" t="str">
        <f>IF('1.1 Produksi Bersih Padi 2025'!B483="","",'1.1 Produksi Bersih Padi 2025'!B483)</f>
        <v/>
      </c>
      <c r="C483" s="31" t="str">
        <f>IF('1.1 Produksi Bersih Padi 2025'!C483="","",'1.1 Produksi Bersih Padi 2025'!C483)</f>
        <v/>
      </c>
      <c r="D483" s="1" t="str">
        <f>IF('1.1 Produksi Bersih Padi 2025'!D483="","",'1.1 Produksi Bersih Padi 2025'!D483)</f>
        <v/>
      </c>
      <c r="E483" s="1" t="str">
        <f>IF('1.1 Produksi Bersih Padi 2025'!E483="","",'1.1 Produksi Bersih Padi 2025'!E483)</f>
        <v/>
      </c>
      <c r="F483" s="28" t="str">
        <f>IF(D483="","",VLOOKUP(D483,'[1]0.1 Produksi Pangan &amp; Penduduk'!$D$5:$AE$860,28,0))</f>
        <v/>
      </c>
      <c r="G483" s="29" t="str">
        <f t="shared" si="35"/>
        <v/>
      </c>
      <c r="H483" s="29" t="str">
        <f t="shared" si="36"/>
        <v/>
      </c>
      <c r="I483" s="29" t="str">
        <f t="shared" si="37"/>
        <v/>
      </c>
      <c r="J483" s="29" t="str">
        <f t="shared" si="38"/>
        <v/>
      </c>
      <c r="K483" s="29" t="str">
        <f t="shared" si="39"/>
        <v/>
      </c>
    </row>
    <row r="484" spans="1:11" ht="15" x14ac:dyDescent="0.25">
      <c r="A484" s="1" t="str">
        <f>IF('1.1 Produksi Bersih Padi 2025'!A484="","",'1.1 Produksi Bersih Padi 2025'!A484)</f>
        <v/>
      </c>
      <c r="B484" s="31" t="str">
        <f>IF('1.1 Produksi Bersih Padi 2025'!B484="","",'1.1 Produksi Bersih Padi 2025'!B484)</f>
        <v/>
      </c>
      <c r="C484" s="31" t="str">
        <f>IF('1.1 Produksi Bersih Padi 2025'!C484="","",'1.1 Produksi Bersih Padi 2025'!C484)</f>
        <v/>
      </c>
      <c r="D484" s="1" t="str">
        <f>IF('1.1 Produksi Bersih Padi 2025'!D484="","",'1.1 Produksi Bersih Padi 2025'!D484)</f>
        <v/>
      </c>
      <c r="E484" s="1" t="str">
        <f>IF('1.1 Produksi Bersih Padi 2025'!E484="","",'1.1 Produksi Bersih Padi 2025'!E484)</f>
        <v/>
      </c>
      <c r="F484" s="28" t="str">
        <f>IF(D484="","",VLOOKUP(D484,'[1]0.1 Produksi Pangan &amp; Penduduk'!$D$5:$AE$860,28,0))</f>
        <v/>
      </c>
      <c r="G484" s="29" t="str">
        <f t="shared" si="35"/>
        <v/>
      </c>
      <c r="H484" s="29" t="str">
        <f t="shared" si="36"/>
        <v/>
      </c>
      <c r="I484" s="29" t="str">
        <f t="shared" si="37"/>
        <v/>
      </c>
      <c r="J484" s="29" t="str">
        <f t="shared" si="38"/>
        <v/>
      </c>
      <c r="K484" s="29" t="str">
        <f t="shared" si="39"/>
        <v/>
      </c>
    </row>
    <row r="485" spans="1:11" ht="15" x14ac:dyDescent="0.25">
      <c r="A485" s="1" t="str">
        <f>IF('1.1 Produksi Bersih Padi 2025'!A485="","",'1.1 Produksi Bersih Padi 2025'!A485)</f>
        <v/>
      </c>
      <c r="B485" s="31" t="str">
        <f>IF('1.1 Produksi Bersih Padi 2025'!B485="","",'1.1 Produksi Bersih Padi 2025'!B485)</f>
        <v/>
      </c>
      <c r="C485" s="31" t="str">
        <f>IF('1.1 Produksi Bersih Padi 2025'!C485="","",'1.1 Produksi Bersih Padi 2025'!C485)</f>
        <v/>
      </c>
      <c r="D485" s="1" t="str">
        <f>IF('1.1 Produksi Bersih Padi 2025'!D485="","",'1.1 Produksi Bersih Padi 2025'!D485)</f>
        <v/>
      </c>
      <c r="E485" s="1" t="str">
        <f>IF('1.1 Produksi Bersih Padi 2025'!E485="","",'1.1 Produksi Bersih Padi 2025'!E485)</f>
        <v/>
      </c>
      <c r="F485" s="28" t="str">
        <f>IF(D485="","",VLOOKUP(D485,'[1]0.1 Produksi Pangan &amp; Penduduk'!$D$5:$AE$860,28,0))</f>
        <v/>
      </c>
      <c r="G485" s="29" t="str">
        <f t="shared" si="35"/>
        <v/>
      </c>
      <c r="H485" s="29" t="str">
        <f t="shared" si="36"/>
        <v/>
      </c>
      <c r="I485" s="29" t="str">
        <f t="shared" si="37"/>
        <v/>
      </c>
      <c r="J485" s="29" t="str">
        <f t="shared" si="38"/>
        <v/>
      </c>
      <c r="K485" s="29" t="str">
        <f t="shared" si="39"/>
        <v/>
      </c>
    </row>
    <row r="486" spans="1:11" ht="15" x14ac:dyDescent="0.25">
      <c r="A486" s="1" t="str">
        <f>IF('1.1 Produksi Bersih Padi 2025'!A486="","",'1.1 Produksi Bersih Padi 2025'!A486)</f>
        <v/>
      </c>
      <c r="B486" s="31" t="str">
        <f>IF('1.1 Produksi Bersih Padi 2025'!B486="","",'1.1 Produksi Bersih Padi 2025'!B486)</f>
        <v/>
      </c>
      <c r="C486" s="31" t="str">
        <f>IF('1.1 Produksi Bersih Padi 2025'!C486="","",'1.1 Produksi Bersih Padi 2025'!C486)</f>
        <v/>
      </c>
      <c r="D486" s="1" t="str">
        <f>IF('1.1 Produksi Bersih Padi 2025'!D486="","",'1.1 Produksi Bersih Padi 2025'!D486)</f>
        <v/>
      </c>
      <c r="E486" s="1" t="str">
        <f>IF('1.1 Produksi Bersih Padi 2025'!E486="","",'1.1 Produksi Bersih Padi 2025'!E486)</f>
        <v/>
      </c>
      <c r="F486" s="28" t="str">
        <f>IF(D486="","",VLOOKUP(D486,'[1]0.1 Produksi Pangan &amp; Penduduk'!$D$5:$AE$860,28,0))</f>
        <v/>
      </c>
      <c r="G486" s="29" t="str">
        <f t="shared" si="35"/>
        <v/>
      </c>
      <c r="H486" s="29" t="str">
        <f t="shared" si="36"/>
        <v/>
      </c>
      <c r="I486" s="29" t="str">
        <f t="shared" si="37"/>
        <v/>
      </c>
      <c r="J486" s="29" t="str">
        <f t="shared" si="38"/>
        <v/>
      </c>
      <c r="K486" s="29" t="str">
        <f t="shared" si="39"/>
        <v/>
      </c>
    </row>
    <row r="487" spans="1:11" ht="15" x14ac:dyDescent="0.25">
      <c r="A487" s="1" t="str">
        <f>IF('1.1 Produksi Bersih Padi 2025'!A487="","",'1.1 Produksi Bersih Padi 2025'!A487)</f>
        <v/>
      </c>
      <c r="B487" s="31" t="str">
        <f>IF('1.1 Produksi Bersih Padi 2025'!B487="","",'1.1 Produksi Bersih Padi 2025'!B487)</f>
        <v/>
      </c>
      <c r="C487" s="31" t="str">
        <f>IF('1.1 Produksi Bersih Padi 2025'!C487="","",'1.1 Produksi Bersih Padi 2025'!C487)</f>
        <v/>
      </c>
      <c r="D487" s="1" t="str">
        <f>IF('1.1 Produksi Bersih Padi 2025'!D487="","",'1.1 Produksi Bersih Padi 2025'!D487)</f>
        <v/>
      </c>
      <c r="E487" s="1" t="str">
        <f>IF('1.1 Produksi Bersih Padi 2025'!E487="","",'1.1 Produksi Bersih Padi 2025'!E487)</f>
        <v/>
      </c>
      <c r="F487" s="28" t="str">
        <f>IF(D487="","",VLOOKUP(D487,'[1]0.1 Produksi Pangan &amp; Penduduk'!$D$5:$AE$860,28,0))</f>
        <v/>
      </c>
      <c r="G487" s="29" t="str">
        <f t="shared" si="35"/>
        <v/>
      </c>
      <c r="H487" s="29" t="str">
        <f t="shared" si="36"/>
        <v/>
      </c>
      <c r="I487" s="29" t="str">
        <f t="shared" si="37"/>
        <v/>
      </c>
      <c r="J487" s="29" t="str">
        <f t="shared" si="38"/>
        <v/>
      </c>
      <c r="K487" s="29" t="str">
        <f t="shared" si="39"/>
        <v/>
      </c>
    </row>
    <row r="488" spans="1:11" ht="15" x14ac:dyDescent="0.25">
      <c r="A488" s="1" t="str">
        <f>IF('1.1 Produksi Bersih Padi 2025'!A488="","",'1.1 Produksi Bersih Padi 2025'!A488)</f>
        <v/>
      </c>
      <c r="B488" s="31" t="str">
        <f>IF('1.1 Produksi Bersih Padi 2025'!B488="","",'1.1 Produksi Bersih Padi 2025'!B488)</f>
        <v/>
      </c>
      <c r="C488" s="31" t="str">
        <f>IF('1.1 Produksi Bersih Padi 2025'!C488="","",'1.1 Produksi Bersih Padi 2025'!C488)</f>
        <v/>
      </c>
      <c r="D488" s="1" t="str">
        <f>IF('1.1 Produksi Bersih Padi 2025'!D488="","",'1.1 Produksi Bersih Padi 2025'!D488)</f>
        <v/>
      </c>
      <c r="E488" s="1" t="str">
        <f>IF('1.1 Produksi Bersih Padi 2025'!E488="","",'1.1 Produksi Bersih Padi 2025'!E488)</f>
        <v/>
      </c>
      <c r="F488" s="28" t="str">
        <f>IF(D488="","",VLOOKUP(D488,'[1]0.1 Produksi Pangan &amp; Penduduk'!$D$5:$AE$860,28,0))</f>
        <v/>
      </c>
      <c r="G488" s="29" t="str">
        <f t="shared" si="35"/>
        <v/>
      </c>
      <c r="H488" s="29" t="str">
        <f t="shared" si="36"/>
        <v/>
      </c>
      <c r="I488" s="29" t="str">
        <f t="shared" si="37"/>
        <v/>
      </c>
      <c r="J488" s="29" t="str">
        <f t="shared" si="38"/>
        <v/>
      </c>
      <c r="K488" s="29" t="str">
        <f t="shared" si="39"/>
        <v/>
      </c>
    </row>
    <row r="489" spans="1:11" ht="15" x14ac:dyDescent="0.25">
      <c r="A489" s="1" t="str">
        <f>IF('1.1 Produksi Bersih Padi 2025'!A489="","",'1.1 Produksi Bersih Padi 2025'!A489)</f>
        <v/>
      </c>
      <c r="B489" s="31" t="str">
        <f>IF('1.1 Produksi Bersih Padi 2025'!B489="","",'1.1 Produksi Bersih Padi 2025'!B489)</f>
        <v/>
      </c>
      <c r="C489" s="31" t="str">
        <f>IF('1.1 Produksi Bersih Padi 2025'!C489="","",'1.1 Produksi Bersih Padi 2025'!C489)</f>
        <v/>
      </c>
      <c r="D489" s="1" t="str">
        <f>IF('1.1 Produksi Bersih Padi 2025'!D489="","",'1.1 Produksi Bersih Padi 2025'!D489)</f>
        <v/>
      </c>
      <c r="E489" s="1" t="str">
        <f>IF('1.1 Produksi Bersih Padi 2025'!E489="","",'1.1 Produksi Bersih Padi 2025'!E489)</f>
        <v/>
      </c>
      <c r="F489" s="28" t="str">
        <f>IF(D489="","",VLOOKUP(D489,'[1]0.1 Produksi Pangan &amp; Penduduk'!$D$5:$AE$860,28,0))</f>
        <v/>
      </c>
      <c r="G489" s="29" t="str">
        <f t="shared" si="35"/>
        <v/>
      </c>
      <c r="H489" s="29" t="str">
        <f t="shared" si="36"/>
        <v/>
      </c>
      <c r="I489" s="29" t="str">
        <f t="shared" si="37"/>
        <v/>
      </c>
      <c r="J489" s="29" t="str">
        <f t="shared" si="38"/>
        <v/>
      </c>
      <c r="K489" s="29" t="str">
        <f t="shared" si="39"/>
        <v/>
      </c>
    </row>
    <row r="490" spans="1:11" ht="15" x14ac:dyDescent="0.25">
      <c r="A490" s="1" t="str">
        <f>IF('1.1 Produksi Bersih Padi 2025'!A490="","",'1.1 Produksi Bersih Padi 2025'!A490)</f>
        <v/>
      </c>
      <c r="B490" s="31" t="str">
        <f>IF('1.1 Produksi Bersih Padi 2025'!B490="","",'1.1 Produksi Bersih Padi 2025'!B490)</f>
        <v/>
      </c>
      <c r="C490" s="31" t="str">
        <f>IF('1.1 Produksi Bersih Padi 2025'!C490="","",'1.1 Produksi Bersih Padi 2025'!C490)</f>
        <v/>
      </c>
      <c r="D490" s="1" t="str">
        <f>IF('1.1 Produksi Bersih Padi 2025'!D490="","",'1.1 Produksi Bersih Padi 2025'!D490)</f>
        <v/>
      </c>
      <c r="E490" s="1" t="str">
        <f>IF('1.1 Produksi Bersih Padi 2025'!E490="","",'1.1 Produksi Bersih Padi 2025'!E490)</f>
        <v/>
      </c>
      <c r="F490" s="28" t="str">
        <f>IF(D490="","",VLOOKUP(D490,'[1]0.1 Produksi Pangan &amp; Penduduk'!$D$5:$AE$860,28,0))</f>
        <v/>
      </c>
      <c r="G490" s="29" t="str">
        <f t="shared" si="35"/>
        <v/>
      </c>
      <c r="H490" s="29" t="str">
        <f t="shared" si="36"/>
        <v/>
      </c>
      <c r="I490" s="29" t="str">
        <f t="shared" si="37"/>
        <v/>
      </c>
      <c r="J490" s="29" t="str">
        <f t="shared" si="38"/>
        <v/>
      </c>
      <c r="K490" s="29" t="str">
        <f t="shared" si="39"/>
        <v/>
      </c>
    </row>
    <row r="491" spans="1:11" ht="15" x14ac:dyDescent="0.25">
      <c r="A491" s="1" t="str">
        <f>IF('1.1 Produksi Bersih Padi 2025'!A491="","",'1.1 Produksi Bersih Padi 2025'!A491)</f>
        <v/>
      </c>
      <c r="B491" s="31" t="str">
        <f>IF('1.1 Produksi Bersih Padi 2025'!B491="","",'1.1 Produksi Bersih Padi 2025'!B491)</f>
        <v/>
      </c>
      <c r="C491" s="31" t="str">
        <f>IF('1.1 Produksi Bersih Padi 2025'!C491="","",'1.1 Produksi Bersih Padi 2025'!C491)</f>
        <v/>
      </c>
      <c r="D491" s="1" t="str">
        <f>IF('1.1 Produksi Bersih Padi 2025'!D491="","",'1.1 Produksi Bersih Padi 2025'!D491)</f>
        <v/>
      </c>
      <c r="E491" s="1" t="str">
        <f>IF('1.1 Produksi Bersih Padi 2025'!E491="","",'1.1 Produksi Bersih Padi 2025'!E491)</f>
        <v/>
      </c>
      <c r="F491" s="28" t="str">
        <f>IF(D491="","",VLOOKUP(D491,'[1]0.1 Produksi Pangan &amp; Penduduk'!$D$5:$AE$860,28,0))</f>
        <v/>
      </c>
      <c r="G491" s="29" t="str">
        <f t="shared" si="35"/>
        <v/>
      </c>
      <c r="H491" s="29" t="str">
        <f t="shared" si="36"/>
        <v/>
      </c>
      <c r="I491" s="29" t="str">
        <f t="shared" si="37"/>
        <v/>
      </c>
      <c r="J491" s="29" t="str">
        <f t="shared" si="38"/>
        <v/>
      </c>
      <c r="K491" s="29" t="str">
        <f t="shared" si="39"/>
        <v/>
      </c>
    </row>
    <row r="492" spans="1:11" ht="15" x14ac:dyDescent="0.25">
      <c r="A492" s="1" t="str">
        <f>IF('1.1 Produksi Bersih Padi 2025'!A492="","",'1.1 Produksi Bersih Padi 2025'!A492)</f>
        <v/>
      </c>
      <c r="B492" s="31" t="str">
        <f>IF('1.1 Produksi Bersih Padi 2025'!B492="","",'1.1 Produksi Bersih Padi 2025'!B492)</f>
        <v/>
      </c>
      <c r="C492" s="31" t="str">
        <f>IF('1.1 Produksi Bersih Padi 2025'!C492="","",'1.1 Produksi Bersih Padi 2025'!C492)</f>
        <v/>
      </c>
      <c r="D492" s="1" t="str">
        <f>IF('1.1 Produksi Bersih Padi 2025'!D492="","",'1.1 Produksi Bersih Padi 2025'!D492)</f>
        <v/>
      </c>
      <c r="E492" s="1" t="str">
        <f>IF('1.1 Produksi Bersih Padi 2025'!E492="","",'1.1 Produksi Bersih Padi 2025'!E492)</f>
        <v/>
      </c>
      <c r="F492" s="28" t="str">
        <f>IF(D492="","",VLOOKUP(D492,'[1]0.1 Produksi Pangan &amp; Penduduk'!$D$5:$AE$860,28,0))</f>
        <v/>
      </c>
      <c r="G492" s="29" t="str">
        <f t="shared" si="35"/>
        <v/>
      </c>
      <c r="H492" s="29" t="str">
        <f t="shared" si="36"/>
        <v/>
      </c>
      <c r="I492" s="29" t="str">
        <f t="shared" si="37"/>
        <v/>
      </c>
      <c r="J492" s="29" t="str">
        <f t="shared" si="38"/>
        <v/>
      </c>
      <c r="K492" s="29" t="str">
        <f t="shared" si="39"/>
        <v/>
      </c>
    </row>
    <row r="493" spans="1:11" ht="15" x14ac:dyDescent="0.25">
      <c r="A493" s="1" t="str">
        <f>IF('1.1 Produksi Bersih Padi 2025'!A493="","",'1.1 Produksi Bersih Padi 2025'!A493)</f>
        <v/>
      </c>
      <c r="B493" s="31" t="str">
        <f>IF('1.1 Produksi Bersih Padi 2025'!B493="","",'1.1 Produksi Bersih Padi 2025'!B493)</f>
        <v/>
      </c>
      <c r="C493" s="31" t="str">
        <f>IF('1.1 Produksi Bersih Padi 2025'!C493="","",'1.1 Produksi Bersih Padi 2025'!C493)</f>
        <v/>
      </c>
      <c r="D493" s="1" t="str">
        <f>IF('1.1 Produksi Bersih Padi 2025'!D493="","",'1.1 Produksi Bersih Padi 2025'!D493)</f>
        <v/>
      </c>
      <c r="E493" s="1" t="str">
        <f>IF('1.1 Produksi Bersih Padi 2025'!E493="","",'1.1 Produksi Bersih Padi 2025'!E493)</f>
        <v/>
      </c>
      <c r="F493" s="28" t="str">
        <f>IF(D493="","",VLOOKUP(D493,'[1]0.1 Produksi Pangan &amp; Penduduk'!$D$5:$AE$860,28,0))</f>
        <v/>
      </c>
      <c r="G493" s="29" t="str">
        <f t="shared" si="35"/>
        <v/>
      </c>
      <c r="H493" s="29" t="str">
        <f t="shared" si="36"/>
        <v/>
      </c>
      <c r="I493" s="29" t="str">
        <f t="shared" si="37"/>
        <v/>
      </c>
      <c r="J493" s="29" t="str">
        <f t="shared" si="38"/>
        <v/>
      </c>
      <c r="K493" s="29" t="str">
        <f t="shared" si="39"/>
        <v/>
      </c>
    </row>
    <row r="494" spans="1:11" ht="15" x14ac:dyDescent="0.25">
      <c r="A494" s="1" t="str">
        <f>IF('1.1 Produksi Bersih Padi 2025'!A494="","",'1.1 Produksi Bersih Padi 2025'!A494)</f>
        <v/>
      </c>
      <c r="B494" s="31" t="str">
        <f>IF('1.1 Produksi Bersih Padi 2025'!B494="","",'1.1 Produksi Bersih Padi 2025'!B494)</f>
        <v/>
      </c>
      <c r="C494" s="31" t="str">
        <f>IF('1.1 Produksi Bersih Padi 2025'!C494="","",'1.1 Produksi Bersih Padi 2025'!C494)</f>
        <v/>
      </c>
      <c r="D494" s="1" t="str">
        <f>IF('1.1 Produksi Bersih Padi 2025'!D494="","",'1.1 Produksi Bersih Padi 2025'!D494)</f>
        <v/>
      </c>
      <c r="E494" s="1" t="str">
        <f>IF('1.1 Produksi Bersih Padi 2025'!E494="","",'1.1 Produksi Bersih Padi 2025'!E494)</f>
        <v/>
      </c>
      <c r="F494" s="28" t="str">
        <f>IF(D494="","",VLOOKUP(D494,'[1]0.1 Produksi Pangan &amp; Penduduk'!$D$5:$AE$860,28,0))</f>
        <v/>
      </c>
      <c r="G494" s="29" t="str">
        <f t="shared" si="35"/>
        <v/>
      </c>
      <c r="H494" s="29" t="str">
        <f t="shared" si="36"/>
        <v/>
      </c>
      <c r="I494" s="29" t="str">
        <f t="shared" si="37"/>
        <v/>
      </c>
      <c r="J494" s="29" t="str">
        <f t="shared" si="38"/>
        <v/>
      </c>
      <c r="K494" s="29" t="str">
        <f t="shared" si="39"/>
        <v/>
      </c>
    </row>
    <row r="495" spans="1:11" ht="15" x14ac:dyDescent="0.25">
      <c r="A495" s="1" t="str">
        <f>IF('1.1 Produksi Bersih Padi 2025'!A495="","",'1.1 Produksi Bersih Padi 2025'!A495)</f>
        <v/>
      </c>
      <c r="B495" s="31" t="str">
        <f>IF('1.1 Produksi Bersih Padi 2025'!B495="","",'1.1 Produksi Bersih Padi 2025'!B495)</f>
        <v/>
      </c>
      <c r="C495" s="31" t="str">
        <f>IF('1.1 Produksi Bersih Padi 2025'!C495="","",'1.1 Produksi Bersih Padi 2025'!C495)</f>
        <v/>
      </c>
      <c r="D495" s="1" t="str">
        <f>IF('1.1 Produksi Bersih Padi 2025'!D495="","",'1.1 Produksi Bersih Padi 2025'!D495)</f>
        <v/>
      </c>
      <c r="E495" s="1" t="str">
        <f>IF('1.1 Produksi Bersih Padi 2025'!E495="","",'1.1 Produksi Bersih Padi 2025'!E495)</f>
        <v/>
      </c>
      <c r="F495" s="28" t="str">
        <f>IF(D495="","",VLOOKUP(D495,'[1]0.1 Produksi Pangan &amp; Penduduk'!$D$5:$AE$860,28,0))</f>
        <v/>
      </c>
      <c r="G495" s="29" t="str">
        <f t="shared" si="35"/>
        <v/>
      </c>
      <c r="H495" s="29" t="str">
        <f t="shared" si="36"/>
        <v/>
      </c>
      <c r="I495" s="29" t="str">
        <f t="shared" si="37"/>
        <v/>
      </c>
      <c r="J495" s="29" t="str">
        <f t="shared" si="38"/>
        <v/>
      </c>
      <c r="K495" s="29" t="str">
        <f t="shared" si="39"/>
        <v/>
      </c>
    </row>
    <row r="496" spans="1:11" ht="15" x14ac:dyDescent="0.25">
      <c r="A496" s="1" t="str">
        <f>IF('1.1 Produksi Bersih Padi 2025'!A496="","",'1.1 Produksi Bersih Padi 2025'!A496)</f>
        <v/>
      </c>
      <c r="B496" s="31" t="str">
        <f>IF('1.1 Produksi Bersih Padi 2025'!B496="","",'1.1 Produksi Bersih Padi 2025'!B496)</f>
        <v/>
      </c>
      <c r="C496" s="31" t="str">
        <f>IF('1.1 Produksi Bersih Padi 2025'!C496="","",'1.1 Produksi Bersih Padi 2025'!C496)</f>
        <v/>
      </c>
      <c r="D496" s="1" t="str">
        <f>IF('1.1 Produksi Bersih Padi 2025'!D496="","",'1.1 Produksi Bersih Padi 2025'!D496)</f>
        <v/>
      </c>
      <c r="E496" s="1" t="str">
        <f>IF('1.1 Produksi Bersih Padi 2025'!E496="","",'1.1 Produksi Bersih Padi 2025'!E496)</f>
        <v/>
      </c>
      <c r="F496" s="28" t="str">
        <f>IF(D496="","",VLOOKUP(D496,'[1]0.1 Produksi Pangan &amp; Penduduk'!$D$5:$AE$860,28,0))</f>
        <v/>
      </c>
      <c r="G496" s="29" t="str">
        <f t="shared" si="35"/>
        <v/>
      </c>
      <c r="H496" s="29" t="str">
        <f t="shared" si="36"/>
        <v/>
      </c>
      <c r="I496" s="29" t="str">
        <f t="shared" si="37"/>
        <v/>
      </c>
      <c r="J496" s="29" t="str">
        <f t="shared" si="38"/>
        <v/>
      </c>
      <c r="K496" s="29" t="str">
        <f t="shared" si="39"/>
        <v/>
      </c>
    </row>
    <row r="497" spans="1:11" ht="15" x14ac:dyDescent="0.25">
      <c r="A497" s="1" t="str">
        <f>IF('1.1 Produksi Bersih Padi 2025'!A497="","",'1.1 Produksi Bersih Padi 2025'!A497)</f>
        <v/>
      </c>
      <c r="B497" s="31" t="str">
        <f>IF('1.1 Produksi Bersih Padi 2025'!B497="","",'1.1 Produksi Bersih Padi 2025'!B497)</f>
        <v/>
      </c>
      <c r="C497" s="31" t="str">
        <f>IF('1.1 Produksi Bersih Padi 2025'!C497="","",'1.1 Produksi Bersih Padi 2025'!C497)</f>
        <v/>
      </c>
      <c r="D497" s="1" t="str">
        <f>IF('1.1 Produksi Bersih Padi 2025'!D497="","",'1.1 Produksi Bersih Padi 2025'!D497)</f>
        <v/>
      </c>
      <c r="E497" s="1" t="str">
        <f>IF('1.1 Produksi Bersih Padi 2025'!E497="","",'1.1 Produksi Bersih Padi 2025'!E497)</f>
        <v/>
      </c>
      <c r="F497" s="28" t="str">
        <f>IF(D497="","",VLOOKUP(D497,'[1]0.1 Produksi Pangan &amp; Penduduk'!$D$5:$AE$860,28,0))</f>
        <v/>
      </c>
      <c r="G497" s="29" t="str">
        <f t="shared" si="35"/>
        <v/>
      </c>
      <c r="H497" s="29" t="str">
        <f t="shared" si="36"/>
        <v/>
      </c>
      <c r="I497" s="29" t="str">
        <f t="shared" si="37"/>
        <v/>
      </c>
      <c r="J497" s="29" t="str">
        <f t="shared" si="38"/>
        <v/>
      </c>
      <c r="K497" s="29" t="str">
        <f t="shared" si="39"/>
        <v/>
      </c>
    </row>
    <row r="498" spans="1:11" ht="15" x14ac:dyDescent="0.25">
      <c r="A498" s="1" t="str">
        <f>IF('1.1 Produksi Bersih Padi 2025'!A498="","",'1.1 Produksi Bersih Padi 2025'!A498)</f>
        <v/>
      </c>
      <c r="B498" s="31" t="str">
        <f>IF('1.1 Produksi Bersih Padi 2025'!B498="","",'1.1 Produksi Bersih Padi 2025'!B498)</f>
        <v/>
      </c>
      <c r="C498" s="31" t="str">
        <f>IF('1.1 Produksi Bersih Padi 2025'!C498="","",'1.1 Produksi Bersih Padi 2025'!C498)</f>
        <v/>
      </c>
      <c r="D498" s="1" t="str">
        <f>IF('1.1 Produksi Bersih Padi 2025'!D498="","",'1.1 Produksi Bersih Padi 2025'!D498)</f>
        <v/>
      </c>
      <c r="E498" s="1" t="str">
        <f>IF('1.1 Produksi Bersih Padi 2025'!E498="","",'1.1 Produksi Bersih Padi 2025'!E498)</f>
        <v/>
      </c>
      <c r="F498" s="28" t="str">
        <f>IF(D498="","",VLOOKUP(D498,'[1]0.1 Produksi Pangan &amp; Penduduk'!$D$5:$AE$860,28,0))</f>
        <v/>
      </c>
      <c r="G498" s="29" t="str">
        <f t="shared" si="35"/>
        <v/>
      </c>
      <c r="H498" s="29" t="str">
        <f t="shared" si="36"/>
        <v/>
      </c>
      <c r="I498" s="29" t="str">
        <f t="shared" si="37"/>
        <v/>
      </c>
      <c r="J498" s="29" t="str">
        <f t="shared" si="38"/>
        <v/>
      </c>
      <c r="K498" s="29" t="str">
        <f t="shared" si="39"/>
        <v/>
      </c>
    </row>
    <row r="499" spans="1:11" ht="15" x14ac:dyDescent="0.25">
      <c r="A499" s="1" t="str">
        <f>IF('1.1 Produksi Bersih Padi 2025'!A499="","",'1.1 Produksi Bersih Padi 2025'!A499)</f>
        <v/>
      </c>
      <c r="B499" s="31" t="str">
        <f>IF('1.1 Produksi Bersih Padi 2025'!B499="","",'1.1 Produksi Bersih Padi 2025'!B499)</f>
        <v/>
      </c>
      <c r="C499" s="31" t="str">
        <f>IF('1.1 Produksi Bersih Padi 2025'!C499="","",'1.1 Produksi Bersih Padi 2025'!C499)</f>
        <v/>
      </c>
      <c r="D499" s="1" t="str">
        <f>IF('1.1 Produksi Bersih Padi 2025'!D499="","",'1.1 Produksi Bersih Padi 2025'!D499)</f>
        <v/>
      </c>
      <c r="E499" s="1" t="str">
        <f>IF('1.1 Produksi Bersih Padi 2025'!E499="","",'1.1 Produksi Bersih Padi 2025'!E499)</f>
        <v/>
      </c>
      <c r="F499" s="28" t="str">
        <f>IF(D499="","",VLOOKUP(D499,'[1]0.1 Produksi Pangan &amp; Penduduk'!$D$5:$AE$860,28,0))</f>
        <v/>
      </c>
      <c r="G499" s="29" t="str">
        <f t="shared" si="35"/>
        <v/>
      </c>
      <c r="H499" s="29" t="str">
        <f t="shared" si="36"/>
        <v/>
      </c>
      <c r="I499" s="29" t="str">
        <f t="shared" si="37"/>
        <v/>
      </c>
      <c r="J499" s="29" t="str">
        <f t="shared" si="38"/>
        <v/>
      </c>
      <c r="K499" s="29" t="str">
        <f t="shared" si="39"/>
        <v/>
      </c>
    </row>
    <row r="500" spans="1:11" ht="15" x14ac:dyDescent="0.25">
      <c r="A500" s="1" t="str">
        <f>IF('1.1 Produksi Bersih Padi 2025'!A500="","",'1.1 Produksi Bersih Padi 2025'!A500)</f>
        <v/>
      </c>
      <c r="B500" s="31" t="str">
        <f>IF('1.1 Produksi Bersih Padi 2025'!B500="","",'1.1 Produksi Bersih Padi 2025'!B500)</f>
        <v/>
      </c>
      <c r="C500" s="31" t="str">
        <f>IF('1.1 Produksi Bersih Padi 2025'!C500="","",'1.1 Produksi Bersih Padi 2025'!C500)</f>
        <v/>
      </c>
      <c r="D500" s="1" t="str">
        <f>IF('1.1 Produksi Bersih Padi 2025'!D500="","",'1.1 Produksi Bersih Padi 2025'!D500)</f>
        <v/>
      </c>
      <c r="E500" s="1" t="str">
        <f>IF('1.1 Produksi Bersih Padi 2025'!E500="","",'1.1 Produksi Bersih Padi 2025'!E500)</f>
        <v/>
      </c>
      <c r="F500" s="28" t="str">
        <f>IF(D500="","",VLOOKUP(D500,'[1]0.1 Produksi Pangan &amp; Penduduk'!$D$5:$AE$860,28,0))</f>
        <v/>
      </c>
      <c r="G500" s="29" t="str">
        <f t="shared" si="35"/>
        <v/>
      </c>
      <c r="H500" s="29" t="str">
        <f t="shared" si="36"/>
        <v/>
      </c>
      <c r="I500" s="29" t="str">
        <f t="shared" si="37"/>
        <v/>
      </c>
      <c r="J500" s="29" t="str">
        <f t="shared" si="38"/>
        <v/>
      </c>
      <c r="K500" s="29" t="str">
        <f t="shared" si="39"/>
        <v/>
      </c>
    </row>
    <row r="501" spans="1:11" ht="15" x14ac:dyDescent="0.25">
      <c r="A501" s="1" t="str">
        <f>IF('1.1 Produksi Bersih Padi 2025'!A501="","",'1.1 Produksi Bersih Padi 2025'!A501)</f>
        <v/>
      </c>
      <c r="B501" s="31" t="str">
        <f>IF('1.1 Produksi Bersih Padi 2025'!B501="","",'1.1 Produksi Bersih Padi 2025'!B501)</f>
        <v/>
      </c>
      <c r="C501" s="31" t="str">
        <f>IF('1.1 Produksi Bersih Padi 2025'!C501="","",'1.1 Produksi Bersih Padi 2025'!C501)</f>
        <v/>
      </c>
      <c r="D501" s="1" t="str">
        <f>IF('1.1 Produksi Bersih Padi 2025'!D501="","",'1.1 Produksi Bersih Padi 2025'!D501)</f>
        <v/>
      </c>
      <c r="E501" s="1" t="str">
        <f>IF('1.1 Produksi Bersih Padi 2025'!E501="","",'1.1 Produksi Bersih Padi 2025'!E501)</f>
        <v/>
      </c>
      <c r="F501" s="28" t="str">
        <f>IF(D501="","",VLOOKUP(D501,'[1]0.1 Produksi Pangan &amp; Penduduk'!$D$5:$AE$860,28,0))</f>
        <v/>
      </c>
      <c r="G501" s="29" t="str">
        <f t="shared" si="35"/>
        <v/>
      </c>
      <c r="H501" s="29" t="str">
        <f t="shared" si="36"/>
        <v/>
      </c>
      <c r="I501" s="29" t="str">
        <f t="shared" si="37"/>
        <v/>
      </c>
      <c r="J501" s="29" t="str">
        <f t="shared" si="38"/>
        <v/>
      </c>
      <c r="K501" s="29" t="str">
        <f t="shared" si="39"/>
        <v/>
      </c>
    </row>
    <row r="502" spans="1:11" ht="15" x14ac:dyDescent="0.25">
      <c r="A502" s="1" t="str">
        <f>IF('1.1 Produksi Bersih Padi 2025'!A502="","",'1.1 Produksi Bersih Padi 2025'!A502)</f>
        <v/>
      </c>
      <c r="B502" s="31" t="str">
        <f>IF('1.1 Produksi Bersih Padi 2025'!B502="","",'1.1 Produksi Bersih Padi 2025'!B502)</f>
        <v/>
      </c>
      <c r="C502" s="31" t="str">
        <f>IF('1.1 Produksi Bersih Padi 2025'!C502="","",'1.1 Produksi Bersih Padi 2025'!C502)</f>
        <v/>
      </c>
      <c r="D502" s="1" t="str">
        <f>IF('1.1 Produksi Bersih Padi 2025'!D502="","",'1.1 Produksi Bersih Padi 2025'!D502)</f>
        <v/>
      </c>
      <c r="E502" s="1" t="str">
        <f>IF('1.1 Produksi Bersih Padi 2025'!E502="","",'1.1 Produksi Bersih Padi 2025'!E502)</f>
        <v/>
      </c>
      <c r="F502" s="28" t="str">
        <f>IF(D502="","",VLOOKUP(D502,'[1]0.1 Produksi Pangan &amp; Penduduk'!$D$5:$AE$860,28,0))</f>
        <v/>
      </c>
      <c r="G502" s="29" t="str">
        <f t="shared" si="35"/>
        <v/>
      </c>
      <c r="H502" s="29" t="str">
        <f t="shared" si="36"/>
        <v/>
      </c>
      <c r="I502" s="29" t="str">
        <f t="shared" si="37"/>
        <v/>
      </c>
      <c r="J502" s="29" t="str">
        <f t="shared" si="38"/>
        <v/>
      </c>
      <c r="K502" s="29" t="str">
        <f t="shared" si="39"/>
        <v/>
      </c>
    </row>
    <row r="503" spans="1:11" ht="15" x14ac:dyDescent="0.25">
      <c r="A503" s="1" t="str">
        <f>IF('1.1 Produksi Bersih Padi 2025'!A503="","",'1.1 Produksi Bersih Padi 2025'!A503)</f>
        <v/>
      </c>
      <c r="B503" s="31" t="str">
        <f>IF('1.1 Produksi Bersih Padi 2025'!B503="","",'1.1 Produksi Bersih Padi 2025'!B503)</f>
        <v/>
      </c>
      <c r="C503" s="31" t="str">
        <f>IF('1.1 Produksi Bersih Padi 2025'!C503="","",'1.1 Produksi Bersih Padi 2025'!C503)</f>
        <v/>
      </c>
      <c r="D503" s="1" t="str">
        <f>IF('1.1 Produksi Bersih Padi 2025'!D503="","",'1.1 Produksi Bersih Padi 2025'!D503)</f>
        <v/>
      </c>
      <c r="E503" s="1" t="str">
        <f>IF('1.1 Produksi Bersih Padi 2025'!E503="","",'1.1 Produksi Bersih Padi 2025'!E503)</f>
        <v/>
      </c>
      <c r="F503" s="28" t="str">
        <f>IF(D503="","",VLOOKUP(D503,'[1]0.1 Produksi Pangan &amp; Penduduk'!$D$5:$AE$860,28,0))</f>
        <v/>
      </c>
      <c r="G503" s="29" t="str">
        <f t="shared" si="35"/>
        <v/>
      </c>
      <c r="H503" s="29" t="str">
        <f t="shared" si="36"/>
        <v/>
      </c>
      <c r="I503" s="29" t="str">
        <f t="shared" si="37"/>
        <v/>
      </c>
      <c r="J503" s="29" t="str">
        <f t="shared" si="38"/>
        <v/>
      </c>
      <c r="K503" s="29" t="str">
        <f t="shared" si="39"/>
        <v/>
      </c>
    </row>
    <row r="504" spans="1:11" ht="15" x14ac:dyDescent="0.25">
      <c r="A504" s="1" t="str">
        <f>IF('1.1 Produksi Bersih Padi 2025'!A504="","",'1.1 Produksi Bersih Padi 2025'!A504)</f>
        <v/>
      </c>
      <c r="B504" s="31" t="str">
        <f>IF('1.1 Produksi Bersih Padi 2025'!B504="","",'1.1 Produksi Bersih Padi 2025'!B504)</f>
        <v/>
      </c>
      <c r="C504" s="31" t="str">
        <f>IF('1.1 Produksi Bersih Padi 2025'!C504="","",'1.1 Produksi Bersih Padi 2025'!C504)</f>
        <v/>
      </c>
      <c r="D504" s="1" t="str">
        <f>IF('1.1 Produksi Bersih Padi 2025'!D504="","",'1.1 Produksi Bersih Padi 2025'!D504)</f>
        <v/>
      </c>
      <c r="E504" s="1" t="str">
        <f>IF('1.1 Produksi Bersih Padi 2025'!E504="","",'1.1 Produksi Bersih Padi 2025'!E504)</f>
        <v/>
      </c>
      <c r="F504" s="28" t="str">
        <f>IF(D504="","",VLOOKUP(D504,'[1]0.1 Produksi Pangan &amp; Penduduk'!$D$5:$AE$860,28,0))</f>
        <v/>
      </c>
      <c r="G504" s="29" t="str">
        <f t="shared" si="35"/>
        <v/>
      </c>
      <c r="H504" s="29" t="str">
        <f t="shared" si="36"/>
        <v/>
      </c>
      <c r="I504" s="29" t="str">
        <f t="shared" si="37"/>
        <v/>
      </c>
      <c r="J504" s="29" t="str">
        <f t="shared" si="38"/>
        <v/>
      </c>
      <c r="K504" s="29" t="str">
        <f t="shared" si="39"/>
        <v/>
      </c>
    </row>
    <row r="505" spans="1:11" ht="15" x14ac:dyDescent="0.25">
      <c r="A505" s="1" t="str">
        <f>IF('1.1 Produksi Bersih Padi 2025'!A505="","",'1.1 Produksi Bersih Padi 2025'!A505)</f>
        <v/>
      </c>
      <c r="B505" s="31" t="str">
        <f>IF('1.1 Produksi Bersih Padi 2025'!B505="","",'1.1 Produksi Bersih Padi 2025'!B505)</f>
        <v/>
      </c>
      <c r="C505" s="31" t="str">
        <f>IF('1.1 Produksi Bersih Padi 2025'!C505="","",'1.1 Produksi Bersih Padi 2025'!C505)</f>
        <v/>
      </c>
      <c r="D505" s="1" t="str">
        <f>IF('1.1 Produksi Bersih Padi 2025'!D505="","",'1.1 Produksi Bersih Padi 2025'!D505)</f>
        <v/>
      </c>
      <c r="E505" s="1" t="str">
        <f>IF('1.1 Produksi Bersih Padi 2025'!E505="","",'1.1 Produksi Bersih Padi 2025'!E505)</f>
        <v/>
      </c>
      <c r="F505" s="28" t="str">
        <f>IF(D505="","",VLOOKUP(D505,'[1]0.1 Produksi Pangan &amp; Penduduk'!$D$5:$AE$860,28,0))</f>
        <v/>
      </c>
      <c r="G505" s="29" t="str">
        <f t="shared" si="35"/>
        <v/>
      </c>
      <c r="H505" s="29" t="str">
        <f t="shared" si="36"/>
        <v/>
      </c>
      <c r="I505" s="29" t="str">
        <f t="shared" si="37"/>
        <v/>
      </c>
      <c r="J505" s="29" t="str">
        <f t="shared" si="38"/>
        <v/>
      </c>
      <c r="K505" s="29" t="str">
        <f t="shared" si="39"/>
        <v/>
      </c>
    </row>
    <row r="506" spans="1:11" ht="15" x14ac:dyDescent="0.25">
      <c r="A506" s="1" t="str">
        <f>IF('1.1 Produksi Bersih Padi 2025'!A506="","",'1.1 Produksi Bersih Padi 2025'!A506)</f>
        <v/>
      </c>
      <c r="B506" s="31" t="str">
        <f>IF('1.1 Produksi Bersih Padi 2025'!B506="","",'1.1 Produksi Bersih Padi 2025'!B506)</f>
        <v/>
      </c>
      <c r="C506" s="31" t="str">
        <f>IF('1.1 Produksi Bersih Padi 2025'!C506="","",'1.1 Produksi Bersih Padi 2025'!C506)</f>
        <v/>
      </c>
      <c r="D506" s="1" t="str">
        <f>IF('1.1 Produksi Bersih Padi 2025'!D506="","",'1.1 Produksi Bersih Padi 2025'!D506)</f>
        <v/>
      </c>
      <c r="E506" s="1" t="str">
        <f>IF('1.1 Produksi Bersih Padi 2025'!E506="","",'1.1 Produksi Bersih Padi 2025'!E506)</f>
        <v/>
      </c>
      <c r="F506" s="28" t="str">
        <f>IF(D506="","",VLOOKUP(D506,'[1]0.1 Produksi Pangan &amp; Penduduk'!$D$5:$AE$860,28,0))</f>
        <v/>
      </c>
      <c r="G506" s="29" t="str">
        <f t="shared" si="35"/>
        <v/>
      </c>
      <c r="H506" s="29" t="str">
        <f t="shared" si="36"/>
        <v/>
      </c>
      <c r="I506" s="29" t="str">
        <f t="shared" si="37"/>
        <v/>
      </c>
      <c r="J506" s="29" t="str">
        <f t="shared" si="38"/>
        <v/>
      </c>
      <c r="K506" s="29" t="str">
        <f t="shared" si="39"/>
        <v/>
      </c>
    </row>
    <row r="507" spans="1:11" ht="15" x14ac:dyDescent="0.25">
      <c r="A507" s="1" t="str">
        <f>IF('1.1 Produksi Bersih Padi 2025'!A507="","",'1.1 Produksi Bersih Padi 2025'!A507)</f>
        <v/>
      </c>
      <c r="B507" s="31" t="str">
        <f>IF('1.1 Produksi Bersih Padi 2025'!B507="","",'1.1 Produksi Bersih Padi 2025'!B507)</f>
        <v/>
      </c>
      <c r="C507" s="31" t="str">
        <f>IF('1.1 Produksi Bersih Padi 2025'!C507="","",'1.1 Produksi Bersih Padi 2025'!C507)</f>
        <v/>
      </c>
      <c r="D507" s="1" t="str">
        <f>IF('1.1 Produksi Bersih Padi 2025'!D507="","",'1.1 Produksi Bersih Padi 2025'!D507)</f>
        <v/>
      </c>
      <c r="E507" s="1" t="str">
        <f>IF('1.1 Produksi Bersih Padi 2025'!E507="","",'1.1 Produksi Bersih Padi 2025'!E507)</f>
        <v/>
      </c>
      <c r="F507" s="28" t="str">
        <f>IF(D507="","",VLOOKUP(D507,'[1]0.1 Produksi Pangan &amp; Penduduk'!$D$5:$AE$860,28,0))</f>
        <v/>
      </c>
      <c r="G507" s="29" t="str">
        <f t="shared" si="35"/>
        <v/>
      </c>
      <c r="H507" s="29" t="str">
        <f t="shared" si="36"/>
        <v/>
      </c>
      <c r="I507" s="29" t="str">
        <f t="shared" si="37"/>
        <v/>
      </c>
      <c r="J507" s="29" t="str">
        <f t="shared" si="38"/>
        <v/>
      </c>
      <c r="K507" s="29" t="str">
        <f t="shared" si="39"/>
        <v/>
      </c>
    </row>
    <row r="508" spans="1:11" ht="15" x14ac:dyDescent="0.25">
      <c r="A508" s="1" t="str">
        <f>IF('1.1 Produksi Bersih Padi 2025'!A508="","",'1.1 Produksi Bersih Padi 2025'!A508)</f>
        <v/>
      </c>
      <c r="B508" s="31" t="str">
        <f>IF('1.1 Produksi Bersih Padi 2025'!B508="","",'1.1 Produksi Bersih Padi 2025'!B508)</f>
        <v/>
      </c>
      <c r="C508" s="31" t="str">
        <f>IF('1.1 Produksi Bersih Padi 2025'!C508="","",'1.1 Produksi Bersih Padi 2025'!C508)</f>
        <v/>
      </c>
      <c r="D508" s="1" t="str">
        <f>IF('1.1 Produksi Bersih Padi 2025'!D508="","",'1.1 Produksi Bersih Padi 2025'!D508)</f>
        <v/>
      </c>
      <c r="E508" s="1" t="str">
        <f>IF('1.1 Produksi Bersih Padi 2025'!E508="","",'1.1 Produksi Bersih Padi 2025'!E508)</f>
        <v/>
      </c>
      <c r="F508" s="28" t="str">
        <f>IF(D508="","",VLOOKUP(D508,'[1]0.1 Produksi Pangan &amp; Penduduk'!$D$5:$AE$860,28,0))</f>
        <v/>
      </c>
      <c r="G508" s="29" t="str">
        <f t="shared" si="35"/>
        <v/>
      </c>
      <c r="H508" s="29" t="str">
        <f t="shared" si="36"/>
        <v/>
      </c>
      <c r="I508" s="29" t="str">
        <f t="shared" si="37"/>
        <v/>
      </c>
      <c r="J508" s="29" t="str">
        <f t="shared" si="38"/>
        <v/>
      </c>
      <c r="K508" s="29" t="str">
        <f t="shared" si="39"/>
        <v/>
      </c>
    </row>
    <row r="509" spans="1:11" ht="15" x14ac:dyDescent="0.25">
      <c r="A509" s="1" t="str">
        <f>IF('1.1 Produksi Bersih Padi 2025'!A509="","",'1.1 Produksi Bersih Padi 2025'!A509)</f>
        <v/>
      </c>
      <c r="B509" s="31" t="str">
        <f>IF('1.1 Produksi Bersih Padi 2025'!B509="","",'1.1 Produksi Bersih Padi 2025'!B509)</f>
        <v/>
      </c>
      <c r="C509" s="31" t="str">
        <f>IF('1.1 Produksi Bersih Padi 2025'!C509="","",'1.1 Produksi Bersih Padi 2025'!C509)</f>
        <v/>
      </c>
      <c r="D509" s="1" t="str">
        <f>IF('1.1 Produksi Bersih Padi 2025'!D509="","",'1.1 Produksi Bersih Padi 2025'!D509)</f>
        <v/>
      </c>
      <c r="E509" s="1" t="str">
        <f>IF('1.1 Produksi Bersih Padi 2025'!E509="","",'1.1 Produksi Bersih Padi 2025'!E509)</f>
        <v/>
      </c>
      <c r="F509" s="28" t="str">
        <f>IF(D509="","",VLOOKUP(D509,'[1]0.1 Produksi Pangan &amp; Penduduk'!$D$5:$AE$860,28,0))</f>
        <v/>
      </c>
      <c r="G509" s="29" t="str">
        <f t="shared" si="35"/>
        <v/>
      </c>
      <c r="H509" s="29" t="str">
        <f t="shared" si="36"/>
        <v/>
      </c>
      <c r="I509" s="29" t="str">
        <f t="shared" si="37"/>
        <v/>
      </c>
      <c r="J509" s="29" t="str">
        <f t="shared" si="38"/>
        <v/>
      </c>
      <c r="K509" s="29" t="str">
        <f t="shared" si="39"/>
        <v/>
      </c>
    </row>
    <row r="510" spans="1:11" ht="15" x14ac:dyDescent="0.25">
      <c r="A510" s="1" t="str">
        <f>IF('1.1 Produksi Bersih Padi 2025'!A510="","",'1.1 Produksi Bersih Padi 2025'!A510)</f>
        <v/>
      </c>
      <c r="B510" s="31" t="str">
        <f>IF('1.1 Produksi Bersih Padi 2025'!B510="","",'1.1 Produksi Bersih Padi 2025'!B510)</f>
        <v/>
      </c>
      <c r="C510" s="31" t="str">
        <f>IF('1.1 Produksi Bersih Padi 2025'!C510="","",'1.1 Produksi Bersih Padi 2025'!C510)</f>
        <v/>
      </c>
      <c r="D510" s="1" t="str">
        <f>IF('1.1 Produksi Bersih Padi 2025'!D510="","",'1.1 Produksi Bersih Padi 2025'!D510)</f>
        <v/>
      </c>
      <c r="E510" s="1" t="str">
        <f>IF('1.1 Produksi Bersih Padi 2025'!E510="","",'1.1 Produksi Bersih Padi 2025'!E510)</f>
        <v/>
      </c>
      <c r="F510" s="28" t="str">
        <f>IF(D510="","",VLOOKUP(D510,'[1]0.1 Produksi Pangan &amp; Penduduk'!$D$5:$AE$860,28,0))</f>
        <v/>
      </c>
      <c r="G510" s="29" t="str">
        <f t="shared" si="35"/>
        <v/>
      </c>
      <c r="H510" s="29" t="str">
        <f t="shared" si="36"/>
        <v/>
      </c>
      <c r="I510" s="29" t="str">
        <f t="shared" si="37"/>
        <v/>
      </c>
      <c r="J510" s="29" t="str">
        <f t="shared" si="38"/>
        <v/>
      </c>
      <c r="K510" s="29" t="str">
        <f t="shared" si="39"/>
        <v/>
      </c>
    </row>
    <row r="511" spans="1:11" ht="15" x14ac:dyDescent="0.25">
      <c r="A511" s="1" t="str">
        <f>IF('1.1 Produksi Bersih Padi 2025'!A511="","",'1.1 Produksi Bersih Padi 2025'!A511)</f>
        <v/>
      </c>
      <c r="B511" s="31" t="str">
        <f>IF('1.1 Produksi Bersih Padi 2025'!B511="","",'1.1 Produksi Bersih Padi 2025'!B511)</f>
        <v/>
      </c>
      <c r="C511" s="31" t="str">
        <f>IF('1.1 Produksi Bersih Padi 2025'!C511="","",'1.1 Produksi Bersih Padi 2025'!C511)</f>
        <v/>
      </c>
      <c r="D511" s="1" t="str">
        <f>IF('1.1 Produksi Bersih Padi 2025'!D511="","",'1.1 Produksi Bersih Padi 2025'!D511)</f>
        <v/>
      </c>
      <c r="E511" s="1" t="str">
        <f>IF('1.1 Produksi Bersih Padi 2025'!E511="","",'1.1 Produksi Bersih Padi 2025'!E511)</f>
        <v/>
      </c>
      <c r="F511" s="28" t="str">
        <f>IF(D511="","",VLOOKUP(D511,'[1]0.1 Produksi Pangan &amp; Penduduk'!$D$5:$AE$860,28,0))</f>
        <v/>
      </c>
      <c r="G511" s="29" t="str">
        <f t="shared" si="35"/>
        <v/>
      </c>
      <c r="H511" s="29" t="str">
        <f t="shared" si="36"/>
        <v/>
      </c>
      <c r="I511" s="29" t="str">
        <f t="shared" si="37"/>
        <v/>
      </c>
      <c r="J511" s="29" t="str">
        <f t="shared" si="38"/>
        <v/>
      </c>
      <c r="K511" s="29" t="str">
        <f t="shared" si="39"/>
        <v/>
      </c>
    </row>
    <row r="512" spans="1:11" ht="15" x14ac:dyDescent="0.25">
      <c r="A512" s="1" t="str">
        <f>IF('1.1 Produksi Bersih Padi 2025'!A512="","",'1.1 Produksi Bersih Padi 2025'!A512)</f>
        <v/>
      </c>
      <c r="B512" s="31" t="str">
        <f>IF('1.1 Produksi Bersih Padi 2025'!B512="","",'1.1 Produksi Bersih Padi 2025'!B512)</f>
        <v/>
      </c>
      <c r="C512" s="31" t="str">
        <f>IF('1.1 Produksi Bersih Padi 2025'!C512="","",'1.1 Produksi Bersih Padi 2025'!C512)</f>
        <v/>
      </c>
      <c r="D512" s="1" t="str">
        <f>IF('1.1 Produksi Bersih Padi 2025'!D512="","",'1.1 Produksi Bersih Padi 2025'!D512)</f>
        <v/>
      </c>
      <c r="E512" s="1" t="str">
        <f>IF('1.1 Produksi Bersih Padi 2025'!E512="","",'1.1 Produksi Bersih Padi 2025'!E512)</f>
        <v/>
      </c>
      <c r="F512" s="28" t="str">
        <f>IF(D512="","",VLOOKUP(D512,'[1]0.1 Produksi Pangan &amp; Penduduk'!$D$5:$AE$860,28,0))</f>
        <v/>
      </c>
      <c r="G512" s="29" t="str">
        <f t="shared" si="35"/>
        <v/>
      </c>
      <c r="H512" s="29" t="str">
        <f t="shared" si="36"/>
        <v/>
      </c>
      <c r="I512" s="29" t="str">
        <f t="shared" si="37"/>
        <v/>
      </c>
      <c r="J512" s="29" t="str">
        <f t="shared" si="38"/>
        <v/>
      </c>
      <c r="K512" s="29" t="str">
        <f t="shared" si="39"/>
        <v/>
      </c>
    </row>
    <row r="513" spans="1:11" ht="15" x14ac:dyDescent="0.25">
      <c r="A513" s="1" t="str">
        <f>IF('1.1 Produksi Bersih Padi 2025'!A513="","",'1.1 Produksi Bersih Padi 2025'!A513)</f>
        <v/>
      </c>
      <c r="B513" s="31" t="str">
        <f>IF('1.1 Produksi Bersih Padi 2025'!B513="","",'1.1 Produksi Bersih Padi 2025'!B513)</f>
        <v/>
      </c>
      <c r="C513" s="31" t="str">
        <f>IF('1.1 Produksi Bersih Padi 2025'!C513="","",'1.1 Produksi Bersih Padi 2025'!C513)</f>
        <v/>
      </c>
      <c r="D513" s="1" t="str">
        <f>IF('1.1 Produksi Bersih Padi 2025'!D513="","",'1.1 Produksi Bersih Padi 2025'!D513)</f>
        <v/>
      </c>
      <c r="E513" s="1" t="str">
        <f>IF('1.1 Produksi Bersih Padi 2025'!E513="","",'1.1 Produksi Bersih Padi 2025'!E513)</f>
        <v/>
      </c>
      <c r="F513" s="28" t="str">
        <f>IF(D513="","",VLOOKUP(D513,'[1]0.1 Produksi Pangan &amp; Penduduk'!$D$5:$AE$860,28,0))</f>
        <v/>
      </c>
      <c r="G513" s="29" t="str">
        <f t="shared" si="35"/>
        <v/>
      </c>
      <c r="H513" s="29" t="str">
        <f t="shared" si="36"/>
        <v/>
      </c>
      <c r="I513" s="29" t="str">
        <f t="shared" si="37"/>
        <v/>
      </c>
      <c r="J513" s="29" t="str">
        <f t="shared" si="38"/>
        <v/>
      </c>
      <c r="K513" s="29" t="str">
        <f t="shared" si="39"/>
        <v/>
      </c>
    </row>
    <row r="514" spans="1:11" ht="15" x14ac:dyDescent="0.25">
      <c r="A514" s="1" t="str">
        <f>IF('1.1 Produksi Bersih Padi 2025'!A514="","",'1.1 Produksi Bersih Padi 2025'!A514)</f>
        <v/>
      </c>
      <c r="B514" s="31" t="str">
        <f>IF('1.1 Produksi Bersih Padi 2025'!B514="","",'1.1 Produksi Bersih Padi 2025'!B514)</f>
        <v/>
      </c>
      <c r="C514" s="31" t="str">
        <f>IF('1.1 Produksi Bersih Padi 2025'!C514="","",'1.1 Produksi Bersih Padi 2025'!C514)</f>
        <v/>
      </c>
      <c r="D514" s="1" t="str">
        <f>IF('1.1 Produksi Bersih Padi 2025'!D514="","",'1.1 Produksi Bersih Padi 2025'!D514)</f>
        <v/>
      </c>
      <c r="E514" s="1" t="str">
        <f>IF('1.1 Produksi Bersih Padi 2025'!E514="","",'1.1 Produksi Bersih Padi 2025'!E514)</f>
        <v/>
      </c>
      <c r="F514" s="28" t="str">
        <f>IF(D514="","",VLOOKUP(D514,'[1]0.1 Produksi Pangan &amp; Penduduk'!$D$5:$AE$860,28,0))</f>
        <v/>
      </c>
      <c r="G514" s="29" t="str">
        <f t="shared" si="35"/>
        <v/>
      </c>
      <c r="H514" s="29" t="str">
        <f t="shared" si="36"/>
        <v/>
      </c>
      <c r="I514" s="29" t="str">
        <f t="shared" si="37"/>
        <v/>
      </c>
      <c r="J514" s="29" t="str">
        <f t="shared" si="38"/>
        <v/>
      </c>
      <c r="K514" s="29" t="str">
        <f t="shared" si="39"/>
        <v/>
      </c>
    </row>
    <row r="515" spans="1:11" ht="15" x14ac:dyDescent="0.25">
      <c r="A515" s="1" t="str">
        <f>IF('1.1 Produksi Bersih Padi 2025'!A515="","",'1.1 Produksi Bersih Padi 2025'!A515)</f>
        <v/>
      </c>
      <c r="B515" s="31" t="str">
        <f>IF('1.1 Produksi Bersih Padi 2025'!B515="","",'1.1 Produksi Bersih Padi 2025'!B515)</f>
        <v/>
      </c>
      <c r="C515" s="31" t="str">
        <f>IF('1.1 Produksi Bersih Padi 2025'!C515="","",'1.1 Produksi Bersih Padi 2025'!C515)</f>
        <v/>
      </c>
      <c r="D515" s="1" t="str">
        <f>IF('1.1 Produksi Bersih Padi 2025'!D515="","",'1.1 Produksi Bersih Padi 2025'!D515)</f>
        <v/>
      </c>
      <c r="E515" s="1" t="str">
        <f>IF('1.1 Produksi Bersih Padi 2025'!E515="","",'1.1 Produksi Bersih Padi 2025'!E515)</f>
        <v/>
      </c>
      <c r="F515" s="28" t="str">
        <f>IF(D515="","",VLOOKUP(D515,'[1]0.1 Produksi Pangan &amp; Penduduk'!$D$5:$AE$860,28,0))</f>
        <v/>
      </c>
      <c r="G515" s="29" t="str">
        <f t="shared" si="35"/>
        <v/>
      </c>
      <c r="H515" s="29" t="str">
        <f t="shared" si="36"/>
        <v/>
      </c>
      <c r="I515" s="29" t="str">
        <f t="shared" si="37"/>
        <v/>
      </c>
      <c r="J515" s="29" t="str">
        <f t="shared" si="38"/>
        <v/>
      </c>
      <c r="K515" s="29" t="str">
        <f t="shared" si="39"/>
        <v/>
      </c>
    </row>
    <row r="516" spans="1:11" ht="15" x14ac:dyDescent="0.25">
      <c r="A516" s="1" t="str">
        <f>IF('1.1 Produksi Bersih Padi 2025'!A516="","",'1.1 Produksi Bersih Padi 2025'!A516)</f>
        <v/>
      </c>
      <c r="B516" s="31" t="str">
        <f>IF('1.1 Produksi Bersih Padi 2025'!B516="","",'1.1 Produksi Bersih Padi 2025'!B516)</f>
        <v/>
      </c>
      <c r="C516" s="31" t="str">
        <f>IF('1.1 Produksi Bersih Padi 2025'!C516="","",'1.1 Produksi Bersih Padi 2025'!C516)</f>
        <v/>
      </c>
      <c r="D516" s="1" t="str">
        <f>IF('1.1 Produksi Bersih Padi 2025'!D516="","",'1.1 Produksi Bersih Padi 2025'!D516)</f>
        <v/>
      </c>
      <c r="E516" s="1" t="str">
        <f>IF('1.1 Produksi Bersih Padi 2025'!E516="","",'1.1 Produksi Bersih Padi 2025'!E516)</f>
        <v/>
      </c>
      <c r="F516" s="28" t="str">
        <f>IF(D516="","",VLOOKUP(D516,'[1]0.1 Produksi Pangan &amp; Penduduk'!$D$5:$AE$860,28,0))</f>
        <v/>
      </c>
      <c r="G516" s="29" t="str">
        <f t="shared" si="35"/>
        <v/>
      </c>
      <c r="H516" s="29" t="str">
        <f t="shared" si="36"/>
        <v/>
      </c>
      <c r="I516" s="29" t="str">
        <f t="shared" si="37"/>
        <v/>
      </c>
      <c r="J516" s="29" t="str">
        <f t="shared" si="38"/>
        <v/>
      </c>
      <c r="K516" s="29" t="str">
        <f t="shared" si="39"/>
        <v/>
      </c>
    </row>
    <row r="517" spans="1:11" ht="15" x14ac:dyDescent="0.25">
      <c r="A517" s="1" t="str">
        <f>IF('1.1 Produksi Bersih Padi 2025'!A517="","",'1.1 Produksi Bersih Padi 2025'!A517)</f>
        <v/>
      </c>
      <c r="B517" s="31" t="str">
        <f>IF('1.1 Produksi Bersih Padi 2025'!B517="","",'1.1 Produksi Bersih Padi 2025'!B517)</f>
        <v/>
      </c>
      <c r="C517" s="31" t="str">
        <f>IF('1.1 Produksi Bersih Padi 2025'!C517="","",'1.1 Produksi Bersih Padi 2025'!C517)</f>
        <v/>
      </c>
      <c r="D517" s="1" t="str">
        <f>IF('1.1 Produksi Bersih Padi 2025'!D517="","",'1.1 Produksi Bersih Padi 2025'!D517)</f>
        <v/>
      </c>
      <c r="E517" s="1" t="str">
        <f>IF('1.1 Produksi Bersih Padi 2025'!E517="","",'1.1 Produksi Bersih Padi 2025'!E517)</f>
        <v/>
      </c>
      <c r="F517" s="28" t="str">
        <f>IF(D517="","",VLOOKUP(D517,'[1]0.1 Produksi Pangan &amp; Penduduk'!$D$5:$AE$860,28,0))</f>
        <v/>
      </c>
      <c r="G517" s="29" t="str">
        <f t="shared" si="35"/>
        <v/>
      </c>
      <c r="H517" s="29" t="str">
        <f t="shared" si="36"/>
        <v/>
      </c>
      <c r="I517" s="29" t="str">
        <f t="shared" si="37"/>
        <v/>
      </c>
      <c r="J517" s="29" t="str">
        <f t="shared" si="38"/>
        <v/>
      </c>
      <c r="K517" s="29" t="str">
        <f t="shared" si="39"/>
        <v/>
      </c>
    </row>
    <row r="518" spans="1:11" ht="15" x14ac:dyDescent="0.25">
      <c r="A518" s="1" t="str">
        <f>IF('1.1 Produksi Bersih Padi 2025'!A518="","",'1.1 Produksi Bersih Padi 2025'!A518)</f>
        <v/>
      </c>
      <c r="B518" s="31" t="str">
        <f>IF('1.1 Produksi Bersih Padi 2025'!B518="","",'1.1 Produksi Bersih Padi 2025'!B518)</f>
        <v/>
      </c>
      <c r="C518" s="31" t="str">
        <f>IF('1.1 Produksi Bersih Padi 2025'!C518="","",'1.1 Produksi Bersih Padi 2025'!C518)</f>
        <v/>
      </c>
      <c r="D518" s="1" t="str">
        <f>IF('1.1 Produksi Bersih Padi 2025'!D518="","",'1.1 Produksi Bersih Padi 2025'!D518)</f>
        <v/>
      </c>
      <c r="E518" s="1" t="str">
        <f>IF('1.1 Produksi Bersih Padi 2025'!E518="","",'1.1 Produksi Bersih Padi 2025'!E518)</f>
        <v/>
      </c>
      <c r="F518" s="28" t="str">
        <f>IF(D518="","",VLOOKUP(D518,'[1]0.1 Produksi Pangan &amp; Penduduk'!$D$5:$AE$860,28,0))</f>
        <v/>
      </c>
      <c r="G518" s="29" t="str">
        <f t="shared" ref="G518:G581" si="40">IF(F518="","",F518*0%)</f>
        <v/>
      </c>
      <c r="H518" s="29" t="str">
        <f t="shared" ref="H518:H581" si="41">IF(F518="","",F518*0.77%)</f>
        <v/>
      </c>
      <c r="I518" s="29" t="str">
        <f t="shared" ref="I518:I581" si="42">IF(F518="","",F518*4.9%)</f>
        <v/>
      </c>
      <c r="J518" s="29" t="str">
        <f t="shared" ref="J518:J581" si="43">IF(F518="","",F518-(G518+H518+I518))</f>
        <v/>
      </c>
      <c r="K518" s="29" t="str">
        <f t="shared" ref="K518:K581" si="44">IF(J518="","",J518*0.259)</f>
        <v/>
      </c>
    </row>
    <row r="519" spans="1:11" ht="15" x14ac:dyDescent="0.25">
      <c r="A519" s="1" t="str">
        <f>IF('1.1 Produksi Bersih Padi 2025'!A519="","",'1.1 Produksi Bersih Padi 2025'!A519)</f>
        <v/>
      </c>
      <c r="B519" s="31" t="str">
        <f>IF('1.1 Produksi Bersih Padi 2025'!B519="","",'1.1 Produksi Bersih Padi 2025'!B519)</f>
        <v/>
      </c>
      <c r="C519" s="31" t="str">
        <f>IF('1.1 Produksi Bersih Padi 2025'!C519="","",'1.1 Produksi Bersih Padi 2025'!C519)</f>
        <v/>
      </c>
      <c r="D519" s="1" t="str">
        <f>IF('1.1 Produksi Bersih Padi 2025'!D519="","",'1.1 Produksi Bersih Padi 2025'!D519)</f>
        <v/>
      </c>
      <c r="E519" s="1" t="str">
        <f>IF('1.1 Produksi Bersih Padi 2025'!E519="","",'1.1 Produksi Bersih Padi 2025'!E519)</f>
        <v/>
      </c>
      <c r="F519" s="28" t="str">
        <f>IF(D519="","",VLOOKUP(D519,'[1]0.1 Produksi Pangan &amp; Penduduk'!$D$5:$AE$860,28,0))</f>
        <v/>
      </c>
      <c r="G519" s="29" t="str">
        <f t="shared" si="40"/>
        <v/>
      </c>
      <c r="H519" s="29" t="str">
        <f t="shared" si="41"/>
        <v/>
      </c>
      <c r="I519" s="29" t="str">
        <f t="shared" si="42"/>
        <v/>
      </c>
      <c r="J519" s="29" t="str">
        <f t="shared" si="43"/>
        <v/>
      </c>
      <c r="K519" s="29" t="str">
        <f t="shared" si="44"/>
        <v/>
      </c>
    </row>
    <row r="520" spans="1:11" ht="15" x14ac:dyDescent="0.25">
      <c r="A520" s="1" t="str">
        <f>IF('1.1 Produksi Bersih Padi 2025'!A520="","",'1.1 Produksi Bersih Padi 2025'!A520)</f>
        <v/>
      </c>
      <c r="B520" s="31" t="str">
        <f>IF('1.1 Produksi Bersih Padi 2025'!B520="","",'1.1 Produksi Bersih Padi 2025'!B520)</f>
        <v/>
      </c>
      <c r="C520" s="31" t="str">
        <f>IF('1.1 Produksi Bersih Padi 2025'!C520="","",'1.1 Produksi Bersih Padi 2025'!C520)</f>
        <v/>
      </c>
      <c r="D520" s="1" t="str">
        <f>IF('1.1 Produksi Bersih Padi 2025'!D520="","",'1.1 Produksi Bersih Padi 2025'!D520)</f>
        <v/>
      </c>
      <c r="E520" s="1" t="str">
        <f>IF('1.1 Produksi Bersih Padi 2025'!E520="","",'1.1 Produksi Bersih Padi 2025'!E520)</f>
        <v/>
      </c>
      <c r="F520" s="28" t="str">
        <f>IF(D520="","",VLOOKUP(D520,'[1]0.1 Produksi Pangan &amp; Penduduk'!$D$5:$AE$860,28,0))</f>
        <v/>
      </c>
      <c r="G520" s="29" t="str">
        <f t="shared" si="40"/>
        <v/>
      </c>
      <c r="H520" s="29" t="str">
        <f t="shared" si="41"/>
        <v/>
      </c>
      <c r="I520" s="29" t="str">
        <f t="shared" si="42"/>
        <v/>
      </c>
      <c r="J520" s="29" t="str">
        <f t="shared" si="43"/>
        <v/>
      </c>
      <c r="K520" s="29" t="str">
        <f t="shared" si="44"/>
        <v/>
      </c>
    </row>
    <row r="521" spans="1:11" ht="15" x14ac:dyDescent="0.25">
      <c r="A521" s="1" t="str">
        <f>IF('1.1 Produksi Bersih Padi 2025'!A521="","",'1.1 Produksi Bersih Padi 2025'!A521)</f>
        <v/>
      </c>
      <c r="B521" s="31" t="str">
        <f>IF('1.1 Produksi Bersih Padi 2025'!B521="","",'1.1 Produksi Bersih Padi 2025'!B521)</f>
        <v/>
      </c>
      <c r="C521" s="31" t="str">
        <f>IF('1.1 Produksi Bersih Padi 2025'!C521="","",'1.1 Produksi Bersih Padi 2025'!C521)</f>
        <v/>
      </c>
      <c r="D521" s="1" t="str">
        <f>IF('1.1 Produksi Bersih Padi 2025'!D521="","",'1.1 Produksi Bersih Padi 2025'!D521)</f>
        <v/>
      </c>
      <c r="E521" s="1" t="str">
        <f>IF('1.1 Produksi Bersih Padi 2025'!E521="","",'1.1 Produksi Bersih Padi 2025'!E521)</f>
        <v/>
      </c>
      <c r="F521" s="28" t="str">
        <f>IF(D521="","",VLOOKUP(D521,'[1]0.1 Produksi Pangan &amp; Penduduk'!$D$5:$AE$860,28,0))</f>
        <v/>
      </c>
      <c r="G521" s="29" t="str">
        <f t="shared" si="40"/>
        <v/>
      </c>
      <c r="H521" s="29" t="str">
        <f t="shared" si="41"/>
        <v/>
      </c>
      <c r="I521" s="29" t="str">
        <f t="shared" si="42"/>
        <v/>
      </c>
      <c r="J521" s="29" t="str">
        <f t="shared" si="43"/>
        <v/>
      </c>
      <c r="K521" s="29" t="str">
        <f t="shared" si="44"/>
        <v/>
      </c>
    </row>
    <row r="522" spans="1:11" ht="15" x14ac:dyDescent="0.25">
      <c r="A522" s="1" t="str">
        <f>IF('1.1 Produksi Bersih Padi 2025'!A522="","",'1.1 Produksi Bersih Padi 2025'!A522)</f>
        <v/>
      </c>
      <c r="B522" s="31" t="str">
        <f>IF('1.1 Produksi Bersih Padi 2025'!B522="","",'1.1 Produksi Bersih Padi 2025'!B522)</f>
        <v/>
      </c>
      <c r="C522" s="31" t="str">
        <f>IF('1.1 Produksi Bersih Padi 2025'!C522="","",'1.1 Produksi Bersih Padi 2025'!C522)</f>
        <v/>
      </c>
      <c r="D522" s="1" t="str">
        <f>IF('1.1 Produksi Bersih Padi 2025'!D522="","",'1.1 Produksi Bersih Padi 2025'!D522)</f>
        <v/>
      </c>
      <c r="E522" s="1" t="str">
        <f>IF('1.1 Produksi Bersih Padi 2025'!E522="","",'1.1 Produksi Bersih Padi 2025'!E522)</f>
        <v/>
      </c>
      <c r="F522" s="28" t="str">
        <f>IF(D522="","",VLOOKUP(D522,'[1]0.1 Produksi Pangan &amp; Penduduk'!$D$5:$AE$860,28,0))</f>
        <v/>
      </c>
      <c r="G522" s="29" t="str">
        <f t="shared" si="40"/>
        <v/>
      </c>
      <c r="H522" s="29" t="str">
        <f t="shared" si="41"/>
        <v/>
      </c>
      <c r="I522" s="29" t="str">
        <f t="shared" si="42"/>
        <v/>
      </c>
      <c r="J522" s="29" t="str">
        <f t="shared" si="43"/>
        <v/>
      </c>
      <c r="K522" s="29" t="str">
        <f t="shared" si="44"/>
        <v/>
      </c>
    </row>
    <row r="523" spans="1:11" ht="15" x14ac:dyDescent="0.25">
      <c r="A523" s="1" t="str">
        <f>IF('1.1 Produksi Bersih Padi 2025'!A523="","",'1.1 Produksi Bersih Padi 2025'!A523)</f>
        <v/>
      </c>
      <c r="B523" s="31" t="str">
        <f>IF('1.1 Produksi Bersih Padi 2025'!B523="","",'1.1 Produksi Bersih Padi 2025'!B523)</f>
        <v/>
      </c>
      <c r="C523" s="31" t="str">
        <f>IF('1.1 Produksi Bersih Padi 2025'!C523="","",'1.1 Produksi Bersih Padi 2025'!C523)</f>
        <v/>
      </c>
      <c r="D523" s="1" t="str">
        <f>IF('1.1 Produksi Bersih Padi 2025'!D523="","",'1.1 Produksi Bersih Padi 2025'!D523)</f>
        <v/>
      </c>
      <c r="E523" s="1" t="str">
        <f>IF('1.1 Produksi Bersih Padi 2025'!E523="","",'1.1 Produksi Bersih Padi 2025'!E523)</f>
        <v/>
      </c>
      <c r="F523" s="28" t="str">
        <f>IF(D523="","",VLOOKUP(D523,'[1]0.1 Produksi Pangan &amp; Penduduk'!$D$5:$AE$860,28,0))</f>
        <v/>
      </c>
      <c r="G523" s="29" t="str">
        <f t="shared" si="40"/>
        <v/>
      </c>
      <c r="H523" s="29" t="str">
        <f t="shared" si="41"/>
        <v/>
      </c>
      <c r="I523" s="29" t="str">
        <f t="shared" si="42"/>
        <v/>
      </c>
      <c r="J523" s="29" t="str">
        <f t="shared" si="43"/>
        <v/>
      </c>
      <c r="K523" s="29" t="str">
        <f t="shared" si="44"/>
        <v/>
      </c>
    </row>
    <row r="524" spans="1:11" ht="15" x14ac:dyDescent="0.25">
      <c r="A524" s="1" t="str">
        <f>IF('1.1 Produksi Bersih Padi 2025'!A524="","",'1.1 Produksi Bersih Padi 2025'!A524)</f>
        <v/>
      </c>
      <c r="B524" s="31" t="str">
        <f>IF('1.1 Produksi Bersih Padi 2025'!B524="","",'1.1 Produksi Bersih Padi 2025'!B524)</f>
        <v/>
      </c>
      <c r="C524" s="31" t="str">
        <f>IF('1.1 Produksi Bersih Padi 2025'!C524="","",'1.1 Produksi Bersih Padi 2025'!C524)</f>
        <v/>
      </c>
      <c r="D524" s="1" t="str">
        <f>IF('1.1 Produksi Bersih Padi 2025'!D524="","",'1.1 Produksi Bersih Padi 2025'!D524)</f>
        <v/>
      </c>
      <c r="E524" s="1" t="str">
        <f>IF('1.1 Produksi Bersih Padi 2025'!E524="","",'1.1 Produksi Bersih Padi 2025'!E524)</f>
        <v/>
      </c>
      <c r="F524" s="28" t="str">
        <f>IF(D524="","",VLOOKUP(D524,'[1]0.1 Produksi Pangan &amp; Penduduk'!$D$5:$AE$860,28,0))</f>
        <v/>
      </c>
      <c r="G524" s="29" t="str">
        <f t="shared" si="40"/>
        <v/>
      </c>
      <c r="H524" s="29" t="str">
        <f t="shared" si="41"/>
        <v/>
      </c>
      <c r="I524" s="29" t="str">
        <f t="shared" si="42"/>
        <v/>
      </c>
      <c r="J524" s="29" t="str">
        <f t="shared" si="43"/>
        <v/>
      </c>
      <c r="K524" s="29" t="str">
        <f t="shared" si="44"/>
        <v/>
      </c>
    </row>
    <row r="525" spans="1:11" ht="15" x14ac:dyDescent="0.25">
      <c r="A525" s="1" t="str">
        <f>IF('1.1 Produksi Bersih Padi 2025'!A525="","",'1.1 Produksi Bersih Padi 2025'!A525)</f>
        <v/>
      </c>
      <c r="B525" s="31" t="str">
        <f>IF('1.1 Produksi Bersih Padi 2025'!B525="","",'1.1 Produksi Bersih Padi 2025'!B525)</f>
        <v/>
      </c>
      <c r="C525" s="31" t="str">
        <f>IF('1.1 Produksi Bersih Padi 2025'!C525="","",'1.1 Produksi Bersih Padi 2025'!C525)</f>
        <v/>
      </c>
      <c r="D525" s="1" t="str">
        <f>IF('1.1 Produksi Bersih Padi 2025'!D525="","",'1.1 Produksi Bersih Padi 2025'!D525)</f>
        <v/>
      </c>
      <c r="E525" s="1" t="str">
        <f>IF('1.1 Produksi Bersih Padi 2025'!E525="","",'1.1 Produksi Bersih Padi 2025'!E525)</f>
        <v/>
      </c>
      <c r="F525" s="28" t="str">
        <f>IF(D525="","",VLOOKUP(D525,'[1]0.1 Produksi Pangan &amp; Penduduk'!$D$5:$AE$860,28,0))</f>
        <v/>
      </c>
      <c r="G525" s="29" t="str">
        <f t="shared" si="40"/>
        <v/>
      </c>
      <c r="H525" s="29" t="str">
        <f t="shared" si="41"/>
        <v/>
      </c>
      <c r="I525" s="29" t="str">
        <f t="shared" si="42"/>
        <v/>
      </c>
      <c r="J525" s="29" t="str">
        <f t="shared" si="43"/>
        <v/>
      </c>
      <c r="K525" s="29" t="str">
        <f t="shared" si="44"/>
        <v/>
      </c>
    </row>
    <row r="526" spans="1:11" ht="15" x14ac:dyDescent="0.25">
      <c r="A526" s="1" t="str">
        <f>IF('1.1 Produksi Bersih Padi 2025'!A526="","",'1.1 Produksi Bersih Padi 2025'!A526)</f>
        <v/>
      </c>
      <c r="B526" s="31" t="str">
        <f>IF('1.1 Produksi Bersih Padi 2025'!B526="","",'1.1 Produksi Bersih Padi 2025'!B526)</f>
        <v/>
      </c>
      <c r="C526" s="31" t="str">
        <f>IF('1.1 Produksi Bersih Padi 2025'!C526="","",'1.1 Produksi Bersih Padi 2025'!C526)</f>
        <v/>
      </c>
      <c r="D526" s="1" t="str">
        <f>IF('1.1 Produksi Bersih Padi 2025'!D526="","",'1.1 Produksi Bersih Padi 2025'!D526)</f>
        <v/>
      </c>
      <c r="E526" s="1" t="str">
        <f>IF('1.1 Produksi Bersih Padi 2025'!E526="","",'1.1 Produksi Bersih Padi 2025'!E526)</f>
        <v/>
      </c>
      <c r="F526" s="28" t="str">
        <f>IF(D526="","",VLOOKUP(D526,'[1]0.1 Produksi Pangan &amp; Penduduk'!$D$5:$AE$860,28,0))</f>
        <v/>
      </c>
      <c r="G526" s="29" t="str">
        <f t="shared" si="40"/>
        <v/>
      </c>
      <c r="H526" s="29" t="str">
        <f t="shared" si="41"/>
        <v/>
      </c>
      <c r="I526" s="29" t="str">
        <f t="shared" si="42"/>
        <v/>
      </c>
      <c r="J526" s="29" t="str">
        <f t="shared" si="43"/>
        <v/>
      </c>
      <c r="K526" s="29" t="str">
        <f t="shared" si="44"/>
        <v/>
      </c>
    </row>
    <row r="527" spans="1:11" ht="15" x14ac:dyDescent="0.25">
      <c r="A527" s="1" t="str">
        <f>IF('1.1 Produksi Bersih Padi 2025'!A527="","",'1.1 Produksi Bersih Padi 2025'!A527)</f>
        <v/>
      </c>
      <c r="B527" s="31" t="str">
        <f>IF('1.1 Produksi Bersih Padi 2025'!B527="","",'1.1 Produksi Bersih Padi 2025'!B527)</f>
        <v/>
      </c>
      <c r="C527" s="31" t="str">
        <f>IF('1.1 Produksi Bersih Padi 2025'!C527="","",'1.1 Produksi Bersih Padi 2025'!C527)</f>
        <v/>
      </c>
      <c r="D527" s="1" t="str">
        <f>IF('1.1 Produksi Bersih Padi 2025'!D527="","",'1.1 Produksi Bersih Padi 2025'!D527)</f>
        <v/>
      </c>
      <c r="E527" s="1" t="str">
        <f>IF('1.1 Produksi Bersih Padi 2025'!E527="","",'1.1 Produksi Bersih Padi 2025'!E527)</f>
        <v/>
      </c>
      <c r="F527" s="28" t="str">
        <f>IF(D527="","",VLOOKUP(D527,'[1]0.1 Produksi Pangan &amp; Penduduk'!$D$5:$AE$860,28,0))</f>
        <v/>
      </c>
      <c r="G527" s="29" t="str">
        <f t="shared" si="40"/>
        <v/>
      </c>
      <c r="H527" s="29" t="str">
        <f t="shared" si="41"/>
        <v/>
      </c>
      <c r="I527" s="29" t="str">
        <f t="shared" si="42"/>
        <v/>
      </c>
      <c r="J527" s="29" t="str">
        <f t="shared" si="43"/>
        <v/>
      </c>
      <c r="K527" s="29" t="str">
        <f t="shared" si="44"/>
        <v/>
      </c>
    </row>
    <row r="528" spans="1:11" ht="15" x14ac:dyDescent="0.25">
      <c r="A528" s="1" t="str">
        <f>IF('1.1 Produksi Bersih Padi 2025'!A528="","",'1.1 Produksi Bersih Padi 2025'!A528)</f>
        <v/>
      </c>
      <c r="B528" s="31" t="str">
        <f>IF('1.1 Produksi Bersih Padi 2025'!B528="","",'1.1 Produksi Bersih Padi 2025'!B528)</f>
        <v/>
      </c>
      <c r="C528" s="31" t="str">
        <f>IF('1.1 Produksi Bersih Padi 2025'!C528="","",'1.1 Produksi Bersih Padi 2025'!C528)</f>
        <v/>
      </c>
      <c r="D528" s="1" t="str">
        <f>IF('1.1 Produksi Bersih Padi 2025'!D528="","",'1.1 Produksi Bersih Padi 2025'!D528)</f>
        <v/>
      </c>
      <c r="E528" s="1" t="str">
        <f>IF('1.1 Produksi Bersih Padi 2025'!E528="","",'1.1 Produksi Bersih Padi 2025'!E528)</f>
        <v/>
      </c>
      <c r="F528" s="28" t="str">
        <f>IF(D528="","",VLOOKUP(D528,'[1]0.1 Produksi Pangan &amp; Penduduk'!$D$5:$AE$860,28,0))</f>
        <v/>
      </c>
      <c r="G528" s="29" t="str">
        <f t="shared" si="40"/>
        <v/>
      </c>
      <c r="H528" s="29" t="str">
        <f t="shared" si="41"/>
        <v/>
      </c>
      <c r="I528" s="29" t="str">
        <f t="shared" si="42"/>
        <v/>
      </c>
      <c r="J528" s="29" t="str">
        <f t="shared" si="43"/>
        <v/>
      </c>
      <c r="K528" s="29" t="str">
        <f t="shared" si="44"/>
        <v/>
      </c>
    </row>
    <row r="529" spans="1:11" ht="15" x14ac:dyDescent="0.25">
      <c r="A529" s="1" t="str">
        <f>IF('1.1 Produksi Bersih Padi 2025'!A529="","",'1.1 Produksi Bersih Padi 2025'!A529)</f>
        <v/>
      </c>
      <c r="B529" s="31" t="str">
        <f>IF('1.1 Produksi Bersih Padi 2025'!B529="","",'1.1 Produksi Bersih Padi 2025'!B529)</f>
        <v/>
      </c>
      <c r="C529" s="31" t="str">
        <f>IF('1.1 Produksi Bersih Padi 2025'!C529="","",'1.1 Produksi Bersih Padi 2025'!C529)</f>
        <v/>
      </c>
      <c r="D529" s="1" t="str">
        <f>IF('1.1 Produksi Bersih Padi 2025'!D529="","",'1.1 Produksi Bersih Padi 2025'!D529)</f>
        <v/>
      </c>
      <c r="E529" s="1" t="str">
        <f>IF('1.1 Produksi Bersih Padi 2025'!E529="","",'1.1 Produksi Bersih Padi 2025'!E529)</f>
        <v/>
      </c>
      <c r="F529" s="28" t="str">
        <f>IF(D529="","",VLOOKUP(D529,'[1]0.1 Produksi Pangan &amp; Penduduk'!$D$5:$AE$860,28,0))</f>
        <v/>
      </c>
      <c r="G529" s="29" t="str">
        <f t="shared" si="40"/>
        <v/>
      </c>
      <c r="H529" s="29" t="str">
        <f t="shared" si="41"/>
        <v/>
      </c>
      <c r="I529" s="29" t="str">
        <f t="shared" si="42"/>
        <v/>
      </c>
      <c r="J529" s="29" t="str">
        <f t="shared" si="43"/>
        <v/>
      </c>
      <c r="K529" s="29" t="str">
        <f t="shared" si="44"/>
        <v/>
      </c>
    </row>
    <row r="530" spans="1:11" ht="15" x14ac:dyDescent="0.25">
      <c r="A530" s="1" t="str">
        <f>IF('1.1 Produksi Bersih Padi 2025'!A530="","",'1.1 Produksi Bersih Padi 2025'!A530)</f>
        <v/>
      </c>
      <c r="B530" s="31" t="str">
        <f>IF('1.1 Produksi Bersih Padi 2025'!B530="","",'1.1 Produksi Bersih Padi 2025'!B530)</f>
        <v/>
      </c>
      <c r="C530" s="31" t="str">
        <f>IF('1.1 Produksi Bersih Padi 2025'!C530="","",'1.1 Produksi Bersih Padi 2025'!C530)</f>
        <v/>
      </c>
      <c r="D530" s="1" t="str">
        <f>IF('1.1 Produksi Bersih Padi 2025'!D530="","",'1.1 Produksi Bersih Padi 2025'!D530)</f>
        <v/>
      </c>
      <c r="E530" s="1" t="str">
        <f>IF('1.1 Produksi Bersih Padi 2025'!E530="","",'1.1 Produksi Bersih Padi 2025'!E530)</f>
        <v/>
      </c>
      <c r="F530" s="28" t="str">
        <f>IF(D530="","",VLOOKUP(D530,'[1]0.1 Produksi Pangan &amp; Penduduk'!$D$5:$AE$860,28,0))</f>
        <v/>
      </c>
      <c r="G530" s="29" t="str">
        <f t="shared" si="40"/>
        <v/>
      </c>
      <c r="H530" s="29" t="str">
        <f t="shared" si="41"/>
        <v/>
      </c>
      <c r="I530" s="29" t="str">
        <f t="shared" si="42"/>
        <v/>
      </c>
      <c r="J530" s="29" t="str">
        <f t="shared" si="43"/>
        <v/>
      </c>
      <c r="K530" s="29" t="str">
        <f t="shared" si="44"/>
        <v/>
      </c>
    </row>
    <row r="531" spans="1:11" ht="15" x14ac:dyDescent="0.25">
      <c r="A531" s="1" t="str">
        <f>IF('1.1 Produksi Bersih Padi 2025'!A531="","",'1.1 Produksi Bersih Padi 2025'!A531)</f>
        <v/>
      </c>
      <c r="B531" s="31" t="str">
        <f>IF('1.1 Produksi Bersih Padi 2025'!B531="","",'1.1 Produksi Bersih Padi 2025'!B531)</f>
        <v/>
      </c>
      <c r="C531" s="31" t="str">
        <f>IF('1.1 Produksi Bersih Padi 2025'!C531="","",'1.1 Produksi Bersih Padi 2025'!C531)</f>
        <v/>
      </c>
      <c r="D531" s="1" t="str">
        <f>IF('1.1 Produksi Bersih Padi 2025'!D531="","",'1.1 Produksi Bersih Padi 2025'!D531)</f>
        <v/>
      </c>
      <c r="E531" s="1" t="str">
        <f>IF('1.1 Produksi Bersih Padi 2025'!E531="","",'1.1 Produksi Bersih Padi 2025'!E531)</f>
        <v/>
      </c>
      <c r="F531" s="28" t="str">
        <f>IF(D531="","",VLOOKUP(D531,'[1]0.1 Produksi Pangan &amp; Penduduk'!$D$5:$AE$860,28,0))</f>
        <v/>
      </c>
      <c r="G531" s="29" t="str">
        <f t="shared" si="40"/>
        <v/>
      </c>
      <c r="H531" s="29" t="str">
        <f t="shared" si="41"/>
        <v/>
      </c>
      <c r="I531" s="29" t="str">
        <f t="shared" si="42"/>
        <v/>
      </c>
      <c r="J531" s="29" t="str">
        <f t="shared" si="43"/>
        <v/>
      </c>
      <c r="K531" s="29" t="str">
        <f t="shared" si="44"/>
        <v/>
      </c>
    </row>
    <row r="532" spans="1:11" ht="15" x14ac:dyDescent="0.25">
      <c r="A532" s="1" t="str">
        <f>IF('1.1 Produksi Bersih Padi 2025'!A532="","",'1.1 Produksi Bersih Padi 2025'!A532)</f>
        <v/>
      </c>
      <c r="B532" s="31" t="str">
        <f>IF('1.1 Produksi Bersih Padi 2025'!B532="","",'1.1 Produksi Bersih Padi 2025'!B532)</f>
        <v/>
      </c>
      <c r="C532" s="31" t="str">
        <f>IF('1.1 Produksi Bersih Padi 2025'!C532="","",'1.1 Produksi Bersih Padi 2025'!C532)</f>
        <v/>
      </c>
      <c r="D532" s="1" t="str">
        <f>IF('1.1 Produksi Bersih Padi 2025'!D532="","",'1.1 Produksi Bersih Padi 2025'!D532)</f>
        <v/>
      </c>
      <c r="E532" s="1" t="str">
        <f>IF('1.1 Produksi Bersih Padi 2025'!E532="","",'1.1 Produksi Bersih Padi 2025'!E532)</f>
        <v/>
      </c>
      <c r="F532" s="28" t="str">
        <f>IF(D532="","",VLOOKUP(D532,'[1]0.1 Produksi Pangan &amp; Penduduk'!$D$5:$AE$860,28,0))</f>
        <v/>
      </c>
      <c r="G532" s="29" t="str">
        <f t="shared" si="40"/>
        <v/>
      </c>
      <c r="H532" s="29" t="str">
        <f t="shared" si="41"/>
        <v/>
      </c>
      <c r="I532" s="29" t="str">
        <f t="shared" si="42"/>
        <v/>
      </c>
      <c r="J532" s="29" t="str">
        <f t="shared" si="43"/>
        <v/>
      </c>
      <c r="K532" s="29" t="str">
        <f t="shared" si="44"/>
        <v/>
      </c>
    </row>
    <row r="533" spans="1:11" ht="15" x14ac:dyDescent="0.25">
      <c r="A533" s="1" t="str">
        <f>IF('1.1 Produksi Bersih Padi 2025'!A533="","",'1.1 Produksi Bersih Padi 2025'!A533)</f>
        <v/>
      </c>
      <c r="B533" s="31" t="str">
        <f>IF('1.1 Produksi Bersih Padi 2025'!B533="","",'1.1 Produksi Bersih Padi 2025'!B533)</f>
        <v/>
      </c>
      <c r="C533" s="31" t="str">
        <f>IF('1.1 Produksi Bersih Padi 2025'!C533="","",'1.1 Produksi Bersih Padi 2025'!C533)</f>
        <v/>
      </c>
      <c r="D533" s="1" t="str">
        <f>IF('1.1 Produksi Bersih Padi 2025'!D533="","",'1.1 Produksi Bersih Padi 2025'!D533)</f>
        <v/>
      </c>
      <c r="E533" s="1" t="str">
        <f>IF('1.1 Produksi Bersih Padi 2025'!E533="","",'1.1 Produksi Bersih Padi 2025'!E533)</f>
        <v/>
      </c>
      <c r="F533" s="28" t="str">
        <f>IF(D533="","",VLOOKUP(D533,'[1]0.1 Produksi Pangan &amp; Penduduk'!$D$5:$AE$860,28,0))</f>
        <v/>
      </c>
      <c r="G533" s="29" t="str">
        <f t="shared" si="40"/>
        <v/>
      </c>
      <c r="H533" s="29" t="str">
        <f t="shared" si="41"/>
        <v/>
      </c>
      <c r="I533" s="29" t="str">
        <f t="shared" si="42"/>
        <v/>
      </c>
      <c r="J533" s="29" t="str">
        <f t="shared" si="43"/>
        <v/>
      </c>
      <c r="K533" s="29" t="str">
        <f t="shared" si="44"/>
        <v/>
      </c>
    </row>
    <row r="534" spans="1:11" ht="15" x14ac:dyDescent="0.25">
      <c r="A534" s="1" t="str">
        <f>IF('1.1 Produksi Bersih Padi 2025'!A534="","",'1.1 Produksi Bersih Padi 2025'!A534)</f>
        <v/>
      </c>
      <c r="B534" s="31" t="str">
        <f>IF('1.1 Produksi Bersih Padi 2025'!B534="","",'1.1 Produksi Bersih Padi 2025'!B534)</f>
        <v/>
      </c>
      <c r="C534" s="31" t="str">
        <f>IF('1.1 Produksi Bersih Padi 2025'!C534="","",'1.1 Produksi Bersih Padi 2025'!C534)</f>
        <v/>
      </c>
      <c r="D534" s="1" t="str">
        <f>IF('1.1 Produksi Bersih Padi 2025'!D534="","",'1.1 Produksi Bersih Padi 2025'!D534)</f>
        <v/>
      </c>
      <c r="E534" s="1" t="str">
        <f>IF('1.1 Produksi Bersih Padi 2025'!E534="","",'1.1 Produksi Bersih Padi 2025'!E534)</f>
        <v/>
      </c>
      <c r="F534" s="28" t="str">
        <f>IF(D534="","",VLOOKUP(D534,'[1]0.1 Produksi Pangan &amp; Penduduk'!$D$5:$AE$860,28,0))</f>
        <v/>
      </c>
      <c r="G534" s="29" t="str">
        <f t="shared" si="40"/>
        <v/>
      </c>
      <c r="H534" s="29" t="str">
        <f t="shared" si="41"/>
        <v/>
      </c>
      <c r="I534" s="29" t="str">
        <f t="shared" si="42"/>
        <v/>
      </c>
      <c r="J534" s="29" t="str">
        <f t="shared" si="43"/>
        <v/>
      </c>
      <c r="K534" s="29" t="str">
        <f t="shared" si="44"/>
        <v/>
      </c>
    </row>
    <row r="535" spans="1:11" ht="15" x14ac:dyDescent="0.25">
      <c r="A535" s="1" t="str">
        <f>IF('1.1 Produksi Bersih Padi 2025'!A535="","",'1.1 Produksi Bersih Padi 2025'!A535)</f>
        <v/>
      </c>
      <c r="B535" s="31" t="str">
        <f>IF('1.1 Produksi Bersih Padi 2025'!B535="","",'1.1 Produksi Bersih Padi 2025'!B535)</f>
        <v/>
      </c>
      <c r="C535" s="31" t="str">
        <f>IF('1.1 Produksi Bersih Padi 2025'!C535="","",'1.1 Produksi Bersih Padi 2025'!C535)</f>
        <v/>
      </c>
      <c r="D535" s="1" t="str">
        <f>IF('1.1 Produksi Bersih Padi 2025'!D535="","",'1.1 Produksi Bersih Padi 2025'!D535)</f>
        <v/>
      </c>
      <c r="E535" s="1" t="str">
        <f>IF('1.1 Produksi Bersih Padi 2025'!E535="","",'1.1 Produksi Bersih Padi 2025'!E535)</f>
        <v/>
      </c>
      <c r="F535" s="28" t="str">
        <f>IF(D535="","",VLOOKUP(D535,'[1]0.1 Produksi Pangan &amp; Penduduk'!$D$5:$AE$860,28,0))</f>
        <v/>
      </c>
      <c r="G535" s="29" t="str">
        <f t="shared" si="40"/>
        <v/>
      </c>
      <c r="H535" s="29" t="str">
        <f t="shared" si="41"/>
        <v/>
      </c>
      <c r="I535" s="29" t="str">
        <f t="shared" si="42"/>
        <v/>
      </c>
      <c r="J535" s="29" t="str">
        <f t="shared" si="43"/>
        <v/>
      </c>
      <c r="K535" s="29" t="str">
        <f t="shared" si="44"/>
        <v/>
      </c>
    </row>
    <row r="536" spans="1:11" ht="15" x14ac:dyDescent="0.25">
      <c r="A536" s="1" t="str">
        <f>IF('1.1 Produksi Bersih Padi 2025'!A536="","",'1.1 Produksi Bersih Padi 2025'!A536)</f>
        <v/>
      </c>
      <c r="B536" s="31" t="str">
        <f>IF('1.1 Produksi Bersih Padi 2025'!B536="","",'1.1 Produksi Bersih Padi 2025'!B536)</f>
        <v/>
      </c>
      <c r="C536" s="31" t="str">
        <f>IF('1.1 Produksi Bersih Padi 2025'!C536="","",'1.1 Produksi Bersih Padi 2025'!C536)</f>
        <v/>
      </c>
      <c r="D536" s="1" t="str">
        <f>IF('1.1 Produksi Bersih Padi 2025'!D536="","",'1.1 Produksi Bersih Padi 2025'!D536)</f>
        <v/>
      </c>
      <c r="E536" s="1" t="str">
        <f>IF('1.1 Produksi Bersih Padi 2025'!E536="","",'1.1 Produksi Bersih Padi 2025'!E536)</f>
        <v/>
      </c>
      <c r="F536" s="28" t="str">
        <f>IF(D536="","",VLOOKUP(D536,'[1]0.1 Produksi Pangan &amp; Penduduk'!$D$5:$AE$860,28,0))</f>
        <v/>
      </c>
      <c r="G536" s="29" t="str">
        <f t="shared" si="40"/>
        <v/>
      </c>
      <c r="H536" s="29" t="str">
        <f t="shared" si="41"/>
        <v/>
      </c>
      <c r="I536" s="29" t="str">
        <f t="shared" si="42"/>
        <v/>
      </c>
      <c r="J536" s="29" t="str">
        <f t="shared" si="43"/>
        <v/>
      </c>
      <c r="K536" s="29" t="str">
        <f t="shared" si="44"/>
        <v/>
      </c>
    </row>
    <row r="537" spans="1:11" ht="15" x14ac:dyDescent="0.25">
      <c r="A537" s="1" t="str">
        <f>IF('1.1 Produksi Bersih Padi 2025'!A537="","",'1.1 Produksi Bersih Padi 2025'!A537)</f>
        <v/>
      </c>
      <c r="B537" s="31" t="str">
        <f>IF('1.1 Produksi Bersih Padi 2025'!B537="","",'1.1 Produksi Bersih Padi 2025'!B537)</f>
        <v/>
      </c>
      <c r="C537" s="31" t="str">
        <f>IF('1.1 Produksi Bersih Padi 2025'!C537="","",'1.1 Produksi Bersih Padi 2025'!C537)</f>
        <v/>
      </c>
      <c r="D537" s="1" t="str">
        <f>IF('1.1 Produksi Bersih Padi 2025'!D537="","",'1.1 Produksi Bersih Padi 2025'!D537)</f>
        <v/>
      </c>
      <c r="E537" s="1" t="str">
        <f>IF('1.1 Produksi Bersih Padi 2025'!E537="","",'1.1 Produksi Bersih Padi 2025'!E537)</f>
        <v/>
      </c>
      <c r="F537" s="28" t="str">
        <f>IF(D537="","",VLOOKUP(D537,'[1]0.1 Produksi Pangan &amp; Penduduk'!$D$5:$AE$860,28,0))</f>
        <v/>
      </c>
      <c r="G537" s="29" t="str">
        <f t="shared" si="40"/>
        <v/>
      </c>
      <c r="H537" s="29" t="str">
        <f t="shared" si="41"/>
        <v/>
      </c>
      <c r="I537" s="29" t="str">
        <f t="shared" si="42"/>
        <v/>
      </c>
      <c r="J537" s="29" t="str">
        <f t="shared" si="43"/>
        <v/>
      </c>
      <c r="K537" s="29" t="str">
        <f t="shared" si="44"/>
        <v/>
      </c>
    </row>
    <row r="538" spans="1:11" ht="15" x14ac:dyDescent="0.25">
      <c r="A538" s="1" t="str">
        <f>IF('1.1 Produksi Bersih Padi 2025'!A538="","",'1.1 Produksi Bersih Padi 2025'!A538)</f>
        <v/>
      </c>
      <c r="B538" s="31" t="str">
        <f>IF('1.1 Produksi Bersih Padi 2025'!B538="","",'1.1 Produksi Bersih Padi 2025'!B538)</f>
        <v/>
      </c>
      <c r="C538" s="31" t="str">
        <f>IF('1.1 Produksi Bersih Padi 2025'!C538="","",'1.1 Produksi Bersih Padi 2025'!C538)</f>
        <v/>
      </c>
      <c r="D538" s="1" t="str">
        <f>IF('1.1 Produksi Bersih Padi 2025'!D538="","",'1.1 Produksi Bersih Padi 2025'!D538)</f>
        <v/>
      </c>
      <c r="E538" s="1" t="str">
        <f>IF('1.1 Produksi Bersih Padi 2025'!E538="","",'1.1 Produksi Bersih Padi 2025'!E538)</f>
        <v/>
      </c>
      <c r="F538" s="28" t="str">
        <f>IF(D538="","",VLOOKUP(D538,'[1]0.1 Produksi Pangan &amp; Penduduk'!$D$5:$AE$860,28,0))</f>
        <v/>
      </c>
      <c r="G538" s="29" t="str">
        <f t="shared" si="40"/>
        <v/>
      </c>
      <c r="H538" s="29" t="str">
        <f t="shared" si="41"/>
        <v/>
      </c>
      <c r="I538" s="29" t="str">
        <f t="shared" si="42"/>
        <v/>
      </c>
      <c r="J538" s="29" t="str">
        <f t="shared" si="43"/>
        <v/>
      </c>
      <c r="K538" s="29" t="str">
        <f t="shared" si="44"/>
        <v/>
      </c>
    </row>
    <row r="539" spans="1:11" ht="15" x14ac:dyDescent="0.25">
      <c r="A539" s="1" t="str">
        <f>IF('1.1 Produksi Bersih Padi 2025'!A539="","",'1.1 Produksi Bersih Padi 2025'!A539)</f>
        <v/>
      </c>
      <c r="B539" s="31" t="str">
        <f>IF('1.1 Produksi Bersih Padi 2025'!B539="","",'1.1 Produksi Bersih Padi 2025'!B539)</f>
        <v/>
      </c>
      <c r="C539" s="31" t="str">
        <f>IF('1.1 Produksi Bersih Padi 2025'!C539="","",'1.1 Produksi Bersih Padi 2025'!C539)</f>
        <v/>
      </c>
      <c r="D539" s="1" t="str">
        <f>IF('1.1 Produksi Bersih Padi 2025'!D539="","",'1.1 Produksi Bersih Padi 2025'!D539)</f>
        <v/>
      </c>
      <c r="E539" s="1" t="str">
        <f>IF('1.1 Produksi Bersih Padi 2025'!E539="","",'1.1 Produksi Bersih Padi 2025'!E539)</f>
        <v/>
      </c>
      <c r="F539" s="28" t="str">
        <f>IF(D539="","",VLOOKUP(D539,'[1]0.1 Produksi Pangan &amp; Penduduk'!$D$5:$AE$860,28,0))</f>
        <v/>
      </c>
      <c r="G539" s="29" t="str">
        <f t="shared" si="40"/>
        <v/>
      </c>
      <c r="H539" s="29" t="str">
        <f t="shared" si="41"/>
        <v/>
      </c>
      <c r="I539" s="29" t="str">
        <f t="shared" si="42"/>
        <v/>
      </c>
      <c r="J539" s="29" t="str">
        <f t="shared" si="43"/>
        <v/>
      </c>
      <c r="K539" s="29" t="str">
        <f t="shared" si="44"/>
        <v/>
      </c>
    </row>
    <row r="540" spans="1:11" ht="15" x14ac:dyDescent="0.25">
      <c r="A540" s="1" t="str">
        <f>IF('1.1 Produksi Bersih Padi 2025'!A540="","",'1.1 Produksi Bersih Padi 2025'!A540)</f>
        <v/>
      </c>
      <c r="B540" s="31" t="str">
        <f>IF('1.1 Produksi Bersih Padi 2025'!B540="","",'1.1 Produksi Bersih Padi 2025'!B540)</f>
        <v/>
      </c>
      <c r="C540" s="31" t="str">
        <f>IF('1.1 Produksi Bersih Padi 2025'!C540="","",'1.1 Produksi Bersih Padi 2025'!C540)</f>
        <v/>
      </c>
      <c r="D540" s="1" t="str">
        <f>IF('1.1 Produksi Bersih Padi 2025'!D540="","",'1.1 Produksi Bersih Padi 2025'!D540)</f>
        <v/>
      </c>
      <c r="E540" s="1" t="str">
        <f>IF('1.1 Produksi Bersih Padi 2025'!E540="","",'1.1 Produksi Bersih Padi 2025'!E540)</f>
        <v/>
      </c>
      <c r="F540" s="28" t="str">
        <f>IF(D540="","",VLOOKUP(D540,'[1]0.1 Produksi Pangan &amp; Penduduk'!$D$5:$AE$860,28,0))</f>
        <v/>
      </c>
      <c r="G540" s="29" t="str">
        <f t="shared" si="40"/>
        <v/>
      </c>
      <c r="H540" s="29" t="str">
        <f t="shared" si="41"/>
        <v/>
      </c>
      <c r="I540" s="29" t="str">
        <f t="shared" si="42"/>
        <v/>
      </c>
      <c r="J540" s="29" t="str">
        <f t="shared" si="43"/>
        <v/>
      </c>
      <c r="K540" s="29" t="str">
        <f t="shared" si="44"/>
        <v/>
      </c>
    </row>
    <row r="541" spans="1:11" ht="15" x14ac:dyDescent="0.25">
      <c r="A541" s="1" t="str">
        <f>IF('1.1 Produksi Bersih Padi 2025'!A541="","",'1.1 Produksi Bersih Padi 2025'!A541)</f>
        <v/>
      </c>
      <c r="B541" s="31" t="str">
        <f>IF('1.1 Produksi Bersih Padi 2025'!B541="","",'1.1 Produksi Bersih Padi 2025'!B541)</f>
        <v/>
      </c>
      <c r="C541" s="31" t="str">
        <f>IF('1.1 Produksi Bersih Padi 2025'!C541="","",'1.1 Produksi Bersih Padi 2025'!C541)</f>
        <v/>
      </c>
      <c r="D541" s="1" t="str">
        <f>IF('1.1 Produksi Bersih Padi 2025'!D541="","",'1.1 Produksi Bersih Padi 2025'!D541)</f>
        <v/>
      </c>
      <c r="E541" s="1" t="str">
        <f>IF('1.1 Produksi Bersih Padi 2025'!E541="","",'1.1 Produksi Bersih Padi 2025'!E541)</f>
        <v/>
      </c>
      <c r="F541" s="28" t="str">
        <f>IF(D541="","",VLOOKUP(D541,'[1]0.1 Produksi Pangan &amp; Penduduk'!$D$5:$AE$860,28,0))</f>
        <v/>
      </c>
      <c r="G541" s="29" t="str">
        <f t="shared" si="40"/>
        <v/>
      </c>
      <c r="H541" s="29" t="str">
        <f t="shared" si="41"/>
        <v/>
      </c>
      <c r="I541" s="29" t="str">
        <f t="shared" si="42"/>
        <v/>
      </c>
      <c r="J541" s="29" t="str">
        <f t="shared" si="43"/>
        <v/>
      </c>
      <c r="K541" s="29" t="str">
        <f t="shared" si="44"/>
        <v/>
      </c>
    </row>
    <row r="542" spans="1:11" ht="15" x14ac:dyDescent="0.25">
      <c r="A542" s="1" t="str">
        <f>IF('1.1 Produksi Bersih Padi 2025'!A542="","",'1.1 Produksi Bersih Padi 2025'!A542)</f>
        <v/>
      </c>
      <c r="B542" s="31" t="str">
        <f>IF('1.1 Produksi Bersih Padi 2025'!B542="","",'1.1 Produksi Bersih Padi 2025'!B542)</f>
        <v/>
      </c>
      <c r="C542" s="31" t="str">
        <f>IF('1.1 Produksi Bersih Padi 2025'!C542="","",'1.1 Produksi Bersih Padi 2025'!C542)</f>
        <v/>
      </c>
      <c r="D542" s="1" t="str">
        <f>IF('1.1 Produksi Bersih Padi 2025'!D542="","",'1.1 Produksi Bersih Padi 2025'!D542)</f>
        <v/>
      </c>
      <c r="E542" s="1" t="str">
        <f>IF('1.1 Produksi Bersih Padi 2025'!E542="","",'1.1 Produksi Bersih Padi 2025'!E542)</f>
        <v/>
      </c>
      <c r="F542" s="28" t="str">
        <f>IF(D542="","",VLOOKUP(D542,'[1]0.1 Produksi Pangan &amp; Penduduk'!$D$5:$AE$860,28,0))</f>
        <v/>
      </c>
      <c r="G542" s="29" t="str">
        <f t="shared" si="40"/>
        <v/>
      </c>
      <c r="H542" s="29" t="str">
        <f t="shared" si="41"/>
        <v/>
      </c>
      <c r="I542" s="29" t="str">
        <f t="shared" si="42"/>
        <v/>
      </c>
      <c r="J542" s="29" t="str">
        <f t="shared" si="43"/>
        <v/>
      </c>
      <c r="K542" s="29" t="str">
        <f t="shared" si="44"/>
        <v/>
      </c>
    </row>
    <row r="543" spans="1:11" ht="15" x14ac:dyDescent="0.25">
      <c r="A543" s="1" t="str">
        <f>IF('1.1 Produksi Bersih Padi 2025'!A543="","",'1.1 Produksi Bersih Padi 2025'!A543)</f>
        <v/>
      </c>
      <c r="B543" s="31" t="str">
        <f>IF('1.1 Produksi Bersih Padi 2025'!B543="","",'1.1 Produksi Bersih Padi 2025'!B543)</f>
        <v/>
      </c>
      <c r="C543" s="31" t="str">
        <f>IF('1.1 Produksi Bersih Padi 2025'!C543="","",'1.1 Produksi Bersih Padi 2025'!C543)</f>
        <v/>
      </c>
      <c r="D543" s="1" t="str">
        <f>IF('1.1 Produksi Bersih Padi 2025'!D543="","",'1.1 Produksi Bersih Padi 2025'!D543)</f>
        <v/>
      </c>
      <c r="E543" s="1" t="str">
        <f>IF('1.1 Produksi Bersih Padi 2025'!E543="","",'1.1 Produksi Bersih Padi 2025'!E543)</f>
        <v/>
      </c>
      <c r="F543" s="28" t="str">
        <f>IF(D543="","",VLOOKUP(D543,'[1]0.1 Produksi Pangan &amp; Penduduk'!$D$5:$AE$860,28,0))</f>
        <v/>
      </c>
      <c r="G543" s="29" t="str">
        <f t="shared" si="40"/>
        <v/>
      </c>
      <c r="H543" s="29" t="str">
        <f t="shared" si="41"/>
        <v/>
      </c>
      <c r="I543" s="29" t="str">
        <f t="shared" si="42"/>
        <v/>
      </c>
      <c r="J543" s="29" t="str">
        <f t="shared" si="43"/>
        <v/>
      </c>
      <c r="K543" s="29" t="str">
        <f t="shared" si="44"/>
        <v/>
      </c>
    </row>
    <row r="544" spans="1:11" ht="15" x14ac:dyDescent="0.25">
      <c r="A544" s="1" t="str">
        <f>IF('1.1 Produksi Bersih Padi 2025'!A544="","",'1.1 Produksi Bersih Padi 2025'!A544)</f>
        <v/>
      </c>
      <c r="B544" s="31" t="str">
        <f>IF('1.1 Produksi Bersih Padi 2025'!B544="","",'1.1 Produksi Bersih Padi 2025'!B544)</f>
        <v/>
      </c>
      <c r="C544" s="31" t="str">
        <f>IF('1.1 Produksi Bersih Padi 2025'!C544="","",'1.1 Produksi Bersih Padi 2025'!C544)</f>
        <v/>
      </c>
      <c r="D544" s="1" t="str">
        <f>IF('1.1 Produksi Bersih Padi 2025'!D544="","",'1.1 Produksi Bersih Padi 2025'!D544)</f>
        <v/>
      </c>
      <c r="E544" s="1" t="str">
        <f>IF('1.1 Produksi Bersih Padi 2025'!E544="","",'1.1 Produksi Bersih Padi 2025'!E544)</f>
        <v/>
      </c>
      <c r="F544" s="28" t="str">
        <f>IF(D544="","",VLOOKUP(D544,'[1]0.1 Produksi Pangan &amp; Penduduk'!$D$5:$AE$860,28,0))</f>
        <v/>
      </c>
      <c r="G544" s="29" t="str">
        <f t="shared" si="40"/>
        <v/>
      </c>
      <c r="H544" s="29" t="str">
        <f t="shared" si="41"/>
        <v/>
      </c>
      <c r="I544" s="29" t="str">
        <f t="shared" si="42"/>
        <v/>
      </c>
      <c r="J544" s="29" t="str">
        <f t="shared" si="43"/>
        <v/>
      </c>
      <c r="K544" s="29" t="str">
        <f t="shared" si="44"/>
        <v/>
      </c>
    </row>
    <row r="545" spans="1:11" ht="15" x14ac:dyDescent="0.25">
      <c r="A545" s="1" t="str">
        <f>IF('1.1 Produksi Bersih Padi 2025'!A545="","",'1.1 Produksi Bersih Padi 2025'!A545)</f>
        <v/>
      </c>
      <c r="B545" s="31" t="str">
        <f>IF('1.1 Produksi Bersih Padi 2025'!B545="","",'1.1 Produksi Bersih Padi 2025'!B545)</f>
        <v/>
      </c>
      <c r="C545" s="31" t="str">
        <f>IF('1.1 Produksi Bersih Padi 2025'!C545="","",'1.1 Produksi Bersih Padi 2025'!C545)</f>
        <v/>
      </c>
      <c r="D545" s="1" t="str">
        <f>IF('1.1 Produksi Bersih Padi 2025'!D545="","",'1.1 Produksi Bersih Padi 2025'!D545)</f>
        <v/>
      </c>
      <c r="E545" s="1" t="str">
        <f>IF('1.1 Produksi Bersih Padi 2025'!E545="","",'1.1 Produksi Bersih Padi 2025'!E545)</f>
        <v/>
      </c>
      <c r="F545" s="28" t="str">
        <f>IF(D545="","",VLOOKUP(D545,'[1]0.1 Produksi Pangan &amp; Penduduk'!$D$5:$AE$860,28,0))</f>
        <v/>
      </c>
      <c r="G545" s="29" t="str">
        <f t="shared" si="40"/>
        <v/>
      </c>
      <c r="H545" s="29" t="str">
        <f t="shared" si="41"/>
        <v/>
      </c>
      <c r="I545" s="29" t="str">
        <f t="shared" si="42"/>
        <v/>
      </c>
      <c r="J545" s="29" t="str">
        <f t="shared" si="43"/>
        <v/>
      </c>
      <c r="K545" s="29" t="str">
        <f t="shared" si="44"/>
        <v/>
      </c>
    </row>
    <row r="546" spans="1:11" ht="15" x14ac:dyDescent="0.25">
      <c r="A546" s="1" t="str">
        <f>IF('1.1 Produksi Bersih Padi 2025'!A546="","",'1.1 Produksi Bersih Padi 2025'!A546)</f>
        <v/>
      </c>
      <c r="B546" s="31" t="str">
        <f>IF('1.1 Produksi Bersih Padi 2025'!B546="","",'1.1 Produksi Bersih Padi 2025'!B546)</f>
        <v/>
      </c>
      <c r="C546" s="31" t="str">
        <f>IF('1.1 Produksi Bersih Padi 2025'!C546="","",'1.1 Produksi Bersih Padi 2025'!C546)</f>
        <v/>
      </c>
      <c r="D546" s="1" t="str">
        <f>IF('1.1 Produksi Bersih Padi 2025'!D546="","",'1.1 Produksi Bersih Padi 2025'!D546)</f>
        <v/>
      </c>
      <c r="E546" s="1" t="str">
        <f>IF('1.1 Produksi Bersih Padi 2025'!E546="","",'1.1 Produksi Bersih Padi 2025'!E546)</f>
        <v/>
      </c>
      <c r="F546" s="28" t="str">
        <f>IF(D546="","",VLOOKUP(D546,'[1]0.1 Produksi Pangan &amp; Penduduk'!$D$5:$AE$860,28,0))</f>
        <v/>
      </c>
      <c r="G546" s="29" t="str">
        <f t="shared" si="40"/>
        <v/>
      </c>
      <c r="H546" s="29" t="str">
        <f t="shared" si="41"/>
        <v/>
      </c>
      <c r="I546" s="29" t="str">
        <f t="shared" si="42"/>
        <v/>
      </c>
      <c r="J546" s="29" t="str">
        <f t="shared" si="43"/>
        <v/>
      </c>
      <c r="K546" s="29" t="str">
        <f t="shared" si="44"/>
        <v/>
      </c>
    </row>
    <row r="547" spans="1:11" ht="15" x14ac:dyDescent="0.25">
      <c r="A547" s="1" t="str">
        <f>IF('1.1 Produksi Bersih Padi 2025'!A547="","",'1.1 Produksi Bersih Padi 2025'!A547)</f>
        <v/>
      </c>
      <c r="B547" s="31" t="str">
        <f>IF('1.1 Produksi Bersih Padi 2025'!B547="","",'1.1 Produksi Bersih Padi 2025'!B547)</f>
        <v/>
      </c>
      <c r="C547" s="31" t="str">
        <f>IF('1.1 Produksi Bersih Padi 2025'!C547="","",'1.1 Produksi Bersih Padi 2025'!C547)</f>
        <v/>
      </c>
      <c r="D547" s="1" t="str">
        <f>IF('1.1 Produksi Bersih Padi 2025'!D547="","",'1.1 Produksi Bersih Padi 2025'!D547)</f>
        <v/>
      </c>
      <c r="E547" s="1" t="str">
        <f>IF('1.1 Produksi Bersih Padi 2025'!E547="","",'1.1 Produksi Bersih Padi 2025'!E547)</f>
        <v/>
      </c>
      <c r="F547" s="28" t="str">
        <f>IF(D547="","",VLOOKUP(D547,'[1]0.1 Produksi Pangan &amp; Penduduk'!$D$5:$AE$860,28,0))</f>
        <v/>
      </c>
      <c r="G547" s="29" t="str">
        <f t="shared" si="40"/>
        <v/>
      </c>
      <c r="H547" s="29" t="str">
        <f t="shared" si="41"/>
        <v/>
      </c>
      <c r="I547" s="29" t="str">
        <f t="shared" si="42"/>
        <v/>
      </c>
      <c r="J547" s="29" t="str">
        <f t="shared" si="43"/>
        <v/>
      </c>
      <c r="K547" s="29" t="str">
        <f t="shared" si="44"/>
        <v/>
      </c>
    </row>
    <row r="548" spans="1:11" ht="15" x14ac:dyDescent="0.25">
      <c r="A548" s="1" t="str">
        <f>IF('1.1 Produksi Bersih Padi 2025'!A548="","",'1.1 Produksi Bersih Padi 2025'!A548)</f>
        <v/>
      </c>
      <c r="B548" s="31" t="str">
        <f>IF('1.1 Produksi Bersih Padi 2025'!B548="","",'1.1 Produksi Bersih Padi 2025'!B548)</f>
        <v/>
      </c>
      <c r="C548" s="31" t="str">
        <f>IF('1.1 Produksi Bersih Padi 2025'!C548="","",'1.1 Produksi Bersih Padi 2025'!C548)</f>
        <v/>
      </c>
      <c r="D548" s="1" t="str">
        <f>IF('1.1 Produksi Bersih Padi 2025'!D548="","",'1.1 Produksi Bersih Padi 2025'!D548)</f>
        <v/>
      </c>
      <c r="E548" s="1" t="str">
        <f>IF('1.1 Produksi Bersih Padi 2025'!E548="","",'1.1 Produksi Bersih Padi 2025'!E548)</f>
        <v/>
      </c>
      <c r="F548" s="28" t="str">
        <f>IF(D548="","",VLOOKUP(D548,'[1]0.1 Produksi Pangan &amp; Penduduk'!$D$5:$AE$860,28,0))</f>
        <v/>
      </c>
      <c r="G548" s="29" t="str">
        <f t="shared" si="40"/>
        <v/>
      </c>
      <c r="H548" s="29" t="str">
        <f t="shared" si="41"/>
        <v/>
      </c>
      <c r="I548" s="29" t="str">
        <f t="shared" si="42"/>
        <v/>
      </c>
      <c r="J548" s="29" t="str">
        <f t="shared" si="43"/>
        <v/>
      </c>
      <c r="K548" s="29" t="str">
        <f t="shared" si="44"/>
        <v/>
      </c>
    </row>
    <row r="549" spans="1:11" ht="15" x14ac:dyDescent="0.25">
      <c r="A549" s="1" t="str">
        <f>IF('1.1 Produksi Bersih Padi 2025'!A549="","",'1.1 Produksi Bersih Padi 2025'!A549)</f>
        <v/>
      </c>
      <c r="B549" s="31" t="str">
        <f>IF('1.1 Produksi Bersih Padi 2025'!B549="","",'1.1 Produksi Bersih Padi 2025'!B549)</f>
        <v/>
      </c>
      <c r="C549" s="31" t="str">
        <f>IF('1.1 Produksi Bersih Padi 2025'!C549="","",'1.1 Produksi Bersih Padi 2025'!C549)</f>
        <v/>
      </c>
      <c r="D549" s="1" t="str">
        <f>IF('1.1 Produksi Bersih Padi 2025'!D549="","",'1.1 Produksi Bersih Padi 2025'!D549)</f>
        <v/>
      </c>
      <c r="E549" s="1" t="str">
        <f>IF('1.1 Produksi Bersih Padi 2025'!E549="","",'1.1 Produksi Bersih Padi 2025'!E549)</f>
        <v/>
      </c>
      <c r="F549" s="28" t="str">
        <f>IF(D549="","",VLOOKUP(D549,'[1]0.1 Produksi Pangan &amp; Penduduk'!$D$5:$AE$860,28,0))</f>
        <v/>
      </c>
      <c r="G549" s="29" t="str">
        <f t="shared" si="40"/>
        <v/>
      </c>
      <c r="H549" s="29" t="str">
        <f t="shared" si="41"/>
        <v/>
      </c>
      <c r="I549" s="29" t="str">
        <f t="shared" si="42"/>
        <v/>
      </c>
      <c r="J549" s="29" t="str">
        <f t="shared" si="43"/>
        <v/>
      </c>
      <c r="K549" s="29" t="str">
        <f t="shared" si="44"/>
        <v/>
      </c>
    </row>
    <row r="550" spans="1:11" ht="15" x14ac:dyDescent="0.25">
      <c r="A550" s="1" t="str">
        <f>IF('1.1 Produksi Bersih Padi 2025'!A550="","",'1.1 Produksi Bersih Padi 2025'!A550)</f>
        <v/>
      </c>
      <c r="B550" s="31" t="str">
        <f>IF('1.1 Produksi Bersih Padi 2025'!B550="","",'1.1 Produksi Bersih Padi 2025'!B550)</f>
        <v/>
      </c>
      <c r="C550" s="31" t="str">
        <f>IF('1.1 Produksi Bersih Padi 2025'!C550="","",'1.1 Produksi Bersih Padi 2025'!C550)</f>
        <v/>
      </c>
      <c r="D550" s="1" t="str">
        <f>IF('1.1 Produksi Bersih Padi 2025'!D550="","",'1.1 Produksi Bersih Padi 2025'!D550)</f>
        <v/>
      </c>
      <c r="E550" s="1" t="str">
        <f>IF('1.1 Produksi Bersih Padi 2025'!E550="","",'1.1 Produksi Bersih Padi 2025'!E550)</f>
        <v/>
      </c>
      <c r="F550" s="28" t="str">
        <f>IF(D550="","",VLOOKUP(D550,'[1]0.1 Produksi Pangan &amp; Penduduk'!$D$5:$AE$860,28,0))</f>
        <v/>
      </c>
      <c r="G550" s="29" t="str">
        <f t="shared" si="40"/>
        <v/>
      </c>
      <c r="H550" s="29" t="str">
        <f t="shared" si="41"/>
        <v/>
      </c>
      <c r="I550" s="29" t="str">
        <f t="shared" si="42"/>
        <v/>
      </c>
      <c r="J550" s="29" t="str">
        <f t="shared" si="43"/>
        <v/>
      </c>
      <c r="K550" s="29" t="str">
        <f t="shared" si="44"/>
        <v/>
      </c>
    </row>
    <row r="551" spans="1:11" ht="15" x14ac:dyDescent="0.25">
      <c r="A551" s="1" t="str">
        <f>IF('1.1 Produksi Bersih Padi 2025'!A551="","",'1.1 Produksi Bersih Padi 2025'!A551)</f>
        <v/>
      </c>
      <c r="B551" s="31" t="str">
        <f>IF('1.1 Produksi Bersih Padi 2025'!B551="","",'1.1 Produksi Bersih Padi 2025'!B551)</f>
        <v/>
      </c>
      <c r="C551" s="31" t="str">
        <f>IF('1.1 Produksi Bersih Padi 2025'!C551="","",'1.1 Produksi Bersih Padi 2025'!C551)</f>
        <v/>
      </c>
      <c r="D551" s="1" t="str">
        <f>IF('1.1 Produksi Bersih Padi 2025'!D551="","",'1.1 Produksi Bersih Padi 2025'!D551)</f>
        <v/>
      </c>
      <c r="E551" s="1" t="str">
        <f>IF('1.1 Produksi Bersih Padi 2025'!E551="","",'1.1 Produksi Bersih Padi 2025'!E551)</f>
        <v/>
      </c>
      <c r="F551" s="28" t="str">
        <f>IF(D551="","",VLOOKUP(D551,'[1]0.1 Produksi Pangan &amp; Penduduk'!$D$5:$AE$860,28,0))</f>
        <v/>
      </c>
      <c r="G551" s="29" t="str">
        <f t="shared" si="40"/>
        <v/>
      </c>
      <c r="H551" s="29" t="str">
        <f t="shared" si="41"/>
        <v/>
      </c>
      <c r="I551" s="29" t="str">
        <f t="shared" si="42"/>
        <v/>
      </c>
      <c r="J551" s="29" t="str">
        <f t="shared" si="43"/>
        <v/>
      </c>
      <c r="K551" s="29" t="str">
        <f t="shared" si="44"/>
        <v/>
      </c>
    </row>
    <row r="552" spans="1:11" ht="15" x14ac:dyDescent="0.25">
      <c r="A552" s="1" t="str">
        <f>IF('1.1 Produksi Bersih Padi 2025'!A552="","",'1.1 Produksi Bersih Padi 2025'!A552)</f>
        <v/>
      </c>
      <c r="B552" s="31" t="str">
        <f>IF('1.1 Produksi Bersih Padi 2025'!B552="","",'1.1 Produksi Bersih Padi 2025'!B552)</f>
        <v/>
      </c>
      <c r="C552" s="31" t="str">
        <f>IF('1.1 Produksi Bersih Padi 2025'!C552="","",'1.1 Produksi Bersih Padi 2025'!C552)</f>
        <v/>
      </c>
      <c r="D552" s="1" t="str">
        <f>IF('1.1 Produksi Bersih Padi 2025'!D552="","",'1.1 Produksi Bersih Padi 2025'!D552)</f>
        <v/>
      </c>
      <c r="E552" s="1" t="str">
        <f>IF('1.1 Produksi Bersih Padi 2025'!E552="","",'1.1 Produksi Bersih Padi 2025'!E552)</f>
        <v/>
      </c>
      <c r="F552" s="28" t="str">
        <f>IF(D552="","",VLOOKUP(D552,'[1]0.1 Produksi Pangan &amp; Penduduk'!$D$5:$AE$860,28,0))</f>
        <v/>
      </c>
      <c r="G552" s="29" t="str">
        <f t="shared" si="40"/>
        <v/>
      </c>
      <c r="H552" s="29" t="str">
        <f t="shared" si="41"/>
        <v/>
      </c>
      <c r="I552" s="29" t="str">
        <f t="shared" si="42"/>
        <v/>
      </c>
      <c r="J552" s="29" t="str">
        <f t="shared" si="43"/>
        <v/>
      </c>
      <c r="K552" s="29" t="str">
        <f t="shared" si="44"/>
        <v/>
      </c>
    </row>
    <row r="553" spans="1:11" ht="15" x14ac:dyDescent="0.25">
      <c r="A553" s="1" t="str">
        <f>IF('1.1 Produksi Bersih Padi 2025'!A553="","",'1.1 Produksi Bersih Padi 2025'!A553)</f>
        <v/>
      </c>
      <c r="B553" s="31" t="str">
        <f>IF('1.1 Produksi Bersih Padi 2025'!B553="","",'1.1 Produksi Bersih Padi 2025'!B553)</f>
        <v/>
      </c>
      <c r="C553" s="31" t="str">
        <f>IF('1.1 Produksi Bersih Padi 2025'!C553="","",'1.1 Produksi Bersih Padi 2025'!C553)</f>
        <v/>
      </c>
      <c r="D553" s="1" t="str">
        <f>IF('1.1 Produksi Bersih Padi 2025'!D553="","",'1.1 Produksi Bersih Padi 2025'!D553)</f>
        <v/>
      </c>
      <c r="E553" s="1" t="str">
        <f>IF('1.1 Produksi Bersih Padi 2025'!E553="","",'1.1 Produksi Bersih Padi 2025'!E553)</f>
        <v/>
      </c>
      <c r="F553" s="28" t="str">
        <f>IF(D553="","",VLOOKUP(D553,'[1]0.1 Produksi Pangan &amp; Penduduk'!$D$5:$AE$860,28,0))</f>
        <v/>
      </c>
      <c r="G553" s="29" t="str">
        <f t="shared" si="40"/>
        <v/>
      </c>
      <c r="H553" s="29" t="str">
        <f t="shared" si="41"/>
        <v/>
      </c>
      <c r="I553" s="29" t="str">
        <f t="shared" si="42"/>
        <v/>
      </c>
      <c r="J553" s="29" t="str">
        <f t="shared" si="43"/>
        <v/>
      </c>
      <c r="K553" s="29" t="str">
        <f t="shared" si="44"/>
        <v/>
      </c>
    </row>
    <row r="554" spans="1:11" ht="15" x14ac:dyDescent="0.25">
      <c r="A554" s="1" t="str">
        <f>IF('1.1 Produksi Bersih Padi 2025'!A554="","",'1.1 Produksi Bersih Padi 2025'!A554)</f>
        <v/>
      </c>
      <c r="B554" s="31" t="str">
        <f>IF('1.1 Produksi Bersih Padi 2025'!B554="","",'1.1 Produksi Bersih Padi 2025'!B554)</f>
        <v/>
      </c>
      <c r="C554" s="31" t="str">
        <f>IF('1.1 Produksi Bersih Padi 2025'!C554="","",'1.1 Produksi Bersih Padi 2025'!C554)</f>
        <v/>
      </c>
      <c r="D554" s="1" t="str">
        <f>IF('1.1 Produksi Bersih Padi 2025'!D554="","",'1.1 Produksi Bersih Padi 2025'!D554)</f>
        <v/>
      </c>
      <c r="E554" s="1" t="str">
        <f>IF('1.1 Produksi Bersih Padi 2025'!E554="","",'1.1 Produksi Bersih Padi 2025'!E554)</f>
        <v/>
      </c>
      <c r="F554" s="28" t="str">
        <f>IF(D554="","",VLOOKUP(D554,'[1]0.1 Produksi Pangan &amp; Penduduk'!$D$5:$AE$860,28,0))</f>
        <v/>
      </c>
      <c r="G554" s="29" t="str">
        <f t="shared" si="40"/>
        <v/>
      </c>
      <c r="H554" s="29" t="str">
        <f t="shared" si="41"/>
        <v/>
      </c>
      <c r="I554" s="29" t="str">
        <f t="shared" si="42"/>
        <v/>
      </c>
      <c r="J554" s="29" t="str">
        <f t="shared" si="43"/>
        <v/>
      </c>
      <c r="K554" s="29" t="str">
        <f t="shared" si="44"/>
        <v/>
      </c>
    </row>
    <row r="555" spans="1:11" ht="15" x14ac:dyDescent="0.25">
      <c r="A555" s="1" t="str">
        <f>IF('1.1 Produksi Bersih Padi 2025'!A555="","",'1.1 Produksi Bersih Padi 2025'!A555)</f>
        <v/>
      </c>
      <c r="B555" s="31" t="str">
        <f>IF('1.1 Produksi Bersih Padi 2025'!B555="","",'1.1 Produksi Bersih Padi 2025'!B555)</f>
        <v/>
      </c>
      <c r="C555" s="31" t="str">
        <f>IF('1.1 Produksi Bersih Padi 2025'!C555="","",'1.1 Produksi Bersih Padi 2025'!C555)</f>
        <v/>
      </c>
      <c r="D555" s="1" t="str">
        <f>IF('1.1 Produksi Bersih Padi 2025'!D555="","",'1.1 Produksi Bersih Padi 2025'!D555)</f>
        <v/>
      </c>
      <c r="E555" s="1" t="str">
        <f>IF('1.1 Produksi Bersih Padi 2025'!E555="","",'1.1 Produksi Bersih Padi 2025'!E555)</f>
        <v/>
      </c>
      <c r="F555" s="28" t="str">
        <f>IF(D555="","",VLOOKUP(D555,'[1]0.1 Produksi Pangan &amp; Penduduk'!$D$5:$AE$860,28,0))</f>
        <v/>
      </c>
      <c r="G555" s="29" t="str">
        <f t="shared" si="40"/>
        <v/>
      </c>
      <c r="H555" s="29" t="str">
        <f t="shared" si="41"/>
        <v/>
      </c>
      <c r="I555" s="29" t="str">
        <f t="shared" si="42"/>
        <v/>
      </c>
      <c r="J555" s="29" t="str">
        <f t="shared" si="43"/>
        <v/>
      </c>
      <c r="K555" s="29" t="str">
        <f t="shared" si="44"/>
        <v/>
      </c>
    </row>
    <row r="556" spans="1:11" ht="15" x14ac:dyDescent="0.25">
      <c r="A556" s="1" t="str">
        <f>IF('1.1 Produksi Bersih Padi 2025'!A556="","",'1.1 Produksi Bersih Padi 2025'!A556)</f>
        <v/>
      </c>
      <c r="B556" s="31" t="str">
        <f>IF('1.1 Produksi Bersih Padi 2025'!B556="","",'1.1 Produksi Bersih Padi 2025'!B556)</f>
        <v/>
      </c>
      <c r="C556" s="31" t="str">
        <f>IF('1.1 Produksi Bersih Padi 2025'!C556="","",'1.1 Produksi Bersih Padi 2025'!C556)</f>
        <v/>
      </c>
      <c r="D556" s="1" t="str">
        <f>IF('1.1 Produksi Bersih Padi 2025'!D556="","",'1.1 Produksi Bersih Padi 2025'!D556)</f>
        <v/>
      </c>
      <c r="E556" s="1" t="str">
        <f>IF('1.1 Produksi Bersih Padi 2025'!E556="","",'1.1 Produksi Bersih Padi 2025'!E556)</f>
        <v/>
      </c>
      <c r="F556" s="28" t="str">
        <f>IF(D556="","",VLOOKUP(D556,'[1]0.1 Produksi Pangan &amp; Penduduk'!$D$5:$AE$860,28,0))</f>
        <v/>
      </c>
      <c r="G556" s="29" t="str">
        <f t="shared" si="40"/>
        <v/>
      </c>
      <c r="H556" s="29" t="str">
        <f t="shared" si="41"/>
        <v/>
      </c>
      <c r="I556" s="29" t="str">
        <f t="shared" si="42"/>
        <v/>
      </c>
      <c r="J556" s="29" t="str">
        <f t="shared" si="43"/>
        <v/>
      </c>
      <c r="K556" s="29" t="str">
        <f t="shared" si="44"/>
        <v/>
      </c>
    </row>
    <row r="557" spans="1:11" ht="15" x14ac:dyDescent="0.25">
      <c r="A557" s="1" t="str">
        <f>IF('1.1 Produksi Bersih Padi 2025'!A557="","",'1.1 Produksi Bersih Padi 2025'!A557)</f>
        <v/>
      </c>
      <c r="B557" s="31" t="str">
        <f>IF('1.1 Produksi Bersih Padi 2025'!B557="","",'1.1 Produksi Bersih Padi 2025'!B557)</f>
        <v/>
      </c>
      <c r="C557" s="31" t="str">
        <f>IF('1.1 Produksi Bersih Padi 2025'!C557="","",'1.1 Produksi Bersih Padi 2025'!C557)</f>
        <v/>
      </c>
      <c r="D557" s="1" t="str">
        <f>IF('1.1 Produksi Bersih Padi 2025'!D557="","",'1.1 Produksi Bersih Padi 2025'!D557)</f>
        <v/>
      </c>
      <c r="E557" s="1" t="str">
        <f>IF('1.1 Produksi Bersih Padi 2025'!E557="","",'1.1 Produksi Bersih Padi 2025'!E557)</f>
        <v/>
      </c>
      <c r="F557" s="28" t="str">
        <f>IF(D557="","",VLOOKUP(D557,'[1]0.1 Produksi Pangan &amp; Penduduk'!$D$5:$AE$860,28,0))</f>
        <v/>
      </c>
      <c r="G557" s="29" t="str">
        <f t="shared" si="40"/>
        <v/>
      </c>
      <c r="H557" s="29" t="str">
        <f t="shared" si="41"/>
        <v/>
      </c>
      <c r="I557" s="29" t="str">
        <f t="shared" si="42"/>
        <v/>
      </c>
      <c r="J557" s="29" t="str">
        <f t="shared" si="43"/>
        <v/>
      </c>
      <c r="K557" s="29" t="str">
        <f t="shared" si="44"/>
        <v/>
      </c>
    </row>
    <row r="558" spans="1:11" ht="15" x14ac:dyDescent="0.25">
      <c r="A558" s="1" t="str">
        <f>IF('1.1 Produksi Bersih Padi 2025'!A558="","",'1.1 Produksi Bersih Padi 2025'!A558)</f>
        <v/>
      </c>
      <c r="B558" s="31" t="str">
        <f>IF('1.1 Produksi Bersih Padi 2025'!B558="","",'1.1 Produksi Bersih Padi 2025'!B558)</f>
        <v/>
      </c>
      <c r="C558" s="31" t="str">
        <f>IF('1.1 Produksi Bersih Padi 2025'!C558="","",'1.1 Produksi Bersih Padi 2025'!C558)</f>
        <v/>
      </c>
      <c r="D558" s="1" t="str">
        <f>IF('1.1 Produksi Bersih Padi 2025'!D558="","",'1.1 Produksi Bersih Padi 2025'!D558)</f>
        <v/>
      </c>
      <c r="E558" s="1" t="str">
        <f>IF('1.1 Produksi Bersih Padi 2025'!E558="","",'1.1 Produksi Bersih Padi 2025'!E558)</f>
        <v/>
      </c>
      <c r="F558" s="28" t="str">
        <f>IF(D558="","",VLOOKUP(D558,'[1]0.1 Produksi Pangan &amp; Penduduk'!$D$5:$AE$860,28,0))</f>
        <v/>
      </c>
      <c r="G558" s="29" t="str">
        <f t="shared" si="40"/>
        <v/>
      </c>
      <c r="H558" s="29" t="str">
        <f t="shared" si="41"/>
        <v/>
      </c>
      <c r="I558" s="29" t="str">
        <f t="shared" si="42"/>
        <v/>
      </c>
      <c r="J558" s="29" t="str">
        <f t="shared" si="43"/>
        <v/>
      </c>
      <c r="K558" s="29" t="str">
        <f t="shared" si="44"/>
        <v/>
      </c>
    </row>
    <row r="559" spans="1:11" ht="15" x14ac:dyDescent="0.25">
      <c r="A559" s="1" t="str">
        <f>IF('1.1 Produksi Bersih Padi 2025'!A559="","",'1.1 Produksi Bersih Padi 2025'!A559)</f>
        <v/>
      </c>
      <c r="B559" s="31" t="str">
        <f>IF('1.1 Produksi Bersih Padi 2025'!B559="","",'1.1 Produksi Bersih Padi 2025'!B559)</f>
        <v/>
      </c>
      <c r="C559" s="31" t="str">
        <f>IF('1.1 Produksi Bersih Padi 2025'!C559="","",'1.1 Produksi Bersih Padi 2025'!C559)</f>
        <v/>
      </c>
      <c r="D559" s="1" t="str">
        <f>IF('1.1 Produksi Bersih Padi 2025'!D559="","",'1.1 Produksi Bersih Padi 2025'!D559)</f>
        <v/>
      </c>
      <c r="E559" s="1" t="str">
        <f>IF('1.1 Produksi Bersih Padi 2025'!E559="","",'1.1 Produksi Bersih Padi 2025'!E559)</f>
        <v/>
      </c>
      <c r="F559" s="28" t="str">
        <f>IF(D559="","",VLOOKUP(D559,'[1]0.1 Produksi Pangan &amp; Penduduk'!$D$5:$AE$860,28,0))</f>
        <v/>
      </c>
      <c r="G559" s="29" t="str">
        <f t="shared" si="40"/>
        <v/>
      </c>
      <c r="H559" s="29" t="str">
        <f t="shared" si="41"/>
        <v/>
      </c>
      <c r="I559" s="29" t="str">
        <f t="shared" si="42"/>
        <v/>
      </c>
      <c r="J559" s="29" t="str">
        <f t="shared" si="43"/>
        <v/>
      </c>
      <c r="K559" s="29" t="str">
        <f t="shared" si="44"/>
        <v/>
      </c>
    </row>
    <row r="560" spans="1:11" ht="15" x14ac:dyDescent="0.25">
      <c r="A560" s="1" t="str">
        <f>IF('1.1 Produksi Bersih Padi 2025'!A560="","",'1.1 Produksi Bersih Padi 2025'!A560)</f>
        <v/>
      </c>
      <c r="B560" s="31" t="str">
        <f>IF('1.1 Produksi Bersih Padi 2025'!B560="","",'1.1 Produksi Bersih Padi 2025'!B560)</f>
        <v/>
      </c>
      <c r="C560" s="31" t="str">
        <f>IF('1.1 Produksi Bersih Padi 2025'!C560="","",'1.1 Produksi Bersih Padi 2025'!C560)</f>
        <v/>
      </c>
      <c r="D560" s="1" t="str">
        <f>IF('1.1 Produksi Bersih Padi 2025'!D560="","",'1.1 Produksi Bersih Padi 2025'!D560)</f>
        <v/>
      </c>
      <c r="E560" s="1" t="str">
        <f>IF('1.1 Produksi Bersih Padi 2025'!E560="","",'1.1 Produksi Bersih Padi 2025'!E560)</f>
        <v/>
      </c>
      <c r="F560" s="28" t="str">
        <f>IF(D560="","",VLOOKUP(D560,'[1]0.1 Produksi Pangan &amp; Penduduk'!$D$5:$AE$860,28,0))</f>
        <v/>
      </c>
      <c r="G560" s="29" t="str">
        <f t="shared" si="40"/>
        <v/>
      </c>
      <c r="H560" s="29" t="str">
        <f t="shared" si="41"/>
        <v/>
      </c>
      <c r="I560" s="29" t="str">
        <f t="shared" si="42"/>
        <v/>
      </c>
      <c r="J560" s="29" t="str">
        <f t="shared" si="43"/>
        <v/>
      </c>
      <c r="K560" s="29" t="str">
        <f t="shared" si="44"/>
        <v/>
      </c>
    </row>
    <row r="561" spans="1:11" ht="15" x14ac:dyDescent="0.25">
      <c r="A561" s="1" t="str">
        <f>IF('1.1 Produksi Bersih Padi 2025'!A561="","",'1.1 Produksi Bersih Padi 2025'!A561)</f>
        <v/>
      </c>
      <c r="B561" s="31" t="str">
        <f>IF('1.1 Produksi Bersih Padi 2025'!B561="","",'1.1 Produksi Bersih Padi 2025'!B561)</f>
        <v/>
      </c>
      <c r="C561" s="31" t="str">
        <f>IF('1.1 Produksi Bersih Padi 2025'!C561="","",'1.1 Produksi Bersih Padi 2025'!C561)</f>
        <v/>
      </c>
      <c r="D561" s="1" t="str">
        <f>IF('1.1 Produksi Bersih Padi 2025'!D561="","",'1.1 Produksi Bersih Padi 2025'!D561)</f>
        <v/>
      </c>
      <c r="E561" s="1" t="str">
        <f>IF('1.1 Produksi Bersih Padi 2025'!E561="","",'1.1 Produksi Bersih Padi 2025'!E561)</f>
        <v/>
      </c>
      <c r="F561" s="28" t="str">
        <f>IF(D561="","",VLOOKUP(D561,'[1]0.1 Produksi Pangan &amp; Penduduk'!$D$5:$AE$860,28,0))</f>
        <v/>
      </c>
      <c r="G561" s="29" t="str">
        <f t="shared" si="40"/>
        <v/>
      </c>
      <c r="H561" s="29" t="str">
        <f t="shared" si="41"/>
        <v/>
      </c>
      <c r="I561" s="29" t="str">
        <f t="shared" si="42"/>
        <v/>
      </c>
      <c r="J561" s="29" t="str">
        <f t="shared" si="43"/>
        <v/>
      </c>
      <c r="K561" s="29" t="str">
        <f t="shared" si="44"/>
        <v/>
      </c>
    </row>
    <row r="562" spans="1:11" ht="15" x14ac:dyDescent="0.25">
      <c r="A562" s="1" t="str">
        <f>IF('1.1 Produksi Bersih Padi 2025'!A562="","",'1.1 Produksi Bersih Padi 2025'!A562)</f>
        <v/>
      </c>
      <c r="B562" s="31" t="str">
        <f>IF('1.1 Produksi Bersih Padi 2025'!B562="","",'1.1 Produksi Bersih Padi 2025'!B562)</f>
        <v/>
      </c>
      <c r="C562" s="31" t="str">
        <f>IF('1.1 Produksi Bersih Padi 2025'!C562="","",'1.1 Produksi Bersih Padi 2025'!C562)</f>
        <v/>
      </c>
      <c r="D562" s="1" t="str">
        <f>IF('1.1 Produksi Bersih Padi 2025'!D562="","",'1.1 Produksi Bersih Padi 2025'!D562)</f>
        <v/>
      </c>
      <c r="E562" s="1" t="str">
        <f>IF('1.1 Produksi Bersih Padi 2025'!E562="","",'1.1 Produksi Bersih Padi 2025'!E562)</f>
        <v/>
      </c>
      <c r="F562" s="28" t="str">
        <f>IF(D562="","",VLOOKUP(D562,'[1]0.1 Produksi Pangan &amp; Penduduk'!$D$5:$AE$860,28,0))</f>
        <v/>
      </c>
      <c r="G562" s="29" t="str">
        <f t="shared" si="40"/>
        <v/>
      </c>
      <c r="H562" s="29" t="str">
        <f t="shared" si="41"/>
        <v/>
      </c>
      <c r="I562" s="29" t="str">
        <f t="shared" si="42"/>
        <v/>
      </c>
      <c r="J562" s="29" t="str">
        <f t="shared" si="43"/>
        <v/>
      </c>
      <c r="K562" s="29" t="str">
        <f t="shared" si="44"/>
        <v/>
      </c>
    </row>
    <row r="563" spans="1:11" ht="15" x14ac:dyDescent="0.25">
      <c r="A563" s="1" t="str">
        <f>IF('1.1 Produksi Bersih Padi 2025'!A563="","",'1.1 Produksi Bersih Padi 2025'!A563)</f>
        <v/>
      </c>
      <c r="B563" s="31" t="str">
        <f>IF('1.1 Produksi Bersih Padi 2025'!B563="","",'1.1 Produksi Bersih Padi 2025'!B563)</f>
        <v/>
      </c>
      <c r="C563" s="31" t="str">
        <f>IF('1.1 Produksi Bersih Padi 2025'!C563="","",'1.1 Produksi Bersih Padi 2025'!C563)</f>
        <v/>
      </c>
      <c r="D563" s="1" t="str">
        <f>IF('1.1 Produksi Bersih Padi 2025'!D563="","",'1.1 Produksi Bersih Padi 2025'!D563)</f>
        <v/>
      </c>
      <c r="E563" s="1" t="str">
        <f>IF('1.1 Produksi Bersih Padi 2025'!E563="","",'1.1 Produksi Bersih Padi 2025'!E563)</f>
        <v/>
      </c>
      <c r="F563" s="28" t="str">
        <f>IF(D563="","",VLOOKUP(D563,'[1]0.1 Produksi Pangan &amp; Penduduk'!$D$5:$AE$860,28,0))</f>
        <v/>
      </c>
      <c r="G563" s="29" t="str">
        <f t="shared" si="40"/>
        <v/>
      </c>
      <c r="H563" s="29" t="str">
        <f t="shared" si="41"/>
        <v/>
      </c>
      <c r="I563" s="29" t="str">
        <f t="shared" si="42"/>
        <v/>
      </c>
      <c r="J563" s="29" t="str">
        <f t="shared" si="43"/>
        <v/>
      </c>
      <c r="K563" s="29" t="str">
        <f t="shared" si="44"/>
        <v/>
      </c>
    </row>
    <row r="564" spans="1:11" ht="15" x14ac:dyDescent="0.25">
      <c r="A564" s="1" t="str">
        <f>IF('1.1 Produksi Bersih Padi 2025'!A564="","",'1.1 Produksi Bersih Padi 2025'!A564)</f>
        <v/>
      </c>
      <c r="B564" s="31" t="str">
        <f>IF('1.1 Produksi Bersih Padi 2025'!B564="","",'1.1 Produksi Bersih Padi 2025'!B564)</f>
        <v/>
      </c>
      <c r="C564" s="31" t="str">
        <f>IF('1.1 Produksi Bersih Padi 2025'!C564="","",'1.1 Produksi Bersih Padi 2025'!C564)</f>
        <v/>
      </c>
      <c r="D564" s="1" t="str">
        <f>IF('1.1 Produksi Bersih Padi 2025'!D564="","",'1.1 Produksi Bersih Padi 2025'!D564)</f>
        <v/>
      </c>
      <c r="E564" s="1" t="str">
        <f>IF('1.1 Produksi Bersih Padi 2025'!E564="","",'1.1 Produksi Bersih Padi 2025'!E564)</f>
        <v/>
      </c>
      <c r="F564" s="28" t="str">
        <f>IF(D564="","",VLOOKUP(D564,'[1]0.1 Produksi Pangan &amp; Penduduk'!$D$5:$AE$860,28,0))</f>
        <v/>
      </c>
      <c r="G564" s="29" t="str">
        <f t="shared" si="40"/>
        <v/>
      </c>
      <c r="H564" s="29" t="str">
        <f t="shared" si="41"/>
        <v/>
      </c>
      <c r="I564" s="29" t="str">
        <f t="shared" si="42"/>
        <v/>
      </c>
      <c r="J564" s="29" t="str">
        <f t="shared" si="43"/>
        <v/>
      </c>
      <c r="K564" s="29" t="str">
        <f t="shared" si="44"/>
        <v/>
      </c>
    </row>
    <row r="565" spans="1:11" ht="15" x14ac:dyDescent="0.25">
      <c r="A565" s="1" t="str">
        <f>IF('1.1 Produksi Bersih Padi 2025'!A565="","",'1.1 Produksi Bersih Padi 2025'!A565)</f>
        <v/>
      </c>
      <c r="B565" s="31" t="str">
        <f>IF('1.1 Produksi Bersih Padi 2025'!B565="","",'1.1 Produksi Bersih Padi 2025'!B565)</f>
        <v/>
      </c>
      <c r="C565" s="31" t="str">
        <f>IF('1.1 Produksi Bersih Padi 2025'!C565="","",'1.1 Produksi Bersih Padi 2025'!C565)</f>
        <v/>
      </c>
      <c r="D565" s="1" t="str">
        <f>IF('1.1 Produksi Bersih Padi 2025'!D565="","",'1.1 Produksi Bersih Padi 2025'!D565)</f>
        <v/>
      </c>
      <c r="E565" s="1" t="str">
        <f>IF('1.1 Produksi Bersih Padi 2025'!E565="","",'1.1 Produksi Bersih Padi 2025'!E565)</f>
        <v/>
      </c>
      <c r="F565" s="28" t="str">
        <f>IF(D565="","",VLOOKUP(D565,'[1]0.1 Produksi Pangan &amp; Penduduk'!$D$5:$AE$860,28,0))</f>
        <v/>
      </c>
      <c r="G565" s="29" t="str">
        <f t="shared" si="40"/>
        <v/>
      </c>
      <c r="H565" s="29" t="str">
        <f t="shared" si="41"/>
        <v/>
      </c>
      <c r="I565" s="29" t="str">
        <f t="shared" si="42"/>
        <v/>
      </c>
      <c r="J565" s="29" t="str">
        <f t="shared" si="43"/>
        <v/>
      </c>
      <c r="K565" s="29" t="str">
        <f t="shared" si="44"/>
        <v/>
      </c>
    </row>
    <row r="566" spans="1:11" ht="15" x14ac:dyDescent="0.25">
      <c r="A566" s="1" t="str">
        <f>IF('1.1 Produksi Bersih Padi 2025'!A566="","",'1.1 Produksi Bersih Padi 2025'!A566)</f>
        <v/>
      </c>
      <c r="B566" s="31" t="str">
        <f>IF('1.1 Produksi Bersih Padi 2025'!B566="","",'1.1 Produksi Bersih Padi 2025'!B566)</f>
        <v/>
      </c>
      <c r="C566" s="31" t="str">
        <f>IF('1.1 Produksi Bersih Padi 2025'!C566="","",'1.1 Produksi Bersih Padi 2025'!C566)</f>
        <v/>
      </c>
      <c r="D566" s="1" t="str">
        <f>IF('1.1 Produksi Bersih Padi 2025'!D566="","",'1.1 Produksi Bersih Padi 2025'!D566)</f>
        <v/>
      </c>
      <c r="E566" s="1" t="str">
        <f>IF('1.1 Produksi Bersih Padi 2025'!E566="","",'1.1 Produksi Bersih Padi 2025'!E566)</f>
        <v/>
      </c>
      <c r="F566" s="28" t="str">
        <f>IF(D566="","",VLOOKUP(D566,'[1]0.1 Produksi Pangan &amp; Penduduk'!$D$5:$AE$860,28,0))</f>
        <v/>
      </c>
      <c r="G566" s="29" t="str">
        <f t="shared" si="40"/>
        <v/>
      </c>
      <c r="H566" s="29" t="str">
        <f t="shared" si="41"/>
        <v/>
      </c>
      <c r="I566" s="29" t="str">
        <f t="shared" si="42"/>
        <v/>
      </c>
      <c r="J566" s="29" t="str">
        <f t="shared" si="43"/>
        <v/>
      </c>
      <c r="K566" s="29" t="str">
        <f t="shared" si="44"/>
        <v/>
      </c>
    </row>
    <row r="567" spans="1:11" ht="15" x14ac:dyDescent="0.25">
      <c r="A567" s="1" t="str">
        <f>IF('1.1 Produksi Bersih Padi 2025'!A567="","",'1.1 Produksi Bersih Padi 2025'!A567)</f>
        <v/>
      </c>
      <c r="B567" s="31" t="str">
        <f>IF('1.1 Produksi Bersih Padi 2025'!B567="","",'1.1 Produksi Bersih Padi 2025'!B567)</f>
        <v/>
      </c>
      <c r="C567" s="31" t="str">
        <f>IF('1.1 Produksi Bersih Padi 2025'!C567="","",'1.1 Produksi Bersih Padi 2025'!C567)</f>
        <v/>
      </c>
      <c r="D567" s="1" t="str">
        <f>IF('1.1 Produksi Bersih Padi 2025'!D567="","",'1.1 Produksi Bersih Padi 2025'!D567)</f>
        <v/>
      </c>
      <c r="E567" s="1" t="str">
        <f>IF('1.1 Produksi Bersih Padi 2025'!E567="","",'1.1 Produksi Bersih Padi 2025'!E567)</f>
        <v/>
      </c>
      <c r="F567" s="28" t="str">
        <f>IF(D567="","",VLOOKUP(D567,'[1]0.1 Produksi Pangan &amp; Penduduk'!$D$5:$AE$860,28,0))</f>
        <v/>
      </c>
      <c r="G567" s="29" t="str">
        <f t="shared" si="40"/>
        <v/>
      </c>
      <c r="H567" s="29" t="str">
        <f t="shared" si="41"/>
        <v/>
      </c>
      <c r="I567" s="29" t="str">
        <f t="shared" si="42"/>
        <v/>
      </c>
      <c r="J567" s="29" t="str">
        <f t="shared" si="43"/>
        <v/>
      </c>
      <c r="K567" s="29" t="str">
        <f t="shared" si="44"/>
        <v/>
      </c>
    </row>
    <row r="568" spans="1:11" ht="15" x14ac:dyDescent="0.25">
      <c r="A568" s="1" t="str">
        <f>IF('1.1 Produksi Bersih Padi 2025'!A568="","",'1.1 Produksi Bersih Padi 2025'!A568)</f>
        <v/>
      </c>
      <c r="B568" s="31" t="str">
        <f>IF('1.1 Produksi Bersih Padi 2025'!B568="","",'1.1 Produksi Bersih Padi 2025'!B568)</f>
        <v/>
      </c>
      <c r="C568" s="31" t="str">
        <f>IF('1.1 Produksi Bersih Padi 2025'!C568="","",'1.1 Produksi Bersih Padi 2025'!C568)</f>
        <v/>
      </c>
      <c r="D568" s="1" t="str">
        <f>IF('1.1 Produksi Bersih Padi 2025'!D568="","",'1.1 Produksi Bersih Padi 2025'!D568)</f>
        <v/>
      </c>
      <c r="E568" s="1" t="str">
        <f>IF('1.1 Produksi Bersih Padi 2025'!E568="","",'1.1 Produksi Bersih Padi 2025'!E568)</f>
        <v/>
      </c>
      <c r="F568" s="28" t="str">
        <f>IF(D568="","",VLOOKUP(D568,'[1]0.1 Produksi Pangan &amp; Penduduk'!$D$5:$AE$860,28,0))</f>
        <v/>
      </c>
      <c r="G568" s="29" t="str">
        <f t="shared" si="40"/>
        <v/>
      </c>
      <c r="H568" s="29" t="str">
        <f t="shared" si="41"/>
        <v/>
      </c>
      <c r="I568" s="29" t="str">
        <f t="shared" si="42"/>
        <v/>
      </c>
      <c r="J568" s="29" t="str">
        <f t="shared" si="43"/>
        <v/>
      </c>
      <c r="K568" s="29" t="str">
        <f t="shared" si="44"/>
        <v/>
      </c>
    </row>
    <row r="569" spans="1:11" ht="15" x14ac:dyDescent="0.25">
      <c r="A569" s="1" t="str">
        <f>IF('1.1 Produksi Bersih Padi 2025'!A569="","",'1.1 Produksi Bersih Padi 2025'!A569)</f>
        <v/>
      </c>
      <c r="B569" s="31" t="str">
        <f>IF('1.1 Produksi Bersih Padi 2025'!B569="","",'1.1 Produksi Bersih Padi 2025'!B569)</f>
        <v/>
      </c>
      <c r="C569" s="31" t="str">
        <f>IF('1.1 Produksi Bersih Padi 2025'!C569="","",'1.1 Produksi Bersih Padi 2025'!C569)</f>
        <v/>
      </c>
      <c r="D569" s="1" t="str">
        <f>IF('1.1 Produksi Bersih Padi 2025'!D569="","",'1.1 Produksi Bersih Padi 2025'!D569)</f>
        <v/>
      </c>
      <c r="E569" s="1" t="str">
        <f>IF('1.1 Produksi Bersih Padi 2025'!E569="","",'1.1 Produksi Bersih Padi 2025'!E569)</f>
        <v/>
      </c>
      <c r="F569" s="28" t="str">
        <f>IF(D569="","",VLOOKUP(D569,'[1]0.1 Produksi Pangan &amp; Penduduk'!$D$5:$AE$860,28,0))</f>
        <v/>
      </c>
      <c r="G569" s="29" t="str">
        <f t="shared" si="40"/>
        <v/>
      </c>
      <c r="H569" s="29" t="str">
        <f t="shared" si="41"/>
        <v/>
      </c>
      <c r="I569" s="29" t="str">
        <f t="shared" si="42"/>
        <v/>
      </c>
      <c r="J569" s="29" t="str">
        <f t="shared" si="43"/>
        <v/>
      </c>
      <c r="K569" s="29" t="str">
        <f t="shared" si="44"/>
        <v/>
      </c>
    </row>
    <row r="570" spans="1:11" ht="15" x14ac:dyDescent="0.25">
      <c r="A570" s="1" t="str">
        <f>IF('1.1 Produksi Bersih Padi 2025'!A570="","",'1.1 Produksi Bersih Padi 2025'!A570)</f>
        <v/>
      </c>
      <c r="B570" s="31" t="str">
        <f>IF('1.1 Produksi Bersih Padi 2025'!B570="","",'1.1 Produksi Bersih Padi 2025'!B570)</f>
        <v/>
      </c>
      <c r="C570" s="31" t="str">
        <f>IF('1.1 Produksi Bersih Padi 2025'!C570="","",'1.1 Produksi Bersih Padi 2025'!C570)</f>
        <v/>
      </c>
      <c r="D570" s="1" t="str">
        <f>IF('1.1 Produksi Bersih Padi 2025'!D570="","",'1.1 Produksi Bersih Padi 2025'!D570)</f>
        <v/>
      </c>
      <c r="E570" s="1" t="str">
        <f>IF('1.1 Produksi Bersih Padi 2025'!E570="","",'1.1 Produksi Bersih Padi 2025'!E570)</f>
        <v/>
      </c>
      <c r="F570" s="28" t="str">
        <f>IF(D570="","",VLOOKUP(D570,'[1]0.1 Produksi Pangan &amp; Penduduk'!$D$5:$AE$860,28,0))</f>
        <v/>
      </c>
      <c r="G570" s="29" t="str">
        <f t="shared" si="40"/>
        <v/>
      </c>
      <c r="H570" s="29" t="str">
        <f t="shared" si="41"/>
        <v/>
      </c>
      <c r="I570" s="29" t="str">
        <f t="shared" si="42"/>
        <v/>
      </c>
      <c r="J570" s="29" t="str">
        <f t="shared" si="43"/>
        <v/>
      </c>
      <c r="K570" s="29" t="str">
        <f t="shared" si="44"/>
        <v/>
      </c>
    </row>
    <row r="571" spans="1:11" ht="15" x14ac:dyDescent="0.25">
      <c r="A571" s="1" t="str">
        <f>IF('1.1 Produksi Bersih Padi 2025'!A571="","",'1.1 Produksi Bersih Padi 2025'!A571)</f>
        <v/>
      </c>
      <c r="B571" s="31" t="str">
        <f>IF('1.1 Produksi Bersih Padi 2025'!B571="","",'1.1 Produksi Bersih Padi 2025'!B571)</f>
        <v/>
      </c>
      <c r="C571" s="31" t="str">
        <f>IF('1.1 Produksi Bersih Padi 2025'!C571="","",'1.1 Produksi Bersih Padi 2025'!C571)</f>
        <v/>
      </c>
      <c r="D571" s="1" t="str">
        <f>IF('1.1 Produksi Bersih Padi 2025'!D571="","",'1.1 Produksi Bersih Padi 2025'!D571)</f>
        <v/>
      </c>
      <c r="E571" s="1" t="str">
        <f>IF('1.1 Produksi Bersih Padi 2025'!E571="","",'1.1 Produksi Bersih Padi 2025'!E571)</f>
        <v/>
      </c>
      <c r="F571" s="28" t="str">
        <f>IF(D571="","",VLOOKUP(D571,'[1]0.1 Produksi Pangan &amp; Penduduk'!$D$5:$AE$860,28,0))</f>
        <v/>
      </c>
      <c r="G571" s="29" t="str">
        <f t="shared" si="40"/>
        <v/>
      </c>
      <c r="H571" s="29" t="str">
        <f t="shared" si="41"/>
        <v/>
      </c>
      <c r="I571" s="29" t="str">
        <f t="shared" si="42"/>
        <v/>
      </c>
      <c r="J571" s="29" t="str">
        <f t="shared" si="43"/>
        <v/>
      </c>
      <c r="K571" s="29" t="str">
        <f t="shared" si="44"/>
        <v/>
      </c>
    </row>
    <row r="572" spans="1:11" ht="15" x14ac:dyDescent="0.25">
      <c r="A572" s="1" t="str">
        <f>IF('1.1 Produksi Bersih Padi 2025'!A572="","",'1.1 Produksi Bersih Padi 2025'!A572)</f>
        <v/>
      </c>
      <c r="B572" s="31" t="str">
        <f>IF('1.1 Produksi Bersih Padi 2025'!B572="","",'1.1 Produksi Bersih Padi 2025'!B572)</f>
        <v/>
      </c>
      <c r="C572" s="31" t="str">
        <f>IF('1.1 Produksi Bersih Padi 2025'!C572="","",'1.1 Produksi Bersih Padi 2025'!C572)</f>
        <v/>
      </c>
      <c r="D572" s="1" t="str">
        <f>IF('1.1 Produksi Bersih Padi 2025'!D572="","",'1.1 Produksi Bersih Padi 2025'!D572)</f>
        <v/>
      </c>
      <c r="E572" s="1" t="str">
        <f>IF('1.1 Produksi Bersih Padi 2025'!E572="","",'1.1 Produksi Bersih Padi 2025'!E572)</f>
        <v/>
      </c>
      <c r="F572" s="28" t="str">
        <f>IF(D572="","",VLOOKUP(D572,'[1]0.1 Produksi Pangan &amp; Penduduk'!$D$5:$AE$860,28,0))</f>
        <v/>
      </c>
      <c r="G572" s="29" t="str">
        <f t="shared" si="40"/>
        <v/>
      </c>
      <c r="H572" s="29" t="str">
        <f t="shared" si="41"/>
        <v/>
      </c>
      <c r="I572" s="29" t="str">
        <f t="shared" si="42"/>
        <v/>
      </c>
      <c r="J572" s="29" t="str">
        <f t="shared" si="43"/>
        <v/>
      </c>
      <c r="K572" s="29" t="str">
        <f t="shared" si="44"/>
        <v/>
      </c>
    </row>
    <row r="573" spans="1:11" ht="15" x14ac:dyDescent="0.25">
      <c r="A573" s="1" t="str">
        <f>IF('1.1 Produksi Bersih Padi 2025'!A573="","",'1.1 Produksi Bersih Padi 2025'!A573)</f>
        <v/>
      </c>
      <c r="B573" s="31" t="str">
        <f>IF('1.1 Produksi Bersih Padi 2025'!B573="","",'1.1 Produksi Bersih Padi 2025'!B573)</f>
        <v/>
      </c>
      <c r="C573" s="31" t="str">
        <f>IF('1.1 Produksi Bersih Padi 2025'!C573="","",'1.1 Produksi Bersih Padi 2025'!C573)</f>
        <v/>
      </c>
      <c r="D573" s="1" t="str">
        <f>IF('1.1 Produksi Bersih Padi 2025'!D573="","",'1.1 Produksi Bersih Padi 2025'!D573)</f>
        <v/>
      </c>
      <c r="E573" s="1" t="str">
        <f>IF('1.1 Produksi Bersih Padi 2025'!E573="","",'1.1 Produksi Bersih Padi 2025'!E573)</f>
        <v/>
      </c>
      <c r="F573" s="28" t="str">
        <f>IF(D573="","",VLOOKUP(D573,'[1]0.1 Produksi Pangan &amp; Penduduk'!$D$5:$AE$860,28,0))</f>
        <v/>
      </c>
      <c r="G573" s="29" t="str">
        <f t="shared" si="40"/>
        <v/>
      </c>
      <c r="H573" s="29" t="str">
        <f t="shared" si="41"/>
        <v/>
      </c>
      <c r="I573" s="29" t="str">
        <f t="shared" si="42"/>
        <v/>
      </c>
      <c r="J573" s="29" t="str">
        <f t="shared" si="43"/>
        <v/>
      </c>
      <c r="K573" s="29" t="str">
        <f t="shared" si="44"/>
        <v/>
      </c>
    </row>
    <row r="574" spans="1:11" ht="15" x14ac:dyDescent="0.25">
      <c r="A574" s="1" t="str">
        <f>IF('1.1 Produksi Bersih Padi 2025'!A574="","",'1.1 Produksi Bersih Padi 2025'!A574)</f>
        <v/>
      </c>
      <c r="B574" s="31" t="str">
        <f>IF('1.1 Produksi Bersih Padi 2025'!B574="","",'1.1 Produksi Bersih Padi 2025'!B574)</f>
        <v/>
      </c>
      <c r="C574" s="31" t="str">
        <f>IF('1.1 Produksi Bersih Padi 2025'!C574="","",'1.1 Produksi Bersih Padi 2025'!C574)</f>
        <v/>
      </c>
      <c r="D574" s="1" t="str">
        <f>IF('1.1 Produksi Bersih Padi 2025'!D574="","",'1.1 Produksi Bersih Padi 2025'!D574)</f>
        <v/>
      </c>
      <c r="E574" s="1" t="str">
        <f>IF('1.1 Produksi Bersih Padi 2025'!E574="","",'1.1 Produksi Bersih Padi 2025'!E574)</f>
        <v/>
      </c>
      <c r="F574" s="28" t="str">
        <f>IF(D574="","",VLOOKUP(D574,'[1]0.1 Produksi Pangan &amp; Penduduk'!$D$5:$AE$860,28,0))</f>
        <v/>
      </c>
      <c r="G574" s="29" t="str">
        <f t="shared" si="40"/>
        <v/>
      </c>
      <c r="H574" s="29" t="str">
        <f t="shared" si="41"/>
        <v/>
      </c>
      <c r="I574" s="29" t="str">
        <f t="shared" si="42"/>
        <v/>
      </c>
      <c r="J574" s="29" t="str">
        <f t="shared" si="43"/>
        <v/>
      </c>
      <c r="K574" s="29" t="str">
        <f t="shared" si="44"/>
        <v/>
      </c>
    </row>
    <row r="575" spans="1:11" ht="15" x14ac:dyDescent="0.25">
      <c r="A575" s="1" t="str">
        <f>IF('1.1 Produksi Bersih Padi 2025'!A575="","",'1.1 Produksi Bersih Padi 2025'!A575)</f>
        <v/>
      </c>
      <c r="B575" s="31" t="str">
        <f>IF('1.1 Produksi Bersih Padi 2025'!B575="","",'1.1 Produksi Bersih Padi 2025'!B575)</f>
        <v/>
      </c>
      <c r="C575" s="31" t="str">
        <f>IF('1.1 Produksi Bersih Padi 2025'!C575="","",'1.1 Produksi Bersih Padi 2025'!C575)</f>
        <v/>
      </c>
      <c r="D575" s="1" t="str">
        <f>IF('1.1 Produksi Bersih Padi 2025'!D575="","",'1.1 Produksi Bersih Padi 2025'!D575)</f>
        <v/>
      </c>
      <c r="E575" s="1" t="str">
        <f>IF('1.1 Produksi Bersih Padi 2025'!E575="","",'1.1 Produksi Bersih Padi 2025'!E575)</f>
        <v/>
      </c>
      <c r="F575" s="28" t="str">
        <f>IF(D575="","",VLOOKUP(D575,'[1]0.1 Produksi Pangan &amp; Penduduk'!$D$5:$AE$860,28,0))</f>
        <v/>
      </c>
      <c r="G575" s="29" t="str">
        <f t="shared" si="40"/>
        <v/>
      </c>
      <c r="H575" s="29" t="str">
        <f t="shared" si="41"/>
        <v/>
      </c>
      <c r="I575" s="29" t="str">
        <f t="shared" si="42"/>
        <v/>
      </c>
      <c r="J575" s="29" t="str">
        <f t="shared" si="43"/>
        <v/>
      </c>
      <c r="K575" s="29" t="str">
        <f t="shared" si="44"/>
        <v/>
      </c>
    </row>
    <row r="576" spans="1:11" ht="15" x14ac:dyDescent="0.25">
      <c r="A576" s="1" t="str">
        <f>IF('1.1 Produksi Bersih Padi 2025'!A576="","",'1.1 Produksi Bersih Padi 2025'!A576)</f>
        <v/>
      </c>
      <c r="B576" s="31" t="str">
        <f>IF('1.1 Produksi Bersih Padi 2025'!B576="","",'1.1 Produksi Bersih Padi 2025'!B576)</f>
        <v/>
      </c>
      <c r="C576" s="31" t="str">
        <f>IF('1.1 Produksi Bersih Padi 2025'!C576="","",'1.1 Produksi Bersih Padi 2025'!C576)</f>
        <v/>
      </c>
      <c r="D576" s="1" t="str">
        <f>IF('1.1 Produksi Bersih Padi 2025'!D576="","",'1.1 Produksi Bersih Padi 2025'!D576)</f>
        <v/>
      </c>
      <c r="E576" s="1" t="str">
        <f>IF('1.1 Produksi Bersih Padi 2025'!E576="","",'1.1 Produksi Bersih Padi 2025'!E576)</f>
        <v/>
      </c>
      <c r="F576" s="28" t="str">
        <f>IF(D576="","",VLOOKUP(D576,'[1]0.1 Produksi Pangan &amp; Penduduk'!$D$5:$AE$860,28,0))</f>
        <v/>
      </c>
      <c r="G576" s="29" t="str">
        <f t="shared" si="40"/>
        <v/>
      </c>
      <c r="H576" s="29" t="str">
        <f t="shared" si="41"/>
        <v/>
      </c>
      <c r="I576" s="29" t="str">
        <f t="shared" si="42"/>
        <v/>
      </c>
      <c r="J576" s="29" t="str">
        <f t="shared" si="43"/>
        <v/>
      </c>
      <c r="K576" s="29" t="str">
        <f t="shared" si="44"/>
        <v/>
      </c>
    </row>
    <row r="577" spans="1:11" ht="15" x14ac:dyDescent="0.25">
      <c r="A577" s="1" t="str">
        <f>IF('1.1 Produksi Bersih Padi 2025'!A577="","",'1.1 Produksi Bersih Padi 2025'!A577)</f>
        <v/>
      </c>
      <c r="B577" s="31" t="str">
        <f>IF('1.1 Produksi Bersih Padi 2025'!B577="","",'1.1 Produksi Bersih Padi 2025'!B577)</f>
        <v/>
      </c>
      <c r="C577" s="31" t="str">
        <f>IF('1.1 Produksi Bersih Padi 2025'!C577="","",'1.1 Produksi Bersih Padi 2025'!C577)</f>
        <v/>
      </c>
      <c r="D577" s="1" t="str">
        <f>IF('1.1 Produksi Bersih Padi 2025'!D577="","",'1.1 Produksi Bersih Padi 2025'!D577)</f>
        <v/>
      </c>
      <c r="E577" s="1" t="str">
        <f>IF('1.1 Produksi Bersih Padi 2025'!E577="","",'1.1 Produksi Bersih Padi 2025'!E577)</f>
        <v/>
      </c>
      <c r="F577" s="28" t="str">
        <f>IF(D577="","",VLOOKUP(D577,'[1]0.1 Produksi Pangan &amp; Penduduk'!$D$5:$AE$860,28,0))</f>
        <v/>
      </c>
      <c r="G577" s="29" t="str">
        <f t="shared" si="40"/>
        <v/>
      </c>
      <c r="H577" s="29" t="str">
        <f t="shared" si="41"/>
        <v/>
      </c>
      <c r="I577" s="29" t="str">
        <f t="shared" si="42"/>
        <v/>
      </c>
      <c r="J577" s="29" t="str">
        <f t="shared" si="43"/>
        <v/>
      </c>
      <c r="K577" s="29" t="str">
        <f t="shared" si="44"/>
        <v/>
      </c>
    </row>
    <row r="578" spans="1:11" ht="15" x14ac:dyDescent="0.25">
      <c r="A578" s="1" t="str">
        <f>IF('1.1 Produksi Bersih Padi 2025'!A578="","",'1.1 Produksi Bersih Padi 2025'!A578)</f>
        <v/>
      </c>
      <c r="B578" s="31" t="str">
        <f>IF('1.1 Produksi Bersih Padi 2025'!B578="","",'1.1 Produksi Bersih Padi 2025'!B578)</f>
        <v/>
      </c>
      <c r="C578" s="31" t="str">
        <f>IF('1.1 Produksi Bersih Padi 2025'!C578="","",'1.1 Produksi Bersih Padi 2025'!C578)</f>
        <v/>
      </c>
      <c r="D578" s="1" t="str">
        <f>IF('1.1 Produksi Bersih Padi 2025'!D578="","",'1.1 Produksi Bersih Padi 2025'!D578)</f>
        <v/>
      </c>
      <c r="E578" s="1" t="str">
        <f>IF('1.1 Produksi Bersih Padi 2025'!E578="","",'1.1 Produksi Bersih Padi 2025'!E578)</f>
        <v/>
      </c>
      <c r="F578" s="28" t="str">
        <f>IF(D578="","",VLOOKUP(D578,'[1]0.1 Produksi Pangan &amp; Penduduk'!$D$5:$AE$860,28,0))</f>
        <v/>
      </c>
      <c r="G578" s="29" t="str">
        <f t="shared" si="40"/>
        <v/>
      </c>
      <c r="H578" s="29" t="str">
        <f t="shared" si="41"/>
        <v/>
      </c>
      <c r="I578" s="29" t="str">
        <f t="shared" si="42"/>
        <v/>
      </c>
      <c r="J578" s="29" t="str">
        <f t="shared" si="43"/>
        <v/>
      </c>
      <c r="K578" s="29" t="str">
        <f t="shared" si="44"/>
        <v/>
      </c>
    </row>
    <row r="579" spans="1:11" ht="15" x14ac:dyDescent="0.25">
      <c r="A579" s="1" t="str">
        <f>IF('1.1 Produksi Bersih Padi 2025'!A579="","",'1.1 Produksi Bersih Padi 2025'!A579)</f>
        <v/>
      </c>
      <c r="B579" s="31" t="str">
        <f>IF('1.1 Produksi Bersih Padi 2025'!B579="","",'1.1 Produksi Bersih Padi 2025'!B579)</f>
        <v/>
      </c>
      <c r="C579" s="31" t="str">
        <f>IF('1.1 Produksi Bersih Padi 2025'!C579="","",'1.1 Produksi Bersih Padi 2025'!C579)</f>
        <v/>
      </c>
      <c r="D579" s="1" t="str">
        <f>IF('1.1 Produksi Bersih Padi 2025'!D579="","",'1.1 Produksi Bersih Padi 2025'!D579)</f>
        <v/>
      </c>
      <c r="E579" s="1" t="str">
        <f>IF('1.1 Produksi Bersih Padi 2025'!E579="","",'1.1 Produksi Bersih Padi 2025'!E579)</f>
        <v/>
      </c>
      <c r="F579" s="28" t="str">
        <f>IF(D579="","",VLOOKUP(D579,'[1]0.1 Produksi Pangan &amp; Penduduk'!$D$5:$AE$860,28,0))</f>
        <v/>
      </c>
      <c r="G579" s="29" t="str">
        <f t="shared" si="40"/>
        <v/>
      </c>
      <c r="H579" s="29" t="str">
        <f t="shared" si="41"/>
        <v/>
      </c>
      <c r="I579" s="29" t="str">
        <f t="shared" si="42"/>
        <v/>
      </c>
      <c r="J579" s="29" t="str">
        <f t="shared" si="43"/>
        <v/>
      </c>
      <c r="K579" s="29" t="str">
        <f t="shared" si="44"/>
        <v/>
      </c>
    </row>
    <row r="580" spans="1:11" ht="15" x14ac:dyDescent="0.25">
      <c r="A580" s="1" t="str">
        <f>IF('1.1 Produksi Bersih Padi 2025'!A580="","",'1.1 Produksi Bersih Padi 2025'!A580)</f>
        <v/>
      </c>
      <c r="B580" s="31" t="str">
        <f>IF('1.1 Produksi Bersih Padi 2025'!B580="","",'1.1 Produksi Bersih Padi 2025'!B580)</f>
        <v/>
      </c>
      <c r="C580" s="31" t="str">
        <f>IF('1.1 Produksi Bersih Padi 2025'!C580="","",'1.1 Produksi Bersih Padi 2025'!C580)</f>
        <v/>
      </c>
      <c r="D580" s="1" t="str">
        <f>IF('1.1 Produksi Bersih Padi 2025'!D580="","",'1.1 Produksi Bersih Padi 2025'!D580)</f>
        <v/>
      </c>
      <c r="E580" s="1" t="str">
        <f>IF('1.1 Produksi Bersih Padi 2025'!E580="","",'1.1 Produksi Bersih Padi 2025'!E580)</f>
        <v/>
      </c>
      <c r="F580" s="28" t="str">
        <f>IF(D580="","",VLOOKUP(D580,'[1]0.1 Produksi Pangan &amp; Penduduk'!$D$5:$AE$860,28,0))</f>
        <v/>
      </c>
      <c r="G580" s="29" t="str">
        <f t="shared" si="40"/>
        <v/>
      </c>
      <c r="H580" s="29" t="str">
        <f t="shared" si="41"/>
        <v/>
      </c>
      <c r="I580" s="29" t="str">
        <f t="shared" si="42"/>
        <v/>
      </c>
      <c r="J580" s="29" t="str">
        <f t="shared" si="43"/>
        <v/>
      </c>
      <c r="K580" s="29" t="str">
        <f t="shared" si="44"/>
        <v/>
      </c>
    </row>
    <row r="581" spans="1:11" ht="15" x14ac:dyDescent="0.25">
      <c r="A581" s="1" t="str">
        <f>IF('1.1 Produksi Bersih Padi 2025'!A581="","",'1.1 Produksi Bersih Padi 2025'!A581)</f>
        <v/>
      </c>
      <c r="B581" s="31" t="str">
        <f>IF('1.1 Produksi Bersih Padi 2025'!B581="","",'1.1 Produksi Bersih Padi 2025'!B581)</f>
        <v/>
      </c>
      <c r="C581" s="31" t="str">
        <f>IF('1.1 Produksi Bersih Padi 2025'!C581="","",'1.1 Produksi Bersih Padi 2025'!C581)</f>
        <v/>
      </c>
      <c r="D581" s="1" t="str">
        <f>IF('1.1 Produksi Bersih Padi 2025'!D581="","",'1.1 Produksi Bersih Padi 2025'!D581)</f>
        <v/>
      </c>
      <c r="E581" s="1" t="str">
        <f>IF('1.1 Produksi Bersih Padi 2025'!E581="","",'1.1 Produksi Bersih Padi 2025'!E581)</f>
        <v/>
      </c>
      <c r="F581" s="28" t="str">
        <f>IF(D581="","",VLOOKUP(D581,'[1]0.1 Produksi Pangan &amp; Penduduk'!$D$5:$AE$860,28,0))</f>
        <v/>
      </c>
      <c r="G581" s="29" t="str">
        <f t="shared" si="40"/>
        <v/>
      </c>
      <c r="H581" s="29" t="str">
        <f t="shared" si="41"/>
        <v/>
      </c>
      <c r="I581" s="29" t="str">
        <f t="shared" si="42"/>
        <v/>
      </c>
      <c r="J581" s="29" t="str">
        <f t="shared" si="43"/>
        <v/>
      </c>
      <c r="K581" s="29" t="str">
        <f t="shared" si="44"/>
        <v/>
      </c>
    </row>
    <row r="582" spans="1:11" ht="15" x14ac:dyDescent="0.25">
      <c r="A582" s="1" t="str">
        <f>IF('1.1 Produksi Bersih Padi 2025'!A582="","",'1.1 Produksi Bersih Padi 2025'!A582)</f>
        <v/>
      </c>
      <c r="B582" s="31" t="str">
        <f>IF('1.1 Produksi Bersih Padi 2025'!B582="","",'1.1 Produksi Bersih Padi 2025'!B582)</f>
        <v/>
      </c>
      <c r="C582" s="31" t="str">
        <f>IF('1.1 Produksi Bersih Padi 2025'!C582="","",'1.1 Produksi Bersih Padi 2025'!C582)</f>
        <v/>
      </c>
      <c r="D582" s="1" t="str">
        <f>IF('1.1 Produksi Bersih Padi 2025'!D582="","",'1.1 Produksi Bersih Padi 2025'!D582)</f>
        <v/>
      </c>
      <c r="E582" s="1" t="str">
        <f>IF('1.1 Produksi Bersih Padi 2025'!E582="","",'1.1 Produksi Bersih Padi 2025'!E582)</f>
        <v/>
      </c>
      <c r="F582" s="28" t="str">
        <f>IF(D582="","",VLOOKUP(D582,'[1]0.1 Produksi Pangan &amp; Penduduk'!$D$5:$AE$860,28,0))</f>
        <v/>
      </c>
      <c r="G582" s="29" t="str">
        <f t="shared" ref="G582:G645" si="45">IF(F582="","",F582*0%)</f>
        <v/>
      </c>
      <c r="H582" s="29" t="str">
        <f t="shared" ref="H582:H645" si="46">IF(F582="","",F582*0.77%)</f>
        <v/>
      </c>
      <c r="I582" s="29" t="str">
        <f t="shared" ref="I582:I645" si="47">IF(F582="","",F582*4.9%)</f>
        <v/>
      </c>
      <c r="J582" s="29" t="str">
        <f t="shared" ref="J582:J645" si="48">IF(F582="","",F582-(G582+H582+I582))</f>
        <v/>
      </c>
      <c r="K582" s="29" t="str">
        <f t="shared" ref="K582:K645" si="49">IF(J582="","",J582*0.259)</f>
        <v/>
      </c>
    </row>
    <row r="583" spans="1:11" ht="15" x14ac:dyDescent="0.25">
      <c r="A583" s="1" t="str">
        <f>IF('1.1 Produksi Bersih Padi 2025'!A583="","",'1.1 Produksi Bersih Padi 2025'!A583)</f>
        <v/>
      </c>
      <c r="B583" s="31" t="str">
        <f>IF('1.1 Produksi Bersih Padi 2025'!B583="","",'1.1 Produksi Bersih Padi 2025'!B583)</f>
        <v/>
      </c>
      <c r="C583" s="31" t="str">
        <f>IF('1.1 Produksi Bersih Padi 2025'!C583="","",'1.1 Produksi Bersih Padi 2025'!C583)</f>
        <v/>
      </c>
      <c r="D583" s="1" t="str">
        <f>IF('1.1 Produksi Bersih Padi 2025'!D583="","",'1.1 Produksi Bersih Padi 2025'!D583)</f>
        <v/>
      </c>
      <c r="E583" s="1" t="str">
        <f>IF('1.1 Produksi Bersih Padi 2025'!E583="","",'1.1 Produksi Bersih Padi 2025'!E583)</f>
        <v/>
      </c>
      <c r="F583" s="28" t="str">
        <f>IF(D583="","",VLOOKUP(D583,'[1]0.1 Produksi Pangan &amp; Penduduk'!$D$5:$AE$860,28,0))</f>
        <v/>
      </c>
      <c r="G583" s="29" t="str">
        <f t="shared" si="45"/>
        <v/>
      </c>
      <c r="H583" s="29" t="str">
        <f t="shared" si="46"/>
        <v/>
      </c>
      <c r="I583" s="29" t="str">
        <f t="shared" si="47"/>
        <v/>
      </c>
      <c r="J583" s="29" t="str">
        <f t="shared" si="48"/>
        <v/>
      </c>
      <c r="K583" s="29" t="str">
        <f t="shared" si="49"/>
        <v/>
      </c>
    </row>
    <row r="584" spans="1:11" ht="15" x14ac:dyDescent="0.25">
      <c r="A584" s="1" t="str">
        <f>IF('1.1 Produksi Bersih Padi 2025'!A584="","",'1.1 Produksi Bersih Padi 2025'!A584)</f>
        <v/>
      </c>
      <c r="B584" s="31" t="str">
        <f>IF('1.1 Produksi Bersih Padi 2025'!B584="","",'1.1 Produksi Bersih Padi 2025'!B584)</f>
        <v/>
      </c>
      <c r="C584" s="31" t="str">
        <f>IF('1.1 Produksi Bersih Padi 2025'!C584="","",'1.1 Produksi Bersih Padi 2025'!C584)</f>
        <v/>
      </c>
      <c r="D584" s="1" t="str">
        <f>IF('1.1 Produksi Bersih Padi 2025'!D584="","",'1.1 Produksi Bersih Padi 2025'!D584)</f>
        <v/>
      </c>
      <c r="E584" s="1" t="str">
        <f>IF('1.1 Produksi Bersih Padi 2025'!E584="","",'1.1 Produksi Bersih Padi 2025'!E584)</f>
        <v/>
      </c>
      <c r="F584" s="28" t="str">
        <f>IF(D584="","",VLOOKUP(D584,'[1]0.1 Produksi Pangan &amp; Penduduk'!$D$5:$AE$860,28,0))</f>
        <v/>
      </c>
      <c r="G584" s="29" t="str">
        <f t="shared" si="45"/>
        <v/>
      </c>
      <c r="H584" s="29" t="str">
        <f t="shared" si="46"/>
        <v/>
      </c>
      <c r="I584" s="29" t="str">
        <f t="shared" si="47"/>
        <v/>
      </c>
      <c r="J584" s="29" t="str">
        <f t="shared" si="48"/>
        <v/>
      </c>
      <c r="K584" s="29" t="str">
        <f t="shared" si="49"/>
        <v/>
      </c>
    </row>
    <row r="585" spans="1:11" ht="15" x14ac:dyDescent="0.25">
      <c r="A585" s="1" t="str">
        <f>IF('1.1 Produksi Bersih Padi 2025'!A585="","",'1.1 Produksi Bersih Padi 2025'!A585)</f>
        <v/>
      </c>
      <c r="B585" s="31" t="str">
        <f>IF('1.1 Produksi Bersih Padi 2025'!B585="","",'1.1 Produksi Bersih Padi 2025'!B585)</f>
        <v/>
      </c>
      <c r="C585" s="31" t="str">
        <f>IF('1.1 Produksi Bersih Padi 2025'!C585="","",'1.1 Produksi Bersih Padi 2025'!C585)</f>
        <v/>
      </c>
      <c r="D585" s="1" t="str">
        <f>IF('1.1 Produksi Bersih Padi 2025'!D585="","",'1.1 Produksi Bersih Padi 2025'!D585)</f>
        <v/>
      </c>
      <c r="E585" s="1" t="str">
        <f>IF('1.1 Produksi Bersih Padi 2025'!E585="","",'1.1 Produksi Bersih Padi 2025'!E585)</f>
        <v/>
      </c>
      <c r="F585" s="28" t="str">
        <f>IF(D585="","",VLOOKUP(D585,'[1]0.1 Produksi Pangan &amp; Penduduk'!$D$5:$AE$860,28,0))</f>
        <v/>
      </c>
      <c r="G585" s="29" t="str">
        <f t="shared" si="45"/>
        <v/>
      </c>
      <c r="H585" s="29" t="str">
        <f t="shared" si="46"/>
        <v/>
      </c>
      <c r="I585" s="29" t="str">
        <f t="shared" si="47"/>
        <v/>
      </c>
      <c r="J585" s="29" t="str">
        <f t="shared" si="48"/>
        <v/>
      </c>
      <c r="K585" s="29" t="str">
        <f t="shared" si="49"/>
        <v/>
      </c>
    </row>
    <row r="586" spans="1:11" ht="15" x14ac:dyDescent="0.25">
      <c r="A586" s="1" t="str">
        <f>IF('1.1 Produksi Bersih Padi 2025'!A586="","",'1.1 Produksi Bersih Padi 2025'!A586)</f>
        <v/>
      </c>
      <c r="B586" s="31" t="str">
        <f>IF('1.1 Produksi Bersih Padi 2025'!B586="","",'1.1 Produksi Bersih Padi 2025'!B586)</f>
        <v/>
      </c>
      <c r="C586" s="31" t="str">
        <f>IF('1.1 Produksi Bersih Padi 2025'!C586="","",'1.1 Produksi Bersih Padi 2025'!C586)</f>
        <v/>
      </c>
      <c r="D586" s="1" t="str">
        <f>IF('1.1 Produksi Bersih Padi 2025'!D586="","",'1.1 Produksi Bersih Padi 2025'!D586)</f>
        <v/>
      </c>
      <c r="E586" s="1" t="str">
        <f>IF('1.1 Produksi Bersih Padi 2025'!E586="","",'1.1 Produksi Bersih Padi 2025'!E586)</f>
        <v/>
      </c>
      <c r="F586" s="28" t="str">
        <f>IF(D586="","",VLOOKUP(D586,'[1]0.1 Produksi Pangan &amp; Penduduk'!$D$5:$AE$860,28,0))</f>
        <v/>
      </c>
      <c r="G586" s="29" t="str">
        <f t="shared" si="45"/>
        <v/>
      </c>
      <c r="H586" s="29" t="str">
        <f t="shared" si="46"/>
        <v/>
      </c>
      <c r="I586" s="29" t="str">
        <f t="shared" si="47"/>
        <v/>
      </c>
      <c r="J586" s="29" t="str">
        <f t="shared" si="48"/>
        <v/>
      </c>
      <c r="K586" s="29" t="str">
        <f t="shared" si="49"/>
        <v/>
      </c>
    </row>
    <row r="587" spans="1:11" ht="15" x14ac:dyDescent="0.25">
      <c r="A587" s="1" t="str">
        <f>IF('1.1 Produksi Bersih Padi 2025'!A587="","",'1.1 Produksi Bersih Padi 2025'!A587)</f>
        <v/>
      </c>
      <c r="B587" s="31" t="str">
        <f>IF('1.1 Produksi Bersih Padi 2025'!B587="","",'1.1 Produksi Bersih Padi 2025'!B587)</f>
        <v/>
      </c>
      <c r="C587" s="31" t="str">
        <f>IF('1.1 Produksi Bersih Padi 2025'!C587="","",'1.1 Produksi Bersih Padi 2025'!C587)</f>
        <v/>
      </c>
      <c r="D587" s="1" t="str">
        <f>IF('1.1 Produksi Bersih Padi 2025'!D587="","",'1.1 Produksi Bersih Padi 2025'!D587)</f>
        <v/>
      </c>
      <c r="E587" s="1" t="str">
        <f>IF('1.1 Produksi Bersih Padi 2025'!E587="","",'1.1 Produksi Bersih Padi 2025'!E587)</f>
        <v/>
      </c>
      <c r="F587" s="28" t="str">
        <f>IF(D587="","",VLOOKUP(D587,'[1]0.1 Produksi Pangan &amp; Penduduk'!$D$5:$AE$860,28,0))</f>
        <v/>
      </c>
      <c r="G587" s="29" t="str">
        <f t="shared" si="45"/>
        <v/>
      </c>
      <c r="H587" s="29" t="str">
        <f t="shared" si="46"/>
        <v/>
      </c>
      <c r="I587" s="29" t="str">
        <f t="shared" si="47"/>
        <v/>
      </c>
      <c r="J587" s="29" t="str">
        <f t="shared" si="48"/>
        <v/>
      </c>
      <c r="K587" s="29" t="str">
        <f t="shared" si="49"/>
        <v/>
      </c>
    </row>
    <row r="588" spans="1:11" ht="15" x14ac:dyDescent="0.25">
      <c r="A588" s="1" t="str">
        <f>IF('1.1 Produksi Bersih Padi 2025'!A588="","",'1.1 Produksi Bersih Padi 2025'!A588)</f>
        <v/>
      </c>
      <c r="B588" s="31" t="str">
        <f>IF('1.1 Produksi Bersih Padi 2025'!B588="","",'1.1 Produksi Bersih Padi 2025'!B588)</f>
        <v/>
      </c>
      <c r="C588" s="31" t="str">
        <f>IF('1.1 Produksi Bersih Padi 2025'!C588="","",'1.1 Produksi Bersih Padi 2025'!C588)</f>
        <v/>
      </c>
      <c r="D588" s="1" t="str">
        <f>IF('1.1 Produksi Bersih Padi 2025'!D588="","",'1.1 Produksi Bersih Padi 2025'!D588)</f>
        <v/>
      </c>
      <c r="E588" s="1" t="str">
        <f>IF('1.1 Produksi Bersih Padi 2025'!E588="","",'1.1 Produksi Bersih Padi 2025'!E588)</f>
        <v/>
      </c>
      <c r="F588" s="28" t="str">
        <f>IF(D588="","",VLOOKUP(D588,'[1]0.1 Produksi Pangan &amp; Penduduk'!$D$5:$AE$860,28,0))</f>
        <v/>
      </c>
      <c r="G588" s="29" t="str">
        <f t="shared" si="45"/>
        <v/>
      </c>
      <c r="H588" s="29" t="str">
        <f t="shared" si="46"/>
        <v/>
      </c>
      <c r="I588" s="29" t="str">
        <f t="shared" si="47"/>
        <v/>
      </c>
      <c r="J588" s="29" t="str">
        <f t="shared" si="48"/>
        <v/>
      </c>
      <c r="K588" s="29" t="str">
        <f t="shared" si="49"/>
        <v/>
      </c>
    </row>
    <row r="589" spans="1:11" ht="15" x14ac:dyDescent="0.25">
      <c r="A589" s="1" t="str">
        <f>IF('1.1 Produksi Bersih Padi 2025'!A589="","",'1.1 Produksi Bersih Padi 2025'!A589)</f>
        <v/>
      </c>
      <c r="B589" s="31" t="str">
        <f>IF('1.1 Produksi Bersih Padi 2025'!B589="","",'1.1 Produksi Bersih Padi 2025'!B589)</f>
        <v/>
      </c>
      <c r="C589" s="31" t="str">
        <f>IF('1.1 Produksi Bersih Padi 2025'!C589="","",'1.1 Produksi Bersih Padi 2025'!C589)</f>
        <v/>
      </c>
      <c r="D589" s="1" t="str">
        <f>IF('1.1 Produksi Bersih Padi 2025'!D589="","",'1.1 Produksi Bersih Padi 2025'!D589)</f>
        <v/>
      </c>
      <c r="E589" s="1" t="str">
        <f>IF('1.1 Produksi Bersih Padi 2025'!E589="","",'1.1 Produksi Bersih Padi 2025'!E589)</f>
        <v/>
      </c>
      <c r="F589" s="28" t="str">
        <f>IF(D589="","",VLOOKUP(D589,'[1]0.1 Produksi Pangan &amp; Penduduk'!$D$5:$AE$860,28,0))</f>
        <v/>
      </c>
      <c r="G589" s="29" t="str">
        <f t="shared" si="45"/>
        <v/>
      </c>
      <c r="H589" s="29" t="str">
        <f t="shared" si="46"/>
        <v/>
      </c>
      <c r="I589" s="29" t="str">
        <f t="shared" si="47"/>
        <v/>
      </c>
      <c r="J589" s="29" t="str">
        <f t="shared" si="48"/>
        <v/>
      </c>
      <c r="K589" s="29" t="str">
        <f t="shared" si="49"/>
        <v/>
      </c>
    </row>
    <row r="590" spans="1:11" ht="15" x14ac:dyDescent="0.25">
      <c r="A590" s="1" t="str">
        <f>IF('1.1 Produksi Bersih Padi 2025'!A590="","",'1.1 Produksi Bersih Padi 2025'!A590)</f>
        <v/>
      </c>
      <c r="B590" s="31" t="str">
        <f>IF('1.1 Produksi Bersih Padi 2025'!B590="","",'1.1 Produksi Bersih Padi 2025'!B590)</f>
        <v/>
      </c>
      <c r="C590" s="31" t="str">
        <f>IF('1.1 Produksi Bersih Padi 2025'!C590="","",'1.1 Produksi Bersih Padi 2025'!C590)</f>
        <v/>
      </c>
      <c r="D590" s="1" t="str">
        <f>IF('1.1 Produksi Bersih Padi 2025'!D590="","",'1.1 Produksi Bersih Padi 2025'!D590)</f>
        <v/>
      </c>
      <c r="E590" s="1" t="str">
        <f>IF('1.1 Produksi Bersih Padi 2025'!E590="","",'1.1 Produksi Bersih Padi 2025'!E590)</f>
        <v/>
      </c>
      <c r="F590" s="28" t="str">
        <f>IF(D590="","",VLOOKUP(D590,'[1]0.1 Produksi Pangan &amp; Penduduk'!$D$5:$AE$860,28,0))</f>
        <v/>
      </c>
      <c r="G590" s="29" t="str">
        <f t="shared" si="45"/>
        <v/>
      </c>
      <c r="H590" s="29" t="str">
        <f t="shared" si="46"/>
        <v/>
      </c>
      <c r="I590" s="29" t="str">
        <f t="shared" si="47"/>
        <v/>
      </c>
      <c r="J590" s="29" t="str">
        <f t="shared" si="48"/>
        <v/>
      </c>
      <c r="K590" s="29" t="str">
        <f t="shared" si="49"/>
        <v/>
      </c>
    </row>
    <row r="591" spans="1:11" ht="15" x14ac:dyDescent="0.25">
      <c r="A591" s="1" t="str">
        <f>IF('1.1 Produksi Bersih Padi 2025'!A591="","",'1.1 Produksi Bersih Padi 2025'!A591)</f>
        <v/>
      </c>
      <c r="B591" s="31" t="str">
        <f>IF('1.1 Produksi Bersih Padi 2025'!B591="","",'1.1 Produksi Bersih Padi 2025'!B591)</f>
        <v/>
      </c>
      <c r="C591" s="31" t="str">
        <f>IF('1.1 Produksi Bersih Padi 2025'!C591="","",'1.1 Produksi Bersih Padi 2025'!C591)</f>
        <v/>
      </c>
      <c r="D591" s="1" t="str">
        <f>IF('1.1 Produksi Bersih Padi 2025'!D591="","",'1.1 Produksi Bersih Padi 2025'!D591)</f>
        <v/>
      </c>
      <c r="E591" s="1" t="str">
        <f>IF('1.1 Produksi Bersih Padi 2025'!E591="","",'1.1 Produksi Bersih Padi 2025'!E591)</f>
        <v/>
      </c>
      <c r="F591" s="28" t="str">
        <f>IF(D591="","",VLOOKUP(D591,'[1]0.1 Produksi Pangan &amp; Penduduk'!$D$5:$AE$860,28,0))</f>
        <v/>
      </c>
      <c r="G591" s="29" t="str">
        <f t="shared" si="45"/>
        <v/>
      </c>
      <c r="H591" s="29" t="str">
        <f t="shared" si="46"/>
        <v/>
      </c>
      <c r="I591" s="29" t="str">
        <f t="shared" si="47"/>
        <v/>
      </c>
      <c r="J591" s="29" t="str">
        <f t="shared" si="48"/>
        <v/>
      </c>
      <c r="K591" s="29" t="str">
        <f t="shared" si="49"/>
        <v/>
      </c>
    </row>
    <row r="592" spans="1:11" ht="15" x14ac:dyDescent="0.25">
      <c r="A592" s="1" t="str">
        <f>IF('1.1 Produksi Bersih Padi 2025'!A592="","",'1.1 Produksi Bersih Padi 2025'!A592)</f>
        <v/>
      </c>
      <c r="B592" s="31" t="str">
        <f>IF('1.1 Produksi Bersih Padi 2025'!B592="","",'1.1 Produksi Bersih Padi 2025'!B592)</f>
        <v/>
      </c>
      <c r="C592" s="31" t="str">
        <f>IF('1.1 Produksi Bersih Padi 2025'!C592="","",'1.1 Produksi Bersih Padi 2025'!C592)</f>
        <v/>
      </c>
      <c r="D592" s="1" t="str">
        <f>IF('1.1 Produksi Bersih Padi 2025'!D592="","",'1.1 Produksi Bersih Padi 2025'!D592)</f>
        <v/>
      </c>
      <c r="E592" s="1" t="str">
        <f>IF('1.1 Produksi Bersih Padi 2025'!E592="","",'1.1 Produksi Bersih Padi 2025'!E592)</f>
        <v/>
      </c>
      <c r="F592" s="28" t="str">
        <f>IF(D592="","",VLOOKUP(D592,'[1]0.1 Produksi Pangan &amp; Penduduk'!$D$5:$AE$860,28,0))</f>
        <v/>
      </c>
      <c r="G592" s="29" t="str">
        <f t="shared" si="45"/>
        <v/>
      </c>
      <c r="H592" s="29" t="str">
        <f t="shared" si="46"/>
        <v/>
      </c>
      <c r="I592" s="29" t="str">
        <f t="shared" si="47"/>
        <v/>
      </c>
      <c r="J592" s="29" t="str">
        <f t="shared" si="48"/>
        <v/>
      </c>
      <c r="K592" s="29" t="str">
        <f t="shared" si="49"/>
        <v/>
      </c>
    </row>
    <row r="593" spans="1:11" ht="15" x14ac:dyDescent="0.25">
      <c r="A593" s="1" t="str">
        <f>IF('1.1 Produksi Bersih Padi 2025'!A593="","",'1.1 Produksi Bersih Padi 2025'!A593)</f>
        <v/>
      </c>
      <c r="B593" s="31" t="str">
        <f>IF('1.1 Produksi Bersih Padi 2025'!B593="","",'1.1 Produksi Bersih Padi 2025'!B593)</f>
        <v/>
      </c>
      <c r="C593" s="31" t="str">
        <f>IF('1.1 Produksi Bersih Padi 2025'!C593="","",'1.1 Produksi Bersih Padi 2025'!C593)</f>
        <v/>
      </c>
      <c r="D593" s="1" t="str">
        <f>IF('1.1 Produksi Bersih Padi 2025'!D593="","",'1.1 Produksi Bersih Padi 2025'!D593)</f>
        <v/>
      </c>
      <c r="E593" s="1" t="str">
        <f>IF('1.1 Produksi Bersih Padi 2025'!E593="","",'1.1 Produksi Bersih Padi 2025'!E593)</f>
        <v/>
      </c>
      <c r="F593" s="28" t="str">
        <f>IF(D593="","",VLOOKUP(D593,'[1]0.1 Produksi Pangan &amp; Penduduk'!$D$5:$AE$860,28,0))</f>
        <v/>
      </c>
      <c r="G593" s="29" t="str">
        <f t="shared" si="45"/>
        <v/>
      </c>
      <c r="H593" s="29" t="str">
        <f t="shared" si="46"/>
        <v/>
      </c>
      <c r="I593" s="29" t="str">
        <f t="shared" si="47"/>
        <v/>
      </c>
      <c r="J593" s="29" t="str">
        <f t="shared" si="48"/>
        <v/>
      </c>
      <c r="K593" s="29" t="str">
        <f t="shared" si="49"/>
        <v/>
      </c>
    </row>
    <row r="594" spans="1:11" ht="15" x14ac:dyDescent="0.25">
      <c r="A594" s="1" t="str">
        <f>IF('1.1 Produksi Bersih Padi 2025'!A594="","",'1.1 Produksi Bersih Padi 2025'!A594)</f>
        <v/>
      </c>
      <c r="B594" s="31" t="str">
        <f>IF('1.1 Produksi Bersih Padi 2025'!B594="","",'1.1 Produksi Bersih Padi 2025'!B594)</f>
        <v/>
      </c>
      <c r="C594" s="31" t="str">
        <f>IF('1.1 Produksi Bersih Padi 2025'!C594="","",'1.1 Produksi Bersih Padi 2025'!C594)</f>
        <v/>
      </c>
      <c r="D594" s="1" t="str">
        <f>IF('1.1 Produksi Bersih Padi 2025'!D594="","",'1.1 Produksi Bersih Padi 2025'!D594)</f>
        <v/>
      </c>
      <c r="E594" s="1" t="str">
        <f>IF('1.1 Produksi Bersih Padi 2025'!E594="","",'1.1 Produksi Bersih Padi 2025'!E594)</f>
        <v/>
      </c>
      <c r="F594" s="28" t="str">
        <f>IF(D594="","",VLOOKUP(D594,'[1]0.1 Produksi Pangan &amp; Penduduk'!$D$5:$AE$860,28,0))</f>
        <v/>
      </c>
      <c r="G594" s="29" t="str">
        <f t="shared" si="45"/>
        <v/>
      </c>
      <c r="H594" s="29" t="str">
        <f t="shared" si="46"/>
        <v/>
      </c>
      <c r="I594" s="29" t="str">
        <f t="shared" si="47"/>
        <v/>
      </c>
      <c r="J594" s="29" t="str">
        <f t="shared" si="48"/>
        <v/>
      </c>
      <c r="K594" s="29" t="str">
        <f t="shared" si="49"/>
        <v/>
      </c>
    </row>
    <row r="595" spans="1:11" ht="15" x14ac:dyDescent="0.25">
      <c r="A595" s="1" t="str">
        <f>IF('1.1 Produksi Bersih Padi 2025'!A595="","",'1.1 Produksi Bersih Padi 2025'!A595)</f>
        <v/>
      </c>
      <c r="B595" s="31" t="str">
        <f>IF('1.1 Produksi Bersih Padi 2025'!B595="","",'1.1 Produksi Bersih Padi 2025'!B595)</f>
        <v/>
      </c>
      <c r="C595" s="31" t="str">
        <f>IF('1.1 Produksi Bersih Padi 2025'!C595="","",'1.1 Produksi Bersih Padi 2025'!C595)</f>
        <v/>
      </c>
      <c r="D595" s="1" t="str">
        <f>IF('1.1 Produksi Bersih Padi 2025'!D595="","",'1.1 Produksi Bersih Padi 2025'!D595)</f>
        <v/>
      </c>
      <c r="E595" s="1" t="str">
        <f>IF('1.1 Produksi Bersih Padi 2025'!E595="","",'1.1 Produksi Bersih Padi 2025'!E595)</f>
        <v/>
      </c>
      <c r="F595" s="28" t="str">
        <f>IF(D595="","",VLOOKUP(D595,'[1]0.1 Produksi Pangan &amp; Penduduk'!$D$5:$AE$860,28,0))</f>
        <v/>
      </c>
      <c r="G595" s="29" t="str">
        <f t="shared" si="45"/>
        <v/>
      </c>
      <c r="H595" s="29" t="str">
        <f t="shared" si="46"/>
        <v/>
      </c>
      <c r="I595" s="29" t="str">
        <f t="shared" si="47"/>
        <v/>
      </c>
      <c r="J595" s="29" t="str">
        <f t="shared" si="48"/>
        <v/>
      </c>
      <c r="K595" s="29" t="str">
        <f t="shared" si="49"/>
        <v/>
      </c>
    </row>
    <row r="596" spans="1:11" ht="15" x14ac:dyDescent="0.25">
      <c r="A596" s="1" t="str">
        <f>IF('1.1 Produksi Bersih Padi 2025'!A596="","",'1.1 Produksi Bersih Padi 2025'!A596)</f>
        <v/>
      </c>
      <c r="B596" s="31" t="str">
        <f>IF('1.1 Produksi Bersih Padi 2025'!B596="","",'1.1 Produksi Bersih Padi 2025'!B596)</f>
        <v/>
      </c>
      <c r="C596" s="31" t="str">
        <f>IF('1.1 Produksi Bersih Padi 2025'!C596="","",'1.1 Produksi Bersih Padi 2025'!C596)</f>
        <v/>
      </c>
      <c r="D596" s="1" t="str">
        <f>IF('1.1 Produksi Bersih Padi 2025'!D596="","",'1.1 Produksi Bersih Padi 2025'!D596)</f>
        <v/>
      </c>
      <c r="E596" s="1" t="str">
        <f>IF('1.1 Produksi Bersih Padi 2025'!E596="","",'1.1 Produksi Bersih Padi 2025'!E596)</f>
        <v/>
      </c>
      <c r="F596" s="28" t="str">
        <f>IF(D596="","",VLOOKUP(D596,'[1]0.1 Produksi Pangan &amp; Penduduk'!$D$5:$AE$860,28,0))</f>
        <v/>
      </c>
      <c r="G596" s="29" t="str">
        <f t="shared" si="45"/>
        <v/>
      </c>
      <c r="H596" s="29" t="str">
        <f t="shared" si="46"/>
        <v/>
      </c>
      <c r="I596" s="29" t="str">
        <f t="shared" si="47"/>
        <v/>
      </c>
      <c r="J596" s="29" t="str">
        <f t="shared" si="48"/>
        <v/>
      </c>
      <c r="K596" s="29" t="str">
        <f t="shared" si="49"/>
        <v/>
      </c>
    </row>
    <row r="597" spans="1:11" ht="15" x14ac:dyDescent="0.25">
      <c r="A597" s="1" t="str">
        <f>IF('1.1 Produksi Bersih Padi 2025'!A597="","",'1.1 Produksi Bersih Padi 2025'!A597)</f>
        <v/>
      </c>
      <c r="B597" s="31" t="str">
        <f>IF('1.1 Produksi Bersih Padi 2025'!B597="","",'1.1 Produksi Bersih Padi 2025'!B597)</f>
        <v/>
      </c>
      <c r="C597" s="31" t="str">
        <f>IF('1.1 Produksi Bersih Padi 2025'!C597="","",'1.1 Produksi Bersih Padi 2025'!C597)</f>
        <v/>
      </c>
      <c r="D597" s="1" t="str">
        <f>IF('1.1 Produksi Bersih Padi 2025'!D597="","",'1.1 Produksi Bersih Padi 2025'!D597)</f>
        <v/>
      </c>
      <c r="E597" s="1" t="str">
        <f>IF('1.1 Produksi Bersih Padi 2025'!E597="","",'1.1 Produksi Bersih Padi 2025'!E597)</f>
        <v/>
      </c>
      <c r="F597" s="28" t="str">
        <f>IF(D597="","",VLOOKUP(D597,'[1]0.1 Produksi Pangan &amp; Penduduk'!$D$5:$AE$860,28,0))</f>
        <v/>
      </c>
      <c r="G597" s="29" t="str">
        <f t="shared" si="45"/>
        <v/>
      </c>
      <c r="H597" s="29" t="str">
        <f t="shared" si="46"/>
        <v/>
      </c>
      <c r="I597" s="29" t="str">
        <f t="shared" si="47"/>
        <v/>
      </c>
      <c r="J597" s="29" t="str">
        <f t="shared" si="48"/>
        <v/>
      </c>
      <c r="K597" s="29" t="str">
        <f t="shared" si="49"/>
        <v/>
      </c>
    </row>
    <row r="598" spans="1:11" ht="15" x14ac:dyDescent="0.25">
      <c r="A598" s="1" t="str">
        <f>IF('1.1 Produksi Bersih Padi 2025'!A598="","",'1.1 Produksi Bersih Padi 2025'!A598)</f>
        <v/>
      </c>
      <c r="B598" s="31" t="str">
        <f>IF('1.1 Produksi Bersih Padi 2025'!B598="","",'1.1 Produksi Bersih Padi 2025'!B598)</f>
        <v/>
      </c>
      <c r="C598" s="31" t="str">
        <f>IF('1.1 Produksi Bersih Padi 2025'!C598="","",'1.1 Produksi Bersih Padi 2025'!C598)</f>
        <v/>
      </c>
      <c r="D598" s="1" t="str">
        <f>IF('1.1 Produksi Bersih Padi 2025'!D598="","",'1.1 Produksi Bersih Padi 2025'!D598)</f>
        <v/>
      </c>
      <c r="E598" s="1" t="str">
        <f>IF('1.1 Produksi Bersih Padi 2025'!E598="","",'1.1 Produksi Bersih Padi 2025'!E598)</f>
        <v/>
      </c>
      <c r="F598" s="28" t="str">
        <f>IF(D598="","",VLOOKUP(D598,'[1]0.1 Produksi Pangan &amp; Penduduk'!$D$5:$AE$860,28,0))</f>
        <v/>
      </c>
      <c r="G598" s="29" t="str">
        <f t="shared" si="45"/>
        <v/>
      </c>
      <c r="H598" s="29" t="str">
        <f t="shared" si="46"/>
        <v/>
      </c>
      <c r="I598" s="29" t="str">
        <f t="shared" si="47"/>
        <v/>
      </c>
      <c r="J598" s="29" t="str">
        <f t="shared" si="48"/>
        <v/>
      </c>
      <c r="K598" s="29" t="str">
        <f t="shared" si="49"/>
        <v/>
      </c>
    </row>
    <row r="599" spans="1:11" ht="15" x14ac:dyDescent="0.25">
      <c r="A599" s="1" t="str">
        <f>IF('1.1 Produksi Bersih Padi 2025'!A599="","",'1.1 Produksi Bersih Padi 2025'!A599)</f>
        <v/>
      </c>
      <c r="B599" s="31" t="str">
        <f>IF('1.1 Produksi Bersih Padi 2025'!B599="","",'1.1 Produksi Bersih Padi 2025'!B599)</f>
        <v/>
      </c>
      <c r="C599" s="31" t="str">
        <f>IF('1.1 Produksi Bersih Padi 2025'!C599="","",'1.1 Produksi Bersih Padi 2025'!C599)</f>
        <v/>
      </c>
      <c r="D599" s="1" t="str">
        <f>IF('1.1 Produksi Bersih Padi 2025'!D599="","",'1.1 Produksi Bersih Padi 2025'!D599)</f>
        <v/>
      </c>
      <c r="E599" s="1" t="str">
        <f>IF('1.1 Produksi Bersih Padi 2025'!E599="","",'1.1 Produksi Bersih Padi 2025'!E599)</f>
        <v/>
      </c>
      <c r="F599" s="28" t="str">
        <f>IF(D599="","",VLOOKUP(D599,'[1]0.1 Produksi Pangan &amp; Penduduk'!$D$5:$AE$860,28,0))</f>
        <v/>
      </c>
      <c r="G599" s="29" t="str">
        <f t="shared" si="45"/>
        <v/>
      </c>
      <c r="H599" s="29" t="str">
        <f t="shared" si="46"/>
        <v/>
      </c>
      <c r="I599" s="29" t="str">
        <f t="shared" si="47"/>
        <v/>
      </c>
      <c r="J599" s="29" t="str">
        <f t="shared" si="48"/>
        <v/>
      </c>
      <c r="K599" s="29" t="str">
        <f t="shared" si="49"/>
        <v/>
      </c>
    </row>
    <row r="600" spans="1:11" ht="15" x14ac:dyDescent="0.25">
      <c r="A600" s="1" t="str">
        <f>IF('1.1 Produksi Bersih Padi 2025'!A600="","",'1.1 Produksi Bersih Padi 2025'!A600)</f>
        <v/>
      </c>
      <c r="B600" s="31" t="str">
        <f>IF('1.1 Produksi Bersih Padi 2025'!B600="","",'1.1 Produksi Bersih Padi 2025'!B600)</f>
        <v/>
      </c>
      <c r="C600" s="31" t="str">
        <f>IF('1.1 Produksi Bersih Padi 2025'!C600="","",'1.1 Produksi Bersih Padi 2025'!C600)</f>
        <v/>
      </c>
      <c r="D600" s="1" t="str">
        <f>IF('1.1 Produksi Bersih Padi 2025'!D600="","",'1.1 Produksi Bersih Padi 2025'!D600)</f>
        <v/>
      </c>
      <c r="E600" s="1" t="str">
        <f>IF('1.1 Produksi Bersih Padi 2025'!E600="","",'1.1 Produksi Bersih Padi 2025'!E600)</f>
        <v/>
      </c>
      <c r="F600" s="28" t="str">
        <f>IF(D600="","",VLOOKUP(D600,'[1]0.1 Produksi Pangan &amp; Penduduk'!$D$5:$AE$860,28,0))</f>
        <v/>
      </c>
      <c r="G600" s="29" t="str">
        <f t="shared" si="45"/>
        <v/>
      </c>
      <c r="H600" s="29" t="str">
        <f t="shared" si="46"/>
        <v/>
      </c>
      <c r="I600" s="29" t="str">
        <f t="shared" si="47"/>
        <v/>
      </c>
      <c r="J600" s="29" t="str">
        <f t="shared" si="48"/>
        <v/>
      </c>
      <c r="K600" s="29" t="str">
        <f t="shared" si="49"/>
        <v/>
      </c>
    </row>
    <row r="601" spans="1:11" ht="15" x14ac:dyDescent="0.25">
      <c r="A601" s="1" t="str">
        <f>IF('1.1 Produksi Bersih Padi 2025'!A601="","",'1.1 Produksi Bersih Padi 2025'!A601)</f>
        <v/>
      </c>
      <c r="B601" s="31" t="str">
        <f>IF('1.1 Produksi Bersih Padi 2025'!B601="","",'1.1 Produksi Bersih Padi 2025'!B601)</f>
        <v/>
      </c>
      <c r="C601" s="31" t="str">
        <f>IF('1.1 Produksi Bersih Padi 2025'!C601="","",'1.1 Produksi Bersih Padi 2025'!C601)</f>
        <v/>
      </c>
      <c r="D601" s="1" t="str">
        <f>IF('1.1 Produksi Bersih Padi 2025'!D601="","",'1.1 Produksi Bersih Padi 2025'!D601)</f>
        <v/>
      </c>
      <c r="E601" s="1" t="str">
        <f>IF('1.1 Produksi Bersih Padi 2025'!E601="","",'1.1 Produksi Bersih Padi 2025'!E601)</f>
        <v/>
      </c>
      <c r="F601" s="28" t="str">
        <f>IF(D601="","",VLOOKUP(D601,'[1]0.1 Produksi Pangan &amp; Penduduk'!$D$5:$AE$860,28,0))</f>
        <v/>
      </c>
      <c r="G601" s="29" t="str">
        <f t="shared" si="45"/>
        <v/>
      </c>
      <c r="H601" s="29" t="str">
        <f t="shared" si="46"/>
        <v/>
      </c>
      <c r="I601" s="29" t="str">
        <f t="shared" si="47"/>
        <v/>
      </c>
      <c r="J601" s="29" t="str">
        <f t="shared" si="48"/>
        <v/>
      </c>
      <c r="K601" s="29" t="str">
        <f t="shared" si="49"/>
        <v/>
      </c>
    </row>
    <row r="602" spans="1:11" ht="15" x14ac:dyDescent="0.25">
      <c r="A602" s="1" t="str">
        <f>IF('1.1 Produksi Bersih Padi 2025'!A602="","",'1.1 Produksi Bersih Padi 2025'!A602)</f>
        <v/>
      </c>
      <c r="B602" s="31" t="str">
        <f>IF('1.1 Produksi Bersih Padi 2025'!B602="","",'1.1 Produksi Bersih Padi 2025'!B602)</f>
        <v/>
      </c>
      <c r="C602" s="31" t="str">
        <f>IF('1.1 Produksi Bersih Padi 2025'!C602="","",'1.1 Produksi Bersih Padi 2025'!C602)</f>
        <v/>
      </c>
      <c r="D602" s="1" t="str">
        <f>IF('1.1 Produksi Bersih Padi 2025'!D602="","",'1.1 Produksi Bersih Padi 2025'!D602)</f>
        <v/>
      </c>
      <c r="E602" s="1" t="str">
        <f>IF('1.1 Produksi Bersih Padi 2025'!E602="","",'1.1 Produksi Bersih Padi 2025'!E602)</f>
        <v/>
      </c>
      <c r="F602" s="28" t="str">
        <f>IF(D602="","",VLOOKUP(D602,'[1]0.1 Produksi Pangan &amp; Penduduk'!$D$5:$AE$860,28,0))</f>
        <v/>
      </c>
      <c r="G602" s="29" t="str">
        <f t="shared" si="45"/>
        <v/>
      </c>
      <c r="H602" s="29" t="str">
        <f t="shared" si="46"/>
        <v/>
      </c>
      <c r="I602" s="29" t="str">
        <f t="shared" si="47"/>
        <v/>
      </c>
      <c r="J602" s="29" t="str">
        <f t="shared" si="48"/>
        <v/>
      </c>
      <c r="K602" s="29" t="str">
        <f t="shared" si="49"/>
        <v/>
      </c>
    </row>
    <row r="603" spans="1:11" ht="15" x14ac:dyDescent="0.25">
      <c r="A603" s="1" t="str">
        <f>IF('1.1 Produksi Bersih Padi 2025'!A603="","",'1.1 Produksi Bersih Padi 2025'!A603)</f>
        <v/>
      </c>
      <c r="B603" s="31" t="str">
        <f>IF('1.1 Produksi Bersih Padi 2025'!B603="","",'1.1 Produksi Bersih Padi 2025'!B603)</f>
        <v/>
      </c>
      <c r="C603" s="31" t="str">
        <f>IF('1.1 Produksi Bersih Padi 2025'!C603="","",'1.1 Produksi Bersih Padi 2025'!C603)</f>
        <v/>
      </c>
      <c r="D603" s="1" t="str">
        <f>IF('1.1 Produksi Bersih Padi 2025'!D603="","",'1.1 Produksi Bersih Padi 2025'!D603)</f>
        <v/>
      </c>
      <c r="E603" s="1" t="str">
        <f>IF('1.1 Produksi Bersih Padi 2025'!E603="","",'1.1 Produksi Bersih Padi 2025'!E603)</f>
        <v/>
      </c>
      <c r="F603" s="28" t="str">
        <f>IF(D603="","",VLOOKUP(D603,'[1]0.1 Produksi Pangan &amp; Penduduk'!$D$5:$AE$860,28,0))</f>
        <v/>
      </c>
      <c r="G603" s="29" t="str">
        <f t="shared" si="45"/>
        <v/>
      </c>
      <c r="H603" s="29" t="str">
        <f t="shared" si="46"/>
        <v/>
      </c>
      <c r="I603" s="29" t="str">
        <f t="shared" si="47"/>
        <v/>
      </c>
      <c r="J603" s="29" t="str">
        <f t="shared" si="48"/>
        <v/>
      </c>
      <c r="K603" s="29" t="str">
        <f t="shared" si="49"/>
        <v/>
      </c>
    </row>
    <row r="604" spans="1:11" ht="15" x14ac:dyDescent="0.25">
      <c r="A604" s="1" t="str">
        <f>IF('1.1 Produksi Bersih Padi 2025'!A604="","",'1.1 Produksi Bersih Padi 2025'!A604)</f>
        <v/>
      </c>
      <c r="B604" s="31" t="str">
        <f>IF('1.1 Produksi Bersih Padi 2025'!B604="","",'1.1 Produksi Bersih Padi 2025'!B604)</f>
        <v/>
      </c>
      <c r="C604" s="31" t="str">
        <f>IF('1.1 Produksi Bersih Padi 2025'!C604="","",'1.1 Produksi Bersih Padi 2025'!C604)</f>
        <v/>
      </c>
      <c r="D604" s="1" t="str">
        <f>IF('1.1 Produksi Bersih Padi 2025'!D604="","",'1.1 Produksi Bersih Padi 2025'!D604)</f>
        <v/>
      </c>
      <c r="E604" s="1" t="str">
        <f>IF('1.1 Produksi Bersih Padi 2025'!E604="","",'1.1 Produksi Bersih Padi 2025'!E604)</f>
        <v/>
      </c>
      <c r="F604" s="28" t="str">
        <f>IF(D604="","",VLOOKUP(D604,'[1]0.1 Produksi Pangan &amp; Penduduk'!$D$5:$AE$860,28,0))</f>
        <v/>
      </c>
      <c r="G604" s="29" t="str">
        <f t="shared" si="45"/>
        <v/>
      </c>
      <c r="H604" s="29" t="str">
        <f t="shared" si="46"/>
        <v/>
      </c>
      <c r="I604" s="29" t="str">
        <f t="shared" si="47"/>
        <v/>
      </c>
      <c r="J604" s="29" t="str">
        <f t="shared" si="48"/>
        <v/>
      </c>
      <c r="K604" s="29" t="str">
        <f t="shared" si="49"/>
        <v/>
      </c>
    </row>
    <row r="605" spans="1:11" ht="15" x14ac:dyDescent="0.25">
      <c r="A605" s="1" t="str">
        <f>IF('1.1 Produksi Bersih Padi 2025'!A605="","",'1.1 Produksi Bersih Padi 2025'!A605)</f>
        <v/>
      </c>
      <c r="B605" s="31" t="str">
        <f>IF('1.1 Produksi Bersih Padi 2025'!B605="","",'1.1 Produksi Bersih Padi 2025'!B605)</f>
        <v/>
      </c>
      <c r="C605" s="31" t="str">
        <f>IF('1.1 Produksi Bersih Padi 2025'!C605="","",'1.1 Produksi Bersih Padi 2025'!C605)</f>
        <v/>
      </c>
      <c r="D605" s="1" t="str">
        <f>IF('1.1 Produksi Bersih Padi 2025'!D605="","",'1.1 Produksi Bersih Padi 2025'!D605)</f>
        <v/>
      </c>
      <c r="E605" s="1" t="str">
        <f>IF('1.1 Produksi Bersih Padi 2025'!E605="","",'1.1 Produksi Bersih Padi 2025'!E605)</f>
        <v/>
      </c>
      <c r="F605" s="28" t="str">
        <f>IF(D605="","",VLOOKUP(D605,'[1]0.1 Produksi Pangan &amp; Penduduk'!$D$5:$AE$860,28,0))</f>
        <v/>
      </c>
      <c r="G605" s="29" t="str">
        <f t="shared" si="45"/>
        <v/>
      </c>
      <c r="H605" s="29" t="str">
        <f t="shared" si="46"/>
        <v/>
      </c>
      <c r="I605" s="29" t="str">
        <f t="shared" si="47"/>
        <v/>
      </c>
      <c r="J605" s="29" t="str">
        <f t="shared" si="48"/>
        <v/>
      </c>
      <c r="K605" s="29" t="str">
        <f t="shared" si="49"/>
        <v/>
      </c>
    </row>
    <row r="606" spans="1:11" ht="15" x14ac:dyDescent="0.25">
      <c r="A606" s="1" t="str">
        <f>IF('1.1 Produksi Bersih Padi 2025'!A606="","",'1.1 Produksi Bersih Padi 2025'!A606)</f>
        <v/>
      </c>
      <c r="B606" s="31" t="str">
        <f>IF('1.1 Produksi Bersih Padi 2025'!B606="","",'1.1 Produksi Bersih Padi 2025'!B606)</f>
        <v/>
      </c>
      <c r="C606" s="31" t="str">
        <f>IF('1.1 Produksi Bersih Padi 2025'!C606="","",'1.1 Produksi Bersih Padi 2025'!C606)</f>
        <v/>
      </c>
      <c r="D606" s="1" t="str">
        <f>IF('1.1 Produksi Bersih Padi 2025'!D606="","",'1.1 Produksi Bersih Padi 2025'!D606)</f>
        <v/>
      </c>
      <c r="E606" s="1" t="str">
        <f>IF('1.1 Produksi Bersih Padi 2025'!E606="","",'1.1 Produksi Bersih Padi 2025'!E606)</f>
        <v/>
      </c>
      <c r="F606" s="28" t="str">
        <f>IF(D606="","",VLOOKUP(D606,'[1]0.1 Produksi Pangan &amp; Penduduk'!$D$5:$AE$860,28,0))</f>
        <v/>
      </c>
      <c r="G606" s="29" t="str">
        <f t="shared" si="45"/>
        <v/>
      </c>
      <c r="H606" s="29" t="str">
        <f t="shared" si="46"/>
        <v/>
      </c>
      <c r="I606" s="29" t="str">
        <f t="shared" si="47"/>
        <v/>
      </c>
      <c r="J606" s="29" t="str">
        <f t="shared" si="48"/>
        <v/>
      </c>
      <c r="K606" s="29" t="str">
        <f t="shared" si="49"/>
        <v/>
      </c>
    </row>
    <row r="607" spans="1:11" ht="15" x14ac:dyDescent="0.25">
      <c r="A607" s="1" t="str">
        <f>IF('1.1 Produksi Bersih Padi 2025'!A607="","",'1.1 Produksi Bersih Padi 2025'!A607)</f>
        <v/>
      </c>
      <c r="B607" s="31" t="str">
        <f>IF('1.1 Produksi Bersih Padi 2025'!B607="","",'1.1 Produksi Bersih Padi 2025'!B607)</f>
        <v/>
      </c>
      <c r="C607" s="31" t="str">
        <f>IF('1.1 Produksi Bersih Padi 2025'!C607="","",'1.1 Produksi Bersih Padi 2025'!C607)</f>
        <v/>
      </c>
      <c r="D607" s="1" t="str">
        <f>IF('1.1 Produksi Bersih Padi 2025'!D607="","",'1.1 Produksi Bersih Padi 2025'!D607)</f>
        <v/>
      </c>
      <c r="E607" s="1" t="str">
        <f>IF('1.1 Produksi Bersih Padi 2025'!E607="","",'1.1 Produksi Bersih Padi 2025'!E607)</f>
        <v/>
      </c>
      <c r="F607" s="28" t="str">
        <f>IF(D607="","",VLOOKUP(D607,'[1]0.1 Produksi Pangan &amp; Penduduk'!$D$5:$AE$860,28,0))</f>
        <v/>
      </c>
      <c r="G607" s="29" t="str">
        <f t="shared" si="45"/>
        <v/>
      </c>
      <c r="H607" s="29" t="str">
        <f t="shared" si="46"/>
        <v/>
      </c>
      <c r="I607" s="29" t="str">
        <f t="shared" si="47"/>
        <v/>
      </c>
      <c r="J607" s="29" t="str">
        <f t="shared" si="48"/>
        <v/>
      </c>
      <c r="K607" s="29" t="str">
        <f t="shared" si="49"/>
        <v/>
      </c>
    </row>
    <row r="608" spans="1:11" ht="15" x14ac:dyDescent="0.25">
      <c r="A608" s="1" t="str">
        <f>IF('1.1 Produksi Bersih Padi 2025'!A608="","",'1.1 Produksi Bersih Padi 2025'!A608)</f>
        <v/>
      </c>
      <c r="B608" s="31" t="str">
        <f>IF('1.1 Produksi Bersih Padi 2025'!B608="","",'1.1 Produksi Bersih Padi 2025'!B608)</f>
        <v/>
      </c>
      <c r="C608" s="31" t="str">
        <f>IF('1.1 Produksi Bersih Padi 2025'!C608="","",'1.1 Produksi Bersih Padi 2025'!C608)</f>
        <v/>
      </c>
      <c r="D608" s="1" t="str">
        <f>IF('1.1 Produksi Bersih Padi 2025'!D608="","",'1.1 Produksi Bersih Padi 2025'!D608)</f>
        <v/>
      </c>
      <c r="E608" s="1" t="str">
        <f>IF('1.1 Produksi Bersih Padi 2025'!E608="","",'1.1 Produksi Bersih Padi 2025'!E608)</f>
        <v/>
      </c>
      <c r="F608" s="28" t="str">
        <f>IF(D608="","",VLOOKUP(D608,'[1]0.1 Produksi Pangan &amp; Penduduk'!$D$5:$AE$860,28,0))</f>
        <v/>
      </c>
      <c r="G608" s="29" t="str">
        <f t="shared" si="45"/>
        <v/>
      </c>
      <c r="H608" s="29" t="str">
        <f t="shared" si="46"/>
        <v/>
      </c>
      <c r="I608" s="29" t="str">
        <f t="shared" si="47"/>
        <v/>
      </c>
      <c r="J608" s="29" t="str">
        <f t="shared" si="48"/>
        <v/>
      </c>
      <c r="K608" s="29" t="str">
        <f t="shared" si="49"/>
        <v/>
      </c>
    </row>
    <row r="609" spans="1:11" ht="15" x14ac:dyDescent="0.25">
      <c r="A609" s="1" t="str">
        <f>IF('1.1 Produksi Bersih Padi 2025'!A609="","",'1.1 Produksi Bersih Padi 2025'!A609)</f>
        <v/>
      </c>
      <c r="B609" s="31" t="str">
        <f>IF('1.1 Produksi Bersih Padi 2025'!B609="","",'1.1 Produksi Bersih Padi 2025'!B609)</f>
        <v/>
      </c>
      <c r="C609" s="31" t="str">
        <f>IF('1.1 Produksi Bersih Padi 2025'!C609="","",'1.1 Produksi Bersih Padi 2025'!C609)</f>
        <v/>
      </c>
      <c r="D609" s="1" t="str">
        <f>IF('1.1 Produksi Bersih Padi 2025'!D609="","",'1.1 Produksi Bersih Padi 2025'!D609)</f>
        <v/>
      </c>
      <c r="E609" s="1" t="str">
        <f>IF('1.1 Produksi Bersih Padi 2025'!E609="","",'1.1 Produksi Bersih Padi 2025'!E609)</f>
        <v/>
      </c>
      <c r="F609" s="28" t="str">
        <f>IF(D609="","",VLOOKUP(D609,'[1]0.1 Produksi Pangan &amp; Penduduk'!$D$5:$AE$860,28,0))</f>
        <v/>
      </c>
      <c r="G609" s="29" t="str">
        <f t="shared" si="45"/>
        <v/>
      </c>
      <c r="H609" s="29" t="str">
        <f t="shared" si="46"/>
        <v/>
      </c>
      <c r="I609" s="29" t="str">
        <f t="shared" si="47"/>
        <v/>
      </c>
      <c r="J609" s="29" t="str">
        <f t="shared" si="48"/>
        <v/>
      </c>
      <c r="K609" s="29" t="str">
        <f t="shared" si="49"/>
        <v/>
      </c>
    </row>
    <row r="610" spans="1:11" ht="15" x14ac:dyDescent="0.25">
      <c r="A610" s="1" t="str">
        <f>IF('1.1 Produksi Bersih Padi 2025'!A610="","",'1.1 Produksi Bersih Padi 2025'!A610)</f>
        <v/>
      </c>
      <c r="B610" s="31" t="str">
        <f>IF('1.1 Produksi Bersih Padi 2025'!B610="","",'1.1 Produksi Bersih Padi 2025'!B610)</f>
        <v/>
      </c>
      <c r="C610" s="31" t="str">
        <f>IF('1.1 Produksi Bersih Padi 2025'!C610="","",'1.1 Produksi Bersih Padi 2025'!C610)</f>
        <v/>
      </c>
      <c r="D610" s="1" t="str">
        <f>IF('1.1 Produksi Bersih Padi 2025'!D610="","",'1.1 Produksi Bersih Padi 2025'!D610)</f>
        <v/>
      </c>
      <c r="E610" s="1" t="str">
        <f>IF('1.1 Produksi Bersih Padi 2025'!E610="","",'1.1 Produksi Bersih Padi 2025'!E610)</f>
        <v/>
      </c>
      <c r="F610" s="28" t="str">
        <f>IF(D610="","",VLOOKUP(D610,'[1]0.1 Produksi Pangan &amp; Penduduk'!$D$5:$AE$860,28,0))</f>
        <v/>
      </c>
      <c r="G610" s="29" t="str">
        <f t="shared" si="45"/>
        <v/>
      </c>
      <c r="H610" s="29" t="str">
        <f t="shared" si="46"/>
        <v/>
      </c>
      <c r="I610" s="29" t="str">
        <f t="shared" si="47"/>
        <v/>
      </c>
      <c r="J610" s="29" t="str">
        <f t="shared" si="48"/>
        <v/>
      </c>
      <c r="K610" s="29" t="str">
        <f t="shared" si="49"/>
        <v/>
      </c>
    </row>
    <row r="611" spans="1:11" ht="15" x14ac:dyDescent="0.25">
      <c r="A611" s="1" t="str">
        <f>IF('1.1 Produksi Bersih Padi 2025'!A611="","",'1.1 Produksi Bersih Padi 2025'!A611)</f>
        <v/>
      </c>
      <c r="B611" s="31" t="str">
        <f>IF('1.1 Produksi Bersih Padi 2025'!B611="","",'1.1 Produksi Bersih Padi 2025'!B611)</f>
        <v/>
      </c>
      <c r="C611" s="31" t="str">
        <f>IF('1.1 Produksi Bersih Padi 2025'!C611="","",'1.1 Produksi Bersih Padi 2025'!C611)</f>
        <v/>
      </c>
      <c r="D611" s="1" t="str">
        <f>IF('1.1 Produksi Bersih Padi 2025'!D611="","",'1.1 Produksi Bersih Padi 2025'!D611)</f>
        <v/>
      </c>
      <c r="E611" s="1" t="str">
        <f>IF('1.1 Produksi Bersih Padi 2025'!E611="","",'1.1 Produksi Bersih Padi 2025'!E611)</f>
        <v/>
      </c>
      <c r="F611" s="28" t="str">
        <f>IF(D611="","",VLOOKUP(D611,'[1]0.1 Produksi Pangan &amp; Penduduk'!$D$5:$AE$860,28,0))</f>
        <v/>
      </c>
      <c r="G611" s="29" t="str">
        <f t="shared" si="45"/>
        <v/>
      </c>
      <c r="H611" s="29" t="str">
        <f t="shared" si="46"/>
        <v/>
      </c>
      <c r="I611" s="29" t="str">
        <f t="shared" si="47"/>
        <v/>
      </c>
      <c r="J611" s="29" t="str">
        <f t="shared" si="48"/>
        <v/>
      </c>
      <c r="K611" s="29" t="str">
        <f t="shared" si="49"/>
        <v/>
      </c>
    </row>
    <row r="612" spans="1:11" ht="15" x14ac:dyDescent="0.25">
      <c r="A612" s="1" t="str">
        <f>IF('1.1 Produksi Bersih Padi 2025'!A612="","",'1.1 Produksi Bersih Padi 2025'!A612)</f>
        <v/>
      </c>
      <c r="B612" s="31" t="str">
        <f>IF('1.1 Produksi Bersih Padi 2025'!B612="","",'1.1 Produksi Bersih Padi 2025'!B612)</f>
        <v/>
      </c>
      <c r="C612" s="31" t="str">
        <f>IF('1.1 Produksi Bersih Padi 2025'!C612="","",'1.1 Produksi Bersih Padi 2025'!C612)</f>
        <v/>
      </c>
      <c r="D612" s="1" t="str">
        <f>IF('1.1 Produksi Bersih Padi 2025'!D612="","",'1.1 Produksi Bersih Padi 2025'!D612)</f>
        <v/>
      </c>
      <c r="E612" s="1" t="str">
        <f>IF('1.1 Produksi Bersih Padi 2025'!E612="","",'1.1 Produksi Bersih Padi 2025'!E612)</f>
        <v/>
      </c>
      <c r="F612" s="28" t="str">
        <f>IF(D612="","",VLOOKUP(D612,'[1]0.1 Produksi Pangan &amp; Penduduk'!$D$5:$AE$860,28,0))</f>
        <v/>
      </c>
      <c r="G612" s="29" t="str">
        <f t="shared" si="45"/>
        <v/>
      </c>
      <c r="H612" s="29" t="str">
        <f t="shared" si="46"/>
        <v/>
      </c>
      <c r="I612" s="29" t="str">
        <f t="shared" si="47"/>
        <v/>
      </c>
      <c r="J612" s="29" t="str">
        <f t="shared" si="48"/>
        <v/>
      </c>
      <c r="K612" s="29" t="str">
        <f t="shared" si="49"/>
        <v/>
      </c>
    </row>
    <row r="613" spans="1:11" ht="15" x14ac:dyDescent="0.25">
      <c r="A613" s="1" t="str">
        <f>IF('1.1 Produksi Bersih Padi 2025'!A613="","",'1.1 Produksi Bersih Padi 2025'!A613)</f>
        <v/>
      </c>
      <c r="B613" s="31" t="str">
        <f>IF('1.1 Produksi Bersih Padi 2025'!B613="","",'1.1 Produksi Bersih Padi 2025'!B613)</f>
        <v/>
      </c>
      <c r="C613" s="31" t="str">
        <f>IF('1.1 Produksi Bersih Padi 2025'!C613="","",'1.1 Produksi Bersih Padi 2025'!C613)</f>
        <v/>
      </c>
      <c r="D613" s="1" t="str">
        <f>IF('1.1 Produksi Bersih Padi 2025'!D613="","",'1.1 Produksi Bersih Padi 2025'!D613)</f>
        <v/>
      </c>
      <c r="E613" s="1" t="str">
        <f>IF('1.1 Produksi Bersih Padi 2025'!E613="","",'1.1 Produksi Bersih Padi 2025'!E613)</f>
        <v/>
      </c>
      <c r="F613" s="28" t="str">
        <f>IF(D613="","",VLOOKUP(D613,'[1]0.1 Produksi Pangan &amp; Penduduk'!$D$5:$AE$860,28,0))</f>
        <v/>
      </c>
      <c r="G613" s="29" t="str">
        <f t="shared" si="45"/>
        <v/>
      </c>
      <c r="H613" s="29" t="str">
        <f t="shared" si="46"/>
        <v/>
      </c>
      <c r="I613" s="29" t="str">
        <f t="shared" si="47"/>
        <v/>
      </c>
      <c r="J613" s="29" t="str">
        <f t="shared" si="48"/>
        <v/>
      </c>
      <c r="K613" s="29" t="str">
        <f t="shared" si="49"/>
        <v/>
      </c>
    </row>
    <row r="614" spans="1:11" ht="15" x14ac:dyDescent="0.25">
      <c r="A614" s="1" t="str">
        <f>IF('1.1 Produksi Bersih Padi 2025'!A614="","",'1.1 Produksi Bersih Padi 2025'!A614)</f>
        <v/>
      </c>
      <c r="B614" s="31" t="str">
        <f>IF('1.1 Produksi Bersih Padi 2025'!B614="","",'1.1 Produksi Bersih Padi 2025'!B614)</f>
        <v/>
      </c>
      <c r="C614" s="31" t="str">
        <f>IF('1.1 Produksi Bersih Padi 2025'!C614="","",'1.1 Produksi Bersih Padi 2025'!C614)</f>
        <v/>
      </c>
      <c r="D614" s="1" t="str">
        <f>IF('1.1 Produksi Bersih Padi 2025'!D614="","",'1.1 Produksi Bersih Padi 2025'!D614)</f>
        <v/>
      </c>
      <c r="E614" s="1" t="str">
        <f>IF('1.1 Produksi Bersih Padi 2025'!E614="","",'1.1 Produksi Bersih Padi 2025'!E614)</f>
        <v/>
      </c>
      <c r="F614" s="28" t="str">
        <f>IF(D614="","",VLOOKUP(D614,'[1]0.1 Produksi Pangan &amp; Penduduk'!$D$5:$AE$860,28,0))</f>
        <v/>
      </c>
      <c r="G614" s="29" t="str">
        <f t="shared" si="45"/>
        <v/>
      </c>
      <c r="H614" s="29" t="str">
        <f t="shared" si="46"/>
        <v/>
      </c>
      <c r="I614" s="29" t="str">
        <f t="shared" si="47"/>
        <v/>
      </c>
      <c r="J614" s="29" t="str">
        <f t="shared" si="48"/>
        <v/>
      </c>
      <c r="K614" s="29" t="str">
        <f t="shared" si="49"/>
        <v/>
      </c>
    </row>
    <row r="615" spans="1:11" ht="15" x14ac:dyDescent="0.25">
      <c r="A615" s="1" t="str">
        <f>IF('1.1 Produksi Bersih Padi 2025'!A615="","",'1.1 Produksi Bersih Padi 2025'!A615)</f>
        <v/>
      </c>
      <c r="B615" s="31" t="str">
        <f>IF('1.1 Produksi Bersih Padi 2025'!B615="","",'1.1 Produksi Bersih Padi 2025'!B615)</f>
        <v/>
      </c>
      <c r="C615" s="31" t="str">
        <f>IF('1.1 Produksi Bersih Padi 2025'!C615="","",'1.1 Produksi Bersih Padi 2025'!C615)</f>
        <v/>
      </c>
      <c r="D615" s="1" t="str">
        <f>IF('1.1 Produksi Bersih Padi 2025'!D615="","",'1.1 Produksi Bersih Padi 2025'!D615)</f>
        <v/>
      </c>
      <c r="E615" s="1" t="str">
        <f>IF('1.1 Produksi Bersih Padi 2025'!E615="","",'1.1 Produksi Bersih Padi 2025'!E615)</f>
        <v/>
      </c>
      <c r="F615" s="28" t="str">
        <f>IF(D615="","",VLOOKUP(D615,'[1]0.1 Produksi Pangan &amp; Penduduk'!$D$5:$AE$860,28,0))</f>
        <v/>
      </c>
      <c r="G615" s="29" t="str">
        <f t="shared" si="45"/>
        <v/>
      </c>
      <c r="H615" s="29" t="str">
        <f t="shared" si="46"/>
        <v/>
      </c>
      <c r="I615" s="29" t="str">
        <f t="shared" si="47"/>
        <v/>
      </c>
      <c r="J615" s="29" t="str">
        <f t="shared" si="48"/>
        <v/>
      </c>
      <c r="K615" s="29" t="str">
        <f t="shared" si="49"/>
        <v/>
      </c>
    </row>
    <row r="616" spans="1:11" ht="15" x14ac:dyDescent="0.25">
      <c r="A616" s="1" t="str">
        <f>IF('1.1 Produksi Bersih Padi 2025'!A616="","",'1.1 Produksi Bersih Padi 2025'!A616)</f>
        <v/>
      </c>
      <c r="B616" s="31" t="str">
        <f>IF('1.1 Produksi Bersih Padi 2025'!B616="","",'1.1 Produksi Bersih Padi 2025'!B616)</f>
        <v/>
      </c>
      <c r="C616" s="31" t="str">
        <f>IF('1.1 Produksi Bersih Padi 2025'!C616="","",'1.1 Produksi Bersih Padi 2025'!C616)</f>
        <v/>
      </c>
      <c r="D616" s="1" t="str">
        <f>IF('1.1 Produksi Bersih Padi 2025'!D616="","",'1.1 Produksi Bersih Padi 2025'!D616)</f>
        <v/>
      </c>
      <c r="E616" s="1" t="str">
        <f>IF('1.1 Produksi Bersih Padi 2025'!E616="","",'1.1 Produksi Bersih Padi 2025'!E616)</f>
        <v/>
      </c>
      <c r="F616" s="28" t="str">
        <f>IF(D616="","",VLOOKUP(D616,'[1]0.1 Produksi Pangan &amp; Penduduk'!$D$5:$AE$860,28,0))</f>
        <v/>
      </c>
      <c r="G616" s="29" t="str">
        <f t="shared" si="45"/>
        <v/>
      </c>
      <c r="H616" s="29" t="str">
        <f t="shared" si="46"/>
        <v/>
      </c>
      <c r="I616" s="29" t="str">
        <f t="shared" si="47"/>
        <v/>
      </c>
      <c r="J616" s="29" t="str">
        <f t="shared" si="48"/>
        <v/>
      </c>
      <c r="K616" s="29" t="str">
        <f t="shared" si="49"/>
        <v/>
      </c>
    </row>
    <row r="617" spans="1:11" ht="15" x14ac:dyDescent="0.25">
      <c r="A617" s="1" t="str">
        <f>IF('1.1 Produksi Bersih Padi 2025'!A617="","",'1.1 Produksi Bersih Padi 2025'!A617)</f>
        <v/>
      </c>
      <c r="B617" s="31" t="str">
        <f>IF('1.1 Produksi Bersih Padi 2025'!B617="","",'1.1 Produksi Bersih Padi 2025'!B617)</f>
        <v/>
      </c>
      <c r="C617" s="31" t="str">
        <f>IF('1.1 Produksi Bersih Padi 2025'!C617="","",'1.1 Produksi Bersih Padi 2025'!C617)</f>
        <v/>
      </c>
      <c r="D617" s="1" t="str">
        <f>IF('1.1 Produksi Bersih Padi 2025'!D617="","",'1.1 Produksi Bersih Padi 2025'!D617)</f>
        <v/>
      </c>
      <c r="E617" s="1" t="str">
        <f>IF('1.1 Produksi Bersih Padi 2025'!E617="","",'1.1 Produksi Bersih Padi 2025'!E617)</f>
        <v/>
      </c>
      <c r="F617" s="28" t="str">
        <f>IF(D617="","",VLOOKUP(D617,'[1]0.1 Produksi Pangan &amp; Penduduk'!$D$5:$AE$860,28,0))</f>
        <v/>
      </c>
      <c r="G617" s="29" t="str">
        <f t="shared" si="45"/>
        <v/>
      </c>
      <c r="H617" s="29" t="str">
        <f t="shared" si="46"/>
        <v/>
      </c>
      <c r="I617" s="29" t="str">
        <f t="shared" si="47"/>
        <v/>
      </c>
      <c r="J617" s="29" t="str">
        <f t="shared" si="48"/>
        <v/>
      </c>
      <c r="K617" s="29" t="str">
        <f t="shared" si="49"/>
        <v/>
      </c>
    </row>
    <row r="618" spans="1:11" ht="15" x14ac:dyDescent="0.25">
      <c r="A618" s="1" t="str">
        <f>IF('1.1 Produksi Bersih Padi 2025'!A618="","",'1.1 Produksi Bersih Padi 2025'!A618)</f>
        <v/>
      </c>
      <c r="B618" s="31" t="str">
        <f>IF('1.1 Produksi Bersih Padi 2025'!B618="","",'1.1 Produksi Bersih Padi 2025'!B618)</f>
        <v/>
      </c>
      <c r="C618" s="31" t="str">
        <f>IF('1.1 Produksi Bersih Padi 2025'!C618="","",'1.1 Produksi Bersih Padi 2025'!C618)</f>
        <v/>
      </c>
      <c r="D618" s="1" t="str">
        <f>IF('1.1 Produksi Bersih Padi 2025'!D618="","",'1.1 Produksi Bersih Padi 2025'!D618)</f>
        <v/>
      </c>
      <c r="E618" s="1" t="str">
        <f>IF('1.1 Produksi Bersih Padi 2025'!E618="","",'1.1 Produksi Bersih Padi 2025'!E618)</f>
        <v/>
      </c>
      <c r="F618" s="28" t="str">
        <f>IF(D618="","",VLOOKUP(D618,'[1]0.1 Produksi Pangan &amp; Penduduk'!$D$5:$AE$860,28,0))</f>
        <v/>
      </c>
      <c r="G618" s="29" t="str">
        <f t="shared" si="45"/>
        <v/>
      </c>
      <c r="H618" s="29" t="str">
        <f t="shared" si="46"/>
        <v/>
      </c>
      <c r="I618" s="29" t="str">
        <f t="shared" si="47"/>
        <v/>
      </c>
      <c r="J618" s="29" t="str">
        <f t="shared" si="48"/>
        <v/>
      </c>
      <c r="K618" s="29" t="str">
        <f t="shared" si="49"/>
        <v/>
      </c>
    </row>
    <row r="619" spans="1:11" ht="15" x14ac:dyDescent="0.25">
      <c r="A619" s="1" t="str">
        <f>IF('1.1 Produksi Bersih Padi 2025'!A619="","",'1.1 Produksi Bersih Padi 2025'!A619)</f>
        <v/>
      </c>
      <c r="B619" s="31" t="str">
        <f>IF('1.1 Produksi Bersih Padi 2025'!B619="","",'1.1 Produksi Bersih Padi 2025'!B619)</f>
        <v/>
      </c>
      <c r="C619" s="31" t="str">
        <f>IF('1.1 Produksi Bersih Padi 2025'!C619="","",'1.1 Produksi Bersih Padi 2025'!C619)</f>
        <v/>
      </c>
      <c r="D619" s="1" t="str">
        <f>IF('1.1 Produksi Bersih Padi 2025'!D619="","",'1.1 Produksi Bersih Padi 2025'!D619)</f>
        <v/>
      </c>
      <c r="E619" s="1" t="str">
        <f>IF('1.1 Produksi Bersih Padi 2025'!E619="","",'1.1 Produksi Bersih Padi 2025'!E619)</f>
        <v/>
      </c>
      <c r="F619" s="28" t="str">
        <f>IF(D619="","",VLOOKUP(D619,'[1]0.1 Produksi Pangan &amp; Penduduk'!$D$5:$AE$860,28,0))</f>
        <v/>
      </c>
      <c r="G619" s="29" t="str">
        <f t="shared" si="45"/>
        <v/>
      </c>
      <c r="H619" s="29" t="str">
        <f t="shared" si="46"/>
        <v/>
      </c>
      <c r="I619" s="29" t="str">
        <f t="shared" si="47"/>
        <v/>
      </c>
      <c r="J619" s="29" t="str">
        <f t="shared" si="48"/>
        <v/>
      </c>
      <c r="K619" s="29" t="str">
        <f t="shared" si="49"/>
        <v/>
      </c>
    </row>
    <row r="620" spans="1:11" ht="15" x14ac:dyDescent="0.25">
      <c r="A620" s="1" t="str">
        <f>IF('1.1 Produksi Bersih Padi 2025'!A620="","",'1.1 Produksi Bersih Padi 2025'!A620)</f>
        <v/>
      </c>
      <c r="B620" s="31" t="str">
        <f>IF('1.1 Produksi Bersih Padi 2025'!B620="","",'1.1 Produksi Bersih Padi 2025'!B620)</f>
        <v/>
      </c>
      <c r="C620" s="31" t="str">
        <f>IF('1.1 Produksi Bersih Padi 2025'!C620="","",'1.1 Produksi Bersih Padi 2025'!C620)</f>
        <v/>
      </c>
      <c r="D620" s="1" t="str">
        <f>IF('1.1 Produksi Bersih Padi 2025'!D620="","",'1.1 Produksi Bersih Padi 2025'!D620)</f>
        <v/>
      </c>
      <c r="E620" s="1" t="str">
        <f>IF('1.1 Produksi Bersih Padi 2025'!E620="","",'1.1 Produksi Bersih Padi 2025'!E620)</f>
        <v/>
      </c>
      <c r="F620" s="28" t="str">
        <f>IF(D620="","",VLOOKUP(D620,'[1]0.1 Produksi Pangan &amp; Penduduk'!$D$5:$AE$860,28,0))</f>
        <v/>
      </c>
      <c r="G620" s="29" t="str">
        <f t="shared" si="45"/>
        <v/>
      </c>
      <c r="H620" s="29" t="str">
        <f t="shared" si="46"/>
        <v/>
      </c>
      <c r="I620" s="29" t="str">
        <f t="shared" si="47"/>
        <v/>
      </c>
      <c r="J620" s="29" t="str">
        <f t="shared" si="48"/>
        <v/>
      </c>
      <c r="K620" s="29" t="str">
        <f t="shared" si="49"/>
        <v/>
      </c>
    </row>
    <row r="621" spans="1:11" ht="15" x14ac:dyDescent="0.25">
      <c r="A621" s="1" t="str">
        <f>IF('1.1 Produksi Bersih Padi 2025'!A621="","",'1.1 Produksi Bersih Padi 2025'!A621)</f>
        <v/>
      </c>
      <c r="B621" s="31" t="str">
        <f>IF('1.1 Produksi Bersih Padi 2025'!B621="","",'1.1 Produksi Bersih Padi 2025'!B621)</f>
        <v/>
      </c>
      <c r="C621" s="31" t="str">
        <f>IF('1.1 Produksi Bersih Padi 2025'!C621="","",'1.1 Produksi Bersih Padi 2025'!C621)</f>
        <v/>
      </c>
      <c r="D621" s="1" t="str">
        <f>IF('1.1 Produksi Bersih Padi 2025'!D621="","",'1.1 Produksi Bersih Padi 2025'!D621)</f>
        <v/>
      </c>
      <c r="E621" s="1" t="str">
        <f>IF('1.1 Produksi Bersih Padi 2025'!E621="","",'1.1 Produksi Bersih Padi 2025'!E621)</f>
        <v/>
      </c>
      <c r="F621" s="28" t="str">
        <f>IF(D621="","",VLOOKUP(D621,'[1]0.1 Produksi Pangan &amp; Penduduk'!$D$5:$AE$860,28,0))</f>
        <v/>
      </c>
      <c r="G621" s="29" t="str">
        <f t="shared" si="45"/>
        <v/>
      </c>
      <c r="H621" s="29" t="str">
        <f t="shared" si="46"/>
        <v/>
      </c>
      <c r="I621" s="29" t="str">
        <f t="shared" si="47"/>
        <v/>
      </c>
      <c r="J621" s="29" t="str">
        <f t="shared" si="48"/>
        <v/>
      </c>
      <c r="K621" s="29" t="str">
        <f t="shared" si="49"/>
        <v/>
      </c>
    </row>
    <row r="622" spans="1:11" ht="15" x14ac:dyDescent="0.25">
      <c r="A622" s="1" t="str">
        <f>IF('1.1 Produksi Bersih Padi 2025'!A622="","",'1.1 Produksi Bersih Padi 2025'!A622)</f>
        <v/>
      </c>
      <c r="B622" s="31" t="str">
        <f>IF('1.1 Produksi Bersih Padi 2025'!B622="","",'1.1 Produksi Bersih Padi 2025'!B622)</f>
        <v/>
      </c>
      <c r="C622" s="31" t="str">
        <f>IF('1.1 Produksi Bersih Padi 2025'!C622="","",'1.1 Produksi Bersih Padi 2025'!C622)</f>
        <v/>
      </c>
      <c r="D622" s="1" t="str">
        <f>IF('1.1 Produksi Bersih Padi 2025'!D622="","",'1.1 Produksi Bersih Padi 2025'!D622)</f>
        <v/>
      </c>
      <c r="E622" s="1" t="str">
        <f>IF('1.1 Produksi Bersih Padi 2025'!E622="","",'1.1 Produksi Bersih Padi 2025'!E622)</f>
        <v/>
      </c>
      <c r="F622" s="28" t="str">
        <f>IF(D622="","",VLOOKUP(D622,'[1]0.1 Produksi Pangan &amp; Penduduk'!$D$5:$AE$860,28,0))</f>
        <v/>
      </c>
      <c r="G622" s="29" t="str">
        <f t="shared" si="45"/>
        <v/>
      </c>
      <c r="H622" s="29" t="str">
        <f t="shared" si="46"/>
        <v/>
      </c>
      <c r="I622" s="29" t="str">
        <f t="shared" si="47"/>
        <v/>
      </c>
      <c r="J622" s="29" t="str">
        <f t="shared" si="48"/>
        <v/>
      </c>
      <c r="K622" s="29" t="str">
        <f t="shared" si="49"/>
        <v/>
      </c>
    </row>
    <row r="623" spans="1:11" ht="15" x14ac:dyDescent="0.25">
      <c r="A623" s="1" t="str">
        <f>IF('1.1 Produksi Bersih Padi 2025'!A623="","",'1.1 Produksi Bersih Padi 2025'!A623)</f>
        <v/>
      </c>
      <c r="B623" s="31" t="str">
        <f>IF('1.1 Produksi Bersih Padi 2025'!B623="","",'1.1 Produksi Bersih Padi 2025'!B623)</f>
        <v/>
      </c>
      <c r="C623" s="31" t="str">
        <f>IF('1.1 Produksi Bersih Padi 2025'!C623="","",'1.1 Produksi Bersih Padi 2025'!C623)</f>
        <v/>
      </c>
      <c r="D623" s="1" t="str">
        <f>IF('1.1 Produksi Bersih Padi 2025'!D623="","",'1.1 Produksi Bersih Padi 2025'!D623)</f>
        <v/>
      </c>
      <c r="E623" s="1" t="str">
        <f>IF('1.1 Produksi Bersih Padi 2025'!E623="","",'1.1 Produksi Bersih Padi 2025'!E623)</f>
        <v/>
      </c>
      <c r="F623" s="28" t="str">
        <f>IF(D623="","",VLOOKUP(D623,'[1]0.1 Produksi Pangan &amp; Penduduk'!$D$5:$AE$860,28,0))</f>
        <v/>
      </c>
      <c r="G623" s="29" t="str">
        <f t="shared" si="45"/>
        <v/>
      </c>
      <c r="H623" s="29" t="str">
        <f t="shared" si="46"/>
        <v/>
      </c>
      <c r="I623" s="29" t="str">
        <f t="shared" si="47"/>
        <v/>
      </c>
      <c r="J623" s="29" t="str">
        <f t="shared" si="48"/>
        <v/>
      </c>
      <c r="K623" s="29" t="str">
        <f t="shared" si="49"/>
        <v/>
      </c>
    </row>
    <row r="624" spans="1:11" ht="15" x14ac:dyDescent="0.25">
      <c r="A624" s="1" t="str">
        <f>IF('1.1 Produksi Bersih Padi 2025'!A624="","",'1.1 Produksi Bersih Padi 2025'!A624)</f>
        <v/>
      </c>
      <c r="B624" s="31" t="str">
        <f>IF('1.1 Produksi Bersih Padi 2025'!B624="","",'1.1 Produksi Bersih Padi 2025'!B624)</f>
        <v/>
      </c>
      <c r="C624" s="31" t="str">
        <f>IF('1.1 Produksi Bersih Padi 2025'!C624="","",'1.1 Produksi Bersih Padi 2025'!C624)</f>
        <v/>
      </c>
      <c r="D624" s="1" t="str">
        <f>IF('1.1 Produksi Bersih Padi 2025'!D624="","",'1.1 Produksi Bersih Padi 2025'!D624)</f>
        <v/>
      </c>
      <c r="E624" s="1" t="str">
        <f>IF('1.1 Produksi Bersih Padi 2025'!E624="","",'1.1 Produksi Bersih Padi 2025'!E624)</f>
        <v/>
      </c>
      <c r="F624" s="28" t="str">
        <f>IF(D624="","",VLOOKUP(D624,'[1]0.1 Produksi Pangan &amp; Penduduk'!$D$5:$AE$860,28,0))</f>
        <v/>
      </c>
      <c r="G624" s="29" t="str">
        <f t="shared" si="45"/>
        <v/>
      </c>
      <c r="H624" s="29" t="str">
        <f t="shared" si="46"/>
        <v/>
      </c>
      <c r="I624" s="29" t="str">
        <f t="shared" si="47"/>
        <v/>
      </c>
      <c r="J624" s="29" t="str">
        <f t="shared" si="48"/>
        <v/>
      </c>
      <c r="K624" s="29" t="str">
        <f t="shared" si="49"/>
        <v/>
      </c>
    </row>
    <row r="625" spans="1:11" ht="15" x14ac:dyDescent="0.25">
      <c r="A625" s="1" t="str">
        <f>IF('1.1 Produksi Bersih Padi 2025'!A625="","",'1.1 Produksi Bersih Padi 2025'!A625)</f>
        <v/>
      </c>
      <c r="B625" s="31" t="str">
        <f>IF('1.1 Produksi Bersih Padi 2025'!B625="","",'1.1 Produksi Bersih Padi 2025'!B625)</f>
        <v/>
      </c>
      <c r="C625" s="31" t="str">
        <f>IF('1.1 Produksi Bersih Padi 2025'!C625="","",'1.1 Produksi Bersih Padi 2025'!C625)</f>
        <v/>
      </c>
      <c r="D625" s="1" t="str">
        <f>IF('1.1 Produksi Bersih Padi 2025'!D625="","",'1.1 Produksi Bersih Padi 2025'!D625)</f>
        <v/>
      </c>
      <c r="E625" s="1" t="str">
        <f>IF('1.1 Produksi Bersih Padi 2025'!E625="","",'1.1 Produksi Bersih Padi 2025'!E625)</f>
        <v/>
      </c>
      <c r="F625" s="28" t="str">
        <f>IF(D625="","",VLOOKUP(D625,'[1]0.1 Produksi Pangan &amp; Penduduk'!$D$5:$AE$860,28,0))</f>
        <v/>
      </c>
      <c r="G625" s="29" t="str">
        <f t="shared" si="45"/>
        <v/>
      </c>
      <c r="H625" s="29" t="str">
        <f t="shared" si="46"/>
        <v/>
      </c>
      <c r="I625" s="29" t="str">
        <f t="shared" si="47"/>
        <v/>
      </c>
      <c r="J625" s="29" t="str">
        <f t="shared" si="48"/>
        <v/>
      </c>
      <c r="K625" s="29" t="str">
        <f t="shared" si="49"/>
        <v/>
      </c>
    </row>
    <row r="626" spans="1:11" ht="15" x14ac:dyDescent="0.25">
      <c r="A626" s="1" t="str">
        <f>IF('1.1 Produksi Bersih Padi 2025'!A626="","",'1.1 Produksi Bersih Padi 2025'!A626)</f>
        <v/>
      </c>
      <c r="B626" s="31" t="str">
        <f>IF('1.1 Produksi Bersih Padi 2025'!B626="","",'1.1 Produksi Bersih Padi 2025'!B626)</f>
        <v/>
      </c>
      <c r="C626" s="31" t="str">
        <f>IF('1.1 Produksi Bersih Padi 2025'!C626="","",'1.1 Produksi Bersih Padi 2025'!C626)</f>
        <v/>
      </c>
      <c r="D626" s="1" t="str">
        <f>IF('1.1 Produksi Bersih Padi 2025'!D626="","",'1.1 Produksi Bersih Padi 2025'!D626)</f>
        <v/>
      </c>
      <c r="E626" s="1" t="str">
        <f>IF('1.1 Produksi Bersih Padi 2025'!E626="","",'1.1 Produksi Bersih Padi 2025'!E626)</f>
        <v/>
      </c>
      <c r="F626" s="28" t="str">
        <f>IF(D626="","",VLOOKUP(D626,'[1]0.1 Produksi Pangan &amp; Penduduk'!$D$5:$AE$860,28,0))</f>
        <v/>
      </c>
      <c r="G626" s="29" t="str">
        <f t="shared" si="45"/>
        <v/>
      </c>
      <c r="H626" s="29" t="str">
        <f t="shared" si="46"/>
        <v/>
      </c>
      <c r="I626" s="29" t="str">
        <f t="shared" si="47"/>
        <v/>
      </c>
      <c r="J626" s="29" t="str">
        <f t="shared" si="48"/>
        <v/>
      </c>
      <c r="K626" s="29" t="str">
        <f t="shared" si="49"/>
        <v/>
      </c>
    </row>
    <row r="627" spans="1:11" ht="15" x14ac:dyDescent="0.25">
      <c r="A627" s="1" t="str">
        <f>IF('1.1 Produksi Bersih Padi 2025'!A627="","",'1.1 Produksi Bersih Padi 2025'!A627)</f>
        <v/>
      </c>
      <c r="B627" s="31" t="str">
        <f>IF('1.1 Produksi Bersih Padi 2025'!B627="","",'1.1 Produksi Bersih Padi 2025'!B627)</f>
        <v/>
      </c>
      <c r="C627" s="31" t="str">
        <f>IF('1.1 Produksi Bersih Padi 2025'!C627="","",'1.1 Produksi Bersih Padi 2025'!C627)</f>
        <v/>
      </c>
      <c r="D627" s="1" t="str">
        <f>IF('1.1 Produksi Bersih Padi 2025'!D627="","",'1.1 Produksi Bersih Padi 2025'!D627)</f>
        <v/>
      </c>
      <c r="E627" s="1" t="str">
        <f>IF('1.1 Produksi Bersih Padi 2025'!E627="","",'1.1 Produksi Bersih Padi 2025'!E627)</f>
        <v/>
      </c>
      <c r="F627" s="28" t="str">
        <f>IF(D627="","",VLOOKUP(D627,'[1]0.1 Produksi Pangan &amp; Penduduk'!$D$5:$AE$860,28,0))</f>
        <v/>
      </c>
      <c r="G627" s="29" t="str">
        <f t="shared" si="45"/>
        <v/>
      </c>
      <c r="H627" s="29" t="str">
        <f t="shared" si="46"/>
        <v/>
      </c>
      <c r="I627" s="29" t="str">
        <f t="shared" si="47"/>
        <v/>
      </c>
      <c r="J627" s="29" t="str">
        <f t="shared" si="48"/>
        <v/>
      </c>
      <c r="K627" s="29" t="str">
        <f t="shared" si="49"/>
        <v/>
      </c>
    </row>
    <row r="628" spans="1:11" ht="15" x14ac:dyDescent="0.25">
      <c r="A628" s="1" t="str">
        <f>IF('1.1 Produksi Bersih Padi 2025'!A628="","",'1.1 Produksi Bersih Padi 2025'!A628)</f>
        <v/>
      </c>
      <c r="B628" s="31" t="str">
        <f>IF('1.1 Produksi Bersih Padi 2025'!B628="","",'1.1 Produksi Bersih Padi 2025'!B628)</f>
        <v/>
      </c>
      <c r="C628" s="31" t="str">
        <f>IF('1.1 Produksi Bersih Padi 2025'!C628="","",'1.1 Produksi Bersih Padi 2025'!C628)</f>
        <v/>
      </c>
      <c r="D628" s="1" t="str">
        <f>IF('1.1 Produksi Bersih Padi 2025'!D628="","",'1.1 Produksi Bersih Padi 2025'!D628)</f>
        <v/>
      </c>
      <c r="E628" s="1" t="str">
        <f>IF('1.1 Produksi Bersih Padi 2025'!E628="","",'1.1 Produksi Bersih Padi 2025'!E628)</f>
        <v/>
      </c>
      <c r="F628" s="28" t="str">
        <f>IF(D628="","",VLOOKUP(D628,'[1]0.1 Produksi Pangan &amp; Penduduk'!$D$5:$AE$860,28,0))</f>
        <v/>
      </c>
      <c r="G628" s="29" t="str">
        <f t="shared" si="45"/>
        <v/>
      </c>
      <c r="H628" s="29" t="str">
        <f t="shared" si="46"/>
        <v/>
      </c>
      <c r="I628" s="29" t="str">
        <f t="shared" si="47"/>
        <v/>
      </c>
      <c r="J628" s="29" t="str">
        <f t="shared" si="48"/>
        <v/>
      </c>
      <c r="K628" s="29" t="str">
        <f t="shared" si="49"/>
        <v/>
      </c>
    </row>
    <row r="629" spans="1:11" ht="15" x14ac:dyDescent="0.25">
      <c r="A629" s="1" t="str">
        <f>IF('1.1 Produksi Bersih Padi 2025'!A629="","",'1.1 Produksi Bersih Padi 2025'!A629)</f>
        <v/>
      </c>
      <c r="B629" s="31" t="str">
        <f>IF('1.1 Produksi Bersih Padi 2025'!B629="","",'1.1 Produksi Bersih Padi 2025'!B629)</f>
        <v/>
      </c>
      <c r="C629" s="31" t="str">
        <f>IF('1.1 Produksi Bersih Padi 2025'!C629="","",'1.1 Produksi Bersih Padi 2025'!C629)</f>
        <v/>
      </c>
      <c r="D629" s="1" t="str">
        <f>IF('1.1 Produksi Bersih Padi 2025'!D629="","",'1.1 Produksi Bersih Padi 2025'!D629)</f>
        <v/>
      </c>
      <c r="E629" s="1" t="str">
        <f>IF('1.1 Produksi Bersih Padi 2025'!E629="","",'1.1 Produksi Bersih Padi 2025'!E629)</f>
        <v/>
      </c>
      <c r="F629" s="28" t="str">
        <f>IF(D629="","",VLOOKUP(D629,'[1]0.1 Produksi Pangan &amp; Penduduk'!$D$5:$AE$860,28,0))</f>
        <v/>
      </c>
      <c r="G629" s="29" t="str">
        <f t="shared" si="45"/>
        <v/>
      </c>
      <c r="H629" s="29" t="str">
        <f t="shared" si="46"/>
        <v/>
      </c>
      <c r="I629" s="29" t="str">
        <f t="shared" si="47"/>
        <v/>
      </c>
      <c r="J629" s="29" t="str">
        <f t="shared" si="48"/>
        <v/>
      </c>
      <c r="K629" s="29" t="str">
        <f t="shared" si="49"/>
        <v/>
      </c>
    </row>
    <row r="630" spans="1:11" ht="15" x14ac:dyDescent="0.25">
      <c r="A630" s="1" t="str">
        <f>IF('1.1 Produksi Bersih Padi 2025'!A630="","",'1.1 Produksi Bersih Padi 2025'!A630)</f>
        <v/>
      </c>
      <c r="B630" s="31" t="str">
        <f>IF('1.1 Produksi Bersih Padi 2025'!B630="","",'1.1 Produksi Bersih Padi 2025'!B630)</f>
        <v/>
      </c>
      <c r="C630" s="31" t="str">
        <f>IF('1.1 Produksi Bersih Padi 2025'!C630="","",'1.1 Produksi Bersih Padi 2025'!C630)</f>
        <v/>
      </c>
      <c r="D630" s="1" t="str">
        <f>IF('1.1 Produksi Bersih Padi 2025'!D630="","",'1.1 Produksi Bersih Padi 2025'!D630)</f>
        <v/>
      </c>
      <c r="E630" s="1" t="str">
        <f>IF('1.1 Produksi Bersih Padi 2025'!E630="","",'1.1 Produksi Bersih Padi 2025'!E630)</f>
        <v/>
      </c>
      <c r="F630" s="28" t="str">
        <f>IF(D630="","",VLOOKUP(D630,'[1]0.1 Produksi Pangan &amp; Penduduk'!$D$5:$AE$860,28,0))</f>
        <v/>
      </c>
      <c r="G630" s="29" t="str">
        <f t="shared" si="45"/>
        <v/>
      </c>
      <c r="H630" s="29" t="str">
        <f t="shared" si="46"/>
        <v/>
      </c>
      <c r="I630" s="29" t="str">
        <f t="shared" si="47"/>
        <v/>
      </c>
      <c r="J630" s="29" t="str">
        <f t="shared" si="48"/>
        <v/>
      </c>
      <c r="K630" s="29" t="str">
        <f t="shared" si="49"/>
        <v/>
      </c>
    </row>
    <row r="631" spans="1:11" ht="15" x14ac:dyDescent="0.25">
      <c r="A631" s="1" t="str">
        <f>IF('1.1 Produksi Bersih Padi 2025'!A631="","",'1.1 Produksi Bersih Padi 2025'!A631)</f>
        <v/>
      </c>
      <c r="B631" s="31" t="str">
        <f>IF('1.1 Produksi Bersih Padi 2025'!B631="","",'1.1 Produksi Bersih Padi 2025'!B631)</f>
        <v/>
      </c>
      <c r="C631" s="31" t="str">
        <f>IF('1.1 Produksi Bersih Padi 2025'!C631="","",'1.1 Produksi Bersih Padi 2025'!C631)</f>
        <v/>
      </c>
      <c r="D631" s="1" t="str">
        <f>IF('1.1 Produksi Bersih Padi 2025'!D631="","",'1.1 Produksi Bersih Padi 2025'!D631)</f>
        <v/>
      </c>
      <c r="E631" s="1" t="str">
        <f>IF('1.1 Produksi Bersih Padi 2025'!E631="","",'1.1 Produksi Bersih Padi 2025'!E631)</f>
        <v/>
      </c>
      <c r="F631" s="28" t="str">
        <f>IF(D631="","",VLOOKUP(D631,'[1]0.1 Produksi Pangan &amp; Penduduk'!$D$5:$AE$860,28,0))</f>
        <v/>
      </c>
      <c r="G631" s="29" t="str">
        <f t="shared" si="45"/>
        <v/>
      </c>
      <c r="H631" s="29" t="str">
        <f t="shared" si="46"/>
        <v/>
      </c>
      <c r="I631" s="29" t="str">
        <f t="shared" si="47"/>
        <v/>
      </c>
      <c r="J631" s="29" t="str">
        <f t="shared" si="48"/>
        <v/>
      </c>
      <c r="K631" s="29" t="str">
        <f t="shared" si="49"/>
        <v/>
      </c>
    </row>
    <row r="632" spans="1:11" ht="15" x14ac:dyDescent="0.25">
      <c r="A632" s="1" t="str">
        <f>IF('1.1 Produksi Bersih Padi 2025'!A632="","",'1.1 Produksi Bersih Padi 2025'!A632)</f>
        <v/>
      </c>
      <c r="B632" s="31" t="str">
        <f>IF('1.1 Produksi Bersih Padi 2025'!B632="","",'1.1 Produksi Bersih Padi 2025'!B632)</f>
        <v/>
      </c>
      <c r="C632" s="31" t="str">
        <f>IF('1.1 Produksi Bersih Padi 2025'!C632="","",'1.1 Produksi Bersih Padi 2025'!C632)</f>
        <v/>
      </c>
      <c r="D632" s="1" t="str">
        <f>IF('1.1 Produksi Bersih Padi 2025'!D632="","",'1.1 Produksi Bersih Padi 2025'!D632)</f>
        <v/>
      </c>
      <c r="E632" s="1" t="str">
        <f>IF('1.1 Produksi Bersih Padi 2025'!E632="","",'1.1 Produksi Bersih Padi 2025'!E632)</f>
        <v/>
      </c>
      <c r="F632" s="28" t="str">
        <f>IF(D632="","",VLOOKUP(D632,'[1]0.1 Produksi Pangan &amp; Penduduk'!$D$5:$AE$860,28,0))</f>
        <v/>
      </c>
      <c r="G632" s="29" t="str">
        <f t="shared" si="45"/>
        <v/>
      </c>
      <c r="H632" s="29" t="str">
        <f t="shared" si="46"/>
        <v/>
      </c>
      <c r="I632" s="29" t="str">
        <f t="shared" si="47"/>
        <v/>
      </c>
      <c r="J632" s="29" t="str">
        <f t="shared" si="48"/>
        <v/>
      </c>
      <c r="K632" s="29" t="str">
        <f t="shared" si="49"/>
        <v/>
      </c>
    </row>
    <row r="633" spans="1:11" ht="15" x14ac:dyDescent="0.25">
      <c r="A633" s="1" t="str">
        <f>IF('1.1 Produksi Bersih Padi 2025'!A633="","",'1.1 Produksi Bersih Padi 2025'!A633)</f>
        <v/>
      </c>
      <c r="B633" s="31" t="str">
        <f>IF('1.1 Produksi Bersih Padi 2025'!B633="","",'1.1 Produksi Bersih Padi 2025'!B633)</f>
        <v/>
      </c>
      <c r="C633" s="31" t="str">
        <f>IF('1.1 Produksi Bersih Padi 2025'!C633="","",'1.1 Produksi Bersih Padi 2025'!C633)</f>
        <v/>
      </c>
      <c r="D633" s="1" t="str">
        <f>IF('1.1 Produksi Bersih Padi 2025'!D633="","",'1.1 Produksi Bersih Padi 2025'!D633)</f>
        <v/>
      </c>
      <c r="E633" s="1" t="str">
        <f>IF('1.1 Produksi Bersih Padi 2025'!E633="","",'1.1 Produksi Bersih Padi 2025'!E633)</f>
        <v/>
      </c>
      <c r="F633" s="28" t="str">
        <f>IF(D633="","",VLOOKUP(D633,'[1]0.1 Produksi Pangan &amp; Penduduk'!$D$5:$AE$860,28,0))</f>
        <v/>
      </c>
      <c r="G633" s="29" t="str">
        <f t="shared" si="45"/>
        <v/>
      </c>
      <c r="H633" s="29" t="str">
        <f t="shared" si="46"/>
        <v/>
      </c>
      <c r="I633" s="29" t="str">
        <f t="shared" si="47"/>
        <v/>
      </c>
      <c r="J633" s="29" t="str">
        <f t="shared" si="48"/>
        <v/>
      </c>
      <c r="K633" s="29" t="str">
        <f t="shared" si="49"/>
        <v/>
      </c>
    </row>
    <row r="634" spans="1:11" ht="15" x14ac:dyDescent="0.25">
      <c r="A634" s="1" t="str">
        <f>IF('1.1 Produksi Bersih Padi 2025'!A634="","",'1.1 Produksi Bersih Padi 2025'!A634)</f>
        <v/>
      </c>
      <c r="B634" s="31" t="str">
        <f>IF('1.1 Produksi Bersih Padi 2025'!B634="","",'1.1 Produksi Bersih Padi 2025'!B634)</f>
        <v/>
      </c>
      <c r="C634" s="31" t="str">
        <f>IF('1.1 Produksi Bersih Padi 2025'!C634="","",'1.1 Produksi Bersih Padi 2025'!C634)</f>
        <v/>
      </c>
      <c r="D634" s="1" t="str">
        <f>IF('1.1 Produksi Bersih Padi 2025'!D634="","",'1.1 Produksi Bersih Padi 2025'!D634)</f>
        <v/>
      </c>
      <c r="E634" s="1" t="str">
        <f>IF('1.1 Produksi Bersih Padi 2025'!E634="","",'1.1 Produksi Bersih Padi 2025'!E634)</f>
        <v/>
      </c>
      <c r="F634" s="28" t="str">
        <f>IF(D634="","",VLOOKUP(D634,'[1]0.1 Produksi Pangan &amp; Penduduk'!$D$5:$AE$860,28,0))</f>
        <v/>
      </c>
      <c r="G634" s="29" t="str">
        <f t="shared" si="45"/>
        <v/>
      </c>
      <c r="H634" s="29" t="str">
        <f t="shared" si="46"/>
        <v/>
      </c>
      <c r="I634" s="29" t="str">
        <f t="shared" si="47"/>
        <v/>
      </c>
      <c r="J634" s="29" t="str">
        <f t="shared" si="48"/>
        <v/>
      </c>
      <c r="K634" s="29" t="str">
        <f t="shared" si="49"/>
        <v/>
      </c>
    </row>
    <row r="635" spans="1:11" ht="15" x14ac:dyDescent="0.25">
      <c r="A635" s="1" t="str">
        <f>IF('1.1 Produksi Bersih Padi 2025'!A635="","",'1.1 Produksi Bersih Padi 2025'!A635)</f>
        <v/>
      </c>
      <c r="B635" s="31" t="str">
        <f>IF('1.1 Produksi Bersih Padi 2025'!B635="","",'1.1 Produksi Bersih Padi 2025'!B635)</f>
        <v/>
      </c>
      <c r="C635" s="31" t="str">
        <f>IF('1.1 Produksi Bersih Padi 2025'!C635="","",'1.1 Produksi Bersih Padi 2025'!C635)</f>
        <v/>
      </c>
      <c r="D635" s="1" t="str">
        <f>IF('1.1 Produksi Bersih Padi 2025'!D635="","",'1.1 Produksi Bersih Padi 2025'!D635)</f>
        <v/>
      </c>
      <c r="E635" s="1" t="str">
        <f>IF('1.1 Produksi Bersih Padi 2025'!E635="","",'1.1 Produksi Bersih Padi 2025'!E635)</f>
        <v/>
      </c>
      <c r="F635" s="28" t="str">
        <f>IF(D635="","",VLOOKUP(D635,'[1]0.1 Produksi Pangan &amp; Penduduk'!$D$5:$AE$860,28,0))</f>
        <v/>
      </c>
      <c r="G635" s="29" t="str">
        <f t="shared" si="45"/>
        <v/>
      </c>
      <c r="H635" s="29" t="str">
        <f t="shared" si="46"/>
        <v/>
      </c>
      <c r="I635" s="29" t="str">
        <f t="shared" si="47"/>
        <v/>
      </c>
      <c r="J635" s="29" t="str">
        <f t="shared" si="48"/>
        <v/>
      </c>
      <c r="K635" s="29" t="str">
        <f t="shared" si="49"/>
        <v/>
      </c>
    </row>
    <row r="636" spans="1:11" ht="15" x14ac:dyDescent="0.25">
      <c r="A636" s="1" t="str">
        <f>IF('1.1 Produksi Bersih Padi 2025'!A636="","",'1.1 Produksi Bersih Padi 2025'!A636)</f>
        <v/>
      </c>
      <c r="B636" s="31" t="str">
        <f>IF('1.1 Produksi Bersih Padi 2025'!B636="","",'1.1 Produksi Bersih Padi 2025'!B636)</f>
        <v/>
      </c>
      <c r="C636" s="31" t="str">
        <f>IF('1.1 Produksi Bersih Padi 2025'!C636="","",'1.1 Produksi Bersih Padi 2025'!C636)</f>
        <v/>
      </c>
      <c r="D636" s="1" t="str">
        <f>IF('1.1 Produksi Bersih Padi 2025'!D636="","",'1.1 Produksi Bersih Padi 2025'!D636)</f>
        <v/>
      </c>
      <c r="E636" s="1" t="str">
        <f>IF('1.1 Produksi Bersih Padi 2025'!E636="","",'1.1 Produksi Bersih Padi 2025'!E636)</f>
        <v/>
      </c>
      <c r="F636" s="28" t="str">
        <f>IF(D636="","",VLOOKUP(D636,'[1]0.1 Produksi Pangan &amp; Penduduk'!$D$5:$AE$860,28,0))</f>
        <v/>
      </c>
      <c r="G636" s="29" t="str">
        <f t="shared" si="45"/>
        <v/>
      </c>
      <c r="H636" s="29" t="str">
        <f t="shared" si="46"/>
        <v/>
      </c>
      <c r="I636" s="29" t="str">
        <f t="shared" si="47"/>
        <v/>
      </c>
      <c r="J636" s="29" t="str">
        <f t="shared" si="48"/>
        <v/>
      </c>
      <c r="K636" s="29" t="str">
        <f t="shared" si="49"/>
        <v/>
      </c>
    </row>
    <row r="637" spans="1:11" ht="15" x14ac:dyDescent="0.25">
      <c r="A637" s="1" t="str">
        <f>IF('1.1 Produksi Bersih Padi 2025'!A637="","",'1.1 Produksi Bersih Padi 2025'!A637)</f>
        <v/>
      </c>
      <c r="B637" s="31" t="str">
        <f>IF('1.1 Produksi Bersih Padi 2025'!B637="","",'1.1 Produksi Bersih Padi 2025'!B637)</f>
        <v/>
      </c>
      <c r="C637" s="31" t="str">
        <f>IF('1.1 Produksi Bersih Padi 2025'!C637="","",'1.1 Produksi Bersih Padi 2025'!C637)</f>
        <v/>
      </c>
      <c r="D637" s="1" t="str">
        <f>IF('1.1 Produksi Bersih Padi 2025'!D637="","",'1.1 Produksi Bersih Padi 2025'!D637)</f>
        <v/>
      </c>
      <c r="E637" s="1" t="str">
        <f>IF('1.1 Produksi Bersih Padi 2025'!E637="","",'1.1 Produksi Bersih Padi 2025'!E637)</f>
        <v/>
      </c>
      <c r="F637" s="28" t="str">
        <f>IF(D637="","",VLOOKUP(D637,'[1]0.1 Produksi Pangan &amp; Penduduk'!$D$5:$AE$860,28,0))</f>
        <v/>
      </c>
      <c r="G637" s="29" t="str">
        <f t="shared" si="45"/>
        <v/>
      </c>
      <c r="H637" s="29" t="str">
        <f t="shared" si="46"/>
        <v/>
      </c>
      <c r="I637" s="29" t="str">
        <f t="shared" si="47"/>
        <v/>
      </c>
      <c r="J637" s="29" t="str">
        <f t="shared" si="48"/>
        <v/>
      </c>
      <c r="K637" s="29" t="str">
        <f t="shared" si="49"/>
        <v/>
      </c>
    </row>
    <row r="638" spans="1:11" ht="15" x14ac:dyDescent="0.25">
      <c r="A638" s="1" t="str">
        <f>IF('1.1 Produksi Bersih Padi 2025'!A638="","",'1.1 Produksi Bersih Padi 2025'!A638)</f>
        <v/>
      </c>
      <c r="B638" s="31" t="str">
        <f>IF('1.1 Produksi Bersih Padi 2025'!B638="","",'1.1 Produksi Bersih Padi 2025'!B638)</f>
        <v/>
      </c>
      <c r="C638" s="31" t="str">
        <f>IF('1.1 Produksi Bersih Padi 2025'!C638="","",'1.1 Produksi Bersih Padi 2025'!C638)</f>
        <v/>
      </c>
      <c r="D638" s="1" t="str">
        <f>IF('1.1 Produksi Bersih Padi 2025'!D638="","",'1.1 Produksi Bersih Padi 2025'!D638)</f>
        <v/>
      </c>
      <c r="E638" s="1" t="str">
        <f>IF('1.1 Produksi Bersih Padi 2025'!E638="","",'1.1 Produksi Bersih Padi 2025'!E638)</f>
        <v/>
      </c>
      <c r="F638" s="28" t="str">
        <f>IF(D638="","",VLOOKUP(D638,'[1]0.1 Produksi Pangan &amp; Penduduk'!$D$5:$AE$860,28,0))</f>
        <v/>
      </c>
      <c r="G638" s="29" t="str">
        <f t="shared" si="45"/>
        <v/>
      </c>
      <c r="H638" s="29" t="str">
        <f t="shared" si="46"/>
        <v/>
      </c>
      <c r="I638" s="29" t="str">
        <f t="shared" si="47"/>
        <v/>
      </c>
      <c r="J638" s="29" t="str">
        <f t="shared" si="48"/>
        <v/>
      </c>
      <c r="K638" s="29" t="str">
        <f t="shared" si="49"/>
        <v/>
      </c>
    </row>
    <row r="639" spans="1:11" ht="15" x14ac:dyDescent="0.25">
      <c r="A639" s="1" t="str">
        <f>IF('1.1 Produksi Bersih Padi 2025'!A639="","",'1.1 Produksi Bersih Padi 2025'!A639)</f>
        <v/>
      </c>
      <c r="B639" s="31" t="str">
        <f>IF('1.1 Produksi Bersih Padi 2025'!B639="","",'1.1 Produksi Bersih Padi 2025'!B639)</f>
        <v/>
      </c>
      <c r="C639" s="31" t="str">
        <f>IF('1.1 Produksi Bersih Padi 2025'!C639="","",'1.1 Produksi Bersih Padi 2025'!C639)</f>
        <v/>
      </c>
      <c r="D639" s="1" t="str">
        <f>IF('1.1 Produksi Bersih Padi 2025'!D639="","",'1.1 Produksi Bersih Padi 2025'!D639)</f>
        <v/>
      </c>
      <c r="E639" s="1" t="str">
        <f>IF('1.1 Produksi Bersih Padi 2025'!E639="","",'1.1 Produksi Bersih Padi 2025'!E639)</f>
        <v/>
      </c>
      <c r="F639" s="28" t="str">
        <f>IF(D639="","",VLOOKUP(D639,'[1]0.1 Produksi Pangan &amp; Penduduk'!$D$5:$AE$860,28,0))</f>
        <v/>
      </c>
      <c r="G639" s="29" t="str">
        <f t="shared" si="45"/>
        <v/>
      </c>
      <c r="H639" s="29" t="str">
        <f t="shared" si="46"/>
        <v/>
      </c>
      <c r="I639" s="29" t="str">
        <f t="shared" si="47"/>
        <v/>
      </c>
      <c r="J639" s="29" t="str">
        <f t="shared" si="48"/>
        <v/>
      </c>
      <c r="K639" s="29" t="str">
        <f t="shared" si="49"/>
        <v/>
      </c>
    </row>
    <row r="640" spans="1:11" ht="15" x14ac:dyDescent="0.25">
      <c r="A640" s="1" t="str">
        <f>IF('1.1 Produksi Bersih Padi 2025'!A640="","",'1.1 Produksi Bersih Padi 2025'!A640)</f>
        <v/>
      </c>
      <c r="B640" s="31" t="str">
        <f>IF('1.1 Produksi Bersih Padi 2025'!B640="","",'1.1 Produksi Bersih Padi 2025'!B640)</f>
        <v/>
      </c>
      <c r="C640" s="31" t="str">
        <f>IF('1.1 Produksi Bersih Padi 2025'!C640="","",'1.1 Produksi Bersih Padi 2025'!C640)</f>
        <v/>
      </c>
      <c r="D640" s="1" t="str">
        <f>IF('1.1 Produksi Bersih Padi 2025'!D640="","",'1.1 Produksi Bersih Padi 2025'!D640)</f>
        <v/>
      </c>
      <c r="E640" s="1" t="str">
        <f>IF('1.1 Produksi Bersih Padi 2025'!E640="","",'1.1 Produksi Bersih Padi 2025'!E640)</f>
        <v/>
      </c>
      <c r="F640" s="28" t="str">
        <f>IF(D640="","",VLOOKUP(D640,'[1]0.1 Produksi Pangan &amp; Penduduk'!$D$5:$AE$860,28,0))</f>
        <v/>
      </c>
      <c r="G640" s="29" t="str">
        <f t="shared" si="45"/>
        <v/>
      </c>
      <c r="H640" s="29" t="str">
        <f t="shared" si="46"/>
        <v/>
      </c>
      <c r="I640" s="29" t="str">
        <f t="shared" si="47"/>
        <v/>
      </c>
      <c r="J640" s="29" t="str">
        <f t="shared" si="48"/>
        <v/>
      </c>
      <c r="K640" s="29" t="str">
        <f t="shared" si="49"/>
        <v/>
      </c>
    </row>
    <row r="641" spans="1:11" ht="15" x14ac:dyDescent="0.25">
      <c r="A641" s="1" t="str">
        <f>IF('1.1 Produksi Bersih Padi 2025'!A641="","",'1.1 Produksi Bersih Padi 2025'!A641)</f>
        <v/>
      </c>
      <c r="B641" s="31" t="str">
        <f>IF('1.1 Produksi Bersih Padi 2025'!B641="","",'1.1 Produksi Bersih Padi 2025'!B641)</f>
        <v/>
      </c>
      <c r="C641" s="31" t="str">
        <f>IF('1.1 Produksi Bersih Padi 2025'!C641="","",'1.1 Produksi Bersih Padi 2025'!C641)</f>
        <v/>
      </c>
      <c r="D641" s="1" t="str">
        <f>IF('1.1 Produksi Bersih Padi 2025'!D641="","",'1.1 Produksi Bersih Padi 2025'!D641)</f>
        <v/>
      </c>
      <c r="E641" s="1" t="str">
        <f>IF('1.1 Produksi Bersih Padi 2025'!E641="","",'1.1 Produksi Bersih Padi 2025'!E641)</f>
        <v/>
      </c>
      <c r="F641" s="28" t="str">
        <f>IF(D641="","",VLOOKUP(D641,'[1]0.1 Produksi Pangan &amp; Penduduk'!$D$5:$AE$860,28,0))</f>
        <v/>
      </c>
      <c r="G641" s="29" t="str">
        <f t="shared" si="45"/>
        <v/>
      </c>
      <c r="H641" s="29" t="str">
        <f t="shared" si="46"/>
        <v/>
      </c>
      <c r="I641" s="29" t="str">
        <f t="shared" si="47"/>
        <v/>
      </c>
      <c r="J641" s="29" t="str">
        <f t="shared" si="48"/>
        <v/>
      </c>
      <c r="K641" s="29" t="str">
        <f t="shared" si="49"/>
        <v/>
      </c>
    </row>
    <row r="642" spans="1:11" ht="15" x14ac:dyDescent="0.25">
      <c r="A642" s="1" t="str">
        <f>IF('1.1 Produksi Bersih Padi 2025'!A642="","",'1.1 Produksi Bersih Padi 2025'!A642)</f>
        <v/>
      </c>
      <c r="B642" s="31" t="str">
        <f>IF('1.1 Produksi Bersih Padi 2025'!B642="","",'1.1 Produksi Bersih Padi 2025'!B642)</f>
        <v/>
      </c>
      <c r="C642" s="31" t="str">
        <f>IF('1.1 Produksi Bersih Padi 2025'!C642="","",'1.1 Produksi Bersih Padi 2025'!C642)</f>
        <v/>
      </c>
      <c r="D642" s="1" t="str">
        <f>IF('1.1 Produksi Bersih Padi 2025'!D642="","",'1.1 Produksi Bersih Padi 2025'!D642)</f>
        <v/>
      </c>
      <c r="E642" s="1" t="str">
        <f>IF('1.1 Produksi Bersih Padi 2025'!E642="","",'1.1 Produksi Bersih Padi 2025'!E642)</f>
        <v/>
      </c>
      <c r="F642" s="28" t="str">
        <f>IF(D642="","",VLOOKUP(D642,'[1]0.1 Produksi Pangan &amp; Penduduk'!$D$5:$AE$860,28,0))</f>
        <v/>
      </c>
      <c r="G642" s="29" t="str">
        <f t="shared" si="45"/>
        <v/>
      </c>
      <c r="H642" s="29" t="str">
        <f t="shared" si="46"/>
        <v/>
      </c>
      <c r="I642" s="29" t="str">
        <f t="shared" si="47"/>
        <v/>
      </c>
      <c r="J642" s="29" t="str">
        <f t="shared" si="48"/>
        <v/>
      </c>
      <c r="K642" s="29" t="str">
        <f t="shared" si="49"/>
        <v/>
      </c>
    </row>
    <row r="643" spans="1:11" ht="15" x14ac:dyDescent="0.25">
      <c r="A643" s="1" t="str">
        <f>IF('1.1 Produksi Bersih Padi 2025'!A643="","",'1.1 Produksi Bersih Padi 2025'!A643)</f>
        <v/>
      </c>
      <c r="B643" s="31" t="str">
        <f>IF('1.1 Produksi Bersih Padi 2025'!B643="","",'1.1 Produksi Bersih Padi 2025'!B643)</f>
        <v/>
      </c>
      <c r="C643" s="31" t="str">
        <f>IF('1.1 Produksi Bersih Padi 2025'!C643="","",'1.1 Produksi Bersih Padi 2025'!C643)</f>
        <v/>
      </c>
      <c r="D643" s="1" t="str">
        <f>IF('1.1 Produksi Bersih Padi 2025'!D643="","",'1.1 Produksi Bersih Padi 2025'!D643)</f>
        <v/>
      </c>
      <c r="E643" s="1" t="str">
        <f>IF('1.1 Produksi Bersih Padi 2025'!E643="","",'1.1 Produksi Bersih Padi 2025'!E643)</f>
        <v/>
      </c>
      <c r="F643" s="28" t="str">
        <f>IF(D643="","",VLOOKUP(D643,'[1]0.1 Produksi Pangan &amp; Penduduk'!$D$5:$AE$860,28,0))</f>
        <v/>
      </c>
      <c r="G643" s="29" t="str">
        <f t="shared" si="45"/>
        <v/>
      </c>
      <c r="H643" s="29" t="str">
        <f t="shared" si="46"/>
        <v/>
      </c>
      <c r="I643" s="29" t="str">
        <f t="shared" si="47"/>
        <v/>
      </c>
      <c r="J643" s="29" t="str">
        <f t="shared" si="48"/>
        <v/>
      </c>
      <c r="K643" s="29" t="str">
        <f t="shared" si="49"/>
        <v/>
      </c>
    </row>
    <row r="644" spans="1:11" ht="15" x14ac:dyDescent="0.25">
      <c r="A644" s="1" t="str">
        <f>IF('1.1 Produksi Bersih Padi 2025'!A644="","",'1.1 Produksi Bersih Padi 2025'!A644)</f>
        <v/>
      </c>
      <c r="B644" s="31" t="str">
        <f>IF('1.1 Produksi Bersih Padi 2025'!B644="","",'1.1 Produksi Bersih Padi 2025'!B644)</f>
        <v/>
      </c>
      <c r="C644" s="31" t="str">
        <f>IF('1.1 Produksi Bersih Padi 2025'!C644="","",'1.1 Produksi Bersih Padi 2025'!C644)</f>
        <v/>
      </c>
      <c r="D644" s="1" t="str">
        <f>IF('1.1 Produksi Bersih Padi 2025'!D644="","",'1.1 Produksi Bersih Padi 2025'!D644)</f>
        <v/>
      </c>
      <c r="E644" s="1" t="str">
        <f>IF('1.1 Produksi Bersih Padi 2025'!E644="","",'1.1 Produksi Bersih Padi 2025'!E644)</f>
        <v/>
      </c>
      <c r="F644" s="28" t="str">
        <f>IF(D644="","",VLOOKUP(D644,'[1]0.1 Produksi Pangan &amp; Penduduk'!$D$5:$AE$860,28,0))</f>
        <v/>
      </c>
      <c r="G644" s="29" t="str">
        <f t="shared" si="45"/>
        <v/>
      </c>
      <c r="H644" s="29" t="str">
        <f t="shared" si="46"/>
        <v/>
      </c>
      <c r="I644" s="29" t="str">
        <f t="shared" si="47"/>
        <v/>
      </c>
      <c r="J644" s="29" t="str">
        <f t="shared" si="48"/>
        <v/>
      </c>
      <c r="K644" s="29" t="str">
        <f t="shared" si="49"/>
        <v/>
      </c>
    </row>
    <row r="645" spans="1:11" ht="15" x14ac:dyDescent="0.25">
      <c r="A645" s="1" t="str">
        <f>IF('1.1 Produksi Bersih Padi 2025'!A645="","",'1.1 Produksi Bersih Padi 2025'!A645)</f>
        <v/>
      </c>
      <c r="B645" s="31" t="str">
        <f>IF('1.1 Produksi Bersih Padi 2025'!B645="","",'1.1 Produksi Bersih Padi 2025'!B645)</f>
        <v/>
      </c>
      <c r="C645" s="31" t="str">
        <f>IF('1.1 Produksi Bersih Padi 2025'!C645="","",'1.1 Produksi Bersih Padi 2025'!C645)</f>
        <v/>
      </c>
      <c r="D645" s="1" t="str">
        <f>IF('1.1 Produksi Bersih Padi 2025'!D645="","",'1.1 Produksi Bersih Padi 2025'!D645)</f>
        <v/>
      </c>
      <c r="E645" s="1" t="str">
        <f>IF('1.1 Produksi Bersih Padi 2025'!E645="","",'1.1 Produksi Bersih Padi 2025'!E645)</f>
        <v/>
      </c>
      <c r="F645" s="28" t="str">
        <f>IF(D645="","",VLOOKUP(D645,'[1]0.1 Produksi Pangan &amp; Penduduk'!$D$5:$AE$860,28,0))</f>
        <v/>
      </c>
      <c r="G645" s="29" t="str">
        <f t="shared" si="45"/>
        <v/>
      </c>
      <c r="H645" s="29" t="str">
        <f t="shared" si="46"/>
        <v/>
      </c>
      <c r="I645" s="29" t="str">
        <f t="shared" si="47"/>
        <v/>
      </c>
      <c r="J645" s="29" t="str">
        <f t="shared" si="48"/>
        <v/>
      </c>
      <c r="K645" s="29" t="str">
        <f t="shared" si="49"/>
        <v/>
      </c>
    </row>
    <row r="646" spans="1:11" ht="15" x14ac:dyDescent="0.25">
      <c r="A646" s="1" t="str">
        <f>IF('1.1 Produksi Bersih Padi 2025'!A646="","",'1.1 Produksi Bersih Padi 2025'!A646)</f>
        <v/>
      </c>
      <c r="B646" s="31" t="str">
        <f>IF('1.1 Produksi Bersih Padi 2025'!B646="","",'1.1 Produksi Bersih Padi 2025'!B646)</f>
        <v/>
      </c>
      <c r="C646" s="31" t="str">
        <f>IF('1.1 Produksi Bersih Padi 2025'!C646="","",'1.1 Produksi Bersih Padi 2025'!C646)</f>
        <v/>
      </c>
      <c r="D646" s="1" t="str">
        <f>IF('1.1 Produksi Bersih Padi 2025'!D646="","",'1.1 Produksi Bersih Padi 2025'!D646)</f>
        <v/>
      </c>
      <c r="E646" s="1" t="str">
        <f>IF('1.1 Produksi Bersih Padi 2025'!E646="","",'1.1 Produksi Bersih Padi 2025'!E646)</f>
        <v/>
      </c>
      <c r="F646" s="28" t="str">
        <f>IF(D646="","",VLOOKUP(D646,'[1]0.1 Produksi Pangan &amp; Penduduk'!$D$5:$AE$860,28,0))</f>
        <v/>
      </c>
      <c r="G646" s="29" t="str">
        <f t="shared" ref="G646:G709" si="50">IF(F646="","",F646*0%)</f>
        <v/>
      </c>
      <c r="H646" s="29" t="str">
        <f t="shared" ref="H646:H709" si="51">IF(F646="","",F646*0.77%)</f>
        <v/>
      </c>
      <c r="I646" s="29" t="str">
        <f t="shared" ref="I646:I709" si="52">IF(F646="","",F646*4.9%)</f>
        <v/>
      </c>
      <c r="J646" s="29" t="str">
        <f t="shared" ref="J646:J709" si="53">IF(F646="","",F646-(G646+H646+I646))</f>
        <v/>
      </c>
      <c r="K646" s="29" t="str">
        <f t="shared" ref="K646:K709" si="54">IF(J646="","",J646*0.259)</f>
        <v/>
      </c>
    </row>
    <row r="647" spans="1:11" ht="15" x14ac:dyDescent="0.25">
      <c r="A647" s="1" t="str">
        <f>IF('1.1 Produksi Bersih Padi 2025'!A647="","",'1.1 Produksi Bersih Padi 2025'!A647)</f>
        <v/>
      </c>
      <c r="B647" s="31" t="str">
        <f>IF('1.1 Produksi Bersih Padi 2025'!B647="","",'1.1 Produksi Bersih Padi 2025'!B647)</f>
        <v/>
      </c>
      <c r="C647" s="31" t="str">
        <f>IF('1.1 Produksi Bersih Padi 2025'!C647="","",'1.1 Produksi Bersih Padi 2025'!C647)</f>
        <v/>
      </c>
      <c r="D647" s="1" t="str">
        <f>IF('1.1 Produksi Bersih Padi 2025'!D647="","",'1.1 Produksi Bersih Padi 2025'!D647)</f>
        <v/>
      </c>
      <c r="E647" s="1" t="str">
        <f>IF('1.1 Produksi Bersih Padi 2025'!E647="","",'1.1 Produksi Bersih Padi 2025'!E647)</f>
        <v/>
      </c>
      <c r="F647" s="28" t="str">
        <f>IF(D647="","",VLOOKUP(D647,'[1]0.1 Produksi Pangan &amp; Penduduk'!$D$5:$AE$860,28,0))</f>
        <v/>
      </c>
      <c r="G647" s="29" t="str">
        <f t="shared" si="50"/>
        <v/>
      </c>
      <c r="H647" s="29" t="str">
        <f t="shared" si="51"/>
        <v/>
      </c>
      <c r="I647" s="29" t="str">
        <f t="shared" si="52"/>
        <v/>
      </c>
      <c r="J647" s="29" t="str">
        <f t="shared" si="53"/>
        <v/>
      </c>
      <c r="K647" s="29" t="str">
        <f t="shared" si="54"/>
        <v/>
      </c>
    </row>
    <row r="648" spans="1:11" ht="15" x14ac:dyDescent="0.25">
      <c r="A648" s="1" t="str">
        <f>IF('1.1 Produksi Bersih Padi 2025'!A648="","",'1.1 Produksi Bersih Padi 2025'!A648)</f>
        <v/>
      </c>
      <c r="B648" s="31" t="str">
        <f>IF('1.1 Produksi Bersih Padi 2025'!B648="","",'1.1 Produksi Bersih Padi 2025'!B648)</f>
        <v/>
      </c>
      <c r="C648" s="31" t="str">
        <f>IF('1.1 Produksi Bersih Padi 2025'!C648="","",'1.1 Produksi Bersih Padi 2025'!C648)</f>
        <v/>
      </c>
      <c r="D648" s="1" t="str">
        <f>IF('1.1 Produksi Bersih Padi 2025'!D648="","",'1.1 Produksi Bersih Padi 2025'!D648)</f>
        <v/>
      </c>
      <c r="E648" s="1" t="str">
        <f>IF('1.1 Produksi Bersih Padi 2025'!E648="","",'1.1 Produksi Bersih Padi 2025'!E648)</f>
        <v/>
      </c>
      <c r="F648" s="28" t="str">
        <f>IF(D648="","",VLOOKUP(D648,'[1]0.1 Produksi Pangan &amp; Penduduk'!$D$5:$AE$860,28,0))</f>
        <v/>
      </c>
      <c r="G648" s="29" t="str">
        <f t="shared" si="50"/>
        <v/>
      </c>
      <c r="H648" s="29" t="str">
        <f t="shared" si="51"/>
        <v/>
      </c>
      <c r="I648" s="29" t="str">
        <f t="shared" si="52"/>
        <v/>
      </c>
      <c r="J648" s="29" t="str">
        <f t="shared" si="53"/>
        <v/>
      </c>
      <c r="K648" s="29" t="str">
        <f t="shared" si="54"/>
        <v/>
      </c>
    </row>
    <row r="649" spans="1:11" ht="15" x14ac:dyDescent="0.25">
      <c r="A649" s="1" t="str">
        <f>IF('1.1 Produksi Bersih Padi 2025'!A649="","",'1.1 Produksi Bersih Padi 2025'!A649)</f>
        <v/>
      </c>
      <c r="B649" s="31" t="str">
        <f>IF('1.1 Produksi Bersih Padi 2025'!B649="","",'1.1 Produksi Bersih Padi 2025'!B649)</f>
        <v/>
      </c>
      <c r="C649" s="31" t="str">
        <f>IF('1.1 Produksi Bersih Padi 2025'!C649="","",'1.1 Produksi Bersih Padi 2025'!C649)</f>
        <v/>
      </c>
      <c r="D649" s="1" t="str">
        <f>IF('1.1 Produksi Bersih Padi 2025'!D649="","",'1.1 Produksi Bersih Padi 2025'!D649)</f>
        <v/>
      </c>
      <c r="E649" s="1" t="str">
        <f>IF('1.1 Produksi Bersih Padi 2025'!E649="","",'1.1 Produksi Bersih Padi 2025'!E649)</f>
        <v/>
      </c>
      <c r="F649" s="28" t="str">
        <f>IF(D649="","",VLOOKUP(D649,'[1]0.1 Produksi Pangan &amp; Penduduk'!$D$5:$AE$860,28,0))</f>
        <v/>
      </c>
      <c r="G649" s="29" t="str">
        <f t="shared" si="50"/>
        <v/>
      </c>
      <c r="H649" s="29" t="str">
        <f t="shared" si="51"/>
        <v/>
      </c>
      <c r="I649" s="29" t="str">
        <f t="shared" si="52"/>
        <v/>
      </c>
      <c r="J649" s="29" t="str">
        <f t="shared" si="53"/>
        <v/>
      </c>
      <c r="K649" s="29" t="str">
        <f t="shared" si="54"/>
        <v/>
      </c>
    </row>
    <row r="650" spans="1:11" ht="15" x14ac:dyDescent="0.25">
      <c r="A650" s="1" t="str">
        <f>IF('1.1 Produksi Bersih Padi 2025'!A650="","",'1.1 Produksi Bersih Padi 2025'!A650)</f>
        <v/>
      </c>
      <c r="B650" s="31" t="str">
        <f>IF('1.1 Produksi Bersih Padi 2025'!B650="","",'1.1 Produksi Bersih Padi 2025'!B650)</f>
        <v/>
      </c>
      <c r="C650" s="31" t="str">
        <f>IF('1.1 Produksi Bersih Padi 2025'!C650="","",'1.1 Produksi Bersih Padi 2025'!C650)</f>
        <v/>
      </c>
      <c r="D650" s="1" t="str">
        <f>IF('1.1 Produksi Bersih Padi 2025'!D650="","",'1.1 Produksi Bersih Padi 2025'!D650)</f>
        <v/>
      </c>
      <c r="E650" s="1" t="str">
        <f>IF('1.1 Produksi Bersih Padi 2025'!E650="","",'1.1 Produksi Bersih Padi 2025'!E650)</f>
        <v/>
      </c>
      <c r="F650" s="28" t="str">
        <f>IF(D650="","",VLOOKUP(D650,'[1]0.1 Produksi Pangan &amp; Penduduk'!$D$5:$AE$860,28,0))</f>
        <v/>
      </c>
      <c r="G650" s="29" t="str">
        <f t="shared" si="50"/>
        <v/>
      </c>
      <c r="H650" s="29" t="str">
        <f t="shared" si="51"/>
        <v/>
      </c>
      <c r="I650" s="29" t="str">
        <f t="shared" si="52"/>
        <v/>
      </c>
      <c r="J650" s="29" t="str">
        <f t="shared" si="53"/>
        <v/>
      </c>
      <c r="K650" s="29" t="str">
        <f t="shared" si="54"/>
        <v/>
      </c>
    </row>
    <row r="651" spans="1:11" ht="15" x14ac:dyDescent="0.25">
      <c r="A651" s="1" t="str">
        <f>IF('1.1 Produksi Bersih Padi 2025'!A651="","",'1.1 Produksi Bersih Padi 2025'!A651)</f>
        <v/>
      </c>
      <c r="B651" s="31" t="str">
        <f>IF('1.1 Produksi Bersih Padi 2025'!B651="","",'1.1 Produksi Bersih Padi 2025'!B651)</f>
        <v/>
      </c>
      <c r="C651" s="31" t="str">
        <f>IF('1.1 Produksi Bersih Padi 2025'!C651="","",'1.1 Produksi Bersih Padi 2025'!C651)</f>
        <v/>
      </c>
      <c r="D651" s="1" t="str">
        <f>IF('1.1 Produksi Bersih Padi 2025'!D651="","",'1.1 Produksi Bersih Padi 2025'!D651)</f>
        <v/>
      </c>
      <c r="E651" s="1" t="str">
        <f>IF('1.1 Produksi Bersih Padi 2025'!E651="","",'1.1 Produksi Bersih Padi 2025'!E651)</f>
        <v/>
      </c>
      <c r="F651" s="28" t="str">
        <f>IF(D651="","",VLOOKUP(D651,'[1]0.1 Produksi Pangan &amp; Penduduk'!$D$5:$AE$860,28,0))</f>
        <v/>
      </c>
      <c r="G651" s="29" t="str">
        <f t="shared" si="50"/>
        <v/>
      </c>
      <c r="H651" s="29" t="str">
        <f t="shared" si="51"/>
        <v/>
      </c>
      <c r="I651" s="29" t="str">
        <f t="shared" si="52"/>
        <v/>
      </c>
      <c r="J651" s="29" t="str">
        <f t="shared" si="53"/>
        <v/>
      </c>
      <c r="K651" s="29" t="str">
        <f t="shared" si="54"/>
        <v/>
      </c>
    </row>
    <row r="652" spans="1:11" ht="15" x14ac:dyDescent="0.25">
      <c r="A652" s="1" t="str">
        <f>IF('1.1 Produksi Bersih Padi 2025'!A652="","",'1.1 Produksi Bersih Padi 2025'!A652)</f>
        <v/>
      </c>
      <c r="B652" s="31" t="str">
        <f>IF('1.1 Produksi Bersih Padi 2025'!B652="","",'1.1 Produksi Bersih Padi 2025'!B652)</f>
        <v/>
      </c>
      <c r="C652" s="31" t="str">
        <f>IF('1.1 Produksi Bersih Padi 2025'!C652="","",'1.1 Produksi Bersih Padi 2025'!C652)</f>
        <v/>
      </c>
      <c r="D652" s="1" t="str">
        <f>IF('1.1 Produksi Bersih Padi 2025'!D652="","",'1.1 Produksi Bersih Padi 2025'!D652)</f>
        <v/>
      </c>
      <c r="E652" s="1" t="str">
        <f>IF('1.1 Produksi Bersih Padi 2025'!E652="","",'1.1 Produksi Bersih Padi 2025'!E652)</f>
        <v/>
      </c>
      <c r="F652" s="28" t="str">
        <f>IF(D652="","",VLOOKUP(D652,'[1]0.1 Produksi Pangan &amp; Penduduk'!$D$5:$AE$860,28,0))</f>
        <v/>
      </c>
      <c r="G652" s="29" t="str">
        <f t="shared" si="50"/>
        <v/>
      </c>
      <c r="H652" s="29" t="str">
        <f t="shared" si="51"/>
        <v/>
      </c>
      <c r="I652" s="29" t="str">
        <f t="shared" si="52"/>
        <v/>
      </c>
      <c r="J652" s="29" t="str">
        <f t="shared" si="53"/>
        <v/>
      </c>
      <c r="K652" s="29" t="str">
        <f t="shared" si="54"/>
        <v/>
      </c>
    </row>
    <row r="653" spans="1:11" ht="15" x14ac:dyDescent="0.25">
      <c r="A653" s="1" t="str">
        <f>IF('1.1 Produksi Bersih Padi 2025'!A653="","",'1.1 Produksi Bersih Padi 2025'!A653)</f>
        <v/>
      </c>
      <c r="B653" s="31" t="str">
        <f>IF('1.1 Produksi Bersih Padi 2025'!B653="","",'1.1 Produksi Bersih Padi 2025'!B653)</f>
        <v/>
      </c>
      <c r="C653" s="31" t="str">
        <f>IF('1.1 Produksi Bersih Padi 2025'!C653="","",'1.1 Produksi Bersih Padi 2025'!C653)</f>
        <v/>
      </c>
      <c r="D653" s="1" t="str">
        <f>IF('1.1 Produksi Bersih Padi 2025'!D653="","",'1.1 Produksi Bersih Padi 2025'!D653)</f>
        <v/>
      </c>
      <c r="E653" s="1" t="str">
        <f>IF('1.1 Produksi Bersih Padi 2025'!E653="","",'1.1 Produksi Bersih Padi 2025'!E653)</f>
        <v/>
      </c>
      <c r="F653" s="28" t="str">
        <f>IF(D653="","",VLOOKUP(D653,'[1]0.1 Produksi Pangan &amp; Penduduk'!$D$5:$AE$860,28,0))</f>
        <v/>
      </c>
      <c r="G653" s="29" t="str">
        <f t="shared" si="50"/>
        <v/>
      </c>
      <c r="H653" s="29" t="str">
        <f t="shared" si="51"/>
        <v/>
      </c>
      <c r="I653" s="29" t="str">
        <f t="shared" si="52"/>
        <v/>
      </c>
      <c r="J653" s="29" t="str">
        <f t="shared" si="53"/>
        <v/>
      </c>
      <c r="K653" s="29" t="str">
        <f t="shared" si="54"/>
        <v/>
      </c>
    </row>
    <row r="654" spans="1:11" ht="15" x14ac:dyDescent="0.25">
      <c r="A654" s="1" t="str">
        <f>IF('1.1 Produksi Bersih Padi 2025'!A654="","",'1.1 Produksi Bersih Padi 2025'!A654)</f>
        <v/>
      </c>
      <c r="B654" s="31" t="str">
        <f>IF('1.1 Produksi Bersih Padi 2025'!B654="","",'1.1 Produksi Bersih Padi 2025'!B654)</f>
        <v/>
      </c>
      <c r="C654" s="31" t="str">
        <f>IF('1.1 Produksi Bersih Padi 2025'!C654="","",'1.1 Produksi Bersih Padi 2025'!C654)</f>
        <v/>
      </c>
      <c r="D654" s="1" t="str">
        <f>IF('1.1 Produksi Bersih Padi 2025'!D654="","",'1.1 Produksi Bersih Padi 2025'!D654)</f>
        <v/>
      </c>
      <c r="E654" s="1" t="str">
        <f>IF('1.1 Produksi Bersih Padi 2025'!E654="","",'1.1 Produksi Bersih Padi 2025'!E654)</f>
        <v/>
      </c>
      <c r="F654" s="28" t="str">
        <f>IF(D654="","",VLOOKUP(D654,'[1]0.1 Produksi Pangan &amp; Penduduk'!$D$5:$AE$860,28,0))</f>
        <v/>
      </c>
      <c r="G654" s="29" t="str">
        <f t="shared" si="50"/>
        <v/>
      </c>
      <c r="H654" s="29" t="str">
        <f t="shared" si="51"/>
        <v/>
      </c>
      <c r="I654" s="29" t="str">
        <f t="shared" si="52"/>
        <v/>
      </c>
      <c r="J654" s="29" t="str">
        <f t="shared" si="53"/>
        <v/>
      </c>
      <c r="K654" s="29" t="str">
        <f t="shared" si="54"/>
        <v/>
      </c>
    </row>
    <row r="655" spans="1:11" ht="15" x14ac:dyDescent="0.25">
      <c r="A655" s="1" t="str">
        <f>IF('1.1 Produksi Bersih Padi 2025'!A655="","",'1.1 Produksi Bersih Padi 2025'!A655)</f>
        <v/>
      </c>
      <c r="B655" s="31" t="str">
        <f>IF('1.1 Produksi Bersih Padi 2025'!B655="","",'1.1 Produksi Bersih Padi 2025'!B655)</f>
        <v/>
      </c>
      <c r="C655" s="31" t="str">
        <f>IF('1.1 Produksi Bersih Padi 2025'!C655="","",'1.1 Produksi Bersih Padi 2025'!C655)</f>
        <v/>
      </c>
      <c r="D655" s="1" t="str">
        <f>IF('1.1 Produksi Bersih Padi 2025'!D655="","",'1.1 Produksi Bersih Padi 2025'!D655)</f>
        <v/>
      </c>
      <c r="E655" s="1" t="str">
        <f>IF('1.1 Produksi Bersih Padi 2025'!E655="","",'1.1 Produksi Bersih Padi 2025'!E655)</f>
        <v/>
      </c>
      <c r="F655" s="28" t="str">
        <f>IF(D655="","",VLOOKUP(D655,'[1]0.1 Produksi Pangan &amp; Penduduk'!$D$5:$AE$860,28,0))</f>
        <v/>
      </c>
      <c r="G655" s="29" t="str">
        <f t="shared" si="50"/>
        <v/>
      </c>
      <c r="H655" s="29" t="str">
        <f t="shared" si="51"/>
        <v/>
      </c>
      <c r="I655" s="29" t="str">
        <f t="shared" si="52"/>
        <v/>
      </c>
      <c r="J655" s="29" t="str">
        <f t="shared" si="53"/>
        <v/>
      </c>
      <c r="K655" s="29" t="str">
        <f t="shared" si="54"/>
        <v/>
      </c>
    </row>
    <row r="656" spans="1:11" ht="15" x14ac:dyDescent="0.25">
      <c r="A656" s="1" t="str">
        <f>IF('1.1 Produksi Bersih Padi 2025'!A656="","",'1.1 Produksi Bersih Padi 2025'!A656)</f>
        <v/>
      </c>
      <c r="B656" s="31" t="str">
        <f>IF('1.1 Produksi Bersih Padi 2025'!B656="","",'1.1 Produksi Bersih Padi 2025'!B656)</f>
        <v/>
      </c>
      <c r="C656" s="31" t="str">
        <f>IF('1.1 Produksi Bersih Padi 2025'!C656="","",'1.1 Produksi Bersih Padi 2025'!C656)</f>
        <v/>
      </c>
      <c r="D656" s="1" t="str">
        <f>IF('1.1 Produksi Bersih Padi 2025'!D656="","",'1.1 Produksi Bersih Padi 2025'!D656)</f>
        <v/>
      </c>
      <c r="E656" s="1" t="str">
        <f>IF('1.1 Produksi Bersih Padi 2025'!E656="","",'1.1 Produksi Bersih Padi 2025'!E656)</f>
        <v/>
      </c>
      <c r="F656" s="28" t="str">
        <f>IF(D656="","",VLOOKUP(D656,'[1]0.1 Produksi Pangan &amp; Penduduk'!$D$5:$AE$860,28,0))</f>
        <v/>
      </c>
      <c r="G656" s="29" t="str">
        <f t="shared" si="50"/>
        <v/>
      </c>
      <c r="H656" s="29" t="str">
        <f t="shared" si="51"/>
        <v/>
      </c>
      <c r="I656" s="29" t="str">
        <f t="shared" si="52"/>
        <v/>
      </c>
      <c r="J656" s="29" t="str">
        <f t="shared" si="53"/>
        <v/>
      </c>
      <c r="K656" s="29" t="str">
        <f t="shared" si="54"/>
        <v/>
      </c>
    </row>
    <row r="657" spans="1:11" ht="15" x14ac:dyDescent="0.25">
      <c r="A657" s="1" t="str">
        <f>IF('1.1 Produksi Bersih Padi 2025'!A657="","",'1.1 Produksi Bersih Padi 2025'!A657)</f>
        <v/>
      </c>
      <c r="B657" s="31" t="str">
        <f>IF('1.1 Produksi Bersih Padi 2025'!B657="","",'1.1 Produksi Bersih Padi 2025'!B657)</f>
        <v/>
      </c>
      <c r="C657" s="31" t="str">
        <f>IF('1.1 Produksi Bersih Padi 2025'!C657="","",'1.1 Produksi Bersih Padi 2025'!C657)</f>
        <v/>
      </c>
      <c r="D657" s="1" t="str">
        <f>IF('1.1 Produksi Bersih Padi 2025'!D657="","",'1.1 Produksi Bersih Padi 2025'!D657)</f>
        <v/>
      </c>
      <c r="E657" s="1" t="str">
        <f>IF('1.1 Produksi Bersih Padi 2025'!E657="","",'1.1 Produksi Bersih Padi 2025'!E657)</f>
        <v/>
      </c>
      <c r="F657" s="28" t="str">
        <f>IF(D657="","",VLOOKUP(D657,'[1]0.1 Produksi Pangan &amp; Penduduk'!$D$5:$AE$860,28,0))</f>
        <v/>
      </c>
      <c r="G657" s="29" t="str">
        <f t="shared" si="50"/>
        <v/>
      </c>
      <c r="H657" s="29" t="str">
        <f t="shared" si="51"/>
        <v/>
      </c>
      <c r="I657" s="29" t="str">
        <f t="shared" si="52"/>
        <v/>
      </c>
      <c r="J657" s="29" t="str">
        <f t="shared" si="53"/>
        <v/>
      </c>
      <c r="K657" s="29" t="str">
        <f t="shared" si="54"/>
        <v/>
      </c>
    </row>
    <row r="658" spans="1:11" ht="15" x14ac:dyDescent="0.25">
      <c r="A658" s="1" t="str">
        <f>IF('1.1 Produksi Bersih Padi 2025'!A658="","",'1.1 Produksi Bersih Padi 2025'!A658)</f>
        <v/>
      </c>
      <c r="B658" s="31" t="str">
        <f>IF('1.1 Produksi Bersih Padi 2025'!B658="","",'1.1 Produksi Bersih Padi 2025'!B658)</f>
        <v/>
      </c>
      <c r="C658" s="31" t="str">
        <f>IF('1.1 Produksi Bersih Padi 2025'!C658="","",'1.1 Produksi Bersih Padi 2025'!C658)</f>
        <v/>
      </c>
      <c r="D658" s="1" t="str">
        <f>IF('1.1 Produksi Bersih Padi 2025'!D658="","",'1.1 Produksi Bersih Padi 2025'!D658)</f>
        <v/>
      </c>
      <c r="E658" s="1" t="str">
        <f>IF('1.1 Produksi Bersih Padi 2025'!E658="","",'1.1 Produksi Bersih Padi 2025'!E658)</f>
        <v/>
      </c>
      <c r="F658" s="28" t="str">
        <f>IF(D658="","",VLOOKUP(D658,'[1]0.1 Produksi Pangan &amp; Penduduk'!$D$5:$AE$860,28,0))</f>
        <v/>
      </c>
      <c r="G658" s="29" t="str">
        <f t="shared" si="50"/>
        <v/>
      </c>
      <c r="H658" s="29" t="str">
        <f t="shared" si="51"/>
        <v/>
      </c>
      <c r="I658" s="29" t="str">
        <f t="shared" si="52"/>
        <v/>
      </c>
      <c r="J658" s="29" t="str">
        <f t="shared" si="53"/>
        <v/>
      </c>
      <c r="K658" s="29" t="str">
        <f t="shared" si="54"/>
        <v/>
      </c>
    </row>
    <row r="659" spans="1:11" ht="15" x14ac:dyDescent="0.25">
      <c r="A659" s="1" t="str">
        <f>IF('1.1 Produksi Bersih Padi 2025'!A659="","",'1.1 Produksi Bersih Padi 2025'!A659)</f>
        <v/>
      </c>
      <c r="B659" s="31" t="str">
        <f>IF('1.1 Produksi Bersih Padi 2025'!B659="","",'1.1 Produksi Bersih Padi 2025'!B659)</f>
        <v/>
      </c>
      <c r="C659" s="31" t="str">
        <f>IF('1.1 Produksi Bersih Padi 2025'!C659="","",'1.1 Produksi Bersih Padi 2025'!C659)</f>
        <v/>
      </c>
      <c r="D659" s="1" t="str">
        <f>IF('1.1 Produksi Bersih Padi 2025'!D659="","",'1.1 Produksi Bersih Padi 2025'!D659)</f>
        <v/>
      </c>
      <c r="E659" s="1" t="str">
        <f>IF('1.1 Produksi Bersih Padi 2025'!E659="","",'1.1 Produksi Bersih Padi 2025'!E659)</f>
        <v/>
      </c>
      <c r="F659" s="28" t="str">
        <f>IF(D659="","",VLOOKUP(D659,'[1]0.1 Produksi Pangan &amp; Penduduk'!$D$5:$AE$860,28,0))</f>
        <v/>
      </c>
      <c r="G659" s="29" t="str">
        <f t="shared" si="50"/>
        <v/>
      </c>
      <c r="H659" s="29" t="str">
        <f t="shared" si="51"/>
        <v/>
      </c>
      <c r="I659" s="29" t="str">
        <f t="shared" si="52"/>
        <v/>
      </c>
      <c r="J659" s="29" t="str">
        <f t="shared" si="53"/>
        <v/>
      </c>
      <c r="K659" s="29" t="str">
        <f t="shared" si="54"/>
        <v/>
      </c>
    </row>
    <row r="660" spans="1:11" ht="15" x14ac:dyDescent="0.25">
      <c r="A660" s="1" t="str">
        <f>IF('1.1 Produksi Bersih Padi 2025'!A660="","",'1.1 Produksi Bersih Padi 2025'!A660)</f>
        <v/>
      </c>
      <c r="B660" s="31" t="str">
        <f>IF('1.1 Produksi Bersih Padi 2025'!B660="","",'1.1 Produksi Bersih Padi 2025'!B660)</f>
        <v/>
      </c>
      <c r="C660" s="31" t="str">
        <f>IF('1.1 Produksi Bersih Padi 2025'!C660="","",'1.1 Produksi Bersih Padi 2025'!C660)</f>
        <v/>
      </c>
      <c r="D660" s="1" t="str">
        <f>IF('1.1 Produksi Bersih Padi 2025'!D660="","",'1.1 Produksi Bersih Padi 2025'!D660)</f>
        <v/>
      </c>
      <c r="E660" s="1" t="str">
        <f>IF('1.1 Produksi Bersih Padi 2025'!E660="","",'1.1 Produksi Bersih Padi 2025'!E660)</f>
        <v/>
      </c>
      <c r="F660" s="28" t="str">
        <f>IF(D660="","",VLOOKUP(D660,'[1]0.1 Produksi Pangan &amp; Penduduk'!$D$5:$AE$860,28,0))</f>
        <v/>
      </c>
      <c r="G660" s="29" t="str">
        <f t="shared" si="50"/>
        <v/>
      </c>
      <c r="H660" s="29" t="str">
        <f t="shared" si="51"/>
        <v/>
      </c>
      <c r="I660" s="29" t="str">
        <f t="shared" si="52"/>
        <v/>
      </c>
      <c r="J660" s="29" t="str">
        <f t="shared" si="53"/>
        <v/>
      </c>
      <c r="K660" s="29" t="str">
        <f t="shared" si="54"/>
        <v/>
      </c>
    </row>
    <row r="661" spans="1:11" ht="15" x14ac:dyDescent="0.25">
      <c r="A661" s="1" t="str">
        <f>IF('1.1 Produksi Bersih Padi 2025'!A661="","",'1.1 Produksi Bersih Padi 2025'!A661)</f>
        <v/>
      </c>
      <c r="B661" s="31" t="str">
        <f>IF('1.1 Produksi Bersih Padi 2025'!B661="","",'1.1 Produksi Bersih Padi 2025'!B661)</f>
        <v/>
      </c>
      <c r="C661" s="31" t="str">
        <f>IF('1.1 Produksi Bersih Padi 2025'!C661="","",'1.1 Produksi Bersih Padi 2025'!C661)</f>
        <v/>
      </c>
      <c r="D661" s="1" t="str">
        <f>IF('1.1 Produksi Bersih Padi 2025'!D661="","",'1.1 Produksi Bersih Padi 2025'!D661)</f>
        <v/>
      </c>
      <c r="E661" s="1" t="str">
        <f>IF('1.1 Produksi Bersih Padi 2025'!E661="","",'1.1 Produksi Bersih Padi 2025'!E661)</f>
        <v/>
      </c>
      <c r="F661" s="28" t="str">
        <f>IF(D661="","",VLOOKUP(D661,'[1]0.1 Produksi Pangan &amp; Penduduk'!$D$5:$AE$860,28,0))</f>
        <v/>
      </c>
      <c r="G661" s="29" t="str">
        <f t="shared" si="50"/>
        <v/>
      </c>
      <c r="H661" s="29" t="str">
        <f t="shared" si="51"/>
        <v/>
      </c>
      <c r="I661" s="29" t="str">
        <f t="shared" si="52"/>
        <v/>
      </c>
      <c r="J661" s="29" t="str">
        <f t="shared" si="53"/>
        <v/>
      </c>
      <c r="K661" s="29" t="str">
        <f t="shared" si="54"/>
        <v/>
      </c>
    </row>
    <row r="662" spans="1:11" ht="15" x14ac:dyDescent="0.25">
      <c r="A662" s="1" t="str">
        <f>IF('1.1 Produksi Bersih Padi 2025'!A662="","",'1.1 Produksi Bersih Padi 2025'!A662)</f>
        <v/>
      </c>
      <c r="B662" s="31" t="str">
        <f>IF('1.1 Produksi Bersih Padi 2025'!B662="","",'1.1 Produksi Bersih Padi 2025'!B662)</f>
        <v/>
      </c>
      <c r="C662" s="31" t="str">
        <f>IF('1.1 Produksi Bersih Padi 2025'!C662="","",'1.1 Produksi Bersih Padi 2025'!C662)</f>
        <v/>
      </c>
      <c r="D662" s="1" t="str">
        <f>IF('1.1 Produksi Bersih Padi 2025'!D662="","",'1.1 Produksi Bersih Padi 2025'!D662)</f>
        <v/>
      </c>
      <c r="E662" s="1" t="str">
        <f>IF('1.1 Produksi Bersih Padi 2025'!E662="","",'1.1 Produksi Bersih Padi 2025'!E662)</f>
        <v/>
      </c>
      <c r="F662" s="28" t="str">
        <f>IF(D662="","",VLOOKUP(D662,'[1]0.1 Produksi Pangan &amp; Penduduk'!$D$5:$AE$860,28,0))</f>
        <v/>
      </c>
      <c r="G662" s="29" t="str">
        <f t="shared" si="50"/>
        <v/>
      </c>
      <c r="H662" s="29" t="str">
        <f t="shared" si="51"/>
        <v/>
      </c>
      <c r="I662" s="29" t="str">
        <f t="shared" si="52"/>
        <v/>
      </c>
      <c r="J662" s="29" t="str">
        <f t="shared" si="53"/>
        <v/>
      </c>
      <c r="K662" s="29" t="str">
        <f t="shared" si="54"/>
        <v/>
      </c>
    </row>
    <row r="663" spans="1:11" ht="15" x14ac:dyDescent="0.25">
      <c r="A663" s="1" t="str">
        <f>IF('1.1 Produksi Bersih Padi 2025'!A663="","",'1.1 Produksi Bersih Padi 2025'!A663)</f>
        <v/>
      </c>
      <c r="B663" s="31" t="str">
        <f>IF('1.1 Produksi Bersih Padi 2025'!B663="","",'1.1 Produksi Bersih Padi 2025'!B663)</f>
        <v/>
      </c>
      <c r="C663" s="31" t="str">
        <f>IF('1.1 Produksi Bersih Padi 2025'!C663="","",'1.1 Produksi Bersih Padi 2025'!C663)</f>
        <v/>
      </c>
      <c r="D663" s="1" t="str">
        <f>IF('1.1 Produksi Bersih Padi 2025'!D663="","",'1.1 Produksi Bersih Padi 2025'!D663)</f>
        <v/>
      </c>
      <c r="E663" s="1" t="str">
        <f>IF('1.1 Produksi Bersih Padi 2025'!E663="","",'1.1 Produksi Bersih Padi 2025'!E663)</f>
        <v/>
      </c>
      <c r="F663" s="28" t="str">
        <f>IF(D663="","",VLOOKUP(D663,'[1]0.1 Produksi Pangan &amp; Penduduk'!$D$5:$AE$860,28,0))</f>
        <v/>
      </c>
      <c r="G663" s="29" t="str">
        <f t="shared" si="50"/>
        <v/>
      </c>
      <c r="H663" s="29" t="str">
        <f t="shared" si="51"/>
        <v/>
      </c>
      <c r="I663" s="29" t="str">
        <f t="shared" si="52"/>
        <v/>
      </c>
      <c r="J663" s="29" t="str">
        <f t="shared" si="53"/>
        <v/>
      </c>
      <c r="K663" s="29" t="str">
        <f t="shared" si="54"/>
        <v/>
      </c>
    </row>
    <row r="664" spans="1:11" ht="15" x14ac:dyDescent="0.25">
      <c r="A664" s="1" t="str">
        <f>IF('1.1 Produksi Bersih Padi 2025'!A664="","",'1.1 Produksi Bersih Padi 2025'!A664)</f>
        <v/>
      </c>
      <c r="B664" s="31" t="str">
        <f>IF('1.1 Produksi Bersih Padi 2025'!B664="","",'1.1 Produksi Bersih Padi 2025'!B664)</f>
        <v/>
      </c>
      <c r="C664" s="31" t="str">
        <f>IF('1.1 Produksi Bersih Padi 2025'!C664="","",'1.1 Produksi Bersih Padi 2025'!C664)</f>
        <v/>
      </c>
      <c r="D664" s="1" t="str">
        <f>IF('1.1 Produksi Bersih Padi 2025'!D664="","",'1.1 Produksi Bersih Padi 2025'!D664)</f>
        <v/>
      </c>
      <c r="E664" s="1" t="str">
        <f>IF('1.1 Produksi Bersih Padi 2025'!E664="","",'1.1 Produksi Bersih Padi 2025'!E664)</f>
        <v/>
      </c>
      <c r="F664" s="28" t="str">
        <f>IF(D664="","",VLOOKUP(D664,'[1]0.1 Produksi Pangan &amp; Penduduk'!$D$5:$AE$860,28,0))</f>
        <v/>
      </c>
      <c r="G664" s="29" t="str">
        <f t="shared" si="50"/>
        <v/>
      </c>
      <c r="H664" s="29" t="str">
        <f t="shared" si="51"/>
        <v/>
      </c>
      <c r="I664" s="29" t="str">
        <f t="shared" si="52"/>
        <v/>
      </c>
      <c r="J664" s="29" t="str">
        <f t="shared" si="53"/>
        <v/>
      </c>
      <c r="K664" s="29" t="str">
        <f t="shared" si="54"/>
        <v/>
      </c>
    </row>
    <row r="665" spans="1:11" ht="15" x14ac:dyDescent="0.25">
      <c r="A665" s="1" t="str">
        <f>IF('1.1 Produksi Bersih Padi 2025'!A665="","",'1.1 Produksi Bersih Padi 2025'!A665)</f>
        <v/>
      </c>
      <c r="B665" s="31" t="str">
        <f>IF('1.1 Produksi Bersih Padi 2025'!B665="","",'1.1 Produksi Bersih Padi 2025'!B665)</f>
        <v/>
      </c>
      <c r="C665" s="31" t="str">
        <f>IF('1.1 Produksi Bersih Padi 2025'!C665="","",'1.1 Produksi Bersih Padi 2025'!C665)</f>
        <v/>
      </c>
      <c r="D665" s="1" t="str">
        <f>IF('1.1 Produksi Bersih Padi 2025'!D665="","",'1.1 Produksi Bersih Padi 2025'!D665)</f>
        <v/>
      </c>
      <c r="E665" s="1" t="str">
        <f>IF('1.1 Produksi Bersih Padi 2025'!E665="","",'1.1 Produksi Bersih Padi 2025'!E665)</f>
        <v/>
      </c>
      <c r="F665" s="28" t="str">
        <f>IF(D665="","",VLOOKUP(D665,'[1]0.1 Produksi Pangan &amp; Penduduk'!$D$5:$AE$860,28,0))</f>
        <v/>
      </c>
      <c r="G665" s="29" t="str">
        <f t="shared" si="50"/>
        <v/>
      </c>
      <c r="H665" s="29" t="str">
        <f t="shared" si="51"/>
        <v/>
      </c>
      <c r="I665" s="29" t="str">
        <f t="shared" si="52"/>
        <v/>
      </c>
      <c r="J665" s="29" t="str">
        <f t="shared" si="53"/>
        <v/>
      </c>
      <c r="K665" s="29" t="str">
        <f t="shared" si="54"/>
        <v/>
      </c>
    </row>
    <row r="666" spans="1:11" ht="15" x14ac:dyDescent="0.25">
      <c r="A666" s="1" t="str">
        <f>IF('1.1 Produksi Bersih Padi 2025'!A666="","",'1.1 Produksi Bersih Padi 2025'!A666)</f>
        <v/>
      </c>
      <c r="B666" s="31" t="str">
        <f>IF('1.1 Produksi Bersih Padi 2025'!B666="","",'1.1 Produksi Bersih Padi 2025'!B666)</f>
        <v/>
      </c>
      <c r="C666" s="31" t="str">
        <f>IF('1.1 Produksi Bersih Padi 2025'!C666="","",'1.1 Produksi Bersih Padi 2025'!C666)</f>
        <v/>
      </c>
      <c r="D666" s="1" t="str">
        <f>IF('1.1 Produksi Bersih Padi 2025'!D666="","",'1.1 Produksi Bersih Padi 2025'!D666)</f>
        <v/>
      </c>
      <c r="E666" s="1" t="str">
        <f>IF('1.1 Produksi Bersih Padi 2025'!E666="","",'1.1 Produksi Bersih Padi 2025'!E666)</f>
        <v/>
      </c>
      <c r="F666" s="28" t="str">
        <f>IF(D666="","",VLOOKUP(D666,'[1]0.1 Produksi Pangan &amp; Penduduk'!$D$5:$AE$860,28,0))</f>
        <v/>
      </c>
      <c r="G666" s="29" t="str">
        <f t="shared" si="50"/>
        <v/>
      </c>
      <c r="H666" s="29" t="str">
        <f t="shared" si="51"/>
        <v/>
      </c>
      <c r="I666" s="29" t="str">
        <f t="shared" si="52"/>
        <v/>
      </c>
      <c r="J666" s="29" t="str">
        <f t="shared" si="53"/>
        <v/>
      </c>
      <c r="K666" s="29" t="str">
        <f t="shared" si="54"/>
        <v/>
      </c>
    </row>
    <row r="667" spans="1:11" ht="15" x14ac:dyDescent="0.25">
      <c r="A667" s="1" t="str">
        <f>IF('1.1 Produksi Bersih Padi 2025'!A667="","",'1.1 Produksi Bersih Padi 2025'!A667)</f>
        <v/>
      </c>
      <c r="B667" s="31" t="str">
        <f>IF('1.1 Produksi Bersih Padi 2025'!B667="","",'1.1 Produksi Bersih Padi 2025'!B667)</f>
        <v/>
      </c>
      <c r="C667" s="31" t="str">
        <f>IF('1.1 Produksi Bersih Padi 2025'!C667="","",'1.1 Produksi Bersih Padi 2025'!C667)</f>
        <v/>
      </c>
      <c r="D667" s="1" t="str">
        <f>IF('1.1 Produksi Bersih Padi 2025'!D667="","",'1.1 Produksi Bersih Padi 2025'!D667)</f>
        <v/>
      </c>
      <c r="E667" s="1" t="str">
        <f>IF('1.1 Produksi Bersih Padi 2025'!E667="","",'1.1 Produksi Bersih Padi 2025'!E667)</f>
        <v/>
      </c>
      <c r="F667" s="28" t="str">
        <f>IF(D667="","",VLOOKUP(D667,'[1]0.1 Produksi Pangan &amp; Penduduk'!$D$5:$AE$860,28,0))</f>
        <v/>
      </c>
      <c r="G667" s="29" t="str">
        <f t="shared" si="50"/>
        <v/>
      </c>
      <c r="H667" s="29" t="str">
        <f t="shared" si="51"/>
        <v/>
      </c>
      <c r="I667" s="29" t="str">
        <f t="shared" si="52"/>
        <v/>
      </c>
      <c r="J667" s="29" t="str">
        <f t="shared" si="53"/>
        <v/>
      </c>
      <c r="K667" s="29" t="str">
        <f t="shared" si="54"/>
        <v/>
      </c>
    </row>
    <row r="668" spans="1:11" ht="15" x14ac:dyDescent="0.25">
      <c r="A668" s="1" t="str">
        <f>IF('1.1 Produksi Bersih Padi 2025'!A668="","",'1.1 Produksi Bersih Padi 2025'!A668)</f>
        <v/>
      </c>
      <c r="B668" s="31" t="str">
        <f>IF('1.1 Produksi Bersih Padi 2025'!B668="","",'1.1 Produksi Bersih Padi 2025'!B668)</f>
        <v/>
      </c>
      <c r="C668" s="31" t="str">
        <f>IF('1.1 Produksi Bersih Padi 2025'!C668="","",'1.1 Produksi Bersih Padi 2025'!C668)</f>
        <v/>
      </c>
      <c r="D668" s="1" t="str">
        <f>IF('1.1 Produksi Bersih Padi 2025'!D668="","",'1.1 Produksi Bersih Padi 2025'!D668)</f>
        <v/>
      </c>
      <c r="E668" s="1" t="str">
        <f>IF('1.1 Produksi Bersih Padi 2025'!E668="","",'1.1 Produksi Bersih Padi 2025'!E668)</f>
        <v/>
      </c>
      <c r="F668" s="28" t="str">
        <f>IF(D668="","",VLOOKUP(D668,'[1]0.1 Produksi Pangan &amp; Penduduk'!$D$5:$AE$860,28,0))</f>
        <v/>
      </c>
      <c r="G668" s="29" t="str">
        <f t="shared" si="50"/>
        <v/>
      </c>
      <c r="H668" s="29" t="str">
        <f t="shared" si="51"/>
        <v/>
      </c>
      <c r="I668" s="29" t="str">
        <f t="shared" si="52"/>
        <v/>
      </c>
      <c r="J668" s="29" t="str">
        <f t="shared" si="53"/>
        <v/>
      </c>
      <c r="K668" s="29" t="str">
        <f t="shared" si="54"/>
        <v/>
      </c>
    </row>
    <row r="669" spans="1:11" ht="15" x14ac:dyDescent="0.25">
      <c r="A669" s="1" t="str">
        <f>IF('1.1 Produksi Bersih Padi 2025'!A669="","",'1.1 Produksi Bersih Padi 2025'!A669)</f>
        <v/>
      </c>
      <c r="B669" s="31" t="str">
        <f>IF('1.1 Produksi Bersih Padi 2025'!B669="","",'1.1 Produksi Bersih Padi 2025'!B669)</f>
        <v/>
      </c>
      <c r="C669" s="31" t="str">
        <f>IF('1.1 Produksi Bersih Padi 2025'!C669="","",'1.1 Produksi Bersih Padi 2025'!C669)</f>
        <v/>
      </c>
      <c r="D669" s="1" t="str">
        <f>IF('1.1 Produksi Bersih Padi 2025'!D669="","",'1.1 Produksi Bersih Padi 2025'!D669)</f>
        <v/>
      </c>
      <c r="E669" s="1" t="str">
        <f>IF('1.1 Produksi Bersih Padi 2025'!E669="","",'1.1 Produksi Bersih Padi 2025'!E669)</f>
        <v/>
      </c>
      <c r="F669" s="28" t="str">
        <f>IF(D669="","",VLOOKUP(D669,'[1]0.1 Produksi Pangan &amp; Penduduk'!$D$5:$AE$860,28,0))</f>
        <v/>
      </c>
      <c r="G669" s="29" t="str">
        <f t="shared" si="50"/>
        <v/>
      </c>
      <c r="H669" s="29" t="str">
        <f t="shared" si="51"/>
        <v/>
      </c>
      <c r="I669" s="29" t="str">
        <f t="shared" si="52"/>
        <v/>
      </c>
      <c r="J669" s="29" t="str">
        <f t="shared" si="53"/>
        <v/>
      </c>
      <c r="K669" s="29" t="str">
        <f t="shared" si="54"/>
        <v/>
      </c>
    </row>
    <row r="670" spans="1:11" ht="15" x14ac:dyDescent="0.25">
      <c r="A670" s="1" t="str">
        <f>IF('1.1 Produksi Bersih Padi 2025'!A670="","",'1.1 Produksi Bersih Padi 2025'!A670)</f>
        <v/>
      </c>
      <c r="B670" s="31" t="str">
        <f>IF('1.1 Produksi Bersih Padi 2025'!B670="","",'1.1 Produksi Bersih Padi 2025'!B670)</f>
        <v/>
      </c>
      <c r="C670" s="31" t="str">
        <f>IF('1.1 Produksi Bersih Padi 2025'!C670="","",'1.1 Produksi Bersih Padi 2025'!C670)</f>
        <v/>
      </c>
      <c r="D670" s="1" t="str">
        <f>IF('1.1 Produksi Bersih Padi 2025'!D670="","",'1.1 Produksi Bersih Padi 2025'!D670)</f>
        <v/>
      </c>
      <c r="E670" s="1" t="str">
        <f>IF('1.1 Produksi Bersih Padi 2025'!E670="","",'1.1 Produksi Bersih Padi 2025'!E670)</f>
        <v/>
      </c>
      <c r="F670" s="28" t="str">
        <f>IF(D670="","",VLOOKUP(D670,'[1]0.1 Produksi Pangan &amp; Penduduk'!$D$5:$AE$860,28,0))</f>
        <v/>
      </c>
      <c r="G670" s="29" t="str">
        <f t="shared" si="50"/>
        <v/>
      </c>
      <c r="H670" s="29" t="str">
        <f t="shared" si="51"/>
        <v/>
      </c>
      <c r="I670" s="29" t="str">
        <f t="shared" si="52"/>
        <v/>
      </c>
      <c r="J670" s="29" t="str">
        <f t="shared" si="53"/>
        <v/>
      </c>
      <c r="K670" s="29" t="str">
        <f t="shared" si="54"/>
        <v/>
      </c>
    </row>
    <row r="671" spans="1:11" ht="15" x14ac:dyDescent="0.25">
      <c r="A671" s="1" t="str">
        <f>IF('1.1 Produksi Bersih Padi 2025'!A671="","",'1.1 Produksi Bersih Padi 2025'!A671)</f>
        <v/>
      </c>
      <c r="B671" s="31" t="str">
        <f>IF('1.1 Produksi Bersih Padi 2025'!B671="","",'1.1 Produksi Bersih Padi 2025'!B671)</f>
        <v/>
      </c>
      <c r="C671" s="31" t="str">
        <f>IF('1.1 Produksi Bersih Padi 2025'!C671="","",'1.1 Produksi Bersih Padi 2025'!C671)</f>
        <v/>
      </c>
      <c r="D671" s="1" t="str">
        <f>IF('1.1 Produksi Bersih Padi 2025'!D671="","",'1.1 Produksi Bersih Padi 2025'!D671)</f>
        <v/>
      </c>
      <c r="E671" s="1" t="str">
        <f>IF('1.1 Produksi Bersih Padi 2025'!E671="","",'1.1 Produksi Bersih Padi 2025'!E671)</f>
        <v/>
      </c>
      <c r="F671" s="28" t="str">
        <f>IF(D671="","",VLOOKUP(D671,'[1]0.1 Produksi Pangan &amp; Penduduk'!$D$5:$AE$860,28,0))</f>
        <v/>
      </c>
      <c r="G671" s="29" t="str">
        <f t="shared" si="50"/>
        <v/>
      </c>
      <c r="H671" s="29" t="str">
        <f t="shared" si="51"/>
        <v/>
      </c>
      <c r="I671" s="29" t="str">
        <f t="shared" si="52"/>
        <v/>
      </c>
      <c r="J671" s="29" t="str">
        <f t="shared" si="53"/>
        <v/>
      </c>
      <c r="K671" s="29" t="str">
        <f t="shared" si="54"/>
        <v/>
      </c>
    </row>
    <row r="672" spans="1:11" ht="15" x14ac:dyDescent="0.25">
      <c r="A672" s="1" t="str">
        <f>IF('1.1 Produksi Bersih Padi 2025'!A672="","",'1.1 Produksi Bersih Padi 2025'!A672)</f>
        <v/>
      </c>
      <c r="B672" s="31" t="str">
        <f>IF('1.1 Produksi Bersih Padi 2025'!B672="","",'1.1 Produksi Bersih Padi 2025'!B672)</f>
        <v/>
      </c>
      <c r="C672" s="31" t="str">
        <f>IF('1.1 Produksi Bersih Padi 2025'!C672="","",'1.1 Produksi Bersih Padi 2025'!C672)</f>
        <v/>
      </c>
      <c r="D672" s="1" t="str">
        <f>IF('1.1 Produksi Bersih Padi 2025'!D672="","",'1.1 Produksi Bersih Padi 2025'!D672)</f>
        <v/>
      </c>
      <c r="E672" s="1" t="str">
        <f>IF('1.1 Produksi Bersih Padi 2025'!E672="","",'1.1 Produksi Bersih Padi 2025'!E672)</f>
        <v/>
      </c>
      <c r="F672" s="28" t="str">
        <f>IF(D672="","",VLOOKUP(D672,'[1]0.1 Produksi Pangan &amp; Penduduk'!$D$5:$AE$860,28,0))</f>
        <v/>
      </c>
      <c r="G672" s="29" t="str">
        <f t="shared" si="50"/>
        <v/>
      </c>
      <c r="H672" s="29" t="str">
        <f t="shared" si="51"/>
        <v/>
      </c>
      <c r="I672" s="29" t="str">
        <f t="shared" si="52"/>
        <v/>
      </c>
      <c r="J672" s="29" t="str">
        <f t="shared" si="53"/>
        <v/>
      </c>
      <c r="K672" s="29" t="str">
        <f t="shared" si="54"/>
        <v/>
      </c>
    </row>
    <row r="673" spans="1:11" ht="15" x14ac:dyDescent="0.25">
      <c r="A673" s="1" t="str">
        <f>IF('1.1 Produksi Bersih Padi 2025'!A673="","",'1.1 Produksi Bersih Padi 2025'!A673)</f>
        <v/>
      </c>
      <c r="B673" s="31" t="str">
        <f>IF('1.1 Produksi Bersih Padi 2025'!B673="","",'1.1 Produksi Bersih Padi 2025'!B673)</f>
        <v/>
      </c>
      <c r="C673" s="31" t="str">
        <f>IF('1.1 Produksi Bersih Padi 2025'!C673="","",'1.1 Produksi Bersih Padi 2025'!C673)</f>
        <v/>
      </c>
      <c r="D673" s="1" t="str">
        <f>IF('1.1 Produksi Bersih Padi 2025'!D673="","",'1.1 Produksi Bersih Padi 2025'!D673)</f>
        <v/>
      </c>
      <c r="E673" s="1" t="str">
        <f>IF('1.1 Produksi Bersih Padi 2025'!E673="","",'1.1 Produksi Bersih Padi 2025'!E673)</f>
        <v/>
      </c>
      <c r="F673" s="28" t="str">
        <f>IF(D673="","",VLOOKUP(D673,'[1]0.1 Produksi Pangan &amp; Penduduk'!$D$5:$AE$860,28,0))</f>
        <v/>
      </c>
      <c r="G673" s="29" t="str">
        <f t="shared" si="50"/>
        <v/>
      </c>
      <c r="H673" s="29" t="str">
        <f t="shared" si="51"/>
        <v/>
      </c>
      <c r="I673" s="29" t="str">
        <f t="shared" si="52"/>
        <v/>
      </c>
      <c r="J673" s="29" t="str">
        <f t="shared" si="53"/>
        <v/>
      </c>
      <c r="K673" s="29" t="str">
        <f t="shared" si="54"/>
        <v/>
      </c>
    </row>
    <row r="674" spans="1:11" ht="15" x14ac:dyDescent="0.25">
      <c r="A674" s="1" t="str">
        <f>IF('1.1 Produksi Bersih Padi 2025'!A674="","",'1.1 Produksi Bersih Padi 2025'!A674)</f>
        <v/>
      </c>
      <c r="B674" s="31" t="str">
        <f>IF('1.1 Produksi Bersih Padi 2025'!B674="","",'1.1 Produksi Bersih Padi 2025'!B674)</f>
        <v/>
      </c>
      <c r="C674" s="31" t="str">
        <f>IF('1.1 Produksi Bersih Padi 2025'!C674="","",'1.1 Produksi Bersih Padi 2025'!C674)</f>
        <v/>
      </c>
      <c r="D674" s="1" t="str">
        <f>IF('1.1 Produksi Bersih Padi 2025'!D674="","",'1.1 Produksi Bersih Padi 2025'!D674)</f>
        <v/>
      </c>
      <c r="E674" s="1" t="str">
        <f>IF('1.1 Produksi Bersih Padi 2025'!E674="","",'1.1 Produksi Bersih Padi 2025'!E674)</f>
        <v/>
      </c>
      <c r="F674" s="28" t="str">
        <f>IF(D674="","",VLOOKUP(D674,'[1]0.1 Produksi Pangan &amp; Penduduk'!$D$5:$AE$860,28,0))</f>
        <v/>
      </c>
      <c r="G674" s="29" t="str">
        <f t="shared" si="50"/>
        <v/>
      </c>
      <c r="H674" s="29" t="str">
        <f t="shared" si="51"/>
        <v/>
      </c>
      <c r="I674" s="29" t="str">
        <f t="shared" si="52"/>
        <v/>
      </c>
      <c r="J674" s="29" t="str">
        <f t="shared" si="53"/>
        <v/>
      </c>
      <c r="K674" s="29" t="str">
        <f t="shared" si="54"/>
        <v/>
      </c>
    </row>
    <row r="675" spans="1:11" ht="15" x14ac:dyDescent="0.25">
      <c r="A675" s="1" t="str">
        <f>IF('1.1 Produksi Bersih Padi 2025'!A675="","",'1.1 Produksi Bersih Padi 2025'!A675)</f>
        <v/>
      </c>
      <c r="B675" s="31" t="str">
        <f>IF('1.1 Produksi Bersih Padi 2025'!B675="","",'1.1 Produksi Bersih Padi 2025'!B675)</f>
        <v/>
      </c>
      <c r="C675" s="31" t="str">
        <f>IF('1.1 Produksi Bersih Padi 2025'!C675="","",'1.1 Produksi Bersih Padi 2025'!C675)</f>
        <v/>
      </c>
      <c r="D675" s="1" t="str">
        <f>IF('1.1 Produksi Bersih Padi 2025'!D675="","",'1.1 Produksi Bersih Padi 2025'!D675)</f>
        <v/>
      </c>
      <c r="E675" s="1" t="str">
        <f>IF('1.1 Produksi Bersih Padi 2025'!E675="","",'1.1 Produksi Bersih Padi 2025'!E675)</f>
        <v/>
      </c>
      <c r="F675" s="28" t="str">
        <f>IF(D675="","",VLOOKUP(D675,'[1]0.1 Produksi Pangan &amp; Penduduk'!$D$5:$AE$860,28,0))</f>
        <v/>
      </c>
      <c r="G675" s="29" t="str">
        <f t="shared" si="50"/>
        <v/>
      </c>
      <c r="H675" s="29" t="str">
        <f t="shared" si="51"/>
        <v/>
      </c>
      <c r="I675" s="29" t="str">
        <f t="shared" si="52"/>
        <v/>
      </c>
      <c r="J675" s="29" t="str">
        <f t="shared" si="53"/>
        <v/>
      </c>
      <c r="K675" s="29" t="str">
        <f t="shared" si="54"/>
        <v/>
      </c>
    </row>
    <row r="676" spans="1:11" ht="15" x14ac:dyDescent="0.25">
      <c r="A676" s="1" t="str">
        <f>IF('1.1 Produksi Bersih Padi 2025'!A676="","",'1.1 Produksi Bersih Padi 2025'!A676)</f>
        <v/>
      </c>
      <c r="B676" s="31" t="str">
        <f>IF('1.1 Produksi Bersih Padi 2025'!B676="","",'1.1 Produksi Bersih Padi 2025'!B676)</f>
        <v/>
      </c>
      <c r="C676" s="31" t="str">
        <f>IF('1.1 Produksi Bersih Padi 2025'!C676="","",'1.1 Produksi Bersih Padi 2025'!C676)</f>
        <v/>
      </c>
      <c r="D676" s="1" t="str">
        <f>IF('1.1 Produksi Bersih Padi 2025'!D676="","",'1.1 Produksi Bersih Padi 2025'!D676)</f>
        <v/>
      </c>
      <c r="E676" s="1" t="str">
        <f>IF('1.1 Produksi Bersih Padi 2025'!E676="","",'1.1 Produksi Bersih Padi 2025'!E676)</f>
        <v/>
      </c>
      <c r="F676" s="28" t="str">
        <f>IF(D676="","",VLOOKUP(D676,'[1]0.1 Produksi Pangan &amp; Penduduk'!$D$5:$AE$860,28,0))</f>
        <v/>
      </c>
      <c r="G676" s="29" t="str">
        <f t="shared" si="50"/>
        <v/>
      </c>
      <c r="H676" s="29" t="str">
        <f t="shared" si="51"/>
        <v/>
      </c>
      <c r="I676" s="29" t="str">
        <f t="shared" si="52"/>
        <v/>
      </c>
      <c r="J676" s="29" t="str">
        <f t="shared" si="53"/>
        <v/>
      </c>
      <c r="K676" s="29" t="str">
        <f t="shared" si="54"/>
        <v/>
      </c>
    </row>
    <row r="677" spans="1:11" ht="15" x14ac:dyDescent="0.25">
      <c r="A677" s="1" t="str">
        <f>IF('1.1 Produksi Bersih Padi 2025'!A677="","",'1.1 Produksi Bersih Padi 2025'!A677)</f>
        <v/>
      </c>
      <c r="B677" s="31" t="str">
        <f>IF('1.1 Produksi Bersih Padi 2025'!B677="","",'1.1 Produksi Bersih Padi 2025'!B677)</f>
        <v/>
      </c>
      <c r="C677" s="31" t="str">
        <f>IF('1.1 Produksi Bersih Padi 2025'!C677="","",'1.1 Produksi Bersih Padi 2025'!C677)</f>
        <v/>
      </c>
      <c r="D677" s="1" t="str">
        <f>IF('1.1 Produksi Bersih Padi 2025'!D677="","",'1.1 Produksi Bersih Padi 2025'!D677)</f>
        <v/>
      </c>
      <c r="E677" s="1" t="str">
        <f>IF('1.1 Produksi Bersih Padi 2025'!E677="","",'1.1 Produksi Bersih Padi 2025'!E677)</f>
        <v/>
      </c>
      <c r="F677" s="28" t="str">
        <f>IF(D677="","",VLOOKUP(D677,'[1]0.1 Produksi Pangan &amp; Penduduk'!$D$5:$AE$860,28,0))</f>
        <v/>
      </c>
      <c r="G677" s="29" t="str">
        <f t="shared" si="50"/>
        <v/>
      </c>
      <c r="H677" s="29" t="str">
        <f t="shared" si="51"/>
        <v/>
      </c>
      <c r="I677" s="29" t="str">
        <f t="shared" si="52"/>
        <v/>
      </c>
      <c r="J677" s="29" t="str">
        <f t="shared" si="53"/>
        <v/>
      </c>
      <c r="K677" s="29" t="str">
        <f t="shared" si="54"/>
        <v/>
      </c>
    </row>
    <row r="678" spans="1:11" ht="15" x14ac:dyDescent="0.25">
      <c r="A678" s="1" t="str">
        <f>IF('1.1 Produksi Bersih Padi 2025'!A678="","",'1.1 Produksi Bersih Padi 2025'!A678)</f>
        <v/>
      </c>
      <c r="B678" s="31" t="str">
        <f>IF('1.1 Produksi Bersih Padi 2025'!B678="","",'1.1 Produksi Bersih Padi 2025'!B678)</f>
        <v/>
      </c>
      <c r="C678" s="31" t="str">
        <f>IF('1.1 Produksi Bersih Padi 2025'!C678="","",'1.1 Produksi Bersih Padi 2025'!C678)</f>
        <v/>
      </c>
      <c r="D678" s="1" t="str">
        <f>IF('1.1 Produksi Bersih Padi 2025'!D678="","",'1.1 Produksi Bersih Padi 2025'!D678)</f>
        <v/>
      </c>
      <c r="E678" s="1" t="str">
        <f>IF('1.1 Produksi Bersih Padi 2025'!E678="","",'1.1 Produksi Bersih Padi 2025'!E678)</f>
        <v/>
      </c>
      <c r="F678" s="28" t="str">
        <f>IF(D678="","",VLOOKUP(D678,'[1]0.1 Produksi Pangan &amp; Penduduk'!$D$5:$AE$860,28,0))</f>
        <v/>
      </c>
      <c r="G678" s="29" t="str">
        <f t="shared" si="50"/>
        <v/>
      </c>
      <c r="H678" s="29" t="str">
        <f t="shared" si="51"/>
        <v/>
      </c>
      <c r="I678" s="29" t="str">
        <f t="shared" si="52"/>
        <v/>
      </c>
      <c r="J678" s="29" t="str">
        <f t="shared" si="53"/>
        <v/>
      </c>
      <c r="K678" s="29" t="str">
        <f t="shared" si="54"/>
        <v/>
      </c>
    </row>
    <row r="679" spans="1:11" ht="15" x14ac:dyDescent="0.25">
      <c r="A679" s="1" t="str">
        <f>IF('1.1 Produksi Bersih Padi 2025'!A679="","",'1.1 Produksi Bersih Padi 2025'!A679)</f>
        <v/>
      </c>
      <c r="B679" s="31" t="str">
        <f>IF('1.1 Produksi Bersih Padi 2025'!B679="","",'1.1 Produksi Bersih Padi 2025'!B679)</f>
        <v/>
      </c>
      <c r="C679" s="31" t="str">
        <f>IF('1.1 Produksi Bersih Padi 2025'!C679="","",'1.1 Produksi Bersih Padi 2025'!C679)</f>
        <v/>
      </c>
      <c r="D679" s="1" t="str">
        <f>IF('1.1 Produksi Bersih Padi 2025'!D679="","",'1.1 Produksi Bersih Padi 2025'!D679)</f>
        <v/>
      </c>
      <c r="E679" s="1" t="str">
        <f>IF('1.1 Produksi Bersih Padi 2025'!E679="","",'1.1 Produksi Bersih Padi 2025'!E679)</f>
        <v/>
      </c>
      <c r="F679" s="28" t="str">
        <f>IF(D679="","",VLOOKUP(D679,'[1]0.1 Produksi Pangan &amp; Penduduk'!$D$5:$AE$860,28,0))</f>
        <v/>
      </c>
      <c r="G679" s="29" t="str">
        <f t="shared" si="50"/>
        <v/>
      </c>
      <c r="H679" s="29" t="str">
        <f t="shared" si="51"/>
        <v/>
      </c>
      <c r="I679" s="29" t="str">
        <f t="shared" si="52"/>
        <v/>
      </c>
      <c r="J679" s="29" t="str">
        <f t="shared" si="53"/>
        <v/>
      </c>
      <c r="K679" s="29" t="str">
        <f t="shared" si="54"/>
        <v/>
      </c>
    </row>
    <row r="680" spans="1:11" ht="15" x14ac:dyDescent="0.25">
      <c r="A680" s="1" t="str">
        <f>IF('1.1 Produksi Bersih Padi 2025'!A680="","",'1.1 Produksi Bersih Padi 2025'!A680)</f>
        <v/>
      </c>
      <c r="B680" s="31" t="str">
        <f>IF('1.1 Produksi Bersih Padi 2025'!B680="","",'1.1 Produksi Bersih Padi 2025'!B680)</f>
        <v/>
      </c>
      <c r="C680" s="31" t="str">
        <f>IF('1.1 Produksi Bersih Padi 2025'!C680="","",'1.1 Produksi Bersih Padi 2025'!C680)</f>
        <v/>
      </c>
      <c r="D680" s="1" t="str">
        <f>IF('1.1 Produksi Bersih Padi 2025'!D680="","",'1.1 Produksi Bersih Padi 2025'!D680)</f>
        <v/>
      </c>
      <c r="E680" s="1" t="str">
        <f>IF('1.1 Produksi Bersih Padi 2025'!E680="","",'1.1 Produksi Bersih Padi 2025'!E680)</f>
        <v/>
      </c>
      <c r="F680" s="28" t="str">
        <f>IF(D680="","",VLOOKUP(D680,'[1]0.1 Produksi Pangan &amp; Penduduk'!$D$5:$AE$860,28,0))</f>
        <v/>
      </c>
      <c r="G680" s="29" t="str">
        <f t="shared" si="50"/>
        <v/>
      </c>
      <c r="H680" s="29" t="str">
        <f t="shared" si="51"/>
        <v/>
      </c>
      <c r="I680" s="29" t="str">
        <f t="shared" si="52"/>
        <v/>
      </c>
      <c r="J680" s="29" t="str">
        <f t="shared" si="53"/>
        <v/>
      </c>
      <c r="K680" s="29" t="str">
        <f t="shared" si="54"/>
        <v/>
      </c>
    </row>
    <row r="681" spans="1:11" ht="15" x14ac:dyDescent="0.25">
      <c r="A681" s="1" t="str">
        <f>IF('1.1 Produksi Bersih Padi 2025'!A681="","",'1.1 Produksi Bersih Padi 2025'!A681)</f>
        <v/>
      </c>
      <c r="B681" s="31" t="str">
        <f>IF('1.1 Produksi Bersih Padi 2025'!B681="","",'1.1 Produksi Bersih Padi 2025'!B681)</f>
        <v/>
      </c>
      <c r="C681" s="31" t="str">
        <f>IF('1.1 Produksi Bersih Padi 2025'!C681="","",'1.1 Produksi Bersih Padi 2025'!C681)</f>
        <v/>
      </c>
      <c r="D681" s="1" t="str">
        <f>IF('1.1 Produksi Bersih Padi 2025'!D681="","",'1.1 Produksi Bersih Padi 2025'!D681)</f>
        <v/>
      </c>
      <c r="E681" s="1" t="str">
        <f>IF('1.1 Produksi Bersih Padi 2025'!E681="","",'1.1 Produksi Bersih Padi 2025'!E681)</f>
        <v/>
      </c>
      <c r="F681" s="28" t="str">
        <f>IF(D681="","",VLOOKUP(D681,'[1]0.1 Produksi Pangan &amp; Penduduk'!$D$5:$AE$860,28,0))</f>
        <v/>
      </c>
      <c r="G681" s="29" t="str">
        <f t="shared" si="50"/>
        <v/>
      </c>
      <c r="H681" s="29" t="str">
        <f t="shared" si="51"/>
        <v/>
      </c>
      <c r="I681" s="29" t="str">
        <f t="shared" si="52"/>
        <v/>
      </c>
      <c r="J681" s="29" t="str">
        <f t="shared" si="53"/>
        <v/>
      </c>
      <c r="K681" s="29" t="str">
        <f t="shared" si="54"/>
        <v/>
      </c>
    </row>
    <row r="682" spans="1:11" ht="15" x14ac:dyDescent="0.25">
      <c r="A682" s="1" t="str">
        <f>IF('1.1 Produksi Bersih Padi 2025'!A682="","",'1.1 Produksi Bersih Padi 2025'!A682)</f>
        <v/>
      </c>
      <c r="B682" s="31" t="str">
        <f>IF('1.1 Produksi Bersih Padi 2025'!B682="","",'1.1 Produksi Bersih Padi 2025'!B682)</f>
        <v/>
      </c>
      <c r="C682" s="31" t="str">
        <f>IF('1.1 Produksi Bersih Padi 2025'!C682="","",'1.1 Produksi Bersih Padi 2025'!C682)</f>
        <v/>
      </c>
      <c r="D682" s="1" t="str">
        <f>IF('1.1 Produksi Bersih Padi 2025'!D682="","",'1.1 Produksi Bersih Padi 2025'!D682)</f>
        <v/>
      </c>
      <c r="E682" s="1" t="str">
        <f>IF('1.1 Produksi Bersih Padi 2025'!E682="","",'1.1 Produksi Bersih Padi 2025'!E682)</f>
        <v/>
      </c>
      <c r="F682" s="28" t="str">
        <f>IF(D682="","",VLOOKUP(D682,'[1]0.1 Produksi Pangan &amp; Penduduk'!$D$5:$AE$860,28,0))</f>
        <v/>
      </c>
      <c r="G682" s="29" t="str">
        <f t="shared" si="50"/>
        <v/>
      </c>
      <c r="H682" s="29" t="str">
        <f t="shared" si="51"/>
        <v/>
      </c>
      <c r="I682" s="29" t="str">
        <f t="shared" si="52"/>
        <v/>
      </c>
      <c r="J682" s="29" t="str">
        <f t="shared" si="53"/>
        <v/>
      </c>
      <c r="K682" s="29" t="str">
        <f t="shared" si="54"/>
        <v/>
      </c>
    </row>
    <row r="683" spans="1:11" ht="15" x14ac:dyDescent="0.25">
      <c r="A683" s="1" t="str">
        <f>IF('1.1 Produksi Bersih Padi 2025'!A683="","",'1.1 Produksi Bersih Padi 2025'!A683)</f>
        <v/>
      </c>
      <c r="B683" s="31" t="str">
        <f>IF('1.1 Produksi Bersih Padi 2025'!B683="","",'1.1 Produksi Bersih Padi 2025'!B683)</f>
        <v/>
      </c>
      <c r="C683" s="31" t="str">
        <f>IF('1.1 Produksi Bersih Padi 2025'!C683="","",'1.1 Produksi Bersih Padi 2025'!C683)</f>
        <v/>
      </c>
      <c r="D683" s="1" t="str">
        <f>IF('1.1 Produksi Bersih Padi 2025'!D683="","",'1.1 Produksi Bersih Padi 2025'!D683)</f>
        <v/>
      </c>
      <c r="E683" s="1" t="str">
        <f>IF('1.1 Produksi Bersih Padi 2025'!E683="","",'1.1 Produksi Bersih Padi 2025'!E683)</f>
        <v/>
      </c>
      <c r="F683" s="28" t="str">
        <f>IF(D683="","",VLOOKUP(D683,'[1]0.1 Produksi Pangan &amp; Penduduk'!$D$5:$AE$860,28,0))</f>
        <v/>
      </c>
      <c r="G683" s="29" t="str">
        <f t="shared" si="50"/>
        <v/>
      </c>
      <c r="H683" s="29" t="str">
        <f t="shared" si="51"/>
        <v/>
      </c>
      <c r="I683" s="29" t="str">
        <f t="shared" si="52"/>
        <v/>
      </c>
      <c r="J683" s="29" t="str">
        <f t="shared" si="53"/>
        <v/>
      </c>
      <c r="K683" s="29" t="str">
        <f t="shared" si="54"/>
        <v/>
      </c>
    </row>
    <row r="684" spans="1:11" ht="15" x14ac:dyDescent="0.25">
      <c r="A684" s="1" t="str">
        <f>IF('1.1 Produksi Bersih Padi 2025'!A684="","",'1.1 Produksi Bersih Padi 2025'!A684)</f>
        <v/>
      </c>
      <c r="B684" s="31" t="str">
        <f>IF('1.1 Produksi Bersih Padi 2025'!B684="","",'1.1 Produksi Bersih Padi 2025'!B684)</f>
        <v/>
      </c>
      <c r="C684" s="31" t="str">
        <f>IF('1.1 Produksi Bersih Padi 2025'!C684="","",'1.1 Produksi Bersih Padi 2025'!C684)</f>
        <v/>
      </c>
      <c r="D684" s="1" t="str">
        <f>IF('1.1 Produksi Bersih Padi 2025'!D684="","",'1.1 Produksi Bersih Padi 2025'!D684)</f>
        <v/>
      </c>
      <c r="E684" s="1" t="str">
        <f>IF('1.1 Produksi Bersih Padi 2025'!E684="","",'1.1 Produksi Bersih Padi 2025'!E684)</f>
        <v/>
      </c>
      <c r="F684" s="28" t="str">
        <f>IF(D684="","",VLOOKUP(D684,'[1]0.1 Produksi Pangan &amp; Penduduk'!$D$5:$AE$860,28,0))</f>
        <v/>
      </c>
      <c r="G684" s="29" t="str">
        <f t="shared" si="50"/>
        <v/>
      </c>
      <c r="H684" s="29" t="str">
        <f t="shared" si="51"/>
        <v/>
      </c>
      <c r="I684" s="29" t="str">
        <f t="shared" si="52"/>
        <v/>
      </c>
      <c r="J684" s="29" t="str">
        <f t="shared" si="53"/>
        <v/>
      </c>
      <c r="K684" s="29" t="str">
        <f t="shared" si="54"/>
        <v/>
      </c>
    </row>
    <row r="685" spans="1:11" ht="15" x14ac:dyDescent="0.25">
      <c r="A685" s="1" t="str">
        <f>IF('1.1 Produksi Bersih Padi 2025'!A685="","",'1.1 Produksi Bersih Padi 2025'!A685)</f>
        <v/>
      </c>
      <c r="B685" s="31" t="str">
        <f>IF('1.1 Produksi Bersih Padi 2025'!B685="","",'1.1 Produksi Bersih Padi 2025'!B685)</f>
        <v/>
      </c>
      <c r="C685" s="31" t="str">
        <f>IF('1.1 Produksi Bersih Padi 2025'!C685="","",'1.1 Produksi Bersih Padi 2025'!C685)</f>
        <v/>
      </c>
      <c r="D685" s="1" t="str">
        <f>IF('1.1 Produksi Bersih Padi 2025'!D685="","",'1.1 Produksi Bersih Padi 2025'!D685)</f>
        <v/>
      </c>
      <c r="E685" s="1" t="str">
        <f>IF('1.1 Produksi Bersih Padi 2025'!E685="","",'1.1 Produksi Bersih Padi 2025'!E685)</f>
        <v/>
      </c>
      <c r="F685" s="28" t="str">
        <f>IF(D685="","",VLOOKUP(D685,'[1]0.1 Produksi Pangan &amp; Penduduk'!$D$5:$AE$860,28,0))</f>
        <v/>
      </c>
      <c r="G685" s="29" t="str">
        <f t="shared" si="50"/>
        <v/>
      </c>
      <c r="H685" s="29" t="str">
        <f t="shared" si="51"/>
        <v/>
      </c>
      <c r="I685" s="29" t="str">
        <f t="shared" si="52"/>
        <v/>
      </c>
      <c r="J685" s="29" t="str">
        <f t="shared" si="53"/>
        <v/>
      </c>
      <c r="K685" s="29" t="str">
        <f t="shared" si="54"/>
        <v/>
      </c>
    </row>
    <row r="686" spans="1:11" ht="15" x14ac:dyDescent="0.25">
      <c r="A686" s="1" t="str">
        <f>IF('1.1 Produksi Bersih Padi 2025'!A686="","",'1.1 Produksi Bersih Padi 2025'!A686)</f>
        <v/>
      </c>
      <c r="B686" s="31" t="str">
        <f>IF('1.1 Produksi Bersih Padi 2025'!B686="","",'1.1 Produksi Bersih Padi 2025'!B686)</f>
        <v/>
      </c>
      <c r="C686" s="31" t="str">
        <f>IF('1.1 Produksi Bersih Padi 2025'!C686="","",'1.1 Produksi Bersih Padi 2025'!C686)</f>
        <v/>
      </c>
      <c r="D686" s="1" t="str">
        <f>IF('1.1 Produksi Bersih Padi 2025'!D686="","",'1.1 Produksi Bersih Padi 2025'!D686)</f>
        <v/>
      </c>
      <c r="E686" s="1" t="str">
        <f>IF('1.1 Produksi Bersih Padi 2025'!E686="","",'1.1 Produksi Bersih Padi 2025'!E686)</f>
        <v/>
      </c>
      <c r="F686" s="28" t="str">
        <f>IF(D686="","",VLOOKUP(D686,'[1]0.1 Produksi Pangan &amp; Penduduk'!$D$5:$AE$860,28,0))</f>
        <v/>
      </c>
      <c r="G686" s="29" t="str">
        <f t="shared" si="50"/>
        <v/>
      </c>
      <c r="H686" s="29" t="str">
        <f t="shared" si="51"/>
        <v/>
      </c>
      <c r="I686" s="29" t="str">
        <f t="shared" si="52"/>
        <v/>
      </c>
      <c r="J686" s="29" t="str">
        <f t="shared" si="53"/>
        <v/>
      </c>
      <c r="K686" s="29" t="str">
        <f t="shared" si="54"/>
        <v/>
      </c>
    </row>
    <row r="687" spans="1:11" ht="15" x14ac:dyDescent="0.25">
      <c r="A687" s="1" t="str">
        <f>IF('1.1 Produksi Bersih Padi 2025'!A687="","",'1.1 Produksi Bersih Padi 2025'!A687)</f>
        <v/>
      </c>
      <c r="B687" s="31" t="str">
        <f>IF('1.1 Produksi Bersih Padi 2025'!B687="","",'1.1 Produksi Bersih Padi 2025'!B687)</f>
        <v/>
      </c>
      <c r="C687" s="31" t="str">
        <f>IF('1.1 Produksi Bersih Padi 2025'!C687="","",'1.1 Produksi Bersih Padi 2025'!C687)</f>
        <v/>
      </c>
      <c r="D687" s="1" t="str">
        <f>IF('1.1 Produksi Bersih Padi 2025'!D687="","",'1.1 Produksi Bersih Padi 2025'!D687)</f>
        <v/>
      </c>
      <c r="E687" s="1" t="str">
        <f>IF('1.1 Produksi Bersih Padi 2025'!E687="","",'1.1 Produksi Bersih Padi 2025'!E687)</f>
        <v/>
      </c>
      <c r="F687" s="28" t="str">
        <f>IF(D687="","",VLOOKUP(D687,'[1]0.1 Produksi Pangan &amp; Penduduk'!$D$5:$AE$860,28,0))</f>
        <v/>
      </c>
      <c r="G687" s="29" t="str">
        <f t="shared" si="50"/>
        <v/>
      </c>
      <c r="H687" s="29" t="str">
        <f t="shared" si="51"/>
        <v/>
      </c>
      <c r="I687" s="29" t="str">
        <f t="shared" si="52"/>
        <v/>
      </c>
      <c r="J687" s="29" t="str">
        <f t="shared" si="53"/>
        <v/>
      </c>
      <c r="K687" s="29" t="str">
        <f t="shared" si="54"/>
        <v/>
      </c>
    </row>
    <row r="688" spans="1:11" ht="15" x14ac:dyDescent="0.25">
      <c r="A688" s="1" t="str">
        <f>IF('1.1 Produksi Bersih Padi 2025'!A688="","",'1.1 Produksi Bersih Padi 2025'!A688)</f>
        <v/>
      </c>
      <c r="B688" s="31" t="str">
        <f>IF('1.1 Produksi Bersih Padi 2025'!B688="","",'1.1 Produksi Bersih Padi 2025'!B688)</f>
        <v/>
      </c>
      <c r="C688" s="31" t="str">
        <f>IF('1.1 Produksi Bersih Padi 2025'!C688="","",'1.1 Produksi Bersih Padi 2025'!C688)</f>
        <v/>
      </c>
      <c r="D688" s="1" t="str">
        <f>IF('1.1 Produksi Bersih Padi 2025'!D688="","",'1.1 Produksi Bersih Padi 2025'!D688)</f>
        <v/>
      </c>
      <c r="E688" s="1" t="str">
        <f>IF('1.1 Produksi Bersih Padi 2025'!E688="","",'1.1 Produksi Bersih Padi 2025'!E688)</f>
        <v/>
      </c>
      <c r="F688" s="28" t="str">
        <f>IF(D688="","",VLOOKUP(D688,'[1]0.1 Produksi Pangan &amp; Penduduk'!$D$5:$AE$860,28,0))</f>
        <v/>
      </c>
      <c r="G688" s="29" t="str">
        <f t="shared" si="50"/>
        <v/>
      </c>
      <c r="H688" s="29" t="str">
        <f t="shared" si="51"/>
        <v/>
      </c>
      <c r="I688" s="29" t="str">
        <f t="shared" si="52"/>
        <v/>
      </c>
      <c r="J688" s="29" t="str">
        <f t="shared" si="53"/>
        <v/>
      </c>
      <c r="K688" s="29" t="str">
        <f t="shared" si="54"/>
        <v/>
      </c>
    </row>
    <row r="689" spans="1:11" ht="15" x14ac:dyDescent="0.25">
      <c r="A689" s="1" t="str">
        <f>IF('1.1 Produksi Bersih Padi 2025'!A689="","",'1.1 Produksi Bersih Padi 2025'!A689)</f>
        <v/>
      </c>
      <c r="B689" s="31" t="str">
        <f>IF('1.1 Produksi Bersih Padi 2025'!B689="","",'1.1 Produksi Bersih Padi 2025'!B689)</f>
        <v/>
      </c>
      <c r="C689" s="31" t="str">
        <f>IF('1.1 Produksi Bersih Padi 2025'!C689="","",'1.1 Produksi Bersih Padi 2025'!C689)</f>
        <v/>
      </c>
      <c r="D689" s="1" t="str">
        <f>IF('1.1 Produksi Bersih Padi 2025'!D689="","",'1.1 Produksi Bersih Padi 2025'!D689)</f>
        <v/>
      </c>
      <c r="E689" s="1" t="str">
        <f>IF('1.1 Produksi Bersih Padi 2025'!E689="","",'1.1 Produksi Bersih Padi 2025'!E689)</f>
        <v/>
      </c>
      <c r="F689" s="28" t="str">
        <f>IF(D689="","",VLOOKUP(D689,'[1]0.1 Produksi Pangan &amp; Penduduk'!$D$5:$AE$860,28,0))</f>
        <v/>
      </c>
      <c r="G689" s="29" t="str">
        <f t="shared" si="50"/>
        <v/>
      </c>
      <c r="H689" s="29" t="str">
        <f t="shared" si="51"/>
        <v/>
      </c>
      <c r="I689" s="29" t="str">
        <f t="shared" si="52"/>
        <v/>
      </c>
      <c r="J689" s="29" t="str">
        <f t="shared" si="53"/>
        <v/>
      </c>
      <c r="K689" s="29" t="str">
        <f t="shared" si="54"/>
        <v/>
      </c>
    </row>
    <row r="690" spans="1:11" ht="15" x14ac:dyDescent="0.25">
      <c r="A690" s="1" t="str">
        <f>IF('1.1 Produksi Bersih Padi 2025'!A690="","",'1.1 Produksi Bersih Padi 2025'!A690)</f>
        <v/>
      </c>
      <c r="B690" s="31" t="str">
        <f>IF('1.1 Produksi Bersih Padi 2025'!B690="","",'1.1 Produksi Bersih Padi 2025'!B690)</f>
        <v/>
      </c>
      <c r="C690" s="31" t="str">
        <f>IF('1.1 Produksi Bersih Padi 2025'!C690="","",'1.1 Produksi Bersih Padi 2025'!C690)</f>
        <v/>
      </c>
      <c r="D690" s="1" t="str">
        <f>IF('1.1 Produksi Bersih Padi 2025'!D690="","",'1.1 Produksi Bersih Padi 2025'!D690)</f>
        <v/>
      </c>
      <c r="E690" s="1" t="str">
        <f>IF('1.1 Produksi Bersih Padi 2025'!E690="","",'1.1 Produksi Bersih Padi 2025'!E690)</f>
        <v/>
      </c>
      <c r="F690" s="28" t="str">
        <f>IF(D690="","",VLOOKUP(D690,'[1]0.1 Produksi Pangan &amp; Penduduk'!$D$5:$AE$860,28,0))</f>
        <v/>
      </c>
      <c r="G690" s="29" t="str">
        <f t="shared" si="50"/>
        <v/>
      </c>
      <c r="H690" s="29" t="str">
        <f t="shared" si="51"/>
        <v/>
      </c>
      <c r="I690" s="29" t="str">
        <f t="shared" si="52"/>
        <v/>
      </c>
      <c r="J690" s="29" t="str">
        <f t="shared" si="53"/>
        <v/>
      </c>
      <c r="K690" s="29" t="str">
        <f t="shared" si="54"/>
        <v/>
      </c>
    </row>
    <row r="691" spans="1:11" ht="15" x14ac:dyDescent="0.25">
      <c r="A691" s="1" t="str">
        <f>IF('1.1 Produksi Bersih Padi 2025'!A691="","",'1.1 Produksi Bersih Padi 2025'!A691)</f>
        <v/>
      </c>
      <c r="B691" s="31" t="str">
        <f>IF('1.1 Produksi Bersih Padi 2025'!B691="","",'1.1 Produksi Bersih Padi 2025'!B691)</f>
        <v/>
      </c>
      <c r="C691" s="31" t="str">
        <f>IF('1.1 Produksi Bersih Padi 2025'!C691="","",'1.1 Produksi Bersih Padi 2025'!C691)</f>
        <v/>
      </c>
      <c r="D691" s="1" t="str">
        <f>IF('1.1 Produksi Bersih Padi 2025'!D691="","",'1.1 Produksi Bersih Padi 2025'!D691)</f>
        <v/>
      </c>
      <c r="E691" s="1" t="str">
        <f>IF('1.1 Produksi Bersih Padi 2025'!E691="","",'1.1 Produksi Bersih Padi 2025'!E691)</f>
        <v/>
      </c>
      <c r="F691" s="28" t="str">
        <f>IF(D691="","",VLOOKUP(D691,'[1]0.1 Produksi Pangan &amp; Penduduk'!$D$5:$AE$860,28,0))</f>
        <v/>
      </c>
      <c r="G691" s="29" t="str">
        <f t="shared" si="50"/>
        <v/>
      </c>
      <c r="H691" s="29" t="str">
        <f t="shared" si="51"/>
        <v/>
      </c>
      <c r="I691" s="29" t="str">
        <f t="shared" si="52"/>
        <v/>
      </c>
      <c r="J691" s="29" t="str">
        <f t="shared" si="53"/>
        <v/>
      </c>
      <c r="K691" s="29" t="str">
        <f t="shared" si="54"/>
        <v/>
      </c>
    </row>
    <row r="692" spans="1:11" ht="15" x14ac:dyDescent="0.25">
      <c r="A692" s="1" t="str">
        <f>IF('1.1 Produksi Bersih Padi 2025'!A692="","",'1.1 Produksi Bersih Padi 2025'!A692)</f>
        <v/>
      </c>
      <c r="B692" s="31" t="str">
        <f>IF('1.1 Produksi Bersih Padi 2025'!B692="","",'1.1 Produksi Bersih Padi 2025'!B692)</f>
        <v/>
      </c>
      <c r="C692" s="31" t="str">
        <f>IF('1.1 Produksi Bersih Padi 2025'!C692="","",'1.1 Produksi Bersih Padi 2025'!C692)</f>
        <v/>
      </c>
      <c r="D692" s="1" t="str">
        <f>IF('1.1 Produksi Bersih Padi 2025'!D692="","",'1.1 Produksi Bersih Padi 2025'!D692)</f>
        <v/>
      </c>
      <c r="E692" s="1" t="str">
        <f>IF('1.1 Produksi Bersih Padi 2025'!E692="","",'1.1 Produksi Bersih Padi 2025'!E692)</f>
        <v/>
      </c>
      <c r="F692" s="28" t="str">
        <f>IF(D692="","",VLOOKUP(D692,'[1]0.1 Produksi Pangan &amp; Penduduk'!$D$5:$AE$860,28,0))</f>
        <v/>
      </c>
      <c r="G692" s="29" t="str">
        <f t="shared" si="50"/>
        <v/>
      </c>
      <c r="H692" s="29" t="str">
        <f t="shared" si="51"/>
        <v/>
      </c>
      <c r="I692" s="29" t="str">
        <f t="shared" si="52"/>
        <v/>
      </c>
      <c r="J692" s="29" t="str">
        <f t="shared" si="53"/>
        <v/>
      </c>
      <c r="K692" s="29" t="str">
        <f t="shared" si="54"/>
        <v/>
      </c>
    </row>
    <row r="693" spans="1:11" ht="15" x14ac:dyDescent="0.25">
      <c r="A693" s="1" t="str">
        <f>IF('1.1 Produksi Bersih Padi 2025'!A693="","",'1.1 Produksi Bersih Padi 2025'!A693)</f>
        <v/>
      </c>
      <c r="B693" s="31" t="str">
        <f>IF('1.1 Produksi Bersih Padi 2025'!B693="","",'1.1 Produksi Bersih Padi 2025'!B693)</f>
        <v/>
      </c>
      <c r="C693" s="31" t="str">
        <f>IF('1.1 Produksi Bersih Padi 2025'!C693="","",'1.1 Produksi Bersih Padi 2025'!C693)</f>
        <v/>
      </c>
      <c r="D693" s="1" t="str">
        <f>IF('1.1 Produksi Bersih Padi 2025'!D693="","",'1.1 Produksi Bersih Padi 2025'!D693)</f>
        <v/>
      </c>
      <c r="E693" s="1" t="str">
        <f>IF('1.1 Produksi Bersih Padi 2025'!E693="","",'1.1 Produksi Bersih Padi 2025'!E693)</f>
        <v/>
      </c>
      <c r="F693" s="28" t="str">
        <f>IF(D693="","",VLOOKUP(D693,'[1]0.1 Produksi Pangan &amp; Penduduk'!$D$5:$AE$860,28,0))</f>
        <v/>
      </c>
      <c r="G693" s="29" t="str">
        <f t="shared" si="50"/>
        <v/>
      </c>
      <c r="H693" s="29" t="str">
        <f t="shared" si="51"/>
        <v/>
      </c>
      <c r="I693" s="29" t="str">
        <f t="shared" si="52"/>
        <v/>
      </c>
      <c r="J693" s="29" t="str">
        <f t="shared" si="53"/>
        <v/>
      </c>
      <c r="K693" s="29" t="str">
        <f t="shared" si="54"/>
        <v/>
      </c>
    </row>
    <row r="694" spans="1:11" ht="15" x14ac:dyDescent="0.25">
      <c r="A694" s="1" t="str">
        <f>IF('1.1 Produksi Bersih Padi 2025'!A694="","",'1.1 Produksi Bersih Padi 2025'!A694)</f>
        <v/>
      </c>
      <c r="B694" s="31" t="str">
        <f>IF('1.1 Produksi Bersih Padi 2025'!B694="","",'1.1 Produksi Bersih Padi 2025'!B694)</f>
        <v/>
      </c>
      <c r="C694" s="31" t="str">
        <f>IF('1.1 Produksi Bersih Padi 2025'!C694="","",'1.1 Produksi Bersih Padi 2025'!C694)</f>
        <v/>
      </c>
      <c r="D694" s="1" t="str">
        <f>IF('1.1 Produksi Bersih Padi 2025'!D694="","",'1.1 Produksi Bersih Padi 2025'!D694)</f>
        <v/>
      </c>
      <c r="E694" s="1" t="str">
        <f>IF('1.1 Produksi Bersih Padi 2025'!E694="","",'1.1 Produksi Bersih Padi 2025'!E694)</f>
        <v/>
      </c>
      <c r="F694" s="28" t="str">
        <f>IF(D694="","",VLOOKUP(D694,'[1]0.1 Produksi Pangan &amp; Penduduk'!$D$5:$AE$860,28,0))</f>
        <v/>
      </c>
      <c r="G694" s="29" t="str">
        <f t="shared" si="50"/>
        <v/>
      </c>
      <c r="H694" s="29" t="str">
        <f t="shared" si="51"/>
        <v/>
      </c>
      <c r="I694" s="29" t="str">
        <f t="shared" si="52"/>
        <v/>
      </c>
      <c r="J694" s="29" t="str">
        <f t="shared" si="53"/>
        <v/>
      </c>
      <c r="K694" s="29" t="str">
        <f t="shared" si="54"/>
        <v/>
      </c>
    </row>
    <row r="695" spans="1:11" ht="15" x14ac:dyDescent="0.25">
      <c r="A695" s="1" t="str">
        <f>IF('1.1 Produksi Bersih Padi 2025'!A695="","",'1.1 Produksi Bersih Padi 2025'!A695)</f>
        <v/>
      </c>
      <c r="B695" s="31" t="str">
        <f>IF('1.1 Produksi Bersih Padi 2025'!B695="","",'1.1 Produksi Bersih Padi 2025'!B695)</f>
        <v/>
      </c>
      <c r="C695" s="31" t="str">
        <f>IF('1.1 Produksi Bersih Padi 2025'!C695="","",'1.1 Produksi Bersih Padi 2025'!C695)</f>
        <v/>
      </c>
      <c r="D695" s="1" t="str">
        <f>IF('1.1 Produksi Bersih Padi 2025'!D695="","",'1.1 Produksi Bersih Padi 2025'!D695)</f>
        <v/>
      </c>
      <c r="E695" s="1" t="str">
        <f>IF('1.1 Produksi Bersih Padi 2025'!E695="","",'1.1 Produksi Bersih Padi 2025'!E695)</f>
        <v/>
      </c>
      <c r="F695" s="28" t="str">
        <f>IF(D695="","",VLOOKUP(D695,'[1]0.1 Produksi Pangan &amp; Penduduk'!$D$5:$AE$860,28,0))</f>
        <v/>
      </c>
      <c r="G695" s="29" t="str">
        <f t="shared" si="50"/>
        <v/>
      </c>
      <c r="H695" s="29" t="str">
        <f t="shared" si="51"/>
        <v/>
      </c>
      <c r="I695" s="29" t="str">
        <f t="shared" si="52"/>
        <v/>
      </c>
      <c r="J695" s="29" t="str">
        <f t="shared" si="53"/>
        <v/>
      </c>
      <c r="K695" s="29" t="str">
        <f t="shared" si="54"/>
        <v/>
      </c>
    </row>
    <row r="696" spans="1:11" ht="15" x14ac:dyDescent="0.25">
      <c r="A696" s="1" t="str">
        <f>IF('1.1 Produksi Bersih Padi 2025'!A696="","",'1.1 Produksi Bersih Padi 2025'!A696)</f>
        <v/>
      </c>
      <c r="B696" s="31" t="str">
        <f>IF('1.1 Produksi Bersih Padi 2025'!B696="","",'1.1 Produksi Bersih Padi 2025'!B696)</f>
        <v/>
      </c>
      <c r="C696" s="31" t="str">
        <f>IF('1.1 Produksi Bersih Padi 2025'!C696="","",'1.1 Produksi Bersih Padi 2025'!C696)</f>
        <v/>
      </c>
      <c r="D696" s="1" t="str">
        <f>IF('1.1 Produksi Bersih Padi 2025'!D696="","",'1.1 Produksi Bersih Padi 2025'!D696)</f>
        <v/>
      </c>
      <c r="E696" s="1" t="str">
        <f>IF('1.1 Produksi Bersih Padi 2025'!E696="","",'1.1 Produksi Bersih Padi 2025'!E696)</f>
        <v/>
      </c>
      <c r="F696" s="28" t="str">
        <f>IF(D696="","",VLOOKUP(D696,'[1]0.1 Produksi Pangan &amp; Penduduk'!$D$5:$AE$860,28,0))</f>
        <v/>
      </c>
      <c r="G696" s="29" t="str">
        <f t="shared" si="50"/>
        <v/>
      </c>
      <c r="H696" s="29" t="str">
        <f t="shared" si="51"/>
        <v/>
      </c>
      <c r="I696" s="29" t="str">
        <f t="shared" si="52"/>
        <v/>
      </c>
      <c r="J696" s="29" t="str">
        <f t="shared" si="53"/>
        <v/>
      </c>
      <c r="K696" s="29" t="str">
        <f t="shared" si="54"/>
        <v/>
      </c>
    </row>
    <row r="697" spans="1:11" ht="15" x14ac:dyDescent="0.25">
      <c r="A697" s="1" t="str">
        <f>IF('1.1 Produksi Bersih Padi 2025'!A697="","",'1.1 Produksi Bersih Padi 2025'!A697)</f>
        <v/>
      </c>
      <c r="B697" s="31" t="str">
        <f>IF('1.1 Produksi Bersih Padi 2025'!B697="","",'1.1 Produksi Bersih Padi 2025'!B697)</f>
        <v/>
      </c>
      <c r="C697" s="31" t="str">
        <f>IF('1.1 Produksi Bersih Padi 2025'!C697="","",'1.1 Produksi Bersih Padi 2025'!C697)</f>
        <v/>
      </c>
      <c r="D697" s="1" t="str">
        <f>IF('1.1 Produksi Bersih Padi 2025'!D697="","",'1.1 Produksi Bersih Padi 2025'!D697)</f>
        <v/>
      </c>
      <c r="E697" s="1" t="str">
        <f>IF('1.1 Produksi Bersih Padi 2025'!E697="","",'1.1 Produksi Bersih Padi 2025'!E697)</f>
        <v/>
      </c>
      <c r="F697" s="28" t="str">
        <f>IF(D697="","",VLOOKUP(D697,'[1]0.1 Produksi Pangan &amp; Penduduk'!$D$5:$AE$860,28,0))</f>
        <v/>
      </c>
      <c r="G697" s="29" t="str">
        <f t="shared" si="50"/>
        <v/>
      </c>
      <c r="H697" s="29" t="str">
        <f t="shared" si="51"/>
        <v/>
      </c>
      <c r="I697" s="29" t="str">
        <f t="shared" si="52"/>
        <v/>
      </c>
      <c r="J697" s="29" t="str">
        <f t="shared" si="53"/>
        <v/>
      </c>
      <c r="K697" s="29" t="str">
        <f t="shared" si="54"/>
        <v/>
      </c>
    </row>
    <row r="698" spans="1:11" ht="15" x14ac:dyDescent="0.25">
      <c r="A698" s="1" t="str">
        <f>IF('1.1 Produksi Bersih Padi 2025'!A698="","",'1.1 Produksi Bersih Padi 2025'!A698)</f>
        <v/>
      </c>
      <c r="B698" s="31" t="str">
        <f>IF('1.1 Produksi Bersih Padi 2025'!B698="","",'1.1 Produksi Bersih Padi 2025'!B698)</f>
        <v/>
      </c>
      <c r="C698" s="31" t="str">
        <f>IF('1.1 Produksi Bersih Padi 2025'!C698="","",'1.1 Produksi Bersih Padi 2025'!C698)</f>
        <v/>
      </c>
      <c r="D698" s="1" t="str">
        <f>IF('1.1 Produksi Bersih Padi 2025'!D698="","",'1.1 Produksi Bersih Padi 2025'!D698)</f>
        <v/>
      </c>
      <c r="E698" s="1" t="str">
        <f>IF('1.1 Produksi Bersih Padi 2025'!E698="","",'1.1 Produksi Bersih Padi 2025'!E698)</f>
        <v/>
      </c>
      <c r="F698" s="28" t="str">
        <f>IF(D698="","",VLOOKUP(D698,'[1]0.1 Produksi Pangan &amp; Penduduk'!$D$5:$AE$860,28,0))</f>
        <v/>
      </c>
      <c r="G698" s="29" t="str">
        <f t="shared" si="50"/>
        <v/>
      </c>
      <c r="H698" s="29" t="str">
        <f t="shared" si="51"/>
        <v/>
      </c>
      <c r="I698" s="29" t="str">
        <f t="shared" si="52"/>
        <v/>
      </c>
      <c r="J698" s="29" t="str">
        <f t="shared" si="53"/>
        <v/>
      </c>
      <c r="K698" s="29" t="str">
        <f t="shared" si="54"/>
        <v/>
      </c>
    </row>
    <row r="699" spans="1:11" ht="15" x14ac:dyDescent="0.25">
      <c r="A699" s="1" t="str">
        <f>IF('1.1 Produksi Bersih Padi 2025'!A699="","",'1.1 Produksi Bersih Padi 2025'!A699)</f>
        <v/>
      </c>
      <c r="B699" s="31" t="str">
        <f>IF('1.1 Produksi Bersih Padi 2025'!B699="","",'1.1 Produksi Bersih Padi 2025'!B699)</f>
        <v/>
      </c>
      <c r="C699" s="31" t="str">
        <f>IF('1.1 Produksi Bersih Padi 2025'!C699="","",'1.1 Produksi Bersih Padi 2025'!C699)</f>
        <v/>
      </c>
      <c r="D699" s="1" t="str">
        <f>IF('1.1 Produksi Bersih Padi 2025'!D699="","",'1.1 Produksi Bersih Padi 2025'!D699)</f>
        <v/>
      </c>
      <c r="E699" s="1" t="str">
        <f>IF('1.1 Produksi Bersih Padi 2025'!E699="","",'1.1 Produksi Bersih Padi 2025'!E699)</f>
        <v/>
      </c>
      <c r="F699" s="28" t="str">
        <f>IF(D699="","",VLOOKUP(D699,'[1]0.1 Produksi Pangan &amp; Penduduk'!$D$5:$AE$860,28,0))</f>
        <v/>
      </c>
      <c r="G699" s="29" t="str">
        <f t="shared" si="50"/>
        <v/>
      </c>
      <c r="H699" s="29" t="str">
        <f t="shared" si="51"/>
        <v/>
      </c>
      <c r="I699" s="29" t="str">
        <f t="shared" si="52"/>
        <v/>
      </c>
      <c r="J699" s="29" t="str">
        <f t="shared" si="53"/>
        <v/>
      </c>
      <c r="K699" s="29" t="str">
        <f t="shared" si="54"/>
        <v/>
      </c>
    </row>
    <row r="700" spans="1:11" ht="15" x14ac:dyDescent="0.25">
      <c r="A700" s="1" t="str">
        <f>IF('1.1 Produksi Bersih Padi 2025'!A700="","",'1.1 Produksi Bersih Padi 2025'!A700)</f>
        <v/>
      </c>
      <c r="B700" s="31" t="str">
        <f>IF('1.1 Produksi Bersih Padi 2025'!B700="","",'1.1 Produksi Bersih Padi 2025'!B700)</f>
        <v/>
      </c>
      <c r="C700" s="31" t="str">
        <f>IF('1.1 Produksi Bersih Padi 2025'!C700="","",'1.1 Produksi Bersih Padi 2025'!C700)</f>
        <v/>
      </c>
      <c r="D700" s="1" t="str">
        <f>IF('1.1 Produksi Bersih Padi 2025'!D700="","",'1.1 Produksi Bersih Padi 2025'!D700)</f>
        <v/>
      </c>
      <c r="E700" s="1" t="str">
        <f>IF('1.1 Produksi Bersih Padi 2025'!E700="","",'1.1 Produksi Bersih Padi 2025'!E700)</f>
        <v/>
      </c>
      <c r="F700" s="28" t="str">
        <f>IF(D700="","",VLOOKUP(D700,'[1]0.1 Produksi Pangan &amp; Penduduk'!$D$5:$AE$860,28,0))</f>
        <v/>
      </c>
      <c r="G700" s="29" t="str">
        <f t="shared" si="50"/>
        <v/>
      </c>
      <c r="H700" s="29" t="str">
        <f t="shared" si="51"/>
        <v/>
      </c>
      <c r="I700" s="29" t="str">
        <f t="shared" si="52"/>
        <v/>
      </c>
      <c r="J700" s="29" t="str">
        <f t="shared" si="53"/>
        <v/>
      </c>
      <c r="K700" s="29" t="str">
        <f t="shared" si="54"/>
        <v/>
      </c>
    </row>
    <row r="701" spans="1:11" ht="15" x14ac:dyDescent="0.25">
      <c r="A701" s="1" t="str">
        <f>IF('1.1 Produksi Bersih Padi 2025'!A701="","",'1.1 Produksi Bersih Padi 2025'!A701)</f>
        <v/>
      </c>
      <c r="B701" s="31" t="str">
        <f>IF('1.1 Produksi Bersih Padi 2025'!B701="","",'1.1 Produksi Bersih Padi 2025'!B701)</f>
        <v/>
      </c>
      <c r="C701" s="31" t="str">
        <f>IF('1.1 Produksi Bersih Padi 2025'!C701="","",'1.1 Produksi Bersih Padi 2025'!C701)</f>
        <v/>
      </c>
      <c r="D701" s="1" t="str">
        <f>IF('1.1 Produksi Bersih Padi 2025'!D701="","",'1.1 Produksi Bersih Padi 2025'!D701)</f>
        <v/>
      </c>
      <c r="E701" s="1" t="str">
        <f>IF('1.1 Produksi Bersih Padi 2025'!E701="","",'1.1 Produksi Bersih Padi 2025'!E701)</f>
        <v/>
      </c>
      <c r="F701" s="28" t="str">
        <f>IF(D701="","",VLOOKUP(D701,'[1]0.1 Produksi Pangan &amp; Penduduk'!$D$5:$AE$860,28,0))</f>
        <v/>
      </c>
      <c r="G701" s="29" t="str">
        <f t="shared" si="50"/>
        <v/>
      </c>
      <c r="H701" s="29" t="str">
        <f t="shared" si="51"/>
        <v/>
      </c>
      <c r="I701" s="29" t="str">
        <f t="shared" si="52"/>
        <v/>
      </c>
      <c r="J701" s="29" t="str">
        <f t="shared" si="53"/>
        <v/>
      </c>
      <c r="K701" s="29" t="str">
        <f t="shared" si="54"/>
        <v/>
      </c>
    </row>
    <row r="702" spans="1:11" ht="15" x14ac:dyDescent="0.25">
      <c r="A702" s="1" t="str">
        <f>IF('1.1 Produksi Bersih Padi 2025'!A702="","",'1.1 Produksi Bersih Padi 2025'!A702)</f>
        <v/>
      </c>
      <c r="B702" s="31" t="str">
        <f>IF('1.1 Produksi Bersih Padi 2025'!B702="","",'1.1 Produksi Bersih Padi 2025'!B702)</f>
        <v/>
      </c>
      <c r="C702" s="31" t="str">
        <f>IF('1.1 Produksi Bersih Padi 2025'!C702="","",'1.1 Produksi Bersih Padi 2025'!C702)</f>
        <v/>
      </c>
      <c r="D702" s="1" t="str">
        <f>IF('1.1 Produksi Bersih Padi 2025'!D702="","",'1.1 Produksi Bersih Padi 2025'!D702)</f>
        <v/>
      </c>
      <c r="E702" s="1" t="str">
        <f>IF('1.1 Produksi Bersih Padi 2025'!E702="","",'1.1 Produksi Bersih Padi 2025'!E702)</f>
        <v/>
      </c>
      <c r="F702" s="28" t="str">
        <f>IF(D702="","",VLOOKUP(D702,'[1]0.1 Produksi Pangan &amp; Penduduk'!$D$5:$AE$860,28,0))</f>
        <v/>
      </c>
      <c r="G702" s="29" t="str">
        <f t="shared" si="50"/>
        <v/>
      </c>
      <c r="H702" s="29" t="str">
        <f t="shared" si="51"/>
        <v/>
      </c>
      <c r="I702" s="29" t="str">
        <f t="shared" si="52"/>
        <v/>
      </c>
      <c r="J702" s="29" t="str">
        <f t="shared" si="53"/>
        <v/>
      </c>
      <c r="K702" s="29" t="str">
        <f t="shared" si="54"/>
        <v/>
      </c>
    </row>
    <row r="703" spans="1:11" ht="15" x14ac:dyDescent="0.25">
      <c r="A703" s="1" t="str">
        <f>IF('1.1 Produksi Bersih Padi 2025'!A703="","",'1.1 Produksi Bersih Padi 2025'!A703)</f>
        <v/>
      </c>
      <c r="B703" s="31" t="str">
        <f>IF('1.1 Produksi Bersih Padi 2025'!B703="","",'1.1 Produksi Bersih Padi 2025'!B703)</f>
        <v/>
      </c>
      <c r="C703" s="31" t="str">
        <f>IF('1.1 Produksi Bersih Padi 2025'!C703="","",'1.1 Produksi Bersih Padi 2025'!C703)</f>
        <v/>
      </c>
      <c r="D703" s="1" t="str">
        <f>IF('1.1 Produksi Bersih Padi 2025'!D703="","",'1.1 Produksi Bersih Padi 2025'!D703)</f>
        <v/>
      </c>
      <c r="E703" s="1" t="str">
        <f>IF('1.1 Produksi Bersih Padi 2025'!E703="","",'1.1 Produksi Bersih Padi 2025'!E703)</f>
        <v/>
      </c>
      <c r="F703" s="28" t="str">
        <f>IF(D703="","",VLOOKUP(D703,'[1]0.1 Produksi Pangan &amp; Penduduk'!$D$5:$AE$860,28,0))</f>
        <v/>
      </c>
      <c r="G703" s="29" t="str">
        <f t="shared" si="50"/>
        <v/>
      </c>
      <c r="H703" s="29" t="str">
        <f t="shared" si="51"/>
        <v/>
      </c>
      <c r="I703" s="29" t="str">
        <f t="shared" si="52"/>
        <v/>
      </c>
      <c r="J703" s="29" t="str">
        <f t="shared" si="53"/>
        <v/>
      </c>
      <c r="K703" s="29" t="str">
        <f t="shared" si="54"/>
        <v/>
      </c>
    </row>
    <row r="704" spans="1:11" ht="15" x14ac:dyDescent="0.25">
      <c r="A704" s="1" t="str">
        <f>IF('1.1 Produksi Bersih Padi 2025'!A704="","",'1.1 Produksi Bersih Padi 2025'!A704)</f>
        <v/>
      </c>
      <c r="B704" s="31" t="str">
        <f>IF('1.1 Produksi Bersih Padi 2025'!B704="","",'1.1 Produksi Bersih Padi 2025'!B704)</f>
        <v/>
      </c>
      <c r="C704" s="31" t="str">
        <f>IF('1.1 Produksi Bersih Padi 2025'!C704="","",'1.1 Produksi Bersih Padi 2025'!C704)</f>
        <v/>
      </c>
      <c r="D704" s="1" t="str">
        <f>IF('1.1 Produksi Bersih Padi 2025'!D704="","",'1.1 Produksi Bersih Padi 2025'!D704)</f>
        <v/>
      </c>
      <c r="E704" s="1" t="str">
        <f>IF('1.1 Produksi Bersih Padi 2025'!E704="","",'1.1 Produksi Bersih Padi 2025'!E704)</f>
        <v/>
      </c>
      <c r="F704" s="28" t="str">
        <f>IF(D704="","",VLOOKUP(D704,'[1]0.1 Produksi Pangan &amp; Penduduk'!$D$5:$AE$860,28,0))</f>
        <v/>
      </c>
      <c r="G704" s="29" t="str">
        <f t="shared" si="50"/>
        <v/>
      </c>
      <c r="H704" s="29" t="str">
        <f t="shared" si="51"/>
        <v/>
      </c>
      <c r="I704" s="29" t="str">
        <f t="shared" si="52"/>
        <v/>
      </c>
      <c r="J704" s="29" t="str">
        <f t="shared" si="53"/>
        <v/>
      </c>
      <c r="K704" s="29" t="str">
        <f t="shared" si="54"/>
        <v/>
      </c>
    </row>
    <row r="705" spans="1:11" ht="15" x14ac:dyDescent="0.25">
      <c r="A705" s="1" t="str">
        <f>IF('1.1 Produksi Bersih Padi 2025'!A705="","",'1.1 Produksi Bersih Padi 2025'!A705)</f>
        <v/>
      </c>
      <c r="B705" s="31" t="str">
        <f>IF('1.1 Produksi Bersih Padi 2025'!B705="","",'1.1 Produksi Bersih Padi 2025'!B705)</f>
        <v/>
      </c>
      <c r="C705" s="31" t="str">
        <f>IF('1.1 Produksi Bersih Padi 2025'!C705="","",'1.1 Produksi Bersih Padi 2025'!C705)</f>
        <v/>
      </c>
      <c r="D705" s="1" t="str">
        <f>IF('1.1 Produksi Bersih Padi 2025'!D705="","",'1.1 Produksi Bersih Padi 2025'!D705)</f>
        <v/>
      </c>
      <c r="E705" s="1" t="str">
        <f>IF('1.1 Produksi Bersih Padi 2025'!E705="","",'1.1 Produksi Bersih Padi 2025'!E705)</f>
        <v/>
      </c>
      <c r="F705" s="28" t="str">
        <f>IF(D705="","",VLOOKUP(D705,'[1]0.1 Produksi Pangan &amp; Penduduk'!$D$5:$AE$860,28,0))</f>
        <v/>
      </c>
      <c r="G705" s="29" t="str">
        <f t="shared" si="50"/>
        <v/>
      </c>
      <c r="H705" s="29" t="str">
        <f t="shared" si="51"/>
        <v/>
      </c>
      <c r="I705" s="29" t="str">
        <f t="shared" si="52"/>
        <v/>
      </c>
      <c r="J705" s="29" t="str">
        <f t="shared" si="53"/>
        <v/>
      </c>
      <c r="K705" s="29" t="str">
        <f t="shared" si="54"/>
        <v/>
      </c>
    </row>
    <row r="706" spans="1:11" ht="15" x14ac:dyDescent="0.25">
      <c r="A706" s="1" t="str">
        <f>IF('1.1 Produksi Bersih Padi 2025'!A706="","",'1.1 Produksi Bersih Padi 2025'!A706)</f>
        <v/>
      </c>
      <c r="B706" s="31" t="str">
        <f>IF('1.1 Produksi Bersih Padi 2025'!B706="","",'1.1 Produksi Bersih Padi 2025'!B706)</f>
        <v/>
      </c>
      <c r="C706" s="31" t="str">
        <f>IF('1.1 Produksi Bersih Padi 2025'!C706="","",'1.1 Produksi Bersih Padi 2025'!C706)</f>
        <v/>
      </c>
      <c r="D706" s="1" t="str">
        <f>IF('1.1 Produksi Bersih Padi 2025'!D706="","",'1.1 Produksi Bersih Padi 2025'!D706)</f>
        <v/>
      </c>
      <c r="E706" s="1" t="str">
        <f>IF('1.1 Produksi Bersih Padi 2025'!E706="","",'1.1 Produksi Bersih Padi 2025'!E706)</f>
        <v/>
      </c>
      <c r="F706" s="28" t="str">
        <f>IF(D706="","",VLOOKUP(D706,'[1]0.1 Produksi Pangan &amp; Penduduk'!$D$5:$AE$860,28,0))</f>
        <v/>
      </c>
      <c r="G706" s="29" t="str">
        <f t="shared" si="50"/>
        <v/>
      </c>
      <c r="H706" s="29" t="str">
        <f t="shared" si="51"/>
        <v/>
      </c>
      <c r="I706" s="29" t="str">
        <f t="shared" si="52"/>
        <v/>
      </c>
      <c r="J706" s="29" t="str">
        <f t="shared" si="53"/>
        <v/>
      </c>
      <c r="K706" s="29" t="str">
        <f t="shared" si="54"/>
        <v/>
      </c>
    </row>
    <row r="707" spans="1:11" ht="15" x14ac:dyDescent="0.25">
      <c r="A707" s="1" t="str">
        <f>IF('1.1 Produksi Bersih Padi 2025'!A707="","",'1.1 Produksi Bersih Padi 2025'!A707)</f>
        <v/>
      </c>
      <c r="B707" s="31" t="str">
        <f>IF('1.1 Produksi Bersih Padi 2025'!B707="","",'1.1 Produksi Bersih Padi 2025'!B707)</f>
        <v/>
      </c>
      <c r="C707" s="31" t="str">
        <f>IF('1.1 Produksi Bersih Padi 2025'!C707="","",'1.1 Produksi Bersih Padi 2025'!C707)</f>
        <v/>
      </c>
      <c r="D707" s="1" t="str">
        <f>IF('1.1 Produksi Bersih Padi 2025'!D707="","",'1.1 Produksi Bersih Padi 2025'!D707)</f>
        <v/>
      </c>
      <c r="E707" s="1" t="str">
        <f>IF('1.1 Produksi Bersih Padi 2025'!E707="","",'1.1 Produksi Bersih Padi 2025'!E707)</f>
        <v/>
      </c>
      <c r="F707" s="28" t="str">
        <f>IF(D707="","",VLOOKUP(D707,'[1]0.1 Produksi Pangan &amp; Penduduk'!$D$5:$AE$860,28,0))</f>
        <v/>
      </c>
      <c r="G707" s="29" t="str">
        <f t="shared" si="50"/>
        <v/>
      </c>
      <c r="H707" s="29" t="str">
        <f t="shared" si="51"/>
        <v/>
      </c>
      <c r="I707" s="29" t="str">
        <f t="shared" si="52"/>
        <v/>
      </c>
      <c r="J707" s="29" t="str">
        <f t="shared" si="53"/>
        <v/>
      </c>
      <c r="K707" s="29" t="str">
        <f t="shared" si="54"/>
        <v/>
      </c>
    </row>
    <row r="708" spans="1:11" ht="15" x14ac:dyDescent="0.25">
      <c r="A708" s="1" t="str">
        <f>IF('1.1 Produksi Bersih Padi 2025'!A708="","",'1.1 Produksi Bersih Padi 2025'!A708)</f>
        <v/>
      </c>
      <c r="B708" s="31" t="str">
        <f>IF('1.1 Produksi Bersih Padi 2025'!B708="","",'1.1 Produksi Bersih Padi 2025'!B708)</f>
        <v/>
      </c>
      <c r="C708" s="31" t="str">
        <f>IF('1.1 Produksi Bersih Padi 2025'!C708="","",'1.1 Produksi Bersih Padi 2025'!C708)</f>
        <v/>
      </c>
      <c r="D708" s="1" t="str">
        <f>IF('1.1 Produksi Bersih Padi 2025'!D708="","",'1.1 Produksi Bersih Padi 2025'!D708)</f>
        <v/>
      </c>
      <c r="E708" s="1" t="str">
        <f>IF('1.1 Produksi Bersih Padi 2025'!E708="","",'1.1 Produksi Bersih Padi 2025'!E708)</f>
        <v/>
      </c>
      <c r="F708" s="28" t="str">
        <f>IF(D708="","",VLOOKUP(D708,'[1]0.1 Produksi Pangan &amp; Penduduk'!$D$5:$AE$860,28,0))</f>
        <v/>
      </c>
      <c r="G708" s="29" t="str">
        <f t="shared" si="50"/>
        <v/>
      </c>
      <c r="H708" s="29" t="str">
        <f t="shared" si="51"/>
        <v/>
      </c>
      <c r="I708" s="29" t="str">
        <f t="shared" si="52"/>
        <v/>
      </c>
      <c r="J708" s="29" t="str">
        <f t="shared" si="53"/>
        <v/>
      </c>
      <c r="K708" s="29" t="str">
        <f t="shared" si="54"/>
        <v/>
      </c>
    </row>
    <row r="709" spans="1:11" ht="15" x14ac:dyDescent="0.25">
      <c r="A709" s="1" t="str">
        <f>IF('1.1 Produksi Bersih Padi 2025'!A709="","",'1.1 Produksi Bersih Padi 2025'!A709)</f>
        <v/>
      </c>
      <c r="B709" s="31" t="str">
        <f>IF('1.1 Produksi Bersih Padi 2025'!B709="","",'1.1 Produksi Bersih Padi 2025'!B709)</f>
        <v/>
      </c>
      <c r="C709" s="31" t="str">
        <f>IF('1.1 Produksi Bersih Padi 2025'!C709="","",'1.1 Produksi Bersih Padi 2025'!C709)</f>
        <v/>
      </c>
      <c r="D709" s="1" t="str">
        <f>IF('1.1 Produksi Bersih Padi 2025'!D709="","",'1.1 Produksi Bersih Padi 2025'!D709)</f>
        <v/>
      </c>
      <c r="E709" s="1" t="str">
        <f>IF('1.1 Produksi Bersih Padi 2025'!E709="","",'1.1 Produksi Bersih Padi 2025'!E709)</f>
        <v/>
      </c>
      <c r="F709" s="28" t="str">
        <f>IF(D709="","",VLOOKUP(D709,'[1]0.1 Produksi Pangan &amp; Penduduk'!$D$5:$AE$860,28,0))</f>
        <v/>
      </c>
      <c r="G709" s="29" t="str">
        <f t="shared" si="50"/>
        <v/>
      </c>
      <c r="H709" s="29" t="str">
        <f t="shared" si="51"/>
        <v/>
      </c>
      <c r="I709" s="29" t="str">
        <f t="shared" si="52"/>
        <v/>
      </c>
      <c r="J709" s="29" t="str">
        <f t="shared" si="53"/>
        <v/>
      </c>
      <c r="K709" s="29" t="str">
        <f t="shared" si="54"/>
        <v/>
      </c>
    </row>
    <row r="710" spans="1:11" ht="15" x14ac:dyDescent="0.25">
      <c r="A710" s="1" t="str">
        <f>IF('1.1 Produksi Bersih Padi 2025'!A710="","",'1.1 Produksi Bersih Padi 2025'!A710)</f>
        <v/>
      </c>
      <c r="B710" s="31" t="str">
        <f>IF('1.1 Produksi Bersih Padi 2025'!B710="","",'1.1 Produksi Bersih Padi 2025'!B710)</f>
        <v/>
      </c>
      <c r="C710" s="31" t="str">
        <f>IF('1.1 Produksi Bersih Padi 2025'!C710="","",'1.1 Produksi Bersih Padi 2025'!C710)</f>
        <v/>
      </c>
      <c r="D710" s="1" t="str">
        <f>IF('1.1 Produksi Bersih Padi 2025'!D710="","",'1.1 Produksi Bersih Padi 2025'!D710)</f>
        <v/>
      </c>
      <c r="E710" s="1" t="str">
        <f>IF('1.1 Produksi Bersih Padi 2025'!E710="","",'1.1 Produksi Bersih Padi 2025'!E710)</f>
        <v/>
      </c>
      <c r="F710" s="28" t="str">
        <f>IF(D710="","",VLOOKUP(D710,'[1]0.1 Produksi Pangan &amp; Penduduk'!$D$5:$AE$860,28,0))</f>
        <v/>
      </c>
      <c r="G710" s="29" t="str">
        <f t="shared" ref="G710:G773" si="55">IF(F710="","",F710*0%)</f>
        <v/>
      </c>
      <c r="H710" s="29" t="str">
        <f t="shared" ref="H710:H773" si="56">IF(F710="","",F710*0.77%)</f>
        <v/>
      </c>
      <c r="I710" s="29" t="str">
        <f t="shared" ref="I710:I773" si="57">IF(F710="","",F710*4.9%)</f>
        <v/>
      </c>
      <c r="J710" s="29" t="str">
        <f t="shared" ref="J710:J773" si="58">IF(F710="","",F710-(G710+H710+I710))</f>
        <v/>
      </c>
      <c r="K710" s="29" t="str">
        <f t="shared" ref="K710:K773" si="59">IF(J710="","",J710*0.259)</f>
        <v/>
      </c>
    </row>
    <row r="711" spans="1:11" ht="15" x14ac:dyDescent="0.25">
      <c r="A711" s="1" t="str">
        <f>IF('1.1 Produksi Bersih Padi 2025'!A711="","",'1.1 Produksi Bersih Padi 2025'!A711)</f>
        <v/>
      </c>
      <c r="B711" s="31" t="str">
        <f>IF('1.1 Produksi Bersih Padi 2025'!B711="","",'1.1 Produksi Bersih Padi 2025'!B711)</f>
        <v/>
      </c>
      <c r="C711" s="31" t="str">
        <f>IF('1.1 Produksi Bersih Padi 2025'!C711="","",'1.1 Produksi Bersih Padi 2025'!C711)</f>
        <v/>
      </c>
      <c r="D711" s="1" t="str">
        <f>IF('1.1 Produksi Bersih Padi 2025'!D711="","",'1.1 Produksi Bersih Padi 2025'!D711)</f>
        <v/>
      </c>
      <c r="E711" s="1" t="str">
        <f>IF('1.1 Produksi Bersih Padi 2025'!E711="","",'1.1 Produksi Bersih Padi 2025'!E711)</f>
        <v/>
      </c>
      <c r="F711" s="28" t="str">
        <f>IF(D711="","",VLOOKUP(D711,'[1]0.1 Produksi Pangan &amp; Penduduk'!$D$5:$AE$860,28,0))</f>
        <v/>
      </c>
      <c r="G711" s="29" t="str">
        <f t="shared" si="55"/>
        <v/>
      </c>
      <c r="H711" s="29" t="str">
        <f t="shared" si="56"/>
        <v/>
      </c>
      <c r="I711" s="29" t="str">
        <f t="shared" si="57"/>
        <v/>
      </c>
      <c r="J711" s="29" t="str">
        <f t="shared" si="58"/>
        <v/>
      </c>
      <c r="K711" s="29" t="str">
        <f t="shared" si="59"/>
        <v/>
      </c>
    </row>
    <row r="712" spans="1:11" ht="15" x14ac:dyDescent="0.25">
      <c r="A712" s="1" t="str">
        <f>IF('1.1 Produksi Bersih Padi 2025'!A712="","",'1.1 Produksi Bersih Padi 2025'!A712)</f>
        <v/>
      </c>
      <c r="B712" s="31" t="str">
        <f>IF('1.1 Produksi Bersih Padi 2025'!B712="","",'1.1 Produksi Bersih Padi 2025'!B712)</f>
        <v/>
      </c>
      <c r="C712" s="31" t="str">
        <f>IF('1.1 Produksi Bersih Padi 2025'!C712="","",'1.1 Produksi Bersih Padi 2025'!C712)</f>
        <v/>
      </c>
      <c r="D712" s="1" t="str">
        <f>IF('1.1 Produksi Bersih Padi 2025'!D712="","",'1.1 Produksi Bersih Padi 2025'!D712)</f>
        <v/>
      </c>
      <c r="E712" s="1" t="str">
        <f>IF('1.1 Produksi Bersih Padi 2025'!E712="","",'1.1 Produksi Bersih Padi 2025'!E712)</f>
        <v/>
      </c>
      <c r="F712" s="28" t="str">
        <f>IF(D712="","",VLOOKUP(D712,'[1]0.1 Produksi Pangan &amp; Penduduk'!$D$5:$AE$860,28,0))</f>
        <v/>
      </c>
      <c r="G712" s="29" t="str">
        <f t="shared" si="55"/>
        <v/>
      </c>
      <c r="H712" s="29" t="str">
        <f t="shared" si="56"/>
        <v/>
      </c>
      <c r="I712" s="29" t="str">
        <f t="shared" si="57"/>
        <v/>
      </c>
      <c r="J712" s="29" t="str">
        <f t="shared" si="58"/>
        <v/>
      </c>
      <c r="K712" s="29" t="str">
        <f t="shared" si="59"/>
        <v/>
      </c>
    </row>
    <row r="713" spans="1:11" ht="15" x14ac:dyDescent="0.25">
      <c r="A713" s="1" t="str">
        <f>IF('1.1 Produksi Bersih Padi 2025'!A713="","",'1.1 Produksi Bersih Padi 2025'!A713)</f>
        <v/>
      </c>
      <c r="B713" s="31" t="str">
        <f>IF('1.1 Produksi Bersih Padi 2025'!B713="","",'1.1 Produksi Bersih Padi 2025'!B713)</f>
        <v/>
      </c>
      <c r="C713" s="31" t="str">
        <f>IF('1.1 Produksi Bersih Padi 2025'!C713="","",'1.1 Produksi Bersih Padi 2025'!C713)</f>
        <v/>
      </c>
      <c r="D713" s="1" t="str">
        <f>IF('1.1 Produksi Bersih Padi 2025'!D713="","",'1.1 Produksi Bersih Padi 2025'!D713)</f>
        <v/>
      </c>
      <c r="E713" s="1" t="str">
        <f>IF('1.1 Produksi Bersih Padi 2025'!E713="","",'1.1 Produksi Bersih Padi 2025'!E713)</f>
        <v/>
      </c>
      <c r="F713" s="28" t="str">
        <f>IF(D713="","",VLOOKUP(D713,'[1]0.1 Produksi Pangan &amp; Penduduk'!$D$5:$AE$860,28,0))</f>
        <v/>
      </c>
      <c r="G713" s="29" t="str">
        <f t="shared" si="55"/>
        <v/>
      </c>
      <c r="H713" s="29" t="str">
        <f t="shared" si="56"/>
        <v/>
      </c>
      <c r="I713" s="29" t="str">
        <f t="shared" si="57"/>
        <v/>
      </c>
      <c r="J713" s="29" t="str">
        <f t="shared" si="58"/>
        <v/>
      </c>
      <c r="K713" s="29" t="str">
        <f t="shared" si="59"/>
        <v/>
      </c>
    </row>
    <row r="714" spans="1:11" ht="15" x14ac:dyDescent="0.25">
      <c r="A714" s="1" t="str">
        <f>IF('1.1 Produksi Bersih Padi 2025'!A714="","",'1.1 Produksi Bersih Padi 2025'!A714)</f>
        <v/>
      </c>
      <c r="B714" s="31" t="str">
        <f>IF('1.1 Produksi Bersih Padi 2025'!B714="","",'1.1 Produksi Bersih Padi 2025'!B714)</f>
        <v/>
      </c>
      <c r="C714" s="31" t="str">
        <f>IF('1.1 Produksi Bersih Padi 2025'!C714="","",'1.1 Produksi Bersih Padi 2025'!C714)</f>
        <v/>
      </c>
      <c r="D714" s="1" t="str">
        <f>IF('1.1 Produksi Bersih Padi 2025'!D714="","",'1.1 Produksi Bersih Padi 2025'!D714)</f>
        <v/>
      </c>
      <c r="E714" s="1" t="str">
        <f>IF('1.1 Produksi Bersih Padi 2025'!E714="","",'1.1 Produksi Bersih Padi 2025'!E714)</f>
        <v/>
      </c>
      <c r="F714" s="28" t="str">
        <f>IF(D714="","",VLOOKUP(D714,'[1]0.1 Produksi Pangan &amp; Penduduk'!$D$5:$AE$860,28,0))</f>
        <v/>
      </c>
      <c r="G714" s="29" t="str">
        <f t="shared" si="55"/>
        <v/>
      </c>
      <c r="H714" s="29" t="str">
        <f t="shared" si="56"/>
        <v/>
      </c>
      <c r="I714" s="29" t="str">
        <f t="shared" si="57"/>
        <v/>
      </c>
      <c r="J714" s="29" t="str">
        <f t="shared" si="58"/>
        <v/>
      </c>
      <c r="K714" s="29" t="str">
        <f t="shared" si="59"/>
        <v/>
      </c>
    </row>
    <row r="715" spans="1:11" ht="15" x14ac:dyDescent="0.25">
      <c r="A715" s="1" t="str">
        <f>IF('1.1 Produksi Bersih Padi 2025'!A715="","",'1.1 Produksi Bersih Padi 2025'!A715)</f>
        <v/>
      </c>
      <c r="B715" s="31" t="str">
        <f>IF('1.1 Produksi Bersih Padi 2025'!B715="","",'1.1 Produksi Bersih Padi 2025'!B715)</f>
        <v/>
      </c>
      <c r="C715" s="31" t="str">
        <f>IF('1.1 Produksi Bersih Padi 2025'!C715="","",'1.1 Produksi Bersih Padi 2025'!C715)</f>
        <v/>
      </c>
      <c r="D715" s="1" t="str">
        <f>IF('1.1 Produksi Bersih Padi 2025'!D715="","",'1.1 Produksi Bersih Padi 2025'!D715)</f>
        <v/>
      </c>
      <c r="E715" s="1" t="str">
        <f>IF('1.1 Produksi Bersih Padi 2025'!E715="","",'1.1 Produksi Bersih Padi 2025'!E715)</f>
        <v/>
      </c>
      <c r="F715" s="28" t="str">
        <f>IF(D715="","",VLOOKUP(D715,'[1]0.1 Produksi Pangan &amp; Penduduk'!$D$5:$AE$860,28,0))</f>
        <v/>
      </c>
      <c r="G715" s="29" t="str">
        <f t="shared" si="55"/>
        <v/>
      </c>
      <c r="H715" s="29" t="str">
        <f t="shared" si="56"/>
        <v/>
      </c>
      <c r="I715" s="29" t="str">
        <f t="shared" si="57"/>
        <v/>
      </c>
      <c r="J715" s="29" t="str">
        <f t="shared" si="58"/>
        <v/>
      </c>
      <c r="K715" s="29" t="str">
        <f t="shared" si="59"/>
        <v/>
      </c>
    </row>
    <row r="716" spans="1:11" ht="15" x14ac:dyDescent="0.25">
      <c r="A716" s="1" t="str">
        <f>IF('1.1 Produksi Bersih Padi 2025'!A716="","",'1.1 Produksi Bersih Padi 2025'!A716)</f>
        <v/>
      </c>
      <c r="B716" s="31" t="str">
        <f>IF('1.1 Produksi Bersih Padi 2025'!B716="","",'1.1 Produksi Bersih Padi 2025'!B716)</f>
        <v/>
      </c>
      <c r="C716" s="31" t="str">
        <f>IF('1.1 Produksi Bersih Padi 2025'!C716="","",'1.1 Produksi Bersih Padi 2025'!C716)</f>
        <v/>
      </c>
      <c r="D716" s="1" t="str">
        <f>IF('1.1 Produksi Bersih Padi 2025'!D716="","",'1.1 Produksi Bersih Padi 2025'!D716)</f>
        <v/>
      </c>
      <c r="E716" s="1" t="str">
        <f>IF('1.1 Produksi Bersih Padi 2025'!E716="","",'1.1 Produksi Bersih Padi 2025'!E716)</f>
        <v/>
      </c>
      <c r="F716" s="28" t="str">
        <f>IF(D716="","",VLOOKUP(D716,'[1]0.1 Produksi Pangan &amp; Penduduk'!$D$5:$AE$860,28,0))</f>
        <v/>
      </c>
      <c r="G716" s="29" t="str">
        <f t="shared" si="55"/>
        <v/>
      </c>
      <c r="H716" s="29" t="str">
        <f t="shared" si="56"/>
        <v/>
      </c>
      <c r="I716" s="29" t="str">
        <f t="shared" si="57"/>
        <v/>
      </c>
      <c r="J716" s="29" t="str">
        <f t="shared" si="58"/>
        <v/>
      </c>
      <c r="K716" s="29" t="str">
        <f t="shared" si="59"/>
        <v/>
      </c>
    </row>
    <row r="717" spans="1:11" ht="15" x14ac:dyDescent="0.25">
      <c r="A717" s="1" t="str">
        <f>IF('1.1 Produksi Bersih Padi 2025'!A717="","",'1.1 Produksi Bersih Padi 2025'!A717)</f>
        <v/>
      </c>
      <c r="B717" s="31" t="str">
        <f>IF('1.1 Produksi Bersih Padi 2025'!B717="","",'1.1 Produksi Bersih Padi 2025'!B717)</f>
        <v/>
      </c>
      <c r="C717" s="31" t="str">
        <f>IF('1.1 Produksi Bersih Padi 2025'!C717="","",'1.1 Produksi Bersih Padi 2025'!C717)</f>
        <v/>
      </c>
      <c r="D717" s="1" t="str">
        <f>IF('1.1 Produksi Bersih Padi 2025'!D717="","",'1.1 Produksi Bersih Padi 2025'!D717)</f>
        <v/>
      </c>
      <c r="E717" s="1" t="str">
        <f>IF('1.1 Produksi Bersih Padi 2025'!E717="","",'1.1 Produksi Bersih Padi 2025'!E717)</f>
        <v/>
      </c>
      <c r="F717" s="28" t="str">
        <f>IF(D717="","",VLOOKUP(D717,'[1]0.1 Produksi Pangan &amp; Penduduk'!$D$5:$AE$860,28,0))</f>
        <v/>
      </c>
      <c r="G717" s="29" t="str">
        <f t="shared" si="55"/>
        <v/>
      </c>
      <c r="H717" s="29" t="str">
        <f t="shared" si="56"/>
        <v/>
      </c>
      <c r="I717" s="29" t="str">
        <f t="shared" si="57"/>
        <v/>
      </c>
      <c r="J717" s="29" t="str">
        <f t="shared" si="58"/>
        <v/>
      </c>
      <c r="K717" s="29" t="str">
        <f t="shared" si="59"/>
        <v/>
      </c>
    </row>
    <row r="718" spans="1:11" ht="15" x14ac:dyDescent="0.25">
      <c r="A718" s="1" t="str">
        <f>IF('1.1 Produksi Bersih Padi 2025'!A718="","",'1.1 Produksi Bersih Padi 2025'!A718)</f>
        <v/>
      </c>
      <c r="B718" s="31" t="str">
        <f>IF('1.1 Produksi Bersih Padi 2025'!B718="","",'1.1 Produksi Bersih Padi 2025'!B718)</f>
        <v/>
      </c>
      <c r="C718" s="31" t="str">
        <f>IF('1.1 Produksi Bersih Padi 2025'!C718="","",'1.1 Produksi Bersih Padi 2025'!C718)</f>
        <v/>
      </c>
      <c r="D718" s="1" t="str">
        <f>IF('1.1 Produksi Bersih Padi 2025'!D718="","",'1.1 Produksi Bersih Padi 2025'!D718)</f>
        <v/>
      </c>
      <c r="E718" s="1" t="str">
        <f>IF('1.1 Produksi Bersih Padi 2025'!E718="","",'1.1 Produksi Bersih Padi 2025'!E718)</f>
        <v/>
      </c>
      <c r="F718" s="28" t="str">
        <f>IF(D718="","",VLOOKUP(D718,'[1]0.1 Produksi Pangan &amp; Penduduk'!$D$5:$AE$860,28,0))</f>
        <v/>
      </c>
      <c r="G718" s="29" t="str">
        <f t="shared" si="55"/>
        <v/>
      </c>
      <c r="H718" s="29" t="str">
        <f t="shared" si="56"/>
        <v/>
      </c>
      <c r="I718" s="29" t="str">
        <f t="shared" si="57"/>
        <v/>
      </c>
      <c r="J718" s="29" t="str">
        <f t="shared" si="58"/>
        <v/>
      </c>
      <c r="K718" s="29" t="str">
        <f t="shared" si="59"/>
        <v/>
      </c>
    </row>
    <row r="719" spans="1:11" ht="15" x14ac:dyDescent="0.25">
      <c r="A719" s="1" t="str">
        <f>IF('1.1 Produksi Bersih Padi 2025'!A719="","",'1.1 Produksi Bersih Padi 2025'!A719)</f>
        <v/>
      </c>
      <c r="B719" s="31" t="str">
        <f>IF('1.1 Produksi Bersih Padi 2025'!B719="","",'1.1 Produksi Bersih Padi 2025'!B719)</f>
        <v/>
      </c>
      <c r="C719" s="31" t="str">
        <f>IF('1.1 Produksi Bersih Padi 2025'!C719="","",'1.1 Produksi Bersih Padi 2025'!C719)</f>
        <v/>
      </c>
      <c r="D719" s="1" t="str">
        <f>IF('1.1 Produksi Bersih Padi 2025'!D719="","",'1.1 Produksi Bersih Padi 2025'!D719)</f>
        <v/>
      </c>
      <c r="E719" s="1" t="str">
        <f>IF('1.1 Produksi Bersih Padi 2025'!E719="","",'1.1 Produksi Bersih Padi 2025'!E719)</f>
        <v/>
      </c>
      <c r="F719" s="28" t="str">
        <f>IF(D719="","",VLOOKUP(D719,'[1]0.1 Produksi Pangan &amp; Penduduk'!$D$5:$AE$860,28,0))</f>
        <v/>
      </c>
      <c r="G719" s="29" t="str">
        <f t="shared" si="55"/>
        <v/>
      </c>
      <c r="H719" s="29" t="str">
        <f t="shared" si="56"/>
        <v/>
      </c>
      <c r="I719" s="29" t="str">
        <f t="shared" si="57"/>
        <v/>
      </c>
      <c r="J719" s="29" t="str">
        <f t="shared" si="58"/>
        <v/>
      </c>
      <c r="K719" s="29" t="str">
        <f t="shared" si="59"/>
        <v/>
      </c>
    </row>
    <row r="720" spans="1:11" ht="15" x14ac:dyDescent="0.25">
      <c r="A720" s="1" t="str">
        <f>IF('1.1 Produksi Bersih Padi 2025'!A720="","",'1.1 Produksi Bersih Padi 2025'!A720)</f>
        <v/>
      </c>
      <c r="B720" s="31" t="str">
        <f>IF('1.1 Produksi Bersih Padi 2025'!B720="","",'1.1 Produksi Bersih Padi 2025'!B720)</f>
        <v/>
      </c>
      <c r="C720" s="31" t="str">
        <f>IF('1.1 Produksi Bersih Padi 2025'!C720="","",'1.1 Produksi Bersih Padi 2025'!C720)</f>
        <v/>
      </c>
      <c r="D720" s="1" t="str">
        <f>IF('1.1 Produksi Bersih Padi 2025'!D720="","",'1.1 Produksi Bersih Padi 2025'!D720)</f>
        <v/>
      </c>
      <c r="E720" s="1" t="str">
        <f>IF('1.1 Produksi Bersih Padi 2025'!E720="","",'1.1 Produksi Bersih Padi 2025'!E720)</f>
        <v/>
      </c>
      <c r="F720" s="28" t="str">
        <f>IF(D720="","",VLOOKUP(D720,'[1]0.1 Produksi Pangan &amp; Penduduk'!$D$5:$AE$860,28,0))</f>
        <v/>
      </c>
      <c r="G720" s="29" t="str">
        <f t="shared" si="55"/>
        <v/>
      </c>
      <c r="H720" s="29" t="str">
        <f t="shared" si="56"/>
        <v/>
      </c>
      <c r="I720" s="29" t="str">
        <f t="shared" si="57"/>
        <v/>
      </c>
      <c r="J720" s="29" t="str">
        <f t="shared" si="58"/>
        <v/>
      </c>
      <c r="K720" s="29" t="str">
        <f t="shared" si="59"/>
        <v/>
      </c>
    </row>
    <row r="721" spans="1:11" ht="15" x14ac:dyDescent="0.25">
      <c r="A721" s="1" t="str">
        <f>IF('1.1 Produksi Bersih Padi 2025'!A721="","",'1.1 Produksi Bersih Padi 2025'!A721)</f>
        <v/>
      </c>
      <c r="B721" s="31" t="str">
        <f>IF('1.1 Produksi Bersih Padi 2025'!B721="","",'1.1 Produksi Bersih Padi 2025'!B721)</f>
        <v/>
      </c>
      <c r="C721" s="31" t="str">
        <f>IF('1.1 Produksi Bersih Padi 2025'!C721="","",'1.1 Produksi Bersih Padi 2025'!C721)</f>
        <v/>
      </c>
      <c r="D721" s="1" t="str">
        <f>IF('1.1 Produksi Bersih Padi 2025'!D721="","",'1.1 Produksi Bersih Padi 2025'!D721)</f>
        <v/>
      </c>
      <c r="E721" s="1" t="str">
        <f>IF('1.1 Produksi Bersih Padi 2025'!E721="","",'1.1 Produksi Bersih Padi 2025'!E721)</f>
        <v/>
      </c>
      <c r="F721" s="28" t="str">
        <f>IF(D721="","",VLOOKUP(D721,'[1]0.1 Produksi Pangan &amp; Penduduk'!$D$5:$AE$860,28,0))</f>
        <v/>
      </c>
      <c r="G721" s="29" t="str">
        <f t="shared" si="55"/>
        <v/>
      </c>
      <c r="H721" s="29" t="str">
        <f t="shared" si="56"/>
        <v/>
      </c>
      <c r="I721" s="29" t="str">
        <f t="shared" si="57"/>
        <v/>
      </c>
      <c r="J721" s="29" t="str">
        <f t="shared" si="58"/>
        <v/>
      </c>
      <c r="K721" s="29" t="str">
        <f t="shared" si="59"/>
        <v/>
      </c>
    </row>
    <row r="722" spans="1:11" ht="15" x14ac:dyDescent="0.25">
      <c r="A722" s="1" t="str">
        <f>IF('1.1 Produksi Bersih Padi 2025'!A722="","",'1.1 Produksi Bersih Padi 2025'!A722)</f>
        <v/>
      </c>
      <c r="B722" s="31" t="str">
        <f>IF('1.1 Produksi Bersih Padi 2025'!B722="","",'1.1 Produksi Bersih Padi 2025'!B722)</f>
        <v/>
      </c>
      <c r="C722" s="31" t="str">
        <f>IF('1.1 Produksi Bersih Padi 2025'!C722="","",'1.1 Produksi Bersih Padi 2025'!C722)</f>
        <v/>
      </c>
      <c r="D722" s="1" t="str">
        <f>IF('1.1 Produksi Bersih Padi 2025'!D722="","",'1.1 Produksi Bersih Padi 2025'!D722)</f>
        <v/>
      </c>
      <c r="E722" s="1" t="str">
        <f>IF('1.1 Produksi Bersih Padi 2025'!E722="","",'1.1 Produksi Bersih Padi 2025'!E722)</f>
        <v/>
      </c>
      <c r="F722" s="28" t="str">
        <f>IF(D722="","",VLOOKUP(D722,'[1]0.1 Produksi Pangan &amp; Penduduk'!$D$5:$AE$860,28,0))</f>
        <v/>
      </c>
      <c r="G722" s="29" t="str">
        <f t="shared" si="55"/>
        <v/>
      </c>
      <c r="H722" s="29" t="str">
        <f t="shared" si="56"/>
        <v/>
      </c>
      <c r="I722" s="29" t="str">
        <f t="shared" si="57"/>
        <v/>
      </c>
      <c r="J722" s="29" t="str">
        <f t="shared" si="58"/>
        <v/>
      </c>
      <c r="K722" s="29" t="str">
        <f t="shared" si="59"/>
        <v/>
      </c>
    </row>
    <row r="723" spans="1:11" ht="15" x14ac:dyDescent="0.25">
      <c r="A723" s="1" t="str">
        <f>IF('1.1 Produksi Bersih Padi 2025'!A723="","",'1.1 Produksi Bersih Padi 2025'!A723)</f>
        <v/>
      </c>
      <c r="B723" s="31" t="str">
        <f>IF('1.1 Produksi Bersih Padi 2025'!B723="","",'1.1 Produksi Bersih Padi 2025'!B723)</f>
        <v/>
      </c>
      <c r="C723" s="31" t="str">
        <f>IF('1.1 Produksi Bersih Padi 2025'!C723="","",'1.1 Produksi Bersih Padi 2025'!C723)</f>
        <v/>
      </c>
      <c r="D723" s="1" t="str">
        <f>IF('1.1 Produksi Bersih Padi 2025'!D723="","",'1.1 Produksi Bersih Padi 2025'!D723)</f>
        <v/>
      </c>
      <c r="E723" s="1" t="str">
        <f>IF('1.1 Produksi Bersih Padi 2025'!E723="","",'1.1 Produksi Bersih Padi 2025'!E723)</f>
        <v/>
      </c>
      <c r="F723" s="28" t="str">
        <f>IF(D723="","",VLOOKUP(D723,'[1]0.1 Produksi Pangan &amp; Penduduk'!$D$5:$AE$860,28,0))</f>
        <v/>
      </c>
      <c r="G723" s="29" t="str">
        <f t="shared" si="55"/>
        <v/>
      </c>
      <c r="H723" s="29" t="str">
        <f t="shared" si="56"/>
        <v/>
      </c>
      <c r="I723" s="29" t="str">
        <f t="shared" si="57"/>
        <v/>
      </c>
      <c r="J723" s="29" t="str">
        <f t="shared" si="58"/>
        <v/>
      </c>
      <c r="K723" s="29" t="str">
        <f t="shared" si="59"/>
        <v/>
      </c>
    </row>
    <row r="724" spans="1:11" ht="15" x14ac:dyDescent="0.25">
      <c r="A724" s="1" t="str">
        <f>IF('1.1 Produksi Bersih Padi 2025'!A724="","",'1.1 Produksi Bersih Padi 2025'!A724)</f>
        <v/>
      </c>
      <c r="B724" s="31" t="str">
        <f>IF('1.1 Produksi Bersih Padi 2025'!B724="","",'1.1 Produksi Bersih Padi 2025'!B724)</f>
        <v/>
      </c>
      <c r="C724" s="31" t="str">
        <f>IF('1.1 Produksi Bersih Padi 2025'!C724="","",'1.1 Produksi Bersih Padi 2025'!C724)</f>
        <v/>
      </c>
      <c r="D724" s="1" t="str">
        <f>IF('1.1 Produksi Bersih Padi 2025'!D724="","",'1.1 Produksi Bersih Padi 2025'!D724)</f>
        <v/>
      </c>
      <c r="E724" s="1" t="str">
        <f>IF('1.1 Produksi Bersih Padi 2025'!E724="","",'1.1 Produksi Bersih Padi 2025'!E724)</f>
        <v/>
      </c>
      <c r="F724" s="28" t="str">
        <f>IF(D724="","",VLOOKUP(D724,'[1]0.1 Produksi Pangan &amp; Penduduk'!$D$5:$AE$860,28,0))</f>
        <v/>
      </c>
      <c r="G724" s="29" t="str">
        <f t="shared" si="55"/>
        <v/>
      </c>
      <c r="H724" s="29" t="str">
        <f t="shared" si="56"/>
        <v/>
      </c>
      <c r="I724" s="29" t="str">
        <f t="shared" si="57"/>
        <v/>
      </c>
      <c r="J724" s="29" t="str">
        <f t="shared" si="58"/>
        <v/>
      </c>
      <c r="K724" s="29" t="str">
        <f t="shared" si="59"/>
        <v/>
      </c>
    </row>
    <row r="725" spans="1:11" ht="15" x14ac:dyDescent="0.25">
      <c r="A725" s="1" t="str">
        <f>IF('1.1 Produksi Bersih Padi 2025'!A725="","",'1.1 Produksi Bersih Padi 2025'!A725)</f>
        <v/>
      </c>
      <c r="B725" s="31" t="str">
        <f>IF('1.1 Produksi Bersih Padi 2025'!B725="","",'1.1 Produksi Bersih Padi 2025'!B725)</f>
        <v/>
      </c>
      <c r="C725" s="31" t="str">
        <f>IF('1.1 Produksi Bersih Padi 2025'!C725="","",'1.1 Produksi Bersih Padi 2025'!C725)</f>
        <v/>
      </c>
      <c r="D725" s="1" t="str">
        <f>IF('1.1 Produksi Bersih Padi 2025'!D725="","",'1.1 Produksi Bersih Padi 2025'!D725)</f>
        <v/>
      </c>
      <c r="E725" s="1" t="str">
        <f>IF('1.1 Produksi Bersih Padi 2025'!E725="","",'1.1 Produksi Bersih Padi 2025'!E725)</f>
        <v/>
      </c>
      <c r="F725" s="28" t="str">
        <f>IF(D725="","",VLOOKUP(D725,'[1]0.1 Produksi Pangan &amp; Penduduk'!$D$5:$AE$860,28,0))</f>
        <v/>
      </c>
      <c r="G725" s="29" t="str">
        <f t="shared" si="55"/>
        <v/>
      </c>
      <c r="H725" s="29" t="str">
        <f t="shared" si="56"/>
        <v/>
      </c>
      <c r="I725" s="29" t="str">
        <f t="shared" si="57"/>
        <v/>
      </c>
      <c r="J725" s="29" t="str">
        <f t="shared" si="58"/>
        <v/>
      </c>
      <c r="K725" s="29" t="str">
        <f t="shared" si="59"/>
        <v/>
      </c>
    </row>
    <row r="726" spans="1:11" ht="15" x14ac:dyDescent="0.25">
      <c r="A726" s="1" t="str">
        <f>IF('1.1 Produksi Bersih Padi 2025'!A726="","",'1.1 Produksi Bersih Padi 2025'!A726)</f>
        <v/>
      </c>
      <c r="B726" s="31" t="str">
        <f>IF('1.1 Produksi Bersih Padi 2025'!B726="","",'1.1 Produksi Bersih Padi 2025'!B726)</f>
        <v/>
      </c>
      <c r="C726" s="31" t="str">
        <f>IF('1.1 Produksi Bersih Padi 2025'!C726="","",'1.1 Produksi Bersih Padi 2025'!C726)</f>
        <v/>
      </c>
      <c r="D726" s="1" t="str">
        <f>IF('1.1 Produksi Bersih Padi 2025'!D726="","",'1.1 Produksi Bersih Padi 2025'!D726)</f>
        <v/>
      </c>
      <c r="E726" s="1" t="str">
        <f>IF('1.1 Produksi Bersih Padi 2025'!E726="","",'1.1 Produksi Bersih Padi 2025'!E726)</f>
        <v/>
      </c>
      <c r="F726" s="28" t="str">
        <f>IF(D726="","",VLOOKUP(D726,'[1]0.1 Produksi Pangan &amp; Penduduk'!$D$5:$AE$860,28,0))</f>
        <v/>
      </c>
      <c r="G726" s="29" t="str">
        <f t="shared" si="55"/>
        <v/>
      </c>
      <c r="H726" s="29" t="str">
        <f t="shared" si="56"/>
        <v/>
      </c>
      <c r="I726" s="29" t="str">
        <f t="shared" si="57"/>
        <v/>
      </c>
      <c r="J726" s="29" t="str">
        <f t="shared" si="58"/>
        <v/>
      </c>
      <c r="K726" s="29" t="str">
        <f t="shared" si="59"/>
        <v/>
      </c>
    </row>
    <row r="727" spans="1:11" ht="15" x14ac:dyDescent="0.25">
      <c r="A727" s="1" t="str">
        <f>IF('1.1 Produksi Bersih Padi 2025'!A727="","",'1.1 Produksi Bersih Padi 2025'!A727)</f>
        <v/>
      </c>
      <c r="B727" s="31" t="str">
        <f>IF('1.1 Produksi Bersih Padi 2025'!B727="","",'1.1 Produksi Bersih Padi 2025'!B727)</f>
        <v/>
      </c>
      <c r="C727" s="31" t="str">
        <f>IF('1.1 Produksi Bersih Padi 2025'!C727="","",'1.1 Produksi Bersih Padi 2025'!C727)</f>
        <v/>
      </c>
      <c r="D727" s="1" t="str">
        <f>IF('1.1 Produksi Bersih Padi 2025'!D727="","",'1.1 Produksi Bersih Padi 2025'!D727)</f>
        <v/>
      </c>
      <c r="E727" s="1" t="str">
        <f>IF('1.1 Produksi Bersih Padi 2025'!E727="","",'1.1 Produksi Bersih Padi 2025'!E727)</f>
        <v/>
      </c>
      <c r="F727" s="28" t="str">
        <f>IF(D727="","",VLOOKUP(D727,'[1]0.1 Produksi Pangan &amp; Penduduk'!$D$5:$AE$860,28,0))</f>
        <v/>
      </c>
      <c r="G727" s="29" t="str">
        <f t="shared" si="55"/>
        <v/>
      </c>
      <c r="H727" s="29" t="str">
        <f t="shared" si="56"/>
        <v/>
      </c>
      <c r="I727" s="29" t="str">
        <f t="shared" si="57"/>
        <v/>
      </c>
      <c r="J727" s="29" t="str">
        <f t="shared" si="58"/>
        <v/>
      </c>
      <c r="K727" s="29" t="str">
        <f t="shared" si="59"/>
        <v/>
      </c>
    </row>
    <row r="728" spans="1:11" ht="15" x14ac:dyDescent="0.25">
      <c r="A728" s="1" t="str">
        <f>IF('1.1 Produksi Bersih Padi 2025'!A728="","",'1.1 Produksi Bersih Padi 2025'!A728)</f>
        <v/>
      </c>
      <c r="B728" s="31" t="str">
        <f>IF('1.1 Produksi Bersih Padi 2025'!B728="","",'1.1 Produksi Bersih Padi 2025'!B728)</f>
        <v/>
      </c>
      <c r="C728" s="31" t="str">
        <f>IF('1.1 Produksi Bersih Padi 2025'!C728="","",'1.1 Produksi Bersih Padi 2025'!C728)</f>
        <v/>
      </c>
      <c r="D728" s="1" t="str">
        <f>IF('1.1 Produksi Bersih Padi 2025'!D728="","",'1.1 Produksi Bersih Padi 2025'!D728)</f>
        <v/>
      </c>
      <c r="E728" s="1" t="str">
        <f>IF('1.1 Produksi Bersih Padi 2025'!E728="","",'1.1 Produksi Bersih Padi 2025'!E728)</f>
        <v/>
      </c>
      <c r="F728" s="28" t="str">
        <f>IF(D728="","",VLOOKUP(D728,'[1]0.1 Produksi Pangan &amp; Penduduk'!$D$5:$AE$860,28,0))</f>
        <v/>
      </c>
      <c r="G728" s="29" t="str">
        <f t="shared" si="55"/>
        <v/>
      </c>
      <c r="H728" s="29" t="str">
        <f t="shared" si="56"/>
        <v/>
      </c>
      <c r="I728" s="29" t="str">
        <f t="shared" si="57"/>
        <v/>
      </c>
      <c r="J728" s="29" t="str">
        <f t="shared" si="58"/>
        <v/>
      </c>
      <c r="K728" s="29" t="str">
        <f t="shared" si="59"/>
        <v/>
      </c>
    </row>
    <row r="729" spans="1:11" ht="15" x14ac:dyDescent="0.25">
      <c r="A729" s="1" t="str">
        <f>IF('1.1 Produksi Bersih Padi 2025'!A729="","",'1.1 Produksi Bersih Padi 2025'!A729)</f>
        <v/>
      </c>
      <c r="B729" s="31" t="str">
        <f>IF('1.1 Produksi Bersih Padi 2025'!B729="","",'1.1 Produksi Bersih Padi 2025'!B729)</f>
        <v/>
      </c>
      <c r="C729" s="31" t="str">
        <f>IF('1.1 Produksi Bersih Padi 2025'!C729="","",'1.1 Produksi Bersih Padi 2025'!C729)</f>
        <v/>
      </c>
      <c r="D729" s="1" t="str">
        <f>IF('1.1 Produksi Bersih Padi 2025'!D729="","",'1.1 Produksi Bersih Padi 2025'!D729)</f>
        <v/>
      </c>
      <c r="E729" s="1" t="str">
        <f>IF('1.1 Produksi Bersih Padi 2025'!E729="","",'1.1 Produksi Bersih Padi 2025'!E729)</f>
        <v/>
      </c>
      <c r="F729" s="28" t="str">
        <f>IF(D729="","",VLOOKUP(D729,'[1]0.1 Produksi Pangan &amp; Penduduk'!$D$5:$AE$860,28,0))</f>
        <v/>
      </c>
      <c r="G729" s="29" t="str">
        <f t="shared" si="55"/>
        <v/>
      </c>
      <c r="H729" s="29" t="str">
        <f t="shared" si="56"/>
        <v/>
      </c>
      <c r="I729" s="29" t="str">
        <f t="shared" si="57"/>
        <v/>
      </c>
      <c r="J729" s="29" t="str">
        <f t="shared" si="58"/>
        <v/>
      </c>
      <c r="K729" s="29" t="str">
        <f t="shared" si="59"/>
        <v/>
      </c>
    </row>
    <row r="730" spans="1:11" ht="15" x14ac:dyDescent="0.25">
      <c r="A730" s="1" t="str">
        <f>IF('1.1 Produksi Bersih Padi 2025'!A730="","",'1.1 Produksi Bersih Padi 2025'!A730)</f>
        <v/>
      </c>
      <c r="B730" s="31" t="str">
        <f>IF('1.1 Produksi Bersih Padi 2025'!B730="","",'1.1 Produksi Bersih Padi 2025'!B730)</f>
        <v/>
      </c>
      <c r="C730" s="31" t="str">
        <f>IF('1.1 Produksi Bersih Padi 2025'!C730="","",'1.1 Produksi Bersih Padi 2025'!C730)</f>
        <v/>
      </c>
      <c r="D730" s="1" t="str">
        <f>IF('1.1 Produksi Bersih Padi 2025'!D730="","",'1.1 Produksi Bersih Padi 2025'!D730)</f>
        <v/>
      </c>
      <c r="E730" s="1" t="str">
        <f>IF('1.1 Produksi Bersih Padi 2025'!E730="","",'1.1 Produksi Bersih Padi 2025'!E730)</f>
        <v/>
      </c>
      <c r="F730" s="28" t="str">
        <f>IF(D730="","",VLOOKUP(D730,'[1]0.1 Produksi Pangan &amp; Penduduk'!$D$5:$AE$860,28,0))</f>
        <v/>
      </c>
      <c r="G730" s="29" t="str">
        <f t="shared" si="55"/>
        <v/>
      </c>
      <c r="H730" s="29" t="str">
        <f t="shared" si="56"/>
        <v/>
      </c>
      <c r="I730" s="29" t="str">
        <f t="shared" si="57"/>
        <v/>
      </c>
      <c r="J730" s="29" t="str">
        <f t="shared" si="58"/>
        <v/>
      </c>
      <c r="K730" s="29" t="str">
        <f t="shared" si="59"/>
        <v/>
      </c>
    </row>
    <row r="731" spans="1:11" ht="15" x14ac:dyDescent="0.25">
      <c r="A731" s="1" t="str">
        <f>IF('1.1 Produksi Bersih Padi 2025'!A731="","",'1.1 Produksi Bersih Padi 2025'!A731)</f>
        <v/>
      </c>
      <c r="B731" s="31" t="str">
        <f>IF('1.1 Produksi Bersih Padi 2025'!B731="","",'1.1 Produksi Bersih Padi 2025'!B731)</f>
        <v/>
      </c>
      <c r="C731" s="31" t="str">
        <f>IF('1.1 Produksi Bersih Padi 2025'!C731="","",'1.1 Produksi Bersih Padi 2025'!C731)</f>
        <v/>
      </c>
      <c r="D731" s="1" t="str">
        <f>IF('1.1 Produksi Bersih Padi 2025'!D731="","",'1.1 Produksi Bersih Padi 2025'!D731)</f>
        <v/>
      </c>
      <c r="E731" s="1" t="str">
        <f>IF('1.1 Produksi Bersih Padi 2025'!E731="","",'1.1 Produksi Bersih Padi 2025'!E731)</f>
        <v/>
      </c>
      <c r="F731" s="28" t="str">
        <f>IF(D731="","",VLOOKUP(D731,'[1]0.1 Produksi Pangan &amp; Penduduk'!$D$5:$AE$860,28,0))</f>
        <v/>
      </c>
      <c r="G731" s="29" t="str">
        <f t="shared" si="55"/>
        <v/>
      </c>
      <c r="H731" s="29" t="str">
        <f t="shared" si="56"/>
        <v/>
      </c>
      <c r="I731" s="29" t="str">
        <f t="shared" si="57"/>
        <v/>
      </c>
      <c r="J731" s="29" t="str">
        <f t="shared" si="58"/>
        <v/>
      </c>
      <c r="K731" s="29" t="str">
        <f t="shared" si="59"/>
        <v/>
      </c>
    </row>
    <row r="732" spans="1:11" ht="15" x14ac:dyDescent="0.25">
      <c r="A732" s="1" t="str">
        <f>IF('1.1 Produksi Bersih Padi 2025'!A732="","",'1.1 Produksi Bersih Padi 2025'!A732)</f>
        <v/>
      </c>
      <c r="B732" s="31" t="str">
        <f>IF('1.1 Produksi Bersih Padi 2025'!B732="","",'1.1 Produksi Bersih Padi 2025'!B732)</f>
        <v/>
      </c>
      <c r="C732" s="31" t="str">
        <f>IF('1.1 Produksi Bersih Padi 2025'!C732="","",'1.1 Produksi Bersih Padi 2025'!C732)</f>
        <v/>
      </c>
      <c r="D732" s="1" t="str">
        <f>IF('1.1 Produksi Bersih Padi 2025'!D732="","",'1.1 Produksi Bersih Padi 2025'!D732)</f>
        <v/>
      </c>
      <c r="E732" s="1" t="str">
        <f>IF('1.1 Produksi Bersih Padi 2025'!E732="","",'1.1 Produksi Bersih Padi 2025'!E732)</f>
        <v/>
      </c>
      <c r="F732" s="28" t="str">
        <f>IF(D732="","",VLOOKUP(D732,'[1]0.1 Produksi Pangan &amp; Penduduk'!$D$5:$AE$860,28,0))</f>
        <v/>
      </c>
      <c r="G732" s="29" t="str">
        <f t="shared" si="55"/>
        <v/>
      </c>
      <c r="H732" s="29" t="str">
        <f t="shared" si="56"/>
        <v/>
      </c>
      <c r="I732" s="29" t="str">
        <f t="shared" si="57"/>
        <v/>
      </c>
      <c r="J732" s="29" t="str">
        <f t="shared" si="58"/>
        <v/>
      </c>
      <c r="K732" s="29" t="str">
        <f t="shared" si="59"/>
        <v/>
      </c>
    </row>
    <row r="733" spans="1:11" ht="15" x14ac:dyDescent="0.25">
      <c r="A733" s="1" t="str">
        <f>IF('1.1 Produksi Bersih Padi 2025'!A733="","",'1.1 Produksi Bersih Padi 2025'!A733)</f>
        <v/>
      </c>
      <c r="B733" s="31" t="str">
        <f>IF('1.1 Produksi Bersih Padi 2025'!B733="","",'1.1 Produksi Bersih Padi 2025'!B733)</f>
        <v/>
      </c>
      <c r="C733" s="31" t="str">
        <f>IF('1.1 Produksi Bersih Padi 2025'!C733="","",'1.1 Produksi Bersih Padi 2025'!C733)</f>
        <v/>
      </c>
      <c r="D733" s="1" t="str">
        <f>IF('1.1 Produksi Bersih Padi 2025'!D733="","",'1.1 Produksi Bersih Padi 2025'!D733)</f>
        <v/>
      </c>
      <c r="E733" s="1" t="str">
        <f>IF('1.1 Produksi Bersih Padi 2025'!E733="","",'1.1 Produksi Bersih Padi 2025'!E733)</f>
        <v/>
      </c>
      <c r="F733" s="28" t="str">
        <f>IF(D733="","",VLOOKUP(D733,'[1]0.1 Produksi Pangan &amp; Penduduk'!$D$5:$AE$860,28,0))</f>
        <v/>
      </c>
      <c r="G733" s="29" t="str">
        <f t="shared" si="55"/>
        <v/>
      </c>
      <c r="H733" s="29" t="str">
        <f t="shared" si="56"/>
        <v/>
      </c>
      <c r="I733" s="29" t="str">
        <f t="shared" si="57"/>
        <v/>
      </c>
      <c r="J733" s="29" t="str">
        <f t="shared" si="58"/>
        <v/>
      </c>
      <c r="K733" s="29" t="str">
        <f t="shared" si="59"/>
        <v/>
      </c>
    </row>
    <row r="734" spans="1:11" ht="15" x14ac:dyDescent="0.25">
      <c r="A734" s="1" t="str">
        <f>IF('1.1 Produksi Bersih Padi 2025'!A734="","",'1.1 Produksi Bersih Padi 2025'!A734)</f>
        <v/>
      </c>
      <c r="B734" s="31" t="str">
        <f>IF('1.1 Produksi Bersih Padi 2025'!B734="","",'1.1 Produksi Bersih Padi 2025'!B734)</f>
        <v/>
      </c>
      <c r="C734" s="31" t="str">
        <f>IF('1.1 Produksi Bersih Padi 2025'!C734="","",'1.1 Produksi Bersih Padi 2025'!C734)</f>
        <v/>
      </c>
      <c r="D734" s="1" t="str">
        <f>IF('1.1 Produksi Bersih Padi 2025'!D734="","",'1.1 Produksi Bersih Padi 2025'!D734)</f>
        <v/>
      </c>
      <c r="E734" s="1" t="str">
        <f>IF('1.1 Produksi Bersih Padi 2025'!E734="","",'1.1 Produksi Bersih Padi 2025'!E734)</f>
        <v/>
      </c>
      <c r="F734" s="28" t="str">
        <f>IF(D734="","",VLOOKUP(D734,'[1]0.1 Produksi Pangan &amp; Penduduk'!$D$5:$AE$860,28,0))</f>
        <v/>
      </c>
      <c r="G734" s="29" t="str">
        <f t="shared" si="55"/>
        <v/>
      </c>
      <c r="H734" s="29" t="str">
        <f t="shared" si="56"/>
        <v/>
      </c>
      <c r="I734" s="29" t="str">
        <f t="shared" si="57"/>
        <v/>
      </c>
      <c r="J734" s="29" t="str">
        <f t="shared" si="58"/>
        <v/>
      </c>
      <c r="K734" s="29" t="str">
        <f t="shared" si="59"/>
        <v/>
      </c>
    </row>
    <row r="735" spans="1:11" ht="15" x14ac:dyDescent="0.25">
      <c r="A735" s="1" t="str">
        <f>IF('1.1 Produksi Bersih Padi 2025'!A735="","",'1.1 Produksi Bersih Padi 2025'!A735)</f>
        <v/>
      </c>
      <c r="B735" s="31" t="str">
        <f>IF('1.1 Produksi Bersih Padi 2025'!B735="","",'1.1 Produksi Bersih Padi 2025'!B735)</f>
        <v/>
      </c>
      <c r="C735" s="31" t="str">
        <f>IF('1.1 Produksi Bersih Padi 2025'!C735="","",'1.1 Produksi Bersih Padi 2025'!C735)</f>
        <v/>
      </c>
      <c r="D735" s="1" t="str">
        <f>IF('1.1 Produksi Bersih Padi 2025'!D735="","",'1.1 Produksi Bersih Padi 2025'!D735)</f>
        <v/>
      </c>
      <c r="E735" s="1" t="str">
        <f>IF('1.1 Produksi Bersih Padi 2025'!E735="","",'1.1 Produksi Bersih Padi 2025'!E735)</f>
        <v/>
      </c>
      <c r="F735" s="28" t="str">
        <f>IF(D735="","",VLOOKUP(D735,'[1]0.1 Produksi Pangan &amp; Penduduk'!$D$5:$AE$860,28,0))</f>
        <v/>
      </c>
      <c r="G735" s="29" t="str">
        <f t="shared" si="55"/>
        <v/>
      </c>
      <c r="H735" s="29" t="str">
        <f t="shared" si="56"/>
        <v/>
      </c>
      <c r="I735" s="29" t="str">
        <f t="shared" si="57"/>
        <v/>
      </c>
      <c r="J735" s="29" t="str">
        <f t="shared" si="58"/>
        <v/>
      </c>
      <c r="K735" s="29" t="str">
        <f t="shared" si="59"/>
        <v/>
      </c>
    </row>
    <row r="736" spans="1:11" ht="15" x14ac:dyDescent="0.25">
      <c r="A736" s="1" t="str">
        <f>IF('1.1 Produksi Bersih Padi 2025'!A736="","",'1.1 Produksi Bersih Padi 2025'!A736)</f>
        <v/>
      </c>
      <c r="B736" s="31" t="str">
        <f>IF('1.1 Produksi Bersih Padi 2025'!B736="","",'1.1 Produksi Bersih Padi 2025'!B736)</f>
        <v/>
      </c>
      <c r="C736" s="31" t="str">
        <f>IF('1.1 Produksi Bersih Padi 2025'!C736="","",'1.1 Produksi Bersih Padi 2025'!C736)</f>
        <v/>
      </c>
      <c r="D736" s="1" t="str">
        <f>IF('1.1 Produksi Bersih Padi 2025'!D736="","",'1.1 Produksi Bersih Padi 2025'!D736)</f>
        <v/>
      </c>
      <c r="E736" s="1" t="str">
        <f>IF('1.1 Produksi Bersih Padi 2025'!E736="","",'1.1 Produksi Bersih Padi 2025'!E736)</f>
        <v/>
      </c>
      <c r="F736" s="28" t="str">
        <f>IF(D736="","",VLOOKUP(D736,'[1]0.1 Produksi Pangan &amp; Penduduk'!$D$5:$AE$860,28,0))</f>
        <v/>
      </c>
      <c r="G736" s="29" t="str">
        <f t="shared" si="55"/>
        <v/>
      </c>
      <c r="H736" s="29" t="str">
        <f t="shared" si="56"/>
        <v/>
      </c>
      <c r="I736" s="29" t="str">
        <f t="shared" si="57"/>
        <v/>
      </c>
      <c r="J736" s="29" t="str">
        <f t="shared" si="58"/>
        <v/>
      </c>
      <c r="K736" s="29" t="str">
        <f t="shared" si="59"/>
        <v/>
      </c>
    </row>
    <row r="737" spans="1:11" ht="15" x14ac:dyDescent="0.25">
      <c r="A737" s="1" t="str">
        <f>IF('1.1 Produksi Bersih Padi 2025'!A737="","",'1.1 Produksi Bersih Padi 2025'!A737)</f>
        <v/>
      </c>
      <c r="B737" s="31" t="str">
        <f>IF('1.1 Produksi Bersih Padi 2025'!B737="","",'1.1 Produksi Bersih Padi 2025'!B737)</f>
        <v/>
      </c>
      <c r="C737" s="31" t="str">
        <f>IF('1.1 Produksi Bersih Padi 2025'!C737="","",'1.1 Produksi Bersih Padi 2025'!C737)</f>
        <v/>
      </c>
      <c r="D737" s="1" t="str">
        <f>IF('1.1 Produksi Bersih Padi 2025'!D737="","",'1.1 Produksi Bersih Padi 2025'!D737)</f>
        <v/>
      </c>
      <c r="E737" s="1" t="str">
        <f>IF('1.1 Produksi Bersih Padi 2025'!E737="","",'1.1 Produksi Bersih Padi 2025'!E737)</f>
        <v/>
      </c>
      <c r="F737" s="28" t="str">
        <f>IF(D737="","",VLOOKUP(D737,'[1]0.1 Produksi Pangan &amp; Penduduk'!$D$5:$AE$860,28,0))</f>
        <v/>
      </c>
      <c r="G737" s="29" t="str">
        <f t="shared" si="55"/>
        <v/>
      </c>
      <c r="H737" s="29" t="str">
        <f t="shared" si="56"/>
        <v/>
      </c>
      <c r="I737" s="29" t="str">
        <f t="shared" si="57"/>
        <v/>
      </c>
      <c r="J737" s="29" t="str">
        <f t="shared" si="58"/>
        <v/>
      </c>
      <c r="K737" s="29" t="str">
        <f t="shared" si="59"/>
        <v/>
      </c>
    </row>
    <row r="738" spans="1:11" ht="15" x14ac:dyDescent="0.25">
      <c r="A738" s="1" t="str">
        <f>IF('1.1 Produksi Bersih Padi 2025'!A738="","",'1.1 Produksi Bersih Padi 2025'!A738)</f>
        <v/>
      </c>
      <c r="B738" s="31" t="str">
        <f>IF('1.1 Produksi Bersih Padi 2025'!B738="","",'1.1 Produksi Bersih Padi 2025'!B738)</f>
        <v/>
      </c>
      <c r="C738" s="31" t="str">
        <f>IF('1.1 Produksi Bersih Padi 2025'!C738="","",'1.1 Produksi Bersih Padi 2025'!C738)</f>
        <v/>
      </c>
      <c r="D738" s="1" t="str">
        <f>IF('1.1 Produksi Bersih Padi 2025'!D738="","",'1.1 Produksi Bersih Padi 2025'!D738)</f>
        <v/>
      </c>
      <c r="E738" s="1" t="str">
        <f>IF('1.1 Produksi Bersih Padi 2025'!E738="","",'1.1 Produksi Bersih Padi 2025'!E738)</f>
        <v/>
      </c>
      <c r="F738" s="28" t="str">
        <f>IF(D738="","",VLOOKUP(D738,'[1]0.1 Produksi Pangan &amp; Penduduk'!$D$5:$AE$860,28,0))</f>
        <v/>
      </c>
      <c r="G738" s="29" t="str">
        <f t="shared" si="55"/>
        <v/>
      </c>
      <c r="H738" s="29" t="str">
        <f t="shared" si="56"/>
        <v/>
      </c>
      <c r="I738" s="29" t="str">
        <f t="shared" si="57"/>
        <v/>
      </c>
      <c r="J738" s="29" t="str">
        <f t="shared" si="58"/>
        <v/>
      </c>
      <c r="K738" s="29" t="str">
        <f t="shared" si="59"/>
        <v/>
      </c>
    </row>
    <row r="739" spans="1:11" ht="15" x14ac:dyDescent="0.25">
      <c r="A739" s="1" t="str">
        <f>IF('1.1 Produksi Bersih Padi 2025'!A739="","",'1.1 Produksi Bersih Padi 2025'!A739)</f>
        <v/>
      </c>
      <c r="B739" s="31" t="str">
        <f>IF('1.1 Produksi Bersih Padi 2025'!B739="","",'1.1 Produksi Bersih Padi 2025'!B739)</f>
        <v/>
      </c>
      <c r="C739" s="31" t="str">
        <f>IF('1.1 Produksi Bersih Padi 2025'!C739="","",'1.1 Produksi Bersih Padi 2025'!C739)</f>
        <v/>
      </c>
      <c r="D739" s="1" t="str">
        <f>IF('1.1 Produksi Bersih Padi 2025'!D739="","",'1.1 Produksi Bersih Padi 2025'!D739)</f>
        <v/>
      </c>
      <c r="E739" s="1" t="str">
        <f>IF('1.1 Produksi Bersih Padi 2025'!E739="","",'1.1 Produksi Bersih Padi 2025'!E739)</f>
        <v/>
      </c>
      <c r="F739" s="28" t="str">
        <f>IF(D739="","",VLOOKUP(D739,'[1]0.1 Produksi Pangan &amp; Penduduk'!$D$5:$AE$860,28,0))</f>
        <v/>
      </c>
      <c r="G739" s="29" t="str">
        <f t="shared" si="55"/>
        <v/>
      </c>
      <c r="H739" s="29" t="str">
        <f t="shared" si="56"/>
        <v/>
      </c>
      <c r="I739" s="29" t="str">
        <f t="shared" si="57"/>
        <v/>
      </c>
      <c r="J739" s="29" t="str">
        <f t="shared" si="58"/>
        <v/>
      </c>
      <c r="K739" s="29" t="str">
        <f t="shared" si="59"/>
        <v/>
      </c>
    </row>
    <row r="740" spans="1:11" ht="15" x14ac:dyDescent="0.25">
      <c r="A740" s="1" t="str">
        <f>IF('1.1 Produksi Bersih Padi 2025'!A740="","",'1.1 Produksi Bersih Padi 2025'!A740)</f>
        <v/>
      </c>
      <c r="B740" s="31" t="str">
        <f>IF('1.1 Produksi Bersih Padi 2025'!B740="","",'1.1 Produksi Bersih Padi 2025'!B740)</f>
        <v/>
      </c>
      <c r="C740" s="31" t="str">
        <f>IF('1.1 Produksi Bersih Padi 2025'!C740="","",'1.1 Produksi Bersih Padi 2025'!C740)</f>
        <v/>
      </c>
      <c r="D740" s="1" t="str">
        <f>IF('1.1 Produksi Bersih Padi 2025'!D740="","",'1.1 Produksi Bersih Padi 2025'!D740)</f>
        <v/>
      </c>
      <c r="E740" s="1" t="str">
        <f>IF('1.1 Produksi Bersih Padi 2025'!E740="","",'1.1 Produksi Bersih Padi 2025'!E740)</f>
        <v/>
      </c>
      <c r="F740" s="28" t="str">
        <f>IF(D740="","",VLOOKUP(D740,'[1]0.1 Produksi Pangan &amp; Penduduk'!$D$5:$AE$860,28,0))</f>
        <v/>
      </c>
      <c r="G740" s="29" t="str">
        <f t="shared" si="55"/>
        <v/>
      </c>
      <c r="H740" s="29" t="str">
        <f t="shared" si="56"/>
        <v/>
      </c>
      <c r="I740" s="29" t="str">
        <f t="shared" si="57"/>
        <v/>
      </c>
      <c r="J740" s="29" t="str">
        <f t="shared" si="58"/>
        <v/>
      </c>
      <c r="K740" s="29" t="str">
        <f t="shared" si="59"/>
        <v/>
      </c>
    </row>
    <row r="741" spans="1:11" ht="15" x14ac:dyDescent="0.25">
      <c r="A741" s="1" t="str">
        <f>IF('1.1 Produksi Bersih Padi 2025'!A741="","",'1.1 Produksi Bersih Padi 2025'!A741)</f>
        <v/>
      </c>
      <c r="B741" s="31" t="str">
        <f>IF('1.1 Produksi Bersih Padi 2025'!B741="","",'1.1 Produksi Bersih Padi 2025'!B741)</f>
        <v/>
      </c>
      <c r="C741" s="31" t="str">
        <f>IF('1.1 Produksi Bersih Padi 2025'!C741="","",'1.1 Produksi Bersih Padi 2025'!C741)</f>
        <v/>
      </c>
      <c r="D741" s="1" t="str">
        <f>IF('1.1 Produksi Bersih Padi 2025'!D741="","",'1.1 Produksi Bersih Padi 2025'!D741)</f>
        <v/>
      </c>
      <c r="E741" s="1" t="str">
        <f>IF('1.1 Produksi Bersih Padi 2025'!E741="","",'1.1 Produksi Bersih Padi 2025'!E741)</f>
        <v/>
      </c>
      <c r="F741" s="28" t="str">
        <f>IF(D741="","",VLOOKUP(D741,'[1]0.1 Produksi Pangan &amp; Penduduk'!$D$5:$AE$860,28,0))</f>
        <v/>
      </c>
      <c r="G741" s="29" t="str">
        <f t="shared" si="55"/>
        <v/>
      </c>
      <c r="H741" s="29" t="str">
        <f t="shared" si="56"/>
        <v/>
      </c>
      <c r="I741" s="29" t="str">
        <f t="shared" si="57"/>
        <v/>
      </c>
      <c r="J741" s="29" t="str">
        <f t="shared" si="58"/>
        <v/>
      </c>
      <c r="K741" s="29" t="str">
        <f t="shared" si="59"/>
        <v/>
      </c>
    </row>
    <row r="742" spans="1:11" ht="15" x14ac:dyDescent="0.25">
      <c r="A742" s="1" t="str">
        <f>IF('1.1 Produksi Bersih Padi 2025'!A742="","",'1.1 Produksi Bersih Padi 2025'!A742)</f>
        <v/>
      </c>
      <c r="B742" s="31" t="str">
        <f>IF('1.1 Produksi Bersih Padi 2025'!B742="","",'1.1 Produksi Bersih Padi 2025'!B742)</f>
        <v/>
      </c>
      <c r="C742" s="31" t="str">
        <f>IF('1.1 Produksi Bersih Padi 2025'!C742="","",'1.1 Produksi Bersih Padi 2025'!C742)</f>
        <v/>
      </c>
      <c r="D742" s="1" t="str">
        <f>IF('1.1 Produksi Bersih Padi 2025'!D742="","",'1.1 Produksi Bersih Padi 2025'!D742)</f>
        <v/>
      </c>
      <c r="E742" s="1" t="str">
        <f>IF('1.1 Produksi Bersih Padi 2025'!E742="","",'1.1 Produksi Bersih Padi 2025'!E742)</f>
        <v/>
      </c>
      <c r="F742" s="28" t="str">
        <f>IF(D742="","",VLOOKUP(D742,'[1]0.1 Produksi Pangan &amp; Penduduk'!$D$5:$AE$860,28,0))</f>
        <v/>
      </c>
      <c r="G742" s="29" t="str">
        <f t="shared" si="55"/>
        <v/>
      </c>
      <c r="H742" s="29" t="str">
        <f t="shared" si="56"/>
        <v/>
      </c>
      <c r="I742" s="29" t="str">
        <f t="shared" si="57"/>
        <v/>
      </c>
      <c r="J742" s="29" t="str">
        <f t="shared" si="58"/>
        <v/>
      </c>
      <c r="K742" s="29" t="str">
        <f t="shared" si="59"/>
        <v/>
      </c>
    </row>
    <row r="743" spans="1:11" ht="15" x14ac:dyDescent="0.25">
      <c r="A743" s="1" t="str">
        <f>IF('1.1 Produksi Bersih Padi 2025'!A743="","",'1.1 Produksi Bersih Padi 2025'!A743)</f>
        <v/>
      </c>
      <c r="B743" s="31" t="str">
        <f>IF('1.1 Produksi Bersih Padi 2025'!B743="","",'1.1 Produksi Bersih Padi 2025'!B743)</f>
        <v/>
      </c>
      <c r="C743" s="31" t="str">
        <f>IF('1.1 Produksi Bersih Padi 2025'!C743="","",'1.1 Produksi Bersih Padi 2025'!C743)</f>
        <v/>
      </c>
      <c r="D743" s="1" t="str">
        <f>IF('1.1 Produksi Bersih Padi 2025'!D743="","",'1.1 Produksi Bersih Padi 2025'!D743)</f>
        <v/>
      </c>
      <c r="E743" s="1" t="str">
        <f>IF('1.1 Produksi Bersih Padi 2025'!E743="","",'1.1 Produksi Bersih Padi 2025'!E743)</f>
        <v/>
      </c>
      <c r="F743" s="28" t="str">
        <f>IF(D743="","",VLOOKUP(D743,'[1]0.1 Produksi Pangan &amp; Penduduk'!$D$5:$AE$860,28,0))</f>
        <v/>
      </c>
      <c r="G743" s="29" t="str">
        <f t="shared" si="55"/>
        <v/>
      </c>
      <c r="H743" s="29" t="str">
        <f t="shared" si="56"/>
        <v/>
      </c>
      <c r="I743" s="29" t="str">
        <f t="shared" si="57"/>
        <v/>
      </c>
      <c r="J743" s="29" t="str">
        <f t="shared" si="58"/>
        <v/>
      </c>
      <c r="K743" s="29" t="str">
        <f t="shared" si="59"/>
        <v/>
      </c>
    </row>
    <row r="744" spans="1:11" ht="15" x14ac:dyDescent="0.25">
      <c r="A744" s="1" t="str">
        <f>IF('1.1 Produksi Bersih Padi 2025'!A744="","",'1.1 Produksi Bersih Padi 2025'!A744)</f>
        <v/>
      </c>
      <c r="B744" s="31" t="str">
        <f>IF('1.1 Produksi Bersih Padi 2025'!B744="","",'1.1 Produksi Bersih Padi 2025'!B744)</f>
        <v/>
      </c>
      <c r="C744" s="31" t="str">
        <f>IF('1.1 Produksi Bersih Padi 2025'!C744="","",'1.1 Produksi Bersih Padi 2025'!C744)</f>
        <v/>
      </c>
      <c r="D744" s="1" t="str">
        <f>IF('1.1 Produksi Bersih Padi 2025'!D744="","",'1.1 Produksi Bersih Padi 2025'!D744)</f>
        <v/>
      </c>
      <c r="E744" s="1" t="str">
        <f>IF('1.1 Produksi Bersih Padi 2025'!E744="","",'1.1 Produksi Bersih Padi 2025'!E744)</f>
        <v/>
      </c>
      <c r="F744" s="28" t="str">
        <f>IF(D744="","",VLOOKUP(D744,'[1]0.1 Produksi Pangan &amp; Penduduk'!$D$5:$AE$860,28,0))</f>
        <v/>
      </c>
      <c r="G744" s="29" t="str">
        <f t="shared" si="55"/>
        <v/>
      </c>
      <c r="H744" s="29" t="str">
        <f t="shared" si="56"/>
        <v/>
      </c>
      <c r="I744" s="29" t="str">
        <f t="shared" si="57"/>
        <v/>
      </c>
      <c r="J744" s="29" t="str">
        <f t="shared" si="58"/>
        <v/>
      </c>
      <c r="K744" s="29" t="str">
        <f t="shared" si="59"/>
        <v/>
      </c>
    </row>
    <row r="745" spans="1:11" ht="15" x14ac:dyDescent="0.25">
      <c r="A745" s="1" t="str">
        <f>IF('1.1 Produksi Bersih Padi 2025'!A745="","",'1.1 Produksi Bersih Padi 2025'!A745)</f>
        <v/>
      </c>
      <c r="B745" s="31" t="str">
        <f>IF('1.1 Produksi Bersih Padi 2025'!B745="","",'1.1 Produksi Bersih Padi 2025'!B745)</f>
        <v/>
      </c>
      <c r="C745" s="31" t="str">
        <f>IF('1.1 Produksi Bersih Padi 2025'!C745="","",'1.1 Produksi Bersih Padi 2025'!C745)</f>
        <v/>
      </c>
      <c r="D745" s="1" t="str">
        <f>IF('1.1 Produksi Bersih Padi 2025'!D745="","",'1.1 Produksi Bersih Padi 2025'!D745)</f>
        <v/>
      </c>
      <c r="E745" s="1" t="str">
        <f>IF('1.1 Produksi Bersih Padi 2025'!E745="","",'1.1 Produksi Bersih Padi 2025'!E745)</f>
        <v/>
      </c>
      <c r="F745" s="28" t="str">
        <f>IF(D745="","",VLOOKUP(D745,'[1]0.1 Produksi Pangan &amp; Penduduk'!$D$5:$AE$860,28,0))</f>
        <v/>
      </c>
      <c r="G745" s="29" t="str">
        <f t="shared" si="55"/>
        <v/>
      </c>
      <c r="H745" s="29" t="str">
        <f t="shared" si="56"/>
        <v/>
      </c>
      <c r="I745" s="29" t="str">
        <f t="shared" si="57"/>
        <v/>
      </c>
      <c r="J745" s="29" t="str">
        <f t="shared" si="58"/>
        <v/>
      </c>
      <c r="K745" s="29" t="str">
        <f t="shared" si="59"/>
        <v/>
      </c>
    </row>
    <row r="746" spans="1:11" ht="15" x14ac:dyDescent="0.25">
      <c r="A746" s="1" t="str">
        <f>IF('1.1 Produksi Bersih Padi 2025'!A746="","",'1.1 Produksi Bersih Padi 2025'!A746)</f>
        <v/>
      </c>
      <c r="B746" s="31" t="str">
        <f>IF('1.1 Produksi Bersih Padi 2025'!B746="","",'1.1 Produksi Bersih Padi 2025'!B746)</f>
        <v/>
      </c>
      <c r="C746" s="31" t="str">
        <f>IF('1.1 Produksi Bersih Padi 2025'!C746="","",'1.1 Produksi Bersih Padi 2025'!C746)</f>
        <v/>
      </c>
      <c r="D746" s="1" t="str">
        <f>IF('1.1 Produksi Bersih Padi 2025'!D746="","",'1.1 Produksi Bersih Padi 2025'!D746)</f>
        <v/>
      </c>
      <c r="E746" s="1" t="str">
        <f>IF('1.1 Produksi Bersih Padi 2025'!E746="","",'1.1 Produksi Bersih Padi 2025'!E746)</f>
        <v/>
      </c>
      <c r="F746" s="28" t="str">
        <f>IF(D746="","",VLOOKUP(D746,'[1]0.1 Produksi Pangan &amp; Penduduk'!$D$5:$AE$860,28,0))</f>
        <v/>
      </c>
      <c r="G746" s="29" t="str">
        <f t="shared" si="55"/>
        <v/>
      </c>
      <c r="H746" s="29" t="str">
        <f t="shared" si="56"/>
        <v/>
      </c>
      <c r="I746" s="29" t="str">
        <f t="shared" si="57"/>
        <v/>
      </c>
      <c r="J746" s="29" t="str">
        <f t="shared" si="58"/>
        <v/>
      </c>
      <c r="K746" s="29" t="str">
        <f t="shared" si="59"/>
        <v/>
      </c>
    </row>
    <row r="747" spans="1:11" ht="15" x14ac:dyDescent="0.25">
      <c r="A747" s="1" t="str">
        <f>IF('1.1 Produksi Bersih Padi 2025'!A747="","",'1.1 Produksi Bersih Padi 2025'!A747)</f>
        <v/>
      </c>
      <c r="B747" s="31" t="str">
        <f>IF('1.1 Produksi Bersih Padi 2025'!B747="","",'1.1 Produksi Bersih Padi 2025'!B747)</f>
        <v/>
      </c>
      <c r="C747" s="31" t="str">
        <f>IF('1.1 Produksi Bersih Padi 2025'!C747="","",'1.1 Produksi Bersih Padi 2025'!C747)</f>
        <v/>
      </c>
      <c r="D747" s="1" t="str">
        <f>IF('1.1 Produksi Bersih Padi 2025'!D747="","",'1.1 Produksi Bersih Padi 2025'!D747)</f>
        <v/>
      </c>
      <c r="E747" s="1" t="str">
        <f>IF('1.1 Produksi Bersih Padi 2025'!E747="","",'1.1 Produksi Bersih Padi 2025'!E747)</f>
        <v/>
      </c>
      <c r="F747" s="28" t="str">
        <f>IF(D747="","",VLOOKUP(D747,'[1]0.1 Produksi Pangan &amp; Penduduk'!$D$5:$AE$860,28,0))</f>
        <v/>
      </c>
      <c r="G747" s="29" t="str">
        <f t="shared" si="55"/>
        <v/>
      </c>
      <c r="H747" s="29" t="str">
        <f t="shared" si="56"/>
        <v/>
      </c>
      <c r="I747" s="29" t="str">
        <f t="shared" si="57"/>
        <v/>
      </c>
      <c r="J747" s="29" t="str">
        <f t="shared" si="58"/>
        <v/>
      </c>
      <c r="K747" s="29" t="str">
        <f t="shared" si="59"/>
        <v/>
      </c>
    </row>
    <row r="748" spans="1:11" ht="15" x14ac:dyDescent="0.25">
      <c r="A748" s="1" t="str">
        <f>IF('1.1 Produksi Bersih Padi 2025'!A748="","",'1.1 Produksi Bersih Padi 2025'!A748)</f>
        <v/>
      </c>
      <c r="B748" s="31" t="str">
        <f>IF('1.1 Produksi Bersih Padi 2025'!B748="","",'1.1 Produksi Bersih Padi 2025'!B748)</f>
        <v/>
      </c>
      <c r="C748" s="31" t="str">
        <f>IF('1.1 Produksi Bersih Padi 2025'!C748="","",'1.1 Produksi Bersih Padi 2025'!C748)</f>
        <v/>
      </c>
      <c r="D748" s="1" t="str">
        <f>IF('1.1 Produksi Bersih Padi 2025'!D748="","",'1.1 Produksi Bersih Padi 2025'!D748)</f>
        <v/>
      </c>
      <c r="E748" s="1" t="str">
        <f>IF('1.1 Produksi Bersih Padi 2025'!E748="","",'1.1 Produksi Bersih Padi 2025'!E748)</f>
        <v/>
      </c>
      <c r="F748" s="28" t="str">
        <f>IF(D748="","",VLOOKUP(D748,'[1]0.1 Produksi Pangan &amp; Penduduk'!$D$5:$AE$860,28,0))</f>
        <v/>
      </c>
      <c r="G748" s="29" t="str">
        <f t="shared" si="55"/>
        <v/>
      </c>
      <c r="H748" s="29" t="str">
        <f t="shared" si="56"/>
        <v/>
      </c>
      <c r="I748" s="29" t="str">
        <f t="shared" si="57"/>
        <v/>
      </c>
      <c r="J748" s="29" t="str">
        <f t="shared" si="58"/>
        <v/>
      </c>
      <c r="K748" s="29" t="str">
        <f t="shared" si="59"/>
        <v/>
      </c>
    </row>
    <row r="749" spans="1:11" ht="15" x14ac:dyDescent="0.25">
      <c r="A749" s="1" t="str">
        <f>IF('1.1 Produksi Bersih Padi 2025'!A749="","",'1.1 Produksi Bersih Padi 2025'!A749)</f>
        <v/>
      </c>
      <c r="B749" s="31" t="str">
        <f>IF('1.1 Produksi Bersih Padi 2025'!B749="","",'1.1 Produksi Bersih Padi 2025'!B749)</f>
        <v/>
      </c>
      <c r="C749" s="31" t="str">
        <f>IF('1.1 Produksi Bersih Padi 2025'!C749="","",'1.1 Produksi Bersih Padi 2025'!C749)</f>
        <v/>
      </c>
      <c r="D749" s="1" t="str">
        <f>IF('1.1 Produksi Bersih Padi 2025'!D749="","",'1.1 Produksi Bersih Padi 2025'!D749)</f>
        <v/>
      </c>
      <c r="E749" s="1" t="str">
        <f>IF('1.1 Produksi Bersih Padi 2025'!E749="","",'1.1 Produksi Bersih Padi 2025'!E749)</f>
        <v/>
      </c>
      <c r="F749" s="28" t="str">
        <f>IF(D749="","",VLOOKUP(D749,'[1]0.1 Produksi Pangan &amp; Penduduk'!$D$5:$AE$860,28,0))</f>
        <v/>
      </c>
      <c r="G749" s="29" t="str">
        <f t="shared" si="55"/>
        <v/>
      </c>
      <c r="H749" s="29" t="str">
        <f t="shared" si="56"/>
        <v/>
      </c>
      <c r="I749" s="29" t="str">
        <f t="shared" si="57"/>
        <v/>
      </c>
      <c r="J749" s="29" t="str">
        <f t="shared" si="58"/>
        <v/>
      </c>
      <c r="K749" s="29" t="str">
        <f t="shared" si="59"/>
        <v/>
      </c>
    </row>
    <row r="750" spans="1:11" ht="15" x14ac:dyDescent="0.25">
      <c r="A750" s="1" t="str">
        <f>IF('1.1 Produksi Bersih Padi 2025'!A750="","",'1.1 Produksi Bersih Padi 2025'!A750)</f>
        <v/>
      </c>
      <c r="B750" s="31" t="str">
        <f>IF('1.1 Produksi Bersih Padi 2025'!B750="","",'1.1 Produksi Bersih Padi 2025'!B750)</f>
        <v/>
      </c>
      <c r="C750" s="31" t="str">
        <f>IF('1.1 Produksi Bersih Padi 2025'!C750="","",'1.1 Produksi Bersih Padi 2025'!C750)</f>
        <v/>
      </c>
      <c r="D750" s="1" t="str">
        <f>IF('1.1 Produksi Bersih Padi 2025'!D750="","",'1.1 Produksi Bersih Padi 2025'!D750)</f>
        <v/>
      </c>
      <c r="E750" s="1" t="str">
        <f>IF('1.1 Produksi Bersih Padi 2025'!E750="","",'1.1 Produksi Bersih Padi 2025'!E750)</f>
        <v/>
      </c>
      <c r="F750" s="28" t="str">
        <f>IF(D750="","",VLOOKUP(D750,'[1]0.1 Produksi Pangan &amp; Penduduk'!$D$5:$AE$860,28,0))</f>
        <v/>
      </c>
      <c r="G750" s="29" t="str">
        <f t="shared" si="55"/>
        <v/>
      </c>
      <c r="H750" s="29" t="str">
        <f t="shared" si="56"/>
        <v/>
      </c>
      <c r="I750" s="29" t="str">
        <f t="shared" si="57"/>
        <v/>
      </c>
      <c r="J750" s="29" t="str">
        <f t="shared" si="58"/>
        <v/>
      </c>
      <c r="K750" s="29" t="str">
        <f t="shared" si="59"/>
        <v/>
      </c>
    </row>
    <row r="751" spans="1:11" ht="15" x14ac:dyDescent="0.25">
      <c r="A751" s="1" t="str">
        <f>IF('1.1 Produksi Bersih Padi 2025'!A751="","",'1.1 Produksi Bersih Padi 2025'!A751)</f>
        <v/>
      </c>
      <c r="B751" s="31" t="str">
        <f>IF('1.1 Produksi Bersih Padi 2025'!B751="","",'1.1 Produksi Bersih Padi 2025'!B751)</f>
        <v/>
      </c>
      <c r="C751" s="31" t="str">
        <f>IF('1.1 Produksi Bersih Padi 2025'!C751="","",'1.1 Produksi Bersih Padi 2025'!C751)</f>
        <v/>
      </c>
      <c r="D751" s="1" t="str">
        <f>IF('1.1 Produksi Bersih Padi 2025'!D751="","",'1.1 Produksi Bersih Padi 2025'!D751)</f>
        <v/>
      </c>
      <c r="E751" s="1" t="str">
        <f>IF('1.1 Produksi Bersih Padi 2025'!E751="","",'1.1 Produksi Bersih Padi 2025'!E751)</f>
        <v/>
      </c>
      <c r="F751" s="28" t="str">
        <f>IF(D751="","",VLOOKUP(D751,'[1]0.1 Produksi Pangan &amp; Penduduk'!$D$5:$AE$860,28,0))</f>
        <v/>
      </c>
      <c r="G751" s="29" t="str">
        <f t="shared" si="55"/>
        <v/>
      </c>
      <c r="H751" s="29" t="str">
        <f t="shared" si="56"/>
        <v/>
      </c>
      <c r="I751" s="29" t="str">
        <f t="shared" si="57"/>
        <v/>
      </c>
      <c r="J751" s="29" t="str">
        <f t="shared" si="58"/>
        <v/>
      </c>
      <c r="K751" s="29" t="str">
        <f t="shared" si="59"/>
        <v/>
      </c>
    </row>
    <row r="752" spans="1:11" ht="15" x14ac:dyDescent="0.25">
      <c r="A752" s="1" t="str">
        <f>IF('1.1 Produksi Bersih Padi 2025'!A752="","",'1.1 Produksi Bersih Padi 2025'!A752)</f>
        <v/>
      </c>
      <c r="B752" s="31" t="str">
        <f>IF('1.1 Produksi Bersih Padi 2025'!B752="","",'1.1 Produksi Bersih Padi 2025'!B752)</f>
        <v/>
      </c>
      <c r="C752" s="31" t="str">
        <f>IF('1.1 Produksi Bersih Padi 2025'!C752="","",'1.1 Produksi Bersih Padi 2025'!C752)</f>
        <v/>
      </c>
      <c r="D752" s="1" t="str">
        <f>IF('1.1 Produksi Bersih Padi 2025'!D752="","",'1.1 Produksi Bersih Padi 2025'!D752)</f>
        <v/>
      </c>
      <c r="E752" s="1" t="str">
        <f>IF('1.1 Produksi Bersih Padi 2025'!E752="","",'1.1 Produksi Bersih Padi 2025'!E752)</f>
        <v/>
      </c>
      <c r="F752" s="28" t="str">
        <f>IF(D752="","",VLOOKUP(D752,'[1]0.1 Produksi Pangan &amp; Penduduk'!$D$5:$AE$860,28,0))</f>
        <v/>
      </c>
      <c r="G752" s="29" t="str">
        <f t="shared" si="55"/>
        <v/>
      </c>
      <c r="H752" s="29" t="str">
        <f t="shared" si="56"/>
        <v/>
      </c>
      <c r="I752" s="29" t="str">
        <f t="shared" si="57"/>
        <v/>
      </c>
      <c r="J752" s="29" t="str">
        <f t="shared" si="58"/>
        <v/>
      </c>
      <c r="K752" s="29" t="str">
        <f t="shared" si="59"/>
        <v/>
      </c>
    </row>
    <row r="753" spans="1:11" ht="15" x14ac:dyDescent="0.25">
      <c r="A753" s="1" t="str">
        <f>IF('1.1 Produksi Bersih Padi 2025'!A753="","",'1.1 Produksi Bersih Padi 2025'!A753)</f>
        <v/>
      </c>
      <c r="B753" s="31" t="str">
        <f>IF('1.1 Produksi Bersih Padi 2025'!B753="","",'1.1 Produksi Bersih Padi 2025'!B753)</f>
        <v/>
      </c>
      <c r="C753" s="31" t="str">
        <f>IF('1.1 Produksi Bersih Padi 2025'!C753="","",'1.1 Produksi Bersih Padi 2025'!C753)</f>
        <v/>
      </c>
      <c r="D753" s="1" t="str">
        <f>IF('1.1 Produksi Bersih Padi 2025'!D753="","",'1.1 Produksi Bersih Padi 2025'!D753)</f>
        <v/>
      </c>
      <c r="E753" s="1" t="str">
        <f>IF('1.1 Produksi Bersih Padi 2025'!E753="","",'1.1 Produksi Bersih Padi 2025'!E753)</f>
        <v/>
      </c>
      <c r="F753" s="28" t="str">
        <f>IF(D753="","",VLOOKUP(D753,'[1]0.1 Produksi Pangan &amp; Penduduk'!$D$5:$AE$860,28,0))</f>
        <v/>
      </c>
      <c r="G753" s="29" t="str">
        <f t="shared" si="55"/>
        <v/>
      </c>
      <c r="H753" s="29" t="str">
        <f t="shared" si="56"/>
        <v/>
      </c>
      <c r="I753" s="29" t="str">
        <f t="shared" si="57"/>
        <v/>
      </c>
      <c r="J753" s="29" t="str">
        <f t="shared" si="58"/>
        <v/>
      </c>
      <c r="K753" s="29" t="str">
        <f t="shared" si="59"/>
        <v/>
      </c>
    </row>
    <row r="754" spans="1:11" ht="15" x14ac:dyDescent="0.25">
      <c r="A754" s="1" t="str">
        <f>IF('1.1 Produksi Bersih Padi 2025'!A754="","",'1.1 Produksi Bersih Padi 2025'!A754)</f>
        <v/>
      </c>
      <c r="B754" s="31" t="str">
        <f>IF('1.1 Produksi Bersih Padi 2025'!B754="","",'1.1 Produksi Bersih Padi 2025'!B754)</f>
        <v/>
      </c>
      <c r="C754" s="31" t="str">
        <f>IF('1.1 Produksi Bersih Padi 2025'!C754="","",'1.1 Produksi Bersih Padi 2025'!C754)</f>
        <v/>
      </c>
      <c r="D754" s="1" t="str">
        <f>IF('1.1 Produksi Bersih Padi 2025'!D754="","",'1.1 Produksi Bersih Padi 2025'!D754)</f>
        <v/>
      </c>
      <c r="E754" s="1" t="str">
        <f>IF('1.1 Produksi Bersih Padi 2025'!E754="","",'1.1 Produksi Bersih Padi 2025'!E754)</f>
        <v/>
      </c>
      <c r="F754" s="28" t="str">
        <f>IF(D754="","",VLOOKUP(D754,'[1]0.1 Produksi Pangan &amp; Penduduk'!$D$5:$AE$860,28,0))</f>
        <v/>
      </c>
      <c r="G754" s="29" t="str">
        <f t="shared" si="55"/>
        <v/>
      </c>
      <c r="H754" s="29" t="str">
        <f t="shared" si="56"/>
        <v/>
      </c>
      <c r="I754" s="29" t="str">
        <f t="shared" si="57"/>
        <v/>
      </c>
      <c r="J754" s="29" t="str">
        <f t="shared" si="58"/>
        <v/>
      </c>
      <c r="K754" s="29" t="str">
        <f t="shared" si="59"/>
        <v/>
      </c>
    </row>
    <row r="755" spans="1:11" ht="15" x14ac:dyDescent="0.25">
      <c r="A755" s="1" t="str">
        <f>IF('1.1 Produksi Bersih Padi 2025'!A755="","",'1.1 Produksi Bersih Padi 2025'!A755)</f>
        <v/>
      </c>
      <c r="B755" s="31" t="str">
        <f>IF('1.1 Produksi Bersih Padi 2025'!B755="","",'1.1 Produksi Bersih Padi 2025'!B755)</f>
        <v/>
      </c>
      <c r="C755" s="31" t="str">
        <f>IF('1.1 Produksi Bersih Padi 2025'!C755="","",'1.1 Produksi Bersih Padi 2025'!C755)</f>
        <v/>
      </c>
      <c r="D755" s="1" t="str">
        <f>IF('1.1 Produksi Bersih Padi 2025'!D755="","",'1.1 Produksi Bersih Padi 2025'!D755)</f>
        <v/>
      </c>
      <c r="E755" s="1" t="str">
        <f>IF('1.1 Produksi Bersih Padi 2025'!E755="","",'1.1 Produksi Bersih Padi 2025'!E755)</f>
        <v/>
      </c>
      <c r="F755" s="28" t="str">
        <f>IF(D755="","",VLOOKUP(D755,'[1]0.1 Produksi Pangan &amp; Penduduk'!$D$5:$AE$860,28,0))</f>
        <v/>
      </c>
      <c r="G755" s="29" t="str">
        <f t="shared" si="55"/>
        <v/>
      </c>
      <c r="H755" s="29" t="str">
        <f t="shared" si="56"/>
        <v/>
      </c>
      <c r="I755" s="29" t="str">
        <f t="shared" si="57"/>
        <v/>
      </c>
      <c r="J755" s="29" t="str">
        <f t="shared" si="58"/>
        <v/>
      </c>
      <c r="K755" s="29" t="str">
        <f t="shared" si="59"/>
        <v/>
      </c>
    </row>
    <row r="756" spans="1:11" ht="15" x14ac:dyDescent="0.25">
      <c r="A756" s="1" t="str">
        <f>IF('1.1 Produksi Bersih Padi 2025'!A756="","",'1.1 Produksi Bersih Padi 2025'!A756)</f>
        <v/>
      </c>
      <c r="B756" s="31" t="str">
        <f>IF('1.1 Produksi Bersih Padi 2025'!B756="","",'1.1 Produksi Bersih Padi 2025'!B756)</f>
        <v/>
      </c>
      <c r="C756" s="31" t="str">
        <f>IF('1.1 Produksi Bersih Padi 2025'!C756="","",'1.1 Produksi Bersih Padi 2025'!C756)</f>
        <v/>
      </c>
      <c r="D756" s="1" t="str">
        <f>IF('1.1 Produksi Bersih Padi 2025'!D756="","",'1.1 Produksi Bersih Padi 2025'!D756)</f>
        <v/>
      </c>
      <c r="E756" s="1" t="str">
        <f>IF('1.1 Produksi Bersih Padi 2025'!E756="","",'1.1 Produksi Bersih Padi 2025'!E756)</f>
        <v/>
      </c>
      <c r="F756" s="28" t="str">
        <f>IF(D756="","",VLOOKUP(D756,'[1]0.1 Produksi Pangan &amp; Penduduk'!$D$5:$AE$860,28,0))</f>
        <v/>
      </c>
      <c r="G756" s="29" t="str">
        <f t="shared" si="55"/>
        <v/>
      </c>
      <c r="H756" s="29" t="str">
        <f t="shared" si="56"/>
        <v/>
      </c>
      <c r="I756" s="29" t="str">
        <f t="shared" si="57"/>
        <v/>
      </c>
      <c r="J756" s="29" t="str">
        <f t="shared" si="58"/>
        <v/>
      </c>
      <c r="K756" s="29" t="str">
        <f t="shared" si="59"/>
        <v/>
      </c>
    </row>
    <row r="757" spans="1:11" ht="15" x14ac:dyDescent="0.25">
      <c r="A757" s="1" t="str">
        <f>IF('1.1 Produksi Bersih Padi 2025'!A757="","",'1.1 Produksi Bersih Padi 2025'!A757)</f>
        <v/>
      </c>
      <c r="B757" s="31" t="str">
        <f>IF('1.1 Produksi Bersih Padi 2025'!B757="","",'1.1 Produksi Bersih Padi 2025'!B757)</f>
        <v/>
      </c>
      <c r="C757" s="31" t="str">
        <f>IF('1.1 Produksi Bersih Padi 2025'!C757="","",'1.1 Produksi Bersih Padi 2025'!C757)</f>
        <v/>
      </c>
      <c r="D757" s="1" t="str">
        <f>IF('1.1 Produksi Bersih Padi 2025'!D757="","",'1.1 Produksi Bersih Padi 2025'!D757)</f>
        <v/>
      </c>
      <c r="E757" s="1" t="str">
        <f>IF('1.1 Produksi Bersih Padi 2025'!E757="","",'1.1 Produksi Bersih Padi 2025'!E757)</f>
        <v/>
      </c>
      <c r="F757" s="28" t="str">
        <f>IF(D757="","",VLOOKUP(D757,'[1]0.1 Produksi Pangan &amp; Penduduk'!$D$5:$AE$860,28,0))</f>
        <v/>
      </c>
      <c r="G757" s="29" t="str">
        <f t="shared" si="55"/>
        <v/>
      </c>
      <c r="H757" s="29" t="str">
        <f t="shared" si="56"/>
        <v/>
      </c>
      <c r="I757" s="29" t="str">
        <f t="shared" si="57"/>
        <v/>
      </c>
      <c r="J757" s="29" t="str">
        <f t="shared" si="58"/>
        <v/>
      </c>
      <c r="K757" s="29" t="str">
        <f t="shared" si="59"/>
        <v/>
      </c>
    </row>
    <row r="758" spans="1:11" ht="15" x14ac:dyDescent="0.25">
      <c r="A758" s="1" t="str">
        <f>IF('1.1 Produksi Bersih Padi 2025'!A758="","",'1.1 Produksi Bersih Padi 2025'!A758)</f>
        <v/>
      </c>
      <c r="B758" s="31" t="str">
        <f>IF('1.1 Produksi Bersih Padi 2025'!B758="","",'1.1 Produksi Bersih Padi 2025'!B758)</f>
        <v/>
      </c>
      <c r="C758" s="31" t="str">
        <f>IF('1.1 Produksi Bersih Padi 2025'!C758="","",'1.1 Produksi Bersih Padi 2025'!C758)</f>
        <v/>
      </c>
      <c r="D758" s="1" t="str">
        <f>IF('1.1 Produksi Bersih Padi 2025'!D758="","",'1.1 Produksi Bersih Padi 2025'!D758)</f>
        <v/>
      </c>
      <c r="E758" s="1" t="str">
        <f>IF('1.1 Produksi Bersih Padi 2025'!E758="","",'1.1 Produksi Bersih Padi 2025'!E758)</f>
        <v/>
      </c>
      <c r="F758" s="28" t="str">
        <f>IF(D758="","",VLOOKUP(D758,'[1]0.1 Produksi Pangan &amp; Penduduk'!$D$5:$AE$860,28,0))</f>
        <v/>
      </c>
      <c r="G758" s="29" t="str">
        <f t="shared" si="55"/>
        <v/>
      </c>
      <c r="H758" s="29" t="str">
        <f t="shared" si="56"/>
        <v/>
      </c>
      <c r="I758" s="29" t="str">
        <f t="shared" si="57"/>
        <v/>
      </c>
      <c r="J758" s="29" t="str">
        <f t="shared" si="58"/>
        <v/>
      </c>
      <c r="K758" s="29" t="str">
        <f t="shared" si="59"/>
        <v/>
      </c>
    </row>
    <row r="759" spans="1:11" ht="15" x14ac:dyDescent="0.25">
      <c r="A759" s="1" t="str">
        <f>IF('1.1 Produksi Bersih Padi 2025'!A759="","",'1.1 Produksi Bersih Padi 2025'!A759)</f>
        <v/>
      </c>
      <c r="B759" s="31" t="str">
        <f>IF('1.1 Produksi Bersih Padi 2025'!B759="","",'1.1 Produksi Bersih Padi 2025'!B759)</f>
        <v/>
      </c>
      <c r="C759" s="31" t="str">
        <f>IF('1.1 Produksi Bersih Padi 2025'!C759="","",'1.1 Produksi Bersih Padi 2025'!C759)</f>
        <v/>
      </c>
      <c r="D759" s="1" t="str">
        <f>IF('1.1 Produksi Bersih Padi 2025'!D759="","",'1.1 Produksi Bersih Padi 2025'!D759)</f>
        <v/>
      </c>
      <c r="E759" s="1" t="str">
        <f>IF('1.1 Produksi Bersih Padi 2025'!E759="","",'1.1 Produksi Bersih Padi 2025'!E759)</f>
        <v/>
      </c>
      <c r="F759" s="28" t="str">
        <f>IF(D759="","",VLOOKUP(D759,'[1]0.1 Produksi Pangan &amp; Penduduk'!$D$5:$AE$860,28,0))</f>
        <v/>
      </c>
      <c r="G759" s="29" t="str">
        <f t="shared" si="55"/>
        <v/>
      </c>
      <c r="H759" s="29" t="str">
        <f t="shared" si="56"/>
        <v/>
      </c>
      <c r="I759" s="29" t="str">
        <f t="shared" si="57"/>
        <v/>
      </c>
      <c r="J759" s="29" t="str">
        <f t="shared" si="58"/>
        <v/>
      </c>
      <c r="K759" s="29" t="str">
        <f t="shared" si="59"/>
        <v/>
      </c>
    </row>
    <row r="760" spans="1:11" ht="15" x14ac:dyDescent="0.25">
      <c r="A760" s="1" t="str">
        <f>IF('1.1 Produksi Bersih Padi 2025'!A760="","",'1.1 Produksi Bersih Padi 2025'!A760)</f>
        <v/>
      </c>
      <c r="B760" s="31" t="str">
        <f>IF('1.1 Produksi Bersih Padi 2025'!B760="","",'1.1 Produksi Bersih Padi 2025'!B760)</f>
        <v/>
      </c>
      <c r="C760" s="31" t="str">
        <f>IF('1.1 Produksi Bersih Padi 2025'!C760="","",'1.1 Produksi Bersih Padi 2025'!C760)</f>
        <v/>
      </c>
      <c r="D760" s="1" t="str">
        <f>IF('1.1 Produksi Bersih Padi 2025'!D760="","",'1.1 Produksi Bersih Padi 2025'!D760)</f>
        <v/>
      </c>
      <c r="E760" s="1" t="str">
        <f>IF('1.1 Produksi Bersih Padi 2025'!E760="","",'1.1 Produksi Bersih Padi 2025'!E760)</f>
        <v/>
      </c>
      <c r="F760" s="28" t="str">
        <f>IF(D760="","",VLOOKUP(D760,'[1]0.1 Produksi Pangan &amp; Penduduk'!$D$5:$AE$860,28,0))</f>
        <v/>
      </c>
      <c r="G760" s="29" t="str">
        <f t="shared" si="55"/>
        <v/>
      </c>
      <c r="H760" s="29" t="str">
        <f t="shared" si="56"/>
        <v/>
      </c>
      <c r="I760" s="29" t="str">
        <f t="shared" si="57"/>
        <v/>
      </c>
      <c r="J760" s="29" t="str">
        <f t="shared" si="58"/>
        <v/>
      </c>
      <c r="K760" s="29" t="str">
        <f t="shared" si="59"/>
        <v/>
      </c>
    </row>
    <row r="761" spans="1:11" ht="15" x14ac:dyDescent="0.25">
      <c r="A761" s="1" t="str">
        <f>IF('1.1 Produksi Bersih Padi 2025'!A761="","",'1.1 Produksi Bersih Padi 2025'!A761)</f>
        <v/>
      </c>
      <c r="B761" s="31" t="str">
        <f>IF('1.1 Produksi Bersih Padi 2025'!B761="","",'1.1 Produksi Bersih Padi 2025'!B761)</f>
        <v/>
      </c>
      <c r="C761" s="31" t="str">
        <f>IF('1.1 Produksi Bersih Padi 2025'!C761="","",'1.1 Produksi Bersih Padi 2025'!C761)</f>
        <v/>
      </c>
      <c r="D761" s="1" t="str">
        <f>IF('1.1 Produksi Bersih Padi 2025'!D761="","",'1.1 Produksi Bersih Padi 2025'!D761)</f>
        <v/>
      </c>
      <c r="E761" s="1" t="str">
        <f>IF('1.1 Produksi Bersih Padi 2025'!E761="","",'1.1 Produksi Bersih Padi 2025'!E761)</f>
        <v/>
      </c>
      <c r="F761" s="28" t="str">
        <f>IF(D761="","",VLOOKUP(D761,'[1]0.1 Produksi Pangan &amp; Penduduk'!$D$5:$AE$860,28,0))</f>
        <v/>
      </c>
      <c r="G761" s="29" t="str">
        <f t="shared" si="55"/>
        <v/>
      </c>
      <c r="H761" s="29" t="str">
        <f t="shared" si="56"/>
        <v/>
      </c>
      <c r="I761" s="29" t="str">
        <f t="shared" si="57"/>
        <v/>
      </c>
      <c r="J761" s="29" t="str">
        <f t="shared" si="58"/>
        <v/>
      </c>
      <c r="K761" s="29" t="str">
        <f t="shared" si="59"/>
        <v/>
      </c>
    </row>
    <row r="762" spans="1:11" ht="15" x14ac:dyDescent="0.25">
      <c r="A762" s="1" t="str">
        <f>IF('1.1 Produksi Bersih Padi 2025'!A762="","",'1.1 Produksi Bersih Padi 2025'!A762)</f>
        <v/>
      </c>
      <c r="B762" s="31" t="str">
        <f>IF('1.1 Produksi Bersih Padi 2025'!B762="","",'1.1 Produksi Bersih Padi 2025'!B762)</f>
        <v/>
      </c>
      <c r="C762" s="31" t="str">
        <f>IF('1.1 Produksi Bersih Padi 2025'!C762="","",'1.1 Produksi Bersih Padi 2025'!C762)</f>
        <v/>
      </c>
      <c r="D762" s="1" t="str">
        <f>IF('1.1 Produksi Bersih Padi 2025'!D762="","",'1.1 Produksi Bersih Padi 2025'!D762)</f>
        <v/>
      </c>
      <c r="E762" s="1" t="str">
        <f>IF('1.1 Produksi Bersih Padi 2025'!E762="","",'1.1 Produksi Bersih Padi 2025'!E762)</f>
        <v/>
      </c>
      <c r="F762" s="28" t="str">
        <f>IF(D762="","",VLOOKUP(D762,'[1]0.1 Produksi Pangan &amp; Penduduk'!$D$5:$AE$860,28,0))</f>
        <v/>
      </c>
      <c r="G762" s="29" t="str">
        <f t="shared" si="55"/>
        <v/>
      </c>
      <c r="H762" s="29" t="str">
        <f t="shared" si="56"/>
        <v/>
      </c>
      <c r="I762" s="29" t="str">
        <f t="shared" si="57"/>
        <v/>
      </c>
      <c r="J762" s="29" t="str">
        <f t="shared" si="58"/>
        <v/>
      </c>
      <c r="K762" s="29" t="str">
        <f t="shared" si="59"/>
        <v/>
      </c>
    </row>
    <row r="763" spans="1:11" ht="15" x14ac:dyDescent="0.25">
      <c r="A763" s="1" t="str">
        <f>IF('1.1 Produksi Bersih Padi 2025'!A763="","",'1.1 Produksi Bersih Padi 2025'!A763)</f>
        <v/>
      </c>
      <c r="B763" s="31" t="str">
        <f>IF('1.1 Produksi Bersih Padi 2025'!B763="","",'1.1 Produksi Bersih Padi 2025'!B763)</f>
        <v/>
      </c>
      <c r="C763" s="31" t="str">
        <f>IF('1.1 Produksi Bersih Padi 2025'!C763="","",'1.1 Produksi Bersih Padi 2025'!C763)</f>
        <v/>
      </c>
      <c r="D763" s="1" t="str">
        <f>IF('1.1 Produksi Bersih Padi 2025'!D763="","",'1.1 Produksi Bersih Padi 2025'!D763)</f>
        <v/>
      </c>
      <c r="E763" s="1" t="str">
        <f>IF('1.1 Produksi Bersih Padi 2025'!E763="","",'1.1 Produksi Bersih Padi 2025'!E763)</f>
        <v/>
      </c>
      <c r="F763" s="28" t="str">
        <f>IF(D763="","",VLOOKUP(D763,'[1]0.1 Produksi Pangan &amp; Penduduk'!$D$5:$AE$860,28,0))</f>
        <v/>
      </c>
      <c r="G763" s="29" t="str">
        <f t="shared" si="55"/>
        <v/>
      </c>
      <c r="H763" s="29" t="str">
        <f t="shared" si="56"/>
        <v/>
      </c>
      <c r="I763" s="29" t="str">
        <f t="shared" si="57"/>
        <v/>
      </c>
      <c r="J763" s="29" t="str">
        <f t="shared" si="58"/>
        <v/>
      </c>
      <c r="K763" s="29" t="str">
        <f t="shared" si="59"/>
        <v/>
      </c>
    </row>
    <row r="764" spans="1:11" ht="15" x14ac:dyDescent="0.25">
      <c r="A764" s="1" t="str">
        <f>IF('1.1 Produksi Bersih Padi 2025'!A764="","",'1.1 Produksi Bersih Padi 2025'!A764)</f>
        <v/>
      </c>
      <c r="B764" s="31" t="str">
        <f>IF('1.1 Produksi Bersih Padi 2025'!B764="","",'1.1 Produksi Bersih Padi 2025'!B764)</f>
        <v/>
      </c>
      <c r="C764" s="31" t="str">
        <f>IF('1.1 Produksi Bersih Padi 2025'!C764="","",'1.1 Produksi Bersih Padi 2025'!C764)</f>
        <v/>
      </c>
      <c r="D764" s="1" t="str">
        <f>IF('1.1 Produksi Bersih Padi 2025'!D764="","",'1.1 Produksi Bersih Padi 2025'!D764)</f>
        <v/>
      </c>
      <c r="E764" s="1" t="str">
        <f>IF('1.1 Produksi Bersih Padi 2025'!E764="","",'1.1 Produksi Bersih Padi 2025'!E764)</f>
        <v/>
      </c>
      <c r="F764" s="28" t="str">
        <f>IF(D764="","",VLOOKUP(D764,'[1]0.1 Produksi Pangan &amp; Penduduk'!$D$5:$AE$860,28,0))</f>
        <v/>
      </c>
      <c r="G764" s="29" t="str">
        <f t="shared" si="55"/>
        <v/>
      </c>
      <c r="H764" s="29" t="str">
        <f t="shared" si="56"/>
        <v/>
      </c>
      <c r="I764" s="29" t="str">
        <f t="shared" si="57"/>
        <v/>
      </c>
      <c r="J764" s="29" t="str">
        <f t="shared" si="58"/>
        <v/>
      </c>
      <c r="K764" s="29" t="str">
        <f t="shared" si="59"/>
        <v/>
      </c>
    </row>
    <row r="765" spans="1:11" ht="15" x14ac:dyDescent="0.25">
      <c r="A765" s="1" t="str">
        <f>IF('1.1 Produksi Bersih Padi 2025'!A765="","",'1.1 Produksi Bersih Padi 2025'!A765)</f>
        <v/>
      </c>
      <c r="B765" s="31" t="str">
        <f>IF('1.1 Produksi Bersih Padi 2025'!B765="","",'1.1 Produksi Bersih Padi 2025'!B765)</f>
        <v/>
      </c>
      <c r="C765" s="31" t="str">
        <f>IF('1.1 Produksi Bersih Padi 2025'!C765="","",'1.1 Produksi Bersih Padi 2025'!C765)</f>
        <v/>
      </c>
      <c r="D765" s="1" t="str">
        <f>IF('1.1 Produksi Bersih Padi 2025'!D765="","",'1.1 Produksi Bersih Padi 2025'!D765)</f>
        <v/>
      </c>
      <c r="E765" s="1" t="str">
        <f>IF('1.1 Produksi Bersih Padi 2025'!E765="","",'1.1 Produksi Bersih Padi 2025'!E765)</f>
        <v/>
      </c>
      <c r="F765" s="28" t="str">
        <f>IF(D765="","",VLOOKUP(D765,'[1]0.1 Produksi Pangan &amp; Penduduk'!$D$5:$AE$860,28,0))</f>
        <v/>
      </c>
      <c r="G765" s="29" t="str">
        <f t="shared" si="55"/>
        <v/>
      </c>
      <c r="H765" s="29" t="str">
        <f t="shared" si="56"/>
        <v/>
      </c>
      <c r="I765" s="29" t="str">
        <f t="shared" si="57"/>
        <v/>
      </c>
      <c r="J765" s="29" t="str">
        <f t="shared" si="58"/>
        <v/>
      </c>
      <c r="K765" s="29" t="str">
        <f t="shared" si="59"/>
        <v/>
      </c>
    </row>
    <row r="766" spans="1:11" ht="15" x14ac:dyDescent="0.25">
      <c r="A766" s="1" t="str">
        <f>IF('1.1 Produksi Bersih Padi 2025'!A766="","",'1.1 Produksi Bersih Padi 2025'!A766)</f>
        <v/>
      </c>
      <c r="B766" s="31" t="str">
        <f>IF('1.1 Produksi Bersih Padi 2025'!B766="","",'1.1 Produksi Bersih Padi 2025'!B766)</f>
        <v/>
      </c>
      <c r="C766" s="31" t="str">
        <f>IF('1.1 Produksi Bersih Padi 2025'!C766="","",'1.1 Produksi Bersih Padi 2025'!C766)</f>
        <v/>
      </c>
      <c r="D766" s="1" t="str">
        <f>IF('1.1 Produksi Bersih Padi 2025'!D766="","",'1.1 Produksi Bersih Padi 2025'!D766)</f>
        <v/>
      </c>
      <c r="E766" s="1" t="str">
        <f>IF('1.1 Produksi Bersih Padi 2025'!E766="","",'1.1 Produksi Bersih Padi 2025'!E766)</f>
        <v/>
      </c>
      <c r="F766" s="28" t="str">
        <f>IF(D766="","",VLOOKUP(D766,'[1]0.1 Produksi Pangan &amp; Penduduk'!$D$5:$AE$860,28,0))</f>
        <v/>
      </c>
      <c r="G766" s="29" t="str">
        <f t="shared" si="55"/>
        <v/>
      </c>
      <c r="H766" s="29" t="str">
        <f t="shared" si="56"/>
        <v/>
      </c>
      <c r="I766" s="29" t="str">
        <f t="shared" si="57"/>
        <v/>
      </c>
      <c r="J766" s="29" t="str">
        <f t="shared" si="58"/>
        <v/>
      </c>
      <c r="K766" s="29" t="str">
        <f t="shared" si="59"/>
        <v/>
      </c>
    </row>
    <row r="767" spans="1:11" ht="15" x14ac:dyDescent="0.25">
      <c r="A767" s="1" t="str">
        <f>IF('1.1 Produksi Bersih Padi 2025'!A767="","",'1.1 Produksi Bersih Padi 2025'!A767)</f>
        <v/>
      </c>
      <c r="B767" s="31" t="str">
        <f>IF('1.1 Produksi Bersih Padi 2025'!B767="","",'1.1 Produksi Bersih Padi 2025'!B767)</f>
        <v/>
      </c>
      <c r="C767" s="31" t="str">
        <f>IF('1.1 Produksi Bersih Padi 2025'!C767="","",'1.1 Produksi Bersih Padi 2025'!C767)</f>
        <v/>
      </c>
      <c r="D767" s="1" t="str">
        <f>IF('1.1 Produksi Bersih Padi 2025'!D767="","",'1.1 Produksi Bersih Padi 2025'!D767)</f>
        <v/>
      </c>
      <c r="E767" s="1" t="str">
        <f>IF('1.1 Produksi Bersih Padi 2025'!E767="","",'1.1 Produksi Bersih Padi 2025'!E767)</f>
        <v/>
      </c>
      <c r="F767" s="28" t="str">
        <f>IF(D767="","",VLOOKUP(D767,'[1]0.1 Produksi Pangan &amp; Penduduk'!$D$5:$AE$860,28,0))</f>
        <v/>
      </c>
      <c r="G767" s="29" t="str">
        <f t="shared" si="55"/>
        <v/>
      </c>
      <c r="H767" s="29" t="str">
        <f t="shared" si="56"/>
        <v/>
      </c>
      <c r="I767" s="29" t="str">
        <f t="shared" si="57"/>
        <v/>
      </c>
      <c r="J767" s="29" t="str">
        <f t="shared" si="58"/>
        <v/>
      </c>
      <c r="K767" s="29" t="str">
        <f t="shared" si="59"/>
        <v/>
      </c>
    </row>
    <row r="768" spans="1:11" ht="15" x14ac:dyDescent="0.25">
      <c r="A768" s="1" t="str">
        <f>IF('1.1 Produksi Bersih Padi 2025'!A768="","",'1.1 Produksi Bersih Padi 2025'!A768)</f>
        <v/>
      </c>
      <c r="B768" s="31" t="str">
        <f>IF('1.1 Produksi Bersih Padi 2025'!B768="","",'1.1 Produksi Bersih Padi 2025'!B768)</f>
        <v/>
      </c>
      <c r="C768" s="31" t="str">
        <f>IF('1.1 Produksi Bersih Padi 2025'!C768="","",'1.1 Produksi Bersih Padi 2025'!C768)</f>
        <v/>
      </c>
      <c r="D768" s="1" t="str">
        <f>IF('1.1 Produksi Bersih Padi 2025'!D768="","",'1.1 Produksi Bersih Padi 2025'!D768)</f>
        <v/>
      </c>
      <c r="E768" s="1" t="str">
        <f>IF('1.1 Produksi Bersih Padi 2025'!E768="","",'1.1 Produksi Bersih Padi 2025'!E768)</f>
        <v/>
      </c>
      <c r="F768" s="28" t="str">
        <f>IF(D768="","",VLOOKUP(D768,'[1]0.1 Produksi Pangan &amp; Penduduk'!$D$5:$AE$860,28,0))</f>
        <v/>
      </c>
      <c r="G768" s="29" t="str">
        <f t="shared" si="55"/>
        <v/>
      </c>
      <c r="H768" s="29" t="str">
        <f t="shared" si="56"/>
        <v/>
      </c>
      <c r="I768" s="29" t="str">
        <f t="shared" si="57"/>
        <v/>
      </c>
      <c r="J768" s="29" t="str">
        <f t="shared" si="58"/>
        <v/>
      </c>
      <c r="K768" s="29" t="str">
        <f t="shared" si="59"/>
        <v/>
      </c>
    </row>
    <row r="769" spans="1:11" ht="15" x14ac:dyDescent="0.25">
      <c r="A769" s="1" t="str">
        <f>IF('1.1 Produksi Bersih Padi 2025'!A769="","",'1.1 Produksi Bersih Padi 2025'!A769)</f>
        <v/>
      </c>
      <c r="B769" s="31" t="str">
        <f>IF('1.1 Produksi Bersih Padi 2025'!B769="","",'1.1 Produksi Bersih Padi 2025'!B769)</f>
        <v/>
      </c>
      <c r="C769" s="31" t="str">
        <f>IF('1.1 Produksi Bersih Padi 2025'!C769="","",'1.1 Produksi Bersih Padi 2025'!C769)</f>
        <v/>
      </c>
      <c r="D769" s="1" t="str">
        <f>IF('1.1 Produksi Bersih Padi 2025'!D769="","",'1.1 Produksi Bersih Padi 2025'!D769)</f>
        <v/>
      </c>
      <c r="E769" s="1" t="str">
        <f>IF('1.1 Produksi Bersih Padi 2025'!E769="","",'1.1 Produksi Bersih Padi 2025'!E769)</f>
        <v/>
      </c>
      <c r="F769" s="28" t="str">
        <f>IF(D769="","",VLOOKUP(D769,'[1]0.1 Produksi Pangan &amp; Penduduk'!$D$5:$AE$860,28,0))</f>
        <v/>
      </c>
      <c r="G769" s="29" t="str">
        <f t="shared" si="55"/>
        <v/>
      </c>
      <c r="H769" s="29" t="str">
        <f t="shared" si="56"/>
        <v/>
      </c>
      <c r="I769" s="29" t="str">
        <f t="shared" si="57"/>
        <v/>
      </c>
      <c r="J769" s="29" t="str">
        <f t="shared" si="58"/>
        <v/>
      </c>
      <c r="K769" s="29" t="str">
        <f t="shared" si="59"/>
        <v/>
      </c>
    </row>
    <row r="770" spans="1:11" ht="15" x14ac:dyDescent="0.25">
      <c r="A770" s="1" t="str">
        <f>IF('1.1 Produksi Bersih Padi 2025'!A770="","",'1.1 Produksi Bersih Padi 2025'!A770)</f>
        <v/>
      </c>
      <c r="B770" s="31" t="str">
        <f>IF('1.1 Produksi Bersih Padi 2025'!B770="","",'1.1 Produksi Bersih Padi 2025'!B770)</f>
        <v/>
      </c>
      <c r="C770" s="31" t="str">
        <f>IF('1.1 Produksi Bersih Padi 2025'!C770="","",'1.1 Produksi Bersih Padi 2025'!C770)</f>
        <v/>
      </c>
      <c r="D770" s="1" t="str">
        <f>IF('1.1 Produksi Bersih Padi 2025'!D770="","",'1.1 Produksi Bersih Padi 2025'!D770)</f>
        <v/>
      </c>
      <c r="E770" s="1" t="str">
        <f>IF('1.1 Produksi Bersih Padi 2025'!E770="","",'1.1 Produksi Bersih Padi 2025'!E770)</f>
        <v/>
      </c>
      <c r="F770" s="28" t="str">
        <f>IF(D770="","",VLOOKUP(D770,'[1]0.1 Produksi Pangan &amp; Penduduk'!$D$5:$AE$860,28,0))</f>
        <v/>
      </c>
      <c r="G770" s="29" t="str">
        <f t="shared" si="55"/>
        <v/>
      </c>
      <c r="H770" s="29" t="str">
        <f t="shared" si="56"/>
        <v/>
      </c>
      <c r="I770" s="29" t="str">
        <f t="shared" si="57"/>
        <v/>
      </c>
      <c r="J770" s="29" t="str">
        <f t="shared" si="58"/>
        <v/>
      </c>
      <c r="K770" s="29" t="str">
        <f t="shared" si="59"/>
        <v/>
      </c>
    </row>
    <row r="771" spans="1:11" ht="15" x14ac:dyDescent="0.25">
      <c r="A771" s="1" t="str">
        <f>IF('1.1 Produksi Bersih Padi 2025'!A771="","",'1.1 Produksi Bersih Padi 2025'!A771)</f>
        <v/>
      </c>
      <c r="B771" s="31" t="str">
        <f>IF('1.1 Produksi Bersih Padi 2025'!B771="","",'1.1 Produksi Bersih Padi 2025'!B771)</f>
        <v/>
      </c>
      <c r="C771" s="31" t="str">
        <f>IF('1.1 Produksi Bersih Padi 2025'!C771="","",'1.1 Produksi Bersih Padi 2025'!C771)</f>
        <v/>
      </c>
      <c r="D771" s="1" t="str">
        <f>IF('1.1 Produksi Bersih Padi 2025'!D771="","",'1.1 Produksi Bersih Padi 2025'!D771)</f>
        <v/>
      </c>
      <c r="E771" s="1" t="str">
        <f>IF('1.1 Produksi Bersih Padi 2025'!E771="","",'1.1 Produksi Bersih Padi 2025'!E771)</f>
        <v/>
      </c>
      <c r="F771" s="28" t="str">
        <f>IF(D771="","",VLOOKUP(D771,'[1]0.1 Produksi Pangan &amp; Penduduk'!$D$5:$AE$860,28,0))</f>
        <v/>
      </c>
      <c r="G771" s="29" t="str">
        <f t="shared" si="55"/>
        <v/>
      </c>
      <c r="H771" s="29" t="str">
        <f t="shared" si="56"/>
        <v/>
      </c>
      <c r="I771" s="29" t="str">
        <f t="shared" si="57"/>
        <v/>
      </c>
      <c r="J771" s="29" t="str">
        <f t="shared" si="58"/>
        <v/>
      </c>
      <c r="K771" s="29" t="str">
        <f t="shared" si="59"/>
        <v/>
      </c>
    </row>
    <row r="772" spans="1:11" ht="15" x14ac:dyDescent="0.25">
      <c r="A772" s="1" t="str">
        <f>IF('1.1 Produksi Bersih Padi 2025'!A772="","",'1.1 Produksi Bersih Padi 2025'!A772)</f>
        <v/>
      </c>
      <c r="B772" s="31" t="str">
        <f>IF('1.1 Produksi Bersih Padi 2025'!B772="","",'1.1 Produksi Bersih Padi 2025'!B772)</f>
        <v/>
      </c>
      <c r="C772" s="31" t="str">
        <f>IF('1.1 Produksi Bersih Padi 2025'!C772="","",'1.1 Produksi Bersih Padi 2025'!C772)</f>
        <v/>
      </c>
      <c r="D772" s="1" t="str">
        <f>IF('1.1 Produksi Bersih Padi 2025'!D772="","",'1.1 Produksi Bersih Padi 2025'!D772)</f>
        <v/>
      </c>
      <c r="E772" s="1" t="str">
        <f>IF('1.1 Produksi Bersih Padi 2025'!E772="","",'1.1 Produksi Bersih Padi 2025'!E772)</f>
        <v/>
      </c>
      <c r="F772" s="28" t="str">
        <f>IF(D772="","",VLOOKUP(D772,'[1]0.1 Produksi Pangan &amp; Penduduk'!$D$5:$AE$860,28,0))</f>
        <v/>
      </c>
      <c r="G772" s="29" t="str">
        <f t="shared" si="55"/>
        <v/>
      </c>
      <c r="H772" s="29" t="str">
        <f t="shared" si="56"/>
        <v/>
      </c>
      <c r="I772" s="29" t="str">
        <f t="shared" si="57"/>
        <v/>
      </c>
      <c r="J772" s="29" t="str">
        <f t="shared" si="58"/>
        <v/>
      </c>
      <c r="K772" s="29" t="str">
        <f t="shared" si="59"/>
        <v/>
      </c>
    </row>
    <row r="773" spans="1:11" ht="15" x14ac:dyDescent="0.25">
      <c r="A773" s="1" t="str">
        <f>IF('1.1 Produksi Bersih Padi 2025'!A773="","",'1.1 Produksi Bersih Padi 2025'!A773)</f>
        <v/>
      </c>
      <c r="B773" s="31" t="str">
        <f>IF('1.1 Produksi Bersih Padi 2025'!B773="","",'1.1 Produksi Bersih Padi 2025'!B773)</f>
        <v/>
      </c>
      <c r="C773" s="31" t="str">
        <f>IF('1.1 Produksi Bersih Padi 2025'!C773="","",'1.1 Produksi Bersih Padi 2025'!C773)</f>
        <v/>
      </c>
      <c r="D773" s="1" t="str">
        <f>IF('1.1 Produksi Bersih Padi 2025'!D773="","",'1.1 Produksi Bersih Padi 2025'!D773)</f>
        <v/>
      </c>
      <c r="E773" s="1" t="str">
        <f>IF('1.1 Produksi Bersih Padi 2025'!E773="","",'1.1 Produksi Bersih Padi 2025'!E773)</f>
        <v/>
      </c>
      <c r="F773" s="28" t="str">
        <f>IF(D773="","",VLOOKUP(D773,'[1]0.1 Produksi Pangan &amp; Penduduk'!$D$5:$AE$860,28,0))</f>
        <v/>
      </c>
      <c r="G773" s="29" t="str">
        <f t="shared" si="55"/>
        <v/>
      </c>
      <c r="H773" s="29" t="str">
        <f t="shared" si="56"/>
        <v/>
      </c>
      <c r="I773" s="29" t="str">
        <f t="shared" si="57"/>
        <v/>
      </c>
      <c r="J773" s="29" t="str">
        <f t="shared" si="58"/>
        <v/>
      </c>
      <c r="K773" s="29" t="str">
        <f t="shared" si="59"/>
        <v/>
      </c>
    </row>
    <row r="774" spans="1:11" ht="15" x14ac:dyDescent="0.25">
      <c r="A774" s="1" t="str">
        <f>IF('1.1 Produksi Bersih Padi 2025'!A774="","",'1.1 Produksi Bersih Padi 2025'!A774)</f>
        <v/>
      </c>
      <c r="B774" s="31" t="str">
        <f>IF('1.1 Produksi Bersih Padi 2025'!B774="","",'1.1 Produksi Bersih Padi 2025'!B774)</f>
        <v/>
      </c>
      <c r="C774" s="31" t="str">
        <f>IF('1.1 Produksi Bersih Padi 2025'!C774="","",'1.1 Produksi Bersih Padi 2025'!C774)</f>
        <v/>
      </c>
      <c r="D774" s="1" t="str">
        <f>IF('1.1 Produksi Bersih Padi 2025'!D774="","",'1.1 Produksi Bersih Padi 2025'!D774)</f>
        <v/>
      </c>
      <c r="E774" s="1" t="str">
        <f>IF('1.1 Produksi Bersih Padi 2025'!E774="","",'1.1 Produksi Bersih Padi 2025'!E774)</f>
        <v/>
      </c>
      <c r="F774" s="28" t="str">
        <f>IF(D774="","",VLOOKUP(D774,'[1]0.1 Produksi Pangan &amp; Penduduk'!$D$5:$AE$860,28,0))</f>
        <v/>
      </c>
      <c r="G774" s="29" t="str">
        <f t="shared" ref="G774:G837" si="60">IF(F774="","",F774*0%)</f>
        <v/>
      </c>
      <c r="H774" s="29" t="str">
        <f t="shared" ref="H774:H837" si="61">IF(F774="","",F774*0.77%)</f>
        <v/>
      </c>
      <c r="I774" s="29" t="str">
        <f t="shared" ref="I774:I837" si="62">IF(F774="","",F774*4.9%)</f>
        <v/>
      </c>
      <c r="J774" s="29" t="str">
        <f t="shared" ref="J774:J837" si="63">IF(F774="","",F774-(G774+H774+I774))</f>
        <v/>
      </c>
      <c r="K774" s="29" t="str">
        <f t="shared" ref="K774:K837" si="64">IF(J774="","",J774*0.259)</f>
        <v/>
      </c>
    </row>
    <row r="775" spans="1:11" ht="15" x14ac:dyDescent="0.25">
      <c r="A775" s="1" t="str">
        <f>IF('1.1 Produksi Bersih Padi 2025'!A775="","",'1.1 Produksi Bersih Padi 2025'!A775)</f>
        <v/>
      </c>
      <c r="B775" s="31" t="str">
        <f>IF('1.1 Produksi Bersih Padi 2025'!B775="","",'1.1 Produksi Bersih Padi 2025'!B775)</f>
        <v/>
      </c>
      <c r="C775" s="31" t="str">
        <f>IF('1.1 Produksi Bersih Padi 2025'!C775="","",'1.1 Produksi Bersih Padi 2025'!C775)</f>
        <v/>
      </c>
      <c r="D775" s="1" t="str">
        <f>IF('1.1 Produksi Bersih Padi 2025'!D775="","",'1.1 Produksi Bersih Padi 2025'!D775)</f>
        <v/>
      </c>
      <c r="E775" s="1" t="str">
        <f>IF('1.1 Produksi Bersih Padi 2025'!E775="","",'1.1 Produksi Bersih Padi 2025'!E775)</f>
        <v/>
      </c>
      <c r="F775" s="28" t="str">
        <f>IF(D775="","",VLOOKUP(D775,'[1]0.1 Produksi Pangan &amp; Penduduk'!$D$5:$AE$860,28,0))</f>
        <v/>
      </c>
      <c r="G775" s="29" t="str">
        <f t="shared" si="60"/>
        <v/>
      </c>
      <c r="H775" s="29" t="str">
        <f t="shared" si="61"/>
        <v/>
      </c>
      <c r="I775" s="29" t="str">
        <f t="shared" si="62"/>
        <v/>
      </c>
      <c r="J775" s="29" t="str">
        <f t="shared" si="63"/>
        <v/>
      </c>
      <c r="K775" s="29" t="str">
        <f t="shared" si="64"/>
        <v/>
      </c>
    </row>
    <row r="776" spans="1:11" ht="15" x14ac:dyDescent="0.25">
      <c r="A776" s="1" t="str">
        <f>IF('1.1 Produksi Bersih Padi 2025'!A776="","",'1.1 Produksi Bersih Padi 2025'!A776)</f>
        <v/>
      </c>
      <c r="B776" s="31" t="str">
        <f>IF('1.1 Produksi Bersih Padi 2025'!B776="","",'1.1 Produksi Bersih Padi 2025'!B776)</f>
        <v/>
      </c>
      <c r="C776" s="31" t="str">
        <f>IF('1.1 Produksi Bersih Padi 2025'!C776="","",'1.1 Produksi Bersih Padi 2025'!C776)</f>
        <v/>
      </c>
      <c r="D776" s="1" t="str">
        <f>IF('1.1 Produksi Bersih Padi 2025'!D776="","",'1.1 Produksi Bersih Padi 2025'!D776)</f>
        <v/>
      </c>
      <c r="E776" s="1" t="str">
        <f>IF('1.1 Produksi Bersih Padi 2025'!E776="","",'1.1 Produksi Bersih Padi 2025'!E776)</f>
        <v/>
      </c>
      <c r="F776" s="28" t="str">
        <f>IF(D776="","",VLOOKUP(D776,'[1]0.1 Produksi Pangan &amp; Penduduk'!$D$5:$AE$860,28,0))</f>
        <v/>
      </c>
      <c r="G776" s="29" t="str">
        <f t="shared" si="60"/>
        <v/>
      </c>
      <c r="H776" s="29" t="str">
        <f t="shared" si="61"/>
        <v/>
      </c>
      <c r="I776" s="29" t="str">
        <f t="shared" si="62"/>
        <v/>
      </c>
      <c r="J776" s="29" t="str">
        <f t="shared" si="63"/>
        <v/>
      </c>
      <c r="K776" s="29" t="str">
        <f t="shared" si="64"/>
        <v/>
      </c>
    </row>
    <row r="777" spans="1:11" ht="15" x14ac:dyDescent="0.25">
      <c r="A777" s="1" t="str">
        <f>IF('1.1 Produksi Bersih Padi 2025'!A777="","",'1.1 Produksi Bersih Padi 2025'!A777)</f>
        <v/>
      </c>
      <c r="B777" s="31" t="str">
        <f>IF('1.1 Produksi Bersih Padi 2025'!B777="","",'1.1 Produksi Bersih Padi 2025'!B777)</f>
        <v/>
      </c>
      <c r="C777" s="31" t="str">
        <f>IF('1.1 Produksi Bersih Padi 2025'!C777="","",'1.1 Produksi Bersih Padi 2025'!C777)</f>
        <v/>
      </c>
      <c r="D777" s="1" t="str">
        <f>IF('1.1 Produksi Bersih Padi 2025'!D777="","",'1.1 Produksi Bersih Padi 2025'!D777)</f>
        <v/>
      </c>
      <c r="E777" s="1" t="str">
        <f>IF('1.1 Produksi Bersih Padi 2025'!E777="","",'1.1 Produksi Bersih Padi 2025'!E777)</f>
        <v/>
      </c>
      <c r="F777" s="28" t="str">
        <f>IF(D777="","",VLOOKUP(D777,'[1]0.1 Produksi Pangan &amp; Penduduk'!$D$5:$AE$860,28,0))</f>
        <v/>
      </c>
      <c r="G777" s="29" t="str">
        <f t="shared" si="60"/>
        <v/>
      </c>
      <c r="H777" s="29" t="str">
        <f t="shared" si="61"/>
        <v/>
      </c>
      <c r="I777" s="29" t="str">
        <f t="shared" si="62"/>
        <v/>
      </c>
      <c r="J777" s="29" t="str">
        <f t="shared" si="63"/>
        <v/>
      </c>
      <c r="K777" s="29" t="str">
        <f t="shared" si="64"/>
        <v/>
      </c>
    </row>
    <row r="778" spans="1:11" ht="15" x14ac:dyDescent="0.25">
      <c r="A778" s="1" t="str">
        <f>IF('1.1 Produksi Bersih Padi 2025'!A778="","",'1.1 Produksi Bersih Padi 2025'!A778)</f>
        <v/>
      </c>
      <c r="B778" s="31" t="str">
        <f>IF('1.1 Produksi Bersih Padi 2025'!B778="","",'1.1 Produksi Bersih Padi 2025'!B778)</f>
        <v/>
      </c>
      <c r="C778" s="31" t="str">
        <f>IF('1.1 Produksi Bersih Padi 2025'!C778="","",'1.1 Produksi Bersih Padi 2025'!C778)</f>
        <v/>
      </c>
      <c r="D778" s="1" t="str">
        <f>IF('1.1 Produksi Bersih Padi 2025'!D778="","",'1.1 Produksi Bersih Padi 2025'!D778)</f>
        <v/>
      </c>
      <c r="E778" s="1" t="str">
        <f>IF('1.1 Produksi Bersih Padi 2025'!E778="","",'1.1 Produksi Bersih Padi 2025'!E778)</f>
        <v/>
      </c>
      <c r="F778" s="28" t="str">
        <f>IF(D778="","",VLOOKUP(D778,'[1]0.1 Produksi Pangan &amp; Penduduk'!$D$5:$AE$860,28,0))</f>
        <v/>
      </c>
      <c r="G778" s="29" t="str">
        <f t="shared" si="60"/>
        <v/>
      </c>
      <c r="H778" s="29" t="str">
        <f t="shared" si="61"/>
        <v/>
      </c>
      <c r="I778" s="29" t="str">
        <f t="shared" si="62"/>
        <v/>
      </c>
      <c r="J778" s="29" t="str">
        <f t="shared" si="63"/>
        <v/>
      </c>
      <c r="K778" s="29" t="str">
        <f t="shared" si="64"/>
        <v/>
      </c>
    </row>
    <row r="779" spans="1:11" ht="15" x14ac:dyDescent="0.25">
      <c r="A779" s="1" t="str">
        <f>IF('1.1 Produksi Bersih Padi 2025'!A779="","",'1.1 Produksi Bersih Padi 2025'!A779)</f>
        <v/>
      </c>
      <c r="B779" s="31" t="str">
        <f>IF('1.1 Produksi Bersih Padi 2025'!B779="","",'1.1 Produksi Bersih Padi 2025'!B779)</f>
        <v/>
      </c>
      <c r="C779" s="31" t="str">
        <f>IF('1.1 Produksi Bersih Padi 2025'!C779="","",'1.1 Produksi Bersih Padi 2025'!C779)</f>
        <v/>
      </c>
      <c r="D779" s="1" t="str">
        <f>IF('1.1 Produksi Bersih Padi 2025'!D779="","",'1.1 Produksi Bersih Padi 2025'!D779)</f>
        <v/>
      </c>
      <c r="E779" s="1" t="str">
        <f>IF('1.1 Produksi Bersih Padi 2025'!E779="","",'1.1 Produksi Bersih Padi 2025'!E779)</f>
        <v/>
      </c>
      <c r="F779" s="28" t="str">
        <f>IF(D779="","",VLOOKUP(D779,'[1]0.1 Produksi Pangan &amp; Penduduk'!$D$5:$AE$860,28,0))</f>
        <v/>
      </c>
      <c r="G779" s="29" t="str">
        <f t="shared" si="60"/>
        <v/>
      </c>
      <c r="H779" s="29" t="str">
        <f t="shared" si="61"/>
        <v/>
      </c>
      <c r="I779" s="29" t="str">
        <f t="shared" si="62"/>
        <v/>
      </c>
      <c r="J779" s="29" t="str">
        <f t="shared" si="63"/>
        <v/>
      </c>
      <c r="K779" s="29" t="str">
        <f t="shared" si="64"/>
        <v/>
      </c>
    </row>
    <row r="780" spans="1:11" ht="15" x14ac:dyDescent="0.25">
      <c r="A780" s="1" t="str">
        <f>IF('1.1 Produksi Bersih Padi 2025'!A780="","",'1.1 Produksi Bersih Padi 2025'!A780)</f>
        <v/>
      </c>
      <c r="B780" s="31" t="str">
        <f>IF('1.1 Produksi Bersih Padi 2025'!B780="","",'1.1 Produksi Bersih Padi 2025'!B780)</f>
        <v/>
      </c>
      <c r="C780" s="31" t="str">
        <f>IF('1.1 Produksi Bersih Padi 2025'!C780="","",'1.1 Produksi Bersih Padi 2025'!C780)</f>
        <v/>
      </c>
      <c r="D780" s="1" t="str">
        <f>IF('1.1 Produksi Bersih Padi 2025'!D780="","",'1.1 Produksi Bersih Padi 2025'!D780)</f>
        <v/>
      </c>
      <c r="E780" s="1" t="str">
        <f>IF('1.1 Produksi Bersih Padi 2025'!E780="","",'1.1 Produksi Bersih Padi 2025'!E780)</f>
        <v/>
      </c>
      <c r="F780" s="28" t="str">
        <f>IF(D780="","",VLOOKUP(D780,'[1]0.1 Produksi Pangan &amp; Penduduk'!$D$5:$AE$860,28,0))</f>
        <v/>
      </c>
      <c r="G780" s="29" t="str">
        <f t="shared" si="60"/>
        <v/>
      </c>
      <c r="H780" s="29" t="str">
        <f t="shared" si="61"/>
        <v/>
      </c>
      <c r="I780" s="29" t="str">
        <f t="shared" si="62"/>
        <v/>
      </c>
      <c r="J780" s="29" t="str">
        <f t="shared" si="63"/>
        <v/>
      </c>
      <c r="K780" s="29" t="str">
        <f t="shared" si="64"/>
        <v/>
      </c>
    </row>
    <row r="781" spans="1:11" ht="15" x14ac:dyDescent="0.25">
      <c r="A781" s="1" t="str">
        <f>IF('1.1 Produksi Bersih Padi 2025'!A781="","",'1.1 Produksi Bersih Padi 2025'!A781)</f>
        <v/>
      </c>
      <c r="B781" s="31" t="str">
        <f>IF('1.1 Produksi Bersih Padi 2025'!B781="","",'1.1 Produksi Bersih Padi 2025'!B781)</f>
        <v/>
      </c>
      <c r="C781" s="31" t="str">
        <f>IF('1.1 Produksi Bersih Padi 2025'!C781="","",'1.1 Produksi Bersih Padi 2025'!C781)</f>
        <v/>
      </c>
      <c r="D781" s="1" t="str">
        <f>IF('1.1 Produksi Bersih Padi 2025'!D781="","",'1.1 Produksi Bersih Padi 2025'!D781)</f>
        <v/>
      </c>
      <c r="E781" s="1" t="str">
        <f>IF('1.1 Produksi Bersih Padi 2025'!E781="","",'1.1 Produksi Bersih Padi 2025'!E781)</f>
        <v/>
      </c>
      <c r="F781" s="28" t="str">
        <f>IF(D781="","",VLOOKUP(D781,'[1]0.1 Produksi Pangan &amp; Penduduk'!$D$5:$AE$860,28,0))</f>
        <v/>
      </c>
      <c r="G781" s="29" t="str">
        <f t="shared" si="60"/>
        <v/>
      </c>
      <c r="H781" s="29" t="str">
        <f t="shared" si="61"/>
        <v/>
      </c>
      <c r="I781" s="29" t="str">
        <f t="shared" si="62"/>
        <v/>
      </c>
      <c r="J781" s="29" t="str">
        <f t="shared" si="63"/>
        <v/>
      </c>
      <c r="K781" s="29" t="str">
        <f t="shared" si="64"/>
        <v/>
      </c>
    </row>
    <row r="782" spans="1:11" ht="15" x14ac:dyDescent="0.25">
      <c r="A782" s="1" t="str">
        <f>IF('1.1 Produksi Bersih Padi 2025'!A782="","",'1.1 Produksi Bersih Padi 2025'!A782)</f>
        <v/>
      </c>
      <c r="B782" s="31" t="str">
        <f>IF('1.1 Produksi Bersih Padi 2025'!B782="","",'1.1 Produksi Bersih Padi 2025'!B782)</f>
        <v/>
      </c>
      <c r="C782" s="31" t="str">
        <f>IF('1.1 Produksi Bersih Padi 2025'!C782="","",'1.1 Produksi Bersih Padi 2025'!C782)</f>
        <v/>
      </c>
      <c r="D782" s="1" t="str">
        <f>IF('1.1 Produksi Bersih Padi 2025'!D782="","",'1.1 Produksi Bersih Padi 2025'!D782)</f>
        <v/>
      </c>
      <c r="E782" s="1" t="str">
        <f>IF('1.1 Produksi Bersih Padi 2025'!E782="","",'1.1 Produksi Bersih Padi 2025'!E782)</f>
        <v/>
      </c>
      <c r="F782" s="28" t="str">
        <f>IF(D782="","",VLOOKUP(D782,'[1]0.1 Produksi Pangan &amp; Penduduk'!$D$5:$AE$860,28,0))</f>
        <v/>
      </c>
      <c r="G782" s="29" t="str">
        <f t="shared" si="60"/>
        <v/>
      </c>
      <c r="H782" s="29" t="str">
        <f t="shared" si="61"/>
        <v/>
      </c>
      <c r="I782" s="29" t="str">
        <f t="shared" si="62"/>
        <v/>
      </c>
      <c r="J782" s="29" t="str">
        <f t="shared" si="63"/>
        <v/>
      </c>
      <c r="K782" s="29" t="str">
        <f t="shared" si="64"/>
        <v/>
      </c>
    </row>
    <row r="783" spans="1:11" ht="15" x14ac:dyDescent="0.25">
      <c r="A783" s="1" t="str">
        <f>IF('1.1 Produksi Bersih Padi 2025'!A783="","",'1.1 Produksi Bersih Padi 2025'!A783)</f>
        <v/>
      </c>
      <c r="B783" s="31" t="str">
        <f>IF('1.1 Produksi Bersih Padi 2025'!B783="","",'1.1 Produksi Bersih Padi 2025'!B783)</f>
        <v/>
      </c>
      <c r="C783" s="31" t="str">
        <f>IF('1.1 Produksi Bersih Padi 2025'!C783="","",'1.1 Produksi Bersih Padi 2025'!C783)</f>
        <v/>
      </c>
      <c r="D783" s="1" t="str">
        <f>IF('1.1 Produksi Bersih Padi 2025'!D783="","",'1.1 Produksi Bersih Padi 2025'!D783)</f>
        <v/>
      </c>
      <c r="E783" s="1" t="str">
        <f>IF('1.1 Produksi Bersih Padi 2025'!E783="","",'1.1 Produksi Bersih Padi 2025'!E783)</f>
        <v/>
      </c>
      <c r="F783" s="28" t="str">
        <f>IF(D783="","",VLOOKUP(D783,'[1]0.1 Produksi Pangan &amp; Penduduk'!$D$5:$AE$860,28,0))</f>
        <v/>
      </c>
      <c r="G783" s="29" t="str">
        <f t="shared" si="60"/>
        <v/>
      </c>
      <c r="H783" s="29" t="str">
        <f t="shared" si="61"/>
        <v/>
      </c>
      <c r="I783" s="29" t="str">
        <f t="shared" si="62"/>
        <v/>
      </c>
      <c r="J783" s="29" t="str">
        <f t="shared" si="63"/>
        <v/>
      </c>
      <c r="K783" s="29" t="str">
        <f t="shared" si="64"/>
        <v/>
      </c>
    </row>
    <row r="784" spans="1:11" ht="15" x14ac:dyDescent="0.25">
      <c r="A784" s="1" t="str">
        <f>IF('1.1 Produksi Bersih Padi 2025'!A784="","",'1.1 Produksi Bersih Padi 2025'!A784)</f>
        <v/>
      </c>
      <c r="B784" s="31" t="str">
        <f>IF('1.1 Produksi Bersih Padi 2025'!B784="","",'1.1 Produksi Bersih Padi 2025'!B784)</f>
        <v/>
      </c>
      <c r="C784" s="31" t="str">
        <f>IF('1.1 Produksi Bersih Padi 2025'!C784="","",'1.1 Produksi Bersih Padi 2025'!C784)</f>
        <v/>
      </c>
      <c r="D784" s="1" t="str">
        <f>IF('1.1 Produksi Bersih Padi 2025'!D784="","",'1.1 Produksi Bersih Padi 2025'!D784)</f>
        <v/>
      </c>
      <c r="E784" s="1" t="str">
        <f>IF('1.1 Produksi Bersih Padi 2025'!E784="","",'1.1 Produksi Bersih Padi 2025'!E784)</f>
        <v/>
      </c>
      <c r="F784" s="28" t="str">
        <f>IF(D784="","",VLOOKUP(D784,'[1]0.1 Produksi Pangan &amp; Penduduk'!$D$5:$AE$860,28,0))</f>
        <v/>
      </c>
      <c r="G784" s="29" t="str">
        <f t="shared" si="60"/>
        <v/>
      </c>
      <c r="H784" s="29" t="str">
        <f t="shared" si="61"/>
        <v/>
      </c>
      <c r="I784" s="29" t="str">
        <f t="shared" si="62"/>
        <v/>
      </c>
      <c r="J784" s="29" t="str">
        <f t="shared" si="63"/>
        <v/>
      </c>
      <c r="K784" s="29" t="str">
        <f t="shared" si="64"/>
        <v/>
      </c>
    </row>
    <row r="785" spans="1:11" ht="15" x14ac:dyDescent="0.25">
      <c r="A785" s="1" t="str">
        <f>IF('1.1 Produksi Bersih Padi 2025'!A785="","",'1.1 Produksi Bersih Padi 2025'!A785)</f>
        <v/>
      </c>
      <c r="B785" s="31" t="str">
        <f>IF('1.1 Produksi Bersih Padi 2025'!B785="","",'1.1 Produksi Bersih Padi 2025'!B785)</f>
        <v/>
      </c>
      <c r="C785" s="31" t="str">
        <f>IF('1.1 Produksi Bersih Padi 2025'!C785="","",'1.1 Produksi Bersih Padi 2025'!C785)</f>
        <v/>
      </c>
      <c r="D785" s="1" t="str">
        <f>IF('1.1 Produksi Bersih Padi 2025'!D785="","",'1.1 Produksi Bersih Padi 2025'!D785)</f>
        <v/>
      </c>
      <c r="E785" s="1" t="str">
        <f>IF('1.1 Produksi Bersih Padi 2025'!E785="","",'1.1 Produksi Bersih Padi 2025'!E785)</f>
        <v/>
      </c>
      <c r="F785" s="28" t="str">
        <f>IF(D785="","",VLOOKUP(D785,'[1]0.1 Produksi Pangan &amp; Penduduk'!$D$5:$AE$860,28,0))</f>
        <v/>
      </c>
      <c r="G785" s="29" t="str">
        <f t="shared" si="60"/>
        <v/>
      </c>
      <c r="H785" s="29" t="str">
        <f t="shared" si="61"/>
        <v/>
      </c>
      <c r="I785" s="29" t="str">
        <f t="shared" si="62"/>
        <v/>
      </c>
      <c r="J785" s="29" t="str">
        <f t="shared" si="63"/>
        <v/>
      </c>
      <c r="K785" s="29" t="str">
        <f t="shared" si="64"/>
        <v/>
      </c>
    </row>
    <row r="786" spans="1:11" ht="15" x14ac:dyDescent="0.25">
      <c r="A786" s="1" t="str">
        <f>IF('1.1 Produksi Bersih Padi 2025'!A786="","",'1.1 Produksi Bersih Padi 2025'!A786)</f>
        <v/>
      </c>
      <c r="B786" s="31" t="str">
        <f>IF('1.1 Produksi Bersih Padi 2025'!B786="","",'1.1 Produksi Bersih Padi 2025'!B786)</f>
        <v/>
      </c>
      <c r="C786" s="31" t="str">
        <f>IF('1.1 Produksi Bersih Padi 2025'!C786="","",'1.1 Produksi Bersih Padi 2025'!C786)</f>
        <v/>
      </c>
      <c r="D786" s="1" t="str">
        <f>IF('1.1 Produksi Bersih Padi 2025'!D786="","",'1.1 Produksi Bersih Padi 2025'!D786)</f>
        <v/>
      </c>
      <c r="E786" s="1" t="str">
        <f>IF('1.1 Produksi Bersih Padi 2025'!E786="","",'1.1 Produksi Bersih Padi 2025'!E786)</f>
        <v/>
      </c>
      <c r="F786" s="28" t="str">
        <f>IF(D786="","",VLOOKUP(D786,'[1]0.1 Produksi Pangan &amp; Penduduk'!$D$5:$AE$860,28,0))</f>
        <v/>
      </c>
      <c r="G786" s="29" t="str">
        <f t="shared" si="60"/>
        <v/>
      </c>
      <c r="H786" s="29" t="str">
        <f t="shared" si="61"/>
        <v/>
      </c>
      <c r="I786" s="29" t="str">
        <f t="shared" si="62"/>
        <v/>
      </c>
      <c r="J786" s="29" t="str">
        <f t="shared" si="63"/>
        <v/>
      </c>
      <c r="K786" s="29" t="str">
        <f t="shared" si="64"/>
        <v/>
      </c>
    </row>
    <row r="787" spans="1:11" ht="15" x14ac:dyDescent="0.25">
      <c r="A787" s="1" t="str">
        <f>IF('1.1 Produksi Bersih Padi 2025'!A787="","",'1.1 Produksi Bersih Padi 2025'!A787)</f>
        <v/>
      </c>
      <c r="B787" s="31" t="str">
        <f>IF('1.1 Produksi Bersih Padi 2025'!B787="","",'1.1 Produksi Bersih Padi 2025'!B787)</f>
        <v/>
      </c>
      <c r="C787" s="31" t="str">
        <f>IF('1.1 Produksi Bersih Padi 2025'!C787="","",'1.1 Produksi Bersih Padi 2025'!C787)</f>
        <v/>
      </c>
      <c r="D787" s="1" t="str">
        <f>IF('1.1 Produksi Bersih Padi 2025'!D787="","",'1.1 Produksi Bersih Padi 2025'!D787)</f>
        <v/>
      </c>
      <c r="E787" s="1" t="str">
        <f>IF('1.1 Produksi Bersih Padi 2025'!E787="","",'1.1 Produksi Bersih Padi 2025'!E787)</f>
        <v/>
      </c>
      <c r="F787" s="28" t="str">
        <f>IF(D787="","",VLOOKUP(D787,'[1]0.1 Produksi Pangan &amp; Penduduk'!$D$5:$AE$860,28,0))</f>
        <v/>
      </c>
      <c r="G787" s="29" t="str">
        <f t="shared" si="60"/>
        <v/>
      </c>
      <c r="H787" s="29" t="str">
        <f t="shared" si="61"/>
        <v/>
      </c>
      <c r="I787" s="29" t="str">
        <f t="shared" si="62"/>
        <v/>
      </c>
      <c r="J787" s="29" t="str">
        <f t="shared" si="63"/>
        <v/>
      </c>
      <c r="K787" s="29" t="str">
        <f t="shared" si="64"/>
        <v/>
      </c>
    </row>
    <row r="788" spans="1:11" ht="15" x14ac:dyDescent="0.25">
      <c r="A788" s="1" t="str">
        <f>IF('1.1 Produksi Bersih Padi 2025'!A788="","",'1.1 Produksi Bersih Padi 2025'!A788)</f>
        <v/>
      </c>
      <c r="B788" s="31" t="str">
        <f>IF('1.1 Produksi Bersih Padi 2025'!B788="","",'1.1 Produksi Bersih Padi 2025'!B788)</f>
        <v/>
      </c>
      <c r="C788" s="31" t="str">
        <f>IF('1.1 Produksi Bersih Padi 2025'!C788="","",'1.1 Produksi Bersih Padi 2025'!C788)</f>
        <v/>
      </c>
      <c r="D788" s="1" t="str">
        <f>IF('1.1 Produksi Bersih Padi 2025'!D788="","",'1.1 Produksi Bersih Padi 2025'!D788)</f>
        <v/>
      </c>
      <c r="E788" s="1" t="str">
        <f>IF('1.1 Produksi Bersih Padi 2025'!E788="","",'1.1 Produksi Bersih Padi 2025'!E788)</f>
        <v/>
      </c>
      <c r="F788" s="28" t="str">
        <f>IF(D788="","",VLOOKUP(D788,'[1]0.1 Produksi Pangan &amp; Penduduk'!$D$5:$AE$860,28,0))</f>
        <v/>
      </c>
      <c r="G788" s="29" t="str">
        <f t="shared" si="60"/>
        <v/>
      </c>
      <c r="H788" s="29" t="str">
        <f t="shared" si="61"/>
        <v/>
      </c>
      <c r="I788" s="29" t="str">
        <f t="shared" si="62"/>
        <v/>
      </c>
      <c r="J788" s="29" t="str">
        <f t="shared" si="63"/>
        <v/>
      </c>
      <c r="K788" s="29" t="str">
        <f t="shared" si="64"/>
        <v/>
      </c>
    </row>
    <row r="789" spans="1:11" ht="15" x14ac:dyDescent="0.25">
      <c r="A789" s="1" t="str">
        <f>IF('1.1 Produksi Bersih Padi 2025'!A789="","",'1.1 Produksi Bersih Padi 2025'!A789)</f>
        <v/>
      </c>
      <c r="B789" s="31" t="str">
        <f>IF('1.1 Produksi Bersih Padi 2025'!B789="","",'1.1 Produksi Bersih Padi 2025'!B789)</f>
        <v/>
      </c>
      <c r="C789" s="31" t="str">
        <f>IF('1.1 Produksi Bersih Padi 2025'!C789="","",'1.1 Produksi Bersih Padi 2025'!C789)</f>
        <v/>
      </c>
      <c r="D789" s="1" t="str">
        <f>IF('1.1 Produksi Bersih Padi 2025'!D789="","",'1.1 Produksi Bersih Padi 2025'!D789)</f>
        <v/>
      </c>
      <c r="E789" s="1" t="str">
        <f>IF('1.1 Produksi Bersih Padi 2025'!E789="","",'1.1 Produksi Bersih Padi 2025'!E789)</f>
        <v/>
      </c>
      <c r="F789" s="28" t="str">
        <f>IF(D789="","",VLOOKUP(D789,'[1]0.1 Produksi Pangan &amp; Penduduk'!$D$5:$AE$860,28,0))</f>
        <v/>
      </c>
      <c r="G789" s="29" t="str">
        <f t="shared" si="60"/>
        <v/>
      </c>
      <c r="H789" s="29" t="str">
        <f t="shared" si="61"/>
        <v/>
      </c>
      <c r="I789" s="29" t="str">
        <f t="shared" si="62"/>
        <v/>
      </c>
      <c r="J789" s="29" t="str">
        <f t="shared" si="63"/>
        <v/>
      </c>
      <c r="K789" s="29" t="str">
        <f t="shared" si="64"/>
        <v/>
      </c>
    </row>
    <row r="790" spans="1:11" ht="15" x14ac:dyDescent="0.25">
      <c r="A790" s="1" t="str">
        <f>IF('1.1 Produksi Bersih Padi 2025'!A790="","",'1.1 Produksi Bersih Padi 2025'!A790)</f>
        <v/>
      </c>
      <c r="B790" s="31" t="str">
        <f>IF('1.1 Produksi Bersih Padi 2025'!B790="","",'1.1 Produksi Bersih Padi 2025'!B790)</f>
        <v/>
      </c>
      <c r="C790" s="31" t="str">
        <f>IF('1.1 Produksi Bersih Padi 2025'!C790="","",'1.1 Produksi Bersih Padi 2025'!C790)</f>
        <v/>
      </c>
      <c r="D790" s="1" t="str">
        <f>IF('1.1 Produksi Bersih Padi 2025'!D790="","",'1.1 Produksi Bersih Padi 2025'!D790)</f>
        <v/>
      </c>
      <c r="E790" s="1" t="str">
        <f>IF('1.1 Produksi Bersih Padi 2025'!E790="","",'1.1 Produksi Bersih Padi 2025'!E790)</f>
        <v/>
      </c>
      <c r="F790" s="28" t="str">
        <f>IF(D790="","",VLOOKUP(D790,'[1]0.1 Produksi Pangan &amp; Penduduk'!$D$5:$AE$860,28,0))</f>
        <v/>
      </c>
      <c r="G790" s="29" t="str">
        <f t="shared" si="60"/>
        <v/>
      </c>
      <c r="H790" s="29" t="str">
        <f t="shared" si="61"/>
        <v/>
      </c>
      <c r="I790" s="29" t="str">
        <f t="shared" si="62"/>
        <v/>
      </c>
      <c r="J790" s="29" t="str">
        <f t="shared" si="63"/>
        <v/>
      </c>
      <c r="K790" s="29" t="str">
        <f t="shared" si="64"/>
        <v/>
      </c>
    </row>
    <row r="791" spans="1:11" ht="15" x14ac:dyDescent="0.25">
      <c r="A791" s="1" t="str">
        <f>IF('1.1 Produksi Bersih Padi 2025'!A791="","",'1.1 Produksi Bersih Padi 2025'!A791)</f>
        <v/>
      </c>
      <c r="B791" s="31" t="str">
        <f>IF('1.1 Produksi Bersih Padi 2025'!B791="","",'1.1 Produksi Bersih Padi 2025'!B791)</f>
        <v/>
      </c>
      <c r="C791" s="31" t="str">
        <f>IF('1.1 Produksi Bersih Padi 2025'!C791="","",'1.1 Produksi Bersih Padi 2025'!C791)</f>
        <v/>
      </c>
      <c r="D791" s="1" t="str">
        <f>IF('1.1 Produksi Bersih Padi 2025'!D791="","",'1.1 Produksi Bersih Padi 2025'!D791)</f>
        <v/>
      </c>
      <c r="E791" s="1" t="str">
        <f>IF('1.1 Produksi Bersih Padi 2025'!E791="","",'1.1 Produksi Bersih Padi 2025'!E791)</f>
        <v/>
      </c>
      <c r="F791" s="28" t="str">
        <f>IF(D791="","",VLOOKUP(D791,'[1]0.1 Produksi Pangan &amp; Penduduk'!$D$5:$AE$860,28,0))</f>
        <v/>
      </c>
      <c r="G791" s="29" t="str">
        <f t="shared" si="60"/>
        <v/>
      </c>
      <c r="H791" s="29" t="str">
        <f t="shared" si="61"/>
        <v/>
      </c>
      <c r="I791" s="29" t="str">
        <f t="shared" si="62"/>
        <v/>
      </c>
      <c r="J791" s="29" t="str">
        <f t="shared" si="63"/>
        <v/>
      </c>
      <c r="K791" s="29" t="str">
        <f t="shared" si="64"/>
        <v/>
      </c>
    </row>
    <row r="792" spans="1:11" ht="15" x14ac:dyDescent="0.25">
      <c r="A792" s="1" t="str">
        <f>IF('1.1 Produksi Bersih Padi 2025'!A792="","",'1.1 Produksi Bersih Padi 2025'!A792)</f>
        <v/>
      </c>
      <c r="B792" s="31" t="str">
        <f>IF('1.1 Produksi Bersih Padi 2025'!B792="","",'1.1 Produksi Bersih Padi 2025'!B792)</f>
        <v/>
      </c>
      <c r="C792" s="31" t="str">
        <f>IF('1.1 Produksi Bersih Padi 2025'!C792="","",'1.1 Produksi Bersih Padi 2025'!C792)</f>
        <v/>
      </c>
      <c r="D792" s="1" t="str">
        <f>IF('1.1 Produksi Bersih Padi 2025'!D792="","",'1.1 Produksi Bersih Padi 2025'!D792)</f>
        <v/>
      </c>
      <c r="E792" s="1" t="str">
        <f>IF('1.1 Produksi Bersih Padi 2025'!E792="","",'1.1 Produksi Bersih Padi 2025'!E792)</f>
        <v/>
      </c>
      <c r="F792" s="28" t="str">
        <f>IF(D792="","",VLOOKUP(D792,'[1]0.1 Produksi Pangan &amp; Penduduk'!$D$5:$AE$860,28,0))</f>
        <v/>
      </c>
      <c r="G792" s="29" t="str">
        <f t="shared" si="60"/>
        <v/>
      </c>
      <c r="H792" s="29" t="str">
        <f t="shared" si="61"/>
        <v/>
      </c>
      <c r="I792" s="29" t="str">
        <f t="shared" si="62"/>
        <v/>
      </c>
      <c r="J792" s="29" t="str">
        <f t="shared" si="63"/>
        <v/>
      </c>
      <c r="K792" s="29" t="str">
        <f t="shared" si="64"/>
        <v/>
      </c>
    </row>
    <row r="793" spans="1:11" ht="15" x14ac:dyDescent="0.25">
      <c r="A793" s="1" t="str">
        <f>IF('1.1 Produksi Bersih Padi 2025'!A793="","",'1.1 Produksi Bersih Padi 2025'!A793)</f>
        <v/>
      </c>
      <c r="B793" s="31" t="str">
        <f>IF('1.1 Produksi Bersih Padi 2025'!B793="","",'1.1 Produksi Bersih Padi 2025'!B793)</f>
        <v/>
      </c>
      <c r="C793" s="31" t="str">
        <f>IF('1.1 Produksi Bersih Padi 2025'!C793="","",'1.1 Produksi Bersih Padi 2025'!C793)</f>
        <v/>
      </c>
      <c r="D793" s="1" t="str">
        <f>IF('1.1 Produksi Bersih Padi 2025'!D793="","",'1.1 Produksi Bersih Padi 2025'!D793)</f>
        <v/>
      </c>
      <c r="E793" s="1" t="str">
        <f>IF('1.1 Produksi Bersih Padi 2025'!E793="","",'1.1 Produksi Bersih Padi 2025'!E793)</f>
        <v/>
      </c>
      <c r="F793" s="28" t="str">
        <f>IF(D793="","",VLOOKUP(D793,'[1]0.1 Produksi Pangan &amp; Penduduk'!$D$5:$AE$860,28,0))</f>
        <v/>
      </c>
      <c r="G793" s="29" t="str">
        <f t="shared" si="60"/>
        <v/>
      </c>
      <c r="H793" s="29" t="str">
        <f t="shared" si="61"/>
        <v/>
      </c>
      <c r="I793" s="29" t="str">
        <f t="shared" si="62"/>
        <v/>
      </c>
      <c r="J793" s="29" t="str">
        <f t="shared" si="63"/>
        <v/>
      </c>
      <c r="K793" s="29" t="str">
        <f t="shared" si="64"/>
        <v/>
      </c>
    </row>
    <row r="794" spans="1:11" ht="15" x14ac:dyDescent="0.25">
      <c r="A794" s="1" t="str">
        <f>IF('1.1 Produksi Bersih Padi 2025'!A794="","",'1.1 Produksi Bersih Padi 2025'!A794)</f>
        <v/>
      </c>
      <c r="B794" s="31" t="str">
        <f>IF('1.1 Produksi Bersih Padi 2025'!B794="","",'1.1 Produksi Bersih Padi 2025'!B794)</f>
        <v/>
      </c>
      <c r="C794" s="31" t="str">
        <f>IF('1.1 Produksi Bersih Padi 2025'!C794="","",'1.1 Produksi Bersih Padi 2025'!C794)</f>
        <v/>
      </c>
      <c r="D794" s="1" t="str">
        <f>IF('1.1 Produksi Bersih Padi 2025'!D794="","",'1.1 Produksi Bersih Padi 2025'!D794)</f>
        <v/>
      </c>
      <c r="E794" s="1" t="str">
        <f>IF('1.1 Produksi Bersih Padi 2025'!E794="","",'1.1 Produksi Bersih Padi 2025'!E794)</f>
        <v/>
      </c>
      <c r="F794" s="28" t="str">
        <f>IF(D794="","",VLOOKUP(D794,'[1]0.1 Produksi Pangan &amp; Penduduk'!$D$5:$AE$860,28,0))</f>
        <v/>
      </c>
      <c r="G794" s="29" t="str">
        <f t="shared" si="60"/>
        <v/>
      </c>
      <c r="H794" s="29" t="str">
        <f t="shared" si="61"/>
        <v/>
      </c>
      <c r="I794" s="29" t="str">
        <f t="shared" si="62"/>
        <v/>
      </c>
      <c r="J794" s="29" t="str">
        <f t="shared" si="63"/>
        <v/>
      </c>
      <c r="K794" s="29" t="str">
        <f t="shared" si="64"/>
        <v/>
      </c>
    </row>
    <row r="795" spans="1:11" ht="15" x14ac:dyDescent="0.25">
      <c r="A795" s="1" t="str">
        <f>IF('1.1 Produksi Bersih Padi 2025'!A795="","",'1.1 Produksi Bersih Padi 2025'!A795)</f>
        <v/>
      </c>
      <c r="B795" s="31" t="str">
        <f>IF('1.1 Produksi Bersih Padi 2025'!B795="","",'1.1 Produksi Bersih Padi 2025'!B795)</f>
        <v/>
      </c>
      <c r="C795" s="31" t="str">
        <f>IF('1.1 Produksi Bersih Padi 2025'!C795="","",'1.1 Produksi Bersih Padi 2025'!C795)</f>
        <v/>
      </c>
      <c r="D795" s="1" t="str">
        <f>IF('1.1 Produksi Bersih Padi 2025'!D795="","",'1.1 Produksi Bersih Padi 2025'!D795)</f>
        <v/>
      </c>
      <c r="E795" s="1" t="str">
        <f>IF('1.1 Produksi Bersih Padi 2025'!E795="","",'1.1 Produksi Bersih Padi 2025'!E795)</f>
        <v/>
      </c>
      <c r="F795" s="28" t="str">
        <f>IF(D795="","",VLOOKUP(D795,'[1]0.1 Produksi Pangan &amp; Penduduk'!$D$5:$AE$860,28,0))</f>
        <v/>
      </c>
      <c r="G795" s="29" t="str">
        <f t="shared" si="60"/>
        <v/>
      </c>
      <c r="H795" s="29" t="str">
        <f t="shared" si="61"/>
        <v/>
      </c>
      <c r="I795" s="29" t="str">
        <f t="shared" si="62"/>
        <v/>
      </c>
      <c r="J795" s="29" t="str">
        <f t="shared" si="63"/>
        <v/>
      </c>
      <c r="K795" s="29" t="str">
        <f t="shared" si="64"/>
        <v/>
      </c>
    </row>
    <row r="796" spans="1:11" ht="15" x14ac:dyDescent="0.25">
      <c r="A796" s="1" t="str">
        <f>IF('1.1 Produksi Bersih Padi 2025'!A796="","",'1.1 Produksi Bersih Padi 2025'!A796)</f>
        <v/>
      </c>
      <c r="B796" s="31" t="str">
        <f>IF('1.1 Produksi Bersih Padi 2025'!B796="","",'1.1 Produksi Bersih Padi 2025'!B796)</f>
        <v/>
      </c>
      <c r="C796" s="31" t="str">
        <f>IF('1.1 Produksi Bersih Padi 2025'!C796="","",'1.1 Produksi Bersih Padi 2025'!C796)</f>
        <v/>
      </c>
      <c r="D796" s="1" t="str">
        <f>IF('1.1 Produksi Bersih Padi 2025'!D796="","",'1.1 Produksi Bersih Padi 2025'!D796)</f>
        <v/>
      </c>
      <c r="E796" s="1" t="str">
        <f>IF('1.1 Produksi Bersih Padi 2025'!E796="","",'1.1 Produksi Bersih Padi 2025'!E796)</f>
        <v/>
      </c>
      <c r="F796" s="28" t="str">
        <f>IF(D796="","",VLOOKUP(D796,'[1]0.1 Produksi Pangan &amp; Penduduk'!$D$5:$AE$860,28,0))</f>
        <v/>
      </c>
      <c r="G796" s="29" t="str">
        <f t="shared" si="60"/>
        <v/>
      </c>
      <c r="H796" s="29" t="str">
        <f t="shared" si="61"/>
        <v/>
      </c>
      <c r="I796" s="29" t="str">
        <f t="shared" si="62"/>
        <v/>
      </c>
      <c r="J796" s="29" t="str">
        <f t="shared" si="63"/>
        <v/>
      </c>
      <c r="K796" s="29" t="str">
        <f t="shared" si="64"/>
        <v/>
      </c>
    </row>
    <row r="797" spans="1:11" ht="15" x14ac:dyDescent="0.25">
      <c r="A797" s="1" t="str">
        <f>IF('1.1 Produksi Bersih Padi 2025'!A797="","",'1.1 Produksi Bersih Padi 2025'!A797)</f>
        <v/>
      </c>
      <c r="B797" s="31" t="str">
        <f>IF('1.1 Produksi Bersih Padi 2025'!B797="","",'1.1 Produksi Bersih Padi 2025'!B797)</f>
        <v/>
      </c>
      <c r="C797" s="31" t="str">
        <f>IF('1.1 Produksi Bersih Padi 2025'!C797="","",'1.1 Produksi Bersih Padi 2025'!C797)</f>
        <v/>
      </c>
      <c r="D797" s="1" t="str">
        <f>IF('1.1 Produksi Bersih Padi 2025'!D797="","",'1.1 Produksi Bersih Padi 2025'!D797)</f>
        <v/>
      </c>
      <c r="E797" s="1" t="str">
        <f>IF('1.1 Produksi Bersih Padi 2025'!E797="","",'1.1 Produksi Bersih Padi 2025'!E797)</f>
        <v/>
      </c>
      <c r="F797" s="28" t="str">
        <f>IF(D797="","",VLOOKUP(D797,'[1]0.1 Produksi Pangan &amp; Penduduk'!$D$5:$AE$860,28,0))</f>
        <v/>
      </c>
      <c r="G797" s="29" t="str">
        <f t="shared" si="60"/>
        <v/>
      </c>
      <c r="H797" s="29" t="str">
        <f t="shared" si="61"/>
        <v/>
      </c>
      <c r="I797" s="29" t="str">
        <f t="shared" si="62"/>
        <v/>
      </c>
      <c r="J797" s="29" t="str">
        <f t="shared" si="63"/>
        <v/>
      </c>
      <c r="K797" s="29" t="str">
        <f t="shared" si="64"/>
        <v/>
      </c>
    </row>
    <row r="798" spans="1:11" ht="15" x14ac:dyDescent="0.25">
      <c r="A798" s="1" t="str">
        <f>IF('1.1 Produksi Bersih Padi 2025'!A798="","",'1.1 Produksi Bersih Padi 2025'!A798)</f>
        <v/>
      </c>
      <c r="B798" s="31" t="str">
        <f>IF('1.1 Produksi Bersih Padi 2025'!B798="","",'1.1 Produksi Bersih Padi 2025'!B798)</f>
        <v/>
      </c>
      <c r="C798" s="31" t="str">
        <f>IF('1.1 Produksi Bersih Padi 2025'!C798="","",'1.1 Produksi Bersih Padi 2025'!C798)</f>
        <v/>
      </c>
      <c r="D798" s="1" t="str">
        <f>IF('1.1 Produksi Bersih Padi 2025'!D798="","",'1.1 Produksi Bersih Padi 2025'!D798)</f>
        <v/>
      </c>
      <c r="E798" s="1" t="str">
        <f>IF('1.1 Produksi Bersih Padi 2025'!E798="","",'1.1 Produksi Bersih Padi 2025'!E798)</f>
        <v/>
      </c>
      <c r="F798" s="28" t="str">
        <f>IF(D798="","",VLOOKUP(D798,'[1]0.1 Produksi Pangan &amp; Penduduk'!$D$5:$AE$860,28,0))</f>
        <v/>
      </c>
      <c r="G798" s="29" t="str">
        <f t="shared" si="60"/>
        <v/>
      </c>
      <c r="H798" s="29" t="str">
        <f t="shared" si="61"/>
        <v/>
      </c>
      <c r="I798" s="29" t="str">
        <f t="shared" si="62"/>
        <v/>
      </c>
      <c r="J798" s="29" t="str">
        <f t="shared" si="63"/>
        <v/>
      </c>
      <c r="K798" s="29" t="str">
        <f t="shared" si="64"/>
        <v/>
      </c>
    </row>
    <row r="799" spans="1:11" ht="15" x14ac:dyDescent="0.25">
      <c r="A799" s="1" t="str">
        <f>IF('1.1 Produksi Bersih Padi 2025'!A799="","",'1.1 Produksi Bersih Padi 2025'!A799)</f>
        <v/>
      </c>
      <c r="B799" s="31" t="str">
        <f>IF('1.1 Produksi Bersih Padi 2025'!B799="","",'1.1 Produksi Bersih Padi 2025'!B799)</f>
        <v/>
      </c>
      <c r="C799" s="31" t="str">
        <f>IF('1.1 Produksi Bersih Padi 2025'!C799="","",'1.1 Produksi Bersih Padi 2025'!C799)</f>
        <v/>
      </c>
      <c r="D799" s="1" t="str">
        <f>IF('1.1 Produksi Bersih Padi 2025'!D799="","",'1.1 Produksi Bersih Padi 2025'!D799)</f>
        <v/>
      </c>
      <c r="E799" s="1" t="str">
        <f>IF('1.1 Produksi Bersih Padi 2025'!E799="","",'1.1 Produksi Bersih Padi 2025'!E799)</f>
        <v/>
      </c>
      <c r="F799" s="28" t="str">
        <f>IF(D799="","",VLOOKUP(D799,'[1]0.1 Produksi Pangan &amp; Penduduk'!$D$5:$AE$860,28,0))</f>
        <v/>
      </c>
      <c r="G799" s="29" t="str">
        <f t="shared" si="60"/>
        <v/>
      </c>
      <c r="H799" s="29" t="str">
        <f t="shared" si="61"/>
        <v/>
      </c>
      <c r="I799" s="29" t="str">
        <f t="shared" si="62"/>
        <v/>
      </c>
      <c r="J799" s="29" t="str">
        <f t="shared" si="63"/>
        <v/>
      </c>
      <c r="K799" s="29" t="str">
        <f t="shared" si="64"/>
        <v/>
      </c>
    </row>
    <row r="800" spans="1:11" ht="15" x14ac:dyDescent="0.25">
      <c r="A800" s="1" t="str">
        <f>IF('1.1 Produksi Bersih Padi 2025'!A800="","",'1.1 Produksi Bersih Padi 2025'!A800)</f>
        <v/>
      </c>
      <c r="B800" s="31" t="str">
        <f>IF('1.1 Produksi Bersih Padi 2025'!B800="","",'1.1 Produksi Bersih Padi 2025'!B800)</f>
        <v/>
      </c>
      <c r="C800" s="31" t="str">
        <f>IF('1.1 Produksi Bersih Padi 2025'!C800="","",'1.1 Produksi Bersih Padi 2025'!C800)</f>
        <v/>
      </c>
      <c r="D800" s="1" t="str">
        <f>IF('1.1 Produksi Bersih Padi 2025'!D800="","",'1.1 Produksi Bersih Padi 2025'!D800)</f>
        <v/>
      </c>
      <c r="E800" s="1" t="str">
        <f>IF('1.1 Produksi Bersih Padi 2025'!E800="","",'1.1 Produksi Bersih Padi 2025'!E800)</f>
        <v/>
      </c>
      <c r="F800" s="28" t="str">
        <f>IF(D800="","",VLOOKUP(D800,'[1]0.1 Produksi Pangan &amp; Penduduk'!$D$5:$AE$860,28,0))</f>
        <v/>
      </c>
      <c r="G800" s="29" t="str">
        <f t="shared" si="60"/>
        <v/>
      </c>
      <c r="H800" s="29" t="str">
        <f t="shared" si="61"/>
        <v/>
      </c>
      <c r="I800" s="29" t="str">
        <f t="shared" si="62"/>
        <v/>
      </c>
      <c r="J800" s="29" t="str">
        <f t="shared" si="63"/>
        <v/>
      </c>
      <c r="K800" s="29" t="str">
        <f t="shared" si="64"/>
        <v/>
      </c>
    </row>
    <row r="801" spans="1:11" ht="15" x14ac:dyDescent="0.25">
      <c r="A801" s="1" t="str">
        <f>IF('1.1 Produksi Bersih Padi 2025'!A801="","",'1.1 Produksi Bersih Padi 2025'!A801)</f>
        <v/>
      </c>
      <c r="B801" s="31" t="str">
        <f>IF('1.1 Produksi Bersih Padi 2025'!B801="","",'1.1 Produksi Bersih Padi 2025'!B801)</f>
        <v/>
      </c>
      <c r="C801" s="31" t="str">
        <f>IF('1.1 Produksi Bersih Padi 2025'!C801="","",'1.1 Produksi Bersih Padi 2025'!C801)</f>
        <v/>
      </c>
      <c r="D801" s="1" t="str">
        <f>IF('1.1 Produksi Bersih Padi 2025'!D801="","",'1.1 Produksi Bersih Padi 2025'!D801)</f>
        <v/>
      </c>
      <c r="E801" s="1" t="str">
        <f>IF('1.1 Produksi Bersih Padi 2025'!E801="","",'1.1 Produksi Bersih Padi 2025'!E801)</f>
        <v/>
      </c>
      <c r="F801" s="28" t="str">
        <f>IF(D801="","",VLOOKUP(D801,'[1]0.1 Produksi Pangan &amp; Penduduk'!$D$5:$AE$860,28,0))</f>
        <v/>
      </c>
      <c r="G801" s="29" t="str">
        <f t="shared" si="60"/>
        <v/>
      </c>
      <c r="H801" s="29" t="str">
        <f t="shared" si="61"/>
        <v/>
      </c>
      <c r="I801" s="29" t="str">
        <f t="shared" si="62"/>
        <v/>
      </c>
      <c r="J801" s="29" t="str">
        <f t="shared" si="63"/>
        <v/>
      </c>
      <c r="K801" s="29" t="str">
        <f t="shared" si="64"/>
        <v/>
      </c>
    </row>
    <row r="802" spans="1:11" ht="15" x14ac:dyDescent="0.25">
      <c r="A802" s="1" t="str">
        <f>IF('1.1 Produksi Bersih Padi 2025'!A802="","",'1.1 Produksi Bersih Padi 2025'!A802)</f>
        <v/>
      </c>
      <c r="B802" s="31" t="str">
        <f>IF('1.1 Produksi Bersih Padi 2025'!B802="","",'1.1 Produksi Bersih Padi 2025'!B802)</f>
        <v/>
      </c>
      <c r="C802" s="31" t="str">
        <f>IF('1.1 Produksi Bersih Padi 2025'!C802="","",'1.1 Produksi Bersih Padi 2025'!C802)</f>
        <v/>
      </c>
      <c r="D802" s="1" t="str">
        <f>IF('1.1 Produksi Bersih Padi 2025'!D802="","",'1.1 Produksi Bersih Padi 2025'!D802)</f>
        <v/>
      </c>
      <c r="E802" s="1" t="str">
        <f>IF('1.1 Produksi Bersih Padi 2025'!E802="","",'1.1 Produksi Bersih Padi 2025'!E802)</f>
        <v/>
      </c>
      <c r="F802" s="28" t="str">
        <f>IF(D802="","",VLOOKUP(D802,'[1]0.1 Produksi Pangan &amp; Penduduk'!$D$5:$AE$860,28,0))</f>
        <v/>
      </c>
      <c r="G802" s="29" t="str">
        <f t="shared" si="60"/>
        <v/>
      </c>
      <c r="H802" s="29" t="str">
        <f t="shared" si="61"/>
        <v/>
      </c>
      <c r="I802" s="29" t="str">
        <f t="shared" si="62"/>
        <v/>
      </c>
      <c r="J802" s="29" t="str">
        <f t="shared" si="63"/>
        <v/>
      </c>
      <c r="K802" s="29" t="str">
        <f t="shared" si="64"/>
        <v/>
      </c>
    </row>
    <row r="803" spans="1:11" ht="15" x14ac:dyDescent="0.25">
      <c r="A803" s="1" t="str">
        <f>IF('1.1 Produksi Bersih Padi 2025'!A803="","",'1.1 Produksi Bersih Padi 2025'!A803)</f>
        <v/>
      </c>
      <c r="B803" s="31" t="str">
        <f>IF('1.1 Produksi Bersih Padi 2025'!B803="","",'1.1 Produksi Bersih Padi 2025'!B803)</f>
        <v/>
      </c>
      <c r="C803" s="31" t="str">
        <f>IF('1.1 Produksi Bersih Padi 2025'!C803="","",'1.1 Produksi Bersih Padi 2025'!C803)</f>
        <v/>
      </c>
      <c r="D803" s="1" t="str">
        <f>IF('1.1 Produksi Bersih Padi 2025'!D803="","",'1.1 Produksi Bersih Padi 2025'!D803)</f>
        <v/>
      </c>
      <c r="E803" s="1" t="str">
        <f>IF('1.1 Produksi Bersih Padi 2025'!E803="","",'1.1 Produksi Bersih Padi 2025'!E803)</f>
        <v/>
      </c>
      <c r="F803" s="28" t="str">
        <f>IF(D803="","",VLOOKUP(D803,'[1]0.1 Produksi Pangan &amp; Penduduk'!$D$5:$AE$860,28,0))</f>
        <v/>
      </c>
      <c r="G803" s="29" t="str">
        <f t="shared" si="60"/>
        <v/>
      </c>
      <c r="H803" s="29" t="str">
        <f t="shared" si="61"/>
        <v/>
      </c>
      <c r="I803" s="29" t="str">
        <f t="shared" si="62"/>
        <v/>
      </c>
      <c r="J803" s="29" t="str">
        <f t="shared" si="63"/>
        <v/>
      </c>
      <c r="K803" s="29" t="str">
        <f t="shared" si="64"/>
        <v/>
      </c>
    </row>
    <row r="804" spans="1:11" ht="15" x14ac:dyDescent="0.25">
      <c r="A804" s="1" t="str">
        <f>IF('1.1 Produksi Bersih Padi 2025'!A804="","",'1.1 Produksi Bersih Padi 2025'!A804)</f>
        <v/>
      </c>
      <c r="B804" s="31" t="str">
        <f>IF('1.1 Produksi Bersih Padi 2025'!B804="","",'1.1 Produksi Bersih Padi 2025'!B804)</f>
        <v/>
      </c>
      <c r="C804" s="31" t="str">
        <f>IF('1.1 Produksi Bersih Padi 2025'!C804="","",'1.1 Produksi Bersih Padi 2025'!C804)</f>
        <v/>
      </c>
      <c r="D804" s="1" t="str">
        <f>IF('1.1 Produksi Bersih Padi 2025'!D804="","",'1.1 Produksi Bersih Padi 2025'!D804)</f>
        <v/>
      </c>
      <c r="E804" s="1" t="str">
        <f>IF('1.1 Produksi Bersih Padi 2025'!E804="","",'1.1 Produksi Bersih Padi 2025'!E804)</f>
        <v/>
      </c>
      <c r="F804" s="28" t="str">
        <f>IF(D804="","",VLOOKUP(D804,'[1]0.1 Produksi Pangan &amp; Penduduk'!$D$5:$AE$860,28,0))</f>
        <v/>
      </c>
      <c r="G804" s="29" t="str">
        <f t="shared" si="60"/>
        <v/>
      </c>
      <c r="H804" s="29" t="str">
        <f t="shared" si="61"/>
        <v/>
      </c>
      <c r="I804" s="29" t="str">
        <f t="shared" si="62"/>
        <v/>
      </c>
      <c r="J804" s="29" t="str">
        <f t="shared" si="63"/>
        <v/>
      </c>
      <c r="K804" s="29" t="str">
        <f t="shared" si="64"/>
        <v/>
      </c>
    </row>
    <row r="805" spans="1:11" ht="15" x14ac:dyDescent="0.25">
      <c r="A805" s="1" t="str">
        <f>IF('1.1 Produksi Bersih Padi 2025'!A805="","",'1.1 Produksi Bersih Padi 2025'!A805)</f>
        <v/>
      </c>
      <c r="B805" s="31" t="str">
        <f>IF('1.1 Produksi Bersih Padi 2025'!B805="","",'1.1 Produksi Bersih Padi 2025'!B805)</f>
        <v/>
      </c>
      <c r="C805" s="31" t="str">
        <f>IF('1.1 Produksi Bersih Padi 2025'!C805="","",'1.1 Produksi Bersih Padi 2025'!C805)</f>
        <v/>
      </c>
      <c r="D805" s="1" t="str">
        <f>IF('1.1 Produksi Bersih Padi 2025'!D805="","",'1.1 Produksi Bersih Padi 2025'!D805)</f>
        <v/>
      </c>
      <c r="E805" s="1" t="str">
        <f>IF('1.1 Produksi Bersih Padi 2025'!E805="","",'1.1 Produksi Bersih Padi 2025'!E805)</f>
        <v/>
      </c>
      <c r="F805" s="28" t="str">
        <f>IF(D805="","",VLOOKUP(D805,'[1]0.1 Produksi Pangan &amp; Penduduk'!$D$5:$AE$860,28,0))</f>
        <v/>
      </c>
      <c r="G805" s="29" t="str">
        <f t="shared" si="60"/>
        <v/>
      </c>
      <c r="H805" s="29" t="str">
        <f t="shared" si="61"/>
        <v/>
      </c>
      <c r="I805" s="29" t="str">
        <f t="shared" si="62"/>
        <v/>
      </c>
      <c r="J805" s="29" t="str">
        <f t="shared" si="63"/>
        <v/>
      </c>
      <c r="K805" s="29" t="str">
        <f t="shared" si="64"/>
        <v/>
      </c>
    </row>
    <row r="806" spans="1:11" ht="15" x14ac:dyDescent="0.25">
      <c r="A806" s="1" t="str">
        <f>IF('1.1 Produksi Bersih Padi 2025'!A806="","",'1.1 Produksi Bersih Padi 2025'!A806)</f>
        <v/>
      </c>
      <c r="B806" s="31" t="str">
        <f>IF('1.1 Produksi Bersih Padi 2025'!B806="","",'1.1 Produksi Bersih Padi 2025'!B806)</f>
        <v/>
      </c>
      <c r="C806" s="31" t="str">
        <f>IF('1.1 Produksi Bersih Padi 2025'!C806="","",'1.1 Produksi Bersih Padi 2025'!C806)</f>
        <v/>
      </c>
      <c r="D806" s="1" t="str">
        <f>IF('1.1 Produksi Bersih Padi 2025'!D806="","",'1.1 Produksi Bersih Padi 2025'!D806)</f>
        <v/>
      </c>
      <c r="E806" s="1" t="str">
        <f>IF('1.1 Produksi Bersih Padi 2025'!E806="","",'1.1 Produksi Bersih Padi 2025'!E806)</f>
        <v/>
      </c>
      <c r="F806" s="28" t="str">
        <f>IF(D806="","",VLOOKUP(D806,'[1]0.1 Produksi Pangan &amp; Penduduk'!$D$5:$AE$860,28,0))</f>
        <v/>
      </c>
      <c r="G806" s="29" t="str">
        <f t="shared" si="60"/>
        <v/>
      </c>
      <c r="H806" s="29" t="str">
        <f t="shared" si="61"/>
        <v/>
      </c>
      <c r="I806" s="29" t="str">
        <f t="shared" si="62"/>
        <v/>
      </c>
      <c r="J806" s="29" t="str">
        <f t="shared" si="63"/>
        <v/>
      </c>
      <c r="K806" s="29" t="str">
        <f t="shared" si="64"/>
        <v/>
      </c>
    </row>
    <row r="807" spans="1:11" ht="15" x14ac:dyDescent="0.25">
      <c r="A807" s="1" t="str">
        <f>IF('1.1 Produksi Bersih Padi 2025'!A807="","",'1.1 Produksi Bersih Padi 2025'!A807)</f>
        <v/>
      </c>
      <c r="B807" s="31" t="str">
        <f>IF('1.1 Produksi Bersih Padi 2025'!B807="","",'1.1 Produksi Bersih Padi 2025'!B807)</f>
        <v/>
      </c>
      <c r="C807" s="31" t="str">
        <f>IF('1.1 Produksi Bersih Padi 2025'!C807="","",'1.1 Produksi Bersih Padi 2025'!C807)</f>
        <v/>
      </c>
      <c r="D807" s="1" t="str">
        <f>IF('1.1 Produksi Bersih Padi 2025'!D807="","",'1.1 Produksi Bersih Padi 2025'!D807)</f>
        <v/>
      </c>
      <c r="E807" s="1" t="str">
        <f>IF('1.1 Produksi Bersih Padi 2025'!E807="","",'1.1 Produksi Bersih Padi 2025'!E807)</f>
        <v/>
      </c>
      <c r="F807" s="28" t="str">
        <f>IF(D807="","",VLOOKUP(D807,'[1]0.1 Produksi Pangan &amp; Penduduk'!$D$5:$AE$860,28,0))</f>
        <v/>
      </c>
      <c r="G807" s="29" t="str">
        <f t="shared" si="60"/>
        <v/>
      </c>
      <c r="H807" s="29" t="str">
        <f t="shared" si="61"/>
        <v/>
      </c>
      <c r="I807" s="29" t="str">
        <f t="shared" si="62"/>
        <v/>
      </c>
      <c r="J807" s="29" t="str">
        <f t="shared" si="63"/>
        <v/>
      </c>
      <c r="K807" s="29" t="str">
        <f t="shared" si="64"/>
        <v/>
      </c>
    </row>
    <row r="808" spans="1:11" ht="15" x14ac:dyDescent="0.25">
      <c r="A808" s="1" t="str">
        <f>IF('1.1 Produksi Bersih Padi 2025'!A808="","",'1.1 Produksi Bersih Padi 2025'!A808)</f>
        <v/>
      </c>
      <c r="B808" s="31" t="str">
        <f>IF('1.1 Produksi Bersih Padi 2025'!B808="","",'1.1 Produksi Bersih Padi 2025'!B808)</f>
        <v/>
      </c>
      <c r="C808" s="31" t="str">
        <f>IF('1.1 Produksi Bersih Padi 2025'!C808="","",'1.1 Produksi Bersih Padi 2025'!C808)</f>
        <v/>
      </c>
      <c r="D808" s="1" t="str">
        <f>IF('1.1 Produksi Bersih Padi 2025'!D808="","",'1.1 Produksi Bersih Padi 2025'!D808)</f>
        <v/>
      </c>
      <c r="E808" s="1" t="str">
        <f>IF('1.1 Produksi Bersih Padi 2025'!E808="","",'1.1 Produksi Bersih Padi 2025'!E808)</f>
        <v/>
      </c>
      <c r="F808" s="28" t="str">
        <f>IF(D808="","",VLOOKUP(D808,'[1]0.1 Produksi Pangan &amp; Penduduk'!$D$5:$AE$860,28,0))</f>
        <v/>
      </c>
      <c r="G808" s="29" t="str">
        <f t="shared" si="60"/>
        <v/>
      </c>
      <c r="H808" s="29" t="str">
        <f t="shared" si="61"/>
        <v/>
      </c>
      <c r="I808" s="29" t="str">
        <f t="shared" si="62"/>
        <v/>
      </c>
      <c r="J808" s="29" t="str">
        <f t="shared" si="63"/>
        <v/>
      </c>
      <c r="K808" s="29" t="str">
        <f t="shared" si="64"/>
        <v/>
      </c>
    </row>
    <row r="809" spans="1:11" ht="15" x14ac:dyDescent="0.25">
      <c r="A809" s="1" t="str">
        <f>IF('1.1 Produksi Bersih Padi 2025'!A809="","",'1.1 Produksi Bersih Padi 2025'!A809)</f>
        <v/>
      </c>
      <c r="B809" s="31" t="str">
        <f>IF('1.1 Produksi Bersih Padi 2025'!B809="","",'1.1 Produksi Bersih Padi 2025'!B809)</f>
        <v/>
      </c>
      <c r="C809" s="31" t="str">
        <f>IF('1.1 Produksi Bersih Padi 2025'!C809="","",'1.1 Produksi Bersih Padi 2025'!C809)</f>
        <v/>
      </c>
      <c r="D809" s="1" t="str">
        <f>IF('1.1 Produksi Bersih Padi 2025'!D809="","",'1.1 Produksi Bersih Padi 2025'!D809)</f>
        <v/>
      </c>
      <c r="E809" s="1" t="str">
        <f>IF('1.1 Produksi Bersih Padi 2025'!E809="","",'1.1 Produksi Bersih Padi 2025'!E809)</f>
        <v/>
      </c>
      <c r="F809" s="28" t="str">
        <f>IF(D809="","",VLOOKUP(D809,'[1]0.1 Produksi Pangan &amp; Penduduk'!$D$5:$AE$860,28,0))</f>
        <v/>
      </c>
      <c r="G809" s="29" t="str">
        <f t="shared" si="60"/>
        <v/>
      </c>
      <c r="H809" s="29" t="str">
        <f t="shared" si="61"/>
        <v/>
      </c>
      <c r="I809" s="29" t="str">
        <f t="shared" si="62"/>
        <v/>
      </c>
      <c r="J809" s="29" t="str">
        <f t="shared" si="63"/>
        <v/>
      </c>
      <c r="K809" s="29" t="str">
        <f t="shared" si="64"/>
        <v/>
      </c>
    </row>
    <row r="810" spans="1:11" ht="15" x14ac:dyDescent="0.25">
      <c r="A810" s="1" t="str">
        <f>IF('1.1 Produksi Bersih Padi 2025'!A810="","",'1.1 Produksi Bersih Padi 2025'!A810)</f>
        <v/>
      </c>
      <c r="B810" s="31" t="str">
        <f>IF('1.1 Produksi Bersih Padi 2025'!B810="","",'1.1 Produksi Bersih Padi 2025'!B810)</f>
        <v/>
      </c>
      <c r="C810" s="31" t="str">
        <f>IF('1.1 Produksi Bersih Padi 2025'!C810="","",'1.1 Produksi Bersih Padi 2025'!C810)</f>
        <v/>
      </c>
      <c r="D810" s="1" t="str">
        <f>IF('1.1 Produksi Bersih Padi 2025'!D810="","",'1.1 Produksi Bersih Padi 2025'!D810)</f>
        <v/>
      </c>
      <c r="E810" s="1" t="str">
        <f>IF('1.1 Produksi Bersih Padi 2025'!E810="","",'1.1 Produksi Bersih Padi 2025'!E810)</f>
        <v/>
      </c>
      <c r="F810" s="28" t="str">
        <f>IF(D810="","",VLOOKUP(D810,'[1]0.1 Produksi Pangan &amp; Penduduk'!$D$5:$AE$860,28,0))</f>
        <v/>
      </c>
      <c r="G810" s="29" t="str">
        <f t="shared" si="60"/>
        <v/>
      </c>
      <c r="H810" s="29" t="str">
        <f t="shared" si="61"/>
        <v/>
      </c>
      <c r="I810" s="29" t="str">
        <f t="shared" si="62"/>
        <v/>
      </c>
      <c r="J810" s="29" t="str">
        <f t="shared" si="63"/>
        <v/>
      </c>
      <c r="K810" s="29" t="str">
        <f t="shared" si="64"/>
        <v/>
      </c>
    </row>
    <row r="811" spans="1:11" ht="15" x14ac:dyDescent="0.25">
      <c r="A811" s="1" t="str">
        <f>IF('1.1 Produksi Bersih Padi 2025'!A811="","",'1.1 Produksi Bersih Padi 2025'!A811)</f>
        <v/>
      </c>
      <c r="B811" s="31" t="str">
        <f>IF('1.1 Produksi Bersih Padi 2025'!B811="","",'1.1 Produksi Bersih Padi 2025'!B811)</f>
        <v/>
      </c>
      <c r="C811" s="31" t="str">
        <f>IF('1.1 Produksi Bersih Padi 2025'!C811="","",'1.1 Produksi Bersih Padi 2025'!C811)</f>
        <v/>
      </c>
      <c r="D811" s="1" t="str">
        <f>IF('1.1 Produksi Bersih Padi 2025'!D811="","",'1.1 Produksi Bersih Padi 2025'!D811)</f>
        <v/>
      </c>
      <c r="E811" s="1" t="str">
        <f>IF('1.1 Produksi Bersih Padi 2025'!E811="","",'1.1 Produksi Bersih Padi 2025'!E811)</f>
        <v/>
      </c>
      <c r="F811" s="28" t="str">
        <f>IF(D811="","",VLOOKUP(D811,'[1]0.1 Produksi Pangan &amp; Penduduk'!$D$5:$AE$860,28,0))</f>
        <v/>
      </c>
      <c r="G811" s="29" t="str">
        <f t="shared" si="60"/>
        <v/>
      </c>
      <c r="H811" s="29" t="str">
        <f t="shared" si="61"/>
        <v/>
      </c>
      <c r="I811" s="29" t="str">
        <f t="shared" si="62"/>
        <v/>
      </c>
      <c r="J811" s="29" t="str">
        <f t="shared" si="63"/>
        <v/>
      </c>
      <c r="K811" s="29" t="str">
        <f t="shared" si="64"/>
        <v/>
      </c>
    </row>
    <row r="812" spans="1:11" ht="15" x14ac:dyDescent="0.25">
      <c r="A812" s="1" t="str">
        <f>IF('1.1 Produksi Bersih Padi 2025'!A812="","",'1.1 Produksi Bersih Padi 2025'!A812)</f>
        <v/>
      </c>
      <c r="B812" s="31" t="str">
        <f>IF('1.1 Produksi Bersih Padi 2025'!B812="","",'1.1 Produksi Bersih Padi 2025'!B812)</f>
        <v/>
      </c>
      <c r="C812" s="31" t="str">
        <f>IF('1.1 Produksi Bersih Padi 2025'!C812="","",'1.1 Produksi Bersih Padi 2025'!C812)</f>
        <v/>
      </c>
      <c r="D812" s="1" t="str">
        <f>IF('1.1 Produksi Bersih Padi 2025'!D812="","",'1.1 Produksi Bersih Padi 2025'!D812)</f>
        <v/>
      </c>
      <c r="E812" s="1" t="str">
        <f>IF('1.1 Produksi Bersih Padi 2025'!E812="","",'1.1 Produksi Bersih Padi 2025'!E812)</f>
        <v/>
      </c>
      <c r="F812" s="28" t="str">
        <f>IF(D812="","",VLOOKUP(D812,'[1]0.1 Produksi Pangan &amp; Penduduk'!$D$5:$AE$860,28,0))</f>
        <v/>
      </c>
      <c r="G812" s="29" t="str">
        <f t="shared" si="60"/>
        <v/>
      </c>
      <c r="H812" s="29" t="str">
        <f t="shared" si="61"/>
        <v/>
      </c>
      <c r="I812" s="29" t="str">
        <f t="shared" si="62"/>
        <v/>
      </c>
      <c r="J812" s="29" t="str">
        <f t="shared" si="63"/>
        <v/>
      </c>
      <c r="K812" s="29" t="str">
        <f t="shared" si="64"/>
        <v/>
      </c>
    </row>
    <row r="813" spans="1:11" ht="15" x14ac:dyDescent="0.25">
      <c r="A813" s="1" t="str">
        <f>IF('1.1 Produksi Bersih Padi 2025'!A813="","",'1.1 Produksi Bersih Padi 2025'!A813)</f>
        <v/>
      </c>
      <c r="B813" s="31" t="str">
        <f>IF('1.1 Produksi Bersih Padi 2025'!B813="","",'1.1 Produksi Bersih Padi 2025'!B813)</f>
        <v/>
      </c>
      <c r="C813" s="31" t="str">
        <f>IF('1.1 Produksi Bersih Padi 2025'!C813="","",'1.1 Produksi Bersih Padi 2025'!C813)</f>
        <v/>
      </c>
      <c r="D813" s="1" t="str">
        <f>IF('1.1 Produksi Bersih Padi 2025'!D813="","",'1.1 Produksi Bersih Padi 2025'!D813)</f>
        <v/>
      </c>
      <c r="E813" s="1" t="str">
        <f>IF('1.1 Produksi Bersih Padi 2025'!E813="","",'1.1 Produksi Bersih Padi 2025'!E813)</f>
        <v/>
      </c>
      <c r="F813" s="28" t="str">
        <f>IF(D813="","",VLOOKUP(D813,'[1]0.1 Produksi Pangan &amp; Penduduk'!$D$5:$AE$860,28,0))</f>
        <v/>
      </c>
      <c r="G813" s="29" t="str">
        <f t="shared" si="60"/>
        <v/>
      </c>
      <c r="H813" s="29" t="str">
        <f t="shared" si="61"/>
        <v/>
      </c>
      <c r="I813" s="29" t="str">
        <f t="shared" si="62"/>
        <v/>
      </c>
      <c r="J813" s="29" t="str">
        <f t="shared" si="63"/>
        <v/>
      </c>
      <c r="K813" s="29" t="str">
        <f t="shared" si="64"/>
        <v/>
      </c>
    </row>
    <row r="814" spans="1:11" ht="15" x14ac:dyDescent="0.25">
      <c r="A814" s="1" t="str">
        <f>IF('1.1 Produksi Bersih Padi 2025'!A814="","",'1.1 Produksi Bersih Padi 2025'!A814)</f>
        <v/>
      </c>
      <c r="B814" s="31" t="str">
        <f>IF('1.1 Produksi Bersih Padi 2025'!B814="","",'1.1 Produksi Bersih Padi 2025'!B814)</f>
        <v/>
      </c>
      <c r="C814" s="31" t="str">
        <f>IF('1.1 Produksi Bersih Padi 2025'!C814="","",'1.1 Produksi Bersih Padi 2025'!C814)</f>
        <v/>
      </c>
      <c r="D814" s="1" t="str">
        <f>IF('1.1 Produksi Bersih Padi 2025'!D814="","",'1.1 Produksi Bersih Padi 2025'!D814)</f>
        <v/>
      </c>
      <c r="E814" s="1" t="str">
        <f>IF('1.1 Produksi Bersih Padi 2025'!E814="","",'1.1 Produksi Bersih Padi 2025'!E814)</f>
        <v/>
      </c>
      <c r="F814" s="28" t="str">
        <f>IF(D814="","",VLOOKUP(D814,'[1]0.1 Produksi Pangan &amp; Penduduk'!$D$5:$AE$860,28,0))</f>
        <v/>
      </c>
      <c r="G814" s="29" t="str">
        <f t="shared" si="60"/>
        <v/>
      </c>
      <c r="H814" s="29" t="str">
        <f t="shared" si="61"/>
        <v/>
      </c>
      <c r="I814" s="29" t="str">
        <f t="shared" si="62"/>
        <v/>
      </c>
      <c r="J814" s="29" t="str">
        <f t="shared" si="63"/>
        <v/>
      </c>
      <c r="K814" s="29" t="str">
        <f t="shared" si="64"/>
        <v/>
      </c>
    </row>
    <row r="815" spans="1:11" ht="15" x14ac:dyDescent="0.25">
      <c r="A815" s="1" t="str">
        <f>IF('1.1 Produksi Bersih Padi 2025'!A815="","",'1.1 Produksi Bersih Padi 2025'!A815)</f>
        <v/>
      </c>
      <c r="B815" s="31" t="str">
        <f>IF('1.1 Produksi Bersih Padi 2025'!B815="","",'1.1 Produksi Bersih Padi 2025'!B815)</f>
        <v/>
      </c>
      <c r="C815" s="31" t="str">
        <f>IF('1.1 Produksi Bersih Padi 2025'!C815="","",'1.1 Produksi Bersih Padi 2025'!C815)</f>
        <v/>
      </c>
      <c r="D815" s="1" t="str">
        <f>IF('1.1 Produksi Bersih Padi 2025'!D815="","",'1.1 Produksi Bersih Padi 2025'!D815)</f>
        <v/>
      </c>
      <c r="E815" s="1" t="str">
        <f>IF('1.1 Produksi Bersih Padi 2025'!E815="","",'1.1 Produksi Bersih Padi 2025'!E815)</f>
        <v/>
      </c>
      <c r="F815" s="28" t="str">
        <f>IF(D815="","",VLOOKUP(D815,'[1]0.1 Produksi Pangan &amp; Penduduk'!$D$5:$AE$860,28,0))</f>
        <v/>
      </c>
      <c r="G815" s="29" t="str">
        <f t="shared" si="60"/>
        <v/>
      </c>
      <c r="H815" s="29" t="str">
        <f t="shared" si="61"/>
        <v/>
      </c>
      <c r="I815" s="29" t="str">
        <f t="shared" si="62"/>
        <v/>
      </c>
      <c r="J815" s="29" t="str">
        <f t="shared" si="63"/>
        <v/>
      </c>
      <c r="K815" s="29" t="str">
        <f t="shared" si="64"/>
        <v/>
      </c>
    </row>
    <row r="816" spans="1:11" ht="15" x14ac:dyDescent="0.25">
      <c r="A816" s="1" t="str">
        <f>IF('1.1 Produksi Bersih Padi 2025'!A816="","",'1.1 Produksi Bersih Padi 2025'!A816)</f>
        <v/>
      </c>
      <c r="B816" s="31" t="str">
        <f>IF('1.1 Produksi Bersih Padi 2025'!B816="","",'1.1 Produksi Bersih Padi 2025'!B816)</f>
        <v/>
      </c>
      <c r="C816" s="31" t="str">
        <f>IF('1.1 Produksi Bersih Padi 2025'!C816="","",'1.1 Produksi Bersih Padi 2025'!C816)</f>
        <v/>
      </c>
      <c r="D816" s="1" t="str">
        <f>IF('1.1 Produksi Bersih Padi 2025'!D816="","",'1.1 Produksi Bersih Padi 2025'!D816)</f>
        <v/>
      </c>
      <c r="E816" s="1" t="str">
        <f>IF('1.1 Produksi Bersih Padi 2025'!E816="","",'1.1 Produksi Bersih Padi 2025'!E816)</f>
        <v/>
      </c>
      <c r="F816" s="28" t="str">
        <f>IF(D816="","",VLOOKUP(D816,'[1]0.1 Produksi Pangan &amp; Penduduk'!$D$5:$AE$860,28,0))</f>
        <v/>
      </c>
      <c r="G816" s="29" t="str">
        <f t="shared" si="60"/>
        <v/>
      </c>
      <c r="H816" s="29" t="str">
        <f t="shared" si="61"/>
        <v/>
      </c>
      <c r="I816" s="29" t="str">
        <f t="shared" si="62"/>
        <v/>
      </c>
      <c r="J816" s="29" t="str">
        <f t="shared" si="63"/>
        <v/>
      </c>
      <c r="K816" s="29" t="str">
        <f t="shared" si="64"/>
        <v/>
      </c>
    </row>
    <row r="817" spans="1:11" ht="15" x14ac:dyDescent="0.25">
      <c r="A817" s="1" t="str">
        <f>IF('1.1 Produksi Bersih Padi 2025'!A817="","",'1.1 Produksi Bersih Padi 2025'!A817)</f>
        <v/>
      </c>
      <c r="B817" s="31" t="str">
        <f>IF('1.1 Produksi Bersih Padi 2025'!B817="","",'1.1 Produksi Bersih Padi 2025'!B817)</f>
        <v/>
      </c>
      <c r="C817" s="31" t="str">
        <f>IF('1.1 Produksi Bersih Padi 2025'!C817="","",'1.1 Produksi Bersih Padi 2025'!C817)</f>
        <v/>
      </c>
      <c r="D817" s="1" t="str">
        <f>IF('1.1 Produksi Bersih Padi 2025'!D817="","",'1.1 Produksi Bersih Padi 2025'!D817)</f>
        <v/>
      </c>
      <c r="E817" s="1" t="str">
        <f>IF('1.1 Produksi Bersih Padi 2025'!E817="","",'1.1 Produksi Bersih Padi 2025'!E817)</f>
        <v/>
      </c>
      <c r="F817" s="28" t="str">
        <f>IF(D817="","",VLOOKUP(D817,'[1]0.1 Produksi Pangan &amp; Penduduk'!$D$5:$AE$860,28,0))</f>
        <v/>
      </c>
      <c r="G817" s="29" t="str">
        <f t="shared" si="60"/>
        <v/>
      </c>
      <c r="H817" s="29" t="str">
        <f t="shared" si="61"/>
        <v/>
      </c>
      <c r="I817" s="29" t="str">
        <f t="shared" si="62"/>
        <v/>
      </c>
      <c r="J817" s="29" t="str">
        <f t="shared" si="63"/>
        <v/>
      </c>
      <c r="K817" s="29" t="str">
        <f t="shared" si="64"/>
        <v/>
      </c>
    </row>
    <row r="818" spans="1:11" ht="15" x14ac:dyDescent="0.25">
      <c r="A818" s="1" t="str">
        <f>IF('1.1 Produksi Bersih Padi 2025'!A818="","",'1.1 Produksi Bersih Padi 2025'!A818)</f>
        <v/>
      </c>
      <c r="B818" s="31" t="str">
        <f>IF('1.1 Produksi Bersih Padi 2025'!B818="","",'1.1 Produksi Bersih Padi 2025'!B818)</f>
        <v/>
      </c>
      <c r="C818" s="31" t="str">
        <f>IF('1.1 Produksi Bersih Padi 2025'!C818="","",'1.1 Produksi Bersih Padi 2025'!C818)</f>
        <v/>
      </c>
      <c r="D818" s="1" t="str">
        <f>IF('1.1 Produksi Bersih Padi 2025'!D818="","",'1.1 Produksi Bersih Padi 2025'!D818)</f>
        <v/>
      </c>
      <c r="E818" s="1" t="str">
        <f>IF('1.1 Produksi Bersih Padi 2025'!E818="","",'1.1 Produksi Bersih Padi 2025'!E818)</f>
        <v/>
      </c>
      <c r="F818" s="28" t="str">
        <f>IF(D818="","",VLOOKUP(D818,'[1]0.1 Produksi Pangan &amp; Penduduk'!$D$5:$AE$860,28,0))</f>
        <v/>
      </c>
      <c r="G818" s="29" t="str">
        <f t="shared" si="60"/>
        <v/>
      </c>
      <c r="H818" s="29" t="str">
        <f t="shared" si="61"/>
        <v/>
      </c>
      <c r="I818" s="29" t="str">
        <f t="shared" si="62"/>
        <v/>
      </c>
      <c r="J818" s="29" t="str">
        <f t="shared" si="63"/>
        <v/>
      </c>
      <c r="K818" s="29" t="str">
        <f t="shared" si="64"/>
        <v/>
      </c>
    </row>
    <row r="819" spans="1:11" ht="15" x14ac:dyDescent="0.25">
      <c r="A819" s="1" t="str">
        <f>IF('1.1 Produksi Bersih Padi 2025'!A819="","",'1.1 Produksi Bersih Padi 2025'!A819)</f>
        <v/>
      </c>
      <c r="B819" s="31" t="str">
        <f>IF('1.1 Produksi Bersih Padi 2025'!B819="","",'1.1 Produksi Bersih Padi 2025'!B819)</f>
        <v/>
      </c>
      <c r="C819" s="31" t="str">
        <f>IF('1.1 Produksi Bersih Padi 2025'!C819="","",'1.1 Produksi Bersih Padi 2025'!C819)</f>
        <v/>
      </c>
      <c r="D819" s="1" t="str">
        <f>IF('1.1 Produksi Bersih Padi 2025'!D819="","",'1.1 Produksi Bersih Padi 2025'!D819)</f>
        <v/>
      </c>
      <c r="E819" s="1" t="str">
        <f>IF('1.1 Produksi Bersih Padi 2025'!E819="","",'1.1 Produksi Bersih Padi 2025'!E819)</f>
        <v/>
      </c>
      <c r="F819" s="28" t="str">
        <f>IF(D819="","",VLOOKUP(D819,'[1]0.1 Produksi Pangan &amp; Penduduk'!$D$5:$AE$860,28,0))</f>
        <v/>
      </c>
      <c r="G819" s="29" t="str">
        <f t="shared" si="60"/>
        <v/>
      </c>
      <c r="H819" s="29" t="str">
        <f t="shared" si="61"/>
        <v/>
      </c>
      <c r="I819" s="29" t="str">
        <f t="shared" si="62"/>
        <v/>
      </c>
      <c r="J819" s="29" t="str">
        <f t="shared" si="63"/>
        <v/>
      </c>
      <c r="K819" s="29" t="str">
        <f t="shared" si="64"/>
        <v/>
      </c>
    </row>
    <row r="820" spans="1:11" ht="15" x14ac:dyDescent="0.25">
      <c r="A820" s="1" t="str">
        <f>IF('1.1 Produksi Bersih Padi 2025'!A820="","",'1.1 Produksi Bersih Padi 2025'!A820)</f>
        <v/>
      </c>
      <c r="B820" s="31" t="str">
        <f>IF('1.1 Produksi Bersih Padi 2025'!B820="","",'1.1 Produksi Bersih Padi 2025'!B820)</f>
        <v/>
      </c>
      <c r="C820" s="31" t="str">
        <f>IF('1.1 Produksi Bersih Padi 2025'!C820="","",'1.1 Produksi Bersih Padi 2025'!C820)</f>
        <v/>
      </c>
      <c r="D820" s="1" t="str">
        <f>IF('1.1 Produksi Bersih Padi 2025'!D820="","",'1.1 Produksi Bersih Padi 2025'!D820)</f>
        <v/>
      </c>
      <c r="E820" s="1" t="str">
        <f>IF('1.1 Produksi Bersih Padi 2025'!E820="","",'1.1 Produksi Bersih Padi 2025'!E820)</f>
        <v/>
      </c>
      <c r="F820" s="28" t="str">
        <f>IF(D820="","",VLOOKUP(D820,'[1]0.1 Produksi Pangan &amp; Penduduk'!$D$5:$AE$860,28,0))</f>
        <v/>
      </c>
      <c r="G820" s="29" t="str">
        <f t="shared" si="60"/>
        <v/>
      </c>
      <c r="H820" s="29" t="str">
        <f t="shared" si="61"/>
        <v/>
      </c>
      <c r="I820" s="29" t="str">
        <f t="shared" si="62"/>
        <v/>
      </c>
      <c r="J820" s="29" t="str">
        <f t="shared" si="63"/>
        <v/>
      </c>
      <c r="K820" s="29" t="str">
        <f t="shared" si="64"/>
        <v/>
      </c>
    </row>
    <row r="821" spans="1:11" ht="15" x14ac:dyDescent="0.25">
      <c r="A821" s="1" t="str">
        <f>IF('1.1 Produksi Bersih Padi 2025'!A821="","",'1.1 Produksi Bersih Padi 2025'!A821)</f>
        <v/>
      </c>
      <c r="B821" s="31" t="str">
        <f>IF('1.1 Produksi Bersih Padi 2025'!B821="","",'1.1 Produksi Bersih Padi 2025'!B821)</f>
        <v/>
      </c>
      <c r="C821" s="31" t="str">
        <f>IF('1.1 Produksi Bersih Padi 2025'!C821="","",'1.1 Produksi Bersih Padi 2025'!C821)</f>
        <v/>
      </c>
      <c r="D821" s="1" t="str">
        <f>IF('1.1 Produksi Bersih Padi 2025'!D821="","",'1.1 Produksi Bersih Padi 2025'!D821)</f>
        <v/>
      </c>
      <c r="E821" s="1" t="str">
        <f>IF('1.1 Produksi Bersih Padi 2025'!E821="","",'1.1 Produksi Bersih Padi 2025'!E821)</f>
        <v/>
      </c>
      <c r="F821" s="28" t="str">
        <f>IF(D821="","",VLOOKUP(D821,'[1]0.1 Produksi Pangan &amp; Penduduk'!$D$5:$AE$860,28,0))</f>
        <v/>
      </c>
      <c r="G821" s="29" t="str">
        <f t="shared" si="60"/>
        <v/>
      </c>
      <c r="H821" s="29" t="str">
        <f t="shared" si="61"/>
        <v/>
      </c>
      <c r="I821" s="29" t="str">
        <f t="shared" si="62"/>
        <v/>
      </c>
      <c r="J821" s="29" t="str">
        <f t="shared" si="63"/>
        <v/>
      </c>
      <c r="K821" s="29" t="str">
        <f t="shared" si="64"/>
        <v/>
      </c>
    </row>
    <row r="822" spans="1:11" ht="15" x14ac:dyDescent="0.25">
      <c r="A822" s="1" t="str">
        <f>IF('1.1 Produksi Bersih Padi 2025'!A822="","",'1.1 Produksi Bersih Padi 2025'!A822)</f>
        <v/>
      </c>
      <c r="B822" s="31" t="str">
        <f>IF('1.1 Produksi Bersih Padi 2025'!B822="","",'1.1 Produksi Bersih Padi 2025'!B822)</f>
        <v/>
      </c>
      <c r="C822" s="31" t="str">
        <f>IF('1.1 Produksi Bersih Padi 2025'!C822="","",'1.1 Produksi Bersih Padi 2025'!C822)</f>
        <v/>
      </c>
      <c r="D822" s="1" t="str">
        <f>IF('1.1 Produksi Bersih Padi 2025'!D822="","",'1.1 Produksi Bersih Padi 2025'!D822)</f>
        <v/>
      </c>
      <c r="E822" s="1" t="str">
        <f>IF('1.1 Produksi Bersih Padi 2025'!E822="","",'1.1 Produksi Bersih Padi 2025'!E822)</f>
        <v/>
      </c>
      <c r="F822" s="28" t="str">
        <f>IF(D822="","",VLOOKUP(D822,'[1]0.1 Produksi Pangan &amp; Penduduk'!$D$5:$AE$860,28,0))</f>
        <v/>
      </c>
      <c r="G822" s="29" t="str">
        <f t="shared" si="60"/>
        <v/>
      </c>
      <c r="H822" s="29" t="str">
        <f t="shared" si="61"/>
        <v/>
      </c>
      <c r="I822" s="29" t="str">
        <f t="shared" si="62"/>
        <v/>
      </c>
      <c r="J822" s="29" t="str">
        <f t="shared" si="63"/>
        <v/>
      </c>
      <c r="K822" s="29" t="str">
        <f t="shared" si="64"/>
        <v/>
      </c>
    </row>
    <row r="823" spans="1:11" ht="15" x14ac:dyDescent="0.25">
      <c r="A823" s="1" t="str">
        <f>IF('1.1 Produksi Bersih Padi 2025'!A823="","",'1.1 Produksi Bersih Padi 2025'!A823)</f>
        <v/>
      </c>
      <c r="B823" s="31" t="str">
        <f>IF('1.1 Produksi Bersih Padi 2025'!B823="","",'1.1 Produksi Bersih Padi 2025'!B823)</f>
        <v/>
      </c>
      <c r="C823" s="31" t="str">
        <f>IF('1.1 Produksi Bersih Padi 2025'!C823="","",'1.1 Produksi Bersih Padi 2025'!C823)</f>
        <v/>
      </c>
      <c r="D823" s="1" t="str">
        <f>IF('1.1 Produksi Bersih Padi 2025'!D823="","",'1.1 Produksi Bersih Padi 2025'!D823)</f>
        <v/>
      </c>
      <c r="E823" s="1" t="str">
        <f>IF('1.1 Produksi Bersih Padi 2025'!E823="","",'1.1 Produksi Bersih Padi 2025'!E823)</f>
        <v/>
      </c>
      <c r="F823" s="28" t="str">
        <f>IF(D823="","",VLOOKUP(D823,'[1]0.1 Produksi Pangan &amp; Penduduk'!$D$5:$AE$860,28,0))</f>
        <v/>
      </c>
      <c r="G823" s="29" t="str">
        <f t="shared" si="60"/>
        <v/>
      </c>
      <c r="H823" s="29" t="str">
        <f t="shared" si="61"/>
        <v/>
      </c>
      <c r="I823" s="29" t="str">
        <f t="shared" si="62"/>
        <v/>
      </c>
      <c r="J823" s="29" t="str">
        <f t="shared" si="63"/>
        <v/>
      </c>
      <c r="K823" s="29" t="str">
        <f t="shared" si="64"/>
        <v/>
      </c>
    </row>
    <row r="824" spans="1:11" ht="15" x14ac:dyDescent="0.25">
      <c r="A824" s="1" t="str">
        <f>IF('1.1 Produksi Bersih Padi 2025'!A824="","",'1.1 Produksi Bersih Padi 2025'!A824)</f>
        <v/>
      </c>
      <c r="B824" s="31" t="str">
        <f>IF('1.1 Produksi Bersih Padi 2025'!B824="","",'1.1 Produksi Bersih Padi 2025'!B824)</f>
        <v/>
      </c>
      <c r="C824" s="31" t="str">
        <f>IF('1.1 Produksi Bersih Padi 2025'!C824="","",'1.1 Produksi Bersih Padi 2025'!C824)</f>
        <v/>
      </c>
      <c r="D824" s="1" t="str">
        <f>IF('1.1 Produksi Bersih Padi 2025'!D824="","",'1.1 Produksi Bersih Padi 2025'!D824)</f>
        <v/>
      </c>
      <c r="E824" s="1" t="str">
        <f>IF('1.1 Produksi Bersih Padi 2025'!E824="","",'1.1 Produksi Bersih Padi 2025'!E824)</f>
        <v/>
      </c>
      <c r="F824" s="28" t="str">
        <f>IF(D824="","",VLOOKUP(D824,'[1]0.1 Produksi Pangan &amp; Penduduk'!$D$5:$AE$860,28,0))</f>
        <v/>
      </c>
      <c r="G824" s="29" t="str">
        <f t="shared" si="60"/>
        <v/>
      </c>
      <c r="H824" s="29" t="str">
        <f t="shared" si="61"/>
        <v/>
      </c>
      <c r="I824" s="29" t="str">
        <f t="shared" si="62"/>
        <v/>
      </c>
      <c r="J824" s="29" t="str">
        <f t="shared" si="63"/>
        <v/>
      </c>
      <c r="K824" s="29" t="str">
        <f t="shared" si="64"/>
        <v/>
      </c>
    </row>
    <row r="825" spans="1:11" ht="15" x14ac:dyDescent="0.25">
      <c r="A825" s="1" t="str">
        <f>IF('1.1 Produksi Bersih Padi 2025'!A825="","",'1.1 Produksi Bersih Padi 2025'!A825)</f>
        <v/>
      </c>
      <c r="B825" s="31" t="str">
        <f>IF('1.1 Produksi Bersih Padi 2025'!B825="","",'1.1 Produksi Bersih Padi 2025'!B825)</f>
        <v/>
      </c>
      <c r="C825" s="31" t="str">
        <f>IF('1.1 Produksi Bersih Padi 2025'!C825="","",'1.1 Produksi Bersih Padi 2025'!C825)</f>
        <v/>
      </c>
      <c r="D825" s="1" t="str">
        <f>IF('1.1 Produksi Bersih Padi 2025'!D825="","",'1.1 Produksi Bersih Padi 2025'!D825)</f>
        <v/>
      </c>
      <c r="E825" s="1" t="str">
        <f>IF('1.1 Produksi Bersih Padi 2025'!E825="","",'1.1 Produksi Bersih Padi 2025'!E825)</f>
        <v/>
      </c>
      <c r="F825" s="28" t="str">
        <f>IF(D825="","",VLOOKUP(D825,'[1]0.1 Produksi Pangan &amp; Penduduk'!$D$5:$AE$860,28,0))</f>
        <v/>
      </c>
      <c r="G825" s="29" t="str">
        <f t="shared" si="60"/>
        <v/>
      </c>
      <c r="H825" s="29" t="str">
        <f t="shared" si="61"/>
        <v/>
      </c>
      <c r="I825" s="29" t="str">
        <f t="shared" si="62"/>
        <v/>
      </c>
      <c r="J825" s="29" t="str">
        <f t="shared" si="63"/>
        <v/>
      </c>
      <c r="K825" s="29" t="str">
        <f t="shared" si="64"/>
        <v/>
      </c>
    </row>
    <row r="826" spans="1:11" ht="15" x14ac:dyDescent="0.25">
      <c r="A826" s="1" t="str">
        <f>IF('1.1 Produksi Bersih Padi 2025'!A826="","",'1.1 Produksi Bersih Padi 2025'!A826)</f>
        <v/>
      </c>
      <c r="B826" s="31" t="str">
        <f>IF('1.1 Produksi Bersih Padi 2025'!B826="","",'1.1 Produksi Bersih Padi 2025'!B826)</f>
        <v/>
      </c>
      <c r="C826" s="31" t="str">
        <f>IF('1.1 Produksi Bersih Padi 2025'!C826="","",'1.1 Produksi Bersih Padi 2025'!C826)</f>
        <v/>
      </c>
      <c r="D826" s="1" t="str">
        <f>IF('1.1 Produksi Bersih Padi 2025'!D826="","",'1.1 Produksi Bersih Padi 2025'!D826)</f>
        <v/>
      </c>
      <c r="E826" s="1" t="str">
        <f>IF('1.1 Produksi Bersih Padi 2025'!E826="","",'1.1 Produksi Bersih Padi 2025'!E826)</f>
        <v/>
      </c>
      <c r="F826" s="28" t="str">
        <f>IF(D826="","",VLOOKUP(D826,'[1]0.1 Produksi Pangan &amp; Penduduk'!$D$5:$AE$860,28,0))</f>
        <v/>
      </c>
      <c r="G826" s="29" t="str">
        <f t="shared" si="60"/>
        <v/>
      </c>
      <c r="H826" s="29" t="str">
        <f t="shared" si="61"/>
        <v/>
      </c>
      <c r="I826" s="29" t="str">
        <f t="shared" si="62"/>
        <v/>
      </c>
      <c r="J826" s="29" t="str">
        <f t="shared" si="63"/>
        <v/>
      </c>
      <c r="K826" s="29" t="str">
        <f t="shared" si="64"/>
        <v/>
      </c>
    </row>
    <row r="827" spans="1:11" ht="15" x14ac:dyDescent="0.25">
      <c r="A827" s="1" t="str">
        <f>IF('1.1 Produksi Bersih Padi 2025'!A827="","",'1.1 Produksi Bersih Padi 2025'!A827)</f>
        <v/>
      </c>
      <c r="B827" s="31" t="str">
        <f>IF('1.1 Produksi Bersih Padi 2025'!B827="","",'1.1 Produksi Bersih Padi 2025'!B827)</f>
        <v/>
      </c>
      <c r="C827" s="31" t="str">
        <f>IF('1.1 Produksi Bersih Padi 2025'!C827="","",'1.1 Produksi Bersih Padi 2025'!C827)</f>
        <v/>
      </c>
      <c r="D827" s="1" t="str">
        <f>IF('1.1 Produksi Bersih Padi 2025'!D827="","",'1.1 Produksi Bersih Padi 2025'!D827)</f>
        <v/>
      </c>
      <c r="E827" s="1" t="str">
        <f>IF('1.1 Produksi Bersih Padi 2025'!E827="","",'1.1 Produksi Bersih Padi 2025'!E827)</f>
        <v/>
      </c>
      <c r="F827" s="28" t="str">
        <f>IF(D827="","",VLOOKUP(D827,'[1]0.1 Produksi Pangan &amp; Penduduk'!$D$5:$AE$860,28,0))</f>
        <v/>
      </c>
      <c r="G827" s="29" t="str">
        <f t="shared" si="60"/>
        <v/>
      </c>
      <c r="H827" s="29" t="str">
        <f t="shared" si="61"/>
        <v/>
      </c>
      <c r="I827" s="29" t="str">
        <f t="shared" si="62"/>
        <v/>
      </c>
      <c r="J827" s="29" t="str">
        <f t="shared" si="63"/>
        <v/>
      </c>
      <c r="K827" s="29" t="str">
        <f t="shared" si="64"/>
        <v/>
      </c>
    </row>
    <row r="828" spans="1:11" ht="15" x14ac:dyDescent="0.25">
      <c r="A828" s="1" t="str">
        <f>IF('1.1 Produksi Bersih Padi 2025'!A828="","",'1.1 Produksi Bersih Padi 2025'!A828)</f>
        <v/>
      </c>
      <c r="B828" s="31" t="str">
        <f>IF('1.1 Produksi Bersih Padi 2025'!B828="","",'1.1 Produksi Bersih Padi 2025'!B828)</f>
        <v/>
      </c>
      <c r="C828" s="31" t="str">
        <f>IF('1.1 Produksi Bersih Padi 2025'!C828="","",'1.1 Produksi Bersih Padi 2025'!C828)</f>
        <v/>
      </c>
      <c r="D828" s="1" t="str">
        <f>IF('1.1 Produksi Bersih Padi 2025'!D828="","",'1.1 Produksi Bersih Padi 2025'!D828)</f>
        <v/>
      </c>
      <c r="E828" s="1" t="str">
        <f>IF('1.1 Produksi Bersih Padi 2025'!E828="","",'1.1 Produksi Bersih Padi 2025'!E828)</f>
        <v/>
      </c>
      <c r="F828" s="28" t="str">
        <f>IF(D828="","",VLOOKUP(D828,'[1]0.1 Produksi Pangan &amp; Penduduk'!$D$5:$AE$860,28,0))</f>
        <v/>
      </c>
      <c r="G828" s="29" t="str">
        <f t="shared" si="60"/>
        <v/>
      </c>
      <c r="H828" s="29" t="str">
        <f t="shared" si="61"/>
        <v/>
      </c>
      <c r="I828" s="29" t="str">
        <f t="shared" si="62"/>
        <v/>
      </c>
      <c r="J828" s="29" t="str">
        <f t="shared" si="63"/>
        <v/>
      </c>
      <c r="K828" s="29" t="str">
        <f t="shared" si="64"/>
        <v/>
      </c>
    </row>
    <row r="829" spans="1:11" ht="15" x14ac:dyDescent="0.25">
      <c r="A829" s="1" t="str">
        <f>IF('1.1 Produksi Bersih Padi 2025'!A829="","",'1.1 Produksi Bersih Padi 2025'!A829)</f>
        <v/>
      </c>
      <c r="B829" s="31" t="str">
        <f>IF('1.1 Produksi Bersih Padi 2025'!B829="","",'1.1 Produksi Bersih Padi 2025'!B829)</f>
        <v/>
      </c>
      <c r="C829" s="31" t="str">
        <f>IF('1.1 Produksi Bersih Padi 2025'!C829="","",'1.1 Produksi Bersih Padi 2025'!C829)</f>
        <v/>
      </c>
      <c r="D829" s="1" t="str">
        <f>IF('1.1 Produksi Bersih Padi 2025'!D829="","",'1.1 Produksi Bersih Padi 2025'!D829)</f>
        <v/>
      </c>
      <c r="E829" s="1" t="str">
        <f>IF('1.1 Produksi Bersih Padi 2025'!E829="","",'1.1 Produksi Bersih Padi 2025'!E829)</f>
        <v/>
      </c>
      <c r="F829" s="28" t="str">
        <f>IF(D829="","",VLOOKUP(D829,'[1]0.1 Produksi Pangan &amp; Penduduk'!$D$5:$AE$860,28,0))</f>
        <v/>
      </c>
      <c r="G829" s="29" t="str">
        <f t="shared" si="60"/>
        <v/>
      </c>
      <c r="H829" s="29" t="str">
        <f t="shared" si="61"/>
        <v/>
      </c>
      <c r="I829" s="29" t="str">
        <f t="shared" si="62"/>
        <v/>
      </c>
      <c r="J829" s="29" t="str">
        <f t="shared" si="63"/>
        <v/>
      </c>
      <c r="K829" s="29" t="str">
        <f t="shared" si="64"/>
        <v/>
      </c>
    </row>
    <row r="830" spans="1:11" ht="15" x14ac:dyDescent="0.25">
      <c r="A830" s="1" t="str">
        <f>IF('1.1 Produksi Bersih Padi 2025'!A830="","",'1.1 Produksi Bersih Padi 2025'!A830)</f>
        <v/>
      </c>
      <c r="B830" s="31" t="str">
        <f>IF('1.1 Produksi Bersih Padi 2025'!B830="","",'1.1 Produksi Bersih Padi 2025'!B830)</f>
        <v/>
      </c>
      <c r="C830" s="31" t="str">
        <f>IF('1.1 Produksi Bersih Padi 2025'!C830="","",'1.1 Produksi Bersih Padi 2025'!C830)</f>
        <v/>
      </c>
      <c r="D830" s="1" t="str">
        <f>IF('1.1 Produksi Bersih Padi 2025'!D830="","",'1.1 Produksi Bersih Padi 2025'!D830)</f>
        <v/>
      </c>
      <c r="E830" s="1" t="str">
        <f>IF('1.1 Produksi Bersih Padi 2025'!E830="","",'1.1 Produksi Bersih Padi 2025'!E830)</f>
        <v/>
      </c>
      <c r="F830" s="28" t="str">
        <f>IF(D830="","",VLOOKUP(D830,'[1]0.1 Produksi Pangan &amp; Penduduk'!$D$5:$AE$860,28,0))</f>
        <v/>
      </c>
      <c r="G830" s="29" t="str">
        <f t="shared" si="60"/>
        <v/>
      </c>
      <c r="H830" s="29" t="str">
        <f t="shared" si="61"/>
        <v/>
      </c>
      <c r="I830" s="29" t="str">
        <f t="shared" si="62"/>
        <v/>
      </c>
      <c r="J830" s="29" t="str">
        <f t="shared" si="63"/>
        <v/>
      </c>
      <c r="K830" s="29" t="str">
        <f t="shared" si="64"/>
        <v/>
      </c>
    </row>
    <row r="831" spans="1:11" ht="15" x14ac:dyDescent="0.25">
      <c r="A831" s="1" t="str">
        <f>IF('1.1 Produksi Bersih Padi 2025'!A831="","",'1.1 Produksi Bersih Padi 2025'!A831)</f>
        <v/>
      </c>
      <c r="B831" s="31" t="str">
        <f>IF('1.1 Produksi Bersih Padi 2025'!B831="","",'1.1 Produksi Bersih Padi 2025'!B831)</f>
        <v/>
      </c>
      <c r="C831" s="31" t="str">
        <f>IF('1.1 Produksi Bersih Padi 2025'!C831="","",'1.1 Produksi Bersih Padi 2025'!C831)</f>
        <v/>
      </c>
      <c r="D831" s="1" t="str">
        <f>IF('1.1 Produksi Bersih Padi 2025'!D831="","",'1.1 Produksi Bersih Padi 2025'!D831)</f>
        <v/>
      </c>
      <c r="E831" s="1" t="str">
        <f>IF('1.1 Produksi Bersih Padi 2025'!E831="","",'1.1 Produksi Bersih Padi 2025'!E831)</f>
        <v/>
      </c>
      <c r="F831" s="28" t="str">
        <f>IF(D831="","",VLOOKUP(D831,'[1]0.1 Produksi Pangan &amp; Penduduk'!$D$5:$AE$860,28,0))</f>
        <v/>
      </c>
      <c r="G831" s="29" t="str">
        <f t="shared" si="60"/>
        <v/>
      </c>
      <c r="H831" s="29" t="str">
        <f t="shared" si="61"/>
        <v/>
      </c>
      <c r="I831" s="29" t="str">
        <f t="shared" si="62"/>
        <v/>
      </c>
      <c r="J831" s="29" t="str">
        <f t="shared" si="63"/>
        <v/>
      </c>
      <c r="K831" s="29" t="str">
        <f t="shared" si="64"/>
        <v/>
      </c>
    </row>
    <row r="832" spans="1:11" ht="15" x14ac:dyDescent="0.25">
      <c r="A832" s="1" t="str">
        <f>IF('1.1 Produksi Bersih Padi 2025'!A832="","",'1.1 Produksi Bersih Padi 2025'!A832)</f>
        <v/>
      </c>
      <c r="B832" s="31" t="str">
        <f>IF('1.1 Produksi Bersih Padi 2025'!B832="","",'1.1 Produksi Bersih Padi 2025'!B832)</f>
        <v/>
      </c>
      <c r="C832" s="31" t="str">
        <f>IF('1.1 Produksi Bersih Padi 2025'!C832="","",'1.1 Produksi Bersih Padi 2025'!C832)</f>
        <v/>
      </c>
      <c r="D832" s="1" t="str">
        <f>IF('1.1 Produksi Bersih Padi 2025'!D832="","",'1.1 Produksi Bersih Padi 2025'!D832)</f>
        <v/>
      </c>
      <c r="E832" s="1" t="str">
        <f>IF('1.1 Produksi Bersih Padi 2025'!E832="","",'1.1 Produksi Bersih Padi 2025'!E832)</f>
        <v/>
      </c>
      <c r="F832" s="28" t="str">
        <f>IF(D832="","",VLOOKUP(D832,'[1]0.1 Produksi Pangan &amp; Penduduk'!$D$5:$AE$860,28,0))</f>
        <v/>
      </c>
      <c r="G832" s="29" t="str">
        <f t="shared" si="60"/>
        <v/>
      </c>
      <c r="H832" s="29" t="str">
        <f t="shared" si="61"/>
        <v/>
      </c>
      <c r="I832" s="29" t="str">
        <f t="shared" si="62"/>
        <v/>
      </c>
      <c r="J832" s="29" t="str">
        <f t="shared" si="63"/>
        <v/>
      </c>
      <c r="K832" s="29" t="str">
        <f t="shared" si="64"/>
        <v/>
      </c>
    </row>
    <row r="833" spans="1:11" ht="15" x14ac:dyDescent="0.25">
      <c r="A833" s="1" t="str">
        <f>IF('1.1 Produksi Bersih Padi 2025'!A833="","",'1.1 Produksi Bersih Padi 2025'!A833)</f>
        <v/>
      </c>
      <c r="B833" s="31" t="str">
        <f>IF('1.1 Produksi Bersih Padi 2025'!B833="","",'1.1 Produksi Bersih Padi 2025'!B833)</f>
        <v/>
      </c>
      <c r="C833" s="31" t="str">
        <f>IF('1.1 Produksi Bersih Padi 2025'!C833="","",'1.1 Produksi Bersih Padi 2025'!C833)</f>
        <v/>
      </c>
      <c r="D833" s="1" t="str">
        <f>IF('1.1 Produksi Bersih Padi 2025'!D833="","",'1.1 Produksi Bersih Padi 2025'!D833)</f>
        <v/>
      </c>
      <c r="E833" s="1" t="str">
        <f>IF('1.1 Produksi Bersih Padi 2025'!E833="","",'1.1 Produksi Bersih Padi 2025'!E833)</f>
        <v/>
      </c>
      <c r="F833" s="28" t="str">
        <f>IF(D833="","",VLOOKUP(D833,'[1]0.1 Produksi Pangan &amp; Penduduk'!$D$5:$AE$860,28,0))</f>
        <v/>
      </c>
      <c r="G833" s="29" t="str">
        <f t="shared" si="60"/>
        <v/>
      </c>
      <c r="H833" s="29" t="str">
        <f t="shared" si="61"/>
        <v/>
      </c>
      <c r="I833" s="29" t="str">
        <f t="shared" si="62"/>
        <v/>
      </c>
      <c r="J833" s="29" t="str">
        <f t="shared" si="63"/>
        <v/>
      </c>
      <c r="K833" s="29" t="str">
        <f t="shared" si="64"/>
        <v/>
      </c>
    </row>
    <row r="834" spans="1:11" ht="15" x14ac:dyDescent="0.25">
      <c r="A834" s="1" t="str">
        <f>IF('1.1 Produksi Bersih Padi 2025'!A834="","",'1.1 Produksi Bersih Padi 2025'!A834)</f>
        <v/>
      </c>
      <c r="B834" s="31" t="str">
        <f>IF('1.1 Produksi Bersih Padi 2025'!B834="","",'1.1 Produksi Bersih Padi 2025'!B834)</f>
        <v/>
      </c>
      <c r="C834" s="31" t="str">
        <f>IF('1.1 Produksi Bersih Padi 2025'!C834="","",'1.1 Produksi Bersih Padi 2025'!C834)</f>
        <v/>
      </c>
      <c r="D834" s="1" t="str">
        <f>IF('1.1 Produksi Bersih Padi 2025'!D834="","",'1.1 Produksi Bersih Padi 2025'!D834)</f>
        <v/>
      </c>
      <c r="E834" s="1" t="str">
        <f>IF('1.1 Produksi Bersih Padi 2025'!E834="","",'1.1 Produksi Bersih Padi 2025'!E834)</f>
        <v/>
      </c>
      <c r="F834" s="28" t="str">
        <f>IF(D834="","",VLOOKUP(D834,'[1]0.1 Produksi Pangan &amp; Penduduk'!$D$5:$AE$860,28,0))</f>
        <v/>
      </c>
      <c r="G834" s="29" t="str">
        <f t="shared" si="60"/>
        <v/>
      </c>
      <c r="H834" s="29" t="str">
        <f t="shared" si="61"/>
        <v/>
      </c>
      <c r="I834" s="29" t="str">
        <f t="shared" si="62"/>
        <v/>
      </c>
      <c r="J834" s="29" t="str">
        <f t="shared" si="63"/>
        <v/>
      </c>
      <c r="K834" s="29" t="str">
        <f t="shared" si="64"/>
        <v/>
      </c>
    </row>
    <row r="835" spans="1:11" ht="15" x14ac:dyDescent="0.25">
      <c r="A835" s="1" t="str">
        <f>IF('1.1 Produksi Bersih Padi 2025'!A835="","",'1.1 Produksi Bersih Padi 2025'!A835)</f>
        <v/>
      </c>
      <c r="B835" s="31" t="str">
        <f>IF('1.1 Produksi Bersih Padi 2025'!B835="","",'1.1 Produksi Bersih Padi 2025'!B835)</f>
        <v/>
      </c>
      <c r="C835" s="31" t="str">
        <f>IF('1.1 Produksi Bersih Padi 2025'!C835="","",'1.1 Produksi Bersih Padi 2025'!C835)</f>
        <v/>
      </c>
      <c r="D835" s="1" t="str">
        <f>IF('1.1 Produksi Bersih Padi 2025'!D835="","",'1.1 Produksi Bersih Padi 2025'!D835)</f>
        <v/>
      </c>
      <c r="E835" s="1" t="str">
        <f>IF('1.1 Produksi Bersih Padi 2025'!E835="","",'1.1 Produksi Bersih Padi 2025'!E835)</f>
        <v/>
      </c>
      <c r="F835" s="28" t="str">
        <f>IF(D835="","",VLOOKUP(D835,'[1]0.1 Produksi Pangan &amp; Penduduk'!$D$5:$AE$860,28,0))</f>
        <v/>
      </c>
      <c r="G835" s="29" t="str">
        <f t="shared" si="60"/>
        <v/>
      </c>
      <c r="H835" s="29" t="str">
        <f t="shared" si="61"/>
        <v/>
      </c>
      <c r="I835" s="29" t="str">
        <f t="shared" si="62"/>
        <v/>
      </c>
      <c r="J835" s="29" t="str">
        <f t="shared" si="63"/>
        <v/>
      </c>
      <c r="K835" s="29" t="str">
        <f t="shared" si="64"/>
        <v/>
      </c>
    </row>
    <row r="836" spans="1:11" ht="15" x14ac:dyDescent="0.25">
      <c r="A836" s="1" t="str">
        <f>IF('1.1 Produksi Bersih Padi 2025'!A836="","",'1.1 Produksi Bersih Padi 2025'!A836)</f>
        <v/>
      </c>
      <c r="B836" s="31" t="str">
        <f>IF('1.1 Produksi Bersih Padi 2025'!B836="","",'1.1 Produksi Bersih Padi 2025'!B836)</f>
        <v/>
      </c>
      <c r="C836" s="31" t="str">
        <f>IF('1.1 Produksi Bersih Padi 2025'!C836="","",'1.1 Produksi Bersih Padi 2025'!C836)</f>
        <v/>
      </c>
      <c r="D836" s="1" t="str">
        <f>IF('1.1 Produksi Bersih Padi 2025'!D836="","",'1.1 Produksi Bersih Padi 2025'!D836)</f>
        <v/>
      </c>
      <c r="E836" s="1" t="str">
        <f>IF('1.1 Produksi Bersih Padi 2025'!E836="","",'1.1 Produksi Bersih Padi 2025'!E836)</f>
        <v/>
      </c>
      <c r="F836" s="28" t="str">
        <f>IF(D836="","",VLOOKUP(D836,'[1]0.1 Produksi Pangan &amp; Penduduk'!$D$5:$AE$860,28,0))</f>
        <v/>
      </c>
      <c r="G836" s="29" t="str">
        <f t="shared" si="60"/>
        <v/>
      </c>
      <c r="H836" s="29" t="str">
        <f t="shared" si="61"/>
        <v/>
      </c>
      <c r="I836" s="29" t="str">
        <f t="shared" si="62"/>
        <v/>
      </c>
      <c r="J836" s="29" t="str">
        <f t="shared" si="63"/>
        <v/>
      </c>
      <c r="K836" s="29" t="str">
        <f t="shared" si="64"/>
        <v/>
      </c>
    </row>
    <row r="837" spans="1:11" ht="15" x14ac:dyDescent="0.25">
      <c r="A837" s="1" t="str">
        <f>IF('1.1 Produksi Bersih Padi 2025'!A837="","",'1.1 Produksi Bersih Padi 2025'!A837)</f>
        <v/>
      </c>
      <c r="B837" s="31" t="str">
        <f>IF('1.1 Produksi Bersih Padi 2025'!B837="","",'1.1 Produksi Bersih Padi 2025'!B837)</f>
        <v/>
      </c>
      <c r="C837" s="31" t="str">
        <f>IF('1.1 Produksi Bersih Padi 2025'!C837="","",'1.1 Produksi Bersih Padi 2025'!C837)</f>
        <v/>
      </c>
      <c r="D837" s="1" t="str">
        <f>IF('1.1 Produksi Bersih Padi 2025'!D837="","",'1.1 Produksi Bersih Padi 2025'!D837)</f>
        <v/>
      </c>
      <c r="E837" s="1" t="str">
        <f>IF('1.1 Produksi Bersih Padi 2025'!E837="","",'1.1 Produksi Bersih Padi 2025'!E837)</f>
        <v/>
      </c>
      <c r="F837" s="28" t="str">
        <f>IF(D837="","",VLOOKUP(D837,'[1]0.1 Produksi Pangan &amp; Penduduk'!$D$5:$AE$860,28,0))</f>
        <v/>
      </c>
      <c r="G837" s="29" t="str">
        <f t="shared" si="60"/>
        <v/>
      </c>
      <c r="H837" s="29" t="str">
        <f t="shared" si="61"/>
        <v/>
      </c>
      <c r="I837" s="29" t="str">
        <f t="shared" si="62"/>
        <v/>
      </c>
      <c r="J837" s="29" t="str">
        <f t="shared" si="63"/>
        <v/>
      </c>
      <c r="K837" s="29" t="str">
        <f t="shared" si="64"/>
        <v/>
      </c>
    </row>
    <row r="838" spans="1:11" ht="15" x14ac:dyDescent="0.25">
      <c r="A838" s="1" t="str">
        <f>IF('1.1 Produksi Bersih Padi 2025'!A838="","",'1.1 Produksi Bersih Padi 2025'!A838)</f>
        <v/>
      </c>
      <c r="B838" s="31" t="str">
        <f>IF('1.1 Produksi Bersih Padi 2025'!B838="","",'1.1 Produksi Bersih Padi 2025'!B838)</f>
        <v/>
      </c>
      <c r="C838" s="31" t="str">
        <f>IF('1.1 Produksi Bersih Padi 2025'!C838="","",'1.1 Produksi Bersih Padi 2025'!C838)</f>
        <v/>
      </c>
      <c r="D838" s="1" t="str">
        <f>IF('1.1 Produksi Bersih Padi 2025'!D838="","",'1.1 Produksi Bersih Padi 2025'!D838)</f>
        <v/>
      </c>
      <c r="E838" s="1" t="str">
        <f>IF('1.1 Produksi Bersih Padi 2025'!E838="","",'1.1 Produksi Bersih Padi 2025'!E838)</f>
        <v/>
      </c>
      <c r="F838" s="28" t="str">
        <f>IF(D838="","",VLOOKUP(D838,'[1]0.1 Produksi Pangan &amp; Penduduk'!$D$5:$AE$860,28,0))</f>
        <v/>
      </c>
      <c r="G838" s="29" t="str">
        <f t="shared" ref="G838:G859" si="65">IF(F838="","",F838*0%)</f>
        <v/>
      </c>
      <c r="H838" s="29" t="str">
        <f t="shared" ref="H838:H859" si="66">IF(F838="","",F838*0.77%)</f>
        <v/>
      </c>
      <c r="I838" s="29" t="str">
        <f t="shared" ref="I838:I859" si="67">IF(F838="","",F838*4.9%)</f>
        <v/>
      </c>
      <c r="J838" s="29" t="str">
        <f t="shared" ref="J838:J859" si="68">IF(F838="","",F838-(G838+H838+I838))</f>
        <v/>
      </c>
      <c r="K838" s="29" t="str">
        <f t="shared" ref="K838:K859" si="69">IF(J838="","",J838*0.259)</f>
        <v/>
      </c>
    </row>
    <row r="839" spans="1:11" ht="15" x14ac:dyDescent="0.25">
      <c r="A839" s="1" t="str">
        <f>IF('1.1 Produksi Bersih Padi 2025'!A839="","",'1.1 Produksi Bersih Padi 2025'!A839)</f>
        <v/>
      </c>
      <c r="B839" s="31" t="str">
        <f>IF('1.1 Produksi Bersih Padi 2025'!B839="","",'1.1 Produksi Bersih Padi 2025'!B839)</f>
        <v/>
      </c>
      <c r="C839" s="31" t="str">
        <f>IF('1.1 Produksi Bersih Padi 2025'!C839="","",'1.1 Produksi Bersih Padi 2025'!C839)</f>
        <v/>
      </c>
      <c r="D839" s="1" t="str">
        <f>IF('1.1 Produksi Bersih Padi 2025'!D839="","",'1.1 Produksi Bersih Padi 2025'!D839)</f>
        <v/>
      </c>
      <c r="E839" s="1" t="str">
        <f>IF('1.1 Produksi Bersih Padi 2025'!E839="","",'1.1 Produksi Bersih Padi 2025'!E839)</f>
        <v/>
      </c>
      <c r="F839" s="28" t="str">
        <f>IF(D839="","",VLOOKUP(D839,'[1]0.1 Produksi Pangan &amp; Penduduk'!$D$5:$AE$860,28,0))</f>
        <v/>
      </c>
      <c r="G839" s="29" t="str">
        <f t="shared" si="65"/>
        <v/>
      </c>
      <c r="H839" s="29" t="str">
        <f t="shared" si="66"/>
        <v/>
      </c>
      <c r="I839" s="29" t="str">
        <f t="shared" si="67"/>
        <v/>
      </c>
      <c r="J839" s="29" t="str">
        <f t="shared" si="68"/>
        <v/>
      </c>
      <c r="K839" s="29" t="str">
        <f t="shared" si="69"/>
        <v/>
      </c>
    </row>
    <row r="840" spans="1:11" ht="15" x14ac:dyDescent="0.25">
      <c r="A840" s="1" t="str">
        <f>IF('1.1 Produksi Bersih Padi 2025'!A840="","",'1.1 Produksi Bersih Padi 2025'!A840)</f>
        <v/>
      </c>
      <c r="B840" s="31" t="str">
        <f>IF('1.1 Produksi Bersih Padi 2025'!B840="","",'1.1 Produksi Bersih Padi 2025'!B840)</f>
        <v/>
      </c>
      <c r="C840" s="31" t="str">
        <f>IF('1.1 Produksi Bersih Padi 2025'!C840="","",'1.1 Produksi Bersih Padi 2025'!C840)</f>
        <v/>
      </c>
      <c r="D840" s="1" t="str">
        <f>IF('1.1 Produksi Bersih Padi 2025'!D840="","",'1.1 Produksi Bersih Padi 2025'!D840)</f>
        <v/>
      </c>
      <c r="E840" s="1" t="str">
        <f>IF('1.1 Produksi Bersih Padi 2025'!E840="","",'1.1 Produksi Bersih Padi 2025'!E840)</f>
        <v/>
      </c>
      <c r="F840" s="28" t="str">
        <f>IF(D840="","",VLOOKUP(D840,'[1]0.1 Produksi Pangan &amp; Penduduk'!$D$5:$AE$860,28,0))</f>
        <v/>
      </c>
      <c r="G840" s="29" t="str">
        <f t="shared" si="65"/>
        <v/>
      </c>
      <c r="H840" s="29" t="str">
        <f t="shared" si="66"/>
        <v/>
      </c>
      <c r="I840" s="29" t="str">
        <f t="shared" si="67"/>
        <v/>
      </c>
      <c r="J840" s="29" t="str">
        <f t="shared" si="68"/>
        <v/>
      </c>
      <c r="K840" s="29" t="str">
        <f t="shared" si="69"/>
        <v/>
      </c>
    </row>
    <row r="841" spans="1:11" ht="15" x14ac:dyDescent="0.25">
      <c r="A841" s="1" t="str">
        <f>IF('1.1 Produksi Bersih Padi 2025'!A841="","",'1.1 Produksi Bersih Padi 2025'!A841)</f>
        <v/>
      </c>
      <c r="B841" s="31" t="str">
        <f>IF('1.1 Produksi Bersih Padi 2025'!B841="","",'1.1 Produksi Bersih Padi 2025'!B841)</f>
        <v/>
      </c>
      <c r="C841" s="31" t="str">
        <f>IF('1.1 Produksi Bersih Padi 2025'!C841="","",'1.1 Produksi Bersih Padi 2025'!C841)</f>
        <v/>
      </c>
      <c r="D841" s="1" t="str">
        <f>IF('1.1 Produksi Bersih Padi 2025'!D841="","",'1.1 Produksi Bersih Padi 2025'!D841)</f>
        <v/>
      </c>
      <c r="E841" s="1" t="str">
        <f>IF('1.1 Produksi Bersih Padi 2025'!E841="","",'1.1 Produksi Bersih Padi 2025'!E841)</f>
        <v/>
      </c>
      <c r="F841" s="28" t="str">
        <f>IF(D841="","",VLOOKUP(D841,'[1]0.1 Produksi Pangan &amp; Penduduk'!$D$5:$AE$860,28,0))</f>
        <v/>
      </c>
      <c r="G841" s="29" t="str">
        <f t="shared" si="65"/>
        <v/>
      </c>
      <c r="H841" s="29" t="str">
        <f t="shared" si="66"/>
        <v/>
      </c>
      <c r="I841" s="29" t="str">
        <f t="shared" si="67"/>
        <v/>
      </c>
      <c r="J841" s="29" t="str">
        <f t="shared" si="68"/>
        <v/>
      </c>
      <c r="K841" s="29" t="str">
        <f t="shared" si="69"/>
        <v/>
      </c>
    </row>
    <row r="842" spans="1:11" ht="15" x14ac:dyDescent="0.25">
      <c r="A842" s="1" t="str">
        <f>IF('1.1 Produksi Bersih Padi 2025'!A842="","",'1.1 Produksi Bersih Padi 2025'!A842)</f>
        <v/>
      </c>
      <c r="B842" s="31" t="str">
        <f>IF('1.1 Produksi Bersih Padi 2025'!B842="","",'1.1 Produksi Bersih Padi 2025'!B842)</f>
        <v/>
      </c>
      <c r="C842" s="31" t="str">
        <f>IF('1.1 Produksi Bersih Padi 2025'!C842="","",'1.1 Produksi Bersih Padi 2025'!C842)</f>
        <v/>
      </c>
      <c r="D842" s="1" t="str">
        <f>IF('1.1 Produksi Bersih Padi 2025'!D842="","",'1.1 Produksi Bersih Padi 2025'!D842)</f>
        <v/>
      </c>
      <c r="E842" s="1" t="str">
        <f>IF('1.1 Produksi Bersih Padi 2025'!E842="","",'1.1 Produksi Bersih Padi 2025'!E842)</f>
        <v/>
      </c>
      <c r="F842" s="28" t="str">
        <f>IF(D842="","",VLOOKUP(D842,'[1]0.1 Produksi Pangan &amp; Penduduk'!$D$5:$AE$860,28,0))</f>
        <v/>
      </c>
      <c r="G842" s="29" t="str">
        <f t="shared" si="65"/>
        <v/>
      </c>
      <c r="H842" s="29" t="str">
        <f t="shared" si="66"/>
        <v/>
      </c>
      <c r="I842" s="29" t="str">
        <f t="shared" si="67"/>
        <v/>
      </c>
      <c r="J842" s="29" t="str">
        <f t="shared" si="68"/>
        <v/>
      </c>
      <c r="K842" s="29" t="str">
        <f t="shared" si="69"/>
        <v/>
      </c>
    </row>
    <row r="843" spans="1:11" ht="15" x14ac:dyDescent="0.25">
      <c r="A843" s="1" t="str">
        <f>IF('1.1 Produksi Bersih Padi 2025'!A843="","",'1.1 Produksi Bersih Padi 2025'!A843)</f>
        <v/>
      </c>
      <c r="B843" s="31" t="str">
        <f>IF('1.1 Produksi Bersih Padi 2025'!B843="","",'1.1 Produksi Bersih Padi 2025'!B843)</f>
        <v/>
      </c>
      <c r="C843" s="31" t="str">
        <f>IF('1.1 Produksi Bersih Padi 2025'!C843="","",'1.1 Produksi Bersih Padi 2025'!C843)</f>
        <v/>
      </c>
      <c r="D843" s="1" t="str">
        <f>IF('1.1 Produksi Bersih Padi 2025'!D843="","",'1.1 Produksi Bersih Padi 2025'!D843)</f>
        <v/>
      </c>
      <c r="E843" s="1" t="str">
        <f>IF('1.1 Produksi Bersih Padi 2025'!E843="","",'1.1 Produksi Bersih Padi 2025'!E843)</f>
        <v/>
      </c>
      <c r="F843" s="28" t="str">
        <f>IF(D843="","",VLOOKUP(D843,'[1]0.1 Produksi Pangan &amp; Penduduk'!$D$5:$AE$860,28,0))</f>
        <v/>
      </c>
      <c r="G843" s="29" t="str">
        <f t="shared" si="65"/>
        <v/>
      </c>
      <c r="H843" s="29" t="str">
        <f t="shared" si="66"/>
        <v/>
      </c>
      <c r="I843" s="29" t="str">
        <f t="shared" si="67"/>
        <v/>
      </c>
      <c r="J843" s="29" t="str">
        <f t="shared" si="68"/>
        <v/>
      </c>
      <c r="K843" s="29" t="str">
        <f t="shared" si="69"/>
        <v/>
      </c>
    </row>
    <row r="844" spans="1:11" ht="15" x14ac:dyDescent="0.25">
      <c r="A844" s="1" t="str">
        <f>IF('1.1 Produksi Bersih Padi 2025'!A844="","",'1.1 Produksi Bersih Padi 2025'!A844)</f>
        <v/>
      </c>
      <c r="B844" s="31" t="str">
        <f>IF('1.1 Produksi Bersih Padi 2025'!B844="","",'1.1 Produksi Bersih Padi 2025'!B844)</f>
        <v/>
      </c>
      <c r="C844" s="31" t="str">
        <f>IF('1.1 Produksi Bersih Padi 2025'!C844="","",'1.1 Produksi Bersih Padi 2025'!C844)</f>
        <v/>
      </c>
      <c r="D844" s="1" t="str">
        <f>IF('1.1 Produksi Bersih Padi 2025'!D844="","",'1.1 Produksi Bersih Padi 2025'!D844)</f>
        <v/>
      </c>
      <c r="E844" s="1" t="str">
        <f>IF('1.1 Produksi Bersih Padi 2025'!E844="","",'1.1 Produksi Bersih Padi 2025'!E844)</f>
        <v/>
      </c>
      <c r="F844" s="28" t="str">
        <f>IF(D844="","",VLOOKUP(D844,'[1]0.1 Produksi Pangan &amp; Penduduk'!$D$5:$AE$860,28,0))</f>
        <v/>
      </c>
      <c r="G844" s="29" t="str">
        <f t="shared" si="65"/>
        <v/>
      </c>
      <c r="H844" s="29" t="str">
        <f t="shared" si="66"/>
        <v/>
      </c>
      <c r="I844" s="29" t="str">
        <f t="shared" si="67"/>
        <v/>
      </c>
      <c r="J844" s="29" t="str">
        <f t="shared" si="68"/>
        <v/>
      </c>
      <c r="K844" s="29" t="str">
        <f t="shared" si="69"/>
        <v/>
      </c>
    </row>
    <row r="845" spans="1:11" ht="15" x14ac:dyDescent="0.25">
      <c r="A845" s="1" t="str">
        <f>IF('1.1 Produksi Bersih Padi 2025'!A845="","",'1.1 Produksi Bersih Padi 2025'!A845)</f>
        <v/>
      </c>
      <c r="B845" s="31" t="str">
        <f>IF('1.1 Produksi Bersih Padi 2025'!B845="","",'1.1 Produksi Bersih Padi 2025'!B845)</f>
        <v/>
      </c>
      <c r="C845" s="31" t="str">
        <f>IF('1.1 Produksi Bersih Padi 2025'!C845="","",'1.1 Produksi Bersih Padi 2025'!C845)</f>
        <v/>
      </c>
      <c r="D845" s="1" t="str">
        <f>IF('1.1 Produksi Bersih Padi 2025'!D845="","",'1.1 Produksi Bersih Padi 2025'!D845)</f>
        <v/>
      </c>
      <c r="E845" s="1" t="str">
        <f>IF('1.1 Produksi Bersih Padi 2025'!E845="","",'1.1 Produksi Bersih Padi 2025'!E845)</f>
        <v/>
      </c>
      <c r="F845" s="28" t="str">
        <f>IF(D845="","",VLOOKUP(D845,'[1]0.1 Produksi Pangan &amp; Penduduk'!$D$5:$AE$860,28,0))</f>
        <v/>
      </c>
      <c r="G845" s="29" t="str">
        <f t="shared" si="65"/>
        <v/>
      </c>
      <c r="H845" s="29" t="str">
        <f t="shared" si="66"/>
        <v/>
      </c>
      <c r="I845" s="29" t="str">
        <f t="shared" si="67"/>
        <v/>
      </c>
      <c r="J845" s="29" t="str">
        <f t="shared" si="68"/>
        <v/>
      </c>
      <c r="K845" s="29" t="str">
        <f t="shared" si="69"/>
        <v/>
      </c>
    </row>
    <row r="846" spans="1:11" ht="15" x14ac:dyDescent="0.25">
      <c r="A846" s="1" t="str">
        <f>IF('1.1 Produksi Bersih Padi 2025'!A846="","",'1.1 Produksi Bersih Padi 2025'!A846)</f>
        <v/>
      </c>
      <c r="B846" s="31" t="str">
        <f>IF('1.1 Produksi Bersih Padi 2025'!B846="","",'1.1 Produksi Bersih Padi 2025'!B846)</f>
        <v/>
      </c>
      <c r="C846" s="31" t="str">
        <f>IF('1.1 Produksi Bersih Padi 2025'!C846="","",'1.1 Produksi Bersih Padi 2025'!C846)</f>
        <v/>
      </c>
      <c r="D846" s="1" t="str">
        <f>IF('1.1 Produksi Bersih Padi 2025'!D846="","",'1.1 Produksi Bersih Padi 2025'!D846)</f>
        <v/>
      </c>
      <c r="E846" s="1" t="str">
        <f>IF('1.1 Produksi Bersih Padi 2025'!E846="","",'1.1 Produksi Bersih Padi 2025'!E846)</f>
        <v/>
      </c>
      <c r="F846" s="28" t="str">
        <f>IF(D846="","",VLOOKUP(D846,'[1]0.1 Produksi Pangan &amp; Penduduk'!$D$5:$AE$860,28,0))</f>
        <v/>
      </c>
      <c r="G846" s="29" t="str">
        <f t="shared" si="65"/>
        <v/>
      </c>
      <c r="H846" s="29" t="str">
        <f t="shared" si="66"/>
        <v/>
      </c>
      <c r="I846" s="29" t="str">
        <f t="shared" si="67"/>
        <v/>
      </c>
      <c r="J846" s="29" t="str">
        <f t="shared" si="68"/>
        <v/>
      </c>
      <c r="K846" s="29" t="str">
        <f t="shared" si="69"/>
        <v/>
      </c>
    </row>
    <row r="847" spans="1:11" ht="15" x14ac:dyDescent="0.25">
      <c r="A847" s="1" t="str">
        <f>IF('1.1 Produksi Bersih Padi 2025'!A847="","",'1.1 Produksi Bersih Padi 2025'!A847)</f>
        <v/>
      </c>
      <c r="B847" s="31" t="str">
        <f>IF('1.1 Produksi Bersih Padi 2025'!B847="","",'1.1 Produksi Bersih Padi 2025'!B847)</f>
        <v/>
      </c>
      <c r="C847" s="31" t="str">
        <f>IF('1.1 Produksi Bersih Padi 2025'!C847="","",'1.1 Produksi Bersih Padi 2025'!C847)</f>
        <v/>
      </c>
      <c r="D847" s="1" t="str">
        <f>IF('1.1 Produksi Bersih Padi 2025'!D847="","",'1.1 Produksi Bersih Padi 2025'!D847)</f>
        <v/>
      </c>
      <c r="E847" s="1" t="str">
        <f>IF('1.1 Produksi Bersih Padi 2025'!E847="","",'1.1 Produksi Bersih Padi 2025'!E847)</f>
        <v/>
      </c>
      <c r="F847" s="28" t="str">
        <f>IF(D847="","",VLOOKUP(D847,'[1]0.1 Produksi Pangan &amp; Penduduk'!$D$5:$AE$860,28,0))</f>
        <v/>
      </c>
      <c r="G847" s="29" t="str">
        <f t="shared" si="65"/>
        <v/>
      </c>
      <c r="H847" s="29" t="str">
        <f t="shared" si="66"/>
        <v/>
      </c>
      <c r="I847" s="29" t="str">
        <f t="shared" si="67"/>
        <v/>
      </c>
      <c r="J847" s="29" t="str">
        <f t="shared" si="68"/>
        <v/>
      </c>
      <c r="K847" s="29" t="str">
        <f t="shared" si="69"/>
        <v/>
      </c>
    </row>
    <row r="848" spans="1:11" ht="15" x14ac:dyDescent="0.25">
      <c r="A848" s="1" t="str">
        <f>IF('1.1 Produksi Bersih Padi 2025'!A848="","",'1.1 Produksi Bersih Padi 2025'!A848)</f>
        <v/>
      </c>
      <c r="B848" s="31" t="str">
        <f>IF('1.1 Produksi Bersih Padi 2025'!B848="","",'1.1 Produksi Bersih Padi 2025'!B848)</f>
        <v/>
      </c>
      <c r="C848" s="31" t="str">
        <f>IF('1.1 Produksi Bersih Padi 2025'!C848="","",'1.1 Produksi Bersih Padi 2025'!C848)</f>
        <v/>
      </c>
      <c r="D848" s="1" t="str">
        <f>IF('1.1 Produksi Bersih Padi 2025'!D848="","",'1.1 Produksi Bersih Padi 2025'!D848)</f>
        <v/>
      </c>
      <c r="E848" s="1" t="str">
        <f>IF('1.1 Produksi Bersih Padi 2025'!E848="","",'1.1 Produksi Bersih Padi 2025'!E848)</f>
        <v/>
      </c>
      <c r="F848" s="28" t="str">
        <f>IF(D848="","",VLOOKUP(D848,'[1]0.1 Produksi Pangan &amp; Penduduk'!$D$5:$AE$860,28,0))</f>
        <v/>
      </c>
      <c r="G848" s="29" t="str">
        <f t="shared" si="65"/>
        <v/>
      </c>
      <c r="H848" s="29" t="str">
        <f t="shared" si="66"/>
        <v/>
      </c>
      <c r="I848" s="29" t="str">
        <f t="shared" si="67"/>
        <v/>
      </c>
      <c r="J848" s="29" t="str">
        <f t="shared" si="68"/>
        <v/>
      </c>
      <c r="K848" s="29" t="str">
        <f t="shared" si="69"/>
        <v/>
      </c>
    </row>
    <row r="849" spans="1:11" ht="15" x14ac:dyDescent="0.25">
      <c r="A849" s="1" t="str">
        <f>IF('1.1 Produksi Bersih Padi 2025'!A849="","",'1.1 Produksi Bersih Padi 2025'!A849)</f>
        <v/>
      </c>
      <c r="B849" s="31" t="str">
        <f>IF('1.1 Produksi Bersih Padi 2025'!B849="","",'1.1 Produksi Bersih Padi 2025'!B849)</f>
        <v/>
      </c>
      <c r="C849" s="31" t="str">
        <f>IF('1.1 Produksi Bersih Padi 2025'!C849="","",'1.1 Produksi Bersih Padi 2025'!C849)</f>
        <v/>
      </c>
      <c r="D849" s="1" t="str">
        <f>IF('1.1 Produksi Bersih Padi 2025'!D849="","",'1.1 Produksi Bersih Padi 2025'!D849)</f>
        <v/>
      </c>
      <c r="E849" s="1" t="str">
        <f>IF('1.1 Produksi Bersih Padi 2025'!E849="","",'1.1 Produksi Bersih Padi 2025'!E849)</f>
        <v/>
      </c>
      <c r="F849" s="28" t="str">
        <f>IF(D849="","",VLOOKUP(D849,'[1]0.1 Produksi Pangan &amp; Penduduk'!$D$5:$AE$860,28,0))</f>
        <v/>
      </c>
      <c r="G849" s="29" t="str">
        <f t="shared" si="65"/>
        <v/>
      </c>
      <c r="H849" s="29" t="str">
        <f t="shared" si="66"/>
        <v/>
      </c>
      <c r="I849" s="29" t="str">
        <f t="shared" si="67"/>
        <v/>
      </c>
      <c r="J849" s="29" t="str">
        <f t="shared" si="68"/>
        <v/>
      </c>
      <c r="K849" s="29" t="str">
        <f t="shared" si="69"/>
        <v/>
      </c>
    </row>
    <row r="850" spans="1:11" ht="15" x14ac:dyDescent="0.25">
      <c r="A850" s="1" t="str">
        <f>IF('1.1 Produksi Bersih Padi 2025'!A850="","",'1.1 Produksi Bersih Padi 2025'!A850)</f>
        <v/>
      </c>
      <c r="B850" s="31" t="str">
        <f>IF('1.1 Produksi Bersih Padi 2025'!B850="","",'1.1 Produksi Bersih Padi 2025'!B850)</f>
        <v/>
      </c>
      <c r="C850" s="31" t="str">
        <f>IF('1.1 Produksi Bersih Padi 2025'!C850="","",'1.1 Produksi Bersih Padi 2025'!C850)</f>
        <v/>
      </c>
      <c r="D850" s="1" t="str">
        <f>IF('1.1 Produksi Bersih Padi 2025'!D850="","",'1.1 Produksi Bersih Padi 2025'!D850)</f>
        <v/>
      </c>
      <c r="E850" s="1" t="str">
        <f>IF('1.1 Produksi Bersih Padi 2025'!E850="","",'1.1 Produksi Bersih Padi 2025'!E850)</f>
        <v/>
      </c>
      <c r="F850" s="28" t="str">
        <f>IF(D850="","",VLOOKUP(D850,'[1]0.1 Produksi Pangan &amp; Penduduk'!$D$5:$AE$860,28,0))</f>
        <v/>
      </c>
      <c r="G850" s="29" t="str">
        <f t="shared" si="65"/>
        <v/>
      </c>
      <c r="H850" s="29" t="str">
        <f t="shared" si="66"/>
        <v/>
      </c>
      <c r="I850" s="29" t="str">
        <f t="shared" si="67"/>
        <v/>
      </c>
      <c r="J850" s="29" t="str">
        <f t="shared" si="68"/>
        <v/>
      </c>
      <c r="K850" s="29" t="str">
        <f t="shared" si="69"/>
        <v/>
      </c>
    </row>
    <row r="851" spans="1:11" ht="15" x14ac:dyDescent="0.25">
      <c r="A851" s="1" t="str">
        <f>IF('1.1 Produksi Bersih Padi 2025'!A851="","",'1.1 Produksi Bersih Padi 2025'!A851)</f>
        <v/>
      </c>
      <c r="B851" s="31" t="str">
        <f>IF('1.1 Produksi Bersih Padi 2025'!B851="","",'1.1 Produksi Bersih Padi 2025'!B851)</f>
        <v/>
      </c>
      <c r="C851" s="31" t="str">
        <f>IF('1.1 Produksi Bersih Padi 2025'!C851="","",'1.1 Produksi Bersih Padi 2025'!C851)</f>
        <v/>
      </c>
      <c r="D851" s="1" t="str">
        <f>IF('1.1 Produksi Bersih Padi 2025'!D851="","",'1.1 Produksi Bersih Padi 2025'!D851)</f>
        <v/>
      </c>
      <c r="E851" s="1" t="str">
        <f>IF('1.1 Produksi Bersih Padi 2025'!E851="","",'1.1 Produksi Bersih Padi 2025'!E851)</f>
        <v/>
      </c>
      <c r="F851" s="28" t="str">
        <f>IF(D851="","",VLOOKUP(D851,'[1]0.1 Produksi Pangan &amp; Penduduk'!$D$5:$AE$860,28,0))</f>
        <v/>
      </c>
      <c r="G851" s="29" t="str">
        <f t="shared" si="65"/>
        <v/>
      </c>
      <c r="H851" s="29" t="str">
        <f t="shared" si="66"/>
        <v/>
      </c>
      <c r="I851" s="29" t="str">
        <f t="shared" si="67"/>
        <v/>
      </c>
      <c r="J851" s="29" t="str">
        <f t="shared" si="68"/>
        <v/>
      </c>
      <c r="K851" s="29" t="str">
        <f t="shared" si="69"/>
        <v/>
      </c>
    </row>
    <row r="852" spans="1:11" ht="15" x14ac:dyDescent="0.25">
      <c r="A852" s="1" t="str">
        <f>IF('1.1 Produksi Bersih Padi 2025'!A852="","",'1.1 Produksi Bersih Padi 2025'!A852)</f>
        <v/>
      </c>
      <c r="B852" s="31" t="str">
        <f>IF('1.1 Produksi Bersih Padi 2025'!B852="","",'1.1 Produksi Bersih Padi 2025'!B852)</f>
        <v/>
      </c>
      <c r="C852" s="31" t="str">
        <f>IF('1.1 Produksi Bersih Padi 2025'!C852="","",'1.1 Produksi Bersih Padi 2025'!C852)</f>
        <v/>
      </c>
      <c r="D852" s="1" t="str">
        <f>IF('1.1 Produksi Bersih Padi 2025'!D852="","",'1.1 Produksi Bersih Padi 2025'!D852)</f>
        <v/>
      </c>
      <c r="E852" s="1" t="str">
        <f>IF('1.1 Produksi Bersih Padi 2025'!E852="","",'1.1 Produksi Bersih Padi 2025'!E852)</f>
        <v/>
      </c>
      <c r="F852" s="28" t="str">
        <f>IF(D852="","",VLOOKUP(D852,'[1]0.1 Produksi Pangan &amp; Penduduk'!$D$5:$AE$860,28,0))</f>
        <v/>
      </c>
      <c r="G852" s="29" t="str">
        <f t="shared" si="65"/>
        <v/>
      </c>
      <c r="H852" s="29" t="str">
        <f t="shared" si="66"/>
        <v/>
      </c>
      <c r="I852" s="29" t="str">
        <f t="shared" si="67"/>
        <v/>
      </c>
      <c r="J852" s="29" t="str">
        <f t="shared" si="68"/>
        <v/>
      </c>
      <c r="K852" s="29" t="str">
        <f t="shared" si="69"/>
        <v/>
      </c>
    </row>
    <row r="853" spans="1:11" ht="15" x14ac:dyDescent="0.25">
      <c r="A853" s="1" t="str">
        <f>IF('1.1 Produksi Bersih Padi 2025'!A853="","",'1.1 Produksi Bersih Padi 2025'!A853)</f>
        <v/>
      </c>
      <c r="B853" s="31" t="str">
        <f>IF('1.1 Produksi Bersih Padi 2025'!B853="","",'1.1 Produksi Bersih Padi 2025'!B853)</f>
        <v/>
      </c>
      <c r="C853" s="31" t="str">
        <f>IF('1.1 Produksi Bersih Padi 2025'!C853="","",'1.1 Produksi Bersih Padi 2025'!C853)</f>
        <v/>
      </c>
      <c r="D853" s="1" t="str">
        <f>IF('1.1 Produksi Bersih Padi 2025'!D853="","",'1.1 Produksi Bersih Padi 2025'!D853)</f>
        <v/>
      </c>
      <c r="E853" s="1" t="str">
        <f>IF('1.1 Produksi Bersih Padi 2025'!E853="","",'1.1 Produksi Bersih Padi 2025'!E853)</f>
        <v/>
      </c>
      <c r="F853" s="28" t="str">
        <f>IF(D853="","",VLOOKUP(D853,'[1]0.1 Produksi Pangan &amp; Penduduk'!$D$5:$AE$860,28,0))</f>
        <v/>
      </c>
      <c r="G853" s="29" t="str">
        <f t="shared" si="65"/>
        <v/>
      </c>
      <c r="H853" s="29" t="str">
        <f t="shared" si="66"/>
        <v/>
      </c>
      <c r="I853" s="29" t="str">
        <f t="shared" si="67"/>
        <v/>
      </c>
      <c r="J853" s="29" t="str">
        <f t="shared" si="68"/>
        <v/>
      </c>
      <c r="K853" s="29" t="str">
        <f t="shared" si="69"/>
        <v/>
      </c>
    </row>
    <row r="854" spans="1:11" ht="15" x14ac:dyDescent="0.25">
      <c r="A854" s="1" t="str">
        <f>IF('1.1 Produksi Bersih Padi 2025'!A854="","",'1.1 Produksi Bersih Padi 2025'!A854)</f>
        <v/>
      </c>
      <c r="B854" s="31" t="str">
        <f>IF('1.1 Produksi Bersih Padi 2025'!B854="","",'1.1 Produksi Bersih Padi 2025'!B854)</f>
        <v/>
      </c>
      <c r="C854" s="31" t="str">
        <f>IF('1.1 Produksi Bersih Padi 2025'!C854="","",'1.1 Produksi Bersih Padi 2025'!C854)</f>
        <v/>
      </c>
      <c r="D854" s="1" t="str">
        <f>IF('1.1 Produksi Bersih Padi 2025'!D854="","",'1.1 Produksi Bersih Padi 2025'!D854)</f>
        <v/>
      </c>
      <c r="E854" s="1" t="str">
        <f>IF('1.1 Produksi Bersih Padi 2025'!E854="","",'1.1 Produksi Bersih Padi 2025'!E854)</f>
        <v/>
      </c>
      <c r="F854" s="28" t="str">
        <f>IF(D854="","",VLOOKUP(D854,'[1]0.1 Produksi Pangan &amp; Penduduk'!$D$5:$AE$860,28,0))</f>
        <v/>
      </c>
      <c r="G854" s="29" t="str">
        <f t="shared" si="65"/>
        <v/>
      </c>
      <c r="H854" s="29" t="str">
        <f t="shared" si="66"/>
        <v/>
      </c>
      <c r="I854" s="29" t="str">
        <f t="shared" si="67"/>
        <v/>
      </c>
      <c r="J854" s="29" t="str">
        <f t="shared" si="68"/>
        <v/>
      </c>
      <c r="K854" s="29" t="str">
        <f t="shared" si="69"/>
        <v/>
      </c>
    </row>
    <row r="855" spans="1:11" ht="15" x14ac:dyDescent="0.25">
      <c r="A855" s="1" t="str">
        <f>IF('1.1 Produksi Bersih Padi 2025'!A855="","",'1.1 Produksi Bersih Padi 2025'!A855)</f>
        <v/>
      </c>
      <c r="B855" s="31" t="str">
        <f>IF('1.1 Produksi Bersih Padi 2025'!B855="","",'1.1 Produksi Bersih Padi 2025'!B855)</f>
        <v/>
      </c>
      <c r="C855" s="31" t="str">
        <f>IF('1.1 Produksi Bersih Padi 2025'!C855="","",'1.1 Produksi Bersih Padi 2025'!C855)</f>
        <v/>
      </c>
      <c r="D855" s="1" t="str">
        <f>IF('1.1 Produksi Bersih Padi 2025'!D855="","",'1.1 Produksi Bersih Padi 2025'!D855)</f>
        <v/>
      </c>
      <c r="E855" s="1" t="str">
        <f>IF('1.1 Produksi Bersih Padi 2025'!E855="","",'1.1 Produksi Bersih Padi 2025'!E855)</f>
        <v/>
      </c>
      <c r="F855" s="28" t="str">
        <f>IF(D855="","",VLOOKUP(D855,'[1]0.1 Produksi Pangan &amp; Penduduk'!$D$5:$AE$860,28,0))</f>
        <v/>
      </c>
      <c r="G855" s="29" t="str">
        <f t="shared" si="65"/>
        <v/>
      </c>
      <c r="H855" s="29" t="str">
        <f t="shared" si="66"/>
        <v/>
      </c>
      <c r="I855" s="29" t="str">
        <f t="shared" si="67"/>
        <v/>
      </c>
      <c r="J855" s="29" t="str">
        <f t="shared" si="68"/>
        <v/>
      </c>
      <c r="K855" s="29" t="str">
        <f t="shared" si="69"/>
        <v/>
      </c>
    </row>
    <row r="856" spans="1:11" ht="15" x14ac:dyDescent="0.25">
      <c r="A856" s="1" t="str">
        <f>IF('1.1 Produksi Bersih Padi 2025'!A856="","",'1.1 Produksi Bersih Padi 2025'!A856)</f>
        <v/>
      </c>
      <c r="B856" s="31" t="str">
        <f>IF('1.1 Produksi Bersih Padi 2025'!B856="","",'1.1 Produksi Bersih Padi 2025'!B856)</f>
        <v/>
      </c>
      <c r="C856" s="31" t="str">
        <f>IF('1.1 Produksi Bersih Padi 2025'!C856="","",'1.1 Produksi Bersih Padi 2025'!C856)</f>
        <v/>
      </c>
      <c r="D856" s="1" t="str">
        <f>IF('1.1 Produksi Bersih Padi 2025'!D856="","",'1.1 Produksi Bersih Padi 2025'!D856)</f>
        <v/>
      </c>
      <c r="E856" s="1" t="str">
        <f>IF('1.1 Produksi Bersih Padi 2025'!E856="","",'1.1 Produksi Bersih Padi 2025'!E856)</f>
        <v/>
      </c>
      <c r="F856" s="28" t="str">
        <f>IF(D856="","",VLOOKUP(D856,'[1]0.1 Produksi Pangan &amp; Penduduk'!$D$5:$AE$860,28,0))</f>
        <v/>
      </c>
      <c r="G856" s="29" t="str">
        <f t="shared" si="65"/>
        <v/>
      </c>
      <c r="H856" s="29" t="str">
        <f t="shared" si="66"/>
        <v/>
      </c>
      <c r="I856" s="29" t="str">
        <f t="shared" si="67"/>
        <v/>
      </c>
      <c r="J856" s="29" t="str">
        <f t="shared" si="68"/>
        <v/>
      </c>
      <c r="K856" s="29" t="str">
        <f t="shared" si="69"/>
        <v/>
      </c>
    </row>
    <row r="857" spans="1:11" ht="15" x14ac:dyDescent="0.25">
      <c r="A857" s="1" t="str">
        <f>IF('1.1 Produksi Bersih Padi 2025'!A857="","",'1.1 Produksi Bersih Padi 2025'!A857)</f>
        <v/>
      </c>
      <c r="B857" s="31" t="str">
        <f>IF('1.1 Produksi Bersih Padi 2025'!B857="","",'1.1 Produksi Bersih Padi 2025'!B857)</f>
        <v/>
      </c>
      <c r="C857" s="31" t="str">
        <f>IF('1.1 Produksi Bersih Padi 2025'!C857="","",'1.1 Produksi Bersih Padi 2025'!C857)</f>
        <v/>
      </c>
      <c r="D857" s="1" t="str">
        <f>IF('1.1 Produksi Bersih Padi 2025'!D857="","",'1.1 Produksi Bersih Padi 2025'!D857)</f>
        <v/>
      </c>
      <c r="E857" s="1" t="str">
        <f>IF('1.1 Produksi Bersih Padi 2025'!E857="","",'1.1 Produksi Bersih Padi 2025'!E857)</f>
        <v/>
      </c>
      <c r="F857" s="28" t="str">
        <f>IF(D857="","",VLOOKUP(D857,'[1]0.1 Produksi Pangan &amp; Penduduk'!$D$5:$AE$860,28,0))</f>
        <v/>
      </c>
      <c r="G857" s="29" t="str">
        <f t="shared" si="65"/>
        <v/>
      </c>
      <c r="H857" s="29" t="str">
        <f t="shared" si="66"/>
        <v/>
      </c>
      <c r="I857" s="29" t="str">
        <f t="shared" si="67"/>
        <v/>
      </c>
      <c r="J857" s="29" t="str">
        <f t="shared" si="68"/>
        <v/>
      </c>
      <c r="K857" s="29" t="str">
        <f t="shared" si="69"/>
        <v/>
      </c>
    </row>
    <row r="858" spans="1:11" ht="15" x14ac:dyDescent="0.25">
      <c r="A858" s="1" t="str">
        <f>IF('1.1 Produksi Bersih Padi 2025'!A858="","",'1.1 Produksi Bersih Padi 2025'!A858)</f>
        <v/>
      </c>
      <c r="B858" s="31" t="str">
        <f>IF('1.1 Produksi Bersih Padi 2025'!B858="","",'1.1 Produksi Bersih Padi 2025'!B858)</f>
        <v/>
      </c>
      <c r="C858" s="31" t="str">
        <f>IF('1.1 Produksi Bersih Padi 2025'!C858="","",'1.1 Produksi Bersih Padi 2025'!C858)</f>
        <v/>
      </c>
      <c r="D858" s="1" t="str">
        <f>IF('1.1 Produksi Bersih Padi 2025'!D858="","",'1.1 Produksi Bersih Padi 2025'!D858)</f>
        <v/>
      </c>
      <c r="E858" s="1" t="str">
        <f>IF('1.1 Produksi Bersih Padi 2025'!E858="","",'1.1 Produksi Bersih Padi 2025'!E858)</f>
        <v/>
      </c>
      <c r="F858" s="28" t="str">
        <f>IF(D858="","",VLOOKUP(D858,'[1]0.1 Produksi Pangan &amp; Penduduk'!$D$5:$AE$860,28,0))</f>
        <v/>
      </c>
      <c r="G858" s="29" t="str">
        <f t="shared" si="65"/>
        <v/>
      </c>
      <c r="H858" s="29" t="str">
        <f t="shared" si="66"/>
        <v/>
      </c>
      <c r="I858" s="29" t="str">
        <f t="shared" si="67"/>
        <v/>
      </c>
      <c r="J858" s="29" t="str">
        <f t="shared" si="68"/>
        <v/>
      </c>
      <c r="K858" s="29" t="str">
        <f t="shared" si="69"/>
        <v/>
      </c>
    </row>
    <row r="859" spans="1:11" ht="15" x14ac:dyDescent="0.25">
      <c r="A859" s="1" t="str">
        <f>IF('1.1 Produksi Bersih Padi 2025'!A859="","",'1.1 Produksi Bersih Padi 2025'!A859)</f>
        <v/>
      </c>
      <c r="B859" s="31" t="str">
        <f>IF('1.1 Produksi Bersih Padi 2025'!B859="","",'1.1 Produksi Bersih Padi 2025'!B859)</f>
        <v/>
      </c>
      <c r="C859" s="31" t="str">
        <f>IF('1.1 Produksi Bersih Padi 2025'!C859="","",'1.1 Produksi Bersih Padi 2025'!C859)</f>
        <v/>
      </c>
      <c r="D859" s="1" t="str">
        <f>IF('1.1 Produksi Bersih Padi 2025'!D859="","",'1.1 Produksi Bersih Padi 2025'!D859)</f>
        <v/>
      </c>
      <c r="E859" s="1" t="str">
        <f>IF('1.1 Produksi Bersih Padi 2025'!E859="","",'1.1 Produksi Bersih Padi 2025'!E859)</f>
        <v/>
      </c>
      <c r="F859" s="28" t="str">
        <f>IF(D859="","",VLOOKUP(D859,'[1]0.1 Produksi Pangan &amp; Penduduk'!$D$5:$AE$860,28,0))</f>
        <v/>
      </c>
      <c r="G859" s="29" t="str">
        <f t="shared" si="65"/>
        <v/>
      </c>
      <c r="H859" s="29" t="str">
        <f t="shared" si="66"/>
        <v/>
      </c>
      <c r="I859" s="29" t="str">
        <f t="shared" si="67"/>
        <v/>
      </c>
      <c r="J859" s="29" t="str">
        <f t="shared" si="68"/>
        <v/>
      </c>
      <c r="K859" s="29" t="str">
        <f t="shared" si="69"/>
        <v/>
      </c>
    </row>
  </sheetData>
  <sheetProtection algorithmName="SHA-512" hashValue="+x9uYN44EvFIrIKR2+Sd187MdX6cvdUPNq03p1Aq9MdTzDmYnY4RNj4KS4HwwdC2rY2sFh0Ps9Tf40XqvYy0gg==" saltValue="R1Y7opZx9gHkVT0MzML1/A==" spinCount="100000" sheet="1"/>
  <protectedRanges>
    <protectedRange sqref="A1:G1" name="Range1_2"/>
    <protectedRange sqref="H1" name="Range1_1_2"/>
    <protectedRange sqref="J1" name="Range1_1_1_1"/>
    <protectedRange sqref="I1" name="Range1_1_2_1"/>
  </protectedRanges>
  <mergeCells count="10">
    <mergeCell ref="A1:H1"/>
    <mergeCell ref="K2:K3"/>
    <mergeCell ref="J2:J3"/>
    <mergeCell ref="A2:A4"/>
    <mergeCell ref="B2:B4"/>
    <mergeCell ref="F2:F3"/>
    <mergeCell ref="G2:I2"/>
    <mergeCell ref="C2:C4"/>
    <mergeCell ref="D2:D4"/>
    <mergeCell ref="E2:E4"/>
  </mergeCells>
  <phoneticPr fontId="4" type="noConversion"/>
  <pageMargins left="0.75" right="0.5" top="0.75" bottom="0.5" header="0.5" footer="0.5"/>
  <pageSetup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 tint="0.39997558519241921"/>
  </sheetPr>
  <dimension ref="A1:M859"/>
  <sheetViews>
    <sheetView showGridLines="0"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sqref="A1:H1"/>
    </sheetView>
  </sheetViews>
  <sheetFormatPr defaultRowHeight="13.2" x14ac:dyDescent="0.25"/>
  <cols>
    <col min="1" max="1" width="6.44140625" customWidth="1"/>
    <col min="2" max="2" width="24.21875" customWidth="1"/>
    <col min="3" max="3" width="28.77734375" customWidth="1"/>
    <col min="4" max="5" width="20.6640625" customWidth="1"/>
    <col min="6" max="6" width="18.6640625" customWidth="1"/>
    <col min="7" max="9" width="14.109375" customWidth="1"/>
    <col min="10" max="11" width="18.6640625" customWidth="1"/>
  </cols>
  <sheetData>
    <row r="1" spans="1:13" ht="30" customHeight="1" x14ac:dyDescent="0.25">
      <c r="A1" s="85" t="s">
        <v>73</v>
      </c>
      <c r="B1" s="85"/>
      <c r="C1" s="85"/>
      <c r="D1" s="85"/>
      <c r="E1" s="85"/>
      <c r="F1" s="85"/>
      <c r="G1" s="85"/>
      <c r="H1" s="85"/>
      <c r="I1" s="33" t="s">
        <v>64</v>
      </c>
      <c r="J1" s="34" t="str">
        <f>IF('[1]0.1 Produksi Pangan &amp; Penduduk'!$C$3="","",'[1]0.1 Produksi Pangan &amp; Penduduk'!$C$3)</f>
        <v/>
      </c>
      <c r="K1" s="12"/>
    </row>
    <row r="2" spans="1:13" ht="16.05" customHeight="1" x14ac:dyDescent="0.25">
      <c r="A2" s="86" t="s">
        <v>15</v>
      </c>
      <c r="B2" s="86" t="s">
        <v>67</v>
      </c>
      <c r="C2" s="86" t="s">
        <v>68</v>
      </c>
      <c r="D2" s="86" t="s">
        <v>65</v>
      </c>
      <c r="E2" s="86" t="s">
        <v>66</v>
      </c>
      <c r="F2" s="86" t="s">
        <v>16</v>
      </c>
      <c r="G2" s="86" t="s">
        <v>17</v>
      </c>
      <c r="H2" s="86"/>
      <c r="I2" s="86"/>
      <c r="J2" s="86" t="s">
        <v>18</v>
      </c>
      <c r="K2" s="86" t="s">
        <v>96</v>
      </c>
    </row>
    <row r="3" spans="1:13" ht="31.95" customHeight="1" x14ac:dyDescent="0.25">
      <c r="A3" s="86"/>
      <c r="B3" s="86"/>
      <c r="C3" s="86"/>
      <c r="D3" s="86"/>
      <c r="E3" s="86"/>
      <c r="F3" s="86"/>
      <c r="G3" s="22" t="s">
        <v>53</v>
      </c>
      <c r="H3" s="22" t="s">
        <v>56</v>
      </c>
      <c r="I3" s="22" t="s">
        <v>57</v>
      </c>
      <c r="J3" s="86"/>
      <c r="K3" s="86"/>
    </row>
    <row r="4" spans="1:13" ht="16.05" customHeight="1" x14ac:dyDescent="0.25">
      <c r="A4" s="86"/>
      <c r="B4" s="86"/>
      <c r="C4" s="86"/>
      <c r="D4" s="86"/>
      <c r="E4" s="86"/>
      <c r="F4" s="22" t="s">
        <v>59</v>
      </c>
      <c r="G4" s="22" t="s">
        <v>2</v>
      </c>
      <c r="H4" s="22" t="s">
        <v>3</v>
      </c>
      <c r="I4" s="22" t="s">
        <v>1</v>
      </c>
      <c r="J4" s="22" t="s">
        <v>60</v>
      </c>
      <c r="K4" s="22" t="s">
        <v>33</v>
      </c>
    </row>
    <row r="5" spans="1:13" ht="13.5" customHeight="1" x14ac:dyDescent="0.25">
      <c r="A5" s="1" t="str">
        <f>IF('1.1 Produksi Bersih Padi 2025'!A5="","",'1.1 Produksi Bersih Padi 2025'!A5)</f>
        <v/>
      </c>
      <c r="B5" s="31" t="str">
        <f>IF('1.1 Produksi Bersih Padi 2025'!B5="","",'1.1 Produksi Bersih Padi 2025'!B5)</f>
        <v/>
      </c>
      <c r="C5" s="31" t="str">
        <f>IF('1.1 Produksi Bersih Padi 2025'!C5="","",'1.1 Produksi Bersih Padi 2025'!C5)</f>
        <v/>
      </c>
      <c r="D5" s="1" t="str">
        <f>IF('1.1 Produksi Bersih Padi 2025'!D5="","",'1.1 Produksi Bersih Padi 2025'!D5)</f>
        <v/>
      </c>
      <c r="E5" s="1" t="str">
        <f>IF('1.1 Produksi Bersih Padi 2025'!E5="","",'1.1 Produksi Bersih Padi 2025'!E5)</f>
        <v/>
      </c>
      <c r="F5" s="28" t="str">
        <f>IF(D5="","",VLOOKUP(D5,'[1]0.1 Produksi Pangan &amp; Penduduk'!$D$5:$AK$860,34,0))</f>
        <v/>
      </c>
      <c r="G5" s="29" t="str">
        <f>IF(F5="","",F5*0%)</f>
        <v/>
      </c>
      <c r="H5" s="29" t="str">
        <f>IF(F5="","",F5*0%)</f>
        <v/>
      </c>
      <c r="I5" s="29" t="str">
        <f>IF(F5="","",F5*0.72%)</f>
        <v/>
      </c>
      <c r="J5" s="29" t="str">
        <f>IF(F5="","",F5-(G5+H5+I5))</f>
        <v/>
      </c>
      <c r="K5" s="29" t="str">
        <f>IF(J5="","",J5*0.64)</f>
        <v/>
      </c>
      <c r="M5" s="11"/>
    </row>
    <row r="6" spans="1:13" ht="13.5" customHeight="1" x14ac:dyDescent="0.25">
      <c r="A6" s="1" t="str">
        <f>IF('1.1 Produksi Bersih Padi 2025'!A6="","",'1.1 Produksi Bersih Padi 2025'!A6)</f>
        <v/>
      </c>
      <c r="B6" s="31" t="str">
        <f>IF('1.1 Produksi Bersih Padi 2025'!B6="","",'1.1 Produksi Bersih Padi 2025'!B6)</f>
        <v/>
      </c>
      <c r="C6" s="31" t="str">
        <f>IF('1.1 Produksi Bersih Padi 2025'!C6="","",'1.1 Produksi Bersih Padi 2025'!C6)</f>
        <v/>
      </c>
      <c r="D6" s="1" t="str">
        <f>IF('1.1 Produksi Bersih Padi 2025'!D6="","",'1.1 Produksi Bersih Padi 2025'!D6)</f>
        <v/>
      </c>
      <c r="E6" s="1" t="str">
        <f>IF('1.1 Produksi Bersih Padi 2025'!E6="","",'1.1 Produksi Bersih Padi 2025'!E6)</f>
        <v/>
      </c>
      <c r="F6" s="28" t="str">
        <f>IF(D6="","",VLOOKUP(D6,'[1]0.1 Produksi Pangan &amp; Penduduk'!$D$5:$AK$860,34,0))</f>
        <v/>
      </c>
      <c r="G6" s="29" t="str">
        <f t="shared" ref="G6:G69" si="0">IF(F6="","",F6*0%)</f>
        <v/>
      </c>
      <c r="H6" s="29" t="str">
        <f t="shared" ref="H6:H69" si="1">IF(F6="","",F6*0%)</f>
        <v/>
      </c>
      <c r="I6" s="29" t="str">
        <f t="shared" ref="I6:I69" si="2">IF(F6="","",F6*0.72%)</f>
        <v/>
      </c>
      <c r="J6" s="29" t="str">
        <f t="shared" ref="J6:J69" si="3">IF(F6="","",F6-(G6+H6+I6))</f>
        <v/>
      </c>
      <c r="K6" s="29" t="str">
        <f t="shared" ref="K6:K69" si="4">IF(J6="","",J6*0.64)</f>
        <v/>
      </c>
      <c r="M6" s="11"/>
    </row>
    <row r="7" spans="1:13" ht="13.5" customHeight="1" x14ac:dyDescent="0.25">
      <c r="A7" s="1" t="str">
        <f>IF('1.1 Produksi Bersih Padi 2025'!A7="","",'1.1 Produksi Bersih Padi 2025'!A7)</f>
        <v/>
      </c>
      <c r="B7" s="31" t="str">
        <f>IF('1.1 Produksi Bersih Padi 2025'!B7="","",'1.1 Produksi Bersih Padi 2025'!B7)</f>
        <v/>
      </c>
      <c r="C7" s="31" t="str">
        <f>IF('1.1 Produksi Bersih Padi 2025'!C7="","",'1.1 Produksi Bersih Padi 2025'!C7)</f>
        <v/>
      </c>
      <c r="D7" s="1" t="str">
        <f>IF('1.1 Produksi Bersih Padi 2025'!D7="","",'1.1 Produksi Bersih Padi 2025'!D7)</f>
        <v/>
      </c>
      <c r="E7" s="1" t="str">
        <f>IF('1.1 Produksi Bersih Padi 2025'!E7="","",'1.1 Produksi Bersih Padi 2025'!E7)</f>
        <v/>
      </c>
      <c r="F7" s="28" t="str">
        <f>IF(D7="","",VLOOKUP(D7,'[1]0.1 Produksi Pangan &amp; Penduduk'!$D$5:$AK$860,34,0))</f>
        <v/>
      </c>
      <c r="G7" s="29" t="str">
        <f t="shared" si="0"/>
        <v/>
      </c>
      <c r="H7" s="29" t="str">
        <f t="shared" si="1"/>
        <v/>
      </c>
      <c r="I7" s="29" t="str">
        <f t="shared" si="2"/>
        <v/>
      </c>
      <c r="J7" s="29" t="str">
        <f t="shared" si="3"/>
        <v/>
      </c>
      <c r="K7" s="29" t="str">
        <f t="shared" si="4"/>
        <v/>
      </c>
      <c r="M7" s="11"/>
    </row>
    <row r="8" spans="1:13" ht="13.5" customHeight="1" x14ac:dyDescent="0.25">
      <c r="A8" s="1" t="str">
        <f>IF('1.1 Produksi Bersih Padi 2025'!A8="","",'1.1 Produksi Bersih Padi 2025'!A8)</f>
        <v/>
      </c>
      <c r="B8" s="31" t="str">
        <f>IF('1.1 Produksi Bersih Padi 2025'!B8="","",'1.1 Produksi Bersih Padi 2025'!B8)</f>
        <v/>
      </c>
      <c r="C8" s="31" t="str">
        <f>IF('1.1 Produksi Bersih Padi 2025'!C8="","",'1.1 Produksi Bersih Padi 2025'!C8)</f>
        <v/>
      </c>
      <c r="D8" s="1" t="str">
        <f>IF('1.1 Produksi Bersih Padi 2025'!D8="","",'1.1 Produksi Bersih Padi 2025'!D8)</f>
        <v/>
      </c>
      <c r="E8" s="1" t="str">
        <f>IF('1.1 Produksi Bersih Padi 2025'!E8="","",'1.1 Produksi Bersih Padi 2025'!E8)</f>
        <v/>
      </c>
      <c r="F8" s="28" t="str">
        <f>IF(D8="","",VLOOKUP(D8,'[1]0.1 Produksi Pangan &amp; Penduduk'!$D$5:$AK$860,34,0))</f>
        <v/>
      </c>
      <c r="G8" s="29" t="str">
        <f t="shared" si="0"/>
        <v/>
      </c>
      <c r="H8" s="29" t="str">
        <f t="shared" si="1"/>
        <v/>
      </c>
      <c r="I8" s="29" t="str">
        <f t="shared" si="2"/>
        <v/>
      </c>
      <c r="J8" s="29" t="str">
        <f t="shared" si="3"/>
        <v/>
      </c>
      <c r="K8" s="29" t="str">
        <f t="shared" si="4"/>
        <v/>
      </c>
      <c r="M8" s="11"/>
    </row>
    <row r="9" spans="1:13" ht="13.5" customHeight="1" x14ac:dyDescent="0.25">
      <c r="A9" s="1" t="str">
        <f>IF('1.1 Produksi Bersih Padi 2025'!A9="","",'1.1 Produksi Bersih Padi 2025'!A9)</f>
        <v/>
      </c>
      <c r="B9" s="31" t="str">
        <f>IF('1.1 Produksi Bersih Padi 2025'!B9="","",'1.1 Produksi Bersih Padi 2025'!B9)</f>
        <v/>
      </c>
      <c r="C9" s="31" t="str">
        <f>IF('1.1 Produksi Bersih Padi 2025'!C9="","",'1.1 Produksi Bersih Padi 2025'!C9)</f>
        <v/>
      </c>
      <c r="D9" s="1" t="str">
        <f>IF('1.1 Produksi Bersih Padi 2025'!D9="","",'1.1 Produksi Bersih Padi 2025'!D9)</f>
        <v/>
      </c>
      <c r="E9" s="1" t="str">
        <f>IF('1.1 Produksi Bersih Padi 2025'!E9="","",'1.1 Produksi Bersih Padi 2025'!E9)</f>
        <v/>
      </c>
      <c r="F9" s="28" t="str">
        <f>IF(D9="","",VLOOKUP(D9,'[1]0.1 Produksi Pangan &amp; Penduduk'!$D$5:$AK$860,34,0))</f>
        <v/>
      </c>
      <c r="G9" s="29" t="str">
        <f t="shared" si="0"/>
        <v/>
      </c>
      <c r="H9" s="29" t="str">
        <f t="shared" si="1"/>
        <v/>
      </c>
      <c r="I9" s="29" t="str">
        <f t="shared" si="2"/>
        <v/>
      </c>
      <c r="J9" s="29" t="str">
        <f t="shared" si="3"/>
        <v/>
      </c>
      <c r="K9" s="29" t="str">
        <f t="shared" si="4"/>
        <v/>
      </c>
      <c r="M9" s="11"/>
    </row>
    <row r="10" spans="1:13" ht="13.5" customHeight="1" x14ac:dyDescent="0.25">
      <c r="A10" s="1" t="str">
        <f>IF('1.1 Produksi Bersih Padi 2025'!A10="","",'1.1 Produksi Bersih Padi 2025'!A10)</f>
        <v/>
      </c>
      <c r="B10" s="31" t="str">
        <f>IF('1.1 Produksi Bersih Padi 2025'!B10="","",'1.1 Produksi Bersih Padi 2025'!B10)</f>
        <v/>
      </c>
      <c r="C10" s="31" t="str">
        <f>IF('1.1 Produksi Bersih Padi 2025'!C10="","",'1.1 Produksi Bersih Padi 2025'!C10)</f>
        <v/>
      </c>
      <c r="D10" s="1" t="str">
        <f>IF('1.1 Produksi Bersih Padi 2025'!D10="","",'1.1 Produksi Bersih Padi 2025'!D10)</f>
        <v/>
      </c>
      <c r="E10" s="1" t="str">
        <f>IF('1.1 Produksi Bersih Padi 2025'!E10="","",'1.1 Produksi Bersih Padi 2025'!E10)</f>
        <v/>
      </c>
      <c r="F10" s="28" t="str">
        <f>IF(D10="","",VLOOKUP(D10,'[1]0.1 Produksi Pangan &amp; Penduduk'!$D$5:$AK$860,34,0))</f>
        <v/>
      </c>
      <c r="G10" s="29" t="str">
        <f t="shared" si="0"/>
        <v/>
      </c>
      <c r="H10" s="29" t="str">
        <f t="shared" si="1"/>
        <v/>
      </c>
      <c r="I10" s="29" t="str">
        <f t="shared" si="2"/>
        <v/>
      </c>
      <c r="J10" s="29" t="str">
        <f t="shared" si="3"/>
        <v/>
      </c>
      <c r="K10" s="29" t="str">
        <f t="shared" si="4"/>
        <v/>
      </c>
      <c r="M10" s="11"/>
    </row>
    <row r="11" spans="1:13" ht="13.5" customHeight="1" x14ac:dyDescent="0.25">
      <c r="A11" s="1" t="str">
        <f>IF('1.1 Produksi Bersih Padi 2025'!A11="","",'1.1 Produksi Bersih Padi 2025'!A11)</f>
        <v/>
      </c>
      <c r="B11" s="31" t="str">
        <f>IF('1.1 Produksi Bersih Padi 2025'!B11="","",'1.1 Produksi Bersih Padi 2025'!B11)</f>
        <v/>
      </c>
      <c r="C11" s="31" t="str">
        <f>IF('1.1 Produksi Bersih Padi 2025'!C11="","",'1.1 Produksi Bersih Padi 2025'!C11)</f>
        <v/>
      </c>
      <c r="D11" s="1" t="str">
        <f>IF('1.1 Produksi Bersih Padi 2025'!D11="","",'1.1 Produksi Bersih Padi 2025'!D11)</f>
        <v/>
      </c>
      <c r="E11" s="1" t="str">
        <f>IF('1.1 Produksi Bersih Padi 2025'!E11="","",'1.1 Produksi Bersih Padi 2025'!E11)</f>
        <v/>
      </c>
      <c r="F11" s="28" t="str">
        <f>IF(D11="","",VLOOKUP(D11,'[1]0.1 Produksi Pangan &amp; Penduduk'!$D$5:$AK$860,34,0))</f>
        <v/>
      </c>
      <c r="G11" s="29" t="str">
        <f t="shared" si="0"/>
        <v/>
      </c>
      <c r="H11" s="29" t="str">
        <f t="shared" si="1"/>
        <v/>
      </c>
      <c r="I11" s="29" t="str">
        <f t="shared" si="2"/>
        <v/>
      </c>
      <c r="J11" s="29" t="str">
        <f t="shared" si="3"/>
        <v/>
      </c>
      <c r="K11" s="29" t="str">
        <f t="shared" si="4"/>
        <v/>
      </c>
      <c r="M11" s="11"/>
    </row>
    <row r="12" spans="1:13" ht="13.5" customHeight="1" x14ac:dyDescent="0.25">
      <c r="A12" s="1" t="str">
        <f>IF('1.1 Produksi Bersih Padi 2025'!A12="","",'1.1 Produksi Bersih Padi 2025'!A12)</f>
        <v/>
      </c>
      <c r="B12" s="31" t="str">
        <f>IF('1.1 Produksi Bersih Padi 2025'!B12="","",'1.1 Produksi Bersih Padi 2025'!B12)</f>
        <v/>
      </c>
      <c r="C12" s="31" t="str">
        <f>IF('1.1 Produksi Bersih Padi 2025'!C12="","",'1.1 Produksi Bersih Padi 2025'!C12)</f>
        <v/>
      </c>
      <c r="D12" s="1" t="str">
        <f>IF('1.1 Produksi Bersih Padi 2025'!D12="","",'1.1 Produksi Bersih Padi 2025'!D12)</f>
        <v/>
      </c>
      <c r="E12" s="1" t="str">
        <f>IF('1.1 Produksi Bersih Padi 2025'!E12="","",'1.1 Produksi Bersih Padi 2025'!E12)</f>
        <v/>
      </c>
      <c r="F12" s="28" t="str">
        <f>IF(D12="","",VLOOKUP(D12,'[1]0.1 Produksi Pangan &amp; Penduduk'!$D$5:$AK$860,34,0))</f>
        <v/>
      </c>
      <c r="G12" s="29" t="str">
        <f t="shared" si="0"/>
        <v/>
      </c>
      <c r="H12" s="29" t="str">
        <f t="shared" si="1"/>
        <v/>
      </c>
      <c r="I12" s="29" t="str">
        <f t="shared" si="2"/>
        <v/>
      </c>
      <c r="J12" s="29" t="str">
        <f t="shared" si="3"/>
        <v/>
      </c>
      <c r="K12" s="29" t="str">
        <f t="shared" si="4"/>
        <v/>
      </c>
      <c r="M12" s="11"/>
    </row>
    <row r="13" spans="1:13" ht="13.5" customHeight="1" x14ac:dyDescent="0.25">
      <c r="A13" s="1" t="str">
        <f>IF('1.1 Produksi Bersih Padi 2025'!A13="","",'1.1 Produksi Bersih Padi 2025'!A13)</f>
        <v/>
      </c>
      <c r="B13" s="31" t="str">
        <f>IF('1.1 Produksi Bersih Padi 2025'!B13="","",'1.1 Produksi Bersih Padi 2025'!B13)</f>
        <v/>
      </c>
      <c r="C13" s="31" t="str">
        <f>IF('1.1 Produksi Bersih Padi 2025'!C13="","",'1.1 Produksi Bersih Padi 2025'!C13)</f>
        <v/>
      </c>
      <c r="D13" s="1" t="str">
        <f>IF('1.1 Produksi Bersih Padi 2025'!D13="","",'1.1 Produksi Bersih Padi 2025'!D13)</f>
        <v/>
      </c>
      <c r="E13" s="1" t="str">
        <f>IF('1.1 Produksi Bersih Padi 2025'!E13="","",'1.1 Produksi Bersih Padi 2025'!E13)</f>
        <v/>
      </c>
      <c r="F13" s="28" t="str">
        <f>IF(D13="","",VLOOKUP(D13,'[1]0.1 Produksi Pangan &amp; Penduduk'!$D$5:$AK$860,34,0))</f>
        <v/>
      </c>
      <c r="G13" s="29" t="str">
        <f t="shared" si="0"/>
        <v/>
      </c>
      <c r="H13" s="29" t="str">
        <f t="shared" si="1"/>
        <v/>
      </c>
      <c r="I13" s="29" t="str">
        <f t="shared" si="2"/>
        <v/>
      </c>
      <c r="J13" s="29" t="str">
        <f t="shared" si="3"/>
        <v/>
      </c>
      <c r="K13" s="29" t="str">
        <f t="shared" si="4"/>
        <v/>
      </c>
      <c r="M13" s="11"/>
    </row>
    <row r="14" spans="1:13" ht="13.5" customHeight="1" x14ac:dyDescent="0.25">
      <c r="A14" s="1" t="str">
        <f>IF('1.1 Produksi Bersih Padi 2025'!A14="","",'1.1 Produksi Bersih Padi 2025'!A14)</f>
        <v/>
      </c>
      <c r="B14" s="31" t="str">
        <f>IF('1.1 Produksi Bersih Padi 2025'!B14="","",'1.1 Produksi Bersih Padi 2025'!B14)</f>
        <v/>
      </c>
      <c r="C14" s="31" t="str">
        <f>IF('1.1 Produksi Bersih Padi 2025'!C14="","",'1.1 Produksi Bersih Padi 2025'!C14)</f>
        <v/>
      </c>
      <c r="D14" s="1" t="str">
        <f>IF('1.1 Produksi Bersih Padi 2025'!D14="","",'1.1 Produksi Bersih Padi 2025'!D14)</f>
        <v/>
      </c>
      <c r="E14" s="1" t="str">
        <f>IF('1.1 Produksi Bersih Padi 2025'!E14="","",'1.1 Produksi Bersih Padi 2025'!E14)</f>
        <v/>
      </c>
      <c r="F14" s="28" t="str">
        <f>IF(D14="","",VLOOKUP(D14,'[1]0.1 Produksi Pangan &amp; Penduduk'!$D$5:$AK$860,34,0))</f>
        <v/>
      </c>
      <c r="G14" s="29" t="str">
        <f t="shared" si="0"/>
        <v/>
      </c>
      <c r="H14" s="29" t="str">
        <f t="shared" si="1"/>
        <v/>
      </c>
      <c r="I14" s="29" t="str">
        <f t="shared" si="2"/>
        <v/>
      </c>
      <c r="J14" s="29" t="str">
        <f t="shared" si="3"/>
        <v/>
      </c>
      <c r="K14" s="29" t="str">
        <f t="shared" si="4"/>
        <v/>
      </c>
      <c r="M14" s="11"/>
    </row>
    <row r="15" spans="1:13" ht="13.5" customHeight="1" x14ac:dyDescent="0.25">
      <c r="A15" s="1" t="str">
        <f>IF('1.1 Produksi Bersih Padi 2025'!A15="","",'1.1 Produksi Bersih Padi 2025'!A15)</f>
        <v/>
      </c>
      <c r="B15" s="31" t="str">
        <f>IF('1.1 Produksi Bersih Padi 2025'!B15="","",'1.1 Produksi Bersih Padi 2025'!B15)</f>
        <v/>
      </c>
      <c r="C15" s="31" t="str">
        <f>IF('1.1 Produksi Bersih Padi 2025'!C15="","",'1.1 Produksi Bersih Padi 2025'!C15)</f>
        <v/>
      </c>
      <c r="D15" s="1" t="str">
        <f>IF('1.1 Produksi Bersih Padi 2025'!D15="","",'1.1 Produksi Bersih Padi 2025'!D15)</f>
        <v/>
      </c>
      <c r="E15" s="1" t="str">
        <f>IF('1.1 Produksi Bersih Padi 2025'!E15="","",'1.1 Produksi Bersih Padi 2025'!E15)</f>
        <v/>
      </c>
      <c r="F15" s="28" t="str">
        <f>IF(D15="","",VLOOKUP(D15,'[1]0.1 Produksi Pangan &amp; Penduduk'!$D$5:$AK$860,34,0))</f>
        <v/>
      </c>
      <c r="G15" s="29" t="str">
        <f t="shared" si="0"/>
        <v/>
      </c>
      <c r="H15" s="29" t="str">
        <f t="shared" si="1"/>
        <v/>
      </c>
      <c r="I15" s="29" t="str">
        <f t="shared" si="2"/>
        <v/>
      </c>
      <c r="J15" s="29" t="str">
        <f t="shared" si="3"/>
        <v/>
      </c>
      <c r="K15" s="29" t="str">
        <f t="shared" si="4"/>
        <v/>
      </c>
      <c r="M15" s="11"/>
    </row>
    <row r="16" spans="1:13" ht="13.5" customHeight="1" x14ac:dyDescent="0.25">
      <c r="A16" s="1" t="str">
        <f>IF('1.1 Produksi Bersih Padi 2025'!A16="","",'1.1 Produksi Bersih Padi 2025'!A16)</f>
        <v/>
      </c>
      <c r="B16" s="31" t="str">
        <f>IF('1.1 Produksi Bersih Padi 2025'!B16="","",'1.1 Produksi Bersih Padi 2025'!B16)</f>
        <v/>
      </c>
      <c r="C16" s="31" t="str">
        <f>IF('1.1 Produksi Bersih Padi 2025'!C16="","",'1.1 Produksi Bersih Padi 2025'!C16)</f>
        <v/>
      </c>
      <c r="D16" s="1" t="str">
        <f>IF('1.1 Produksi Bersih Padi 2025'!D16="","",'1.1 Produksi Bersih Padi 2025'!D16)</f>
        <v/>
      </c>
      <c r="E16" s="1" t="str">
        <f>IF('1.1 Produksi Bersih Padi 2025'!E16="","",'1.1 Produksi Bersih Padi 2025'!E16)</f>
        <v/>
      </c>
      <c r="F16" s="28" t="str">
        <f>IF(D16="","",VLOOKUP(D16,'[1]0.1 Produksi Pangan &amp; Penduduk'!$D$5:$AK$860,34,0))</f>
        <v/>
      </c>
      <c r="G16" s="29" t="str">
        <f t="shared" si="0"/>
        <v/>
      </c>
      <c r="H16" s="29" t="str">
        <f t="shared" si="1"/>
        <v/>
      </c>
      <c r="I16" s="29" t="str">
        <f t="shared" si="2"/>
        <v/>
      </c>
      <c r="J16" s="29" t="str">
        <f t="shared" si="3"/>
        <v/>
      </c>
      <c r="K16" s="29" t="str">
        <f t="shared" si="4"/>
        <v/>
      </c>
      <c r="M16" s="11"/>
    </row>
    <row r="17" spans="1:13" ht="13.5" customHeight="1" x14ac:dyDescent="0.25">
      <c r="A17" s="1" t="str">
        <f>IF('1.1 Produksi Bersih Padi 2025'!A17="","",'1.1 Produksi Bersih Padi 2025'!A17)</f>
        <v/>
      </c>
      <c r="B17" s="31" t="str">
        <f>IF('1.1 Produksi Bersih Padi 2025'!B17="","",'1.1 Produksi Bersih Padi 2025'!B17)</f>
        <v/>
      </c>
      <c r="C17" s="31" t="str">
        <f>IF('1.1 Produksi Bersih Padi 2025'!C17="","",'1.1 Produksi Bersih Padi 2025'!C17)</f>
        <v/>
      </c>
      <c r="D17" s="1" t="str">
        <f>IF('1.1 Produksi Bersih Padi 2025'!D17="","",'1.1 Produksi Bersih Padi 2025'!D17)</f>
        <v/>
      </c>
      <c r="E17" s="1" t="str">
        <f>IF('1.1 Produksi Bersih Padi 2025'!E17="","",'1.1 Produksi Bersih Padi 2025'!E17)</f>
        <v/>
      </c>
      <c r="F17" s="28" t="str">
        <f>IF(D17="","",VLOOKUP(D17,'[1]0.1 Produksi Pangan &amp; Penduduk'!$D$5:$AK$860,34,0))</f>
        <v/>
      </c>
      <c r="G17" s="29" t="str">
        <f t="shared" si="0"/>
        <v/>
      </c>
      <c r="H17" s="29" t="str">
        <f t="shared" si="1"/>
        <v/>
      </c>
      <c r="I17" s="29" t="str">
        <f t="shared" si="2"/>
        <v/>
      </c>
      <c r="J17" s="29" t="str">
        <f t="shared" si="3"/>
        <v/>
      </c>
      <c r="K17" s="29" t="str">
        <f t="shared" si="4"/>
        <v/>
      </c>
      <c r="M17" s="11"/>
    </row>
    <row r="18" spans="1:13" ht="13.5" customHeight="1" x14ac:dyDescent="0.25">
      <c r="A18" s="1" t="str">
        <f>IF('1.1 Produksi Bersih Padi 2025'!A18="","",'1.1 Produksi Bersih Padi 2025'!A18)</f>
        <v/>
      </c>
      <c r="B18" s="31" t="str">
        <f>IF('1.1 Produksi Bersih Padi 2025'!B18="","",'1.1 Produksi Bersih Padi 2025'!B18)</f>
        <v/>
      </c>
      <c r="C18" s="31" t="str">
        <f>IF('1.1 Produksi Bersih Padi 2025'!C18="","",'1.1 Produksi Bersih Padi 2025'!C18)</f>
        <v/>
      </c>
      <c r="D18" s="1" t="str">
        <f>IF('1.1 Produksi Bersih Padi 2025'!D18="","",'1.1 Produksi Bersih Padi 2025'!D18)</f>
        <v/>
      </c>
      <c r="E18" s="1" t="str">
        <f>IF('1.1 Produksi Bersih Padi 2025'!E18="","",'1.1 Produksi Bersih Padi 2025'!E18)</f>
        <v/>
      </c>
      <c r="F18" s="28" t="str">
        <f>IF(D18="","",VLOOKUP(D18,'[1]0.1 Produksi Pangan &amp; Penduduk'!$D$5:$AK$860,34,0))</f>
        <v/>
      </c>
      <c r="G18" s="29" t="str">
        <f t="shared" si="0"/>
        <v/>
      </c>
      <c r="H18" s="29" t="str">
        <f t="shared" si="1"/>
        <v/>
      </c>
      <c r="I18" s="29" t="str">
        <f t="shared" si="2"/>
        <v/>
      </c>
      <c r="J18" s="29" t="str">
        <f t="shared" si="3"/>
        <v/>
      </c>
      <c r="K18" s="29" t="str">
        <f t="shared" si="4"/>
        <v/>
      </c>
      <c r="M18" s="11"/>
    </row>
    <row r="19" spans="1:13" ht="13.5" customHeight="1" x14ac:dyDescent="0.25">
      <c r="A19" s="1" t="str">
        <f>IF('1.1 Produksi Bersih Padi 2025'!A19="","",'1.1 Produksi Bersih Padi 2025'!A19)</f>
        <v/>
      </c>
      <c r="B19" s="31" t="str">
        <f>IF('1.1 Produksi Bersih Padi 2025'!B19="","",'1.1 Produksi Bersih Padi 2025'!B19)</f>
        <v/>
      </c>
      <c r="C19" s="31" t="str">
        <f>IF('1.1 Produksi Bersih Padi 2025'!C19="","",'1.1 Produksi Bersih Padi 2025'!C19)</f>
        <v/>
      </c>
      <c r="D19" s="1" t="str">
        <f>IF('1.1 Produksi Bersih Padi 2025'!D19="","",'1.1 Produksi Bersih Padi 2025'!D19)</f>
        <v/>
      </c>
      <c r="E19" s="1" t="str">
        <f>IF('1.1 Produksi Bersih Padi 2025'!E19="","",'1.1 Produksi Bersih Padi 2025'!E19)</f>
        <v/>
      </c>
      <c r="F19" s="28" t="str">
        <f>IF(D19="","",VLOOKUP(D19,'[1]0.1 Produksi Pangan &amp; Penduduk'!$D$5:$AK$860,34,0))</f>
        <v/>
      </c>
      <c r="G19" s="29" t="str">
        <f t="shared" si="0"/>
        <v/>
      </c>
      <c r="H19" s="29" t="str">
        <f t="shared" si="1"/>
        <v/>
      </c>
      <c r="I19" s="29" t="str">
        <f t="shared" si="2"/>
        <v/>
      </c>
      <c r="J19" s="29" t="str">
        <f t="shared" si="3"/>
        <v/>
      </c>
      <c r="K19" s="29" t="str">
        <f t="shared" si="4"/>
        <v/>
      </c>
      <c r="M19" s="11"/>
    </row>
    <row r="20" spans="1:13" ht="15" x14ac:dyDescent="0.25">
      <c r="A20" s="1" t="str">
        <f>IF('1.1 Produksi Bersih Padi 2025'!A20="","",'1.1 Produksi Bersih Padi 2025'!A20)</f>
        <v/>
      </c>
      <c r="B20" s="31" t="str">
        <f>IF('1.1 Produksi Bersih Padi 2025'!B20="","",'1.1 Produksi Bersih Padi 2025'!B20)</f>
        <v/>
      </c>
      <c r="C20" s="31" t="str">
        <f>IF('1.1 Produksi Bersih Padi 2025'!C20="","",'1.1 Produksi Bersih Padi 2025'!C20)</f>
        <v/>
      </c>
      <c r="D20" s="1" t="str">
        <f>IF('1.1 Produksi Bersih Padi 2025'!D20="","",'1.1 Produksi Bersih Padi 2025'!D20)</f>
        <v/>
      </c>
      <c r="E20" s="1" t="str">
        <f>IF('1.1 Produksi Bersih Padi 2025'!E20="","",'1.1 Produksi Bersih Padi 2025'!E20)</f>
        <v/>
      </c>
      <c r="F20" s="28" t="str">
        <f>IF(D20="","",VLOOKUP(D20,'[1]0.1 Produksi Pangan &amp; Penduduk'!$D$5:$AK$860,34,0))</f>
        <v/>
      </c>
      <c r="G20" s="29" t="str">
        <f t="shared" si="0"/>
        <v/>
      </c>
      <c r="H20" s="29" t="str">
        <f t="shared" si="1"/>
        <v/>
      </c>
      <c r="I20" s="29" t="str">
        <f t="shared" si="2"/>
        <v/>
      </c>
      <c r="J20" s="29" t="str">
        <f t="shared" si="3"/>
        <v/>
      </c>
      <c r="K20" s="29" t="str">
        <f t="shared" si="4"/>
        <v/>
      </c>
      <c r="M20" s="11"/>
    </row>
    <row r="21" spans="1:13" ht="15" x14ac:dyDescent="0.25">
      <c r="A21" s="1" t="str">
        <f>IF('1.1 Produksi Bersih Padi 2025'!A21="","",'1.1 Produksi Bersih Padi 2025'!A21)</f>
        <v/>
      </c>
      <c r="B21" s="31" t="str">
        <f>IF('1.1 Produksi Bersih Padi 2025'!B21="","",'1.1 Produksi Bersih Padi 2025'!B21)</f>
        <v/>
      </c>
      <c r="C21" s="31" t="str">
        <f>IF('1.1 Produksi Bersih Padi 2025'!C21="","",'1.1 Produksi Bersih Padi 2025'!C21)</f>
        <v/>
      </c>
      <c r="D21" s="1" t="str">
        <f>IF('1.1 Produksi Bersih Padi 2025'!D21="","",'1.1 Produksi Bersih Padi 2025'!D21)</f>
        <v/>
      </c>
      <c r="E21" s="1" t="str">
        <f>IF('1.1 Produksi Bersih Padi 2025'!E21="","",'1.1 Produksi Bersih Padi 2025'!E21)</f>
        <v/>
      </c>
      <c r="F21" s="28" t="str">
        <f>IF(D21="","",VLOOKUP(D21,'[1]0.1 Produksi Pangan &amp; Penduduk'!$D$5:$AK$860,34,0))</f>
        <v/>
      </c>
      <c r="G21" s="29" t="str">
        <f t="shared" si="0"/>
        <v/>
      </c>
      <c r="H21" s="29" t="str">
        <f t="shared" si="1"/>
        <v/>
      </c>
      <c r="I21" s="29" t="str">
        <f t="shared" si="2"/>
        <v/>
      </c>
      <c r="J21" s="29" t="str">
        <f t="shared" si="3"/>
        <v/>
      </c>
      <c r="K21" s="29" t="str">
        <f t="shared" si="4"/>
        <v/>
      </c>
      <c r="M21" s="11"/>
    </row>
    <row r="22" spans="1:13" ht="15" x14ac:dyDescent="0.25">
      <c r="A22" s="1" t="str">
        <f>IF('1.1 Produksi Bersih Padi 2025'!A22="","",'1.1 Produksi Bersih Padi 2025'!A22)</f>
        <v/>
      </c>
      <c r="B22" s="31" t="str">
        <f>IF('1.1 Produksi Bersih Padi 2025'!B22="","",'1.1 Produksi Bersih Padi 2025'!B22)</f>
        <v/>
      </c>
      <c r="C22" s="31" t="str">
        <f>IF('1.1 Produksi Bersih Padi 2025'!C22="","",'1.1 Produksi Bersih Padi 2025'!C22)</f>
        <v/>
      </c>
      <c r="D22" s="1" t="str">
        <f>IF('1.1 Produksi Bersih Padi 2025'!D22="","",'1.1 Produksi Bersih Padi 2025'!D22)</f>
        <v/>
      </c>
      <c r="E22" s="1" t="str">
        <f>IF('1.1 Produksi Bersih Padi 2025'!E22="","",'1.1 Produksi Bersih Padi 2025'!E22)</f>
        <v/>
      </c>
      <c r="F22" s="28" t="str">
        <f>IF(D22="","",VLOOKUP(D22,'[1]0.1 Produksi Pangan &amp; Penduduk'!$D$5:$AK$860,34,0))</f>
        <v/>
      </c>
      <c r="G22" s="29" t="str">
        <f t="shared" si="0"/>
        <v/>
      </c>
      <c r="H22" s="29" t="str">
        <f t="shared" si="1"/>
        <v/>
      </c>
      <c r="I22" s="29" t="str">
        <f t="shared" si="2"/>
        <v/>
      </c>
      <c r="J22" s="29" t="str">
        <f t="shared" si="3"/>
        <v/>
      </c>
      <c r="K22" s="29" t="str">
        <f t="shared" si="4"/>
        <v/>
      </c>
      <c r="M22" s="11"/>
    </row>
    <row r="23" spans="1:13" ht="15" x14ac:dyDescent="0.25">
      <c r="A23" s="1" t="str">
        <f>IF('1.1 Produksi Bersih Padi 2025'!A23="","",'1.1 Produksi Bersih Padi 2025'!A23)</f>
        <v/>
      </c>
      <c r="B23" s="31" t="str">
        <f>IF('1.1 Produksi Bersih Padi 2025'!B23="","",'1.1 Produksi Bersih Padi 2025'!B23)</f>
        <v/>
      </c>
      <c r="C23" s="31" t="str">
        <f>IF('1.1 Produksi Bersih Padi 2025'!C23="","",'1.1 Produksi Bersih Padi 2025'!C23)</f>
        <v/>
      </c>
      <c r="D23" s="1" t="str">
        <f>IF('1.1 Produksi Bersih Padi 2025'!D23="","",'1.1 Produksi Bersih Padi 2025'!D23)</f>
        <v/>
      </c>
      <c r="E23" s="1" t="str">
        <f>IF('1.1 Produksi Bersih Padi 2025'!E23="","",'1.1 Produksi Bersih Padi 2025'!E23)</f>
        <v/>
      </c>
      <c r="F23" s="28" t="str">
        <f>IF(D23="","",VLOOKUP(D23,'[1]0.1 Produksi Pangan &amp; Penduduk'!$D$5:$AK$860,34,0))</f>
        <v/>
      </c>
      <c r="G23" s="29" t="str">
        <f t="shared" si="0"/>
        <v/>
      </c>
      <c r="H23" s="29" t="str">
        <f t="shared" si="1"/>
        <v/>
      </c>
      <c r="I23" s="29" t="str">
        <f t="shared" si="2"/>
        <v/>
      </c>
      <c r="J23" s="29" t="str">
        <f t="shared" si="3"/>
        <v/>
      </c>
      <c r="K23" s="29" t="str">
        <f t="shared" si="4"/>
        <v/>
      </c>
      <c r="M23" s="11"/>
    </row>
    <row r="24" spans="1:13" ht="15" x14ac:dyDescent="0.25">
      <c r="A24" s="1" t="str">
        <f>IF('1.1 Produksi Bersih Padi 2025'!A24="","",'1.1 Produksi Bersih Padi 2025'!A24)</f>
        <v/>
      </c>
      <c r="B24" s="31" t="str">
        <f>IF('1.1 Produksi Bersih Padi 2025'!B24="","",'1.1 Produksi Bersih Padi 2025'!B24)</f>
        <v/>
      </c>
      <c r="C24" s="31" t="str">
        <f>IF('1.1 Produksi Bersih Padi 2025'!C24="","",'1.1 Produksi Bersih Padi 2025'!C24)</f>
        <v/>
      </c>
      <c r="D24" s="1" t="str">
        <f>IF('1.1 Produksi Bersih Padi 2025'!D24="","",'1.1 Produksi Bersih Padi 2025'!D24)</f>
        <v/>
      </c>
      <c r="E24" s="1" t="str">
        <f>IF('1.1 Produksi Bersih Padi 2025'!E24="","",'1.1 Produksi Bersih Padi 2025'!E24)</f>
        <v/>
      </c>
      <c r="F24" s="28" t="str">
        <f>IF(D24="","",VLOOKUP(D24,'[1]0.1 Produksi Pangan &amp; Penduduk'!$D$5:$AK$860,34,0))</f>
        <v/>
      </c>
      <c r="G24" s="29" t="str">
        <f t="shared" si="0"/>
        <v/>
      </c>
      <c r="H24" s="29" t="str">
        <f t="shared" si="1"/>
        <v/>
      </c>
      <c r="I24" s="29" t="str">
        <f t="shared" si="2"/>
        <v/>
      </c>
      <c r="J24" s="29" t="str">
        <f t="shared" si="3"/>
        <v/>
      </c>
      <c r="K24" s="29" t="str">
        <f t="shared" si="4"/>
        <v/>
      </c>
      <c r="M24" s="11"/>
    </row>
    <row r="25" spans="1:13" ht="15" x14ac:dyDescent="0.25">
      <c r="A25" s="1" t="str">
        <f>IF('1.1 Produksi Bersih Padi 2025'!A25="","",'1.1 Produksi Bersih Padi 2025'!A25)</f>
        <v/>
      </c>
      <c r="B25" s="31" t="str">
        <f>IF('1.1 Produksi Bersih Padi 2025'!B25="","",'1.1 Produksi Bersih Padi 2025'!B25)</f>
        <v/>
      </c>
      <c r="C25" s="31" t="str">
        <f>IF('1.1 Produksi Bersih Padi 2025'!C25="","",'1.1 Produksi Bersih Padi 2025'!C25)</f>
        <v/>
      </c>
      <c r="D25" s="1" t="str">
        <f>IF('1.1 Produksi Bersih Padi 2025'!D25="","",'1.1 Produksi Bersih Padi 2025'!D25)</f>
        <v/>
      </c>
      <c r="E25" s="1" t="str">
        <f>IF('1.1 Produksi Bersih Padi 2025'!E25="","",'1.1 Produksi Bersih Padi 2025'!E25)</f>
        <v/>
      </c>
      <c r="F25" s="28" t="str">
        <f>IF(D25="","",VLOOKUP(D25,'[1]0.1 Produksi Pangan &amp; Penduduk'!$D$5:$AK$860,34,0))</f>
        <v/>
      </c>
      <c r="G25" s="29" t="str">
        <f t="shared" si="0"/>
        <v/>
      </c>
      <c r="H25" s="29" t="str">
        <f t="shared" si="1"/>
        <v/>
      </c>
      <c r="I25" s="29" t="str">
        <f t="shared" si="2"/>
        <v/>
      </c>
      <c r="J25" s="29" t="str">
        <f t="shared" si="3"/>
        <v/>
      </c>
      <c r="K25" s="29" t="str">
        <f t="shared" si="4"/>
        <v/>
      </c>
      <c r="M25" s="11"/>
    </row>
    <row r="26" spans="1:13" ht="15" x14ac:dyDescent="0.25">
      <c r="A26" s="1" t="str">
        <f>IF('1.1 Produksi Bersih Padi 2025'!A26="","",'1.1 Produksi Bersih Padi 2025'!A26)</f>
        <v/>
      </c>
      <c r="B26" s="31" t="str">
        <f>IF('1.1 Produksi Bersih Padi 2025'!B26="","",'1.1 Produksi Bersih Padi 2025'!B26)</f>
        <v/>
      </c>
      <c r="C26" s="31" t="str">
        <f>IF('1.1 Produksi Bersih Padi 2025'!C26="","",'1.1 Produksi Bersih Padi 2025'!C26)</f>
        <v/>
      </c>
      <c r="D26" s="1" t="str">
        <f>IF('1.1 Produksi Bersih Padi 2025'!D26="","",'1.1 Produksi Bersih Padi 2025'!D26)</f>
        <v/>
      </c>
      <c r="E26" s="1" t="str">
        <f>IF('1.1 Produksi Bersih Padi 2025'!E26="","",'1.1 Produksi Bersih Padi 2025'!E26)</f>
        <v/>
      </c>
      <c r="F26" s="28" t="str">
        <f>IF(D26="","",VLOOKUP(D26,'[1]0.1 Produksi Pangan &amp; Penduduk'!$D$5:$AK$860,34,0))</f>
        <v/>
      </c>
      <c r="G26" s="29" t="str">
        <f t="shared" si="0"/>
        <v/>
      </c>
      <c r="H26" s="29" t="str">
        <f t="shared" si="1"/>
        <v/>
      </c>
      <c r="I26" s="29" t="str">
        <f t="shared" si="2"/>
        <v/>
      </c>
      <c r="J26" s="29" t="str">
        <f t="shared" si="3"/>
        <v/>
      </c>
      <c r="K26" s="29" t="str">
        <f t="shared" si="4"/>
        <v/>
      </c>
      <c r="M26" s="11"/>
    </row>
    <row r="27" spans="1:13" ht="15" x14ac:dyDescent="0.25">
      <c r="A27" s="1" t="str">
        <f>IF('1.1 Produksi Bersih Padi 2025'!A27="","",'1.1 Produksi Bersih Padi 2025'!A27)</f>
        <v/>
      </c>
      <c r="B27" s="31" t="str">
        <f>IF('1.1 Produksi Bersih Padi 2025'!B27="","",'1.1 Produksi Bersih Padi 2025'!B27)</f>
        <v/>
      </c>
      <c r="C27" s="31" t="str">
        <f>IF('1.1 Produksi Bersih Padi 2025'!C27="","",'1.1 Produksi Bersih Padi 2025'!C27)</f>
        <v/>
      </c>
      <c r="D27" s="1" t="str">
        <f>IF('1.1 Produksi Bersih Padi 2025'!D27="","",'1.1 Produksi Bersih Padi 2025'!D27)</f>
        <v/>
      </c>
      <c r="E27" s="1" t="str">
        <f>IF('1.1 Produksi Bersih Padi 2025'!E27="","",'1.1 Produksi Bersih Padi 2025'!E27)</f>
        <v/>
      </c>
      <c r="F27" s="28" t="str">
        <f>IF(D27="","",VLOOKUP(D27,'[1]0.1 Produksi Pangan &amp; Penduduk'!$D$5:$AK$860,34,0))</f>
        <v/>
      </c>
      <c r="G27" s="29" t="str">
        <f t="shared" si="0"/>
        <v/>
      </c>
      <c r="H27" s="29" t="str">
        <f t="shared" si="1"/>
        <v/>
      </c>
      <c r="I27" s="29" t="str">
        <f t="shared" si="2"/>
        <v/>
      </c>
      <c r="J27" s="29" t="str">
        <f t="shared" si="3"/>
        <v/>
      </c>
      <c r="K27" s="29" t="str">
        <f t="shared" si="4"/>
        <v/>
      </c>
      <c r="M27" s="11"/>
    </row>
    <row r="28" spans="1:13" ht="15" x14ac:dyDescent="0.25">
      <c r="A28" s="1" t="str">
        <f>IF('1.1 Produksi Bersih Padi 2025'!A28="","",'1.1 Produksi Bersih Padi 2025'!A28)</f>
        <v/>
      </c>
      <c r="B28" s="31" t="str">
        <f>IF('1.1 Produksi Bersih Padi 2025'!B28="","",'1.1 Produksi Bersih Padi 2025'!B28)</f>
        <v/>
      </c>
      <c r="C28" s="31" t="str">
        <f>IF('1.1 Produksi Bersih Padi 2025'!C28="","",'1.1 Produksi Bersih Padi 2025'!C28)</f>
        <v/>
      </c>
      <c r="D28" s="1" t="str">
        <f>IF('1.1 Produksi Bersih Padi 2025'!D28="","",'1.1 Produksi Bersih Padi 2025'!D28)</f>
        <v/>
      </c>
      <c r="E28" s="1" t="str">
        <f>IF('1.1 Produksi Bersih Padi 2025'!E28="","",'1.1 Produksi Bersih Padi 2025'!E28)</f>
        <v/>
      </c>
      <c r="F28" s="28" t="str">
        <f>IF(D28="","",VLOOKUP(D28,'[1]0.1 Produksi Pangan &amp; Penduduk'!$D$5:$AK$860,34,0))</f>
        <v/>
      </c>
      <c r="G28" s="29" t="str">
        <f t="shared" si="0"/>
        <v/>
      </c>
      <c r="H28" s="29" t="str">
        <f t="shared" si="1"/>
        <v/>
      </c>
      <c r="I28" s="29" t="str">
        <f t="shared" si="2"/>
        <v/>
      </c>
      <c r="J28" s="29" t="str">
        <f t="shared" si="3"/>
        <v/>
      </c>
      <c r="K28" s="29" t="str">
        <f t="shared" si="4"/>
        <v/>
      </c>
      <c r="M28" s="11"/>
    </row>
    <row r="29" spans="1:13" ht="15" x14ac:dyDescent="0.25">
      <c r="A29" s="1" t="str">
        <f>IF('1.1 Produksi Bersih Padi 2025'!A29="","",'1.1 Produksi Bersih Padi 2025'!A29)</f>
        <v/>
      </c>
      <c r="B29" s="31" t="str">
        <f>IF('1.1 Produksi Bersih Padi 2025'!B29="","",'1.1 Produksi Bersih Padi 2025'!B29)</f>
        <v/>
      </c>
      <c r="C29" s="31" t="str">
        <f>IF('1.1 Produksi Bersih Padi 2025'!C29="","",'1.1 Produksi Bersih Padi 2025'!C29)</f>
        <v/>
      </c>
      <c r="D29" s="1" t="str">
        <f>IF('1.1 Produksi Bersih Padi 2025'!D29="","",'1.1 Produksi Bersih Padi 2025'!D29)</f>
        <v/>
      </c>
      <c r="E29" s="1" t="str">
        <f>IF('1.1 Produksi Bersih Padi 2025'!E29="","",'1.1 Produksi Bersih Padi 2025'!E29)</f>
        <v/>
      </c>
      <c r="F29" s="28" t="str">
        <f>IF(D29="","",VLOOKUP(D29,'[1]0.1 Produksi Pangan &amp; Penduduk'!$D$5:$AK$860,34,0))</f>
        <v/>
      </c>
      <c r="G29" s="29" t="str">
        <f t="shared" si="0"/>
        <v/>
      </c>
      <c r="H29" s="29" t="str">
        <f t="shared" si="1"/>
        <v/>
      </c>
      <c r="I29" s="29" t="str">
        <f t="shared" si="2"/>
        <v/>
      </c>
      <c r="J29" s="29" t="str">
        <f t="shared" si="3"/>
        <v/>
      </c>
      <c r="K29" s="29" t="str">
        <f t="shared" si="4"/>
        <v/>
      </c>
      <c r="M29" s="11"/>
    </row>
    <row r="30" spans="1:13" ht="15" x14ac:dyDescent="0.25">
      <c r="A30" s="1" t="str">
        <f>IF('1.1 Produksi Bersih Padi 2025'!A30="","",'1.1 Produksi Bersih Padi 2025'!A30)</f>
        <v/>
      </c>
      <c r="B30" s="31" t="str">
        <f>IF('1.1 Produksi Bersih Padi 2025'!B30="","",'1.1 Produksi Bersih Padi 2025'!B30)</f>
        <v/>
      </c>
      <c r="C30" s="31" t="str">
        <f>IF('1.1 Produksi Bersih Padi 2025'!C30="","",'1.1 Produksi Bersih Padi 2025'!C30)</f>
        <v/>
      </c>
      <c r="D30" s="1" t="str">
        <f>IF('1.1 Produksi Bersih Padi 2025'!D30="","",'1.1 Produksi Bersih Padi 2025'!D30)</f>
        <v/>
      </c>
      <c r="E30" s="1" t="str">
        <f>IF('1.1 Produksi Bersih Padi 2025'!E30="","",'1.1 Produksi Bersih Padi 2025'!E30)</f>
        <v/>
      </c>
      <c r="F30" s="28" t="str">
        <f>IF(D30="","",VLOOKUP(D30,'[1]0.1 Produksi Pangan &amp; Penduduk'!$D$5:$AK$860,34,0))</f>
        <v/>
      </c>
      <c r="G30" s="29" t="str">
        <f t="shared" si="0"/>
        <v/>
      </c>
      <c r="H30" s="29" t="str">
        <f t="shared" si="1"/>
        <v/>
      </c>
      <c r="I30" s="29" t="str">
        <f t="shared" si="2"/>
        <v/>
      </c>
      <c r="J30" s="29" t="str">
        <f t="shared" si="3"/>
        <v/>
      </c>
      <c r="K30" s="29" t="str">
        <f t="shared" si="4"/>
        <v/>
      </c>
      <c r="M30" s="11"/>
    </row>
    <row r="31" spans="1:13" ht="15" x14ac:dyDescent="0.25">
      <c r="A31" s="1" t="str">
        <f>IF('1.1 Produksi Bersih Padi 2025'!A31="","",'1.1 Produksi Bersih Padi 2025'!A31)</f>
        <v/>
      </c>
      <c r="B31" s="31" t="str">
        <f>IF('1.1 Produksi Bersih Padi 2025'!B31="","",'1.1 Produksi Bersih Padi 2025'!B31)</f>
        <v/>
      </c>
      <c r="C31" s="31" t="str">
        <f>IF('1.1 Produksi Bersih Padi 2025'!C31="","",'1.1 Produksi Bersih Padi 2025'!C31)</f>
        <v/>
      </c>
      <c r="D31" s="1" t="str">
        <f>IF('1.1 Produksi Bersih Padi 2025'!D31="","",'1.1 Produksi Bersih Padi 2025'!D31)</f>
        <v/>
      </c>
      <c r="E31" s="1" t="str">
        <f>IF('1.1 Produksi Bersih Padi 2025'!E31="","",'1.1 Produksi Bersih Padi 2025'!E31)</f>
        <v/>
      </c>
      <c r="F31" s="28" t="str">
        <f>IF(D31="","",VLOOKUP(D31,'[1]0.1 Produksi Pangan &amp; Penduduk'!$D$5:$AK$860,34,0))</f>
        <v/>
      </c>
      <c r="G31" s="29" t="str">
        <f t="shared" si="0"/>
        <v/>
      </c>
      <c r="H31" s="29" t="str">
        <f t="shared" si="1"/>
        <v/>
      </c>
      <c r="I31" s="29" t="str">
        <f t="shared" si="2"/>
        <v/>
      </c>
      <c r="J31" s="29" t="str">
        <f t="shared" si="3"/>
        <v/>
      </c>
      <c r="K31" s="29" t="str">
        <f t="shared" si="4"/>
        <v/>
      </c>
      <c r="M31" s="11"/>
    </row>
    <row r="32" spans="1:13" ht="15" x14ac:dyDescent="0.25">
      <c r="A32" s="1" t="str">
        <f>IF('1.1 Produksi Bersih Padi 2025'!A32="","",'1.1 Produksi Bersih Padi 2025'!A32)</f>
        <v/>
      </c>
      <c r="B32" s="31" t="str">
        <f>IF('1.1 Produksi Bersih Padi 2025'!B32="","",'1.1 Produksi Bersih Padi 2025'!B32)</f>
        <v/>
      </c>
      <c r="C32" s="31" t="str">
        <f>IF('1.1 Produksi Bersih Padi 2025'!C32="","",'1.1 Produksi Bersih Padi 2025'!C32)</f>
        <v/>
      </c>
      <c r="D32" s="1" t="str">
        <f>IF('1.1 Produksi Bersih Padi 2025'!D32="","",'1.1 Produksi Bersih Padi 2025'!D32)</f>
        <v/>
      </c>
      <c r="E32" s="1" t="str">
        <f>IF('1.1 Produksi Bersih Padi 2025'!E32="","",'1.1 Produksi Bersih Padi 2025'!E32)</f>
        <v/>
      </c>
      <c r="F32" s="28" t="str">
        <f>IF(D32="","",VLOOKUP(D32,'[1]0.1 Produksi Pangan &amp; Penduduk'!$D$5:$AK$860,34,0))</f>
        <v/>
      </c>
      <c r="G32" s="29" t="str">
        <f t="shared" si="0"/>
        <v/>
      </c>
      <c r="H32" s="29" t="str">
        <f t="shared" si="1"/>
        <v/>
      </c>
      <c r="I32" s="29" t="str">
        <f t="shared" si="2"/>
        <v/>
      </c>
      <c r="J32" s="29" t="str">
        <f t="shared" si="3"/>
        <v/>
      </c>
      <c r="K32" s="29" t="str">
        <f t="shared" si="4"/>
        <v/>
      </c>
      <c r="M32" s="11"/>
    </row>
    <row r="33" spans="1:13" ht="15" x14ac:dyDescent="0.25">
      <c r="A33" s="1" t="str">
        <f>IF('1.1 Produksi Bersih Padi 2025'!A33="","",'1.1 Produksi Bersih Padi 2025'!A33)</f>
        <v/>
      </c>
      <c r="B33" s="31" t="str">
        <f>IF('1.1 Produksi Bersih Padi 2025'!B33="","",'1.1 Produksi Bersih Padi 2025'!B33)</f>
        <v/>
      </c>
      <c r="C33" s="31" t="str">
        <f>IF('1.1 Produksi Bersih Padi 2025'!C33="","",'1.1 Produksi Bersih Padi 2025'!C33)</f>
        <v/>
      </c>
      <c r="D33" s="1" t="str">
        <f>IF('1.1 Produksi Bersih Padi 2025'!D33="","",'1.1 Produksi Bersih Padi 2025'!D33)</f>
        <v/>
      </c>
      <c r="E33" s="1" t="str">
        <f>IF('1.1 Produksi Bersih Padi 2025'!E33="","",'1.1 Produksi Bersih Padi 2025'!E33)</f>
        <v/>
      </c>
      <c r="F33" s="28" t="str">
        <f>IF(D33="","",VLOOKUP(D33,'[1]0.1 Produksi Pangan &amp; Penduduk'!$D$5:$AK$860,34,0))</f>
        <v/>
      </c>
      <c r="G33" s="29" t="str">
        <f t="shared" si="0"/>
        <v/>
      </c>
      <c r="H33" s="29" t="str">
        <f t="shared" si="1"/>
        <v/>
      </c>
      <c r="I33" s="29" t="str">
        <f t="shared" si="2"/>
        <v/>
      </c>
      <c r="J33" s="29" t="str">
        <f t="shared" si="3"/>
        <v/>
      </c>
      <c r="K33" s="29" t="str">
        <f t="shared" si="4"/>
        <v/>
      </c>
      <c r="M33" s="11"/>
    </row>
    <row r="34" spans="1:13" ht="15" x14ac:dyDescent="0.25">
      <c r="A34" s="1" t="str">
        <f>IF('1.1 Produksi Bersih Padi 2025'!A34="","",'1.1 Produksi Bersih Padi 2025'!A34)</f>
        <v/>
      </c>
      <c r="B34" s="31" t="str">
        <f>IF('1.1 Produksi Bersih Padi 2025'!B34="","",'1.1 Produksi Bersih Padi 2025'!B34)</f>
        <v/>
      </c>
      <c r="C34" s="31" t="str">
        <f>IF('1.1 Produksi Bersih Padi 2025'!C34="","",'1.1 Produksi Bersih Padi 2025'!C34)</f>
        <v/>
      </c>
      <c r="D34" s="1" t="str">
        <f>IF('1.1 Produksi Bersih Padi 2025'!D34="","",'1.1 Produksi Bersih Padi 2025'!D34)</f>
        <v/>
      </c>
      <c r="E34" s="1" t="str">
        <f>IF('1.1 Produksi Bersih Padi 2025'!E34="","",'1.1 Produksi Bersih Padi 2025'!E34)</f>
        <v/>
      </c>
      <c r="F34" s="28" t="str">
        <f>IF(D34="","",VLOOKUP(D34,'[1]0.1 Produksi Pangan &amp; Penduduk'!$D$5:$AK$860,34,0))</f>
        <v/>
      </c>
      <c r="G34" s="29" t="str">
        <f t="shared" si="0"/>
        <v/>
      </c>
      <c r="H34" s="29" t="str">
        <f t="shared" si="1"/>
        <v/>
      </c>
      <c r="I34" s="29" t="str">
        <f t="shared" si="2"/>
        <v/>
      </c>
      <c r="J34" s="29" t="str">
        <f t="shared" si="3"/>
        <v/>
      </c>
      <c r="K34" s="29" t="str">
        <f t="shared" si="4"/>
        <v/>
      </c>
      <c r="M34" s="11"/>
    </row>
    <row r="35" spans="1:13" ht="15" x14ac:dyDescent="0.25">
      <c r="A35" s="1" t="str">
        <f>IF('1.1 Produksi Bersih Padi 2025'!A35="","",'1.1 Produksi Bersih Padi 2025'!A35)</f>
        <v/>
      </c>
      <c r="B35" s="31" t="str">
        <f>IF('1.1 Produksi Bersih Padi 2025'!B35="","",'1.1 Produksi Bersih Padi 2025'!B35)</f>
        <v/>
      </c>
      <c r="C35" s="31" t="str">
        <f>IF('1.1 Produksi Bersih Padi 2025'!C35="","",'1.1 Produksi Bersih Padi 2025'!C35)</f>
        <v/>
      </c>
      <c r="D35" s="1" t="str">
        <f>IF('1.1 Produksi Bersih Padi 2025'!D35="","",'1.1 Produksi Bersih Padi 2025'!D35)</f>
        <v/>
      </c>
      <c r="E35" s="1" t="str">
        <f>IF('1.1 Produksi Bersih Padi 2025'!E35="","",'1.1 Produksi Bersih Padi 2025'!E35)</f>
        <v/>
      </c>
      <c r="F35" s="28" t="str">
        <f>IF(D35="","",VLOOKUP(D35,'[1]0.1 Produksi Pangan &amp; Penduduk'!$D$5:$AK$860,34,0))</f>
        <v/>
      </c>
      <c r="G35" s="29" t="str">
        <f t="shared" si="0"/>
        <v/>
      </c>
      <c r="H35" s="29" t="str">
        <f t="shared" si="1"/>
        <v/>
      </c>
      <c r="I35" s="29" t="str">
        <f t="shared" si="2"/>
        <v/>
      </c>
      <c r="J35" s="29" t="str">
        <f t="shared" si="3"/>
        <v/>
      </c>
      <c r="K35" s="29" t="str">
        <f t="shared" si="4"/>
        <v/>
      </c>
      <c r="M35" s="11"/>
    </row>
    <row r="36" spans="1:13" ht="15" x14ac:dyDescent="0.25">
      <c r="A36" s="1" t="str">
        <f>IF('1.1 Produksi Bersih Padi 2025'!A36="","",'1.1 Produksi Bersih Padi 2025'!A36)</f>
        <v/>
      </c>
      <c r="B36" s="31" t="str">
        <f>IF('1.1 Produksi Bersih Padi 2025'!B36="","",'1.1 Produksi Bersih Padi 2025'!B36)</f>
        <v/>
      </c>
      <c r="C36" s="31" t="str">
        <f>IF('1.1 Produksi Bersih Padi 2025'!C36="","",'1.1 Produksi Bersih Padi 2025'!C36)</f>
        <v/>
      </c>
      <c r="D36" s="1" t="str">
        <f>IF('1.1 Produksi Bersih Padi 2025'!D36="","",'1.1 Produksi Bersih Padi 2025'!D36)</f>
        <v/>
      </c>
      <c r="E36" s="1" t="str">
        <f>IF('1.1 Produksi Bersih Padi 2025'!E36="","",'1.1 Produksi Bersih Padi 2025'!E36)</f>
        <v/>
      </c>
      <c r="F36" s="28" t="str">
        <f>IF(D36="","",VLOOKUP(D36,'[1]0.1 Produksi Pangan &amp; Penduduk'!$D$5:$AK$860,34,0))</f>
        <v/>
      </c>
      <c r="G36" s="29" t="str">
        <f t="shared" si="0"/>
        <v/>
      </c>
      <c r="H36" s="29" t="str">
        <f t="shared" si="1"/>
        <v/>
      </c>
      <c r="I36" s="29" t="str">
        <f t="shared" si="2"/>
        <v/>
      </c>
      <c r="J36" s="29" t="str">
        <f t="shared" si="3"/>
        <v/>
      </c>
      <c r="K36" s="29" t="str">
        <f t="shared" si="4"/>
        <v/>
      </c>
      <c r="M36" s="11"/>
    </row>
    <row r="37" spans="1:13" ht="15" x14ac:dyDescent="0.25">
      <c r="A37" s="1" t="str">
        <f>IF('1.1 Produksi Bersih Padi 2025'!A37="","",'1.1 Produksi Bersih Padi 2025'!A37)</f>
        <v/>
      </c>
      <c r="B37" s="31" t="str">
        <f>IF('1.1 Produksi Bersih Padi 2025'!B37="","",'1.1 Produksi Bersih Padi 2025'!B37)</f>
        <v/>
      </c>
      <c r="C37" s="31" t="str">
        <f>IF('1.1 Produksi Bersih Padi 2025'!C37="","",'1.1 Produksi Bersih Padi 2025'!C37)</f>
        <v/>
      </c>
      <c r="D37" s="1" t="str">
        <f>IF('1.1 Produksi Bersih Padi 2025'!D37="","",'1.1 Produksi Bersih Padi 2025'!D37)</f>
        <v/>
      </c>
      <c r="E37" s="1" t="str">
        <f>IF('1.1 Produksi Bersih Padi 2025'!E37="","",'1.1 Produksi Bersih Padi 2025'!E37)</f>
        <v/>
      </c>
      <c r="F37" s="28" t="str">
        <f>IF(D37="","",VLOOKUP(D37,'[1]0.1 Produksi Pangan &amp; Penduduk'!$D$5:$AK$860,34,0))</f>
        <v/>
      </c>
      <c r="G37" s="29" t="str">
        <f t="shared" si="0"/>
        <v/>
      </c>
      <c r="H37" s="29" t="str">
        <f t="shared" si="1"/>
        <v/>
      </c>
      <c r="I37" s="29" t="str">
        <f t="shared" si="2"/>
        <v/>
      </c>
      <c r="J37" s="29" t="str">
        <f t="shared" si="3"/>
        <v/>
      </c>
      <c r="K37" s="29" t="str">
        <f t="shared" si="4"/>
        <v/>
      </c>
      <c r="M37" s="11"/>
    </row>
    <row r="38" spans="1:13" ht="15" x14ac:dyDescent="0.25">
      <c r="A38" s="1" t="str">
        <f>IF('1.1 Produksi Bersih Padi 2025'!A38="","",'1.1 Produksi Bersih Padi 2025'!A38)</f>
        <v/>
      </c>
      <c r="B38" s="31" t="str">
        <f>IF('1.1 Produksi Bersih Padi 2025'!B38="","",'1.1 Produksi Bersih Padi 2025'!B38)</f>
        <v/>
      </c>
      <c r="C38" s="31" t="str">
        <f>IF('1.1 Produksi Bersih Padi 2025'!C38="","",'1.1 Produksi Bersih Padi 2025'!C38)</f>
        <v/>
      </c>
      <c r="D38" s="1" t="str">
        <f>IF('1.1 Produksi Bersih Padi 2025'!D38="","",'1.1 Produksi Bersih Padi 2025'!D38)</f>
        <v/>
      </c>
      <c r="E38" s="1" t="str">
        <f>IF('1.1 Produksi Bersih Padi 2025'!E38="","",'1.1 Produksi Bersih Padi 2025'!E38)</f>
        <v/>
      </c>
      <c r="F38" s="28" t="str">
        <f>IF(D38="","",VLOOKUP(D38,'[1]0.1 Produksi Pangan &amp; Penduduk'!$D$5:$AK$860,34,0))</f>
        <v/>
      </c>
      <c r="G38" s="29" t="str">
        <f t="shared" si="0"/>
        <v/>
      </c>
      <c r="H38" s="29" t="str">
        <f t="shared" si="1"/>
        <v/>
      </c>
      <c r="I38" s="29" t="str">
        <f t="shared" si="2"/>
        <v/>
      </c>
      <c r="J38" s="29" t="str">
        <f t="shared" si="3"/>
        <v/>
      </c>
      <c r="K38" s="29" t="str">
        <f t="shared" si="4"/>
        <v/>
      </c>
      <c r="M38" s="11"/>
    </row>
    <row r="39" spans="1:13" ht="15" x14ac:dyDescent="0.25">
      <c r="A39" s="1" t="str">
        <f>IF('1.1 Produksi Bersih Padi 2025'!A39="","",'1.1 Produksi Bersih Padi 2025'!A39)</f>
        <v/>
      </c>
      <c r="B39" s="31" t="str">
        <f>IF('1.1 Produksi Bersih Padi 2025'!B39="","",'1.1 Produksi Bersih Padi 2025'!B39)</f>
        <v/>
      </c>
      <c r="C39" s="31" t="str">
        <f>IF('1.1 Produksi Bersih Padi 2025'!C39="","",'1.1 Produksi Bersih Padi 2025'!C39)</f>
        <v/>
      </c>
      <c r="D39" s="1" t="str">
        <f>IF('1.1 Produksi Bersih Padi 2025'!D39="","",'1.1 Produksi Bersih Padi 2025'!D39)</f>
        <v/>
      </c>
      <c r="E39" s="1" t="str">
        <f>IF('1.1 Produksi Bersih Padi 2025'!E39="","",'1.1 Produksi Bersih Padi 2025'!E39)</f>
        <v/>
      </c>
      <c r="F39" s="28" t="str">
        <f>IF(D39="","",VLOOKUP(D39,'[1]0.1 Produksi Pangan &amp; Penduduk'!$D$5:$AK$860,34,0))</f>
        <v/>
      </c>
      <c r="G39" s="29" t="str">
        <f t="shared" si="0"/>
        <v/>
      </c>
      <c r="H39" s="29" t="str">
        <f t="shared" si="1"/>
        <v/>
      </c>
      <c r="I39" s="29" t="str">
        <f t="shared" si="2"/>
        <v/>
      </c>
      <c r="J39" s="29" t="str">
        <f t="shared" si="3"/>
        <v/>
      </c>
      <c r="K39" s="29" t="str">
        <f t="shared" si="4"/>
        <v/>
      </c>
      <c r="M39" s="11"/>
    </row>
    <row r="40" spans="1:13" ht="15" x14ac:dyDescent="0.25">
      <c r="A40" s="1" t="str">
        <f>IF('1.1 Produksi Bersih Padi 2025'!A40="","",'1.1 Produksi Bersih Padi 2025'!A40)</f>
        <v/>
      </c>
      <c r="B40" s="31" t="str">
        <f>IF('1.1 Produksi Bersih Padi 2025'!B40="","",'1.1 Produksi Bersih Padi 2025'!B40)</f>
        <v/>
      </c>
      <c r="C40" s="31" t="str">
        <f>IF('1.1 Produksi Bersih Padi 2025'!C40="","",'1.1 Produksi Bersih Padi 2025'!C40)</f>
        <v/>
      </c>
      <c r="D40" s="1" t="str">
        <f>IF('1.1 Produksi Bersih Padi 2025'!D40="","",'1.1 Produksi Bersih Padi 2025'!D40)</f>
        <v/>
      </c>
      <c r="E40" s="1" t="str">
        <f>IF('1.1 Produksi Bersih Padi 2025'!E40="","",'1.1 Produksi Bersih Padi 2025'!E40)</f>
        <v/>
      </c>
      <c r="F40" s="28" t="str">
        <f>IF(D40="","",VLOOKUP(D40,'[1]0.1 Produksi Pangan &amp; Penduduk'!$D$5:$AK$860,34,0))</f>
        <v/>
      </c>
      <c r="G40" s="29" t="str">
        <f t="shared" si="0"/>
        <v/>
      </c>
      <c r="H40" s="29" t="str">
        <f t="shared" si="1"/>
        <v/>
      </c>
      <c r="I40" s="29" t="str">
        <f t="shared" si="2"/>
        <v/>
      </c>
      <c r="J40" s="29" t="str">
        <f t="shared" si="3"/>
        <v/>
      </c>
      <c r="K40" s="29" t="str">
        <f t="shared" si="4"/>
        <v/>
      </c>
      <c r="M40" s="11"/>
    </row>
    <row r="41" spans="1:13" ht="15" x14ac:dyDescent="0.25">
      <c r="A41" s="1" t="str">
        <f>IF('1.1 Produksi Bersih Padi 2025'!A41="","",'1.1 Produksi Bersih Padi 2025'!A41)</f>
        <v/>
      </c>
      <c r="B41" s="31" t="str">
        <f>IF('1.1 Produksi Bersih Padi 2025'!B41="","",'1.1 Produksi Bersih Padi 2025'!B41)</f>
        <v/>
      </c>
      <c r="C41" s="31" t="str">
        <f>IF('1.1 Produksi Bersih Padi 2025'!C41="","",'1.1 Produksi Bersih Padi 2025'!C41)</f>
        <v/>
      </c>
      <c r="D41" s="1" t="str">
        <f>IF('1.1 Produksi Bersih Padi 2025'!D41="","",'1.1 Produksi Bersih Padi 2025'!D41)</f>
        <v/>
      </c>
      <c r="E41" s="1" t="str">
        <f>IF('1.1 Produksi Bersih Padi 2025'!E41="","",'1.1 Produksi Bersih Padi 2025'!E41)</f>
        <v/>
      </c>
      <c r="F41" s="28" t="str">
        <f>IF(D41="","",VLOOKUP(D41,'[1]0.1 Produksi Pangan &amp; Penduduk'!$D$5:$AK$860,34,0))</f>
        <v/>
      </c>
      <c r="G41" s="29" t="str">
        <f t="shared" si="0"/>
        <v/>
      </c>
      <c r="H41" s="29" t="str">
        <f t="shared" si="1"/>
        <v/>
      </c>
      <c r="I41" s="29" t="str">
        <f t="shared" si="2"/>
        <v/>
      </c>
      <c r="J41" s="29" t="str">
        <f t="shared" si="3"/>
        <v/>
      </c>
      <c r="K41" s="29" t="str">
        <f t="shared" si="4"/>
        <v/>
      </c>
      <c r="M41" s="11"/>
    </row>
    <row r="42" spans="1:13" ht="15" x14ac:dyDescent="0.25">
      <c r="A42" s="1" t="str">
        <f>IF('1.1 Produksi Bersih Padi 2025'!A42="","",'1.1 Produksi Bersih Padi 2025'!A42)</f>
        <v/>
      </c>
      <c r="B42" s="31" t="str">
        <f>IF('1.1 Produksi Bersih Padi 2025'!B42="","",'1.1 Produksi Bersih Padi 2025'!B42)</f>
        <v/>
      </c>
      <c r="C42" s="31" t="str">
        <f>IF('1.1 Produksi Bersih Padi 2025'!C42="","",'1.1 Produksi Bersih Padi 2025'!C42)</f>
        <v/>
      </c>
      <c r="D42" s="1" t="str">
        <f>IF('1.1 Produksi Bersih Padi 2025'!D42="","",'1.1 Produksi Bersih Padi 2025'!D42)</f>
        <v/>
      </c>
      <c r="E42" s="1" t="str">
        <f>IF('1.1 Produksi Bersih Padi 2025'!E42="","",'1.1 Produksi Bersih Padi 2025'!E42)</f>
        <v/>
      </c>
      <c r="F42" s="28" t="str">
        <f>IF(D42="","",VLOOKUP(D42,'[1]0.1 Produksi Pangan &amp; Penduduk'!$D$5:$AK$860,34,0))</f>
        <v/>
      </c>
      <c r="G42" s="29" t="str">
        <f t="shared" si="0"/>
        <v/>
      </c>
      <c r="H42" s="29" t="str">
        <f t="shared" si="1"/>
        <v/>
      </c>
      <c r="I42" s="29" t="str">
        <f t="shared" si="2"/>
        <v/>
      </c>
      <c r="J42" s="29" t="str">
        <f t="shared" si="3"/>
        <v/>
      </c>
      <c r="K42" s="29" t="str">
        <f t="shared" si="4"/>
        <v/>
      </c>
      <c r="M42" s="11"/>
    </row>
    <row r="43" spans="1:13" ht="15" x14ac:dyDescent="0.25">
      <c r="A43" s="1" t="str">
        <f>IF('1.1 Produksi Bersih Padi 2025'!A43="","",'1.1 Produksi Bersih Padi 2025'!A43)</f>
        <v/>
      </c>
      <c r="B43" s="31" t="str">
        <f>IF('1.1 Produksi Bersih Padi 2025'!B43="","",'1.1 Produksi Bersih Padi 2025'!B43)</f>
        <v/>
      </c>
      <c r="C43" s="31" t="str">
        <f>IF('1.1 Produksi Bersih Padi 2025'!C43="","",'1.1 Produksi Bersih Padi 2025'!C43)</f>
        <v/>
      </c>
      <c r="D43" s="1" t="str">
        <f>IF('1.1 Produksi Bersih Padi 2025'!D43="","",'1.1 Produksi Bersih Padi 2025'!D43)</f>
        <v/>
      </c>
      <c r="E43" s="1" t="str">
        <f>IF('1.1 Produksi Bersih Padi 2025'!E43="","",'1.1 Produksi Bersih Padi 2025'!E43)</f>
        <v/>
      </c>
      <c r="F43" s="28" t="str">
        <f>IF(D43="","",VLOOKUP(D43,'[1]0.1 Produksi Pangan &amp; Penduduk'!$D$5:$AK$860,34,0))</f>
        <v/>
      </c>
      <c r="G43" s="29" t="str">
        <f t="shared" si="0"/>
        <v/>
      </c>
      <c r="H43" s="29" t="str">
        <f t="shared" si="1"/>
        <v/>
      </c>
      <c r="I43" s="29" t="str">
        <f t="shared" si="2"/>
        <v/>
      </c>
      <c r="J43" s="29" t="str">
        <f t="shared" si="3"/>
        <v/>
      </c>
      <c r="K43" s="29" t="str">
        <f t="shared" si="4"/>
        <v/>
      </c>
      <c r="M43" s="11"/>
    </row>
    <row r="44" spans="1:13" ht="15" x14ac:dyDescent="0.25">
      <c r="A44" s="1" t="str">
        <f>IF('1.1 Produksi Bersih Padi 2025'!A44="","",'1.1 Produksi Bersih Padi 2025'!A44)</f>
        <v/>
      </c>
      <c r="B44" s="31" t="str">
        <f>IF('1.1 Produksi Bersih Padi 2025'!B44="","",'1.1 Produksi Bersih Padi 2025'!B44)</f>
        <v/>
      </c>
      <c r="C44" s="31" t="str">
        <f>IF('1.1 Produksi Bersih Padi 2025'!C44="","",'1.1 Produksi Bersih Padi 2025'!C44)</f>
        <v/>
      </c>
      <c r="D44" s="1" t="str">
        <f>IF('1.1 Produksi Bersih Padi 2025'!D44="","",'1.1 Produksi Bersih Padi 2025'!D44)</f>
        <v/>
      </c>
      <c r="E44" s="1" t="str">
        <f>IF('1.1 Produksi Bersih Padi 2025'!E44="","",'1.1 Produksi Bersih Padi 2025'!E44)</f>
        <v/>
      </c>
      <c r="F44" s="28" t="str">
        <f>IF(D44="","",VLOOKUP(D44,'[1]0.1 Produksi Pangan &amp; Penduduk'!$D$5:$AK$860,34,0))</f>
        <v/>
      </c>
      <c r="G44" s="29" t="str">
        <f t="shared" si="0"/>
        <v/>
      </c>
      <c r="H44" s="29" t="str">
        <f t="shared" si="1"/>
        <v/>
      </c>
      <c r="I44" s="29" t="str">
        <f t="shared" si="2"/>
        <v/>
      </c>
      <c r="J44" s="29" t="str">
        <f t="shared" si="3"/>
        <v/>
      </c>
      <c r="K44" s="29" t="str">
        <f t="shared" si="4"/>
        <v/>
      </c>
      <c r="M44" s="11"/>
    </row>
    <row r="45" spans="1:13" ht="15" x14ac:dyDescent="0.25">
      <c r="A45" s="1" t="str">
        <f>IF('1.1 Produksi Bersih Padi 2025'!A45="","",'1.1 Produksi Bersih Padi 2025'!A45)</f>
        <v/>
      </c>
      <c r="B45" s="31" t="str">
        <f>IF('1.1 Produksi Bersih Padi 2025'!B45="","",'1.1 Produksi Bersih Padi 2025'!B45)</f>
        <v/>
      </c>
      <c r="C45" s="31" t="str">
        <f>IF('1.1 Produksi Bersih Padi 2025'!C45="","",'1.1 Produksi Bersih Padi 2025'!C45)</f>
        <v/>
      </c>
      <c r="D45" s="1" t="str">
        <f>IF('1.1 Produksi Bersih Padi 2025'!D45="","",'1.1 Produksi Bersih Padi 2025'!D45)</f>
        <v/>
      </c>
      <c r="E45" s="1" t="str">
        <f>IF('1.1 Produksi Bersih Padi 2025'!E45="","",'1.1 Produksi Bersih Padi 2025'!E45)</f>
        <v/>
      </c>
      <c r="F45" s="28" t="str">
        <f>IF(D45="","",VLOOKUP(D45,'[1]0.1 Produksi Pangan &amp; Penduduk'!$D$5:$AK$860,34,0))</f>
        <v/>
      </c>
      <c r="G45" s="29" t="str">
        <f t="shared" si="0"/>
        <v/>
      </c>
      <c r="H45" s="29" t="str">
        <f t="shared" si="1"/>
        <v/>
      </c>
      <c r="I45" s="29" t="str">
        <f t="shared" si="2"/>
        <v/>
      </c>
      <c r="J45" s="29" t="str">
        <f t="shared" si="3"/>
        <v/>
      </c>
      <c r="K45" s="29" t="str">
        <f t="shared" si="4"/>
        <v/>
      </c>
      <c r="M45" s="11"/>
    </row>
    <row r="46" spans="1:13" ht="15" x14ac:dyDescent="0.25">
      <c r="A46" s="1" t="str">
        <f>IF('1.1 Produksi Bersih Padi 2025'!A46="","",'1.1 Produksi Bersih Padi 2025'!A46)</f>
        <v/>
      </c>
      <c r="B46" s="31" t="str">
        <f>IF('1.1 Produksi Bersih Padi 2025'!B46="","",'1.1 Produksi Bersih Padi 2025'!B46)</f>
        <v/>
      </c>
      <c r="C46" s="31" t="str">
        <f>IF('1.1 Produksi Bersih Padi 2025'!C46="","",'1.1 Produksi Bersih Padi 2025'!C46)</f>
        <v/>
      </c>
      <c r="D46" s="1" t="str">
        <f>IF('1.1 Produksi Bersih Padi 2025'!D46="","",'1.1 Produksi Bersih Padi 2025'!D46)</f>
        <v/>
      </c>
      <c r="E46" s="1" t="str">
        <f>IF('1.1 Produksi Bersih Padi 2025'!E46="","",'1.1 Produksi Bersih Padi 2025'!E46)</f>
        <v/>
      </c>
      <c r="F46" s="28" t="str">
        <f>IF(D46="","",VLOOKUP(D46,'[1]0.1 Produksi Pangan &amp; Penduduk'!$D$5:$AK$860,34,0))</f>
        <v/>
      </c>
      <c r="G46" s="29" t="str">
        <f t="shared" si="0"/>
        <v/>
      </c>
      <c r="H46" s="29" t="str">
        <f t="shared" si="1"/>
        <v/>
      </c>
      <c r="I46" s="29" t="str">
        <f t="shared" si="2"/>
        <v/>
      </c>
      <c r="J46" s="29" t="str">
        <f t="shared" si="3"/>
        <v/>
      </c>
      <c r="K46" s="29" t="str">
        <f t="shared" si="4"/>
        <v/>
      </c>
      <c r="M46" s="11"/>
    </row>
    <row r="47" spans="1:13" ht="15" x14ac:dyDescent="0.25">
      <c r="A47" s="1" t="str">
        <f>IF('1.1 Produksi Bersih Padi 2025'!A47="","",'1.1 Produksi Bersih Padi 2025'!A47)</f>
        <v/>
      </c>
      <c r="B47" s="31" t="str">
        <f>IF('1.1 Produksi Bersih Padi 2025'!B47="","",'1.1 Produksi Bersih Padi 2025'!B47)</f>
        <v/>
      </c>
      <c r="C47" s="31" t="str">
        <f>IF('1.1 Produksi Bersih Padi 2025'!C47="","",'1.1 Produksi Bersih Padi 2025'!C47)</f>
        <v/>
      </c>
      <c r="D47" s="1" t="str">
        <f>IF('1.1 Produksi Bersih Padi 2025'!D47="","",'1.1 Produksi Bersih Padi 2025'!D47)</f>
        <v/>
      </c>
      <c r="E47" s="1" t="str">
        <f>IF('1.1 Produksi Bersih Padi 2025'!E47="","",'1.1 Produksi Bersih Padi 2025'!E47)</f>
        <v/>
      </c>
      <c r="F47" s="28" t="str">
        <f>IF(D47="","",VLOOKUP(D47,'[1]0.1 Produksi Pangan &amp; Penduduk'!$D$5:$AK$860,34,0))</f>
        <v/>
      </c>
      <c r="G47" s="29" t="str">
        <f t="shared" si="0"/>
        <v/>
      </c>
      <c r="H47" s="29" t="str">
        <f t="shared" si="1"/>
        <v/>
      </c>
      <c r="I47" s="29" t="str">
        <f t="shared" si="2"/>
        <v/>
      </c>
      <c r="J47" s="29" t="str">
        <f t="shared" si="3"/>
        <v/>
      </c>
      <c r="K47" s="29" t="str">
        <f t="shared" si="4"/>
        <v/>
      </c>
      <c r="M47" s="11"/>
    </row>
    <row r="48" spans="1:13" ht="15" x14ac:dyDescent="0.25">
      <c r="A48" s="1" t="str">
        <f>IF('1.1 Produksi Bersih Padi 2025'!A48="","",'1.1 Produksi Bersih Padi 2025'!A48)</f>
        <v/>
      </c>
      <c r="B48" s="31" t="str">
        <f>IF('1.1 Produksi Bersih Padi 2025'!B48="","",'1.1 Produksi Bersih Padi 2025'!B48)</f>
        <v/>
      </c>
      <c r="C48" s="31" t="str">
        <f>IF('1.1 Produksi Bersih Padi 2025'!C48="","",'1.1 Produksi Bersih Padi 2025'!C48)</f>
        <v/>
      </c>
      <c r="D48" s="1" t="str">
        <f>IF('1.1 Produksi Bersih Padi 2025'!D48="","",'1.1 Produksi Bersih Padi 2025'!D48)</f>
        <v/>
      </c>
      <c r="E48" s="1" t="str">
        <f>IF('1.1 Produksi Bersih Padi 2025'!E48="","",'1.1 Produksi Bersih Padi 2025'!E48)</f>
        <v/>
      </c>
      <c r="F48" s="28" t="str">
        <f>IF(D48="","",VLOOKUP(D48,'[1]0.1 Produksi Pangan &amp; Penduduk'!$D$5:$AK$860,34,0))</f>
        <v/>
      </c>
      <c r="G48" s="29" t="str">
        <f t="shared" si="0"/>
        <v/>
      </c>
      <c r="H48" s="29" t="str">
        <f t="shared" si="1"/>
        <v/>
      </c>
      <c r="I48" s="29" t="str">
        <f t="shared" si="2"/>
        <v/>
      </c>
      <c r="J48" s="29" t="str">
        <f t="shared" si="3"/>
        <v/>
      </c>
      <c r="K48" s="29" t="str">
        <f t="shared" si="4"/>
        <v/>
      </c>
      <c r="M48" s="11"/>
    </row>
    <row r="49" spans="1:13" ht="15" x14ac:dyDescent="0.25">
      <c r="A49" s="1" t="str">
        <f>IF('1.1 Produksi Bersih Padi 2025'!A49="","",'1.1 Produksi Bersih Padi 2025'!A49)</f>
        <v/>
      </c>
      <c r="B49" s="31" t="str">
        <f>IF('1.1 Produksi Bersih Padi 2025'!B49="","",'1.1 Produksi Bersih Padi 2025'!B49)</f>
        <v/>
      </c>
      <c r="C49" s="31" t="str">
        <f>IF('1.1 Produksi Bersih Padi 2025'!C49="","",'1.1 Produksi Bersih Padi 2025'!C49)</f>
        <v/>
      </c>
      <c r="D49" s="1" t="str">
        <f>IF('1.1 Produksi Bersih Padi 2025'!D49="","",'1.1 Produksi Bersih Padi 2025'!D49)</f>
        <v/>
      </c>
      <c r="E49" s="1" t="str">
        <f>IF('1.1 Produksi Bersih Padi 2025'!E49="","",'1.1 Produksi Bersih Padi 2025'!E49)</f>
        <v/>
      </c>
      <c r="F49" s="28" t="str">
        <f>IF(D49="","",VLOOKUP(D49,'[1]0.1 Produksi Pangan &amp; Penduduk'!$D$5:$AK$860,34,0))</f>
        <v/>
      </c>
      <c r="G49" s="29" t="str">
        <f t="shared" si="0"/>
        <v/>
      </c>
      <c r="H49" s="29" t="str">
        <f t="shared" si="1"/>
        <v/>
      </c>
      <c r="I49" s="29" t="str">
        <f t="shared" si="2"/>
        <v/>
      </c>
      <c r="J49" s="29" t="str">
        <f t="shared" si="3"/>
        <v/>
      </c>
      <c r="K49" s="29" t="str">
        <f t="shared" si="4"/>
        <v/>
      </c>
      <c r="M49" s="11"/>
    </row>
    <row r="50" spans="1:13" ht="15" x14ac:dyDescent="0.25">
      <c r="A50" s="1" t="str">
        <f>IF('1.1 Produksi Bersih Padi 2025'!A50="","",'1.1 Produksi Bersih Padi 2025'!A50)</f>
        <v/>
      </c>
      <c r="B50" s="31" t="str">
        <f>IF('1.1 Produksi Bersih Padi 2025'!B50="","",'1.1 Produksi Bersih Padi 2025'!B50)</f>
        <v/>
      </c>
      <c r="C50" s="31" t="str">
        <f>IF('1.1 Produksi Bersih Padi 2025'!C50="","",'1.1 Produksi Bersih Padi 2025'!C50)</f>
        <v/>
      </c>
      <c r="D50" s="1" t="str">
        <f>IF('1.1 Produksi Bersih Padi 2025'!D50="","",'1.1 Produksi Bersih Padi 2025'!D50)</f>
        <v/>
      </c>
      <c r="E50" s="1" t="str">
        <f>IF('1.1 Produksi Bersih Padi 2025'!E50="","",'1.1 Produksi Bersih Padi 2025'!E50)</f>
        <v/>
      </c>
      <c r="F50" s="28" t="str">
        <f>IF(D50="","",VLOOKUP(D50,'[1]0.1 Produksi Pangan &amp; Penduduk'!$D$5:$AK$860,34,0))</f>
        <v/>
      </c>
      <c r="G50" s="29" t="str">
        <f t="shared" si="0"/>
        <v/>
      </c>
      <c r="H50" s="29" t="str">
        <f t="shared" si="1"/>
        <v/>
      </c>
      <c r="I50" s="29" t="str">
        <f t="shared" si="2"/>
        <v/>
      </c>
      <c r="J50" s="29" t="str">
        <f t="shared" si="3"/>
        <v/>
      </c>
      <c r="K50" s="29" t="str">
        <f t="shared" si="4"/>
        <v/>
      </c>
      <c r="M50" s="11"/>
    </row>
    <row r="51" spans="1:13" ht="15" x14ac:dyDescent="0.25">
      <c r="A51" s="1" t="str">
        <f>IF('1.1 Produksi Bersih Padi 2025'!A51="","",'1.1 Produksi Bersih Padi 2025'!A51)</f>
        <v/>
      </c>
      <c r="B51" s="31" t="str">
        <f>IF('1.1 Produksi Bersih Padi 2025'!B51="","",'1.1 Produksi Bersih Padi 2025'!B51)</f>
        <v/>
      </c>
      <c r="C51" s="31" t="str">
        <f>IF('1.1 Produksi Bersih Padi 2025'!C51="","",'1.1 Produksi Bersih Padi 2025'!C51)</f>
        <v/>
      </c>
      <c r="D51" s="1" t="str">
        <f>IF('1.1 Produksi Bersih Padi 2025'!D51="","",'1.1 Produksi Bersih Padi 2025'!D51)</f>
        <v/>
      </c>
      <c r="E51" s="1" t="str">
        <f>IF('1.1 Produksi Bersih Padi 2025'!E51="","",'1.1 Produksi Bersih Padi 2025'!E51)</f>
        <v/>
      </c>
      <c r="F51" s="28" t="str">
        <f>IF(D51="","",VLOOKUP(D51,'[1]0.1 Produksi Pangan &amp; Penduduk'!$D$5:$AK$860,34,0))</f>
        <v/>
      </c>
      <c r="G51" s="29" t="str">
        <f t="shared" si="0"/>
        <v/>
      </c>
      <c r="H51" s="29" t="str">
        <f t="shared" si="1"/>
        <v/>
      </c>
      <c r="I51" s="29" t="str">
        <f t="shared" si="2"/>
        <v/>
      </c>
      <c r="J51" s="29" t="str">
        <f t="shared" si="3"/>
        <v/>
      </c>
      <c r="K51" s="29" t="str">
        <f t="shared" si="4"/>
        <v/>
      </c>
      <c r="M51" s="11"/>
    </row>
    <row r="52" spans="1:13" ht="15" x14ac:dyDescent="0.25">
      <c r="A52" s="1" t="str">
        <f>IF('1.1 Produksi Bersih Padi 2025'!A52="","",'1.1 Produksi Bersih Padi 2025'!A52)</f>
        <v/>
      </c>
      <c r="B52" s="31" t="str">
        <f>IF('1.1 Produksi Bersih Padi 2025'!B52="","",'1.1 Produksi Bersih Padi 2025'!B52)</f>
        <v/>
      </c>
      <c r="C52" s="31" t="str">
        <f>IF('1.1 Produksi Bersih Padi 2025'!C52="","",'1.1 Produksi Bersih Padi 2025'!C52)</f>
        <v/>
      </c>
      <c r="D52" s="1" t="str">
        <f>IF('1.1 Produksi Bersih Padi 2025'!D52="","",'1.1 Produksi Bersih Padi 2025'!D52)</f>
        <v/>
      </c>
      <c r="E52" s="1" t="str">
        <f>IF('1.1 Produksi Bersih Padi 2025'!E52="","",'1.1 Produksi Bersih Padi 2025'!E52)</f>
        <v/>
      </c>
      <c r="F52" s="28" t="str">
        <f>IF(D52="","",VLOOKUP(D52,'[1]0.1 Produksi Pangan &amp; Penduduk'!$D$5:$AK$860,34,0))</f>
        <v/>
      </c>
      <c r="G52" s="29" t="str">
        <f t="shared" si="0"/>
        <v/>
      </c>
      <c r="H52" s="29" t="str">
        <f t="shared" si="1"/>
        <v/>
      </c>
      <c r="I52" s="29" t="str">
        <f t="shared" si="2"/>
        <v/>
      </c>
      <c r="J52" s="29" t="str">
        <f t="shared" si="3"/>
        <v/>
      </c>
      <c r="K52" s="29" t="str">
        <f t="shared" si="4"/>
        <v/>
      </c>
      <c r="M52" s="11"/>
    </row>
    <row r="53" spans="1:13" ht="15" x14ac:dyDescent="0.25">
      <c r="A53" s="1" t="str">
        <f>IF('1.1 Produksi Bersih Padi 2025'!A53="","",'1.1 Produksi Bersih Padi 2025'!A53)</f>
        <v/>
      </c>
      <c r="B53" s="31" t="str">
        <f>IF('1.1 Produksi Bersih Padi 2025'!B53="","",'1.1 Produksi Bersih Padi 2025'!B53)</f>
        <v/>
      </c>
      <c r="C53" s="31" t="str">
        <f>IF('1.1 Produksi Bersih Padi 2025'!C53="","",'1.1 Produksi Bersih Padi 2025'!C53)</f>
        <v/>
      </c>
      <c r="D53" s="1" t="str">
        <f>IF('1.1 Produksi Bersih Padi 2025'!D53="","",'1.1 Produksi Bersih Padi 2025'!D53)</f>
        <v/>
      </c>
      <c r="E53" s="1" t="str">
        <f>IF('1.1 Produksi Bersih Padi 2025'!E53="","",'1.1 Produksi Bersih Padi 2025'!E53)</f>
        <v/>
      </c>
      <c r="F53" s="28" t="str">
        <f>IF(D53="","",VLOOKUP(D53,'[1]0.1 Produksi Pangan &amp; Penduduk'!$D$5:$AK$860,34,0))</f>
        <v/>
      </c>
      <c r="G53" s="29" t="str">
        <f t="shared" si="0"/>
        <v/>
      </c>
      <c r="H53" s="29" t="str">
        <f t="shared" si="1"/>
        <v/>
      </c>
      <c r="I53" s="29" t="str">
        <f t="shared" si="2"/>
        <v/>
      </c>
      <c r="J53" s="29" t="str">
        <f t="shared" si="3"/>
        <v/>
      </c>
      <c r="K53" s="29" t="str">
        <f t="shared" si="4"/>
        <v/>
      </c>
      <c r="M53" s="11"/>
    </row>
    <row r="54" spans="1:13" ht="15" x14ac:dyDescent="0.25">
      <c r="A54" s="1" t="str">
        <f>IF('1.1 Produksi Bersih Padi 2025'!A54="","",'1.1 Produksi Bersih Padi 2025'!A54)</f>
        <v/>
      </c>
      <c r="B54" s="31" t="str">
        <f>IF('1.1 Produksi Bersih Padi 2025'!B54="","",'1.1 Produksi Bersih Padi 2025'!B54)</f>
        <v/>
      </c>
      <c r="C54" s="31" t="str">
        <f>IF('1.1 Produksi Bersih Padi 2025'!C54="","",'1.1 Produksi Bersih Padi 2025'!C54)</f>
        <v/>
      </c>
      <c r="D54" s="1" t="str">
        <f>IF('1.1 Produksi Bersih Padi 2025'!D54="","",'1.1 Produksi Bersih Padi 2025'!D54)</f>
        <v/>
      </c>
      <c r="E54" s="1" t="str">
        <f>IF('1.1 Produksi Bersih Padi 2025'!E54="","",'1.1 Produksi Bersih Padi 2025'!E54)</f>
        <v/>
      </c>
      <c r="F54" s="28" t="str">
        <f>IF(D54="","",VLOOKUP(D54,'[1]0.1 Produksi Pangan &amp; Penduduk'!$D$5:$AK$860,34,0))</f>
        <v/>
      </c>
      <c r="G54" s="29" t="str">
        <f t="shared" si="0"/>
        <v/>
      </c>
      <c r="H54" s="29" t="str">
        <f t="shared" si="1"/>
        <v/>
      </c>
      <c r="I54" s="29" t="str">
        <f t="shared" si="2"/>
        <v/>
      </c>
      <c r="J54" s="29" t="str">
        <f t="shared" si="3"/>
        <v/>
      </c>
      <c r="K54" s="29" t="str">
        <f t="shared" si="4"/>
        <v/>
      </c>
      <c r="M54" s="11"/>
    </row>
    <row r="55" spans="1:13" ht="15" x14ac:dyDescent="0.25">
      <c r="A55" s="1" t="str">
        <f>IF('1.1 Produksi Bersih Padi 2025'!A55="","",'1.1 Produksi Bersih Padi 2025'!A55)</f>
        <v/>
      </c>
      <c r="B55" s="31" t="str">
        <f>IF('1.1 Produksi Bersih Padi 2025'!B55="","",'1.1 Produksi Bersih Padi 2025'!B55)</f>
        <v/>
      </c>
      <c r="C55" s="31" t="str">
        <f>IF('1.1 Produksi Bersih Padi 2025'!C55="","",'1.1 Produksi Bersih Padi 2025'!C55)</f>
        <v/>
      </c>
      <c r="D55" s="1" t="str">
        <f>IF('1.1 Produksi Bersih Padi 2025'!D55="","",'1.1 Produksi Bersih Padi 2025'!D55)</f>
        <v/>
      </c>
      <c r="E55" s="1" t="str">
        <f>IF('1.1 Produksi Bersih Padi 2025'!E55="","",'1.1 Produksi Bersih Padi 2025'!E55)</f>
        <v/>
      </c>
      <c r="F55" s="28" t="str">
        <f>IF(D55="","",VLOOKUP(D55,'[1]0.1 Produksi Pangan &amp; Penduduk'!$D$5:$AK$860,34,0))</f>
        <v/>
      </c>
      <c r="G55" s="29" t="str">
        <f t="shared" si="0"/>
        <v/>
      </c>
      <c r="H55" s="29" t="str">
        <f t="shared" si="1"/>
        <v/>
      </c>
      <c r="I55" s="29" t="str">
        <f t="shared" si="2"/>
        <v/>
      </c>
      <c r="J55" s="29" t="str">
        <f t="shared" si="3"/>
        <v/>
      </c>
      <c r="K55" s="29" t="str">
        <f t="shared" si="4"/>
        <v/>
      </c>
      <c r="M55" s="11"/>
    </row>
    <row r="56" spans="1:13" ht="15" x14ac:dyDescent="0.25">
      <c r="A56" s="1" t="str">
        <f>IF('1.1 Produksi Bersih Padi 2025'!A56="","",'1.1 Produksi Bersih Padi 2025'!A56)</f>
        <v/>
      </c>
      <c r="B56" s="31" t="str">
        <f>IF('1.1 Produksi Bersih Padi 2025'!B56="","",'1.1 Produksi Bersih Padi 2025'!B56)</f>
        <v/>
      </c>
      <c r="C56" s="31" t="str">
        <f>IF('1.1 Produksi Bersih Padi 2025'!C56="","",'1.1 Produksi Bersih Padi 2025'!C56)</f>
        <v/>
      </c>
      <c r="D56" s="1" t="str">
        <f>IF('1.1 Produksi Bersih Padi 2025'!D56="","",'1.1 Produksi Bersih Padi 2025'!D56)</f>
        <v/>
      </c>
      <c r="E56" s="1" t="str">
        <f>IF('1.1 Produksi Bersih Padi 2025'!E56="","",'1.1 Produksi Bersih Padi 2025'!E56)</f>
        <v/>
      </c>
      <c r="F56" s="28" t="str">
        <f>IF(D56="","",VLOOKUP(D56,'[1]0.1 Produksi Pangan &amp; Penduduk'!$D$5:$AK$860,34,0))</f>
        <v/>
      </c>
      <c r="G56" s="29" t="str">
        <f t="shared" si="0"/>
        <v/>
      </c>
      <c r="H56" s="29" t="str">
        <f t="shared" si="1"/>
        <v/>
      </c>
      <c r="I56" s="29" t="str">
        <f t="shared" si="2"/>
        <v/>
      </c>
      <c r="J56" s="29" t="str">
        <f t="shared" si="3"/>
        <v/>
      </c>
      <c r="K56" s="29" t="str">
        <f t="shared" si="4"/>
        <v/>
      </c>
      <c r="M56" s="11"/>
    </row>
    <row r="57" spans="1:13" ht="15" x14ac:dyDescent="0.25">
      <c r="A57" s="1" t="str">
        <f>IF('1.1 Produksi Bersih Padi 2025'!A57="","",'1.1 Produksi Bersih Padi 2025'!A57)</f>
        <v/>
      </c>
      <c r="B57" s="31" t="str">
        <f>IF('1.1 Produksi Bersih Padi 2025'!B57="","",'1.1 Produksi Bersih Padi 2025'!B57)</f>
        <v/>
      </c>
      <c r="C57" s="31" t="str">
        <f>IF('1.1 Produksi Bersih Padi 2025'!C57="","",'1.1 Produksi Bersih Padi 2025'!C57)</f>
        <v/>
      </c>
      <c r="D57" s="1" t="str">
        <f>IF('1.1 Produksi Bersih Padi 2025'!D57="","",'1.1 Produksi Bersih Padi 2025'!D57)</f>
        <v/>
      </c>
      <c r="E57" s="1" t="str">
        <f>IF('1.1 Produksi Bersih Padi 2025'!E57="","",'1.1 Produksi Bersih Padi 2025'!E57)</f>
        <v/>
      </c>
      <c r="F57" s="28" t="str">
        <f>IF(D57="","",VLOOKUP(D57,'[1]0.1 Produksi Pangan &amp; Penduduk'!$D$5:$AK$860,34,0))</f>
        <v/>
      </c>
      <c r="G57" s="29" t="str">
        <f t="shared" si="0"/>
        <v/>
      </c>
      <c r="H57" s="29" t="str">
        <f t="shared" si="1"/>
        <v/>
      </c>
      <c r="I57" s="29" t="str">
        <f t="shared" si="2"/>
        <v/>
      </c>
      <c r="J57" s="29" t="str">
        <f t="shared" si="3"/>
        <v/>
      </c>
      <c r="K57" s="29" t="str">
        <f t="shared" si="4"/>
        <v/>
      </c>
      <c r="M57" s="11"/>
    </row>
    <row r="58" spans="1:13" ht="15" x14ac:dyDescent="0.25">
      <c r="A58" s="1" t="str">
        <f>IF('1.1 Produksi Bersih Padi 2025'!A58="","",'1.1 Produksi Bersih Padi 2025'!A58)</f>
        <v/>
      </c>
      <c r="B58" s="31" t="str">
        <f>IF('1.1 Produksi Bersih Padi 2025'!B58="","",'1.1 Produksi Bersih Padi 2025'!B58)</f>
        <v/>
      </c>
      <c r="C58" s="31" t="str">
        <f>IF('1.1 Produksi Bersih Padi 2025'!C58="","",'1.1 Produksi Bersih Padi 2025'!C58)</f>
        <v/>
      </c>
      <c r="D58" s="1" t="str">
        <f>IF('1.1 Produksi Bersih Padi 2025'!D58="","",'1.1 Produksi Bersih Padi 2025'!D58)</f>
        <v/>
      </c>
      <c r="E58" s="1" t="str">
        <f>IF('1.1 Produksi Bersih Padi 2025'!E58="","",'1.1 Produksi Bersih Padi 2025'!E58)</f>
        <v/>
      </c>
      <c r="F58" s="28" t="str">
        <f>IF(D58="","",VLOOKUP(D58,'[1]0.1 Produksi Pangan &amp; Penduduk'!$D$5:$AK$860,34,0))</f>
        <v/>
      </c>
      <c r="G58" s="29" t="str">
        <f t="shared" si="0"/>
        <v/>
      </c>
      <c r="H58" s="29" t="str">
        <f t="shared" si="1"/>
        <v/>
      </c>
      <c r="I58" s="29" t="str">
        <f t="shared" si="2"/>
        <v/>
      </c>
      <c r="J58" s="29" t="str">
        <f t="shared" si="3"/>
        <v/>
      </c>
      <c r="K58" s="29" t="str">
        <f t="shared" si="4"/>
        <v/>
      </c>
      <c r="M58" s="11"/>
    </row>
    <row r="59" spans="1:13" ht="15" x14ac:dyDescent="0.25">
      <c r="A59" s="1" t="str">
        <f>IF('1.1 Produksi Bersih Padi 2025'!A59="","",'1.1 Produksi Bersih Padi 2025'!A59)</f>
        <v/>
      </c>
      <c r="B59" s="31" t="str">
        <f>IF('1.1 Produksi Bersih Padi 2025'!B59="","",'1.1 Produksi Bersih Padi 2025'!B59)</f>
        <v/>
      </c>
      <c r="C59" s="31" t="str">
        <f>IF('1.1 Produksi Bersih Padi 2025'!C59="","",'1.1 Produksi Bersih Padi 2025'!C59)</f>
        <v/>
      </c>
      <c r="D59" s="1" t="str">
        <f>IF('1.1 Produksi Bersih Padi 2025'!D59="","",'1.1 Produksi Bersih Padi 2025'!D59)</f>
        <v/>
      </c>
      <c r="E59" s="1" t="str">
        <f>IF('1.1 Produksi Bersih Padi 2025'!E59="","",'1.1 Produksi Bersih Padi 2025'!E59)</f>
        <v/>
      </c>
      <c r="F59" s="28" t="str">
        <f>IF(D59="","",VLOOKUP(D59,'[1]0.1 Produksi Pangan &amp; Penduduk'!$D$5:$AK$860,34,0))</f>
        <v/>
      </c>
      <c r="G59" s="29" t="str">
        <f t="shared" si="0"/>
        <v/>
      </c>
      <c r="H59" s="29" t="str">
        <f t="shared" si="1"/>
        <v/>
      </c>
      <c r="I59" s="29" t="str">
        <f t="shared" si="2"/>
        <v/>
      </c>
      <c r="J59" s="29" t="str">
        <f t="shared" si="3"/>
        <v/>
      </c>
      <c r="K59" s="29" t="str">
        <f t="shared" si="4"/>
        <v/>
      </c>
      <c r="M59" s="11"/>
    </row>
    <row r="60" spans="1:13" ht="15" x14ac:dyDescent="0.25">
      <c r="A60" s="1" t="str">
        <f>IF('1.1 Produksi Bersih Padi 2025'!A60="","",'1.1 Produksi Bersih Padi 2025'!A60)</f>
        <v/>
      </c>
      <c r="B60" s="31" t="str">
        <f>IF('1.1 Produksi Bersih Padi 2025'!B60="","",'1.1 Produksi Bersih Padi 2025'!B60)</f>
        <v/>
      </c>
      <c r="C60" s="31" t="str">
        <f>IF('1.1 Produksi Bersih Padi 2025'!C60="","",'1.1 Produksi Bersih Padi 2025'!C60)</f>
        <v/>
      </c>
      <c r="D60" s="1" t="str">
        <f>IF('1.1 Produksi Bersih Padi 2025'!D60="","",'1.1 Produksi Bersih Padi 2025'!D60)</f>
        <v/>
      </c>
      <c r="E60" s="1" t="str">
        <f>IF('1.1 Produksi Bersih Padi 2025'!E60="","",'1.1 Produksi Bersih Padi 2025'!E60)</f>
        <v/>
      </c>
      <c r="F60" s="28" t="str">
        <f>IF(D60="","",VLOOKUP(D60,'[1]0.1 Produksi Pangan &amp; Penduduk'!$D$5:$AK$860,34,0))</f>
        <v/>
      </c>
      <c r="G60" s="29" t="str">
        <f t="shared" si="0"/>
        <v/>
      </c>
      <c r="H60" s="29" t="str">
        <f t="shared" si="1"/>
        <v/>
      </c>
      <c r="I60" s="29" t="str">
        <f t="shared" si="2"/>
        <v/>
      </c>
      <c r="J60" s="29" t="str">
        <f t="shared" si="3"/>
        <v/>
      </c>
      <c r="K60" s="29" t="str">
        <f t="shared" si="4"/>
        <v/>
      </c>
      <c r="M60" s="11"/>
    </row>
    <row r="61" spans="1:13" ht="15" x14ac:dyDescent="0.25">
      <c r="A61" s="1" t="str">
        <f>IF('1.1 Produksi Bersih Padi 2025'!A61="","",'1.1 Produksi Bersih Padi 2025'!A61)</f>
        <v/>
      </c>
      <c r="B61" s="31" t="str">
        <f>IF('1.1 Produksi Bersih Padi 2025'!B61="","",'1.1 Produksi Bersih Padi 2025'!B61)</f>
        <v/>
      </c>
      <c r="C61" s="31" t="str">
        <f>IF('1.1 Produksi Bersih Padi 2025'!C61="","",'1.1 Produksi Bersih Padi 2025'!C61)</f>
        <v/>
      </c>
      <c r="D61" s="1" t="str">
        <f>IF('1.1 Produksi Bersih Padi 2025'!D61="","",'1.1 Produksi Bersih Padi 2025'!D61)</f>
        <v/>
      </c>
      <c r="E61" s="1" t="str">
        <f>IF('1.1 Produksi Bersih Padi 2025'!E61="","",'1.1 Produksi Bersih Padi 2025'!E61)</f>
        <v/>
      </c>
      <c r="F61" s="28" t="str">
        <f>IF(D61="","",VLOOKUP(D61,'[1]0.1 Produksi Pangan &amp; Penduduk'!$D$5:$AK$860,34,0))</f>
        <v/>
      </c>
      <c r="G61" s="29" t="str">
        <f t="shared" si="0"/>
        <v/>
      </c>
      <c r="H61" s="29" t="str">
        <f t="shared" si="1"/>
        <v/>
      </c>
      <c r="I61" s="29" t="str">
        <f t="shared" si="2"/>
        <v/>
      </c>
      <c r="J61" s="29" t="str">
        <f t="shared" si="3"/>
        <v/>
      </c>
      <c r="K61" s="29" t="str">
        <f t="shared" si="4"/>
        <v/>
      </c>
      <c r="M61" s="11"/>
    </row>
    <row r="62" spans="1:13" ht="15" x14ac:dyDescent="0.25">
      <c r="A62" s="1" t="str">
        <f>IF('1.1 Produksi Bersih Padi 2025'!A62="","",'1.1 Produksi Bersih Padi 2025'!A62)</f>
        <v/>
      </c>
      <c r="B62" s="31" t="str">
        <f>IF('1.1 Produksi Bersih Padi 2025'!B62="","",'1.1 Produksi Bersih Padi 2025'!B62)</f>
        <v/>
      </c>
      <c r="C62" s="31" t="str">
        <f>IF('1.1 Produksi Bersih Padi 2025'!C62="","",'1.1 Produksi Bersih Padi 2025'!C62)</f>
        <v/>
      </c>
      <c r="D62" s="1" t="str">
        <f>IF('1.1 Produksi Bersih Padi 2025'!D62="","",'1.1 Produksi Bersih Padi 2025'!D62)</f>
        <v/>
      </c>
      <c r="E62" s="1" t="str">
        <f>IF('1.1 Produksi Bersih Padi 2025'!E62="","",'1.1 Produksi Bersih Padi 2025'!E62)</f>
        <v/>
      </c>
      <c r="F62" s="28" t="str">
        <f>IF(D62="","",VLOOKUP(D62,'[1]0.1 Produksi Pangan &amp; Penduduk'!$D$5:$AK$860,34,0))</f>
        <v/>
      </c>
      <c r="G62" s="29" t="str">
        <f t="shared" si="0"/>
        <v/>
      </c>
      <c r="H62" s="29" t="str">
        <f t="shared" si="1"/>
        <v/>
      </c>
      <c r="I62" s="29" t="str">
        <f t="shared" si="2"/>
        <v/>
      </c>
      <c r="J62" s="29" t="str">
        <f t="shared" si="3"/>
        <v/>
      </c>
      <c r="K62" s="29" t="str">
        <f t="shared" si="4"/>
        <v/>
      </c>
      <c r="M62" s="11"/>
    </row>
    <row r="63" spans="1:13" ht="15" x14ac:dyDescent="0.25">
      <c r="A63" s="1" t="str">
        <f>IF('1.1 Produksi Bersih Padi 2025'!A63="","",'1.1 Produksi Bersih Padi 2025'!A63)</f>
        <v/>
      </c>
      <c r="B63" s="31" t="str">
        <f>IF('1.1 Produksi Bersih Padi 2025'!B63="","",'1.1 Produksi Bersih Padi 2025'!B63)</f>
        <v/>
      </c>
      <c r="C63" s="31" t="str">
        <f>IF('1.1 Produksi Bersih Padi 2025'!C63="","",'1.1 Produksi Bersih Padi 2025'!C63)</f>
        <v/>
      </c>
      <c r="D63" s="1" t="str">
        <f>IF('1.1 Produksi Bersih Padi 2025'!D63="","",'1.1 Produksi Bersih Padi 2025'!D63)</f>
        <v/>
      </c>
      <c r="E63" s="1" t="str">
        <f>IF('1.1 Produksi Bersih Padi 2025'!E63="","",'1.1 Produksi Bersih Padi 2025'!E63)</f>
        <v/>
      </c>
      <c r="F63" s="28" t="str">
        <f>IF(D63="","",VLOOKUP(D63,'[1]0.1 Produksi Pangan &amp; Penduduk'!$D$5:$AK$860,34,0))</f>
        <v/>
      </c>
      <c r="G63" s="29" t="str">
        <f t="shared" si="0"/>
        <v/>
      </c>
      <c r="H63" s="29" t="str">
        <f t="shared" si="1"/>
        <v/>
      </c>
      <c r="I63" s="29" t="str">
        <f t="shared" si="2"/>
        <v/>
      </c>
      <c r="J63" s="29" t="str">
        <f t="shared" si="3"/>
        <v/>
      </c>
      <c r="K63" s="29" t="str">
        <f t="shared" si="4"/>
        <v/>
      </c>
      <c r="M63" s="11"/>
    </row>
    <row r="64" spans="1:13" ht="15" x14ac:dyDescent="0.25">
      <c r="A64" s="1" t="str">
        <f>IF('1.1 Produksi Bersih Padi 2025'!A64="","",'1.1 Produksi Bersih Padi 2025'!A64)</f>
        <v/>
      </c>
      <c r="B64" s="31" t="str">
        <f>IF('1.1 Produksi Bersih Padi 2025'!B64="","",'1.1 Produksi Bersih Padi 2025'!B64)</f>
        <v/>
      </c>
      <c r="C64" s="31" t="str">
        <f>IF('1.1 Produksi Bersih Padi 2025'!C64="","",'1.1 Produksi Bersih Padi 2025'!C64)</f>
        <v/>
      </c>
      <c r="D64" s="1" t="str">
        <f>IF('1.1 Produksi Bersih Padi 2025'!D64="","",'1.1 Produksi Bersih Padi 2025'!D64)</f>
        <v/>
      </c>
      <c r="E64" s="1" t="str">
        <f>IF('1.1 Produksi Bersih Padi 2025'!E64="","",'1.1 Produksi Bersih Padi 2025'!E64)</f>
        <v/>
      </c>
      <c r="F64" s="28" t="str">
        <f>IF(D64="","",VLOOKUP(D64,'[1]0.1 Produksi Pangan &amp; Penduduk'!$D$5:$AK$860,34,0))</f>
        <v/>
      </c>
      <c r="G64" s="29" t="str">
        <f t="shared" si="0"/>
        <v/>
      </c>
      <c r="H64" s="29" t="str">
        <f t="shared" si="1"/>
        <v/>
      </c>
      <c r="I64" s="29" t="str">
        <f t="shared" si="2"/>
        <v/>
      </c>
      <c r="J64" s="29" t="str">
        <f t="shared" si="3"/>
        <v/>
      </c>
      <c r="K64" s="29" t="str">
        <f t="shared" si="4"/>
        <v/>
      </c>
      <c r="M64" s="11"/>
    </row>
    <row r="65" spans="1:13" ht="15" x14ac:dyDescent="0.25">
      <c r="A65" s="1" t="str">
        <f>IF('1.1 Produksi Bersih Padi 2025'!A65="","",'1.1 Produksi Bersih Padi 2025'!A65)</f>
        <v/>
      </c>
      <c r="B65" s="31" t="str">
        <f>IF('1.1 Produksi Bersih Padi 2025'!B65="","",'1.1 Produksi Bersih Padi 2025'!B65)</f>
        <v/>
      </c>
      <c r="C65" s="31" t="str">
        <f>IF('1.1 Produksi Bersih Padi 2025'!C65="","",'1.1 Produksi Bersih Padi 2025'!C65)</f>
        <v/>
      </c>
      <c r="D65" s="1" t="str">
        <f>IF('1.1 Produksi Bersih Padi 2025'!D65="","",'1.1 Produksi Bersih Padi 2025'!D65)</f>
        <v/>
      </c>
      <c r="E65" s="1" t="str">
        <f>IF('1.1 Produksi Bersih Padi 2025'!E65="","",'1.1 Produksi Bersih Padi 2025'!E65)</f>
        <v/>
      </c>
      <c r="F65" s="28" t="str">
        <f>IF(D65="","",VLOOKUP(D65,'[1]0.1 Produksi Pangan &amp; Penduduk'!$D$5:$AK$860,34,0))</f>
        <v/>
      </c>
      <c r="G65" s="29" t="str">
        <f t="shared" si="0"/>
        <v/>
      </c>
      <c r="H65" s="29" t="str">
        <f t="shared" si="1"/>
        <v/>
      </c>
      <c r="I65" s="29" t="str">
        <f t="shared" si="2"/>
        <v/>
      </c>
      <c r="J65" s="29" t="str">
        <f t="shared" si="3"/>
        <v/>
      </c>
      <c r="K65" s="29" t="str">
        <f t="shared" si="4"/>
        <v/>
      </c>
      <c r="M65" s="11"/>
    </row>
    <row r="66" spans="1:13" ht="15" x14ac:dyDescent="0.25">
      <c r="A66" s="1" t="str">
        <f>IF('1.1 Produksi Bersih Padi 2025'!A66="","",'1.1 Produksi Bersih Padi 2025'!A66)</f>
        <v/>
      </c>
      <c r="B66" s="31" t="str">
        <f>IF('1.1 Produksi Bersih Padi 2025'!B66="","",'1.1 Produksi Bersih Padi 2025'!B66)</f>
        <v/>
      </c>
      <c r="C66" s="31" t="str">
        <f>IF('1.1 Produksi Bersih Padi 2025'!C66="","",'1.1 Produksi Bersih Padi 2025'!C66)</f>
        <v/>
      </c>
      <c r="D66" s="1" t="str">
        <f>IF('1.1 Produksi Bersih Padi 2025'!D66="","",'1.1 Produksi Bersih Padi 2025'!D66)</f>
        <v/>
      </c>
      <c r="E66" s="1" t="str">
        <f>IF('1.1 Produksi Bersih Padi 2025'!E66="","",'1.1 Produksi Bersih Padi 2025'!E66)</f>
        <v/>
      </c>
      <c r="F66" s="28" t="str">
        <f>IF(D66="","",VLOOKUP(D66,'[1]0.1 Produksi Pangan &amp; Penduduk'!$D$5:$AK$860,34,0))</f>
        <v/>
      </c>
      <c r="G66" s="29" t="str">
        <f t="shared" si="0"/>
        <v/>
      </c>
      <c r="H66" s="29" t="str">
        <f t="shared" si="1"/>
        <v/>
      </c>
      <c r="I66" s="29" t="str">
        <f t="shared" si="2"/>
        <v/>
      </c>
      <c r="J66" s="29" t="str">
        <f t="shared" si="3"/>
        <v/>
      </c>
      <c r="K66" s="29" t="str">
        <f t="shared" si="4"/>
        <v/>
      </c>
      <c r="M66" s="11"/>
    </row>
    <row r="67" spans="1:13" ht="15" x14ac:dyDescent="0.25">
      <c r="A67" s="1" t="str">
        <f>IF('1.1 Produksi Bersih Padi 2025'!A67="","",'1.1 Produksi Bersih Padi 2025'!A67)</f>
        <v/>
      </c>
      <c r="B67" s="31" t="str">
        <f>IF('1.1 Produksi Bersih Padi 2025'!B67="","",'1.1 Produksi Bersih Padi 2025'!B67)</f>
        <v/>
      </c>
      <c r="C67" s="31" t="str">
        <f>IF('1.1 Produksi Bersih Padi 2025'!C67="","",'1.1 Produksi Bersih Padi 2025'!C67)</f>
        <v/>
      </c>
      <c r="D67" s="1" t="str">
        <f>IF('1.1 Produksi Bersih Padi 2025'!D67="","",'1.1 Produksi Bersih Padi 2025'!D67)</f>
        <v/>
      </c>
      <c r="E67" s="1" t="str">
        <f>IF('1.1 Produksi Bersih Padi 2025'!E67="","",'1.1 Produksi Bersih Padi 2025'!E67)</f>
        <v/>
      </c>
      <c r="F67" s="28" t="str">
        <f>IF(D67="","",VLOOKUP(D67,'[1]0.1 Produksi Pangan &amp; Penduduk'!$D$5:$AK$860,34,0))</f>
        <v/>
      </c>
      <c r="G67" s="29" t="str">
        <f t="shared" si="0"/>
        <v/>
      </c>
      <c r="H67" s="29" t="str">
        <f t="shared" si="1"/>
        <v/>
      </c>
      <c r="I67" s="29" t="str">
        <f t="shared" si="2"/>
        <v/>
      </c>
      <c r="J67" s="29" t="str">
        <f t="shared" si="3"/>
        <v/>
      </c>
      <c r="K67" s="29" t="str">
        <f t="shared" si="4"/>
        <v/>
      </c>
      <c r="M67" s="11"/>
    </row>
    <row r="68" spans="1:13" ht="15" x14ac:dyDescent="0.25">
      <c r="A68" s="1" t="str">
        <f>IF('1.1 Produksi Bersih Padi 2025'!A68="","",'1.1 Produksi Bersih Padi 2025'!A68)</f>
        <v/>
      </c>
      <c r="B68" s="31" t="str">
        <f>IF('1.1 Produksi Bersih Padi 2025'!B68="","",'1.1 Produksi Bersih Padi 2025'!B68)</f>
        <v/>
      </c>
      <c r="C68" s="31" t="str">
        <f>IF('1.1 Produksi Bersih Padi 2025'!C68="","",'1.1 Produksi Bersih Padi 2025'!C68)</f>
        <v/>
      </c>
      <c r="D68" s="1" t="str">
        <f>IF('1.1 Produksi Bersih Padi 2025'!D68="","",'1.1 Produksi Bersih Padi 2025'!D68)</f>
        <v/>
      </c>
      <c r="E68" s="1" t="str">
        <f>IF('1.1 Produksi Bersih Padi 2025'!E68="","",'1.1 Produksi Bersih Padi 2025'!E68)</f>
        <v/>
      </c>
      <c r="F68" s="28" t="str">
        <f>IF(D68="","",VLOOKUP(D68,'[1]0.1 Produksi Pangan &amp; Penduduk'!$D$5:$AK$860,34,0))</f>
        <v/>
      </c>
      <c r="G68" s="29" t="str">
        <f t="shared" si="0"/>
        <v/>
      </c>
      <c r="H68" s="29" t="str">
        <f t="shared" si="1"/>
        <v/>
      </c>
      <c r="I68" s="29" t="str">
        <f t="shared" si="2"/>
        <v/>
      </c>
      <c r="J68" s="29" t="str">
        <f t="shared" si="3"/>
        <v/>
      </c>
      <c r="K68" s="29" t="str">
        <f t="shared" si="4"/>
        <v/>
      </c>
      <c r="M68" s="11"/>
    </row>
    <row r="69" spans="1:13" ht="15" x14ac:dyDescent="0.25">
      <c r="A69" s="1" t="str">
        <f>IF('1.1 Produksi Bersih Padi 2025'!A69="","",'1.1 Produksi Bersih Padi 2025'!A69)</f>
        <v/>
      </c>
      <c r="B69" s="31" t="str">
        <f>IF('1.1 Produksi Bersih Padi 2025'!B69="","",'1.1 Produksi Bersih Padi 2025'!B69)</f>
        <v/>
      </c>
      <c r="C69" s="31" t="str">
        <f>IF('1.1 Produksi Bersih Padi 2025'!C69="","",'1.1 Produksi Bersih Padi 2025'!C69)</f>
        <v/>
      </c>
      <c r="D69" s="1" t="str">
        <f>IF('1.1 Produksi Bersih Padi 2025'!D69="","",'1.1 Produksi Bersih Padi 2025'!D69)</f>
        <v/>
      </c>
      <c r="E69" s="1" t="str">
        <f>IF('1.1 Produksi Bersih Padi 2025'!E69="","",'1.1 Produksi Bersih Padi 2025'!E69)</f>
        <v/>
      </c>
      <c r="F69" s="28" t="str">
        <f>IF(D69="","",VLOOKUP(D69,'[1]0.1 Produksi Pangan &amp; Penduduk'!$D$5:$AK$860,34,0))</f>
        <v/>
      </c>
      <c r="G69" s="29" t="str">
        <f t="shared" si="0"/>
        <v/>
      </c>
      <c r="H69" s="29" t="str">
        <f t="shared" si="1"/>
        <v/>
      </c>
      <c r="I69" s="29" t="str">
        <f t="shared" si="2"/>
        <v/>
      </c>
      <c r="J69" s="29" t="str">
        <f t="shared" si="3"/>
        <v/>
      </c>
      <c r="K69" s="29" t="str">
        <f t="shared" si="4"/>
        <v/>
      </c>
      <c r="M69" s="11"/>
    </row>
    <row r="70" spans="1:13" ht="15" x14ac:dyDescent="0.25">
      <c r="A70" s="1" t="str">
        <f>IF('1.1 Produksi Bersih Padi 2025'!A70="","",'1.1 Produksi Bersih Padi 2025'!A70)</f>
        <v/>
      </c>
      <c r="B70" s="31" t="str">
        <f>IF('1.1 Produksi Bersih Padi 2025'!B70="","",'1.1 Produksi Bersih Padi 2025'!B70)</f>
        <v/>
      </c>
      <c r="C70" s="31" t="str">
        <f>IF('1.1 Produksi Bersih Padi 2025'!C70="","",'1.1 Produksi Bersih Padi 2025'!C70)</f>
        <v/>
      </c>
      <c r="D70" s="1" t="str">
        <f>IF('1.1 Produksi Bersih Padi 2025'!D70="","",'1.1 Produksi Bersih Padi 2025'!D70)</f>
        <v/>
      </c>
      <c r="E70" s="1" t="str">
        <f>IF('1.1 Produksi Bersih Padi 2025'!E70="","",'1.1 Produksi Bersih Padi 2025'!E70)</f>
        <v/>
      </c>
      <c r="F70" s="28" t="str">
        <f>IF(D70="","",VLOOKUP(D70,'[1]0.1 Produksi Pangan &amp; Penduduk'!$D$5:$AK$860,34,0))</f>
        <v/>
      </c>
      <c r="G70" s="29" t="str">
        <f t="shared" ref="G70:G133" si="5">IF(F70="","",F70*0%)</f>
        <v/>
      </c>
      <c r="H70" s="29" t="str">
        <f t="shared" ref="H70:H133" si="6">IF(F70="","",F70*0%)</f>
        <v/>
      </c>
      <c r="I70" s="29" t="str">
        <f t="shared" ref="I70:I133" si="7">IF(F70="","",F70*0.72%)</f>
        <v/>
      </c>
      <c r="J70" s="29" t="str">
        <f t="shared" ref="J70:J133" si="8">IF(F70="","",F70-(G70+H70+I70))</f>
        <v/>
      </c>
      <c r="K70" s="29" t="str">
        <f t="shared" ref="K70:K133" si="9">IF(J70="","",J70*0.64)</f>
        <v/>
      </c>
      <c r="M70" s="11"/>
    </row>
    <row r="71" spans="1:13" ht="15" x14ac:dyDescent="0.25">
      <c r="A71" s="1" t="str">
        <f>IF('1.1 Produksi Bersih Padi 2025'!A71="","",'1.1 Produksi Bersih Padi 2025'!A71)</f>
        <v/>
      </c>
      <c r="B71" s="31" t="str">
        <f>IF('1.1 Produksi Bersih Padi 2025'!B71="","",'1.1 Produksi Bersih Padi 2025'!B71)</f>
        <v/>
      </c>
      <c r="C71" s="31" t="str">
        <f>IF('1.1 Produksi Bersih Padi 2025'!C71="","",'1.1 Produksi Bersih Padi 2025'!C71)</f>
        <v/>
      </c>
      <c r="D71" s="1" t="str">
        <f>IF('1.1 Produksi Bersih Padi 2025'!D71="","",'1.1 Produksi Bersih Padi 2025'!D71)</f>
        <v/>
      </c>
      <c r="E71" s="1" t="str">
        <f>IF('1.1 Produksi Bersih Padi 2025'!E71="","",'1.1 Produksi Bersih Padi 2025'!E71)</f>
        <v/>
      </c>
      <c r="F71" s="28" t="str">
        <f>IF(D71="","",VLOOKUP(D71,'[1]0.1 Produksi Pangan &amp; Penduduk'!$D$5:$AK$860,34,0))</f>
        <v/>
      </c>
      <c r="G71" s="29" t="str">
        <f t="shared" si="5"/>
        <v/>
      </c>
      <c r="H71" s="29" t="str">
        <f t="shared" si="6"/>
        <v/>
      </c>
      <c r="I71" s="29" t="str">
        <f t="shared" si="7"/>
        <v/>
      </c>
      <c r="J71" s="29" t="str">
        <f t="shared" si="8"/>
        <v/>
      </c>
      <c r="K71" s="29" t="str">
        <f t="shared" si="9"/>
        <v/>
      </c>
      <c r="M71" s="11"/>
    </row>
    <row r="72" spans="1:13" ht="15" x14ac:dyDescent="0.25">
      <c r="A72" s="1" t="str">
        <f>IF('1.1 Produksi Bersih Padi 2025'!A72="","",'1.1 Produksi Bersih Padi 2025'!A72)</f>
        <v/>
      </c>
      <c r="B72" s="31" t="str">
        <f>IF('1.1 Produksi Bersih Padi 2025'!B72="","",'1.1 Produksi Bersih Padi 2025'!B72)</f>
        <v/>
      </c>
      <c r="C72" s="31" t="str">
        <f>IF('1.1 Produksi Bersih Padi 2025'!C72="","",'1.1 Produksi Bersih Padi 2025'!C72)</f>
        <v/>
      </c>
      <c r="D72" s="1" t="str">
        <f>IF('1.1 Produksi Bersih Padi 2025'!D72="","",'1.1 Produksi Bersih Padi 2025'!D72)</f>
        <v/>
      </c>
      <c r="E72" s="1" t="str">
        <f>IF('1.1 Produksi Bersih Padi 2025'!E72="","",'1.1 Produksi Bersih Padi 2025'!E72)</f>
        <v/>
      </c>
      <c r="F72" s="28" t="str">
        <f>IF(D72="","",VLOOKUP(D72,'[1]0.1 Produksi Pangan &amp; Penduduk'!$D$5:$AK$860,34,0))</f>
        <v/>
      </c>
      <c r="G72" s="29" t="str">
        <f t="shared" si="5"/>
        <v/>
      </c>
      <c r="H72" s="29" t="str">
        <f t="shared" si="6"/>
        <v/>
      </c>
      <c r="I72" s="29" t="str">
        <f t="shared" si="7"/>
        <v/>
      </c>
      <c r="J72" s="29" t="str">
        <f t="shared" si="8"/>
        <v/>
      </c>
      <c r="K72" s="29" t="str">
        <f t="shared" si="9"/>
        <v/>
      </c>
      <c r="M72" s="11"/>
    </row>
    <row r="73" spans="1:13" ht="15" x14ac:dyDescent="0.25">
      <c r="A73" s="1" t="str">
        <f>IF('1.1 Produksi Bersih Padi 2025'!A73="","",'1.1 Produksi Bersih Padi 2025'!A73)</f>
        <v/>
      </c>
      <c r="B73" s="31" t="str">
        <f>IF('1.1 Produksi Bersih Padi 2025'!B73="","",'1.1 Produksi Bersih Padi 2025'!B73)</f>
        <v/>
      </c>
      <c r="C73" s="31" t="str">
        <f>IF('1.1 Produksi Bersih Padi 2025'!C73="","",'1.1 Produksi Bersih Padi 2025'!C73)</f>
        <v/>
      </c>
      <c r="D73" s="1" t="str">
        <f>IF('1.1 Produksi Bersih Padi 2025'!D73="","",'1.1 Produksi Bersih Padi 2025'!D73)</f>
        <v/>
      </c>
      <c r="E73" s="1" t="str">
        <f>IF('1.1 Produksi Bersih Padi 2025'!E73="","",'1.1 Produksi Bersih Padi 2025'!E73)</f>
        <v/>
      </c>
      <c r="F73" s="28" t="str">
        <f>IF(D73="","",VLOOKUP(D73,'[1]0.1 Produksi Pangan &amp; Penduduk'!$D$5:$AK$860,34,0))</f>
        <v/>
      </c>
      <c r="G73" s="29" t="str">
        <f t="shared" si="5"/>
        <v/>
      </c>
      <c r="H73" s="29" t="str">
        <f t="shared" si="6"/>
        <v/>
      </c>
      <c r="I73" s="29" t="str">
        <f t="shared" si="7"/>
        <v/>
      </c>
      <c r="J73" s="29" t="str">
        <f t="shared" si="8"/>
        <v/>
      </c>
      <c r="K73" s="29" t="str">
        <f t="shared" si="9"/>
        <v/>
      </c>
      <c r="M73" s="11"/>
    </row>
    <row r="74" spans="1:13" ht="15" x14ac:dyDescent="0.25">
      <c r="A74" s="1" t="str">
        <f>IF('1.1 Produksi Bersih Padi 2025'!A74="","",'1.1 Produksi Bersih Padi 2025'!A74)</f>
        <v/>
      </c>
      <c r="B74" s="31" t="str">
        <f>IF('1.1 Produksi Bersih Padi 2025'!B74="","",'1.1 Produksi Bersih Padi 2025'!B74)</f>
        <v/>
      </c>
      <c r="C74" s="31" t="str">
        <f>IF('1.1 Produksi Bersih Padi 2025'!C74="","",'1.1 Produksi Bersih Padi 2025'!C74)</f>
        <v/>
      </c>
      <c r="D74" s="1" t="str">
        <f>IF('1.1 Produksi Bersih Padi 2025'!D74="","",'1.1 Produksi Bersih Padi 2025'!D74)</f>
        <v/>
      </c>
      <c r="E74" s="1" t="str">
        <f>IF('1.1 Produksi Bersih Padi 2025'!E74="","",'1.1 Produksi Bersih Padi 2025'!E74)</f>
        <v/>
      </c>
      <c r="F74" s="28" t="str">
        <f>IF(D74="","",VLOOKUP(D74,'[1]0.1 Produksi Pangan &amp; Penduduk'!$D$5:$AK$860,34,0))</f>
        <v/>
      </c>
      <c r="G74" s="29" t="str">
        <f t="shared" si="5"/>
        <v/>
      </c>
      <c r="H74" s="29" t="str">
        <f t="shared" si="6"/>
        <v/>
      </c>
      <c r="I74" s="29" t="str">
        <f t="shared" si="7"/>
        <v/>
      </c>
      <c r="J74" s="29" t="str">
        <f t="shared" si="8"/>
        <v/>
      </c>
      <c r="K74" s="29" t="str">
        <f t="shared" si="9"/>
        <v/>
      </c>
      <c r="M74" s="11"/>
    </row>
    <row r="75" spans="1:13" ht="15" x14ac:dyDescent="0.25">
      <c r="A75" s="1" t="str">
        <f>IF('1.1 Produksi Bersih Padi 2025'!A75="","",'1.1 Produksi Bersih Padi 2025'!A75)</f>
        <v/>
      </c>
      <c r="B75" s="31" t="str">
        <f>IF('1.1 Produksi Bersih Padi 2025'!B75="","",'1.1 Produksi Bersih Padi 2025'!B75)</f>
        <v/>
      </c>
      <c r="C75" s="31" t="str">
        <f>IF('1.1 Produksi Bersih Padi 2025'!C75="","",'1.1 Produksi Bersih Padi 2025'!C75)</f>
        <v/>
      </c>
      <c r="D75" s="1" t="str">
        <f>IF('1.1 Produksi Bersih Padi 2025'!D75="","",'1.1 Produksi Bersih Padi 2025'!D75)</f>
        <v/>
      </c>
      <c r="E75" s="1" t="str">
        <f>IF('1.1 Produksi Bersih Padi 2025'!E75="","",'1.1 Produksi Bersih Padi 2025'!E75)</f>
        <v/>
      </c>
      <c r="F75" s="28" t="str">
        <f>IF(D75="","",VLOOKUP(D75,'[1]0.1 Produksi Pangan &amp; Penduduk'!$D$5:$AK$860,34,0))</f>
        <v/>
      </c>
      <c r="G75" s="29" t="str">
        <f t="shared" si="5"/>
        <v/>
      </c>
      <c r="H75" s="29" t="str">
        <f t="shared" si="6"/>
        <v/>
      </c>
      <c r="I75" s="29" t="str">
        <f t="shared" si="7"/>
        <v/>
      </c>
      <c r="J75" s="29" t="str">
        <f t="shared" si="8"/>
        <v/>
      </c>
      <c r="K75" s="29" t="str">
        <f t="shared" si="9"/>
        <v/>
      </c>
      <c r="M75" s="11"/>
    </row>
    <row r="76" spans="1:13" ht="15" x14ac:dyDescent="0.25">
      <c r="A76" s="1" t="str">
        <f>IF('1.1 Produksi Bersih Padi 2025'!A76="","",'1.1 Produksi Bersih Padi 2025'!A76)</f>
        <v/>
      </c>
      <c r="B76" s="31" t="str">
        <f>IF('1.1 Produksi Bersih Padi 2025'!B76="","",'1.1 Produksi Bersih Padi 2025'!B76)</f>
        <v/>
      </c>
      <c r="C76" s="31" t="str">
        <f>IF('1.1 Produksi Bersih Padi 2025'!C76="","",'1.1 Produksi Bersih Padi 2025'!C76)</f>
        <v/>
      </c>
      <c r="D76" s="1" t="str">
        <f>IF('1.1 Produksi Bersih Padi 2025'!D76="","",'1.1 Produksi Bersih Padi 2025'!D76)</f>
        <v/>
      </c>
      <c r="E76" s="1" t="str">
        <f>IF('1.1 Produksi Bersih Padi 2025'!E76="","",'1.1 Produksi Bersih Padi 2025'!E76)</f>
        <v/>
      </c>
      <c r="F76" s="28" t="str">
        <f>IF(D76="","",VLOOKUP(D76,'[1]0.1 Produksi Pangan &amp; Penduduk'!$D$5:$AK$860,34,0))</f>
        <v/>
      </c>
      <c r="G76" s="29" t="str">
        <f t="shared" si="5"/>
        <v/>
      </c>
      <c r="H76" s="29" t="str">
        <f t="shared" si="6"/>
        <v/>
      </c>
      <c r="I76" s="29" t="str">
        <f t="shared" si="7"/>
        <v/>
      </c>
      <c r="J76" s="29" t="str">
        <f t="shared" si="8"/>
        <v/>
      </c>
      <c r="K76" s="29" t="str">
        <f t="shared" si="9"/>
        <v/>
      </c>
      <c r="M76" s="11"/>
    </row>
    <row r="77" spans="1:13" ht="15" x14ac:dyDescent="0.25">
      <c r="A77" s="1" t="str">
        <f>IF('1.1 Produksi Bersih Padi 2025'!A77="","",'1.1 Produksi Bersih Padi 2025'!A77)</f>
        <v/>
      </c>
      <c r="B77" s="31" t="str">
        <f>IF('1.1 Produksi Bersih Padi 2025'!B77="","",'1.1 Produksi Bersih Padi 2025'!B77)</f>
        <v/>
      </c>
      <c r="C77" s="31" t="str">
        <f>IF('1.1 Produksi Bersih Padi 2025'!C77="","",'1.1 Produksi Bersih Padi 2025'!C77)</f>
        <v/>
      </c>
      <c r="D77" s="1" t="str">
        <f>IF('1.1 Produksi Bersih Padi 2025'!D77="","",'1.1 Produksi Bersih Padi 2025'!D77)</f>
        <v/>
      </c>
      <c r="E77" s="1" t="str">
        <f>IF('1.1 Produksi Bersih Padi 2025'!E77="","",'1.1 Produksi Bersih Padi 2025'!E77)</f>
        <v/>
      </c>
      <c r="F77" s="28" t="str">
        <f>IF(D77="","",VLOOKUP(D77,'[1]0.1 Produksi Pangan &amp; Penduduk'!$D$5:$AK$860,34,0))</f>
        <v/>
      </c>
      <c r="G77" s="29" t="str">
        <f t="shared" si="5"/>
        <v/>
      </c>
      <c r="H77" s="29" t="str">
        <f t="shared" si="6"/>
        <v/>
      </c>
      <c r="I77" s="29" t="str">
        <f t="shared" si="7"/>
        <v/>
      </c>
      <c r="J77" s="29" t="str">
        <f t="shared" si="8"/>
        <v/>
      </c>
      <c r="K77" s="29" t="str">
        <f t="shared" si="9"/>
        <v/>
      </c>
      <c r="M77" s="11"/>
    </row>
    <row r="78" spans="1:13" ht="15" x14ac:dyDescent="0.25">
      <c r="A78" s="1" t="str">
        <f>IF('1.1 Produksi Bersih Padi 2025'!A78="","",'1.1 Produksi Bersih Padi 2025'!A78)</f>
        <v/>
      </c>
      <c r="B78" s="31" t="str">
        <f>IF('1.1 Produksi Bersih Padi 2025'!B78="","",'1.1 Produksi Bersih Padi 2025'!B78)</f>
        <v/>
      </c>
      <c r="C78" s="31" t="str">
        <f>IF('1.1 Produksi Bersih Padi 2025'!C78="","",'1.1 Produksi Bersih Padi 2025'!C78)</f>
        <v/>
      </c>
      <c r="D78" s="1" t="str">
        <f>IF('1.1 Produksi Bersih Padi 2025'!D78="","",'1.1 Produksi Bersih Padi 2025'!D78)</f>
        <v/>
      </c>
      <c r="E78" s="1" t="str">
        <f>IF('1.1 Produksi Bersih Padi 2025'!E78="","",'1.1 Produksi Bersih Padi 2025'!E78)</f>
        <v/>
      </c>
      <c r="F78" s="28" t="str">
        <f>IF(D78="","",VLOOKUP(D78,'[1]0.1 Produksi Pangan &amp; Penduduk'!$D$5:$AK$860,34,0))</f>
        <v/>
      </c>
      <c r="G78" s="29" t="str">
        <f t="shared" si="5"/>
        <v/>
      </c>
      <c r="H78" s="29" t="str">
        <f t="shared" si="6"/>
        <v/>
      </c>
      <c r="I78" s="29" t="str">
        <f t="shared" si="7"/>
        <v/>
      </c>
      <c r="J78" s="29" t="str">
        <f t="shared" si="8"/>
        <v/>
      </c>
      <c r="K78" s="29" t="str">
        <f t="shared" si="9"/>
        <v/>
      </c>
      <c r="M78" s="11"/>
    </row>
    <row r="79" spans="1:13" ht="15" x14ac:dyDescent="0.25">
      <c r="A79" s="1" t="str">
        <f>IF('1.1 Produksi Bersih Padi 2025'!A79="","",'1.1 Produksi Bersih Padi 2025'!A79)</f>
        <v/>
      </c>
      <c r="B79" s="31" t="str">
        <f>IF('1.1 Produksi Bersih Padi 2025'!B79="","",'1.1 Produksi Bersih Padi 2025'!B79)</f>
        <v/>
      </c>
      <c r="C79" s="31" t="str">
        <f>IF('1.1 Produksi Bersih Padi 2025'!C79="","",'1.1 Produksi Bersih Padi 2025'!C79)</f>
        <v/>
      </c>
      <c r="D79" s="1" t="str">
        <f>IF('1.1 Produksi Bersih Padi 2025'!D79="","",'1.1 Produksi Bersih Padi 2025'!D79)</f>
        <v/>
      </c>
      <c r="E79" s="1" t="str">
        <f>IF('1.1 Produksi Bersih Padi 2025'!E79="","",'1.1 Produksi Bersih Padi 2025'!E79)</f>
        <v/>
      </c>
      <c r="F79" s="28" t="str">
        <f>IF(D79="","",VLOOKUP(D79,'[1]0.1 Produksi Pangan &amp; Penduduk'!$D$5:$AK$860,34,0))</f>
        <v/>
      </c>
      <c r="G79" s="29" t="str">
        <f t="shared" si="5"/>
        <v/>
      </c>
      <c r="H79" s="29" t="str">
        <f t="shared" si="6"/>
        <v/>
      </c>
      <c r="I79" s="29" t="str">
        <f t="shared" si="7"/>
        <v/>
      </c>
      <c r="J79" s="29" t="str">
        <f t="shared" si="8"/>
        <v/>
      </c>
      <c r="K79" s="29" t="str">
        <f t="shared" si="9"/>
        <v/>
      </c>
      <c r="M79" s="11"/>
    </row>
    <row r="80" spans="1:13" ht="15" x14ac:dyDescent="0.25">
      <c r="A80" s="1" t="str">
        <f>IF('1.1 Produksi Bersih Padi 2025'!A80="","",'1.1 Produksi Bersih Padi 2025'!A80)</f>
        <v/>
      </c>
      <c r="B80" s="31" t="str">
        <f>IF('1.1 Produksi Bersih Padi 2025'!B80="","",'1.1 Produksi Bersih Padi 2025'!B80)</f>
        <v/>
      </c>
      <c r="C80" s="31" t="str">
        <f>IF('1.1 Produksi Bersih Padi 2025'!C80="","",'1.1 Produksi Bersih Padi 2025'!C80)</f>
        <v/>
      </c>
      <c r="D80" s="1" t="str">
        <f>IF('1.1 Produksi Bersih Padi 2025'!D80="","",'1.1 Produksi Bersih Padi 2025'!D80)</f>
        <v/>
      </c>
      <c r="E80" s="1" t="str">
        <f>IF('1.1 Produksi Bersih Padi 2025'!E80="","",'1.1 Produksi Bersih Padi 2025'!E80)</f>
        <v/>
      </c>
      <c r="F80" s="28" t="str">
        <f>IF(D80="","",VLOOKUP(D80,'[1]0.1 Produksi Pangan &amp; Penduduk'!$D$5:$AK$860,34,0))</f>
        <v/>
      </c>
      <c r="G80" s="29" t="str">
        <f t="shared" si="5"/>
        <v/>
      </c>
      <c r="H80" s="29" t="str">
        <f t="shared" si="6"/>
        <v/>
      </c>
      <c r="I80" s="29" t="str">
        <f t="shared" si="7"/>
        <v/>
      </c>
      <c r="J80" s="29" t="str">
        <f t="shared" si="8"/>
        <v/>
      </c>
      <c r="K80" s="29" t="str">
        <f t="shared" si="9"/>
        <v/>
      </c>
      <c r="M80" s="11"/>
    </row>
    <row r="81" spans="1:13" ht="15" x14ac:dyDescent="0.25">
      <c r="A81" s="1" t="str">
        <f>IF('1.1 Produksi Bersih Padi 2025'!A81="","",'1.1 Produksi Bersih Padi 2025'!A81)</f>
        <v/>
      </c>
      <c r="B81" s="31" t="str">
        <f>IF('1.1 Produksi Bersih Padi 2025'!B81="","",'1.1 Produksi Bersih Padi 2025'!B81)</f>
        <v/>
      </c>
      <c r="C81" s="31" t="str">
        <f>IF('1.1 Produksi Bersih Padi 2025'!C81="","",'1.1 Produksi Bersih Padi 2025'!C81)</f>
        <v/>
      </c>
      <c r="D81" s="1" t="str">
        <f>IF('1.1 Produksi Bersih Padi 2025'!D81="","",'1.1 Produksi Bersih Padi 2025'!D81)</f>
        <v/>
      </c>
      <c r="E81" s="1" t="str">
        <f>IF('1.1 Produksi Bersih Padi 2025'!E81="","",'1.1 Produksi Bersih Padi 2025'!E81)</f>
        <v/>
      </c>
      <c r="F81" s="28" t="str">
        <f>IF(D81="","",VLOOKUP(D81,'[1]0.1 Produksi Pangan &amp; Penduduk'!$D$5:$AK$860,34,0))</f>
        <v/>
      </c>
      <c r="G81" s="29" t="str">
        <f t="shared" si="5"/>
        <v/>
      </c>
      <c r="H81" s="29" t="str">
        <f t="shared" si="6"/>
        <v/>
      </c>
      <c r="I81" s="29" t="str">
        <f t="shared" si="7"/>
        <v/>
      </c>
      <c r="J81" s="29" t="str">
        <f t="shared" si="8"/>
        <v/>
      </c>
      <c r="K81" s="29" t="str">
        <f t="shared" si="9"/>
        <v/>
      </c>
      <c r="M81" s="11"/>
    </row>
    <row r="82" spans="1:13" ht="15" x14ac:dyDescent="0.25">
      <c r="A82" s="1" t="str">
        <f>IF('1.1 Produksi Bersih Padi 2025'!A82="","",'1.1 Produksi Bersih Padi 2025'!A82)</f>
        <v/>
      </c>
      <c r="B82" s="31" t="str">
        <f>IF('1.1 Produksi Bersih Padi 2025'!B82="","",'1.1 Produksi Bersih Padi 2025'!B82)</f>
        <v/>
      </c>
      <c r="C82" s="31" t="str">
        <f>IF('1.1 Produksi Bersih Padi 2025'!C82="","",'1.1 Produksi Bersih Padi 2025'!C82)</f>
        <v/>
      </c>
      <c r="D82" s="1" t="str">
        <f>IF('1.1 Produksi Bersih Padi 2025'!D82="","",'1.1 Produksi Bersih Padi 2025'!D82)</f>
        <v/>
      </c>
      <c r="E82" s="1" t="str">
        <f>IF('1.1 Produksi Bersih Padi 2025'!E82="","",'1.1 Produksi Bersih Padi 2025'!E82)</f>
        <v/>
      </c>
      <c r="F82" s="28" t="str">
        <f>IF(D82="","",VLOOKUP(D82,'[1]0.1 Produksi Pangan &amp; Penduduk'!$D$5:$AK$860,34,0))</f>
        <v/>
      </c>
      <c r="G82" s="29" t="str">
        <f t="shared" si="5"/>
        <v/>
      </c>
      <c r="H82" s="29" t="str">
        <f t="shared" si="6"/>
        <v/>
      </c>
      <c r="I82" s="29" t="str">
        <f t="shared" si="7"/>
        <v/>
      </c>
      <c r="J82" s="29" t="str">
        <f t="shared" si="8"/>
        <v/>
      </c>
      <c r="K82" s="29" t="str">
        <f t="shared" si="9"/>
        <v/>
      </c>
      <c r="M82" s="11"/>
    </row>
    <row r="83" spans="1:13" ht="15" x14ac:dyDescent="0.25">
      <c r="A83" s="1" t="str">
        <f>IF('1.1 Produksi Bersih Padi 2025'!A83="","",'1.1 Produksi Bersih Padi 2025'!A83)</f>
        <v/>
      </c>
      <c r="B83" s="31" t="str">
        <f>IF('1.1 Produksi Bersih Padi 2025'!B83="","",'1.1 Produksi Bersih Padi 2025'!B83)</f>
        <v/>
      </c>
      <c r="C83" s="31" t="str">
        <f>IF('1.1 Produksi Bersih Padi 2025'!C83="","",'1.1 Produksi Bersih Padi 2025'!C83)</f>
        <v/>
      </c>
      <c r="D83" s="1" t="str">
        <f>IF('1.1 Produksi Bersih Padi 2025'!D83="","",'1.1 Produksi Bersih Padi 2025'!D83)</f>
        <v/>
      </c>
      <c r="E83" s="1" t="str">
        <f>IF('1.1 Produksi Bersih Padi 2025'!E83="","",'1.1 Produksi Bersih Padi 2025'!E83)</f>
        <v/>
      </c>
      <c r="F83" s="28" t="str">
        <f>IF(D83="","",VLOOKUP(D83,'[1]0.1 Produksi Pangan &amp; Penduduk'!$D$5:$AK$860,34,0))</f>
        <v/>
      </c>
      <c r="G83" s="29" t="str">
        <f t="shared" si="5"/>
        <v/>
      </c>
      <c r="H83" s="29" t="str">
        <f t="shared" si="6"/>
        <v/>
      </c>
      <c r="I83" s="29" t="str">
        <f t="shared" si="7"/>
        <v/>
      </c>
      <c r="J83" s="29" t="str">
        <f t="shared" si="8"/>
        <v/>
      </c>
      <c r="K83" s="29" t="str">
        <f t="shared" si="9"/>
        <v/>
      </c>
      <c r="M83" s="11"/>
    </row>
    <row r="84" spans="1:13" ht="15" x14ac:dyDescent="0.25">
      <c r="A84" s="1" t="str">
        <f>IF('1.1 Produksi Bersih Padi 2025'!A84="","",'1.1 Produksi Bersih Padi 2025'!A84)</f>
        <v/>
      </c>
      <c r="B84" s="31" t="str">
        <f>IF('1.1 Produksi Bersih Padi 2025'!B84="","",'1.1 Produksi Bersih Padi 2025'!B84)</f>
        <v/>
      </c>
      <c r="C84" s="31" t="str">
        <f>IF('1.1 Produksi Bersih Padi 2025'!C84="","",'1.1 Produksi Bersih Padi 2025'!C84)</f>
        <v/>
      </c>
      <c r="D84" s="1" t="str">
        <f>IF('1.1 Produksi Bersih Padi 2025'!D84="","",'1.1 Produksi Bersih Padi 2025'!D84)</f>
        <v/>
      </c>
      <c r="E84" s="1" t="str">
        <f>IF('1.1 Produksi Bersih Padi 2025'!E84="","",'1.1 Produksi Bersih Padi 2025'!E84)</f>
        <v/>
      </c>
      <c r="F84" s="28" t="str">
        <f>IF(D84="","",VLOOKUP(D84,'[1]0.1 Produksi Pangan &amp; Penduduk'!$D$5:$AK$860,34,0))</f>
        <v/>
      </c>
      <c r="G84" s="29" t="str">
        <f t="shared" si="5"/>
        <v/>
      </c>
      <c r="H84" s="29" t="str">
        <f t="shared" si="6"/>
        <v/>
      </c>
      <c r="I84" s="29" t="str">
        <f t="shared" si="7"/>
        <v/>
      </c>
      <c r="J84" s="29" t="str">
        <f t="shared" si="8"/>
        <v/>
      </c>
      <c r="K84" s="29" t="str">
        <f t="shared" si="9"/>
        <v/>
      </c>
      <c r="M84" s="11"/>
    </row>
    <row r="85" spans="1:13" ht="15" x14ac:dyDescent="0.25">
      <c r="A85" s="1" t="str">
        <f>IF('1.1 Produksi Bersih Padi 2025'!A85="","",'1.1 Produksi Bersih Padi 2025'!A85)</f>
        <v/>
      </c>
      <c r="B85" s="31" t="str">
        <f>IF('1.1 Produksi Bersih Padi 2025'!B85="","",'1.1 Produksi Bersih Padi 2025'!B85)</f>
        <v/>
      </c>
      <c r="C85" s="31" t="str">
        <f>IF('1.1 Produksi Bersih Padi 2025'!C85="","",'1.1 Produksi Bersih Padi 2025'!C85)</f>
        <v/>
      </c>
      <c r="D85" s="1" t="str">
        <f>IF('1.1 Produksi Bersih Padi 2025'!D85="","",'1.1 Produksi Bersih Padi 2025'!D85)</f>
        <v/>
      </c>
      <c r="E85" s="1" t="str">
        <f>IF('1.1 Produksi Bersih Padi 2025'!E85="","",'1.1 Produksi Bersih Padi 2025'!E85)</f>
        <v/>
      </c>
      <c r="F85" s="28" t="str">
        <f>IF(D85="","",VLOOKUP(D85,'[1]0.1 Produksi Pangan &amp; Penduduk'!$D$5:$AK$860,34,0))</f>
        <v/>
      </c>
      <c r="G85" s="29" t="str">
        <f t="shared" si="5"/>
        <v/>
      </c>
      <c r="H85" s="29" t="str">
        <f t="shared" si="6"/>
        <v/>
      </c>
      <c r="I85" s="29" t="str">
        <f t="shared" si="7"/>
        <v/>
      </c>
      <c r="J85" s="29" t="str">
        <f t="shared" si="8"/>
        <v/>
      </c>
      <c r="K85" s="29" t="str">
        <f t="shared" si="9"/>
        <v/>
      </c>
      <c r="M85" s="11"/>
    </row>
    <row r="86" spans="1:13" ht="15" x14ac:dyDescent="0.25">
      <c r="A86" s="1" t="str">
        <f>IF('1.1 Produksi Bersih Padi 2025'!A86="","",'1.1 Produksi Bersih Padi 2025'!A86)</f>
        <v/>
      </c>
      <c r="B86" s="31" t="str">
        <f>IF('1.1 Produksi Bersih Padi 2025'!B86="","",'1.1 Produksi Bersih Padi 2025'!B86)</f>
        <v/>
      </c>
      <c r="C86" s="31" t="str">
        <f>IF('1.1 Produksi Bersih Padi 2025'!C86="","",'1.1 Produksi Bersih Padi 2025'!C86)</f>
        <v/>
      </c>
      <c r="D86" s="1" t="str">
        <f>IF('1.1 Produksi Bersih Padi 2025'!D86="","",'1.1 Produksi Bersih Padi 2025'!D86)</f>
        <v/>
      </c>
      <c r="E86" s="1" t="str">
        <f>IF('1.1 Produksi Bersih Padi 2025'!E86="","",'1.1 Produksi Bersih Padi 2025'!E86)</f>
        <v/>
      </c>
      <c r="F86" s="28" t="str">
        <f>IF(D86="","",VLOOKUP(D86,'[1]0.1 Produksi Pangan &amp; Penduduk'!$D$5:$AK$860,34,0))</f>
        <v/>
      </c>
      <c r="G86" s="29" t="str">
        <f t="shared" si="5"/>
        <v/>
      </c>
      <c r="H86" s="29" t="str">
        <f t="shared" si="6"/>
        <v/>
      </c>
      <c r="I86" s="29" t="str">
        <f t="shared" si="7"/>
        <v/>
      </c>
      <c r="J86" s="29" t="str">
        <f t="shared" si="8"/>
        <v/>
      </c>
      <c r="K86" s="29" t="str">
        <f t="shared" si="9"/>
        <v/>
      </c>
      <c r="M86" s="11"/>
    </row>
    <row r="87" spans="1:13" ht="15" x14ac:dyDescent="0.25">
      <c r="A87" s="1" t="str">
        <f>IF('1.1 Produksi Bersih Padi 2025'!A87="","",'1.1 Produksi Bersih Padi 2025'!A87)</f>
        <v/>
      </c>
      <c r="B87" s="31" t="str">
        <f>IF('1.1 Produksi Bersih Padi 2025'!B87="","",'1.1 Produksi Bersih Padi 2025'!B87)</f>
        <v/>
      </c>
      <c r="C87" s="31" t="str">
        <f>IF('1.1 Produksi Bersih Padi 2025'!C87="","",'1.1 Produksi Bersih Padi 2025'!C87)</f>
        <v/>
      </c>
      <c r="D87" s="1" t="str">
        <f>IF('1.1 Produksi Bersih Padi 2025'!D87="","",'1.1 Produksi Bersih Padi 2025'!D87)</f>
        <v/>
      </c>
      <c r="E87" s="1" t="str">
        <f>IF('1.1 Produksi Bersih Padi 2025'!E87="","",'1.1 Produksi Bersih Padi 2025'!E87)</f>
        <v/>
      </c>
      <c r="F87" s="28" t="str">
        <f>IF(D87="","",VLOOKUP(D87,'[1]0.1 Produksi Pangan &amp; Penduduk'!$D$5:$AK$860,34,0))</f>
        <v/>
      </c>
      <c r="G87" s="29" t="str">
        <f t="shared" si="5"/>
        <v/>
      </c>
      <c r="H87" s="29" t="str">
        <f t="shared" si="6"/>
        <v/>
      </c>
      <c r="I87" s="29" t="str">
        <f t="shared" si="7"/>
        <v/>
      </c>
      <c r="J87" s="29" t="str">
        <f t="shared" si="8"/>
        <v/>
      </c>
      <c r="K87" s="29" t="str">
        <f t="shared" si="9"/>
        <v/>
      </c>
      <c r="M87" s="11"/>
    </row>
    <row r="88" spans="1:13" ht="15" x14ac:dyDescent="0.25">
      <c r="A88" s="1" t="str">
        <f>IF('1.1 Produksi Bersih Padi 2025'!A88="","",'1.1 Produksi Bersih Padi 2025'!A88)</f>
        <v/>
      </c>
      <c r="B88" s="31" t="str">
        <f>IF('1.1 Produksi Bersih Padi 2025'!B88="","",'1.1 Produksi Bersih Padi 2025'!B88)</f>
        <v/>
      </c>
      <c r="C88" s="31" t="str">
        <f>IF('1.1 Produksi Bersih Padi 2025'!C88="","",'1.1 Produksi Bersih Padi 2025'!C88)</f>
        <v/>
      </c>
      <c r="D88" s="1" t="str">
        <f>IF('1.1 Produksi Bersih Padi 2025'!D88="","",'1.1 Produksi Bersih Padi 2025'!D88)</f>
        <v/>
      </c>
      <c r="E88" s="1" t="str">
        <f>IF('1.1 Produksi Bersih Padi 2025'!E88="","",'1.1 Produksi Bersih Padi 2025'!E88)</f>
        <v/>
      </c>
      <c r="F88" s="28" t="str">
        <f>IF(D88="","",VLOOKUP(D88,'[1]0.1 Produksi Pangan &amp; Penduduk'!$D$5:$AK$860,34,0))</f>
        <v/>
      </c>
      <c r="G88" s="29" t="str">
        <f t="shared" si="5"/>
        <v/>
      </c>
      <c r="H88" s="29" t="str">
        <f t="shared" si="6"/>
        <v/>
      </c>
      <c r="I88" s="29" t="str">
        <f t="shared" si="7"/>
        <v/>
      </c>
      <c r="J88" s="29" t="str">
        <f t="shared" si="8"/>
        <v/>
      </c>
      <c r="K88" s="29" t="str">
        <f t="shared" si="9"/>
        <v/>
      </c>
      <c r="M88" s="11"/>
    </row>
    <row r="89" spans="1:13" ht="15" x14ac:dyDescent="0.25">
      <c r="A89" s="1" t="str">
        <f>IF('1.1 Produksi Bersih Padi 2025'!A89="","",'1.1 Produksi Bersih Padi 2025'!A89)</f>
        <v/>
      </c>
      <c r="B89" s="31" t="str">
        <f>IF('1.1 Produksi Bersih Padi 2025'!B89="","",'1.1 Produksi Bersih Padi 2025'!B89)</f>
        <v/>
      </c>
      <c r="C89" s="31" t="str">
        <f>IF('1.1 Produksi Bersih Padi 2025'!C89="","",'1.1 Produksi Bersih Padi 2025'!C89)</f>
        <v/>
      </c>
      <c r="D89" s="1" t="str">
        <f>IF('1.1 Produksi Bersih Padi 2025'!D89="","",'1.1 Produksi Bersih Padi 2025'!D89)</f>
        <v/>
      </c>
      <c r="E89" s="1" t="str">
        <f>IF('1.1 Produksi Bersih Padi 2025'!E89="","",'1.1 Produksi Bersih Padi 2025'!E89)</f>
        <v/>
      </c>
      <c r="F89" s="28" t="str">
        <f>IF(D89="","",VLOOKUP(D89,'[1]0.1 Produksi Pangan &amp; Penduduk'!$D$5:$AK$860,34,0))</f>
        <v/>
      </c>
      <c r="G89" s="29" t="str">
        <f t="shared" si="5"/>
        <v/>
      </c>
      <c r="H89" s="29" t="str">
        <f t="shared" si="6"/>
        <v/>
      </c>
      <c r="I89" s="29" t="str">
        <f t="shared" si="7"/>
        <v/>
      </c>
      <c r="J89" s="29" t="str">
        <f t="shared" si="8"/>
        <v/>
      </c>
      <c r="K89" s="29" t="str">
        <f t="shared" si="9"/>
        <v/>
      </c>
      <c r="M89" s="11"/>
    </row>
    <row r="90" spans="1:13" ht="15" x14ac:dyDescent="0.25">
      <c r="A90" s="1" t="str">
        <f>IF('1.1 Produksi Bersih Padi 2025'!A90="","",'1.1 Produksi Bersih Padi 2025'!A90)</f>
        <v/>
      </c>
      <c r="B90" s="31" t="str">
        <f>IF('1.1 Produksi Bersih Padi 2025'!B90="","",'1.1 Produksi Bersih Padi 2025'!B90)</f>
        <v/>
      </c>
      <c r="C90" s="31" t="str">
        <f>IF('1.1 Produksi Bersih Padi 2025'!C90="","",'1.1 Produksi Bersih Padi 2025'!C90)</f>
        <v/>
      </c>
      <c r="D90" s="1" t="str">
        <f>IF('1.1 Produksi Bersih Padi 2025'!D90="","",'1.1 Produksi Bersih Padi 2025'!D90)</f>
        <v/>
      </c>
      <c r="E90" s="1" t="str">
        <f>IF('1.1 Produksi Bersih Padi 2025'!E90="","",'1.1 Produksi Bersih Padi 2025'!E90)</f>
        <v/>
      </c>
      <c r="F90" s="28" t="str">
        <f>IF(D90="","",VLOOKUP(D90,'[1]0.1 Produksi Pangan &amp; Penduduk'!$D$5:$AK$860,34,0))</f>
        <v/>
      </c>
      <c r="G90" s="29" t="str">
        <f t="shared" si="5"/>
        <v/>
      </c>
      <c r="H90" s="29" t="str">
        <f t="shared" si="6"/>
        <v/>
      </c>
      <c r="I90" s="29" t="str">
        <f t="shared" si="7"/>
        <v/>
      </c>
      <c r="J90" s="29" t="str">
        <f t="shared" si="8"/>
        <v/>
      </c>
      <c r="K90" s="29" t="str">
        <f t="shared" si="9"/>
        <v/>
      </c>
      <c r="M90" s="11"/>
    </row>
    <row r="91" spans="1:13" ht="15" x14ac:dyDescent="0.25">
      <c r="A91" s="1" t="str">
        <f>IF('1.1 Produksi Bersih Padi 2025'!A91="","",'1.1 Produksi Bersih Padi 2025'!A91)</f>
        <v/>
      </c>
      <c r="B91" s="31" t="str">
        <f>IF('1.1 Produksi Bersih Padi 2025'!B91="","",'1.1 Produksi Bersih Padi 2025'!B91)</f>
        <v/>
      </c>
      <c r="C91" s="31" t="str">
        <f>IF('1.1 Produksi Bersih Padi 2025'!C91="","",'1.1 Produksi Bersih Padi 2025'!C91)</f>
        <v/>
      </c>
      <c r="D91" s="1" t="str">
        <f>IF('1.1 Produksi Bersih Padi 2025'!D91="","",'1.1 Produksi Bersih Padi 2025'!D91)</f>
        <v/>
      </c>
      <c r="E91" s="1" t="str">
        <f>IF('1.1 Produksi Bersih Padi 2025'!E91="","",'1.1 Produksi Bersih Padi 2025'!E91)</f>
        <v/>
      </c>
      <c r="F91" s="28" t="str">
        <f>IF(D91="","",VLOOKUP(D91,'[1]0.1 Produksi Pangan &amp; Penduduk'!$D$5:$AK$860,34,0))</f>
        <v/>
      </c>
      <c r="G91" s="29" t="str">
        <f t="shared" si="5"/>
        <v/>
      </c>
      <c r="H91" s="29" t="str">
        <f t="shared" si="6"/>
        <v/>
      </c>
      <c r="I91" s="29" t="str">
        <f t="shared" si="7"/>
        <v/>
      </c>
      <c r="J91" s="29" t="str">
        <f t="shared" si="8"/>
        <v/>
      </c>
      <c r="K91" s="29" t="str">
        <f t="shared" si="9"/>
        <v/>
      </c>
      <c r="M91" s="11"/>
    </row>
    <row r="92" spans="1:13" ht="15" x14ac:dyDescent="0.25">
      <c r="A92" s="1" t="str">
        <f>IF('1.1 Produksi Bersih Padi 2025'!A92="","",'1.1 Produksi Bersih Padi 2025'!A92)</f>
        <v/>
      </c>
      <c r="B92" s="31" t="str">
        <f>IF('1.1 Produksi Bersih Padi 2025'!B92="","",'1.1 Produksi Bersih Padi 2025'!B92)</f>
        <v/>
      </c>
      <c r="C92" s="31" t="str">
        <f>IF('1.1 Produksi Bersih Padi 2025'!C92="","",'1.1 Produksi Bersih Padi 2025'!C92)</f>
        <v/>
      </c>
      <c r="D92" s="1" t="str">
        <f>IF('1.1 Produksi Bersih Padi 2025'!D92="","",'1.1 Produksi Bersih Padi 2025'!D92)</f>
        <v/>
      </c>
      <c r="E92" s="1" t="str">
        <f>IF('1.1 Produksi Bersih Padi 2025'!E92="","",'1.1 Produksi Bersih Padi 2025'!E92)</f>
        <v/>
      </c>
      <c r="F92" s="28" t="str">
        <f>IF(D92="","",VLOOKUP(D92,'[1]0.1 Produksi Pangan &amp; Penduduk'!$D$5:$AK$860,34,0))</f>
        <v/>
      </c>
      <c r="G92" s="29" t="str">
        <f t="shared" si="5"/>
        <v/>
      </c>
      <c r="H92" s="29" t="str">
        <f t="shared" si="6"/>
        <v/>
      </c>
      <c r="I92" s="29" t="str">
        <f t="shared" si="7"/>
        <v/>
      </c>
      <c r="J92" s="29" t="str">
        <f t="shared" si="8"/>
        <v/>
      </c>
      <c r="K92" s="29" t="str">
        <f t="shared" si="9"/>
        <v/>
      </c>
      <c r="M92" s="11"/>
    </row>
    <row r="93" spans="1:13" ht="15" x14ac:dyDescent="0.25">
      <c r="A93" s="1" t="str">
        <f>IF('1.1 Produksi Bersih Padi 2025'!A93="","",'1.1 Produksi Bersih Padi 2025'!A93)</f>
        <v/>
      </c>
      <c r="B93" s="31" t="str">
        <f>IF('1.1 Produksi Bersih Padi 2025'!B93="","",'1.1 Produksi Bersih Padi 2025'!B93)</f>
        <v/>
      </c>
      <c r="C93" s="31" t="str">
        <f>IF('1.1 Produksi Bersih Padi 2025'!C93="","",'1.1 Produksi Bersih Padi 2025'!C93)</f>
        <v/>
      </c>
      <c r="D93" s="1" t="str">
        <f>IF('1.1 Produksi Bersih Padi 2025'!D93="","",'1.1 Produksi Bersih Padi 2025'!D93)</f>
        <v/>
      </c>
      <c r="E93" s="1" t="str">
        <f>IF('1.1 Produksi Bersih Padi 2025'!E93="","",'1.1 Produksi Bersih Padi 2025'!E93)</f>
        <v/>
      </c>
      <c r="F93" s="28" t="str">
        <f>IF(D93="","",VLOOKUP(D93,'[1]0.1 Produksi Pangan &amp; Penduduk'!$D$5:$AK$860,34,0))</f>
        <v/>
      </c>
      <c r="G93" s="29" t="str">
        <f t="shared" si="5"/>
        <v/>
      </c>
      <c r="H93" s="29" t="str">
        <f t="shared" si="6"/>
        <v/>
      </c>
      <c r="I93" s="29" t="str">
        <f t="shared" si="7"/>
        <v/>
      </c>
      <c r="J93" s="29" t="str">
        <f t="shared" si="8"/>
        <v/>
      </c>
      <c r="K93" s="29" t="str">
        <f t="shared" si="9"/>
        <v/>
      </c>
      <c r="M93" s="11"/>
    </row>
    <row r="94" spans="1:13" ht="15" x14ac:dyDescent="0.25">
      <c r="A94" s="1" t="str">
        <f>IF('1.1 Produksi Bersih Padi 2025'!A94="","",'1.1 Produksi Bersih Padi 2025'!A94)</f>
        <v/>
      </c>
      <c r="B94" s="31" t="str">
        <f>IF('1.1 Produksi Bersih Padi 2025'!B94="","",'1.1 Produksi Bersih Padi 2025'!B94)</f>
        <v/>
      </c>
      <c r="C94" s="31" t="str">
        <f>IF('1.1 Produksi Bersih Padi 2025'!C94="","",'1.1 Produksi Bersih Padi 2025'!C94)</f>
        <v/>
      </c>
      <c r="D94" s="1" t="str">
        <f>IF('1.1 Produksi Bersih Padi 2025'!D94="","",'1.1 Produksi Bersih Padi 2025'!D94)</f>
        <v/>
      </c>
      <c r="E94" s="1" t="str">
        <f>IF('1.1 Produksi Bersih Padi 2025'!E94="","",'1.1 Produksi Bersih Padi 2025'!E94)</f>
        <v/>
      </c>
      <c r="F94" s="28" t="str">
        <f>IF(D94="","",VLOOKUP(D94,'[1]0.1 Produksi Pangan &amp; Penduduk'!$D$5:$AK$860,34,0))</f>
        <v/>
      </c>
      <c r="G94" s="29" t="str">
        <f t="shared" si="5"/>
        <v/>
      </c>
      <c r="H94" s="29" t="str">
        <f t="shared" si="6"/>
        <v/>
      </c>
      <c r="I94" s="29" t="str">
        <f t="shared" si="7"/>
        <v/>
      </c>
      <c r="J94" s="29" t="str">
        <f t="shared" si="8"/>
        <v/>
      </c>
      <c r="K94" s="29" t="str">
        <f t="shared" si="9"/>
        <v/>
      </c>
      <c r="M94" s="11"/>
    </row>
    <row r="95" spans="1:13" ht="15" x14ac:dyDescent="0.25">
      <c r="A95" s="1" t="str">
        <f>IF('1.1 Produksi Bersih Padi 2025'!A95="","",'1.1 Produksi Bersih Padi 2025'!A95)</f>
        <v/>
      </c>
      <c r="B95" s="31" t="str">
        <f>IF('1.1 Produksi Bersih Padi 2025'!B95="","",'1.1 Produksi Bersih Padi 2025'!B95)</f>
        <v/>
      </c>
      <c r="C95" s="31" t="str">
        <f>IF('1.1 Produksi Bersih Padi 2025'!C95="","",'1.1 Produksi Bersih Padi 2025'!C95)</f>
        <v/>
      </c>
      <c r="D95" s="1" t="str">
        <f>IF('1.1 Produksi Bersih Padi 2025'!D95="","",'1.1 Produksi Bersih Padi 2025'!D95)</f>
        <v/>
      </c>
      <c r="E95" s="1" t="str">
        <f>IF('1.1 Produksi Bersih Padi 2025'!E95="","",'1.1 Produksi Bersih Padi 2025'!E95)</f>
        <v/>
      </c>
      <c r="F95" s="28" t="str">
        <f>IF(D95="","",VLOOKUP(D95,'[1]0.1 Produksi Pangan &amp; Penduduk'!$D$5:$AK$860,34,0))</f>
        <v/>
      </c>
      <c r="G95" s="29" t="str">
        <f t="shared" si="5"/>
        <v/>
      </c>
      <c r="H95" s="29" t="str">
        <f t="shared" si="6"/>
        <v/>
      </c>
      <c r="I95" s="29" t="str">
        <f t="shared" si="7"/>
        <v/>
      </c>
      <c r="J95" s="29" t="str">
        <f t="shared" si="8"/>
        <v/>
      </c>
      <c r="K95" s="29" t="str">
        <f t="shared" si="9"/>
        <v/>
      </c>
      <c r="M95" s="11"/>
    </row>
    <row r="96" spans="1:13" ht="15" x14ac:dyDescent="0.25">
      <c r="A96" s="1" t="str">
        <f>IF('1.1 Produksi Bersih Padi 2025'!A96="","",'1.1 Produksi Bersih Padi 2025'!A96)</f>
        <v/>
      </c>
      <c r="B96" s="31" t="str">
        <f>IF('1.1 Produksi Bersih Padi 2025'!B96="","",'1.1 Produksi Bersih Padi 2025'!B96)</f>
        <v/>
      </c>
      <c r="C96" s="31" t="str">
        <f>IF('1.1 Produksi Bersih Padi 2025'!C96="","",'1.1 Produksi Bersih Padi 2025'!C96)</f>
        <v/>
      </c>
      <c r="D96" s="1" t="str">
        <f>IF('1.1 Produksi Bersih Padi 2025'!D96="","",'1.1 Produksi Bersih Padi 2025'!D96)</f>
        <v/>
      </c>
      <c r="E96" s="1" t="str">
        <f>IF('1.1 Produksi Bersih Padi 2025'!E96="","",'1.1 Produksi Bersih Padi 2025'!E96)</f>
        <v/>
      </c>
      <c r="F96" s="28" t="str">
        <f>IF(D96="","",VLOOKUP(D96,'[1]0.1 Produksi Pangan &amp; Penduduk'!$D$5:$AK$860,34,0))</f>
        <v/>
      </c>
      <c r="G96" s="29" t="str">
        <f t="shared" si="5"/>
        <v/>
      </c>
      <c r="H96" s="29" t="str">
        <f t="shared" si="6"/>
        <v/>
      </c>
      <c r="I96" s="29" t="str">
        <f t="shared" si="7"/>
        <v/>
      </c>
      <c r="J96" s="29" t="str">
        <f t="shared" si="8"/>
        <v/>
      </c>
      <c r="K96" s="29" t="str">
        <f t="shared" si="9"/>
        <v/>
      </c>
      <c r="M96" s="11"/>
    </row>
    <row r="97" spans="1:13" ht="15" x14ac:dyDescent="0.25">
      <c r="A97" s="1" t="str">
        <f>IF('1.1 Produksi Bersih Padi 2025'!A97="","",'1.1 Produksi Bersih Padi 2025'!A97)</f>
        <v/>
      </c>
      <c r="B97" s="31" t="str">
        <f>IF('1.1 Produksi Bersih Padi 2025'!B97="","",'1.1 Produksi Bersih Padi 2025'!B97)</f>
        <v/>
      </c>
      <c r="C97" s="31" t="str">
        <f>IF('1.1 Produksi Bersih Padi 2025'!C97="","",'1.1 Produksi Bersih Padi 2025'!C97)</f>
        <v/>
      </c>
      <c r="D97" s="1" t="str">
        <f>IF('1.1 Produksi Bersih Padi 2025'!D97="","",'1.1 Produksi Bersih Padi 2025'!D97)</f>
        <v/>
      </c>
      <c r="E97" s="1" t="str">
        <f>IF('1.1 Produksi Bersih Padi 2025'!E97="","",'1.1 Produksi Bersih Padi 2025'!E97)</f>
        <v/>
      </c>
      <c r="F97" s="28" t="str">
        <f>IF(D97="","",VLOOKUP(D97,'[1]0.1 Produksi Pangan &amp; Penduduk'!$D$5:$AK$860,34,0))</f>
        <v/>
      </c>
      <c r="G97" s="29" t="str">
        <f t="shared" si="5"/>
        <v/>
      </c>
      <c r="H97" s="29" t="str">
        <f t="shared" si="6"/>
        <v/>
      </c>
      <c r="I97" s="29" t="str">
        <f t="shared" si="7"/>
        <v/>
      </c>
      <c r="J97" s="29" t="str">
        <f t="shared" si="8"/>
        <v/>
      </c>
      <c r="K97" s="29" t="str">
        <f t="shared" si="9"/>
        <v/>
      </c>
      <c r="M97" s="11"/>
    </row>
    <row r="98" spans="1:13" ht="15" x14ac:dyDescent="0.25">
      <c r="A98" s="1" t="str">
        <f>IF('1.1 Produksi Bersih Padi 2025'!A98="","",'1.1 Produksi Bersih Padi 2025'!A98)</f>
        <v/>
      </c>
      <c r="B98" s="31" t="str">
        <f>IF('1.1 Produksi Bersih Padi 2025'!B98="","",'1.1 Produksi Bersih Padi 2025'!B98)</f>
        <v/>
      </c>
      <c r="C98" s="31" t="str">
        <f>IF('1.1 Produksi Bersih Padi 2025'!C98="","",'1.1 Produksi Bersih Padi 2025'!C98)</f>
        <v/>
      </c>
      <c r="D98" s="1" t="str">
        <f>IF('1.1 Produksi Bersih Padi 2025'!D98="","",'1.1 Produksi Bersih Padi 2025'!D98)</f>
        <v/>
      </c>
      <c r="E98" s="1" t="str">
        <f>IF('1.1 Produksi Bersih Padi 2025'!E98="","",'1.1 Produksi Bersih Padi 2025'!E98)</f>
        <v/>
      </c>
      <c r="F98" s="28" t="str">
        <f>IF(D98="","",VLOOKUP(D98,'[1]0.1 Produksi Pangan &amp; Penduduk'!$D$5:$AK$860,34,0))</f>
        <v/>
      </c>
      <c r="G98" s="29" t="str">
        <f t="shared" si="5"/>
        <v/>
      </c>
      <c r="H98" s="29" t="str">
        <f t="shared" si="6"/>
        <v/>
      </c>
      <c r="I98" s="29" t="str">
        <f t="shared" si="7"/>
        <v/>
      </c>
      <c r="J98" s="29" t="str">
        <f t="shared" si="8"/>
        <v/>
      </c>
      <c r="K98" s="29" t="str">
        <f t="shared" si="9"/>
        <v/>
      </c>
      <c r="M98" s="11"/>
    </row>
    <row r="99" spans="1:13" ht="15" x14ac:dyDescent="0.25">
      <c r="A99" s="1" t="str">
        <f>IF('1.1 Produksi Bersih Padi 2025'!A99="","",'1.1 Produksi Bersih Padi 2025'!A99)</f>
        <v/>
      </c>
      <c r="B99" s="31" t="str">
        <f>IF('1.1 Produksi Bersih Padi 2025'!B99="","",'1.1 Produksi Bersih Padi 2025'!B99)</f>
        <v/>
      </c>
      <c r="C99" s="31" t="str">
        <f>IF('1.1 Produksi Bersih Padi 2025'!C99="","",'1.1 Produksi Bersih Padi 2025'!C99)</f>
        <v/>
      </c>
      <c r="D99" s="1" t="str">
        <f>IF('1.1 Produksi Bersih Padi 2025'!D99="","",'1.1 Produksi Bersih Padi 2025'!D99)</f>
        <v/>
      </c>
      <c r="E99" s="1" t="str">
        <f>IF('1.1 Produksi Bersih Padi 2025'!E99="","",'1.1 Produksi Bersih Padi 2025'!E99)</f>
        <v/>
      </c>
      <c r="F99" s="28" t="str">
        <f>IF(D99="","",VLOOKUP(D99,'[1]0.1 Produksi Pangan &amp; Penduduk'!$D$5:$AK$860,34,0))</f>
        <v/>
      </c>
      <c r="G99" s="29" t="str">
        <f t="shared" si="5"/>
        <v/>
      </c>
      <c r="H99" s="29" t="str">
        <f t="shared" si="6"/>
        <v/>
      </c>
      <c r="I99" s="29" t="str">
        <f t="shared" si="7"/>
        <v/>
      </c>
      <c r="J99" s="29" t="str">
        <f t="shared" si="8"/>
        <v/>
      </c>
      <c r="K99" s="29" t="str">
        <f t="shared" si="9"/>
        <v/>
      </c>
      <c r="M99" s="11"/>
    </row>
    <row r="100" spans="1:13" ht="15" x14ac:dyDescent="0.25">
      <c r="A100" s="1" t="str">
        <f>IF('1.1 Produksi Bersih Padi 2025'!A100="","",'1.1 Produksi Bersih Padi 2025'!A100)</f>
        <v/>
      </c>
      <c r="B100" s="31" t="str">
        <f>IF('1.1 Produksi Bersih Padi 2025'!B100="","",'1.1 Produksi Bersih Padi 2025'!B100)</f>
        <v/>
      </c>
      <c r="C100" s="31" t="str">
        <f>IF('1.1 Produksi Bersih Padi 2025'!C100="","",'1.1 Produksi Bersih Padi 2025'!C100)</f>
        <v/>
      </c>
      <c r="D100" s="1" t="str">
        <f>IF('1.1 Produksi Bersih Padi 2025'!D100="","",'1.1 Produksi Bersih Padi 2025'!D100)</f>
        <v/>
      </c>
      <c r="E100" s="1" t="str">
        <f>IF('1.1 Produksi Bersih Padi 2025'!E100="","",'1.1 Produksi Bersih Padi 2025'!E100)</f>
        <v/>
      </c>
      <c r="F100" s="28" t="str">
        <f>IF(D100="","",VLOOKUP(D100,'[1]0.1 Produksi Pangan &amp; Penduduk'!$D$5:$AK$860,34,0))</f>
        <v/>
      </c>
      <c r="G100" s="29" t="str">
        <f t="shared" si="5"/>
        <v/>
      </c>
      <c r="H100" s="29" t="str">
        <f t="shared" si="6"/>
        <v/>
      </c>
      <c r="I100" s="29" t="str">
        <f t="shared" si="7"/>
        <v/>
      </c>
      <c r="J100" s="29" t="str">
        <f t="shared" si="8"/>
        <v/>
      </c>
      <c r="K100" s="29" t="str">
        <f t="shared" si="9"/>
        <v/>
      </c>
      <c r="M100" s="11"/>
    </row>
    <row r="101" spans="1:13" ht="15" x14ac:dyDescent="0.25">
      <c r="A101" s="1" t="str">
        <f>IF('1.1 Produksi Bersih Padi 2025'!A101="","",'1.1 Produksi Bersih Padi 2025'!A101)</f>
        <v/>
      </c>
      <c r="B101" s="31" t="str">
        <f>IF('1.1 Produksi Bersih Padi 2025'!B101="","",'1.1 Produksi Bersih Padi 2025'!B101)</f>
        <v/>
      </c>
      <c r="C101" s="31" t="str">
        <f>IF('1.1 Produksi Bersih Padi 2025'!C101="","",'1.1 Produksi Bersih Padi 2025'!C101)</f>
        <v/>
      </c>
      <c r="D101" s="1" t="str">
        <f>IF('1.1 Produksi Bersih Padi 2025'!D101="","",'1.1 Produksi Bersih Padi 2025'!D101)</f>
        <v/>
      </c>
      <c r="E101" s="1" t="str">
        <f>IF('1.1 Produksi Bersih Padi 2025'!E101="","",'1.1 Produksi Bersih Padi 2025'!E101)</f>
        <v/>
      </c>
      <c r="F101" s="28" t="str">
        <f>IF(D101="","",VLOOKUP(D101,'[1]0.1 Produksi Pangan &amp; Penduduk'!$D$5:$AK$860,34,0))</f>
        <v/>
      </c>
      <c r="G101" s="29" t="str">
        <f t="shared" si="5"/>
        <v/>
      </c>
      <c r="H101" s="29" t="str">
        <f t="shared" si="6"/>
        <v/>
      </c>
      <c r="I101" s="29" t="str">
        <f t="shared" si="7"/>
        <v/>
      </c>
      <c r="J101" s="29" t="str">
        <f t="shared" si="8"/>
        <v/>
      </c>
      <c r="K101" s="29" t="str">
        <f t="shared" si="9"/>
        <v/>
      </c>
      <c r="M101" s="11"/>
    </row>
    <row r="102" spans="1:13" ht="15" x14ac:dyDescent="0.25">
      <c r="A102" s="1" t="str">
        <f>IF('1.1 Produksi Bersih Padi 2025'!A102="","",'1.1 Produksi Bersih Padi 2025'!A102)</f>
        <v/>
      </c>
      <c r="B102" s="31" t="str">
        <f>IF('1.1 Produksi Bersih Padi 2025'!B102="","",'1.1 Produksi Bersih Padi 2025'!B102)</f>
        <v/>
      </c>
      <c r="C102" s="31" t="str">
        <f>IF('1.1 Produksi Bersih Padi 2025'!C102="","",'1.1 Produksi Bersih Padi 2025'!C102)</f>
        <v/>
      </c>
      <c r="D102" s="1" t="str">
        <f>IF('1.1 Produksi Bersih Padi 2025'!D102="","",'1.1 Produksi Bersih Padi 2025'!D102)</f>
        <v/>
      </c>
      <c r="E102" s="1" t="str">
        <f>IF('1.1 Produksi Bersih Padi 2025'!E102="","",'1.1 Produksi Bersih Padi 2025'!E102)</f>
        <v/>
      </c>
      <c r="F102" s="28" t="str">
        <f>IF(D102="","",VLOOKUP(D102,'[1]0.1 Produksi Pangan &amp; Penduduk'!$D$5:$AK$860,34,0))</f>
        <v/>
      </c>
      <c r="G102" s="29" t="str">
        <f t="shared" si="5"/>
        <v/>
      </c>
      <c r="H102" s="29" t="str">
        <f t="shared" si="6"/>
        <v/>
      </c>
      <c r="I102" s="29" t="str">
        <f t="shared" si="7"/>
        <v/>
      </c>
      <c r="J102" s="29" t="str">
        <f t="shared" si="8"/>
        <v/>
      </c>
      <c r="K102" s="29" t="str">
        <f t="shared" si="9"/>
        <v/>
      </c>
      <c r="M102" s="11"/>
    </row>
    <row r="103" spans="1:13" ht="15" x14ac:dyDescent="0.25">
      <c r="A103" s="1" t="str">
        <f>IF('1.1 Produksi Bersih Padi 2025'!A103="","",'1.1 Produksi Bersih Padi 2025'!A103)</f>
        <v/>
      </c>
      <c r="B103" s="31" t="str">
        <f>IF('1.1 Produksi Bersih Padi 2025'!B103="","",'1.1 Produksi Bersih Padi 2025'!B103)</f>
        <v/>
      </c>
      <c r="C103" s="31" t="str">
        <f>IF('1.1 Produksi Bersih Padi 2025'!C103="","",'1.1 Produksi Bersih Padi 2025'!C103)</f>
        <v/>
      </c>
      <c r="D103" s="1" t="str">
        <f>IF('1.1 Produksi Bersih Padi 2025'!D103="","",'1.1 Produksi Bersih Padi 2025'!D103)</f>
        <v/>
      </c>
      <c r="E103" s="1" t="str">
        <f>IF('1.1 Produksi Bersih Padi 2025'!E103="","",'1.1 Produksi Bersih Padi 2025'!E103)</f>
        <v/>
      </c>
      <c r="F103" s="28" t="str">
        <f>IF(D103="","",VLOOKUP(D103,'[1]0.1 Produksi Pangan &amp; Penduduk'!$D$5:$AK$860,34,0))</f>
        <v/>
      </c>
      <c r="G103" s="29" t="str">
        <f t="shared" si="5"/>
        <v/>
      </c>
      <c r="H103" s="29" t="str">
        <f t="shared" si="6"/>
        <v/>
      </c>
      <c r="I103" s="29" t="str">
        <f t="shared" si="7"/>
        <v/>
      </c>
      <c r="J103" s="29" t="str">
        <f t="shared" si="8"/>
        <v/>
      </c>
      <c r="K103" s="29" t="str">
        <f t="shared" si="9"/>
        <v/>
      </c>
      <c r="M103" s="11"/>
    </row>
    <row r="104" spans="1:13" ht="15" x14ac:dyDescent="0.25">
      <c r="A104" s="1" t="str">
        <f>IF('1.1 Produksi Bersih Padi 2025'!A104="","",'1.1 Produksi Bersih Padi 2025'!A104)</f>
        <v/>
      </c>
      <c r="B104" s="31" t="str">
        <f>IF('1.1 Produksi Bersih Padi 2025'!B104="","",'1.1 Produksi Bersih Padi 2025'!B104)</f>
        <v/>
      </c>
      <c r="C104" s="31" t="str">
        <f>IF('1.1 Produksi Bersih Padi 2025'!C104="","",'1.1 Produksi Bersih Padi 2025'!C104)</f>
        <v/>
      </c>
      <c r="D104" s="1" t="str">
        <f>IF('1.1 Produksi Bersih Padi 2025'!D104="","",'1.1 Produksi Bersih Padi 2025'!D104)</f>
        <v/>
      </c>
      <c r="E104" s="1" t="str">
        <f>IF('1.1 Produksi Bersih Padi 2025'!E104="","",'1.1 Produksi Bersih Padi 2025'!E104)</f>
        <v/>
      </c>
      <c r="F104" s="28" t="str">
        <f>IF(D104="","",VLOOKUP(D104,'[1]0.1 Produksi Pangan &amp; Penduduk'!$D$5:$AK$860,34,0))</f>
        <v/>
      </c>
      <c r="G104" s="29" t="str">
        <f t="shared" si="5"/>
        <v/>
      </c>
      <c r="H104" s="29" t="str">
        <f t="shared" si="6"/>
        <v/>
      </c>
      <c r="I104" s="29" t="str">
        <f t="shared" si="7"/>
        <v/>
      </c>
      <c r="J104" s="29" t="str">
        <f t="shared" si="8"/>
        <v/>
      </c>
      <c r="K104" s="29" t="str">
        <f t="shared" si="9"/>
        <v/>
      </c>
      <c r="M104" s="11"/>
    </row>
    <row r="105" spans="1:13" ht="15" x14ac:dyDescent="0.25">
      <c r="A105" s="1" t="str">
        <f>IF('1.1 Produksi Bersih Padi 2025'!A105="","",'1.1 Produksi Bersih Padi 2025'!A105)</f>
        <v/>
      </c>
      <c r="B105" s="31" t="str">
        <f>IF('1.1 Produksi Bersih Padi 2025'!B105="","",'1.1 Produksi Bersih Padi 2025'!B105)</f>
        <v/>
      </c>
      <c r="C105" s="31" t="str">
        <f>IF('1.1 Produksi Bersih Padi 2025'!C105="","",'1.1 Produksi Bersih Padi 2025'!C105)</f>
        <v/>
      </c>
      <c r="D105" s="1" t="str">
        <f>IF('1.1 Produksi Bersih Padi 2025'!D105="","",'1.1 Produksi Bersih Padi 2025'!D105)</f>
        <v/>
      </c>
      <c r="E105" s="1" t="str">
        <f>IF('1.1 Produksi Bersih Padi 2025'!E105="","",'1.1 Produksi Bersih Padi 2025'!E105)</f>
        <v/>
      </c>
      <c r="F105" s="28" t="str">
        <f>IF(D105="","",VLOOKUP(D105,'[1]0.1 Produksi Pangan &amp; Penduduk'!$D$5:$AK$860,34,0))</f>
        <v/>
      </c>
      <c r="G105" s="29" t="str">
        <f t="shared" si="5"/>
        <v/>
      </c>
      <c r="H105" s="29" t="str">
        <f t="shared" si="6"/>
        <v/>
      </c>
      <c r="I105" s="29" t="str">
        <f t="shared" si="7"/>
        <v/>
      </c>
      <c r="J105" s="29" t="str">
        <f t="shared" si="8"/>
        <v/>
      </c>
      <c r="K105" s="29" t="str">
        <f t="shared" si="9"/>
        <v/>
      </c>
      <c r="M105" s="11"/>
    </row>
    <row r="106" spans="1:13" ht="15" x14ac:dyDescent="0.25">
      <c r="A106" s="1" t="str">
        <f>IF('1.1 Produksi Bersih Padi 2025'!A106="","",'1.1 Produksi Bersih Padi 2025'!A106)</f>
        <v/>
      </c>
      <c r="B106" s="31" t="str">
        <f>IF('1.1 Produksi Bersih Padi 2025'!B106="","",'1.1 Produksi Bersih Padi 2025'!B106)</f>
        <v/>
      </c>
      <c r="C106" s="31" t="str">
        <f>IF('1.1 Produksi Bersih Padi 2025'!C106="","",'1.1 Produksi Bersih Padi 2025'!C106)</f>
        <v/>
      </c>
      <c r="D106" s="1" t="str">
        <f>IF('1.1 Produksi Bersih Padi 2025'!D106="","",'1.1 Produksi Bersih Padi 2025'!D106)</f>
        <v/>
      </c>
      <c r="E106" s="1" t="str">
        <f>IF('1.1 Produksi Bersih Padi 2025'!E106="","",'1.1 Produksi Bersih Padi 2025'!E106)</f>
        <v/>
      </c>
      <c r="F106" s="28" t="str">
        <f>IF(D106="","",VLOOKUP(D106,'[1]0.1 Produksi Pangan &amp; Penduduk'!$D$5:$AK$860,34,0))</f>
        <v/>
      </c>
      <c r="G106" s="29" t="str">
        <f t="shared" si="5"/>
        <v/>
      </c>
      <c r="H106" s="29" t="str">
        <f t="shared" si="6"/>
        <v/>
      </c>
      <c r="I106" s="29" t="str">
        <f t="shared" si="7"/>
        <v/>
      </c>
      <c r="J106" s="29" t="str">
        <f t="shared" si="8"/>
        <v/>
      </c>
      <c r="K106" s="29" t="str">
        <f t="shared" si="9"/>
        <v/>
      </c>
      <c r="M106" s="11"/>
    </row>
    <row r="107" spans="1:13" ht="15" x14ac:dyDescent="0.25">
      <c r="A107" s="1" t="str">
        <f>IF('1.1 Produksi Bersih Padi 2025'!A107="","",'1.1 Produksi Bersih Padi 2025'!A107)</f>
        <v/>
      </c>
      <c r="B107" s="31" t="str">
        <f>IF('1.1 Produksi Bersih Padi 2025'!B107="","",'1.1 Produksi Bersih Padi 2025'!B107)</f>
        <v/>
      </c>
      <c r="C107" s="31" t="str">
        <f>IF('1.1 Produksi Bersih Padi 2025'!C107="","",'1.1 Produksi Bersih Padi 2025'!C107)</f>
        <v/>
      </c>
      <c r="D107" s="1" t="str">
        <f>IF('1.1 Produksi Bersih Padi 2025'!D107="","",'1.1 Produksi Bersih Padi 2025'!D107)</f>
        <v/>
      </c>
      <c r="E107" s="1" t="str">
        <f>IF('1.1 Produksi Bersih Padi 2025'!E107="","",'1.1 Produksi Bersih Padi 2025'!E107)</f>
        <v/>
      </c>
      <c r="F107" s="28" t="str">
        <f>IF(D107="","",VLOOKUP(D107,'[1]0.1 Produksi Pangan &amp; Penduduk'!$D$5:$AK$860,34,0))</f>
        <v/>
      </c>
      <c r="G107" s="29" t="str">
        <f t="shared" si="5"/>
        <v/>
      </c>
      <c r="H107" s="29" t="str">
        <f t="shared" si="6"/>
        <v/>
      </c>
      <c r="I107" s="29" t="str">
        <f t="shared" si="7"/>
        <v/>
      </c>
      <c r="J107" s="29" t="str">
        <f t="shared" si="8"/>
        <v/>
      </c>
      <c r="K107" s="29" t="str">
        <f t="shared" si="9"/>
        <v/>
      </c>
      <c r="M107" s="11"/>
    </row>
    <row r="108" spans="1:13" ht="15" x14ac:dyDescent="0.25">
      <c r="A108" s="1" t="str">
        <f>IF('1.1 Produksi Bersih Padi 2025'!A108="","",'1.1 Produksi Bersih Padi 2025'!A108)</f>
        <v/>
      </c>
      <c r="B108" s="31" t="str">
        <f>IF('1.1 Produksi Bersih Padi 2025'!B108="","",'1.1 Produksi Bersih Padi 2025'!B108)</f>
        <v/>
      </c>
      <c r="C108" s="31" t="str">
        <f>IF('1.1 Produksi Bersih Padi 2025'!C108="","",'1.1 Produksi Bersih Padi 2025'!C108)</f>
        <v/>
      </c>
      <c r="D108" s="1" t="str">
        <f>IF('1.1 Produksi Bersih Padi 2025'!D108="","",'1.1 Produksi Bersih Padi 2025'!D108)</f>
        <v/>
      </c>
      <c r="E108" s="1" t="str">
        <f>IF('1.1 Produksi Bersih Padi 2025'!E108="","",'1.1 Produksi Bersih Padi 2025'!E108)</f>
        <v/>
      </c>
      <c r="F108" s="28" t="str">
        <f>IF(D108="","",VLOOKUP(D108,'[1]0.1 Produksi Pangan &amp; Penduduk'!$D$5:$AK$860,34,0))</f>
        <v/>
      </c>
      <c r="G108" s="29" t="str">
        <f t="shared" si="5"/>
        <v/>
      </c>
      <c r="H108" s="29" t="str">
        <f t="shared" si="6"/>
        <v/>
      </c>
      <c r="I108" s="29" t="str">
        <f t="shared" si="7"/>
        <v/>
      </c>
      <c r="J108" s="29" t="str">
        <f t="shared" si="8"/>
        <v/>
      </c>
      <c r="K108" s="29" t="str">
        <f t="shared" si="9"/>
        <v/>
      </c>
      <c r="M108" s="11"/>
    </row>
    <row r="109" spans="1:13" ht="15" x14ac:dyDescent="0.25">
      <c r="A109" s="1" t="str">
        <f>IF('1.1 Produksi Bersih Padi 2025'!A109="","",'1.1 Produksi Bersih Padi 2025'!A109)</f>
        <v/>
      </c>
      <c r="B109" s="31" t="str">
        <f>IF('1.1 Produksi Bersih Padi 2025'!B109="","",'1.1 Produksi Bersih Padi 2025'!B109)</f>
        <v/>
      </c>
      <c r="C109" s="31" t="str">
        <f>IF('1.1 Produksi Bersih Padi 2025'!C109="","",'1.1 Produksi Bersih Padi 2025'!C109)</f>
        <v/>
      </c>
      <c r="D109" s="1" t="str">
        <f>IF('1.1 Produksi Bersih Padi 2025'!D109="","",'1.1 Produksi Bersih Padi 2025'!D109)</f>
        <v/>
      </c>
      <c r="E109" s="1" t="str">
        <f>IF('1.1 Produksi Bersih Padi 2025'!E109="","",'1.1 Produksi Bersih Padi 2025'!E109)</f>
        <v/>
      </c>
      <c r="F109" s="28" t="str">
        <f>IF(D109="","",VLOOKUP(D109,'[1]0.1 Produksi Pangan &amp; Penduduk'!$D$5:$AK$860,34,0))</f>
        <v/>
      </c>
      <c r="G109" s="29" t="str">
        <f t="shared" si="5"/>
        <v/>
      </c>
      <c r="H109" s="29" t="str">
        <f t="shared" si="6"/>
        <v/>
      </c>
      <c r="I109" s="29" t="str">
        <f t="shared" si="7"/>
        <v/>
      </c>
      <c r="J109" s="29" t="str">
        <f t="shared" si="8"/>
        <v/>
      </c>
      <c r="K109" s="29" t="str">
        <f t="shared" si="9"/>
        <v/>
      </c>
      <c r="M109" s="11"/>
    </row>
    <row r="110" spans="1:13" ht="15" x14ac:dyDescent="0.25">
      <c r="A110" s="1" t="str">
        <f>IF('1.1 Produksi Bersih Padi 2025'!A110="","",'1.1 Produksi Bersih Padi 2025'!A110)</f>
        <v/>
      </c>
      <c r="B110" s="31" t="str">
        <f>IF('1.1 Produksi Bersih Padi 2025'!B110="","",'1.1 Produksi Bersih Padi 2025'!B110)</f>
        <v/>
      </c>
      <c r="C110" s="31" t="str">
        <f>IF('1.1 Produksi Bersih Padi 2025'!C110="","",'1.1 Produksi Bersih Padi 2025'!C110)</f>
        <v/>
      </c>
      <c r="D110" s="1" t="str">
        <f>IF('1.1 Produksi Bersih Padi 2025'!D110="","",'1.1 Produksi Bersih Padi 2025'!D110)</f>
        <v/>
      </c>
      <c r="E110" s="1" t="str">
        <f>IF('1.1 Produksi Bersih Padi 2025'!E110="","",'1.1 Produksi Bersih Padi 2025'!E110)</f>
        <v/>
      </c>
      <c r="F110" s="28" t="str">
        <f>IF(D110="","",VLOOKUP(D110,'[1]0.1 Produksi Pangan &amp; Penduduk'!$D$5:$AK$860,34,0))</f>
        <v/>
      </c>
      <c r="G110" s="29" t="str">
        <f t="shared" si="5"/>
        <v/>
      </c>
      <c r="H110" s="29" t="str">
        <f t="shared" si="6"/>
        <v/>
      </c>
      <c r="I110" s="29" t="str">
        <f t="shared" si="7"/>
        <v/>
      </c>
      <c r="J110" s="29" t="str">
        <f t="shared" si="8"/>
        <v/>
      </c>
      <c r="K110" s="29" t="str">
        <f t="shared" si="9"/>
        <v/>
      </c>
      <c r="M110" s="11"/>
    </row>
    <row r="111" spans="1:13" ht="15" x14ac:dyDescent="0.25">
      <c r="A111" s="1" t="str">
        <f>IF('1.1 Produksi Bersih Padi 2025'!A111="","",'1.1 Produksi Bersih Padi 2025'!A111)</f>
        <v/>
      </c>
      <c r="B111" s="31" t="str">
        <f>IF('1.1 Produksi Bersih Padi 2025'!B111="","",'1.1 Produksi Bersih Padi 2025'!B111)</f>
        <v/>
      </c>
      <c r="C111" s="31" t="str">
        <f>IF('1.1 Produksi Bersih Padi 2025'!C111="","",'1.1 Produksi Bersih Padi 2025'!C111)</f>
        <v/>
      </c>
      <c r="D111" s="1" t="str">
        <f>IF('1.1 Produksi Bersih Padi 2025'!D111="","",'1.1 Produksi Bersih Padi 2025'!D111)</f>
        <v/>
      </c>
      <c r="E111" s="1" t="str">
        <f>IF('1.1 Produksi Bersih Padi 2025'!E111="","",'1.1 Produksi Bersih Padi 2025'!E111)</f>
        <v/>
      </c>
      <c r="F111" s="28" t="str">
        <f>IF(D111="","",VLOOKUP(D111,'[1]0.1 Produksi Pangan &amp; Penduduk'!$D$5:$AK$860,34,0))</f>
        <v/>
      </c>
      <c r="G111" s="29" t="str">
        <f t="shared" si="5"/>
        <v/>
      </c>
      <c r="H111" s="29" t="str">
        <f t="shared" si="6"/>
        <v/>
      </c>
      <c r="I111" s="29" t="str">
        <f t="shared" si="7"/>
        <v/>
      </c>
      <c r="J111" s="29" t="str">
        <f t="shared" si="8"/>
        <v/>
      </c>
      <c r="K111" s="29" t="str">
        <f t="shared" si="9"/>
        <v/>
      </c>
      <c r="M111" s="11"/>
    </row>
    <row r="112" spans="1:13" ht="15" x14ac:dyDescent="0.25">
      <c r="A112" s="1" t="str">
        <f>IF('1.1 Produksi Bersih Padi 2025'!A112="","",'1.1 Produksi Bersih Padi 2025'!A112)</f>
        <v/>
      </c>
      <c r="B112" s="31" t="str">
        <f>IF('1.1 Produksi Bersih Padi 2025'!B112="","",'1.1 Produksi Bersih Padi 2025'!B112)</f>
        <v/>
      </c>
      <c r="C112" s="31" t="str">
        <f>IF('1.1 Produksi Bersih Padi 2025'!C112="","",'1.1 Produksi Bersih Padi 2025'!C112)</f>
        <v/>
      </c>
      <c r="D112" s="1" t="str">
        <f>IF('1.1 Produksi Bersih Padi 2025'!D112="","",'1.1 Produksi Bersih Padi 2025'!D112)</f>
        <v/>
      </c>
      <c r="E112" s="1" t="str">
        <f>IF('1.1 Produksi Bersih Padi 2025'!E112="","",'1.1 Produksi Bersih Padi 2025'!E112)</f>
        <v/>
      </c>
      <c r="F112" s="28" t="str">
        <f>IF(D112="","",VLOOKUP(D112,'[1]0.1 Produksi Pangan &amp; Penduduk'!$D$5:$AK$860,34,0))</f>
        <v/>
      </c>
      <c r="G112" s="29" t="str">
        <f t="shared" si="5"/>
        <v/>
      </c>
      <c r="H112" s="29" t="str">
        <f t="shared" si="6"/>
        <v/>
      </c>
      <c r="I112" s="29" t="str">
        <f t="shared" si="7"/>
        <v/>
      </c>
      <c r="J112" s="29" t="str">
        <f t="shared" si="8"/>
        <v/>
      </c>
      <c r="K112" s="29" t="str">
        <f t="shared" si="9"/>
        <v/>
      </c>
      <c r="M112" s="11"/>
    </row>
    <row r="113" spans="1:13" ht="15" x14ac:dyDescent="0.25">
      <c r="A113" s="1" t="str">
        <f>IF('1.1 Produksi Bersih Padi 2025'!A113="","",'1.1 Produksi Bersih Padi 2025'!A113)</f>
        <v/>
      </c>
      <c r="B113" s="31" t="str">
        <f>IF('1.1 Produksi Bersih Padi 2025'!B113="","",'1.1 Produksi Bersih Padi 2025'!B113)</f>
        <v/>
      </c>
      <c r="C113" s="31" t="str">
        <f>IF('1.1 Produksi Bersih Padi 2025'!C113="","",'1.1 Produksi Bersih Padi 2025'!C113)</f>
        <v/>
      </c>
      <c r="D113" s="1" t="str">
        <f>IF('1.1 Produksi Bersih Padi 2025'!D113="","",'1.1 Produksi Bersih Padi 2025'!D113)</f>
        <v/>
      </c>
      <c r="E113" s="1" t="str">
        <f>IF('1.1 Produksi Bersih Padi 2025'!E113="","",'1.1 Produksi Bersih Padi 2025'!E113)</f>
        <v/>
      </c>
      <c r="F113" s="28" t="str">
        <f>IF(D113="","",VLOOKUP(D113,'[1]0.1 Produksi Pangan &amp; Penduduk'!$D$5:$AK$860,34,0))</f>
        <v/>
      </c>
      <c r="G113" s="29" t="str">
        <f t="shared" si="5"/>
        <v/>
      </c>
      <c r="H113" s="29" t="str">
        <f t="shared" si="6"/>
        <v/>
      </c>
      <c r="I113" s="29" t="str">
        <f t="shared" si="7"/>
        <v/>
      </c>
      <c r="J113" s="29" t="str">
        <f t="shared" si="8"/>
        <v/>
      </c>
      <c r="K113" s="29" t="str">
        <f t="shared" si="9"/>
        <v/>
      </c>
      <c r="M113" s="11"/>
    </row>
    <row r="114" spans="1:13" ht="15" x14ac:dyDescent="0.25">
      <c r="A114" s="1" t="str">
        <f>IF('1.1 Produksi Bersih Padi 2025'!A114="","",'1.1 Produksi Bersih Padi 2025'!A114)</f>
        <v/>
      </c>
      <c r="B114" s="31" t="str">
        <f>IF('1.1 Produksi Bersih Padi 2025'!B114="","",'1.1 Produksi Bersih Padi 2025'!B114)</f>
        <v/>
      </c>
      <c r="C114" s="31" t="str">
        <f>IF('1.1 Produksi Bersih Padi 2025'!C114="","",'1.1 Produksi Bersih Padi 2025'!C114)</f>
        <v/>
      </c>
      <c r="D114" s="1" t="str">
        <f>IF('1.1 Produksi Bersih Padi 2025'!D114="","",'1.1 Produksi Bersih Padi 2025'!D114)</f>
        <v/>
      </c>
      <c r="E114" s="1" t="str">
        <f>IF('1.1 Produksi Bersih Padi 2025'!E114="","",'1.1 Produksi Bersih Padi 2025'!E114)</f>
        <v/>
      </c>
      <c r="F114" s="28" t="str">
        <f>IF(D114="","",VLOOKUP(D114,'[1]0.1 Produksi Pangan &amp; Penduduk'!$D$5:$AK$860,34,0))</f>
        <v/>
      </c>
      <c r="G114" s="29" t="str">
        <f t="shared" si="5"/>
        <v/>
      </c>
      <c r="H114" s="29" t="str">
        <f t="shared" si="6"/>
        <v/>
      </c>
      <c r="I114" s="29" t="str">
        <f t="shared" si="7"/>
        <v/>
      </c>
      <c r="J114" s="29" t="str">
        <f t="shared" si="8"/>
        <v/>
      </c>
      <c r="K114" s="29" t="str">
        <f t="shared" si="9"/>
        <v/>
      </c>
      <c r="M114" s="11"/>
    </row>
    <row r="115" spans="1:13" ht="15" x14ac:dyDescent="0.25">
      <c r="A115" s="1" t="str">
        <f>IF('1.1 Produksi Bersih Padi 2025'!A115="","",'1.1 Produksi Bersih Padi 2025'!A115)</f>
        <v/>
      </c>
      <c r="B115" s="31" t="str">
        <f>IF('1.1 Produksi Bersih Padi 2025'!B115="","",'1.1 Produksi Bersih Padi 2025'!B115)</f>
        <v/>
      </c>
      <c r="C115" s="31" t="str">
        <f>IF('1.1 Produksi Bersih Padi 2025'!C115="","",'1.1 Produksi Bersih Padi 2025'!C115)</f>
        <v/>
      </c>
      <c r="D115" s="1" t="str">
        <f>IF('1.1 Produksi Bersih Padi 2025'!D115="","",'1.1 Produksi Bersih Padi 2025'!D115)</f>
        <v/>
      </c>
      <c r="E115" s="1" t="str">
        <f>IF('1.1 Produksi Bersih Padi 2025'!E115="","",'1.1 Produksi Bersih Padi 2025'!E115)</f>
        <v/>
      </c>
      <c r="F115" s="28" t="str">
        <f>IF(D115="","",VLOOKUP(D115,'[1]0.1 Produksi Pangan &amp; Penduduk'!$D$5:$AK$860,34,0))</f>
        <v/>
      </c>
      <c r="G115" s="29" t="str">
        <f t="shared" si="5"/>
        <v/>
      </c>
      <c r="H115" s="29" t="str">
        <f t="shared" si="6"/>
        <v/>
      </c>
      <c r="I115" s="29" t="str">
        <f t="shared" si="7"/>
        <v/>
      </c>
      <c r="J115" s="29" t="str">
        <f t="shared" si="8"/>
        <v/>
      </c>
      <c r="K115" s="29" t="str">
        <f t="shared" si="9"/>
        <v/>
      </c>
      <c r="M115" s="11"/>
    </row>
    <row r="116" spans="1:13" ht="15" x14ac:dyDescent="0.25">
      <c r="A116" s="1" t="str">
        <f>IF('1.1 Produksi Bersih Padi 2025'!A116="","",'1.1 Produksi Bersih Padi 2025'!A116)</f>
        <v/>
      </c>
      <c r="B116" s="31" t="str">
        <f>IF('1.1 Produksi Bersih Padi 2025'!B116="","",'1.1 Produksi Bersih Padi 2025'!B116)</f>
        <v/>
      </c>
      <c r="C116" s="31" t="str">
        <f>IF('1.1 Produksi Bersih Padi 2025'!C116="","",'1.1 Produksi Bersih Padi 2025'!C116)</f>
        <v/>
      </c>
      <c r="D116" s="1" t="str">
        <f>IF('1.1 Produksi Bersih Padi 2025'!D116="","",'1.1 Produksi Bersih Padi 2025'!D116)</f>
        <v/>
      </c>
      <c r="E116" s="1" t="str">
        <f>IF('1.1 Produksi Bersih Padi 2025'!E116="","",'1.1 Produksi Bersih Padi 2025'!E116)</f>
        <v/>
      </c>
      <c r="F116" s="28" t="str">
        <f>IF(D116="","",VLOOKUP(D116,'[1]0.1 Produksi Pangan &amp; Penduduk'!$D$5:$AK$860,34,0))</f>
        <v/>
      </c>
      <c r="G116" s="29" t="str">
        <f t="shared" si="5"/>
        <v/>
      </c>
      <c r="H116" s="29" t="str">
        <f t="shared" si="6"/>
        <v/>
      </c>
      <c r="I116" s="29" t="str">
        <f t="shared" si="7"/>
        <v/>
      </c>
      <c r="J116" s="29" t="str">
        <f t="shared" si="8"/>
        <v/>
      </c>
      <c r="K116" s="29" t="str">
        <f t="shared" si="9"/>
        <v/>
      </c>
      <c r="M116" s="11"/>
    </row>
    <row r="117" spans="1:13" ht="15" x14ac:dyDescent="0.25">
      <c r="A117" s="1" t="str">
        <f>IF('1.1 Produksi Bersih Padi 2025'!A117="","",'1.1 Produksi Bersih Padi 2025'!A117)</f>
        <v/>
      </c>
      <c r="B117" s="31" t="str">
        <f>IF('1.1 Produksi Bersih Padi 2025'!B117="","",'1.1 Produksi Bersih Padi 2025'!B117)</f>
        <v/>
      </c>
      <c r="C117" s="31" t="str">
        <f>IF('1.1 Produksi Bersih Padi 2025'!C117="","",'1.1 Produksi Bersih Padi 2025'!C117)</f>
        <v/>
      </c>
      <c r="D117" s="1" t="str">
        <f>IF('1.1 Produksi Bersih Padi 2025'!D117="","",'1.1 Produksi Bersih Padi 2025'!D117)</f>
        <v/>
      </c>
      <c r="E117" s="1" t="str">
        <f>IF('1.1 Produksi Bersih Padi 2025'!E117="","",'1.1 Produksi Bersih Padi 2025'!E117)</f>
        <v/>
      </c>
      <c r="F117" s="28" t="str">
        <f>IF(D117="","",VLOOKUP(D117,'[1]0.1 Produksi Pangan &amp; Penduduk'!$D$5:$AK$860,34,0))</f>
        <v/>
      </c>
      <c r="G117" s="29" t="str">
        <f t="shared" si="5"/>
        <v/>
      </c>
      <c r="H117" s="29" t="str">
        <f t="shared" si="6"/>
        <v/>
      </c>
      <c r="I117" s="29" t="str">
        <f t="shared" si="7"/>
        <v/>
      </c>
      <c r="J117" s="29" t="str">
        <f t="shared" si="8"/>
        <v/>
      </c>
      <c r="K117" s="29" t="str">
        <f t="shared" si="9"/>
        <v/>
      </c>
      <c r="M117" s="11"/>
    </row>
    <row r="118" spans="1:13" ht="15" x14ac:dyDescent="0.25">
      <c r="A118" s="1" t="str">
        <f>IF('1.1 Produksi Bersih Padi 2025'!A118="","",'1.1 Produksi Bersih Padi 2025'!A118)</f>
        <v/>
      </c>
      <c r="B118" s="31" t="str">
        <f>IF('1.1 Produksi Bersih Padi 2025'!B118="","",'1.1 Produksi Bersih Padi 2025'!B118)</f>
        <v/>
      </c>
      <c r="C118" s="31" t="str">
        <f>IF('1.1 Produksi Bersih Padi 2025'!C118="","",'1.1 Produksi Bersih Padi 2025'!C118)</f>
        <v/>
      </c>
      <c r="D118" s="1" t="str">
        <f>IF('1.1 Produksi Bersih Padi 2025'!D118="","",'1.1 Produksi Bersih Padi 2025'!D118)</f>
        <v/>
      </c>
      <c r="E118" s="1" t="str">
        <f>IF('1.1 Produksi Bersih Padi 2025'!E118="","",'1.1 Produksi Bersih Padi 2025'!E118)</f>
        <v/>
      </c>
      <c r="F118" s="28" t="str">
        <f>IF(D118="","",VLOOKUP(D118,'[1]0.1 Produksi Pangan &amp; Penduduk'!$D$5:$AK$860,34,0))</f>
        <v/>
      </c>
      <c r="G118" s="29" t="str">
        <f t="shared" si="5"/>
        <v/>
      </c>
      <c r="H118" s="29" t="str">
        <f t="shared" si="6"/>
        <v/>
      </c>
      <c r="I118" s="29" t="str">
        <f t="shared" si="7"/>
        <v/>
      </c>
      <c r="J118" s="29" t="str">
        <f t="shared" si="8"/>
        <v/>
      </c>
      <c r="K118" s="29" t="str">
        <f t="shared" si="9"/>
        <v/>
      </c>
      <c r="M118" s="11"/>
    </row>
    <row r="119" spans="1:13" ht="15" x14ac:dyDescent="0.25">
      <c r="A119" s="1" t="str">
        <f>IF('1.1 Produksi Bersih Padi 2025'!A119="","",'1.1 Produksi Bersih Padi 2025'!A119)</f>
        <v/>
      </c>
      <c r="B119" s="31" t="str">
        <f>IF('1.1 Produksi Bersih Padi 2025'!B119="","",'1.1 Produksi Bersih Padi 2025'!B119)</f>
        <v/>
      </c>
      <c r="C119" s="31" t="str">
        <f>IF('1.1 Produksi Bersih Padi 2025'!C119="","",'1.1 Produksi Bersih Padi 2025'!C119)</f>
        <v/>
      </c>
      <c r="D119" s="1" t="str">
        <f>IF('1.1 Produksi Bersih Padi 2025'!D119="","",'1.1 Produksi Bersih Padi 2025'!D119)</f>
        <v/>
      </c>
      <c r="E119" s="1" t="str">
        <f>IF('1.1 Produksi Bersih Padi 2025'!E119="","",'1.1 Produksi Bersih Padi 2025'!E119)</f>
        <v/>
      </c>
      <c r="F119" s="28" t="str">
        <f>IF(D119="","",VLOOKUP(D119,'[1]0.1 Produksi Pangan &amp; Penduduk'!$D$5:$AK$860,34,0))</f>
        <v/>
      </c>
      <c r="G119" s="29" t="str">
        <f t="shared" si="5"/>
        <v/>
      </c>
      <c r="H119" s="29" t="str">
        <f t="shared" si="6"/>
        <v/>
      </c>
      <c r="I119" s="29" t="str">
        <f t="shared" si="7"/>
        <v/>
      </c>
      <c r="J119" s="29" t="str">
        <f t="shared" si="8"/>
        <v/>
      </c>
      <c r="K119" s="29" t="str">
        <f t="shared" si="9"/>
        <v/>
      </c>
      <c r="M119" s="11"/>
    </row>
    <row r="120" spans="1:13" ht="15" x14ac:dyDescent="0.25">
      <c r="A120" s="1" t="str">
        <f>IF('1.1 Produksi Bersih Padi 2025'!A120="","",'1.1 Produksi Bersih Padi 2025'!A120)</f>
        <v/>
      </c>
      <c r="B120" s="31" t="str">
        <f>IF('1.1 Produksi Bersih Padi 2025'!B120="","",'1.1 Produksi Bersih Padi 2025'!B120)</f>
        <v/>
      </c>
      <c r="C120" s="31" t="str">
        <f>IF('1.1 Produksi Bersih Padi 2025'!C120="","",'1.1 Produksi Bersih Padi 2025'!C120)</f>
        <v/>
      </c>
      <c r="D120" s="1" t="str">
        <f>IF('1.1 Produksi Bersih Padi 2025'!D120="","",'1.1 Produksi Bersih Padi 2025'!D120)</f>
        <v/>
      </c>
      <c r="E120" s="1" t="str">
        <f>IF('1.1 Produksi Bersih Padi 2025'!E120="","",'1.1 Produksi Bersih Padi 2025'!E120)</f>
        <v/>
      </c>
      <c r="F120" s="28" t="str">
        <f>IF(D120="","",VLOOKUP(D120,'[1]0.1 Produksi Pangan &amp; Penduduk'!$D$5:$AK$860,34,0))</f>
        <v/>
      </c>
      <c r="G120" s="29" t="str">
        <f t="shared" si="5"/>
        <v/>
      </c>
      <c r="H120" s="29" t="str">
        <f t="shared" si="6"/>
        <v/>
      </c>
      <c r="I120" s="29" t="str">
        <f t="shared" si="7"/>
        <v/>
      </c>
      <c r="J120" s="29" t="str">
        <f t="shared" si="8"/>
        <v/>
      </c>
      <c r="K120" s="29" t="str">
        <f t="shared" si="9"/>
        <v/>
      </c>
      <c r="M120" s="11"/>
    </row>
    <row r="121" spans="1:13" ht="15" x14ac:dyDescent="0.25">
      <c r="A121" s="1" t="str">
        <f>IF('1.1 Produksi Bersih Padi 2025'!A121="","",'1.1 Produksi Bersih Padi 2025'!A121)</f>
        <v/>
      </c>
      <c r="B121" s="31" t="str">
        <f>IF('1.1 Produksi Bersih Padi 2025'!B121="","",'1.1 Produksi Bersih Padi 2025'!B121)</f>
        <v/>
      </c>
      <c r="C121" s="31" t="str">
        <f>IF('1.1 Produksi Bersih Padi 2025'!C121="","",'1.1 Produksi Bersih Padi 2025'!C121)</f>
        <v/>
      </c>
      <c r="D121" s="1" t="str">
        <f>IF('1.1 Produksi Bersih Padi 2025'!D121="","",'1.1 Produksi Bersih Padi 2025'!D121)</f>
        <v/>
      </c>
      <c r="E121" s="1" t="str">
        <f>IF('1.1 Produksi Bersih Padi 2025'!E121="","",'1.1 Produksi Bersih Padi 2025'!E121)</f>
        <v/>
      </c>
      <c r="F121" s="28" t="str">
        <f>IF(D121="","",VLOOKUP(D121,'[1]0.1 Produksi Pangan &amp; Penduduk'!$D$5:$AK$860,34,0))</f>
        <v/>
      </c>
      <c r="G121" s="29" t="str">
        <f t="shared" si="5"/>
        <v/>
      </c>
      <c r="H121" s="29" t="str">
        <f t="shared" si="6"/>
        <v/>
      </c>
      <c r="I121" s="29" t="str">
        <f t="shared" si="7"/>
        <v/>
      </c>
      <c r="J121" s="29" t="str">
        <f t="shared" si="8"/>
        <v/>
      </c>
      <c r="K121" s="29" t="str">
        <f t="shared" si="9"/>
        <v/>
      </c>
      <c r="M121" s="11"/>
    </row>
    <row r="122" spans="1:13" ht="15" x14ac:dyDescent="0.25">
      <c r="A122" s="1" t="str">
        <f>IF('1.1 Produksi Bersih Padi 2025'!A122="","",'1.1 Produksi Bersih Padi 2025'!A122)</f>
        <v/>
      </c>
      <c r="B122" s="31" t="str">
        <f>IF('1.1 Produksi Bersih Padi 2025'!B122="","",'1.1 Produksi Bersih Padi 2025'!B122)</f>
        <v/>
      </c>
      <c r="C122" s="31" t="str">
        <f>IF('1.1 Produksi Bersih Padi 2025'!C122="","",'1.1 Produksi Bersih Padi 2025'!C122)</f>
        <v/>
      </c>
      <c r="D122" s="1" t="str">
        <f>IF('1.1 Produksi Bersih Padi 2025'!D122="","",'1.1 Produksi Bersih Padi 2025'!D122)</f>
        <v/>
      </c>
      <c r="E122" s="1" t="str">
        <f>IF('1.1 Produksi Bersih Padi 2025'!E122="","",'1.1 Produksi Bersih Padi 2025'!E122)</f>
        <v/>
      </c>
      <c r="F122" s="28" t="str">
        <f>IF(D122="","",VLOOKUP(D122,'[1]0.1 Produksi Pangan &amp; Penduduk'!$D$5:$AK$860,34,0))</f>
        <v/>
      </c>
      <c r="G122" s="29" t="str">
        <f t="shared" si="5"/>
        <v/>
      </c>
      <c r="H122" s="29" t="str">
        <f t="shared" si="6"/>
        <v/>
      </c>
      <c r="I122" s="29" t="str">
        <f t="shared" si="7"/>
        <v/>
      </c>
      <c r="J122" s="29" t="str">
        <f t="shared" si="8"/>
        <v/>
      </c>
      <c r="K122" s="29" t="str">
        <f t="shared" si="9"/>
        <v/>
      </c>
      <c r="M122" s="11"/>
    </row>
    <row r="123" spans="1:13" ht="15" x14ac:dyDescent="0.25">
      <c r="A123" s="1" t="str">
        <f>IF('1.1 Produksi Bersih Padi 2025'!A123="","",'1.1 Produksi Bersih Padi 2025'!A123)</f>
        <v/>
      </c>
      <c r="B123" s="31" t="str">
        <f>IF('1.1 Produksi Bersih Padi 2025'!B123="","",'1.1 Produksi Bersih Padi 2025'!B123)</f>
        <v/>
      </c>
      <c r="C123" s="31" t="str">
        <f>IF('1.1 Produksi Bersih Padi 2025'!C123="","",'1.1 Produksi Bersih Padi 2025'!C123)</f>
        <v/>
      </c>
      <c r="D123" s="1" t="str">
        <f>IF('1.1 Produksi Bersih Padi 2025'!D123="","",'1.1 Produksi Bersih Padi 2025'!D123)</f>
        <v/>
      </c>
      <c r="E123" s="1" t="str">
        <f>IF('1.1 Produksi Bersih Padi 2025'!E123="","",'1.1 Produksi Bersih Padi 2025'!E123)</f>
        <v/>
      </c>
      <c r="F123" s="28" t="str">
        <f>IF(D123="","",VLOOKUP(D123,'[1]0.1 Produksi Pangan &amp; Penduduk'!$D$5:$AK$860,34,0))</f>
        <v/>
      </c>
      <c r="G123" s="29" t="str">
        <f t="shared" si="5"/>
        <v/>
      </c>
      <c r="H123" s="29" t="str">
        <f t="shared" si="6"/>
        <v/>
      </c>
      <c r="I123" s="29" t="str">
        <f t="shared" si="7"/>
        <v/>
      </c>
      <c r="J123" s="29" t="str">
        <f t="shared" si="8"/>
        <v/>
      </c>
      <c r="K123" s="29" t="str">
        <f t="shared" si="9"/>
        <v/>
      </c>
      <c r="M123" s="11"/>
    </row>
    <row r="124" spans="1:13" ht="15" x14ac:dyDescent="0.25">
      <c r="A124" s="1" t="str">
        <f>IF('1.1 Produksi Bersih Padi 2025'!A124="","",'1.1 Produksi Bersih Padi 2025'!A124)</f>
        <v/>
      </c>
      <c r="B124" s="31" t="str">
        <f>IF('1.1 Produksi Bersih Padi 2025'!B124="","",'1.1 Produksi Bersih Padi 2025'!B124)</f>
        <v/>
      </c>
      <c r="C124" s="31" t="str">
        <f>IF('1.1 Produksi Bersih Padi 2025'!C124="","",'1.1 Produksi Bersih Padi 2025'!C124)</f>
        <v/>
      </c>
      <c r="D124" s="1" t="str">
        <f>IF('1.1 Produksi Bersih Padi 2025'!D124="","",'1.1 Produksi Bersih Padi 2025'!D124)</f>
        <v/>
      </c>
      <c r="E124" s="1" t="str">
        <f>IF('1.1 Produksi Bersih Padi 2025'!E124="","",'1.1 Produksi Bersih Padi 2025'!E124)</f>
        <v/>
      </c>
      <c r="F124" s="28" t="str">
        <f>IF(D124="","",VLOOKUP(D124,'[1]0.1 Produksi Pangan &amp; Penduduk'!$D$5:$AK$860,34,0))</f>
        <v/>
      </c>
      <c r="G124" s="29" t="str">
        <f t="shared" si="5"/>
        <v/>
      </c>
      <c r="H124" s="29" t="str">
        <f t="shared" si="6"/>
        <v/>
      </c>
      <c r="I124" s="29" t="str">
        <f t="shared" si="7"/>
        <v/>
      </c>
      <c r="J124" s="29" t="str">
        <f t="shared" si="8"/>
        <v/>
      </c>
      <c r="K124" s="29" t="str">
        <f t="shared" si="9"/>
        <v/>
      </c>
      <c r="M124" s="11"/>
    </row>
    <row r="125" spans="1:13" ht="15" x14ac:dyDescent="0.25">
      <c r="A125" s="1" t="str">
        <f>IF('1.1 Produksi Bersih Padi 2025'!A125="","",'1.1 Produksi Bersih Padi 2025'!A125)</f>
        <v/>
      </c>
      <c r="B125" s="31" t="str">
        <f>IF('1.1 Produksi Bersih Padi 2025'!B125="","",'1.1 Produksi Bersih Padi 2025'!B125)</f>
        <v/>
      </c>
      <c r="C125" s="31" t="str">
        <f>IF('1.1 Produksi Bersih Padi 2025'!C125="","",'1.1 Produksi Bersih Padi 2025'!C125)</f>
        <v/>
      </c>
      <c r="D125" s="1" t="str">
        <f>IF('1.1 Produksi Bersih Padi 2025'!D125="","",'1.1 Produksi Bersih Padi 2025'!D125)</f>
        <v/>
      </c>
      <c r="E125" s="1" t="str">
        <f>IF('1.1 Produksi Bersih Padi 2025'!E125="","",'1.1 Produksi Bersih Padi 2025'!E125)</f>
        <v/>
      </c>
      <c r="F125" s="28" t="str">
        <f>IF(D125="","",VLOOKUP(D125,'[1]0.1 Produksi Pangan &amp; Penduduk'!$D$5:$AK$860,34,0))</f>
        <v/>
      </c>
      <c r="G125" s="29" t="str">
        <f t="shared" si="5"/>
        <v/>
      </c>
      <c r="H125" s="29" t="str">
        <f t="shared" si="6"/>
        <v/>
      </c>
      <c r="I125" s="29" t="str">
        <f t="shared" si="7"/>
        <v/>
      </c>
      <c r="J125" s="29" t="str">
        <f t="shared" si="8"/>
        <v/>
      </c>
      <c r="K125" s="29" t="str">
        <f t="shared" si="9"/>
        <v/>
      </c>
      <c r="M125" s="11"/>
    </row>
    <row r="126" spans="1:13" ht="15" x14ac:dyDescent="0.25">
      <c r="A126" s="1" t="str">
        <f>IF('1.1 Produksi Bersih Padi 2025'!A126="","",'1.1 Produksi Bersih Padi 2025'!A126)</f>
        <v/>
      </c>
      <c r="B126" s="31" t="str">
        <f>IF('1.1 Produksi Bersih Padi 2025'!B126="","",'1.1 Produksi Bersih Padi 2025'!B126)</f>
        <v/>
      </c>
      <c r="C126" s="31" t="str">
        <f>IF('1.1 Produksi Bersih Padi 2025'!C126="","",'1.1 Produksi Bersih Padi 2025'!C126)</f>
        <v/>
      </c>
      <c r="D126" s="1" t="str">
        <f>IF('1.1 Produksi Bersih Padi 2025'!D126="","",'1.1 Produksi Bersih Padi 2025'!D126)</f>
        <v/>
      </c>
      <c r="E126" s="1" t="str">
        <f>IF('1.1 Produksi Bersih Padi 2025'!E126="","",'1.1 Produksi Bersih Padi 2025'!E126)</f>
        <v/>
      </c>
      <c r="F126" s="28" t="str">
        <f>IF(D126="","",VLOOKUP(D126,'[1]0.1 Produksi Pangan &amp; Penduduk'!$D$5:$AK$860,34,0))</f>
        <v/>
      </c>
      <c r="G126" s="29" t="str">
        <f t="shared" si="5"/>
        <v/>
      </c>
      <c r="H126" s="29" t="str">
        <f t="shared" si="6"/>
        <v/>
      </c>
      <c r="I126" s="29" t="str">
        <f t="shared" si="7"/>
        <v/>
      </c>
      <c r="J126" s="29" t="str">
        <f t="shared" si="8"/>
        <v/>
      </c>
      <c r="K126" s="29" t="str">
        <f t="shared" si="9"/>
        <v/>
      </c>
      <c r="M126" s="11"/>
    </row>
    <row r="127" spans="1:13" ht="15" x14ac:dyDescent="0.25">
      <c r="A127" s="1" t="str">
        <f>IF('1.1 Produksi Bersih Padi 2025'!A127="","",'1.1 Produksi Bersih Padi 2025'!A127)</f>
        <v/>
      </c>
      <c r="B127" s="31" t="str">
        <f>IF('1.1 Produksi Bersih Padi 2025'!B127="","",'1.1 Produksi Bersih Padi 2025'!B127)</f>
        <v/>
      </c>
      <c r="C127" s="31" t="str">
        <f>IF('1.1 Produksi Bersih Padi 2025'!C127="","",'1.1 Produksi Bersih Padi 2025'!C127)</f>
        <v/>
      </c>
      <c r="D127" s="1" t="str">
        <f>IF('1.1 Produksi Bersih Padi 2025'!D127="","",'1.1 Produksi Bersih Padi 2025'!D127)</f>
        <v/>
      </c>
      <c r="E127" s="1" t="str">
        <f>IF('1.1 Produksi Bersih Padi 2025'!E127="","",'1.1 Produksi Bersih Padi 2025'!E127)</f>
        <v/>
      </c>
      <c r="F127" s="28" t="str">
        <f>IF(D127="","",VLOOKUP(D127,'[1]0.1 Produksi Pangan &amp; Penduduk'!$D$5:$AK$860,34,0))</f>
        <v/>
      </c>
      <c r="G127" s="29" t="str">
        <f t="shared" si="5"/>
        <v/>
      </c>
      <c r="H127" s="29" t="str">
        <f t="shared" si="6"/>
        <v/>
      </c>
      <c r="I127" s="29" t="str">
        <f t="shared" si="7"/>
        <v/>
      </c>
      <c r="J127" s="29" t="str">
        <f t="shared" si="8"/>
        <v/>
      </c>
      <c r="K127" s="29" t="str">
        <f t="shared" si="9"/>
        <v/>
      </c>
      <c r="M127" s="11"/>
    </row>
    <row r="128" spans="1:13" ht="15" x14ac:dyDescent="0.25">
      <c r="A128" s="1" t="str">
        <f>IF('1.1 Produksi Bersih Padi 2025'!A128="","",'1.1 Produksi Bersih Padi 2025'!A128)</f>
        <v/>
      </c>
      <c r="B128" s="31" t="str">
        <f>IF('1.1 Produksi Bersih Padi 2025'!B128="","",'1.1 Produksi Bersih Padi 2025'!B128)</f>
        <v/>
      </c>
      <c r="C128" s="31" t="str">
        <f>IF('1.1 Produksi Bersih Padi 2025'!C128="","",'1.1 Produksi Bersih Padi 2025'!C128)</f>
        <v/>
      </c>
      <c r="D128" s="1" t="str">
        <f>IF('1.1 Produksi Bersih Padi 2025'!D128="","",'1.1 Produksi Bersih Padi 2025'!D128)</f>
        <v/>
      </c>
      <c r="E128" s="1" t="str">
        <f>IF('1.1 Produksi Bersih Padi 2025'!E128="","",'1.1 Produksi Bersih Padi 2025'!E128)</f>
        <v/>
      </c>
      <c r="F128" s="28" t="str">
        <f>IF(D128="","",VLOOKUP(D128,'[1]0.1 Produksi Pangan &amp; Penduduk'!$D$5:$AK$860,34,0))</f>
        <v/>
      </c>
      <c r="G128" s="29" t="str">
        <f t="shared" si="5"/>
        <v/>
      </c>
      <c r="H128" s="29" t="str">
        <f t="shared" si="6"/>
        <v/>
      </c>
      <c r="I128" s="29" t="str">
        <f t="shared" si="7"/>
        <v/>
      </c>
      <c r="J128" s="29" t="str">
        <f t="shared" si="8"/>
        <v/>
      </c>
      <c r="K128" s="29" t="str">
        <f t="shared" si="9"/>
        <v/>
      </c>
      <c r="M128" s="11"/>
    </row>
    <row r="129" spans="1:13" ht="15" x14ac:dyDescent="0.25">
      <c r="A129" s="1" t="str">
        <f>IF('1.1 Produksi Bersih Padi 2025'!A129="","",'1.1 Produksi Bersih Padi 2025'!A129)</f>
        <v/>
      </c>
      <c r="B129" s="31" t="str">
        <f>IF('1.1 Produksi Bersih Padi 2025'!B129="","",'1.1 Produksi Bersih Padi 2025'!B129)</f>
        <v/>
      </c>
      <c r="C129" s="31" t="str">
        <f>IF('1.1 Produksi Bersih Padi 2025'!C129="","",'1.1 Produksi Bersih Padi 2025'!C129)</f>
        <v/>
      </c>
      <c r="D129" s="1" t="str">
        <f>IF('1.1 Produksi Bersih Padi 2025'!D129="","",'1.1 Produksi Bersih Padi 2025'!D129)</f>
        <v/>
      </c>
      <c r="E129" s="1" t="str">
        <f>IF('1.1 Produksi Bersih Padi 2025'!E129="","",'1.1 Produksi Bersih Padi 2025'!E129)</f>
        <v/>
      </c>
      <c r="F129" s="28" t="str">
        <f>IF(D129="","",VLOOKUP(D129,'[1]0.1 Produksi Pangan &amp; Penduduk'!$D$5:$AK$860,34,0))</f>
        <v/>
      </c>
      <c r="G129" s="29" t="str">
        <f t="shared" si="5"/>
        <v/>
      </c>
      <c r="H129" s="29" t="str">
        <f t="shared" si="6"/>
        <v/>
      </c>
      <c r="I129" s="29" t="str">
        <f t="shared" si="7"/>
        <v/>
      </c>
      <c r="J129" s="29" t="str">
        <f t="shared" si="8"/>
        <v/>
      </c>
      <c r="K129" s="29" t="str">
        <f t="shared" si="9"/>
        <v/>
      </c>
      <c r="M129" s="11"/>
    </row>
    <row r="130" spans="1:13" ht="15" x14ac:dyDescent="0.25">
      <c r="A130" s="1" t="str">
        <f>IF('1.1 Produksi Bersih Padi 2025'!A130="","",'1.1 Produksi Bersih Padi 2025'!A130)</f>
        <v/>
      </c>
      <c r="B130" s="31" t="str">
        <f>IF('1.1 Produksi Bersih Padi 2025'!B130="","",'1.1 Produksi Bersih Padi 2025'!B130)</f>
        <v/>
      </c>
      <c r="C130" s="31" t="str">
        <f>IF('1.1 Produksi Bersih Padi 2025'!C130="","",'1.1 Produksi Bersih Padi 2025'!C130)</f>
        <v/>
      </c>
      <c r="D130" s="1" t="str">
        <f>IF('1.1 Produksi Bersih Padi 2025'!D130="","",'1.1 Produksi Bersih Padi 2025'!D130)</f>
        <v/>
      </c>
      <c r="E130" s="1" t="str">
        <f>IF('1.1 Produksi Bersih Padi 2025'!E130="","",'1.1 Produksi Bersih Padi 2025'!E130)</f>
        <v/>
      </c>
      <c r="F130" s="28" t="str">
        <f>IF(D130="","",VLOOKUP(D130,'[1]0.1 Produksi Pangan &amp; Penduduk'!$D$5:$AK$860,34,0))</f>
        <v/>
      </c>
      <c r="G130" s="29" t="str">
        <f t="shared" si="5"/>
        <v/>
      </c>
      <c r="H130" s="29" t="str">
        <f t="shared" si="6"/>
        <v/>
      </c>
      <c r="I130" s="29" t="str">
        <f t="shared" si="7"/>
        <v/>
      </c>
      <c r="J130" s="29" t="str">
        <f t="shared" si="8"/>
        <v/>
      </c>
      <c r="K130" s="29" t="str">
        <f t="shared" si="9"/>
        <v/>
      </c>
      <c r="M130" s="11"/>
    </row>
    <row r="131" spans="1:13" ht="15" x14ac:dyDescent="0.25">
      <c r="A131" s="1" t="str">
        <f>IF('1.1 Produksi Bersih Padi 2025'!A131="","",'1.1 Produksi Bersih Padi 2025'!A131)</f>
        <v/>
      </c>
      <c r="B131" s="31" t="str">
        <f>IF('1.1 Produksi Bersih Padi 2025'!B131="","",'1.1 Produksi Bersih Padi 2025'!B131)</f>
        <v/>
      </c>
      <c r="C131" s="31" t="str">
        <f>IF('1.1 Produksi Bersih Padi 2025'!C131="","",'1.1 Produksi Bersih Padi 2025'!C131)</f>
        <v/>
      </c>
      <c r="D131" s="1" t="str">
        <f>IF('1.1 Produksi Bersih Padi 2025'!D131="","",'1.1 Produksi Bersih Padi 2025'!D131)</f>
        <v/>
      </c>
      <c r="E131" s="1" t="str">
        <f>IF('1.1 Produksi Bersih Padi 2025'!E131="","",'1.1 Produksi Bersih Padi 2025'!E131)</f>
        <v/>
      </c>
      <c r="F131" s="28" t="str">
        <f>IF(D131="","",VLOOKUP(D131,'[1]0.1 Produksi Pangan &amp; Penduduk'!$D$5:$AK$860,34,0))</f>
        <v/>
      </c>
      <c r="G131" s="29" t="str">
        <f t="shared" si="5"/>
        <v/>
      </c>
      <c r="H131" s="29" t="str">
        <f t="shared" si="6"/>
        <v/>
      </c>
      <c r="I131" s="29" t="str">
        <f t="shared" si="7"/>
        <v/>
      </c>
      <c r="J131" s="29" t="str">
        <f t="shared" si="8"/>
        <v/>
      </c>
      <c r="K131" s="29" t="str">
        <f t="shared" si="9"/>
        <v/>
      </c>
      <c r="M131" s="11"/>
    </row>
    <row r="132" spans="1:13" ht="15" x14ac:dyDescent="0.25">
      <c r="A132" s="1" t="str">
        <f>IF('1.1 Produksi Bersih Padi 2025'!A132="","",'1.1 Produksi Bersih Padi 2025'!A132)</f>
        <v/>
      </c>
      <c r="B132" s="31" t="str">
        <f>IF('1.1 Produksi Bersih Padi 2025'!B132="","",'1.1 Produksi Bersih Padi 2025'!B132)</f>
        <v/>
      </c>
      <c r="C132" s="31" t="str">
        <f>IF('1.1 Produksi Bersih Padi 2025'!C132="","",'1.1 Produksi Bersih Padi 2025'!C132)</f>
        <v/>
      </c>
      <c r="D132" s="1" t="str">
        <f>IF('1.1 Produksi Bersih Padi 2025'!D132="","",'1.1 Produksi Bersih Padi 2025'!D132)</f>
        <v/>
      </c>
      <c r="E132" s="1" t="str">
        <f>IF('1.1 Produksi Bersih Padi 2025'!E132="","",'1.1 Produksi Bersih Padi 2025'!E132)</f>
        <v/>
      </c>
      <c r="F132" s="28" t="str">
        <f>IF(D132="","",VLOOKUP(D132,'[1]0.1 Produksi Pangan &amp; Penduduk'!$D$5:$AK$860,34,0))</f>
        <v/>
      </c>
      <c r="G132" s="29" t="str">
        <f t="shared" si="5"/>
        <v/>
      </c>
      <c r="H132" s="29" t="str">
        <f t="shared" si="6"/>
        <v/>
      </c>
      <c r="I132" s="29" t="str">
        <f t="shared" si="7"/>
        <v/>
      </c>
      <c r="J132" s="29" t="str">
        <f t="shared" si="8"/>
        <v/>
      </c>
      <c r="K132" s="29" t="str">
        <f t="shared" si="9"/>
        <v/>
      </c>
      <c r="M132" s="11"/>
    </row>
    <row r="133" spans="1:13" ht="15" x14ac:dyDescent="0.25">
      <c r="A133" s="1" t="str">
        <f>IF('1.1 Produksi Bersih Padi 2025'!A133="","",'1.1 Produksi Bersih Padi 2025'!A133)</f>
        <v/>
      </c>
      <c r="B133" s="31" t="str">
        <f>IF('1.1 Produksi Bersih Padi 2025'!B133="","",'1.1 Produksi Bersih Padi 2025'!B133)</f>
        <v/>
      </c>
      <c r="C133" s="31" t="str">
        <f>IF('1.1 Produksi Bersih Padi 2025'!C133="","",'1.1 Produksi Bersih Padi 2025'!C133)</f>
        <v/>
      </c>
      <c r="D133" s="1" t="str">
        <f>IF('1.1 Produksi Bersih Padi 2025'!D133="","",'1.1 Produksi Bersih Padi 2025'!D133)</f>
        <v/>
      </c>
      <c r="E133" s="1" t="str">
        <f>IF('1.1 Produksi Bersih Padi 2025'!E133="","",'1.1 Produksi Bersih Padi 2025'!E133)</f>
        <v/>
      </c>
      <c r="F133" s="28" t="str">
        <f>IF(D133="","",VLOOKUP(D133,'[1]0.1 Produksi Pangan &amp; Penduduk'!$D$5:$AK$860,34,0))</f>
        <v/>
      </c>
      <c r="G133" s="29" t="str">
        <f t="shared" si="5"/>
        <v/>
      </c>
      <c r="H133" s="29" t="str">
        <f t="shared" si="6"/>
        <v/>
      </c>
      <c r="I133" s="29" t="str">
        <f t="shared" si="7"/>
        <v/>
      </c>
      <c r="J133" s="29" t="str">
        <f t="shared" si="8"/>
        <v/>
      </c>
      <c r="K133" s="29" t="str">
        <f t="shared" si="9"/>
        <v/>
      </c>
      <c r="M133" s="11"/>
    </row>
    <row r="134" spans="1:13" ht="15" x14ac:dyDescent="0.25">
      <c r="A134" s="1" t="str">
        <f>IF('1.1 Produksi Bersih Padi 2025'!A134="","",'1.1 Produksi Bersih Padi 2025'!A134)</f>
        <v/>
      </c>
      <c r="B134" s="31" t="str">
        <f>IF('1.1 Produksi Bersih Padi 2025'!B134="","",'1.1 Produksi Bersih Padi 2025'!B134)</f>
        <v/>
      </c>
      <c r="C134" s="31" t="str">
        <f>IF('1.1 Produksi Bersih Padi 2025'!C134="","",'1.1 Produksi Bersih Padi 2025'!C134)</f>
        <v/>
      </c>
      <c r="D134" s="1" t="str">
        <f>IF('1.1 Produksi Bersih Padi 2025'!D134="","",'1.1 Produksi Bersih Padi 2025'!D134)</f>
        <v/>
      </c>
      <c r="E134" s="1" t="str">
        <f>IF('1.1 Produksi Bersih Padi 2025'!E134="","",'1.1 Produksi Bersih Padi 2025'!E134)</f>
        <v/>
      </c>
      <c r="F134" s="28" t="str">
        <f>IF(D134="","",VLOOKUP(D134,'[1]0.1 Produksi Pangan &amp; Penduduk'!$D$5:$AK$860,34,0))</f>
        <v/>
      </c>
      <c r="G134" s="29" t="str">
        <f t="shared" ref="G134:G197" si="10">IF(F134="","",F134*0%)</f>
        <v/>
      </c>
      <c r="H134" s="29" t="str">
        <f t="shared" ref="H134:H197" si="11">IF(F134="","",F134*0%)</f>
        <v/>
      </c>
      <c r="I134" s="29" t="str">
        <f t="shared" ref="I134:I197" si="12">IF(F134="","",F134*0.72%)</f>
        <v/>
      </c>
      <c r="J134" s="29" t="str">
        <f t="shared" ref="J134:J197" si="13">IF(F134="","",F134-(G134+H134+I134))</f>
        <v/>
      </c>
      <c r="K134" s="29" t="str">
        <f t="shared" ref="K134:K197" si="14">IF(J134="","",J134*0.64)</f>
        <v/>
      </c>
      <c r="M134" s="11"/>
    </row>
    <row r="135" spans="1:13" ht="15" x14ac:dyDescent="0.25">
      <c r="A135" s="1" t="str">
        <f>IF('1.1 Produksi Bersih Padi 2025'!A135="","",'1.1 Produksi Bersih Padi 2025'!A135)</f>
        <v/>
      </c>
      <c r="B135" s="31" t="str">
        <f>IF('1.1 Produksi Bersih Padi 2025'!B135="","",'1.1 Produksi Bersih Padi 2025'!B135)</f>
        <v/>
      </c>
      <c r="C135" s="31" t="str">
        <f>IF('1.1 Produksi Bersih Padi 2025'!C135="","",'1.1 Produksi Bersih Padi 2025'!C135)</f>
        <v/>
      </c>
      <c r="D135" s="1" t="str">
        <f>IF('1.1 Produksi Bersih Padi 2025'!D135="","",'1.1 Produksi Bersih Padi 2025'!D135)</f>
        <v/>
      </c>
      <c r="E135" s="1" t="str">
        <f>IF('1.1 Produksi Bersih Padi 2025'!E135="","",'1.1 Produksi Bersih Padi 2025'!E135)</f>
        <v/>
      </c>
      <c r="F135" s="28" t="str">
        <f>IF(D135="","",VLOOKUP(D135,'[1]0.1 Produksi Pangan &amp; Penduduk'!$D$5:$AK$860,34,0))</f>
        <v/>
      </c>
      <c r="G135" s="29" t="str">
        <f t="shared" si="10"/>
        <v/>
      </c>
      <c r="H135" s="29" t="str">
        <f t="shared" si="11"/>
        <v/>
      </c>
      <c r="I135" s="29" t="str">
        <f t="shared" si="12"/>
        <v/>
      </c>
      <c r="J135" s="29" t="str">
        <f t="shared" si="13"/>
        <v/>
      </c>
      <c r="K135" s="29" t="str">
        <f t="shared" si="14"/>
        <v/>
      </c>
      <c r="M135" s="11"/>
    </row>
    <row r="136" spans="1:13" ht="15" x14ac:dyDescent="0.25">
      <c r="A136" s="1" t="str">
        <f>IF('1.1 Produksi Bersih Padi 2025'!A136="","",'1.1 Produksi Bersih Padi 2025'!A136)</f>
        <v/>
      </c>
      <c r="B136" s="31" t="str">
        <f>IF('1.1 Produksi Bersih Padi 2025'!B136="","",'1.1 Produksi Bersih Padi 2025'!B136)</f>
        <v/>
      </c>
      <c r="C136" s="31" t="str">
        <f>IF('1.1 Produksi Bersih Padi 2025'!C136="","",'1.1 Produksi Bersih Padi 2025'!C136)</f>
        <v/>
      </c>
      <c r="D136" s="1" t="str">
        <f>IF('1.1 Produksi Bersih Padi 2025'!D136="","",'1.1 Produksi Bersih Padi 2025'!D136)</f>
        <v/>
      </c>
      <c r="E136" s="1" t="str">
        <f>IF('1.1 Produksi Bersih Padi 2025'!E136="","",'1.1 Produksi Bersih Padi 2025'!E136)</f>
        <v/>
      </c>
      <c r="F136" s="28" t="str">
        <f>IF(D136="","",VLOOKUP(D136,'[1]0.1 Produksi Pangan &amp; Penduduk'!$D$5:$AK$860,34,0))</f>
        <v/>
      </c>
      <c r="G136" s="29" t="str">
        <f t="shared" si="10"/>
        <v/>
      </c>
      <c r="H136" s="29" t="str">
        <f t="shared" si="11"/>
        <v/>
      </c>
      <c r="I136" s="29" t="str">
        <f t="shared" si="12"/>
        <v/>
      </c>
      <c r="J136" s="29" t="str">
        <f t="shared" si="13"/>
        <v/>
      </c>
      <c r="K136" s="29" t="str">
        <f t="shared" si="14"/>
        <v/>
      </c>
      <c r="M136" s="11"/>
    </row>
    <row r="137" spans="1:13" ht="15" x14ac:dyDescent="0.25">
      <c r="A137" s="1" t="str">
        <f>IF('1.1 Produksi Bersih Padi 2025'!A137="","",'1.1 Produksi Bersih Padi 2025'!A137)</f>
        <v/>
      </c>
      <c r="B137" s="31" t="str">
        <f>IF('1.1 Produksi Bersih Padi 2025'!B137="","",'1.1 Produksi Bersih Padi 2025'!B137)</f>
        <v/>
      </c>
      <c r="C137" s="31" t="str">
        <f>IF('1.1 Produksi Bersih Padi 2025'!C137="","",'1.1 Produksi Bersih Padi 2025'!C137)</f>
        <v/>
      </c>
      <c r="D137" s="1" t="str">
        <f>IF('1.1 Produksi Bersih Padi 2025'!D137="","",'1.1 Produksi Bersih Padi 2025'!D137)</f>
        <v/>
      </c>
      <c r="E137" s="1" t="str">
        <f>IF('1.1 Produksi Bersih Padi 2025'!E137="","",'1.1 Produksi Bersih Padi 2025'!E137)</f>
        <v/>
      </c>
      <c r="F137" s="28" t="str">
        <f>IF(D137="","",VLOOKUP(D137,'[1]0.1 Produksi Pangan &amp; Penduduk'!$D$5:$AK$860,34,0))</f>
        <v/>
      </c>
      <c r="G137" s="29" t="str">
        <f t="shared" si="10"/>
        <v/>
      </c>
      <c r="H137" s="29" t="str">
        <f t="shared" si="11"/>
        <v/>
      </c>
      <c r="I137" s="29" t="str">
        <f t="shared" si="12"/>
        <v/>
      </c>
      <c r="J137" s="29" t="str">
        <f t="shared" si="13"/>
        <v/>
      </c>
      <c r="K137" s="29" t="str">
        <f t="shared" si="14"/>
        <v/>
      </c>
      <c r="M137" s="11"/>
    </row>
    <row r="138" spans="1:13" ht="15" x14ac:dyDescent="0.25">
      <c r="A138" s="1" t="str">
        <f>IF('1.1 Produksi Bersih Padi 2025'!A138="","",'1.1 Produksi Bersih Padi 2025'!A138)</f>
        <v/>
      </c>
      <c r="B138" s="31" t="str">
        <f>IF('1.1 Produksi Bersih Padi 2025'!B138="","",'1.1 Produksi Bersih Padi 2025'!B138)</f>
        <v/>
      </c>
      <c r="C138" s="31" t="str">
        <f>IF('1.1 Produksi Bersih Padi 2025'!C138="","",'1.1 Produksi Bersih Padi 2025'!C138)</f>
        <v/>
      </c>
      <c r="D138" s="1" t="str">
        <f>IF('1.1 Produksi Bersih Padi 2025'!D138="","",'1.1 Produksi Bersih Padi 2025'!D138)</f>
        <v/>
      </c>
      <c r="E138" s="1" t="str">
        <f>IF('1.1 Produksi Bersih Padi 2025'!E138="","",'1.1 Produksi Bersih Padi 2025'!E138)</f>
        <v/>
      </c>
      <c r="F138" s="28" t="str">
        <f>IF(D138="","",VLOOKUP(D138,'[1]0.1 Produksi Pangan &amp; Penduduk'!$D$5:$AK$860,34,0))</f>
        <v/>
      </c>
      <c r="G138" s="29" t="str">
        <f t="shared" si="10"/>
        <v/>
      </c>
      <c r="H138" s="29" t="str">
        <f t="shared" si="11"/>
        <v/>
      </c>
      <c r="I138" s="29" t="str">
        <f t="shared" si="12"/>
        <v/>
      </c>
      <c r="J138" s="29" t="str">
        <f t="shared" si="13"/>
        <v/>
      </c>
      <c r="K138" s="29" t="str">
        <f t="shared" si="14"/>
        <v/>
      </c>
      <c r="M138" s="11"/>
    </row>
    <row r="139" spans="1:13" ht="15" x14ac:dyDescent="0.25">
      <c r="A139" s="1" t="str">
        <f>IF('1.1 Produksi Bersih Padi 2025'!A139="","",'1.1 Produksi Bersih Padi 2025'!A139)</f>
        <v/>
      </c>
      <c r="B139" s="31" t="str">
        <f>IF('1.1 Produksi Bersih Padi 2025'!B139="","",'1.1 Produksi Bersih Padi 2025'!B139)</f>
        <v/>
      </c>
      <c r="C139" s="31" t="str">
        <f>IF('1.1 Produksi Bersih Padi 2025'!C139="","",'1.1 Produksi Bersih Padi 2025'!C139)</f>
        <v/>
      </c>
      <c r="D139" s="1" t="str">
        <f>IF('1.1 Produksi Bersih Padi 2025'!D139="","",'1.1 Produksi Bersih Padi 2025'!D139)</f>
        <v/>
      </c>
      <c r="E139" s="1" t="str">
        <f>IF('1.1 Produksi Bersih Padi 2025'!E139="","",'1.1 Produksi Bersih Padi 2025'!E139)</f>
        <v/>
      </c>
      <c r="F139" s="28" t="str">
        <f>IF(D139="","",VLOOKUP(D139,'[1]0.1 Produksi Pangan &amp; Penduduk'!$D$5:$AK$860,34,0))</f>
        <v/>
      </c>
      <c r="G139" s="29" t="str">
        <f t="shared" si="10"/>
        <v/>
      </c>
      <c r="H139" s="29" t="str">
        <f t="shared" si="11"/>
        <v/>
      </c>
      <c r="I139" s="29" t="str">
        <f t="shared" si="12"/>
        <v/>
      </c>
      <c r="J139" s="29" t="str">
        <f t="shared" si="13"/>
        <v/>
      </c>
      <c r="K139" s="29" t="str">
        <f t="shared" si="14"/>
        <v/>
      </c>
      <c r="M139" s="11"/>
    </row>
    <row r="140" spans="1:13" ht="15" x14ac:dyDescent="0.25">
      <c r="A140" s="1" t="str">
        <f>IF('1.1 Produksi Bersih Padi 2025'!A140="","",'1.1 Produksi Bersih Padi 2025'!A140)</f>
        <v/>
      </c>
      <c r="B140" s="31" t="str">
        <f>IF('1.1 Produksi Bersih Padi 2025'!B140="","",'1.1 Produksi Bersih Padi 2025'!B140)</f>
        <v/>
      </c>
      <c r="C140" s="31" t="str">
        <f>IF('1.1 Produksi Bersih Padi 2025'!C140="","",'1.1 Produksi Bersih Padi 2025'!C140)</f>
        <v/>
      </c>
      <c r="D140" s="1" t="str">
        <f>IF('1.1 Produksi Bersih Padi 2025'!D140="","",'1.1 Produksi Bersih Padi 2025'!D140)</f>
        <v/>
      </c>
      <c r="E140" s="1" t="str">
        <f>IF('1.1 Produksi Bersih Padi 2025'!E140="","",'1.1 Produksi Bersih Padi 2025'!E140)</f>
        <v/>
      </c>
      <c r="F140" s="28" t="str">
        <f>IF(D140="","",VLOOKUP(D140,'[1]0.1 Produksi Pangan &amp; Penduduk'!$D$5:$AK$860,34,0))</f>
        <v/>
      </c>
      <c r="G140" s="29" t="str">
        <f t="shared" si="10"/>
        <v/>
      </c>
      <c r="H140" s="29" t="str">
        <f t="shared" si="11"/>
        <v/>
      </c>
      <c r="I140" s="29" t="str">
        <f t="shared" si="12"/>
        <v/>
      </c>
      <c r="J140" s="29" t="str">
        <f t="shared" si="13"/>
        <v/>
      </c>
      <c r="K140" s="29" t="str">
        <f t="shared" si="14"/>
        <v/>
      </c>
      <c r="M140" s="11"/>
    </row>
    <row r="141" spans="1:13" ht="15" x14ac:dyDescent="0.25">
      <c r="A141" s="1" t="str">
        <f>IF('1.1 Produksi Bersih Padi 2025'!A141="","",'1.1 Produksi Bersih Padi 2025'!A141)</f>
        <v/>
      </c>
      <c r="B141" s="31" t="str">
        <f>IF('1.1 Produksi Bersih Padi 2025'!B141="","",'1.1 Produksi Bersih Padi 2025'!B141)</f>
        <v/>
      </c>
      <c r="C141" s="31" t="str">
        <f>IF('1.1 Produksi Bersih Padi 2025'!C141="","",'1.1 Produksi Bersih Padi 2025'!C141)</f>
        <v/>
      </c>
      <c r="D141" s="1" t="str">
        <f>IF('1.1 Produksi Bersih Padi 2025'!D141="","",'1.1 Produksi Bersih Padi 2025'!D141)</f>
        <v/>
      </c>
      <c r="E141" s="1" t="str">
        <f>IF('1.1 Produksi Bersih Padi 2025'!E141="","",'1.1 Produksi Bersih Padi 2025'!E141)</f>
        <v/>
      </c>
      <c r="F141" s="28" t="str">
        <f>IF(D141="","",VLOOKUP(D141,'[1]0.1 Produksi Pangan &amp; Penduduk'!$D$5:$AK$860,34,0))</f>
        <v/>
      </c>
      <c r="G141" s="29" t="str">
        <f t="shared" si="10"/>
        <v/>
      </c>
      <c r="H141" s="29" t="str">
        <f t="shared" si="11"/>
        <v/>
      </c>
      <c r="I141" s="29" t="str">
        <f t="shared" si="12"/>
        <v/>
      </c>
      <c r="J141" s="29" t="str">
        <f t="shared" si="13"/>
        <v/>
      </c>
      <c r="K141" s="29" t="str">
        <f t="shared" si="14"/>
        <v/>
      </c>
      <c r="M141" s="11"/>
    </row>
    <row r="142" spans="1:13" ht="15" x14ac:dyDescent="0.25">
      <c r="A142" s="1" t="str">
        <f>IF('1.1 Produksi Bersih Padi 2025'!A142="","",'1.1 Produksi Bersih Padi 2025'!A142)</f>
        <v/>
      </c>
      <c r="B142" s="31" t="str">
        <f>IF('1.1 Produksi Bersih Padi 2025'!B142="","",'1.1 Produksi Bersih Padi 2025'!B142)</f>
        <v/>
      </c>
      <c r="C142" s="31" t="str">
        <f>IF('1.1 Produksi Bersih Padi 2025'!C142="","",'1.1 Produksi Bersih Padi 2025'!C142)</f>
        <v/>
      </c>
      <c r="D142" s="1" t="str">
        <f>IF('1.1 Produksi Bersih Padi 2025'!D142="","",'1.1 Produksi Bersih Padi 2025'!D142)</f>
        <v/>
      </c>
      <c r="E142" s="1" t="str">
        <f>IF('1.1 Produksi Bersih Padi 2025'!E142="","",'1.1 Produksi Bersih Padi 2025'!E142)</f>
        <v/>
      </c>
      <c r="F142" s="28" t="str">
        <f>IF(D142="","",VLOOKUP(D142,'[1]0.1 Produksi Pangan &amp; Penduduk'!$D$5:$AK$860,34,0))</f>
        <v/>
      </c>
      <c r="G142" s="29" t="str">
        <f t="shared" si="10"/>
        <v/>
      </c>
      <c r="H142" s="29" t="str">
        <f t="shared" si="11"/>
        <v/>
      </c>
      <c r="I142" s="29" t="str">
        <f t="shared" si="12"/>
        <v/>
      </c>
      <c r="J142" s="29" t="str">
        <f t="shared" si="13"/>
        <v/>
      </c>
      <c r="K142" s="29" t="str">
        <f t="shared" si="14"/>
        <v/>
      </c>
      <c r="M142" s="11"/>
    </row>
    <row r="143" spans="1:13" ht="15" x14ac:dyDescent="0.25">
      <c r="A143" s="1" t="str">
        <f>IF('1.1 Produksi Bersih Padi 2025'!A143="","",'1.1 Produksi Bersih Padi 2025'!A143)</f>
        <v/>
      </c>
      <c r="B143" s="31" t="str">
        <f>IF('1.1 Produksi Bersih Padi 2025'!B143="","",'1.1 Produksi Bersih Padi 2025'!B143)</f>
        <v/>
      </c>
      <c r="C143" s="31" t="str">
        <f>IF('1.1 Produksi Bersih Padi 2025'!C143="","",'1.1 Produksi Bersih Padi 2025'!C143)</f>
        <v/>
      </c>
      <c r="D143" s="1" t="str">
        <f>IF('1.1 Produksi Bersih Padi 2025'!D143="","",'1.1 Produksi Bersih Padi 2025'!D143)</f>
        <v/>
      </c>
      <c r="E143" s="1" t="str">
        <f>IF('1.1 Produksi Bersih Padi 2025'!E143="","",'1.1 Produksi Bersih Padi 2025'!E143)</f>
        <v/>
      </c>
      <c r="F143" s="28" t="str">
        <f>IF(D143="","",VLOOKUP(D143,'[1]0.1 Produksi Pangan &amp; Penduduk'!$D$5:$AK$860,34,0))</f>
        <v/>
      </c>
      <c r="G143" s="29" t="str">
        <f t="shared" si="10"/>
        <v/>
      </c>
      <c r="H143" s="29" t="str">
        <f t="shared" si="11"/>
        <v/>
      </c>
      <c r="I143" s="29" t="str">
        <f t="shared" si="12"/>
        <v/>
      </c>
      <c r="J143" s="29" t="str">
        <f t="shared" si="13"/>
        <v/>
      </c>
      <c r="K143" s="29" t="str">
        <f t="shared" si="14"/>
        <v/>
      </c>
      <c r="M143" s="11"/>
    </row>
    <row r="144" spans="1:13" ht="15" x14ac:dyDescent="0.25">
      <c r="A144" s="1" t="str">
        <f>IF('1.1 Produksi Bersih Padi 2025'!A144="","",'1.1 Produksi Bersih Padi 2025'!A144)</f>
        <v/>
      </c>
      <c r="B144" s="31" t="str">
        <f>IF('1.1 Produksi Bersih Padi 2025'!B144="","",'1.1 Produksi Bersih Padi 2025'!B144)</f>
        <v/>
      </c>
      <c r="C144" s="31" t="str">
        <f>IF('1.1 Produksi Bersih Padi 2025'!C144="","",'1.1 Produksi Bersih Padi 2025'!C144)</f>
        <v/>
      </c>
      <c r="D144" s="1" t="str">
        <f>IF('1.1 Produksi Bersih Padi 2025'!D144="","",'1.1 Produksi Bersih Padi 2025'!D144)</f>
        <v/>
      </c>
      <c r="E144" s="1" t="str">
        <f>IF('1.1 Produksi Bersih Padi 2025'!E144="","",'1.1 Produksi Bersih Padi 2025'!E144)</f>
        <v/>
      </c>
      <c r="F144" s="28" t="str">
        <f>IF(D144="","",VLOOKUP(D144,'[1]0.1 Produksi Pangan &amp; Penduduk'!$D$5:$AK$860,34,0))</f>
        <v/>
      </c>
      <c r="G144" s="29" t="str">
        <f t="shared" si="10"/>
        <v/>
      </c>
      <c r="H144" s="29" t="str">
        <f t="shared" si="11"/>
        <v/>
      </c>
      <c r="I144" s="29" t="str">
        <f t="shared" si="12"/>
        <v/>
      </c>
      <c r="J144" s="29" t="str">
        <f t="shared" si="13"/>
        <v/>
      </c>
      <c r="K144" s="29" t="str">
        <f t="shared" si="14"/>
        <v/>
      </c>
      <c r="M144" s="11"/>
    </row>
    <row r="145" spans="1:13" ht="15" x14ac:dyDescent="0.25">
      <c r="A145" s="1" t="str">
        <f>IF('1.1 Produksi Bersih Padi 2025'!A145="","",'1.1 Produksi Bersih Padi 2025'!A145)</f>
        <v/>
      </c>
      <c r="B145" s="31" t="str">
        <f>IF('1.1 Produksi Bersih Padi 2025'!B145="","",'1.1 Produksi Bersih Padi 2025'!B145)</f>
        <v/>
      </c>
      <c r="C145" s="31" t="str">
        <f>IF('1.1 Produksi Bersih Padi 2025'!C145="","",'1.1 Produksi Bersih Padi 2025'!C145)</f>
        <v/>
      </c>
      <c r="D145" s="1" t="str">
        <f>IF('1.1 Produksi Bersih Padi 2025'!D145="","",'1.1 Produksi Bersih Padi 2025'!D145)</f>
        <v/>
      </c>
      <c r="E145" s="1" t="str">
        <f>IF('1.1 Produksi Bersih Padi 2025'!E145="","",'1.1 Produksi Bersih Padi 2025'!E145)</f>
        <v/>
      </c>
      <c r="F145" s="28" t="str">
        <f>IF(D145="","",VLOOKUP(D145,'[1]0.1 Produksi Pangan &amp; Penduduk'!$D$5:$AK$860,34,0))</f>
        <v/>
      </c>
      <c r="G145" s="29" t="str">
        <f t="shared" si="10"/>
        <v/>
      </c>
      <c r="H145" s="29" t="str">
        <f t="shared" si="11"/>
        <v/>
      </c>
      <c r="I145" s="29" t="str">
        <f t="shared" si="12"/>
        <v/>
      </c>
      <c r="J145" s="29" t="str">
        <f t="shared" si="13"/>
        <v/>
      </c>
      <c r="K145" s="29" t="str">
        <f t="shared" si="14"/>
        <v/>
      </c>
      <c r="M145" s="11"/>
    </row>
    <row r="146" spans="1:13" ht="15" x14ac:dyDescent="0.25">
      <c r="A146" s="1" t="str">
        <f>IF('1.1 Produksi Bersih Padi 2025'!A146="","",'1.1 Produksi Bersih Padi 2025'!A146)</f>
        <v/>
      </c>
      <c r="B146" s="31" t="str">
        <f>IF('1.1 Produksi Bersih Padi 2025'!B146="","",'1.1 Produksi Bersih Padi 2025'!B146)</f>
        <v/>
      </c>
      <c r="C146" s="31" t="str">
        <f>IF('1.1 Produksi Bersih Padi 2025'!C146="","",'1.1 Produksi Bersih Padi 2025'!C146)</f>
        <v/>
      </c>
      <c r="D146" s="1" t="str">
        <f>IF('1.1 Produksi Bersih Padi 2025'!D146="","",'1.1 Produksi Bersih Padi 2025'!D146)</f>
        <v/>
      </c>
      <c r="E146" s="1" t="str">
        <f>IF('1.1 Produksi Bersih Padi 2025'!E146="","",'1.1 Produksi Bersih Padi 2025'!E146)</f>
        <v/>
      </c>
      <c r="F146" s="28" t="str">
        <f>IF(D146="","",VLOOKUP(D146,'[1]0.1 Produksi Pangan &amp; Penduduk'!$D$5:$AK$860,34,0))</f>
        <v/>
      </c>
      <c r="G146" s="29" t="str">
        <f t="shared" si="10"/>
        <v/>
      </c>
      <c r="H146" s="29" t="str">
        <f t="shared" si="11"/>
        <v/>
      </c>
      <c r="I146" s="29" t="str">
        <f t="shared" si="12"/>
        <v/>
      </c>
      <c r="J146" s="29" t="str">
        <f t="shared" si="13"/>
        <v/>
      </c>
      <c r="K146" s="29" t="str">
        <f t="shared" si="14"/>
        <v/>
      </c>
      <c r="M146" s="11"/>
    </row>
    <row r="147" spans="1:13" ht="15" x14ac:dyDescent="0.25">
      <c r="A147" s="1" t="str">
        <f>IF('1.1 Produksi Bersih Padi 2025'!A147="","",'1.1 Produksi Bersih Padi 2025'!A147)</f>
        <v/>
      </c>
      <c r="B147" s="31" t="str">
        <f>IF('1.1 Produksi Bersih Padi 2025'!B147="","",'1.1 Produksi Bersih Padi 2025'!B147)</f>
        <v/>
      </c>
      <c r="C147" s="31" t="str">
        <f>IF('1.1 Produksi Bersih Padi 2025'!C147="","",'1.1 Produksi Bersih Padi 2025'!C147)</f>
        <v/>
      </c>
      <c r="D147" s="1" t="str">
        <f>IF('1.1 Produksi Bersih Padi 2025'!D147="","",'1.1 Produksi Bersih Padi 2025'!D147)</f>
        <v/>
      </c>
      <c r="E147" s="1" t="str">
        <f>IF('1.1 Produksi Bersih Padi 2025'!E147="","",'1.1 Produksi Bersih Padi 2025'!E147)</f>
        <v/>
      </c>
      <c r="F147" s="28" t="str">
        <f>IF(D147="","",VLOOKUP(D147,'[1]0.1 Produksi Pangan &amp; Penduduk'!$D$5:$AK$860,34,0))</f>
        <v/>
      </c>
      <c r="G147" s="29" t="str">
        <f t="shared" si="10"/>
        <v/>
      </c>
      <c r="H147" s="29" t="str">
        <f t="shared" si="11"/>
        <v/>
      </c>
      <c r="I147" s="29" t="str">
        <f t="shared" si="12"/>
        <v/>
      </c>
      <c r="J147" s="29" t="str">
        <f t="shared" si="13"/>
        <v/>
      </c>
      <c r="K147" s="29" t="str">
        <f t="shared" si="14"/>
        <v/>
      </c>
      <c r="M147" s="11"/>
    </row>
    <row r="148" spans="1:13" ht="15" x14ac:dyDescent="0.25">
      <c r="A148" s="1" t="str">
        <f>IF('1.1 Produksi Bersih Padi 2025'!A148="","",'1.1 Produksi Bersih Padi 2025'!A148)</f>
        <v/>
      </c>
      <c r="B148" s="31" t="str">
        <f>IF('1.1 Produksi Bersih Padi 2025'!B148="","",'1.1 Produksi Bersih Padi 2025'!B148)</f>
        <v/>
      </c>
      <c r="C148" s="31" t="str">
        <f>IF('1.1 Produksi Bersih Padi 2025'!C148="","",'1.1 Produksi Bersih Padi 2025'!C148)</f>
        <v/>
      </c>
      <c r="D148" s="1" t="str">
        <f>IF('1.1 Produksi Bersih Padi 2025'!D148="","",'1.1 Produksi Bersih Padi 2025'!D148)</f>
        <v/>
      </c>
      <c r="E148" s="1" t="str">
        <f>IF('1.1 Produksi Bersih Padi 2025'!E148="","",'1.1 Produksi Bersih Padi 2025'!E148)</f>
        <v/>
      </c>
      <c r="F148" s="28" t="str">
        <f>IF(D148="","",VLOOKUP(D148,'[1]0.1 Produksi Pangan &amp; Penduduk'!$D$5:$AK$860,34,0))</f>
        <v/>
      </c>
      <c r="G148" s="29" t="str">
        <f t="shared" si="10"/>
        <v/>
      </c>
      <c r="H148" s="29" t="str">
        <f t="shared" si="11"/>
        <v/>
      </c>
      <c r="I148" s="29" t="str">
        <f t="shared" si="12"/>
        <v/>
      </c>
      <c r="J148" s="29" t="str">
        <f t="shared" si="13"/>
        <v/>
      </c>
      <c r="K148" s="29" t="str">
        <f t="shared" si="14"/>
        <v/>
      </c>
      <c r="M148" s="11"/>
    </row>
    <row r="149" spans="1:13" ht="15" x14ac:dyDescent="0.25">
      <c r="A149" s="1" t="str">
        <f>IF('1.1 Produksi Bersih Padi 2025'!A149="","",'1.1 Produksi Bersih Padi 2025'!A149)</f>
        <v/>
      </c>
      <c r="B149" s="31" t="str">
        <f>IF('1.1 Produksi Bersih Padi 2025'!B149="","",'1.1 Produksi Bersih Padi 2025'!B149)</f>
        <v/>
      </c>
      <c r="C149" s="31" t="str">
        <f>IF('1.1 Produksi Bersih Padi 2025'!C149="","",'1.1 Produksi Bersih Padi 2025'!C149)</f>
        <v/>
      </c>
      <c r="D149" s="1" t="str">
        <f>IF('1.1 Produksi Bersih Padi 2025'!D149="","",'1.1 Produksi Bersih Padi 2025'!D149)</f>
        <v/>
      </c>
      <c r="E149" s="1" t="str">
        <f>IF('1.1 Produksi Bersih Padi 2025'!E149="","",'1.1 Produksi Bersih Padi 2025'!E149)</f>
        <v/>
      </c>
      <c r="F149" s="28" t="str">
        <f>IF(D149="","",VLOOKUP(D149,'[1]0.1 Produksi Pangan &amp; Penduduk'!$D$5:$AK$860,34,0))</f>
        <v/>
      </c>
      <c r="G149" s="29" t="str">
        <f t="shared" si="10"/>
        <v/>
      </c>
      <c r="H149" s="29" t="str">
        <f t="shared" si="11"/>
        <v/>
      </c>
      <c r="I149" s="29" t="str">
        <f t="shared" si="12"/>
        <v/>
      </c>
      <c r="J149" s="29" t="str">
        <f t="shared" si="13"/>
        <v/>
      </c>
      <c r="K149" s="29" t="str">
        <f t="shared" si="14"/>
        <v/>
      </c>
      <c r="M149" s="11"/>
    </row>
    <row r="150" spans="1:13" ht="15" x14ac:dyDescent="0.25">
      <c r="A150" s="1" t="str">
        <f>IF('1.1 Produksi Bersih Padi 2025'!A150="","",'1.1 Produksi Bersih Padi 2025'!A150)</f>
        <v/>
      </c>
      <c r="B150" s="31" t="str">
        <f>IF('1.1 Produksi Bersih Padi 2025'!B150="","",'1.1 Produksi Bersih Padi 2025'!B150)</f>
        <v/>
      </c>
      <c r="C150" s="31" t="str">
        <f>IF('1.1 Produksi Bersih Padi 2025'!C150="","",'1.1 Produksi Bersih Padi 2025'!C150)</f>
        <v/>
      </c>
      <c r="D150" s="1" t="str">
        <f>IF('1.1 Produksi Bersih Padi 2025'!D150="","",'1.1 Produksi Bersih Padi 2025'!D150)</f>
        <v/>
      </c>
      <c r="E150" s="1" t="str">
        <f>IF('1.1 Produksi Bersih Padi 2025'!E150="","",'1.1 Produksi Bersih Padi 2025'!E150)</f>
        <v/>
      </c>
      <c r="F150" s="28" t="str">
        <f>IF(D150="","",VLOOKUP(D150,'[1]0.1 Produksi Pangan &amp; Penduduk'!$D$5:$AK$860,34,0))</f>
        <v/>
      </c>
      <c r="G150" s="29" t="str">
        <f t="shared" si="10"/>
        <v/>
      </c>
      <c r="H150" s="29" t="str">
        <f t="shared" si="11"/>
        <v/>
      </c>
      <c r="I150" s="29" t="str">
        <f t="shared" si="12"/>
        <v/>
      </c>
      <c r="J150" s="29" t="str">
        <f t="shared" si="13"/>
        <v/>
      </c>
      <c r="K150" s="29" t="str">
        <f t="shared" si="14"/>
        <v/>
      </c>
      <c r="M150" s="11"/>
    </row>
    <row r="151" spans="1:13" ht="15" x14ac:dyDescent="0.25">
      <c r="A151" s="1" t="str">
        <f>IF('1.1 Produksi Bersih Padi 2025'!A151="","",'1.1 Produksi Bersih Padi 2025'!A151)</f>
        <v/>
      </c>
      <c r="B151" s="31" t="str">
        <f>IF('1.1 Produksi Bersih Padi 2025'!B151="","",'1.1 Produksi Bersih Padi 2025'!B151)</f>
        <v/>
      </c>
      <c r="C151" s="31" t="str">
        <f>IF('1.1 Produksi Bersih Padi 2025'!C151="","",'1.1 Produksi Bersih Padi 2025'!C151)</f>
        <v/>
      </c>
      <c r="D151" s="1" t="str">
        <f>IF('1.1 Produksi Bersih Padi 2025'!D151="","",'1.1 Produksi Bersih Padi 2025'!D151)</f>
        <v/>
      </c>
      <c r="E151" s="1" t="str">
        <f>IF('1.1 Produksi Bersih Padi 2025'!E151="","",'1.1 Produksi Bersih Padi 2025'!E151)</f>
        <v/>
      </c>
      <c r="F151" s="28" t="str">
        <f>IF(D151="","",VLOOKUP(D151,'[1]0.1 Produksi Pangan &amp; Penduduk'!$D$5:$AK$860,34,0))</f>
        <v/>
      </c>
      <c r="G151" s="29" t="str">
        <f t="shared" si="10"/>
        <v/>
      </c>
      <c r="H151" s="29" t="str">
        <f t="shared" si="11"/>
        <v/>
      </c>
      <c r="I151" s="29" t="str">
        <f t="shared" si="12"/>
        <v/>
      </c>
      <c r="J151" s="29" t="str">
        <f t="shared" si="13"/>
        <v/>
      </c>
      <c r="K151" s="29" t="str">
        <f t="shared" si="14"/>
        <v/>
      </c>
      <c r="M151" s="11"/>
    </row>
    <row r="152" spans="1:13" ht="15" x14ac:dyDescent="0.25">
      <c r="A152" s="1" t="str">
        <f>IF('1.1 Produksi Bersih Padi 2025'!A152="","",'1.1 Produksi Bersih Padi 2025'!A152)</f>
        <v/>
      </c>
      <c r="B152" s="31" t="str">
        <f>IF('1.1 Produksi Bersih Padi 2025'!B152="","",'1.1 Produksi Bersih Padi 2025'!B152)</f>
        <v/>
      </c>
      <c r="C152" s="31" t="str">
        <f>IF('1.1 Produksi Bersih Padi 2025'!C152="","",'1.1 Produksi Bersih Padi 2025'!C152)</f>
        <v/>
      </c>
      <c r="D152" s="1" t="str">
        <f>IF('1.1 Produksi Bersih Padi 2025'!D152="","",'1.1 Produksi Bersih Padi 2025'!D152)</f>
        <v/>
      </c>
      <c r="E152" s="1" t="str">
        <f>IF('1.1 Produksi Bersih Padi 2025'!E152="","",'1.1 Produksi Bersih Padi 2025'!E152)</f>
        <v/>
      </c>
      <c r="F152" s="28" t="str">
        <f>IF(D152="","",VLOOKUP(D152,'[1]0.1 Produksi Pangan &amp; Penduduk'!$D$5:$AK$860,34,0))</f>
        <v/>
      </c>
      <c r="G152" s="29" t="str">
        <f t="shared" si="10"/>
        <v/>
      </c>
      <c r="H152" s="29" t="str">
        <f t="shared" si="11"/>
        <v/>
      </c>
      <c r="I152" s="29" t="str">
        <f t="shared" si="12"/>
        <v/>
      </c>
      <c r="J152" s="29" t="str">
        <f t="shared" si="13"/>
        <v/>
      </c>
      <c r="K152" s="29" t="str">
        <f t="shared" si="14"/>
        <v/>
      </c>
      <c r="M152" s="11"/>
    </row>
    <row r="153" spans="1:13" ht="15" x14ac:dyDescent="0.25">
      <c r="A153" s="1" t="str">
        <f>IF('1.1 Produksi Bersih Padi 2025'!A153="","",'1.1 Produksi Bersih Padi 2025'!A153)</f>
        <v/>
      </c>
      <c r="B153" s="31" t="str">
        <f>IF('1.1 Produksi Bersih Padi 2025'!B153="","",'1.1 Produksi Bersih Padi 2025'!B153)</f>
        <v/>
      </c>
      <c r="C153" s="31" t="str">
        <f>IF('1.1 Produksi Bersih Padi 2025'!C153="","",'1.1 Produksi Bersih Padi 2025'!C153)</f>
        <v/>
      </c>
      <c r="D153" s="1" t="str">
        <f>IF('1.1 Produksi Bersih Padi 2025'!D153="","",'1.1 Produksi Bersih Padi 2025'!D153)</f>
        <v/>
      </c>
      <c r="E153" s="1" t="str">
        <f>IF('1.1 Produksi Bersih Padi 2025'!E153="","",'1.1 Produksi Bersih Padi 2025'!E153)</f>
        <v/>
      </c>
      <c r="F153" s="28" t="str">
        <f>IF(D153="","",VLOOKUP(D153,'[1]0.1 Produksi Pangan &amp; Penduduk'!$D$5:$AK$860,34,0))</f>
        <v/>
      </c>
      <c r="G153" s="29" t="str">
        <f t="shared" si="10"/>
        <v/>
      </c>
      <c r="H153" s="29" t="str">
        <f t="shared" si="11"/>
        <v/>
      </c>
      <c r="I153" s="29" t="str">
        <f t="shared" si="12"/>
        <v/>
      </c>
      <c r="J153" s="29" t="str">
        <f t="shared" si="13"/>
        <v/>
      </c>
      <c r="K153" s="29" t="str">
        <f t="shared" si="14"/>
        <v/>
      </c>
      <c r="M153" s="11"/>
    </row>
    <row r="154" spans="1:13" ht="15" x14ac:dyDescent="0.25">
      <c r="A154" s="1" t="str">
        <f>IF('1.1 Produksi Bersih Padi 2025'!A154="","",'1.1 Produksi Bersih Padi 2025'!A154)</f>
        <v/>
      </c>
      <c r="B154" s="31" t="str">
        <f>IF('1.1 Produksi Bersih Padi 2025'!B154="","",'1.1 Produksi Bersih Padi 2025'!B154)</f>
        <v/>
      </c>
      <c r="C154" s="31" t="str">
        <f>IF('1.1 Produksi Bersih Padi 2025'!C154="","",'1.1 Produksi Bersih Padi 2025'!C154)</f>
        <v/>
      </c>
      <c r="D154" s="1" t="str">
        <f>IF('1.1 Produksi Bersih Padi 2025'!D154="","",'1.1 Produksi Bersih Padi 2025'!D154)</f>
        <v/>
      </c>
      <c r="E154" s="1" t="str">
        <f>IF('1.1 Produksi Bersih Padi 2025'!E154="","",'1.1 Produksi Bersih Padi 2025'!E154)</f>
        <v/>
      </c>
      <c r="F154" s="28" t="str">
        <f>IF(D154="","",VLOOKUP(D154,'[1]0.1 Produksi Pangan &amp; Penduduk'!$D$5:$AK$860,34,0))</f>
        <v/>
      </c>
      <c r="G154" s="29" t="str">
        <f t="shared" si="10"/>
        <v/>
      </c>
      <c r="H154" s="29" t="str">
        <f t="shared" si="11"/>
        <v/>
      </c>
      <c r="I154" s="29" t="str">
        <f t="shared" si="12"/>
        <v/>
      </c>
      <c r="J154" s="29" t="str">
        <f t="shared" si="13"/>
        <v/>
      </c>
      <c r="K154" s="29" t="str">
        <f t="shared" si="14"/>
        <v/>
      </c>
      <c r="M154" s="11"/>
    </row>
    <row r="155" spans="1:13" ht="15" x14ac:dyDescent="0.25">
      <c r="A155" s="1" t="str">
        <f>IF('1.1 Produksi Bersih Padi 2025'!A155="","",'1.1 Produksi Bersih Padi 2025'!A155)</f>
        <v/>
      </c>
      <c r="B155" s="31" t="str">
        <f>IF('1.1 Produksi Bersih Padi 2025'!B155="","",'1.1 Produksi Bersih Padi 2025'!B155)</f>
        <v/>
      </c>
      <c r="C155" s="31" t="str">
        <f>IF('1.1 Produksi Bersih Padi 2025'!C155="","",'1.1 Produksi Bersih Padi 2025'!C155)</f>
        <v/>
      </c>
      <c r="D155" s="1" t="str">
        <f>IF('1.1 Produksi Bersih Padi 2025'!D155="","",'1.1 Produksi Bersih Padi 2025'!D155)</f>
        <v/>
      </c>
      <c r="E155" s="1" t="str">
        <f>IF('1.1 Produksi Bersih Padi 2025'!E155="","",'1.1 Produksi Bersih Padi 2025'!E155)</f>
        <v/>
      </c>
      <c r="F155" s="28" t="str">
        <f>IF(D155="","",VLOOKUP(D155,'[1]0.1 Produksi Pangan &amp; Penduduk'!$D$5:$AK$860,34,0))</f>
        <v/>
      </c>
      <c r="G155" s="29" t="str">
        <f t="shared" si="10"/>
        <v/>
      </c>
      <c r="H155" s="29" t="str">
        <f t="shared" si="11"/>
        <v/>
      </c>
      <c r="I155" s="29" t="str">
        <f t="shared" si="12"/>
        <v/>
      </c>
      <c r="J155" s="29" t="str">
        <f t="shared" si="13"/>
        <v/>
      </c>
      <c r="K155" s="29" t="str">
        <f t="shared" si="14"/>
        <v/>
      </c>
      <c r="M155" s="11"/>
    </row>
    <row r="156" spans="1:13" ht="15" x14ac:dyDescent="0.25">
      <c r="A156" s="1" t="str">
        <f>IF('1.1 Produksi Bersih Padi 2025'!A156="","",'1.1 Produksi Bersih Padi 2025'!A156)</f>
        <v/>
      </c>
      <c r="B156" s="31" t="str">
        <f>IF('1.1 Produksi Bersih Padi 2025'!B156="","",'1.1 Produksi Bersih Padi 2025'!B156)</f>
        <v/>
      </c>
      <c r="C156" s="31" t="str">
        <f>IF('1.1 Produksi Bersih Padi 2025'!C156="","",'1.1 Produksi Bersih Padi 2025'!C156)</f>
        <v/>
      </c>
      <c r="D156" s="1" t="str">
        <f>IF('1.1 Produksi Bersih Padi 2025'!D156="","",'1.1 Produksi Bersih Padi 2025'!D156)</f>
        <v/>
      </c>
      <c r="E156" s="1" t="str">
        <f>IF('1.1 Produksi Bersih Padi 2025'!E156="","",'1.1 Produksi Bersih Padi 2025'!E156)</f>
        <v/>
      </c>
      <c r="F156" s="28" t="str">
        <f>IF(D156="","",VLOOKUP(D156,'[1]0.1 Produksi Pangan &amp; Penduduk'!$D$5:$AK$860,34,0))</f>
        <v/>
      </c>
      <c r="G156" s="29" t="str">
        <f t="shared" si="10"/>
        <v/>
      </c>
      <c r="H156" s="29" t="str">
        <f t="shared" si="11"/>
        <v/>
      </c>
      <c r="I156" s="29" t="str">
        <f t="shared" si="12"/>
        <v/>
      </c>
      <c r="J156" s="29" t="str">
        <f t="shared" si="13"/>
        <v/>
      </c>
      <c r="K156" s="29" t="str">
        <f t="shared" si="14"/>
        <v/>
      </c>
      <c r="M156" s="11"/>
    </row>
    <row r="157" spans="1:13" ht="15" x14ac:dyDescent="0.25">
      <c r="A157" s="1" t="str">
        <f>IF('1.1 Produksi Bersih Padi 2025'!A157="","",'1.1 Produksi Bersih Padi 2025'!A157)</f>
        <v/>
      </c>
      <c r="B157" s="31" t="str">
        <f>IF('1.1 Produksi Bersih Padi 2025'!B157="","",'1.1 Produksi Bersih Padi 2025'!B157)</f>
        <v/>
      </c>
      <c r="C157" s="31" t="str">
        <f>IF('1.1 Produksi Bersih Padi 2025'!C157="","",'1.1 Produksi Bersih Padi 2025'!C157)</f>
        <v/>
      </c>
      <c r="D157" s="1" t="str">
        <f>IF('1.1 Produksi Bersih Padi 2025'!D157="","",'1.1 Produksi Bersih Padi 2025'!D157)</f>
        <v/>
      </c>
      <c r="E157" s="1" t="str">
        <f>IF('1.1 Produksi Bersih Padi 2025'!E157="","",'1.1 Produksi Bersih Padi 2025'!E157)</f>
        <v/>
      </c>
      <c r="F157" s="28" t="str">
        <f>IF(D157="","",VLOOKUP(D157,'[1]0.1 Produksi Pangan &amp; Penduduk'!$D$5:$AK$860,34,0))</f>
        <v/>
      </c>
      <c r="G157" s="29" t="str">
        <f t="shared" si="10"/>
        <v/>
      </c>
      <c r="H157" s="29" t="str">
        <f t="shared" si="11"/>
        <v/>
      </c>
      <c r="I157" s="29" t="str">
        <f t="shared" si="12"/>
        <v/>
      </c>
      <c r="J157" s="29" t="str">
        <f t="shared" si="13"/>
        <v/>
      </c>
      <c r="K157" s="29" t="str">
        <f t="shared" si="14"/>
        <v/>
      </c>
      <c r="M157" s="11"/>
    </row>
    <row r="158" spans="1:13" ht="15" x14ac:dyDescent="0.25">
      <c r="A158" s="1" t="str">
        <f>IF('1.1 Produksi Bersih Padi 2025'!A158="","",'1.1 Produksi Bersih Padi 2025'!A158)</f>
        <v/>
      </c>
      <c r="B158" s="31" t="str">
        <f>IF('1.1 Produksi Bersih Padi 2025'!B158="","",'1.1 Produksi Bersih Padi 2025'!B158)</f>
        <v/>
      </c>
      <c r="C158" s="31" t="str">
        <f>IF('1.1 Produksi Bersih Padi 2025'!C158="","",'1.1 Produksi Bersih Padi 2025'!C158)</f>
        <v/>
      </c>
      <c r="D158" s="1" t="str">
        <f>IF('1.1 Produksi Bersih Padi 2025'!D158="","",'1.1 Produksi Bersih Padi 2025'!D158)</f>
        <v/>
      </c>
      <c r="E158" s="1" t="str">
        <f>IF('1.1 Produksi Bersih Padi 2025'!E158="","",'1.1 Produksi Bersih Padi 2025'!E158)</f>
        <v/>
      </c>
      <c r="F158" s="28" t="str">
        <f>IF(D158="","",VLOOKUP(D158,'[1]0.1 Produksi Pangan &amp; Penduduk'!$D$5:$AK$860,34,0))</f>
        <v/>
      </c>
      <c r="G158" s="29" t="str">
        <f t="shared" si="10"/>
        <v/>
      </c>
      <c r="H158" s="29" t="str">
        <f t="shared" si="11"/>
        <v/>
      </c>
      <c r="I158" s="29" t="str">
        <f t="shared" si="12"/>
        <v/>
      </c>
      <c r="J158" s="29" t="str">
        <f t="shared" si="13"/>
        <v/>
      </c>
      <c r="K158" s="29" t="str">
        <f t="shared" si="14"/>
        <v/>
      </c>
      <c r="M158" s="11"/>
    </row>
    <row r="159" spans="1:13" ht="15" x14ac:dyDescent="0.25">
      <c r="A159" s="1" t="str">
        <f>IF('1.1 Produksi Bersih Padi 2025'!A159="","",'1.1 Produksi Bersih Padi 2025'!A159)</f>
        <v/>
      </c>
      <c r="B159" s="31" t="str">
        <f>IF('1.1 Produksi Bersih Padi 2025'!B159="","",'1.1 Produksi Bersih Padi 2025'!B159)</f>
        <v/>
      </c>
      <c r="C159" s="31" t="str">
        <f>IF('1.1 Produksi Bersih Padi 2025'!C159="","",'1.1 Produksi Bersih Padi 2025'!C159)</f>
        <v/>
      </c>
      <c r="D159" s="1" t="str">
        <f>IF('1.1 Produksi Bersih Padi 2025'!D159="","",'1.1 Produksi Bersih Padi 2025'!D159)</f>
        <v/>
      </c>
      <c r="E159" s="1" t="str">
        <f>IF('1.1 Produksi Bersih Padi 2025'!E159="","",'1.1 Produksi Bersih Padi 2025'!E159)</f>
        <v/>
      </c>
      <c r="F159" s="28" t="str">
        <f>IF(D159="","",VLOOKUP(D159,'[1]0.1 Produksi Pangan &amp; Penduduk'!$D$5:$AK$860,34,0))</f>
        <v/>
      </c>
      <c r="G159" s="29" t="str">
        <f t="shared" si="10"/>
        <v/>
      </c>
      <c r="H159" s="29" t="str">
        <f t="shared" si="11"/>
        <v/>
      </c>
      <c r="I159" s="29" t="str">
        <f t="shared" si="12"/>
        <v/>
      </c>
      <c r="J159" s="29" t="str">
        <f t="shared" si="13"/>
        <v/>
      </c>
      <c r="K159" s="29" t="str">
        <f t="shared" si="14"/>
        <v/>
      </c>
      <c r="M159" s="11"/>
    </row>
    <row r="160" spans="1:13" ht="15" x14ac:dyDescent="0.25">
      <c r="A160" s="1" t="str">
        <f>IF('1.1 Produksi Bersih Padi 2025'!A160="","",'1.1 Produksi Bersih Padi 2025'!A160)</f>
        <v/>
      </c>
      <c r="B160" s="31" t="str">
        <f>IF('1.1 Produksi Bersih Padi 2025'!B160="","",'1.1 Produksi Bersih Padi 2025'!B160)</f>
        <v/>
      </c>
      <c r="C160" s="31" t="str">
        <f>IF('1.1 Produksi Bersih Padi 2025'!C160="","",'1.1 Produksi Bersih Padi 2025'!C160)</f>
        <v/>
      </c>
      <c r="D160" s="1" t="str">
        <f>IF('1.1 Produksi Bersih Padi 2025'!D160="","",'1.1 Produksi Bersih Padi 2025'!D160)</f>
        <v/>
      </c>
      <c r="E160" s="1" t="str">
        <f>IF('1.1 Produksi Bersih Padi 2025'!E160="","",'1.1 Produksi Bersih Padi 2025'!E160)</f>
        <v/>
      </c>
      <c r="F160" s="28" t="str">
        <f>IF(D160="","",VLOOKUP(D160,'[1]0.1 Produksi Pangan &amp; Penduduk'!$D$5:$AK$860,34,0))</f>
        <v/>
      </c>
      <c r="G160" s="29" t="str">
        <f t="shared" si="10"/>
        <v/>
      </c>
      <c r="H160" s="29" t="str">
        <f t="shared" si="11"/>
        <v/>
      </c>
      <c r="I160" s="29" t="str">
        <f t="shared" si="12"/>
        <v/>
      </c>
      <c r="J160" s="29" t="str">
        <f t="shared" si="13"/>
        <v/>
      </c>
      <c r="K160" s="29" t="str">
        <f t="shared" si="14"/>
        <v/>
      </c>
      <c r="M160" s="11"/>
    </row>
    <row r="161" spans="1:13" ht="15" x14ac:dyDescent="0.25">
      <c r="A161" s="1" t="str">
        <f>IF('1.1 Produksi Bersih Padi 2025'!A161="","",'1.1 Produksi Bersih Padi 2025'!A161)</f>
        <v/>
      </c>
      <c r="B161" s="31" t="str">
        <f>IF('1.1 Produksi Bersih Padi 2025'!B161="","",'1.1 Produksi Bersih Padi 2025'!B161)</f>
        <v/>
      </c>
      <c r="C161" s="31" t="str">
        <f>IF('1.1 Produksi Bersih Padi 2025'!C161="","",'1.1 Produksi Bersih Padi 2025'!C161)</f>
        <v/>
      </c>
      <c r="D161" s="1" t="str">
        <f>IF('1.1 Produksi Bersih Padi 2025'!D161="","",'1.1 Produksi Bersih Padi 2025'!D161)</f>
        <v/>
      </c>
      <c r="E161" s="1" t="str">
        <f>IF('1.1 Produksi Bersih Padi 2025'!E161="","",'1.1 Produksi Bersih Padi 2025'!E161)</f>
        <v/>
      </c>
      <c r="F161" s="28" t="str">
        <f>IF(D161="","",VLOOKUP(D161,'[1]0.1 Produksi Pangan &amp; Penduduk'!$D$5:$AK$860,34,0))</f>
        <v/>
      </c>
      <c r="G161" s="29" t="str">
        <f t="shared" si="10"/>
        <v/>
      </c>
      <c r="H161" s="29" t="str">
        <f t="shared" si="11"/>
        <v/>
      </c>
      <c r="I161" s="29" t="str">
        <f t="shared" si="12"/>
        <v/>
      </c>
      <c r="J161" s="29" t="str">
        <f t="shared" si="13"/>
        <v/>
      </c>
      <c r="K161" s="29" t="str">
        <f t="shared" si="14"/>
        <v/>
      </c>
      <c r="M161" s="11"/>
    </row>
    <row r="162" spans="1:13" ht="15" x14ac:dyDescent="0.25">
      <c r="A162" s="1" t="str">
        <f>IF('1.1 Produksi Bersih Padi 2025'!A162="","",'1.1 Produksi Bersih Padi 2025'!A162)</f>
        <v/>
      </c>
      <c r="B162" s="31" t="str">
        <f>IF('1.1 Produksi Bersih Padi 2025'!B162="","",'1.1 Produksi Bersih Padi 2025'!B162)</f>
        <v/>
      </c>
      <c r="C162" s="31" t="str">
        <f>IF('1.1 Produksi Bersih Padi 2025'!C162="","",'1.1 Produksi Bersih Padi 2025'!C162)</f>
        <v/>
      </c>
      <c r="D162" s="1" t="str">
        <f>IF('1.1 Produksi Bersih Padi 2025'!D162="","",'1.1 Produksi Bersih Padi 2025'!D162)</f>
        <v/>
      </c>
      <c r="E162" s="1" t="str">
        <f>IF('1.1 Produksi Bersih Padi 2025'!E162="","",'1.1 Produksi Bersih Padi 2025'!E162)</f>
        <v/>
      </c>
      <c r="F162" s="28" t="str">
        <f>IF(D162="","",VLOOKUP(D162,'[1]0.1 Produksi Pangan &amp; Penduduk'!$D$5:$AK$860,34,0))</f>
        <v/>
      </c>
      <c r="G162" s="29" t="str">
        <f t="shared" si="10"/>
        <v/>
      </c>
      <c r="H162" s="29" t="str">
        <f t="shared" si="11"/>
        <v/>
      </c>
      <c r="I162" s="29" t="str">
        <f t="shared" si="12"/>
        <v/>
      </c>
      <c r="J162" s="29" t="str">
        <f t="shared" si="13"/>
        <v/>
      </c>
      <c r="K162" s="29" t="str">
        <f t="shared" si="14"/>
        <v/>
      </c>
      <c r="M162" s="11"/>
    </row>
    <row r="163" spans="1:13" ht="15" x14ac:dyDescent="0.25">
      <c r="A163" s="1" t="str">
        <f>IF('1.1 Produksi Bersih Padi 2025'!A163="","",'1.1 Produksi Bersih Padi 2025'!A163)</f>
        <v/>
      </c>
      <c r="B163" s="31" t="str">
        <f>IF('1.1 Produksi Bersih Padi 2025'!B163="","",'1.1 Produksi Bersih Padi 2025'!B163)</f>
        <v/>
      </c>
      <c r="C163" s="31" t="str">
        <f>IF('1.1 Produksi Bersih Padi 2025'!C163="","",'1.1 Produksi Bersih Padi 2025'!C163)</f>
        <v/>
      </c>
      <c r="D163" s="1" t="str">
        <f>IF('1.1 Produksi Bersih Padi 2025'!D163="","",'1.1 Produksi Bersih Padi 2025'!D163)</f>
        <v/>
      </c>
      <c r="E163" s="1" t="str">
        <f>IF('1.1 Produksi Bersih Padi 2025'!E163="","",'1.1 Produksi Bersih Padi 2025'!E163)</f>
        <v/>
      </c>
      <c r="F163" s="28" t="str">
        <f>IF(D163="","",VLOOKUP(D163,'[1]0.1 Produksi Pangan &amp; Penduduk'!$D$5:$AK$860,34,0))</f>
        <v/>
      </c>
      <c r="G163" s="29" t="str">
        <f t="shared" si="10"/>
        <v/>
      </c>
      <c r="H163" s="29" t="str">
        <f t="shared" si="11"/>
        <v/>
      </c>
      <c r="I163" s="29" t="str">
        <f t="shared" si="12"/>
        <v/>
      </c>
      <c r="J163" s="29" t="str">
        <f t="shared" si="13"/>
        <v/>
      </c>
      <c r="K163" s="29" t="str">
        <f t="shared" si="14"/>
        <v/>
      </c>
      <c r="M163" s="11"/>
    </row>
    <row r="164" spans="1:13" ht="15" x14ac:dyDescent="0.25">
      <c r="A164" s="1" t="str">
        <f>IF('1.1 Produksi Bersih Padi 2025'!A164="","",'1.1 Produksi Bersih Padi 2025'!A164)</f>
        <v/>
      </c>
      <c r="B164" s="31" t="str">
        <f>IF('1.1 Produksi Bersih Padi 2025'!B164="","",'1.1 Produksi Bersih Padi 2025'!B164)</f>
        <v/>
      </c>
      <c r="C164" s="31" t="str">
        <f>IF('1.1 Produksi Bersih Padi 2025'!C164="","",'1.1 Produksi Bersih Padi 2025'!C164)</f>
        <v/>
      </c>
      <c r="D164" s="1" t="str">
        <f>IF('1.1 Produksi Bersih Padi 2025'!D164="","",'1.1 Produksi Bersih Padi 2025'!D164)</f>
        <v/>
      </c>
      <c r="E164" s="1" t="str">
        <f>IF('1.1 Produksi Bersih Padi 2025'!E164="","",'1.1 Produksi Bersih Padi 2025'!E164)</f>
        <v/>
      </c>
      <c r="F164" s="28" t="str">
        <f>IF(D164="","",VLOOKUP(D164,'[1]0.1 Produksi Pangan &amp; Penduduk'!$D$5:$AK$860,34,0))</f>
        <v/>
      </c>
      <c r="G164" s="29" t="str">
        <f t="shared" si="10"/>
        <v/>
      </c>
      <c r="H164" s="29" t="str">
        <f t="shared" si="11"/>
        <v/>
      </c>
      <c r="I164" s="29" t="str">
        <f t="shared" si="12"/>
        <v/>
      </c>
      <c r="J164" s="29" t="str">
        <f t="shared" si="13"/>
        <v/>
      </c>
      <c r="K164" s="29" t="str">
        <f t="shared" si="14"/>
        <v/>
      </c>
      <c r="M164" s="11"/>
    </row>
    <row r="165" spans="1:13" ht="15" x14ac:dyDescent="0.25">
      <c r="A165" s="1" t="str">
        <f>IF('1.1 Produksi Bersih Padi 2025'!A165="","",'1.1 Produksi Bersih Padi 2025'!A165)</f>
        <v/>
      </c>
      <c r="B165" s="31" t="str">
        <f>IF('1.1 Produksi Bersih Padi 2025'!B165="","",'1.1 Produksi Bersih Padi 2025'!B165)</f>
        <v/>
      </c>
      <c r="C165" s="31" t="str">
        <f>IF('1.1 Produksi Bersih Padi 2025'!C165="","",'1.1 Produksi Bersih Padi 2025'!C165)</f>
        <v/>
      </c>
      <c r="D165" s="1" t="str">
        <f>IF('1.1 Produksi Bersih Padi 2025'!D165="","",'1.1 Produksi Bersih Padi 2025'!D165)</f>
        <v/>
      </c>
      <c r="E165" s="1" t="str">
        <f>IF('1.1 Produksi Bersih Padi 2025'!E165="","",'1.1 Produksi Bersih Padi 2025'!E165)</f>
        <v/>
      </c>
      <c r="F165" s="28" t="str">
        <f>IF(D165="","",VLOOKUP(D165,'[1]0.1 Produksi Pangan &amp; Penduduk'!$D$5:$AK$860,34,0))</f>
        <v/>
      </c>
      <c r="G165" s="29" t="str">
        <f t="shared" si="10"/>
        <v/>
      </c>
      <c r="H165" s="29" t="str">
        <f t="shared" si="11"/>
        <v/>
      </c>
      <c r="I165" s="29" t="str">
        <f t="shared" si="12"/>
        <v/>
      </c>
      <c r="J165" s="29" t="str">
        <f t="shared" si="13"/>
        <v/>
      </c>
      <c r="K165" s="29" t="str">
        <f t="shared" si="14"/>
        <v/>
      </c>
      <c r="M165" s="11"/>
    </row>
    <row r="166" spans="1:13" ht="15" x14ac:dyDescent="0.25">
      <c r="A166" s="1" t="str">
        <f>IF('1.1 Produksi Bersih Padi 2025'!A166="","",'1.1 Produksi Bersih Padi 2025'!A166)</f>
        <v/>
      </c>
      <c r="B166" s="31" t="str">
        <f>IF('1.1 Produksi Bersih Padi 2025'!B166="","",'1.1 Produksi Bersih Padi 2025'!B166)</f>
        <v/>
      </c>
      <c r="C166" s="31" t="str">
        <f>IF('1.1 Produksi Bersih Padi 2025'!C166="","",'1.1 Produksi Bersih Padi 2025'!C166)</f>
        <v/>
      </c>
      <c r="D166" s="1" t="str">
        <f>IF('1.1 Produksi Bersih Padi 2025'!D166="","",'1.1 Produksi Bersih Padi 2025'!D166)</f>
        <v/>
      </c>
      <c r="E166" s="1" t="str">
        <f>IF('1.1 Produksi Bersih Padi 2025'!E166="","",'1.1 Produksi Bersih Padi 2025'!E166)</f>
        <v/>
      </c>
      <c r="F166" s="28" t="str">
        <f>IF(D166="","",VLOOKUP(D166,'[1]0.1 Produksi Pangan &amp; Penduduk'!$D$5:$AK$860,34,0))</f>
        <v/>
      </c>
      <c r="G166" s="29" t="str">
        <f t="shared" si="10"/>
        <v/>
      </c>
      <c r="H166" s="29" t="str">
        <f t="shared" si="11"/>
        <v/>
      </c>
      <c r="I166" s="29" t="str">
        <f t="shared" si="12"/>
        <v/>
      </c>
      <c r="J166" s="29" t="str">
        <f t="shared" si="13"/>
        <v/>
      </c>
      <c r="K166" s="29" t="str">
        <f t="shared" si="14"/>
        <v/>
      </c>
      <c r="M166" s="11"/>
    </row>
    <row r="167" spans="1:13" ht="15" x14ac:dyDescent="0.25">
      <c r="A167" s="1" t="str">
        <f>IF('1.1 Produksi Bersih Padi 2025'!A167="","",'1.1 Produksi Bersih Padi 2025'!A167)</f>
        <v/>
      </c>
      <c r="B167" s="31" t="str">
        <f>IF('1.1 Produksi Bersih Padi 2025'!B167="","",'1.1 Produksi Bersih Padi 2025'!B167)</f>
        <v/>
      </c>
      <c r="C167" s="31" t="str">
        <f>IF('1.1 Produksi Bersih Padi 2025'!C167="","",'1.1 Produksi Bersih Padi 2025'!C167)</f>
        <v/>
      </c>
      <c r="D167" s="1" t="str">
        <f>IF('1.1 Produksi Bersih Padi 2025'!D167="","",'1.1 Produksi Bersih Padi 2025'!D167)</f>
        <v/>
      </c>
      <c r="E167" s="1" t="str">
        <f>IF('1.1 Produksi Bersih Padi 2025'!E167="","",'1.1 Produksi Bersih Padi 2025'!E167)</f>
        <v/>
      </c>
      <c r="F167" s="28" t="str">
        <f>IF(D167="","",VLOOKUP(D167,'[1]0.1 Produksi Pangan &amp; Penduduk'!$D$5:$AK$860,34,0))</f>
        <v/>
      </c>
      <c r="G167" s="29" t="str">
        <f t="shared" si="10"/>
        <v/>
      </c>
      <c r="H167" s="29" t="str">
        <f t="shared" si="11"/>
        <v/>
      </c>
      <c r="I167" s="29" t="str">
        <f t="shared" si="12"/>
        <v/>
      </c>
      <c r="J167" s="29" t="str">
        <f t="shared" si="13"/>
        <v/>
      </c>
      <c r="K167" s="29" t="str">
        <f t="shared" si="14"/>
        <v/>
      </c>
      <c r="M167" s="11"/>
    </row>
    <row r="168" spans="1:13" ht="15" x14ac:dyDescent="0.25">
      <c r="A168" s="1" t="str">
        <f>IF('1.1 Produksi Bersih Padi 2025'!A168="","",'1.1 Produksi Bersih Padi 2025'!A168)</f>
        <v/>
      </c>
      <c r="B168" s="31" t="str">
        <f>IF('1.1 Produksi Bersih Padi 2025'!B168="","",'1.1 Produksi Bersih Padi 2025'!B168)</f>
        <v/>
      </c>
      <c r="C168" s="31" t="str">
        <f>IF('1.1 Produksi Bersih Padi 2025'!C168="","",'1.1 Produksi Bersih Padi 2025'!C168)</f>
        <v/>
      </c>
      <c r="D168" s="1" t="str">
        <f>IF('1.1 Produksi Bersih Padi 2025'!D168="","",'1.1 Produksi Bersih Padi 2025'!D168)</f>
        <v/>
      </c>
      <c r="E168" s="1" t="str">
        <f>IF('1.1 Produksi Bersih Padi 2025'!E168="","",'1.1 Produksi Bersih Padi 2025'!E168)</f>
        <v/>
      </c>
      <c r="F168" s="28" t="str">
        <f>IF(D168="","",VLOOKUP(D168,'[1]0.1 Produksi Pangan &amp; Penduduk'!$D$5:$AK$860,34,0))</f>
        <v/>
      </c>
      <c r="G168" s="29" t="str">
        <f t="shared" si="10"/>
        <v/>
      </c>
      <c r="H168" s="29" t="str">
        <f t="shared" si="11"/>
        <v/>
      </c>
      <c r="I168" s="29" t="str">
        <f t="shared" si="12"/>
        <v/>
      </c>
      <c r="J168" s="29" t="str">
        <f t="shared" si="13"/>
        <v/>
      </c>
      <c r="K168" s="29" t="str">
        <f t="shared" si="14"/>
        <v/>
      </c>
      <c r="M168" s="11"/>
    </row>
    <row r="169" spans="1:13" ht="15" x14ac:dyDescent="0.25">
      <c r="A169" s="1" t="str">
        <f>IF('1.1 Produksi Bersih Padi 2025'!A169="","",'1.1 Produksi Bersih Padi 2025'!A169)</f>
        <v/>
      </c>
      <c r="B169" s="31" t="str">
        <f>IF('1.1 Produksi Bersih Padi 2025'!B169="","",'1.1 Produksi Bersih Padi 2025'!B169)</f>
        <v/>
      </c>
      <c r="C169" s="31" t="str">
        <f>IF('1.1 Produksi Bersih Padi 2025'!C169="","",'1.1 Produksi Bersih Padi 2025'!C169)</f>
        <v/>
      </c>
      <c r="D169" s="1" t="str">
        <f>IF('1.1 Produksi Bersih Padi 2025'!D169="","",'1.1 Produksi Bersih Padi 2025'!D169)</f>
        <v/>
      </c>
      <c r="E169" s="1" t="str">
        <f>IF('1.1 Produksi Bersih Padi 2025'!E169="","",'1.1 Produksi Bersih Padi 2025'!E169)</f>
        <v/>
      </c>
      <c r="F169" s="28" t="str">
        <f>IF(D169="","",VLOOKUP(D169,'[1]0.1 Produksi Pangan &amp; Penduduk'!$D$5:$AK$860,34,0))</f>
        <v/>
      </c>
      <c r="G169" s="29" t="str">
        <f t="shared" si="10"/>
        <v/>
      </c>
      <c r="H169" s="29" t="str">
        <f t="shared" si="11"/>
        <v/>
      </c>
      <c r="I169" s="29" t="str">
        <f t="shared" si="12"/>
        <v/>
      </c>
      <c r="J169" s="29" t="str">
        <f t="shared" si="13"/>
        <v/>
      </c>
      <c r="K169" s="29" t="str">
        <f t="shared" si="14"/>
        <v/>
      </c>
      <c r="M169" s="11"/>
    </row>
    <row r="170" spans="1:13" ht="15" x14ac:dyDescent="0.25">
      <c r="A170" s="1" t="str">
        <f>IF('1.1 Produksi Bersih Padi 2025'!A170="","",'1.1 Produksi Bersih Padi 2025'!A170)</f>
        <v/>
      </c>
      <c r="B170" s="31" t="str">
        <f>IF('1.1 Produksi Bersih Padi 2025'!B170="","",'1.1 Produksi Bersih Padi 2025'!B170)</f>
        <v/>
      </c>
      <c r="C170" s="31" t="str">
        <f>IF('1.1 Produksi Bersih Padi 2025'!C170="","",'1.1 Produksi Bersih Padi 2025'!C170)</f>
        <v/>
      </c>
      <c r="D170" s="1" t="str">
        <f>IF('1.1 Produksi Bersih Padi 2025'!D170="","",'1.1 Produksi Bersih Padi 2025'!D170)</f>
        <v/>
      </c>
      <c r="E170" s="1" t="str">
        <f>IF('1.1 Produksi Bersih Padi 2025'!E170="","",'1.1 Produksi Bersih Padi 2025'!E170)</f>
        <v/>
      </c>
      <c r="F170" s="28" t="str">
        <f>IF(D170="","",VLOOKUP(D170,'[1]0.1 Produksi Pangan &amp; Penduduk'!$D$5:$AK$860,34,0))</f>
        <v/>
      </c>
      <c r="G170" s="29" t="str">
        <f t="shared" si="10"/>
        <v/>
      </c>
      <c r="H170" s="29" t="str">
        <f t="shared" si="11"/>
        <v/>
      </c>
      <c r="I170" s="29" t="str">
        <f t="shared" si="12"/>
        <v/>
      </c>
      <c r="J170" s="29" t="str">
        <f t="shared" si="13"/>
        <v/>
      </c>
      <c r="K170" s="29" t="str">
        <f t="shared" si="14"/>
        <v/>
      </c>
      <c r="M170" s="11"/>
    </row>
    <row r="171" spans="1:13" ht="15" x14ac:dyDescent="0.25">
      <c r="A171" s="1" t="str">
        <f>IF('1.1 Produksi Bersih Padi 2025'!A171="","",'1.1 Produksi Bersih Padi 2025'!A171)</f>
        <v/>
      </c>
      <c r="B171" s="31" t="str">
        <f>IF('1.1 Produksi Bersih Padi 2025'!B171="","",'1.1 Produksi Bersih Padi 2025'!B171)</f>
        <v/>
      </c>
      <c r="C171" s="31" t="str">
        <f>IF('1.1 Produksi Bersih Padi 2025'!C171="","",'1.1 Produksi Bersih Padi 2025'!C171)</f>
        <v/>
      </c>
      <c r="D171" s="1" t="str">
        <f>IF('1.1 Produksi Bersih Padi 2025'!D171="","",'1.1 Produksi Bersih Padi 2025'!D171)</f>
        <v/>
      </c>
      <c r="E171" s="1" t="str">
        <f>IF('1.1 Produksi Bersih Padi 2025'!E171="","",'1.1 Produksi Bersih Padi 2025'!E171)</f>
        <v/>
      </c>
      <c r="F171" s="28" t="str">
        <f>IF(D171="","",VLOOKUP(D171,'[1]0.1 Produksi Pangan &amp; Penduduk'!$D$5:$AK$860,34,0))</f>
        <v/>
      </c>
      <c r="G171" s="29" t="str">
        <f t="shared" si="10"/>
        <v/>
      </c>
      <c r="H171" s="29" t="str">
        <f t="shared" si="11"/>
        <v/>
      </c>
      <c r="I171" s="29" t="str">
        <f t="shared" si="12"/>
        <v/>
      </c>
      <c r="J171" s="29" t="str">
        <f t="shared" si="13"/>
        <v/>
      </c>
      <c r="K171" s="29" t="str">
        <f t="shared" si="14"/>
        <v/>
      </c>
      <c r="M171" s="11"/>
    </row>
    <row r="172" spans="1:13" ht="15" x14ac:dyDescent="0.25">
      <c r="A172" s="1" t="str">
        <f>IF('1.1 Produksi Bersih Padi 2025'!A172="","",'1.1 Produksi Bersih Padi 2025'!A172)</f>
        <v/>
      </c>
      <c r="B172" s="31" t="str">
        <f>IF('1.1 Produksi Bersih Padi 2025'!B172="","",'1.1 Produksi Bersih Padi 2025'!B172)</f>
        <v/>
      </c>
      <c r="C172" s="31" t="str">
        <f>IF('1.1 Produksi Bersih Padi 2025'!C172="","",'1.1 Produksi Bersih Padi 2025'!C172)</f>
        <v/>
      </c>
      <c r="D172" s="1" t="str">
        <f>IF('1.1 Produksi Bersih Padi 2025'!D172="","",'1.1 Produksi Bersih Padi 2025'!D172)</f>
        <v/>
      </c>
      <c r="E172" s="1" t="str">
        <f>IF('1.1 Produksi Bersih Padi 2025'!E172="","",'1.1 Produksi Bersih Padi 2025'!E172)</f>
        <v/>
      </c>
      <c r="F172" s="28" t="str">
        <f>IF(D172="","",VLOOKUP(D172,'[1]0.1 Produksi Pangan &amp; Penduduk'!$D$5:$AK$860,34,0))</f>
        <v/>
      </c>
      <c r="G172" s="29" t="str">
        <f t="shared" si="10"/>
        <v/>
      </c>
      <c r="H172" s="29" t="str">
        <f t="shared" si="11"/>
        <v/>
      </c>
      <c r="I172" s="29" t="str">
        <f t="shared" si="12"/>
        <v/>
      </c>
      <c r="J172" s="29" t="str">
        <f t="shared" si="13"/>
        <v/>
      </c>
      <c r="K172" s="29" t="str">
        <f t="shared" si="14"/>
        <v/>
      </c>
      <c r="M172" s="11"/>
    </row>
    <row r="173" spans="1:13" ht="15" x14ac:dyDescent="0.25">
      <c r="A173" s="1" t="str">
        <f>IF('1.1 Produksi Bersih Padi 2025'!A173="","",'1.1 Produksi Bersih Padi 2025'!A173)</f>
        <v/>
      </c>
      <c r="B173" s="31" t="str">
        <f>IF('1.1 Produksi Bersih Padi 2025'!B173="","",'1.1 Produksi Bersih Padi 2025'!B173)</f>
        <v/>
      </c>
      <c r="C173" s="31" t="str">
        <f>IF('1.1 Produksi Bersih Padi 2025'!C173="","",'1.1 Produksi Bersih Padi 2025'!C173)</f>
        <v/>
      </c>
      <c r="D173" s="1" t="str">
        <f>IF('1.1 Produksi Bersih Padi 2025'!D173="","",'1.1 Produksi Bersih Padi 2025'!D173)</f>
        <v/>
      </c>
      <c r="E173" s="1" t="str">
        <f>IF('1.1 Produksi Bersih Padi 2025'!E173="","",'1.1 Produksi Bersih Padi 2025'!E173)</f>
        <v/>
      </c>
      <c r="F173" s="28" t="str">
        <f>IF(D173="","",VLOOKUP(D173,'[1]0.1 Produksi Pangan &amp; Penduduk'!$D$5:$AK$860,34,0))</f>
        <v/>
      </c>
      <c r="G173" s="29" t="str">
        <f t="shared" si="10"/>
        <v/>
      </c>
      <c r="H173" s="29" t="str">
        <f t="shared" si="11"/>
        <v/>
      </c>
      <c r="I173" s="29" t="str">
        <f t="shared" si="12"/>
        <v/>
      </c>
      <c r="J173" s="29" t="str">
        <f t="shared" si="13"/>
        <v/>
      </c>
      <c r="K173" s="29" t="str">
        <f t="shared" si="14"/>
        <v/>
      </c>
      <c r="M173" s="11"/>
    </row>
    <row r="174" spans="1:13" ht="15" x14ac:dyDescent="0.25">
      <c r="A174" s="1" t="str">
        <f>IF('1.1 Produksi Bersih Padi 2025'!A174="","",'1.1 Produksi Bersih Padi 2025'!A174)</f>
        <v/>
      </c>
      <c r="B174" s="31" t="str">
        <f>IF('1.1 Produksi Bersih Padi 2025'!B174="","",'1.1 Produksi Bersih Padi 2025'!B174)</f>
        <v/>
      </c>
      <c r="C174" s="31" t="str">
        <f>IF('1.1 Produksi Bersih Padi 2025'!C174="","",'1.1 Produksi Bersih Padi 2025'!C174)</f>
        <v/>
      </c>
      <c r="D174" s="1" t="str">
        <f>IF('1.1 Produksi Bersih Padi 2025'!D174="","",'1.1 Produksi Bersih Padi 2025'!D174)</f>
        <v/>
      </c>
      <c r="E174" s="1" t="str">
        <f>IF('1.1 Produksi Bersih Padi 2025'!E174="","",'1.1 Produksi Bersih Padi 2025'!E174)</f>
        <v/>
      </c>
      <c r="F174" s="28" t="str">
        <f>IF(D174="","",VLOOKUP(D174,'[1]0.1 Produksi Pangan &amp; Penduduk'!$D$5:$AK$860,34,0))</f>
        <v/>
      </c>
      <c r="G174" s="29" t="str">
        <f t="shared" si="10"/>
        <v/>
      </c>
      <c r="H174" s="29" t="str">
        <f t="shared" si="11"/>
        <v/>
      </c>
      <c r="I174" s="29" t="str">
        <f t="shared" si="12"/>
        <v/>
      </c>
      <c r="J174" s="29" t="str">
        <f t="shared" si="13"/>
        <v/>
      </c>
      <c r="K174" s="29" t="str">
        <f t="shared" si="14"/>
        <v/>
      </c>
      <c r="M174" s="11"/>
    </row>
    <row r="175" spans="1:13" ht="15" x14ac:dyDescent="0.25">
      <c r="A175" s="1" t="str">
        <f>IF('1.1 Produksi Bersih Padi 2025'!A175="","",'1.1 Produksi Bersih Padi 2025'!A175)</f>
        <v/>
      </c>
      <c r="B175" s="31" t="str">
        <f>IF('1.1 Produksi Bersih Padi 2025'!B175="","",'1.1 Produksi Bersih Padi 2025'!B175)</f>
        <v/>
      </c>
      <c r="C175" s="31" t="str">
        <f>IF('1.1 Produksi Bersih Padi 2025'!C175="","",'1.1 Produksi Bersih Padi 2025'!C175)</f>
        <v/>
      </c>
      <c r="D175" s="1" t="str">
        <f>IF('1.1 Produksi Bersih Padi 2025'!D175="","",'1.1 Produksi Bersih Padi 2025'!D175)</f>
        <v/>
      </c>
      <c r="E175" s="1" t="str">
        <f>IF('1.1 Produksi Bersih Padi 2025'!E175="","",'1.1 Produksi Bersih Padi 2025'!E175)</f>
        <v/>
      </c>
      <c r="F175" s="28" t="str">
        <f>IF(D175="","",VLOOKUP(D175,'[1]0.1 Produksi Pangan &amp; Penduduk'!$D$5:$AK$860,34,0))</f>
        <v/>
      </c>
      <c r="G175" s="29" t="str">
        <f t="shared" si="10"/>
        <v/>
      </c>
      <c r="H175" s="29" t="str">
        <f t="shared" si="11"/>
        <v/>
      </c>
      <c r="I175" s="29" t="str">
        <f t="shared" si="12"/>
        <v/>
      </c>
      <c r="J175" s="29" t="str">
        <f t="shared" si="13"/>
        <v/>
      </c>
      <c r="K175" s="29" t="str">
        <f t="shared" si="14"/>
        <v/>
      </c>
      <c r="M175" s="11"/>
    </row>
    <row r="176" spans="1:13" ht="15" x14ac:dyDescent="0.25">
      <c r="A176" s="1" t="str">
        <f>IF('1.1 Produksi Bersih Padi 2025'!A176="","",'1.1 Produksi Bersih Padi 2025'!A176)</f>
        <v/>
      </c>
      <c r="B176" s="31" t="str">
        <f>IF('1.1 Produksi Bersih Padi 2025'!B176="","",'1.1 Produksi Bersih Padi 2025'!B176)</f>
        <v/>
      </c>
      <c r="C176" s="31" t="str">
        <f>IF('1.1 Produksi Bersih Padi 2025'!C176="","",'1.1 Produksi Bersih Padi 2025'!C176)</f>
        <v/>
      </c>
      <c r="D176" s="1" t="str">
        <f>IF('1.1 Produksi Bersih Padi 2025'!D176="","",'1.1 Produksi Bersih Padi 2025'!D176)</f>
        <v/>
      </c>
      <c r="E176" s="1" t="str">
        <f>IF('1.1 Produksi Bersih Padi 2025'!E176="","",'1.1 Produksi Bersih Padi 2025'!E176)</f>
        <v/>
      </c>
      <c r="F176" s="28" t="str">
        <f>IF(D176="","",VLOOKUP(D176,'[1]0.1 Produksi Pangan &amp; Penduduk'!$D$5:$AK$860,34,0))</f>
        <v/>
      </c>
      <c r="G176" s="29" t="str">
        <f t="shared" si="10"/>
        <v/>
      </c>
      <c r="H176" s="29" t="str">
        <f t="shared" si="11"/>
        <v/>
      </c>
      <c r="I176" s="29" t="str">
        <f t="shared" si="12"/>
        <v/>
      </c>
      <c r="J176" s="29" t="str">
        <f t="shared" si="13"/>
        <v/>
      </c>
      <c r="K176" s="29" t="str">
        <f t="shared" si="14"/>
        <v/>
      </c>
      <c r="M176" s="11"/>
    </row>
    <row r="177" spans="1:13" ht="15" x14ac:dyDescent="0.25">
      <c r="A177" s="1" t="str">
        <f>IF('1.1 Produksi Bersih Padi 2025'!A177="","",'1.1 Produksi Bersih Padi 2025'!A177)</f>
        <v/>
      </c>
      <c r="B177" s="31" t="str">
        <f>IF('1.1 Produksi Bersih Padi 2025'!B177="","",'1.1 Produksi Bersih Padi 2025'!B177)</f>
        <v/>
      </c>
      <c r="C177" s="31" t="str">
        <f>IF('1.1 Produksi Bersih Padi 2025'!C177="","",'1.1 Produksi Bersih Padi 2025'!C177)</f>
        <v/>
      </c>
      <c r="D177" s="1" t="str">
        <f>IF('1.1 Produksi Bersih Padi 2025'!D177="","",'1.1 Produksi Bersih Padi 2025'!D177)</f>
        <v/>
      </c>
      <c r="E177" s="1" t="str">
        <f>IF('1.1 Produksi Bersih Padi 2025'!E177="","",'1.1 Produksi Bersih Padi 2025'!E177)</f>
        <v/>
      </c>
      <c r="F177" s="28" t="str">
        <f>IF(D177="","",VLOOKUP(D177,'[1]0.1 Produksi Pangan &amp; Penduduk'!$D$5:$AK$860,34,0))</f>
        <v/>
      </c>
      <c r="G177" s="29" t="str">
        <f t="shared" si="10"/>
        <v/>
      </c>
      <c r="H177" s="29" t="str">
        <f t="shared" si="11"/>
        <v/>
      </c>
      <c r="I177" s="29" t="str">
        <f t="shared" si="12"/>
        <v/>
      </c>
      <c r="J177" s="29" t="str">
        <f t="shared" si="13"/>
        <v/>
      </c>
      <c r="K177" s="29" t="str">
        <f t="shared" si="14"/>
        <v/>
      </c>
      <c r="M177" s="11"/>
    </row>
    <row r="178" spans="1:13" ht="15" x14ac:dyDescent="0.25">
      <c r="A178" s="1" t="str">
        <f>IF('1.1 Produksi Bersih Padi 2025'!A178="","",'1.1 Produksi Bersih Padi 2025'!A178)</f>
        <v/>
      </c>
      <c r="B178" s="31" t="str">
        <f>IF('1.1 Produksi Bersih Padi 2025'!B178="","",'1.1 Produksi Bersih Padi 2025'!B178)</f>
        <v/>
      </c>
      <c r="C178" s="31" t="str">
        <f>IF('1.1 Produksi Bersih Padi 2025'!C178="","",'1.1 Produksi Bersih Padi 2025'!C178)</f>
        <v/>
      </c>
      <c r="D178" s="1" t="str">
        <f>IF('1.1 Produksi Bersih Padi 2025'!D178="","",'1.1 Produksi Bersih Padi 2025'!D178)</f>
        <v/>
      </c>
      <c r="E178" s="1" t="str">
        <f>IF('1.1 Produksi Bersih Padi 2025'!E178="","",'1.1 Produksi Bersih Padi 2025'!E178)</f>
        <v/>
      </c>
      <c r="F178" s="28" t="str">
        <f>IF(D178="","",VLOOKUP(D178,'[1]0.1 Produksi Pangan &amp; Penduduk'!$D$5:$AK$860,34,0))</f>
        <v/>
      </c>
      <c r="G178" s="29" t="str">
        <f t="shared" si="10"/>
        <v/>
      </c>
      <c r="H178" s="29" t="str">
        <f t="shared" si="11"/>
        <v/>
      </c>
      <c r="I178" s="29" t="str">
        <f t="shared" si="12"/>
        <v/>
      </c>
      <c r="J178" s="29" t="str">
        <f t="shared" si="13"/>
        <v/>
      </c>
      <c r="K178" s="29" t="str">
        <f t="shared" si="14"/>
        <v/>
      </c>
      <c r="M178" s="11"/>
    </row>
    <row r="179" spans="1:13" ht="15" x14ac:dyDescent="0.25">
      <c r="A179" s="1" t="str">
        <f>IF('1.1 Produksi Bersih Padi 2025'!A179="","",'1.1 Produksi Bersih Padi 2025'!A179)</f>
        <v/>
      </c>
      <c r="B179" s="31" t="str">
        <f>IF('1.1 Produksi Bersih Padi 2025'!B179="","",'1.1 Produksi Bersih Padi 2025'!B179)</f>
        <v/>
      </c>
      <c r="C179" s="31" t="str">
        <f>IF('1.1 Produksi Bersih Padi 2025'!C179="","",'1.1 Produksi Bersih Padi 2025'!C179)</f>
        <v/>
      </c>
      <c r="D179" s="1" t="str">
        <f>IF('1.1 Produksi Bersih Padi 2025'!D179="","",'1.1 Produksi Bersih Padi 2025'!D179)</f>
        <v/>
      </c>
      <c r="E179" s="1" t="str">
        <f>IF('1.1 Produksi Bersih Padi 2025'!E179="","",'1.1 Produksi Bersih Padi 2025'!E179)</f>
        <v/>
      </c>
      <c r="F179" s="28" t="str">
        <f>IF(D179="","",VLOOKUP(D179,'[1]0.1 Produksi Pangan &amp; Penduduk'!$D$5:$AK$860,34,0))</f>
        <v/>
      </c>
      <c r="G179" s="29" t="str">
        <f t="shared" si="10"/>
        <v/>
      </c>
      <c r="H179" s="29" t="str">
        <f t="shared" si="11"/>
        <v/>
      </c>
      <c r="I179" s="29" t="str">
        <f t="shared" si="12"/>
        <v/>
      </c>
      <c r="J179" s="29" t="str">
        <f t="shared" si="13"/>
        <v/>
      </c>
      <c r="K179" s="29" t="str">
        <f t="shared" si="14"/>
        <v/>
      </c>
      <c r="M179" s="11"/>
    </row>
    <row r="180" spans="1:13" ht="15" x14ac:dyDescent="0.25">
      <c r="A180" s="1" t="str">
        <f>IF('1.1 Produksi Bersih Padi 2025'!A180="","",'1.1 Produksi Bersih Padi 2025'!A180)</f>
        <v/>
      </c>
      <c r="B180" s="31" t="str">
        <f>IF('1.1 Produksi Bersih Padi 2025'!B180="","",'1.1 Produksi Bersih Padi 2025'!B180)</f>
        <v/>
      </c>
      <c r="C180" s="31" t="str">
        <f>IF('1.1 Produksi Bersih Padi 2025'!C180="","",'1.1 Produksi Bersih Padi 2025'!C180)</f>
        <v/>
      </c>
      <c r="D180" s="1" t="str">
        <f>IF('1.1 Produksi Bersih Padi 2025'!D180="","",'1.1 Produksi Bersih Padi 2025'!D180)</f>
        <v/>
      </c>
      <c r="E180" s="1" t="str">
        <f>IF('1.1 Produksi Bersih Padi 2025'!E180="","",'1.1 Produksi Bersih Padi 2025'!E180)</f>
        <v/>
      </c>
      <c r="F180" s="28" t="str">
        <f>IF(D180="","",VLOOKUP(D180,'[1]0.1 Produksi Pangan &amp; Penduduk'!$D$5:$AK$860,34,0))</f>
        <v/>
      </c>
      <c r="G180" s="29" t="str">
        <f t="shared" si="10"/>
        <v/>
      </c>
      <c r="H180" s="29" t="str">
        <f t="shared" si="11"/>
        <v/>
      </c>
      <c r="I180" s="29" t="str">
        <f t="shared" si="12"/>
        <v/>
      </c>
      <c r="J180" s="29" t="str">
        <f t="shared" si="13"/>
        <v/>
      </c>
      <c r="K180" s="29" t="str">
        <f t="shared" si="14"/>
        <v/>
      </c>
      <c r="M180" s="11"/>
    </row>
    <row r="181" spans="1:13" ht="15" x14ac:dyDescent="0.25">
      <c r="A181" s="1" t="str">
        <f>IF('1.1 Produksi Bersih Padi 2025'!A181="","",'1.1 Produksi Bersih Padi 2025'!A181)</f>
        <v/>
      </c>
      <c r="B181" s="31" t="str">
        <f>IF('1.1 Produksi Bersih Padi 2025'!B181="","",'1.1 Produksi Bersih Padi 2025'!B181)</f>
        <v/>
      </c>
      <c r="C181" s="31" t="str">
        <f>IF('1.1 Produksi Bersih Padi 2025'!C181="","",'1.1 Produksi Bersih Padi 2025'!C181)</f>
        <v/>
      </c>
      <c r="D181" s="1" t="str">
        <f>IF('1.1 Produksi Bersih Padi 2025'!D181="","",'1.1 Produksi Bersih Padi 2025'!D181)</f>
        <v/>
      </c>
      <c r="E181" s="1" t="str">
        <f>IF('1.1 Produksi Bersih Padi 2025'!E181="","",'1.1 Produksi Bersih Padi 2025'!E181)</f>
        <v/>
      </c>
      <c r="F181" s="28" t="str">
        <f>IF(D181="","",VLOOKUP(D181,'[1]0.1 Produksi Pangan &amp; Penduduk'!$D$5:$AK$860,34,0))</f>
        <v/>
      </c>
      <c r="G181" s="29" t="str">
        <f t="shared" si="10"/>
        <v/>
      </c>
      <c r="H181" s="29" t="str">
        <f t="shared" si="11"/>
        <v/>
      </c>
      <c r="I181" s="29" t="str">
        <f t="shared" si="12"/>
        <v/>
      </c>
      <c r="J181" s="29" t="str">
        <f t="shared" si="13"/>
        <v/>
      </c>
      <c r="K181" s="29" t="str">
        <f t="shared" si="14"/>
        <v/>
      </c>
      <c r="M181" s="11"/>
    </row>
    <row r="182" spans="1:13" ht="15" x14ac:dyDescent="0.25">
      <c r="A182" s="1" t="str">
        <f>IF('1.1 Produksi Bersih Padi 2025'!A182="","",'1.1 Produksi Bersih Padi 2025'!A182)</f>
        <v/>
      </c>
      <c r="B182" s="31" t="str">
        <f>IF('1.1 Produksi Bersih Padi 2025'!B182="","",'1.1 Produksi Bersih Padi 2025'!B182)</f>
        <v/>
      </c>
      <c r="C182" s="31" t="str">
        <f>IF('1.1 Produksi Bersih Padi 2025'!C182="","",'1.1 Produksi Bersih Padi 2025'!C182)</f>
        <v/>
      </c>
      <c r="D182" s="1" t="str">
        <f>IF('1.1 Produksi Bersih Padi 2025'!D182="","",'1.1 Produksi Bersih Padi 2025'!D182)</f>
        <v/>
      </c>
      <c r="E182" s="1" t="str">
        <f>IF('1.1 Produksi Bersih Padi 2025'!E182="","",'1.1 Produksi Bersih Padi 2025'!E182)</f>
        <v/>
      </c>
      <c r="F182" s="28" t="str">
        <f>IF(D182="","",VLOOKUP(D182,'[1]0.1 Produksi Pangan &amp; Penduduk'!$D$5:$AK$860,34,0))</f>
        <v/>
      </c>
      <c r="G182" s="29" t="str">
        <f t="shared" si="10"/>
        <v/>
      </c>
      <c r="H182" s="29" t="str">
        <f t="shared" si="11"/>
        <v/>
      </c>
      <c r="I182" s="29" t="str">
        <f t="shared" si="12"/>
        <v/>
      </c>
      <c r="J182" s="29" t="str">
        <f t="shared" si="13"/>
        <v/>
      </c>
      <c r="K182" s="29" t="str">
        <f t="shared" si="14"/>
        <v/>
      </c>
      <c r="M182" s="11"/>
    </row>
    <row r="183" spans="1:13" ht="15" x14ac:dyDescent="0.25">
      <c r="A183" s="1" t="str">
        <f>IF('1.1 Produksi Bersih Padi 2025'!A183="","",'1.1 Produksi Bersih Padi 2025'!A183)</f>
        <v/>
      </c>
      <c r="B183" s="31" t="str">
        <f>IF('1.1 Produksi Bersih Padi 2025'!B183="","",'1.1 Produksi Bersih Padi 2025'!B183)</f>
        <v/>
      </c>
      <c r="C183" s="31" t="str">
        <f>IF('1.1 Produksi Bersih Padi 2025'!C183="","",'1.1 Produksi Bersih Padi 2025'!C183)</f>
        <v/>
      </c>
      <c r="D183" s="1" t="str">
        <f>IF('1.1 Produksi Bersih Padi 2025'!D183="","",'1.1 Produksi Bersih Padi 2025'!D183)</f>
        <v/>
      </c>
      <c r="E183" s="1" t="str">
        <f>IF('1.1 Produksi Bersih Padi 2025'!E183="","",'1.1 Produksi Bersih Padi 2025'!E183)</f>
        <v/>
      </c>
      <c r="F183" s="28" t="str">
        <f>IF(D183="","",VLOOKUP(D183,'[1]0.1 Produksi Pangan &amp; Penduduk'!$D$5:$AK$860,34,0))</f>
        <v/>
      </c>
      <c r="G183" s="29" t="str">
        <f t="shared" si="10"/>
        <v/>
      </c>
      <c r="H183" s="29" t="str">
        <f t="shared" si="11"/>
        <v/>
      </c>
      <c r="I183" s="29" t="str">
        <f t="shared" si="12"/>
        <v/>
      </c>
      <c r="J183" s="29" t="str">
        <f t="shared" si="13"/>
        <v/>
      </c>
      <c r="K183" s="29" t="str">
        <f t="shared" si="14"/>
        <v/>
      </c>
      <c r="M183" s="11"/>
    </row>
    <row r="184" spans="1:13" ht="15" x14ac:dyDescent="0.25">
      <c r="A184" s="1" t="str">
        <f>IF('1.1 Produksi Bersih Padi 2025'!A184="","",'1.1 Produksi Bersih Padi 2025'!A184)</f>
        <v/>
      </c>
      <c r="B184" s="31" t="str">
        <f>IF('1.1 Produksi Bersih Padi 2025'!B184="","",'1.1 Produksi Bersih Padi 2025'!B184)</f>
        <v/>
      </c>
      <c r="C184" s="31" t="str">
        <f>IF('1.1 Produksi Bersih Padi 2025'!C184="","",'1.1 Produksi Bersih Padi 2025'!C184)</f>
        <v/>
      </c>
      <c r="D184" s="1" t="str">
        <f>IF('1.1 Produksi Bersih Padi 2025'!D184="","",'1.1 Produksi Bersih Padi 2025'!D184)</f>
        <v/>
      </c>
      <c r="E184" s="1" t="str">
        <f>IF('1.1 Produksi Bersih Padi 2025'!E184="","",'1.1 Produksi Bersih Padi 2025'!E184)</f>
        <v/>
      </c>
      <c r="F184" s="28" t="str">
        <f>IF(D184="","",VLOOKUP(D184,'[1]0.1 Produksi Pangan &amp; Penduduk'!$D$5:$AK$860,34,0))</f>
        <v/>
      </c>
      <c r="G184" s="29" t="str">
        <f t="shared" si="10"/>
        <v/>
      </c>
      <c r="H184" s="29" t="str">
        <f t="shared" si="11"/>
        <v/>
      </c>
      <c r="I184" s="29" t="str">
        <f t="shared" si="12"/>
        <v/>
      </c>
      <c r="J184" s="29" t="str">
        <f t="shared" si="13"/>
        <v/>
      </c>
      <c r="K184" s="29" t="str">
        <f t="shared" si="14"/>
        <v/>
      </c>
      <c r="M184" s="11"/>
    </row>
    <row r="185" spans="1:13" ht="15" x14ac:dyDescent="0.25">
      <c r="A185" s="1" t="str">
        <f>IF('1.1 Produksi Bersih Padi 2025'!A185="","",'1.1 Produksi Bersih Padi 2025'!A185)</f>
        <v/>
      </c>
      <c r="B185" s="31" t="str">
        <f>IF('1.1 Produksi Bersih Padi 2025'!B185="","",'1.1 Produksi Bersih Padi 2025'!B185)</f>
        <v/>
      </c>
      <c r="C185" s="31" t="str">
        <f>IF('1.1 Produksi Bersih Padi 2025'!C185="","",'1.1 Produksi Bersih Padi 2025'!C185)</f>
        <v/>
      </c>
      <c r="D185" s="1" t="str">
        <f>IF('1.1 Produksi Bersih Padi 2025'!D185="","",'1.1 Produksi Bersih Padi 2025'!D185)</f>
        <v/>
      </c>
      <c r="E185" s="1" t="str">
        <f>IF('1.1 Produksi Bersih Padi 2025'!E185="","",'1.1 Produksi Bersih Padi 2025'!E185)</f>
        <v/>
      </c>
      <c r="F185" s="28" t="str">
        <f>IF(D185="","",VLOOKUP(D185,'[1]0.1 Produksi Pangan &amp; Penduduk'!$D$5:$AK$860,34,0))</f>
        <v/>
      </c>
      <c r="G185" s="29" t="str">
        <f t="shared" si="10"/>
        <v/>
      </c>
      <c r="H185" s="29" t="str">
        <f t="shared" si="11"/>
        <v/>
      </c>
      <c r="I185" s="29" t="str">
        <f t="shared" si="12"/>
        <v/>
      </c>
      <c r="J185" s="29" t="str">
        <f t="shared" si="13"/>
        <v/>
      </c>
      <c r="K185" s="29" t="str">
        <f t="shared" si="14"/>
        <v/>
      </c>
      <c r="M185" s="11"/>
    </row>
    <row r="186" spans="1:13" ht="15" x14ac:dyDescent="0.25">
      <c r="A186" s="1" t="str">
        <f>IF('1.1 Produksi Bersih Padi 2025'!A186="","",'1.1 Produksi Bersih Padi 2025'!A186)</f>
        <v/>
      </c>
      <c r="B186" s="31" t="str">
        <f>IF('1.1 Produksi Bersih Padi 2025'!B186="","",'1.1 Produksi Bersih Padi 2025'!B186)</f>
        <v/>
      </c>
      <c r="C186" s="31" t="str">
        <f>IF('1.1 Produksi Bersih Padi 2025'!C186="","",'1.1 Produksi Bersih Padi 2025'!C186)</f>
        <v/>
      </c>
      <c r="D186" s="1" t="str">
        <f>IF('1.1 Produksi Bersih Padi 2025'!D186="","",'1.1 Produksi Bersih Padi 2025'!D186)</f>
        <v/>
      </c>
      <c r="E186" s="1" t="str">
        <f>IF('1.1 Produksi Bersih Padi 2025'!E186="","",'1.1 Produksi Bersih Padi 2025'!E186)</f>
        <v/>
      </c>
      <c r="F186" s="28" t="str">
        <f>IF(D186="","",VLOOKUP(D186,'[1]0.1 Produksi Pangan &amp; Penduduk'!$D$5:$AK$860,34,0))</f>
        <v/>
      </c>
      <c r="G186" s="29" t="str">
        <f t="shared" si="10"/>
        <v/>
      </c>
      <c r="H186" s="29" t="str">
        <f t="shared" si="11"/>
        <v/>
      </c>
      <c r="I186" s="29" t="str">
        <f t="shared" si="12"/>
        <v/>
      </c>
      <c r="J186" s="29" t="str">
        <f t="shared" si="13"/>
        <v/>
      </c>
      <c r="K186" s="29" t="str">
        <f t="shared" si="14"/>
        <v/>
      </c>
      <c r="M186" s="11"/>
    </row>
    <row r="187" spans="1:13" ht="15" x14ac:dyDescent="0.25">
      <c r="A187" s="1" t="str">
        <f>IF('1.1 Produksi Bersih Padi 2025'!A187="","",'1.1 Produksi Bersih Padi 2025'!A187)</f>
        <v/>
      </c>
      <c r="B187" s="31" t="str">
        <f>IF('1.1 Produksi Bersih Padi 2025'!B187="","",'1.1 Produksi Bersih Padi 2025'!B187)</f>
        <v/>
      </c>
      <c r="C187" s="31" t="str">
        <f>IF('1.1 Produksi Bersih Padi 2025'!C187="","",'1.1 Produksi Bersih Padi 2025'!C187)</f>
        <v/>
      </c>
      <c r="D187" s="1" t="str">
        <f>IF('1.1 Produksi Bersih Padi 2025'!D187="","",'1.1 Produksi Bersih Padi 2025'!D187)</f>
        <v/>
      </c>
      <c r="E187" s="1" t="str">
        <f>IF('1.1 Produksi Bersih Padi 2025'!E187="","",'1.1 Produksi Bersih Padi 2025'!E187)</f>
        <v/>
      </c>
      <c r="F187" s="28" t="str">
        <f>IF(D187="","",VLOOKUP(D187,'[1]0.1 Produksi Pangan &amp; Penduduk'!$D$5:$AK$860,34,0))</f>
        <v/>
      </c>
      <c r="G187" s="29" t="str">
        <f t="shared" si="10"/>
        <v/>
      </c>
      <c r="H187" s="29" t="str">
        <f t="shared" si="11"/>
        <v/>
      </c>
      <c r="I187" s="29" t="str">
        <f t="shared" si="12"/>
        <v/>
      </c>
      <c r="J187" s="29" t="str">
        <f t="shared" si="13"/>
        <v/>
      </c>
      <c r="K187" s="29" t="str">
        <f t="shared" si="14"/>
        <v/>
      </c>
      <c r="M187" s="11"/>
    </row>
    <row r="188" spans="1:13" ht="15" x14ac:dyDescent="0.25">
      <c r="A188" s="1" t="str">
        <f>IF('1.1 Produksi Bersih Padi 2025'!A188="","",'1.1 Produksi Bersih Padi 2025'!A188)</f>
        <v/>
      </c>
      <c r="B188" s="31" t="str">
        <f>IF('1.1 Produksi Bersih Padi 2025'!B188="","",'1.1 Produksi Bersih Padi 2025'!B188)</f>
        <v/>
      </c>
      <c r="C188" s="31" t="str">
        <f>IF('1.1 Produksi Bersih Padi 2025'!C188="","",'1.1 Produksi Bersih Padi 2025'!C188)</f>
        <v/>
      </c>
      <c r="D188" s="1" t="str">
        <f>IF('1.1 Produksi Bersih Padi 2025'!D188="","",'1.1 Produksi Bersih Padi 2025'!D188)</f>
        <v/>
      </c>
      <c r="E188" s="1" t="str">
        <f>IF('1.1 Produksi Bersih Padi 2025'!E188="","",'1.1 Produksi Bersih Padi 2025'!E188)</f>
        <v/>
      </c>
      <c r="F188" s="28" t="str">
        <f>IF(D188="","",VLOOKUP(D188,'[1]0.1 Produksi Pangan &amp; Penduduk'!$D$5:$AK$860,34,0))</f>
        <v/>
      </c>
      <c r="G188" s="29" t="str">
        <f t="shared" si="10"/>
        <v/>
      </c>
      <c r="H188" s="29" t="str">
        <f t="shared" si="11"/>
        <v/>
      </c>
      <c r="I188" s="29" t="str">
        <f t="shared" si="12"/>
        <v/>
      </c>
      <c r="J188" s="29" t="str">
        <f t="shared" si="13"/>
        <v/>
      </c>
      <c r="K188" s="29" t="str">
        <f t="shared" si="14"/>
        <v/>
      </c>
      <c r="M188" s="11"/>
    </row>
    <row r="189" spans="1:13" ht="15" x14ac:dyDescent="0.25">
      <c r="A189" s="1" t="str">
        <f>IF('1.1 Produksi Bersih Padi 2025'!A189="","",'1.1 Produksi Bersih Padi 2025'!A189)</f>
        <v/>
      </c>
      <c r="B189" s="31" t="str">
        <f>IF('1.1 Produksi Bersih Padi 2025'!B189="","",'1.1 Produksi Bersih Padi 2025'!B189)</f>
        <v/>
      </c>
      <c r="C189" s="31" t="str">
        <f>IF('1.1 Produksi Bersih Padi 2025'!C189="","",'1.1 Produksi Bersih Padi 2025'!C189)</f>
        <v/>
      </c>
      <c r="D189" s="1" t="str">
        <f>IF('1.1 Produksi Bersih Padi 2025'!D189="","",'1.1 Produksi Bersih Padi 2025'!D189)</f>
        <v/>
      </c>
      <c r="E189" s="1" t="str">
        <f>IF('1.1 Produksi Bersih Padi 2025'!E189="","",'1.1 Produksi Bersih Padi 2025'!E189)</f>
        <v/>
      </c>
      <c r="F189" s="28" t="str">
        <f>IF(D189="","",VLOOKUP(D189,'[1]0.1 Produksi Pangan &amp; Penduduk'!$D$5:$AK$860,34,0))</f>
        <v/>
      </c>
      <c r="G189" s="29" t="str">
        <f t="shared" si="10"/>
        <v/>
      </c>
      <c r="H189" s="29" t="str">
        <f t="shared" si="11"/>
        <v/>
      </c>
      <c r="I189" s="29" t="str">
        <f t="shared" si="12"/>
        <v/>
      </c>
      <c r="J189" s="29" t="str">
        <f t="shared" si="13"/>
        <v/>
      </c>
      <c r="K189" s="29" t="str">
        <f t="shared" si="14"/>
        <v/>
      </c>
      <c r="M189" s="11"/>
    </row>
    <row r="190" spans="1:13" ht="15" x14ac:dyDescent="0.25">
      <c r="A190" s="1" t="str">
        <f>IF('1.1 Produksi Bersih Padi 2025'!A190="","",'1.1 Produksi Bersih Padi 2025'!A190)</f>
        <v/>
      </c>
      <c r="B190" s="31" t="str">
        <f>IF('1.1 Produksi Bersih Padi 2025'!B190="","",'1.1 Produksi Bersih Padi 2025'!B190)</f>
        <v/>
      </c>
      <c r="C190" s="31" t="str">
        <f>IF('1.1 Produksi Bersih Padi 2025'!C190="","",'1.1 Produksi Bersih Padi 2025'!C190)</f>
        <v/>
      </c>
      <c r="D190" s="1" t="str">
        <f>IF('1.1 Produksi Bersih Padi 2025'!D190="","",'1.1 Produksi Bersih Padi 2025'!D190)</f>
        <v/>
      </c>
      <c r="E190" s="1" t="str">
        <f>IF('1.1 Produksi Bersih Padi 2025'!E190="","",'1.1 Produksi Bersih Padi 2025'!E190)</f>
        <v/>
      </c>
      <c r="F190" s="28" t="str">
        <f>IF(D190="","",VLOOKUP(D190,'[1]0.1 Produksi Pangan &amp; Penduduk'!$D$5:$AK$860,34,0))</f>
        <v/>
      </c>
      <c r="G190" s="29" t="str">
        <f t="shared" si="10"/>
        <v/>
      </c>
      <c r="H190" s="29" t="str">
        <f t="shared" si="11"/>
        <v/>
      </c>
      <c r="I190" s="29" t="str">
        <f t="shared" si="12"/>
        <v/>
      </c>
      <c r="J190" s="29" t="str">
        <f t="shared" si="13"/>
        <v/>
      </c>
      <c r="K190" s="29" t="str">
        <f t="shared" si="14"/>
        <v/>
      </c>
      <c r="M190" s="11"/>
    </row>
    <row r="191" spans="1:13" ht="15" x14ac:dyDescent="0.25">
      <c r="A191" s="1" t="str">
        <f>IF('1.1 Produksi Bersih Padi 2025'!A191="","",'1.1 Produksi Bersih Padi 2025'!A191)</f>
        <v/>
      </c>
      <c r="B191" s="31" t="str">
        <f>IF('1.1 Produksi Bersih Padi 2025'!B191="","",'1.1 Produksi Bersih Padi 2025'!B191)</f>
        <v/>
      </c>
      <c r="C191" s="31" t="str">
        <f>IF('1.1 Produksi Bersih Padi 2025'!C191="","",'1.1 Produksi Bersih Padi 2025'!C191)</f>
        <v/>
      </c>
      <c r="D191" s="1" t="str">
        <f>IF('1.1 Produksi Bersih Padi 2025'!D191="","",'1.1 Produksi Bersih Padi 2025'!D191)</f>
        <v/>
      </c>
      <c r="E191" s="1" t="str">
        <f>IF('1.1 Produksi Bersih Padi 2025'!E191="","",'1.1 Produksi Bersih Padi 2025'!E191)</f>
        <v/>
      </c>
      <c r="F191" s="28" t="str">
        <f>IF(D191="","",VLOOKUP(D191,'[1]0.1 Produksi Pangan &amp; Penduduk'!$D$5:$AK$860,34,0))</f>
        <v/>
      </c>
      <c r="G191" s="29" t="str">
        <f t="shared" si="10"/>
        <v/>
      </c>
      <c r="H191" s="29" t="str">
        <f t="shared" si="11"/>
        <v/>
      </c>
      <c r="I191" s="29" t="str">
        <f t="shared" si="12"/>
        <v/>
      </c>
      <c r="J191" s="29" t="str">
        <f t="shared" si="13"/>
        <v/>
      </c>
      <c r="K191" s="29" t="str">
        <f t="shared" si="14"/>
        <v/>
      </c>
      <c r="M191" s="11"/>
    </row>
    <row r="192" spans="1:13" ht="15" x14ac:dyDescent="0.25">
      <c r="A192" s="1" t="str">
        <f>IF('1.1 Produksi Bersih Padi 2025'!A192="","",'1.1 Produksi Bersih Padi 2025'!A192)</f>
        <v/>
      </c>
      <c r="B192" s="31" t="str">
        <f>IF('1.1 Produksi Bersih Padi 2025'!B192="","",'1.1 Produksi Bersih Padi 2025'!B192)</f>
        <v/>
      </c>
      <c r="C192" s="31" t="str">
        <f>IF('1.1 Produksi Bersih Padi 2025'!C192="","",'1.1 Produksi Bersih Padi 2025'!C192)</f>
        <v/>
      </c>
      <c r="D192" s="1" t="str">
        <f>IF('1.1 Produksi Bersih Padi 2025'!D192="","",'1.1 Produksi Bersih Padi 2025'!D192)</f>
        <v/>
      </c>
      <c r="E192" s="1" t="str">
        <f>IF('1.1 Produksi Bersih Padi 2025'!E192="","",'1.1 Produksi Bersih Padi 2025'!E192)</f>
        <v/>
      </c>
      <c r="F192" s="28" t="str">
        <f>IF(D192="","",VLOOKUP(D192,'[1]0.1 Produksi Pangan &amp; Penduduk'!$D$5:$AK$860,34,0))</f>
        <v/>
      </c>
      <c r="G192" s="29" t="str">
        <f t="shared" si="10"/>
        <v/>
      </c>
      <c r="H192" s="29" t="str">
        <f t="shared" si="11"/>
        <v/>
      </c>
      <c r="I192" s="29" t="str">
        <f t="shared" si="12"/>
        <v/>
      </c>
      <c r="J192" s="29" t="str">
        <f t="shared" si="13"/>
        <v/>
      </c>
      <c r="K192" s="29" t="str">
        <f t="shared" si="14"/>
        <v/>
      </c>
      <c r="M192" s="11"/>
    </row>
    <row r="193" spans="1:13" ht="15" x14ac:dyDescent="0.25">
      <c r="A193" s="1" t="str">
        <f>IF('1.1 Produksi Bersih Padi 2025'!A193="","",'1.1 Produksi Bersih Padi 2025'!A193)</f>
        <v/>
      </c>
      <c r="B193" s="31" t="str">
        <f>IF('1.1 Produksi Bersih Padi 2025'!B193="","",'1.1 Produksi Bersih Padi 2025'!B193)</f>
        <v/>
      </c>
      <c r="C193" s="31" t="str">
        <f>IF('1.1 Produksi Bersih Padi 2025'!C193="","",'1.1 Produksi Bersih Padi 2025'!C193)</f>
        <v/>
      </c>
      <c r="D193" s="1" t="str">
        <f>IF('1.1 Produksi Bersih Padi 2025'!D193="","",'1.1 Produksi Bersih Padi 2025'!D193)</f>
        <v/>
      </c>
      <c r="E193" s="1" t="str">
        <f>IF('1.1 Produksi Bersih Padi 2025'!E193="","",'1.1 Produksi Bersih Padi 2025'!E193)</f>
        <v/>
      </c>
      <c r="F193" s="28" t="str">
        <f>IF(D193="","",VLOOKUP(D193,'[1]0.1 Produksi Pangan &amp; Penduduk'!$D$5:$AK$860,34,0))</f>
        <v/>
      </c>
      <c r="G193" s="29" t="str">
        <f t="shared" si="10"/>
        <v/>
      </c>
      <c r="H193" s="29" t="str">
        <f t="shared" si="11"/>
        <v/>
      </c>
      <c r="I193" s="29" t="str">
        <f t="shared" si="12"/>
        <v/>
      </c>
      <c r="J193" s="29" t="str">
        <f t="shared" si="13"/>
        <v/>
      </c>
      <c r="K193" s="29" t="str">
        <f t="shared" si="14"/>
        <v/>
      </c>
      <c r="M193" s="11"/>
    </row>
    <row r="194" spans="1:13" ht="15" x14ac:dyDescent="0.25">
      <c r="A194" s="1" t="str">
        <f>IF('1.1 Produksi Bersih Padi 2025'!A194="","",'1.1 Produksi Bersih Padi 2025'!A194)</f>
        <v/>
      </c>
      <c r="B194" s="31" t="str">
        <f>IF('1.1 Produksi Bersih Padi 2025'!B194="","",'1.1 Produksi Bersih Padi 2025'!B194)</f>
        <v/>
      </c>
      <c r="C194" s="31" t="str">
        <f>IF('1.1 Produksi Bersih Padi 2025'!C194="","",'1.1 Produksi Bersih Padi 2025'!C194)</f>
        <v/>
      </c>
      <c r="D194" s="1" t="str">
        <f>IF('1.1 Produksi Bersih Padi 2025'!D194="","",'1.1 Produksi Bersih Padi 2025'!D194)</f>
        <v/>
      </c>
      <c r="E194" s="1" t="str">
        <f>IF('1.1 Produksi Bersih Padi 2025'!E194="","",'1.1 Produksi Bersih Padi 2025'!E194)</f>
        <v/>
      </c>
      <c r="F194" s="28" t="str">
        <f>IF(D194="","",VLOOKUP(D194,'[1]0.1 Produksi Pangan &amp; Penduduk'!$D$5:$AK$860,34,0))</f>
        <v/>
      </c>
      <c r="G194" s="29" t="str">
        <f t="shared" si="10"/>
        <v/>
      </c>
      <c r="H194" s="29" t="str">
        <f t="shared" si="11"/>
        <v/>
      </c>
      <c r="I194" s="29" t="str">
        <f t="shared" si="12"/>
        <v/>
      </c>
      <c r="J194" s="29" t="str">
        <f t="shared" si="13"/>
        <v/>
      </c>
      <c r="K194" s="29" t="str">
        <f t="shared" si="14"/>
        <v/>
      </c>
      <c r="M194" s="11"/>
    </row>
    <row r="195" spans="1:13" ht="15" x14ac:dyDescent="0.25">
      <c r="A195" s="1" t="str">
        <f>IF('1.1 Produksi Bersih Padi 2025'!A195="","",'1.1 Produksi Bersih Padi 2025'!A195)</f>
        <v/>
      </c>
      <c r="B195" s="31" t="str">
        <f>IF('1.1 Produksi Bersih Padi 2025'!B195="","",'1.1 Produksi Bersih Padi 2025'!B195)</f>
        <v/>
      </c>
      <c r="C195" s="31" t="str">
        <f>IF('1.1 Produksi Bersih Padi 2025'!C195="","",'1.1 Produksi Bersih Padi 2025'!C195)</f>
        <v/>
      </c>
      <c r="D195" s="1" t="str">
        <f>IF('1.1 Produksi Bersih Padi 2025'!D195="","",'1.1 Produksi Bersih Padi 2025'!D195)</f>
        <v/>
      </c>
      <c r="E195" s="1" t="str">
        <f>IF('1.1 Produksi Bersih Padi 2025'!E195="","",'1.1 Produksi Bersih Padi 2025'!E195)</f>
        <v/>
      </c>
      <c r="F195" s="28" t="str">
        <f>IF(D195="","",VLOOKUP(D195,'[1]0.1 Produksi Pangan &amp; Penduduk'!$D$5:$AK$860,34,0))</f>
        <v/>
      </c>
      <c r="G195" s="29" t="str">
        <f t="shared" si="10"/>
        <v/>
      </c>
      <c r="H195" s="29" t="str">
        <f t="shared" si="11"/>
        <v/>
      </c>
      <c r="I195" s="29" t="str">
        <f t="shared" si="12"/>
        <v/>
      </c>
      <c r="J195" s="29" t="str">
        <f t="shared" si="13"/>
        <v/>
      </c>
      <c r="K195" s="29" t="str">
        <f t="shared" si="14"/>
        <v/>
      </c>
      <c r="M195" s="11"/>
    </row>
    <row r="196" spans="1:13" ht="15" x14ac:dyDescent="0.25">
      <c r="A196" s="1" t="str">
        <f>IF('1.1 Produksi Bersih Padi 2025'!A196="","",'1.1 Produksi Bersih Padi 2025'!A196)</f>
        <v/>
      </c>
      <c r="B196" s="31" t="str">
        <f>IF('1.1 Produksi Bersih Padi 2025'!B196="","",'1.1 Produksi Bersih Padi 2025'!B196)</f>
        <v/>
      </c>
      <c r="C196" s="31" t="str">
        <f>IF('1.1 Produksi Bersih Padi 2025'!C196="","",'1.1 Produksi Bersih Padi 2025'!C196)</f>
        <v/>
      </c>
      <c r="D196" s="1" t="str">
        <f>IF('1.1 Produksi Bersih Padi 2025'!D196="","",'1.1 Produksi Bersih Padi 2025'!D196)</f>
        <v/>
      </c>
      <c r="E196" s="1" t="str">
        <f>IF('1.1 Produksi Bersih Padi 2025'!E196="","",'1.1 Produksi Bersih Padi 2025'!E196)</f>
        <v/>
      </c>
      <c r="F196" s="28" t="str">
        <f>IF(D196="","",VLOOKUP(D196,'[1]0.1 Produksi Pangan &amp; Penduduk'!$D$5:$AK$860,34,0))</f>
        <v/>
      </c>
      <c r="G196" s="29" t="str">
        <f t="shared" si="10"/>
        <v/>
      </c>
      <c r="H196" s="29" t="str">
        <f t="shared" si="11"/>
        <v/>
      </c>
      <c r="I196" s="29" t="str">
        <f t="shared" si="12"/>
        <v/>
      </c>
      <c r="J196" s="29" t="str">
        <f t="shared" si="13"/>
        <v/>
      </c>
      <c r="K196" s="29" t="str">
        <f t="shared" si="14"/>
        <v/>
      </c>
      <c r="M196" s="11"/>
    </row>
    <row r="197" spans="1:13" ht="15" x14ac:dyDescent="0.25">
      <c r="A197" s="1" t="str">
        <f>IF('1.1 Produksi Bersih Padi 2025'!A197="","",'1.1 Produksi Bersih Padi 2025'!A197)</f>
        <v/>
      </c>
      <c r="B197" s="31" t="str">
        <f>IF('1.1 Produksi Bersih Padi 2025'!B197="","",'1.1 Produksi Bersih Padi 2025'!B197)</f>
        <v/>
      </c>
      <c r="C197" s="31" t="str">
        <f>IF('1.1 Produksi Bersih Padi 2025'!C197="","",'1.1 Produksi Bersih Padi 2025'!C197)</f>
        <v/>
      </c>
      <c r="D197" s="1" t="str">
        <f>IF('1.1 Produksi Bersih Padi 2025'!D197="","",'1.1 Produksi Bersih Padi 2025'!D197)</f>
        <v/>
      </c>
      <c r="E197" s="1" t="str">
        <f>IF('1.1 Produksi Bersih Padi 2025'!E197="","",'1.1 Produksi Bersih Padi 2025'!E197)</f>
        <v/>
      </c>
      <c r="F197" s="28" t="str">
        <f>IF(D197="","",VLOOKUP(D197,'[1]0.1 Produksi Pangan &amp; Penduduk'!$D$5:$AK$860,34,0))</f>
        <v/>
      </c>
      <c r="G197" s="29" t="str">
        <f t="shared" si="10"/>
        <v/>
      </c>
      <c r="H197" s="29" t="str">
        <f t="shared" si="11"/>
        <v/>
      </c>
      <c r="I197" s="29" t="str">
        <f t="shared" si="12"/>
        <v/>
      </c>
      <c r="J197" s="29" t="str">
        <f t="shared" si="13"/>
        <v/>
      </c>
      <c r="K197" s="29" t="str">
        <f t="shared" si="14"/>
        <v/>
      </c>
      <c r="M197" s="11"/>
    </row>
    <row r="198" spans="1:13" ht="15" x14ac:dyDescent="0.25">
      <c r="A198" s="1" t="str">
        <f>IF('1.1 Produksi Bersih Padi 2025'!A198="","",'1.1 Produksi Bersih Padi 2025'!A198)</f>
        <v/>
      </c>
      <c r="B198" s="31" t="str">
        <f>IF('1.1 Produksi Bersih Padi 2025'!B198="","",'1.1 Produksi Bersih Padi 2025'!B198)</f>
        <v/>
      </c>
      <c r="C198" s="31" t="str">
        <f>IF('1.1 Produksi Bersih Padi 2025'!C198="","",'1.1 Produksi Bersih Padi 2025'!C198)</f>
        <v/>
      </c>
      <c r="D198" s="1" t="str">
        <f>IF('1.1 Produksi Bersih Padi 2025'!D198="","",'1.1 Produksi Bersih Padi 2025'!D198)</f>
        <v/>
      </c>
      <c r="E198" s="1" t="str">
        <f>IF('1.1 Produksi Bersih Padi 2025'!E198="","",'1.1 Produksi Bersih Padi 2025'!E198)</f>
        <v/>
      </c>
      <c r="F198" s="28" t="str">
        <f>IF(D198="","",VLOOKUP(D198,'[1]0.1 Produksi Pangan &amp; Penduduk'!$D$5:$AK$860,34,0))</f>
        <v/>
      </c>
      <c r="G198" s="29" t="str">
        <f t="shared" ref="G198:G261" si="15">IF(F198="","",F198*0%)</f>
        <v/>
      </c>
      <c r="H198" s="29" t="str">
        <f t="shared" ref="H198:H261" si="16">IF(F198="","",F198*0%)</f>
        <v/>
      </c>
      <c r="I198" s="29" t="str">
        <f t="shared" ref="I198:I261" si="17">IF(F198="","",F198*0.72%)</f>
        <v/>
      </c>
      <c r="J198" s="29" t="str">
        <f t="shared" ref="J198:J261" si="18">IF(F198="","",F198-(G198+H198+I198))</f>
        <v/>
      </c>
      <c r="K198" s="29" t="str">
        <f t="shared" ref="K198:K261" si="19">IF(J198="","",J198*0.64)</f>
        <v/>
      </c>
      <c r="M198" s="11"/>
    </row>
    <row r="199" spans="1:13" ht="15" x14ac:dyDescent="0.25">
      <c r="A199" s="1" t="str">
        <f>IF('1.1 Produksi Bersih Padi 2025'!A199="","",'1.1 Produksi Bersih Padi 2025'!A199)</f>
        <v/>
      </c>
      <c r="B199" s="31" t="str">
        <f>IF('1.1 Produksi Bersih Padi 2025'!B199="","",'1.1 Produksi Bersih Padi 2025'!B199)</f>
        <v/>
      </c>
      <c r="C199" s="31" t="str">
        <f>IF('1.1 Produksi Bersih Padi 2025'!C199="","",'1.1 Produksi Bersih Padi 2025'!C199)</f>
        <v/>
      </c>
      <c r="D199" s="1" t="str">
        <f>IF('1.1 Produksi Bersih Padi 2025'!D199="","",'1.1 Produksi Bersih Padi 2025'!D199)</f>
        <v/>
      </c>
      <c r="E199" s="1" t="str">
        <f>IF('1.1 Produksi Bersih Padi 2025'!E199="","",'1.1 Produksi Bersih Padi 2025'!E199)</f>
        <v/>
      </c>
      <c r="F199" s="28" t="str">
        <f>IF(D199="","",VLOOKUP(D199,'[1]0.1 Produksi Pangan &amp; Penduduk'!$D$5:$AK$860,34,0))</f>
        <v/>
      </c>
      <c r="G199" s="29" t="str">
        <f t="shared" si="15"/>
        <v/>
      </c>
      <c r="H199" s="29" t="str">
        <f t="shared" si="16"/>
        <v/>
      </c>
      <c r="I199" s="29" t="str">
        <f t="shared" si="17"/>
        <v/>
      </c>
      <c r="J199" s="29" t="str">
        <f t="shared" si="18"/>
        <v/>
      </c>
      <c r="K199" s="29" t="str">
        <f t="shared" si="19"/>
        <v/>
      </c>
      <c r="M199" s="11"/>
    </row>
    <row r="200" spans="1:13" ht="15" x14ac:dyDescent="0.25">
      <c r="A200" s="1" t="str">
        <f>IF('1.1 Produksi Bersih Padi 2025'!A200="","",'1.1 Produksi Bersih Padi 2025'!A200)</f>
        <v/>
      </c>
      <c r="B200" s="31" t="str">
        <f>IF('1.1 Produksi Bersih Padi 2025'!B200="","",'1.1 Produksi Bersih Padi 2025'!B200)</f>
        <v/>
      </c>
      <c r="C200" s="31" t="str">
        <f>IF('1.1 Produksi Bersih Padi 2025'!C200="","",'1.1 Produksi Bersih Padi 2025'!C200)</f>
        <v/>
      </c>
      <c r="D200" s="1" t="str">
        <f>IF('1.1 Produksi Bersih Padi 2025'!D200="","",'1.1 Produksi Bersih Padi 2025'!D200)</f>
        <v/>
      </c>
      <c r="E200" s="1" t="str">
        <f>IF('1.1 Produksi Bersih Padi 2025'!E200="","",'1.1 Produksi Bersih Padi 2025'!E200)</f>
        <v/>
      </c>
      <c r="F200" s="28" t="str">
        <f>IF(D200="","",VLOOKUP(D200,'[1]0.1 Produksi Pangan &amp; Penduduk'!$D$5:$AK$860,34,0))</f>
        <v/>
      </c>
      <c r="G200" s="29" t="str">
        <f t="shared" si="15"/>
        <v/>
      </c>
      <c r="H200" s="29" t="str">
        <f t="shared" si="16"/>
        <v/>
      </c>
      <c r="I200" s="29" t="str">
        <f t="shared" si="17"/>
        <v/>
      </c>
      <c r="J200" s="29" t="str">
        <f t="shared" si="18"/>
        <v/>
      </c>
      <c r="K200" s="29" t="str">
        <f t="shared" si="19"/>
        <v/>
      </c>
      <c r="M200" s="11"/>
    </row>
    <row r="201" spans="1:13" ht="15" x14ac:dyDescent="0.25">
      <c r="A201" s="1" t="str">
        <f>IF('1.1 Produksi Bersih Padi 2025'!A201="","",'1.1 Produksi Bersih Padi 2025'!A201)</f>
        <v/>
      </c>
      <c r="B201" s="31" t="str">
        <f>IF('1.1 Produksi Bersih Padi 2025'!B201="","",'1.1 Produksi Bersih Padi 2025'!B201)</f>
        <v/>
      </c>
      <c r="C201" s="31" t="str">
        <f>IF('1.1 Produksi Bersih Padi 2025'!C201="","",'1.1 Produksi Bersih Padi 2025'!C201)</f>
        <v/>
      </c>
      <c r="D201" s="1" t="str">
        <f>IF('1.1 Produksi Bersih Padi 2025'!D201="","",'1.1 Produksi Bersih Padi 2025'!D201)</f>
        <v/>
      </c>
      <c r="E201" s="1" t="str">
        <f>IF('1.1 Produksi Bersih Padi 2025'!E201="","",'1.1 Produksi Bersih Padi 2025'!E201)</f>
        <v/>
      </c>
      <c r="F201" s="28" t="str">
        <f>IF(D201="","",VLOOKUP(D201,'[1]0.1 Produksi Pangan &amp; Penduduk'!$D$5:$AK$860,34,0))</f>
        <v/>
      </c>
      <c r="G201" s="29" t="str">
        <f t="shared" si="15"/>
        <v/>
      </c>
      <c r="H201" s="29" t="str">
        <f t="shared" si="16"/>
        <v/>
      </c>
      <c r="I201" s="29" t="str">
        <f t="shared" si="17"/>
        <v/>
      </c>
      <c r="J201" s="29" t="str">
        <f t="shared" si="18"/>
        <v/>
      </c>
      <c r="K201" s="29" t="str">
        <f t="shared" si="19"/>
        <v/>
      </c>
      <c r="M201" s="11"/>
    </row>
    <row r="202" spans="1:13" ht="15" x14ac:dyDescent="0.25">
      <c r="A202" s="1" t="str">
        <f>IF('1.1 Produksi Bersih Padi 2025'!A202="","",'1.1 Produksi Bersih Padi 2025'!A202)</f>
        <v/>
      </c>
      <c r="B202" s="31" t="str">
        <f>IF('1.1 Produksi Bersih Padi 2025'!B202="","",'1.1 Produksi Bersih Padi 2025'!B202)</f>
        <v/>
      </c>
      <c r="C202" s="31" t="str">
        <f>IF('1.1 Produksi Bersih Padi 2025'!C202="","",'1.1 Produksi Bersih Padi 2025'!C202)</f>
        <v/>
      </c>
      <c r="D202" s="1" t="str">
        <f>IF('1.1 Produksi Bersih Padi 2025'!D202="","",'1.1 Produksi Bersih Padi 2025'!D202)</f>
        <v/>
      </c>
      <c r="E202" s="1" t="str">
        <f>IF('1.1 Produksi Bersih Padi 2025'!E202="","",'1.1 Produksi Bersih Padi 2025'!E202)</f>
        <v/>
      </c>
      <c r="F202" s="28" t="str">
        <f>IF(D202="","",VLOOKUP(D202,'[1]0.1 Produksi Pangan &amp; Penduduk'!$D$5:$AK$860,34,0))</f>
        <v/>
      </c>
      <c r="G202" s="29" t="str">
        <f t="shared" si="15"/>
        <v/>
      </c>
      <c r="H202" s="29" t="str">
        <f t="shared" si="16"/>
        <v/>
      </c>
      <c r="I202" s="29" t="str">
        <f t="shared" si="17"/>
        <v/>
      </c>
      <c r="J202" s="29" t="str">
        <f t="shared" si="18"/>
        <v/>
      </c>
      <c r="K202" s="29" t="str">
        <f t="shared" si="19"/>
        <v/>
      </c>
      <c r="M202" s="11"/>
    </row>
    <row r="203" spans="1:13" ht="15" x14ac:dyDescent="0.25">
      <c r="A203" s="1" t="str">
        <f>IF('1.1 Produksi Bersih Padi 2025'!A203="","",'1.1 Produksi Bersih Padi 2025'!A203)</f>
        <v/>
      </c>
      <c r="B203" s="31" t="str">
        <f>IF('1.1 Produksi Bersih Padi 2025'!B203="","",'1.1 Produksi Bersih Padi 2025'!B203)</f>
        <v/>
      </c>
      <c r="C203" s="31" t="str">
        <f>IF('1.1 Produksi Bersih Padi 2025'!C203="","",'1.1 Produksi Bersih Padi 2025'!C203)</f>
        <v/>
      </c>
      <c r="D203" s="1" t="str">
        <f>IF('1.1 Produksi Bersih Padi 2025'!D203="","",'1.1 Produksi Bersih Padi 2025'!D203)</f>
        <v/>
      </c>
      <c r="E203" s="1" t="str">
        <f>IF('1.1 Produksi Bersih Padi 2025'!E203="","",'1.1 Produksi Bersih Padi 2025'!E203)</f>
        <v/>
      </c>
      <c r="F203" s="28" t="str">
        <f>IF(D203="","",VLOOKUP(D203,'[1]0.1 Produksi Pangan &amp; Penduduk'!$D$5:$AK$860,34,0))</f>
        <v/>
      </c>
      <c r="G203" s="29" t="str">
        <f t="shared" si="15"/>
        <v/>
      </c>
      <c r="H203" s="29" t="str">
        <f t="shared" si="16"/>
        <v/>
      </c>
      <c r="I203" s="29" t="str">
        <f t="shared" si="17"/>
        <v/>
      </c>
      <c r="J203" s="29" t="str">
        <f t="shared" si="18"/>
        <v/>
      </c>
      <c r="K203" s="29" t="str">
        <f t="shared" si="19"/>
        <v/>
      </c>
      <c r="M203" s="11"/>
    </row>
    <row r="204" spans="1:13" ht="15" x14ac:dyDescent="0.25">
      <c r="A204" s="1" t="str">
        <f>IF('1.1 Produksi Bersih Padi 2025'!A204="","",'1.1 Produksi Bersih Padi 2025'!A204)</f>
        <v/>
      </c>
      <c r="B204" s="31" t="str">
        <f>IF('1.1 Produksi Bersih Padi 2025'!B204="","",'1.1 Produksi Bersih Padi 2025'!B204)</f>
        <v/>
      </c>
      <c r="C204" s="31" t="str">
        <f>IF('1.1 Produksi Bersih Padi 2025'!C204="","",'1.1 Produksi Bersih Padi 2025'!C204)</f>
        <v/>
      </c>
      <c r="D204" s="1" t="str">
        <f>IF('1.1 Produksi Bersih Padi 2025'!D204="","",'1.1 Produksi Bersih Padi 2025'!D204)</f>
        <v/>
      </c>
      <c r="E204" s="1" t="str">
        <f>IF('1.1 Produksi Bersih Padi 2025'!E204="","",'1.1 Produksi Bersih Padi 2025'!E204)</f>
        <v/>
      </c>
      <c r="F204" s="28" t="str">
        <f>IF(D204="","",VLOOKUP(D204,'[1]0.1 Produksi Pangan &amp; Penduduk'!$D$5:$AK$860,34,0))</f>
        <v/>
      </c>
      <c r="G204" s="29" t="str">
        <f t="shared" si="15"/>
        <v/>
      </c>
      <c r="H204" s="29" t="str">
        <f t="shared" si="16"/>
        <v/>
      </c>
      <c r="I204" s="29" t="str">
        <f t="shared" si="17"/>
        <v/>
      </c>
      <c r="J204" s="29" t="str">
        <f t="shared" si="18"/>
        <v/>
      </c>
      <c r="K204" s="29" t="str">
        <f t="shared" si="19"/>
        <v/>
      </c>
      <c r="M204" s="11"/>
    </row>
    <row r="205" spans="1:13" ht="15" x14ac:dyDescent="0.25">
      <c r="A205" s="1" t="str">
        <f>IF('1.1 Produksi Bersih Padi 2025'!A205="","",'1.1 Produksi Bersih Padi 2025'!A205)</f>
        <v/>
      </c>
      <c r="B205" s="31" t="str">
        <f>IF('1.1 Produksi Bersih Padi 2025'!B205="","",'1.1 Produksi Bersih Padi 2025'!B205)</f>
        <v/>
      </c>
      <c r="C205" s="31" t="str">
        <f>IF('1.1 Produksi Bersih Padi 2025'!C205="","",'1.1 Produksi Bersih Padi 2025'!C205)</f>
        <v/>
      </c>
      <c r="D205" s="1" t="str">
        <f>IF('1.1 Produksi Bersih Padi 2025'!D205="","",'1.1 Produksi Bersih Padi 2025'!D205)</f>
        <v/>
      </c>
      <c r="E205" s="1" t="str">
        <f>IF('1.1 Produksi Bersih Padi 2025'!E205="","",'1.1 Produksi Bersih Padi 2025'!E205)</f>
        <v/>
      </c>
      <c r="F205" s="28" t="str">
        <f>IF(D205="","",VLOOKUP(D205,'[1]0.1 Produksi Pangan &amp; Penduduk'!$D$5:$AK$860,34,0))</f>
        <v/>
      </c>
      <c r="G205" s="29" t="str">
        <f t="shared" si="15"/>
        <v/>
      </c>
      <c r="H205" s="29" t="str">
        <f t="shared" si="16"/>
        <v/>
      </c>
      <c r="I205" s="29" t="str">
        <f t="shared" si="17"/>
        <v/>
      </c>
      <c r="J205" s="29" t="str">
        <f t="shared" si="18"/>
        <v/>
      </c>
      <c r="K205" s="29" t="str">
        <f t="shared" si="19"/>
        <v/>
      </c>
      <c r="M205" s="11"/>
    </row>
    <row r="206" spans="1:13" ht="15" x14ac:dyDescent="0.25">
      <c r="A206" s="1" t="str">
        <f>IF('1.1 Produksi Bersih Padi 2025'!A206="","",'1.1 Produksi Bersih Padi 2025'!A206)</f>
        <v/>
      </c>
      <c r="B206" s="31" t="str">
        <f>IF('1.1 Produksi Bersih Padi 2025'!B206="","",'1.1 Produksi Bersih Padi 2025'!B206)</f>
        <v/>
      </c>
      <c r="C206" s="31" t="str">
        <f>IF('1.1 Produksi Bersih Padi 2025'!C206="","",'1.1 Produksi Bersih Padi 2025'!C206)</f>
        <v/>
      </c>
      <c r="D206" s="1" t="str">
        <f>IF('1.1 Produksi Bersih Padi 2025'!D206="","",'1.1 Produksi Bersih Padi 2025'!D206)</f>
        <v/>
      </c>
      <c r="E206" s="1" t="str">
        <f>IF('1.1 Produksi Bersih Padi 2025'!E206="","",'1.1 Produksi Bersih Padi 2025'!E206)</f>
        <v/>
      </c>
      <c r="F206" s="28" t="str">
        <f>IF(D206="","",VLOOKUP(D206,'[1]0.1 Produksi Pangan &amp; Penduduk'!$D$5:$AK$860,34,0))</f>
        <v/>
      </c>
      <c r="G206" s="29" t="str">
        <f t="shared" si="15"/>
        <v/>
      </c>
      <c r="H206" s="29" t="str">
        <f t="shared" si="16"/>
        <v/>
      </c>
      <c r="I206" s="29" t="str">
        <f t="shared" si="17"/>
        <v/>
      </c>
      <c r="J206" s="29" t="str">
        <f t="shared" si="18"/>
        <v/>
      </c>
      <c r="K206" s="29" t="str">
        <f t="shared" si="19"/>
        <v/>
      </c>
      <c r="M206" s="11"/>
    </row>
    <row r="207" spans="1:13" ht="15" x14ac:dyDescent="0.25">
      <c r="A207" s="1" t="str">
        <f>IF('1.1 Produksi Bersih Padi 2025'!A207="","",'1.1 Produksi Bersih Padi 2025'!A207)</f>
        <v/>
      </c>
      <c r="B207" s="31" t="str">
        <f>IF('1.1 Produksi Bersih Padi 2025'!B207="","",'1.1 Produksi Bersih Padi 2025'!B207)</f>
        <v/>
      </c>
      <c r="C207" s="31" t="str">
        <f>IF('1.1 Produksi Bersih Padi 2025'!C207="","",'1.1 Produksi Bersih Padi 2025'!C207)</f>
        <v/>
      </c>
      <c r="D207" s="1" t="str">
        <f>IF('1.1 Produksi Bersih Padi 2025'!D207="","",'1.1 Produksi Bersih Padi 2025'!D207)</f>
        <v/>
      </c>
      <c r="E207" s="1" t="str">
        <f>IF('1.1 Produksi Bersih Padi 2025'!E207="","",'1.1 Produksi Bersih Padi 2025'!E207)</f>
        <v/>
      </c>
      <c r="F207" s="28" t="str">
        <f>IF(D207="","",VLOOKUP(D207,'[1]0.1 Produksi Pangan &amp; Penduduk'!$D$5:$AK$860,34,0))</f>
        <v/>
      </c>
      <c r="G207" s="29" t="str">
        <f t="shared" si="15"/>
        <v/>
      </c>
      <c r="H207" s="29" t="str">
        <f t="shared" si="16"/>
        <v/>
      </c>
      <c r="I207" s="29" t="str">
        <f t="shared" si="17"/>
        <v/>
      </c>
      <c r="J207" s="29" t="str">
        <f t="shared" si="18"/>
        <v/>
      </c>
      <c r="K207" s="29" t="str">
        <f t="shared" si="19"/>
        <v/>
      </c>
      <c r="M207" s="11"/>
    </row>
    <row r="208" spans="1:13" ht="15" x14ac:dyDescent="0.25">
      <c r="A208" s="1" t="str">
        <f>IF('1.1 Produksi Bersih Padi 2025'!A208="","",'1.1 Produksi Bersih Padi 2025'!A208)</f>
        <v/>
      </c>
      <c r="B208" s="31" t="str">
        <f>IF('1.1 Produksi Bersih Padi 2025'!B208="","",'1.1 Produksi Bersih Padi 2025'!B208)</f>
        <v/>
      </c>
      <c r="C208" s="31" t="str">
        <f>IF('1.1 Produksi Bersih Padi 2025'!C208="","",'1.1 Produksi Bersih Padi 2025'!C208)</f>
        <v/>
      </c>
      <c r="D208" s="1" t="str">
        <f>IF('1.1 Produksi Bersih Padi 2025'!D208="","",'1.1 Produksi Bersih Padi 2025'!D208)</f>
        <v/>
      </c>
      <c r="E208" s="1" t="str">
        <f>IF('1.1 Produksi Bersih Padi 2025'!E208="","",'1.1 Produksi Bersih Padi 2025'!E208)</f>
        <v/>
      </c>
      <c r="F208" s="28" t="str">
        <f>IF(D208="","",VLOOKUP(D208,'[1]0.1 Produksi Pangan &amp; Penduduk'!$D$5:$AK$860,34,0))</f>
        <v/>
      </c>
      <c r="G208" s="29" t="str">
        <f t="shared" si="15"/>
        <v/>
      </c>
      <c r="H208" s="29" t="str">
        <f t="shared" si="16"/>
        <v/>
      </c>
      <c r="I208" s="29" t="str">
        <f t="shared" si="17"/>
        <v/>
      </c>
      <c r="J208" s="29" t="str">
        <f t="shared" si="18"/>
        <v/>
      </c>
      <c r="K208" s="29" t="str">
        <f t="shared" si="19"/>
        <v/>
      </c>
      <c r="M208" s="11"/>
    </row>
    <row r="209" spans="1:13" ht="15" x14ac:dyDescent="0.25">
      <c r="A209" s="1" t="str">
        <f>IF('1.1 Produksi Bersih Padi 2025'!A209="","",'1.1 Produksi Bersih Padi 2025'!A209)</f>
        <v/>
      </c>
      <c r="B209" s="31" t="str">
        <f>IF('1.1 Produksi Bersih Padi 2025'!B209="","",'1.1 Produksi Bersih Padi 2025'!B209)</f>
        <v/>
      </c>
      <c r="C209" s="31" t="str">
        <f>IF('1.1 Produksi Bersih Padi 2025'!C209="","",'1.1 Produksi Bersih Padi 2025'!C209)</f>
        <v/>
      </c>
      <c r="D209" s="1" t="str">
        <f>IF('1.1 Produksi Bersih Padi 2025'!D209="","",'1.1 Produksi Bersih Padi 2025'!D209)</f>
        <v/>
      </c>
      <c r="E209" s="1" t="str">
        <f>IF('1.1 Produksi Bersih Padi 2025'!E209="","",'1.1 Produksi Bersih Padi 2025'!E209)</f>
        <v/>
      </c>
      <c r="F209" s="28" t="str">
        <f>IF(D209="","",VLOOKUP(D209,'[1]0.1 Produksi Pangan &amp; Penduduk'!$D$5:$AK$860,34,0))</f>
        <v/>
      </c>
      <c r="G209" s="29" t="str">
        <f t="shared" si="15"/>
        <v/>
      </c>
      <c r="H209" s="29" t="str">
        <f t="shared" si="16"/>
        <v/>
      </c>
      <c r="I209" s="29" t="str">
        <f t="shared" si="17"/>
        <v/>
      </c>
      <c r="J209" s="29" t="str">
        <f t="shared" si="18"/>
        <v/>
      </c>
      <c r="K209" s="29" t="str">
        <f t="shared" si="19"/>
        <v/>
      </c>
      <c r="M209" s="11"/>
    </row>
    <row r="210" spans="1:13" ht="15" x14ac:dyDescent="0.25">
      <c r="A210" s="1" t="str">
        <f>IF('1.1 Produksi Bersih Padi 2025'!A210="","",'1.1 Produksi Bersih Padi 2025'!A210)</f>
        <v/>
      </c>
      <c r="B210" s="31" t="str">
        <f>IF('1.1 Produksi Bersih Padi 2025'!B210="","",'1.1 Produksi Bersih Padi 2025'!B210)</f>
        <v/>
      </c>
      <c r="C210" s="31" t="str">
        <f>IF('1.1 Produksi Bersih Padi 2025'!C210="","",'1.1 Produksi Bersih Padi 2025'!C210)</f>
        <v/>
      </c>
      <c r="D210" s="1" t="str">
        <f>IF('1.1 Produksi Bersih Padi 2025'!D210="","",'1.1 Produksi Bersih Padi 2025'!D210)</f>
        <v/>
      </c>
      <c r="E210" s="1" t="str">
        <f>IF('1.1 Produksi Bersih Padi 2025'!E210="","",'1.1 Produksi Bersih Padi 2025'!E210)</f>
        <v/>
      </c>
      <c r="F210" s="28" t="str">
        <f>IF(D210="","",VLOOKUP(D210,'[1]0.1 Produksi Pangan &amp; Penduduk'!$D$5:$AK$860,34,0))</f>
        <v/>
      </c>
      <c r="G210" s="29" t="str">
        <f t="shared" si="15"/>
        <v/>
      </c>
      <c r="H210" s="29" t="str">
        <f t="shared" si="16"/>
        <v/>
      </c>
      <c r="I210" s="29" t="str">
        <f t="shared" si="17"/>
        <v/>
      </c>
      <c r="J210" s="29" t="str">
        <f t="shared" si="18"/>
        <v/>
      </c>
      <c r="K210" s="29" t="str">
        <f t="shared" si="19"/>
        <v/>
      </c>
      <c r="M210" s="11"/>
    </row>
    <row r="211" spans="1:13" ht="15" x14ac:dyDescent="0.25">
      <c r="A211" s="1" t="str">
        <f>IF('1.1 Produksi Bersih Padi 2025'!A211="","",'1.1 Produksi Bersih Padi 2025'!A211)</f>
        <v/>
      </c>
      <c r="B211" s="31" t="str">
        <f>IF('1.1 Produksi Bersih Padi 2025'!B211="","",'1.1 Produksi Bersih Padi 2025'!B211)</f>
        <v/>
      </c>
      <c r="C211" s="31" t="str">
        <f>IF('1.1 Produksi Bersih Padi 2025'!C211="","",'1.1 Produksi Bersih Padi 2025'!C211)</f>
        <v/>
      </c>
      <c r="D211" s="1" t="str">
        <f>IF('1.1 Produksi Bersih Padi 2025'!D211="","",'1.1 Produksi Bersih Padi 2025'!D211)</f>
        <v/>
      </c>
      <c r="E211" s="1" t="str">
        <f>IF('1.1 Produksi Bersih Padi 2025'!E211="","",'1.1 Produksi Bersih Padi 2025'!E211)</f>
        <v/>
      </c>
      <c r="F211" s="28" t="str">
        <f>IF(D211="","",VLOOKUP(D211,'[1]0.1 Produksi Pangan &amp; Penduduk'!$D$5:$AK$860,34,0))</f>
        <v/>
      </c>
      <c r="G211" s="29" t="str">
        <f t="shared" si="15"/>
        <v/>
      </c>
      <c r="H211" s="29" t="str">
        <f t="shared" si="16"/>
        <v/>
      </c>
      <c r="I211" s="29" t="str">
        <f t="shared" si="17"/>
        <v/>
      </c>
      <c r="J211" s="29" t="str">
        <f t="shared" si="18"/>
        <v/>
      </c>
      <c r="K211" s="29" t="str">
        <f t="shared" si="19"/>
        <v/>
      </c>
      <c r="M211" s="11"/>
    </row>
    <row r="212" spans="1:13" ht="15" x14ac:dyDescent="0.25">
      <c r="A212" s="1" t="str">
        <f>IF('1.1 Produksi Bersih Padi 2025'!A212="","",'1.1 Produksi Bersih Padi 2025'!A212)</f>
        <v/>
      </c>
      <c r="B212" s="31" t="str">
        <f>IF('1.1 Produksi Bersih Padi 2025'!B212="","",'1.1 Produksi Bersih Padi 2025'!B212)</f>
        <v/>
      </c>
      <c r="C212" s="31" t="str">
        <f>IF('1.1 Produksi Bersih Padi 2025'!C212="","",'1.1 Produksi Bersih Padi 2025'!C212)</f>
        <v/>
      </c>
      <c r="D212" s="1" t="str">
        <f>IF('1.1 Produksi Bersih Padi 2025'!D212="","",'1.1 Produksi Bersih Padi 2025'!D212)</f>
        <v/>
      </c>
      <c r="E212" s="1" t="str">
        <f>IF('1.1 Produksi Bersih Padi 2025'!E212="","",'1.1 Produksi Bersih Padi 2025'!E212)</f>
        <v/>
      </c>
      <c r="F212" s="28" t="str">
        <f>IF(D212="","",VLOOKUP(D212,'[1]0.1 Produksi Pangan &amp; Penduduk'!$D$5:$AK$860,34,0))</f>
        <v/>
      </c>
      <c r="G212" s="29" t="str">
        <f t="shared" si="15"/>
        <v/>
      </c>
      <c r="H212" s="29" t="str">
        <f t="shared" si="16"/>
        <v/>
      </c>
      <c r="I212" s="29" t="str">
        <f t="shared" si="17"/>
        <v/>
      </c>
      <c r="J212" s="29" t="str">
        <f t="shared" si="18"/>
        <v/>
      </c>
      <c r="K212" s="29" t="str">
        <f t="shared" si="19"/>
        <v/>
      </c>
      <c r="M212" s="11"/>
    </row>
    <row r="213" spans="1:13" ht="15" x14ac:dyDescent="0.25">
      <c r="A213" s="1" t="str">
        <f>IF('1.1 Produksi Bersih Padi 2025'!A213="","",'1.1 Produksi Bersih Padi 2025'!A213)</f>
        <v/>
      </c>
      <c r="B213" s="31" t="str">
        <f>IF('1.1 Produksi Bersih Padi 2025'!B213="","",'1.1 Produksi Bersih Padi 2025'!B213)</f>
        <v/>
      </c>
      <c r="C213" s="31" t="str">
        <f>IF('1.1 Produksi Bersih Padi 2025'!C213="","",'1.1 Produksi Bersih Padi 2025'!C213)</f>
        <v/>
      </c>
      <c r="D213" s="1" t="str">
        <f>IF('1.1 Produksi Bersih Padi 2025'!D213="","",'1.1 Produksi Bersih Padi 2025'!D213)</f>
        <v/>
      </c>
      <c r="E213" s="1" t="str">
        <f>IF('1.1 Produksi Bersih Padi 2025'!E213="","",'1.1 Produksi Bersih Padi 2025'!E213)</f>
        <v/>
      </c>
      <c r="F213" s="28" t="str">
        <f>IF(D213="","",VLOOKUP(D213,'[1]0.1 Produksi Pangan &amp; Penduduk'!$D$5:$AK$860,34,0))</f>
        <v/>
      </c>
      <c r="G213" s="29" t="str">
        <f t="shared" si="15"/>
        <v/>
      </c>
      <c r="H213" s="29" t="str">
        <f t="shared" si="16"/>
        <v/>
      </c>
      <c r="I213" s="29" t="str">
        <f t="shared" si="17"/>
        <v/>
      </c>
      <c r="J213" s="29" t="str">
        <f t="shared" si="18"/>
        <v/>
      </c>
      <c r="K213" s="29" t="str">
        <f t="shared" si="19"/>
        <v/>
      </c>
      <c r="M213" s="11"/>
    </row>
    <row r="214" spans="1:13" ht="15" x14ac:dyDescent="0.25">
      <c r="A214" s="1" t="str">
        <f>IF('1.1 Produksi Bersih Padi 2025'!A214="","",'1.1 Produksi Bersih Padi 2025'!A214)</f>
        <v/>
      </c>
      <c r="B214" s="31" t="str">
        <f>IF('1.1 Produksi Bersih Padi 2025'!B214="","",'1.1 Produksi Bersih Padi 2025'!B214)</f>
        <v/>
      </c>
      <c r="C214" s="31" t="str">
        <f>IF('1.1 Produksi Bersih Padi 2025'!C214="","",'1.1 Produksi Bersih Padi 2025'!C214)</f>
        <v/>
      </c>
      <c r="D214" s="1" t="str">
        <f>IF('1.1 Produksi Bersih Padi 2025'!D214="","",'1.1 Produksi Bersih Padi 2025'!D214)</f>
        <v/>
      </c>
      <c r="E214" s="1" t="str">
        <f>IF('1.1 Produksi Bersih Padi 2025'!E214="","",'1.1 Produksi Bersih Padi 2025'!E214)</f>
        <v/>
      </c>
      <c r="F214" s="28" t="str">
        <f>IF(D214="","",VLOOKUP(D214,'[1]0.1 Produksi Pangan &amp; Penduduk'!$D$5:$AK$860,34,0))</f>
        <v/>
      </c>
      <c r="G214" s="29" t="str">
        <f t="shared" si="15"/>
        <v/>
      </c>
      <c r="H214" s="29" t="str">
        <f t="shared" si="16"/>
        <v/>
      </c>
      <c r="I214" s="29" t="str">
        <f t="shared" si="17"/>
        <v/>
      </c>
      <c r="J214" s="29" t="str">
        <f t="shared" si="18"/>
        <v/>
      </c>
      <c r="K214" s="29" t="str">
        <f t="shared" si="19"/>
        <v/>
      </c>
      <c r="M214" s="11"/>
    </row>
    <row r="215" spans="1:13" ht="15" x14ac:dyDescent="0.25">
      <c r="A215" s="1" t="str">
        <f>IF('1.1 Produksi Bersih Padi 2025'!A215="","",'1.1 Produksi Bersih Padi 2025'!A215)</f>
        <v/>
      </c>
      <c r="B215" s="31" t="str">
        <f>IF('1.1 Produksi Bersih Padi 2025'!B215="","",'1.1 Produksi Bersih Padi 2025'!B215)</f>
        <v/>
      </c>
      <c r="C215" s="31" t="str">
        <f>IF('1.1 Produksi Bersih Padi 2025'!C215="","",'1.1 Produksi Bersih Padi 2025'!C215)</f>
        <v/>
      </c>
      <c r="D215" s="1" t="str">
        <f>IF('1.1 Produksi Bersih Padi 2025'!D215="","",'1.1 Produksi Bersih Padi 2025'!D215)</f>
        <v/>
      </c>
      <c r="E215" s="1" t="str">
        <f>IF('1.1 Produksi Bersih Padi 2025'!E215="","",'1.1 Produksi Bersih Padi 2025'!E215)</f>
        <v/>
      </c>
      <c r="F215" s="28" t="str">
        <f>IF(D215="","",VLOOKUP(D215,'[1]0.1 Produksi Pangan &amp; Penduduk'!$D$5:$AK$860,34,0))</f>
        <v/>
      </c>
      <c r="G215" s="29" t="str">
        <f t="shared" si="15"/>
        <v/>
      </c>
      <c r="H215" s="29" t="str">
        <f t="shared" si="16"/>
        <v/>
      </c>
      <c r="I215" s="29" t="str">
        <f t="shared" si="17"/>
        <v/>
      </c>
      <c r="J215" s="29" t="str">
        <f t="shared" si="18"/>
        <v/>
      </c>
      <c r="K215" s="29" t="str">
        <f t="shared" si="19"/>
        <v/>
      </c>
      <c r="M215" s="11"/>
    </row>
    <row r="216" spans="1:13" ht="15" x14ac:dyDescent="0.25">
      <c r="A216" s="1" t="str">
        <f>IF('1.1 Produksi Bersih Padi 2025'!A216="","",'1.1 Produksi Bersih Padi 2025'!A216)</f>
        <v/>
      </c>
      <c r="B216" s="31" t="str">
        <f>IF('1.1 Produksi Bersih Padi 2025'!B216="","",'1.1 Produksi Bersih Padi 2025'!B216)</f>
        <v/>
      </c>
      <c r="C216" s="31" t="str">
        <f>IF('1.1 Produksi Bersih Padi 2025'!C216="","",'1.1 Produksi Bersih Padi 2025'!C216)</f>
        <v/>
      </c>
      <c r="D216" s="1" t="str">
        <f>IF('1.1 Produksi Bersih Padi 2025'!D216="","",'1.1 Produksi Bersih Padi 2025'!D216)</f>
        <v/>
      </c>
      <c r="E216" s="1" t="str">
        <f>IF('1.1 Produksi Bersih Padi 2025'!E216="","",'1.1 Produksi Bersih Padi 2025'!E216)</f>
        <v/>
      </c>
      <c r="F216" s="28" t="str">
        <f>IF(D216="","",VLOOKUP(D216,'[1]0.1 Produksi Pangan &amp; Penduduk'!$D$5:$AK$860,34,0))</f>
        <v/>
      </c>
      <c r="G216" s="29" t="str">
        <f t="shared" si="15"/>
        <v/>
      </c>
      <c r="H216" s="29" t="str">
        <f t="shared" si="16"/>
        <v/>
      </c>
      <c r="I216" s="29" t="str">
        <f t="shared" si="17"/>
        <v/>
      </c>
      <c r="J216" s="29" t="str">
        <f t="shared" si="18"/>
        <v/>
      </c>
      <c r="K216" s="29" t="str">
        <f t="shared" si="19"/>
        <v/>
      </c>
      <c r="M216" s="11"/>
    </row>
    <row r="217" spans="1:13" ht="15" x14ac:dyDescent="0.25">
      <c r="A217" s="1" t="str">
        <f>IF('1.1 Produksi Bersih Padi 2025'!A217="","",'1.1 Produksi Bersih Padi 2025'!A217)</f>
        <v/>
      </c>
      <c r="B217" s="31" t="str">
        <f>IF('1.1 Produksi Bersih Padi 2025'!B217="","",'1.1 Produksi Bersih Padi 2025'!B217)</f>
        <v/>
      </c>
      <c r="C217" s="31" t="str">
        <f>IF('1.1 Produksi Bersih Padi 2025'!C217="","",'1.1 Produksi Bersih Padi 2025'!C217)</f>
        <v/>
      </c>
      <c r="D217" s="1" t="str">
        <f>IF('1.1 Produksi Bersih Padi 2025'!D217="","",'1.1 Produksi Bersih Padi 2025'!D217)</f>
        <v/>
      </c>
      <c r="E217" s="1" t="str">
        <f>IF('1.1 Produksi Bersih Padi 2025'!E217="","",'1.1 Produksi Bersih Padi 2025'!E217)</f>
        <v/>
      </c>
      <c r="F217" s="28" t="str">
        <f>IF(D217="","",VLOOKUP(D217,'[1]0.1 Produksi Pangan &amp; Penduduk'!$D$5:$AK$860,34,0))</f>
        <v/>
      </c>
      <c r="G217" s="29" t="str">
        <f t="shared" si="15"/>
        <v/>
      </c>
      <c r="H217" s="29" t="str">
        <f t="shared" si="16"/>
        <v/>
      </c>
      <c r="I217" s="29" t="str">
        <f t="shared" si="17"/>
        <v/>
      </c>
      <c r="J217" s="29" t="str">
        <f t="shared" si="18"/>
        <v/>
      </c>
      <c r="K217" s="29" t="str">
        <f t="shared" si="19"/>
        <v/>
      </c>
      <c r="M217" s="11"/>
    </row>
    <row r="218" spans="1:13" ht="15" x14ac:dyDescent="0.25">
      <c r="A218" s="1" t="str">
        <f>IF('1.1 Produksi Bersih Padi 2025'!A218="","",'1.1 Produksi Bersih Padi 2025'!A218)</f>
        <v/>
      </c>
      <c r="B218" s="31" t="str">
        <f>IF('1.1 Produksi Bersih Padi 2025'!B218="","",'1.1 Produksi Bersih Padi 2025'!B218)</f>
        <v/>
      </c>
      <c r="C218" s="31" t="str">
        <f>IF('1.1 Produksi Bersih Padi 2025'!C218="","",'1.1 Produksi Bersih Padi 2025'!C218)</f>
        <v/>
      </c>
      <c r="D218" s="1" t="str">
        <f>IF('1.1 Produksi Bersih Padi 2025'!D218="","",'1.1 Produksi Bersih Padi 2025'!D218)</f>
        <v/>
      </c>
      <c r="E218" s="1" t="str">
        <f>IF('1.1 Produksi Bersih Padi 2025'!E218="","",'1.1 Produksi Bersih Padi 2025'!E218)</f>
        <v/>
      </c>
      <c r="F218" s="28" t="str">
        <f>IF(D218="","",VLOOKUP(D218,'[1]0.1 Produksi Pangan &amp; Penduduk'!$D$5:$AK$860,34,0))</f>
        <v/>
      </c>
      <c r="G218" s="29" t="str">
        <f t="shared" si="15"/>
        <v/>
      </c>
      <c r="H218" s="29" t="str">
        <f t="shared" si="16"/>
        <v/>
      </c>
      <c r="I218" s="29" t="str">
        <f t="shared" si="17"/>
        <v/>
      </c>
      <c r="J218" s="29" t="str">
        <f t="shared" si="18"/>
        <v/>
      </c>
      <c r="K218" s="29" t="str">
        <f t="shared" si="19"/>
        <v/>
      </c>
      <c r="M218" s="11"/>
    </row>
    <row r="219" spans="1:13" ht="15" x14ac:dyDescent="0.25">
      <c r="A219" s="1" t="str">
        <f>IF('1.1 Produksi Bersih Padi 2025'!A219="","",'1.1 Produksi Bersih Padi 2025'!A219)</f>
        <v/>
      </c>
      <c r="B219" s="31" t="str">
        <f>IF('1.1 Produksi Bersih Padi 2025'!B219="","",'1.1 Produksi Bersih Padi 2025'!B219)</f>
        <v/>
      </c>
      <c r="C219" s="31" t="str">
        <f>IF('1.1 Produksi Bersih Padi 2025'!C219="","",'1.1 Produksi Bersih Padi 2025'!C219)</f>
        <v/>
      </c>
      <c r="D219" s="1" t="str">
        <f>IF('1.1 Produksi Bersih Padi 2025'!D219="","",'1.1 Produksi Bersih Padi 2025'!D219)</f>
        <v/>
      </c>
      <c r="E219" s="1" t="str">
        <f>IF('1.1 Produksi Bersih Padi 2025'!E219="","",'1.1 Produksi Bersih Padi 2025'!E219)</f>
        <v/>
      </c>
      <c r="F219" s="28" t="str">
        <f>IF(D219="","",VLOOKUP(D219,'[1]0.1 Produksi Pangan &amp; Penduduk'!$D$5:$AK$860,34,0))</f>
        <v/>
      </c>
      <c r="G219" s="29" t="str">
        <f t="shared" si="15"/>
        <v/>
      </c>
      <c r="H219" s="29" t="str">
        <f t="shared" si="16"/>
        <v/>
      </c>
      <c r="I219" s="29" t="str">
        <f t="shared" si="17"/>
        <v/>
      </c>
      <c r="J219" s="29" t="str">
        <f t="shared" si="18"/>
        <v/>
      </c>
      <c r="K219" s="29" t="str">
        <f t="shared" si="19"/>
        <v/>
      </c>
      <c r="M219" s="11"/>
    </row>
    <row r="220" spans="1:13" ht="15" x14ac:dyDescent="0.25">
      <c r="A220" s="1" t="str">
        <f>IF('1.1 Produksi Bersih Padi 2025'!A220="","",'1.1 Produksi Bersih Padi 2025'!A220)</f>
        <v/>
      </c>
      <c r="B220" s="31" t="str">
        <f>IF('1.1 Produksi Bersih Padi 2025'!B220="","",'1.1 Produksi Bersih Padi 2025'!B220)</f>
        <v/>
      </c>
      <c r="C220" s="31" t="str">
        <f>IF('1.1 Produksi Bersih Padi 2025'!C220="","",'1.1 Produksi Bersih Padi 2025'!C220)</f>
        <v/>
      </c>
      <c r="D220" s="1" t="str">
        <f>IF('1.1 Produksi Bersih Padi 2025'!D220="","",'1.1 Produksi Bersih Padi 2025'!D220)</f>
        <v/>
      </c>
      <c r="E220" s="1" t="str">
        <f>IF('1.1 Produksi Bersih Padi 2025'!E220="","",'1.1 Produksi Bersih Padi 2025'!E220)</f>
        <v/>
      </c>
      <c r="F220" s="28" t="str">
        <f>IF(D220="","",VLOOKUP(D220,'[1]0.1 Produksi Pangan &amp; Penduduk'!$D$5:$AK$860,34,0))</f>
        <v/>
      </c>
      <c r="G220" s="29" t="str">
        <f t="shared" si="15"/>
        <v/>
      </c>
      <c r="H220" s="29" t="str">
        <f t="shared" si="16"/>
        <v/>
      </c>
      <c r="I220" s="29" t="str">
        <f t="shared" si="17"/>
        <v/>
      </c>
      <c r="J220" s="29" t="str">
        <f t="shared" si="18"/>
        <v/>
      </c>
      <c r="K220" s="29" t="str">
        <f t="shared" si="19"/>
        <v/>
      </c>
      <c r="M220" s="11"/>
    </row>
    <row r="221" spans="1:13" ht="15" x14ac:dyDescent="0.25">
      <c r="A221" s="1" t="str">
        <f>IF('1.1 Produksi Bersih Padi 2025'!A221="","",'1.1 Produksi Bersih Padi 2025'!A221)</f>
        <v/>
      </c>
      <c r="B221" s="31" t="str">
        <f>IF('1.1 Produksi Bersih Padi 2025'!B221="","",'1.1 Produksi Bersih Padi 2025'!B221)</f>
        <v/>
      </c>
      <c r="C221" s="31" t="str">
        <f>IF('1.1 Produksi Bersih Padi 2025'!C221="","",'1.1 Produksi Bersih Padi 2025'!C221)</f>
        <v/>
      </c>
      <c r="D221" s="1" t="str">
        <f>IF('1.1 Produksi Bersih Padi 2025'!D221="","",'1.1 Produksi Bersih Padi 2025'!D221)</f>
        <v/>
      </c>
      <c r="E221" s="1" t="str">
        <f>IF('1.1 Produksi Bersih Padi 2025'!E221="","",'1.1 Produksi Bersih Padi 2025'!E221)</f>
        <v/>
      </c>
      <c r="F221" s="28" t="str">
        <f>IF(D221="","",VLOOKUP(D221,'[1]0.1 Produksi Pangan &amp; Penduduk'!$D$5:$AK$860,34,0))</f>
        <v/>
      </c>
      <c r="G221" s="29" t="str">
        <f t="shared" si="15"/>
        <v/>
      </c>
      <c r="H221" s="29" t="str">
        <f t="shared" si="16"/>
        <v/>
      </c>
      <c r="I221" s="29" t="str">
        <f t="shared" si="17"/>
        <v/>
      </c>
      <c r="J221" s="29" t="str">
        <f t="shared" si="18"/>
        <v/>
      </c>
      <c r="K221" s="29" t="str">
        <f t="shared" si="19"/>
        <v/>
      </c>
      <c r="M221" s="11"/>
    </row>
    <row r="222" spans="1:13" ht="15" x14ac:dyDescent="0.25">
      <c r="A222" s="1" t="str">
        <f>IF('1.1 Produksi Bersih Padi 2025'!A222="","",'1.1 Produksi Bersih Padi 2025'!A222)</f>
        <v/>
      </c>
      <c r="B222" s="31" t="str">
        <f>IF('1.1 Produksi Bersih Padi 2025'!B222="","",'1.1 Produksi Bersih Padi 2025'!B222)</f>
        <v/>
      </c>
      <c r="C222" s="31" t="str">
        <f>IF('1.1 Produksi Bersih Padi 2025'!C222="","",'1.1 Produksi Bersih Padi 2025'!C222)</f>
        <v/>
      </c>
      <c r="D222" s="1" t="str">
        <f>IF('1.1 Produksi Bersih Padi 2025'!D222="","",'1.1 Produksi Bersih Padi 2025'!D222)</f>
        <v/>
      </c>
      <c r="E222" s="1" t="str">
        <f>IF('1.1 Produksi Bersih Padi 2025'!E222="","",'1.1 Produksi Bersih Padi 2025'!E222)</f>
        <v/>
      </c>
      <c r="F222" s="28" t="str">
        <f>IF(D222="","",VLOOKUP(D222,'[1]0.1 Produksi Pangan &amp; Penduduk'!$D$5:$AK$860,34,0))</f>
        <v/>
      </c>
      <c r="G222" s="29" t="str">
        <f t="shared" si="15"/>
        <v/>
      </c>
      <c r="H222" s="29" t="str">
        <f t="shared" si="16"/>
        <v/>
      </c>
      <c r="I222" s="29" t="str">
        <f t="shared" si="17"/>
        <v/>
      </c>
      <c r="J222" s="29" t="str">
        <f t="shared" si="18"/>
        <v/>
      </c>
      <c r="K222" s="29" t="str">
        <f t="shared" si="19"/>
        <v/>
      </c>
      <c r="M222" s="11"/>
    </row>
    <row r="223" spans="1:13" ht="15" x14ac:dyDescent="0.25">
      <c r="A223" s="1" t="str">
        <f>IF('1.1 Produksi Bersih Padi 2025'!A223="","",'1.1 Produksi Bersih Padi 2025'!A223)</f>
        <v/>
      </c>
      <c r="B223" s="31" t="str">
        <f>IF('1.1 Produksi Bersih Padi 2025'!B223="","",'1.1 Produksi Bersih Padi 2025'!B223)</f>
        <v/>
      </c>
      <c r="C223" s="31" t="str">
        <f>IF('1.1 Produksi Bersih Padi 2025'!C223="","",'1.1 Produksi Bersih Padi 2025'!C223)</f>
        <v/>
      </c>
      <c r="D223" s="1" t="str">
        <f>IF('1.1 Produksi Bersih Padi 2025'!D223="","",'1.1 Produksi Bersih Padi 2025'!D223)</f>
        <v/>
      </c>
      <c r="E223" s="1" t="str">
        <f>IF('1.1 Produksi Bersih Padi 2025'!E223="","",'1.1 Produksi Bersih Padi 2025'!E223)</f>
        <v/>
      </c>
      <c r="F223" s="28" t="str">
        <f>IF(D223="","",VLOOKUP(D223,'[1]0.1 Produksi Pangan &amp; Penduduk'!$D$5:$AK$860,34,0))</f>
        <v/>
      </c>
      <c r="G223" s="29" t="str">
        <f t="shared" si="15"/>
        <v/>
      </c>
      <c r="H223" s="29" t="str">
        <f t="shared" si="16"/>
        <v/>
      </c>
      <c r="I223" s="29" t="str">
        <f t="shared" si="17"/>
        <v/>
      </c>
      <c r="J223" s="29" t="str">
        <f t="shared" si="18"/>
        <v/>
      </c>
      <c r="K223" s="29" t="str">
        <f t="shared" si="19"/>
        <v/>
      </c>
      <c r="M223" s="11"/>
    </row>
    <row r="224" spans="1:13" ht="15" x14ac:dyDescent="0.25">
      <c r="A224" s="1" t="str">
        <f>IF('1.1 Produksi Bersih Padi 2025'!A224="","",'1.1 Produksi Bersih Padi 2025'!A224)</f>
        <v/>
      </c>
      <c r="B224" s="31" t="str">
        <f>IF('1.1 Produksi Bersih Padi 2025'!B224="","",'1.1 Produksi Bersih Padi 2025'!B224)</f>
        <v/>
      </c>
      <c r="C224" s="31" t="str">
        <f>IF('1.1 Produksi Bersih Padi 2025'!C224="","",'1.1 Produksi Bersih Padi 2025'!C224)</f>
        <v/>
      </c>
      <c r="D224" s="1" t="str">
        <f>IF('1.1 Produksi Bersih Padi 2025'!D224="","",'1.1 Produksi Bersih Padi 2025'!D224)</f>
        <v/>
      </c>
      <c r="E224" s="1" t="str">
        <f>IF('1.1 Produksi Bersih Padi 2025'!E224="","",'1.1 Produksi Bersih Padi 2025'!E224)</f>
        <v/>
      </c>
      <c r="F224" s="28" t="str">
        <f>IF(D224="","",VLOOKUP(D224,'[1]0.1 Produksi Pangan &amp; Penduduk'!$D$5:$AK$860,34,0))</f>
        <v/>
      </c>
      <c r="G224" s="29" t="str">
        <f t="shared" si="15"/>
        <v/>
      </c>
      <c r="H224" s="29" t="str">
        <f t="shared" si="16"/>
        <v/>
      </c>
      <c r="I224" s="29" t="str">
        <f t="shared" si="17"/>
        <v/>
      </c>
      <c r="J224" s="29" t="str">
        <f t="shared" si="18"/>
        <v/>
      </c>
      <c r="K224" s="29" t="str">
        <f t="shared" si="19"/>
        <v/>
      </c>
      <c r="M224" s="11"/>
    </row>
    <row r="225" spans="1:13" ht="15" x14ac:dyDescent="0.25">
      <c r="A225" s="1" t="str">
        <f>IF('1.1 Produksi Bersih Padi 2025'!A225="","",'1.1 Produksi Bersih Padi 2025'!A225)</f>
        <v/>
      </c>
      <c r="B225" s="31" t="str">
        <f>IF('1.1 Produksi Bersih Padi 2025'!B225="","",'1.1 Produksi Bersih Padi 2025'!B225)</f>
        <v/>
      </c>
      <c r="C225" s="31" t="str">
        <f>IF('1.1 Produksi Bersih Padi 2025'!C225="","",'1.1 Produksi Bersih Padi 2025'!C225)</f>
        <v/>
      </c>
      <c r="D225" s="1" t="str">
        <f>IF('1.1 Produksi Bersih Padi 2025'!D225="","",'1.1 Produksi Bersih Padi 2025'!D225)</f>
        <v/>
      </c>
      <c r="E225" s="1" t="str">
        <f>IF('1.1 Produksi Bersih Padi 2025'!E225="","",'1.1 Produksi Bersih Padi 2025'!E225)</f>
        <v/>
      </c>
      <c r="F225" s="28" t="str">
        <f>IF(D225="","",VLOOKUP(D225,'[1]0.1 Produksi Pangan &amp; Penduduk'!$D$5:$AK$860,34,0))</f>
        <v/>
      </c>
      <c r="G225" s="29" t="str">
        <f t="shared" si="15"/>
        <v/>
      </c>
      <c r="H225" s="29" t="str">
        <f t="shared" si="16"/>
        <v/>
      </c>
      <c r="I225" s="29" t="str">
        <f t="shared" si="17"/>
        <v/>
      </c>
      <c r="J225" s="29" t="str">
        <f t="shared" si="18"/>
        <v/>
      </c>
      <c r="K225" s="29" t="str">
        <f t="shared" si="19"/>
        <v/>
      </c>
      <c r="M225" s="11"/>
    </row>
    <row r="226" spans="1:13" ht="15" x14ac:dyDescent="0.25">
      <c r="A226" s="1" t="str">
        <f>IF('1.1 Produksi Bersih Padi 2025'!A226="","",'1.1 Produksi Bersih Padi 2025'!A226)</f>
        <v/>
      </c>
      <c r="B226" s="31" t="str">
        <f>IF('1.1 Produksi Bersih Padi 2025'!B226="","",'1.1 Produksi Bersih Padi 2025'!B226)</f>
        <v/>
      </c>
      <c r="C226" s="31" t="str">
        <f>IF('1.1 Produksi Bersih Padi 2025'!C226="","",'1.1 Produksi Bersih Padi 2025'!C226)</f>
        <v/>
      </c>
      <c r="D226" s="1" t="str">
        <f>IF('1.1 Produksi Bersih Padi 2025'!D226="","",'1.1 Produksi Bersih Padi 2025'!D226)</f>
        <v/>
      </c>
      <c r="E226" s="1" t="str">
        <f>IF('1.1 Produksi Bersih Padi 2025'!E226="","",'1.1 Produksi Bersih Padi 2025'!E226)</f>
        <v/>
      </c>
      <c r="F226" s="28" t="str">
        <f>IF(D226="","",VLOOKUP(D226,'[1]0.1 Produksi Pangan &amp; Penduduk'!$D$5:$AK$860,34,0))</f>
        <v/>
      </c>
      <c r="G226" s="29" t="str">
        <f t="shared" si="15"/>
        <v/>
      </c>
      <c r="H226" s="29" t="str">
        <f t="shared" si="16"/>
        <v/>
      </c>
      <c r="I226" s="29" t="str">
        <f t="shared" si="17"/>
        <v/>
      </c>
      <c r="J226" s="29" t="str">
        <f t="shared" si="18"/>
        <v/>
      </c>
      <c r="K226" s="29" t="str">
        <f t="shared" si="19"/>
        <v/>
      </c>
      <c r="M226" s="11"/>
    </row>
    <row r="227" spans="1:13" ht="15" x14ac:dyDescent="0.25">
      <c r="A227" s="1" t="str">
        <f>IF('1.1 Produksi Bersih Padi 2025'!A227="","",'1.1 Produksi Bersih Padi 2025'!A227)</f>
        <v/>
      </c>
      <c r="B227" s="31" t="str">
        <f>IF('1.1 Produksi Bersih Padi 2025'!B227="","",'1.1 Produksi Bersih Padi 2025'!B227)</f>
        <v/>
      </c>
      <c r="C227" s="31" t="str">
        <f>IF('1.1 Produksi Bersih Padi 2025'!C227="","",'1.1 Produksi Bersih Padi 2025'!C227)</f>
        <v/>
      </c>
      <c r="D227" s="1" t="str">
        <f>IF('1.1 Produksi Bersih Padi 2025'!D227="","",'1.1 Produksi Bersih Padi 2025'!D227)</f>
        <v/>
      </c>
      <c r="E227" s="1" t="str">
        <f>IF('1.1 Produksi Bersih Padi 2025'!E227="","",'1.1 Produksi Bersih Padi 2025'!E227)</f>
        <v/>
      </c>
      <c r="F227" s="28" t="str">
        <f>IF(D227="","",VLOOKUP(D227,'[1]0.1 Produksi Pangan &amp; Penduduk'!$D$5:$AK$860,34,0))</f>
        <v/>
      </c>
      <c r="G227" s="29" t="str">
        <f t="shared" si="15"/>
        <v/>
      </c>
      <c r="H227" s="29" t="str">
        <f t="shared" si="16"/>
        <v/>
      </c>
      <c r="I227" s="29" t="str">
        <f t="shared" si="17"/>
        <v/>
      </c>
      <c r="J227" s="29" t="str">
        <f t="shared" si="18"/>
        <v/>
      </c>
      <c r="K227" s="29" t="str">
        <f t="shared" si="19"/>
        <v/>
      </c>
      <c r="M227" s="11"/>
    </row>
    <row r="228" spans="1:13" ht="15" x14ac:dyDescent="0.25">
      <c r="A228" s="1" t="str">
        <f>IF('1.1 Produksi Bersih Padi 2025'!A228="","",'1.1 Produksi Bersih Padi 2025'!A228)</f>
        <v/>
      </c>
      <c r="B228" s="31" t="str">
        <f>IF('1.1 Produksi Bersih Padi 2025'!B228="","",'1.1 Produksi Bersih Padi 2025'!B228)</f>
        <v/>
      </c>
      <c r="C228" s="31" t="str">
        <f>IF('1.1 Produksi Bersih Padi 2025'!C228="","",'1.1 Produksi Bersih Padi 2025'!C228)</f>
        <v/>
      </c>
      <c r="D228" s="1" t="str">
        <f>IF('1.1 Produksi Bersih Padi 2025'!D228="","",'1.1 Produksi Bersih Padi 2025'!D228)</f>
        <v/>
      </c>
      <c r="E228" s="1" t="str">
        <f>IF('1.1 Produksi Bersih Padi 2025'!E228="","",'1.1 Produksi Bersih Padi 2025'!E228)</f>
        <v/>
      </c>
      <c r="F228" s="28" t="str">
        <f>IF(D228="","",VLOOKUP(D228,'[1]0.1 Produksi Pangan &amp; Penduduk'!$D$5:$AK$860,34,0))</f>
        <v/>
      </c>
      <c r="G228" s="29" t="str">
        <f t="shared" si="15"/>
        <v/>
      </c>
      <c r="H228" s="29" t="str">
        <f t="shared" si="16"/>
        <v/>
      </c>
      <c r="I228" s="29" t="str">
        <f t="shared" si="17"/>
        <v/>
      </c>
      <c r="J228" s="29" t="str">
        <f t="shared" si="18"/>
        <v/>
      </c>
      <c r="K228" s="29" t="str">
        <f t="shared" si="19"/>
        <v/>
      </c>
      <c r="M228" s="11"/>
    </row>
    <row r="229" spans="1:13" ht="15" x14ac:dyDescent="0.25">
      <c r="A229" s="1" t="str">
        <f>IF('1.1 Produksi Bersih Padi 2025'!A229="","",'1.1 Produksi Bersih Padi 2025'!A229)</f>
        <v/>
      </c>
      <c r="B229" s="31" t="str">
        <f>IF('1.1 Produksi Bersih Padi 2025'!B229="","",'1.1 Produksi Bersih Padi 2025'!B229)</f>
        <v/>
      </c>
      <c r="C229" s="31" t="str">
        <f>IF('1.1 Produksi Bersih Padi 2025'!C229="","",'1.1 Produksi Bersih Padi 2025'!C229)</f>
        <v/>
      </c>
      <c r="D229" s="1" t="str">
        <f>IF('1.1 Produksi Bersih Padi 2025'!D229="","",'1.1 Produksi Bersih Padi 2025'!D229)</f>
        <v/>
      </c>
      <c r="E229" s="1" t="str">
        <f>IF('1.1 Produksi Bersih Padi 2025'!E229="","",'1.1 Produksi Bersih Padi 2025'!E229)</f>
        <v/>
      </c>
      <c r="F229" s="28" t="str">
        <f>IF(D229="","",VLOOKUP(D229,'[1]0.1 Produksi Pangan &amp; Penduduk'!$D$5:$AK$860,34,0))</f>
        <v/>
      </c>
      <c r="G229" s="29" t="str">
        <f t="shared" si="15"/>
        <v/>
      </c>
      <c r="H229" s="29" t="str">
        <f t="shared" si="16"/>
        <v/>
      </c>
      <c r="I229" s="29" t="str">
        <f t="shared" si="17"/>
        <v/>
      </c>
      <c r="J229" s="29" t="str">
        <f t="shared" si="18"/>
        <v/>
      </c>
      <c r="K229" s="29" t="str">
        <f t="shared" si="19"/>
        <v/>
      </c>
      <c r="M229" s="11"/>
    </row>
    <row r="230" spans="1:13" ht="15" x14ac:dyDescent="0.25">
      <c r="A230" s="1" t="str">
        <f>IF('1.1 Produksi Bersih Padi 2025'!A230="","",'1.1 Produksi Bersih Padi 2025'!A230)</f>
        <v/>
      </c>
      <c r="B230" s="31" t="str">
        <f>IF('1.1 Produksi Bersih Padi 2025'!B230="","",'1.1 Produksi Bersih Padi 2025'!B230)</f>
        <v/>
      </c>
      <c r="C230" s="31" t="str">
        <f>IF('1.1 Produksi Bersih Padi 2025'!C230="","",'1.1 Produksi Bersih Padi 2025'!C230)</f>
        <v/>
      </c>
      <c r="D230" s="1" t="str">
        <f>IF('1.1 Produksi Bersih Padi 2025'!D230="","",'1.1 Produksi Bersih Padi 2025'!D230)</f>
        <v/>
      </c>
      <c r="E230" s="1" t="str">
        <f>IF('1.1 Produksi Bersih Padi 2025'!E230="","",'1.1 Produksi Bersih Padi 2025'!E230)</f>
        <v/>
      </c>
      <c r="F230" s="28" t="str">
        <f>IF(D230="","",VLOOKUP(D230,'[1]0.1 Produksi Pangan &amp; Penduduk'!$D$5:$AK$860,34,0))</f>
        <v/>
      </c>
      <c r="G230" s="29" t="str">
        <f t="shared" si="15"/>
        <v/>
      </c>
      <c r="H230" s="29" t="str">
        <f t="shared" si="16"/>
        <v/>
      </c>
      <c r="I230" s="29" t="str">
        <f t="shared" si="17"/>
        <v/>
      </c>
      <c r="J230" s="29" t="str">
        <f t="shared" si="18"/>
        <v/>
      </c>
      <c r="K230" s="29" t="str">
        <f t="shared" si="19"/>
        <v/>
      </c>
      <c r="M230" s="11"/>
    </row>
    <row r="231" spans="1:13" ht="15" x14ac:dyDescent="0.25">
      <c r="A231" s="1" t="str">
        <f>IF('1.1 Produksi Bersih Padi 2025'!A231="","",'1.1 Produksi Bersih Padi 2025'!A231)</f>
        <v/>
      </c>
      <c r="B231" s="31" t="str">
        <f>IF('1.1 Produksi Bersih Padi 2025'!B231="","",'1.1 Produksi Bersih Padi 2025'!B231)</f>
        <v/>
      </c>
      <c r="C231" s="31" t="str">
        <f>IF('1.1 Produksi Bersih Padi 2025'!C231="","",'1.1 Produksi Bersih Padi 2025'!C231)</f>
        <v/>
      </c>
      <c r="D231" s="1" t="str">
        <f>IF('1.1 Produksi Bersih Padi 2025'!D231="","",'1.1 Produksi Bersih Padi 2025'!D231)</f>
        <v/>
      </c>
      <c r="E231" s="1" t="str">
        <f>IF('1.1 Produksi Bersih Padi 2025'!E231="","",'1.1 Produksi Bersih Padi 2025'!E231)</f>
        <v/>
      </c>
      <c r="F231" s="28" t="str">
        <f>IF(D231="","",VLOOKUP(D231,'[1]0.1 Produksi Pangan &amp; Penduduk'!$D$5:$AK$860,34,0))</f>
        <v/>
      </c>
      <c r="G231" s="29" t="str">
        <f t="shared" si="15"/>
        <v/>
      </c>
      <c r="H231" s="29" t="str">
        <f t="shared" si="16"/>
        <v/>
      </c>
      <c r="I231" s="29" t="str">
        <f t="shared" si="17"/>
        <v/>
      </c>
      <c r="J231" s="29" t="str">
        <f t="shared" si="18"/>
        <v/>
      </c>
      <c r="K231" s="29" t="str">
        <f t="shared" si="19"/>
        <v/>
      </c>
      <c r="M231" s="11"/>
    </row>
    <row r="232" spans="1:13" ht="15" x14ac:dyDescent="0.25">
      <c r="A232" s="1" t="str">
        <f>IF('1.1 Produksi Bersih Padi 2025'!A232="","",'1.1 Produksi Bersih Padi 2025'!A232)</f>
        <v/>
      </c>
      <c r="B232" s="31" t="str">
        <f>IF('1.1 Produksi Bersih Padi 2025'!B232="","",'1.1 Produksi Bersih Padi 2025'!B232)</f>
        <v/>
      </c>
      <c r="C232" s="31" t="str">
        <f>IF('1.1 Produksi Bersih Padi 2025'!C232="","",'1.1 Produksi Bersih Padi 2025'!C232)</f>
        <v/>
      </c>
      <c r="D232" s="1" t="str">
        <f>IF('1.1 Produksi Bersih Padi 2025'!D232="","",'1.1 Produksi Bersih Padi 2025'!D232)</f>
        <v/>
      </c>
      <c r="E232" s="1" t="str">
        <f>IF('1.1 Produksi Bersih Padi 2025'!E232="","",'1.1 Produksi Bersih Padi 2025'!E232)</f>
        <v/>
      </c>
      <c r="F232" s="28" t="str">
        <f>IF(D232="","",VLOOKUP(D232,'[1]0.1 Produksi Pangan &amp; Penduduk'!$D$5:$AK$860,34,0))</f>
        <v/>
      </c>
      <c r="G232" s="29" t="str">
        <f t="shared" si="15"/>
        <v/>
      </c>
      <c r="H232" s="29" t="str">
        <f t="shared" si="16"/>
        <v/>
      </c>
      <c r="I232" s="29" t="str">
        <f t="shared" si="17"/>
        <v/>
      </c>
      <c r="J232" s="29" t="str">
        <f t="shared" si="18"/>
        <v/>
      </c>
      <c r="K232" s="29" t="str">
        <f t="shared" si="19"/>
        <v/>
      </c>
      <c r="M232" s="11"/>
    </row>
    <row r="233" spans="1:13" ht="15" x14ac:dyDescent="0.25">
      <c r="A233" s="1" t="str">
        <f>IF('1.1 Produksi Bersih Padi 2025'!A233="","",'1.1 Produksi Bersih Padi 2025'!A233)</f>
        <v/>
      </c>
      <c r="B233" s="31" t="str">
        <f>IF('1.1 Produksi Bersih Padi 2025'!B233="","",'1.1 Produksi Bersih Padi 2025'!B233)</f>
        <v/>
      </c>
      <c r="C233" s="31" t="str">
        <f>IF('1.1 Produksi Bersih Padi 2025'!C233="","",'1.1 Produksi Bersih Padi 2025'!C233)</f>
        <v/>
      </c>
      <c r="D233" s="1" t="str">
        <f>IF('1.1 Produksi Bersih Padi 2025'!D233="","",'1.1 Produksi Bersih Padi 2025'!D233)</f>
        <v/>
      </c>
      <c r="E233" s="1" t="str">
        <f>IF('1.1 Produksi Bersih Padi 2025'!E233="","",'1.1 Produksi Bersih Padi 2025'!E233)</f>
        <v/>
      </c>
      <c r="F233" s="28" t="str">
        <f>IF(D233="","",VLOOKUP(D233,'[1]0.1 Produksi Pangan &amp; Penduduk'!$D$5:$AK$860,34,0))</f>
        <v/>
      </c>
      <c r="G233" s="29" t="str">
        <f t="shared" si="15"/>
        <v/>
      </c>
      <c r="H233" s="29" t="str">
        <f t="shared" si="16"/>
        <v/>
      </c>
      <c r="I233" s="29" t="str">
        <f t="shared" si="17"/>
        <v/>
      </c>
      <c r="J233" s="29" t="str">
        <f t="shared" si="18"/>
        <v/>
      </c>
      <c r="K233" s="29" t="str">
        <f t="shared" si="19"/>
        <v/>
      </c>
      <c r="M233" s="11"/>
    </row>
    <row r="234" spans="1:13" ht="15" x14ac:dyDescent="0.25">
      <c r="A234" s="1" t="str">
        <f>IF('1.1 Produksi Bersih Padi 2025'!A234="","",'1.1 Produksi Bersih Padi 2025'!A234)</f>
        <v/>
      </c>
      <c r="B234" s="31" t="str">
        <f>IF('1.1 Produksi Bersih Padi 2025'!B234="","",'1.1 Produksi Bersih Padi 2025'!B234)</f>
        <v/>
      </c>
      <c r="C234" s="31" t="str">
        <f>IF('1.1 Produksi Bersih Padi 2025'!C234="","",'1.1 Produksi Bersih Padi 2025'!C234)</f>
        <v/>
      </c>
      <c r="D234" s="1" t="str">
        <f>IF('1.1 Produksi Bersih Padi 2025'!D234="","",'1.1 Produksi Bersih Padi 2025'!D234)</f>
        <v/>
      </c>
      <c r="E234" s="1" t="str">
        <f>IF('1.1 Produksi Bersih Padi 2025'!E234="","",'1.1 Produksi Bersih Padi 2025'!E234)</f>
        <v/>
      </c>
      <c r="F234" s="28" t="str">
        <f>IF(D234="","",VLOOKUP(D234,'[1]0.1 Produksi Pangan &amp; Penduduk'!$D$5:$AK$860,34,0))</f>
        <v/>
      </c>
      <c r="G234" s="29" t="str">
        <f t="shared" si="15"/>
        <v/>
      </c>
      <c r="H234" s="29" t="str">
        <f t="shared" si="16"/>
        <v/>
      </c>
      <c r="I234" s="29" t="str">
        <f t="shared" si="17"/>
        <v/>
      </c>
      <c r="J234" s="29" t="str">
        <f t="shared" si="18"/>
        <v/>
      </c>
      <c r="K234" s="29" t="str">
        <f t="shared" si="19"/>
        <v/>
      </c>
      <c r="M234" s="11"/>
    </row>
    <row r="235" spans="1:13" ht="15" x14ac:dyDescent="0.25">
      <c r="A235" s="1" t="str">
        <f>IF('1.1 Produksi Bersih Padi 2025'!A235="","",'1.1 Produksi Bersih Padi 2025'!A235)</f>
        <v/>
      </c>
      <c r="B235" s="31" t="str">
        <f>IF('1.1 Produksi Bersih Padi 2025'!B235="","",'1.1 Produksi Bersih Padi 2025'!B235)</f>
        <v/>
      </c>
      <c r="C235" s="31" t="str">
        <f>IF('1.1 Produksi Bersih Padi 2025'!C235="","",'1.1 Produksi Bersih Padi 2025'!C235)</f>
        <v/>
      </c>
      <c r="D235" s="1" t="str">
        <f>IF('1.1 Produksi Bersih Padi 2025'!D235="","",'1.1 Produksi Bersih Padi 2025'!D235)</f>
        <v/>
      </c>
      <c r="E235" s="1" t="str">
        <f>IF('1.1 Produksi Bersih Padi 2025'!E235="","",'1.1 Produksi Bersih Padi 2025'!E235)</f>
        <v/>
      </c>
      <c r="F235" s="28" t="str">
        <f>IF(D235="","",VLOOKUP(D235,'[1]0.1 Produksi Pangan &amp; Penduduk'!$D$5:$AK$860,34,0))</f>
        <v/>
      </c>
      <c r="G235" s="29" t="str">
        <f t="shared" si="15"/>
        <v/>
      </c>
      <c r="H235" s="29" t="str">
        <f t="shared" si="16"/>
        <v/>
      </c>
      <c r="I235" s="29" t="str">
        <f t="shared" si="17"/>
        <v/>
      </c>
      <c r="J235" s="29" t="str">
        <f t="shared" si="18"/>
        <v/>
      </c>
      <c r="K235" s="29" t="str">
        <f t="shared" si="19"/>
        <v/>
      </c>
      <c r="M235" s="11"/>
    </row>
    <row r="236" spans="1:13" ht="15" x14ac:dyDescent="0.25">
      <c r="A236" s="1" t="str">
        <f>IF('1.1 Produksi Bersih Padi 2025'!A236="","",'1.1 Produksi Bersih Padi 2025'!A236)</f>
        <v/>
      </c>
      <c r="B236" s="31" t="str">
        <f>IF('1.1 Produksi Bersih Padi 2025'!B236="","",'1.1 Produksi Bersih Padi 2025'!B236)</f>
        <v/>
      </c>
      <c r="C236" s="31" t="str">
        <f>IF('1.1 Produksi Bersih Padi 2025'!C236="","",'1.1 Produksi Bersih Padi 2025'!C236)</f>
        <v/>
      </c>
      <c r="D236" s="1" t="str">
        <f>IF('1.1 Produksi Bersih Padi 2025'!D236="","",'1.1 Produksi Bersih Padi 2025'!D236)</f>
        <v/>
      </c>
      <c r="E236" s="1" t="str">
        <f>IF('1.1 Produksi Bersih Padi 2025'!E236="","",'1.1 Produksi Bersih Padi 2025'!E236)</f>
        <v/>
      </c>
      <c r="F236" s="28" t="str">
        <f>IF(D236="","",VLOOKUP(D236,'[1]0.1 Produksi Pangan &amp; Penduduk'!$D$5:$AK$860,34,0))</f>
        <v/>
      </c>
      <c r="G236" s="29" t="str">
        <f t="shared" si="15"/>
        <v/>
      </c>
      <c r="H236" s="29" t="str">
        <f t="shared" si="16"/>
        <v/>
      </c>
      <c r="I236" s="29" t="str">
        <f t="shared" si="17"/>
        <v/>
      </c>
      <c r="J236" s="29" t="str">
        <f t="shared" si="18"/>
        <v/>
      </c>
      <c r="K236" s="29" t="str">
        <f t="shared" si="19"/>
        <v/>
      </c>
      <c r="M236" s="11"/>
    </row>
    <row r="237" spans="1:13" ht="15" x14ac:dyDescent="0.25">
      <c r="A237" s="1" t="str">
        <f>IF('1.1 Produksi Bersih Padi 2025'!A237="","",'1.1 Produksi Bersih Padi 2025'!A237)</f>
        <v/>
      </c>
      <c r="B237" s="31" t="str">
        <f>IF('1.1 Produksi Bersih Padi 2025'!B237="","",'1.1 Produksi Bersih Padi 2025'!B237)</f>
        <v/>
      </c>
      <c r="C237" s="31" t="str">
        <f>IF('1.1 Produksi Bersih Padi 2025'!C237="","",'1.1 Produksi Bersih Padi 2025'!C237)</f>
        <v/>
      </c>
      <c r="D237" s="1" t="str">
        <f>IF('1.1 Produksi Bersih Padi 2025'!D237="","",'1.1 Produksi Bersih Padi 2025'!D237)</f>
        <v/>
      </c>
      <c r="E237" s="1" t="str">
        <f>IF('1.1 Produksi Bersih Padi 2025'!E237="","",'1.1 Produksi Bersih Padi 2025'!E237)</f>
        <v/>
      </c>
      <c r="F237" s="28" t="str">
        <f>IF(D237="","",VLOOKUP(D237,'[1]0.1 Produksi Pangan &amp; Penduduk'!$D$5:$AK$860,34,0))</f>
        <v/>
      </c>
      <c r="G237" s="29" t="str">
        <f t="shared" si="15"/>
        <v/>
      </c>
      <c r="H237" s="29" t="str">
        <f t="shared" si="16"/>
        <v/>
      </c>
      <c r="I237" s="29" t="str">
        <f t="shared" si="17"/>
        <v/>
      </c>
      <c r="J237" s="29" t="str">
        <f t="shared" si="18"/>
        <v/>
      </c>
      <c r="K237" s="29" t="str">
        <f t="shared" si="19"/>
        <v/>
      </c>
      <c r="M237" s="11"/>
    </row>
    <row r="238" spans="1:13" ht="15" x14ac:dyDescent="0.25">
      <c r="A238" s="1" t="str">
        <f>IF('1.1 Produksi Bersih Padi 2025'!A238="","",'1.1 Produksi Bersih Padi 2025'!A238)</f>
        <v/>
      </c>
      <c r="B238" s="31" t="str">
        <f>IF('1.1 Produksi Bersih Padi 2025'!B238="","",'1.1 Produksi Bersih Padi 2025'!B238)</f>
        <v/>
      </c>
      <c r="C238" s="31" t="str">
        <f>IF('1.1 Produksi Bersih Padi 2025'!C238="","",'1.1 Produksi Bersih Padi 2025'!C238)</f>
        <v/>
      </c>
      <c r="D238" s="1" t="str">
        <f>IF('1.1 Produksi Bersih Padi 2025'!D238="","",'1.1 Produksi Bersih Padi 2025'!D238)</f>
        <v/>
      </c>
      <c r="E238" s="1" t="str">
        <f>IF('1.1 Produksi Bersih Padi 2025'!E238="","",'1.1 Produksi Bersih Padi 2025'!E238)</f>
        <v/>
      </c>
      <c r="F238" s="28" t="str">
        <f>IF(D238="","",VLOOKUP(D238,'[1]0.1 Produksi Pangan &amp; Penduduk'!$D$5:$AK$860,34,0))</f>
        <v/>
      </c>
      <c r="G238" s="29" t="str">
        <f t="shared" si="15"/>
        <v/>
      </c>
      <c r="H238" s="29" t="str">
        <f t="shared" si="16"/>
        <v/>
      </c>
      <c r="I238" s="29" t="str">
        <f t="shared" si="17"/>
        <v/>
      </c>
      <c r="J238" s="29" t="str">
        <f t="shared" si="18"/>
        <v/>
      </c>
      <c r="K238" s="29" t="str">
        <f t="shared" si="19"/>
        <v/>
      </c>
      <c r="M238" s="11"/>
    </row>
    <row r="239" spans="1:13" ht="15" x14ac:dyDescent="0.25">
      <c r="A239" s="1" t="str">
        <f>IF('1.1 Produksi Bersih Padi 2025'!A239="","",'1.1 Produksi Bersih Padi 2025'!A239)</f>
        <v/>
      </c>
      <c r="B239" s="31" t="str">
        <f>IF('1.1 Produksi Bersih Padi 2025'!B239="","",'1.1 Produksi Bersih Padi 2025'!B239)</f>
        <v/>
      </c>
      <c r="C239" s="31" t="str">
        <f>IF('1.1 Produksi Bersih Padi 2025'!C239="","",'1.1 Produksi Bersih Padi 2025'!C239)</f>
        <v/>
      </c>
      <c r="D239" s="1" t="str">
        <f>IF('1.1 Produksi Bersih Padi 2025'!D239="","",'1.1 Produksi Bersih Padi 2025'!D239)</f>
        <v/>
      </c>
      <c r="E239" s="1" t="str">
        <f>IF('1.1 Produksi Bersih Padi 2025'!E239="","",'1.1 Produksi Bersih Padi 2025'!E239)</f>
        <v/>
      </c>
      <c r="F239" s="28" t="str">
        <f>IF(D239="","",VLOOKUP(D239,'[1]0.1 Produksi Pangan &amp; Penduduk'!$D$5:$AK$860,34,0))</f>
        <v/>
      </c>
      <c r="G239" s="29" t="str">
        <f t="shared" si="15"/>
        <v/>
      </c>
      <c r="H239" s="29" t="str">
        <f t="shared" si="16"/>
        <v/>
      </c>
      <c r="I239" s="29" t="str">
        <f t="shared" si="17"/>
        <v/>
      </c>
      <c r="J239" s="29" t="str">
        <f t="shared" si="18"/>
        <v/>
      </c>
      <c r="K239" s="29" t="str">
        <f t="shared" si="19"/>
        <v/>
      </c>
      <c r="M239" s="11"/>
    </row>
    <row r="240" spans="1:13" ht="15" x14ac:dyDescent="0.25">
      <c r="A240" s="1" t="str">
        <f>IF('1.1 Produksi Bersih Padi 2025'!A240="","",'1.1 Produksi Bersih Padi 2025'!A240)</f>
        <v/>
      </c>
      <c r="B240" s="31" t="str">
        <f>IF('1.1 Produksi Bersih Padi 2025'!B240="","",'1.1 Produksi Bersih Padi 2025'!B240)</f>
        <v/>
      </c>
      <c r="C240" s="31" t="str">
        <f>IF('1.1 Produksi Bersih Padi 2025'!C240="","",'1.1 Produksi Bersih Padi 2025'!C240)</f>
        <v/>
      </c>
      <c r="D240" s="1" t="str">
        <f>IF('1.1 Produksi Bersih Padi 2025'!D240="","",'1.1 Produksi Bersih Padi 2025'!D240)</f>
        <v/>
      </c>
      <c r="E240" s="1" t="str">
        <f>IF('1.1 Produksi Bersih Padi 2025'!E240="","",'1.1 Produksi Bersih Padi 2025'!E240)</f>
        <v/>
      </c>
      <c r="F240" s="28" t="str">
        <f>IF(D240="","",VLOOKUP(D240,'[1]0.1 Produksi Pangan &amp; Penduduk'!$D$5:$AK$860,34,0))</f>
        <v/>
      </c>
      <c r="G240" s="29" t="str">
        <f t="shared" si="15"/>
        <v/>
      </c>
      <c r="H240" s="29" t="str">
        <f t="shared" si="16"/>
        <v/>
      </c>
      <c r="I240" s="29" t="str">
        <f t="shared" si="17"/>
        <v/>
      </c>
      <c r="J240" s="29" t="str">
        <f t="shared" si="18"/>
        <v/>
      </c>
      <c r="K240" s="29" t="str">
        <f t="shared" si="19"/>
        <v/>
      </c>
      <c r="M240" s="11"/>
    </row>
    <row r="241" spans="1:13" ht="15" x14ac:dyDescent="0.25">
      <c r="A241" s="1" t="str">
        <f>IF('1.1 Produksi Bersih Padi 2025'!A241="","",'1.1 Produksi Bersih Padi 2025'!A241)</f>
        <v/>
      </c>
      <c r="B241" s="31" t="str">
        <f>IF('1.1 Produksi Bersih Padi 2025'!B241="","",'1.1 Produksi Bersih Padi 2025'!B241)</f>
        <v/>
      </c>
      <c r="C241" s="31" t="str">
        <f>IF('1.1 Produksi Bersih Padi 2025'!C241="","",'1.1 Produksi Bersih Padi 2025'!C241)</f>
        <v/>
      </c>
      <c r="D241" s="1" t="str">
        <f>IF('1.1 Produksi Bersih Padi 2025'!D241="","",'1.1 Produksi Bersih Padi 2025'!D241)</f>
        <v/>
      </c>
      <c r="E241" s="1" t="str">
        <f>IF('1.1 Produksi Bersih Padi 2025'!E241="","",'1.1 Produksi Bersih Padi 2025'!E241)</f>
        <v/>
      </c>
      <c r="F241" s="28" t="str">
        <f>IF(D241="","",VLOOKUP(D241,'[1]0.1 Produksi Pangan &amp; Penduduk'!$D$5:$AK$860,34,0))</f>
        <v/>
      </c>
      <c r="G241" s="29" t="str">
        <f t="shared" si="15"/>
        <v/>
      </c>
      <c r="H241" s="29" t="str">
        <f t="shared" si="16"/>
        <v/>
      </c>
      <c r="I241" s="29" t="str">
        <f t="shared" si="17"/>
        <v/>
      </c>
      <c r="J241" s="29" t="str">
        <f t="shared" si="18"/>
        <v/>
      </c>
      <c r="K241" s="29" t="str">
        <f t="shared" si="19"/>
        <v/>
      </c>
      <c r="M241" s="11"/>
    </row>
    <row r="242" spans="1:13" ht="15" x14ac:dyDescent="0.25">
      <c r="A242" s="1" t="str">
        <f>IF('1.1 Produksi Bersih Padi 2025'!A242="","",'1.1 Produksi Bersih Padi 2025'!A242)</f>
        <v/>
      </c>
      <c r="B242" s="31" t="str">
        <f>IF('1.1 Produksi Bersih Padi 2025'!B242="","",'1.1 Produksi Bersih Padi 2025'!B242)</f>
        <v/>
      </c>
      <c r="C242" s="31" t="str">
        <f>IF('1.1 Produksi Bersih Padi 2025'!C242="","",'1.1 Produksi Bersih Padi 2025'!C242)</f>
        <v/>
      </c>
      <c r="D242" s="1" t="str">
        <f>IF('1.1 Produksi Bersih Padi 2025'!D242="","",'1.1 Produksi Bersih Padi 2025'!D242)</f>
        <v/>
      </c>
      <c r="E242" s="1" t="str">
        <f>IF('1.1 Produksi Bersih Padi 2025'!E242="","",'1.1 Produksi Bersih Padi 2025'!E242)</f>
        <v/>
      </c>
      <c r="F242" s="28" t="str">
        <f>IF(D242="","",VLOOKUP(D242,'[1]0.1 Produksi Pangan &amp; Penduduk'!$D$5:$AK$860,34,0))</f>
        <v/>
      </c>
      <c r="G242" s="29" t="str">
        <f t="shared" si="15"/>
        <v/>
      </c>
      <c r="H242" s="29" t="str">
        <f t="shared" si="16"/>
        <v/>
      </c>
      <c r="I242" s="29" t="str">
        <f t="shared" si="17"/>
        <v/>
      </c>
      <c r="J242" s="29" t="str">
        <f t="shared" si="18"/>
        <v/>
      </c>
      <c r="K242" s="29" t="str">
        <f t="shared" si="19"/>
        <v/>
      </c>
      <c r="M242" s="11"/>
    </row>
    <row r="243" spans="1:13" ht="15" x14ac:dyDescent="0.25">
      <c r="A243" s="1" t="str">
        <f>IF('1.1 Produksi Bersih Padi 2025'!A243="","",'1.1 Produksi Bersih Padi 2025'!A243)</f>
        <v/>
      </c>
      <c r="B243" s="31" t="str">
        <f>IF('1.1 Produksi Bersih Padi 2025'!B243="","",'1.1 Produksi Bersih Padi 2025'!B243)</f>
        <v/>
      </c>
      <c r="C243" s="31" t="str">
        <f>IF('1.1 Produksi Bersih Padi 2025'!C243="","",'1.1 Produksi Bersih Padi 2025'!C243)</f>
        <v/>
      </c>
      <c r="D243" s="1" t="str">
        <f>IF('1.1 Produksi Bersih Padi 2025'!D243="","",'1.1 Produksi Bersih Padi 2025'!D243)</f>
        <v/>
      </c>
      <c r="E243" s="1" t="str">
        <f>IF('1.1 Produksi Bersih Padi 2025'!E243="","",'1.1 Produksi Bersih Padi 2025'!E243)</f>
        <v/>
      </c>
      <c r="F243" s="28" t="str">
        <f>IF(D243="","",VLOOKUP(D243,'[1]0.1 Produksi Pangan &amp; Penduduk'!$D$5:$AK$860,34,0))</f>
        <v/>
      </c>
      <c r="G243" s="29" t="str">
        <f t="shared" si="15"/>
        <v/>
      </c>
      <c r="H243" s="29" t="str">
        <f t="shared" si="16"/>
        <v/>
      </c>
      <c r="I243" s="29" t="str">
        <f t="shared" si="17"/>
        <v/>
      </c>
      <c r="J243" s="29" t="str">
        <f t="shared" si="18"/>
        <v/>
      </c>
      <c r="K243" s="29" t="str">
        <f t="shared" si="19"/>
        <v/>
      </c>
      <c r="M243" s="11"/>
    </row>
    <row r="244" spans="1:13" ht="15" x14ac:dyDescent="0.25">
      <c r="A244" s="1" t="str">
        <f>IF('1.1 Produksi Bersih Padi 2025'!A244="","",'1.1 Produksi Bersih Padi 2025'!A244)</f>
        <v/>
      </c>
      <c r="B244" s="31" t="str">
        <f>IF('1.1 Produksi Bersih Padi 2025'!B244="","",'1.1 Produksi Bersih Padi 2025'!B244)</f>
        <v/>
      </c>
      <c r="C244" s="31" t="str">
        <f>IF('1.1 Produksi Bersih Padi 2025'!C244="","",'1.1 Produksi Bersih Padi 2025'!C244)</f>
        <v/>
      </c>
      <c r="D244" s="1" t="str">
        <f>IF('1.1 Produksi Bersih Padi 2025'!D244="","",'1.1 Produksi Bersih Padi 2025'!D244)</f>
        <v/>
      </c>
      <c r="E244" s="1" t="str">
        <f>IF('1.1 Produksi Bersih Padi 2025'!E244="","",'1.1 Produksi Bersih Padi 2025'!E244)</f>
        <v/>
      </c>
      <c r="F244" s="28" t="str">
        <f>IF(D244="","",VLOOKUP(D244,'[1]0.1 Produksi Pangan &amp; Penduduk'!$D$5:$AK$860,34,0))</f>
        <v/>
      </c>
      <c r="G244" s="29" t="str">
        <f t="shared" si="15"/>
        <v/>
      </c>
      <c r="H244" s="29" t="str">
        <f t="shared" si="16"/>
        <v/>
      </c>
      <c r="I244" s="29" t="str">
        <f t="shared" si="17"/>
        <v/>
      </c>
      <c r="J244" s="29" t="str">
        <f t="shared" si="18"/>
        <v/>
      </c>
      <c r="K244" s="29" t="str">
        <f t="shared" si="19"/>
        <v/>
      </c>
      <c r="M244" s="11"/>
    </row>
    <row r="245" spans="1:13" ht="15" x14ac:dyDescent="0.25">
      <c r="A245" s="1" t="str">
        <f>IF('1.1 Produksi Bersih Padi 2025'!A245="","",'1.1 Produksi Bersih Padi 2025'!A245)</f>
        <v/>
      </c>
      <c r="B245" s="31" t="str">
        <f>IF('1.1 Produksi Bersih Padi 2025'!B245="","",'1.1 Produksi Bersih Padi 2025'!B245)</f>
        <v/>
      </c>
      <c r="C245" s="31" t="str">
        <f>IF('1.1 Produksi Bersih Padi 2025'!C245="","",'1.1 Produksi Bersih Padi 2025'!C245)</f>
        <v/>
      </c>
      <c r="D245" s="1" t="str">
        <f>IF('1.1 Produksi Bersih Padi 2025'!D245="","",'1.1 Produksi Bersih Padi 2025'!D245)</f>
        <v/>
      </c>
      <c r="E245" s="1" t="str">
        <f>IF('1.1 Produksi Bersih Padi 2025'!E245="","",'1.1 Produksi Bersih Padi 2025'!E245)</f>
        <v/>
      </c>
      <c r="F245" s="28" t="str">
        <f>IF(D245="","",VLOOKUP(D245,'[1]0.1 Produksi Pangan &amp; Penduduk'!$D$5:$AK$860,34,0))</f>
        <v/>
      </c>
      <c r="G245" s="29" t="str">
        <f t="shared" si="15"/>
        <v/>
      </c>
      <c r="H245" s="29" t="str">
        <f t="shared" si="16"/>
        <v/>
      </c>
      <c r="I245" s="29" t="str">
        <f t="shared" si="17"/>
        <v/>
      </c>
      <c r="J245" s="29" t="str">
        <f t="shared" si="18"/>
        <v/>
      </c>
      <c r="K245" s="29" t="str">
        <f t="shared" si="19"/>
        <v/>
      </c>
      <c r="M245" s="11"/>
    </row>
    <row r="246" spans="1:13" ht="15" x14ac:dyDescent="0.25">
      <c r="A246" s="1" t="str">
        <f>IF('1.1 Produksi Bersih Padi 2025'!A246="","",'1.1 Produksi Bersih Padi 2025'!A246)</f>
        <v/>
      </c>
      <c r="B246" s="31" t="str">
        <f>IF('1.1 Produksi Bersih Padi 2025'!B246="","",'1.1 Produksi Bersih Padi 2025'!B246)</f>
        <v/>
      </c>
      <c r="C246" s="31" t="str">
        <f>IF('1.1 Produksi Bersih Padi 2025'!C246="","",'1.1 Produksi Bersih Padi 2025'!C246)</f>
        <v/>
      </c>
      <c r="D246" s="1" t="str">
        <f>IF('1.1 Produksi Bersih Padi 2025'!D246="","",'1.1 Produksi Bersih Padi 2025'!D246)</f>
        <v/>
      </c>
      <c r="E246" s="1" t="str">
        <f>IF('1.1 Produksi Bersih Padi 2025'!E246="","",'1.1 Produksi Bersih Padi 2025'!E246)</f>
        <v/>
      </c>
      <c r="F246" s="28" t="str">
        <f>IF(D246="","",VLOOKUP(D246,'[1]0.1 Produksi Pangan &amp; Penduduk'!$D$5:$AK$860,34,0))</f>
        <v/>
      </c>
      <c r="G246" s="29" t="str">
        <f t="shared" si="15"/>
        <v/>
      </c>
      <c r="H246" s="29" t="str">
        <f t="shared" si="16"/>
        <v/>
      </c>
      <c r="I246" s="29" t="str">
        <f t="shared" si="17"/>
        <v/>
      </c>
      <c r="J246" s="29" t="str">
        <f t="shared" si="18"/>
        <v/>
      </c>
      <c r="K246" s="29" t="str">
        <f t="shared" si="19"/>
        <v/>
      </c>
      <c r="M246" s="11"/>
    </row>
    <row r="247" spans="1:13" ht="15" x14ac:dyDescent="0.25">
      <c r="A247" s="1" t="str">
        <f>IF('1.1 Produksi Bersih Padi 2025'!A247="","",'1.1 Produksi Bersih Padi 2025'!A247)</f>
        <v/>
      </c>
      <c r="B247" s="31" t="str">
        <f>IF('1.1 Produksi Bersih Padi 2025'!B247="","",'1.1 Produksi Bersih Padi 2025'!B247)</f>
        <v/>
      </c>
      <c r="C247" s="31" t="str">
        <f>IF('1.1 Produksi Bersih Padi 2025'!C247="","",'1.1 Produksi Bersih Padi 2025'!C247)</f>
        <v/>
      </c>
      <c r="D247" s="1" t="str">
        <f>IF('1.1 Produksi Bersih Padi 2025'!D247="","",'1.1 Produksi Bersih Padi 2025'!D247)</f>
        <v/>
      </c>
      <c r="E247" s="1" t="str">
        <f>IF('1.1 Produksi Bersih Padi 2025'!E247="","",'1.1 Produksi Bersih Padi 2025'!E247)</f>
        <v/>
      </c>
      <c r="F247" s="28" t="str">
        <f>IF(D247="","",VLOOKUP(D247,'[1]0.1 Produksi Pangan &amp; Penduduk'!$D$5:$AK$860,34,0))</f>
        <v/>
      </c>
      <c r="G247" s="29" t="str">
        <f t="shared" si="15"/>
        <v/>
      </c>
      <c r="H247" s="29" t="str">
        <f t="shared" si="16"/>
        <v/>
      </c>
      <c r="I247" s="29" t="str">
        <f t="shared" si="17"/>
        <v/>
      </c>
      <c r="J247" s="29" t="str">
        <f t="shared" si="18"/>
        <v/>
      </c>
      <c r="K247" s="29" t="str">
        <f t="shared" si="19"/>
        <v/>
      </c>
      <c r="M247" s="11"/>
    </row>
    <row r="248" spans="1:13" ht="15" x14ac:dyDescent="0.25">
      <c r="A248" s="1" t="str">
        <f>IF('1.1 Produksi Bersih Padi 2025'!A248="","",'1.1 Produksi Bersih Padi 2025'!A248)</f>
        <v/>
      </c>
      <c r="B248" s="31" t="str">
        <f>IF('1.1 Produksi Bersih Padi 2025'!B248="","",'1.1 Produksi Bersih Padi 2025'!B248)</f>
        <v/>
      </c>
      <c r="C248" s="31" t="str">
        <f>IF('1.1 Produksi Bersih Padi 2025'!C248="","",'1.1 Produksi Bersih Padi 2025'!C248)</f>
        <v/>
      </c>
      <c r="D248" s="1" t="str">
        <f>IF('1.1 Produksi Bersih Padi 2025'!D248="","",'1.1 Produksi Bersih Padi 2025'!D248)</f>
        <v/>
      </c>
      <c r="E248" s="1" t="str">
        <f>IF('1.1 Produksi Bersih Padi 2025'!E248="","",'1.1 Produksi Bersih Padi 2025'!E248)</f>
        <v/>
      </c>
      <c r="F248" s="28" t="str">
        <f>IF(D248="","",VLOOKUP(D248,'[1]0.1 Produksi Pangan &amp; Penduduk'!$D$5:$AK$860,34,0))</f>
        <v/>
      </c>
      <c r="G248" s="29" t="str">
        <f t="shared" si="15"/>
        <v/>
      </c>
      <c r="H248" s="29" t="str">
        <f t="shared" si="16"/>
        <v/>
      </c>
      <c r="I248" s="29" t="str">
        <f t="shared" si="17"/>
        <v/>
      </c>
      <c r="J248" s="29" t="str">
        <f t="shared" si="18"/>
        <v/>
      </c>
      <c r="K248" s="29" t="str">
        <f t="shared" si="19"/>
        <v/>
      </c>
      <c r="M248" s="11"/>
    </row>
    <row r="249" spans="1:13" ht="15" x14ac:dyDescent="0.25">
      <c r="A249" s="1" t="str">
        <f>IF('1.1 Produksi Bersih Padi 2025'!A249="","",'1.1 Produksi Bersih Padi 2025'!A249)</f>
        <v/>
      </c>
      <c r="B249" s="31" t="str">
        <f>IF('1.1 Produksi Bersih Padi 2025'!B249="","",'1.1 Produksi Bersih Padi 2025'!B249)</f>
        <v/>
      </c>
      <c r="C249" s="31" t="str">
        <f>IF('1.1 Produksi Bersih Padi 2025'!C249="","",'1.1 Produksi Bersih Padi 2025'!C249)</f>
        <v/>
      </c>
      <c r="D249" s="1" t="str">
        <f>IF('1.1 Produksi Bersih Padi 2025'!D249="","",'1.1 Produksi Bersih Padi 2025'!D249)</f>
        <v/>
      </c>
      <c r="E249" s="1" t="str">
        <f>IF('1.1 Produksi Bersih Padi 2025'!E249="","",'1.1 Produksi Bersih Padi 2025'!E249)</f>
        <v/>
      </c>
      <c r="F249" s="28" t="str">
        <f>IF(D249="","",VLOOKUP(D249,'[1]0.1 Produksi Pangan &amp; Penduduk'!$D$5:$AK$860,34,0))</f>
        <v/>
      </c>
      <c r="G249" s="29" t="str">
        <f t="shared" si="15"/>
        <v/>
      </c>
      <c r="H249" s="29" t="str">
        <f t="shared" si="16"/>
        <v/>
      </c>
      <c r="I249" s="29" t="str">
        <f t="shared" si="17"/>
        <v/>
      </c>
      <c r="J249" s="29" t="str">
        <f t="shared" si="18"/>
        <v/>
      </c>
      <c r="K249" s="29" t="str">
        <f t="shared" si="19"/>
        <v/>
      </c>
      <c r="M249" s="11"/>
    </row>
    <row r="250" spans="1:13" ht="15" x14ac:dyDescent="0.25">
      <c r="A250" s="1" t="str">
        <f>IF('1.1 Produksi Bersih Padi 2025'!A250="","",'1.1 Produksi Bersih Padi 2025'!A250)</f>
        <v/>
      </c>
      <c r="B250" s="31" t="str">
        <f>IF('1.1 Produksi Bersih Padi 2025'!B250="","",'1.1 Produksi Bersih Padi 2025'!B250)</f>
        <v/>
      </c>
      <c r="C250" s="31" t="str">
        <f>IF('1.1 Produksi Bersih Padi 2025'!C250="","",'1.1 Produksi Bersih Padi 2025'!C250)</f>
        <v/>
      </c>
      <c r="D250" s="1" t="str">
        <f>IF('1.1 Produksi Bersih Padi 2025'!D250="","",'1.1 Produksi Bersih Padi 2025'!D250)</f>
        <v/>
      </c>
      <c r="E250" s="1" t="str">
        <f>IF('1.1 Produksi Bersih Padi 2025'!E250="","",'1.1 Produksi Bersih Padi 2025'!E250)</f>
        <v/>
      </c>
      <c r="F250" s="28" t="str">
        <f>IF(D250="","",VLOOKUP(D250,'[1]0.1 Produksi Pangan &amp; Penduduk'!$D$5:$AK$860,34,0))</f>
        <v/>
      </c>
      <c r="G250" s="29" t="str">
        <f t="shared" si="15"/>
        <v/>
      </c>
      <c r="H250" s="29" t="str">
        <f t="shared" si="16"/>
        <v/>
      </c>
      <c r="I250" s="29" t="str">
        <f t="shared" si="17"/>
        <v/>
      </c>
      <c r="J250" s="29" t="str">
        <f t="shared" si="18"/>
        <v/>
      </c>
      <c r="K250" s="29" t="str">
        <f t="shared" si="19"/>
        <v/>
      </c>
      <c r="M250" s="11"/>
    </row>
    <row r="251" spans="1:13" ht="15" x14ac:dyDescent="0.25">
      <c r="A251" s="1" t="str">
        <f>IF('1.1 Produksi Bersih Padi 2025'!A251="","",'1.1 Produksi Bersih Padi 2025'!A251)</f>
        <v/>
      </c>
      <c r="B251" s="31" t="str">
        <f>IF('1.1 Produksi Bersih Padi 2025'!B251="","",'1.1 Produksi Bersih Padi 2025'!B251)</f>
        <v/>
      </c>
      <c r="C251" s="31" t="str">
        <f>IF('1.1 Produksi Bersih Padi 2025'!C251="","",'1.1 Produksi Bersih Padi 2025'!C251)</f>
        <v/>
      </c>
      <c r="D251" s="1" t="str">
        <f>IF('1.1 Produksi Bersih Padi 2025'!D251="","",'1.1 Produksi Bersih Padi 2025'!D251)</f>
        <v/>
      </c>
      <c r="E251" s="1" t="str">
        <f>IF('1.1 Produksi Bersih Padi 2025'!E251="","",'1.1 Produksi Bersih Padi 2025'!E251)</f>
        <v/>
      </c>
      <c r="F251" s="28" t="str">
        <f>IF(D251="","",VLOOKUP(D251,'[1]0.1 Produksi Pangan &amp; Penduduk'!$D$5:$AK$860,34,0))</f>
        <v/>
      </c>
      <c r="G251" s="29" t="str">
        <f t="shared" si="15"/>
        <v/>
      </c>
      <c r="H251" s="29" t="str">
        <f t="shared" si="16"/>
        <v/>
      </c>
      <c r="I251" s="29" t="str">
        <f t="shared" si="17"/>
        <v/>
      </c>
      <c r="J251" s="29" t="str">
        <f t="shared" si="18"/>
        <v/>
      </c>
      <c r="K251" s="29" t="str">
        <f t="shared" si="19"/>
        <v/>
      </c>
      <c r="M251" s="11"/>
    </row>
    <row r="252" spans="1:13" ht="15" x14ac:dyDescent="0.25">
      <c r="A252" s="1" t="str">
        <f>IF('1.1 Produksi Bersih Padi 2025'!A252="","",'1.1 Produksi Bersih Padi 2025'!A252)</f>
        <v/>
      </c>
      <c r="B252" s="31" t="str">
        <f>IF('1.1 Produksi Bersih Padi 2025'!B252="","",'1.1 Produksi Bersih Padi 2025'!B252)</f>
        <v/>
      </c>
      <c r="C252" s="31" t="str">
        <f>IF('1.1 Produksi Bersih Padi 2025'!C252="","",'1.1 Produksi Bersih Padi 2025'!C252)</f>
        <v/>
      </c>
      <c r="D252" s="1" t="str">
        <f>IF('1.1 Produksi Bersih Padi 2025'!D252="","",'1.1 Produksi Bersih Padi 2025'!D252)</f>
        <v/>
      </c>
      <c r="E252" s="1" t="str">
        <f>IF('1.1 Produksi Bersih Padi 2025'!E252="","",'1.1 Produksi Bersih Padi 2025'!E252)</f>
        <v/>
      </c>
      <c r="F252" s="28" t="str">
        <f>IF(D252="","",VLOOKUP(D252,'[1]0.1 Produksi Pangan &amp; Penduduk'!$D$5:$AK$860,34,0))</f>
        <v/>
      </c>
      <c r="G252" s="29" t="str">
        <f t="shared" si="15"/>
        <v/>
      </c>
      <c r="H252" s="29" t="str">
        <f t="shared" si="16"/>
        <v/>
      </c>
      <c r="I252" s="29" t="str">
        <f t="shared" si="17"/>
        <v/>
      </c>
      <c r="J252" s="29" t="str">
        <f t="shared" si="18"/>
        <v/>
      </c>
      <c r="K252" s="29" t="str">
        <f t="shared" si="19"/>
        <v/>
      </c>
      <c r="M252" s="11"/>
    </row>
    <row r="253" spans="1:13" ht="15" x14ac:dyDescent="0.25">
      <c r="A253" s="1" t="str">
        <f>IF('1.1 Produksi Bersih Padi 2025'!A253="","",'1.1 Produksi Bersih Padi 2025'!A253)</f>
        <v/>
      </c>
      <c r="B253" s="31" t="str">
        <f>IF('1.1 Produksi Bersih Padi 2025'!B253="","",'1.1 Produksi Bersih Padi 2025'!B253)</f>
        <v/>
      </c>
      <c r="C253" s="31" t="str">
        <f>IF('1.1 Produksi Bersih Padi 2025'!C253="","",'1.1 Produksi Bersih Padi 2025'!C253)</f>
        <v/>
      </c>
      <c r="D253" s="1" t="str">
        <f>IF('1.1 Produksi Bersih Padi 2025'!D253="","",'1.1 Produksi Bersih Padi 2025'!D253)</f>
        <v/>
      </c>
      <c r="E253" s="1" t="str">
        <f>IF('1.1 Produksi Bersih Padi 2025'!E253="","",'1.1 Produksi Bersih Padi 2025'!E253)</f>
        <v/>
      </c>
      <c r="F253" s="28" t="str">
        <f>IF(D253="","",VLOOKUP(D253,'[1]0.1 Produksi Pangan &amp; Penduduk'!$D$5:$AK$860,34,0))</f>
        <v/>
      </c>
      <c r="G253" s="29" t="str">
        <f t="shared" si="15"/>
        <v/>
      </c>
      <c r="H253" s="29" t="str">
        <f t="shared" si="16"/>
        <v/>
      </c>
      <c r="I253" s="29" t="str">
        <f t="shared" si="17"/>
        <v/>
      </c>
      <c r="J253" s="29" t="str">
        <f t="shared" si="18"/>
        <v/>
      </c>
      <c r="K253" s="29" t="str">
        <f t="shared" si="19"/>
        <v/>
      </c>
      <c r="M253" s="11"/>
    </row>
    <row r="254" spans="1:13" ht="15" x14ac:dyDescent="0.25">
      <c r="A254" s="1" t="str">
        <f>IF('1.1 Produksi Bersih Padi 2025'!A254="","",'1.1 Produksi Bersih Padi 2025'!A254)</f>
        <v/>
      </c>
      <c r="B254" s="31" t="str">
        <f>IF('1.1 Produksi Bersih Padi 2025'!B254="","",'1.1 Produksi Bersih Padi 2025'!B254)</f>
        <v/>
      </c>
      <c r="C254" s="31" t="str">
        <f>IF('1.1 Produksi Bersih Padi 2025'!C254="","",'1.1 Produksi Bersih Padi 2025'!C254)</f>
        <v/>
      </c>
      <c r="D254" s="1" t="str">
        <f>IF('1.1 Produksi Bersih Padi 2025'!D254="","",'1.1 Produksi Bersih Padi 2025'!D254)</f>
        <v/>
      </c>
      <c r="E254" s="1" t="str">
        <f>IF('1.1 Produksi Bersih Padi 2025'!E254="","",'1.1 Produksi Bersih Padi 2025'!E254)</f>
        <v/>
      </c>
      <c r="F254" s="28" t="str">
        <f>IF(D254="","",VLOOKUP(D254,'[1]0.1 Produksi Pangan &amp; Penduduk'!$D$5:$AK$860,34,0))</f>
        <v/>
      </c>
      <c r="G254" s="29" t="str">
        <f t="shared" si="15"/>
        <v/>
      </c>
      <c r="H254" s="29" t="str">
        <f t="shared" si="16"/>
        <v/>
      </c>
      <c r="I254" s="29" t="str">
        <f t="shared" si="17"/>
        <v/>
      </c>
      <c r="J254" s="29" t="str">
        <f t="shared" si="18"/>
        <v/>
      </c>
      <c r="K254" s="29" t="str">
        <f t="shared" si="19"/>
        <v/>
      </c>
      <c r="M254" s="11"/>
    </row>
    <row r="255" spans="1:13" ht="15" x14ac:dyDescent="0.25">
      <c r="A255" s="1" t="str">
        <f>IF('1.1 Produksi Bersih Padi 2025'!A255="","",'1.1 Produksi Bersih Padi 2025'!A255)</f>
        <v/>
      </c>
      <c r="B255" s="31" t="str">
        <f>IF('1.1 Produksi Bersih Padi 2025'!B255="","",'1.1 Produksi Bersih Padi 2025'!B255)</f>
        <v/>
      </c>
      <c r="C255" s="31" t="str">
        <f>IF('1.1 Produksi Bersih Padi 2025'!C255="","",'1.1 Produksi Bersih Padi 2025'!C255)</f>
        <v/>
      </c>
      <c r="D255" s="1" t="str">
        <f>IF('1.1 Produksi Bersih Padi 2025'!D255="","",'1.1 Produksi Bersih Padi 2025'!D255)</f>
        <v/>
      </c>
      <c r="E255" s="1" t="str">
        <f>IF('1.1 Produksi Bersih Padi 2025'!E255="","",'1.1 Produksi Bersih Padi 2025'!E255)</f>
        <v/>
      </c>
      <c r="F255" s="28" t="str">
        <f>IF(D255="","",VLOOKUP(D255,'[1]0.1 Produksi Pangan &amp; Penduduk'!$D$5:$AK$860,34,0))</f>
        <v/>
      </c>
      <c r="G255" s="29" t="str">
        <f t="shared" si="15"/>
        <v/>
      </c>
      <c r="H255" s="29" t="str">
        <f t="shared" si="16"/>
        <v/>
      </c>
      <c r="I255" s="29" t="str">
        <f t="shared" si="17"/>
        <v/>
      </c>
      <c r="J255" s="29" t="str">
        <f t="shared" si="18"/>
        <v/>
      </c>
      <c r="K255" s="29" t="str">
        <f t="shared" si="19"/>
        <v/>
      </c>
      <c r="M255" s="11"/>
    </row>
    <row r="256" spans="1:13" ht="15" x14ac:dyDescent="0.25">
      <c r="A256" s="1" t="str">
        <f>IF('1.1 Produksi Bersih Padi 2025'!A256="","",'1.1 Produksi Bersih Padi 2025'!A256)</f>
        <v/>
      </c>
      <c r="B256" s="31" t="str">
        <f>IF('1.1 Produksi Bersih Padi 2025'!B256="","",'1.1 Produksi Bersih Padi 2025'!B256)</f>
        <v/>
      </c>
      <c r="C256" s="31" t="str">
        <f>IF('1.1 Produksi Bersih Padi 2025'!C256="","",'1.1 Produksi Bersih Padi 2025'!C256)</f>
        <v/>
      </c>
      <c r="D256" s="1" t="str">
        <f>IF('1.1 Produksi Bersih Padi 2025'!D256="","",'1.1 Produksi Bersih Padi 2025'!D256)</f>
        <v/>
      </c>
      <c r="E256" s="1" t="str">
        <f>IF('1.1 Produksi Bersih Padi 2025'!E256="","",'1.1 Produksi Bersih Padi 2025'!E256)</f>
        <v/>
      </c>
      <c r="F256" s="28" t="str">
        <f>IF(D256="","",VLOOKUP(D256,'[1]0.1 Produksi Pangan &amp; Penduduk'!$D$5:$AK$860,34,0))</f>
        <v/>
      </c>
      <c r="G256" s="29" t="str">
        <f t="shared" si="15"/>
        <v/>
      </c>
      <c r="H256" s="29" t="str">
        <f t="shared" si="16"/>
        <v/>
      </c>
      <c r="I256" s="29" t="str">
        <f t="shared" si="17"/>
        <v/>
      </c>
      <c r="J256" s="29" t="str">
        <f t="shared" si="18"/>
        <v/>
      </c>
      <c r="K256" s="29" t="str">
        <f t="shared" si="19"/>
        <v/>
      </c>
      <c r="M256" s="11"/>
    </row>
    <row r="257" spans="1:13" ht="15" x14ac:dyDescent="0.25">
      <c r="A257" s="1" t="str">
        <f>IF('1.1 Produksi Bersih Padi 2025'!A257="","",'1.1 Produksi Bersih Padi 2025'!A257)</f>
        <v/>
      </c>
      <c r="B257" s="31" t="str">
        <f>IF('1.1 Produksi Bersih Padi 2025'!B257="","",'1.1 Produksi Bersih Padi 2025'!B257)</f>
        <v/>
      </c>
      <c r="C257" s="31" t="str">
        <f>IF('1.1 Produksi Bersih Padi 2025'!C257="","",'1.1 Produksi Bersih Padi 2025'!C257)</f>
        <v/>
      </c>
      <c r="D257" s="1" t="str">
        <f>IF('1.1 Produksi Bersih Padi 2025'!D257="","",'1.1 Produksi Bersih Padi 2025'!D257)</f>
        <v/>
      </c>
      <c r="E257" s="1" t="str">
        <f>IF('1.1 Produksi Bersih Padi 2025'!E257="","",'1.1 Produksi Bersih Padi 2025'!E257)</f>
        <v/>
      </c>
      <c r="F257" s="28" t="str">
        <f>IF(D257="","",VLOOKUP(D257,'[1]0.1 Produksi Pangan &amp; Penduduk'!$D$5:$AK$860,34,0))</f>
        <v/>
      </c>
      <c r="G257" s="29" t="str">
        <f t="shared" si="15"/>
        <v/>
      </c>
      <c r="H257" s="29" t="str">
        <f t="shared" si="16"/>
        <v/>
      </c>
      <c r="I257" s="29" t="str">
        <f t="shared" si="17"/>
        <v/>
      </c>
      <c r="J257" s="29" t="str">
        <f t="shared" si="18"/>
        <v/>
      </c>
      <c r="K257" s="29" t="str">
        <f t="shared" si="19"/>
        <v/>
      </c>
      <c r="M257" s="11"/>
    </row>
    <row r="258" spans="1:13" ht="15" x14ac:dyDescent="0.25">
      <c r="A258" s="1" t="str">
        <f>IF('1.1 Produksi Bersih Padi 2025'!A258="","",'1.1 Produksi Bersih Padi 2025'!A258)</f>
        <v/>
      </c>
      <c r="B258" s="31" t="str">
        <f>IF('1.1 Produksi Bersih Padi 2025'!B258="","",'1.1 Produksi Bersih Padi 2025'!B258)</f>
        <v/>
      </c>
      <c r="C258" s="31" t="str">
        <f>IF('1.1 Produksi Bersih Padi 2025'!C258="","",'1.1 Produksi Bersih Padi 2025'!C258)</f>
        <v/>
      </c>
      <c r="D258" s="1" t="str">
        <f>IF('1.1 Produksi Bersih Padi 2025'!D258="","",'1.1 Produksi Bersih Padi 2025'!D258)</f>
        <v/>
      </c>
      <c r="E258" s="1" t="str">
        <f>IF('1.1 Produksi Bersih Padi 2025'!E258="","",'1.1 Produksi Bersih Padi 2025'!E258)</f>
        <v/>
      </c>
      <c r="F258" s="28" t="str">
        <f>IF(D258="","",VLOOKUP(D258,'[1]0.1 Produksi Pangan &amp; Penduduk'!$D$5:$AK$860,34,0))</f>
        <v/>
      </c>
      <c r="G258" s="29" t="str">
        <f t="shared" si="15"/>
        <v/>
      </c>
      <c r="H258" s="29" t="str">
        <f t="shared" si="16"/>
        <v/>
      </c>
      <c r="I258" s="29" t="str">
        <f t="shared" si="17"/>
        <v/>
      </c>
      <c r="J258" s="29" t="str">
        <f t="shared" si="18"/>
        <v/>
      </c>
      <c r="K258" s="29" t="str">
        <f t="shared" si="19"/>
        <v/>
      </c>
      <c r="M258" s="11"/>
    </row>
    <row r="259" spans="1:13" ht="15" x14ac:dyDescent="0.25">
      <c r="A259" s="1" t="str">
        <f>IF('1.1 Produksi Bersih Padi 2025'!A259="","",'1.1 Produksi Bersih Padi 2025'!A259)</f>
        <v/>
      </c>
      <c r="B259" s="31" t="str">
        <f>IF('1.1 Produksi Bersih Padi 2025'!B259="","",'1.1 Produksi Bersih Padi 2025'!B259)</f>
        <v/>
      </c>
      <c r="C259" s="31" t="str">
        <f>IF('1.1 Produksi Bersih Padi 2025'!C259="","",'1.1 Produksi Bersih Padi 2025'!C259)</f>
        <v/>
      </c>
      <c r="D259" s="1" t="str">
        <f>IF('1.1 Produksi Bersih Padi 2025'!D259="","",'1.1 Produksi Bersih Padi 2025'!D259)</f>
        <v/>
      </c>
      <c r="E259" s="1" t="str">
        <f>IF('1.1 Produksi Bersih Padi 2025'!E259="","",'1.1 Produksi Bersih Padi 2025'!E259)</f>
        <v/>
      </c>
      <c r="F259" s="28" t="str">
        <f>IF(D259="","",VLOOKUP(D259,'[1]0.1 Produksi Pangan &amp; Penduduk'!$D$5:$AK$860,34,0))</f>
        <v/>
      </c>
      <c r="G259" s="29" t="str">
        <f t="shared" si="15"/>
        <v/>
      </c>
      <c r="H259" s="29" t="str">
        <f t="shared" si="16"/>
        <v/>
      </c>
      <c r="I259" s="29" t="str">
        <f t="shared" si="17"/>
        <v/>
      </c>
      <c r="J259" s="29" t="str">
        <f t="shared" si="18"/>
        <v/>
      </c>
      <c r="K259" s="29" t="str">
        <f t="shared" si="19"/>
        <v/>
      </c>
      <c r="M259" s="11"/>
    </row>
    <row r="260" spans="1:13" ht="15" x14ac:dyDescent="0.25">
      <c r="A260" s="1" t="str">
        <f>IF('1.1 Produksi Bersih Padi 2025'!A260="","",'1.1 Produksi Bersih Padi 2025'!A260)</f>
        <v/>
      </c>
      <c r="B260" s="31" t="str">
        <f>IF('1.1 Produksi Bersih Padi 2025'!B260="","",'1.1 Produksi Bersih Padi 2025'!B260)</f>
        <v/>
      </c>
      <c r="C260" s="31" t="str">
        <f>IF('1.1 Produksi Bersih Padi 2025'!C260="","",'1.1 Produksi Bersih Padi 2025'!C260)</f>
        <v/>
      </c>
      <c r="D260" s="1" t="str">
        <f>IF('1.1 Produksi Bersih Padi 2025'!D260="","",'1.1 Produksi Bersih Padi 2025'!D260)</f>
        <v/>
      </c>
      <c r="E260" s="1" t="str">
        <f>IF('1.1 Produksi Bersih Padi 2025'!E260="","",'1.1 Produksi Bersih Padi 2025'!E260)</f>
        <v/>
      </c>
      <c r="F260" s="28" t="str">
        <f>IF(D260="","",VLOOKUP(D260,'[1]0.1 Produksi Pangan &amp; Penduduk'!$D$5:$AK$860,34,0))</f>
        <v/>
      </c>
      <c r="G260" s="29" t="str">
        <f t="shared" si="15"/>
        <v/>
      </c>
      <c r="H260" s="29" t="str">
        <f t="shared" si="16"/>
        <v/>
      </c>
      <c r="I260" s="29" t="str">
        <f t="shared" si="17"/>
        <v/>
      </c>
      <c r="J260" s="29" t="str">
        <f t="shared" si="18"/>
        <v/>
      </c>
      <c r="K260" s="29" t="str">
        <f t="shared" si="19"/>
        <v/>
      </c>
      <c r="M260" s="11"/>
    </row>
    <row r="261" spans="1:13" ht="15" x14ac:dyDescent="0.25">
      <c r="A261" s="1" t="str">
        <f>IF('1.1 Produksi Bersih Padi 2025'!A261="","",'1.1 Produksi Bersih Padi 2025'!A261)</f>
        <v/>
      </c>
      <c r="B261" s="31" t="str">
        <f>IF('1.1 Produksi Bersih Padi 2025'!B261="","",'1.1 Produksi Bersih Padi 2025'!B261)</f>
        <v/>
      </c>
      <c r="C261" s="31" t="str">
        <f>IF('1.1 Produksi Bersih Padi 2025'!C261="","",'1.1 Produksi Bersih Padi 2025'!C261)</f>
        <v/>
      </c>
      <c r="D261" s="1" t="str">
        <f>IF('1.1 Produksi Bersih Padi 2025'!D261="","",'1.1 Produksi Bersih Padi 2025'!D261)</f>
        <v/>
      </c>
      <c r="E261" s="1" t="str">
        <f>IF('1.1 Produksi Bersih Padi 2025'!E261="","",'1.1 Produksi Bersih Padi 2025'!E261)</f>
        <v/>
      </c>
      <c r="F261" s="28" t="str">
        <f>IF(D261="","",VLOOKUP(D261,'[1]0.1 Produksi Pangan &amp; Penduduk'!$D$5:$AK$860,34,0))</f>
        <v/>
      </c>
      <c r="G261" s="29" t="str">
        <f t="shared" si="15"/>
        <v/>
      </c>
      <c r="H261" s="29" t="str">
        <f t="shared" si="16"/>
        <v/>
      </c>
      <c r="I261" s="29" t="str">
        <f t="shared" si="17"/>
        <v/>
      </c>
      <c r="J261" s="29" t="str">
        <f t="shared" si="18"/>
        <v/>
      </c>
      <c r="K261" s="29" t="str">
        <f t="shared" si="19"/>
        <v/>
      </c>
      <c r="M261" s="11"/>
    </row>
    <row r="262" spans="1:13" ht="15" x14ac:dyDescent="0.25">
      <c r="A262" s="1" t="str">
        <f>IF('1.1 Produksi Bersih Padi 2025'!A262="","",'1.1 Produksi Bersih Padi 2025'!A262)</f>
        <v/>
      </c>
      <c r="B262" s="31" t="str">
        <f>IF('1.1 Produksi Bersih Padi 2025'!B262="","",'1.1 Produksi Bersih Padi 2025'!B262)</f>
        <v/>
      </c>
      <c r="C262" s="31" t="str">
        <f>IF('1.1 Produksi Bersih Padi 2025'!C262="","",'1.1 Produksi Bersih Padi 2025'!C262)</f>
        <v/>
      </c>
      <c r="D262" s="1" t="str">
        <f>IF('1.1 Produksi Bersih Padi 2025'!D262="","",'1.1 Produksi Bersih Padi 2025'!D262)</f>
        <v/>
      </c>
      <c r="E262" s="1" t="str">
        <f>IF('1.1 Produksi Bersih Padi 2025'!E262="","",'1.1 Produksi Bersih Padi 2025'!E262)</f>
        <v/>
      </c>
      <c r="F262" s="28" t="str">
        <f>IF(D262="","",VLOOKUP(D262,'[1]0.1 Produksi Pangan &amp; Penduduk'!$D$5:$AK$860,34,0))</f>
        <v/>
      </c>
      <c r="G262" s="29" t="str">
        <f t="shared" ref="G262:G325" si="20">IF(F262="","",F262*0%)</f>
        <v/>
      </c>
      <c r="H262" s="29" t="str">
        <f t="shared" ref="H262:H325" si="21">IF(F262="","",F262*0%)</f>
        <v/>
      </c>
      <c r="I262" s="29" t="str">
        <f t="shared" ref="I262:I325" si="22">IF(F262="","",F262*0.72%)</f>
        <v/>
      </c>
      <c r="J262" s="29" t="str">
        <f t="shared" ref="J262:J325" si="23">IF(F262="","",F262-(G262+H262+I262))</f>
        <v/>
      </c>
      <c r="K262" s="29" t="str">
        <f t="shared" ref="K262:K325" si="24">IF(J262="","",J262*0.64)</f>
        <v/>
      </c>
      <c r="M262" s="11"/>
    </row>
    <row r="263" spans="1:13" ht="15" x14ac:dyDescent="0.25">
      <c r="A263" s="1" t="str">
        <f>IF('1.1 Produksi Bersih Padi 2025'!A263="","",'1.1 Produksi Bersih Padi 2025'!A263)</f>
        <v/>
      </c>
      <c r="B263" s="31" t="str">
        <f>IF('1.1 Produksi Bersih Padi 2025'!B263="","",'1.1 Produksi Bersih Padi 2025'!B263)</f>
        <v/>
      </c>
      <c r="C263" s="31" t="str">
        <f>IF('1.1 Produksi Bersih Padi 2025'!C263="","",'1.1 Produksi Bersih Padi 2025'!C263)</f>
        <v/>
      </c>
      <c r="D263" s="1" t="str">
        <f>IF('1.1 Produksi Bersih Padi 2025'!D263="","",'1.1 Produksi Bersih Padi 2025'!D263)</f>
        <v/>
      </c>
      <c r="E263" s="1" t="str">
        <f>IF('1.1 Produksi Bersih Padi 2025'!E263="","",'1.1 Produksi Bersih Padi 2025'!E263)</f>
        <v/>
      </c>
      <c r="F263" s="28" t="str">
        <f>IF(D263="","",VLOOKUP(D263,'[1]0.1 Produksi Pangan &amp; Penduduk'!$D$5:$AK$860,34,0))</f>
        <v/>
      </c>
      <c r="G263" s="29" t="str">
        <f t="shared" si="20"/>
        <v/>
      </c>
      <c r="H263" s="29" t="str">
        <f t="shared" si="21"/>
        <v/>
      </c>
      <c r="I263" s="29" t="str">
        <f t="shared" si="22"/>
        <v/>
      </c>
      <c r="J263" s="29" t="str">
        <f t="shared" si="23"/>
        <v/>
      </c>
      <c r="K263" s="29" t="str">
        <f t="shared" si="24"/>
        <v/>
      </c>
      <c r="M263" s="11"/>
    </row>
    <row r="264" spans="1:13" ht="15" x14ac:dyDescent="0.25">
      <c r="A264" s="1" t="str">
        <f>IF('1.1 Produksi Bersih Padi 2025'!A264="","",'1.1 Produksi Bersih Padi 2025'!A264)</f>
        <v/>
      </c>
      <c r="B264" s="31" t="str">
        <f>IF('1.1 Produksi Bersih Padi 2025'!B264="","",'1.1 Produksi Bersih Padi 2025'!B264)</f>
        <v/>
      </c>
      <c r="C264" s="31" t="str">
        <f>IF('1.1 Produksi Bersih Padi 2025'!C264="","",'1.1 Produksi Bersih Padi 2025'!C264)</f>
        <v/>
      </c>
      <c r="D264" s="1" t="str">
        <f>IF('1.1 Produksi Bersih Padi 2025'!D264="","",'1.1 Produksi Bersih Padi 2025'!D264)</f>
        <v/>
      </c>
      <c r="E264" s="1" t="str">
        <f>IF('1.1 Produksi Bersih Padi 2025'!E264="","",'1.1 Produksi Bersih Padi 2025'!E264)</f>
        <v/>
      </c>
      <c r="F264" s="28" t="str">
        <f>IF(D264="","",VLOOKUP(D264,'[1]0.1 Produksi Pangan &amp; Penduduk'!$D$5:$AK$860,34,0))</f>
        <v/>
      </c>
      <c r="G264" s="29" t="str">
        <f t="shared" si="20"/>
        <v/>
      </c>
      <c r="H264" s="29" t="str">
        <f t="shared" si="21"/>
        <v/>
      </c>
      <c r="I264" s="29" t="str">
        <f t="shared" si="22"/>
        <v/>
      </c>
      <c r="J264" s="29" t="str">
        <f t="shared" si="23"/>
        <v/>
      </c>
      <c r="K264" s="29" t="str">
        <f t="shared" si="24"/>
        <v/>
      </c>
      <c r="M264" s="11"/>
    </row>
    <row r="265" spans="1:13" ht="15" x14ac:dyDescent="0.25">
      <c r="A265" s="1" t="str">
        <f>IF('1.1 Produksi Bersih Padi 2025'!A265="","",'1.1 Produksi Bersih Padi 2025'!A265)</f>
        <v/>
      </c>
      <c r="B265" s="31" t="str">
        <f>IF('1.1 Produksi Bersih Padi 2025'!B265="","",'1.1 Produksi Bersih Padi 2025'!B265)</f>
        <v/>
      </c>
      <c r="C265" s="31" t="str">
        <f>IF('1.1 Produksi Bersih Padi 2025'!C265="","",'1.1 Produksi Bersih Padi 2025'!C265)</f>
        <v/>
      </c>
      <c r="D265" s="1" t="str">
        <f>IF('1.1 Produksi Bersih Padi 2025'!D265="","",'1.1 Produksi Bersih Padi 2025'!D265)</f>
        <v/>
      </c>
      <c r="E265" s="1" t="str">
        <f>IF('1.1 Produksi Bersih Padi 2025'!E265="","",'1.1 Produksi Bersih Padi 2025'!E265)</f>
        <v/>
      </c>
      <c r="F265" s="28" t="str">
        <f>IF(D265="","",VLOOKUP(D265,'[1]0.1 Produksi Pangan &amp; Penduduk'!$D$5:$AK$860,34,0))</f>
        <v/>
      </c>
      <c r="G265" s="29" t="str">
        <f t="shared" si="20"/>
        <v/>
      </c>
      <c r="H265" s="29" t="str">
        <f t="shared" si="21"/>
        <v/>
      </c>
      <c r="I265" s="29" t="str">
        <f t="shared" si="22"/>
        <v/>
      </c>
      <c r="J265" s="29" t="str">
        <f t="shared" si="23"/>
        <v/>
      </c>
      <c r="K265" s="29" t="str">
        <f t="shared" si="24"/>
        <v/>
      </c>
      <c r="M265" s="11"/>
    </row>
    <row r="266" spans="1:13" ht="15" x14ac:dyDescent="0.25">
      <c r="A266" s="1" t="str">
        <f>IF('1.1 Produksi Bersih Padi 2025'!A266="","",'1.1 Produksi Bersih Padi 2025'!A266)</f>
        <v/>
      </c>
      <c r="B266" s="31" t="str">
        <f>IF('1.1 Produksi Bersih Padi 2025'!B266="","",'1.1 Produksi Bersih Padi 2025'!B266)</f>
        <v/>
      </c>
      <c r="C266" s="31" t="str">
        <f>IF('1.1 Produksi Bersih Padi 2025'!C266="","",'1.1 Produksi Bersih Padi 2025'!C266)</f>
        <v/>
      </c>
      <c r="D266" s="1" t="str">
        <f>IF('1.1 Produksi Bersih Padi 2025'!D266="","",'1.1 Produksi Bersih Padi 2025'!D266)</f>
        <v/>
      </c>
      <c r="E266" s="1" t="str">
        <f>IF('1.1 Produksi Bersih Padi 2025'!E266="","",'1.1 Produksi Bersih Padi 2025'!E266)</f>
        <v/>
      </c>
      <c r="F266" s="28" t="str">
        <f>IF(D266="","",VLOOKUP(D266,'[1]0.1 Produksi Pangan &amp; Penduduk'!$D$5:$AK$860,34,0))</f>
        <v/>
      </c>
      <c r="G266" s="29" t="str">
        <f t="shared" si="20"/>
        <v/>
      </c>
      <c r="H266" s="29" t="str">
        <f t="shared" si="21"/>
        <v/>
      </c>
      <c r="I266" s="29" t="str">
        <f t="shared" si="22"/>
        <v/>
      </c>
      <c r="J266" s="29" t="str">
        <f t="shared" si="23"/>
        <v/>
      </c>
      <c r="K266" s="29" t="str">
        <f t="shared" si="24"/>
        <v/>
      </c>
      <c r="M266" s="11"/>
    </row>
    <row r="267" spans="1:13" ht="15" x14ac:dyDescent="0.25">
      <c r="A267" s="1" t="str">
        <f>IF('1.1 Produksi Bersih Padi 2025'!A267="","",'1.1 Produksi Bersih Padi 2025'!A267)</f>
        <v/>
      </c>
      <c r="B267" s="31" t="str">
        <f>IF('1.1 Produksi Bersih Padi 2025'!B267="","",'1.1 Produksi Bersih Padi 2025'!B267)</f>
        <v/>
      </c>
      <c r="C267" s="31" t="str">
        <f>IF('1.1 Produksi Bersih Padi 2025'!C267="","",'1.1 Produksi Bersih Padi 2025'!C267)</f>
        <v/>
      </c>
      <c r="D267" s="1" t="str">
        <f>IF('1.1 Produksi Bersih Padi 2025'!D267="","",'1.1 Produksi Bersih Padi 2025'!D267)</f>
        <v/>
      </c>
      <c r="E267" s="1" t="str">
        <f>IF('1.1 Produksi Bersih Padi 2025'!E267="","",'1.1 Produksi Bersih Padi 2025'!E267)</f>
        <v/>
      </c>
      <c r="F267" s="28" t="str">
        <f>IF(D267="","",VLOOKUP(D267,'[1]0.1 Produksi Pangan &amp; Penduduk'!$D$5:$AK$860,34,0))</f>
        <v/>
      </c>
      <c r="G267" s="29" t="str">
        <f t="shared" si="20"/>
        <v/>
      </c>
      <c r="H267" s="29" t="str">
        <f t="shared" si="21"/>
        <v/>
      </c>
      <c r="I267" s="29" t="str">
        <f t="shared" si="22"/>
        <v/>
      </c>
      <c r="J267" s="29" t="str">
        <f t="shared" si="23"/>
        <v/>
      </c>
      <c r="K267" s="29" t="str">
        <f t="shared" si="24"/>
        <v/>
      </c>
      <c r="M267" s="11"/>
    </row>
    <row r="268" spans="1:13" ht="15" x14ac:dyDescent="0.25">
      <c r="A268" s="1" t="str">
        <f>IF('1.1 Produksi Bersih Padi 2025'!A268="","",'1.1 Produksi Bersih Padi 2025'!A268)</f>
        <v/>
      </c>
      <c r="B268" s="31" t="str">
        <f>IF('1.1 Produksi Bersih Padi 2025'!B268="","",'1.1 Produksi Bersih Padi 2025'!B268)</f>
        <v/>
      </c>
      <c r="C268" s="31" t="str">
        <f>IF('1.1 Produksi Bersih Padi 2025'!C268="","",'1.1 Produksi Bersih Padi 2025'!C268)</f>
        <v/>
      </c>
      <c r="D268" s="1" t="str">
        <f>IF('1.1 Produksi Bersih Padi 2025'!D268="","",'1.1 Produksi Bersih Padi 2025'!D268)</f>
        <v/>
      </c>
      <c r="E268" s="1" t="str">
        <f>IF('1.1 Produksi Bersih Padi 2025'!E268="","",'1.1 Produksi Bersih Padi 2025'!E268)</f>
        <v/>
      </c>
      <c r="F268" s="28" t="str">
        <f>IF(D268="","",VLOOKUP(D268,'[1]0.1 Produksi Pangan &amp; Penduduk'!$D$5:$AK$860,34,0))</f>
        <v/>
      </c>
      <c r="G268" s="29" t="str">
        <f t="shared" si="20"/>
        <v/>
      </c>
      <c r="H268" s="29" t="str">
        <f t="shared" si="21"/>
        <v/>
      </c>
      <c r="I268" s="29" t="str">
        <f t="shared" si="22"/>
        <v/>
      </c>
      <c r="J268" s="29" t="str">
        <f t="shared" si="23"/>
        <v/>
      </c>
      <c r="K268" s="29" t="str">
        <f t="shared" si="24"/>
        <v/>
      </c>
      <c r="M268" s="11"/>
    </row>
    <row r="269" spans="1:13" ht="15" x14ac:dyDescent="0.25">
      <c r="A269" s="1" t="str">
        <f>IF('1.1 Produksi Bersih Padi 2025'!A269="","",'1.1 Produksi Bersih Padi 2025'!A269)</f>
        <v/>
      </c>
      <c r="B269" s="31" t="str">
        <f>IF('1.1 Produksi Bersih Padi 2025'!B269="","",'1.1 Produksi Bersih Padi 2025'!B269)</f>
        <v/>
      </c>
      <c r="C269" s="31" t="str">
        <f>IF('1.1 Produksi Bersih Padi 2025'!C269="","",'1.1 Produksi Bersih Padi 2025'!C269)</f>
        <v/>
      </c>
      <c r="D269" s="1" t="str">
        <f>IF('1.1 Produksi Bersih Padi 2025'!D269="","",'1.1 Produksi Bersih Padi 2025'!D269)</f>
        <v/>
      </c>
      <c r="E269" s="1" t="str">
        <f>IF('1.1 Produksi Bersih Padi 2025'!E269="","",'1.1 Produksi Bersih Padi 2025'!E269)</f>
        <v/>
      </c>
      <c r="F269" s="28" t="str">
        <f>IF(D269="","",VLOOKUP(D269,'[1]0.1 Produksi Pangan &amp; Penduduk'!$D$5:$AK$860,34,0))</f>
        <v/>
      </c>
      <c r="G269" s="29" t="str">
        <f t="shared" si="20"/>
        <v/>
      </c>
      <c r="H269" s="29" t="str">
        <f t="shared" si="21"/>
        <v/>
      </c>
      <c r="I269" s="29" t="str">
        <f t="shared" si="22"/>
        <v/>
      </c>
      <c r="J269" s="29" t="str">
        <f t="shared" si="23"/>
        <v/>
      </c>
      <c r="K269" s="29" t="str">
        <f t="shared" si="24"/>
        <v/>
      </c>
      <c r="M269" s="11"/>
    </row>
    <row r="270" spans="1:13" ht="15" x14ac:dyDescent="0.25">
      <c r="A270" s="1" t="str">
        <f>IF('1.1 Produksi Bersih Padi 2025'!A270="","",'1.1 Produksi Bersih Padi 2025'!A270)</f>
        <v/>
      </c>
      <c r="B270" s="31" t="str">
        <f>IF('1.1 Produksi Bersih Padi 2025'!B270="","",'1.1 Produksi Bersih Padi 2025'!B270)</f>
        <v/>
      </c>
      <c r="C270" s="31" t="str">
        <f>IF('1.1 Produksi Bersih Padi 2025'!C270="","",'1.1 Produksi Bersih Padi 2025'!C270)</f>
        <v/>
      </c>
      <c r="D270" s="1" t="str">
        <f>IF('1.1 Produksi Bersih Padi 2025'!D270="","",'1.1 Produksi Bersih Padi 2025'!D270)</f>
        <v/>
      </c>
      <c r="E270" s="1" t="str">
        <f>IF('1.1 Produksi Bersih Padi 2025'!E270="","",'1.1 Produksi Bersih Padi 2025'!E270)</f>
        <v/>
      </c>
      <c r="F270" s="28" t="str">
        <f>IF(D270="","",VLOOKUP(D270,'[1]0.1 Produksi Pangan &amp; Penduduk'!$D$5:$AK$860,34,0))</f>
        <v/>
      </c>
      <c r="G270" s="29" t="str">
        <f t="shared" si="20"/>
        <v/>
      </c>
      <c r="H270" s="29" t="str">
        <f t="shared" si="21"/>
        <v/>
      </c>
      <c r="I270" s="29" t="str">
        <f t="shared" si="22"/>
        <v/>
      </c>
      <c r="J270" s="29" t="str">
        <f t="shared" si="23"/>
        <v/>
      </c>
      <c r="K270" s="29" t="str">
        <f t="shared" si="24"/>
        <v/>
      </c>
      <c r="M270" s="11"/>
    </row>
    <row r="271" spans="1:13" ht="15" x14ac:dyDescent="0.25">
      <c r="A271" s="1" t="str">
        <f>IF('1.1 Produksi Bersih Padi 2025'!A271="","",'1.1 Produksi Bersih Padi 2025'!A271)</f>
        <v/>
      </c>
      <c r="B271" s="31" t="str">
        <f>IF('1.1 Produksi Bersih Padi 2025'!B271="","",'1.1 Produksi Bersih Padi 2025'!B271)</f>
        <v/>
      </c>
      <c r="C271" s="31" t="str">
        <f>IF('1.1 Produksi Bersih Padi 2025'!C271="","",'1.1 Produksi Bersih Padi 2025'!C271)</f>
        <v/>
      </c>
      <c r="D271" s="1" t="str">
        <f>IF('1.1 Produksi Bersih Padi 2025'!D271="","",'1.1 Produksi Bersih Padi 2025'!D271)</f>
        <v/>
      </c>
      <c r="E271" s="1" t="str">
        <f>IF('1.1 Produksi Bersih Padi 2025'!E271="","",'1.1 Produksi Bersih Padi 2025'!E271)</f>
        <v/>
      </c>
      <c r="F271" s="28" t="str">
        <f>IF(D271="","",VLOOKUP(D271,'[1]0.1 Produksi Pangan &amp; Penduduk'!$D$5:$AK$860,34,0))</f>
        <v/>
      </c>
      <c r="G271" s="29" t="str">
        <f t="shared" si="20"/>
        <v/>
      </c>
      <c r="H271" s="29" t="str">
        <f t="shared" si="21"/>
        <v/>
      </c>
      <c r="I271" s="29" t="str">
        <f t="shared" si="22"/>
        <v/>
      </c>
      <c r="J271" s="29" t="str">
        <f t="shared" si="23"/>
        <v/>
      </c>
      <c r="K271" s="29" t="str">
        <f t="shared" si="24"/>
        <v/>
      </c>
      <c r="M271" s="11"/>
    </row>
    <row r="272" spans="1:13" ht="15" x14ac:dyDescent="0.25">
      <c r="A272" s="1" t="str">
        <f>IF('1.1 Produksi Bersih Padi 2025'!A272="","",'1.1 Produksi Bersih Padi 2025'!A272)</f>
        <v/>
      </c>
      <c r="B272" s="31" t="str">
        <f>IF('1.1 Produksi Bersih Padi 2025'!B272="","",'1.1 Produksi Bersih Padi 2025'!B272)</f>
        <v/>
      </c>
      <c r="C272" s="31" t="str">
        <f>IF('1.1 Produksi Bersih Padi 2025'!C272="","",'1.1 Produksi Bersih Padi 2025'!C272)</f>
        <v/>
      </c>
      <c r="D272" s="1" t="str">
        <f>IF('1.1 Produksi Bersih Padi 2025'!D272="","",'1.1 Produksi Bersih Padi 2025'!D272)</f>
        <v/>
      </c>
      <c r="E272" s="1" t="str">
        <f>IF('1.1 Produksi Bersih Padi 2025'!E272="","",'1.1 Produksi Bersih Padi 2025'!E272)</f>
        <v/>
      </c>
      <c r="F272" s="28" t="str">
        <f>IF(D272="","",VLOOKUP(D272,'[1]0.1 Produksi Pangan &amp; Penduduk'!$D$5:$AK$860,34,0))</f>
        <v/>
      </c>
      <c r="G272" s="29" t="str">
        <f t="shared" si="20"/>
        <v/>
      </c>
      <c r="H272" s="29" t="str">
        <f t="shared" si="21"/>
        <v/>
      </c>
      <c r="I272" s="29" t="str">
        <f t="shared" si="22"/>
        <v/>
      </c>
      <c r="J272" s="29" t="str">
        <f t="shared" si="23"/>
        <v/>
      </c>
      <c r="K272" s="29" t="str">
        <f t="shared" si="24"/>
        <v/>
      </c>
      <c r="M272" s="11"/>
    </row>
    <row r="273" spans="1:13" ht="15" x14ac:dyDescent="0.25">
      <c r="A273" s="1" t="str">
        <f>IF('1.1 Produksi Bersih Padi 2025'!A273="","",'1.1 Produksi Bersih Padi 2025'!A273)</f>
        <v/>
      </c>
      <c r="B273" s="31" t="str">
        <f>IF('1.1 Produksi Bersih Padi 2025'!B273="","",'1.1 Produksi Bersih Padi 2025'!B273)</f>
        <v/>
      </c>
      <c r="C273" s="31" t="str">
        <f>IF('1.1 Produksi Bersih Padi 2025'!C273="","",'1.1 Produksi Bersih Padi 2025'!C273)</f>
        <v/>
      </c>
      <c r="D273" s="1" t="str">
        <f>IF('1.1 Produksi Bersih Padi 2025'!D273="","",'1.1 Produksi Bersih Padi 2025'!D273)</f>
        <v/>
      </c>
      <c r="E273" s="1" t="str">
        <f>IF('1.1 Produksi Bersih Padi 2025'!E273="","",'1.1 Produksi Bersih Padi 2025'!E273)</f>
        <v/>
      </c>
      <c r="F273" s="28" t="str">
        <f>IF(D273="","",VLOOKUP(D273,'[1]0.1 Produksi Pangan &amp; Penduduk'!$D$5:$AK$860,34,0))</f>
        <v/>
      </c>
      <c r="G273" s="29" t="str">
        <f t="shared" si="20"/>
        <v/>
      </c>
      <c r="H273" s="29" t="str">
        <f t="shared" si="21"/>
        <v/>
      </c>
      <c r="I273" s="29" t="str">
        <f t="shared" si="22"/>
        <v/>
      </c>
      <c r="J273" s="29" t="str">
        <f t="shared" si="23"/>
        <v/>
      </c>
      <c r="K273" s="29" t="str">
        <f t="shared" si="24"/>
        <v/>
      </c>
      <c r="M273" s="11"/>
    </row>
    <row r="274" spans="1:13" ht="15" x14ac:dyDescent="0.25">
      <c r="A274" s="1" t="str">
        <f>IF('1.1 Produksi Bersih Padi 2025'!A274="","",'1.1 Produksi Bersih Padi 2025'!A274)</f>
        <v/>
      </c>
      <c r="B274" s="31" t="str">
        <f>IF('1.1 Produksi Bersih Padi 2025'!B274="","",'1.1 Produksi Bersih Padi 2025'!B274)</f>
        <v/>
      </c>
      <c r="C274" s="31" t="str">
        <f>IF('1.1 Produksi Bersih Padi 2025'!C274="","",'1.1 Produksi Bersih Padi 2025'!C274)</f>
        <v/>
      </c>
      <c r="D274" s="1" t="str">
        <f>IF('1.1 Produksi Bersih Padi 2025'!D274="","",'1.1 Produksi Bersih Padi 2025'!D274)</f>
        <v/>
      </c>
      <c r="E274" s="1" t="str">
        <f>IF('1.1 Produksi Bersih Padi 2025'!E274="","",'1.1 Produksi Bersih Padi 2025'!E274)</f>
        <v/>
      </c>
      <c r="F274" s="28" t="str">
        <f>IF(D274="","",VLOOKUP(D274,'[1]0.1 Produksi Pangan &amp; Penduduk'!$D$5:$AK$860,34,0))</f>
        <v/>
      </c>
      <c r="G274" s="29" t="str">
        <f t="shared" si="20"/>
        <v/>
      </c>
      <c r="H274" s="29" t="str">
        <f t="shared" si="21"/>
        <v/>
      </c>
      <c r="I274" s="29" t="str">
        <f t="shared" si="22"/>
        <v/>
      </c>
      <c r="J274" s="29" t="str">
        <f t="shared" si="23"/>
        <v/>
      </c>
      <c r="K274" s="29" t="str">
        <f t="shared" si="24"/>
        <v/>
      </c>
      <c r="M274" s="11"/>
    </row>
    <row r="275" spans="1:13" ht="15" x14ac:dyDescent="0.25">
      <c r="A275" s="1" t="str">
        <f>IF('1.1 Produksi Bersih Padi 2025'!A275="","",'1.1 Produksi Bersih Padi 2025'!A275)</f>
        <v/>
      </c>
      <c r="B275" s="31" t="str">
        <f>IF('1.1 Produksi Bersih Padi 2025'!B275="","",'1.1 Produksi Bersih Padi 2025'!B275)</f>
        <v/>
      </c>
      <c r="C275" s="31" t="str">
        <f>IF('1.1 Produksi Bersih Padi 2025'!C275="","",'1.1 Produksi Bersih Padi 2025'!C275)</f>
        <v/>
      </c>
      <c r="D275" s="1" t="str">
        <f>IF('1.1 Produksi Bersih Padi 2025'!D275="","",'1.1 Produksi Bersih Padi 2025'!D275)</f>
        <v/>
      </c>
      <c r="E275" s="1" t="str">
        <f>IF('1.1 Produksi Bersih Padi 2025'!E275="","",'1.1 Produksi Bersih Padi 2025'!E275)</f>
        <v/>
      </c>
      <c r="F275" s="28" t="str">
        <f>IF(D275="","",VLOOKUP(D275,'[1]0.1 Produksi Pangan &amp; Penduduk'!$D$5:$AK$860,34,0))</f>
        <v/>
      </c>
      <c r="G275" s="29" t="str">
        <f t="shared" si="20"/>
        <v/>
      </c>
      <c r="H275" s="29" t="str">
        <f t="shared" si="21"/>
        <v/>
      </c>
      <c r="I275" s="29" t="str">
        <f t="shared" si="22"/>
        <v/>
      </c>
      <c r="J275" s="29" t="str">
        <f t="shared" si="23"/>
        <v/>
      </c>
      <c r="K275" s="29" t="str">
        <f t="shared" si="24"/>
        <v/>
      </c>
      <c r="M275" s="11"/>
    </row>
    <row r="276" spans="1:13" ht="15" x14ac:dyDescent="0.25">
      <c r="A276" s="1" t="str">
        <f>IF('1.1 Produksi Bersih Padi 2025'!A276="","",'1.1 Produksi Bersih Padi 2025'!A276)</f>
        <v/>
      </c>
      <c r="B276" s="31" t="str">
        <f>IF('1.1 Produksi Bersih Padi 2025'!B276="","",'1.1 Produksi Bersih Padi 2025'!B276)</f>
        <v/>
      </c>
      <c r="C276" s="31" t="str">
        <f>IF('1.1 Produksi Bersih Padi 2025'!C276="","",'1.1 Produksi Bersih Padi 2025'!C276)</f>
        <v/>
      </c>
      <c r="D276" s="1" t="str">
        <f>IF('1.1 Produksi Bersih Padi 2025'!D276="","",'1.1 Produksi Bersih Padi 2025'!D276)</f>
        <v/>
      </c>
      <c r="E276" s="1" t="str">
        <f>IF('1.1 Produksi Bersih Padi 2025'!E276="","",'1.1 Produksi Bersih Padi 2025'!E276)</f>
        <v/>
      </c>
      <c r="F276" s="28" t="str">
        <f>IF(D276="","",VLOOKUP(D276,'[1]0.1 Produksi Pangan &amp; Penduduk'!$D$5:$AK$860,34,0))</f>
        <v/>
      </c>
      <c r="G276" s="29" t="str">
        <f t="shared" si="20"/>
        <v/>
      </c>
      <c r="H276" s="29" t="str">
        <f t="shared" si="21"/>
        <v/>
      </c>
      <c r="I276" s="29" t="str">
        <f t="shared" si="22"/>
        <v/>
      </c>
      <c r="J276" s="29" t="str">
        <f t="shared" si="23"/>
        <v/>
      </c>
      <c r="K276" s="29" t="str">
        <f t="shared" si="24"/>
        <v/>
      </c>
      <c r="M276" s="11"/>
    </row>
    <row r="277" spans="1:13" ht="15" x14ac:dyDescent="0.25">
      <c r="A277" s="1" t="str">
        <f>IF('1.1 Produksi Bersih Padi 2025'!A277="","",'1.1 Produksi Bersih Padi 2025'!A277)</f>
        <v/>
      </c>
      <c r="B277" s="31" t="str">
        <f>IF('1.1 Produksi Bersih Padi 2025'!B277="","",'1.1 Produksi Bersih Padi 2025'!B277)</f>
        <v/>
      </c>
      <c r="C277" s="31" t="str">
        <f>IF('1.1 Produksi Bersih Padi 2025'!C277="","",'1.1 Produksi Bersih Padi 2025'!C277)</f>
        <v/>
      </c>
      <c r="D277" s="1" t="str">
        <f>IF('1.1 Produksi Bersih Padi 2025'!D277="","",'1.1 Produksi Bersih Padi 2025'!D277)</f>
        <v/>
      </c>
      <c r="E277" s="1" t="str">
        <f>IF('1.1 Produksi Bersih Padi 2025'!E277="","",'1.1 Produksi Bersih Padi 2025'!E277)</f>
        <v/>
      </c>
      <c r="F277" s="28" t="str">
        <f>IF(D277="","",VLOOKUP(D277,'[1]0.1 Produksi Pangan &amp; Penduduk'!$D$5:$AK$860,34,0))</f>
        <v/>
      </c>
      <c r="G277" s="29" t="str">
        <f t="shared" si="20"/>
        <v/>
      </c>
      <c r="H277" s="29" t="str">
        <f t="shared" si="21"/>
        <v/>
      </c>
      <c r="I277" s="29" t="str">
        <f t="shared" si="22"/>
        <v/>
      </c>
      <c r="J277" s="29" t="str">
        <f t="shared" si="23"/>
        <v/>
      </c>
      <c r="K277" s="29" t="str">
        <f t="shared" si="24"/>
        <v/>
      </c>
      <c r="M277" s="11"/>
    </row>
    <row r="278" spans="1:13" ht="15" x14ac:dyDescent="0.25">
      <c r="A278" s="1" t="str">
        <f>IF('1.1 Produksi Bersih Padi 2025'!A278="","",'1.1 Produksi Bersih Padi 2025'!A278)</f>
        <v/>
      </c>
      <c r="B278" s="31" t="str">
        <f>IF('1.1 Produksi Bersih Padi 2025'!B278="","",'1.1 Produksi Bersih Padi 2025'!B278)</f>
        <v/>
      </c>
      <c r="C278" s="31" t="str">
        <f>IF('1.1 Produksi Bersih Padi 2025'!C278="","",'1.1 Produksi Bersih Padi 2025'!C278)</f>
        <v/>
      </c>
      <c r="D278" s="1" t="str">
        <f>IF('1.1 Produksi Bersih Padi 2025'!D278="","",'1.1 Produksi Bersih Padi 2025'!D278)</f>
        <v/>
      </c>
      <c r="E278" s="1" t="str">
        <f>IF('1.1 Produksi Bersih Padi 2025'!E278="","",'1.1 Produksi Bersih Padi 2025'!E278)</f>
        <v/>
      </c>
      <c r="F278" s="28" t="str">
        <f>IF(D278="","",VLOOKUP(D278,'[1]0.1 Produksi Pangan &amp; Penduduk'!$D$5:$AK$860,34,0))</f>
        <v/>
      </c>
      <c r="G278" s="29" t="str">
        <f t="shared" si="20"/>
        <v/>
      </c>
      <c r="H278" s="29" t="str">
        <f t="shared" si="21"/>
        <v/>
      </c>
      <c r="I278" s="29" t="str">
        <f t="shared" si="22"/>
        <v/>
      </c>
      <c r="J278" s="29" t="str">
        <f t="shared" si="23"/>
        <v/>
      </c>
      <c r="K278" s="29" t="str">
        <f t="shared" si="24"/>
        <v/>
      </c>
      <c r="M278" s="11"/>
    </row>
    <row r="279" spans="1:13" ht="15" x14ac:dyDescent="0.25">
      <c r="A279" s="1" t="str">
        <f>IF('1.1 Produksi Bersih Padi 2025'!A279="","",'1.1 Produksi Bersih Padi 2025'!A279)</f>
        <v/>
      </c>
      <c r="B279" s="31" t="str">
        <f>IF('1.1 Produksi Bersih Padi 2025'!B279="","",'1.1 Produksi Bersih Padi 2025'!B279)</f>
        <v/>
      </c>
      <c r="C279" s="31" t="str">
        <f>IF('1.1 Produksi Bersih Padi 2025'!C279="","",'1.1 Produksi Bersih Padi 2025'!C279)</f>
        <v/>
      </c>
      <c r="D279" s="1" t="str">
        <f>IF('1.1 Produksi Bersih Padi 2025'!D279="","",'1.1 Produksi Bersih Padi 2025'!D279)</f>
        <v/>
      </c>
      <c r="E279" s="1" t="str">
        <f>IF('1.1 Produksi Bersih Padi 2025'!E279="","",'1.1 Produksi Bersih Padi 2025'!E279)</f>
        <v/>
      </c>
      <c r="F279" s="28" t="str">
        <f>IF(D279="","",VLOOKUP(D279,'[1]0.1 Produksi Pangan &amp; Penduduk'!$D$5:$AK$860,34,0))</f>
        <v/>
      </c>
      <c r="G279" s="29" t="str">
        <f t="shared" si="20"/>
        <v/>
      </c>
      <c r="H279" s="29" t="str">
        <f t="shared" si="21"/>
        <v/>
      </c>
      <c r="I279" s="29" t="str">
        <f t="shared" si="22"/>
        <v/>
      </c>
      <c r="J279" s="29" t="str">
        <f t="shared" si="23"/>
        <v/>
      </c>
      <c r="K279" s="29" t="str">
        <f t="shared" si="24"/>
        <v/>
      </c>
      <c r="M279" s="11"/>
    </row>
    <row r="280" spans="1:13" ht="15" x14ac:dyDescent="0.25">
      <c r="A280" s="1" t="str">
        <f>IF('1.1 Produksi Bersih Padi 2025'!A280="","",'1.1 Produksi Bersih Padi 2025'!A280)</f>
        <v/>
      </c>
      <c r="B280" s="31" t="str">
        <f>IF('1.1 Produksi Bersih Padi 2025'!B280="","",'1.1 Produksi Bersih Padi 2025'!B280)</f>
        <v/>
      </c>
      <c r="C280" s="31" t="str">
        <f>IF('1.1 Produksi Bersih Padi 2025'!C280="","",'1.1 Produksi Bersih Padi 2025'!C280)</f>
        <v/>
      </c>
      <c r="D280" s="1" t="str">
        <f>IF('1.1 Produksi Bersih Padi 2025'!D280="","",'1.1 Produksi Bersih Padi 2025'!D280)</f>
        <v/>
      </c>
      <c r="E280" s="1" t="str">
        <f>IF('1.1 Produksi Bersih Padi 2025'!E280="","",'1.1 Produksi Bersih Padi 2025'!E280)</f>
        <v/>
      </c>
      <c r="F280" s="28" t="str">
        <f>IF(D280="","",VLOOKUP(D280,'[1]0.1 Produksi Pangan &amp; Penduduk'!$D$5:$AK$860,34,0))</f>
        <v/>
      </c>
      <c r="G280" s="29" t="str">
        <f t="shared" si="20"/>
        <v/>
      </c>
      <c r="H280" s="29" t="str">
        <f t="shared" si="21"/>
        <v/>
      </c>
      <c r="I280" s="29" t="str">
        <f t="shared" si="22"/>
        <v/>
      </c>
      <c r="J280" s="29" t="str">
        <f t="shared" si="23"/>
        <v/>
      </c>
      <c r="K280" s="29" t="str">
        <f t="shared" si="24"/>
        <v/>
      </c>
      <c r="M280" s="11"/>
    </row>
    <row r="281" spans="1:13" ht="15" x14ac:dyDescent="0.25">
      <c r="A281" s="1" t="str">
        <f>IF('1.1 Produksi Bersih Padi 2025'!A281="","",'1.1 Produksi Bersih Padi 2025'!A281)</f>
        <v/>
      </c>
      <c r="B281" s="31" t="str">
        <f>IF('1.1 Produksi Bersih Padi 2025'!B281="","",'1.1 Produksi Bersih Padi 2025'!B281)</f>
        <v/>
      </c>
      <c r="C281" s="31" t="str">
        <f>IF('1.1 Produksi Bersih Padi 2025'!C281="","",'1.1 Produksi Bersih Padi 2025'!C281)</f>
        <v/>
      </c>
      <c r="D281" s="1" t="str">
        <f>IF('1.1 Produksi Bersih Padi 2025'!D281="","",'1.1 Produksi Bersih Padi 2025'!D281)</f>
        <v/>
      </c>
      <c r="E281" s="1" t="str">
        <f>IF('1.1 Produksi Bersih Padi 2025'!E281="","",'1.1 Produksi Bersih Padi 2025'!E281)</f>
        <v/>
      </c>
      <c r="F281" s="28" t="str">
        <f>IF(D281="","",VLOOKUP(D281,'[1]0.1 Produksi Pangan &amp; Penduduk'!$D$5:$AK$860,34,0))</f>
        <v/>
      </c>
      <c r="G281" s="29" t="str">
        <f t="shared" si="20"/>
        <v/>
      </c>
      <c r="H281" s="29" t="str">
        <f t="shared" si="21"/>
        <v/>
      </c>
      <c r="I281" s="29" t="str">
        <f t="shared" si="22"/>
        <v/>
      </c>
      <c r="J281" s="29" t="str">
        <f t="shared" si="23"/>
        <v/>
      </c>
      <c r="K281" s="29" t="str">
        <f t="shared" si="24"/>
        <v/>
      </c>
      <c r="M281" s="11"/>
    </row>
    <row r="282" spans="1:13" ht="15" x14ac:dyDescent="0.25">
      <c r="A282" s="1" t="str">
        <f>IF('1.1 Produksi Bersih Padi 2025'!A282="","",'1.1 Produksi Bersih Padi 2025'!A282)</f>
        <v/>
      </c>
      <c r="B282" s="31" t="str">
        <f>IF('1.1 Produksi Bersih Padi 2025'!B282="","",'1.1 Produksi Bersih Padi 2025'!B282)</f>
        <v/>
      </c>
      <c r="C282" s="31" t="str">
        <f>IF('1.1 Produksi Bersih Padi 2025'!C282="","",'1.1 Produksi Bersih Padi 2025'!C282)</f>
        <v/>
      </c>
      <c r="D282" s="1" t="str">
        <f>IF('1.1 Produksi Bersih Padi 2025'!D282="","",'1.1 Produksi Bersih Padi 2025'!D282)</f>
        <v/>
      </c>
      <c r="E282" s="1" t="str">
        <f>IF('1.1 Produksi Bersih Padi 2025'!E282="","",'1.1 Produksi Bersih Padi 2025'!E282)</f>
        <v/>
      </c>
      <c r="F282" s="28" t="str">
        <f>IF(D282="","",VLOOKUP(D282,'[1]0.1 Produksi Pangan &amp; Penduduk'!$D$5:$AK$860,34,0))</f>
        <v/>
      </c>
      <c r="G282" s="29" t="str">
        <f t="shared" si="20"/>
        <v/>
      </c>
      <c r="H282" s="29" t="str">
        <f t="shared" si="21"/>
        <v/>
      </c>
      <c r="I282" s="29" t="str">
        <f t="shared" si="22"/>
        <v/>
      </c>
      <c r="J282" s="29" t="str">
        <f t="shared" si="23"/>
        <v/>
      </c>
      <c r="K282" s="29" t="str">
        <f t="shared" si="24"/>
        <v/>
      </c>
      <c r="M282" s="11"/>
    </row>
    <row r="283" spans="1:13" ht="15" x14ac:dyDescent="0.25">
      <c r="A283" s="1" t="str">
        <f>IF('1.1 Produksi Bersih Padi 2025'!A283="","",'1.1 Produksi Bersih Padi 2025'!A283)</f>
        <v/>
      </c>
      <c r="B283" s="31" t="str">
        <f>IF('1.1 Produksi Bersih Padi 2025'!B283="","",'1.1 Produksi Bersih Padi 2025'!B283)</f>
        <v/>
      </c>
      <c r="C283" s="31" t="str">
        <f>IF('1.1 Produksi Bersih Padi 2025'!C283="","",'1.1 Produksi Bersih Padi 2025'!C283)</f>
        <v/>
      </c>
      <c r="D283" s="1" t="str">
        <f>IF('1.1 Produksi Bersih Padi 2025'!D283="","",'1.1 Produksi Bersih Padi 2025'!D283)</f>
        <v/>
      </c>
      <c r="E283" s="1" t="str">
        <f>IF('1.1 Produksi Bersih Padi 2025'!E283="","",'1.1 Produksi Bersih Padi 2025'!E283)</f>
        <v/>
      </c>
      <c r="F283" s="28" t="str">
        <f>IF(D283="","",VLOOKUP(D283,'[1]0.1 Produksi Pangan &amp; Penduduk'!$D$5:$AK$860,34,0))</f>
        <v/>
      </c>
      <c r="G283" s="29" t="str">
        <f t="shared" si="20"/>
        <v/>
      </c>
      <c r="H283" s="29" t="str">
        <f t="shared" si="21"/>
        <v/>
      </c>
      <c r="I283" s="29" t="str">
        <f t="shared" si="22"/>
        <v/>
      </c>
      <c r="J283" s="29" t="str">
        <f t="shared" si="23"/>
        <v/>
      </c>
      <c r="K283" s="29" t="str">
        <f t="shared" si="24"/>
        <v/>
      </c>
      <c r="M283" s="11"/>
    </row>
    <row r="284" spans="1:13" ht="15" x14ac:dyDescent="0.25">
      <c r="A284" s="1" t="str">
        <f>IF('1.1 Produksi Bersih Padi 2025'!A284="","",'1.1 Produksi Bersih Padi 2025'!A284)</f>
        <v/>
      </c>
      <c r="B284" s="31" t="str">
        <f>IF('1.1 Produksi Bersih Padi 2025'!B284="","",'1.1 Produksi Bersih Padi 2025'!B284)</f>
        <v/>
      </c>
      <c r="C284" s="31" t="str">
        <f>IF('1.1 Produksi Bersih Padi 2025'!C284="","",'1.1 Produksi Bersih Padi 2025'!C284)</f>
        <v/>
      </c>
      <c r="D284" s="1" t="str">
        <f>IF('1.1 Produksi Bersih Padi 2025'!D284="","",'1.1 Produksi Bersih Padi 2025'!D284)</f>
        <v/>
      </c>
      <c r="E284" s="1" t="str">
        <f>IF('1.1 Produksi Bersih Padi 2025'!E284="","",'1.1 Produksi Bersih Padi 2025'!E284)</f>
        <v/>
      </c>
      <c r="F284" s="28" t="str">
        <f>IF(D284="","",VLOOKUP(D284,'[1]0.1 Produksi Pangan &amp; Penduduk'!$D$5:$AK$860,34,0))</f>
        <v/>
      </c>
      <c r="G284" s="29" t="str">
        <f t="shared" si="20"/>
        <v/>
      </c>
      <c r="H284" s="29" t="str">
        <f t="shared" si="21"/>
        <v/>
      </c>
      <c r="I284" s="29" t="str">
        <f t="shared" si="22"/>
        <v/>
      </c>
      <c r="J284" s="29" t="str">
        <f t="shared" si="23"/>
        <v/>
      </c>
      <c r="K284" s="29" t="str">
        <f t="shared" si="24"/>
        <v/>
      </c>
      <c r="M284" s="11"/>
    </row>
    <row r="285" spans="1:13" ht="15" x14ac:dyDescent="0.25">
      <c r="A285" s="1" t="str">
        <f>IF('1.1 Produksi Bersih Padi 2025'!A285="","",'1.1 Produksi Bersih Padi 2025'!A285)</f>
        <v/>
      </c>
      <c r="B285" s="31" t="str">
        <f>IF('1.1 Produksi Bersih Padi 2025'!B285="","",'1.1 Produksi Bersih Padi 2025'!B285)</f>
        <v/>
      </c>
      <c r="C285" s="31" t="str">
        <f>IF('1.1 Produksi Bersih Padi 2025'!C285="","",'1.1 Produksi Bersih Padi 2025'!C285)</f>
        <v/>
      </c>
      <c r="D285" s="1" t="str">
        <f>IF('1.1 Produksi Bersih Padi 2025'!D285="","",'1.1 Produksi Bersih Padi 2025'!D285)</f>
        <v/>
      </c>
      <c r="E285" s="1" t="str">
        <f>IF('1.1 Produksi Bersih Padi 2025'!E285="","",'1.1 Produksi Bersih Padi 2025'!E285)</f>
        <v/>
      </c>
      <c r="F285" s="28" t="str">
        <f>IF(D285="","",VLOOKUP(D285,'[1]0.1 Produksi Pangan &amp; Penduduk'!$D$5:$AK$860,34,0))</f>
        <v/>
      </c>
      <c r="G285" s="29" t="str">
        <f t="shared" si="20"/>
        <v/>
      </c>
      <c r="H285" s="29" t="str">
        <f t="shared" si="21"/>
        <v/>
      </c>
      <c r="I285" s="29" t="str">
        <f t="shared" si="22"/>
        <v/>
      </c>
      <c r="J285" s="29" t="str">
        <f t="shared" si="23"/>
        <v/>
      </c>
      <c r="K285" s="29" t="str">
        <f t="shared" si="24"/>
        <v/>
      </c>
      <c r="M285" s="11"/>
    </row>
    <row r="286" spans="1:13" ht="15" x14ac:dyDescent="0.25">
      <c r="A286" s="1" t="str">
        <f>IF('1.1 Produksi Bersih Padi 2025'!A286="","",'1.1 Produksi Bersih Padi 2025'!A286)</f>
        <v/>
      </c>
      <c r="B286" s="31" t="str">
        <f>IF('1.1 Produksi Bersih Padi 2025'!B286="","",'1.1 Produksi Bersih Padi 2025'!B286)</f>
        <v/>
      </c>
      <c r="C286" s="31" t="str">
        <f>IF('1.1 Produksi Bersih Padi 2025'!C286="","",'1.1 Produksi Bersih Padi 2025'!C286)</f>
        <v/>
      </c>
      <c r="D286" s="1" t="str">
        <f>IF('1.1 Produksi Bersih Padi 2025'!D286="","",'1.1 Produksi Bersih Padi 2025'!D286)</f>
        <v/>
      </c>
      <c r="E286" s="1" t="str">
        <f>IF('1.1 Produksi Bersih Padi 2025'!E286="","",'1.1 Produksi Bersih Padi 2025'!E286)</f>
        <v/>
      </c>
      <c r="F286" s="28" t="str">
        <f>IF(D286="","",VLOOKUP(D286,'[1]0.1 Produksi Pangan &amp; Penduduk'!$D$5:$AK$860,34,0))</f>
        <v/>
      </c>
      <c r="G286" s="29" t="str">
        <f t="shared" si="20"/>
        <v/>
      </c>
      <c r="H286" s="29" t="str">
        <f t="shared" si="21"/>
        <v/>
      </c>
      <c r="I286" s="29" t="str">
        <f t="shared" si="22"/>
        <v/>
      </c>
      <c r="J286" s="29" t="str">
        <f t="shared" si="23"/>
        <v/>
      </c>
      <c r="K286" s="29" t="str">
        <f t="shared" si="24"/>
        <v/>
      </c>
      <c r="M286" s="11"/>
    </row>
    <row r="287" spans="1:13" ht="15" x14ac:dyDescent="0.25">
      <c r="A287" s="1" t="str">
        <f>IF('1.1 Produksi Bersih Padi 2025'!A287="","",'1.1 Produksi Bersih Padi 2025'!A287)</f>
        <v/>
      </c>
      <c r="B287" s="31" t="str">
        <f>IF('1.1 Produksi Bersih Padi 2025'!B287="","",'1.1 Produksi Bersih Padi 2025'!B287)</f>
        <v/>
      </c>
      <c r="C287" s="31" t="str">
        <f>IF('1.1 Produksi Bersih Padi 2025'!C287="","",'1.1 Produksi Bersih Padi 2025'!C287)</f>
        <v/>
      </c>
      <c r="D287" s="1" t="str">
        <f>IF('1.1 Produksi Bersih Padi 2025'!D287="","",'1.1 Produksi Bersih Padi 2025'!D287)</f>
        <v/>
      </c>
      <c r="E287" s="1" t="str">
        <f>IF('1.1 Produksi Bersih Padi 2025'!E287="","",'1.1 Produksi Bersih Padi 2025'!E287)</f>
        <v/>
      </c>
      <c r="F287" s="28" t="str">
        <f>IF(D287="","",VLOOKUP(D287,'[1]0.1 Produksi Pangan &amp; Penduduk'!$D$5:$AK$860,34,0))</f>
        <v/>
      </c>
      <c r="G287" s="29" t="str">
        <f t="shared" si="20"/>
        <v/>
      </c>
      <c r="H287" s="29" t="str">
        <f t="shared" si="21"/>
        <v/>
      </c>
      <c r="I287" s="29" t="str">
        <f t="shared" si="22"/>
        <v/>
      </c>
      <c r="J287" s="29" t="str">
        <f t="shared" si="23"/>
        <v/>
      </c>
      <c r="K287" s="29" t="str">
        <f t="shared" si="24"/>
        <v/>
      </c>
      <c r="M287" s="11"/>
    </row>
    <row r="288" spans="1:13" ht="15" x14ac:dyDescent="0.25">
      <c r="A288" s="1" t="str">
        <f>IF('1.1 Produksi Bersih Padi 2025'!A288="","",'1.1 Produksi Bersih Padi 2025'!A288)</f>
        <v/>
      </c>
      <c r="B288" s="31" t="str">
        <f>IF('1.1 Produksi Bersih Padi 2025'!B288="","",'1.1 Produksi Bersih Padi 2025'!B288)</f>
        <v/>
      </c>
      <c r="C288" s="31" t="str">
        <f>IF('1.1 Produksi Bersih Padi 2025'!C288="","",'1.1 Produksi Bersih Padi 2025'!C288)</f>
        <v/>
      </c>
      <c r="D288" s="1" t="str">
        <f>IF('1.1 Produksi Bersih Padi 2025'!D288="","",'1.1 Produksi Bersih Padi 2025'!D288)</f>
        <v/>
      </c>
      <c r="E288" s="1" t="str">
        <f>IF('1.1 Produksi Bersih Padi 2025'!E288="","",'1.1 Produksi Bersih Padi 2025'!E288)</f>
        <v/>
      </c>
      <c r="F288" s="28" t="str">
        <f>IF(D288="","",VLOOKUP(D288,'[1]0.1 Produksi Pangan &amp; Penduduk'!$D$5:$AK$860,34,0))</f>
        <v/>
      </c>
      <c r="G288" s="29" t="str">
        <f t="shared" si="20"/>
        <v/>
      </c>
      <c r="H288" s="29" t="str">
        <f t="shared" si="21"/>
        <v/>
      </c>
      <c r="I288" s="29" t="str">
        <f t="shared" si="22"/>
        <v/>
      </c>
      <c r="J288" s="29" t="str">
        <f t="shared" si="23"/>
        <v/>
      </c>
      <c r="K288" s="29" t="str">
        <f t="shared" si="24"/>
        <v/>
      </c>
      <c r="M288" s="11"/>
    </row>
    <row r="289" spans="1:13" ht="15" x14ac:dyDescent="0.25">
      <c r="A289" s="1" t="str">
        <f>IF('1.1 Produksi Bersih Padi 2025'!A289="","",'1.1 Produksi Bersih Padi 2025'!A289)</f>
        <v/>
      </c>
      <c r="B289" s="31" t="str">
        <f>IF('1.1 Produksi Bersih Padi 2025'!B289="","",'1.1 Produksi Bersih Padi 2025'!B289)</f>
        <v/>
      </c>
      <c r="C289" s="31" t="str">
        <f>IF('1.1 Produksi Bersih Padi 2025'!C289="","",'1.1 Produksi Bersih Padi 2025'!C289)</f>
        <v/>
      </c>
      <c r="D289" s="1" t="str">
        <f>IF('1.1 Produksi Bersih Padi 2025'!D289="","",'1.1 Produksi Bersih Padi 2025'!D289)</f>
        <v/>
      </c>
      <c r="E289" s="1" t="str">
        <f>IF('1.1 Produksi Bersih Padi 2025'!E289="","",'1.1 Produksi Bersih Padi 2025'!E289)</f>
        <v/>
      </c>
      <c r="F289" s="28" t="str">
        <f>IF(D289="","",VLOOKUP(D289,'[1]0.1 Produksi Pangan &amp; Penduduk'!$D$5:$AK$860,34,0))</f>
        <v/>
      </c>
      <c r="G289" s="29" t="str">
        <f t="shared" si="20"/>
        <v/>
      </c>
      <c r="H289" s="29" t="str">
        <f t="shared" si="21"/>
        <v/>
      </c>
      <c r="I289" s="29" t="str">
        <f t="shared" si="22"/>
        <v/>
      </c>
      <c r="J289" s="29" t="str">
        <f t="shared" si="23"/>
        <v/>
      </c>
      <c r="K289" s="29" t="str">
        <f t="shared" si="24"/>
        <v/>
      </c>
      <c r="M289" s="11"/>
    </row>
    <row r="290" spans="1:13" ht="15" x14ac:dyDescent="0.25">
      <c r="A290" s="1" t="str">
        <f>IF('1.1 Produksi Bersih Padi 2025'!A290="","",'1.1 Produksi Bersih Padi 2025'!A290)</f>
        <v/>
      </c>
      <c r="B290" s="31" t="str">
        <f>IF('1.1 Produksi Bersih Padi 2025'!B290="","",'1.1 Produksi Bersih Padi 2025'!B290)</f>
        <v/>
      </c>
      <c r="C290" s="31" t="str">
        <f>IF('1.1 Produksi Bersih Padi 2025'!C290="","",'1.1 Produksi Bersih Padi 2025'!C290)</f>
        <v/>
      </c>
      <c r="D290" s="1" t="str">
        <f>IF('1.1 Produksi Bersih Padi 2025'!D290="","",'1.1 Produksi Bersih Padi 2025'!D290)</f>
        <v/>
      </c>
      <c r="E290" s="1" t="str">
        <f>IF('1.1 Produksi Bersih Padi 2025'!E290="","",'1.1 Produksi Bersih Padi 2025'!E290)</f>
        <v/>
      </c>
      <c r="F290" s="28" t="str">
        <f>IF(D290="","",VLOOKUP(D290,'[1]0.1 Produksi Pangan &amp; Penduduk'!$D$5:$AK$860,34,0))</f>
        <v/>
      </c>
      <c r="G290" s="29" t="str">
        <f t="shared" si="20"/>
        <v/>
      </c>
      <c r="H290" s="29" t="str">
        <f t="shared" si="21"/>
        <v/>
      </c>
      <c r="I290" s="29" t="str">
        <f t="shared" si="22"/>
        <v/>
      </c>
      <c r="J290" s="29" t="str">
        <f t="shared" si="23"/>
        <v/>
      </c>
      <c r="K290" s="29" t="str">
        <f t="shared" si="24"/>
        <v/>
      </c>
      <c r="M290" s="11"/>
    </row>
    <row r="291" spans="1:13" ht="15" x14ac:dyDescent="0.25">
      <c r="A291" s="1" t="str">
        <f>IF('1.1 Produksi Bersih Padi 2025'!A291="","",'1.1 Produksi Bersih Padi 2025'!A291)</f>
        <v/>
      </c>
      <c r="B291" s="31" t="str">
        <f>IF('1.1 Produksi Bersih Padi 2025'!B291="","",'1.1 Produksi Bersih Padi 2025'!B291)</f>
        <v/>
      </c>
      <c r="C291" s="31" t="str">
        <f>IF('1.1 Produksi Bersih Padi 2025'!C291="","",'1.1 Produksi Bersih Padi 2025'!C291)</f>
        <v/>
      </c>
      <c r="D291" s="1" t="str">
        <f>IF('1.1 Produksi Bersih Padi 2025'!D291="","",'1.1 Produksi Bersih Padi 2025'!D291)</f>
        <v/>
      </c>
      <c r="E291" s="1" t="str">
        <f>IF('1.1 Produksi Bersih Padi 2025'!E291="","",'1.1 Produksi Bersih Padi 2025'!E291)</f>
        <v/>
      </c>
      <c r="F291" s="28" t="str">
        <f>IF(D291="","",VLOOKUP(D291,'[1]0.1 Produksi Pangan &amp; Penduduk'!$D$5:$AK$860,34,0))</f>
        <v/>
      </c>
      <c r="G291" s="29" t="str">
        <f t="shared" si="20"/>
        <v/>
      </c>
      <c r="H291" s="29" t="str">
        <f t="shared" si="21"/>
        <v/>
      </c>
      <c r="I291" s="29" t="str">
        <f t="shared" si="22"/>
        <v/>
      </c>
      <c r="J291" s="29" t="str">
        <f t="shared" si="23"/>
        <v/>
      </c>
      <c r="K291" s="29" t="str">
        <f t="shared" si="24"/>
        <v/>
      </c>
      <c r="M291" s="11"/>
    </row>
    <row r="292" spans="1:13" ht="15" x14ac:dyDescent="0.25">
      <c r="A292" s="1" t="str">
        <f>IF('1.1 Produksi Bersih Padi 2025'!A292="","",'1.1 Produksi Bersih Padi 2025'!A292)</f>
        <v/>
      </c>
      <c r="B292" s="31" t="str">
        <f>IF('1.1 Produksi Bersih Padi 2025'!B292="","",'1.1 Produksi Bersih Padi 2025'!B292)</f>
        <v/>
      </c>
      <c r="C292" s="31" t="str">
        <f>IF('1.1 Produksi Bersih Padi 2025'!C292="","",'1.1 Produksi Bersih Padi 2025'!C292)</f>
        <v/>
      </c>
      <c r="D292" s="1" t="str">
        <f>IF('1.1 Produksi Bersih Padi 2025'!D292="","",'1.1 Produksi Bersih Padi 2025'!D292)</f>
        <v/>
      </c>
      <c r="E292" s="1" t="str">
        <f>IF('1.1 Produksi Bersih Padi 2025'!E292="","",'1.1 Produksi Bersih Padi 2025'!E292)</f>
        <v/>
      </c>
      <c r="F292" s="28" t="str">
        <f>IF(D292="","",VLOOKUP(D292,'[1]0.1 Produksi Pangan &amp; Penduduk'!$D$5:$AK$860,34,0))</f>
        <v/>
      </c>
      <c r="G292" s="29" t="str">
        <f t="shared" si="20"/>
        <v/>
      </c>
      <c r="H292" s="29" t="str">
        <f t="shared" si="21"/>
        <v/>
      </c>
      <c r="I292" s="29" t="str">
        <f t="shared" si="22"/>
        <v/>
      </c>
      <c r="J292" s="29" t="str">
        <f t="shared" si="23"/>
        <v/>
      </c>
      <c r="K292" s="29" t="str">
        <f t="shared" si="24"/>
        <v/>
      </c>
      <c r="M292" s="11"/>
    </row>
    <row r="293" spans="1:13" ht="15" x14ac:dyDescent="0.25">
      <c r="A293" s="1" t="str">
        <f>IF('1.1 Produksi Bersih Padi 2025'!A293="","",'1.1 Produksi Bersih Padi 2025'!A293)</f>
        <v/>
      </c>
      <c r="B293" s="31" t="str">
        <f>IF('1.1 Produksi Bersih Padi 2025'!B293="","",'1.1 Produksi Bersih Padi 2025'!B293)</f>
        <v/>
      </c>
      <c r="C293" s="31" t="str">
        <f>IF('1.1 Produksi Bersih Padi 2025'!C293="","",'1.1 Produksi Bersih Padi 2025'!C293)</f>
        <v/>
      </c>
      <c r="D293" s="1" t="str">
        <f>IF('1.1 Produksi Bersih Padi 2025'!D293="","",'1.1 Produksi Bersih Padi 2025'!D293)</f>
        <v/>
      </c>
      <c r="E293" s="1" t="str">
        <f>IF('1.1 Produksi Bersih Padi 2025'!E293="","",'1.1 Produksi Bersih Padi 2025'!E293)</f>
        <v/>
      </c>
      <c r="F293" s="28" t="str">
        <f>IF(D293="","",VLOOKUP(D293,'[1]0.1 Produksi Pangan &amp; Penduduk'!$D$5:$AK$860,34,0))</f>
        <v/>
      </c>
      <c r="G293" s="29" t="str">
        <f t="shared" si="20"/>
        <v/>
      </c>
      <c r="H293" s="29" t="str">
        <f t="shared" si="21"/>
        <v/>
      </c>
      <c r="I293" s="29" t="str">
        <f t="shared" si="22"/>
        <v/>
      </c>
      <c r="J293" s="29" t="str">
        <f t="shared" si="23"/>
        <v/>
      </c>
      <c r="K293" s="29" t="str">
        <f t="shared" si="24"/>
        <v/>
      </c>
      <c r="M293" s="11"/>
    </row>
    <row r="294" spans="1:13" ht="15" x14ac:dyDescent="0.25">
      <c r="A294" s="1" t="str">
        <f>IF('1.1 Produksi Bersih Padi 2025'!A294="","",'1.1 Produksi Bersih Padi 2025'!A294)</f>
        <v/>
      </c>
      <c r="B294" s="31" t="str">
        <f>IF('1.1 Produksi Bersih Padi 2025'!B294="","",'1.1 Produksi Bersih Padi 2025'!B294)</f>
        <v/>
      </c>
      <c r="C294" s="31" t="str">
        <f>IF('1.1 Produksi Bersih Padi 2025'!C294="","",'1.1 Produksi Bersih Padi 2025'!C294)</f>
        <v/>
      </c>
      <c r="D294" s="1" t="str">
        <f>IF('1.1 Produksi Bersih Padi 2025'!D294="","",'1.1 Produksi Bersih Padi 2025'!D294)</f>
        <v/>
      </c>
      <c r="E294" s="1" t="str">
        <f>IF('1.1 Produksi Bersih Padi 2025'!E294="","",'1.1 Produksi Bersih Padi 2025'!E294)</f>
        <v/>
      </c>
      <c r="F294" s="28" t="str">
        <f>IF(D294="","",VLOOKUP(D294,'[1]0.1 Produksi Pangan &amp; Penduduk'!$D$5:$AK$860,34,0))</f>
        <v/>
      </c>
      <c r="G294" s="29" t="str">
        <f t="shared" si="20"/>
        <v/>
      </c>
      <c r="H294" s="29" t="str">
        <f t="shared" si="21"/>
        <v/>
      </c>
      <c r="I294" s="29" t="str">
        <f t="shared" si="22"/>
        <v/>
      </c>
      <c r="J294" s="29" t="str">
        <f t="shared" si="23"/>
        <v/>
      </c>
      <c r="K294" s="29" t="str">
        <f t="shared" si="24"/>
        <v/>
      </c>
      <c r="M294" s="11"/>
    </row>
    <row r="295" spans="1:13" ht="15" x14ac:dyDescent="0.25">
      <c r="A295" s="1" t="str">
        <f>IF('1.1 Produksi Bersih Padi 2025'!A295="","",'1.1 Produksi Bersih Padi 2025'!A295)</f>
        <v/>
      </c>
      <c r="B295" s="31" t="str">
        <f>IF('1.1 Produksi Bersih Padi 2025'!B295="","",'1.1 Produksi Bersih Padi 2025'!B295)</f>
        <v/>
      </c>
      <c r="C295" s="31" t="str">
        <f>IF('1.1 Produksi Bersih Padi 2025'!C295="","",'1.1 Produksi Bersih Padi 2025'!C295)</f>
        <v/>
      </c>
      <c r="D295" s="1" t="str">
        <f>IF('1.1 Produksi Bersih Padi 2025'!D295="","",'1.1 Produksi Bersih Padi 2025'!D295)</f>
        <v/>
      </c>
      <c r="E295" s="1" t="str">
        <f>IF('1.1 Produksi Bersih Padi 2025'!E295="","",'1.1 Produksi Bersih Padi 2025'!E295)</f>
        <v/>
      </c>
      <c r="F295" s="28" t="str">
        <f>IF(D295="","",VLOOKUP(D295,'[1]0.1 Produksi Pangan &amp; Penduduk'!$D$5:$AK$860,34,0))</f>
        <v/>
      </c>
      <c r="G295" s="29" t="str">
        <f t="shared" si="20"/>
        <v/>
      </c>
      <c r="H295" s="29" t="str">
        <f t="shared" si="21"/>
        <v/>
      </c>
      <c r="I295" s="29" t="str">
        <f t="shared" si="22"/>
        <v/>
      </c>
      <c r="J295" s="29" t="str">
        <f t="shared" si="23"/>
        <v/>
      </c>
      <c r="K295" s="29" t="str">
        <f t="shared" si="24"/>
        <v/>
      </c>
      <c r="M295" s="11"/>
    </row>
    <row r="296" spans="1:13" ht="15" x14ac:dyDescent="0.25">
      <c r="A296" s="1" t="str">
        <f>IF('1.1 Produksi Bersih Padi 2025'!A296="","",'1.1 Produksi Bersih Padi 2025'!A296)</f>
        <v/>
      </c>
      <c r="B296" s="31" t="str">
        <f>IF('1.1 Produksi Bersih Padi 2025'!B296="","",'1.1 Produksi Bersih Padi 2025'!B296)</f>
        <v/>
      </c>
      <c r="C296" s="31" t="str">
        <f>IF('1.1 Produksi Bersih Padi 2025'!C296="","",'1.1 Produksi Bersih Padi 2025'!C296)</f>
        <v/>
      </c>
      <c r="D296" s="1" t="str">
        <f>IF('1.1 Produksi Bersih Padi 2025'!D296="","",'1.1 Produksi Bersih Padi 2025'!D296)</f>
        <v/>
      </c>
      <c r="E296" s="1" t="str">
        <f>IF('1.1 Produksi Bersih Padi 2025'!E296="","",'1.1 Produksi Bersih Padi 2025'!E296)</f>
        <v/>
      </c>
      <c r="F296" s="28" t="str">
        <f>IF(D296="","",VLOOKUP(D296,'[1]0.1 Produksi Pangan &amp; Penduduk'!$D$5:$AK$860,34,0))</f>
        <v/>
      </c>
      <c r="G296" s="29" t="str">
        <f t="shared" si="20"/>
        <v/>
      </c>
      <c r="H296" s="29" t="str">
        <f t="shared" si="21"/>
        <v/>
      </c>
      <c r="I296" s="29" t="str">
        <f t="shared" si="22"/>
        <v/>
      </c>
      <c r="J296" s="29" t="str">
        <f t="shared" si="23"/>
        <v/>
      </c>
      <c r="K296" s="29" t="str">
        <f t="shared" si="24"/>
        <v/>
      </c>
      <c r="M296" s="11"/>
    </row>
    <row r="297" spans="1:13" ht="15" x14ac:dyDescent="0.25">
      <c r="A297" s="1" t="str">
        <f>IF('1.1 Produksi Bersih Padi 2025'!A297="","",'1.1 Produksi Bersih Padi 2025'!A297)</f>
        <v/>
      </c>
      <c r="B297" s="31" t="str">
        <f>IF('1.1 Produksi Bersih Padi 2025'!B297="","",'1.1 Produksi Bersih Padi 2025'!B297)</f>
        <v/>
      </c>
      <c r="C297" s="31" t="str">
        <f>IF('1.1 Produksi Bersih Padi 2025'!C297="","",'1.1 Produksi Bersih Padi 2025'!C297)</f>
        <v/>
      </c>
      <c r="D297" s="1" t="str">
        <f>IF('1.1 Produksi Bersih Padi 2025'!D297="","",'1.1 Produksi Bersih Padi 2025'!D297)</f>
        <v/>
      </c>
      <c r="E297" s="1" t="str">
        <f>IF('1.1 Produksi Bersih Padi 2025'!E297="","",'1.1 Produksi Bersih Padi 2025'!E297)</f>
        <v/>
      </c>
      <c r="F297" s="28" t="str">
        <f>IF(D297="","",VLOOKUP(D297,'[1]0.1 Produksi Pangan &amp; Penduduk'!$D$5:$AK$860,34,0))</f>
        <v/>
      </c>
      <c r="G297" s="29" t="str">
        <f t="shared" si="20"/>
        <v/>
      </c>
      <c r="H297" s="29" t="str">
        <f t="shared" si="21"/>
        <v/>
      </c>
      <c r="I297" s="29" t="str">
        <f t="shared" si="22"/>
        <v/>
      </c>
      <c r="J297" s="29" t="str">
        <f t="shared" si="23"/>
        <v/>
      </c>
      <c r="K297" s="29" t="str">
        <f t="shared" si="24"/>
        <v/>
      </c>
      <c r="M297" s="11"/>
    </row>
    <row r="298" spans="1:13" ht="15" x14ac:dyDescent="0.25">
      <c r="A298" s="1" t="str">
        <f>IF('1.1 Produksi Bersih Padi 2025'!A298="","",'1.1 Produksi Bersih Padi 2025'!A298)</f>
        <v/>
      </c>
      <c r="B298" s="31" t="str">
        <f>IF('1.1 Produksi Bersih Padi 2025'!B298="","",'1.1 Produksi Bersih Padi 2025'!B298)</f>
        <v/>
      </c>
      <c r="C298" s="31" t="str">
        <f>IF('1.1 Produksi Bersih Padi 2025'!C298="","",'1.1 Produksi Bersih Padi 2025'!C298)</f>
        <v/>
      </c>
      <c r="D298" s="1" t="str">
        <f>IF('1.1 Produksi Bersih Padi 2025'!D298="","",'1.1 Produksi Bersih Padi 2025'!D298)</f>
        <v/>
      </c>
      <c r="E298" s="1" t="str">
        <f>IF('1.1 Produksi Bersih Padi 2025'!E298="","",'1.1 Produksi Bersih Padi 2025'!E298)</f>
        <v/>
      </c>
      <c r="F298" s="28" t="str">
        <f>IF(D298="","",VLOOKUP(D298,'[1]0.1 Produksi Pangan &amp; Penduduk'!$D$5:$AK$860,34,0))</f>
        <v/>
      </c>
      <c r="G298" s="29" t="str">
        <f t="shared" si="20"/>
        <v/>
      </c>
      <c r="H298" s="29" t="str">
        <f t="shared" si="21"/>
        <v/>
      </c>
      <c r="I298" s="29" t="str">
        <f t="shared" si="22"/>
        <v/>
      </c>
      <c r="J298" s="29" t="str">
        <f t="shared" si="23"/>
        <v/>
      </c>
      <c r="K298" s="29" t="str">
        <f t="shared" si="24"/>
        <v/>
      </c>
      <c r="M298" s="11"/>
    </row>
    <row r="299" spans="1:13" ht="15" x14ac:dyDescent="0.25">
      <c r="A299" s="1" t="str">
        <f>IF('1.1 Produksi Bersih Padi 2025'!A299="","",'1.1 Produksi Bersih Padi 2025'!A299)</f>
        <v/>
      </c>
      <c r="B299" s="31" t="str">
        <f>IF('1.1 Produksi Bersih Padi 2025'!B299="","",'1.1 Produksi Bersih Padi 2025'!B299)</f>
        <v/>
      </c>
      <c r="C299" s="31" t="str">
        <f>IF('1.1 Produksi Bersih Padi 2025'!C299="","",'1.1 Produksi Bersih Padi 2025'!C299)</f>
        <v/>
      </c>
      <c r="D299" s="1" t="str">
        <f>IF('1.1 Produksi Bersih Padi 2025'!D299="","",'1.1 Produksi Bersih Padi 2025'!D299)</f>
        <v/>
      </c>
      <c r="E299" s="1" t="str">
        <f>IF('1.1 Produksi Bersih Padi 2025'!E299="","",'1.1 Produksi Bersih Padi 2025'!E299)</f>
        <v/>
      </c>
      <c r="F299" s="28" t="str">
        <f>IF(D299="","",VLOOKUP(D299,'[1]0.1 Produksi Pangan &amp; Penduduk'!$D$5:$AK$860,34,0))</f>
        <v/>
      </c>
      <c r="G299" s="29" t="str">
        <f t="shared" si="20"/>
        <v/>
      </c>
      <c r="H299" s="29" t="str">
        <f t="shared" si="21"/>
        <v/>
      </c>
      <c r="I299" s="29" t="str">
        <f t="shared" si="22"/>
        <v/>
      </c>
      <c r="J299" s="29" t="str">
        <f t="shared" si="23"/>
        <v/>
      </c>
      <c r="K299" s="29" t="str">
        <f t="shared" si="24"/>
        <v/>
      </c>
      <c r="M299" s="11"/>
    </row>
    <row r="300" spans="1:13" ht="15" x14ac:dyDescent="0.25">
      <c r="A300" s="1" t="str">
        <f>IF('1.1 Produksi Bersih Padi 2025'!A300="","",'1.1 Produksi Bersih Padi 2025'!A300)</f>
        <v/>
      </c>
      <c r="B300" s="31" t="str">
        <f>IF('1.1 Produksi Bersih Padi 2025'!B300="","",'1.1 Produksi Bersih Padi 2025'!B300)</f>
        <v/>
      </c>
      <c r="C300" s="31" t="str">
        <f>IF('1.1 Produksi Bersih Padi 2025'!C300="","",'1.1 Produksi Bersih Padi 2025'!C300)</f>
        <v/>
      </c>
      <c r="D300" s="1" t="str">
        <f>IF('1.1 Produksi Bersih Padi 2025'!D300="","",'1.1 Produksi Bersih Padi 2025'!D300)</f>
        <v/>
      </c>
      <c r="E300" s="1" t="str">
        <f>IF('1.1 Produksi Bersih Padi 2025'!E300="","",'1.1 Produksi Bersih Padi 2025'!E300)</f>
        <v/>
      </c>
      <c r="F300" s="28" t="str">
        <f>IF(D300="","",VLOOKUP(D300,'[1]0.1 Produksi Pangan &amp; Penduduk'!$D$5:$AK$860,34,0))</f>
        <v/>
      </c>
      <c r="G300" s="29" t="str">
        <f t="shared" si="20"/>
        <v/>
      </c>
      <c r="H300" s="29" t="str">
        <f t="shared" si="21"/>
        <v/>
      </c>
      <c r="I300" s="29" t="str">
        <f t="shared" si="22"/>
        <v/>
      </c>
      <c r="J300" s="29" t="str">
        <f t="shared" si="23"/>
        <v/>
      </c>
      <c r="K300" s="29" t="str">
        <f t="shared" si="24"/>
        <v/>
      </c>
      <c r="M300" s="11"/>
    </row>
    <row r="301" spans="1:13" ht="15" x14ac:dyDescent="0.25">
      <c r="A301" s="1" t="str">
        <f>IF('1.1 Produksi Bersih Padi 2025'!A301="","",'1.1 Produksi Bersih Padi 2025'!A301)</f>
        <v/>
      </c>
      <c r="B301" s="31" t="str">
        <f>IF('1.1 Produksi Bersih Padi 2025'!B301="","",'1.1 Produksi Bersih Padi 2025'!B301)</f>
        <v/>
      </c>
      <c r="C301" s="31" t="str">
        <f>IF('1.1 Produksi Bersih Padi 2025'!C301="","",'1.1 Produksi Bersih Padi 2025'!C301)</f>
        <v/>
      </c>
      <c r="D301" s="1" t="str">
        <f>IF('1.1 Produksi Bersih Padi 2025'!D301="","",'1.1 Produksi Bersih Padi 2025'!D301)</f>
        <v/>
      </c>
      <c r="E301" s="1" t="str">
        <f>IF('1.1 Produksi Bersih Padi 2025'!E301="","",'1.1 Produksi Bersih Padi 2025'!E301)</f>
        <v/>
      </c>
      <c r="F301" s="28" t="str">
        <f>IF(D301="","",VLOOKUP(D301,'[1]0.1 Produksi Pangan &amp; Penduduk'!$D$5:$AK$860,34,0))</f>
        <v/>
      </c>
      <c r="G301" s="29" t="str">
        <f t="shared" si="20"/>
        <v/>
      </c>
      <c r="H301" s="29" t="str">
        <f t="shared" si="21"/>
        <v/>
      </c>
      <c r="I301" s="29" t="str">
        <f t="shared" si="22"/>
        <v/>
      </c>
      <c r="J301" s="29" t="str">
        <f t="shared" si="23"/>
        <v/>
      </c>
      <c r="K301" s="29" t="str">
        <f t="shared" si="24"/>
        <v/>
      </c>
      <c r="M301" s="11"/>
    </row>
    <row r="302" spans="1:13" ht="15" x14ac:dyDescent="0.25">
      <c r="A302" s="1" t="str">
        <f>IF('1.1 Produksi Bersih Padi 2025'!A302="","",'1.1 Produksi Bersih Padi 2025'!A302)</f>
        <v/>
      </c>
      <c r="B302" s="31" t="str">
        <f>IF('1.1 Produksi Bersih Padi 2025'!B302="","",'1.1 Produksi Bersih Padi 2025'!B302)</f>
        <v/>
      </c>
      <c r="C302" s="31" t="str">
        <f>IF('1.1 Produksi Bersih Padi 2025'!C302="","",'1.1 Produksi Bersih Padi 2025'!C302)</f>
        <v/>
      </c>
      <c r="D302" s="1" t="str">
        <f>IF('1.1 Produksi Bersih Padi 2025'!D302="","",'1.1 Produksi Bersih Padi 2025'!D302)</f>
        <v/>
      </c>
      <c r="E302" s="1" t="str">
        <f>IF('1.1 Produksi Bersih Padi 2025'!E302="","",'1.1 Produksi Bersih Padi 2025'!E302)</f>
        <v/>
      </c>
      <c r="F302" s="28" t="str">
        <f>IF(D302="","",VLOOKUP(D302,'[1]0.1 Produksi Pangan &amp; Penduduk'!$D$5:$AK$860,34,0))</f>
        <v/>
      </c>
      <c r="G302" s="29" t="str">
        <f t="shared" si="20"/>
        <v/>
      </c>
      <c r="H302" s="29" t="str">
        <f t="shared" si="21"/>
        <v/>
      </c>
      <c r="I302" s="29" t="str">
        <f t="shared" si="22"/>
        <v/>
      </c>
      <c r="J302" s="29" t="str">
        <f t="shared" si="23"/>
        <v/>
      </c>
      <c r="K302" s="29" t="str">
        <f t="shared" si="24"/>
        <v/>
      </c>
      <c r="M302" s="11"/>
    </row>
    <row r="303" spans="1:13" ht="15" x14ac:dyDescent="0.25">
      <c r="A303" s="1" t="str">
        <f>IF('1.1 Produksi Bersih Padi 2025'!A303="","",'1.1 Produksi Bersih Padi 2025'!A303)</f>
        <v/>
      </c>
      <c r="B303" s="31" t="str">
        <f>IF('1.1 Produksi Bersih Padi 2025'!B303="","",'1.1 Produksi Bersih Padi 2025'!B303)</f>
        <v/>
      </c>
      <c r="C303" s="31" t="str">
        <f>IF('1.1 Produksi Bersih Padi 2025'!C303="","",'1.1 Produksi Bersih Padi 2025'!C303)</f>
        <v/>
      </c>
      <c r="D303" s="1" t="str">
        <f>IF('1.1 Produksi Bersih Padi 2025'!D303="","",'1.1 Produksi Bersih Padi 2025'!D303)</f>
        <v/>
      </c>
      <c r="E303" s="1" t="str">
        <f>IF('1.1 Produksi Bersih Padi 2025'!E303="","",'1.1 Produksi Bersih Padi 2025'!E303)</f>
        <v/>
      </c>
      <c r="F303" s="28" t="str">
        <f>IF(D303="","",VLOOKUP(D303,'[1]0.1 Produksi Pangan &amp; Penduduk'!$D$5:$AK$860,34,0))</f>
        <v/>
      </c>
      <c r="G303" s="29" t="str">
        <f t="shared" si="20"/>
        <v/>
      </c>
      <c r="H303" s="29" t="str">
        <f t="shared" si="21"/>
        <v/>
      </c>
      <c r="I303" s="29" t="str">
        <f t="shared" si="22"/>
        <v/>
      </c>
      <c r="J303" s="29" t="str">
        <f t="shared" si="23"/>
        <v/>
      </c>
      <c r="K303" s="29" t="str">
        <f t="shared" si="24"/>
        <v/>
      </c>
      <c r="M303" s="11"/>
    </row>
    <row r="304" spans="1:13" ht="15" x14ac:dyDescent="0.25">
      <c r="A304" s="1" t="str">
        <f>IF('1.1 Produksi Bersih Padi 2025'!A304="","",'1.1 Produksi Bersih Padi 2025'!A304)</f>
        <v/>
      </c>
      <c r="B304" s="31" t="str">
        <f>IF('1.1 Produksi Bersih Padi 2025'!B304="","",'1.1 Produksi Bersih Padi 2025'!B304)</f>
        <v/>
      </c>
      <c r="C304" s="31" t="str">
        <f>IF('1.1 Produksi Bersih Padi 2025'!C304="","",'1.1 Produksi Bersih Padi 2025'!C304)</f>
        <v/>
      </c>
      <c r="D304" s="1" t="str">
        <f>IF('1.1 Produksi Bersih Padi 2025'!D304="","",'1.1 Produksi Bersih Padi 2025'!D304)</f>
        <v/>
      </c>
      <c r="E304" s="1" t="str">
        <f>IF('1.1 Produksi Bersih Padi 2025'!E304="","",'1.1 Produksi Bersih Padi 2025'!E304)</f>
        <v/>
      </c>
      <c r="F304" s="28" t="str">
        <f>IF(D304="","",VLOOKUP(D304,'[1]0.1 Produksi Pangan &amp; Penduduk'!$D$5:$AK$860,34,0))</f>
        <v/>
      </c>
      <c r="G304" s="29" t="str">
        <f t="shared" si="20"/>
        <v/>
      </c>
      <c r="H304" s="29" t="str">
        <f t="shared" si="21"/>
        <v/>
      </c>
      <c r="I304" s="29" t="str">
        <f t="shared" si="22"/>
        <v/>
      </c>
      <c r="J304" s="29" t="str">
        <f t="shared" si="23"/>
        <v/>
      </c>
      <c r="K304" s="29" t="str">
        <f t="shared" si="24"/>
        <v/>
      </c>
      <c r="M304" s="11"/>
    </row>
    <row r="305" spans="1:13" ht="15" x14ac:dyDescent="0.25">
      <c r="A305" s="1" t="str">
        <f>IF('1.1 Produksi Bersih Padi 2025'!A305="","",'1.1 Produksi Bersih Padi 2025'!A305)</f>
        <v/>
      </c>
      <c r="B305" s="31" t="str">
        <f>IF('1.1 Produksi Bersih Padi 2025'!B305="","",'1.1 Produksi Bersih Padi 2025'!B305)</f>
        <v/>
      </c>
      <c r="C305" s="31" t="str">
        <f>IF('1.1 Produksi Bersih Padi 2025'!C305="","",'1.1 Produksi Bersih Padi 2025'!C305)</f>
        <v/>
      </c>
      <c r="D305" s="1" t="str">
        <f>IF('1.1 Produksi Bersih Padi 2025'!D305="","",'1.1 Produksi Bersih Padi 2025'!D305)</f>
        <v/>
      </c>
      <c r="E305" s="1" t="str">
        <f>IF('1.1 Produksi Bersih Padi 2025'!E305="","",'1.1 Produksi Bersih Padi 2025'!E305)</f>
        <v/>
      </c>
      <c r="F305" s="28" t="str">
        <f>IF(D305="","",VLOOKUP(D305,'[1]0.1 Produksi Pangan &amp; Penduduk'!$D$5:$AK$860,34,0))</f>
        <v/>
      </c>
      <c r="G305" s="29" t="str">
        <f t="shared" si="20"/>
        <v/>
      </c>
      <c r="H305" s="29" t="str">
        <f t="shared" si="21"/>
        <v/>
      </c>
      <c r="I305" s="29" t="str">
        <f t="shared" si="22"/>
        <v/>
      </c>
      <c r="J305" s="29" t="str">
        <f t="shared" si="23"/>
        <v/>
      </c>
      <c r="K305" s="29" t="str">
        <f t="shared" si="24"/>
        <v/>
      </c>
      <c r="M305" s="11"/>
    </row>
    <row r="306" spans="1:13" ht="15" x14ac:dyDescent="0.25">
      <c r="A306" s="1" t="str">
        <f>IF('1.1 Produksi Bersih Padi 2025'!A306="","",'1.1 Produksi Bersih Padi 2025'!A306)</f>
        <v/>
      </c>
      <c r="B306" s="31" t="str">
        <f>IF('1.1 Produksi Bersih Padi 2025'!B306="","",'1.1 Produksi Bersih Padi 2025'!B306)</f>
        <v/>
      </c>
      <c r="C306" s="31" t="str">
        <f>IF('1.1 Produksi Bersih Padi 2025'!C306="","",'1.1 Produksi Bersih Padi 2025'!C306)</f>
        <v/>
      </c>
      <c r="D306" s="1" t="str">
        <f>IF('1.1 Produksi Bersih Padi 2025'!D306="","",'1.1 Produksi Bersih Padi 2025'!D306)</f>
        <v/>
      </c>
      <c r="E306" s="1" t="str">
        <f>IF('1.1 Produksi Bersih Padi 2025'!E306="","",'1.1 Produksi Bersih Padi 2025'!E306)</f>
        <v/>
      </c>
      <c r="F306" s="28" t="str">
        <f>IF(D306="","",VLOOKUP(D306,'[1]0.1 Produksi Pangan &amp; Penduduk'!$D$5:$AK$860,34,0))</f>
        <v/>
      </c>
      <c r="G306" s="29" t="str">
        <f t="shared" si="20"/>
        <v/>
      </c>
      <c r="H306" s="29" t="str">
        <f t="shared" si="21"/>
        <v/>
      </c>
      <c r="I306" s="29" t="str">
        <f t="shared" si="22"/>
        <v/>
      </c>
      <c r="J306" s="29" t="str">
        <f t="shared" si="23"/>
        <v/>
      </c>
      <c r="K306" s="29" t="str">
        <f t="shared" si="24"/>
        <v/>
      </c>
      <c r="M306" s="11"/>
    </row>
    <row r="307" spans="1:13" ht="15" x14ac:dyDescent="0.25">
      <c r="A307" s="1" t="str">
        <f>IF('1.1 Produksi Bersih Padi 2025'!A307="","",'1.1 Produksi Bersih Padi 2025'!A307)</f>
        <v/>
      </c>
      <c r="B307" s="31" t="str">
        <f>IF('1.1 Produksi Bersih Padi 2025'!B307="","",'1.1 Produksi Bersih Padi 2025'!B307)</f>
        <v/>
      </c>
      <c r="C307" s="31" t="str">
        <f>IF('1.1 Produksi Bersih Padi 2025'!C307="","",'1.1 Produksi Bersih Padi 2025'!C307)</f>
        <v/>
      </c>
      <c r="D307" s="1" t="str">
        <f>IF('1.1 Produksi Bersih Padi 2025'!D307="","",'1.1 Produksi Bersih Padi 2025'!D307)</f>
        <v/>
      </c>
      <c r="E307" s="1" t="str">
        <f>IF('1.1 Produksi Bersih Padi 2025'!E307="","",'1.1 Produksi Bersih Padi 2025'!E307)</f>
        <v/>
      </c>
      <c r="F307" s="28" t="str">
        <f>IF(D307="","",VLOOKUP(D307,'[1]0.1 Produksi Pangan &amp; Penduduk'!$D$5:$AK$860,34,0))</f>
        <v/>
      </c>
      <c r="G307" s="29" t="str">
        <f t="shared" si="20"/>
        <v/>
      </c>
      <c r="H307" s="29" t="str">
        <f t="shared" si="21"/>
        <v/>
      </c>
      <c r="I307" s="29" t="str">
        <f t="shared" si="22"/>
        <v/>
      </c>
      <c r="J307" s="29" t="str">
        <f t="shared" si="23"/>
        <v/>
      </c>
      <c r="K307" s="29" t="str">
        <f t="shared" si="24"/>
        <v/>
      </c>
      <c r="M307" s="11"/>
    </row>
    <row r="308" spans="1:13" ht="15" x14ac:dyDescent="0.25">
      <c r="A308" s="1" t="str">
        <f>IF('1.1 Produksi Bersih Padi 2025'!A308="","",'1.1 Produksi Bersih Padi 2025'!A308)</f>
        <v/>
      </c>
      <c r="B308" s="31" t="str">
        <f>IF('1.1 Produksi Bersih Padi 2025'!B308="","",'1.1 Produksi Bersih Padi 2025'!B308)</f>
        <v/>
      </c>
      <c r="C308" s="31" t="str">
        <f>IF('1.1 Produksi Bersih Padi 2025'!C308="","",'1.1 Produksi Bersih Padi 2025'!C308)</f>
        <v/>
      </c>
      <c r="D308" s="1" t="str">
        <f>IF('1.1 Produksi Bersih Padi 2025'!D308="","",'1.1 Produksi Bersih Padi 2025'!D308)</f>
        <v/>
      </c>
      <c r="E308" s="1" t="str">
        <f>IF('1.1 Produksi Bersih Padi 2025'!E308="","",'1.1 Produksi Bersih Padi 2025'!E308)</f>
        <v/>
      </c>
      <c r="F308" s="28" t="str">
        <f>IF(D308="","",VLOOKUP(D308,'[1]0.1 Produksi Pangan &amp; Penduduk'!$D$5:$AK$860,34,0))</f>
        <v/>
      </c>
      <c r="G308" s="29" t="str">
        <f t="shared" si="20"/>
        <v/>
      </c>
      <c r="H308" s="29" t="str">
        <f t="shared" si="21"/>
        <v/>
      </c>
      <c r="I308" s="29" t="str">
        <f t="shared" si="22"/>
        <v/>
      </c>
      <c r="J308" s="29" t="str">
        <f t="shared" si="23"/>
        <v/>
      </c>
      <c r="K308" s="29" t="str">
        <f t="shared" si="24"/>
        <v/>
      </c>
      <c r="M308" s="11"/>
    </row>
    <row r="309" spans="1:13" ht="15" x14ac:dyDescent="0.25">
      <c r="A309" s="1" t="str">
        <f>IF('1.1 Produksi Bersih Padi 2025'!A309="","",'1.1 Produksi Bersih Padi 2025'!A309)</f>
        <v/>
      </c>
      <c r="B309" s="31" t="str">
        <f>IF('1.1 Produksi Bersih Padi 2025'!B309="","",'1.1 Produksi Bersih Padi 2025'!B309)</f>
        <v/>
      </c>
      <c r="C309" s="31" t="str">
        <f>IF('1.1 Produksi Bersih Padi 2025'!C309="","",'1.1 Produksi Bersih Padi 2025'!C309)</f>
        <v/>
      </c>
      <c r="D309" s="1" t="str">
        <f>IF('1.1 Produksi Bersih Padi 2025'!D309="","",'1.1 Produksi Bersih Padi 2025'!D309)</f>
        <v/>
      </c>
      <c r="E309" s="1" t="str">
        <f>IF('1.1 Produksi Bersih Padi 2025'!E309="","",'1.1 Produksi Bersih Padi 2025'!E309)</f>
        <v/>
      </c>
      <c r="F309" s="28" t="str">
        <f>IF(D309="","",VLOOKUP(D309,'[1]0.1 Produksi Pangan &amp; Penduduk'!$D$5:$AK$860,34,0))</f>
        <v/>
      </c>
      <c r="G309" s="29" t="str">
        <f t="shared" si="20"/>
        <v/>
      </c>
      <c r="H309" s="29" t="str">
        <f t="shared" si="21"/>
        <v/>
      </c>
      <c r="I309" s="29" t="str">
        <f t="shared" si="22"/>
        <v/>
      </c>
      <c r="J309" s="29" t="str">
        <f t="shared" si="23"/>
        <v/>
      </c>
      <c r="K309" s="29" t="str">
        <f t="shared" si="24"/>
        <v/>
      </c>
      <c r="M309" s="11"/>
    </row>
    <row r="310" spans="1:13" ht="15" x14ac:dyDescent="0.25">
      <c r="A310" s="1" t="str">
        <f>IF('1.1 Produksi Bersih Padi 2025'!A310="","",'1.1 Produksi Bersih Padi 2025'!A310)</f>
        <v/>
      </c>
      <c r="B310" s="31" t="str">
        <f>IF('1.1 Produksi Bersih Padi 2025'!B310="","",'1.1 Produksi Bersih Padi 2025'!B310)</f>
        <v/>
      </c>
      <c r="C310" s="31" t="str">
        <f>IF('1.1 Produksi Bersih Padi 2025'!C310="","",'1.1 Produksi Bersih Padi 2025'!C310)</f>
        <v/>
      </c>
      <c r="D310" s="1" t="str">
        <f>IF('1.1 Produksi Bersih Padi 2025'!D310="","",'1.1 Produksi Bersih Padi 2025'!D310)</f>
        <v/>
      </c>
      <c r="E310" s="1" t="str">
        <f>IF('1.1 Produksi Bersih Padi 2025'!E310="","",'1.1 Produksi Bersih Padi 2025'!E310)</f>
        <v/>
      </c>
      <c r="F310" s="28" t="str">
        <f>IF(D310="","",VLOOKUP(D310,'[1]0.1 Produksi Pangan &amp; Penduduk'!$D$5:$AK$860,34,0))</f>
        <v/>
      </c>
      <c r="G310" s="29" t="str">
        <f t="shared" si="20"/>
        <v/>
      </c>
      <c r="H310" s="29" t="str">
        <f t="shared" si="21"/>
        <v/>
      </c>
      <c r="I310" s="29" t="str">
        <f t="shared" si="22"/>
        <v/>
      </c>
      <c r="J310" s="29" t="str">
        <f t="shared" si="23"/>
        <v/>
      </c>
      <c r="K310" s="29" t="str">
        <f t="shared" si="24"/>
        <v/>
      </c>
      <c r="M310" s="11"/>
    </row>
    <row r="311" spans="1:13" ht="15" x14ac:dyDescent="0.25">
      <c r="A311" s="1" t="str">
        <f>IF('1.1 Produksi Bersih Padi 2025'!A311="","",'1.1 Produksi Bersih Padi 2025'!A311)</f>
        <v/>
      </c>
      <c r="B311" s="31" t="str">
        <f>IF('1.1 Produksi Bersih Padi 2025'!B311="","",'1.1 Produksi Bersih Padi 2025'!B311)</f>
        <v/>
      </c>
      <c r="C311" s="31" t="str">
        <f>IF('1.1 Produksi Bersih Padi 2025'!C311="","",'1.1 Produksi Bersih Padi 2025'!C311)</f>
        <v/>
      </c>
      <c r="D311" s="1" t="str">
        <f>IF('1.1 Produksi Bersih Padi 2025'!D311="","",'1.1 Produksi Bersih Padi 2025'!D311)</f>
        <v/>
      </c>
      <c r="E311" s="1" t="str">
        <f>IF('1.1 Produksi Bersih Padi 2025'!E311="","",'1.1 Produksi Bersih Padi 2025'!E311)</f>
        <v/>
      </c>
      <c r="F311" s="28" t="str">
        <f>IF(D311="","",VLOOKUP(D311,'[1]0.1 Produksi Pangan &amp; Penduduk'!$D$5:$AK$860,34,0))</f>
        <v/>
      </c>
      <c r="G311" s="29" t="str">
        <f t="shared" si="20"/>
        <v/>
      </c>
      <c r="H311" s="29" t="str">
        <f t="shared" si="21"/>
        <v/>
      </c>
      <c r="I311" s="29" t="str">
        <f t="shared" si="22"/>
        <v/>
      </c>
      <c r="J311" s="29" t="str">
        <f t="shared" si="23"/>
        <v/>
      </c>
      <c r="K311" s="29" t="str">
        <f t="shared" si="24"/>
        <v/>
      </c>
      <c r="M311" s="11"/>
    </row>
    <row r="312" spans="1:13" ht="15" x14ac:dyDescent="0.25">
      <c r="A312" s="1" t="str">
        <f>IF('1.1 Produksi Bersih Padi 2025'!A312="","",'1.1 Produksi Bersih Padi 2025'!A312)</f>
        <v/>
      </c>
      <c r="B312" s="31" t="str">
        <f>IF('1.1 Produksi Bersih Padi 2025'!B312="","",'1.1 Produksi Bersih Padi 2025'!B312)</f>
        <v/>
      </c>
      <c r="C312" s="31" t="str">
        <f>IF('1.1 Produksi Bersih Padi 2025'!C312="","",'1.1 Produksi Bersih Padi 2025'!C312)</f>
        <v/>
      </c>
      <c r="D312" s="1" t="str">
        <f>IF('1.1 Produksi Bersih Padi 2025'!D312="","",'1.1 Produksi Bersih Padi 2025'!D312)</f>
        <v/>
      </c>
      <c r="E312" s="1" t="str">
        <f>IF('1.1 Produksi Bersih Padi 2025'!E312="","",'1.1 Produksi Bersih Padi 2025'!E312)</f>
        <v/>
      </c>
      <c r="F312" s="28" t="str">
        <f>IF(D312="","",VLOOKUP(D312,'[1]0.1 Produksi Pangan &amp; Penduduk'!$D$5:$AK$860,34,0))</f>
        <v/>
      </c>
      <c r="G312" s="29" t="str">
        <f t="shared" si="20"/>
        <v/>
      </c>
      <c r="H312" s="29" t="str">
        <f t="shared" si="21"/>
        <v/>
      </c>
      <c r="I312" s="29" t="str">
        <f t="shared" si="22"/>
        <v/>
      </c>
      <c r="J312" s="29" t="str">
        <f t="shared" si="23"/>
        <v/>
      </c>
      <c r="K312" s="29" t="str">
        <f t="shared" si="24"/>
        <v/>
      </c>
      <c r="M312" s="11"/>
    </row>
    <row r="313" spans="1:13" ht="15" x14ac:dyDescent="0.25">
      <c r="A313" s="1" t="str">
        <f>IF('1.1 Produksi Bersih Padi 2025'!A313="","",'1.1 Produksi Bersih Padi 2025'!A313)</f>
        <v/>
      </c>
      <c r="B313" s="31" t="str">
        <f>IF('1.1 Produksi Bersih Padi 2025'!B313="","",'1.1 Produksi Bersih Padi 2025'!B313)</f>
        <v/>
      </c>
      <c r="C313" s="31" t="str">
        <f>IF('1.1 Produksi Bersih Padi 2025'!C313="","",'1.1 Produksi Bersih Padi 2025'!C313)</f>
        <v/>
      </c>
      <c r="D313" s="1" t="str">
        <f>IF('1.1 Produksi Bersih Padi 2025'!D313="","",'1.1 Produksi Bersih Padi 2025'!D313)</f>
        <v/>
      </c>
      <c r="E313" s="1" t="str">
        <f>IF('1.1 Produksi Bersih Padi 2025'!E313="","",'1.1 Produksi Bersih Padi 2025'!E313)</f>
        <v/>
      </c>
      <c r="F313" s="28" t="str">
        <f>IF(D313="","",VLOOKUP(D313,'[1]0.1 Produksi Pangan &amp; Penduduk'!$D$5:$AK$860,34,0))</f>
        <v/>
      </c>
      <c r="G313" s="29" t="str">
        <f t="shared" si="20"/>
        <v/>
      </c>
      <c r="H313" s="29" t="str">
        <f t="shared" si="21"/>
        <v/>
      </c>
      <c r="I313" s="29" t="str">
        <f t="shared" si="22"/>
        <v/>
      </c>
      <c r="J313" s="29" t="str">
        <f t="shared" si="23"/>
        <v/>
      </c>
      <c r="K313" s="29" t="str">
        <f t="shared" si="24"/>
        <v/>
      </c>
      <c r="M313" s="11"/>
    </row>
    <row r="314" spans="1:13" ht="15" x14ac:dyDescent="0.25">
      <c r="A314" s="1" t="str">
        <f>IF('1.1 Produksi Bersih Padi 2025'!A314="","",'1.1 Produksi Bersih Padi 2025'!A314)</f>
        <v/>
      </c>
      <c r="B314" s="31" t="str">
        <f>IF('1.1 Produksi Bersih Padi 2025'!B314="","",'1.1 Produksi Bersih Padi 2025'!B314)</f>
        <v/>
      </c>
      <c r="C314" s="31" t="str">
        <f>IF('1.1 Produksi Bersih Padi 2025'!C314="","",'1.1 Produksi Bersih Padi 2025'!C314)</f>
        <v/>
      </c>
      <c r="D314" s="1" t="str">
        <f>IF('1.1 Produksi Bersih Padi 2025'!D314="","",'1.1 Produksi Bersih Padi 2025'!D314)</f>
        <v/>
      </c>
      <c r="E314" s="1" t="str">
        <f>IF('1.1 Produksi Bersih Padi 2025'!E314="","",'1.1 Produksi Bersih Padi 2025'!E314)</f>
        <v/>
      </c>
      <c r="F314" s="28" t="str">
        <f>IF(D314="","",VLOOKUP(D314,'[1]0.1 Produksi Pangan &amp; Penduduk'!$D$5:$AK$860,34,0))</f>
        <v/>
      </c>
      <c r="G314" s="29" t="str">
        <f t="shared" si="20"/>
        <v/>
      </c>
      <c r="H314" s="29" t="str">
        <f t="shared" si="21"/>
        <v/>
      </c>
      <c r="I314" s="29" t="str">
        <f t="shared" si="22"/>
        <v/>
      </c>
      <c r="J314" s="29" t="str">
        <f t="shared" si="23"/>
        <v/>
      </c>
      <c r="K314" s="29" t="str">
        <f t="shared" si="24"/>
        <v/>
      </c>
      <c r="M314" s="11"/>
    </row>
    <row r="315" spans="1:13" ht="15" x14ac:dyDescent="0.25">
      <c r="A315" s="1" t="str">
        <f>IF('1.1 Produksi Bersih Padi 2025'!A315="","",'1.1 Produksi Bersih Padi 2025'!A315)</f>
        <v/>
      </c>
      <c r="B315" s="31" t="str">
        <f>IF('1.1 Produksi Bersih Padi 2025'!B315="","",'1.1 Produksi Bersih Padi 2025'!B315)</f>
        <v/>
      </c>
      <c r="C315" s="31" t="str">
        <f>IF('1.1 Produksi Bersih Padi 2025'!C315="","",'1.1 Produksi Bersih Padi 2025'!C315)</f>
        <v/>
      </c>
      <c r="D315" s="1" t="str">
        <f>IF('1.1 Produksi Bersih Padi 2025'!D315="","",'1.1 Produksi Bersih Padi 2025'!D315)</f>
        <v/>
      </c>
      <c r="E315" s="1" t="str">
        <f>IF('1.1 Produksi Bersih Padi 2025'!E315="","",'1.1 Produksi Bersih Padi 2025'!E315)</f>
        <v/>
      </c>
      <c r="F315" s="28" t="str">
        <f>IF(D315="","",VLOOKUP(D315,'[1]0.1 Produksi Pangan &amp; Penduduk'!$D$5:$AK$860,34,0))</f>
        <v/>
      </c>
      <c r="G315" s="29" t="str">
        <f t="shared" si="20"/>
        <v/>
      </c>
      <c r="H315" s="29" t="str">
        <f t="shared" si="21"/>
        <v/>
      </c>
      <c r="I315" s="29" t="str">
        <f t="shared" si="22"/>
        <v/>
      </c>
      <c r="J315" s="29" t="str">
        <f t="shared" si="23"/>
        <v/>
      </c>
      <c r="K315" s="29" t="str">
        <f t="shared" si="24"/>
        <v/>
      </c>
      <c r="M315" s="11"/>
    </row>
    <row r="316" spans="1:13" ht="15" x14ac:dyDescent="0.25">
      <c r="A316" s="1" t="str">
        <f>IF('1.1 Produksi Bersih Padi 2025'!A316="","",'1.1 Produksi Bersih Padi 2025'!A316)</f>
        <v/>
      </c>
      <c r="B316" s="31" t="str">
        <f>IF('1.1 Produksi Bersih Padi 2025'!B316="","",'1.1 Produksi Bersih Padi 2025'!B316)</f>
        <v/>
      </c>
      <c r="C316" s="31" t="str">
        <f>IF('1.1 Produksi Bersih Padi 2025'!C316="","",'1.1 Produksi Bersih Padi 2025'!C316)</f>
        <v/>
      </c>
      <c r="D316" s="1" t="str">
        <f>IF('1.1 Produksi Bersih Padi 2025'!D316="","",'1.1 Produksi Bersih Padi 2025'!D316)</f>
        <v/>
      </c>
      <c r="E316" s="1" t="str">
        <f>IF('1.1 Produksi Bersih Padi 2025'!E316="","",'1.1 Produksi Bersih Padi 2025'!E316)</f>
        <v/>
      </c>
      <c r="F316" s="28" t="str">
        <f>IF(D316="","",VLOOKUP(D316,'[1]0.1 Produksi Pangan &amp; Penduduk'!$D$5:$AK$860,34,0))</f>
        <v/>
      </c>
      <c r="G316" s="29" t="str">
        <f t="shared" si="20"/>
        <v/>
      </c>
      <c r="H316" s="29" t="str">
        <f t="shared" si="21"/>
        <v/>
      </c>
      <c r="I316" s="29" t="str">
        <f t="shared" si="22"/>
        <v/>
      </c>
      <c r="J316" s="29" t="str">
        <f t="shared" si="23"/>
        <v/>
      </c>
      <c r="K316" s="29" t="str">
        <f t="shared" si="24"/>
        <v/>
      </c>
      <c r="M316" s="11"/>
    </row>
    <row r="317" spans="1:13" ht="15" x14ac:dyDescent="0.25">
      <c r="A317" s="1" t="str">
        <f>IF('1.1 Produksi Bersih Padi 2025'!A317="","",'1.1 Produksi Bersih Padi 2025'!A317)</f>
        <v/>
      </c>
      <c r="B317" s="31" t="str">
        <f>IF('1.1 Produksi Bersih Padi 2025'!B317="","",'1.1 Produksi Bersih Padi 2025'!B317)</f>
        <v/>
      </c>
      <c r="C317" s="31" t="str">
        <f>IF('1.1 Produksi Bersih Padi 2025'!C317="","",'1.1 Produksi Bersih Padi 2025'!C317)</f>
        <v/>
      </c>
      <c r="D317" s="1" t="str">
        <f>IF('1.1 Produksi Bersih Padi 2025'!D317="","",'1.1 Produksi Bersih Padi 2025'!D317)</f>
        <v/>
      </c>
      <c r="E317" s="1" t="str">
        <f>IF('1.1 Produksi Bersih Padi 2025'!E317="","",'1.1 Produksi Bersih Padi 2025'!E317)</f>
        <v/>
      </c>
      <c r="F317" s="28" t="str">
        <f>IF(D317="","",VLOOKUP(D317,'[1]0.1 Produksi Pangan &amp; Penduduk'!$D$5:$AK$860,34,0))</f>
        <v/>
      </c>
      <c r="G317" s="29" t="str">
        <f t="shared" si="20"/>
        <v/>
      </c>
      <c r="H317" s="29" t="str">
        <f t="shared" si="21"/>
        <v/>
      </c>
      <c r="I317" s="29" t="str">
        <f t="shared" si="22"/>
        <v/>
      </c>
      <c r="J317" s="29" t="str">
        <f t="shared" si="23"/>
        <v/>
      </c>
      <c r="K317" s="29" t="str">
        <f t="shared" si="24"/>
        <v/>
      </c>
      <c r="M317" s="11"/>
    </row>
    <row r="318" spans="1:13" ht="15" x14ac:dyDescent="0.25">
      <c r="A318" s="1" t="str">
        <f>IF('1.1 Produksi Bersih Padi 2025'!A318="","",'1.1 Produksi Bersih Padi 2025'!A318)</f>
        <v/>
      </c>
      <c r="B318" s="31" t="str">
        <f>IF('1.1 Produksi Bersih Padi 2025'!B318="","",'1.1 Produksi Bersih Padi 2025'!B318)</f>
        <v/>
      </c>
      <c r="C318" s="31" t="str">
        <f>IF('1.1 Produksi Bersih Padi 2025'!C318="","",'1.1 Produksi Bersih Padi 2025'!C318)</f>
        <v/>
      </c>
      <c r="D318" s="1" t="str">
        <f>IF('1.1 Produksi Bersih Padi 2025'!D318="","",'1.1 Produksi Bersih Padi 2025'!D318)</f>
        <v/>
      </c>
      <c r="E318" s="1" t="str">
        <f>IF('1.1 Produksi Bersih Padi 2025'!E318="","",'1.1 Produksi Bersih Padi 2025'!E318)</f>
        <v/>
      </c>
      <c r="F318" s="28" t="str">
        <f>IF(D318="","",VLOOKUP(D318,'[1]0.1 Produksi Pangan &amp; Penduduk'!$D$5:$AK$860,34,0))</f>
        <v/>
      </c>
      <c r="G318" s="29" t="str">
        <f t="shared" si="20"/>
        <v/>
      </c>
      <c r="H318" s="29" t="str">
        <f t="shared" si="21"/>
        <v/>
      </c>
      <c r="I318" s="29" t="str">
        <f t="shared" si="22"/>
        <v/>
      </c>
      <c r="J318" s="29" t="str">
        <f t="shared" si="23"/>
        <v/>
      </c>
      <c r="K318" s="29" t="str">
        <f t="shared" si="24"/>
        <v/>
      </c>
      <c r="M318" s="11"/>
    </row>
    <row r="319" spans="1:13" ht="15" x14ac:dyDescent="0.25">
      <c r="A319" s="1" t="str">
        <f>IF('1.1 Produksi Bersih Padi 2025'!A319="","",'1.1 Produksi Bersih Padi 2025'!A319)</f>
        <v/>
      </c>
      <c r="B319" s="31" t="str">
        <f>IF('1.1 Produksi Bersih Padi 2025'!B319="","",'1.1 Produksi Bersih Padi 2025'!B319)</f>
        <v/>
      </c>
      <c r="C319" s="31" t="str">
        <f>IF('1.1 Produksi Bersih Padi 2025'!C319="","",'1.1 Produksi Bersih Padi 2025'!C319)</f>
        <v/>
      </c>
      <c r="D319" s="1" t="str">
        <f>IF('1.1 Produksi Bersih Padi 2025'!D319="","",'1.1 Produksi Bersih Padi 2025'!D319)</f>
        <v/>
      </c>
      <c r="E319" s="1" t="str">
        <f>IF('1.1 Produksi Bersih Padi 2025'!E319="","",'1.1 Produksi Bersih Padi 2025'!E319)</f>
        <v/>
      </c>
      <c r="F319" s="28" t="str">
        <f>IF(D319="","",VLOOKUP(D319,'[1]0.1 Produksi Pangan &amp; Penduduk'!$D$5:$AK$860,34,0))</f>
        <v/>
      </c>
      <c r="G319" s="29" t="str">
        <f t="shared" si="20"/>
        <v/>
      </c>
      <c r="H319" s="29" t="str">
        <f t="shared" si="21"/>
        <v/>
      </c>
      <c r="I319" s="29" t="str">
        <f t="shared" si="22"/>
        <v/>
      </c>
      <c r="J319" s="29" t="str">
        <f t="shared" si="23"/>
        <v/>
      </c>
      <c r="K319" s="29" t="str">
        <f t="shared" si="24"/>
        <v/>
      </c>
      <c r="M319" s="11"/>
    </row>
    <row r="320" spans="1:13" ht="15" x14ac:dyDescent="0.25">
      <c r="A320" s="1" t="str">
        <f>IF('1.1 Produksi Bersih Padi 2025'!A320="","",'1.1 Produksi Bersih Padi 2025'!A320)</f>
        <v/>
      </c>
      <c r="B320" s="31" t="str">
        <f>IF('1.1 Produksi Bersih Padi 2025'!B320="","",'1.1 Produksi Bersih Padi 2025'!B320)</f>
        <v/>
      </c>
      <c r="C320" s="31" t="str">
        <f>IF('1.1 Produksi Bersih Padi 2025'!C320="","",'1.1 Produksi Bersih Padi 2025'!C320)</f>
        <v/>
      </c>
      <c r="D320" s="1" t="str">
        <f>IF('1.1 Produksi Bersih Padi 2025'!D320="","",'1.1 Produksi Bersih Padi 2025'!D320)</f>
        <v/>
      </c>
      <c r="E320" s="1" t="str">
        <f>IF('1.1 Produksi Bersih Padi 2025'!E320="","",'1.1 Produksi Bersih Padi 2025'!E320)</f>
        <v/>
      </c>
      <c r="F320" s="28" t="str">
        <f>IF(D320="","",VLOOKUP(D320,'[1]0.1 Produksi Pangan &amp; Penduduk'!$D$5:$AK$860,34,0))</f>
        <v/>
      </c>
      <c r="G320" s="29" t="str">
        <f t="shared" si="20"/>
        <v/>
      </c>
      <c r="H320" s="29" t="str">
        <f t="shared" si="21"/>
        <v/>
      </c>
      <c r="I320" s="29" t="str">
        <f t="shared" si="22"/>
        <v/>
      </c>
      <c r="J320" s="29" t="str">
        <f t="shared" si="23"/>
        <v/>
      </c>
      <c r="K320" s="29" t="str">
        <f t="shared" si="24"/>
        <v/>
      </c>
      <c r="M320" s="11"/>
    </row>
    <row r="321" spans="1:13" ht="15" x14ac:dyDescent="0.25">
      <c r="A321" s="1" t="str">
        <f>IF('1.1 Produksi Bersih Padi 2025'!A321="","",'1.1 Produksi Bersih Padi 2025'!A321)</f>
        <v/>
      </c>
      <c r="B321" s="31" t="str">
        <f>IF('1.1 Produksi Bersih Padi 2025'!B321="","",'1.1 Produksi Bersih Padi 2025'!B321)</f>
        <v/>
      </c>
      <c r="C321" s="31" t="str">
        <f>IF('1.1 Produksi Bersih Padi 2025'!C321="","",'1.1 Produksi Bersih Padi 2025'!C321)</f>
        <v/>
      </c>
      <c r="D321" s="1" t="str">
        <f>IF('1.1 Produksi Bersih Padi 2025'!D321="","",'1.1 Produksi Bersih Padi 2025'!D321)</f>
        <v/>
      </c>
      <c r="E321" s="1" t="str">
        <f>IF('1.1 Produksi Bersih Padi 2025'!E321="","",'1.1 Produksi Bersih Padi 2025'!E321)</f>
        <v/>
      </c>
      <c r="F321" s="28" t="str">
        <f>IF(D321="","",VLOOKUP(D321,'[1]0.1 Produksi Pangan &amp; Penduduk'!$D$5:$AK$860,34,0))</f>
        <v/>
      </c>
      <c r="G321" s="29" t="str">
        <f t="shared" si="20"/>
        <v/>
      </c>
      <c r="H321" s="29" t="str">
        <f t="shared" si="21"/>
        <v/>
      </c>
      <c r="I321" s="29" t="str">
        <f t="shared" si="22"/>
        <v/>
      </c>
      <c r="J321" s="29" t="str">
        <f t="shared" si="23"/>
        <v/>
      </c>
      <c r="K321" s="29" t="str">
        <f t="shared" si="24"/>
        <v/>
      </c>
      <c r="M321" s="11"/>
    </row>
    <row r="322" spans="1:13" ht="15" x14ac:dyDescent="0.25">
      <c r="A322" s="1" t="str">
        <f>IF('1.1 Produksi Bersih Padi 2025'!A322="","",'1.1 Produksi Bersih Padi 2025'!A322)</f>
        <v/>
      </c>
      <c r="B322" s="31" t="str">
        <f>IF('1.1 Produksi Bersih Padi 2025'!B322="","",'1.1 Produksi Bersih Padi 2025'!B322)</f>
        <v/>
      </c>
      <c r="C322" s="31" t="str">
        <f>IF('1.1 Produksi Bersih Padi 2025'!C322="","",'1.1 Produksi Bersih Padi 2025'!C322)</f>
        <v/>
      </c>
      <c r="D322" s="1" t="str">
        <f>IF('1.1 Produksi Bersih Padi 2025'!D322="","",'1.1 Produksi Bersih Padi 2025'!D322)</f>
        <v/>
      </c>
      <c r="E322" s="1" t="str">
        <f>IF('1.1 Produksi Bersih Padi 2025'!E322="","",'1.1 Produksi Bersih Padi 2025'!E322)</f>
        <v/>
      </c>
      <c r="F322" s="28" t="str">
        <f>IF(D322="","",VLOOKUP(D322,'[1]0.1 Produksi Pangan &amp; Penduduk'!$D$5:$AK$860,34,0))</f>
        <v/>
      </c>
      <c r="G322" s="29" t="str">
        <f t="shared" si="20"/>
        <v/>
      </c>
      <c r="H322" s="29" t="str">
        <f t="shared" si="21"/>
        <v/>
      </c>
      <c r="I322" s="29" t="str">
        <f t="shared" si="22"/>
        <v/>
      </c>
      <c r="J322" s="29" t="str">
        <f t="shared" si="23"/>
        <v/>
      </c>
      <c r="K322" s="29" t="str">
        <f t="shared" si="24"/>
        <v/>
      </c>
      <c r="M322" s="11"/>
    </row>
    <row r="323" spans="1:13" ht="15" x14ac:dyDescent="0.25">
      <c r="A323" s="1" t="str">
        <f>IF('1.1 Produksi Bersih Padi 2025'!A323="","",'1.1 Produksi Bersih Padi 2025'!A323)</f>
        <v/>
      </c>
      <c r="B323" s="31" t="str">
        <f>IF('1.1 Produksi Bersih Padi 2025'!B323="","",'1.1 Produksi Bersih Padi 2025'!B323)</f>
        <v/>
      </c>
      <c r="C323" s="31" t="str">
        <f>IF('1.1 Produksi Bersih Padi 2025'!C323="","",'1.1 Produksi Bersih Padi 2025'!C323)</f>
        <v/>
      </c>
      <c r="D323" s="1" t="str">
        <f>IF('1.1 Produksi Bersih Padi 2025'!D323="","",'1.1 Produksi Bersih Padi 2025'!D323)</f>
        <v/>
      </c>
      <c r="E323" s="1" t="str">
        <f>IF('1.1 Produksi Bersih Padi 2025'!E323="","",'1.1 Produksi Bersih Padi 2025'!E323)</f>
        <v/>
      </c>
      <c r="F323" s="28" t="str">
        <f>IF(D323="","",VLOOKUP(D323,'[1]0.1 Produksi Pangan &amp; Penduduk'!$D$5:$AK$860,34,0))</f>
        <v/>
      </c>
      <c r="G323" s="29" t="str">
        <f t="shared" si="20"/>
        <v/>
      </c>
      <c r="H323" s="29" t="str">
        <f t="shared" si="21"/>
        <v/>
      </c>
      <c r="I323" s="29" t="str">
        <f t="shared" si="22"/>
        <v/>
      </c>
      <c r="J323" s="29" t="str">
        <f t="shared" si="23"/>
        <v/>
      </c>
      <c r="K323" s="29" t="str">
        <f t="shared" si="24"/>
        <v/>
      </c>
      <c r="M323" s="11"/>
    </row>
    <row r="324" spans="1:13" ht="15" x14ac:dyDescent="0.25">
      <c r="A324" s="1" t="str">
        <f>IF('1.1 Produksi Bersih Padi 2025'!A324="","",'1.1 Produksi Bersih Padi 2025'!A324)</f>
        <v/>
      </c>
      <c r="B324" s="31" t="str">
        <f>IF('1.1 Produksi Bersih Padi 2025'!B324="","",'1.1 Produksi Bersih Padi 2025'!B324)</f>
        <v/>
      </c>
      <c r="C324" s="31" t="str">
        <f>IF('1.1 Produksi Bersih Padi 2025'!C324="","",'1.1 Produksi Bersih Padi 2025'!C324)</f>
        <v/>
      </c>
      <c r="D324" s="1" t="str">
        <f>IF('1.1 Produksi Bersih Padi 2025'!D324="","",'1.1 Produksi Bersih Padi 2025'!D324)</f>
        <v/>
      </c>
      <c r="E324" s="1" t="str">
        <f>IF('1.1 Produksi Bersih Padi 2025'!E324="","",'1.1 Produksi Bersih Padi 2025'!E324)</f>
        <v/>
      </c>
      <c r="F324" s="28" t="str">
        <f>IF(D324="","",VLOOKUP(D324,'[1]0.1 Produksi Pangan &amp; Penduduk'!$D$5:$AK$860,34,0))</f>
        <v/>
      </c>
      <c r="G324" s="29" t="str">
        <f t="shared" si="20"/>
        <v/>
      </c>
      <c r="H324" s="29" t="str">
        <f t="shared" si="21"/>
        <v/>
      </c>
      <c r="I324" s="29" t="str">
        <f t="shared" si="22"/>
        <v/>
      </c>
      <c r="J324" s="29" t="str">
        <f t="shared" si="23"/>
        <v/>
      </c>
      <c r="K324" s="29" t="str">
        <f t="shared" si="24"/>
        <v/>
      </c>
      <c r="M324" s="11"/>
    </row>
    <row r="325" spans="1:13" ht="15" x14ac:dyDescent="0.25">
      <c r="A325" s="1" t="str">
        <f>IF('1.1 Produksi Bersih Padi 2025'!A325="","",'1.1 Produksi Bersih Padi 2025'!A325)</f>
        <v/>
      </c>
      <c r="B325" s="31" t="str">
        <f>IF('1.1 Produksi Bersih Padi 2025'!B325="","",'1.1 Produksi Bersih Padi 2025'!B325)</f>
        <v/>
      </c>
      <c r="C325" s="31" t="str">
        <f>IF('1.1 Produksi Bersih Padi 2025'!C325="","",'1.1 Produksi Bersih Padi 2025'!C325)</f>
        <v/>
      </c>
      <c r="D325" s="1" t="str">
        <f>IF('1.1 Produksi Bersih Padi 2025'!D325="","",'1.1 Produksi Bersih Padi 2025'!D325)</f>
        <v/>
      </c>
      <c r="E325" s="1" t="str">
        <f>IF('1.1 Produksi Bersih Padi 2025'!E325="","",'1.1 Produksi Bersih Padi 2025'!E325)</f>
        <v/>
      </c>
      <c r="F325" s="28" t="str">
        <f>IF(D325="","",VLOOKUP(D325,'[1]0.1 Produksi Pangan &amp; Penduduk'!$D$5:$AK$860,34,0))</f>
        <v/>
      </c>
      <c r="G325" s="29" t="str">
        <f t="shared" si="20"/>
        <v/>
      </c>
      <c r="H325" s="29" t="str">
        <f t="shared" si="21"/>
        <v/>
      </c>
      <c r="I325" s="29" t="str">
        <f t="shared" si="22"/>
        <v/>
      </c>
      <c r="J325" s="29" t="str">
        <f t="shared" si="23"/>
        <v/>
      </c>
      <c r="K325" s="29" t="str">
        <f t="shared" si="24"/>
        <v/>
      </c>
      <c r="M325" s="11"/>
    </row>
    <row r="326" spans="1:13" ht="15" x14ac:dyDescent="0.25">
      <c r="A326" s="1" t="str">
        <f>IF('1.1 Produksi Bersih Padi 2025'!A326="","",'1.1 Produksi Bersih Padi 2025'!A326)</f>
        <v/>
      </c>
      <c r="B326" s="31" t="str">
        <f>IF('1.1 Produksi Bersih Padi 2025'!B326="","",'1.1 Produksi Bersih Padi 2025'!B326)</f>
        <v/>
      </c>
      <c r="C326" s="31" t="str">
        <f>IF('1.1 Produksi Bersih Padi 2025'!C326="","",'1.1 Produksi Bersih Padi 2025'!C326)</f>
        <v/>
      </c>
      <c r="D326" s="1" t="str">
        <f>IF('1.1 Produksi Bersih Padi 2025'!D326="","",'1.1 Produksi Bersih Padi 2025'!D326)</f>
        <v/>
      </c>
      <c r="E326" s="1" t="str">
        <f>IF('1.1 Produksi Bersih Padi 2025'!E326="","",'1.1 Produksi Bersih Padi 2025'!E326)</f>
        <v/>
      </c>
      <c r="F326" s="28" t="str">
        <f>IF(D326="","",VLOOKUP(D326,'[1]0.1 Produksi Pangan &amp; Penduduk'!$D$5:$AK$860,34,0))</f>
        <v/>
      </c>
      <c r="G326" s="29" t="str">
        <f t="shared" ref="G326:G389" si="25">IF(F326="","",F326*0%)</f>
        <v/>
      </c>
      <c r="H326" s="29" t="str">
        <f t="shared" ref="H326:H389" si="26">IF(F326="","",F326*0%)</f>
        <v/>
      </c>
      <c r="I326" s="29" t="str">
        <f t="shared" ref="I326:I389" si="27">IF(F326="","",F326*0.72%)</f>
        <v/>
      </c>
      <c r="J326" s="29" t="str">
        <f t="shared" ref="J326:J389" si="28">IF(F326="","",F326-(G326+H326+I326))</f>
        <v/>
      </c>
      <c r="K326" s="29" t="str">
        <f t="shared" ref="K326:K389" si="29">IF(J326="","",J326*0.64)</f>
        <v/>
      </c>
      <c r="M326" s="11"/>
    </row>
    <row r="327" spans="1:13" ht="15" x14ac:dyDescent="0.25">
      <c r="A327" s="1" t="str">
        <f>IF('1.1 Produksi Bersih Padi 2025'!A327="","",'1.1 Produksi Bersih Padi 2025'!A327)</f>
        <v/>
      </c>
      <c r="B327" s="31" t="str">
        <f>IF('1.1 Produksi Bersih Padi 2025'!B327="","",'1.1 Produksi Bersih Padi 2025'!B327)</f>
        <v/>
      </c>
      <c r="C327" s="31" t="str">
        <f>IF('1.1 Produksi Bersih Padi 2025'!C327="","",'1.1 Produksi Bersih Padi 2025'!C327)</f>
        <v/>
      </c>
      <c r="D327" s="1" t="str">
        <f>IF('1.1 Produksi Bersih Padi 2025'!D327="","",'1.1 Produksi Bersih Padi 2025'!D327)</f>
        <v/>
      </c>
      <c r="E327" s="1" t="str">
        <f>IF('1.1 Produksi Bersih Padi 2025'!E327="","",'1.1 Produksi Bersih Padi 2025'!E327)</f>
        <v/>
      </c>
      <c r="F327" s="28" t="str">
        <f>IF(D327="","",VLOOKUP(D327,'[1]0.1 Produksi Pangan &amp; Penduduk'!$D$5:$AK$860,34,0))</f>
        <v/>
      </c>
      <c r="G327" s="29" t="str">
        <f t="shared" si="25"/>
        <v/>
      </c>
      <c r="H327" s="29" t="str">
        <f t="shared" si="26"/>
        <v/>
      </c>
      <c r="I327" s="29" t="str">
        <f t="shared" si="27"/>
        <v/>
      </c>
      <c r="J327" s="29" t="str">
        <f t="shared" si="28"/>
        <v/>
      </c>
      <c r="K327" s="29" t="str">
        <f t="shared" si="29"/>
        <v/>
      </c>
      <c r="M327" s="11"/>
    </row>
    <row r="328" spans="1:13" ht="15" x14ac:dyDescent="0.25">
      <c r="A328" s="1" t="str">
        <f>IF('1.1 Produksi Bersih Padi 2025'!A328="","",'1.1 Produksi Bersih Padi 2025'!A328)</f>
        <v/>
      </c>
      <c r="B328" s="31" t="str">
        <f>IF('1.1 Produksi Bersih Padi 2025'!B328="","",'1.1 Produksi Bersih Padi 2025'!B328)</f>
        <v/>
      </c>
      <c r="C328" s="31" t="str">
        <f>IF('1.1 Produksi Bersih Padi 2025'!C328="","",'1.1 Produksi Bersih Padi 2025'!C328)</f>
        <v/>
      </c>
      <c r="D328" s="1" t="str">
        <f>IF('1.1 Produksi Bersih Padi 2025'!D328="","",'1.1 Produksi Bersih Padi 2025'!D328)</f>
        <v/>
      </c>
      <c r="E328" s="1" t="str">
        <f>IF('1.1 Produksi Bersih Padi 2025'!E328="","",'1.1 Produksi Bersih Padi 2025'!E328)</f>
        <v/>
      </c>
      <c r="F328" s="28" t="str">
        <f>IF(D328="","",VLOOKUP(D328,'[1]0.1 Produksi Pangan &amp; Penduduk'!$D$5:$AK$860,34,0))</f>
        <v/>
      </c>
      <c r="G328" s="29" t="str">
        <f t="shared" si="25"/>
        <v/>
      </c>
      <c r="H328" s="29" t="str">
        <f t="shared" si="26"/>
        <v/>
      </c>
      <c r="I328" s="29" t="str">
        <f t="shared" si="27"/>
        <v/>
      </c>
      <c r="J328" s="29" t="str">
        <f t="shared" si="28"/>
        <v/>
      </c>
      <c r="K328" s="29" t="str">
        <f t="shared" si="29"/>
        <v/>
      </c>
      <c r="M328" s="11"/>
    </row>
    <row r="329" spans="1:13" ht="15" x14ac:dyDescent="0.25">
      <c r="A329" s="1" t="str">
        <f>IF('1.1 Produksi Bersih Padi 2025'!A329="","",'1.1 Produksi Bersih Padi 2025'!A329)</f>
        <v/>
      </c>
      <c r="B329" s="31" t="str">
        <f>IF('1.1 Produksi Bersih Padi 2025'!B329="","",'1.1 Produksi Bersih Padi 2025'!B329)</f>
        <v/>
      </c>
      <c r="C329" s="31" t="str">
        <f>IF('1.1 Produksi Bersih Padi 2025'!C329="","",'1.1 Produksi Bersih Padi 2025'!C329)</f>
        <v/>
      </c>
      <c r="D329" s="1" t="str">
        <f>IF('1.1 Produksi Bersih Padi 2025'!D329="","",'1.1 Produksi Bersih Padi 2025'!D329)</f>
        <v/>
      </c>
      <c r="E329" s="1" t="str">
        <f>IF('1.1 Produksi Bersih Padi 2025'!E329="","",'1.1 Produksi Bersih Padi 2025'!E329)</f>
        <v/>
      </c>
      <c r="F329" s="28" t="str">
        <f>IF(D329="","",VLOOKUP(D329,'[1]0.1 Produksi Pangan &amp; Penduduk'!$D$5:$AK$860,34,0))</f>
        <v/>
      </c>
      <c r="G329" s="29" t="str">
        <f t="shared" si="25"/>
        <v/>
      </c>
      <c r="H329" s="29" t="str">
        <f t="shared" si="26"/>
        <v/>
      </c>
      <c r="I329" s="29" t="str">
        <f t="shared" si="27"/>
        <v/>
      </c>
      <c r="J329" s="29" t="str">
        <f t="shared" si="28"/>
        <v/>
      </c>
      <c r="K329" s="29" t="str">
        <f t="shared" si="29"/>
        <v/>
      </c>
      <c r="M329" s="11"/>
    </row>
    <row r="330" spans="1:13" ht="15" x14ac:dyDescent="0.25">
      <c r="A330" s="1" t="str">
        <f>IF('1.1 Produksi Bersih Padi 2025'!A330="","",'1.1 Produksi Bersih Padi 2025'!A330)</f>
        <v/>
      </c>
      <c r="B330" s="31" t="str">
        <f>IF('1.1 Produksi Bersih Padi 2025'!B330="","",'1.1 Produksi Bersih Padi 2025'!B330)</f>
        <v/>
      </c>
      <c r="C330" s="31" t="str">
        <f>IF('1.1 Produksi Bersih Padi 2025'!C330="","",'1.1 Produksi Bersih Padi 2025'!C330)</f>
        <v/>
      </c>
      <c r="D330" s="1" t="str">
        <f>IF('1.1 Produksi Bersih Padi 2025'!D330="","",'1.1 Produksi Bersih Padi 2025'!D330)</f>
        <v/>
      </c>
      <c r="E330" s="1" t="str">
        <f>IF('1.1 Produksi Bersih Padi 2025'!E330="","",'1.1 Produksi Bersih Padi 2025'!E330)</f>
        <v/>
      </c>
      <c r="F330" s="28" t="str">
        <f>IF(D330="","",VLOOKUP(D330,'[1]0.1 Produksi Pangan &amp; Penduduk'!$D$5:$AK$860,34,0))</f>
        <v/>
      </c>
      <c r="G330" s="29" t="str">
        <f t="shared" si="25"/>
        <v/>
      </c>
      <c r="H330" s="29" t="str">
        <f t="shared" si="26"/>
        <v/>
      </c>
      <c r="I330" s="29" t="str">
        <f t="shared" si="27"/>
        <v/>
      </c>
      <c r="J330" s="29" t="str">
        <f t="shared" si="28"/>
        <v/>
      </c>
      <c r="K330" s="29" t="str">
        <f t="shared" si="29"/>
        <v/>
      </c>
      <c r="M330" s="11"/>
    </row>
    <row r="331" spans="1:13" ht="15" x14ac:dyDescent="0.25">
      <c r="A331" s="1" t="str">
        <f>IF('1.1 Produksi Bersih Padi 2025'!A331="","",'1.1 Produksi Bersih Padi 2025'!A331)</f>
        <v/>
      </c>
      <c r="B331" s="31" t="str">
        <f>IF('1.1 Produksi Bersih Padi 2025'!B331="","",'1.1 Produksi Bersih Padi 2025'!B331)</f>
        <v/>
      </c>
      <c r="C331" s="31" t="str">
        <f>IF('1.1 Produksi Bersih Padi 2025'!C331="","",'1.1 Produksi Bersih Padi 2025'!C331)</f>
        <v/>
      </c>
      <c r="D331" s="1" t="str">
        <f>IF('1.1 Produksi Bersih Padi 2025'!D331="","",'1.1 Produksi Bersih Padi 2025'!D331)</f>
        <v/>
      </c>
      <c r="E331" s="1" t="str">
        <f>IF('1.1 Produksi Bersih Padi 2025'!E331="","",'1.1 Produksi Bersih Padi 2025'!E331)</f>
        <v/>
      </c>
      <c r="F331" s="28" t="str">
        <f>IF(D331="","",VLOOKUP(D331,'[1]0.1 Produksi Pangan &amp; Penduduk'!$D$5:$AK$860,34,0))</f>
        <v/>
      </c>
      <c r="G331" s="29" t="str">
        <f t="shared" si="25"/>
        <v/>
      </c>
      <c r="H331" s="29" t="str">
        <f t="shared" si="26"/>
        <v/>
      </c>
      <c r="I331" s="29" t="str">
        <f t="shared" si="27"/>
        <v/>
      </c>
      <c r="J331" s="29" t="str">
        <f t="shared" si="28"/>
        <v/>
      </c>
      <c r="K331" s="29" t="str">
        <f t="shared" si="29"/>
        <v/>
      </c>
      <c r="M331" s="11"/>
    </row>
    <row r="332" spans="1:13" ht="15" x14ac:dyDescent="0.25">
      <c r="A332" s="1" t="str">
        <f>IF('1.1 Produksi Bersih Padi 2025'!A332="","",'1.1 Produksi Bersih Padi 2025'!A332)</f>
        <v/>
      </c>
      <c r="B332" s="31" t="str">
        <f>IF('1.1 Produksi Bersih Padi 2025'!B332="","",'1.1 Produksi Bersih Padi 2025'!B332)</f>
        <v/>
      </c>
      <c r="C332" s="31" t="str">
        <f>IF('1.1 Produksi Bersih Padi 2025'!C332="","",'1.1 Produksi Bersih Padi 2025'!C332)</f>
        <v/>
      </c>
      <c r="D332" s="1" t="str">
        <f>IF('1.1 Produksi Bersih Padi 2025'!D332="","",'1.1 Produksi Bersih Padi 2025'!D332)</f>
        <v/>
      </c>
      <c r="E332" s="1" t="str">
        <f>IF('1.1 Produksi Bersih Padi 2025'!E332="","",'1.1 Produksi Bersih Padi 2025'!E332)</f>
        <v/>
      </c>
      <c r="F332" s="28" t="str">
        <f>IF(D332="","",VLOOKUP(D332,'[1]0.1 Produksi Pangan &amp; Penduduk'!$D$5:$AK$860,34,0))</f>
        <v/>
      </c>
      <c r="G332" s="29" t="str">
        <f t="shared" si="25"/>
        <v/>
      </c>
      <c r="H332" s="29" t="str">
        <f t="shared" si="26"/>
        <v/>
      </c>
      <c r="I332" s="29" t="str">
        <f t="shared" si="27"/>
        <v/>
      </c>
      <c r="J332" s="29" t="str">
        <f t="shared" si="28"/>
        <v/>
      </c>
      <c r="K332" s="29" t="str">
        <f t="shared" si="29"/>
        <v/>
      </c>
      <c r="M332" s="11"/>
    </row>
    <row r="333" spans="1:13" ht="15" x14ac:dyDescent="0.25">
      <c r="A333" s="1" t="str">
        <f>IF('1.1 Produksi Bersih Padi 2025'!A333="","",'1.1 Produksi Bersih Padi 2025'!A333)</f>
        <v/>
      </c>
      <c r="B333" s="31" t="str">
        <f>IF('1.1 Produksi Bersih Padi 2025'!B333="","",'1.1 Produksi Bersih Padi 2025'!B333)</f>
        <v/>
      </c>
      <c r="C333" s="31" t="str">
        <f>IF('1.1 Produksi Bersih Padi 2025'!C333="","",'1.1 Produksi Bersih Padi 2025'!C333)</f>
        <v/>
      </c>
      <c r="D333" s="1" t="str">
        <f>IF('1.1 Produksi Bersih Padi 2025'!D333="","",'1.1 Produksi Bersih Padi 2025'!D333)</f>
        <v/>
      </c>
      <c r="E333" s="1" t="str">
        <f>IF('1.1 Produksi Bersih Padi 2025'!E333="","",'1.1 Produksi Bersih Padi 2025'!E333)</f>
        <v/>
      </c>
      <c r="F333" s="28" t="str">
        <f>IF(D333="","",VLOOKUP(D333,'[1]0.1 Produksi Pangan &amp; Penduduk'!$D$5:$AK$860,34,0))</f>
        <v/>
      </c>
      <c r="G333" s="29" t="str">
        <f t="shared" si="25"/>
        <v/>
      </c>
      <c r="H333" s="29" t="str">
        <f t="shared" si="26"/>
        <v/>
      </c>
      <c r="I333" s="29" t="str">
        <f t="shared" si="27"/>
        <v/>
      </c>
      <c r="J333" s="29" t="str">
        <f t="shared" si="28"/>
        <v/>
      </c>
      <c r="K333" s="29" t="str">
        <f t="shared" si="29"/>
        <v/>
      </c>
      <c r="M333" s="11"/>
    </row>
    <row r="334" spans="1:13" ht="15" x14ac:dyDescent="0.25">
      <c r="A334" s="1" t="str">
        <f>IF('1.1 Produksi Bersih Padi 2025'!A334="","",'1.1 Produksi Bersih Padi 2025'!A334)</f>
        <v/>
      </c>
      <c r="B334" s="31" t="str">
        <f>IF('1.1 Produksi Bersih Padi 2025'!B334="","",'1.1 Produksi Bersih Padi 2025'!B334)</f>
        <v/>
      </c>
      <c r="C334" s="31" t="str">
        <f>IF('1.1 Produksi Bersih Padi 2025'!C334="","",'1.1 Produksi Bersih Padi 2025'!C334)</f>
        <v/>
      </c>
      <c r="D334" s="1" t="str">
        <f>IF('1.1 Produksi Bersih Padi 2025'!D334="","",'1.1 Produksi Bersih Padi 2025'!D334)</f>
        <v/>
      </c>
      <c r="E334" s="1" t="str">
        <f>IF('1.1 Produksi Bersih Padi 2025'!E334="","",'1.1 Produksi Bersih Padi 2025'!E334)</f>
        <v/>
      </c>
      <c r="F334" s="28" t="str">
        <f>IF(D334="","",VLOOKUP(D334,'[1]0.1 Produksi Pangan &amp; Penduduk'!$D$5:$AK$860,34,0))</f>
        <v/>
      </c>
      <c r="G334" s="29" t="str">
        <f t="shared" si="25"/>
        <v/>
      </c>
      <c r="H334" s="29" t="str">
        <f t="shared" si="26"/>
        <v/>
      </c>
      <c r="I334" s="29" t="str">
        <f t="shared" si="27"/>
        <v/>
      </c>
      <c r="J334" s="29" t="str">
        <f t="shared" si="28"/>
        <v/>
      </c>
      <c r="K334" s="29" t="str">
        <f t="shared" si="29"/>
        <v/>
      </c>
      <c r="M334" s="11"/>
    </row>
    <row r="335" spans="1:13" ht="15" x14ac:dyDescent="0.25">
      <c r="A335" s="1" t="str">
        <f>IF('1.1 Produksi Bersih Padi 2025'!A335="","",'1.1 Produksi Bersih Padi 2025'!A335)</f>
        <v/>
      </c>
      <c r="B335" s="31" t="str">
        <f>IF('1.1 Produksi Bersih Padi 2025'!B335="","",'1.1 Produksi Bersih Padi 2025'!B335)</f>
        <v/>
      </c>
      <c r="C335" s="31" t="str">
        <f>IF('1.1 Produksi Bersih Padi 2025'!C335="","",'1.1 Produksi Bersih Padi 2025'!C335)</f>
        <v/>
      </c>
      <c r="D335" s="1" t="str">
        <f>IF('1.1 Produksi Bersih Padi 2025'!D335="","",'1.1 Produksi Bersih Padi 2025'!D335)</f>
        <v/>
      </c>
      <c r="E335" s="1" t="str">
        <f>IF('1.1 Produksi Bersih Padi 2025'!E335="","",'1.1 Produksi Bersih Padi 2025'!E335)</f>
        <v/>
      </c>
      <c r="F335" s="28" t="str">
        <f>IF(D335="","",VLOOKUP(D335,'[1]0.1 Produksi Pangan &amp; Penduduk'!$D$5:$AK$860,34,0))</f>
        <v/>
      </c>
      <c r="G335" s="29" t="str">
        <f t="shared" si="25"/>
        <v/>
      </c>
      <c r="H335" s="29" t="str">
        <f t="shared" si="26"/>
        <v/>
      </c>
      <c r="I335" s="29" t="str">
        <f t="shared" si="27"/>
        <v/>
      </c>
      <c r="J335" s="29" t="str">
        <f t="shared" si="28"/>
        <v/>
      </c>
      <c r="K335" s="29" t="str">
        <f t="shared" si="29"/>
        <v/>
      </c>
      <c r="M335" s="11"/>
    </row>
    <row r="336" spans="1:13" ht="15" x14ac:dyDescent="0.25">
      <c r="A336" s="1" t="str">
        <f>IF('1.1 Produksi Bersih Padi 2025'!A336="","",'1.1 Produksi Bersih Padi 2025'!A336)</f>
        <v/>
      </c>
      <c r="B336" s="31" t="str">
        <f>IF('1.1 Produksi Bersih Padi 2025'!B336="","",'1.1 Produksi Bersih Padi 2025'!B336)</f>
        <v/>
      </c>
      <c r="C336" s="31" t="str">
        <f>IF('1.1 Produksi Bersih Padi 2025'!C336="","",'1.1 Produksi Bersih Padi 2025'!C336)</f>
        <v/>
      </c>
      <c r="D336" s="1" t="str">
        <f>IF('1.1 Produksi Bersih Padi 2025'!D336="","",'1.1 Produksi Bersih Padi 2025'!D336)</f>
        <v/>
      </c>
      <c r="E336" s="1" t="str">
        <f>IF('1.1 Produksi Bersih Padi 2025'!E336="","",'1.1 Produksi Bersih Padi 2025'!E336)</f>
        <v/>
      </c>
      <c r="F336" s="28" t="str">
        <f>IF(D336="","",VLOOKUP(D336,'[1]0.1 Produksi Pangan &amp; Penduduk'!$D$5:$AK$860,34,0))</f>
        <v/>
      </c>
      <c r="G336" s="29" t="str">
        <f t="shared" si="25"/>
        <v/>
      </c>
      <c r="H336" s="29" t="str">
        <f t="shared" si="26"/>
        <v/>
      </c>
      <c r="I336" s="29" t="str">
        <f t="shared" si="27"/>
        <v/>
      </c>
      <c r="J336" s="29" t="str">
        <f t="shared" si="28"/>
        <v/>
      </c>
      <c r="K336" s="29" t="str">
        <f t="shared" si="29"/>
        <v/>
      </c>
      <c r="M336" s="11"/>
    </row>
    <row r="337" spans="1:13" ht="15" x14ac:dyDescent="0.25">
      <c r="A337" s="1" t="str">
        <f>IF('1.1 Produksi Bersih Padi 2025'!A337="","",'1.1 Produksi Bersih Padi 2025'!A337)</f>
        <v/>
      </c>
      <c r="B337" s="31" t="str">
        <f>IF('1.1 Produksi Bersih Padi 2025'!B337="","",'1.1 Produksi Bersih Padi 2025'!B337)</f>
        <v/>
      </c>
      <c r="C337" s="31" t="str">
        <f>IF('1.1 Produksi Bersih Padi 2025'!C337="","",'1.1 Produksi Bersih Padi 2025'!C337)</f>
        <v/>
      </c>
      <c r="D337" s="1" t="str">
        <f>IF('1.1 Produksi Bersih Padi 2025'!D337="","",'1.1 Produksi Bersih Padi 2025'!D337)</f>
        <v/>
      </c>
      <c r="E337" s="1" t="str">
        <f>IF('1.1 Produksi Bersih Padi 2025'!E337="","",'1.1 Produksi Bersih Padi 2025'!E337)</f>
        <v/>
      </c>
      <c r="F337" s="28" t="str">
        <f>IF(D337="","",VLOOKUP(D337,'[1]0.1 Produksi Pangan &amp; Penduduk'!$D$5:$AK$860,34,0))</f>
        <v/>
      </c>
      <c r="G337" s="29" t="str">
        <f t="shared" si="25"/>
        <v/>
      </c>
      <c r="H337" s="29" t="str">
        <f t="shared" si="26"/>
        <v/>
      </c>
      <c r="I337" s="29" t="str">
        <f t="shared" si="27"/>
        <v/>
      </c>
      <c r="J337" s="29" t="str">
        <f t="shared" si="28"/>
        <v/>
      </c>
      <c r="K337" s="29" t="str">
        <f t="shared" si="29"/>
        <v/>
      </c>
      <c r="M337" s="11"/>
    </row>
    <row r="338" spans="1:13" ht="15" x14ac:dyDescent="0.25">
      <c r="A338" s="1" t="str">
        <f>IF('1.1 Produksi Bersih Padi 2025'!A338="","",'1.1 Produksi Bersih Padi 2025'!A338)</f>
        <v/>
      </c>
      <c r="B338" s="31" t="str">
        <f>IF('1.1 Produksi Bersih Padi 2025'!B338="","",'1.1 Produksi Bersih Padi 2025'!B338)</f>
        <v/>
      </c>
      <c r="C338" s="31" t="str">
        <f>IF('1.1 Produksi Bersih Padi 2025'!C338="","",'1.1 Produksi Bersih Padi 2025'!C338)</f>
        <v/>
      </c>
      <c r="D338" s="1" t="str">
        <f>IF('1.1 Produksi Bersih Padi 2025'!D338="","",'1.1 Produksi Bersih Padi 2025'!D338)</f>
        <v/>
      </c>
      <c r="E338" s="1" t="str">
        <f>IF('1.1 Produksi Bersih Padi 2025'!E338="","",'1.1 Produksi Bersih Padi 2025'!E338)</f>
        <v/>
      </c>
      <c r="F338" s="28" t="str">
        <f>IF(D338="","",VLOOKUP(D338,'[1]0.1 Produksi Pangan &amp; Penduduk'!$D$5:$AK$860,34,0))</f>
        <v/>
      </c>
      <c r="G338" s="29" t="str">
        <f t="shared" si="25"/>
        <v/>
      </c>
      <c r="H338" s="29" t="str">
        <f t="shared" si="26"/>
        <v/>
      </c>
      <c r="I338" s="29" t="str">
        <f t="shared" si="27"/>
        <v/>
      </c>
      <c r="J338" s="29" t="str">
        <f t="shared" si="28"/>
        <v/>
      </c>
      <c r="K338" s="29" t="str">
        <f t="shared" si="29"/>
        <v/>
      </c>
      <c r="M338" s="11"/>
    </row>
    <row r="339" spans="1:13" ht="15" x14ac:dyDescent="0.25">
      <c r="A339" s="1" t="str">
        <f>IF('1.1 Produksi Bersih Padi 2025'!A339="","",'1.1 Produksi Bersih Padi 2025'!A339)</f>
        <v/>
      </c>
      <c r="B339" s="31" t="str">
        <f>IF('1.1 Produksi Bersih Padi 2025'!B339="","",'1.1 Produksi Bersih Padi 2025'!B339)</f>
        <v/>
      </c>
      <c r="C339" s="31" t="str">
        <f>IF('1.1 Produksi Bersih Padi 2025'!C339="","",'1.1 Produksi Bersih Padi 2025'!C339)</f>
        <v/>
      </c>
      <c r="D339" s="1" t="str">
        <f>IF('1.1 Produksi Bersih Padi 2025'!D339="","",'1.1 Produksi Bersih Padi 2025'!D339)</f>
        <v/>
      </c>
      <c r="E339" s="1" t="str">
        <f>IF('1.1 Produksi Bersih Padi 2025'!E339="","",'1.1 Produksi Bersih Padi 2025'!E339)</f>
        <v/>
      </c>
      <c r="F339" s="28" t="str">
        <f>IF(D339="","",VLOOKUP(D339,'[1]0.1 Produksi Pangan &amp; Penduduk'!$D$5:$AK$860,34,0))</f>
        <v/>
      </c>
      <c r="G339" s="29" t="str">
        <f t="shared" si="25"/>
        <v/>
      </c>
      <c r="H339" s="29" t="str">
        <f t="shared" si="26"/>
        <v/>
      </c>
      <c r="I339" s="29" t="str">
        <f t="shared" si="27"/>
        <v/>
      </c>
      <c r="J339" s="29" t="str">
        <f t="shared" si="28"/>
        <v/>
      </c>
      <c r="K339" s="29" t="str">
        <f t="shared" si="29"/>
        <v/>
      </c>
      <c r="M339" s="11"/>
    </row>
    <row r="340" spans="1:13" ht="15" x14ac:dyDescent="0.25">
      <c r="A340" s="1" t="str">
        <f>IF('1.1 Produksi Bersih Padi 2025'!A340="","",'1.1 Produksi Bersih Padi 2025'!A340)</f>
        <v/>
      </c>
      <c r="B340" s="31" t="str">
        <f>IF('1.1 Produksi Bersih Padi 2025'!B340="","",'1.1 Produksi Bersih Padi 2025'!B340)</f>
        <v/>
      </c>
      <c r="C340" s="31" t="str">
        <f>IF('1.1 Produksi Bersih Padi 2025'!C340="","",'1.1 Produksi Bersih Padi 2025'!C340)</f>
        <v/>
      </c>
      <c r="D340" s="1" t="str">
        <f>IF('1.1 Produksi Bersih Padi 2025'!D340="","",'1.1 Produksi Bersih Padi 2025'!D340)</f>
        <v/>
      </c>
      <c r="E340" s="1" t="str">
        <f>IF('1.1 Produksi Bersih Padi 2025'!E340="","",'1.1 Produksi Bersih Padi 2025'!E340)</f>
        <v/>
      </c>
      <c r="F340" s="28" t="str">
        <f>IF(D340="","",VLOOKUP(D340,'[1]0.1 Produksi Pangan &amp; Penduduk'!$D$5:$AK$860,34,0))</f>
        <v/>
      </c>
      <c r="G340" s="29" t="str">
        <f t="shared" si="25"/>
        <v/>
      </c>
      <c r="H340" s="29" t="str">
        <f t="shared" si="26"/>
        <v/>
      </c>
      <c r="I340" s="29" t="str">
        <f t="shared" si="27"/>
        <v/>
      </c>
      <c r="J340" s="29" t="str">
        <f t="shared" si="28"/>
        <v/>
      </c>
      <c r="K340" s="29" t="str">
        <f t="shared" si="29"/>
        <v/>
      </c>
      <c r="M340" s="11"/>
    </row>
    <row r="341" spans="1:13" ht="15" x14ac:dyDescent="0.25">
      <c r="A341" s="1" t="str">
        <f>IF('1.1 Produksi Bersih Padi 2025'!A341="","",'1.1 Produksi Bersih Padi 2025'!A341)</f>
        <v/>
      </c>
      <c r="B341" s="31" t="str">
        <f>IF('1.1 Produksi Bersih Padi 2025'!B341="","",'1.1 Produksi Bersih Padi 2025'!B341)</f>
        <v/>
      </c>
      <c r="C341" s="31" t="str">
        <f>IF('1.1 Produksi Bersih Padi 2025'!C341="","",'1.1 Produksi Bersih Padi 2025'!C341)</f>
        <v/>
      </c>
      <c r="D341" s="1" t="str">
        <f>IF('1.1 Produksi Bersih Padi 2025'!D341="","",'1.1 Produksi Bersih Padi 2025'!D341)</f>
        <v/>
      </c>
      <c r="E341" s="1" t="str">
        <f>IF('1.1 Produksi Bersih Padi 2025'!E341="","",'1.1 Produksi Bersih Padi 2025'!E341)</f>
        <v/>
      </c>
      <c r="F341" s="28" t="str">
        <f>IF(D341="","",VLOOKUP(D341,'[1]0.1 Produksi Pangan &amp; Penduduk'!$D$5:$AK$860,34,0))</f>
        <v/>
      </c>
      <c r="G341" s="29" t="str">
        <f t="shared" si="25"/>
        <v/>
      </c>
      <c r="H341" s="29" t="str">
        <f t="shared" si="26"/>
        <v/>
      </c>
      <c r="I341" s="29" t="str">
        <f t="shared" si="27"/>
        <v/>
      </c>
      <c r="J341" s="29" t="str">
        <f t="shared" si="28"/>
        <v/>
      </c>
      <c r="K341" s="29" t="str">
        <f t="shared" si="29"/>
        <v/>
      </c>
      <c r="M341" s="11"/>
    </row>
    <row r="342" spans="1:13" ht="15" x14ac:dyDescent="0.25">
      <c r="A342" s="1" t="str">
        <f>IF('1.1 Produksi Bersih Padi 2025'!A342="","",'1.1 Produksi Bersih Padi 2025'!A342)</f>
        <v/>
      </c>
      <c r="B342" s="31" t="str">
        <f>IF('1.1 Produksi Bersih Padi 2025'!B342="","",'1.1 Produksi Bersih Padi 2025'!B342)</f>
        <v/>
      </c>
      <c r="C342" s="31" t="str">
        <f>IF('1.1 Produksi Bersih Padi 2025'!C342="","",'1.1 Produksi Bersih Padi 2025'!C342)</f>
        <v/>
      </c>
      <c r="D342" s="1" t="str">
        <f>IF('1.1 Produksi Bersih Padi 2025'!D342="","",'1.1 Produksi Bersih Padi 2025'!D342)</f>
        <v/>
      </c>
      <c r="E342" s="1" t="str">
        <f>IF('1.1 Produksi Bersih Padi 2025'!E342="","",'1.1 Produksi Bersih Padi 2025'!E342)</f>
        <v/>
      </c>
      <c r="F342" s="28" t="str">
        <f>IF(D342="","",VLOOKUP(D342,'[1]0.1 Produksi Pangan &amp; Penduduk'!$D$5:$AK$860,34,0))</f>
        <v/>
      </c>
      <c r="G342" s="29" t="str">
        <f t="shared" si="25"/>
        <v/>
      </c>
      <c r="H342" s="29" t="str">
        <f t="shared" si="26"/>
        <v/>
      </c>
      <c r="I342" s="29" t="str">
        <f t="shared" si="27"/>
        <v/>
      </c>
      <c r="J342" s="29" t="str">
        <f t="shared" si="28"/>
        <v/>
      </c>
      <c r="K342" s="29" t="str">
        <f t="shared" si="29"/>
        <v/>
      </c>
      <c r="M342" s="11"/>
    </row>
    <row r="343" spans="1:13" ht="15" x14ac:dyDescent="0.25">
      <c r="A343" s="1" t="str">
        <f>IF('1.1 Produksi Bersih Padi 2025'!A343="","",'1.1 Produksi Bersih Padi 2025'!A343)</f>
        <v/>
      </c>
      <c r="B343" s="31" t="str">
        <f>IF('1.1 Produksi Bersih Padi 2025'!B343="","",'1.1 Produksi Bersih Padi 2025'!B343)</f>
        <v/>
      </c>
      <c r="C343" s="31" t="str">
        <f>IF('1.1 Produksi Bersih Padi 2025'!C343="","",'1.1 Produksi Bersih Padi 2025'!C343)</f>
        <v/>
      </c>
      <c r="D343" s="1" t="str">
        <f>IF('1.1 Produksi Bersih Padi 2025'!D343="","",'1.1 Produksi Bersih Padi 2025'!D343)</f>
        <v/>
      </c>
      <c r="E343" s="1" t="str">
        <f>IF('1.1 Produksi Bersih Padi 2025'!E343="","",'1.1 Produksi Bersih Padi 2025'!E343)</f>
        <v/>
      </c>
      <c r="F343" s="28" t="str">
        <f>IF(D343="","",VLOOKUP(D343,'[1]0.1 Produksi Pangan &amp; Penduduk'!$D$5:$AK$860,34,0))</f>
        <v/>
      </c>
      <c r="G343" s="29" t="str">
        <f t="shared" si="25"/>
        <v/>
      </c>
      <c r="H343" s="29" t="str">
        <f t="shared" si="26"/>
        <v/>
      </c>
      <c r="I343" s="29" t="str">
        <f t="shared" si="27"/>
        <v/>
      </c>
      <c r="J343" s="29" t="str">
        <f t="shared" si="28"/>
        <v/>
      </c>
      <c r="K343" s="29" t="str">
        <f t="shared" si="29"/>
        <v/>
      </c>
      <c r="M343" s="11"/>
    </row>
    <row r="344" spans="1:13" ht="15" x14ac:dyDescent="0.25">
      <c r="A344" s="1" t="str">
        <f>IF('1.1 Produksi Bersih Padi 2025'!A344="","",'1.1 Produksi Bersih Padi 2025'!A344)</f>
        <v/>
      </c>
      <c r="B344" s="31" t="str">
        <f>IF('1.1 Produksi Bersih Padi 2025'!B344="","",'1.1 Produksi Bersih Padi 2025'!B344)</f>
        <v/>
      </c>
      <c r="C344" s="31" t="str">
        <f>IF('1.1 Produksi Bersih Padi 2025'!C344="","",'1.1 Produksi Bersih Padi 2025'!C344)</f>
        <v/>
      </c>
      <c r="D344" s="1" t="str">
        <f>IF('1.1 Produksi Bersih Padi 2025'!D344="","",'1.1 Produksi Bersih Padi 2025'!D344)</f>
        <v/>
      </c>
      <c r="E344" s="1" t="str">
        <f>IF('1.1 Produksi Bersih Padi 2025'!E344="","",'1.1 Produksi Bersih Padi 2025'!E344)</f>
        <v/>
      </c>
      <c r="F344" s="28" t="str">
        <f>IF(D344="","",VLOOKUP(D344,'[1]0.1 Produksi Pangan &amp; Penduduk'!$D$5:$AK$860,34,0))</f>
        <v/>
      </c>
      <c r="G344" s="29" t="str">
        <f t="shared" si="25"/>
        <v/>
      </c>
      <c r="H344" s="29" t="str">
        <f t="shared" si="26"/>
        <v/>
      </c>
      <c r="I344" s="29" t="str">
        <f t="shared" si="27"/>
        <v/>
      </c>
      <c r="J344" s="29" t="str">
        <f t="shared" si="28"/>
        <v/>
      </c>
      <c r="K344" s="29" t="str">
        <f t="shared" si="29"/>
        <v/>
      </c>
      <c r="M344" s="11"/>
    </row>
    <row r="345" spans="1:13" ht="15" x14ac:dyDescent="0.25">
      <c r="A345" s="1" t="str">
        <f>IF('1.1 Produksi Bersih Padi 2025'!A345="","",'1.1 Produksi Bersih Padi 2025'!A345)</f>
        <v/>
      </c>
      <c r="B345" s="31" t="str">
        <f>IF('1.1 Produksi Bersih Padi 2025'!B345="","",'1.1 Produksi Bersih Padi 2025'!B345)</f>
        <v/>
      </c>
      <c r="C345" s="31" t="str">
        <f>IF('1.1 Produksi Bersih Padi 2025'!C345="","",'1.1 Produksi Bersih Padi 2025'!C345)</f>
        <v/>
      </c>
      <c r="D345" s="1" t="str">
        <f>IF('1.1 Produksi Bersih Padi 2025'!D345="","",'1.1 Produksi Bersih Padi 2025'!D345)</f>
        <v/>
      </c>
      <c r="E345" s="1" t="str">
        <f>IF('1.1 Produksi Bersih Padi 2025'!E345="","",'1.1 Produksi Bersih Padi 2025'!E345)</f>
        <v/>
      </c>
      <c r="F345" s="28" t="str">
        <f>IF(D345="","",VLOOKUP(D345,'[1]0.1 Produksi Pangan &amp; Penduduk'!$D$5:$AK$860,34,0))</f>
        <v/>
      </c>
      <c r="G345" s="29" t="str">
        <f t="shared" si="25"/>
        <v/>
      </c>
      <c r="H345" s="29" t="str">
        <f t="shared" si="26"/>
        <v/>
      </c>
      <c r="I345" s="29" t="str">
        <f t="shared" si="27"/>
        <v/>
      </c>
      <c r="J345" s="29" t="str">
        <f t="shared" si="28"/>
        <v/>
      </c>
      <c r="K345" s="29" t="str">
        <f t="shared" si="29"/>
        <v/>
      </c>
      <c r="M345" s="11"/>
    </row>
    <row r="346" spans="1:13" ht="15" x14ac:dyDescent="0.25">
      <c r="A346" s="1" t="str">
        <f>IF('1.1 Produksi Bersih Padi 2025'!A346="","",'1.1 Produksi Bersih Padi 2025'!A346)</f>
        <v/>
      </c>
      <c r="B346" s="31" t="str">
        <f>IF('1.1 Produksi Bersih Padi 2025'!B346="","",'1.1 Produksi Bersih Padi 2025'!B346)</f>
        <v/>
      </c>
      <c r="C346" s="31" t="str">
        <f>IF('1.1 Produksi Bersih Padi 2025'!C346="","",'1.1 Produksi Bersih Padi 2025'!C346)</f>
        <v/>
      </c>
      <c r="D346" s="1" t="str">
        <f>IF('1.1 Produksi Bersih Padi 2025'!D346="","",'1.1 Produksi Bersih Padi 2025'!D346)</f>
        <v/>
      </c>
      <c r="E346" s="1" t="str">
        <f>IF('1.1 Produksi Bersih Padi 2025'!E346="","",'1.1 Produksi Bersih Padi 2025'!E346)</f>
        <v/>
      </c>
      <c r="F346" s="28" t="str">
        <f>IF(D346="","",VLOOKUP(D346,'[1]0.1 Produksi Pangan &amp; Penduduk'!$D$5:$AK$860,34,0))</f>
        <v/>
      </c>
      <c r="G346" s="29" t="str">
        <f t="shared" si="25"/>
        <v/>
      </c>
      <c r="H346" s="29" t="str">
        <f t="shared" si="26"/>
        <v/>
      </c>
      <c r="I346" s="29" t="str">
        <f t="shared" si="27"/>
        <v/>
      </c>
      <c r="J346" s="29" t="str">
        <f t="shared" si="28"/>
        <v/>
      </c>
      <c r="K346" s="29" t="str">
        <f t="shared" si="29"/>
        <v/>
      </c>
      <c r="M346" s="11"/>
    </row>
    <row r="347" spans="1:13" ht="15" x14ac:dyDescent="0.25">
      <c r="A347" s="1" t="str">
        <f>IF('1.1 Produksi Bersih Padi 2025'!A347="","",'1.1 Produksi Bersih Padi 2025'!A347)</f>
        <v/>
      </c>
      <c r="B347" s="31" t="str">
        <f>IF('1.1 Produksi Bersih Padi 2025'!B347="","",'1.1 Produksi Bersih Padi 2025'!B347)</f>
        <v/>
      </c>
      <c r="C347" s="31" t="str">
        <f>IF('1.1 Produksi Bersih Padi 2025'!C347="","",'1.1 Produksi Bersih Padi 2025'!C347)</f>
        <v/>
      </c>
      <c r="D347" s="1" t="str">
        <f>IF('1.1 Produksi Bersih Padi 2025'!D347="","",'1.1 Produksi Bersih Padi 2025'!D347)</f>
        <v/>
      </c>
      <c r="E347" s="1" t="str">
        <f>IF('1.1 Produksi Bersih Padi 2025'!E347="","",'1.1 Produksi Bersih Padi 2025'!E347)</f>
        <v/>
      </c>
      <c r="F347" s="28" t="str">
        <f>IF(D347="","",VLOOKUP(D347,'[1]0.1 Produksi Pangan &amp; Penduduk'!$D$5:$AK$860,34,0))</f>
        <v/>
      </c>
      <c r="G347" s="29" t="str">
        <f t="shared" si="25"/>
        <v/>
      </c>
      <c r="H347" s="29" t="str">
        <f t="shared" si="26"/>
        <v/>
      </c>
      <c r="I347" s="29" t="str">
        <f t="shared" si="27"/>
        <v/>
      </c>
      <c r="J347" s="29" t="str">
        <f t="shared" si="28"/>
        <v/>
      </c>
      <c r="K347" s="29" t="str">
        <f t="shared" si="29"/>
        <v/>
      </c>
      <c r="M347" s="11"/>
    </row>
    <row r="348" spans="1:13" ht="15" x14ac:dyDescent="0.25">
      <c r="A348" s="1" t="str">
        <f>IF('1.1 Produksi Bersih Padi 2025'!A348="","",'1.1 Produksi Bersih Padi 2025'!A348)</f>
        <v/>
      </c>
      <c r="B348" s="31" t="str">
        <f>IF('1.1 Produksi Bersih Padi 2025'!B348="","",'1.1 Produksi Bersih Padi 2025'!B348)</f>
        <v/>
      </c>
      <c r="C348" s="31" t="str">
        <f>IF('1.1 Produksi Bersih Padi 2025'!C348="","",'1.1 Produksi Bersih Padi 2025'!C348)</f>
        <v/>
      </c>
      <c r="D348" s="1" t="str">
        <f>IF('1.1 Produksi Bersih Padi 2025'!D348="","",'1.1 Produksi Bersih Padi 2025'!D348)</f>
        <v/>
      </c>
      <c r="E348" s="1" t="str">
        <f>IF('1.1 Produksi Bersih Padi 2025'!E348="","",'1.1 Produksi Bersih Padi 2025'!E348)</f>
        <v/>
      </c>
      <c r="F348" s="28" t="str">
        <f>IF(D348="","",VLOOKUP(D348,'[1]0.1 Produksi Pangan &amp; Penduduk'!$D$5:$AK$860,34,0))</f>
        <v/>
      </c>
      <c r="G348" s="29" t="str">
        <f t="shared" si="25"/>
        <v/>
      </c>
      <c r="H348" s="29" t="str">
        <f t="shared" si="26"/>
        <v/>
      </c>
      <c r="I348" s="29" t="str">
        <f t="shared" si="27"/>
        <v/>
      </c>
      <c r="J348" s="29" t="str">
        <f t="shared" si="28"/>
        <v/>
      </c>
      <c r="K348" s="29" t="str">
        <f t="shared" si="29"/>
        <v/>
      </c>
      <c r="M348" s="11"/>
    </row>
    <row r="349" spans="1:13" ht="15" x14ac:dyDescent="0.25">
      <c r="A349" s="1" t="str">
        <f>IF('1.1 Produksi Bersih Padi 2025'!A349="","",'1.1 Produksi Bersih Padi 2025'!A349)</f>
        <v/>
      </c>
      <c r="B349" s="31" t="str">
        <f>IF('1.1 Produksi Bersih Padi 2025'!B349="","",'1.1 Produksi Bersih Padi 2025'!B349)</f>
        <v/>
      </c>
      <c r="C349" s="31" t="str">
        <f>IF('1.1 Produksi Bersih Padi 2025'!C349="","",'1.1 Produksi Bersih Padi 2025'!C349)</f>
        <v/>
      </c>
      <c r="D349" s="1" t="str">
        <f>IF('1.1 Produksi Bersih Padi 2025'!D349="","",'1.1 Produksi Bersih Padi 2025'!D349)</f>
        <v/>
      </c>
      <c r="E349" s="1" t="str">
        <f>IF('1.1 Produksi Bersih Padi 2025'!E349="","",'1.1 Produksi Bersih Padi 2025'!E349)</f>
        <v/>
      </c>
      <c r="F349" s="28" t="str">
        <f>IF(D349="","",VLOOKUP(D349,'[1]0.1 Produksi Pangan &amp; Penduduk'!$D$5:$AK$860,34,0))</f>
        <v/>
      </c>
      <c r="G349" s="29" t="str">
        <f t="shared" si="25"/>
        <v/>
      </c>
      <c r="H349" s="29" t="str">
        <f t="shared" si="26"/>
        <v/>
      </c>
      <c r="I349" s="29" t="str">
        <f t="shared" si="27"/>
        <v/>
      </c>
      <c r="J349" s="29" t="str">
        <f t="shared" si="28"/>
        <v/>
      </c>
      <c r="K349" s="29" t="str">
        <f t="shared" si="29"/>
        <v/>
      </c>
      <c r="M349" s="11"/>
    </row>
    <row r="350" spans="1:13" ht="15" x14ac:dyDescent="0.25">
      <c r="A350" s="1" t="str">
        <f>IF('1.1 Produksi Bersih Padi 2025'!A350="","",'1.1 Produksi Bersih Padi 2025'!A350)</f>
        <v/>
      </c>
      <c r="B350" s="31" t="str">
        <f>IF('1.1 Produksi Bersih Padi 2025'!B350="","",'1.1 Produksi Bersih Padi 2025'!B350)</f>
        <v/>
      </c>
      <c r="C350" s="31" t="str">
        <f>IF('1.1 Produksi Bersih Padi 2025'!C350="","",'1.1 Produksi Bersih Padi 2025'!C350)</f>
        <v/>
      </c>
      <c r="D350" s="1" t="str">
        <f>IF('1.1 Produksi Bersih Padi 2025'!D350="","",'1.1 Produksi Bersih Padi 2025'!D350)</f>
        <v/>
      </c>
      <c r="E350" s="1" t="str">
        <f>IF('1.1 Produksi Bersih Padi 2025'!E350="","",'1.1 Produksi Bersih Padi 2025'!E350)</f>
        <v/>
      </c>
      <c r="F350" s="28" t="str">
        <f>IF(D350="","",VLOOKUP(D350,'[1]0.1 Produksi Pangan &amp; Penduduk'!$D$5:$AK$860,34,0))</f>
        <v/>
      </c>
      <c r="G350" s="29" t="str">
        <f t="shared" si="25"/>
        <v/>
      </c>
      <c r="H350" s="29" t="str">
        <f t="shared" si="26"/>
        <v/>
      </c>
      <c r="I350" s="29" t="str">
        <f t="shared" si="27"/>
        <v/>
      </c>
      <c r="J350" s="29" t="str">
        <f t="shared" si="28"/>
        <v/>
      </c>
      <c r="K350" s="29" t="str">
        <f t="shared" si="29"/>
        <v/>
      </c>
      <c r="M350" s="11"/>
    </row>
    <row r="351" spans="1:13" ht="15" x14ac:dyDescent="0.25">
      <c r="A351" s="1" t="str">
        <f>IF('1.1 Produksi Bersih Padi 2025'!A351="","",'1.1 Produksi Bersih Padi 2025'!A351)</f>
        <v/>
      </c>
      <c r="B351" s="31" t="str">
        <f>IF('1.1 Produksi Bersih Padi 2025'!B351="","",'1.1 Produksi Bersih Padi 2025'!B351)</f>
        <v/>
      </c>
      <c r="C351" s="31" t="str">
        <f>IF('1.1 Produksi Bersih Padi 2025'!C351="","",'1.1 Produksi Bersih Padi 2025'!C351)</f>
        <v/>
      </c>
      <c r="D351" s="1" t="str">
        <f>IF('1.1 Produksi Bersih Padi 2025'!D351="","",'1.1 Produksi Bersih Padi 2025'!D351)</f>
        <v/>
      </c>
      <c r="E351" s="1" t="str">
        <f>IF('1.1 Produksi Bersih Padi 2025'!E351="","",'1.1 Produksi Bersih Padi 2025'!E351)</f>
        <v/>
      </c>
      <c r="F351" s="28" t="str">
        <f>IF(D351="","",VLOOKUP(D351,'[1]0.1 Produksi Pangan &amp; Penduduk'!$D$5:$AK$860,34,0))</f>
        <v/>
      </c>
      <c r="G351" s="29" t="str">
        <f t="shared" si="25"/>
        <v/>
      </c>
      <c r="H351" s="29" t="str">
        <f t="shared" si="26"/>
        <v/>
      </c>
      <c r="I351" s="29" t="str">
        <f t="shared" si="27"/>
        <v/>
      </c>
      <c r="J351" s="29" t="str">
        <f t="shared" si="28"/>
        <v/>
      </c>
      <c r="K351" s="29" t="str">
        <f t="shared" si="29"/>
        <v/>
      </c>
      <c r="M351" s="11"/>
    </row>
    <row r="352" spans="1:13" ht="15" x14ac:dyDescent="0.25">
      <c r="A352" s="1" t="str">
        <f>IF('1.1 Produksi Bersih Padi 2025'!A352="","",'1.1 Produksi Bersih Padi 2025'!A352)</f>
        <v/>
      </c>
      <c r="B352" s="31" t="str">
        <f>IF('1.1 Produksi Bersih Padi 2025'!B352="","",'1.1 Produksi Bersih Padi 2025'!B352)</f>
        <v/>
      </c>
      <c r="C352" s="31" t="str">
        <f>IF('1.1 Produksi Bersih Padi 2025'!C352="","",'1.1 Produksi Bersih Padi 2025'!C352)</f>
        <v/>
      </c>
      <c r="D352" s="1" t="str">
        <f>IF('1.1 Produksi Bersih Padi 2025'!D352="","",'1.1 Produksi Bersih Padi 2025'!D352)</f>
        <v/>
      </c>
      <c r="E352" s="1" t="str">
        <f>IF('1.1 Produksi Bersih Padi 2025'!E352="","",'1.1 Produksi Bersih Padi 2025'!E352)</f>
        <v/>
      </c>
      <c r="F352" s="28" t="str">
        <f>IF(D352="","",VLOOKUP(D352,'[1]0.1 Produksi Pangan &amp; Penduduk'!$D$5:$AK$860,34,0))</f>
        <v/>
      </c>
      <c r="G352" s="29" t="str">
        <f t="shared" si="25"/>
        <v/>
      </c>
      <c r="H352" s="29" t="str">
        <f t="shared" si="26"/>
        <v/>
      </c>
      <c r="I352" s="29" t="str">
        <f t="shared" si="27"/>
        <v/>
      </c>
      <c r="J352" s="29" t="str">
        <f t="shared" si="28"/>
        <v/>
      </c>
      <c r="K352" s="29" t="str">
        <f t="shared" si="29"/>
        <v/>
      </c>
      <c r="M352" s="11"/>
    </row>
    <row r="353" spans="1:13" ht="15" x14ac:dyDescent="0.25">
      <c r="A353" s="1" t="str">
        <f>IF('1.1 Produksi Bersih Padi 2025'!A353="","",'1.1 Produksi Bersih Padi 2025'!A353)</f>
        <v/>
      </c>
      <c r="B353" s="31" t="str">
        <f>IF('1.1 Produksi Bersih Padi 2025'!B353="","",'1.1 Produksi Bersih Padi 2025'!B353)</f>
        <v/>
      </c>
      <c r="C353" s="31" t="str">
        <f>IF('1.1 Produksi Bersih Padi 2025'!C353="","",'1.1 Produksi Bersih Padi 2025'!C353)</f>
        <v/>
      </c>
      <c r="D353" s="1" t="str">
        <f>IF('1.1 Produksi Bersih Padi 2025'!D353="","",'1.1 Produksi Bersih Padi 2025'!D353)</f>
        <v/>
      </c>
      <c r="E353" s="1" t="str">
        <f>IF('1.1 Produksi Bersih Padi 2025'!E353="","",'1.1 Produksi Bersih Padi 2025'!E353)</f>
        <v/>
      </c>
      <c r="F353" s="28" t="str">
        <f>IF(D353="","",VLOOKUP(D353,'[1]0.1 Produksi Pangan &amp; Penduduk'!$D$5:$AK$860,34,0))</f>
        <v/>
      </c>
      <c r="G353" s="29" t="str">
        <f t="shared" si="25"/>
        <v/>
      </c>
      <c r="H353" s="29" t="str">
        <f t="shared" si="26"/>
        <v/>
      </c>
      <c r="I353" s="29" t="str">
        <f t="shared" si="27"/>
        <v/>
      </c>
      <c r="J353" s="29" t="str">
        <f t="shared" si="28"/>
        <v/>
      </c>
      <c r="K353" s="29" t="str">
        <f t="shared" si="29"/>
        <v/>
      </c>
      <c r="M353" s="11"/>
    </row>
    <row r="354" spans="1:13" ht="15" x14ac:dyDescent="0.25">
      <c r="A354" s="1" t="str">
        <f>IF('1.1 Produksi Bersih Padi 2025'!A354="","",'1.1 Produksi Bersih Padi 2025'!A354)</f>
        <v/>
      </c>
      <c r="B354" s="31" t="str">
        <f>IF('1.1 Produksi Bersih Padi 2025'!B354="","",'1.1 Produksi Bersih Padi 2025'!B354)</f>
        <v/>
      </c>
      <c r="C354" s="31" t="str">
        <f>IF('1.1 Produksi Bersih Padi 2025'!C354="","",'1.1 Produksi Bersih Padi 2025'!C354)</f>
        <v/>
      </c>
      <c r="D354" s="1" t="str">
        <f>IF('1.1 Produksi Bersih Padi 2025'!D354="","",'1.1 Produksi Bersih Padi 2025'!D354)</f>
        <v/>
      </c>
      <c r="E354" s="1" t="str">
        <f>IF('1.1 Produksi Bersih Padi 2025'!E354="","",'1.1 Produksi Bersih Padi 2025'!E354)</f>
        <v/>
      </c>
      <c r="F354" s="28" t="str">
        <f>IF(D354="","",VLOOKUP(D354,'[1]0.1 Produksi Pangan &amp; Penduduk'!$D$5:$AK$860,34,0))</f>
        <v/>
      </c>
      <c r="G354" s="29" t="str">
        <f t="shared" si="25"/>
        <v/>
      </c>
      <c r="H354" s="29" t="str">
        <f t="shared" si="26"/>
        <v/>
      </c>
      <c r="I354" s="29" t="str">
        <f t="shared" si="27"/>
        <v/>
      </c>
      <c r="J354" s="29" t="str">
        <f t="shared" si="28"/>
        <v/>
      </c>
      <c r="K354" s="29" t="str">
        <f t="shared" si="29"/>
        <v/>
      </c>
      <c r="M354" s="11"/>
    </row>
    <row r="355" spans="1:13" ht="15" x14ac:dyDescent="0.25">
      <c r="A355" s="1" t="str">
        <f>IF('1.1 Produksi Bersih Padi 2025'!A355="","",'1.1 Produksi Bersih Padi 2025'!A355)</f>
        <v/>
      </c>
      <c r="B355" s="31" t="str">
        <f>IF('1.1 Produksi Bersih Padi 2025'!B355="","",'1.1 Produksi Bersih Padi 2025'!B355)</f>
        <v/>
      </c>
      <c r="C355" s="31" t="str">
        <f>IF('1.1 Produksi Bersih Padi 2025'!C355="","",'1.1 Produksi Bersih Padi 2025'!C355)</f>
        <v/>
      </c>
      <c r="D355" s="1" t="str">
        <f>IF('1.1 Produksi Bersih Padi 2025'!D355="","",'1.1 Produksi Bersih Padi 2025'!D355)</f>
        <v/>
      </c>
      <c r="E355" s="1" t="str">
        <f>IF('1.1 Produksi Bersih Padi 2025'!E355="","",'1.1 Produksi Bersih Padi 2025'!E355)</f>
        <v/>
      </c>
      <c r="F355" s="28" t="str">
        <f>IF(D355="","",VLOOKUP(D355,'[1]0.1 Produksi Pangan &amp; Penduduk'!$D$5:$AK$860,34,0))</f>
        <v/>
      </c>
      <c r="G355" s="29" t="str">
        <f t="shared" si="25"/>
        <v/>
      </c>
      <c r="H355" s="29" t="str">
        <f t="shared" si="26"/>
        <v/>
      </c>
      <c r="I355" s="29" t="str">
        <f t="shared" si="27"/>
        <v/>
      </c>
      <c r="J355" s="29" t="str">
        <f t="shared" si="28"/>
        <v/>
      </c>
      <c r="K355" s="29" t="str">
        <f t="shared" si="29"/>
        <v/>
      </c>
      <c r="M355" s="11"/>
    </row>
    <row r="356" spans="1:13" ht="15" x14ac:dyDescent="0.25">
      <c r="A356" s="1" t="str">
        <f>IF('1.1 Produksi Bersih Padi 2025'!A356="","",'1.1 Produksi Bersih Padi 2025'!A356)</f>
        <v/>
      </c>
      <c r="B356" s="31" t="str">
        <f>IF('1.1 Produksi Bersih Padi 2025'!B356="","",'1.1 Produksi Bersih Padi 2025'!B356)</f>
        <v/>
      </c>
      <c r="C356" s="31" t="str">
        <f>IF('1.1 Produksi Bersih Padi 2025'!C356="","",'1.1 Produksi Bersih Padi 2025'!C356)</f>
        <v/>
      </c>
      <c r="D356" s="1" t="str">
        <f>IF('1.1 Produksi Bersih Padi 2025'!D356="","",'1.1 Produksi Bersih Padi 2025'!D356)</f>
        <v/>
      </c>
      <c r="E356" s="1" t="str">
        <f>IF('1.1 Produksi Bersih Padi 2025'!E356="","",'1.1 Produksi Bersih Padi 2025'!E356)</f>
        <v/>
      </c>
      <c r="F356" s="28" t="str">
        <f>IF(D356="","",VLOOKUP(D356,'[1]0.1 Produksi Pangan &amp; Penduduk'!$D$5:$AK$860,34,0))</f>
        <v/>
      </c>
      <c r="G356" s="29" t="str">
        <f t="shared" si="25"/>
        <v/>
      </c>
      <c r="H356" s="29" t="str">
        <f t="shared" si="26"/>
        <v/>
      </c>
      <c r="I356" s="29" t="str">
        <f t="shared" si="27"/>
        <v/>
      </c>
      <c r="J356" s="29" t="str">
        <f t="shared" si="28"/>
        <v/>
      </c>
      <c r="K356" s="29" t="str">
        <f t="shared" si="29"/>
        <v/>
      </c>
      <c r="M356" s="11"/>
    </row>
    <row r="357" spans="1:13" ht="15" x14ac:dyDescent="0.25">
      <c r="A357" s="1" t="str">
        <f>IF('1.1 Produksi Bersih Padi 2025'!A357="","",'1.1 Produksi Bersih Padi 2025'!A357)</f>
        <v/>
      </c>
      <c r="B357" s="31" t="str">
        <f>IF('1.1 Produksi Bersih Padi 2025'!B357="","",'1.1 Produksi Bersih Padi 2025'!B357)</f>
        <v/>
      </c>
      <c r="C357" s="31" t="str">
        <f>IF('1.1 Produksi Bersih Padi 2025'!C357="","",'1.1 Produksi Bersih Padi 2025'!C357)</f>
        <v/>
      </c>
      <c r="D357" s="1" t="str">
        <f>IF('1.1 Produksi Bersih Padi 2025'!D357="","",'1.1 Produksi Bersih Padi 2025'!D357)</f>
        <v/>
      </c>
      <c r="E357" s="1" t="str">
        <f>IF('1.1 Produksi Bersih Padi 2025'!E357="","",'1.1 Produksi Bersih Padi 2025'!E357)</f>
        <v/>
      </c>
      <c r="F357" s="28" t="str">
        <f>IF(D357="","",VLOOKUP(D357,'[1]0.1 Produksi Pangan &amp; Penduduk'!$D$5:$AK$860,34,0))</f>
        <v/>
      </c>
      <c r="G357" s="29" t="str">
        <f t="shared" si="25"/>
        <v/>
      </c>
      <c r="H357" s="29" t="str">
        <f t="shared" si="26"/>
        <v/>
      </c>
      <c r="I357" s="29" t="str">
        <f t="shared" si="27"/>
        <v/>
      </c>
      <c r="J357" s="29" t="str">
        <f t="shared" si="28"/>
        <v/>
      </c>
      <c r="K357" s="29" t="str">
        <f t="shared" si="29"/>
        <v/>
      </c>
      <c r="M357" s="11"/>
    </row>
    <row r="358" spans="1:13" ht="15" x14ac:dyDescent="0.25">
      <c r="A358" s="1" t="str">
        <f>IF('1.1 Produksi Bersih Padi 2025'!A358="","",'1.1 Produksi Bersih Padi 2025'!A358)</f>
        <v/>
      </c>
      <c r="B358" s="31" t="str">
        <f>IF('1.1 Produksi Bersih Padi 2025'!B358="","",'1.1 Produksi Bersih Padi 2025'!B358)</f>
        <v/>
      </c>
      <c r="C358" s="31" t="str">
        <f>IF('1.1 Produksi Bersih Padi 2025'!C358="","",'1.1 Produksi Bersih Padi 2025'!C358)</f>
        <v/>
      </c>
      <c r="D358" s="1" t="str">
        <f>IF('1.1 Produksi Bersih Padi 2025'!D358="","",'1.1 Produksi Bersih Padi 2025'!D358)</f>
        <v/>
      </c>
      <c r="E358" s="1" t="str">
        <f>IF('1.1 Produksi Bersih Padi 2025'!E358="","",'1.1 Produksi Bersih Padi 2025'!E358)</f>
        <v/>
      </c>
      <c r="F358" s="28" t="str">
        <f>IF(D358="","",VLOOKUP(D358,'[1]0.1 Produksi Pangan &amp; Penduduk'!$D$5:$AK$860,34,0))</f>
        <v/>
      </c>
      <c r="G358" s="29" t="str">
        <f t="shared" si="25"/>
        <v/>
      </c>
      <c r="H358" s="29" t="str">
        <f t="shared" si="26"/>
        <v/>
      </c>
      <c r="I358" s="29" t="str">
        <f t="shared" si="27"/>
        <v/>
      </c>
      <c r="J358" s="29" t="str">
        <f t="shared" si="28"/>
        <v/>
      </c>
      <c r="K358" s="29" t="str">
        <f t="shared" si="29"/>
        <v/>
      </c>
      <c r="M358" s="11"/>
    </row>
    <row r="359" spans="1:13" ht="15" x14ac:dyDescent="0.25">
      <c r="A359" s="1" t="str">
        <f>IF('1.1 Produksi Bersih Padi 2025'!A359="","",'1.1 Produksi Bersih Padi 2025'!A359)</f>
        <v/>
      </c>
      <c r="B359" s="31" t="str">
        <f>IF('1.1 Produksi Bersih Padi 2025'!B359="","",'1.1 Produksi Bersih Padi 2025'!B359)</f>
        <v/>
      </c>
      <c r="C359" s="31" t="str">
        <f>IF('1.1 Produksi Bersih Padi 2025'!C359="","",'1.1 Produksi Bersih Padi 2025'!C359)</f>
        <v/>
      </c>
      <c r="D359" s="1" t="str">
        <f>IF('1.1 Produksi Bersih Padi 2025'!D359="","",'1.1 Produksi Bersih Padi 2025'!D359)</f>
        <v/>
      </c>
      <c r="E359" s="1" t="str">
        <f>IF('1.1 Produksi Bersih Padi 2025'!E359="","",'1.1 Produksi Bersih Padi 2025'!E359)</f>
        <v/>
      </c>
      <c r="F359" s="28" t="str">
        <f>IF(D359="","",VLOOKUP(D359,'[1]0.1 Produksi Pangan &amp; Penduduk'!$D$5:$AK$860,34,0))</f>
        <v/>
      </c>
      <c r="G359" s="29" t="str">
        <f t="shared" si="25"/>
        <v/>
      </c>
      <c r="H359" s="29" t="str">
        <f t="shared" si="26"/>
        <v/>
      </c>
      <c r="I359" s="29" t="str">
        <f t="shared" si="27"/>
        <v/>
      </c>
      <c r="J359" s="29" t="str">
        <f t="shared" si="28"/>
        <v/>
      </c>
      <c r="K359" s="29" t="str">
        <f t="shared" si="29"/>
        <v/>
      </c>
      <c r="M359" s="11"/>
    </row>
    <row r="360" spans="1:13" ht="15" x14ac:dyDescent="0.25">
      <c r="A360" s="1" t="str">
        <f>IF('1.1 Produksi Bersih Padi 2025'!A360="","",'1.1 Produksi Bersih Padi 2025'!A360)</f>
        <v/>
      </c>
      <c r="B360" s="31" t="str">
        <f>IF('1.1 Produksi Bersih Padi 2025'!B360="","",'1.1 Produksi Bersih Padi 2025'!B360)</f>
        <v/>
      </c>
      <c r="C360" s="31" t="str">
        <f>IF('1.1 Produksi Bersih Padi 2025'!C360="","",'1.1 Produksi Bersih Padi 2025'!C360)</f>
        <v/>
      </c>
      <c r="D360" s="1" t="str">
        <f>IF('1.1 Produksi Bersih Padi 2025'!D360="","",'1.1 Produksi Bersih Padi 2025'!D360)</f>
        <v/>
      </c>
      <c r="E360" s="1" t="str">
        <f>IF('1.1 Produksi Bersih Padi 2025'!E360="","",'1.1 Produksi Bersih Padi 2025'!E360)</f>
        <v/>
      </c>
      <c r="F360" s="28" t="str">
        <f>IF(D360="","",VLOOKUP(D360,'[1]0.1 Produksi Pangan &amp; Penduduk'!$D$5:$AK$860,34,0))</f>
        <v/>
      </c>
      <c r="G360" s="29" t="str">
        <f t="shared" si="25"/>
        <v/>
      </c>
      <c r="H360" s="29" t="str">
        <f t="shared" si="26"/>
        <v/>
      </c>
      <c r="I360" s="29" t="str">
        <f t="shared" si="27"/>
        <v/>
      </c>
      <c r="J360" s="29" t="str">
        <f t="shared" si="28"/>
        <v/>
      </c>
      <c r="K360" s="29" t="str">
        <f t="shared" si="29"/>
        <v/>
      </c>
      <c r="M360" s="11"/>
    </row>
    <row r="361" spans="1:13" ht="15" x14ac:dyDescent="0.25">
      <c r="A361" s="1" t="str">
        <f>IF('1.1 Produksi Bersih Padi 2025'!A361="","",'1.1 Produksi Bersih Padi 2025'!A361)</f>
        <v/>
      </c>
      <c r="B361" s="31" t="str">
        <f>IF('1.1 Produksi Bersih Padi 2025'!B361="","",'1.1 Produksi Bersih Padi 2025'!B361)</f>
        <v/>
      </c>
      <c r="C361" s="31" t="str">
        <f>IF('1.1 Produksi Bersih Padi 2025'!C361="","",'1.1 Produksi Bersih Padi 2025'!C361)</f>
        <v/>
      </c>
      <c r="D361" s="1" t="str">
        <f>IF('1.1 Produksi Bersih Padi 2025'!D361="","",'1.1 Produksi Bersih Padi 2025'!D361)</f>
        <v/>
      </c>
      <c r="E361" s="1" t="str">
        <f>IF('1.1 Produksi Bersih Padi 2025'!E361="","",'1.1 Produksi Bersih Padi 2025'!E361)</f>
        <v/>
      </c>
      <c r="F361" s="28" t="str">
        <f>IF(D361="","",VLOOKUP(D361,'[1]0.1 Produksi Pangan &amp; Penduduk'!$D$5:$AK$860,34,0))</f>
        <v/>
      </c>
      <c r="G361" s="29" t="str">
        <f t="shared" si="25"/>
        <v/>
      </c>
      <c r="H361" s="29" t="str">
        <f t="shared" si="26"/>
        <v/>
      </c>
      <c r="I361" s="29" t="str">
        <f t="shared" si="27"/>
        <v/>
      </c>
      <c r="J361" s="29" t="str">
        <f t="shared" si="28"/>
        <v/>
      </c>
      <c r="K361" s="29" t="str">
        <f t="shared" si="29"/>
        <v/>
      </c>
      <c r="M361" s="11"/>
    </row>
    <row r="362" spans="1:13" ht="15" x14ac:dyDescent="0.25">
      <c r="A362" s="1" t="str">
        <f>IF('1.1 Produksi Bersih Padi 2025'!A362="","",'1.1 Produksi Bersih Padi 2025'!A362)</f>
        <v/>
      </c>
      <c r="B362" s="31" t="str">
        <f>IF('1.1 Produksi Bersih Padi 2025'!B362="","",'1.1 Produksi Bersih Padi 2025'!B362)</f>
        <v/>
      </c>
      <c r="C362" s="31" t="str">
        <f>IF('1.1 Produksi Bersih Padi 2025'!C362="","",'1.1 Produksi Bersih Padi 2025'!C362)</f>
        <v/>
      </c>
      <c r="D362" s="1" t="str">
        <f>IF('1.1 Produksi Bersih Padi 2025'!D362="","",'1.1 Produksi Bersih Padi 2025'!D362)</f>
        <v/>
      </c>
      <c r="E362" s="1" t="str">
        <f>IF('1.1 Produksi Bersih Padi 2025'!E362="","",'1.1 Produksi Bersih Padi 2025'!E362)</f>
        <v/>
      </c>
      <c r="F362" s="28" t="str">
        <f>IF(D362="","",VLOOKUP(D362,'[1]0.1 Produksi Pangan &amp; Penduduk'!$D$5:$AK$860,34,0))</f>
        <v/>
      </c>
      <c r="G362" s="29" t="str">
        <f t="shared" si="25"/>
        <v/>
      </c>
      <c r="H362" s="29" t="str">
        <f t="shared" si="26"/>
        <v/>
      </c>
      <c r="I362" s="29" t="str">
        <f t="shared" si="27"/>
        <v/>
      </c>
      <c r="J362" s="29" t="str">
        <f t="shared" si="28"/>
        <v/>
      </c>
      <c r="K362" s="29" t="str">
        <f t="shared" si="29"/>
        <v/>
      </c>
      <c r="M362" s="11"/>
    </row>
    <row r="363" spans="1:13" ht="15" x14ac:dyDescent="0.25">
      <c r="A363" s="1" t="str">
        <f>IF('1.1 Produksi Bersih Padi 2025'!A363="","",'1.1 Produksi Bersih Padi 2025'!A363)</f>
        <v/>
      </c>
      <c r="B363" s="31" t="str">
        <f>IF('1.1 Produksi Bersih Padi 2025'!B363="","",'1.1 Produksi Bersih Padi 2025'!B363)</f>
        <v/>
      </c>
      <c r="C363" s="31" t="str">
        <f>IF('1.1 Produksi Bersih Padi 2025'!C363="","",'1.1 Produksi Bersih Padi 2025'!C363)</f>
        <v/>
      </c>
      <c r="D363" s="1" t="str">
        <f>IF('1.1 Produksi Bersih Padi 2025'!D363="","",'1.1 Produksi Bersih Padi 2025'!D363)</f>
        <v/>
      </c>
      <c r="E363" s="1" t="str">
        <f>IF('1.1 Produksi Bersih Padi 2025'!E363="","",'1.1 Produksi Bersih Padi 2025'!E363)</f>
        <v/>
      </c>
      <c r="F363" s="28" t="str">
        <f>IF(D363="","",VLOOKUP(D363,'[1]0.1 Produksi Pangan &amp; Penduduk'!$D$5:$AK$860,34,0))</f>
        <v/>
      </c>
      <c r="G363" s="29" t="str">
        <f t="shared" si="25"/>
        <v/>
      </c>
      <c r="H363" s="29" t="str">
        <f t="shared" si="26"/>
        <v/>
      </c>
      <c r="I363" s="29" t="str">
        <f t="shared" si="27"/>
        <v/>
      </c>
      <c r="J363" s="29" t="str">
        <f t="shared" si="28"/>
        <v/>
      </c>
      <c r="K363" s="29" t="str">
        <f t="shared" si="29"/>
        <v/>
      </c>
      <c r="M363" s="11"/>
    </row>
    <row r="364" spans="1:13" ht="15" x14ac:dyDescent="0.25">
      <c r="A364" s="1" t="str">
        <f>IF('1.1 Produksi Bersih Padi 2025'!A364="","",'1.1 Produksi Bersih Padi 2025'!A364)</f>
        <v/>
      </c>
      <c r="B364" s="31" t="str">
        <f>IF('1.1 Produksi Bersih Padi 2025'!B364="","",'1.1 Produksi Bersih Padi 2025'!B364)</f>
        <v/>
      </c>
      <c r="C364" s="31" t="str">
        <f>IF('1.1 Produksi Bersih Padi 2025'!C364="","",'1.1 Produksi Bersih Padi 2025'!C364)</f>
        <v/>
      </c>
      <c r="D364" s="1" t="str">
        <f>IF('1.1 Produksi Bersih Padi 2025'!D364="","",'1.1 Produksi Bersih Padi 2025'!D364)</f>
        <v/>
      </c>
      <c r="E364" s="1" t="str">
        <f>IF('1.1 Produksi Bersih Padi 2025'!E364="","",'1.1 Produksi Bersih Padi 2025'!E364)</f>
        <v/>
      </c>
      <c r="F364" s="28" t="str">
        <f>IF(D364="","",VLOOKUP(D364,'[1]0.1 Produksi Pangan &amp; Penduduk'!$D$5:$AK$860,34,0))</f>
        <v/>
      </c>
      <c r="G364" s="29" t="str">
        <f t="shared" si="25"/>
        <v/>
      </c>
      <c r="H364" s="29" t="str">
        <f t="shared" si="26"/>
        <v/>
      </c>
      <c r="I364" s="29" t="str">
        <f t="shared" si="27"/>
        <v/>
      </c>
      <c r="J364" s="29" t="str">
        <f t="shared" si="28"/>
        <v/>
      </c>
      <c r="K364" s="29" t="str">
        <f t="shared" si="29"/>
        <v/>
      </c>
      <c r="M364" s="11"/>
    </row>
    <row r="365" spans="1:13" ht="15" x14ac:dyDescent="0.25">
      <c r="A365" s="1" t="str">
        <f>IF('1.1 Produksi Bersih Padi 2025'!A365="","",'1.1 Produksi Bersih Padi 2025'!A365)</f>
        <v/>
      </c>
      <c r="B365" s="31" t="str">
        <f>IF('1.1 Produksi Bersih Padi 2025'!B365="","",'1.1 Produksi Bersih Padi 2025'!B365)</f>
        <v/>
      </c>
      <c r="C365" s="31" t="str">
        <f>IF('1.1 Produksi Bersih Padi 2025'!C365="","",'1.1 Produksi Bersih Padi 2025'!C365)</f>
        <v/>
      </c>
      <c r="D365" s="1" t="str">
        <f>IF('1.1 Produksi Bersih Padi 2025'!D365="","",'1.1 Produksi Bersih Padi 2025'!D365)</f>
        <v/>
      </c>
      <c r="E365" s="1" t="str">
        <f>IF('1.1 Produksi Bersih Padi 2025'!E365="","",'1.1 Produksi Bersih Padi 2025'!E365)</f>
        <v/>
      </c>
      <c r="F365" s="28" t="str">
        <f>IF(D365="","",VLOOKUP(D365,'[1]0.1 Produksi Pangan &amp; Penduduk'!$D$5:$AK$860,34,0))</f>
        <v/>
      </c>
      <c r="G365" s="29" t="str">
        <f t="shared" si="25"/>
        <v/>
      </c>
      <c r="H365" s="29" t="str">
        <f t="shared" si="26"/>
        <v/>
      </c>
      <c r="I365" s="29" t="str">
        <f t="shared" si="27"/>
        <v/>
      </c>
      <c r="J365" s="29" t="str">
        <f t="shared" si="28"/>
        <v/>
      </c>
      <c r="K365" s="29" t="str">
        <f t="shared" si="29"/>
        <v/>
      </c>
      <c r="M365" s="11"/>
    </row>
    <row r="366" spans="1:13" ht="15" x14ac:dyDescent="0.25">
      <c r="A366" s="1" t="str">
        <f>IF('1.1 Produksi Bersih Padi 2025'!A366="","",'1.1 Produksi Bersih Padi 2025'!A366)</f>
        <v/>
      </c>
      <c r="B366" s="31" t="str">
        <f>IF('1.1 Produksi Bersih Padi 2025'!B366="","",'1.1 Produksi Bersih Padi 2025'!B366)</f>
        <v/>
      </c>
      <c r="C366" s="31" t="str">
        <f>IF('1.1 Produksi Bersih Padi 2025'!C366="","",'1.1 Produksi Bersih Padi 2025'!C366)</f>
        <v/>
      </c>
      <c r="D366" s="1" t="str">
        <f>IF('1.1 Produksi Bersih Padi 2025'!D366="","",'1.1 Produksi Bersih Padi 2025'!D366)</f>
        <v/>
      </c>
      <c r="E366" s="1" t="str">
        <f>IF('1.1 Produksi Bersih Padi 2025'!E366="","",'1.1 Produksi Bersih Padi 2025'!E366)</f>
        <v/>
      </c>
      <c r="F366" s="28" t="str">
        <f>IF(D366="","",VLOOKUP(D366,'[1]0.1 Produksi Pangan &amp; Penduduk'!$D$5:$AK$860,34,0))</f>
        <v/>
      </c>
      <c r="G366" s="29" t="str">
        <f t="shared" si="25"/>
        <v/>
      </c>
      <c r="H366" s="29" t="str">
        <f t="shared" si="26"/>
        <v/>
      </c>
      <c r="I366" s="29" t="str">
        <f t="shared" si="27"/>
        <v/>
      </c>
      <c r="J366" s="29" t="str">
        <f t="shared" si="28"/>
        <v/>
      </c>
      <c r="K366" s="29" t="str">
        <f t="shared" si="29"/>
        <v/>
      </c>
      <c r="M366" s="11"/>
    </row>
    <row r="367" spans="1:13" ht="15" x14ac:dyDescent="0.25">
      <c r="A367" s="1" t="str">
        <f>IF('1.1 Produksi Bersih Padi 2025'!A367="","",'1.1 Produksi Bersih Padi 2025'!A367)</f>
        <v/>
      </c>
      <c r="B367" s="31" t="str">
        <f>IF('1.1 Produksi Bersih Padi 2025'!B367="","",'1.1 Produksi Bersih Padi 2025'!B367)</f>
        <v/>
      </c>
      <c r="C367" s="31" t="str">
        <f>IF('1.1 Produksi Bersih Padi 2025'!C367="","",'1.1 Produksi Bersih Padi 2025'!C367)</f>
        <v/>
      </c>
      <c r="D367" s="1" t="str">
        <f>IF('1.1 Produksi Bersih Padi 2025'!D367="","",'1.1 Produksi Bersih Padi 2025'!D367)</f>
        <v/>
      </c>
      <c r="E367" s="1" t="str">
        <f>IF('1.1 Produksi Bersih Padi 2025'!E367="","",'1.1 Produksi Bersih Padi 2025'!E367)</f>
        <v/>
      </c>
      <c r="F367" s="28" t="str">
        <f>IF(D367="","",VLOOKUP(D367,'[1]0.1 Produksi Pangan &amp; Penduduk'!$D$5:$AK$860,34,0))</f>
        <v/>
      </c>
      <c r="G367" s="29" t="str">
        <f t="shared" si="25"/>
        <v/>
      </c>
      <c r="H367" s="29" t="str">
        <f t="shared" si="26"/>
        <v/>
      </c>
      <c r="I367" s="29" t="str">
        <f t="shared" si="27"/>
        <v/>
      </c>
      <c r="J367" s="29" t="str">
        <f t="shared" si="28"/>
        <v/>
      </c>
      <c r="K367" s="29" t="str">
        <f t="shared" si="29"/>
        <v/>
      </c>
      <c r="M367" s="11"/>
    </row>
    <row r="368" spans="1:13" ht="15" x14ac:dyDescent="0.25">
      <c r="A368" s="1" t="str">
        <f>IF('1.1 Produksi Bersih Padi 2025'!A368="","",'1.1 Produksi Bersih Padi 2025'!A368)</f>
        <v/>
      </c>
      <c r="B368" s="31" t="str">
        <f>IF('1.1 Produksi Bersih Padi 2025'!B368="","",'1.1 Produksi Bersih Padi 2025'!B368)</f>
        <v/>
      </c>
      <c r="C368" s="31" t="str">
        <f>IF('1.1 Produksi Bersih Padi 2025'!C368="","",'1.1 Produksi Bersih Padi 2025'!C368)</f>
        <v/>
      </c>
      <c r="D368" s="1" t="str">
        <f>IF('1.1 Produksi Bersih Padi 2025'!D368="","",'1.1 Produksi Bersih Padi 2025'!D368)</f>
        <v/>
      </c>
      <c r="E368" s="1" t="str">
        <f>IF('1.1 Produksi Bersih Padi 2025'!E368="","",'1.1 Produksi Bersih Padi 2025'!E368)</f>
        <v/>
      </c>
      <c r="F368" s="28" t="str">
        <f>IF(D368="","",VLOOKUP(D368,'[1]0.1 Produksi Pangan &amp; Penduduk'!$D$5:$AK$860,34,0))</f>
        <v/>
      </c>
      <c r="G368" s="29" t="str">
        <f t="shared" si="25"/>
        <v/>
      </c>
      <c r="H368" s="29" t="str">
        <f t="shared" si="26"/>
        <v/>
      </c>
      <c r="I368" s="29" t="str">
        <f t="shared" si="27"/>
        <v/>
      </c>
      <c r="J368" s="29" t="str">
        <f t="shared" si="28"/>
        <v/>
      </c>
      <c r="K368" s="29" t="str">
        <f t="shared" si="29"/>
        <v/>
      </c>
      <c r="M368" s="11"/>
    </row>
    <row r="369" spans="1:13" ht="15" x14ac:dyDescent="0.25">
      <c r="A369" s="1" t="str">
        <f>IF('1.1 Produksi Bersih Padi 2025'!A369="","",'1.1 Produksi Bersih Padi 2025'!A369)</f>
        <v/>
      </c>
      <c r="B369" s="31" t="str">
        <f>IF('1.1 Produksi Bersih Padi 2025'!B369="","",'1.1 Produksi Bersih Padi 2025'!B369)</f>
        <v/>
      </c>
      <c r="C369" s="31" t="str">
        <f>IF('1.1 Produksi Bersih Padi 2025'!C369="","",'1.1 Produksi Bersih Padi 2025'!C369)</f>
        <v/>
      </c>
      <c r="D369" s="1" t="str">
        <f>IF('1.1 Produksi Bersih Padi 2025'!D369="","",'1.1 Produksi Bersih Padi 2025'!D369)</f>
        <v/>
      </c>
      <c r="E369" s="1" t="str">
        <f>IF('1.1 Produksi Bersih Padi 2025'!E369="","",'1.1 Produksi Bersih Padi 2025'!E369)</f>
        <v/>
      </c>
      <c r="F369" s="28" t="str">
        <f>IF(D369="","",VLOOKUP(D369,'[1]0.1 Produksi Pangan &amp; Penduduk'!$D$5:$AK$860,34,0))</f>
        <v/>
      </c>
      <c r="G369" s="29" t="str">
        <f t="shared" si="25"/>
        <v/>
      </c>
      <c r="H369" s="29" t="str">
        <f t="shared" si="26"/>
        <v/>
      </c>
      <c r="I369" s="29" t="str">
        <f t="shared" si="27"/>
        <v/>
      </c>
      <c r="J369" s="29" t="str">
        <f t="shared" si="28"/>
        <v/>
      </c>
      <c r="K369" s="29" t="str">
        <f t="shared" si="29"/>
        <v/>
      </c>
      <c r="M369" s="11"/>
    </row>
    <row r="370" spans="1:13" ht="15" x14ac:dyDescent="0.25">
      <c r="A370" s="1" t="str">
        <f>IF('1.1 Produksi Bersih Padi 2025'!A370="","",'1.1 Produksi Bersih Padi 2025'!A370)</f>
        <v/>
      </c>
      <c r="B370" s="31" t="str">
        <f>IF('1.1 Produksi Bersih Padi 2025'!B370="","",'1.1 Produksi Bersih Padi 2025'!B370)</f>
        <v/>
      </c>
      <c r="C370" s="31" t="str">
        <f>IF('1.1 Produksi Bersih Padi 2025'!C370="","",'1.1 Produksi Bersih Padi 2025'!C370)</f>
        <v/>
      </c>
      <c r="D370" s="1" t="str">
        <f>IF('1.1 Produksi Bersih Padi 2025'!D370="","",'1.1 Produksi Bersih Padi 2025'!D370)</f>
        <v/>
      </c>
      <c r="E370" s="1" t="str">
        <f>IF('1.1 Produksi Bersih Padi 2025'!E370="","",'1.1 Produksi Bersih Padi 2025'!E370)</f>
        <v/>
      </c>
      <c r="F370" s="28" t="str">
        <f>IF(D370="","",VLOOKUP(D370,'[1]0.1 Produksi Pangan &amp; Penduduk'!$D$5:$AK$860,34,0))</f>
        <v/>
      </c>
      <c r="G370" s="29" t="str">
        <f t="shared" si="25"/>
        <v/>
      </c>
      <c r="H370" s="29" t="str">
        <f t="shared" si="26"/>
        <v/>
      </c>
      <c r="I370" s="29" t="str">
        <f t="shared" si="27"/>
        <v/>
      </c>
      <c r="J370" s="29" t="str">
        <f t="shared" si="28"/>
        <v/>
      </c>
      <c r="K370" s="29" t="str">
        <f t="shared" si="29"/>
        <v/>
      </c>
      <c r="M370" s="11"/>
    </row>
    <row r="371" spans="1:13" ht="15" x14ac:dyDescent="0.25">
      <c r="A371" s="1" t="str">
        <f>IF('1.1 Produksi Bersih Padi 2025'!A371="","",'1.1 Produksi Bersih Padi 2025'!A371)</f>
        <v/>
      </c>
      <c r="B371" s="31" t="str">
        <f>IF('1.1 Produksi Bersih Padi 2025'!B371="","",'1.1 Produksi Bersih Padi 2025'!B371)</f>
        <v/>
      </c>
      <c r="C371" s="31" t="str">
        <f>IF('1.1 Produksi Bersih Padi 2025'!C371="","",'1.1 Produksi Bersih Padi 2025'!C371)</f>
        <v/>
      </c>
      <c r="D371" s="1" t="str">
        <f>IF('1.1 Produksi Bersih Padi 2025'!D371="","",'1.1 Produksi Bersih Padi 2025'!D371)</f>
        <v/>
      </c>
      <c r="E371" s="1" t="str">
        <f>IF('1.1 Produksi Bersih Padi 2025'!E371="","",'1.1 Produksi Bersih Padi 2025'!E371)</f>
        <v/>
      </c>
      <c r="F371" s="28" t="str">
        <f>IF(D371="","",VLOOKUP(D371,'[1]0.1 Produksi Pangan &amp; Penduduk'!$D$5:$AK$860,34,0))</f>
        <v/>
      </c>
      <c r="G371" s="29" t="str">
        <f t="shared" si="25"/>
        <v/>
      </c>
      <c r="H371" s="29" t="str">
        <f t="shared" si="26"/>
        <v/>
      </c>
      <c r="I371" s="29" t="str">
        <f t="shared" si="27"/>
        <v/>
      </c>
      <c r="J371" s="29" t="str">
        <f t="shared" si="28"/>
        <v/>
      </c>
      <c r="K371" s="29" t="str">
        <f t="shared" si="29"/>
        <v/>
      </c>
      <c r="M371" s="11"/>
    </row>
    <row r="372" spans="1:13" ht="15" x14ac:dyDescent="0.25">
      <c r="A372" s="1" t="str">
        <f>IF('1.1 Produksi Bersih Padi 2025'!A372="","",'1.1 Produksi Bersih Padi 2025'!A372)</f>
        <v/>
      </c>
      <c r="B372" s="31" t="str">
        <f>IF('1.1 Produksi Bersih Padi 2025'!B372="","",'1.1 Produksi Bersih Padi 2025'!B372)</f>
        <v/>
      </c>
      <c r="C372" s="31" t="str">
        <f>IF('1.1 Produksi Bersih Padi 2025'!C372="","",'1.1 Produksi Bersih Padi 2025'!C372)</f>
        <v/>
      </c>
      <c r="D372" s="1" t="str">
        <f>IF('1.1 Produksi Bersih Padi 2025'!D372="","",'1.1 Produksi Bersih Padi 2025'!D372)</f>
        <v/>
      </c>
      <c r="E372" s="1" t="str">
        <f>IF('1.1 Produksi Bersih Padi 2025'!E372="","",'1.1 Produksi Bersih Padi 2025'!E372)</f>
        <v/>
      </c>
      <c r="F372" s="28" t="str">
        <f>IF(D372="","",VLOOKUP(D372,'[1]0.1 Produksi Pangan &amp; Penduduk'!$D$5:$AK$860,34,0))</f>
        <v/>
      </c>
      <c r="G372" s="29" t="str">
        <f t="shared" si="25"/>
        <v/>
      </c>
      <c r="H372" s="29" t="str">
        <f t="shared" si="26"/>
        <v/>
      </c>
      <c r="I372" s="29" t="str">
        <f t="shared" si="27"/>
        <v/>
      </c>
      <c r="J372" s="29" t="str">
        <f t="shared" si="28"/>
        <v/>
      </c>
      <c r="K372" s="29" t="str">
        <f t="shared" si="29"/>
        <v/>
      </c>
      <c r="M372" s="11"/>
    </row>
    <row r="373" spans="1:13" ht="15" x14ac:dyDescent="0.25">
      <c r="A373" s="1" t="str">
        <f>IF('1.1 Produksi Bersih Padi 2025'!A373="","",'1.1 Produksi Bersih Padi 2025'!A373)</f>
        <v/>
      </c>
      <c r="B373" s="31" t="str">
        <f>IF('1.1 Produksi Bersih Padi 2025'!B373="","",'1.1 Produksi Bersih Padi 2025'!B373)</f>
        <v/>
      </c>
      <c r="C373" s="31" t="str">
        <f>IF('1.1 Produksi Bersih Padi 2025'!C373="","",'1.1 Produksi Bersih Padi 2025'!C373)</f>
        <v/>
      </c>
      <c r="D373" s="1" t="str">
        <f>IF('1.1 Produksi Bersih Padi 2025'!D373="","",'1.1 Produksi Bersih Padi 2025'!D373)</f>
        <v/>
      </c>
      <c r="E373" s="1" t="str">
        <f>IF('1.1 Produksi Bersih Padi 2025'!E373="","",'1.1 Produksi Bersih Padi 2025'!E373)</f>
        <v/>
      </c>
      <c r="F373" s="28" t="str">
        <f>IF(D373="","",VLOOKUP(D373,'[1]0.1 Produksi Pangan &amp; Penduduk'!$D$5:$AK$860,34,0))</f>
        <v/>
      </c>
      <c r="G373" s="29" t="str">
        <f t="shared" si="25"/>
        <v/>
      </c>
      <c r="H373" s="29" t="str">
        <f t="shared" si="26"/>
        <v/>
      </c>
      <c r="I373" s="29" t="str">
        <f t="shared" si="27"/>
        <v/>
      </c>
      <c r="J373" s="29" t="str">
        <f t="shared" si="28"/>
        <v/>
      </c>
      <c r="K373" s="29" t="str">
        <f t="shared" si="29"/>
        <v/>
      </c>
      <c r="M373" s="11"/>
    </row>
    <row r="374" spans="1:13" ht="15" x14ac:dyDescent="0.25">
      <c r="A374" s="1" t="str">
        <f>IF('1.1 Produksi Bersih Padi 2025'!A374="","",'1.1 Produksi Bersih Padi 2025'!A374)</f>
        <v/>
      </c>
      <c r="B374" s="31" t="str">
        <f>IF('1.1 Produksi Bersih Padi 2025'!B374="","",'1.1 Produksi Bersih Padi 2025'!B374)</f>
        <v/>
      </c>
      <c r="C374" s="31" t="str">
        <f>IF('1.1 Produksi Bersih Padi 2025'!C374="","",'1.1 Produksi Bersih Padi 2025'!C374)</f>
        <v/>
      </c>
      <c r="D374" s="1" t="str">
        <f>IF('1.1 Produksi Bersih Padi 2025'!D374="","",'1.1 Produksi Bersih Padi 2025'!D374)</f>
        <v/>
      </c>
      <c r="E374" s="1" t="str">
        <f>IF('1.1 Produksi Bersih Padi 2025'!E374="","",'1.1 Produksi Bersih Padi 2025'!E374)</f>
        <v/>
      </c>
      <c r="F374" s="28" t="str">
        <f>IF(D374="","",VLOOKUP(D374,'[1]0.1 Produksi Pangan &amp; Penduduk'!$D$5:$AK$860,34,0))</f>
        <v/>
      </c>
      <c r="G374" s="29" t="str">
        <f t="shared" si="25"/>
        <v/>
      </c>
      <c r="H374" s="29" t="str">
        <f t="shared" si="26"/>
        <v/>
      </c>
      <c r="I374" s="29" t="str">
        <f t="shared" si="27"/>
        <v/>
      </c>
      <c r="J374" s="29" t="str">
        <f t="shared" si="28"/>
        <v/>
      </c>
      <c r="K374" s="29" t="str">
        <f t="shared" si="29"/>
        <v/>
      </c>
      <c r="M374" s="11"/>
    </row>
    <row r="375" spans="1:13" ht="15" x14ac:dyDescent="0.25">
      <c r="A375" s="1" t="str">
        <f>IF('1.1 Produksi Bersih Padi 2025'!A375="","",'1.1 Produksi Bersih Padi 2025'!A375)</f>
        <v/>
      </c>
      <c r="B375" s="31" t="str">
        <f>IF('1.1 Produksi Bersih Padi 2025'!B375="","",'1.1 Produksi Bersih Padi 2025'!B375)</f>
        <v/>
      </c>
      <c r="C375" s="31" t="str">
        <f>IF('1.1 Produksi Bersih Padi 2025'!C375="","",'1.1 Produksi Bersih Padi 2025'!C375)</f>
        <v/>
      </c>
      <c r="D375" s="1" t="str">
        <f>IF('1.1 Produksi Bersih Padi 2025'!D375="","",'1.1 Produksi Bersih Padi 2025'!D375)</f>
        <v/>
      </c>
      <c r="E375" s="1" t="str">
        <f>IF('1.1 Produksi Bersih Padi 2025'!E375="","",'1.1 Produksi Bersih Padi 2025'!E375)</f>
        <v/>
      </c>
      <c r="F375" s="28" t="str">
        <f>IF(D375="","",VLOOKUP(D375,'[1]0.1 Produksi Pangan &amp; Penduduk'!$D$5:$AK$860,34,0))</f>
        <v/>
      </c>
      <c r="G375" s="29" t="str">
        <f t="shared" si="25"/>
        <v/>
      </c>
      <c r="H375" s="29" t="str">
        <f t="shared" si="26"/>
        <v/>
      </c>
      <c r="I375" s="29" t="str">
        <f t="shared" si="27"/>
        <v/>
      </c>
      <c r="J375" s="29" t="str">
        <f t="shared" si="28"/>
        <v/>
      </c>
      <c r="K375" s="29" t="str">
        <f t="shared" si="29"/>
        <v/>
      </c>
      <c r="M375" s="11"/>
    </row>
    <row r="376" spans="1:13" ht="15" x14ac:dyDescent="0.25">
      <c r="A376" s="1" t="str">
        <f>IF('1.1 Produksi Bersih Padi 2025'!A376="","",'1.1 Produksi Bersih Padi 2025'!A376)</f>
        <v/>
      </c>
      <c r="B376" s="31" t="str">
        <f>IF('1.1 Produksi Bersih Padi 2025'!B376="","",'1.1 Produksi Bersih Padi 2025'!B376)</f>
        <v/>
      </c>
      <c r="C376" s="31" t="str">
        <f>IF('1.1 Produksi Bersih Padi 2025'!C376="","",'1.1 Produksi Bersih Padi 2025'!C376)</f>
        <v/>
      </c>
      <c r="D376" s="1" t="str">
        <f>IF('1.1 Produksi Bersih Padi 2025'!D376="","",'1.1 Produksi Bersih Padi 2025'!D376)</f>
        <v/>
      </c>
      <c r="E376" s="1" t="str">
        <f>IF('1.1 Produksi Bersih Padi 2025'!E376="","",'1.1 Produksi Bersih Padi 2025'!E376)</f>
        <v/>
      </c>
      <c r="F376" s="28" t="str">
        <f>IF(D376="","",VLOOKUP(D376,'[1]0.1 Produksi Pangan &amp; Penduduk'!$D$5:$AK$860,34,0))</f>
        <v/>
      </c>
      <c r="G376" s="29" t="str">
        <f t="shared" si="25"/>
        <v/>
      </c>
      <c r="H376" s="29" t="str">
        <f t="shared" si="26"/>
        <v/>
      </c>
      <c r="I376" s="29" t="str">
        <f t="shared" si="27"/>
        <v/>
      </c>
      <c r="J376" s="29" t="str">
        <f t="shared" si="28"/>
        <v/>
      </c>
      <c r="K376" s="29" t="str">
        <f t="shared" si="29"/>
        <v/>
      </c>
      <c r="M376" s="11"/>
    </row>
    <row r="377" spans="1:13" ht="15" x14ac:dyDescent="0.25">
      <c r="A377" s="1" t="str">
        <f>IF('1.1 Produksi Bersih Padi 2025'!A377="","",'1.1 Produksi Bersih Padi 2025'!A377)</f>
        <v/>
      </c>
      <c r="B377" s="31" t="str">
        <f>IF('1.1 Produksi Bersih Padi 2025'!B377="","",'1.1 Produksi Bersih Padi 2025'!B377)</f>
        <v/>
      </c>
      <c r="C377" s="31" t="str">
        <f>IF('1.1 Produksi Bersih Padi 2025'!C377="","",'1.1 Produksi Bersih Padi 2025'!C377)</f>
        <v/>
      </c>
      <c r="D377" s="1" t="str">
        <f>IF('1.1 Produksi Bersih Padi 2025'!D377="","",'1.1 Produksi Bersih Padi 2025'!D377)</f>
        <v/>
      </c>
      <c r="E377" s="1" t="str">
        <f>IF('1.1 Produksi Bersih Padi 2025'!E377="","",'1.1 Produksi Bersih Padi 2025'!E377)</f>
        <v/>
      </c>
      <c r="F377" s="28" t="str">
        <f>IF(D377="","",VLOOKUP(D377,'[1]0.1 Produksi Pangan &amp; Penduduk'!$D$5:$AK$860,34,0))</f>
        <v/>
      </c>
      <c r="G377" s="29" t="str">
        <f t="shared" si="25"/>
        <v/>
      </c>
      <c r="H377" s="29" t="str">
        <f t="shared" si="26"/>
        <v/>
      </c>
      <c r="I377" s="29" t="str">
        <f t="shared" si="27"/>
        <v/>
      </c>
      <c r="J377" s="29" t="str">
        <f t="shared" si="28"/>
        <v/>
      </c>
      <c r="K377" s="29" t="str">
        <f t="shared" si="29"/>
        <v/>
      </c>
      <c r="M377" s="11"/>
    </row>
    <row r="378" spans="1:13" ht="15" x14ac:dyDescent="0.25">
      <c r="A378" s="1" t="str">
        <f>IF('1.1 Produksi Bersih Padi 2025'!A378="","",'1.1 Produksi Bersih Padi 2025'!A378)</f>
        <v/>
      </c>
      <c r="B378" s="31" t="str">
        <f>IF('1.1 Produksi Bersih Padi 2025'!B378="","",'1.1 Produksi Bersih Padi 2025'!B378)</f>
        <v/>
      </c>
      <c r="C378" s="31" t="str">
        <f>IF('1.1 Produksi Bersih Padi 2025'!C378="","",'1.1 Produksi Bersih Padi 2025'!C378)</f>
        <v/>
      </c>
      <c r="D378" s="1" t="str">
        <f>IF('1.1 Produksi Bersih Padi 2025'!D378="","",'1.1 Produksi Bersih Padi 2025'!D378)</f>
        <v/>
      </c>
      <c r="E378" s="1" t="str">
        <f>IF('1.1 Produksi Bersih Padi 2025'!E378="","",'1.1 Produksi Bersih Padi 2025'!E378)</f>
        <v/>
      </c>
      <c r="F378" s="28" t="str">
        <f>IF(D378="","",VLOOKUP(D378,'[1]0.1 Produksi Pangan &amp; Penduduk'!$D$5:$AK$860,34,0))</f>
        <v/>
      </c>
      <c r="G378" s="29" t="str">
        <f t="shared" si="25"/>
        <v/>
      </c>
      <c r="H378" s="29" t="str">
        <f t="shared" si="26"/>
        <v/>
      </c>
      <c r="I378" s="29" t="str">
        <f t="shared" si="27"/>
        <v/>
      </c>
      <c r="J378" s="29" t="str">
        <f t="shared" si="28"/>
        <v/>
      </c>
      <c r="K378" s="29" t="str">
        <f t="shared" si="29"/>
        <v/>
      </c>
      <c r="M378" s="11"/>
    </row>
    <row r="379" spans="1:13" ht="15" x14ac:dyDescent="0.25">
      <c r="A379" s="1" t="str">
        <f>IF('1.1 Produksi Bersih Padi 2025'!A379="","",'1.1 Produksi Bersih Padi 2025'!A379)</f>
        <v/>
      </c>
      <c r="B379" s="31" t="str">
        <f>IF('1.1 Produksi Bersih Padi 2025'!B379="","",'1.1 Produksi Bersih Padi 2025'!B379)</f>
        <v/>
      </c>
      <c r="C379" s="31" t="str">
        <f>IF('1.1 Produksi Bersih Padi 2025'!C379="","",'1.1 Produksi Bersih Padi 2025'!C379)</f>
        <v/>
      </c>
      <c r="D379" s="1" t="str">
        <f>IF('1.1 Produksi Bersih Padi 2025'!D379="","",'1.1 Produksi Bersih Padi 2025'!D379)</f>
        <v/>
      </c>
      <c r="E379" s="1" t="str">
        <f>IF('1.1 Produksi Bersih Padi 2025'!E379="","",'1.1 Produksi Bersih Padi 2025'!E379)</f>
        <v/>
      </c>
      <c r="F379" s="28" t="str">
        <f>IF(D379="","",VLOOKUP(D379,'[1]0.1 Produksi Pangan &amp; Penduduk'!$D$5:$AK$860,34,0))</f>
        <v/>
      </c>
      <c r="G379" s="29" t="str">
        <f t="shared" si="25"/>
        <v/>
      </c>
      <c r="H379" s="29" t="str">
        <f t="shared" si="26"/>
        <v/>
      </c>
      <c r="I379" s="29" t="str">
        <f t="shared" si="27"/>
        <v/>
      </c>
      <c r="J379" s="29" t="str">
        <f t="shared" si="28"/>
        <v/>
      </c>
      <c r="K379" s="29" t="str">
        <f t="shared" si="29"/>
        <v/>
      </c>
      <c r="M379" s="11"/>
    </row>
    <row r="380" spans="1:13" ht="15" x14ac:dyDescent="0.25">
      <c r="A380" s="1" t="str">
        <f>IF('1.1 Produksi Bersih Padi 2025'!A380="","",'1.1 Produksi Bersih Padi 2025'!A380)</f>
        <v/>
      </c>
      <c r="B380" s="31" t="str">
        <f>IF('1.1 Produksi Bersih Padi 2025'!B380="","",'1.1 Produksi Bersih Padi 2025'!B380)</f>
        <v/>
      </c>
      <c r="C380" s="31" t="str">
        <f>IF('1.1 Produksi Bersih Padi 2025'!C380="","",'1.1 Produksi Bersih Padi 2025'!C380)</f>
        <v/>
      </c>
      <c r="D380" s="1" t="str">
        <f>IF('1.1 Produksi Bersih Padi 2025'!D380="","",'1.1 Produksi Bersih Padi 2025'!D380)</f>
        <v/>
      </c>
      <c r="E380" s="1" t="str">
        <f>IF('1.1 Produksi Bersih Padi 2025'!E380="","",'1.1 Produksi Bersih Padi 2025'!E380)</f>
        <v/>
      </c>
      <c r="F380" s="28" t="str">
        <f>IF(D380="","",VLOOKUP(D380,'[1]0.1 Produksi Pangan &amp; Penduduk'!$D$5:$AK$860,34,0))</f>
        <v/>
      </c>
      <c r="G380" s="29" t="str">
        <f t="shared" si="25"/>
        <v/>
      </c>
      <c r="H380" s="29" t="str">
        <f t="shared" si="26"/>
        <v/>
      </c>
      <c r="I380" s="29" t="str">
        <f t="shared" si="27"/>
        <v/>
      </c>
      <c r="J380" s="29" t="str">
        <f t="shared" si="28"/>
        <v/>
      </c>
      <c r="K380" s="29" t="str">
        <f t="shared" si="29"/>
        <v/>
      </c>
      <c r="M380" s="11"/>
    </row>
    <row r="381" spans="1:13" ht="15" x14ac:dyDescent="0.25">
      <c r="A381" s="1" t="str">
        <f>IF('1.1 Produksi Bersih Padi 2025'!A381="","",'1.1 Produksi Bersih Padi 2025'!A381)</f>
        <v/>
      </c>
      <c r="B381" s="31" t="str">
        <f>IF('1.1 Produksi Bersih Padi 2025'!B381="","",'1.1 Produksi Bersih Padi 2025'!B381)</f>
        <v/>
      </c>
      <c r="C381" s="31" t="str">
        <f>IF('1.1 Produksi Bersih Padi 2025'!C381="","",'1.1 Produksi Bersih Padi 2025'!C381)</f>
        <v/>
      </c>
      <c r="D381" s="1" t="str">
        <f>IF('1.1 Produksi Bersih Padi 2025'!D381="","",'1.1 Produksi Bersih Padi 2025'!D381)</f>
        <v/>
      </c>
      <c r="E381" s="1" t="str">
        <f>IF('1.1 Produksi Bersih Padi 2025'!E381="","",'1.1 Produksi Bersih Padi 2025'!E381)</f>
        <v/>
      </c>
      <c r="F381" s="28" t="str">
        <f>IF(D381="","",VLOOKUP(D381,'[1]0.1 Produksi Pangan &amp; Penduduk'!$D$5:$AK$860,34,0))</f>
        <v/>
      </c>
      <c r="G381" s="29" t="str">
        <f t="shared" si="25"/>
        <v/>
      </c>
      <c r="H381" s="29" t="str">
        <f t="shared" si="26"/>
        <v/>
      </c>
      <c r="I381" s="29" t="str">
        <f t="shared" si="27"/>
        <v/>
      </c>
      <c r="J381" s="29" t="str">
        <f t="shared" si="28"/>
        <v/>
      </c>
      <c r="K381" s="29" t="str">
        <f t="shared" si="29"/>
        <v/>
      </c>
      <c r="M381" s="11"/>
    </row>
    <row r="382" spans="1:13" ht="15" x14ac:dyDescent="0.25">
      <c r="A382" s="1" t="str">
        <f>IF('1.1 Produksi Bersih Padi 2025'!A382="","",'1.1 Produksi Bersih Padi 2025'!A382)</f>
        <v/>
      </c>
      <c r="B382" s="31" t="str">
        <f>IF('1.1 Produksi Bersih Padi 2025'!B382="","",'1.1 Produksi Bersih Padi 2025'!B382)</f>
        <v/>
      </c>
      <c r="C382" s="31" t="str">
        <f>IF('1.1 Produksi Bersih Padi 2025'!C382="","",'1.1 Produksi Bersih Padi 2025'!C382)</f>
        <v/>
      </c>
      <c r="D382" s="1" t="str">
        <f>IF('1.1 Produksi Bersih Padi 2025'!D382="","",'1.1 Produksi Bersih Padi 2025'!D382)</f>
        <v/>
      </c>
      <c r="E382" s="1" t="str">
        <f>IF('1.1 Produksi Bersih Padi 2025'!E382="","",'1.1 Produksi Bersih Padi 2025'!E382)</f>
        <v/>
      </c>
      <c r="F382" s="28" t="str">
        <f>IF(D382="","",VLOOKUP(D382,'[1]0.1 Produksi Pangan &amp; Penduduk'!$D$5:$AK$860,34,0))</f>
        <v/>
      </c>
      <c r="G382" s="29" t="str">
        <f t="shared" si="25"/>
        <v/>
      </c>
      <c r="H382" s="29" t="str">
        <f t="shared" si="26"/>
        <v/>
      </c>
      <c r="I382" s="29" t="str">
        <f t="shared" si="27"/>
        <v/>
      </c>
      <c r="J382" s="29" t="str">
        <f t="shared" si="28"/>
        <v/>
      </c>
      <c r="K382" s="29" t="str">
        <f t="shared" si="29"/>
        <v/>
      </c>
      <c r="M382" s="11"/>
    </row>
    <row r="383" spans="1:13" ht="15" x14ac:dyDescent="0.25">
      <c r="A383" s="1" t="str">
        <f>IF('1.1 Produksi Bersih Padi 2025'!A383="","",'1.1 Produksi Bersih Padi 2025'!A383)</f>
        <v/>
      </c>
      <c r="B383" s="31" t="str">
        <f>IF('1.1 Produksi Bersih Padi 2025'!B383="","",'1.1 Produksi Bersih Padi 2025'!B383)</f>
        <v/>
      </c>
      <c r="C383" s="31" t="str">
        <f>IF('1.1 Produksi Bersih Padi 2025'!C383="","",'1.1 Produksi Bersih Padi 2025'!C383)</f>
        <v/>
      </c>
      <c r="D383" s="1" t="str">
        <f>IF('1.1 Produksi Bersih Padi 2025'!D383="","",'1.1 Produksi Bersih Padi 2025'!D383)</f>
        <v/>
      </c>
      <c r="E383" s="1" t="str">
        <f>IF('1.1 Produksi Bersih Padi 2025'!E383="","",'1.1 Produksi Bersih Padi 2025'!E383)</f>
        <v/>
      </c>
      <c r="F383" s="28" t="str">
        <f>IF(D383="","",VLOOKUP(D383,'[1]0.1 Produksi Pangan &amp; Penduduk'!$D$5:$AK$860,34,0))</f>
        <v/>
      </c>
      <c r="G383" s="29" t="str">
        <f t="shared" si="25"/>
        <v/>
      </c>
      <c r="H383" s="29" t="str">
        <f t="shared" si="26"/>
        <v/>
      </c>
      <c r="I383" s="29" t="str">
        <f t="shared" si="27"/>
        <v/>
      </c>
      <c r="J383" s="29" t="str">
        <f t="shared" si="28"/>
        <v/>
      </c>
      <c r="K383" s="29" t="str">
        <f t="shared" si="29"/>
        <v/>
      </c>
      <c r="M383" s="11"/>
    </row>
    <row r="384" spans="1:13" ht="15" x14ac:dyDescent="0.25">
      <c r="A384" s="1" t="str">
        <f>IF('1.1 Produksi Bersih Padi 2025'!A384="","",'1.1 Produksi Bersih Padi 2025'!A384)</f>
        <v/>
      </c>
      <c r="B384" s="31" t="str">
        <f>IF('1.1 Produksi Bersih Padi 2025'!B384="","",'1.1 Produksi Bersih Padi 2025'!B384)</f>
        <v/>
      </c>
      <c r="C384" s="31" t="str">
        <f>IF('1.1 Produksi Bersih Padi 2025'!C384="","",'1.1 Produksi Bersih Padi 2025'!C384)</f>
        <v/>
      </c>
      <c r="D384" s="1" t="str">
        <f>IF('1.1 Produksi Bersih Padi 2025'!D384="","",'1.1 Produksi Bersih Padi 2025'!D384)</f>
        <v/>
      </c>
      <c r="E384" s="1" t="str">
        <f>IF('1.1 Produksi Bersih Padi 2025'!E384="","",'1.1 Produksi Bersih Padi 2025'!E384)</f>
        <v/>
      </c>
      <c r="F384" s="28" t="str">
        <f>IF(D384="","",VLOOKUP(D384,'[1]0.1 Produksi Pangan &amp; Penduduk'!$D$5:$AK$860,34,0))</f>
        <v/>
      </c>
      <c r="G384" s="29" t="str">
        <f t="shared" si="25"/>
        <v/>
      </c>
      <c r="H384" s="29" t="str">
        <f t="shared" si="26"/>
        <v/>
      </c>
      <c r="I384" s="29" t="str">
        <f t="shared" si="27"/>
        <v/>
      </c>
      <c r="J384" s="29" t="str">
        <f t="shared" si="28"/>
        <v/>
      </c>
      <c r="K384" s="29" t="str">
        <f t="shared" si="29"/>
        <v/>
      </c>
      <c r="M384" s="11"/>
    </row>
    <row r="385" spans="1:13" ht="15" x14ac:dyDescent="0.25">
      <c r="A385" s="1" t="str">
        <f>IF('1.1 Produksi Bersih Padi 2025'!A385="","",'1.1 Produksi Bersih Padi 2025'!A385)</f>
        <v/>
      </c>
      <c r="B385" s="31" t="str">
        <f>IF('1.1 Produksi Bersih Padi 2025'!B385="","",'1.1 Produksi Bersih Padi 2025'!B385)</f>
        <v/>
      </c>
      <c r="C385" s="31" t="str">
        <f>IF('1.1 Produksi Bersih Padi 2025'!C385="","",'1.1 Produksi Bersih Padi 2025'!C385)</f>
        <v/>
      </c>
      <c r="D385" s="1" t="str">
        <f>IF('1.1 Produksi Bersih Padi 2025'!D385="","",'1.1 Produksi Bersih Padi 2025'!D385)</f>
        <v/>
      </c>
      <c r="E385" s="1" t="str">
        <f>IF('1.1 Produksi Bersih Padi 2025'!E385="","",'1.1 Produksi Bersih Padi 2025'!E385)</f>
        <v/>
      </c>
      <c r="F385" s="28" t="str">
        <f>IF(D385="","",VLOOKUP(D385,'[1]0.1 Produksi Pangan &amp; Penduduk'!$D$5:$AK$860,34,0))</f>
        <v/>
      </c>
      <c r="G385" s="29" t="str">
        <f t="shared" si="25"/>
        <v/>
      </c>
      <c r="H385" s="29" t="str">
        <f t="shared" si="26"/>
        <v/>
      </c>
      <c r="I385" s="29" t="str">
        <f t="shared" si="27"/>
        <v/>
      </c>
      <c r="J385" s="29" t="str">
        <f t="shared" si="28"/>
        <v/>
      </c>
      <c r="K385" s="29" t="str">
        <f t="shared" si="29"/>
        <v/>
      </c>
      <c r="M385" s="11"/>
    </row>
    <row r="386" spans="1:13" ht="15" x14ac:dyDescent="0.25">
      <c r="A386" s="1" t="str">
        <f>IF('1.1 Produksi Bersih Padi 2025'!A386="","",'1.1 Produksi Bersih Padi 2025'!A386)</f>
        <v/>
      </c>
      <c r="B386" s="31" t="str">
        <f>IF('1.1 Produksi Bersih Padi 2025'!B386="","",'1.1 Produksi Bersih Padi 2025'!B386)</f>
        <v/>
      </c>
      <c r="C386" s="31" t="str">
        <f>IF('1.1 Produksi Bersih Padi 2025'!C386="","",'1.1 Produksi Bersih Padi 2025'!C386)</f>
        <v/>
      </c>
      <c r="D386" s="1" t="str">
        <f>IF('1.1 Produksi Bersih Padi 2025'!D386="","",'1.1 Produksi Bersih Padi 2025'!D386)</f>
        <v/>
      </c>
      <c r="E386" s="1" t="str">
        <f>IF('1.1 Produksi Bersih Padi 2025'!E386="","",'1.1 Produksi Bersih Padi 2025'!E386)</f>
        <v/>
      </c>
      <c r="F386" s="28" t="str">
        <f>IF(D386="","",VLOOKUP(D386,'[1]0.1 Produksi Pangan &amp; Penduduk'!$D$5:$AK$860,34,0))</f>
        <v/>
      </c>
      <c r="G386" s="29" t="str">
        <f t="shared" si="25"/>
        <v/>
      </c>
      <c r="H386" s="29" t="str">
        <f t="shared" si="26"/>
        <v/>
      </c>
      <c r="I386" s="29" t="str">
        <f t="shared" si="27"/>
        <v/>
      </c>
      <c r="J386" s="29" t="str">
        <f t="shared" si="28"/>
        <v/>
      </c>
      <c r="K386" s="29" t="str">
        <f t="shared" si="29"/>
        <v/>
      </c>
      <c r="M386" s="11"/>
    </row>
    <row r="387" spans="1:13" ht="15" x14ac:dyDescent="0.25">
      <c r="A387" s="1" t="str">
        <f>IF('1.1 Produksi Bersih Padi 2025'!A387="","",'1.1 Produksi Bersih Padi 2025'!A387)</f>
        <v/>
      </c>
      <c r="B387" s="31" t="str">
        <f>IF('1.1 Produksi Bersih Padi 2025'!B387="","",'1.1 Produksi Bersih Padi 2025'!B387)</f>
        <v/>
      </c>
      <c r="C387" s="31" t="str">
        <f>IF('1.1 Produksi Bersih Padi 2025'!C387="","",'1.1 Produksi Bersih Padi 2025'!C387)</f>
        <v/>
      </c>
      <c r="D387" s="1" t="str">
        <f>IF('1.1 Produksi Bersih Padi 2025'!D387="","",'1.1 Produksi Bersih Padi 2025'!D387)</f>
        <v/>
      </c>
      <c r="E387" s="1" t="str">
        <f>IF('1.1 Produksi Bersih Padi 2025'!E387="","",'1.1 Produksi Bersih Padi 2025'!E387)</f>
        <v/>
      </c>
      <c r="F387" s="28" t="str">
        <f>IF(D387="","",VLOOKUP(D387,'[1]0.1 Produksi Pangan &amp; Penduduk'!$D$5:$AK$860,34,0))</f>
        <v/>
      </c>
      <c r="G387" s="29" t="str">
        <f t="shared" si="25"/>
        <v/>
      </c>
      <c r="H387" s="29" t="str">
        <f t="shared" si="26"/>
        <v/>
      </c>
      <c r="I387" s="29" t="str">
        <f t="shared" si="27"/>
        <v/>
      </c>
      <c r="J387" s="29" t="str">
        <f t="shared" si="28"/>
        <v/>
      </c>
      <c r="K387" s="29" t="str">
        <f t="shared" si="29"/>
        <v/>
      </c>
      <c r="M387" s="11"/>
    </row>
    <row r="388" spans="1:13" ht="15" x14ac:dyDescent="0.25">
      <c r="A388" s="1" t="str">
        <f>IF('1.1 Produksi Bersih Padi 2025'!A388="","",'1.1 Produksi Bersih Padi 2025'!A388)</f>
        <v/>
      </c>
      <c r="B388" s="31" t="str">
        <f>IF('1.1 Produksi Bersih Padi 2025'!B388="","",'1.1 Produksi Bersih Padi 2025'!B388)</f>
        <v/>
      </c>
      <c r="C388" s="31" t="str">
        <f>IF('1.1 Produksi Bersih Padi 2025'!C388="","",'1.1 Produksi Bersih Padi 2025'!C388)</f>
        <v/>
      </c>
      <c r="D388" s="1" t="str">
        <f>IF('1.1 Produksi Bersih Padi 2025'!D388="","",'1.1 Produksi Bersih Padi 2025'!D388)</f>
        <v/>
      </c>
      <c r="E388" s="1" t="str">
        <f>IF('1.1 Produksi Bersih Padi 2025'!E388="","",'1.1 Produksi Bersih Padi 2025'!E388)</f>
        <v/>
      </c>
      <c r="F388" s="28" t="str">
        <f>IF(D388="","",VLOOKUP(D388,'[1]0.1 Produksi Pangan &amp; Penduduk'!$D$5:$AK$860,34,0))</f>
        <v/>
      </c>
      <c r="G388" s="29" t="str">
        <f t="shared" si="25"/>
        <v/>
      </c>
      <c r="H388" s="29" t="str">
        <f t="shared" si="26"/>
        <v/>
      </c>
      <c r="I388" s="29" t="str">
        <f t="shared" si="27"/>
        <v/>
      </c>
      <c r="J388" s="29" t="str">
        <f t="shared" si="28"/>
        <v/>
      </c>
      <c r="K388" s="29" t="str">
        <f t="shared" si="29"/>
        <v/>
      </c>
      <c r="M388" s="11"/>
    </row>
    <row r="389" spans="1:13" ht="15" x14ac:dyDescent="0.25">
      <c r="A389" s="1" t="str">
        <f>IF('1.1 Produksi Bersih Padi 2025'!A389="","",'1.1 Produksi Bersih Padi 2025'!A389)</f>
        <v/>
      </c>
      <c r="B389" s="31" t="str">
        <f>IF('1.1 Produksi Bersih Padi 2025'!B389="","",'1.1 Produksi Bersih Padi 2025'!B389)</f>
        <v/>
      </c>
      <c r="C389" s="31" t="str">
        <f>IF('1.1 Produksi Bersih Padi 2025'!C389="","",'1.1 Produksi Bersih Padi 2025'!C389)</f>
        <v/>
      </c>
      <c r="D389" s="1" t="str">
        <f>IF('1.1 Produksi Bersih Padi 2025'!D389="","",'1.1 Produksi Bersih Padi 2025'!D389)</f>
        <v/>
      </c>
      <c r="E389" s="1" t="str">
        <f>IF('1.1 Produksi Bersih Padi 2025'!E389="","",'1.1 Produksi Bersih Padi 2025'!E389)</f>
        <v/>
      </c>
      <c r="F389" s="28" t="str">
        <f>IF(D389="","",VLOOKUP(D389,'[1]0.1 Produksi Pangan &amp; Penduduk'!$D$5:$AK$860,34,0))</f>
        <v/>
      </c>
      <c r="G389" s="29" t="str">
        <f t="shared" si="25"/>
        <v/>
      </c>
      <c r="H389" s="29" t="str">
        <f t="shared" si="26"/>
        <v/>
      </c>
      <c r="I389" s="29" t="str">
        <f t="shared" si="27"/>
        <v/>
      </c>
      <c r="J389" s="29" t="str">
        <f t="shared" si="28"/>
        <v/>
      </c>
      <c r="K389" s="29" t="str">
        <f t="shared" si="29"/>
        <v/>
      </c>
      <c r="M389" s="11"/>
    </row>
    <row r="390" spans="1:13" ht="15" x14ac:dyDescent="0.25">
      <c r="A390" s="1" t="str">
        <f>IF('1.1 Produksi Bersih Padi 2025'!A390="","",'1.1 Produksi Bersih Padi 2025'!A390)</f>
        <v/>
      </c>
      <c r="B390" s="31" t="str">
        <f>IF('1.1 Produksi Bersih Padi 2025'!B390="","",'1.1 Produksi Bersih Padi 2025'!B390)</f>
        <v/>
      </c>
      <c r="C390" s="31" t="str">
        <f>IF('1.1 Produksi Bersih Padi 2025'!C390="","",'1.1 Produksi Bersih Padi 2025'!C390)</f>
        <v/>
      </c>
      <c r="D390" s="1" t="str">
        <f>IF('1.1 Produksi Bersih Padi 2025'!D390="","",'1.1 Produksi Bersih Padi 2025'!D390)</f>
        <v/>
      </c>
      <c r="E390" s="1" t="str">
        <f>IF('1.1 Produksi Bersih Padi 2025'!E390="","",'1.1 Produksi Bersih Padi 2025'!E390)</f>
        <v/>
      </c>
      <c r="F390" s="28" t="str">
        <f>IF(D390="","",VLOOKUP(D390,'[1]0.1 Produksi Pangan &amp; Penduduk'!$D$5:$AK$860,34,0))</f>
        <v/>
      </c>
      <c r="G390" s="29" t="str">
        <f t="shared" ref="G390:G453" si="30">IF(F390="","",F390*0%)</f>
        <v/>
      </c>
      <c r="H390" s="29" t="str">
        <f t="shared" ref="H390:H453" si="31">IF(F390="","",F390*0%)</f>
        <v/>
      </c>
      <c r="I390" s="29" t="str">
        <f t="shared" ref="I390:I453" si="32">IF(F390="","",F390*0.72%)</f>
        <v/>
      </c>
      <c r="J390" s="29" t="str">
        <f t="shared" ref="J390:J453" si="33">IF(F390="","",F390-(G390+H390+I390))</f>
        <v/>
      </c>
      <c r="K390" s="29" t="str">
        <f t="shared" ref="K390:K453" si="34">IF(J390="","",J390*0.64)</f>
        <v/>
      </c>
      <c r="M390" s="11"/>
    </row>
    <row r="391" spans="1:13" ht="15" x14ac:dyDescent="0.25">
      <c r="A391" s="1" t="str">
        <f>IF('1.1 Produksi Bersih Padi 2025'!A391="","",'1.1 Produksi Bersih Padi 2025'!A391)</f>
        <v/>
      </c>
      <c r="B391" s="31" t="str">
        <f>IF('1.1 Produksi Bersih Padi 2025'!B391="","",'1.1 Produksi Bersih Padi 2025'!B391)</f>
        <v/>
      </c>
      <c r="C391" s="31" t="str">
        <f>IF('1.1 Produksi Bersih Padi 2025'!C391="","",'1.1 Produksi Bersih Padi 2025'!C391)</f>
        <v/>
      </c>
      <c r="D391" s="1" t="str">
        <f>IF('1.1 Produksi Bersih Padi 2025'!D391="","",'1.1 Produksi Bersih Padi 2025'!D391)</f>
        <v/>
      </c>
      <c r="E391" s="1" t="str">
        <f>IF('1.1 Produksi Bersih Padi 2025'!E391="","",'1.1 Produksi Bersih Padi 2025'!E391)</f>
        <v/>
      </c>
      <c r="F391" s="28" t="str">
        <f>IF(D391="","",VLOOKUP(D391,'[1]0.1 Produksi Pangan &amp; Penduduk'!$D$5:$AK$860,34,0))</f>
        <v/>
      </c>
      <c r="G391" s="29" t="str">
        <f t="shared" si="30"/>
        <v/>
      </c>
      <c r="H391" s="29" t="str">
        <f t="shared" si="31"/>
        <v/>
      </c>
      <c r="I391" s="29" t="str">
        <f t="shared" si="32"/>
        <v/>
      </c>
      <c r="J391" s="29" t="str">
        <f t="shared" si="33"/>
        <v/>
      </c>
      <c r="K391" s="29" t="str">
        <f t="shared" si="34"/>
        <v/>
      </c>
      <c r="M391" s="11"/>
    </row>
    <row r="392" spans="1:13" ht="15" x14ac:dyDescent="0.25">
      <c r="A392" s="1" t="str">
        <f>IF('1.1 Produksi Bersih Padi 2025'!A392="","",'1.1 Produksi Bersih Padi 2025'!A392)</f>
        <v/>
      </c>
      <c r="B392" s="31" t="str">
        <f>IF('1.1 Produksi Bersih Padi 2025'!B392="","",'1.1 Produksi Bersih Padi 2025'!B392)</f>
        <v/>
      </c>
      <c r="C392" s="31" t="str">
        <f>IF('1.1 Produksi Bersih Padi 2025'!C392="","",'1.1 Produksi Bersih Padi 2025'!C392)</f>
        <v/>
      </c>
      <c r="D392" s="1" t="str">
        <f>IF('1.1 Produksi Bersih Padi 2025'!D392="","",'1.1 Produksi Bersih Padi 2025'!D392)</f>
        <v/>
      </c>
      <c r="E392" s="1" t="str">
        <f>IF('1.1 Produksi Bersih Padi 2025'!E392="","",'1.1 Produksi Bersih Padi 2025'!E392)</f>
        <v/>
      </c>
      <c r="F392" s="28" t="str">
        <f>IF(D392="","",VLOOKUP(D392,'[1]0.1 Produksi Pangan &amp; Penduduk'!$D$5:$AK$860,34,0))</f>
        <v/>
      </c>
      <c r="G392" s="29" t="str">
        <f t="shared" si="30"/>
        <v/>
      </c>
      <c r="H392" s="29" t="str">
        <f t="shared" si="31"/>
        <v/>
      </c>
      <c r="I392" s="29" t="str">
        <f t="shared" si="32"/>
        <v/>
      </c>
      <c r="J392" s="29" t="str">
        <f t="shared" si="33"/>
        <v/>
      </c>
      <c r="K392" s="29" t="str">
        <f t="shared" si="34"/>
        <v/>
      </c>
      <c r="M392" s="11"/>
    </row>
    <row r="393" spans="1:13" ht="15" x14ac:dyDescent="0.25">
      <c r="A393" s="1" t="str">
        <f>IF('1.1 Produksi Bersih Padi 2025'!A393="","",'1.1 Produksi Bersih Padi 2025'!A393)</f>
        <v/>
      </c>
      <c r="B393" s="31" t="str">
        <f>IF('1.1 Produksi Bersih Padi 2025'!B393="","",'1.1 Produksi Bersih Padi 2025'!B393)</f>
        <v/>
      </c>
      <c r="C393" s="31" t="str">
        <f>IF('1.1 Produksi Bersih Padi 2025'!C393="","",'1.1 Produksi Bersih Padi 2025'!C393)</f>
        <v/>
      </c>
      <c r="D393" s="1" t="str">
        <f>IF('1.1 Produksi Bersih Padi 2025'!D393="","",'1.1 Produksi Bersih Padi 2025'!D393)</f>
        <v/>
      </c>
      <c r="E393" s="1" t="str">
        <f>IF('1.1 Produksi Bersih Padi 2025'!E393="","",'1.1 Produksi Bersih Padi 2025'!E393)</f>
        <v/>
      </c>
      <c r="F393" s="28" t="str">
        <f>IF(D393="","",VLOOKUP(D393,'[1]0.1 Produksi Pangan &amp; Penduduk'!$D$5:$AK$860,34,0))</f>
        <v/>
      </c>
      <c r="G393" s="29" t="str">
        <f t="shared" si="30"/>
        <v/>
      </c>
      <c r="H393" s="29" t="str">
        <f t="shared" si="31"/>
        <v/>
      </c>
      <c r="I393" s="29" t="str">
        <f t="shared" si="32"/>
        <v/>
      </c>
      <c r="J393" s="29" t="str">
        <f t="shared" si="33"/>
        <v/>
      </c>
      <c r="K393" s="29" t="str">
        <f t="shared" si="34"/>
        <v/>
      </c>
      <c r="M393" s="11"/>
    </row>
    <row r="394" spans="1:13" ht="15" x14ac:dyDescent="0.25">
      <c r="A394" s="1" t="str">
        <f>IF('1.1 Produksi Bersih Padi 2025'!A394="","",'1.1 Produksi Bersih Padi 2025'!A394)</f>
        <v/>
      </c>
      <c r="B394" s="31" t="str">
        <f>IF('1.1 Produksi Bersih Padi 2025'!B394="","",'1.1 Produksi Bersih Padi 2025'!B394)</f>
        <v/>
      </c>
      <c r="C394" s="31" t="str">
        <f>IF('1.1 Produksi Bersih Padi 2025'!C394="","",'1.1 Produksi Bersih Padi 2025'!C394)</f>
        <v/>
      </c>
      <c r="D394" s="1" t="str">
        <f>IF('1.1 Produksi Bersih Padi 2025'!D394="","",'1.1 Produksi Bersih Padi 2025'!D394)</f>
        <v/>
      </c>
      <c r="E394" s="1" t="str">
        <f>IF('1.1 Produksi Bersih Padi 2025'!E394="","",'1.1 Produksi Bersih Padi 2025'!E394)</f>
        <v/>
      </c>
      <c r="F394" s="28" t="str">
        <f>IF(D394="","",VLOOKUP(D394,'[1]0.1 Produksi Pangan &amp; Penduduk'!$D$5:$AK$860,34,0))</f>
        <v/>
      </c>
      <c r="G394" s="29" t="str">
        <f t="shared" si="30"/>
        <v/>
      </c>
      <c r="H394" s="29" t="str">
        <f t="shared" si="31"/>
        <v/>
      </c>
      <c r="I394" s="29" t="str">
        <f t="shared" si="32"/>
        <v/>
      </c>
      <c r="J394" s="29" t="str">
        <f t="shared" si="33"/>
        <v/>
      </c>
      <c r="K394" s="29" t="str">
        <f t="shared" si="34"/>
        <v/>
      </c>
      <c r="M394" s="11"/>
    </row>
    <row r="395" spans="1:13" ht="15" x14ac:dyDescent="0.25">
      <c r="A395" s="1" t="str">
        <f>IF('1.1 Produksi Bersih Padi 2025'!A395="","",'1.1 Produksi Bersih Padi 2025'!A395)</f>
        <v/>
      </c>
      <c r="B395" s="31" t="str">
        <f>IF('1.1 Produksi Bersih Padi 2025'!B395="","",'1.1 Produksi Bersih Padi 2025'!B395)</f>
        <v/>
      </c>
      <c r="C395" s="31" t="str">
        <f>IF('1.1 Produksi Bersih Padi 2025'!C395="","",'1.1 Produksi Bersih Padi 2025'!C395)</f>
        <v/>
      </c>
      <c r="D395" s="1" t="str">
        <f>IF('1.1 Produksi Bersih Padi 2025'!D395="","",'1.1 Produksi Bersih Padi 2025'!D395)</f>
        <v/>
      </c>
      <c r="E395" s="1" t="str">
        <f>IF('1.1 Produksi Bersih Padi 2025'!E395="","",'1.1 Produksi Bersih Padi 2025'!E395)</f>
        <v/>
      </c>
      <c r="F395" s="28" t="str">
        <f>IF(D395="","",VLOOKUP(D395,'[1]0.1 Produksi Pangan &amp; Penduduk'!$D$5:$AK$860,34,0))</f>
        <v/>
      </c>
      <c r="G395" s="29" t="str">
        <f t="shared" si="30"/>
        <v/>
      </c>
      <c r="H395" s="29" t="str">
        <f t="shared" si="31"/>
        <v/>
      </c>
      <c r="I395" s="29" t="str">
        <f t="shared" si="32"/>
        <v/>
      </c>
      <c r="J395" s="29" t="str">
        <f t="shared" si="33"/>
        <v/>
      </c>
      <c r="K395" s="29" t="str">
        <f t="shared" si="34"/>
        <v/>
      </c>
      <c r="M395" s="11"/>
    </row>
    <row r="396" spans="1:13" ht="15" x14ac:dyDescent="0.25">
      <c r="A396" s="1" t="str">
        <f>IF('1.1 Produksi Bersih Padi 2025'!A396="","",'1.1 Produksi Bersih Padi 2025'!A396)</f>
        <v/>
      </c>
      <c r="B396" s="31" t="str">
        <f>IF('1.1 Produksi Bersih Padi 2025'!B396="","",'1.1 Produksi Bersih Padi 2025'!B396)</f>
        <v/>
      </c>
      <c r="C396" s="31" t="str">
        <f>IF('1.1 Produksi Bersih Padi 2025'!C396="","",'1.1 Produksi Bersih Padi 2025'!C396)</f>
        <v/>
      </c>
      <c r="D396" s="1" t="str">
        <f>IF('1.1 Produksi Bersih Padi 2025'!D396="","",'1.1 Produksi Bersih Padi 2025'!D396)</f>
        <v/>
      </c>
      <c r="E396" s="1" t="str">
        <f>IF('1.1 Produksi Bersih Padi 2025'!E396="","",'1.1 Produksi Bersih Padi 2025'!E396)</f>
        <v/>
      </c>
      <c r="F396" s="28" t="str">
        <f>IF(D396="","",VLOOKUP(D396,'[1]0.1 Produksi Pangan &amp; Penduduk'!$D$5:$AK$860,34,0))</f>
        <v/>
      </c>
      <c r="G396" s="29" t="str">
        <f t="shared" si="30"/>
        <v/>
      </c>
      <c r="H396" s="29" t="str">
        <f t="shared" si="31"/>
        <v/>
      </c>
      <c r="I396" s="29" t="str">
        <f t="shared" si="32"/>
        <v/>
      </c>
      <c r="J396" s="29" t="str">
        <f t="shared" si="33"/>
        <v/>
      </c>
      <c r="K396" s="29" t="str">
        <f t="shared" si="34"/>
        <v/>
      </c>
      <c r="M396" s="11"/>
    </row>
    <row r="397" spans="1:13" ht="15" x14ac:dyDescent="0.25">
      <c r="A397" s="1" t="str">
        <f>IF('1.1 Produksi Bersih Padi 2025'!A397="","",'1.1 Produksi Bersih Padi 2025'!A397)</f>
        <v/>
      </c>
      <c r="B397" s="31" t="str">
        <f>IF('1.1 Produksi Bersih Padi 2025'!B397="","",'1.1 Produksi Bersih Padi 2025'!B397)</f>
        <v/>
      </c>
      <c r="C397" s="31" t="str">
        <f>IF('1.1 Produksi Bersih Padi 2025'!C397="","",'1.1 Produksi Bersih Padi 2025'!C397)</f>
        <v/>
      </c>
      <c r="D397" s="1" t="str">
        <f>IF('1.1 Produksi Bersih Padi 2025'!D397="","",'1.1 Produksi Bersih Padi 2025'!D397)</f>
        <v/>
      </c>
      <c r="E397" s="1" t="str">
        <f>IF('1.1 Produksi Bersih Padi 2025'!E397="","",'1.1 Produksi Bersih Padi 2025'!E397)</f>
        <v/>
      </c>
      <c r="F397" s="28" t="str">
        <f>IF(D397="","",VLOOKUP(D397,'[1]0.1 Produksi Pangan &amp; Penduduk'!$D$5:$AK$860,34,0))</f>
        <v/>
      </c>
      <c r="G397" s="29" t="str">
        <f t="shared" si="30"/>
        <v/>
      </c>
      <c r="H397" s="29" t="str">
        <f t="shared" si="31"/>
        <v/>
      </c>
      <c r="I397" s="29" t="str">
        <f t="shared" si="32"/>
        <v/>
      </c>
      <c r="J397" s="29" t="str">
        <f t="shared" si="33"/>
        <v/>
      </c>
      <c r="K397" s="29" t="str">
        <f t="shared" si="34"/>
        <v/>
      </c>
      <c r="M397" s="11"/>
    </row>
    <row r="398" spans="1:13" ht="15" x14ac:dyDescent="0.25">
      <c r="A398" s="1" t="str">
        <f>IF('1.1 Produksi Bersih Padi 2025'!A398="","",'1.1 Produksi Bersih Padi 2025'!A398)</f>
        <v/>
      </c>
      <c r="B398" s="31" t="str">
        <f>IF('1.1 Produksi Bersih Padi 2025'!B398="","",'1.1 Produksi Bersih Padi 2025'!B398)</f>
        <v/>
      </c>
      <c r="C398" s="31" t="str">
        <f>IF('1.1 Produksi Bersih Padi 2025'!C398="","",'1.1 Produksi Bersih Padi 2025'!C398)</f>
        <v/>
      </c>
      <c r="D398" s="1" t="str">
        <f>IF('1.1 Produksi Bersih Padi 2025'!D398="","",'1.1 Produksi Bersih Padi 2025'!D398)</f>
        <v/>
      </c>
      <c r="E398" s="1" t="str">
        <f>IF('1.1 Produksi Bersih Padi 2025'!E398="","",'1.1 Produksi Bersih Padi 2025'!E398)</f>
        <v/>
      </c>
      <c r="F398" s="28" t="str">
        <f>IF(D398="","",VLOOKUP(D398,'[1]0.1 Produksi Pangan &amp; Penduduk'!$D$5:$AK$860,34,0))</f>
        <v/>
      </c>
      <c r="G398" s="29" t="str">
        <f t="shared" si="30"/>
        <v/>
      </c>
      <c r="H398" s="29" t="str">
        <f t="shared" si="31"/>
        <v/>
      </c>
      <c r="I398" s="29" t="str">
        <f t="shared" si="32"/>
        <v/>
      </c>
      <c r="J398" s="29" t="str">
        <f t="shared" si="33"/>
        <v/>
      </c>
      <c r="K398" s="29" t="str">
        <f t="shared" si="34"/>
        <v/>
      </c>
      <c r="M398" s="11"/>
    </row>
    <row r="399" spans="1:13" ht="15" x14ac:dyDescent="0.25">
      <c r="A399" s="1" t="str">
        <f>IF('1.1 Produksi Bersih Padi 2025'!A399="","",'1.1 Produksi Bersih Padi 2025'!A399)</f>
        <v/>
      </c>
      <c r="B399" s="31" t="str">
        <f>IF('1.1 Produksi Bersih Padi 2025'!B399="","",'1.1 Produksi Bersih Padi 2025'!B399)</f>
        <v/>
      </c>
      <c r="C399" s="31" t="str">
        <f>IF('1.1 Produksi Bersih Padi 2025'!C399="","",'1.1 Produksi Bersih Padi 2025'!C399)</f>
        <v/>
      </c>
      <c r="D399" s="1" t="str">
        <f>IF('1.1 Produksi Bersih Padi 2025'!D399="","",'1.1 Produksi Bersih Padi 2025'!D399)</f>
        <v/>
      </c>
      <c r="E399" s="1" t="str">
        <f>IF('1.1 Produksi Bersih Padi 2025'!E399="","",'1.1 Produksi Bersih Padi 2025'!E399)</f>
        <v/>
      </c>
      <c r="F399" s="28" t="str">
        <f>IF(D399="","",VLOOKUP(D399,'[1]0.1 Produksi Pangan &amp; Penduduk'!$D$5:$AK$860,34,0))</f>
        <v/>
      </c>
      <c r="G399" s="29" t="str">
        <f t="shared" si="30"/>
        <v/>
      </c>
      <c r="H399" s="29" t="str">
        <f t="shared" si="31"/>
        <v/>
      </c>
      <c r="I399" s="29" t="str">
        <f t="shared" si="32"/>
        <v/>
      </c>
      <c r="J399" s="29" t="str">
        <f t="shared" si="33"/>
        <v/>
      </c>
      <c r="K399" s="29" t="str">
        <f t="shared" si="34"/>
        <v/>
      </c>
      <c r="M399" s="11"/>
    </row>
    <row r="400" spans="1:13" ht="15" x14ac:dyDescent="0.25">
      <c r="A400" s="1" t="str">
        <f>IF('1.1 Produksi Bersih Padi 2025'!A400="","",'1.1 Produksi Bersih Padi 2025'!A400)</f>
        <v/>
      </c>
      <c r="B400" s="31" t="str">
        <f>IF('1.1 Produksi Bersih Padi 2025'!B400="","",'1.1 Produksi Bersih Padi 2025'!B400)</f>
        <v/>
      </c>
      <c r="C400" s="31" t="str">
        <f>IF('1.1 Produksi Bersih Padi 2025'!C400="","",'1.1 Produksi Bersih Padi 2025'!C400)</f>
        <v/>
      </c>
      <c r="D400" s="1" t="str">
        <f>IF('1.1 Produksi Bersih Padi 2025'!D400="","",'1.1 Produksi Bersih Padi 2025'!D400)</f>
        <v/>
      </c>
      <c r="E400" s="1" t="str">
        <f>IF('1.1 Produksi Bersih Padi 2025'!E400="","",'1.1 Produksi Bersih Padi 2025'!E400)</f>
        <v/>
      </c>
      <c r="F400" s="28" t="str">
        <f>IF(D400="","",VLOOKUP(D400,'[1]0.1 Produksi Pangan &amp; Penduduk'!$D$5:$AK$860,34,0))</f>
        <v/>
      </c>
      <c r="G400" s="29" t="str">
        <f t="shared" si="30"/>
        <v/>
      </c>
      <c r="H400" s="29" t="str">
        <f t="shared" si="31"/>
        <v/>
      </c>
      <c r="I400" s="29" t="str">
        <f t="shared" si="32"/>
        <v/>
      </c>
      <c r="J400" s="29" t="str">
        <f t="shared" si="33"/>
        <v/>
      </c>
      <c r="K400" s="29" t="str">
        <f t="shared" si="34"/>
        <v/>
      </c>
      <c r="M400" s="11"/>
    </row>
    <row r="401" spans="1:13" ht="15" x14ac:dyDescent="0.25">
      <c r="A401" s="1" t="str">
        <f>IF('1.1 Produksi Bersih Padi 2025'!A401="","",'1.1 Produksi Bersih Padi 2025'!A401)</f>
        <v/>
      </c>
      <c r="B401" s="31" t="str">
        <f>IF('1.1 Produksi Bersih Padi 2025'!B401="","",'1.1 Produksi Bersih Padi 2025'!B401)</f>
        <v/>
      </c>
      <c r="C401" s="31" t="str">
        <f>IF('1.1 Produksi Bersih Padi 2025'!C401="","",'1.1 Produksi Bersih Padi 2025'!C401)</f>
        <v/>
      </c>
      <c r="D401" s="1" t="str">
        <f>IF('1.1 Produksi Bersih Padi 2025'!D401="","",'1.1 Produksi Bersih Padi 2025'!D401)</f>
        <v/>
      </c>
      <c r="E401" s="1" t="str">
        <f>IF('1.1 Produksi Bersih Padi 2025'!E401="","",'1.1 Produksi Bersih Padi 2025'!E401)</f>
        <v/>
      </c>
      <c r="F401" s="28" t="str">
        <f>IF(D401="","",VLOOKUP(D401,'[1]0.1 Produksi Pangan &amp; Penduduk'!$D$5:$AK$860,34,0))</f>
        <v/>
      </c>
      <c r="G401" s="29" t="str">
        <f t="shared" si="30"/>
        <v/>
      </c>
      <c r="H401" s="29" t="str">
        <f t="shared" si="31"/>
        <v/>
      </c>
      <c r="I401" s="29" t="str">
        <f t="shared" si="32"/>
        <v/>
      </c>
      <c r="J401" s="29" t="str">
        <f t="shared" si="33"/>
        <v/>
      </c>
      <c r="K401" s="29" t="str">
        <f t="shared" si="34"/>
        <v/>
      </c>
      <c r="M401" s="11"/>
    </row>
    <row r="402" spans="1:13" ht="15" x14ac:dyDescent="0.25">
      <c r="A402" s="1" t="str">
        <f>IF('1.1 Produksi Bersih Padi 2025'!A402="","",'1.1 Produksi Bersih Padi 2025'!A402)</f>
        <v/>
      </c>
      <c r="B402" s="31" t="str">
        <f>IF('1.1 Produksi Bersih Padi 2025'!B402="","",'1.1 Produksi Bersih Padi 2025'!B402)</f>
        <v/>
      </c>
      <c r="C402" s="31" t="str">
        <f>IF('1.1 Produksi Bersih Padi 2025'!C402="","",'1.1 Produksi Bersih Padi 2025'!C402)</f>
        <v/>
      </c>
      <c r="D402" s="1" t="str">
        <f>IF('1.1 Produksi Bersih Padi 2025'!D402="","",'1.1 Produksi Bersih Padi 2025'!D402)</f>
        <v/>
      </c>
      <c r="E402" s="1" t="str">
        <f>IF('1.1 Produksi Bersih Padi 2025'!E402="","",'1.1 Produksi Bersih Padi 2025'!E402)</f>
        <v/>
      </c>
      <c r="F402" s="28" t="str">
        <f>IF(D402="","",VLOOKUP(D402,'[1]0.1 Produksi Pangan &amp; Penduduk'!$D$5:$AK$860,34,0))</f>
        <v/>
      </c>
      <c r="G402" s="29" t="str">
        <f t="shared" si="30"/>
        <v/>
      </c>
      <c r="H402" s="29" t="str">
        <f t="shared" si="31"/>
        <v/>
      </c>
      <c r="I402" s="29" t="str">
        <f t="shared" si="32"/>
        <v/>
      </c>
      <c r="J402" s="29" t="str">
        <f t="shared" si="33"/>
        <v/>
      </c>
      <c r="K402" s="29" t="str">
        <f t="shared" si="34"/>
        <v/>
      </c>
      <c r="M402" s="11"/>
    </row>
    <row r="403" spans="1:13" ht="15" x14ac:dyDescent="0.25">
      <c r="A403" s="1" t="str">
        <f>IF('1.1 Produksi Bersih Padi 2025'!A403="","",'1.1 Produksi Bersih Padi 2025'!A403)</f>
        <v/>
      </c>
      <c r="B403" s="31" t="str">
        <f>IF('1.1 Produksi Bersih Padi 2025'!B403="","",'1.1 Produksi Bersih Padi 2025'!B403)</f>
        <v/>
      </c>
      <c r="C403" s="31" t="str">
        <f>IF('1.1 Produksi Bersih Padi 2025'!C403="","",'1.1 Produksi Bersih Padi 2025'!C403)</f>
        <v/>
      </c>
      <c r="D403" s="1" t="str">
        <f>IF('1.1 Produksi Bersih Padi 2025'!D403="","",'1.1 Produksi Bersih Padi 2025'!D403)</f>
        <v/>
      </c>
      <c r="E403" s="1" t="str">
        <f>IF('1.1 Produksi Bersih Padi 2025'!E403="","",'1.1 Produksi Bersih Padi 2025'!E403)</f>
        <v/>
      </c>
      <c r="F403" s="28" t="str">
        <f>IF(D403="","",VLOOKUP(D403,'[1]0.1 Produksi Pangan &amp; Penduduk'!$D$5:$AK$860,34,0))</f>
        <v/>
      </c>
      <c r="G403" s="29" t="str">
        <f t="shared" si="30"/>
        <v/>
      </c>
      <c r="H403" s="29" t="str">
        <f t="shared" si="31"/>
        <v/>
      </c>
      <c r="I403" s="29" t="str">
        <f t="shared" si="32"/>
        <v/>
      </c>
      <c r="J403" s="29" t="str">
        <f t="shared" si="33"/>
        <v/>
      </c>
      <c r="K403" s="29" t="str">
        <f t="shared" si="34"/>
        <v/>
      </c>
      <c r="M403" s="11"/>
    </row>
    <row r="404" spans="1:13" ht="15" x14ac:dyDescent="0.25">
      <c r="A404" s="1" t="str">
        <f>IF('1.1 Produksi Bersih Padi 2025'!A404="","",'1.1 Produksi Bersih Padi 2025'!A404)</f>
        <v/>
      </c>
      <c r="B404" s="31" t="str">
        <f>IF('1.1 Produksi Bersih Padi 2025'!B404="","",'1.1 Produksi Bersih Padi 2025'!B404)</f>
        <v/>
      </c>
      <c r="C404" s="31" t="str">
        <f>IF('1.1 Produksi Bersih Padi 2025'!C404="","",'1.1 Produksi Bersih Padi 2025'!C404)</f>
        <v/>
      </c>
      <c r="D404" s="1" t="str">
        <f>IF('1.1 Produksi Bersih Padi 2025'!D404="","",'1.1 Produksi Bersih Padi 2025'!D404)</f>
        <v/>
      </c>
      <c r="E404" s="1" t="str">
        <f>IF('1.1 Produksi Bersih Padi 2025'!E404="","",'1.1 Produksi Bersih Padi 2025'!E404)</f>
        <v/>
      </c>
      <c r="F404" s="28" t="str">
        <f>IF(D404="","",VLOOKUP(D404,'[1]0.1 Produksi Pangan &amp; Penduduk'!$D$5:$AK$860,34,0))</f>
        <v/>
      </c>
      <c r="G404" s="29" t="str">
        <f t="shared" si="30"/>
        <v/>
      </c>
      <c r="H404" s="29" t="str">
        <f t="shared" si="31"/>
        <v/>
      </c>
      <c r="I404" s="29" t="str">
        <f t="shared" si="32"/>
        <v/>
      </c>
      <c r="J404" s="29" t="str">
        <f t="shared" si="33"/>
        <v/>
      </c>
      <c r="K404" s="29" t="str">
        <f t="shared" si="34"/>
        <v/>
      </c>
      <c r="M404" s="11"/>
    </row>
    <row r="405" spans="1:13" ht="15" x14ac:dyDescent="0.25">
      <c r="A405" s="1" t="str">
        <f>IF('1.1 Produksi Bersih Padi 2025'!A405="","",'1.1 Produksi Bersih Padi 2025'!A405)</f>
        <v/>
      </c>
      <c r="B405" s="31" t="str">
        <f>IF('1.1 Produksi Bersih Padi 2025'!B405="","",'1.1 Produksi Bersih Padi 2025'!B405)</f>
        <v/>
      </c>
      <c r="C405" s="31" t="str">
        <f>IF('1.1 Produksi Bersih Padi 2025'!C405="","",'1.1 Produksi Bersih Padi 2025'!C405)</f>
        <v/>
      </c>
      <c r="D405" s="1" t="str">
        <f>IF('1.1 Produksi Bersih Padi 2025'!D405="","",'1.1 Produksi Bersih Padi 2025'!D405)</f>
        <v/>
      </c>
      <c r="E405" s="1" t="str">
        <f>IF('1.1 Produksi Bersih Padi 2025'!E405="","",'1.1 Produksi Bersih Padi 2025'!E405)</f>
        <v/>
      </c>
      <c r="F405" s="28" t="str">
        <f>IF(D405="","",VLOOKUP(D405,'[1]0.1 Produksi Pangan &amp; Penduduk'!$D$5:$AK$860,34,0))</f>
        <v/>
      </c>
      <c r="G405" s="29" t="str">
        <f t="shared" si="30"/>
        <v/>
      </c>
      <c r="H405" s="29" t="str">
        <f t="shared" si="31"/>
        <v/>
      </c>
      <c r="I405" s="29" t="str">
        <f t="shared" si="32"/>
        <v/>
      </c>
      <c r="J405" s="29" t="str">
        <f t="shared" si="33"/>
        <v/>
      </c>
      <c r="K405" s="29" t="str">
        <f t="shared" si="34"/>
        <v/>
      </c>
      <c r="M405" s="11"/>
    </row>
    <row r="406" spans="1:13" ht="15" x14ac:dyDescent="0.25">
      <c r="A406" s="1" t="str">
        <f>IF('1.1 Produksi Bersih Padi 2025'!A406="","",'1.1 Produksi Bersih Padi 2025'!A406)</f>
        <v/>
      </c>
      <c r="B406" s="31" t="str">
        <f>IF('1.1 Produksi Bersih Padi 2025'!B406="","",'1.1 Produksi Bersih Padi 2025'!B406)</f>
        <v/>
      </c>
      <c r="C406" s="31" t="str">
        <f>IF('1.1 Produksi Bersih Padi 2025'!C406="","",'1.1 Produksi Bersih Padi 2025'!C406)</f>
        <v/>
      </c>
      <c r="D406" s="1" t="str">
        <f>IF('1.1 Produksi Bersih Padi 2025'!D406="","",'1.1 Produksi Bersih Padi 2025'!D406)</f>
        <v/>
      </c>
      <c r="E406" s="1" t="str">
        <f>IF('1.1 Produksi Bersih Padi 2025'!E406="","",'1.1 Produksi Bersih Padi 2025'!E406)</f>
        <v/>
      </c>
      <c r="F406" s="28" t="str">
        <f>IF(D406="","",VLOOKUP(D406,'[1]0.1 Produksi Pangan &amp; Penduduk'!$D$5:$AK$860,34,0))</f>
        <v/>
      </c>
      <c r="G406" s="29" t="str">
        <f t="shared" si="30"/>
        <v/>
      </c>
      <c r="H406" s="29" t="str">
        <f t="shared" si="31"/>
        <v/>
      </c>
      <c r="I406" s="29" t="str">
        <f t="shared" si="32"/>
        <v/>
      </c>
      <c r="J406" s="29" t="str">
        <f t="shared" si="33"/>
        <v/>
      </c>
      <c r="K406" s="29" t="str">
        <f t="shared" si="34"/>
        <v/>
      </c>
      <c r="M406" s="11"/>
    </row>
    <row r="407" spans="1:13" ht="15" x14ac:dyDescent="0.25">
      <c r="A407" s="1" t="str">
        <f>IF('1.1 Produksi Bersih Padi 2025'!A407="","",'1.1 Produksi Bersih Padi 2025'!A407)</f>
        <v/>
      </c>
      <c r="B407" s="31" t="str">
        <f>IF('1.1 Produksi Bersih Padi 2025'!B407="","",'1.1 Produksi Bersih Padi 2025'!B407)</f>
        <v/>
      </c>
      <c r="C407" s="31" t="str">
        <f>IF('1.1 Produksi Bersih Padi 2025'!C407="","",'1.1 Produksi Bersih Padi 2025'!C407)</f>
        <v/>
      </c>
      <c r="D407" s="1" t="str">
        <f>IF('1.1 Produksi Bersih Padi 2025'!D407="","",'1.1 Produksi Bersih Padi 2025'!D407)</f>
        <v/>
      </c>
      <c r="E407" s="1" t="str">
        <f>IF('1.1 Produksi Bersih Padi 2025'!E407="","",'1.1 Produksi Bersih Padi 2025'!E407)</f>
        <v/>
      </c>
      <c r="F407" s="28" t="str">
        <f>IF(D407="","",VLOOKUP(D407,'[1]0.1 Produksi Pangan &amp; Penduduk'!$D$5:$AK$860,34,0))</f>
        <v/>
      </c>
      <c r="G407" s="29" t="str">
        <f t="shared" si="30"/>
        <v/>
      </c>
      <c r="H407" s="29" t="str">
        <f t="shared" si="31"/>
        <v/>
      </c>
      <c r="I407" s="29" t="str">
        <f t="shared" si="32"/>
        <v/>
      </c>
      <c r="J407" s="29" t="str">
        <f t="shared" si="33"/>
        <v/>
      </c>
      <c r="K407" s="29" t="str">
        <f t="shared" si="34"/>
        <v/>
      </c>
      <c r="M407" s="11"/>
    </row>
    <row r="408" spans="1:13" ht="15" x14ac:dyDescent="0.25">
      <c r="A408" s="1" t="str">
        <f>IF('1.1 Produksi Bersih Padi 2025'!A408="","",'1.1 Produksi Bersih Padi 2025'!A408)</f>
        <v/>
      </c>
      <c r="B408" s="31" t="str">
        <f>IF('1.1 Produksi Bersih Padi 2025'!B408="","",'1.1 Produksi Bersih Padi 2025'!B408)</f>
        <v/>
      </c>
      <c r="C408" s="31" t="str">
        <f>IF('1.1 Produksi Bersih Padi 2025'!C408="","",'1.1 Produksi Bersih Padi 2025'!C408)</f>
        <v/>
      </c>
      <c r="D408" s="1" t="str">
        <f>IF('1.1 Produksi Bersih Padi 2025'!D408="","",'1.1 Produksi Bersih Padi 2025'!D408)</f>
        <v/>
      </c>
      <c r="E408" s="1" t="str">
        <f>IF('1.1 Produksi Bersih Padi 2025'!E408="","",'1.1 Produksi Bersih Padi 2025'!E408)</f>
        <v/>
      </c>
      <c r="F408" s="28" t="str">
        <f>IF(D408="","",VLOOKUP(D408,'[1]0.1 Produksi Pangan &amp; Penduduk'!$D$5:$AK$860,34,0))</f>
        <v/>
      </c>
      <c r="G408" s="29" t="str">
        <f t="shared" si="30"/>
        <v/>
      </c>
      <c r="H408" s="29" t="str">
        <f t="shared" si="31"/>
        <v/>
      </c>
      <c r="I408" s="29" t="str">
        <f t="shared" si="32"/>
        <v/>
      </c>
      <c r="J408" s="29" t="str">
        <f t="shared" si="33"/>
        <v/>
      </c>
      <c r="K408" s="29" t="str">
        <f t="shared" si="34"/>
        <v/>
      </c>
      <c r="M408" s="11"/>
    </row>
    <row r="409" spans="1:13" ht="15" x14ac:dyDescent="0.25">
      <c r="A409" s="1" t="str">
        <f>IF('1.1 Produksi Bersih Padi 2025'!A409="","",'1.1 Produksi Bersih Padi 2025'!A409)</f>
        <v/>
      </c>
      <c r="B409" s="31" t="str">
        <f>IF('1.1 Produksi Bersih Padi 2025'!B409="","",'1.1 Produksi Bersih Padi 2025'!B409)</f>
        <v/>
      </c>
      <c r="C409" s="31" t="str">
        <f>IF('1.1 Produksi Bersih Padi 2025'!C409="","",'1.1 Produksi Bersih Padi 2025'!C409)</f>
        <v/>
      </c>
      <c r="D409" s="1" t="str">
        <f>IF('1.1 Produksi Bersih Padi 2025'!D409="","",'1.1 Produksi Bersih Padi 2025'!D409)</f>
        <v/>
      </c>
      <c r="E409" s="1" t="str">
        <f>IF('1.1 Produksi Bersih Padi 2025'!E409="","",'1.1 Produksi Bersih Padi 2025'!E409)</f>
        <v/>
      </c>
      <c r="F409" s="28" t="str">
        <f>IF(D409="","",VLOOKUP(D409,'[1]0.1 Produksi Pangan &amp; Penduduk'!$D$5:$AK$860,34,0))</f>
        <v/>
      </c>
      <c r="G409" s="29" t="str">
        <f t="shared" si="30"/>
        <v/>
      </c>
      <c r="H409" s="29" t="str">
        <f t="shared" si="31"/>
        <v/>
      </c>
      <c r="I409" s="29" t="str">
        <f t="shared" si="32"/>
        <v/>
      </c>
      <c r="J409" s="29" t="str">
        <f t="shared" si="33"/>
        <v/>
      </c>
      <c r="K409" s="29" t="str">
        <f t="shared" si="34"/>
        <v/>
      </c>
      <c r="M409" s="11"/>
    </row>
    <row r="410" spans="1:13" ht="15" x14ac:dyDescent="0.25">
      <c r="A410" s="1" t="str">
        <f>IF('1.1 Produksi Bersih Padi 2025'!A410="","",'1.1 Produksi Bersih Padi 2025'!A410)</f>
        <v/>
      </c>
      <c r="B410" s="31" t="str">
        <f>IF('1.1 Produksi Bersih Padi 2025'!B410="","",'1.1 Produksi Bersih Padi 2025'!B410)</f>
        <v/>
      </c>
      <c r="C410" s="31" t="str">
        <f>IF('1.1 Produksi Bersih Padi 2025'!C410="","",'1.1 Produksi Bersih Padi 2025'!C410)</f>
        <v/>
      </c>
      <c r="D410" s="1" t="str">
        <f>IF('1.1 Produksi Bersih Padi 2025'!D410="","",'1.1 Produksi Bersih Padi 2025'!D410)</f>
        <v/>
      </c>
      <c r="E410" s="1" t="str">
        <f>IF('1.1 Produksi Bersih Padi 2025'!E410="","",'1.1 Produksi Bersih Padi 2025'!E410)</f>
        <v/>
      </c>
      <c r="F410" s="28" t="str">
        <f>IF(D410="","",VLOOKUP(D410,'[1]0.1 Produksi Pangan &amp; Penduduk'!$D$5:$AK$860,34,0))</f>
        <v/>
      </c>
      <c r="G410" s="29" t="str">
        <f t="shared" si="30"/>
        <v/>
      </c>
      <c r="H410" s="29" t="str">
        <f t="shared" si="31"/>
        <v/>
      </c>
      <c r="I410" s="29" t="str">
        <f t="shared" si="32"/>
        <v/>
      </c>
      <c r="J410" s="29" t="str">
        <f t="shared" si="33"/>
        <v/>
      </c>
      <c r="K410" s="29" t="str">
        <f t="shared" si="34"/>
        <v/>
      </c>
      <c r="M410" s="11"/>
    </row>
    <row r="411" spans="1:13" ht="15" x14ac:dyDescent="0.25">
      <c r="A411" s="1" t="str">
        <f>IF('1.1 Produksi Bersih Padi 2025'!A411="","",'1.1 Produksi Bersih Padi 2025'!A411)</f>
        <v/>
      </c>
      <c r="B411" s="31" t="str">
        <f>IF('1.1 Produksi Bersih Padi 2025'!B411="","",'1.1 Produksi Bersih Padi 2025'!B411)</f>
        <v/>
      </c>
      <c r="C411" s="31" t="str">
        <f>IF('1.1 Produksi Bersih Padi 2025'!C411="","",'1.1 Produksi Bersih Padi 2025'!C411)</f>
        <v/>
      </c>
      <c r="D411" s="1" t="str">
        <f>IF('1.1 Produksi Bersih Padi 2025'!D411="","",'1.1 Produksi Bersih Padi 2025'!D411)</f>
        <v/>
      </c>
      <c r="E411" s="1" t="str">
        <f>IF('1.1 Produksi Bersih Padi 2025'!E411="","",'1.1 Produksi Bersih Padi 2025'!E411)</f>
        <v/>
      </c>
      <c r="F411" s="28" t="str">
        <f>IF(D411="","",VLOOKUP(D411,'[1]0.1 Produksi Pangan &amp; Penduduk'!$D$5:$AK$860,34,0))</f>
        <v/>
      </c>
      <c r="G411" s="29" t="str">
        <f t="shared" si="30"/>
        <v/>
      </c>
      <c r="H411" s="29" t="str">
        <f t="shared" si="31"/>
        <v/>
      </c>
      <c r="I411" s="29" t="str">
        <f t="shared" si="32"/>
        <v/>
      </c>
      <c r="J411" s="29" t="str">
        <f t="shared" si="33"/>
        <v/>
      </c>
      <c r="K411" s="29" t="str">
        <f t="shared" si="34"/>
        <v/>
      </c>
      <c r="M411" s="11"/>
    </row>
    <row r="412" spans="1:13" ht="15" x14ac:dyDescent="0.25">
      <c r="A412" s="1" t="str">
        <f>IF('1.1 Produksi Bersih Padi 2025'!A412="","",'1.1 Produksi Bersih Padi 2025'!A412)</f>
        <v/>
      </c>
      <c r="B412" s="31" t="str">
        <f>IF('1.1 Produksi Bersih Padi 2025'!B412="","",'1.1 Produksi Bersih Padi 2025'!B412)</f>
        <v/>
      </c>
      <c r="C412" s="31" t="str">
        <f>IF('1.1 Produksi Bersih Padi 2025'!C412="","",'1.1 Produksi Bersih Padi 2025'!C412)</f>
        <v/>
      </c>
      <c r="D412" s="1" t="str">
        <f>IF('1.1 Produksi Bersih Padi 2025'!D412="","",'1.1 Produksi Bersih Padi 2025'!D412)</f>
        <v/>
      </c>
      <c r="E412" s="1" t="str">
        <f>IF('1.1 Produksi Bersih Padi 2025'!E412="","",'1.1 Produksi Bersih Padi 2025'!E412)</f>
        <v/>
      </c>
      <c r="F412" s="28" t="str">
        <f>IF(D412="","",VLOOKUP(D412,'[1]0.1 Produksi Pangan &amp; Penduduk'!$D$5:$AK$860,34,0))</f>
        <v/>
      </c>
      <c r="G412" s="29" t="str">
        <f t="shared" si="30"/>
        <v/>
      </c>
      <c r="H412" s="29" t="str">
        <f t="shared" si="31"/>
        <v/>
      </c>
      <c r="I412" s="29" t="str">
        <f t="shared" si="32"/>
        <v/>
      </c>
      <c r="J412" s="29" t="str">
        <f t="shared" si="33"/>
        <v/>
      </c>
      <c r="K412" s="29" t="str">
        <f t="shared" si="34"/>
        <v/>
      </c>
      <c r="M412" s="11"/>
    </row>
    <row r="413" spans="1:13" ht="15" x14ac:dyDescent="0.25">
      <c r="A413" s="1" t="str">
        <f>IF('1.1 Produksi Bersih Padi 2025'!A413="","",'1.1 Produksi Bersih Padi 2025'!A413)</f>
        <v/>
      </c>
      <c r="B413" s="31" t="str">
        <f>IF('1.1 Produksi Bersih Padi 2025'!B413="","",'1.1 Produksi Bersih Padi 2025'!B413)</f>
        <v/>
      </c>
      <c r="C413" s="31" t="str">
        <f>IF('1.1 Produksi Bersih Padi 2025'!C413="","",'1.1 Produksi Bersih Padi 2025'!C413)</f>
        <v/>
      </c>
      <c r="D413" s="1" t="str">
        <f>IF('1.1 Produksi Bersih Padi 2025'!D413="","",'1.1 Produksi Bersih Padi 2025'!D413)</f>
        <v/>
      </c>
      <c r="E413" s="1" t="str">
        <f>IF('1.1 Produksi Bersih Padi 2025'!E413="","",'1.1 Produksi Bersih Padi 2025'!E413)</f>
        <v/>
      </c>
      <c r="F413" s="28" t="str">
        <f>IF(D413="","",VLOOKUP(D413,'[1]0.1 Produksi Pangan &amp; Penduduk'!$D$5:$AK$860,34,0))</f>
        <v/>
      </c>
      <c r="G413" s="29" t="str">
        <f t="shared" si="30"/>
        <v/>
      </c>
      <c r="H413" s="29" t="str">
        <f t="shared" si="31"/>
        <v/>
      </c>
      <c r="I413" s="29" t="str">
        <f t="shared" si="32"/>
        <v/>
      </c>
      <c r="J413" s="29" t="str">
        <f t="shared" si="33"/>
        <v/>
      </c>
      <c r="K413" s="29" t="str">
        <f t="shared" si="34"/>
        <v/>
      </c>
      <c r="M413" s="11"/>
    </row>
    <row r="414" spans="1:13" ht="15" x14ac:dyDescent="0.25">
      <c r="A414" s="1" t="str">
        <f>IF('1.1 Produksi Bersih Padi 2025'!A414="","",'1.1 Produksi Bersih Padi 2025'!A414)</f>
        <v/>
      </c>
      <c r="B414" s="31" t="str">
        <f>IF('1.1 Produksi Bersih Padi 2025'!B414="","",'1.1 Produksi Bersih Padi 2025'!B414)</f>
        <v/>
      </c>
      <c r="C414" s="31" t="str">
        <f>IF('1.1 Produksi Bersih Padi 2025'!C414="","",'1.1 Produksi Bersih Padi 2025'!C414)</f>
        <v/>
      </c>
      <c r="D414" s="1" t="str">
        <f>IF('1.1 Produksi Bersih Padi 2025'!D414="","",'1.1 Produksi Bersih Padi 2025'!D414)</f>
        <v/>
      </c>
      <c r="E414" s="1" t="str">
        <f>IF('1.1 Produksi Bersih Padi 2025'!E414="","",'1.1 Produksi Bersih Padi 2025'!E414)</f>
        <v/>
      </c>
      <c r="F414" s="28" t="str">
        <f>IF(D414="","",VLOOKUP(D414,'[1]0.1 Produksi Pangan &amp; Penduduk'!$D$5:$AK$860,34,0))</f>
        <v/>
      </c>
      <c r="G414" s="29" t="str">
        <f t="shared" si="30"/>
        <v/>
      </c>
      <c r="H414" s="29" t="str">
        <f t="shared" si="31"/>
        <v/>
      </c>
      <c r="I414" s="29" t="str">
        <f t="shared" si="32"/>
        <v/>
      </c>
      <c r="J414" s="29" t="str">
        <f t="shared" si="33"/>
        <v/>
      </c>
      <c r="K414" s="29" t="str">
        <f t="shared" si="34"/>
        <v/>
      </c>
      <c r="M414" s="11"/>
    </row>
    <row r="415" spans="1:13" ht="15" x14ac:dyDescent="0.25">
      <c r="A415" s="1" t="str">
        <f>IF('1.1 Produksi Bersih Padi 2025'!A415="","",'1.1 Produksi Bersih Padi 2025'!A415)</f>
        <v/>
      </c>
      <c r="B415" s="31" t="str">
        <f>IF('1.1 Produksi Bersih Padi 2025'!B415="","",'1.1 Produksi Bersih Padi 2025'!B415)</f>
        <v/>
      </c>
      <c r="C415" s="31" t="str">
        <f>IF('1.1 Produksi Bersih Padi 2025'!C415="","",'1.1 Produksi Bersih Padi 2025'!C415)</f>
        <v/>
      </c>
      <c r="D415" s="1" t="str">
        <f>IF('1.1 Produksi Bersih Padi 2025'!D415="","",'1.1 Produksi Bersih Padi 2025'!D415)</f>
        <v/>
      </c>
      <c r="E415" s="1" t="str">
        <f>IF('1.1 Produksi Bersih Padi 2025'!E415="","",'1.1 Produksi Bersih Padi 2025'!E415)</f>
        <v/>
      </c>
      <c r="F415" s="28" t="str">
        <f>IF(D415="","",VLOOKUP(D415,'[1]0.1 Produksi Pangan &amp; Penduduk'!$D$5:$AK$860,34,0))</f>
        <v/>
      </c>
      <c r="G415" s="29" t="str">
        <f t="shared" si="30"/>
        <v/>
      </c>
      <c r="H415" s="29" t="str">
        <f t="shared" si="31"/>
        <v/>
      </c>
      <c r="I415" s="29" t="str">
        <f t="shared" si="32"/>
        <v/>
      </c>
      <c r="J415" s="29" t="str">
        <f t="shared" si="33"/>
        <v/>
      </c>
      <c r="K415" s="29" t="str">
        <f t="shared" si="34"/>
        <v/>
      </c>
      <c r="M415" s="11"/>
    </row>
    <row r="416" spans="1:13" ht="15" x14ac:dyDescent="0.25">
      <c r="A416" s="1" t="str">
        <f>IF('1.1 Produksi Bersih Padi 2025'!A416="","",'1.1 Produksi Bersih Padi 2025'!A416)</f>
        <v/>
      </c>
      <c r="B416" s="31" t="str">
        <f>IF('1.1 Produksi Bersih Padi 2025'!B416="","",'1.1 Produksi Bersih Padi 2025'!B416)</f>
        <v/>
      </c>
      <c r="C416" s="31" t="str">
        <f>IF('1.1 Produksi Bersih Padi 2025'!C416="","",'1.1 Produksi Bersih Padi 2025'!C416)</f>
        <v/>
      </c>
      <c r="D416" s="1" t="str">
        <f>IF('1.1 Produksi Bersih Padi 2025'!D416="","",'1.1 Produksi Bersih Padi 2025'!D416)</f>
        <v/>
      </c>
      <c r="E416" s="1" t="str">
        <f>IF('1.1 Produksi Bersih Padi 2025'!E416="","",'1.1 Produksi Bersih Padi 2025'!E416)</f>
        <v/>
      </c>
      <c r="F416" s="28" t="str">
        <f>IF(D416="","",VLOOKUP(D416,'[1]0.1 Produksi Pangan &amp; Penduduk'!$D$5:$AK$860,34,0))</f>
        <v/>
      </c>
      <c r="G416" s="29" t="str">
        <f t="shared" si="30"/>
        <v/>
      </c>
      <c r="H416" s="29" t="str">
        <f t="shared" si="31"/>
        <v/>
      </c>
      <c r="I416" s="29" t="str">
        <f t="shared" si="32"/>
        <v/>
      </c>
      <c r="J416" s="29" t="str">
        <f t="shared" si="33"/>
        <v/>
      </c>
      <c r="K416" s="29" t="str">
        <f t="shared" si="34"/>
        <v/>
      </c>
      <c r="M416" s="11"/>
    </row>
    <row r="417" spans="1:13" ht="15" x14ac:dyDescent="0.25">
      <c r="A417" s="1" t="str">
        <f>IF('1.1 Produksi Bersih Padi 2025'!A417="","",'1.1 Produksi Bersih Padi 2025'!A417)</f>
        <v/>
      </c>
      <c r="B417" s="31" t="str">
        <f>IF('1.1 Produksi Bersih Padi 2025'!B417="","",'1.1 Produksi Bersih Padi 2025'!B417)</f>
        <v/>
      </c>
      <c r="C417" s="31" t="str">
        <f>IF('1.1 Produksi Bersih Padi 2025'!C417="","",'1.1 Produksi Bersih Padi 2025'!C417)</f>
        <v/>
      </c>
      <c r="D417" s="1" t="str">
        <f>IF('1.1 Produksi Bersih Padi 2025'!D417="","",'1.1 Produksi Bersih Padi 2025'!D417)</f>
        <v/>
      </c>
      <c r="E417" s="1" t="str">
        <f>IF('1.1 Produksi Bersih Padi 2025'!E417="","",'1.1 Produksi Bersih Padi 2025'!E417)</f>
        <v/>
      </c>
      <c r="F417" s="28" t="str">
        <f>IF(D417="","",VLOOKUP(D417,'[1]0.1 Produksi Pangan &amp; Penduduk'!$D$5:$AK$860,34,0))</f>
        <v/>
      </c>
      <c r="G417" s="29" t="str">
        <f t="shared" si="30"/>
        <v/>
      </c>
      <c r="H417" s="29" t="str">
        <f t="shared" si="31"/>
        <v/>
      </c>
      <c r="I417" s="29" t="str">
        <f t="shared" si="32"/>
        <v/>
      </c>
      <c r="J417" s="29" t="str">
        <f t="shared" si="33"/>
        <v/>
      </c>
      <c r="K417" s="29" t="str">
        <f t="shared" si="34"/>
        <v/>
      </c>
      <c r="M417" s="11"/>
    </row>
    <row r="418" spans="1:13" ht="15" x14ac:dyDescent="0.25">
      <c r="A418" s="1" t="str">
        <f>IF('1.1 Produksi Bersih Padi 2025'!A418="","",'1.1 Produksi Bersih Padi 2025'!A418)</f>
        <v/>
      </c>
      <c r="B418" s="31" t="str">
        <f>IF('1.1 Produksi Bersih Padi 2025'!B418="","",'1.1 Produksi Bersih Padi 2025'!B418)</f>
        <v/>
      </c>
      <c r="C418" s="31" t="str">
        <f>IF('1.1 Produksi Bersih Padi 2025'!C418="","",'1.1 Produksi Bersih Padi 2025'!C418)</f>
        <v/>
      </c>
      <c r="D418" s="1" t="str">
        <f>IF('1.1 Produksi Bersih Padi 2025'!D418="","",'1.1 Produksi Bersih Padi 2025'!D418)</f>
        <v/>
      </c>
      <c r="E418" s="1" t="str">
        <f>IF('1.1 Produksi Bersih Padi 2025'!E418="","",'1.1 Produksi Bersih Padi 2025'!E418)</f>
        <v/>
      </c>
      <c r="F418" s="28" t="str">
        <f>IF(D418="","",VLOOKUP(D418,'[1]0.1 Produksi Pangan &amp; Penduduk'!$D$5:$AK$860,34,0))</f>
        <v/>
      </c>
      <c r="G418" s="29" t="str">
        <f t="shared" si="30"/>
        <v/>
      </c>
      <c r="H418" s="29" t="str">
        <f t="shared" si="31"/>
        <v/>
      </c>
      <c r="I418" s="29" t="str">
        <f t="shared" si="32"/>
        <v/>
      </c>
      <c r="J418" s="29" t="str">
        <f t="shared" si="33"/>
        <v/>
      </c>
      <c r="K418" s="29" t="str">
        <f t="shared" si="34"/>
        <v/>
      </c>
      <c r="M418" s="11"/>
    </row>
    <row r="419" spans="1:13" ht="15" x14ac:dyDescent="0.25">
      <c r="A419" s="1" t="str">
        <f>IF('1.1 Produksi Bersih Padi 2025'!A419="","",'1.1 Produksi Bersih Padi 2025'!A419)</f>
        <v/>
      </c>
      <c r="B419" s="31" t="str">
        <f>IF('1.1 Produksi Bersih Padi 2025'!B419="","",'1.1 Produksi Bersih Padi 2025'!B419)</f>
        <v/>
      </c>
      <c r="C419" s="31" t="str">
        <f>IF('1.1 Produksi Bersih Padi 2025'!C419="","",'1.1 Produksi Bersih Padi 2025'!C419)</f>
        <v/>
      </c>
      <c r="D419" s="1" t="str">
        <f>IF('1.1 Produksi Bersih Padi 2025'!D419="","",'1.1 Produksi Bersih Padi 2025'!D419)</f>
        <v/>
      </c>
      <c r="E419" s="1" t="str">
        <f>IF('1.1 Produksi Bersih Padi 2025'!E419="","",'1.1 Produksi Bersih Padi 2025'!E419)</f>
        <v/>
      </c>
      <c r="F419" s="28" t="str">
        <f>IF(D419="","",VLOOKUP(D419,'[1]0.1 Produksi Pangan &amp; Penduduk'!$D$5:$AK$860,34,0))</f>
        <v/>
      </c>
      <c r="G419" s="29" t="str">
        <f t="shared" si="30"/>
        <v/>
      </c>
      <c r="H419" s="29" t="str">
        <f t="shared" si="31"/>
        <v/>
      </c>
      <c r="I419" s="29" t="str">
        <f t="shared" si="32"/>
        <v/>
      </c>
      <c r="J419" s="29" t="str">
        <f t="shared" si="33"/>
        <v/>
      </c>
      <c r="K419" s="29" t="str">
        <f t="shared" si="34"/>
        <v/>
      </c>
      <c r="M419" s="11"/>
    </row>
    <row r="420" spans="1:13" ht="15" x14ac:dyDescent="0.25">
      <c r="A420" s="1" t="str">
        <f>IF('1.1 Produksi Bersih Padi 2025'!A420="","",'1.1 Produksi Bersih Padi 2025'!A420)</f>
        <v/>
      </c>
      <c r="B420" s="31" t="str">
        <f>IF('1.1 Produksi Bersih Padi 2025'!B420="","",'1.1 Produksi Bersih Padi 2025'!B420)</f>
        <v/>
      </c>
      <c r="C420" s="31" t="str">
        <f>IF('1.1 Produksi Bersih Padi 2025'!C420="","",'1.1 Produksi Bersih Padi 2025'!C420)</f>
        <v/>
      </c>
      <c r="D420" s="1" t="str">
        <f>IF('1.1 Produksi Bersih Padi 2025'!D420="","",'1.1 Produksi Bersih Padi 2025'!D420)</f>
        <v/>
      </c>
      <c r="E420" s="1" t="str">
        <f>IF('1.1 Produksi Bersih Padi 2025'!E420="","",'1.1 Produksi Bersih Padi 2025'!E420)</f>
        <v/>
      </c>
      <c r="F420" s="28" t="str">
        <f>IF(D420="","",VLOOKUP(D420,'[1]0.1 Produksi Pangan &amp; Penduduk'!$D$5:$AK$860,34,0))</f>
        <v/>
      </c>
      <c r="G420" s="29" t="str">
        <f t="shared" si="30"/>
        <v/>
      </c>
      <c r="H420" s="29" t="str">
        <f t="shared" si="31"/>
        <v/>
      </c>
      <c r="I420" s="29" t="str">
        <f t="shared" si="32"/>
        <v/>
      </c>
      <c r="J420" s="29" t="str">
        <f t="shared" si="33"/>
        <v/>
      </c>
      <c r="K420" s="29" t="str">
        <f t="shared" si="34"/>
        <v/>
      </c>
      <c r="M420" s="11"/>
    </row>
    <row r="421" spans="1:13" ht="15" x14ac:dyDescent="0.25">
      <c r="A421" s="1" t="str">
        <f>IF('1.1 Produksi Bersih Padi 2025'!A421="","",'1.1 Produksi Bersih Padi 2025'!A421)</f>
        <v/>
      </c>
      <c r="B421" s="31" t="str">
        <f>IF('1.1 Produksi Bersih Padi 2025'!B421="","",'1.1 Produksi Bersih Padi 2025'!B421)</f>
        <v/>
      </c>
      <c r="C421" s="31" t="str">
        <f>IF('1.1 Produksi Bersih Padi 2025'!C421="","",'1.1 Produksi Bersih Padi 2025'!C421)</f>
        <v/>
      </c>
      <c r="D421" s="1" t="str">
        <f>IF('1.1 Produksi Bersih Padi 2025'!D421="","",'1.1 Produksi Bersih Padi 2025'!D421)</f>
        <v/>
      </c>
      <c r="E421" s="1" t="str">
        <f>IF('1.1 Produksi Bersih Padi 2025'!E421="","",'1.1 Produksi Bersih Padi 2025'!E421)</f>
        <v/>
      </c>
      <c r="F421" s="28" t="str">
        <f>IF(D421="","",VLOOKUP(D421,'[1]0.1 Produksi Pangan &amp; Penduduk'!$D$5:$AK$860,34,0))</f>
        <v/>
      </c>
      <c r="G421" s="29" t="str">
        <f t="shared" si="30"/>
        <v/>
      </c>
      <c r="H421" s="29" t="str">
        <f t="shared" si="31"/>
        <v/>
      </c>
      <c r="I421" s="29" t="str">
        <f t="shared" si="32"/>
        <v/>
      </c>
      <c r="J421" s="29" t="str">
        <f t="shared" si="33"/>
        <v/>
      </c>
      <c r="K421" s="29" t="str">
        <f t="shared" si="34"/>
        <v/>
      </c>
    </row>
    <row r="422" spans="1:13" ht="15" x14ac:dyDescent="0.25">
      <c r="A422" s="1" t="str">
        <f>IF('1.1 Produksi Bersih Padi 2025'!A422="","",'1.1 Produksi Bersih Padi 2025'!A422)</f>
        <v/>
      </c>
      <c r="B422" s="31" t="str">
        <f>IF('1.1 Produksi Bersih Padi 2025'!B422="","",'1.1 Produksi Bersih Padi 2025'!B422)</f>
        <v/>
      </c>
      <c r="C422" s="31" t="str">
        <f>IF('1.1 Produksi Bersih Padi 2025'!C422="","",'1.1 Produksi Bersih Padi 2025'!C422)</f>
        <v/>
      </c>
      <c r="D422" s="1" t="str">
        <f>IF('1.1 Produksi Bersih Padi 2025'!D422="","",'1.1 Produksi Bersih Padi 2025'!D422)</f>
        <v/>
      </c>
      <c r="E422" s="1" t="str">
        <f>IF('1.1 Produksi Bersih Padi 2025'!E422="","",'1.1 Produksi Bersih Padi 2025'!E422)</f>
        <v/>
      </c>
      <c r="F422" s="28" t="str">
        <f>IF(D422="","",VLOOKUP(D422,'[1]0.1 Produksi Pangan &amp; Penduduk'!$D$5:$AK$860,34,0))</f>
        <v/>
      </c>
      <c r="G422" s="29" t="str">
        <f t="shared" si="30"/>
        <v/>
      </c>
      <c r="H422" s="29" t="str">
        <f t="shared" si="31"/>
        <v/>
      </c>
      <c r="I422" s="29" t="str">
        <f t="shared" si="32"/>
        <v/>
      </c>
      <c r="J422" s="29" t="str">
        <f t="shared" si="33"/>
        <v/>
      </c>
      <c r="K422" s="29" t="str">
        <f t="shared" si="34"/>
        <v/>
      </c>
    </row>
    <row r="423" spans="1:13" ht="15" x14ac:dyDescent="0.25">
      <c r="A423" s="1" t="str">
        <f>IF('1.1 Produksi Bersih Padi 2025'!A423="","",'1.1 Produksi Bersih Padi 2025'!A423)</f>
        <v/>
      </c>
      <c r="B423" s="31" t="str">
        <f>IF('1.1 Produksi Bersih Padi 2025'!B423="","",'1.1 Produksi Bersih Padi 2025'!B423)</f>
        <v/>
      </c>
      <c r="C423" s="31" t="str">
        <f>IF('1.1 Produksi Bersih Padi 2025'!C423="","",'1.1 Produksi Bersih Padi 2025'!C423)</f>
        <v/>
      </c>
      <c r="D423" s="1" t="str">
        <f>IF('1.1 Produksi Bersih Padi 2025'!D423="","",'1.1 Produksi Bersih Padi 2025'!D423)</f>
        <v/>
      </c>
      <c r="E423" s="1" t="str">
        <f>IF('1.1 Produksi Bersih Padi 2025'!E423="","",'1.1 Produksi Bersih Padi 2025'!E423)</f>
        <v/>
      </c>
      <c r="F423" s="28" t="str">
        <f>IF(D423="","",VLOOKUP(D423,'[1]0.1 Produksi Pangan &amp; Penduduk'!$D$5:$AK$860,34,0))</f>
        <v/>
      </c>
      <c r="G423" s="29" t="str">
        <f t="shared" si="30"/>
        <v/>
      </c>
      <c r="H423" s="29" t="str">
        <f t="shared" si="31"/>
        <v/>
      </c>
      <c r="I423" s="29" t="str">
        <f t="shared" si="32"/>
        <v/>
      </c>
      <c r="J423" s="29" t="str">
        <f t="shared" si="33"/>
        <v/>
      </c>
      <c r="K423" s="29" t="str">
        <f t="shared" si="34"/>
        <v/>
      </c>
    </row>
    <row r="424" spans="1:13" ht="15" x14ac:dyDescent="0.25">
      <c r="A424" s="1" t="str">
        <f>IF('1.1 Produksi Bersih Padi 2025'!A424="","",'1.1 Produksi Bersih Padi 2025'!A424)</f>
        <v/>
      </c>
      <c r="B424" s="31" t="str">
        <f>IF('1.1 Produksi Bersih Padi 2025'!B424="","",'1.1 Produksi Bersih Padi 2025'!B424)</f>
        <v/>
      </c>
      <c r="C424" s="31" t="str">
        <f>IF('1.1 Produksi Bersih Padi 2025'!C424="","",'1.1 Produksi Bersih Padi 2025'!C424)</f>
        <v/>
      </c>
      <c r="D424" s="1" t="str">
        <f>IF('1.1 Produksi Bersih Padi 2025'!D424="","",'1.1 Produksi Bersih Padi 2025'!D424)</f>
        <v/>
      </c>
      <c r="E424" s="1" t="str">
        <f>IF('1.1 Produksi Bersih Padi 2025'!E424="","",'1.1 Produksi Bersih Padi 2025'!E424)</f>
        <v/>
      </c>
      <c r="F424" s="28" t="str">
        <f>IF(D424="","",VLOOKUP(D424,'[1]0.1 Produksi Pangan &amp; Penduduk'!$D$5:$AK$860,34,0))</f>
        <v/>
      </c>
      <c r="G424" s="29" t="str">
        <f t="shared" si="30"/>
        <v/>
      </c>
      <c r="H424" s="29" t="str">
        <f t="shared" si="31"/>
        <v/>
      </c>
      <c r="I424" s="29" t="str">
        <f t="shared" si="32"/>
        <v/>
      </c>
      <c r="J424" s="29" t="str">
        <f t="shared" si="33"/>
        <v/>
      </c>
      <c r="K424" s="29" t="str">
        <f t="shared" si="34"/>
        <v/>
      </c>
    </row>
    <row r="425" spans="1:13" ht="15" x14ac:dyDescent="0.25">
      <c r="A425" s="1" t="str">
        <f>IF('1.1 Produksi Bersih Padi 2025'!A425="","",'1.1 Produksi Bersih Padi 2025'!A425)</f>
        <v/>
      </c>
      <c r="B425" s="31" t="str">
        <f>IF('1.1 Produksi Bersih Padi 2025'!B425="","",'1.1 Produksi Bersih Padi 2025'!B425)</f>
        <v/>
      </c>
      <c r="C425" s="31" t="str">
        <f>IF('1.1 Produksi Bersih Padi 2025'!C425="","",'1.1 Produksi Bersih Padi 2025'!C425)</f>
        <v/>
      </c>
      <c r="D425" s="1" t="str">
        <f>IF('1.1 Produksi Bersih Padi 2025'!D425="","",'1.1 Produksi Bersih Padi 2025'!D425)</f>
        <v/>
      </c>
      <c r="E425" s="1" t="str">
        <f>IF('1.1 Produksi Bersih Padi 2025'!E425="","",'1.1 Produksi Bersih Padi 2025'!E425)</f>
        <v/>
      </c>
      <c r="F425" s="28" t="str">
        <f>IF(D425="","",VLOOKUP(D425,'[1]0.1 Produksi Pangan &amp; Penduduk'!$D$5:$AK$860,34,0))</f>
        <v/>
      </c>
      <c r="G425" s="29" t="str">
        <f t="shared" si="30"/>
        <v/>
      </c>
      <c r="H425" s="29" t="str">
        <f t="shared" si="31"/>
        <v/>
      </c>
      <c r="I425" s="29" t="str">
        <f t="shared" si="32"/>
        <v/>
      </c>
      <c r="J425" s="29" t="str">
        <f t="shared" si="33"/>
        <v/>
      </c>
      <c r="K425" s="29" t="str">
        <f t="shared" si="34"/>
        <v/>
      </c>
    </row>
    <row r="426" spans="1:13" ht="15" x14ac:dyDescent="0.25">
      <c r="A426" s="1" t="str">
        <f>IF('1.1 Produksi Bersih Padi 2025'!A426="","",'1.1 Produksi Bersih Padi 2025'!A426)</f>
        <v/>
      </c>
      <c r="B426" s="31" t="str">
        <f>IF('1.1 Produksi Bersih Padi 2025'!B426="","",'1.1 Produksi Bersih Padi 2025'!B426)</f>
        <v/>
      </c>
      <c r="C426" s="31" t="str">
        <f>IF('1.1 Produksi Bersih Padi 2025'!C426="","",'1.1 Produksi Bersih Padi 2025'!C426)</f>
        <v/>
      </c>
      <c r="D426" s="1" t="str">
        <f>IF('1.1 Produksi Bersih Padi 2025'!D426="","",'1.1 Produksi Bersih Padi 2025'!D426)</f>
        <v/>
      </c>
      <c r="E426" s="1" t="str">
        <f>IF('1.1 Produksi Bersih Padi 2025'!E426="","",'1.1 Produksi Bersih Padi 2025'!E426)</f>
        <v/>
      </c>
      <c r="F426" s="28" t="str">
        <f>IF(D426="","",VLOOKUP(D426,'[1]0.1 Produksi Pangan &amp; Penduduk'!$D$5:$AK$860,34,0))</f>
        <v/>
      </c>
      <c r="G426" s="29" t="str">
        <f t="shared" si="30"/>
        <v/>
      </c>
      <c r="H426" s="29" t="str">
        <f t="shared" si="31"/>
        <v/>
      </c>
      <c r="I426" s="29" t="str">
        <f t="shared" si="32"/>
        <v/>
      </c>
      <c r="J426" s="29" t="str">
        <f t="shared" si="33"/>
        <v/>
      </c>
      <c r="K426" s="29" t="str">
        <f t="shared" si="34"/>
        <v/>
      </c>
    </row>
    <row r="427" spans="1:13" ht="15" x14ac:dyDescent="0.25">
      <c r="A427" s="1" t="str">
        <f>IF('1.1 Produksi Bersih Padi 2025'!A427="","",'1.1 Produksi Bersih Padi 2025'!A427)</f>
        <v/>
      </c>
      <c r="B427" s="31" t="str">
        <f>IF('1.1 Produksi Bersih Padi 2025'!B427="","",'1.1 Produksi Bersih Padi 2025'!B427)</f>
        <v/>
      </c>
      <c r="C427" s="31" t="str">
        <f>IF('1.1 Produksi Bersih Padi 2025'!C427="","",'1.1 Produksi Bersih Padi 2025'!C427)</f>
        <v/>
      </c>
      <c r="D427" s="1" t="str">
        <f>IF('1.1 Produksi Bersih Padi 2025'!D427="","",'1.1 Produksi Bersih Padi 2025'!D427)</f>
        <v/>
      </c>
      <c r="E427" s="1" t="str">
        <f>IF('1.1 Produksi Bersih Padi 2025'!E427="","",'1.1 Produksi Bersih Padi 2025'!E427)</f>
        <v/>
      </c>
      <c r="F427" s="28" t="str">
        <f>IF(D427="","",VLOOKUP(D427,'[1]0.1 Produksi Pangan &amp; Penduduk'!$D$5:$AK$860,34,0))</f>
        <v/>
      </c>
      <c r="G427" s="29" t="str">
        <f t="shared" si="30"/>
        <v/>
      </c>
      <c r="H427" s="29" t="str">
        <f t="shared" si="31"/>
        <v/>
      </c>
      <c r="I427" s="29" t="str">
        <f t="shared" si="32"/>
        <v/>
      </c>
      <c r="J427" s="29" t="str">
        <f t="shared" si="33"/>
        <v/>
      </c>
      <c r="K427" s="29" t="str">
        <f t="shared" si="34"/>
        <v/>
      </c>
    </row>
    <row r="428" spans="1:13" ht="15" x14ac:dyDescent="0.25">
      <c r="A428" s="1" t="str">
        <f>IF('1.1 Produksi Bersih Padi 2025'!A428="","",'1.1 Produksi Bersih Padi 2025'!A428)</f>
        <v/>
      </c>
      <c r="B428" s="31" t="str">
        <f>IF('1.1 Produksi Bersih Padi 2025'!B428="","",'1.1 Produksi Bersih Padi 2025'!B428)</f>
        <v/>
      </c>
      <c r="C428" s="31" t="str">
        <f>IF('1.1 Produksi Bersih Padi 2025'!C428="","",'1.1 Produksi Bersih Padi 2025'!C428)</f>
        <v/>
      </c>
      <c r="D428" s="1" t="str">
        <f>IF('1.1 Produksi Bersih Padi 2025'!D428="","",'1.1 Produksi Bersih Padi 2025'!D428)</f>
        <v/>
      </c>
      <c r="E428" s="1" t="str">
        <f>IF('1.1 Produksi Bersih Padi 2025'!E428="","",'1.1 Produksi Bersih Padi 2025'!E428)</f>
        <v/>
      </c>
      <c r="F428" s="28" t="str">
        <f>IF(D428="","",VLOOKUP(D428,'[1]0.1 Produksi Pangan &amp; Penduduk'!$D$5:$AK$860,34,0))</f>
        <v/>
      </c>
      <c r="G428" s="29" t="str">
        <f t="shared" si="30"/>
        <v/>
      </c>
      <c r="H428" s="29" t="str">
        <f t="shared" si="31"/>
        <v/>
      </c>
      <c r="I428" s="29" t="str">
        <f t="shared" si="32"/>
        <v/>
      </c>
      <c r="J428" s="29" t="str">
        <f t="shared" si="33"/>
        <v/>
      </c>
      <c r="K428" s="29" t="str">
        <f t="shared" si="34"/>
        <v/>
      </c>
    </row>
    <row r="429" spans="1:13" ht="15" x14ac:dyDescent="0.25">
      <c r="A429" s="1" t="str">
        <f>IF('1.1 Produksi Bersih Padi 2025'!A429="","",'1.1 Produksi Bersih Padi 2025'!A429)</f>
        <v/>
      </c>
      <c r="B429" s="31" t="str">
        <f>IF('1.1 Produksi Bersih Padi 2025'!B429="","",'1.1 Produksi Bersih Padi 2025'!B429)</f>
        <v/>
      </c>
      <c r="C429" s="31" t="str">
        <f>IF('1.1 Produksi Bersih Padi 2025'!C429="","",'1.1 Produksi Bersih Padi 2025'!C429)</f>
        <v/>
      </c>
      <c r="D429" s="1" t="str">
        <f>IF('1.1 Produksi Bersih Padi 2025'!D429="","",'1.1 Produksi Bersih Padi 2025'!D429)</f>
        <v/>
      </c>
      <c r="E429" s="1" t="str">
        <f>IF('1.1 Produksi Bersih Padi 2025'!E429="","",'1.1 Produksi Bersih Padi 2025'!E429)</f>
        <v/>
      </c>
      <c r="F429" s="28" t="str">
        <f>IF(D429="","",VLOOKUP(D429,'[1]0.1 Produksi Pangan &amp; Penduduk'!$D$5:$AK$860,34,0))</f>
        <v/>
      </c>
      <c r="G429" s="29" t="str">
        <f t="shared" si="30"/>
        <v/>
      </c>
      <c r="H429" s="29" t="str">
        <f t="shared" si="31"/>
        <v/>
      </c>
      <c r="I429" s="29" t="str">
        <f t="shared" si="32"/>
        <v/>
      </c>
      <c r="J429" s="29" t="str">
        <f t="shared" si="33"/>
        <v/>
      </c>
      <c r="K429" s="29" t="str">
        <f t="shared" si="34"/>
        <v/>
      </c>
    </row>
    <row r="430" spans="1:13" ht="15" x14ac:dyDescent="0.25">
      <c r="A430" s="1" t="str">
        <f>IF('1.1 Produksi Bersih Padi 2025'!A430="","",'1.1 Produksi Bersih Padi 2025'!A430)</f>
        <v/>
      </c>
      <c r="B430" s="31" t="str">
        <f>IF('1.1 Produksi Bersih Padi 2025'!B430="","",'1.1 Produksi Bersih Padi 2025'!B430)</f>
        <v/>
      </c>
      <c r="C430" s="31" t="str">
        <f>IF('1.1 Produksi Bersih Padi 2025'!C430="","",'1.1 Produksi Bersih Padi 2025'!C430)</f>
        <v/>
      </c>
      <c r="D430" s="1" t="str">
        <f>IF('1.1 Produksi Bersih Padi 2025'!D430="","",'1.1 Produksi Bersih Padi 2025'!D430)</f>
        <v/>
      </c>
      <c r="E430" s="1" t="str">
        <f>IF('1.1 Produksi Bersih Padi 2025'!E430="","",'1.1 Produksi Bersih Padi 2025'!E430)</f>
        <v/>
      </c>
      <c r="F430" s="28" t="str">
        <f>IF(D430="","",VLOOKUP(D430,'[1]0.1 Produksi Pangan &amp; Penduduk'!$D$5:$AK$860,34,0))</f>
        <v/>
      </c>
      <c r="G430" s="29" t="str">
        <f t="shared" si="30"/>
        <v/>
      </c>
      <c r="H430" s="29" t="str">
        <f t="shared" si="31"/>
        <v/>
      </c>
      <c r="I430" s="29" t="str">
        <f t="shared" si="32"/>
        <v/>
      </c>
      <c r="J430" s="29" t="str">
        <f t="shared" si="33"/>
        <v/>
      </c>
      <c r="K430" s="29" t="str">
        <f t="shared" si="34"/>
        <v/>
      </c>
    </row>
    <row r="431" spans="1:13" ht="15" x14ac:dyDescent="0.25">
      <c r="A431" s="1" t="str">
        <f>IF('1.1 Produksi Bersih Padi 2025'!A431="","",'1.1 Produksi Bersih Padi 2025'!A431)</f>
        <v/>
      </c>
      <c r="B431" s="31" t="str">
        <f>IF('1.1 Produksi Bersih Padi 2025'!B431="","",'1.1 Produksi Bersih Padi 2025'!B431)</f>
        <v/>
      </c>
      <c r="C431" s="31" t="str">
        <f>IF('1.1 Produksi Bersih Padi 2025'!C431="","",'1.1 Produksi Bersih Padi 2025'!C431)</f>
        <v/>
      </c>
      <c r="D431" s="1" t="str">
        <f>IF('1.1 Produksi Bersih Padi 2025'!D431="","",'1.1 Produksi Bersih Padi 2025'!D431)</f>
        <v/>
      </c>
      <c r="E431" s="1" t="str">
        <f>IF('1.1 Produksi Bersih Padi 2025'!E431="","",'1.1 Produksi Bersih Padi 2025'!E431)</f>
        <v/>
      </c>
      <c r="F431" s="28" t="str">
        <f>IF(D431="","",VLOOKUP(D431,'[1]0.1 Produksi Pangan &amp; Penduduk'!$D$5:$AK$860,34,0))</f>
        <v/>
      </c>
      <c r="G431" s="29" t="str">
        <f t="shared" si="30"/>
        <v/>
      </c>
      <c r="H431" s="29" t="str">
        <f t="shared" si="31"/>
        <v/>
      </c>
      <c r="I431" s="29" t="str">
        <f t="shared" si="32"/>
        <v/>
      </c>
      <c r="J431" s="29" t="str">
        <f t="shared" si="33"/>
        <v/>
      </c>
      <c r="K431" s="29" t="str">
        <f t="shared" si="34"/>
        <v/>
      </c>
    </row>
    <row r="432" spans="1:13" ht="15" x14ac:dyDescent="0.25">
      <c r="A432" s="1" t="str">
        <f>IF('1.1 Produksi Bersih Padi 2025'!A432="","",'1.1 Produksi Bersih Padi 2025'!A432)</f>
        <v/>
      </c>
      <c r="B432" s="31" t="str">
        <f>IF('1.1 Produksi Bersih Padi 2025'!B432="","",'1.1 Produksi Bersih Padi 2025'!B432)</f>
        <v/>
      </c>
      <c r="C432" s="31" t="str">
        <f>IF('1.1 Produksi Bersih Padi 2025'!C432="","",'1.1 Produksi Bersih Padi 2025'!C432)</f>
        <v/>
      </c>
      <c r="D432" s="1" t="str">
        <f>IF('1.1 Produksi Bersih Padi 2025'!D432="","",'1.1 Produksi Bersih Padi 2025'!D432)</f>
        <v/>
      </c>
      <c r="E432" s="1" t="str">
        <f>IF('1.1 Produksi Bersih Padi 2025'!E432="","",'1.1 Produksi Bersih Padi 2025'!E432)</f>
        <v/>
      </c>
      <c r="F432" s="28" t="str">
        <f>IF(D432="","",VLOOKUP(D432,'[1]0.1 Produksi Pangan &amp; Penduduk'!$D$5:$AK$860,34,0))</f>
        <v/>
      </c>
      <c r="G432" s="29" t="str">
        <f t="shared" si="30"/>
        <v/>
      </c>
      <c r="H432" s="29" t="str">
        <f t="shared" si="31"/>
        <v/>
      </c>
      <c r="I432" s="29" t="str">
        <f t="shared" si="32"/>
        <v/>
      </c>
      <c r="J432" s="29" t="str">
        <f t="shared" si="33"/>
        <v/>
      </c>
      <c r="K432" s="29" t="str">
        <f t="shared" si="34"/>
        <v/>
      </c>
    </row>
    <row r="433" spans="1:11" ht="15" x14ac:dyDescent="0.25">
      <c r="A433" s="1" t="str">
        <f>IF('1.1 Produksi Bersih Padi 2025'!A433="","",'1.1 Produksi Bersih Padi 2025'!A433)</f>
        <v/>
      </c>
      <c r="B433" s="31" t="str">
        <f>IF('1.1 Produksi Bersih Padi 2025'!B433="","",'1.1 Produksi Bersih Padi 2025'!B433)</f>
        <v/>
      </c>
      <c r="C433" s="31" t="str">
        <f>IF('1.1 Produksi Bersih Padi 2025'!C433="","",'1.1 Produksi Bersih Padi 2025'!C433)</f>
        <v/>
      </c>
      <c r="D433" s="1" t="str">
        <f>IF('1.1 Produksi Bersih Padi 2025'!D433="","",'1.1 Produksi Bersih Padi 2025'!D433)</f>
        <v/>
      </c>
      <c r="E433" s="1" t="str">
        <f>IF('1.1 Produksi Bersih Padi 2025'!E433="","",'1.1 Produksi Bersih Padi 2025'!E433)</f>
        <v/>
      </c>
      <c r="F433" s="28" t="str">
        <f>IF(D433="","",VLOOKUP(D433,'[1]0.1 Produksi Pangan &amp; Penduduk'!$D$5:$AK$860,34,0))</f>
        <v/>
      </c>
      <c r="G433" s="29" t="str">
        <f t="shared" si="30"/>
        <v/>
      </c>
      <c r="H433" s="29" t="str">
        <f t="shared" si="31"/>
        <v/>
      </c>
      <c r="I433" s="29" t="str">
        <f t="shared" si="32"/>
        <v/>
      </c>
      <c r="J433" s="29" t="str">
        <f t="shared" si="33"/>
        <v/>
      </c>
      <c r="K433" s="29" t="str">
        <f t="shared" si="34"/>
        <v/>
      </c>
    </row>
    <row r="434" spans="1:11" ht="15" x14ac:dyDescent="0.25">
      <c r="A434" s="1" t="str">
        <f>IF('1.1 Produksi Bersih Padi 2025'!A434="","",'1.1 Produksi Bersih Padi 2025'!A434)</f>
        <v/>
      </c>
      <c r="B434" s="31" t="str">
        <f>IF('1.1 Produksi Bersih Padi 2025'!B434="","",'1.1 Produksi Bersih Padi 2025'!B434)</f>
        <v/>
      </c>
      <c r="C434" s="31" t="str">
        <f>IF('1.1 Produksi Bersih Padi 2025'!C434="","",'1.1 Produksi Bersih Padi 2025'!C434)</f>
        <v/>
      </c>
      <c r="D434" s="1" t="str">
        <f>IF('1.1 Produksi Bersih Padi 2025'!D434="","",'1.1 Produksi Bersih Padi 2025'!D434)</f>
        <v/>
      </c>
      <c r="E434" s="1" t="str">
        <f>IF('1.1 Produksi Bersih Padi 2025'!E434="","",'1.1 Produksi Bersih Padi 2025'!E434)</f>
        <v/>
      </c>
      <c r="F434" s="28" t="str">
        <f>IF(D434="","",VLOOKUP(D434,'[1]0.1 Produksi Pangan &amp; Penduduk'!$D$5:$AK$860,34,0))</f>
        <v/>
      </c>
      <c r="G434" s="29" t="str">
        <f t="shared" si="30"/>
        <v/>
      </c>
      <c r="H434" s="29" t="str">
        <f t="shared" si="31"/>
        <v/>
      </c>
      <c r="I434" s="29" t="str">
        <f t="shared" si="32"/>
        <v/>
      </c>
      <c r="J434" s="29" t="str">
        <f t="shared" si="33"/>
        <v/>
      </c>
      <c r="K434" s="29" t="str">
        <f t="shared" si="34"/>
        <v/>
      </c>
    </row>
    <row r="435" spans="1:11" ht="15" x14ac:dyDescent="0.25">
      <c r="A435" s="1" t="str">
        <f>IF('1.1 Produksi Bersih Padi 2025'!A435="","",'1.1 Produksi Bersih Padi 2025'!A435)</f>
        <v/>
      </c>
      <c r="B435" s="31" t="str">
        <f>IF('1.1 Produksi Bersih Padi 2025'!B435="","",'1.1 Produksi Bersih Padi 2025'!B435)</f>
        <v/>
      </c>
      <c r="C435" s="31" t="str">
        <f>IF('1.1 Produksi Bersih Padi 2025'!C435="","",'1.1 Produksi Bersih Padi 2025'!C435)</f>
        <v/>
      </c>
      <c r="D435" s="1" t="str">
        <f>IF('1.1 Produksi Bersih Padi 2025'!D435="","",'1.1 Produksi Bersih Padi 2025'!D435)</f>
        <v/>
      </c>
      <c r="E435" s="1" t="str">
        <f>IF('1.1 Produksi Bersih Padi 2025'!E435="","",'1.1 Produksi Bersih Padi 2025'!E435)</f>
        <v/>
      </c>
      <c r="F435" s="28" t="str">
        <f>IF(D435="","",VLOOKUP(D435,'[1]0.1 Produksi Pangan &amp; Penduduk'!$D$5:$AK$860,34,0))</f>
        <v/>
      </c>
      <c r="G435" s="29" t="str">
        <f t="shared" si="30"/>
        <v/>
      </c>
      <c r="H435" s="29" t="str">
        <f t="shared" si="31"/>
        <v/>
      </c>
      <c r="I435" s="29" t="str">
        <f t="shared" si="32"/>
        <v/>
      </c>
      <c r="J435" s="29" t="str">
        <f t="shared" si="33"/>
        <v/>
      </c>
      <c r="K435" s="29" t="str">
        <f t="shared" si="34"/>
        <v/>
      </c>
    </row>
    <row r="436" spans="1:11" ht="15" x14ac:dyDescent="0.25">
      <c r="A436" s="1" t="str">
        <f>IF('1.1 Produksi Bersih Padi 2025'!A436="","",'1.1 Produksi Bersih Padi 2025'!A436)</f>
        <v/>
      </c>
      <c r="B436" s="31" t="str">
        <f>IF('1.1 Produksi Bersih Padi 2025'!B436="","",'1.1 Produksi Bersih Padi 2025'!B436)</f>
        <v/>
      </c>
      <c r="C436" s="31" t="str">
        <f>IF('1.1 Produksi Bersih Padi 2025'!C436="","",'1.1 Produksi Bersih Padi 2025'!C436)</f>
        <v/>
      </c>
      <c r="D436" s="1" t="str">
        <f>IF('1.1 Produksi Bersih Padi 2025'!D436="","",'1.1 Produksi Bersih Padi 2025'!D436)</f>
        <v/>
      </c>
      <c r="E436" s="1" t="str">
        <f>IF('1.1 Produksi Bersih Padi 2025'!E436="","",'1.1 Produksi Bersih Padi 2025'!E436)</f>
        <v/>
      </c>
      <c r="F436" s="28" t="str">
        <f>IF(D436="","",VLOOKUP(D436,'[1]0.1 Produksi Pangan &amp; Penduduk'!$D$5:$AK$860,34,0))</f>
        <v/>
      </c>
      <c r="G436" s="29" t="str">
        <f t="shared" si="30"/>
        <v/>
      </c>
      <c r="H436" s="29" t="str">
        <f t="shared" si="31"/>
        <v/>
      </c>
      <c r="I436" s="29" t="str">
        <f t="shared" si="32"/>
        <v/>
      </c>
      <c r="J436" s="29" t="str">
        <f t="shared" si="33"/>
        <v/>
      </c>
      <c r="K436" s="29" t="str">
        <f t="shared" si="34"/>
        <v/>
      </c>
    </row>
    <row r="437" spans="1:11" ht="15" x14ac:dyDescent="0.25">
      <c r="A437" s="1" t="str">
        <f>IF('1.1 Produksi Bersih Padi 2025'!A437="","",'1.1 Produksi Bersih Padi 2025'!A437)</f>
        <v/>
      </c>
      <c r="B437" s="31" t="str">
        <f>IF('1.1 Produksi Bersih Padi 2025'!B437="","",'1.1 Produksi Bersih Padi 2025'!B437)</f>
        <v/>
      </c>
      <c r="C437" s="31" t="str">
        <f>IF('1.1 Produksi Bersih Padi 2025'!C437="","",'1.1 Produksi Bersih Padi 2025'!C437)</f>
        <v/>
      </c>
      <c r="D437" s="1" t="str">
        <f>IF('1.1 Produksi Bersih Padi 2025'!D437="","",'1.1 Produksi Bersih Padi 2025'!D437)</f>
        <v/>
      </c>
      <c r="E437" s="1" t="str">
        <f>IF('1.1 Produksi Bersih Padi 2025'!E437="","",'1.1 Produksi Bersih Padi 2025'!E437)</f>
        <v/>
      </c>
      <c r="F437" s="28" t="str">
        <f>IF(D437="","",VLOOKUP(D437,'[1]0.1 Produksi Pangan &amp; Penduduk'!$D$5:$AK$860,34,0))</f>
        <v/>
      </c>
      <c r="G437" s="29" t="str">
        <f t="shared" si="30"/>
        <v/>
      </c>
      <c r="H437" s="29" t="str">
        <f t="shared" si="31"/>
        <v/>
      </c>
      <c r="I437" s="29" t="str">
        <f t="shared" si="32"/>
        <v/>
      </c>
      <c r="J437" s="29" t="str">
        <f t="shared" si="33"/>
        <v/>
      </c>
      <c r="K437" s="29" t="str">
        <f t="shared" si="34"/>
        <v/>
      </c>
    </row>
    <row r="438" spans="1:11" ht="15" x14ac:dyDescent="0.25">
      <c r="A438" s="1" t="str">
        <f>IF('1.1 Produksi Bersih Padi 2025'!A438="","",'1.1 Produksi Bersih Padi 2025'!A438)</f>
        <v/>
      </c>
      <c r="B438" s="31" t="str">
        <f>IF('1.1 Produksi Bersih Padi 2025'!B438="","",'1.1 Produksi Bersih Padi 2025'!B438)</f>
        <v/>
      </c>
      <c r="C438" s="31" t="str">
        <f>IF('1.1 Produksi Bersih Padi 2025'!C438="","",'1.1 Produksi Bersih Padi 2025'!C438)</f>
        <v/>
      </c>
      <c r="D438" s="1" t="str">
        <f>IF('1.1 Produksi Bersih Padi 2025'!D438="","",'1.1 Produksi Bersih Padi 2025'!D438)</f>
        <v/>
      </c>
      <c r="E438" s="1" t="str">
        <f>IF('1.1 Produksi Bersih Padi 2025'!E438="","",'1.1 Produksi Bersih Padi 2025'!E438)</f>
        <v/>
      </c>
      <c r="F438" s="28" t="str">
        <f>IF(D438="","",VLOOKUP(D438,'[1]0.1 Produksi Pangan &amp; Penduduk'!$D$5:$AK$860,34,0))</f>
        <v/>
      </c>
      <c r="G438" s="29" t="str">
        <f t="shared" si="30"/>
        <v/>
      </c>
      <c r="H438" s="29" t="str">
        <f t="shared" si="31"/>
        <v/>
      </c>
      <c r="I438" s="29" t="str">
        <f t="shared" si="32"/>
        <v/>
      </c>
      <c r="J438" s="29" t="str">
        <f t="shared" si="33"/>
        <v/>
      </c>
      <c r="K438" s="29" t="str">
        <f t="shared" si="34"/>
        <v/>
      </c>
    </row>
    <row r="439" spans="1:11" ht="15" x14ac:dyDescent="0.25">
      <c r="A439" s="1" t="str">
        <f>IF('1.1 Produksi Bersih Padi 2025'!A439="","",'1.1 Produksi Bersih Padi 2025'!A439)</f>
        <v/>
      </c>
      <c r="B439" s="31" t="str">
        <f>IF('1.1 Produksi Bersih Padi 2025'!B439="","",'1.1 Produksi Bersih Padi 2025'!B439)</f>
        <v/>
      </c>
      <c r="C439" s="31" t="str">
        <f>IF('1.1 Produksi Bersih Padi 2025'!C439="","",'1.1 Produksi Bersih Padi 2025'!C439)</f>
        <v/>
      </c>
      <c r="D439" s="1" t="str">
        <f>IF('1.1 Produksi Bersih Padi 2025'!D439="","",'1.1 Produksi Bersih Padi 2025'!D439)</f>
        <v/>
      </c>
      <c r="E439" s="1" t="str">
        <f>IF('1.1 Produksi Bersih Padi 2025'!E439="","",'1.1 Produksi Bersih Padi 2025'!E439)</f>
        <v/>
      </c>
      <c r="F439" s="28" t="str">
        <f>IF(D439="","",VLOOKUP(D439,'[1]0.1 Produksi Pangan &amp; Penduduk'!$D$5:$AK$860,34,0))</f>
        <v/>
      </c>
      <c r="G439" s="29" t="str">
        <f t="shared" si="30"/>
        <v/>
      </c>
      <c r="H439" s="29" t="str">
        <f t="shared" si="31"/>
        <v/>
      </c>
      <c r="I439" s="29" t="str">
        <f t="shared" si="32"/>
        <v/>
      </c>
      <c r="J439" s="29" t="str">
        <f t="shared" si="33"/>
        <v/>
      </c>
      <c r="K439" s="29" t="str">
        <f t="shared" si="34"/>
        <v/>
      </c>
    </row>
    <row r="440" spans="1:11" ht="15" x14ac:dyDescent="0.25">
      <c r="A440" s="1" t="str">
        <f>IF('1.1 Produksi Bersih Padi 2025'!A440="","",'1.1 Produksi Bersih Padi 2025'!A440)</f>
        <v/>
      </c>
      <c r="B440" s="31" t="str">
        <f>IF('1.1 Produksi Bersih Padi 2025'!B440="","",'1.1 Produksi Bersih Padi 2025'!B440)</f>
        <v/>
      </c>
      <c r="C440" s="31" t="str">
        <f>IF('1.1 Produksi Bersih Padi 2025'!C440="","",'1.1 Produksi Bersih Padi 2025'!C440)</f>
        <v/>
      </c>
      <c r="D440" s="1" t="str">
        <f>IF('1.1 Produksi Bersih Padi 2025'!D440="","",'1.1 Produksi Bersih Padi 2025'!D440)</f>
        <v/>
      </c>
      <c r="E440" s="1" t="str">
        <f>IF('1.1 Produksi Bersih Padi 2025'!E440="","",'1.1 Produksi Bersih Padi 2025'!E440)</f>
        <v/>
      </c>
      <c r="F440" s="28" t="str">
        <f>IF(D440="","",VLOOKUP(D440,'[1]0.1 Produksi Pangan &amp; Penduduk'!$D$5:$AK$860,34,0))</f>
        <v/>
      </c>
      <c r="G440" s="29" t="str">
        <f t="shared" si="30"/>
        <v/>
      </c>
      <c r="H440" s="29" t="str">
        <f t="shared" si="31"/>
        <v/>
      </c>
      <c r="I440" s="29" t="str">
        <f t="shared" si="32"/>
        <v/>
      </c>
      <c r="J440" s="29" t="str">
        <f t="shared" si="33"/>
        <v/>
      </c>
      <c r="K440" s="29" t="str">
        <f t="shared" si="34"/>
        <v/>
      </c>
    </row>
    <row r="441" spans="1:11" ht="15" x14ac:dyDescent="0.25">
      <c r="A441" s="1" t="str">
        <f>IF('1.1 Produksi Bersih Padi 2025'!A441="","",'1.1 Produksi Bersih Padi 2025'!A441)</f>
        <v/>
      </c>
      <c r="B441" s="31" t="str">
        <f>IF('1.1 Produksi Bersih Padi 2025'!B441="","",'1.1 Produksi Bersih Padi 2025'!B441)</f>
        <v/>
      </c>
      <c r="C441" s="31" t="str">
        <f>IF('1.1 Produksi Bersih Padi 2025'!C441="","",'1.1 Produksi Bersih Padi 2025'!C441)</f>
        <v/>
      </c>
      <c r="D441" s="1" t="str">
        <f>IF('1.1 Produksi Bersih Padi 2025'!D441="","",'1.1 Produksi Bersih Padi 2025'!D441)</f>
        <v/>
      </c>
      <c r="E441" s="1" t="str">
        <f>IF('1.1 Produksi Bersih Padi 2025'!E441="","",'1.1 Produksi Bersih Padi 2025'!E441)</f>
        <v/>
      </c>
      <c r="F441" s="28" t="str">
        <f>IF(D441="","",VLOOKUP(D441,'[1]0.1 Produksi Pangan &amp; Penduduk'!$D$5:$AK$860,34,0))</f>
        <v/>
      </c>
      <c r="G441" s="29" t="str">
        <f t="shared" si="30"/>
        <v/>
      </c>
      <c r="H441" s="29" t="str">
        <f t="shared" si="31"/>
        <v/>
      </c>
      <c r="I441" s="29" t="str">
        <f t="shared" si="32"/>
        <v/>
      </c>
      <c r="J441" s="29" t="str">
        <f t="shared" si="33"/>
        <v/>
      </c>
      <c r="K441" s="29" t="str">
        <f t="shared" si="34"/>
        <v/>
      </c>
    </row>
    <row r="442" spans="1:11" ht="15" x14ac:dyDescent="0.25">
      <c r="A442" s="1" t="str">
        <f>IF('1.1 Produksi Bersih Padi 2025'!A442="","",'1.1 Produksi Bersih Padi 2025'!A442)</f>
        <v/>
      </c>
      <c r="B442" s="31" t="str">
        <f>IF('1.1 Produksi Bersih Padi 2025'!B442="","",'1.1 Produksi Bersih Padi 2025'!B442)</f>
        <v/>
      </c>
      <c r="C442" s="31" t="str">
        <f>IF('1.1 Produksi Bersih Padi 2025'!C442="","",'1.1 Produksi Bersih Padi 2025'!C442)</f>
        <v/>
      </c>
      <c r="D442" s="1" t="str">
        <f>IF('1.1 Produksi Bersih Padi 2025'!D442="","",'1.1 Produksi Bersih Padi 2025'!D442)</f>
        <v/>
      </c>
      <c r="E442" s="1" t="str">
        <f>IF('1.1 Produksi Bersih Padi 2025'!E442="","",'1.1 Produksi Bersih Padi 2025'!E442)</f>
        <v/>
      </c>
      <c r="F442" s="28" t="str">
        <f>IF(D442="","",VLOOKUP(D442,'[1]0.1 Produksi Pangan &amp; Penduduk'!$D$5:$AK$860,34,0))</f>
        <v/>
      </c>
      <c r="G442" s="29" t="str">
        <f t="shared" si="30"/>
        <v/>
      </c>
      <c r="H442" s="29" t="str">
        <f t="shared" si="31"/>
        <v/>
      </c>
      <c r="I442" s="29" t="str">
        <f t="shared" si="32"/>
        <v/>
      </c>
      <c r="J442" s="29" t="str">
        <f t="shared" si="33"/>
        <v/>
      </c>
      <c r="K442" s="29" t="str">
        <f t="shared" si="34"/>
        <v/>
      </c>
    </row>
    <row r="443" spans="1:11" ht="15" x14ac:dyDescent="0.25">
      <c r="A443" s="1" t="str">
        <f>IF('1.1 Produksi Bersih Padi 2025'!A443="","",'1.1 Produksi Bersih Padi 2025'!A443)</f>
        <v/>
      </c>
      <c r="B443" s="31" t="str">
        <f>IF('1.1 Produksi Bersih Padi 2025'!B443="","",'1.1 Produksi Bersih Padi 2025'!B443)</f>
        <v/>
      </c>
      <c r="C443" s="31" t="str">
        <f>IF('1.1 Produksi Bersih Padi 2025'!C443="","",'1.1 Produksi Bersih Padi 2025'!C443)</f>
        <v/>
      </c>
      <c r="D443" s="1" t="str">
        <f>IF('1.1 Produksi Bersih Padi 2025'!D443="","",'1.1 Produksi Bersih Padi 2025'!D443)</f>
        <v/>
      </c>
      <c r="E443" s="1" t="str">
        <f>IF('1.1 Produksi Bersih Padi 2025'!E443="","",'1.1 Produksi Bersih Padi 2025'!E443)</f>
        <v/>
      </c>
      <c r="F443" s="28" t="str">
        <f>IF(D443="","",VLOOKUP(D443,'[1]0.1 Produksi Pangan &amp; Penduduk'!$D$5:$AK$860,34,0))</f>
        <v/>
      </c>
      <c r="G443" s="29" t="str">
        <f t="shared" si="30"/>
        <v/>
      </c>
      <c r="H443" s="29" t="str">
        <f t="shared" si="31"/>
        <v/>
      </c>
      <c r="I443" s="29" t="str">
        <f t="shared" si="32"/>
        <v/>
      </c>
      <c r="J443" s="29" t="str">
        <f t="shared" si="33"/>
        <v/>
      </c>
      <c r="K443" s="29" t="str">
        <f t="shared" si="34"/>
        <v/>
      </c>
    </row>
    <row r="444" spans="1:11" ht="15" x14ac:dyDescent="0.25">
      <c r="A444" s="1" t="str">
        <f>IF('1.1 Produksi Bersih Padi 2025'!A444="","",'1.1 Produksi Bersih Padi 2025'!A444)</f>
        <v/>
      </c>
      <c r="B444" s="31" t="str">
        <f>IF('1.1 Produksi Bersih Padi 2025'!B444="","",'1.1 Produksi Bersih Padi 2025'!B444)</f>
        <v/>
      </c>
      <c r="C444" s="31" t="str">
        <f>IF('1.1 Produksi Bersih Padi 2025'!C444="","",'1.1 Produksi Bersih Padi 2025'!C444)</f>
        <v/>
      </c>
      <c r="D444" s="1" t="str">
        <f>IF('1.1 Produksi Bersih Padi 2025'!D444="","",'1.1 Produksi Bersih Padi 2025'!D444)</f>
        <v/>
      </c>
      <c r="E444" s="1" t="str">
        <f>IF('1.1 Produksi Bersih Padi 2025'!E444="","",'1.1 Produksi Bersih Padi 2025'!E444)</f>
        <v/>
      </c>
      <c r="F444" s="28" t="str">
        <f>IF(D444="","",VLOOKUP(D444,'[1]0.1 Produksi Pangan &amp; Penduduk'!$D$5:$AK$860,34,0))</f>
        <v/>
      </c>
      <c r="G444" s="29" t="str">
        <f t="shared" si="30"/>
        <v/>
      </c>
      <c r="H444" s="29" t="str">
        <f t="shared" si="31"/>
        <v/>
      </c>
      <c r="I444" s="29" t="str">
        <f t="shared" si="32"/>
        <v/>
      </c>
      <c r="J444" s="29" t="str">
        <f t="shared" si="33"/>
        <v/>
      </c>
      <c r="K444" s="29" t="str">
        <f t="shared" si="34"/>
        <v/>
      </c>
    </row>
    <row r="445" spans="1:11" ht="15" x14ac:dyDescent="0.25">
      <c r="A445" s="1" t="str">
        <f>IF('1.1 Produksi Bersih Padi 2025'!A445="","",'1.1 Produksi Bersih Padi 2025'!A445)</f>
        <v/>
      </c>
      <c r="B445" s="31" t="str">
        <f>IF('1.1 Produksi Bersih Padi 2025'!B445="","",'1.1 Produksi Bersih Padi 2025'!B445)</f>
        <v/>
      </c>
      <c r="C445" s="31" t="str">
        <f>IF('1.1 Produksi Bersih Padi 2025'!C445="","",'1.1 Produksi Bersih Padi 2025'!C445)</f>
        <v/>
      </c>
      <c r="D445" s="1" t="str">
        <f>IF('1.1 Produksi Bersih Padi 2025'!D445="","",'1.1 Produksi Bersih Padi 2025'!D445)</f>
        <v/>
      </c>
      <c r="E445" s="1" t="str">
        <f>IF('1.1 Produksi Bersih Padi 2025'!E445="","",'1.1 Produksi Bersih Padi 2025'!E445)</f>
        <v/>
      </c>
      <c r="F445" s="28" t="str">
        <f>IF(D445="","",VLOOKUP(D445,'[1]0.1 Produksi Pangan &amp; Penduduk'!$D$5:$AK$860,34,0))</f>
        <v/>
      </c>
      <c r="G445" s="29" t="str">
        <f t="shared" si="30"/>
        <v/>
      </c>
      <c r="H445" s="29" t="str">
        <f t="shared" si="31"/>
        <v/>
      </c>
      <c r="I445" s="29" t="str">
        <f t="shared" si="32"/>
        <v/>
      </c>
      <c r="J445" s="29" t="str">
        <f t="shared" si="33"/>
        <v/>
      </c>
      <c r="K445" s="29" t="str">
        <f t="shared" si="34"/>
        <v/>
      </c>
    </row>
    <row r="446" spans="1:11" ht="15" x14ac:dyDescent="0.25">
      <c r="A446" s="1" t="str">
        <f>IF('1.1 Produksi Bersih Padi 2025'!A446="","",'1.1 Produksi Bersih Padi 2025'!A446)</f>
        <v/>
      </c>
      <c r="B446" s="31" t="str">
        <f>IF('1.1 Produksi Bersih Padi 2025'!B446="","",'1.1 Produksi Bersih Padi 2025'!B446)</f>
        <v/>
      </c>
      <c r="C446" s="31" t="str">
        <f>IF('1.1 Produksi Bersih Padi 2025'!C446="","",'1.1 Produksi Bersih Padi 2025'!C446)</f>
        <v/>
      </c>
      <c r="D446" s="1" t="str">
        <f>IF('1.1 Produksi Bersih Padi 2025'!D446="","",'1.1 Produksi Bersih Padi 2025'!D446)</f>
        <v/>
      </c>
      <c r="E446" s="1" t="str">
        <f>IF('1.1 Produksi Bersih Padi 2025'!E446="","",'1.1 Produksi Bersih Padi 2025'!E446)</f>
        <v/>
      </c>
      <c r="F446" s="28" t="str">
        <f>IF(D446="","",VLOOKUP(D446,'[1]0.1 Produksi Pangan &amp; Penduduk'!$D$5:$AK$860,34,0))</f>
        <v/>
      </c>
      <c r="G446" s="29" t="str">
        <f t="shared" si="30"/>
        <v/>
      </c>
      <c r="H446" s="29" t="str">
        <f t="shared" si="31"/>
        <v/>
      </c>
      <c r="I446" s="29" t="str">
        <f t="shared" si="32"/>
        <v/>
      </c>
      <c r="J446" s="29" t="str">
        <f t="shared" si="33"/>
        <v/>
      </c>
      <c r="K446" s="29" t="str">
        <f t="shared" si="34"/>
        <v/>
      </c>
    </row>
    <row r="447" spans="1:11" ht="15" x14ac:dyDescent="0.25">
      <c r="A447" s="1" t="str">
        <f>IF('1.1 Produksi Bersih Padi 2025'!A447="","",'1.1 Produksi Bersih Padi 2025'!A447)</f>
        <v/>
      </c>
      <c r="B447" s="31" t="str">
        <f>IF('1.1 Produksi Bersih Padi 2025'!B447="","",'1.1 Produksi Bersih Padi 2025'!B447)</f>
        <v/>
      </c>
      <c r="C447" s="31" t="str">
        <f>IF('1.1 Produksi Bersih Padi 2025'!C447="","",'1.1 Produksi Bersih Padi 2025'!C447)</f>
        <v/>
      </c>
      <c r="D447" s="1" t="str">
        <f>IF('1.1 Produksi Bersih Padi 2025'!D447="","",'1.1 Produksi Bersih Padi 2025'!D447)</f>
        <v/>
      </c>
      <c r="E447" s="1" t="str">
        <f>IF('1.1 Produksi Bersih Padi 2025'!E447="","",'1.1 Produksi Bersih Padi 2025'!E447)</f>
        <v/>
      </c>
      <c r="F447" s="28" t="str">
        <f>IF(D447="","",VLOOKUP(D447,'[1]0.1 Produksi Pangan &amp; Penduduk'!$D$5:$AK$860,34,0))</f>
        <v/>
      </c>
      <c r="G447" s="29" t="str">
        <f t="shared" si="30"/>
        <v/>
      </c>
      <c r="H447" s="29" t="str">
        <f t="shared" si="31"/>
        <v/>
      </c>
      <c r="I447" s="29" t="str">
        <f t="shared" si="32"/>
        <v/>
      </c>
      <c r="J447" s="29" t="str">
        <f t="shared" si="33"/>
        <v/>
      </c>
      <c r="K447" s="29" t="str">
        <f t="shared" si="34"/>
        <v/>
      </c>
    </row>
    <row r="448" spans="1:11" ht="15" x14ac:dyDescent="0.25">
      <c r="A448" s="1" t="str">
        <f>IF('1.1 Produksi Bersih Padi 2025'!A448="","",'1.1 Produksi Bersih Padi 2025'!A448)</f>
        <v/>
      </c>
      <c r="B448" s="31" t="str">
        <f>IF('1.1 Produksi Bersih Padi 2025'!B448="","",'1.1 Produksi Bersih Padi 2025'!B448)</f>
        <v/>
      </c>
      <c r="C448" s="31" t="str">
        <f>IF('1.1 Produksi Bersih Padi 2025'!C448="","",'1.1 Produksi Bersih Padi 2025'!C448)</f>
        <v/>
      </c>
      <c r="D448" s="1" t="str">
        <f>IF('1.1 Produksi Bersih Padi 2025'!D448="","",'1.1 Produksi Bersih Padi 2025'!D448)</f>
        <v/>
      </c>
      <c r="E448" s="1" t="str">
        <f>IF('1.1 Produksi Bersih Padi 2025'!E448="","",'1.1 Produksi Bersih Padi 2025'!E448)</f>
        <v/>
      </c>
      <c r="F448" s="28" t="str">
        <f>IF(D448="","",VLOOKUP(D448,'[1]0.1 Produksi Pangan &amp; Penduduk'!$D$5:$AK$860,34,0))</f>
        <v/>
      </c>
      <c r="G448" s="29" t="str">
        <f t="shared" si="30"/>
        <v/>
      </c>
      <c r="H448" s="29" t="str">
        <f t="shared" si="31"/>
        <v/>
      </c>
      <c r="I448" s="29" t="str">
        <f t="shared" si="32"/>
        <v/>
      </c>
      <c r="J448" s="29" t="str">
        <f t="shared" si="33"/>
        <v/>
      </c>
      <c r="K448" s="29" t="str">
        <f t="shared" si="34"/>
        <v/>
      </c>
    </row>
    <row r="449" spans="1:11" ht="15" x14ac:dyDescent="0.25">
      <c r="A449" s="1" t="str">
        <f>IF('1.1 Produksi Bersih Padi 2025'!A449="","",'1.1 Produksi Bersih Padi 2025'!A449)</f>
        <v/>
      </c>
      <c r="B449" s="31" t="str">
        <f>IF('1.1 Produksi Bersih Padi 2025'!B449="","",'1.1 Produksi Bersih Padi 2025'!B449)</f>
        <v/>
      </c>
      <c r="C449" s="31" t="str">
        <f>IF('1.1 Produksi Bersih Padi 2025'!C449="","",'1.1 Produksi Bersih Padi 2025'!C449)</f>
        <v/>
      </c>
      <c r="D449" s="1" t="str">
        <f>IF('1.1 Produksi Bersih Padi 2025'!D449="","",'1.1 Produksi Bersih Padi 2025'!D449)</f>
        <v/>
      </c>
      <c r="E449" s="1" t="str">
        <f>IF('1.1 Produksi Bersih Padi 2025'!E449="","",'1.1 Produksi Bersih Padi 2025'!E449)</f>
        <v/>
      </c>
      <c r="F449" s="28" t="str">
        <f>IF(D449="","",VLOOKUP(D449,'[1]0.1 Produksi Pangan &amp; Penduduk'!$D$5:$AK$860,34,0))</f>
        <v/>
      </c>
      <c r="G449" s="29" t="str">
        <f t="shared" si="30"/>
        <v/>
      </c>
      <c r="H449" s="29" t="str">
        <f t="shared" si="31"/>
        <v/>
      </c>
      <c r="I449" s="29" t="str">
        <f t="shared" si="32"/>
        <v/>
      </c>
      <c r="J449" s="29" t="str">
        <f t="shared" si="33"/>
        <v/>
      </c>
      <c r="K449" s="29" t="str">
        <f t="shared" si="34"/>
        <v/>
      </c>
    </row>
    <row r="450" spans="1:11" ht="15" x14ac:dyDescent="0.25">
      <c r="A450" s="1" t="str">
        <f>IF('1.1 Produksi Bersih Padi 2025'!A450="","",'1.1 Produksi Bersih Padi 2025'!A450)</f>
        <v/>
      </c>
      <c r="B450" s="31" t="str">
        <f>IF('1.1 Produksi Bersih Padi 2025'!B450="","",'1.1 Produksi Bersih Padi 2025'!B450)</f>
        <v/>
      </c>
      <c r="C450" s="31" t="str">
        <f>IF('1.1 Produksi Bersih Padi 2025'!C450="","",'1.1 Produksi Bersih Padi 2025'!C450)</f>
        <v/>
      </c>
      <c r="D450" s="1" t="str">
        <f>IF('1.1 Produksi Bersih Padi 2025'!D450="","",'1.1 Produksi Bersih Padi 2025'!D450)</f>
        <v/>
      </c>
      <c r="E450" s="1" t="str">
        <f>IF('1.1 Produksi Bersih Padi 2025'!E450="","",'1.1 Produksi Bersih Padi 2025'!E450)</f>
        <v/>
      </c>
      <c r="F450" s="28" t="str">
        <f>IF(D450="","",VLOOKUP(D450,'[1]0.1 Produksi Pangan &amp; Penduduk'!$D$5:$AK$860,34,0))</f>
        <v/>
      </c>
      <c r="G450" s="29" t="str">
        <f t="shared" si="30"/>
        <v/>
      </c>
      <c r="H450" s="29" t="str">
        <f t="shared" si="31"/>
        <v/>
      </c>
      <c r="I450" s="29" t="str">
        <f t="shared" si="32"/>
        <v/>
      </c>
      <c r="J450" s="29" t="str">
        <f t="shared" si="33"/>
        <v/>
      </c>
      <c r="K450" s="29" t="str">
        <f t="shared" si="34"/>
        <v/>
      </c>
    </row>
    <row r="451" spans="1:11" ht="15" x14ac:dyDescent="0.25">
      <c r="A451" s="1" t="str">
        <f>IF('1.1 Produksi Bersih Padi 2025'!A451="","",'1.1 Produksi Bersih Padi 2025'!A451)</f>
        <v/>
      </c>
      <c r="B451" s="31" t="str">
        <f>IF('1.1 Produksi Bersih Padi 2025'!B451="","",'1.1 Produksi Bersih Padi 2025'!B451)</f>
        <v/>
      </c>
      <c r="C451" s="31" t="str">
        <f>IF('1.1 Produksi Bersih Padi 2025'!C451="","",'1.1 Produksi Bersih Padi 2025'!C451)</f>
        <v/>
      </c>
      <c r="D451" s="1" t="str">
        <f>IF('1.1 Produksi Bersih Padi 2025'!D451="","",'1.1 Produksi Bersih Padi 2025'!D451)</f>
        <v/>
      </c>
      <c r="E451" s="1" t="str">
        <f>IF('1.1 Produksi Bersih Padi 2025'!E451="","",'1.1 Produksi Bersih Padi 2025'!E451)</f>
        <v/>
      </c>
      <c r="F451" s="28" t="str">
        <f>IF(D451="","",VLOOKUP(D451,'[1]0.1 Produksi Pangan &amp; Penduduk'!$D$5:$AK$860,34,0))</f>
        <v/>
      </c>
      <c r="G451" s="29" t="str">
        <f t="shared" si="30"/>
        <v/>
      </c>
      <c r="H451" s="29" t="str">
        <f t="shared" si="31"/>
        <v/>
      </c>
      <c r="I451" s="29" t="str">
        <f t="shared" si="32"/>
        <v/>
      </c>
      <c r="J451" s="29" t="str">
        <f t="shared" si="33"/>
        <v/>
      </c>
      <c r="K451" s="29" t="str">
        <f t="shared" si="34"/>
        <v/>
      </c>
    </row>
    <row r="452" spans="1:11" ht="15" x14ac:dyDescent="0.25">
      <c r="A452" s="1" t="str">
        <f>IF('1.1 Produksi Bersih Padi 2025'!A452="","",'1.1 Produksi Bersih Padi 2025'!A452)</f>
        <v/>
      </c>
      <c r="B452" s="31" t="str">
        <f>IF('1.1 Produksi Bersih Padi 2025'!B452="","",'1.1 Produksi Bersih Padi 2025'!B452)</f>
        <v/>
      </c>
      <c r="C452" s="31" t="str">
        <f>IF('1.1 Produksi Bersih Padi 2025'!C452="","",'1.1 Produksi Bersih Padi 2025'!C452)</f>
        <v/>
      </c>
      <c r="D452" s="1" t="str">
        <f>IF('1.1 Produksi Bersih Padi 2025'!D452="","",'1.1 Produksi Bersih Padi 2025'!D452)</f>
        <v/>
      </c>
      <c r="E452" s="1" t="str">
        <f>IF('1.1 Produksi Bersih Padi 2025'!E452="","",'1.1 Produksi Bersih Padi 2025'!E452)</f>
        <v/>
      </c>
      <c r="F452" s="28" t="str">
        <f>IF(D452="","",VLOOKUP(D452,'[1]0.1 Produksi Pangan &amp; Penduduk'!$D$5:$AK$860,34,0))</f>
        <v/>
      </c>
      <c r="G452" s="29" t="str">
        <f t="shared" si="30"/>
        <v/>
      </c>
      <c r="H452" s="29" t="str">
        <f t="shared" si="31"/>
        <v/>
      </c>
      <c r="I452" s="29" t="str">
        <f t="shared" si="32"/>
        <v/>
      </c>
      <c r="J452" s="29" t="str">
        <f t="shared" si="33"/>
        <v/>
      </c>
      <c r="K452" s="29" t="str">
        <f t="shared" si="34"/>
        <v/>
      </c>
    </row>
    <row r="453" spans="1:11" ht="15" x14ac:dyDescent="0.25">
      <c r="A453" s="1" t="str">
        <f>IF('1.1 Produksi Bersih Padi 2025'!A453="","",'1.1 Produksi Bersih Padi 2025'!A453)</f>
        <v/>
      </c>
      <c r="B453" s="31" t="str">
        <f>IF('1.1 Produksi Bersih Padi 2025'!B453="","",'1.1 Produksi Bersih Padi 2025'!B453)</f>
        <v/>
      </c>
      <c r="C453" s="31" t="str">
        <f>IF('1.1 Produksi Bersih Padi 2025'!C453="","",'1.1 Produksi Bersih Padi 2025'!C453)</f>
        <v/>
      </c>
      <c r="D453" s="1" t="str">
        <f>IF('1.1 Produksi Bersih Padi 2025'!D453="","",'1.1 Produksi Bersih Padi 2025'!D453)</f>
        <v/>
      </c>
      <c r="E453" s="1" t="str">
        <f>IF('1.1 Produksi Bersih Padi 2025'!E453="","",'1.1 Produksi Bersih Padi 2025'!E453)</f>
        <v/>
      </c>
      <c r="F453" s="28" t="str">
        <f>IF(D453="","",VLOOKUP(D453,'[1]0.1 Produksi Pangan &amp; Penduduk'!$D$5:$AK$860,34,0))</f>
        <v/>
      </c>
      <c r="G453" s="29" t="str">
        <f t="shared" si="30"/>
        <v/>
      </c>
      <c r="H453" s="29" t="str">
        <f t="shared" si="31"/>
        <v/>
      </c>
      <c r="I453" s="29" t="str">
        <f t="shared" si="32"/>
        <v/>
      </c>
      <c r="J453" s="29" t="str">
        <f t="shared" si="33"/>
        <v/>
      </c>
      <c r="K453" s="29" t="str">
        <f t="shared" si="34"/>
        <v/>
      </c>
    </row>
    <row r="454" spans="1:11" ht="15" x14ac:dyDescent="0.25">
      <c r="A454" s="1" t="str">
        <f>IF('1.1 Produksi Bersih Padi 2025'!A454="","",'1.1 Produksi Bersih Padi 2025'!A454)</f>
        <v/>
      </c>
      <c r="B454" s="31" t="str">
        <f>IF('1.1 Produksi Bersih Padi 2025'!B454="","",'1.1 Produksi Bersih Padi 2025'!B454)</f>
        <v/>
      </c>
      <c r="C454" s="31" t="str">
        <f>IF('1.1 Produksi Bersih Padi 2025'!C454="","",'1.1 Produksi Bersih Padi 2025'!C454)</f>
        <v/>
      </c>
      <c r="D454" s="1" t="str">
        <f>IF('1.1 Produksi Bersih Padi 2025'!D454="","",'1.1 Produksi Bersih Padi 2025'!D454)</f>
        <v/>
      </c>
      <c r="E454" s="1" t="str">
        <f>IF('1.1 Produksi Bersih Padi 2025'!E454="","",'1.1 Produksi Bersih Padi 2025'!E454)</f>
        <v/>
      </c>
      <c r="F454" s="28" t="str">
        <f>IF(D454="","",VLOOKUP(D454,'[1]0.1 Produksi Pangan &amp; Penduduk'!$D$5:$AK$860,34,0))</f>
        <v/>
      </c>
      <c r="G454" s="29" t="str">
        <f t="shared" ref="G454:G517" si="35">IF(F454="","",F454*0%)</f>
        <v/>
      </c>
      <c r="H454" s="29" t="str">
        <f t="shared" ref="H454:H517" si="36">IF(F454="","",F454*0%)</f>
        <v/>
      </c>
      <c r="I454" s="29" t="str">
        <f t="shared" ref="I454:I517" si="37">IF(F454="","",F454*0.72%)</f>
        <v/>
      </c>
      <c r="J454" s="29" t="str">
        <f t="shared" ref="J454:J517" si="38">IF(F454="","",F454-(G454+H454+I454))</f>
        <v/>
      </c>
      <c r="K454" s="29" t="str">
        <f t="shared" ref="K454:K517" si="39">IF(J454="","",J454*0.64)</f>
        <v/>
      </c>
    </row>
    <row r="455" spans="1:11" ht="15" x14ac:dyDescent="0.25">
      <c r="A455" s="1" t="str">
        <f>IF('1.1 Produksi Bersih Padi 2025'!A455="","",'1.1 Produksi Bersih Padi 2025'!A455)</f>
        <v/>
      </c>
      <c r="B455" s="31" t="str">
        <f>IF('1.1 Produksi Bersih Padi 2025'!B455="","",'1.1 Produksi Bersih Padi 2025'!B455)</f>
        <v/>
      </c>
      <c r="C455" s="31" t="str">
        <f>IF('1.1 Produksi Bersih Padi 2025'!C455="","",'1.1 Produksi Bersih Padi 2025'!C455)</f>
        <v/>
      </c>
      <c r="D455" s="1" t="str">
        <f>IF('1.1 Produksi Bersih Padi 2025'!D455="","",'1.1 Produksi Bersih Padi 2025'!D455)</f>
        <v/>
      </c>
      <c r="E455" s="1" t="str">
        <f>IF('1.1 Produksi Bersih Padi 2025'!E455="","",'1.1 Produksi Bersih Padi 2025'!E455)</f>
        <v/>
      </c>
      <c r="F455" s="28" t="str">
        <f>IF(D455="","",VLOOKUP(D455,'[1]0.1 Produksi Pangan &amp; Penduduk'!$D$5:$AK$860,34,0))</f>
        <v/>
      </c>
      <c r="G455" s="29" t="str">
        <f t="shared" si="35"/>
        <v/>
      </c>
      <c r="H455" s="29" t="str">
        <f t="shared" si="36"/>
        <v/>
      </c>
      <c r="I455" s="29" t="str">
        <f t="shared" si="37"/>
        <v/>
      </c>
      <c r="J455" s="29" t="str">
        <f t="shared" si="38"/>
        <v/>
      </c>
      <c r="K455" s="29" t="str">
        <f t="shared" si="39"/>
        <v/>
      </c>
    </row>
    <row r="456" spans="1:11" ht="15" x14ac:dyDescent="0.25">
      <c r="A456" s="1" t="str">
        <f>IF('1.1 Produksi Bersih Padi 2025'!A456="","",'1.1 Produksi Bersih Padi 2025'!A456)</f>
        <v/>
      </c>
      <c r="B456" s="31" t="str">
        <f>IF('1.1 Produksi Bersih Padi 2025'!B456="","",'1.1 Produksi Bersih Padi 2025'!B456)</f>
        <v/>
      </c>
      <c r="C456" s="31" t="str">
        <f>IF('1.1 Produksi Bersih Padi 2025'!C456="","",'1.1 Produksi Bersih Padi 2025'!C456)</f>
        <v/>
      </c>
      <c r="D456" s="1" t="str">
        <f>IF('1.1 Produksi Bersih Padi 2025'!D456="","",'1.1 Produksi Bersih Padi 2025'!D456)</f>
        <v/>
      </c>
      <c r="E456" s="1" t="str">
        <f>IF('1.1 Produksi Bersih Padi 2025'!E456="","",'1.1 Produksi Bersih Padi 2025'!E456)</f>
        <v/>
      </c>
      <c r="F456" s="28" t="str">
        <f>IF(D456="","",VLOOKUP(D456,'[1]0.1 Produksi Pangan &amp; Penduduk'!$D$5:$AK$860,34,0))</f>
        <v/>
      </c>
      <c r="G456" s="29" t="str">
        <f t="shared" si="35"/>
        <v/>
      </c>
      <c r="H456" s="29" t="str">
        <f t="shared" si="36"/>
        <v/>
      </c>
      <c r="I456" s="29" t="str">
        <f t="shared" si="37"/>
        <v/>
      </c>
      <c r="J456" s="29" t="str">
        <f t="shared" si="38"/>
        <v/>
      </c>
      <c r="K456" s="29" t="str">
        <f t="shared" si="39"/>
        <v/>
      </c>
    </row>
    <row r="457" spans="1:11" ht="15" x14ac:dyDescent="0.25">
      <c r="A457" s="1" t="str">
        <f>IF('1.1 Produksi Bersih Padi 2025'!A457="","",'1.1 Produksi Bersih Padi 2025'!A457)</f>
        <v/>
      </c>
      <c r="B457" s="31" t="str">
        <f>IF('1.1 Produksi Bersih Padi 2025'!B457="","",'1.1 Produksi Bersih Padi 2025'!B457)</f>
        <v/>
      </c>
      <c r="C457" s="31" t="str">
        <f>IF('1.1 Produksi Bersih Padi 2025'!C457="","",'1.1 Produksi Bersih Padi 2025'!C457)</f>
        <v/>
      </c>
      <c r="D457" s="1" t="str">
        <f>IF('1.1 Produksi Bersih Padi 2025'!D457="","",'1.1 Produksi Bersih Padi 2025'!D457)</f>
        <v/>
      </c>
      <c r="E457" s="1" t="str">
        <f>IF('1.1 Produksi Bersih Padi 2025'!E457="","",'1.1 Produksi Bersih Padi 2025'!E457)</f>
        <v/>
      </c>
      <c r="F457" s="28" t="str">
        <f>IF(D457="","",VLOOKUP(D457,'[1]0.1 Produksi Pangan &amp; Penduduk'!$D$5:$AK$860,34,0))</f>
        <v/>
      </c>
      <c r="G457" s="29" t="str">
        <f t="shared" si="35"/>
        <v/>
      </c>
      <c r="H457" s="29" t="str">
        <f t="shared" si="36"/>
        <v/>
      </c>
      <c r="I457" s="29" t="str">
        <f t="shared" si="37"/>
        <v/>
      </c>
      <c r="J457" s="29" t="str">
        <f t="shared" si="38"/>
        <v/>
      </c>
      <c r="K457" s="29" t="str">
        <f t="shared" si="39"/>
        <v/>
      </c>
    </row>
    <row r="458" spans="1:11" ht="15" x14ac:dyDescent="0.25">
      <c r="A458" s="1" t="str">
        <f>IF('1.1 Produksi Bersih Padi 2025'!A458="","",'1.1 Produksi Bersih Padi 2025'!A458)</f>
        <v/>
      </c>
      <c r="B458" s="31" t="str">
        <f>IF('1.1 Produksi Bersih Padi 2025'!B458="","",'1.1 Produksi Bersih Padi 2025'!B458)</f>
        <v/>
      </c>
      <c r="C458" s="31" t="str">
        <f>IF('1.1 Produksi Bersih Padi 2025'!C458="","",'1.1 Produksi Bersih Padi 2025'!C458)</f>
        <v/>
      </c>
      <c r="D458" s="1" t="str">
        <f>IF('1.1 Produksi Bersih Padi 2025'!D458="","",'1.1 Produksi Bersih Padi 2025'!D458)</f>
        <v/>
      </c>
      <c r="E458" s="1" t="str">
        <f>IF('1.1 Produksi Bersih Padi 2025'!E458="","",'1.1 Produksi Bersih Padi 2025'!E458)</f>
        <v/>
      </c>
      <c r="F458" s="28" t="str">
        <f>IF(D458="","",VLOOKUP(D458,'[1]0.1 Produksi Pangan &amp; Penduduk'!$D$5:$AK$860,34,0))</f>
        <v/>
      </c>
      <c r="G458" s="29" t="str">
        <f t="shared" si="35"/>
        <v/>
      </c>
      <c r="H458" s="29" t="str">
        <f t="shared" si="36"/>
        <v/>
      </c>
      <c r="I458" s="29" t="str">
        <f t="shared" si="37"/>
        <v/>
      </c>
      <c r="J458" s="29" t="str">
        <f t="shared" si="38"/>
        <v/>
      </c>
      <c r="K458" s="29" t="str">
        <f t="shared" si="39"/>
        <v/>
      </c>
    </row>
    <row r="459" spans="1:11" ht="15" x14ac:dyDescent="0.25">
      <c r="A459" s="1" t="str">
        <f>IF('1.1 Produksi Bersih Padi 2025'!A459="","",'1.1 Produksi Bersih Padi 2025'!A459)</f>
        <v/>
      </c>
      <c r="B459" s="31" t="str">
        <f>IF('1.1 Produksi Bersih Padi 2025'!B459="","",'1.1 Produksi Bersih Padi 2025'!B459)</f>
        <v/>
      </c>
      <c r="C459" s="31" t="str">
        <f>IF('1.1 Produksi Bersih Padi 2025'!C459="","",'1.1 Produksi Bersih Padi 2025'!C459)</f>
        <v/>
      </c>
      <c r="D459" s="1" t="str">
        <f>IF('1.1 Produksi Bersih Padi 2025'!D459="","",'1.1 Produksi Bersih Padi 2025'!D459)</f>
        <v/>
      </c>
      <c r="E459" s="1" t="str">
        <f>IF('1.1 Produksi Bersih Padi 2025'!E459="","",'1.1 Produksi Bersih Padi 2025'!E459)</f>
        <v/>
      </c>
      <c r="F459" s="28" t="str">
        <f>IF(D459="","",VLOOKUP(D459,'[1]0.1 Produksi Pangan &amp; Penduduk'!$D$5:$AK$860,34,0))</f>
        <v/>
      </c>
      <c r="G459" s="29" t="str">
        <f t="shared" si="35"/>
        <v/>
      </c>
      <c r="H459" s="29" t="str">
        <f t="shared" si="36"/>
        <v/>
      </c>
      <c r="I459" s="29" t="str">
        <f t="shared" si="37"/>
        <v/>
      </c>
      <c r="J459" s="29" t="str">
        <f t="shared" si="38"/>
        <v/>
      </c>
      <c r="K459" s="29" t="str">
        <f t="shared" si="39"/>
        <v/>
      </c>
    </row>
    <row r="460" spans="1:11" ht="15" x14ac:dyDescent="0.25">
      <c r="A460" s="1" t="str">
        <f>IF('1.1 Produksi Bersih Padi 2025'!A460="","",'1.1 Produksi Bersih Padi 2025'!A460)</f>
        <v/>
      </c>
      <c r="B460" s="31" t="str">
        <f>IF('1.1 Produksi Bersih Padi 2025'!B460="","",'1.1 Produksi Bersih Padi 2025'!B460)</f>
        <v/>
      </c>
      <c r="C460" s="31" t="str">
        <f>IF('1.1 Produksi Bersih Padi 2025'!C460="","",'1.1 Produksi Bersih Padi 2025'!C460)</f>
        <v/>
      </c>
      <c r="D460" s="1" t="str">
        <f>IF('1.1 Produksi Bersih Padi 2025'!D460="","",'1.1 Produksi Bersih Padi 2025'!D460)</f>
        <v/>
      </c>
      <c r="E460" s="1" t="str">
        <f>IF('1.1 Produksi Bersih Padi 2025'!E460="","",'1.1 Produksi Bersih Padi 2025'!E460)</f>
        <v/>
      </c>
      <c r="F460" s="28" t="str">
        <f>IF(D460="","",VLOOKUP(D460,'[1]0.1 Produksi Pangan &amp; Penduduk'!$D$5:$AK$860,34,0))</f>
        <v/>
      </c>
      <c r="G460" s="29" t="str">
        <f t="shared" si="35"/>
        <v/>
      </c>
      <c r="H460" s="29" t="str">
        <f t="shared" si="36"/>
        <v/>
      </c>
      <c r="I460" s="29" t="str">
        <f t="shared" si="37"/>
        <v/>
      </c>
      <c r="J460" s="29" t="str">
        <f t="shared" si="38"/>
        <v/>
      </c>
      <c r="K460" s="29" t="str">
        <f t="shared" si="39"/>
        <v/>
      </c>
    </row>
    <row r="461" spans="1:11" ht="15" x14ac:dyDescent="0.25">
      <c r="A461" s="1" t="str">
        <f>IF('1.1 Produksi Bersih Padi 2025'!A461="","",'1.1 Produksi Bersih Padi 2025'!A461)</f>
        <v/>
      </c>
      <c r="B461" s="31" t="str">
        <f>IF('1.1 Produksi Bersih Padi 2025'!B461="","",'1.1 Produksi Bersih Padi 2025'!B461)</f>
        <v/>
      </c>
      <c r="C461" s="31" t="str">
        <f>IF('1.1 Produksi Bersih Padi 2025'!C461="","",'1.1 Produksi Bersih Padi 2025'!C461)</f>
        <v/>
      </c>
      <c r="D461" s="1" t="str">
        <f>IF('1.1 Produksi Bersih Padi 2025'!D461="","",'1.1 Produksi Bersih Padi 2025'!D461)</f>
        <v/>
      </c>
      <c r="E461" s="1" t="str">
        <f>IF('1.1 Produksi Bersih Padi 2025'!E461="","",'1.1 Produksi Bersih Padi 2025'!E461)</f>
        <v/>
      </c>
      <c r="F461" s="28" t="str">
        <f>IF(D461="","",VLOOKUP(D461,'[1]0.1 Produksi Pangan &amp; Penduduk'!$D$5:$AK$860,34,0))</f>
        <v/>
      </c>
      <c r="G461" s="29" t="str">
        <f t="shared" si="35"/>
        <v/>
      </c>
      <c r="H461" s="29" t="str">
        <f t="shared" si="36"/>
        <v/>
      </c>
      <c r="I461" s="29" t="str">
        <f t="shared" si="37"/>
        <v/>
      </c>
      <c r="J461" s="29" t="str">
        <f t="shared" si="38"/>
        <v/>
      </c>
      <c r="K461" s="29" t="str">
        <f t="shared" si="39"/>
        <v/>
      </c>
    </row>
    <row r="462" spans="1:11" ht="15" x14ac:dyDescent="0.25">
      <c r="A462" s="1" t="str">
        <f>IF('1.1 Produksi Bersih Padi 2025'!A462="","",'1.1 Produksi Bersih Padi 2025'!A462)</f>
        <v/>
      </c>
      <c r="B462" s="31" t="str">
        <f>IF('1.1 Produksi Bersih Padi 2025'!B462="","",'1.1 Produksi Bersih Padi 2025'!B462)</f>
        <v/>
      </c>
      <c r="C462" s="31" t="str">
        <f>IF('1.1 Produksi Bersih Padi 2025'!C462="","",'1.1 Produksi Bersih Padi 2025'!C462)</f>
        <v/>
      </c>
      <c r="D462" s="1" t="str">
        <f>IF('1.1 Produksi Bersih Padi 2025'!D462="","",'1.1 Produksi Bersih Padi 2025'!D462)</f>
        <v/>
      </c>
      <c r="E462" s="1" t="str">
        <f>IF('1.1 Produksi Bersih Padi 2025'!E462="","",'1.1 Produksi Bersih Padi 2025'!E462)</f>
        <v/>
      </c>
      <c r="F462" s="28" t="str">
        <f>IF(D462="","",VLOOKUP(D462,'[1]0.1 Produksi Pangan &amp; Penduduk'!$D$5:$AK$860,34,0))</f>
        <v/>
      </c>
      <c r="G462" s="29" t="str">
        <f t="shared" si="35"/>
        <v/>
      </c>
      <c r="H462" s="29" t="str">
        <f t="shared" si="36"/>
        <v/>
      </c>
      <c r="I462" s="29" t="str">
        <f t="shared" si="37"/>
        <v/>
      </c>
      <c r="J462" s="29" t="str">
        <f t="shared" si="38"/>
        <v/>
      </c>
      <c r="K462" s="29" t="str">
        <f t="shared" si="39"/>
        <v/>
      </c>
    </row>
    <row r="463" spans="1:11" ht="15" x14ac:dyDescent="0.25">
      <c r="A463" s="1" t="str">
        <f>IF('1.1 Produksi Bersih Padi 2025'!A463="","",'1.1 Produksi Bersih Padi 2025'!A463)</f>
        <v/>
      </c>
      <c r="B463" s="31" t="str">
        <f>IF('1.1 Produksi Bersih Padi 2025'!B463="","",'1.1 Produksi Bersih Padi 2025'!B463)</f>
        <v/>
      </c>
      <c r="C463" s="31" t="str">
        <f>IF('1.1 Produksi Bersih Padi 2025'!C463="","",'1.1 Produksi Bersih Padi 2025'!C463)</f>
        <v/>
      </c>
      <c r="D463" s="1" t="str">
        <f>IF('1.1 Produksi Bersih Padi 2025'!D463="","",'1.1 Produksi Bersih Padi 2025'!D463)</f>
        <v/>
      </c>
      <c r="E463" s="1" t="str">
        <f>IF('1.1 Produksi Bersih Padi 2025'!E463="","",'1.1 Produksi Bersih Padi 2025'!E463)</f>
        <v/>
      </c>
      <c r="F463" s="28" t="str">
        <f>IF(D463="","",VLOOKUP(D463,'[1]0.1 Produksi Pangan &amp; Penduduk'!$D$5:$AK$860,34,0))</f>
        <v/>
      </c>
      <c r="G463" s="29" t="str">
        <f t="shared" si="35"/>
        <v/>
      </c>
      <c r="H463" s="29" t="str">
        <f t="shared" si="36"/>
        <v/>
      </c>
      <c r="I463" s="29" t="str">
        <f t="shared" si="37"/>
        <v/>
      </c>
      <c r="J463" s="29" t="str">
        <f t="shared" si="38"/>
        <v/>
      </c>
      <c r="K463" s="29" t="str">
        <f t="shared" si="39"/>
        <v/>
      </c>
    </row>
    <row r="464" spans="1:11" ht="15" x14ac:dyDescent="0.25">
      <c r="A464" s="1" t="str">
        <f>IF('1.1 Produksi Bersih Padi 2025'!A464="","",'1.1 Produksi Bersih Padi 2025'!A464)</f>
        <v/>
      </c>
      <c r="B464" s="31" t="str">
        <f>IF('1.1 Produksi Bersih Padi 2025'!B464="","",'1.1 Produksi Bersih Padi 2025'!B464)</f>
        <v/>
      </c>
      <c r="C464" s="31" t="str">
        <f>IF('1.1 Produksi Bersih Padi 2025'!C464="","",'1.1 Produksi Bersih Padi 2025'!C464)</f>
        <v/>
      </c>
      <c r="D464" s="1" t="str">
        <f>IF('1.1 Produksi Bersih Padi 2025'!D464="","",'1.1 Produksi Bersih Padi 2025'!D464)</f>
        <v/>
      </c>
      <c r="E464" s="1" t="str">
        <f>IF('1.1 Produksi Bersih Padi 2025'!E464="","",'1.1 Produksi Bersih Padi 2025'!E464)</f>
        <v/>
      </c>
      <c r="F464" s="28" t="str">
        <f>IF(D464="","",VLOOKUP(D464,'[1]0.1 Produksi Pangan &amp; Penduduk'!$D$5:$AK$860,34,0))</f>
        <v/>
      </c>
      <c r="G464" s="29" t="str">
        <f t="shared" si="35"/>
        <v/>
      </c>
      <c r="H464" s="29" t="str">
        <f t="shared" si="36"/>
        <v/>
      </c>
      <c r="I464" s="29" t="str">
        <f t="shared" si="37"/>
        <v/>
      </c>
      <c r="J464" s="29" t="str">
        <f t="shared" si="38"/>
        <v/>
      </c>
      <c r="K464" s="29" t="str">
        <f t="shared" si="39"/>
        <v/>
      </c>
    </row>
    <row r="465" spans="1:11" ht="15" x14ac:dyDescent="0.25">
      <c r="A465" s="1" t="str">
        <f>IF('1.1 Produksi Bersih Padi 2025'!A465="","",'1.1 Produksi Bersih Padi 2025'!A465)</f>
        <v/>
      </c>
      <c r="B465" s="31" t="str">
        <f>IF('1.1 Produksi Bersih Padi 2025'!B465="","",'1.1 Produksi Bersih Padi 2025'!B465)</f>
        <v/>
      </c>
      <c r="C465" s="31" t="str">
        <f>IF('1.1 Produksi Bersih Padi 2025'!C465="","",'1.1 Produksi Bersih Padi 2025'!C465)</f>
        <v/>
      </c>
      <c r="D465" s="1" t="str">
        <f>IF('1.1 Produksi Bersih Padi 2025'!D465="","",'1.1 Produksi Bersih Padi 2025'!D465)</f>
        <v/>
      </c>
      <c r="E465" s="1" t="str">
        <f>IF('1.1 Produksi Bersih Padi 2025'!E465="","",'1.1 Produksi Bersih Padi 2025'!E465)</f>
        <v/>
      </c>
      <c r="F465" s="28" t="str">
        <f>IF(D465="","",VLOOKUP(D465,'[1]0.1 Produksi Pangan &amp; Penduduk'!$D$5:$AK$860,34,0))</f>
        <v/>
      </c>
      <c r="G465" s="29" t="str">
        <f t="shared" si="35"/>
        <v/>
      </c>
      <c r="H465" s="29" t="str">
        <f t="shared" si="36"/>
        <v/>
      </c>
      <c r="I465" s="29" t="str">
        <f t="shared" si="37"/>
        <v/>
      </c>
      <c r="J465" s="29" t="str">
        <f t="shared" si="38"/>
        <v/>
      </c>
      <c r="K465" s="29" t="str">
        <f t="shared" si="39"/>
        <v/>
      </c>
    </row>
    <row r="466" spans="1:11" ht="15" x14ac:dyDescent="0.25">
      <c r="A466" s="1" t="str">
        <f>IF('1.1 Produksi Bersih Padi 2025'!A466="","",'1.1 Produksi Bersih Padi 2025'!A466)</f>
        <v/>
      </c>
      <c r="B466" s="31" t="str">
        <f>IF('1.1 Produksi Bersih Padi 2025'!B466="","",'1.1 Produksi Bersih Padi 2025'!B466)</f>
        <v/>
      </c>
      <c r="C466" s="31" t="str">
        <f>IF('1.1 Produksi Bersih Padi 2025'!C466="","",'1.1 Produksi Bersih Padi 2025'!C466)</f>
        <v/>
      </c>
      <c r="D466" s="1" t="str">
        <f>IF('1.1 Produksi Bersih Padi 2025'!D466="","",'1.1 Produksi Bersih Padi 2025'!D466)</f>
        <v/>
      </c>
      <c r="E466" s="1" t="str">
        <f>IF('1.1 Produksi Bersih Padi 2025'!E466="","",'1.1 Produksi Bersih Padi 2025'!E466)</f>
        <v/>
      </c>
      <c r="F466" s="28" t="str">
        <f>IF(D466="","",VLOOKUP(D466,'[1]0.1 Produksi Pangan &amp; Penduduk'!$D$5:$AK$860,34,0))</f>
        <v/>
      </c>
      <c r="G466" s="29" t="str">
        <f t="shared" si="35"/>
        <v/>
      </c>
      <c r="H466" s="29" t="str">
        <f t="shared" si="36"/>
        <v/>
      </c>
      <c r="I466" s="29" t="str">
        <f t="shared" si="37"/>
        <v/>
      </c>
      <c r="J466" s="29" t="str">
        <f t="shared" si="38"/>
        <v/>
      </c>
      <c r="K466" s="29" t="str">
        <f t="shared" si="39"/>
        <v/>
      </c>
    </row>
    <row r="467" spans="1:11" ht="15" x14ac:dyDescent="0.25">
      <c r="A467" s="1" t="str">
        <f>IF('1.1 Produksi Bersih Padi 2025'!A467="","",'1.1 Produksi Bersih Padi 2025'!A467)</f>
        <v/>
      </c>
      <c r="B467" s="31" t="str">
        <f>IF('1.1 Produksi Bersih Padi 2025'!B467="","",'1.1 Produksi Bersih Padi 2025'!B467)</f>
        <v/>
      </c>
      <c r="C467" s="31" t="str">
        <f>IF('1.1 Produksi Bersih Padi 2025'!C467="","",'1.1 Produksi Bersih Padi 2025'!C467)</f>
        <v/>
      </c>
      <c r="D467" s="1" t="str">
        <f>IF('1.1 Produksi Bersih Padi 2025'!D467="","",'1.1 Produksi Bersih Padi 2025'!D467)</f>
        <v/>
      </c>
      <c r="E467" s="1" t="str">
        <f>IF('1.1 Produksi Bersih Padi 2025'!E467="","",'1.1 Produksi Bersih Padi 2025'!E467)</f>
        <v/>
      </c>
      <c r="F467" s="28" t="str">
        <f>IF(D467="","",VLOOKUP(D467,'[1]0.1 Produksi Pangan &amp; Penduduk'!$D$5:$AK$860,34,0))</f>
        <v/>
      </c>
      <c r="G467" s="29" t="str">
        <f t="shared" si="35"/>
        <v/>
      </c>
      <c r="H467" s="29" t="str">
        <f t="shared" si="36"/>
        <v/>
      </c>
      <c r="I467" s="29" t="str">
        <f t="shared" si="37"/>
        <v/>
      </c>
      <c r="J467" s="29" t="str">
        <f t="shared" si="38"/>
        <v/>
      </c>
      <c r="K467" s="29" t="str">
        <f t="shared" si="39"/>
        <v/>
      </c>
    </row>
    <row r="468" spans="1:11" ht="15" x14ac:dyDescent="0.25">
      <c r="A468" s="1" t="str">
        <f>IF('1.1 Produksi Bersih Padi 2025'!A468="","",'1.1 Produksi Bersih Padi 2025'!A468)</f>
        <v/>
      </c>
      <c r="B468" s="31" t="str">
        <f>IF('1.1 Produksi Bersih Padi 2025'!B468="","",'1.1 Produksi Bersih Padi 2025'!B468)</f>
        <v/>
      </c>
      <c r="C468" s="31" t="str">
        <f>IF('1.1 Produksi Bersih Padi 2025'!C468="","",'1.1 Produksi Bersih Padi 2025'!C468)</f>
        <v/>
      </c>
      <c r="D468" s="1" t="str">
        <f>IF('1.1 Produksi Bersih Padi 2025'!D468="","",'1.1 Produksi Bersih Padi 2025'!D468)</f>
        <v/>
      </c>
      <c r="E468" s="1" t="str">
        <f>IF('1.1 Produksi Bersih Padi 2025'!E468="","",'1.1 Produksi Bersih Padi 2025'!E468)</f>
        <v/>
      </c>
      <c r="F468" s="28" t="str">
        <f>IF(D468="","",VLOOKUP(D468,'[1]0.1 Produksi Pangan &amp; Penduduk'!$D$5:$AK$860,34,0))</f>
        <v/>
      </c>
      <c r="G468" s="29" t="str">
        <f t="shared" si="35"/>
        <v/>
      </c>
      <c r="H468" s="29" t="str">
        <f t="shared" si="36"/>
        <v/>
      </c>
      <c r="I468" s="29" t="str">
        <f t="shared" si="37"/>
        <v/>
      </c>
      <c r="J468" s="29" t="str">
        <f t="shared" si="38"/>
        <v/>
      </c>
      <c r="K468" s="29" t="str">
        <f t="shared" si="39"/>
        <v/>
      </c>
    </row>
    <row r="469" spans="1:11" ht="15" x14ac:dyDescent="0.25">
      <c r="A469" s="1" t="str">
        <f>IF('1.1 Produksi Bersih Padi 2025'!A469="","",'1.1 Produksi Bersih Padi 2025'!A469)</f>
        <v/>
      </c>
      <c r="B469" s="31" t="str">
        <f>IF('1.1 Produksi Bersih Padi 2025'!B469="","",'1.1 Produksi Bersih Padi 2025'!B469)</f>
        <v/>
      </c>
      <c r="C469" s="31" t="str">
        <f>IF('1.1 Produksi Bersih Padi 2025'!C469="","",'1.1 Produksi Bersih Padi 2025'!C469)</f>
        <v/>
      </c>
      <c r="D469" s="1" t="str">
        <f>IF('1.1 Produksi Bersih Padi 2025'!D469="","",'1.1 Produksi Bersih Padi 2025'!D469)</f>
        <v/>
      </c>
      <c r="E469" s="1" t="str">
        <f>IF('1.1 Produksi Bersih Padi 2025'!E469="","",'1.1 Produksi Bersih Padi 2025'!E469)</f>
        <v/>
      </c>
      <c r="F469" s="28" t="str">
        <f>IF(D469="","",VLOOKUP(D469,'[1]0.1 Produksi Pangan &amp; Penduduk'!$D$5:$AK$860,34,0))</f>
        <v/>
      </c>
      <c r="G469" s="29" t="str">
        <f t="shared" si="35"/>
        <v/>
      </c>
      <c r="H469" s="29" t="str">
        <f t="shared" si="36"/>
        <v/>
      </c>
      <c r="I469" s="29" t="str">
        <f t="shared" si="37"/>
        <v/>
      </c>
      <c r="J469" s="29" t="str">
        <f t="shared" si="38"/>
        <v/>
      </c>
      <c r="K469" s="29" t="str">
        <f t="shared" si="39"/>
        <v/>
      </c>
    </row>
    <row r="470" spans="1:11" ht="15" x14ac:dyDescent="0.25">
      <c r="A470" s="1" t="str">
        <f>IF('1.1 Produksi Bersih Padi 2025'!A470="","",'1.1 Produksi Bersih Padi 2025'!A470)</f>
        <v/>
      </c>
      <c r="B470" s="31" t="str">
        <f>IF('1.1 Produksi Bersih Padi 2025'!B470="","",'1.1 Produksi Bersih Padi 2025'!B470)</f>
        <v/>
      </c>
      <c r="C470" s="31" t="str">
        <f>IF('1.1 Produksi Bersih Padi 2025'!C470="","",'1.1 Produksi Bersih Padi 2025'!C470)</f>
        <v/>
      </c>
      <c r="D470" s="1" t="str">
        <f>IF('1.1 Produksi Bersih Padi 2025'!D470="","",'1.1 Produksi Bersih Padi 2025'!D470)</f>
        <v/>
      </c>
      <c r="E470" s="1" t="str">
        <f>IF('1.1 Produksi Bersih Padi 2025'!E470="","",'1.1 Produksi Bersih Padi 2025'!E470)</f>
        <v/>
      </c>
      <c r="F470" s="28" t="str">
        <f>IF(D470="","",VLOOKUP(D470,'[1]0.1 Produksi Pangan &amp; Penduduk'!$D$5:$AK$860,34,0))</f>
        <v/>
      </c>
      <c r="G470" s="29" t="str">
        <f t="shared" si="35"/>
        <v/>
      </c>
      <c r="H470" s="29" t="str">
        <f t="shared" si="36"/>
        <v/>
      </c>
      <c r="I470" s="29" t="str">
        <f t="shared" si="37"/>
        <v/>
      </c>
      <c r="J470" s="29" t="str">
        <f t="shared" si="38"/>
        <v/>
      </c>
      <c r="K470" s="29" t="str">
        <f t="shared" si="39"/>
        <v/>
      </c>
    </row>
    <row r="471" spans="1:11" ht="15" x14ac:dyDescent="0.25">
      <c r="A471" s="1" t="str">
        <f>IF('1.1 Produksi Bersih Padi 2025'!A471="","",'1.1 Produksi Bersih Padi 2025'!A471)</f>
        <v/>
      </c>
      <c r="B471" s="31" t="str">
        <f>IF('1.1 Produksi Bersih Padi 2025'!B471="","",'1.1 Produksi Bersih Padi 2025'!B471)</f>
        <v/>
      </c>
      <c r="C471" s="31" t="str">
        <f>IF('1.1 Produksi Bersih Padi 2025'!C471="","",'1.1 Produksi Bersih Padi 2025'!C471)</f>
        <v/>
      </c>
      <c r="D471" s="1" t="str">
        <f>IF('1.1 Produksi Bersih Padi 2025'!D471="","",'1.1 Produksi Bersih Padi 2025'!D471)</f>
        <v/>
      </c>
      <c r="E471" s="1" t="str">
        <f>IF('1.1 Produksi Bersih Padi 2025'!E471="","",'1.1 Produksi Bersih Padi 2025'!E471)</f>
        <v/>
      </c>
      <c r="F471" s="28" t="str">
        <f>IF(D471="","",VLOOKUP(D471,'[1]0.1 Produksi Pangan &amp; Penduduk'!$D$5:$AK$860,34,0))</f>
        <v/>
      </c>
      <c r="G471" s="29" t="str">
        <f t="shared" si="35"/>
        <v/>
      </c>
      <c r="H471" s="29" t="str">
        <f t="shared" si="36"/>
        <v/>
      </c>
      <c r="I471" s="29" t="str">
        <f t="shared" si="37"/>
        <v/>
      </c>
      <c r="J471" s="29" t="str">
        <f t="shared" si="38"/>
        <v/>
      </c>
      <c r="K471" s="29" t="str">
        <f t="shared" si="39"/>
        <v/>
      </c>
    </row>
    <row r="472" spans="1:11" ht="15" x14ac:dyDescent="0.25">
      <c r="A472" s="1" t="str">
        <f>IF('1.1 Produksi Bersih Padi 2025'!A472="","",'1.1 Produksi Bersih Padi 2025'!A472)</f>
        <v/>
      </c>
      <c r="B472" s="31" t="str">
        <f>IF('1.1 Produksi Bersih Padi 2025'!B472="","",'1.1 Produksi Bersih Padi 2025'!B472)</f>
        <v/>
      </c>
      <c r="C472" s="31" t="str">
        <f>IF('1.1 Produksi Bersih Padi 2025'!C472="","",'1.1 Produksi Bersih Padi 2025'!C472)</f>
        <v/>
      </c>
      <c r="D472" s="1" t="str">
        <f>IF('1.1 Produksi Bersih Padi 2025'!D472="","",'1.1 Produksi Bersih Padi 2025'!D472)</f>
        <v/>
      </c>
      <c r="E472" s="1" t="str">
        <f>IF('1.1 Produksi Bersih Padi 2025'!E472="","",'1.1 Produksi Bersih Padi 2025'!E472)</f>
        <v/>
      </c>
      <c r="F472" s="28" t="str">
        <f>IF(D472="","",VLOOKUP(D472,'[1]0.1 Produksi Pangan &amp; Penduduk'!$D$5:$AK$860,34,0))</f>
        <v/>
      </c>
      <c r="G472" s="29" t="str">
        <f t="shared" si="35"/>
        <v/>
      </c>
      <c r="H472" s="29" t="str">
        <f t="shared" si="36"/>
        <v/>
      </c>
      <c r="I472" s="29" t="str">
        <f t="shared" si="37"/>
        <v/>
      </c>
      <c r="J472" s="29" t="str">
        <f t="shared" si="38"/>
        <v/>
      </c>
      <c r="K472" s="29" t="str">
        <f t="shared" si="39"/>
        <v/>
      </c>
    </row>
    <row r="473" spans="1:11" ht="15" x14ac:dyDescent="0.25">
      <c r="A473" s="1" t="str">
        <f>IF('1.1 Produksi Bersih Padi 2025'!A473="","",'1.1 Produksi Bersih Padi 2025'!A473)</f>
        <v/>
      </c>
      <c r="B473" s="31" t="str">
        <f>IF('1.1 Produksi Bersih Padi 2025'!B473="","",'1.1 Produksi Bersih Padi 2025'!B473)</f>
        <v/>
      </c>
      <c r="C473" s="31" t="str">
        <f>IF('1.1 Produksi Bersih Padi 2025'!C473="","",'1.1 Produksi Bersih Padi 2025'!C473)</f>
        <v/>
      </c>
      <c r="D473" s="1" t="str">
        <f>IF('1.1 Produksi Bersih Padi 2025'!D473="","",'1.1 Produksi Bersih Padi 2025'!D473)</f>
        <v/>
      </c>
      <c r="E473" s="1" t="str">
        <f>IF('1.1 Produksi Bersih Padi 2025'!E473="","",'1.1 Produksi Bersih Padi 2025'!E473)</f>
        <v/>
      </c>
      <c r="F473" s="28" t="str">
        <f>IF(D473="","",VLOOKUP(D473,'[1]0.1 Produksi Pangan &amp; Penduduk'!$D$5:$AK$860,34,0))</f>
        <v/>
      </c>
      <c r="G473" s="29" t="str">
        <f t="shared" si="35"/>
        <v/>
      </c>
      <c r="H473" s="29" t="str">
        <f t="shared" si="36"/>
        <v/>
      </c>
      <c r="I473" s="29" t="str">
        <f t="shared" si="37"/>
        <v/>
      </c>
      <c r="J473" s="29" t="str">
        <f t="shared" si="38"/>
        <v/>
      </c>
      <c r="K473" s="29" t="str">
        <f t="shared" si="39"/>
        <v/>
      </c>
    </row>
    <row r="474" spans="1:11" ht="15" x14ac:dyDescent="0.25">
      <c r="A474" s="1" t="str">
        <f>IF('1.1 Produksi Bersih Padi 2025'!A474="","",'1.1 Produksi Bersih Padi 2025'!A474)</f>
        <v/>
      </c>
      <c r="B474" s="31" t="str">
        <f>IF('1.1 Produksi Bersih Padi 2025'!B474="","",'1.1 Produksi Bersih Padi 2025'!B474)</f>
        <v/>
      </c>
      <c r="C474" s="31" t="str">
        <f>IF('1.1 Produksi Bersih Padi 2025'!C474="","",'1.1 Produksi Bersih Padi 2025'!C474)</f>
        <v/>
      </c>
      <c r="D474" s="1" t="str">
        <f>IF('1.1 Produksi Bersih Padi 2025'!D474="","",'1.1 Produksi Bersih Padi 2025'!D474)</f>
        <v/>
      </c>
      <c r="E474" s="1" t="str">
        <f>IF('1.1 Produksi Bersih Padi 2025'!E474="","",'1.1 Produksi Bersih Padi 2025'!E474)</f>
        <v/>
      </c>
      <c r="F474" s="28" t="str">
        <f>IF(D474="","",VLOOKUP(D474,'[1]0.1 Produksi Pangan &amp; Penduduk'!$D$5:$AK$860,34,0))</f>
        <v/>
      </c>
      <c r="G474" s="29" t="str">
        <f t="shared" si="35"/>
        <v/>
      </c>
      <c r="H474" s="29" t="str">
        <f t="shared" si="36"/>
        <v/>
      </c>
      <c r="I474" s="29" t="str">
        <f t="shared" si="37"/>
        <v/>
      </c>
      <c r="J474" s="29" t="str">
        <f t="shared" si="38"/>
        <v/>
      </c>
      <c r="K474" s="29" t="str">
        <f t="shared" si="39"/>
        <v/>
      </c>
    </row>
    <row r="475" spans="1:11" ht="15" x14ac:dyDescent="0.25">
      <c r="A475" s="1" t="str">
        <f>IF('1.1 Produksi Bersih Padi 2025'!A475="","",'1.1 Produksi Bersih Padi 2025'!A475)</f>
        <v/>
      </c>
      <c r="B475" s="31" t="str">
        <f>IF('1.1 Produksi Bersih Padi 2025'!B475="","",'1.1 Produksi Bersih Padi 2025'!B475)</f>
        <v/>
      </c>
      <c r="C475" s="31" t="str">
        <f>IF('1.1 Produksi Bersih Padi 2025'!C475="","",'1.1 Produksi Bersih Padi 2025'!C475)</f>
        <v/>
      </c>
      <c r="D475" s="1" t="str">
        <f>IF('1.1 Produksi Bersih Padi 2025'!D475="","",'1.1 Produksi Bersih Padi 2025'!D475)</f>
        <v/>
      </c>
      <c r="E475" s="1" t="str">
        <f>IF('1.1 Produksi Bersih Padi 2025'!E475="","",'1.1 Produksi Bersih Padi 2025'!E475)</f>
        <v/>
      </c>
      <c r="F475" s="28" t="str">
        <f>IF(D475="","",VLOOKUP(D475,'[1]0.1 Produksi Pangan &amp; Penduduk'!$D$5:$AK$860,34,0))</f>
        <v/>
      </c>
      <c r="G475" s="29" t="str">
        <f t="shared" si="35"/>
        <v/>
      </c>
      <c r="H475" s="29" t="str">
        <f t="shared" si="36"/>
        <v/>
      </c>
      <c r="I475" s="29" t="str">
        <f t="shared" si="37"/>
        <v/>
      </c>
      <c r="J475" s="29" t="str">
        <f t="shared" si="38"/>
        <v/>
      </c>
      <c r="K475" s="29" t="str">
        <f t="shared" si="39"/>
        <v/>
      </c>
    </row>
    <row r="476" spans="1:11" ht="15" x14ac:dyDescent="0.25">
      <c r="A476" s="1" t="str">
        <f>IF('1.1 Produksi Bersih Padi 2025'!A476="","",'1.1 Produksi Bersih Padi 2025'!A476)</f>
        <v/>
      </c>
      <c r="B476" s="31" t="str">
        <f>IF('1.1 Produksi Bersih Padi 2025'!B476="","",'1.1 Produksi Bersih Padi 2025'!B476)</f>
        <v/>
      </c>
      <c r="C476" s="31" t="str">
        <f>IF('1.1 Produksi Bersih Padi 2025'!C476="","",'1.1 Produksi Bersih Padi 2025'!C476)</f>
        <v/>
      </c>
      <c r="D476" s="1" t="str">
        <f>IF('1.1 Produksi Bersih Padi 2025'!D476="","",'1.1 Produksi Bersih Padi 2025'!D476)</f>
        <v/>
      </c>
      <c r="E476" s="1" t="str">
        <f>IF('1.1 Produksi Bersih Padi 2025'!E476="","",'1.1 Produksi Bersih Padi 2025'!E476)</f>
        <v/>
      </c>
      <c r="F476" s="28" t="str">
        <f>IF(D476="","",VLOOKUP(D476,'[1]0.1 Produksi Pangan &amp; Penduduk'!$D$5:$AK$860,34,0))</f>
        <v/>
      </c>
      <c r="G476" s="29" t="str">
        <f t="shared" si="35"/>
        <v/>
      </c>
      <c r="H476" s="29" t="str">
        <f t="shared" si="36"/>
        <v/>
      </c>
      <c r="I476" s="29" t="str">
        <f t="shared" si="37"/>
        <v/>
      </c>
      <c r="J476" s="29" t="str">
        <f t="shared" si="38"/>
        <v/>
      </c>
      <c r="K476" s="29" t="str">
        <f t="shared" si="39"/>
        <v/>
      </c>
    </row>
    <row r="477" spans="1:11" ht="15" x14ac:dyDescent="0.25">
      <c r="A477" s="1" t="str">
        <f>IF('1.1 Produksi Bersih Padi 2025'!A477="","",'1.1 Produksi Bersih Padi 2025'!A477)</f>
        <v/>
      </c>
      <c r="B477" s="31" t="str">
        <f>IF('1.1 Produksi Bersih Padi 2025'!B477="","",'1.1 Produksi Bersih Padi 2025'!B477)</f>
        <v/>
      </c>
      <c r="C477" s="31" t="str">
        <f>IF('1.1 Produksi Bersih Padi 2025'!C477="","",'1.1 Produksi Bersih Padi 2025'!C477)</f>
        <v/>
      </c>
      <c r="D477" s="1" t="str">
        <f>IF('1.1 Produksi Bersih Padi 2025'!D477="","",'1.1 Produksi Bersih Padi 2025'!D477)</f>
        <v/>
      </c>
      <c r="E477" s="1" t="str">
        <f>IF('1.1 Produksi Bersih Padi 2025'!E477="","",'1.1 Produksi Bersih Padi 2025'!E477)</f>
        <v/>
      </c>
      <c r="F477" s="28" t="str">
        <f>IF(D477="","",VLOOKUP(D477,'[1]0.1 Produksi Pangan &amp; Penduduk'!$D$5:$AK$860,34,0))</f>
        <v/>
      </c>
      <c r="G477" s="29" t="str">
        <f t="shared" si="35"/>
        <v/>
      </c>
      <c r="H477" s="29" t="str">
        <f t="shared" si="36"/>
        <v/>
      </c>
      <c r="I477" s="29" t="str">
        <f t="shared" si="37"/>
        <v/>
      </c>
      <c r="J477" s="29" t="str">
        <f t="shared" si="38"/>
        <v/>
      </c>
      <c r="K477" s="29" t="str">
        <f t="shared" si="39"/>
        <v/>
      </c>
    </row>
    <row r="478" spans="1:11" ht="15" x14ac:dyDescent="0.25">
      <c r="A478" s="1" t="str">
        <f>IF('1.1 Produksi Bersih Padi 2025'!A478="","",'1.1 Produksi Bersih Padi 2025'!A478)</f>
        <v/>
      </c>
      <c r="B478" s="31" t="str">
        <f>IF('1.1 Produksi Bersih Padi 2025'!B478="","",'1.1 Produksi Bersih Padi 2025'!B478)</f>
        <v/>
      </c>
      <c r="C478" s="31" t="str">
        <f>IF('1.1 Produksi Bersih Padi 2025'!C478="","",'1.1 Produksi Bersih Padi 2025'!C478)</f>
        <v/>
      </c>
      <c r="D478" s="1" t="str">
        <f>IF('1.1 Produksi Bersih Padi 2025'!D478="","",'1.1 Produksi Bersih Padi 2025'!D478)</f>
        <v/>
      </c>
      <c r="E478" s="1" t="str">
        <f>IF('1.1 Produksi Bersih Padi 2025'!E478="","",'1.1 Produksi Bersih Padi 2025'!E478)</f>
        <v/>
      </c>
      <c r="F478" s="28" t="str">
        <f>IF(D478="","",VLOOKUP(D478,'[1]0.1 Produksi Pangan &amp; Penduduk'!$D$5:$AK$860,34,0))</f>
        <v/>
      </c>
      <c r="G478" s="29" t="str">
        <f t="shared" si="35"/>
        <v/>
      </c>
      <c r="H478" s="29" t="str">
        <f t="shared" si="36"/>
        <v/>
      </c>
      <c r="I478" s="29" t="str">
        <f t="shared" si="37"/>
        <v/>
      </c>
      <c r="J478" s="29" t="str">
        <f t="shared" si="38"/>
        <v/>
      </c>
      <c r="K478" s="29" t="str">
        <f t="shared" si="39"/>
        <v/>
      </c>
    </row>
    <row r="479" spans="1:11" ht="15" x14ac:dyDescent="0.25">
      <c r="A479" s="1" t="str">
        <f>IF('1.1 Produksi Bersih Padi 2025'!A479="","",'1.1 Produksi Bersih Padi 2025'!A479)</f>
        <v/>
      </c>
      <c r="B479" s="31" t="str">
        <f>IF('1.1 Produksi Bersih Padi 2025'!B479="","",'1.1 Produksi Bersih Padi 2025'!B479)</f>
        <v/>
      </c>
      <c r="C479" s="31" t="str">
        <f>IF('1.1 Produksi Bersih Padi 2025'!C479="","",'1.1 Produksi Bersih Padi 2025'!C479)</f>
        <v/>
      </c>
      <c r="D479" s="1" t="str">
        <f>IF('1.1 Produksi Bersih Padi 2025'!D479="","",'1.1 Produksi Bersih Padi 2025'!D479)</f>
        <v/>
      </c>
      <c r="E479" s="1" t="str">
        <f>IF('1.1 Produksi Bersih Padi 2025'!E479="","",'1.1 Produksi Bersih Padi 2025'!E479)</f>
        <v/>
      </c>
      <c r="F479" s="28" t="str">
        <f>IF(D479="","",VLOOKUP(D479,'[1]0.1 Produksi Pangan &amp; Penduduk'!$D$5:$AK$860,34,0))</f>
        <v/>
      </c>
      <c r="G479" s="29" t="str">
        <f t="shared" si="35"/>
        <v/>
      </c>
      <c r="H479" s="29" t="str">
        <f t="shared" si="36"/>
        <v/>
      </c>
      <c r="I479" s="29" t="str">
        <f t="shared" si="37"/>
        <v/>
      </c>
      <c r="J479" s="29" t="str">
        <f t="shared" si="38"/>
        <v/>
      </c>
      <c r="K479" s="29" t="str">
        <f t="shared" si="39"/>
        <v/>
      </c>
    </row>
    <row r="480" spans="1:11" ht="15" x14ac:dyDescent="0.25">
      <c r="A480" s="1" t="str">
        <f>IF('1.1 Produksi Bersih Padi 2025'!A480="","",'1.1 Produksi Bersih Padi 2025'!A480)</f>
        <v/>
      </c>
      <c r="B480" s="31" t="str">
        <f>IF('1.1 Produksi Bersih Padi 2025'!B480="","",'1.1 Produksi Bersih Padi 2025'!B480)</f>
        <v/>
      </c>
      <c r="C480" s="31" t="str">
        <f>IF('1.1 Produksi Bersih Padi 2025'!C480="","",'1.1 Produksi Bersih Padi 2025'!C480)</f>
        <v/>
      </c>
      <c r="D480" s="1" t="str">
        <f>IF('1.1 Produksi Bersih Padi 2025'!D480="","",'1.1 Produksi Bersih Padi 2025'!D480)</f>
        <v/>
      </c>
      <c r="E480" s="1" t="str">
        <f>IF('1.1 Produksi Bersih Padi 2025'!E480="","",'1.1 Produksi Bersih Padi 2025'!E480)</f>
        <v/>
      </c>
      <c r="F480" s="28" t="str">
        <f>IF(D480="","",VLOOKUP(D480,'[1]0.1 Produksi Pangan &amp; Penduduk'!$D$5:$AK$860,34,0))</f>
        <v/>
      </c>
      <c r="G480" s="29" t="str">
        <f t="shared" si="35"/>
        <v/>
      </c>
      <c r="H480" s="29" t="str">
        <f t="shared" si="36"/>
        <v/>
      </c>
      <c r="I480" s="29" t="str">
        <f t="shared" si="37"/>
        <v/>
      </c>
      <c r="J480" s="29" t="str">
        <f t="shared" si="38"/>
        <v/>
      </c>
      <c r="K480" s="29" t="str">
        <f t="shared" si="39"/>
        <v/>
      </c>
    </row>
    <row r="481" spans="1:11" ht="15" x14ac:dyDescent="0.25">
      <c r="A481" s="1" t="str">
        <f>IF('1.1 Produksi Bersih Padi 2025'!A481="","",'1.1 Produksi Bersih Padi 2025'!A481)</f>
        <v/>
      </c>
      <c r="B481" s="31" t="str">
        <f>IF('1.1 Produksi Bersih Padi 2025'!B481="","",'1.1 Produksi Bersih Padi 2025'!B481)</f>
        <v/>
      </c>
      <c r="C481" s="31" t="str">
        <f>IF('1.1 Produksi Bersih Padi 2025'!C481="","",'1.1 Produksi Bersih Padi 2025'!C481)</f>
        <v/>
      </c>
      <c r="D481" s="1" t="str">
        <f>IF('1.1 Produksi Bersih Padi 2025'!D481="","",'1.1 Produksi Bersih Padi 2025'!D481)</f>
        <v/>
      </c>
      <c r="E481" s="1" t="str">
        <f>IF('1.1 Produksi Bersih Padi 2025'!E481="","",'1.1 Produksi Bersih Padi 2025'!E481)</f>
        <v/>
      </c>
      <c r="F481" s="28" t="str">
        <f>IF(D481="","",VLOOKUP(D481,'[1]0.1 Produksi Pangan &amp; Penduduk'!$D$5:$AK$860,34,0))</f>
        <v/>
      </c>
      <c r="G481" s="29" t="str">
        <f t="shared" si="35"/>
        <v/>
      </c>
      <c r="H481" s="29" t="str">
        <f t="shared" si="36"/>
        <v/>
      </c>
      <c r="I481" s="29" t="str">
        <f t="shared" si="37"/>
        <v/>
      </c>
      <c r="J481" s="29" t="str">
        <f t="shared" si="38"/>
        <v/>
      </c>
      <c r="K481" s="29" t="str">
        <f t="shared" si="39"/>
        <v/>
      </c>
    </row>
    <row r="482" spans="1:11" ht="15" x14ac:dyDescent="0.25">
      <c r="A482" s="1" t="str">
        <f>IF('1.1 Produksi Bersih Padi 2025'!A482="","",'1.1 Produksi Bersih Padi 2025'!A482)</f>
        <v/>
      </c>
      <c r="B482" s="31" t="str">
        <f>IF('1.1 Produksi Bersih Padi 2025'!B482="","",'1.1 Produksi Bersih Padi 2025'!B482)</f>
        <v/>
      </c>
      <c r="C482" s="31" t="str">
        <f>IF('1.1 Produksi Bersih Padi 2025'!C482="","",'1.1 Produksi Bersih Padi 2025'!C482)</f>
        <v/>
      </c>
      <c r="D482" s="1" t="str">
        <f>IF('1.1 Produksi Bersih Padi 2025'!D482="","",'1.1 Produksi Bersih Padi 2025'!D482)</f>
        <v/>
      </c>
      <c r="E482" s="1" t="str">
        <f>IF('1.1 Produksi Bersih Padi 2025'!E482="","",'1.1 Produksi Bersih Padi 2025'!E482)</f>
        <v/>
      </c>
      <c r="F482" s="28" t="str">
        <f>IF(D482="","",VLOOKUP(D482,'[1]0.1 Produksi Pangan &amp; Penduduk'!$D$5:$AK$860,34,0))</f>
        <v/>
      </c>
      <c r="G482" s="29" t="str">
        <f t="shared" si="35"/>
        <v/>
      </c>
      <c r="H482" s="29" t="str">
        <f t="shared" si="36"/>
        <v/>
      </c>
      <c r="I482" s="29" t="str">
        <f t="shared" si="37"/>
        <v/>
      </c>
      <c r="J482" s="29" t="str">
        <f t="shared" si="38"/>
        <v/>
      </c>
      <c r="K482" s="29" t="str">
        <f t="shared" si="39"/>
        <v/>
      </c>
    </row>
    <row r="483" spans="1:11" ht="15" x14ac:dyDescent="0.25">
      <c r="A483" s="1" t="str">
        <f>IF('1.1 Produksi Bersih Padi 2025'!A483="","",'1.1 Produksi Bersih Padi 2025'!A483)</f>
        <v/>
      </c>
      <c r="B483" s="31" t="str">
        <f>IF('1.1 Produksi Bersih Padi 2025'!B483="","",'1.1 Produksi Bersih Padi 2025'!B483)</f>
        <v/>
      </c>
      <c r="C483" s="31" t="str">
        <f>IF('1.1 Produksi Bersih Padi 2025'!C483="","",'1.1 Produksi Bersih Padi 2025'!C483)</f>
        <v/>
      </c>
      <c r="D483" s="1" t="str">
        <f>IF('1.1 Produksi Bersih Padi 2025'!D483="","",'1.1 Produksi Bersih Padi 2025'!D483)</f>
        <v/>
      </c>
      <c r="E483" s="1" t="str">
        <f>IF('1.1 Produksi Bersih Padi 2025'!E483="","",'1.1 Produksi Bersih Padi 2025'!E483)</f>
        <v/>
      </c>
      <c r="F483" s="28" t="str">
        <f>IF(D483="","",VLOOKUP(D483,'[1]0.1 Produksi Pangan &amp; Penduduk'!$D$5:$AK$860,34,0))</f>
        <v/>
      </c>
      <c r="G483" s="29" t="str">
        <f t="shared" si="35"/>
        <v/>
      </c>
      <c r="H483" s="29" t="str">
        <f t="shared" si="36"/>
        <v/>
      </c>
      <c r="I483" s="29" t="str">
        <f t="shared" si="37"/>
        <v/>
      </c>
      <c r="J483" s="29" t="str">
        <f t="shared" si="38"/>
        <v/>
      </c>
      <c r="K483" s="29" t="str">
        <f t="shared" si="39"/>
        <v/>
      </c>
    </row>
    <row r="484" spans="1:11" ht="15" x14ac:dyDescent="0.25">
      <c r="A484" s="1" t="str">
        <f>IF('1.1 Produksi Bersih Padi 2025'!A484="","",'1.1 Produksi Bersih Padi 2025'!A484)</f>
        <v/>
      </c>
      <c r="B484" s="31" t="str">
        <f>IF('1.1 Produksi Bersih Padi 2025'!B484="","",'1.1 Produksi Bersih Padi 2025'!B484)</f>
        <v/>
      </c>
      <c r="C484" s="31" t="str">
        <f>IF('1.1 Produksi Bersih Padi 2025'!C484="","",'1.1 Produksi Bersih Padi 2025'!C484)</f>
        <v/>
      </c>
      <c r="D484" s="1" t="str">
        <f>IF('1.1 Produksi Bersih Padi 2025'!D484="","",'1.1 Produksi Bersih Padi 2025'!D484)</f>
        <v/>
      </c>
      <c r="E484" s="1" t="str">
        <f>IF('1.1 Produksi Bersih Padi 2025'!E484="","",'1.1 Produksi Bersih Padi 2025'!E484)</f>
        <v/>
      </c>
      <c r="F484" s="28" t="str">
        <f>IF(D484="","",VLOOKUP(D484,'[1]0.1 Produksi Pangan &amp; Penduduk'!$D$5:$AK$860,34,0))</f>
        <v/>
      </c>
      <c r="G484" s="29" t="str">
        <f t="shared" si="35"/>
        <v/>
      </c>
      <c r="H484" s="29" t="str">
        <f t="shared" si="36"/>
        <v/>
      </c>
      <c r="I484" s="29" t="str">
        <f t="shared" si="37"/>
        <v/>
      </c>
      <c r="J484" s="29" t="str">
        <f t="shared" si="38"/>
        <v/>
      </c>
      <c r="K484" s="29" t="str">
        <f t="shared" si="39"/>
        <v/>
      </c>
    </row>
    <row r="485" spans="1:11" ht="15" x14ac:dyDescent="0.25">
      <c r="A485" s="1" t="str">
        <f>IF('1.1 Produksi Bersih Padi 2025'!A485="","",'1.1 Produksi Bersih Padi 2025'!A485)</f>
        <v/>
      </c>
      <c r="B485" s="31" t="str">
        <f>IF('1.1 Produksi Bersih Padi 2025'!B485="","",'1.1 Produksi Bersih Padi 2025'!B485)</f>
        <v/>
      </c>
      <c r="C485" s="31" t="str">
        <f>IF('1.1 Produksi Bersih Padi 2025'!C485="","",'1.1 Produksi Bersih Padi 2025'!C485)</f>
        <v/>
      </c>
      <c r="D485" s="1" t="str">
        <f>IF('1.1 Produksi Bersih Padi 2025'!D485="","",'1.1 Produksi Bersih Padi 2025'!D485)</f>
        <v/>
      </c>
      <c r="E485" s="1" t="str">
        <f>IF('1.1 Produksi Bersih Padi 2025'!E485="","",'1.1 Produksi Bersih Padi 2025'!E485)</f>
        <v/>
      </c>
      <c r="F485" s="28" t="str">
        <f>IF(D485="","",VLOOKUP(D485,'[1]0.1 Produksi Pangan &amp; Penduduk'!$D$5:$AK$860,34,0))</f>
        <v/>
      </c>
      <c r="G485" s="29" t="str">
        <f t="shared" si="35"/>
        <v/>
      </c>
      <c r="H485" s="29" t="str">
        <f t="shared" si="36"/>
        <v/>
      </c>
      <c r="I485" s="29" t="str">
        <f t="shared" si="37"/>
        <v/>
      </c>
      <c r="J485" s="29" t="str">
        <f t="shared" si="38"/>
        <v/>
      </c>
      <c r="K485" s="29" t="str">
        <f t="shared" si="39"/>
        <v/>
      </c>
    </row>
    <row r="486" spans="1:11" ht="15" x14ac:dyDescent="0.25">
      <c r="A486" s="1" t="str">
        <f>IF('1.1 Produksi Bersih Padi 2025'!A486="","",'1.1 Produksi Bersih Padi 2025'!A486)</f>
        <v/>
      </c>
      <c r="B486" s="31" t="str">
        <f>IF('1.1 Produksi Bersih Padi 2025'!B486="","",'1.1 Produksi Bersih Padi 2025'!B486)</f>
        <v/>
      </c>
      <c r="C486" s="31" t="str">
        <f>IF('1.1 Produksi Bersih Padi 2025'!C486="","",'1.1 Produksi Bersih Padi 2025'!C486)</f>
        <v/>
      </c>
      <c r="D486" s="1" t="str">
        <f>IF('1.1 Produksi Bersih Padi 2025'!D486="","",'1.1 Produksi Bersih Padi 2025'!D486)</f>
        <v/>
      </c>
      <c r="E486" s="1" t="str">
        <f>IF('1.1 Produksi Bersih Padi 2025'!E486="","",'1.1 Produksi Bersih Padi 2025'!E486)</f>
        <v/>
      </c>
      <c r="F486" s="28" t="str">
        <f>IF(D486="","",VLOOKUP(D486,'[1]0.1 Produksi Pangan &amp; Penduduk'!$D$5:$AK$860,34,0))</f>
        <v/>
      </c>
      <c r="G486" s="29" t="str">
        <f t="shared" si="35"/>
        <v/>
      </c>
      <c r="H486" s="29" t="str">
        <f t="shared" si="36"/>
        <v/>
      </c>
      <c r="I486" s="29" t="str">
        <f t="shared" si="37"/>
        <v/>
      </c>
      <c r="J486" s="29" t="str">
        <f t="shared" si="38"/>
        <v/>
      </c>
      <c r="K486" s="29" t="str">
        <f t="shared" si="39"/>
        <v/>
      </c>
    </row>
    <row r="487" spans="1:11" ht="15" x14ac:dyDescent="0.25">
      <c r="A487" s="1" t="str">
        <f>IF('1.1 Produksi Bersih Padi 2025'!A487="","",'1.1 Produksi Bersih Padi 2025'!A487)</f>
        <v/>
      </c>
      <c r="B487" s="31" t="str">
        <f>IF('1.1 Produksi Bersih Padi 2025'!B487="","",'1.1 Produksi Bersih Padi 2025'!B487)</f>
        <v/>
      </c>
      <c r="C487" s="31" t="str">
        <f>IF('1.1 Produksi Bersih Padi 2025'!C487="","",'1.1 Produksi Bersih Padi 2025'!C487)</f>
        <v/>
      </c>
      <c r="D487" s="1" t="str">
        <f>IF('1.1 Produksi Bersih Padi 2025'!D487="","",'1.1 Produksi Bersih Padi 2025'!D487)</f>
        <v/>
      </c>
      <c r="E487" s="1" t="str">
        <f>IF('1.1 Produksi Bersih Padi 2025'!E487="","",'1.1 Produksi Bersih Padi 2025'!E487)</f>
        <v/>
      </c>
      <c r="F487" s="28" t="str">
        <f>IF(D487="","",VLOOKUP(D487,'[1]0.1 Produksi Pangan &amp; Penduduk'!$D$5:$AK$860,34,0))</f>
        <v/>
      </c>
      <c r="G487" s="29" t="str">
        <f t="shared" si="35"/>
        <v/>
      </c>
      <c r="H487" s="29" t="str">
        <f t="shared" si="36"/>
        <v/>
      </c>
      <c r="I487" s="29" t="str">
        <f t="shared" si="37"/>
        <v/>
      </c>
      <c r="J487" s="29" t="str">
        <f t="shared" si="38"/>
        <v/>
      </c>
      <c r="K487" s="29" t="str">
        <f t="shared" si="39"/>
        <v/>
      </c>
    </row>
    <row r="488" spans="1:11" ht="15" x14ac:dyDescent="0.25">
      <c r="A488" s="1" t="str">
        <f>IF('1.1 Produksi Bersih Padi 2025'!A488="","",'1.1 Produksi Bersih Padi 2025'!A488)</f>
        <v/>
      </c>
      <c r="B488" s="31" t="str">
        <f>IF('1.1 Produksi Bersih Padi 2025'!B488="","",'1.1 Produksi Bersih Padi 2025'!B488)</f>
        <v/>
      </c>
      <c r="C488" s="31" t="str">
        <f>IF('1.1 Produksi Bersih Padi 2025'!C488="","",'1.1 Produksi Bersih Padi 2025'!C488)</f>
        <v/>
      </c>
      <c r="D488" s="1" t="str">
        <f>IF('1.1 Produksi Bersih Padi 2025'!D488="","",'1.1 Produksi Bersih Padi 2025'!D488)</f>
        <v/>
      </c>
      <c r="E488" s="1" t="str">
        <f>IF('1.1 Produksi Bersih Padi 2025'!E488="","",'1.1 Produksi Bersih Padi 2025'!E488)</f>
        <v/>
      </c>
      <c r="F488" s="28" t="str">
        <f>IF(D488="","",VLOOKUP(D488,'[1]0.1 Produksi Pangan &amp; Penduduk'!$D$5:$AK$860,34,0))</f>
        <v/>
      </c>
      <c r="G488" s="29" t="str">
        <f t="shared" si="35"/>
        <v/>
      </c>
      <c r="H488" s="29" t="str">
        <f t="shared" si="36"/>
        <v/>
      </c>
      <c r="I488" s="29" t="str">
        <f t="shared" si="37"/>
        <v/>
      </c>
      <c r="J488" s="29" t="str">
        <f t="shared" si="38"/>
        <v/>
      </c>
      <c r="K488" s="29" t="str">
        <f t="shared" si="39"/>
        <v/>
      </c>
    </row>
    <row r="489" spans="1:11" ht="15" x14ac:dyDescent="0.25">
      <c r="A489" s="1" t="str">
        <f>IF('1.1 Produksi Bersih Padi 2025'!A489="","",'1.1 Produksi Bersih Padi 2025'!A489)</f>
        <v/>
      </c>
      <c r="B489" s="31" t="str">
        <f>IF('1.1 Produksi Bersih Padi 2025'!B489="","",'1.1 Produksi Bersih Padi 2025'!B489)</f>
        <v/>
      </c>
      <c r="C489" s="31" t="str">
        <f>IF('1.1 Produksi Bersih Padi 2025'!C489="","",'1.1 Produksi Bersih Padi 2025'!C489)</f>
        <v/>
      </c>
      <c r="D489" s="1" t="str">
        <f>IF('1.1 Produksi Bersih Padi 2025'!D489="","",'1.1 Produksi Bersih Padi 2025'!D489)</f>
        <v/>
      </c>
      <c r="E489" s="1" t="str">
        <f>IF('1.1 Produksi Bersih Padi 2025'!E489="","",'1.1 Produksi Bersih Padi 2025'!E489)</f>
        <v/>
      </c>
      <c r="F489" s="28" t="str">
        <f>IF(D489="","",VLOOKUP(D489,'[1]0.1 Produksi Pangan &amp; Penduduk'!$D$5:$AK$860,34,0))</f>
        <v/>
      </c>
      <c r="G489" s="29" t="str">
        <f t="shared" si="35"/>
        <v/>
      </c>
      <c r="H489" s="29" t="str">
        <f t="shared" si="36"/>
        <v/>
      </c>
      <c r="I489" s="29" t="str">
        <f t="shared" si="37"/>
        <v/>
      </c>
      <c r="J489" s="29" t="str">
        <f t="shared" si="38"/>
        <v/>
      </c>
      <c r="K489" s="29" t="str">
        <f t="shared" si="39"/>
        <v/>
      </c>
    </row>
    <row r="490" spans="1:11" ht="15" x14ac:dyDescent="0.25">
      <c r="A490" s="1" t="str">
        <f>IF('1.1 Produksi Bersih Padi 2025'!A490="","",'1.1 Produksi Bersih Padi 2025'!A490)</f>
        <v/>
      </c>
      <c r="B490" s="31" t="str">
        <f>IF('1.1 Produksi Bersih Padi 2025'!B490="","",'1.1 Produksi Bersih Padi 2025'!B490)</f>
        <v/>
      </c>
      <c r="C490" s="31" t="str">
        <f>IF('1.1 Produksi Bersih Padi 2025'!C490="","",'1.1 Produksi Bersih Padi 2025'!C490)</f>
        <v/>
      </c>
      <c r="D490" s="1" t="str">
        <f>IF('1.1 Produksi Bersih Padi 2025'!D490="","",'1.1 Produksi Bersih Padi 2025'!D490)</f>
        <v/>
      </c>
      <c r="E490" s="1" t="str">
        <f>IF('1.1 Produksi Bersih Padi 2025'!E490="","",'1.1 Produksi Bersih Padi 2025'!E490)</f>
        <v/>
      </c>
      <c r="F490" s="28" t="str">
        <f>IF(D490="","",VLOOKUP(D490,'[1]0.1 Produksi Pangan &amp; Penduduk'!$D$5:$AK$860,34,0))</f>
        <v/>
      </c>
      <c r="G490" s="29" t="str">
        <f t="shared" si="35"/>
        <v/>
      </c>
      <c r="H490" s="29" t="str">
        <f t="shared" si="36"/>
        <v/>
      </c>
      <c r="I490" s="29" t="str">
        <f t="shared" si="37"/>
        <v/>
      </c>
      <c r="J490" s="29" t="str">
        <f t="shared" si="38"/>
        <v/>
      </c>
      <c r="K490" s="29" t="str">
        <f t="shared" si="39"/>
        <v/>
      </c>
    </row>
    <row r="491" spans="1:11" ht="15" x14ac:dyDescent="0.25">
      <c r="A491" s="1" t="str">
        <f>IF('1.1 Produksi Bersih Padi 2025'!A491="","",'1.1 Produksi Bersih Padi 2025'!A491)</f>
        <v/>
      </c>
      <c r="B491" s="31" t="str">
        <f>IF('1.1 Produksi Bersih Padi 2025'!B491="","",'1.1 Produksi Bersih Padi 2025'!B491)</f>
        <v/>
      </c>
      <c r="C491" s="31" t="str">
        <f>IF('1.1 Produksi Bersih Padi 2025'!C491="","",'1.1 Produksi Bersih Padi 2025'!C491)</f>
        <v/>
      </c>
      <c r="D491" s="1" t="str">
        <f>IF('1.1 Produksi Bersih Padi 2025'!D491="","",'1.1 Produksi Bersih Padi 2025'!D491)</f>
        <v/>
      </c>
      <c r="E491" s="1" t="str">
        <f>IF('1.1 Produksi Bersih Padi 2025'!E491="","",'1.1 Produksi Bersih Padi 2025'!E491)</f>
        <v/>
      </c>
      <c r="F491" s="28" t="str">
        <f>IF(D491="","",VLOOKUP(D491,'[1]0.1 Produksi Pangan &amp; Penduduk'!$D$5:$AK$860,34,0))</f>
        <v/>
      </c>
      <c r="G491" s="29" t="str">
        <f t="shared" si="35"/>
        <v/>
      </c>
      <c r="H491" s="29" t="str">
        <f t="shared" si="36"/>
        <v/>
      </c>
      <c r="I491" s="29" t="str">
        <f t="shared" si="37"/>
        <v/>
      </c>
      <c r="J491" s="29" t="str">
        <f t="shared" si="38"/>
        <v/>
      </c>
      <c r="K491" s="29" t="str">
        <f t="shared" si="39"/>
        <v/>
      </c>
    </row>
    <row r="492" spans="1:11" ht="15" x14ac:dyDescent="0.25">
      <c r="A492" s="1" t="str">
        <f>IF('1.1 Produksi Bersih Padi 2025'!A492="","",'1.1 Produksi Bersih Padi 2025'!A492)</f>
        <v/>
      </c>
      <c r="B492" s="31" t="str">
        <f>IF('1.1 Produksi Bersih Padi 2025'!B492="","",'1.1 Produksi Bersih Padi 2025'!B492)</f>
        <v/>
      </c>
      <c r="C492" s="31" t="str">
        <f>IF('1.1 Produksi Bersih Padi 2025'!C492="","",'1.1 Produksi Bersih Padi 2025'!C492)</f>
        <v/>
      </c>
      <c r="D492" s="1" t="str">
        <f>IF('1.1 Produksi Bersih Padi 2025'!D492="","",'1.1 Produksi Bersih Padi 2025'!D492)</f>
        <v/>
      </c>
      <c r="E492" s="1" t="str">
        <f>IF('1.1 Produksi Bersih Padi 2025'!E492="","",'1.1 Produksi Bersih Padi 2025'!E492)</f>
        <v/>
      </c>
      <c r="F492" s="28" t="str">
        <f>IF(D492="","",VLOOKUP(D492,'[1]0.1 Produksi Pangan &amp; Penduduk'!$D$5:$AK$860,34,0))</f>
        <v/>
      </c>
      <c r="G492" s="29" t="str">
        <f t="shared" si="35"/>
        <v/>
      </c>
      <c r="H492" s="29" t="str">
        <f t="shared" si="36"/>
        <v/>
      </c>
      <c r="I492" s="29" t="str">
        <f t="shared" si="37"/>
        <v/>
      </c>
      <c r="J492" s="29" t="str">
        <f t="shared" si="38"/>
        <v/>
      </c>
      <c r="K492" s="29" t="str">
        <f t="shared" si="39"/>
        <v/>
      </c>
    </row>
    <row r="493" spans="1:11" ht="15" x14ac:dyDescent="0.25">
      <c r="A493" s="1" t="str">
        <f>IF('1.1 Produksi Bersih Padi 2025'!A493="","",'1.1 Produksi Bersih Padi 2025'!A493)</f>
        <v/>
      </c>
      <c r="B493" s="31" t="str">
        <f>IF('1.1 Produksi Bersih Padi 2025'!B493="","",'1.1 Produksi Bersih Padi 2025'!B493)</f>
        <v/>
      </c>
      <c r="C493" s="31" t="str">
        <f>IF('1.1 Produksi Bersih Padi 2025'!C493="","",'1.1 Produksi Bersih Padi 2025'!C493)</f>
        <v/>
      </c>
      <c r="D493" s="1" t="str">
        <f>IF('1.1 Produksi Bersih Padi 2025'!D493="","",'1.1 Produksi Bersih Padi 2025'!D493)</f>
        <v/>
      </c>
      <c r="E493" s="1" t="str">
        <f>IF('1.1 Produksi Bersih Padi 2025'!E493="","",'1.1 Produksi Bersih Padi 2025'!E493)</f>
        <v/>
      </c>
      <c r="F493" s="28" t="str">
        <f>IF(D493="","",VLOOKUP(D493,'[1]0.1 Produksi Pangan &amp; Penduduk'!$D$5:$AK$860,34,0))</f>
        <v/>
      </c>
      <c r="G493" s="29" t="str">
        <f t="shared" si="35"/>
        <v/>
      </c>
      <c r="H493" s="29" t="str">
        <f t="shared" si="36"/>
        <v/>
      </c>
      <c r="I493" s="29" t="str">
        <f t="shared" si="37"/>
        <v/>
      </c>
      <c r="J493" s="29" t="str">
        <f t="shared" si="38"/>
        <v/>
      </c>
      <c r="K493" s="29" t="str">
        <f t="shared" si="39"/>
        <v/>
      </c>
    </row>
    <row r="494" spans="1:11" ht="15" x14ac:dyDescent="0.25">
      <c r="A494" s="1" t="str">
        <f>IF('1.1 Produksi Bersih Padi 2025'!A494="","",'1.1 Produksi Bersih Padi 2025'!A494)</f>
        <v/>
      </c>
      <c r="B494" s="31" t="str">
        <f>IF('1.1 Produksi Bersih Padi 2025'!B494="","",'1.1 Produksi Bersih Padi 2025'!B494)</f>
        <v/>
      </c>
      <c r="C494" s="31" t="str">
        <f>IF('1.1 Produksi Bersih Padi 2025'!C494="","",'1.1 Produksi Bersih Padi 2025'!C494)</f>
        <v/>
      </c>
      <c r="D494" s="1" t="str">
        <f>IF('1.1 Produksi Bersih Padi 2025'!D494="","",'1.1 Produksi Bersih Padi 2025'!D494)</f>
        <v/>
      </c>
      <c r="E494" s="1" t="str">
        <f>IF('1.1 Produksi Bersih Padi 2025'!E494="","",'1.1 Produksi Bersih Padi 2025'!E494)</f>
        <v/>
      </c>
      <c r="F494" s="28" t="str">
        <f>IF(D494="","",VLOOKUP(D494,'[1]0.1 Produksi Pangan &amp; Penduduk'!$D$5:$AK$860,34,0))</f>
        <v/>
      </c>
      <c r="G494" s="29" t="str">
        <f t="shared" si="35"/>
        <v/>
      </c>
      <c r="H494" s="29" t="str">
        <f t="shared" si="36"/>
        <v/>
      </c>
      <c r="I494" s="29" t="str">
        <f t="shared" si="37"/>
        <v/>
      </c>
      <c r="J494" s="29" t="str">
        <f t="shared" si="38"/>
        <v/>
      </c>
      <c r="K494" s="29" t="str">
        <f t="shared" si="39"/>
        <v/>
      </c>
    </row>
    <row r="495" spans="1:11" ht="15" x14ac:dyDescent="0.25">
      <c r="A495" s="1" t="str">
        <f>IF('1.1 Produksi Bersih Padi 2025'!A495="","",'1.1 Produksi Bersih Padi 2025'!A495)</f>
        <v/>
      </c>
      <c r="B495" s="31" t="str">
        <f>IF('1.1 Produksi Bersih Padi 2025'!B495="","",'1.1 Produksi Bersih Padi 2025'!B495)</f>
        <v/>
      </c>
      <c r="C495" s="31" t="str">
        <f>IF('1.1 Produksi Bersih Padi 2025'!C495="","",'1.1 Produksi Bersih Padi 2025'!C495)</f>
        <v/>
      </c>
      <c r="D495" s="1" t="str">
        <f>IF('1.1 Produksi Bersih Padi 2025'!D495="","",'1.1 Produksi Bersih Padi 2025'!D495)</f>
        <v/>
      </c>
      <c r="E495" s="1" t="str">
        <f>IF('1.1 Produksi Bersih Padi 2025'!E495="","",'1.1 Produksi Bersih Padi 2025'!E495)</f>
        <v/>
      </c>
      <c r="F495" s="28" t="str">
        <f>IF(D495="","",VLOOKUP(D495,'[1]0.1 Produksi Pangan &amp; Penduduk'!$D$5:$AK$860,34,0))</f>
        <v/>
      </c>
      <c r="G495" s="29" t="str">
        <f t="shared" si="35"/>
        <v/>
      </c>
      <c r="H495" s="29" t="str">
        <f t="shared" si="36"/>
        <v/>
      </c>
      <c r="I495" s="29" t="str">
        <f t="shared" si="37"/>
        <v/>
      </c>
      <c r="J495" s="29" t="str">
        <f t="shared" si="38"/>
        <v/>
      </c>
      <c r="K495" s="29" t="str">
        <f t="shared" si="39"/>
        <v/>
      </c>
    </row>
    <row r="496" spans="1:11" ht="15" x14ac:dyDescent="0.25">
      <c r="A496" s="1" t="str">
        <f>IF('1.1 Produksi Bersih Padi 2025'!A496="","",'1.1 Produksi Bersih Padi 2025'!A496)</f>
        <v/>
      </c>
      <c r="B496" s="31" t="str">
        <f>IF('1.1 Produksi Bersih Padi 2025'!B496="","",'1.1 Produksi Bersih Padi 2025'!B496)</f>
        <v/>
      </c>
      <c r="C496" s="31" t="str">
        <f>IF('1.1 Produksi Bersih Padi 2025'!C496="","",'1.1 Produksi Bersih Padi 2025'!C496)</f>
        <v/>
      </c>
      <c r="D496" s="1" t="str">
        <f>IF('1.1 Produksi Bersih Padi 2025'!D496="","",'1.1 Produksi Bersih Padi 2025'!D496)</f>
        <v/>
      </c>
      <c r="E496" s="1" t="str">
        <f>IF('1.1 Produksi Bersih Padi 2025'!E496="","",'1.1 Produksi Bersih Padi 2025'!E496)</f>
        <v/>
      </c>
      <c r="F496" s="28" t="str">
        <f>IF(D496="","",VLOOKUP(D496,'[1]0.1 Produksi Pangan &amp; Penduduk'!$D$5:$AK$860,34,0))</f>
        <v/>
      </c>
      <c r="G496" s="29" t="str">
        <f t="shared" si="35"/>
        <v/>
      </c>
      <c r="H496" s="29" t="str">
        <f t="shared" si="36"/>
        <v/>
      </c>
      <c r="I496" s="29" t="str">
        <f t="shared" si="37"/>
        <v/>
      </c>
      <c r="J496" s="29" t="str">
        <f t="shared" si="38"/>
        <v/>
      </c>
      <c r="K496" s="29" t="str">
        <f t="shared" si="39"/>
        <v/>
      </c>
    </row>
    <row r="497" spans="1:11" ht="15" x14ac:dyDescent="0.25">
      <c r="A497" s="1" t="str">
        <f>IF('1.1 Produksi Bersih Padi 2025'!A497="","",'1.1 Produksi Bersih Padi 2025'!A497)</f>
        <v/>
      </c>
      <c r="B497" s="31" t="str">
        <f>IF('1.1 Produksi Bersih Padi 2025'!B497="","",'1.1 Produksi Bersih Padi 2025'!B497)</f>
        <v/>
      </c>
      <c r="C497" s="31" t="str">
        <f>IF('1.1 Produksi Bersih Padi 2025'!C497="","",'1.1 Produksi Bersih Padi 2025'!C497)</f>
        <v/>
      </c>
      <c r="D497" s="1" t="str">
        <f>IF('1.1 Produksi Bersih Padi 2025'!D497="","",'1.1 Produksi Bersih Padi 2025'!D497)</f>
        <v/>
      </c>
      <c r="E497" s="1" t="str">
        <f>IF('1.1 Produksi Bersih Padi 2025'!E497="","",'1.1 Produksi Bersih Padi 2025'!E497)</f>
        <v/>
      </c>
      <c r="F497" s="28" t="str">
        <f>IF(D497="","",VLOOKUP(D497,'[1]0.1 Produksi Pangan &amp; Penduduk'!$D$5:$AK$860,34,0))</f>
        <v/>
      </c>
      <c r="G497" s="29" t="str">
        <f t="shared" si="35"/>
        <v/>
      </c>
      <c r="H497" s="29" t="str">
        <f t="shared" si="36"/>
        <v/>
      </c>
      <c r="I497" s="29" t="str">
        <f t="shared" si="37"/>
        <v/>
      </c>
      <c r="J497" s="29" t="str">
        <f t="shared" si="38"/>
        <v/>
      </c>
      <c r="K497" s="29" t="str">
        <f t="shared" si="39"/>
        <v/>
      </c>
    </row>
    <row r="498" spans="1:11" ht="15" x14ac:dyDescent="0.25">
      <c r="A498" s="1" t="str">
        <f>IF('1.1 Produksi Bersih Padi 2025'!A498="","",'1.1 Produksi Bersih Padi 2025'!A498)</f>
        <v/>
      </c>
      <c r="B498" s="31" t="str">
        <f>IF('1.1 Produksi Bersih Padi 2025'!B498="","",'1.1 Produksi Bersih Padi 2025'!B498)</f>
        <v/>
      </c>
      <c r="C498" s="31" t="str">
        <f>IF('1.1 Produksi Bersih Padi 2025'!C498="","",'1.1 Produksi Bersih Padi 2025'!C498)</f>
        <v/>
      </c>
      <c r="D498" s="1" t="str">
        <f>IF('1.1 Produksi Bersih Padi 2025'!D498="","",'1.1 Produksi Bersih Padi 2025'!D498)</f>
        <v/>
      </c>
      <c r="E498" s="1" t="str">
        <f>IF('1.1 Produksi Bersih Padi 2025'!E498="","",'1.1 Produksi Bersih Padi 2025'!E498)</f>
        <v/>
      </c>
      <c r="F498" s="28" t="str">
        <f>IF(D498="","",VLOOKUP(D498,'[1]0.1 Produksi Pangan &amp; Penduduk'!$D$5:$AK$860,34,0))</f>
        <v/>
      </c>
      <c r="G498" s="29" t="str">
        <f t="shared" si="35"/>
        <v/>
      </c>
      <c r="H498" s="29" t="str">
        <f t="shared" si="36"/>
        <v/>
      </c>
      <c r="I498" s="29" t="str">
        <f t="shared" si="37"/>
        <v/>
      </c>
      <c r="J498" s="29" t="str">
        <f t="shared" si="38"/>
        <v/>
      </c>
      <c r="K498" s="29" t="str">
        <f t="shared" si="39"/>
        <v/>
      </c>
    </row>
    <row r="499" spans="1:11" ht="15" x14ac:dyDescent="0.25">
      <c r="A499" s="1" t="str">
        <f>IF('1.1 Produksi Bersih Padi 2025'!A499="","",'1.1 Produksi Bersih Padi 2025'!A499)</f>
        <v/>
      </c>
      <c r="B499" s="31" t="str">
        <f>IF('1.1 Produksi Bersih Padi 2025'!B499="","",'1.1 Produksi Bersih Padi 2025'!B499)</f>
        <v/>
      </c>
      <c r="C499" s="31" t="str">
        <f>IF('1.1 Produksi Bersih Padi 2025'!C499="","",'1.1 Produksi Bersih Padi 2025'!C499)</f>
        <v/>
      </c>
      <c r="D499" s="1" t="str">
        <f>IF('1.1 Produksi Bersih Padi 2025'!D499="","",'1.1 Produksi Bersih Padi 2025'!D499)</f>
        <v/>
      </c>
      <c r="E499" s="1" t="str">
        <f>IF('1.1 Produksi Bersih Padi 2025'!E499="","",'1.1 Produksi Bersih Padi 2025'!E499)</f>
        <v/>
      </c>
      <c r="F499" s="28" t="str">
        <f>IF(D499="","",VLOOKUP(D499,'[1]0.1 Produksi Pangan &amp; Penduduk'!$D$5:$AK$860,34,0))</f>
        <v/>
      </c>
      <c r="G499" s="29" t="str">
        <f t="shared" si="35"/>
        <v/>
      </c>
      <c r="H499" s="29" t="str">
        <f t="shared" si="36"/>
        <v/>
      </c>
      <c r="I499" s="29" t="str">
        <f t="shared" si="37"/>
        <v/>
      </c>
      <c r="J499" s="29" t="str">
        <f t="shared" si="38"/>
        <v/>
      </c>
      <c r="K499" s="29" t="str">
        <f t="shared" si="39"/>
        <v/>
      </c>
    </row>
    <row r="500" spans="1:11" ht="15" x14ac:dyDescent="0.25">
      <c r="A500" s="1" t="str">
        <f>IF('1.1 Produksi Bersih Padi 2025'!A500="","",'1.1 Produksi Bersih Padi 2025'!A500)</f>
        <v/>
      </c>
      <c r="B500" s="31" t="str">
        <f>IF('1.1 Produksi Bersih Padi 2025'!B500="","",'1.1 Produksi Bersih Padi 2025'!B500)</f>
        <v/>
      </c>
      <c r="C500" s="31" t="str">
        <f>IF('1.1 Produksi Bersih Padi 2025'!C500="","",'1.1 Produksi Bersih Padi 2025'!C500)</f>
        <v/>
      </c>
      <c r="D500" s="1" t="str">
        <f>IF('1.1 Produksi Bersih Padi 2025'!D500="","",'1.1 Produksi Bersih Padi 2025'!D500)</f>
        <v/>
      </c>
      <c r="E500" s="1" t="str">
        <f>IF('1.1 Produksi Bersih Padi 2025'!E500="","",'1.1 Produksi Bersih Padi 2025'!E500)</f>
        <v/>
      </c>
      <c r="F500" s="28" t="str">
        <f>IF(D500="","",VLOOKUP(D500,'[1]0.1 Produksi Pangan &amp; Penduduk'!$D$5:$AK$860,34,0))</f>
        <v/>
      </c>
      <c r="G500" s="29" t="str">
        <f t="shared" si="35"/>
        <v/>
      </c>
      <c r="H500" s="29" t="str">
        <f t="shared" si="36"/>
        <v/>
      </c>
      <c r="I500" s="29" t="str">
        <f t="shared" si="37"/>
        <v/>
      </c>
      <c r="J500" s="29" t="str">
        <f t="shared" si="38"/>
        <v/>
      </c>
      <c r="K500" s="29" t="str">
        <f t="shared" si="39"/>
        <v/>
      </c>
    </row>
    <row r="501" spans="1:11" ht="15" x14ac:dyDescent="0.25">
      <c r="A501" s="1" t="str">
        <f>IF('1.1 Produksi Bersih Padi 2025'!A501="","",'1.1 Produksi Bersih Padi 2025'!A501)</f>
        <v/>
      </c>
      <c r="B501" s="31" t="str">
        <f>IF('1.1 Produksi Bersih Padi 2025'!B501="","",'1.1 Produksi Bersih Padi 2025'!B501)</f>
        <v/>
      </c>
      <c r="C501" s="31" t="str">
        <f>IF('1.1 Produksi Bersih Padi 2025'!C501="","",'1.1 Produksi Bersih Padi 2025'!C501)</f>
        <v/>
      </c>
      <c r="D501" s="1" t="str">
        <f>IF('1.1 Produksi Bersih Padi 2025'!D501="","",'1.1 Produksi Bersih Padi 2025'!D501)</f>
        <v/>
      </c>
      <c r="E501" s="1" t="str">
        <f>IF('1.1 Produksi Bersih Padi 2025'!E501="","",'1.1 Produksi Bersih Padi 2025'!E501)</f>
        <v/>
      </c>
      <c r="F501" s="28" t="str">
        <f>IF(D501="","",VLOOKUP(D501,'[1]0.1 Produksi Pangan &amp; Penduduk'!$D$5:$AK$860,34,0))</f>
        <v/>
      </c>
      <c r="G501" s="29" t="str">
        <f t="shared" si="35"/>
        <v/>
      </c>
      <c r="H501" s="29" t="str">
        <f t="shared" si="36"/>
        <v/>
      </c>
      <c r="I501" s="29" t="str">
        <f t="shared" si="37"/>
        <v/>
      </c>
      <c r="J501" s="29" t="str">
        <f t="shared" si="38"/>
        <v/>
      </c>
      <c r="K501" s="29" t="str">
        <f t="shared" si="39"/>
        <v/>
      </c>
    </row>
    <row r="502" spans="1:11" ht="15" x14ac:dyDescent="0.25">
      <c r="A502" s="1" t="str">
        <f>IF('1.1 Produksi Bersih Padi 2025'!A502="","",'1.1 Produksi Bersih Padi 2025'!A502)</f>
        <v/>
      </c>
      <c r="B502" s="31" t="str">
        <f>IF('1.1 Produksi Bersih Padi 2025'!B502="","",'1.1 Produksi Bersih Padi 2025'!B502)</f>
        <v/>
      </c>
      <c r="C502" s="31" t="str">
        <f>IF('1.1 Produksi Bersih Padi 2025'!C502="","",'1.1 Produksi Bersih Padi 2025'!C502)</f>
        <v/>
      </c>
      <c r="D502" s="1" t="str">
        <f>IF('1.1 Produksi Bersih Padi 2025'!D502="","",'1.1 Produksi Bersih Padi 2025'!D502)</f>
        <v/>
      </c>
      <c r="E502" s="1" t="str">
        <f>IF('1.1 Produksi Bersih Padi 2025'!E502="","",'1.1 Produksi Bersih Padi 2025'!E502)</f>
        <v/>
      </c>
      <c r="F502" s="28" t="str">
        <f>IF(D502="","",VLOOKUP(D502,'[1]0.1 Produksi Pangan &amp; Penduduk'!$D$5:$AK$860,34,0))</f>
        <v/>
      </c>
      <c r="G502" s="29" t="str">
        <f t="shared" si="35"/>
        <v/>
      </c>
      <c r="H502" s="29" t="str">
        <f t="shared" si="36"/>
        <v/>
      </c>
      <c r="I502" s="29" t="str">
        <f t="shared" si="37"/>
        <v/>
      </c>
      <c r="J502" s="29" t="str">
        <f t="shared" si="38"/>
        <v/>
      </c>
      <c r="K502" s="29" t="str">
        <f t="shared" si="39"/>
        <v/>
      </c>
    </row>
    <row r="503" spans="1:11" ht="15" x14ac:dyDescent="0.25">
      <c r="A503" s="1" t="str">
        <f>IF('1.1 Produksi Bersih Padi 2025'!A503="","",'1.1 Produksi Bersih Padi 2025'!A503)</f>
        <v/>
      </c>
      <c r="B503" s="31" t="str">
        <f>IF('1.1 Produksi Bersih Padi 2025'!B503="","",'1.1 Produksi Bersih Padi 2025'!B503)</f>
        <v/>
      </c>
      <c r="C503" s="31" t="str">
        <f>IF('1.1 Produksi Bersih Padi 2025'!C503="","",'1.1 Produksi Bersih Padi 2025'!C503)</f>
        <v/>
      </c>
      <c r="D503" s="1" t="str">
        <f>IF('1.1 Produksi Bersih Padi 2025'!D503="","",'1.1 Produksi Bersih Padi 2025'!D503)</f>
        <v/>
      </c>
      <c r="E503" s="1" t="str">
        <f>IF('1.1 Produksi Bersih Padi 2025'!E503="","",'1.1 Produksi Bersih Padi 2025'!E503)</f>
        <v/>
      </c>
      <c r="F503" s="28" t="str">
        <f>IF(D503="","",VLOOKUP(D503,'[1]0.1 Produksi Pangan &amp; Penduduk'!$D$5:$AK$860,34,0))</f>
        <v/>
      </c>
      <c r="G503" s="29" t="str">
        <f t="shared" si="35"/>
        <v/>
      </c>
      <c r="H503" s="29" t="str">
        <f t="shared" si="36"/>
        <v/>
      </c>
      <c r="I503" s="29" t="str">
        <f t="shared" si="37"/>
        <v/>
      </c>
      <c r="J503" s="29" t="str">
        <f t="shared" si="38"/>
        <v/>
      </c>
      <c r="K503" s="29" t="str">
        <f t="shared" si="39"/>
        <v/>
      </c>
    </row>
    <row r="504" spans="1:11" ht="15" x14ac:dyDescent="0.25">
      <c r="A504" s="1" t="str">
        <f>IF('1.1 Produksi Bersih Padi 2025'!A504="","",'1.1 Produksi Bersih Padi 2025'!A504)</f>
        <v/>
      </c>
      <c r="B504" s="31" t="str">
        <f>IF('1.1 Produksi Bersih Padi 2025'!B504="","",'1.1 Produksi Bersih Padi 2025'!B504)</f>
        <v/>
      </c>
      <c r="C504" s="31" t="str">
        <f>IF('1.1 Produksi Bersih Padi 2025'!C504="","",'1.1 Produksi Bersih Padi 2025'!C504)</f>
        <v/>
      </c>
      <c r="D504" s="1" t="str">
        <f>IF('1.1 Produksi Bersih Padi 2025'!D504="","",'1.1 Produksi Bersih Padi 2025'!D504)</f>
        <v/>
      </c>
      <c r="E504" s="1" t="str">
        <f>IF('1.1 Produksi Bersih Padi 2025'!E504="","",'1.1 Produksi Bersih Padi 2025'!E504)</f>
        <v/>
      </c>
      <c r="F504" s="28" t="str">
        <f>IF(D504="","",VLOOKUP(D504,'[1]0.1 Produksi Pangan &amp; Penduduk'!$D$5:$AK$860,34,0))</f>
        <v/>
      </c>
      <c r="G504" s="29" t="str">
        <f t="shared" si="35"/>
        <v/>
      </c>
      <c r="H504" s="29" t="str">
        <f t="shared" si="36"/>
        <v/>
      </c>
      <c r="I504" s="29" t="str">
        <f t="shared" si="37"/>
        <v/>
      </c>
      <c r="J504" s="29" t="str">
        <f t="shared" si="38"/>
        <v/>
      </c>
      <c r="K504" s="29" t="str">
        <f t="shared" si="39"/>
        <v/>
      </c>
    </row>
    <row r="505" spans="1:11" ht="15" x14ac:dyDescent="0.25">
      <c r="A505" s="1" t="str">
        <f>IF('1.1 Produksi Bersih Padi 2025'!A505="","",'1.1 Produksi Bersih Padi 2025'!A505)</f>
        <v/>
      </c>
      <c r="B505" s="31" t="str">
        <f>IF('1.1 Produksi Bersih Padi 2025'!B505="","",'1.1 Produksi Bersih Padi 2025'!B505)</f>
        <v/>
      </c>
      <c r="C505" s="31" t="str">
        <f>IF('1.1 Produksi Bersih Padi 2025'!C505="","",'1.1 Produksi Bersih Padi 2025'!C505)</f>
        <v/>
      </c>
      <c r="D505" s="1" t="str">
        <f>IF('1.1 Produksi Bersih Padi 2025'!D505="","",'1.1 Produksi Bersih Padi 2025'!D505)</f>
        <v/>
      </c>
      <c r="E505" s="1" t="str">
        <f>IF('1.1 Produksi Bersih Padi 2025'!E505="","",'1.1 Produksi Bersih Padi 2025'!E505)</f>
        <v/>
      </c>
      <c r="F505" s="28" t="str">
        <f>IF(D505="","",VLOOKUP(D505,'[1]0.1 Produksi Pangan &amp; Penduduk'!$D$5:$AK$860,34,0))</f>
        <v/>
      </c>
      <c r="G505" s="29" t="str">
        <f t="shared" si="35"/>
        <v/>
      </c>
      <c r="H505" s="29" t="str">
        <f t="shared" si="36"/>
        <v/>
      </c>
      <c r="I505" s="29" t="str">
        <f t="shared" si="37"/>
        <v/>
      </c>
      <c r="J505" s="29" t="str">
        <f t="shared" si="38"/>
        <v/>
      </c>
      <c r="K505" s="29" t="str">
        <f t="shared" si="39"/>
        <v/>
      </c>
    </row>
    <row r="506" spans="1:11" ht="15" x14ac:dyDescent="0.25">
      <c r="A506" s="1" t="str">
        <f>IF('1.1 Produksi Bersih Padi 2025'!A506="","",'1.1 Produksi Bersih Padi 2025'!A506)</f>
        <v/>
      </c>
      <c r="B506" s="31" t="str">
        <f>IF('1.1 Produksi Bersih Padi 2025'!B506="","",'1.1 Produksi Bersih Padi 2025'!B506)</f>
        <v/>
      </c>
      <c r="C506" s="31" t="str">
        <f>IF('1.1 Produksi Bersih Padi 2025'!C506="","",'1.1 Produksi Bersih Padi 2025'!C506)</f>
        <v/>
      </c>
      <c r="D506" s="1" t="str">
        <f>IF('1.1 Produksi Bersih Padi 2025'!D506="","",'1.1 Produksi Bersih Padi 2025'!D506)</f>
        <v/>
      </c>
      <c r="E506" s="1" t="str">
        <f>IF('1.1 Produksi Bersih Padi 2025'!E506="","",'1.1 Produksi Bersih Padi 2025'!E506)</f>
        <v/>
      </c>
      <c r="F506" s="28" t="str">
        <f>IF(D506="","",VLOOKUP(D506,'[1]0.1 Produksi Pangan &amp; Penduduk'!$D$5:$AK$860,34,0))</f>
        <v/>
      </c>
      <c r="G506" s="29" t="str">
        <f t="shared" si="35"/>
        <v/>
      </c>
      <c r="H506" s="29" t="str">
        <f t="shared" si="36"/>
        <v/>
      </c>
      <c r="I506" s="29" t="str">
        <f t="shared" si="37"/>
        <v/>
      </c>
      <c r="J506" s="29" t="str">
        <f t="shared" si="38"/>
        <v/>
      </c>
      <c r="K506" s="29" t="str">
        <f t="shared" si="39"/>
        <v/>
      </c>
    </row>
    <row r="507" spans="1:11" ht="15" x14ac:dyDescent="0.25">
      <c r="A507" s="1" t="str">
        <f>IF('1.1 Produksi Bersih Padi 2025'!A507="","",'1.1 Produksi Bersih Padi 2025'!A507)</f>
        <v/>
      </c>
      <c r="B507" s="31" t="str">
        <f>IF('1.1 Produksi Bersih Padi 2025'!B507="","",'1.1 Produksi Bersih Padi 2025'!B507)</f>
        <v/>
      </c>
      <c r="C507" s="31" t="str">
        <f>IF('1.1 Produksi Bersih Padi 2025'!C507="","",'1.1 Produksi Bersih Padi 2025'!C507)</f>
        <v/>
      </c>
      <c r="D507" s="1" t="str">
        <f>IF('1.1 Produksi Bersih Padi 2025'!D507="","",'1.1 Produksi Bersih Padi 2025'!D507)</f>
        <v/>
      </c>
      <c r="E507" s="1" t="str">
        <f>IF('1.1 Produksi Bersih Padi 2025'!E507="","",'1.1 Produksi Bersih Padi 2025'!E507)</f>
        <v/>
      </c>
      <c r="F507" s="28" t="str">
        <f>IF(D507="","",VLOOKUP(D507,'[1]0.1 Produksi Pangan &amp; Penduduk'!$D$5:$AK$860,34,0))</f>
        <v/>
      </c>
      <c r="G507" s="29" t="str">
        <f t="shared" si="35"/>
        <v/>
      </c>
      <c r="H507" s="29" t="str">
        <f t="shared" si="36"/>
        <v/>
      </c>
      <c r="I507" s="29" t="str">
        <f t="shared" si="37"/>
        <v/>
      </c>
      <c r="J507" s="29" t="str">
        <f t="shared" si="38"/>
        <v/>
      </c>
      <c r="K507" s="29" t="str">
        <f t="shared" si="39"/>
        <v/>
      </c>
    </row>
    <row r="508" spans="1:11" ht="15" x14ac:dyDescent="0.25">
      <c r="A508" s="1" t="str">
        <f>IF('1.1 Produksi Bersih Padi 2025'!A508="","",'1.1 Produksi Bersih Padi 2025'!A508)</f>
        <v/>
      </c>
      <c r="B508" s="31" t="str">
        <f>IF('1.1 Produksi Bersih Padi 2025'!B508="","",'1.1 Produksi Bersih Padi 2025'!B508)</f>
        <v/>
      </c>
      <c r="C508" s="31" t="str">
        <f>IF('1.1 Produksi Bersih Padi 2025'!C508="","",'1.1 Produksi Bersih Padi 2025'!C508)</f>
        <v/>
      </c>
      <c r="D508" s="1" t="str">
        <f>IF('1.1 Produksi Bersih Padi 2025'!D508="","",'1.1 Produksi Bersih Padi 2025'!D508)</f>
        <v/>
      </c>
      <c r="E508" s="1" t="str">
        <f>IF('1.1 Produksi Bersih Padi 2025'!E508="","",'1.1 Produksi Bersih Padi 2025'!E508)</f>
        <v/>
      </c>
      <c r="F508" s="28" t="str">
        <f>IF(D508="","",VLOOKUP(D508,'[1]0.1 Produksi Pangan &amp; Penduduk'!$D$5:$AK$860,34,0))</f>
        <v/>
      </c>
      <c r="G508" s="29" t="str">
        <f t="shared" si="35"/>
        <v/>
      </c>
      <c r="H508" s="29" t="str">
        <f t="shared" si="36"/>
        <v/>
      </c>
      <c r="I508" s="29" t="str">
        <f t="shared" si="37"/>
        <v/>
      </c>
      <c r="J508" s="29" t="str">
        <f t="shared" si="38"/>
        <v/>
      </c>
      <c r="K508" s="29" t="str">
        <f t="shared" si="39"/>
        <v/>
      </c>
    </row>
    <row r="509" spans="1:11" ht="15" x14ac:dyDescent="0.25">
      <c r="A509" s="1" t="str">
        <f>IF('1.1 Produksi Bersih Padi 2025'!A509="","",'1.1 Produksi Bersih Padi 2025'!A509)</f>
        <v/>
      </c>
      <c r="B509" s="31" t="str">
        <f>IF('1.1 Produksi Bersih Padi 2025'!B509="","",'1.1 Produksi Bersih Padi 2025'!B509)</f>
        <v/>
      </c>
      <c r="C509" s="31" t="str">
        <f>IF('1.1 Produksi Bersih Padi 2025'!C509="","",'1.1 Produksi Bersih Padi 2025'!C509)</f>
        <v/>
      </c>
      <c r="D509" s="1" t="str">
        <f>IF('1.1 Produksi Bersih Padi 2025'!D509="","",'1.1 Produksi Bersih Padi 2025'!D509)</f>
        <v/>
      </c>
      <c r="E509" s="1" t="str">
        <f>IF('1.1 Produksi Bersih Padi 2025'!E509="","",'1.1 Produksi Bersih Padi 2025'!E509)</f>
        <v/>
      </c>
      <c r="F509" s="28" t="str">
        <f>IF(D509="","",VLOOKUP(D509,'[1]0.1 Produksi Pangan &amp; Penduduk'!$D$5:$AK$860,34,0))</f>
        <v/>
      </c>
      <c r="G509" s="29" t="str">
        <f t="shared" si="35"/>
        <v/>
      </c>
      <c r="H509" s="29" t="str">
        <f t="shared" si="36"/>
        <v/>
      </c>
      <c r="I509" s="29" t="str">
        <f t="shared" si="37"/>
        <v/>
      </c>
      <c r="J509" s="29" t="str">
        <f t="shared" si="38"/>
        <v/>
      </c>
      <c r="K509" s="29" t="str">
        <f t="shared" si="39"/>
        <v/>
      </c>
    </row>
    <row r="510" spans="1:11" ht="15" x14ac:dyDescent="0.25">
      <c r="A510" s="1" t="str">
        <f>IF('1.1 Produksi Bersih Padi 2025'!A510="","",'1.1 Produksi Bersih Padi 2025'!A510)</f>
        <v/>
      </c>
      <c r="B510" s="31" t="str">
        <f>IF('1.1 Produksi Bersih Padi 2025'!B510="","",'1.1 Produksi Bersih Padi 2025'!B510)</f>
        <v/>
      </c>
      <c r="C510" s="31" t="str">
        <f>IF('1.1 Produksi Bersih Padi 2025'!C510="","",'1.1 Produksi Bersih Padi 2025'!C510)</f>
        <v/>
      </c>
      <c r="D510" s="1" t="str">
        <f>IF('1.1 Produksi Bersih Padi 2025'!D510="","",'1.1 Produksi Bersih Padi 2025'!D510)</f>
        <v/>
      </c>
      <c r="E510" s="1" t="str">
        <f>IF('1.1 Produksi Bersih Padi 2025'!E510="","",'1.1 Produksi Bersih Padi 2025'!E510)</f>
        <v/>
      </c>
      <c r="F510" s="28" t="str">
        <f>IF(D510="","",VLOOKUP(D510,'[1]0.1 Produksi Pangan &amp; Penduduk'!$D$5:$AK$860,34,0))</f>
        <v/>
      </c>
      <c r="G510" s="29" t="str">
        <f t="shared" si="35"/>
        <v/>
      </c>
      <c r="H510" s="29" t="str">
        <f t="shared" si="36"/>
        <v/>
      </c>
      <c r="I510" s="29" t="str">
        <f t="shared" si="37"/>
        <v/>
      </c>
      <c r="J510" s="29" t="str">
        <f t="shared" si="38"/>
        <v/>
      </c>
      <c r="K510" s="29" t="str">
        <f t="shared" si="39"/>
        <v/>
      </c>
    </row>
    <row r="511" spans="1:11" ht="15" x14ac:dyDescent="0.25">
      <c r="A511" s="1" t="str">
        <f>IF('1.1 Produksi Bersih Padi 2025'!A511="","",'1.1 Produksi Bersih Padi 2025'!A511)</f>
        <v/>
      </c>
      <c r="B511" s="31" t="str">
        <f>IF('1.1 Produksi Bersih Padi 2025'!B511="","",'1.1 Produksi Bersih Padi 2025'!B511)</f>
        <v/>
      </c>
      <c r="C511" s="31" t="str">
        <f>IF('1.1 Produksi Bersih Padi 2025'!C511="","",'1.1 Produksi Bersih Padi 2025'!C511)</f>
        <v/>
      </c>
      <c r="D511" s="1" t="str">
        <f>IF('1.1 Produksi Bersih Padi 2025'!D511="","",'1.1 Produksi Bersih Padi 2025'!D511)</f>
        <v/>
      </c>
      <c r="E511" s="1" t="str">
        <f>IF('1.1 Produksi Bersih Padi 2025'!E511="","",'1.1 Produksi Bersih Padi 2025'!E511)</f>
        <v/>
      </c>
      <c r="F511" s="28" t="str">
        <f>IF(D511="","",VLOOKUP(D511,'[1]0.1 Produksi Pangan &amp; Penduduk'!$D$5:$AK$860,34,0))</f>
        <v/>
      </c>
      <c r="G511" s="29" t="str">
        <f t="shared" si="35"/>
        <v/>
      </c>
      <c r="H511" s="29" t="str">
        <f t="shared" si="36"/>
        <v/>
      </c>
      <c r="I511" s="29" t="str">
        <f t="shared" si="37"/>
        <v/>
      </c>
      <c r="J511" s="29" t="str">
        <f t="shared" si="38"/>
        <v/>
      </c>
      <c r="K511" s="29" t="str">
        <f t="shared" si="39"/>
        <v/>
      </c>
    </row>
    <row r="512" spans="1:11" ht="15" x14ac:dyDescent="0.25">
      <c r="A512" s="1" t="str">
        <f>IF('1.1 Produksi Bersih Padi 2025'!A512="","",'1.1 Produksi Bersih Padi 2025'!A512)</f>
        <v/>
      </c>
      <c r="B512" s="31" t="str">
        <f>IF('1.1 Produksi Bersih Padi 2025'!B512="","",'1.1 Produksi Bersih Padi 2025'!B512)</f>
        <v/>
      </c>
      <c r="C512" s="31" t="str">
        <f>IF('1.1 Produksi Bersih Padi 2025'!C512="","",'1.1 Produksi Bersih Padi 2025'!C512)</f>
        <v/>
      </c>
      <c r="D512" s="1" t="str">
        <f>IF('1.1 Produksi Bersih Padi 2025'!D512="","",'1.1 Produksi Bersih Padi 2025'!D512)</f>
        <v/>
      </c>
      <c r="E512" s="1" t="str">
        <f>IF('1.1 Produksi Bersih Padi 2025'!E512="","",'1.1 Produksi Bersih Padi 2025'!E512)</f>
        <v/>
      </c>
      <c r="F512" s="28" t="str">
        <f>IF(D512="","",VLOOKUP(D512,'[1]0.1 Produksi Pangan &amp; Penduduk'!$D$5:$AK$860,34,0))</f>
        <v/>
      </c>
      <c r="G512" s="29" t="str">
        <f t="shared" si="35"/>
        <v/>
      </c>
      <c r="H512" s="29" t="str">
        <f t="shared" si="36"/>
        <v/>
      </c>
      <c r="I512" s="29" t="str">
        <f t="shared" si="37"/>
        <v/>
      </c>
      <c r="J512" s="29" t="str">
        <f t="shared" si="38"/>
        <v/>
      </c>
      <c r="K512" s="29" t="str">
        <f t="shared" si="39"/>
        <v/>
      </c>
    </row>
    <row r="513" spans="1:11" ht="15" x14ac:dyDescent="0.25">
      <c r="A513" s="1" t="str">
        <f>IF('1.1 Produksi Bersih Padi 2025'!A513="","",'1.1 Produksi Bersih Padi 2025'!A513)</f>
        <v/>
      </c>
      <c r="B513" s="31" t="str">
        <f>IF('1.1 Produksi Bersih Padi 2025'!B513="","",'1.1 Produksi Bersih Padi 2025'!B513)</f>
        <v/>
      </c>
      <c r="C513" s="31" t="str">
        <f>IF('1.1 Produksi Bersih Padi 2025'!C513="","",'1.1 Produksi Bersih Padi 2025'!C513)</f>
        <v/>
      </c>
      <c r="D513" s="1" t="str">
        <f>IF('1.1 Produksi Bersih Padi 2025'!D513="","",'1.1 Produksi Bersih Padi 2025'!D513)</f>
        <v/>
      </c>
      <c r="E513" s="1" t="str">
        <f>IF('1.1 Produksi Bersih Padi 2025'!E513="","",'1.1 Produksi Bersih Padi 2025'!E513)</f>
        <v/>
      </c>
      <c r="F513" s="28" t="str">
        <f>IF(D513="","",VLOOKUP(D513,'[1]0.1 Produksi Pangan &amp; Penduduk'!$D$5:$AK$860,34,0))</f>
        <v/>
      </c>
      <c r="G513" s="29" t="str">
        <f t="shared" si="35"/>
        <v/>
      </c>
      <c r="H513" s="29" t="str">
        <f t="shared" si="36"/>
        <v/>
      </c>
      <c r="I513" s="29" t="str">
        <f t="shared" si="37"/>
        <v/>
      </c>
      <c r="J513" s="29" t="str">
        <f t="shared" si="38"/>
        <v/>
      </c>
      <c r="K513" s="29" t="str">
        <f t="shared" si="39"/>
        <v/>
      </c>
    </row>
    <row r="514" spans="1:11" ht="15" x14ac:dyDescent="0.25">
      <c r="A514" s="1" t="str">
        <f>IF('1.1 Produksi Bersih Padi 2025'!A514="","",'1.1 Produksi Bersih Padi 2025'!A514)</f>
        <v/>
      </c>
      <c r="B514" s="31" t="str">
        <f>IF('1.1 Produksi Bersih Padi 2025'!B514="","",'1.1 Produksi Bersih Padi 2025'!B514)</f>
        <v/>
      </c>
      <c r="C514" s="31" t="str">
        <f>IF('1.1 Produksi Bersih Padi 2025'!C514="","",'1.1 Produksi Bersih Padi 2025'!C514)</f>
        <v/>
      </c>
      <c r="D514" s="1" t="str">
        <f>IF('1.1 Produksi Bersih Padi 2025'!D514="","",'1.1 Produksi Bersih Padi 2025'!D514)</f>
        <v/>
      </c>
      <c r="E514" s="1" t="str">
        <f>IF('1.1 Produksi Bersih Padi 2025'!E514="","",'1.1 Produksi Bersih Padi 2025'!E514)</f>
        <v/>
      </c>
      <c r="F514" s="28" t="str">
        <f>IF(D514="","",VLOOKUP(D514,'[1]0.1 Produksi Pangan &amp; Penduduk'!$D$5:$AK$860,34,0))</f>
        <v/>
      </c>
      <c r="G514" s="29" t="str">
        <f t="shared" si="35"/>
        <v/>
      </c>
      <c r="H514" s="29" t="str">
        <f t="shared" si="36"/>
        <v/>
      </c>
      <c r="I514" s="29" t="str">
        <f t="shared" si="37"/>
        <v/>
      </c>
      <c r="J514" s="29" t="str">
        <f t="shared" si="38"/>
        <v/>
      </c>
      <c r="K514" s="29" t="str">
        <f t="shared" si="39"/>
        <v/>
      </c>
    </row>
    <row r="515" spans="1:11" ht="15" x14ac:dyDescent="0.25">
      <c r="A515" s="1" t="str">
        <f>IF('1.1 Produksi Bersih Padi 2025'!A515="","",'1.1 Produksi Bersih Padi 2025'!A515)</f>
        <v/>
      </c>
      <c r="B515" s="31" t="str">
        <f>IF('1.1 Produksi Bersih Padi 2025'!B515="","",'1.1 Produksi Bersih Padi 2025'!B515)</f>
        <v/>
      </c>
      <c r="C515" s="31" t="str">
        <f>IF('1.1 Produksi Bersih Padi 2025'!C515="","",'1.1 Produksi Bersih Padi 2025'!C515)</f>
        <v/>
      </c>
      <c r="D515" s="1" t="str">
        <f>IF('1.1 Produksi Bersih Padi 2025'!D515="","",'1.1 Produksi Bersih Padi 2025'!D515)</f>
        <v/>
      </c>
      <c r="E515" s="1" t="str">
        <f>IF('1.1 Produksi Bersih Padi 2025'!E515="","",'1.1 Produksi Bersih Padi 2025'!E515)</f>
        <v/>
      </c>
      <c r="F515" s="28" t="str">
        <f>IF(D515="","",VLOOKUP(D515,'[1]0.1 Produksi Pangan &amp; Penduduk'!$D$5:$AK$860,34,0))</f>
        <v/>
      </c>
      <c r="G515" s="29" t="str">
        <f t="shared" si="35"/>
        <v/>
      </c>
      <c r="H515" s="29" t="str">
        <f t="shared" si="36"/>
        <v/>
      </c>
      <c r="I515" s="29" t="str">
        <f t="shared" si="37"/>
        <v/>
      </c>
      <c r="J515" s="29" t="str">
        <f t="shared" si="38"/>
        <v/>
      </c>
      <c r="K515" s="29" t="str">
        <f t="shared" si="39"/>
        <v/>
      </c>
    </row>
    <row r="516" spans="1:11" ht="15" x14ac:dyDescent="0.25">
      <c r="A516" s="1" t="str">
        <f>IF('1.1 Produksi Bersih Padi 2025'!A516="","",'1.1 Produksi Bersih Padi 2025'!A516)</f>
        <v/>
      </c>
      <c r="B516" s="31" t="str">
        <f>IF('1.1 Produksi Bersih Padi 2025'!B516="","",'1.1 Produksi Bersih Padi 2025'!B516)</f>
        <v/>
      </c>
      <c r="C516" s="31" t="str">
        <f>IF('1.1 Produksi Bersih Padi 2025'!C516="","",'1.1 Produksi Bersih Padi 2025'!C516)</f>
        <v/>
      </c>
      <c r="D516" s="1" t="str">
        <f>IF('1.1 Produksi Bersih Padi 2025'!D516="","",'1.1 Produksi Bersih Padi 2025'!D516)</f>
        <v/>
      </c>
      <c r="E516" s="1" t="str">
        <f>IF('1.1 Produksi Bersih Padi 2025'!E516="","",'1.1 Produksi Bersih Padi 2025'!E516)</f>
        <v/>
      </c>
      <c r="F516" s="28" t="str">
        <f>IF(D516="","",VLOOKUP(D516,'[1]0.1 Produksi Pangan &amp; Penduduk'!$D$5:$AK$860,34,0))</f>
        <v/>
      </c>
      <c r="G516" s="29" t="str">
        <f t="shared" si="35"/>
        <v/>
      </c>
      <c r="H516" s="29" t="str">
        <f t="shared" si="36"/>
        <v/>
      </c>
      <c r="I516" s="29" t="str">
        <f t="shared" si="37"/>
        <v/>
      </c>
      <c r="J516" s="29" t="str">
        <f t="shared" si="38"/>
        <v/>
      </c>
      <c r="K516" s="29" t="str">
        <f t="shared" si="39"/>
        <v/>
      </c>
    </row>
    <row r="517" spans="1:11" ht="15" x14ac:dyDescent="0.25">
      <c r="A517" s="1" t="str">
        <f>IF('1.1 Produksi Bersih Padi 2025'!A517="","",'1.1 Produksi Bersih Padi 2025'!A517)</f>
        <v/>
      </c>
      <c r="B517" s="31" t="str">
        <f>IF('1.1 Produksi Bersih Padi 2025'!B517="","",'1.1 Produksi Bersih Padi 2025'!B517)</f>
        <v/>
      </c>
      <c r="C517" s="31" t="str">
        <f>IF('1.1 Produksi Bersih Padi 2025'!C517="","",'1.1 Produksi Bersih Padi 2025'!C517)</f>
        <v/>
      </c>
      <c r="D517" s="1" t="str">
        <f>IF('1.1 Produksi Bersih Padi 2025'!D517="","",'1.1 Produksi Bersih Padi 2025'!D517)</f>
        <v/>
      </c>
      <c r="E517" s="1" t="str">
        <f>IF('1.1 Produksi Bersih Padi 2025'!E517="","",'1.1 Produksi Bersih Padi 2025'!E517)</f>
        <v/>
      </c>
      <c r="F517" s="28" t="str">
        <f>IF(D517="","",VLOOKUP(D517,'[1]0.1 Produksi Pangan &amp; Penduduk'!$D$5:$AK$860,34,0))</f>
        <v/>
      </c>
      <c r="G517" s="29" t="str">
        <f t="shared" si="35"/>
        <v/>
      </c>
      <c r="H517" s="29" t="str">
        <f t="shared" si="36"/>
        <v/>
      </c>
      <c r="I517" s="29" t="str">
        <f t="shared" si="37"/>
        <v/>
      </c>
      <c r="J517" s="29" t="str">
        <f t="shared" si="38"/>
        <v/>
      </c>
      <c r="K517" s="29" t="str">
        <f t="shared" si="39"/>
        <v/>
      </c>
    </row>
    <row r="518" spans="1:11" ht="15" x14ac:dyDescent="0.25">
      <c r="A518" s="1" t="str">
        <f>IF('1.1 Produksi Bersih Padi 2025'!A518="","",'1.1 Produksi Bersih Padi 2025'!A518)</f>
        <v/>
      </c>
      <c r="B518" s="31" t="str">
        <f>IF('1.1 Produksi Bersih Padi 2025'!B518="","",'1.1 Produksi Bersih Padi 2025'!B518)</f>
        <v/>
      </c>
      <c r="C518" s="31" t="str">
        <f>IF('1.1 Produksi Bersih Padi 2025'!C518="","",'1.1 Produksi Bersih Padi 2025'!C518)</f>
        <v/>
      </c>
      <c r="D518" s="1" t="str">
        <f>IF('1.1 Produksi Bersih Padi 2025'!D518="","",'1.1 Produksi Bersih Padi 2025'!D518)</f>
        <v/>
      </c>
      <c r="E518" s="1" t="str">
        <f>IF('1.1 Produksi Bersih Padi 2025'!E518="","",'1.1 Produksi Bersih Padi 2025'!E518)</f>
        <v/>
      </c>
      <c r="F518" s="28" t="str">
        <f>IF(D518="","",VLOOKUP(D518,'[1]0.1 Produksi Pangan &amp; Penduduk'!$D$5:$AK$860,34,0))</f>
        <v/>
      </c>
      <c r="G518" s="29" t="str">
        <f t="shared" ref="G518:G581" si="40">IF(F518="","",F518*0%)</f>
        <v/>
      </c>
      <c r="H518" s="29" t="str">
        <f t="shared" ref="H518:H581" si="41">IF(F518="","",F518*0%)</f>
        <v/>
      </c>
      <c r="I518" s="29" t="str">
        <f t="shared" ref="I518:I581" si="42">IF(F518="","",F518*0.72%)</f>
        <v/>
      </c>
      <c r="J518" s="29" t="str">
        <f t="shared" ref="J518:J581" si="43">IF(F518="","",F518-(G518+H518+I518))</f>
        <v/>
      </c>
      <c r="K518" s="29" t="str">
        <f t="shared" ref="K518:K581" si="44">IF(J518="","",J518*0.64)</f>
        <v/>
      </c>
    </row>
    <row r="519" spans="1:11" ht="15" x14ac:dyDescent="0.25">
      <c r="A519" s="1" t="str">
        <f>IF('1.1 Produksi Bersih Padi 2025'!A519="","",'1.1 Produksi Bersih Padi 2025'!A519)</f>
        <v/>
      </c>
      <c r="B519" s="31" t="str">
        <f>IF('1.1 Produksi Bersih Padi 2025'!B519="","",'1.1 Produksi Bersih Padi 2025'!B519)</f>
        <v/>
      </c>
      <c r="C519" s="31" t="str">
        <f>IF('1.1 Produksi Bersih Padi 2025'!C519="","",'1.1 Produksi Bersih Padi 2025'!C519)</f>
        <v/>
      </c>
      <c r="D519" s="1" t="str">
        <f>IF('1.1 Produksi Bersih Padi 2025'!D519="","",'1.1 Produksi Bersih Padi 2025'!D519)</f>
        <v/>
      </c>
      <c r="E519" s="1" t="str">
        <f>IF('1.1 Produksi Bersih Padi 2025'!E519="","",'1.1 Produksi Bersih Padi 2025'!E519)</f>
        <v/>
      </c>
      <c r="F519" s="28" t="str">
        <f>IF(D519="","",VLOOKUP(D519,'[1]0.1 Produksi Pangan &amp; Penduduk'!$D$5:$AK$860,34,0))</f>
        <v/>
      </c>
      <c r="G519" s="29" t="str">
        <f t="shared" si="40"/>
        <v/>
      </c>
      <c r="H519" s="29" t="str">
        <f t="shared" si="41"/>
        <v/>
      </c>
      <c r="I519" s="29" t="str">
        <f t="shared" si="42"/>
        <v/>
      </c>
      <c r="J519" s="29" t="str">
        <f t="shared" si="43"/>
        <v/>
      </c>
      <c r="K519" s="29" t="str">
        <f t="shared" si="44"/>
        <v/>
      </c>
    </row>
    <row r="520" spans="1:11" ht="15" x14ac:dyDescent="0.25">
      <c r="A520" s="1" t="str">
        <f>IF('1.1 Produksi Bersih Padi 2025'!A520="","",'1.1 Produksi Bersih Padi 2025'!A520)</f>
        <v/>
      </c>
      <c r="B520" s="31" t="str">
        <f>IF('1.1 Produksi Bersih Padi 2025'!B520="","",'1.1 Produksi Bersih Padi 2025'!B520)</f>
        <v/>
      </c>
      <c r="C520" s="31" t="str">
        <f>IF('1.1 Produksi Bersih Padi 2025'!C520="","",'1.1 Produksi Bersih Padi 2025'!C520)</f>
        <v/>
      </c>
      <c r="D520" s="1" t="str">
        <f>IF('1.1 Produksi Bersih Padi 2025'!D520="","",'1.1 Produksi Bersih Padi 2025'!D520)</f>
        <v/>
      </c>
      <c r="E520" s="1" t="str">
        <f>IF('1.1 Produksi Bersih Padi 2025'!E520="","",'1.1 Produksi Bersih Padi 2025'!E520)</f>
        <v/>
      </c>
      <c r="F520" s="28" t="str">
        <f>IF(D520="","",VLOOKUP(D520,'[1]0.1 Produksi Pangan &amp; Penduduk'!$D$5:$AK$860,34,0))</f>
        <v/>
      </c>
      <c r="G520" s="29" t="str">
        <f t="shared" si="40"/>
        <v/>
      </c>
      <c r="H520" s="29" t="str">
        <f t="shared" si="41"/>
        <v/>
      </c>
      <c r="I520" s="29" t="str">
        <f t="shared" si="42"/>
        <v/>
      </c>
      <c r="J520" s="29" t="str">
        <f t="shared" si="43"/>
        <v/>
      </c>
      <c r="K520" s="29" t="str">
        <f t="shared" si="44"/>
        <v/>
      </c>
    </row>
    <row r="521" spans="1:11" ht="15" x14ac:dyDescent="0.25">
      <c r="A521" s="1" t="str">
        <f>IF('1.1 Produksi Bersih Padi 2025'!A521="","",'1.1 Produksi Bersih Padi 2025'!A521)</f>
        <v/>
      </c>
      <c r="B521" s="31" t="str">
        <f>IF('1.1 Produksi Bersih Padi 2025'!B521="","",'1.1 Produksi Bersih Padi 2025'!B521)</f>
        <v/>
      </c>
      <c r="C521" s="31" t="str">
        <f>IF('1.1 Produksi Bersih Padi 2025'!C521="","",'1.1 Produksi Bersih Padi 2025'!C521)</f>
        <v/>
      </c>
      <c r="D521" s="1" t="str">
        <f>IF('1.1 Produksi Bersih Padi 2025'!D521="","",'1.1 Produksi Bersih Padi 2025'!D521)</f>
        <v/>
      </c>
      <c r="E521" s="1" t="str">
        <f>IF('1.1 Produksi Bersih Padi 2025'!E521="","",'1.1 Produksi Bersih Padi 2025'!E521)</f>
        <v/>
      </c>
      <c r="F521" s="28" t="str">
        <f>IF(D521="","",VLOOKUP(D521,'[1]0.1 Produksi Pangan &amp; Penduduk'!$D$5:$AK$860,34,0))</f>
        <v/>
      </c>
      <c r="G521" s="29" t="str">
        <f t="shared" si="40"/>
        <v/>
      </c>
      <c r="H521" s="29" t="str">
        <f t="shared" si="41"/>
        <v/>
      </c>
      <c r="I521" s="29" t="str">
        <f t="shared" si="42"/>
        <v/>
      </c>
      <c r="J521" s="29" t="str">
        <f t="shared" si="43"/>
        <v/>
      </c>
      <c r="K521" s="29" t="str">
        <f t="shared" si="44"/>
        <v/>
      </c>
    </row>
    <row r="522" spans="1:11" ht="15" x14ac:dyDescent="0.25">
      <c r="A522" s="1" t="str">
        <f>IF('1.1 Produksi Bersih Padi 2025'!A522="","",'1.1 Produksi Bersih Padi 2025'!A522)</f>
        <v/>
      </c>
      <c r="B522" s="31" t="str">
        <f>IF('1.1 Produksi Bersih Padi 2025'!B522="","",'1.1 Produksi Bersih Padi 2025'!B522)</f>
        <v/>
      </c>
      <c r="C522" s="31" t="str">
        <f>IF('1.1 Produksi Bersih Padi 2025'!C522="","",'1.1 Produksi Bersih Padi 2025'!C522)</f>
        <v/>
      </c>
      <c r="D522" s="1" t="str">
        <f>IF('1.1 Produksi Bersih Padi 2025'!D522="","",'1.1 Produksi Bersih Padi 2025'!D522)</f>
        <v/>
      </c>
      <c r="E522" s="1" t="str">
        <f>IF('1.1 Produksi Bersih Padi 2025'!E522="","",'1.1 Produksi Bersih Padi 2025'!E522)</f>
        <v/>
      </c>
      <c r="F522" s="28" t="str">
        <f>IF(D522="","",VLOOKUP(D522,'[1]0.1 Produksi Pangan &amp; Penduduk'!$D$5:$AK$860,34,0))</f>
        <v/>
      </c>
      <c r="G522" s="29" t="str">
        <f t="shared" si="40"/>
        <v/>
      </c>
      <c r="H522" s="29" t="str">
        <f t="shared" si="41"/>
        <v/>
      </c>
      <c r="I522" s="29" t="str">
        <f t="shared" si="42"/>
        <v/>
      </c>
      <c r="J522" s="29" t="str">
        <f t="shared" si="43"/>
        <v/>
      </c>
      <c r="K522" s="29" t="str">
        <f t="shared" si="44"/>
        <v/>
      </c>
    </row>
    <row r="523" spans="1:11" ht="15" x14ac:dyDescent="0.25">
      <c r="A523" s="1" t="str">
        <f>IF('1.1 Produksi Bersih Padi 2025'!A523="","",'1.1 Produksi Bersih Padi 2025'!A523)</f>
        <v/>
      </c>
      <c r="B523" s="31" t="str">
        <f>IF('1.1 Produksi Bersih Padi 2025'!B523="","",'1.1 Produksi Bersih Padi 2025'!B523)</f>
        <v/>
      </c>
      <c r="C523" s="31" t="str">
        <f>IF('1.1 Produksi Bersih Padi 2025'!C523="","",'1.1 Produksi Bersih Padi 2025'!C523)</f>
        <v/>
      </c>
      <c r="D523" s="1" t="str">
        <f>IF('1.1 Produksi Bersih Padi 2025'!D523="","",'1.1 Produksi Bersih Padi 2025'!D523)</f>
        <v/>
      </c>
      <c r="E523" s="1" t="str">
        <f>IF('1.1 Produksi Bersih Padi 2025'!E523="","",'1.1 Produksi Bersih Padi 2025'!E523)</f>
        <v/>
      </c>
      <c r="F523" s="28" t="str">
        <f>IF(D523="","",VLOOKUP(D523,'[1]0.1 Produksi Pangan &amp; Penduduk'!$D$5:$AK$860,34,0))</f>
        <v/>
      </c>
      <c r="G523" s="29" t="str">
        <f t="shared" si="40"/>
        <v/>
      </c>
      <c r="H523" s="29" t="str">
        <f t="shared" si="41"/>
        <v/>
      </c>
      <c r="I523" s="29" t="str">
        <f t="shared" si="42"/>
        <v/>
      </c>
      <c r="J523" s="29" t="str">
        <f t="shared" si="43"/>
        <v/>
      </c>
      <c r="K523" s="29" t="str">
        <f t="shared" si="44"/>
        <v/>
      </c>
    </row>
    <row r="524" spans="1:11" ht="15" x14ac:dyDescent="0.25">
      <c r="A524" s="1" t="str">
        <f>IF('1.1 Produksi Bersih Padi 2025'!A524="","",'1.1 Produksi Bersih Padi 2025'!A524)</f>
        <v/>
      </c>
      <c r="B524" s="31" t="str">
        <f>IF('1.1 Produksi Bersih Padi 2025'!B524="","",'1.1 Produksi Bersih Padi 2025'!B524)</f>
        <v/>
      </c>
      <c r="C524" s="31" t="str">
        <f>IF('1.1 Produksi Bersih Padi 2025'!C524="","",'1.1 Produksi Bersih Padi 2025'!C524)</f>
        <v/>
      </c>
      <c r="D524" s="1" t="str">
        <f>IF('1.1 Produksi Bersih Padi 2025'!D524="","",'1.1 Produksi Bersih Padi 2025'!D524)</f>
        <v/>
      </c>
      <c r="E524" s="1" t="str">
        <f>IF('1.1 Produksi Bersih Padi 2025'!E524="","",'1.1 Produksi Bersih Padi 2025'!E524)</f>
        <v/>
      </c>
      <c r="F524" s="28" t="str">
        <f>IF(D524="","",VLOOKUP(D524,'[1]0.1 Produksi Pangan &amp; Penduduk'!$D$5:$AK$860,34,0))</f>
        <v/>
      </c>
      <c r="G524" s="29" t="str">
        <f t="shared" si="40"/>
        <v/>
      </c>
      <c r="H524" s="29" t="str">
        <f t="shared" si="41"/>
        <v/>
      </c>
      <c r="I524" s="29" t="str">
        <f t="shared" si="42"/>
        <v/>
      </c>
      <c r="J524" s="29" t="str">
        <f t="shared" si="43"/>
        <v/>
      </c>
      <c r="K524" s="29" t="str">
        <f t="shared" si="44"/>
        <v/>
      </c>
    </row>
    <row r="525" spans="1:11" ht="15" x14ac:dyDescent="0.25">
      <c r="A525" s="1" t="str">
        <f>IF('1.1 Produksi Bersih Padi 2025'!A525="","",'1.1 Produksi Bersih Padi 2025'!A525)</f>
        <v/>
      </c>
      <c r="B525" s="31" t="str">
        <f>IF('1.1 Produksi Bersih Padi 2025'!B525="","",'1.1 Produksi Bersih Padi 2025'!B525)</f>
        <v/>
      </c>
      <c r="C525" s="31" t="str">
        <f>IF('1.1 Produksi Bersih Padi 2025'!C525="","",'1.1 Produksi Bersih Padi 2025'!C525)</f>
        <v/>
      </c>
      <c r="D525" s="1" t="str">
        <f>IF('1.1 Produksi Bersih Padi 2025'!D525="","",'1.1 Produksi Bersih Padi 2025'!D525)</f>
        <v/>
      </c>
      <c r="E525" s="1" t="str">
        <f>IF('1.1 Produksi Bersih Padi 2025'!E525="","",'1.1 Produksi Bersih Padi 2025'!E525)</f>
        <v/>
      </c>
      <c r="F525" s="28" t="str">
        <f>IF(D525="","",VLOOKUP(D525,'[1]0.1 Produksi Pangan &amp; Penduduk'!$D$5:$AK$860,34,0))</f>
        <v/>
      </c>
      <c r="G525" s="29" t="str">
        <f t="shared" si="40"/>
        <v/>
      </c>
      <c r="H525" s="29" t="str">
        <f t="shared" si="41"/>
        <v/>
      </c>
      <c r="I525" s="29" t="str">
        <f t="shared" si="42"/>
        <v/>
      </c>
      <c r="J525" s="29" t="str">
        <f t="shared" si="43"/>
        <v/>
      </c>
      <c r="K525" s="29" t="str">
        <f t="shared" si="44"/>
        <v/>
      </c>
    </row>
    <row r="526" spans="1:11" ht="15" x14ac:dyDescent="0.25">
      <c r="A526" s="1" t="str">
        <f>IF('1.1 Produksi Bersih Padi 2025'!A526="","",'1.1 Produksi Bersih Padi 2025'!A526)</f>
        <v/>
      </c>
      <c r="B526" s="31" t="str">
        <f>IF('1.1 Produksi Bersih Padi 2025'!B526="","",'1.1 Produksi Bersih Padi 2025'!B526)</f>
        <v/>
      </c>
      <c r="C526" s="31" t="str">
        <f>IF('1.1 Produksi Bersih Padi 2025'!C526="","",'1.1 Produksi Bersih Padi 2025'!C526)</f>
        <v/>
      </c>
      <c r="D526" s="1" t="str">
        <f>IF('1.1 Produksi Bersih Padi 2025'!D526="","",'1.1 Produksi Bersih Padi 2025'!D526)</f>
        <v/>
      </c>
      <c r="E526" s="1" t="str">
        <f>IF('1.1 Produksi Bersih Padi 2025'!E526="","",'1.1 Produksi Bersih Padi 2025'!E526)</f>
        <v/>
      </c>
      <c r="F526" s="28" t="str">
        <f>IF(D526="","",VLOOKUP(D526,'[1]0.1 Produksi Pangan &amp; Penduduk'!$D$5:$AK$860,34,0))</f>
        <v/>
      </c>
      <c r="G526" s="29" t="str">
        <f t="shared" si="40"/>
        <v/>
      </c>
      <c r="H526" s="29" t="str">
        <f t="shared" si="41"/>
        <v/>
      </c>
      <c r="I526" s="29" t="str">
        <f t="shared" si="42"/>
        <v/>
      </c>
      <c r="J526" s="29" t="str">
        <f t="shared" si="43"/>
        <v/>
      </c>
      <c r="K526" s="29" t="str">
        <f t="shared" si="44"/>
        <v/>
      </c>
    </row>
    <row r="527" spans="1:11" ht="15" x14ac:dyDescent="0.25">
      <c r="A527" s="1" t="str">
        <f>IF('1.1 Produksi Bersih Padi 2025'!A527="","",'1.1 Produksi Bersih Padi 2025'!A527)</f>
        <v/>
      </c>
      <c r="B527" s="31" t="str">
        <f>IF('1.1 Produksi Bersih Padi 2025'!B527="","",'1.1 Produksi Bersih Padi 2025'!B527)</f>
        <v/>
      </c>
      <c r="C527" s="31" t="str">
        <f>IF('1.1 Produksi Bersih Padi 2025'!C527="","",'1.1 Produksi Bersih Padi 2025'!C527)</f>
        <v/>
      </c>
      <c r="D527" s="1" t="str">
        <f>IF('1.1 Produksi Bersih Padi 2025'!D527="","",'1.1 Produksi Bersih Padi 2025'!D527)</f>
        <v/>
      </c>
      <c r="E527" s="1" t="str">
        <f>IF('1.1 Produksi Bersih Padi 2025'!E527="","",'1.1 Produksi Bersih Padi 2025'!E527)</f>
        <v/>
      </c>
      <c r="F527" s="28" t="str">
        <f>IF(D527="","",VLOOKUP(D527,'[1]0.1 Produksi Pangan &amp; Penduduk'!$D$5:$AK$860,34,0))</f>
        <v/>
      </c>
      <c r="G527" s="29" t="str">
        <f t="shared" si="40"/>
        <v/>
      </c>
      <c r="H527" s="29" t="str">
        <f t="shared" si="41"/>
        <v/>
      </c>
      <c r="I527" s="29" t="str">
        <f t="shared" si="42"/>
        <v/>
      </c>
      <c r="J527" s="29" t="str">
        <f t="shared" si="43"/>
        <v/>
      </c>
      <c r="K527" s="29" t="str">
        <f t="shared" si="44"/>
        <v/>
      </c>
    </row>
    <row r="528" spans="1:11" ht="15" x14ac:dyDescent="0.25">
      <c r="A528" s="1" t="str">
        <f>IF('1.1 Produksi Bersih Padi 2025'!A528="","",'1.1 Produksi Bersih Padi 2025'!A528)</f>
        <v/>
      </c>
      <c r="B528" s="31" t="str">
        <f>IF('1.1 Produksi Bersih Padi 2025'!B528="","",'1.1 Produksi Bersih Padi 2025'!B528)</f>
        <v/>
      </c>
      <c r="C528" s="31" t="str">
        <f>IF('1.1 Produksi Bersih Padi 2025'!C528="","",'1.1 Produksi Bersih Padi 2025'!C528)</f>
        <v/>
      </c>
      <c r="D528" s="1" t="str">
        <f>IF('1.1 Produksi Bersih Padi 2025'!D528="","",'1.1 Produksi Bersih Padi 2025'!D528)</f>
        <v/>
      </c>
      <c r="E528" s="1" t="str">
        <f>IF('1.1 Produksi Bersih Padi 2025'!E528="","",'1.1 Produksi Bersih Padi 2025'!E528)</f>
        <v/>
      </c>
      <c r="F528" s="28" t="str">
        <f>IF(D528="","",VLOOKUP(D528,'[1]0.1 Produksi Pangan &amp; Penduduk'!$D$5:$AK$860,34,0))</f>
        <v/>
      </c>
      <c r="G528" s="29" t="str">
        <f t="shared" si="40"/>
        <v/>
      </c>
      <c r="H528" s="29" t="str">
        <f t="shared" si="41"/>
        <v/>
      </c>
      <c r="I528" s="29" t="str">
        <f t="shared" si="42"/>
        <v/>
      </c>
      <c r="J528" s="29" t="str">
        <f t="shared" si="43"/>
        <v/>
      </c>
      <c r="K528" s="29" t="str">
        <f t="shared" si="44"/>
        <v/>
      </c>
    </row>
    <row r="529" spans="1:11" ht="15" x14ac:dyDescent="0.25">
      <c r="A529" s="1" t="str">
        <f>IF('1.1 Produksi Bersih Padi 2025'!A529="","",'1.1 Produksi Bersih Padi 2025'!A529)</f>
        <v/>
      </c>
      <c r="B529" s="31" t="str">
        <f>IF('1.1 Produksi Bersih Padi 2025'!B529="","",'1.1 Produksi Bersih Padi 2025'!B529)</f>
        <v/>
      </c>
      <c r="C529" s="31" t="str">
        <f>IF('1.1 Produksi Bersih Padi 2025'!C529="","",'1.1 Produksi Bersih Padi 2025'!C529)</f>
        <v/>
      </c>
      <c r="D529" s="1" t="str">
        <f>IF('1.1 Produksi Bersih Padi 2025'!D529="","",'1.1 Produksi Bersih Padi 2025'!D529)</f>
        <v/>
      </c>
      <c r="E529" s="1" t="str">
        <f>IF('1.1 Produksi Bersih Padi 2025'!E529="","",'1.1 Produksi Bersih Padi 2025'!E529)</f>
        <v/>
      </c>
      <c r="F529" s="28" t="str">
        <f>IF(D529="","",VLOOKUP(D529,'[1]0.1 Produksi Pangan &amp; Penduduk'!$D$5:$AK$860,34,0))</f>
        <v/>
      </c>
      <c r="G529" s="29" t="str">
        <f t="shared" si="40"/>
        <v/>
      </c>
      <c r="H529" s="29" t="str">
        <f t="shared" si="41"/>
        <v/>
      </c>
      <c r="I529" s="29" t="str">
        <f t="shared" si="42"/>
        <v/>
      </c>
      <c r="J529" s="29" t="str">
        <f t="shared" si="43"/>
        <v/>
      </c>
      <c r="K529" s="29" t="str">
        <f t="shared" si="44"/>
        <v/>
      </c>
    </row>
    <row r="530" spans="1:11" ht="15" x14ac:dyDescent="0.25">
      <c r="A530" s="1" t="str">
        <f>IF('1.1 Produksi Bersih Padi 2025'!A530="","",'1.1 Produksi Bersih Padi 2025'!A530)</f>
        <v/>
      </c>
      <c r="B530" s="31" t="str">
        <f>IF('1.1 Produksi Bersih Padi 2025'!B530="","",'1.1 Produksi Bersih Padi 2025'!B530)</f>
        <v/>
      </c>
      <c r="C530" s="31" t="str">
        <f>IF('1.1 Produksi Bersih Padi 2025'!C530="","",'1.1 Produksi Bersih Padi 2025'!C530)</f>
        <v/>
      </c>
      <c r="D530" s="1" t="str">
        <f>IF('1.1 Produksi Bersih Padi 2025'!D530="","",'1.1 Produksi Bersih Padi 2025'!D530)</f>
        <v/>
      </c>
      <c r="E530" s="1" t="str">
        <f>IF('1.1 Produksi Bersih Padi 2025'!E530="","",'1.1 Produksi Bersih Padi 2025'!E530)</f>
        <v/>
      </c>
      <c r="F530" s="28" t="str">
        <f>IF(D530="","",VLOOKUP(D530,'[1]0.1 Produksi Pangan &amp; Penduduk'!$D$5:$AK$860,34,0))</f>
        <v/>
      </c>
      <c r="G530" s="29" t="str">
        <f t="shared" si="40"/>
        <v/>
      </c>
      <c r="H530" s="29" t="str">
        <f t="shared" si="41"/>
        <v/>
      </c>
      <c r="I530" s="29" t="str">
        <f t="shared" si="42"/>
        <v/>
      </c>
      <c r="J530" s="29" t="str">
        <f t="shared" si="43"/>
        <v/>
      </c>
      <c r="K530" s="29" t="str">
        <f t="shared" si="44"/>
        <v/>
      </c>
    </row>
    <row r="531" spans="1:11" ht="15" x14ac:dyDescent="0.25">
      <c r="A531" s="1" t="str">
        <f>IF('1.1 Produksi Bersih Padi 2025'!A531="","",'1.1 Produksi Bersih Padi 2025'!A531)</f>
        <v/>
      </c>
      <c r="B531" s="31" t="str">
        <f>IF('1.1 Produksi Bersih Padi 2025'!B531="","",'1.1 Produksi Bersih Padi 2025'!B531)</f>
        <v/>
      </c>
      <c r="C531" s="31" t="str">
        <f>IF('1.1 Produksi Bersih Padi 2025'!C531="","",'1.1 Produksi Bersih Padi 2025'!C531)</f>
        <v/>
      </c>
      <c r="D531" s="1" t="str">
        <f>IF('1.1 Produksi Bersih Padi 2025'!D531="","",'1.1 Produksi Bersih Padi 2025'!D531)</f>
        <v/>
      </c>
      <c r="E531" s="1" t="str">
        <f>IF('1.1 Produksi Bersih Padi 2025'!E531="","",'1.1 Produksi Bersih Padi 2025'!E531)</f>
        <v/>
      </c>
      <c r="F531" s="28" t="str">
        <f>IF(D531="","",VLOOKUP(D531,'[1]0.1 Produksi Pangan &amp; Penduduk'!$D$5:$AK$860,34,0))</f>
        <v/>
      </c>
      <c r="G531" s="29" t="str">
        <f t="shared" si="40"/>
        <v/>
      </c>
      <c r="H531" s="29" t="str">
        <f t="shared" si="41"/>
        <v/>
      </c>
      <c r="I531" s="29" t="str">
        <f t="shared" si="42"/>
        <v/>
      </c>
      <c r="J531" s="29" t="str">
        <f t="shared" si="43"/>
        <v/>
      </c>
      <c r="K531" s="29" t="str">
        <f t="shared" si="44"/>
        <v/>
      </c>
    </row>
    <row r="532" spans="1:11" ht="15" x14ac:dyDescent="0.25">
      <c r="A532" s="1" t="str">
        <f>IF('1.1 Produksi Bersih Padi 2025'!A532="","",'1.1 Produksi Bersih Padi 2025'!A532)</f>
        <v/>
      </c>
      <c r="B532" s="31" t="str">
        <f>IF('1.1 Produksi Bersih Padi 2025'!B532="","",'1.1 Produksi Bersih Padi 2025'!B532)</f>
        <v/>
      </c>
      <c r="C532" s="31" t="str">
        <f>IF('1.1 Produksi Bersih Padi 2025'!C532="","",'1.1 Produksi Bersih Padi 2025'!C532)</f>
        <v/>
      </c>
      <c r="D532" s="1" t="str">
        <f>IF('1.1 Produksi Bersih Padi 2025'!D532="","",'1.1 Produksi Bersih Padi 2025'!D532)</f>
        <v/>
      </c>
      <c r="E532" s="1" t="str">
        <f>IF('1.1 Produksi Bersih Padi 2025'!E532="","",'1.1 Produksi Bersih Padi 2025'!E532)</f>
        <v/>
      </c>
      <c r="F532" s="28" t="str">
        <f>IF(D532="","",VLOOKUP(D532,'[1]0.1 Produksi Pangan &amp; Penduduk'!$D$5:$AK$860,34,0))</f>
        <v/>
      </c>
      <c r="G532" s="29" t="str">
        <f t="shared" si="40"/>
        <v/>
      </c>
      <c r="H532" s="29" t="str">
        <f t="shared" si="41"/>
        <v/>
      </c>
      <c r="I532" s="29" t="str">
        <f t="shared" si="42"/>
        <v/>
      </c>
      <c r="J532" s="29" t="str">
        <f t="shared" si="43"/>
        <v/>
      </c>
      <c r="K532" s="29" t="str">
        <f t="shared" si="44"/>
        <v/>
      </c>
    </row>
    <row r="533" spans="1:11" ht="15" x14ac:dyDescent="0.25">
      <c r="A533" s="1" t="str">
        <f>IF('1.1 Produksi Bersih Padi 2025'!A533="","",'1.1 Produksi Bersih Padi 2025'!A533)</f>
        <v/>
      </c>
      <c r="B533" s="31" t="str">
        <f>IF('1.1 Produksi Bersih Padi 2025'!B533="","",'1.1 Produksi Bersih Padi 2025'!B533)</f>
        <v/>
      </c>
      <c r="C533" s="31" t="str">
        <f>IF('1.1 Produksi Bersih Padi 2025'!C533="","",'1.1 Produksi Bersih Padi 2025'!C533)</f>
        <v/>
      </c>
      <c r="D533" s="1" t="str">
        <f>IF('1.1 Produksi Bersih Padi 2025'!D533="","",'1.1 Produksi Bersih Padi 2025'!D533)</f>
        <v/>
      </c>
      <c r="E533" s="1" t="str">
        <f>IF('1.1 Produksi Bersih Padi 2025'!E533="","",'1.1 Produksi Bersih Padi 2025'!E533)</f>
        <v/>
      </c>
      <c r="F533" s="28" t="str">
        <f>IF(D533="","",VLOOKUP(D533,'[1]0.1 Produksi Pangan &amp; Penduduk'!$D$5:$AK$860,34,0))</f>
        <v/>
      </c>
      <c r="G533" s="29" t="str">
        <f t="shared" si="40"/>
        <v/>
      </c>
      <c r="H533" s="29" t="str">
        <f t="shared" si="41"/>
        <v/>
      </c>
      <c r="I533" s="29" t="str">
        <f t="shared" si="42"/>
        <v/>
      </c>
      <c r="J533" s="29" t="str">
        <f t="shared" si="43"/>
        <v/>
      </c>
      <c r="K533" s="29" t="str">
        <f t="shared" si="44"/>
        <v/>
      </c>
    </row>
    <row r="534" spans="1:11" ht="15" x14ac:dyDescent="0.25">
      <c r="A534" s="1" t="str">
        <f>IF('1.1 Produksi Bersih Padi 2025'!A534="","",'1.1 Produksi Bersih Padi 2025'!A534)</f>
        <v/>
      </c>
      <c r="B534" s="31" t="str">
        <f>IF('1.1 Produksi Bersih Padi 2025'!B534="","",'1.1 Produksi Bersih Padi 2025'!B534)</f>
        <v/>
      </c>
      <c r="C534" s="31" t="str">
        <f>IF('1.1 Produksi Bersih Padi 2025'!C534="","",'1.1 Produksi Bersih Padi 2025'!C534)</f>
        <v/>
      </c>
      <c r="D534" s="1" t="str">
        <f>IF('1.1 Produksi Bersih Padi 2025'!D534="","",'1.1 Produksi Bersih Padi 2025'!D534)</f>
        <v/>
      </c>
      <c r="E534" s="1" t="str">
        <f>IF('1.1 Produksi Bersih Padi 2025'!E534="","",'1.1 Produksi Bersih Padi 2025'!E534)</f>
        <v/>
      </c>
      <c r="F534" s="28" t="str">
        <f>IF(D534="","",VLOOKUP(D534,'[1]0.1 Produksi Pangan &amp; Penduduk'!$D$5:$AK$860,34,0))</f>
        <v/>
      </c>
      <c r="G534" s="29" t="str">
        <f t="shared" si="40"/>
        <v/>
      </c>
      <c r="H534" s="29" t="str">
        <f t="shared" si="41"/>
        <v/>
      </c>
      <c r="I534" s="29" t="str">
        <f t="shared" si="42"/>
        <v/>
      </c>
      <c r="J534" s="29" t="str">
        <f t="shared" si="43"/>
        <v/>
      </c>
      <c r="K534" s="29" t="str">
        <f t="shared" si="44"/>
        <v/>
      </c>
    </row>
    <row r="535" spans="1:11" ht="15" x14ac:dyDescent="0.25">
      <c r="A535" s="1" t="str">
        <f>IF('1.1 Produksi Bersih Padi 2025'!A535="","",'1.1 Produksi Bersih Padi 2025'!A535)</f>
        <v/>
      </c>
      <c r="B535" s="31" t="str">
        <f>IF('1.1 Produksi Bersih Padi 2025'!B535="","",'1.1 Produksi Bersih Padi 2025'!B535)</f>
        <v/>
      </c>
      <c r="C535" s="31" t="str">
        <f>IF('1.1 Produksi Bersih Padi 2025'!C535="","",'1.1 Produksi Bersih Padi 2025'!C535)</f>
        <v/>
      </c>
      <c r="D535" s="1" t="str">
        <f>IF('1.1 Produksi Bersih Padi 2025'!D535="","",'1.1 Produksi Bersih Padi 2025'!D535)</f>
        <v/>
      </c>
      <c r="E535" s="1" t="str">
        <f>IF('1.1 Produksi Bersih Padi 2025'!E535="","",'1.1 Produksi Bersih Padi 2025'!E535)</f>
        <v/>
      </c>
      <c r="F535" s="28" t="str">
        <f>IF(D535="","",VLOOKUP(D535,'[1]0.1 Produksi Pangan &amp; Penduduk'!$D$5:$AK$860,34,0))</f>
        <v/>
      </c>
      <c r="G535" s="29" t="str">
        <f t="shared" si="40"/>
        <v/>
      </c>
      <c r="H535" s="29" t="str">
        <f t="shared" si="41"/>
        <v/>
      </c>
      <c r="I535" s="29" t="str">
        <f t="shared" si="42"/>
        <v/>
      </c>
      <c r="J535" s="29" t="str">
        <f t="shared" si="43"/>
        <v/>
      </c>
      <c r="K535" s="29" t="str">
        <f t="shared" si="44"/>
        <v/>
      </c>
    </row>
    <row r="536" spans="1:11" ht="15" x14ac:dyDescent="0.25">
      <c r="A536" s="1" t="str">
        <f>IF('1.1 Produksi Bersih Padi 2025'!A536="","",'1.1 Produksi Bersih Padi 2025'!A536)</f>
        <v/>
      </c>
      <c r="B536" s="31" t="str">
        <f>IF('1.1 Produksi Bersih Padi 2025'!B536="","",'1.1 Produksi Bersih Padi 2025'!B536)</f>
        <v/>
      </c>
      <c r="C536" s="31" t="str">
        <f>IF('1.1 Produksi Bersih Padi 2025'!C536="","",'1.1 Produksi Bersih Padi 2025'!C536)</f>
        <v/>
      </c>
      <c r="D536" s="1" t="str">
        <f>IF('1.1 Produksi Bersih Padi 2025'!D536="","",'1.1 Produksi Bersih Padi 2025'!D536)</f>
        <v/>
      </c>
      <c r="E536" s="1" t="str">
        <f>IF('1.1 Produksi Bersih Padi 2025'!E536="","",'1.1 Produksi Bersih Padi 2025'!E536)</f>
        <v/>
      </c>
      <c r="F536" s="28" t="str">
        <f>IF(D536="","",VLOOKUP(D536,'[1]0.1 Produksi Pangan &amp; Penduduk'!$D$5:$AK$860,34,0))</f>
        <v/>
      </c>
      <c r="G536" s="29" t="str">
        <f t="shared" si="40"/>
        <v/>
      </c>
      <c r="H536" s="29" t="str">
        <f t="shared" si="41"/>
        <v/>
      </c>
      <c r="I536" s="29" t="str">
        <f t="shared" si="42"/>
        <v/>
      </c>
      <c r="J536" s="29" t="str">
        <f t="shared" si="43"/>
        <v/>
      </c>
      <c r="K536" s="29" t="str">
        <f t="shared" si="44"/>
        <v/>
      </c>
    </row>
    <row r="537" spans="1:11" ht="15" x14ac:dyDescent="0.25">
      <c r="A537" s="1" t="str">
        <f>IF('1.1 Produksi Bersih Padi 2025'!A537="","",'1.1 Produksi Bersih Padi 2025'!A537)</f>
        <v/>
      </c>
      <c r="B537" s="31" t="str">
        <f>IF('1.1 Produksi Bersih Padi 2025'!B537="","",'1.1 Produksi Bersih Padi 2025'!B537)</f>
        <v/>
      </c>
      <c r="C537" s="31" t="str">
        <f>IF('1.1 Produksi Bersih Padi 2025'!C537="","",'1.1 Produksi Bersih Padi 2025'!C537)</f>
        <v/>
      </c>
      <c r="D537" s="1" t="str">
        <f>IF('1.1 Produksi Bersih Padi 2025'!D537="","",'1.1 Produksi Bersih Padi 2025'!D537)</f>
        <v/>
      </c>
      <c r="E537" s="1" t="str">
        <f>IF('1.1 Produksi Bersih Padi 2025'!E537="","",'1.1 Produksi Bersih Padi 2025'!E537)</f>
        <v/>
      </c>
      <c r="F537" s="28" t="str">
        <f>IF(D537="","",VLOOKUP(D537,'[1]0.1 Produksi Pangan &amp; Penduduk'!$D$5:$AK$860,34,0))</f>
        <v/>
      </c>
      <c r="G537" s="29" t="str">
        <f t="shared" si="40"/>
        <v/>
      </c>
      <c r="H537" s="29" t="str">
        <f t="shared" si="41"/>
        <v/>
      </c>
      <c r="I537" s="29" t="str">
        <f t="shared" si="42"/>
        <v/>
      </c>
      <c r="J537" s="29" t="str">
        <f t="shared" si="43"/>
        <v/>
      </c>
      <c r="K537" s="29" t="str">
        <f t="shared" si="44"/>
        <v/>
      </c>
    </row>
    <row r="538" spans="1:11" ht="15" x14ac:dyDescent="0.25">
      <c r="A538" s="1" t="str">
        <f>IF('1.1 Produksi Bersih Padi 2025'!A538="","",'1.1 Produksi Bersih Padi 2025'!A538)</f>
        <v/>
      </c>
      <c r="B538" s="31" t="str">
        <f>IF('1.1 Produksi Bersih Padi 2025'!B538="","",'1.1 Produksi Bersih Padi 2025'!B538)</f>
        <v/>
      </c>
      <c r="C538" s="31" t="str">
        <f>IF('1.1 Produksi Bersih Padi 2025'!C538="","",'1.1 Produksi Bersih Padi 2025'!C538)</f>
        <v/>
      </c>
      <c r="D538" s="1" t="str">
        <f>IF('1.1 Produksi Bersih Padi 2025'!D538="","",'1.1 Produksi Bersih Padi 2025'!D538)</f>
        <v/>
      </c>
      <c r="E538" s="1" t="str">
        <f>IF('1.1 Produksi Bersih Padi 2025'!E538="","",'1.1 Produksi Bersih Padi 2025'!E538)</f>
        <v/>
      </c>
      <c r="F538" s="28" t="str">
        <f>IF(D538="","",VLOOKUP(D538,'[1]0.1 Produksi Pangan &amp; Penduduk'!$D$5:$AK$860,34,0))</f>
        <v/>
      </c>
      <c r="G538" s="29" t="str">
        <f t="shared" si="40"/>
        <v/>
      </c>
      <c r="H538" s="29" t="str">
        <f t="shared" si="41"/>
        <v/>
      </c>
      <c r="I538" s="29" t="str">
        <f t="shared" si="42"/>
        <v/>
      </c>
      <c r="J538" s="29" t="str">
        <f t="shared" si="43"/>
        <v/>
      </c>
      <c r="K538" s="29" t="str">
        <f t="shared" si="44"/>
        <v/>
      </c>
    </row>
    <row r="539" spans="1:11" ht="15" x14ac:dyDescent="0.25">
      <c r="A539" s="1" t="str">
        <f>IF('1.1 Produksi Bersih Padi 2025'!A539="","",'1.1 Produksi Bersih Padi 2025'!A539)</f>
        <v/>
      </c>
      <c r="B539" s="31" t="str">
        <f>IF('1.1 Produksi Bersih Padi 2025'!B539="","",'1.1 Produksi Bersih Padi 2025'!B539)</f>
        <v/>
      </c>
      <c r="C539" s="31" t="str">
        <f>IF('1.1 Produksi Bersih Padi 2025'!C539="","",'1.1 Produksi Bersih Padi 2025'!C539)</f>
        <v/>
      </c>
      <c r="D539" s="1" t="str">
        <f>IF('1.1 Produksi Bersih Padi 2025'!D539="","",'1.1 Produksi Bersih Padi 2025'!D539)</f>
        <v/>
      </c>
      <c r="E539" s="1" t="str">
        <f>IF('1.1 Produksi Bersih Padi 2025'!E539="","",'1.1 Produksi Bersih Padi 2025'!E539)</f>
        <v/>
      </c>
      <c r="F539" s="28" t="str">
        <f>IF(D539="","",VLOOKUP(D539,'[1]0.1 Produksi Pangan &amp; Penduduk'!$D$5:$AK$860,34,0))</f>
        <v/>
      </c>
      <c r="G539" s="29" t="str">
        <f t="shared" si="40"/>
        <v/>
      </c>
      <c r="H539" s="29" t="str">
        <f t="shared" si="41"/>
        <v/>
      </c>
      <c r="I539" s="29" t="str">
        <f t="shared" si="42"/>
        <v/>
      </c>
      <c r="J539" s="29" t="str">
        <f t="shared" si="43"/>
        <v/>
      </c>
      <c r="K539" s="29" t="str">
        <f t="shared" si="44"/>
        <v/>
      </c>
    </row>
    <row r="540" spans="1:11" ht="15" x14ac:dyDescent="0.25">
      <c r="A540" s="1" t="str">
        <f>IF('1.1 Produksi Bersih Padi 2025'!A540="","",'1.1 Produksi Bersih Padi 2025'!A540)</f>
        <v/>
      </c>
      <c r="B540" s="31" t="str">
        <f>IF('1.1 Produksi Bersih Padi 2025'!B540="","",'1.1 Produksi Bersih Padi 2025'!B540)</f>
        <v/>
      </c>
      <c r="C540" s="31" t="str">
        <f>IF('1.1 Produksi Bersih Padi 2025'!C540="","",'1.1 Produksi Bersih Padi 2025'!C540)</f>
        <v/>
      </c>
      <c r="D540" s="1" t="str">
        <f>IF('1.1 Produksi Bersih Padi 2025'!D540="","",'1.1 Produksi Bersih Padi 2025'!D540)</f>
        <v/>
      </c>
      <c r="E540" s="1" t="str">
        <f>IF('1.1 Produksi Bersih Padi 2025'!E540="","",'1.1 Produksi Bersih Padi 2025'!E540)</f>
        <v/>
      </c>
      <c r="F540" s="28" t="str">
        <f>IF(D540="","",VLOOKUP(D540,'[1]0.1 Produksi Pangan &amp; Penduduk'!$D$5:$AK$860,34,0))</f>
        <v/>
      </c>
      <c r="G540" s="29" t="str">
        <f t="shared" si="40"/>
        <v/>
      </c>
      <c r="H540" s="29" t="str">
        <f t="shared" si="41"/>
        <v/>
      </c>
      <c r="I540" s="29" t="str">
        <f t="shared" si="42"/>
        <v/>
      </c>
      <c r="J540" s="29" t="str">
        <f t="shared" si="43"/>
        <v/>
      </c>
      <c r="K540" s="29" t="str">
        <f t="shared" si="44"/>
        <v/>
      </c>
    </row>
    <row r="541" spans="1:11" ht="15" x14ac:dyDescent="0.25">
      <c r="A541" s="1" t="str">
        <f>IF('1.1 Produksi Bersih Padi 2025'!A541="","",'1.1 Produksi Bersih Padi 2025'!A541)</f>
        <v/>
      </c>
      <c r="B541" s="31" t="str">
        <f>IF('1.1 Produksi Bersih Padi 2025'!B541="","",'1.1 Produksi Bersih Padi 2025'!B541)</f>
        <v/>
      </c>
      <c r="C541" s="31" t="str">
        <f>IF('1.1 Produksi Bersih Padi 2025'!C541="","",'1.1 Produksi Bersih Padi 2025'!C541)</f>
        <v/>
      </c>
      <c r="D541" s="1" t="str">
        <f>IF('1.1 Produksi Bersih Padi 2025'!D541="","",'1.1 Produksi Bersih Padi 2025'!D541)</f>
        <v/>
      </c>
      <c r="E541" s="1" t="str">
        <f>IF('1.1 Produksi Bersih Padi 2025'!E541="","",'1.1 Produksi Bersih Padi 2025'!E541)</f>
        <v/>
      </c>
      <c r="F541" s="28" t="str">
        <f>IF(D541="","",VLOOKUP(D541,'[1]0.1 Produksi Pangan &amp; Penduduk'!$D$5:$AK$860,34,0))</f>
        <v/>
      </c>
      <c r="G541" s="29" t="str">
        <f t="shared" si="40"/>
        <v/>
      </c>
      <c r="H541" s="29" t="str">
        <f t="shared" si="41"/>
        <v/>
      </c>
      <c r="I541" s="29" t="str">
        <f t="shared" si="42"/>
        <v/>
      </c>
      <c r="J541" s="29" t="str">
        <f t="shared" si="43"/>
        <v/>
      </c>
      <c r="K541" s="29" t="str">
        <f t="shared" si="44"/>
        <v/>
      </c>
    </row>
    <row r="542" spans="1:11" ht="15" x14ac:dyDescent="0.25">
      <c r="A542" s="1" t="str">
        <f>IF('1.1 Produksi Bersih Padi 2025'!A542="","",'1.1 Produksi Bersih Padi 2025'!A542)</f>
        <v/>
      </c>
      <c r="B542" s="31" t="str">
        <f>IF('1.1 Produksi Bersih Padi 2025'!B542="","",'1.1 Produksi Bersih Padi 2025'!B542)</f>
        <v/>
      </c>
      <c r="C542" s="31" t="str">
        <f>IF('1.1 Produksi Bersih Padi 2025'!C542="","",'1.1 Produksi Bersih Padi 2025'!C542)</f>
        <v/>
      </c>
      <c r="D542" s="1" t="str">
        <f>IF('1.1 Produksi Bersih Padi 2025'!D542="","",'1.1 Produksi Bersih Padi 2025'!D542)</f>
        <v/>
      </c>
      <c r="E542" s="1" t="str">
        <f>IF('1.1 Produksi Bersih Padi 2025'!E542="","",'1.1 Produksi Bersih Padi 2025'!E542)</f>
        <v/>
      </c>
      <c r="F542" s="28" t="str">
        <f>IF(D542="","",VLOOKUP(D542,'[1]0.1 Produksi Pangan &amp; Penduduk'!$D$5:$AK$860,34,0))</f>
        <v/>
      </c>
      <c r="G542" s="29" t="str">
        <f t="shared" si="40"/>
        <v/>
      </c>
      <c r="H542" s="29" t="str">
        <f t="shared" si="41"/>
        <v/>
      </c>
      <c r="I542" s="29" t="str">
        <f t="shared" si="42"/>
        <v/>
      </c>
      <c r="J542" s="29" t="str">
        <f t="shared" si="43"/>
        <v/>
      </c>
      <c r="K542" s="29" t="str">
        <f t="shared" si="44"/>
        <v/>
      </c>
    </row>
    <row r="543" spans="1:11" ht="15" x14ac:dyDescent="0.25">
      <c r="A543" s="1" t="str">
        <f>IF('1.1 Produksi Bersih Padi 2025'!A543="","",'1.1 Produksi Bersih Padi 2025'!A543)</f>
        <v/>
      </c>
      <c r="B543" s="31" t="str">
        <f>IF('1.1 Produksi Bersih Padi 2025'!B543="","",'1.1 Produksi Bersih Padi 2025'!B543)</f>
        <v/>
      </c>
      <c r="C543" s="31" t="str">
        <f>IF('1.1 Produksi Bersih Padi 2025'!C543="","",'1.1 Produksi Bersih Padi 2025'!C543)</f>
        <v/>
      </c>
      <c r="D543" s="1" t="str">
        <f>IF('1.1 Produksi Bersih Padi 2025'!D543="","",'1.1 Produksi Bersih Padi 2025'!D543)</f>
        <v/>
      </c>
      <c r="E543" s="1" t="str">
        <f>IF('1.1 Produksi Bersih Padi 2025'!E543="","",'1.1 Produksi Bersih Padi 2025'!E543)</f>
        <v/>
      </c>
      <c r="F543" s="28" t="str">
        <f>IF(D543="","",VLOOKUP(D543,'[1]0.1 Produksi Pangan &amp; Penduduk'!$D$5:$AK$860,34,0))</f>
        <v/>
      </c>
      <c r="G543" s="29" t="str">
        <f t="shared" si="40"/>
        <v/>
      </c>
      <c r="H543" s="29" t="str">
        <f t="shared" si="41"/>
        <v/>
      </c>
      <c r="I543" s="29" t="str">
        <f t="shared" si="42"/>
        <v/>
      </c>
      <c r="J543" s="29" t="str">
        <f t="shared" si="43"/>
        <v/>
      </c>
      <c r="K543" s="29" t="str">
        <f t="shared" si="44"/>
        <v/>
      </c>
    </row>
    <row r="544" spans="1:11" ht="15" x14ac:dyDescent="0.25">
      <c r="A544" s="1" t="str">
        <f>IF('1.1 Produksi Bersih Padi 2025'!A544="","",'1.1 Produksi Bersih Padi 2025'!A544)</f>
        <v/>
      </c>
      <c r="B544" s="31" t="str">
        <f>IF('1.1 Produksi Bersih Padi 2025'!B544="","",'1.1 Produksi Bersih Padi 2025'!B544)</f>
        <v/>
      </c>
      <c r="C544" s="31" t="str">
        <f>IF('1.1 Produksi Bersih Padi 2025'!C544="","",'1.1 Produksi Bersih Padi 2025'!C544)</f>
        <v/>
      </c>
      <c r="D544" s="1" t="str">
        <f>IF('1.1 Produksi Bersih Padi 2025'!D544="","",'1.1 Produksi Bersih Padi 2025'!D544)</f>
        <v/>
      </c>
      <c r="E544" s="1" t="str">
        <f>IF('1.1 Produksi Bersih Padi 2025'!E544="","",'1.1 Produksi Bersih Padi 2025'!E544)</f>
        <v/>
      </c>
      <c r="F544" s="28" t="str">
        <f>IF(D544="","",VLOOKUP(D544,'[1]0.1 Produksi Pangan &amp; Penduduk'!$D$5:$AK$860,34,0))</f>
        <v/>
      </c>
      <c r="G544" s="29" t="str">
        <f t="shared" si="40"/>
        <v/>
      </c>
      <c r="H544" s="29" t="str">
        <f t="shared" si="41"/>
        <v/>
      </c>
      <c r="I544" s="29" t="str">
        <f t="shared" si="42"/>
        <v/>
      </c>
      <c r="J544" s="29" t="str">
        <f t="shared" si="43"/>
        <v/>
      </c>
      <c r="K544" s="29" t="str">
        <f t="shared" si="44"/>
        <v/>
      </c>
    </row>
    <row r="545" spans="1:11" ht="15" x14ac:dyDescent="0.25">
      <c r="A545" s="1" t="str">
        <f>IF('1.1 Produksi Bersih Padi 2025'!A545="","",'1.1 Produksi Bersih Padi 2025'!A545)</f>
        <v/>
      </c>
      <c r="B545" s="31" t="str">
        <f>IF('1.1 Produksi Bersih Padi 2025'!B545="","",'1.1 Produksi Bersih Padi 2025'!B545)</f>
        <v/>
      </c>
      <c r="C545" s="31" t="str">
        <f>IF('1.1 Produksi Bersih Padi 2025'!C545="","",'1.1 Produksi Bersih Padi 2025'!C545)</f>
        <v/>
      </c>
      <c r="D545" s="1" t="str">
        <f>IF('1.1 Produksi Bersih Padi 2025'!D545="","",'1.1 Produksi Bersih Padi 2025'!D545)</f>
        <v/>
      </c>
      <c r="E545" s="1" t="str">
        <f>IF('1.1 Produksi Bersih Padi 2025'!E545="","",'1.1 Produksi Bersih Padi 2025'!E545)</f>
        <v/>
      </c>
      <c r="F545" s="28" t="str">
        <f>IF(D545="","",VLOOKUP(D545,'[1]0.1 Produksi Pangan &amp; Penduduk'!$D$5:$AK$860,34,0))</f>
        <v/>
      </c>
      <c r="G545" s="29" t="str">
        <f t="shared" si="40"/>
        <v/>
      </c>
      <c r="H545" s="29" t="str">
        <f t="shared" si="41"/>
        <v/>
      </c>
      <c r="I545" s="29" t="str">
        <f t="shared" si="42"/>
        <v/>
      </c>
      <c r="J545" s="29" t="str">
        <f t="shared" si="43"/>
        <v/>
      </c>
      <c r="K545" s="29" t="str">
        <f t="shared" si="44"/>
        <v/>
      </c>
    </row>
    <row r="546" spans="1:11" ht="15" x14ac:dyDescent="0.25">
      <c r="A546" s="1" t="str">
        <f>IF('1.1 Produksi Bersih Padi 2025'!A546="","",'1.1 Produksi Bersih Padi 2025'!A546)</f>
        <v/>
      </c>
      <c r="B546" s="31" t="str">
        <f>IF('1.1 Produksi Bersih Padi 2025'!B546="","",'1.1 Produksi Bersih Padi 2025'!B546)</f>
        <v/>
      </c>
      <c r="C546" s="31" t="str">
        <f>IF('1.1 Produksi Bersih Padi 2025'!C546="","",'1.1 Produksi Bersih Padi 2025'!C546)</f>
        <v/>
      </c>
      <c r="D546" s="1" t="str">
        <f>IF('1.1 Produksi Bersih Padi 2025'!D546="","",'1.1 Produksi Bersih Padi 2025'!D546)</f>
        <v/>
      </c>
      <c r="E546" s="1" t="str">
        <f>IF('1.1 Produksi Bersih Padi 2025'!E546="","",'1.1 Produksi Bersih Padi 2025'!E546)</f>
        <v/>
      </c>
      <c r="F546" s="28" t="str">
        <f>IF(D546="","",VLOOKUP(D546,'[1]0.1 Produksi Pangan &amp; Penduduk'!$D$5:$AK$860,34,0))</f>
        <v/>
      </c>
      <c r="G546" s="29" t="str">
        <f t="shared" si="40"/>
        <v/>
      </c>
      <c r="H546" s="29" t="str">
        <f t="shared" si="41"/>
        <v/>
      </c>
      <c r="I546" s="29" t="str">
        <f t="shared" si="42"/>
        <v/>
      </c>
      <c r="J546" s="29" t="str">
        <f t="shared" si="43"/>
        <v/>
      </c>
      <c r="K546" s="29" t="str">
        <f t="shared" si="44"/>
        <v/>
      </c>
    </row>
    <row r="547" spans="1:11" ht="15" x14ac:dyDescent="0.25">
      <c r="A547" s="1" t="str">
        <f>IF('1.1 Produksi Bersih Padi 2025'!A547="","",'1.1 Produksi Bersih Padi 2025'!A547)</f>
        <v/>
      </c>
      <c r="B547" s="31" t="str">
        <f>IF('1.1 Produksi Bersih Padi 2025'!B547="","",'1.1 Produksi Bersih Padi 2025'!B547)</f>
        <v/>
      </c>
      <c r="C547" s="31" t="str">
        <f>IF('1.1 Produksi Bersih Padi 2025'!C547="","",'1.1 Produksi Bersih Padi 2025'!C547)</f>
        <v/>
      </c>
      <c r="D547" s="1" t="str">
        <f>IF('1.1 Produksi Bersih Padi 2025'!D547="","",'1.1 Produksi Bersih Padi 2025'!D547)</f>
        <v/>
      </c>
      <c r="E547" s="1" t="str">
        <f>IF('1.1 Produksi Bersih Padi 2025'!E547="","",'1.1 Produksi Bersih Padi 2025'!E547)</f>
        <v/>
      </c>
      <c r="F547" s="28" t="str">
        <f>IF(D547="","",VLOOKUP(D547,'[1]0.1 Produksi Pangan &amp; Penduduk'!$D$5:$AK$860,34,0))</f>
        <v/>
      </c>
      <c r="G547" s="29" t="str">
        <f t="shared" si="40"/>
        <v/>
      </c>
      <c r="H547" s="29" t="str">
        <f t="shared" si="41"/>
        <v/>
      </c>
      <c r="I547" s="29" t="str">
        <f t="shared" si="42"/>
        <v/>
      </c>
      <c r="J547" s="29" t="str">
        <f t="shared" si="43"/>
        <v/>
      </c>
      <c r="K547" s="29" t="str">
        <f t="shared" si="44"/>
        <v/>
      </c>
    </row>
    <row r="548" spans="1:11" ht="15" x14ac:dyDescent="0.25">
      <c r="A548" s="1" t="str">
        <f>IF('1.1 Produksi Bersih Padi 2025'!A548="","",'1.1 Produksi Bersih Padi 2025'!A548)</f>
        <v/>
      </c>
      <c r="B548" s="31" t="str">
        <f>IF('1.1 Produksi Bersih Padi 2025'!B548="","",'1.1 Produksi Bersih Padi 2025'!B548)</f>
        <v/>
      </c>
      <c r="C548" s="31" t="str">
        <f>IF('1.1 Produksi Bersih Padi 2025'!C548="","",'1.1 Produksi Bersih Padi 2025'!C548)</f>
        <v/>
      </c>
      <c r="D548" s="1" t="str">
        <f>IF('1.1 Produksi Bersih Padi 2025'!D548="","",'1.1 Produksi Bersih Padi 2025'!D548)</f>
        <v/>
      </c>
      <c r="E548" s="1" t="str">
        <f>IF('1.1 Produksi Bersih Padi 2025'!E548="","",'1.1 Produksi Bersih Padi 2025'!E548)</f>
        <v/>
      </c>
      <c r="F548" s="28" t="str">
        <f>IF(D548="","",VLOOKUP(D548,'[1]0.1 Produksi Pangan &amp; Penduduk'!$D$5:$AK$860,34,0))</f>
        <v/>
      </c>
      <c r="G548" s="29" t="str">
        <f t="shared" si="40"/>
        <v/>
      </c>
      <c r="H548" s="29" t="str">
        <f t="shared" si="41"/>
        <v/>
      </c>
      <c r="I548" s="29" t="str">
        <f t="shared" si="42"/>
        <v/>
      </c>
      <c r="J548" s="29" t="str">
        <f t="shared" si="43"/>
        <v/>
      </c>
      <c r="K548" s="29" t="str">
        <f t="shared" si="44"/>
        <v/>
      </c>
    </row>
    <row r="549" spans="1:11" ht="15" x14ac:dyDescent="0.25">
      <c r="A549" s="1" t="str">
        <f>IF('1.1 Produksi Bersih Padi 2025'!A549="","",'1.1 Produksi Bersih Padi 2025'!A549)</f>
        <v/>
      </c>
      <c r="B549" s="31" t="str">
        <f>IF('1.1 Produksi Bersih Padi 2025'!B549="","",'1.1 Produksi Bersih Padi 2025'!B549)</f>
        <v/>
      </c>
      <c r="C549" s="31" t="str">
        <f>IF('1.1 Produksi Bersih Padi 2025'!C549="","",'1.1 Produksi Bersih Padi 2025'!C549)</f>
        <v/>
      </c>
      <c r="D549" s="1" t="str">
        <f>IF('1.1 Produksi Bersih Padi 2025'!D549="","",'1.1 Produksi Bersih Padi 2025'!D549)</f>
        <v/>
      </c>
      <c r="E549" s="1" t="str">
        <f>IF('1.1 Produksi Bersih Padi 2025'!E549="","",'1.1 Produksi Bersih Padi 2025'!E549)</f>
        <v/>
      </c>
      <c r="F549" s="28" t="str">
        <f>IF(D549="","",VLOOKUP(D549,'[1]0.1 Produksi Pangan &amp; Penduduk'!$D$5:$AK$860,34,0))</f>
        <v/>
      </c>
      <c r="G549" s="29" t="str">
        <f t="shared" si="40"/>
        <v/>
      </c>
      <c r="H549" s="29" t="str">
        <f t="shared" si="41"/>
        <v/>
      </c>
      <c r="I549" s="29" t="str">
        <f t="shared" si="42"/>
        <v/>
      </c>
      <c r="J549" s="29" t="str">
        <f t="shared" si="43"/>
        <v/>
      </c>
      <c r="K549" s="29" t="str">
        <f t="shared" si="44"/>
        <v/>
      </c>
    </row>
    <row r="550" spans="1:11" ht="15" x14ac:dyDescent="0.25">
      <c r="A550" s="1" t="str">
        <f>IF('1.1 Produksi Bersih Padi 2025'!A550="","",'1.1 Produksi Bersih Padi 2025'!A550)</f>
        <v/>
      </c>
      <c r="B550" s="31" t="str">
        <f>IF('1.1 Produksi Bersih Padi 2025'!B550="","",'1.1 Produksi Bersih Padi 2025'!B550)</f>
        <v/>
      </c>
      <c r="C550" s="31" t="str">
        <f>IF('1.1 Produksi Bersih Padi 2025'!C550="","",'1.1 Produksi Bersih Padi 2025'!C550)</f>
        <v/>
      </c>
      <c r="D550" s="1" t="str">
        <f>IF('1.1 Produksi Bersih Padi 2025'!D550="","",'1.1 Produksi Bersih Padi 2025'!D550)</f>
        <v/>
      </c>
      <c r="E550" s="1" t="str">
        <f>IF('1.1 Produksi Bersih Padi 2025'!E550="","",'1.1 Produksi Bersih Padi 2025'!E550)</f>
        <v/>
      </c>
      <c r="F550" s="28" t="str">
        <f>IF(D550="","",VLOOKUP(D550,'[1]0.1 Produksi Pangan &amp; Penduduk'!$D$5:$AK$860,34,0))</f>
        <v/>
      </c>
      <c r="G550" s="29" t="str">
        <f t="shared" si="40"/>
        <v/>
      </c>
      <c r="H550" s="29" t="str">
        <f t="shared" si="41"/>
        <v/>
      </c>
      <c r="I550" s="29" t="str">
        <f t="shared" si="42"/>
        <v/>
      </c>
      <c r="J550" s="29" t="str">
        <f t="shared" si="43"/>
        <v/>
      </c>
      <c r="K550" s="29" t="str">
        <f t="shared" si="44"/>
        <v/>
      </c>
    </row>
    <row r="551" spans="1:11" ht="15" x14ac:dyDescent="0.25">
      <c r="A551" s="1" t="str">
        <f>IF('1.1 Produksi Bersih Padi 2025'!A551="","",'1.1 Produksi Bersih Padi 2025'!A551)</f>
        <v/>
      </c>
      <c r="B551" s="31" t="str">
        <f>IF('1.1 Produksi Bersih Padi 2025'!B551="","",'1.1 Produksi Bersih Padi 2025'!B551)</f>
        <v/>
      </c>
      <c r="C551" s="31" t="str">
        <f>IF('1.1 Produksi Bersih Padi 2025'!C551="","",'1.1 Produksi Bersih Padi 2025'!C551)</f>
        <v/>
      </c>
      <c r="D551" s="1" t="str">
        <f>IF('1.1 Produksi Bersih Padi 2025'!D551="","",'1.1 Produksi Bersih Padi 2025'!D551)</f>
        <v/>
      </c>
      <c r="E551" s="1" t="str">
        <f>IF('1.1 Produksi Bersih Padi 2025'!E551="","",'1.1 Produksi Bersih Padi 2025'!E551)</f>
        <v/>
      </c>
      <c r="F551" s="28" t="str">
        <f>IF(D551="","",VLOOKUP(D551,'[1]0.1 Produksi Pangan &amp; Penduduk'!$D$5:$AK$860,34,0))</f>
        <v/>
      </c>
      <c r="G551" s="29" t="str">
        <f t="shared" si="40"/>
        <v/>
      </c>
      <c r="H551" s="29" t="str">
        <f t="shared" si="41"/>
        <v/>
      </c>
      <c r="I551" s="29" t="str">
        <f t="shared" si="42"/>
        <v/>
      </c>
      <c r="J551" s="29" t="str">
        <f t="shared" si="43"/>
        <v/>
      </c>
      <c r="K551" s="29" t="str">
        <f t="shared" si="44"/>
        <v/>
      </c>
    </row>
    <row r="552" spans="1:11" ht="15" x14ac:dyDescent="0.25">
      <c r="A552" s="1" t="str">
        <f>IF('1.1 Produksi Bersih Padi 2025'!A552="","",'1.1 Produksi Bersih Padi 2025'!A552)</f>
        <v/>
      </c>
      <c r="B552" s="31" t="str">
        <f>IF('1.1 Produksi Bersih Padi 2025'!B552="","",'1.1 Produksi Bersih Padi 2025'!B552)</f>
        <v/>
      </c>
      <c r="C552" s="31" t="str">
        <f>IF('1.1 Produksi Bersih Padi 2025'!C552="","",'1.1 Produksi Bersih Padi 2025'!C552)</f>
        <v/>
      </c>
      <c r="D552" s="1" t="str">
        <f>IF('1.1 Produksi Bersih Padi 2025'!D552="","",'1.1 Produksi Bersih Padi 2025'!D552)</f>
        <v/>
      </c>
      <c r="E552" s="1" t="str">
        <f>IF('1.1 Produksi Bersih Padi 2025'!E552="","",'1.1 Produksi Bersih Padi 2025'!E552)</f>
        <v/>
      </c>
      <c r="F552" s="28" t="str">
        <f>IF(D552="","",VLOOKUP(D552,'[1]0.1 Produksi Pangan &amp; Penduduk'!$D$5:$AK$860,34,0))</f>
        <v/>
      </c>
      <c r="G552" s="29" t="str">
        <f t="shared" si="40"/>
        <v/>
      </c>
      <c r="H552" s="29" t="str">
        <f t="shared" si="41"/>
        <v/>
      </c>
      <c r="I552" s="29" t="str">
        <f t="shared" si="42"/>
        <v/>
      </c>
      <c r="J552" s="29" t="str">
        <f t="shared" si="43"/>
        <v/>
      </c>
      <c r="K552" s="29" t="str">
        <f t="shared" si="44"/>
        <v/>
      </c>
    </row>
    <row r="553" spans="1:11" ht="15" x14ac:dyDescent="0.25">
      <c r="A553" s="1" t="str">
        <f>IF('1.1 Produksi Bersih Padi 2025'!A553="","",'1.1 Produksi Bersih Padi 2025'!A553)</f>
        <v/>
      </c>
      <c r="B553" s="31" t="str">
        <f>IF('1.1 Produksi Bersih Padi 2025'!B553="","",'1.1 Produksi Bersih Padi 2025'!B553)</f>
        <v/>
      </c>
      <c r="C553" s="31" t="str">
        <f>IF('1.1 Produksi Bersih Padi 2025'!C553="","",'1.1 Produksi Bersih Padi 2025'!C553)</f>
        <v/>
      </c>
      <c r="D553" s="1" t="str">
        <f>IF('1.1 Produksi Bersih Padi 2025'!D553="","",'1.1 Produksi Bersih Padi 2025'!D553)</f>
        <v/>
      </c>
      <c r="E553" s="1" t="str">
        <f>IF('1.1 Produksi Bersih Padi 2025'!E553="","",'1.1 Produksi Bersih Padi 2025'!E553)</f>
        <v/>
      </c>
      <c r="F553" s="28" t="str">
        <f>IF(D553="","",VLOOKUP(D553,'[1]0.1 Produksi Pangan &amp; Penduduk'!$D$5:$AK$860,34,0))</f>
        <v/>
      </c>
      <c r="G553" s="29" t="str">
        <f t="shared" si="40"/>
        <v/>
      </c>
      <c r="H553" s="29" t="str">
        <f t="shared" si="41"/>
        <v/>
      </c>
      <c r="I553" s="29" t="str">
        <f t="shared" si="42"/>
        <v/>
      </c>
      <c r="J553" s="29" t="str">
        <f t="shared" si="43"/>
        <v/>
      </c>
      <c r="K553" s="29" t="str">
        <f t="shared" si="44"/>
        <v/>
      </c>
    </row>
    <row r="554" spans="1:11" ht="15" x14ac:dyDescent="0.25">
      <c r="A554" s="1" t="str">
        <f>IF('1.1 Produksi Bersih Padi 2025'!A554="","",'1.1 Produksi Bersih Padi 2025'!A554)</f>
        <v/>
      </c>
      <c r="B554" s="31" t="str">
        <f>IF('1.1 Produksi Bersih Padi 2025'!B554="","",'1.1 Produksi Bersih Padi 2025'!B554)</f>
        <v/>
      </c>
      <c r="C554" s="31" t="str">
        <f>IF('1.1 Produksi Bersih Padi 2025'!C554="","",'1.1 Produksi Bersih Padi 2025'!C554)</f>
        <v/>
      </c>
      <c r="D554" s="1" t="str">
        <f>IF('1.1 Produksi Bersih Padi 2025'!D554="","",'1.1 Produksi Bersih Padi 2025'!D554)</f>
        <v/>
      </c>
      <c r="E554" s="1" t="str">
        <f>IF('1.1 Produksi Bersih Padi 2025'!E554="","",'1.1 Produksi Bersih Padi 2025'!E554)</f>
        <v/>
      </c>
      <c r="F554" s="28" t="str">
        <f>IF(D554="","",VLOOKUP(D554,'[1]0.1 Produksi Pangan &amp; Penduduk'!$D$5:$AK$860,34,0))</f>
        <v/>
      </c>
      <c r="G554" s="29" t="str">
        <f t="shared" si="40"/>
        <v/>
      </c>
      <c r="H554" s="29" t="str">
        <f t="shared" si="41"/>
        <v/>
      </c>
      <c r="I554" s="29" t="str">
        <f t="shared" si="42"/>
        <v/>
      </c>
      <c r="J554" s="29" t="str">
        <f t="shared" si="43"/>
        <v/>
      </c>
      <c r="K554" s="29" t="str">
        <f t="shared" si="44"/>
        <v/>
      </c>
    </row>
    <row r="555" spans="1:11" ht="15" x14ac:dyDescent="0.25">
      <c r="A555" s="1" t="str">
        <f>IF('1.1 Produksi Bersih Padi 2025'!A555="","",'1.1 Produksi Bersih Padi 2025'!A555)</f>
        <v/>
      </c>
      <c r="B555" s="31" t="str">
        <f>IF('1.1 Produksi Bersih Padi 2025'!B555="","",'1.1 Produksi Bersih Padi 2025'!B555)</f>
        <v/>
      </c>
      <c r="C555" s="31" t="str">
        <f>IF('1.1 Produksi Bersih Padi 2025'!C555="","",'1.1 Produksi Bersih Padi 2025'!C555)</f>
        <v/>
      </c>
      <c r="D555" s="1" t="str">
        <f>IF('1.1 Produksi Bersih Padi 2025'!D555="","",'1.1 Produksi Bersih Padi 2025'!D555)</f>
        <v/>
      </c>
      <c r="E555" s="1" t="str">
        <f>IF('1.1 Produksi Bersih Padi 2025'!E555="","",'1.1 Produksi Bersih Padi 2025'!E555)</f>
        <v/>
      </c>
      <c r="F555" s="28" t="str">
        <f>IF(D555="","",VLOOKUP(D555,'[1]0.1 Produksi Pangan &amp; Penduduk'!$D$5:$AK$860,34,0))</f>
        <v/>
      </c>
      <c r="G555" s="29" t="str">
        <f t="shared" si="40"/>
        <v/>
      </c>
      <c r="H555" s="29" t="str">
        <f t="shared" si="41"/>
        <v/>
      </c>
      <c r="I555" s="29" t="str">
        <f t="shared" si="42"/>
        <v/>
      </c>
      <c r="J555" s="29" t="str">
        <f t="shared" si="43"/>
        <v/>
      </c>
      <c r="K555" s="29" t="str">
        <f t="shared" si="44"/>
        <v/>
      </c>
    </row>
    <row r="556" spans="1:11" ht="15" x14ac:dyDescent="0.25">
      <c r="A556" s="1" t="str">
        <f>IF('1.1 Produksi Bersih Padi 2025'!A556="","",'1.1 Produksi Bersih Padi 2025'!A556)</f>
        <v/>
      </c>
      <c r="B556" s="31" t="str">
        <f>IF('1.1 Produksi Bersih Padi 2025'!B556="","",'1.1 Produksi Bersih Padi 2025'!B556)</f>
        <v/>
      </c>
      <c r="C556" s="31" t="str">
        <f>IF('1.1 Produksi Bersih Padi 2025'!C556="","",'1.1 Produksi Bersih Padi 2025'!C556)</f>
        <v/>
      </c>
      <c r="D556" s="1" t="str">
        <f>IF('1.1 Produksi Bersih Padi 2025'!D556="","",'1.1 Produksi Bersih Padi 2025'!D556)</f>
        <v/>
      </c>
      <c r="E556" s="1" t="str">
        <f>IF('1.1 Produksi Bersih Padi 2025'!E556="","",'1.1 Produksi Bersih Padi 2025'!E556)</f>
        <v/>
      </c>
      <c r="F556" s="28" t="str">
        <f>IF(D556="","",VLOOKUP(D556,'[1]0.1 Produksi Pangan &amp; Penduduk'!$D$5:$AK$860,34,0))</f>
        <v/>
      </c>
      <c r="G556" s="29" t="str">
        <f t="shared" si="40"/>
        <v/>
      </c>
      <c r="H556" s="29" t="str">
        <f t="shared" si="41"/>
        <v/>
      </c>
      <c r="I556" s="29" t="str">
        <f t="shared" si="42"/>
        <v/>
      </c>
      <c r="J556" s="29" t="str">
        <f t="shared" si="43"/>
        <v/>
      </c>
      <c r="K556" s="29" t="str">
        <f t="shared" si="44"/>
        <v/>
      </c>
    </row>
    <row r="557" spans="1:11" ht="15" x14ac:dyDescent="0.25">
      <c r="A557" s="1" t="str">
        <f>IF('1.1 Produksi Bersih Padi 2025'!A557="","",'1.1 Produksi Bersih Padi 2025'!A557)</f>
        <v/>
      </c>
      <c r="B557" s="31" t="str">
        <f>IF('1.1 Produksi Bersih Padi 2025'!B557="","",'1.1 Produksi Bersih Padi 2025'!B557)</f>
        <v/>
      </c>
      <c r="C557" s="31" t="str">
        <f>IF('1.1 Produksi Bersih Padi 2025'!C557="","",'1.1 Produksi Bersih Padi 2025'!C557)</f>
        <v/>
      </c>
      <c r="D557" s="1" t="str">
        <f>IF('1.1 Produksi Bersih Padi 2025'!D557="","",'1.1 Produksi Bersih Padi 2025'!D557)</f>
        <v/>
      </c>
      <c r="E557" s="1" t="str">
        <f>IF('1.1 Produksi Bersih Padi 2025'!E557="","",'1.1 Produksi Bersih Padi 2025'!E557)</f>
        <v/>
      </c>
      <c r="F557" s="28" t="str">
        <f>IF(D557="","",VLOOKUP(D557,'[1]0.1 Produksi Pangan &amp; Penduduk'!$D$5:$AK$860,34,0))</f>
        <v/>
      </c>
      <c r="G557" s="29" t="str">
        <f t="shared" si="40"/>
        <v/>
      </c>
      <c r="H557" s="29" t="str">
        <f t="shared" si="41"/>
        <v/>
      </c>
      <c r="I557" s="29" t="str">
        <f t="shared" si="42"/>
        <v/>
      </c>
      <c r="J557" s="29" t="str">
        <f t="shared" si="43"/>
        <v/>
      </c>
      <c r="K557" s="29" t="str">
        <f t="shared" si="44"/>
        <v/>
      </c>
    </row>
    <row r="558" spans="1:11" ht="15" x14ac:dyDescent="0.25">
      <c r="A558" s="1" t="str">
        <f>IF('1.1 Produksi Bersih Padi 2025'!A558="","",'1.1 Produksi Bersih Padi 2025'!A558)</f>
        <v/>
      </c>
      <c r="B558" s="31" t="str">
        <f>IF('1.1 Produksi Bersih Padi 2025'!B558="","",'1.1 Produksi Bersih Padi 2025'!B558)</f>
        <v/>
      </c>
      <c r="C558" s="31" t="str">
        <f>IF('1.1 Produksi Bersih Padi 2025'!C558="","",'1.1 Produksi Bersih Padi 2025'!C558)</f>
        <v/>
      </c>
      <c r="D558" s="1" t="str">
        <f>IF('1.1 Produksi Bersih Padi 2025'!D558="","",'1.1 Produksi Bersih Padi 2025'!D558)</f>
        <v/>
      </c>
      <c r="E558" s="1" t="str">
        <f>IF('1.1 Produksi Bersih Padi 2025'!E558="","",'1.1 Produksi Bersih Padi 2025'!E558)</f>
        <v/>
      </c>
      <c r="F558" s="28" t="str">
        <f>IF(D558="","",VLOOKUP(D558,'[1]0.1 Produksi Pangan &amp; Penduduk'!$D$5:$AK$860,34,0))</f>
        <v/>
      </c>
      <c r="G558" s="29" t="str">
        <f t="shared" si="40"/>
        <v/>
      </c>
      <c r="H558" s="29" t="str">
        <f t="shared" si="41"/>
        <v/>
      </c>
      <c r="I558" s="29" t="str">
        <f t="shared" si="42"/>
        <v/>
      </c>
      <c r="J558" s="29" t="str">
        <f t="shared" si="43"/>
        <v/>
      </c>
      <c r="K558" s="29" t="str">
        <f t="shared" si="44"/>
        <v/>
      </c>
    </row>
    <row r="559" spans="1:11" ht="15" x14ac:dyDescent="0.25">
      <c r="A559" s="1" t="str">
        <f>IF('1.1 Produksi Bersih Padi 2025'!A559="","",'1.1 Produksi Bersih Padi 2025'!A559)</f>
        <v/>
      </c>
      <c r="B559" s="31" t="str">
        <f>IF('1.1 Produksi Bersih Padi 2025'!B559="","",'1.1 Produksi Bersih Padi 2025'!B559)</f>
        <v/>
      </c>
      <c r="C559" s="31" t="str">
        <f>IF('1.1 Produksi Bersih Padi 2025'!C559="","",'1.1 Produksi Bersih Padi 2025'!C559)</f>
        <v/>
      </c>
      <c r="D559" s="1" t="str">
        <f>IF('1.1 Produksi Bersih Padi 2025'!D559="","",'1.1 Produksi Bersih Padi 2025'!D559)</f>
        <v/>
      </c>
      <c r="E559" s="1" t="str">
        <f>IF('1.1 Produksi Bersih Padi 2025'!E559="","",'1.1 Produksi Bersih Padi 2025'!E559)</f>
        <v/>
      </c>
      <c r="F559" s="28" t="str">
        <f>IF(D559="","",VLOOKUP(D559,'[1]0.1 Produksi Pangan &amp; Penduduk'!$D$5:$AK$860,34,0))</f>
        <v/>
      </c>
      <c r="G559" s="29" t="str">
        <f t="shared" si="40"/>
        <v/>
      </c>
      <c r="H559" s="29" t="str">
        <f t="shared" si="41"/>
        <v/>
      </c>
      <c r="I559" s="29" t="str">
        <f t="shared" si="42"/>
        <v/>
      </c>
      <c r="J559" s="29" t="str">
        <f t="shared" si="43"/>
        <v/>
      </c>
      <c r="K559" s="29" t="str">
        <f t="shared" si="44"/>
        <v/>
      </c>
    </row>
    <row r="560" spans="1:11" ht="15" x14ac:dyDescent="0.25">
      <c r="A560" s="1" t="str">
        <f>IF('1.1 Produksi Bersih Padi 2025'!A560="","",'1.1 Produksi Bersih Padi 2025'!A560)</f>
        <v/>
      </c>
      <c r="B560" s="31" t="str">
        <f>IF('1.1 Produksi Bersih Padi 2025'!B560="","",'1.1 Produksi Bersih Padi 2025'!B560)</f>
        <v/>
      </c>
      <c r="C560" s="31" t="str">
        <f>IF('1.1 Produksi Bersih Padi 2025'!C560="","",'1.1 Produksi Bersih Padi 2025'!C560)</f>
        <v/>
      </c>
      <c r="D560" s="1" t="str">
        <f>IF('1.1 Produksi Bersih Padi 2025'!D560="","",'1.1 Produksi Bersih Padi 2025'!D560)</f>
        <v/>
      </c>
      <c r="E560" s="1" t="str">
        <f>IF('1.1 Produksi Bersih Padi 2025'!E560="","",'1.1 Produksi Bersih Padi 2025'!E560)</f>
        <v/>
      </c>
      <c r="F560" s="28" t="str">
        <f>IF(D560="","",VLOOKUP(D560,'[1]0.1 Produksi Pangan &amp; Penduduk'!$D$5:$AK$860,34,0))</f>
        <v/>
      </c>
      <c r="G560" s="29" t="str">
        <f t="shared" si="40"/>
        <v/>
      </c>
      <c r="H560" s="29" t="str">
        <f t="shared" si="41"/>
        <v/>
      </c>
      <c r="I560" s="29" t="str">
        <f t="shared" si="42"/>
        <v/>
      </c>
      <c r="J560" s="29" t="str">
        <f t="shared" si="43"/>
        <v/>
      </c>
      <c r="K560" s="29" t="str">
        <f t="shared" si="44"/>
        <v/>
      </c>
    </row>
    <row r="561" spans="1:11" ht="15" x14ac:dyDescent="0.25">
      <c r="A561" s="1" t="str">
        <f>IF('1.1 Produksi Bersih Padi 2025'!A561="","",'1.1 Produksi Bersih Padi 2025'!A561)</f>
        <v/>
      </c>
      <c r="B561" s="31" t="str">
        <f>IF('1.1 Produksi Bersih Padi 2025'!B561="","",'1.1 Produksi Bersih Padi 2025'!B561)</f>
        <v/>
      </c>
      <c r="C561" s="31" t="str">
        <f>IF('1.1 Produksi Bersih Padi 2025'!C561="","",'1.1 Produksi Bersih Padi 2025'!C561)</f>
        <v/>
      </c>
      <c r="D561" s="1" t="str">
        <f>IF('1.1 Produksi Bersih Padi 2025'!D561="","",'1.1 Produksi Bersih Padi 2025'!D561)</f>
        <v/>
      </c>
      <c r="E561" s="1" t="str">
        <f>IF('1.1 Produksi Bersih Padi 2025'!E561="","",'1.1 Produksi Bersih Padi 2025'!E561)</f>
        <v/>
      </c>
      <c r="F561" s="28" t="str">
        <f>IF(D561="","",VLOOKUP(D561,'[1]0.1 Produksi Pangan &amp; Penduduk'!$D$5:$AK$860,34,0))</f>
        <v/>
      </c>
      <c r="G561" s="29" t="str">
        <f t="shared" si="40"/>
        <v/>
      </c>
      <c r="H561" s="29" t="str">
        <f t="shared" si="41"/>
        <v/>
      </c>
      <c r="I561" s="29" t="str">
        <f t="shared" si="42"/>
        <v/>
      </c>
      <c r="J561" s="29" t="str">
        <f t="shared" si="43"/>
        <v/>
      </c>
      <c r="K561" s="29" t="str">
        <f t="shared" si="44"/>
        <v/>
      </c>
    </row>
    <row r="562" spans="1:11" ht="15" x14ac:dyDescent="0.25">
      <c r="A562" s="1" t="str">
        <f>IF('1.1 Produksi Bersih Padi 2025'!A562="","",'1.1 Produksi Bersih Padi 2025'!A562)</f>
        <v/>
      </c>
      <c r="B562" s="31" t="str">
        <f>IF('1.1 Produksi Bersih Padi 2025'!B562="","",'1.1 Produksi Bersih Padi 2025'!B562)</f>
        <v/>
      </c>
      <c r="C562" s="31" t="str">
        <f>IF('1.1 Produksi Bersih Padi 2025'!C562="","",'1.1 Produksi Bersih Padi 2025'!C562)</f>
        <v/>
      </c>
      <c r="D562" s="1" t="str">
        <f>IF('1.1 Produksi Bersih Padi 2025'!D562="","",'1.1 Produksi Bersih Padi 2025'!D562)</f>
        <v/>
      </c>
      <c r="E562" s="1" t="str">
        <f>IF('1.1 Produksi Bersih Padi 2025'!E562="","",'1.1 Produksi Bersih Padi 2025'!E562)</f>
        <v/>
      </c>
      <c r="F562" s="28" t="str">
        <f>IF(D562="","",VLOOKUP(D562,'[1]0.1 Produksi Pangan &amp; Penduduk'!$D$5:$AK$860,34,0))</f>
        <v/>
      </c>
      <c r="G562" s="29" t="str">
        <f t="shared" si="40"/>
        <v/>
      </c>
      <c r="H562" s="29" t="str">
        <f t="shared" si="41"/>
        <v/>
      </c>
      <c r="I562" s="29" t="str">
        <f t="shared" si="42"/>
        <v/>
      </c>
      <c r="J562" s="29" t="str">
        <f t="shared" si="43"/>
        <v/>
      </c>
      <c r="K562" s="29" t="str">
        <f t="shared" si="44"/>
        <v/>
      </c>
    </row>
    <row r="563" spans="1:11" ht="15" x14ac:dyDescent="0.25">
      <c r="A563" s="1" t="str">
        <f>IF('1.1 Produksi Bersih Padi 2025'!A563="","",'1.1 Produksi Bersih Padi 2025'!A563)</f>
        <v/>
      </c>
      <c r="B563" s="31" t="str">
        <f>IF('1.1 Produksi Bersih Padi 2025'!B563="","",'1.1 Produksi Bersih Padi 2025'!B563)</f>
        <v/>
      </c>
      <c r="C563" s="31" t="str">
        <f>IF('1.1 Produksi Bersih Padi 2025'!C563="","",'1.1 Produksi Bersih Padi 2025'!C563)</f>
        <v/>
      </c>
      <c r="D563" s="1" t="str">
        <f>IF('1.1 Produksi Bersih Padi 2025'!D563="","",'1.1 Produksi Bersih Padi 2025'!D563)</f>
        <v/>
      </c>
      <c r="E563" s="1" t="str">
        <f>IF('1.1 Produksi Bersih Padi 2025'!E563="","",'1.1 Produksi Bersih Padi 2025'!E563)</f>
        <v/>
      </c>
      <c r="F563" s="28" t="str">
        <f>IF(D563="","",VLOOKUP(D563,'[1]0.1 Produksi Pangan &amp; Penduduk'!$D$5:$AK$860,34,0))</f>
        <v/>
      </c>
      <c r="G563" s="29" t="str">
        <f t="shared" si="40"/>
        <v/>
      </c>
      <c r="H563" s="29" t="str">
        <f t="shared" si="41"/>
        <v/>
      </c>
      <c r="I563" s="29" t="str">
        <f t="shared" si="42"/>
        <v/>
      </c>
      <c r="J563" s="29" t="str">
        <f t="shared" si="43"/>
        <v/>
      </c>
      <c r="K563" s="29" t="str">
        <f t="shared" si="44"/>
        <v/>
      </c>
    </row>
    <row r="564" spans="1:11" ht="15" x14ac:dyDescent="0.25">
      <c r="A564" s="1" t="str">
        <f>IF('1.1 Produksi Bersih Padi 2025'!A564="","",'1.1 Produksi Bersih Padi 2025'!A564)</f>
        <v/>
      </c>
      <c r="B564" s="31" t="str">
        <f>IF('1.1 Produksi Bersih Padi 2025'!B564="","",'1.1 Produksi Bersih Padi 2025'!B564)</f>
        <v/>
      </c>
      <c r="C564" s="31" t="str">
        <f>IF('1.1 Produksi Bersih Padi 2025'!C564="","",'1.1 Produksi Bersih Padi 2025'!C564)</f>
        <v/>
      </c>
      <c r="D564" s="1" t="str">
        <f>IF('1.1 Produksi Bersih Padi 2025'!D564="","",'1.1 Produksi Bersih Padi 2025'!D564)</f>
        <v/>
      </c>
      <c r="E564" s="1" t="str">
        <f>IF('1.1 Produksi Bersih Padi 2025'!E564="","",'1.1 Produksi Bersih Padi 2025'!E564)</f>
        <v/>
      </c>
      <c r="F564" s="28" t="str">
        <f>IF(D564="","",VLOOKUP(D564,'[1]0.1 Produksi Pangan &amp; Penduduk'!$D$5:$AK$860,34,0))</f>
        <v/>
      </c>
      <c r="G564" s="29" t="str">
        <f t="shared" si="40"/>
        <v/>
      </c>
      <c r="H564" s="29" t="str">
        <f t="shared" si="41"/>
        <v/>
      </c>
      <c r="I564" s="29" t="str">
        <f t="shared" si="42"/>
        <v/>
      </c>
      <c r="J564" s="29" t="str">
        <f t="shared" si="43"/>
        <v/>
      </c>
      <c r="K564" s="29" t="str">
        <f t="shared" si="44"/>
        <v/>
      </c>
    </row>
    <row r="565" spans="1:11" ht="15" x14ac:dyDescent="0.25">
      <c r="A565" s="1" t="str">
        <f>IF('1.1 Produksi Bersih Padi 2025'!A565="","",'1.1 Produksi Bersih Padi 2025'!A565)</f>
        <v/>
      </c>
      <c r="B565" s="31" t="str">
        <f>IF('1.1 Produksi Bersih Padi 2025'!B565="","",'1.1 Produksi Bersih Padi 2025'!B565)</f>
        <v/>
      </c>
      <c r="C565" s="31" t="str">
        <f>IF('1.1 Produksi Bersih Padi 2025'!C565="","",'1.1 Produksi Bersih Padi 2025'!C565)</f>
        <v/>
      </c>
      <c r="D565" s="1" t="str">
        <f>IF('1.1 Produksi Bersih Padi 2025'!D565="","",'1.1 Produksi Bersih Padi 2025'!D565)</f>
        <v/>
      </c>
      <c r="E565" s="1" t="str">
        <f>IF('1.1 Produksi Bersih Padi 2025'!E565="","",'1.1 Produksi Bersih Padi 2025'!E565)</f>
        <v/>
      </c>
      <c r="F565" s="28" t="str">
        <f>IF(D565="","",VLOOKUP(D565,'[1]0.1 Produksi Pangan &amp; Penduduk'!$D$5:$AK$860,34,0))</f>
        <v/>
      </c>
      <c r="G565" s="29" t="str">
        <f t="shared" si="40"/>
        <v/>
      </c>
      <c r="H565" s="29" t="str">
        <f t="shared" si="41"/>
        <v/>
      </c>
      <c r="I565" s="29" t="str">
        <f t="shared" si="42"/>
        <v/>
      </c>
      <c r="J565" s="29" t="str">
        <f t="shared" si="43"/>
        <v/>
      </c>
      <c r="K565" s="29" t="str">
        <f t="shared" si="44"/>
        <v/>
      </c>
    </row>
    <row r="566" spans="1:11" ht="15" x14ac:dyDescent="0.25">
      <c r="A566" s="1" t="str">
        <f>IF('1.1 Produksi Bersih Padi 2025'!A566="","",'1.1 Produksi Bersih Padi 2025'!A566)</f>
        <v/>
      </c>
      <c r="B566" s="31" t="str">
        <f>IF('1.1 Produksi Bersih Padi 2025'!B566="","",'1.1 Produksi Bersih Padi 2025'!B566)</f>
        <v/>
      </c>
      <c r="C566" s="31" t="str">
        <f>IF('1.1 Produksi Bersih Padi 2025'!C566="","",'1.1 Produksi Bersih Padi 2025'!C566)</f>
        <v/>
      </c>
      <c r="D566" s="1" t="str">
        <f>IF('1.1 Produksi Bersih Padi 2025'!D566="","",'1.1 Produksi Bersih Padi 2025'!D566)</f>
        <v/>
      </c>
      <c r="E566" s="1" t="str">
        <f>IF('1.1 Produksi Bersih Padi 2025'!E566="","",'1.1 Produksi Bersih Padi 2025'!E566)</f>
        <v/>
      </c>
      <c r="F566" s="28" t="str">
        <f>IF(D566="","",VLOOKUP(D566,'[1]0.1 Produksi Pangan &amp; Penduduk'!$D$5:$AK$860,34,0))</f>
        <v/>
      </c>
      <c r="G566" s="29" t="str">
        <f t="shared" si="40"/>
        <v/>
      </c>
      <c r="H566" s="29" t="str">
        <f t="shared" si="41"/>
        <v/>
      </c>
      <c r="I566" s="29" t="str">
        <f t="shared" si="42"/>
        <v/>
      </c>
      <c r="J566" s="29" t="str">
        <f t="shared" si="43"/>
        <v/>
      </c>
      <c r="K566" s="29" t="str">
        <f t="shared" si="44"/>
        <v/>
      </c>
    </row>
    <row r="567" spans="1:11" ht="15" x14ac:dyDescent="0.25">
      <c r="A567" s="1" t="str">
        <f>IF('1.1 Produksi Bersih Padi 2025'!A567="","",'1.1 Produksi Bersih Padi 2025'!A567)</f>
        <v/>
      </c>
      <c r="B567" s="31" t="str">
        <f>IF('1.1 Produksi Bersih Padi 2025'!B567="","",'1.1 Produksi Bersih Padi 2025'!B567)</f>
        <v/>
      </c>
      <c r="C567" s="31" t="str">
        <f>IF('1.1 Produksi Bersih Padi 2025'!C567="","",'1.1 Produksi Bersih Padi 2025'!C567)</f>
        <v/>
      </c>
      <c r="D567" s="1" t="str">
        <f>IF('1.1 Produksi Bersih Padi 2025'!D567="","",'1.1 Produksi Bersih Padi 2025'!D567)</f>
        <v/>
      </c>
      <c r="E567" s="1" t="str">
        <f>IF('1.1 Produksi Bersih Padi 2025'!E567="","",'1.1 Produksi Bersih Padi 2025'!E567)</f>
        <v/>
      </c>
      <c r="F567" s="28" t="str">
        <f>IF(D567="","",VLOOKUP(D567,'[1]0.1 Produksi Pangan &amp; Penduduk'!$D$5:$AK$860,34,0))</f>
        <v/>
      </c>
      <c r="G567" s="29" t="str">
        <f t="shared" si="40"/>
        <v/>
      </c>
      <c r="H567" s="29" t="str">
        <f t="shared" si="41"/>
        <v/>
      </c>
      <c r="I567" s="29" t="str">
        <f t="shared" si="42"/>
        <v/>
      </c>
      <c r="J567" s="29" t="str">
        <f t="shared" si="43"/>
        <v/>
      </c>
      <c r="K567" s="29" t="str">
        <f t="shared" si="44"/>
        <v/>
      </c>
    </row>
    <row r="568" spans="1:11" ht="15" x14ac:dyDescent="0.25">
      <c r="A568" s="1" t="str">
        <f>IF('1.1 Produksi Bersih Padi 2025'!A568="","",'1.1 Produksi Bersih Padi 2025'!A568)</f>
        <v/>
      </c>
      <c r="B568" s="31" t="str">
        <f>IF('1.1 Produksi Bersih Padi 2025'!B568="","",'1.1 Produksi Bersih Padi 2025'!B568)</f>
        <v/>
      </c>
      <c r="C568" s="31" t="str">
        <f>IF('1.1 Produksi Bersih Padi 2025'!C568="","",'1.1 Produksi Bersih Padi 2025'!C568)</f>
        <v/>
      </c>
      <c r="D568" s="1" t="str">
        <f>IF('1.1 Produksi Bersih Padi 2025'!D568="","",'1.1 Produksi Bersih Padi 2025'!D568)</f>
        <v/>
      </c>
      <c r="E568" s="1" t="str">
        <f>IF('1.1 Produksi Bersih Padi 2025'!E568="","",'1.1 Produksi Bersih Padi 2025'!E568)</f>
        <v/>
      </c>
      <c r="F568" s="28" t="str">
        <f>IF(D568="","",VLOOKUP(D568,'[1]0.1 Produksi Pangan &amp; Penduduk'!$D$5:$AK$860,34,0))</f>
        <v/>
      </c>
      <c r="G568" s="29" t="str">
        <f t="shared" si="40"/>
        <v/>
      </c>
      <c r="H568" s="29" t="str">
        <f t="shared" si="41"/>
        <v/>
      </c>
      <c r="I568" s="29" t="str">
        <f t="shared" si="42"/>
        <v/>
      </c>
      <c r="J568" s="29" t="str">
        <f t="shared" si="43"/>
        <v/>
      </c>
      <c r="K568" s="29" t="str">
        <f t="shared" si="44"/>
        <v/>
      </c>
    </row>
    <row r="569" spans="1:11" ht="15" x14ac:dyDescent="0.25">
      <c r="A569" s="1" t="str">
        <f>IF('1.1 Produksi Bersih Padi 2025'!A569="","",'1.1 Produksi Bersih Padi 2025'!A569)</f>
        <v/>
      </c>
      <c r="B569" s="31" t="str">
        <f>IF('1.1 Produksi Bersih Padi 2025'!B569="","",'1.1 Produksi Bersih Padi 2025'!B569)</f>
        <v/>
      </c>
      <c r="C569" s="31" t="str">
        <f>IF('1.1 Produksi Bersih Padi 2025'!C569="","",'1.1 Produksi Bersih Padi 2025'!C569)</f>
        <v/>
      </c>
      <c r="D569" s="1" t="str">
        <f>IF('1.1 Produksi Bersih Padi 2025'!D569="","",'1.1 Produksi Bersih Padi 2025'!D569)</f>
        <v/>
      </c>
      <c r="E569" s="1" t="str">
        <f>IF('1.1 Produksi Bersih Padi 2025'!E569="","",'1.1 Produksi Bersih Padi 2025'!E569)</f>
        <v/>
      </c>
      <c r="F569" s="28" t="str">
        <f>IF(D569="","",VLOOKUP(D569,'[1]0.1 Produksi Pangan &amp; Penduduk'!$D$5:$AK$860,34,0))</f>
        <v/>
      </c>
      <c r="G569" s="29" t="str">
        <f t="shared" si="40"/>
        <v/>
      </c>
      <c r="H569" s="29" t="str">
        <f t="shared" si="41"/>
        <v/>
      </c>
      <c r="I569" s="29" t="str">
        <f t="shared" si="42"/>
        <v/>
      </c>
      <c r="J569" s="29" t="str">
        <f t="shared" si="43"/>
        <v/>
      </c>
      <c r="K569" s="29" t="str">
        <f t="shared" si="44"/>
        <v/>
      </c>
    </row>
    <row r="570" spans="1:11" ht="15" x14ac:dyDescent="0.25">
      <c r="A570" s="1" t="str">
        <f>IF('1.1 Produksi Bersih Padi 2025'!A570="","",'1.1 Produksi Bersih Padi 2025'!A570)</f>
        <v/>
      </c>
      <c r="B570" s="31" t="str">
        <f>IF('1.1 Produksi Bersih Padi 2025'!B570="","",'1.1 Produksi Bersih Padi 2025'!B570)</f>
        <v/>
      </c>
      <c r="C570" s="31" t="str">
        <f>IF('1.1 Produksi Bersih Padi 2025'!C570="","",'1.1 Produksi Bersih Padi 2025'!C570)</f>
        <v/>
      </c>
      <c r="D570" s="1" t="str">
        <f>IF('1.1 Produksi Bersih Padi 2025'!D570="","",'1.1 Produksi Bersih Padi 2025'!D570)</f>
        <v/>
      </c>
      <c r="E570" s="1" t="str">
        <f>IF('1.1 Produksi Bersih Padi 2025'!E570="","",'1.1 Produksi Bersih Padi 2025'!E570)</f>
        <v/>
      </c>
      <c r="F570" s="28" t="str">
        <f>IF(D570="","",VLOOKUP(D570,'[1]0.1 Produksi Pangan &amp; Penduduk'!$D$5:$AK$860,34,0))</f>
        <v/>
      </c>
      <c r="G570" s="29" t="str">
        <f t="shared" si="40"/>
        <v/>
      </c>
      <c r="H570" s="29" t="str">
        <f t="shared" si="41"/>
        <v/>
      </c>
      <c r="I570" s="29" t="str">
        <f t="shared" si="42"/>
        <v/>
      </c>
      <c r="J570" s="29" t="str">
        <f t="shared" si="43"/>
        <v/>
      </c>
      <c r="K570" s="29" t="str">
        <f t="shared" si="44"/>
        <v/>
      </c>
    </row>
    <row r="571" spans="1:11" ht="15" x14ac:dyDescent="0.25">
      <c r="A571" s="1" t="str">
        <f>IF('1.1 Produksi Bersih Padi 2025'!A571="","",'1.1 Produksi Bersih Padi 2025'!A571)</f>
        <v/>
      </c>
      <c r="B571" s="31" t="str">
        <f>IF('1.1 Produksi Bersih Padi 2025'!B571="","",'1.1 Produksi Bersih Padi 2025'!B571)</f>
        <v/>
      </c>
      <c r="C571" s="31" t="str">
        <f>IF('1.1 Produksi Bersih Padi 2025'!C571="","",'1.1 Produksi Bersih Padi 2025'!C571)</f>
        <v/>
      </c>
      <c r="D571" s="1" t="str">
        <f>IF('1.1 Produksi Bersih Padi 2025'!D571="","",'1.1 Produksi Bersih Padi 2025'!D571)</f>
        <v/>
      </c>
      <c r="E571" s="1" t="str">
        <f>IF('1.1 Produksi Bersih Padi 2025'!E571="","",'1.1 Produksi Bersih Padi 2025'!E571)</f>
        <v/>
      </c>
      <c r="F571" s="28" t="str">
        <f>IF(D571="","",VLOOKUP(D571,'[1]0.1 Produksi Pangan &amp; Penduduk'!$D$5:$AK$860,34,0))</f>
        <v/>
      </c>
      <c r="G571" s="29" t="str">
        <f t="shared" si="40"/>
        <v/>
      </c>
      <c r="H571" s="29" t="str">
        <f t="shared" si="41"/>
        <v/>
      </c>
      <c r="I571" s="29" t="str">
        <f t="shared" si="42"/>
        <v/>
      </c>
      <c r="J571" s="29" t="str">
        <f t="shared" si="43"/>
        <v/>
      </c>
      <c r="K571" s="29" t="str">
        <f t="shared" si="44"/>
        <v/>
      </c>
    </row>
    <row r="572" spans="1:11" ht="15" x14ac:dyDescent="0.25">
      <c r="A572" s="1" t="str">
        <f>IF('1.1 Produksi Bersih Padi 2025'!A572="","",'1.1 Produksi Bersih Padi 2025'!A572)</f>
        <v/>
      </c>
      <c r="B572" s="31" t="str">
        <f>IF('1.1 Produksi Bersih Padi 2025'!B572="","",'1.1 Produksi Bersih Padi 2025'!B572)</f>
        <v/>
      </c>
      <c r="C572" s="31" t="str">
        <f>IF('1.1 Produksi Bersih Padi 2025'!C572="","",'1.1 Produksi Bersih Padi 2025'!C572)</f>
        <v/>
      </c>
      <c r="D572" s="1" t="str">
        <f>IF('1.1 Produksi Bersih Padi 2025'!D572="","",'1.1 Produksi Bersih Padi 2025'!D572)</f>
        <v/>
      </c>
      <c r="E572" s="1" t="str">
        <f>IF('1.1 Produksi Bersih Padi 2025'!E572="","",'1.1 Produksi Bersih Padi 2025'!E572)</f>
        <v/>
      </c>
      <c r="F572" s="28" t="str">
        <f>IF(D572="","",VLOOKUP(D572,'[1]0.1 Produksi Pangan &amp; Penduduk'!$D$5:$AK$860,34,0))</f>
        <v/>
      </c>
      <c r="G572" s="29" t="str">
        <f t="shared" si="40"/>
        <v/>
      </c>
      <c r="H572" s="29" t="str">
        <f t="shared" si="41"/>
        <v/>
      </c>
      <c r="I572" s="29" t="str">
        <f t="shared" si="42"/>
        <v/>
      </c>
      <c r="J572" s="29" t="str">
        <f t="shared" si="43"/>
        <v/>
      </c>
      <c r="K572" s="29" t="str">
        <f t="shared" si="44"/>
        <v/>
      </c>
    </row>
    <row r="573" spans="1:11" ht="15" x14ac:dyDescent="0.25">
      <c r="A573" s="1" t="str">
        <f>IF('1.1 Produksi Bersih Padi 2025'!A573="","",'1.1 Produksi Bersih Padi 2025'!A573)</f>
        <v/>
      </c>
      <c r="B573" s="31" t="str">
        <f>IF('1.1 Produksi Bersih Padi 2025'!B573="","",'1.1 Produksi Bersih Padi 2025'!B573)</f>
        <v/>
      </c>
      <c r="C573" s="31" t="str">
        <f>IF('1.1 Produksi Bersih Padi 2025'!C573="","",'1.1 Produksi Bersih Padi 2025'!C573)</f>
        <v/>
      </c>
      <c r="D573" s="1" t="str">
        <f>IF('1.1 Produksi Bersih Padi 2025'!D573="","",'1.1 Produksi Bersih Padi 2025'!D573)</f>
        <v/>
      </c>
      <c r="E573" s="1" t="str">
        <f>IF('1.1 Produksi Bersih Padi 2025'!E573="","",'1.1 Produksi Bersih Padi 2025'!E573)</f>
        <v/>
      </c>
      <c r="F573" s="28" t="str">
        <f>IF(D573="","",VLOOKUP(D573,'[1]0.1 Produksi Pangan &amp; Penduduk'!$D$5:$AK$860,34,0))</f>
        <v/>
      </c>
      <c r="G573" s="29" t="str">
        <f t="shared" si="40"/>
        <v/>
      </c>
      <c r="H573" s="29" t="str">
        <f t="shared" si="41"/>
        <v/>
      </c>
      <c r="I573" s="29" t="str">
        <f t="shared" si="42"/>
        <v/>
      </c>
      <c r="J573" s="29" t="str">
        <f t="shared" si="43"/>
        <v/>
      </c>
      <c r="K573" s="29" t="str">
        <f t="shared" si="44"/>
        <v/>
      </c>
    </row>
    <row r="574" spans="1:11" ht="15" x14ac:dyDescent="0.25">
      <c r="A574" s="1" t="str">
        <f>IF('1.1 Produksi Bersih Padi 2025'!A574="","",'1.1 Produksi Bersih Padi 2025'!A574)</f>
        <v/>
      </c>
      <c r="B574" s="31" t="str">
        <f>IF('1.1 Produksi Bersih Padi 2025'!B574="","",'1.1 Produksi Bersih Padi 2025'!B574)</f>
        <v/>
      </c>
      <c r="C574" s="31" t="str">
        <f>IF('1.1 Produksi Bersih Padi 2025'!C574="","",'1.1 Produksi Bersih Padi 2025'!C574)</f>
        <v/>
      </c>
      <c r="D574" s="1" t="str">
        <f>IF('1.1 Produksi Bersih Padi 2025'!D574="","",'1.1 Produksi Bersih Padi 2025'!D574)</f>
        <v/>
      </c>
      <c r="E574" s="1" t="str">
        <f>IF('1.1 Produksi Bersih Padi 2025'!E574="","",'1.1 Produksi Bersih Padi 2025'!E574)</f>
        <v/>
      </c>
      <c r="F574" s="28" t="str">
        <f>IF(D574="","",VLOOKUP(D574,'[1]0.1 Produksi Pangan &amp; Penduduk'!$D$5:$AK$860,34,0))</f>
        <v/>
      </c>
      <c r="G574" s="29" t="str">
        <f t="shared" si="40"/>
        <v/>
      </c>
      <c r="H574" s="29" t="str">
        <f t="shared" si="41"/>
        <v/>
      </c>
      <c r="I574" s="29" t="str">
        <f t="shared" si="42"/>
        <v/>
      </c>
      <c r="J574" s="29" t="str">
        <f t="shared" si="43"/>
        <v/>
      </c>
      <c r="K574" s="29" t="str">
        <f t="shared" si="44"/>
        <v/>
      </c>
    </row>
    <row r="575" spans="1:11" ht="15" x14ac:dyDescent="0.25">
      <c r="A575" s="1" t="str">
        <f>IF('1.1 Produksi Bersih Padi 2025'!A575="","",'1.1 Produksi Bersih Padi 2025'!A575)</f>
        <v/>
      </c>
      <c r="B575" s="31" t="str">
        <f>IF('1.1 Produksi Bersih Padi 2025'!B575="","",'1.1 Produksi Bersih Padi 2025'!B575)</f>
        <v/>
      </c>
      <c r="C575" s="31" t="str">
        <f>IF('1.1 Produksi Bersih Padi 2025'!C575="","",'1.1 Produksi Bersih Padi 2025'!C575)</f>
        <v/>
      </c>
      <c r="D575" s="1" t="str">
        <f>IF('1.1 Produksi Bersih Padi 2025'!D575="","",'1.1 Produksi Bersih Padi 2025'!D575)</f>
        <v/>
      </c>
      <c r="E575" s="1" t="str">
        <f>IF('1.1 Produksi Bersih Padi 2025'!E575="","",'1.1 Produksi Bersih Padi 2025'!E575)</f>
        <v/>
      </c>
      <c r="F575" s="28" t="str">
        <f>IF(D575="","",VLOOKUP(D575,'[1]0.1 Produksi Pangan &amp; Penduduk'!$D$5:$AK$860,34,0))</f>
        <v/>
      </c>
      <c r="G575" s="29" t="str">
        <f t="shared" si="40"/>
        <v/>
      </c>
      <c r="H575" s="29" t="str">
        <f t="shared" si="41"/>
        <v/>
      </c>
      <c r="I575" s="29" t="str">
        <f t="shared" si="42"/>
        <v/>
      </c>
      <c r="J575" s="29" t="str">
        <f t="shared" si="43"/>
        <v/>
      </c>
      <c r="K575" s="29" t="str">
        <f t="shared" si="44"/>
        <v/>
      </c>
    </row>
    <row r="576" spans="1:11" ht="15" x14ac:dyDescent="0.25">
      <c r="A576" s="1" t="str">
        <f>IF('1.1 Produksi Bersih Padi 2025'!A576="","",'1.1 Produksi Bersih Padi 2025'!A576)</f>
        <v/>
      </c>
      <c r="B576" s="31" t="str">
        <f>IF('1.1 Produksi Bersih Padi 2025'!B576="","",'1.1 Produksi Bersih Padi 2025'!B576)</f>
        <v/>
      </c>
      <c r="C576" s="31" t="str">
        <f>IF('1.1 Produksi Bersih Padi 2025'!C576="","",'1.1 Produksi Bersih Padi 2025'!C576)</f>
        <v/>
      </c>
      <c r="D576" s="1" t="str">
        <f>IF('1.1 Produksi Bersih Padi 2025'!D576="","",'1.1 Produksi Bersih Padi 2025'!D576)</f>
        <v/>
      </c>
      <c r="E576" s="1" t="str">
        <f>IF('1.1 Produksi Bersih Padi 2025'!E576="","",'1.1 Produksi Bersih Padi 2025'!E576)</f>
        <v/>
      </c>
      <c r="F576" s="28" t="str">
        <f>IF(D576="","",VLOOKUP(D576,'[1]0.1 Produksi Pangan &amp; Penduduk'!$D$5:$AK$860,34,0))</f>
        <v/>
      </c>
      <c r="G576" s="29" t="str">
        <f t="shared" si="40"/>
        <v/>
      </c>
      <c r="H576" s="29" t="str">
        <f t="shared" si="41"/>
        <v/>
      </c>
      <c r="I576" s="29" t="str">
        <f t="shared" si="42"/>
        <v/>
      </c>
      <c r="J576" s="29" t="str">
        <f t="shared" si="43"/>
        <v/>
      </c>
      <c r="K576" s="29" t="str">
        <f t="shared" si="44"/>
        <v/>
      </c>
    </row>
    <row r="577" spans="1:11" ht="15" x14ac:dyDescent="0.25">
      <c r="A577" s="1" t="str">
        <f>IF('1.1 Produksi Bersih Padi 2025'!A577="","",'1.1 Produksi Bersih Padi 2025'!A577)</f>
        <v/>
      </c>
      <c r="B577" s="31" t="str">
        <f>IF('1.1 Produksi Bersih Padi 2025'!B577="","",'1.1 Produksi Bersih Padi 2025'!B577)</f>
        <v/>
      </c>
      <c r="C577" s="31" t="str">
        <f>IF('1.1 Produksi Bersih Padi 2025'!C577="","",'1.1 Produksi Bersih Padi 2025'!C577)</f>
        <v/>
      </c>
      <c r="D577" s="1" t="str">
        <f>IF('1.1 Produksi Bersih Padi 2025'!D577="","",'1.1 Produksi Bersih Padi 2025'!D577)</f>
        <v/>
      </c>
      <c r="E577" s="1" t="str">
        <f>IF('1.1 Produksi Bersih Padi 2025'!E577="","",'1.1 Produksi Bersih Padi 2025'!E577)</f>
        <v/>
      </c>
      <c r="F577" s="28" t="str">
        <f>IF(D577="","",VLOOKUP(D577,'[1]0.1 Produksi Pangan &amp; Penduduk'!$D$5:$AK$860,34,0))</f>
        <v/>
      </c>
      <c r="G577" s="29" t="str">
        <f t="shared" si="40"/>
        <v/>
      </c>
      <c r="H577" s="29" t="str">
        <f t="shared" si="41"/>
        <v/>
      </c>
      <c r="I577" s="29" t="str">
        <f t="shared" si="42"/>
        <v/>
      </c>
      <c r="J577" s="29" t="str">
        <f t="shared" si="43"/>
        <v/>
      </c>
      <c r="K577" s="29" t="str">
        <f t="shared" si="44"/>
        <v/>
      </c>
    </row>
    <row r="578" spans="1:11" ht="15" x14ac:dyDescent="0.25">
      <c r="A578" s="1" t="str">
        <f>IF('1.1 Produksi Bersih Padi 2025'!A578="","",'1.1 Produksi Bersih Padi 2025'!A578)</f>
        <v/>
      </c>
      <c r="B578" s="31" t="str">
        <f>IF('1.1 Produksi Bersih Padi 2025'!B578="","",'1.1 Produksi Bersih Padi 2025'!B578)</f>
        <v/>
      </c>
      <c r="C578" s="31" t="str">
        <f>IF('1.1 Produksi Bersih Padi 2025'!C578="","",'1.1 Produksi Bersih Padi 2025'!C578)</f>
        <v/>
      </c>
      <c r="D578" s="1" t="str">
        <f>IF('1.1 Produksi Bersih Padi 2025'!D578="","",'1.1 Produksi Bersih Padi 2025'!D578)</f>
        <v/>
      </c>
      <c r="E578" s="1" t="str">
        <f>IF('1.1 Produksi Bersih Padi 2025'!E578="","",'1.1 Produksi Bersih Padi 2025'!E578)</f>
        <v/>
      </c>
      <c r="F578" s="28" t="str">
        <f>IF(D578="","",VLOOKUP(D578,'[1]0.1 Produksi Pangan &amp; Penduduk'!$D$5:$AK$860,34,0))</f>
        <v/>
      </c>
      <c r="G578" s="29" t="str">
        <f t="shared" si="40"/>
        <v/>
      </c>
      <c r="H578" s="29" t="str">
        <f t="shared" si="41"/>
        <v/>
      </c>
      <c r="I578" s="29" t="str">
        <f t="shared" si="42"/>
        <v/>
      </c>
      <c r="J578" s="29" t="str">
        <f t="shared" si="43"/>
        <v/>
      </c>
      <c r="K578" s="29" t="str">
        <f t="shared" si="44"/>
        <v/>
      </c>
    </row>
    <row r="579" spans="1:11" ht="15" x14ac:dyDescent="0.25">
      <c r="A579" s="1" t="str">
        <f>IF('1.1 Produksi Bersih Padi 2025'!A579="","",'1.1 Produksi Bersih Padi 2025'!A579)</f>
        <v/>
      </c>
      <c r="B579" s="31" t="str">
        <f>IF('1.1 Produksi Bersih Padi 2025'!B579="","",'1.1 Produksi Bersih Padi 2025'!B579)</f>
        <v/>
      </c>
      <c r="C579" s="31" t="str">
        <f>IF('1.1 Produksi Bersih Padi 2025'!C579="","",'1.1 Produksi Bersih Padi 2025'!C579)</f>
        <v/>
      </c>
      <c r="D579" s="1" t="str">
        <f>IF('1.1 Produksi Bersih Padi 2025'!D579="","",'1.1 Produksi Bersih Padi 2025'!D579)</f>
        <v/>
      </c>
      <c r="E579" s="1" t="str">
        <f>IF('1.1 Produksi Bersih Padi 2025'!E579="","",'1.1 Produksi Bersih Padi 2025'!E579)</f>
        <v/>
      </c>
      <c r="F579" s="28" t="str">
        <f>IF(D579="","",VLOOKUP(D579,'[1]0.1 Produksi Pangan &amp; Penduduk'!$D$5:$AK$860,34,0))</f>
        <v/>
      </c>
      <c r="G579" s="29" t="str">
        <f t="shared" si="40"/>
        <v/>
      </c>
      <c r="H579" s="29" t="str">
        <f t="shared" si="41"/>
        <v/>
      </c>
      <c r="I579" s="29" t="str">
        <f t="shared" si="42"/>
        <v/>
      </c>
      <c r="J579" s="29" t="str">
        <f t="shared" si="43"/>
        <v/>
      </c>
      <c r="K579" s="29" t="str">
        <f t="shared" si="44"/>
        <v/>
      </c>
    </row>
    <row r="580" spans="1:11" ht="15" x14ac:dyDescent="0.25">
      <c r="A580" s="1" t="str">
        <f>IF('1.1 Produksi Bersih Padi 2025'!A580="","",'1.1 Produksi Bersih Padi 2025'!A580)</f>
        <v/>
      </c>
      <c r="B580" s="31" t="str">
        <f>IF('1.1 Produksi Bersih Padi 2025'!B580="","",'1.1 Produksi Bersih Padi 2025'!B580)</f>
        <v/>
      </c>
      <c r="C580" s="31" t="str">
        <f>IF('1.1 Produksi Bersih Padi 2025'!C580="","",'1.1 Produksi Bersih Padi 2025'!C580)</f>
        <v/>
      </c>
      <c r="D580" s="1" t="str">
        <f>IF('1.1 Produksi Bersih Padi 2025'!D580="","",'1.1 Produksi Bersih Padi 2025'!D580)</f>
        <v/>
      </c>
      <c r="E580" s="1" t="str">
        <f>IF('1.1 Produksi Bersih Padi 2025'!E580="","",'1.1 Produksi Bersih Padi 2025'!E580)</f>
        <v/>
      </c>
      <c r="F580" s="28" t="str">
        <f>IF(D580="","",VLOOKUP(D580,'[1]0.1 Produksi Pangan &amp; Penduduk'!$D$5:$AK$860,34,0))</f>
        <v/>
      </c>
      <c r="G580" s="29" t="str">
        <f t="shared" si="40"/>
        <v/>
      </c>
      <c r="H580" s="29" t="str">
        <f t="shared" si="41"/>
        <v/>
      </c>
      <c r="I580" s="29" t="str">
        <f t="shared" si="42"/>
        <v/>
      </c>
      <c r="J580" s="29" t="str">
        <f t="shared" si="43"/>
        <v/>
      </c>
      <c r="K580" s="29" t="str">
        <f t="shared" si="44"/>
        <v/>
      </c>
    </row>
    <row r="581" spans="1:11" ht="15" x14ac:dyDescent="0.25">
      <c r="A581" s="1" t="str">
        <f>IF('1.1 Produksi Bersih Padi 2025'!A581="","",'1.1 Produksi Bersih Padi 2025'!A581)</f>
        <v/>
      </c>
      <c r="B581" s="31" t="str">
        <f>IF('1.1 Produksi Bersih Padi 2025'!B581="","",'1.1 Produksi Bersih Padi 2025'!B581)</f>
        <v/>
      </c>
      <c r="C581" s="31" t="str">
        <f>IF('1.1 Produksi Bersih Padi 2025'!C581="","",'1.1 Produksi Bersih Padi 2025'!C581)</f>
        <v/>
      </c>
      <c r="D581" s="1" t="str">
        <f>IF('1.1 Produksi Bersih Padi 2025'!D581="","",'1.1 Produksi Bersih Padi 2025'!D581)</f>
        <v/>
      </c>
      <c r="E581" s="1" t="str">
        <f>IF('1.1 Produksi Bersih Padi 2025'!E581="","",'1.1 Produksi Bersih Padi 2025'!E581)</f>
        <v/>
      </c>
      <c r="F581" s="28" t="str">
        <f>IF(D581="","",VLOOKUP(D581,'[1]0.1 Produksi Pangan &amp; Penduduk'!$D$5:$AK$860,34,0))</f>
        <v/>
      </c>
      <c r="G581" s="29" t="str">
        <f t="shared" si="40"/>
        <v/>
      </c>
      <c r="H581" s="29" t="str">
        <f t="shared" si="41"/>
        <v/>
      </c>
      <c r="I581" s="29" t="str">
        <f t="shared" si="42"/>
        <v/>
      </c>
      <c r="J581" s="29" t="str">
        <f t="shared" si="43"/>
        <v/>
      </c>
      <c r="K581" s="29" t="str">
        <f t="shared" si="44"/>
        <v/>
      </c>
    </row>
    <row r="582" spans="1:11" ht="15" x14ac:dyDescent="0.25">
      <c r="A582" s="1" t="str">
        <f>IF('1.1 Produksi Bersih Padi 2025'!A582="","",'1.1 Produksi Bersih Padi 2025'!A582)</f>
        <v/>
      </c>
      <c r="B582" s="31" t="str">
        <f>IF('1.1 Produksi Bersih Padi 2025'!B582="","",'1.1 Produksi Bersih Padi 2025'!B582)</f>
        <v/>
      </c>
      <c r="C582" s="31" t="str">
        <f>IF('1.1 Produksi Bersih Padi 2025'!C582="","",'1.1 Produksi Bersih Padi 2025'!C582)</f>
        <v/>
      </c>
      <c r="D582" s="1" t="str">
        <f>IF('1.1 Produksi Bersih Padi 2025'!D582="","",'1.1 Produksi Bersih Padi 2025'!D582)</f>
        <v/>
      </c>
      <c r="E582" s="1" t="str">
        <f>IF('1.1 Produksi Bersih Padi 2025'!E582="","",'1.1 Produksi Bersih Padi 2025'!E582)</f>
        <v/>
      </c>
      <c r="F582" s="28" t="str">
        <f>IF(D582="","",VLOOKUP(D582,'[1]0.1 Produksi Pangan &amp; Penduduk'!$D$5:$AK$860,34,0))</f>
        <v/>
      </c>
      <c r="G582" s="29" t="str">
        <f t="shared" ref="G582:G645" si="45">IF(F582="","",F582*0%)</f>
        <v/>
      </c>
      <c r="H582" s="29" t="str">
        <f t="shared" ref="H582:H645" si="46">IF(F582="","",F582*0%)</f>
        <v/>
      </c>
      <c r="I582" s="29" t="str">
        <f t="shared" ref="I582:I645" si="47">IF(F582="","",F582*0.72%)</f>
        <v/>
      </c>
      <c r="J582" s="29" t="str">
        <f t="shared" ref="J582:J645" si="48">IF(F582="","",F582-(G582+H582+I582))</f>
        <v/>
      </c>
      <c r="K582" s="29" t="str">
        <f t="shared" ref="K582:K645" si="49">IF(J582="","",J582*0.64)</f>
        <v/>
      </c>
    </row>
    <row r="583" spans="1:11" ht="15" x14ac:dyDescent="0.25">
      <c r="A583" s="1" t="str">
        <f>IF('1.1 Produksi Bersih Padi 2025'!A583="","",'1.1 Produksi Bersih Padi 2025'!A583)</f>
        <v/>
      </c>
      <c r="B583" s="31" t="str">
        <f>IF('1.1 Produksi Bersih Padi 2025'!B583="","",'1.1 Produksi Bersih Padi 2025'!B583)</f>
        <v/>
      </c>
      <c r="C583" s="31" t="str">
        <f>IF('1.1 Produksi Bersih Padi 2025'!C583="","",'1.1 Produksi Bersih Padi 2025'!C583)</f>
        <v/>
      </c>
      <c r="D583" s="1" t="str">
        <f>IF('1.1 Produksi Bersih Padi 2025'!D583="","",'1.1 Produksi Bersih Padi 2025'!D583)</f>
        <v/>
      </c>
      <c r="E583" s="1" t="str">
        <f>IF('1.1 Produksi Bersih Padi 2025'!E583="","",'1.1 Produksi Bersih Padi 2025'!E583)</f>
        <v/>
      </c>
      <c r="F583" s="28" t="str">
        <f>IF(D583="","",VLOOKUP(D583,'[1]0.1 Produksi Pangan &amp; Penduduk'!$D$5:$AK$860,34,0))</f>
        <v/>
      </c>
      <c r="G583" s="29" t="str">
        <f t="shared" si="45"/>
        <v/>
      </c>
      <c r="H583" s="29" t="str">
        <f t="shared" si="46"/>
        <v/>
      </c>
      <c r="I583" s="29" t="str">
        <f t="shared" si="47"/>
        <v/>
      </c>
      <c r="J583" s="29" t="str">
        <f t="shared" si="48"/>
        <v/>
      </c>
      <c r="K583" s="29" t="str">
        <f t="shared" si="49"/>
        <v/>
      </c>
    </row>
    <row r="584" spans="1:11" ht="15" x14ac:dyDescent="0.25">
      <c r="A584" s="1" t="str">
        <f>IF('1.1 Produksi Bersih Padi 2025'!A584="","",'1.1 Produksi Bersih Padi 2025'!A584)</f>
        <v/>
      </c>
      <c r="B584" s="31" t="str">
        <f>IF('1.1 Produksi Bersih Padi 2025'!B584="","",'1.1 Produksi Bersih Padi 2025'!B584)</f>
        <v/>
      </c>
      <c r="C584" s="31" t="str">
        <f>IF('1.1 Produksi Bersih Padi 2025'!C584="","",'1.1 Produksi Bersih Padi 2025'!C584)</f>
        <v/>
      </c>
      <c r="D584" s="1" t="str">
        <f>IF('1.1 Produksi Bersih Padi 2025'!D584="","",'1.1 Produksi Bersih Padi 2025'!D584)</f>
        <v/>
      </c>
      <c r="E584" s="1" t="str">
        <f>IF('1.1 Produksi Bersih Padi 2025'!E584="","",'1.1 Produksi Bersih Padi 2025'!E584)</f>
        <v/>
      </c>
      <c r="F584" s="28" t="str">
        <f>IF(D584="","",VLOOKUP(D584,'[1]0.1 Produksi Pangan &amp; Penduduk'!$D$5:$AK$860,34,0))</f>
        <v/>
      </c>
      <c r="G584" s="29" t="str">
        <f t="shared" si="45"/>
        <v/>
      </c>
      <c r="H584" s="29" t="str">
        <f t="shared" si="46"/>
        <v/>
      </c>
      <c r="I584" s="29" t="str">
        <f t="shared" si="47"/>
        <v/>
      </c>
      <c r="J584" s="29" t="str">
        <f t="shared" si="48"/>
        <v/>
      </c>
      <c r="K584" s="29" t="str">
        <f t="shared" si="49"/>
        <v/>
      </c>
    </row>
    <row r="585" spans="1:11" ht="15" x14ac:dyDescent="0.25">
      <c r="A585" s="1" t="str">
        <f>IF('1.1 Produksi Bersih Padi 2025'!A585="","",'1.1 Produksi Bersih Padi 2025'!A585)</f>
        <v/>
      </c>
      <c r="B585" s="31" t="str">
        <f>IF('1.1 Produksi Bersih Padi 2025'!B585="","",'1.1 Produksi Bersih Padi 2025'!B585)</f>
        <v/>
      </c>
      <c r="C585" s="31" t="str">
        <f>IF('1.1 Produksi Bersih Padi 2025'!C585="","",'1.1 Produksi Bersih Padi 2025'!C585)</f>
        <v/>
      </c>
      <c r="D585" s="1" t="str">
        <f>IF('1.1 Produksi Bersih Padi 2025'!D585="","",'1.1 Produksi Bersih Padi 2025'!D585)</f>
        <v/>
      </c>
      <c r="E585" s="1" t="str">
        <f>IF('1.1 Produksi Bersih Padi 2025'!E585="","",'1.1 Produksi Bersih Padi 2025'!E585)</f>
        <v/>
      </c>
      <c r="F585" s="28" t="str">
        <f>IF(D585="","",VLOOKUP(D585,'[1]0.1 Produksi Pangan &amp; Penduduk'!$D$5:$AK$860,34,0))</f>
        <v/>
      </c>
      <c r="G585" s="29" t="str">
        <f t="shared" si="45"/>
        <v/>
      </c>
      <c r="H585" s="29" t="str">
        <f t="shared" si="46"/>
        <v/>
      </c>
      <c r="I585" s="29" t="str">
        <f t="shared" si="47"/>
        <v/>
      </c>
      <c r="J585" s="29" t="str">
        <f t="shared" si="48"/>
        <v/>
      </c>
      <c r="K585" s="29" t="str">
        <f t="shared" si="49"/>
        <v/>
      </c>
    </row>
    <row r="586" spans="1:11" ht="15" x14ac:dyDescent="0.25">
      <c r="A586" s="1" t="str">
        <f>IF('1.1 Produksi Bersih Padi 2025'!A586="","",'1.1 Produksi Bersih Padi 2025'!A586)</f>
        <v/>
      </c>
      <c r="B586" s="31" t="str">
        <f>IF('1.1 Produksi Bersih Padi 2025'!B586="","",'1.1 Produksi Bersih Padi 2025'!B586)</f>
        <v/>
      </c>
      <c r="C586" s="31" t="str">
        <f>IF('1.1 Produksi Bersih Padi 2025'!C586="","",'1.1 Produksi Bersih Padi 2025'!C586)</f>
        <v/>
      </c>
      <c r="D586" s="1" t="str">
        <f>IF('1.1 Produksi Bersih Padi 2025'!D586="","",'1.1 Produksi Bersih Padi 2025'!D586)</f>
        <v/>
      </c>
      <c r="E586" s="1" t="str">
        <f>IF('1.1 Produksi Bersih Padi 2025'!E586="","",'1.1 Produksi Bersih Padi 2025'!E586)</f>
        <v/>
      </c>
      <c r="F586" s="28" t="str">
        <f>IF(D586="","",VLOOKUP(D586,'[1]0.1 Produksi Pangan &amp; Penduduk'!$D$5:$AK$860,34,0))</f>
        <v/>
      </c>
      <c r="G586" s="29" t="str">
        <f t="shared" si="45"/>
        <v/>
      </c>
      <c r="H586" s="29" t="str">
        <f t="shared" si="46"/>
        <v/>
      </c>
      <c r="I586" s="29" t="str">
        <f t="shared" si="47"/>
        <v/>
      </c>
      <c r="J586" s="29" t="str">
        <f t="shared" si="48"/>
        <v/>
      </c>
      <c r="K586" s="29" t="str">
        <f t="shared" si="49"/>
        <v/>
      </c>
    </row>
    <row r="587" spans="1:11" ht="15" x14ac:dyDescent="0.25">
      <c r="A587" s="1" t="str">
        <f>IF('1.1 Produksi Bersih Padi 2025'!A587="","",'1.1 Produksi Bersih Padi 2025'!A587)</f>
        <v/>
      </c>
      <c r="B587" s="31" t="str">
        <f>IF('1.1 Produksi Bersih Padi 2025'!B587="","",'1.1 Produksi Bersih Padi 2025'!B587)</f>
        <v/>
      </c>
      <c r="C587" s="31" t="str">
        <f>IF('1.1 Produksi Bersih Padi 2025'!C587="","",'1.1 Produksi Bersih Padi 2025'!C587)</f>
        <v/>
      </c>
      <c r="D587" s="1" t="str">
        <f>IF('1.1 Produksi Bersih Padi 2025'!D587="","",'1.1 Produksi Bersih Padi 2025'!D587)</f>
        <v/>
      </c>
      <c r="E587" s="1" t="str">
        <f>IF('1.1 Produksi Bersih Padi 2025'!E587="","",'1.1 Produksi Bersih Padi 2025'!E587)</f>
        <v/>
      </c>
      <c r="F587" s="28" t="str">
        <f>IF(D587="","",VLOOKUP(D587,'[1]0.1 Produksi Pangan &amp; Penduduk'!$D$5:$AK$860,34,0))</f>
        <v/>
      </c>
      <c r="G587" s="29" t="str">
        <f t="shared" si="45"/>
        <v/>
      </c>
      <c r="H587" s="29" t="str">
        <f t="shared" si="46"/>
        <v/>
      </c>
      <c r="I587" s="29" t="str">
        <f t="shared" si="47"/>
        <v/>
      </c>
      <c r="J587" s="29" t="str">
        <f t="shared" si="48"/>
        <v/>
      </c>
      <c r="K587" s="29" t="str">
        <f t="shared" si="49"/>
        <v/>
      </c>
    </row>
    <row r="588" spans="1:11" ht="15" x14ac:dyDescent="0.25">
      <c r="A588" s="1" t="str">
        <f>IF('1.1 Produksi Bersih Padi 2025'!A588="","",'1.1 Produksi Bersih Padi 2025'!A588)</f>
        <v/>
      </c>
      <c r="B588" s="31" t="str">
        <f>IF('1.1 Produksi Bersih Padi 2025'!B588="","",'1.1 Produksi Bersih Padi 2025'!B588)</f>
        <v/>
      </c>
      <c r="C588" s="31" t="str">
        <f>IF('1.1 Produksi Bersih Padi 2025'!C588="","",'1.1 Produksi Bersih Padi 2025'!C588)</f>
        <v/>
      </c>
      <c r="D588" s="1" t="str">
        <f>IF('1.1 Produksi Bersih Padi 2025'!D588="","",'1.1 Produksi Bersih Padi 2025'!D588)</f>
        <v/>
      </c>
      <c r="E588" s="1" t="str">
        <f>IF('1.1 Produksi Bersih Padi 2025'!E588="","",'1.1 Produksi Bersih Padi 2025'!E588)</f>
        <v/>
      </c>
      <c r="F588" s="28" t="str">
        <f>IF(D588="","",VLOOKUP(D588,'[1]0.1 Produksi Pangan &amp; Penduduk'!$D$5:$AK$860,34,0))</f>
        <v/>
      </c>
      <c r="G588" s="29" t="str">
        <f t="shared" si="45"/>
        <v/>
      </c>
      <c r="H588" s="29" t="str">
        <f t="shared" si="46"/>
        <v/>
      </c>
      <c r="I588" s="29" t="str">
        <f t="shared" si="47"/>
        <v/>
      </c>
      <c r="J588" s="29" t="str">
        <f t="shared" si="48"/>
        <v/>
      </c>
      <c r="K588" s="29" t="str">
        <f t="shared" si="49"/>
        <v/>
      </c>
    </row>
    <row r="589" spans="1:11" ht="15" x14ac:dyDescent="0.25">
      <c r="A589" s="1" t="str">
        <f>IF('1.1 Produksi Bersih Padi 2025'!A589="","",'1.1 Produksi Bersih Padi 2025'!A589)</f>
        <v/>
      </c>
      <c r="B589" s="31" t="str">
        <f>IF('1.1 Produksi Bersih Padi 2025'!B589="","",'1.1 Produksi Bersih Padi 2025'!B589)</f>
        <v/>
      </c>
      <c r="C589" s="31" t="str">
        <f>IF('1.1 Produksi Bersih Padi 2025'!C589="","",'1.1 Produksi Bersih Padi 2025'!C589)</f>
        <v/>
      </c>
      <c r="D589" s="1" t="str">
        <f>IF('1.1 Produksi Bersih Padi 2025'!D589="","",'1.1 Produksi Bersih Padi 2025'!D589)</f>
        <v/>
      </c>
      <c r="E589" s="1" t="str">
        <f>IF('1.1 Produksi Bersih Padi 2025'!E589="","",'1.1 Produksi Bersih Padi 2025'!E589)</f>
        <v/>
      </c>
      <c r="F589" s="28" t="str">
        <f>IF(D589="","",VLOOKUP(D589,'[1]0.1 Produksi Pangan &amp; Penduduk'!$D$5:$AK$860,34,0))</f>
        <v/>
      </c>
      <c r="G589" s="29" t="str">
        <f t="shared" si="45"/>
        <v/>
      </c>
      <c r="H589" s="29" t="str">
        <f t="shared" si="46"/>
        <v/>
      </c>
      <c r="I589" s="29" t="str">
        <f t="shared" si="47"/>
        <v/>
      </c>
      <c r="J589" s="29" t="str">
        <f t="shared" si="48"/>
        <v/>
      </c>
      <c r="K589" s="29" t="str">
        <f t="shared" si="49"/>
        <v/>
      </c>
    </row>
    <row r="590" spans="1:11" ht="15" x14ac:dyDescent="0.25">
      <c r="A590" s="1" t="str">
        <f>IF('1.1 Produksi Bersih Padi 2025'!A590="","",'1.1 Produksi Bersih Padi 2025'!A590)</f>
        <v/>
      </c>
      <c r="B590" s="31" t="str">
        <f>IF('1.1 Produksi Bersih Padi 2025'!B590="","",'1.1 Produksi Bersih Padi 2025'!B590)</f>
        <v/>
      </c>
      <c r="C590" s="31" t="str">
        <f>IF('1.1 Produksi Bersih Padi 2025'!C590="","",'1.1 Produksi Bersih Padi 2025'!C590)</f>
        <v/>
      </c>
      <c r="D590" s="1" t="str">
        <f>IF('1.1 Produksi Bersih Padi 2025'!D590="","",'1.1 Produksi Bersih Padi 2025'!D590)</f>
        <v/>
      </c>
      <c r="E590" s="1" t="str">
        <f>IF('1.1 Produksi Bersih Padi 2025'!E590="","",'1.1 Produksi Bersih Padi 2025'!E590)</f>
        <v/>
      </c>
      <c r="F590" s="28" t="str">
        <f>IF(D590="","",VLOOKUP(D590,'[1]0.1 Produksi Pangan &amp; Penduduk'!$D$5:$AK$860,34,0))</f>
        <v/>
      </c>
      <c r="G590" s="29" t="str">
        <f t="shared" si="45"/>
        <v/>
      </c>
      <c r="H590" s="29" t="str">
        <f t="shared" si="46"/>
        <v/>
      </c>
      <c r="I590" s="29" t="str">
        <f t="shared" si="47"/>
        <v/>
      </c>
      <c r="J590" s="29" t="str">
        <f t="shared" si="48"/>
        <v/>
      </c>
      <c r="K590" s="29" t="str">
        <f t="shared" si="49"/>
        <v/>
      </c>
    </row>
    <row r="591" spans="1:11" ht="15" x14ac:dyDescent="0.25">
      <c r="A591" s="1" t="str">
        <f>IF('1.1 Produksi Bersih Padi 2025'!A591="","",'1.1 Produksi Bersih Padi 2025'!A591)</f>
        <v/>
      </c>
      <c r="B591" s="31" t="str">
        <f>IF('1.1 Produksi Bersih Padi 2025'!B591="","",'1.1 Produksi Bersih Padi 2025'!B591)</f>
        <v/>
      </c>
      <c r="C591" s="31" t="str">
        <f>IF('1.1 Produksi Bersih Padi 2025'!C591="","",'1.1 Produksi Bersih Padi 2025'!C591)</f>
        <v/>
      </c>
      <c r="D591" s="1" t="str">
        <f>IF('1.1 Produksi Bersih Padi 2025'!D591="","",'1.1 Produksi Bersih Padi 2025'!D591)</f>
        <v/>
      </c>
      <c r="E591" s="1" t="str">
        <f>IF('1.1 Produksi Bersih Padi 2025'!E591="","",'1.1 Produksi Bersih Padi 2025'!E591)</f>
        <v/>
      </c>
      <c r="F591" s="28" t="str">
        <f>IF(D591="","",VLOOKUP(D591,'[1]0.1 Produksi Pangan &amp; Penduduk'!$D$5:$AK$860,34,0))</f>
        <v/>
      </c>
      <c r="G591" s="29" t="str">
        <f t="shared" si="45"/>
        <v/>
      </c>
      <c r="H591" s="29" t="str">
        <f t="shared" si="46"/>
        <v/>
      </c>
      <c r="I591" s="29" t="str">
        <f t="shared" si="47"/>
        <v/>
      </c>
      <c r="J591" s="29" t="str">
        <f t="shared" si="48"/>
        <v/>
      </c>
      <c r="K591" s="29" t="str">
        <f t="shared" si="49"/>
        <v/>
      </c>
    </row>
    <row r="592" spans="1:11" ht="15" x14ac:dyDescent="0.25">
      <c r="A592" s="1" t="str">
        <f>IF('1.1 Produksi Bersih Padi 2025'!A592="","",'1.1 Produksi Bersih Padi 2025'!A592)</f>
        <v/>
      </c>
      <c r="B592" s="31" t="str">
        <f>IF('1.1 Produksi Bersih Padi 2025'!B592="","",'1.1 Produksi Bersih Padi 2025'!B592)</f>
        <v/>
      </c>
      <c r="C592" s="31" t="str">
        <f>IF('1.1 Produksi Bersih Padi 2025'!C592="","",'1.1 Produksi Bersih Padi 2025'!C592)</f>
        <v/>
      </c>
      <c r="D592" s="1" t="str">
        <f>IF('1.1 Produksi Bersih Padi 2025'!D592="","",'1.1 Produksi Bersih Padi 2025'!D592)</f>
        <v/>
      </c>
      <c r="E592" s="1" t="str">
        <f>IF('1.1 Produksi Bersih Padi 2025'!E592="","",'1.1 Produksi Bersih Padi 2025'!E592)</f>
        <v/>
      </c>
      <c r="F592" s="28" t="str">
        <f>IF(D592="","",VLOOKUP(D592,'[1]0.1 Produksi Pangan &amp; Penduduk'!$D$5:$AK$860,34,0))</f>
        <v/>
      </c>
      <c r="G592" s="29" t="str">
        <f t="shared" si="45"/>
        <v/>
      </c>
      <c r="H592" s="29" t="str">
        <f t="shared" si="46"/>
        <v/>
      </c>
      <c r="I592" s="29" t="str">
        <f t="shared" si="47"/>
        <v/>
      </c>
      <c r="J592" s="29" t="str">
        <f t="shared" si="48"/>
        <v/>
      </c>
      <c r="K592" s="29" t="str">
        <f t="shared" si="49"/>
        <v/>
      </c>
    </row>
    <row r="593" spans="1:11" ht="15" x14ac:dyDescent="0.25">
      <c r="A593" s="1" t="str">
        <f>IF('1.1 Produksi Bersih Padi 2025'!A593="","",'1.1 Produksi Bersih Padi 2025'!A593)</f>
        <v/>
      </c>
      <c r="B593" s="31" t="str">
        <f>IF('1.1 Produksi Bersih Padi 2025'!B593="","",'1.1 Produksi Bersih Padi 2025'!B593)</f>
        <v/>
      </c>
      <c r="C593" s="31" t="str">
        <f>IF('1.1 Produksi Bersih Padi 2025'!C593="","",'1.1 Produksi Bersih Padi 2025'!C593)</f>
        <v/>
      </c>
      <c r="D593" s="1" t="str">
        <f>IF('1.1 Produksi Bersih Padi 2025'!D593="","",'1.1 Produksi Bersih Padi 2025'!D593)</f>
        <v/>
      </c>
      <c r="E593" s="1" t="str">
        <f>IF('1.1 Produksi Bersih Padi 2025'!E593="","",'1.1 Produksi Bersih Padi 2025'!E593)</f>
        <v/>
      </c>
      <c r="F593" s="28" t="str">
        <f>IF(D593="","",VLOOKUP(D593,'[1]0.1 Produksi Pangan &amp; Penduduk'!$D$5:$AK$860,34,0))</f>
        <v/>
      </c>
      <c r="G593" s="29" t="str">
        <f t="shared" si="45"/>
        <v/>
      </c>
      <c r="H593" s="29" t="str">
        <f t="shared" si="46"/>
        <v/>
      </c>
      <c r="I593" s="29" t="str">
        <f t="shared" si="47"/>
        <v/>
      </c>
      <c r="J593" s="29" t="str">
        <f t="shared" si="48"/>
        <v/>
      </c>
      <c r="K593" s="29" t="str">
        <f t="shared" si="49"/>
        <v/>
      </c>
    </row>
    <row r="594" spans="1:11" ht="15" x14ac:dyDescent="0.25">
      <c r="A594" s="1" t="str">
        <f>IF('1.1 Produksi Bersih Padi 2025'!A594="","",'1.1 Produksi Bersih Padi 2025'!A594)</f>
        <v/>
      </c>
      <c r="B594" s="31" t="str">
        <f>IF('1.1 Produksi Bersih Padi 2025'!B594="","",'1.1 Produksi Bersih Padi 2025'!B594)</f>
        <v/>
      </c>
      <c r="C594" s="31" t="str">
        <f>IF('1.1 Produksi Bersih Padi 2025'!C594="","",'1.1 Produksi Bersih Padi 2025'!C594)</f>
        <v/>
      </c>
      <c r="D594" s="1" t="str">
        <f>IF('1.1 Produksi Bersih Padi 2025'!D594="","",'1.1 Produksi Bersih Padi 2025'!D594)</f>
        <v/>
      </c>
      <c r="E594" s="1" t="str">
        <f>IF('1.1 Produksi Bersih Padi 2025'!E594="","",'1.1 Produksi Bersih Padi 2025'!E594)</f>
        <v/>
      </c>
      <c r="F594" s="28" t="str">
        <f>IF(D594="","",VLOOKUP(D594,'[1]0.1 Produksi Pangan &amp; Penduduk'!$D$5:$AK$860,34,0))</f>
        <v/>
      </c>
      <c r="G594" s="29" t="str">
        <f t="shared" si="45"/>
        <v/>
      </c>
      <c r="H594" s="29" t="str">
        <f t="shared" si="46"/>
        <v/>
      </c>
      <c r="I594" s="29" t="str">
        <f t="shared" si="47"/>
        <v/>
      </c>
      <c r="J594" s="29" t="str">
        <f t="shared" si="48"/>
        <v/>
      </c>
      <c r="K594" s="29" t="str">
        <f t="shared" si="49"/>
        <v/>
      </c>
    </row>
    <row r="595" spans="1:11" ht="15" x14ac:dyDescent="0.25">
      <c r="A595" s="1" t="str">
        <f>IF('1.1 Produksi Bersih Padi 2025'!A595="","",'1.1 Produksi Bersih Padi 2025'!A595)</f>
        <v/>
      </c>
      <c r="B595" s="31" t="str">
        <f>IF('1.1 Produksi Bersih Padi 2025'!B595="","",'1.1 Produksi Bersih Padi 2025'!B595)</f>
        <v/>
      </c>
      <c r="C595" s="31" t="str">
        <f>IF('1.1 Produksi Bersih Padi 2025'!C595="","",'1.1 Produksi Bersih Padi 2025'!C595)</f>
        <v/>
      </c>
      <c r="D595" s="1" t="str">
        <f>IF('1.1 Produksi Bersih Padi 2025'!D595="","",'1.1 Produksi Bersih Padi 2025'!D595)</f>
        <v/>
      </c>
      <c r="E595" s="1" t="str">
        <f>IF('1.1 Produksi Bersih Padi 2025'!E595="","",'1.1 Produksi Bersih Padi 2025'!E595)</f>
        <v/>
      </c>
      <c r="F595" s="28" t="str">
        <f>IF(D595="","",VLOOKUP(D595,'[1]0.1 Produksi Pangan &amp; Penduduk'!$D$5:$AK$860,34,0))</f>
        <v/>
      </c>
      <c r="G595" s="29" t="str">
        <f t="shared" si="45"/>
        <v/>
      </c>
      <c r="H595" s="29" t="str">
        <f t="shared" si="46"/>
        <v/>
      </c>
      <c r="I595" s="29" t="str">
        <f t="shared" si="47"/>
        <v/>
      </c>
      <c r="J595" s="29" t="str">
        <f t="shared" si="48"/>
        <v/>
      </c>
      <c r="K595" s="29" t="str">
        <f t="shared" si="49"/>
        <v/>
      </c>
    </row>
    <row r="596" spans="1:11" ht="15" x14ac:dyDescent="0.25">
      <c r="A596" s="1" t="str">
        <f>IF('1.1 Produksi Bersih Padi 2025'!A596="","",'1.1 Produksi Bersih Padi 2025'!A596)</f>
        <v/>
      </c>
      <c r="B596" s="31" t="str">
        <f>IF('1.1 Produksi Bersih Padi 2025'!B596="","",'1.1 Produksi Bersih Padi 2025'!B596)</f>
        <v/>
      </c>
      <c r="C596" s="31" t="str">
        <f>IF('1.1 Produksi Bersih Padi 2025'!C596="","",'1.1 Produksi Bersih Padi 2025'!C596)</f>
        <v/>
      </c>
      <c r="D596" s="1" t="str">
        <f>IF('1.1 Produksi Bersih Padi 2025'!D596="","",'1.1 Produksi Bersih Padi 2025'!D596)</f>
        <v/>
      </c>
      <c r="E596" s="1" t="str">
        <f>IF('1.1 Produksi Bersih Padi 2025'!E596="","",'1.1 Produksi Bersih Padi 2025'!E596)</f>
        <v/>
      </c>
      <c r="F596" s="28" t="str">
        <f>IF(D596="","",VLOOKUP(D596,'[1]0.1 Produksi Pangan &amp; Penduduk'!$D$5:$AK$860,34,0))</f>
        <v/>
      </c>
      <c r="G596" s="29" t="str">
        <f t="shared" si="45"/>
        <v/>
      </c>
      <c r="H596" s="29" t="str">
        <f t="shared" si="46"/>
        <v/>
      </c>
      <c r="I596" s="29" t="str">
        <f t="shared" si="47"/>
        <v/>
      </c>
      <c r="J596" s="29" t="str">
        <f t="shared" si="48"/>
        <v/>
      </c>
      <c r="K596" s="29" t="str">
        <f t="shared" si="49"/>
        <v/>
      </c>
    </row>
    <row r="597" spans="1:11" ht="15" x14ac:dyDescent="0.25">
      <c r="A597" s="1" t="str">
        <f>IF('1.1 Produksi Bersih Padi 2025'!A597="","",'1.1 Produksi Bersih Padi 2025'!A597)</f>
        <v/>
      </c>
      <c r="B597" s="31" t="str">
        <f>IF('1.1 Produksi Bersih Padi 2025'!B597="","",'1.1 Produksi Bersih Padi 2025'!B597)</f>
        <v/>
      </c>
      <c r="C597" s="31" t="str">
        <f>IF('1.1 Produksi Bersih Padi 2025'!C597="","",'1.1 Produksi Bersih Padi 2025'!C597)</f>
        <v/>
      </c>
      <c r="D597" s="1" t="str">
        <f>IF('1.1 Produksi Bersih Padi 2025'!D597="","",'1.1 Produksi Bersih Padi 2025'!D597)</f>
        <v/>
      </c>
      <c r="E597" s="1" t="str">
        <f>IF('1.1 Produksi Bersih Padi 2025'!E597="","",'1.1 Produksi Bersih Padi 2025'!E597)</f>
        <v/>
      </c>
      <c r="F597" s="28" t="str">
        <f>IF(D597="","",VLOOKUP(D597,'[1]0.1 Produksi Pangan &amp; Penduduk'!$D$5:$AK$860,34,0))</f>
        <v/>
      </c>
      <c r="G597" s="29" t="str">
        <f t="shared" si="45"/>
        <v/>
      </c>
      <c r="H597" s="29" t="str">
        <f t="shared" si="46"/>
        <v/>
      </c>
      <c r="I597" s="29" t="str">
        <f t="shared" si="47"/>
        <v/>
      </c>
      <c r="J597" s="29" t="str">
        <f t="shared" si="48"/>
        <v/>
      </c>
      <c r="K597" s="29" t="str">
        <f t="shared" si="49"/>
        <v/>
      </c>
    </row>
    <row r="598" spans="1:11" ht="15" x14ac:dyDescent="0.25">
      <c r="A598" s="1" t="str">
        <f>IF('1.1 Produksi Bersih Padi 2025'!A598="","",'1.1 Produksi Bersih Padi 2025'!A598)</f>
        <v/>
      </c>
      <c r="B598" s="31" t="str">
        <f>IF('1.1 Produksi Bersih Padi 2025'!B598="","",'1.1 Produksi Bersih Padi 2025'!B598)</f>
        <v/>
      </c>
      <c r="C598" s="31" t="str">
        <f>IF('1.1 Produksi Bersih Padi 2025'!C598="","",'1.1 Produksi Bersih Padi 2025'!C598)</f>
        <v/>
      </c>
      <c r="D598" s="1" t="str">
        <f>IF('1.1 Produksi Bersih Padi 2025'!D598="","",'1.1 Produksi Bersih Padi 2025'!D598)</f>
        <v/>
      </c>
      <c r="E598" s="1" t="str">
        <f>IF('1.1 Produksi Bersih Padi 2025'!E598="","",'1.1 Produksi Bersih Padi 2025'!E598)</f>
        <v/>
      </c>
      <c r="F598" s="28" t="str">
        <f>IF(D598="","",VLOOKUP(D598,'[1]0.1 Produksi Pangan &amp; Penduduk'!$D$5:$AK$860,34,0))</f>
        <v/>
      </c>
      <c r="G598" s="29" t="str">
        <f t="shared" si="45"/>
        <v/>
      </c>
      <c r="H598" s="29" t="str">
        <f t="shared" si="46"/>
        <v/>
      </c>
      <c r="I598" s="29" t="str">
        <f t="shared" si="47"/>
        <v/>
      </c>
      <c r="J598" s="29" t="str">
        <f t="shared" si="48"/>
        <v/>
      </c>
      <c r="K598" s="29" t="str">
        <f t="shared" si="49"/>
        <v/>
      </c>
    </row>
    <row r="599" spans="1:11" ht="15" x14ac:dyDescent="0.25">
      <c r="A599" s="1" t="str">
        <f>IF('1.1 Produksi Bersih Padi 2025'!A599="","",'1.1 Produksi Bersih Padi 2025'!A599)</f>
        <v/>
      </c>
      <c r="B599" s="31" t="str">
        <f>IF('1.1 Produksi Bersih Padi 2025'!B599="","",'1.1 Produksi Bersih Padi 2025'!B599)</f>
        <v/>
      </c>
      <c r="C599" s="31" t="str">
        <f>IF('1.1 Produksi Bersih Padi 2025'!C599="","",'1.1 Produksi Bersih Padi 2025'!C599)</f>
        <v/>
      </c>
      <c r="D599" s="1" t="str">
        <f>IF('1.1 Produksi Bersih Padi 2025'!D599="","",'1.1 Produksi Bersih Padi 2025'!D599)</f>
        <v/>
      </c>
      <c r="E599" s="1" t="str">
        <f>IF('1.1 Produksi Bersih Padi 2025'!E599="","",'1.1 Produksi Bersih Padi 2025'!E599)</f>
        <v/>
      </c>
      <c r="F599" s="28" t="str">
        <f>IF(D599="","",VLOOKUP(D599,'[1]0.1 Produksi Pangan &amp; Penduduk'!$D$5:$AK$860,34,0))</f>
        <v/>
      </c>
      <c r="G599" s="29" t="str">
        <f t="shared" si="45"/>
        <v/>
      </c>
      <c r="H599" s="29" t="str">
        <f t="shared" si="46"/>
        <v/>
      </c>
      <c r="I599" s="29" t="str">
        <f t="shared" si="47"/>
        <v/>
      </c>
      <c r="J599" s="29" t="str">
        <f t="shared" si="48"/>
        <v/>
      </c>
      <c r="K599" s="29" t="str">
        <f t="shared" si="49"/>
        <v/>
      </c>
    </row>
    <row r="600" spans="1:11" ht="15" x14ac:dyDescent="0.25">
      <c r="A600" s="1" t="str">
        <f>IF('1.1 Produksi Bersih Padi 2025'!A600="","",'1.1 Produksi Bersih Padi 2025'!A600)</f>
        <v/>
      </c>
      <c r="B600" s="31" t="str">
        <f>IF('1.1 Produksi Bersih Padi 2025'!B600="","",'1.1 Produksi Bersih Padi 2025'!B600)</f>
        <v/>
      </c>
      <c r="C600" s="31" t="str">
        <f>IF('1.1 Produksi Bersih Padi 2025'!C600="","",'1.1 Produksi Bersih Padi 2025'!C600)</f>
        <v/>
      </c>
      <c r="D600" s="1" t="str">
        <f>IF('1.1 Produksi Bersih Padi 2025'!D600="","",'1.1 Produksi Bersih Padi 2025'!D600)</f>
        <v/>
      </c>
      <c r="E600" s="1" t="str">
        <f>IF('1.1 Produksi Bersih Padi 2025'!E600="","",'1.1 Produksi Bersih Padi 2025'!E600)</f>
        <v/>
      </c>
      <c r="F600" s="28" t="str">
        <f>IF(D600="","",VLOOKUP(D600,'[1]0.1 Produksi Pangan &amp; Penduduk'!$D$5:$AK$860,34,0))</f>
        <v/>
      </c>
      <c r="G600" s="29" t="str">
        <f t="shared" si="45"/>
        <v/>
      </c>
      <c r="H600" s="29" t="str">
        <f t="shared" si="46"/>
        <v/>
      </c>
      <c r="I600" s="29" t="str">
        <f t="shared" si="47"/>
        <v/>
      </c>
      <c r="J600" s="29" t="str">
        <f t="shared" si="48"/>
        <v/>
      </c>
      <c r="K600" s="29" t="str">
        <f t="shared" si="49"/>
        <v/>
      </c>
    </row>
    <row r="601" spans="1:11" ht="15" x14ac:dyDescent="0.25">
      <c r="A601" s="1" t="str">
        <f>IF('1.1 Produksi Bersih Padi 2025'!A601="","",'1.1 Produksi Bersih Padi 2025'!A601)</f>
        <v/>
      </c>
      <c r="B601" s="31" t="str">
        <f>IF('1.1 Produksi Bersih Padi 2025'!B601="","",'1.1 Produksi Bersih Padi 2025'!B601)</f>
        <v/>
      </c>
      <c r="C601" s="31" t="str">
        <f>IF('1.1 Produksi Bersih Padi 2025'!C601="","",'1.1 Produksi Bersih Padi 2025'!C601)</f>
        <v/>
      </c>
      <c r="D601" s="1" t="str">
        <f>IF('1.1 Produksi Bersih Padi 2025'!D601="","",'1.1 Produksi Bersih Padi 2025'!D601)</f>
        <v/>
      </c>
      <c r="E601" s="1" t="str">
        <f>IF('1.1 Produksi Bersih Padi 2025'!E601="","",'1.1 Produksi Bersih Padi 2025'!E601)</f>
        <v/>
      </c>
      <c r="F601" s="28" t="str">
        <f>IF(D601="","",VLOOKUP(D601,'[1]0.1 Produksi Pangan &amp; Penduduk'!$D$5:$AK$860,34,0))</f>
        <v/>
      </c>
      <c r="G601" s="29" t="str">
        <f t="shared" si="45"/>
        <v/>
      </c>
      <c r="H601" s="29" t="str">
        <f t="shared" si="46"/>
        <v/>
      </c>
      <c r="I601" s="29" t="str">
        <f t="shared" si="47"/>
        <v/>
      </c>
      <c r="J601" s="29" t="str">
        <f t="shared" si="48"/>
        <v/>
      </c>
      <c r="K601" s="29" t="str">
        <f t="shared" si="49"/>
        <v/>
      </c>
    </row>
    <row r="602" spans="1:11" ht="15" x14ac:dyDescent="0.25">
      <c r="A602" s="1" t="str">
        <f>IF('1.1 Produksi Bersih Padi 2025'!A602="","",'1.1 Produksi Bersih Padi 2025'!A602)</f>
        <v/>
      </c>
      <c r="B602" s="31" t="str">
        <f>IF('1.1 Produksi Bersih Padi 2025'!B602="","",'1.1 Produksi Bersih Padi 2025'!B602)</f>
        <v/>
      </c>
      <c r="C602" s="31" t="str">
        <f>IF('1.1 Produksi Bersih Padi 2025'!C602="","",'1.1 Produksi Bersih Padi 2025'!C602)</f>
        <v/>
      </c>
      <c r="D602" s="1" t="str">
        <f>IF('1.1 Produksi Bersih Padi 2025'!D602="","",'1.1 Produksi Bersih Padi 2025'!D602)</f>
        <v/>
      </c>
      <c r="E602" s="1" t="str">
        <f>IF('1.1 Produksi Bersih Padi 2025'!E602="","",'1.1 Produksi Bersih Padi 2025'!E602)</f>
        <v/>
      </c>
      <c r="F602" s="28" t="str">
        <f>IF(D602="","",VLOOKUP(D602,'[1]0.1 Produksi Pangan &amp; Penduduk'!$D$5:$AK$860,34,0))</f>
        <v/>
      </c>
      <c r="G602" s="29" t="str">
        <f t="shared" si="45"/>
        <v/>
      </c>
      <c r="H602" s="29" t="str">
        <f t="shared" si="46"/>
        <v/>
      </c>
      <c r="I602" s="29" t="str">
        <f t="shared" si="47"/>
        <v/>
      </c>
      <c r="J602" s="29" t="str">
        <f t="shared" si="48"/>
        <v/>
      </c>
      <c r="K602" s="29" t="str">
        <f t="shared" si="49"/>
        <v/>
      </c>
    </row>
    <row r="603" spans="1:11" ht="15" x14ac:dyDescent="0.25">
      <c r="A603" s="1" t="str">
        <f>IF('1.1 Produksi Bersih Padi 2025'!A603="","",'1.1 Produksi Bersih Padi 2025'!A603)</f>
        <v/>
      </c>
      <c r="B603" s="31" t="str">
        <f>IF('1.1 Produksi Bersih Padi 2025'!B603="","",'1.1 Produksi Bersih Padi 2025'!B603)</f>
        <v/>
      </c>
      <c r="C603" s="31" t="str">
        <f>IF('1.1 Produksi Bersih Padi 2025'!C603="","",'1.1 Produksi Bersih Padi 2025'!C603)</f>
        <v/>
      </c>
      <c r="D603" s="1" t="str">
        <f>IF('1.1 Produksi Bersih Padi 2025'!D603="","",'1.1 Produksi Bersih Padi 2025'!D603)</f>
        <v/>
      </c>
      <c r="E603" s="1" t="str">
        <f>IF('1.1 Produksi Bersih Padi 2025'!E603="","",'1.1 Produksi Bersih Padi 2025'!E603)</f>
        <v/>
      </c>
      <c r="F603" s="28" t="str">
        <f>IF(D603="","",VLOOKUP(D603,'[1]0.1 Produksi Pangan &amp; Penduduk'!$D$5:$AK$860,34,0))</f>
        <v/>
      </c>
      <c r="G603" s="29" t="str">
        <f t="shared" si="45"/>
        <v/>
      </c>
      <c r="H603" s="29" t="str">
        <f t="shared" si="46"/>
        <v/>
      </c>
      <c r="I603" s="29" t="str">
        <f t="shared" si="47"/>
        <v/>
      </c>
      <c r="J603" s="29" t="str">
        <f t="shared" si="48"/>
        <v/>
      </c>
      <c r="K603" s="29" t="str">
        <f t="shared" si="49"/>
        <v/>
      </c>
    </row>
    <row r="604" spans="1:11" ht="15" x14ac:dyDescent="0.25">
      <c r="A604" s="1" t="str">
        <f>IF('1.1 Produksi Bersih Padi 2025'!A604="","",'1.1 Produksi Bersih Padi 2025'!A604)</f>
        <v/>
      </c>
      <c r="B604" s="31" t="str">
        <f>IF('1.1 Produksi Bersih Padi 2025'!B604="","",'1.1 Produksi Bersih Padi 2025'!B604)</f>
        <v/>
      </c>
      <c r="C604" s="31" t="str">
        <f>IF('1.1 Produksi Bersih Padi 2025'!C604="","",'1.1 Produksi Bersih Padi 2025'!C604)</f>
        <v/>
      </c>
      <c r="D604" s="1" t="str">
        <f>IF('1.1 Produksi Bersih Padi 2025'!D604="","",'1.1 Produksi Bersih Padi 2025'!D604)</f>
        <v/>
      </c>
      <c r="E604" s="1" t="str">
        <f>IF('1.1 Produksi Bersih Padi 2025'!E604="","",'1.1 Produksi Bersih Padi 2025'!E604)</f>
        <v/>
      </c>
      <c r="F604" s="28" t="str">
        <f>IF(D604="","",VLOOKUP(D604,'[1]0.1 Produksi Pangan &amp; Penduduk'!$D$5:$AK$860,34,0))</f>
        <v/>
      </c>
      <c r="G604" s="29" t="str">
        <f t="shared" si="45"/>
        <v/>
      </c>
      <c r="H604" s="29" t="str">
        <f t="shared" si="46"/>
        <v/>
      </c>
      <c r="I604" s="29" t="str">
        <f t="shared" si="47"/>
        <v/>
      </c>
      <c r="J604" s="29" t="str">
        <f t="shared" si="48"/>
        <v/>
      </c>
      <c r="K604" s="29" t="str">
        <f t="shared" si="49"/>
        <v/>
      </c>
    </row>
    <row r="605" spans="1:11" ht="15" x14ac:dyDescent="0.25">
      <c r="A605" s="1" t="str">
        <f>IF('1.1 Produksi Bersih Padi 2025'!A605="","",'1.1 Produksi Bersih Padi 2025'!A605)</f>
        <v/>
      </c>
      <c r="B605" s="31" t="str">
        <f>IF('1.1 Produksi Bersih Padi 2025'!B605="","",'1.1 Produksi Bersih Padi 2025'!B605)</f>
        <v/>
      </c>
      <c r="C605" s="31" t="str">
        <f>IF('1.1 Produksi Bersih Padi 2025'!C605="","",'1.1 Produksi Bersih Padi 2025'!C605)</f>
        <v/>
      </c>
      <c r="D605" s="1" t="str">
        <f>IF('1.1 Produksi Bersih Padi 2025'!D605="","",'1.1 Produksi Bersih Padi 2025'!D605)</f>
        <v/>
      </c>
      <c r="E605" s="1" t="str">
        <f>IF('1.1 Produksi Bersih Padi 2025'!E605="","",'1.1 Produksi Bersih Padi 2025'!E605)</f>
        <v/>
      </c>
      <c r="F605" s="28" t="str">
        <f>IF(D605="","",VLOOKUP(D605,'[1]0.1 Produksi Pangan &amp; Penduduk'!$D$5:$AK$860,34,0))</f>
        <v/>
      </c>
      <c r="G605" s="29" t="str">
        <f t="shared" si="45"/>
        <v/>
      </c>
      <c r="H605" s="29" t="str">
        <f t="shared" si="46"/>
        <v/>
      </c>
      <c r="I605" s="29" t="str">
        <f t="shared" si="47"/>
        <v/>
      </c>
      <c r="J605" s="29" t="str">
        <f t="shared" si="48"/>
        <v/>
      </c>
      <c r="K605" s="29" t="str">
        <f t="shared" si="49"/>
        <v/>
      </c>
    </row>
    <row r="606" spans="1:11" ht="15" x14ac:dyDescent="0.25">
      <c r="A606" s="1" t="str">
        <f>IF('1.1 Produksi Bersih Padi 2025'!A606="","",'1.1 Produksi Bersih Padi 2025'!A606)</f>
        <v/>
      </c>
      <c r="B606" s="31" t="str">
        <f>IF('1.1 Produksi Bersih Padi 2025'!B606="","",'1.1 Produksi Bersih Padi 2025'!B606)</f>
        <v/>
      </c>
      <c r="C606" s="31" t="str">
        <f>IF('1.1 Produksi Bersih Padi 2025'!C606="","",'1.1 Produksi Bersih Padi 2025'!C606)</f>
        <v/>
      </c>
      <c r="D606" s="1" t="str">
        <f>IF('1.1 Produksi Bersih Padi 2025'!D606="","",'1.1 Produksi Bersih Padi 2025'!D606)</f>
        <v/>
      </c>
      <c r="E606" s="1" t="str">
        <f>IF('1.1 Produksi Bersih Padi 2025'!E606="","",'1.1 Produksi Bersih Padi 2025'!E606)</f>
        <v/>
      </c>
      <c r="F606" s="28" t="str">
        <f>IF(D606="","",VLOOKUP(D606,'[1]0.1 Produksi Pangan &amp; Penduduk'!$D$5:$AK$860,34,0))</f>
        <v/>
      </c>
      <c r="G606" s="29" t="str">
        <f t="shared" si="45"/>
        <v/>
      </c>
      <c r="H606" s="29" t="str">
        <f t="shared" si="46"/>
        <v/>
      </c>
      <c r="I606" s="29" t="str">
        <f t="shared" si="47"/>
        <v/>
      </c>
      <c r="J606" s="29" t="str">
        <f t="shared" si="48"/>
        <v/>
      </c>
      <c r="K606" s="29" t="str">
        <f t="shared" si="49"/>
        <v/>
      </c>
    </row>
    <row r="607" spans="1:11" ht="15" x14ac:dyDescent="0.25">
      <c r="A607" s="1" t="str">
        <f>IF('1.1 Produksi Bersih Padi 2025'!A607="","",'1.1 Produksi Bersih Padi 2025'!A607)</f>
        <v/>
      </c>
      <c r="B607" s="31" t="str">
        <f>IF('1.1 Produksi Bersih Padi 2025'!B607="","",'1.1 Produksi Bersih Padi 2025'!B607)</f>
        <v/>
      </c>
      <c r="C607" s="31" t="str">
        <f>IF('1.1 Produksi Bersih Padi 2025'!C607="","",'1.1 Produksi Bersih Padi 2025'!C607)</f>
        <v/>
      </c>
      <c r="D607" s="1" t="str">
        <f>IF('1.1 Produksi Bersih Padi 2025'!D607="","",'1.1 Produksi Bersih Padi 2025'!D607)</f>
        <v/>
      </c>
      <c r="E607" s="1" t="str">
        <f>IF('1.1 Produksi Bersih Padi 2025'!E607="","",'1.1 Produksi Bersih Padi 2025'!E607)</f>
        <v/>
      </c>
      <c r="F607" s="28" t="str">
        <f>IF(D607="","",VLOOKUP(D607,'[1]0.1 Produksi Pangan &amp; Penduduk'!$D$5:$AK$860,34,0))</f>
        <v/>
      </c>
      <c r="G607" s="29" t="str">
        <f t="shared" si="45"/>
        <v/>
      </c>
      <c r="H607" s="29" t="str">
        <f t="shared" si="46"/>
        <v/>
      </c>
      <c r="I607" s="29" t="str">
        <f t="shared" si="47"/>
        <v/>
      </c>
      <c r="J607" s="29" t="str">
        <f t="shared" si="48"/>
        <v/>
      </c>
      <c r="K607" s="29" t="str">
        <f t="shared" si="49"/>
        <v/>
      </c>
    </row>
    <row r="608" spans="1:11" ht="15" x14ac:dyDescent="0.25">
      <c r="A608" s="1" t="str">
        <f>IF('1.1 Produksi Bersih Padi 2025'!A608="","",'1.1 Produksi Bersih Padi 2025'!A608)</f>
        <v/>
      </c>
      <c r="B608" s="31" t="str">
        <f>IF('1.1 Produksi Bersih Padi 2025'!B608="","",'1.1 Produksi Bersih Padi 2025'!B608)</f>
        <v/>
      </c>
      <c r="C608" s="31" t="str">
        <f>IF('1.1 Produksi Bersih Padi 2025'!C608="","",'1.1 Produksi Bersih Padi 2025'!C608)</f>
        <v/>
      </c>
      <c r="D608" s="1" t="str">
        <f>IF('1.1 Produksi Bersih Padi 2025'!D608="","",'1.1 Produksi Bersih Padi 2025'!D608)</f>
        <v/>
      </c>
      <c r="E608" s="1" t="str">
        <f>IF('1.1 Produksi Bersih Padi 2025'!E608="","",'1.1 Produksi Bersih Padi 2025'!E608)</f>
        <v/>
      </c>
      <c r="F608" s="28" t="str">
        <f>IF(D608="","",VLOOKUP(D608,'[1]0.1 Produksi Pangan &amp; Penduduk'!$D$5:$AK$860,34,0))</f>
        <v/>
      </c>
      <c r="G608" s="29" t="str">
        <f t="shared" si="45"/>
        <v/>
      </c>
      <c r="H608" s="29" t="str">
        <f t="shared" si="46"/>
        <v/>
      </c>
      <c r="I608" s="29" t="str">
        <f t="shared" si="47"/>
        <v/>
      </c>
      <c r="J608" s="29" t="str">
        <f t="shared" si="48"/>
        <v/>
      </c>
      <c r="K608" s="29" t="str">
        <f t="shared" si="49"/>
        <v/>
      </c>
    </row>
    <row r="609" spans="1:11" ht="15" x14ac:dyDescent="0.25">
      <c r="A609" s="1" t="str">
        <f>IF('1.1 Produksi Bersih Padi 2025'!A609="","",'1.1 Produksi Bersih Padi 2025'!A609)</f>
        <v/>
      </c>
      <c r="B609" s="31" t="str">
        <f>IF('1.1 Produksi Bersih Padi 2025'!B609="","",'1.1 Produksi Bersih Padi 2025'!B609)</f>
        <v/>
      </c>
      <c r="C609" s="31" t="str">
        <f>IF('1.1 Produksi Bersih Padi 2025'!C609="","",'1.1 Produksi Bersih Padi 2025'!C609)</f>
        <v/>
      </c>
      <c r="D609" s="1" t="str">
        <f>IF('1.1 Produksi Bersih Padi 2025'!D609="","",'1.1 Produksi Bersih Padi 2025'!D609)</f>
        <v/>
      </c>
      <c r="E609" s="1" t="str">
        <f>IF('1.1 Produksi Bersih Padi 2025'!E609="","",'1.1 Produksi Bersih Padi 2025'!E609)</f>
        <v/>
      </c>
      <c r="F609" s="28" t="str">
        <f>IF(D609="","",VLOOKUP(D609,'[1]0.1 Produksi Pangan &amp; Penduduk'!$D$5:$AK$860,34,0))</f>
        <v/>
      </c>
      <c r="G609" s="29" t="str">
        <f t="shared" si="45"/>
        <v/>
      </c>
      <c r="H609" s="29" t="str">
        <f t="shared" si="46"/>
        <v/>
      </c>
      <c r="I609" s="29" t="str">
        <f t="shared" si="47"/>
        <v/>
      </c>
      <c r="J609" s="29" t="str">
        <f t="shared" si="48"/>
        <v/>
      </c>
      <c r="K609" s="29" t="str">
        <f t="shared" si="49"/>
        <v/>
      </c>
    </row>
    <row r="610" spans="1:11" ht="15" x14ac:dyDescent="0.25">
      <c r="A610" s="1" t="str">
        <f>IF('1.1 Produksi Bersih Padi 2025'!A610="","",'1.1 Produksi Bersih Padi 2025'!A610)</f>
        <v/>
      </c>
      <c r="B610" s="31" t="str">
        <f>IF('1.1 Produksi Bersih Padi 2025'!B610="","",'1.1 Produksi Bersih Padi 2025'!B610)</f>
        <v/>
      </c>
      <c r="C610" s="31" t="str">
        <f>IF('1.1 Produksi Bersih Padi 2025'!C610="","",'1.1 Produksi Bersih Padi 2025'!C610)</f>
        <v/>
      </c>
      <c r="D610" s="1" t="str">
        <f>IF('1.1 Produksi Bersih Padi 2025'!D610="","",'1.1 Produksi Bersih Padi 2025'!D610)</f>
        <v/>
      </c>
      <c r="E610" s="1" t="str">
        <f>IF('1.1 Produksi Bersih Padi 2025'!E610="","",'1.1 Produksi Bersih Padi 2025'!E610)</f>
        <v/>
      </c>
      <c r="F610" s="28" t="str">
        <f>IF(D610="","",VLOOKUP(D610,'[1]0.1 Produksi Pangan &amp; Penduduk'!$D$5:$AK$860,34,0))</f>
        <v/>
      </c>
      <c r="G610" s="29" t="str">
        <f t="shared" si="45"/>
        <v/>
      </c>
      <c r="H610" s="29" t="str">
        <f t="shared" si="46"/>
        <v/>
      </c>
      <c r="I610" s="29" t="str">
        <f t="shared" si="47"/>
        <v/>
      </c>
      <c r="J610" s="29" t="str">
        <f t="shared" si="48"/>
        <v/>
      </c>
      <c r="K610" s="29" t="str">
        <f t="shared" si="49"/>
        <v/>
      </c>
    </row>
    <row r="611" spans="1:11" ht="15" x14ac:dyDescent="0.25">
      <c r="A611" s="1" t="str">
        <f>IF('1.1 Produksi Bersih Padi 2025'!A611="","",'1.1 Produksi Bersih Padi 2025'!A611)</f>
        <v/>
      </c>
      <c r="B611" s="31" t="str">
        <f>IF('1.1 Produksi Bersih Padi 2025'!B611="","",'1.1 Produksi Bersih Padi 2025'!B611)</f>
        <v/>
      </c>
      <c r="C611" s="31" t="str">
        <f>IF('1.1 Produksi Bersih Padi 2025'!C611="","",'1.1 Produksi Bersih Padi 2025'!C611)</f>
        <v/>
      </c>
      <c r="D611" s="1" t="str">
        <f>IF('1.1 Produksi Bersih Padi 2025'!D611="","",'1.1 Produksi Bersih Padi 2025'!D611)</f>
        <v/>
      </c>
      <c r="E611" s="1" t="str">
        <f>IF('1.1 Produksi Bersih Padi 2025'!E611="","",'1.1 Produksi Bersih Padi 2025'!E611)</f>
        <v/>
      </c>
      <c r="F611" s="28" t="str">
        <f>IF(D611="","",VLOOKUP(D611,'[1]0.1 Produksi Pangan &amp; Penduduk'!$D$5:$AK$860,34,0))</f>
        <v/>
      </c>
      <c r="G611" s="29" t="str">
        <f t="shared" si="45"/>
        <v/>
      </c>
      <c r="H611" s="29" t="str">
        <f t="shared" si="46"/>
        <v/>
      </c>
      <c r="I611" s="29" t="str">
        <f t="shared" si="47"/>
        <v/>
      </c>
      <c r="J611" s="29" t="str">
        <f t="shared" si="48"/>
        <v/>
      </c>
      <c r="K611" s="29" t="str">
        <f t="shared" si="49"/>
        <v/>
      </c>
    </row>
    <row r="612" spans="1:11" ht="15" x14ac:dyDescent="0.25">
      <c r="A612" s="1" t="str">
        <f>IF('1.1 Produksi Bersih Padi 2025'!A612="","",'1.1 Produksi Bersih Padi 2025'!A612)</f>
        <v/>
      </c>
      <c r="B612" s="31" t="str">
        <f>IF('1.1 Produksi Bersih Padi 2025'!B612="","",'1.1 Produksi Bersih Padi 2025'!B612)</f>
        <v/>
      </c>
      <c r="C612" s="31" t="str">
        <f>IF('1.1 Produksi Bersih Padi 2025'!C612="","",'1.1 Produksi Bersih Padi 2025'!C612)</f>
        <v/>
      </c>
      <c r="D612" s="1" t="str">
        <f>IF('1.1 Produksi Bersih Padi 2025'!D612="","",'1.1 Produksi Bersih Padi 2025'!D612)</f>
        <v/>
      </c>
      <c r="E612" s="1" t="str">
        <f>IF('1.1 Produksi Bersih Padi 2025'!E612="","",'1.1 Produksi Bersih Padi 2025'!E612)</f>
        <v/>
      </c>
      <c r="F612" s="28" t="str">
        <f>IF(D612="","",VLOOKUP(D612,'[1]0.1 Produksi Pangan &amp; Penduduk'!$D$5:$AK$860,34,0))</f>
        <v/>
      </c>
      <c r="G612" s="29" t="str">
        <f t="shared" si="45"/>
        <v/>
      </c>
      <c r="H612" s="29" t="str">
        <f t="shared" si="46"/>
        <v/>
      </c>
      <c r="I612" s="29" t="str">
        <f t="shared" si="47"/>
        <v/>
      </c>
      <c r="J612" s="29" t="str">
        <f t="shared" si="48"/>
        <v/>
      </c>
      <c r="K612" s="29" t="str">
        <f t="shared" si="49"/>
        <v/>
      </c>
    </row>
    <row r="613" spans="1:11" ht="15" x14ac:dyDescent="0.25">
      <c r="A613" s="1" t="str">
        <f>IF('1.1 Produksi Bersih Padi 2025'!A613="","",'1.1 Produksi Bersih Padi 2025'!A613)</f>
        <v/>
      </c>
      <c r="B613" s="31" t="str">
        <f>IF('1.1 Produksi Bersih Padi 2025'!B613="","",'1.1 Produksi Bersih Padi 2025'!B613)</f>
        <v/>
      </c>
      <c r="C613" s="31" t="str">
        <f>IF('1.1 Produksi Bersih Padi 2025'!C613="","",'1.1 Produksi Bersih Padi 2025'!C613)</f>
        <v/>
      </c>
      <c r="D613" s="1" t="str">
        <f>IF('1.1 Produksi Bersih Padi 2025'!D613="","",'1.1 Produksi Bersih Padi 2025'!D613)</f>
        <v/>
      </c>
      <c r="E613" s="1" t="str">
        <f>IF('1.1 Produksi Bersih Padi 2025'!E613="","",'1.1 Produksi Bersih Padi 2025'!E613)</f>
        <v/>
      </c>
      <c r="F613" s="28" t="str">
        <f>IF(D613="","",VLOOKUP(D613,'[1]0.1 Produksi Pangan &amp; Penduduk'!$D$5:$AK$860,34,0))</f>
        <v/>
      </c>
      <c r="G613" s="29" t="str">
        <f t="shared" si="45"/>
        <v/>
      </c>
      <c r="H613" s="29" t="str">
        <f t="shared" si="46"/>
        <v/>
      </c>
      <c r="I613" s="29" t="str">
        <f t="shared" si="47"/>
        <v/>
      </c>
      <c r="J613" s="29" t="str">
        <f t="shared" si="48"/>
        <v/>
      </c>
      <c r="K613" s="29" t="str">
        <f t="shared" si="49"/>
        <v/>
      </c>
    </row>
    <row r="614" spans="1:11" ht="15" x14ac:dyDescent="0.25">
      <c r="A614" s="1" t="str">
        <f>IF('1.1 Produksi Bersih Padi 2025'!A614="","",'1.1 Produksi Bersih Padi 2025'!A614)</f>
        <v/>
      </c>
      <c r="B614" s="31" t="str">
        <f>IF('1.1 Produksi Bersih Padi 2025'!B614="","",'1.1 Produksi Bersih Padi 2025'!B614)</f>
        <v/>
      </c>
      <c r="C614" s="31" t="str">
        <f>IF('1.1 Produksi Bersih Padi 2025'!C614="","",'1.1 Produksi Bersih Padi 2025'!C614)</f>
        <v/>
      </c>
      <c r="D614" s="1" t="str">
        <f>IF('1.1 Produksi Bersih Padi 2025'!D614="","",'1.1 Produksi Bersih Padi 2025'!D614)</f>
        <v/>
      </c>
      <c r="E614" s="1" t="str">
        <f>IF('1.1 Produksi Bersih Padi 2025'!E614="","",'1.1 Produksi Bersih Padi 2025'!E614)</f>
        <v/>
      </c>
      <c r="F614" s="28" t="str">
        <f>IF(D614="","",VLOOKUP(D614,'[1]0.1 Produksi Pangan &amp; Penduduk'!$D$5:$AK$860,34,0))</f>
        <v/>
      </c>
      <c r="G614" s="29" t="str">
        <f t="shared" si="45"/>
        <v/>
      </c>
      <c r="H614" s="29" t="str">
        <f t="shared" si="46"/>
        <v/>
      </c>
      <c r="I614" s="29" t="str">
        <f t="shared" si="47"/>
        <v/>
      </c>
      <c r="J614" s="29" t="str">
        <f t="shared" si="48"/>
        <v/>
      </c>
      <c r="K614" s="29" t="str">
        <f t="shared" si="49"/>
        <v/>
      </c>
    </row>
    <row r="615" spans="1:11" ht="15" x14ac:dyDescent="0.25">
      <c r="A615" s="1" t="str">
        <f>IF('1.1 Produksi Bersih Padi 2025'!A615="","",'1.1 Produksi Bersih Padi 2025'!A615)</f>
        <v/>
      </c>
      <c r="B615" s="31" t="str">
        <f>IF('1.1 Produksi Bersih Padi 2025'!B615="","",'1.1 Produksi Bersih Padi 2025'!B615)</f>
        <v/>
      </c>
      <c r="C615" s="31" t="str">
        <f>IF('1.1 Produksi Bersih Padi 2025'!C615="","",'1.1 Produksi Bersih Padi 2025'!C615)</f>
        <v/>
      </c>
      <c r="D615" s="1" t="str">
        <f>IF('1.1 Produksi Bersih Padi 2025'!D615="","",'1.1 Produksi Bersih Padi 2025'!D615)</f>
        <v/>
      </c>
      <c r="E615" s="1" t="str">
        <f>IF('1.1 Produksi Bersih Padi 2025'!E615="","",'1.1 Produksi Bersih Padi 2025'!E615)</f>
        <v/>
      </c>
      <c r="F615" s="28" t="str">
        <f>IF(D615="","",VLOOKUP(D615,'[1]0.1 Produksi Pangan &amp; Penduduk'!$D$5:$AK$860,34,0))</f>
        <v/>
      </c>
      <c r="G615" s="29" t="str">
        <f t="shared" si="45"/>
        <v/>
      </c>
      <c r="H615" s="29" t="str">
        <f t="shared" si="46"/>
        <v/>
      </c>
      <c r="I615" s="29" t="str">
        <f t="shared" si="47"/>
        <v/>
      </c>
      <c r="J615" s="29" t="str">
        <f t="shared" si="48"/>
        <v/>
      </c>
      <c r="K615" s="29" t="str">
        <f t="shared" si="49"/>
        <v/>
      </c>
    </row>
    <row r="616" spans="1:11" ht="15" x14ac:dyDescent="0.25">
      <c r="A616" s="1" t="str">
        <f>IF('1.1 Produksi Bersih Padi 2025'!A616="","",'1.1 Produksi Bersih Padi 2025'!A616)</f>
        <v/>
      </c>
      <c r="B616" s="31" t="str">
        <f>IF('1.1 Produksi Bersih Padi 2025'!B616="","",'1.1 Produksi Bersih Padi 2025'!B616)</f>
        <v/>
      </c>
      <c r="C616" s="31" t="str">
        <f>IF('1.1 Produksi Bersih Padi 2025'!C616="","",'1.1 Produksi Bersih Padi 2025'!C616)</f>
        <v/>
      </c>
      <c r="D616" s="1" t="str">
        <f>IF('1.1 Produksi Bersih Padi 2025'!D616="","",'1.1 Produksi Bersih Padi 2025'!D616)</f>
        <v/>
      </c>
      <c r="E616" s="1" t="str">
        <f>IF('1.1 Produksi Bersih Padi 2025'!E616="","",'1.1 Produksi Bersih Padi 2025'!E616)</f>
        <v/>
      </c>
      <c r="F616" s="28" t="str">
        <f>IF(D616="","",VLOOKUP(D616,'[1]0.1 Produksi Pangan &amp; Penduduk'!$D$5:$AK$860,34,0))</f>
        <v/>
      </c>
      <c r="G616" s="29" t="str">
        <f t="shared" si="45"/>
        <v/>
      </c>
      <c r="H616" s="29" t="str">
        <f t="shared" si="46"/>
        <v/>
      </c>
      <c r="I616" s="29" t="str">
        <f t="shared" si="47"/>
        <v/>
      </c>
      <c r="J616" s="29" t="str">
        <f t="shared" si="48"/>
        <v/>
      </c>
      <c r="K616" s="29" t="str">
        <f t="shared" si="49"/>
        <v/>
      </c>
    </row>
    <row r="617" spans="1:11" ht="15" x14ac:dyDescent="0.25">
      <c r="A617" s="1" t="str">
        <f>IF('1.1 Produksi Bersih Padi 2025'!A617="","",'1.1 Produksi Bersih Padi 2025'!A617)</f>
        <v/>
      </c>
      <c r="B617" s="31" t="str">
        <f>IF('1.1 Produksi Bersih Padi 2025'!B617="","",'1.1 Produksi Bersih Padi 2025'!B617)</f>
        <v/>
      </c>
      <c r="C617" s="31" t="str">
        <f>IF('1.1 Produksi Bersih Padi 2025'!C617="","",'1.1 Produksi Bersih Padi 2025'!C617)</f>
        <v/>
      </c>
      <c r="D617" s="1" t="str">
        <f>IF('1.1 Produksi Bersih Padi 2025'!D617="","",'1.1 Produksi Bersih Padi 2025'!D617)</f>
        <v/>
      </c>
      <c r="E617" s="1" t="str">
        <f>IF('1.1 Produksi Bersih Padi 2025'!E617="","",'1.1 Produksi Bersih Padi 2025'!E617)</f>
        <v/>
      </c>
      <c r="F617" s="28" t="str">
        <f>IF(D617="","",VLOOKUP(D617,'[1]0.1 Produksi Pangan &amp; Penduduk'!$D$5:$AK$860,34,0))</f>
        <v/>
      </c>
      <c r="G617" s="29" t="str">
        <f t="shared" si="45"/>
        <v/>
      </c>
      <c r="H617" s="29" t="str">
        <f t="shared" si="46"/>
        <v/>
      </c>
      <c r="I617" s="29" t="str">
        <f t="shared" si="47"/>
        <v/>
      </c>
      <c r="J617" s="29" t="str">
        <f t="shared" si="48"/>
        <v/>
      </c>
      <c r="K617" s="29" t="str">
        <f t="shared" si="49"/>
        <v/>
      </c>
    </row>
    <row r="618" spans="1:11" ht="15" x14ac:dyDescent="0.25">
      <c r="A618" s="1" t="str">
        <f>IF('1.1 Produksi Bersih Padi 2025'!A618="","",'1.1 Produksi Bersih Padi 2025'!A618)</f>
        <v/>
      </c>
      <c r="B618" s="31" t="str">
        <f>IF('1.1 Produksi Bersih Padi 2025'!B618="","",'1.1 Produksi Bersih Padi 2025'!B618)</f>
        <v/>
      </c>
      <c r="C618" s="31" t="str">
        <f>IF('1.1 Produksi Bersih Padi 2025'!C618="","",'1.1 Produksi Bersih Padi 2025'!C618)</f>
        <v/>
      </c>
      <c r="D618" s="1" t="str">
        <f>IF('1.1 Produksi Bersih Padi 2025'!D618="","",'1.1 Produksi Bersih Padi 2025'!D618)</f>
        <v/>
      </c>
      <c r="E618" s="1" t="str">
        <f>IF('1.1 Produksi Bersih Padi 2025'!E618="","",'1.1 Produksi Bersih Padi 2025'!E618)</f>
        <v/>
      </c>
      <c r="F618" s="28" t="str">
        <f>IF(D618="","",VLOOKUP(D618,'[1]0.1 Produksi Pangan &amp; Penduduk'!$D$5:$AK$860,34,0))</f>
        <v/>
      </c>
      <c r="G618" s="29" t="str">
        <f t="shared" si="45"/>
        <v/>
      </c>
      <c r="H618" s="29" t="str">
        <f t="shared" si="46"/>
        <v/>
      </c>
      <c r="I618" s="29" t="str">
        <f t="shared" si="47"/>
        <v/>
      </c>
      <c r="J618" s="29" t="str">
        <f t="shared" si="48"/>
        <v/>
      </c>
      <c r="K618" s="29" t="str">
        <f t="shared" si="49"/>
        <v/>
      </c>
    </row>
    <row r="619" spans="1:11" ht="15" x14ac:dyDescent="0.25">
      <c r="A619" s="1" t="str">
        <f>IF('1.1 Produksi Bersih Padi 2025'!A619="","",'1.1 Produksi Bersih Padi 2025'!A619)</f>
        <v/>
      </c>
      <c r="B619" s="31" t="str">
        <f>IF('1.1 Produksi Bersih Padi 2025'!B619="","",'1.1 Produksi Bersih Padi 2025'!B619)</f>
        <v/>
      </c>
      <c r="C619" s="31" t="str">
        <f>IF('1.1 Produksi Bersih Padi 2025'!C619="","",'1.1 Produksi Bersih Padi 2025'!C619)</f>
        <v/>
      </c>
      <c r="D619" s="1" t="str">
        <f>IF('1.1 Produksi Bersih Padi 2025'!D619="","",'1.1 Produksi Bersih Padi 2025'!D619)</f>
        <v/>
      </c>
      <c r="E619" s="1" t="str">
        <f>IF('1.1 Produksi Bersih Padi 2025'!E619="","",'1.1 Produksi Bersih Padi 2025'!E619)</f>
        <v/>
      </c>
      <c r="F619" s="28" t="str">
        <f>IF(D619="","",VLOOKUP(D619,'[1]0.1 Produksi Pangan &amp; Penduduk'!$D$5:$AK$860,34,0))</f>
        <v/>
      </c>
      <c r="G619" s="29" t="str">
        <f t="shared" si="45"/>
        <v/>
      </c>
      <c r="H619" s="29" t="str">
        <f t="shared" si="46"/>
        <v/>
      </c>
      <c r="I619" s="29" t="str">
        <f t="shared" si="47"/>
        <v/>
      </c>
      <c r="J619" s="29" t="str">
        <f t="shared" si="48"/>
        <v/>
      </c>
      <c r="K619" s="29" t="str">
        <f t="shared" si="49"/>
        <v/>
      </c>
    </row>
    <row r="620" spans="1:11" ht="15" x14ac:dyDescent="0.25">
      <c r="A620" s="1" t="str">
        <f>IF('1.1 Produksi Bersih Padi 2025'!A620="","",'1.1 Produksi Bersih Padi 2025'!A620)</f>
        <v/>
      </c>
      <c r="B620" s="31" t="str">
        <f>IF('1.1 Produksi Bersih Padi 2025'!B620="","",'1.1 Produksi Bersih Padi 2025'!B620)</f>
        <v/>
      </c>
      <c r="C620" s="31" t="str">
        <f>IF('1.1 Produksi Bersih Padi 2025'!C620="","",'1.1 Produksi Bersih Padi 2025'!C620)</f>
        <v/>
      </c>
      <c r="D620" s="1" t="str">
        <f>IF('1.1 Produksi Bersih Padi 2025'!D620="","",'1.1 Produksi Bersih Padi 2025'!D620)</f>
        <v/>
      </c>
      <c r="E620" s="1" t="str">
        <f>IF('1.1 Produksi Bersih Padi 2025'!E620="","",'1.1 Produksi Bersih Padi 2025'!E620)</f>
        <v/>
      </c>
      <c r="F620" s="28" t="str">
        <f>IF(D620="","",VLOOKUP(D620,'[1]0.1 Produksi Pangan &amp; Penduduk'!$D$5:$AK$860,34,0))</f>
        <v/>
      </c>
      <c r="G620" s="29" t="str">
        <f t="shared" si="45"/>
        <v/>
      </c>
      <c r="H620" s="29" t="str">
        <f t="shared" si="46"/>
        <v/>
      </c>
      <c r="I620" s="29" t="str">
        <f t="shared" si="47"/>
        <v/>
      </c>
      <c r="J620" s="29" t="str">
        <f t="shared" si="48"/>
        <v/>
      </c>
      <c r="K620" s="29" t="str">
        <f t="shared" si="49"/>
        <v/>
      </c>
    </row>
    <row r="621" spans="1:11" ht="15" x14ac:dyDescent="0.25">
      <c r="A621" s="1" t="str">
        <f>IF('1.1 Produksi Bersih Padi 2025'!A621="","",'1.1 Produksi Bersih Padi 2025'!A621)</f>
        <v/>
      </c>
      <c r="B621" s="31" t="str">
        <f>IF('1.1 Produksi Bersih Padi 2025'!B621="","",'1.1 Produksi Bersih Padi 2025'!B621)</f>
        <v/>
      </c>
      <c r="C621" s="31" t="str">
        <f>IF('1.1 Produksi Bersih Padi 2025'!C621="","",'1.1 Produksi Bersih Padi 2025'!C621)</f>
        <v/>
      </c>
      <c r="D621" s="1" t="str">
        <f>IF('1.1 Produksi Bersih Padi 2025'!D621="","",'1.1 Produksi Bersih Padi 2025'!D621)</f>
        <v/>
      </c>
      <c r="E621" s="1" t="str">
        <f>IF('1.1 Produksi Bersih Padi 2025'!E621="","",'1.1 Produksi Bersih Padi 2025'!E621)</f>
        <v/>
      </c>
      <c r="F621" s="28" t="str">
        <f>IF(D621="","",VLOOKUP(D621,'[1]0.1 Produksi Pangan &amp; Penduduk'!$D$5:$AK$860,34,0))</f>
        <v/>
      </c>
      <c r="G621" s="29" t="str">
        <f t="shared" si="45"/>
        <v/>
      </c>
      <c r="H621" s="29" t="str">
        <f t="shared" si="46"/>
        <v/>
      </c>
      <c r="I621" s="29" t="str">
        <f t="shared" si="47"/>
        <v/>
      </c>
      <c r="J621" s="29" t="str">
        <f t="shared" si="48"/>
        <v/>
      </c>
      <c r="K621" s="29" t="str">
        <f t="shared" si="49"/>
        <v/>
      </c>
    </row>
    <row r="622" spans="1:11" ht="15" x14ac:dyDescent="0.25">
      <c r="A622" s="1" t="str">
        <f>IF('1.1 Produksi Bersih Padi 2025'!A622="","",'1.1 Produksi Bersih Padi 2025'!A622)</f>
        <v/>
      </c>
      <c r="B622" s="31" t="str">
        <f>IF('1.1 Produksi Bersih Padi 2025'!B622="","",'1.1 Produksi Bersih Padi 2025'!B622)</f>
        <v/>
      </c>
      <c r="C622" s="31" t="str">
        <f>IF('1.1 Produksi Bersih Padi 2025'!C622="","",'1.1 Produksi Bersih Padi 2025'!C622)</f>
        <v/>
      </c>
      <c r="D622" s="1" t="str">
        <f>IF('1.1 Produksi Bersih Padi 2025'!D622="","",'1.1 Produksi Bersih Padi 2025'!D622)</f>
        <v/>
      </c>
      <c r="E622" s="1" t="str">
        <f>IF('1.1 Produksi Bersih Padi 2025'!E622="","",'1.1 Produksi Bersih Padi 2025'!E622)</f>
        <v/>
      </c>
      <c r="F622" s="28" t="str">
        <f>IF(D622="","",VLOOKUP(D622,'[1]0.1 Produksi Pangan &amp; Penduduk'!$D$5:$AK$860,34,0))</f>
        <v/>
      </c>
      <c r="G622" s="29" t="str">
        <f t="shared" si="45"/>
        <v/>
      </c>
      <c r="H622" s="29" t="str">
        <f t="shared" si="46"/>
        <v/>
      </c>
      <c r="I622" s="29" t="str">
        <f t="shared" si="47"/>
        <v/>
      </c>
      <c r="J622" s="29" t="str">
        <f t="shared" si="48"/>
        <v/>
      </c>
      <c r="K622" s="29" t="str">
        <f t="shared" si="49"/>
        <v/>
      </c>
    </row>
    <row r="623" spans="1:11" ht="15" x14ac:dyDescent="0.25">
      <c r="A623" s="1" t="str">
        <f>IF('1.1 Produksi Bersih Padi 2025'!A623="","",'1.1 Produksi Bersih Padi 2025'!A623)</f>
        <v/>
      </c>
      <c r="B623" s="31" t="str">
        <f>IF('1.1 Produksi Bersih Padi 2025'!B623="","",'1.1 Produksi Bersih Padi 2025'!B623)</f>
        <v/>
      </c>
      <c r="C623" s="31" t="str">
        <f>IF('1.1 Produksi Bersih Padi 2025'!C623="","",'1.1 Produksi Bersih Padi 2025'!C623)</f>
        <v/>
      </c>
      <c r="D623" s="1" t="str">
        <f>IF('1.1 Produksi Bersih Padi 2025'!D623="","",'1.1 Produksi Bersih Padi 2025'!D623)</f>
        <v/>
      </c>
      <c r="E623" s="1" t="str">
        <f>IF('1.1 Produksi Bersih Padi 2025'!E623="","",'1.1 Produksi Bersih Padi 2025'!E623)</f>
        <v/>
      </c>
      <c r="F623" s="28" t="str">
        <f>IF(D623="","",VLOOKUP(D623,'[1]0.1 Produksi Pangan &amp; Penduduk'!$D$5:$AK$860,34,0))</f>
        <v/>
      </c>
      <c r="G623" s="29" t="str">
        <f t="shared" si="45"/>
        <v/>
      </c>
      <c r="H623" s="29" t="str">
        <f t="shared" si="46"/>
        <v/>
      </c>
      <c r="I623" s="29" t="str">
        <f t="shared" si="47"/>
        <v/>
      </c>
      <c r="J623" s="29" t="str">
        <f t="shared" si="48"/>
        <v/>
      </c>
      <c r="K623" s="29" t="str">
        <f t="shared" si="49"/>
        <v/>
      </c>
    </row>
    <row r="624" spans="1:11" ht="15" x14ac:dyDescent="0.25">
      <c r="A624" s="1" t="str">
        <f>IF('1.1 Produksi Bersih Padi 2025'!A624="","",'1.1 Produksi Bersih Padi 2025'!A624)</f>
        <v/>
      </c>
      <c r="B624" s="31" t="str">
        <f>IF('1.1 Produksi Bersih Padi 2025'!B624="","",'1.1 Produksi Bersih Padi 2025'!B624)</f>
        <v/>
      </c>
      <c r="C624" s="31" t="str">
        <f>IF('1.1 Produksi Bersih Padi 2025'!C624="","",'1.1 Produksi Bersih Padi 2025'!C624)</f>
        <v/>
      </c>
      <c r="D624" s="1" t="str">
        <f>IF('1.1 Produksi Bersih Padi 2025'!D624="","",'1.1 Produksi Bersih Padi 2025'!D624)</f>
        <v/>
      </c>
      <c r="E624" s="1" t="str">
        <f>IF('1.1 Produksi Bersih Padi 2025'!E624="","",'1.1 Produksi Bersih Padi 2025'!E624)</f>
        <v/>
      </c>
      <c r="F624" s="28" t="str">
        <f>IF(D624="","",VLOOKUP(D624,'[1]0.1 Produksi Pangan &amp; Penduduk'!$D$5:$AK$860,34,0))</f>
        <v/>
      </c>
      <c r="G624" s="29" t="str">
        <f t="shared" si="45"/>
        <v/>
      </c>
      <c r="H624" s="29" t="str">
        <f t="shared" si="46"/>
        <v/>
      </c>
      <c r="I624" s="29" t="str">
        <f t="shared" si="47"/>
        <v/>
      </c>
      <c r="J624" s="29" t="str">
        <f t="shared" si="48"/>
        <v/>
      </c>
      <c r="K624" s="29" t="str">
        <f t="shared" si="49"/>
        <v/>
      </c>
    </row>
    <row r="625" spans="1:11" ht="15" x14ac:dyDescent="0.25">
      <c r="A625" s="1" t="str">
        <f>IF('1.1 Produksi Bersih Padi 2025'!A625="","",'1.1 Produksi Bersih Padi 2025'!A625)</f>
        <v/>
      </c>
      <c r="B625" s="31" t="str">
        <f>IF('1.1 Produksi Bersih Padi 2025'!B625="","",'1.1 Produksi Bersih Padi 2025'!B625)</f>
        <v/>
      </c>
      <c r="C625" s="31" t="str">
        <f>IF('1.1 Produksi Bersih Padi 2025'!C625="","",'1.1 Produksi Bersih Padi 2025'!C625)</f>
        <v/>
      </c>
      <c r="D625" s="1" t="str">
        <f>IF('1.1 Produksi Bersih Padi 2025'!D625="","",'1.1 Produksi Bersih Padi 2025'!D625)</f>
        <v/>
      </c>
      <c r="E625" s="1" t="str">
        <f>IF('1.1 Produksi Bersih Padi 2025'!E625="","",'1.1 Produksi Bersih Padi 2025'!E625)</f>
        <v/>
      </c>
      <c r="F625" s="28" t="str">
        <f>IF(D625="","",VLOOKUP(D625,'[1]0.1 Produksi Pangan &amp; Penduduk'!$D$5:$AK$860,34,0))</f>
        <v/>
      </c>
      <c r="G625" s="29" t="str">
        <f t="shared" si="45"/>
        <v/>
      </c>
      <c r="H625" s="29" t="str">
        <f t="shared" si="46"/>
        <v/>
      </c>
      <c r="I625" s="29" t="str">
        <f t="shared" si="47"/>
        <v/>
      </c>
      <c r="J625" s="29" t="str">
        <f t="shared" si="48"/>
        <v/>
      </c>
      <c r="K625" s="29" t="str">
        <f t="shared" si="49"/>
        <v/>
      </c>
    </row>
    <row r="626" spans="1:11" ht="15" x14ac:dyDescent="0.25">
      <c r="A626" s="1" t="str">
        <f>IF('1.1 Produksi Bersih Padi 2025'!A626="","",'1.1 Produksi Bersih Padi 2025'!A626)</f>
        <v/>
      </c>
      <c r="B626" s="31" t="str">
        <f>IF('1.1 Produksi Bersih Padi 2025'!B626="","",'1.1 Produksi Bersih Padi 2025'!B626)</f>
        <v/>
      </c>
      <c r="C626" s="31" t="str">
        <f>IF('1.1 Produksi Bersih Padi 2025'!C626="","",'1.1 Produksi Bersih Padi 2025'!C626)</f>
        <v/>
      </c>
      <c r="D626" s="1" t="str">
        <f>IF('1.1 Produksi Bersih Padi 2025'!D626="","",'1.1 Produksi Bersih Padi 2025'!D626)</f>
        <v/>
      </c>
      <c r="E626" s="1" t="str">
        <f>IF('1.1 Produksi Bersih Padi 2025'!E626="","",'1.1 Produksi Bersih Padi 2025'!E626)</f>
        <v/>
      </c>
      <c r="F626" s="28" t="str">
        <f>IF(D626="","",VLOOKUP(D626,'[1]0.1 Produksi Pangan &amp; Penduduk'!$D$5:$AK$860,34,0))</f>
        <v/>
      </c>
      <c r="G626" s="29" t="str">
        <f t="shared" si="45"/>
        <v/>
      </c>
      <c r="H626" s="29" t="str">
        <f t="shared" si="46"/>
        <v/>
      </c>
      <c r="I626" s="29" t="str">
        <f t="shared" si="47"/>
        <v/>
      </c>
      <c r="J626" s="29" t="str">
        <f t="shared" si="48"/>
        <v/>
      </c>
      <c r="K626" s="29" t="str">
        <f t="shared" si="49"/>
        <v/>
      </c>
    </row>
    <row r="627" spans="1:11" ht="15" x14ac:dyDescent="0.25">
      <c r="A627" s="1" t="str">
        <f>IF('1.1 Produksi Bersih Padi 2025'!A627="","",'1.1 Produksi Bersih Padi 2025'!A627)</f>
        <v/>
      </c>
      <c r="B627" s="31" t="str">
        <f>IF('1.1 Produksi Bersih Padi 2025'!B627="","",'1.1 Produksi Bersih Padi 2025'!B627)</f>
        <v/>
      </c>
      <c r="C627" s="31" t="str">
        <f>IF('1.1 Produksi Bersih Padi 2025'!C627="","",'1.1 Produksi Bersih Padi 2025'!C627)</f>
        <v/>
      </c>
      <c r="D627" s="1" t="str">
        <f>IF('1.1 Produksi Bersih Padi 2025'!D627="","",'1.1 Produksi Bersih Padi 2025'!D627)</f>
        <v/>
      </c>
      <c r="E627" s="1" t="str">
        <f>IF('1.1 Produksi Bersih Padi 2025'!E627="","",'1.1 Produksi Bersih Padi 2025'!E627)</f>
        <v/>
      </c>
      <c r="F627" s="28" t="str">
        <f>IF(D627="","",VLOOKUP(D627,'[1]0.1 Produksi Pangan &amp; Penduduk'!$D$5:$AK$860,34,0))</f>
        <v/>
      </c>
      <c r="G627" s="29" t="str">
        <f t="shared" si="45"/>
        <v/>
      </c>
      <c r="H627" s="29" t="str">
        <f t="shared" si="46"/>
        <v/>
      </c>
      <c r="I627" s="29" t="str">
        <f t="shared" si="47"/>
        <v/>
      </c>
      <c r="J627" s="29" t="str">
        <f t="shared" si="48"/>
        <v/>
      </c>
      <c r="K627" s="29" t="str">
        <f t="shared" si="49"/>
        <v/>
      </c>
    </row>
    <row r="628" spans="1:11" ht="15" x14ac:dyDescent="0.25">
      <c r="A628" s="1" t="str">
        <f>IF('1.1 Produksi Bersih Padi 2025'!A628="","",'1.1 Produksi Bersih Padi 2025'!A628)</f>
        <v/>
      </c>
      <c r="B628" s="31" t="str">
        <f>IF('1.1 Produksi Bersih Padi 2025'!B628="","",'1.1 Produksi Bersih Padi 2025'!B628)</f>
        <v/>
      </c>
      <c r="C628" s="31" t="str">
        <f>IF('1.1 Produksi Bersih Padi 2025'!C628="","",'1.1 Produksi Bersih Padi 2025'!C628)</f>
        <v/>
      </c>
      <c r="D628" s="1" t="str">
        <f>IF('1.1 Produksi Bersih Padi 2025'!D628="","",'1.1 Produksi Bersih Padi 2025'!D628)</f>
        <v/>
      </c>
      <c r="E628" s="1" t="str">
        <f>IF('1.1 Produksi Bersih Padi 2025'!E628="","",'1.1 Produksi Bersih Padi 2025'!E628)</f>
        <v/>
      </c>
      <c r="F628" s="28" t="str">
        <f>IF(D628="","",VLOOKUP(D628,'[1]0.1 Produksi Pangan &amp; Penduduk'!$D$5:$AK$860,34,0))</f>
        <v/>
      </c>
      <c r="G628" s="29" t="str">
        <f t="shared" si="45"/>
        <v/>
      </c>
      <c r="H628" s="29" t="str">
        <f t="shared" si="46"/>
        <v/>
      </c>
      <c r="I628" s="29" t="str">
        <f t="shared" si="47"/>
        <v/>
      </c>
      <c r="J628" s="29" t="str">
        <f t="shared" si="48"/>
        <v/>
      </c>
      <c r="K628" s="29" t="str">
        <f t="shared" si="49"/>
        <v/>
      </c>
    </row>
    <row r="629" spans="1:11" ht="15" x14ac:dyDescent="0.25">
      <c r="A629" s="1" t="str">
        <f>IF('1.1 Produksi Bersih Padi 2025'!A629="","",'1.1 Produksi Bersih Padi 2025'!A629)</f>
        <v/>
      </c>
      <c r="B629" s="31" t="str">
        <f>IF('1.1 Produksi Bersih Padi 2025'!B629="","",'1.1 Produksi Bersih Padi 2025'!B629)</f>
        <v/>
      </c>
      <c r="C629" s="31" t="str">
        <f>IF('1.1 Produksi Bersih Padi 2025'!C629="","",'1.1 Produksi Bersih Padi 2025'!C629)</f>
        <v/>
      </c>
      <c r="D629" s="1" t="str">
        <f>IF('1.1 Produksi Bersih Padi 2025'!D629="","",'1.1 Produksi Bersih Padi 2025'!D629)</f>
        <v/>
      </c>
      <c r="E629" s="1" t="str">
        <f>IF('1.1 Produksi Bersih Padi 2025'!E629="","",'1.1 Produksi Bersih Padi 2025'!E629)</f>
        <v/>
      </c>
      <c r="F629" s="28" t="str">
        <f>IF(D629="","",VLOOKUP(D629,'[1]0.1 Produksi Pangan &amp; Penduduk'!$D$5:$AK$860,34,0))</f>
        <v/>
      </c>
      <c r="G629" s="29" t="str">
        <f t="shared" si="45"/>
        <v/>
      </c>
      <c r="H629" s="29" t="str">
        <f t="shared" si="46"/>
        <v/>
      </c>
      <c r="I629" s="29" t="str">
        <f t="shared" si="47"/>
        <v/>
      </c>
      <c r="J629" s="29" t="str">
        <f t="shared" si="48"/>
        <v/>
      </c>
      <c r="K629" s="29" t="str">
        <f t="shared" si="49"/>
        <v/>
      </c>
    </row>
    <row r="630" spans="1:11" ht="15" x14ac:dyDescent="0.25">
      <c r="A630" s="1" t="str">
        <f>IF('1.1 Produksi Bersih Padi 2025'!A630="","",'1.1 Produksi Bersih Padi 2025'!A630)</f>
        <v/>
      </c>
      <c r="B630" s="31" t="str">
        <f>IF('1.1 Produksi Bersih Padi 2025'!B630="","",'1.1 Produksi Bersih Padi 2025'!B630)</f>
        <v/>
      </c>
      <c r="C630" s="31" t="str">
        <f>IF('1.1 Produksi Bersih Padi 2025'!C630="","",'1.1 Produksi Bersih Padi 2025'!C630)</f>
        <v/>
      </c>
      <c r="D630" s="1" t="str">
        <f>IF('1.1 Produksi Bersih Padi 2025'!D630="","",'1.1 Produksi Bersih Padi 2025'!D630)</f>
        <v/>
      </c>
      <c r="E630" s="1" t="str">
        <f>IF('1.1 Produksi Bersih Padi 2025'!E630="","",'1.1 Produksi Bersih Padi 2025'!E630)</f>
        <v/>
      </c>
      <c r="F630" s="28" t="str">
        <f>IF(D630="","",VLOOKUP(D630,'[1]0.1 Produksi Pangan &amp; Penduduk'!$D$5:$AK$860,34,0))</f>
        <v/>
      </c>
      <c r="G630" s="29" t="str">
        <f t="shared" si="45"/>
        <v/>
      </c>
      <c r="H630" s="29" t="str">
        <f t="shared" si="46"/>
        <v/>
      </c>
      <c r="I630" s="29" t="str">
        <f t="shared" si="47"/>
        <v/>
      </c>
      <c r="J630" s="29" t="str">
        <f t="shared" si="48"/>
        <v/>
      </c>
      <c r="K630" s="29" t="str">
        <f t="shared" si="49"/>
        <v/>
      </c>
    </row>
    <row r="631" spans="1:11" ht="15" x14ac:dyDescent="0.25">
      <c r="A631" s="1" t="str">
        <f>IF('1.1 Produksi Bersih Padi 2025'!A631="","",'1.1 Produksi Bersih Padi 2025'!A631)</f>
        <v/>
      </c>
      <c r="B631" s="31" t="str">
        <f>IF('1.1 Produksi Bersih Padi 2025'!B631="","",'1.1 Produksi Bersih Padi 2025'!B631)</f>
        <v/>
      </c>
      <c r="C631" s="31" t="str">
        <f>IF('1.1 Produksi Bersih Padi 2025'!C631="","",'1.1 Produksi Bersih Padi 2025'!C631)</f>
        <v/>
      </c>
      <c r="D631" s="1" t="str">
        <f>IF('1.1 Produksi Bersih Padi 2025'!D631="","",'1.1 Produksi Bersih Padi 2025'!D631)</f>
        <v/>
      </c>
      <c r="E631" s="1" t="str">
        <f>IF('1.1 Produksi Bersih Padi 2025'!E631="","",'1.1 Produksi Bersih Padi 2025'!E631)</f>
        <v/>
      </c>
      <c r="F631" s="28" t="str">
        <f>IF(D631="","",VLOOKUP(D631,'[1]0.1 Produksi Pangan &amp; Penduduk'!$D$5:$AK$860,34,0))</f>
        <v/>
      </c>
      <c r="G631" s="29" t="str">
        <f t="shared" si="45"/>
        <v/>
      </c>
      <c r="H631" s="29" t="str">
        <f t="shared" si="46"/>
        <v/>
      </c>
      <c r="I631" s="29" t="str">
        <f t="shared" si="47"/>
        <v/>
      </c>
      <c r="J631" s="29" t="str">
        <f t="shared" si="48"/>
        <v/>
      </c>
      <c r="K631" s="29" t="str">
        <f t="shared" si="49"/>
        <v/>
      </c>
    </row>
    <row r="632" spans="1:11" ht="15" x14ac:dyDescent="0.25">
      <c r="A632" s="1" t="str">
        <f>IF('1.1 Produksi Bersih Padi 2025'!A632="","",'1.1 Produksi Bersih Padi 2025'!A632)</f>
        <v/>
      </c>
      <c r="B632" s="31" t="str">
        <f>IF('1.1 Produksi Bersih Padi 2025'!B632="","",'1.1 Produksi Bersih Padi 2025'!B632)</f>
        <v/>
      </c>
      <c r="C632" s="31" t="str">
        <f>IF('1.1 Produksi Bersih Padi 2025'!C632="","",'1.1 Produksi Bersih Padi 2025'!C632)</f>
        <v/>
      </c>
      <c r="D632" s="1" t="str">
        <f>IF('1.1 Produksi Bersih Padi 2025'!D632="","",'1.1 Produksi Bersih Padi 2025'!D632)</f>
        <v/>
      </c>
      <c r="E632" s="1" t="str">
        <f>IF('1.1 Produksi Bersih Padi 2025'!E632="","",'1.1 Produksi Bersih Padi 2025'!E632)</f>
        <v/>
      </c>
      <c r="F632" s="28" t="str">
        <f>IF(D632="","",VLOOKUP(D632,'[1]0.1 Produksi Pangan &amp; Penduduk'!$D$5:$AK$860,34,0))</f>
        <v/>
      </c>
      <c r="G632" s="29" t="str">
        <f t="shared" si="45"/>
        <v/>
      </c>
      <c r="H632" s="29" t="str">
        <f t="shared" si="46"/>
        <v/>
      </c>
      <c r="I632" s="29" t="str">
        <f t="shared" si="47"/>
        <v/>
      </c>
      <c r="J632" s="29" t="str">
        <f t="shared" si="48"/>
        <v/>
      </c>
      <c r="K632" s="29" t="str">
        <f t="shared" si="49"/>
        <v/>
      </c>
    </row>
    <row r="633" spans="1:11" ht="15" x14ac:dyDescent="0.25">
      <c r="A633" s="1" t="str">
        <f>IF('1.1 Produksi Bersih Padi 2025'!A633="","",'1.1 Produksi Bersih Padi 2025'!A633)</f>
        <v/>
      </c>
      <c r="B633" s="31" t="str">
        <f>IF('1.1 Produksi Bersih Padi 2025'!B633="","",'1.1 Produksi Bersih Padi 2025'!B633)</f>
        <v/>
      </c>
      <c r="C633" s="31" t="str">
        <f>IF('1.1 Produksi Bersih Padi 2025'!C633="","",'1.1 Produksi Bersih Padi 2025'!C633)</f>
        <v/>
      </c>
      <c r="D633" s="1" t="str">
        <f>IF('1.1 Produksi Bersih Padi 2025'!D633="","",'1.1 Produksi Bersih Padi 2025'!D633)</f>
        <v/>
      </c>
      <c r="E633" s="1" t="str">
        <f>IF('1.1 Produksi Bersih Padi 2025'!E633="","",'1.1 Produksi Bersih Padi 2025'!E633)</f>
        <v/>
      </c>
      <c r="F633" s="28" t="str">
        <f>IF(D633="","",VLOOKUP(D633,'[1]0.1 Produksi Pangan &amp; Penduduk'!$D$5:$AK$860,34,0))</f>
        <v/>
      </c>
      <c r="G633" s="29" t="str">
        <f t="shared" si="45"/>
        <v/>
      </c>
      <c r="H633" s="29" t="str">
        <f t="shared" si="46"/>
        <v/>
      </c>
      <c r="I633" s="29" t="str">
        <f t="shared" si="47"/>
        <v/>
      </c>
      <c r="J633" s="29" t="str">
        <f t="shared" si="48"/>
        <v/>
      </c>
      <c r="K633" s="29" t="str">
        <f t="shared" si="49"/>
        <v/>
      </c>
    </row>
    <row r="634" spans="1:11" ht="15" x14ac:dyDescent="0.25">
      <c r="A634" s="1" t="str">
        <f>IF('1.1 Produksi Bersih Padi 2025'!A634="","",'1.1 Produksi Bersih Padi 2025'!A634)</f>
        <v/>
      </c>
      <c r="B634" s="31" t="str">
        <f>IF('1.1 Produksi Bersih Padi 2025'!B634="","",'1.1 Produksi Bersih Padi 2025'!B634)</f>
        <v/>
      </c>
      <c r="C634" s="31" t="str">
        <f>IF('1.1 Produksi Bersih Padi 2025'!C634="","",'1.1 Produksi Bersih Padi 2025'!C634)</f>
        <v/>
      </c>
      <c r="D634" s="1" t="str">
        <f>IF('1.1 Produksi Bersih Padi 2025'!D634="","",'1.1 Produksi Bersih Padi 2025'!D634)</f>
        <v/>
      </c>
      <c r="E634" s="1" t="str">
        <f>IF('1.1 Produksi Bersih Padi 2025'!E634="","",'1.1 Produksi Bersih Padi 2025'!E634)</f>
        <v/>
      </c>
      <c r="F634" s="28" t="str">
        <f>IF(D634="","",VLOOKUP(D634,'[1]0.1 Produksi Pangan &amp; Penduduk'!$D$5:$AK$860,34,0))</f>
        <v/>
      </c>
      <c r="G634" s="29" t="str">
        <f t="shared" si="45"/>
        <v/>
      </c>
      <c r="H634" s="29" t="str">
        <f t="shared" si="46"/>
        <v/>
      </c>
      <c r="I634" s="29" t="str">
        <f t="shared" si="47"/>
        <v/>
      </c>
      <c r="J634" s="29" t="str">
        <f t="shared" si="48"/>
        <v/>
      </c>
      <c r="K634" s="29" t="str">
        <f t="shared" si="49"/>
        <v/>
      </c>
    </row>
    <row r="635" spans="1:11" ht="15" x14ac:dyDescent="0.25">
      <c r="A635" s="1" t="str">
        <f>IF('1.1 Produksi Bersih Padi 2025'!A635="","",'1.1 Produksi Bersih Padi 2025'!A635)</f>
        <v/>
      </c>
      <c r="B635" s="31" t="str">
        <f>IF('1.1 Produksi Bersih Padi 2025'!B635="","",'1.1 Produksi Bersih Padi 2025'!B635)</f>
        <v/>
      </c>
      <c r="C635" s="31" t="str">
        <f>IF('1.1 Produksi Bersih Padi 2025'!C635="","",'1.1 Produksi Bersih Padi 2025'!C635)</f>
        <v/>
      </c>
      <c r="D635" s="1" t="str">
        <f>IF('1.1 Produksi Bersih Padi 2025'!D635="","",'1.1 Produksi Bersih Padi 2025'!D635)</f>
        <v/>
      </c>
      <c r="E635" s="1" t="str">
        <f>IF('1.1 Produksi Bersih Padi 2025'!E635="","",'1.1 Produksi Bersih Padi 2025'!E635)</f>
        <v/>
      </c>
      <c r="F635" s="28" t="str">
        <f>IF(D635="","",VLOOKUP(D635,'[1]0.1 Produksi Pangan &amp; Penduduk'!$D$5:$AK$860,34,0))</f>
        <v/>
      </c>
      <c r="G635" s="29" t="str">
        <f t="shared" si="45"/>
        <v/>
      </c>
      <c r="H635" s="29" t="str">
        <f t="shared" si="46"/>
        <v/>
      </c>
      <c r="I635" s="29" t="str">
        <f t="shared" si="47"/>
        <v/>
      </c>
      <c r="J635" s="29" t="str">
        <f t="shared" si="48"/>
        <v/>
      </c>
      <c r="K635" s="29" t="str">
        <f t="shared" si="49"/>
        <v/>
      </c>
    </row>
    <row r="636" spans="1:11" ht="15" x14ac:dyDescent="0.25">
      <c r="A636" s="1" t="str">
        <f>IF('1.1 Produksi Bersih Padi 2025'!A636="","",'1.1 Produksi Bersih Padi 2025'!A636)</f>
        <v/>
      </c>
      <c r="B636" s="31" t="str">
        <f>IF('1.1 Produksi Bersih Padi 2025'!B636="","",'1.1 Produksi Bersih Padi 2025'!B636)</f>
        <v/>
      </c>
      <c r="C636" s="31" t="str">
        <f>IF('1.1 Produksi Bersih Padi 2025'!C636="","",'1.1 Produksi Bersih Padi 2025'!C636)</f>
        <v/>
      </c>
      <c r="D636" s="1" t="str">
        <f>IF('1.1 Produksi Bersih Padi 2025'!D636="","",'1.1 Produksi Bersih Padi 2025'!D636)</f>
        <v/>
      </c>
      <c r="E636" s="1" t="str">
        <f>IF('1.1 Produksi Bersih Padi 2025'!E636="","",'1.1 Produksi Bersih Padi 2025'!E636)</f>
        <v/>
      </c>
      <c r="F636" s="28" t="str">
        <f>IF(D636="","",VLOOKUP(D636,'[1]0.1 Produksi Pangan &amp; Penduduk'!$D$5:$AK$860,34,0))</f>
        <v/>
      </c>
      <c r="G636" s="29" t="str">
        <f t="shared" si="45"/>
        <v/>
      </c>
      <c r="H636" s="29" t="str">
        <f t="shared" si="46"/>
        <v/>
      </c>
      <c r="I636" s="29" t="str">
        <f t="shared" si="47"/>
        <v/>
      </c>
      <c r="J636" s="29" t="str">
        <f t="shared" si="48"/>
        <v/>
      </c>
      <c r="K636" s="29" t="str">
        <f t="shared" si="49"/>
        <v/>
      </c>
    </row>
    <row r="637" spans="1:11" ht="15" x14ac:dyDescent="0.25">
      <c r="A637" s="1" t="str">
        <f>IF('1.1 Produksi Bersih Padi 2025'!A637="","",'1.1 Produksi Bersih Padi 2025'!A637)</f>
        <v/>
      </c>
      <c r="B637" s="31" t="str">
        <f>IF('1.1 Produksi Bersih Padi 2025'!B637="","",'1.1 Produksi Bersih Padi 2025'!B637)</f>
        <v/>
      </c>
      <c r="C637" s="31" t="str">
        <f>IF('1.1 Produksi Bersih Padi 2025'!C637="","",'1.1 Produksi Bersih Padi 2025'!C637)</f>
        <v/>
      </c>
      <c r="D637" s="1" t="str">
        <f>IF('1.1 Produksi Bersih Padi 2025'!D637="","",'1.1 Produksi Bersih Padi 2025'!D637)</f>
        <v/>
      </c>
      <c r="E637" s="1" t="str">
        <f>IF('1.1 Produksi Bersih Padi 2025'!E637="","",'1.1 Produksi Bersih Padi 2025'!E637)</f>
        <v/>
      </c>
      <c r="F637" s="28" t="str">
        <f>IF(D637="","",VLOOKUP(D637,'[1]0.1 Produksi Pangan &amp; Penduduk'!$D$5:$AK$860,34,0))</f>
        <v/>
      </c>
      <c r="G637" s="29" t="str">
        <f t="shared" si="45"/>
        <v/>
      </c>
      <c r="H637" s="29" t="str">
        <f t="shared" si="46"/>
        <v/>
      </c>
      <c r="I637" s="29" t="str">
        <f t="shared" si="47"/>
        <v/>
      </c>
      <c r="J637" s="29" t="str">
        <f t="shared" si="48"/>
        <v/>
      </c>
      <c r="K637" s="29" t="str">
        <f t="shared" si="49"/>
        <v/>
      </c>
    </row>
    <row r="638" spans="1:11" ht="15" x14ac:dyDescent="0.25">
      <c r="A638" s="1" t="str">
        <f>IF('1.1 Produksi Bersih Padi 2025'!A638="","",'1.1 Produksi Bersih Padi 2025'!A638)</f>
        <v/>
      </c>
      <c r="B638" s="31" t="str">
        <f>IF('1.1 Produksi Bersih Padi 2025'!B638="","",'1.1 Produksi Bersih Padi 2025'!B638)</f>
        <v/>
      </c>
      <c r="C638" s="31" t="str">
        <f>IF('1.1 Produksi Bersih Padi 2025'!C638="","",'1.1 Produksi Bersih Padi 2025'!C638)</f>
        <v/>
      </c>
      <c r="D638" s="1" t="str">
        <f>IF('1.1 Produksi Bersih Padi 2025'!D638="","",'1.1 Produksi Bersih Padi 2025'!D638)</f>
        <v/>
      </c>
      <c r="E638" s="1" t="str">
        <f>IF('1.1 Produksi Bersih Padi 2025'!E638="","",'1.1 Produksi Bersih Padi 2025'!E638)</f>
        <v/>
      </c>
      <c r="F638" s="28" t="str">
        <f>IF(D638="","",VLOOKUP(D638,'[1]0.1 Produksi Pangan &amp; Penduduk'!$D$5:$AK$860,34,0))</f>
        <v/>
      </c>
      <c r="G638" s="29" t="str">
        <f t="shared" si="45"/>
        <v/>
      </c>
      <c r="H638" s="29" t="str">
        <f t="shared" si="46"/>
        <v/>
      </c>
      <c r="I638" s="29" t="str">
        <f t="shared" si="47"/>
        <v/>
      </c>
      <c r="J638" s="29" t="str">
        <f t="shared" si="48"/>
        <v/>
      </c>
      <c r="K638" s="29" t="str">
        <f t="shared" si="49"/>
        <v/>
      </c>
    </row>
    <row r="639" spans="1:11" ht="15" x14ac:dyDescent="0.25">
      <c r="A639" s="1" t="str">
        <f>IF('1.1 Produksi Bersih Padi 2025'!A639="","",'1.1 Produksi Bersih Padi 2025'!A639)</f>
        <v/>
      </c>
      <c r="B639" s="31" t="str">
        <f>IF('1.1 Produksi Bersih Padi 2025'!B639="","",'1.1 Produksi Bersih Padi 2025'!B639)</f>
        <v/>
      </c>
      <c r="C639" s="31" t="str">
        <f>IF('1.1 Produksi Bersih Padi 2025'!C639="","",'1.1 Produksi Bersih Padi 2025'!C639)</f>
        <v/>
      </c>
      <c r="D639" s="1" t="str">
        <f>IF('1.1 Produksi Bersih Padi 2025'!D639="","",'1.1 Produksi Bersih Padi 2025'!D639)</f>
        <v/>
      </c>
      <c r="E639" s="1" t="str">
        <f>IF('1.1 Produksi Bersih Padi 2025'!E639="","",'1.1 Produksi Bersih Padi 2025'!E639)</f>
        <v/>
      </c>
      <c r="F639" s="28" t="str">
        <f>IF(D639="","",VLOOKUP(D639,'[1]0.1 Produksi Pangan &amp; Penduduk'!$D$5:$AK$860,34,0))</f>
        <v/>
      </c>
      <c r="G639" s="29" t="str">
        <f t="shared" si="45"/>
        <v/>
      </c>
      <c r="H639" s="29" t="str">
        <f t="shared" si="46"/>
        <v/>
      </c>
      <c r="I639" s="29" t="str">
        <f t="shared" si="47"/>
        <v/>
      </c>
      <c r="J639" s="29" t="str">
        <f t="shared" si="48"/>
        <v/>
      </c>
      <c r="K639" s="29" t="str">
        <f t="shared" si="49"/>
        <v/>
      </c>
    </row>
    <row r="640" spans="1:11" ht="15" x14ac:dyDescent="0.25">
      <c r="A640" s="1" t="str">
        <f>IF('1.1 Produksi Bersih Padi 2025'!A640="","",'1.1 Produksi Bersih Padi 2025'!A640)</f>
        <v/>
      </c>
      <c r="B640" s="31" t="str">
        <f>IF('1.1 Produksi Bersih Padi 2025'!B640="","",'1.1 Produksi Bersih Padi 2025'!B640)</f>
        <v/>
      </c>
      <c r="C640" s="31" t="str">
        <f>IF('1.1 Produksi Bersih Padi 2025'!C640="","",'1.1 Produksi Bersih Padi 2025'!C640)</f>
        <v/>
      </c>
      <c r="D640" s="1" t="str">
        <f>IF('1.1 Produksi Bersih Padi 2025'!D640="","",'1.1 Produksi Bersih Padi 2025'!D640)</f>
        <v/>
      </c>
      <c r="E640" s="1" t="str">
        <f>IF('1.1 Produksi Bersih Padi 2025'!E640="","",'1.1 Produksi Bersih Padi 2025'!E640)</f>
        <v/>
      </c>
      <c r="F640" s="28" t="str">
        <f>IF(D640="","",VLOOKUP(D640,'[1]0.1 Produksi Pangan &amp; Penduduk'!$D$5:$AK$860,34,0))</f>
        <v/>
      </c>
      <c r="G640" s="29" t="str">
        <f t="shared" si="45"/>
        <v/>
      </c>
      <c r="H640" s="29" t="str">
        <f t="shared" si="46"/>
        <v/>
      </c>
      <c r="I640" s="29" t="str">
        <f t="shared" si="47"/>
        <v/>
      </c>
      <c r="J640" s="29" t="str">
        <f t="shared" si="48"/>
        <v/>
      </c>
      <c r="K640" s="29" t="str">
        <f t="shared" si="49"/>
        <v/>
      </c>
    </row>
    <row r="641" spans="1:11" ht="15" x14ac:dyDescent="0.25">
      <c r="A641" s="1" t="str">
        <f>IF('1.1 Produksi Bersih Padi 2025'!A641="","",'1.1 Produksi Bersih Padi 2025'!A641)</f>
        <v/>
      </c>
      <c r="B641" s="31" t="str">
        <f>IF('1.1 Produksi Bersih Padi 2025'!B641="","",'1.1 Produksi Bersih Padi 2025'!B641)</f>
        <v/>
      </c>
      <c r="C641" s="31" t="str">
        <f>IF('1.1 Produksi Bersih Padi 2025'!C641="","",'1.1 Produksi Bersih Padi 2025'!C641)</f>
        <v/>
      </c>
      <c r="D641" s="1" t="str">
        <f>IF('1.1 Produksi Bersih Padi 2025'!D641="","",'1.1 Produksi Bersih Padi 2025'!D641)</f>
        <v/>
      </c>
      <c r="E641" s="1" t="str">
        <f>IF('1.1 Produksi Bersih Padi 2025'!E641="","",'1.1 Produksi Bersih Padi 2025'!E641)</f>
        <v/>
      </c>
      <c r="F641" s="28" t="str">
        <f>IF(D641="","",VLOOKUP(D641,'[1]0.1 Produksi Pangan &amp; Penduduk'!$D$5:$AK$860,34,0))</f>
        <v/>
      </c>
      <c r="G641" s="29" t="str">
        <f t="shared" si="45"/>
        <v/>
      </c>
      <c r="H641" s="29" t="str">
        <f t="shared" si="46"/>
        <v/>
      </c>
      <c r="I641" s="29" t="str">
        <f t="shared" si="47"/>
        <v/>
      </c>
      <c r="J641" s="29" t="str">
        <f t="shared" si="48"/>
        <v/>
      </c>
      <c r="K641" s="29" t="str">
        <f t="shared" si="49"/>
        <v/>
      </c>
    </row>
    <row r="642" spans="1:11" ht="15" x14ac:dyDescent="0.25">
      <c r="A642" s="1" t="str">
        <f>IF('1.1 Produksi Bersih Padi 2025'!A642="","",'1.1 Produksi Bersih Padi 2025'!A642)</f>
        <v/>
      </c>
      <c r="B642" s="31" t="str">
        <f>IF('1.1 Produksi Bersih Padi 2025'!B642="","",'1.1 Produksi Bersih Padi 2025'!B642)</f>
        <v/>
      </c>
      <c r="C642" s="31" t="str">
        <f>IF('1.1 Produksi Bersih Padi 2025'!C642="","",'1.1 Produksi Bersih Padi 2025'!C642)</f>
        <v/>
      </c>
      <c r="D642" s="1" t="str">
        <f>IF('1.1 Produksi Bersih Padi 2025'!D642="","",'1.1 Produksi Bersih Padi 2025'!D642)</f>
        <v/>
      </c>
      <c r="E642" s="1" t="str">
        <f>IF('1.1 Produksi Bersih Padi 2025'!E642="","",'1.1 Produksi Bersih Padi 2025'!E642)</f>
        <v/>
      </c>
      <c r="F642" s="28" t="str">
        <f>IF(D642="","",VLOOKUP(D642,'[1]0.1 Produksi Pangan &amp; Penduduk'!$D$5:$AK$860,34,0))</f>
        <v/>
      </c>
      <c r="G642" s="29" t="str">
        <f t="shared" si="45"/>
        <v/>
      </c>
      <c r="H642" s="29" t="str">
        <f t="shared" si="46"/>
        <v/>
      </c>
      <c r="I642" s="29" t="str">
        <f t="shared" si="47"/>
        <v/>
      </c>
      <c r="J642" s="29" t="str">
        <f t="shared" si="48"/>
        <v/>
      </c>
      <c r="K642" s="29" t="str">
        <f t="shared" si="49"/>
        <v/>
      </c>
    </row>
    <row r="643" spans="1:11" ht="15" x14ac:dyDescent="0.25">
      <c r="A643" s="1" t="str">
        <f>IF('1.1 Produksi Bersih Padi 2025'!A643="","",'1.1 Produksi Bersih Padi 2025'!A643)</f>
        <v/>
      </c>
      <c r="B643" s="31" t="str">
        <f>IF('1.1 Produksi Bersih Padi 2025'!B643="","",'1.1 Produksi Bersih Padi 2025'!B643)</f>
        <v/>
      </c>
      <c r="C643" s="31" t="str">
        <f>IF('1.1 Produksi Bersih Padi 2025'!C643="","",'1.1 Produksi Bersih Padi 2025'!C643)</f>
        <v/>
      </c>
      <c r="D643" s="1" t="str">
        <f>IF('1.1 Produksi Bersih Padi 2025'!D643="","",'1.1 Produksi Bersih Padi 2025'!D643)</f>
        <v/>
      </c>
      <c r="E643" s="1" t="str">
        <f>IF('1.1 Produksi Bersih Padi 2025'!E643="","",'1.1 Produksi Bersih Padi 2025'!E643)</f>
        <v/>
      </c>
      <c r="F643" s="28" t="str">
        <f>IF(D643="","",VLOOKUP(D643,'[1]0.1 Produksi Pangan &amp; Penduduk'!$D$5:$AK$860,34,0))</f>
        <v/>
      </c>
      <c r="G643" s="29" t="str">
        <f t="shared" si="45"/>
        <v/>
      </c>
      <c r="H643" s="29" t="str">
        <f t="shared" si="46"/>
        <v/>
      </c>
      <c r="I643" s="29" t="str">
        <f t="shared" si="47"/>
        <v/>
      </c>
      <c r="J643" s="29" t="str">
        <f t="shared" si="48"/>
        <v/>
      </c>
      <c r="K643" s="29" t="str">
        <f t="shared" si="49"/>
        <v/>
      </c>
    </row>
    <row r="644" spans="1:11" ht="15" x14ac:dyDescent="0.25">
      <c r="A644" s="1" t="str">
        <f>IF('1.1 Produksi Bersih Padi 2025'!A644="","",'1.1 Produksi Bersih Padi 2025'!A644)</f>
        <v/>
      </c>
      <c r="B644" s="31" t="str">
        <f>IF('1.1 Produksi Bersih Padi 2025'!B644="","",'1.1 Produksi Bersih Padi 2025'!B644)</f>
        <v/>
      </c>
      <c r="C644" s="31" t="str">
        <f>IF('1.1 Produksi Bersih Padi 2025'!C644="","",'1.1 Produksi Bersih Padi 2025'!C644)</f>
        <v/>
      </c>
      <c r="D644" s="1" t="str">
        <f>IF('1.1 Produksi Bersih Padi 2025'!D644="","",'1.1 Produksi Bersih Padi 2025'!D644)</f>
        <v/>
      </c>
      <c r="E644" s="1" t="str">
        <f>IF('1.1 Produksi Bersih Padi 2025'!E644="","",'1.1 Produksi Bersih Padi 2025'!E644)</f>
        <v/>
      </c>
      <c r="F644" s="28" t="str">
        <f>IF(D644="","",VLOOKUP(D644,'[1]0.1 Produksi Pangan &amp; Penduduk'!$D$5:$AK$860,34,0))</f>
        <v/>
      </c>
      <c r="G644" s="29" t="str">
        <f t="shared" si="45"/>
        <v/>
      </c>
      <c r="H644" s="29" t="str">
        <f t="shared" si="46"/>
        <v/>
      </c>
      <c r="I644" s="29" t="str">
        <f t="shared" si="47"/>
        <v/>
      </c>
      <c r="J644" s="29" t="str">
        <f t="shared" si="48"/>
        <v/>
      </c>
      <c r="K644" s="29" t="str">
        <f t="shared" si="49"/>
        <v/>
      </c>
    </row>
    <row r="645" spans="1:11" ht="15" x14ac:dyDescent="0.25">
      <c r="A645" s="1" t="str">
        <f>IF('1.1 Produksi Bersih Padi 2025'!A645="","",'1.1 Produksi Bersih Padi 2025'!A645)</f>
        <v/>
      </c>
      <c r="B645" s="31" t="str">
        <f>IF('1.1 Produksi Bersih Padi 2025'!B645="","",'1.1 Produksi Bersih Padi 2025'!B645)</f>
        <v/>
      </c>
      <c r="C645" s="31" t="str">
        <f>IF('1.1 Produksi Bersih Padi 2025'!C645="","",'1.1 Produksi Bersih Padi 2025'!C645)</f>
        <v/>
      </c>
      <c r="D645" s="1" t="str">
        <f>IF('1.1 Produksi Bersih Padi 2025'!D645="","",'1.1 Produksi Bersih Padi 2025'!D645)</f>
        <v/>
      </c>
      <c r="E645" s="1" t="str">
        <f>IF('1.1 Produksi Bersih Padi 2025'!E645="","",'1.1 Produksi Bersih Padi 2025'!E645)</f>
        <v/>
      </c>
      <c r="F645" s="28" t="str">
        <f>IF(D645="","",VLOOKUP(D645,'[1]0.1 Produksi Pangan &amp; Penduduk'!$D$5:$AK$860,34,0))</f>
        <v/>
      </c>
      <c r="G645" s="29" t="str">
        <f t="shared" si="45"/>
        <v/>
      </c>
      <c r="H645" s="29" t="str">
        <f t="shared" si="46"/>
        <v/>
      </c>
      <c r="I645" s="29" t="str">
        <f t="shared" si="47"/>
        <v/>
      </c>
      <c r="J645" s="29" t="str">
        <f t="shared" si="48"/>
        <v/>
      </c>
      <c r="K645" s="29" t="str">
        <f t="shared" si="49"/>
        <v/>
      </c>
    </row>
    <row r="646" spans="1:11" ht="15" x14ac:dyDescent="0.25">
      <c r="A646" s="1" t="str">
        <f>IF('1.1 Produksi Bersih Padi 2025'!A646="","",'1.1 Produksi Bersih Padi 2025'!A646)</f>
        <v/>
      </c>
      <c r="B646" s="31" t="str">
        <f>IF('1.1 Produksi Bersih Padi 2025'!B646="","",'1.1 Produksi Bersih Padi 2025'!B646)</f>
        <v/>
      </c>
      <c r="C646" s="31" t="str">
        <f>IF('1.1 Produksi Bersih Padi 2025'!C646="","",'1.1 Produksi Bersih Padi 2025'!C646)</f>
        <v/>
      </c>
      <c r="D646" s="1" t="str">
        <f>IF('1.1 Produksi Bersih Padi 2025'!D646="","",'1.1 Produksi Bersih Padi 2025'!D646)</f>
        <v/>
      </c>
      <c r="E646" s="1" t="str">
        <f>IF('1.1 Produksi Bersih Padi 2025'!E646="","",'1.1 Produksi Bersih Padi 2025'!E646)</f>
        <v/>
      </c>
      <c r="F646" s="28" t="str">
        <f>IF(D646="","",VLOOKUP(D646,'[1]0.1 Produksi Pangan &amp; Penduduk'!$D$5:$AK$860,34,0))</f>
        <v/>
      </c>
      <c r="G646" s="29" t="str">
        <f t="shared" ref="G646:G709" si="50">IF(F646="","",F646*0%)</f>
        <v/>
      </c>
      <c r="H646" s="29" t="str">
        <f t="shared" ref="H646:H709" si="51">IF(F646="","",F646*0%)</f>
        <v/>
      </c>
      <c r="I646" s="29" t="str">
        <f t="shared" ref="I646:I709" si="52">IF(F646="","",F646*0.72%)</f>
        <v/>
      </c>
      <c r="J646" s="29" t="str">
        <f t="shared" ref="J646:J709" si="53">IF(F646="","",F646-(G646+H646+I646))</f>
        <v/>
      </c>
      <c r="K646" s="29" t="str">
        <f t="shared" ref="K646:K709" si="54">IF(J646="","",J646*0.64)</f>
        <v/>
      </c>
    </row>
    <row r="647" spans="1:11" ht="15" x14ac:dyDescent="0.25">
      <c r="A647" s="1" t="str">
        <f>IF('1.1 Produksi Bersih Padi 2025'!A647="","",'1.1 Produksi Bersih Padi 2025'!A647)</f>
        <v/>
      </c>
      <c r="B647" s="31" t="str">
        <f>IF('1.1 Produksi Bersih Padi 2025'!B647="","",'1.1 Produksi Bersih Padi 2025'!B647)</f>
        <v/>
      </c>
      <c r="C647" s="31" t="str">
        <f>IF('1.1 Produksi Bersih Padi 2025'!C647="","",'1.1 Produksi Bersih Padi 2025'!C647)</f>
        <v/>
      </c>
      <c r="D647" s="1" t="str">
        <f>IF('1.1 Produksi Bersih Padi 2025'!D647="","",'1.1 Produksi Bersih Padi 2025'!D647)</f>
        <v/>
      </c>
      <c r="E647" s="1" t="str">
        <f>IF('1.1 Produksi Bersih Padi 2025'!E647="","",'1.1 Produksi Bersih Padi 2025'!E647)</f>
        <v/>
      </c>
      <c r="F647" s="28" t="str">
        <f>IF(D647="","",VLOOKUP(D647,'[1]0.1 Produksi Pangan &amp; Penduduk'!$D$5:$AK$860,34,0))</f>
        <v/>
      </c>
      <c r="G647" s="29" t="str">
        <f t="shared" si="50"/>
        <v/>
      </c>
      <c r="H647" s="29" t="str">
        <f t="shared" si="51"/>
        <v/>
      </c>
      <c r="I647" s="29" t="str">
        <f t="shared" si="52"/>
        <v/>
      </c>
      <c r="J647" s="29" t="str">
        <f t="shared" si="53"/>
        <v/>
      </c>
      <c r="K647" s="29" t="str">
        <f t="shared" si="54"/>
        <v/>
      </c>
    </row>
    <row r="648" spans="1:11" ht="15" x14ac:dyDescent="0.25">
      <c r="A648" s="1" t="str">
        <f>IF('1.1 Produksi Bersih Padi 2025'!A648="","",'1.1 Produksi Bersih Padi 2025'!A648)</f>
        <v/>
      </c>
      <c r="B648" s="31" t="str">
        <f>IF('1.1 Produksi Bersih Padi 2025'!B648="","",'1.1 Produksi Bersih Padi 2025'!B648)</f>
        <v/>
      </c>
      <c r="C648" s="31" t="str">
        <f>IF('1.1 Produksi Bersih Padi 2025'!C648="","",'1.1 Produksi Bersih Padi 2025'!C648)</f>
        <v/>
      </c>
      <c r="D648" s="1" t="str">
        <f>IF('1.1 Produksi Bersih Padi 2025'!D648="","",'1.1 Produksi Bersih Padi 2025'!D648)</f>
        <v/>
      </c>
      <c r="E648" s="1" t="str">
        <f>IF('1.1 Produksi Bersih Padi 2025'!E648="","",'1.1 Produksi Bersih Padi 2025'!E648)</f>
        <v/>
      </c>
      <c r="F648" s="28" t="str">
        <f>IF(D648="","",VLOOKUP(D648,'[1]0.1 Produksi Pangan &amp; Penduduk'!$D$5:$AK$860,34,0))</f>
        <v/>
      </c>
      <c r="G648" s="29" t="str">
        <f t="shared" si="50"/>
        <v/>
      </c>
      <c r="H648" s="29" t="str">
        <f t="shared" si="51"/>
        <v/>
      </c>
      <c r="I648" s="29" t="str">
        <f t="shared" si="52"/>
        <v/>
      </c>
      <c r="J648" s="29" t="str">
        <f t="shared" si="53"/>
        <v/>
      </c>
      <c r="K648" s="29" t="str">
        <f t="shared" si="54"/>
        <v/>
      </c>
    </row>
    <row r="649" spans="1:11" ht="15" x14ac:dyDescent="0.25">
      <c r="A649" s="1" t="str">
        <f>IF('1.1 Produksi Bersih Padi 2025'!A649="","",'1.1 Produksi Bersih Padi 2025'!A649)</f>
        <v/>
      </c>
      <c r="B649" s="31" t="str">
        <f>IF('1.1 Produksi Bersih Padi 2025'!B649="","",'1.1 Produksi Bersih Padi 2025'!B649)</f>
        <v/>
      </c>
      <c r="C649" s="31" t="str">
        <f>IF('1.1 Produksi Bersih Padi 2025'!C649="","",'1.1 Produksi Bersih Padi 2025'!C649)</f>
        <v/>
      </c>
      <c r="D649" s="1" t="str">
        <f>IF('1.1 Produksi Bersih Padi 2025'!D649="","",'1.1 Produksi Bersih Padi 2025'!D649)</f>
        <v/>
      </c>
      <c r="E649" s="1" t="str">
        <f>IF('1.1 Produksi Bersih Padi 2025'!E649="","",'1.1 Produksi Bersih Padi 2025'!E649)</f>
        <v/>
      </c>
      <c r="F649" s="28" t="str">
        <f>IF(D649="","",VLOOKUP(D649,'[1]0.1 Produksi Pangan &amp; Penduduk'!$D$5:$AK$860,34,0))</f>
        <v/>
      </c>
      <c r="G649" s="29" t="str">
        <f t="shared" si="50"/>
        <v/>
      </c>
      <c r="H649" s="29" t="str">
        <f t="shared" si="51"/>
        <v/>
      </c>
      <c r="I649" s="29" t="str">
        <f t="shared" si="52"/>
        <v/>
      </c>
      <c r="J649" s="29" t="str">
        <f t="shared" si="53"/>
        <v/>
      </c>
      <c r="K649" s="29" t="str">
        <f t="shared" si="54"/>
        <v/>
      </c>
    </row>
    <row r="650" spans="1:11" ht="15" x14ac:dyDescent="0.25">
      <c r="A650" s="1" t="str">
        <f>IF('1.1 Produksi Bersih Padi 2025'!A650="","",'1.1 Produksi Bersih Padi 2025'!A650)</f>
        <v/>
      </c>
      <c r="B650" s="31" t="str">
        <f>IF('1.1 Produksi Bersih Padi 2025'!B650="","",'1.1 Produksi Bersih Padi 2025'!B650)</f>
        <v/>
      </c>
      <c r="C650" s="31" t="str">
        <f>IF('1.1 Produksi Bersih Padi 2025'!C650="","",'1.1 Produksi Bersih Padi 2025'!C650)</f>
        <v/>
      </c>
      <c r="D650" s="1" t="str">
        <f>IF('1.1 Produksi Bersih Padi 2025'!D650="","",'1.1 Produksi Bersih Padi 2025'!D650)</f>
        <v/>
      </c>
      <c r="E650" s="1" t="str">
        <f>IF('1.1 Produksi Bersih Padi 2025'!E650="","",'1.1 Produksi Bersih Padi 2025'!E650)</f>
        <v/>
      </c>
      <c r="F650" s="28" t="str">
        <f>IF(D650="","",VLOOKUP(D650,'[1]0.1 Produksi Pangan &amp; Penduduk'!$D$5:$AK$860,34,0))</f>
        <v/>
      </c>
      <c r="G650" s="29" t="str">
        <f t="shared" si="50"/>
        <v/>
      </c>
      <c r="H650" s="29" t="str">
        <f t="shared" si="51"/>
        <v/>
      </c>
      <c r="I650" s="29" t="str">
        <f t="shared" si="52"/>
        <v/>
      </c>
      <c r="J650" s="29" t="str">
        <f t="shared" si="53"/>
        <v/>
      </c>
      <c r="K650" s="29" t="str">
        <f t="shared" si="54"/>
        <v/>
      </c>
    </row>
    <row r="651" spans="1:11" ht="15" x14ac:dyDescent="0.25">
      <c r="A651" s="1" t="str">
        <f>IF('1.1 Produksi Bersih Padi 2025'!A651="","",'1.1 Produksi Bersih Padi 2025'!A651)</f>
        <v/>
      </c>
      <c r="B651" s="31" t="str">
        <f>IF('1.1 Produksi Bersih Padi 2025'!B651="","",'1.1 Produksi Bersih Padi 2025'!B651)</f>
        <v/>
      </c>
      <c r="C651" s="31" t="str">
        <f>IF('1.1 Produksi Bersih Padi 2025'!C651="","",'1.1 Produksi Bersih Padi 2025'!C651)</f>
        <v/>
      </c>
      <c r="D651" s="1" t="str">
        <f>IF('1.1 Produksi Bersih Padi 2025'!D651="","",'1.1 Produksi Bersih Padi 2025'!D651)</f>
        <v/>
      </c>
      <c r="E651" s="1" t="str">
        <f>IF('1.1 Produksi Bersih Padi 2025'!E651="","",'1.1 Produksi Bersih Padi 2025'!E651)</f>
        <v/>
      </c>
      <c r="F651" s="28" t="str">
        <f>IF(D651="","",VLOOKUP(D651,'[1]0.1 Produksi Pangan &amp; Penduduk'!$D$5:$AK$860,34,0))</f>
        <v/>
      </c>
      <c r="G651" s="29" t="str">
        <f t="shared" si="50"/>
        <v/>
      </c>
      <c r="H651" s="29" t="str">
        <f t="shared" si="51"/>
        <v/>
      </c>
      <c r="I651" s="29" t="str">
        <f t="shared" si="52"/>
        <v/>
      </c>
      <c r="J651" s="29" t="str">
        <f t="shared" si="53"/>
        <v/>
      </c>
      <c r="K651" s="29" t="str">
        <f t="shared" si="54"/>
        <v/>
      </c>
    </row>
    <row r="652" spans="1:11" ht="15" x14ac:dyDescent="0.25">
      <c r="A652" s="1" t="str">
        <f>IF('1.1 Produksi Bersih Padi 2025'!A652="","",'1.1 Produksi Bersih Padi 2025'!A652)</f>
        <v/>
      </c>
      <c r="B652" s="31" t="str">
        <f>IF('1.1 Produksi Bersih Padi 2025'!B652="","",'1.1 Produksi Bersih Padi 2025'!B652)</f>
        <v/>
      </c>
      <c r="C652" s="31" t="str">
        <f>IF('1.1 Produksi Bersih Padi 2025'!C652="","",'1.1 Produksi Bersih Padi 2025'!C652)</f>
        <v/>
      </c>
      <c r="D652" s="1" t="str">
        <f>IF('1.1 Produksi Bersih Padi 2025'!D652="","",'1.1 Produksi Bersih Padi 2025'!D652)</f>
        <v/>
      </c>
      <c r="E652" s="1" t="str">
        <f>IF('1.1 Produksi Bersih Padi 2025'!E652="","",'1.1 Produksi Bersih Padi 2025'!E652)</f>
        <v/>
      </c>
      <c r="F652" s="28" t="str">
        <f>IF(D652="","",VLOOKUP(D652,'[1]0.1 Produksi Pangan &amp; Penduduk'!$D$5:$AK$860,34,0))</f>
        <v/>
      </c>
      <c r="G652" s="29" t="str">
        <f t="shared" si="50"/>
        <v/>
      </c>
      <c r="H652" s="29" t="str">
        <f t="shared" si="51"/>
        <v/>
      </c>
      <c r="I652" s="29" t="str">
        <f t="shared" si="52"/>
        <v/>
      </c>
      <c r="J652" s="29" t="str">
        <f t="shared" si="53"/>
        <v/>
      </c>
      <c r="K652" s="29" t="str">
        <f t="shared" si="54"/>
        <v/>
      </c>
    </row>
    <row r="653" spans="1:11" ht="15" x14ac:dyDescent="0.25">
      <c r="A653" s="1" t="str">
        <f>IF('1.1 Produksi Bersih Padi 2025'!A653="","",'1.1 Produksi Bersih Padi 2025'!A653)</f>
        <v/>
      </c>
      <c r="B653" s="31" t="str">
        <f>IF('1.1 Produksi Bersih Padi 2025'!B653="","",'1.1 Produksi Bersih Padi 2025'!B653)</f>
        <v/>
      </c>
      <c r="C653" s="31" t="str">
        <f>IF('1.1 Produksi Bersih Padi 2025'!C653="","",'1.1 Produksi Bersih Padi 2025'!C653)</f>
        <v/>
      </c>
      <c r="D653" s="1" t="str">
        <f>IF('1.1 Produksi Bersih Padi 2025'!D653="","",'1.1 Produksi Bersih Padi 2025'!D653)</f>
        <v/>
      </c>
      <c r="E653" s="1" t="str">
        <f>IF('1.1 Produksi Bersih Padi 2025'!E653="","",'1.1 Produksi Bersih Padi 2025'!E653)</f>
        <v/>
      </c>
      <c r="F653" s="28" t="str">
        <f>IF(D653="","",VLOOKUP(D653,'[1]0.1 Produksi Pangan &amp; Penduduk'!$D$5:$AK$860,34,0))</f>
        <v/>
      </c>
      <c r="G653" s="29" t="str">
        <f t="shared" si="50"/>
        <v/>
      </c>
      <c r="H653" s="29" t="str">
        <f t="shared" si="51"/>
        <v/>
      </c>
      <c r="I653" s="29" t="str">
        <f t="shared" si="52"/>
        <v/>
      </c>
      <c r="J653" s="29" t="str">
        <f t="shared" si="53"/>
        <v/>
      </c>
      <c r="K653" s="29" t="str">
        <f t="shared" si="54"/>
        <v/>
      </c>
    </row>
    <row r="654" spans="1:11" ht="15" x14ac:dyDescent="0.25">
      <c r="A654" s="1" t="str">
        <f>IF('1.1 Produksi Bersih Padi 2025'!A654="","",'1.1 Produksi Bersih Padi 2025'!A654)</f>
        <v/>
      </c>
      <c r="B654" s="31" t="str">
        <f>IF('1.1 Produksi Bersih Padi 2025'!B654="","",'1.1 Produksi Bersih Padi 2025'!B654)</f>
        <v/>
      </c>
      <c r="C654" s="31" t="str">
        <f>IF('1.1 Produksi Bersih Padi 2025'!C654="","",'1.1 Produksi Bersih Padi 2025'!C654)</f>
        <v/>
      </c>
      <c r="D654" s="1" t="str">
        <f>IF('1.1 Produksi Bersih Padi 2025'!D654="","",'1.1 Produksi Bersih Padi 2025'!D654)</f>
        <v/>
      </c>
      <c r="E654" s="1" t="str">
        <f>IF('1.1 Produksi Bersih Padi 2025'!E654="","",'1.1 Produksi Bersih Padi 2025'!E654)</f>
        <v/>
      </c>
      <c r="F654" s="28" t="str">
        <f>IF(D654="","",VLOOKUP(D654,'[1]0.1 Produksi Pangan &amp; Penduduk'!$D$5:$AK$860,34,0))</f>
        <v/>
      </c>
      <c r="G654" s="29" t="str">
        <f t="shared" si="50"/>
        <v/>
      </c>
      <c r="H654" s="29" t="str">
        <f t="shared" si="51"/>
        <v/>
      </c>
      <c r="I654" s="29" t="str">
        <f t="shared" si="52"/>
        <v/>
      </c>
      <c r="J654" s="29" t="str">
        <f t="shared" si="53"/>
        <v/>
      </c>
      <c r="K654" s="29" t="str">
        <f t="shared" si="54"/>
        <v/>
      </c>
    </row>
    <row r="655" spans="1:11" ht="15" x14ac:dyDescent="0.25">
      <c r="A655" s="1" t="str">
        <f>IF('1.1 Produksi Bersih Padi 2025'!A655="","",'1.1 Produksi Bersih Padi 2025'!A655)</f>
        <v/>
      </c>
      <c r="B655" s="31" t="str">
        <f>IF('1.1 Produksi Bersih Padi 2025'!B655="","",'1.1 Produksi Bersih Padi 2025'!B655)</f>
        <v/>
      </c>
      <c r="C655" s="31" t="str">
        <f>IF('1.1 Produksi Bersih Padi 2025'!C655="","",'1.1 Produksi Bersih Padi 2025'!C655)</f>
        <v/>
      </c>
      <c r="D655" s="1" t="str">
        <f>IF('1.1 Produksi Bersih Padi 2025'!D655="","",'1.1 Produksi Bersih Padi 2025'!D655)</f>
        <v/>
      </c>
      <c r="E655" s="1" t="str">
        <f>IF('1.1 Produksi Bersih Padi 2025'!E655="","",'1.1 Produksi Bersih Padi 2025'!E655)</f>
        <v/>
      </c>
      <c r="F655" s="28" t="str">
        <f>IF(D655="","",VLOOKUP(D655,'[1]0.1 Produksi Pangan &amp; Penduduk'!$D$5:$AK$860,34,0))</f>
        <v/>
      </c>
      <c r="G655" s="29" t="str">
        <f t="shared" si="50"/>
        <v/>
      </c>
      <c r="H655" s="29" t="str">
        <f t="shared" si="51"/>
        <v/>
      </c>
      <c r="I655" s="29" t="str">
        <f t="shared" si="52"/>
        <v/>
      </c>
      <c r="J655" s="29" t="str">
        <f t="shared" si="53"/>
        <v/>
      </c>
      <c r="K655" s="29" t="str">
        <f t="shared" si="54"/>
        <v/>
      </c>
    </row>
    <row r="656" spans="1:11" ht="15" x14ac:dyDescent="0.25">
      <c r="A656" s="1" t="str">
        <f>IF('1.1 Produksi Bersih Padi 2025'!A656="","",'1.1 Produksi Bersih Padi 2025'!A656)</f>
        <v/>
      </c>
      <c r="B656" s="31" t="str">
        <f>IF('1.1 Produksi Bersih Padi 2025'!B656="","",'1.1 Produksi Bersih Padi 2025'!B656)</f>
        <v/>
      </c>
      <c r="C656" s="31" t="str">
        <f>IF('1.1 Produksi Bersih Padi 2025'!C656="","",'1.1 Produksi Bersih Padi 2025'!C656)</f>
        <v/>
      </c>
      <c r="D656" s="1" t="str">
        <f>IF('1.1 Produksi Bersih Padi 2025'!D656="","",'1.1 Produksi Bersih Padi 2025'!D656)</f>
        <v/>
      </c>
      <c r="E656" s="1" t="str">
        <f>IF('1.1 Produksi Bersih Padi 2025'!E656="","",'1.1 Produksi Bersih Padi 2025'!E656)</f>
        <v/>
      </c>
      <c r="F656" s="28" t="str">
        <f>IF(D656="","",VLOOKUP(D656,'[1]0.1 Produksi Pangan &amp; Penduduk'!$D$5:$AK$860,34,0))</f>
        <v/>
      </c>
      <c r="G656" s="29" t="str">
        <f t="shared" si="50"/>
        <v/>
      </c>
      <c r="H656" s="29" t="str">
        <f t="shared" si="51"/>
        <v/>
      </c>
      <c r="I656" s="29" t="str">
        <f t="shared" si="52"/>
        <v/>
      </c>
      <c r="J656" s="29" t="str">
        <f t="shared" si="53"/>
        <v/>
      </c>
      <c r="K656" s="29" t="str">
        <f t="shared" si="54"/>
        <v/>
      </c>
    </row>
    <row r="657" spans="1:11" ht="15" x14ac:dyDescent="0.25">
      <c r="A657" s="1" t="str">
        <f>IF('1.1 Produksi Bersih Padi 2025'!A657="","",'1.1 Produksi Bersih Padi 2025'!A657)</f>
        <v/>
      </c>
      <c r="B657" s="31" t="str">
        <f>IF('1.1 Produksi Bersih Padi 2025'!B657="","",'1.1 Produksi Bersih Padi 2025'!B657)</f>
        <v/>
      </c>
      <c r="C657" s="31" t="str">
        <f>IF('1.1 Produksi Bersih Padi 2025'!C657="","",'1.1 Produksi Bersih Padi 2025'!C657)</f>
        <v/>
      </c>
      <c r="D657" s="1" t="str">
        <f>IF('1.1 Produksi Bersih Padi 2025'!D657="","",'1.1 Produksi Bersih Padi 2025'!D657)</f>
        <v/>
      </c>
      <c r="E657" s="1" t="str">
        <f>IF('1.1 Produksi Bersih Padi 2025'!E657="","",'1.1 Produksi Bersih Padi 2025'!E657)</f>
        <v/>
      </c>
      <c r="F657" s="28" t="str">
        <f>IF(D657="","",VLOOKUP(D657,'[1]0.1 Produksi Pangan &amp; Penduduk'!$D$5:$AK$860,34,0))</f>
        <v/>
      </c>
      <c r="G657" s="29" t="str">
        <f t="shared" si="50"/>
        <v/>
      </c>
      <c r="H657" s="29" t="str">
        <f t="shared" si="51"/>
        <v/>
      </c>
      <c r="I657" s="29" t="str">
        <f t="shared" si="52"/>
        <v/>
      </c>
      <c r="J657" s="29" t="str">
        <f t="shared" si="53"/>
        <v/>
      </c>
      <c r="K657" s="29" t="str">
        <f t="shared" si="54"/>
        <v/>
      </c>
    </row>
    <row r="658" spans="1:11" ht="15" x14ac:dyDescent="0.25">
      <c r="A658" s="1" t="str">
        <f>IF('1.1 Produksi Bersih Padi 2025'!A658="","",'1.1 Produksi Bersih Padi 2025'!A658)</f>
        <v/>
      </c>
      <c r="B658" s="31" t="str">
        <f>IF('1.1 Produksi Bersih Padi 2025'!B658="","",'1.1 Produksi Bersih Padi 2025'!B658)</f>
        <v/>
      </c>
      <c r="C658" s="31" t="str">
        <f>IF('1.1 Produksi Bersih Padi 2025'!C658="","",'1.1 Produksi Bersih Padi 2025'!C658)</f>
        <v/>
      </c>
      <c r="D658" s="1" t="str">
        <f>IF('1.1 Produksi Bersih Padi 2025'!D658="","",'1.1 Produksi Bersih Padi 2025'!D658)</f>
        <v/>
      </c>
      <c r="E658" s="1" t="str">
        <f>IF('1.1 Produksi Bersih Padi 2025'!E658="","",'1.1 Produksi Bersih Padi 2025'!E658)</f>
        <v/>
      </c>
      <c r="F658" s="28" t="str">
        <f>IF(D658="","",VLOOKUP(D658,'[1]0.1 Produksi Pangan &amp; Penduduk'!$D$5:$AK$860,34,0))</f>
        <v/>
      </c>
      <c r="G658" s="29" t="str">
        <f t="shared" si="50"/>
        <v/>
      </c>
      <c r="H658" s="29" t="str">
        <f t="shared" si="51"/>
        <v/>
      </c>
      <c r="I658" s="29" t="str">
        <f t="shared" si="52"/>
        <v/>
      </c>
      <c r="J658" s="29" t="str">
        <f t="shared" si="53"/>
        <v/>
      </c>
      <c r="K658" s="29" t="str">
        <f t="shared" si="54"/>
        <v/>
      </c>
    </row>
    <row r="659" spans="1:11" ht="15" x14ac:dyDescent="0.25">
      <c r="A659" s="1" t="str">
        <f>IF('1.1 Produksi Bersih Padi 2025'!A659="","",'1.1 Produksi Bersih Padi 2025'!A659)</f>
        <v/>
      </c>
      <c r="B659" s="31" t="str">
        <f>IF('1.1 Produksi Bersih Padi 2025'!B659="","",'1.1 Produksi Bersih Padi 2025'!B659)</f>
        <v/>
      </c>
      <c r="C659" s="31" t="str">
        <f>IF('1.1 Produksi Bersih Padi 2025'!C659="","",'1.1 Produksi Bersih Padi 2025'!C659)</f>
        <v/>
      </c>
      <c r="D659" s="1" t="str">
        <f>IF('1.1 Produksi Bersih Padi 2025'!D659="","",'1.1 Produksi Bersih Padi 2025'!D659)</f>
        <v/>
      </c>
      <c r="E659" s="1" t="str">
        <f>IF('1.1 Produksi Bersih Padi 2025'!E659="","",'1.1 Produksi Bersih Padi 2025'!E659)</f>
        <v/>
      </c>
      <c r="F659" s="28" t="str">
        <f>IF(D659="","",VLOOKUP(D659,'[1]0.1 Produksi Pangan &amp; Penduduk'!$D$5:$AK$860,34,0))</f>
        <v/>
      </c>
      <c r="G659" s="29" t="str">
        <f t="shared" si="50"/>
        <v/>
      </c>
      <c r="H659" s="29" t="str">
        <f t="shared" si="51"/>
        <v/>
      </c>
      <c r="I659" s="29" t="str">
        <f t="shared" si="52"/>
        <v/>
      </c>
      <c r="J659" s="29" t="str">
        <f t="shared" si="53"/>
        <v/>
      </c>
      <c r="K659" s="29" t="str">
        <f t="shared" si="54"/>
        <v/>
      </c>
    </row>
    <row r="660" spans="1:11" ht="15" x14ac:dyDescent="0.25">
      <c r="A660" s="1" t="str">
        <f>IF('1.1 Produksi Bersih Padi 2025'!A660="","",'1.1 Produksi Bersih Padi 2025'!A660)</f>
        <v/>
      </c>
      <c r="B660" s="31" t="str">
        <f>IF('1.1 Produksi Bersih Padi 2025'!B660="","",'1.1 Produksi Bersih Padi 2025'!B660)</f>
        <v/>
      </c>
      <c r="C660" s="31" t="str">
        <f>IF('1.1 Produksi Bersih Padi 2025'!C660="","",'1.1 Produksi Bersih Padi 2025'!C660)</f>
        <v/>
      </c>
      <c r="D660" s="1" t="str">
        <f>IF('1.1 Produksi Bersih Padi 2025'!D660="","",'1.1 Produksi Bersih Padi 2025'!D660)</f>
        <v/>
      </c>
      <c r="E660" s="1" t="str">
        <f>IF('1.1 Produksi Bersih Padi 2025'!E660="","",'1.1 Produksi Bersih Padi 2025'!E660)</f>
        <v/>
      </c>
      <c r="F660" s="28" t="str">
        <f>IF(D660="","",VLOOKUP(D660,'[1]0.1 Produksi Pangan &amp; Penduduk'!$D$5:$AK$860,34,0))</f>
        <v/>
      </c>
      <c r="G660" s="29" t="str">
        <f t="shared" si="50"/>
        <v/>
      </c>
      <c r="H660" s="29" t="str">
        <f t="shared" si="51"/>
        <v/>
      </c>
      <c r="I660" s="29" t="str">
        <f t="shared" si="52"/>
        <v/>
      </c>
      <c r="J660" s="29" t="str">
        <f t="shared" si="53"/>
        <v/>
      </c>
      <c r="K660" s="29" t="str">
        <f t="shared" si="54"/>
        <v/>
      </c>
    </row>
    <row r="661" spans="1:11" ht="15" x14ac:dyDescent="0.25">
      <c r="A661" s="1" t="str">
        <f>IF('1.1 Produksi Bersih Padi 2025'!A661="","",'1.1 Produksi Bersih Padi 2025'!A661)</f>
        <v/>
      </c>
      <c r="B661" s="31" t="str">
        <f>IF('1.1 Produksi Bersih Padi 2025'!B661="","",'1.1 Produksi Bersih Padi 2025'!B661)</f>
        <v/>
      </c>
      <c r="C661" s="31" t="str">
        <f>IF('1.1 Produksi Bersih Padi 2025'!C661="","",'1.1 Produksi Bersih Padi 2025'!C661)</f>
        <v/>
      </c>
      <c r="D661" s="1" t="str">
        <f>IF('1.1 Produksi Bersih Padi 2025'!D661="","",'1.1 Produksi Bersih Padi 2025'!D661)</f>
        <v/>
      </c>
      <c r="E661" s="1" t="str">
        <f>IF('1.1 Produksi Bersih Padi 2025'!E661="","",'1.1 Produksi Bersih Padi 2025'!E661)</f>
        <v/>
      </c>
      <c r="F661" s="28" t="str">
        <f>IF(D661="","",VLOOKUP(D661,'[1]0.1 Produksi Pangan &amp; Penduduk'!$D$5:$AK$860,34,0))</f>
        <v/>
      </c>
      <c r="G661" s="29" t="str">
        <f t="shared" si="50"/>
        <v/>
      </c>
      <c r="H661" s="29" t="str">
        <f t="shared" si="51"/>
        <v/>
      </c>
      <c r="I661" s="29" t="str">
        <f t="shared" si="52"/>
        <v/>
      </c>
      <c r="J661" s="29" t="str">
        <f t="shared" si="53"/>
        <v/>
      </c>
      <c r="K661" s="29" t="str">
        <f t="shared" si="54"/>
        <v/>
      </c>
    </row>
    <row r="662" spans="1:11" ht="15" x14ac:dyDescent="0.25">
      <c r="A662" s="1" t="str">
        <f>IF('1.1 Produksi Bersih Padi 2025'!A662="","",'1.1 Produksi Bersih Padi 2025'!A662)</f>
        <v/>
      </c>
      <c r="B662" s="31" t="str">
        <f>IF('1.1 Produksi Bersih Padi 2025'!B662="","",'1.1 Produksi Bersih Padi 2025'!B662)</f>
        <v/>
      </c>
      <c r="C662" s="31" t="str">
        <f>IF('1.1 Produksi Bersih Padi 2025'!C662="","",'1.1 Produksi Bersih Padi 2025'!C662)</f>
        <v/>
      </c>
      <c r="D662" s="1" t="str">
        <f>IF('1.1 Produksi Bersih Padi 2025'!D662="","",'1.1 Produksi Bersih Padi 2025'!D662)</f>
        <v/>
      </c>
      <c r="E662" s="1" t="str">
        <f>IF('1.1 Produksi Bersih Padi 2025'!E662="","",'1.1 Produksi Bersih Padi 2025'!E662)</f>
        <v/>
      </c>
      <c r="F662" s="28" t="str">
        <f>IF(D662="","",VLOOKUP(D662,'[1]0.1 Produksi Pangan &amp; Penduduk'!$D$5:$AK$860,34,0))</f>
        <v/>
      </c>
      <c r="G662" s="29" t="str">
        <f t="shared" si="50"/>
        <v/>
      </c>
      <c r="H662" s="29" t="str">
        <f t="shared" si="51"/>
        <v/>
      </c>
      <c r="I662" s="29" t="str">
        <f t="shared" si="52"/>
        <v/>
      </c>
      <c r="J662" s="29" t="str">
        <f t="shared" si="53"/>
        <v/>
      </c>
      <c r="K662" s="29" t="str">
        <f t="shared" si="54"/>
        <v/>
      </c>
    </row>
    <row r="663" spans="1:11" ht="15" x14ac:dyDescent="0.25">
      <c r="A663" s="1" t="str">
        <f>IF('1.1 Produksi Bersih Padi 2025'!A663="","",'1.1 Produksi Bersih Padi 2025'!A663)</f>
        <v/>
      </c>
      <c r="B663" s="31" t="str">
        <f>IF('1.1 Produksi Bersih Padi 2025'!B663="","",'1.1 Produksi Bersih Padi 2025'!B663)</f>
        <v/>
      </c>
      <c r="C663" s="31" t="str">
        <f>IF('1.1 Produksi Bersih Padi 2025'!C663="","",'1.1 Produksi Bersih Padi 2025'!C663)</f>
        <v/>
      </c>
      <c r="D663" s="1" t="str">
        <f>IF('1.1 Produksi Bersih Padi 2025'!D663="","",'1.1 Produksi Bersih Padi 2025'!D663)</f>
        <v/>
      </c>
      <c r="E663" s="1" t="str">
        <f>IF('1.1 Produksi Bersih Padi 2025'!E663="","",'1.1 Produksi Bersih Padi 2025'!E663)</f>
        <v/>
      </c>
      <c r="F663" s="28" t="str">
        <f>IF(D663="","",VLOOKUP(D663,'[1]0.1 Produksi Pangan &amp; Penduduk'!$D$5:$AK$860,34,0))</f>
        <v/>
      </c>
      <c r="G663" s="29" t="str">
        <f t="shared" si="50"/>
        <v/>
      </c>
      <c r="H663" s="29" t="str">
        <f t="shared" si="51"/>
        <v/>
      </c>
      <c r="I663" s="29" t="str">
        <f t="shared" si="52"/>
        <v/>
      </c>
      <c r="J663" s="29" t="str">
        <f t="shared" si="53"/>
        <v/>
      </c>
      <c r="K663" s="29" t="str">
        <f t="shared" si="54"/>
        <v/>
      </c>
    </row>
    <row r="664" spans="1:11" ht="15" x14ac:dyDescent="0.25">
      <c r="A664" s="1" t="str">
        <f>IF('1.1 Produksi Bersih Padi 2025'!A664="","",'1.1 Produksi Bersih Padi 2025'!A664)</f>
        <v/>
      </c>
      <c r="B664" s="31" t="str">
        <f>IF('1.1 Produksi Bersih Padi 2025'!B664="","",'1.1 Produksi Bersih Padi 2025'!B664)</f>
        <v/>
      </c>
      <c r="C664" s="31" t="str">
        <f>IF('1.1 Produksi Bersih Padi 2025'!C664="","",'1.1 Produksi Bersih Padi 2025'!C664)</f>
        <v/>
      </c>
      <c r="D664" s="1" t="str">
        <f>IF('1.1 Produksi Bersih Padi 2025'!D664="","",'1.1 Produksi Bersih Padi 2025'!D664)</f>
        <v/>
      </c>
      <c r="E664" s="1" t="str">
        <f>IF('1.1 Produksi Bersih Padi 2025'!E664="","",'1.1 Produksi Bersih Padi 2025'!E664)</f>
        <v/>
      </c>
      <c r="F664" s="28" t="str">
        <f>IF(D664="","",VLOOKUP(D664,'[1]0.1 Produksi Pangan &amp; Penduduk'!$D$5:$AK$860,34,0))</f>
        <v/>
      </c>
      <c r="G664" s="29" t="str">
        <f t="shared" si="50"/>
        <v/>
      </c>
      <c r="H664" s="29" t="str">
        <f t="shared" si="51"/>
        <v/>
      </c>
      <c r="I664" s="29" t="str">
        <f t="shared" si="52"/>
        <v/>
      </c>
      <c r="J664" s="29" t="str">
        <f t="shared" si="53"/>
        <v/>
      </c>
      <c r="K664" s="29" t="str">
        <f t="shared" si="54"/>
        <v/>
      </c>
    </row>
    <row r="665" spans="1:11" ht="15" x14ac:dyDescent="0.25">
      <c r="A665" s="1" t="str">
        <f>IF('1.1 Produksi Bersih Padi 2025'!A665="","",'1.1 Produksi Bersih Padi 2025'!A665)</f>
        <v/>
      </c>
      <c r="B665" s="31" t="str">
        <f>IF('1.1 Produksi Bersih Padi 2025'!B665="","",'1.1 Produksi Bersih Padi 2025'!B665)</f>
        <v/>
      </c>
      <c r="C665" s="31" t="str">
        <f>IF('1.1 Produksi Bersih Padi 2025'!C665="","",'1.1 Produksi Bersih Padi 2025'!C665)</f>
        <v/>
      </c>
      <c r="D665" s="1" t="str">
        <f>IF('1.1 Produksi Bersih Padi 2025'!D665="","",'1.1 Produksi Bersih Padi 2025'!D665)</f>
        <v/>
      </c>
      <c r="E665" s="1" t="str">
        <f>IF('1.1 Produksi Bersih Padi 2025'!E665="","",'1.1 Produksi Bersih Padi 2025'!E665)</f>
        <v/>
      </c>
      <c r="F665" s="28" t="str">
        <f>IF(D665="","",VLOOKUP(D665,'[1]0.1 Produksi Pangan &amp; Penduduk'!$D$5:$AK$860,34,0))</f>
        <v/>
      </c>
      <c r="G665" s="29" t="str">
        <f t="shared" si="50"/>
        <v/>
      </c>
      <c r="H665" s="29" t="str">
        <f t="shared" si="51"/>
        <v/>
      </c>
      <c r="I665" s="29" t="str">
        <f t="shared" si="52"/>
        <v/>
      </c>
      <c r="J665" s="29" t="str">
        <f t="shared" si="53"/>
        <v/>
      </c>
      <c r="K665" s="29" t="str">
        <f t="shared" si="54"/>
        <v/>
      </c>
    </row>
    <row r="666" spans="1:11" ht="15" x14ac:dyDescent="0.25">
      <c r="A666" s="1" t="str">
        <f>IF('1.1 Produksi Bersih Padi 2025'!A666="","",'1.1 Produksi Bersih Padi 2025'!A666)</f>
        <v/>
      </c>
      <c r="B666" s="31" t="str">
        <f>IF('1.1 Produksi Bersih Padi 2025'!B666="","",'1.1 Produksi Bersih Padi 2025'!B666)</f>
        <v/>
      </c>
      <c r="C666" s="31" t="str">
        <f>IF('1.1 Produksi Bersih Padi 2025'!C666="","",'1.1 Produksi Bersih Padi 2025'!C666)</f>
        <v/>
      </c>
      <c r="D666" s="1" t="str">
        <f>IF('1.1 Produksi Bersih Padi 2025'!D666="","",'1.1 Produksi Bersih Padi 2025'!D666)</f>
        <v/>
      </c>
      <c r="E666" s="1" t="str">
        <f>IF('1.1 Produksi Bersih Padi 2025'!E666="","",'1.1 Produksi Bersih Padi 2025'!E666)</f>
        <v/>
      </c>
      <c r="F666" s="28" t="str">
        <f>IF(D666="","",VLOOKUP(D666,'[1]0.1 Produksi Pangan &amp; Penduduk'!$D$5:$AK$860,34,0))</f>
        <v/>
      </c>
      <c r="G666" s="29" t="str">
        <f t="shared" si="50"/>
        <v/>
      </c>
      <c r="H666" s="29" t="str">
        <f t="shared" si="51"/>
        <v/>
      </c>
      <c r="I666" s="29" t="str">
        <f t="shared" si="52"/>
        <v/>
      </c>
      <c r="J666" s="29" t="str">
        <f t="shared" si="53"/>
        <v/>
      </c>
      <c r="K666" s="29" t="str">
        <f t="shared" si="54"/>
        <v/>
      </c>
    </row>
    <row r="667" spans="1:11" ht="15" x14ac:dyDescent="0.25">
      <c r="A667" s="1" t="str">
        <f>IF('1.1 Produksi Bersih Padi 2025'!A667="","",'1.1 Produksi Bersih Padi 2025'!A667)</f>
        <v/>
      </c>
      <c r="B667" s="31" t="str">
        <f>IF('1.1 Produksi Bersih Padi 2025'!B667="","",'1.1 Produksi Bersih Padi 2025'!B667)</f>
        <v/>
      </c>
      <c r="C667" s="31" t="str">
        <f>IF('1.1 Produksi Bersih Padi 2025'!C667="","",'1.1 Produksi Bersih Padi 2025'!C667)</f>
        <v/>
      </c>
      <c r="D667" s="1" t="str">
        <f>IF('1.1 Produksi Bersih Padi 2025'!D667="","",'1.1 Produksi Bersih Padi 2025'!D667)</f>
        <v/>
      </c>
      <c r="E667" s="1" t="str">
        <f>IF('1.1 Produksi Bersih Padi 2025'!E667="","",'1.1 Produksi Bersih Padi 2025'!E667)</f>
        <v/>
      </c>
      <c r="F667" s="28" t="str">
        <f>IF(D667="","",VLOOKUP(D667,'[1]0.1 Produksi Pangan &amp; Penduduk'!$D$5:$AK$860,34,0))</f>
        <v/>
      </c>
      <c r="G667" s="29" t="str">
        <f t="shared" si="50"/>
        <v/>
      </c>
      <c r="H667" s="29" t="str">
        <f t="shared" si="51"/>
        <v/>
      </c>
      <c r="I667" s="29" t="str">
        <f t="shared" si="52"/>
        <v/>
      </c>
      <c r="J667" s="29" t="str">
        <f t="shared" si="53"/>
        <v/>
      </c>
      <c r="K667" s="29" t="str">
        <f t="shared" si="54"/>
        <v/>
      </c>
    </row>
    <row r="668" spans="1:11" ht="15" x14ac:dyDescent="0.25">
      <c r="A668" s="1" t="str">
        <f>IF('1.1 Produksi Bersih Padi 2025'!A668="","",'1.1 Produksi Bersih Padi 2025'!A668)</f>
        <v/>
      </c>
      <c r="B668" s="31" t="str">
        <f>IF('1.1 Produksi Bersih Padi 2025'!B668="","",'1.1 Produksi Bersih Padi 2025'!B668)</f>
        <v/>
      </c>
      <c r="C668" s="31" t="str">
        <f>IF('1.1 Produksi Bersih Padi 2025'!C668="","",'1.1 Produksi Bersih Padi 2025'!C668)</f>
        <v/>
      </c>
      <c r="D668" s="1" t="str">
        <f>IF('1.1 Produksi Bersih Padi 2025'!D668="","",'1.1 Produksi Bersih Padi 2025'!D668)</f>
        <v/>
      </c>
      <c r="E668" s="1" t="str">
        <f>IF('1.1 Produksi Bersih Padi 2025'!E668="","",'1.1 Produksi Bersih Padi 2025'!E668)</f>
        <v/>
      </c>
      <c r="F668" s="28" t="str">
        <f>IF(D668="","",VLOOKUP(D668,'[1]0.1 Produksi Pangan &amp; Penduduk'!$D$5:$AK$860,34,0))</f>
        <v/>
      </c>
      <c r="G668" s="29" t="str">
        <f t="shared" si="50"/>
        <v/>
      </c>
      <c r="H668" s="29" t="str">
        <f t="shared" si="51"/>
        <v/>
      </c>
      <c r="I668" s="29" t="str">
        <f t="shared" si="52"/>
        <v/>
      </c>
      <c r="J668" s="29" t="str">
        <f t="shared" si="53"/>
        <v/>
      </c>
      <c r="K668" s="29" t="str">
        <f t="shared" si="54"/>
        <v/>
      </c>
    </row>
    <row r="669" spans="1:11" ht="15" x14ac:dyDescent="0.25">
      <c r="A669" s="1" t="str">
        <f>IF('1.1 Produksi Bersih Padi 2025'!A669="","",'1.1 Produksi Bersih Padi 2025'!A669)</f>
        <v/>
      </c>
      <c r="B669" s="31" t="str">
        <f>IF('1.1 Produksi Bersih Padi 2025'!B669="","",'1.1 Produksi Bersih Padi 2025'!B669)</f>
        <v/>
      </c>
      <c r="C669" s="31" t="str">
        <f>IF('1.1 Produksi Bersih Padi 2025'!C669="","",'1.1 Produksi Bersih Padi 2025'!C669)</f>
        <v/>
      </c>
      <c r="D669" s="1" t="str">
        <f>IF('1.1 Produksi Bersih Padi 2025'!D669="","",'1.1 Produksi Bersih Padi 2025'!D669)</f>
        <v/>
      </c>
      <c r="E669" s="1" t="str">
        <f>IF('1.1 Produksi Bersih Padi 2025'!E669="","",'1.1 Produksi Bersih Padi 2025'!E669)</f>
        <v/>
      </c>
      <c r="F669" s="28" t="str">
        <f>IF(D669="","",VLOOKUP(D669,'[1]0.1 Produksi Pangan &amp; Penduduk'!$D$5:$AK$860,34,0))</f>
        <v/>
      </c>
      <c r="G669" s="29" t="str">
        <f t="shared" si="50"/>
        <v/>
      </c>
      <c r="H669" s="29" t="str">
        <f t="shared" si="51"/>
        <v/>
      </c>
      <c r="I669" s="29" t="str">
        <f t="shared" si="52"/>
        <v/>
      </c>
      <c r="J669" s="29" t="str">
        <f t="shared" si="53"/>
        <v/>
      </c>
      <c r="K669" s="29" t="str">
        <f t="shared" si="54"/>
        <v/>
      </c>
    </row>
    <row r="670" spans="1:11" ht="15" x14ac:dyDescent="0.25">
      <c r="A670" s="1" t="str">
        <f>IF('1.1 Produksi Bersih Padi 2025'!A670="","",'1.1 Produksi Bersih Padi 2025'!A670)</f>
        <v/>
      </c>
      <c r="B670" s="31" t="str">
        <f>IF('1.1 Produksi Bersih Padi 2025'!B670="","",'1.1 Produksi Bersih Padi 2025'!B670)</f>
        <v/>
      </c>
      <c r="C670" s="31" t="str">
        <f>IF('1.1 Produksi Bersih Padi 2025'!C670="","",'1.1 Produksi Bersih Padi 2025'!C670)</f>
        <v/>
      </c>
      <c r="D670" s="1" t="str">
        <f>IF('1.1 Produksi Bersih Padi 2025'!D670="","",'1.1 Produksi Bersih Padi 2025'!D670)</f>
        <v/>
      </c>
      <c r="E670" s="1" t="str">
        <f>IF('1.1 Produksi Bersih Padi 2025'!E670="","",'1.1 Produksi Bersih Padi 2025'!E670)</f>
        <v/>
      </c>
      <c r="F670" s="28" t="str">
        <f>IF(D670="","",VLOOKUP(D670,'[1]0.1 Produksi Pangan &amp; Penduduk'!$D$5:$AK$860,34,0))</f>
        <v/>
      </c>
      <c r="G670" s="29" t="str">
        <f t="shared" si="50"/>
        <v/>
      </c>
      <c r="H670" s="29" t="str">
        <f t="shared" si="51"/>
        <v/>
      </c>
      <c r="I670" s="29" t="str">
        <f t="shared" si="52"/>
        <v/>
      </c>
      <c r="J670" s="29" t="str">
        <f t="shared" si="53"/>
        <v/>
      </c>
      <c r="K670" s="29" t="str">
        <f t="shared" si="54"/>
        <v/>
      </c>
    </row>
    <row r="671" spans="1:11" ht="15" x14ac:dyDescent="0.25">
      <c r="A671" s="1" t="str">
        <f>IF('1.1 Produksi Bersih Padi 2025'!A671="","",'1.1 Produksi Bersih Padi 2025'!A671)</f>
        <v/>
      </c>
      <c r="B671" s="31" t="str">
        <f>IF('1.1 Produksi Bersih Padi 2025'!B671="","",'1.1 Produksi Bersih Padi 2025'!B671)</f>
        <v/>
      </c>
      <c r="C671" s="31" t="str">
        <f>IF('1.1 Produksi Bersih Padi 2025'!C671="","",'1.1 Produksi Bersih Padi 2025'!C671)</f>
        <v/>
      </c>
      <c r="D671" s="1" t="str">
        <f>IF('1.1 Produksi Bersih Padi 2025'!D671="","",'1.1 Produksi Bersih Padi 2025'!D671)</f>
        <v/>
      </c>
      <c r="E671" s="1" t="str">
        <f>IF('1.1 Produksi Bersih Padi 2025'!E671="","",'1.1 Produksi Bersih Padi 2025'!E671)</f>
        <v/>
      </c>
      <c r="F671" s="28" t="str">
        <f>IF(D671="","",VLOOKUP(D671,'[1]0.1 Produksi Pangan &amp; Penduduk'!$D$5:$AK$860,34,0))</f>
        <v/>
      </c>
      <c r="G671" s="29" t="str">
        <f t="shared" si="50"/>
        <v/>
      </c>
      <c r="H671" s="29" t="str">
        <f t="shared" si="51"/>
        <v/>
      </c>
      <c r="I671" s="29" t="str">
        <f t="shared" si="52"/>
        <v/>
      </c>
      <c r="J671" s="29" t="str">
        <f t="shared" si="53"/>
        <v/>
      </c>
      <c r="K671" s="29" t="str">
        <f t="shared" si="54"/>
        <v/>
      </c>
    </row>
    <row r="672" spans="1:11" ht="15" x14ac:dyDescent="0.25">
      <c r="A672" s="1" t="str">
        <f>IF('1.1 Produksi Bersih Padi 2025'!A672="","",'1.1 Produksi Bersih Padi 2025'!A672)</f>
        <v/>
      </c>
      <c r="B672" s="31" t="str">
        <f>IF('1.1 Produksi Bersih Padi 2025'!B672="","",'1.1 Produksi Bersih Padi 2025'!B672)</f>
        <v/>
      </c>
      <c r="C672" s="31" t="str">
        <f>IF('1.1 Produksi Bersih Padi 2025'!C672="","",'1.1 Produksi Bersih Padi 2025'!C672)</f>
        <v/>
      </c>
      <c r="D672" s="1" t="str">
        <f>IF('1.1 Produksi Bersih Padi 2025'!D672="","",'1.1 Produksi Bersih Padi 2025'!D672)</f>
        <v/>
      </c>
      <c r="E672" s="1" t="str">
        <f>IF('1.1 Produksi Bersih Padi 2025'!E672="","",'1.1 Produksi Bersih Padi 2025'!E672)</f>
        <v/>
      </c>
      <c r="F672" s="28" t="str">
        <f>IF(D672="","",VLOOKUP(D672,'[1]0.1 Produksi Pangan &amp; Penduduk'!$D$5:$AK$860,34,0))</f>
        <v/>
      </c>
      <c r="G672" s="29" t="str">
        <f t="shared" si="50"/>
        <v/>
      </c>
      <c r="H672" s="29" t="str">
        <f t="shared" si="51"/>
        <v/>
      </c>
      <c r="I672" s="29" t="str">
        <f t="shared" si="52"/>
        <v/>
      </c>
      <c r="J672" s="29" t="str">
        <f t="shared" si="53"/>
        <v/>
      </c>
      <c r="K672" s="29" t="str">
        <f t="shared" si="54"/>
        <v/>
      </c>
    </row>
    <row r="673" spans="1:11" ht="15" x14ac:dyDescent="0.25">
      <c r="A673" s="1" t="str">
        <f>IF('1.1 Produksi Bersih Padi 2025'!A673="","",'1.1 Produksi Bersih Padi 2025'!A673)</f>
        <v/>
      </c>
      <c r="B673" s="31" t="str">
        <f>IF('1.1 Produksi Bersih Padi 2025'!B673="","",'1.1 Produksi Bersih Padi 2025'!B673)</f>
        <v/>
      </c>
      <c r="C673" s="31" t="str">
        <f>IF('1.1 Produksi Bersih Padi 2025'!C673="","",'1.1 Produksi Bersih Padi 2025'!C673)</f>
        <v/>
      </c>
      <c r="D673" s="1" t="str">
        <f>IF('1.1 Produksi Bersih Padi 2025'!D673="","",'1.1 Produksi Bersih Padi 2025'!D673)</f>
        <v/>
      </c>
      <c r="E673" s="1" t="str">
        <f>IF('1.1 Produksi Bersih Padi 2025'!E673="","",'1.1 Produksi Bersih Padi 2025'!E673)</f>
        <v/>
      </c>
      <c r="F673" s="28" t="str">
        <f>IF(D673="","",VLOOKUP(D673,'[1]0.1 Produksi Pangan &amp; Penduduk'!$D$5:$AK$860,34,0))</f>
        <v/>
      </c>
      <c r="G673" s="29" t="str">
        <f t="shared" si="50"/>
        <v/>
      </c>
      <c r="H673" s="29" t="str">
        <f t="shared" si="51"/>
        <v/>
      </c>
      <c r="I673" s="29" t="str">
        <f t="shared" si="52"/>
        <v/>
      </c>
      <c r="J673" s="29" t="str">
        <f t="shared" si="53"/>
        <v/>
      </c>
      <c r="K673" s="29" t="str">
        <f t="shared" si="54"/>
        <v/>
      </c>
    </row>
    <row r="674" spans="1:11" ht="15" x14ac:dyDescent="0.25">
      <c r="A674" s="1" t="str">
        <f>IF('1.1 Produksi Bersih Padi 2025'!A674="","",'1.1 Produksi Bersih Padi 2025'!A674)</f>
        <v/>
      </c>
      <c r="B674" s="31" t="str">
        <f>IF('1.1 Produksi Bersih Padi 2025'!B674="","",'1.1 Produksi Bersih Padi 2025'!B674)</f>
        <v/>
      </c>
      <c r="C674" s="31" t="str">
        <f>IF('1.1 Produksi Bersih Padi 2025'!C674="","",'1.1 Produksi Bersih Padi 2025'!C674)</f>
        <v/>
      </c>
      <c r="D674" s="1" t="str">
        <f>IF('1.1 Produksi Bersih Padi 2025'!D674="","",'1.1 Produksi Bersih Padi 2025'!D674)</f>
        <v/>
      </c>
      <c r="E674" s="1" t="str">
        <f>IF('1.1 Produksi Bersih Padi 2025'!E674="","",'1.1 Produksi Bersih Padi 2025'!E674)</f>
        <v/>
      </c>
      <c r="F674" s="28" t="str">
        <f>IF(D674="","",VLOOKUP(D674,'[1]0.1 Produksi Pangan &amp; Penduduk'!$D$5:$AK$860,34,0))</f>
        <v/>
      </c>
      <c r="G674" s="29" t="str">
        <f t="shared" si="50"/>
        <v/>
      </c>
      <c r="H674" s="29" t="str">
        <f t="shared" si="51"/>
        <v/>
      </c>
      <c r="I674" s="29" t="str">
        <f t="shared" si="52"/>
        <v/>
      </c>
      <c r="J674" s="29" t="str">
        <f t="shared" si="53"/>
        <v/>
      </c>
      <c r="K674" s="29" t="str">
        <f t="shared" si="54"/>
        <v/>
      </c>
    </row>
    <row r="675" spans="1:11" ht="15" x14ac:dyDescent="0.25">
      <c r="A675" s="1" t="str">
        <f>IF('1.1 Produksi Bersih Padi 2025'!A675="","",'1.1 Produksi Bersih Padi 2025'!A675)</f>
        <v/>
      </c>
      <c r="B675" s="31" t="str">
        <f>IF('1.1 Produksi Bersih Padi 2025'!B675="","",'1.1 Produksi Bersih Padi 2025'!B675)</f>
        <v/>
      </c>
      <c r="C675" s="31" t="str">
        <f>IF('1.1 Produksi Bersih Padi 2025'!C675="","",'1.1 Produksi Bersih Padi 2025'!C675)</f>
        <v/>
      </c>
      <c r="D675" s="1" t="str">
        <f>IF('1.1 Produksi Bersih Padi 2025'!D675="","",'1.1 Produksi Bersih Padi 2025'!D675)</f>
        <v/>
      </c>
      <c r="E675" s="1" t="str">
        <f>IF('1.1 Produksi Bersih Padi 2025'!E675="","",'1.1 Produksi Bersih Padi 2025'!E675)</f>
        <v/>
      </c>
      <c r="F675" s="28" t="str">
        <f>IF(D675="","",VLOOKUP(D675,'[1]0.1 Produksi Pangan &amp; Penduduk'!$D$5:$AK$860,34,0))</f>
        <v/>
      </c>
      <c r="G675" s="29" t="str">
        <f t="shared" si="50"/>
        <v/>
      </c>
      <c r="H675" s="29" t="str">
        <f t="shared" si="51"/>
        <v/>
      </c>
      <c r="I675" s="29" t="str">
        <f t="shared" si="52"/>
        <v/>
      </c>
      <c r="J675" s="29" t="str">
        <f t="shared" si="53"/>
        <v/>
      </c>
      <c r="K675" s="29" t="str">
        <f t="shared" si="54"/>
        <v/>
      </c>
    </row>
    <row r="676" spans="1:11" ht="15" x14ac:dyDescent="0.25">
      <c r="A676" s="1" t="str">
        <f>IF('1.1 Produksi Bersih Padi 2025'!A676="","",'1.1 Produksi Bersih Padi 2025'!A676)</f>
        <v/>
      </c>
      <c r="B676" s="31" t="str">
        <f>IF('1.1 Produksi Bersih Padi 2025'!B676="","",'1.1 Produksi Bersih Padi 2025'!B676)</f>
        <v/>
      </c>
      <c r="C676" s="31" t="str">
        <f>IF('1.1 Produksi Bersih Padi 2025'!C676="","",'1.1 Produksi Bersih Padi 2025'!C676)</f>
        <v/>
      </c>
      <c r="D676" s="1" t="str">
        <f>IF('1.1 Produksi Bersih Padi 2025'!D676="","",'1.1 Produksi Bersih Padi 2025'!D676)</f>
        <v/>
      </c>
      <c r="E676" s="1" t="str">
        <f>IF('1.1 Produksi Bersih Padi 2025'!E676="","",'1.1 Produksi Bersih Padi 2025'!E676)</f>
        <v/>
      </c>
      <c r="F676" s="28" t="str">
        <f>IF(D676="","",VLOOKUP(D676,'[1]0.1 Produksi Pangan &amp; Penduduk'!$D$5:$AK$860,34,0))</f>
        <v/>
      </c>
      <c r="G676" s="29" t="str">
        <f t="shared" si="50"/>
        <v/>
      </c>
      <c r="H676" s="29" t="str">
        <f t="shared" si="51"/>
        <v/>
      </c>
      <c r="I676" s="29" t="str">
        <f t="shared" si="52"/>
        <v/>
      </c>
      <c r="J676" s="29" t="str">
        <f t="shared" si="53"/>
        <v/>
      </c>
      <c r="K676" s="29" t="str">
        <f t="shared" si="54"/>
        <v/>
      </c>
    </row>
    <row r="677" spans="1:11" ht="15" x14ac:dyDescent="0.25">
      <c r="A677" s="1" t="str">
        <f>IF('1.1 Produksi Bersih Padi 2025'!A677="","",'1.1 Produksi Bersih Padi 2025'!A677)</f>
        <v/>
      </c>
      <c r="B677" s="31" t="str">
        <f>IF('1.1 Produksi Bersih Padi 2025'!B677="","",'1.1 Produksi Bersih Padi 2025'!B677)</f>
        <v/>
      </c>
      <c r="C677" s="31" t="str">
        <f>IF('1.1 Produksi Bersih Padi 2025'!C677="","",'1.1 Produksi Bersih Padi 2025'!C677)</f>
        <v/>
      </c>
      <c r="D677" s="1" t="str">
        <f>IF('1.1 Produksi Bersih Padi 2025'!D677="","",'1.1 Produksi Bersih Padi 2025'!D677)</f>
        <v/>
      </c>
      <c r="E677" s="1" t="str">
        <f>IF('1.1 Produksi Bersih Padi 2025'!E677="","",'1.1 Produksi Bersih Padi 2025'!E677)</f>
        <v/>
      </c>
      <c r="F677" s="28" t="str">
        <f>IF(D677="","",VLOOKUP(D677,'[1]0.1 Produksi Pangan &amp; Penduduk'!$D$5:$AK$860,34,0))</f>
        <v/>
      </c>
      <c r="G677" s="29" t="str">
        <f t="shared" si="50"/>
        <v/>
      </c>
      <c r="H677" s="29" t="str">
        <f t="shared" si="51"/>
        <v/>
      </c>
      <c r="I677" s="29" t="str">
        <f t="shared" si="52"/>
        <v/>
      </c>
      <c r="J677" s="29" t="str">
        <f t="shared" si="53"/>
        <v/>
      </c>
      <c r="K677" s="29" t="str">
        <f t="shared" si="54"/>
        <v/>
      </c>
    </row>
    <row r="678" spans="1:11" ht="15" x14ac:dyDescent="0.25">
      <c r="A678" s="1" t="str">
        <f>IF('1.1 Produksi Bersih Padi 2025'!A678="","",'1.1 Produksi Bersih Padi 2025'!A678)</f>
        <v/>
      </c>
      <c r="B678" s="31" t="str">
        <f>IF('1.1 Produksi Bersih Padi 2025'!B678="","",'1.1 Produksi Bersih Padi 2025'!B678)</f>
        <v/>
      </c>
      <c r="C678" s="31" t="str">
        <f>IF('1.1 Produksi Bersih Padi 2025'!C678="","",'1.1 Produksi Bersih Padi 2025'!C678)</f>
        <v/>
      </c>
      <c r="D678" s="1" t="str">
        <f>IF('1.1 Produksi Bersih Padi 2025'!D678="","",'1.1 Produksi Bersih Padi 2025'!D678)</f>
        <v/>
      </c>
      <c r="E678" s="1" t="str">
        <f>IF('1.1 Produksi Bersih Padi 2025'!E678="","",'1.1 Produksi Bersih Padi 2025'!E678)</f>
        <v/>
      </c>
      <c r="F678" s="28" t="str">
        <f>IF(D678="","",VLOOKUP(D678,'[1]0.1 Produksi Pangan &amp; Penduduk'!$D$5:$AK$860,34,0))</f>
        <v/>
      </c>
      <c r="G678" s="29" t="str">
        <f t="shared" si="50"/>
        <v/>
      </c>
      <c r="H678" s="29" t="str">
        <f t="shared" si="51"/>
        <v/>
      </c>
      <c r="I678" s="29" t="str">
        <f t="shared" si="52"/>
        <v/>
      </c>
      <c r="J678" s="29" t="str">
        <f t="shared" si="53"/>
        <v/>
      </c>
      <c r="K678" s="29" t="str">
        <f t="shared" si="54"/>
        <v/>
      </c>
    </row>
    <row r="679" spans="1:11" ht="15" x14ac:dyDescent="0.25">
      <c r="A679" s="1" t="str">
        <f>IF('1.1 Produksi Bersih Padi 2025'!A679="","",'1.1 Produksi Bersih Padi 2025'!A679)</f>
        <v/>
      </c>
      <c r="B679" s="31" t="str">
        <f>IF('1.1 Produksi Bersih Padi 2025'!B679="","",'1.1 Produksi Bersih Padi 2025'!B679)</f>
        <v/>
      </c>
      <c r="C679" s="31" t="str">
        <f>IF('1.1 Produksi Bersih Padi 2025'!C679="","",'1.1 Produksi Bersih Padi 2025'!C679)</f>
        <v/>
      </c>
      <c r="D679" s="1" t="str">
        <f>IF('1.1 Produksi Bersih Padi 2025'!D679="","",'1.1 Produksi Bersih Padi 2025'!D679)</f>
        <v/>
      </c>
      <c r="E679" s="1" t="str">
        <f>IF('1.1 Produksi Bersih Padi 2025'!E679="","",'1.1 Produksi Bersih Padi 2025'!E679)</f>
        <v/>
      </c>
      <c r="F679" s="28" t="str">
        <f>IF(D679="","",VLOOKUP(D679,'[1]0.1 Produksi Pangan &amp; Penduduk'!$D$5:$AK$860,34,0))</f>
        <v/>
      </c>
      <c r="G679" s="29" t="str">
        <f t="shared" si="50"/>
        <v/>
      </c>
      <c r="H679" s="29" t="str">
        <f t="shared" si="51"/>
        <v/>
      </c>
      <c r="I679" s="29" t="str">
        <f t="shared" si="52"/>
        <v/>
      </c>
      <c r="J679" s="29" t="str">
        <f t="shared" si="53"/>
        <v/>
      </c>
      <c r="K679" s="29" t="str">
        <f t="shared" si="54"/>
        <v/>
      </c>
    </row>
    <row r="680" spans="1:11" ht="15" x14ac:dyDescent="0.25">
      <c r="A680" s="1" t="str">
        <f>IF('1.1 Produksi Bersih Padi 2025'!A680="","",'1.1 Produksi Bersih Padi 2025'!A680)</f>
        <v/>
      </c>
      <c r="B680" s="31" t="str">
        <f>IF('1.1 Produksi Bersih Padi 2025'!B680="","",'1.1 Produksi Bersih Padi 2025'!B680)</f>
        <v/>
      </c>
      <c r="C680" s="31" t="str">
        <f>IF('1.1 Produksi Bersih Padi 2025'!C680="","",'1.1 Produksi Bersih Padi 2025'!C680)</f>
        <v/>
      </c>
      <c r="D680" s="1" t="str">
        <f>IF('1.1 Produksi Bersih Padi 2025'!D680="","",'1.1 Produksi Bersih Padi 2025'!D680)</f>
        <v/>
      </c>
      <c r="E680" s="1" t="str">
        <f>IF('1.1 Produksi Bersih Padi 2025'!E680="","",'1.1 Produksi Bersih Padi 2025'!E680)</f>
        <v/>
      </c>
      <c r="F680" s="28" t="str">
        <f>IF(D680="","",VLOOKUP(D680,'[1]0.1 Produksi Pangan &amp; Penduduk'!$D$5:$AK$860,34,0))</f>
        <v/>
      </c>
      <c r="G680" s="29" t="str">
        <f t="shared" si="50"/>
        <v/>
      </c>
      <c r="H680" s="29" t="str">
        <f t="shared" si="51"/>
        <v/>
      </c>
      <c r="I680" s="29" t="str">
        <f t="shared" si="52"/>
        <v/>
      </c>
      <c r="J680" s="29" t="str">
        <f t="shared" si="53"/>
        <v/>
      </c>
      <c r="K680" s="29" t="str">
        <f t="shared" si="54"/>
        <v/>
      </c>
    </row>
    <row r="681" spans="1:11" ht="15" x14ac:dyDescent="0.25">
      <c r="A681" s="1" t="str">
        <f>IF('1.1 Produksi Bersih Padi 2025'!A681="","",'1.1 Produksi Bersih Padi 2025'!A681)</f>
        <v/>
      </c>
      <c r="B681" s="31" t="str">
        <f>IF('1.1 Produksi Bersih Padi 2025'!B681="","",'1.1 Produksi Bersih Padi 2025'!B681)</f>
        <v/>
      </c>
      <c r="C681" s="31" t="str">
        <f>IF('1.1 Produksi Bersih Padi 2025'!C681="","",'1.1 Produksi Bersih Padi 2025'!C681)</f>
        <v/>
      </c>
      <c r="D681" s="1" t="str">
        <f>IF('1.1 Produksi Bersih Padi 2025'!D681="","",'1.1 Produksi Bersih Padi 2025'!D681)</f>
        <v/>
      </c>
      <c r="E681" s="1" t="str">
        <f>IF('1.1 Produksi Bersih Padi 2025'!E681="","",'1.1 Produksi Bersih Padi 2025'!E681)</f>
        <v/>
      </c>
      <c r="F681" s="28" t="str">
        <f>IF(D681="","",VLOOKUP(D681,'[1]0.1 Produksi Pangan &amp; Penduduk'!$D$5:$AK$860,34,0))</f>
        <v/>
      </c>
      <c r="G681" s="29" t="str">
        <f t="shared" si="50"/>
        <v/>
      </c>
      <c r="H681" s="29" t="str">
        <f t="shared" si="51"/>
        <v/>
      </c>
      <c r="I681" s="29" t="str">
        <f t="shared" si="52"/>
        <v/>
      </c>
      <c r="J681" s="29" t="str">
        <f t="shared" si="53"/>
        <v/>
      </c>
      <c r="K681" s="29" t="str">
        <f t="shared" si="54"/>
        <v/>
      </c>
    </row>
    <row r="682" spans="1:11" ht="15" x14ac:dyDescent="0.25">
      <c r="A682" s="1" t="str">
        <f>IF('1.1 Produksi Bersih Padi 2025'!A682="","",'1.1 Produksi Bersih Padi 2025'!A682)</f>
        <v/>
      </c>
      <c r="B682" s="31" t="str">
        <f>IF('1.1 Produksi Bersih Padi 2025'!B682="","",'1.1 Produksi Bersih Padi 2025'!B682)</f>
        <v/>
      </c>
      <c r="C682" s="31" t="str">
        <f>IF('1.1 Produksi Bersih Padi 2025'!C682="","",'1.1 Produksi Bersih Padi 2025'!C682)</f>
        <v/>
      </c>
      <c r="D682" s="1" t="str">
        <f>IF('1.1 Produksi Bersih Padi 2025'!D682="","",'1.1 Produksi Bersih Padi 2025'!D682)</f>
        <v/>
      </c>
      <c r="E682" s="1" t="str">
        <f>IF('1.1 Produksi Bersih Padi 2025'!E682="","",'1.1 Produksi Bersih Padi 2025'!E682)</f>
        <v/>
      </c>
      <c r="F682" s="28" t="str">
        <f>IF(D682="","",VLOOKUP(D682,'[1]0.1 Produksi Pangan &amp; Penduduk'!$D$5:$AK$860,34,0))</f>
        <v/>
      </c>
      <c r="G682" s="29" t="str">
        <f t="shared" si="50"/>
        <v/>
      </c>
      <c r="H682" s="29" t="str">
        <f t="shared" si="51"/>
        <v/>
      </c>
      <c r="I682" s="29" t="str">
        <f t="shared" si="52"/>
        <v/>
      </c>
      <c r="J682" s="29" t="str">
        <f t="shared" si="53"/>
        <v/>
      </c>
      <c r="K682" s="29" t="str">
        <f t="shared" si="54"/>
        <v/>
      </c>
    </row>
    <row r="683" spans="1:11" ht="15" x14ac:dyDescent="0.25">
      <c r="A683" s="1" t="str">
        <f>IF('1.1 Produksi Bersih Padi 2025'!A683="","",'1.1 Produksi Bersih Padi 2025'!A683)</f>
        <v/>
      </c>
      <c r="B683" s="31" t="str">
        <f>IF('1.1 Produksi Bersih Padi 2025'!B683="","",'1.1 Produksi Bersih Padi 2025'!B683)</f>
        <v/>
      </c>
      <c r="C683" s="31" t="str">
        <f>IF('1.1 Produksi Bersih Padi 2025'!C683="","",'1.1 Produksi Bersih Padi 2025'!C683)</f>
        <v/>
      </c>
      <c r="D683" s="1" t="str">
        <f>IF('1.1 Produksi Bersih Padi 2025'!D683="","",'1.1 Produksi Bersih Padi 2025'!D683)</f>
        <v/>
      </c>
      <c r="E683" s="1" t="str">
        <f>IF('1.1 Produksi Bersih Padi 2025'!E683="","",'1.1 Produksi Bersih Padi 2025'!E683)</f>
        <v/>
      </c>
      <c r="F683" s="28" t="str">
        <f>IF(D683="","",VLOOKUP(D683,'[1]0.1 Produksi Pangan &amp; Penduduk'!$D$5:$AK$860,34,0))</f>
        <v/>
      </c>
      <c r="G683" s="29" t="str">
        <f t="shared" si="50"/>
        <v/>
      </c>
      <c r="H683" s="29" t="str">
        <f t="shared" si="51"/>
        <v/>
      </c>
      <c r="I683" s="29" t="str">
        <f t="shared" si="52"/>
        <v/>
      </c>
      <c r="J683" s="29" t="str">
        <f t="shared" si="53"/>
        <v/>
      </c>
      <c r="K683" s="29" t="str">
        <f t="shared" si="54"/>
        <v/>
      </c>
    </row>
    <row r="684" spans="1:11" ht="15" x14ac:dyDescent="0.25">
      <c r="A684" s="1" t="str">
        <f>IF('1.1 Produksi Bersih Padi 2025'!A684="","",'1.1 Produksi Bersih Padi 2025'!A684)</f>
        <v/>
      </c>
      <c r="B684" s="31" t="str">
        <f>IF('1.1 Produksi Bersih Padi 2025'!B684="","",'1.1 Produksi Bersih Padi 2025'!B684)</f>
        <v/>
      </c>
      <c r="C684" s="31" t="str">
        <f>IF('1.1 Produksi Bersih Padi 2025'!C684="","",'1.1 Produksi Bersih Padi 2025'!C684)</f>
        <v/>
      </c>
      <c r="D684" s="1" t="str">
        <f>IF('1.1 Produksi Bersih Padi 2025'!D684="","",'1.1 Produksi Bersih Padi 2025'!D684)</f>
        <v/>
      </c>
      <c r="E684" s="1" t="str">
        <f>IF('1.1 Produksi Bersih Padi 2025'!E684="","",'1.1 Produksi Bersih Padi 2025'!E684)</f>
        <v/>
      </c>
      <c r="F684" s="28" t="str">
        <f>IF(D684="","",VLOOKUP(D684,'[1]0.1 Produksi Pangan &amp; Penduduk'!$D$5:$AK$860,34,0))</f>
        <v/>
      </c>
      <c r="G684" s="29" t="str">
        <f t="shared" si="50"/>
        <v/>
      </c>
      <c r="H684" s="29" t="str">
        <f t="shared" si="51"/>
        <v/>
      </c>
      <c r="I684" s="29" t="str">
        <f t="shared" si="52"/>
        <v/>
      </c>
      <c r="J684" s="29" t="str">
        <f t="shared" si="53"/>
        <v/>
      </c>
      <c r="K684" s="29" t="str">
        <f t="shared" si="54"/>
        <v/>
      </c>
    </row>
    <row r="685" spans="1:11" ht="15" x14ac:dyDescent="0.25">
      <c r="A685" s="1" t="str">
        <f>IF('1.1 Produksi Bersih Padi 2025'!A685="","",'1.1 Produksi Bersih Padi 2025'!A685)</f>
        <v/>
      </c>
      <c r="B685" s="31" t="str">
        <f>IF('1.1 Produksi Bersih Padi 2025'!B685="","",'1.1 Produksi Bersih Padi 2025'!B685)</f>
        <v/>
      </c>
      <c r="C685" s="31" t="str">
        <f>IF('1.1 Produksi Bersih Padi 2025'!C685="","",'1.1 Produksi Bersih Padi 2025'!C685)</f>
        <v/>
      </c>
      <c r="D685" s="1" t="str">
        <f>IF('1.1 Produksi Bersih Padi 2025'!D685="","",'1.1 Produksi Bersih Padi 2025'!D685)</f>
        <v/>
      </c>
      <c r="E685" s="1" t="str">
        <f>IF('1.1 Produksi Bersih Padi 2025'!E685="","",'1.1 Produksi Bersih Padi 2025'!E685)</f>
        <v/>
      </c>
      <c r="F685" s="28" t="str">
        <f>IF(D685="","",VLOOKUP(D685,'[1]0.1 Produksi Pangan &amp; Penduduk'!$D$5:$AK$860,34,0))</f>
        <v/>
      </c>
      <c r="G685" s="29" t="str">
        <f t="shared" si="50"/>
        <v/>
      </c>
      <c r="H685" s="29" t="str">
        <f t="shared" si="51"/>
        <v/>
      </c>
      <c r="I685" s="29" t="str">
        <f t="shared" si="52"/>
        <v/>
      </c>
      <c r="J685" s="29" t="str">
        <f t="shared" si="53"/>
        <v/>
      </c>
      <c r="K685" s="29" t="str">
        <f t="shared" si="54"/>
        <v/>
      </c>
    </row>
    <row r="686" spans="1:11" ht="15" x14ac:dyDescent="0.25">
      <c r="A686" s="1" t="str">
        <f>IF('1.1 Produksi Bersih Padi 2025'!A686="","",'1.1 Produksi Bersih Padi 2025'!A686)</f>
        <v/>
      </c>
      <c r="B686" s="31" t="str">
        <f>IF('1.1 Produksi Bersih Padi 2025'!B686="","",'1.1 Produksi Bersih Padi 2025'!B686)</f>
        <v/>
      </c>
      <c r="C686" s="31" t="str">
        <f>IF('1.1 Produksi Bersih Padi 2025'!C686="","",'1.1 Produksi Bersih Padi 2025'!C686)</f>
        <v/>
      </c>
      <c r="D686" s="1" t="str">
        <f>IF('1.1 Produksi Bersih Padi 2025'!D686="","",'1.1 Produksi Bersih Padi 2025'!D686)</f>
        <v/>
      </c>
      <c r="E686" s="1" t="str">
        <f>IF('1.1 Produksi Bersih Padi 2025'!E686="","",'1.1 Produksi Bersih Padi 2025'!E686)</f>
        <v/>
      </c>
      <c r="F686" s="28" t="str">
        <f>IF(D686="","",VLOOKUP(D686,'[1]0.1 Produksi Pangan &amp; Penduduk'!$D$5:$AK$860,34,0))</f>
        <v/>
      </c>
      <c r="G686" s="29" t="str">
        <f t="shared" si="50"/>
        <v/>
      </c>
      <c r="H686" s="29" t="str">
        <f t="shared" si="51"/>
        <v/>
      </c>
      <c r="I686" s="29" t="str">
        <f t="shared" si="52"/>
        <v/>
      </c>
      <c r="J686" s="29" t="str">
        <f t="shared" si="53"/>
        <v/>
      </c>
      <c r="K686" s="29" t="str">
        <f t="shared" si="54"/>
        <v/>
      </c>
    </row>
    <row r="687" spans="1:11" ht="15" x14ac:dyDescent="0.25">
      <c r="A687" s="1" t="str">
        <f>IF('1.1 Produksi Bersih Padi 2025'!A687="","",'1.1 Produksi Bersih Padi 2025'!A687)</f>
        <v/>
      </c>
      <c r="B687" s="31" t="str">
        <f>IF('1.1 Produksi Bersih Padi 2025'!B687="","",'1.1 Produksi Bersih Padi 2025'!B687)</f>
        <v/>
      </c>
      <c r="C687" s="31" t="str">
        <f>IF('1.1 Produksi Bersih Padi 2025'!C687="","",'1.1 Produksi Bersih Padi 2025'!C687)</f>
        <v/>
      </c>
      <c r="D687" s="1" t="str">
        <f>IF('1.1 Produksi Bersih Padi 2025'!D687="","",'1.1 Produksi Bersih Padi 2025'!D687)</f>
        <v/>
      </c>
      <c r="E687" s="1" t="str">
        <f>IF('1.1 Produksi Bersih Padi 2025'!E687="","",'1.1 Produksi Bersih Padi 2025'!E687)</f>
        <v/>
      </c>
      <c r="F687" s="28" t="str">
        <f>IF(D687="","",VLOOKUP(D687,'[1]0.1 Produksi Pangan &amp; Penduduk'!$D$5:$AK$860,34,0))</f>
        <v/>
      </c>
      <c r="G687" s="29" t="str">
        <f t="shared" si="50"/>
        <v/>
      </c>
      <c r="H687" s="29" t="str">
        <f t="shared" si="51"/>
        <v/>
      </c>
      <c r="I687" s="29" t="str">
        <f t="shared" si="52"/>
        <v/>
      </c>
      <c r="J687" s="29" t="str">
        <f t="shared" si="53"/>
        <v/>
      </c>
      <c r="K687" s="29" t="str">
        <f t="shared" si="54"/>
        <v/>
      </c>
    </row>
    <row r="688" spans="1:11" ht="15" x14ac:dyDescent="0.25">
      <c r="A688" s="1" t="str">
        <f>IF('1.1 Produksi Bersih Padi 2025'!A688="","",'1.1 Produksi Bersih Padi 2025'!A688)</f>
        <v/>
      </c>
      <c r="B688" s="31" t="str">
        <f>IF('1.1 Produksi Bersih Padi 2025'!B688="","",'1.1 Produksi Bersih Padi 2025'!B688)</f>
        <v/>
      </c>
      <c r="C688" s="31" t="str">
        <f>IF('1.1 Produksi Bersih Padi 2025'!C688="","",'1.1 Produksi Bersih Padi 2025'!C688)</f>
        <v/>
      </c>
      <c r="D688" s="1" t="str">
        <f>IF('1.1 Produksi Bersih Padi 2025'!D688="","",'1.1 Produksi Bersih Padi 2025'!D688)</f>
        <v/>
      </c>
      <c r="E688" s="1" t="str">
        <f>IF('1.1 Produksi Bersih Padi 2025'!E688="","",'1.1 Produksi Bersih Padi 2025'!E688)</f>
        <v/>
      </c>
      <c r="F688" s="28" t="str">
        <f>IF(D688="","",VLOOKUP(D688,'[1]0.1 Produksi Pangan &amp; Penduduk'!$D$5:$AK$860,34,0))</f>
        <v/>
      </c>
      <c r="G688" s="29" t="str">
        <f t="shared" si="50"/>
        <v/>
      </c>
      <c r="H688" s="29" t="str">
        <f t="shared" si="51"/>
        <v/>
      </c>
      <c r="I688" s="29" t="str">
        <f t="shared" si="52"/>
        <v/>
      </c>
      <c r="J688" s="29" t="str">
        <f t="shared" si="53"/>
        <v/>
      </c>
      <c r="K688" s="29" t="str">
        <f t="shared" si="54"/>
        <v/>
      </c>
    </row>
    <row r="689" spans="1:11" ht="15" x14ac:dyDescent="0.25">
      <c r="A689" s="1" t="str">
        <f>IF('1.1 Produksi Bersih Padi 2025'!A689="","",'1.1 Produksi Bersih Padi 2025'!A689)</f>
        <v/>
      </c>
      <c r="B689" s="31" t="str">
        <f>IF('1.1 Produksi Bersih Padi 2025'!B689="","",'1.1 Produksi Bersih Padi 2025'!B689)</f>
        <v/>
      </c>
      <c r="C689" s="31" t="str">
        <f>IF('1.1 Produksi Bersih Padi 2025'!C689="","",'1.1 Produksi Bersih Padi 2025'!C689)</f>
        <v/>
      </c>
      <c r="D689" s="1" t="str">
        <f>IF('1.1 Produksi Bersih Padi 2025'!D689="","",'1.1 Produksi Bersih Padi 2025'!D689)</f>
        <v/>
      </c>
      <c r="E689" s="1" t="str">
        <f>IF('1.1 Produksi Bersih Padi 2025'!E689="","",'1.1 Produksi Bersih Padi 2025'!E689)</f>
        <v/>
      </c>
      <c r="F689" s="28" t="str">
        <f>IF(D689="","",VLOOKUP(D689,'[1]0.1 Produksi Pangan &amp; Penduduk'!$D$5:$AK$860,34,0))</f>
        <v/>
      </c>
      <c r="G689" s="29" t="str">
        <f t="shared" si="50"/>
        <v/>
      </c>
      <c r="H689" s="29" t="str">
        <f t="shared" si="51"/>
        <v/>
      </c>
      <c r="I689" s="29" t="str">
        <f t="shared" si="52"/>
        <v/>
      </c>
      <c r="J689" s="29" t="str">
        <f t="shared" si="53"/>
        <v/>
      </c>
      <c r="K689" s="29" t="str">
        <f t="shared" si="54"/>
        <v/>
      </c>
    </row>
    <row r="690" spans="1:11" ht="15" x14ac:dyDescent="0.25">
      <c r="A690" s="1" t="str">
        <f>IF('1.1 Produksi Bersih Padi 2025'!A690="","",'1.1 Produksi Bersih Padi 2025'!A690)</f>
        <v/>
      </c>
      <c r="B690" s="31" t="str">
        <f>IF('1.1 Produksi Bersih Padi 2025'!B690="","",'1.1 Produksi Bersih Padi 2025'!B690)</f>
        <v/>
      </c>
      <c r="C690" s="31" t="str">
        <f>IF('1.1 Produksi Bersih Padi 2025'!C690="","",'1.1 Produksi Bersih Padi 2025'!C690)</f>
        <v/>
      </c>
      <c r="D690" s="1" t="str">
        <f>IF('1.1 Produksi Bersih Padi 2025'!D690="","",'1.1 Produksi Bersih Padi 2025'!D690)</f>
        <v/>
      </c>
      <c r="E690" s="1" t="str">
        <f>IF('1.1 Produksi Bersih Padi 2025'!E690="","",'1.1 Produksi Bersih Padi 2025'!E690)</f>
        <v/>
      </c>
      <c r="F690" s="28" t="str">
        <f>IF(D690="","",VLOOKUP(D690,'[1]0.1 Produksi Pangan &amp; Penduduk'!$D$5:$AK$860,34,0))</f>
        <v/>
      </c>
      <c r="G690" s="29" t="str">
        <f t="shared" si="50"/>
        <v/>
      </c>
      <c r="H690" s="29" t="str">
        <f t="shared" si="51"/>
        <v/>
      </c>
      <c r="I690" s="29" t="str">
        <f t="shared" si="52"/>
        <v/>
      </c>
      <c r="J690" s="29" t="str">
        <f t="shared" si="53"/>
        <v/>
      </c>
      <c r="K690" s="29" t="str">
        <f t="shared" si="54"/>
        <v/>
      </c>
    </row>
    <row r="691" spans="1:11" ht="15" x14ac:dyDescent="0.25">
      <c r="A691" s="1" t="str">
        <f>IF('1.1 Produksi Bersih Padi 2025'!A691="","",'1.1 Produksi Bersih Padi 2025'!A691)</f>
        <v/>
      </c>
      <c r="B691" s="31" t="str">
        <f>IF('1.1 Produksi Bersih Padi 2025'!B691="","",'1.1 Produksi Bersih Padi 2025'!B691)</f>
        <v/>
      </c>
      <c r="C691" s="31" t="str">
        <f>IF('1.1 Produksi Bersih Padi 2025'!C691="","",'1.1 Produksi Bersih Padi 2025'!C691)</f>
        <v/>
      </c>
      <c r="D691" s="1" t="str">
        <f>IF('1.1 Produksi Bersih Padi 2025'!D691="","",'1.1 Produksi Bersih Padi 2025'!D691)</f>
        <v/>
      </c>
      <c r="E691" s="1" t="str">
        <f>IF('1.1 Produksi Bersih Padi 2025'!E691="","",'1.1 Produksi Bersih Padi 2025'!E691)</f>
        <v/>
      </c>
      <c r="F691" s="28" t="str">
        <f>IF(D691="","",VLOOKUP(D691,'[1]0.1 Produksi Pangan &amp; Penduduk'!$D$5:$AK$860,34,0))</f>
        <v/>
      </c>
      <c r="G691" s="29" t="str">
        <f t="shared" si="50"/>
        <v/>
      </c>
      <c r="H691" s="29" t="str">
        <f t="shared" si="51"/>
        <v/>
      </c>
      <c r="I691" s="29" t="str">
        <f t="shared" si="52"/>
        <v/>
      </c>
      <c r="J691" s="29" t="str">
        <f t="shared" si="53"/>
        <v/>
      </c>
      <c r="K691" s="29" t="str">
        <f t="shared" si="54"/>
        <v/>
      </c>
    </row>
    <row r="692" spans="1:11" ht="15" x14ac:dyDescent="0.25">
      <c r="A692" s="1" t="str">
        <f>IF('1.1 Produksi Bersih Padi 2025'!A692="","",'1.1 Produksi Bersih Padi 2025'!A692)</f>
        <v/>
      </c>
      <c r="B692" s="31" t="str">
        <f>IF('1.1 Produksi Bersih Padi 2025'!B692="","",'1.1 Produksi Bersih Padi 2025'!B692)</f>
        <v/>
      </c>
      <c r="C692" s="31" t="str">
        <f>IF('1.1 Produksi Bersih Padi 2025'!C692="","",'1.1 Produksi Bersih Padi 2025'!C692)</f>
        <v/>
      </c>
      <c r="D692" s="1" t="str">
        <f>IF('1.1 Produksi Bersih Padi 2025'!D692="","",'1.1 Produksi Bersih Padi 2025'!D692)</f>
        <v/>
      </c>
      <c r="E692" s="1" t="str">
        <f>IF('1.1 Produksi Bersih Padi 2025'!E692="","",'1.1 Produksi Bersih Padi 2025'!E692)</f>
        <v/>
      </c>
      <c r="F692" s="28" t="str">
        <f>IF(D692="","",VLOOKUP(D692,'[1]0.1 Produksi Pangan &amp; Penduduk'!$D$5:$AK$860,34,0))</f>
        <v/>
      </c>
      <c r="G692" s="29" t="str">
        <f t="shared" si="50"/>
        <v/>
      </c>
      <c r="H692" s="29" t="str">
        <f t="shared" si="51"/>
        <v/>
      </c>
      <c r="I692" s="29" t="str">
        <f t="shared" si="52"/>
        <v/>
      </c>
      <c r="J692" s="29" t="str">
        <f t="shared" si="53"/>
        <v/>
      </c>
      <c r="K692" s="29" t="str">
        <f t="shared" si="54"/>
        <v/>
      </c>
    </row>
    <row r="693" spans="1:11" ht="15" x14ac:dyDescent="0.25">
      <c r="A693" s="1" t="str">
        <f>IF('1.1 Produksi Bersih Padi 2025'!A693="","",'1.1 Produksi Bersih Padi 2025'!A693)</f>
        <v/>
      </c>
      <c r="B693" s="31" t="str">
        <f>IF('1.1 Produksi Bersih Padi 2025'!B693="","",'1.1 Produksi Bersih Padi 2025'!B693)</f>
        <v/>
      </c>
      <c r="C693" s="31" t="str">
        <f>IF('1.1 Produksi Bersih Padi 2025'!C693="","",'1.1 Produksi Bersih Padi 2025'!C693)</f>
        <v/>
      </c>
      <c r="D693" s="1" t="str">
        <f>IF('1.1 Produksi Bersih Padi 2025'!D693="","",'1.1 Produksi Bersih Padi 2025'!D693)</f>
        <v/>
      </c>
      <c r="E693" s="1" t="str">
        <f>IF('1.1 Produksi Bersih Padi 2025'!E693="","",'1.1 Produksi Bersih Padi 2025'!E693)</f>
        <v/>
      </c>
      <c r="F693" s="28" t="str">
        <f>IF(D693="","",VLOOKUP(D693,'[1]0.1 Produksi Pangan &amp; Penduduk'!$D$5:$AK$860,34,0))</f>
        <v/>
      </c>
      <c r="G693" s="29" t="str">
        <f t="shared" si="50"/>
        <v/>
      </c>
      <c r="H693" s="29" t="str">
        <f t="shared" si="51"/>
        <v/>
      </c>
      <c r="I693" s="29" t="str">
        <f t="shared" si="52"/>
        <v/>
      </c>
      <c r="J693" s="29" t="str">
        <f t="shared" si="53"/>
        <v/>
      </c>
      <c r="K693" s="29" t="str">
        <f t="shared" si="54"/>
        <v/>
      </c>
    </row>
    <row r="694" spans="1:11" ht="15" x14ac:dyDescent="0.25">
      <c r="A694" s="1" t="str">
        <f>IF('1.1 Produksi Bersih Padi 2025'!A694="","",'1.1 Produksi Bersih Padi 2025'!A694)</f>
        <v/>
      </c>
      <c r="B694" s="31" t="str">
        <f>IF('1.1 Produksi Bersih Padi 2025'!B694="","",'1.1 Produksi Bersih Padi 2025'!B694)</f>
        <v/>
      </c>
      <c r="C694" s="31" t="str">
        <f>IF('1.1 Produksi Bersih Padi 2025'!C694="","",'1.1 Produksi Bersih Padi 2025'!C694)</f>
        <v/>
      </c>
      <c r="D694" s="1" t="str">
        <f>IF('1.1 Produksi Bersih Padi 2025'!D694="","",'1.1 Produksi Bersih Padi 2025'!D694)</f>
        <v/>
      </c>
      <c r="E694" s="1" t="str">
        <f>IF('1.1 Produksi Bersih Padi 2025'!E694="","",'1.1 Produksi Bersih Padi 2025'!E694)</f>
        <v/>
      </c>
      <c r="F694" s="28" t="str">
        <f>IF(D694="","",VLOOKUP(D694,'[1]0.1 Produksi Pangan &amp; Penduduk'!$D$5:$AK$860,34,0))</f>
        <v/>
      </c>
      <c r="G694" s="29" t="str">
        <f t="shared" si="50"/>
        <v/>
      </c>
      <c r="H694" s="29" t="str">
        <f t="shared" si="51"/>
        <v/>
      </c>
      <c r="I694" s="29" t="str">
        <f t="shared" si="52"/>
        <v/>
      </c>
      <c r="J694" s="29" t="str">
        <f t="shared" si="53"/>
        <v/>
      </c>
      <c r="K694" s="29" t="str">
        <f t="shared" si="54"/>
        <v/>
      </c>
    </row>
    <row r="695" spans="1:11" ht="15" x14ac:dyDescent="0.25">
      <c r="A695" s="1" t="str">
        <f>IF('1.1 Produksi Bersih Padi 2025'!A695="","",'1.1 Produksi Bersih Padi 2025'!A695)</f>
        <v/>
      </c>
      <c r="B695" s="31" t="str">
        <f>IF('1.1 Produksi Bersih Padi 2025'!B695="","",'1.1 Produksi Bersih Padi 2025'!B695)</f>
        <v/>
      </c>
      <c r="C695" s="31" t="str">
        <f>IF('1.1 Produksi Bersih Padi 2025'!C695="","",'1.1 Produksi Bersih Padi 2025'!C695)</f>
        <v/>
      </c>
      <c r="D695" s="1" t="str">
        <f>IF('1.1 Produksi Bersih Padi 2025'!D695="","",'1.1 Produksi Bersih Padi 2025'!D695)</f>
        <v/>
      </c>
      <c r="E695" s="1" t="str">
        <f>IF('1.1 Produksi Bersih Padi 2025'!E695="","",'1.1 Produksi Bersih Padi 2025'!E695)</f>
        <v/>
      </c>
      <c r="F695" s="28" t="str">
        <f>IF(D695="","",VLOOKUP(D695,'[1]0.1 Produksi Pangan &amp; Penduduk'!$D$5:$AK$860,34,0))</f>
        <v/>
      </c>
      <c r="G695" s="29" t="str">
        <f t="shared" si="50"/>
        <v/>
      </c>
      <c r="H695" s="29" t="str">
        <f t="shared" si="51"/>
        <v/>
      </c>
      <c r="I695" s="29" t="str">
        <f t="shared" si="52"/>
        <v/>
      </c>
      <c r="J695" s="29" t="str">
        <f t="shared" si="53"/>
        <v/>
      </c>
      <c r="K695" s="29" t="str">
        <f t="shared" si="54"/>
        <v/>
      </c>
    </row>
    <row r="696" spans="1:11" ht="15" x14ac:dyDescent="0.25">
      <c r="A696" s="1" t="str">
        <f>IF('1.1 Produksi Bersih Padi 2025'!A696="","",'1.1 Produksi Bersih Padi 2025'!A696)</f>
        <v/>
      </c>
      <c r="B696" s="31" t="str">
        <f>IF('1.1 Produksi Bersih Padi 2025'!B696="","",'1.1 Produksi Bersih Padi 2025'!B696)</f>
        <v/>
      </c>
      <c r="C696" s="31" t="str">
        <f>IF('1.1 Produksi Bersih Padi 2025'!C696="","",'1.1 Produksi Bersih Padi 2025'!C696)</f>
        <v/>
      </c>
      <c r="D696" s="1" t="str">
        <f>IF('1.1 Produksi Bersih Padi 2025'!D696="","",'1.1 Produksi Bersih Padi 2025'!D696)</f>
        <v/>
      </c>
      <c r="E696" s="1" t="str">
        <f>IF('1.1 Produksi Bersih Padi 2025'!E696="","",'1.1 Produksi Bersih Padi 2025'!E696)</f>
        <v/>
      </c>
      <c r="F696" s="28" t="str">
        <f>IF(D696="","",VLOOKUP(D696,'[1]0.1 Produksi Pangan &amp; Penduduk'!$D$5:$AK$860,34,0))</f>
        <v/>
      </c>
      <c r="G696" s="29" t="str">
        <f t="shared" si="50"/>
        <v/>
      </c>
      <c r="H696" s="29" t="str">
        <f t="shared" si="51"/>
        <v/>
      </c>
      <c r="I696" s="29" t="str">
        <f t="shared" si="52"/>
        <v/>
      </c>
      <c r="J696" s="29" t="str">
        <f t="shared" si="53"/>
        <v/>
      </c>
      <c r="K696" s="29" t="str">
        <f t="shared" si="54"/>
        <v/>
      </c>
    </row>
    <row r="697" spans="1:11" ht="15" x14ac:dyDescent="0.25">
      <c r="A697" s="1" t="str">
        <f>IF('1.1 Produksi Bersih Padi 2025'!A697="","",'1.1 Produksi Bersih Padi 2025'!A697)</f>
        <v/>
      </c>
      <c r="B697" s="31" t="str">
        <f>IF('1.1 Produksi Bersih Padi 2025'!B697="","",'1.1 Produksi Bersih Padi 2025'!B697)</f>
        <v/>
      </c>
      <c r="C697" s="31" t="str">
        <f>IF('1.1 Produksi Bersih Padi 2025'!C697="","",'1.1 Produksi Bersih Padi 2025'!C697)</f>
        <v/>
      </c>
      <c r="D697" s="1" t="str">
        <f>IF('1.1 Produksi Bersih Padi 2025'!D697="","",'1.1 Produksi Bersih Padi 2025'!D697)</f>
        <v/>
      </c>
      <c r="E697" s="1" t="str">
        <f>IF('1.1 Produksi Bersih Padi 2025'!E697="","",'1.1 Produksi Bersih Padi 2025'!E697)</f>
        <v/>
      </c>
      <c r="F697" s="28" t="str">
        <f>IF(D697="","",VLOOKUP(D697,'[1]0.1 Produksi Pangan &amp; Penduduk'!$D$5:$AK$860,34,0))</f>
        <v/>
      </c>
      <c r="G697" s="29" t="str">
        <f t="shared" si="50"/>
        <v/>
      </c>
      <c r="H697" s="29" t="str">
        <f t="shared" si="51"/>
        <v/>
      </c>
      <c r="I697" s="29" t="str">
        <f t="shared" si="52"/>
        <v/>
      </c>
      <c r="J697" s="29" t="str">
        <f t="shared" si="53"/>
        <v/>
      </c>
      <c r="K697" s="29" t="str">
        <f t="shared" si="54"/>
        <v/>
      </c>
    </row>
    <row r="698" spans="1:11" ht="15" x14ac:dyDescent="0.25">
      <c r="A698" s="1" t="str">
        <f>IF('1.1 Produksi Bersih Padi 2025'!A698="","",'1.1 Produksi Bersih Padi 2025'!A698)</f>
        <v/>
      </c>
      <c r="B698" s="31" t="str">
        <f>IF('1.1 Produksi Bersih Padi 2025'!B698="","",'1.1 Produksi Bersih Padi 2025'!B698)</f>
        <v/>
      </c>
      <c r="C698" s="31" t="str">
        <f>IF('1.1 Produksi Bersih Padi 2025'!C698="","",'1.1 Produksi Bersih Padi 2025'!C698)</f>
        <v/>
      </c>
      <c r="D698" s="1" t="str">
        <f>IF('1.1 Produksi Bersih Padi 2025'!D698="","",'1.1 Produksi Bersih Padi 2025'!D698)</f>
        <v/>
      </c>
      <c r="E698" s="1" t="str">
        <f>IF('1.1 Produksi Bersih Padi 2025'!E698="","",'1.1 Produksi Bersih Padi 2025'!E698)</f>
        <v/>
      </c>
      <c r="F698" s="28" t="str">
        <f>IF(D698="","",VLOOKUP(D698,'[1]0.1 Produksi Pangan &amp; Penduduk'!$D$5:$AK$860,34,0))</f>
        <v/>
      </c>
      <c r="G698" s="29" t="str">
        <f t="shared" si="50"/>
        <v/>
      </c>
      <c r="H698" s="29" t="str">
        <f t="shared" si="51"/>
        <v/>
      </c>
      <c r="I698" s="29" t="str">
        <f t="shared" si="52"/>
        <v/>
      </c>
      <c r="J698" s="29" t="str">
        <f t="shared" si="53"/>
        <v/>
      </c>
      <c r="K698" s="29" t="str">
        <f t="shared" si="54"/>
        <v/>
      </c>
    </row>
    <row r="699" spans="1:11" ht="15" x14ac:dyDescent="0.25">
      <c r="A699" s="1" t="str">
        <f>IF('1.1 Produksi Bersih Padi 2025'!A699="","",'1.1 Produksi Bersih Padi 2025'!A699)</f>
        <v/>
      </c>
      <c r="B699" s="31" t="str">
        <f>IF('1.1 Produksi Bersih Padi 2025'!B699="","",'1.1 Produksi Bersih Padi 2025'!B699)</f>
        <v/>
      </c>
      <c r="C699" s="31" t="str">
        <f>IF('1.1 Produksi Bersih Padi 2025'!C699="","",'1.1 Produksi Bersih Padi 2025'!C699)</f>
        <v/>
      </c>
      <c r="D699" s="1" t="str">
        <f>IF('1.1 Produksi Bersih Padi 2025'!D699="","",'1.1 Produksi Bersih Padi 2025'!D699)</f>
        <v/>
      </c>
      <c r="E699" s="1" t="str">
        <f>IF('1.1 Produksi Bersih Padi 2025'!E699="","",'1.1 Produksi Bersih Padi 2025'!E699)</f>
        <v/>
      </c>
      <c r="F699" s="28" t="str">
        <f>IF(D699="","",VLOOKUP(D699,'[1]0.1 Produksi Pangan &amp; Penduduk'!$D$5:$AK$860,34,0))</f>
        <v/>
      </c>
      <c r="G699" s="29" t="str">
        <f t="shared" si="50"/>
        <v/>
      </c>
      <c r="H699" s="29" t="str">
        <f t="shared" si="51"/>
        <v/>
      </c>
      <c r="I699" s="29" t="str">
        <f t="shared" si="52"/>
        <v/>
      </c>
      <c r="J699" s="29" t="str">
        <f t="shared" si="53"/>
        <v/>
      </c>
      <c r="K699" s="29" t="str">
        <f t="shared" si="54"/>
        <v/>
      </c>
    </row>
    <row r="700" spans="1:11" ht="15" x14ac:dyDescent="0.25">
      <c r="A700" s="1" t="str">
        <f>IF('1.1 Produksi Bersih Padi 2025'!A700="","",'1.1 Produksi Bersih Padi 2025'!A700)</f>
        <v/>
      </c>
      <c r="B700" s="31" t="str">
        <f>IF('1.1 Produksi Bersih Padi 2025'!B700="","",'1.1 Produksi Bersih Padi 2025'!B700)</f>
        <v/>
      </c>
      <c r="C700" s="31" t="str">
        <f>IF('1.1 Produksi Bersih Padi 2025'!C700="","",'1.1 Produksi Bersih Padi 2025'!C700)</f>
        <v/>
      </c>
      <c r="D700" s="1" t="str">
        <f>IF('1.1 Produksi Bersih Padi 2025'!D700="","",'1.1 Produksi Bersih Padi 2025'!D700)</f>
        <v/>
      </c>
      <c r="E700" s="1" t="str">
        <f>IF('1.1 Produksi Bersih Padi 2025'!E700="","",'1.1 Produksi Bersih Padi 2025'!E700)</f>
        <v/>
      </c>
      <c r="F700" s="28" t="str">
        <f>IF(D700="","",VLOOKUP(D700,'[1]0.1 Produksi Pangan &amp; Penduduk'!$D$5:$AK$860,34,0))</f>
        <v/>
      </c>
      <c r="G700" s="29" t="str">
        <f t="shared" si="50"/>
        <v/>
      </c>
      <c r="H700" s="29" t="str">
        <f t="shared" si="51"/>
        <v/>
      </c>
      <c r="I700" s="29" t="str">
        <f t="shared" si="52"/>
        <v/>
      </c>
      <c r="J700" s="29" t="str">
        <f t="shared" si="53"/>
        <v/>
      </c>
      <c r="K700" s="29" t="str">
        <f t="shared" si="54"/>
        <v/>
      </c>
    </row>
    <row r="701" spans="1:11" ht="15" x14ac:dyDescent="0.25">
      <c r="A701" s="1" t="str">
        <f>IF('1.1 Produksi Bersih Padi 2025'!A701="","",'1.1 Produksi Bersih Padi 2025'!A701)</f>
        <v/>
      </c>
      <c r="B701" s="31" t="str">
        <f>IF('1.1 Produksi Bersih Padi 2025'!B701="","",'1.1 Produksi Bersih Padi 2025'!B701)</f>
        <v/>
      </c>
      <c r="C701" s="31" t="str">
        <f>IF('1.1 Produksi Bersih Padi 2025'!C701="","",'1.1 Produksi Bersih Padi 2025'!C701)</f>
        <v/>
      </c>
      <c r="D701" s="1" t="str">
        <f>IF('1.1 Produksi Bersih Padi 2025'!D701="","",'1.1 Produksi Bersih Padi 2025'!D701)</f>
        <v/>
      </c>
      <c r="E701" s="1" t="str">
        <f>IF('1.1 Produksi Bersih Padi 2025'!E701="","",'1.1 Produksi Bersih Padi 2025'!E701)</f>
        <v/>
      </c>
      <c r="F701" s="28" t="str">
        <f>IF(D701="","",VLOOKUP(D701,'[1]0.1 Produksi Pangan &amp; Penduduk'!$D$5:$AK$860,34,0))</f>
        <v/>
      </c>
      <c r="G701" s="29" t="str">
        <f t="shared" si="50"/>
        <v/>
      </c>
      <c r="H701" s="29" t="str">
        <f t="shared" si="51"/>
        <v/>
      </c>
      <c r="I701" s="29" t="str">
        <f t="shared" si="52"/>
        <v/>
      </c>
      <c r="J701" s="29" t="str">
        <f t="shared" si="53"/>
        <v/>
      </c>
      <c r="K701" s="29" t="str">
        <f t="shared" si="54"/>
        <v/>
      </c>
    </row>
    <row r="702" spans="1:11" ht="15" x14ac:dyDescent="0.25">
      <c r="A702" s="1" t="str">
        <f>IF('1.1 Produksi Bersih Padi 2025'!A702="","",'1.1 Produksi Bersih Padi 2025'!A702)</f>
        <v/>
      </c>
      <c r="B702" s="31" t="str">
        <f>IF('1.1 Produksi Bersih Padi 2025'!B702="","",'1.1 Produksi Bersih Padi 2025'!B702)</f>
        <v/>
      </c>
      <c r="C702" s="31" t="str">
        <f>IF('1.1 Produksi Bersih Padi 2025'!C702="","",'1.1 Produksi Bersih Padi 2025'!C702)</f>
        <v/>
      </c>
      <c r="D702" s="1" t="str">
        <f>IF('1.1 Produksi Bersih Padi 2025'!D702="","",'1.1 Produksi Bersih Padi 2025'!D702)</f>
        <v/>
      </c>
      <c r="E702" s="1" t="str">
        <f>IF('1.1 Produksi Bersih Padi 2025'!E702="","",'1.1 Produksi Bersih Padi 2025'!E702)</f>
        <v/>
      </c>
      <c r="F702" s="28" t="str">
        <f>IF(D702="","",VLOOKUP(D702,'[1]0.1 Produksi Pangan &amp; Penduduk'!$D$5:$AK$860,34,0))</f>
        <v/>
      </c>
      <c r="G702" s="29" t="str">
        <f t="shared" si="50"/>
        <v/>
      </c>
      <c r="H702" s="29" t="str">
        <f t="shared" si="51"/>
        <v/>
      </c>
      <c r="I702" s="29" t="str">
        <f t="shared" si="52"/>
        <v/>
      </c>
      <c r="J702" s="29" t="str">
        <f t="shared" si="53"/>
        <v/>
      </c>
      <c r="K702" s="29" t="str">
        <f t="shared" si="54"/>
        <v/>
      </c>
    </row>
    <row r="703" spans="1:11" ht="15" x14ac:dyDescent="0.25">
      <c r="A703" s="1" t="str">
        <f>IF('1.1 Produksi Bersih Padi 2025'!A703="","",'1.1 Produksi Bersih Padi 2025'!A703)</f>
        <v/>
      </c>
      <c r="B703" s="31" t="str">
        <f>IF('1.1 Produksi Bersih Padi 2025'!B703="","",'1.1 Produksi Bersih Padi 2025'!B703)</f>
        <v/>
      </c>
      <c r="C703" s="31" t="str">
        <f>IF('1.1 Produksi Bersih Padi 2025'!C703="","",'1.1 Produksi Bersih Padi 2025'!C703)</f>
        <v/>
      </c>
      <c r="D703" s="1" t="str">
        <f>IF('1.1 Produksi Bersih Padi 2025'!D703="","",'1.1 Produksi Bersih Padi 2025'!D703)</f>
        <v/>
      </c>
      <c r="E703" s="1" t="str">
        <f>IF('1.1 Produksi Bersih Padi 2025'!E703="","",'1.1 Produksi Bersih Padi 2025'!E703)</f>
        <v/>
      </c>
      <c r="F703" s="28" t="str">
        <f>IF(D703="","",VLOOKUP(D703,'[1]0.1 Produksi Pangan &amp; Penduduk'!$D$5:$AK$860,34,0))</f>
        <v/>
      </c>
      <c r="G703" s="29" t="str">
        <f t="shared" si="50"/>
        <v/>
      </c>
      <c r="H703" s="29" t="str">
        <f t="shared" si="51"/>
        <v/>
      </c>
      <c r="I703" s="29" t="str">
        <f t="shared" si="52"/>
        <v/>
      </c>
      <c r="J703" s="29" t="str">
        <f t="shared" si="53"/>
        <v/>
      </c>
      <c r="K703" s="29" t="str">
        <f t="shared" si="54"/>
        <v/>
      </c>
    </row>
    <row r="704" spans="1:11" ht="15" x14ac:dyDescent="0.25">
      <c r="A704" s="1" t="str">
        <f>IF('1.1 Produksi Bersih Padi 2025'!A704="","",'1.1 Produksi Bersih Padi 2025'!A704)</f>
        <v/>
      </c>
      <c r="B704" s="31" t="str">
        <f>IF('1.1 Produksi Bersih Padi 2025'!B704="","",'1.1 Produksi Bersih Padi 2025'!B704)</f>
        <v/>
      </c>
      <c r="C704" s="31" t="str">
        <f>IF('1.1 Produksi Bersih Padi 2025'!C704="","",'1.1 Produksi Bersih Padi 2025'!C704)</f>
        <v/>
      </c>
      <c r="D704" s="1" t="str">
        <f>IF('1.1 Produksi Bersih Padi 2025'!D704="","",'1.1 Produksi Bersih Padi 2025'!D704)</f>
        <v/>
      </c>
      <c r="E704" s="1" t="str">
        <f>IF('1.1 Produksi Bersih Padi 2025'!E704="","",'1.1 Produksi Bersih Padi 2025'!E704)</f>
        <v/>
      </c>
      <c r="F704" s="28" t="str">
        <f>IF(D704="","",VLOOKUP(D704,'[1]0.1 Produksi Pangan &amp; Penduduk'!$D$5:$AK$860,34,0))</f>
        <v/>
      </c>
      <c r="G704" s="29" t="str">
        <f t="shared" si="50"/>
        <v/>
      </c>
      <c r="H704" s="29" t="str">
        <f t="shared" si="51"/>
        <v/>
      </c>
      <c r="I704" s="29" t="str">
        <f t="shared" si="52"/>
        <v/>
      </c>
      <c r="J704" s="29" t="str">
        <f t="shared" si="53"/>
        <v/>
      </c>
      <c r="K704" s="29" t="str">
        <f t="shared" si="54"/>
        <v/>
      </c>
    </row>
    <row r="705" spans="1:11" ht="15" x14ac:dyDescent="0.25">
      <c r="A705" s="1" t="str">
        <f>IF('1.1 Produksi Bersih Padi 2025'!A705="","",'1.1 Produksi Bersih Padi 2025'!A705)</f>
        <v/>
      </c>
      <c r="B705" s="31" t="str">
        <f>IF('1.1 Produksi Bersih Padi 2025'!B705="","",'1.1 Produksi Bersih Padi 2025'!B705)</f>
        <v/>
      </c>
      <c r="C705" s="31" t="str">
        <f>IF('1.1 Produksi Bersih Padi 2025'!C705="","",'1.1 Produksi Bersih Padi 2025'!C705)</f>
        <v/>
      </c>
      <c r="D705" s="1" t="str">
        <f>IF('1.1 Produksi Bersih Padi 2025'!D705="","",'1.1 Produksi Bersih Padi 2025'!D705)</f>
        <v/>
      </c>
      <c r="E705" s="1" t="str">
        <f>IF('1.1 Produksi Bersih Padi 2025'!E705="","",'1.1 Produksi Bersih Padi 2025'!E705)</f>
        <v/>
      </c>
      <c r="F705" s="28" t="str">
        <f>IF(D705="","",VLOOKUP(D705,'[1]0.1 Produksi Pangan &amp; Penduduk'!$D$5:$AK$860,34,0))</f>
        <v/>
      </c>
      <c r="G705" s="29" t="str">
        <f t="shared" si="50"/>
        <v/>
      </c>
      <c r="H705" s="29" t="str">
        <f t="shared" si="51"/>
        <v/>
      </c>
      <c r="I705" s="29" t="str">
        <f t="shared" si="52"/>
        <v/>
      </c>
      <c r="J705" s="29" t="str">
        <f t="shared" si="53"/>
        <v/>
      </c>
      <c r="K705" s="29" t="str">
        <f t="shared" si="54"/>
        <v/>
      </c>
    </row>
    <row r="706" spans="1:11" ht="15" x14ac:dyDescent="0.25">
      <c r="A706" s="1" t="str">
        <f>IF('1.1 Produksi Bersih Padi 2025'!A706="","",'1.1 Produksi Bersih Padi 2025'!A706)</f>
        <v/>
      </c>
      <c r="B706" s="31" t="str">
        <f>IF('1.1 Produksi Bersih Padi 2025'!B706="","",'1.1 Produksi Bersih Padi 2025'!B706)</f>
        <v/>
      </c>
      <c r="C706" s="31" t="str">
        <f>IF('1.1 Produksi Bersih Padi 2025'!C706="","",'1.1 Produksi Bersih Padi 2025'!C706)</f>
        <v/>
      </c>
      <c r="D706" s="1" t="str">
        <f>IF('1.1 Produksi Bersih Padi 2025'!D706="","",'1.1 Produksi Bersih Padi 2025'!D706)</f>
        <v/>
      </c>
      <c r="E706" s="1" t="str">
        <f>IF('1.1 Produksi Bersih Padi 2025'!E706="","",'1.1 Produksi Bersih Padi 2025'!E706)</f>
        <v/>
      </c>
      <c r="F706" s="28" t="str">
        <f>IF(D706="","",VLOOKUP(D706,'[1]0.1 Produksi Pangan &amp; Penduduk'!$D$5:$AK$860,34,0))</f>
        <v/>
      </c>
      <c r="G706" s="29" t="str">
        <f t="shared" si="50"/>
        <v/>
      </c>
      <c r="H706" s="29" t="str">
        <f t="shared" si="51"/>
        <v/>
      </c>
      <c r="I706" s="29" t="str">
        <f t="shared" si="52"/>
        <v/>
      </c>
      <c r="J706" s="29" t="str">
        <f t="shared" si="53"/>
        <v/>
      </c>
      <c r="K706" s="29" t="str">
        <f t="shared" si="54"/>
        <v/>
      </c>
    </row>
    <row r="707" spans="1:11" ht="15" x14ac:dyDescent="0.25">
      <c r="A707" s="1" t="str">
        <f>IF('1.1 Produksi Bersih Padi 2025'!A707="","",'1.1 Produksi Bersih Padi 2025'!A707)</f>
        <v/>
      </c>
      <c r="B707" s="31" t="str">
        <f>IF('1.1 Produksi Bersih Padi 2025'!B707="","",'1.1 Produksi Bersih Padi 2025'!B707)</f>
        <v/>
      </c>
      <c r="C707" s="31" t="str">
        <f>IF('1.1 Produksi Bersih Padi 2025'!C707="","",'1.1 Produksi Bersih Padi 2025'!C707)</f>
        <v/>
      </c>
      <c r="D707" s="1" t="str">
        <f>IF('1.1 Produksi Bersih Padi 2025'!D707="","",'1.1 Produksi Bersih Padi 2025'!D707)</f>
        <v/>
      </c>
      <c r="E707" s="1" t="str">
        <f>IF('1.1 Produksi Bersih Padi 2025'!E707="","",'1.1 Produksi Bersih Padi 2025'!E707)</f>
        <v/>
      </c>
      <c r="F707" s="28" t="str">
        <f>IF(D707="","",VLOOKUP(D707,'[1]0.1 Produksi Pangan &amp; Penduduk'!$D$5:$AK$860,34,0))</f>
        <v/>
      </c>
      <c r="G707" s="29" t="str">
        <f t="shared" si="50"/>
        <v/>
      </c>
      <c r="H707" s="29" t="str">
        <f t="shared" si="51"/>
        <v/>
      </c>
      <c r="I707" s="29" t="str">
        <f t="shared" si="52"/>
        <v/>
      </c>
      <c r="J707" s="29" t="str">
        <f t="shared" si="53"/>
        <v/>
      </c>
      <c r="K707" s="29" t="str">
        <f t="shared" si="54"/>
        <v/>
      </c>
    </row>
    <row r="708" spans="1:11" ht="15" x14ac:dyDescent="0.25">
      <c r="A708" s="1" t="str">
        <f>IF('1.1 Produksi Bersih Padi 2025'!A708="","",'1.1 Produksi Bersih Padi 2025'!A708)</f>
        <v/>
      </c>
      <c r="B708" s="31" t="str">
        <f>IF('1.1 Produksi Bersih Padi 2025'!B708="","",'1.1 Produksi Bersih Padi 2025'!B708)</f>
        <v/>
      </c>
      <c r="C708" s="31" t="str">
        <f>IF('1.1 Produksi Bersih Padi 2025'!C708="","",'1.1 Produksi Bersih Padi 2025'!C708)</f>
        <v/>
      </c>
      <c r="D708" s="1" t="str">
        <f>IF('1.1 Produksi Bersih Padi 2025'!D708="","",'1.1 Produksi Bersih Padi 2025'!D708)</f>
        <v/>
      </c>
      <c r="E708" s="1" t="str">
        <f>IF('1.1 Produksi Bersih Padi 2025'!E708="","",'1.1 Produksi Bersih Padi 2025'!E708)</f>
        <v/>
      </c>
      <c r="F708" s="28" t="str">
        <f>IF(D708="","",VLOOKUP(D708,'[1]0.1 Produksi Pangan &amp; Penduduk'!$D$5:$AK$860,34,0))</f>
        <v/>
      </c>
      <c r="G708" s="29" t="str">
        <f t="shared" si="50"/>
        <v/>
      </c>
      <c r="H708" s="29" t="str">
        <f t="shared" si="51"/>
        <v/>
      </c>
      <c r="I708" s="29" t="str">
        <f t="shared" si="52"/>
        <v/>
      </c>
      <c r="J708" s="29" t="str">
        <f t="shared" si="53"/>
        <v/>
      </c>
      <c r="K708" s="29" t="str">
        <f t="shared" si="54"/>
        <v/>
      </c>
    </row>
    <row r="709" spans="1:11" ht="15" x14ac:dyDescent="0.25">
      <c r="A709" s="1" t="str">
        <f>IF('1.1 Produksi Bersih Padi 2025'!A709="","",'1.1 Produksi Bersih Padi 2025'!A709)</f>
        <v/>
      </c>
      <c r="B709" s="31" t="str">
        <f>IF('1.1 Produksi Bersih Padi 2025'!B709="","",'1.1 Produksi Bersih Padi 2025'!B709)</f>
        <v/>
      </c>
      <c r="C709" s="31" t="str">
        <f>IF('1.1 Produksi Bersih Padi 2025'!C709="","",'1.1 Produksi Bersih Padi 2025'!C709)</f>
        <v/>
      </c>
      <c r="D709" s="1" t="str">
        <f>IF('1.1 Produksi Bersih Padi 2025'!D709="","",'1.1 Produksi Bersih Padi 2025'!D709)</f>
        <v/>
      </c>
      <c r="E709" s="1" t="str">
        <f>IF('1.1 Produksi Bersih Padi 2025'!E709="","",'1.1 Produksi Bersih Padi 2025'!E709)</f>
        <v/>
      </c>
      <c r="F709" s="28" t="str">
        <f>IF(D709="","",VLOOKUP(D709,'[1]0.1 Produksi Pangan &amp; Penduduk'!$D$5:$AK$860,34,0))</f>
        <v/>
      </c>
      <c r="G709" s="29" t="str">
        <f t="shared" si="50"/>
        <v/>
      </c>
      <c r="H709" s="29" t="str">
        <f t="shared" si="51"/>
        <v/>
      </c>
      <c r="I709" s="29" t="str">
        <f t="shared" si="52"/>
        <v/>
      </c>
      <c r="J709" s="29" t="str">
        <f t="shared" si="53"/>
        <v/>
      </c>
      <c r="K709" s="29" t="str">
        <f t="shared" si="54"/>
        <v/>
      </c>
    </row>
    <row r="710" spans="1:11" ht="15" x14ac:dyDescent="0.25">
      <c r="A710" s="1" t="str">
        <f>IF('1.1 Produksi Bersih Padi 2025'!A710="","",'1.1 Produksi Bersih Padi 2025'!A710)</f>
        <v/>
      </c>
      <c r="B710" s="31" t="str">
        <f>IF('1.1 Produksi Bersih Padi 2025'!B710="","",'1.1 Produksi Bersih Padi 2025'!B710)</f>
        <v/>
      </c>
      <c r="C710" s="31" t="str">
        <f>IF('1.1 Produksi Bersih Padi 2025'!C710="","",'1.1 Produksi Bersih Padi 2025'!C710)</f>
        <v/>
      </c>
      <c r="D710" s="1" t="str">
        <f>IF('1.1 Produksi Bersih Padi 2025'!D710="","",'1.1 Produksi Bersih Padi 2025'!D710)</f>
        <v/>
      </c>
      <c r="E710" s="1" t="str">
        <f>IF('1.1 Produksi Bersih Padi 2025'!E710="","",'1.1 Produksi Bersih Padi 2025'!E710)</f>
        <v/>
      </c>
      <c r="F710" s="28" t="str">
        <f>IF(D710="","",VLOOKUP(D710,'[1]0.1 Produksi Pangan &amp; Penduduk'!$D$5:$AK$860,34,0))</f>
        <v/>
      </c>
      <c r="G710" s="29" t="str">
        <f t="shared" ref="G710:G773" si="55">IF(F710="","",F710*0%)</f>
        <v/>
      </c>
      <c r="H710" s="29" t="str">
        <f t="shared" ref="H710:H773" si="56">IF(F710="","",F710*0%)</f>
        <v/>
      </c>
      <c r="I710" s="29" t="str">
        <f t="shared" ref="I710:I773" si="57">IF(F710="","",F710*0.72%)</f>
        <v/>
      </c>
      <c r="J710" s="29" t="str">
        <f t="shared" ref="J710:J773" si="58">IF(F710="","",F710-(G710+H710+I710))</f>
        <v/>
      </c>
      <c r="K710" s="29" t="str">
        <f t="shared" ref="K710:K773" si="59">IF(J710="","",J710*0.64)</f>
        <v/>
      </c>
    </row>
    <row r="711" spans="1:11" ht="15" x14ac:dyDescent="0.25">
      <c r="A711" s="1" t="str">
        <f>IF('1.1 Produksi Bersih Padi 2025'!A711="","",'1.1 Produksi Bersih Padi 2025'!A711)</f>
        <v/>
      </c>
      <c r="B711" s="31" t="str">
        <f>IF('1.1 Produksi Bersih Padi 2025'!B711="","",'1.1 Produksi Bersih Padi 2025'!B711)</f>
        <v/>
      </c>
      <c r="C711" s="31" t="str">
        <f>IF('1.1 Produksi Bersih Padi 2025'!C711="","",'1.1 Produksi Bersih Padi 2025'!C711)</f>
        <v/>
      </c>
      <c r="D711" s="1" t="str">
        <f>IF('1.1 Produksi Bersih Padi 2025'!D711="","",'1.1 Produksi Bersih Padi 2025'!D711)</f>
        <v/>
      </c>
      <c r="E711" s="1" t="str">
        <f>IF('1.1 Produksi Bersih Padi 2025'!E711="","",'1.1 Produksi Bersih Padi 2025'!E711)</f>
        <v/>
      </c>
      <c r="F711" s="28" t="str">
        <f>IF(D711="","",VLOOKUP(D711,'[1]0.1 Produksi Pangan &amp; Penduduk'!$D$5:$AK$860,34,0))</f>
        <v/>
      </c>
      <c r="G711" s="29" t="str">
        <f t="shared" si="55"/>
        <v/>
      </c>
      <c r="H711" s="29" t="str">
        <f t="shared" si="56"/>
        <v/>
      </c>
      <c r="I711" s="29" t="str">
        <f t="shared" si="57"/>
        <v/>
      </c>
      <c r="J711" s="29" t="str">
        <f t="shared" si="58"/>
        <v/>
      </c>
      <c r="K711" s="29" t="str">
        <f t="shared" si="59"/>
        <v/>
      </c>
    </row>
    <row r="712" spans="1:11" ht="15" x14ac:dyDescent="0.25">
      <c r="A712" s="1" t="str">
        <f>IF('1.1 Produksi Bersih Padi 2025'!A712="","",'1.1 Produksi Bersih Padi 2025'!A712)</f>
        <v/>
      </c>
      <c r="B712" s="31" t="str">
        <f>IF('1.1 Produksi Bersih Padi 2025'!B712="","",'1.1 Produksi Bersih Padi 2025'!B712)</f>
        <v/>
      </c>
      <c r="C712" s="31" t="str">
        <f>IF('1.1 Produksi Bersih Padi 2025'!C712="","",'1.1 Produksi Bersih Padi 2025'!C712)</f>
        <v/>
      </c>
      <c r="D712" s="1" t="str">
        <f>IF('1.1 Produksi Bersih Padi 2025'!D712="","",'1.1 Produksi Bersih Padi 2025'!D712)</f>
        <v/>
      </c>
      <c r="E712" s="1" t="str">
        <f>IF('1.1 Produksi Bersih Padi 2025'!E712="","",'1.1 Produksi Bersih Padi 2025'!E712)</f>
        <v/>
      </c>
      <c r="F712" s="28" t="str">
        <f>IF(D712="","",VLOOKUP(D712,'[1]0.1 Produksi Pangan &amp; Penduduk'!$D$5:$AK$860,34,0))</f>
        <v/>
      </c>
      <c r="G712" s="29" t="str">
        <f t="shared" si="55"/>
        <v/>
      </c>
      <c r="H712" s="29" t="str">
        <f t="shared" si="56"/>
        <v/>
      </c>
      <c r="I712" s="29" t="str">
        <f t="shared" si="57"/>
        <v/>
      </c>
      <c r="J712" s="29" t="str">
        <f t="shared" si="58"/>
        <v/>
      </c>
      <c r="K712" s="29" t="str">
        <f t="shared" si="59"/>
        <v/>
      </c>
    </row>
    <row r="713" spans="1:11" ht="15" x14ac:dyDescent="0.25">
      <c r="A713" s="1" t="str">
        <f>IF('1.1 Produksi Bersih Padi 2025'!A713="","",'1.1 Produksi Bersih Padi 2025'!A713)</f>
        <v/>
      </c>
      <c r="B713" s="31" t="str">
        <f>IF('1.1 Produksi Bersih Padi 2025'!B713="","",'1.1 Produksi Bersih Padi 2025'!B713)</f>
        <v/>
      </c>
      <c r="C713" s="31" t="str">
        <f>IF('1.1 Produksi Bersih Padi 2025'!C713="","",'1.1 Produksi Bersih Padi 2025'!C713)</f>
        <v/>
      </c>
      <c r="D713" s="1" t="str">
        <f>IF('1.1 Produksi Bersih Padi 2025'!D713="","",'1.1 Produksi Bersih Padi 2025'!D713)</f>
        <v/>
      </c>
      <c r="E713" s="1" t="str">
        <f>IF('1.1 Produksi Bersih Padi 2025'!E713="","",'1.1 Produksi Bersih Padi 2025'!E713)</f>
        <v/>
      </c>
      <c r="F713" s="28" t="str">
        <f>IF(D713="","",VLOOKUP(D713,'[1]0.1 Produksi Pangan &amp; Penduduk'!$D$5:$AK$860,34,0))</f>
        <v/>
      </c>
      <c r="G713" s="29" t="str">
        <f t="shared" si="55"/>
        <v/>
      </c>
      <c r="H713" s="29" t="str">
        <f t="shared" si="56"/>
        <v/>
      </c>
      <c r="I713" s="29" t="str">
        <f t="shared" si="57"/>
        <v/>
      </c>
      <c r="J713" s="29" t="str">
        <f t="shared" si="58"/>
        <v/>
      </c>
      <c r="K713" s="29" t="str">
        <f t="shared" si="59"/>
        <v/>
      </c>
    </row>
    <row r="714" spans="1:11" ht="15" x14ac:dyDescent="0.25">
      <c r="A714" s="1" t="str">
        <f>IF('1.1 Produksi Bersih Padi 2025'!A714="","",'1.1 Produksi Bersih Padi 2025'!A714)</f>
        <v/>
      </c>
      <c r="B714" s="31" t="str">
        <f>IF('1.1 Produksi Bersih Padi 2025'!B714="","",'1.1 Produksi Bersih Padi 2025'!B714)</f>
        <v/>
      </c>
      <c r="C714" s="31" t="str">
        <f>IF('1.1 Produksi Bersih Padi 2025'!C714="","",'1.1 Produksi Bersih Padi 2025'!C714)</f>
        <v/>
      </c>
      <c r="D714" s="1" t="str">
        <f>IF('1.1 Produksi Bersih Padi 2025'!D714="","",'1.1 Produksi Bersih Padi 2025'!D714)</f>
        <v/>
      </c>
      <c r="E714" s="1" t="str">
        <f>IF('1.1 Produksi Bersih Padi 2025'!E714="","",'1.1 Produksi Bersih Padi 2025'!E714)</f>
        <v/>
      </c>
      <c r="F714" s="28" t="str">
        <f>IF(D714="","",VLOOKUP(D714,'[1]0.1 Produksi Pangan &amp; Penduduk'!$D$5:$AK$860,34,0))</f>
        <v/>
      </c>
      <c r="G714" s="29" t="str">
        <f t="shared" si="55"/>
        <v/>
      </c>
      <c r="H714" s="29" t="str">
        <f t="shared" si="56"/>
        <v/>
      </c>
      <c r="I714" s="29" t="str">
        <f t="shared" si="57"/>
        <v/>
      </c>
      <c r="J714" s="29" t="str">
        <f t="shared" si="58"/>
        <v/>
      </c>
      <c r="K714" s="29" t="str">
        <f t="shared" si="59"/>
        <v/>
      </c>
    </row>
    <row r="715" spans="1:11" ht="15" x14ac:dyDescent="0.25">
      <c r="A715" s="1" t="str">
        <f>IF('1.1 Produksi Bersih Padi 2025'!A715="","",'1.1 Produksi Bersih Padi 2025'!A715)</f>
        <v/>
      </c>
      <c r="B715" s="31" t="str">
        <f>IF('1.1 Produksi Bersih Padi 2025'!B715="","",'1.1 Produksi Bersih Padi 2025'!B715)</f>
        <v/>
      </c>
      <c r="C715" s="31" t="str">
        <f>IF('1.1 Produksi Bersih Padi 2025'!C715="","",'1.1 Produksi Bersih Padi 2025'!C715)</f>
        <v/>
      </c>
      <c r="D715" s="1" t="str">
        <f>IF('1.1 Produksi Bersih Padi 2025'!D715="","",'1.1 Produksi Bersih Padi 2025'!D715)</f>
        <v/>
      </c>
      <c r="E715" s="1" t="str">
        <f>IF('1.1 Produksi Bersih Padi 2025'!E715="","",'1.1 Produksi Bersih Padi 2025'!E715)</f>
        <v/>
      </c>
      <c r="F715" s="28" t="str">
        <f>IF(D715="","",VLOOKUP(D715,'[1]0.1 Produksi Pangan &amp; Penduduk'!$D$5:$AK$860,34,0))</f>
        <v/>
      </c>
      <c r="G715" s="29" t="str">
        <f t="shared" si="55"/>
        <v/>
      </c>
      <c r="H715" s="29" t="str">
        <f t="shared" si="56"/>
        <v/>
      </c>
      <c r="I715" s="29" t="str">
        <f t="shared" si="57"/>
        <v/>
      </c>
      <c r="J715" s="29" t="str">
        <f t="shared" si="58"/>
        <v/>
      </c>
      <c r="K715" s="29" t="str">
        <f t="shared" si="59"/>
        <v/>
      </c>
    </row>
    <row r="716" spans="1:11" ht="15" x14ac:dyDescent="0.25">
      <c r="A716" s="1" t="str">
        <f>IF('1.1 Produksi Bersih Padi 2025'!A716="","",'1.1 Produksi Bersih Padi 2025'!A716)</f>
        <v/>
      </c>
      <c r="B716" s="31" t="str">
        <f>IF('1.1 Produksi Bersih Padi 2025'!B716="","",'1.1 Produksi Bersih Padi 2025'!B716)</f>
        <v/>
      </c>
      <c r="C716" s="31" t="str">
        <f>IF('1.1 Produksi Bersih Padi 2025'!C716="","",'1.1 Produksi Bersih Padi 2025'!C716)</f>
        <v/>
      </c>
      <c r="D716" s="1" t="str">
        <f>IF('1.1 Produksi Bersih Padi 2025'!D716="","",'1.1 Produksi Bersih Padi 2025'!D716)</f>
        <v/>
      </c>
      <c r="E716" s="1" t="str">
        <f>IF('1.1 Produksi Bersih Padi 2025'!E716="","",'1.1 Produksi Bersih Padi 2025'!E716)</f>
        <v/>
      </c>
      <c r="F716" s="28" t="str">
        <f>IF(D716="","",VLOOKUP(D716,'[1]0.1 Produksi Pangan &amp; Penduduk'!$D$5:$AK$860,34,0))</f>
        <v/>
      </c>
      <c r="G716" s="29" t="str">
        <f t="shared" si="55"/>
        <v/>
      </c>
      <c r="H716" s="29" t="str">
        <f t="shared" si="56"/>
        <v/>
      </c>
      <c r="I716" s="29" t="str">
        <f t="shared" si="57"/>
        <v/>
      </c>
      <c r="J716" s="29" t="str">
        <f t="shared" si="58"/>
        <v/>
      </c>
      <c r="K716" s="29" t="str">
        <f t="shared" si="59"/>
        <v/>
      </c>
    </row>
    <row r="717" spans="1:11" ht="15" x14ac:dyDescent="0.25">
      <c r="A717" s="1" t="str">
        <f>IF('1.1 Produksi Bersih Padi 2025'!A717="","",'1.1 Produksi Bersih Padi 2025'!A717)</f>
        <v/>
      </c>
      <c r="B717" s="31" t="str">
        <f>IF('1.1 Produksi Bersih Padi 2025'!B717="","",'1.1 Produksi Bersih Padi 2025'!B717)</f>
        <v/>
      </c>
      <c r="C717" s="31" t="str">
        <f>IF('1.1 Produksi Bersih Padi 2025'!C717="","",'1.1 Produksi Bersih Padi 2025'!C717)</f>
        <v/>
      </c>
      <c r="D717" s="1" t="str">
        <f>IF('1.1 Produksi Bersih Padi 2025'!D717="","",'1.1 Produksi Bersih Padi 2025'!D717)</f>
        <v/>
      </c>
      <c r="E717" s="1" t="str">
        <f>IF('1.1 Produksi Bersih Padi 2025'!E717="","",'1.1 Produksi Bersih Padi 2025'!E717)</f>
        <v/>
      </c>
      <c r="F717" s="28" t="str">
        <f>IF(D717="","",VLOOKUP(D717,'[1]0.1 Produksi Pangan &amp; Penduduk'!$D$5:$AK$860,34,0))</f>
        <v/>
      </c>
      <c r="G717" s="29" t="str">
        <f t="shared" si="55"/>
        <v/>
      </c>
      <c r="H717" s="29" t="str">
        <f t="shared" si="56"/>
        <v/>
      </c>
      <c r="I717" s="29" t="str">
        <f t="shared" si="57"/>
        <v/>
      </c>
      <c r="J717" s="29" t="str">
        <f t="shared" si="58"/>
        <v/>
      </c>
      <c r="K717" s="29" t="str">
        <f t="shared" si="59"/>
        <v/>
      </c>
    </row>
    <row r="718" spans="1:11" ht="15" x14ac:dyDescent="0.25">
      <c r="A718" s="1" t="str">
        <f>IF('1.1 Produksi Bersih Padi 2025'!A718="","",'1.1 Produksi Bersih Padi 2025'!A718)</f>
        <v/>
      </c>
      <c r="B718" s="31" t="str">
        <f>IF('1.1 Produksi Bersih Padi 2025'!B718="","",'1.1 Produksi Bersih Padi 2025'!B718)</f>
        <v/>
      </c>
      <c r="C718" s="31" t="str">
        <f>IF('1.1 Produksi Bersih Padi 2025'!C718="","",'1.1 Produksi Bersih Padi 2025'!C718)</f>
        <v/>
      </c>
      <c r="D718" s="1" t="str">
        <f>IF('1.1 Produksi Bersih Padi 2025'!D718="","",'1.1 Produksi Bersih Padi 2025'!D718)</f>
        <v/>
      </c>
      <c r="E718" s="1" t="str">
        <f>IF('1.1 Produksi Bersih Padi 2025'!E718="","",'1.1 Produksi Bersih Padi 2025'!E718)</f>
        <v/>
      </c>
      <c r="F718" s="28" t="str">
        <f>IF(D718="","",VLOOKUP(D718,'[1]0.1 Produksi Pangan &amp; Penduduk'!$D$5:$AK$860,34,0))</f>
        <v/>
      </c>
      <c r="G718" s="29" t="str">
        <f t="shared" si="55"/>
        <v/>
      </c>
      <c r="H718" s="29" t="str">
        <f t="shared" si="56"/>
        <v/>
      </c>
      <c r="I718" s="29" t="str">
        <f t="shared" si="57"/>
        <v/>
      </c>
      <c r="J718" s="29" t="str">
        <f t="shared" si="58"/>
        <v/>
      </c>
      <c r="K718" s="29" t="str">
        <f t="shared" si="59"/>
        <v/>
      </c>
    </row>
    <row r="719" spans="1:11" ht="15" x14ac:dyDescent="0.25">
      <c r="A719" s="1" t="str">
        <f>IF('1.1 Produksi Bersih Padi 2025'!A719="","",'1.1 Produksi Bersih Padi 2025'!A719)</f>
        <v/>
      </c>
      <c r="B719" s="31" t="str">
        <f>IF('1.1 Produksi Bersih Padi 2025'!B719="","",'1.1 Produksi Bersih Padi 2025'!B719)</f>
        <v/>
      </c>
      <c r="C719" s="31" t="str">
        <f>IF('1.1 Produksi Bersih Padi 2025'!C719="","",'1.1 Produksi Bersih Padi 2025'!C719)</f>
        <v/>
      </c>
      <c r="D719" s="1" t="str">
        <f>IF('1.1 Produksi Bersih Padi 2025'!D719="","",'1.1 Produksi Bersih Padi 2025'!D719)</f>
        <v/>
      </c>
      <c r="E719" s="1" t="str">
        <f>IF('1.1 Produksi Bersih Padi 2025'!E719="","",'1.1 Produksi Bersih Padi 2025'!E719)</f>
        <v/>
      </c>
      <c r="F719" s="28" t="str">
        <f>IF(D719="","",VLOOKUP(D719,'[1]0.1 Produksi Pangan &amp; Penduduk'!$D$5:$AK$860,34,0))</f>
        <v/>
      </c>
      <c r="G719" s="29" t="str">
        <f t="shared" si="55"/>
        <v/>
      </c>
      <c r="H719" s="29" t="str">
        <f t="shared" si="56"/>
        <v/>
      </c>
      <c r="I719" s="29" t="str">
        <f t="shared" si="57"/>
        <v/>
      </c>
      <c r="J719" s="29" t="str">
        <f t="shared" si="58"/>
        <v/>
      </c>
      <c r="K719" s="29" t="str">
        <f t="shared" si="59"/>
        <v/>
      </c>
    </row>
    <row r="720" spans="1:11" ht="15" x14ac:dyDescent="0.25">
      <c r="A720" s="1" t="str">
        <f>IF('1.1 Produksi Bersih Padi 2025'!A720="","",'1.1 Produksi Bersih Padi 2025'!A720)</f>
        <v/>
      </c>
      <c r="B720" s="31" t="str">
        <f>IF('1.1 Produksi Bersih Padi 2025'!B720="","",'1.1 Produksi Bersih Padi 2025'!B720)</f>
        <v/>
      </c>
      <c r="C720" s="31" t="str">
        <f>IF('1.1 Produksi Bersih Padi 2025'!C720="","",'1.1 Produksi Bersih Padi 2025'!C720)</f>
        <v/>
      </c>
      <c r="D720" s="1" t="str">
        <f>IF('1.1 Produksi Bersih Padi 2025'!D720="","",'1.1 Produksi Bersih Padi 2025'!D720)</f>
        <v/>
      </c>
      <c r="E720" s="1" t="str">
        <f>IF('1.1 Produksi Bersih Padi 2025'!E720="","",'1.1 Produksi Bersih Padi 2025'!E720)</f>
        <v/>
      </c>
      <c r="F720" s="28" t="str">
        <f>IF(D720="","",VLOOKUP(D720,'[1]0.1 Produksi Pangan &amp; Penduduk'!$D$5:$AK$860,34,0))</f>
        <v/>
      </c>
      <c r="G720" s="29" t="str">
        <f t="shared" si="55"/>
        <v/>
      </c>
      <c r="H720" s="29" t="str">
        <f t="shared" si="56"/>
        <v/>
      </c>
      <c r="I720" s="29" t="str">
        <f t="shared" si="57"/>
        <v/>
      </c>
      <c r="J720" s="29" t="str">
        <f t="shared" si="58"/>
        <v/>
      </c>
      <c r="K720" s="29" t="str">
        <f t="shared" si="59"/>
        <v/>
      </c>
    </row>
    <row r="721" spans="1:11" ht="15" x14ac:dyDescent="0.25">
      <c r="A721" s="1" t="str">
        <f>IF('1.1 Produksi Bersih Padi 2025'!A721="","",'1.1 Produksi Bersih Padi 2025'!A721)</f>
        <v/>
      </c>
      <c r="B721" s="31" t="str">
        <f>IF('1.1 Produksi Bersih Padi 2025'!B721="","",'1.1 Produksi Bersih Padi 2025'!B721)</f>
        <v/>
      </c>
      <c r="C721" s="31" t="str">
        <f>IF('1.1 Produksi Bersih Padi 2025'!C721="","",'1.1 Produksi Bersih Padi 2025'!C721)</f>
        <v/>
      </c>
      <c r="D721" s="1" t="str">
        <f>IF('1.1 Produksi Bersih Padi 2025'!D721="","",'1.1 Produksi Bersih Padi 2025'!D721)</f>
        <v/>
      </c>
      <c r="E721" s="1" t="str">
        <f>IF('1.1 Produksi Bersih Padi 2025'!E721="","",'1.1 Produksi Bersih Padi 2025'!E721)</f>
        <v/>
      </c>
      <c r="F721" s="28" t="str">
        <f>IF(D721="","",VLOOKUP(D721,'[1]0.1 Produksi Pangan &amp; Penduduk'!$D$5:$AK$860,34,0))</f>
        <v/>
      </c>
      <c r="G721" s="29" t="str">
        <f t="shared" si="55"/>
        <v/>
      </c>
      <c r="H721" s="29" t="str">
        <f t="shared" si="56"/>
        <v/>
      </c>
      <c r="I721" s="29" t="str">
        <f t="shared" si="57"/>
        <v/>
      </c>
      <c r="J721" s="29" t="str">
        <f t="shared" si="58"/>
        <v/>
      </c>
      <c r="K721" s="29" t="str">
        <f t="shared" si="59"/>
        <v/>
      </c>
    </row>
    <row r="722" spans="1:11" ht="15" x14ac:dyDescent="0.25">
      <c r="A722" s="1" t="str">
        <f>IF('1.1 Produksi Bersih Padi 2025'!A722="","",'1.1 Produksi Bersih Padi 2025'!A722)</f>
        <v/>
      </c>
      <c r="B722" s="31" t="str">
        <f>IF('1.1 Produksi Bersih Padi 2025'!B722="","",'1.1 Produksi Bersih Padi 2025'!B722)</f>
        <v/>
      </c>
      <c r="C722" s="31" t="str">
        <f>IF('1.1 Produksi Bersih Padi 2025'!C722="","",'1.1 Produksi Bersih Padi 2025'!C722)</f>
        <v/>
      </c>
      <c r="D722" s="1" t="str">
        <f>IF('1.1 Produksi Bersih Padi 2025'!D722="","",'1.1 Produksi Bersih Padi 2025'!D722)</f>
        <v/>
      </c>
      <c r="E722" s="1" t="str">
        <f>IF('1.1 Produksi Bersih Padi 2025'!E722="","",'1.1 Produksi Bersih Padi 2025'!E722)</f>
        <v/>
      </c>
      <c r="F722" s="28" t="str">
        <f>IF(D722="","",VLOOKUP(D722,'[1]0.1 Produksi Pangan &amp; Penduduk'!$D$5:$AK$860,34,0))</f>
        <v/>
      </c>
      <c r="G722" s="29" t="str">
        <f t="shared" si="55"/>
        <v/>
      </c>
      <c r="H722" s="29" t="str">
        <f t="shared" si="56"/>
        <v/>
      </c>
      <c r="I722" s="29" t="str">
        <f t="shared" si="57"/>
        <v/>
      </c>
      <c r="J722" s="29" t="str">
        <f t="shared" si="58"/>
        <v/>
      </c>
      <c r="K722" s="29" t="str">
        <f t="shared" si="59"/>
        <v/>
      </c>
    </row>
    <row r="723" spans="1:11" ht="15" x14ac:dyDescent="0.25">
      <c r="A723" s="1" t="str">
        <f>IF('1.1 Produksi Bersih Padi 2025'!A723="","",'1.1 Produksi Bersih Padi 2025'!A723)</f>
        <v/>
      </c>
      <c r="B723" s="31" t="str">
        <f>IF('1.1 Produksi Bersih Padi 2025'!B723="","",'1.1 Produksi Bersih Padi 2025'!B723)</f>
        <v/>
      </c>
      <c r="C723" s="31" t="str">
        <f>IF('1.1 Produksi Bersih Padi 2025'!C723="","",'1.1 Produksi Bersih Padi 2025'!C723)</f>
        <v/>
      </c>
      <c r="D723" s="1" t="str">
        <f>IF('1.1 Produksi Bersih Padi 2025'!D723="","",'1.1 Produksi Bersih Padi 2025'!D723)</f>
        <v/>
      </c>
      <c r="E723" s="1" t="str">
        <f>IF('1.1 Produksi Bersih Padi 2025'!E723="","",'1.1 Produksi Bersih Padi 2025'!E723)</f>
        <v/>
      </c>
      <c r="F723" s="28" t="str">
        <f>IF(D723="","",VLOOKUP(D723,'[1]0.1 Produksi Pangan &amp; Penduduk'!$D$5:$AK$860,34,0))</f>
        <v/>
      </c>
      <c r="G723" s="29" t="str">
        <f t="shared" si="55"/>
        <v/>
      </c>
      <c r="H723" s="29" t="str">
        <f t="shared" si="56"/>
        <v/>
      </c>
      <c r="I723" s="29" t="str">
        <f t="shared" si="57"/>
        <v/>
      </c>
      <c r="J723" s="29" t="str">
        <f t="shared" si="58"/>
        <v/>
      </c>
      <c r="K723" s="29" t="str">
        <f t="shared" si="59"/>
        <v/>
      </c>
    </row>
    <row r="724" spans="1:11" ht="15" x14ac:dyDescent="0.25">
      <c r="A724" s="1" t="str">
        <f>IF('1.1 Produksi Bersih Padi 2025'!A724="","",'1.1 Produksi Bersih Padi 2025'!A724)</f>
        <v/>
      </c>
      <c r="B724" s="31" t="str">
        <f>IF('1.1 Produksi Bersih Padi 2025'!B724="","",'1.1 Produksi Bersih Padi 2025'!B724)</f>
        <v/>
      </c>
      <c r="C724" s="31" t="str">
        <f>IF('1.1 Produksi Bersih Padi 2025'!C724="","",'1.1 Produksi Bersih Padi 2025'!C724)</f>
        <v/>
      </c>
      <c r="D724" s="1" t="str">
        <f>IF('1.1 Produksi Bersih Padi 2025'!D724="","",'1.1 Produksi Bersih Padi 2025'!D724)</f>
        <v/>
      </c>
      <c r="E724" s="1" t="str">
        <f>IF('1.1 Produksi Bersih Padi 2025'!E724="","",'1.1 Produksi Bersih Padi 2025'!E724)</f>
        <v/>
      </c>
      <c r="F724" s="28" t="str">
        <f>IF(D724="","",VLOOKUP(D724,'[1]0.1 Produksi Pangan &amp; Penduduk'!$D$5:$AK$860,34,0))</f>
        <v/>
      </c>
      <c r="G724" s="29" t="str">
        <f t="shared" si="55"/>
        <v/>
      </c>
      <c r="H724" s="29" t="str">
        <f t="shared" si="56"/>
        <v/>
      </c>
      <c r="I724" s="29" t="str">
        <f t="shared" si="57"/>
        <v/>
      </c>
      <c r="J724" s="29" t="str">
        <f t="shared" si="58"/>
        <v/>
      </c>
      <c r="K724" s="29" t="str">
        <f t="shared" si="59"/>
        <v/>
      </c>
    </row>
    <row r="725" spans="1:11" ht="15" x14ac:dyDescent="0.25">
      <c r="A725" s="1" t="str">
        <f>IF('1.1 Produksi Bersih Padi 2025'!A725="","",'1.1 Produksi Bersih Padi 2025'!A725)</f>
        <v/>
      </c>
      <c r="B725" s="31" t="str">
        <f>IF('1.1 Produksi Bersih Padi 2025'!B725="","",'1.1 Produksi Bersih Padi 2025'!B725)</f>
        <v/>
      </c>
      <c r="C725" s="31" t="str">
        <f>IF('1.1 Produksi Bersih Padi 2025'!C725="","",'1.1 Produksi Bersih Padi 2025'!C725)</f>
        <v/>
      </c>
      <c r="D725" s="1" t="str">
        <f>IF('1.1 Produksi Bersih Padi 2025'!D725="","",'1.1 Produksi Bersih Padi 2025'!D725)</f>
        <v/>
      </c>
      <c r="E725" s="1" t="str">
        <f>IF('1.1 Produksi Bersih Padi 2025'!E725="","",'1.1 Produksi Bersih Padi 2025'!E725)</f>
        <v/>
      </c>
      <c r="F725" s="28" t="str">
        <f>IF(D725="","",VLOOKUP(D725,'[1]0.1 Produksi Pangan &amp; Penduduk'!$D$5:$AK$860,34,0))</f>
        <v/>
      </c>
      <c r="G725" s="29" t="str">
        <f t="shared" si="55"/>
        <v/>
      </c>
      <c r="H725" s="29" t="str">
        <f t="shared" si="56"/>
        <v/>
      </c>
      <c r="I725" s="29" t="str">
        <f t="shared" si="57"/>
        <v/>
      </c>
      <c r="J725" s="29" t="str">
        <f t="shared" si="58"/>
        <v/>
      </c>
      <c r="K725" s="29" t="str">
        <f t="shared" si="59"/>
        <v/>
      </c>
    </row>
    <row r="726" spans="1:11" ht="15" x14ac:dyDescent="0.25">
      <c r="A726" s="1" t="str">
        <f>IF('1.1 Produksi Bersih Padi 2025'!A726="","",'1.1 Produksi Bersih Padi 2025'!A726)</f>
        <v/>
      </c>
      <c r="B726" s="31" t="str">
        <f>IF('1.1 Produksi Bersih Padi 2025'!B726="","",'1.1 Produksi Bersih Padi 2025'!B726)</f>
        <v/>
      </c>
      <c r="C726" s="31" t="str">
        <f>IF('1.1 Produksi Bersih Padi 2025'!C726="","",'1.1 Produksi Bersih Padi 2025'!C726)</f>
        <v/>
      </c>
      <c r="D726" s="1" t="str">
        <f>IF('1.1 Produksi Bersih Padi 2025'!D726="","",'1.1 Produksi Bersih Padi 2025'!D726)</f>
        <v/>
      </c>
      <c r="E726" s="1" t="str">
        <f>IF('1.1 Produksi Bersih Padi 2025'!E726="","",'1.1 Produksi Bersih Padi 2025'!E726)</f>
        <v/>
      </c>
      <c r="F726" s="28" t="str">
        <f>IF(D726="","",VLOOKUP(D726,'[1]0.1 Produksi Pangan &amp; Penduduk'!$D$5:$AK$860,34,0))</f>
        <v/>
      </c>
      <c r="G726" s="29" t="str">
        <f t="shared" si="55"/>
        <v/>
      </c>
      <c r="H726" s="29" t="str">
        <f t="shared" si="56"/>
        <v/>
      </c>
      <c r="I726" s="29" t="str">
        <f t="shared" si="57"/>
        <v/>
      </c>
      <c r="J726" s="29" t="str">
        <f t="shared" si="58"/>
        <v/>
      </c>
      <c r="K726" s="29" t="str">
        <f t="shared" si="59"/>
        <v/>
      </c>
    </row>
    <row r="727" spans="1:11" ht="15" x14ac:dyDescent="0.25">
      <c r="A727" s="1" t="str">
        <f>IF('1.1 Produksi Bersih Padi 2025'!A727="","",'1.1 Produksi Bersih Padi 2025'!A727)</f>
        <v/>
      </c>
      <c r="B727" s="31" t="str">
        <f>IF('1.1 Produksi Bersih Padi 2025'!B727="","",'1.1 Produksi Bersih Padi 2025'!B727)</f>
        <v/>
      </c>
      <c r="C727" s="31" t="str">
        <f>IF('1.1 Produksi Bersih Padi 2025'!C727="","",'1.1 Produksi Bersih Padi 2025'!C727)</f>
        <v/>
      </c>
      <c r="D727" s="1" t="str">
        <f>IF('1.1 Produksi Bersih Padi 2025'!D727="","",'1.1 Produksi Bersih Padi 2025'!D727)</f>
        <v/>
      </c>
      <c r="E727" s="1" t="str">
        <f>IF('1.1 Produksi Bersih Padi 2025'!E727="","",'1.1 Produksi Bersih Padi 2025'!E727)</f>
        <v/>
      </c>
      <c r="F727" s="28" t="str">
        <f>IF(D727="","",VLOOKUP(D727,'[1]0.1 Produksi Pangan &amp; Penduduk'!$D$5:$AK$860,34,0))</f>
        <v/>
      </c>
      <c r="G727" s="29" t="str">
        <f t="shared" si="55"/>
        <v/>
      </c>
      <c r="H727" s="29" t="str">
        <f t="shared" si="56"/>
        <v/>
      </c>
      <c r="I727" s="29" t="str">
        <f t="shared" si="57"/>
        <v/>
      </c>
      <c r="J727" s="29" t="str">
        <f t="shared" si="58"/>
        <v/>
      </c>
      <c r="K727" s="29" t="str">
        <f t="shared" si="59"/>
        <v/>
      </c>
    </row>
    <row r="728" spans="1:11" ht="15" x14ac:dyDescent="0.25">
      <c r="A728" s="1" t="str">
        <f>IF('1.1 Produksi Bersih Padi 2025'!A728="","",'1.1 Produksi Bersih Padi 2025'!A728)</f>
        <v/>
      </c>
      <c r="B728" s="31" t="str">
        <f>IF('1.1 Produksi Bersih Padi 2025'!B728="","",'1.1 Produksi Bersih Padi 2025'!B728)</f>
        <v/>
      </c>
      <c r="C728" s="31" t="str">
        <f>IF('1.1 Produksi Bersih Padi 2025'!C728="","",'1.1 Produksi Bersih Padi 2025'!C728)</f>
        <v/>
      </c>
      <c r="D728" s="1" t="str">
        <f>IF('1.1 Produksi Bersih Padi 2025'!D728="","",'1.1 Produksi Bersih Padi 2025'!D728)</f>
        <v/>
      </c>
      <c r="E728" s="1" t="str">
        <f>IF('1.1 Produksi Bersih Padi 2025'!E728="","",'1.1 Produksi Bersih Padi 2025'!E728)</f>
        <v/>
      </c>
      <c r="F728" s="28" t="str">
        <f>IF(D728="","",VLOOKUP(D728,'[1]0.1 Produksi Pangan &amp; Penduduk'!$D$5:$AK$860,34,0))</f>
        <v/>
      </c>
      <c r="G728" s="29" t="str">
        <f t="shared" si="55"/>
        <v/>
      </c>
      <c r="H728" s="29" t="str">
        <f t="shared" si="56"/>
        <v/>
      </c>
      <c r="I728" s="29" t="str">
        <f t="shared" si="57"/>
        <v/>
      </c>
      <c r="J728" s="29" t="str">
        <f t="shared" si="58"/>
        <v/>
      </c>
      <c r="K728" s="29" t="str">
        <f t="shared" si="59"/>
        <v/>
      </c>
    </row>
    <row r="729" spans="1:11" ht="15" x14ac:dyDescent="0.25">
      <c r="A729" s="1" t="str">
        <f>IF('1.1 Produksi Bersih Padi 2025'!A729="","",'1.1 Produksi Bersih Padi 2025'!A729)</f>
        <v/>
      </c>
      <c r="B729" s="31" t="str">
        <f>IF('1.1 Produksi Bersih Padi 2025'!B729="","",'1.1 Produksi Bersih Padi 2025'!B729)</f>
        <v/>
      </c>
      <c r="C729" s="31" t="str">
        <f>IF('1.1 Produksi Bersih Padi 2025'!C729="","",'1.1 Produksi Bersih Padi 2025'!C729)</f>
        <v/>
      </c>
      <c r="D729" s="1" t="str">
        <f>IF('1.1 Produksi Bersih Padi 2025'!D729="","",'1.1 Produksi Bersih Padi 2025'!D729)</f>
        <v/>
      </c>
      <c r="E729" s="1" t="str">
        <f>IF('1.1 Produksi Bersih Padi 2025'!E729="","",'1.1 Produksi Bersih Padi 2025'!E729)</f>
        <v/>
      </c>
      <c r="F729" s="28" t="str">
        <f>IF(D729="","",VLOOKUP(D729,'[1]0.1 Produksi Pangan &amp; Penduduk'!$D$5:$AK$860,34,0))</f>
        <v/>
      </c>
      <c r="G729" s="29" t="str">
        <f t="shared" si="55"/>
        <v/>
      </c>
      <c r="H729" s="29" t="str">
        <f t="shared" si="56"/>
        <v/>
      </c>
      <c r="I729" s="29" t="str">
        <f t="shared" si="57"/>
        <v/>
      </c>
      <c r="J729" s="29" t="str">
        <f t="shared" si="58"/>
        <v/>
      </c>
      <c r="K729" s="29" t="str">
        <f t="shared" si="59"/>
        <v/>
      </c>
    </row>
    <row r="730" spans="1:11" ht="15" x14ac:dyDescent="0.25">
      <c r="A730" s="1" t="str">
        <f>IF('1.1 Produksi Bersih Padi 2025'!A730="","",'1.1 Produksi Bersih Padi 2025'!A730)</f>
        <v/>
      </c>
      <c r="B730" s="31" t="str">
        <f>IF('1.1 Produksi Bersih Padi 2025'!B730="","",'1.1 Produksi Bersih Padi 2025'!B730)</f>
        <v/>
      </c>
      <c r="C730" s="31" t="str">
        <f>IF('1.1 Produksi Bersih Padi 2025'!C730="","",'1.1 Produksi Bersih Padi 2025'!C730)</f>
        <v/>
      </c>
      <c r="D730" s="1" t="str">
        <f>IF('1.1 Produksi Bersih Padi 2025'!D730="","",'1.1 Produksi Bersih Padi 2025'!D730)</f>
        <v/>
      </c>
      <c r="E730" s="1" t="str">
        <f>IF('1.1 Produksi Bersih Padi 2025'!E730="","",'1.1 Produksi Bersih Padi 2025'!E730)</f>
        <v/>
      </c>
      <c r="F730" s="28" t="str">
        <f>IF(D730="","",VLOOKUP(D730,'[1]0.1 Produksi Pangan &amp; Penduduk'!$D$5:$AK$860,34,0))</f>
        <v/>
      </c>
      <c r="G730" s="29" t="str">
        <f t="shared" si="55"/>
        <v/>
      </c>
      <c r="H730" s="29" t="str">
        <f t="shared" si="56"/>
        <v/>
      </c>
      <c r="I730" s="29" t="str">
        <f t="shared" si="57"/>
        <v/>
      </c>
      <c r="J730" s="29" t="str">
        <f t="shared" si="58"/>
        <v/>
      </c>
      <c r="K730" s="29" t="str">
        <f t="shared" si="59"/>
        <v/>
      </c>
    </row>
    <row r="731" spans="1:11" ht="15" x14ac:dyDescent="0.25">
      <c r="A731" s="1" t="str">
        <f>IF('1.1 Produksi Bersih Padi 2025'!A731="","",'1.1 Produksi Bersih Padi 2025'!A731)</f>
        <v/>
      </c>
      <c r="B731" s="31" t="str">
        <f>IF('1.1 Produksi Bersih Padi 2025'!B731="","",'1.1 Produksi Bersih Padi 2025'!B731)</f>
        <v/>
      </c>
      <c r="C731" s="31" t="str">
        <f>IF('1.1 Produksi Bersih Padi 2025'!C731="","",'1.1 Produksi Bersih Padi 2025'!C731)</f>
        <v/>
      </c>
      <c r="D731" s="1" t="str">
        <f>IF('1.1 Produksi Bersih Padi 2025'!D731="","",'1.1 Produksi Bersih Padi 2025'!D731)</f>
        <v/>
      </c>
      <c r="E731" s="1" t="str">
        <f>IF('1.1 Produksi Bersih Padi 2025'!E731="","",'1.1 Produksi Bersih Padi 2025'!E731)</f>
        <v/>
      </c>
      <c r="F731" s="28" t="str">
        <f>IF(D731="","",VLOOKUP(D731,'[1]0.1 Produksi Pangan &amp; Penduduk'!$D$5:$AK$860,34,0))</f>
        <v/>
      </c>
      <c r="G731" s="29" t="str">
        <f t="shared" si="55"/>
        <v/>
      </c>
      <c r="H731" s="29" t="str">
        <f t="shared" si="56"/>
        <v/>
      </c>
      <c r="I731" s="29" t="str">
        <f t="shared" si="57"/>
        <v/>
      </c>
      <c r="J731" s="29" t="str">
        <f t="shared" si="58"/>
        <v/>
      </c>
      <c r="K731" s="29" t="str">
        <f t="shared" si="59"/>
        <v/>
      </c>
    </row>
    <row r="732" spans="1:11" ht="15" x14ac:dyDescent="0.25">
      <c r="A732" s="1" t="str">
        <f>IF('1.1 Produksi Bersih Padi 2025'!A732="","",'1.1 Produksi Bersih Padi 2025'!A732)</f>
        <v/>
      </c>
      <c r="B732" s="31" t="str">
        <f>IF('1.1 Produksi Bersih Padi 2025'!B732="","",'1.1 Produksi Bersih Padi 2025'!B732)</f>
        <v/>
      </c>
      <c r="C732" s="31" t="str">
        <f>IF('1.1 Produksi Bersih Padi 2025'!C732="","",'1.1 Produksi Bersih Padi 2025'!C732)</f>
        <v/>
      </c>
      <c r="D732" s="1" t="str">
        <f>IF('1.1 Produksi Bersih Padi 2025'!D732="","",'1.1 Produksi Bersih Padi 2025'!D732)</f>
        <v/>
      </c>
      <c r="E732" s="1" t="str">
        <f>IF('1.1 Produksi Bersih Padi 2025'!E732="","",'1.1 Produksi Bersih Padi 2025'!E732)</f>
        <v/>
      </c>
      <c r="F732" s="28" t="str">
        <f>IF(D732="","",VLOOKUP(D732,'[1]0.1 Produksi Pangan &amp; Penduduk'!$D$5:$AK$860,34,0))</f>
        <v/>
      </c>
      <c r="G732" s="29" t="str">
        <f t="shared" si="55"/>
        <v/>
      </c>
      <c r="H732" s="29" t="str">
        <f t="shared" si="56"/>
        <v/>
      </c>
      <c r="I732" s="29" t="str">
        <f t="shared" si="57"/>
        <v/>
      </c>
      <c r="J732" s="29" t="str">
        <f t="shared" si="58"/>
        <v/>
      </c>
      <c r="K732" s="29" t="str">
        <f t="shared" si="59"/>
        <v/>
      </c>
    </row>
    <row r="733" spans="1:11" ht="15" x14ac:dyDescent="0.25">
      <c r="A733" s="1" t="str">
        <f>IF('1.1 Produksi Bersih Padi 2025'!A733="","",'1.1 Produksi Bersih Padi 2025'!A733)</f>
        <v/>
      </c>
      <c r="B733" s="31" t="str">
        <f>IF('1.1 Produksi Bersih Padi 2025'!B733="","",'1.1 Produksi Bersih Padi 2025'!B733)</f>
        <v/>
      </c>
      <c r="C733" s="31" t="str">
        <f>IF('1.1 Produksi Bersih Padi 2025'!C733="","",'1.1 Produksi Bersih Padi 2025'!C733)</f>
        <v/>
      </c>
      <c r="D733" s="1" t="str">
        <f>IF('1.1 Produksi Bersih Padi 2025'!D733="","",'1.1 Produksi Bersih Padi 2025'!D733)</f>
        <v/>
      </c>
      <c r="E733" s="1" t="str">
        <f>IF('1.1 Produksi Bersih Padi 2025'!E733="","",'1.1 Produksi Bersih Padi 2025'!E733)</f>
        <v/>
      </c>
      <c r="F733" s="28" t="str">
        <f>IF(D733="","",VLOOKUP(D733,'[1]0.1 Produksi Pangan &amp; Penduduk'!$D$5:$AK$860,34,0))</f>
        <v/>
      </c>
      <c r="G733" s="29" t="str">
        <f t="shared" si="55"/>
        <v/>
      </c>
      <c r="H733" s="29" t="str">
        <f t="shared" si="56"/>
        <v/>
      </c>
      <c r="I733" s="29" t="str">
        <f t="shared" si="57"/>
        <v/>
      </c>
      <c r="J733" s="29" t="str">
        <f t="shared" si="58"/>
        <v/>
      </c>
      <c r="K733" s="29" t="str">
        <f t="shared" si="59"/>
        <v/>
      </c>
    </row>
    <row r="734" spans="1:11" ht="15" x14ac:dyDescent="0.25">
      <c r="A734" s="1" t="str">
        <f>IF('1.1 Produksi Bersih Padi 2025'!A734="","",'1.1 Produksi Bersih Padi 2025'!A734)</f>
        <v/>
      </c>
      <c r="B734" s="31" t="str">
        <f>IF('1.1 Produksi Bersih Padi 2025'!B734="","",'1.1 Produksi Bersih Padi 2025'!B734)</f>
        <v/>
      </c>
      <c r="C734" s="31" t="str">
        <f>IF('1.1 Produksi Bersih Padi 2025'!C734="","",'1.1 Produksi Bersih Padi 2025'!C734)</f>
        <v/>
      </c>
      <c r="D734" s="1" t="str">
        <f>IF('1.1 Produksi Bersih Padi 2025'!D734="","",'1.1 Produksi Bersih Padi 2025'!D734)</f>
        <v/>
      </c>
      <c r="E734" s="1" t="str">
        <f>IF('1.1 Produksi Bersih Padi 2025'!E734="","",'1.1 Produksi Bersih Padi 2025'!E734)</f>
        <v/>
      </c>
      <c r="F734" s="28" t="str">
        <f>IF(D734="","",VLOOKUP(D734,'[1]0.1 Produksi Pangan &amp; Penduduk'!$D$5:$AK$860,34,0))</f>
        <v/>
      </c>
      <c r="G734" s="29" t="str">
        <f t="shared" si="55"/>
        <v/>
      </c>
      <c r="H734" s="29" t="str">
        <f t="shared" si="56"/>
        <v/>
      </c>
      <c r="I734" s="29" t="str">
        <f t="shared" si="57"/>
        <v/>
      </c>
      <c r="J734" s="29" t="str">
        <f t="shared" si="58"/>
        <v/>
      </c>
      <c r="K734" s="29" t="str">
        <f t="shared" si="59"/>
        <v/>
      </c>
    </row>
    <row r="735" spans="1:11" ht="15" x14ac:dyDescent="0.25">
      <c r="A735" s="1" t="str">
        <f>IF('1.1 Produksi Bersih Padi 2025'!A735="","",'1.1 Produksi Bersih Padi 2025'!A735)</f>
        <v/>
      </c>
      <c r="B735" s="31" t="str">
        <f>IF('1.1 Produksi Bersih Padi 2025'!B735="","",'1.1 Produksi Bersih Padi 2025'!B735)</f>
        <v/>
      </c>
      <c r="C735" s="31" t="str">
        <f>IF('1.1 Produksi Bersih Padi 2025'!C735="","",'1.1 Produksi Bersih Padi 2025'!C735)</f>
        <v/>
      </c>
      <c r="D735" s="1" t="str">
        <f>IF('1.1 Produksi Bersih Padi 2025'!D735="","",'1.1 Produksi Bersih Padi 2025'!D735)</f>
        <v/>
      </c>
      <c r="E735" s="1" t="str">
        <f>IF('1.1 Produksi Bersih Padi 2025'!E735="","",'1.1 Produksi Bersih Padi 2025'!E735)</f>
        <v/>
      </c>
      <c r="F735" s="28" t="str">
        <f>IF(D735="","",VLOOKUP(D735,'[1]0.1 Produksi Pangan &amp; Penduduk'!$D$5:$AK$860,34,0))</f>
        <v/>
      </c>
      <c r="G735" s="29" t="str">
        <f t="shared" si="55"/>
        <v/>
      </c>
      <c r="H735" s="29" t="str">
        <f t="shared" si="56"/>
        <v/>
      </c>
      <c r="I735" s="29" t="str">
        <f t="shared" si="57"/>
        <v/>
      </c>
      <c r="J735" s="29" t="str">
        <f t="shared" si="58"/>
        <v/>
      </c>
      <c r="K735" s="29" t="str">
        <f t="shared" si="59"/>
        <v/>
      </c>
    </row>
    <row r="736" spans="1:11" ht="15" x14ac:dyDescent="0.25">
      <c r="A736" s="1" t="str">
        <f>IF('1.1 Produksi Bersih Padi 2025'!A736="","",'1.1 Produksi Bersih Padi 2025'!A736)</f>
        <v/>
      </c>
      <c r="B736" s="31" t="str">
        <f>IF('1.1 Produksi Bersih Padi 2025'!B736="","",'1.1 Produksi Bersih Padi 2025'!B736)</f>
        <v/>
      </c>
      <c r="C736" s="31" t="str">
        <f>IF('1.1 Produksi Bersih Padi 2025'!C736="","",'1.1 Produksi Bersih Padi 2025'!C736)</f>
        <v/>
      </c>
      <c r="D736" s="1" t="str">
        <f>IF('1.1 Produksi Bersih Padi 2025'!D736="","",'1.1 Produksi Bersih Padi 2025'!D736)</f>
        <v/>
      </c>
      <c r="E736" s="1" t="str">
        <f>IF('1.1 Produksi Bersih Padi 2025'!E736="","",'1.1 Produksi Bersih Padi 2025'!E736)</f>
        <v/>
      </c>
      <c r="F736" s="28" t="str">
        <f>IF(D736="","",VLOOKUP(D736,'[1]0.1 Produksi Pangan &amp; Penduduk'!$D$5:$AK$860,34,0))</f>
        <v/>
      </c>
      <c r="G736" s="29" t="str">
        <f t="shared" si="55"/>
        <v/>
      </c>
      <c r="H736" s="29" t="str">
        <f t="shared" si="56"/>
        <v/>
      </c>
      <c r="I736" s="29" t="str">
        <f t="shared" si="57"/>
        <v/>
      </c>
      <c r="J736" s="29" t="str">
        <f t="shared" si="58"/>
        <v/>
      </c>
      <c r="K736" s="29" t="str">
        <f t="shared" si="59"/>
        <v/>
      </c>
    </row>
    <row r="737" spans="1:11" ht="15" x14ac:dyDescent="0.25">
      <c r="A737" s="1" t="str">
        <f>IF('1.1 Produksi Bersih Padi 2025'!A737="","",'1.1 Produksi Bersih Padi 2025'!A737)</f>
        <v/>
      </c>
      <c r="B737" s="31" t="str">
        <f>IF('1.1 Produksi Bersih Padi 2025'!B737="","",'1.1 Produksi Bersih Padi 2025'!B737)</f>
        <v/>
      </c>
      <c r="C737" s="31" t="str">
        <f>IF('1.1 Produksi Bersih Padi 2025'!C737="","",'1.1 Produksi Bersih Padi 2025'!C737)</f>
        <v/>
      </c>
      <c r="D737" s="1" t="str">
        <f>IF('1.1 Produksi Bersih Padi 2025'!D737="","",'1.1 Produksi Bersih Padi 2025'!D737)</f>
        <v/>
      </c>
      <c r="E737" s="1" t="str">
        <f>IF('1.1 Produksi Bersih Padi 2025'!E737="","",'1.1 Produksi Bersih Padi 2025'!E737)</f>
        <v/>
      </c>
      <c r="F737" s="28" t="str">
        <f>IF(D737="","",VLOOKUP(D737,'[1]0.1 Produksi Pangan &amp; Penduduk'!$D$5:$AK$860,34,0))</f>
        <v/>
      </c>
      <c r="G737" s="29" t="str">
        <f t="shared" si="55"/>
        <v/>
      </c>
      <c r="H737" s="29" t="str">
        <f t="shared" si="56"/>
        <v/>
      </c>
      <c r="I737" s="29" t="str">
        <f t="shared" si="57"/>
        <v/>
      </c>
      <c r="J737" s="29" t="str">
        <f t="shared" si="58"/>
        <v/>
      </c>
      <c r="K737" s="29" t="str">
        <f t="shared" si="59"/>
        <v/>
      </c>
    </row>
    <row r="738" spans="1:11" ht="15" x14ac:dyDescent="0.25">
      <c r="A738" s="1" t="str">
        <f>IF('1.1 Produksi Bersih Padi 2025'!A738="","",'1.1 Produksi Bersih Padi 2025'!A738)</f>
        <v/>
      </c>
      <c r="B738" s="31" t="str">
        <f>IF('1.1 Produksi Bersih Padi 2025'!B738="","",'1.1 Produksi Bersih Padi 2025'!B738)</f>
        <v/>
      </c>
      <c r="C738" s="31" t="str">
        <f>IF('1.1 Produksi Bersih Padi 2025'!C738="","",'1.1 Produksi Bersih Padi 2025'!C738)</f>
        <v/>
      </c>
      <c r="D738" s="1" t="str">
        <f>IF('1.1 Produksi Bersih Padi 2025'!D738="","",'1.1 Produksi Bersih Padi 2025'!D738)</f>
        <v/>
      </c>
      <c r="E738" s="1" t="str">
        <f>IF('1.1 Produksi Bersih Padi 2025'!E738="","",'1.1 Produksi Bersih Padi 2025'!E738)</f>
        <v/>
      </c>
      <c r="F738" s="28" t="str">
        <f>IF(D738="","",VLOOKUP(D738,'[1]0.1 Produksi Pangan &amp; Penduduk'!$D$5:$AK$860,34,0))</f>
        <v/>
      </c>
      <c r="G738" s="29" t="str">
        <f t="shared" si="55"/>
        <v/>
      </c>
      <c r="H738" s="29" t="str">
        <f t="shared" si="56"/>
        <v/>
      </c>
      <c r="I738" s="29" t="str">
        <f t="shared" si="57"/>
        <v/>
      </c>
      <c r="J738" s="29" t="str">
        <f t="shared" si="58"/>
        <v/>
      </c>
      <c r="K738" s="29" t="str">
        <f t="shared" si="59"/>
        <v/>
      </c>
    </row>
    <row r="739" spans="1:11" ht="15" x14ac:dyDescent="0.25">
      <c r="A739" s="1" t="str">
        <f>IF('1.1 Produksi Bersih Padi 2025'!A739="","",'1.1 Produksi Bersih Padi 2025'!A739)</f>
        <v/>
      </c>
      <c r="B739" s="31" t="str">
        <f>IF('1.1 Produksi Bersih Padi 2025'!B739="","",'1.1 Produksi Bersih Padi 2025'!B739)</f>
        <v/>
      </c>
      <c r="C739" s="31" t="str">
        <f>IF('1.1 Produksi Bersih Padi 2025'!C739="","",'1.1 Produksi Bersih Padi 2025'!C739)</f>
        <v/>
      </c>
      <c r="D739" s="1" t="str">
        <f>IF('1.1 Produksi Bersih Padi 2025'!D739="","",'1.1 Produksi Bersih Padi 2025'!D739)</f>
        <v/>
      </c>
      <c r="E739" s="1" t="str">
        <f>IF('1.1 Produksi Bersih Padi 2025'!E739="","",'1.1 Produksi Bersih Padi 2025'!E739)</f>
        <v/>
      </c>
      <c r="F739" s="28" t="str">
        <f>IF(D739="","",VLOOKUP(D739,'[1]0.1 Produksi Pangan &amp; Penduduk'!$D$5:$AK$860,34,0))</f>
        <v/>
      </c>
      <c r="G739" s="29" t="str">
        <f t="shared" si="55"/>
        <v/>
      </c>
      <c r="H739" s="29" t="str">
        <f t="shared" si="56"/>
        <v/>
      </c>
      <c r="I739" s="29" t="str">
        <f t="shared" si="57"/>
        <v/>
      </c>
      <c r="J739" s="29" t="str">
        <f t="shared" si="58"/>
        <v/>
      </c>
      <c r="K739" s="29" t="str">
        <f t="shared" si="59"/>
        <v/>
      </c>
    </row>
    <row r="740" spans="1:11" ht="15" x14ac:dyDescent="0.25">
      <c r="A740" s="1" t="str">
        <f>IF('1.1 Produksi Bersih Padi 2025'!A740="","",'1.1 Produksi Bersih Padi 2025'!A740)</f>
        <v/>
      </c>
      <c r="B740" s="31" t="str">
        <f>IF('1.1 Produksi Bersih Padi 2025'!B740="","",'1.1 Produksi Bersih Padi 2025'!B740)</f>
        <v/>
      </c>
      <c r="C740" s="31" t="str">
        <f>IF('1.1 Produksi Bersih Padi 2025'!C740="","",'1.1 Produksi Bersih Padi 2025'!C740)</f>
        <v/>
      </c>
      <c r="D740" s="1" t="str">
        <f>IF('1.1 Produksi Bersih Padi 2025'!D740="","",'1.1 Produksi Bersih Padi 2025'!D740)</f>
        <v/>
      </c>
      <c r="E740" s="1" t="str">
        <f>IF('1.1 Produksi Bersih Padi 2025'!E740="","",'1.1 Produksi Bersih Padi 2025'!E740)</f>
        <v/>
      </c>
      <c r="F740" s="28" t="str">
        <f>IF(D740="","",VLOOKUP(D740,'[1]0.1 Produksi Pangan &amp; Penduduk'!$D$5:$AK$860,34,0))</f>
        <v/>
      </c>
      <c r="G740" s="29" t="str">
        <f t="shared" si="55"/>
        <v/>
      </c>
      <c r="H740" s="29" t="str">
        <f t="shared" si="56"/>
        <v/>
      </c>
      <c r="I740" s="29" t="str">
        <f t="shared" si="57"/>
        <v/>
      </c>
      <c r="J740" s="29" t="str">
        <f t="shared" si="58"/>
        <v/>
      </c>
      <c r="K740" s="29" t="str">
        <f t="shared" si="59"/>
        <v/>
      </c>
    </row>
    <row r="741" spans="1:11" ht="15" x14ac:dyDescent="0.25">
      <c r="A741" s="1" t="str">
        <f>IF('1.1 Produksi Bersih Padi 2025'!A741="","",'1.1 Produksi Bersih Padi 2025'!A741)</f>
        <v/>
      </c>
      <c r="B741" s="31" t="str">
        <f>IF('1.1 Produksi Bersih Padi 2025'!B741="","",'1.1 Produksi Bersih Padi 2025'!B741)</f>
        <v/>
      </c>
      <c r="C741" s="31" t="str">
        <f>IF('1.1 Produksi Bersih Padi 2025'!C741="","",'1.1 Produksi Bersih Padi 2025'!C741)</f>
        <v/>
      </c>
      <c r="D741" s="1" t="str">
        <f>IF('1.1 Produksi Bersih Padi 2025'!D741="","",'1.1 Produksi Bersih Padi 2025'!D741)</f>
        <v/>
      </c>
      <c r="E741" s="1" t="str">
        <f>IF('1.1 Produksi Bersih Padi 2025'!E741="","",'1.1 Produksi Bersih Padi 2025'!E741)</f>
        <v/>
      </c>
      <c r="F741" s="28" t="str">
        <f>IF(D741="","",VLOOKUP(D741,'[1]0.1 Produksi Pangan &amp; Penduduk'!$D$5:$AK$860,34,0))</f>
        <v/>
      </c>
      <c r="G741" s="29" t="str">
        <f t="shared" si="55"/>
        <v/>
      </c>
      <c r="H741" s="29" t="str">
        <f t="shared" si="56"/>
        <v/>
      </c>
      <c r="I741" s="29" t="str">
        <f t="shared" si="57"/>
        <v/>
      </c>
      <c r="J741" s="29" t="str">
        <f t="shared" si="58"/>
        <v/>
      </c>
      <c r="K741" s="29" t="str">
        <f t="shared" si="59"/>
        <v/>
      </c>
    </row>
    <row r="742" spans="1:11" ht="15" x14ac:dyDescent="0.25">
      <c r="A742" s="1" t="str">
        <f>IF('1.1 Produksi Bersih Padi 2025'!A742="","",'1.1 Produksi Bersih Padi 2025'!A742)</f>
        <v/>
      </c>
      <c r="B742" s="31" t="str">
        <f>IF('1.1 Produksi Bersih Padi 2025'!B742="","",'1.1 Produksi Bersih Padi 2025'!B742)</f>
        <v/>
      </c>
      <c r="C742" s="31" t="str">
        <f>IF('1.1 Produksi Bersih Padi 2025'!C742="","",'1.1 Produksi Bersih Padi 2025'!C742)</f>
        <v/>
      </c>
      <c r="D742" s="1" t="str">
        <f>IF('1.1 Produksi Bersih Padi 2025'!D742="","",'1.1 Produksi Bersih Padi 2025'!D742)</f>
        <v/>
      </c>
      <c r="E742" s="1" t="str">
        <f>IF('1.1 Produksi Bersih Padi 2025'!E742="","",'1.1 Produksi Bersih Padi 2025'!E742)</f>
        <v/>
      </c>
      <c r="F742" s="28" t="str">
        <f>IF(D742="","",VLOOKUP(D742,'[1]0.1 Produksi Pangan &amp; Penduduk'!$D$5:$AK$860,34,0))</f>
        <v/>
      </c>
      <c r="G742" s="29" t="str">
        <f t="shared" si="55"/>
        <v/>
      </c>
      <c r="H742" s="29" t="str">
        <f t="shared" si="56"/>
        <v/>
      </c>
      <c r="I742" s="29" t="str">
        <f t="shared" si="57"/>
        <v/>
      </c>
      <c r="J742" s="29" t="str">
        <f t="shared" si="58"/>
        <v/>
      </c>
      <c r="K742" s="29" t="str">
        <f t="shared" si="59"/>
        <v/>
      </c>
    </row>
    <row r="743" spans="1:11" ht="15" x14ac:dyDescent="0.25">
      <c r="A743" s="1" t="str">
        <f>IF('1.1 Produksi Bersih Padi 2025'!A743="","",'1.1 Produksi Bersih Padi 2025'!A743)</f>
        <v/>
      </c>
      <c r="B743" s="31" t="str">
        <f>IF('1.1 Produksi Bersih Padi 2025'!B743="","",'1.1 Produksi Bersih Padi 2025'!B743)</f>
        <v/>
      </c>
      <c r="C743" s="31" t="str">
        <f>IF('1.1 Produksi Bersih Padi 2025'!C743="","",'1.1 Produksi Bersih Padi 2025'!C743)</f>
        <v/>
      </c>
      <c r="D743" s="1" t="str">
        <f>IF('1.1 Produksi Bersih Padi 2025'!D743="","",'1.1 Produksi Bersih Padi 2025'!D743)</f>
        <v/>
      </c>
      <c r="E743" s="1" t="str">
        <f>IF('1.1 Produksi Bersih Padi 2025'!E743="","",'1.1 Produksi Bersih Padi 2025'!E743)</f>
        <v/>
      </c>
      <c r="F743" s="28" t="str">
        <f>IF(D743="","",VLOOKUP(D743,'[1]0.1 Produksi Pangan &amp; Penduduk'!$D$5:$AK$860,34,0))</f>
        <v/>
      </c>
      <c r="G743" s="29" t="str">
        <f t="shared" si="55"/>
        <v/>
      </c>
      <c r="H743" s="29" t="str">
        <f t="shared" si="56"/>
        <v/>
      </c>
      <c r="I743" s="29" t="str">
        <f t="shared" si="57"/>
        <v/>
      </c>
      <c r="J743" s="29" t="str">
        <f t="shared" si="58"/>
        <v/>
      </c>
      <c r="K743" s="29" t="str">
        <f t="shared" si="59"/>
        <v/>
      </c>
    </row>
    <row r="744" spans="1:11" ht="15" x14ac:dyDescent="0.25">
      <c r="A744" s="1" t="str">
        <f>IF('1.1 Produksi Bersih Padi 2025'!A744="","",'1.1 Produksi Bersih Padi 2025'!A744)</f>
        <v/>
      </c>
      <c r="B744" s="31" t="str">
        <f>IF('1.1 Produksi Bersih Padi 2025'!B744="","",'1.1 Produksi Bersih Padi 2025'!B744)</f>
        <v/>
      </c>
      <c r="C744" s="31" t="str">
        <f>IF('1.1 Produksi Bersih Padi 2025'!C744="","",'1.1 Produksi Bersih Padi 2025'!C744)</f>
        <v/>
      </c>
      <c r="D744" s="1" t="str">
        <f>IF('1.1 Produksi Bersih Padi 2025'!D744="","",'1.1 Produksi Bersih Padi 2025'!D744)</f>
        <v/>
      </c>
      <c r="E744" s="1" t="str">
        <f>IF('1.1 Produksi Bersih Padi 2025'!E744="","",'1.1 Produksi Bersih Padi 2025'!E744)</f>
        <v/>
      </c>
      <c r="F744" s="28" t="str">
        <f>IF(D744="","",VLOOKUP(D744,'[1]0.1 Produksi Pangan &amp; Penduduk'!$D$5:$AK$860,34,0))</f>
        <v/>
      </c>
      <c r="G744" s="29" t="str">
        <f t="shared" si="55"/>
        <v/>
      </c>
      <c r="H744" s="29" t="str">
        <f t="shared" si="56"/>
        <v/>
      </c>
      <c r="I744" s="29" t="str">
        <f t="shared" si="57"/>
        <v/>
      </c>
      <c r="J744" s="29" t="str">
        <f t="shared" si="58"/>
        <v/>
      </c>
      <c r="K744" s="29" t="str">
        <f t="shared" si="59"/>
        <v/>
      </c>
    </row>
    <row r="745" spans="1:11" ht="15" x14ac:dyDescent="0.25">
      <c r="A745" s="1" t="str">
        <f>IF('1.1 Produksi Bersih Padi 2025'!A745="","",'1.1 Produksi Bersih Padi 2025'!A745)</f>
        <v/>
      </c>
      <c r="B745" s="31" t="str">
        <f>IF('1.1 Produksi Bersih Padi 2025'!B745="","",'1.1 Produksi Bersih Padi 2025'!B745)</f>
        <v/>
      </c>
      <c r="C745" s="31" t="str">
        <f>IF('1.1 Produksi Bersih Padi 2025'!C745="","",'1.1 Produksi Bersih Padi 2025'!C745)</f>
        <v/>
      </c>
      <c r="D745" s="1" t="str">
        <f>IF('1.1 Produksi Bersih Padi 2025'!D745="","",'1.1 Produksi Bersih Padi 2025'!D745)</f>
        <v/>
      </c>
      <c r="E745" s="1" t="str">
        <f>IF('1.1 Produksi Bersih Padi 2025'!E745="","",'1.1 Produksi Bersih Padi 2025'!E745)</f>
        <v/>
      </c>
      <c r="F745" s="28" t="str">
        <f>IF(D745="","",VLOOKUP(D745,'[1]0.1 Produksi Pangan &amp; Penduduk'!$D$5:$AK$860,34,0))</f>
        <v/>
      </c>
      <c r="G745" s="29" t="str">
        <f t="shared" si="55"/>
        <v/>
      </c>
      <c r="H745" s="29" t="str">
        <f t="shared" si="56"/>
        <v/>
      </c>
      <c r="I745" s="29" t="str">
        <f t="shared" si="57"/>
        <v/>
      </c>
      <c r="J745" s="29" t="str">
        <f t="shared" si="58"/>
        <v/>
      </c>
      <c r="K745" s="29" t="str">
        <f t="shared" si="59"/>
        <v/>
      </c>
    </row>
    <row r="746" spans="1:11" ht="15" x14ac:dyDescent="0.25">
      <c r="A746" s="1" t="str">
        <f>IF('1.1 Produksi Bersih Padi 2025'!A746="","",'1.1 Produksi Bersih Padi 2025'!A746)</f>
        <v/>
      </c>
      <c r="B746" s="31" t="str">
        <f>IF('1.1 Produksi Bersih Padi 2025'!B746="","",'1.1 Produksi Bersih Padi 2025'!B746)</f>
        <v/>
      </c>
      <c r="C746" s="31" t="str">
        <f>IF('1.1 Produksi Bersih Padi 2025'!C746="","",'1.1 Produksi Bersih Padi 2025'!C746)</f>
        <v/>
      </c>
      <c r="D746" s="1" t="str">
        <f>IF('1.1 Produksi Bersih Padi 2025'!D746="","",'1.1 Produksi Bersih Padi 2025'!D746)</f>
        <v/>
      </c>
      <c r="E746" s="1" t="str">
        <f>IF('1.1 Produksi Bersih Padi 2025'!E746="","",'1.1 Produksi Bersih Padi 2025'!E746)</f>
        <v/>
      </c>
      <c r="F746" s="28" t="str">
        <f>IF(D746="","",VLOOKUP(D746,'[1]0.1 Produksi Pangan &amp; Penduduk'!$D$5:$AK$860,34,0))</f>
        <v/>
      </c>
      <c r="G746" s="29" t="str">
        <f t="shared" si="55"/>
        <v/>
      </c>
      <c r="H746" s="29" t="str">
        <f t="shared" si="56"/>
        <v/>
      </c>
      <c r="I746" s="29" t="str">
        <f t="shared" si="57"/>
        <v/>
      </c>
      <c r="J746" s="29" t="str">
        <f t="shared" si="58"/>
        <v/>
      </c>
      <c r="K746" s="29" t="str">
        <f t="shared" si="59"/>
        <v/>
      </c>
    </row>
    <row r="747" spans="1:11" ht="15" x14ac:dyDescent="0.25">
      <c r="A747" s="1" t="str">
        <f>IF('1.1 Produksi Bersih Padi 2025'!A747="","",'1.1 Produksi Bersih Padi 2025'!A747)</f>
        <v/>
      </c>
      <c r="B747" s="31" t="str">
        <f>IF('1.1 Produksi Bersih Padi 2025'!B747="","",'1.1 Produksi Bersih Padi 2025'!B747)</f>
        <v/>
      </c>
      <c r="C747" s="31" t="str">
        <f>IF('1.1 Produksi Bersih Padi 2025'!C747="","",'1.1 Produksi Bersih Padi 2025'!C747)</f>
        <v/>
      </c>
      <c r="D747" s="1" t="str">
        <f>IF('1.1 Produksi Bersih Padi 2025'!D747="","",'1.1 Produksi Bersih Padi 2025'!D747)</f>
        <v/>
      </c>
      <c r="E747" s="1" t="str">
        <f>IF('1.1 Produksi Bersih Padi 2025'!E747="","",'1.1 Produksi Bersih Padi 2025'!E747)</f>
        <v/>
      </c>
      <c r="F747" s="28" t="str">
        <f>IF(D747="","",VLOOKUP(D747,'[1]0.1 Produksi Pangan &amp; Penduduk'!$D$5:$AK$860,34,0))</f>
        <v/>
      </c>
      <c r="G747" s="29" t="str">
        <f t="shared" si="55"/>
        <v/>
      </c>
      <c r="H747" s="29" t="str">
        <f t="shared" si="56"/>
        <v/>
      </c>
      <c r="I747" s="29" t="str">
        <f t="shared" si="57"/>
        <v/>
      </c>
      <c r="J747" s="29" t="str">
        <f t="shared" si="58"/>
        <v/>
      </c>
      <c r="K747" s="29" t="str">
        <f t="shared" si="59"/>
        <v/>
      </c>
    </row>
    <row r="748" spans="1:11" ht="15" x14ac:dyDescent="0.25">
      <c r="A748" s="1" t="str">
        <f>IF('1.1 Produksi Bersih Padi 2025'!A748="","",'1.1 Produksi Bersih Padi 2025'!A748)</f>
        <v/>
      </c>
      <c r="B748" s="31" t="str">
        <f>IF('1.1 Produksi Bersih Padi 2025'!B748="","",'1.1 Produksi Bersih Padi 2025'!B748)</f>
        <v/>
      </c>
      <c r="C748" s="31" t="str">
        <f>IF('1.1 Produksi Bersih Padi 2025'!C748="","",'1.1 Produksi Bersih Padi 2025'!C748)</f>
        <v/>
      </c>
      <c r="D748" s="1" t="str">
        <f>IF('1.1 Produksi Bersih Padi 2025'!D748="","",'1.1 Produksi Bersih Padi 2025'!D748)</f>
        <v/>
      </c>
      <c r="E748" s="1" t="str">
        <f>IF('1.1 Produksi Bersih Padi 2025'!E748="","",'1.1 Produksi Bersih Padi 2025'!E748)</f>
        <v/>
      </c>
      <c r="F748" s="28" t="str">
        <f>IF(D748="","",VLOOKUP(D748,'[1]0.1 Produksi Pangan &amp; Penduduk'!$D$5:$AK$860,34,0))</f>
        <v/>
      </c>
      <c r="G748" s="29" t="str">
        <f t="shared" si="55"/>
        <v/>
      </c>
      <c r="H748" s="29" t="str">
        <f t="shared" si="56"/>
        <v/>
      </c>
      <c r="I748" s="29" t="str">
        <f t="shared" si="57"/>
        <v/>
      </c>
      <c r="J748" s="29" t="str">
        <f t="shared" si="58"/>
        <v/>
      </c>
      <c r="K748" s="29" t="str">
        <f t="shared" si="59"/>
        <v/>
      </c>
    </row>
    <row r="749" spans="1:11" ht="15" x14ac:dyDescent="0.25">
      <c r="A749" s="1" t="str">
        <f>IF('1.1 Produksi Bersih Padi 2025'!A749="","",'1.1 Produksi Bersih Padi 2025'!A749)</f>
        <v/>
      </c>
      <c r="B749" s="31" t="str">
        <f>IF('1.1 Produksi Bersih Padi 2025'!B749="","",'1.1 Produksi Bersih Padi 2025'!B749)</f>
        <v/>
      </c>
      <c r="C749" s="31" t="str">
        <f>IF('1.1 Produksi Bersih Padi 2025'!C749="","",'1.1 Produksi Bersih Padi 2025'!C749)</f>
        <v/>
      </c>
      <c r="D749" s="1" t="str">
        <f>IF('1.1 Produksi Bersih Padi 2025'!D749="","",'1.1 Produksi Bersih Padi 2025'!D749)</f>
        <v/>
      </c>
      <c r="E749" s="1" t="str">
        <f>IF('1.1 Produksi Bersih Padi 2025'!E749="","",'1.1 Produksi Bersih Padi 2025'!E749)</f>
        <v/>
      </c>
      <c r="F749" s="28" t="str">
        <f>IF(D749="","",VLOOKUP(D749,'[1]0.1 Produksi Pangan &amp; Penduduk'!$D$5:$AK$860,34,0))</f>
        <v/>
      </c>
      <c r="G749" s="29" t="str">
        <f t="shared" si="55"/>
        <v/>
      </c>
      <c r="H749" s="29" t="str">
        <f t="shared" si="56"/>
        <v/>
      </c>
      <c r="I749" s="29" t="str">
        <f t="shared" si="57"/>
        <v/>
      </c>
      <c r="J749" s="29" t="str">
        <f t="shared" si="58"/>
        <v/>
      </c>
      <c r="K749" s="29" t="str">
        <f t="shared" si="59"/>
        <v/>
      </c>
    </row>
    <row r="750" spans="1:11" ht="15" x14ac:dyDescent="0.25">
      <c r="A750" s="1" t="str">
        <f>IF('1.1 Produksi Bersih Padi 2025'!A750="","",'1.1 Produksi Bersih Padi 2025'!A750)</f>
        <v/>
      </c>
      <c r="B750" s="31" t="str">
        <f>IF('1.1 Produksi Bersih Padi 2025'!B750="","",'1.1 Produksi Bersih Padi 2025'!B750)</f>
        <v/>
      </c>
      <c r="C750" s="31" t="str">
        <f>IF('1.1 Produksi Bersih Padi 2025'!C750="","",'1.1 Produksi Bersih Padi 2025'!C750)</f>
        <v/>
      </c>
      <c r="D750" s="1" t="str">
        <f>IF('1.1 Produksi Bersih Padi 2025'!D750="","",'1.1 Produksi Bersih Padi 2025'!D750)</f>
        <v/>
      </c>
      <c r="E750" s="1" t="str">
        <f>IF('1.1 Produksi Bersih Padi 2025'!E750="","",'1.1 Produksi Bersih Padi 2025'!E750)</f>
        <v/>
      </c>
      <c r="F750" s="28" t="str">
        <f>IF(D750="","",VLOOKUP(D750,'[1]0.1 Produksi Pangan &amp; Penduduk'!$D$5:$AK$860,34,0))</f>
        <v/>
      </c>
      <c r="G750" s="29" t="str">
        <f t="shared" si="55"/>
        <v/>
      </c>
      <c r="H750" s="29" t="str">
        <f t="shared" si="56"/>
        <v/>
      </c>
      <c r="I750" s="29" t="str">
        <f t="shared" si="57"/>
        <v/>
      </c>
      <c r="J750" s="29" t="str">
        <f t="shared" si="58"/>
        <v/>
      </c>
      <c r="K750" s="29" t="str">
        <f t="shared" si="59"/>
        <v/>
      </c>
    </row>
    <row r="751" spans="1:11" ht="15" x14ac:dyDescent="0.25">
      <c r="A751" s="1" t="str">
        <f>IF('1.1 Produksi Bersih Padi 2025'!A751="","",'1.1 Produksi Bersih Padi 2025'!A751)</f>
        <v/>
      </c>
      <c r="B751" s="31" t="str">
        <f>IF('1.1 Produksi Bersih Padi 2025'!B751="","",'1.1 Produksi Bersih Padi 2025'!B751)</f>
        <v/>
      </c>
      <c r="C751" s="31" t="str">
        <f>IF('1.1 Produksi Bersih Padi 2025'!C751="","",'1.1 Produksi Bersih Padi 2025'!C751)</f>
        <v/>
      </c>
      <c r="D751" s="1" t="str">
        <f>IF('1.1 Produksi Bersih Padi 2025'!D751="","",'1.1 Produksi Bersih Padi 2025'!D751)</f>
        <v/>
      </c>
      <c r="E751" s="1" t="str">
        <f>IF('1.1 Produksi Bersih Padi 2025'!E751="","",'1.1 Produksi Bersih Padi 2025'!E751)</f>
        <v/>
      </c>
      <c r="F751" s="28" t="str">
        <f>IF(D751="","",VLOOKUP(D751,'[1]0.1 Produksi Pangan &amp; Penduduk'!$D$5:$AK$860,34,0))</f>
        <v/>
      </c>
      <c r="G751" s="29" t="str">
        <f t="shared" si="55"/>
        <v/>
      </c>
      <c r="H751" s="29" t="str">
        <f t="shared" si="56"/>
        <v/>
      </c>
      <c r="I751" s="29" t="str">
        <f t="shared" si="57"/>
        <v/>
      </c>
      <c r="J751" s="29" t="str">
        <f t="shared" si="58"/>
        <v/>
      </c>
      <c r="K751" s="29" t="str">
        <f t="shared" si="59"/>
        <v/>
      </c>
    </row>
    <row r="752" spans="1:11" ht="15" x14ac:dyDescent="0.25">
      <c r="A752" s="1" t="str">
        <f>IF('1.1 Produksi Bersih Padi 2025'!A752="","",'1.1 Produksi Bersih Padi 2025'!A752)</f>
        <v/>
      </c>
      <c r="B752" s="31" t="str">
        <f>IF('1.1 Produksi Bersih Padi 2025'!B752="","",'1.1 Produksi Bersih Padi 2025'!B752)</f>
        <v/>
      </c>
      <c r="C752" s="31" t="str">
        <f>IF('1.1 Produksi Bersih Padi 2025'!C752="","",'1.1 Produksi Bersih Padi 2025'!C752)</f>
        <v/>
      </c>
      <c r="D752" s="1" t="str">
        <f>IF('1.1 Produksi Bersih Padi 2025'!D752="","",'1.1 Produksi Bersih Padi 2025'!D752)</f>
        <v/>
      </c>
      <c r="E752" s="1" t="str">
        <f>IF('1.1 Produksi Bersih Padi 2025'!E752="","",'1.1 Produksi Bersih Padi 2025'!E752)</f>
        <v/>
      </c>
      <c r="F752" s="28" t="str">
        <f>IF(D752="","",VLOOKUP(D752,'[1]0.1 Produksi Pangan &amp; Penduduk'!$D$5:$AK$860,34,0))</f>
        <v/>
      </c>
      <c r="G752" s="29" t="str">
        <f t="shared" si="55"/>
        <v/>
      </c>
      <c r="H752" s="29" t="str">
        <f t="shared" si="56"/>
        <v/>
      </c>
      <c r="I752" s="29" t="str">
        <f t="shared" si="57"/>
        <v/>
      </c>
      <c r="J752" s="29" t="str">
        <f t="shared" si="58"/>
        <v/>
      </c>
      <c r="K752" s="29" t="str">
        <f t="shared" si="59"/>
        <v/>
      </c>
    </row>
    <row r="753" spans="1:11" ht="15" x14ac:dyDescent="0.25">
      <c r="A753" s="1" t="str">
        <f>IF('1.1 Produksi Bersih Padi 2025'!A753="","",'1.1 Produksi Bersih Padi 2025'!A753)</f>
        <v/>
      </c>
      <c r="B753" s="31" t="str">
        <f>IF('1.1 Produksi Bersih Padi 2025'!B753="","",'1.1 Produksi Bersih Padi 2025'!B753)</f>
        <v/>
      </c>
      <c r="C753" s="31" t="str">
        <f>IF('1.1 Produksi Bersih Padi 2025'!C753="","",'1.1 Produksi Bersih Padi 2025'!C753)</f>
        <v/>
      </c>
      <c r="D753" s="1" t="str">
        <f>IF('1.1 Produksi Bersih Padi 2025'!D753="","",'1.1 Produksi Bersih Padi 2025'!D753)</f>
        <v/>
      </c>
      <c r="E753" s="1" t="str">
        <f>IF('1.1 Produksi Bersih Padi 2025'!E753="","",'1.1 Produksi Bersih Padi 2025'!E753)</f>
        <v/>
      </c>
      <c r="F753" s="28" t="str">
        <f>IF(D753="","",VLOOKUP(D753,'[1]0.1 Produksi Pangan &amp; Penduduk'!$D$5:$AK$860,34,0))</f>
        <v/>
      </c>
      <c r="G753" s="29" t="str">
        <f t="shared" si="55"/>
        <v/>
      </c>
      <c r="H753" s="29" t="str">
        <f t="shared" si="56"/>
        <v/>
      </c>
      <c r="I753" s="29" t="str">
        <f t="shared" si="57"/>
        <v/>
      </c>
      <c r="J753" s="29" t="str">
        <f t="shared" si="58"/>
        <v/>
      </c>
      <c r="K753" s="29" t="str">
        <f t="shared" si="59"/>
        <v/>
      </c>
    </row>
    <row r="754" spans="1:11" ht="15" x14ac:dyDescent="0.25">
      <c r="A754" s="1" t="str">
        <f>IF('1.1 Produksi Bersih Padi 2025'!A754="","",'1.1 Produksi Bersih Padi 2025'!A754)</f>
        <v/>
      </c>
      <c r="B754" s="31" t="str">
        <f>IF('1.1 Produksi Bersih Padi 2025'!B754="","",'1.1 Produksi Bersih Padi 2025'!B754)</f>
        <v/>
      </c>
      <c r="C754" s="31" t="str">
        <f>IF('1.1 Produksi Bersih Padi 2025'!C754="","",'1.1 Produksi Bersih Padi 2025'!C754)</f>
        <v/>
      </c>
      <c r="D754" s="1" t="str">
        <f>IF('1.1 Produksi Bersih Padi 2025'!D754="","",'1.1 Produksi Bersih Padi 2025'!D754)</f>
        <v/>
      </c>
      <c r="E754" s="1" t="str">
        <f>IF('1.1 Produksi Bersih Padi 2025'!E754="","",'1.1 Produksi Bersih Padi 2025'!E754)</f>
        <v/>
      </c>
      <c r="F754" s="28" t="str">
        <f>IF(D754="","",VLOOKUP(D754,'[1]0.1 Produksi Pangan &amp; Penduduk'!$D$5:$AK$860,34,0))</f>
        <v/>
      </c>
      <c r="G754" s="29" t="str">
        <f t="shared" si="55"/>
        <v/>
      </c>
      <c r="H754" s="29" t="str">
        <f t="shared" si="56"/>
        <v/>
      </c>
      <c r="I754" s="29" t="str">
        <f t="shared" si="57"/>
        <v/>
      </c>
      <c r="J754" s="29" t="str">
        <f t="shared" si="58"/>
        <v/>
      </c>
      <c r="K754" s="29" t="str">
        <f t="shared" si="59"/>
        <v/>
      </c>
    </row>
    <row r="755" spans="1:11" ht="15" x14ac:dyDescent="0.25">
      <c r="A755" s="1" t="str">
        <f>IF('1.1 Produksi Bersih Padi 2025'!A755="","",'1.1 Produksi Bersih Padi 2025'!A755)</f>
        <v/>
      </c>
      <c r="B755" s="31" t="str">
        <f>IF('1.1 Produksi Bersih Padi 2025'!B755="","",'1.1 Produksi Bersih Padi 2025'!B755)</f>
        <v/>
      </c>
      <c r="C755" s="31" t="str">
        <f>IF('1.1 Produksi Bersih Padi 2025'!C755="","",'1.1 Produksi Bersih Padi 2025'!C755)</f>
        <v/>
      </c>
      <c r="D755" s="1" t="str">
        <f>IF('1.1 Produksi Bersih Padi 2025'!D755="","",'1.1 Produksi Bersih Padi 2025'!D755)</f>
        <v/>
      </c>
      <c r="E755" s="1" t="str">
        <f>IF('1.1 Produksi Bersih Padi 2025'!E755="","",'1.1 Produksi Bersih Padi 2025'!E755)</f>
        <v/>
      </c>
      <c r="F755" s="28" t="str">
        <f>IF(D755="","",VLOOKUP(D755,'[1]0.1 Produksi Pangan &amp; Penduduk'!$D$5:$AK$860,34,0))</f>
        <v/>
      </c>
      <c r="G755" s="29" t="str">
        <f t="shared" si="55"/>
        <v/>
      </c>
      <c r="H755" s="29" t="str">
        <f t="shared" si="56"/>
        <v/>
      </c>
      <c r="I755" s="29" t="str">
        <f t="shared" si="57"/>
        <v/>
      </c>
      <c r="J755" s="29" t="str">
        <f t="shared" si="58"/>
        <v/>
      </c>
      <c r="K755" s="29" t="str">
        <f t="shared" si="59"/>
        <v/>
      </c>
    </row>
    <row r="756" spans="1:11" ht="15" x14ac:dyDescent="0.25">
      <c r="A756" s="1" t="str">
        <f>IF('1.1 Produksi Bersih Padi 2025'!A756="","",'1.1 Produksi Bersih Padi 2025'!A756)</f>
        <v/>
      </c>
      <c r="B756" s="31" t="str">
        <f>IF('1.1 Produksi Bersih Padi 2025'!B756="","",'1.1 Produksi Bersih Padi 2025'!B756)</f>
        <v/>
      </c>
      <c r="C756" s="31" t="str">
        <f>IF('1.1 Produksi Bersih Padi 2025'!C756="","",'1.1 Produksi Bersih Padi 2025'!C756)</f>
        <v/>
      </c>
      <c r="D756" s="1" t="str">
        <f>IF('1.1 Produksi Bersih Padi 2025'!D756="","",'1.1 Produksi Bersih Padi 2025'!D756)</f>
        <v/>
      </c>
      <c r="E756" s="1" t="str">
        <f>IF('1.1 Produksi Bersih Padi 2025'!E756="","",'1.1 Produksi Bersih Padi 2025'!E756)</f>
        <v/>
      </c>
      <c r="F756" s="28" t="str">
        <f>IF(D756="","",VLOOKUP(D756,'[1]0.1 Produksi Pangan &amp; Penduduk'!$D$5:$AK$860,34,0))</f>
        <v/>
      </c>
      <c r="G756" s="29" t="str">
        <f t="shared" si="55"/>
        <v/>
      </c>
      <c r="H756" s="29" t="str">
        <f t="shared" si="56"/>
        <v/>
      </c>
      <c r="I756" s="29" t="str">
        <f t="shared" si="57"/>
        <v/>
      </c>
      <c r="J756" s="29" t="str">
        <f t="shared" si="58"/>
        <v/>
      </c>
      <c r="K756" s="29" t="str">
        <f t="shared" si="59"/>
        <v/>
      </c>
    </row>
    <row r="757" spans="1:11" ht="15" x14ac:dyDescent="0.25">
      <c r="A757" s="1" t="str">
        <f>IF('1.1 Produksi Bersih Padi 2025'!A757="","",'1.1 Produksi Bersih Padi 2025'!A757)</f>
        <v/>
      </c>
      <c r="B757" s="31" t="str">
        <f>IF('1.1 Produksi Bersih Padi 2025'!B757="","",'1.1 Produksi Bersih Padi 2025'!B757)</f>
        <v/>
      </c>
      <c r="C757" s="31" t="str">
        <f>IF('1.1 Produksi Bersih Padi 2025'!C757="","",'1.1 Produksi Bersih Padi 2025'!C757)</f>
        <v/>
      </c>
      <c r="D757" s="1" t="str">
        <f>IF('1.1 Produksi Bersih Padi 2025'!D757="","",'1.1 Produksi Bersih Padi 2025'!D757)</f>
        <v/>
      </c>
      <c r="E757" s="1" t="str">
        <f>IF('1.1 Produksi Bersih Padi 2025'!E757="","",'1.1 Produksi Bersih Padi 2025'!E757)</f>
        <v/>
      </c>
      <c r="F757" s="28" t="str">
        <f>IF(D757="","",VLOOKUP(D757,'[1]0.1 Produksi Pangan &amp; Penduduk'!$D$5:$AK$860,34,0))</f>
        <v/>
      </c>
      <c r="G757" s="29" t="str">
        <f t="shared" si="55"/>
        <v/>
      </c>
      <c r="H757" s="29" t="str">
        <f t="shared" si="56"/>
        <v/>
      </c>
      <c r="I757" s="29" t="str">
        <f t="shared" si="57"/>
        <v/>
      </c>
      <c r="J757" s="29" t="str">
        <f t="shared" si="58"/>
        <v/>
      </c>
      <c r="K757" s="29" t="str">
        <f t="shared" si="59"/>
        <v/>
      </c>
    </row>
    <row r="758" spans="1:11" ht="15" x14ac:dyDescent="0.25">
      <c r="A758" s="1" t="str">
        <f>IF('1.1 Produksi Bersih Padi 2025'!A758="","",'1.1 Produksi Bersih Padi 2025'!A758)</f>
        <v/>
      </c>
      <c r="B758" s="31" t="str">
        <f>IF('1.1 Produksi Bersih Padi 2025'!B758="","",'1.1 Produksi Bersih Padi 2025'!B758)</f>
        <v/>
      </c>
      <c r="C758" s="31" t="str">
        <f>IF('1.1 Produksi Bersih Padi 2025'!C758="","",'1.1 Produksi Bersih Padi 2025'!C758)</f>
        <v/>
      </c>
      <c r="D758" s="1" t="str">
        <f>IF('1.1 Produksi Bersih Padi 2025'!D758="","",'1.1 Produksi Bersih Padi 2025'!D758)</f>
        <v/>
      </c>
      <c r="E758" s="1" t="str">
        <f>IF('1.1 Produksi Bersih Padi 2025'!E758="","",'1.1 Produksi Bersih Padi 2025'!E758)</f>
        <v/>
      </c>
      <c r="F758" s="28" t="str">
        <f>IF(D758="","",VLOOKUP(D758,'[1]0.1 Produksi Pangan &amp; Penduduk'!$D$5:$AK$860,34,0))</f>
        <v/>
      </c>
      <c r="G758" s="29" t="str">
        <f t="shared" si="55"/>
        <v/>
      </c>
      <c r="H758" s="29" t="str">
        <f t="shared" si="56"/>
        <v/>
      </c>
      <c r="I758" s="29" t="str">
        <f t="shared" si="57"/>
        <v/>
      </c>
      <c r="J758" s="29" t="str">
        <f t="shared" si="58"/>
        <v/>
      </c>
      <c r="K758" s="29" t="str">
        <f t="shared" si="59"/>
        <v/>
      </c>
    </row>
    <row r="759" spans="1:11" ht="15" x14ac:dyDescent="0.25">
      <c r="A759" s="1" t="str">
        <f>IF('1.1 Produksi Bersih Padi 2025'!A759="","",'1.1 Produksi Bersih Padi 2025'!A759)</f>
        <v/>
      </c>
      <c r="B759" s="31" t="str">
        <f>IF('1.1 Produksi Bersih Padi 2025'!B759="","",'1.1 Produksi Bersih Padi 2025'!B759)</f>
        <v/>
      </c>
      <c r="C759" s="31" t="str">
        <f>IF('1.1 Produksi Bersih Padi 2025'!C759="","",'1.1 Produksi Bersih Padi 2025'!C759)</f>
        <v/>
      </c>
      <c r="D759" s="1" t="str">
        <f>IF('1.1 Produksi Bersih Padi 2025'!D759="","",'1.1 Produksi Bersih Padi 2025'!D759)</f>
        <v/>
      </c>
      <c r="E759" s="1" t="str">
        <f>IF('1.1 Produksi Bersih Padi 2025'!E759="","",'1.1 Produksi Bersih Padi 2025'!E759)</f>
        <v/>
      </c>
      <c r="F759" s="28" t="str">
        <f>IF(D759="","",VLOOKUP(D759,'[1]0.1 Produksi Pangan &amp; Penduduk'!$D$5:$AK$860,34,0))</f>
        <v/>
      </c>
      <c r="G759" s="29" t="str">
        <f t="shared" si="55"/>
        <v/>
      </c>
      <c r="H759" s="29" t="str">
        <f t="shared" si="56"/>
        <v/>
      </c>
      <c r="I759" s="29" t="str">
        <f t="shared" si="57"/>
        <v/>
      </c>
      <c r="J759" s="29" t="str">
        <f t="shared" si="58"/>
        <v/>
      </c>
      <c r="K759" s="29" t="str">
        <f t="shared" si="59"/>
        <v/>
      </c>
    </row>
    <row r="760" spans="1:11" ht="15" x14ac:dyDescent="0.25">
      <c r="A760" s="1" t="str">
        <f>IF('1.1 Produksi Bersih Padi 2025'!A760="","",'1.1 Produksi Bersih Padi 2025'!A760)</f>
        <v/>
      </c>
      <c r="B760" s="31" t="str">
        <f>IF('1.1 Produksi Bersih Padi 2025'!B760="","",'1.1 Produksi Bersih Padi 2025'!B760)</f>
        <v/>
      </c>
      <c r="C760" s="31" t="str">
        <f>IF('1.1 Produksi Bersih Padi 2025'!C760="","",'1.1 Produksi Bersih Padi 2025'!C760)</f>
        <v/>
      </c>
      <c r="D760" s="1" t="str">
        <f>IF('1.1 Produksi Bersih Padi 2025'!D760="","",'1.1 Produksi Bersih Padi 2025'!D760)</f>
        <v/>
      </c>
      <c r="E760" s="1" t="str">
        <f>IF('1.1 Produksi Bersih Padi 2025'!E760="","",'1.1 Produksi Bersih Padi 2025'!E760)</f>
        <v/>
      </c>
      <c r="F760" s="28" t="str">
        <f>IF(D760="","",VLOOKUP(D760,'[1]0.1 Produksi Pangan &amp; Penduduk'!$D$5:$AK$860,34,0))</f>
        <v/>
      </c>
      <c r="G760" s="29" t="str">
        <f t="shared" si="55"/>
        <v/>
      </c>
      <c r="H760" s="29" t="str">
        <f t="shared" si="56"/>
        <v/>
      </c>
      <c r="I760" s="29" t="str">
        <f t="shared" si="57"/>
        <v/>
      </c>
      <c r="J760" s="29" t="str">
        <f t="shared" si="58"/>
        <v/>
      </c>
      <c r="K760" s="29" t="str">
        <f t="shared" si="59"/>
        <v/>
      </c>
    </row>
    <row r="761" spans="1:11" ht="15" x14ac:dyDescent="0.25">
      <c r="A761" s="1" t="str">
        <f>IF('1.1 Produksi Bersih Padi 2025'!A761="","",'1.1 Produksi Bersih Padi 2025'!A761)</f>
        <v/>
      </c>
      <c r="B761" s="31" t="str">
        <f>IF('1.1 Produksi Bersih Padi 2025'!B761="","",'1.1 Produksi Bersih Padi 2025'!B761)</f>
        <v/>
      </c>
      <c r="C761" s="31" t="str">
        <f>IF('1.1 Produksi Bersih Padi 2025'!C761="","",'1.1 Produksi Bersih Padi 2025'!C761)</f>
        <v/>
      </c>
      <c r="D761" s="1" t="str">
        <f>IF('1.1 Produksi Bersih Padi 2025'!D761="","",'1.1 Produksi Bersih Padi 2025'!D761)</f>
        <v/>
      </c>
      <c r="E761" s="1" t="str">
        <f>IF('1.1 Produksi Bersih Padi 2025'!E761="","",'1.1 Produksi Bersih Padi 2025'!E761)</f>
        <v/>
      </c>
      <c r="F761" s="28" t="str">
        <f>IF(D761="","",VLOOKUP(D761,'[1]0.1 Produksi Pangan &amp; Penduduk'!$D$5:$AK$860,34,0))</f>
        <v/>
      </c>
      <c r="G761" s="29" t="str">
        <f t="shared" si="55"/>
        <v/>
      </c>
      <c r="H761" s="29" t="str">
        <f t="shared" si="56"/>
        <v/>
      </c>
      <c r="I761" s="29" t="str">
        <f t="shared" si="57"/>
        <v/>
      </c>
      <c r="J761" s="29" t="str">
        <f t="shared" si="58"/>
        <v/>
      </c>
      <c r="K761" s="29" t="str">
        <f t="shared" si="59"/>
        <v/>
      </c>
    </row>
    <row r="762" spans="1:11" ht="15" x14ac:dyDescent="0.25">
      <c r="A762" s="1" t="str">
        <f>IF('1.1 Produksi Bersih Padi 2025'!A762="","",'1.1 Produksi Bersih Padi 2025'!A762)</f>
        <v/>
      </c>
      <c r="B762" s="31" t="str">
        <f>IF('1.1 Produksi Bersih Padi 2025'!B762="","",'1.1 Produksi Bersih Padi 2025'!B762)</f>
        <v/>
      </c>
      <c r="C762" s="31" t="str">
        <f>IF('1.1 Produksi Bersih Padi 2025'!C762="","",'1.1 Produksi Bersih Padi 2025'!C762)</f>
        <v/>
      </c>
      <c r="D762" s="1" t="str">
        <f>IF('1.1 Produksi Bersih Padi 2025'!D762="","",'1.1 Produksi Bersih Padi 2025'!D762)</f>
        <v/>
      </c>
      <c r="E762" s="1" t="str">
        <f>IF('1.1 Produksi Bersih Padi 2025'!E762="","",'1.1 Produksi Bersih Padi 2025'!E762)</f>
        <v/>
      </c>
      <c r="F762" s="28" t="str">
        <f>IF(D762="","",VLOOKUP(D762,'[1]0.1 Produksi Pangan &amp; Penduduk'!$D$5:$AK$860,34,0))</f>
        <v/>
      </c>
      <c r="G762" s="29" t="str">
        <f t="shared" si="55"/>
        <v/>
      </c>
      <c r="H762" s="29" t="str">
        <f t="shared" si="56"/>
        <v/>
      </c>
      <c r="I762" s="29" t="str">
        <f t="shared" si="57"/>
        <v/>
      </c>
      <c r="J762" s="29" t="str">
        <f t="shared" si="58"/>
        <v/>
      </c>
      <c r="K762" s="29" t="str">
        <f t="shared" si="59"/>
        <v/>
      </c>
    </row>
    <row r="763" spans="1:11" ht="15" x14ac:dyDescent="0.25">
      <c r="A763" s="1" t="str">
        <f>IF('1.1 Produksi Bersih Padi 2025'!A763="","",'1.1 Produksi Bersih Padi 2025'!A763)</f>
        <v/>
      </c>
      <c r="B763" s="31" t="str">
        <f>IF('1.1 Produksi Bersih Padi 2025'!B763="","",'1.1 Produksi Bersih Padi 2025'!B763)</f>
        <v/>
      </c>
      <c r="C763" s="31" t="str">
        <f>IF('1.1 Produksi Bersih Padi 2025'!C763="","",'1.1 Produksi Bersih Padi 2025'!C763)</f>
        <v/>
      </c>
      <c r="D763" s="1" t="str">
        <f>IF('1.1 Produksi Bersih Padi 2025'!D763="","",'1.1 Produksi Bersih Padi 2025'!D763)</f>
        <v/>
      </c>
      <c r="E763" s="1" t="str">
        <f>IF('1.1 Produksi Bersih Padi 2025'!E763="","",'1.1 Produksi Bersih Padi 2025'!E763)</f>
        <v/>
      </c>
      <c r="F763" s="28" t="str">
        <f>IF(D763="","",VLOOKUP(D763,'[1]0.1 Produksi Pangan &amp; Penduduk'!$D$5:$AK$860,34,0))</f>
        <v/>
      </c>
      <c r="G763" s="29" t="str">
        <f t="shared" si="55"/>
        <v/>
      </c>
      <c r="H763" s="29" t="str">
        <f t="shared" si="56"/>
        <v/>
      </c>
      <c r="I763" s="29" t="str">
        <f t="shared" si="57"/>
        <v/>
      </c>
      <c r="J763" s="29" t="str">
        <f t="shared" si="58"/>
        <v/>
      </c>
      <c r="K763" s="29" t="str">
        <f t="shared" si="59"/>
        <v/>
      </c>
    </row>
    <row r="764" spans="1:11" ht="15" x14ac:dyDescent="0.25">
      <c r="A764" s="1" t="str">
        <f>IF('1.1 Produksi Bersih Padi 2025'!A764="","",'1.1 Produksi Bersih Padi 2025'!A764)</f>
        <v/>
      </c>
      <c r="B764" s="31" t="str">
        <f>IF('1.1 Produksi Bersih Padi 2025'!B764="","",'1.1 Produksi Bersih Padi 2025'!B764)</f>
        <v/>
      </c>
      <c r="C764" s="31" t="str">
        <f>IF('1.1 Produksi Bersih Padi 2025'!C764="","",'1.1 Produksi Bersih Padi 2025'!C764)</f>
        <v/>
      </c>
      <c r="D764" s="1" t="str">
        <f>IF('1.1 Produksi Bersih Padi 2025'!D764="","",'1.1 Produksi Bersih Padi 2025'!D764)</f>
        <v/>
      </c>
      <c r="E764" s="1" t="str">
        <f>IF('1.1 Produksi Bersih Padi 2025'!E764="","",'1.1 Produksi Bersih Padi 2025'!E764)</f>
        <v/>
      </c>
      <c r="F764" s="28" t="str">
        <f>IF(D764="","",VLOOKUP(D764,'[1]0.1 Produksi Pangan &amp; Penduduk'!$D$5:$AK$860,34,0))</f>
        <v/>
      </c>
      <c r="G764" s="29" t="str">
        <f t="shared" si="55"/>
        <v/>
      </c>
      <c r="H764" s="29" t="str">
        <f t="shared" si="56"/>
        <v/>
      </c>
      <c r="I764" s="29" t="str">
        <f t="shared" si="57"/>
        <v/>
      </c>
      <c r="J764" s="29" t="str">
        <f t="shared" si="58"/>
        <v/>
      </c>
      <c r="K764" s="29" t="str">
        <f t="shared" si="59"/>
        <v/>
      </c>
    </row>
    <row r="765" spans="1:11" ht="15" x14ac:dyDescent="0.25">
      <c r="A765" s="1" t="str">
        <f>IF('1.1 Produksi Bersih Padi 2025'!A765="","",'1.1 Produksi Bersih Padi 2025'!A765)</f>
        <v/>
      </c>
      <c r="B765" s="31" t="str">
        <f>IF('1.1 Produksi Bersih Padi 2025'!B765="","",'1.1 Produksi Bersih Padi 2025'!B765)</f>
        <v/>
      </c>
      <c r="C765" s="31" t="str">
        <f>IF('1.1 Produksi Bersih Padi 2025'!C765="","",'1.1 Produksi Bersih Padi 2025'!C765)</f>
        <v/>
      </c>
      <c r="D765" s="1" t="str">
        <f>IF('1.1 Produksi Bersih Padi 2025'!D765="","",'1.1 Produksi Bersih Padi 2025'!D765)</f>
        <v/>
      </c>
      <c r="E765" s="1" t="str">
        <f>IF('1.1 Produksi Bersih Padi 2025'!E765="","",'1.1 Produksi Bersih Padi 2025'!E765)</f>
        <v/>
      </c>
      <c r="F765" s="28" t="str">
        <f>IF(D765="","",VLOOKUP(D765,'[1]0.1 Produksi Pangan &amp; Penduduk'!$D$5:$AK$860,34,0))</f>
        <v/>
      </c>
      <c r="G765" s="29" t="str">
        <f t="shared" si="55"/>
        <v/>
      </c>
      <c r="H765" s="29" t="str">
        <f t="shared" si="56"/>
        <v/>
      </c>
      <c r="I765" s="29" t="str">
        <f t="shared" si="57"/>
        <v/>
      </c>
      <c r="J765" s="29" t="str">
        <f t="shared" si="58"/>
        <v/>
      </c>
      <c r="K765" s="29" t="str">
        <f t="shared" si="59"/>
        <v/>
      </c>
    </row>
    <row r="766" spans="1:11" ht="15" x14ac:dyDescent="0.25">
      <c r="A766" s="1" t="str">
        <f>IF('1.1 Produksi Bersih Padi 2025'!A766="","",'1.1 Produksi Bersih Padi 2025'!A766)</f>
        <v/>
      </c>
      <c r="B766" s="31" t="str">
        <f>IF('1.1 Produksi Bersih Padi 2025'!B766="","",'1.1 Produksi Bersih Padi 2025'!B766)</f>
        <v/>
      </c>
      <c r="C766" s="31" t="str">
        <f>IF('1.1 Produksi Bersih Padi 2025'!C766="","",'1.1 Produksi Bersih Padi 2025'!C766)</f>
        <v/>
      </c>
      <c r="D766" s="1" t="str">
        <f>IF('1.1 Produksi Bersih Padi 2025'!D766="","",'1.1 Produksi Bersih Padi 2025'!D766)</f>
        <v/>
      </c>
      <c r="E766" s="1" t="str">
        <f>IF('1.1 Produksi Bersih Padi 2025'!E766="","",'1.1 Produksi Bersih Padi 2025'!E766)</f>
        <v/>
      </c>
      <c r="F766" s="28" t="str">
        <f>IF(D766="","",VLOOKUP(D766,'[1]0.1 Produksi Pangan &amp; Penduduk'!$D$5:$AK$860,34,0))</f>
        <v/>
      </c>
      <c r="G766" s="29" t="str">
        <f t="shared" si="55"/>
        <v/>
      </c>
      <c r="H766" s="29" t="str">
        <f t="shared" si="56"/>
        <v/>
      </c>
      <c r="I766" s="29" t="str">
        <f t="shared" si="57"/>
        <v/>
      </c>
      <c r="J766" s="29" t="str">
        <f t="shared" si="58"/>
        <v/>
      </c>
      <c r="K766" s="29" t="str">
        <f t="shared" si="59"/>
        <v/>
      </c>
    </row>
    <row r="767" spans="1:11" ht="15" x14ac:dyDescent="0.25">
      <c r="A767" s="1" t="str">
        <f>IF('1.1 Produksi Bersih Padi 2025'!A767="","",'1.1 Produksi Bersih Padi 2025'!A767)</f>
        <v/>
      </c>
      <c r="B767" s="31" t="str">
        <f>IF('1.1 Produksi Bersih Padi 2025'!B767="","",'1.1 Produksi Bersih Padi 2025'!B767)</f>
        <v/>
      </c>
      <c r="C767" s="31" t="str">
        <f>IF('1.1 Produksi Bersih Padi 2025'!C767="","",'1.1 Produksi Bersih Padi 2025'!C767)</f>
        <v/>
      </c>
      <c r="D767" s="1" t="str">
        <f>IF('1.1 Produksi Bersih Padi 2025'!D767="","",'1.1 Produksi Bersih Padi 2025'!D767)</f>
        <v/>
      </c>
      <c r="E767" s="1" t="str">
        <f>IF('1.1 Produksi Bersih Padi 2025'!E767="","",'1.1 Produksi Bersih Padi 2025'!E767)</f>
        <v/>
      </c>
      <c r="F767" s="28" t="str">
        <f>IF(D767="","",VLOOKUP(D767,'[1]0.1 Produksi Pangan &amp; Penduduk'!$D$5:$AK$860,34,0))</f>
        <v/>
      </c>
      <c r="G767" s="29" t="str">
        <f t="shared" si="55"/>
        <v/>
      </c>
      <c r="H767" s="29" t="str">
        <f t="shared" si="56"/>
        <v/>
      </c>
      <c r="I767" s="29" t="str">
        <f t="shared" si="57"/>
        <v/>
      </c>
      <c r="J767" s="29" t="str">
        <f t="shared" si="58"/>
        <v/>
      </c>
      <c r="K767" s="29" t="str">
        <f t="shared" si="59"/>
        <v/>
      </c>
    </row>
    <row r="768" spans="1:11" ht="15" x14ac:dyDescent="0.25">
      <c r="A768" s="1" t="str">
        <f>IF('1.1 Produksi Bersih Padi 2025'!A768="","",'1.1 Produksi Bersih Padi 2025'!A768)</f>
        <v/>
      </c>
      <c r="B768" s="31" t="str">
        <f>IF('1.1 Produksi Bersih Padi 2025'!B768="","",'1.1 Produksi Bersih Padi 2025'!B768)</f>
        <v/>
      </c>
      <c r="C768" s="31" t="str">
        <f>IF('1.1 Produksi Bersih Padi 2025'!C768="","",'1.1 Produksi Bersih Padi 2025'!C768)</f>
        <v/>
      </c>
      <c r="D768" s="1" t="str">
        <f>IF('1.1 Produksi Bersih Padi 2025'!D768="","",'1.1 Produksi Bersih Padi 2025'!D768)</f>
        <v/>
      </c>
      <c r="E768" s="1" t="str">
        <f>IF('1.1 Produksi Bersih Padi 2025'!E768="","",'1.1 Produksi Bersih Padi 2025'!E768)</f>
        <v/>
      </c>
      <c r="F768" s="28" t="str">
        <f>IF(D768="","",VLOOKUP(D768,'[1]0.1 Produksi Pangan &amp; Penduduk'!$D$5:$AK$860,34,0))</f>
        <v/>
      </c>
      <c r="G768" s="29" t="str">
        <f t="shared" si="55"/>
        <v/>
      </c>
      <c r="H768" s="29" t="str">
        <f t="shared" si="56"/>
        <v/>
      </c>
      <c r="I768" s="29" t="str">
        <f t="shared" si="57"/>
        <v/>
      </c>
      <c r="J768" s="29" t="str">
        <f t="shared" si="58"/>
        <v/>
      </c>
      <c r="K768" s="29" t="str">
        <f t="shared" si="59"/>
        <v/>
      </c>
    </row>
    <row r="769" spans="1:11" ht="15" x14ac:dyDescent="0.25">
      <c r="A769" s="1" t="str">
        <f>IF('1.1 Produksi Bersih Padi 2025'!A769="","",'1.1 Produksi Bersih Padi 2025'!A769)</f>
        <v/>
      </c>
      <c r="B769" s="31" t="str">
        <f>IF('1.1 Produksi Bersih Padi 2025'!B769="","",'1.1 Produksi Bersih Padi 2025'!B769)</f>
        <v/>
      </c>
      <c r="C769" s="31" t="str">
        <f>IF('1.1 Produksi Bersih Padi 2025'!C769="","",'1.1 Produksi Bersih Padi 2025'!C769)</f>
        <v/>
      </c>
      <c r="D769" s="1" t="str">
        <f>IF('1.1 Produksi Bersih Padi 2025'!D769="","",'1.1 Produksi Bersih Padi 2025'!D769)</f>
        <v/>
      </c>
      <c r="E769" s="1" t="str">
        <f>IF('1.1 Produksi Bersih Padi 2025'!E769="","",'1.1 Produksi Bersih Padi 2025'!E769)</f>
        <v/>
      </c>
      <c r="F769" s="28" t="str">
        <f>IF(D769="","",VLOOKUP(D769,'[1]0.1 Produksi Pangan &amp; Penduduk'!$D$5:$AK$860,34,0))</f>
        <v/>
      </c>
      <c r="G769" s="29" t="str">
        <f t="shared" si="55"/>
        <v/>
      </c>
      <c r="H769" s="29" t="str">
        <f t="shared" si="56"/>
        <v/>
      </c>
      <c r="I769" s="29" t="str">
        <f t="shared" si="57"/>
        <v/>
      </c>
      <c r="J769" s="29" t="str">
        <f t="shared" si="58"/>
        <v/>
      </c>
      <c r="K769" s="29" t="str">
        <f t="shared" si="59"/>
        <v/>
      </c>
    </row>
    <row r="770" spans="1:11" ht="15" x14ac:dyDescent="0.25">
      <c r="A770" s="1" t="str">
        <f>IF('1.1 Produksi Bersih Padi 2025'!A770="","",'1.1 Produksi Bersih Padi 2025'!A770)</f>
        <v/>
      </c>
      <c r="B770" s="31" t="str">
        <f>IF('1.1 Produksi Bersih Padi 2025'!B770="","",'1.1 Produksi Bersih Padi 2025'!B770)</f>
        <v/>
      </c>
      <c r="C770" s="31" t="str">
        <f>IF('1.1 Produksi Bersih Padi 2025'!C770="","",'1.1 Produksi Bersih Padi 2025'!C770)</f>
        <v/>
      </c>
      <c r="D770" s="1" t="str">
        <f>IF('1.1 Produksi Bersih Padi 2025'!D770="","",'1.1 Produksi Bersih Padi 2025'!D770)</f>
        <v/>
      </c>
      <c r="E770" s="1" t="str">
        <f>IF('1.1 Produksi Bersih Padi 2025'!E770="","",'1.1 Produksi Bersih Padi 2025'!E770)</f>
        <v/>
      </c>
      <c r="F770" s="28" t="str">
        <f>IF(D770="","",VLOOKUP(D770,'[1]0.1 Produksi Pangan &amp; Penduduk'!$D$5:$AK$860,34,0))</f>
        <v/>
      </c>
      <c r="G770" s="29" t="str">
        <f t="shared" si="55"/>
        <v/>
      </c>
      <c r="H770" s="29" t="str">
        <f t="shared" si="56"/>
        <v/>
      </c>
      <c r="I770" s="29" t="str">
        <f t="shared" si="57"/>
        <v/>
      </c>
      <c r="J770" s="29" t="str">
        <f t="shared" si="58"/>
        <v/>
      </c>
      <c r="K770" s="29" t="str">
        <f t="shared" si="59"/>
        <v/>
      </c>
    </row>
    <row r="771" spans="1:11" ht="15" x14ac:dyDescent="0.25">
      <c r="A771" s="1" t="str">
        <f>IF('1.1 Produksi Bersih Padi 2025'!A771="","",'1.1 Produksi Bersih Padi 2025'!A771)</f>
        <v/>
      </c>
      <c r="B771" s="31" t="str">
        <f>IF('1.1 Produksi Bersih Padi 2025'!B771="","",'1.1 Produksi Bersih Padi 2025'!B771)</f>
        <v/>
      </c>
      <c r="C771" s="31" t="str">
        <f>IF('1.1 Produksi Bersih Padi 2025'!C771="","",'1.1 Produksi Bersih Padi 2025'!C771)</f>
        <v/>
      </c>
      <c r="D771" s="1" t="str">
        <f>IF('1.1 Produksi Bersih Padi 2025'!D771="","",'1.1 Produksi Bersih Padi 2025'!D771)</f>
        <v/>
      </c>
      <c r="E771" s="1" t="str">
        <f>IF('1.1 Produksi Bersih Padi 2025'!E771="","",'1.1 Produksi Bersih Padi 2025'!E771)</f>
        <v/>
      </c>
      <c r="F771" s="28" t="str">
        <f>IF(D771="","",VLOOKUP(D771,'[1]0.1 Produksi Pangan &amp; Penduduk'!$D$5:$AK$860,34,0))</f>
        <v/>
      </c>
      <c r="G771" s="29" t="str">
        <f t="shared" si="55"/>
        <v/>
      </c>
      <c r="H771" s="29" t="str">
        <f t="shared" si="56"/>
        <v/>
      </c>
      <c r="I771" s="29" t="str">
        <f t="shared" si="57"/>
        <v/>
      </c>
      <c r="J771" s="29" t="str">
        <f t="shared" si="58"/>
        <v/>
      </c>
      <c r="K771" s="29" t="str">
        <f t="shared" si="59"/>
        <v/>
      </c>
    </row>
    <row r="772" spans="1:11" ht="15" x14ac:dyDescent="0.25">
      <c r="A772" s="1" t="str">
        <f>IF('1.1 Produksi Bersih Padi 2025'!A772="","",'1.1 Produksi Bersih Padi 2025'!A772)</f>
        <v/>
      </c>
      <c r="B772" s="31" t="str">
        <f>IF('1.1 Produksi Bersih Padi 2025'!B772="","",'1.1 Produksi Bersih Padi 2025'!B772)</f>
        <v/>
      </c>
      <c r="C772" s="31" t="str">
        <f>IF('1.1 Produksi Bersih Padi 2025'!C772="","",'1.1 Produksi Bersih Padi 2025'!C772)</f>
        <v/>
      </c>
      <c r="D772" s="1" t="str">
        <f>IF('1.1 Produksi Bersih Padi 2025'!D772="","",'1.1 Produksi Bersih Padi 2025'!D772)</f>
        <v/>
      </c>
      <c r="E772" s="1" t="str">
        <f>IF('1.1 Produksi Bersih Padi 2025'!E772="","",'1.1 Produksi Bersih Padi 2025'!E772)</f>
        <v/>
      </c>
      <c r="F772" s="28" t="str">
        <f>IF(D772="","",VLOOKUP(D772,'[1]0.1 Produksi Pangan &amp; Penduduk'!$D$5:$AK$860,34,0))</f>
        <v/>
      </c>
      <c r="G772" s="29" t="str">
        <f t="shared" si="55"/>
        <v/>
      </c>
      <c r="H772" s="29" t="str">
        <f t="shared" si="56"/>
        <v/>
      </c>
      <c r="I772" s="29" t="str">
        <f t="shared" si="57"/>
        <v/>
      </c>
      <c r="J772" s="29" t="str">
        <f t="shared" si="58"/>
        <v/>
      </c>
      <c r="K772" s="29" t="str">
        <f t="shared" si="59"/>
        <v/>
      </c>
    </row>
    <row r="773" spans="1:11" ht="15" x14ac:dyDescent="0.25">
      <c r="A773" s="1" t="str">
        <f>IF('1.1 Produksi Bersih Padi 2025'!A773="","",'1.1 Produksi Bersih Padi 2025'!A773)</f>
        <v/>
      </c>
      <c r="B773" s="31" t="str">
        <f>IF('1.1 Produksi Bersih Padi 2025'!B773="","",'1.1 Produksi Bersih Padi 2025'!B773)</f>
        <v/>
      </c>
      <c r="C773" s="31" t="str">
        <f>IF('1.1 Produksi Bersih Padi 2025'!C773="","",'1.1 Produksi Bersih Padi 2025'!C773)</f>
        <v/>
      </c>
      <c r="D773" s="1" t="str">
        <f>IF('1.1 Produksi Bersih Padi 2025'!D773="","",'1.1 Produksi Bersih Padi 2025'!D773)</f>
        <v/>
      </c>
      <c r="E773" s="1" t="str">
        <f>IF('1.1 Produksi Bersih Padi 2025'!E773="","",'1.1 Produksi Bersih Padi 2025'!E773)</f>
        <v/>
      </c>
      <c r="F773" s="28" t="str">
        <f>IF(D773="","",VLOOKUP(D773,'[1]0.1 Produksi Pangan &amp; Penduduk'!$D$5:$AK$860,34,0))</f>
        <v/>
      </c>
      <c r="G773" s="29" t="str">
        <f t="shared" si="55"/>
        <v/>
      </c>
      <c r="H773" s="29" t="str">
        <f t="shared" si="56"/>
        <v/>
      </c>
      <c r="I773" s="29" t="str">
        <f t="shared" si="57"/>
        <v/>
      </c>
      <c r="J773" s="29" t="str">
        <f t="shared" si="58"/>
        <v/>
      </c>
      <c r="K773" s="29" t="str">
        <f t="shared" si="59"/>
        <v/>
      </c>
    </row>
    <row r="774" spans="1:11" ht="15" x14ac:dyDescent="0.25">
      <c r="A774" s="1" t="str">
        <f>IF('1.1 Produksi Bersih Padi 2025'!A774="","",'1.1 Produksi Bersih Padi 2025'!A774)</f>
        <v/>
      </c>
      <c r="B774" s="31" t="str">
        <f>IF('1.1 Produksi Bersih Padi 2025'!B774="","",'1.1 Produksi Bersih Padi 2025'!B774)</f>
        <v/>
      </c>
      <c r="C774" s="31" t="str">
        <f>IF('1.1 Produksi Bersih Padi 2025'!C774="","",'1.1 Produksi Bersih Padi 2025'!C774)</f>
        <v/>
      </c>
      <c r="D774" s="1" t="str">
        <f>IF('1.1 Produksi Bersih Padi 2025'!D774="","",'1.1 Produksi Bersih Padi 2025'!D774)</f>
        <v/>
      </c>
      <c r="E774" s="1" t="str">
        <f>IF('1.1 Produksi Bersih Padi 2025'!E774="","",'1.1 Produksi Bersih Padi 2025'!E774)</f>
        <v/>
      </c>
      <c r="F774" s="28" t="str">
        <f>IF(D774="","",VLOOKUP(D774,'[1]0.1 Produksi Pangan &amp; Penduduk'!$D$5:$AK$860,34,0))</f>
        <v/>
      </c>
      <c r="G774" s="29" t="str">
        <f t="shared" ref="G774:G837" si="60">IF(F774="","",F774*0%)</f>
        <v/>
      </c>
      <c r="H774" s="29" t="str">
        <f t="shared" ref="H774:H837" si="61">IF(F774="","",F774*0%)</f>
        <v/>
      </c>
      <c r="I774" s="29" t="str">
        <f t="shared" ref="I774:I837" si="62">IF(F774="","",F774*0.72%)</f>
        <v/>
      </c>
      <c r="J774" s="29" t="str">
        <f t="shared" ref="J774:J837" si="63">IF(F774="","",F774-(G774+H774+I774))</f>
        <v/>
      </c>
      <c r="K774" s="29" t="str">
        <f t="shared" ref="K774:K837" si="64">IF(J774="","",J774*0.64)</f>
        <v/>
      </c>
    </row>
    <row r="775" spans="1:11" ht="15" x14ac:dyDescent="0.25">
      <c r="A775" s="1" t="str">
        <f>IF('1.1 Produksi Bersih Padi 2025'!A775="","",'1.1 Produksi Bersih Padi 2025'!A775)</f>
        <v/>
      </c>
      <c r="B775" s="31" t="str">
        <f>IF('1.1 Produksi Bersih Padi 2025'!B775="","",'1.1 Produksi Bersih Padi 2025'!B775)</f>
        <v/>
      </c>
      <c r="C775" s="31" t="str">
        <f>IF('1.1 Produksi Bersih Padi 2025'!C775="","",'1.1 Produksi Bersih Padi 2025'!C775)</f>
        <v/>
      </c>
      <c r="D775" s="1" t="str">
        <f>IF('1.1 Produksi Bersih Padi 2025'!D775="","",'1.1 Produksi Bersih Padi 2025'!D775)</f>
        <v/>
      </c>
      <c r="E775" s="1" t="str">
        <f>IF('1.1 Produksi Bersih Padi 2025'!E775="","",'1.1 Produksi Bersih Padi 2025'!E775)</f>
        <v/>
      </c>
      <c r="F775" s="28" t="str">
        <f>IF(D775="","",VLOOKUP(D775,'[1]0.1 Produksi Pangan &amp; Penduduk'!$D$5:$AK$860,34,0))</f>
        <v/>
      </c>
      <c r="G775" s="29" t="str">
        <f t="shared" si="60"/>
        <v/>
      </c>
      <c r="H775" s="29" t="str">
        <f t="shared" si="61"/>
        <v/>
      </c>
      <c r="I775" s="29" t="str">
        <f t="shared" si="62"/>
        <v/>
      </c>
      <c r="J775" s="29" t="str">
        <f t="shared" si="63"/>
        <v/>
      </c>
      <c r="K775" s="29" t="str">
        <f t="shared" si="64"/>
        <v/>
      </c>
    </row>
    <row r="776" spans="1:11" ht="15" x14ac:dyDescent="0.25">
      <c r="A776" s="1" t="str">
        <f>IF('1.1 Produksi Bersih Padi 2025'!A776="","",'1.1 Produksi Bersih Padi 2025'!A776)</f>
        <v/>
      </c>
      <c r="B776" s="31" t="str">
        <f>IF('1.1 Produksi Bersih Padi 2025'!B776="","",'1.1 Produksi Bersih Padi 2025'!B776)</f>
        <v/>
      </c>
      <c r="C776" s="31" t="str">
        <f>IF('1.1 Produksi Bersih Padi 2025'!C776="","",'1.1 Produksi Bersih Padi 2025'!C776)</f>
        <v/>
      </c>
      <c r="D776" s="1" t="str">
        <f>IF('1.1 Produksi Bersih Padi 2025'!D776="","",'1.1 Produksi Bersih Padi 2025'!D776)</f>
        <v/>
      </c>
      <c r="E776" s="1" t="str">
        <f>IF('1.1 Produksi Bersih Padi 2025'!E776="","",'1.1 Produksi Bersih Padi 2025'!E776)</f>
        <v/>
      </c>
      <c r="F776" s="28" t="str">
        <f>IF(D776="","",VLOOKUP(D776,'[1]0.1 Produksi Pangan &amp; Penduduk'!$D$5:$AK$860,34,0))</f>
        <v/>
      </c>
      <c r="G776" s="29" t="str">
        <f t="shared" si="60"/>
        <v/>
      </c>
      <c r="H776" s="29" t="str">
        <f t="shared" si="61"/>
        <v/>
      </c>
      <c r="I776" s="29" t="str">
        <f t="shared" si="62"/>
        <v/>
      </c>
      <c r="J776" s="29" t="str">
        <f t="shared" si="63"/>
        <v/>
      </c>
      <c r="K776" s="29" t="str">
        <f t="shared" si="64"/>
        <v/>
      </c>
    </row>
    <row r="777" spans="1:11" ht="15" x14ac:dyDescent="0.25">
      <c r="A777" s="1" t="str">
        <f>IF('1.1 Produksi Bersih Padi 2025'!A777="","",'1.1 Produksi Bersih Padi 2025'!A777)</f>
        <v/>
      </c>
      <c r="B777" s="31" t="str">
        <f>IF('1.1 Produksi Bersih Padi 2025'!B777="","",'1.1 Produksi Bersih Padi 2025'!B777)</f>
        <v/>
      </c>
      <c r="C777" s="31" t="str">
        <f>IF('1.1 Produksi Bersih Padi 2025'!C777="","",'1.1 Produksi Bersih Padi 2025'!C777)</f>
        <v/>
      </c>
      <c r="D777" s="1" t="str">
        <f>IF('1.1 Produksi Bersih Padi 2025'!D777="","",'1.1 Produksi Bersih Padi 2025'!D777)</f>
        <v/>
      </c>
      <c r="E777" s="1" t="str">
        <f>IF('1.1 Produksi Bersih Padi 2025'!E777="","",'1.1 Produksi Bersih Padi 2025'!E777)</f>
        <v/>
      </c>
      <c r="F777" s="28" t="str">
        <f>IF(D777="","",VLOOKUP(D777,'[1]0.1 Produksi Pangan &amp; Penduduk'!$D$5:$AK$860,34,0))</f>
        <v/>
      </c>
      <c r="G777" s="29" t="str">
        <f t="shared" si="60"/>
        <v/>
      </c>
      <c r="H777" s="29" t="str">
        <f t="shared" si="61"/>
        <v/>
      </c>
      <c r="I777" s="29" t="str">
        <f t="shared" si="62"/>
        <v/>
      </c>
      <c r="J777" s="29" t="str">
        <f t="shared" si="63"/>
        <v/>
      </c>
      <c r="K777" s="29" t="str">
        <f t="shared" si="64"/>
        <v/>
      </c>
    </row>
    <row r="778" spans="1:11" ht="15" x14ac:dyDescent="0.25">
      <c r="A778" s="1" t="str">
        <f>IF('1.1 Produksi Bersih Padi 2025'!A778="","",'1.1 Produksi Bersih Padi 2025'!A778)</f>
        <v/>
      </c>
      <c r="B778" s="31" t="str">
        <f>IF('1.1 Produksi Bersih Padi 2025'!B778="","",'1.1 Produksi Bersih Padi 2025'!B778)</f>
        <v/>
      </c>
      <c r="C778" s="31" t="str">
        <f>IF('1.1 Produksi Bersih Padi 2025'!C778="","",'1.1 Produksi Bersih Padi 2025'!C778)</f>
        <v/>
      </c>
      <c r="D778" s="1" t="str">
        <f>IF('1.1 Produksi Bersih Padi 2025'!D778="","",'1.1 Produksi Bersih Padi 2025'!D778)</f>
        <v/>
      </c>
      <c r="E778" s="1" t="str">
        <f>IF('1.1 Produksi Bersih Padi 2025'!E778="","",'1.1 Produksi Bersih Padi 2025'!E778)</f>
        <v/>
      </c>
      <c r="F778" s="28" t="str">
        <f>IF(D778="","",VLOOKUP(D778,'[1]0.1 Produksi Pangan &amp; Penduduk'!$D$5:$AK$860,34,0))</f>
        <v/>
      </c>
      <c r="G778" s="29" t="str">
        <f t="shared" si="60"/>
        <v/>
      </c>
      <c r="H778" s="29" t="str">
        <f t="shared" si="61"/>
        <v/>
      </c>
      <c r="I778" s="29" t="str">
        <f t="shared" si="62"/>
        <v/>
      </c>
      <c r="J778" s="29" t="str">
        <f t="shared" si="63"/>
        <v/>
      </c>
      <c r="K778" s="29" t="str">
        <f t="shared" si="64"/>
        <v/>
      </c>
    </row>
    <row r="779" spans="1:11" ht="15" x14ac:dyDescent="0.25">
      <c r="A779" s="1" t="str">
        <f>IF('1.1 Produksi Bersih Padi 2025'!A779="","",'1.1 Produksi Bersih Padi 2025'!A779)</f>
        <v/>
      </c>
      <c r="B779" s="31" t="str">
        <f>IF('1.1 Produksi Bersih Padi 2025'!B779="","",'1.1 Produksi Bersih Padi 2025'!B779)</f>
        <v/>
      </c>
      <c r="C779" s="31" t="str">
        <f>IF('1.1 Produksi Bersih Padi 2025'!C779="","",'1.1 Produksi Bersih Padi 2025'!C779)</f>
        <v/>
      </c>
      <c r="D779" s="1" t="str">
        <f>IF('1.1 Produksi Bersih Padi 2025'!D779="","",'1.1 Produksi Bersih Padi 2025'!D779)</f>
        <v/>
      </c>
      <c r="E779" s="1" t="str">
        <f>IF('1.1 Produksi Bersih Padi 2025'!E779="","",'1.1 Produksi Bersih Padi 2025'!E779)</f>
        <v/>
      </c>
      <c r="F779" s="28" t="str">
        <f>IF(D779="","",VLOOKUP(D779,'[1]0.1 Produksi Pangan &amp; Penduduk'!$D$5:$AK$860,34,0))</f>
        <v/>
      </c>
      <c r="G779" s="29" t="str">
        <f t="shared" si="60"/>
        <v/>
      </c>
      <c r="H779" s="29" t="str">
        <f t="shared" si="61"/>
        <v/>
      </c>
      <c r="I779" s="29" t="str">
        <f t="shared" si="62"/>
        <v/>
      </c>
      <c r="J779" s="29" t="str">
        <f t="shared" si="63"/>
        <v/>
      </c>
      <c r="K779" s="29" t="str">
        <f t="shared" si="64"/>
        <v/>
      </c>
    </row>
    <row r="780" spans="1:11" ht="15" x14ac:dyDescent="0.25">
      <c r="A780" s="1" t="str">
        <f>IF('1.1 Produksi Bersih Padi 2025'!A780="","",'1.1 Produksi Bersih Padi 2025'!A780)</f>
        <v/>
      </c>
      <c r="B780" s="31" t="str">
        <f>IF('1.1 Produksi Bersih Padi 2025'!B780="","",'1.1 Produksi Bersih Padi 2025'!B780)</f>
        <v/>
      </c>
      <c r="C780" s="31" t="str">
        <f>IF('1.1 Produksi Bersih Padi 2025'!C780="","",'1.1 Produksi Bersih Padi 2025'!C780)</f>
        <v/>
      </c>
      <c r="D780" s="1" t="str">
        <f>IF('1.1 Produksi Bersih Padi 2025'!D780="","",'1.1 Produksi Bersih Padi 2025'!D780)</f>
        <v/>
      </c>
      <c r="E780" s="1" t="str">
        <f>IF('1.1 Produksi Bersih Padi 2025'!E780="","",'1.1 Produksi Bersih Padi 2025'!E780)</f>
        <v/>
      </c>
      <c r="F780" s="28" t="str">
        <f>IF(D780="","",VLOOKUP(D780,'[1]0.1 Produksi Pangan &amp; Penduduk'!$D$5:$AK$860,34,0))</f>
        <v/>
      </c>
      <c r="G780" s="29" t="str">
        <f t="shared" si="60"/>
        <v/>
      </c>
      <c r="H780" s="29" t="str">
        <f t="shared" si="61"/>
        <v/>
      </c>
      <c r="I780" s="29" t="str">
        <f t="shared" si="62"/>
        <v/>
      </c>
      <c r="J780" s="29" t="str">
        <f t="shared" si="63"/>
        <v/>
      </c>
      <c r="K780" s="29" t="str">
        <f t="shared" si="64"/>
        <v/>
      </c>
    </row>
    <row r="781" spans="1:11" ht="15" x14ac:dyDescent="0.25">
      <c r="A781" s="1" t="str">
        <f>IF('1.1 Produksi Bersih Padi 2025'!A781="","",'1.1 Produksi Bersih Padi 2025'!A781)</f>
        <v/>
      </c>
      <c r="B781" s="31" t="str">
        <f>IF('1.1 Produksi Bersih Padi 2025'!B781="","",'1.1 Produksi Bersih Padi 2025'!B781)</f>
        <v/>
      </c>
      <c r="C781" s="31" t="str">
        <f>IF('1.1 Produksi Bersih Padi 2025'!C781="","",'1.1 Produksi Bersih Padi 2025'!C781)</f>
        <v/>
      </c>
      <c r="D781" s="1" t="str">
        <f>IF('1.1 Produksi Bersih Padi 2025'!D781="","",'1.1 Produksi Bersih Padi 2025'!D781)</f>
        <v/>
      </c>
      <c r="E781" s="1" t="str">
        <f>IF('1.1 Produksi Bersih Padi 2025'!E781="","",'1.1 Produksi Bersih Padi 2025'!E781)</f>
        <v/>
      </c>
      <c r="F781" s="28" t="str">
        <f>IF(D781="","",VLOOKUP(D781,'[1]0.1 Produksi Pangan &amp; Penduduk'!$D$5:$AK$860,34,0))</f>
        <v/>
      </c>
      <c r="G781" s="29" t="str">
        <f t="shared" si="60"/>
        <v/>
      </c>
      <c r="H781" s="29" t="str">
        <f t="shared" si="61"/>
        <v/>
      </c>
      <c r="I781" s="29" t="str">
        <f t="shared" si="62"/>
        <v/>
      </c>
      <c r="J781" s="29" t="str">
        <f t="shared" si="63"/>
        <v/>
      </c>
      <c r="K781" s="29" t="str">
        <f t="shared" si="64"/>
        <v/>
      </c>
    </row>
    <row r="782" spans="1:11" ht="15" x14ac:dyDescent="0.25">
      <c r="A782" s="1" t="str">
        <f>IF('1.1 Produksi Bersih Padi 2025'!A782="","",'1.1 Produksi Bersih Padi 2025'!A782)</f>
        <v/>
      </c>
      <c r="B782" s="31" t="str">
        <f>IF('1.1 Produksi Bersih Padi 2025'!B782="","",'1.1 Produksi Bersih Padi 2025'!B782)</f>
        <v/>
      </c>
      <c r="C782" s="31" t="str">
        <f>IF('1.1 Produksi Bersih Padi 2025'!C782="","",'1.1 Produksi Bersih Padi 2025'!C782)</f>
        <v/>
      </c>
      <c r="D782" s="1" t="str">
        <f>IF('1.1 Produksi Bersih Padi 2025'!D782="","",'1.1 Produksi Bersih Padi 2025'!D782)</f>
        <v/>
      </c>
      <c r="E782" s="1" t="str">
        <f>IF('1.1 Produksi Bersih Padi 2025'!E782="","",'1.1 Produksi Bersih Padi 2025'!E782)</f>
        <v/>
      </c>
      <c r="F782" s="28" t="str">
        <f>IF(D782="","",VLOOKUP(D782,'[1]0.1 Produksi Pangan &amp; Penduduk'!$D$5:$AK$860,34,0))</f>
        <v/>
      </c>
      <c r="G782" s="29" t="str">
        <f t="shared" si="60"/>
        <v/>
      </c>
      <c r="H782" s="29" t="str">
        <f t="shared" si="61"/>
        <v/>
      </c>
      <c r="I782" s="29" t="str">
        <f t="shared" si="62"/>
        <v/>
      </c>
      <c r="J782" s="29" t="str">
        <f t="shared" si="63"/>
        <v/>
      </c>
      <c r="K782" s="29" t="str">
        <f t="shared" si="64"/>
        <v/>
      </c>
    </row>
    <row r="783" spans="1:11" ht="15" x14ac:dyDescent="0.25">
      <c r="A783" s="1" t="str">
        <f>IF('1.1 Produksi Bersih Padi 2025'!A783="","",'1.1 Produksi Bersih Padi 2025'!A783)</f>
        <v/>
      </c>
      <c r="B783" s="31" t="str">
        <f>IF('1.1 Produksi Bersih Padi 2025'!B783="","",'1.1 Produksi Bersih Padi 2025'!B783)</f>
        <v/>
      </c>
      <c r="C783" s="31" t="str">
        <f>IF('1.1 Produksi Bersih Padi 2025'!C783="","",'1.1 Produksi Bersih Padi 2025'!C783)</f>
        <v/>
      </c>
      <c r="D783" s="1" t="str">
        <f>IF('1.1 Produksi Bersih Padi 2025'!D783="","",'1.1 Produksi Bersih Padi 2025'!D783)</f>
        <v/>
      </c>
      <c r="E783" s="1" t="str">
        <f>IF('1.1 Produksi Bersih Padi 2025'!E783="","",'1.1 Produksi Bersih Padi 2025'!E783)</f>
        <v/>
      </c>
      <c r="F783" s="28" t="str">
        <f>IF(D783="","",VLOOKUP(D783,'[1]0.1 Produksi Pangan &amp; Penduduk'!$D$5:$AK$860,34,0))</f>
        <v/>
      </c>
      <c r="G783" s="29" t="str">
        <f t="shared" si="60"/>
        <v/>
      </c>
      <c r="H783" s="29" t="str">
        <f t="shared" si="61"/>
        <v/>
      </c>
      <c r="I783" s="29" t="str">
        <f t="shared" si="62"/>
        <v/>
      </c>
      <c r="J783" s="29" t="str">
        <f t="shared" si="63"/>
        <v/>
      </c>
      <c r="K783" s="29" t="str">
        <f t="shared" si="64"/>
        <v/>
      </c>
    </row>
    <row r="784" spans="1:11" ht="15" x14ac:dyDescent="0.25">
      <c r="A784" s="1" t="str">
        <f>IF('1.1 Produksi Bersih Padi 2025'!A784="","",'1.1 Produksi Bersih Padi 2025'!A784)</f>
        <v/>
      </c>
      <c r="B784" s="31" t="str">
        <f>IF('1.1 Produksi Bersih Padi 2025'!B784="","",'1.1 Produksi Bersih Padi 2025'!B784)</f>
        <v/>
      </c>
      <c r="C784" s="31" t="str">
        <f>IF('1.1 Produksi Bersih Padi 2025'!C784="","",'1.1 Produksi Bersih Padi 2025'!C784)</f>
        <v/>
      </c>
      <c r="D784" s="1" t="str">
        <f>IF('1.1 Produksi Bersih Padi 2025'!D784="","",'1.1 Produksi Bersih Padi 2025'!D784)</f>
        <v/>
      </c>
      <c r="E784" s="1" t="str">
        <f>IF('1.1 Produksi Bersih Padi 2025'!E784="","",'1.1 Produksi Bersih Padi 2025'!E784)</f>
        <v/>
      </c>
      <c r="F784" s="28" t="str">
        <f>IF(D784="","",VLOOKUP(D784,'[1]0.1 Produksi Pangan &amp; Penduduk'!$D$5:$AK$860,34,0))</f>
        <v/>
      </c>
      <c r="G784" s="29" t="str">
        <f t="shared" si="60"/>
        <v/>
      </c>
      <c r="H784" s="29" t="str">
        <f t="shared" si="61"/>
        <v/>
      </c>
      <c r="I784" s="29" t="str">
        <f t="shared" si="62"/>
        <v/>
      </c>
      <c r="J784" s="29" t="str">
        <f t="shared" si="63"/>
        <v/>
      </c>
      <c r="K784" s="29" t="str">
        <f t="shared" si="64"/>
        <v/>
      </c>
    </row>
    <row r="785" spans="1:11" ht="15" x14ac:dyDescent="0.25">
      <c r="A785" s="1" t="str">
        <f>IF('1.1 Produksi Bersih Padi 2025'!A785="","",'1.1 Produksi Bersih Padi 2025'!A785)</f>
        <v/>
      </c>
      <c r="B785" s="31" t="str">
        <f>IF('1.1 Produksi Bersih Padi 2025'!B785="","",'1.1 Produksi Bersih Padi 2025'!B785)</f>
        <v/>
      </c>
      <c r="C785" s="31" t="str">
        <f>IF('1.1 Produksi Bersih Padi 2025'!C785="","",'1.1 Produksi Bersih Padi 2025'!C785)</f>
        <v/>
      </c>
      <c r="D785" s="1" t="str">
        <f>IF('1.1 Produksi Bersih Padi 2025'!D785="","",'1.1 Produksi Bersih Padi 2025'!D785)</f>
        <v/>
      </c>
      <c r="E785" s="1" t="str">
        <f>IF('1.1 Produksi Bersih Padi 2025'!E785="","",'1.1 Produksi Bersih Padi 2025'!E785)</f>
        <v/>
      </c>
      <c r="F785" s="28" t="str">
        <f>IF(D785="","",VLOOKUP(D785,'[1]0.1 Produksi Pangan &amp; Penduduk'!$D$5:$AK$860,34,0))</f>
        <v/>
      </c>
      <c r="G785" s="29" t="str">
        <f t="shared" si="60"/>
        <v/>
      </c>
      <c r="H785" s="29" t="str">
        <f t="shared" si="61"/>
        <v/>
      </c>
      <c r="I785" s="29" t="str">
        <f t="shared" si="62"/>
        <v/>
      </c>
      <c r="J785" s="29" t="str">
        <f t="shared" si="63"/>
        <v/>
      </c>
      <c r="K785" s="29" t="str">
        <f t="shared" si="64"/>
        <v/>
      </c>
    </row>
    <row r="786" spans="1:11" ht="15" x14ac:dyDescent="0.25">
      <c r="A786" s="1" t="str">
        <f>IF('1.1 Produksi Bersih Padi 2025'!A786="","",'1.1 Produksi Bersih Padi 2025'!A786)</f>
        <v/>
      </c>
      <c r="B786" s="31" t="str">
        <f>IF('1.1 Produksi Bersih Padi 2025'!B786="","",'1.1 Produksi Bersih Padi 2025'!B786)</f>
        <v/>
      </c>
      <c r="C786" s="31" t="str">
        <f>IF('1.1 Produksi Bersih Padi 2025'!C786="","",'1.1 Produksi Bersih Padi 2025'!C786)</f>
        <v/>
      </c>
      <c r="D786" s="1" t="str">
        <f>IF('1.1 Produksi Bersih Padi 2025'!D786="","",'1.1 Produksi Bersih Padi 2025'!D786)</f>
        <v/>
      </c>
      <c r="E786" s="1" t="str">
        <f>IF('1.1 Produksi Bersih Padi 2025'!E786="","",'1.1 Produksi Bersih Padi 2025'!E786)</f>
        <v/>
      </c>
      <c r="F786" s="28" t="str">
        <f>IF(D786="","",VLOOKUP(D786,'[1]0.1 Produksi Pangan &amp; Penduduk'!$D$5:$AK$860,34,0))</f>
        <v/>
      </c>
      <c r="G786" s="29" t="str">
        <f t="shared" si="60"/>
        <v/>
      </c>
      <c r="H786" s="29" t="str">
        <f t="shared" si="61"/>
        <v/>
      </c>
      <c r="I786" s="29" t="str">
        <f t="shared" si="62"/>
        <v/>
      </c>
      <c r="J786" s="29" t="str">
        <f t="shared" si="63"/>
        <v/>
      </c>
      <c r="K786" s="29" t="str">
        <f t="shared" si="64"/>
        <v/>
      </c>
    </row>
    <row r="787" spans="1:11" ht="15" x14ac:dyDescent="0.25">
      <c r="A787" s="1" t="str">
        <f>IF('1.1 Produksi Bersih Padi 2025'!A787="","",'1.1 Produksi Bersih Padi 2025'!A787)</f>
        <v/>
      </c>
      <c r="B787" s="31" t="str">
        <f>IF('1.1 Produksi Bersih Padi 2025'!B787="","",'1.1 Produksi Bersih Padi 2025'!B787)</f>
        <v/>
      </c>
      <c r="C787" s="31" t="str">
        <f>IF('1.1 Produksi Bersih Padi 2025'!C787="","",'1.1 Produksi Bersih Padi 2025'!C787)</f>
        <v/>
      </c>
      <c r="D787" s="1" t="str">
        <f>IF('1.1 Produksi Bersih Padi 2025'!D787="","",'1.1 Produksi Bersih Padi 2025'!D787)</f>
        <v/>
      </c>
      <c r="E787" s="1" t="str">
        <f>IF('1.1 Produksi Bersih Padi 2025'!E787="","",'1.1 Produksi Bersih Padi 2025'!E787)</f>
        <v/>
      </c>
      <c r="F787" s="28" t="str">
        <f>IF(D787="","",VLOOKUP(D787,'[1]0.1 Produksi Pangan &amp; Penduduk'!$D$5:$AK$860,34,0))</f>
        <v/>
      </c>
      <c r="G787" s="29" t="str">
        <f t="shared" si="60"/>
        <v/>
      </c>
      <c r="H787" s="29" t="str">
        <f t="shared" si="61"/>
        <v/>
      </c>
      <c r="I787" s="29" t="str">
        <f t="shared" si="62"/>
        <v/>
      </c>
      <c r="J787" s="29" t="str">
        <f t="shared" si="63"/>
        <v/>
      </c>
      <c r="K787" s="29" t="str">
        <f t="shared" si="64"/>
        <v/>
      </c>
    </row>
    <row r="788" spans="1:11" ht="15" x14ac:dyDescent="0.25">
      <c r="A788" s="1" t="str">
        <f>IF('1.1 Produksi Bersih Padi 2025'!A788="","",'1.1 Produksi Bersih Padi 2025'!A788)</f>
        <v/>
      </c>
      <c r="B788" s="31" t="str">
        <f>IF('1.1 Produksi Bersih Padi 2025'!B788="","",'1.1 Produksi Bersih Padi 2025'!B788)</f>
        <v/>
      </c>
      <c r="C788" s="31" t="str">
        <f>IF('1.1 Produksi Bersih Padi 2025'!C788="","",'1.1 Produksi Bersih Padi 2025'!C788)</f>
        <v/>
      </c>
      <c r="D788" s="1" t="str">
        <f>IF('1.1 Produksi Bersih Padi 2025'!D788="","",'1.1 Produksi Bersih Padi 2025'!D788)</f>
        <v/>
      </c>
      <c r="E788" s="1" t="str">
        <f>IF('1.1 Produksi Bersih Padi 2025'!E788="","",'1.1 Produksi Bersih Padi 2025'!E788)</f>
        <v/>
      </c>
      <c r="F788" s="28" t="str">
        <f>IF(D788="","",VLOOKUP(D788,'[1]0.1 Produksi Pangan &amp; Penduduk'!$D$5:$AK$860,34,0))</f>
        <v/>
      </c>
      <c r="G788" s="29" t="str">
        <f t="shared" si="60"/>
        <v/>
      </c>
      <c r="H788" s="29" t="str">
        <f t="shared" si="61"/>
        <v/>
      </c>
      <c r="I788" s="29" t="str">
        <f t="shared" si="62"/>
        <v/>
      </c>
      <c r="J788" s="29" t="str">
        <f t="shared" si="63"/>
        <v/>
      </c>
      <c r="K788" s="29" t="str">
        <f t="shared" si="64"/>
        <v/>
      </c>
    </row>
    <row r="789" spans="1:11" ht="15" x14ac:dyDescent="0.25">
      <c r="A789" s="1" t="str">
        <f>IF('1.1 Produksi Bersih Padi 2025'!A789="","",'1.1 Produksi Bersih Padi 2025'!A789)</f>
        <v/>
      </c>
      <c r="B789" s="31" t="str">
        <f>IF('1.1 Produksi Bersih Padi 2025'!B789="","",'1.1 Produksi Bersih Padi 2025'!B789)</f>
        <v/>
      </c>
      <c r="C789" s="31" t="str">
        <f>IF('1.1 Produksi Bersih Padi 2025'!C789="","",'1.1 Produksi Bersih Padi 2025'!C789)</f>
        <v/>
      </c>
      <c r="D789" s="1" t="str">
        <f>IF('1.1 Produksi Bersih Padi 2025'!D789="","",'1.1 Produksi Bersih Padi 2025'!D789)</f>
        <v/>
      </c>
      <c r="E789" s="1" t="str">
        <f>IF('1.1 Produksi Bersih Padi 2025'!E789="","",'1.1 Produksi Bersih Padi 2025'!E789)</f>
        <v/>
      </c>
      <c r="F789" s="28" t="str">
        <f>IF(D789="","",VLOOKUP(D789,'[1]0.1 Produksi Pangan &amp; Penduduk'!$D$5:$AK$860,34,0))</f>
        <v/>
      </c>
      <c r="G789" s="29" t="str">
        <f t="shared" si="60"/>
        <v/>
      </c>
      <c r="H789" s="29" t="str">
        <f t="shared" si="61"/>
        <v/>
      </c>
      <c r="I789" s="29" t="str">
        <f t="shared" si="62"/>
        <v/>
      </c>
      <c r="J789" s="29" t="str">
        <f t="shared" si="63"/>
        <v/>
      </c>
      <c r="K789" s="29" t="str">
        <f t="shared" si="64"/>
        <v/>
      </c>
    </row>
    <row r="790" spans="1:11" ht="15" x14ac:dyDescent="0.25">
      <c r="A790" s="1" t="str">
        <f>IF('1.1 Produksi Bersih Padi 2025'!A790="","",'1.1 Produksi Bersih Padi 2025'!A790)</f>
        <v/>
      </c>
      <c r="B790" s="31" t="str">
        <f>IF('1.1 Produksi Bersih Padi 2025'!B790="","",'1.1 Produksi Bersih Padi 2025'!B790)</f>
        <v/>
      </c>
      <c r="C790" s="31" t="str">
        <f>IF('1.1 Produksi Bersih Padi 2025'!C790="","",'1.1 Produksi Bersih Padi 2025'!C790)</f>
        <v/>
      </c>
      <c r="D790" s="1" t="str">
        <f>IF('1.1 Produksi Bersih Padi 2025'!D790="","",'1.1 Produksi Bersih Padi 2025'!D790)</f>
        <v/>
      </c>
      <c r="E790" s="1" t="str">
        <f>IF('1.1 Produksi Bersih Padi 2025'!E790="","",'1.1 Produksi Bersih Padi 2025'!E790)</f>
        <v/>
      </c>
      <c r="F790" s="28" t="str">
        <f>IF(D790="","",VLOOKUP(D790,'[1]0.1 Produksi Pangan &amp; Penduduk'!$D$5:$AK$860,34,0))</f>
        <v/>
      </c>
      <c r="G790" s="29" t="str">
        <f t="shared" si="60"/>
        <v/>
      </c>
      <c r="H790" s="29" t="str">
        <f t="shared" si="61"/>
        <v/>
      </c>
      <c r="I790" s="29" t="str">
        <f t="shared" si="62"/>
        <v/>
      </c>
      <c r="J790" s="29" t="str">
        <f t="shared" si="63"/>
        <v/>
      </c>
      <c r="K790" s="29" t="str">
        <f t="shared" si="64"/>
        <v/>
      </c>
    </row>
    <row r="791" spans="1:11" ht="15" x14ac:dyDescent="0.25">
      <c r="A791" s="1" t="str">
        <f>IF('1.1 Produksi Bersih Padi 2025'!A791="","",'1.1 Produksi Bersih Padi 2025'!A791)</f>
        <v/>
      </c>
      <c r="B791" s="31" t="str">
        <f>IF('1.1 Produksi Bersih Padi 2025'!B791="","",'1.1 Produksi Bersih Padi 2025'!B791)</f>
        <v/>
      </c>
      <c r="C791" s="31" t="str">
        <f>IF('1.1 Produksi Bersih Padi 2025'!C791="","",'1.1 Produksi Bersih Padi 2025'!C791)</f>
        <v/>
      </c>
      <c r="D791" s="1" t="str">
        <f>IF('1.1 Produksi Bersih Padi 2025'!D791="","",'1.1 Produksi Bersih Padi 2025'!D791)</f>
        <v/>
      </c>
      <c r="E791" s="1" t="str">
        <f>IF('1.1 Produksi Bersih Padi 2025'!E791="","",'1.1 Produksi Bersih Padi 2025'!E791)</f>
        <v/>
      </c>
      <c r="F791" s="28" t="str">
        <f>IF(D791="","",VLOOKUP(D791,'[1]0.1 Produksi Pangan &amp; Penduduk'!$D$5:$AK$860,34,0))</f>
        <v/>
      </c>
      <c r="G791" s="29" t="str">
        <f t="shared" si="60"/>
        <v/>
      </c>
      <c r="H791" s="29" t="str">
        <f t="shared" si="61"/>
        <v/>
      </c>
      <c r="I791" s="29" t="str">
        <f t="shared" si="62"/>
        <v/>
      </c>
      <c r="J791" s="29" t="str">
        <f t="shared" si="63"/>
        <v/>
      </c>
      <c r="K791" s="29" t="str">
        <f t="shared" si="64"/>
        <v/>
      </c>
    </row>
    <row r="792" spans="1:11" ht="15" x14ac:dyDescent="0.25">
      <c r="A792" s="1" t="str">
        <f>IF('1.1 Produksi Bersih Padi 2025'!A792="","",'1.1 Produksi Bersih Padi 2025'!A792)</f>
        <v/>
      </c>
      <c r="B792" s="31" t="str">
        <f>IF('1.1 Produksi Bersih Padi 2025'!B792="","",'1.1 Produksi Bersih Padi 2025'!B792)</f>
        <v/>
      </c>
      <c r="C792" s="31" t="str">
        <f>IF('1.1 Produksi Bersih Padi 2025'!C792="","",'1.1 Produksi Bersih Padi 2025'!C792)</f>
        <v/>
      </c>
      <c r="D792" s="1" t="str">
        <f>IF('1.1 Produksi Bersih Padi 2025'!D792="","",'1.1 Produksi Bersih Padi 2025'!D792)</f>
        <v/>
      </c>
      <c r="E792" s="1" t="str">
        <f>IF('1.1 Produksi Bersih Padi 2025'!E792="","",'1.1 Produksi Bersih Padi 2025'!E792)</f>
        <v/>
      </c>
      <c r="F792" s="28" t="str">
        <f>IF(D792="","",VLOOKUP(D792,'[1]0.1 Produksi Pangan &amp; Penduduk'!$D$5:$AK$860,34,0))</f>
        <v/>
      </c>
      <c r="G792" s="29" t="str">
        <f t="shared" si="60"/>
        <v/>
      </c>
      <c r="H792" s="29" t="str">
        <f t="shared" si="61"/>
        <v/>
      </c>
      <c r="I792" s="29" t="str">
        <f t="shared" si="62"/>
        <v/>
      </c>
      <c r="J792" s="29" t="str">
        <f t="shared" si="63"/>
        <v/>
      </c>
      <c r="K792" s="29" t="str">
        <f t="shared" si="64"/>
        <v/>
      </c>
    </row>
    <row r="793" spans="1:11" ht="15" x14ac:dyDescent="0.25">
      <c r="A793" s="1" t="str">
        <f>IF('1.1 Produksi Bersih Padi 2025'!A793="","",'1.1 Produksi Bersih Padi 2025'!A793)</f>
        <v/>
      </c>
      <c r="B793" s="31" t="str">
        <f>IF('1.1 Produksi Bersih Padi 2025'!B793="","",'1.1 Produksi Bersih Padi 2025'!B793)</f>
        <v/>
      </c>
      <c r="C793" s="31" t="str">
        <f>IF('1.1 Produksi Bersih Padi 2025'!C793="","",'1.1 Produksi Bersih Padi 2025'!C793)</f>
        <v/>
      </c>
      <c r="D793" s="1" t="str">
        <f>IF('1.1 Produksi Bersih Padi 2025'!D793="","",'1.1 Produksi Bersih Padi 2025'!D793)</f>
        <v/>
      </c>
      <c r="E793" s="1" t="str">
        <f>IF('1.1 Produksi Bersih Padi 2025'!E793="","",'1.1 Produksi Bersih Padi 2025'!E793)</f>
        <v/>
      </c>
      <c r="F793" s="28" t="str">
        <f>IF(D793="","",VLOOKUP(D793,'[1]0.1 Produksi Pangan &amp; Penduduk'!$D$5:$AK$860,34,0))</f>
        <v/>
      </c>
      <c r="G793" s="29" t="str">
        <f t="shared" si="60"/>
        <v/>
      </c>
      <c r="H793" s="29" t="str">
        <f t="shared" si="61"/>
        <v/>
      </c>
      <c r="I793" s="29" t="str">
        <f t="shared" si="62"/>
        <v/>
      </c>
      <c r="J793" s="29" t="str">
        <f t="shared" si="63"/>
        <v/>
      </c>
      <c r="K793" s="29" t="str">
        <f t="shared" si="64"/>
        <v/>
      </c>
    </row>
    <row r="794" spans="1:11" ht="15" x14ac:dyDescent="0.25">
      <c r="A794" s="1" t="str">
        <f>IF('1.1 Produksi Bersih Padi 2025'!A794="","",'1.1 Produksi Bersih Padi 2025'!A794)</f>
        <v/>
      </c>
      <c r="B794" s="31" t="str">
        <f>IF('1.1 Produksi Bersih Padi 2025'!B794="","",'1.1 Produksi Bersih Padi 2025'!B794)</f>
        <v/>
      </c>
      <c r="C794" s="31" t="str">
        <f>IF('1.1 Produksi Bersih Padi 2025'!C794="","",'1.1 Produksi Bersih Padi 2025'!C794)</f>
        <v/>
      </c>
      <c r="D794" s="1" t="str">
        <f>IF('1.1 Produksi Bersih Padi 2025'!D794="","",'1.1 Produksi Bersih Padi 2025'!D794)</f>
        <v/>
      </c>
      <c r="E794" s="1" t="str">
        <f>IF('1.1 Produksi Bersih Padi 2025'!E794="","",'1.1 Produksi Bersih Padi 2025'!E794)</f>
        <v/>
      </c>
      <c r="F794" s="28" t="str">
        <f>IF(D794="","",VLOOKUP(D794,'[1]0.1 Produksi Pangan &amp; Penduduk'!$D$5:$AK$860,34,0))</f>
        <v/>
      </c>
      <c r="G794" s="29" t="str">
        <f t="shared" si="60"/>
        <v/>
      </c>
      <c r="H794" s="29" t="str">
        <f t="shared" si="61"/>
        <v/>
      </c>
      <c r="I794" s="29" t="str">
        <f t="shared" si="62"/>
        <v/>
      </c>
      <c r="J794" s="29" t="str">
        <f t="shared" si="63"/>
        <v/>
      </c>
      <c r="K794" s="29" t="str">
        <f t="shared" si="64"/>
        <v/>
      </c>
    </row>
    <row r="795" spans="1:11" ht="15" x14ac:dyDescent="0.25">
      <c r="A795" s="1" t="str">
        <f>IF('1.1 Produksi Bersih Padi 2025'!A795="","",'1.1 Produksi Bersih Padi 2025'!A795)</f>
        <v/>
      </c>
      <c r="B795" s="31" t="str">
        <f>IF('1.1 Produksi Bersih Padi 2025'!B795="","",'1.1 Produksi Bersih Padi 2025'!B795)</f>
        <v/>
      </c>
      <c r="C795" s="31" t="str">
        <f>IF('1.1 Produksi Bersih Padi 2025'!C795="","",'1.1 Produksi Bersih Padi 2025'!C795)</f>
        <v/>
      </c>
      <c r="D795" s="1" t="str">
        <f>IF('1.1 Produksi Bersih Padi 2025'!D795="","",'1.1 Produksi Bersih Padi 2025'!D795)</f>
        <v/>
      </c>
      <c r="E795" s="1" t="str">
        <f>IF('1.1 Produksi Bersih Padi 2025'!E795="","",'1.1 Produksi Bersih Padi 2025'!E795)</f>
        <v/>
      </c>
      <c r="F795" s="28" t="str">
        <f>IF(D795="","",VLOOKUP(D795,'[1]0.1 Produksi Pangan &amp; Penduduk'!$D$5:$AK$860,34,0))</f>
        <v/>
      </c>
      <c r="G795" s="29" t="str">
        <f t="shared" si="60"/>
        <v/>
      </c>
      <c r="H795" s="29" t="str">
        <f t="shared" si="61"/>
        <v/>
      </c>
      <c r="I795" s="29" t="str">
        <f t="shared" si="62"/>
        <v/>
      </c>
      <c r="J795" s="29" t="str">
        <f t="shared" si="63"/>
        <v/>
      </c>
      <c r="K795" s="29" t="str">
        <f t="shared" si="64"/>
        <v/>
      </c>
    </row>
    <row r="796" spans="1:11" ht="15" x14ac:dyDescent="0.25">
      <c r="A796" s="1" t="str">
        <f>IF('1.1 Produksi Bersih Padi 2025'!A796="","",'1.1 Produksi Bersih Padi 2025'!A796)</f>
        <v/>
      </c>
      <c r="B796" s="31" t="str">
        <f>IF('1.1 Produksi Bersih Padi 2025'!B796="","",'1.1 Produksi Bersih Padi 2025'!B796)</f>
        <v/>
      </c>
      <c r="C796" s="31" t="str">
        <f>IF('1.1 Produksi Bersih Padi 2025'!C796="","",'1.1 Produksi Bersih Padi 2025'!C796)</f>
        <v/>
      </c>
      <c r="D796" s="1" t="str">
        <f>IF('1.1 Produksi Bersih Padi 2025'!D796="","",'1.1 Produksi Bersih Padi 2025'!D796)</f>
        <v/>
      </c>
      <c r="E796" s="1" t="str">
        <f>IF('1.1 Produksi Bersih Padi 2025'!E796="","",'1.1 Produksi Bersih Padi 2025'!E796)</f>
        <v/>
      </c>
      <c r="F796" s="28" t="str">
        <f>IF(D796="","",VLOOKUP(D796,'[1]0.1 Produksi Pangan &amp; Penduduk'!$D$5:$AK$860,34,0))</f>
        <v/>
      </c>
      <c r="G796" s="29" t="str">
        <f t="shared" si="60"/>
        <v/>
      </c>
      <c r="H796" s="29" t="str">
        <f t="shared" si="61"/>
        <v/>
      </c>
      <c r="I796" s="29" t="str">
        <f t="shared" si="62"/>
        <v/>
      </c>
      <c r="J796" s="29" t="str">
        <f t="shared" si="63"/>
        <v/>
      </c>
      <c r="K796" s="29" t="str">
        <f t="shared" si="64"/>
        <v/>
      </c>
    </row>
    <row r="797" spans="1:11" ht="15" x14ac:dyDescent="0.25">
      <c r="A797" s="1" t="str">
        <f>IF('1.1 Produksi Bersih Padi 2025'!A797="","",'1.1 Produksi Bersih Padi 2025'!A797)</f>
        <v/>
      </c>
      <c r="B797" s="31" t="str">
        <f>IF('1.1 Produksi Bersih Padi 2025'!B797="","",'1.1 Produksi Bersih Padi 2025'!B797)</f>
        <v/>
      </c>
      <c r="C797" s="31" t="str">
        <f>IF('1.1 Produksi Bersih Padi 2025'!C797="","",'1.1 Produksi Bersih Padi 2025'!C797)</f>
        <v/>
      </c>
      <c r="D797" s="1" t="str">
        <f>IF('1.1 Produksi Bersih Padi 2025'!D797="","",'1.1 Produksi Bersih Padi 2025'!D797)</f>
        <v/>
      </c>
      <c r="E797" s="1" t="str">
        <f>IF('1.1 Produksi Bersih Padi 2025'!E797="","",'1.1 Produksi Bersih Padi 2025'!E797)</f>
        <v/>
      </c>
      <c r="F797" s="28" t="str">
        <f>IF(D797="","",VLOOKUP(D797,'[1]0.1 Produksi Pangan &amp; Penduduk'!$D$5:$AK$860,34,0))</f>
        <v/>
      </c>
      <c r="G797" s="29" t="str">
        <f t="shared" si="60"/>
        <v/>
      </c>
      <c r="H797" s="29" t="str">
        <f t="shared" si="61"/>
        <v/>
      </c>
      <c r="I797" s="29" t="str">
        <f t="shared" si="62"/>
        <v/>
      </c>
      <c r="J797" s="29" t="str">
        <f t="shared" si="63"/>
        <v/>
      </c>
      <c r="K797" s="29" t="str">
        <f t="shared" si="64"/>
        <v/>
      </c>
    </row>
    <row r="798" spans="1:11" ht="15" x14ac:dyDescent="0.25">
      <c r="A798" s="1" t="str">
        <f>IF('1.1 Produksi Bersih Padi 2025'!A798="","",'1.1 Produksi Bersih Padi 2025'!A798)</f>
        <v/>
      </c>
      <c r="B798" s="31" t="str">
        <f>IF('1.1 Produksi Bersih Padi 2025'!B798="","",'1.1 Produksi Bersih Padi 2025'!B798)</f>
        <v/>
      </c>
      <c r="C798" s="31" t="str">
        <f>IF('1.1 Produksi Bersih Padi 2025'!C798="","",'1.1 Produksi Bersih Padi 2025'!C798)</f>
        <v/>
      </c>
      <c r="D798" s="1" t="str">
        <f>IF('1.1 Produksi Bersih Padi 2025'!D798="","",'1.1 Produksi Bersih Padi 2025'!D798)</f>
        <v/>
      </c>
      <c r="E798" s="1" t="str">
        <f>IF('1.1 Produksi Bersih Padi 2025'!E798="","",'1.1 Produksi Bersih Padi 2025'!E798)</f>
        <v/>
      </c>
      <c r="F798" s="28" t="str">
        <f>IF(D798="","",VLOOKUP(D798,'[1]0.1 Produksi Pangan &amp; Penduduk'!$D$5:$AK$860,34,0))</f>
        <v/>
      </c>
      <c r="G798" s="29" t="str">
        <f t="shared" si="60"/>
        <v/>
      </c>
      <c r="H798" s="29" t="str">
        <f t="shared" si="61"/>
        <v/>
      </c>
      <c r="I798" s="29" t="str">
        <f t="shared" si="62"/>
        <v/>
      </c>
      <c r="J798" s="29" t="str">
        <f t="shared" si="63"/>
        <v/>
      </c>
      <c r="K798" s="29" t="str">
        <f t="shared" si="64"/>
        <v/>
      </c>
    </row>
    <row r="799" spans="1:11" ht="15" x14ac:dyDescent="0.25">
      <c r="A799" s="1" t="str">
        <f>IF('1.1 Produksi Bersih Padi 2025'!A799="","",'1.1 Produksi Bersih Padi 2025'!A799)</f>
        <v/>
      </c>
      <c r="B799" s="31" t="str">
        <f>IF('1.1 Produksi Bersih Padi 2025'!B799="","",'1.1 Produksi Bersih Padi 2025'!B799)</f>
        <v/>
      </c>
      <c r="C799" s="31" t="str">
        <f>IF('1.1 Produksi Bersih Padi 2025'!C799="","",'1.1 Produksi Bersih Padi 2025'!C799)</f>
        <v/>
      </c>
      <c r="D799" s="1" t="str">
        <f>IF('1.1 Produksi Bersih Padi 2025'!D799="","",'1.1 Produksi Bersih Padi 2025'!D799)</f>
        <v/>
      </c>
      <c r="E799" s="1" t="str">
        <f>IF('1.1 Produksi Bersih Padi 2025'!E799="","",'1.1 Produksi Bersih Padi 2025'!E799)</f>
        <v/>
      </c>
      <c r="F799" s="28" t="str">
        <f>IF(D799="","",VLOOKUP(D799,'[1]0.1 Produksi Pangan &amp; Penduduk'!$D$5:$AK$860,34,0))</f>
        <v/>
      </c>
      <c r="G799" s="29" t="str">
        <f t="shared" si="60"/>
        <v/>
      </c>
      <c r="H799" s="29" t="str">
        <f t="shared" si="61"/>
        <v/>
      </c>
      <c r="I799" s="29" t="str">
        <f t="shared" si="62"/>
        <v/>
      </c>
      <c r="J799" s="29" t="str">
        <f t="shared" si="63"/>
        <v/>
      </c>
      <c r="K799" s="29" t="str">
        <f t="shared" si="64"/>
        <v/>
      </c>
    </row>
    <row r="800" spans="1:11" ht="15" x14ac:dyDescent="0.25">
      <c r="A800" s="1" t="str">
        <f>IF('1.1 Produksi Bersih Padi 2025'!A800="","",'1.1 Produksi Bersih Padi 2025'!A800)</f>
        <v/>
      </c>
      <c r="B800" s="31" t="str">
        <f>IF('1.1 Produksi Bersih Padi 2025'!B800="","",'1.1 Produksi Bersih Padi 2025'!B800)</f>
        <v/>
      </c>
      <c r="C800" s="31" t="str">
        <f>IF('1.1 Produksi Bersih Padi 2025'!C800="","",'1.1 Produksi Bersih Padi 2025'!C800)</f>
        <v/>
      </c>
      <c r="D800" s="1" t="str">
        <f>IF('1.1 Produksi Bersih Padi 2025'!D800="","",'1.1 Produksi Bersih Padi 2025'!D800)</f>
        <v/>
      </c>
      <c r="E800" s="1" t="str">
        <f>IF('1.1 Produksi Bersih Padi 2025'!E800="","",'1.1 Produksi Bersih Padi 2025'!E800)</f>
        <v/>
      </c>
      <c r="F800" s="28" t="str">
        <f>IF(D800="","",VLOOKUP(D800,'[1]0.1 Produksi Pangan &amp; Penduduk'!$D$5:$AK$860,34,0))</f>
        <v/>
      </c>
      <c r="G800" s="29" t="str">
        <f t="shared" si="60"/>
        <v/>
      </c>
      <c r="H800" s="29" t="str">
        <f t="shared" si="61"/>
        <v/>
      </c>
      <c r="I800" s="29" t="str">
        <f t="shared" si="62"/>
        <v/>
      </c>
      <c r="J800" s="29" t="str">
        <f t="shared" si="63"/>
        <v/>
      </c>
      <c r="K800" s="29" t="str">
        <f t="shared" si="64"/>
        <v/>
      </c>
    </row>
    <row r="801" spans="1:11" ht="15" x14ac:dyDescent="0.25">
      <c r="A801" s="1" t="str">
        <f>IF('1.1 Produksi Bersih Padi 2025'!A801="","",'1.1 Produksi Bersih Padi 2025'!A801)</f>
        <v/>
      </c>
      <c r="B801" s="31" t="str">
        <f>IF('1.1 Produksi Bersih Padi 2025'!B801="","",'1.1 Produksi Bersih Padi 2025'!B801)</f>
        <v/>
      </c>
      <c r="C801" s="31" t="str">
        <f>IF('1.1 Produksi Bersih Padi 2025'!C801="","",'1.1 Produksi Bersih Padi 2025'!C801)</f>
        <v/>
      </c>
      <c r="D801" s="1" t="str">
        <f>IF('1.1 Produksi Bersih Padi 2025'!D801="","",'1.1 Produksi Bersih Padi 2025'!D801)</f>
        <v/>
      </c>
      <c r="E801" s="1" t="str">
        <f>IF('1.1 Produksi Bersih Padi 2025'!E801="","",'1.1 Produksi Bersih Padi 2025'!E801)</f>
        <v/>
      </c>
      <c r="F801" s="28" t="str">
        <f>IF(D801="","",VLOOKUP(D801,'[1]0.1 Produksi Pangan &amp; Penduduk'!$D$5:$AK$860,34,0))</f>
        <v/>
      </c>
      <c r="G801" s="29" t="str">
        <f t="shared" si="60"/>
        <v/>
      </c>
      <c r="H801" s="29" t="str">
        <f t="shared" si="61"/>
        <v/>
      </c>
      <c r="I801" s="29" t="str">
        <f t="shared" si="62"/>
        <v/>
      </c>
      <c r="J801" s="29" t="str">
        <f t="shared" si="63"/>
        <v/>
      </c>
      <c r="K801" s="29" t="str">
        <f t="shared" si="64"/>
        <v/>
      </c>
    </row>
    <row r="802" spans="1:11" ht="15" x14ac:dyDescent="0.25">
      <c r="A802" s="1" t="str">
        <f>IF('1.1 Produksi Bersih Padi 2025'!A802="","",'1.1 Produksi Bersih Padi 2025'!A802)</f>
        <v/>
      </c>
      <c r="B802" s="31" t="str">
        <f>IF('1.1 Produksi Bersih Padi 2025'!B802="","",'1.1 Produksi Bersih Padi 2025'!B802)</f>
        <v/>
      </c>
      <c r="C802" s="31" t="str">
        <f>IF('1.1 Produksi Bersih Padi 2025'!C802="","",'1.1 Produksi Bersih Padi 2025'!C802)</f>
        <v/>
      </c>
      <c r="D802" s="1" t="str">
        <f>IF('1.1 Produksi Bersih Padi 2025'!D802="","",'1.1 Produksi Bersih Padi 2025'!D802)</f>
        <v/>
      </c>
      <c r="E802" s="1" t="str">
        <f>IF('1.1 Produksi Bersih Padi 2025'!E802="","",'1.1 Produksi Bersih Padi 2025'!E802)</f>
        <v/>
      </c>
      <c r="F802" s="28" t="str">
        <f>IF(D802="","",VLOOKUP(D802,'[1]0.1 Produksi Pangan &amp; Penduduk'!$D$5:$AK$860,34,0))</f>
        <v/>
      </c>
      <c r="G802" s="29" t="str">
        <f t="shared" si="60"/>
        <v/>
      </c>
      <c r="H802" s="29" t="str">
        <f t="shared" si="61"/>
        <v/>
      </c>
      <c r="I802" s="29" t="str">
        <f t="shared" si="62"/>
        <v/>
      </c>
      <c r="J802" s="29" t="str">
        <f t="shared" si="63"/>
        <v/>
      </c>
      <c r="K802" s="29" t="str">
        <f t="shared" si="64"/>
        <v/>
      </c>
    </row>
    <row r="803" spans="1:11" ht="15" x14ac:dyDescent="0.25">
      <c r="A803" s="1" t="str">
        <f>IF('1.1 Produksi Bersih Padi 2025'!A803="","",'1.1 Produksi Bersih Padi 2025'!A803)</f>
        <v/>
      </c>
      <c r="B803" s="31" t="str">
        <f>IF('1.1 Produksi Bersih Padi 2025'!B803="","",'1.1 Produksi Bersih Padi 2025'!B803)</f>
        <v/>
      </c>
      <c r="C803" s="31" t="str">
        <f>IF('1.1 Produksi Bersih Padi 2025'!C803="","",'1.1 Produksi Bersih Padi 2025'!C803)</f>
        <v/>
      </c>
      <c r="D803" s="1" t="str">
        <f>IF('1.1 Produksi Bersih Padi 2025'!D803="","",'1.1 Produksi Bersih Padi 2025'!D803)</f>
        <v/>
      </c>
      <c r="E803" s="1" t="str">
        <f>IF('1.1 Produksi Bersih Padi 2025'!E803="","",'1.1 Produksi Bersih Padi 2025'!E803)</f>
        <v/>
      </c>
      <c r="F803" s="28" t="str">
        <f>IF(D803="","",VLOOKUP(D803,'[1]0.1 Produksi Pangan &amp; Penduduk'!$D$5:$AK$860,34,0))</f>
        <v/>
      </c>
      <c r="G803" s="29" t="str">
        <f t="shared" si="60"/>
        <v/>
      </c>
      <c r="H803" s="29" t="str">
        <f t="shared" si="61"/>
        <v/>
      </c>
      <c r="I803" s="29" t="str">
        <f t="shared" si="62"/>
        <v/>
      </c>
      <c r="J803" s="29" t="str">
        <f t="shared" si="63"/>
        <v/>
      </c>
      <c r="K803" s="29" t="str">
        <f t="shared" si="64"/>
        <v/>
      </c>
    </row>
    <row r="804" spans="1:11" ht="15" x14ac:dyDescent="0.25">
      <c r="A804" s="1" t="str">
        <f>IF('1.1 Produksi Bersih Padi 2025'!A804="","",'1.1 Produksi Bersih Padi 2025'!A804)</f>
        <v/>
      </c>
      <c r="B804" s="31" t="str">
        <f>IF('1.1 Produksi Bersih Padi 2025'!B804="","",'1.1 Produksi Bersih Padi 2025'!B804)</f>
        <v/>
      </c>
      <c r="C804" s="31" t="str">
        <f>IF('1.1 Produksi Bersih Padi 2025'!C804="","",'1.1 Produksi Bersih Padi 2025'!C804)</f>
        <v/>
      </c>
      <c r="D804" s="1" t="str">
        <f>IF('1.1 Produksi Bersih Padi 2025'!D804="","",'1.1 Produksi Bersih Padi 2025'!D804)</f>
        <v/>
      </c>
      <c r="E804" s="1" t="str">
        <f>IF('1.1 Produksi Bersih Padi 2025'!E804="","",'1.1 Produksi Bersih Padi 2025'!E804)</f>
        <v/>
      </c>
      <c r="F804" s="28" t="str">
        <f>IF(D804="","",VLOOKUP(D804,'[1]0.1 Produksi Pangan &amp; Penduduk'!$D$5:$AK$860,34,0))</f>
        <v/>
      </c>
      <c r="G804" s="29" t="str">
        <f t="shared" si="60"/>
        <v/>
      </c>
      <c r="H804" s="29" t="str">
        <f t="shared" si="61"/>
        <v/>
      </c>
      <c r="I804" s="29" t="str">
        <f t="shared" si="62"/>
        <v/>
      </c>
      <c r="J804" s="29" t="str">
        <f t="shared" si="63"/>
        <v/>
      </c>
      <c r="K804" s="29" t="str">
        <f t="shared" si="64"/>
        <v/>
      </c>
    </row>
    <row r="805" spans="1:11" ht="15" x14ac:dyDescent="0.25">
      <c r="A805" s="1" t="str">
        <f>IF('1.1 Produksi Bersih Padi 2025'!A805="","",'1.1 Produksi Bersih Padi 2025'!A805)</f>
        <v/>
      </c>
      <c r="B805" s="31" t="str">
        <f>IF('1.1 Produksi Bersih Padi 2025'!B805="","",'1.1 Produksi Bersih Padi 2025'!B805)</f>
        <v/>
      </c>
      <c r="C805" s="31" t="str">
        <f>IF('1.1 Produksi Bersih Padi 2025'!C805="","",'1.1 Produksi Bersih Padi 2025'!C805)</f>
        <v/>
      </c>
      <c r="D805" s="1" t="str">
        <f>IF('1.1 Produksi Bersih Padi 2025'!D805="","",'1.1 Produksi Bersih Padi 2025'!D805)</f>
        <v/>
      </c>
      <c r="E805" s="1" t="str">
        <f>IF('1.1 Produksi Bersih Padi 2025'!E805="","",'1.1 Produksi Bersih Padi 2025'!E805)</f>
        <v/>
      </c>
      <c r="F805" s="28" t="str">
        <f>IF(D805="","",VLOOKUP(D805,'[1]0.1 Produksi Pangan &amp; Penduduk'!$D$5:$AK$860,34,0))</f>
        <v/>
      </c>
      <c r="G805" s="29" t="str">
        <f t="shared" si="60"/>
        <v/>
      </c>
      <c r="H805" s="29" t="str">
        <f t="shared" si="61"/>
        <v/>
      </c>
      <c r="I805" s="29" t="str">
        <f t="shared" si="62"/>
        <v/>
      </c>
      <c r="J805" s="29" t="str">
        <f t="shared" si="63"/>
        <v/>
      </c>
      <c r="K805" s="29" t="str">
        <f t="shared" si="64"/>
        <v/>
      </c>
    </row>
    <row r="806" spans="1:11" ht="15" x14ac:dyDescent="0.25">
      <c r="A806" s="1" t="str">
        <f>IF('1.1 Produksi Bersih Padi 2025'!A806="","",'1.1 Produksi Bersih Padi 2025'!A806)</f>
        <v/>
      </c>
      <c r="B806" s="31" t="str">
        <f>IF('1.1 Produksi Bersih Padi 2025'!B806="","",'1.1 Produksi Bersih Padi 2025'!B806)</f>
        <v/>
      </c>
      <c r="C806" s="31" t="str">
        <f>IF('1.1 Produksi Bersih Padi 2025'!C806="","",'1.1 Produksi Bersih Padi 2025'!C806)</f>
        <v/>
      </c>
      <c r="D806" s="1" t="str">
        <f>IF('1.1 Produksi Bersih Padi 2025'!D806="","",'1.1 Produksi Bersih Padi 2025'!D806)</f>
        <v/>
      </c>
      <c r="E806" s="1" t="str">
        <f>IF('1.1 Produksi Bersih Padi 2025'!E806="","",'1.1 Produksi Bersih Padi 2025'!E806)</f>
        <v/>
      </c>
      <c r="F806" s="28" t="str">
        <f>IF(D806="","",VLOOKUP(D806,'[1]0.1 Produksi Pangan &amp; Penduduk'!$D$5:$AK$860,34,0))</f>
        <v/>
      </c>
      <c r="G806" s="29" t="str">
        <f t="shared" si="60"/>
        <v/>
      </c>
      <c r="H806" s="29" t="str">
        <f t="shared" si="61"/>
        <v/>
      </c>
      <c r="I806" s="29" t="str">
        <f t="shared" si="62"/>
        <v/>
      </c>
      <c r="J806" s="29" t="str">
        <f t="shared" si="63"/>
        <v/>
      </c>
      <c r="K806" s="29" t="str">
        <f t="shared" si="64"/>
        <v/>
      </c>
    </row>
    <row r="807" spans="1:11" ht="15" x14ac:dyDescent="0.25">
      <c r="A807" s="1" t="str">
        <f>IF('1.1 Produksi Bersih Padi 2025'!A807="","",'1.1 Produksi Bersih Padi 2025'!A807)</f>
        <v/>
      </c>
      <c r="B807" s="31" t="str">
        <f>IF('1.1 Produksi Bersih Padi 2025'!B807="","",'1.1 Produksi Bersih Padi 2025'!B807)</f>
        <v/>
      </c>
      <c r="C807" s="31" t="str">
        <f>IF('1.1 Produksi Bersih Padi 2025'!C807="","",'1.1 Produksi Bersih Padi 2025'!C807)</f>
        <v/>
      </c>
      <c r="D807" s="1" t="str">
        <f>IF('1.1 Produksi Bersih Padi 2025'!D807="","",'1.1 Produksi Bersih Padi 2025'!D807)</f>
        <v/>
      </c>
      <c r="E807" s="1" t="str">
        <f>IF('1.1 Produksi Bersih Padi 2025'!E807="","",'1.1 Produksi Bersih Padi 2025'!E807)</f>
        <v/>
      </c>
      <c r="F807" s="28" t="str">
        <f>IF(D807="","",VLOOKUP(D807,'[1]0.1 Produksi Pangan &amp; Penduduk'!$D$5:$AK$860,34,0))</f>
        <v/>
      </c>
      <c r="G807" s="29" t="str">
        <f t="shared" si="60"/>
        <v/>
      </c>
      <c r="H807" s="29" t="str">
        <f t="shared" si="61"/>
        <v/>
      </c>
      <c r="I807" s="29" t="str">
        <f t="shared" si="62"/>
        <v/>
      </c>
      <c r="J807" s="29" t="str">
        <f t="shared" si="63"/>
        <v/>
      </c>
      <c r="K807" s="29" t="str">
        <f t="shared" si="64"/>
        <v/>
      </c>
    </row>
    <row r="808" spans="1:11" ht="15" x14ac:dyDescent="0.25">
      <c r="A808" s="1" t="str">
        <f>IF('1.1 Produksi Bersih Padi 2025'!A808="","",'1.1 Produksi Bersih Padi 2025'!A808)</f>
        <v/>
      </c>
      <c r="B808" s="31" t="str">
        <f>IF('1.1 Produksi Bersih Padi 2025'!B808="","",'1.1 Produksi Bersih Padi 2025'!B808)</f>
        <v/>
      </c>
      <c r="C808" s="31" t="str">
        <f>IF('1.1 Produksi Bersih Padi 2025'!C808="","",'1.1 Produksi Bersih Padi 2025'!C808)</f>
        <v/>
      </c>
      <c r="D808" s="1" t="str">
        <f>IF('1.1 Produksi Bersih Padi 2025'!D808="","",'1.1 Produksi Bersih Padi 2025'!D808)</f>
        <v/>
      </c>
      <c r="E808" s="1" t="str">
        <f>IF('1.1 Produksi Bersih Padi 2025'!E808="","",'1.1 Produksi Bersih Padi 2025'!E808)</f>
        <v/>
      </c>
      <c r="F808" s="28" t="str">
        <f>IF(D808="","",VLOOKUP(D808,'[1]0.1 Produksi Pangan &amp; Penduduk'!$D$5:$AK$860,34,0))</f>
        <v/>
      </c>
      <c r="G808" s="29" t="str">
        <f t="shared" si="60"/>
        <v/>
      </c>
      <c r="H808" s="29" t="str">
        <f t="shared" si="61"/>
        <v/>
      </c>
      <c r="I808" s="29" t="str">
        <f t="shared" si="62"/>
        <v/>
      </c>
      <c r="J808" s="29" t="str">
        <f t="shared" si="63"/>
        <v/>
      </c>
      <c r="K808" s="29" t="str">
        <f t="shared" si="64"/>
        <v/>
      </c>
    </row>
    <row r="809" spans="1:11" ht="15" x14ac:dyDescent="0.25">
      <c r="A809" s="1" t="str">
        <f>IF('1.1 Produksi Bersih Padi 2025'!A809="","",'1.1 Produksi Bersih Padi 2025'!A809)</f>
        <v/>
      </c>
      <c r="B809" s="31" t="str">
        <f>IF('1.1 Produksi Bersih Padi 2025'!B809="","",'1.1 Produksi Bersih Padi 2025'!B809)</f>
        <v/>
      </c>
      <c r="C809" s="31" t="str">
        <f>IF('1.1 Produksi Bersih Padi 2025'!C809="","",'1.1 Produksi Bersih Padi 2025'!C809)</f>
        <v/>
      </c>
      <c r="D809" s="1" t="str">
        <f>IF('1.1 Produksi Bersih Padi 2025'!D809="","",'1.1 Produksi Bersih Padi 2025'!D809)</f>
        <v/>
      </c>
      <c r="E809" s="1" t="str">
        <f>IF('1.1 Produksi Bersih Padi 2025'!E809="","",'1.1 Produksi Bersih Padi 2025'!E809)</f>
        <v/>
      </c>
      <c r="F809" s="28" t="str">
        <f>IF(D809="","",VLOOKUP(D809,'[1]0.1 Produksi Pangan &amp; Penduduk'!$D$5:$AK$860,34,0))</f>
        <v/>
      </c>
      <c r="G809" s="29" t="str">
        <f t="shared" si="60"/>
        <v/>
      </c>
      <c r="H809" s="29" t="str">
        <f t="shared" si="61"/>
        <v/>
      </c>
      <c r="I809" s="29" t="str">
        <f t="shared" si="62"/>
        <v/>
      </c>
      <c r="J809" s="29" t="str">
        <f t="shared" si="63"/>
        <v/>
      </c>
      <c r="K809" s="29" t="str">
        <f t="shared" si="64"/>
        <v/>
      </c>
    </row>
    <row r="810" spans="1:11" ht="15" x14ac:dyDescent="0.25">
      <c r="A810" s="1" t="str">
        <f>IF('1.1 Produksi Bersih Padi 2025'!A810="","",'1.1 Produksi Bersih Padi 2025'!A810)</f>
        <v/>
      </c>
      <c r="B810" s="31" t="str">
        <f>IF('1.1 Produksi Bersih Padi 2025'!B810="","",'1.1 Produksi Bersih Padi 2025'!B810)</f>
        <v/>
      </c>
      <c r="C810" s="31" t="str">
        <f>IF('1.1 Produksi Bersih Padi 2025'!C810="","",'1.1 Produksi Bersih Padi 2025'!C810)</f>
        <v/>
      </c>
      <c r="D810" s="1" t="str">
        <f>IF('1.1 Produksi Bersih Padi 2025'!D810="","",'1.1 Produksi Bersih Padi 2025'!D810)</f>
        <v/>
      </c>
      <c r="E810" s="1" t="str">
        <f>IF('1.1 Produksi Bersih Padi 2025'!E810="","",'1.1 Produksi Bersih Padi 2025'!E810)</f>
        <v/>
      </c>
      <c r="F810" s="28" t="str">
        <f>IF(D810="","",VLOOKUP(D810,'[1]0.1 Produksi Pangan &amp; Penduduk'!$D$5:$AK$860,34,0))</f>
        <v/>
      </c>
      <c r="G810" s="29" t="str">
        <f t="shared" si="60"/>
        <v/>
      </c>
      <c r="H810" s="29" t="str">
        <f t="shared" si="61"/>
        <v/>
      </c>
      <c r="I810" s="29" t="str">
        <f t="shared" si="62"/>
        <v/>
      </c>
      <c r="J810" s="29" t="str">
        <f t="shared" si="63"/>
        <v/>
      </c>
      <c r="K810" s="29" t="str">
        <f t="shared" si="64"/>
        <v/>
      </c>
    </row>
    <row r="811" spans="1:11" ht="15" x14ac:dyDescent="0.25">
      <c r="A811" s="1" t="str">
        <f>IF('1.1 Produksi Bersih Padi 2025'!A811="","",'1.1 Produksi Bersih Padi 2025'!A811)</f>
        <v/>
      </c>
      <c r="B811" s="31" t="str">
        <f>IF('1.1 Produksi Bersih Padi 2025'!B811="","",'1.1 Produksi Bersih Padi 2025'!B811)</f>
        <v/>
      </c>
      <c r="C811" s="31" t="str">
        <f>IF('1.1 Produksi Bersih Padi 2025'!C811="","",'1.1 Produksi Bersih Padi 2025'!C811)</f>
        <v/>
      </c>
      <c r="D811" s="1" t="str">
        <f>IF('1.1 Produksi Bersih Padi 2025'!D811="","",'1.1 Produksi Bersih Padi 2025'!D811)</f>
        <v/>
      </c>
      <c r="E811" s="1" t="str">
        <f>IF('1.1 Produksi Bersih Padi 2025'!E811="","",'1.1 Produksi Bersih Padi 2025'!E811)</f>
        <v/>
      </c>
      <c r="F811" s="28" t="str">
        <f>IF(D811="","",VLOOKUP(D811,'[1]0.1 Produksi Pangan &amp; Penduduk'!$D$5:$AK$860,34,0))</f>
        <v/>
      </c>
      <c r="G811" s="29" t="str">
        <f t="shared" si="60"/>
        <v/>
      </c>
      <c r="H811" s="29" t="str">
        <f t="shared" si="61"/>
        <v/>
      </c>
      <c r="I811" s="29" t="str">
        <f t="shared" si="62"/>
        <v/>
      </c>
      <c r="J811" s="29" t="str">
        <f t="shared" si="63"/>
        <v/>
      </c>
      <c r="K811" s="29" t="str">
        <f t="shared" si="64"/>
        <v/>
      </c>
    </row>
    <row r="812" spans="1:11" ht="15" x14ac:dyDescent="0.25">
      <c r="A812" s="1" t="str">
        <f>IF('1.1 Produksi Bersih Padi 2025'!A812="","",'1.1 Produksi Bersih Padi 2025'!A812)</f>
        <v/>
      </c>
      <c r="B812" s="31" t="str">
        <f>IF('1.1 Produksi Bersih Padi 2025'!B812="","",'1.1 Produksi Bersih Padi 2025'!B812)</f>
        <v/>
      </c>
      <c r="C812" s="31" t="str">
        <f>IF('1.1 Produksi Bersih Padi 2025'!C812="","",'1.1 Produksi Bersih Padi 2025'!C812)</f>
        <v/>
      </c>
      <c r="D812" s="1" t="str">
        <f>IF('1.1 Produksi Bersih Padi 2025'!D812="","",'1.1 Produksi Bersih Padi 2025'!D812)</f>
        <v/>
      </c>
      <c r="E812" s="1" t="str">
        <f>IF('1.1 Produksi Bersih Padi 2025'!E812="","",'1.1 Produksi Bersih Padi 2025'!E812)</f>
        <v/>
      </c>
      <c r="F812" s="28" t="str">
        <f>IF(D812="","",VLOOKUP(D812,'[1]0.1 Produksi Pangan &amp; Penduduk'!$D$5:$AK$860,34,0))</f>
        <v/>
      </c>
      <c r="G812" s="29" t="str">
        <f t="shared" si="60"/>
        <v/>
      </c>
      <c r="H812" s="29" t="str">
        <f t="shared" si="61"/>
        <v/>
      </c>
      <c r="I812" s="29" t="str">
        <f t="shared" si="62"/>
        <v/>
      </c>
      <c r="J812" s="29" t="str">
        <f t="shared" si="63"/>
        <v/>
      </c>
      <c r="K812" s="29" t="str">
        <f t="shared" si="64"/>
        <v/>
      </c>
    </row>
    <row r="813" spans="1:11" ht="15" x14ac:dyDescent="0.25">
      <c r="A813" s="1" t="str">
        <f>IF('1.1 Produksi Bersih Padi 2025'!A813="","",'1.1 Produksi Bersih Padi 2025'!A813)</f>
        <v/>
      </c>
      <c r="B813" s="31" t="str">
        <f>IF('1.1 Produksi Bersih Padi 2025'!B813="","",'1.1 Produksi Bersih Padi 2025'!B813)</f>
        <v/>
      </c>
      <c r="C813" s="31" t="str">
        <f>IF('1.1 Produksi Bersih Padi 2025'!C813="","",'1.1 Produksi Bersih Padi 2025'!C813)</f>
        <v/>
      </c>
      <c r="D813" s="1" t="str">
        <f>IF('1.1 Produksi Bersih Padi 2025'!D813="","",'1.1 Produksi Bersih Padi 2025'!D813)</f>
        <v/>
      </c>
      <c r="E813" s="1" t="str">
        <f>IF('1.1 Produksi Bersih Padi 2025'!E813="","",'1.1 Produksi Bersih Padi 2025'!E813)</f>
        <v/>
      </c>
      <c r="F813" s="28" t="str">
        <f>IF(D813="","",VLOOKUP(D813,'[1]0.1 Produksi Pangan &amp; Penduduk'!$D$5:$AK$860,34,0))</f>
        <v/>
      </c>
      <c r="G813" s="29" t="str">
        <f t="shared" si="60"/>
        <v/>
      </c>
      <c r="H813" s="29" t="str">
        <f t="shared" si="61"/>
        <v/>
      </c>
      <c r="I813" s="29" t="str">
        <f t="shared" si="62"/>
        <v/>
      </c>
      <c r="J813" s="29" t="str">
        <f t="shared" si="63"/>
        <v/>
      </c>
      <c r="K813" s="29" t="str">
        <f t="shared" si="64"/>
        <v/>
      </c>
    </row>
    <row r="814" spans="1:11" ht="15" x14ac:dyDescent="0.25">
      <c r="A814" s="1" t="str">
        <f>IF('1.1 Produksi Bersih Padi 2025'!A814="","",'1.1 Produksi Bersih Padi 2025'!A814)</f>
        <v/>
      </c>
      <c r="B814" s="31" t="str">
        <f>IF('1.1 Produksi Bersih Padi 2025'!B814="","",'1.1 Produksi Bersih Padi 2025'!B814)</f>
        <v/>
      </c>
      <c r="C814" s="31" t="str">
        <f>IF('1.1 Produksi Bersih Padi 2025'!C814="","",'1.1 Produksi Bersih Padi 2025'!C814)</f>
        <v/>
      </c>
      <c r="D814" s="1" t="str">
        <f>IF('1.1 Produksi Bersih Padi 2025'!D814="","",'1.1 Produksi Bersih Padi 2025'!D814)</f>
        <v/>
      </c>
      <c r="E814" s="1" t="str">
        <f>IF('1.1 Produksi Bersih Padi 2025'!E814="","",'1.1 Produksi Bersih Padi 2025'!E814)</f>
        <v/>
      </c>
      <c r="F814" s="28" t="str">
        <f>IF(D814="","",VLOOKUP(D814,'[1]0.1 Produksi Pangan &amp; Penduduk'!$D$5:$AK$860,34,0))</f>
        <v/>
      </c>
      <c r="G814" s="29" t="str">
        <f t="shared" si="60"/>
        <v/>
      </c>
      <c r="H814" s="29" t="str">
        <f t="shared" si="61"/>
        <v/>
      </c>
      <c r="I814" s="29" t="str">
        <f t="shared" si="62"/>
        <v/>
      </c>
      <c r="J814" s="29" t="str">
        <f t="shared" si="63"/>
        <v/>
      </c>
      <c r="K814" s="29" t="str">
        <f t="shared" si="64"/>
        <v/>
      </c>
    </row>
    <row r="815" spans="1:11" ht="15" x14ac:dyDescent="0.25">
      <c r="A815" s="1" t="str">
        <f>IF('1.1 Produksi Bersih Padi 2025'!A815="","",'1.1 Produksi Bersih Padi 2025'!A815)</f>
        <v/>
      </c>
      <c r="B815" s="31" t="str">
        <f>IF('1.1 Produksi Bersih Padi 2025'!B815="","",'1.1 Produksi Bersih Padi 2025'!B815)</f>
        <v/>
      </c>
      <c r="C815" s="31" t="str">
        <f>IF('1.1 Produksi Bersih Padi 2025'!C815="","",'1.1 Produksi Bersih Padi 2025'!C815)</f>
        <v/>
      </c>
      <c r="D815" s="1" t="str">
        <f>IF('1.1 Produksi Bersih Padi 2025'!D815="","",'1.1 Produksi Bersih Padi 2025'!D815)</f>
        <v/>
      </c>
      <c r="E815" s="1" t="str">
        <f>IF('1.1 Produksi Bersih Padi 2025'!E815="","",'1.1 Produksi Bersih Padi 2025'!E815)</f>
        <v/>
      </c>
      <c r="F815" s="28" t="str">
        <f>IF(D815="","",VLOOKUP(D815,'[1]0.1 Produksi Pangan &amp; Penduduk'!$D$5:$AK$860,34,0))</f>
        <v/>
      </c>
      <c r="G815" s="29" t="str">
        <f t="shared" si="60"/>
        <v/>
      </c>
      <c r="H815" s="29" t="str">
        <f t="shared" si="61"/>
        <v/>
      </c>
      <c r="I815" s="29" t="str">
        <f t="shared" si="62"/>
        <v/>
      </c>
      <c r="J815" s="29" t="str">
        <f t="shared" si="63"/>
        <v/>
      </c>
      <c r="K815" s="29" t="str">
        <f t="shared" si="64"/>
        <v/>
      </c>
    </row>
    <row r="816" spans="1:11" ht="15" x14ac:dyDescent="0.25">
      <c r="A816" s="1" t="str">
        <f>IF('1.1 Produksi Bersih Padi 2025'!A816="","",'1.1 Produksi Bersih Padi 2025'!A816)</f>
        <v/>
      </c>
      <c r="B816" s="31" t="str">
        <f>IF('1.1 Produksi Bersih Padi 2025'!B816="","",'1.1 Produksi Bersih Padi 2025'!B816)</f>
        <v/>
      </c>
      <c r="C816" s="31" t="str">
        <f>IF('1.1 Produksi Bersih Padi 2025'!C816="","",'1.1 Produksi Bersih Padi 2025'!C816)</f>
        <v/>
      </c>
      <c r="D816" s="1" t="str">
        <f>IF('1.1 Produksi Bersih Padi 2025'!D816="","",'1.1 Produksi Bersih Padi 2025'!D816)</f>
        <v/>
      </c>
      <c r="E816" s="1" t="str">
        <f>IF('1.1 Produksi Bersih Padi 2025'!E816="","",'1.1 Produksi Bersih Padi 2025'!E816)</f>
        <v/>
      </c>
      <c r="F816" s="28" t="str">
        <f>IF(D816="","",VLOOKUP(D816,'[1]0.1 Produksi Pangan &amp; Penduduk'!$D$5:$AK$860,34,0))</f>
        <v/>
      </c>
      <c r="G816" s="29" t="str">
        <f t="shared" si="60"/>
        <v/>
      </c>
      <c r="H816" s="29" t="str">
        <f t="shared" si="61"/>
        <v/>
      </c>
      <c r="I816" s="29" t="str">
        <f t="shared" si="62"/>
        <v/>
      </c>
      <c r="J816" s="29" t="str">
        <f t="shared" si="63"/>
        <v/>
      </c>
      <c r="K816" s="29" t="str">
        <f t="shared" si="64"/>
        <v/>
      </c>
    </row>
    <row r="817" spans="1:11" ht="15" x14ac:dyDescent="0.25">
      <c r="A817" s="1" t="str">
        <f>IF('1.1 Produksi Bersih Padi 2025'!A817="","",'1.1 Produksi Bersih Padi 2025'!A817)</f>
        <v/>
      </c>
      <c r="B817" s="31" t="str">
        <f>IF('1.1 Produksi Bersih Padi 2025'!B817="","",'1.1 Produksi Bersih Padi 2025'!B817)</f>
        <v/>
      </c>
      <c r="C817" s="31" t="str">
        <f>IF('1.1 Produksi Bersih Padi 2025'!C817="","",'1.1 Produksi Bersih Padi 2025'!C817)</f>
        <v/>
      </c>
      <c r="D817" s="1" t="str">
        <f>IF('1.1 Produksi Bersih Padi 2025'!D817="","",'1.1 Produksi Bersih Padi 2025'!D817)</f>
        <v/>
      </c>
      <c r="E817" s="1" t="str">
        <f>IF('1.1 Produksi Bersih Padi 2025'!E817="","",'1.1 Produksi Bersih Padi 2025'!E817)</f>
        <v/>
      </c>
      <c r="F817" s="28" t="str">
        <f>IF(D817="","",VLOOKUP(D817,'[1]0.1 Produksi Pangan &amp; Penduduk'!$D$5:$AK$860,34,0))</f>
        <v/>
      </c>
      <c r="G817" s="29" t="str">
        <f t="shared" si="60"/>
        <v/>
      </c>
      <c r="H817" s="29" t="str">
        <f t="shared" si="61"/>
        <v/>
      </c>
      <c r="I817" s="29" t="str">
        <f t="shared" si="62"/>
        <v/>
      </c>
      <c r="J817" s="29" t="str">
        <f t="shared" si="63"/>
        <v/>
      </c>
      <c r="K817" s="29" t="str">
        <f t="shared" si="64"/>
        <v/>
      </c>
    </row>
    <row r="818" spans="1:11" ht="15" x14ac:dyDescent="0.25">
      <c r="A818" s="1" t="str">
        <f>IF('1.1 Produksi Bersih Padi 2025'!A818="","",'1.1 Produksi Bersih Padi 2025'!A818)</f>
        <v/>
      </c>
      <c r="B818" s="31" t="str">
        <f>IF('1.1 Produksi Bersih Padi 2025'!B818="","",'1.1 Produksi Bersih Padi 2025'!B818)</f>
        <v/>
      </c>
      <c r="C818" s="31" t="str">
        <f>IF('1.1 Produksi Bersih Padi 2025'!C818="","",'1.1 Produksi Bersih Padi 2025'!C818)</f>
        <v/>
      </c>
      <c r="D818" s="1" t="str">
        <f>IF('1.1 Produksi Bersih Padi 2025'!D818="","",'1.1 Produksi Bersih Padi 2025'!D818)</f>
        <v/>
      </c>
      <c r="E818" s="1" t="str">
        <f>IF('1.1 Produksi Bersih Padi 2025'!E818="","",'1.1 Produksi Bersih Padi 2025'!E818)</f>
        <v/>
      </c>
      <c r="F818" s="28" t="str">
        <f>IF(D818="","",VLOOKUP(D818,'[1]0.1 Produksi Pangan &amp; Penduduk'!$D$5:$AK$860,34,0))</f>
        <v/>
      </c>
      <c r="G818" s="29" t="str">
        <f t="shared" si="60"/>
        <v/>
      </c>
      <c r="H818" s="29" t="str">
        <f t="shared" si="61"/>
        <v/>
      </c>
      <c r="I818" s="29" t="str">
        <f t="shared" si="62"/>
        <v/>
      </c>
      <c r="J818" s="29" t="str">
        <f t="shared" si="63"/>
        <v/>
      </c>
      <c r="K818" s="29" t="str">
        <f t="shared" si="64"/>
        <v/>
      </c>
    </row>
    <row r="819" spans="1:11" ht="15" x14ac:dyDescent="0.25">
      <c r="A819" s="1" t="str">
        <f>IF('1.1 Produksi Bersih Padi 2025'!A819="","",'1.1 Produksi Bersih Padi 2025'!A819)</f>
        <v/>
      </c>
      <c r="B819" s="31" t="str">
        <f>IF('1.1 Produksi Bersih Padi 2025'!B819="","",'1.1 Produksi Bersih Padi 2025'!B819)</f>
        <v/>
      </c>
      <c r="C819" s="31" t="str">
        <f>IF('1.1 Produksi Bersih Padi 2025'!C819="","",'1.1 Produksi Bersih Padi 2025'!C819)</f>
        <v/>
      </c>
      <c r="D819" s="1" t="str">
        <f>IF('1.1 Produksi Bersih Padi 2025'!D819="","",'1.1 Produksi Bersih Padi 2025'!D819)</f>
        <v/>
      </c>
      <c r="E819" s="1" t="str">
        <f>IF('1.1 Produksi Bersih Padi 2025'!E819="","",'1.1 Produksi Bersih Padi 2025'!E819)</f>
        <v/>
      </c>
      <c r="F819" s="28" t="str">
        <f>IF(D819="","",VLOOKUP(D819,'[1]0.1 Produksi Pangan &amp; Penduduk'!$D$5:$AK$860,34,0))</f>
        <v/>
      </c>
      <c r="G819" s="29" t="str">
        <f t="shared" si="60"/>
        <v/>
      </c>
      <c r="H819" s="29" t="str">
        <f t="shared" si="61"/>
        <v/>
      </c>
      <c r="I819" s="29" t="str">
        <f t="shared" si="62"/>
        <v/>
      </c>
      <c r="J819" s="29" t="str">
        <f t="shared" si="63"/>
        <v/>
      </c>
      <c r="K819" s="29" t="str">
        <f t="shared" si="64"/>
        <v/>
      </c>
    </row>
    <row r="820" spans="1:11" ht="15" x14ac:dyDescent="0.25">
      <c r="A820" s="1" t="str">
        <f>IF('1.1 Produksi Bersih Padi 2025'!A820="","",'1.1 Produksi Bersih Padi 2025'!A820)</f>
        <v/>
      </c>
      <c r="B820" s="31" t="str">
        <f>IF('1.1 Produksi Bersih Padi 2025'!B820="","",'1.1 Produksi Bersih Padi 2025'!B820)</f>
        <v/>
      </c>
      <c r="C820" s="31" t="str">
        <f>IF('1.1 Produksi Bersih Padi 2025'!C820="","",'1.1 Produksi Bersih Padi 2025'!C820)</f>
        <v/>
      </c>
      <c r="D820" s="1" t="str">
        <f>IF('1.1 Produksi Bersih Padi 2025'!D820="","",'1.1 Produksi Bersih Padi 2025'!D820)</f>
        <v/>
      </c>
      <c r="E820" s="1" t="str">
        <f>IF('1.1 Produksi Bersih Padi 2025'!E820="","",'1.1 Produksi Bersih Padi 2025'!E820)</f>
        <v/>
      </c>
      <c r="F820" s="28" t="str">
        <f>IF(D820="","",VLOOKUP(D820,'[1]0.1 Produksi Pangan &amp; Penduduk'!$D$5:$AK$860,34,0))</f>
        <v/>
      </c>
      <c r="G820" s="29" t="str">
        <f t="shared" si="60"/>
        <v/>
      </c>
      <c r="H820" s="29" t="str">
        <f t="shared" si="61"/>
        <v/>
      </c>
      <c r="I820" s="29" t="str">
        <f t="shared" si="62"/>
        <v/>
      </c>
      <c r="J820" s="29" t="str">
        <f t="shared" si="63"/>
        <v/>
      </c>
      <c r="K820" s="29" t="str">
        <f t="shared" si="64"/>
        <v/>
      </c>
    </row>
    <row r="821" spans="1:11" ht="15" x14ac:dyDescent="0.25">
      <c r="A821" s="1" t="str">
        <f>IF('1.1 Produksi Bersih Padi 2025'!A821="","",'1.1 Produksi Bersih Padi 2025'!A821)</f>
        <v/>
      </c>
      <c r="B821" s="31" t="str">
        <f>IF('1.1 Produksi Bersih Padi 2025'!B821="","",'1.1 Produksi Bersih Padi 2025'!B821)</f>
        <v/>
      </c>
      <c r="C821" s="31" t="str">
        <f>IF('1.1 Produksi Bersih Padi 2025'!C821="","",'1.1 Produksi Bersih Padi 2025'!C821)</f>
        <v/>
      </c>
      <c r="D821" s="1" t="str">
        <f>IF('1.1 Produksi Bersih Padi 2025'!D821="","",'1.1 Produksi Bersih Padi 2025'!D821)</f>
        <v/>
      </c>
      <c r="E821" s="1" t="str">
        <f>IF('1.1 Produksi Bersih Padi 2025'!E821="","",'1.1 Produksi Bersih Padi 2025'!E821)</f>
        <v/>
      </c>
      <c r="F821" s="28" t="str">
        <f>IF(D821="","",VLOOKUP(D821,'[1]0.1 Produksi Pangan &amp; Penduduk'!$D$5:$AK$860,34,0))</f>
        <v/>
      </c>
      <c r="G821" s="29" t="str">
        <f t="shared" si="60"/>
        <v/>
      </c>
      <c r="H821" s="29" t="str">
        <f t="shared" si="61"/>
        <v/>
      </c>
      <c r="I821" s="29" t="str">
        <f t="shared" si="62"/>
        <v/>
      </c>
      <c r="J821" s="29" t="str">
        <f t="shared" si="63"/>
        <v/>
      </c>
      <c r="K821" s="29" t="str">
        <f t="shared" si="64"/>
        <v/>
      </c>
    </row>
    <row r="822" spans="1:11" ht="15" x14ac:dyDescent="0.25">
      <c r="A822" s="1" t="str">
        <f>IF('1.1 Produksi Bersih Padi 2025'!A822="","",'1.1 Produksi Bersih Padi 2025'!A822)</f>
        <v/>
      </c>
      <c r="B822" s="31" t="str">
        <f>IF('1.1 Produksi Bersih Padi 2025'!B822="","",'1.1 Produksi Bersih Padi 2025'!B822)</f>
        <v/>
      </c>
      <c r="C822" s="31" t="str">
        <f>IF('1.1 Produksi Bersih Padi 2025'!C822="","",'1.1 Produksi Bersih Padi 2025'!C822)</f>
        <v/>
      </c>
      <c r="D822" s="1" t="str">
        <f>IF('1.1 Produksi Bersih Padi 2025'!D822="","",'1.1 Produksi Bersih Padi 2025'!D822)</f>
        <v/>
      </c>
      <c r="E822" s="1" t="str">
        <f>IF('1.1 Produksi Bersih Padi 2025'!E822="","",'1.1 Produksi Bersih Padi 2025'!E822)</f>
        <v/>
      </c>
      <c r="F822" s="28" t="str">
        <f>IF(D822="","",VLOOKUP(D822,'[1]0.1 Produksi Pangan &amp; Penduduk'!$D$5:$AK$860,34,0))</f>
        <v/>
      </c>
      <c r="G822" s="29" t="str">
        <f t="shared" si="60"/>
        <v/>
      </c>
      <c r="H822" s="29" t="str">
        <f t="shared" si="61"/>
        <v/>
      </c>
      <c r="I822" s="29" t="str">
        <f t="shared" si="62"/>
        <v/>
      </c>
      <c r="J822" s="29" t="str">
        <f t="shared" si="63"/>
        <v/>
      </c>
      <c r="K822" s="29" t="str">
        <f t="shared" si="64"/>
        <v/>
      </c>
    </row>
    <row r="823" spans="1:11" ht="15" x14ac:dyDescent="0.25">
      <c r="A823" s="1" t="str">
        <f>IF('1.1 Produksi Bersih Padi 2025'!A823="","",'1.1 Produksi Bersih Padi 2025'!A823)</f>
        <v/>
      </c>
      <c r="B823" s="31" t="str">
        <f>IF('1.1 Produksi Bersih Padi 2025'!B823="","",'1.1 Produksi Bersih Padi 2025'!B823)</f>
        <v/>
      </c>
      <c r="C823" s="31" t="str">
        <f>IF('1.1 Produksi Bersih Padi 2025'!C823="","",'1.1 Produksi Bersih Padi 2025'!C823)</f>
        <v/>
      </c>
      <c r="D823" s="1" t="str">
        <f>IF('1.1 Produksi Bersih Padi 2025'!D823="","",'1.1 Produksi Bersih Padi 2025'!D823)</f>
        <v/>
      </c>
      <c r="E823" s="1" t="str">
        <f>IF('1.1 Produksi Bersih Padi 2025'!E823="","",'1.1 Produksi Bersih Padi 2025'!E823)</f>
        <v/>
      </c>
      <c r="F823" s="28" t="str">
        <f>IF(D823="","",VLOOKUP(D823,'[1]0.1 Produksi Pangan &amp; Penduduk'!$D$5:$AK$860,34,0))</f>
        <v/>
      </c>
      <c r="G823" s="29" t="str">
        <f t="shared" si="60"/>
        <v/>
      </c>
      <c r="H823" s="29" t="str">
        <f t="shared" si="61"/>
        <v/>
      </c>
      <c r="I823" s="29" t="str">
        <f t="shared" si="62"/>
        <v/>
      </c>
      <c r="J823" s="29" t="str">
        <f t="shared" si="63"/>
        <v/>
      </c>
      <c r="K823" s="29" t="str">
        <f t="shared" si="64"/>
        <v/>
      </c>
    </row>
    <row r="824" spans="1:11" ht="15" x14ac:dyDescent="0.25">
      <c r="A824" s="1" t="str">
        <f>IF('1.1 Produksi Bersih Padi 2025'!A824="","",'1.1 Produksi Bersih Padi 2025'!A824)</f>
        <v/>
      </c>
      <c r="B824" s="31" t="str">
        <f>IF('1.1 Produksi Bersih Padi 2025'!B824="","",'1.1 Produksi Bersih Padi 2025'!B824)</f>
        <v/>
      </c>
      <c r="C824" s="31" t="str">
        <f>IF('1.1 Produksi Bersih Padi 2025'!C824="","",'1.1 Produksi Bersih Padi 2025'!C824)</f>
        <v/>
      </c>
      <c r="D824" s="1" t="str">
        <f>IF('1.1 Produksi Bersih Padi 2025'!D824="","",'1.1 Produksi Bersih Padi 2025'!D824)</f>
        <v/>
      </c>
      <c r="E824" s="1" t="str">
        <f>IF('1.1 Produksi Bersih Padi 2025'!E824="","",'1.1 Produksi Bersih Padi 2025'!E824)</f>
        <v/>
      </c>
      <c r="F824" s="28" t="str">
        <f>IF(D824="","",VLOOKUP(D824,'[1]0.1 Produksi Pangan &amp; Penduduk'!$D$5:$AK$860,34,0))</f>
        <v/>
      </c>
      <c r="G824" s="29" t="str">
        <f t="shared" si="60"/>
        <v/>
      </c>
      <c r="H824" s="29" t="str">
        <f t="shared" si="61"/>
        <v/>
      </c>
      <c r="I824" s="29" t="str">
        <f t="shared" si="62"/>
        <v/>
      </c>
      <c r="J824" s="29" t="str">
        <f t="shared" si="63"/>
        <v/>
      </c>
      <c r="K824" s="29" t="str">
        <f t="shared" si="64"/>
        <v/>
      </c>
    </row>
    <row r="825" spans="1:11" ht="15" x14ac:dyDescent="0.25">
      <c r="A825" s="1" t="str">
        <f>IF('1.1 Produksi Bersih Padi 2025'!A825="","",'1.1 Produksi Bersih Padi 2025'!A825)</f>
        <v/>
      </c>
      <c r="B825" s="31" t="str">
        <f>IF('1.1 Produksi Bersih Padi 2025'!B825="","",'1.1 Produksi Bersih Padi 2025'!B825)</f>
        <v/>
      </c>
      <c r="C825" s="31" t="str">
        <f>IF('1.1 Produksi Bersih Padi 2025'!C825="","",'1.1 Produksi Bersih Padi 2025'!C825)</f>
        <v/>
      </c>
      <c r="D825" s="1" t="str">
        <f>IF('1.1 Produksi Bersih Padi 2025'!D825="","",'1.1 Produksi Bersih Padi 2025'!D825)</f>
        <v/>
      </c>
      <c r="E825" s="1" t="str">
        <f>IF('1.1 Produksi Bersih Padi 2025'!E825="","",'1.1 Produksi Bersih Padi 2025'!E825)</f>
        <v/>
      </c>
      <c r="F825" s="28" t="str">
        <f>IF(D825="","",VLOOKUP(D825,'[1]0.1 Produksi Pangan &amp; Penduduk'!$D$5:$AK$860,34,0))</f>
        <v/>
      </c>
      <c r="G825" s="29" t="str">
        <f t="shared" si="60"/>
        <v/>
      </c>
      <c r="H825" s="29" t="str">
        <f t="shared" si="61"/>
        <v/>
      </c>
      <c r="I825" s="29" t="str">
        <f t="shared" si="62"/>
        <v/>
      </c>
      <c r="J825" s="29" t="str">
        <f t="shared" si="63"/>
        <v/>
      </c>
      <c r="K825" s="29" t="str">
        <f t="shared" si="64"/>
        <v/>
      </c>
    </row>
    <row r="826" spans="1:11" ht="15" x14ac:dyDescent="0.25">
      <c r="A826" s="1" t="str">
        <f>IF('1.1 Produksi Bersih Padi 2025'!A826="","",'1.1 Produksi Bersih Padi 2025'!A826)</f>
        <v/>
      </c>
      <c r="B826" s="31" t="str">
        <f>IF('1.1 Produksi Bersih Padi 2025'!B826="","",'1.1 Produksi Bersih Padi 2025'!B826)</f>
        <v/>
      </c>
      <c r="C826" s="31" t="str">
        <f>IF('1.1 Produksi Bersih Padi 2025'!C826="","",'1.1 Produksi Bersih Padi 2025'!C826)</f>
        <v/>
      </c>
      <c r="D826" s="1" t="str">
        <f>IF('1.1 Produksi Bersih Padi 2025'!D826="","",'1.1 Produksi Bersih Padi 2025'!D826)</f>
        <v/>
      </c>
      <c r="E826" s="1" t="str">
        <f>IF('1.1 Produksi Bersih Padi 2025'!E826="","",'1.1 Produksi Bersih Padi 2025'!E826)</f>
        <v/>
      </c>
      <c r="F826" s="28" t="str">
        <f>IF(D826="","",VLOOKUP(D826,'[1]0.1 Produksi Pangan &amp; Penduduk'!$D$5:$AK$860,34,0))</f>
        <v/>
      </c>
      <c r="G826" s="29" t="str">
        <f t="shared" si="60"/>
        <v/>
      </c>
      <c r="H826" s="29" t="str">
        <f t="shared" si="61"/>
        <v/>
      </c>
      <c r="I826" s="29" t="str">
        <f t="shared" si="62"/>
        <v/>
      </c>
      <c r="J826" s="29" t="str">
        <f t="shared" si="63"/>
        <v/>
      </c>
      <c r="K826" s="29" t="str">
        <f t="shared" si="64"/>
        <v/>
      </c>
    </row>
    <row r="827" spans="1:11" ht="15" x14ac:dyDescent="0.25">
      <c r="A827" s="1" t="str">
        <f>IF('1.1 Produksi Bersih Padi 2025'!A827="","",'1.1 Produksi Bersih Padi 2025'!A827)</f>
        <v/>
      </c>
      <c r="B827" s="31" t="str">
        <f>IF('1.1 Produksi Bersih Padi 2025'!B827="","",'1.1 Produksi Bersih Padi 2025'!B827)</f>
        <v/>
      </c>
      <c r="C827" s="31" t="str">
        <f>IF('1.1 Produksi Bersih Padi 2025'!C827="","",'1.1 Produksi Bersih Padi 2025'!C827)</f>
        <v/>
      </c>
      <c r="D827" s="1" t="str">
        <f>IF('1.1 Produksi Bersih Padi 2025'!D827="","",'1.1 Produksi Bersih Padi 2025'!D827)</f>
        <v/>
      </c>
      <c r="E827" s="1" t="str">
        <f>IF('1.1 Produksi Bersih Padi 2025'!E827="","",'1.1 Produksi Bersih Padi 2025'!E827)</f>
        <v/>
      </c>
      <c r="F827" s="28" t="str">
        <f>IF(D827="","",VLOOKUP(D827,'[1]0.1 Produksi Pangan &amp; Penduduk'!$D$5:$AK$860,34,0))</f>
        <v/>
      </c>
      <c r="G827" s="29" t="str">
        <f t="shared" si="60"/>
        <v/>
      </c>
      <c r="H827" s="29" t="str">
        <f t="shared" si="61"/>
        <v/>
      </c>
      <c r="I827" s="29" t="str">
        <f t="shared" si="62"/>
        <v/>
      </c>
      <c r="J827" s="29" t="str">
        <f t="shared" si="63"/>
        <v/>
      </c>
      <c r="K827" s="29" t="str">
        <f t="shared" si="64"/>
        <v/>
      </c>
    </row>
    <row r="828" spans="1:11" ht="15" x14ac:dyDescent="0.25">
      <c r="A828" s="1" t="str">
        <f>IF('1.1 Produksi Bersih Padi 2025'!A828="","",'1.1 Produksi Bersih Padi 2025'!A828)</f>
        <v/>
      </c>
      <c r="B828" s="31" t="str">
        <f>IF('1.1 Produksi Bersih Padi 2025'!B828="","",'1.1 Produksi Bersih Padi 2025'!B828)</f>
        <v/>
      </c>
      <c r="C828" s="31" t="str">
        <f>IF('1.1 Produksi Bersih Padi 2025'!C828="","",'1.1 Produksi Bersih Padi 2025'!C828)</f>
        <v/>
      </c>
      <c r="D828" s="1" t="str">
        <f>IF('1.1 Produksi Bersih Padi 2025'!D828="","",'1.1 Produksi Bersih Padi 2025'!D828)</f>
        <v/>
      </c>
      <c r="E828" s="1" t="str">
        <f>IF('1.1 Produksi Bersih Padi 2025'!E828="","",'1.1 Produksi Bersih Padi 2025'!E828)</f>
        <v/>
      </c>
      <c r="F828" s="28" t="str">
        <f>IF(D828="","",VLOOKUP(D828,'[1]0.1 Produksi Pangan &amp; Penduduk'!$D$5:$AK$860,34,0))</f>
        <v/>
      </c>
      <c r="G828" s="29" t="str">
        <f t="shared" si="60"/>
        <v/>
      </c>
      <c r="H828" s="29" t="str">
        <f t="shared" si="61"/>
        <v/>
      </c>
      <c r="I828" s="29" t="str">
        <f t="shared" si="62"/>
        <v/>
      </c>
      <c r="J828" s="29" t="str">
        <f t="shared" si="63"/>
        <v/>
      </c>
      <c r="K828" s="29" t="str">
        <f t="shared" si="64"/>
        <v/>
      </c>
    </row>
    <row r="829" spans="1:11" ht="15" x14ac:dyDescent="0.25">
      <c r="A829" s="1" t="str">
        <f>IF('1.1 Produksi Bersih Padi 2025'!A829="","",'1.1 Produksi Bersih Padi 2025'!A829)</f>
        <v/>
      </c>
      <c r="B829" s="31" t="str">
        <f>IF('1.1 Produksi Bersih Padi 2025'!B829="","",'1.1 Produksi Bersih Padi 2025'!B829)</f>
        <v/>
      </c>
      <c r="C829" s="31" t="str">
        <f>IF('1.1 Produksi Bersih Padi 2025'!C829="","",'1.1 Produksi Bersih Padi 2025'!C829)</f>
        <v/>
      </c>
      <c r="D829" s="1" t="str">
        <f>IF('1.1 Produksi Bersih Padi 2025'!D829="","",'1.1 Produksi Bersih Padi 2025'!D829)</f>
        <v/>
      </c>
      <c r="E829" s="1" t="str">
        <f>IF('1.1 Produksi Bersih Padi 2025'!E829="","",'1.1 Produksi Bersih Padi 2025'!E829)</f>
        <v/>
      </c>
      <c r="F829" s="28" t="str">
        <f>IF(D829="","",VLOOKUP(D829,'[1]0.1 Produksi Pangan &amp; Penduduk'!$D$5:$AK$860,34,0))</f>
        <v/>
      </c>
      <c r="G829" s="29" t="str">
        <f t="shared" si="60"/>
        <v/>
      </c>
      <c r="H829" s="29" t="str">
        <f t="shared" si="61"/>
        <v/>
      </c>
      <c r="I829" s="29" t="str">
        <f t="shared" si="62"/>
        <v/>
      </c>
      <c r="J829" s="29" t="str">
        <f t="shared" si="63"/>
        <v/>
      </c>
      <c r="K829" s="29" t="str">
        <f t="shared" si="64"/>
        <v/>
      </c>
    </row>
    <row r="830" spans="1:11" ht="15" x14ac:dyDescent="0.25">
      <c r="A830" s="1" t="str">
        <f>IF('1.1 Produksi Bersih Padi 2025'!A830="","",'1.1 Produksi Bersih Padi 2025'!A830)</f>
        <v/>
      </c>
      <c r="B830" s="31" t="str">
        <f>IF('1.1 Produksi Bersih Padi 2025'!B830="","",'1.1 Produksi Bersih Padi 2025'!B830)</f>
        <v/>
      </c>
      <c r="C830" s="31" t="str">
        <f>IF('1.1 Produksi Bersih Padi 2025'!C830="","",'1.1 Produksi Bersih Padi 2025'!C830)</f>
        <v/>
      </c>
      <c r="D830" s="1" t="str">
        <f>IF('1.1 Produksi Bersih Padi 2025'!D830="","",'1.1 Produksi Bersih Padi 2025'!D830)</f>
        <v/>
      </c>
      <c r="E830" s="1" t="str">
        <f>IF('1.1 Produksi Bersih Padi 2025'!E830="","",'1.1 Produksi Bersih Padi 2025'!E830)</f>
        <v/>
      </c>
      <c r="F830" s="28" t="str">
        <f>IF(D830="","",VLOOKUP(D830,'[1]0.1 Produksi Pangan &amp; Penduduk'!$D$5:$AK$860,34,0))</f>
        <v/>
      </c>
      <c r="G830" s="29" t="str">
        <f t="shared" si="60"/>
        <v/>
      </c>
      <c r="H830" s="29" t="str">
        <f t="shared" si="61"/>
        <v/>
      </c>
      <c r="I830" s="29" t="str">
        <f t="shared" si="62"/>
        <v/>
      </c>
      <c r="J830" s="29" t="str">
        <f t="shared" si="63"/>
        <v/>
      </c>
      <c r="K830" s="29" t="str">
        <f t="shared" si="64"/>
        <v/>
      </c>
    </row>
    <row r="831" spans="1:11" ht="15" x14ac:dyDescent="0.25">
      <c r="A831" s="1" t="str">
        <f>IF('1.1 Produksi Bersih Padi 2025'!A831="","",'1.1 Produksi Bersih Padi 2025'!A831)</f>
        <v/>
      </c>
      <c r="B831" s="31" t="str">
        <f>IF('1.1 Produksi Bersih Padi 2025'!B831="","",'1.1 Produksi Bersih Padi 2025'!B831)</f>
        <v/>
      </c>
      <c r="C831" s="31" t="str">
        <f>IF('1.1 Produksi Bersih Padi 2025'!C831="","",'1.1 Produksi Bersih Padi 2025'!C831)</f>
        <v/>
      </c>
      <c r="D831" s="1" t="str">
        <f>IF('1.1 Produksi Bersih Padi 2025'!D831="","",'1.1 Produksi Bersih Padi 2025'!D831)</f>
        <v/>
      </c>
      <c r="E831" s="1" t="str">
        <f>IF('1.1 Produksi Bersih Padi 2025'!E831="","",'1.1 Produksi Bersih Padi 2025'!E831)</f>
        <v/>
      </c>
      <c r="F831" s="28" t="str">
        <f>IF(D831="","",VLOOKUP(D831,'[1]0.1 Produksi Pangan &amp; Penduduk'!$D$5:$AK$860,34,0))</f>
        <v/>
      </c>
      <c r="G831" s="29" t="str">
        <f t="shared" si="60"/>
        <v/>
      </c>
      <c r="H831" s="29" t="str">
        <f t="shared" si="61"/>
        <v/>
      </c>
      <c r="I831" s="29" t="str">
        <f t="shared" si="62"/>
        <v/>
      </c>
      <c r="J831" s="29" t="str">
        <f t="shared" si="63"/>
        <v/>
      </c>
      <c r="K831" s="29" t="str">
        <f t="shared" si="64"/>
        <v/>
      </c>
    </row>
    <row r="832" spans="1:11" ht="15" x14ac:dyDescent="0.25">
      <c r="A832" s="1" t="str">
        <f>IF('1.1 Produksi Bersih Padi 2025'!A832="","",'1.1 Produksi Bersih Padi 2025'!A832)</f>
        <v/>
      </c>
      <c r="B832" s="31" t="str">
        <f>IF('1.1 Produksi Bersih Padi 2025'!B832="","",'1.1 Produksi Bersih Padi 2025'!B832)</f>
        <v/>
      </c>
      <c r="C832" s="31" t="str">
        <f>IF('1.1 Produksi Bersih Padi 2025'!C832="","",'1.1 Produksi Bersih Padi 2025'!C832)</f>
        <v/>
      </c>
      <c r="D832" s="1" t="str">
        <f>IF('1.1 Produksi Bersih Padi 2025'!D832="","",'1.1 Produksi Bersih Padi 2025'!D832)</f>
        <v/>
      </c>
      <c r="E832" s="1" t="str">
        <f>IF('1.1 Produksi Bersih Padi 2025'!E832="","",'1.1 Produksi Bersih Padi 2025'!E832)</f>
        <v/>
      </c>
      <c r="F832" s="28" t="str">
        <f>IF(D832="","",VLOOKUP(D832,'[1]0.1 Produksi Pangan &amp; Penduduk'!$D$5:$AK$860,34,0))</f>
        <v/>
      </c>
      <c r="G832" s="29" t="str">
        <f t="shared" si="60"/>
        <v/>
      </c>
      <c r="H832" s="29" t="str">
        <f t="shared" si="61"/>
        <v/>
      </c>
      <c r="I832" s="29" t="str">
        <f t="shared" si="62"/>
        <v/>
      </c>
      <c r="J832" s="29" t="str">
        <f t="shared" si="63"/>
        <v/>
      </c>
      <c r="K832" s="29" t="str">
        <f t="shared" si="64"/>
        <v/>
      </c>
    </row>
    <row r="833" spans="1:11" ht="15" x14ac:dyDescent="0.25">
      <c r="A833" s="1" t="str">
        <f>IF('1.1 Produksi Bersih Padi 2025'!A833="","",'1.1 Produksi Bersih Padi 2025'!A833)</f>
        <v/>
      </c>
      <c r="B833" s="31" t="str">
        <f>IF('1.1 Produksi Bersih Padi 2025'!B833="","",'1.1 Produksi Bersih Padi 2025'!B833)</f>
        <v/>
      </c>
      <c r="C833" s="31" t="str">
        <f>IF('1.1 Produksi Bersih Padi 2025'!C833="","",'1.1 Produksi Bersih Padi 2025'!C833)</f>
        <v/>
      </c>
      <c r="D833" s="1" t="str">
        <f>IF('1.1 Produksi Bersih Padi 2025'!D833="","",'1.1 Produksi Bersih Padi 2025'!D833)</f>
        <v/>
      </c>
      <c r="E833" s="1" t="str">
        <f>IF('1.1 Produksi Bersih Padi 2025'!E833="","",'1.1 Produksi Bersih Padi 2025'!E833)</f>
        <v/>
      </c>
      <c r="F833" s="28" t="str">
        <f>IF(D833="","",VLOOKUP(D833,'[1]0.1 Produksi Pangan &amp; Penduduk'!$D$5:$AK$860,34,0))</f>
        <v/>
      </c>
      <c r="G833" s="29" t="str">
        <f t="shared" si="60"/>
        <v/>
      </c>
      <c r="H833" s="29" t="str">
        <f t="shared" si="61"/>
        <v/>
      </c>
      <c r="I833" s="29" t="str">
        <f t="shared" si="62"/>
        <v/>
      </c>
      <c r="J833" s="29" t="str">
        <f t="shared" si="63"/>
        <v/>
      </c>
      <c r="K833" s="29" t="str">
        <f t="shared" si="64"/>
        <v/>
      </c>
    </row>
    <row r="834" spans="1:11" ht="15" x14ac:dyDescent="0.25">
      <c r="A834" s="1" t="str">
        <f>IF('1.1 Produksi Bersih Padi 2025'!A834="","",'1.1 Produksi Bersih Padi 2025'!A834)</f>
        <v/>
      </c>
      <c r="B834" s="31" t="str">
        <f>IF('1.1 Produksi Bersih Padi 2025'!B834="","",'1.1 Produksi Bersih Padi 2025'!B834)</f>
        <v/>
      </c>
      <c r="C834" s="31" t="str">
        <f>IF('1.1 Produksi Bersih Padi 2025'!C834="","",'1.1 Produksi Bersih Padi 2025'!C834)</f>
        <v/>
      </c>
      <c r="D834" s="1" t="str">
        <f>IF('1.1 Produksi Bersih Padi 2025'!D834="","",'1.1 Produksi Bersih Padi 2025'!D834)</f>
        <v/>
      </c>
      <c r="E834" s="1" t="str">
        <f>IF('1.1 Produksi Bersih Padi 2025'!E834="","",'1.1 Produksi Bersih Padi 2025'!E834)</f>
        <v/>
      </c>
      <c r="F834" s="28" t="str">
        <f>IF(D834="","",VLOOKUP(D834,'[1]0.1 Produksi Pangan &amp; Penduduk'!$D$5:$AK$860,34,0))</f>
        <v/>
      </c>
      <c r="G834" s="29" t="str">
        <f t="shared" si="60"/>
        <v/>
      </c>
      <c r="H834" s="29" t="str">
        <f t="shared" si="61"/>
        <v/>
      </c>
      <c r="I834" s="29" t="str">
        <f t="shared" si="62"/>
        <v/>
      </c>
      <c r="J834" s="29" t="str">
        <f t="shared" si="63"/>
        <v/>
      </c>
      <c r="K834" s="29" t="str">
        <f t="shared" si="64"/>
        <v/>
      </c>
    </row>
    <row r="835" spans="1:11" ht="15" x14ac:dyDescent="0.25">
      <c r="A835" s="1" t="str">
        <f>IF('1.1 Produksi Bersih Padi 2025'!A835="","",'1.1 Produksi Bersih Padi 2025'!A835)</f>
        <v/>
      </c>
      <c r="B835" s="31" t="str">
        <f>IF('1.1 Produksi Bersih Padi 2025'!B835="","",'1.1 Produksi Bersih Padi 2025'!B835)</f>
        <v/>
      </c>
      <c r="C835" s="31" t="str">
        <f>IF('1.1 Produksi Bersih Padi 2025'!C835="","",'1.1 Produksi Bersih Padi 2025'!C835)</f>
        <v/>
      </c>
      <c r="D835" s="1" t="str">
        <f>IF('1.1 Produksi Bersih Padi 2025'!D835="","",'1.1 Produksi Bersih Padi 2025'!D835)</f>
        <v/>
      </c>
      <c r="E835" s="1" t="str">
        <f>IF('1.1 Produksi Bersih Padi 2025'!E835="","",'1.1 Produksi Bersih Padi 2025'!E835)</f>
        <v/>
      </c>
      <c r="F835" s="28" t="str">
        <f>IF(D835="","",VLOOKUP(D835,'[1]0.1 Produksi Pangan &amp; Penduduk'!$D$5:$AK$860,34,0))</f>
        <v/>
      </c>
      <c r="G835" s="29" t="str">
        <f t="shared" si="60"/>
        <v/>
      </c>
      <c r="H835" s="29" t="str">
        <f t="shared" si="61"/>
        <v/>
      </c>
      <c r="I835" s="29" t="str">
        <f t="shared" si="62"/>
        <v/>
      </c>
      <c r="J835" s="29" t="str">
        <f t="shared" si="63"/>
        <v/>
      </c>
      <c r="K835" s="29" t="str">
        <f t="shared" si="64"/>
        <v/>
      </c>
    </row>
    <row r="836" spans="1:11" ht="15" x14ac:dyDescent="0.25">
      <c r="A836" s="1" t="str">
        <f>IF('1.1 Produksi Bersih Padi 2025'!A836="","",'1.1 Produksi Bersih Padi 2025'!A836)</f>
        <v/>
      </c>
      <c r="B836" s="31" t="str">
        <f>IF('1.1 Produksi Bersih Padi 2025'!B836="","",'1.1 Produksi Bersih Padi 2025'!B836)</f>
        <v/>
      </c>
      <c r="C836" s="31" t="str">
        <f>IF('1.1 Produksi Bersih Padi 2025'!C836="","",'1.1 Produksi Bersih Padi 2025'!C836)</f>
        <v/>
      </c>
      <c r="D836" s="1" t="str">
        <f>IF('1.1 Produksi Bersih Padi 2025'!D836="","",'1.1 Produksi Bersih Padi 2025'!D836)</f>
        <v/>
      </c>
      <c r="E836" s="1" t="str">
        <f>IF('1.1 Produksi Bersih Padi 2025'!E836="","",'1.1 Produksi Bersih Padi 2025'!E836)</f>
        <v/>
      </c>
      <c r="F836" s="28" t="str">
        <f>IF(D836="","",VLOOKUP(D836,'[1]0.1 Produksi Pangan &amp; Penduduk'!$D$5:$AK$860,34,0))</f>
        <v/>
      </c>
      <c r="G836" s="29" t="str">
        <f t="shared" si="60"/>
        <v/>
      </c>
      <c r="H836" s="29" t="str">
        <f t="shared" si="61"/>
        <v/>
      </c>
      <c r="I836" s="29" t="str">
        <f t="shared" si="62"/>
        <v/>
      </c>
      <c r="J836" s="29" t="str">
        <f t="shared" si="63"/>
        <v/>
      </c>
      <c r="K836" s="29" t="str">
        <f t="shared" si="64"/>
        <v/>
      </c>
    </row>
    <row r="837" spans="1:11" ht="15" x14ac:dyDescent="0.25">
      <c r="A837" s="1" t="str">
        <f>IF('1.1 Produksi Bersih Padi 2025'!A837="","",'1.1 Produksi Bersih Padi 2025'!A837)</f>
        <v/>
      </c>
      <c r="B837" s="31" t="str">
        <f>IF('1.1 Produksi Bersih Padi 2025'!B837="","",'1.1 Produksi Bersih Padi 2025'!B837)</f>
        <v/>
      </c>
      <c r="C837" s="31" t="str">
        <f>IF('1.1 Produksi Bersih Padi 2025'!C837="","",'1.1 Produksi Bersih Padi 2025'!C837)</f>
        <v/>
      </c>
      <c r="D837" s="1" t="str">
        <f>IF('1.1 Produksi Bersih Padi 2025'!D837="","",'1.1 Produksi Bersih Padi 2025'!D837)</f>
        <v/>
      </c>
      <c r="E837" s="1" t="str">
        <f>IF('1.1 Produksi Bersih Padi 2025'!E837="","",'1.1 Produksi Bersih Padi 2025'!E837)</f>
        <v/>
      </c>
      <c r="F837" s="28" t="str">
        <f>IF(D837="","",VLOOKUP(D837,'[1]0.1 Produksi Pangan &amp; Penduduk'!$D$5:$AK$860,34,0))</f>
        <v/>
      </c>
      <c r="G837" s="29" t="str">
        <f t="shared" si="60"/>
        <v/>
      </c>
      <c r="H837" s="29" t="str">
        <f t="shared" si="61"/>
        <v/>
      </c>
      <c r="I837" s="29" t="str">
        <f t="shared" si="62"/>
        <v/>
      </c>
      <c r="J837" s="29" t="str">
        <f t="shared" si="63"/>
        <v/>
      </c>
      <c r="K837" s="29" t="str">
        <f t="shared" si="64"/>
        <v/>
      </c>
    </row>
    <row r="838" spans="1:11" ht="15" x14ac:dyDescent="0.25">
      <c r="A838" s="1" t="str">
        <f>IF('1.1 Produksi Bersih Padi 2025'!A838="","",'1.1 Produksi Bersih Padi 2025'!A838)</f>
        <v/>
      </c>
      <c r="B838" s="31" t="str">
        <f>IF('1.1 Produksi Bersih Padi 2025'!B838="","",'1.1 Produksi Bersih Padi 2025'!B838)</f>
        <v/>
      </c>
      <c r="C838" s="31" t="str">
        <f>IF('1.1 Produksi Bersih Padi 2025'!C838="","",'1.1 Produksi Bersih Padi 2025'!C838)</f>
        <v/>
      </c>
      <c r="D838" s="1" t="str">
        <f>IF('1.1 Produksi Bersih Padi 2025'!D838="","",'1.1 Produksi Bersih Padi 2025'!D838)</f>
        <v/>
      </c>
      <c r="E838" s="1" t="str">
        <f>IF('1.1 Produksi Bersih Padi 2025'!E838="","",'1.1 Produksi Bersih Padi 2025'!E838)</f>
        <v/>
      </c>
      <c r="F838" s="28" t="str">
        <f>IF(D838="","",VLOOKUP(D838,'[1]0.1 Produksi Pangan &amp; Penduduk'!$D$5:$AK$860,34,0))</f>
        <v/>
      </c>
      <c r="G838" s="29" t="str">
        <f t="shared" ref="G838:G859" si="65">IF(F838="","",F838*0%)</f>
        <v/>
      </c>
      <c r="H838" s="29" t="str">
        <f t="shared" ref="H838:H859" si="66">IF(F838="","",F838*0%)</f>
        <v/>
      </c>
      <c r="I838" s="29" t="str">
        <f t="shared" ref="I838:I859" si="67">IF(F838="","",F838*0.72%)</f>
        <v/>
      </c>
      <c r="J838" s="29" t="str">
        <f t="shared" ref="J838:J859" si="68">IF(F838="","",F838-(G838+H838+I838))</f>
        <v/>
      </c>
      <c r="K838" s="29" t="str">
        <f t="shared" ref="K838:K859" si="69">IF(J838="","",J838*0.64)</f>
        <v/>
      </c>
    </row>
    <row r="839" spans="1:11" ht="15" x14ac:dyDescent="0.25">
      <c r="A839" s="1" t="str">
        <f>IF('1.1 Produksi Bersih Padi 2025'!A839="","",'1.1 Produksi Bersih Padi 2025'!A839)</f>
        <v/>
      </c>
      <c r="B839" s="31" t="str">
        <f>IF('1.1 Produksi Bersih Padi 2025'!B839="","",'1.1 Produksi Bersih Padi 2025'!B839)</f>
        <v/>
      </c>
      <c r="C839" s="31" t="str">
        <f>IF('1.1 Produksi Bersih Padi 2025'!C839="","",'1.1 Produksi Bersih Padi 2025'!C839)</f>
        <v/>
      </c>
      <c r="D839" s="1" t="str">
        <f>IF('1.1 Produksi Bersih Padi 2025'!D839="","",'1.1 Produksi Bersih Padi 2025'!D839)</f>
        <v/>
      </c>
      <c r="E839" s="1" t="str">
        <f>IF('1.1 Produksi Bersih Padi 2025'!E839="","",'1.1 Produksi Bersih Padi 2025'!E839)</f>
        <v/>
      </c>
      <c r="F839" s="28" t="str">
        <f>IF(D839="","",VLOOKUP(D839,'[1]0.1 Produksi Pangan &amp; Penduduk'!$D$5:$AK$860,34,0))</f>
        <v/>
      </c>
      <c r="G839" s="29" t="str">
        <f t="shared" si="65"/>
        <v/>
      </c>
      <c r="H839" s="29" t="str">
        <f t="shared" si="66"/>
        <v/>
      </c>
      <c r="I839" s="29" t="str">
        <f t="shared" si="67"/>
        <v/>
      </c>
      <c r="J839" s="29" t="str">
        <f t="shared" si="68"/>
        <v/>
      </c>
      <c r="K839" s="29" t="str">
        <f t="shared" si="69"/>
        <v/>
      </c>
    </row>
    <row r="840" spans="1:11" ht="15" x14ac:dyDescent="0.25">
      <c r="A840" s="1" t="str">
        <f>IF('1.1 Produksi Bersih Padi 2025'!A840="","",'1.1 Produksi Bersih Padi 2025'!A840)</f>
        <v/>
      </c>
      <c r="B840" s="31" t="str">
        <f>IF('1.1 Produksi Bersih Padi 2025'!B840="","",'1.1 Produksi Bersih Padi 2025'!B840)</f>
        <v/>
      </c>
      <c r="C840" s="31" t="str">
        <f>IF('1.1 Produksi Bersih Padi 2025'!C840="","",'1.1 Produksi Bersih Padi 2025'!C840)</f>
        <v/>
      </c>
      <c r="D840" s="1" t="str">
        <f>IF('1.1 Produksi Bersih Padi 2025'!D840="","",'1.1 Produksi Bersih Padi 2025'!D840)</f>
        <v/>
      </c>
      <c r="E840" s="1" t="str">
        <f>IF('1.1 Produksi Bersih Padi 2025'!E840="","",'1.1 Produksi Bersih Padi 2025'!E840)</f>
        <v/>
      </c>
      <c r="F840" s="28" t="str">
        <f>IF(D840="","",VLOOKUP(D840,'[1]0.1 Produksi Pangan &amp; Penduduk'!$D$5:$AK$860,34,0))</f>
        <v/>
      </c>
      <c r="G840" s="29" t="str">
        <f t="shared" si="65"/>
        <v/>
      </c>
      <c r="H840" s="29" t="str">
        <f t="shared" si="66"/>
        <v/>
      </c>
      <c r="I840" s="29" t="str">
        <f t="shared" si="67"/>
        <v/>
      </c>
      <c r="J840" s="29" t="str">
        <f t="shared" si="68"/>
        <v/>
      </c>
      <c r="K840" s="29" t="str">
        <f t="shared" si="69"/>
        <v/>
      </c>
    </row>
    <row r="841" spans="1:11" ht="15" x14ac:dyDescent="0.25">
      <c r="A841" s="1" t="str">
        <f>IF('1.1 Produksi Bersih Padi 2025'!A841="","",'1.1 Produksi Bersih Padi 2025'!A841)</f>
        <v/>
      </c>
      <c r="B841" s="31" t="str">
        <f>IF('1.1 Produksi Bersih Padi 2025'!B841="","",'1.1 Produksi Bersih Padi 2025'!B841)</f>
        <v/>
      </c>
      <c r="C841" s="31" t="str">
        <f>IF('1.1 Produksi Bersih Padi 2025'!C841="","",'1.1 Produksi Bersih Padi 2025'!C841)</f>
        <v/>
      </c>
      <c r="D841" s="1" t="str">
        <f>IF('1.1 Produksi Bersih Padi 2025'!D841="","",'1.1 Produksi Bersih Padi 2025'!D841)</f>
        <v/>
      </c>
      <c r="E841" s="1" t="str">
        <f>IF('1.1 Produksi Bersih Padi 2025'!E841="","",'1.1 Produksi Bersih Padi 2025'!E841)</f>
        <v/>
      </c>
      <c r="F841" s="28" t="str">
        <f>IF(D841="","",VLOOKUP(D841,'[1]0.1 Produksi Pangan &amp; Penduduk'!$D$5:$AK$860,34,0))</f>
        <v/>
      </c>
      <c r="G841" s="29" t="str">
        <f t="shared" si="65"/>
        <v/>
      </c>
      <c r="H841" s="29" t="str">
        <f t="shared" si="66"/>
        <v/>
      </c>
      <c r="I841" s="29" t="str">
        <f t="shared" si="67"/>
        <v/>
      </c>
      <c r="J841" s="29" t="str">
        <f t="shared" si="68"/>
        <v/>
      </c>
      <c r="K841" s="29" t="str">
        <f t="shared" si="69"/>
        <v/>
      </c>
    </row>
    <row r="842" spans="1:11" ht="15" x14ac:dyDescent="0.25">
      <c r="A842" s="1" t="str">
        <f>IF('1.1 Produksi Bersih Padi 2025'!A842="","",'1.1 Produksi Bersih Padi 2025'!A842)</f>
        <v/>
      </c>
      <c r="B842" s="31" t="str">
        <f>IF('1.1 Produksi Bersih Padi 2025'!B842="","",'1.1 Produksi Bersih Padi 2025'!B842)</f>
        <v/>
      </c>
      <c r="C842" s="31" t="str">
        <f>IF('1.1 Produksi Bersih Padi 2025'!C842="","",'1.1 Produksi Bersih Padi 2025'!C842)</f>
        <v/>
      </c>
      <c r="D842" s="1" t="str">
        <f>IF('1.1 Produksi Bersih Padi 2025'!D842="","",'1.1 Produksi Bersih Padi 2025'!D842)</f>
        <v/>
      </c>
      <c r="E842" s="1" t="str">
        <f>IF('1.1 Produksi Bersih Padi 2025'!E842="","",'1.1 Produksi Bersih Padi 2025'!E842)</f>
        <v/>
      </c>
      <c r="F842" s="28" t="str">
        <f>IF(D842="","",VLOOKUP(D842,'[1]0.1 Produksi Pangan &amp; Penduduk'!$D$5:$AK$860,34,0))</f>
        <v/>
      </c>
      <c r="G842" s="29" t="str">
        <f t="shared" si="65"/>
        <v/>
      </c>
      <c r="H842" s="29" t="str">
        <f t="shared" si="66"/>
        <v/>
      </c>
      <c r="I842" s="29" t="str">
        <f t="shared" si="67"/>
        <v/>
      </c>
      <c r="J842" s="29" t="str">
        <f t="shared" si="68"/>
        <v/>
      </c>
      <c r="K842" s="29" t="str">
        <f t="shared" si="69"/>
        <v/>
      </c>
    </row>
    <row r="843" spans="1:11" ht="15" x14ac:dyDescent="0.25">
      <c r="A843" s="1" t="str">
        <f>IF('1.1 Produksi Bersih Padi 2025'!A843="","",'1.1 Produksi Bersih Padi 2025'!A843)</f>
        <v/>
      </c>
      <c r="B843" s="31" t="str">
        <f>IF('1.1 Produksi Bersih Padi 2025'!B843="","",'1.1 Produksi Bersih Padi 2025'!B843)</f>
        <v/>
      </c>
      <c r="C843" s="31" t="str">
        <f>IF('1.1 Produksi Bersih Padi 2025'!C843="","",'1.1 Produksi Bersih Padi 2025'!C843)</f>
        <v/>
      </c>
      <c r="D843" s="1" t="str">
        <f>IF('1.1 Produksi Bersih Padi 2025'!D843="","",'1.1 Produksi Bersih Padi 2025'!D843)</f>
        <v/>
      </c>
      <c r="E843" s="1" t="str">
        <f>IF('1.1 Produksi Bersih Padi 2025'!E843="","",'1.1 Produksi Bersih Padi 2025'!E843)</f>
        <v/>
      </c>
      <c r="F843" s="28" t="str">
        <f>IF(D843="","",VLOOKUP(D843,'[1]0.1 Produksi Pangan &amp; Penduduk'!$D$5:$AK$860,34,0))</f>
        <v/>
      </c>
      <c r="G843" s="29" t="str">
        <f t="shared" si="65"/>
        <v/>
      </c>
      <c r="H843" s="29" t="str">
        <f t="shared" si="66"/>
        <v/>
      </c>
      <c r="I843" s="29" t="str">
        <f t="shared" si="67"/>
        <v/>
      </c>
      <c r="J843" s="29" t="str">
        <f t="shared" si="68"/>
        <v/>
      </c>
      <c r="K843" s="29" t="str">
        <f t="shared" si="69"/>
        <v/>
      </c>
    </row>
    <row r="844" spans="1:11" ht="15" x14ac:dyDescent="0.25">
      <c r="A844" s="1" t="str">
        <f>IF('1.1 Produksi Bersih Padi 2025'!A844="","",'1.1 Produksi Bersih Padi 2025'!A844)</f>
        <v/>
      </c>
      <c r="B844" s="31" t="str">
        <f>IF('1.1 Produksi Bersih Padi 2025'!B844="","",'1.1 Produksi Bersih Padi 2025'!B844)</f>
        <v/>
      </c>
      <c r="C844" s="31" t="str">
        <f>IF('1.1 Produksi Bersih Padi 2025'!C844="","",'1.1 Produksi Bersih Padi 2025'!C844)</f>
        <v/>
      </c>
      <c r="D844" s="1" t="str">
        <f>IF('1.1 Produksi Bersih Padi 2025'!D844="","",'1.1 Produksi Bersih Padi 2025'!D844)</f>
        <v/>
      </c>
      <c r="E844" s="1" t="str">
        <f>IF('1.1 Produksi Bersih Padi 2025'!E844="","",'1.1 Produksi Bersih Padi 2025'!E844)</f>
        <v/>
      </c>
      <c r="F844" s="28" t="str">
        <f>IF(D844="","",VLOOKUP(D844,'[1]0.1 Produksi Pangan &amp; Penduduk'!$D$5:$AK$860,34,0))</f>
        <v/>
      </c>
      <c r="G844" s="29" t="str">
        <f t="shared" si="65"/>
        <v/>
      </c>
      <c r="H844" s="29" t="str">
        <f t="shared" si="66"/>
        <v/>
      </c>
      <c r="I844" s="29" t="str">
        <f t="shared" si="67"/>
        <v/>
      </c>
      <c r="J844" s="29" t="str">
        <f t="shared" si="68"/>
        <v/>
      </c>
      <c r="K844" s="29" t="str">
        <f t="shared" si="69"/>
        <v/>
      </c>
    </row>
    <row r="845" spans="1:11" ht="15" x14ac:dyDescent="0.25">
      <c r="A845" s="1" t="str">
        <f>IF('1.1 Produksi Bersih Padi 2025'!A845="","",'1.1 Produksi Bersih Padi 2025'!A845)</f>
        <v/>
      </c>
      <c r="B845" s="31" t="str">
        <f>IF('1.1 Produksi Bersih Padi 2025'!B845="","",'1.1 Produksi Bersih Padi 2025'!B845)</f>
        <v/>
      </c>
      <c r="C845" s="31" t="str">
        <f>IF('1.1 Produksi Bersih Padi 2025'!C845="","",'1.1 Produksi Bersih Padi 2025'!C845)</f>
        <v/>
      </c>
      <c r="D845" s="1" t="str">
        <f>IF('1.1 Produksi Bersih Padi 2025'!D845="","",'1.1 Produksi Bersih Padi 2025'!D845)</f>
        <v/>
      </c>
      <c r="E845" s="1" t="str">
        <f>IF('1.1 Produksi Bersih Padi 2025'!E845="","",'1.1 Produksi Bersih Padi 2025'!E845)</f>
        <v/>
      </c>
      <c r="F845" s="28" t="str">
        <f>IF(D845="","",VLOOKUP(D845,'[1]0.1 Produksi Pangan &amp; Penduduk'!$D$5:$AK$860,34,0))</f>
        <v/>
      </c>
      <c r="G845" s="29" t="str">
        <f t="shared" si="65"/>
        <v/>
      </c>
      <c r="H845" s="29" t="str">
        <f t="shared" si="66"/>
        <v/>
      </c>
      <c r="I845" s="29" t="str">
        <f t="shared" si="67"/>
        <v/>
      </c>
      <c r="J845" s="29" t="str">
        <f t="shared" si="68"/>
        <v/>
      </c>
      <c r="K845" s="29" t="str">
        <f t="shared" si="69"/>
        <v/>
      </c>
    </row>
    <row r="846" spans="1:11" ht="15" x14ac:dyDescent="0.25">
      <c r="A846" s="1" t="str">
        <f>IF('1.1 Produksi Bersih Padi 2025'!A846="","",'1.1 Produksi Bersih Padi 2025'!A846)</f>
        <v/>
      </c>
      <c r="B846" s="31" t="str">
        <f>IF('1.1 Produksi Bersih Padi 2025'!B846="","",'1.1 Produksi Bersih Padi 2025'!B846)</f>
        <v/>
      </c>
      <c r="C846" s="31" t="str">
        <f>IF('1.1 Produksi Bersih Padi 2025'!C846="","",'1.1 Produksi Bersih Padi 2025'!C846)</f>
        <v/>
      </c>
      <c r="D846" s="1" t="str">
        <f>IF('1.1 Produksi Bersih Padi 2025'!D846="","",'1.1 Produksi Bersih Padi 2025'!D846)</f>
        <v/>
      </c>
      <c r="E846" s="1" t="str">
        <f>IF('1.1 Produksi Bersih Padi 2025'!E846="","",'1.1 Produksi Bersih Padi 2025'!E846)</f>
        <v/>
      </c>
      <c r="F846" s="28" t="str">
        <f>IF(D846="","",VLOOKUP(D846,'[1]0.1 Produksi Pangan &amp; Penduduk'!$D$5:$AK$860,34,0))</f>
        <v/>
      </c>
      <c r="G846" s="29" t="str">
        <f t="shared" si="65"/>
        <v/>
      </c>
      <c r="H846" s="29" t="str">
        <f t="shared" si="66"/>
        <v/>
      </c>
      <c r="I846" s="29" t="str">
        <f t="shared" si="67"/>
        <v/>
      </c>
      <c r="J846" s="29" t="str">
        <f t="shared" si="68"/>
        <v/>
      </c>
      <c r="K846" s="29" t="str">
        <f t="shared" si="69"/>
        <v/>
      </c>
    </row>
    <row r="847" spans="1:11" ht="15" x14ac:dyDescent="0.25">
      <c r="A847" s="1" t="str">
        <f>IF('1.1 Produksi Bersih Padi 2025'!A847="","",'1.1 Produksi Bersih Padi 2025'!A847)</f>
        <v/>
      </c>
      <c r="B847" s="31" t="str">
        <f>IF('1.1 Produksi Bersih Padi 2025'!B847="","",'1.1 Produksi Bersih Padi 2025'!B847)</f>
        <v/>
      </c>
      <c r="C847" s="31" t="str">
        <f>IF('1.1 Produksi Bersih Padi 2025'!C847="","",'1.1 Produksi Bersih Padi 2025'!C847)</f>
        <v/>
      </c>
      <c r="D847" s="1" t="str">
        <f>IF('1.1 Produksi Bersih Padi 2025'!D847="","",'1.1 Produksi Bersih Padi 2025'!D847)</f>
        <v/>
      </c>
      <c r="E847" s="1" t="str">
        <f>IF('1.1 Produksi Bersih Padi 2025'!E847="","",'1.1 Produksi Bersih Padi 2025'!E847)</f>
        <v/>
      </c>
      <c r="F847" s="28" t="str">
        <f>IF(D847="","",VLOOKUP(D847,'[1]0.1 Produksi Pangan &amp; Penduduk'!$D$5:$AK$860,34,0))</f>
        <v/>
      </c>
      <c r="G847" s="29" t="str">
        <f t="shared" si="65"/>
        <v/>
      </c>
      <c r="H847" s="29" t="str">
        <f t="shared" si="66"/>
        <v/>
      </c>
      <c r="I847" s="29" t="str">
        <f t="shared" si="67"/>
        <v/>
      </c>
      <c r="J847" s="29" t="str">
        <f t="shared" si="68"/>
        <v/>
      </c>
      <c r="K847" s="29" t="str">
        <f t="shared" si="69"/>
        <v/>
      </c>
    </row>
    <row r="848" spans="1:11" ht="15" x14ac:dyDescent="0.25">
      <c r="A848" s="1" t="str">
        <f>IF('1.1 Produksi Bersih Padi 2025'!A848="","",'1.1 Produksi Bersih Padi 2025'!A848)</f>
        <v/>
      </c>
      <c r="B848" s="31" t="str">
        <f>IF('1.1 Produksi Bersih Padi 2025'!B848="","",'1.1 Produksi Bersih Padi 2025'!B848)</f>
        <v/>
      </c>
      <c r="C848" s="31" t="str">
        <f>IF('1.1 Produksi Bersih Padi 2025'!C848="","",'1.1 Produksi Bersih Padi 2025'!C848)</f>
        <v/>
      </c>
      <c r="D848" s="1" t="str">
        <f>IF('1.1 Produksi Bersih Padi 2025'!D848="","",'1.1 Produksi Bersih Padi 2025'!D848)</f>
        <v/>
      </c>
      <c r="E848" s="1" t="str">
        <f>IF('1.1 Produksi Bersih Padi 2025'!E848="","",'1.1 Produksi Bersih Padi 2025'!E848)</f>
        <v/>
      </c>
      <c r="F848" s="28" t="str">
        <f>IF(D848="","",VLOOKUP(D848,'[1]0.1 Produksi Pangan &amp; Penduduk'!$D$5:$AK$860,34,0))</f>
        <v/>
      </c>
      <c r="G848" s="29" t="str">
        <f t="shared" si="65"/>
        <v/>
      </c>
      <c r="H848" s="29" t="str">
        <f t="shared" si="66"/>
        <v/>
      </c>
      <c r="I848" s="29" t="str">
        <f t="shared" si="67"/>
        <v/>
      </c>
      <c r="J848" s="29" t="str">
        <f t="shared" si="68"/>
        <v/>
      </c>
      <c r="K848" s="29" t="str">
        <f t="shared" si="69"/>
        <v/>
      </c>
    </row>
    <row r="849" spans="1:11" ht="15" x14ac:dyDescent="0.25">
      <c r="A849" s="1" t="str">
        <f>IF('1.1 Produksi Bersih Padi 2025'!A849="","",'1.1 Produksi Bersih Padi 2025'!A849)</f>
        <v/>
      </c>
      <c r="B849" s="31" t="str">
        <f>IF('1.1 Produksi Bersih Padi 2025'!B849="","",'1.1 Produksi Bersih Padi 2025'!B849)</f>
        <v/>
      </c>
      <c r="C849" s="31" t="str">
        <f>IF('1.1 Produksi Bersih Padi 2025'!C849="","",'1.1 Produksi Bersih Padi 2025'!C849)</f>
        <v/>
      </c>
      <c r="D849" s="1" t="str">
        <f>IF('1.1 Produksi Bersih Padi 2025'!D849="","",'1.1 Produksi Bersih Padi 2025'!D849)</f>
        <v/>
      </c>
      <c r="E849" s="1" t="str">
        <f>IF('1.1 Produksi Bersih Padi 2025'!E849="","",'1.1 Produksi Bersih Padi 2025'!E849)</f>
        <v/>
      </c>
      <c r="F849" s="28" t="str">
        <f>IF(D849="","",VLOOKUP(D849,'[1]0.1 Produksi Pangan &amp; Penduduk'!$D$5:$AK$860,34,0))</f>
        <v/>
      </c>
      <c r="G849" s="29" t="str">
        <f t="shared" si="65"/>
        <v/>
      </c>
      <c r="H849" s="29" t="str">
        <f t="shared" si="66"/>
        <v/>
      </c>
      <c r="I849" s="29" t="str">
        <f t="shared" si="67"/>
        <v/>
      </c>
      <c r="J849" s="29" t="str">
        <f t="shared" si="68"/>
        <v/>
      </c>
      <c r="K849" s="29" t="str">
        <f t="shared" si="69"/>
        <v/>
      </c>
    </row>
    <row r="850" spans="1:11" ht="15" x14ac:dyDescent="0.25">
      <c r="A850" s="1" t="str">
        <f>IF('1.1 Produksi Bersih Padi 2025'!A850="","",'1.1 Produksi Bersih Padi 2025'!A850)</f>
        <v/>
      </c>
      <c r="B850" s="31" t="str">
        <f>IF('1.1 Produksi Bersih Padi 2025'!B850="","",'1.1 Produksi Bersih Padi 2025'!B850)</f>
        <v/>
      </c>
      <c r="C850" s="31" t="str">
        <f>IF('1.1 Produksi Bersih Padi 2025'!C850="","",'1.1 Produksi Bersih Padi 2025'!C850)</f>
        <v/>
      </c>
      <c r="D850" s="1" t="str">
        <f>IF('1.1 Produksi Bersih Padi 2025'!D850="","",'1.1 Produksi Bersih Padi 2025'!D850)</f>
        <v/>
      </c>
      <c r="E850" s="1" t="str">
        <f>IF('1.1 Produksi Bersih Padi 2025'!E850="","",'1.1 Produksi Bersih Padi 2025'!E850)</f>
        <v/>
      </c>
      <c r="F850" s="28" t="str">
        <f>IF(D850="","",VLOOKUP(D850,'[1]0.1 Produksi Pangan &amp; Penduduk'!$D$5:$AK$860,34,0))</f>
        <v/>
      </c>
      <c r="G850" s="29" t="str">
        <f t="shared" si="65"/>
        <v/>
      </c>
      <c r="H850" s="29" t="str">
        <f t="shared" si="66"/>
        <v/>
      </c>
      <c r="I850" s="29" t="str">
        <f t="shared" si="67"/>
        <v/>
      </c>
      <c r="J850" s="29" t="str">
        <f t="shared" si="68"/>
        <v/>
      </c>
      <c r="K850" s="29" t="str">
        <f t="shared" si="69"/>
        <v/>
      </c>
    </row>
    <row r="851" spans="1:11" ht="15" x14ac:dyDescent="0.25">
      <c r="A851" s="1" t="str">
        <f>IF('1.1 Produksi Bersih Padi 2025'!A851="","",'1.1 Produksi Bersih Padi 2025'!A851)</f>
        <v/>
      </c>
      <c r="B851" s="31" t="str">
        <f>IF('1.1 Produksi Bersih Padi 2025'!B851="","",'1.1 Produksi Bersih Padi 2025'!B851)</f>
        <v/>
      </c>
      <c r="C851" s="31" t="str">
        <f>IF('1.1 Produksi Bersih Padi 2025'!C851="","",'1.1 Produksi Bersih Padi 2025'!C851)</f>
        <v/>
      </c>
      <c r="D851" s="1" t="str">
        <f>IF('1.1 Produksi Bersih Padi 2025'!D851="","",'1.1 Produksi Bersih Padi 2025'!D851)</f>
        <v/>
      </c>
      <c r="E851" s="1" t="str">
        <f>IF('1.1 Produksi Bersih Padi 2025'!E851="","",'1.1 Produksi Bersih Padi 2025'!E851)</f>
        <v/>
      </c>
      <c r="F851" s="28" t="str">
        <f>IF(D851="","",VLOOKUP(D851,'[1]0.1 Produksi Pangan &amp; Penduduk'!$D$5:$AK$860,34,0))</f>
        <v/>
      </c>
      <c r="G851" s="29" t="str">
        <f t="shared" si="65"/>
        <v/>
      </c>
      <c r="H851" s="29" t="str">
        <f t="shared" si="66"/>
        <v/>
      </c>
      <c r="I851" s="29" t="str">
        <f t="shared" si="67"/>
        <v/>
      </c>
      <c r="J851" s="29" t="str">
        <f t="shared" si="68"/>
        <v/>
      </c>
      <c r="K851" s="29" t="str">
        <f t="shared" si="69"/>
        <v/>
      </c>
    </row>
    <row r="852" spans="1:11" ht="15" x14ac:dyDescent="0.25">
      <c r="A852" s="1" t="str">
        <f>IF('1.1 Produksi Bersih Padi 2025'!A852="","",'1.1 Produksi Bersih Padi 2025'!A852)</f>
        <v/>
      </c>
      <c r="B852" s="31" t="str">
        <f>IF('1.1 Produksi Bersih Padi 2025'!B852="","",'1.1 Produksi Bersih Padi 2025'!B852)</f>
        <v/>
      </c>
      <c r="C852" s="31" t="str">
        <f>IF('1.1 Produksi Bersih Padi 2025'!C852="","",'1.1 Produksi Bersih Padi 2025'!C852)</f>
        <v/>
      </c>
      <c r="D852" s="1" t="str">
        <f>IF('1.1 Produksi Bersih Padi 2025'!D852="","",'1.1 Produksi Bersih Padi 2025'!D852)</f>
        <v/>
      </c>
      <c r="E852" s="1" t="str">
        <f>IF('1.1 Produksi Bersih Padi 2025'!E852="","",'1.1 Produksi Bersih Padi 2025'!E852)</f>
        <v/>
      </c>
      <c r="F852" s="28" t="str">
        <f>IF(D852="","",VLOOKUP(D852,'[1]0.1 Produksi Pangan &amp; Penduduk'!$D$5:$AK$860,34,0))</f>
        <v/>
      </c>
      <c r="G852" s="29" t="str">
        <f t="shared" si="65"/>
        <v/>
      </c>
      <c r="H852" s="29" t="str">
        <f t="shared" si="66"/>
        <v/>
      </c>
      <c r="I852" s="29" t="str">
        <f t="shared" si="67"/>
        <v/>
      </c>
      <c r="J852" s="29" t="str">
        <f t="shared" si="68"/>
        <v/>
      </c>
      <c r="K852" s="29" t="str">
        <f t="shared" si="69"/>
        <v/>
      </c>
    </row>
    <row r="853" spans="1:11" ht="15" x14ac:dyDescent="0.25">
      <c r="A853" s="1" t="str">
        <f>IF('1.1 Produksi Bersih Padi 2025'!A853="","",'1.1 Produksi Bersih Padi 2025'!A853)</f>
        <v/>
      </c>
      <c r="B853" s="31" t="str">
        <f>IF('1.1 Produksi Bersih Padi 2025'!B853="","",'1.1 Produksi Bersih Padi 2025'!B853)</f>
        <v/>
      </c>
      <c r="C853" s="31" t="str">
        <f>IF('1.1 Produksi Bersih Padi 2025'!C853="","",'1.1 Produksi Bersih Padi 2025'!C853)</f>
        <v/>
      </c>
      <c r="D853" s="1" t="str">
        <f>IF('1.1 Produksi Bersih Padi 2025'!D853="","",'1.1 Produksi Bersih Padi 2025'!D853)</f>
        <v/>
      </c>
      <c r="E853" s="1" t="str">
        <f>IF('1.1 Produksi Bersih Padi 2025'!E853="","",'1.1 Produksi Bersih Padi 2025'!E853)</f>
        <v/>
      </c>
      <c r="F853" s="28" t="str">
        <f>IF(D853="","",VLOOKUP(D853,'[1]0.1 Produksi Pangan &amp; Penduduk'!$D$5:$AK$860,34,0))</f>
        <v/>
      </c>
      <c r="G853" s="29" t="str">
        <f t="shared" si="65"/>
        <v/>
      </c>
      <c r="H853" s="29" t="str">
        <f t="shared" si="66"/>
        <v/>
      </c>
      <c r="I853" s="29" t="str">
        <f t="shared" si="67"/>
        <v/>
      </c>
      <c r="J853" s="29" t="str">
        <f t="shared" si="68"/>
        <v/>
      </c>
      <c r="K853" s="29" t="str">
        <f t="shared" si="69"/>
        <v/>
      </c>
    </row>
    <row r="854" spans="1:11" ht="15" x14ac:dyDescent="0.25">
      <c r="A854" s="1" t="str">
        <f>IF('1.1 Produksi Bersih Padi 2025'!A854="","",'1.1 Produksi Bersih Padi 2025'!A854)</f>
        <v/>
      </c>
      <c r="B854" s="31" t="str">
        <f>IF('1.1 Produksi Bersih Padi 2025'!B854="","",'1.1 Produksi Bersih Padi 2025'!B854)</f>
        <v/>
      </c>
      <c r="C854" s="31" t="str">
        <f>IF('1.1 Produksi Bersih Padi 2025'!C854="","",'1.1 Produksi Bersih Padi 2025'!C854)</f>
        <v/>
      </c>
      <c r="D854" s="1" t="str">
        <f>IF('1.1 Produksi Bersih Padi 2025'!D854="","",'1.1 Produksi Bersih Padi 2025'!D854)</f>
        <v/>
      </c>
      <c r="E854" s="1" t="str">
        <f>IF('1.1 Produksi Bersih Padi 2025'!E854="","",'1.1 Produksi Bersih Padi 2025'!E854)</f>
        <v/>
      </c>
      <c r="F854" s="28" t="str">
        <f>IF(D854="","",VLOOKUP(D854,'[1]0.1 Produksi Pangan &amp; Penduduk'!$D$5:$AK$860,34,0))</f>
        <v/>
      </c>
      <c r="G854" s="29" t="str">
        <f t="shared" si="65"/>
        <v/>
      </c>
      <c r="H854" s="29" t="str">
        <f t="shared" si="66"/>
        <v/>
      </c>
      <c r="I854" s="29" t="str">
        <f t="shared" si="67"/>
        <v/>
      </c>
      <c r="J854" s="29" t="str">
        <f t="shared" si="68"/>
        <v/>
      </c>
      <c r="K854" s="29" t="str">
        <f t="shared" si="69"/>
        <v/>
      </c>
    </row>
    <row r="855" spans="1:11" ht="15" x14ac:dyDescent="0.25">
      <c r="A855" s="1" t="str">
        <f>IF('1.1 Produksi Bersih Padi 2025'!A855="","",'1.1 Produksi Bersih Padi 2025'!A855)</f>
        <v/>
      </c>
      <c r="B855" s="31" t="str">
        <f>IF('1.1 Produksi Bersih Padi 2025'!B855="","",'1.1 Produksi Bersih Padi 2025'!B855)</f>
        <v/>
      </c>
      <c r="C855" s="31" t="str">
        <f>IF('1.1 Produksi Bersih Padi 2025'!C855="","",'1.1 Produksi Bersih Padi 2025'!C855)</f>
        <v/>
      </c>
      <c r="D855" s="1" t="str">
        <f>IF('1.1 Produksi Bersih Padi 2025'!D855="","",'1.1 Produksi Bersih Padi 2025'!D855)</f>
        <v/>
      </c>
      <c r="E855" s="1" t="str">
        <f>IF('1.1 Produksi Bersih Padi 2025'!E855="","",'1.1 Produksi Bersih Padi 2025'!E855)</f>
        <v/>
      </c>
      <c r="F855" s="28" t="str">
        <f>IF(D855="","",VLOOKUP(D855,'[1]0.1 Produksi Pangan &amp; Penduduk'!$D$5:$AK$860,34,0))</f>
        <v/>
      </c>
      <c r="G855" s="29" t="str">
        <f t="shared" si="65"/>
        <v/>
      </c>
      <c r="H855" s="29" t="str">
        <f t="shared" si="66"/>
        <v/>
      </c>
      <c r="I855" s="29" t="str">
        <f t="shared" si="67"/>
        <v/>
      </c>
      <c r="J855" s="29" t="str">
        <f t="shared" si="68"/>
        <v/>
      </c>
      <c r="K855" s="29" t="str">
        <f t="shared" si="69"/>
        <v/>
      </c>
    </row>
    <row r="856" spans="1:11" ht="15" x14ac:dyDescent="0.25">
      <c r="A856" s="1" t="str">
        <f>IF('1.1 Produksi Bersih Padi 2025'!A856="","",'1.1 Produksi Bersih Padi 2025'!A856)</f>
        <v/>
      </c>
      <c r="B856" s="31" t="str">
        <f>IF('1.1 Produksi Bersih Padi 2025'!B856="","",'1.1 Produksi Bersih Padi 2025'!B856)</f>
        <v/>
      </c>
      <c r="C856" s="31" t="str">
        <f>IF('1.1 Produksi Bersih Padi 2025'!C856="","",'1.1 Produksi Bersih Padi 2025'!C856)</f>
        <v/>
      </c>
      <c r="D856" s="1" t="str">
        <f>IF('1.1 Produksi Bersih Padi 2025'!D856="","",'1.1 Produksi Bersih Padi 2025'!D856)</f>
        <v/>
      </c>
      <c r="E856" s="1" t="str">
        <f>IF('1.1 Produksi Bersih Padi 2025'!E856="","",'1.1 Produksi Bersih Padi 2025'!E856)</f>
        <v/>
      </c>
      <c r="F856" s="28" t="str">
        <f>IF(D856="","",VLOOKUP(D856,'[1]0.1 Produksi Pangan &amp; Penduduk'!$D$5:$AK$860,34,0))</f>
        <v/>
      </c>
      <c r="G856" s="29" t="str">
        <f t="shared" si="65"/>
        <v/>
      </c>
      <c r="H856" s="29" t="str">
        <f t="shared" si="66"/>
        <v/>
      </c>
      <c r="I856" s="29" t="str">
        <f t="shared" si="67"/>
        <v/>
      </c>
      <c r="J856" s="29" t="str">
        <f t="shared" si="68"/>
        <v/>
      </c>
      <c r="K856" s="29" t="str">
        <f t="shared" si="69"/>
        <v/>
      </c>
    </row>
    <row r="857" spans="1:11" ht="15" x14ac:dyDescent="0.25">
      <c r="A857" s="1" t="str">
        <f>IF('1.1 Produksi Bersih Padi 2025'!A857="","",'1.1 Produksi Bersih Padi 2025'!A857)</f>
        <v/>
      </c>
      <c r="B857" s="31" t="str">
        <f>IF('1.1 Produksi Bersih Padi 2025'!B857="","",'1.1 Produksi Bersih Padi 2025'!B857)</f>
        <v/>
      </c>
      <c r="C857" s="31" t="str">
        <f>IF('1.1 Produksi Bersih Padi 2025'!C857="","",'1.1 Produksi Bersih Padi 2025'!C857)</f>
        <v/>
      </c>
      <c r="D857" s="1" t="str">
        <f>IF('1.1 Produksi Bersih Padi 2025'!D857="","",'1.1 Produksi Bersih Padi 2025'!D857)</f>
        <v/>
      </c>
      <c r="E857" s="1" t="str">
        <f>IF('1.1 Produksi Bersih Padi 2025'!E857="","",'1.1 Produksi Bersih Padi 2025'!E857)</f>
        <v/>
      </c>
      <c r="F857" s="28" t="str">
        <f>IF(D857="","",VLOOKUP(D857,'[1]0.1 Produksi Pangan &amp; Penduduk'!$D$5:$AK$860,34,0))</f>
        <v/>
      </c>
      <c r="G857" s="29" t="str">
        <f t="shared" si="65"/>
        <v/>
      </c>
      <c r="H857" s="29" t="str">
        <f t="shared" si="66"/>
        <v/>
      </c>
      <c r="I857" s="29" t="str">
        <f t="shared" si="67"/>
        <v/>
      </c>
      <c r="J857" s="29" t="str">
        <f t="shared" si="68"/>
        <v/>
      </c>
      <c r="K857" s="29" t="str">
        <f t="shared" si="69"/>
        <v/>
      </c>
    </row>
    <row r="858" spans="1:11" ht="15" x14ac:dyDescent="0.25">
      <c r="A858" s="1" t="str">
        <f>IF('1.1 Produksi Bersih Padi 2025'!A858="","",'1.1 Produksi Bersih Padi 2025'!A858)</f>
        <v/>
      </c>
      <c r="B858" s="31" t="str">
        <f>IF('1.1 Produksi Bersih Padi 2025'!B858="","",'1.1 Produksi Bersih Padi 2025'!B858)</f>
        <v/>
      </c>
      <c r="C858" s="31" t="str">
        <f>IF('1.1 Produksi Bersih Padi 2025'!C858="","",'1.1 Produksi Bersih Padi 2025'!C858)</f>
        <v/>
      </c>
      <c r="D858" s="1" t="str">
        <f>IF('1.1 Produksi Bersih Padi 2025'!D858="","",'1.1 Produksi Bersih Padi 2025'!D858)</f>
        <v/>
      </c>
      <c r="E858" s="1" t="str">
        <f>IF('1.1 Produksi Bersih Padi 2025'!E858="","",'1.1 Produksi Bersih Padi 2025'!E858)</f>
        <v/>
      </c>
      <c r="F858" s="28" t="str">
        <f>IF(D858="","",VLOOKUP(D858,'[1]0.1 Produksi Pangan &amp; Penduduk'!$D$5:$AK$860,34,0))</f>
        <v/>
      </c>
      <c r="G858" s="29" t="str">
        <f t="shared" si="65"/>
        <v/>
      </c>
      <c r="H858" s="29" t="str">
        <f t="shared" si="66"/>
        <v/>
      </c>
      <c r="I858" s="29" t="str">
        <f t="shared" si="67"/>
        <v/>
      </c>
      <c r="J858" s="29" t="str">
        <f t="shared" si="68"/>
        <v/>
      </c>
      <c r="K858" s="29" t="str">
        <f t="shared" si="69"/>
        <v/>
      </c>
    </row>
    <row r="859" spans="1:11" ht="15" x14ac:dyDescent="0.25">
      <c r="A859" s="1" t="str">
        <f>IF('1.1 Produksi Bersih Padi 2025'!A859="","",'1.1 Produksi Bersih Padi 2025'!A859)</f>
        <v/>
      </c>
      <c r="B859" s="31" t="str">
        <f>IF('1.1 Produksi Bersih Padi 2025'!B859="","",'1.1 Produksi Bersih Padi 2025'!B859)</f>
        <v/>
      </c>
      <c r="C859" s="31" t="str">
        <f>IF('1.1 Produksi Bersih Padi 2025'!C859="","",'1.1 Produksi Bersih Padi 2025'!C859)</f>
        <v/>
      </c>
      <c r="D859" s="1" t="str">
        <f>IF('1.1 Produksi Bersih Padi 2025'!D859="","",'1.1 Produksi Bersih Padi 2025'!D859)</f>
        <v/>
      </c>
      <c r="E859" s="1" t="str">
        <f>IF('1.1 Produksi Bersih Padi 2025'!E859="","",'1.1 Produksi Bersih Padi 2025'!E859)</f>
        <v/>
      </c>
      <c r="F859" s="28" t="str">
        <f>IF(D859="","",VLOOKUP(D859,'[1]0.1 Produksi Pangan &amp; Penduduk'!$D$5:$AK$860,34,0))</f>
        <v/>
      </c>
      <c r="G859" s="29" t="str">
        <f t="shared" si="65"/>
        <v/>
      </c>
      <c r="H859" s="29" t="str">
        <f t="shared" si="66"/>
        <v/>
      </c>
      <c r="I859" s="29" t="str">
        <f t="shared" si="67"/>
        <v/>
      </c>
      <c r="J859" s="29" t="str">
        <f t="shared" si="68"/>
        <v/>
      </c>
      <c r="K859" s="29" t="str">
        <f t="shared" si="69"/>
        <v/>
      </c>
    </row>
  </sheetData>
  <sheetProtection algorithmName="SHA-512" hashValue="IQzOvlmxnatTgwKNo3pH+lAt8X5xom7pGnS2HPIUyA2uwSTBbeCvpmNeFxB8IYL73dTD6ruHGAYr8Z81xHqgVg==" saltValue="kbIAu/FrNC7Gh9ay2LCNeg==" spinCount="100000" sheet="1"/>
  <protectedRanges>
    <protectedRange sqref="A1:G1" name="Range1_3"/>
    <protectedRange sqref="H1" name="Range1_1_3"/>
    <protectedRange sqref="J1" name="Range1_1_1_2"/>
    <protectedRange sqref="I1" name="Range1_1_2"/>
  </protectedRanges>
  <mergeCells count="10">
    <mergeCell ref="A1:H1"/>
    <mergeCell ref="K2:K3"/>
    <mergeCell ref="J2:J3"/>
    <mergeCell ref="A2:A4"/>
    <mergeCell ref="B2:B4"/>
    <mergeCell ref="C2:C4"/>
    <mergeCell ref="D2:D4"/>
    <mergeCell ref="F2:F3"/>
    <mergeCell ref="G2:I2"/>
    <mergeCell ref="E2:E4"/>
  </mergeCells>
  <pageMargins left="0.75" right="0.5" top="0.75" bottom="0.5" header="0.5" footer="0.5"/>
  <pageSetup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596A0-A323-4D32-9FD5-4EE44FD35E88}">
  <sheetPr>
    <tabColor rgb="FFC00000"/>
  </sheetPr>
  <dimension ref="A1:M860"/>
  <sheetViews>
    <sheetView showGridLines="0"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sqref="A1:H1"/>
    </sheetView>
  </sheetViews>
  <sheetFormatPr defaultRowHeight="13.2" x14ac:dyDescent="0.25"/>
  <cols>
    <col min="1" max="1" width="6.44140625" customWidth="1"/>
    <col min="2" max="2" width="24.21875" customWidth="1"/>
    <col min="3" max="3" width="28.77734375" customWidth="1"/>
    <col min="4" max="5" width="20.6640625" customWidth="1"/>
    <col min="6" max="6" width="18.6640625" customWidth="1"/>
    <col min="7" max="9" width="14.109375" customWidth="1"/>
    <col min="10" max="11" width="18.6640625" customWidth="1"/>
  </cols>
  <sheetData>
    <row r="1" spans="1:13" ht="30" customHeight="1" x14ac:dyDescent="0.25">
      <c r="A1" s="87" t="s">
        <v>74</v>
      </c>
      <c r="B1" s="87"/>
      <c r="C1" s="87"/>
      <c r="D1" s="87"/>
      <c r="E1" s="87"/>
      <c r="F1" s="87"/>
      <c r="G1" s="87"/>
      <c r="H1" s="87"/>
      <c r="I1" s="33" t="s">
        <v>64</v>
      </c>
      <c r="J1" s="34" t="str">
        <f>IF('[1]0.1 Produksi Pangan &amp; Penduduk'!$C$3="","",'[1]0.1 Produksi Pangan &amp; Penduduk'!$C$3)</f>
        <v/>
      </c>
      <c r="K1" s="12"/>
    </row>
    <row r="2" spans="1:13" ht="16.05" customHeight="1" x14ac:dyDescent="0.25">
      <c r="A2" s="88" t="s">
        <v>15</v>
      </c>
      <c r="B2" s="88" t="s">
        <v>67</v>
      </c>
      <c r="C2" s="88" t="s">
        <v>68</v>
      </c>
      <c r="D2" s="88" t="s">
        <v>65</v>
      </c>
      <c r="E2" s="88" t="s">
        <v>66</v>
      </c>
      <c r="F2" s="88" t="s">
        <v>28</v>
      </c>
      <c r="G2" s="88" t="s">
        <v>27</v>
      </c>
      <c r="H2" s="88"/>
      <c r="I2" s="88"/>
      <c r="J2" s="88" t="s">
        <v>29</v>
      </c>
      <c r="K2" s="88" t="s">
        <v>97</v>
      </c>
    </row>
    <row r="3" spans="1:13" ht="31.95" customHeight="1" x14ac:dyDescent="0.25">
      <c r="A3" s="88"/>
      <c r="B3" s="88"/>
      <c r="C3" s="88"/>
      <c r="D3" s="88"/>
      <c r="E3" s="88"/>
      <c r="F3" s="88"/>
      <c r="G3" s="23" t="s">
        <v>53</v>
      </c>
      <c r="H3" s="23" t="s">
        <v>56</v>
      </c>
      <c r="I3" s="23" t="s">
        <v>58</v>
      </c>
      <c r="J3" s="88"/>
      <c r="K3" s="88"/>
    </row>
    <row r="4" spans="1:13" ht="16.05" customHeight="1" x14ac:dyDescent="0.25">
      <c r="A4" s="88"/>
      <c r="B4" s="88"/>
      <c r="C4" s="88"/>
      <c r="D4" s="88"/>
      <c r="E4" s="88"/>
      <c r="F4" s="23" t="s">
        <v>61</v>
      </c>
      <c r="G4" s="23" t="s">
        <v>2</v>
      </c>
      <c r="H4" s="23" t="s">
        <v>3</v>
      </c>
      <c r="I4" s="23" t="s">
        <v>1</v>
      </c>
      <c r="J4" s="23" t="s">
        <v>62</v>
      </c>
      <c r="K4" s="23" t="s">
        <v>34</v>
      </c>
    </row>
    <row r="5" spans="1:13" ht="13.5" customHeight="1" x14ac:dyDescent="0.25">
      <c r="A5" s="1" t="str">
        <f>IF('1.1 Produksi Bersih Padi 2025'!A5="","",'1.1 Produksi Bersih Padi 2025'!A5)</f>
        <v/>
      </c>
      <c r="B5" s="31" t="str">
        <f>IF('1.1 Produksi Bersih Padi 2025'!B5="","",'1.1 Produksi Bersih Padi 2025'!B5)</f>
        <v/>
      </c>
      <c r="C5" s="31" t="str">
        <f>IF('1.1 Produksi Bersih Padi 2025'!C5="","",'1.1 Produksi Bersih Padi 2025'!C5)</f>
        <v/>
      </c>
      <c r="D5" s="1" t="str">
        <f>IF('1.1 Produksi Bersih Padi 2025'!D5="","",'1.1 Produksi Bersih Padi 2025'!D5)</f>
        <v/>
      </c>
      <c r="E5" s="1" t="str">
        <f>IF('1.1 Produksi Bersih Padi 2025'!E5="","",'1.1 Produksi Bersih Padi 2025'!E5)</f>
        <v/>
      </c>
      <c r="F5" s="28" t="str">
        <f>IF(D5="","",VLOOKUP(D5,'[1]0.1 Produksi Pangan &amp; Penduduk'!$D$5:$AQ$860,40,0))</f>
        <v/>
      </c>
      <c r="G5" s="29" t="str">
        <f>IF(F5="","",F5*0%)</f>
        <v/>
      </c>
      <c r="H5" s="29" t="str">
        <f>IF(F5="","",F5*0%)</f>
        <v/>
      </c>
      <c r="I5" s="29" t="str">
        <f>IF(F5="","",F5*1.11%)</f>
        <v/>
      </c>
      <c r="J5" s="29" t="str">
        <f>IF(F5="","",F5-(G5+H5+I5))</f>
        <v/>
      </c>
      <c r="K5" s="29" t="str">
        <f>IF(J5="","",J5*0.134)</f>
        <v/>
      </c>
      <c r="M5" s="11"/>
    </row>
    <row r="6" spans="1:13" ht="13.5" customHeight="1" x14ac:dyDescent="0.25">
      <c r="A6" s="1" t="str">
        <f>IF('1.1 Produksi Bersih Padi 2025'!A6="","",'1.1 Produksi Bersih Padi 2025'!A6)</f>
        <v/>
      </c>
      <c r="B6" s="31" t="str">
        <f>IF('1.1 Produksi Bersih Padi 2025'!B6="","",'1.1 Produksi Bersih Padi 2025'!B6)</f>
        <v/>
      </c>
      <c r="C6" s="31" t="str">
        <f>IF('1.1 Produksi Bersih Padi 2025'!C6="","",'1.1 Produksi Bersih Padi 2025'!C6)</f>
        <v/>
      </c>
      <c r="D6" s="1" t="str">
        <f>IF('1.1 Produksi Bersih Padi 2025'!D6="","",'1.1 Produksi Bersih Padi 2025'!D6)</f>
        <v/>
      </c>
      <c r="E6" s="1" t="str">
        <f>IF('1.1 Produksi Bersih Padi 2025'!E6="","",'1.1 Produksi Bersih Padi 2025'!E6)</f>
        <v/>
      </c>
      <c r="F6" s="28" t="str">
        <f>IF(D6="","",VLOOKUP(D6,'[1]0.1 Produksi Pangan &amp; Penduduk'!$D$5:$AQ$860,40,0))</f>
        <v/>
      </c>
      <c r="G6" s="29" t="str">
        <f t="shared" ref="G6:G69" si="0">IF(F6="","",F6*0%)</f>
        <v/>
      </c>
      <c r="H6" s="29" t="str">
        <f t="shared" ref="H6:H69" si="1">IF(F6="","",F6*0%)</f>
        <v/>
      </c>
      <c r="I6" s="29" t="str">
        <f t="shared" ref="I6:I69" si="2">IF(F6="","",F6*1.11%)</f>
        <v/>
      </c>
      <c r="J6" s="29" t="str">
        <f t="shared" ref="J6:J69" si="3">IF(F6="","",F6-(G6+H6+I6))</f>
        <v/>
      </c>
      <c r="K6" s="29" t="str">
        <f t="shared" ref="K6:K69" si="4">IF(J6="","",J6*0.134)</f>
        <v/>
      </c>
      <c r="M6" s="11"/>
    </row>
    <row r="7" spans="1:13" ht="13.5" customHeight="1" x14ac:dyDescent="0.25">
      <c r="A7" s="1" t="str">
        <f>IF('1.1 Produksi Bersih Padi 2025'!A7="","",'1.1 Produksi Bersih Padi 2025'!A7)</f>
        <v/>
      </c>
      <c r="B7" s="31" t="str">
        <f>IF('1.1 Produksi Bersih Padi 2025'!B7="","",'1.1 Produksi Bersih Padi 2025'!B7)</f>
        <v/>
      </c>
      <c r="C7" s="31" t="str">
        <f>IF('1.1 Produksi Bersih Padi 2025'!C7="","",'1.1 Produksi Bersih Padi 2025'!C7)</f>
        <v/>
      </c>
      <c r="D7" s="1" t="str">
        <f>IF('1.1 Produksi Bersih Padi 2025'!D7="","",'1.1 Produksi Bersih Padi 2025'!D7)</f>
        <v/>
      </c>
      <c r="E7" s="1" t="str">
        <f>IF('1.1 Produksi Bersih Padi 2025'!E7="","",'1.1 Produksi Bersih Padi 2025'!E7)</f>
        <v/>
      </c>
      <c r="F7" s="28" t="str">
        <f>IF(D7="","",VLOOKUP(D7,'[1]0.1 Produksi Pangan &amp; Penduduk'!$D$5:$AQ$860,40,0))</f>
        <v/>
      </c>
      <c r="G7" s="29" t="str">
        <f t="shared" si="0"/>
        <v/>
      </c>
      <c r="H7" s="29" t="str">
        <f t="shared" si="1"/>
        <v/>
      </c>
      <c r="I7" s="29" t="str">
        <f t="shared" si="2"/>
        <v/>
      </c>
      <c r="J7" s="29" t="str">
        <f t="shared" si="3"/>
        <v/>
      </c>
      <c r="K7" s="29" t="str">
        <f t="shared" si="4"/>
        <v/>
      </c>
      <c r="M7" s="11"/>
    </row>
    <row r="8" spans="1:13" ht="13.5" customHeight="1" x14ac:dyDescent="0.25">
      <c r="A8" s="1" t="str">
        <f>IF('1.1 Produksi Bersih Padi 2025'!A8="","",'1.1 Produksi Bersih Padi 2025'!A8)</f>
        <v/>
      </c>
      <c r="B8" s="31" t="str">
        <f>IF('1.1 Produksi Bersih Padi 2025'!B8="","",'1.1 Produksi Bersih Padi 2025'!B8)</f>
        <v/>
      </c>
      <c r="C8" s="31" t="str">
        <f>IF('1.1 Produksi Bersih Padi 2025'!C8="","",'1.1 Produksi Bersih Padi 2025'!C8)</f>
        <v/>
      </c>
      <c r="D8" s="1" t="str">
        <f>IF('1.1 Produksi Bersih Padi 2025'!D8="","",'1.1 Produksi Bersih Padi 2025'!D8)</f>
        <v/>
      </c>
      <c r="E8" s="1" t="str">
        <f>IF('1.1 Produksi Bersih Padi 2025'!E8="","",'1.1 Produksi Bersih Padi 2025'!E8)</f>
        <v/>
      </c>
      <c r="F8" s="28" t="str">
        <f>IF(D8="","",VLOOKUP(D8,'[1]0.1 Produksi Pangan &amp; Penduduk'!$D$5:$AQ$860,40,0))</f>
        <v/>
      </c>
      <c r="G8" s="29" t="str">
        <f t="shared" si="0"/>
        <v/>
      </c>
      <c r="H8" s="29" t="str">
        <f t="shared" si="1"/>
        <v/>
      </c>
      <c r="I8" s="29" t="str">
        <f t="shared" si="2"/>
        <v/>
      </c>
      <c r="J8" s="29" t="str">
        <f t="shared" si="3"/>
        <v/>
      </c>
      <c r="K8" s="29" t="str">
        <f t="shared" si="4"/>
        <v/>
      </c>
      <c r="M8" s="11"/>
    </row>
    <row r="9" spans="1:13" ht="13.5" customHeight="1" x14ac:dyDescent="0.25">
      <c r="A9" s="1" t="str">
        <f>IF('1.1 Produksi Bersih Padi 2025'!A9="","",'1.1 Produksi Bersih Padi 2025'!A9)</f>
        <v/>
      </c>
      <c r="B9" s="31" t="str">
        <f>IF('1.1 Produksi Bersih Padi 2025'!B9="","",'1.1 Produksi Bersih Padi 2025'!B9)</f>
        <v/>
      </c>
      <c r="C9" s="31" t="str">
        <f>IF('1.1 Produksi Bersih Padi 2025'!C9="","",'1.1 Produksi Bersih Padi 2025'!C9)</f>
        <v/>
      </c>
      <c r="D9" s="1" t="str">
        <f>IF('1.1 Produksi Bersih Padi 2025'!D9="","",'1.1 Produksi Bersih Padi 2025'!D9)</f>
        <v/>
      </c>
      <c r="E9" s="1" t="str">
        <f>IF('1.1 Produksi Bersih Padi 2025'!E9="","",'1.1 Produksi Bersih Padi 2025'!E9)</f>
        <v/>
      </c>
      <c r="F9" s="28" t="str">
        <f>IF(D9="","",VLOOKUP(D9,'[1]0.1 Produksi Pangan &amp; Penduduk'!$D$5:$AQ$860,40,0))</f>
        <v/>
      </c>
      <c r="G9" s="29" t="str">
        <f t="shared" si="0"/>
        <v/>
      </c>
      <c r="H9" s="29" t="str">
        <f t="shared" si="1"/>
        <v/>
      </c>
      <c r="I9" s="29" t="str">
        <f t="shared" si="2"/>
        <v/>
      </c>
      <c r="J9" s="29" t="str">
        <f t="shared" si="3"/>
        <v/>
      </c>
      <c r="K9" s="29" t="str">
        <f t="shared" si="4"/>
        <v/>
      </c>
      <c r="M9" s="11"/>
    </row>
    <row r="10" spans="1:13" ht="13.5" customHeight="1" x14ac:dyDescent="0.25">
      <c r="A10" s="1" t="str">
        <f>IF('1.1 Produksi Bersih Padi 2025'!A10="","",'1.1 Produksi Bersih Padi 2025'!A10)</f>
        <v/>
      </c>
      <c r="B10" s="31" t="str">
        <f>IF('1.1 Produksi Bersih Padi 2025'!B10="","",'1.1 Produksi Bersih Padi 2025'!B10)</f>
        <v/>
      </c>
      <c r="C10" s="31" t="str">
        <f>IF('1.1 Produksi Bersih Padi 2025'!C10="","",'1.1 Produksi Bersih Padi 2025'!C10)</f>
        <v/>
      </c>
      <c r="D10" s="1" t="str">
        <f>IF('1.1 Produksi Bersih Padi 2025'!D10="","",'1.1 Produksi Bersih Padi 2025'!D10)</f>
        <v/>
      </c>
      <c r="E10" s="1" t="str">
        <f>IF('1.1 Produksi Bersih Padi 2025'!E10="","",'1.1 Produksi Bersih Padi 2025'!E10)</f>
        <v/>
      </c>
      <c r="F10" s="28" t="str">
        <f>IF(D10="","",VLOOKUP(D10,'[1]0.1 Produksi Pangan &amp; Penduduk'!$D$5:$AQ$860,40,0))</f>
        <v/>
      </c>
      <c r="G10" s="29" t="str">
        <f t="shared" si="0"/>
        <v/>
      </c>
      <c r="H10" s="29" t="str">
        <f t="shared" si="1"/>
        <v/>
      </c>
      <c r="I10" s="29" t="str">
        <f t="shared" si="2"/>
        <v/>
      </c>
      <c r="J10" s="29" t="str">
        <f t="shared" si="3"/>
        <v/>
      </c>
      <c r="K10" s="29" t="str">
        <f t="shared" si="4"/>
        <v/>
      </c>
      <c r="M10" s="11"/>
    </row>
    <row r="11" spans="1:13" ht="13.5" customHeight="1" x14ac:dyDescent="0.25">
      <c r="A11" s="1" t="str">
        <f>IF('1.1 Produksi Bersih Padi 2025'!A11="","",'1.1 Produksi Bersih Padi 2025'!A11)</f>
        <v/>
      </c>
      <c r="B11" s="31" t="str">
        <f>IF('1.1 Produksi Bersih Padi 2025'!B11="","",'1.1 Produksi Bersih Padi 2025'!B11)</f>
        <v/>
      </c>
      <c r="C11" s="31" t="str">
        <f>IF('1.1 Produksi Bersih Padi 2025'!C11="","",'1.1 Produksi Bersih Padi 2025'!C11)</f>
        <v/>
      </c>
      <c r="D11" s="1" t="str">
        <f>IF('1.1 Produksi Bersih Padi 2025'!D11="","",'1.1 Produksi Bersih Padi 2025'!D11)</f>
        <v/>
      </c>
      <c r="E11" s="1" t="str">
        <f>IF('1.1 Produksi Bersih Padi 2025'!E11="","",'1.1 Produksi Bersih Padi 2025'!E11)</f>
        <v/>
      </c>
      <c r="F11" s="28" t="str">
        <f>IF(D11="","",VLOOKUP(D11,'[1]0.1 Produksi Pangan &amp; Penduduk'!$D$5:$AQ$860,40,0))</f>
        <v/>
      </c>
      <c r="G11" s="29" t="str">
        <f t="shared" si="0"/>
        <v/>
      </c>
      <c r="H11" s="29" t="str">
        <f t="shared" si="1"/>
        <v/>
      </c>
      <c r="I11" s="29" t="str">
        <f t="shared" si="2"/>
        <v/>
      </c>
      <c r="J11" s="29" t="str">
        <f t="shared" si="3"/>
        <v/>
      </c>
      <c r="K11" s="29" t="str">
        <f t="shared" si="4"/>
        <v/>
      </c>
      <c r="M11" s="11"/>
    </row>
    <row r="12" spans="1:13" ht="13.5" customHeight="1" x14ac:dyDescent="0.25">
      <c r="A12" s="1" t="str">
        <f>IF('1.1 Produksi Bersih Padi 2025'!A12="","",'1.1 Produksi Bersih Padi 2025'!A12)</f>
        <v/>
      </c>
      <c r="B12" s="31" t="str">
        <f>IF('1.1 Produksi Bersih Padi 2025'!B12="","",'1.1 Produksi Bersih Padi 2025'!B12)</f>
        <v/>
      </c>
      <c r="C12" s="31" t="str">
        <f>IF('1.1 Produksi Bersih Padi 2025'!C12="","",'1.1 Produksi Bersih Padi 2025'!C12)</f>
        <v/>
      </c>
      <c r="D12" s="1" t="str">
        <f>IF('1.1 Produksi Bersih Padi 2025'!D12="","",'1.1 Produksi Bersih Padi 2025'!D12)</f>
        <v/>
      </c>
      <c r="E12" s="1" t="str">
        <f>IF('1.1 Produksi Bersih Padi 2025'!E12="","",'1.1 Produksi Bersih Padi 2025'!E12)</f>
        <v/>
      </c>
      <c r="F12" s="28" t="str">
        <f>IF(D12="","",VLOOKUP(D12,'[1]0.1 Produksi Pangan &amp; Penduduk'!$D$5:$AQ$860,40,0))</f>
        <v/>
      </c>
      <c r="G12" s="29" t="str">
        <f t="shared" si="0"/>
        <v/>
      </c>
      <c r="H12" s="29" t="str">
        <f t="shared" si="1"/>
        <v/>
      </c>
      <c r="I12" s="29" t="str">
        <f t="shared" si="2"/>
        <v/>
      </c>
      <c r="J12" s="29" t="str">
        <f t="shared" si="3"/>
        <v/>
      </c>
      <c r="K12" s="29" t="str">
        <f t="shared" si="4"/>
        <v/>
      </c>
      <c r="M12" s="11"/>
    </row>
    <row r="13" spans="1:13" ht="13.5" customHeight="1" x14ac:dyDescent="0.25">
      <c r="A13" s="1" t="str">
        <f>IF('1.1 Produksi Bersih Padi 2025'!A13="","",'1.1 Produksi Bersih Padi 2025'!A13)</f>
        <v/>
      </c>
      <c r="B13" s="31" t="str">
        <f>IF('1.1 Produksi Bersih Padi 2025'!B13="","",'1.1 Produksi Bersih Padi 2025'!B13)</f>
        <v/>
      </c>
      <c r="C13" s="31" t="str">
        <f>IF('1.1 Produksi Bersih Padi 2025'!C13="","",'1.1 Produksi Bersih Padi 2025'!C13)</f>
        <v/>
      </c>
      <c r="D13" s="1" t="str">
        <f>IF('1.1 Produksi Bersih Padi 2025'!D13="","",'1.1 Produksi Bersih Padi 2025'!D13)</f>
        <v/>
      </c>
      <c r="E13" s="1" t="str">
        <f>IF('1.1 Produksi Bersih Padi 2025'!E13="","",'1.1 Produksi Bersih Padi 2025'!E13)</f>
        <v/>
      </c>
      <c r="F13" s="28" t="str">
        <f>IF(D13="","",VLOOKUP(D13,'[1]0.1 Produksi Pangan &amp; Penduduk'!$D$5:$AQ$860,40,0))</f>
        <v/>
      </c>
      <c r="G13" s="29" t="str">
        <f t="shared" si="0"/>
        <v/>
      </c>
      <c r="H13" s="29" t="str">
        <f t="shared" si="1"/>
        <v/>
      </c>
      <c r="I13" s="29" t="str">
        <f t="shared" si="2"/>
        <v/>
      </c>
      <c r="J13" s="29" t="str">
        <f t="shared" si="3"/>
        <v/>
      </c>
      <c r="K13" s="29" t="str">
        <f t="shared" si="4"/>
        <v/>
      </c>
      <c r="M13" s="11"/>
    </row>
    <row r="14" spans="1:13" ht="13.5" customHeight="1" x14ac:dyDescent="0.25">
      <c r="A14" s="1" t="str">
        <f>IF('1.1 Produksi Bersih Padi 2025'!A14="","",'1.1 Produksi Bersih Padi 2025'!A14)</f>
        <v/>
      </c>
      <c r="B14" s="31" t="str">
        <f>IF('1.1 Produksi Bersih Padi 2025'!B14="","",'1.1 Produksi Bersih Padi 2025'!B14)</f>
        <v/>
      </c>
      <c r="C14" s="31" t="str">
        <f>IF('1.1 Produksi Bersih Padi 2025'!C14="","",'1.1 Produksi Bersih Padi 2025'!C14)</f>
        <v/>
      </c>
      <c r="D14" s="1" t="str">
        <f>IF('1.1 Produksi Bersih Padi 2025'!D14="","",'1.1 Produksi Bersih Padi 2025'!D14)</f>
        <v/>
      </c>
      <c r="E14" s="1" t="str">
        <f>IF('1.1 Produksi Bersih Padi 2025'!E14="","",'1.1 Produksi Bersih Padi 2025'!E14)</f>
        <v/>
      </c>
      <c r="F14" s="28" t="str">
        <f>IF(D14="","",VLOOKUP(D14,'[1]0.1 Produksi Pangan &amp; Penduduk'!$D$5:$AQ$860,40,0))</f>
        <v/>
      </c>
      <c r="G14" s="29" t="str">
        <f t="shared" si="0"/>
        <v/>
      </c>
      <c r="H14" s="29" t="str">
        <f t="shared" si="1"/>
        <v/>
      </c>
      <c r="I14" s="29" t="str">
        <f t="shared" si="2"/>
        <v/>
      </c>
      <c r="J14" s="29" t="str">
        <f t="shared" si="3"/>
        <v/>
      </c>
      <c r="K14" s="29" t="str">
        <f t="shared" si="4"/>
        <v/>
      </c>
      <c r="M14" s="11"/>
    </row>
    <row r="15" spans="1:13" ht="13.5" customHeight="1" x14ac:dyDescent="0.25">
      <c r="A15" s="1" t="str">
        <f>IF('1.1 Produksi Bersih Padi 2025'!A15="","",'1.1 Produksi Bersih Padi 2025'!A15)</f>
        <v/>
      </c>
      <c r="B15" s="31" t="str">
        <f>IF('1.1 Produksi Bersih Padi 2025'!B15="","",'1.1 Produksi Bersih Padi 2025'!B15)</f>
        <v/>
      </c>
      <c r="C15" s="31" t="str">
        <f>IF('1.1 Produksi Bersih Padi 2025'!C15="","",'1.1 Produksi Bersih Padi 2025'!C15)</f>
        <v/>
      </c>
      <c r="D15" s="1" t="str">
        <f>IF('1.1 Produksi Bersih Padi 2025'!D15="","",'1.1 Produksi Bersih Padi 2025'!D15)</f>
        <v/>
      </c>
      <c r="E15" s="1" t="str">
        <f>IF('1.1 Produksi Bersih Padi 2025'!E15="","",'1.1 Produksi Bersih Padi 2025'!E15)</f>
        <v/>
      </c>
      <c r="F15" s="28" t="str">
        <f>IF(D15="","",VLOOKUP(D15,'[1]0.1 Produksi Pangan &amp; Penduduk'!$D$5:$AQ$860,40,0))</f>
        <v/>
      </c>
      <c r="G15" s="29" t="str">
        <f t="shared" si="0"/>
        <v/>
      </c>
      <c r="H15" s="29" t="str">
        <f t="shared" si="1"/>
        <v/>
      </c>
      <c r="I15" s="29" t="str">
        <f t="shared" si="2"/>
        <v/>
      </c>
      <c r="J15" s="29" t="str">
        <f t="shared" si="3"/>
        <v/>
      </c>
      <c r="K15" s="29" t="str">
        <f t="shared" si="4"/>
        <v/>
      </c>
      <c r="M15" s="11"/>
    </row>
    <row r="16" spans="1:13" ht="13.5" customHeight="1" x14ac:dyDescent="0.25">
      <c r="A16" s="1" t="str">
        <f>IF('1.1 Produksi Bersih Padi 2025'!A16="","",'1.1 Produksi Bersih Padi 2025'!A16)</f>
        <v/>
      </c>
      <c r="B16" s="31" t="str">
        <f>IF('1.1 Produksi Bersih Padi 2025'!B16="","",'1.1 Produksi Bersih Padi 2025'!B16)</f>
        <v/>
      </c>
      <c r="C16" s="31" t="str">
        <f>IF('1.1 Produksi Bersih Padi 2025'!C16="","",'1.1 Produksi Bersih Padi 2025'!C16)</f>
        <v/>
      </c>
      <c r="D16" s="1" t="str">
        <f>IF('1.1 Produksi Bersih Padi 2025'!D16="","",'1.1 Produksi Bersih Padi 2025'!D16)</f>
        <v/>
      </c>
      <c r="E16" s="1" t="str">
        <f>IF('1.1 Produksi Bersih Padi 2025'!E16="","",'1.1 Produksi Bersih Padi 2025'!E16)</f>
        <v/>
      </c>
      <c r="F16" s="28" t="str">
        <f>IF(D16="","",VLOOKUP(D16,'[1]0.1 Produksi Pangan &amp; Penduduk'!$D$5:$AQ$860,40,0))</f>
        <v/>
      </c>
      <c r="G16" s="29" t="str">
        <f t="shared" si="0"/>
        <v/>
      </c>
      <c r="H16" s="29" t="str">
        <f t="shared" si="1"/>
        <v/>
      </c>
      <c r="I16" s="29" t="str">
        <f t="shared" si="2"/>
        <v/>
      </c>
      <c r="J16" s="29" t="str">
        <f t="shared" si="3"/>
        <v/>
      </c>
      <c r="K16" s="29" t="str">
        <f t="shared" si="4"/>
        <v/>
      </c>
      <c r="M16" s="11"/>
    </row>
    <row r="17" spans="1:13" ht="13.5" customHeight="1" x14ac:dyDescent="0.25">
      <c r="A17" s="1" t="str">
        <f>IF('1.1 Produksi Bersih Padi 2025'!A17="","",'1.1 Produksi Bersih Padi 2025'!A17)</f>
        <v/>
      </c>
      <c r="B17" s="31" t="str">
        <f>IF('1.1 Produksi Bersih Padi 2025'!B17="","",'1.1 Produksi Bersih Padi 2025'!B17)</f>
        <v/>
      </c>
      <c r="C17" s="31" t="str">
        <f>IF('1.1 Produksi Bersih Padi 2025'!C17="","",'1.1 Produksi Bersih Padi 2025'!C17)</f>
        <v/>
      </c>
      <c r="D17" s="1" t="str">
        <f>IF('1.1 Produksi Bersih Padi 2025'!D17="","",'1.1 Produksi Bersih Padi 2025'!D17)</f>
        <v/>
      </c>
      <c r="E17" s="1" t="str">
        <f>IF('1.1 Produksi Bersih Padi 2025'!E17="","",'1.1 Produksi Bersih Padi 2025'!E17)</f>
        <v/>
      </c>
      <c r="F17" s="28" t="str">
        <f>IF(D17="","",VLOOKUP(D17,'[1]0.1 Produksi Pangan &amp; Penduduk'!$D$5:$AQ$860,40,0))</f>
        <v/>
      </c>
      <c r="G17" s="29" t="str">
        <f t="shared" si="0"/>
        <v/>
      </c>
      <c r="H17" s="29" t="str">
        <f t="shared" si="1"/>
        <v/>
      </c>
      <c r="I17" s="29" t="str">
        <f t="shared" si="2"/>
        <v/>
      </c>
      <c r="J17" s="29" t="str">
        <f t="shared" si="3"/>
        <v/>
      </c>
      <c r="K17" s="29" t="str">
        <f t="shared" si="4"/>
        <v/>
      </c>
      <c r="M17" s="11"/>
    </row>
    <row r="18" spans="1:13" ht="13.5" customHeight="1" x14ac:dyDescent="0.25">
      <c r="A18" s="1" t="str">
        <f>IF('1.1 Produksi Bersih Padi 2025'!A18="","",'1.1 Produksi Bersih Padi 2025'!A18)</f>
        <v/>
      </c>
      <c r="B18" s="31" t="str">
        <f>IF('1.1 Produksi Bersih Padi 2025'!B18="","",'1.1 Produksi Bersih Padi 2025'!B18)</f>
        <v/>
      </c>
      <c r="C18" s="31" t="str">
        <f>IF('1.1 Produksi Bersih Padi 2025'!C18="","",'1.1 Produksi Bersih Padi 2025'!C18)</f>
        <v/>
      </c>
      <c r="D18" s="1" t="str">
        <f>IF('1.1 Produksi Bersih Padi 2025'!D18="","",'1.1 Produksi Bersih Padi 2025'!D18)</f>
        <v/>
      </c>
      <c r="E18" s="1" t="str">
        <f>IF('1.1 Produksi Bersih Padi 2025'!E18="","",'1.1 Produksi Bersih Padi 2025'!E18)</f>
        <v/>
      </c>
      <c r="F18" s="28" t="str">
        <f>IF(D18="","",VLOOKUP(D18,'[1]0.1 Produksi Pangan &amp; Penduduk'!$D$5:$AQ$860,40,0))</f>
        <v/>
      </c>
      <c r="G18" s="29" t="str">
        <f t="shared" si="0"/>
        <v/>
      </c>
      <c r="H18" s="29" t="str">
        <f t="shared" si="1"/>
        <v/>
      </c>
      <c r="I18" s="29" t="str">
        <f t="shared" si="2"/>
        <v/>
      </c>
      <c r="J18" s="29" t="str">
        <f t="shared" si="3"/>
        <v/>
      </c>
      <c r="K18" s="29" t="str">
        <f t="shared" si="4"/>
        <v/>
      </c>
      <c r="M18" s="11"/>
    </row>
    <row r="19" spans="1:13" ht="13.5" customHeight="1" x14ac:dyDescent="0.25">
      <c r="A19" s="1" t="str">
        <f>IF('1.1 Produksi Bersih Padi 2025'!A19="","",'1.1 Produksi Bersih Padi 2025'!A19)</f>
        <v/>
      </c>
      <c r="B19" s="31" t="str">
        <f>IF('1.1 Produksi Bersih Padi 2025'!B19="","",'1.1 Produksi Bersih Padi 2025'!B19)</f>
        <v/>
      </c>
      <c r="C19" s="31" t="str">
        <f>IF('1.1 Produksi Bersih Padi 2025'!C19="","",'1.1 Produksi Bersih Padi 2025'!C19)</f>
        <v/>
      </c>
      <c r="D19" s="1" t="str">
        <f>IF('1.1 Produksi Bersih Padi 2025'!D19="","",'1.1 Produksi Bersih Padi 2025'!D19)</f>
        <v/>
      </c>
      <c r="E19" s="1" t="str">
        <f>IF('1.1 Produksi Bersih Padi 2025'!E19="","",'1.1 Produksi Bersih Padi 2025'!E19)</f>
        <v/>
      </c>
      <c r="F19" s="28" t="str">
        <f>IF(D19="","",VLOOKUP(D19,'[1]0.1 Produksi Pangan &amp; Penduduk'!$D$5:$AQ$860,40,0))</f>
        <v/>
      </c>
      <c r="G19" s="29" t="str">
        <f t="shared" si="0"/>
        <v/>
      </c>
      <c r="H19" s="29" t="str">
        <f t="shared" si="1"/>
        <v/>
      </c>
      <c r="I19" s="29" t="str">
        <f t="shared" si="2"/>
        <v/>
      </c>
      <c r="J19" s="29" t="str">
        <f t="shared" si="3"/>
        <v/>
      </c>
      <c r="K19" s="29" t="str">
        <f t="shared" si="4"/>
        <v/>
      </c>
      <c r="M19" s="11"/>
    </row>
    <row r="20" spans="1:13" ht="15" x14ac:dyDescent="0.25">
      <c r="A20" s="1" t="str">
        <f>IF('1.1 Produksi Bersih Padi 2025'!A20="","",'1.1 Produksi Bersih Padi 2025'!A20)</f>
        <v/>
      </c>
      <c r="B20" s="31" t="str">
        <f>IF('1.1 Produksi Bersih Padi 2025'!B20="","",'1.1 Produksi Bersih Padi 2025'!B20)</f>
        <v/>
      </c>
      <c r="C20" s="31" t="str">
        <f>IF('1.1 Produksi Bersih Padi 2025'!C20="","",'1.1 Produksi Bersih Padi 2025'!C20)</f>
        <v/>
      </c>
      <c r="D20" s="1" t="str">
        <f>IF('1.1 Produksi Bersih Padi 2025'!D20="","",'1.1 Produksi Bersih Padi 2025'!D20)</f>
        <v/>
      </c>
      <c r="E20" s="1" t="str">
        <f>IF('1.1 Produksi Bersih Padi 2025'!E20="","",'1.1 Produksi Bersih Padi 2025'!E20)</f>
        <v/>
      </c>
      <c r="F20" s="28" t="str">
        <f>IF(D20="","",VLOOKUP(D20,'[1]0.1 Produksi Pangan &amp; Penduduk'!$D$5:$AQ$860,40,0))</f>
        <v/>
      </c>
      <c r="G20" s="29" t="str">
        <f t="shared" si="0"/>
        <v/>
      </c>
      <c r="H20" s="29" t="str">
        <f t="shared" si="1"/>
        <v/>
      </c>
      <c r="I20" s="29" t="str">
        <f t="shared" si="2"/>
        <v/>
      </c>
      <c r="J20" s="29" t="str">
        <f t="shared" si="3"/>
        <v/>
      </c>
      <c r="K20" s="29" t="str">
        <f t="shared" si="4"/>
        <v/>
      </c>
      <c r="M20" s="11"/>
    </row>
    <row r="21" spans="1:13" ht="15" x14ac:dyDescent="0.25">
      <c r="A21" s="1" t="str">
        <f>IF('1.1 Produksi Bersih Padi 2025'!A21="","",'1.1 Produksi Bersih Padi 2025'!A21)</f>
        <v/>
      </c>
      <c r="B21" s="31" t="str">
        <f>IF('1.1 Produksi Bersih Padi 2025'!B21="","",'1.1 Produksi Bersih Padi 2025'!B21)</f>
        <v/>
      </c>
      <c r="C21" s="31" t="str">
        <f>IF('1.1 Produksi Bersih Padi 2025'!C21="","",'1.1 Produksi Bersih Padi 2025'!C21)</f>
        <v/>
      </c>
      <c r="D21" s="1" t="str">
        <f>IF('1.1 Produksi Bersih Padi 2025'!D21="","",'1.1 Produksi Bersih Padi 2025'!D21)</f>
        <v/>
      </c>
      <c r="E21" s="1" t="str">
        <f>IF('1.1 Produksi Bersih Padi 2025'!E21="","",'1.1 Produksi Bersih Padi 2025'!E21)</f>
        <v/>
      </c>
      <c r="F21" s="28" t="str">
        <f>IF(D21="","",VLOOKUP(D21,'[1]0.1 Produksi Pangan &amp; Penduduk'!$D$5:$AQ$860,40,0))</f>
        <v/>
      </c>
      <c r="G21" s="29" t="str">
        <f t="shared" si="0"/>
        <v/>
      </c>
      <c r="H21" s="29" t="str">
        <f t="shared" si="1"/>
        <v/>
      </c>
      <c r="I21" s="29" t="str">
        <f t="shared" si="2"/>
        <v/>
      </c>
      <c r="J21" s="29" t="str">
        <f t="shared" si="3"/>
        <v/>
      </c>
      <c r="K21" s="29" t="str">
        <f t="shared" si="4"/>
        <v/>
      </c>
      <c r="M21" s="11"/>
    </row>
    <row r="22" spans="1:13" ht="15" x14ac:dyDescent="0.25">
      <c r="A22" s="1" t="str">
        <f>IF('1.1 Produksi Bersih Padi 2025'!A22="","",'1.1 Produksi Bersih Padi 2025'!A22)</f>
        <v/>
      </c>
      <c r="B22" s="31" t="str">
        <f>IF('1.1 Produksi Bersih Padi 2025'!B22="","",'1.1 Produksi Bersih Padi 2025'!B22)</f>
        <v/>
      </c>
      <c r="C22" s="31" t="str">
        <f>IF('1.1 Produksi Bersih Padi 2025'!C22="","",'1.1 Produksi Bersih Padi 2025'!C22)</f>
        <v/>
      </c>
      <c r="D22" s="1" t="str">
        <f>IF('1.1 Produksi Bersih Padi 2025'!D22="","",'1.1 Produksi Bersih Padi 2025'!D22)</f>
        <v/>
      </c>
      <c r="E22" s="1" t="str">
        <f>IF('1.1 Produksi Bersih Padi 2025'!E22="","",'1.1 Produksi Bersih Padi 2025'!E22)</f>
        <v/>
      </c>
      <c r="F22" s="28" t="str">
        <f>IF(D22="","",VLOOKUP(D22,'[1]0.1 Produksi Pangan &amp; Penduduk'!$D$5:$AQ$860,40,0))</f>
        <v/>
      </c>
      <c r="G22" s="29" t="str">
        <f t="shared" si="0"/>
        <v/>
      </c>
      <c r="H22" s="29" t="str">
        <f t="shared" si="1"/>
        <v/>
      </c>
      <c r="I22" s="29" t="str">
        <f t="shared" si="2"/>
        <v/>
      </c>
      <c r="J22" s="29" t="str">
        <f t="shared" si="3"/>
        <v/>
      </c>
      <c r="K22" s="29" t="str">
        <f t="shared" si="4"/>
        <v/>
      </c>
      <c r="M22" s="11"/>
    </row>
    <row r="23" spans="1:13" ht="15" x14ac:dyDescent="0.25">
      <c r="A23" s="1" t="str">
        <f>IF('1.1 Produksi Bersih Padi 2025'!A23="","",'1.1 Produksi Bersih Padi 2025'!A23)</f>
        <v/>
      </c>
      <c r="B23" s="31" t="str">
        <f>IF('1.1 Produksi Bersih Padi 2025'!B23="","",'1.1 Produksi Bersih Padi 2025'!B23)</f>
        <v/>
      </c>
      <c r="C23" s="31" t="str">
        <f>IF('1.1 Produksi Bersih Padi 2025'!C23="","",'1.1 Produksi Bersih Padi 2025'!C23)</f>
        <v/>
      </c>
      <c r="D23" s="1" t="str">
        <f>IF('1.1 Produksi Bersih Padi 2025'!D23="","",'1.1 Produksi Bersih Padi 2025'!D23)</f>
        <v/>
      </c>
      <c r="E23" s="1" t="str">
        <f>IF('1.1 Produksi Bersih Padi 2025'!E23="","",'1.1 Produksi Bersih Padi 2025'!E23)</f>
        <v/>
      </c>
      <c r="F23" s="28" t="str">
        <f>IF(D23="","",VLOOKUP(D23,'[1]0.1 Produksi Pangan &amp; Penduduk'!$D$5:$AQ$860,40,0))</f>
        <v/>
      </c>
      <c r="G23" s="29" t="str">
        <f t="shared" si="0"/>
        <v/>
      </c>
      <c r="H23" s="29" t="str">
        <f t="shared" si="1"/>
        <v/>
      </c>
      <c r="I23" s="29" t="str">
        <f t="shared" si="2"/>
        <v/>
      </c>
      <c r="J23" s="29" t="str">
        <f t="shared" si="3"/>
        <v/>
      </c>
      <c r="K23" s="29" t="str">
        <f t="shared" si="4"/>
        <v/>
      </c>
      <c r="M23" s="11"/>
    </row>
    <row r="24" spans="1:13" ht="15" x14ac:dyDescent="0.25">
      <c r="A24" s="1" t="str">
        <f>IF('1.1 Produksi Bersih Padi 2025'!A24="","",'1.1 Produksi Bersih Padi 2025'!A24)</f>
        <v/>
      </c>
      <c r="B24" s="31" t="str">
        <f>IF('1.1 Produksi Bersih Padi 2025'!B24="","",'1.1 Produksi Bersih Padi 2025'!B24)</f>
        <v/>
      </c>
      <c r="C24" s="31" t="str">
        <f>IF('1.1 Produksi Bersih Padi 2025'!C24="","",'1.1 Produksi Bersih Padi 2025'!C24)</f>
        <v/>
      </c>
      <c r="D24" s="1" t="str">
        <f>IF('1.1 Produksi Bersih Padi 2025'!D24="","",'1.1 Produksi Bersih Padi 2025'!D24)</f>
        <v/>
      </c>
      <c r="E24" s="1" t="str">
        <f>IF('1.1 Produksi Bersih Padi 2025'!E24="","",'1.1 Produksi Bersih Padi 2025'!E24)</f>
        <v/>
      </c>
      <c r="F24" s="28" t="str">
        <f>IF(D24="","",VLOOKUP(D24,'[1]0.1 Produksi Pangan &amp; Penduduk'!$D$5:$AQ$860,40,0))</f>
        <v/>
      </c>
      <c r="G24" s="29" t="str">
        <f t="shared" si="0"/>
        <v/>
      </c>
      <c r="H24" s="29" t="str">
        <f t="shared" si="1"/>
        <v/>
      </c>
      <c r="I24" s="29" t="str">
        <f t="shared" si="2"/>
        <v/>
      </c>
      <c r="J24" s="29" t="str">
        <f t="shared" si="3"/>
        <v/>
      </c>
      <c r="K24" s="29" t="str">
        <f t="shared" si="4"/>
        <v/>
      </c>
      <c r="M24" s="11"/>
    </row>
    <row r="25" spans="1:13" ht="15" x14ac:dyDescent="0.25">
      <c r="A25" s="1" t="str">
        <f>IF('1.1 Produksi Bersih Padi 2025'!A25="","",'1.1 Produksi Bersih Padi 2025'!A25)</f>
        <v/>
      </c>
      <c r="B25" s="31" t="str">
        <f>IF('1.1 Produksi Bersih Padi 2025'!B25="","",'1.1 Produksi Bersih Padi 2025'!B25)</f>
        <v/>
      </c>
      <c r="C25" s="31" t="str">
        <f>IF('1.1 Produksi Bersih Padi 2025'!C25="","",'1.1 Produksi Bersih Padi 2025'!C25)</f>
        <v/>
      </c>
      <c r="D25" s="1" t="str">
        <f>IF('1.1 Produksi Bersih Padi 2025'!D25="","",'1.1 Produksi Bersih Padi 2025'!D25)</f>
        <v/>
      </c>
      <c r="E25" s="1" t="str">
        <f>IF('1.1 Produksi Bersih Padi 2025'!E25="","",'1.1 Produksi Bersih Padi 2025'!E25)</f>
        <v/>
      </c>
      <c r="F25" s="28" t="str">
        <f>IF(D25="","",VLOOKUP(D25,'[1]0.1 Produksi Pangan &amp; Penduduk'!$D$5:$AQ$860,40,0))</f>
        <v/>
      </c>
      <c r="G25" s="29" t="str">
        <f t="shared" si="0"/>
        <v/>
      </c>
      <c r="H25" s="29" t="str">
        <f t="shared" si="1"/>
        <v/>
      </c>
      <c r="I25" s="29" t="str">
        <f t="shared" si="2"/>
        <v/>
      </c>
      <c r="J25" s="29" t="str">
        <f t="shared" si="3"/>
        <v/>
      </c>
      <c r="K25" s="29" t="str">
        <f t="shared" si="4"/>
        <v/>
      </c>
      <c r="M25" s="11"/>
    </row>
    <row r="26" spans="1:13" ht="15" x14ac:dyDescent="0.25">
      <c r="A26" s="1" t="str">
        <f>IF('1.1 Produksi Bersih Padi 2025'!A26="","",'1.1 Produksi Bersih Padi 2025'!A26)</f>
        <v/>
      </c>
      <c r="B26" s="31" t="str">
        <f>IF('1.1 Produksi Bersih Padi 2025'!B26="","",'1.1 Produksi Bersih Padi 2025'!B26)</f>
        <v/>
      </c>
      <c r="C26" s="31" t="str">
        <f>IF('1.1 Produksi Bersih Padi 2025'!C26="","",'1.1 Produksi Bersih Padi 2025'!C26)</f>
        <v/>
      </c>
      <c r="D26" s="1" t="str">
        <f>IF('1.1 Produksi Bersih Padi 2025'!D26="","",'1.1 Produksi Bersih Padi 2025'!D26)</f>
        <v/>
      </c>
      <c r="E26" s="1" t="str">
        <f>IF('1.1 Produksi Bersih Padi 2025'!E26="","",'1.1 Produksi Bersih Padi 2025'!E26)</f>
        <v/>
      </c>
      <c r="F26" s="28" t="str">
        <f>IF(D26="","",VLOOKUP(D26,'[1]0.1 Produksi Pangan &amp; Penduduk'!$D$5:$AQ$860,40,0))</f>
        <v/>
      </c>
      <c r="G26" s="29" t="str">
        <f t="shared" si="0"/>
        <v/>
      </c>
      <c r="H26" s="29" t="str">
        <f t="shared" si="1"/>
        <v/>
      </c>
      <c r="I26" s="29" t="str">
        <f t="shared" si="2"/>
        <v/>
      </c>
      <c r="J26" s="29" t="str">
        <f t="shared" si="3"/>
        <v/>
      </c>
      <c r="K26" s="29" t="str">
        <f t="shared" si="4"/>
        <v/>
      </c>
      <c r="M26" s="11"/>
    </row>
    <row r="27" spans="1:13" ht="15" x14ac:dyDescent="0.25">
      <c r="A27" s="1" t="str">
        <f>IF('1.1 Produksi Bersih Padi 2025'!A27="","",'1.1 Produksi Bersih Padi 2025'!A27)</f>
        <v/>
      </c>
      <c r="B27" s="31" t="str">
        <f>IF('1.1 Produksi Bersih Padi 2025'!B27="","",'1.1 Produksi Bersih Padi 2025'!B27)</f>
        <v/>
      </c>
      <c r="C27" s="31" t="str">
        <f>IF('1.1 Produksi Bersih Padi 2025'!C27="","",'1.1 Produksi Bersih Padi 2025'!C27)</f>
        <v/>
      </c>
      <c r="D27" s="1" t="str">
        <f>IF('1.1 Produksi Bersih Padi 2025'!D27="","",'1.1 Produksi Bersih Padi 2025'!D27)</f>
        <v/>
      </c>
      <c r="E27" s="1" t="str">
        <f>IF('1.1 Produksi Bersih Padi 2025'!E27="","",'1.1 Produksi Bersih Padi 2025'!E27)</f>
        <v/>
      </c>
      <c r="F27" s="28" t="str">
        <f>IF(D27="","",VLOOKUP(D27,'[1]0.1 Produksi Pangan &amp; Penduduk'!$D$5:$AQ$860,40,0))</f>
        <v/>
      </c>
      <c r="G27" s="29" t="str">
        <f t="shared" si="0"/>
        <v/>
      </c>
      <c r="H27" s="29" t="str">
        <f t="shared" si="1"/>
        <v/>
      </c>
      <c r="I27" s="29" t="str">
        <f t="shared" si="2"/>
        <v/>
      </c>
      <c r="J27" s="29" t="str">
        <f t="shared" si="3"/>
        <v/>
      </c>
      <c r="K27" s="29" t="str">
        <f t="shared" si="4"/>
        <v/>
      </c>
      <c r="M27" s="11"/>
    </row>
    <row r="28" spans="1:13" ht="15" x14ac:dyDescent="0.25">
      <c r="A28" s="1" t="str">
        <f>IF('1.1 Produksi Bersih Padi 2025'!A28="","",'1.1 Produksi Bersih Padi 2025'!A28)</f>
        <v/>
      </c>
      <c r="B28" s="31" t="str">
        <f>IF('1.1 Produksi Bersih Padi 2025'!B28="","",'1.1 Produksi Bersih Padi 2025'!B28)</f>
        <v/>
      </c>
      <c r="C28" s="31" t="str">
        <f>IF('1.1 Produksi Bersih Padi 2025'!C28="","",'1.1 Produksi Bersih Padi 2025'!C28)</f>
        <v/>
      </c>
      <c r="D28" s="1" t="str">
        <f>IF('1.1 Produksi Bersih Padi 2025'!D28="","",'1.1 Produksi Bersih Padi 2025'!D28)</f>
        <v/>
      </c>
      <c r="E28" s="1" t="str">
        <f>IF('1.1 Produksi Bersih Padi 2025'!E28="","",'1.1 Produksi Bersih Padi 2025'!E28)</f>
        <v/>
      </c>
      <c r="F28" s="28" t="str">
        <f>IF(D28="","",VLOOKUP(D28,'[1]0.1 Produksi Pangan &amp; Penduduk'!$D$5:$AQ$860,40,0))</f>
        <v/>
      </c>
      <c r="G28" s="29" t="str">
        <f t="shared" si="0"/>
        <v/>
      </c>
      <c r="H28" s="29" t="str">
        <f t="shared" si="1"/>
        <v/>
      </c>
      <c r="I28" s="29" t="str">
        <f t="shared" si="2"/>
        <v/>
      </c>
      <c r="J28" s="29" t="str">
        <f t="shared" si="3"/>
        <v/>
      </c>
      <c r="K28" s="29" t="str">
        <f t="shared" si="4"/>
        <v/>
      </c>
      <c r="M28" s="11"/>
    </row>
    <row r="29" spans="1:13" ht="15" x14ac:dyDescent="0.25">
      <c r="A29" s="1" t="str">
        <f>IF('1.1 Produksi Bersih Padi 2025'!A29="","",'1.1 Produksi Bersih Padi 2025'!A29)</f>
        <v/>
      </c>
      <c r="B29" s="31" t="str">
        <f>IF('1.1 Produksi Bersih Padi 2025'!B29="","",'1.1 Produksi Bersih Padi 2025'!B29)</f>
        <v/>
      </c>
      <c r="C29" s="31" t="str">
        <f>IF('1.1 Produksi Bersih Padi 2025'!C29="","",'1.1 Produksi Bersih Padi 2025'!C29)</f>
        <v/>
      </c>
      <c r="D29" s="1" t="str">
        <f>IF('1.1 Produksi Bersih Padi 2025'!D29="","",'1.1 Produksi Bersih Padi 2025'!D29)</f>
        <v/>
      </c>
      <c r="E29" s="1" t="str">
        <f>IF('1.1 Produksi Bersih Padi 2025'!E29="","",'1.1 Produksi Bersih Padi 2025'!E29)</f>
        <v/>
      </c>
      <c r="F29" s="28" t="str">
        <f>IF(D29="","",VLOOKUP(D29,'[1]0.1 Produksi Pangan &amp; Penduduk'!$D$5:$AQ$860,40,0))</f>
        <v/>
      </c>
      <c r="G29" s="29" t="str">
        <f t="shared" si="0"/>
        <v/>
      </c>
      <c r="H29" s="29" t="str">
        <f t="shared" si="1"/>
        <v/>
      </c>
      <c r="I29" s="29" t="str">
        <f t="shared" si="2"/>
        <v/>
      </c>
      <c r="J29" s="29" t="str">
        <f t="shared" si="3"/>
        <v/>
      </c>
      <c r="K29" s="29" t="str">
        <f t="shared" si="4"/>
        <v/>
      </c>
      <c r="M29" s="11"/>
    </row>
    <row r="30" spans="1:13" ht="15" x14ac:dyDescent="0.25">
      <c r="A30" s="1" t="str">
        <f>IF('1.1 Produksi Bersih Padi 2025'!A30="","",'1.1 Produksi Bersih Padi 2025'!A30)</f>
        <v/>
      </c>
      <c r="B30" s="31" t="str">
        <f>IF('1.1 Produksi Bersih Padi 2025'!B30="","",'1.1 Produksi Bersih Padi 2025'!B30)</f>
        <v/>
      </c>
      <c r="C30" s="31" t="str">
        <f>IF('1.1 Produksi Bersih Padi 2025'!C30="","",'1.1 Produksi Bersih Padi 2025'!C30)</f>
        <v/>
      </c>
      <c r="D30" s="1" t="str">
        <f>IF('1.1 Produksi Bersih Padi 2025'!D30="","",'1.1 Produksi Bersih Padi 2025'!D30)</f>
        <v/>
      </c>
      <c r="E30" s="1" t="str">
        <f>IF('1.1 Produksi Bersih Padi 2025'!E30="","",'1.1 Produksi Bersih Padi 2025'!E30)</f>
        <v/>
      </c>
      <c r="F30" s="28" t="str">
        <f>IF(D30="","",VLOOKUP(D30,'[1]0.1 Produksi Pangan &amp; Penduduk'!$D$5:$AQ$860,40,0))</f>
        <v/>
      </c>
      <c r="G30" s="29" t="str">
        <f t="shared" si="0"/>
        <v/>
      </c>
      <c r="H30" s="29" t="str">
        <f t="shared" si="1"/>
        <v/>
      </c>
      <c r="I30" s="29" t="str">
        <f t="shared" si="2"/>
        <v/>
      </c>
      <c r="J30" s="29" t="str">
        <f t="shared" si="3"/>
        <v/>
      </c>
      <c r="K30" s="29" t="str">
        <f t="shared" si="4"/>
        <v/>
      </c>
      <c r="M30" s="11"/>
    </row>
    <row r="31" spans="1:13" ht="15" x14ac:dyDescent="0.25">
      <c r="A31" s="1" t="str">
        <f>IF('1.1 Produksi Bersih Padi 2025'!A31="","",'1.1 Produksi Bersih Padi 2025'!A31)</f>
        <v/>
      </c>
      <c r="B31" s="31" t="str">
        <f>IF('1.1 Produksi Bersih Padi 2025'!B31="","",'1.1 Produksi Bersih Padi 2025'!B31)</f>
        <v/>
      </c>
      <c r="C31" s="31" t="str">
        <f>IF('1.1 Produksi Bersih Padi 2025'!C31="","",'1.1 Produksi Bersih Padi 2025'!C31)</f>
        <v/>
      </c>
      <c r="D31" s="1" t="str">
        <f>IF('1.1 Produksi Bersih Padi 2025'!D31="","",'1.1 Produksi Bersih Padi 2025'!D31)</f>
        <v/>
      </c>
      <c r="E31" s="1" t="str">
        <f>IF('1.1 Produksi Bersih Padi 2025'!E31="","",'1.1 Produksi Bersih Padi 2025'!E31)</f>
        <v/>
      </c>
      <c r="F31" s="28" t="str">
        <f>IF(D31="","",VLOOKUP(D31,'[1]0.1 Produksi Pangan &amp; Penduduk'!$D$5:$AQ$860,40,0))</f>
        <v/>
      </c>
      <c r="G31" s="29" t="str">
        <f t="shared" si="0"/>
        <v/>
      </c>
      <c r="H31" s="29" t="str">
        <f t="shared" si="1"/>
        <v/>
      </c>
      <c r="I31" s="29" t="str">
        <f t="shared" si="2"/>
        <v/>
      </c>
      <c r="J31" s="29" t="str">
        <f t="shared" si="3"/>
        <v/>
      </c>
      <c r="K31" s="29" t="str">
        <f t="shared" si="4"/>
        <v/>
      </c>
      <c r="M31" s="11"/>
    </row>
    <row r="32" spans="1:13" ht="15" x14ac:dyDescent="0.25">
      <c r="A32" s="1" t="str">
        <f>IF('1.1 Produksi Bersih Padi 2025'!A32="","",'1.1 Produksi Bersih Padi 2025'!A32)</f>
        <v/>
      </c>
      <c r="B32" s="31" t="str">
        <f>IF('1.1 Produksi Bersih Padi 2025'!B32="","",'1.1 Produksi Bersih Padi 2025'!B32)</f>
        <v/>
      </c>
      <c r="C32" s="31" t="str">
        <f>IF('1.1 Produksi Bersih Padi 2025'!C32="","",'1.1 Produksi Bersih Padi 2025'!C32)</f>
        <v/>
      </c>
      <c r="D32" s="1" t="str">
        <f>IF('1.1 Produksi Bersih Padi 2025'!D32="","",'1.1 Produksi Bersih Padi 2025'!D32)</f>
        <v/>
      </c>
      <c r="E32" s="1" t="str">
        <f>IF('1.1 Produksi Bersih Padi 2025'!E32="","",'1.1 Produksi Bersih Padi 2025'!E32)</f>
        <v/>
      </c>
      <c r="F32" s="28" t="str">
        <f>IF(D32="","",VLOOKUP(D32,'[1]0.1 Produksi Pangan &amp; Penduduk'!$D$5:$AQ$860,40,0))</f>
        <v/>
      </c>
      <c r="G32" s="29" t="str">
        <f t="shared" si="0"/>
        <v/>
      </c>
      <c r="H32" s="29" t="str">
        <f t="shared" si="1"/>
        <v/>
      </c>
      <c r="I32" s="29" t="str">
        <f t="shared" si="2"/>
        <v/>
      </c>
      <c r="J32" s="29" t="str">
        <f t="shared" si="3"/>
        <v/>
      </c>
      <c r="K32" s="29" t="str">
        <f t="shared" si="4"/>
        <v/>
      </c>
      <c r="M32" s="11"/>
    </row>
    <row r="33" spans="1:13" ht="15" x14ac:dyDescent="0.25">
      <c r="A33" s="1" t="str">
        <f>IF('1.1 Produksi Bersih Padi 2025'!A33="","",'1.1 Produksi Bersih Padi 2025'!A33)</f>
        <v/>
      </c>
      <c r="B33" s="31" t="str">
        <f>IF('1.1 Produksi Bersih Padi 2025'!B33="","",'1.1 Produksi Bersih Padi 2025'!B33)</f>
        <v/>
      </c>
      <c r="C33" s="31" t="str">
        <f>IF('1.1 Produksi Bersih Padi 2025'!C33="","",'1.1 Produksi Bersih Padi 2025'!C33)</f>
        <v/>
      </c>
      <c r="D33" s="1" t="str">
        <f>IF('1.1 Produksi Bersih Padi 2025'!D33="","",'1.1 Produksi Bersih Padi 2025'!D33)</f>
        <v/>
      </c>
      <c r="E33" s="1" t="str">
        <f>IF('1.1 Produksi Bersih Padi 2025'!E33="","",'1.1 Produksi Bersih Padi 2025'!E33)</f>
        <v/>
      </c>
      <c r="F33" s="28" t="str">
        <f>IF(D33="","",VLOOKUP(D33,'[1]0.1 Produksi Pangan &amp; Penduduk'!$D$5:$AQ$860,40,0))</f>
        <v/>
      </c>
      <c r="G33" s="29" t="str">
        <f t="shared" si="0"/>
        <v/>
      </c>
      <c r="H33" s="29" t="str">
        <f t="shared" si="1"/>
        <v/>
      </c>
      <c r="I33" s="29" t="str">
        <f t="shared" si="2"/>
        <v/>
      </c>
      <c r="J33" s="29" t="str">
        <f t="shared" si="3"/>
        <v/>
      </c>
      <c r="K33" s="29" t="str">
        <f t="shared" si="4"/>
        <v/>
      </c>
      <c r="M33" s="11"/>
    </row>
    <row r="34" spans="1:13" ht="15" x14ac:dyDescent="0.25">
      <c r="A34" s="1" t="str">
        <f>IF('1.1 Produksi Bersih Padi 2025'!A34="","",'1.1 Produksi Bersih Padi 2025'!A34)</f>
        <v/>
      </c>
      <c r="B34" s="31" t="str">
        <f>IF('1.1 Produksi Bersih Padi 2025'!B34="","",'1.1 Produksi Bersih Padi 2025'!B34)</f>
        <v/>
      </c>
      <c r="C34" s="31" t="str">
        <f>IF('1.1 Produksi Bersih Padi 2025'!C34="","",'1.1 Produksi Bersih Padi 2025'!C34)</f>
        <v/>
      </c>
      <c r="D34" s="1" t="str">
        <f>IF('1.1 Produksi Bersih Padi 2025'!D34="","",'1.1 Produksi Bersih Padi 2025'!D34)</f>
        <v/>
      </c>
      <c r="E34" s="1" t="str">
        <f>IF('1.1 Produksi Bersih Padi 2025'!E34="","",'1.1 Produksi Bersih Padi 2025'!E34)</f>
        <v/>
      </c>
      <c r="F34" s="28" t="str">
        <f>IF(D34="","",VLOOKUP(D34,'[1]0.1 Produksi Pangan &amp; Penduduk'!$D$5:$AQ$860,40,0))</f>
        <v/>
      </c>
      <c r="G34" s="29" t="str">
        <f t="shared" si="0"/>
        <v/>
      </c>
      <c r="H34" s="29" t="str">
        <f t="shared" si="1"/>
        <v/>
      </c>
      <c r="I34" s="29" t="str">
        <f t="shared" si="2"/>
        <v/>
      </c>
      <c r="J34" s="29" t="str">
        <f t="shared" si="3"/>
        <v/>
      </c>
      <c r="K34" s="29" t="str">
        <f t="shared" si="4"/>
        <v/>
      </c>
      <c r="M34" s="11"/>
    </row>
    <row r="35" spans="1:13" ht="15" x14ac:dyDescent="0.25">
      <c r="A35" s="1" t="str">
        <f>IF('1.1 Produksi Bersih Padi 2025'!A35="","",'1.1 Produksi Bersih Padi 2025'!A35)</f>
        <v/>
      </c>
      <c r="B35" s="31" t="str">
        <f>IF('1.1 Produksi Bersih Padi 2025'!B35="","",'1.1 Produksi Bersih Padi 2025'!B35)</f>
        <v/>
      </c>
      <c r="C35" s="31" t="str">
        <f>IF('1.1 Produksi Bersih Padi 2025'!C35="","",'1.1 Produksi Bersih Padi 2025'!C35)</f>
        <v/>
      </c>
      <c r="D35" s="1" t="str">
        <f>IF('1.1 Produksi Bersih Padi 2025'!D35="","",'1.1 Produksi Bersih Padi 2025'!D35)</f>
        <v/>
      </c>
      <c r="E35" s="1" t="str">
        <f>IF('1.1 Produksi Bersih Padi 2025'!E35="","",'1.1 Produksi Bersih Padi 2025'!E35)</f>
        <v/>
      </c>
      <c r="F35" s="28" t="str">
        <f>IF(D35="","",VLOOKUP(D35,'[1]0.1 Produksi Pangan &amp; Penduduk'!$D$5:$AQ$860,40,0))</f>
        <v/>
      </c>
      <c r="G35" s="29" t="str">
        <f t="shared" si="0"/>
        <v/>
      </c>
      <c r="H35" s="29" t="str">
        <f t="shared" si="1"/>
        <v/>
      </c>
      <c r="I35" s="29" t="str">
        <f t="shared" si="2"/>
        <v/>
      </c>
      <c r="J35" s="29" t="str">
        <f t="shared" si="3"/>
        <v/>
      </c>
      <c r="K35" s="29" t="str">
        <f t="shared" si="4"/>
        <v/>
      </c>
      <c r="M35" s="11"/>
    </row>
    <row r="36" spans="1:13" ht="15" x14ac:dyDescent="0.25">
      <c r="A36" s="1" t="str">
        <f>IF('1.1 Produksi Bersih Padi 2025'!A36="","",'1.1 Produksi Bersih Padi 2025'!A36)</f>
        <v/>
      </c>
      <c r="B36" s="31" t="str">
        <f>IF('1.1 Produksi Bersih Padi 2025'!B36="","",'1.1 Produksi Bersih Padi 2025'!B36)</f>
        <v/>
      </c>
      <c r="C36" s="31" t="str">
        <f>IF('1.1 Produksi Bersih Padi 2025'!C36="","",'1.1 Produksi Bersih Padi 2025'!C36)</f>
        <v/>
      </c>
      <c r="D36" s="1" t="str">
        <f>IF('1.1 Produksi Bersih Padi 2025'!D36="","",'1.1 Produksi Bersih Padi 2025'!D36)</f>
        <v/>
      </c>
      <c r="E36" s="1" t="str">
        <f>IF('1.1 Produksi Bersih Padi 2025'!E36="","",'1.1 Produksi Bersih Padi 2025'!E36)</f>
        <v/>
      </c>
      <c r="F36" s="28" t="str">
        <f>IF(D36="","",VLOOKUP(D36,'[1]0.1 Produksi Pangan &amp; Penduduk'!$D$5:$AQ$860,40,0))</f>
        <v/>
      </c>
      <c r="G36" s="29" t="str">
        <f t="shared" si="0"/>
        <v/>
      </c>
      <c r="H36" s="29" t="str">
        <f t="shared" si="1"/>
        <v/>
      </c>
      <c r="I36" s="29" t="str">
        <f t="shared" si="2"/>
        <v/>
      </c>
      <c r="J36" s="29" t="str">
        <f t="shared" si="3"/>
        <v/>
      </c>
      <c r="K36" s="29" t="str">
        <f t="shared" si="4"/>
        <v/>
      </c>
      <c r="M36" s="11"/>
    </row>
    <row r="37" spans="1:13" ht="15" x14ac:dyDescent="0.25">
      <c r="A37" s="1" t="str">
        <f>IF('1.1 Produksi Bersih Padi 2025'!A37="","",'1.1 Produksi Bersih Padi 2025'!A37)</f>
        <v/>
      </c>
      <c r="B37" s="31" t="str">
        <f>IF('1.1 Produksi Bersih Padi 2025'!B37="","",'1.1 Produksi Bersih Padi 2025'!B37)</f>
        <v/>
      </c>
      <c r="C37" s="31" t="str">
        <f>IF('1.1 Produksi Bersih Padi 2025'!C37="","",'1.1 Produksi Bersih Padi 2025'!C37)</f>
        <v/>
      </c>
      <c r="D37" s="1" t="str">
        <f>IF('1.1 Produksi Bersih Padi 2025'!D37="","",'1.1 Produksi Bersih Padi 2025'!D37)</f>
        <v/>
      </c>
      <c r="E37" s="1" t="str">
        <f>IF('1.1 Produksi Bersih Padi 2025'!E37="","",'1.1 Produksi Bersih Padi 2025'!E37)</f>
        <v/>
      </c>
      <c r="F37" s="28" t="str">
        <f>IF(D37="","",VLOOKUP(D37,'[1]0.1 Produksi Pangan &amp; Penduduk'!$D$5:$AQ$860,40,0))</f>
        <v/>
      </c>
      <c r="G37" s="29" t="str">
        <f t="shared" si="0"/>
        <v/>
      </c>
      <c r="H37" s="29" t="str">
        <f t="shared" si="1"/>
        <v/>
      </c>
      <c r="I37" s="29" t="str">
        <f t="shared" si="2"/>
        <v/>
      </c>
      <c r="J37" s="29" t="str">
        <f t="shared" si="3"/>
        <v/>
      </c>
      <c r="K37" s="29" t="str">
        <f t="shared" si="4"/>
        <v/>
      </c>
      <c r="M37" s="11"/>
    </row>
    <row r="38" spans="1:13" ht="15" x14ac:dyDescent="0.25">
      <c r="A38" s="1" t="str">
        <f>IF('1.1 Produksi Bersih Padi 2025'!A38="","",'1.1 Produksi Bersih Padi 2025'!A38)</f>
        <v/>
      </c>
      <c r="B38" s="31" t="str">
        <f>IF('1.1 Produksi Bersih Padi 2025'!B38="","",'1.1 Produksi Bersih Padi 2025'!B38)</f>
        <v/>
      </c>
      <c r="C38" s="31" t="str">
        <f>IF('1.1 Produksi Bersih Padi 2025'!C38="","",'1.1 Produksi Bersih Padi 2025'!C38)</f>
        <v/>
      </c>
      <c r="D38" s="1" t="str">
        <f>IF('1.1 Produksi Bersih Padi 2025'!D38="","",'1.1 Produksi Bersih Padi 2025'!D38)</f>
        <v/>
      </c>
      <c r="E38" s="1" t="str">
        <f>IF('1.1 Produksi Bersih Padi 2025'!E38="","",'1.1 Produksi Bersih Padi 2025'!E38)</f>
        <v/>
      </c>
      <c r="F38" s="28" t="str">
        <f>IF(D38="","",VLOOKUP(D38,'[1]0.1 Produksi Pangan &amp; Penduduk'!$D$5:$AQ$860,40,0))</f>
        <v/>
      </c>
      <c r="G38" s="29" t="str">
        <f t="shared" si="0"/>
        <v/>
      </c>
      <c r="H38" s="29" t="str">
        <f t="shared" si="1"/>
        <v/>
      </c>
      <c r="I38" s="29" t="str">
        <f t="shared" si="2"/>
        <v/>
      </c>
      <c r="J38" s="29" t="str">
        <f t="shared" si="3"/>
        <v/>
      </c>
      <c r="K38" s="29" t="str">
        <f t="shared" si="4"/>
        <v/>
      </c>
      <c r="M38" s="11"/>
    </row>
    <row r="39" spans="1:13" ht="15" x14ac:dyDescent="0.25">
      <c r="A39" s="1" t="str">
        <f>IF('1.1 Produksi Bersih Padi 2025'!A39="","",'1.1 Produksi Bersih Padi 2025'!A39)</f>
        <v/>
      </c>
      <c r="B39" s="31" t="str">
        <f>IF('1.1 Produksi Bersih Padi 2025'!B39="","",'1.1 Produksi Bersih Padi 2025'!B39)</f>
        <v/>
      </c>
      <c r="C39" s="31" t="str">
        <f>IF('1.1 Produksi Bersih Padi 2025'!C39="","",'1.1 Produksi Bersih Padi 2025'!C39)</f>
        <v/>
      </c>
      <c r="D39" s="1" t="str">
        <f>IF('1.1 Produksi Bersih Padi 2025'!D39="","",'1.1 Produksi Bersih Padi 2025'!D39)</f>
        <v/>
      </c>
      <c r="E39" s="1" t="str">
        <f>IF('1.1 Produksi Bersih Padi 2025'!E39="","",'1.1 Produksi Bersih Padi 2025'!E39)</f>
        <v/>
      </c>
      <c r="F39" s="28" t="str">
        <f>IF(D39="","",VLOOKUP(D39,'[1]0.1 Produksi Pangan &amp; Penduduk'!$D$5:$AQ$860,40,0))</f>
        <v/>
      </c>
      <c r="G39" s="29" t="str">
        <f t="shared" si="0"/>
        <v/>
      </c>
      <c r="H39" s="29" t="str">
        <f t="shared" si="1"/>
        <v/>
      </c>
      <c r="I39" s="29" t="str">
        <f t="shared" si="2"/>
        <v/>
      </c>
      <c r="J39" s="29" t="str">
        <f t="shared" si="3"/>
        <v/>
      </c>
      <c r="K39" s="29" t="str">
        <f t="shared" si="4"/>
        <v/>
      </c>
      <c r="M39" s="11"/>
    </row>
    <row r="40" spans="1:13" ht="15" x14ac:dyDescent="0.25">
      <c r="A40" s="1" t="str">
        <f>IF('1.1 Produksi Bersih Padi 2025'!A40="","",'1.1 Produksi Bersih Padi 2025'!A40)</f>
        <v/>
      </c>
      <c r="B40" s="31" t="str">
        <f>IF('1.1 Produksi Bersih Padi 2025'!B40="","",'1.1 Produksi Bersih Padi 2025'!B40)</f>
        <v/>
      </c>
      <c r="C40" s="31" t="str">
        <f>IF('1.1 Produksi Bersih Padi 2025'!C40="","",'1.1 Produksi Bersih Padi 2025'!C40)</f>
        <v/>
      </c>
      <c r="D40" s="1" t="str">
        <f>IF('1.1 Produksi Bersih Padi 2025'!D40="","",'1.1 Produksi Bersih Padi 2025'!D40)</f>
        <v/>
      </c>
      <c r="E40" s="1" t="str">
        <f>IF('1.1 Produksi Bersih Padi 2025'!E40="","",'1.1 Produksi Bersih Padi 2025'!E40)</f>
        <v/>
      </c>
      <c r="F40" s="28" t="str">
        <f>IF(D40="","",VLOOKUP(D40,'[1]0.1 Produksi Pangan &amp; Penduduk'!$D$5:$AQ$860,40,0))</f>
        <v/>
      </c>
      <c r="G40" s="29" t="str">
        <f t="shared" si="0"/>
        <v/>
      </c>
      <c r="H40" s="29" t="str">
        <f t="shared" si="1"/>
        <v/>
      </c>
      <c r="I40" s="29" t="str">
        <f t="shared" si="2"/>
        <v/>
      </c>
      <c r="J40" s="29" t="str">
        <f t="shared" si="3"/>
        <v/>
      </c>
      <c r="K40" s="29" t="str">
        <f t="shared" si="4"/>
        <v/>
      </c>
      <c r="M40" s="11"/>
    </row>
    <row r="41" spans="1:13" ht="15" x14ac:dyDescent="0.25">
      <c r="A41" s="1" t="str">
        <f>IF('1.1 Produksi Bersih Padi 2025'!A41="","",'1.1 Produksi Bersih Padi 2025'!A41)</f>
        <v/>
      </c>
      <c r="B41" s="31" t="str">
        <f>IF('1.1 Produksi Bersih Padi 2025'!B41="","",'1.1 Produksi Bersih Padi 2025'!B41)</f>
        <v/>
      </c>
      <c r="C41" s="31" t="str">
        <f>IF('1.1 Produksi Bersih Padi 2025'!C41="","",'1.1 Produksi Bersih Padi 2025'!C41)</f>
        <v/>
      </c>
      <c r="D41" s="1" t="str">
        <f>IF('1.1 Produksi Bersih Padi 2025'!D41="","",'1.1 Produksi Bersih Padi 2025'!D41)</f>
        <v/>
      </c>
      <c r="E41" s="1" t="str">
        <f>IF('1.1 Produksi Bersih Padi 2025'!E41="","",'1.1 Produksi Bersih Padi 2025'!E41)</f>
        <v/>
      </c>
      <c r="F41" s="28" t="str">
        <f>IF(D41="","",VLOOKUP(D41,'[1]0.1 Produksi Pangan &amp; Penduduk'!$D$5:$AQ$860,40,0))</f>
        <v/>
      </c>
      <c r="G41" s="29" t="str">
        <f t="shared" si="0"/>
        <v/>
      </c>
      <c r="H41" s="29" t="str">
        <f t="shared" si="1"/>
        <v/>
      </c>
      <c r="I41" s="29" t="str">
        <f t="shared" si="2"/>
        <v/>
      </c>
      <c r="J41" s="29" t="str">
        <f t="shared" si="3"/>
        <v/>
      </c>
      <c r="K41" s="29" t="str">
        <f t="shared" si="4"/>
        <v/>
      </c>
      <c r="M41" s="11"/>
    </row>
    <row r="42" spans="1:13" ht="15" x14ac:dyDescent="0.25">
      <c r="A42" s="1" t="str">
        <f>IF('1.1 Produksi Bersih Padi 2025'!A42="","",'1.1 Produksi Bersih Padi 2025'!A42)</f>
        <v/>
      </c>
      <c r="B42" s="31" t="str">
        <f>IF('1.1 Produksi Bersih Padi 2025'!B42="","",'1.1 Produksi Bersih Padi 2025'!B42)</f>
        <v/>
      </c>
      <c r="C42" s="31" t="str">
        <f>IF('1.1 Produksi Bersih Padi 2025'!C42="","",'1.1 Produksi Bersih Padi 2025'!C42)</f>
        <v/>
      </c>
      <c r="D42" s="1" t="str">
        <f>IF('1.1 Produksi Bersih Padi 2025'!D42="","",'1.1 Produksi Bersih Padi 2025'!D42)</f>
        <v/>
      </c>
      <c r="E42" s="1" t="str">
        <f>IF('1.1 Produksi Bersih Padi 2025'!E42="","",'1.1 Produksi Bersih Padi 2025'!E42)</f>
        <v/>
      </c>
      <c r="F42" s="28" t="str">
        <f>IF(D42="","",VLOOKUP(D42,'[1]0.1 Produksi Pangan &amp; Penduduk'!$D$5:$AQ$860,40,0))</f>
        <v/>
      </c>
      <c r="G42" s="29" t="str">
        <f t="shared" si="0"/>
        <v/>
      </c>
      <c r="H42" s="29" t="str">
        <f t="shared" si="1"/>
        <v/>
      </c>
      <c r="I42" s="29" t="str">
        <f t="shared" si="2"/>
        <v/>
      </c>
      <c r="J42" s="29" t="str">
        <f t="shared" si="3"/>
        <v/>
      </c>
      <c r="K42" s="29" t="str">
        <f t="shared" si="4"/>
        <v/>
      </c>
      <c r="M42" s="11"/>
    </row>
    <row r="43" spans="1:13" ht="15" x14ac:dyDescent="0.25">
      <c r="A43" s="1" t="str">
        <f>IF('1.1 Produksi Bersih Padi 2025'!A43="","",'1.1 Produksi Bersih Padi 2025'!A43)</f>
        <v/>
      </c>
      <c r="B43" s="31" t="str">
        <f>IF('1.1 Produksi Bersih Padi 2025'!B43="","",'1.1 Produksi Bersih Padi 2025'!B43)</f>
        <v/>
      </c>
      <c r="C43" s="31" t="str">
        <f>IF('1.1 Produksi Bersih Padi 2025'!C43="","",'1.1 Produksi Bersih Padi 2025'!C43)</f>
        <v/>
      </c>
      <c r="D43" s="1" t="str">
        <f>IF('1.1 Produksi Bersih Padi 2025'!D43="","",'1.1 Produksi Bersih Padi 2025'!D43)</f>
        <v/>
      </c>
      <c r="E43" s="1" t="str">
        <f>IF('1.1 Produksi Bersih Padi 2025'!E43="","",'1.1 Produksi Bersih Padi 2025'!E43)</f>
        <v/>
      </c>
      <c r="F43" s="28" t="str">
        <f>IF(D43="","",VLOOKUP(D43,'[1]0.1 Produksi Pangan &amp; Penduduk'!$D$5:$AQ$860,40,0))</f>
        <v/>
      </c>
      <c r="G43" s="29" t="str">
        <f t="shared" si="0"/>
        <v/>
      </c>
      <c r="H43" s="29" t="str">
        <f t="shared" si="1"/>
        <v/>
      </c>
      <c r="I43" s="29" t="str">
        <f t="shared" si="2"/>
        <v/>
      </c>
      <c r="J43" s="29" t="str">
        <f t="shared" si="3"/>
        <v/>
      </c>
      <c r="K43" s="29" t="str">
        <f t="shared" si="4"/>
        <v/>
      </c>
      <c r="M43" s="11"/>
    </row>
    <row r="44" spans="1:13" ht="15" x14ac:dyDescent="0.25">
      <c r="A44" s="1" t="str">
        <f>IF('1.1 Produksi Bersih Padi 2025'!A44="","",'1.1 Produksi Bersih Padi 2025'!A44)</f>
        <v/>
      </c>
      <c r="B44" s="31" t="str">
        <f>IF('1.1 Produksi Bersih Padi 2025'!B44="","",'1.1 Produksi Bersih Padi 2025'!B44)</f>
        <v/>
      </c>
      <c r="C44" s="31" t="str">
        <f>IF('1.1 Produksi Bersih Padi 2025'!C44="","",'1.1 Produksi Bersih Padi 2025'!C44)</f>
        <v/>
      </c>
      <c r="D44" s="1" t="str">
        <f>IF('1.1 Produksi Bersih Padi 2025'!D44="","",'1.1 Produksi Bersih Padi 2025'!D44)</f>
        <v/>
      </c>
      <c r="E44" s="1" t="str">
        <f>IF('1.1 Produksi Bersih Padi 2025'!E44="","",'1.1 Produksi Bersih Padi 2025'!E44)</f>
        <v/>
      </c>
      <c r="F44" s="28" t="str">
        <f>IF(D44="","",VLOOKUP(D44,'[1]0.1 Produksi Pangan &amp; Penduduk'!$D$5:$AQ$860,40,0))</f>
        <v/>
      </c>
      <c r="G44" s="29" t="str">
        <f t="shared" si="0"/>
        <v/>
      </c>
      <c r="H44" s="29" t="str">
        <f t="shared" si="1"/>
        <v/>
      </c>
      <c r="I44" s="29" t="str">
        <f t="shared" si="2"/>
        <v/>
      </c>
      <c r="J44" s="29" t="str">
        <f t="shared" si="3"/>
        <v/>
      </c>
      <c r="K44" s="29" t="str">
        <f t="shared" si="4"/>
        <v/>
      </c>
      <c r="M44" s="11"/>
    </row>
    <row r="45" spans="1:13" ht="15" x14ac:dyDescent="0.25">
      <c r="A45" s="1" t="str">
        <f>IF('1.1 Produksi Bersih Padi 2025'!A45="","",'1.1 Produksi Bersih Padi 2025'!A45)</f>
        <v/>
      </c>
      <c r="B45" s="31" t="str">
        <f>IF('1.1 Produksi Bersih Padi 2025'!B45="","",'1.1 Produksi Bersih Padi 2025'!B45)</f>
        <v/>
      </c>
      <c r="C45" s="31" t="str">
        <f>IF('1.1 Produksi Bersih Padi 2025'!C45="","",'1.1 Produksi Bersih Padi 2025'!C45)</f>
        <v/>
      </c>
      <c r="D45" s="1" t="str">
        <f>IF('1.1 Produksi Bersih Padi 2025'!D45="","",'1.1 Produksi Bersih Padi 2025'!D45)</f>
        <v/>
      </c>
      <c r="E45" s="1" t="str">
        <f>IF('1.1 Produksi Bersih Padi 2025'!E45="","",'1.1 Produksi Bersih Padi 2025'!E45)</f>
        <v/>
      </c>
      <c r="F45" s="28" t="str">
        <f>IF(D45="","",VLOOKUP(D45,'[1]0.1 Produksi Pangan &amp; Penduduk'!$D$5:$AQ$860,40,0))</f>
        <v/>
      </c>
      <c r="G45" s="29" t="str">
        <f t="shared" si="0"/>
        <v/>
      </c>
      <c r="H45" s="29" t="str">
        <f t="shared" si="1"/>
        <v/>
      </c>
      <c r="I45" s="29" t="str">
        <f t="shared" si="2"/>
        <v/>
      </c>
      <c r="J45" s="29" t="str">
        <f t="shared" si="3"/>
        <v/>
      </c>
      <c r="K45" s="29" t="str">
        <f t="shared" si="4"/>
        <v/>
      </c>
      <c r="M45" s="11"/>
    </row>
    <row r="46" spans="1:13" ht="15" x14ac:dyDescent="0.25">
      <c r="A46" s="1" t="str">
        <f>IF('1.1 Produksi Bersih Padi 2025'!A46="","",'1.1 Produksi Bersih Padi 2025'!A46)</f>
        <v/>
      </c>
      <c r="B46" s="31" t="str">
        <f>IF('1.1 Produksi Bersih Padi 2025'!B46="","",'1.1 Produksi Bersih Padi 2025'!B46)</f>
        <v/>
      </c>
      <c r="C46" s="31" t="str">
        <f>IF('1.1 Produksi Bersih Padi 2025'!C46="","",'1.1 Produksi Bersih Padi 2025'!C46)</f>
        <v/>
      </c>
      <c r="D46" s="1" t="str">
        <f>IF('1.1 Produksi Bersih Padi 2025'!D46="","",'1.1 Produksi Bersih Padi 2025'!D46)</f>
        <v/>
      </c>
      <c r="E46" s="1" t="str">
        <f>IF('1.1 Produksi Bersih Padi 2025'!E46="","",'1.1 Produksi Bersih Padi 2025'!E46)</f>
        <v/>
      </c>
      <c r="F46" s="28" t="str">
        <f>IF(D46="","",VLOOKUP(D46,'[1]0.1 Produksi Pangan &amp; Penduduk'!$D$5:$AQ$860,40,0))</f>
        <v/>
      </c>
      <c r="G46" s="29" t="str">
        <f t="shared" si="0"/>
        <v/>
      </c>
      <c r="H46" s="29" t="str">
        <f t="shared" si="1"/>
        <v/>
      </c>
      <c r="I46" s="29" t="str">
        <f t="shared" si="2"/>
        <v/>
      </c>
      <c r="J46" s="29" t="str">
        <f t="shared" si="3"/>
        <v/>
      </c>
      <c r="K46" s="29" t="str">
        <f t="shared" si="4"/>
        <v/>
      </c>
      <c r="M46" s="11"/>
    </row>
    <row r="47" spans="1:13" ht="15" x14ac:dyDescent="0.25">
      <c r="A47" s="1" t="str">
        <f>IF('1.1 Produksi Bersih Padi 2025'!A47="","",'1.1 Produksi Bersih Padi 2025'!A47)</f>
        <v/>
      </c>
      <c r="B47" s="31" t="str">
        <f>IF('1.1 Produksi Bersih Padi 2025'!B47="","",'1.1 Produksi Bersih Padi 2025'!B47)</f>
        <v/>
      </c>
      <c r="C47" s="31" t="str">
        <f>IF('1.1 Produksi Bersih Padi 2025'!C47="","",'1.1 Produksi Bersih Padi 2025'!C47)</f>
        <v/>
      </c>
      <c r="D47" s="1" t="str">
        <f>IF('1.1 Produksi Bersih Padi 2025'!D47="","",'1.1 Produksi Bersih Padi 2025'!D47)</f>
        <v/>
      </c>
      <c r="E47" s="1" t="str">
        <f>IF('1.1 Produksi Bersih Padi 2025'!E47="","",'1.1 Produksi Bersih Padi 2025'!E47)</f>
        <v/>
      </c>
      <c r="F47" s="28" t="str">
        <f>IF(D47="","",VLOOKUP(D47,'[1]0.1 Produksi Pangan &amp; Penduduk'!$D$5:$AQ$860,40,0))</f>
        <v/>
      </c>
      <c r="G47" s="29" t="str">
        <f t="shared" si="0"/>
        <v/>
      </c>
      <c r="H47" s="29" t="str">
        <f t="shared" si="1"/>
        <v/>
      </c>
      <c r="I47" s="29" t="str">
        <f t="shared" si="2"/>
        <v/>
      </c>
      <c r="J47" s="29" t="str">
        <f t="shared" si="3"/>
        <v/>
      </c>
      <c r="K47" s="29" t="str">
        <f t="shared" si="4"/>
        <v/>
      </c>
      <c r="M47" s="11"/>
    </row>
    <row r="48" spans="1:13" ht="15" x14ac:dyDescent="0.25">
      <c r="A48" s="1" t="str">
        <f>IF('1.1 Produksi Bersih Padi 2025'!A48="","",'1.1 Produksi Bersih Padi 2025'!A48)</f>
        <v/>
      </c>
      <c r="B48" s="31" t="str">
        <f>IF('1.1 Produksi Bersih Padi 2025'!B48="","",'1.1 Produksi Bersih Padi 2025'!B48)</f>
        <v/>
      </c>
      <c r="C48" s="31" t="str">
        <f>IF('1.1 Produksi Bersih Padi 2025'!C48="","",'1.1 Produksi Bersih Padi 2025'!C48)</f>
        <v/>
      </c>
      <c r="D48" s="1" t="str">
        <f>IF('1.1 Produksi Bersih Padi 2025'!D48="","",'1.1 Produksi Bersih Padi 2025'!D48)</f>
        <v/>
      </c>
      <c r="E48" s="1" t="str">
        <f>IF('1.1 Produksi Bersih Padi 2025'!E48="","",'1.1 Produksi Bersih Padi 2025'!E48)</f>
        <v/>
      </c>
      <c r="F48" s="28" t="str">
        <f>IF(D48="","",VLOOKUP(D48,'[1]0.1 Produksi Pangan &amp; Penduduk'!$D$5:$AQ$860,40,0))</f>
        <v/>
      </c>
      <c r="G48" s="29" t="str">
        <f t="shared" si="0"/>
        <v/>
      </c>
      <c r="H48" s="29" t="str">
        <f t="shared" si="1"/>
        <v/>
      </c>
      <c r="I48" s="29" t="str">
        <f t="shared" si="2"/>
        <v/>
      </c>
      <c r="J48" s="29" t="str">
        <f t="shared" si="3"/>
        <v/>
      </c>
      <c r="K48" s="29" t="str">
        <f t="shared" si="4"/>
        <v/>
      </c>
      <c r="M48" s="11"/>
    </row>
    <row r="49" spans="1:13" ht="15" x14ac:dyDescent="0.25">
      <c r="A49" s="1" t="str">
        <f>IF('1.1 Produksi Bersih Padi 2025'!A49="","",'1.1 Produksi Bersih Padi 2025'!A49)</f>
        <v/>
      </c>
      <c r="B49" s="31" t="str">
        <f>IF('1.1 Produksi Bersih Padi 2025'!B49="","",'1.1 Produksi Bersih Padi 2025'!B49)</f>
        <v/>
      </c>
      <c r="C49" s="31" t="str">
        <f>IF('1.1 Produksi Bersih Padi 2025'!C49="","",'1.1 Produksi Bersih Padi 2025'!C49)</f>
        <v/>
      </c>
      <c r="D49" s="1" t="str">
        <f>IF('1.1 Produksi Bersih Padi 2025'!D49="","",'1.1 Produksi Bersih Padi 2025'!D49)</f>
        <v/>
      </c>
      <c r="E49" s="1" t="str">
        <f>IF('1.1 Produksi Bersih Padi 2025'!E49="","",'1.1 Produksi Bersih Padi 2025'!E49)</f>
        <v/>
      </c>
      <c r="F49" s="28" t="str">
        <f>IF(D49="","",VLOOKUP(D49,'[1]0.1 Produksi Pangan &amp; Penduduk'!$D$5:$AQ$860,40,0))</f>
        <v/>
      </c>
      <c r="G49" s="29" t="str">
        <f t="shared" si="0"/>
        <v/>
      </c>
      <c r="H49" s="29" t="str">
        <f t="shared" si="1"/>
        <v/>
      </c>
      <c r="I49" s="29" t="str">
        <f t="shared" si="2"/>
        <v/>
      </c>
      <c r="J49" s="29" t="str">
        <f t="shared" si="3"/>
        <v/>
      </c>
      <c r="K49" s="29" t="str">
        <f t="shared" si="4"/>
        <v/>
      </c>
      <c r="M49" s="11"/>
    </row>
    <row r="50" spans="1:13" ht="15" x14ac:dyDescent="0.25">
      <c r="A50" s="1" t="str">
        <f>IF('1.1 Produksi Bersih Padi 2025'!A50="","",'1.1 Produksi Bersih Padi 2025'!A50)</f>
        <v/>
      </c>
      <c r="B50" s="31" t="str">
        <f>IF('1.1 Produksi Bersih Padi 2025'!B50="","",'1.1 Produksi Bersih Padi 2025'!B50)</f>
        <v/>
      </c>
      <c r="C50" s="31" t="str">
        <f>IF('1.1 Produksi Bersih Padi 2025'!C50="","",'1.1 Produksi Bersih Padi 2025'!C50)</f>
        <v/>
      </c>
      <c r="D50" s="1" t="str">
        <f>IF('1.1 Produksi Bersih Padi 2025'!D50="","",'1.1 Produksi Bersih Padi 2025'!D50)</f>
        <v/>
      </c>
      <c r="E50" s="1" t="str">
        <f>IF('1.1 Produksi Bersih Padi 2025'!E50="","",'1.1 Produksi Bersih Padi 2025'!E50)</f>
        <v/>
      </c>
      <c r="F50" s="28" t="str">
        <f>IF(D50="","",VLOOKUP(D50,'[1]0.1 Produksi Pangan &amp; Penduduk'!$D$5:$AQ$860,40,0))</f>
        <v/>
      </c>
      <c r="G50" s="29" t="str">
        <f t="shared" si="0"/>
        <v/>
      </c>
      <c r="H50" s="29" t="str">
        <f t="shared" si="1"/>
        <v/>
      </c>
      <c r="I50" s="29" t="str">
        <f t="shared" si="2"/>
        <v/>
      </c>
      <c r="J50" s="29" t="str">
        <f t="shared" si="3"/>
        <v/>
      </c>
      <c r="K50" s="29" t="str">
        <f t="shared" si="4"/>
        <v/>
      </c>
      <c r="M50" s="11"/>
    </row>
    <row r="51" spans="1:13" ht="15" x14ac:dyDescent="0.25">
      <c r="A51" s="1" t="str">
        <f>IF('1.1 Produksi Bersih Padi 2025'!A51="","",'1.1 Produksi Bersih Padi 2025'!A51)</f>
        <v/>
      </c>
      <c r="B51" s="31" t="str">
        <f>IF('1.1 Produksi Bersih Padi 2025'!B51="","",'1.1 Produksi Bersih Padi 2025'!B51)</f>
        <v/>
      </c>
      <c r="C51" s="31" t="str">
        <f>IF('1.1 Produksi Bersih Padi 2025'!C51="","",'1.1 Produksi Bersih Padi 2025'!C51)</f>
        <v/>
      </c>
      <c r="D51" s="1" t="str">
        <f>IF('1.1 Produksi Bersih Padi 2025'!D51="","",'1.1 Produksi Bersih Padi 2025'!D51)</f>
        <v/>
      </c>
      <c r="E51" s="1" t="str">
        <f>IF('1.1 Produksi Bersih Padi 2025'!E51="","",'1.1 Produksi Bersih Padi 2025'!E51)</f>
        <v/>
      </c>
      <c r="F51" s="28" t="str">
        <f>IF(D51="","",VLOOKUP(D51,'[1]0.1 Produksi Pangan &amp; Penduduk'!$D$5:$AQ$860,40,0))</f>
        <v/>
      </c>
      <c r="G51" s="29" t="str">
        <f t="shared" si="0"/>
        <v/>
      </c>
      <c r="H51" s="29" t="str">
        <f t="shared" si="1"/>
        <v/>
      </c>
      <c r="I51" s="29" t="str">
        <f t="shared" si="2"/>
        <v/>
      </c>
      <c r="J51" s="29" t="str">
        <f t="shared" si="3"/>
        <v/>
      </c>
      <c r="K51" s="29" t="str">
        <f t="shared" si="4"/>
        <v/>
      </c>
      <c r="M51" s="11"/>
    </row>
    <row r="52" spans="1:13" ht="15" x14ac:dyDescent="0.25">
      <c r="A52" s="1" t="str">
        <f>IF('1.1 Produksi Bersih Padi 2025'!A52="","",'1.1 Produksi Bersih Padi 2025'!A52)</f>
        <v/>
      </c>
      <c r="B52" s="31" t="str">
        <f>IF('1.1 Produksi Bersih Padi 2025'!B52="","",'1.1 Produksi Bersih Padi 2025'!B52)</f>
        <v/>
      </c>
      <c r="C52" s="31" t="str">
        <f>IF('1.1 Produksi Bersih Padi 2025'!C52="","",'1.1 Produksi Bersih Padi 2025'!C52)</f>
        <v/>
      </c>
      <c r="D52" s="1" t="str">
        <f>IF('1.1 Produksi Bersih Padi 2025'!D52="","",'1.1 Produksi Bersih Padi 2025'!D52)</f>
        <v/>
      </c>
      <c r="E52" s="1" t="str">
        <f>IF('1.1 Produksi Bersih Padi 2025'!E52="","",'1.1 Produksi Bersih Padi 2025'!E52)</f>
        <v/>
      </c>
      <c r="F52" s="28" t="str">
        <f>IF(D52="","",VLOOKUP(D52,'[1]0.1 Produksi Pangan &amp; Penduduk'!$D$5:$AQ$860,40,0))</f>
        <v/>
      </c>
      <c r="G52" s="29" t="str">
        <f t="shared" si="0"/>
        <v/>
      </c>
      <c r="H52" s="29" t="str">
        <f t="shared" si="1"/>
        <v/>
      </c>
      <c r="I52" s="29" t="str">
        <f t="shared" si="2"/>
        <v/>
      </c>
      <c r="J52" s="29" t="str">
        <f t="shared" si="3"/>
        <v/>
      </c>
      <c r="K52" s="29" t="str">
        <f t="shared" si="4"/>
        <v/>
      </c>
      <c r="M52" s="11"/>
    </row>
    <row r="53" spans="1:13" ht="15" x14ac:dyDescent="0.25">
      <c r="A53" s="1" t="str">
        <f>IF('1.1 Produksi Bersih Padi 2025'!A53="","",'1.1 Produksi Bersih Padi 2025'!A53)</f>
        <v/>
      </c>
      <c r="B53" s="31" t="str">
        <f>IF('1.1 Produksi Bersih Padi 2025'!B53="","",'1.1 Produksi Bersih Padi 2025'!B53)</f>
        <v/>
      </c>
      <c r="C53" s="31" t="str">
        <f>IF('1.1 Produksi Bersih Padi 2025'!C53="","",'1.1 Produksi Bersih Padi 2025'!C53)</f>
        <v/>
      </c>
      <c r="D53" s="1" t="str">
        <f>IF('1.1 Produksi Bersih Padi 2025'!D53="","",'1.1 Produksi Bersih Padi 2025'!D53)</f>
        <v/>
      </c>
      <c r="E53" s="1" t="str">
        <f>IF('1.1 Produksi Bersih Padi 2025'!E53="","",'1.1 Produksi Bersih Padi 2025'!E53)</f>
        <v/>
      </c>
      <c r="F53" s="28" t="str">
        <f>IF(D53="","",VLOOKUP(D53,'[1]0.1 Produksi Pangan &amp; Penduduk'!$D$5:$AQ$860,40,0))</f>
        <v/>
      </c>
      <c r="G53" s="29" t="str">
        <f t="shared" si="0"/>
        <v/>
      </c>
      <c r="H53" s="29" t="str">
        <f t="shared" si="1"/>
        <v/>
      </c>
      <c r="I53" s="29" t="str">
        <f t="shared" si="2"/>
        <v/>
      </c>
      <c r="J53" s="29" t="str">
        <f t="shared" si="3"/>
        <v/>
      </c>
      <c r="K53" s="29" t="str">
        <f t="shared" si="4"/>
        <v/>
      </c>
      <c r="M53" s="11"/>
    </row>
    <row r="54" spans="1:13" ht="15" x14ac:dyDescent="0.25">
      <c r="A54" s="1" t="str">
        <f>IF('1.1 Produksi Bersih Padi 2025'!A54="","",'1.1 Produksi Bersih Padi 2025'!A54)</f>
        <v/>
      </c>
      <c r="B54" s="31" t="str">
        <f>IF('1.1 Produksi Bersih Padi 2025'!B54="","",'1.1 Produksi Bersih Padi 2025'!B54)</f>
        <v/>
      </c>
      <c r="C54" s="31" t="str">
        <f>IF('1.1 Produksi Bersih Padi 2025'!C54="","",'1.1 Produksi Bersih Padi 2025'!C54)</f>
        <v/>
      </c>
      <c r="D54" s="1" t="str">
        <f>IF('1.1 Produksi Bersih Padi 2025'!D54="","",'1.1 Produksi Bersih Padi 2025'!D54)</f>
        <v/>
      </c>
      <c r="E54" s="1" t="str">
        <f>IF('1.1 Produksi Bersih Padi 2025'!E54="","",'1.1 Produksi Bersih Padi 2025'!E54)</f>
        <v/>
      </c>
      <c r="F54" s="28" t="str">
        <f>IF(D54="","",VLOOKUP(D54,'[1]0.1 Produksi Pangan &amp; Penduduk'!$D$5:$AQ$860,40,0))</f>
        <v/>
      </c>
      <c r="G54" s="29" t="str">
        <f t="shared" si="0"/>
        <v/>
      </c>
      <c r="H54" s="29" t="str">
        <f t="shared" si="1"/>
        <v/>
      </c>
      <c r="I54" s="29" t="str">
        <f t="shared" si="2"/>
        <v/>
      </c>
      <c r="J54" s="29" t="str">
        <f t="shared" si="3"/>
        <v/>
      </c>
      <c r="K54" s="29" t="str">
        <f t="shared" si="4"/>
        <v/>
      </c>
      <c r="M54" s="11"/>
    </row>
    <row r="55" spans="1:13" ht="15" x14ac:dyDescent="0.25">
      <c r="A55" s="1" t="str">
        <f>IF('1.1 Produksi Bersih Padi 2025'!A55="","",'1.1 Produksi Bersih Padi 2025'!A55)</f>
        <v/>
      </c>
      <c r="B55" s="31" t="str">
        <f>IF('1.1 Produksi Bersih Padi 2025'!B55="","",'1.1 Produksi Bersih Padi 2025'!B55)</f>
        <v/>
      </c>
      <c r="C55" s="31" t="str">
        <f>IF('1.1 Produksi Bersih Padi 2025'!C55="","",'1.1 Produksi Bersih Padi 2025'!C55)</f>
        <v/>
      </c>
      <c r="D55" s="1" t="str">
        <f>IF('1.1 Produksi Bersih Padi 2025'!D55="","",'1.1 Produksi Bersih Padi 2025'!D55)</f>
        <v/>
      </c>
      <c r="E55" s="1" t="str">
        <f>IF('1.1 Produksi Bersih Padi 2025'!E55="","",'1.1 Produksi Bersih Padi 2025'!E55)</f>
        <v/>
      </c>
      <c r="F55" s="28" t="str">
        <f>IF(D55="","",VLOOKUP(D55,'[1]0.1 Produksi Pangan &amp; Penduduk'!$D$5:$AQ$860,40,0))</f>
        <v/>
      </c>
      <c r="G55" s="29" t="str">
        <f t="shared" si="0"/>
        <v/>
      </c>
      <c r="H55" s="29" t="str">
        <f t="shared" si="1"/>
        <v/>
      </c>
      <c r="I55" s="29" t="str">
        <f t="shared" si="2"/>
        <v/>
      </c>
      <c r="J55" s="29" t="str">
        <f t="shared" si="3"/>
        <v/>
      </c>
      <c r="K55" s="29" t="str">
        <f t="shared" si="4"/>
        <v/>
      </c>
      <c r="M55" s="11"/>
    </row>
    <row r="56" spans="1:13" ht="15" x14ac:dyDescent="0.25">
      <c r="A56" s="1" t="str">
        <f>IF('1.1 Produksi Bersih Padi 2025'!A56="","",'1.1 Produksi Bersih Padi 2025'!A56)</f>
        <v/>
      </c>
      <c r="B56" s="31" t="str">
        <f>IF('1.1 Produksi Bersih Padi 2025'!B56="","",'1.1 Produksi Bersih Padi 2025'!B56)</f>
        <v/>
      </c>
      <c r="C56" s="31" t="str">
        <f>IF('1.1 Produksi Bersih Padi 2025'!C56="","",'1.1 Produksi Bersih Padi 2025'!C56)</f>
        <v/>
      </c>
      <c r="D56" s="1" t="str">
        <f>IF('1.1 Produksi Bersih Padi 2025'!D56="","",'1.1 Produksi Bersih Padi 2025'!D56)</f>
        <v/>
      </c>
      <c r="E56" s="1" t="str">
        <f>IF('1.1 Produksi Bersih Padi 2025'!E56="","",'1.1 Produksi Bersih Padi 2025'!E56)</f>
        <v/>
      </c>
      <c r="F56" s="28" t="str">
        <f>IF(D56="","",VLOOKUP(D56,'[1]0.1 Produksi Pangan &amp; Penduduk'!$D$5:$AQ$860,40,0))</f>
        <v/>
      </c>
      <c r="G56" s="29" t="str">
        <f t="shared" si="0"/>
        <v/>
      </c>
      <c r="H56" s="29" t="str">
        <f t="shared" si="1"/>
        <v/>
      </c>
      <c r="I56" s="29" t="str">
        <f t="shared" si="2"/>
        <v/>
      </c>
      <c r="J56" s="29" t="str">
        <f t="shared" si="3"/>
        <v/>
      </c>
      <c r="K56" s="29" t="str">
        <f t="shared" si="4"/>
        <v/>
      </c>
      <c r="M56" s="11"/>
    </row>
    <row r="57" spans="1:13" ht="15" x14ac:dyDescent="0.25">
      <c r="A57" s="1" t="str">
        <f>IF('1.1 Produksi Bersih Padi 2025'!A57="","",'1.1 Produksi Bersih Padi 2025'!A57)</f>
        <v/>
      </c>
      <c r="B57" s="31" t="str">
        <f>IF('1.1 Produksi Bersih Padi 2025'!B57="","",'1.1 Produksi Bersih Padi 2025'!B57)</f>
        <v/>
      </c>
      <c r="C57" s="31" t="str">
        <f>IF('1.1 Produksi Bersih Padi 2025'!C57="","",'1.1 Produksi Bersih Padi 2025'!C57)</f>
        <v/>
      </c>
      <c r="D57" s="1" t="str">
        <f>IF('1.1 Produksi Bersih Padi 2025'!D57="","",'1.1 Produksi Bersih Padi 2025'!D57)</f>
        <v/>
      </c>
      <c r="E57" s="1" t="str">
        <f>IF('1.1 Produksi Bersih Padi 2025'!E57="","",'1.1 Produksi Bersih Padi 2025'!E57)</f>
        <v/>
      </c>
      <c r="F57" s="28" t="str">
        <f>IF(D57="","",VLOOKUP(D57,'[1]0.1 Produksi Pangan &amp; Penduduk'!$D$5:$AQ$860,40,0))</f>
        <v/>
      </c>
      <c r="G57" s="29" t="str">
        <f t="shared" si="0"/>
        <v/>
      </c>
      <c r="H57" s="29" t="str">
        <f t="shared" si="1"/>
        <v/>
      </c>
      <c r="I57" s="29" t="str">
        <f t="shared" si="2"/>
        <v/>
      </c>
      <c r="J57" s="29" t="str">
        <f t="shared" si="3"/>
        <v/>
      </c>
      <c r="K57" s="29" t="str">
        <f t="shared" si="4"/>
        <v/>
      </c>
      <c r="M57" s="11"/>
    </row>
    <row r="58" spans="1:13" ht="15" x14ac:dyDescent="0.25">
      <c r="A58" s="1" t="str">
        <f>IF('1.1 Produksi Bersih Padi 2025'!A58="","",'1.1 Produksi Bersih Padi 2025'!A58)</f>
        <v/>
      </c>
      <c r="B58" s="31" t="str">
        <f>IF('1.1 Produksi Bersih Padi 2025'!B58="","",'1.1 Produksi Bersih Padi 2025'!B58)</f>
        <v/>
      </c>
      <c r="C58" s="31" t="str">
        <f>IF('1.1 Produksi Bersih Padi 2025'!C58="","",'1.1 Produksi Bersih Padi 2025'!C58)</f>
        <v/>
      </c>
      <c r="D58" s="1" t="str">
        <f>IF('1.1 Produksi Bersih Padi 2025'!D58="","",'1.1 Produksi Bersih Padi 2025'!D58)</f>
        <v/>
      </c>
      <c r="E58" s="1" t="str">
        <f>IF('1.1 Produksi Bersih Padi 2025'!E58="","",'1.1 Produksi Bersih Padi 2025'!E58)</f>
        <v/>
      </c>
      <c r="F58" s="28" t="str">
        <f>IF(D58="","",VLOOKUP(D58,'[1]0.1 Produksi Pangan &amp; Penduduk'!$D$5:$AQ$860,40,0))</f>
        <v/>
      </c>
      <c r="G58" s="29" t="str">
        <f t="shared" si="0"/>
        <v/>
      </c>
      <c r="H58" s="29" t="str">
        <f t="shared" si="1"/>
        <v/>
      </c>
      <c r="I58" s="29" t="str">
        <f t="shared" si="2"/>
        <v/>
      </c>
      <c r="J58" s="29" t="str">
        <f t="shared" si="3"/>
        <v/>
      </c>
      <c r="K58" s="29" t="str">
        <f t="shared" si="4"/>
        <v/>
      </c>
      <c r="M58" s="11"/>
    </row>
    <row r="59" spans="1:13" ht="15" x14ac:dyDescent="0.25">
      <c r="A59" s="1" t="str">
        <f>IF('1.1 Produksi Bersih Padi 2025'!A59="","",'1.1 Produksi Bersih Padi 2025'!A59)</f>
        <v/>
      </c>
      <c r="B59" s="31" t="str">
        <f>IF('1.1 Produksi Bersih Padi 2025'!B59="","",'1.1 Produksi Bersih Padi 2025'!B59)</f>
        <v/>
      </c>
      <c r="C59" s="31" t="str">
        <f>IF('1.1 Produksi Bersih Padi 2025'!C59="","",'1.1 Produksi Bersih Padi 2025'!C59)</f>
        <v/>
      </c>
      <c r="D59" s="1" t="str">
        <f>IF('1.1 Produksi Bersih Padi 2025'!D59="","",'1.1 Produksi Bersih Padi 2025'!D59)</f>
        <v/>
      </c>
      <c r="E59" s="1" t="str">
        <f>IF('1.1 Produksi Bersih Padi 2025'!E59="","",'1.1 Produksi Bersih Padi 2025'!E59)</f>
        <v/>
      </c>
      <c r="F59" s="28" t="str">
        <f>IF(D59="","",VLOOKUP(D59,'[1]0.1 Produksi Pangan &amp; Penduduk'!$D$5:$AQ$860,40,0))</f>
        <v/>
      </c>
      <c r="G59" s="29" t="str">
        <f t="shared" si="0"/>
        <v/>
      </c>
      <c r="H59" s="29" t="str">
        <f t="shared" si="1"/>
        <v/>
      </c>
      <c r="I59" s="29" t="str">
        <f t="shared" si="2"/>
        <v/>
      </c>
      <c r="J59" s="29" t="str">
        <f t="shared" si="3"/>
        <v/>
      </c>
      <c r="K59" s="29" t="str">
        <f t="shared" si="4"/>
        <v/>
      </c>
      <c r="M59" s="11"/>
    </row>
    <row r="60" spans="1:13" ht="15" x14ac:dyDescent="0.25">
      <c r="A60" s="1" t="str">
        <f>IF('1.1 Produksi Bersih Padi 2025'!A60="","",'1.1 Produksi Bersih Padi 2025'!A60)</f>
        <v/>
      </c>
      <c r="B60" s="31" t="str">
        <f>IF('1.1 Produksi Bersih Padi 2025'!B60="","",'1.1 Produksi Bersih Padi 2025'!B60)</f>
        <v/>
      </c>
      <c r="C60" s="31" t="str">
        <f>IF('1.1 Produksi Bersih Padi 2025'!C60="","",'1.1 Produksi Bersih Padi 2025'!C60)</f>
        <v/>
      </c>
      <c r="D60" s="1" t="str">
        <f>IF('1.1 Produksi Bersih Padi 2025'!D60="","",'1.1 Produksi Bersih Padi 2025'!D60)</f>
        <v/>
      </c>
      <c r="E60" s="1" t="str">
        <f>IF('1.1 Produksi Bersih Padi 2025'!E60="","",'1.1 Produksi Bersih Padi 2025'!E60)</f>
        <v/>
      </c>
      <c r="F60" s="28" t="str">
        <f>IF(D60="","",VLOOKUP(D60,'[1]0.1 Produksi Pangan &amp; Penduduk'!$D$5:$AQ$860,40,0))</f>
        <v/>
      </c>
      <c r="G60" s="29" t="str">
        <f t="shared" si="0"/>
        <v/>
      </c>
      <c r="H60" s="29" t="str">
        <f t="shared" si="1"/>
        <v/>
      </c>
      <c r="I60" s="29" t="str">
        <f t="shared" si="2"/>
        <v/>
      </c>
      <c r="J60" s="29" t="str">
        <f t="shared" si="3"/>
        <v/>
      </c>
      <c r="K60" s="29" t="str">
        <f t="shared" si="4"/>
        <v/>
      </c>
      <c r="M60" s="11"/>
    </row>
    <row r="61" spans="1:13" ht="15" x14ac:dyDescent="0.25">
      <c r="A61" s="1" t="str">
        <f>IF('1.1 Produksi Bersih Padi 2025'!A61="","",'1.1 Produksi Bersih Padi 2025'!A61)</f>
        <v/>
      </c>
      <c r="B61" s="31" t="str">
        <f>IF('1.1 Produksi Bersih Padi 2025'!B61="","",'1.1 Produksi Bersih Padi 2025'!B61)</f>
        <v/>
      </c>
      <c r="C61" s="31" t="str">
        <f>IF('1.1 Produksi Bersih Padi 2025'!C61="","",'1.1 Produksi Bersih Padi 2025'!C61)</f>
        <v/>
      </c>
      <c r="D61" s="1" t="str">
        <f>IF('1.1 Produksi Bersih Padi 2025'!D61="","",'1.1 Produksi Bersih Padi 2025'!D61)</f>
        <v/>
      </c>
      <c r="E61" s="1" t="str">
        <f>IF('1.1 Produksi Bersih Padi 2025'!E61="","",'1.1 Produksi Bersih Padi 2025'!E61)</f>
        <v/>
      </c>
      <c r="F61" s="28" t="str">
        <f>IF(D61="","",VLOOKUP(D61,'[1]0.1 Produksi Pangan &amp; Penduduk'!$D$5:$AQ$860,40,0))</f>
        <v/>
      </c>
      <c r="G61" s="29" t="str">
        <f t="shared" si="0"/>
        <v/>
      </c>
      <c r="H61" s="29" t="str">
        <f t="shared" si="1"/>
        <v/>
      </c>
      <c r="I61" s="29" t="str">
        <f t="shared" si="2"/>
        <v/>
      </c>
      <c r="J61" s="29" t="str">
        <f t="shared" si="3"/>
        <v/>
      </c>
      <c r="K61" s="29" t="str">
        <f t="shared" si="4"/>
        <v/>
      </c>
      <c r="M61" s="11"/>
    </row>
    <row r="62" spans="1:13" ht="15" x14ac:dyDescent="0.25">
      <c r="A62" s="1" t="str">
        <f>IF('1.1 Produksi Bersih Padi 2025'!A62="","",'1.1 Produksi Bersih Padi 2025'!A62)</f>
        <v/>
      </c>
      <c r="B62" s="31" t="str">
        <f>IF('1.1 Produksi Bersih Padi 2025'!B62="","",'1.1 Produksi Bersih Padi 2025'!B62)</f>
        <v/>
      </c>
      <c r="C62" s="31" t="str">
        <f>IF('1.1 Produksi Bersih Padi 2025'!C62="","",'1.1 Produksi Bersih Padi 2025'!C62)</f>
        <v/>
      </c>
      <c r="D62" s="1" t="str">
        <f>IF('1.1 Produksi Bersih Padi 2025'!D62="","",'1.1 Produksi Bersih Padi 2025'!D62)</f>
        <v/>
      </c>
      <c r="E62" s="1" t="str">
        <f>IF('1.1 Produksi Bersih Padi 2025'!E62="","",'1.1 Produksi Bersih Padi 2025'!E62)</f>
        <v/>
      </c>
      <c r="F62" s="28" t="str">
        <f>IF(D62="","",VLOOKUP(D62,'[1]0.1 Produksi Pangan &amp; Penduduk'!$D$5:$AQ$860,40,0))</f>
        <v/>
      </c>
      <c r="G62" s="29" t="str">
        <f t="shared" si="0"/>
        <v/>
      </c>
      <c r="H62" s="29" t="str">
        <f t="shared" si="1"/>
        <v/>
      </c>
      <c r="I62" s="29" t="str">
        <f t="shared" si="2"/>
        <v/>
      </c>
      <c r="J62" s="29" t="str">
        <f t="shared" si="3"/>
        <v/>
      </c>
      <c r="K62" s="29" t="str">
        <f t="shared" si="4"/>
        <v/>
      </c>
      <c r="M62" s="11"/>
    </row>
    <row r="63" spans="1:13" ht="15" x14ac:dyDescent="0.25">
      <c r="A63" s="1" t="str">
        <f>IF('1.1 Produksi Bersih Padi 2025'!A63="","",'1.1 Produksi Bersih Padi 2025'!A63)</f>
        <v/>
      </c>
      <c r="B63" s="31" t="str">
        <f>IF('1.1 Produksi Bersih Padi 2025'!B63="","",'1.1 Produksi Bersih Padi 2025'!B63)</f>
        <v/>
      </c>
      <c r="C63" s="31" t="str">
        <f>IF('1.1 Produksi Bersih Padi 2025'!C63="","",'1.1 Produksi Bersih Padi 2025'!C63)</f>
        <v/>
      </c>
      <c r="D63" s="1" t="str">
        <f>IF('1.1 Produksi Bersih Padi 2025'!D63="","",'1.1 Produksi Bersih Padi 2025'!D63)</f>
        <v/>
      </c>
      <c r="E63" s="1" t="str">
        <f>IF('1.1 Produksi Bersih Padi 2025'!E63="","",'1.1 Produksi Bersih Padi 2025'!E63)</f>
        <v/>
      </c>
      <c r="F63" s="28" t="str">
        <f>IF(D63="","",VLOOKUP(D63,'[1]0.1 Produksi Pangan &amp; Penduduk'!$D$5:$AQ$860,40,0))</f>
        <v/>
      </c>
      <c r="G63" s="29" t="str">
        <f t="shared" si="0"/>
        <v/>
      </c>
      <c r="H63" s="29" t="str">
        <f t="shared" si="1"/>
        <v/>
      </c>
      <c r="I63" s="29" t="str">
        <f t="shared" si="2"/>
        <v/>
      </c>
      <c r="J63" s="29" t="str">
        <f t="shared" si="3"/>
        <v/>
      </c>
      <c r="K63" s="29" t="str">
        <f t="shared" si="4"/>
        <v/>
      </c>
      <c r="M63" s="11"/>
    </row>
    <row r="64" spans="1:13" ht="15" x14ac:dyDescent="0.25">
      <c r="A64" s="1" t="str">
        <f>IF('1.1 Produksi Bersih Padi 2025'!A64="","",'1.1 Produksi Bersih Padi 2025'!A64)</f>
        <v/>
      </c>
      <c r="B64" s="31" t="str">
        <f>IF('1.1 Produksi Bersih Padi 2025'!B64="","",'1.1 Produksi Bersih Padi 2025'!B64)</f>
        <v/>
      </c>
      <c r="C64" s="31" t="str">
        <f>IF('1.1 Produksi Bersih Padi 2025'!C64="","",'1.1 Produksi Bersih Padi 2025'!C64)</f>
        <v/>
      </c>
      <c r="D64" s="1" t="str">
        <f>IF('1.1 Produksi Bersih Padi 2025'!D64="","",'1.1 Produksi Bersih Padi 2025'!D64)</f>
        <v/>
      </c>
      <c r="E64" s="1" t="str">
        <f>IF('1.1 Produksi Bersih Padi 2025'!E64="","",'1.1 Produksi Bersih Padi 2025'!E64)</f>
        <v/>
      </c>
      <c r="F64" s="28" t="str">
        <f>IF(D64="","",VLOOKUP(D64,'[1]0.1 Produksi Pangan &amp; Penduduk'!$D$5:$AQ$860,40,0))</f>
        <v/>
      </c>
      <c r="G64" s="29" t="str">
        <f t="shared" si="0"/>
        <v/>
      </c>
      <c r="H64" s="29" t="str">
        <f t="shared" si="1"/>
        <v/>
      </c>
      <c r="I64" s="29" t="str">
        <f t="shared" si="2"/>
        <v/>
      </c>
      <c r="J64" s="29" t="str">
        <f t="shared" si="3"/>
        <v/>
      </c>
      <c r="K64" s="29" t="str">
        <f t="shared" si="4"/>
        <v/>
      </c>
      <c r="M64" s="11"/>
    </row>
    <row r="65" spans="1:13" ht="15" x14ac:dyDescent="0.25">
      <c r="A65" s="1" t="str">
        <f>IF('1.1 Produksi Bersih Padi 2025'!A65="","",'1.1 Produksi Bersih Padi 2025'!A65)</f>
        <v/>
      </c>
      <c r="B65" s="31" t="str">
        <f>IF('1.1 Produksi Bersih Padi 2025'!B65="","",'1.1 Produksi Bersih Padi 2025'!B65)</f>
        <v/>
      </c>
      <c r="C65" s="31" t="str">
        <f>IF('1.1 Produksi Bersih Padi 2025'!C65="","",'1.1 Produksi Bersih Padi 2025'!C65)</f>
        <v/>
      </c>
      <c r="D65" s="1" t="str">
        <f>IF('1.1 Produksi Bersih Padi 2025'!D65="","",'1.1 Produksi Bersih Padi 2025'!D65)</f>
        <v/>
      </c>
      <c r="E65" s="1" t="str">
        <f>IF('1.1 Produksi Bersih Padi 2025'!E65="","",'1.1 Produksi Bersih Padi 2025'!E65)</f>
        <v/>
      </c>
      <c r="F65" s="28" t="str">
        <f>IF(D65="","",VLOOKUP(D65,'[1]0.1 Produksi Pangan &amp; Penduduk'!$D$5:$AQ$860,40,0))</f>
        <v/>
      </c>
      <c r="G65" s="29" t="str">
        <f t="shared" si="0"/>
        <v/>
      </c>
      <c r="H65" s="29" t="str">
        <f t="shared" si="1"/>
        <v/>
      </c>
      <c r="I65" s="29" t="str">
        <f t="shared" si="2"/>
        <v/>
      </c>
      <c r="J65" s="29" t="str">
        <f t="shared" si="3"/>
        <v/>
      </c>
      <c r="K65" s="29" t="str">
        <f t="shared" si="4"/>
        <v/>
      </c>
      <c r="M65" s="11"/>
    </row>
    <row r="66" spans="1:13" ht="15" x14ac:dyDescent="0.25">
      <c r="A66" s="1" t="str">
        <f>IF('1.1 Produksi Bersih Padi 2025'!A66="","",'1.1 Produksi Bersih Padi 2025'!A66)</f>
        <v/>
      </c>
      <c r="B66" s="31" t="str">
        <f>IF('1.1 Produksi Bersih Padi 2025'!B66="","",'1.1 Produksi Bersih Padi 2025'!B66)</f>
        <v/>
      </c>
      <c r="C66" s="31" t="str">
        <f>IF('1.1 Produksi Bersih Padi 2025'!C66="","",'1.1 Produksi Bersih Padi 2025'!C66)</f>
        <v/>
      </c>
      <c r="D66" s="1" t="str">
        <f>IF('1.1 Produksi Bersih Padi 2025'!D66="","",'1.1 Produksi Bersih Padi 2025'!D66)</f>
        <v/>
      </c>
      <c r="E66" s="1" t="str">
        <f>IF('1.1 Produksi Bersih Padi 2025'!E66="","",'1.1 Produksi Bersih Padi 2025'!E66)</f>
        <v/>
      </c>
      <c r="F66" s="28" t="str">
        <f>IF(D66="","",VLOOKUP(D66,'[1]0.1 Produksi Pangan &amp; Penduduk'!$D$5:$AQ$860,40,0))</f>
        <v/>
      </c>
      <c r="G66" s="29" t="str">
        <f t="shared" si="0"/>
        <v/>
      </c>
      <c r="H66" s="29" t="str">
        <f t="shared" si="1"/>
        <v/>
      </c>
      <c r="I66" s="29" t="str">
        <f t="shared" si="2"/>
        <v/>
      </c>
      <c r="J66" s="29" t="str">
        <f t="shared" si="3"/>
        <v/>
      </c>
      <c r="K66" s="29" t="str">
        <f t="shared" si="4"/>
        <v/>
      </c>
      <c r="M66" s="11"/>
    </row>
    <row r="67" spans="1:13" ht="15" x14ac:dyDescent="0.25">
      <c r="A67" s="1" t="str">
        <f>IF('1.1 Produksi Bersih Padi 2025'!A67="","",'1.1 Produksi Bersih Padi 2025'!A67)</f>
        <v/>
      </c>
      <c r="B67" s="31" t="str">
        <f>IF('1.1 Produksi Bersih Padi 2025'!B67="","",'1.1 Produksi Bersih Padi 2025'!B67)</f>
        <v/>
      </c>
      <c r="C67" s="31" t="str">
        <f>IF('1.1 Produksi Bersih Padi 2025'!C67="","",'1.1 Produksi Bersih Padi 2025'!C67)</f>
        <v/>
      </c>
      <c r="D67" s="1" t="str">
        <f>IF('1.1 Produksi Bersih Padi 2025'!D67="","",'1.1 Produksi Bersih Padi 2025'!D67)</f>
        <v/>
      </c>
      <c r="E67" s="1" t="str">
        <f>IF('1.1 Produksi Bersih Padi 2025'!E67="","",'1.1 Produksi Bersih Padi 2025'!E67)</f>
        <v/>
      </c>
      <c r="F67" s="28" t="str">
        <f>IF(D67="","",VLOOKUP(D67,'[1]0.1 Produksi Pangan &amp; Penduduk'!$D$5:$AQ$860,40,0))</f>
        <v/>
      </c>
      <c r="G67" s="29" t="str">
        <f t="shared" si="0"/>
        <v/>
      </c>
      <c r="H67" s="29" t="str">
        <f t="shared" si="1"/>
        <v/>
      </c>
      <c r="I67" s="29" t="str">
        <f t="shared" si="2"/>
        <v/>
      </c>
      <c r="J67" s="29" t="str">
        <f t="shared" si="3"/>
        <v/>
      </c>
      <c r="K67" s="29" t="str">
        <f t="shared" si="4"/>
        <v/>
      </c>
      <c r="M67" s="11"/>
    </row>
    <row r="68" spans="1:13" ht="15" x14ac:dyDescent="0.25">
      <c r="A68" s="1" t="str">
        <f>IF('1.1 Produksi Bersih Padi 2025'!A68="","",'1.1 Produksi Bersih Padi 2025'!A68)</f>
        <v/>
      </c>
      <c r="B68" s="31" t="str">
        <f>IF('1.1 Produksi Bersih Padi 2025'!B68="","",'1.1 Produksi Bersih Padi 2025'!B68)</f>
        <v/>
      </c>
      <c r="C68" s="31" t="str">
        <f>IF('1.1 Produksi Bersih Padi 2025'!C68="","",'1.1 Produksi Bersih Padi 2025'!C68)</f>
        <v/>
      </c>
      <c r="D68" s="1" t="str">
        <f>IF('1.1 Produksi Bersih Padi 2025'!D68="","",'1.1 Produksi Bersih Padi 2025'!D68)</f>
        <v/>
      </c>
      <c r="E68" s="1" t="str">
        <f>IF('1.1 Produksi Bersih Padi 2025'!E68="","",'1.1 Produksi Bersih Padi 2025'!E68)</f>
        <v/>
      </c>
      <c r="F68" s="28" t="str">
        <f>IF(D68="","",VLOOKUP(D68,'[1]0.1 Produksi Pangan &amp; Penduduk'!$D$5:$AQ$860,40,0))</f>
        <v/>
      </c>
      <c r="G68" s="29" t="str">
        <f t="shared" si="0"/>
        <v/>
      </c>
      <c r="H68" s="29" t="str">
        <f t="shared" si="1"/>
        <v/>
      </c>
      <c r="I68" s="29" t="str">
        <f t="shared" si="2"/>
        <v/>
      </c>
      <c r="J68" s="29" t="str">
        <f t="shared" si="3"/>
        <v/>
      </c>
      <c r="K68" s="29" t="str">
        <f t="shared" si="4"/>
        <v/>
      </c>
      <c r="M68" s="11"/>
    </row>
    <row r="69" spans="1:13" ht="15" x14ac:dyDescent="0.25">
      <c r="A69" s="1" t="str">
        <f>IF('1.1 Produksi Bersih Padi 2025'!A69="","",'1.1 Produksi Bersih Padi 2025'!A69)</f>
        <v/>
      </c>
      <c r="B69" s="31" t="str">
        <f>IF('1.1 Produksi Bersih Padi 2025'!B69="","",'1.1 Produksi Bersih Padi 2025'!B69)</f>
        <v/>
      </c>
      <c r="C69" s="31" t="str">
        <f>IF('1.1 Produksi Bersih Padi 2025'!C69="","",'1.1 Produksi Bersih Padi 2025'!C69)</f>
        <v/>
      </c>
      <c r="D69" s="1" t="str">
        <f>IF('1.1 Produksi Bersih Padi 2025'!D69="","",'1.1 Produksi Bersih Padi 2025'!D69)</f>
        <v/>
      </c>
      <c r="E69" s="1" t="str">
        <f>IF('1.1 Produksi Bersih Padi 2025'!E69="","",'1.1 Produksi Bersih Padi 2025'!E69)</f>
        <v/>
      </c>
      <c r="F69" s="28" t="str">
        <f>IF(D69="","",VLOOKUP(D69,'[1]0.1 Produksi Pangan &amp; Penduduk'!$D$5:$AQ$860,40,0))</f>
        <v/>
      </c>
      <c r="G69" s="29" t="str">
        <f t="shared" si="0"/>
        <v/>
      </c>
      <c r="H69" s="29" t="str">
        <f t="shared" si="1"/>
        <v/>
      </c>
      <c r="I69" s="29" t="str">
        <f t="shared" si="2"/>
        <v/>
      </c>
      <c r="J69" s="29" t="str">
        <f t="shared" si="3"/>
        <v/>
      </c>
      <c r="K69" s="29" t="str">
        <f t="shared" si="4"/>
        <v/>
      </c>
      <c r="M69" s="11"/>
    </row>
    <row r="70" spans="1:13" ht="15" x14ac:dyDescent="0.25">
      <c r="A70" s="1" t="str">
        <f>IF('1.1 Produksi Bersih Padi 2025'!A70="","",'1.1 Produksi Bersih Padi 2025'!A70)</f>
        <v/>
      </c>
      <c r="B70" s="31" t="str">
        <f>IF('1.1 Produksi Bersih Padi 2025'!B70="","",'1.1 Produksi Bersih Padi 2025'!B70)</f>
        <v/>
      </c>
      <c r="C70" s="31" t="str">
        <f>IF('1.1 Produksi Bersih Padi 2025'!C70="","",'1.1 Produksi Bersih Padi 2025'!C70)</f>
        <v/>
      </c>
      <c r="D70" s="1" t="str">
        <f>IF('1.1 Produksi Bersih Padi 2025'!D70="","",'1.1 Produksi Bersih Padi 2025'!D70)</f>
        <v/>
      </c>
      <c r="E70" s="1" t="str">
        <f>IF('1.1 Produksi Bersih Padi 2025'!E70="","",'1.1 Produksi Bersih Padi 2025'!E70)</f>
        <v/>
      </c>
      <c r="F70" s="28" t="str">
        <f>IF(D70="","",VLOOKUP(D70,'[1]0.1 Produksi Pangan &amp; Penduduk'!$D$5:$AQ$860,40,0))</f>
        <v/>
      </c>
      <c r="G70" s="29" t="str">
        <f t="shared" ref="G70:G133" si="5">IF(F70="","",F70*0%)</f>
        <v/>
      </c>
      <c r="H70" s="29" t="str">
        <f t="shared" ref="H70:H133" si="6">IF(F70="","",F70*0%)</f>
        <v/>
      </c>
      <c r="I70" s="29" t="str">
        <f t="shared" ref="I70:I133" si="7">IF(F70="","",F70*1.11%)</f>
        <v/>
      </c>
      <c r="J70" s="29" t="str">
        <f t="shared" ref="J70:J133" si="8">IF(F70="","",F70-(G70+H70+I70))</f>
        <v/>
      </c>
      <c r="K70" s="29" t="str">
        <f t="shared" ref="K70:K133" si="9">IF(J70="","",J70*0.134)</f>
        <v/>
      </c>
      <c r="M70" s="11"/>
    </row>
    <row r="71" spans="1:13" ht="15" x14ac:dyDescent="0.25">
      <c r="A71" s="1" t="str">
        <f>IF('1.1 Produksi Bersih Padi 2025'!A71="","",'1.1 Produksi Bersih Padi 2025'!A71)</f>
        <v/>
      </c>
      <c r="B71" s="31" t="str">
        <f>IF('1.1 Produksi Bersih Padi 2025'!B71="","",'1.1 Produksi Bersih Padi 2025'!B71)</f>
        <v/>
      </c>
      <c r="C71" s="31" t="str">
        <f>IF('1.1 Produksi Bersih Padi 2025'!C71="","",'1.1 Produksi Bersih Padi 2025'!C71)</f>
        <v/>
      </c>
      <c r="D71" s="1" t="str">
        <f>IF('1.1 Produksi Bersih Padi 2025'!D71="","",'1.1 Produksi Bersih Padi 2025'!D71)</f>
        <v/>
      </c>
      <c r="E71" s="1" t="str">
        <f>IF('1.1 Produksi Bersih Padi 2025'!E71="","",'1.1 Produksi Bersih Padi 2025'!E71)</f>
        <v/>
      </c>
      <c r="F71" s="28" t="str">
        <f>IF(D71="","",VLOOKUP(D71,'[1]0.1 Produksi Pangan &amp; Penduduk'!$D$5:$AQ$860,40,0))</f>
        <v/>
      </c>
      <c r="G71" s="29" t="str">
        <f t="shared" si="5"/>
        <v/>
      </c>
      <c r="H71" s="29" t="str">
        <f t="shared" si="6"/>
        <v/>
      </c>
      <c r="I71" s="29" t="str">
        <f t="shared" si="7"/>
        <v/>
      </c>
      <c r="J71" s="29" t="str">
        <f t="shared" si="8"/>
        <v/>
      </c>
      <c r="K71" s="29" t="str">
        <f t="shared" si="9"/>
        <v/>
      </c>
      <c r="M71" s="11"/>
    </row>
    <row r="72" spans="1:13" ht="15" x14ac:dyDescent="0.25">
      <c r="A72" s="1" t="str">
        <f>IF('1.1 Produksi Bersih Padi 2025'!A72="","",'1.1 Produksi Bersih Padi 2025'!A72)</f>
        <v/>
      </c>
      <c r="B72" s="31" t="str">
        <f>IF('1.1 Produksi Bersih Padi 2025'!B72="","",'1.1 Produksi Bersih Padi 2025'!B72)</f>
        <v/>
      </c>
      <c r="C72" s="31" t="str">
        <f>IF('1.1 Produksi Bersih Padi 2025'!C72="","",'1.1 Produksi Bersih Padi 2025'!C72)</f>
        <v/>
      </c>
      <c r="D72" s="1" t="str">
        <f>IF('1.1 Produksi Bersih Padi 2025'!D72="","",'1.1 Produksi Bersih Padi 2025'!D72)</f>
        <v/>
      </c>
      <c r="E72" s="1" t="str">
        <f>IF('1.1 Produksi Bersih Padi 2025'!E72="","",'1.1 Produksi Bersih Padi 2025'!E72)</f>
        <v/>
      </c>
      <c r="F72" s="28" t="str">
        <f>IF(D72="","",VLOOKUP(D72,'[1]0.1 Produksi Pangan &amp; Penduduk'!$D$5:$AQ$860,40,0))</f>
        <v/>
      </c>
      <c r="G72" s="29" t="str">
        <f t="shared" si="5"/>
        <v/>
      </c>
      <c r="H72" s="29" t="str">
        <f t="shared" si="6"/>
        <v/>
      </c>
      <c r="I72" s="29" t="str">
        <f t="shared" si="7"/>
        <v/>
      </c>
      <c r="J72" s="29" t="str">
        <f t="shared" si="8"/>
        <v/>
      </c>
      <c r="K72" s="29" t="str">
        <f t="shared" si="9"/>
        <v/>
      </c>
      <c r="M72" s="11"/>
    </row>
    <row r="73" spans="1:13" ht="15" x14ac:dyDescent="0.25">
      <c r="A73" s="1" t="str">
        <f>IF('1.1 Produksi Bersih Padi 2025'!A73="","",'1.1 Produksi Bersih Padi 2025'!A73)</f>
        <v/>
      </c>
      <c r="B73" s="31" t="str">
        <f>IF('1.1 Produksi Bersih Padi 2025'!B73="","",'1.1 Produksi Bersih Padi 2025'!B73)</f>
        <v/>
      </c>
      <c r="C73" s="31" t="str">
        <f>IF('1.1 Produksi Bersih Padi 2025'!C73="","",'1.1 Produksi Bersih Padi 2025'!C73)</f>
        <v/>
      </c>
      <c r="D73" s="1" t="str">
        <f>IF('1.1 Produksi Bersih Padi 2025'!D73="","",'1.1 Produksi Bersih Padi 2025'!D73)</f>
        <v/>
      </c>
      <c r="E73" s="1" t="str">
        <f>IF('1.1 Produksi Bersih Padi 2025'!E73="","",'1.1 Produksi Bersih Padi 2025'!E73)</f>
        <v/>
      </c>
      <c r="F73" s="28" t="str">
        <f>IF(D73="","",VLOOKUP(D73,'[1]0.1 Produksi Pangan &amp; Penduduk'!$D$5:$AQ$860,40,0))</f>
        <v/>
      </c>
      <c r="G73" s="29" t="str">
        <f t="shared" si="5"/>
        <v/>
      </c>
      <c r="H73" s="29" t="str">
        <f t="shared" si="6"/>
        <v/>
      </c>
      <c r="I73" s="29" t="str">
        <f t="shared" si="7"/>
        <v/>
      </c>
      <c r="J73" s="29" t="str">
        <f t="shared" si="8"/>
        <v/>
      </c>
      <c r="K73" s="29" t="str">
        <f t="shared" si="9"/>
        <v/>
      </c>
      <c r="M73" s="11"/>
    </row>
    <row r="74" spans="1:13" ht="15" x14ac:dyDescent="0.25">
      <c r="A74" s="1" t="str">
        <f>IF('1.1 Produksi Bersih Padi 2025'!A74="","",'1.1 Produksi Bersih Padi 2025'!A74)</f>
        <v/>
      </c>
      <c r="B74" s="31" t="str">
        <f>IF('1.1 Produksi Bersih Padi 2025'!B74="","",'1.1 Produksi Bersih Padi 2025'!B74)</f>
        <v/>
      </c>
      <c r="C74" s="31" t="str">
        <f>IF('1.1 Produksi Bersih Padi 2025'!C74="","",'1.1 Produksi Bersih Padi 2025'!C74)</f>
        <v/>
      </c>
      <c r="D74" s="1" t="str">
        <f>IF('1.1 Produksi Bersih Padi 2025'!D74="","",'1.1 Produksi Bersih Padi 2025'!D74)</f>
        <v/>
      </c>
      <c r="E74" s="1" t="str">
        <f>IF('1.1 Produksi Bersih Padi 2025'!E74="","",'1.1 Produksi Bersih Padi 2025'!E74)</f>
        <v/>
      </c>
      <c r="F74" s="28" t="str">
        <f>IF(D74="","",VLOOKUP(D74,'[1]0.1 Produksi Pangan &amp; Penduduk'!$D$5:$AQ$860,40,0))</f>
        <v/>
      </c>
      <c r="G74" s="29" t="str">
        <f t="shared" si="5"/>
        <v/>
      </c>
      <c r="H74" s="29" t="str">
        <f t="shared" si="6"/>
        <v/>
      </c>
      <c r="I74" s="29" t="str">
        <f t="shared" si="7"/>
        <v/>
      </c>
      <c r="J74" s="29" t="str">
        <f t="shared" si="8"/>
        <v/>
      </c>
      <c r="K74" s="29" t="str">
        <f t="shared" si="9"/>
        <v/>
      </c>
      <c r="M74" s="11"/>
    </row>
    <row r="75" spans="1:13" ht="15" x14ac:dyDescent="0.25">
      <c r="A75" s="1" t="str">
        <f>IF('1.1 Produksi Bersih Padi 2025'!A75="","",'1.1 Produksi Bersih Padi 2025'!A75)</f>
        <v/>
      </c>
      <c r="B75" s="31" t="str">
        <f>IF('1.1 Produksi Bersih Padi 2025'!B75="","",'1.1 Produksi Bersih Padi 2025'!B75)</f>
        <v/>
      </c>
      <c r="C75" s="31" t="str">
        <f>IF('1.1 Produksi Bersih Padi 2025'!C75="","",'1.1 Produksi Bersih Padi 2025'!C75)</f>
        <v/>
      </c>
      <c r="D75" s="1" t="str">
        <f>IF('1.1 Produksi Bersih Padi 2025'!D75="","",'1.1 Produksi Bersih Padi 2025'!D75)</f>
        <v/>
      </c>
      <c r="E75" s="1" t="str">
        <f>IF('1.1 Produksi Bersih Padi 2025'!E75="","",'1.1 Produksi Bersih Padi 2025'!E75)</f>
        <v/>
      </c>
      <c r="F75" s="28" t="str">
        <f>IF(D75="","",VLOOKUP(D75,'[1]0.1 Produksi Pangan &amp; Penduduk'!$D$5:$AQ$860,40,0))</f>
        <v/>
      </c>
      <c r="G75" s="29" t="str">
        <f t="shared" si="5"/>
        <v/>
      </c>
      <c r="H75" s="29" t="str">
        <f t="shared" si="6"/>
        <v/>
      </c>
      <c r="I75" s="29" t="str">
        <f t="shared" si="7"/>
        <v/>
      </c>
      <c r="J75" s="29" t="str">
        <f t="shared" si="8"/>
        <v/>
      </c>
      <c r="K75" s="29" t="str">
        <f t="shared" si="9"/>
        <v/>
      </c>
      <c r="M75" s="11"/>
    </row>
    <row r="76" spans="1:13" ht="15" x14ac:dyDescent="0.25">
      <c r="A76" s="1" t="str">
        <f>IF('1.1 Produksi Bersih Padi 2025'!A76="","",'1.1 Produksi Bersih Padi 2025'!A76)</f>
        <v/>
      </c>
      <c r="B76" s="31" t="str">
        <f>IF('1.1 Produksi Bersih Padi 2025'!B76="","",'1.1 Produksi Bersih Padi 2025'!B76)</f>
        <v/>
      </c>
      <c r="C76" s="31" t="str">
        <f>IF('1.1 Produksi Bersih Padi 2025'!C76="","",'1.1 Produksi Bersih Padi 2025'!C76)</f>
        <v/>
      </c>
      <c r="D76" s="1" t="str">
        <f>IF('1.1 Produksi Bersih Padi 2025'!D76="","",'1.1 Produksi Bersih Padi 2025'!D76)</f>
        <v/>
      </c>
      <c r="E76" s="1" t="str">
        <f>IF('1.1 Produksi Bersih Padi 2025'!E76="","",'1.1 Produksi Bersih Padi 2025'!E76)</f>
        <v/>
      </c>
      <c r="F76" s="28" t="str">
        <f>IF(D76="","",VLOOKUP(D76,'[1]0.1 Produksi Pangan &amp; Penduduk'!$D$5:$AQ$860,40,0))</f>
        <v/>
      </c>
      <c r="G76" s="29" t="str">
        <f t="shared" si="5"/>
        <v/>
      </c>
      <c r="H76" s="29" t="str">
        <f t="shared" si="6"/>
        <v/>
      </c>
      <c r="I76" s="29" t="str">
        <f t="shared" si="7"/>
        <v/>
      </c>
      <c r="J76" s="29" t="str">
        <f t="shared" si="8"/>
        <v/>
      </c>
      <c r="K76" s="29" t="str">
        <f t="shared" si="9"/>
        <v/>
      </c>
      <c r="M76" s="11"/>
    </row>
    <row r="77" spans="1:13" ht="15" x14ac:dyDescent="0.25">
      <c r="A77" s="1" t="str">
        <f>IF('1.1 Produksi Bersih Padi 2025'!A77="","",'1.1 Produksi Bersih Padi 2025'!A77)</f>
        <v/>
      </c>
      <c r="B77" s="31" t="str">
        <f>IF('1.1 Produksi Bersih Padi 2025'!B77="","",'1.1 Produksi Bersih Padi 2025'!B77)</f>
        <v/>
      </c>
      <c r="C77" s="31" t="str">
        <f>IF('1.1 Produksi Bersih Padi 2025'!C77="","",'1.1 Produksi Bersih Padi 2025'!C77)</f>
        <v/>
      </c>
      <c r="D77" s="1" t="str">
        <f>IF('1.1 Produksi Bersih Padi 2025'!D77="","",'1.1 Produksi Bersih Padi 2025'!D77)</f>
        <v/>
      </c>
      <c r="E77" s="1" t="str">
        <f>IF('1.1 Produksi Bersih Padi 2025'!E77="","",'1.1 Produksi Bersih Padi 2025'!E77)</f>
        <v/>
      </c>
      <c r="F77" s="28" t="str">
        <f>IF(D77="","",VLOOKUP(D77,'[1]0.1 Produksi Pangan &amp; Penduduk'!$D$5:$AQ$860,40,0))</f>
        <v/>
      </c>
      <c r="G77" s="29" t="str">
        <f t="shared" si="5"/>
        <v/>
      </c>
      <c r="H77" s="29" t="str">
        <f t="shared" si="6"/>
        <v/>
      </c>
      <c r="I77" s="29" t="str">
        <f t="shared" si="7"/>
        <v/>
      </c>
      <c r="J77" s="29" t="str">
        <f t="shared" si="8"/>
        <v/>
      </c>
      <c r="K77" s="29" t="str">
        <f t="shared" si="9"/>
        <v/>
      </c>
      <c r="M77" s="11"/>
    </row>
    <row r="78" spans="1:13" ht="15" x14ac:dyDescent="0.25">
      <c r="A78" s="1" t="str">
        <f>IF('1.1 Produksi Bersih Padi 2025'!A78="","",'1.1 Produksi Bersih Padi 2025'!A78)</f>
        <v/>
      </c>
      <c r="B78" s="31" t="str">
        <f>IF('1.1 Produksi Bersih Padi 2025'!B78="","",'1.1 Produksi Bersih Padi 2025'!B78)</f>
        <v/>
      </c>
      <c r="C78" s="31" t="str">
        <f>IF('1.1 Produksi Bersih Padi 2025'!C78="","",'1.1 Produksi Bersih Padi 2025'!C78)</f>
        <v/>
      </c>
      <c r="D78" s="1" t="str">
        <f>IF('1.1 Produksi Bersih Padi 2025'!D78="","",'1.1 Produksi Bersih Padi 2025'!D78)</f>
        <v/>
      </c>
      <c r="E78" s="1" t="str">
        <f>IF('1.1 Produksi Bersih Padi 2025'!E78="","",'1.1 Produksi Bersih Padi 2025'!E78)</f>
        <v/>
      </c>
      <c r="F78" s="28" t="str">
        <f>IF(D78="","",VLOOKUP(D78,'[1]0.1 Produksi Pangan &amp; Penduduk'!$D$5:$AQ$860,40,0))</f>
        <v/>
      </c>
      <c r="G78" s="29" t="str">
        <f t="shared" si="5"/>
        <v/>
      </c>
      <c r="H78" s="29" t="str">
        <f t="shared" si="6"/>
        <v/>
      </c>
      <c r="I78" s="29" t="str">
        <f t="shared" si="7"/>
        <v/>
      </c>
      <c r="J78" s="29" t="str">
        <f t="shared" si="8"/>
        <v/>
      </c>
      <c r="K78" s="29" t="str">
        <f t="shared" si="9"/>
        <v/>
      </c>
      <c r="M78" s="11"/>
    </row>
    <row r="79" spans="1:13" ht="15" x14ac:dyDescent="0.25">
      <c r="A79" s="1" t="str">
        <f>IF('1.1 Produksi Bersih Padi 2025'!A79="","",'1.1 Produksi Bersih Padi 2025'!A79)</f>
        <v/>
      </c>
      <c r="B79" s="31" t="str">
        <f>IF('1.1 Produksi Bersih Padi 2025'!B79="","",'1.1 Produksi Bersih Padi 2025'!B79)</f>
        <v/>
      </c>
      <c r="C79" s="31" t="str">
        <f>IF('1.1 Produksi Bersih Padi 2025'!C79="","",'1.1 Produksi Bersih Padi 2025'!C79)</f>
        <v/>
      </c>
      <c r="D79" s="1" t="str">
        <f>IF('1.1 Produksi Bersih Padi 2025'!D79="","",'1.1 Produksi Bersih Padi 2025'!D79)</f>
        <v/>
      </c>
      <c r="E79" s="1" t="str">
        <f>IF('1.1 Produksi Bersih Padi 2025'!E79="","",'1.1 Produksi Bersih Padi 2025'!E79)</f>
        <v/>
      </c>
      <c r="F79" s="28" t="str">
        <f>IF(D79="","",VLOOKUP(D79,'[1]0.1 Produksi Pangan &amp; Penduduk'!$D$5:$AQ$860,40,0))</f>
        <v/>
      </c>
      <c r="G79" s="29" t="str">
        <f t="shared" si="5"/>
        <v/>
      </c>
      <c r="H79" s="29" t="str">
        <f t="shared" si="6"/>
        <v/>
      </c>
      <c r="I79" s="29" t="str">
        <f t="shared" si="7"/>
        <v/>
      </c>
      <c r="J79" s="29" t="str">
        <f t="shared" si="8"/>
        <v/>
      </c>
      <c r="K79" s="29" t="str">
        <f t="shared" si="9"/>
        <v/>
      </c>
      <c r="M79" s="11"/>
    </row>
    <row r="80" spans="1:13" ht="15" x14ac:dyDescent="0.25">
      <c r="A80" s="1" t="str">
        <f>IF('1.1 Produksi Bersih Padi 2025'!A80="","",'1.1 Produksi Bersih Padi 2025'!A80)</f>
        <v/>
      </c>
      <c r="B80" s="31" t="str">
        <f>IF('1.1 Produksi Bersih Padi 2025'!B80="","",'1.1 Produksi Bersih Padi 2025'!B80)</f>
        <v/>
      </c>
      <c r="C80" s="31" t="str">
        <f>IF('1.1 Produksi Bersih Padi 2025'!C80="","",'1.1 Produksi Bersih Padi 2025'!C80)</f>
        <v/>
      </c>
      <c r="D80" s="1" t="str">
        <f>IF('1.1 Produksi Bersih Padi 2025'!D80="","",'1.1 Produksi Bersih Padi 2025'!D80)</f>
        <v/>
      </c>
      <c r="E80" s="1" t="str">
        <f>IF('1.1 Produksi Bersih Padi 2025'!E80="","",'1.1 Produksi Bersih Padi 2025'!E80)</f>
        <v/>
      </c>
      <c r="F80" s="28" t="str">
        <f>IF(D80="","",VLOOKUP(D80,'[1]0.1 Produksi Pangan &amp; Penduduk'!$D$5:$AQ$860,40,0))</f>
        <v/>
      </c>
      <c r="G80" s="29" t="str">
        <f t="shared" si="5"/>
        <v/>
      </c>
      <c r="H80" s="29" t="str">
        <f t="shared" si="6"/>
        <v/>
      </c>
      <c r="I80" s="29" t="str">
        <f t="shared" si="7"/>
        <v/>
      </c>
      <c r="J80" s="29" t="str">
        <f t="shared" si="8"/>
        <v/>
      </c>
      <c r="K80" s="29" t="str">
        <f t="shared" si="9"/>
        <v/>
      </c>
      <c r="M80" s="11"/>
    </row>
    <row r="81" spans="1:13" ht="15" x14ac:dyDescent="0.25">
      <c r="A81" s="1" t="str">
        <f>IF('1.1 Produksi Bersih Padi 2025'!A81="","",'1.1 Produksi Bersih Padi 2025'!A81)</f>
        <v/>
      </c>
      <c r="B81" s="31" t="str">
        <f>IF('1.1 Produksi Bersih Padi 2025'!B81="","",'1.1 Produksi Bersih Padi 2025'!B81)</f>
        <v/>
      </c>
      <c r="C81" s="31" t="str">
        <f>IF('1.1 Produksi Bersih Padi 2025'!C81="","",'1.1 Produksi Bersih Padi 2025'!C81)</f>
        <v/>
      </c>
      <c r="D81" s="1" t="str">
        <f>IF('1.1 Produksi Bersih Padi 2025'!D81="","",'1.1 Produksi Bersih Padi 2025'!D81)</f>
        <v/>
      </c>
      <c r="E81" s="1" t="str">
        <f>IF('1.1 Produksi Bersih Padi 2025'!E81="","",'1.1 Produksi Bersih Padi 2025'!E81)</f>
        <v/>
      </c>
      <c r="F81" s="28" t="str">
        <f>IF(D81="","",VLOOKUP(D81,'[1]0.1 Produksi Pangan &amp; Penduduk'!$D$5:$AQ$860,40,0))</f>
        <v/>
      </c>
      <c r="G81" s="29" t="str">
        <f t="shared" si="5"/>
        <v/>
      </c>
      <c r="H81" s="29" t="str">
        <f t="shared" si="6"/>
        <v/>
      </c>
      <c r="I81" s="29" t="str">
        <f t="shared" si="7"/>
        <v/>
      </c>
      <c r="J81" s="29" t="str">
        <f t="shared" si="8"/>
        <v/>
      </c>
      <c r="K81" s="29" t="str">
        <f t="shared" si="9"/>
        <v/>
      </c>
      <c r="M81" s="11"/>
    </row>
    <row r="82" spans="1:13" ht="15" x14ac:dyDescent="0.25">
      <c r="A82" s="1" t="str">
        <f>IF('1.1 Produksi Bersih Padi 2025'!A82="","",'1.1 Produksi Bersih Padi 2025'!A82)</f>
        <v/>
      </c>
      <c r="B82" s="31" t="str">
        <f>IF('1.1 Produksi Bersih Padi 2025'!B82="","",'1.1 Produksi Bersih Padi 2025'!B82)</f>
        <v/>
      </c>
      <c r="C82" s="31" t="str">
        <f>IF('1.1 Produksi Bersih Padi 2025'!C82="","",'1.1 Produksi Bersih Padi 2025'!C82)</f>
        <v/>
      </c>
      <c r="D82" s="1" t="str">
        <f>IF('1.1 Produksi Bersih Padi 2025'!D82="","",'1.1 Produksi Bersih Padi 2025'!D82)</f>
        <v/>
      </c>
      <c r="E82" s="1" t="str">
        <f>IF('1.1 Produksi Bersih Padi 2025'!E82="","",'1.1 Produksi Bersih Padi 2025'!E82)</f>
        <v/>
      </c>
      <c r="F82" s="28" t="str">
        <f>IF(D82="","",VLOOKUP(D82,'[1]0.1 Produksi Pangan &amp; Penduduk'!$D$5:$AQ$860,40,0))</f>
        <v/>
      </c>
      <c r="G82" s="29" t="str">
        <f t="shared" si="5"/>
        <v/>
      </c>
      <c r="H82" s="29" t="str">
        <f t="shared" si="6"/>
        <v/>
      </c>
      <c r="I82" s="29" t="str">
        <f t="shared" si="7"/>
        <v/>
      </c>
      <c r="J82" s="29" t="str">
        <f t="shared" si="8"/>
        <v/>
      </c>
      <c r="K82" s="29" t="str">
        <f t="shared" si="9"/>
        <v/>
      </c>
      <c r="M82" s="11"/>
    </row>
    <row r="83" spans="1:13" ht="15" x14ac:dyDescent="0.25">
      <c r="A83" s="1" t="str">
        <f>IF('1.1 Produksi Bersih Padi 2025'!A83="","",'1.1 Produksi Bersih Padi 2025'!A83)</f>
        <v/>
      </c>
      <c r="B83" s="31" t="str">
        <f>IF('1.1 Produksi Bersih Padi 2025'!B83="","",'1.1 Produksi Bersih Padi 2025'!B83)</f>
        <v/>
      </c>
      <c r="C83" s="31" t="str">
        <f>IF('1.1 Produksi Bersih Padi 2025'!C83="","",'1.1 Produksi Bersih Padi 2025'!C83)</f>
        <v/>
      </c>
      <c r="D83" s="1" t="str">
        <f>IF('1.1 Produksi Bersih Padi 2025'!D83="","",'1.1 Produksi Bersih Padi 2025'!D83)</f>
        <v/>
      </c>
      <c r="E83" s="1" t="str">
        <f>IF('1.1 Produksi Bersih Padi 2025'!E83="","",'1.1 Produksi Bersih Padi 2025'!E83)</f>
        <v/>
      </c>
      <c r="F83" s="28" t="str">
        <f>IF(D83="","",VLOOKUP(D83,'[1]0.1 Produksi Pangan &amp; Penduduk'!$D$5:$AQ$860,40,0))</f>
        <v/>
      </c>
      <c r="G83" s="29" t="str">
        <f t="shared" si="5"/>
        <v/>
      </c>
      <c r="H83" s="29" t="str">
        <f t="shared" si="6"/>
        <v/>
      </c>
      <c r="I83" s="29" t="str">
        <f t="shared" si="7"/>
        <v/>
      </c>
      <c r="J83" s="29" t="str">
        <f t="shared" si="8"/>
        <v/>
      </c>
      <c r="K83" s="29" t="str">
        <f t="shared" si="9"/>
        <v/>
      </c>
      <c r="M83" s="11"/>
    </row>
    <row r="84" spans="1:13" ht="15" x14ac:dyDescent="0.25">
      <c r="A84" s="1" t="str">
        <f>IF('1.1 Produksi Bersih Padi 2025'!A84="","",'1.1 Produksi Bersih Padi 2025'!A84)</f>
        <v/>
      </c>
      <c r="B84" s="31" t="str">
        <f>IF('1.1 Produksi Bersih Padi 2025'!B84="","",'1.1 Produksi Bersih Padi 2025'!B84)</f>
        <v/>
      </c>
      <c r="C84" s="31" t="str">
        <f>IF('1.1 Produksi Bersih Padi 2025'!C84="","",'1.1 Produksi Bersih Padi 2025'!C84)</f>
        <v/>
      </c>
      <c r="D84" s="1" t="str">
        <f>IF('1.1 Produksi Bersih Padi 2025'!D84="","",'1.1 Produksi Bersih Padi 2025'!D84)</f>
        <v/>
      </c>
      <c r="E84" s="1" t="str">
        <f>IF('1.1 Produksi Bersih Padi 2025'!E84="","",'1.1 Produksi Bersih Padi 2025'!E84)</f>
        <v/>
      </c>
      <c r="F84" s="28" t="str">
        <f>IF(D84="","",VLOOKUP(D84,'[1]0.1 Produksi Pangan &amp; Penduduk'!$D$5:$AQ$860,40,0))</f>
        <v/>
      </c>
      <c r="G84" s="29" t="str">
        <f t="shared" si="5"/>
        <v/>
      </c>
      <c r="H84" s="29" t="str">
        <f t="shared" si="6"/>
        <v/>
      </c>
      <c r="I84" s="29" t="str">
        <f t="shared" si="7"/>
        <v/>
      </c>
      <c r="J84" s="29" t="str">
        <f t="shared" si="8"/>
        <v/>
      </c>
      <c r="K84" s="29" t="str">
        <f t="shared" si="9"/>
        <v/>
      </c>
      <c r="M84" s="11"/>
    </row>
    <row r="85" spans="1:13" ht="15" x14ac:dyDescent="0.25">
      <c r="A85" s="1" t="str">
        <f>IF('1.1 Produksi Bersih Padi 2025'!A85="","",'1.1 Produksi Bersih Padi 2025'!A85)</f>
        <v/>
      </c>
      <c r="B85" s="31" t="str">
        <f>IF('1.1 Produksi Bersih Padi 2025'!B85="","",'1.1 Produksi Bersih Padi 2025'!B85)</f>
        <v/>
      </c>
      <c r="C85" s="31" t="str">
        <f>IF('1.1 Produksi Bersih Padi 2025'!C85="","",'1.1 Produksi Bersih Padi 2025'!C85)</f>
        <v/>
      </c>
      <c r="D85" s="1" t="str">
        <f>IF('1.1 Produksi Bersih Padi 2025'!D85="","",'1.1 Produksi Bersih Padi 2025'!D85)</f>
        <v/>
      </c>
      <c r="E85" s="1" t="str">
        <f>IF('1.1 Produksi Bersih Padi 2025'!E85="","",'1.1 Produksi Bersih Padi 2025'!E85)</f>
        <v/>
      </c>
      <c r="F85" s="28" t="str">
        <f>IF(D85="","",VLOOKUP(D85,'[1]0.1 Produksi Pangan &amp; Penduduk'!$D$5:$AQ$860,40,0))</f>
        <v/>
      </c>
      <c r="G85" s="29" t="str">
        <f t="shared" si="5"/>
        <v/>
      </c>
      <c r="H85" s="29" t="str">
        <f t="shared" si="6"/>
        <v/>
      </c>
      <c r="I85" s="29" t="str">
        <f t="shared" si="7"/>
        <v/>
      </c>
      <c r="J85" s="29" t="str">
        <f t="shared" si="8"/>
        <v/>
      </c>
      <c r="K85" s="29" t="str">
        <f t="shared" si="9"/>
        <v/>
      </c>
      <c r="M85" s="11"/>
    </row>
    <row r="86" spans="1:13" ht="15" x14ac:dyDescent="0.25">
      <c r="A86" s="1" t="str">
        <f>IF('1.1 Produksi Bersih Padi 2025'!A86="","",'1.1 Produksi Bersih Padi 2025'!A86)</f>
        <v/>
      </c>
      <c r="B86" s="31" t="str">
        <f>IF('1.1 Produksi Bersih Padi 2025'!B86="","",'1.1 Produksi Bersih Padi 2025'!B86)</f>
        <v/>
      </c>
      <c r="C86" s="31" t="str">
        <f>IF('1.1 Produksi Bersih Padi 2025'!C86="","",'1.1 Produksi Bersih Padi 2025'!C86)</f>
        <v/>
      </c>
      <c r="D86" s="1" t="str">
        <f>IF('1.1 Produksi Bersih Padi 2025'!D86="","",'1.1 Produksi Bersih Padi 2025'!D86)</f>
        <v/>
      </c>
      <c r="E86" s="1" t="str">
        <f>IF('1.1 Produksi Bersih Padi 2025'!E86="","",'1.1 Produksi Bersih Padi 2025'!E86)</f>
        <v/>
      </c>
      <c r="F86" s="28" t="str">
        <f>IF(D86="","",VLOOKUP(D86,'[1]0.1 Produksi Pangan &amp; Penduduk'!$D$5:$AQ$860,40,0))</f>
        <v/>
      </c>
      <c r="G86" s="29" t="str">
        <f t="shared" si="5"/>
        <v/>
      </c>
      <c r="H86" s="29" t="str">
        <f t="shared" si="6"/>
        <v/>
      </c>
      <c r="I86" s="29" t="str">
        <f t="shared" si="7"/>
        <v/>
      </c>
      <c r="J86" s="29" t="str">
        <f t="shared" si="8"/>
        <v/>
      </c>
      <c r="K86" s="29" t="str">
        <f t="shared" si="9"/>
        <v/>
      </c>
      <c r="M86" s="11"/>
    </row>
    <row r="87" spans="1:13" ht="15" x14ac:dyDescent="0.25">
      <c r="A87" s="1" t="str">
        <f>IF('1.1 Produksi Bersih Padi 2025'!A87="","",'1.1 Produksi Bersih Padi 2025'!A87)</f>
        <v/>
      </c>
      <c r="B87" s="31" t="str">
        <f>IF('1.1 Produksi Bersih Padi 2025'!B87="","",'1.1 Produksi Bersih Padi 2025'!B87)</f>
        <v/>
      </c>
      <c r="C87" s="31" t="str">
        <f>IF('1.1 Produksi Bersih Padi 2025'!C87="","",'1.1 Produksi Bersih Padi 2025'!C87)</f>
        <v/>
      </c>
      <c r="D87" s="1" t="str">
        <f>IF('1.1 Produksi Bersih Padi 2025'!D87="","",'1.1 Produksi Bersih Padi 2025'!D87)</f>
        <v/>
      </c>
      <c r="E87" s="1" t="str">
        <f>IF('1.1 Produksi Bersih Padi 2025'!E87="","",'1.1 Produksi Bersih Padi 2025'!E87)</f>
        <v/>
      </c>
      <c r="F87" s="28" t="str">
        <f>IF(D87="","",VLOOKUP(D87,'[1]0.1 Produksi Pangan &amp; Penduduk'!$D$5:$AQ$860,40,0))</f>
        <v/>
      </c>
      <c r="G87" s="29" t="str">
        <f t="shared" si="5"/>
        <v/>
      </c>
      <c r="H87" s="29" t="str">
        <f t="shared" si="6"/>
        <v/>
      </c>
      <c r="I87" s="29" t="str">
        <f t="shared" si="7"/>
        <v/>
      </c>
      <c r="J87" s="29" t="str">
        <f t="shared" si="8"/>
        <v/>
      </c>
      <c r="K87" s="29" t="str">
        <f t="shared" si="9"/>
        <v/>
      </c>
      <c r="M87" s="11"/>
    </row>
    <row r="88" spans="1:13" ht="15" x14ac:dyDescent="0.25">
      <c r="A88" s="1" t="str">
        <f>IF('1.1 Produksi Bersih Padi 2025'!A88="","",'1.1 Produksi Bersih Padi 2025'!A88)</f>
        <v/>
      </c>
      <c r="B88" s="31" t="str">
        <f>IF('1.1 Produksi Bersih Padi 2025'!B88="","",'1.1 Produksi Bersih Padi 2025'!B88)</f>
        <v/>
      </c>
      <c r="C88" s="31" t="str">
        <f>IF('1.1 Produksi Bersih Padi 2025'!C88="","",'1.1 Produksi Bersih Padi 2025'!C88)</f>
        <v/>
      </c>
      <c r="D88" s="1" t="str">
        <f>IF('1.1 Produksi Bersih Padi 2025'!D88="","",'1.1 Produksi Bersih Padi 2025'!D88)</f>
        <v/>
      </c>
      <c r="E88" s="1" t="str">
        <f>IF('1.1 Produksi Bersih Padi 2025'!E88="","",'1.1 Produksi Bersih Padi 2025'!E88)</f>
        <v/>
      </c>
      <c r="F88" s="28" t="str">
        <f>IF(D88="","",VLOOKUP(D88,'[1]0.1 Produksi Pangan &amp; Penduduk'!$D$5:$AQ$860,40,0))</f>
        <v/>
      </c>
      <c r="G88" s="29" t="str">
        <f t="shared" si="5"/>
        <v/>
      </c>
      <c r="H88" s="29" t="str">
        <f t="shared" si="6"/>
        <v/>
      </c>
      <c r="I88" s="29" t="str">
        <f t="shared" si="7"/>
        <v/>
      </c>
      <c r="J88" s="29" t="str">
        <f t="shared" si="8"/>
        <v/>
      </c>
      <c r="K88" s="29" t="str">
        <f t="shared" si="9"/>
        <v/>
      </c>
      <c r="M88" s="11"/>
    </row>
    <row r="89" spans="1:13" ht="15" x14ac:dyDescent="0.25">
      <c r="A89" s="1" t="str">
        <f>IF('1.1 Produksi Bersih Padi 2025'!A89="","",'1.1 Produksi Bersih Padi 2025'!A89)</f>
        <v/>
      </c>
      <c r="B89" s="31" t="str">
        <f>IF('1.1 Produksi Bersih Padi 2025'!B89="","",'1.1 Produksi Bersih Padi 2025'!B89)</f>
        <v/>
      </c>
      <c r="C89" s="31" t="str">
        <f>IF('1.1 Produksi Bersih Padi 2025'!C89="","",'1.1 Produksi Bersih Padi 2025'!C89)</f>
        <v/>
      </c>
      <c r="D89" s="1" t="str">
        <f>IF('1.1 Produksi Bersih Padi 2025'!D89="","",'1.1 Produksi Bersih Padi 2025'!D89)</f>
        <v/>
      </c>
      <c r="E89" s="1" t="str">
        <f>IF('1.1 Produksi Bersih Padi 2025'!E89="","",'1.1 Produksi Bersih Padi 2025'!E89)</f>
        <v/>
      </c>
      <c r="F89" s="28" t="str">
        <f>IF(D89="","",VLOOKUP(D89,'[1]0.1 Produksi Pangan &amp; Penduduk'!$D$5:$AQ$860,40,0))</f>
        <v/>
      </c>
      <c r="G89" s="29" t="str">
        <f t="shared" si="5"/>
        <v/>
      </c>
      <c r="H89" s="29" t="str">
        <f t="shared" si="6"/>
        <v/>
      </c>
      <c r="I89" s="29" t="str">
        <f t="shared" si="7"/>
        <v/>
      </c>
      <c r="J89" s="29" t="str">
        <f t="shared" si="8"/>
        <v/>
      </c>
      <c r="K89" s="29" t="str">
        <f t="shared" si="9"/>
        <v/>
      </c>
      <c r="M89" s="11"/>
    </row>
    <row r="90" spans="1:13" ht="15" x14ac:dyDescent="0.25">
      <c r="A90" s="1" t="str">
        <f>IF('1.1 Produksi Bersih Padi 2025'!A90="","",'1.1 Produksi Bersih Padi 2025'!A90)</f>
        <v/>
      </c>
      <c r="B90" s="31" t="str">
        <f>IF('1.1 Produksi Bersih Padi 2025'!B90="","",'1.1 Produksi Bersih Padi 2025'!B90)</f>
        <v/>
      </c>
      <c r="C90" s="31" t="str">
        <f>IF('1.1 Produksi Bersih Padi 2025'!C90="","",'1.1 Produksi Bersih Padi 2025'!C90)</f>
        <v/>
      </c>
      <c r="D90" s="1" t="str">
        <f>IF('1.1 Produksi Bersih Padi 2025'!D90="","",'1.1 Produksi Bersih Padi 2025'!D90)</f>
        <v/>
      </c>
      <c r="E90" s="1" t="str">
        <f>IF('1.1 Produksi Bersih Padi 2025'!E90="","",'1.1 Produksi Bersih Padi 2025'!E90)</f>
        <v/>
      </c>
      <c r="F90" s="28" t="str">
        <f>IF(D90="","",VLOOKUP(D90,'[1]0.1 Produksi Pangan &amp; Penduduk'!$D$5:$AQ$860,40,0))</f>
        <v/>
      </c>
      <c r="G90" s="29" t="str">
        <f t="shared" si="5"/>
        <v/>
      </c>
      <c r="H90" s="29" t="str">
        <f t="shared" si="6"/>
        <v/>
      </c>
      <c r="I90" s="29" t="str">
        <f t="shared" si="7"/>
        <v/>
      </c>
      <c r="J90" s="29" t="str">
        <f t="shared" si="8"/>
        <v/>
      </c>
      <c r="K90" s="29" t="str">
        <f t="shared" si="9"/>
        <v/>
      </c>
      <c r="M90" s="11"/>
    </row>
    <row r="91" spans="1:13" ht="15" x14ac:dyDescent="0.25">
      <c r="A91" s="1" t="str">
        <f>IF('1.1 Produksi Bersih Padi 2025'!A91="","",'1.1 Produksi Bersih Padi 2025'!A91)</f>
        <v/>
      </c>
      <c r="B91" s="31" t="str">
        <f>IF('1.1 Produksi Bersih Padi 2025'!B91="","",'1.1 Produksi Bersih Padi 2025'!B91)</f>
        <v/>
      </c>
      <c r="C91" s="31" t="str">
        <f>IF('1.1 Produksi Bersih Padi 2025'!C91="","",'1.1 Produksi Bersih Padi 2025'!C91)</f>
        <v/>
      </c>
      <c r="D91" s="1" t="str">
        <f>IF('1.1 Produksi Bersih Padi 2025'!D91="","",'1.1 Produksi Bersih Padi 2025'!D91)</f>
        <v/>
      </c>
      <c r="E91" s="1" t="str">
        <f>IF('1.1 Produksi Bersih Padi 2025'!E91="","",'1.1 Produksi Bersih Padi 2025'!E91)</f>
        <v/>
      </c>
      <c r="F91" s="28" t="str">
        <f>IF(D91="","",VLOOKUP(D91,'[1]0.1 Produksi Pangan &amp; Penduduk'!$D$5:$AQ$860,40,0))</f>
        <v/>
      </c>
      <c r="G91" s="29" t="str">
        <f t="shared" si="5"/>
        <v/>
      </c>
      <c r="H91" s="29" t="str">
        <f t="shared" si="6"/>
        <v/>
      </c>
      <c r="I91" s="29" t="str">
        <f t="shared" si="7"/>
        <v/>
      </c>
      <c r="J91" s="29" t="str">
        <f t="shared" si="8"/>
        <v/>
      </c>
      <c r="K91" s="29" t="str">
        <f t="shared" si="9"/>
        <v/>
      </c>
      <c r="M91" s="11"/>
    </row>
    <row r="92" spans="1:13" ht="15" x14ac:dyDescent="0.25">
      <c r="A92" s="1" t="str">
        <f>IF('1.1 Produksi Bersih Padi 2025'!A92="","",'1.1 Produksi Bersih Padi 2025'!A92)</f>
        <v/>
      </c>
      <c r="B92" s="31" t="str">
        <f>IF('1.1 Produksi Bersih Padi 2025'!B92="","",'1.1 Produksi Bersih Padi 2025'!B92)</f>
        <v/>
      </c>
      <c r="C92" s="31" t="str">
        <f>IF('1.1 Produksi Bersih Padi 2025'!C92="","",'1.1 Produksi Bersih Padi 2025'!C92)</f>
        <v/>
      </c>
      <c r="D92" s="1" t="str">
        <f>IF('1.1 Produksi Bersih Padi 2025'!D92="","",'1.1 Produksi Bersih Padi 2025'!D92)</f>
        <v/>
      </c>
      <c r="E92" s="1" t="str">
        <f>IF('1.1 Produksi Bersih Padi 2025'!E92="","",'1.1 Produksi Bersih Padi 2025'!E92)</f>
        <v/>
      </c>
      <c r="F92" s="28" t="str">
        <f>IF(D92="","",VLOOKUP(D92,'[1]0.1 Produksi Pangan &amp; Penduduk'!$D$5:$AQ$860,40,0))</f>
        <v/>
      </c>
      <c r="G92" s="29" t="str">
        <f t="shared" si="5"/>
        <v/>
      </c>
      <c r="H92" s="29" t="str">
        <f t="shared" si="6"/>
        <v/>
      </c>
      <c r="I92" s="29" t="str">
        <f t="shared" si="7"/>
        <v/>
      </c>
      <c r="J92" s="29" t="str">
        <f t="shared" si="8"/>
        <v/>
      </c>
      <c r="K92" s="29" t="str">
        <f t="shared" si="9"/>
        <v/>
      </c>
      <c r="M92" s="11"/>
    </row>
    <row r="93" spans="1:13" ht="15" x14ac:dyDescent="0.25">
      <c r="A93" s="1" t="str">
        <f>IF('1.1 Produksi Bersih Padi 2025'!A93="","",'1.1 Produksi Bersih Padi 2025'!A93)</f>
        <v/>
      </c>
      <c r="B93" s="31" t="str">
        <f>IF('1.1 Produksi Bersih Padi 2025'!B93="","",'1.1 Produksi Bersih Padi 2025'!B93)</f>
        <v/>
      </c>
      <c r="C93" s="31" t="str">
        <f>IF('1.1 Produksi Bersih Padi 2025'!C93="","",'1.1 Produksi Bersih Padi 2025'!C93)</f>
        <v/>
      </c>
      <c r="D93" s="1" t="str">
        <f>IF('1.1 Produksi Bersih Padi 2025'!D93="","",'1.1 Produksi Bersih Padi 2025'!D93)</f>
        <v/>
      </c>
      <c r="E93" s="1" t="str">
        <f>IF('1.1 Produksi Bersih Padi 2025'!E93="","",'1.1 Produksi Bersih Padi 2025'!E93)</f>
        <v/>
      </c>
      <c r="F93" s="28" t="str">
        <f>IF(D93="","",VLOOKUP(D93,'[1]0.1 Produksi Pangan &amp; Penduduk'!$D$5:$AQ$860,40,0))</f>
        <v/>
      </c>
      <c r="G93" s="29" t="str">
        <f t="shared" si="5"/>
        <v/>
      </c>
      <c r="H93" s="29" t="str">
        <f t="shared" si="6"/>
        <v/>
      </c>
      <c r="I93" s="29" t="str">
        <f t="shared" si="7"/>
        <v/>
      </c>
      <c r="J93" s="29" t="str">
        <f t="shared" si="8"/>
        <v/>
      </c>
      <c r="K93" s="29" t="str">
        <f t="shared" si="9"/>
        <v/>
      </c>
      <c r="M93" s="11"/>
    </row>
    <row r="94" spans="1:13" ht="15" x14ac:dyDescent="0.25">
      <c r="A94" s="1" t="str">
        <f>IF('1.1 Produksi Bersih Padi 2025'!A94="","",'1.1 Produksi Bersih Padi 2025'!A94)</f>
        <v/>
      </c>
      <c r="B94" s="31" t="str">
        <f>IF('1.1 Produksi Bersih Padi 2025'!B94="","",'1.1 Produksi Bersih Padi 2025'!B94)</f>
        <v/>
      </c>
      <c r="C94" s="31" t="str">
        <f>IF('1.1 Produksi Bersih Padi 2025'!C94="","",'1.1 Produksi Bersih Padi 2025'!C94)</f>
        <v/>
      </c>
      <c r="D94" s="1" t="str">
        <f>IF('1.1 Produksi Bersih Padi 2025'!D94="","",'1.1 Produksi Bersih Padi 2025'!D94)</f>
        <v/>
      </c>
      <c r="E94" s="1" t="str">
        <f>IF('1.1 Produksi Bersih Padi 2025'!E94="","",'1.1 Produksi Bersih Padi 2025'!E94)</f>
        <v/>
      </c>
      <c r="F94" s="28" t="str">
        <f>IF(D94="","",VLOOKUP(D94,'[1]0.1 Produksi Pangan &amp; Penduduk'!$D$5:$AQ$860,40,0))</f>
        <v/>
      </c>
      <c r="G94" s="29" t="str">
        <f t="shared" si="5"/>
        <v/>
      </c>
      <c r="H94" s="29" t="str">
        <f t="shared" si="6"/>
        <v/>
      </c>
      <c r="I94" s="29" t="str">
        <f t="shared" si="7"/>
        <v/>
      </c>
      <c r="J94" s="29" t="str">
        <f t="shared" si="8"/>
        <v/>
      </c>
      <c r="K94" s="29" t="str">
        <f t="shared" si="9"/>
        <v/>
      </c>
      <c r="M94" s="11"/>
    </row>
    <row r="95" spans="1:13" ht="15" x14ac:dyDescent="0.25">
      <c r="A95" s="1" t="str">
        <f>IF('1.1 Produksi Bersih Padi 2025'!A95="","",'1.1 Produksi Bersih Padi 2025'!A95)</f>
        <v/>
      </c>
      <c r="B95" s="31" t="str">
        <f>IF('1.1 Produksi Bersih Padi 2025'!B95="","",'1.1 Produksi Bersih Padi 2025'!B95)</f>
        <v/>
      </c>
      <c r="C95" s="31" t="str">
        <f>IF('1.1 Produksi Bersih Padi 2025'!C95="","",'1.1 Produksi Bersih Padi 2025'!C95)</f>
        <v/>
      </c>
      <c r="D95" s="1" t="str">
        <f>IF('1.1 Produksi Bersih Padi 2025'!D95="","",'1.1 Produksi Bersih Padi 2025'!D95)</f>
        <v/>
      </c>
      <c r="E95" s="1" t="str">
        <f>IF('1.1 Produksi Bersih Padi 2025'!E95="","",'1.1 Produksi Bersih Padi 2025'!E95)</f>
        <v/>
      </c>
      <c r="F95" s="28" t="str">
        <f>IF(D95="","",VLOOKUP(D95,'[1]0.1 Produksi Pangan &amp; Penduduk'!$D$5:$AQ$860,40,0))</f>
        <v/>
      </c>
      <c r="G95" s="29" t="str">
        <f t="shared" si="5"/>
        <v/>
      </c>
      <c r="H95" s="29" t="str">
        <f t="shared" si="6"/>
        <v/>
      </c>
      <c r="I95" s="29" t="str">
        <f t="shared" si="7"/>
        <v/>
      </c>
      <c r="J95" s="29" t="str">
        <f t="shared" si="8"/>
        <v/>
      </c>
      <c r="K95" s="29" t="str">
        <f t="shared" si="9"/>
        <v/>
      </c>
      <c r="M95" s="11"/>
    </row>
    <row r="96" spans="1:13" ht="15" x14ac:dyDescent="0.25">
      <c r="A96" s="1" t="str">
        <f>IF('1.1 Produksi Bersih Padi 2025'!A96="","",'1.1 Produksi Bersih Padi 2025'!A96)</f>
        <v/>
      </c>
      <c r="B96" s="31" t="str">
        <f>IF('1.1 Produksi Bersih Padi 2025'!B96="","",'1.1 Produksi Bersih Padi 2025'!B96)</f>
        <v/>
      </c>
      <c r="C96" s="31" t="str">
        <f>IF('1.1 Produksi Bersih Padi 2025'!C96="","",'1.1 Produksi Bersih Padi 2025'!C96)</f>
        <v/>
      </c>
      <c r="D96" s="1" t="str">
        <f>IF('1.1 Produksi Bersih Padi 2025'!D96="","",'1.1 Produksi Bersih Padi 2025'!D96)</f>
        <v/>
      </c>
      <c r="E96" s="1" t="str">
        <f>IF('1.1 Produksi Bersih Padi 2025'!E96="","",'1.1 Produksi Bersih Padi 2025'!E96)</f>
        <v/>
      </c>
      <c r="F96" s="28" t="str">
        <f>IF(D96="","",VLOOKUP(D96,'[1]0.1 Produksi Pangan &amp; Penduduk'!$D$5:$AQ$860,40,0))</f>
        <v/>
      </c>
      <c r="G96" s="29" t="str">
        <f t="shared" si="5"/>
        <v/>
      </c>
      <c r="H96" s="29" t="str">
        <f t="shared" si="6"/>
        <v/>
      </c>
      <c r="I96" s="29" t="str">
        <f t="shared" si="7"/>
        <v/>
      </c>
      <c r="J96" s="29" t="str">
        <f t="shared" si="8"/>
        <v/>
      </c>
      <c r="K96" s="29" t="str">
        <f t="shared" si="9"/>
        <v/>
      </c>
      <c r="M96" s="11"/>
    </row>
    <row r="97" spans="1:13" ht="15" x14ac:dyDescent="0.25">
      <c r="A97" s="1" t="str">
        <f>IF('1.1 Produksi Bersih Padi 2025'!A97="","",'1.1 Produksi Bersih Padi 2025'!A97)</f>
        <v/>
      </c>
      <c r="B97" s="31" t="str">
        <f>IF('1.1 Produksi Bersih Padi 2025'!B97="","",'1.1 Produksi Bersih Padi 2025'!B97)</f>
        <v/>
      </c>
      <c r="C97" s="31" t="str">
        <f>IF('1.1 Produksi Bersih Padi 2025'!C97="","",'1.1 Produksi Bersih Padi 2025'!C97)</f>
        <v/>
      </c>
      <c r="D97" s="1" t="str">
        <f>IF('1.1 Produksi Bersih Padi 2025'!D97="","",'1.1 Produksi Bersih Padi 2025'!D97)</f>
        <v/>
      </c>
      <c r="E97" s="1" t="str">
        <f>IF('1.1 Produksi Bersih Padi 2025'!E97="","",'1.1 Produksi Bersih Padi 2025'!E97)</f>
        <v/>
      </c>
      <c r="F97" s="28" t="str">
        <f>IF(D97="","",VLOOKUP(D97,'[1]0.1 Produksi Pangan &amp; Penduduk'!$D$5:$AQ$860,40,0))</f>
        <v/>
      </c>
      <c r="G97" s="29" t="str">
        <f t="shared" si="5"/>
        <v/>
      </c>
      <c r="H97" s="29" t="str">
        <f t="shared" si="6"/>
        <v/>
      </c>
      <c r="I97" s="29" t="str">
        <f t="shared" si="7"/>
        <v/>
      </c>
      <c r="J97" s="29" t="str">
        <f t="shared" si="8"/>
        <v/>
      </c>
      <c r="K97" s="29" t="str">
        <f t="shared" si="9"/>
        <v/>
      </c>
      <c r="M97" s="11"/>
    </row>
    <row r="98" spans="1:13" ht="15" x14ac:dyDescent="0.25">
      <c r="A98" s="1" t="str">
        <f>IF('1.1 Produksi Bersih Padi 2025'!A98="","",'1.1 Produksi Bersih Padi 2025'!A98)</f>
        <v/>
      </c>
      <c r="B98" s="31" t="str">
        <f>IF('1.1 Produksi Bersih Padi 2025'!B98="","",'1.1 Produksi Bersih Padi 2025'!B98)</f>
        <v/>
      </c>
      <c r="C98" s="31" t="str">
        <f>IF('1.1 Produksi Bersih Padi 2025'!C98="","",'1.1 Produksi Bersih Padi 2025'!C98)</f>
        <v/>
      </c>
      <c r="D98" s="1" t="str">
        <f>IF('1.1 Produksi Bersih Padi 2025'!D98="","",'1.1 Produksi Bersih Padi 2025'!D98)</f>
        <v/>
      </c>
      <c r="E98" s="1" t="str">
        <f>IF('1.1 Produksi Bersih Padi 2025'!E98="","",'1.1 Produksi Bersih Padi 2025'!E98)</f>
        <v/>
      </c>
      <c r="F98" s="28" t="str">
        <f>IF(D98="","",VLOOKUP(D98,'[1]0.1 Produksi Pangan &amp; Penduduk'!$D$5:$AQ$860,40,0))</f>
        <v/>
      </c>
      <c r="G98" s="29" t="str">
        <f t="shared" si="5"/>
        <v/>
      </c>
      <c r="H98" s="29" t="str">
        <f t="shared" si="6"/>
        <v/>
      </c>
      <c r="I98" s="29" t="str">
        <f t="shared" si="7"/>
        <v/>
      </c>
      <c r="J98" s="29" t="str">
        <f t="shared" si="8"/>
        <v/>
      </c>
      <c r="K98" s="29" t="str">
        <f t="shared" si="9"/>
        <v/>
      </c>
      <c r="M98" s="11"/>
    </row>
    <row r="99" spans="1:13" ht="15" x14ac:dyDescent="0.25">
      <c r="A99" s="1" t="str">
        <f>IF('1.1 Produksi Bersih Padi 2025'!A99="","",'1.1 Produksi Bersih Padi 2025'!A99)</f>
        <v/>
      </c>
      <c r="B99" s="31" t="str">
        <f>IF('1.1 Produksi Bersih Padi 2025'!B99="","",'1.1 Produksi Bersih Padi 2025'!B99)</f>
        <v/>
      </c>
      <c r="C99" s="31" t="str">
        <f>IF('1.1 Produksi Bersih Padi 2025'!C99="","",'1.1 Produksi Bersih Padi 2025'!C99)</f>
        <v/>
      </c>
      <c r="D99" s="1" t="str">
        <f>IF('1.1 Produksi Bersih Padi 2025'!D99="","",'1.1 Produksi Bersih Padi 2025'!D99)</f>
        <v/>
      </c>
      <c r="E99" s="1" t="str">
        <f>IF('1.1 Produksi Bersih Padi 2025'!E99="","",'1.1 Produksi Bersih Padi 2025'!E99)</f>
        <v/>
      </c>
      <c r="F99" s="28" t="str">
        <f>IF(D99="","",VLOOKUP(D99,'[1]0.1 Produksi Pangan &amp; Penduduk'!$D$5:$AQ$860,40,0))</f>
        <v/>
      </c>
      <c r="G99" s="29" t="str">
        <f t="shared" si="5"/>
        <v/>
      </c>
      <c r="H99" s="29" t="str">
        <f t="shared" si="6"/>
        <v/>
      </c>
      <c r="I99" s="29" t="str">
        <f t="shared" si="7"/>
        <v/>
      </c>
      <c r="J99" s="29" t="str">
        <f t="shared" si="8"/>
        <v/>
      </c>
      <c r="K99" s="29" t="str">
        <f t="shared" si="9"/>
        <v/>
      </c>
      <c r="M99" s="11"/>
    </row>
    <row r="100" spans="1:13" ht="15" x14ac:dyDescent="0.25">
      <c r="A100" s="1" t="str">
        <f>IF('1.1 Produksi Bersih Padi 2025'!A100="","",'1.1 Produksi Bersih Padi 2025'!A100)</f>
        <v/>
      </c>
      <c r="B100" s="31" t="str">
        <f>IF('1.1 Produksi Bersih Padi 2025'!B100="","",'1.1 Produksi Bersih Padi 2025'!B100)</f>
        <v/>
      </c>
      <c r="C100" s="31" t="str">
        <f>IF('1.1 Produksi Bersih Padi 2025'!C100="","",'1.1 Produksi Bersih Padi 2025'!C100)</f>
        <v/>
      </c>
      <c r="D100" s="1" t="str">
        <f>IF('1.1 Produksi Bersih Padi 2025'!D100="","",'1.1 Produksi Bersih Padi 2025'!D100)</f>
        <v/>
      </c>
      <c r="E100" s="1" t="str">
        <f>IF('1.1 Produksi Bersih Padi 2025'!E100="","",'1.1 Produksi Bersih Padi 2025'!E100)</f>
        <v/>
      </c>
      <c r="F100" s="28" t="str">
        <f>IF(D100="","",VLOOKUP(D100,'[1]0.1 Produksi Pangan &amp; Penduduk'!$D$5:$AQ$860,40,0))</f>
        <v/>
      </c>
      <c r="G100" s="29" t="str">
        <f t="shared" si="5"/>
        <v/>
      </c>
      <c r="H100" s="29" t="str">
        <f t="shared" si="6"/>
        <v/>
      </c>
      <c r="I100" s="29" t="str">
        <f t="shared" si="7"/>
        <v/>
      </c>
      <c r="J100" s="29" t="str">
        <f t="shared" si="8"/>
        <v/>
      </c>
      <c r="K100" s="29" t="str">
        <f t="shared" si="9"/>
        <v/>
      </c>
      <c r="M100" s="11"/>
    </row>
    <row r="101" spans="1:13" ht="15" x14ac:dyDescent="0.25">
      <c r="A101" s="1" t="str">
        <f>IF('1.1 Produksi Bersih Padi 2025'!A101="","",'1.1 Produksi Bersih Padi 2025'!A101)</f>
        <v/>
      </c>
      <c r="B101" s="31" t="str">
        <f>IF('1.1 Produksi Bersih Padi 2025'!B101="","",'1.1 Produksi Bersih Padi 2025'!B101)</f>
        <v/>
      </c>
      <c r="C101" s="31" t="str">
        <f>IF('1.1 Produksi Bersih Padi 2025'!C101="","",'1.1 Produksi Bersih Padi 2025'!C101)</f>
        <v/>
      </c>
      <c r="D101" s="1" t="str">
        <f>IF('1.1 Produksi Bersih Padi 2025'!D101="","",'1.1 Produksi Bersih Padi 2025'!D101)</f>
        <v/>
      </c>
      <c r="E101" s="1" t="str">
        <f>IF('1.1 Produksi Bersih Padi 2025'!E101="","",'1.1 Produksi Bersih Padi 2025'!E101)</f>
        <v/>
      </c>
      <c r="F101" s="28" t="str">
        <f>IF(D101="","",VLOOKUP(D101,'[1]0.1 Produksi Pangan &amp; Penduduk'!$D$5:$AQ$860,40,0))</f>
        <v/>
      </c>
      <c r="G101" s="29" t="str">
        <f t="shared" si="5"/>
        <v/>
      </c>
      <c r="H101" s="29" t="str">
        <f t="shared" si="6"/>
        <v/>
      </c>
      <c r="I101" s="29" t="str">
        <f t="shared" si="7"/>
        <v/>
      </c>
      <c r="J101" s="29" t="str">
        <f t="shared" si="8"/>
        <v/>
      </c>
      <c r="K101" s="29" t="str">
        <f t="shared" si="9"/>
        <v/>
      </c>
      <c r="M101" s="11"/>
    </row>
    <row r="102" spans="1:13" ht="15" x14ac:dyDescent="0.25">
      <c r="A102" s="1" t="str">
        <f>IF('1.1 Produksi Bersih Padi 2025'!A102="","",'1.1 Produksi Bersih Padi 2025'!A102)</f>
        <v/>
      </c>
      <c r="B102" s="31" t="str">
        <f>IF('1.1 Produksi Bersih Padi 2025'!B102="","",'1.1 Produksi Bersih Padi 2025'!B102)</f>
        <v/>
      </c>
      <c r="C102" s="31" t="str">
        <f>IF('1.1 Produksi Bersih Padi 2025'!C102="","",'1.1 Produksi Bersih Padi 2025'!C102)</f>
        <v/>
      </c>
      <c r="D102" s="1" t="str">
        <f>IF('1.1 Produksi Bersih Padi 2025'!D102="","",'1.1 Produksi Bersih Padi 2025'!D102)</f>
        <v/>
      </c>
      <c r="E102" s="1" t="str">
        <f>IF('1.1 Produksi Bersih Padi 2025'!E102="","",'1.1 Produksi Bersih Padi 2025'!E102)</f>
        <v/>
      </c>
      <c r="F102" s="28" t="str">
        <f>IF(D102="","",VLOOKUP(D102,'[1]0.1 Produksi Pangan &amp; Penduduk'!$D$5:$AQ$860,40,0))</f>
        <v/>
      </c>
      <c r="G102" s="29" t="str">
        <f t="shared" si="5"/>
        <v/>
      </c>
      <c r="H102" s="29" t="str">
        <f t="shared" si="6"/>
        <v/>
      </c>
      <c r="I102" s="29" t="str">
        <f t="shared" si="7"/>
        <v/>
      </c>
      <c r="J102" s="29" t="str">
        <f t="shared" si="8"/>
        <v/>
      </c>
      <c r="K102" s="29" t="str">
        <f t="shared" si="9"/>
        <v/>
      </c>
      <c r="M102" s="11"/>
    </row>
    <row r="103" spans="1:13" ht="15" x14ac:dyDescent="0.25">
      <c r="A103" s="1" t="str">
        <f>IF('1.1 Produksi Bersih Padi 2025'!A103="","",'1.1 Produksi Bersih Padi 2025'!A103)</f>
        <v/>
      </c>
      <c r="B103" s="31" t="str">
        <f>IF('1.1 Produksi Bersih Padi 2025'!B103="","",'1.1 Produksi Bersih Padi 2025'!B103)</f>
        <v/>
      </c>
      <c r="C103" s="31" t="str">
        <f>IF('1.1 Produksi Bersih Padi 2025'!C103="","",'1.1 Produksi Bersih Padi 2025'!C103)</f>
        <v/>
      </c>
      <c r="D103" s="1" t="str">
        <f>IF('1.1 Produksi Bersih Padi 2025'!D103="","",'1.1 Produksi Bersih Padi 2025'!D103)</f>
        <v/>
      </c>
      <c r="E103" s="1" t="str">
        <f>IF('1.1 Produksi Bersih Padi 2025'!E103="","",'1.1 Produksi Bersih Padi 2025'!E103)</f>
        <v/>
      </c>
      <c r="F103" s="28" t="str">
        <f>IF(D103="","",VLOOKUP(D103,'[1]0.1 Produksi Pangan &amp; Penduduk'!$D$5:$AQ$860,40,0))</f>
        <v/>
      </c>
      <c r="G103" s="29" t="str">
        <f t="shared" si="5"/>
        <v/>
      </c>
      <c r="H103" s="29" t="str">
        <f t="shared" si="6"/>
        <v/>
      </c>
      <c r="I103" s="29" t="str">
        <f t="shared" si="7"/>
        <v/>
      </c>
      <c r="J103" s="29" t="str">
        <f t="shared" si="8"/>
        <v/>
      </c>
      <c r="K103" s="29" t="str">
        <f t="shared" si="9"/>
        <v/>
      </c>
      <c r="M103" s="11"/>
    </row>
    <row r="104" spans="1:13" ht="15" x14ac:dyDescent="0.25">
      <c r="A104" s="1" t="str">
        <f>IF('1.1 Produksi Bersih Padi 2025'!A104="","",'1.1 Produksi Bersih Padi 2025'!A104)</f>
        <v/>
      </c>
      <c r="B104" s="31" t="str">
        <f>IF('1.1 Produksi Bersih Padi 2025'!B104="","",'1.1 Produksi Bersih Padi 2025'!B104)</f>
        <v/>
      </c>
      <c r="C104" s="31" t="str">
        <f>IF('1.1 Produksi Bersih Padi 2025'!C104="","",'1.1 Produksi Bersih Padi 2025'!C104)</f>
        <v/>
      </c>
      <c r="D104" s="1" t="str">
        <f>IF('1.1 Produksi Bersih Padi 2025'!D104="","",'1.1 Produksi Bersih Padi 2025'!D104)</f>
        <v/>
      </c>
      <c r="E104" s="1" t="str">
        <f>IF('1.1 Produksi Bersih Padi 2025'!E104="","",'1.1 Produksi Bersih Padi 2025'!E104)</f>
        <v/>
      </c>
      <c r="F104" s="28" t="str">
        <f>IF(D104="","",VLOOKUP(D104,'[1]0.1 Produksi Pangan &amp; Penduduk'!$D$5:$AQ$860,40,0))</f>
        <v/>
      </c>
      <c r="G104" s="29" t="str">
        <f t="shared" si="5"/>
        <v/>
      </c>
      <c r="H104" s="29" t="str">
        <f t="shared" si="6"/>
        <v/>
      </c>
      <c r="I104" s="29" t="str">
        <f t="shared" si="7"/>
        <v/>
      </c>
      <c r="J104" s="29" t="str">
        <f t="shared" si="8"/>
        <v/>
      </c>
      <c r="K104" s="29" t="str">
        <f t="shared" si="9"/>
        <v/>
      </c>
      <c r="M104" s="11"/>
    </row>
    <row r="105" spans="1:13" ht="15" x14ac:dyDescent="0.25">
      <c r="A105" s="1" t="str">
        <f>IF('1.1 Produksi Bersih Padi 2025'!A105="","",'1.1 Produksi Bersih Padi 2025'!A105)</f>
        <v/>
      </c>
      <c r="B105" s="31" t="str">
        <f>IF('1.1 Produksi Bersih Padi 2025'!B105="","",'1.1 Produksi Bersih Padi 2025'!B105)</f>
        <v/>
      </c>
      <c r="C105" s="31" t="str">
        <f>IF('1.1 Produksi Bersih Padi 2025'!C105="","",'1.1 Produksi Bersih Padi 2025'!C105)</f>
        <v/>
      </c>
      <c r="D105" s="1" t="str">
        <f>IF('1.1 Produksi Bersih Padi 2025'!D105="","",'1.1 Produksi Bersih Padi 2025'!D105)</f>
        <v/>
      </c>
      <c r="E105" s="1" t="str">
        <f>IF('1.1 Produksi Bersih Padi 2025'!E105="","",'1.1 Produksi Bersih Padi 2025'!E105)</f>
        <v/>
      </c>
      <c r="F105" s="28" t="str">
        <f>IF(D105="","",VLOOKUP(D105,'[1]0.1 Produksi Pangan &amp; Penduduk'!$D$5:$AQ$860,40,0))</f>
        <v/>
      </c>
      <c r="G105" s="29" t="str">
        <f t="shared" si="5"/>
        <v/>
      </c>
      <c r="H105" s="29" t="str">
        <f t="shared" si="6"/>
        <v/>
      </c>
      <c r="I105" s="29" t="str">
        <f t="shared" si="7"/>
        <v/>
      </c>
      <c r="J105" s="29" t="str">
        <f t="shared" si="8"/>
        <v/>
      </c>
      <c r="K105" s="29" t="str">
        <f t="shared" si="9"/>
        <v/>
      </c>
      <c r="M105" s="11"/>
    </row>
    <row r="106" spans="1:13" ht="15" x14ac:dyDescent="0.25">
      <c r="A106" s="1" t="str">
        <f>IF('1.1 Produksi Bersih Padi 2025'!A106="","",'1.1 Produksi Bersih Padi 2025'!A106)</f>
        <v/>
      </c>
      <c r="B106" s="31" t="str">
        <f>IF('1.1 Produksi Bersih Padi 2025'!B106="","",'1.1 Produksi Bersih Padi 2025'!B106)</f>
        <v/>
      </c>
      <c r="C106" s="31" t="str">
        <f>IF('1.1 Produksi Bersih Padi 2025'!C106="","",'1.1 Produksi Bersih Padi 2025'!C106)</f>
        <v/>
      </c>
      <c r="D106" s="1" t="str">
        <f>IF('1.1 Produksi Bersih Padi 2025'!D106="","",'1.1 Produksi Bersih Padi 2025'!D106)</f>
        <v/>
      </c>
      <c r="E106" s="1" t="str">
        <f>IF('1.1 Produksi Bersih Padi 2025'!E106="","",'1.1 Produksi Bersih Padi 2025'!E106)</f>
        <v/>
      </c>
      <c r="F106" s="28" t="str">
        <f>IF(D106="","",VLOOKUP(D106,'[1]0.1 Produksi Pangan &amp; Penduduk'!$D$5:$AQ$860,40,0))</f>
        <v/>
      </c>
      <c r="G106" s="29" t="str">
        <f t="shared" si="5"/>
        <v/>
      </c>
      <c r="H106" s="29" t="str">
        <f t="shared" si="6"/>
        <v/>
      </c>
      <c r="I106" s="29" t="str">
        <f t="shared" si="7"/>
        <v/>
      </c>
      <c r="J106" s="29" t="str">
        <f t="shared" si="8"/>
        <v/>
      </c>
      <c r="K106" s="29" t="str">
        <f t="shared" si="9"/>
        <v/>
      </c>
      <c r="M106" s="11"/>
    </row>
    <row r="107" spans="1:13" ht="15" x14ac:dyDescent="0.25">
      <c r="A107" s="1" t="str">
        <f>IF('1.1 Produksi Bersih Padi 2025'!A107="","",'1.1 Produksi Bersih Padi 2025'!A107)</f>
        <v/>
      </c>
      <c r="B107" s="31" t="str">
        <f>IF('1.1 Produksi Bersih Padi 2025'!B107="","",'1.1 Produksi Bersih Padi 2025'!B107)</f>
        <v/>
      </c>
      <c r="C107" s="31" t="str">
        <f>IF('1.1 Produksi Bersih Padi 2025'!C107="","",'1.1 Produksi Bersih Padi 2025'!C107)</f>
        <v/>
      </c>
      <c r="D107" s="1" t="str">
        <f>IF('1.1 Produksi Bersih Padi 2025'!D107="","",'1.1 Produksi Bersih Padi 2025'!D107)</f>
        <v/>
      </c>
      <c r="E107" s="1" t="str">
        <f>IF('1.1 Produksi Bersih Padi 2025'!E107="","",'1.1 Produksi Bersih Padi 2025'!E107)</f>
        <v/>
      </c>
      <c r="F107" s="28" t="str">
        <f>IF(D107="","",VLOOKUP(D107,'[1]0.1 Produksi Pangan &amp; Penduduk'!$D$5:$AQ$860,40,0))</f>
        <v/>
      </c>
      <c r="G107" s="29" t="str">
        <f t="shared" si="5"/>
        <v/>
      </c>
      <c r="H107" s="29" t="str">
        <f t="shared" si="6"/>
        <v/>
      </c>
      <c r="I107" s="29" t="str">
        <f t="shared" si="7"/>
        <v/>
      </c>
      <c r="J107" s="29" t="str">
        <f t="shared" si="8"/>
        <v/>
      </c>
      <c r="K107" s="29" t="str">
        <f t="shared" si="9"/>
        <v/>
      </c>
      <c r="M107" s="11"/>
    </row>
    <row r="108" spans="1:13" ht="15" x14ac:dyDescent="0.25">
      <c r="A108" s="1" t="str">
        <f>IF('1.1 Produksi Bersih Padi 2025'!A108="","",'1.1 Produksi Bersih Padi 2025'!A108)</f>
        <v/>
      </c>
      <c r="B108" s="31" t="str">
        <f>IF('1.1 Produksi Bersih Padi 2025'!B108="","",'1.1 Produksi Bersih Padi 2025'!B108)</f>
        <v/>
      </c>
      <c r="C108" s="31" t="str">
        <f>IF('1.1 Produksi Bersih Padi 2025'!C108="","",'1.1 Produksi Bersih Padi 2025'!C108)</f>
        <v/>
      </c>
      <c r="D108" s="1" t="str">
        <f>IF('1.1 Produksi Bersih Padi 2025'!D108="","",'1.1 Produksi Bersih Padi 2025'!D108)</f>
        <v/>
      </c>
      <c r="E108" s="1" t="str">
        <f>IF('1.1 Produksi Bersih Padi 2025'!E108="","",'1.1 Produksi Bersih Padi 2025'!E108)</f>
        <v/>
      </c>
      <c r="F108" s="28" t="str">
        <f>IF(D108="","",VLOOKUP(D108,'[1]0.1 Produksi Pangan &amp; Penduduk'!$D$5:$AQ$860,40,0))</f>
        <v/>
      </c>
      <c r="G108" s="29" t="str">
        <f t="shared" si="5"/>
        <v/>
      </c>
      <c r="H108" s="29" t="str">
        <f t="shared" si="6"/>
        <v/>
      </c>
      <c r="I108" s="29" t="str">
        <f t="shared" si="7"/>
        <v/>
      </c>
      <c r="J108" s="29" t="str">
        <f t="shared" si="8"/>
        <v/>
      </c>
      <c r="K108" s="29" t="str">
        <f t="shared" si="9"/>
        <v/>
      </c>
      <c r="M108" s="11"/>
    </row>
    <row r="109" spans="1:13" ht="15" x14ac:dyDescent="0.25">
      <c r="A109" s="1" t="str">
        <f>IF('1.1 Produksi Bersih Padi 2025'!A109="","",'1.1 Produksi Bersih Padi 2025'!A109)</f>
        <v/>
      </c>
      <c r="B109" s="31" t="str">
        <f>IF('1.1 Produksi Bersih Padi 2025'!B109="","",'1.1 Produksi Bersih Padi 2025'!B109)</f>
        <v/>
      </c>
      <c r="C109" s="31" t="str">
        <f>IF('1.1 Produksi Bersih Padi 2025'!C109="","",'1.1 Produksi Bersih Padi 2025'!C109)</f>
        <v/>
      </c>
      <c r="D109" s="1" t="str">
        <f>IF('1.1 Produksi Bersih Padi 2025'!D109="","",'1.1 Produksi Bersih Padi 2025'!D109)</f>
        <v/>
      </c>
      <c r="E109" s="1" t="str">
        <f>IF('1.1 Produksi Bersih Padi 2025'!E109="","",'1.1 Produksi Bersih Padi 2025'!E109)</f>
        <v/>
      </c>
      <c r="F109" s="28" t="str">
        <f>IF(D109="","",VLOOKUP(D109,'[1]0.1 Produksi Pangan &amp; Penduduk'!$D$5:$AQ$860,40,0))</f>
        <v/>
      </c>
      <c r="G109" s="29" t="str">
        <f t="shared" si="5"/>
        <v/>
      </c>
      <c r="H109" s="29" t="str">
        <f t="shared" si="6"/>
        <v/>
      </c>
      <c r="I109" s="29" t="str">
        <f t="shared" si="7"/>
        <v/>
      </c>
      <c r="J109" s="29" t="str">
        <f t="shared" si="8"/>
        <v/>
      </c>
      <c r="K109" s="29" t="str">
        <f t="shared" si="9"/>
        <v/>
      </c>
      <c r="M109" s="11"/>
    </row>
    <row r="110" spans="1:13" ht="15" x14ac:dyDescent="0.25">
      <c r="A110" s="1" t="str">
        <f>IF('1.1 Produksi Bersih Padi 2025'!A110="","",'1.1 Produksi Bersih Padi 2025'!A110)</f>
        <v/>
      </c>
      <c r="B110" s="31" t="str">
        <f>IF('1.1 Produksi Bersih Padi 2025'!B110="","",'1.1 Produksi Bersih Padi 2025'!B110)</f>
        <v/>
      </c>
      <c r="C110" s="31" t="str">
        <f>IF('1.1 Produksi Bersih Padi 2025'!C110="","",'1.1 Produksi Bersih Padi 2025'!C110)</f>
        <v/>
      </c>
      <c r="D110" s="1" t="str">
        <f>IF('1.1 Produksi Bersih Padi 2025'!D110="","",'1.1 Produksi Bersih Padi 2025'!D110)</f>
        <v/>
      </c>
      <c r="E110" s="1" t="str">
        <f>IF('1.1 Produksi Bersih Padi 2025'!E110="","",'1.1 Produksi Bersih Padi 2025'!E110)</f>
        <v/>
      </c>
      <c r="F110" s="28" t="str">
        <f>IF(D110="","",VLOOKUP(D110,'[1]0.1 Produksi Pangan &amp; Penduduk'!$D$5:$AQ$860,40,0))</f>
        <v/>
      </c>
      <c r="G110" s="29" t="str">
        <f t="shared" si="5"/>
        <v/>
      </c>
      <c r="H110" s="29" t="str">
        <f t="shared" si="6"/>
        <v/>
      </c>
      <c r="I110" s="29" t="str">
        <f t="shared" si="7"/>
        <v/>
      </c>
      <c r="J110" s="29" t="str">
        <f t="shared" si="8"/>
        <v/>
      </c>
      <c r="K110" s="29" t="str">
        <f t="shared" si="9"/>
        <v/>
      </c>
      <c r="M110" s="11"/>
    </row>
    <row r="111" spans="1:13" ht="15" x14ac:dyDescent="0.25">
      <c r="A111" s="1" t="str">
        <f>IF('1.1 Produksi Bersih Padi 2025'!A111="","",'1.1 Produksi Bersih Padi 2025'!A111)</f>
        <v/>
      </c>
      <c r="B111" s="31" t="str">
        <f>IF('1.1 Produksi Bersih Padi 2025'!B111="","",'1.1 Produksi Bersih Padi 2025'!B111)</f>
        <v/>
      </c>
      <c r="C111" s="31" t="str">
        <f>IF('1.1 Produksi Bersih Padi 2025'!C111="","",'1.1 Produksi Bersih Padi 2025'!C111)</f>
        <v/>
      </c>
      <c r="D111" s="1" t="str">
        <f>IF('1.1 Produksi Bersih Padi 2025'!D111="","",'1.1 Produksi Bersih Padi 2025'!D111)</f>
        <v/>
      </c>
      <c r="E111" s="1" t="str">
        <f>IF('1.1 Produksi Bersih Padi 2025'!E111="","",'1.1 Produksi Bersih Padi 2025'!E111)</f>
        <v/>
      </c>
      <c r="F111" s="28" t="str">
        <f>IF(D111="","",VLOOKUP(D111,'[1]0.1 Produksi Pangan &amp; Penduduk'!$D$5:$AQ$860,40,0))</f>
        <v/>
      </c>
      <c r="G111" s="29" t="str">
        <f t="shared" si="5"/>
        <v/>
      </c>
      <c r="H111" s="29" t="str">
        <f t="shared" si="6"/>
        <v/>
      </c>
      <c r="I111" s="29" t="str">
        <f t="shared" si="7"/>
        <v/>
      </c>
      <c r="J111" s="29" t="str">
        <f t="shared" si="8"/>
        <v/>
      </c>
      <c r="K111" s="29" t="str">
        <f t="shared" si="9"/>
        <v/>
      </c>
      <c r="M111" s="11"/>
    </row>
    <row r="112" spans="1:13" ht="15" x14ac:dyDescent="0.25">
      <c r="A112" s="1" t="str">
        <f>IF('1.1 Produksi Bersih Padi 2025'!A112="","",'1.1 Produksi Bersih Padi 2025'!A112)</f>
        <v/>
      </c>
      <c r="B112" s="31" t="str">
        <f>IF('1.1 Produksi Bersih Padi 2025'!B112="","",'1.1 Produksi Bersih Padi 2025'!B112)</f>
        <v/>
      </c>
      <c r="C112" s="31" t="str">
        <f>IF('1.1 Produksi Bersih Padi 2025'!C112="","",'1.1 Produksi Bersih Padi 2025'!C112)</f>
        <v/>
      </c>
      <c r="D112" s="1" t="str">
        <f>IF('1.1 Produksi Bersih Padi 2025'!D112="","",'1.1 Produksi Bersih Padi 2025'!D112)</f>
        <v/>
      </c>
      <c r="E112" s="1" t="str">
        <f>IF('1.1 Produksi Bersih Padi 2025'!E112="","",'1.1 Produksi Bersih Padi 2025'!E112)</f>
        <v/>
      </c>
      <c r="F112" s="28" t="str">
        <f>IF(D112="","",VLOOKUP(D112,'[1]0.1 Produksi Pangan &amp; Penduduk'!$D$5:$AQ$860,40,0))</f>
        <v/>
      </c>
      <c r="G112" s="29" t="str">
        <f t="shared" si="5"/>
        <v/>
      </c>
      <c r="H112" s="29" t="str">
        <f t="shared" si="6"/>
        <v/>
      </c>
      <c r="I112" s="29" t="str">
        <f t="shared" si="7"/>
        <v/>
      </c>
      <c r="J112" s="29" t="str">
        <f t="shared" si="8"/>
        <v/>
      </c>
      <c r="K112" s="29" t="str">
        <f t="shared" si="9"/>
        <v/>
      </c>
      <c r="M112" s="11"/>
    </row>
    <row r="113" spans="1:13" ht="15" x14ac:dyDescent="0.25">
      <c r="A113" s="1" t="str">
        <f>IF('1.1 Produksi Bersih Padi 2025'!A113="","",'1.1 Produksi Bersih Padi 2025'!A113)</f>
        <v/>
      </c>
      <c r="B113" s="31" t="str">
        <f>IF('1.1 Produksi Bersih Padi 2025'!B113="","",'1.1 Produksi Bersih Padi 2025'!B113)</f>
        <v/>
      </c>
      <c r="C113" s="31" t="str">
        <f>IF('1.1 Produksi Bersih Padi 2025'!C113="","",'1.1 Produksi Bersih Padi 2025'!C113)</f>
        <v/>
      </c>
      <c r="D113" s="1" t="str">
        <f>IF('1.1 Produksi Bersih Padi 2025'!D113="","",'1.1 Produksi Bersih Padi 2025'!D113)</f>
        <v/>
      </c>
      <c r="E113" s="1" t="str">
        <f>IF('1.1 Produksi Bersih Padi 2025'!E113="","",'1.1 Produksi Bersih Padi 2025'!E113)</f>
        <v/>
      </c>
      <c r="F113" s="28" t="str">
        <f>IF(D113="","",VLOOKUP(D113,'[1]0.1 Produksi Pangan &amp; Penduduk'!$D$5:$AQ$860,40,0))</f>
        <v/>
      </c>
      <c r="G113" s="29" t="str">
        <f t="shared" si="5"/>
        <v/>
      </c>
      <c r="H113" s="29" t="str">
        <f t="shared" si="6"/>
        <v/>
      </c>
      <c r="I113" s="29" t="str">
        <f t="shared" si="7"/>
        <v/>
      </c>
      <c r="J113" s="29" t="str">
        <f t="shared" si="8"/>
        <v/>
      </c>
      <c r="K113" s="29" t="str">
        <f t="shared" si="9"/>
        <v/>
      </c>
      <c r="M113" s="11"/>
    </row>
    <row r="114" spans="1:13" ht="15" x14ac:dyDescent="0.25">
      <c r="A114" s="1" t="str">
        <f>IF('1.1 Produksi Bersih Padi 2025'!A114="","",'1.1 Produksi Bersih Padi 2025'!A114)</f>
        <v/>
      </c>
      <c r="B114" s="31" t="str">
        <f>IF('1.1 Produksi Bersih Padi 2025'!B114="","",'1.1 Produksi Bersih Padi 2025'!B114)</f>
        <v/>
      </c>
      <c r="C114" s="31" t="str">
        <f>IF('1.1 Produksi Bersih Padi 2025'!C114="","",'1.1 Produksi Bersih Padi 2025'!C114)</f>
        <v/>
      </c>
      <c r="D114" s="1" t="str">
        <f>IF('1.1 Produksi Bersih Padi 2025'!D114="","",'1.1 Produksi Bersih Padi 2025'!D114)</f>
        <v/>
      </c>
      <c r="E114" s="1" t="str">
        <f>IF('1.1 Produksi Bersih Padi 2025'!E114="","",'1.1 Produksi Bersih Padi 2025'!E114)</f>
        <v/>
      </c>
      <c r="F114" s="28" t="str">
        <f>IF(D114="","",VLOOKUP(D114,'[1]0.1 Produksi Pangan &amp; Penduduk'!$D$5:$AQ$860,40,0))</f>
        <v/>
      </c>
      <c r="G114" s="29" t="str">
        <f t="shared" si="5"/>
        <v/>
      </c>
      <c r="H114" s="29" t="str">
        <f t="shared" si="6"/>
        <v/>
      </c>
      <c r="I114" s="29" t="str">
        <f t="shared" si="7"/>
        <v/>
      </c>
      <c r="J114" s="29" t="str">
        <f t="shared" si="8"/>
        <v/>
      </c>
      <c r="K114" s="29" t="str">
        <f t="shared" si="9"/>
        <v/>
      </c>
      <c r="M114" s="11"/>
    </row>
    <row r="115" spans="1:13" ht="15" x14ac:dyDescent="0.25">
      <c r="A115" s="1" t="str">
        <f>IF('1.1 Produksi Bersih Padi 2025'!A115="","",'1.1 Produksi Bersih Padi 2025'!A115)</f>
        <v/>
      </c>
      <c r="B115" s="31" t="str">
        <f>IF('1.1 Produksi Bersih Padi 2025'!B115="","",'1.1 Produksi Bersih Padi 2025'!B115)</f>
        <v/>
      </c>
      <c r="C115" s="31" t="str">
        <f>IF('1.1 Produksi Bersih Padi 2025'!C115="","",'1.1 Produksi Bersih Padi 2025'!C115)</f>
        <v/>
      </c>
      <c r="D115" s="1" t="str">
        <f>IF('1.1 Produksi Bersih Padi 2025'!D115="","",'1.1 Produksi Bersih Padi 2025'!D115)</f>
        <v/>
      </c>
      <c r="E115" s="1" t="str">
        <f>IF('1.1 Produksi Bersih Padi 2025'!E115="","",'1.1 Produksi Bersih Padi 2025'!E115)</f>
        <v/>
      </c>
      <c r="F115" s="28" t="str">
        <f>IF(D115="","",VLOOKUP(D115,'[1]0.1 Produksi Pangan &amp; Penduduk'!$D$5:$AQ$860,40,0))</f>
        <v/>
      </c>
      <c r="G115" s="29" t="str">
        <f t="shared" si="5"/>
        <v/>
      </c>
      <c r="H115" s="29" t="str">
        <f t="shared" si="6"/>
        <v/>
      </c>
      <c r="I115" s="29" t="str">
        <f t="shared" si="7"/>
        <v/>
      </c>
      <c r="J115" s="29" t="str">
        <f t="shared" si="8"/>
        <v/>
      </c>
      <c r="K115" s="29" t="str">
        <f t="shared" si="9"/>
        <v/>
      </c>
      <c r="M115" s="11"/>
    </row>
    <row r="116" spans="1:13" ht="15" x14ac:dyDescent="0.25">
      <c r="A116" s="1" t="str">
        <f>IF('1.1 Produksi Bersih Padi 2025'!A116="","",'1.1 Produksi Bersih Padi 2025'!A116)</f>
        <v/>
      </c>
      <c r="B116" s="31" t="str">
        <f>IF('1.1 Produksi Bersih Padi 2025'!B116="","",'1.1 Produksi Bersih Padi 2025'!B116)</f>
        <v/>
      </c>
      <c r="C116" s="31" t="str">
        <f>IF('1.1 Produksi Bersih Padi 2025'!C116="","",'1.1 Produksi Bersih Padi 2025'!C116)</f>
        <v/>
      </c>
      <c r="D116" s="1" t="str">
        <f>IF('1.1 Produksi Bersih Padi 2025'!D116="","",'1.1 Produksi Bersih Padi 2025'!D116)</f>
        <v/>
      </c>
      <c r="E116" s="1" t="str">
        <f>IF('1.1 Produksi Bersih Padi 2025'!E116="","",'1.1 Produksi Bersih Padi 2025'!E116)</f>
        <v/>
      </c>
      <c r="F116" s="28" t="str">
        <f>IF(D116="","",VLOOKUP(D116,'[1]0.1 Produksi Pangan &amp; Penduduk'!$D$5:$AQ$860,40,0))</f>
        <v/>
      </c>
      <c r="G116" s="29" t="str">
        <f t="shared" si="5"/>
        <v/>
      </c>
      <c r="H116" s="29" t="str">
        <f t="shared" si="6"/>
        <v/>
      </c>
      <c r="I116" s="29" t="str">
        <f t="shared" si="7"/>
        <v/>
      </c>
      <c r="J116" s="29" t="str">
        <f t="shared" si="8"/>
        <v/>
      </c>
      <c r="K116" s="29" t="str">
        <f t="shared" si="9"/>
        <v/>
      </c>
      <c r="M116" s="11"/>
    </row>
    <row r="117" spans="1:13" ht="15" x14ac:dyDescent="0.25">
      <c r="A117" s="1" t="str">
        <f>IF('1.1 Produksi Bersih Padi 2025'!A117="","",'1.1 Produksi Bersih Padi 2025'!A117)</f>
        <v/>
      </c>
      <c r="B117" s="31" t="str">
        <f>IF('1.1 Produksi Bersih Padi 2025'!B117="","",'1.1 Produksi Bersih Padi 2025'!B117)</f>
        <v/>
      </c>
      <c r="C117" s="31" t="str">
        <f>IF('1.1 Produksi Bersih Padi 2025'!C117="","",'1.1 Produksi Bersih Padi 2025'!C117)</f>
        <v/>
      </c>
      <c r="D117" s="1" t="str">
        <f>IF('1.1 Produksi Bersih Padi 2025'!D117="","",'1.1 Produksi Bersih Padi 2025'!D117)</f>
        <v/>
      </c>
      <c r="E117" s="1" t="str">
        <f>IF('1.1 Produksi Bersih Padi 2025'!E117="","",'1.1 Produksi Bersih Padi 2025'!E117)</f>
        <v/>
      </c>
      <c r="F117" s="28" t="str">
        <f>IF(D117="","",VLOOKUP(D117,'[1]0.1 Produksi Pangan &amp; Penduduk'!$D$5:$AQ$860,40,0))</f>
        <v/>
      </c>
      <c r="G117" s="29" t="str">
        <f t="shared" si="5"/>
        <v/>
      </c>
      <c r="H117" s="29" t="str">
        <f t="shared" si="6"/>
        <v/>
      </c>
      <c r="I117" s="29" t="str">
        <f t="shared" si="7"/>
        <v/>
      </c>
      <c r="J117" s="29" t="str">
        <f t="shared" si="8"/>
        <v/>
      </c>
      <c r="K117" s="29" t="str">
        <f t="shared" si="9"/>
        <v/>
      </c>
      <c r="M117" s="11"/>
    </row>
    <row r="118" spans="1:13" ht="15" x14ac:dyDescent="0.25">
      <c r="A118" s="1" t="str">
        <f>IF('1.1 Produksi Bersih Padi 2025'!A118="","",'1.1 Produksi Bersih Padi 2025'!A118)</f>
        <v/>
      </c>
      <c r="B118" s="31" t="str">
        <f>IF('1.1 Produksi Bersih Padi 2025'!B118="","",'1.1 Produksi Bersih Padi 2025'!B118)</f>
        <v/>
      </c>
      <c r="C118" s="31" t="str">
        <f>IF('1.1 Produksi Bersih Padi 2025'!C118="","",'1.1 Produksi Bersih Padi 2025'!C118)</f>
        <v/>
      </c>
      <c r="D118" s="1" t="str">
        <f>IF('1.1 Produksi Bersih Padi 2025'!D118="","",'1.1 Produksi Bersih Padi 2025'!D118)</f>
        <v/>
      </c>
      <c r="E118" s="1" t="str">
        <f>IF('1.1 Produksi Bersih Padi 2025'!E118="","",'1.1 Produksi Bersih Padi 2025'!E118)</f>
        <v/>
      </c>
      <c r="F118" s="28" t="str">
        <f>IF(D118="","",VLOOKUP(D118,'[1]0.1 Produksi Pangan &amp; Penduduk'!$D$5:$AQ$860,40,0))</f>
        <v/>
      </c>
      <c r="G118" s="29" t="str">
        <f t="shared" si="5"/>
        <v/>
      </c>
      <c r="H118" s="29" t="str">
        <f t="shared" si="6"/>
        <v/>
      </c>
      <c r="I118" s="29" t="str">
        <f t="shared" si="7"/>
        <v/>
      </c>
      <c r="J118" s="29" t="str">
        <f t="shared" si="8"/>
        <v/>
      </c>
      <c r="K118" s="29" t="str">
        <f t="shared" si="9"/>
        <v/>
      </c>
      <c r="M118" s="11"/>
    </row>
    <row r="119" spans="1:13" ht="15" x14ac:dyDescent="0.25">
      <c r="A119" s="1" t="str">
        <f>IF('1.1 Produksi Bersih Padi 2025'!A119="","",'1.1 Produksi Bersih Padi 2025'!A119)</f>
        <v/>
      </c>
      <c r="B119" s="31" t="str">
        <f>IF('1.1 Produksi Bersih Padi 2025'!B119="","",'1.1 Produksi Bersih Padi 2025'!B119)</f>
        <v/>
      </c>
      <c r="C119" s="31" t="str">
        <f>IF('1.1 Produksi Bersih Padi 2025'!C119="","",'1.1 Produksi Bersih Padi 2025'!C119)</f>
        <v/>
      </c>
      <c r="D119" s="1" t="str">
        <f>IF('1.1 Produksi Bersih Padi 2025'!D119="","",'1.1 Produksi Bersih Padi 2025'!D119)</f>
        <v/>
      </c>
      <c r="E119" s="1" t="str">
        <f>IF('1.1 Produksi Bersih Padi 2025'!E119="","",'1.1 Produksi Bersih Padi 2025'!E119)</f>
        <v/>
      </c>
      <c r="F119" s="28" t="str">
        <f>IF(D119="","",VLOOKUP(D119,'[1]0.1 Produksi Pangan &amp; Penduduk'!$D$5:$AQ$860,40,0))</f>
        <v/>
      </c>
      <c r="G119" s="29" t="str">
        <f t="shared" si="5"/>
        <v/>
      </c>
      <c r="H119" s="29" t="str">
        <f t="shared" si="6"/>
        <v/>
      </c>
      <c r="I119" s="29" t="str">
        <f t="shared" si="7"/>
        <v/>
      </c>
      <c r="J119" s="29" t="str">
        <f t="shared" si="8"/>
        <v/>
      </c>
      <c r="K119" s="29" t="str">
        <f t="shared" si="9"/>
        <v/>
      </c>
      <c r="M119" s="11"/>
    </row>
    <row r="120" spans="1:13" ht="15" x14ac:dyDescent="0.25">
      <c r="A120" s="1" t="str">
        <f>IF('1.1 Produksi Bersih Padi 2025'!A120="","",'1.1 Produksi Bersih Padi 2025'!A120)</f>
        <v/>
      </c>
      <c r="B120" s="31" t="str">
        <f>IF('1.1 Produksi Bersih Padi 2025'!B120="","",'1.1 Produksi Bersih Padi 2025'!B120)</f>
        <v/>
      </c>
      <c r="C120" s="31" t="str">
        <f>IF('1.1 Produksi Bersih Padi 2025'!C120="","",'1.1 Produksi Bersih Padi 2025'!C120)</f>
        <v/>
      </c>
      <c r="D120" s="1" t="str">
        <f>IF('1.1 Produksi Bersih Padi 2025'!D120="","",'1.1 Produksi Bersih Padi 2025'!D120)</f>
        <v/>
      </c>
      <c r="E120" s="1" t="str">
        <f>IF('1.1 Produksi Bersih Padi 2025'!E120="","",'1.1 Produksi Bersih Padi 2025'!E120)</f>
        <v/>
      </c>
      <c r="F120" s="28" t="str">
        <f>IF(D120="","",VLOOKUP(D120,'[1]0.1 Produksi Pangan &amp; Penduduk'!$D$5:$AQ$860,40,0))</f>
        <v/>
      </c>
      <c r="G120" s="29" t="str">
        <f t="shared" si="5"/>
        <v/>
      </c>
      <c r="H120" s="29" t="str">
        <f t="shared" si="6"/>
        <v/>
      </c>
      <c r="I120" s="29" t="str">
        <f t="shared" si="7"/>
        <v/>
      </c>
      <c r="J120" s="29" t="str">
        <f t="shared" si="8"/>
        <v/>
      </c>
      <c r="K120" s="29" t="str">
        <f t="shared" si="9"/>
        <v/>
      </c>
      <c r="M120" s="11"/>
    </row>
    <row r="121" spans="1:13" ht="15" x14ac:dyDescent="0.25">
      <c r="A121" s="1" t="str">
        <f>IF('1.1 Produksi Bersih Padi 2025'!A121="","",'1.1 Produksi Bersih Padi 2025'!A121)</f>
        <v/>
      </c>
      <c r="B121" s="31" t="str">
        <f>IF('1.1 Produksi Bersih Padi 2025'!B121="","",'1.1 Produksi Bersih Padi 2025'!B121)</f>
        <v/>
      </c>
      <c r="C121" s="31" t="str">
        <f>IF('1.1 Produksi Bersih Padi 2025'!C121="","",'1.1 Produksi Bersih Padi 2025'!C121)</f>
        <v/>
      </c>
      <c r="D121" s="1" t="str">
        <f>IF('1.1 Produksi Bersih Padi 2025'!D121="","",'1.1 Produksi Bersih Padi 2025'!D121)</f>
        <v/>
      </c>
      <c r="E121" s="1" t="str">
        <f>IF('1.1 Produksi Bersih Padi 2025'!E121="","",'1.1 Produksi Bersih Padi 2025'!E121)</f>
        <v/>
      </c>
      <c r="F121" s="28" t="str">
        <f>IF(D121="","",VLOOKUP(D121,'[1]0.1 Produksi Pangan &amp; Penduduk'!$D$5:$AQ$860,40,0))</f>
        <v/>
      </c>
      <c r="G121" s="29" t="str">
        <f t="shared" si="5"/>
        <v/>
      </c>
      <c r="H121" s="29" t="str">
        <f t="shared" si="6"/>
        <v/>
      </c>
      <c r="I121" s="29" t="str">
        <f t="shared" si="7"/>
        <v/>
      </c>
      <c r="J121" s="29" t="str">
        <f t="shared" si="8"/>
        <v/>
      </c>
      <c r="K121" s="29" t="str">
        <f t="shared" si="9"/>
        <v/>
      </c>
      <c r="M121" s="11"/>
    </row>
    <row r="122" spans="1:13" ht="15" x14ac:dyDescent="0.25">
      <c r="A122" s="1" t="str">
        <f>IF('1.1 Produksi Bersih Padi 2025'!A122="","",'1.1 Produksi Bersih Padi 2025'!A122)</f>
        <v/>
      </c>
      <c r="B122" s="31" t="str">
        <f>IF('1.1 Produksi Bersih Padi 2025'!B122="","",'1.1 Produksi Bersih Padi 2025'!B122)</f>
        <v/>
      </c>
      <c r="C122" s="31" t="str">
        <f>IF('1.1 Produksi Bersih Padi 2025'!C122="","",'1.1 Produksi Bersih Padi 2025'!C122)</f>
        <v/>
      </c>
      <c r="D122" s="1" t="str">
        <f>IF('1.1 Produksi Bersih Padi 2025'!D122="","",'1.1 Produksi Bersih Padi 2025'!D122)</f>
        <v/>
      </c>
      <c r="E122" s="1" t="str">
        <f>IF('1.1 Produksi Bersih Padi 2025'!E122="","",'1.1 Produksi Bersih Padi 2025'!E122)</f>
        <v/>
      </c>
      <c r="F122" s="28" t="str">
        <f>IF(D122="","",VLOOKUP(D122,'[1]0.1 Produksi Pangan &amp; Penduduk'!$D$5:$AQ$860,40,0))</f>
        <v/>
      </c>
      <c r="G122" s="29" t="str">
        <f t="shared" si="5"/>
        <v/>
      </c>
      <c r="H122" s="29" t="str">
        <f t="shared" si="6"/>
        <v/>
      </c>
      <c r="I122" s="29" t="str">
        <f t="shared" si="7"/>
        <v/>
      </c>
      <c r="J122" s="29" t="str">
        <f t="shared" si="8"/>
        <v/>
      </c>
      <c r="K122" s="29" t="str">
        <f t="shared" si="9"/>
        <v/>
      </c>
      <c r="M122" s="11"/>
    </row>
    <row r="123" spans="1:13" ht="15" x14ac:dyDescent="0.25">
      <c r="A123" s="1" t="str">
        <f>IF('1.1 Produksi Bersih Padi 2025'!A123="","",'1.1 Produksi Bersih Padi 2025'!A123)</f>
        <v/>
      </c>
      <c r="B123" s="31" t="str">
        <f>IF('1.1 Produksi Bersih Padi 2025'!B123="","",'1.1 Produksi Bersih Padi 2025'!B123)</f>
        <v/>
      </c>
      <c r="C123" s="31" t="str">
        <f>IF('1.1 Produksi Bersih Padi 2025'!C123="","",'1.1 Produksi Bersih Padi 2025'!C123)</f>
        <v/>
      </c>
      <c r="D123" s="1" t="str">
        <f>IF('1.1 Produksi Bersih Padi 2025'!D123="","",'1.1 Produksi Bersih Padi 2025'!D123)</f>
        <v/>
      </c>
      <c r="E123" s="1" t="str">
        <f>IF('1.1 Produksi Bersih Padi 2025'!E123="","",'1.1 Produksi Bersih Padi 2025'!E123)</f>
        <v/>
      </c>
      <c r="F123" s="28" t="str">
        <f>IF(D123="","",VLOOKUP(D123,'[1]0.1 Produksi Pangan &amp; Penduduk'!$D$5:$AQ$860,40,0))</f>
        <v/>
      </c>
      <c r="G123" s="29" t="str">
        <f t="shared" si="5"/>
        <v/>
      </c>
      <c r="H123" s="29" t="str">
        <f t="shared" si="6"/>
        <v/>
      </c>
      <c r="I123" s="29" t="str">
        <f t="shared" si="7"/>
        <v/>
      </c>
      <c r="J123" s="29" t="str">
        <f t="shared" si="8"/>
        <v/>
      </c>
      <c r="K123" s="29" t="str">
        <f t="shared" si="9"/>
        <v/>
      </c>
      <c r="M123" s="11"/>
    </row>
    <row r="124" spans="1:13" ht="15" x14ac:dyDescent="0.25">
      <c r="A124" s="1" t="str">
        <f>IF('1.1 Produksi Bersih Padi 2025'!A124="","",'1.1 Produksi Bersih Padi 2025'!A124)</f>
        <v/>
      </c>
      <c r="B124" s="31" t="str">
        <f>IF('1.1 Produksi Bersih Padi 2025'!B124="","",'1.1 Produksi Bersih Padi 2025'!B124)</f>
        <v/>
      </c>
      <c r="C124" s="31" t="str">
        <f>IF('1.1 Produksi Bersih Padi 2025'!C124="","",'1.1 Produksi Bersih Padi 2025'!C124)</f>
        <v/>
      </c>
      <c r="D124" s="1" t="str">
        <f>IF('1.1 Produksi Bersih Padi 2025'!D124="","",'1.1 Produksi Bersih Padi 2025'!D124)</f>
        <v/>
      </c>
      <c r="E124" s="1" t="str">
        <f>IF('1.1 Produksi Bersih Padi 2025'!E124="","",'1.1 Produksi Bersih Padi 2025'!E124)</f>
        <v/>
      </c>
      <c r="F124" s="28" t="str">
        <f>IF(D124="","",VLOOKUP(D124,'[1]0.1 Produksi Pangan &amp; Penduduk'!$D$5:$AQ$860,40,0))</f>
        <v/>
      </c>
      <c r="G124" s="29" t="str">
        <f t="shared" si="5"/>
        <v/>
      </c>
      <c r="H124" s="29" t="str">
        <f t="shared" si="6"/>
        <v/>
      </c>
      <c r="I124" s="29" t="str">
        <f t="shared" si="7"/>
        <v/>
      </c>
      <c r="J124" s="29" t="str">
        <f t="shared" si="8"/>
        <v/>
      </c>
      <c r="K124" s="29" t="str">
        <f t="shared" si="9"/>
        <v/>
      </c>
      <c r="M124" s="11"/>
    </row>
    <row r="125" spans="1:13" ht="15" x14ac:dyDescent="0.25">
      <c r="A125" s="1" t="str">
        <f>IF('1.1 Produksi Bersih Padi 2025'!A125="","",'1.1 Produksi Bersih Padi 2025'!A125)</f>
        <v/>
      </c>
      <c r="B125" s="31" t="str">
        <f>IF('1.1 Produksi Bersih Padi 2025'!B125="","",'1.1 Produksi Bersih Padi 2025'!B125)</f>
        <v/>
      </c>
      <c r="C125" s="31" t="str">
        <f>IF('1.1 Produksi Bersih Padi 2025'!C125="","",'1.1 Produksi Bersih Padi 2025'!C125)</f>
        <v/>
      </c>
      <c r="D125" s="1" t="str">
        <f>IF('1.1 Produksi Bersih Padi 2025'!D125="","",'1.1 Produksi Bersih Padi 2025'!D125)</f>
        <v/>
      </c>
      <c r="E125" s="1" t="str">
        <f>IF('1.1 Produksi Bersih Padi 2025'!E125="","",'1.1 Produksi Bersih Padi 2025'!E125)</f>
        <v/>
      </c>
      <c r="F125" s="28" t="str">
        <f>IF(D125="","",VLOOKUP(D125,'[1]0.1 Produksi Pangan &amp; Penduduk'!$D$5:$AQ$860,40,0))</f>
        <v/>
      </c>
      <c r="G125" s="29" t="str">
        <f t="shared" si="5"/>
        <v/>
      </c>
      <c r="H125" s="29" t="str">
        <f t="shared" si="6"/>
        <v/>
      </c>
      <c r="I125" s="29" t="str">
        <f t="shared" si="7"/>
        <v/>
      </c>
      <c r="J125" s="29" t="str">
        <f t="shared" si="8"/>
        <v/>
      </c>
      <c r="K125" s="29" t="str">
        <f t="shared" si="9"/>
        <v/>
      </c>
      <c r="M125" s="11"/>
    </row>
    <row r="126" spans="1:13" ht="15" x14ac:dyDescent="0.25">
      <c r="A126" s="1" t="str">
        <f>IF('1.1 Produksi Bersih Padi 2025'!A126="","",'1.1 Produksi Bersih Padi 2025'!A126)</f>
        <v/>
      </c>
      <c r="B126" s="31" t="str">
        <f>IF('1.1 Produksi Bersih Padi 2025'!B126="","",'1.1 Produksi Bersih Padi 2025'!B126)</f>
        <v/>
      </c>
      <c r="C126" s="31" t="str">
        <f>IF('1.1 Produksi Bersih Padi 2025'!C126="","",'1.1 Produksi Bersih Padi 2025'!C126)</f>
        <v/>
      </c>
      <c r="D126" s="1" t="str">
        <f>IF('1.1 Produksi Bersih Padi 2025'!D126="","",'1.1 Produksi Bersih Padi 2025'!D126)</f>
        <v/>
      </c>
      <c r="E126" s="1" t="str">
        <f>IF('1.1 Produksi Bersih Padi 2025'!E126="","",'1.1 Produksi Bersih Padi 2025'!E126)</f>
        <v/>
      </c>
      <c r="F126" s="28" t="str">
        <f>IF(D126="","",VLOOKUP(D126,'[1]0.1 Produksi Pangan &amp; Penduduk'!$D$5:$AQ$860,40,0))</f>
        <v/>
      </c>
      <c r="G126" s="29" t="str">
        <f t="shared" si="5"/>
        <v/>
      </c>
      <c r="H126" s="29" t="str">
        <f t="shared" si="6"/>
        <v/>
      </c>
      <c r="I126" s="29" t="str">
        <f t="shared" si="7"/>
        <v/>
      </c>
      <c r="J126" s="29" t="str">
        <f t="shared" si="8"/>
        <v/>
      </c>
      <c r="K126" s="29" t="str">
        <f t="shared" si="9"/>
        <v/>
      </c>
      <c r="M126" s="11"/>
    </row>
    <row r="127" spans="1:13" ht="15" x14ac:dyDescent="0.25">
      <c r="A127" s="1" t="str">
        <f>IF('1.1 Produksi Bersih Padi 2025'!A127="","",'1.1 Produksi Bersih Padi 2025'!A127)</f>
        <v/>
      </c>
      <c r="B127" s="31" t="str">
        <f>IF('1.1 Produksi Bersih Padi 2025'!B127="","",'1.1 Produksi Bersih Padi 2025'!B127)</f>
        <v/>
      </c>
      <c r="C127" s="31" t="str">
        <f>IF('1.1 Produksi Bersih Padi 2025'!C127="","",'1.1 Produksi Bersih Padi 2025'!C127)</f>
        <v/>
      </c>
      <c r="D127" s="1" t="str">
        <f>IF('1.1 Produksi Bersih Padi 2025'!D127="","",'1.1 Produksi Bersih Padi 2025'!D127)</f>
        <v/>
      </c>
      <c r="E127" s="1" t="str">
        <f>IF('1.1 Produksi Bersih Padi 2025'!E127="","",'1.1 Produksi Bersih Padi 2025'!E127)</f>
        <v/>
      </c>
      <c r="F127" s="28" t="str">
        <f>IF(D127="","",VLOOKUP(D127,'[1]0.1 Produksi Pangan &amp; Penduduk'!$D$5:$AQ$860,40,0))</f>
        <v/>
      </c>
      <c r="G127" s="29" t="str">
        <f t="shared" si="5"/>
        <v/>
      </c>
      <c r="H127" s="29" t="str">
        <f t="shared" si="6"/>
        <v/>
      </c>
      <c r="I127" s="29" t="str">
        <f t="shared" si="7"/>
        <v/>
      </c>
      <c r="J127" s="29" t="str">
        <f t="shared" si="8"/>
        <v/>
      </c>
      <c r="K127" s="29" t="str">
        <f t="shared" si="9"/>
        <v/>
      </c>
      <c r="M127" s="11"/>
    </row>
    <row r="128" spans="1:13" ht="15" x14ac:dyDescent="0.25">
      <c r="A128" s="1" t="str">
        <f>IF('1.1 Produksi Bersih Padi 2025'!A128="","",'1.1 Produksi Bersih Padi 2025'!A128)</f>
        <v/>
      </c>
      <c r="B128" s="31" t="str">
        <f>IF('1.1 Produksi Bersih Padi 2025'!B128="","",'1.1 Produksi Bersih Padi 2025'!B128)</f>
        <v/>
      </c>
      <c r="C128" s="31" t="str">
        <f>IF('1.1 Produksi Bersih Padi 2025'!C128="","",'1.1 Produksi Bersih Padi 2025'!C128)</f>
        <v/>
      </c>
      <c r="D128" s="1" t="str">
        <f>IF('1.1 Produksi Bersih Padi 2025'!D128="","",'1.1 Produksi Bersih Padi 2025'!D128)</f>
        <v/>
      </c>
      <c r="E128" s="1" t="str">
        <f>IF('1.1 Produksi Bersih Padi 2025'!E128="","",'1.1 Produksi Bersih Padi 2025'!E128)</f>
        <v/>
      </c>
      <c r="F128" s="28" t="str">
        <f>IF(D128="","",VLOOKUP(D128,'[1]0.1 Produksi Pangan &amp; Penduduk'!$D$5:$AQ$860,40,0))</f>
        <v/>
      </c>
      <c r="G128" s="29" t="str">
        <f t="shared" si="5"/>
        <v/>
      </c>
      <c r="H128" s="29" t="str">
        <f t="shared" si="6"/>
        <v/>
      </c>
      <c r="I128" s="29" t="str">
        <f t="shared" si="7"/>
        <v/>
      </c>
      <c r="J128" s="29" t="str">
        <f t="shared" si="8"/>
        <v/>
      </c>
      <c r="K128" s="29" t="str">
        <f t="shared" si="9"/>
        <v/>
      </c>
      <c r="M128" s="11"/>
    </row>
    <row r="129" spans="1:13" ht="15" x14ac:dyDescent="0.25">
      <c r="A129" s="1" t="str">
        <f>IF('1.1 Produksi Bersih Padi 2025'!A129="","",'1.1 Produksi Bersih Padi 2025'!A129)</f>
        <v/>
      </c>
      <c r="B129" s="31" t="str">
        <f>IF('1.1 Produksi Bersih Padi 2025'!B129="","",'1.1 Produksi Bersih Padi 2025'!B129)</f>
        <v/>
      </c>
      <c r="C129" s="31" t="str">
        <f>IF('1.1 Produksi Bersih Padi 2025'!C129="","",'1.1 Produksi Bersih Padi 2025'!C129)</f>
        <v/>
      </c>
      <c r="D129" s="1" t="str">
        <f>IF('1.1 Produksi Bersih Padi 2025'!D129="","",'1.1 Produksi Bersih Padi 2025'!D129)</f>
        <v/>
      </c>
      <c r="E129" s="1" t="str">
        <f>IF('1.1 Produksi Bersih Padi 2025'!E129="","",'1.1 Produksi Bersih Padi 2025'!E129)</f>
        <v/>
      </c>
      <c r="F129" s="28" t="str">
        <f>IF(D129="","",VLOOKUP(D129,'[1]0.1 Produksi Pangan &amp; Penduduk'!$D$5:$AQ$860,40,0))</f>
        <v/>
      </c>
      <c r="G129" s="29" t="str">
        <f t="shared" si="5"/>
        <v/>
      </c>
      <c r="H129" s="29" t="str">
        <f t="shared" si="6"/>
        <v/>
      </c>
      <c r="I129" s="29" t="str">
        <f t="shared" si="7"/>
        <v/>
      </c>
      <c r="J129" s="29" t="str">
        <f t="shared" si="8"/>
        <v/>
      </c>
      <c r="K129" s="29" t="str">
        <f t="shared" si="9"/>
        <v/>
      </c>
      <c r="M129" s="11"/>
    </row>
    <row r="130" spans="1:13" ht="15" x14ac:dyDescent="0.25">
      <c r="A130" s="1" t="str">
        <f>IF('1.1 Produksi Bersih Padi 2025'!A130="","",'1.1 Produksi Bersih Padi 2025'!A130)</f>
        <v/>
      </c>
      <c r="B130" s="31" t="str">
        <f>IF('1.1 Produksi Bersih Padi 2025'!B130="","",'1.1 Produksi Bersih Padi 2025'!B130)</f>
        <v/>
      </c>
      <c r="C130" s="31" t="str">
        <f>IF('1.1 Produksi Bersih Padi 2025'!C130="","",'1.1 Produksi Bersih Padi 2025'!C130)</f>
        <v/>
      </c>
      <c r="D130" s="1" t="str">
        <f>IF('1.1 Produksi Bersih Padi 2025'!D130="","",'1.1 Produksi Bersih Padi 2025'!D130)</f>
        <v/>
      </c>
      <c r="E130" s="1" t="str">
        <f>IF('1.1 Produksi Bersih Padi 2025'!E130="","",'1.1 Produksi Bersih Padi 2025'!E130)</f>
        <v/>
      </c>
      <c r="F130" s="28" t="str">
        <f>IF(D130="","",VLOOKUP(D130,'[1]0.1 Produksi Pangan &amp; Penduduk'!$D$5:$AQ$860,40,0))</f>
        <v/>
      </c>
      <c r="G130" s="29" t="str">
        <f t="shared" si="5"/>
        <v/>
      </c>
      <c r="H130" s="29" t="str">
        <f t="shared" si="6"/>
        <v/>
      </c>
      <c r="I130" s="29" t="str">
        <f t="shared" si="7"/>
        <v/>
      </c>
      <c r="J130" s="29" t="str">
        <f t="shared" si="8"/>
        <v/>
      </c>
      <c r="K130" s="29" t="str">
        <f t="shared" si="9"/>
        <v/>
      </c>
      <c r="M130" s="11"/>
    </row>
    <row r="131" spans="1:13" ht="15" x14ac:dyDescent="0.25">
      <c r="A131" s="1" t="str">
        <f>IF('1.1 Produksi Bersih Padi 2025'!A131="","",'1.1 Produksi Bersih Padi 2025'!A131)</f>
        <v/>
      </c>
      <c r="B131" s="31" t="str">
        <f>IF('1.1 Produksi Bersih Padi 2025'!B131="","",'1.1 Produksi Bersih Padi 2025'!B131)</f>
        <v/>
      </c>
      <c r="C131" s="31" t="str">
        <f>IF('1.1 Produksi Bersih Padi 2025'!C131="","",'1.1 Produksi Bersih Padi 2025'!C131)</f>
        <v/>
      </c>
      <c r="D131" s="1" t="str">
        <f>IF('1.1 Produksi Bersih Padi 2025'!D131="","",'1.1 Produksi Bersih Padi 2025'!D131)</f>
        <v/>
      </c>
      <c r="E131" s="1" t="str">
        <f>IF('1.1 Produksi Bersih Padi 2025'!E131="","",'1.1 Produksi Bersih Padi 2025'!E131)</f>
        <v/>
      </c>
      <c r="F131" s="28" t="str">
        <f>IF(D131="","",VLOOKUP(D131,'[1]0.1 Produksi Pangan &amp; Penduduk'!$D$5:$AQ$860,40,0))</f>
        <v/>
      </c>
      <c r="G131" s="29" t="str">
        <f t="shared" si="5"/>
        <v/>
      </c>
      <c r="H131" s="29" t="str">
        <f t="shared" si="6"/>
        <v/>
      </c>
      <c r="I131" s="29" t="str">
        <f t="shared" si="7"/>
        <v/>
      </c>
      <c r="J131" s="29" t="str">
        <f t="shared" si="8"/>
        <v/>
      </c>
      <c r="K131" s="29" t="str">
        <f t="shared" si="9"/>
        <v/>
      </c>
      <c r="M131" s="11"/>
    </row>
    <row r="132" spans="1:13" ht="15" x14ac:dyDescent="0.25">
      <c r="A132" s="1" t="str">
        <f>IF('1.1 Produksi Bersih Padi 2025'!A132="","",'1.1 Produksi Bersih Padi 2025'!A132)</f>
        <v/>
      </c>
      <c r="B132" s="31" t="str">
        <f>IF('1.1 Produksi Bersih Padi 2025'!B132="","",'1.1 Produksi Bersih Padi 2025'!B132)</f>
        <v/>
      </c>
      <c r="C132" s="31" t="str">
        <f>IF('1.1 Produksi Bersih Padi 2025'!C132="","",'1.1 Produksi Bersih Padi 2025'!C132)</f>
        <v/>
      </c>
      <c r="D132" s="1" t="str">
        <f>IF('1.1 Produksi Bersih Padi 2025'!D132="","",'1.1 Produksi Bersih Padi 2025'!D132)</f>
        <v/>
      </c>
      <c r="E132" s="1" t="str">
        <f>IF('1.1 Produksi Bersih Padi 2025'!E132="","",'1.1 Produksi Bersih Padi 2025'!E132)</f>
        <v/>
      </c>
      <c r="F132" s="28" t="str">
        <f>IF(D132="","",VLOOKUP(D132,'[1]0.1 Produksi Pangan &amp; Penduduk'!$D$5:$AQ$860,40,0))</f>
        <v/>
      </c>
      <c r="G132" s="29" t="str">
        <f t="shared" si="5"/>
        <v/>
      </c>
      <c r="H132" s="29" t="str">
        <f t="shared" si="6"/>
        <v/>
      </c>
      <c r="I132" s="29" t="str">
        <f t="shared" si="7"/>
        <v/>
      </c>
      <c r="J132" s="29" t="str">
        <f t="shared" si="8"/>
        <v/>
      </c>
      <c r="K132" s="29" t="str">
        <f t="shared" si="9"/>
        <v/>
      </c>
      <c r="M132" s="11"/>
    </row>
    <row r="133" spans="1:13" ht="15" x14ac:dyDescent="0.25">
      <c r="A133" s="1" t="str">
        <f>IF('1.1 Produksi Bersih Padi 2025'!A133="","",'1.1 Produksi Bersih Padi 2025'!A133)</f>
        <v/>
      </c>
      <c r="B133" s="31" t="str">
        <f>IF('1.1 Produksi Bersih Padi 2025'!B133="","",'1.1 Produksi Bersih Padi 2025'!B133)</f>
        <v/>
      </c>
      <c r="C133" s="31" t="str">
        <f>IF('1.1 Produksi Bersih Padi 2025'!C133="","",'1.1 Produksi Bersih Padi 2025'!C133)</f>
        <v/>
      </c>
      <c r="D133" s="1" t="str">
        <f>IF('1.1 Produksi Bersih Padi 2025'!D133="","",'1.1 Produksi Bersih Padi 2025'!D133)</f>
        <v/>
      </c>
      <c r="E133" s="1" t="str">
        <f>IF('1.1 Produksi Bersih Padi 2025'!E133="","",'1.1 Produksi Bersih Padi 2025'!E133)</f>
        <v/>
      </c>
      <c r="F133" s="28" t="str">
        <f>IF(D133="","",VLOOKUP(D133,'[1]0.1 Produksi Pangan &amp; Penduduk'!$D$5:$AQ$860,40,0))</f>
        <v/>
      </c>
      <c r="G133" s="29" t="str">
        <f t="shared" si="5"/>
        <v/>
      </c>
      <c r="H133" s="29" t="str">
        <f t="shared" si="6"/>
        <v/>
      </c>
      <c r="I133" s="29" t="str">
        <f t="shared" si="7"/>
        <v/>
      </c>
      <c r="J133" s="29" t="str">
        <f t="shared" si="8"/>
        <v/>
      </c>
      <c r="K133" s="29" t="str">
        <f t="shared" si="9"/>
        <v/>
      </c>
      <c r="M133" s="11"/>
    </row>
    <row r="134" spans="1:13" ht="15" x14ac:dyDescent="0.25">
      <c r="A134" s="1" t="str">
        <f>IF('1.1 Produksi Bersih Padi 2025'!A134="","",'1.1 Produksi Bersih Padi 2025'!A134)</f>
        <v/>
      </c>
      <c r="B134" s="31" t="str">
        <f>IF('1.1 Produksi Bersih Padi 2025'!B134="","",'1.1 Produksi Bersih Padi 2025'!B134)</f>
        <v/>
      </c>
      <c r="C134" s="31" t="str">
        <f>IF('1.1 Produksi Bersih Padi 2025'!C134="","",'1.1 Produksi Bersih Padi 2025'!C134)</f>
        <v/>
      </c>
      <c r="D134" s="1" t="str">
        <f>IF('1.1 Produksi Bersih Padi 2025'!D134="","",'1.1 Produksi Bersih Padi 2025'!D134)</f>
        <v/>
      </c>
      <c r="E134" s="1" t="str">
        <f>IF('1.1 Produksi Bersih Padi 2025'!E134="","",'1.1 Produksi Bersih Padi 2025'!E134)</f>
        <v/>
      </c>
      <c r="F134" s="28" t="str">
        <f>IF(D134="","",VLOOKUP(D134,'[1]0.1 Produksi Pangan &amp; Penduduk'!$D$5:$AQ$860,40,0))</f>
        <v/>
      </c>
      <c r="G134" s="29" t="str">
        <f t="shared" ref="G134:G197" si="10">IF(F134="","",F134*0%)</f>
        <v/>
      </c>
      <c r="H134" s="29" t="str">
        <f t="shared" ref="H134:H197" si="11">IF(F134="","",F134*0%)</f>
        <v/>
      </c>
      <c r="I134" s="29" t="str">
        <f t="shared" ref="I134:I197" si="12">IF(F134="","",F134*1.11%)</f>
        <v/>
      </c>
      <c r="J134" s="29" t="str">
        <f t="shared" ref="J134:J197" si="13">IF(F134="","",F134-(G134+H134+I134))</f>
        <v/>
      </c>
      <c r="K134" s="29" t="str">
        <f t="shared" ref="K134:K197" si="14">IF(J134="","",J134*0.134)</f>
        <v/>
      </c>
      <c r="M134" s="11"/>
    </row>
    <row r="135" spans="1:13" ht="15" x14ac:dyDescent="0.25">
      <c r="A135" s="1" t="str">
        <f>IF('1.1 Produksi Bersih Padi 2025'!A135="","",'1.1 Produksi Bersih Padi 2025'!A135)</f>
        <v/>
      </c>
      <c r="B135" s="31" t="str">
        <f>IF('1.1 Produksi Bersih Padi 2025'!B135="","",'1.1 Produksi Bersih Padi 2025'!B135)</f>
        <v/>
      </c>
      <c r="C135" s="31" t="str">
        <f>IF('1.1 Produksi Bersih Padi 2025'!C135="","",'1.1 Produksi Bersih Padi 2025'!C135)</f>
        <v/>
      </c>
      <c r="D135" s="1" t="str">
        <f>IF('1.1 Produksi Bersih Padi 2025'!D135="","",'1.1 Produksi Bersih Padi 2025'!D135)</f>
        <v/>
      </c>
      <c r="E135" s="1" t="str">
        <f>IF('1.1 Produksi Bersih Padi 2025'!E135="","",'1.1 Produksi Bersih Padi 2025'!E135)</f>
        <v/>
      </c>
      <c r="F135" s="28" t="str">
        <f>IF(D135="","",VLOOKUP(D135,'[1]0.1 Produksi Pangan &amp; Penduduk'!$D$5:$AQ$860,40,0))</f>
        <v/>
      </c>
      <c r="G135" s="29" t="str">
        <f t="shared" si="10"/>
        <v/>
      </c>
      <c r="H135" s="29" t="str">
        <f t="shared" si="11"/>
        <v/>
      </c>
      <c r="I135" s="29" t="str">
        <f t="shared" si="12"/>
        <v/>
      </c>
      <c r="J135" s="29" t="str">
        <f t="shared" si="13"/>
        <v/>
      </c>
      <c r="K135" s="29" t="str">
        <f t="shared" si="14"/>
        <v/>
      </c>
      <c r="M135" s="11"/>
    </row>
    <row r="136" spans="1:13" ht="15" x14ac:dyDescent="0.25">
      <c r="A136" s="1" t="str">
        <f>IF('1.1 Produksi Bersih Padi 2025'!A136="","",'1.1 Produksi Bersih Padi 2025'!A136)</f>
        <v/>
      </c>
      <c r="B136" s="31" t="str">
        <f>IF('1.1 Produksi Bersih Padi 2025'!B136="","",'1.1 Produksi Bersih Padi 2025'!B136)</f>
        <v/>
      </c>
      <c r="C136" s="31" t="str">
        <f>IF('1.1 Produksi Bersih Padi 2025'!C136="","",'1.1 Produksi Bersih Padi 2025'!C136)</f>
        <v/>
      </c>
      <c r="D136" s="1" t="str">
        <f>IF('1.1 Produksi Bersih Padi 2025'!D136="","",'1.1 Produksi Bersih Padi 2025'!D136)</f>
        <v/>
      </c>
      <c r="E136" s="1" t="str">
        <f>IF('1.1 Produksi Bersih Padi 2025'!E136="","",'1.1 Produksi Bersih Padi 2025'!E136)</f>
        <v/>
      </c>
      <c r="F136" s="28" t="str">
        <f>IF(D136="","",VLOOKUP(D136,'[1]0.1 Produksi Pangan &amp; Penduduk'!$D$5:$AQ$860,40,0))</f>
        <v/>
      </c>
      <c r="G136" s="29" t="str">
        <f t="shared" si="10"/>
        <v/>
      </c>
      <c r="H136" s="29" t="str">
        <f t="shared" si="11"/>
        <v/>
      </c>
      <c r="I136" s="29" t="str">
        <f t="shared" si="12"/>
        <v/>
      </c>
      <c r="J136" s="29" t="str">
        <f t="shared" si="13"/>
        <v/>
      </c>
      <c r="K136" s="29" t="str">
        <f t="shared" si="14"/>
        <v/>
      </c>
      <c r="M136" s="11"/>
    </row>
    <row r="137" spans="1:13" ht="15" x14ac:dyDescent="0.25">
      <c r="A137" s="1" t="str">
        <f>IF('1.1 Produksi Bersih Padi 2025'!A137="","",'1.1 Produksi Bersih Padi 2025'!A137)</f>
        <v/>
      </c>
      <c r="B137" s="31" t="str">
        <f>IF('1.1 Produksi Bersih Padi 2025'!B137="","",'1.1 Produksi Bersih Padi 2025'!B137)</f>
        <v/>
      </c>
      <c r="C137" s="31" t="str">
        <f>IF('1.1 Produksi Bersih Padi 2025'!C137="","",'1.1 Produksi Bersih Padi 2025'!C137)</f>
        <v/>
      </c>
      <c r="D137" s="1" t="str">
        <f>IF('1.1 Produksi Bersih Padi 2025'!D137="","",'1.1 Produksi Bersih Padi 2025'!D137)</f>
        <v/>
      </c>
      <c r="E137" s="1" t="str">
        <f>IF('1.1 Produksi Bersih Padi 2025'!E137="","",'1.1 Produksi Bersih Padi 2025'!E137)</f>
        <v/>
      </c>
      <c r="F137" s="28" t="str">
        <f>IF(D137="","",VLOOKUP(D137,'[1]0.1 Produksi Pangan &amp; Penduduk'!$D$5:$AQ$860,40,0))</f>
        <v/>
      </c>
      <c r="G137" s="29" t="str">
        <f t="shared" si="10"/>
        <v/>
      </c>
      <c r="H137" s="29" t="str">
        <f t="shared" si="11"/>
        <v/>
      </c>
      <c r="I137" s="29" t="str">
        <f t="shared" si="12"/>
        <v/>
      </c>
      <c r="J137" s="29" t="str">
        <f t="shared" si="13"/>
        <v/>
      </c>
      <c r="K137" s="29" t="str">
        <f t="shared" si="14"/>
        <v/>
      </c>
      <c r="M137" s="11"/>
    </row>
    <row r="138" spans="1:13" ht="15" x14ac:dyDescent="0.25">
      <c r="A138" s="1" t="str">
        <f>IF('1.1 Produksi Bersih Padi 2025'!A138="","",'1.1 Produksi Bersih Padi 2025'!A138)</f>
        <v/>
      </c>
      <c r="B138" s="31" t="str">
        <f>IF('1.1 Produksi Bersih Padi 2025'!B138="","",'1.1 Produksi Bersih Padi 2025'!B138)</f>
        <v/>
      </c>
      <c r="C138" s="31" t="str">
        <f>IF('1.1 Produksi Bersih Padi 2025'!C138="","",'1.1 Produksi Bersih Padi 2025'!C138)</f>
        <v/>
      </c>
      <c r="D138" s="1" t="str">
        <f>IF('1.1 Produksi Bersih Padi 2025'!D138="","",'1.1 Produksi Bersih Padi 2025'!D138)</f>
        <v/>
      </c>
      <c r="E138" s="1" t="str">
        <f>IF('1.1 Produksi Bersih Padi 2025'!E138="","",'1.1 Produksi Bersih Padi 2025'!E138)</f>
        <v/>
      </c>
      <c r="F138" s="28" t="str">
        <f>IF(D138="","",VLOOKUP(D138,'[1]0.1 Produksi Pangan &amp; Penduduk'!$D$5:$AQ$860,40,0))</f>
        <v/>
      </c>
      <c r="G138" s="29" t="str">
        <f t="shared" si="10"/>
        <v/>
      </c>
      <c r="H138" s="29" t="str">
        <f t="shared" si="11"/>
        <v/>
      </c>
      <c r="I138" s="29" t="str">
        <f t="shared" si="12"/>
        <v/>
      </c>
      <c r="J138" s="29" t="str">
        <f t="shared" si="13"/>
        <v/>
      </c>
      <c r="K138" s="29" t="str">
        <f t="shared" si="14"/>
        <v/>
      </c>
      <c r="M138" s="11"/>
    </row>
    <row r="139" spans="1:13" ht="15" x14ac:dyDescent="0.25">
      <c r="A139" s="1" t="str">
        <f>IF('1.1 Produksi Bersih Padi 2025'!A139="","",'1.1 Produksi Bersih Padi 2025'!A139)</f>
        <v/>
      </c>
      <c r="B139" s="31" t="str">
        <f>IF('1.1 Produksi Bersih Padi 2025'!B139="","",'1.1 Produksi Bersih Padi 2025'!B139)</f>
        <v/>
      </c>
      <c r="C139" s="31" t="str">
        <f>IF('1.1 Produksi Bersih Padi 2025'!C139="","",'1.1 Produksi Bersih Padi 2025'!C139)</f>
        <v/>
      </c>
      <c r="D139" s="1" t="str">
        <f>IF('1.1 Produksi Bersih Padi 2025'!D139="","",'1.1 Produksi Bersih Padi 2025'!D139)</f>
        <v/>
      </c>
      <c r="E139" s="1" t="str">
        <f>IF('1.1 Produksi Bersih Padi 2025'!E139="","",'1.1 Produksi Bersih Padi 2025'!E139)</f>
        <v/>
      </c>
      <c r="F139" s="28" t="str">
        <f>IF(D139="","",VLOOKUP(D139,'[1]0.1 Produksi Pangan &amp; Penduduk'!$D$5:$AQ$860,40,0))</f>
        <v/>
      </c>
      <c r="G139" s="29" t="str">
        <f t="shared" si="10"/>
        <v/>
      </c>
      <c r="H139" s="29" t="str">
        <f t="shared" si="11"/>
        <v/>
      </c>
      <c r="I139" s="29" t="str">
        <f t="shared" si="12"/>
        <v/>
      </c>
      <c r="J139" s="29" t="str">
        <f t="shared" si="13"/>
        <v/>
      </c>
      <c r="K139" s="29" t="str">
        <f t="shared" si="14"/>
        <v/>
      </c>
      <c r="M139" s="11"/>
    </row>
    <row r="140" spans="1:13" ht="15" x14ac:dyDescent="0.25">
      <c r="A140" s="1" t="str">
        <f>IF('1.1 Produksi Bersih Padi 2025'!A140="","",'1.1 Produksi Bersih Padi 2025'!A140)</f>
        <v/>
      </c>
      <c r="B140" s="31" t="str">
        <f>IF('1.1 Produksi Bersih Padi 2025'!B140="","",'1.1 Produksi Bersih Padi 2025'!B140)</f>
        <v/>
      </c>
      <c r="C140" s="31" t="str">
        <f>IF('1.1 Produksi Bersih Padi 2025'!C140="","",'1.1 Produksi Bersih Padi 2025'!C140)</f>
        <v/>
      </c>
      <c r="D140" s="1" t="str">
        <f>IF('1.1 Produksi Bersih Padi 2025'!D140="","",'1.1 Produksi Bersih Padi 2025'!D140)</f>
        <v/>
      </c>
      <c r="E140" s="1" t="str">
        <f>IF('1.1 Produksi Bersih Padi 2025'!E140="","",'1.1 Produksi Bersih Padi 2025'!E140)</f>
        <v/>
      </c>
      <c r="F140" s="28" t="str">
        <f>IF(D140="","",VLOOKUP(D140,'[1]0.1 Produksi Pangan &amp; Penduduk'!$D$5:$AQ$860,40,0))</f>
        <v/>
      </c>
      <c r="G140" s="29" t="str">
        <f t="shared" si="10"/>
        <v/>
      </c>
      <c r="H140" s="29" t="str">
        <f t="shared" si="11"/>
        <v/>
      </c>
      <c r="I140" s="29" t="str">
        <f t="shared" si="12"/>
        <v/>
      </c>
      <c r="J140" s="29" t="str">
        <f t="shared" si="13"/>
        <v/>
      </c>
      <c r="K140" s="29" t="str">
        <f t="shared" si="14"/>
        <v/>
      </c>
      <c r="M140" s="11"/>
    </row>
    <row r="141" spans="1:13" ht="15" x14ac:dyDescent="0.25">
      <c r="A141" s="1" t="str">
        <f>IF('1.1 Produksi Bersih Padi 2025'!A141="","",'1.1 Produksi Bersih Padi 2025'!A141)</f>
        <v/>
      </c>
      <c r="B141" s="31" t="str">
        <f>IF('1.1 Produksi Bersih Padi 2025'!B141="","",'1.1 Produksi Bersih Padi 2025'!B141)</f>
        <v/>
      </c>
      <c r="C141" s="31" t="str">
        <f>IF('1.1 Produksi Bersih Padi 2025'!C141="","",'1.1 Produksi Bersih Padi 2025'!C141)</f>
        <v/>
      </c>
      <c r="D141" s="1" t="str">
        <f>IF('1.1 Produksi Bersih Padi 2025'!D141="","",'1.1 Produksi Bersih Padi 2025'!D141)</f>
        <v/>
      </c>
      <c r="E141" s="1" t="str">
        <f>IF('1.1 Produksi Bersih Padi 2025'!E141="","",'1.1 Produksi Bersih Padi 2025'!E141)</f>
        <v/>
      </c>
      <c r="F141" s="28" t="str">
        <f>IF(D141="","",VLOOKUP(D141,'[1]0.1 Produksi Pangan &amp; Penduduk'!$D$5:$AQ$860,40,0))</f>
        <v/>
      </c>
      <c r="G141" s="29" t="str">
        <f t="shared" si="10"/>
        <v/>
      </c>
      <c r="H141" s="29" t="str">
        <f t="shared" si="11"/>
        <v/>
      </c>
      <c r="I141" s="29" t="str">
        <f t="shared" si="12"/>
        <v/>
      </c>
      <c r="J141" s="29" t="str">
        <f t="shared" si="13"/>
        <v/>
      </c>
      <c r="K141" s="29" t="str">
        <f t="shared" si="14"/>
        <v/>
      </c>
      <c r="M141" s="11"/>
    </row>
    <row r="142" spans="1:13" ht="15" x14ac:dyDescent="0.25">
      <c r="A142" s="1" t="str">
        <f>IF('1.1 Produksi Bersih Padi 2025'!A142="","",'1.1 Produksi Bersih Padi 2025'!A142)</f>
        <v/>
      </c>
      <c r="B142" s="31" t="str">
        <f>IF('1.1 Produksi Bersih Padi 2025'!B142="","",'1.1 Produksi Bersih Padi 2025'!B142)</f>
        <v/>
      </c>
      <c r="C142" s="31" t="str">
        <f>IF('1.1 Produksi Bersih Padi 2025'!C142="","",'1.1 Produksi Bersih Padi 2025'!C142)</f>
        <v/>
      </c>
      <c r="D142" s="1" t="str">
        <f>IF('1.1 Produksi Bersih Padi 2025'!D142="","",'1.1 Produksi Bersih Padi 2025'!D142)</f>
        <v/>
      </c>
      <c r="E142" s="1" t="str">
        <f>IF('1.1 Produksi Bersih Padi 2025'!E142="","",'1.1 Produksi Bersih Padi 2025'!E142)</f>
        <v/>
      </c>
      <c r="F142" s="28" t="str">
        <f>IF(D142="","",VLOOKUP(D142,'[1]0.1 Produksi Pangan &amp; Penduduk'!$D$5:$AQ$860,40,0))</f>
        <v/>
      </c>
      <c r="G142" s="29" t="str">
        <f t="shared" si="10"/>
        <v/>
      </c>
      <c r="H142" s="29" t="str">
        <f t="shared" si="11"/>
        <v/>
      </c>
      <c r="I142" s="29" t="str">
        <f t="shared" si="12"/>
        <v/>
      </c>
      <c r="J142" s="29" t="str">
        <f t="shared" si="13"/>
        <v/>
      </c>
      <c r="K142" s="29" t="str">
        <f t="shared" si="14"/>
        <v/>
      </c>
      <c r="M142" s="11"/>
    </row>
    <row r="143" spans="1:13" ht="15" x14ac:dyDescent="0.25">
      <c r="A143" s="1" t="str">
        <f>IF('1.1 Produksi Bersih Padi 2025'!A143="","",'1.1 Produksi Bersih Padi 2025'!A143)</f>
        <v/>
      </c>
      <c r="B143" s="31" t="str">
        <f>IF('1.1 Produksi Bersih Padi 2025'!B143="","",'1.1 Produksi Bersih Padi 2025'!B143)</f>
        <v/>
      </c>
      <c r="C143" s="31" t="str">
        <f>IF('1.1 Produksi Bersih Padi 2025'!C143="","",'1.1 Produksi Bersih Padi 2025'!C143)</f>
        <v/>
      </c>
      <c r="D143" s="1" t="str">
        <f>IF('1.1 Produksi Bersih Padi 2025'!D143="","",'1.1 Produksi Bersih Padi 2025'!D143)</f>
        <v/>
      </c>
      <c r="E143" s="1" t="str">
        <f>IF('1.1 Produksi Bersih Padi 2025'!E143="","",'1.1 Produksi Bersih Padi 2025'!E143)</f>
        <v/>
      </c>
      <c r="F143" s="28" t="str">
        <f>IF(D143="","",VLOOKUP(D143,'[1]0.1 Produksi Pangan &amp; Penduduk'!$D$5:$AQ$860,40,0))</f>
        <v/>
      </c>
      <c r="G143" s="29" t="str">
        <f t="shared" si="10"/>
        <v/>
      </c>
      <c r="H143" s="29" t="str">
        <f t="shared" si="11"/>
        <v/>
      </c>
      <c r="I143" s="29" t="str">
        <f t="shared" si="12"/>
        <v/>
      </c>
      <c r="J143" s="29" t="str">
        <f t="shared" si="13"/>
        <v/>
      </c>
      <c r="K143" s="29" t="str">
        <f t="shared" si="14"/>
        <v/>
      </c>
      <c r="M143" s="11"/>
    </row>
    <row r="144" spans="1:13" ht="15" x14ac:dyDescent="0.25">
      <c r="A144" s="1" t="str">
        <f>IF('1.1 Produksi Bersih Padi 2025'!A144="","",'1.1 Produksi Bersih Padi 2025'!A144)</f>
        <v/>
      </c>
      <c r="B144" s="31" t="str">
        <f>IF('1.1 Produksi Bersih Padi 2025'!B144="","",'1.1 Produksi Bersih Padi 2025'!B144)</f>
        <v/>
      </c>
      <c r="C144" s="31" t="str">
        <f>IF('1.1 Produksi Bersih Padi 2025'!C144="","",'1.1 Produksi Bersih Padi 2025'!C144)</f>
        <v/>
      </c>
      <c r="D144" s="1" t="str">
        <f>IF('1.1 Produksi Bersih Padi 2025'!D144="","",'1.1 Produksi Bersih Padi 2025'!D144)</f>
        <v/>
      </c>
      <c r="E144" s="1" t="str">
        <f>IF('1.1 Produksi Bersih Padi 2025'!E144="","",'1.1 Produksi Bersih Padi 2025'!E144)</f>
        <v/>
      </c>
      <c r="F144" s="28" t="str">
        <f>IF(D144="","",VLOOKUP(D144,'[1]0.1 Produksi Pangan &amp; Penduduk'!$D$5:$AQ$860,40,0))</f>
        <v/>
      </c>
      <c r="G144" s="29" t="str">
        <f t="shared" si="10"/>
        <v/>
      </c>
      <c r="H144" s="29" t="str">
        <f t="shared" si="11"/>
        <v/>
      </c>
      <c r="I144" s="29" t="str">
        <f t="shared" si="12"/>
        <v/>
      </c>
      <c r="J144" s="29" t="str">
        <f t="shared" si="13"/>
        <v/>
      </c>
      <c r="K144" s="29" t="str">
        <f t="shared" si="14"/>
        <v/>
      </c>
      <c r="M144" s="11"/>
    </row>
    <row r="145" spans="1:13" ht="15" x14ac:dyDescent="0.25">
      <c r="A145" s="1" t="str">
        <f>IF('1.1 Produksi Bersih Padi 2025'!A145="","",'1.1 Produksi Bersih Padi 2025'!A145)</f>
        <v/>
      </c>
      <c r="B145" s="31" t="str">
        <f>IF('1.1 Produksi Bersih Padi 2025'!B145="","",'1.1 Produksi Bersih Padi 2025'!B145)</f>
        <v/>
      </c>
      <c r="C145" s="31" t="str">
        <f>IF('1.1 Produksi Bersih Padi 2025'!C145="","",'1.1 Produksi Bersih Padi 2025'!C145)</f>
        <v/>
      </c>
      <c r="D145" s="1" t="str">
        <f>IF('1.1 Produksi Bersih Padi 2025'!D145="","",'1.1 Produksi Bersih Padi 2025'!D145)</f>
        <v/>
      </c>
      <c r="E145" s="1" t="str">
        <f>IF('1.1 Produksi Bersih Padi 2025'!E145="","",'1.1 Produksi Bersih Padi 2025'!E145)</f>
        <v/>
      </c>
      <c r="F145" s="28" t="str">
        <f>IF(D145="","",VLOOKUP(D145,'[1]0.1 Produksi Pangan &amp; Penduduk'!$D$5:$AQ$860,40,0))</f>
        <v/>
      </c>
      <c r="G145" s="29" t="str">
        <f t="shared" si="10"/>
        <v/>
      </c>
      <c r="H145" s="29" t="str">
        <f t="shared" si="11"/>
        <v/>
      </c>
      <c r="I145" s="29" t="str">
        <f t="shared" si="12"/>
        <v/>
      </c>
      <c r="J145" s="29" t="str">
        <f t="shared" si="13"/>
        <v/>
      </c>
      <c r="K145" s="29" t="str">
        <f t="shared" si="14"/>
        <v/>
      </c>
      <c r="M145" s="11"/>
    </row>
    <row r="146" spans="1:13" ht="15" x14ac:dyDescent="0.25">
      <c r="A146" s="1" t="str">
        <f>IF('1.1 Produksi Bersih Padi 2025'!A146="","",'1.1 Produksi Bersih Padi 2025'!A146)</f>
        <v/>
      </c>
      <c r="B146" s="31" t="str">
        <f>IF('1.1 Produksi Bersih Padi 2025'!B146="","",'1.1 Produksi Bersih Padi 2025'!B146)</f>
        <v/>
      </c>
      <c r="C146" s="31" t="str">
        <f>IF('1.1 Produksi Bersih Padi 2025'!C146="","",'1.1 Produksi Bersih Padi 2025'!C146)</f>
        <v/>
      </c>
      <c r="D146" s="1" t="str">
        <f>IF('1.1 Produksi Bersih Padi 2025'!D146="","",'1.1 Produksi Bersih Padi 2025'!D146)</f>
        <v/>
      </c>
      <c r="E146" s="1" t="str">
        <f>IF('1.1 Produksi Bersih Padi 2025'!E146="","",'1.1 Produksi Bersih Padi 2025'!E146)</f>
        <v/>
      </c>
      <c r="F146" s="28" t="str">
        <f>IF(D146="","",VLOOKUP(D146,'[1]0.1 Produksi Pangan &amp; Penduduk'!$D$5:$AQ$860,40,0))</f>
        <v/>
      </c>
      <c r="G146" s="29" t="str">
        <f t="shared" si="10"/>
        <v/>
      </c>
      <c r="H146" s="29" t="str">
        <f t="shared" si="11"/>
        <v/>
      </c>
      <c r="I146" s="29" t="str">
        <f t="shared" si="12"/>
        <v/>
      </c>
      <c r="J146" s="29" t="str">
        <f t="shared" si="13"/>
        <v/>
      </c>
      <c r="K146" s="29" t="str">
        <f t="shared" si="14"/>
        <v/>
      </c>
      <c r="M146" s="11"/>
    </row>
    <row r="147" spans="1:13" ht="15" x14ac:dyDescent="0.25">
      <c r="A147" s="1" t="str">
        <f>IF('1.1 Produksi Bersih Padi 2025'!A147="","",'1.1 Produksi Bersih Padi 2025'!A147)</f>
        <v/>
      </c>
      <c r="B147" s="31" t="str">
        <f>IF('1.1 Produksi Bersih Padi 2025'!B147="","",'1.1 Produksi Bersih Padi 2025'!B147)</f>
        <v/>
      </c>
      <c r="C147" s="31" t="str">
        <f>IF('1.1 Produksi Bersih Padi 2025'!C147="","",'1.1 Produksi Bersih Padi 2025'!C147)</f>
        <v/>
      </c>
      <c r="D147" s="1" t="str">
        <f>IF('1.1 Produksi Bersih Padi 2025'!D147="","",'1.1 Produksi Bersih Padi 2025'!D147)</f>
        <v/>
      </c>
      <c r="E147" s="1" t="str">
        <f>IF('1.1 Produksi Bersih Padi 2025'!E147="","",'1.1 Produksi Bersih Padi 2025'!E147)</f>
        <v/>
      </c>
      <c r="F147" s="28" t="str">
        <f>IF(D147="","",VLOOKUP(D147,'[1]0.1 Produksi Pangan &amp; Penduduk'!$D$5:$AQ$860,40,0))</f>
        <v/>
      </c>
      <c r="G147" s="29" t="str">
        <f t="shared" si="10"/>
        <v/>
      </c>
      <c r="H147" s="29" t="str">
        <f t="shared" si="11"/>
        <v/>
      </c>
      <c r="I147" s="29" t="str">
        <f t="shared" si="12"/>
        <v/>
      </c>
      <c r="J147" s="29" t="str">
        <f t="shared" si="13"/>
        <v/>
      </c>
      <c r="K147" s="29" t="str">
        <f t="shared" si="14"/>
        <v/>
      </c>
      <c r="M147" s="11"/>
    </row>
    <row r="148" spans="1:13" ht="15" x14ac:dyDescent="0.25">
      <c r="A148" s="1" t="str">
        <f>IF('1.1 Produksi Bersih Padi 2025'!A148="","",'1.1 Produksi Bersih Padi 2025'!A148)</f>
        <v/>
      </c>
      <c r="B148" s="31" t="str">
        <f>IF('1.1 Produksi Bersih Padi 2025'!B148="","",'1.1 Produksi Bersih Padi 2025'!B148)</f>
        <v/>
      </c>
      <c r="C148" s="31" t="str">
        <f>IF('1.1 Produksi Bersih Padi 2025'!C148="","",'1.1 Produksi Bersih Padi 2025'!C148)</f>
        <v/>
      </c>
      <c r="D148" s="1" t="str">
        <f>IF('1.1 Produksi Bersih Padi 2025'!D148="","",'1.1 Produksi Bersih Padi 2025'!D148)</f>
        <v/>
      </c>
      <c r="E148" s="1" t="str">
        <f>IF('1.1 Produksi Bersih Padi 2025'!E148="","",'1.1 Produksi Bersih Padi 2025'!E148)</f>
        <v/>
      </c>
      <c r="F148" s="28" t="str">
        <f>IF(D148="","",VLOOKUP(D148,'[1]0.1 Produksi Pangan &amp; Penduduk'!$D$5:$AQ$860,40,0))</f>
        <v/>
      </c>
      <c r="G148" s="29" t="str">
        <f t="shared" si="10"/>
        <v/>
      </c>
      <c r="H148" s="29" t="str">
        <f t="shared" si="11"/>
        <v/>
      </c>
      <c r="I148" s="29" t="str">
        <f t="shared" si="12"/>
        <v/>
      </c>
      <c r="J148" s="29" t="str">
        <f t="shared" si="13"/>
        <v/>
      </c>
      <c r="K148" s="29" t="str">
        <f t="shared" si="14"/>
        <v/>
      </c>
      <c r="M148" s="11"/>
    </row>
    <row r="149" spans="1:13" ht="15" x14ac:dyDescent="0.25">
      <c r="A149" s="1" t="str">
        <f>IF('1.1 Produksi Bersih Padi 2025'!A149="","",'1.1 Produksi Bersih Padi 2025'!A149)</f>
        <v/>
      </c>
      <c r="B149" s="31" t="str">
        <f>IF('1.1 Produksi Bersih Padi 2025'!B149="","",'1.1 Produksi Bersih Padi 2025'!B149)</f>
        <v/>
      </c>
      <c r="C149" s="31" t="str">
        <f>IF('1.1 Produksi Bersih Padi 2025'!C149="","",'1.1 Produksi Bersih Padi 2025'!C149)</f>
        <v/>
      </c>
      <c r="D149" s="1" t="str">
        <f>IF('1.1 Produksi Bersih Padi 2025'!D149="","",'1.1 Produksi Bersih Padi 2025'!D149)</f>
        <v/>
      </c>
      <c r="E149" s="1" t="str">
        <f>IF('1.1 Produksi Bersih Padi 2025'!E149="","",'1.1 Produksi Bersih Padi 2025'!E149)</f>
        <v/>
      </c>
      <c r="F149" s="28" t="str">
        <f>IF(D149="","",VLOOKUP(D149,'[1]0.1 Produksi Pangan &amp; Penduduk'!$D$5:$AQ$860,40,0))</f>
        <v/>
      </c>
      <c r="G149" s="29" t="str">
        <f t="shared" si="10"/>
        <v/>
      </c>
      <c r="H149" s="29" t="str">
        <f t="shared" si="11"/>
        <v/>
      </c>
      <c r="I149" s="29" t="str">
        <f t="shared" si="12"/>
        <v/>
      </c>
      <c r="J149" s="29" t="str">
        <f t="shared" si="13"/>
        <v/>
      </c>
      <c r="K149" s="29" t="str">
        <f t="shared" si="14"/>
        <v/>
      </c>
      <c r="M149" s="11"/>
    </row>
    <row r="150" spans="1:13" ht="15" x14ac:dyDescent="0.25">
      <c r="A150" s="1" t="str">
        <f>IF('1.1 Produksi Bersih Padi 2025'!A150="","",'1.1 Produksi Bersih Padi 2025'!A150)</f>
        <v/>
      </c>
      <c r="B150" s="31" t="str">
        <f>IF('1.1 Produksi Bersih Padi 2025'!B150="","",'1.1 Produksi Bersih Padi 2025'!B150)</f>
        <v/>
      </c>
      <c r="C150" s="31" t="str">
        <f>IF('1.1 Produksi Bersih Padi 2025'!C150="","",'1.1 Produksi Bersih Padi 2025'!C150)</f>
        <v/>
      </c>
      <c r="D150" s="1" t="str">
        <f>IF('1.1 Produksi Bersih Padi 2025'!D150="","",'1.1 Produksi Bersih Padi 2025'!D150)</f>
        <v/>
      </c>
      <c r="E150" s="1" t="str">
        <f>IF('1.1 Produksi Bersih Padi 2025'!E150="","",'1.1 Produksi Bersih Padi 2025'!E150)</f>
        <v/>
      </c>
      <c r="F150" s="28" t="str">
        <f>IF(D150="","",VLOOKUP(D150,'[1]0.1 Produksi Pangan &amp; Penduduk'!$D$5:$AQ$860,40,0))</f>
        <v/>
      </c>
      <c r="G150" s="29" t="str">
        <f t="shared" si="10"/>
        <v/>
      </c>
      <c r="H150" s="29" t="str">
        <f t="shared" si="11"/>
        <v/>
      </c>
      <c r="I150" s="29" t="str">
        <f t="shared" si="12"/>
        <v/>
      </c>
      <c r="J150" s="29" t="str">
        <f t="shared" si="13"/>
        <v/>
      </c>
      <c r="K150" s="29" t="str">
        <f t="shared" si="14"/>
        <v/>
      </c>
      <c r="M150" s="11"/>
    </row>
    <row r="151" spans="1:13" ht="15" x14ac:dyDescent="0.25">
      <c r="A151" s="1" t="str">
        <f>IF('1.1 Produksi Bersih Padi 2025'!A151="","",'1.1 Produksi Bersih Padi 2025'!A151)</f>
        <v/>
      </c>
      <c r="B151" s="31" t="str">
        <f>IF('1.1 Produksi Bersih Padi 2025'!B151="","",'1.1 Produksi Bersih Padi 2025'!B151)</f>
        <v/>
      </c>
      <c r="C151" s="31" t="str">
        <f>IF('1.1 Produksi Bersih Padi 2025'!C151="","",'1.1 Produksi Bersih Padi 2025'!C151)</f>
        <v/>
      </c>
      <c r="D151" s="1" t="str">
        <f>IF('1.1 Produksi Bersih Padi 2025'!D151="","",'1.1 Produksi Bersih Padi 2025'!D151)</f>
        <v/>
      </c>
      <c r="E151" s="1" t="str">
        <f>IF('1.1 Produksi Bersih Padi 2025'!E151="","",'1.1 Produksi Bersih Padi 2025'!E151)</f>
        <v/>
      </c>
      <c r="F151" s="28" t="str">
        <f>IF(D151="","",VLOOKUP(D151,'[1]0.1 Produksi Pangan &amp; Penduduk'!$D$5:$AQ$860,40,0))</f>
        <v/>
      </c>
      <c r="G151" s="29" t="str">
        <f t="shared" si="10"/>
        <v/>
      </c>
      <c r="H151" s="29" t="str">
        <f t="shared" si="11"/>
        <v/>
      </c>
      <c r="I151" s="29" t="str">
        <f t="shared" si="12"/>
        <v/>
      </c>
      <c r="J151" s="29" t="str">
        <f t="shared" si="13"/>
        <v/>
      </c>
      <c r="K151" s="29" t="str">
        <f t="shared" si="14"/>
        <v/>
      </c>
      <c r="M151" s="11"/>
    </row>
    <row r="152" spans="1:13" ht="15" x14ac:dyDescent="0.25">
      <c r="A152" s="1" t="str">
        <f>IF('1.1 Produksi Bersih Padi 2025'!A152="","",'1.1 Produksi Bersih Padi 2025'!A152)</f>
        <v/>
      </c>
      <c r="B152" s="31" t="str">
        <f>IF('1.1 Produksi Bersih Padi 2025'!B152="","",'1.1 Produksi Bersih Padi 2025'!B152)</f>
        <v/>
      </c>
      <c r="C152" s="31" t="str">
        <f>IF('1.1 Produksi Bersih Padi 2025'!C152="","",'1.1 Produksi Bersih Padi 2025'!C152)</f>
        <v/>
      </c>
      <c r="D152" s="1" t="str">
        <f>IF('1.1 Produksi Bersih Padi 2025'!D152="","",'1.1 Produksi Bersih Padi 2025'!D152)</f>
        <v/>
      </c>
      <c r="E152" s="1" t="str">
        <f>IF('1.1 Produksi Bersih Padi 2025'!E152="","",'1.1 Produksi Bersih Padi 2025'!E152)</f>
        <v/>
      </c>
      <c r="F152" s="28" t="str">
        <f>IF(D152="","",VLOOKUP(D152,'[1]0.1 Produksi Pangan &amp; Penduduk'!$D$5:$AQ$860,40,0))</f>
        <v/>
      </c>
      <c r="G152" s="29" t="str">
        <f t="shared" si="10"/>
        <v/>
      </c>
      <c r="H152" s="29" t="str">
        <f t="shared" si="11"/>
        <v/>
      </c>
      <c r="I152" s="29" t="str">
        <f t="shared" si="12"/>
        <v/>
      </c>
      <c r="J152" s="29" t="str">
        <f t="shared" si="13"/>
        <v/>
      </c>
      <c r="K152" s="29" t="str">
        <f t="shared" si="14"/>
        <v/>
      </c>
      <c r="M152" s="11"/>
    </row>
    <row r="153" spans="1:13" ht="15" x14ac:dyDescent="0.25">
      <c r="A153" s="1" t="str">
        <f>IF('1.1 Produksi Bersih Padi 2025'!A153="","",'1.1 Produksi Bersih Padi 2025'!A153)</f>
        <v/>
      </c>
      <c r="B153" s="31" t="str">
        <f>IF('1.1 Produksi Bersih Padi 2025'!B153="","",'1.1 Produksi Bersih Padi 2025'!B153)</f>
        <v/>
      </c>
      <c r="C153" s="31" t="str">
        <f>IF('1.1 Produksi Bersih Padi 2025'!C153="","",'1.1 Produksi Bersih Padi 2025'!C153)</f>
        <v/>
      </c>
      <c r="D153" s="1" t="str">
        <f>IF('1.1 Produksi Bersih Padi 2025'!D153="","",'1.1 Produksi Bersih Padi 2025'!D153)</f>
        <v/>
      </c>
      <c r="E153" s="1" t="str">
        <f>IF('1.1 Produksi Bersih Padi 2025'!E153="","",'1.1 Produksi Bersih Padi 2025'!E153)</f>
        <v/>
      </c>
      <c r="F153" s="28" t="str">
        <f>IF(D153="","",VLOOKUP(D153,'[1]0.1 Produksi Pangan &amp; Penduduk'!$D$5:$AQ$860,40,0))</f>
        <v/>
      </c>
      <c r="G153" s="29" t="str">
        <f t="shared" si="10"/>
        <v/>
      </c>
      <c r="H153" s="29" t="str">
        <f t="shared" si="11"/>
        <v/>
      </c>
      <c r="I153" s="29" t="str">
        <f t="shared" si="12"/>
        <v/>
      </c>
      <c r="J153" s="29" t="str">
        <f t="shared" si="13"/>
        <v/>
      </c>
      <c r="K153" s="29" t="str">
        <f t="shared" si="14"/>
        <v/>
      </c>
      <c r="M153" s="11"/>
    </row>
    <row r="154" spans="1:13" ht="15" x14ac:dyDescent="0.25">
      <c r="A154" s="1" t="str">
        <f>IF('1.1 Produksi Bersih Padi 2025'!A154="","",'1.1 Produksi Bersih Padi 2025'!A154)</f>
        <v/>
      </c>
      <c r="B154" s="31" t="str">
        <f>IF('1.1 Produksi Bersih Padi 2025'!B154="","",'1.1 Produksi Bersih Padi 2025'!B154)</f>
        <v/>
      </c>
      <c r="C154" s="31" t="str">
        <f>IF('1.1 Produksi Bersih Padi 2025'!C154="","",'1.1 Produksi Bersih Padi 2025'!C154)</f>
        <v/>
      </c>
      <c r="D154" s="1" t="str">
        <f>IF('1.1 Produksi Bersih Padi 2025'!D154="","",'1.1 Produksi Bersih Padi 2025'!D154)</f>
        <v/>
      </c>
      <c r="E154" s="1" t="str">
        <f>IF('1.1 Produksi Bersih Padi 2025'!E154="","",'1.1 Produksi Bersih Padi 2025'!E154)</f>
        <v/>
      </c>
      <c r="F154" s="28" t="str">
        <f>IF(D154="","",VLOOKUP(D154,'[1]0.1 Produksi Pangan &amp; Penduduk'!$D$5:$AQ$860,40,0))</f>
        <v/>
      </c>
      <c r="G154" s="29" t="str">
        <f t="shared" si="10"/>
        <v/>
      </c>
      <c r="H154" s="29" t="str">
        <f t="shared" si="11"/>
        <v/>
      </c>
      <c r="I154" s="29" t="str">
        <f t="shared" si="12"/>
        <v/>
      </c>
      <c r="J154" s="29" t="str">
        <f t="shared" si="13"/>
        <v/>
      </c>
      <c r="K154" s="29" t="str">
        <f t="shared" si="14"/>
        <v/>
      </c>
      <c r="M154" s="11"/>
    </row>
    <row r="155" spans="1:13" ht="15" x14ac:dyDescent="0.25">
      <c r="A155" s="1" t="str">
        <f>IF('1.1 Produksi Bersih Padi 2025'!A155="","",'1.1 Produksi Bersih Padi 2025'!A155)</f>
        <v/>
      </c>
      <c r="B155" s="31" t="str">
        <f>IF('1.1 Produksi Bersih Padi 2025'!B155="","",'1.1 Produksi Bersih Padi 2025'!B155)</f>
        <v/>
      </c>
      <c r="C155" s="31" t="str">
        <f>IF('1.1 Produksi Bersih Padi 2025'!C155="","",'1.1 Produksi Bersih Padi 2025'!C155)</f>
        <v/>
      </c>
      <c r="D155" s="1" t="str">
        <f>IF('1.1 Produksi Bersih Padi 2025'!D155="","",'1.1 Produksi Bersih Padi 2025'!D155)</f>
        <v/>
      </c>
      <c r="E155" s="1" t="str">
        <f>IF('1.1 Produksi Bersih Padi 2025'!E155="","",'1.1 Produksi Bersih Padi 2025'!E155)</f>
        <v/>
      </c>
      <c r="F155" s="28" t="str">
        <f>IF(D155="","",VLOOKUP(D155,'[1]0.1 Produksi Pangan &amp; Penduduk'!$D$5:$AQ$860,40,0))</f>
        <v/>
      </c>
      <c r="G155" s="29" t="str">
        <f t="shared" si="10"/>
        <v/>
      </c>
      <c r="H155" s="29" t="str">
        <f t="shared" si="11"/>
        <v/>
      </c>
      <c r="I155" s="29" t="str">
        <f t="shared" si="12"/>
        <v/>
      </c>
      <c r="J155" s="29" t="str">
        <f t="shared" si="13"/>
        <v/>
      </c>
      <c r="K155" s="29" t="str">
        <f t="shared" si="14"/>
        <v/>
      </c>
      <c r="M155" s="11"/>
    </row>
    <row r="156" spans="1:13" ht="15" x14ac:dyDescent="0.25">
      <c r="A156" s="1" t="str">
        <f>IF('1.1 Produksi Bersih Padi 2025'!A156="","",'1.1 Produksi Bersih Padi 2025'!A156)</f>
        <v/>
      </c>
      <c r="B156" s="31" t="str">
        <f>IF('1.1 Produksi Bersih Padi 2025'!B156="","",'1.1 Produksi Bersih Padi 2025'!B156)</f>
        <v/>
      </c>
      <c r="C156" s="31" t="str">
        <f>IF('1.1 Produksi Bersih Padi 2025'!C156="","",'1.1 Produksi Bersih Padi 2025'!C156)</f>
        <v/>
      </c>
      <c r="D156" s="1" t="str">
        <f>IF('1.1 Produksi Bersih Padi 2025'!D156="","",'1.1 Produksi Bersih Padi 2025'!D156)</f>
        <v/>
      </c>
      <c r="E156" s="1" t="str">
        <f>IF('1.1 Produksi Bersih Padi 2025'!E156="","",'1.1 Produksi Bersih Padi 2025'!E156)</f>
        <v/>
      </c>
      <c r="F156" s="28" t="str">
        <f>IF(D156="","",VLOOKUP(D156,'[1]0.1 Produksi Pangan &amp; Penduduk'!$D$5:$AQ$860,40,0))</f>
        <v/>
      </c>
      <c r="G156" s="29" t="str">
        <f t="shared" si="10"/>
        <v/>
      </c>
      <c r="H156" s="29" t="str">
        <f t="shared" si="11"/>
        <v/>
      </c>
      <c r="I156" s="29" t="str">
        <f t="shared" si="12"/>
        <v/>
      </c>
      <c r="J156" s="29" t="str">
        <f t="shared" si="13"/>
        <v/>
      </c>
      <c r="K156" s="29" t="str">
        <f t="shared" si="14"/>
        <v/>
      </c>
      <c r="M156" s="11"/>
    </row>
    <row r="157" spans="1:13" ht="15" x14ac:dyDescent="0.25">
      <c r="A157" s="1" t="str">
        <f>IF('1.1 Produksi Bersih Padi 2025'!A157="","",'1.1 Produksi Bersih Padi 2025'!A157)</f>
        <v/>
      </c>
      <c r="B157" s="31" t="str">
        <f>IF('1.1 Produksi Bersih Padi 2025'!B157="","",'1.1 Produksi Bersih Padi 2025'!B157)</f>
        <v/>
      </c>
      <c r="C157" s="31" t="str">
        <f>IF('1.1 Produksi Bersih Padi 2025'!C157="","",'1.1 Produksi Bersih Padi 2025'!C157)</f>
        <v/>
      </c>
      <c r="D157" s="1" t="str">
        <f>IF('1.1 Produksi Bersih Padi 2025'!D157="","",'1.1 Produksi Bersih Padi 2025'!D157)</f>
        <v/>
      </c>
      <c r="E157" s="1" t="str">
        <f>IF('1.1 Produksi Bersih Padi 2025'!E157="","",'1.1 Produksi Bersih Padi 2025'!E157)</f>
        <v/>
      </c>
      <c r="F157" s="28" t="str">
        <f>IF(D157="","",VLOOKUP(D157,'[1]0.1 Produksi Pangan &amp; Penduduk'!$D$5:$AQ$860,40,0))</f>
        <v/>
      </c>
      <c r="G157" s="29" t="str">
        <f t="shared" si="10"/>
        <v/>
      </c>
      <c r="H157" s="29" t="str">
        <f t="shared" si="11"/>
        <v/>
      </c>
      <c r="I157" s="29" t="str">
        <f t="shared" si="12"/>
        <v/>
      </c>
      <c r="J157" s="29" t="str">
        <f t="shared" si="13"/>
        <v/>
      </c>
      <c r="K157" s="29" t="str">
        <f t="shared" si="14"/>
        <v/>
      </c>
      <c r="M157" s="11"/>
    </row>
    <row r="158" spans="1:13" ht="15" x14ac:dyDescent="0.25">
      <c r="A158" s="1" t="str">
        <f>IF('1.1 Produksi Bersih Padi 2025'!A158="","",'1.1 Produksi Bersih Padi 2025'!A158)</f>
        <v/>
      </c>
      <c r="B158" s="31" t="str">
        <f>IF('1.1 Produksi Bersih Padi 2025'!B158="","",'1.1 Produksi Bersih Padi 2025'!B158)</f>
        <v/>
      </c>
      <c r="C158" s="31" t="str">
        <f>IF('1.1 Produksi Bersih Padi 2025'!C158="","",'1.1 Produksi Bersih Padi 2025'!C158)</f>
        <v/>
      </c>
      <c r="D158" s="1" t="str">
        <f>IF('1.1 Produksi Bersih Padi 2025'!D158="","",'1.1 Produksi Bersih Padi 2025'!D158)</f>
        <v/>
      </c>
      <c r="E158" s="1" t="str">
        <f>IF('1.1 Produksi Bersih Padi 2025'!E158="","",'1.1 Produksi Bersih Padi 2025'!E158)</f>
        <v/>
      </c>
      <c r="F158" s="28" t="str">
        <f>IF(D158="","",VLOOKUP(D158,'[1]0.1 Produksi Pangan &amp; Penduduk'!$D$5:$AQ$860,40,0))</f>
        <v/>
      </c>
      <c r="G158" s="29" t="str">
        <f t="shared" si="10"/>
        <v/>
      </c>
      <c r="H158" s="29" t="str">
        <f t="shared" si="11"/>
        <v/>
      </c>
      <c r="I158" s="29" t="str">
        <f t="shared" si="12"/>
        <v/>
      </c>
      <c r="J158" s="29" t="str">
        <f t="shared" si="13"/>
        <v/>
      </c>
      <c r="K158" s="29" t="str">
        <f t="shared" si="14"/>
        <v/>
      </c>
      <c r="M158" s="11"/>
    </row>
    <row r="159" spans="1:13" ht="15" x14ac:dyDescent="0.25">
      <c r="A159" s="1" t="str">
        <f>IF('1.1 Produksi Bersih Padi 2025'!A159="","",'1.1 Produksi Bersih Padi 2025'!A159)</f>
        <v/>
      </c>
      <c r="B159" s="31" t="str">
        <f>IF('1.1 Produksi Bersih Padi 2025'!B159="","",'1.1 Produksi Bersih Padi 2025'!B159)</f>
        <v/>
      </c>
      <c r="C159" s="31" t="str">
        <f>IF('1.1 Produksi Bersih Padi 2025'!C159="","",'1.1 Produksi Bersih Padi 2025'!C159)</f>
        <v/>
      </c>
      <c r="D159" s="1" t="str">
        <f>IF('1.1 Produksi Bersih Padi 2025'!D159="","",'1.1 Produksi Bersih Padi 2025'!D159)</f>
        <v/>
      </c>
      <c r="E159" s="1" t="str">
        <f>IF('1.1 Produksi Bersih Padi 2025'!E159="","",'1.1 Produksi Bersih Padi 2025'!E159)</f>
        <v/>
      </c>
      <c r="F159" s="28" t="str">
        <f>IF(D159="","",VLOOKUP(D159,'[1]0.1 Produksi Pangan &amp; Penduduk'!$D$5:$AQ$860,40,0))</f>
        <v/>
      </c>
      <c r="G159" s="29" t="str">
        <f t="shared" si="10"/>
        <v/>
      </c>
      <c r="H159" s="29" t="str">
        <f t="shared" si="11"/>
        <v/>
      </c>
      <c r="I159" s="29" t="str">
        <f t="shared" si="12"/>
        <v/>
      </c>
      <c r="J159" s="29" t="str">
        <f t="shared" si="13"/>
        <v/>
      </c>
      <c r="K159" s="29" t="str">
        <f t="shared" si="14"/>
        <v/>
      </c>
      <c r="M159" s="11"/>
    </row>
    <row r="160" spans="1:13" ht="15" x14ac:dyDescent="0.25">
      <c r="A160" s="1" t="str">
        <f>IF('1.1 Produksi Bersih Padi 2025'!A160="","",'1.1 Produksi Bersih Padi 2025'!A160)</f>
        <v/>
      </c>
      <c r="B160" s="31" t="str">
        <f>IF('1.1 Produksi Bersih Padi 2025'!B160="","",'1.1 Produksi Bersih Padi 2025'!B160)</f>
        <v/>
      </c>
      <c r="C160" s="31" t="str">
        <f>IF('1.1 Produksi Bersih Padi 2025'!C160="","",'1.1 Produksi Bersih Padi 2025'!C160)</f>
        <v/>
      </c>
      <c r="D160" s="1" t="str">
        <f>IF('1.1 Produksi Bersih Padi 2025'!D160="","",'1.1 Produksi Bersih Padi 2025'!D160)</f>
        <v/>
      </c>
      <c r="E160" s="1" t="str">
        <f>IF('1.1 Produksi Bersih Padi 2025'!E160="","",'1.1 Produksi Bersih Padi 2025'!E160)</f>
        <v/>
      </c>
      <c r="F160" s="28" t="str">
        <f>IF(D160="","",VLOOKUP(D160,'[1]0.1 Produksi Pangan &amp; Penduduk'!$D$5:$AQ$860,40,0))</f>
        <v/>
      </c>
      <c r="G160" s="29" t="str">
        <f t="shared" si="10"/>
        <v/>
      </c>
      <c r="H160" s="29" t="str">
        <f t="shared" si="11"/>
        <v/>
      </c>
      <c r="I160" s="29" t="str">
        <f t="shared" si="12"/>
        <v/>
      </c>
      <c r="J160" s="29" t="str">
        <f t="shared" si="13"/>
        <v/>
      </c>
      <c r="K160" s="29" t="str">
        <f t="shared" si="14"/>
        <v/>
      </c>
      <c r="M160" s="11"/>
    </row>
    <row r="161" spans="1:13" ht="15" x14ac:dyDescent="0.25">
      <c r="A161" s="1" t="str">
        <f>IF('1.1 Produksi Bersih Padi 2025'!A161="","",'1.1 Produksi Bersih Padi 2025'!A161)</f>
        <v/>
      </c>
      <c r="B161" s="31" t="str">
        <f>IF('1.1 Produksi Bersih Padi 2025'!B161="","",'1.1 Produksi Bersih Padi 2025'!B161)</f>
        <v/>
      </c>
      <c r="C161" s="31" t="str">
        <f>IF('1.1 Produksi Bersih Padi 2025'!C161="","",'1.1 Produksi Bersih Padi 2025'!C161)</f>
        <v/>
      </c>
      <c r="D161" s="1" t="str">
        <f>IF('1.1 Produksi Bersih Padi 2025'!D161="","",'1.1 Produksi Bersih Padi 2025'!D161)</f>
        <v/>
      </c>
      <c r="E161" s="1" t="str">
        <f>IF('1.1 Produksi Bersih Padi 2025'!E161="","",'1.1 Produksi Bersih Padi 2025'!E161)</f>
        <v/>
      </c>
      <c r="F161" s="28" t="str">
        <f>IF(D161="","",VLOOKUP(D161,'[1]0.1 Produksi Pangan &amp; Penduduk'!$D$5:$AQ$860,40,0))</f>
        <v/>
      </c>
      <c r="G161" s="29" t="str">
        <f t="shared" si="10"/>
        <v/>
      </c>
      <c r="H161" s="29" t="str">
        <f t="shared" si="11"/>
        <v/>
      </c>
      <c r="I161" s="29" t="str">
        <f t="shared" si="12"/>
        <v/>
      </c>
      <c r="J161" s="29" t="str">
        <f t="shared" si="13"/>
        <v/>
      </c>
      <c r="K161" s="29" t="str">
        <f t="shared" si="14"/>
        <v/>
      </c>
      <c r="M161" s="11"/>
    </row>
    <row r="162" spans="1:13" ht="15" x14ac:dyDescent="0.25">
      <c r="A162" s="1" t="str">
        <f>IF('1.1 Produksi Bersih Padi 2025'!A162="","",'1.1 Produksi Bersih Padi 2025'!A162)</f>
        <v/>
      </c>
      <c r="B162" s="31" t="str">
        <f>IF('1.1 Produksi Bersih Padi 2025'!B162="","",'1.1 Produksi Bersih Padi 2025'!B162)</f>
        <v/>
      </c>
      <c r="C162" s="31" t="str">
        <f>IF('1.1 Produksi Bersih Padi 2025'!C162="","",'1.1 Produksi Bersih Padi 2025'!C162)</f>
        <v/>
      </c>
      <c r="D162" s="1" t="str">
        <f>IF('1.1 Produksi Bersih Padi 2025'!D162="","",'1.1 Produksi Bersih Padi 2025'!D162)</f>
        <v/>
      </c>
      <c r="E162" s="1" t="str">
        <f>IF('1.1 Produksi Bersih Padi 2025'!E162="","",'1.1 Produksi Bersih Padi 2025'!E162)</f>
        <v/>
      </c>
      <c r="F162" s="28" t="str">
        <f>IF(D162="","",VLOOKUP(D162,'[1]0.1 Produksi Pangan &amp; Penduduk'!$D$5:$AQ$860,40,0))</f>
        <v/>
      </c>
      <c r="G162" s="29" t="str">
        <f t="shared" si="10"/>
        <v/>
      </c>
      <c r="H162" s="29" t="str">
        <f t="shared" si="11"/>
        <v/>
      </c>
      <c r="I162" s="29" t="str">
        <f t="shared" si="12"/>
        <v/>
      </c>
      <c r="J162" s="29" t="str">
        <f t="shared" si="13"/>
        <v/>
      </c>
      <c r="K162" s="29" t="str">
        <f t="shared" si="14"/>
        <v/>
      </c>
      <c r="M162" s="11"/>
    </row>
    <row r="163" spans="1:13" ht="15" x14ac:dyDescent="0.25">
      <c r="A163" s="1" t="str">
        <f>IF('1.1 Produksi Bersih Padi 2025'!A163="","",'1.1 Produksi Bersih Padi 2025'!A163)</f>
        <v/>
      </c>
      <c r="B163" s="31" t="str">
        <f>IF('1.1 Produksi Bersih Padi 2025'!B163="","",'1.1 Produksi Bersih Padi 2025'!B163)</f>
        <v/>
      </c>
      <c r="C163" s="31" t="str">
        <f>IF('1.1 Produksi Bersih Padi 2025'!C163="","",'1.1 Produksi Bersih Padi 2025'!C163)</f>
        <v/>
      </c>
      <c r="D163" s="1" t="str">
        <f>IF('1.1 Produksi Bersih Padi 2025'!D163="","",'1.1 Produksi Bersih Padi 2025'!D163)</f>
        <v/>
      </c>
      <c r="E163" s="1" t="str">
        <f>IF('1.1 Produksi Bersih Padi 2025'!E163="","",'1.1 Produksi Bersih Padi 2025'!E163)</f>
        <v/>
      </c>
      <c r="F163" s="28" t="str">
        <f>IF(D163="","",VLOOKUP(D163,'[1]0.1 Produksi Pangan &amp; Penduduk'!$D$5:$AQ$860,40,0))</f>
        <v/>
      </c>
      <c r="G163" s="29" t="str">
        <f t="shared" si="10"/>
        <v/>
      </c>
      <c r="H163" s="29" t="str">
        <f t="shared" si="11"/>
        <v/>
      </c>
      <c r="I163" s="29" t="str">
        <f t="shared" si="12"/>
        <v/>
      </c>
      <c r="J163" s="29" t="str">
        <f t="shared" si="13"/>
        <v/>
      </c>
      <c r="K163" s="29" t="str">
        <f t="shared" si="14"/>
        <v/>
      </c>
      <c r="M163" s="11"/>
    </row>
    <row r="164" spans="1:13" ht="15" x14ac:dyDescent="0.25">
      <c r="A164" s="1" t="str">
        <f>IF('1.1 Produksi Bersih Padi 2025'!A164="","",'1.1 Produksi Bersih Padi 2025'!A164)</f>
        <v/>
      </c>
      <c r="B164" s="31" t="str">
        <f>IF('1.1 Produksi Bersih Padi 2025'!B164="","",'1.1 Produksi Bersih Padi 2025'!B164)</f>
        <v/>
      </c>
      <c r="C164" s="31" t="str">
        <f>IF('1.1 Produksi Bersih Padi 2025'!C164="","",'1.1 Produksi Bersih Padi 2025'!C164)</f>
        <v/>
      </c>
      <c r="D164" s="1" t="str">
        <f>IF('1.1 Produksi Bersih Padi 2025'!D164="","",'1.1 Produksi Bersih Padi 2025'!D164)</f>
        <v/>
      </c>
      <c r="E164" s="1" t="str">
        <f>IF('1.1 Produksi Bersih Padi 2025'!E164="","",'1.1 Produksi Bersih Padi 2025'!E164)</f>
        <v/>
      </c>
      <c r="F164" s="28" t="str">
        <f>IF(D164="","",VLOOKUP(D164,'[1]0.1 Produksi Pangan &amp; Penduduk'!$D$5:$AQ$860,40,0))</f>
        <v/>
      </c>
      <c r="G164" s="29" t="str">
        <f t="shared" si="10"/>
        <v/>
      </c>
      <c r="H164" s="29" t="str">
        <f t="shared" si="11"/>
        <v/>
      </c>
      <c r="I164" s="29" t="str">
        <f t="shared" si="12"/>
        <v/>
      </c>
      <c r="J164" s="29" t="str">
        <f t="shared" si="13"/>
        <v/>
      </c>
      <c r="K164" s="29" t="str">
        <f t="shared" si="14"/>
        <v/>
      </c>
      <c r="M164" s="11"/>
    </row>
    <row r="165" spans="1:13" ht="15" x14ac:dyDescent="0.25">
      <c r="A165" s="1" t="str">
        <f>IF('1.1 Produksi Bersih Padi 2025'!A165="","",'1.1 Produksi Bersih Padi 2025'!A165)</f>
        <v/>
      </c>
      <c r="B165" s="31" t="str">
        <f>IF('1.1 Produksi Bersih Padi 2025'!B165="","",'1.1 Produksi Bersih Padi 2025'!B165)</f>
        <v/>
      </c>
      <c r="C165" s="31" t="str">
        <f>IF('1.1 Produksi Bersih Padi 2025'!C165="","",'1.1 Produksi Bersih Padi 2025'!C165)</f>
        <v/>
      </c>
      <c r="D165" s="1" t="str">
        <f>IF('1.1 Produksi Bersih Padi 2025'!D165="","",'1.1 Produksi Bersih Padi 2025'!D165)</f>
        <v/>
      </c>
      <c r="E165" s="1" t="str">
        <f>IF('1.1 Produksi Bersih Padi 2025'!E165="","",'1.1 Produksi Bersih Padi 2025'!E165)</f>
        <v/>
      </c>
      <c r="F165" s="28" t="str">
        <f>IF(D165="","",VLOOKUP(D165,'[1]0.1 Produksi Pangan &amp; Penduduk'!$D$5:$AQ$860,40,0))</f>
        <v/>
      </c>
      <c r="G165" s="29" t="str">
        <f t="shared" si="10"/>
        <v/>
      </c>
      <c r="H165" s="29" t="str">
        <f t="shared" si="11"/>
        <v/>
      </c>
      <c r="I165" s="29" t="str">
        <f t="shared" si="12"/>
        <v/>
      </c>
      <c r="J165" s="29" t="str">
        <f t="shared" si="13"/>
        <v/>
      </c>
      <c r="K165" s="29" t="str">
        <f t="shared" si="14"/>
        <v/>
      </c>
      <c r="M165" s="11"/>
    </row>
    <row r="166" spans="1:13" ht="15" x14ac:dyDescent="0.25">
      <c r="A166" s="1" t="str">
        <f>IF('1.1 Produksi Bersih Padi 2025'!A166="","",'1.1 Produksi Bersih Padi 2025'!A166)</f>
        <v/>
      </c>
      <c r="B166" s="31" t="str">
        <f>IF('1.1 Produksi Bersih Padi 2025'!B166="","",'1.1 Produksi Bersih Padi 2025'!B166)</f>
        <v/>
      </c>
      <c r="C166" s="31" t="str">
        <f>IF('1.1 Produksi Bersih Padi 2025'!C166="","",'1.1 Produksi Bersih Padi 2025'!C166)</f>
        <v/>
      </c>
      <c r="D166" s="1" t="str">
        <f>IF('1.1 Produksi Bersih Padi 2025'!D166="","",'1.1 Produksi Bersih Padi 2025'!D166)</f>
        <v/>
      </c>
      <c r="E166" s="1" t="str">
        <f>IF('1.1 Produksi Bersih Padi 2025'!E166="","",'1.1 Produksi Bersih Padi 2025'!E166)</f>
        <v/>
      </c>
      <c r="F166" s="28" t="str">
        <f>IF(D166="","",VLOOKUP(D166,'[1]0.1 Produksi Pangan &amp; Penduduk'!$D$5:$AQ$860,40,0))</f>
        <v/>
      </c>
      <c r="G166" s="29" t="str">
        <f t="shared" si="10"/>
        <v/>
      </c>
      <c r="H166" s="29" t="str">
        <f t="shared" si="11"/>
        <v/>
      </c>
      <c r="I166" s="29" t="str">
        <f t="shared" si="12"/>
        <v/>
      </c>
      <c r="J166" s="29" t="str">
        <f t="shared" si="13"/>
        <v/>
      </c>
      <c r="K166" s="29" t="str">
        <f t="shared" si="14"/>
        <v/>
      </c>
      <c r="M166" s="11"/>
    </row>
    <row r="167" spans="1:13" ht="15" x14ac:dyDescent="0.25">
      <c r="A167" s="1" t="str">
        <f>IF('1.1 Produksi Bersih Padi 2025'!A167="","",'1.1 Produksi Bersih Padi 2025'!A167)</f>
        <v/>
      </c>
      <c r="B167" s="31" t="str">
        <f>IF('1.1 Produksi Bersih Padi 2025'!B167="","",'1.1 Produksi Bersih Padi 2025'!B167)</f>
        <v/>
      </c>
      <c r="C167" s="31" t="str">
        <f>IF('1.1 Produksi Bersih Padi 2025'!C167="","",'1.1 Produksi Bersih Padi 2025'!C167)</f>
        <v/>
      </c>
      <c r="D167" s="1" t="str">
        <f>IF('1.1 Produksi Bersih Padi 2025'!D167="","",'1.1 Produksi Bersih Padi 2025'!D167)</f>
        <v/>
      </c>
      <c r="E167" s="1" t="str">
        <f>IF('1.1 Produksi Bersih Padi 2025'!E167="","",'1.1 Produksi Bersih Padi 2025'!E167)</f>
        <v/>
      </c>
      <c r="F167" s="28" t="str">
        <f>IF(D167="","",VLOOKUP(D167,'[1]0.1 Produksi Pangan &amp; Penduduk'!$D$5:$AQ$860,40,0))</f>
        <v/>
      </c>
      <c r="G167" s="29" t="str">
        <f t="shared" si="10"/>
        <v/>
      </c>
      <c r="H167" s="29" t="str">
        <f t="shared" si="11"/>
        <v/>
      </c>
      <c r="I167" s="29" t="str">
        <f t="shared" si="12"/>
        <v/>
      </c>
      <c r="J167" s="29" t="str">
        <f t="shared" si="13"/>
        <v/>
      </c>
      <c r="K167" s="29" t="str">
        <f t="shared" si="14"/>
        <v/>
      </c>
      <c r="M167" s="11"/>
    </row>
    <row r="168" spans="1:13" ht="15" x14ac:dyDescent="0.25">
      <c r="A168" s="1" t="str">
        <f>IF('1.1 Produksi Bersih Padi 2025'!A168="","",'1.1 Produksi Bersih Padi 2025'!A168)</f>
        <v/>
      </c>
      <c r="B168" s="31" t="str">
        <f>IF('1.1 Produksi Bersih Padi 2025'!B168="","",'1.1 Produksi Bersih Padi 2025'!B168)</f>
        <v/>
      </c>
      <c r="C168" s="31" t="str">
        <f>IF('1.1 Produksi Bersih Padi 2025'!C168="","",'1.1 Produksi Bersih Padi 2025'!C168)</f>
        <v/>
      </c>
      <c r="D168" s="1" t="str">
        <f>IF('1.1 Produksi Bersih Padi 2025'!D168="","",'1.1 Produksi Bersih Padi 2025'!D168)</f>
        <v/>
      </c>
      <c r="E168" s="1" t="str">
        <f>IF('1.1 Produksi Bersih Padi 2025'!E168="","",'1.1 Produksi Bersih Padi 2025'!E168)</f>
        <v/>
      </c>
      <c r="F168" s="28" t="str">
        <f>IF(D168="","",VLOOKUP(D168,'[1]0.1 Produksi Pangan &amp; Penduduk'!$D$5:$AQ$860,40,0))</f>
        <v/>
      </c>
      <c r="G168" s="29" t="str">
        <f t="shared" si="10"/>
        <v/>
      </c>
      <c r="H168" s="29" t="str">
        <f t="shared" si="11"/>
        <v/>
      </c>
      <c r="I168" s="29" t="str">
        <f t="shared" si="12"/>
        <v/>
      </c>
      <c r="J168" s="29" t="str">
        <f t="shared" si="13"/>
        <v/>
      </c>
      <c r="K168" s="29" t="str">
        <f t="shared" si="14"/>
        <v/>
      </c>
      <c r="M168" s="11"/>
    </row>
    <row r="169" spans="1:13" ht="15" x14ac:dyDescent="0.25">
      <c r="A169" s="1" t="str">
        <f>IF('1.1 Produksi Bersih Padi 2025'!A169="","",'1.1 Produksi Bersih Padi 2025'!A169)</f>
        <v/>
      </c>
      <c r="B169" s="31" t="str">
        <f>IF('1.1 Produksi Bersih Padi 2025'!B169="","",'1.1 Produksi Bersih Padi 2025'!B169)</f>
        <v/>
      </c>
      <c r="C169" s="31" t="str">
        <f>IF('1.1 Produksi Bersih Padi 2025'!C169="","",'1.1 Produksi Bersih Padi 2025'!C169)</f>
        <v/>
      </c>
      <c r="D169" s="1" t="str">
        <f>IF('1.1 Produksi Bersih Padi 2025'!D169="","",'1.1 Produksi Bersih Padi 2025'!D169)</f>
        <v/>
      </c>
      <c r="E169" s="1" t="str">
        <f>IF('1.1 Produksi Bersih Padi 2025'!E169="","",'1.1 Produksi Bersih Padi 2025'!E169)</f>
        <v/>
      </c>
      <c r="F169" s="28" t="str">
        <f>IF(D169="","",VLOOKUP(D169,'[1]0.1 Produksi Pangan &amp; Penduduk'!$D$5:$AQ$860,40,0))</f>
        <v/>
      </c>
      <c r="G169" s="29" t="str">
        <f t="shared" si="10"/>
        <v/>
      </c>
      <c r="H169" s="29" t="str">
        <f t="shared" si="11"/>
        <v/>
      </c>
      <c r="I169" s="29" t="str">
        <f t="shared" si="12"/>
        <v/>
      </c>
      <c r="J169" s="29" t="str">
        <f t="shared" si="13"/>
        <v/>
      </c>
      <c r="K169" s="29" t="str">
        <f t="shared" si="14"/>
        <v/>
      </c>
      <c r="M169" s="11"/>
    </row>
    <row r="170" spans="1:13" ht="15" x14ac:dyDescent="0.25">
      <c r="A170" s="1" t="str">
        <f>IF('1.1 Produksi Bersih Padi 2025'!A170="","",'1.1 Produksi Bersih Padi 2025'!A170)</f>
        <v/>
      </c>
      <c r="B170" s="31" t="str">
        <f>IF('1.1 Produksi Bersih Padi 2025'!B170="","",'1.1 Produksi Bersih Padi 2025'!B170)</f>
        <v/>
      </c>
      <c r="C170" s="31" t="str">
        <f>IF('1.1 Produksi Bersih Padi 2025'!C170="","",'1.1 Produksi Bersih Padi 2025'!C170)</f>
        <v/>
      </c>
      <c r="D170" s="1" t="str">
        <f>IF('1.1 Produksi Bersih Padi 2025'!D170="","",'1.1 Produksi Bersih Padi 2025'!D170)</f>
        <v/>
      </c>
      <c r="E170" s="1" t="str">
        <f>IF('1.1 Produksi Bersih Padi 2025'!E170="","",'1.1 Produksi Bersih Padi 2025'!E170)</f>
        <v/>
      </c>
      <c r="F170" s="28" t="str">
        <f>IF(D170="","",VLOOKUP(D170,'[1]0.1 Produksi Pangan &amp; Penduduk'!$D$5:$AQ$860,40,0))</f>
        <v/>
      </c>
      <c r="G170" s="29" t="str">
        <f t="shared" si="10"/>
        <v/>
      </c>
      <c r="H170" s="29" t="str">
        <f t="shared" si="11"/>
        <v/>
      </c>
      <c r="I170" s="29" t="str">
        <f t="shared" si="12"/>
        <v/>
      </c>
      <c r="J170" s="29" t="str">
        <f t="shared" si="13"/>
        <v/>
      </c>
      <c r="K170" s="29" t="str">
        <f t="shared" si="14"/>
        <v/>
      </c>
      <c r="M170" s="11"/>
    </row>
    <row r="171" spans="1:13" ht="15" x14ac:dyDescent="0.25">
      <c r="A171" s="1" t="str">
        <f>IF('1.1 Produksi Bersih Padi 2025'!A171="","",'1.1 Produksi Bersih Padi 2025'!A171)</f>
        <v/>
      </c>
      <c r="B171" s="31" t="str">
        <f>IF('1.1 Produksi Bersih Padi 2025'!B171="","",'1.1 Produksi Bersih Padi 2025'!B171)</f>
        <v/>
      </c>
      <c r="C171" s="31" t="str">
        <f>IF('1.1 Produksi Bersih Padi 2025'!C171="","",'1.1 Produksi Bersih Padi 2025'!C171)</f>
        <v/>
      </c>
      <c r="D171" s="1" t="str">
        <f>IF('1.1 Produksi Bersih Padi 2025'!D171="","",'1.1 Produksi Bersih Padi 2025'!D171)</f>
        <v/>
      </c>
      <c r="E171" s="1" t="str">
        <f>IF('1.1 Produksi Bersih Padi 2025'!E171="","",'1.1 Produksi Bersih Padi 2025'!E171)</f>
        <v/>
      </c>
      <c r="F171" s="28" t="str">
        <f>IF(D171="","",VLOOKUP(D171,'[1]0.1 Produksi Pangan &amp; Penduduk'!$D$5:$AQ$860,40,0))</f>
        <v/>
      </c>
      <c r="G171" s="29" t="str">
        <f t="shared" si="10"/>
        <v/>
      </c>
      <c r="H171" s="29" t="str">
        <f t="shared" si="11"/>
        <v/>
      </c>
      <c r="I171" s="29" t="str">
        <f t="shared" si="12"/>
        <v/>
      </c>
      <c r="J171" s="29" t="str">
        <f t="shared" si="13"/>
        <v/>
      </c>
      <c r="K171" s="29" t="str">
        <f t="shared" si="14"/>
        <v/>
      </c>
      <c r="M171" s="11"/>
    </row>
    <row r="172" spans="1:13" ht="15" x14ac:dyDescent="0.25">
      <c r="A172" s="1" t="str">
        <f>IF('1.1 Produksi Bersih Padi 2025'!A172="","",'1.1 Produksi Bersih Padi 2025'!A172)</f>
        <v/>
      </c>
      <c r="B172" s="31" t="str">
        <f>IF('1.1 Produksi Bersih Padi 2025'!B172="","",'1.1 Produksi Bersih Padi 2025'!B172)</f>
        <v/>
      </c>
      <c r="C172" s="31" t="str">
        <f>IF('1.1 Produksi Bersih Padi 2025'!C172="","",'1.1 Produksi Bersih Padi 2025'!C172)</f>
        <v/>
      </c>
      <c r="D172" s="1" t="str">
        <f>IF('1.1 Produksi Bersih Padi 2025'!D172="","",'1.1 Produksi Bersih Padi 2025'!D172)</f>
        <v/>
      </c>
      <c r="E172" s="1" t="str">
        <f>IF('1.1 Produksi Bersih Padi 2025'!E172="","",'1.1 Produksi Bersih Padi 2025'!E172)</f>
        <v/>
      </c>
      <c r="F172" s="28" t="str">
        <f>IF(D172="","",VLOOKUP(D172,'[1]0.1 Produksi Pangan &amp; Penduduk'!$D$5:$AQ$860,40,0))</f>
        <v/>
      </c>
      <c r="G172" s="29" t="str">
        <f t="shared" si="10"/>
        <v/>
      </c>
      <c r="H172" s="29" t="str">
        <f t="shared" si="11"/>
        <v/>
      </c>
      <c r="I172" s="29" t="str">
        <f t="shared" si="12"/>
        <v/>
      </c>
      <c r="J172" s="29" t="str">
        <f t="shared" si="13"/>
        <v/>
      </c>
      <c r="K172" s="29" t="str">
        <f t="shared" si="14"/>
        <v/>
      </c>
      <c r="M172" s="11"/>
    </row>
    <row r="173" spans="1:13" ht="15" x14ac:dyDescent="0.25">
      <c r="A173" s="1" t="str">
        <f>IF('1.1 Produksi Bersih Padi 2025'!A173="","",'1.1 Produksi Bersih Padi 2025'!A173)</f>
        <v/>
      </c>
      <c r="B173" s="31" t="str">
        <f>IF('1.1 Produksi Bersih Padi 2025'!B173="","",'1.1 Produksi Bersih Padi 2025'!B173)</f>
        <v/>
      </c>
      <c r="C173" s="31" t="str">
        <f>IF('1.1 Produksi Bersih Padi 2025'!C173="","",'1.1 Produksi Bersih Padi 2025'!C173)</f>
        <v/>
      </c>
      <c r="D173" s="1" t="str">
        <f>IF('1.1 Produksi Bersih Padi 2025'!D173="","",'1.1 Produksi Bersih Padi 2025'!D173)</f>
        <v/>
      </c>
      <c r="E173" s="1" t="str">
        <f>IF('1.1 Produksi Bersih Padi 2025'!E173="","",'1.1 Produksi Bersih Padi 2025'!E173)</f>
        <v/>
      </c>
      <c r="F173" s="28" t="str">
        <f>IF(D173="","",VLOOKUP(D173,'[1]0.1 Produksi Pangan &amp; Penduduk'!$D$5:$AQ$860,40,0))</f>
        <v/>
      </c>
      <c r="G173" s="29" t="str">
        <f t="shared" si="10"/>
        <v/>
      </c>
      <c r="H173" s="29" t="str">
        <f t="shared" si="11"/>
        <v/>
      </c>
      <c r="I173" s="29" t="str">
        <f t="shared" si="12"/>
        <v/>
      </c>
      <c r="J173" s="29" t="str">
        <f t="shared" si="13"/>
        <v/>
      </c>
      <c r="K173" s="29" t="str">
        <f t="shared" si="14"/>
        <v/>
      </c>
      <c r="M173" s="11"/>
    </row>
    <row r="174" spans="1:13" ht="15" x14ac:dyDescent="0.25">
      <c r="A174" s="1" t="str">
        <f>IF('1.1 Produksi Bersih Padi 2025'!A174="","",'1.1 Produksi Bersih Padi 2025'!A174)</f>
        <v/>
      </c>
      <c r="B174" s="31" t="str">
        <f>IF('1.1 Produksi Bersih Padi 2025'!B174="","",'1.1 Produksi Bersih Padi 2025'!B174)</f>
        <v/>
      </c>
      <c r="C174" s="31" t="str">
        <f>IF('1.1 Produksi Bersih Padi 2025'!C174="","",'1.1 Produksi Bersih Padi 2025'!C174)</f>
        <v/>
      </c>
      <c r="D174" s="1" t="str">
        <f>IF('1.1 Produksi Bersih Padi 2025'!D174="","",'1.1 Produksi Bersih Padi 2025'!D174)</f>
        <v/>
      </c>
      <c r="E174" s="1" t="str">
        <f>IF('1.1 Produksi Bersih Padi 2025'!E174="","",'1.1 Produksi Bersih Padi 2025'!E174)</f>
        <v/>
      </c>
      <c r="F174" s="28" t="str">
        <f>IF(D174="","",VLOOKUP(D174,'[1]0.1 Produksi Pangan &amp; Penduduk'!$D$5:$AQ$860,40,0))</f>
        <v/>
      </c>
      <c r="G174" s="29" t="str">
        <f t="shared" si="10"/>
        <v/>
      </c>
      <c r="H174" s="29" t="str">
        <f t="shared" si="11"/>
        <v/>
      </c>
      <c r="I174" s="29" t="str">
        <f t="shared" si="12"/>
        <v/>
      </c>
      <c r="J174" s="29" t="str">
        <f t="shared" si="13"/>
        <v/>
      </c>
      <c r="K174" s="29" t="str">
        <f t="shared" si="14"/>
        <v/>
      </c>
      <c r="M174" s="11"/>
    </row>
    <row r="175" spans="1:13" ht="15" x14ac:dyDescent="0.25">
      <c r="A175" s="1" t="str">
        <f>IF('1.1 Produksi Bersih Padi 2025'!A175="","",'1.1 Produksi Bersih Padi 2025'!A175)</f>
        <v/>
      </c>
      <c r="B175" s="31" t="str">
        <f>IF('1.1 Produksi Bersih Padi 2025'!B175="","",'1.1 Produksi Bersih Padi 2025'!B175)</f>
        <v/>
      </c>
      <c r="C175" s="31" t="str">
        <f>IF('1.1 Produksi Bersih Padi 2025'!C175="","",'1.1 Produksi Bersih Padi 2025'!C175)</f>
        <v/>
      </c>
      <c r="D175" s="1" t="str">
        <f>IF('1.1 Produksi Bersih Padi 2025'!D175="","",'1.1 Produksi Bersih Padi 2025'!D175)</f>
        <v/>
      </c>
      <c r="E175" s="1" t="str">
        <f>IF('1.1 Produksi Bersih Padi 2025'!E175="","",'1.1 Produksi Bersih Padi 2025'!E175)</f>
        <v/>
      </c>
      <c r="F175" s="28" t="str">
        <f>IF(D175="","",VLOOKUP(D175,'[1]0.1 Produksi Pangan &amp; Penduduk'!$D$5:$AQ$860,40,0))</f>
        <v/>
      </c>
      <c r="G175" s="29" t="str">
        <f t="shared" si="10"/>
        <v/>
      </c>
      <c r="H175" s="29" t="str">
        <f t="shared" si="11"/>
        <v/>
      </c>
      <c r="I175" s="29" t="str">
        <f t="shared" si="12"/>
        <v/>
      </c>
      <c r="J175" s="29" t="str">
        <f t="shared" si="13"/>
        <v/>
      </c>
      <c r="K175" s="29" t="str">
        <f t="shared" si="14"/>
        <v/>
      </c>
      <c r="M175" s="11"/>
    </row>
    <row r="176" spans="1:13" ht="15" x14ac:dyDescent="0.25">
      <c r="A176" s="1" t="str">
        <f>IF('1.1 Produksi Bersih Padi 2025'!A176="","",'1.1 Produksi Bersih Padi 2025'!A176)</f>
        <v/>
      </c>
      <c r="B176" s="31" t="str">
        <f>IF('1.1 Produksi Bersih Padi 2025'!B176="","",'1.1 Produksi Bersih Padi 2025'!B176)</f>
        <v/>
      </c>
      <c r="C176" s="31" t="str">
        <f>IF('1.1 Produksi Bersih Padi 2025'!C176="","",'1.1 Produksi Bersih Padi 2025'!C176)</f>
        <v/>
      </c>
      <c r="D176" s="1" t="str">
        <f>IF('1.1 Produksi Bersih Padi 2025'!D176="","",'1.1 Produksi Bersih Padi 2025'!D176)</f>
        <v/>
      </c>
      <c r="E176" s="1" t="str">
        <f>IF('1.1 Produksi Bersih Padi 2025'!E176="","",'1.1 Produksi Bersih Padi 2025'!E176)</f>
        <v/>
      </c>
      <c r="F176" s="28" t="str">
        <f>IF(D176="","",VLOOKUP(D176,'[1]0.1 Produksi Pangan &amp; Penduduk'!$D$5:$AQ$860,40,0))</f>
        <v/>
      </c>
      <c r="G176" s="29" t="str">
        <f t="shared" si="10"/>
        <v/>
      </c>
      <c r="H176" s="29" t="str">
        <f t="shared" si="11"/>
        <v/>
      </c>
      <c r="I176" s="29" t="str">
        <f t="shared" si="12"/>
        <v/>
      </c>
      <c r="J176" s="29" t="str">
        <f t="shared" si="13"/>
        <v/>
      </c>
      <c r="K176" s="29" t="str">
        <f t="shared" si="14"/>
        <v/>
      </c>
      <c r="M176" s="11"/>
    </row>
    <row r="177" spans="1:13" ht="15" x14ac:dyDescent="0.25">
      <c r="A177" s="1" t="str">
        <f>IF('1.1 Produksi Bersih Padi 2025'!A177="","",'1.1 Produksi Bersih Padi 2025'!A177)</f>
        <v/>
      </c>
      <c r="B177" s="31" t="str">
        <f>IF('1.1 Produksi Bersih Padi 2025'!B177="","",'1.1 Produksi Bersih Padi 2025'!B177)</f>
        <v/>
      </c>
      <c r="C177" s="31" t="str">
        <f>IF('1.1 Produksi Bersih Padi 2025'!C177="","",'1.1 Produksi Bersih Padi 2025'!C177)</f>
        <v/>
      </c>
      <c r="D177" s="1" t="str">
        <f>IF('1.1 Produksi Bersih Padi 2025'!D177="","",'1.1 Produksi Bersih Padi 2025'!D177)</f>
        <v/>
      </c>
      <c r="E177" s="1" t="str">
        <f>IF('1.1 Produksi Bersih Padi 2025'!E177="","",'1.1 Produksi Bersih Padi 2025'!E177)</f>
        <v/>
      </c>
      <c r="F177" s="28" t="str">
        <f>IF(D177="","",VLOOKUP(D177,'[1]0.1 Produksi Pangan &amp; Penduduk'!$D$5:$AQ$860,40,0))</f>
        <v/>
      </c>
      <c r="G177" s="29" t="str">
        <f t="shared" si="10"/>
        <v/>
      </c>
      <c r="H177" s="29" t="str">
        <f t="shared" si="11"/>
        <v/>
      </c>
      <c r="I177" s="29" t="str">
        <f t="shared" si="12"/>
        <v/>
      </c>
      <c r="J177" s="29" t="str">
        <f t="shared" si="13"/>
        <v/>
      </c>
      <c r="K177" s="29" t="str">
        <f t="shared" si="14"/>
        <v/>
      </c>
      <c r="M177" s="11"/>
    </row>
    <row r="178" spans="1:13" ht="15" x14ac:dyDescent="0.25">
      <c r="A178" s="1" t="str">
        <f>IF('1.1 Produksi Bersih Padi 2025'!A178="","",'1.1 Produksi Bersih Padi 2025'!A178)</f>
        <v/>
      </c>
      <c r="B178" s="31" t="str">
        <f>IF('1.1 Produksi Bersih Padi 2025'!B178="","",'1.1 Produksi Bersih Padi 2025'!B178)</f>
        <v/>
      </c>
      <c r="C178" s="31" t="str">
        <f>IF('1.1 Produksi Bersih Padi 2025'!C178="","",'1.1 Produksi Bersih Padi 2025'!C178)</f>
        <v/>
      </c>
      <c r="D178" s="1" t="str">
        <f>IF('1.1 Produksi Bersih Padi 2025'!D178="","",'1.1 Produksi Bersih Padi 2025'!D178)</f>
        <v/>
      </c>
      <c r="E178" s="1" t="str">
        <f>IF('1.1 Produksi Bersih Padi 2025'!E178="","",'1.1 Produksi Bersih Padi 2025'!E178)</f>
        <v/>
      </c>
      <c r="F178" s="28" t="str">
        <f>IF(D178="","",VLOOKUP(D178,'[1]0.1 Produksi Pangan &amp; Penduduk'!$D$5:$AQ$860,40,0))</f>
        <v/>
      </c>
      <c r="G178" s="29" t="str">
        <f t="shared" si="10"/>
        <v/>
      </c>
      <c r="H178" s="29" t="str">
        <f t="shared" si="11"/>
        <v/>
      </c>
      <c r="I178" s="29" t="str">
        <f t="shared" si="12"/>
        <v/>
      </c>
      <c r="J178" s="29" t="str">
        <f t="shared" si="13"/>
        <v/>
      </c>
      <c r="K178" s="29" t="str">
        <f t="shared" si="14"/>
        <v/>
      </c>
      <c r="M178" s="11"/>
    </row>
    <row r="179" spans="1:13" ht="15" x14ac:dyDescent="0.25">
      <c r="A179" s="1" t="str">
        <f>IF('1.1 Produksi Bersih Padi 2025'!A179="","",'1.1 Produksi Bersih Padi 2025'!A179)</f>
        <v/>
      </c>
      <c r="B179" s="31" t="str">
        <f>IF('1.1 Produksi Bersih Padi 2025'!B179="","",'1.1 Produksi Bersih Padi 2025'!B179)</f>
        <v/>
      </c>
      <c r="C179" s="31" t="str">
        <f>IF('1.1 Produksi Bersih Padi 2025'!C179="","",'1.1 Produksi Bersih Padi 2025'!C179)</f>
        <v/>
      </c>
      <c r="D179" s="1" t="str">
        <f>IF('1.1 Produksi Bersih Padi 2025'!D179="","",'1.1 Produksi Bersih Padi 2025'!D179)</f>
        <v/>
      </c>
      <c r="E179" s="1" t="str">
        <f>IF('1.1 Produksi Bersih Padi 2025'!E179="","",'1.1 Produksi Bersih Padi 2025'!E179)</f>
        <v/>
      </c>
      <c r="F179" s="28" t="str">
        <f>IF(D179="","",VLOOKUP(D179,'[1]0.1 Produksi Pangan &amp; Penduduk'!$D$5:$AQ$860,40,0))</f>
        <v/>
      </c>
      <c r="G179" s="29" t="str">
        <f t="shared" si="10"/>
        <v/>
      </c>
      <c r="H179" s="29" t="str">
        <f t="shared" si="11"/>
        <v/>
      </c>
      <c r="I179" s="29" t="str">
        <f t="shared" si="12"/>
        <v/>
      </c>
      <c r="J179" s="29" t="str">
        <f t="shared" si="13"/>
        <v/>
      </c>
      <c r="K179" s="29" t="str">
        <f t="shared" si="14"/>
        <v/>
      </c>
      <c r="M179" s="11"/>
    </row>
    <row r="180" spans="1:13" ht="15" x14ac:dyDescent="0.25">
      <c r="A180" s="1" t="str">
        <f>IF('1.1 Produksi Bersih Padi 2025'!A180="","",'1.1 Produksi Bersih Padi 2025'!A180)</f>
        <v/>
      </c>
      <c r="B180" s="31" t="str">
        <f>IF('1.1 Produksi Bersih Padi 2025'!B180="","",'1.1 Produksi Bersih Padi 2025'!B180)</f>
        <v/>
      </c>
      <c r="C180" s="31" t="str">
        <f>IF('1.1 Produksi Bersih Padi 2025'!C180="","",'1.1 Produksi Bersih Padi 2025'!C180)</f>
        <v/>
      </c>
      <c r="D180" s="1" t="str">
        <f>IF('1.1 Produksi Bersih Padi 2025'!D180="","",'1.1 Produksi Bersih Padi 2025'!D180)</f>
        <v/>
      </c>
      <c r="E180" s="1" t="str">
        <f>IF('1.1 Produksi Bersih Padi 2025'!E180="","",'1.1 Produksi Bersih Padi 2025'!E180)</f>
        <v/>
      </c>
      <c r="F180" s="28" t="str">
        <f>IF(D180="","",VLOOKUP(D180,'[1]0.1 Produksi Pangan &amp; Penduduk'!$D$5:$AQ$860,40,0))</f>
        <v/>
      </c>
      <c r="G180" s="29" t="str">
        <f t="shared" si="10"/>
        <v/>
      </c>
      <c r="H180" s="29" t="str">
        <f t="shared" si="11"/>
        <v/>
      </c>
      <c r="I180" s="29" t="str">
        <f t="shared" si="12"/>
        <v/>
      </c>
      <c r="J180" s="29" t="str">
        <f t="shared" si="13"/>
        <v/>
      </c>
      <c r="K180" s="29" t="str">
        <f t="shared" si="14"/>
        <v/>
      </c>
      <c r="M180" s="11"/>
    </row>
    <row r="181" spans="1:13" ht="15" x14ac:dyDescent="0.25">
      <c r="A181" s="1" t="str">
        <f>IF('1.1 Produksi Bersih Padi 2025'!A181="","",'1.1 Produksi Bersih Padi 2025'!A181)</f>
        <v/>
      </c>
      <c r="B181" s="31" t="str">
        <f>IF('1.1 Produksi Bersih Padi 2025'!B181="","",'1.1 Produksi Bersih Padi 2025'!B181)</f>
        <v/>
      </c>
      <c r="C181" s="31" t="str">
        <f>IF('1.1 Produksi Bersih Padi 2025'!C181="","",'1.1 Produksi Bersih Padi 2025'!C181)</f>
        <v/>
      </c>
      <c r="D181" s="1" t="str">
        <f>IF('1.1 Produksi Bersih Padi 2025'!D181="","",'1.1 Produksi Bersih Padi 2025'!D181)</f>
        <v/>
      </c>
      <c r="E181" s="1" t="str">
        <f>IF('1.1 Produksi Bersih Padi 2025'!E181="","",'1.1 Produksi Bersih Padi 2025'!E181)</f>
        <v/>
      </c>
      <c r="F181" s="28" t="str">
        <f>IF(D181="","",VLOOKUP(D181,'[1]0.1 Produksi Pangan &amp; Penduduk'!$D$5:$AQ$860,40,0))</f>
        <v/>
      </c>
      <c r="G181" s="29" t="str">
        <f t="shared" si="10"/>
        <v/>
      </c>
      <c r="H181" s="29" t="str">
        <f t="shared" si="11"/>
        <v/>
      </c>
      <c r="I181" s="29" t="str">
        <f t="shared" si="12"/>
        <v/>
      </c>
      <c r="J181" s="29" t="str">
        <f t="shared" si="13"/>
        <v/>
      </c>
      <c r="K181" s="29" t="str">
        <f t="shared" si="14"/>
        <v/>
      </c>
      <c r="M181" s="11"/>
    </row>
    <row r="182" spans="1:13" ht="15" x14ac:dyDescent="0.25">
      <c r="A182" s="1" t="str">
        <f>IF('1.1 Produksi Bersih Padi 2025'!A182="","",'1.1 Produksi Bersih Padi 2025'!A182)</f>
        <v/>
      </c>
      <c r="B182" s="31" t="str">
        <f>IF('1.1 Produksi Bersih Padi 2025'!B182="","",'1.1 Produksi Bersih Padi 2025'!B182)</f>
        <v/>
      </c>
      <c r="C182" s="31" t="str">
        <f>IF('1.1 Produksi Bersih Padi 2025'!C182="","",'1.1 Produksi Bersih Padi 2025'!C182)</f>
        <v/>
      </c>
      <c r="D182" s="1" t="str">
        <f>IF('1.1 Produksi Bersih Padi 2025'!D182="","",'1.1 Produksi Bersih Padi 2025'!D182)</f>
        <v/>
      </c>
      <c r="E182" s="1" t="str">
        <f>IF('1.1 Produksi Bersih Padi 2025'!E182="","",'1.1 Produksi Bersih Padi 2025'!E182)</f>
        <v/>
      </c>
      <c r="F182" s="28" t="str">
        <f>IF(D182="","",VLOOKUP(D182,'[1]0.1 Produksi Pangan &amp; Penduduk'!$D$5:$AQ$860,40,0))</f>
        <v/>
      </c>
      <c r="G182" s="29" t="str">
        <f t="shared" si="10"/>
        <v/>
      </c>
      <c r="H182" s="29" t="str">
        <f t="shared" si="11"/>
        <v/>
      </c>
      <c r="I182" s="29" t="str">
        <f t="shared" si="12"/>
        <v/>
      </c>
      <c r="J182" s="29" t="str">
        <f t="shared" si="13"/>
        <v/>
      </c>
      <c r="K182" s="29" t="str">
        <f t="shared" si="14"/>
        <v/>
      </c>
      <c r="M182" s="11"/>
    </row>
    <row r="183" spans="1:13" ht="15" x14ac:dyDescent="0.25">
      <c r="A183" s="1" t="str">
        <f>IF('1.1 Produksi Bersih Padi 2025'!A183="","",'1.1 Produksi Bersih Padi 2025'!A183)</f>
        <v/>
      </c>
      <c r="B183" s="31" t="str">
        <f>IF('1.1 Produksi Bersih Padi 2025'!B183="","",'1.1 Produksi Bersih Padi 2025'!B183)</f>
        <v/>
      </c>
      <c r="C183" s="31" t="str">
        <f>IF('1.1 Produksi Bersih Padi 2025'!C183="","",'1.1 Produksi Bersih Padi 2025'!C183)</f>
        <v/>
      </c>
      <c r="D183" s="1" t="str">
        <f>IF('1.1 Produksi Bersih Padi 2025'!D183="","",'1.1 Produksi Bersih Padi 2025'!D183)</f>
        <v/>
      </c>
      <c r="E183" s="1" t="str">
        <f>IF('1.1 Produksi Bersih Padi 2025'!E183="","",'1.1 Produksi Bersih Padi 2025'!E183)</f>
        <v/>
      </c>
      <c r="F183" s="28" t="str">
        <f>IF(D183="","",VLOOKUP(D183,'[1]0.1 Produksi Pangan &amp; Penduduk'!$D$5:$AQ$860,40,0))</f>
        <v/>
      </c>
      <c r="G183" s="29" t="str">
        <f t="shared" si="10"/>
        <v/>
      </c>
      <c r="H183" s="29" t="str">
        <f t="shared" si="11"/>
        <v/>
      </c>
      <c r="I183" s="29" t="str">
        <f t="shared" si="12"/>
        <v/>
      </c>
      <c r="J183" s="29" t="str">
        <f t="shared" si="13"/>
        <v/>
      </c>
      <c r="K183" s="29" t="str">
        <f t="shared" si="14"/>
        <v/>
      </c>
      <c r="M183" s="11"/>
    </row>
    <row r="184" spans="1:13" ht="15" x14ac:dyDescent="0.25">
      <c r="A184" s="1" t="str">
        <f>IF('1.1 Produksi Bersih Padi 2025'!A184="","",'1.1 Produksi Bersih Padi 2025'!A184)</f>
        <v/>
      </c>
      <c r="B184" s="31" t="str">
        <f>IF('1.1 Produksi Bersih Padi 2025'!B184="","",'1.1 Produksi Bersih Padi 2025'!B184)</f>
        <v/>
      </c>
      <c r="C184" s="31" t="str">
        <f>IF('1.1 Produksi Bersih Padi 2025'!C184="","",'1.1 Produksi Bersih Padi 2025'!C184)</f>
        <v/>
      </c>
      <c r="D184" s="1" t="str">
        <f>IF('1.1 Produksi Bersih Padi 2025'!D184="","",'1.1 Produksi Bersih Padi 2025'!D184)</f>
        <v/>
      </c>
      <c r="E184" s="1" t="str">
        <f>IF('1.1 Produksi Bersih Padi 2025'!E184="","",'1.1 Produksi Bersih Padi 2025'!E184)</f>
        <v/>
      </c>
      <c r="F184" s="28" t="str">
        <f>IF(D184="","",VLOOKUP(D184,'[1]0.1 Produksi Pangan &amp; Penduduk'!$D$5:$AQ$860,40,0))</f>
        <v/>
      </c>
      <c r="G184" s="29" t="str">
        <f t="shared" si="10"/>
        <v/>
      </c>
      <c r="H184" s="29" t="str">
        <f t="shared" si="11"/>
        <v/>
      </c>
      <c r="I184" s="29" t="str">
        <f t="shared" si="12"/>
        <v/>
      </c>
      <c r="J184" s="29" t="str">
        <f t="shared" si="13"/>
        <v/>
      </c>
      <c r="K184" s="29" t="str">
        <f t="shared" si="14"/>
        <v/>
      </c>
      <c r="M184" s="11"/>
    </row>
    <row r="185" spans="1:13" ht="15" x14ac:dyDescent="0.25">
      <c r="A185" s="1" t="str">
        <f>IF('1.1 Produksi Bersih Padi 2025'!A185="","",'1.1 Produksi Bersih Padi 2025'!A185)</f>
        <v/>
      </c>
      <c r="B185" s="31" t="str">
        <f>IF('1.1 Produksi Bersih Padi 2025'!B185="","",'1.1 Produksi Bersih Padi 2025'!B185)</f>
        <v/>
      </c>
      <c r="C185" s="31" t="str">
        <f>IF('1.1 Produksi Bersih Padi 2025'!C185="","",'1.1 Produksi Bersih Padi 2025'!C185)</f>
        <v/>
      </c>
      <c r="D185" s="1" t="str">
        <f>IF('1.1 Produksi Bersih Padi 2025'!D185="","",'1.1 Produksi Bersih Padi 2025'!D185)</f>
        <v/>
      </c>
      <c r="E185" s="1" t="str">
        <f>IF('1.1 Produksi Bersih Padi 2025'!E185="","",'1.1 Produksi Bersih Padi 2025'!E185)</f>
        <v/>
      </c>
      <c r="F185" s="28" t="str">
        <f>IF(D185="","",VLOOKUP(D185,'[1]0.1 Produksi Pangan &amp; Penduduk'!$D$5:$AQ$860,40,0))</f>
        <v/>
      </c>
      <c r="G185" s="29" t="str">
        <f t="shared" si="10"/>
        <v/>
      </c>
      <c r="H185" s="29" t="str">
        <f t="shared" si="11"/>
        <v/>
      </c>
      <c r="I185" s="29" t="str">
        <f t="shared" si="12"/>
        <v/>
      </c>
      <c r="J185" s="29" t="str">
        <f t="shared" si="13"/>
        <v/>
      </c>
      <c r="K185" s="29" t="str">
        <f t="shared" si="14"/>
        <v/>
      </c>
      <c r="M185" s="11"/>
    </row>
    <row r="186" spans="1:13" ht="15" x14ac:dyDescent="0.25">
      <c r="A186" s="1" t="str">
        <f>IF('1.1 Produksi Bersih Padi 2025'!A186="","",'1.1 Produksi Bersih Padi 2025'!A186)</f>
        <v/>
      </c>
      <c r="B186" s="31" t="str">
        <f>IF('1.1 Produksi Bersih Padi 2025'!B186="","",'1.1 Produksi Bersih Padi 2025'!B186)</f>
        <v/>
      </c>
      <c r="C186" s="31" t="str">
        <f>IF('1.1 Produksi Bersih Padi 2025'!C186="","",'1.1 Produksi Bersih Padi 2025'!C186)</f>
        <v/>
      </c>
      <c r="D186" s="1" t="str">
        <f>IF('1.1 Produksi Bersih Padi 2025'!D186="","",'1.1 Produksi Bersih Padi 2025'!D186)</f>
        <v/>
      </c>
      <c r="E186" s="1" t="str">
        <f>IF('1.1 Produksi Bersih Padi 2025'!E186="","",'1.1 Produksi Bersih Padi 2025'!E186)</f>
        <v/>
      </c>
      <c r="F186" s="28" t="str">
        <f>IF(D186="","",VLOOKUP(D186,'[1]0.1 Produksi Pangan &amp; Penduduk'!$D$5:$AQ$860,40,0))</f>
        <v/>
      </c>
      <c r="G186" s="29" t="str">
        <f t="shared" si="10"/>
        <v/>
      </c>
      <c r="H186" s="29" t="str">
        <f t="shared" si="11"/>
        <v/>
      </c>
      <c r="I186" s="29" t="str">
        <f t="shared" si="12"/>
        <v/>
      </c>
      <c r="J186" s="29" t="str">
        <f t="shared" si="13"/>
        <v/>
      </c>
      <c r="K186" s="29" t="str">
        <f t="shared" si="14"/>
        <v/>
      </c>
      <c r="M186" s="11"/>
    </row>
    <row r="187" spans="1:13" ht="15" x14ac:dyDescent="0.25">
      <c r="A187" s="1" t="str">
        <f>IF('1.1 Produksi Bersih Padi 2025'!A187="","",'1.1 Produksi Bersih Padi 2025'!A187)</f>
        <v/>
      </c>
      <c r="B187" s="31" t="str">
        <f>IF('1.1 Produksi Bersih Padi 2025'!B187="","",'1.1 Produksi Bersih Padi 2025'!B187)</f>
        <v/>
      </c>
      <c r="C187" s="31" t="str">
        <f>IF('1.1 Produksi Bersih Padi 2025'!C187="","",'1.1 Produksi Bersih Padi 2025'!C187)</f>
        <v/>
      </c>
      <c r="D187" s="1" t="str">
        <f>IF('1.1 Produksi Bersih Padi 2025'!D187="","",'1.1 Produksi Bersih Padi 2025'!D187)</f>
        <v/>
      </c>
      <c r="E187" s="1" t="str">
        <f>IF('1.1 Produksi Bersih Padi 2025'!E187="","",'1.1 Produksi Bersih Padi 2025'!E187)</f>
        <v/>
      </c>
      <c r="F187" s="28" t="str">
        <f>IF(D187="","",VLOOKUP(D187,'[1]0.1 Produksi Pangan &amp; Penduduk'!$D$5:$AQ$860,40,0))</f>
        <v/>
      </c>
      <c r="G187" s="29" t="str">
        <f t="shared" si="10"/>
        <v/>
      </c>
      <c r="H187" s="29" t="str">
        <f t="shared" si="11"/>
        <v/>
      </c>
      <c r="I187" s="29" t="str">
        <f t="shared" si="12"/>
        <v/>
      </c>
      <c r="J187" s="29" t="str">
        <f t="shared" si="13"/>
        <v/>
      </c>
      <c r="K187" s="29" t="str">
        <f t="shared" si="14"/>
        <v/>
      </c>
      <c r="M187" s="11"/>
    </row>
    <row r="188" spans="1:13" ht="15" x14ac:dyDescent="0.25">
      <c r="A188" s="1" t="str">
        <f>IF('1.1 Produksi Bersih Padi 2025'!A188="","",'1.1 Produksi Bersih Padi 2025'!A188)</f>
        <v/>
      </c>
      <c r="B188" s="31" t="str">
        <f>IF('1.1 Produksi Bersih Padi 2025'!B188="","",'1.1 Produksi Bersih Padi 2025'!B188)</f>
        <v/>
      </c>
      <c r="C188" s="31" t="str">
        <f>IF('1.1 Produksi Bersih Padi 2025'!C188="","",'1.1 Produksi Bersih Padi 2025'!C188)</f>
        <v/>
      </c>
      <c r="D188" s="1" t="str">
        <f>IF('1.1 Produksi Bersih Padi 2025'!D188="","",'1.1 Produksi Bersih Padi 2025'!D188)</f>
        <v/>
      </c>
      <c r="E188" s="1" t="str">
        <f>IF('1.1 Produksi Bersih Padi 2025'!E188="","",'1.1 Produksi Bersih Padi 2025'!E188)</f>
        <v/>
      </c>
      <c r="F188" s="28" t="str">
        <f>IF(D188="","",VLOOKUP(D188,'[1]0.1 Produksi Pangan &amp; Penduduk'!$D$5:$AQ$860,40,0))</f>
        <v/>
      </c>
      <c r="G188" s="29" t="str">
        <f t="shared" si="10"/>
        <v/>
      </c>
      <c r="H188" s="29" t="str">
        <f t="shared" si="11"/>
        <v/>
      </c>
      <c r="I188" s="29" t="str">
        <f t="shared" si="12"/>
        <v/>
      </c>
      <c r="J188" s="29" t="str">
        <f t="shared" si="13"/>
        <v/>
      </c>
      <c r="K188" s="29" t="str">
        <f t="shared" si="14"/>
        <v/>
      </c>
      <c r="M188" s="11"/>
    </row>
    <row r="189" spans="1:13" ht="15" x14ac:dyDescent="0.25">
      <c r="A189" s="1" t="str">
        <f>IF('1.1 Produksi Bersih Padi 2025'!A189="","",'1.1 Produksi Bersih Padi 2025'!A189)</f>
        <v/>
      </c>
      <c r="B189" s="31" t="str">
        <f>IF('1.1 Produksi Bersih Padi 2025'!B189="","",'1.1 Produksi Bersih Padi 2025'!B189)</f>
        <v/>
      </c>
      <c r="C189" s="31" t="str">
        <f>IF('1.1 Produksi Bersih Padi 2025'!C189="","",'1.1 Produksi Bersih Padi 2025'!C189)</f>
        <v/>
      </c>
      <c r="D189" s="1" t="str">
        <f>IF('1.1 Produksi Bersih Padi 2025'!D189="","",'1.1 Produksi Bersih Padi 2025'!D189)</f>
        <v/>
      </c>
      <c r="E189" s="1" t="str">
        <f>IF('1.1 Produksi Bersih Padi 2025'!E189="","",'1.1 Produksi Bersih Padi 2025'!E189)</f>
        <v/>
      </c>
      <c r="F189" s="28" t="str">
        <f>IF(D189="","",VLOOKUP(D189,'[1]0.1 Produksi Pangan &amp; Penduduk'!$D$5:$AQ$860,40,0))</f>
        <v/>
      </c>
      <c r="G189" s="29" t="str">
        <f t="shared" si="10"/>
        <v/>
      </c>
      <c r="H189" s="29" t="str">
        <f t="shared" si="11"/>
        <v/>
      </c>
      <c r="I189" s="29" t="str">
        <f t="shared" si="12"/>
        <v/>
      </c>
      <c r="J189" s="29" t="str">
        <f t="shared" si="13"/>
        <v/>
      </c>
      <c r="K189" s="29" t="str">
        <f t="shared" si="14"/>
        <v/>
      </c>
      <c r="M189" s="11"/>
    </row>
    <row r="190" spans="1:13" ht="15" x14ac:dyDescent="0.25">
      <c r="A190" s="1" t="str">
        <f>IF('1.1 Produksi Bersih Padi 2025'!A190="","",'1.1 Produksi Bersih Padi 2025'!A190)</f>
        <v/>
      </c>
      <c r="B190" s="31" t="str">
        <f>IF('1.1 Produksi Bersih Padi 2025'!B190="","",'1.1 Produksi Bersih Padi 2025'!B190)</f>
        <v/>
      </c>
      <c r="C190" s="31" t="str">
        <f>IF('1.1 Produksi Bersih Padi 2025'!C190="","",'1.1 Produksi Bersih Padi 2025'!C190)</f>
        <v/>
      </c>
      <c r="D190" s="1" t="str">
        <f>IF('1.1 Produksi Bersih Padi 2025'!D190="","",'1.1 Produksi Bersih Padi 2025'!D190)</f>
        <v/>
      </c>
      <c r="E190" s="1" t="str">
        <f>IF('1.1 Produksi Bersih Padi 2025'!E190="","",'1.1 Produksi Bersih Padi 2025'!E190)</f>
        <v/>
      </c>
      <c r="F190" s="28" t="str">
        <f>IF(D190="","",VLOOKUP(D190,'[1]0.1 Produksi Pangan &amp; Penduduk'!$D$5:$AQ$860,40,0))</f>
        <v/>
      </c>
      <c r="G190" s="29" t="str">
        <f t="shared" si="10"/>
        <v/>
      </c>
      <c r="H190" s="29" t="str">
        <f t="shared" si="11"/>
        <v/>
      </c>
      <c r="I190" s="29" t="str">
        <f t="shared" si="12"/>
        <v/>
      </c>
      <c r="J190" s="29" t="str">
        <f t="shared" si="13"/>
        <v/>
      </c>
      <c r="K190" s="29" t="str">
        <f t="shared" si="14"/>
        <v/>
      </c>
      <c r="M190" s="11"/>
    </row>
    <row r="191" spans="1:13" ht="15" x14ac:dyDescent="0.25">
      <c r="A191" s="1" t="str">
        <f>IF('1.1 Produksi Bersih Padi 2025'!A191="","",'1.1 Produksi Bersih Padi 2025'!A191)</f>
        <v/>
      </c>
      <c r="B191" s="31" t="str">
        <f>IF('1.1 Produksi Bersih Padi 2025'!B191="","",'1.1 Produksi Bersih Padi 2025'!B191)</f>
        <v/>
      </c>
      <c r="C191" s="31" t="str">
        <f>IF('1.1 Produksi Bersih Padi 2025'!C191="","",'1.1 Produksi Bersih Padi 2025'!C191)</f>
        <v/>
      </c>
      <c r="D191" s="1" t="str">
        <f>IF('1.1 Produksi Bersih Padi 2025'!D191="","",'1.1 Produksi Bersih Padi 2025'!D191)</f>
        <v/>
      </c>
      <c r="E191" s="1" t="str">
        <f>IF('1.1 Produksi Bersih Padi 2025'!E191="","",'1.1 Produksi Bersih Padi 2025'!E191)</f>
        <v/>
      </c>
      <c r="F191" s="28" t="str">
        <f>IF(D191="","",VLOOKUP(D191,'[1]0.1 Produksi Pangan &amp; Penduduk'!$D$5:$AQ$860,40,0))</f>
        <v/>
      </c>
      <c r="G191" s="29" t="str">
        <f t="shared" si="10"/>
        <v/>
      </c>
      <c r="H191" s="29" t="str">
        <f t="shared" si="11"/>
        <v/>
      </c>
      <c r="I191" s="29" t="str">
        <f t="shared" si="12"/>
        <v/>
      </c>
      <c r="J191" s="29" t="str">
        <f t="shared" si="13"/>
        <v/>
      </c>
      <c r="K191" s="29" t="str">
        <f t="shared" si="14"/>
        <v/>
      </c>
      <c r="M191" s="11"/>
    </row>
    <row r="192" spans="1:13" ht="15" x14ac:dyDescent="0.25">
      <c r="A192" s="1" t="str">
        <f>IF('1.1 Produksi Bersih Padi 2025'!A192="","",'1.1 Produksi Bersih Padi 2025'!A192)</f>
        <v/>
      </c>
      <c r="B192" s="31" t="str">
        <f>IF('1.1 Produksi Bersih Padi 2025'!B192="","",'1.1 Produksi Bersih Padi 2025'!B192)</f>
        <v/>
      </c>
      <c r="C192" s="31" t="str">
        <f>IF('1.1 Produksi Bersih Padi 2025'!C192="","",'1.1 Produksi Bersih Padi 2025'!C192)</f>
        <v/>
      </c>
      <c r="D192" s="1" t="str">
        <f>IF('1.1 Produksi Bersih Padi 2025'!D192="","",'1.1 Produksi Bersih Padi 2025'!D192)</f>
        <v/>
      </c>
      <c r="E192" s="1" t="str">
        <f>IF('1.1 Produksi Bersih Padi 2025'!E192="","",'1.1 Produksi Bersih Padi 2025'!E192)</f>
        <v/>
      </c>
      <c r="F192" s="28" t="str">
        <f>IF(D192="","",VLOOKUP(D192,'[1]0.1 Produksi Pangan &amp; Penduduk'!$D$5:$AQ$860,40,0))</f>
        <v/>
      </c>
      <c r="G192" s="29" t="str">
        <f t="shared" si="10"/>
        <v/>
      </c>
      <c r="H192" s="29" t="str">
        <f t="shared" si="11"/>
        <v/>
      </c>
      <c r="I192" s="29" t="str">
        <f t="shared" si="12"/>
        <v/>
      </c>
      <c r="J192" s="29" t="str">
        <f t="shared" si="13"/>
        <v/>
      </c>
      <c r="K192" s="29" t="str">
        <f t="shared" si="14"/>
        <v/>
      </c>
      <c r="M192" s="11"/>
    </row>
    <row r="193" spans="1:13" ht="15" x14ac:dyDescent="0.25">
      <c r="A193" s="1" t="str">
        <f>IF('1.1 Produksi Bersih Padi 2025'!A193="","",'1.1 Produksi Bersih Padi 2025'!A193)</f>
        <v/>
      </c>
      <c r="B193" s="31" t="str">
        <f>IF('1.1 Produksi Bersih Padi 2025'!B193="","",'1.1 Produksi Bersih Padi 2025'!B193)</f>
        <v/>
      </c>
      <c r="C193" s="31" t="str">
        <f>IF('1.1 Produksi Bersih Padi 2025'!C193="","",'1.1 Produksi Bersih Padi 2025'!C193)</f>
        <v/>
      </c>
      <c r="D193" s="1" t="str">
        <f>IF('1.1 Produksi Bersih Padi 2025'!D193="","",'1.1 Produksi Bersih Padi 2025'!D193)</f>
        <v/>
      </c>
      <c r="E193" s="1" t="str">
        <f>IF('1.1 Produksi Bersih Padi 2025'!E193="","",'1.1 Produksi Bersih Padi 2025'!E193)</f>
        <v/>
      </c>
      <c r="F193" s="28" t="str">
        <f>IF(D193="","",VLOOKUP(D193,'[1]0.1 Produksi Pangan &amp; Penduduk'!$D$5:$AQ$860,40,0))</f>
        <v/>
      </c>
      <c r="G193" s="29" t="str">
        <f t="shared" si="10"/>
        <v/>
      </c>
      <c r="H193" s="29" t="str">
        <f t="shared" si="11"/>
        <v/>
      </c>
      <c r="I193" s="29" t="str">
        <f t="shared" si="12"/>
        <v/>
      </c>
      <c r="J193" s="29" t="str">
        <f t="shared" si="13"/>
        <v/>
      </c>
      <c r="K193" s="29" t="str">
        <f t="shared" si="14"/>
        <v/>
      </c>
      <c r="M193" s="11"/>
    </row>
    <row r="194" spans="1:13" ht="15" x14ac:dyDescent="0.25">
      <c r="A194" s="1" t="str">
        <f>IF('1.1 Produksi Bersih Padi 2025'!A194="","",'1.1 Produksi Bersih Padi 2025'!A194)</f>
        <v/>
      </c>
      <c r="B194" s="31" t="str">
        <f>IF('1.1 Produksi Bersih Padi 2025'!B194="","",'1.1 Produksi Bersih Padi 2025'!B194)</f>
        <v/>
      </c>
      <c r="C194" s="31" t="str">
        <f>IF('1.1 Produksi Bersih Padi 2025'!C194="","",'1.1 Produksi Bersih Padi 2025'!C194)</f>
        <v/>
      </c>
      <c r="D194" s="1" t="str">
        <f>IF('1.1 Produksi Bersih Padi 2025'!D194="","",'1.1 Produksi Bersih Padi 2025'!D194)</f>
        <v/>
      </c>
      <c r="E194" s="1" t="str">
        <f>IF('1.1 Produksi Bersih Padi 2025'!E194="","",'1.1 Produksi Bersih Padi 2025'!E194)</f>
        <v/>
      </c>
      <c r="F194" s="28" t="str">
        <f>IF(D194="","",VLOOKUP(D194,'[1]0.1 Produksi Pangan &amp; Penduduk'!$D$5:$AQ$860,40,0))</f>
        <v/>
      </c>
      <c r="G194" s="29" t="str">
        <f t="shared" si="10"/>
        <v/>
      </c>
      <c r="H194" s="29" t="str">
        <f t="shared" si="11"/>
        <v/>
      </c>
      <c r="I194" s="29" t="str">
        <f t="shared" si="12"/>
        <v/>
      </c>
      <c r="J194" s="29" t="str">
        <f t="shared" si="13"/>
        <v/>
      </c>
      <c r="K194" s="29" t="str">
        <f t="shared" si="14"/>
        <v/>
      </c>
      <c r="M194" s="11"/>
    </row>
    <row r="195" spans="1:13" ht="15" x14ac:dyDescent="0.25">
      <c r="A195" s="1" t="str">
        <f>IF('1.1 Produksi Bersih Padi 2025'!A195="","",'1.1 Produksi Bersih Padi 2025'!A195)</f>
        <v/>
      </c>
      <c r="B195" s="31" t="str">
        <f>IF('1.1 Produksi Bersih Padi 2025'!B195="","",'1.1 Produksi Bersih Padi 2025'!B195)</f>
        <v/>
      </c>
      <c r="C195" s="31" t="str">
        <f>IF('1.1 Produksi Bersih Padi 2025'!C195="","",'1.1 Produksi Bersih Padi 2025'!C195)</f>
        <v/>
      </c>
      <c r="D195" s="1" t="str">
        <f>IF('1.1 Produksi Bersih Padi 2025'!D195="","",'1.1 Produksi Bersih Padi 2025'!D195)</f>
        <v/>
      </c>
      <c r="E195" s="1" t="str">
        <f>IF('1.1 Produksi Bersih Padi 2025'!E195="","",'1.1 Produksi Bersih Padi 2025'!E195)</f>
        <v/>
      </c>
      <c r="F195" s="28" t="str">
        <f>IF(D195="","",VLOOKUP(D195,'[1]0.1 Produksi Pangan &amp; Penduduk'!$D$5:$AQ$860,40,0))</f>
        <v/>
      </c>
      <c r="G195" s="29" t="str">
        <f t="shared" si="10"/>
        <v/>
      </c>
      <c r="H195" s="29" t="str">
        <f t="shared" si="11"/>
        <v/>
      </c>
      <c r="I195" s="29" t="str">
        <f t="shared" si="12"/>
        <v/>
      </c>
      <c r="J195" s="29" t="str">
        <f t="shared" si="13"/>
        <v/>
      </c>
      <c r="K195" s="29" t="str">
        <f t="shared" si="14"/>
        <v/>
      </c>
      <c r="M195" s="11"/>
    </row>
    <row r="196" spans="1:13" ht="15" x14ac:dyDescent="0.25">
      <c r="A196" s="1" t="str">
        <f>IF('1.1 Produksi Bersih Padi 2025'!A196="","",'1.1 Produksi Bersih Padi 2025'!A196)</f>
        <v/>
      </c>
      <c r="B196" s="31" t="str">
        <f>IF('1.1 Produksi Bersih Padi 2025'!B196="","",'1.1 Produksi Bersih Padi 2025'!B196)</f>
        <v/>
      </c>
      <c r="C196" s="31" t="str">
        <f>IF('1.1 Produksi Bersih Padi 2025'!C196="","",'1.1 Produksi Bersih Padi 2025'!C196)</f>
        <v/>
      </c>
      <c r="D196" s="1" t="str">
        <f>IF('1.1 Produksi Bersih Padi 2025'!D196="","",'1.1 Produksi Bersih Padi 2025'!D196)</f>
        <v/>
      </c>
      <c r="E196" s="1" t="str">
        <f>IF('1.1 Produksi Bersih Padi 2025'!E196="","",'1.1 Produksi Bersih Padi 2025'!E196)</f>
        <v/>
      </c>
      <c r="F196" s="28" t="str">
        <f>IF(D196="","",VLOOKUP(D196,'[1]0.1 Produksi Pangan &amp; Penduduk'!$D$5:$AQ$860,40,0))</f>
        <v/>
      </c>
      <c r="G196" s="29" t="str">
        <f t="shared" si="10"/>
        <v/>
      </c>
      <c r="H196" s="29" t="str">
        <f t="shared" si="11"/>
        <v/>
      </c>
      <c r="I196" s="29" t="str">
        <f t="shared" si="12"/>
        <v/>
      </c>
      <c r="J196" s="29" t="str">
        <f t="shared" si="13"/>
        <v/>
      </c>
      <c r="K196" s="29" t="str">
        <f t="shared" si="14"/>
        <v/>
      </c>
      <c r="M196" s="11"/>
    </row>
    <row r="197" spans="1:13" ht="15" x14ac:dyDescent="0.25">
      <c r="A197" s="1" t="str">
        <f>IF('1.1 Produksi Bersih Padi 2025'!A197="","",'1.1 Produksi Bersih Padi 2025'!A197)</f>
        <v/>
      </c>
      <c r="B197" s="31" t="str">
        <f>IF('1.1 Produksi Bersih Padi 2025'!B197="","",'1.1 Produksi Bersih Padi 2025'!B197)</f>
        <v/>
      </c>
      <c r="C197" s="31" t="str">
        <f>IF('1.1 Produksi Bersih Padi 2025'!C197="","",'1.1 Produksi Bersih Padi 2025'!C197)</f>
        <v/>
      </c>
      <c r="D197" s="1" t="str">
        <f>IF('1.1 Produksi Bersih Padi 2025'!D197="","",'1.1 Produksi Bersih Padi 2025'!D197)</f>
        <v/>
      </c>
      <c r="E197" s="1" t="str">
        <f>IF('1.1 Produksi Bersih Padi 2025'!E197="","",'1.1 Produksi Bersih Padi 2025'!E197)</f>
        <v/>
      </c>
      <c r="F197" s="28" t="str">
        <f>IF(D197="","",VLOOKUP(D197,'[1]0.1 Produksi Pangan &amp; Penduduk'!$D$5:$AQ$860,40,0))</f>
        <v/>
      </c>
      <c r="G197" s="29" t="str">
        <f t="shared" si="10"/>
        <v/>
      </c>
      <c r="H197" s="29" t="str">
        <f t="shared" si="11"/>
        <v/>
      </c>
      <c r="I197" s="29" t="str">
        <f t="shared" si="12"/>
        <v/>
      </c>
      <c r="J197" s="29" t="str">
        <f t="shared" si="13"/>
        <v/>
      </c>
      <c r="K197" s="29" t="str">
        <f t="shared" si="14"/>
        <v/>
      </c>
      <c r="M197" s="11"/>
    </row>
    <row r="198" spans="1:13" ht="15" x14ac:dyDescent="0.25">
      <c r="A198" s="1" t="str">
        <f>IF('1.1 Produksi Bersih Padi 2025'!A198="","",'1.1 Produksi Bersih Padi 2025'!A198)</f>
        <v/>
      </c>
      <c r="B198" s="31" t="str">
        <f>IF('1.1 Produksi Bersih Padi 2025'!B198="","",'1.1 Produksi Bersih Padi 2025'!B198)</f>
        <v/>
      </c>
      <c r="C198" s="31" t="str">
        <f>IF('1.1 Produksi Bersih Padi 2025'!C198="","",'1.1 Produksi Bersih Padi 2025'!C198)</f>
        <v/>
      </c>
      <c r="D198" s="1" t="str">
        <f>IF('1.1 Produksi Bersih Padi 2025'!D198="","",'1.1 Produksi Bersih Padi 2025'!D198)</f>
        <v/>
      </c>
      <c r="E198" s="1" t="str">
        <f>IF('1.1 Produksi Bersih Padi 2025'!E198="","",'1.1 Produksi Bersih Padi 2025'!E198)</f>
        <v/>
      </c>
      <c r="F198" s="28" t="str">
        <f>IF(D198="","",VLOOKUP(D198,'[1]0.1 Produksi Pangan &amp; Penduduk'!$D$5:$AQ$860,40,0))</f>
        <v/>
      </c>
      <c r="G198" s="29" t="str">
        <f t="shared" ref="G198:G261" si="15">IF(F198="","",F198*0%)</f>
        <v/>
      </c>
      <c r="H198" s="29" t="str">
        <f t="shared" ref="H198:H261" si="16">IF(F198="","",F198*0%)</f>
        <v/>
      </c>
      <c r="I198" s="29" t="str">
        <f t="shared" ref="I198:I261" si="17">IF(F198="","",F198*1.11%)</f>
        <v/>
      </c>
      <c r="J198" s="29" t="str">
        <f t="shared" ref="J198:J261" si="18">IF(F198="","",F198-(G198+H198+I198))</f>
        <v/>
      </c>
      <c r="K198" s="29" t="str">
        <f t="shared" ref="K198:K261" si="19">IF(J198="","",J198*0.134)</f>
        <v/>
      </c>
      <c r="M198" s="11"/>
    </row>
    <row r="199" spans="1:13" ht="15" x14ac:dyDescent="0.25">
      <c r="A199" s="1" t="str">
        <f>IF('1.1 Produksi Bersih Padi 2025'!A199="","",'1.1 Produksi Bersih Padi 2025'!A199)</f>
        <v/>
      </c>
      <c r="B199" s="31" t="str">
        <f>IF('1.1 Produksi Bersih Padi 2025'!B199="","",'1.1 Produksi Bersih Padi 2025'!B199)</f>
        <v/>
      </c>
      <c r="C199" s="31" t="str">
        <f>IF('1.1 Produksi Bersih Padi 2025'!C199="","",'1.1 Produksi Bersih Padi 2025'!C199)</f>
        <v/>
      </c>
      <c r="D199" s="1" t="str">
        <f>IF('1.1 Produksi Bersih Padi 2025'!D199="","",'1.1 Produksi Bersih Padi 2025'!D199)</f>
        <v/>
      </c>
      <c r="E199" s="1" t="str">
        <f>IF('1.1 Produksi Bersih Padi 2025'!E199="","",'1.1 Produksi Bersih Padi 2025'!E199)</f>
        <v/>
      </c>
      <c r="F199" s="28" t="str">
        <f>IF(D199="","",VLOOKUP(D199,'[1]0.1 Produksi Pangan &amp; Penduduk'!$D$5:$AQ$860,40,0))</f>
        <v/>
      </c>
      <c r="G199" s="29" t="str">
        <f t="shared" si="15"/>
        <v/>
      </c>
      <c r="H199" s="29" t="str">
        <f t="shared" si="16"/>
        <v/>
      </c>
      <c r="I199" s="29" t="str">
        <f t="shared" si="17"/>
        <v/>
      </c>
      <c r="J199" s="29" t="str">
        <f t="shared" si="18"/>
        <v/>
      </c>
      <c r="K199" s="29" t="str">
        <f t="shared" si="19"/>
        <v/>
      </c>
      <c r="M199" s="11"/>
    </row>
    <row r="200" spans="1:13" ht="15" x14ac:dyDescent="0.25">
      <c r="A200" s="1" t="str">
        <f>IF('1.1 Produksi Bersih Padi 2025'!A200="","",'1.1 Produksi Bersih Padi 2025'!A200)</f>
        <v/>
      </c>
      <c r="B200" s="31" t="str">
        <f>IF('1.1 Produksi Bersih Padi 2025'!B200="","",'1.1 Produksi Bersih Padi 2025'!B200)</f>
        <v/>
      </c>
      <c r="C200" s="31" t="str">
        <f>IF('1.1 Produksi Bersih Padi 2025'!C200="","",'1.1 Produksi Bersih Padi 2025'!C200)</f>
        <v/>
      </c>
      <c r="D200" s="1" t="str">
        <f>IF('1.1 Produksi Bersih Padi 2025'!D200="","",'1.1 Produksi Bersih Padi 2025'!D200)</f>
        <v/>
      </c>
      <c r="E200" s="1" t="str">
        <f>IF('1.1 Produksi Bersih Padi 2025'!E200="","",'1.1 Produksi Bersih Padi 2025'!E200)</f>
        <v/>
      </c>
      <c r="F200" s="28" t="str">
        <f>IF(D200="","",VLOOKUP(D200,'[1]0.1 Produksi Pangan &amp; Penduduk'!$D$5:$AQ$860,40,0))</f>
        <v/>
      </c>
      <c r="G200" s="29" t="str">
        <f t="shared" si="15"/>
        <v/>
      </c>
      <c r="H200" s="29" t="str">
        <f t="shared" si="16"/>
        <v/>
      </c>
      <c r="I200" s="29" t="str">
        <f t="shared" si="17"/>
        <v/>
      </c>
      <c r="J200" s="29" t="str">
        <f t="shared" si="18"/>
        <v/>
      </c>
      <c r="K200" s="29" t="str">
        <f t="shared" si="19"/>
        <v/>
      </c>
      <c r="M200" s="11"/>
    </row>
    <row r="201" spans="1:13" ht="15" x14ac:dyDescent="0.25">
      <c r="A201" s="1" t="str">
        <f>IF('1.1 Produksi Bersih Padi 2025'!A201="","",'1.1 Produksi Bersih Padi 2025'!A201)</f>
        <v/>
      </c>
      <c r="B201" s="31" t="str">
        <f>IF('1.1 Produksi Bersih Padi 2025'!B201="","",'1.1 Produksi Bersih Padi 2025'!B201)</f>
        <v/>
      </c>
      <c r="C201" s="31" t="str">
        <f>IF('1.1 Produksi Bersih Padi 2025'!C201="","",'1.1 Produksi Bersih Padi 2025'!C201)</f>
        <v/>
      </c>
      <c r="D201" s="1" t="str">
        <f>IF('1.1 Produksi Bersih Padi 2025'!D201="","",'1.1 Produksi Bersih Padi 2025'!D201)</f>
        <v/>
      </c>
      <c r="E201" s="1" t="str">
        <f>IF('1.1 Produksi Bersih Padi 2025'!E201="","",'1.1 Produksi Bersih Padi 2025'!E201)</f>
        <v/>
      </c>
      <c r="F201" s="28" t="str">
        <f>IF(D201="","",VLOOKUP(D201,'[1]0.1 Produksi Pangan &amp; Penduduk'!$D$5:$AQ$860,40,0))</f>
        <v/>
      </c>
      <c r="G201" s="29" t="str">
        <f t="shared" si="15"/>
        <v/>
      </c>
      <c r="H201" s="29" t="str">
        <f t="shared" si="16"/>
        <v/>
      </c>
      <c r="I201" s="29" t="str">
        <f t="shared" si="17"/>
        <v/>
      </c>
      <c r="J201" s="29" t="str">
        <f t="shared" si="18"/>
        <v/>
      </c>
      <c r="K201" s="29" t="str">
        <f t="shared" si="19"/>
        <v/>
      </c>
      <c r="M201" s="11"/>
    </row>
    <row r="202" spans="1:13" ht="15" x14ac:dyDescent="0.25">
      <c r="A202" s="1" t="str">
        <f>IF('1.1 Produksi Bersih Padi 2025'!A202="","",'1.1 Produksi Bersih Padi 2025'!A202)</f>
        <v/>
      </c>
      <c r="B202" s="31" t="str">
        <f>IF('1.1 Produksi Bersih Padi 2025'!B202="","",'1.1 Produksi Bersih Padi 2025'!B202)</f>
        <v/>
      </c>
      <c r="C202" s="31" t="str">
        <f>IF('1.1 Produksi Bersih Padi 2025'!C202="","",'1.1 Produksi Bersih Padi 2025'!C202)</f>
        <v/>
      </c>
      <c r="D202" s="1" t="str">
        <f>IF('1.1 Produksi Bersih Padi 2025'!D202="","",'1.1 Produksi Bersih Padi 2025'!D202)</f>
        <v/>
      </c>
      <c r="E202" s="1" t="str">
        <f>IF('1.1 Produksi Bersih Padi 2025'!E202="","",'1.1 Produksi Bersih Padi 2025'!E202)</f>
        <v/>
      </c>
      <c r="F202" s="28" t="str">
        <f>IF(D202="","",VLOOKUP(D202,'[1]0.1 Produksi Pangan &amp; Penduduk'!$D$5:$AQ$860,40,0))</f>
        <v/>
      </c>
      <c r="G202" s="29" t="str">
        <f t="shared" si="15"/>
        <v/>
      </c>
      <c r="H202" s="29" t="str">
        <f t="shared" si="16"/>
        <v/>
      </c>
      <c r="I202" s="29" t="str">
        <f t="shared" si="17"/>
        <v/>
      </c>
      <c r="J202" s="29" t="str">
        <f t="shared" si="18"/>
        <v/>
      </c>
      <c r="K202" s="29" t="str">
        <f t="shared" si="19"/>
        <v/>
      </c>
      <c r="M202" s="11"/>
    </row>
    <row r="203" spans="1:13" ht="15" x14ac:dyDescent="0.25">
      <c r="A203" s="1" t="str">
        <f>IF('1.1 Produksi Bersih Padi 2025'!A203="","",'1.1 Produksi Bersih Padi 2025'!A203)</f>
        <v/>
      </c>
      <c r="B203" s="31" t="str">
        <f>IF('1.1 Produksi Bersih Padi 2025'!B203="","",'1.1 Produksi Bersih Padi 2025'!B203)</f>
        <v/>
      </c>
      <c r="C203" s="31" t="str">
        <f>IF('1.1 Produksi Bersih Padi 2025'!C203="","",'1.1 Produksi Bersih Padi 2025'!C203)</f>
        <v/>
      </c>
      <c r="D203" s="1" t="str">
        <f>IF('1.1 Produksi Bersih Padi 2025'!D203="","",'1.1 Produksi Bersih Padi 2025'!D203)</f>
        <v/>
      </c>
      <c r="E203" s="1" t="str">
        <f>IF('1.1 Produksi Bersih Padi 2025'!E203="","",'1.1 Produksi Bersih Padi 2025'!E203)</f>
        <v/>
      </c>
      <c r="F203" s="28" t="str">
        <f>IF(D203="","",VLOOKUP(D203,'[1]0.1 Produksi Pangan &amp; Penduduk'!$D$5:$AQ$860,40,0))</f>
        <v/>
      </c>
      <c r="G203" s="29" t="str">
        <f t="shared" si="15"/>
        <v/>
      </c>
      <c r="H203" s="29" t="str">
        <f t="shared" si="16"/>
        <v/>
      </c>
      <c r="I203" s="29" t="str">
        <f t="shared" si="17"/>
        <v/>
      </c>
      <c r="J203" s="29" t="str">
        <f t="shared" si="18"/>
        <v/>
      </c>
      <c r="K203" s="29" t="str">
        <f t="shared" si="19"/>
        <v/>
      </c>
      <c r="M203" s="11"/>
    </row>
    <row r="204" spans="1:13" ht="15" x14ac:dyDescent="0.25">
      <c r="A204" s="1" t="str">
        <f>IF('1.1 Produksi Bersih Padi 2025'!A204="","",'1.1 Produksi Bersih Padi 2025'!A204)</f>
        <v/>
      </c>
      <c r="B204" s="31" t="str">
        <f>IF('1.1 Produksi Bersih Padi 2025'!B204="","",'1.1 Produksi Bersih Padi 2025'!B204)</f>
        <v/>
      </c>
      <c r="C204" s="31" t="str">
        <f>IF('1.1 Produksi Bersih Padi 2025'!C204="","",'1.1 Produksi Bersih Padi 2025'!C204)</f>
        <v/>
      </c>
      <c r="D204" s="1" t="str">
        <f>IF('1.1 Produksi Bersih Padi 2025'!D204="","",'1.1 Produksi Bersih Padi 2025'!D204)</f>
        <v/>
      </c>
      <c r="E204" s="1" t="str">
        <f>IF('1.1 Produksi Bersih Padi 2025'!E204="","",'1.1 Produksi Bersih Padi 2025'!E204)</f>
        <v/>
      </c>
      <c r="F204" s="28" t="str">
        <f>IF(D204="","",VLOOKUP(D204,'[1]0.1 Produksi Pangan &amp; Penduduk'!$D$5:$AQ$860,40,0))</f>
        <v/>
      </c>
      <c r="G204" s="29" t="str">
        <f t="shared" si="15"/>
        <v/>
      </c>
      <c r="H204" s="29" t="str">
        <f t="shared" si="16"/>
        <v/>
      </c>
      <c r="I204" s="29" t="str">
        <f t="shared" si="17"/>
        <v/>
      </c>
      <c r="J204" s="29" t="str">
        <f t="shared" si="18"/>
        <v/>
      </c>
      <c r="K204" s="29" t="str">
        <f t="shared" si="19"/>
        <v/>
      </c>
      <c r="M204" s="11"/>
    </row>
    <row r="205" spans="1:13" ht="15" x14ac:dyDescent="0.25">
      <c r="A205" s="1" t="str">
        <f>IF('1.1 Produksi Bersih Padi 2025'!A205="","",'1.1 Produksi Bersih Padi 2025'!A205)</f>
        <v/>
      </c>
      <c r="B205" s="31" t="str">
        <f>IF('1.1 Produksi Bersih Padi 2025'!B205="","",'1.1 Produksi Bersih Padi 2025'!B205)</f>
        <v/>
      </c>
      <c r="C205" s="31" t="str">
        <f>IF('1.1 Produksi Bersih Padi 2025'!C205="","",'1.1 Produksi Bersih Padi 2025'!C205)</f>
        <v/>
      </c>
      <c r="D205" s="1" t="str">
        <f>IF('1.1 Produksi Bersih Padi 2025'!D205="","",'1.1 Produksi Bersih Padi 2025'!D205)</f>
        <v/>
      </c>
      <c r="E205" s="1" t="str">
        <f>IF('1.1 Produksi Bersih Padi 2025'!E205="","",'1.1 Produksi Bersih Padi 2025'!E205)</f>
        <v/>
      </c>
      <c r="F205" s="28" t="str">
        <f>IF(D205="","",VLOOKUP(D205,'[1]0.1 Produksi Pangan &amp; Penduduk'!$D$5:$AQ$860,40,0))</f>
        <v/>
      </c>
      <c r="G205" s="29" t="str">
        <f t="shared" si="15"/>
        <v/>
      </c>
      <c r="H205" s="29" t="str">
        <f t="shared" si="16"/>
        <v/>
      </c>
      <c r="I205" s="29" t="str">
        <f t="shared" si="17"/>
        <v/>
      </c>
      <c r="J205" s="29" t="str">
        <f t="shared" si="18"/>
        <v/>
      </c>
      <c r="K205" s="29" t="str">
        <f t="shared" si="19"/>
        <v/>
      </c>
      <c r="M205" s="11"/>
    </row>
    <row r="206" spans="1:13" ht="15" x14ac:dyDescent="0.25">
      <c r="A206" s="1" t="str">
        <f>IF('1.1 Produksi Bersih Padi 2025'!A206="","",'1.1 Produksi Bersih Padi 2025'!A206)</f>
        <v/>
      </c>
      <c r="B206" s="31" t="str">
        <f>IF('1.1 Produksi Bersih Padi 2025'!B206="","",'1.1 Produksi Bersih Padi 2025'!B206)</f>
        <v/>
      </c>
      <c r="C206" s="31" t="str">
        <f>IF('1.1 Produksi Bersih Padi 2025'!C206="","",'1.1 Produksi Bersih Padi 2025'!C206)</f>
        <v/>
      </c>
      <c r="D206" s="1" t="str">
        <f>IF('1.1 Produksi Bersih Padi 2025'!D206="","",'1.1 Produksi Bersih Padi 2025'!D206)</f>
        <v/>
      </c>
      <c r="E206" s="1" t="str">
        <f>IF('1.1 Produksi Bersih Padi 2025'!E206="","",'1.1 Produksi Bersih Padi 2025'!E206)</f>
        <v/>
      </c>
      <c r="F206" s="28" t="str">
        <f>IF(D206="","",VLOOKUP(D206,'[1]0.1 Produksi Pangan &amp; Penduduk'!$D$5:$AQ$860,40,0))</f>
        <v/>
      </c>
      <c r="G206" s="29" t="str">
        <f t="shared" si="15"/>
        <v/>
      </c>
      <c r="H206" s="29" t="str">
        <f t="shared" si="16"/>
        <v/>
      </c>
      <c r="I206" s="29" t="str">
        <f t="shared" si="17"/>
        <v/>
      </c>
      <c r="J206" s="29" t="str">
        <f t="shared" si="18"/>
        <v/>
      </c>
      <c r="K206" s="29" t="str">
        <f t="shared" si="19"/>
        <v/>
      </c>
      <c r="M206" s="11"/>
    </row>
    <row r="207" spans="1:13" ht="15" x14ac:dyDescent="0.25">
      <c r="A207" s="1" t="str">
        <f>IF('1.1 Produksi Bersih Padi 2025'!A207="","",'1.1 Produksi Bersih Padi 2025'!A207)</f>
        <v/>
      </c>
      <c r="B207" s="31" t="str">
        <f>IF('1.1 Produksi Bersih Padi 2025'!B207="","",'1.1 Produksi Bersih Padi 2025'!B207)</f>
        <v/>
      </c>
      <c r="C207" s="31" t="str">
        <f>IF('1.1 Produksi Bersih Padi 2025'!C207="","",'1.1 Produksi Bersih Padi 2025'!C207)</f>
        <v/>
      </c>
      <c r="D207" s="1" t="str">
        <f>IF('1.1 Produksi Bersih Padi 2025'!D207="","",'1.1 Produksi Bersih Padi 2025'!D207)</f>
        <v/>
      </c>
      <c r="E207" s="1" t="str">
        <f>IF('1.1 Produksi Bersih Padi 2025'!E207="","",'1.1 Produksi Bersih Padi 2025'!E207)</f>
        <v/>
      </c>
      <c r="F207" s="28" t="str">
        <f>IF(D207="","",VLOOKUP(D207,'[1]0.1 Produksi Pangan &amp; Penduduk'!$D$5:$AQ$860,40,0))</f>
        <v/>
      </c>
      <c r="G207" s="29" t="str">
        <f t="shared" si="15"/>
        <v/>
      </c>
      <c r="H207" s="29" t="str">
        <f t="shared" si="16"/>
        <v/>
      </c>
      <c r="I207" s="29" t="str">
        <f t="shared" si="17"/>
        <v/>
      </c>
      <c r="J207" s="29" t="str">
        <f t="shared" si="18"/>
        <v/>
      </c>
      <c r="K207" s="29" t="str">
        <f t="shared" si="19"/>
        <v/>
      </c>
      <c r="M207" s="11"/>
    </row>
    <row r="208" spans="1:13" ht="15" x14ac:dyDescent="0.25">
      <c r="A208" s="1" t="str">
        <f>IF('1.1 Produksi Bersih Padi 2025'!A208="","",'1.1 Produksi Bersih Padi 2025'!A208)</f>
        <v/>
      </c>
      <c r="B208" s="31" t="str">
        <f>IF('1.1 Produksi Bersih Padi 2025'!B208="","",'1.1 Produksi Bersih Padi 2025'!B208)</f>
        <v/>
      </c>
      <c r="C208" s="31" t="str">
        <f>IF('1.1 Produksi Bersih Padi 2025'!C208="","",'1.1 Produksi Bersih Padi 2025'!C208)</f>
        <v/>
      </c>
      <c r="D208" s="1" t="str">
        <f>IF('1.1 Produksi Bersih Padi 2025'!D208="","",'1.1 Produksi Bersih Padi 2025'!D208)</f>
        <v/>
      </c>
      <c r="E208" s="1" t="str">
        <f>IF('1.1 Produksi Bersih Padi 2025'!E208="","",'1.1 Produksi Bersih Padi 2025'!E208)</f>
        <v/>
      </c>
      <c r="F208" s="28" t="str">
        <f>IF(D208="","",VLOOKUP(D208,'[1]0.1 Produksi Pangan &amp; Penduduk'!$D$5:$AQ$860,40,0))</f>
        <v/>
      </c>
      <c r="G208" s="29" t="str">
        <f t="shared" si="15"/>
        <v/>
      </c>
      <c r="H208" s="29" t="str">
        <f t="shared" si="16"/>
        <v/>
      </c>
      <c r="I208" s="29" t="str">
        <f t="shared" si="17"/>
        <v/>
      </c>
      <c r="J208" s="29" t="str">
        <f t="shared" si="18"/>
        <v/>
      </c>
      <c r="K208" s="29" t="str">
        <f t="shared" si="19"/>
        <v/>
      </c>
      <c r="M208" s="11"/>
    </row>
    <row r="209" spans="1:13" ht="15" x14ac:dyDescent="0.25">
      <c r="A209" s="1" t="str">
        <f>IF('1.1 Produksi Bersih Padi 2025'!A209="","",'1.1 Produksi Bersih Padi 2025'!A209)</f>
        <v/>
      </c>
      <c r="B209" s="31" t="str">
        <f>IF('1.1 Produksi Bersih Padi 2025'!B209="","",'1.1 Produksi Bersih Padi 2025'!B209)</f>
        <v/>
      </c>
      <c r="C209" s="31" t="str">
        <f>IF('1.1 Produksi Bersih Padi 2025'!C209="","",'1.1 Produksi Bersih Padi 2025'!C209)</f>
        <v/>
      </c>
      <c r="D209" s="1" t="str">
        <f>IF('1.1 Produksi Bersih Padi 2025'!D209="","",'1.1 Produksi Bersih Padi 2025'!D209)</f>
        <v/>
      </c>
      <c r="E209" s="1" t="str">
        <f>IF('1.1 Produksi Bersih Padi 2025'!E209="","",'1.1 Produksi Bersih Padi 2025'!E209)</f>
        <v/>
      </c>
      <c r="F209" s="28" t="str">
        <f>IF(D209="","",VLOOKUP(D209,'[1]0.1 Produksi Pangan &amp; Penduduk'!$D$5:$AQ$860,40,0))</f>
        <v/>
      </c>
      <c r="G209" s="29" t="str">
        <f t="shared" si="15"/>
        <v/>
      </c>
      <c r="H209" s="29" t="str">
        <f t="shared" si="16"/>
        <v/>
      </c>
      <c r="I209" s="29" t="str">
        <f t="shared" si="17"/>
        <v/>
      </c>
      <c r="J209" s="29" t="str">
        <f t="shared" si="18"/>
        <v/>
      </c>
      <c r="K209" s="29" t="str">
        <f t="shared" si="19"/>
        <v/>
      </c>
      <c r="M209" s="11"/>
    </row>
    <row r="210" spans="1:13" ht="15" x14ac:dyDescent="0.25">
      <c r="A210" s="1" t="str">
        <f>IF('1.1 Produksi Bersih Padi 2025'!A210="","",'1.1 Produksi Bersih Padi 2025'!A210)</f>
        <v/>
      </c>
      <c r="B210" s="31" t="str">
        <f>IF('1.1 Produksi Bersih Padi 2025'!B210="","",'1.1 Produksi Bersih Padi 2025'!B210)</f>
        <v/>
      </c>
      <c r="C210" s="31" t="str">
        <f>IF('1.1 Produksi Bersih Padi 2025'!C210="","",'1.1 Produksi Bersih Padi 2025'!C210)</f>
        <v/>
      </c>
      <c r="D210" s="1" t="str">
        <f>IF('1.1 Produksi Bersih Padi 2025'!D210="","",'1.1 Produksi Bersih Padi 2025'!D210)</f>
        <v/>
      </c>
      <c r="E210" s="1" t="str">
        <f>IF('1.1 Produksi Bersih Padi 2025'!E210="","",'1.1 Produksi Bersih Padi 2025'!E210)</f>
        <v/>
      </c>
      <c r="F210" s="28" t="str">
        <f>IF(D210="","",VLOOKUP(D210,'[1]0.1 Produksi Pangan &amp; Penduduk'!$D$5:$AQ$860,40,0))</f>
        <v/>
      </c>
      <c r="G210" s="29" t="str">
        <f t="shared" si="15"/>
        <v/>
      </c>
      <c r="H210" s="29" t="str">
        <f t="shared" si="16"/>
        <v/>
      </c>
      <c r="I210" s="29" t="str">
        <f t="shared" si="17"/>
        <v/>
      </c>
      <c r="J210" s="29" t="str">
        <f t="shared" si="18"/>
        <v/>
      </c>
      <c r="K210" s="29" t="str">
        <f t="shared" si="19"/>
        <v/>
      </c>
      <c r="M210" s="11"/>
    </row>
    <row r="211" spans="1:13" ht="15" x14ac:dyDescent="0.25">
      <c r="A211" s="1" t="str">
        <f>IF('1.1 Produksi Bersih Padi 2025'!A211="","",'1.1 Produksi Bersih Padi 2025'!A211)</f>
        <v/>
      </c>
      <c r="B211" s="31" t="str">
        <f>IF('1.1 Produksi Bersih Padi 2025'!B211="","",'1.1 Produksi Bersih Padi 2025'!B211)</f>
        <v/>
      </c>
      <c r="C211" s="31" t="str">
        <f>IF('1.1 Produksi Bersih Padi 2025'!C211="","",'1.1 Produksi Bersih Padi 2025'!C211)</f>
        <v/>
      </c>
      <c r="D211" s="1" t="str">
        <f>IF('1.1 Produksi Bersih Padi 2025'!D211="","",'1.1 Produksi Bersih Padi 2025'!D211)</f>
        <v/>
      </c>
      <c r="E211" s="1" t="str">
        <f>IF('1.1 Produksi Bersih Padi 2025'!E211="","",'1.1 Produksi Bersih Padi 2025'!E211)</f>
        <v/>
      </c>
      <c r="F211" s="28" t="str">
        <f>IF(D211="","",VLOOKUP(D211,'[1]0.1 Produksi Pangan &amp; Penduduk'!$D$5:$AQ$860,40,0))</f>
        <v/>
      </c>
      <c r="G211" s="29" t="str">
        <f t="shared" si="15"/>
        <v/>
      </c>
      <c r="H211" s="29" t="str">
        <f t="shared" si="16"/>
        <v/>
      </c>
      <c r="I211" s="29" t="str">
        <f t="shared" si="17"/>
        <v/>
      </c>
      <c r="J211" s="29" t="str">
        <f t="shared" si="18"/>
        <v/>
      </c>
      <c r="K211" s="29" t="str">
        <f t="shared" si="19"/>
        <v/>
      </c>
      <c r="M211" s="11"/>
    </row>
    <row r="212" spans="1:13" ht="15" x14ac:dyDescent="0.25">
      <c r="A212" s="1" t="str">
        <f>IF('1.1 Produksi Bersih Padi 2025'!A212="","",'1.1 Produksi Bersih Padi 2025'!A212)</f>
        <v/>
      </c>
      <c r="B212" s="31" t="str">
        <f>IF('1.1 Produksi Bersih Padi 2025'!B212="","",'1.1 Produksi Bersih Padi 2025'!B212)</f>
        <v/>
      </c>
      <c r="C212" s="31" t="str">
        <f>IF('1.1 Produksi Bersih Padi 2025'!C212="","",'1.1 Produksi Bersih Padi 2025'!C212)</f>
        <v/>
      </c>
      <c r="D212" s="1" t="str">
        <f>IF('1.1 Produksi Bersih Padi 2025'!D212="","",'1.1 Produksi Bersih Padi 2025'!D212)</f>
        <v/>
      </c>
      <c r="E212" s="1" t="str">
        <f>IF('1.1 Produksi Bersih Padi 2025'!E212="","",'1.1 Produksi Bersih Padi 2025'!E212)</f>
        <v/>
      </c>
      <c r="F212" s="28" t="str">
        <f>IF(D212="","",VLOOKUP(D212,'[1]0.1 Produksi Pangan &amp; Penduduk'!$D$5:$AQ$860,40,0))</f>
        <v/>
      </c>
      <c r="G212" s="29" t="str">
        <f t="shared" si="15"/>
        <v/>
      </c>
      <c r="H212" s="29" t="str">
        <f t="shared" si="16"/>
        <v/>
      </c>
      <c r="I212" s="29" t="str">
        <f t="shared" si="17"/>
        <v/>
      </c>
      <c r="J212" s="29" t="str">
        <f t="shared" si="18"/>
        <v/>
      </c>
      <c r="K212" s="29" t="str">
        <f t="shared" si="19"/>
        <v/>
      </c>
      <c r="M212" s="11"/>
    </row>
    <row r="213" spans="1:13" ht="15" x14ac:dyDescent="0.25">
      <c r="A213" s="1" t="str">
        <f>IF('1.1 Produksi Bersih Padi 2025'!A213="","",'1.1 Produksi Bersih Padi 2025'!A213)</f>
        <v/>
      </c>
      <c r="B213" s="31" t="str">
        <f>IF('1.1 Produksi Bersih Padi 2025'!B213="","",'1.1 Produksi Bersih Padi 2025'!B213)</f>
        <v/>
      </c>
      <c r="C213" s="31" t="str">
        <f>IF('1.1 Produksi Bersih Padi 2025'!C213="","",'1.1 Produksi Bersih Padi 2025'!C213)</f>
        <v/>
      </c>
      <c r="D213" s="1" t="str">
        <f>IF('1.1 Produksi Bersih Padi 2025'!D213="","",'1.1 Produksi Bersih Padi 2025'!D213)</f>
        <v/>
      </c>
      <c r="E213" s="1" t="str">
        <f>IF('1.1 Produksi Bersih Padi 2025'!E213="","",'1.1 Produksi Bersih Padi 2025'!E213)</f>
        <v/>
      </c>
      <c r="F213" s="28" t="str">
        <f>IF(D213="","",VLOOKUP(D213,'[1]0.1 Produksi Pangan &amp; Penduduk'!$D$5:$AQ$860,40,0))</f>
        <v/>
      </c>
      <c r="G213" s="29" t="str">
        <f t="shared" si="15"/>
        <v/>
      </c>
      <c r="H213" s="29" t="str">
        <f t="shared" si="16"/>
        <v/>
      </c>
      <c r="I213" s="29" t="str">
        <f t="shared" si="17"/>
        <v/>
      </c>
      <c r="J213" s="29" t="str">
        <f t="shared" si="18"/>
        <v/>
      </c>
      <c r="K213" s="29" t="str">
        <f t="shared" si="19"/>
        <v/>
      </c>
      <c r="M213" s="11"/>
    </row>
    <row r="214" spans="1:13" ht="15" x14ac:dyDescent="0.25">
      <c r="A214" s="1" t="str">
        <f>IF('1.1 Produksi Bersih Padi 2025'!A214="","",'1.1 Produksi Bersih Padi 2025'!A214)</f>
        <v/>
      </c>
      <c r="B214" s="31" t="str">
        <f>IF('1.1 Produksi Bersih Padi 2025'!B214="","",'1.1 Produksi Bersih Padi 2025'!B214)</f>
        <v/>
      </c>
      <c r="C214" s="31" t="str">
        <f>IF('1.1 Produksi Bersih Padi 2025'!C214="","",'1.1 Produksi Bersih Padi 2025'!C214)</f>
        <v/>
      </c>
      <c r="D214" s="1" t="str">
        <f>IF('1.1 Produksi Bersih Padi 2025'!D214="","",'1.1 Produksi Bersih Padi 2025'!D214)</f>
        <v/>
      </c>
      <c r="E214" s="1" t="str">
        <f>IF('1.1 Produksi Bersih Padi 2025'!E214="","",'1.1 Produksi Bersih Padi 2025'!E214)</f>
        <v/>
      </c>
      <c r="F214" s="28" t="str">
        <f>IF(D214="","",VLOOKUP(D214,'[1]0.1 Produksi Pangan &amp; Penduduk'!$D$5:$AQ$860,40,0))</f>
        <v/>
      </c>
      <c r="G214" s="29" t="str">
        <f t="shared" si="15"/>
        <v/>
      </c>
      <c r="H214" s="29" t="str">
        <f t="shared" si="16"/>
        <v/>
      </c>
      <c r="I214" s="29" t="str">
        <f t="shared" si="17"/>
        <v/>
      </c>
      <c r="J214" s="29" t="str">
        <f t="shared" si="18"/>
        <v/>
      </c>
      <c r="K214" s="29" t="str">
        <f t="shared" si="19"/>
        <v/>
      </c>
      <c r="M214" s="11"/>
    </row>
    <row r="215" spans="1:13" ht="15" x14ac:dyDescent="0.25">
      <c r="A215" s="1" t="str">
        <f>IF('1.1 Produksi Bersih Padi 2025'!A215="","",'1.1 Produksi Bersih Padi 2025'!A215)</f>
        <v/>
      </c>
      <c r="B215" s="31" t="str">
        <f>IF('1.1 Produksi Bersih Padi 2025'!B215="","",'1.1 Produksi Bersih Padi 2025'!B215)</f>
        <v/>
      </c>
      <c r="C215" s="31" t="str">
        <f>IF('1.1 Produksi Bersih Padi 2025'!C215="","",'1.1 Produksi Bersih Padi 2025'!C215)</f>
        <v/>
      </c>
      <c r="D215" s="1" t="str">
        <f>IF('1.1 Produksi Bersih Padi 2025'!D215="","",'1.1 Produksi Bersih Padi 2025'!D215)</f>
        <v/>
      </c>
      <c r="E215" s="1" t="str">
        <f>IF('1.1 Produksi Bersih Padi 2025'!E215="","",'1.1 Produksi Bersih Padi 2025'!E215)</f>
        <v/>
      </c>
      <c r="F215" s="28" t="str">
        <f>IF(D215="","",VLOOKUP(D215,'[1]0.1 Produksi Pangan &amp; Penduduk'!$D$5:$AQ$860,40,0))</f>
        <v/>
      </c>
      <c r="G215" s="29" t="str">
        <f t="shared" si="15"/>
        <v/>
      </c>
      <c r="H215" s="29" t="str">
        <f t="shared" si="16"/>
        <v/>
      </c>
      <c r="I215" s="29" t="str">
        <f t="shared" si="17"/>
        <v/>
      </c>
      <c r="J215" s="29" t="str">
        <f t="shared" si="18"/>
        <v/>
      </c>
      <c r="K215" s="29" t="str">
        <f t="shared" si="19"/>
        <v/>
      </c>
      <c r="M215" s="11"/>
    </row>
    <row r="216" spans="1:13" ht="15" x14ac:dyDescent="0.25">
      <c r="A216" s="1" t="str">
        <f>IF('1.1 Produksi Bersih Padi 2025'!A216="","",'1.1 Produksi Bersih Padi 2025'!A216)</f>
        <v/>
      </c>
      <c r="B216" s="31" t="str">
        <f>IF('1.1 Produksi Bersih Padi 2025'!B216="","",'1.1 Produksi Bersih Padi 2025'!B216)</f>
        <v/>
      </c>
      <c r="C216" s="31" t="str">
        <f>IF('1.1 Produksi Bersih Padi 2025'!C216="","",'1.1 Produksi Bersih Padi 2025'!C216)</f>
        <v/>
      </c>
      <c r="D216" s="1" t="str">
        <f>IF('1.1 Produksi Bersih Padi 2025'!D216="","",'1.1 Produksi Bersih Padi 2025'!D216)</f>
        <v/>
      </c>
      <c r="E216" s="1" t="str">
        <f>IF('1.1 Produksi Bersih Padi 2025'!E216="","",'1.1 Produksi Bersih Padi 2025'!E216)</f>
        <v/>
      </c>
      <c r="F216" s="28" t="str">
        <f>IF(D216="","",VLOOKUP(D216,'[1]0.1 Produksi Pangan &amp; Penduduk'!$D$5:$AQ$860,40,0))</f>
        <v/>
      </c>
      <c r="G216" s="29" t="str">
        <f t="shared" si="15"/>
        <v/>
      </c>
      <c r="H216" s="29" t="str">
        <f t="shared" si="16"/>
        <v/>
      </c>
      <c r="I216" s="29" t="str">
        <f t="shared" si="17"/>
        <v/>
      </c>
      <c r="J216" s="29" t="str">
        <f t="shared" si="18"/>
        <v/>
      </c>
      <c r="K216" s="29" t="str">
        <f t="shared" si="19"/>
        <v/>
      </c>
      <c r="M216" s="11"/>
    </row>
    <row r="217" spans="1:13" ht="15" x14ac:dyDescent="0.25">
      <c r="A217" s="1" t="str">
        <f>IF('1.1 Produksi Bersih Padi 2025'!A217="","",'1.1 Produksi Bersih Padi 2025'!A217)</f>
        <v/>
      </c>
      <c r="B217" s="31" t="str">
        <f>IF('1.1 Produksi Bersih Padi 2025'!B217="","",'1.1 Produksi Bersih Padi 2025'!B217)</f>
        <v/>
      </c>
      <c r="C217" s="31" t="str">
        <f>IF('1.1 Produksi Bersih Padi 2025'!C217="","",'1.1 Produksi Bersih Padi 2025'!C217)</f>
        <v/>
      </c>
      <c r="D217" s="1" t="str">
        <f>IF('1.1 Produksi Bersih Padi 2025'!D217="","",'1.1 Produksi Bersih Padi 2025'!D217)</f>
        <v/>
      </c>
      <c r="E217" s="1" t="str">
        <f>IF('1.1 Produksi Bersih Padi 2025'!E217="","",'1.1 Produksi Bersih Padi 2025'!E217)</f>
        <v/>
      </c>
      <c r="F217" s="28" t="str">
        <f>IF(D217="","",VLOOKUP(D217,'[1]0.1 Produksi Pangan &amp; Penduduk'!$D$5:$AQ$860,40,0))</f>
        <v/>
      </c>
      <c r="G217" s="29" t="str">
        <f t="shared" si="15"/>
        <v/>
      </c>
      <c r="H217" s="29" t="str">
        <f t="shared" si="16"/>
        <v/>
      </c>
      <c r="I217" s="29" t="str">
        <f t="shared" si="17"/>
        <v/>
      </c>
      <c r="J217" s="29" t="str">
        <f t="shared" si="18"/>
        <v/>
      </c>
      <c r="K217" s="29" t="str">
        <f t="shared" si="19"/>
        <v/>
      </c>
      <c r="M217" s="11"/>
    </row>
    <row r="218" spans="1:13" ht="15" x14ac:dyDescent="0.25">
      <c r="A218" s="1" t="str">
        <f>IF('1.1 Produksi Bersih Padi 2025'!A218="","",'1.1 Produksi Bersih Padi 2025'!A218)</f>
        <v/>
      </c>
      <c r="B218" s="31" t="str">
        <f>IF('1.1 Produksi Bersih Padi 2025'!B218="","",'1.1 Produksi Bersih Padi 2025'!B218)</f>
        <v/>
      </c>
      <c r="C218" s="31" t="str">
        <f>IF('1.1 Produksi Bersih Padi 2025'!C218="","",'1.1 Produksi Bersih Padi 2025'!C218)</f>
        <v/>
      </c>
      <c r="D218" s="1" t="str">
        <f>IF('1.1 Produksi Bersih Padi 2025'!D218="","",'1.1 Produksi Bersih Padi 2025'!D218)</f>
        <v/>
      </c>
      <c r="E218" s="1" t="str">
        <f>IF('1.1 Produksi Bersih Padi 2025'!E218="","",'1.1 Produksi Bersih Padi 2025'!E218)</f>
        <v/>
      </c>
      <c r="F218" s="28" t="str">
        <f>IF(D218="","",VLOOKUP(D218,'[1]0.1 Produksi Pangan &amp; Penduduk'!$D$5:$AQ$860,40,0))</f>
        <v/>
      </c>
      <c r="G218" s="29" t="str">
        <f t="shared" si="15"/>
        <v/>
      </c>
      <c r="H218" s="29" t="str">
        <f t="shared" si="16"/>
        <v/>
      </c>
      <c r="I218" s="29" t="str">
        <f t="shared" si="17"/>
        <v/>
      </c>
      <c r="J218" s="29" t="str">
        <f t="shared" si="18"/>
        <v/>
      </c>
      <c r="K218" s="29" t="str">
        <f t="shared" si="19"/>
        <v/>
      </c>
      <c r="M218" s="11"/>
    </row>
    <row r="219" spans="1:13" ht="15" x14ac:dyDescent="0.25">
      <c r="A219" s="1" t="str">
        <f>IF('1.1 Produksi Bersih Padi 2025'!A219="","",'1.1 Produksi Bersih Padi 2025'!A219)</f>
        <v/>
      </c>
      <c r="B219" s="31" t="str">
        <f>IF('1.1 Produksi Bersih Padi 2025'!B219="","",'1.1 Produksi Bersih Padi 2025'!B219)</f>
        <v/>
      </c>
      <c r="C219" s="31" t="str">
        <f>IF('1.1 Produksi Bersih Padi 2025'!C219="","",'1.1 Produksi Bersih Padi 2025'!C219)</f>
        <v/>
      </c>
      <c r="D219" s="1" t="str">
        <f>IF('1.1 Produksi Bersih Padi 2025'!D219="","",'1.1 Produksi Bersih Padi 2025'!D219)</f>
        <v/>
      </c>
      <c r="E219" s="1" t="str">
        <f>IF('1.1 Produksi Bersih Padi 2025'!E219="","",'1.1 Produksi Bersih Padi 2025'!E219)</f>
        <v/>
      </c>
      <c r="F219" s="28" t="str">
        <f>IF(D219="","",VLOOKUP(D219,'[1]0.1 Produksi Pangan &amp; Penduduk'!$D$5:$AQ$860,40,0))</f>
        <v/>
      </c>
      <c r="G219" s="29" t="str">
        <f t="shared" si="15"/>
        <v/>
      </c>
      <c r="H219" s="29" t="str">
        <f t="shared" si="16"/>
        <v/>
      </c>
      <c r="I219" s="29" t="str">
        <f t="shared" si="17"/>
        <v/>
      </c>
      <c r="J219" s="29" t="str">
        <f t="shared" si="18"/>
        <v/>
      </c>
      <c r="K219" s="29" t="str">
        <f t="shared" si="19"/>
        <v/>
      </c>
      <c r="M219" s="11"/>
    </row>
    <row r="220" spans="1:13" ht="15" x14ac:dyDescent="0.25">
      <c r="A220" s="1" t="str">
        <f>IF('1.1 Produksi Bersih Padi 2025'!A220="","",'1.1 Produksi Bersih Padi 2025'!A220)</f>
        <v/>
      </c>
      <c r="B220" s="31" t="str">
        <f>IF('1.1 Produksi Bersih Padi 2025'!B220="","",'1.1 Produksi Bersih Padi 2025'!B220)</f>
        <v/>
      </c>
      <c r="C220" s="31" t="str">
        <f>IF('1.1 Produksi Bersih Padi 2025'!C220="","",'1.1 Produksi Bersih Padi 2025'!C220)</f>
        <v/>
      </c>
      <c r="D220" s="1" t="str">
        <f>IF('1.1 Produksi Bersih Padi 2025'!D220="","",'1.1 Produksi Bersih Padi 2025'!D220)</f>
        <v/>
      </c>
      <c r="E220" s="1" t="str">
        <f>IF('1.1 Produksi Bersih Padi 2025'!E220="","",'1.1 Produksi Bersih Padi 2025'!E220)</f>
        <v/>
      </c>
      <c r="F220" s="28" t="str">
        <f>IF(D220="","",VLOOKUP(D220,'[1]0.1 Produksi Pangan &amp; Penduduk'!$D$5:$AQ$860,40,0))</f>
        <v/>
      </c>
      <c r="G220" s="29" t="str">
        <f t="shared" si="15"/>
        <v/>
      </c>
      <c r="H220" s="29" t="str">
        <f t="shared" si="16"/>
        <v/>
      </c>
      <c r="I220" s="29" t="str">
        <f t="shared" si="17"/>
        <v/>
      </c>
      <c r="J220" s="29" t="str">
        <f t="shared" si="18"/>
        <v/>
      </c>
      <c r="K220" s="29" t="str">
        <f t="shared" si="19"/>
        <v/>
      </c>
      <c r="M220" s="11"/>
    </row>
    <row r="221" spans="1:13" ht="15" x14ac:dyDescent="0.25">
      <c r="A221" s="1" t="str">
        <f>IF('1.1 Produksi Bersih Padi 2025'!A221="","",'1.1 Produksi Bersih Padi 2025'!A221)</f>
        <v/>
      </c>
      <c r="B221" s="31" t="str">
        <f>IF('1.1 Produksi Bersih Padi 2025'!B221="","",'1.1 Produksi Bersih Padi 2025'!B221)</f>
        <v/>
      </c>
      <c r="C221" s="31" t="str">
        <f>IF('1.1 Produksi Bersih Padi 2025'!C221="","",'1.1 Produksi Bersih Padi 2025'!C221)</f>
        <v/>
      </c>
      <c r="D221" s="1" t="str">
        <f>IF('1.1 Produksi Bersih Padi 2025'!D221="","",'1.1 Produksi Bersih Padi 2025'!D221)</f>
        <v/>
      </c>
      <c r="E221" s="1" t="str">
        <f>IF('1.1 Produksi Bersih Padi 2025'!E221="","",'1.1 Produksi Bersih Padi 2025'!E221)</f>
        <v/>
      </c>
      <c r="F221" s="28" t="str">
        <f>IF(D221="","",VLOOKUP(D221,'[1]0.1 Produksi Pangan &amp; Penduduk'!$D$5:$AQ$860,40,0))</f>
        <v/>
      </c>
      <c r="G221" s="29" t="str">
        <f t="shared" si="15"/>
        <v/>
      </c>
      <c r="H221" s="29" t="str">
        <f t="shared" si="16"/>
        <v/>
      </c>
      <c r="I221" s="29" t="str">
        <f t="shared" si="17"/>
        <v/>
      </c>
      <c r="J221" s="29" t="str">
        <f t="shared" si="18"/>
        <v/>
      </c>
      <c r="K221" s="29" t="str">
        <f t="shared" si="19"/>
        <v/>
      </c>
      <c r="M221" s="11"/>
    </row>
    <row r="222" spans="1:13" ht="15" x14ac:dyDescent="0.25">
      <c r="A222" s="1" t="str">
        <f>IF('1.1 Produksi Bersih Padi 2025'!A222="","",'1.1 Produksi Bersih Padi 2025'!A222)</f>
        <v/>
      </c>
      <c r="B222" s="31" t="str">
        <f>IF('1.1 Produksi Bersih Padi 2025'!B222="","",'1.1 Produksi Bersih Padi 2025'!B222)</f>
        <v/>
      </c>
      <c r="C222" s="31" t="str">
        <f>IF('1.1 Produksi Bersih Padi 2025'!C222="","",'1.1 Produksi Bersih Padi 2025'!C222)</f>
        <v/>
      </c>
      <c r="D222" s="1" t="str">
        <f>IF('1.1 Produksi Bersih Padi 2025'!D222="","",'1.1 Produksi Bersih Padi 2025'!D222)</f>
        <v/>
      </c>
      <c r="E222" s="1" t="str">
        <f>IF('1.1 Produksi Bersih Padi 2025'!E222="","",'1.1 Produksi Bersih Padi 2025'!E222)</f>
        <v/>
      </c>
      <c r="F222" s="28" t="str">
        <f>IF(D222="","",VLOOKUP(D222,'[1]0.1 Produksi Pangan &amp; Penduduk'!$D$5:$AQ$860,40,0))</f>
        <v/>
      </c>
      <c r="G222" s="29" t="str">
        <f t="shared" si="15"/>
        <v/>
      </c>
      <c r="H222" s="29" t="str">
        <f t="shared" si="16"/>
        <v/>
      </c>
      <c r="I222" s="29" t="str">
        <f t="shared" si="17"/>
        <v/>
      </c>
      <c r="J222" s="29" t="str">
        <f t="shared" si="18"/>
        <v/>
      </c>
      <c r="K222" s="29" t="str">
        <f t="shared" si="19"/>
        <v/>
      </c>
      <c r="M222" s="11"/>
    </row>
    <row r="223" spans="1:13" ht="15" x14ac:dyDescent="0.25">
      <c r="A223" s="1" t="str">
        <f>IF('1.1 Produksi Bersih Padi 2025'!A223="","",'1.1 Produksi Bersih Padi 2025'!A223)</f>
        <v/>
      </c>
      <c r="B223" s="31" t="str">
        <f>IF('1.1 Produksi Bersih Padi 2025'!B223="","",'1.1 Produksi Bersih Padi 2025'!B223)</f>
        <v/>
      </c>
      <c r="C223" s="31" t="str">
        <f>IF('1.1 Produksi Bersih Padi 2025'!C223="","",'1.1 Produksi Bersih Padi 2025'!C223)</f>
        <v/>
      </c>
      <c r="D223" s="1" t="str">
        <f>IF('1.1 Produksi Bersih Padi 2025'!D223="","",'1.1 Produksi Bersih Padi 2025'!D223)</f>
        <v/>
      </c>
      <c r="E223" s="1" t="str">
        <f>IF('1.1 Produksi Bersih Padi 2025'!E223="","",'1.1 Produksi Bersih Padi 2025'!E223)</f>
        <v/>
      </c>
      <c r="F223" s="28" t="str">
        <f>IF(D223="","",VLOOKUP(D223,'[1]0.1 Produksi Pangan &amp; Penduduk'!$D$5:$AQ$860,40,0))</f>
        <v/>
      </c>
      <c r="G223" s="29" t="str">
        <f t="shared" si="15"/>
        <v/>
      </c>
      <c r="H223" s="29" t="str">
        <f t="shared" si="16"/>
        <v/>
      </c>
      <c r="I223" s="29" t="str">
        <f t="shared" si="17"/>
        <v/>
      </c>
      <c r="J223" s="29" t="str">
        <f t="shared" si="18"/>
        <v/>
      </c>
      <c r="K223" s="29" t="str">
        <f t="shared" si="19"/>
        <v/>
      </c>
      <c r="M223" s="11"/>
    </row>
    <row r="224" spans="1:13" ht="15" x14ac:dyDescent="0.25">
      <c r="A224" s="1" t="str">
        <f>IF('1.1 Produksi Bersih Padi 2025'!A224="","",'1.1 Produksi Bersih Padi 2025'!A224)</f>
        <v/>
      </c>
      <c r="B224" s="31" t="str">
        <f>IF('1.1 Produksi Bersih Padi 2025'!B224="","",'1.1 Produksi Bersih Padi 2025'!B224)</f>
        <v/>
      </c>
      <c r="C224" s="31" t="str">
        <f>IF('1.1 Produksi Bersih Padi 2025'!C224="","",'1.1 Produksi Bersih Padi 2025'!C224)</f>
        <v/>
      </c>
      <c r="D224" s="1" t="str">
        <f>IF('1.1 Produksi Bersih Padi 2025'!D224="","",'1.1 Produksi Bersih Padi 2025'!D224)</f>
        <v/>
      </c>
      <c r="E224" s="1" t="str">
        <f>IF('1.1 Produksi Bersih Padi 2025'!E224="","",'1.1 Produksi Bersih Padi 2025'!E224)</f>
        <v/>
      </c>
      <c r="F224" s="28" t="str">
        <f>IF(D224="","",VLOOKUP(D224,'[1]0.1 Produksi Pangan &amp; Penduduk'!$D$5:$AQ$860,40,0))</f>
        <v/>
      </c>
      <c r="G224" s="29" t="str">
        <f t="shared" si="15"/>
        <v/>
      </c>
      <c r="H224" s="29" t="str">
        <f t="shared" si="16"/>
        <v/>
      </c>
      <c r="I224" s="29" t="str">
        <f t="shared" si="17"/>
        <v/>
      </c>
      <c r="J224" s="29" t="str">
        <f t="shared" si="18"/>
        <v/>
      </c>
      <c r="K224" s="29" t="str">
        <f t="shared" si="19"/>
        <v/>
      </c>
      <c r="M224" s="11"/>
    </row>
    <row r="225" spans="1:13" ht="15" x14ac:dyDescent="0.25">
      <c r="A225" s="1" t="str">
        <f>IF('1.1 Produksi Bersih Padi 2025'!A225="","",'1.1 Produksi Bersih Padi 2025'!A225)</f>
        <v/>
      </c>
      <c r="B225" s="31" t="str">
        <f>IF('1.1 Produksi Bersih Padi 2025'!B225="","",'1.1 Produksi Bersih Padi 2025'!B225)</f>
        <v/>
      </c>
      <c r="C225" s="31" t="str">
        <f>IF('1.1 Produksi Bersih Padi 2025'!C225="","",'1.1 Produksi Bersih Padi 2025'!C225)</f>
        <v/>
      </c>
      <c r="D225" s="1" t="str">
        <f>IF('1.1 Produksi Bersih Padi 2025'!D225="","",'1.1 Produksi Bersih Padi 2025'!D225)</f>
        <v/>
      </c>
      <c r="E225" s="1" t="str">
        <f>IF('1.1 Produksi Bersih Padi 2025'!E225="","",'1.1 Produksi Bersih Padi 2025'!E225)</f>
        <v/>
      </c>
      <c r="F225" s="28" t="str">
        <f>IF(D225="","",VLOOKUP(D225,'[1]0.1 Produksi Pangan &amp; Penduduk'!$D$5:$AQ$860,40,0))</f>
        <v/>
      </c>
      <c r="G225" s="29" t="str">
        <f t="shared" si="15"/>
        <v/>
      </c>
      <c r="H225" s="29" t="str">
        <f t="shared" si="16"/>
        <v/>
      </c>
      <c r="I225" s="29" t="str">
        <f t="shared" si="17"/>
        <v/>
      </c>
      <c r="J225" s="29" t="str">
        <f t="shared" si="18"/>
        <v/>
      </c>
      <c r="K225" s="29" t="str">
        <f t="shared" si="19"/>
        <v/>
      </c>
      <c r="M225" s="11"/>
    </row>
    <row r="226" spans="1:13" ht="15" x14ac:dyDescent="0.25">
      <c r="A226" s="1" t="str">
        <f>IF('1.1 Produksi Bersih Padi 2025'!A226="","",'1.1 Produksi Bersih Padi 2025'!A226)</f>
        <v/>
      </c>
      <c r="B226" s="31" t="str">
        <f>IF('1.1 Produksi Bersih Padi 2025'!B226="","",'1.1 Produksi Bersih Padi 2025'!B226)</f>
        <v/>
      </c>
      <c r="C226" s="31" t="str">
        <f>IF('1.1 Produksi Bersih Padi 2025'!C226="","",'1.1 Produksi Bersih Padi 2025'!C226)</f>
        <v/>
      </c>
      <c r="D226" s="1" t="str">
        <f>IF('1.1 Produksi Bersih Padi 2025'!D226="","",'1.1 Produksi Bersih Padi 2025'!D226)</f>
        <v/>
      </c>
      <c r="E226" s="1" t="str">
        <f>IF('1.1 Produksi Bersih Padi 2025'!E226="","",'1.1 Produksi Bersih Padi 2025'!E226)</f>
        <v/>
      </c>
      <c r="F226" s="28" t="str">
        <f>IF(D226="","",VLOOKUP(D226,'[1]0.1 Produksi Pangan &amp; Penduduk'!$D$5:$AQ$860,40,0))</f>
        <v/>
      </c>
      <c r="G226" s="29" t="str">
        <f t="shared" si="15"/>
        <v/>
      </c>
      <c r="H226" s="29" t="str">
        <f t="shared" si="16"/>
        <v/>
      </c>
      <c r="I226" s="29" t="str">
        <f t="shared" si="17"/>
        <v/>
      </c>
      <c r="J226" s="29" t="str">
        <f t="shared" si="18"/>
        <v/>
      </c>
      <c r="K226" s="29" t="str">
        <f t="shared" si="19"/>
        <v/>
      </c>
      <c r="M226" s="11"/>
    </row>
    <row r="227" spans="1:13" ht="15" x14ac:dyDescent="0.25">
      <c r="A227" s="1" t="str">
        <f>IF('1.1 Produksi Bersih Padi 2025'!A227="","",'1.1 Produksi Bersih Padi 2025'!A227)</f>
        <v/>
      </c>
      <c r="B227" s="31" t="str">
        <f>IF('1.1 Produksi Bersih Padi 2025'!B227="","",'1.1 Produksi Bersih Padi 2025'!B227)</f>
        <v/>
      </c>
      <c r="C227" s="31" t="str">
        <f>IF('1.1 Produksi Bersih Padi 2025'!C227="","",'1.1 Produksi Bersih Padi 2025'!C227)</f>
        <v/>
      </c>
      <c r="D227" s="1" t="str">
        <f>IF('1.1 Produksi Bersih Padi 2025'!D227="","",'1.1 Produksi Bersih Padi 2025'!D227)</f>
        <v/>
      </c>
      <c r="E227" s="1" t="str">
        <f>IF('1.1 Produksi Bersih Padi 2025'!E227="","",'1.1 Produksi Bersih Padi 2025'!E227)</f>
        <v/>
      </c>
      <c r="F227" s="28" t="str">
        <f>IF(D227="","",VLOOKUP(D227,'[1]0.1 Produksi Pangan &amp; Penduduk'!$D$5:$AQ$860,40,0))</f>
        <v/>
      </c>
      <c r="G227" s="29" t="str">
        <f t="shared" si="15"/>
        <v/>
      </c>
      <c r="H227" s="29" t="str">
        <f t="shared" si="16"/>
        <v/>
      </c>
      <c r="I227" s="29" t="str">
        <f t="shared" si="17"/>
        <v/>
      </c>
      <c r="J227" s="29" t="str">
        <f t="shared" si="18"/>
        <v/>
      </c>
      <c r="K227" s="29" t="str">
        <f t="shared" si="19"/>
        <v/>
      </c>
      <c r="M227" s="11"/>
    </row>
    <row r="228" spans="1:13" ht="15" x14ac:dyDescent="0.25">
      <c r="A228" s="1" t="str">
        <f>IF('1.1 Produksi Bersih Padi 2025'!A228="","",'1.1 Produksi Bersih Padi 2025'!A228)</f>
        <v/>
      </c>
      <c r="B228" s="31" t="str">
        <f>IF('1.1 Produksi Bersih Padi 2025'!B228="","",'1.1 Produksi Bersih Padi 2025'!B228)</f>
        <v/>
      </c>
      <c r="C228" s="31" t="str">
        <f>IF('1.1 Produksi Bersih Padi 2025'!C228="","",'1.1 Produksi Bersih Padi 2025'!C228)</f>
        <v/>
      </c>
      <c r="D228" s="1" t="str">
        <f>IF('1.1 Produksi Bersih Padi 2025'!D228="","",'1.1 Produksi Bersih Padi 2025'!D228)</f>
        <v/>
      </c>
      <c r="E228" s="1" t="str">
        <f>IF('1.1 Produksi Bersih Padi 2025'!E228="","",'1.1 Produksi Bersih Padi 2025'!E228)</f>
        <v/>
      </c>
      <c r="F228" s="28" t="str">
        <f>IF(D228="","",VLOOKUP(D228,'[1]0.1 Produksi Pangan &amp; Penduduk'!$D$5:$AQ$860,40,0))</f>
        <v/>
      </c>
      <c r="G228" s="29" t="str">
        <f t="shared" si="15"/>
        <v/>
      </c>
      <c r="H228" s="29" t="str">
        <f t="shared" si="16"/>
        <v/>
      </c>
      <c r="I228" s="29" t="str">
        <f t="shared" si="17"/>
        <v/>
      </c>
      <c r="J228" s="29" t="str">
        <f t="shared" si="18"/>
        <v/>
      </c>
      <c r="K228" s="29" t="str">
        <f t="shared" si="19"/>
        <v/>
      </c>
      <c r="M228" s="11"/>
    </row>
    <row r="229" spans="1:13" ht="15" x14ac:dyDescent="0.25">
      <c r="A229" s="1" t="str">
        <f>IF('1.1 Produksi Bersih Padi 2025'!A229="","",'1.1 Produksi Bersih Padi 2025'!A229)</f>
        <v/>
      </c>
      <c r="B229" s="31" t="str">
        <f>IF('1.1 Produksi Bersih Padi 2025'!B229="","",'1.1 Produksi Bersih Padi 2025'!B229)</f>
        <v/>
      </c>
      <c r="C229" s="31" t="str">
        <f>IF('1.1 Produksi Bersih Padi 2025'!C229="","",'1.1 Produksi Bersih Padi 2025'!C229)</f>
        <v/>
      </c>
      <c r="D229" s="1" t="str">
        <f>IF('1.1 Produksi Bersih Padi 2025'!D229="","",'1.1 Produksi Bersih Padi 2025'!D229)</f>
        <v/>
      </c>
      <c r="E229" s="1" t="str">
        <f>IF('1.1 Produksi Bersih Padi 2025'!E229="","",'1.1 Produksi Bersih Padi 2025'!E229)</f>
        <v/>
      </c>
      <c r="F229" s="28" t="str">
        <f>IF(D229="","",VLOOKUP(D229,'[1]0.1 Produksi Pangan &amp; Penduduk'!$D$5:$AQ$860,40,0))</f>
        <v/>
      </c>
      <c r="G229" s="29" t="str">
        <f t="shared" si="15"/>
        <v/>
      </c>
      <c r="H229" s="29" t="str">
        <f t="shared" si="16"/>
        <v/>
      </c>
      <c r="I229" s="29" t="str">
        <f t="shared" si="17"/>
        <v/>
      </c>
      <c r="J229" s="29" t="str">
        <f t="shared" si="18"/>
        <v/>
      </c>
      <c r="K229" s="29" t="str">
        <f t="shared" si="19"/>
        <v/>
      </c>
      <c r="M229" s="11"/>
    </row>
    <row r="230" spans="1:13" ht="15" x14ac:dyDescent="0.25">
      <c r="A230" s="1" t="str">
        <f>IF('1.1 Produksi Bersih Padi 2025'!A230="","",'1.1 Produksi Bersih Padi 2025'!A230)</f>
        <v/>
      </c>
      <c r="B230" s="31" t="str">
        <f>IF('1.1 Produksi Bersih Padi 2025'!B230="","",'1.1 Produksi Bersih Padi 2025'!B230)</f>
        <v/>
      </c>
      <c r="C230" s="31" t="str">
        <f>IF('1.1 Produksi Bersih Padi 2025'!C230="","",'1.1 Produksi Bersih Padi 2025'!C230)</f>
        <v/>
      </c>
      <c r="D230" s="1" t="str">
        <f>IF('1.1 Produksi Bersih Padi 2025'!D230="","",'1.1 Produksi Bersih Padi 2025'!D230)</f>
        <v/>
      </c>
      <c r="E230" s="1" t="str">
        <f>IF('1.1 Produksi Bersih Padi 2025'!E230="","",'1.1 Produksi Bersih Padi 2025'!E230)</f>
        <v/>
      </c>
      <c r="F230" s="28" t="str">
        <f>IF(D230="","",VLOOKUP(D230,'[1]0.1 Produksi Pangan &amp; Penduduk'!$D$5:$AQ$860,40,0))</f>
        <v/>
      </c>
      <c r="G230" s="29" t="str">
        <f t="shared" si="15"/>
        <v/>
      </c>
      <c r="H230" s="29" t="str">
        <f t="shared" si="16"/>
        <v/>
      </c>
      <c r="I230" s="29" t="str">
        <f t="shared" si="17"/>
        <v/>
      </c>
      <c r="J230" s="29" t="str">
        <f t="shared" si="18"/>
        <v/>
      </c>
      <c r="K230" s="29" t="str">
        <f t="shared" si="19"/>
        <v/>
      </c>
      <c r="M230" s="11"/>
    </row>
    <row r="231" spans="1:13" ht="15" x14ac:dyDescent="0.25">
      <c r="A231" s="1" t="str">
        <f>IF('1.1 Produksi Bersih Padi 2025'!A231="","",'1.1 Produksi Bersih Padi 2025'!A231)</f>
        <v/>
      </c>
      <c r="B231" s="31" t="str">
        <f>IF('1.1 Produksi Bersih Padi 2025'!B231="","",'1.1 Produksi Bersih Padi 2025'!B231)</f>
        <v/>
      </c>
      <c r="C231" s="31" t="str">
        <f>IF('1.1 Produksi Bersih Padi 2025'!C231="","",'1.1 Produksi Bersih Padi 2025'!C231)</f>
        <v/>
      </c>
      <c r="D231" s="1" t="str">
        <f>IF('1.1 Produksi Bersih Padi 2025'!D231="","",'1.1 Produksi Bersih Padi 2025'!D231)</f>
        <v/>
      </c>
      <c r="E231" s="1" t="str">
        <f>IF('1.1 Produksi Bersih Padi 2025'!E231="","",'1.1 Produksi Bersih Padi 2025'!E231)</f>
        <v/>
      </c>
      <c r="F231" s="28" t="str">
        <f>IF(D231="","",VLOOKUP(D231,'[1]0.1 Produksi Pangan &amp; Penduduk'!$D$5:$AQ$860,40,0))</f>
        <v/>
      </c>
      <c r="G231" s="29" t="str">
        <f t="shared" si="15"/>
        <v/>
      </c>
      <c r="H231" s="29" t="str">
        <f t="shared" si="16"/>
        <v/>
      </c>
      <c r="I231" s="29" t="str">
        <f t="shared" si="17"/>
        <v/>
      </c>
      <c r="J231" s="29" t="str">
        <f t="shared" si="18"/>
        <v/>
      </c>
      <c r="K231" s="29" t="str">
        <f t="shared" si="19"/>
        <v/>
      </c>
      <c r="M231" s="11"/>
    </row>
    <row r="232" spans="1:13" ht="15" x14ac:dyDescent="0.25">
      <c r="A232" s="1" t="str">
        <f>IF('1.1 Produksi Bersih Padi 2025'!A232="","",'1.1 Produksi Bersih Padi 2025'!A232)</f>
        <v/>
      </c>
      <c r="B232" s="31" t="str">
        <f>IF('1.1 Produksi Bersih Padi 2025'!B232="","",'1.1 Produksi Bersih Padi 2025'!B232)</f>
        <v/>
      </c>
      <c r="C232" s="31" t="str">
        <f>IF('1.1 Produksi Bersih Padi 2025'!C232="","",'1.1 Produksi Bersih Padi 2025'!C232)</f>
        <v/>
      </c>
      <c r="D232" s="1" t="str">
        <f>IF('1.1 Produksi Bersih Padi 2025'!D232="","",'1.1 Produksi Bersih Padi 2025'!D232)</f>
        <v/>
      </c>
      <c r="E232" s="1" t="str">
        <f>IF('1.1 Produksi Bersih Padi 2025'!E232="","",'1.1 Produksi Bersih Padi 2025'!E232)</f>
        <v/>
      </c>
      <c r="F232" s="28" t="str">
        <f>IF(D232="","",VLOOKUP(D232,'[1]0.1 Produksi Pangan &amp; Penduduk'!$D$5:$AQ$860,40,0))</f>
        <v/>
      </c>
      <c r="G232" s="29" t="str">
        <f t="shared" si="15"/>
        <v/>
      </c>
      <c r="H232" s="29" t="str">
        <f t="shared" si="16"/>
        <v/>
      </c>
      <c r="I232" s="29" t="str">
        <f t="shared" si="17"/>
        <v/>
      </c>
      <c r="J232" s="29" t="str">
        <f t="shared" si="18"/>
        <v/>
      </c>
      <c r="K232" s="29" t="str">
        <f t="shared" si="19"/>
        <v/>
      </c>
      <c r="M232" s="11"/>
    </row>
    <row r="233" spans="1:13" ht="15" x14ac:dyDescent="0.25">
      <c r="A233" s="1" t="str">
        <f>IF('1.1 Produksi Bersih Padi 2025'!A233="","",'1.1 Produksi Bersih Padi 2025'!A233)</f>
        <v/>
      </c>
      <c r="B233" s="31" t="str">
        <f>IF('1.1 Produksi Bersih Padi 2025'!B233="","",'1.1 Produksi Bersih Padi 2025'!B233)</f>
        <v/>
      </c>
      <c r="C233" s="31" t="str">
        <f>IF('1.1 Produksi Bersih Padi 2025'!C233="","",'1.1 Produksi Bersih Padi 2025'!C233)</f>
        <v/>
      </c>
      <c r="D233" s="1" t="str">
        <f>IF('1.1 Produksi Bersih Padi 2025'!D233="","",'1.1 Produksi Bersih Padi 2025'!D233)</f>
        <v/>
      </c>
      <c r="E233" s="1" t="str">
        <f>IF('1.1 Produksi Bersih Padi 2025'!E233="","",'1.1 Produksi Bersih Padi 2025'!E233)</f>
        <v/>
      </c>
      <c r="F233" s="28" t="str">
        <f>IF(D233="","",VLOOKUP(D233,'[1]0.1 Produksi Pangan &amp; Penduduk'!$D$5:$AQ$860,40,0))</f>
        <v/>
      </c>
      <c r="G233" s="29" t="str">
        <f t="shared" si="15"/>
        <v/>
      </c>
      <c r="H233" s="29" t="str">
        <f t="shared" si="16"/>
        <v/>
      </c>
      <c r="I233" s="29" t="str">
        <f t="shared" si="17"/>
        <v/>
      </c>
      <c r="J233" s="29" t="str">
        <f t="shared" si="18"/>
        <v/>
      </c>
      <c r="K233" s="29" t="str">
        <f t="shared" si="19"/>
        <v/>
      </c>
      <c r="M233" s="11"/>
    </row>
    <row r="234" spans="1:13" ht="15" x14ac:dyDescent="0.25">
      <c r="A234" s="1" t="str">
        <f>IF('1.1 Produksi Bersih Padi 2025'!A234="","",'1.1 Produksi Bersih Padi 2025'!A234)</f>
        <v/>
      </c>
      <c r="B234" s="31" t="str">
        <f>IF('1.1 Produksi Bersih Padi 2025'!B234="","",'1.1 Produksi Bersih Padi 2025'!B234)</f>
        <v/>
      </c>
      <c r="C234" s="31" t="str">
        <f>IF('1.1 Produksi Bersih Padi 2025'!C234="","",'1.1 Produksi Bersih Padi 2025'!C234)</f>
        <v/>
      </c>
      <c r="D234" s="1" t="str">
        <f>IF('1.1 Produksi Bersih Padi 2025'!D234="","",'1.1 Produksi Bersih Padi 2025'!D234)</f>
        <v/>
      </c>
      <c r="E234" s="1" t="str">
        <f>IF('1.1 Produksi Bersih Padi 2025'!E234="","",'1.1 Produksi Bersih Padi 2025'!E234)</f>
        <v/>
      </c>
      <c r="F234" s="28" t="str">
        <f>IF(D234="","",VLOOKUP(D234,'[1]0.1 Produksi Pangan &amp; Penduduk'!$D$5:$AQ$860,40,0))</f>
        <v/>
      </c>
      <c r="G234" s="29" t="str">
        <f t="shared" si="15"/>
        <v/>
      </c>
      <c r="H234" s="29" t="str">
        <f t="shared" si="16"/>
        <v/>
      </c>
      <c r="I234" s="29" t="str">
        <f t="shared" si="17"/>
        <v/>
      </c>
      <c r="J234" s="29" t="str">
        <f t="shared" si="18"/>
        <v/>
      </c>
      <c r="K234" s="29" t="str">
        <f t="shared" si="19"/>
        <v/>
      </c>
      <c r="M234" s="11"/>
    </row>
    <row r="235" spans="1:13" ht="15" x14ac:dyDescent="0.25">
      <c r="A235" s="1" t="str">
        <f>IF('1.1 Produksi Bersih Padi 2025'!A235="","",'1.1 Produksi Bersih Padi 2025'!A235)</f>
        <v/>
      </c>
      <c r="B235" s="31" t="str">
        <f>IF('1.1 Produksi Bersih Padi 2025'!B235="","",'1.1 Produksi Bersih Padi 2025'!B235)</f>
        <v/>
      </c>
      <c r="C235" s="31" t="str">
        <f>IF('1.1 Produksi Bersih Padi 2025'!C235="","",'1.1 Produksi Bersih Padi 2025'!C235)</f>
        <v/>
      </c>
      <c r="D235" s="1" t="str">
        <f>IF('1.1 Produksi Bersih Padi 2025'!D235="","",'1.1 Produksi Bersih Padi 2025'!D235)</f>
        <v/>
      </c>
      <c r="E235" s="1" t="str">
        <f>IF('1.1 Produksi Bersih Padi 2025'!E235="","",'1.1 Produksi Bersih Padi 2025'!E235)</f>
        <v/>
      </c>
      <c r="F235" s="28" t="str">
        <f>IF(D235="","",VLOOKUP(D235,'[1]0.1 Produksi Pangan &amp; Penduduk'!$D$5:$AQ$860,40,0))</f>
        <v/>
      </c>
      <c r="G235" s="29" t="str">
        <f t="shared" si="15"/>
        <v/>
      </c>
      <c r="H235" s="29" t="str">
        <f t="shared" si="16"/>
        <v/>
      </c>
      <c r="I235" s="29" t="str">
        <f t="shared" si="17"/>
        <v/>
      </c>
      <c r="J235" s="29" t="str">
        <f t="shared" si="18"/>
        <v/>
      </c>
      <c r="K235" s="29" t="str">
        <f t="shared" si="19"/>
        <v/>
      </c>
      <c r="M235" s="11"/>
    </row>
    <row r="236" spans="1:13" ht="15" x14ac:dyDescent="0.25">
      <c r="A236" s="1" t="str">
        <f>IF('1.1 Produksi Bersih Padi 2025'!A236="","",'1.1 Produksi Bersih Padi 2025'!A236)</f>
        <v/>
      </c>
      <c r="B236" s="31" t="str">
        <f>IF('1.1 Produksi Bersih Padi 2025'!B236="","",'1.1 Produksi Bersih Padi 2025'!B236)</f>
        <v/>
      </c>
      <c r="C236" s="31" t="str">
        <f>IF('1.1 Produksi Bersih Padi 2025'!C236="","",'1.1 Produksi Bersih Padi 2025'!C236)</f>
        <v/>
      </c>
      <c r="D236" s="1" t="str">
        <f>IF('1.1 Produksi Bersih Padi 2025'!D236="","",'1.1 Produksi Bersih Padi 2025'!D236)</f>
        <v/>
      </c>
      <c r="E236" s="1" t="str">
        <f>IF('1.1 Produksi Bersih Padi 2025'!E236="","",'1.1 Produksi Bersih Padi 2025'!E236)</f>
        <v/>
      </c>
      <c r="F236" s="28" t="str">
        <f>IF(D236="","",VLOOKUP(D236,'[1]0.1 Produksi Pangan &amp; Penduduk'!$D$5:$AQ$860,40,0))</f>
        <v/>
      </c>
      <c r="G236" s="29" t="str">
        <f t="shared" si="15"/>
        <v/>
      </c>
      <c r="H236" s="29" t="str">
        <f t="shared" si="16"/>
        <v/>
      </c>
      <c r="I236" s="29" t="str">
        <f t="shared" si="17"/>
        <v/>
      </c>
      <c r="J236" s="29" t="str">
        <f t="shared" si="18"/>
        <v/>
      </c>
      <c r="K236" s="29" t="str">
        <f t="shared" si="19"/>
        <v/>
      </c>
      <c r="M236" s="11"/>
    </row>
    <row r="237" spans="1:13" ht="15" x14ac:dyDescent="0.25">
      <c r="A237" s="1" t="str">
        <f>IF('1.1 Produksi Bersih Padi 2025'!A237="","",'1.1 Produksi Bersih Padi 2025'!A237)</f>
        <v/>
      </c>
      <c r="B237" s="31" t="str">
        <f>IF('1.1 Produksi Bersih Padi 2025'!B237="","",'1.1 Produksi Bersih Padi 2025'!B237)</f>
        <v/>
      </c>
      <c r="C237" s="31" t="str">
        <f>IF('1.1 Produksi Bersih Padi 2025'!C237="","",'1.1 Produksi Bersih Padi 2025'!C237)</f>
        <v/>
      </c>
      <c r="D237" s="1" t="str">
        <f>IF('1.1 Produksi Bersih Padi 2025'!D237="","",'1.1 Produksi Bersih Padi 2025'!D237)</f>
        <v/>
      </c>
      <c r="E237" s="1" t="str">
        <f>IF('1.1 Produksi Bersih Padi 2025'!E237="","",'1.1 Produksi Bersih Padi 2025'!E237)</f>
        <v/>
      </c>
      <c r="F237" s="28" t="str">
        <f>IF(D237="","",VLOOKUP(D237,'[1]0.1 Produksi Pangan &amp; Penduduk'!$D$5:$AQ$860,40,0))</f>
        <v/>
      </c>
      <c r="G237" s="29" t="str">
        <f t="shared" si="15"/>
        <v/>
      </c>
      <c r="H237" s="29" t="str">
        <f t="shared" si="16"/>
        <v/>
      </c>
      <c r="I237" s="29" t="str">
        <f t="shared" si="17"/>
        <v/>
      </c>
      <c r="J237" s="29" t="str">
        <f t="shared" si="18"/>
        <v/>
      </c>
      <c r="K237" s="29" t="str">
        <f t="shared" si="19"/>
        <v/>
      </c>
      <c r="M237" s="11"/>
    </row>
    <row r="238" spans="1:13" ht="15" x14ac:dyDescent="0.25">
      <c r="A238" s="1" t="str">
        <f>IF('1.1 Produksi Bersih Padi 2025'!A238="","",'1.1 Produksi Bersih Padi 2025'!A238)</f>
        <v/>
      </c>
      <c r="B238" s="31" t="str">
        <f>IF('1.1 Produksi Bersih Padi 2025'!B238="","",'1.1 Produksi Bersih Padi 2025'!B238)</f>
        <v/>
      </c>
      <c r="C238" s="31" t="str">
        <f>IF('1.1 Produksi Bersih Padi 2025'!C238="","",'1.1 Produksi Bersih Padi 2025'!C238)</f>
        <v/>
      </c>
      <c r="D238" s="1" t="str">
        <f>IF('1.1 Produksi Bersih Padi 2025'!D238="","",'1.1 Produksi Bersih Padi 2025'!D238)</f>
        <v/>
      </c>
      <c r="E238" s="1" t="str">
        <f>IF('1.1 Produksi Bersih Padi 2025'!E238="","",'1.1 Produksi Bersih Padi 2025'!E238)</f>
        <v/>
      </c>
      <c r="F238" s="28" t="str">
        <f>IF(D238="","",VLOOKUP(D238,'[1]0.1 Produksi Pangan &amp; Penduduk'!$D$5:$AQ$860,40,0))</f>
        <v/>
      </c>
      <c r="G238" s="29" t="str">
        <f t="shared" si="15"/>
        <v/>
      </c>
      <c r="H238" s="29" t="str">
        <f t="shared" si="16"/>
        <v/>
      </c>
      <c r="I238" s="29" t="str">
        <f t="shared" si="17"/>
        <v/>
      </c>
      <c r="J238" s="29" t="str">
        <f t="shared" si="18"/>
        <v/>
      </c>
      <c r="K238" s="29" t="str">
        <f t="shared" si="19"/>
        <v/>
      </c>
      <c r="M238" s="11"/>
    </row>
    <row r="239" spans="1:13" ht="15" x14ac:dyDescent="0.25">
      <c r="A239" s="1" t="str">
        <f>IF('1.1 Produksi Bersih Padi 2025'!A239="","",'1.1 Produksi Bersih Padi 2025'!A239)</f>
        <v/>
      </c>
      <c r="B239" s="31" t="str">
        <f>IF('1.1 Produksi Bersih Padi 2025'!B239="","",'1.1 Produksi Bersih Padi 2025'!B239)</f>
        <v/>
      </c>
      <c r="C239" s="31" t="str">
        <f>IF('1.1 Produksi Bersih Padi 2025'!C239="","",'1.1 Produksi Bersih Padi 2025'!C239)</f>
        <v/>
      </c>
      <c r="D239" s="1" t="str">
        <f>IF('1.1 Produksi Bersih Padi 2025'!D239="","",'1.1 Produksi Bersih Padi 2025'!D239)</f>
        <v/>
      </c>
      <c r="E239" s="1" t="str">
        <f>IF('1.1 Produksi Bersih Padi 2025'!E239="","",'1.1 Produksi Bersih Padi 2025'!E239)</f>
        <v/>
      </c>
      <c r="F239" s="28" t="str">
        <f>IF(D239="","",VLOOKUP(D239,'[1]0.1 Produksi Pangan &amp; Penduduk'!$D$5:$AQ$860,40,0))</f>
        <v/>
      </c>
      <c r="G239" s="29" t="str">
        <f t="shared" si="15"/>
        <v/>
      </c>
      <c r="H239" s="29" t="str">
        <f t="shared" si="16"/>
        <v/>
      </c>
      <c r="I239" s="29" t="str">
        <f t="shared" si="17"/>
        <v/>
      </c>
      <c r="J239" s="29" t="str">
        <f t="shared" si="18"/>
        <v/>
      </c>
      <c r="K239" s="29" t="str">
        <f t="shared" si="19"/>
        <v/>
      </c>
      <c r="M239" s="11"/>
    </row>
    <row r="240" spans="1:13" ht="15" x14ac:dyDescent="0.25">
      <c r="A240" s="1" t="str">
        <f>IF('1.1 Produksi Bersih Padi 2025'!A240="","",'1.1 Produksi Bersih Padi 2025'!A240)</f>
        <v/>
      </c>
      <c r="B240" s="31" t="str">
        <f>IF('1.1 Produksi Bersih Padi 2025'!B240="","",'1.1 Produksi Bersih Padi 2025'!B240)</f>
        <v/>
      </c>
      <c r="C240" s="31" t="str">
        <f>IF('1.1 Produksi Bersih Padi 2025'!C240="","",'1.1 Produksi Bersih Padi 2025'!C240)</f>
        <v/>
      </c>
      <c r="D240" s="1" t="str">
        <f>IF('1.1 Produksi Bersih Padi 2025'!D240="","",'1.1 Produksi Bersih Padi 2025'!D240)</f>
        <v/>
      </c>
      <c r="E240" s="1" t="str">
        <f>IF('1.1 Produksi Bersih Padi 2025'!E240="","",'1.1 Produksi Bersih Padi 2025'!E240)</f>
        <v/>
      </c>
      <c r="F240" s="28" t="str">
        <f>IF(D240="","",VLOOKUP(D240,'[1]0.1 Produksi Pangan &amp; Penduduk'!$D$5:$AQ$860,40,0))</f>
        <v/>
      </c>
      <c r="G240" s="29" t="str">
        <f t="shared" si="15"/>
        <v/>
      </c>
      <c r="H240" s="29" t="str">
        <f t="shared" si="16"/>
        <v/>
      </c>
      <c r="I240" s="29" t="str">
        <f t="shared" si="17"/>
        <v/>
      </c>
      <c r="J240" s="29" t="str">
        <f t="shared" si="18"/>
        <v/>
      </c>
      <c r="K240" s="29" t="str">
        <f t="shared" si="19"/>
        <v/>
      </c>
      <c r="M240" s="11"/>
    </row>
    <row r="241" spans="1:13" ht="15" x14ac:dyDescent="0.25">
      <c r="A241" s="1" t="str">
        <f>IF('1.1 Produksi Bersih Padi 2025'!A241="","",'1.1 Produksi Bersih Padi 2025'!A241)</f>
        <v/>
      </c>
      <c r="B241" s="31" t="str">
        <f>IF('1.1 Produksi Bersih Padi 2025'!B241="","",'1.1 Produksi Bersih Padi 2025'!B241)</f>
        <v/>
      </c>
      <c r="C241" s="31" t="str">
        <f>IF('1.1 Produksi Bersih Padi 2025'!C241="","",'1.1 Produksi Bersih Padi 2025'!C241)</f>
        <v/>
      </c>
      <c r="D241" s="1" t="str">
        <f>IF('1.1 Produksi Bersih Padi 2025'!D241="","",'1.1 Produksi Bersih Padi 2025'!D241)</f>
        <v/>
      </c>
      <c r="E241" s="1" t="str">
        <f>IF('1.1 Produksi Bersih Padi 2025'!E241="","",'1.1 Produksi Bersih Padi 2025'!E241)</f>
        <v/>
      </c>
      <c r="F241" s="28" t="str">
        <f>IF(D241="","",VLOOKUP(D241,'[1]0.1 Produksi Pangan &amp; Penduduk'!$D$5:$AQ$860,40,0))</f>
        <v/>
      </c>
      <c r="G241" s="29" t="str">
        <f t="shared" si="15"/>
        <v/>
      </c>
      <c r="H241" s="29" t="str">
        <f t="shared" si="16"/>
        <v/>
      </c>
      <c r="I241" s="29" t="str">
        <f t="shared" si="17"/>
        <v/>
      </c>
      <c r="J241" s="29" t="str">
        <f t="shared" si="18"/>
        <v/>
      </c>
      <c r="K241" s="29" t="str">
        <f t="shared" si="19"/>
        <v/>
      </c>
      <c r="M241" s="11"/>
    </row>
    <row r="242" spans="1:13" ht="15" x14ac:dyDescent="0.25">
      <c r="A242" s="1" t="str">
        <f>IF('1.1 Produksi Bersih Padi 2025'!A242="","",'1.1 Produksi Bersih Padi 2025'!A242)</f>
        <v/>
      </c>
      <c r="B242" s="31" t="str">
        <f>IF('1.1 Produksi Bersih Padi 2025'!B242="","",'1.1 Produksi Bersih Padi 2025'!B242)</f>
        <v/>
      </c>
      <c r="C242" s="31" t="str">
        <f>IF('1.1 Produksi Bersih Padi 2025'!C242="","",'1.1 Produksi Bersih Padi 2025'!C242)</f>
        <v/>
      </c>
      <c r="D242" s="1" t="str">
        <f>IF('1.1 Produksi Bersih Padi 2025'!D242="","",'1.1 Produksi Bersih Padi 2025'!D242)</f>
        <v/>
      </c>
      <c r="E242" s="1" t="str">
        <f>IF('1.1 Produksi Bersih Padi 2025'!E242="","",'1.1 Produksi Bersih Padi 2025'!E242)</f>
        <v/>
      </c>
      <c r="F242" s="28" t="str">
        <f>IF(D242="","",VLOOKUP(D242,'[1]0.1 Produksi Pangan &amp; Penduduk'!$D$5:$AQ$860,40,0))</f>
        <v/>
      </c>
      <c r="G242" s="29" t="str">
        <f t="shared" si="15"/>
        <v/>
      </c>
      <c r="H242" s="29" t="str">
        <f t="shared" si="16"/>
        <v/>
      </c>
      <c r="I242" s="29" t="str">
        <f t="shared" si="17"/>
        <v/>
      </c>
      <c r="J242" s="29" t="str">
        <f t="shared" si="18"/>
        <v/>
      </c>
      <c r="K242" s="29" t="str">
        <f t="shared" si="19"/>
        <v/>
      </c>
      <c r="M242" s="11"/>
    </row>
    <row r="243" spans="1:13" ht="15" x14ac:dyDescent="0.25">
      <c r="A243" s="1" t="str">
        <f>IF('1.1 Produksi Bersih Padi 2025'!A243="","",'1.1 Produksi Bersih Padi 2025'!A243)</f>
        <v/>
      </c>
      <c r="B243" s="31" t="str">
        <f>IF('1.1 Produksi Bersih Padi 2025'!B243="","",'1.1 Produksi Bersih Padi 2025'!B243)</f>
        <v/>
      </c>
      <c r="C243" s="31" t="str">
        <f>IF('1.1 Produksi Bersih Padi 2025'!C243="","",'1.1 Produksi Bersih Padi 2025'!C243)</f>
        <v/>
      </c>
      <c r="D243" s="1" t="str">
        <f>IF('1.1 Produksi Bersih Padi 2025'!D243="","",'1.1 Produksi Bersih Padi 2025'!D243)</f>
        <v/>
      </c>
      <c r="E243" s="1" t="str">
        <f>IF('1.1 Produksi Bersih Padi 2025'!E243="","",'1.1 Produksi Bersih Padi 2025'!E243)</f>
        <v/>
      </c>
      <c r="F243" s="28" t="str">
        <f>IF(D243="","",VLOOKUP(D243,'[1]0.1 Produksi Pangan &amp; Penduduk'!$D$5:$AQ$860,40,0))</f>
        <v/>
      </c>
      <c r="G243" s="29" t="str">
        <f t="shared" si="15"/>
        <v/>
      </c>
      <c r="H243" s="29" t="str">
        <f t="shared" si="16"/>
        <v/>
      </c>
      <c r="I243" s="29" t="str">
        <f t="shared" si="17"/>
        <v/>
      </c>
      <c r="J243" s="29" t="str">
        <f t="shared" si="18"/>
        <v/>
      </c>
      <c r="K243" s="29" t="str">
        <f t="shared" si="19"/>
        <v/>
      </c>
      <c r="M243" s="11"/>
    </row>
    <row r="244" spans="1:13" ht="15" x14ac:dyDescent="0.25">
      <c r="A244" s="1" t="str">
        <f>IF('1.1 Produksi Bersih Padi 2025'!A244="","",'1.1 Produksi Bersih Padi 2025'!A244)</f>
        <v/>
      </c>
      <c r="B244" s="31" t="str">
        <f>IF('1.1 Produksi Bersih Padi 2025'!B244="","",'1.1 Produksi Bersih Padi 2025'!B244)</f>
        <v/>
      </c>
      <c r="C244" s="31" t="str">
        <f>IF('1.1 Produksi Bersih Padi 2025'!C244="","",'1.1 Produksi Bersih Padi 2025'!C244)</f>
        <v/>
      </c>
      <c r="D244" s="1" t="str">
        <f>IF('1.1 Produksi Bersih Padi 2025'!D244="","",'1.1 Produksi Bersih Padi 2025'!D244)</f>
        <v/>
      </c>
      <c r="E244" s="1" t="str">
        <f>IF('1.1 Produksi Bersih Padi 2025'!E244="","",'1.1 Produksi Bersih Padi 2025'!E244)</f>
        <v/>
      </c>
      <c r="F244" s="28" t="str">
        <f>IF(D244="","",VLOOKUP(D244,'[1]0.1 Produksi Pangan &amp; Penduduk'!$D$5:$AQ$860,40,0))</f>
        <v/>
      </c>
      <c r="G244" s="29" t="str">
        <f t="shared" si="15"/>
        <v/>
      </c>
      <c r="H244" s="29" t="str">
        <f t="shared" si="16"/>
        <v/>
      </c>
      <c r="I244" s="29" t="str">
        <f t="shared" si="17"/>
        <v/>
      </c>
      <c r="J244" s="29" t="str">
        <f t="shared" si="18"/>
        <v/>
      </c>
      <c r="K244" s="29" t="str">
        <f t="shared" si="19"/>
        <v/>
      </c>
      <c r="M244" s="11"/>
    </row>
    <row r="245" spans="1:13" ht="15" x14ac:dyDescent="0.25">
      <c r="A245" s="1" t="str">
        <f>IF('1.1 Produksi Bersih Padi 2025'!A245="","",'1.1 Produksi Bersih Padi 2025'!A245)</f>
        <v/>
      </c>
      <c r="B245" s="31" t="str">
        <f>IF('1.1 Produksi Bersih Padi 2025'!B245="","",'1.1 Produksi Bersih Padi 2025'!B245)</f>
        <v/>
      </c>
      <c r="C245" s="31" t="str">
        <f>IF('1.1 Produksi Bersih Padi 2025'!C245="","",'1.1 Produksi Bersih Padi 2025'!C245)</f>
        <v/>
      </c>
      <c r="D245" s="1" t="str">
        <f>IF('1.1 Produksi Bersih Padi 2025'!D245="","",'1.1 Produksi Bersih Padi 2025'!D245)</f>
        <v/>
      </c>
      <c r="E245" s="1" t="str">
        <f>IF('1.1 Produksi Bersih Padi 2025'!E245="","",'1.1 Produksi Bersih Padi 2025'!E245)</f>
        <v/>
      </c>
      <c r="F245" s="28" t="str">
        <f>IF(D245="","",VLOOKUP(D245,'[1]0.1 Produksi Pangan &amp; Penduduk'!$D$5:$AQ$860,40,0))</f>
        <v/>
      </c>
      <c r="G245" s="29" t="str">
        <f t="shared" si="15"/>
        <v/>
      </c>
      <c r="H245" s="29" t="str">
        <f t="shared" si="16"/>
        <v/>
      </c>
      <c r="I245" s="29" t="str">
        <f t="shared" si="17"/>
        <v/>
      </c>
      <c r="J245" s="29" t="str">
        <f t="shared" si="18"/>
        <v/>
      </c>
      <c r="K245" s="29" t="str">
        <f t="shared" si="19"/>
        <v/>
      </c>
      <c r="M245" s="11"/>
    </row>
    <row r="246" spans="1:13" ht="15" x14ac:dyDescent="0.25">
      <c r="A246" s="1" t="str">
        <f>IF('1.1 Produksi Bersih Padi 2025'!A246="","",'1.1 Produksi Bersih Padi 2025'!A246)</f>
        <v/>
      </c>
      <c r="B246" s="31" t="str">
        <f>IF('1.1 Produksi Bersih Padi 2025'!B246="","",'1.1 Produksi Bersih Padi 2025'!B246)</f>
        <v/>
      </c>
      <c r="C246" s="31" t="str">
        <f>IF('1.1 Produksi Bersih Padi 2025'!C246="","",'1.1 Produksi Bersih Padi 2025'!C246)</f>
        <v/>
      </c>
      <c r="D246" s="1" t="str">
        <f>IF('1.1 Produksi Bersih Padi 2025'!D246="","",'1.1 Produksi Bersih Padi 2025'!D246)</f>
        <v/>
      </c>
      <c r="E246" s="1" t="str">
        <f>IF('1.1 Produksi Bersih Padi 2025'!E246="","",'1.1 Produksi Bersih Padi 2025'!E246)</f>
        <v/>
      </c>
      <c r="F246" s="28" t="str">
        <f>IF(D246="","",VLOOKUP(D246,'[1]0.1 Produksi Pangan &amp; Penduduk'!$D$5:$AQ$860,40,0))</f>
        <v/>
      </c>
      <c r="G246" s="29" t="str">
        <f t="shared" si="15"/>
        <v/>
      </c>
      <c r="H246" s="29" t="str">
        <f t="shared" si="16"/>
        <v/>
      </c>
      <c r="I246" s="29" t="str">
        <f t="shared" si="17"/>
        <v/>
      </c>
      <c r="J246" s="29" t="str">
        <f t="shared" si="18"/>
        <v/>
      </c>
      <c r="K246" s="29" t="str">
        <f t="shared" si="19"/>
        <v/>
      </c>
      <c r="M246" s="11"/>
    </row>
    <row r="247" spans="1:13" ht="15" x14ac:dyDescent="0.25">
      <c r="A247" s="1" t="str">
        <f>IF('1.1 Produksi Bersih Padi 2025'!A247="","",'1.1 Produksi Bersih Padi 2025'!A247)</f>
        <v/>
      </c>
      <c r="B247" s="31" t="str">
        <f>IF('1.1 Produksi Bersih Padi 2025'!B247="","",'1.1 Produksi Bersih Padi 2025'!B247)</f>
        <v/>
      </c>
      <c r="C247" s="31" t="str">
        <f>IF('1.1 Produksi Bersih Padi 2025'!C247="","",'1.1 Produksi Bersih Padi 2025'!C247)</f>
        <v/>
      </c>
      <c r="D247" s="1" t="str">
        <f>IF('1.1 Produksi Bersih Padi 2025'!D247="","",'1.1 Produksi Bersih Padi 2025'!D247)</f>
        <v/>
      </c>
      <c r="E247" s="1" t="str">
        <f>IF('1.1 Produksi Bersih Padi 2025'!E247="","",'1.1 Produksi Bersih Padi 2025'!E247)</f>
        <v/>
      </c>
      <c r="F247" s="28" t="str">
        <f>IF(D247="","",VLOOKUP(D247,'[1]0.1 Produksi Pangan &amp; Penduduk'!$D$5:$AQ$860,40,0))</f>
        <v/>
      </c>
      <c r="G247" s="29" t="str">
        <f t="shared" si="15"/>
        <v/>
      </c>
      <c r="H247" s="29" t="str">
        <f t="shared" si="16"/>
        <v/>
      </c>
      <c r="I247" s="29" t="str">
        <f t="shared" si="17"/>
        <v/>
      </c>
      <c r="J247" s="29" t="str">
        <f t="shared" si="18"/>
        <v/>
      </c>
      <c r="K247" s="29" t="str">
        <f t="shared" si="19"/>
        <v/>
      </c>
      <c r="M247" s="11"/>
    </row>
    <row r="248" spans="1:13" ht="15" x14ac:dyDescent="0.25">
      <c r="A248" s="1" t="str">
        <f>IF('1.1 Produksi Bersih Padi 2025'!A248="","",'1.1 Produksi Bersih Padi 2025'!A248)</f>
        <v/>
      </c>
      <c r="B248" s="31" t="str">
        <f>IF('1.1 Produksi Bersih Padi 2025'!B248="","",'1.1 Produksi Bersih Padi 2025'!B248)</f>
        <v/>
      </c>
      <c r="C248" s="31" t="str">
        <f>IF('1.1 Produksi Bersih Padi 2025'!C248="","",'1.1 Produksi Bersih Padi 2025'!C248)</f>
        <v/>
      </c>
      <c r="D248" s="1" t="str">
        <f>IF('1.1 Produksi Bersih Padi 2025'!D248="","",'1.1 Produksi Bersih Padi 2025'!D248)</f>
        <v/>
      </c>
      <c r="E248" s="1" t="str">
        <f>IF('1.1 Produksi Bersih Padi 2025'!E248="","",'1.1 Produksi Bersih Padi 2025'!E248)</f>
        <v/>
      </c>
      <c r="F248" s="28" t="str">
        <f>IF(D248="","",VLOOKUP(D248,'[1]0.1 Produksi Pangan &amp; Penduduk'!$D$5:$AQ$860,40,0))</f>
        <v/>
      </c>
      <c r="G248" s="29" t="str">
        <f t="shared" si="15"/>
        <v/>
      </c>
      <c r="H248" s="29" t="str">
        <f t="shared" si="16"/>
        <v/>
      </c>
      <c r="I248" s="29" t="str">
        <f t="shared" si="17"/>
        <v/>
      </c>
      <c r="J248" s="29" t="str">
        <f t="shared" si="18"/>
        <v/>
      </c>
      <c r="K248" s="29" t="str">
        <f t="shared" si="19"/>
        <v/>
      </c>
      <c r="M248" s="11"/>
    </row>
    <row r="249" spans="1:13" ht="15" x14ac:dyDescent="0.25">
      <c r="A249" s="1" t="str">
        <f>IF('1.1 Produksi Bersih Padi 2025'!A249="","",'1.1 Produksi Bersih Padi 2025'!A249)</f>
        <v/>
      </c>
      <c r="B249" s="31" t="str">
        <f>IF('1.1 Produksi Bersih Padi 2025'!B249="","",'1.1 Produksi Bersih Padi 2025'!B249)</f>
        <v/>
      </c>
      <c r="C249" s="31" t="str">
        <f>IF('1.1 Produksi Bersih Padi 2025'!C249="","",'1.1 Produksi Bersih Padi 2025'!C249)</f>
        <v/>
      </c>
      <c r="D249" s="1" t="str">
        <f>IF('1.1 Produksi Bersih Padi 2025'!D249="","",'1.1 Produksi Bersih Padi 2025'!D249)</f>
        <v/>
      </c>
      <c r="E249" s="1" t="str">
        <f>IF('1.1 Produksi Bersih Padi 2025'!E249="","",'1.1 Produksi Bersih Padi 2025'!E249)</f>
        <v/>
      </c>
      <c r="F249" s="28" t="str">
        <f>IF(D249="","",VLOOKUP(D249,'[1]0.1 Produksi Pangan &amp; Penduduk'!$D$5:$AQ$860,40,0))</f>
        <v/>
      </c>
      <c r="G249" s="29" t="str">
        <f t="shared" si="15"/>
        <v/>
      </c>
      <c r="H249" s="29" t="str">
        <f t="shared" si="16"/>
        <v/>
      </c>
      <c r="I249" s="29" t="str">
        <f t="shared" si="17"/>
        <v/>
      </c>
      <c r="J249" s="29" t="str">
        <f t="shared" si="18"/>
        <v/>
      </c>
      <c r="K249" s="29" t="str">
        <f t="shared" si="19"/>
        <v/>
      </c>
      <c r="M249" s="11"/>
    </row>
    <row r="250" spans="1:13" ht="15" x14ac:dyDescent="0.25">
      <c r="A250" s="1" t="str">
        <f>IF('1.1 Produksi Bersih Padi 2025'!A250="","",'1.1 Produksi Bersih Padi 2025'!A250)</f>
        <v/>
      </c>
      <c r="B250" s="31" t="str">
        <f>IF('1.1 Produksi Bersih Padi 2025'!B250="","",'1.1 Produksi Bersih Padi 2025'!B250)</f>
        <v/>
      </c>
      <c r="C250" s="31" t="str">
        <f>IF('1.1 Produksi Bersih Padi 2025'!C250="","",'1.1 Produksi Bersih Padi 2025'!C250)</f>
        <v/>
      </c>
      <c r="D250" s="1" t="str">
        <f>IF('1.1 Produksi Bersih Padi 2025'!D250="","",'1.1 Produksi Bersih Padi 2025'!D250)</f>
        <v/>
      </c>
      <c r="E250" s="1" t="str">
        <f>IF('1.1 Produksi Bersih Padi 2025'!E250="","",'1.1 Produksi Bersih Padi 2025'!E250)</f>
        <v/>
      </c>
      <c r="F250" s="28" t="str">
        <f>IF(D250="","",VLOOKUP(D250,'[1]0.1 Produksi Pangan &amp; Penduduk'!$D$5:$AQ$860,40,0))</f>
        <v/>
      </c>
      <c r="G250" s="29" t="str">
        <f t="shared" si="15"/>
        <v/>
      </c>
      <c r="H250" s="29" t="str">
        <f t="shared" si="16"/>
        <v/>
      </c>
      <c r="I250" s="29" t="str">
        <f t="shared" si="17"/>
        <v/>
      </c>
      <c r="J250" s="29" t="str">
        <f t="shared" si="18"/>
        <v/>
      </c>
      <c r="K250" s="29" t="str">
        <f t="shared" si="19"/>
        <v/>
      </c>
      <c r="M250" s="11"/>
    </row>
    <row r="251" spans="1:13" ht="15" x14ac:dyDescent="0.25">
      <c r="A251" s="1" t="str">
        <f>IF('1.1 Produksi Bersih Padi 2025'!A251="","",'1.1 Produksi Bersih Padi 2025'!A251)</f>
        <v/>
      </c>
      <c r="B251" s="31" t="str">
        <f>IF('1.1 Produksi Bersih Padi 2025'!B251="","",'1.1 Produksi Bersih Padi 2025'!B251)</f>
        <v/>
      </c>
      <c r="C251" s="31" t="str">
        <f>IF('1.1 Produksi Bersih Padi 2025'!C251="","",'1.1 Produksi Bersih Padi 2025'!C251)</f>
        <v/>
      </c>
      <c r="D251" s="1" t="str">
        <f>IF('1.1 Produksi Bersih Padi 2025'!D251="","",'1.1 Produksi Bersih Padi 2025'!D251)</f>
        <v/>
      </c>
      <c r="E251" s="1" t="str">
        <f>IF('1.1 Produksi Bersih Padi 2025'!E251="","",'1.1 Produksi Bersih Padi 2025'!E251)</f>
        <v/>
      </c>
      <c r="F251" s="28" t="str">
        <f>IF(D251="","",VLOOKUP(D251,'[1]0.1 Produksi Pangan &amp; Penduduk'!$D$5:$AQ$860,40,0))</f>
        <v/>
      </c>
      <c r="G251" s="29" t="str">
        <f t="shared" si="15"/>
        <v/>
      </c>
      <c r="H251" s="29" t="str">
        <f t="shared" si="16"/>
        <v/>
      </c>
      <c r="I251" s="29" t="str">
        <f t="shared" si="17"/>
        <v/>
      </c>
      <c r="J251" s="29" t="str">
        <f t="shared" si="18"/>
        <v/>
      </c>
      <c r="K251" s="29" t="str">
        <f t="shared" si="19"/>
        <v/>
      </c>
      <c r="M251" s="11"/>
    </row>
    <row r="252" spans="1:13" ht="15" x14ac:dyDescent="0.25">
      <c r="A252" s="1" t="str">
        <f>IF('1.1 Produksi Bersih Padi 2025'!A252="","",'1.1 Produksi Bersih Padi 2025'!A252)</f>
        <v/>
      </c>
      <c r="B252" s="31" t="str">
        <f>IF('1.1 Produksi Bersih Padi 2025'!B252="","",'1.1 Produksi Bersih Padi 2025'!B252)</f>
        <v/>
      </c>
      <c r="C252" s="31" t="str">
        <f>IF('1.1 Produksi Bersih Padi 2025'!C252="","",'1.1 Produksi Bersih Padi 2025'!C252)</f>
        <v/>
      </c>
      <c r="D252" s="1" t="str">
        <f>IF('1.1 Produksi Bersih Padi 2025'!D252="","",'1.1 Produksi Bersih Padi 2025'!D252)</f>
        <v/>
      </c>
      <c r="E252" s="1" t="str">
        <f>IF('1.1 Produksi Bersih Padi 2025'!E252="","",'1.1 Produksi Bersih Padi 2025'!E252)</f>
        <v/>
      </c>
      <c r="F252" s="28" t="str">
        <f>IF(D252="","",VLOOKUP(D252,'[1]0.1 Produksi Pangan &amp; Penduduk'!$D$5:$AQ$860,40,0))</f>
        <v/>
      </c>
      <c r="G252" s="29" t="str">
        <f t="shared" si="15"/>
        <v/>
      </c>
      <c r="H252" s="29" t="str">
        <f t="shared" si="16"/>
        <v/>
      </c>
      <c r="I252" s="29" t="str">
        <f t="shared" si="17"/>
        <v/>
      </c>
      <c r="J252" s="29" t="str">
        <f t="shared" si="18"/>
        <v/>
      </c>
      <c r="K252" s="29" t="str">
        <f t="shared" si="19"/>
        <v/>
      </c>
      <c r="M252" s="11"/>
    </row>
    <row r="253" spans="1:13" ht="15" x14ac:dyDescent="0.25">
      <c r="A253" s="1" t="str">
        <f>IF('1.1 Produksi Bersih Padi 2025'!A253="","",'1.1 Produksi Bersih Padi 2025'!A253)</f>
        <v/>
      </c>
      <c r="B253" s="31" t="str">
        <f>IF('1.1 Produksi Bersih Padi 2025'!B253="","",'1.1 Produksi Bersih Padi 2025'!B253)</f>
        <v/>
      </c>
      <c r="C253" s="31" t="str">
        <f>IF('1.1 Produksi Bersih Padi 2025'!C253="","",'1.1 Produksi Bersih Padi 2025'!C253)</f>
        <v/>
      </c>
      <c r="D253" s="1" t="str">
        <f>IF('1.1 Produksi Bersih Padi 2025'!D253="","",'1.1 Produksi Bersih Padi 2025'!D253)</f>
        <v/>
      </c>
      <c r="E253" s="1" t="str">
        <f>IF('1.1 Produksi Bersih Padi 2025'!E253="","",'1.1 Produksi Bersih Padi 2025'!E253)</f>
        <v/>
      </c>
      <c r="F253" s="28" t="str">
        <f>IF(D253="","",VLOOKUP(D253,'[1]0.1 Produksi Pangan &amp; Penduduk'!$D$5:$AQ$860,40,0))</f>
        <v/>
      </c>
      <c r="G253" s="29" t="str">
        <f t="shared" si="15"/>
        <v/>
      </c>
      <c r="H253" s="29" t="str">
        <f t="shared" si="16"/>
        <v/>
      </c>
      <c r="I253" s="29" t="str">
        <f t="shared" si="17"/>
        <v/>
      </c>
      <c r="J253" s="29" t="str">
        <f t="shared" si="18"/>
        <v/>
      </c>
      <c r="K253" s="29" t="str">
        <f t="shared" si="19"/>
        <v/>
      </c>
      <c r="M253" s="11"/>
    </row>
    <row r="254" spans="1:13" ht="15" x14ac:dyDescent="0.25">
      <c r="A254" s="1" t="str">
        <f>IF('1.1 Produksi Bersih Padi 2025'!A254="","",'1.1 Produksi Bersih Padi 2025'!A254)</f>
        <v/>
      </c>
      <c r="B254" s="31" t="str">
        <f>IF('1.1 Produksi Bersih Padi 2025'!B254="","",'1.1 Produksi Bersih Padi 2025'!B254)</f>
        <v/>
      </c>
      <c r="C254" s="31" t="str">
        <f>IF('1.1 Produksi Bersih Padi 2025'!C254="","",'1.1 Produksi Bersih Padi 2025'!C254)</f>
        <v/>
      </c>
      <c r="D254" s="1" t="str">
        <f>IF('1.1 Produksi Bersih Padi 2025'!D254="","",'1.1 Produksi Bersih Padi 2025'!D254)</f>
        <v/>
      </c>
      <c r="E254" s="1" t="str">
        <f>IF('1.1 Produksi Bersih Padi 2025'!E254="","",'1.1 Produksi Bersih Padi 2025'!E254)</f>
        <v/>
      </c>
      <c r="F254" s="28" t="str">
        <f>IF(D254="","",VLOOKUP(D254,'[1]0.1 Produksi Pangan &amp; Penduduk'!$D$5:$AQ$860,40,0))</f>
        <v/>
      </c>
      <c r="G254" s="29" t="str">
        <f t="shared" si="15"/>
        <v/>
      </c>
      <c r="H254" s="29" t="str">
        <f t="shared" si="16"/>
        <v/>
      </c>
      <c r="I254" s="29" t="str">
        <f t="shared" si="17"/>
        <v/>
      </c>
      <c r="J254" s="29" t="str">
        <f t="shared" si="18"/>
        <v/>
      </c>
      <c r="K254" s="29" t="str">
        <f t="shared" si="19"/>
        <v/>
      </c>
      <c r="M254" s="11"/>
    </row>
    <row r="255" spans="1:13" ht="15" x14ac:dyDescent="0.25">
      <c r="A255" s="1" t="str">
        <f>IF('1.1 Produksi Bersih Padi 2025'!A255="","",'1.1 Produksi Bersih Padi 2025'!A255)</f>
        <v/>
      </c>
      <c r="B255" s="31" t="str">
        <f>IF('1.1 Produksi Bersih Padi 2025'!B255="","",'1.1 Produksi Bersih Padi 2025'!B255)</f>
        <v/>
      </c>
      <c r="C255" s="31" t="str">
        <f>IF('1.1 Produksi Bersih Padi 2025'!C255="","",'1.1 Produksi Bersih Padi 2025'!C255)</f>
        <v/>
      </c>
      <c r="D255" s="1" t="str">
        <f>IF('1.1 Produksi Bersih Padi 2025'!D255="","",'1.1 Produksi Bersih Padi 2025'!D255)</f>
        <v/>
      </c>
      <c r="E255" s="1" t="str">
        <f>IF('1.1 Produksi Bersih Padi 2025'!E255="","",'1.1 Produksi Bersih Padi 2025'!E255)</f>
        <v/>
      </c>
      <c r="F255" s="28" t="str">
        <f>IF(D255="","",VLOOKUP(D255,'[1]0.1 Produksi Pangan &amp; Penduduk'!$D$5:$AQ$860,40,0))</f>
        <v/>
      </c>
      <c r="G255" s="29" t="str">
        <f t="shared" si="15"/>
        <v/>
      </c>
      <c r="H255" s="29" t="str">
        <f t="shared" si="16"/>
        <v/>
      </c>
      <c r="I255" s="29" t="str">
        <f t="shared" si="17"/>
        <v/>
      </c>
      <c r="J255" s="29" t="str">
        <f t="shared" si="18"/>
        <v/>
      </c>
      <c r="K255" s="29" t="str">
        <f t="shared" si="19"/>
        <v/>
      </c>
      <c r="M255" s="11"/>
    </row>
    <row r="256" spans="1:13" ht="15" x14ac:dyDescent="0.25">
      <c r="A256" s="1" t="str">
        <f>IF('1.1 Produksi Bersih Padi 2025'!A256="","",'1.1 Produksi Bersih Padi 2025'!A256)</f>
        <v/>
      </c>
      <c r="B256" s="31" t="str">
        <f>IF('1.1 Produksi Bersih Padi 2025'!B256="","",'1.1 Produksi Bersih Padi 2025'!B256)</f>
        <v/>
      </c>
      <c r="C256" s="31" t="str">
        <f>IF('1.1 Produksi Bersih Padi 2025'!C256="","",'1.1 Produksi Bersih Padi 2025'!C256)</f>
        <v/>
      </c>
      <c r="D256" s="1" t="str">
        <f>IF('1.1 Produksi Bersih Padi 2025'!D256="","",'1.1 Produksi Bersih Padi 2025'!D256)</f>
        <v/>
      </c>
      <c r="E256" s="1" t="str">
        <f>IF('1.1 Produksi Bersih Padi 2025'!E256="","",'1.1 Produksi Bersih Padi 2025'!E256)</f>
        <v/>
      </c>
      <c r="F256" s="28" t="str">
        <f>IF(D256="","",VLOOKUP(D256,'[1]0.1 Produksi Pangan &amp; Penduduk'!$D$5:$AQ$860,40,0))</f>
        <v/>
      </c>
      <c r="G256" s="29" t="str">
        <f t="shared" si="15"/>
        <v/>
      </c>
      <c r="H256" s="29" t="str">
        <f t="shared" si="16"/>
        <v/>
      </c>
      <c r="I256" s="29" t="str">
        <f t="shared" si="17"/>
        <v/>
      </c>
      <c r="J256" s="29" t="str">
        <f t="shared" si="18"/>
        <v/>
      </c>
      <c r="K256" s="29" t="str">
        <f t="shared" si="19"/>
        <v/>
      </c>
      <c r="M256" s="11"/>
    </row>
    <row r="257" spans="1:13" ht="15" x14ac:dyDescent="0.25">
      <c r="A257" s="1" t="str">
        <f>IF('1.1 Produksi Bersih Padi 2025'!A257="","",'1.1 Produksi Bersih Padi 2025'!A257)</f>
        <v/>
      </c>
      <c r="B257" s="31" t="str">
        <f>IF('1.1 Produksi Bersih Padi 2025'!B257="","",'1.1 Produksi Bersih Padi 2025'!B257)</f>
        <v/>
      </c>
      <c r="C257" s="31" t="str">
        <f>IF('1.1 Produksi Bersih Padi 2025'!C257="","",'1.1 Produksi Bersih Padi 2025'!C257)</f>
        <v/>
      </c>
      <c r="D257" s="1" t="str">
        <f>IF('1.1 Produksi Bersih Padi 2025'!D257="","",'1.1 Produksi Bersih Padi 2025'!D257)</f>
        <v/>
      </c>
      <c r="E257" s="1" t="str">
        <f>IF('1.1 Produksi Bersih Padi 2025'!E257="","",'1.1 Produksi Bersih Padi 2025'!E257)</f>
        <v/>
      </c>
      <c r="F257" s="28" t="str">
        <f>IF(D257="","",VLOOKUP(D257,'[1]0.1 Produksi Pangan &amp; Penduduk'!$D$5:$AQ$860,40,0))</f>
        <v/>
      </c>
      <c r="G257" s="29" t="str">
        <f t="shared" si="15"/>
        <v/>
      </c>
      <c r="H257" s="29" t="str">
        <f t="shared" si="16"/>
        <v/>
      </c>
      <c r="I257" s="29" t="str">
        <f t="shared" si="17"/>
        <v/>
      </c>
      <c r="J257" s="29" t="str">
        <f t="shared" si="18"/>
        <v/>
      </c>
      <c r="K257" s="29" t="str">
        <f t="shared" si="19"/>
        <v/>
      </c>
      <c r="M257" s="11"/>
    </row>
    <row r="258" spans="1:13" ht="15" x14ac:dyDescent="0.25">
      <c r="A258" s="1" t="str">
        <f>IF('1.1 Produksi Bersih Padi 2025'!A258="","",'1.1 Produksi Bersih Padi 2025'!A258)</f>
        <v/>
      </c>
      <c r="B258" s="31" t="str">
        <f>IF('1.1 Produksi Bersih Padi 2025'!B258="","",'1.1 Produksi Bersih Padi 2025'!B258)</f>
        <v/>
      </c>
      <c r="C258" s="31" t="str">
        <f>IF('1.1 Produksi Bersih Padi 2025'!C258="","",'1.1 Produksi Bersih Padi 2025'!C258)</f>
        <v/>
      </c>
      <c r="D258" s="1" t="str">
        <f>IF('1.1 Produksi Bersih Padi 2025'!D258="","",'1.1 Produksi Bersih Padi 2025'!D258)</f>
        <v/>
      </c>
      <c r="E258" s="1" t="str">
        <f>IF('1.1 Produksi Bersih Padi 2025'!E258="","",'1.1 Produksi Bersih Padi 2025'!E258)</f>
        <v/>
      </c>
      <c r="F258" s="28" t="str">
        <f>IF(D258="","",VLOOKUP(D258,'[1]0.1 Produksi Pangan &amp; Penduduk'!$D$5:$AQ$860,40,0))</f>
        <v/>
      </c>
      <c r="G258" s="29" t="str">
        <f t="shared" si="15"/>
        <v/>
      </c>
      <c r="H258" s="29" t="str">
        <f t="shared" si="16"/>
        <v/>
      </c>
      <c r="I258" s="29" t="str">
        <f t="shared" si="17"/>
        <v/>
      </c>
      <c r="J258" s="29" t="str">
        <f t="shared" si="18"/>
        <v/>
      </c>
      <c r="K258" s="29" t="str">
        <f t="shared" si="19"/>
        <v/>
      </c>
      <c r="M258" s="11"/>
    </row>
    <row r="259" spans="1:13" ht="15" x14ac:dyDescent="0.25">
      <c r="A259" s="1" t="str">
        <f>IF('1.1 Produksi Bersih Padi 2025'!A259="","",'1.1 Produksi Bersih Padi 2025'!A259)</f>
        <v/>
      </c>
      <c r="B259" s="31" t="str">
        <f>IF('1.1 Produksi Bersih Padi 2025'!B259="","",'1.1 Produksi Bersih Padi 2025'!B259)</f>
        <v/>
      </c>
      <c r="C259" s="31" t="str">
        <f>IF('1.1 Produksi Bersih Padi 2025'!C259="","",'1.1 Produksi Bersih Padi 2025'!C259)</f>
        <v/>
      </c>
      <c r="D259" s="1" t="str">
        <f>IF('1.1 Produksi Bersih Padi 2025'!D259="","",'1.1 Produksi Bersih Padi 2025'!D259)</f>
        <v/>
      </c>
      <c r="E259" s="1" t="str">
        <f>IF('1.1 Produksi Bersih Padi 2025'!E259="","",'1.1 Produksi Bersih Padi 2025'!E259)</f>
        <v/>
      </c>
      <c r="F259" s="28" t="str">
        <f>IF(D259="","",VLOOKUP(D259,'[1]0.1 Produksi Pangan &amp; Penduduk'!$D$5:$AQ$860,40,0))</f>
        <v/>
      </c>
      <c r="G259" s="29" t="str">
        <f t="shared" si="15"/>
        <v/>
      </c>
      <c r="H259" s="29" t="str">
        <f t="shared" si="16"/>
        <v/>
      </c>
      <c r="I259" s="29" t="str">
        <f t="shared" si="17"/>
        <v/>
      </c>
      <c r="J259" s="29" t="str">
        <f t="shared" si="18"/>
        <v/>
      </c>
      <c r="K259" s="29" t="str">
        <f t="shared" si="19"/>
        <v/>
      </c>
      <c r="M259" s="11"/>
    </row>
    <row r="260" spans="1:13" ht="15" x14ac:dyDescent="0.25">
      <c r="A260" s="1" t="str">
        <f>IF('1.1 Produksi Bersih Padi 2025'!A260="","",'1.1 Produksi Bersih Padi 2025'!A260)</f>
        <v/>
      </c>
      <c r="B260" s="31" t="str">
        <f>IF('1.1 Produksi Bersih Padi 2025'!B260="","",'1.1 Produksi Bersih Padi 2025'!B260)</f>
        <v/>
      </c>
      <c r="C260" s="31" t="str">
        <f>IF('1.1 Produksi Bersih Padi 2025'!C260="","",'1.1 Produksi Bersih Padi 2025'!C260)</f>
        <v/>
      </c>
      <c r="D260" s="1" t="str">
        <f>IF('1.1 Produksi Bersih Padi 2025'!D260="","",'1.1 Produksi Bersih Padi 2025'!D260)</f>
        <v/>
      </c>
      <c r="E260" s="1" t="str">
        <f>IF('1.1 Produksi Bersih Padi 2025'!E260="","",'1.1 Produksi Bersih Padi 2025'!E260)</f>
        <v/>
      </c>
      <c r="F260" s="28" t="str">
        <f>IF(D260="","",VLOOKUP(D260,'[1]0.1 Produksi Pangan &amp; Penduduk'!$D$5:$AQ$860,40,0))</f>
        <v/>
      </c>
      <c r="G260" s="29" t="str">
        <f t="shared" si="15"/>
        <v/>
      </c>
      <c r="H260" s="29" t="str">
        <f t="shared" si="16"/>
        <v/>
      </c>
      <c r="I260" s="29" t="str">
        <f t="shared" si="17"/>
        <v/>
      </c>
      <c r="J260" s="29" t="str">
        <f t="shared" si="18"/>
        <v/>
      </c>
      <c r="K260" s="29" t="str">
        <f t="shared" si="19"/>
        <v/>
      </c>
      <c r="M260" s="11"/>
    </row>
    <row r="261" spans="1:13" ht="15" x14ac:dyDescent="0.25">
      <c r="A261" s="1" t="str">
        <f>IF('1.1 Produksi Bersih Padi 2025'!A261="","",'1.1 Produksi Bersih Padi 2025'!A261)</f>
        <v/>
      </c>
      <c r="B261" s="31" t="str">
        <f>IF('1.1 Produksi Bersih Padi 2025'!B261="","",'1.1 Produksi Bersih Padi 2025'!B261)</f>
        <v/>
      </c>
      <c r="C261" s="31" t="str">
        <f>IF('1.1 Produksi Bersih Padi 2025'!C261="","",'1.1 Produksi Bersih Padi 2025'!C261)</f>
        <v/>
      </c>
      <c r="D261" s="1" t="str">
        <f>IF('1.1 Produksi Bersih Padi 2025'!D261="","",'1.1 Produksi Bersih Padi 2025'!D261)</f>
        <v/>
      </c>
      <c r="E261" s="1" t="str">
        <f>IF('1.1 Produksi Bersih Padi 2025'!E261="","",'1.1 Produksi Bersih Padi 2025'!E261)</f>
        <v/>
      </c>
      <c r="F261" s="28" t="str">
        <f>IF(D261="","",VLOOKUP(D261,'[1]0.1 Produksi Pangan &amp; Penduduk'!$D$5:$AQ$860,40,0))</f>
        <v/>
      </c>
      <c r="G261" s="29" t="str">
        <f t="shared" si="15"/>
        <v/>
      </c>
      <c r="H261" s="29" t="str">
        <f t="shared" si="16"/>
        <v/>
      </c>
      <c r="I261" s="29" t="str">
        <f t="shared" si="17"/>
        <v/>
      </c>
      <c r="J261" s="29" t="str">
        <f t="shared" si="18"/>
        <v/>
      </c>
      <c r="K261" s="29" t="str">
        <f t="shared" si="19"/>
        <v/>
      </c>
      <c r="M261" s="11"/>
    </row>
    <row r="262" spans="1:13" ht="15" x14ac:dyDescent="0.25">
      <c r="A262" s="1" t="str">
        <f>IF('1.1 Produksi Bersih Padi 2025'!A262="","",'1.1 Produksi Bersih Padi 2025'!A262)</f>
        <v/>
      </c>
      <c r="B262" s="31" t="str">
        <f>IF('1.1 Produksi Bersih Padi 2025'!B262="","",'1.1 Produksi Bersih Padi 2025'!B262)</f>
        <v/>
      </c>
      <c r="C262" s="31" t="str">
        <f>IF('1.1 Produksi Bersih Padi 2025'!C262="","",'1.1 Produksi Bersih Padi 2025'!C262)</f>
        <v/>
      </c>
      <c r="D262" s="1" t="str">
        <f>IF('1.1 Produksi Bersih Padi 2025'!D262="","",'1.1 Produksi Bersih Padi 2025'!D262)</f>
        <v/>
      </c>
      <c r="E262" s="1" t="str">
        <f>IF('1.1 Produksi Bersih Padi 2025'!E262="","",'1.1 Produksi Bersih Padi 2025'!E262)</f>
        <v/>
      </c>
      <c r="F262" s="28" t="str">
        <f>IF(D262="","",VLOOKUP(D262,'[1]0.1 Produksi Pangan &amp; Penduduk'!$D$5:$AQ$860,40,0))</f>
        <v/>
      </c>
      <c r="G262" s="29" t="str">
        <f t="shared" ref="G262:G325" si="20">IF(F262="","",F262*0%)</f>
        <v/>
      </c>
      <c r="H262" s="29" t="str">
        <f t="shared" ref="H262:H325" si="21">IF(F262="","",F262*0%)</f>
        <v/>
      </c>
      <c r="I262" s="29" t="str">
        <f t="shared" ref="I262:I325" si="22">IF(F262="","",F262*1.11%)</f>
        <v/>
      </c>
      <c r="J262" s="29" t="str">
        <f t="shared" ref="J262:J325" si="23">IF(F262="","",F262-(G262+H262+I262))</f>
        <v/>
      </c>
      <c r="K262" s="29" t="str">
        <f t="shared" ref="K262:K325" si="24">IF(J262="","",J262*0.134)</f>
        <v/>
      </c>
      <c r="M262" s="11"/>
    </row>
    <row r="263" spans="1:13" ht="15" x14ac:dyDescent="0.25">
      <c r="A263" s="1" t="str">
        <f>IF('1.1 Produksi Bersih Padi 2025'!A263="","",'1.1 Produksi Bersih Padi 2025'!A263)</f>
        <v/>
      </c>
      <c r="B263" s="31" t="str">
        <f>IF('1.1 Produksi Bersih Padi 2025'!B263="","",'1.1 Produksi Bersih Padi 2025'!B263)</f>
        <v/>
      </c>
      <c r="C263" s="31" t="str">
        <f>IF('1.1 Produksi Bersih Padi 2025'!C263="","",'1.1 Produksi Bersih Padi 2025'!C263)</f>
        <v/>
      </c>
      <c r="D263" s="1" t="str">
        <f>IF('1.1 Produksi Bersih Padi 2025'!D263="","",'1.1 Produksi Bersih Padi 2025'!D263)</f>
        <v/>
      </c>
      <c r="E263" s="1" t="str">
        <f>IF('1.1 Produksi Bersih Padi 2025'!E263="","",'1.1 Produksi Bersih Padi 2025'!E263)</f>
        <v/>
      </c>
      <c r="F263" s="28" t="str">
        <f>IF(D263="","",VLOOKUP(D263,'[1]0.1 Produksi Pangan &amp; Penduduk'!$D$5:$AQ$860,40,0))</f>
        <v/>
      </c>
      <c r="G263" s="29" t="str">
        <f t="shared" si="20"/>
        <v/>
      </c>
      <c r="H263" s="29" t="str">
        <f t="shared" si="21"/>
        <v/>
      </c>
      <c r="I263" s="29" t="str">
        <f t="shared" si="22"/>
        <v/>
      </c>
      <c r="J263" s="29" t="str">
        <f t="shared" si="23"/>
        <v/>
      </c>
      <c r="K263" s="29" t="str">
        <f t="shared" si="24"/>
        <v/>
      </c>
      <c r="M263" s="11"/>
    </row>
    <row r="264" spans="1:13" ht="15" x14ac:dyDescent="0.25">
      <c r="A264" s="1" t="str">
        <f>IF('1.1 Produksi Bersih Padi 2025'!A264="","",'1.1 Produksi Bersih Padi 2025'!A264)</f>
        <v/>
      </c>
      <c r="B264" s="31" t="str">
        <f>IF('1.1 Produksi Bersih Padi 2025'!B264="","",'1.1 Produksi Bersih Padi 2025'!B264)</f>
        <v/>
      </c>
      <c r="C264" s="31" t="str">
        <f>IF('1.1 Produksi Bersih Padi 2025'!C264="","",'1.1 Produksi Bersih Padi 2025'!C264)</f>
        <v/>
      </c>
      <c r="D264" s="1" t="str">
        <f>IF('1.1 Produksi Bersih Padi 2025'!D264="","",'1.1 Produksi Bersih Padi 2025'!D264)</f>
        <v/>
      </c>
      <c r="E264" s="1" t="str">
        <f>IF('1.1 Produksi Bersih Padi 2025'!E264="","",'1.1 Produksi Bersih Padi 2025'!E264)</f>
        <v/>
      </c>
      <c r="F264" s="28" t="str">
        <f>IF(D264="","",VLOOKUP(D264,'[1]0.1 Produksi Pangan &amp; Penduduk'!$D$5:$AQ$860,40,0))</f>
        <v/>
      </c>
      <c r="G264" s="29" t="str">
        <f t="shared" si="20"/>
        <v/>
      </c>
      <c r="H264" s="29" t="str">
        <f t="shared" si="21"/>
        <v/>
      </c>
      <c r="I264" s="29" t="str">
        <f t="shared" si="22"/>
        <v/>
      </c>
      <c r="J264" s="29" t="str">
        <f t="shared" si="23"/>
        <v/>
      </c>
      <c r="K264" s="29" t="str">
        <f t="shared" si="24"/>
        <v/>
      </c>
      <c r="M264" s="11"/>
    </row>
    <row r="265" spans="1:13" ht="15" x14ac:dyDescent="0.25">
      <c r="A265" s="1" t="str">
        <f>IF('1.1 Produksi Bersih Padi 2025'!A265="","",'1.1 Produksi Bersih Padi 2025'!A265)</f>
        <v/>
      </c>
      <c r="B265" s="31" t="str">
        <f>IF('1.1 Produksi Bersih Padi 2025'!B265="","",'1.1 Produksi Bersih Padi 2025'!B265)</f>
        <v/>
      </c>
      <c r="C265" s="31" t="str">
        <f>IF('1.1 Produksi Bersih Padi 2025'!C265="","",'1.1 Produksi Bersih Padi 2025'!C265)</f>
        <v/>
      </c>
      <c r="D265" s="1" t="str">
        <f>IF('1.1 Produksi Bersih Padi 2025'!D265="","",'1.1 Produksi Bersih Padi 2025'!D265)</f>
        <v/>
      </c>
      <c r="E265" s="1" t="str">
        <f>IF('1.1 Produksi Bersih Padi 2025'!E265="","",'1.1 Produksi Bersih Padi 2025'!E265)</f>
        <v/>
      </c>
      <c r="F265" s="28" t="str">
        <f>IF(D265="","",VLOOKUP(D265,'[1]0.1 Produksi Pangan &amp; Penduduk'!$D$5:$AQ$860,40,0))</f>
        <v/>
      </c>
      <c r="G265" s="29" t="str">
        <f t="shared" si="20"/>
        <v/>
      </c>
      <c r="H265" s="29" t="str">
        <f t="shared" si="21"/>
        <v/>
      </c>
      <c r="I265" s="29" t="str">
        <f t="shared" si="22"/>
        <v/>
      </c>
      <c r="J265" s="29" t="str">
        <f t="shared" si="23"/>
        <v/>
      </c>
      <c r="K265" s="29" t="str">
        <f t="shared" si="24"/>
        <v/>
      </c>
      <c r="M265" s="11"/>
    </row>
    <row r="266" spans="1:13" ht="15" x14ac:dyDescent="0.25">
      <c r="A266" s="1" t="str">
        <f>IF('1.1 Produksi Bersih Padi 2025'!A266="","",'1.1 Produksi Bersih Padi 2025'!A266)</f>
        <v/>
      </c>
      <c r="B266" s="31" t="str">
        <f>IF('1.1 Produksi Bersih Padi 2025'!B266="","",'1.1 Produksi Bersih Padi 2025'!B266)</f>
        <v/>
      </c>
      <c r="C266" s="31" t="str">
        <f>IF('1.1 Produksi Bersih Padi 2025'!C266="","",'1.1 Produksi Bersih Padi 2025'!C266)</f>
        <v/>
      </c>
      <c r="D266" s="1" t="str">
        <f>IF('1.1 Produksi Bersih Padi 2025'!D266="","",'1.1 Produksi Bersih Padi 2025'!D266)</f>
        <v/>
      </c>
      <c r="E266" s="1" t="str">
        <f>IF('1.1 Produksi Bersih Padi 2025'!E266="","",'1.1 Produksi Bersih Padi 2025'!E266)</f>
        <v/>
      </c>
      <c r="F266" s="28" t="str">
        <f>IF(D266="","",VLOOKUP(D266,'[1]0.1 Produksi Pangan &amp; Penduduk'!$D$5:$AQ$860,40,0))</f>
        <v/>
      </c>
      <c r="G266" s="29" t="str">
        <f t="shared" si="20"/>
        <v/>
      </c>
      <c r="H266" s="29" t="str">
        <f t="shared" si="21"/>
        <v/>
      </c>
      <c r="I266" s="29" t="str">
        <f t="shared" si="22"/>
        <v/>
      </c>
      <c r="J266" s="29" t="str">
        <f t="shared" si="23"/>
        <v/>
      </c>
      <c r="K266" s="29" t="str">
        <f t="shared" si="24"/>
        <v/>
      </c>
      <c r="M266" s="11"/>
    </row>
    <row r="267" spans="1:13" ht="15" x14ac:dyDescent="0.25">
      <c r="A267" s="1" t="str">
        <f>IF('1.1 Produksi Bersih Padi 2025'!A267="","",'1.1 Produksi Bersih Padi 2025'!A267)</f>
        <v/>
      </c>
      <c r="B267" s="31" t="str">
        <f>IF('1.1 Produksi Bersih Padi 2025'!B267="","",'1.1 Produksi Bersih Padi 2025'!B267)</f>
        <v/>
      </c>
      <c r="C267" s="31" t="str">
        <f>IF('1.1 Produksi Bersih Padi 2025'!C267="","",'1.1 Produksi Bersih Padi 2025'!C267)</f>
        <v/>
      </c>
      <c r="D267" s="1" t="str">
        <f>IF('1.1 Produksi Bersih Padi 2025'!D267="","",'1.1 Produksi Bersih Padi 2025'!D267)</f>
        <v/>
      </c>
      <c r="E267" s="1" t="str">
        <f>IF('1.1 Produksi Bersih Padi 2025'!E267="","",'1.1 Produksi Bersih Padi 2025'!E267)</f>
        <v/>
      </c>
      <c r="F267" s="28" t="str">
        <f>IF(D267="","",VLOOKUP(D267,'[1]0.1 Produksi Pangan &amp; Penduduk'!$D$5:$AQ$860,40,0))</f>
        <v/>
      </c>
      <c r="G267" s="29" t="str">
        <f t="shared" si="20"/>
        <v/>
      </c>
      <c r="H267" s="29" t="str">
        <f t="shared" si="21"/>
        <v/>
      </c>
      <c r="I267" s="29" t="str">
        <f t="shared" si="22"/>
        <v/>
      </c>
      <c r="J267" s="29" t="str">
        <f t="shared" si="23"/>
        <v/>
      </c>
      <c r="K267" s="29" t="str">
        <f t="shared" si="24"/>
        <v/>
      </c>
      <c r="M267" s="11"/>
    </row>
    <row r="268" spans="1:13" ht="15" x14ac:dyDescent="0.25">
      <c r="A268" s="1" t="str">
        <f>IF('1.1 Produksi Bersih Padi 2025'!A268="","",'1.1 Produksi Bersih Padi 2025'!A268)</f>
        <v/>
      </c>
      <c r="B268" s="31" t="str">
        <f>IF('1.1 Produksi Bersih Padi 2025'!B268="","",'1.1 Produksi Bersih Padi 2025'!B268)</f>
        <v/>
      </c>
      <c r="C268" s="31" t="str">
        <f>IF('1.1 Produksi Bersih Padi 2025'!C268="","",'1.1 Produksi Bersih Padi 2025'!C268)</f>
        <v/>
      </c>
      <c r="D268" s="1" t="str">
        <f>IF('1.1 Produksi Bersih Padi 2025'!D268="","",'1.1 Produksi Bersih Padi 2025'!D268)</f>
        <v/>
      </c>
      <c r="E268" s="1" t="str">
        <f>IF('1.1 Produksi Bersih Padi 2025'!E268="","",'1.1 Produksi Bersih Padi 2025'!E268)</f>
        <v/>
      </c>
      <c r="F268" s="28" t="str">
        <f>IF(D268="","",VLOOKUP(D268,'[1]0.1 Produksi Pangan &amp; Penduduk'!$D$5:$AQ$860,40,0))</f>
        <v/>
      </c>
      <c r="G268" s="29" t="str">
        <f t="shared" si="20"/>
        <v/>
      </c>
      <c r="H268" s="29" t="str">
        <f t="shared" si="21"/>
        <v/>
      </c>
      <c r="I268" s="29" t="str">
        <f t="shared" si="22"/>
        <v/>
      </c>
      <c r="J268" s="29" t="str">
        <f t="shared" si="23"/>
        <v/>
      </c>
      <c r="K268" s="29" t="str">
        <f t="shared" si="24"/>
        <v/>
      </c>
      <c r="M268" s="11"/>
    </row>
    <row r="269" spans="1:13" ht="15" x14ac:dyDescent="0.25">
      <c r="A269" s="1" t="str">
        <f>IF('1.1 Produksi Bersih Padi 2025'!A269="","",'1.1 Produksi Bersih Padi 2025'!A269)</f>
        <v/>
      </c>
      <c r="B269" s="31" t="str">
        <f>IF('1.1 Produksi Bersih Padi 2025'!B269="","",'1.1 Produksi Bersih Padi 2025'!B269)</f>
        <v/>
      </c>
      <c r="C269" s="31" t="str">
        <f>IF('1.1 Produksi Bersih Padi 2025'!C269="","",'1.1 Produksi Bersih Padi 2025'!C269)</f>
        <v/>
      </c>
      <c r="D269" s="1" t="str">
        <f>IF('1.1 Produksi Bersih Padi 2025'!D269="","",'1.1 Produksi Bersih Padi 2025'!D269)</f>
        <v/>
      </c>
      <c r="E269" s="1" t="str">
        <f>IF('1.1 Produksi Bersih Padi 2025'!E269="","",'1.1 Produksi Bersih Padi 2025'!E269)</f>
        <v/>
      </c>
      <c r="F269" s="28" t="str">
        <f>IF(D269="","",VLOOKUP(D269,'[1]0.1 Produksi Pangan &amp; Penduduk'!$D$5:$AQ$860,40,0))</f>
        <v/>
      </c>
      <c r="G269" s="29" t="str">
        <f t="shared" si="20"/>
        <v/>
      </c>
      <c r="H269" s="29" t="str">
        <f t="shared" si="21"/>
        <v/>
      </c>
      <c r="I269" s="29" t="str">
        <f t="shared" si="22"/>
        <v/>
      </c>
      <c r="J269" s="29" t="str">
        <f t="shared" si="23"/>
        <v/>
      </c>
      <c r="K269" s="29" t="str">
        <f t="shared" si="24"/>
        <v/>
      </c>
      <c r="M269" s="11"/>
    </row>
    <row r="270" spans="1:13" ht="15" x14ac:dyDescent="0.25">
      <c r="A270" s="1" t="str">
        <f>IF('1.1 Produksi Bersih Padi 2025'!A270="","",'1.1 Produksi Bersih Padi 2025'!A270)</f>
        <v/>
      </c>
      <c r="B270" s="31" t="str">
        <f>IF('1.1 Produksi Bersih Padi 2025'!B270="","",'1.1 Produksi Bersih Padi 2025'!B270)</f>
        <v/>
      </c>
      <c r="C270" s="31" t="str">
        <f>IF('1.1 Produksi Bersih Padi 2025'!C270="","",'1.1 Produksi Bersih Padi 2025'!C270)</f>
        <v/>
      </c>
      <c r="D270" s="1" t="str">
        <f>IF('1.1 Produksi Bersih Padi 2025'!D270="","",'1.1 Produksi Bersih Padi 2025'!D270)</f>
        <v/>
      </c>
      <c r="E270" s="1" t="str">
        <f>IF('1.1 Produksi Bersih Padi 2025'!E270="","",'1.1 Produksi Bersih Padi 2025'!E270)</f>
        <v/>
      </c>
      <c r="F270" s="28" t="str">
        <f>IF(D270="","",VLOOKUP(D270,'[1]0.1 Produksi Pangan &amp; Penduduk'!$D$5:$AQ$860,40,0))</f>
        <v/>
      </c>
      <c r="G270" s="29" t="str">
        <f t="shared" si="20"/>
        <v/>
      </c>
      <c r="H270" s="29" t="str">
        <f t="shared" si="21"/>
        <v/>
      </c>
      <c r="I270" s="29" t="str">
        <f t="shared" si="22"/>
        <v/>
      </c>
      <c r="J270" s="29" t="str">
        <f t="shared" si="23"/>
        <v/>
      </c>
      <c r="K270" s="29" t="str">
        <f t="shared" si="24"/>
        <v/>
      </c>
      <c r="M270" s="11"/>
    </row>
    <row r="271" spans="1:13" ht="15" x14ac:dyDescent="0.25">
      <c r="A271" s="1" t="str">
        <f>IF('1.1 Produksi Bersih Padi 2025'!A271="","",'1.1 Produksi Bersih Padi 2025'!A271)</f>
        <v/>
      </c>
      <c r="B271" s="31" t="str">
        <f>IF('1.1 Produksi Bersih Padi 2025'!B271="","",'1.1 Produksi Bersih Padi 2025'!B271)</f>
        <v/>
      </c>
      <c r="C271" s="31" t="str">
        <f>IF('1.1 Produksi Bersih Padi 2025'!C271="","",'1.1 Produksi Bersih Padi 2025'!C271)</f>
        <v/>
      </c>
      <c r="D271" s="1" t="str">
        <f>IF('1.1 Produksi Bersih Padi 2025'!D271="","",'1.1 Produksi Bersih Padi 2025'!D271)</f>
        <v/>
      </c>
      <c r="E271" s="1" t="str">
        <f>IF('1.1 Produksi Bersih Padi 2025'!E271="","",'1.1 Produksi Bersih Padi 2025'!E271)</f>
        <v/>
      </c>
      <c r="F271" s="28" t="str">
        <f>IF(D271="","",VLOOKUP(D271,'[1]0.1 Produksi Pangan &amp; Penduduk'!$D$5:$AQ$860,40,0))</f>
        <v/>
      </c>
      <c r="G271" s="29" t="str">
        <f t="shared" si="20"/>
        <v/>
      </c>
      <c r="H271" s="29" t="str">
        <f t="shared" si="21"/>
        <v/>
      </c>
      <c r="I271" s="29" t="str">
        <f t="shared" si="22"/>
        <v/>
      </c>
      <c r="J271" s="29" t="str">
        <f t="shared" si="23"/>
        <v/>
      </c>
      <c r="K271" s="29" t="str">
        <f t="shared" si="24"/>
        <v/>
      </c>
      <c r="M271" s="11"/>
    </row>
    <row r="272" spans="1:13" ht="15" x14ac:dyDescent="0.25">
      <c r="A272" s="1" t="str">
        <f>IF('1.1 Produksi Bersih Padi 2025'!A272="","",'1.1 Produksi Bersih Padi 2025'!A272)</f>
        <v/>
      </c>
      <c r="B272" s="31" t="str">
        <f>IF('1.1 Produksi Bersih Padi 2025'!B272="","",'1.1 Produksi Bersih Padi 2025'!B272)</f>
        <v/>
      </c>
      <c r="C272" s="31" t="str">
        <f>IF('1.1 Produksi Bersih Padi 2025'!C272="","",'1.1 Produksi Bersih Padi 2025'!C272)</f>
        <v/>
      </c>
      <c r="D272" s="1" t="str">
        <f>IF('1.1 Produksi Bersih Padi 2025'!D272="","",'1.1 Produksi Bersih Padi 2025'!D272)</f>
        <v/>
      </c>
      <c r="E272" s="1" t="str">
        <f>IF('1.1 Produksi Bersih Padi 2025'!E272="","",'1.1 Produksi Bersih Padi 2025'!E272)</f>
        <v/>
      </c>
      <c r="F272" s="28" t="str">
        <f>IF(D272="","",VLOOKUP(D272,'[1]0.1 Produksi Pangan &amp; Penduduk'!$D$5:$AQ$860,40,0))</f>
        <v/>
      </c>
      <c r="G272" s="29" t="str">
        <f t="shared" si="20"/>
        <v/>
      </c>
      <c r="H272" s="29" t="str">
        <f t="shared" si="21"/>
        <v/>
      </c>
      <c r="I272" s="29" t="str">
        <f t="shared" si="22"/>
        <v/>
      </c>
      <c r="J272" s="29" t="str">
        <f t="shared" si="23"/>
        <v/>
      </c>
      <c r="K272" s="29" t="str">
        <f t="shared" si="24"/>
        <v/>
      </c>
      <c r="M272" s="11"/>
    </row>
    <row r="273" spans="1:13" ht="15" x14ac:dyDescent="0.25">
      <c r="A273" s="1" t="str">
        <f>IF('1.1 Produksi Bersih Padi 2025'!A273="","",'1.1 Produksi Bersih Padi 2025'!A273)</f>
        <v/>
      </c>
      <c r="B273" s="31" t="str">
        <f>IF('1.1 Produksi Bersih Padi 2025'!B273="","",'1.1 Produksi Bersih Padi 2025'!B273)</f>
        <v/>
      </c>
      <c r="C273" s="31" t="str">
        <f>IF('1.1 Produksi Bersih Padi 2025'!C273="","",'1.1 Produksi Bersih Padi 2025'!C273)</f>
        <v/>
      </c>
      <c r="D273" s="1" t="str">
        <f>IF('1.1 Produksi Bersih Padi 2025'!D273="","",'1.1 Produksi Bersih Padi 2025'!D273)</f>
        <v/>
      </c>
      <c r="E273" s="1" t="str">
        <f>IF('1.1 Produksi Bersih Padi 2025'!E273="","",'1.1 Produksi Bersih Padi 2025'!E273)</f>
        <v/>
      </c>
      <c r="F273" s="28" t="str">
        <f>IF(D273="","",VLOOKUP(D273,'[1]0.1 Produksi Pangan &amp; Penduduk'!$D$5:$AQ$860,40,0))</f>
        <v/>
      </c>
      <c r="G273" s="29" t="str">
        <f t="shared" si="20"/>
        <v/>
      </c>
      <c r="H273" s="29" t="str">
        <f t="shared" si="21"/>
        <v/>
      </c>
      <c r="I273" s="29" t="str">
        <f t="shared" si="22"/>
        <v/>
      </c>
      <c r="J273" s="29" t="str">
        <f t="shared" si="23"/>
        <v/>
      </c>
      <c r="K273" s="29" t="str">
        <f t="shared" si="24"/>
        <v/>
      </c>
      <c r="M273" s="11"/>
    </row>
    <row r="274" spans="1:13" ht="15" x14ac:dyDescent="0.25">
      <c r="A274" s="1" t="str">
        <f>IF('1.1 Produksi Bersih Padi 2025'!A274="","",'1.1 Produksi Bersih Padi 2025'!A274)</f>
        <v/>
      </c>
      <c r="B274" s="31" t="str">
        <f>IF('1.1 Produksi Bersih Padi 2025'!B274="","",'1.1 Produksi Bersih Padi 2025'!B274)</f>
        <v/>
      </c>
      <c r="C274" s="31" t="str">
        <f>IF('1.1 Produksi Bersih Padi 2025'!C274="","",'1.1 Produksi Bersih Padi 2025'!C274)</f>
        <v/>
      </c>
      <c r="D274" s="1" t="str">
        <f>IF('1.1 Produksi Bersih Padi 2025'!D274="","",'1.1 Produksi Bersih Padi 2025'!D274)</f>
        <v/>
      </c>
      <c r="E274" s="1" t="str">
        <f>IF('1.1 Produksi Bersih Padi 2025'!E274="","",'1.1 Produksi Bersih Padi 2025'!E274)</f>
        <v/>
      </c>
      <c r="F274" s="28" t="str">
        <f>IF(D274="","",VLOOKUP(D274,'[1]0.1 Produksi Pangan &amp; Penduduk'!$D$5:$AQ$860,40,0))</f>
        <v/>
      </c>
      <c r="G274" s="29" t="str">
        <f t="shared" si="20"/>
        <v/>
      </c>
      <c r="H274" s="29" t="str">
        <f t="shared" si="21"/>
        <v/>
      </c>
      <c r="I274" s="29" t="str">
        <f t="shared" si="22"/>
        <v/>
      </c>
      <c r="J274" s="29" t="str">
        <f t="shared" si="23"/>
        <v/>
      </c>
      <c r="K274" s="29" t="str">
        <f t="shared" si="24"/>
        <v/>
      </c>
      <c r="M274" s="11"/>
    </row>
    <row r="275" spans="1:13" ht="15" x14ac:dyDescent="0.25">
      <c r="A275" s="1" t="str">
        <f>IF('1.1 Produksi Bersih Padi 2025'!A275="","",'1.1 Produksi Bersih Padi 2025'!A275)</f>
        <v/>
      </c>
      <c r="B275" s="31" t="str">
        <f>IF('1.1 Produksi Bersih Padi 2025'!B275="","",'1.1 Produksi Bersih Padi 2025'!B275)</f>
        <v/>
      </c>
      <c r="C275" s="31" t="str">
        <f>IF('1.1 Produksi Bersih Padi 2025'!C275="","",'1.1 Produksi Bersih Padi 2025'!C275)</f>
        <v/>
      </c>
      <c r="D275" s="1" t="str">
        <f>IF('1.1 Produksi Bersih Padi 2025'!D275="","",'1.1 Produksi Bersih Padi 2025'!D275)</f>
        <v/>
      </c>
      <c r="E275" s="1" t="str">
        <f>IF('1.1 Produksi Bersih Padi 2025'!E275="","",'1.1 Produksi Bersih Padi 2025'!E275)</f>
        <v/>
      </c>
      <c r="F275" s="28" t="str">
        <f>IF(D275="","",VLOOKUP(D275,'[1]0.1 Produksi Pangan &amp; Penduduk'!$D$5:$AQ$860,40,0))</f>
        <v/>
      </c>
      <c r="G275" s="29" t="str">
        <f t="shared" si="20"/>
        <v/>
      </c>
      <c r="H275" s="29" t="str">
        <f t="shared" si="21"/>
        <v/>
      </c>
      <c r="I275" s="29" t="str">
        <f t="shared" si="22"/>
        <v/>
      </c>
      <c r="J275" s="29" t="str">
        <f t="shared" si="23"/>
        <v/>
      </c>
      <c r="K275" s="29" t="str">
        <f t="shared" si="24"/>
        <v/>
      </c>
      <c r="M275" s="11"/>
    </row>
    <row r="276" spans="1:13" ht="15" x14ac:dyDescent="0.25">
      <c r="A276" s="1" t="str">
        <f>IF('1.1 Produksi Bersih Padi 2025'!A276="","",'1.1 Produksi Bersih Padi 2025'!A276)</f>
        <v/>
      </c>
      <c r="B276" s="31" t="str">
        <f>IF('1.1 Produksi Bersih Padi 2025'!B276="","",'1.1 Produksi Bersih Padi 2025'!B276)</f>
        <v/>
      </c>
      <c r="C276" s="31" t="str">
        <f>IF('1.1 Produksi Bersih Padi 2025'!C276="","",'1.1 Produksi Bersih Padi 2025'!C276)</f>
        <v/>
      </c>
      <c r="D276" s="1" t="str">
        <f>IF('1.1 Produksi Bersih Padi 2025'!D276="","",'1.1 Produksi Bersih Padi 2025'!D276)</f>
        <v/>
      </c>
      <c r="E276" s="1" t="str">
        <f>IF('1.1 Produksi Bersih Padi 2025'!E276="","",'1.1 Produksi Bersih Padi 2025'!E276)</f>
        <v/>
      </c>
      <c r="F276" s="28" t="str">
        <f>IF(D276="","",VLOOKUP(D276,'[1]0.1 Produksi Pangan &amp; Penduduk'!$D$5:$AQ$860,40,0))</f>
        <v/>
      </c>
      <c r="G276" s="29" t="str">
        <f t="shared" si="20"/>
        <v/>
      </c>
      <c r="H276" s="29" t="str">
        <f t="shared" si="21"/>
        <v/>
      </c>
      <c r="I276" s="29" t="str">
        <f t="shared" si="22"/>
        <v/>
      </c>
      <c r="J276" s="29" t="str">
        <f t="shared" si="23"/>
        <v/>
      </c>
      <c r="K276" s="29" t="str">
        <f t="shared" si="24"/>
        <v/>
      </c>
      <c r="M276" s="11"/>
    </row>
    <row r="277" spans="1:13" ht="15" x14ac:dyDescent="0.25">
      <c r="A277" s="1" t="str">
        <f>IF('1.1 Produksi Bersih Padi 2025'!A277="","",'1.1 Produksi Bersih Padi 2025'!A277)</f>
        <v/>
      </c>
      <c r="B277" s="31" t="str">
        <f>IF('1.1 Produksi Bersih Padi 2025'!B277="","",'1.1 Produksi Bersih Padi 2025'!B277)</f>
        <v/>
      </c>
      <c r="C277" s="31" t="str">
        <f>IF('1.1 Produksi Bersih Padi 2025'!C277="","",'1.1 Produksi Bersih Padi 2025'!C277)</f>
        <v/>
      </c>
      <c r="D277" s="1" t="str">
        <f>IF('1.1 Produksi Bersih Padi 2025'!D277="","",'1.1 Produksi Bersih Padi 2025'!D277)</f>
        <v/>
      </c>
      <c r="E277" s="1" t="str">
        <f>IF('1.1 Produksi Bersih Padi 2025'!E277="","",'1.1 Produksi Bersih Padi 2025'!E277)</f>
        <v/>
      </c>
      <c r="F277" s="28" t="str">
        <f>IF(D277="","",VLOOKUP(D277,'[1]0.1 Produksi Pangan &amp; Penduduk'!$D$5:$AQ$860,40,0))</f>
        <v/>
      </c>
      <c r="G277" s="29" t="str">
        <f t="shared" si="20"/>
        <v/>
      </c>
      <c r="H277" s="29" t="str">
        <f t="shared" si="21"/>
        <v/>
      </c>
      <c r="I277" s="29" t="str">
        <f t="shared" si="22"/>
        <v/>
      </c>
      <c r="J277" s="29" t="str">
        <f t="shared" si="23"/>
        <v/>
      </c>
      <c r="K277" s="29" t="str">
        <f t="shared" si="24"/>
        <v/>
      </c>
      <c r="M277" s="11"/>
    </row>
    <row r="278" spans="1:13" ht="15" x14ac:dyDescent="0.25">
      <c r="A278" s="1" t="str">
        <f>IF('1.1 Produksi Bersih Padi 2025'!A278="","",'1.1 Produksi Bersih Padi 2025'!A278)</f>
        <v/>
      </c>
      <c r="B278" s="31" t="str">
        <f>IF('1.1 Produksi Bersih Padi 2025'!B278="","",'1.1 Produksi Bersih Padi 2025'!B278)</f>
        <v/>
      </c>
      <c r="C278" s="31" t="str">
        <f>IF('1.1 Produksi Bersih Padi 2025'!C278="","",'1.1 Produksi Bersih Padi 2025'!C278)</f>
        <v/>
      </c>
      <c r="D278" s="1" t="str">
        <f>IF('1.1 Produksi Bersih Padi 2025'!D278="","",'1.1 Produksi Bersih Padi 2025'!D278)</f>
        <v/>
      </c>
      <c r="E278" s="1" t="str">
        <f>IF('1.1 Produksi Bersih Padi 2025'!E278="","",'1.1 Produksi Bersih Padi 2025'!E278)</f>
        <v/>
      </c>
      <c r="F278" s="28" t="str">
        <f>IF(D278="","",VLOOKUP(D278,'[1]0.1 Produksi Pangan &amp; Penduduk'!$D$5:$AQ$860,40,0))</f>
        <v/>
      </c>
      <c r="G278" s="29" t="str">
        <f t="shared" si="20"/>
        <v/>
      </c>
      <c r="H278" s="29" t="str">
        <f t="shared" si="21"/>
        <v/>
      </c>
      <c r="I278" s="29" t="str">
        <f t="shared" si="22"/>
        <v/>
      </c>
      <c r="J278" s="29" t="str">
        <f t="shared" si="23"/>
        <v/>
      </c>
      <c r="K278" s="29" t="str">
        <f t="shared" si="24"/>
        <v/>
      </c>
      <c r="M278" s="11"/>
    </row>
    <row r="279" spans="1:13" ht="15" x14ac:dyDescent="0.25">
      <c r="A279" s="1" t="str">
        <f>IF('1.1 Produksi Bersih Padi 2025'!A279="","",'1.1 Produksi Bersih Padi 2025'!A279)</f>
        <v/>
      </c>
      <c r="B279" s="31" t="str">
        <f>IF('1.1 Produksi Bersih Padi 2025'!B279="","",'1.1 Produksi Bersih Padi 2025'!B279)</f>
        <v/>
      </c>
      <c r="C279" s="31" t="str">
        <f>IF('1.1 Produksi Bersih Padi 2025'!C279="","",'1.1 Produksi Bersih Padi 2025'!C279)</f>
        <v/>
      </c>
      <c r="D279" s="1" t="str">
        <f>IF('1.1 Produksi Bersih Padi 2025'!D279="","",'1.1 Produksi Bersih Padi 2025'!D279)</f>
        <v/>
      </c>
      <c r="E279" s="1" t="str">
        <f>IF('1.1 Produksi Bersih Padi 2025'!E279="","",'1.1 Produksi Bersih Padi 2025'!E279)</f>
        <v/>
      </c>
      <c r="F279" s="28" t="str">
        <f>IF(D279="","",VLOOKUP(D279,'[1]0.1 Produksi Pangan &amp; Penduduk'!$D$5:$AQ$860,40,0))</f>
        <v/>
      </c>
      <c r="G279" s="29" t="str">
        <f t="shared" si="20"/>
        <v/>
      </c>
      <c r="H279" s="29" t="str">
        <f t="shared" si="21"/>
        <v/>
      </c>
      <c r="I279" s="29" t="str">
        <f t="shared" si="22"/>
        <v/>
      </c>
      <c r="J279" s="29" t="str">
        <f t="shared" si="23"/>
        <v/>
      </c>
      <c r="K279" s="29" t="str">
        <f t="shared" si="24"/>
        <v/>
      </c>
      <c r="M279" s="11"/>
    </row>
    <row r="280" spans="1:13" ht="15" x14ac:dyDescent="0.25">
      <c r="A280" s="1" t="str">
        <f>IF('1.1 Produksi Bersih Padi 2025'!A280="","",'1.1 Produksi Bersih Padi 2025'!A280)</f>
        <v/>
      </c>
      <c r="B280" s="31" t="str">
        <f>IF('1.1 Produksi Bersih Padi 2025'!B280="","",'1.1 Produksi Bersih Padi 2025'!B280)</f>
        <v/>
      </c>
      <c r="C280" s="31" t="str">
        <f>IF('1.1 Produksi Bersih Padi 2025'!C280="","",'1.1 Produksi Bersih Padi 2025'!C280)</f>
        <v/>
      </c>
      <c r="D280" s="1" t="str">
        <f>IF('1.1 Produksi Bersih Padi 2025'!D280="","",'1.1 Produksi Bersih Padi 2025'!D280)</f>
        <v/>
      </c>
      <c r="E280" s="1" t="str">
        <f>IF('1.1 Produksi Bersih Padi 2025'!E280="","",'1.1 Produksi Bersih Padi 2025'!E280)</f>
        <v/>
      </c>
      <c r="F280" s="28" t="str">
        <f>IF(D280="","",VLOOKUP(D280,'[1]0.1 Produksi Pangan &amp; Penduduk'!$D$5:$AQ$860,40,0))</f>
        <v/>
      </c>
      <c r="G280" s="29" t="str">
        <f t="shared" si="20"/>
        <v/>
      </c>
      <c r="H280" s="29" t="str">
        <f t="shared" si="21"/>
        <v/>
      </c>
      <c r="I280" s="29" t="str">
        <f t="shared" si="22"/>
        <v/>
      </c>
      <c r="J280" s="29" t="str">
        <f t="shared" si="23"/>
        <v/>
      </c>
      <c r="K280" s="29" t="str">
        <f t="shared" si="24"/>
        <v/>
      </c>
      <c r="M280" s="11"/>
    </row>
    <row r="281" spans="1:13" ht="15" x14ac:dyDescent="0.25">
      <c r="A281" s="1" t="str">
        <f>IF('1.1 Produksi Bersih Padi 2025'!A281="","",'1.1 Produksi Bersih Padi 2025'!A281)</f>
        <v/>
      </c>
      <c r="B281" s="31" t="str">
        <f>IF('1.1 Produksi Bersih Padi 2025'!B281="","",'1.1 Produksi Bersih Padi 2025'!B281)</f>
        <v/>
      </c>
      <c r="C281" s="31" t="str">
        <f>IF('1.1 Produksi Bersih Padi 2025'!C281="","",'1.1 Produksi Bersih Padi 2025'!C281)</f>
        <v/>
      </c>
      <c r="D281" s="1" t="str">
        <f>IF('1.1 Produksi Bersih Padi 2025'!D281="","",'1.1 Produksi Bersih Padi 2025'!D281)</f>
        <v/>
      </c>
      <c r="E281" s="1" t="str">
        <f>IF('1.1 Produksi Bersih Padi 2025'!E281="","",'1.1 Produksi Bersih Padi 2025'!E281)</f>
        <v/>
      </c>
      <c r="F281" s="28" t="str">
        <f>IF(D281="","",VLOOKUP(D281,'[1]0.1 Produksi Pangan &amp; Penduduk'!$D$5:$AQ$860,40,0))</f>
        <v/>
      </c>
      <c r="G281" s="29" t="str">
        <f t="shared" si="20"/>
        <v/>
      </c>
      <c r="H281" s="29" t="str">
        <f t="shared" si="21"/>
        <v/>
      </c>
      <c r="I281" s="29" t="str">
        <f t="shared" si="22"/>
        <v/>
      </c>
      <c r="J281" s="29" t="str">
        <f t="shared" si="23"/>
        <v/>
      </c>
      <c r="K281" s="29" t="str">
        <f t="shared" si="24"/>
        <v/>
      </c>
      <c r="M281" s="11"/>
    </row>
    <row r="282" spans="1:13" ht="15" x14ac:dyDescent="0.25">
      <c r="A282" s="1" t="str">
        <f>IF('1.1 Produksi Bersih Padi 2025'!A282="","",'1.1 Produksi Bersih Padi 2025'!A282)</f>
        <v/>
      </c>
      <c r="B282" s="31" t="str">
        <f>IF('1.1 Produksi Bersih Padi 2025'!B282="","",'1.1 Produksi Bersih Padi 2025'!B282)</f>
        <v/>
      </c>
      <c r="C282" s="31" t="str">
        <f>IF('1.1 Produksi Bersih Padi 2025'!C282="","",'1.1 Produksi Bersih Padi 2025'!C282)</f>
        <v/>
      </c>
      <c r="D282" s="1" t="str">
        <f>IF('1.1 Produksi Bersih Padi 2025'!D282="","",'1.1 Produksi Bersih Padi 2025'!D282)</f>
        <v/>
      </c>
      <c r="E282" s="1" t="str">
        <f>IF('1.1 Produksi Bersih Padi 2025'!E282="","",'1.1 Produksi Bersih Padi 2025'!E282)</f>
        <v/>
      </c>
      <c r="F282" s="28" t="str">
        <f>IF(D282="","",VLOOKUP(D282,'[1]0.1 Produksi Pangan &amp; Penduduk'!$D$5:$AQ$860,40,0))</f>
        <v/>
      </c>
      <c r="G282" s="29" t="str">
        <f t="shared" si="20"/>
        <v/>
      </c>
      <c r="H282" s="29" t="str">
        <f t="shared" si="21"/>
        <v/>
      </c>
      <c r="I282" s="29" t="str">
        <f t="shared" si="22"/>
        <v/>
      </c>
      <c r="J282" s="29" t="str">
        <f t="shared" si="23"/>
        <v/>
      </c>
      <c r="K282" s="29" t="str">
        <f t="shared" si="24"/>
        <v/>
      </c>
      <c r="M282" s="11"/>
    </row>
    <row r="283" spans="1:13" ht="15" x14ac:dyDescent="0.25">
      <c r="A283" s="1" t="str">
        <f>IF('1.1 Produksi Bersih Padi 2025'!A283="","",'1.1 Produksi Bersih Padi 2025'!A283)</f>
        <v/>
      </c>
      <c r="B283" s="31" t="str">
        <f>IF('1.1 Produksi Bersih Padi 2025'!B283="","",'1.1 Produksi Bersih Padi 2025'!B283)</f>
        <v/>
      </c>
      <c r="C283" s="31" t="str">
        <f>IF('1.1 Produksi Bersih Padi 2025'!C283="","",'1.1 Produksi Bersih Padi 2025'!C283)</f>
        <v/>
      </c>
      <c r="D283" s="1" t="str">
        <f>IF('1.1 Produksi Bersih Padi 2025'!D283="","",'1.1 Produksi Bersih Padi 2025'!D283)</f>
        <v/>
      </c>
      <c r="E283" s="1" t="str">
        <f>IF('1.1 Produksi Bersih Padi 2025'!E283="","",'1.1 Produksi Bersih Padi 2025'!E283)</f>
        <v/>
      </c>
      <c r="F283" s="28" t="str">
        <f>IF(D283="","",VLOOKUP(D283,'[1]0.1 Produksi Pangan &amp; Penduduk'!$D$5:$AQ$860,40,0))</f>
        <v/>
      </c>
      <c r="G283" s="29" t="str">
        <f t="shared" si="20"/>
        <v/>
      </c>
      <c r="H283" s="29" t="str">
        <f t="shared" si="21"/>
        <v/>
      </c>
      <c r="I283" s="29" t="str">
        <f t="shared" si="22"/>
        <v/>
      </c>
      <c r="J283" s="29" t="str">
        <f t="shared" si="23"/>
        <v/>
      </c>
      <c r="K283" s="29" t="str">
        <f t="shared" si="24"/>
        <v/>
      </c>
      <c r="M283" s="11"/>
    </row>
    <row r="284" spans="1:13" ht="15" x14ac:dyDescent="0.25">
      <c r="A284" s="1" t="str">
        <f>IF('1.1 Produksi Bersih Padi 2025'!A284="","",'1.1 Produksi Bersih Padi 2025'!A284)</f>
        <v/>
      </c>
      <c r="B284" s="31" t="str">
        <f>IF('1.1 Produksi Bersih Padi 2025'!B284="","",'1.1 Produksi Bersih Padi 2025'!B284)</f>
        <v/>
      </c>
      <c r="C284" s="31" t="str">
        <f>IF('1.1 Produksi Bersih Padi 2025'!C284="","",'1.1 Produksi Bersih Padi 2025'!C284)</f>
        <v/>
      </c>
      <c r="D284" s="1" t="str">
        <f>IF('1.1 Produksi Bersih Padi 2025'!D284="","",'1.1 Produksi Bersih Padi 2025'!D284)</f>
        <v/>
      </c>
      <c r="E284" s="1" t="str">
        <f>IF('1.1 Produksi Bersih Padi 2025'!E284="","",'1.1 Produksi Bersih Padi 2025'!E284)</f>
        <v/>
      </c>
      <c r="F284" s="28" t="str">
        <f>IF(D284="","",VLOOKUP(D284,'[1]0.1 Produksi Pangan &amp; Penduduk'!$D$5:$AQ$860,40,0))</f>
        <v/>
      </c>
      <c r="G284" s="29" t="str">
        <f t="shared" si="20"/>
        <v/>
      </c>
      <c r="H284" s="29" t="str">
        <f t="shared" si="21"/>
        <v/>
      </c>
      <c r="I284" s="29" t="str">
        <f t="shared" si="22"/>
        <v/>
      </c>
      <c r="J284" s="29" t="str">
        <f t="shared" si="23"/>
        <v/>
      </c>
      <c r="K284" s="29" t="str">
        <f t="shared" si="24"/>
        <v/>
      </c>
      <c r="M284" s="11"/>
    </row>
    <row r="285" spans="1:13" ht="15" x14ac:dyDescent="0.25">
      <c r="A285" s="1" t="str">
        <f>IF('1.1 Produksi Bersih Padi 2025'!A285="","",'1.1 Produksi Bersih Padi 2025'!A285)</f>
        <v/>
      </c>
      <c r="B285" s="31" t="str">
        <f>IF('1.1 Produksi Bersih Padi 2025'!B285="","",'1.1 Produksi Bersih Padi 2025'!B285)</f>
        <v/>
      </c>
      <c r="C285" s="31" t="str">
        <f>IF('1.1 Produksi Bersih Padi 2025'!C285="","",'1.1 Produksi Bersih Padi 2025'!C285)</f>
        <v/>
      </c>
      <c r="D285" s="1" t="str">
        <f>IF('1.1 Produksi Bersih Padi 2025'!D285="","",'1.1 Produksi Bersih Padi 2025'!D285)</f>
        <v/>
      </c>
      <c r="E285" s="1" t="str">
        <f>IF('1.1 Produksi Bersih Padi 2025'!E285="","",'1.1 Produksi Bersih Padi 2025'!E285)</f>
        <v/>
      </c>
      <c r="F285" s="28" t="str">
        <f>IF(D285="","",VLOOKUP(D285,'[1]0.1 Produksi Pangan &amp; Penduduk'!$D$5:$AQ$860,40,0))</f>
        <v/>
      </c>
      <c r="G285" s="29" t="str">
        <f t="shared" si="20"/>
        <v/>
      </c>
      <c r="H285" s="29" t="str">
        <f t="shared" si="21"/>
        <v/>
      </c>
      <c r="I285" s="29" t="str">
        <f t="shared" si="22"/>
        <v/>
      </c>
      <c r="J285" s="29" t="str">
        <f t="shared" si="23"/>
        <v/>
      </c>
      <c r="K285" s="29" t="str">
        <f t="shared" si="24"/>
        <v/>
      </c>
      <c r="M285" s="11"/>
    </row>
    <row r="286" spans="1:13" ht="15" x14ac:dyDescent="0.25">
      <c r="A286" s="1" t="str">
        <f>IF('1.1 Produksi Bersih Padi 2025'!A286="","",'1.1 Produksi Bersih Padi 2025'!A286)</f>
        <v/>
      </c>
      <c r="B286" s="31" t="str">
        <f>IF('1.1 Produksi Bersih Padi 2025'!B286="","",'1.1 Produksi Bersih Padi 2025'!B286)</f>
        <v/>
      </c>
      <c r="C286" s="31" t="str">
        <f>IF('1.1 Produksi Bersih Padi 2025'!C286="","",'1.1 Produksi Bersih Padi 2025'!C286)</f>
        <v/>
      </c>
      <c r="D286" s="1" t="str">
        <f>IF('1.1 Produksi Bersih Padi 2025'!D286="","",'1.1 Produksi Bersih Padi 2025'!D286)</f>
        <v/>
      </c>
      <c r="E286" s="1" t="str">
        <f>IF('1.1 Produksi Bersih Padi 2025'!E286="","",'1.1 Produksi Bersih Padi 2025'!E286)</f>
        <v/>
      </c>
      <c r="F286" s="28" t="str">
        <f>IF(D286="","",VLOOKUP(D286,'[1]0.1 Produksi Pangan &amp; Penduduk'!$D$5:$AQ$860,40,0))</f>
        <v/>
      </c>
      <c r="G286" s="29" t="str">
        <f t="shared" si="20"/>
        <v/>
      </c>
      <c r="H286" s="29" t="str">
        <f t="shared" si="21"/>
        <v/>
      </c>
      <c r="I286" s="29" t="str">
        <f t="shared" si="22"/>
        <v/>
      </c>
      <c r="J286" s="29" t="str">
        <f t="shared" si="23"/>
        <v/>
      </c>
      <c r="K286" s="29" t="str">
        <f t="shared" si="24"/>
        <v/>
      </c>
      <c r="M286" s="11"/>
    </row>
    <row r="287" spans="1:13" ht="15" x14ac:dyDescent="0.25">
      <c r="A287" s="1" t="str">
        <f>IF('1.1 Produksi Bersih Padi 2025'!A287="","",'1.1 Produksi Bersih Padi 2025'!A287)</f>
        <v/>
      </c>
      <c r="B287" s="31" t="str">
        <f>IF('1.1 Produksi Bersih Padi 2025'!B287="","",'1.1 Produksi Bersih Padi 2025'!B287)</f>
        <v/>
      </c>
      <c r="C287" s="31" t="str">
        <f>IF('1.1 Produksi Bersih Padi 2025'!C287="","",'1.1 Produksi Bersih Padi 2025'!C287)</f>
        <v/>
      </c>
      <c r="D287" s="1" t="str">
        <f>IF('1.1 Produksi Bersih Padi 2025'!D287="","",'1.1 Produksi Bersih Padi 2025'!D287)</f>
        <v/>
      </c>
      <c r="E287" s="1" t="str">
        <f>IF('1.1 Produksi Bersih Padi 2025'!E287="","",'1.1 Produksi Bersih Padi 2025'!E287)</f>
        <v/>
      </c>
      <c r="F287" s="28" t="str">
        <f>IF(D287="","",VLOOKUP(D287,'[1]0.1 Produksi Pangan &amp; Penduduk'!$D$5:$AQ$860,40,0))</f>
        <v/>
      </c>
      <c r="G287" s="29" t="str">
        <f t="shared" si="20"/>
        <v/>
      </c>
      <c r="H287" s="29" t="str">
        <f t="shared" si="21"/>
        <v/>
      </c>
      <c r="I287" s="29" t="str">
        <f t="shared" si="22"/>
        <v/>
      </c>
      <c r="J287" s="29" t="str">
        <f t="shared" si="23"/>
        <v/>
      </c>
      <c r="K287" s="29" t="str">
        <f t="shared" si="24"/>
        <v/>
      </c>
      <c r="M287" s="11"/>
    </row>
    <row r="288" spans="1:13" ht="15" x14ac:dyDescent="0.25">
      <c r="A288" s="1" t="str">
        <f>IF('1.1 Produksi Bersih Padi 2025'!A288="","",'1.1 Produksi Bersih Padi 2025'!A288)</f>
        <v/>
      </c>
      <c r="B288" s="31" t="str">
        <f>IF('1.1 Produksi Bersih Padi 2025'!B288="","",'1.1 Produksi Bersih Padi 2025'!B288)</f>
        <v/>
      </c>
      <c r="C288" s="31" t="str">
        <f>IF('1.1 Produksi Bersih Padi 2025'!C288="","",'1.1 Produksi Bersih Padi 2025'!C288)</f>
        <v/>
      </c>
      <c r="D288" s="1" t="str">
        <f>IF('1.1 Produksi Bersih Padi 2025'!D288="","",'1.1 Produksi Bersih Padi 2025'!D288)</f>
        <v/>
      </c>
      <c r="E288" s="1" t="str">
        <f>IF('1.1 Produksi Bersih Padi 2025'!E288="","",'1.1 Produksi Bersih Padi 2025'!E288)</f>
        <v/>
      </c>
      <c r="F288" s="28" t="str">
        <f>IF(D288="","",VLOOKUP(D288,'[1]0.1 Produksi Pangan &amp; Penduduk'!$D$5:$AQ$860,40,0))</f>
        <v/>
      </c>
      <c r="G288" s="29" t="str">
        <f t="shared" si="20"/>
        <v/>
      </c>
      <c r="H288" s="29" t="str">
        <f t="shared" si="21"/>
        <v/>
      </c>
      <c r="I288" s="29" t="str">
        <f t="shared" si="22"/>
        <v/>
      </c>
      <c r="J288" s="29" t="str">
        <f t="shared" si="23"/>
        <v/>
      </c>
      <c r="K288" s="29" t="str">
        <f t="shared" si="24"/>
        <v/>
      </c>
      <c r="M288" s="11"/>
    </row>
    <row r="289" spans="1:13" ht="15" x14ac:dyDescent="0.25">
      <c r="A289" s="1" t="str">
        <f>IF('1.1 Produksi Bersih Padi 2025'!A289="","",'1.1 Produksi Bersih Padi 2025'!A289)</f>
        <v/>
      </c>
      <c r="B289" s="31" t="str">
        <f>IF('1.1 Produksi Bersih Padi 2025'!B289="","",'1.1 Produksi Bersih Padi 2025'!B289)</f>
        <v/>
      </c>
      <c r="C289" s="31" t="str">
        <f>IF('1.1 Produksi Bersih Padi 2025'!C289="","",'1.1 Produksi Bersih Padi 2025'!C289)</f>
        <v/>
      </c>
      <c r="D289" s="1" t="str">
        <f>IF('1.1 Produksi Bersih Padi 2025'!D289="","",'1.1 Produksi Bersih Padi 2025'!D289)</f>
        <v/>
      </c>
      <c r="E289" s="1" t="str">
        <f>IF('1.1 Produksi Bersih Padi 2025'!E289="","",'1.1 Produksi Bersih Padi 2025'!E289)</f>
        <v/>
      </c>
      <c r="F289" s="28" t="str">
        <f>IF(D289="","",VLOOKUP(D289,'[1]0.1 Produksi Pangan &amp; Penduduk'!$D$5:$AQ$860,40,0))</f>
        <v/>
      </c>
      <c r="G289" s="29" t="str">
        <f t="shared" si="20"/>
        <v/>
      </c>
      <c r="H289" s="29" t="str">
        <f t="shared" si="21"/>
        <v/>
      </c>
      <c r="I289" s="29" t="str">
        <f t="shared" si="22"/>
        <v/>
      </c>
      <c r="J289" s="29" t="str">
        <f t="shared" si="23"/>
        <v/>
      </c>
      <c r="K289" s="29" t="str">
        <f t="shared" si="24"/>
        <v/>
      </c>
      <c r="M289" s="11"/>
    </row>
    <row r="290" spans="1:13" ht="15" x14ac:dyDescent="0.25">
      <c r="A290" s="1" t="str">
        <f>IF('1.1 Produksi Bersih Padi 2025'!A290="","",'1.1 Produksi Bersih Padi 2025'!A290)</f>
        <v/>
      </c>
      <c r="B290" s="31" t="str">
        <f>IF('1.1 Produksi Bersih Padi 2025'!B290="","",'1.1 Produksi Bersih Padi 2025'!B290)</f>
        <v/>
      </c>
      <c r="C290" s="31" t="str">
        <f>IF('1.1 Produksi Bersih Padi 2025'!C290="","",'1.1 Produksi Bersih Padi 2025'!C290)</f>
        <v/>
      </c>
      <c r="D290" s="1" t="str">
        <f>IF('1.1 Produksi Bersih Padi 2025'!D290="","",'1.1 Produksi Bersih Padi 2025'!D290)</f>
        <v/>
      </c>
      <c r="E290" s="1" t="str">
        <f>IF('1.1 Produksi Bersih Padi 2025'!E290="","",'1.1 Produksi Bersih Padi 2025'!E290)</f>
        <v/>
      </c>
      <c r="F290" s="28" t="str">
        <f>IF(D290="","",VLOOKUP(D290,'[1]0.1 Produksi Pangan &amp; Penduduk'!$D$5:$AQ$860,40,0))</f>
        <v/>
      </c>
      <c r="G290" s="29" t="str">
        <f t="shared" si="20"/>
        <v/>
      </c>
      <c r="H290" s="29" t="str">
        <f t="shared" si="21"/>
        <v/>
      </c>
      <c r="I290" s="29" t="str">
        <f t="shared" si="22"/>
        <v/>
      </c>
      <c r="J290" s="29" t="str">
        <f t="shared" si="23"/>
        <v/>
      </c>
      <c r="K290" s="29" t="str">
        <f t="shared" si="24"/>
        <v/>
      </c>
      <c r="M290" s="11"/>
    </row>
    <row r="291" spans="1:13" ht="15" x14ac:dyDescent="0.25">
      <c r="A291" s="1" t="str">
        <f>IF('1.1 Produksi Bersih Padi 2025'!A291="","",'1.1 Produksi Bersih Padi 2025'!A291)</f>
        <v/>
      </c>
      <c r="B291" s="31" t="str">
        <f>IF('1.1 Produksi Bersih Padi 2025'!B291="","",'1.1 Produksi Bersih Padi 2025'!B291)</f>
        <v/>
      </c>
      <c r="C291" s="31" t="str">
        <f>IF('1.1 Produksi Bersih Padi 2025'!C291="","",'1.1 Produksi Bersih Padi 2025'!C291)</f>
        <v/>
      </c>
      <c r="D291" s="1" t="str">
        <f>IF('1.1 Produksi Bersih Padi 2025'!D291="","",'1.1 Produksi Bersih Padi 2025'!D291)</f>
        <v/>
      </c>
      <c r="E291" s="1" t="str">
        <f>IF('1.1 Produksi Bersih Padi 2025'!E291="","",'1.1 Produksi Bersih Padi 2025'!E291)</f>
        <v/>
      </c>
      <c r="F291" s="28" t="str">
        <f>IF(D291="","",VLOOKUP(D291,'[1]0.1 Produksi Pangan &amp; Penduduk'!$D$5:$AQ$860,40,0))</f>
        <v/>
      </c>
      <c r="G291" s="29" t="str">
        <f t="shared" si="20"/>
        <v/>
      </c>
      <c r="H291" s="29" t="str">
        <f t="shared" si="21"/>
        <v/>
      </c>
      <c r="I291" s="29" t="str">
        <f t="shared" si="22"/>
        <v/>
      </c>
      <c r="J291" s="29" t="str">
        <f t="shared" si="23"/>
        <v/>
      </c>
      <c r="K291" s="29" t="str">
        <f t="shared" si="24"/>
        <v/>
      </c>
      <c r="M291" s="11"/>
    </row>
    <row r="292" spans="1:13" ht="15" x14ac:dyDescent="0.25">
      <c r="A292" s="1" t="str">
        <f>IF('1.1 Produksi Bersih Padi 2025'!A292="","",'1.1 Produksi Bersih Padi 2025'!A292)</f>
        <v/>
      </c>
      <c r="B292" s="31" t="str">
        <f>IF('1.1 Produksi Bersih Padi 2025'!B292="","",'1.1 Produksi Bersih Padi 2025'!B292)</f>
        <v/>
      </c>
      <c r="C292" s="31" t="str">
        <f>IF('1.1 Produksi Bersih Padi 2025'!C292="","",'1.1 Produksi Bersih Padi 2025'!C292)</f>
        <v/>
      </c>
      <c r="D292" s="1" t="str">
        <f>IF('1.1 Produksi Bersih Padi 2025'!D292="","",'1.1 Produksi Bersih Padi 2025'!D292)</f>
        <v/>
      </c>
      <c r="E292" s="1" t="str">
        <f>IF('1.1 Produksi Bersih Padi 2025'!E292="","",'1.1 Produksi Bersih Padi 2025'!E292)</f>
        <v/>
      </c>
      <c r="F292" s="28" t="str">
        <f>IF(D292="","",VLOOKUP(D292,'[1]0.1 Produksi Pangan &amp; Penduduk'!$D$5:$AQ$860,40,0))</f>
        <v/>
      </c>
      <c r="G292" s="29" t="str">
        <f t="shared" si="20"/>
        <v/>
      </c>
      <c r="H292" s="29" t="str">
        <f t="shared" si="21"/>
        <v/>
      </c>
      <c r="I292" s="29" t="str">
        <f t="shared" si="22"/>
        <v/>
      </c>
      <c r="J292" s="29" t="str">
        <f t="shared" si="23"/>
        <v/>
      </c>
      <c r="K292" s="29" t="str">
        <f t="shared" si="24"/>
        <v/>
      </c>
      <c r="M292" s="11"/>
    </row>
    <row r="293" spans="1:13" ht="15" x14ac:dyDescent="0.25">
      <c r="A293" s="1" t="str">
        <f>IF('1.1 Produksi Bersih Padi 2025'!A293="","",'1.1 Produksi Bersih Padi 2025'!A293)</f>
        <v/>
      </c>
      <c r="B293" s="31" t="str">
        <f>IF('1.1 Produksi Bersih Padi 2025'!B293="","",'1.1 Produksi Bersih Padi 2025'!B293)</f>
        <v/>
      </c>
      <c r="C293" s="31" t="str">
        <f>IF('1.1 Produksi Bersih Padi 2025'!C293="","",'1.1 Produksi Bersih Padi 2025'!C293)</f>
        <v/>
      </c>
      <c r="D293" s="1" t="str">
        <f>IF('1.1 Produksi Bersih Padi 2025'!D293="","",'1.1 Produksi Bersih Padi 2025'!D293)</f>
        <v/>
      </c>
      <c r="E293" s="1" t="str">
        <f>IF('1.1 Produksi Bersih Padi 2025'!E293="","",'1.1 Produksi Bersih Padi 2025'!E293)</f>
        <v/>
      </c>
      <c r="F293" s="28" t="str">
        <f>IF(D293="","",VLOOKUP(D293,'[1]0.1 Produksi Pangan &amp; Penduduk'!$D$5:$AQ$860,40,0))</f>
        <v/>
      </c>
      <c r="G293" s="29" t="str">
        <f t="shared" si="20"/>
        <v/>
      </c>
      <c r="H293" s="29" t="str">
        <f t="shared" si="21"/>
        <v/>
      </c>
      <c r="I293" s="29" t="str">
        <f t="shared" si="22"/>
        <v/>
      </c>
      <c r="J293" s="29" t="str">
        <f t="shared" si="23"/>
        <v/>
      </c>
      <c r="K293" s="29" t="str">
        <f t="shared" si="24"/>
        <v/>
      </c>
      <c r="M293" s="11"/>
    </row>
    <row r="294" spans="1:13" ht="15" x14ac:dyDescent="0.25">
      <c r="A294" s="1" t="str">
        <f>IF('1.1 Produksi Bersih Padi 2025'!A294="","",'1.1 Produksi Bersih Padi 2025'!A294)</f>
        <v/>
      </c>
      <c r="B294" s="31" t="str">
        <f>IF('1.1 Produksi Bersih Padi 2025'!B294="","",'1.1 Produksi Bersih Padi 2025'!B294)</f>
        <v/>
      </c>
      <c r="C294" s="31" t="str">
        <f>IF('1.1 Produksi Bersih Padi 2025'!C294="","",'1.1 Produksi Bersih Padi 2025'!C294)</f>
        <v/>
      </c>
      <c r="D294" s="1" t="str">
        <f>IF('1.1 Produksi Bersih Padi 2025'!D294="","",'1.1 Produksi Bersih Padi 2025'!D294)</f>
        <v/>
      </c>
      <c r="E294" s="1" t="str">
        <f>IF('1.1 Produksi Bersih Padi 2025'!E294="","",'1.1 Produksi Bersih Padi 2025'!E294)</f>
        <v/>
      </c>
      <c r="F294" s="28" t="str">
        <f>IF(D294="","",VLOOKUP(D294,'[1]0.1 Produksi Pangan &amp; Penduduk'!$D$5:$AQ$860,40,0))</f>
        <v/>
      </c>
      <c r="G294" s="29" t="str">
        <f t="shared" si="20"/>
        <v/>
      </c>
      <c r="H294" s="29" t="str">
        <f t="shared" si="21"/>
        <v/>
      </c>
      <c r="I294" s="29" t="str">
        <f t="shared" si="22"/>
        <v/>
      </c>
      <c r="J294" s="29" t="str">
        <f t="shared" si="23"/>
        <v/>
      </c>
      <c r="K294" s="29" t="str">
        <f t="shared" si="24"/>
        <v/>
      </c>
      <c r="M294" s="11"/>
    </row>
    <row r="295" spans="1:13" ht="15" x14ac:dyDescent="0.25">
      <c r="A295" s="1" t="str">
        <f>IF('1.1 Produksi Bersih Padi 2025'!A295="","",'1.1 Produksi Bersih Padi 2025'!A295)</f>
        <v/>
      </c>
      <c r="B295" s="31" t="str">
        <f>IF('1.1 Produksi Bersih Padi 2025'!B295="","",'1.1 Produksi Bersih Padi 2025'!B295)</f>
        <v/>
      </c>
      <c r="C295" s="31" t="str">
        <f>IF('1.1 Produksi Bersih Padi 2025'!C295="","",'1.1 Produksi Bersih Padi 2025'!C295)</f>
        <v/>
      </c>
      <c r="D295" s="1" t="str">
        <f>IF('1.1 Produksi Bersih Padi 2025'!D295="","",'1.1 Produksi Bersih Padi 2025'!D295)</f>
        <v/>
      </c>
      <c r="E295" s="1" t="str">
        <f>IF('1.1 Produksi Bersih Padi 2025'!E295="","",'1.1 Produksi Bersih Padi 2025'!E295)</f>
        <v/>
      </c>
      <c r="F295" s="28" t="str">
        <f>IF(D295="","",VLOOKUP(D295,'[1]0.1 Produksi Pangan &amp; Penduduk'!$D$5:$AQ$860,40,0))</f>
        <v/>
      </c>
      <c r="G295" s="29" t="str">
        <f t="shared" si="20"/>
        <v/>
      </c>
      <c r="H295" s="29" t="str">
        <f t="shared" si="21"/>
        <v/>
      </c>
      <c r="I295" s="29" t="str">
        <f t="shared" si="22"/>
        <v/>
      </c>
      <c r="J295" s="29" t="str">
        <f t="shared" si="23"/>
        <v/>
      </c>
      <c r="K295" s="29" t="str">
        <f t="shared" si="24"/>
        <v/>
      </c>
      <c r="M295" s="11"/>
    </row>
    <row r="296" spans="1:13" ht="15" x14ac:dyDescent="0.25">
      <c r="A296" s="1" t="str">
        <f>IF('1.1 Produksi Bersih Padi 2025'!A296="","",'1.1 Produksi Bersih Padi 2025'!A296)</f>
        <v/>
      </c>
      <c r="B296" s="31" t="str">
        <f>IF('1.1 Produksi Bersih Padi 2025'!B296="","",'1.1 Produksi Bersih Padi 2025'!B296)</f>
        <v/>
      </c>
      <c r="C296" s="31" t="str">
        <f>IF('1.1 Produksi Bersih Padi 2025'!C296="","",'1.1 Produksi Bersih Padi 2025'!C296)</f>
        <v/>
      </c>
      <c r="D296" s="1" t="str">
        <f>IF('1.1 Produksi Bersih Padi 2025'!D296="","",'1.1 Produksi Bersih Padi 2025'!D296)</f>
        <v/>
      </c>
      <c r="E296" s="1" t="str">
        <f>IF('1.1 Produksi Bersih Padi 2025'!E296="","",'1.1 Produksi Bersih Padi 2025'!E296)</f>
        <v/>
      </c>
      <c r="F296" s="28" t="str">
        <f>IF(D296="","",VLOOKUP(D296,'[1]0.1 Produksi Pangan &amp; Penduduk'!$D$5:$AQ$860,40,0))</f>
        <v/>
      </c>
      <c r="G296" s="29" t="str">
        <f t="shared" si="20"/>
        <v/>
      </c>
      <c r="H296" s="29" t="str">
        <f t="shared" si="21"/>
        <v/>
      </c>
      <c r="I296" s="29" t="str">
        <f t="shared" si="22"/>
        <v/>
      </c>
      <c r="J296" s="29" t="str">
        <f t="shared" si="23"/>
        <v/>
      </c>
      <c r="K296" s="29" t="str">
        <f t="shared" si="24"/>
        <v/>
      </c>
      <c r="M296" s="11"/>
    </row>
    <row r="297" spans="1:13" ht="15" x14ac:dyDescent="0.25">
      <c r="A297" s="1" t="str">
        <f>IF('1.1 Produksi Bersih Padi 2025'!A297="","",'1.1 Produksi Bersih Padi 2025'!A297)</f>
        <v/>
      </c>
      <c r="B297" s="31" t="str">
        <f>IF('1.1 Produksi Bersih Padi 2025'!B297="","",'1.1 Produksi Bersih Padi 2025'!B297)</f>
        <v/>
      </c>
      <c r="C297" s="31" t="str">
        <f>IF('1.1 Produksi Bersih Padi 2025'!C297="","",'1.1 Produksi Bersih Padi 2025'!C297)</f>
        <v/>
      </c>
      <c r="D297" s="1" t="str">
        <f>IF('1.1 Produksi Bersih Padi 2025'!D297="","",'1.1 Produksi Bersih Padi 2025'!D297)</f>
        <v/>
      </c>
      <c r="E297" s="1" t="str">
        <f>IF('1.1 Produksi Bersih Padi 2025'!E297="","",'1.1 Produksi Bersih Padi 2025'!E297)</f>
        <v/>
      </c>
      <c r="F297" s="28" t="str">
        <f>IF(D297="","",VLOOKUP(D297,'[1]0.1 Produksi Pangan &amp; Penduduk'!$D$5:$AQ$860,40,0))</f>
        <v/>
      </c>
      <c r="G297" s="29" t="str">
        <f t="shared" si="20"/>
        <v/>
      </c>
      <c r="H297" s="29" t="str">
        <f t="shared" si="21"/>
        <v/>
      </c>
      <c r="I297" s="29" t="str">
        <f t="shared" si="22"/>
        <v/>
      </c>
      <c r="J297" s="29" t="str">
        <f t="shared" si="23"/>
        <v/>
      </c>
      <c r="K297" s="29" t="str">
        <f t="shared" si="24"/>
        <v/>
      </c>
      <c r="M297" s="11"/>
    </row>
    <row r="298" spans="1:13" ht="15" x14ac:dyDescent="0.25">
      <c r="A298" s="1" t="str">
        <f>IF('1.1 Produksi Bersih Padi 2025'!A298="","",'1.1 Produksi Bersih Padi 2025'!A298)</f>
        <v/>
      </c>
      <c r="B298" s="31" t="str">
        <f>IF('1.1 Produksi Bersih Padi 2025'!B298="","",'1.1 Produksi Bersih Padi 2025'!B298)</f>
        <v/>
      </c>
      <c r="C298" s="31" t="str">
        <f>IF('1.1 Produksi Bersih Padi 2025'!C298="","",'1.1 Produksi Bersih Padi 2025'!C298)</f>
        <v/>
      </c>
      <c r="D298" s="1" t="str">
        <f>IF('1.1 Produksi Bersih Padi 2025'!D298="","",'1.1 Produksi Bersih Padi 2025'!D298)</f>
        <v/>
      </c>
      <c r="E298" s="1" t="str">
        <f>IF('1.1 Produksi Bersih Padi 2025'!E298="","",'1.1 Produksi Bersih Padi 2025'!E298)</f>
        <v/>
      </c>
      <c r="F298" s="28" t="str">
        <f>IF(D298="","",VLOOKUP(D298,'[1]0.1 Produksi Pangan &amp; Penduduk'!$D$5:$AQ$860,40,0))</f>
        <v/>
      </c>
      <c r="G298" s="29" t="str">
        <f t="shared" si="20"/>
        <v/>
      </c>
      <c r="H298" s="29" t="str">
        <f t="shared" si="21"/>
        <v/>
      </c>
      <c r="I298" s="29" t="str">
        <f t="shared" si="22"/>
        <v/>
      </c>
      <c r="J298" s="29" t="str">
        <f t="shared" si="23"/>
        <v/>
      </c>
      <c r="K298" s="29" t="str">
        <f t="shared" si="24"/>
        <v/>
      </c>
      <c r="M298" s="11"/>
    </row>
    <row r="299" spans="1:13" ht="15" x14ac:dyDescent="0.25">
      <c r="A299" s="1" t="str">
        <f>IF('1.1 Produksi Bersih Padi 2025'!A299="","",'1.1 Produksi Bersih Padi 2025'!A299)</f>
        <v/>
      </c>
      <c r="B299" s="31" t="str">
        <f>IF('1.1 Produksi Bersih Padi 2025'!B299="","",'1.1 Produksi Bersih Padi 2025'!B299)</f>
        <v/>
      </c>
      <c r="C299" s="31" t="str">
        <f>IF('1.1 Produksi Bersih Padi 2025'!C299="","",'1.1 Produksi Bersih Padi 2025'!C299)</f>
        <v/>
      </c>
      <c r="D299" s="1" t="str">
        <f>IF('1.1 Produksi Bersih Padi 2025'!D299="","",'1.1 Produksi Bersih Padi 2025'!D299)</f>
        <v/>
      </c>
      <c r="E299" s="1" t="str">
        <f>IF('1.1 Produksi Bersih Padi 2025'!E299="","",'1.1 Produksi Bersih Padi 2025'!E299)</f>
        <v/>
      </c>
      <c r="F299" s="28" t="str">
        <f>IF(D299="","",VLOOKUP(D299,'[1]0.1 Produksi Pangan &amp; Penduduk'!$D$5:$AQ$860,40,0))</f>
        <v/>
      </c>
      <c r="G299" s="29" t="str">
        <f t="shared" si="20"/>
        <v/>
      </c>
      <c r="H299" s="29" t="str">
        <f t="shared" si="21"/>
        <v/>
      </c>
      <c r="I299" s="29" t="str">
        <f t="shared" si="22"/>
        <v/>
      </c>
      <c r="J299" s="29" t="str">
        <f t="shared" si="23"/>
        <v/>
      </c>
      <c r="K299" s="29" t="str">
        <f t="shared" si="24"/>
        <v/>
      </c>
      <c r="M299" s="11"/>
    </row>
    <row r="300" spans="1:13" ht="15" x14ac:dyDescent="0.25">
      <c r="A300" s="1" t="str">
        <f>IF('1.1 Produksi Bersih Padi 2025'!A300="","",'1.1 Produksi Bersih Padi 2025'!A300)</f>
        <v/>
      </c>
      <c r="B300" s="31" t="str">
        <f>IF('1.1 Produksi Bersih Padi 2025'!B300="","",'1.1 Produksi Bersih Padi 2025'!B300)</f>
        <v/>
      </c>
      <c r="C300" s="31" t="str">
        <f>IF('1.1 Produksi Bersih Padi 2025'!C300="","",'1.1 Produksi Bersih Padi 2025'!C300)</f>
        <v/>
      </c>
      <c r="D300" s="1" t="str">
        <f>IF('1.1 Produksi Bersih Padi 2025'!D300="","",'1.1 Produksi Bersih Padi 2025'!D300)</f>
        <v/>
      </c>
      <c r="E300" s="1" t="str">
        <f>IF('1.1 Produksi Bersih Padi 2025'!E300="","",'1.1 Produksi Bersih Padi 2025'!E300)</f>
        <v/>
      </c>
      <c r="F300" s="28" t="str">
        <f>IF(D300="","",VLOOKUP(D300,'[1]0.1 Produksi Pangan &amp; Penduduk'!$D$5:$AQ$860,40,0))</f>
        <v/>
      </c>
      <c r="G300" s="29" t="str">
        <f t="shared" si="20"/>
        <v/>
      </c>
      <c r="H300" s="29" t="str">
        <f t="shared" si="21"/>
        <v/>
      </c>
      <c r="I300" s="29" t="str">
        <f t="shared" si="22"/>
        <v/>
      </c>
      <c r="J300" s="29" t="str">
        <f t="shared" si="23"/>
        <v/>
      </c>
      <c r="K300" s="29" t="str">
        <f t="shared" si="24"/>
        <v/>
      </c>
      <c r="M300" s="11"/>
    </row>
    <row r="301" spans="1:13" ht="15" x14ac:dyDescent="0.25">
      <c r="A301" s="1" t="str">
        <f>IF('1.1 Produksi Bersih Padi 2025'!A301="","",'1.1 Produksi Bersih Padi 2025'!A301)</f>
        <v/>
      </c>
      <c r="B301" s="31" t="str">
        <f>IF('1.1 Produksi Bersih Padi 2025'!B301="","",'1.1 Produksi Bersih Padi 2025'!B301)</f>
        <v/>
      </c>
      <c r="C301" s="31" t="str">
        <f>IF('1.1 Produksi Bersih Padi 2025'!C301="","",'1.1 Produksi Bersih Padi 2025'!C301)</f>
        <v/>
      </c>
      <c r="D301" s="1" t="str">
        <f>IF('1.1 Produksi Bersih Padi 2025'!D301="","",'1.1 Produksi Bersih Padi 2025'!D301)</f>
        <v/>
      </c>
      <c r="E301" s="1" t="str">
        <f>IF('1.1 Produksi Bersih Padi 2025'!E301="","",'1.1 Produksi Bersih Padi 2025'!E301)</f>
        <v/>
      </c>
      <c r="F301" s="28" t="str">
        <f>IF(D301="","",VLOOKUP(D301,'[1]0.1 Produksi Pangan &amp; Penduduk'!$D$5:$AQ$860,40,0))</f>
        <v/>
      </c>
      <c r="G301" s="29" t="str">
        <f t="shared" si="20"/>
        <v/>
      </c>
      <c r="H301" s="29" t="str">
        <f t="shared" si="21"/>
        <v/>
      </c>
      <c r="I301" s="29" t="str">
        <f t="shared" si="22"/>
        <v/>
      </c>
      <c r="J301" s="29" t="str">
        <f t="shared" si="23"/>
        <v/>
      </c>
      <c r="K301" s="29" t="str">
        <f t="shared" si="24"/>
        <v/>
      </c>
      <c r="M301" s="11"/>
    </row>
    <row r="302" spans="1:13" ht="15" x14ac:dyDescent="0.25">
      <c r="A302" s="1" t="str">
        <f>IF('1.1 Produksi Bersih Padi 2025'!A302="","",'1.1 Produksi Bersih Padi 2025'!A302)</f>
        <v/>
      </c>
      <c r="B302" s="31" t="str">
        <f>IF('1.1 Produksi Bersih Padi 2025'!B302="","",'1.1 Produksi Bersih Padi 2025'!B302)</f>
        <v/>
      </c>
      <c r="C302" s="31" t="str">
        <f>IF('1.1 Produksi Bersih Padi 2025'!C302="","",'1.1 Produksi Bersih Padi 2025'!C302)</f>
        <v/>
      </c>
      <c r="D302" s="1" t="str">
        <f>IF('1.1 Produksi Bersih Padi 2025'!D302="","",'1.1 Produksi Bersih Padi 2025'!D302)</f>
        <v/>
      </c>
      <c r="E302" s="1" t="str">
        <f>IF('1.1 Produksi Bersih Padi 2025'!E302="","",'1.1 Produksi Bersih Padi 2025'!E302)</f>
        <v/>
      </c>
      <c r="F302" s="28" t="str">
        <f>IF(D302="","",VLOOKUP(D302,'[1]0.1 Produksi Pangan &amp; Penduduk'!$D$5:$AQ$860,40,0))</f>
        <v/>
      </c>
      <c r="G302" s="29" t="str">
        <f t="shared" si="20"/>
        <v/>
      </c>
      <c r="H302" s="29" t="str">
        <f t="shared" si="21"/>
        <v/>
      </c>
      <c r="I302" s="29" t="str">
        <f t="shared" si="22"/>
        <v/>
      </c>
      <c r="J302" s="29" t="str">
        <f t="shared" si="23"/>
        <v/>
      </c>
      <c r="K302" s="29" t="str">
        <f t="shared" si="24"/>
        <v/>
      </c>
      <c r="M302" s="11"/>
    </row>
    <row r="303" spans="1:13" ht="15" x14ac:dyDescent="0.25">
      <c r="A303" s="1" t="str">
        <f>IF('1.1 Produksi Bersih Padi 2025'!A303="","",'1.1 Produksi Bersih Padi 2025'!A303)</f>
        <v/>
      </c>
      <c r="B303" s="31" t="str">
        <f>IF('1.1 Produksi Bersih Padi 2025'!B303="","",'1.1 Produksi Bersih Padi 2025'!B303)</f>
        <v/>
      </c>
      <c r="C303" s="31" t="str">
        <f>IF('1.1 Produksi Bersih Padi 2025'!C303="","",'1.1 Produksi Bersih Padi 2025'!C303)</f>
        <v/>
      </c>
      <c r="D303" s="1" t="str">
        <f>IF('1.1 Produksi Bersih Padi 2025'!D303="","",'1.1 Produksi Bersih Padi 2025'!D303)</f>
        <v/>
      </c>
      <c r="E303" s="1" t="str">
        <f>IF('1.1 Produksi Bersih Padi 2025'!E303="","",'1.1 Produksi Bersih Padi 2025'!E303)</f>
        <v/>
      </c>
      <c r="F303" s="28" t="str">
        <f>IF(D303="","",VLOOKUP(D303,'[1]0.1 Produksi Pangan &amp; Penduduk'!$D$5:$AQ$860,40,0))</f>
        <v/>
      </c>
      <c r="G303" s="29" t="str">
        <f t="shared" si="20"/>
        <v/>
      </c>
      <c r="H303" s="29" t="str">
        <f t="shared" si="21"/>
        <v/>
      </c>
      <c r="I303" s="29" t="str">
        <f t="shared" si="22"/>
        <v/>
      </c>
      <c r="J303" s="29" t="str">
        <f t="shared" si="23"/>
        <v/>
      </c>
      <c r="K303" s="29" t="str">
        <f t="shared" si="24"/>
        <v/>
      </c>
      <c r="M303" s="11"/>
    </row>
    <row r="304" spans="1:13" ht="15" x14ac:dyDescent="0.25">
      <c r="A304" s="1" t="str">
        <f>IF('1.1 Produksi Bersih Padi 2025'!A304="","",'1.1 Produksi Bersih Padi 2025'!A304)</f>
        <v/>
      </c>
      <c r="B304" s="31" t="str">
        <f>IF('1.1 Produksi Bersih Padi 2025'!B304="","",'1.1 Produksi Bersih Padi 2025'!B304)</f>
        <v/>
      </c>
      <c r="C304" s="31" t="str">
        <f>IF('1.1 Produksi Bersih Padi 2025'!C304="","",'1.1 Produksi Bersih Padi 2025'!C304)</f>
        <v/>
      </c>
      <c r="D304" s="1" t="str">
        <f>IF('1.1 Produksi Bersih Padi 2025'!D304="","",'1.1 Produksi Bersih Padi 2025'!D304)</f>
        <v/>
      </c>
      <c r="E304" s="1" t="str">
        <f>IF('1.1 Produksi Bersih Padi 2025'!E304="","",'1.1 Produksi Bersih Padi 2025'!E304)</f>
        <v/>
      </c>
      <c r="F304" s="28" t="str">
        <f>IF(D304="","",VLOOKUP(D304,'[1]0.1 Produksi Pangan &amp; Penduduk'!$D$5:$AQ$860,40,0))</f>
        <v/>
      </c>
      <c r="G304" s="29" t="str">
        <f t="shared" si="20"/>
        <v/>
      </c>
      <c r="H304" s="29" t="str">
        <f t="shared" si="21"/>
        <v/>
      </c>
      <c r="I304" s="29" t="str">
        <f t="shared" si="22"/>
        <v/>
      </c>
      <c r="J304" s="29" t="str">
        <f t="shared" si="23"/>
        <v/>
      </c>
      <c r="K304" s="29" t="str">
        <f t="shared" si="24"/>
        <v/>
      </c>
      <c r="M304" s="11"/>
    </row>
    <row r="305" spans="1:13" ht="15" x14ac:dyDescent="0.25">
      <c r="A305" s="1" t="str">
        <f>IF('1.1 Produksi Bersih Padi 2025'!A305="","",'1.1 Produksi Bersih Padi 2025'!A305)</f>
        <v/>
      </c>
      <c r="B305" s="31" t="str">
        <f>IF('1.1 Produksi Bersih Padi 2025'!B305="","",'1.1 Produksi Bersih Padi 2025'!B305)</f>
        <v/>
      </c>
      <c r="C305" s="31" t="str">
        <f>IF('1.1 Produksi Bersih Padi 2025'!C305="","",'1.1 Produksi Bersih Padi 2025'!C305)</f>
        <v/>
      </c>
      <c r="D305" s="1" t="str">
        <f>IF('1.1 Produksi Bersih Padi 2025'!D305="","",'1.1 Produksi Bersih Padi 2025'!D305)</f>
        <v/>
      </c>
      <c r="E305" s="1" t="str">
        <f>IF('1.1 Produksi Bersih Padi 2025'!E305="","",'1.1 Produksi Bersih Padi 2025'!E305)</f>
        <v/>
      </c>
      <c r="F305" s="28" t="str">
        <f>IF(D305="","",VLOOKUP(D305,'[1]0.1 Produksi Pangan &amp; Penduduk'!$D$5:$AQ$860,40,0))</f>
        <v/>
      </c>
      <c r="G305" s="29" t="str">
        <f t="shared" si="20"/>
        <v/>
      </c>
      <c r="H305" s="29" t="str">
        <f t="shared" si="21"/>
        <v/>
      </c>
      <c r="I305" s="29" t="str">
        <f t="shared" si="22"/>
        <v/>
      </c>
      <c r="J305" s="29" t="str">
        <f t="shared" si="23"/>
        <v/>
      </c>
      <c r="K305" s="29" t="str">
        <f t="shared" si="24"/>
        <v/>
      </c>
      <c r="M305" s="11"/>
    </row>
    <row r="306" spans="1:13" ht="15" x14ac:dyDescent="0.25">
      <c r="A306" s="1" t="str">
        <f>IF('1.1 Produksi Bersih Padi 2025'!A306="","",'1.1 Produksi Bersih Padi 2025'!A306)</f>
        <v/>
      </c>
      <c r="B306" s="31" t="str">
        <f>IF('1.1 Produksi Bersih Padi 2025'!B306="","",'1.1 Produksi Bersih Padi 2025'!B306)</f>
        <v/>
      </c>
      <c r="C306" s="31" t="str">
        <f>IF('1.1 Produksi Bersih Padi 2025'!C306="","",'1.1 Produksi Bersih Padi 2025'!C306)</f>
        <v/>
      </c>
      <c r="D306" s="1" t="str">
        <f>IF('1.1 Produksi Bersih Padi 2025'!D306="","",'1.1 Produksi Bersih Padi 2025'!D306)</f>
        <v/>
      </c>
      <c r="E306" s="1" t="str">
        <f>IF('1.1 Produksi Bersih Padi 2025'!E306="","",'1.1 Produksi Bersih Padi 2025'!E306)</f>
        <v/>
      </c>
      <c r="F306" s="28" t="str">
        <f>IF(D306="","",VLOOKUP(D306,'[1]0.1 Produksi Pangan &amp; Penduduk'!$D$5:$AQ$860,40,0))</f>
        <v/>
      </c>
      <c r="G306" s="29" t="str">
        <f t="shared" si="20"/>
        <v/>
      </c>
      <c r="H306" s="29" t="str">
        <f t="shared" si="21"/>
        <v/>
      </c>
      <c r="I306" s="29" t="str">
        <f t="shared" si="22"/>
        <v/>
      </c>
      <c r="J306" s="29" t="str">
        <f t="shared" si="23"/>
        <v/>
      </c>
      <c r="K306" s="29" t="str">
        <f t="shared" si="24"/>
        <v/>
      </c>
      <c r="M306" s="11"/>
    </row>
    <row r="307" spans="1:13" ht="15" x14ac:dyDescent="0.25">
      <c r="A307" s="1" t="str">
        <f>IF('1.1 Produksi Bersih Padi 2025'!A307="","",'1.1 Produksi Bersih Padi 2025'!A307)</f>
        <v/>
      </c>
      <c r="B307" s="31" t="str">
        <f>IF('1.1 Produksi Bersih Padi 2025'!B307="","",'1.1 Produksi Bersih Padi 2025'!B307)</f>
        <v/>
      </c>
      <c r="C307" s="31" t="str">
        <f>IF('1.1 Produksi Bersih Padi 2025'!C307="","",'1.1 Produksi Bersih Padi 2025'!C307)</f>
        <v/>
      </c>
      <c r="D307" s="1" t="str">
        <f>IF('1.1 Produksi Bersih Padi 2025'!D307="","",'1.1 Produksi Bersih Padi 2025'!D307)</f>
        <v/>
      </c>
      <c r="E307" s="1" t="str">
        <f>IF('1.1 Produksi Bersih Padi 2025'!E307="","",'1.1 Produksi Bersih Padi 2025'!E307)</f>
        <v/>
      </c>
      <c r="F307" s="28" t="str">
        <f>IF(D307="","",VLOOKUP(D307,'[1]0.1 Produksi Pangan &amp; Penduduk'!$D$5:$AQ$860,40,0))</f>
        <v/>
      </c>
      <c r="G307" s="29" t="str">
        <f t="shared" si="20"/>
        <v/>
      </c>
      <c r="H307" s="29" t="str">
        <f t="shared" si="21"/>
        <v/>
      </c>
      <c r="I307" s="29" t="str">
        <f t="shared" si="22"/>
        <v/>
      </c>
      <c r="J307" s="29" t="str">
        <f t="shared" si="23"/>
        <v/>
      </c>
      <c r="K307" s="29" t="str">
        <f t="shared" si="24"/>
        <v/>
      </c>
      <c r="M307" s="11"/>
    </row>
    <row r="308" spans="1:13" ht="15" x14ac:dyDescent="0.25">
      <c r="A308" s="1" t="str">
        <f>IF('1.1 Produksi Bersih Padi 2025'!A308="","",'1.1 Produksi Bersih Padi 2025'!A308)</f>
        <v/>
      </c>
      <c r="B308" s="31" t="str">
        <f>IF('1.1 Produksi Bersih Padi 2025'!B308="","",'1.1 Produksi Bersih Padi 2025'!B308)</f>
        <v/>
      </c>
      <c r="C308" s="31" t="str">
        <f>IF('1.1 Produksi Bersih Padi 2025'!C308="","",'1.1 Produksi Bersih Padi 2025'!C308)</f>
        <v/>
      </c>
      <c r="D308" s="1" t="str">
        <f>IF('1.1 Produksi Bersih Padi 2025'!D308="","",'1.1 Produksi Bersih Padi 2025'!D308)</f>
        <v/>
      </c>
      <c r="E308" s="1" t="str">
        <f>IF('1.1 Produksi Bersih Padi 2025'!E308="","",'1.1 Produksi Bersih Padi 2025'!E308)</f>
        <v/>
      </c>
      <c r="F308" s="28" t="str">
        <f>IF(D308="","",VLOOKUP(D308,'[1]0.1 Produksi Pangan &amp; Penduduk'!$D$5:$AQ$860,40,0))</f>
        <v/>
      </c>
      <c r="G308" s="29" t="str">
        <f t="shared" si="20"/>
        <v/>
      </c>
      <c r="H308" s="29" t="str">
        <f t="shared" si="21"/>
        <v/>
      </c>
      <c r="I308" s="29" t="str">
        <f t="shared" si="22"/>
        <v/>
      </c>
      <c r="J308" s="29" t="str">
        <f t="shared" si="23"/>
        <v/>
      </c>
      <c r="K308" s="29" t="str">
        <f t="shared" si="24"/>
        <v/>
      </c>
      <c r="M308" s="11"/>
    </row>
    <row r="309" spans="1:13" ht="15" x14ac:dyDescent="0.25">
      <c r="A309" s="1" t="str">
        <f>IF('1.1 Produksi Bersih Padi 2025'!A309="","",'1.1 Produksi Bersih Padi 2025'!A309)</f>
        <v/>
      </c>
      <c r="B309" s="31" t="str">
        <f>IF('1.1 Produksi Bersih Padi 2025'!B309="","",'1.1 Produksi Bersih Padi 2025'!B309)</f>
        <v/>
      </c>
      <c r="C309" s="31" t="str">
        <f>IF('1.1 Produksi Bersih Padi 2025'!C309="","",'1.1 Produksi Bersih Padi 2025'!C309)</f>
        <v/>
      </c>
      <c r="D309" s="1" t="str">
        <f>IF('1.1 Produksi Bersih Padi 2025'!D309="","",'1.1 Produksi Bersih Padi 2025'!D309)</f>
        <v/>
      </c>
      <c r="E309" s="1" t="str">
        <f>IF('1.1 Produksi Bersih Padi 2025'!E309="","",'1.1 Produksi Bersih Padi 2025'!E309)</f>
        <v/>
      </c>
      <c r="F309" s="28" t="str">
        <f>IF(D309="","",VLOOKUP(D309,'[1]0.1 Produksi Pangan &amp; Penduduk'!$D$5:$AQ$860,40,0))</f>
        <v/>
      </c>
      <c r="G309" s="29" t="str">
        <f t="shared" si="20"/>
        <v/>
      </c>
      <c r="H309" s="29" t="str">
        <f t="shared" si="21"/>
        <v/>
      </c>
      <c r="I309" s="29" t="str">
        <f t="shared" si="22"/>
        <v/>
      </c>
      <c r="J309" s="29" t="str">
        <f t="shared" si="23"/>
        <v/>
      </c>
      <c r="K309" s="29" t="str">
        <f t="shared" si="24"/>
        <v/>
      </c>
      <c r="M309" s="11"/>
    </row>
    <row r="310" spans="1:13" ht="15" x14ac:dyDescent="0.25">
      <c r="A310" s="1" t="str">
        <f>IF('1.1 Produksi Bersih Padi 2025'!A310="","",'1.1 Produksi Bersih Padi 2025'!A310)</f>
        <v/>
      </c>
      <c r="B310" s="31" t="str">
        <f>IF('1.1 Produksi Bersih Padi 2025'!B310="","",'1.1 Produksi Bersih Padi 2025'!B310)</f>
        <v/>
      </c>
      <c r="C310" s="31" t="str">
        <f>IF('1.1 Produksi Bersih Padi 2025'!C310="","",'1.1 Produksi Bersih Padi 2025'!C310)</f>
        <v/>
      </c>
      <c r="D310" s="1" t="str">
        <f>IF('1.1 Produksi Bersih Padi 2025'!D310="","",'1.1 Produksi Bersih Padi 2025'!D310)</f>
        <v/>
      </c>
      <c r="E310" s="1" t="str">
        <f>IF('1.1 Produksi Bersih Padi 2025'!E310="","",'1.1 Produksi Bersih Padi 2025'!E310)</f>
        <v/>
      </c>
      <c r="F310" s="28" t="str">
        <f>IF(D310="","",VLOOKUP(D310,'[1]0.1 Produksi Pangan &amp; Penduduk'!$D$5:$AQ$860,40,0))</f>
        <v/>
      </c>
      <c r="G310" s="29" t="str">
        <f t="shared" si="20"/>
        <v/>
      </c>
      <c r="H310" s="29" t="str">
        <f t="shared" si="21"/>
        <v/>
      </c>
      <c r="I310" s="29" t="str">
        <f t="shared" si="22"/>
        <v/>
      </c>
      <c r="J310" s="29" t="str">
        <f t="shared" si="23"/>
        <v/>
      </c>
      <c r="K310" s="29" t="str">
        <f t="shared" si="24"/>
        <v/>
      </c>
      <c r="M310" s="11"/>
    </row>
    <row r="311" spans="1:13" ht="15" x14ac:dyDescent="0.25">
      <c r="A311" s="1" t="str">
        <f>IF('1.1 Produksi Bersih Padi 2025'!A311="","",'1.1 Produksi Bersih Padi 2025'!A311)</f>
        <v/>
      </c>
      <c r="B311" s="31" t="str">
        <f>IF('1.1 Produksi Bersih Padi 2025'!B311="","",'1.1 Produksi Bersih Padi 2025'!B311)</f>
        <v/>
      </c>
      <c r="C311" s="31" t="str">
        <f>IF('1.1 Produksi Bersih Padi 2025'!C311="","",'1.1 Produksi Bersih Padi 2025'!C311)</f>
        <v/>
      </c>
      <c r="D311" s="1" t="str">
        <f>IF('1.1 Produksi Bersih Padi 2025'!D311="","",'1.1 Produksi Bersih Padi 2025'!D311)</f>
        <v/>
      </c>
      <c r="E311" s="1" t="str">
        <f>IF('1.1 Produksi Bersih Padi 2025'!E311="","",'1.1 Produksi Bersih Padi 2025'!E311)</f>
        <v/>
      </c>
      <c r="F311" s="28" t="str">
        <f>IF(D311="","",VLOOKUP(D311,'[1]0.1 Produksi Pangan &amp; Penduduk'!$D$5:$AQ$860,40,0))</f>
        <v/>
      </c>
      <c r="G311" s="29" t="str">
        <f t="shared" si="20"/>
        <v/>
      </c>
      <c r="H311" s="29" t="str">
        <f t="shared" si="21"/>
        <v/>
      </c>
      <c r="I311" s="29" t="str">
        <f t="shared" si="22"/>
        <v/>
      </c>
      <c r="J311" s="29" t="str">
        <f t="shared" si="23"/>
        <v/>
      </c>
      <c r="K311" s="29" t="str">
        <f t="shared" si="24"/>
        <v/>
      </c>
      <c r="M311" s="11"/>
    </row>
    <row r="312" spans="1:13" ht="15" x14ac:dyDescent="0.25">
      <c r="A312" s="1" t="str">
        <f>IF('1.1 Produksi Bersih Padi 2025'!A312="","",'1.1 Produksi Bersih Padi 2025'!A312)</f>
        <v/>
      </c>
      <c r="B312" s="31" t="str">
        <f>IF('1.1 Produksi Bersih Padi 2025'!B312="","",'1.1 Produksi Bersih Padi 2025'!B312)</f>
        <v/>
      </c>
      <c r="C312" s="31" t="str">
        <f>IF('1.1 Produksi Bersih Padi 2025'!C312="","",'1.1 Produksi Bersih Padi 2025'!C312)</f>
        <v/>
      </c>
      <c r="D312" s="1" t="str">
        <f>IF('1.1 Produksi Bersih Padi 2025'!D312="","",'1.1 Produksi Bersih Padi 2025'!D312)</f>
        <v/>
      </c>
      <c r="E312" s="1" t="str">
        <f>IF('1.1 Produksi Bersih Padi 2025'!E312="","",'1.1 Produksi Bersih Padi 2025'!E312)</f>
        <v/>
      </c>
      <c r="F312" s="28" t="str">
        <f>IF(D312="","",VLOOKUP(D312,'[1]0.1 Produksi Pangan &amp; Penduduk'!$D$5:$AQ$860,40,0))</f>
        <v/>
      </c>
      <c r="G312" s="29" t="str">
        <f t="shared" si="20"/>
        <v/>
      </c>
      <c r="H312" s="29" t="str">
        <f t="shared" si="21"/>
        <v/>
      </c>
      <c r="I312" s="29" t="str">
        <f t="shared" si="22"/>
        <v/>
      </c>
      <c r="J312" s="29" t="str">
        <f t="shared" si="23"/>
        <v/>
      </c>
      <c r="K312" s="29" t="str">
        <f t="shared" si="24"/>
        <v/>
      </c>
      <c r="M312" s="11"/>
    </row>
    <row r="313" spans="1:13" ht="15" x14ac:dyDescent="0.25">
      <c r="A313" s="1" t="str">
        <f>IF('1.1 Produksi Bersih Padi 2025'!A313="","",'1.1 Produksi Bersih Padi 2025'!A313)</f>
        <v/>
      </c>
      <c r="B313" s="31" t="str">
        <f>IF('1.1 Produksi Bersih Padi 2025'!B313="","",'1.1 Produksi Bersih Padi 2025'!B313)</f>
        <v/>
      </c>
      <c r="C313" s="31" t="str">
        <f>IF('1.1 Produksi Bersih Padi 2025'!C313="","",'1.1 Produksi Bersih Padi 2025'!C313)</f>
        <v/>
      </c>
      <c r="D313" s="1" t="str">
        <f>IF('1.1 Produksi Bersih Padi 2025'!D313="","",'1.1 Produksi Bersih Padi 2025'!D313)</f>
        <v/>
      </c>
      <c r="E313" s="1" t="str">
        <f>IF('1.1 Produksi Bersih Padi 2025'!E313="","",'1.1 Produksi Bersih Padi 2025'!E313)</f>
        <v/>
      </c>
      <c r="F313" s="28" t="str">
        <f>IF(D313="","",VLOOKUP(D313,'[1]0.1 Produksi Pangan &amp; Penduduk'!$D$5:$AQ$860,40,0))</f>
        <v/>
      </c>
      <c r="G313" s="29" t="str">
        <f t="shared" si="20"/>
        <v/>
      </c>
      <c r="H313" s="29" t="str">
        <f t="shared" si="21"/>
        <v/>
      </c>
      <c r="I313" s="29" t="str">
        <f t="shared" si="22"/>
        <v/>
      </c>
      <c r="J313" s="29" t="str">
        <f t="shared" si="23"/>
        <v/>
      </c>
      <c r="K313" s="29" t="str">
        <f t="shared" si="24"/>
        <v/>
      </c>
      <c r="M313" s="11"/>
    </row>
    <row r="314" spans="1:13" ht="15" x14ac:dyDescent="0.25">
      <c r="A314" s="1" t="str">
        <f>IF('1.1 Produksi Bersih Padi 2025'!A314="","",'1.1 Produksi Bersih Padi 2025'!A314)</f>
        <v/>
      </c>
      <c r="B314" s="31" t="str">
        <f>IF('1.1 Produksi Bersih Padi 2025'!B314="","",'1.1 Produksi Bersih Padi 2025'!B314)</f>
        <v/>
      </c>
      <c r="C314" s="31" t="str">
        <f>IF('1.1 Produksi Bersih Padi 2025'!C314="","",'1.1 Produksi Bersih Padi 2025'!C314)</f>
        <v/>
      </c>
      <c r="D314" s="1" t="str">
        <f>IF('1.1 Produksi Bersih Padi 2025'!D314="","",'1.1 Produksi Bersih Padi 2025'!D314)</f>
        <v/>
      </c>
      <c r="E314" s="1" t="str">
        <f>IF('1.1 Produksi Bersih Padi 2025'!E314="","",'1.1 Produksi Bersih Padi 2025'!E314)</f>
        <v/>
      </c>
      <c r="F314" s="28" t="str">
        <f>IF(D314="","",VLOOKUP(D314,'[1]0.1 Produksi Pangan &amp; Penduduk'!$D$5:$AQ$860,40,0))</f>
        <v/>
      </c>
      <c r="G314" s="29" t="str">
        <f t="shared" si="20"/>
        <v/>
      </c>
      <c r="H314" s="29" t="str">
        <f t="shared" si="21"/>
        <v/>
      </c>
      <c r="I314" s="29" t="str">
        <f t="shared" si="22"/>
        <v/>
      </c>
      <c r="J314" s="29" t="str">
        <f t="shared" si="23"/>
        <v/>
      </c>
      <c r="K314" s="29" t="str">
        <f t="shared" si="24"/>
        <v/>
      </c>
      <c r="M314" s="11"/>
    </row>
    <row r="315" spans="1:13" ht="15" x14ac:dyDescent="0.25">
      <c r="A315" s="1" t="str">
        <f>IF('1.1 Produksi Bersih Padi 2025'!A315="","",'1.1 Produksi Bersih Padi 2025'!A315)</f>
        <v/>
      </c>
      <c r="B315" s="31" t="str">
        <f>IF('1.1 Produksi Bersih Padi 2025'!B315="","",'1.1 Produksi Bersih Padi 2025'!B315)</f>
        <v/>
      </c>
      <c r="C315" s="31" t="str">
        <f>IF('1.1 Produksi Bersih Padi 2025'!C315="","",'1.1 Produksi Bersih Padi 2025'!C315)</f>
        <v/>
      </c>
      <c r="D315" s="1" t="str">
        <f>IF('1.1 Produksi Bersih Padi 2025'!D315="","",'1.1 Produksi Bersih Padi 2025'!D315)</f>
        <v/>
      </c>
      <c r="E315" s="1" t="str">
        <f>IF('1.1 Produksi Bersih Padi 2025'!E315="","",'1.1 Produksi Bersih Padi 2025'!E315)</f>
        <v/>
      </c>
      <c r="F315" s="28" t="str">
        <f>IF(D315="","",VLOOKUP(D315,'[1]0.1 Produksi Pangan &amp; Penduduk'!$D$5:$AQ$860,40,0))</f>
        <v/>
      </c>
      <c r="G315" s="29" t="str">
        <f t="shared" si="20"/>
        <v/>
      </c>
      <c r="H315" s="29" t="str">
        <f t="shared" si="21"/>
        <v/>
      </c>
      <c r="I315" s="29" t="str">
        <f t="shared" si="22"/>
        <v/>
      </c>
      <c r="J315" s="29" t="str">
        <f t="shared" si="23"/>
        <v/>
      </c>
      <c r="K315" s="29" t="str">
        <f t="shared" si="24"/>
        <v/>
      </c>
      <c r="M315" s="11"/>
    </row>
    <row r="316" spans="1:13" ht="15" x14ac:dyDescent="0.25">
      <c r="A316" s="1" t="str">
        <f>IF('1.1 Produksi Bersih Padi 2025'!A316="","",'1.1 Produksi Bersih Padi 2025'!A316)</f>
        <v/>
      </c>
      <c r="B316" s="31" t="str">
        <f>IF('1.1 Produksi Bersih Padi 2025'!B316="","",'1.1 Produksi Bersih Padi 2025'!B316)</f>
        <v/>
      </c>
      <c r="C316" s="31" t="str">
        <f>IF('1.1 Produksi Bersih Padi 2025'!C316="","",'1.1 Produksi Bersih Padi 2025'!C316)</f>
        <v/>
      </c>
      <c r="D316" s="1" t="str">
        <f>IF('1.1 Produksi Bersih Padi 2025'!D316="","",'1.1 Produksi Bersih Padi 2025'!D316)</f>
        <v/>
      </c>
      <c r="E316" s="1" t="str">
        <f>IF('1.1 Produksi Bersih Padi 2025'!E316="","",'1.1 Produksi Bersih Padi 2025'!E316)</f>
        <v/>
      </c>
      <c r="F316" s="28" t="str">
        <f>IF(D316="","",VLOOKUP(D316,'[1]0.1 Produksi Pangan &amp; Penduduk'!$D$5:$AQ$860,40,0))</f>
        <v/>
      </c>
      <c r="G316" s="29" t="str">
        <f t="shared" si="20"/>
        <v/>
      </c>
      <c r="H316" s="29" t="str">
        <f t="shared" si="21"/>
        <v/>
      </c>
      <c r="I316" s="29" t="str">
        <f t="shared" si="22"/>
        <v/>
      </c>
      <c r="J316" s="29" t="str">
        <f t="shared" si="23"/>
        <v/>
      </c>
      <c r="K316" s="29" t="str">
        <f t="shared" si="24"/>
        <v/>
      </c>
      <c r="M316" s="11"/>
    </row>
    <row r="317" spans="1:13" ht="15" x14ac:dyDescent="0.25">
      <c r="A317" s="1" t="str">
        <f>IF('1.1 Produksi Bersih Padi 2025'!A317="","",'1.1 Produksi Bersih Padi 2025'!A317)</f>
        <v/>
      </c>
      <c r="B317" s="31" t="str">
        <f>IF('1.1 Produksi Bersih Padi 2025'!B317="","",'1.1 Produksi Bersih Padi 2025'!B317)</f>
        <v/>
      </c>
      <c r="C317" s="31" t="str">
        <f>IF('1.1 Produksi Bersih Padi 2025'!C317="","",'1.1 Produksi Bersih Padi 2025'!C317)</f>
        <v/>
      </c>
      <c r="D317" s="1" t="str">
        <f>IF('1.1 Produksi Bersih Padi 2025'!D317="","",'1.1 Produksi Bersih Padi 2025'!D317)</f>
        <v/>
      </c>
      <c r="E317" s="1" t="str">
        <f>IF('1.1 Produksi Bersih Padi 2025'!E317="","",'1.1 Produksi Bersih Padi 2025'!E317)</f>
        <v/>
      </c>
      <c r="F317" s="28" t="str">
        <f>IF(D317="","",VLOOKUP(D317,'[1]0.1 Produksi Pangan &amp; Penduduk'!$D$5:$AQ$860,40,0))</f>
        <v/>
      </c>
      <c r="G317" s="29" t="str">
        <f t="shared" si="20"/>
        <v/>
      </c>
      <c r="H317" s="29" t="str">
        <f t="shared" si="21"/>
        <v/>
      </c>
      <c r="I317" s="29" t="str">
        <f t="shared" si="22"/>
        <v/>
      </c>
      <c r="J317" s="29" t="str">
        <f t="shared" si="23"/>
        <v/>
      </c>
      <c r="K317" s="29" t="str">
        <f t="shared" si="24"/>
        <v/>
      </c>
      <c r="M317" s="11"/>
    </row>
    <row r="318" spans="1:13" ht="15" x14ac:dyDescent="0.25">
      <c r="A318" s="1" t="str">
        <f>IF('1.1 Produksi Bersih Padi 2025'!A318="","",'1.1 Produksi Bersih Padi 2025'!A318)</f>
        <v/>
      </c>
      <c r="B318" s="31" t="str">
        <f>IF('1.1 Produksi Bersih Padi 2025'!B318="","",'1.1 Produksi Bersih Padi 2025'!B318)</f>
        <v/>
      </c>
      <c r="C318" s="31" t="str">
        <f>IF('1.1 Produksi Bersih Padi 2025'!C318="","",'1.1 Produksi Bersih Padi 2025'!C318)</f>
        <v/>
      </c>
      <c r="D318" s="1" t="str">
        <f>IF('1.1 Produksi Bersih Padi 2025'!D318="","",'1.1 Produksi Bersih Padi 2025'!D318)</f>
        <v/>
      </c>
      <c r="E318" s="1" t="str">
        <f>IF('1.1 Produksi Bersih Padi 2025'!E318="","",'1.1 Produksi Bersih Padi 2025'!E318)</f>
        <v/>
      </c>
      <c r="F318" s="28" t="str">
        <f>IF(D318="","",VLOOKUP(D318,'[1]0.1 Produksi Pangan &amp; Penduduk'!$D$5:$AQ$860,40,0))</f>
        <v/>
      </c>
      <c r="G318" s="29" t="str">
        <f t="shared" si="20"/>
        <v/>
      </c>
      <c r="H318" s="29" t="str">
        <f t="shared" si="21"/>
        <v/>
      </c>
      <c r="I318" s="29" t="str">
        <f t="shared" si="22"/>
        <v/>
      </c>
      <c r="J318" s="29" t="str">
        <f t="shared" si="23"/>
        <v/>
      </c>
      <c r="K318" s="29" t="str">
        <f t="shared" si="24"/>
        <v/>
      </c>
      <c r="M318" s="11"/>
    </row>
    <row r="319" spans="1:13" ht="15" x14ac:dyDescent="0.25">
      <c r="A319" s="1" t="str">
        <f>IF('1.1 Produksi Bersih Padi 2025'!A319="","",'1.1 Produksi Bersih Padi 2025'!A319)</f>
        <v/>
      </c>
      <c r="B319" s="31" t="str">
        <f>IF('1.1 Produksi Bersih Padi 2025'!B319="","",'1.1 Produksi Bersih Padi 2025'!B319)</f>
        <v/>
      </c>
      <c r="C319" s="31" t="str">
        <f>IF('1.1 Produksi Bersih Padi 2025'!C319="","",'1.1 Produksi Bersih Padi 2025'!C319)</f>
        <v/>
      </c>
      <c r="D319" s="1" t="str">
        <f>IF('1.1 Produksi Bersih Padi 2025'!D319="","",'1.1 Produksi Bersih Padi 2025'!D319)</f>
        <v/>
      </c>
      <c r="E319" s="1" t="str">
        <f>IF('1.1 Produksi Bersih Padi 2025'!E319="","",'1.1 Produksi Bersih Padi 2025'!E319)</f>
        <v/>
      </c>
      <c r="F319" s="28" t="str">
        <f>IF(D319="","",VLOOKUP(D319,'[1]0.1 Produksi Pangan &amp; Penduduk'!$D$5:$AQ$860,40,0))</f>
        <v/>
      </c>
      <c r="G319" s="29" t="str">
        <f t="shared" si="20"/>
        <v/>
      </c>
      <c r="H319" s="29" t="str">
        <f t="shared" si="21"/>
        <v/>
      </c>
      <c r="I319" s="29" t="str">
        <f t="shared" si="22"/>
        <v/>
      </c>
      <c r="J319" s="29" t="str">
        <f t="shared" si="23"/>
        <v/>
      </c>
      <c r="K319" s="29" t="str">
        <f t="shared" si="24"/>
        <v/>
      </c>
      <c r="M319" s="11"/>
    </row>
    <row r="320" spans="1:13" ht="15" x14ac:dyDescent="0.25">
      <c r="A320" s="1" t="str">
        <f>IF('1.1 Produksi Bersih Padi 2025'!A320="","",'1.1 Produksi Bersih Padi 2025'!A320)</f>
        <v/>
      </c>
      <c r="B320" s="31" t="str">
        <f>IF('1.1 Produksi Bersih Padi 2025'!B320="","",'1.1 Produksi Bersih Padi 2025'!B320)</f>
        <v/>
      </c>
      <c r="C320" s="31" t="str">
        <f>IF('1.1 Produksi Bersih Padi 2025'!C320="","",'1.1 Produksi Bersih Padi 2025'!C320)</f>
        <v/>
      </c>
      <c r="D320" s="1" t="str">
        <f>IF('1.1 Produksi Bersih Padi 2025'!D320="","",'1.1 Produksi Bersih Padi 2025'!D320)</f>
        <v/>
      </c>
      <c r="E320" s="1" t="str">
        <f>IF('1.1 Produksi Bersih Padi 2025'!E320="","",'1.1 Produksi Bersih Padi 2025'!E320)</f>
        <v/>
      </c>
      <c r="F320" s="28" t="str">
        <f>IF(D320="","",VLOOKUP(D320,'[1]0.1 Produksi Pangan &amp; Penduduk'!$D$5:$AQ$860,40,0))</f>
        <v/>
      </c>
      <c r="G320" s="29" t="str">
        <f t="shared" si="20"/>
        <v/>
      </c>
      <c r="H320" s="29" t="str">
        <f t="shared" si="21"/>
        <v/>
      </c>
      <c r="I320" s="29" t="str">
        <f t="shared" si="22"/>
        <v/>
      </c>
      <c r="J320" s="29" t="str">
        <f t="shared" si="23"/>
        <v/>
      </c>
      <c r="K320" s="29" t="str">
        <f t="shared" si="24"/>
        <v/>
      </c>
      <c r="M320" s="11"/>
    </row>
    <row r="321" spans="1:13" ht="15" x14ac:dyDescent="0.25">
      <c r="A321" s="1" t="str">
        <f>IF('1.1 Produksi Bersih Padi 2025'!A321="","",'1.1 Produksi Bersih Padi 2025'!A321)</f>
        <v/>
      </c>
      <c r="B321" s="31" t="str">
        <f>IF('1.1 Produksi Bersih Padi 2025'!B321="","",'1.1 Produksi Bersih Padi 2025'!B321)</f>
        <v/>
      </c>
      <c r="C321" s="31" t="str">
        <f>IF('1.1 Produksi Bersih Padi 2025'!C321="","",'1.1 Produksi Bersih Padi 2025'!C321)</f>
        <v/>
      </c>
      <c r="D321" s="1" t="str">
        <f>IF('1.1 Produksi Bersih Padi 2025'!D321="","",'1.1 Produksi Bersih Padi 2025'!D321)</f>
        <v/>
      </c>
      <c r="E321" s="1" t="str">
        <f>IF('1.1 Produksi Bersih Padi 2025'!E321="","",'1.1 Produksi Bersih Padi 2025'!E321)</f>
        <v/>
      </c>
      <c r="F321" s="28" t="str">
        <f>IF(D321="","",VLOOKUP(D321,'[1]0.1 Produksi Pangan &amp; Penduduk'!$D$5:$AQ$860,40,0))</f>
        <v/>
      </c>
      <c r="G321" s="29" t="str">
        <f t="shared" si="20"/>
        <v/>
      </c>
      <c r="H321" s="29" t="str">
        <f t="shared" si="21"/>
        <v/>
      </c>
      <c r="I321" s="29" t="str">
        <f t="shared" si="22"/>
        <v/>
      </c>
      <c r="J321" s="29" t="str">
        <f t="shared" si="23"/>
        <v/>
      </c>
      <c r="K321" s="29" t="str">
        <f t="shared" si="24"/>
        <v/>
      </c>
      <c r="M321" s="11"/>
    </row>
    <row r="322" spans="1:13" ht="15" x14ac:dyDescent="0.25">
      <c r="A322" s="1" t="str">
        <f>IF('1.1 Produksi Bersih Padi 2025'!A322="","",'1.1 Produksi Bersih Padi 2025'!A322)</f>
        <v/>
      </c>
      <c r="B322" s="31" t="str">
        <f>IF('1.1 Produksi Bersih Padi 2025'!B322="","",'1.1 Produksi Bersih Padi 2025'!B322)</f>
        <v/>
      </c>
      <c r="C322" s="31" t="str">
        <f>IF('1.1 Produksi Bersih Padi 2025'!C322="","",'1.1 Produksi Bersih Padi 2025'!C322)</f>
        <v/>
      </c>
      <c r="D322" s="1" t="str">
        <f>IF('1.1 Produksi Bersih Padi 2025'!D322="","",'1.1 Produksi Bersih Padi 2025'!D322)</f>
        <v/>
      </c>
      <c r="E322" s="1" t="str">
        <f>IF('1.1 Produksi Bersih Padi 2025'!E322="","",'1.1 Produksi Bersih Padi 2025'!E322)</f>
        <v/>
      </c>
      <c r="F322" s="28" t="str">
        <f>IF(D322="","",VLOOKUP(D322,'[1]0.1 Produksi Pangan &amp; Penduduk'!$D$5:$AQ$860,40,0))</f>
        <v/>
      </c>
      <c r="G322" s="29" t="str">
        <f t="shared" si="20"/>
        <v/>
      </c>
      <c r="H322" s="29" t="str">
        <f t="shared" si="21"/>
        <v/>
      </c>
      <c r="I322" s="29" t="str">
        <f t="shared" si="22"/>
        <v/>
      </c>
      <c r="J322" s="29" t="str">
        <f t="shared" si="23"/>
        <v/>
      </c>
      <c r="K322" s="29" t="str">
        <f t="shared" si="24"/>
        <v/>
      </c>
      <c r="M322" s="11"/>
    </row>
    <row r="323" spans="1:13" ht="15" x14ac:dyDescent="0.25">
      <c r="A323" s="1" t="str">
        <f>IF('1.1 Produksi Bersih Padi 2025'!A323="","",'1.1 Produksi Bersih Padi 2025'!A323)</f>
        <v/>
      </c>
      <c r="B323" s="31" t="str">
        <f>IF('1.1 Produksi Bersih Padi 2025'!B323="","",'1.1 Produksi Bersih Padi 2025'!B323)</f>
        <v/>
      </c>
      <c r="C323" s="31" t="str">
        <f>IF('1.1 Produksi Bersih Padi 2025'!C323="","",'1.1 Produksi Bersih Padi 2025'!C323)</f>
        <v/>
      </c>
      <c r="D323" s="1" t="str">
        <f>IF('1.1 Produksi Bersih Padi 2025'!D323="","",'1.1 Produksi Bersih Padi 2025'!D323)</f>
        <v/>
      </c>
      <c r="E323" s="1" t="str">
        <f>IF('1.1 Produksi Bersih Padi 2025'!E323="","",'1.1 Produksi Bersih Padi 2025'!E323)</f>
        <v/>
      </c>
      <c r="F323" s="28" t="str">
        <f>IF(D323="","",VLOOKUP(D323,'[1]0.1 Produksi Pangan &amp; Penduduk'!$D$5:$AQ$860,40,0))</f>
        <v/>
      </c>
      <c r="G323" s="29" t="str">
        <f t="shared" si="20"/>
        <v/>
      </c>
      <c r="H323" s="29" t="str">
        <f t="shared" si="21"/>
        <v/>
      </c>
      <c r="I323" s="29" t="str">
        <f t="shared" si="22"/>
        <v/>
      </c>
      <c r="J323" s="29" t="str">
        <f t="shared" si="23"/>
        <v/>
      </c>
      <c r="K323" s="29" t="str">
        <f t="shared" si="24"/>
        <v/>
      </c>
      <c r="M323" s="11"/>
    </row>
    <row r="324" spans="1:13" ht="15" x14ac:dyDescent="0.25">
      <c r="A324" s="1" t="str">
        <f>IF('1.1 Produksi Bersih Padi 2025'!A324="","",'1.1 Produksi Bersih Padi 2025'!A324)</f>
        <v/>
      </c>
      <c r="B324" s="31" t="str">
        <f>IF('1.1 Produksi Bersih Padi 2025'!B324="","",'1.1 Produksi Bersih Padi 2025'!B324)</f>
        <v/>
      </c>
      <c r="C324" s="31" t="str">
        <f>IF('1.1 Produksi Bersih Padi 2025'!C324="","",'1.1 Produksi Bersih Padi 2025'!C324)</f>
        <v/>
      </c>
      <c r="D324" s="1" t="str">
        <f>IF('1.1 Produksi Bersih Padi 2025'!D324="","",'1.1 Produksi Bersih Padi 2025'!D324)</f>
        <v/>
      </c>
      <c r="E324" s="1" t="str">
        <f>IF('1.1 Produksi Bersih Padi 2025'!E324="","",'1.1 Produksi Bersih Padi 2025'!E324)</f>
        <v/>
      </c>
      <c r="F324" s="28" t="str">
        <f>IF(D324="","",VLOOKUP(D324,'[1]0.1 Produksi Pangan &amp; Penduduk'!$D$5:$AQ$860,40,0))</f>
        <v/>
      </c>
      <c r="G324" s="29" t="str">
        <f t="shared" si="20"/>
        <v/>
      </c>
      <c r="H324" s="29" t="str">
        <f t="shared" si="21"/>
        <v/>
      </c>
      <c r="I324" s="29" t="str">
        <f t="shared" si="22"/>
        <v/>
      </c>
      <c r="J324" s="29" t="str">
        <f t="shared" si="23"/>
        <v/>
      </c>
      <c r="K324" s="29" t="str">
        <f t="shared" si="24"/>
        <v/>
      </c>
      <c r="M324" s="11"/>
    </row>
    <row r="325" spans="1:13" ht="15" x14ac:dyDescent="0.25">
      <c r="A325" s="1" t="str">
        <f>IF('1.1 Produksi Bersih Padi 2025'!A325="","",'1.1 Produksi Bersih Padi 2025'!A325)</f>
        <v/>
      </c>
      <c r="B325" s="31" t="str">
        <f>IF('1.1 Produksi Bersih Padi 2025'!B325="","",'1.1 Produksi Bersih Padi 2025'!B325)</f>
        <v/>
      </c>
      <c r="C325" s="31" t="str">
        <f>IF('1.1 Produksi Bersih Padi 2025'!C325="","",'1.1 Produksi Bersih Padi 2025'!C325)</f>
        <v/>
      </c>
      <c r="D325" s="1" t="str">
        <f>IF('1.1 Produksi Bersih Padi 2025'!D325="","",'1.1 Produksi Bersih Padi 2025'!D325)</f>
        <v/>
      </c>
      <c r="E325" s="1" t="str">
        <f>IF('1.1 Produksi Bersih Padi 2025'!E325="","",'1.1 Produksi Bersih Padi 2025'!E325)</f>
        <v/>
      </c>
      <c r="F325" s="28" t="str">
        <f>IF(D325="","",VLOOKUP(D325,'[1]0.1 Produksi Pangan &amp; Penduduk'!$D$5:$AQ$860,40,0))</f>
        <v/>
      </c>
      <c r="G325" s="29" t="str">
        <f t="shared" si="20"/>
        <v/>
      </c>
      <c r="H325" s="29" t="str">
        <f t="shared" si="21"/>
        <v/>
      </c>
      <c r="I325" s="29" t="str">
        <f t="shared" si="22"/>
        <v/>
      </c>
      <c r="J325" s="29" t="str">
        <f t="shared" si="23"/>
        <v/>
      </c>
      <c r="K325" s="29" t="str">
        <f t="shared" si="24"/>
        <v/>
      </c>
      <c r="M325" s="11"/>
    </row>
    <row r="326" spans="1:13" ht="15" x14ac:dyDescent="0.25">
      <c r="A326" s="1" t="str">
        <f>IF('1.1 Produksi Bersih Padi 2025'!A326="","",'1.1 Produksi Bersih Padi 2025'!A326)</f>
        <v/>
      </c>
      <c r="B326" s="31" t="str">
        <f>IF('1.1 Produksi Bersih Padi 2025'!B326="","",'1.1 Produksi Bersih Padi 2025'!B326)</f>
        <v/>
      </c>
      <c r="C326" s="31" t="str">
        <f>IF('1.1 Produksi Bersih Padi 2025'!C326="","",'1.1 Produksi Bersih Padi 2025'!C326)</f>
        <v/>
      </c>
      <c r="D326" s="1" t="str">
        <f>IF('1.1 Produksi Bersih Padi 2025'!D326="","",'1.1 Produksi Bersih Padi 2025'!D326)</f>
        <v/>
      </c>
      <c r="E326" s="1" t="str">
        <f>IF('1.1 Produksi Bersih Padi 2025'!E326="","",'1.1 Produksi Bersih Padi 2025'!E326)</f>
        <v/>
      </c>
      <c r="F326" s="28" t="str">
        <f>IF(D326="","",VLOOKUP(D326,'[1]0.1 Produksi Pangan &amp; Penduduk'!$D$5:$AQ$860,40,0))</f>
        <v/>
      </c>
      <c r="G326" s="29" t="str">
        <f t="shared" ref="G326:G389" si="25">IF(F326="","",F326*0%)</f>
        <v/>
      </c>
      <c r="H326" s="29" t="str">
        <f t="shared" ref="H326:H389" si="26">IF(F326="","",F326*0%)</f>
        <v/>
      </c>
      <c r="I326" s="29" t="str">
        <f t="shared" ref="I326:I389" si="27">IF(F326="","",F326*1.11%)</f>
        <v/>
      </c>
      <c r="J326" s="29" t="str">
        <f t="shared" ref="J326:J389" si="28">IF(F326="","",F326-(G326+H326+I326))</f>
        <v/>
      </c>
      <c r="K326" s="29" t="str">
        <f t="shared" ref="K326:K389" si="29">IF(J326="","",J326*0.134)</f>
        <v/>
      </c>
      <c r="M326" s="11"/>
    </row>
    <row r="327" spans="1:13" ht="15" x14ac:dyDescent="0.25">
      <c r="A327" s="1" t="str">
        <f>IF('1.1 Produksi Bersih Padi 2025'!A327="","",'1.1 Produksi Bersih Padi 2025'!A327)</f>
        <v/>
      </c>
      <c r="B327" s="31" t="str">
        <f>IF('1.1 Produksi Bersih Padi 2025'!B327="","",'1.1 Produksi Bersih Padi 2025'!B327)</f>
        <v/>
      </c>
      <c r="C327" s="31" t="str">
        <f>IF('1.1 Produksi Bersih Padi 2025'!C327="","",'1.1 Produksi Bersih Padi 2025'!C327)</f>
        <v/>
      </c>
      <c r="D327" s="1" t="str">
        <f>IF('1.1 Produksi Bersih Padi 2025'!D327="","",'1.1 Produksi Bersih Padi 2025'!D327)</f>
        <v/>
      </c>
      <c r="E327" s="1" t="str">
        <f>IF('1.1 Produksi Bersih Padi 2025'!E327="","",'1.1 Produksi Bersih Padi 2025'!E327)</f>
        <v/>
      </c>
      <c r="F327" s="28" t="str">
        <f>IF(D327="","",VLOOKUP(D327,'[1]0.1 Produksi Pangan &amp; Penduduk'!$D$5:$AQ$860,40,0))</f>
        <v/>
      </c>
      <c r="G327" s="29" t="str">
        <f t="shared" si="25"/>
        <v/>
      </c>
      <c r="H327" s="29" t="str">
        <f t="shared" si="26"/>
        <v/>
      </c>
      <c r="I327" s="29" t="str">
        <f t="shared" si="27"/>
        <v/>
      </c>
      <c r="J327" s="29" t="str">
        <f t="shared" si="28"/>
        <v/>
      </c>
      <c r="K327" s="29" t="str">
        <f t="shared" si="29"/>
        <v/>
      </c>
      <c r="M327" s="11"/>
    </row>
    <row r="328" spans="1:13" ht="15" x14ac:dyDescent="0.25">
      <c r="A328" s="1" t="str">
        <f>IF('1.1 Produksi Bersih Padi 2025'!A328="","",'1.1 Produksi Bersih Padi 2025'!A328)</f>
        <v/>
      </c>
      <c r="B328" s="31" t="str">
        <f>IF('1.1 Produksi Bersih Padi 2025'!B328="","",'1.1 Produksi Bersih Padi 2025'!B328)</f>
        <v/>
      </c>
      <c r="C328" s="31" t="str">
        <f>IF('1.1 Produksi Bersih Padi 2025'!C328="","",'1.1 Produksi Bersih Padi 2025'!C328)</f>
        <v/>
      </c>
      <c r="D328" s="1" t="str">
        <f>IF('1.1 Produksi Bersih Padi 2025'!D328="","",'1.1 Produksi Bersih Padi 2025'!D328)</f>
        <v/>
      </c>
      <c r="E328" s="1" t="str">
        <f>IF('1.1 Produksi Bersih Padi 2025'!E328="","",'1.1 Produksi Bersih Padi 2025'!E328)</f>
        <v/>
      </c>
      <c r="F328" s="28" t="str">
        <f>IF(D328="","",VLOOKUP(D328,'[1]0.1 Produksi Pangan &amp; Penduduk'!$D$5:$AQ$860,40,0))</f>
        <v/>
      </c>
      <c r="G328" s="29" t="str">
        <f t="shared" si="25"/>
        <v/>
      </c>
      <c r="H328" s="29" t="str">
        <f t="shared" si="26"/>
        <v/>
      </c>
      <c r="I328" s="29" t="str">
        <f t="shared" si="27"/>
        <v/>
      </c>
      <c r="J328" s="29" t="str">
        <f t="shared" si="28"/>
        <v/>
      </c>
      <c r="K328" s="29" t="str">
        <f t="shared" si="29"/>
        <v/>
      </c>
      <c r="M328" s="11"/>
    </row>
    <row r="329" spans="1:13" ht="15" x14ac:dyDescent="0.25">
      <c r="A329" s="1" t="str">
        <f>IF('1.1 Produksi Bersih Padi 2025'!A329="","",'1.1 Produksi Bersih Padi 2025'!A329)</f>
        <v/>
      </c>
      <c r="B329" s="31" t="str">
        <f>IF('1.1 Produksi Bersih Padi 2025'!B329="","",'1.1 Produksi Bersih Padi 2025'!B329)</f>
        <v/>
      </c>
      <c r="C329" s="31" t="str">
        <f>IF('1.1 Produksi Bersih Padi 2025'!C329="","",'1.1 Produksi Bersih Padi 2025'!C329)</f>
        <v/>
      </c>
      <c r="D329" s="1" t="str">
        <f>IF('1.1 Produksi Bersih Padi 2025'!D329="","",'1.1 Produksi Bersih Padi 2025'!D329)</f>
        <v/>
      </c>
      <c r="E329" s="1" t="str">
        <f>IF('1.1 Produksi Bersih Padi 2025'!E329="","",'1.1 Produksi Bersih Padi 2025'!E329)</f>
        <v/>
      </c>
      <c r="F329" s="28" t="str">
        <f>IF(D329="","",VLOOKUP(D329,'[1]0.1 Produksi Pangan &amp; Penduduk'!$D$5:$AQ$860,40,0))</f>
        <v/>
      </c>
      <c r="G329" s="29" t="str">
        <f t="shared" si="25"/>
        <v/>
      </c>
      <c r="H329" s="29" t="str">
        <f t="shared" si="26"/>
        <v/>
      </c>
      <c r="I329" s="29" t="str">
        <f t="shared" si="27"/>
        <v/>
      </c>
      <c r="J329" s="29" t="str">
        <f t="shared" si="28"/>
        <v/>
      </c>
      <c r="K329" s="29" t="str">
        <f t="shared" si="29"/>
        <v/>
      </c>
      <c r="M329" s="11"/>
    </row>
    <row r="330" spans="1:13" ht="15" x14ac:dyDescent="0.25">
      <c r="A330" s="1" t="str">
        <f>IF('1.1 Produksi Bersih Padi 2025'!A330="","",'1.1 Produksi Bersih Padi 2025'!A330)</f>
        <v/>
      </c>
      <c r="B330" s="31" t="str">
        <f>IF('1.1 Produksi Bersih Padi 2025'!B330="","",'1.1 Produksi Bersih Padi 2025'!B330)</f>
        <v/>
      </c>
      <c r="C330" s="31" t="str">
        <f>IF('1.1 Produksi Bersih Padi 2025'!C330="","",'1.1 Produksi Bersih Padi 2025'!C330)</f>
        <v/>
      </c>
      <c r="D330" s="1" t="str">
        <f>IF('1.1 Produksi Bersih Padi 2025'!D330="","",'1.1 Produksi Bersih Padi 2025'!D330)</f>
        <v/>
      </c>
      <c r="E330" s="1" t="str">
        <f>IF('1.1 Produksi Bersih Padi 2025'!E330="","",'1.1 Produksi Bersih Padi 2025'!E330)</f>
        <v/>
      </c>
      <c r="F330" s="28" t="str">
        <f>IF(D330="","",VLOOKUP(D330,'[1]0.1 Produksi Pangan &amp; Penduduk'!$D$5:$AQ$860,40,0))</f>
        <v/>
      </c>
      <c r="G330" s="29" t="str">
        <f t="shared" si="25"/>
        <v/>
      </c>
      <c r="H330" s="29" t="str">
        <f t="shared" si="26"/>
        <v/>
      </c>
      <c r="I330" s="29" t="str">
        <f t="shared" si="27"/>
        <v/>
      </c>
      <c r="J330" s="29" t="str">
        <f t="shared" si="28"/>
        <v/>
      </c>
      <c r="K330" s="29" t="str">
        <f t="shared" si="29"/>
        <v/>
      </c>
      <c r="M330" s="11"/>
    </row>
    <row r="331" spans="1:13" ht="15" x14ac:dyDescent="0.25">
      <c r="A331" s="1" t="str">
        <f>IF('1.1 Produksi Bersih Padi 2025'!A331="","",'1.1 Produksi Bersih Padi 2025'!A331)</f>
        <v/>
      </c>
      <c r="B331" s="31" t="str">
        <f>IF('1.1 Produksi Bersih Padi 2025'!B331="","",'1.1 Produksi Bersih Padi 2025'!B331)</f>
        <v/>
      </c>
      <c r="C331" s="31" t="str">
        <f>IF('1.1 Produksi Bersih Padi 2025'!C331="","",'1.1 Produksi Bersih Padi 2025'!C331)</f>
        <v/>
      </c>
      <c r="D331" s="1" t="str">
        <f>IF('1.1 Produksi Bersih Padi 2025'!D331="","",'1.1 Produksi Bersih Padi 2025'!D331)</f>
        <v/>
      </c>
      <c r="E331" s="1" t="str">
        <f>IF('1.1 Produksi Bersih Padi 2025'!E331="","",'1.1 Produksi Bersih Padi 2025'!E331)</f>
        <v/>
      </c>
      <c r="F331" s="28" t="str">
        <f>IF(D331="","",VLOOKUP(D331,'[1]0.1 Produksi Pangan &amp; Penduduk'!$D$5:$AQ$860,40,0))</f>
        <v/>
      </c>
      <c r="G331" s="29" t="str">
        <f t="shared" si="25"/>
        <v/>
      </c>
      <c r="H331" s="29" t="str">
        <f t="shared" si="26"/>
        <v/>
      </c>
      <c r="I331" s="29" t="str">
        <f t="shared" si="27"/>
        <v/>
      </c>
      <c r="J331" s="29" t="str">
        <f t="shared" si="28"/>
        <v/>
      </c>
      <c r="K331" s="29" t="str">
        <f t="shared" si="29"/>
        <v/>
      </c>
      <c r="M331" s="11"/>
    </row>
    <row r="332" spans="1:13" ht="15" x14ac:dyDescent="0.25">
      <c r="A332" s="1" t="str">
        <f>IF('1.1 Produksi Bersih Padi 2025'!A332="","",'1.1 Produksi Bersih Padi 2025'!A332)</f>
        <v/>
      </c>
      <c r="B332" s="31" t="str">
        <f>IF('1.1 Produksi Bersih Padi 2025'!B332="","",'1.1 Produksi Bersih Padi 2025'!B332)</f>
        <v/>
      </c>
      <c r="C332" s="31" t="str">
        <f>IF('1.1 Produksi Bersih Padi 2025'!C332="","",'1.1 Produksi Bersih Padi 2025'!C332)</f>
        <v/>
      </c>
      <c r="D332" s="1" t="str">
        <f>IF('1.1 Produksi Bersih Padi 2025'!D332="","",'1.1 Produksi Bersih Padi 2025'!D332)</f>
        <v/>
      </c>
      <c r="E332" s="1" t="str">
        <f>IF('1.1 Produksi Bersih Padi 2025'!E332="","",'1.1 Produksi Bersih Padi 2025'!E332)</f>
        <v/>
      </c>
      <c r="F332" s="28" t="str">
        <f>IF(D332="","",VLOOKUP(D332,'[1]0.1 Produksi Pangan &amp; Penduduk'!$D$5:$AQ$860,40,0))</f>
        <v/>
      </c>
      <c r="G332" s="29" t="str">
        <f t="shared" si="25"/>
        <v/>
      </c>
      <c r="H332" s="29" t="str">
        <f t="shared" si="26"/>
        <v/>
      </c>
      <c r="I332" s="29" t="str">
        <f t="shared" si="27"/>
        <v/>
      </c>
      <c r="J332" s="29" t="str">
        <f t="shared" si="28"/>
        <v/>
      </c>
      <c r="K332" s="29" t="str">
        <f t="shared" si="29"/>
        <v/>
      </c>
      <c r="M332" s="11"/>
    </row>
    <row r="333" spans="1:13" ht="15" x14ac:dyDescent="0.25">
      <c r="A333" s="1" t="str">
        <f>IF('1.1 Produksi Bersih Padi 2025'!A333="","",'1.1 Produksi Bersih Padi 2025'!A333)</f>
        <v/>
      </c>
      <c r="B333" s="31" t="str">
        <f>IF('1.1 Produksi Bersih Padi 2025'!B333="","",'1.1 Produksi Bersih Padi 2025'!B333)</f>
        <v/>
      </c>
      <c r="C333" s="31" t="str">
        <f>IF('1.1 Produksi Bersih Padi 2025'!C333="","",'1.1 Produksi Bersih Padi 2025'!C333)</f>
        <v/>
      </c>
      <c r="D333" s="1" t="str">
        <f>IF('1.1 Produksi Bersih Padi 2025'!D333="","",'1.1 Produksi Bersih Padi 2025'!D333)</f>
        <v/>
      </c>
      <c r="E333" s="1" t="str">
        <f>IF('1.1 Produksi Bersih Padi 2025'!E333="","",'1.1 Produksi Bersih Padi 2025'!E333)</f>
        <v/>
      </c>
      <c r="F333" s="28" t="str">
        <f>IF(D333="","",VLOOKUP(D333,'[1]0.1 Produksi Pangan &amp; Penduduk'!$D$5:$AQ$860,40,0))</f>
        <v/>
      </c>
      <c r="G333" s="29" t="str">
        <f t="shared" si="25"/>
        <v/>
      </c>
      <c r="H333" s="29" t="str">
        <f t="shared" si="26"/>
        <v/>
      </c>
      <c r="I333" s="29" t="str">
        <f t="shared" si="27"/>
        <v/>
      </c>
      <c r="J333" s="29" t="str">
        <f t="shared" si="28"/>
        <v/>
      </c>
      <c r="K333" s="29" t="str">
        <f t="shared" si="29"/>
        <v/>
      </c>
      <c r="M333" s="11"/>
    </row>
    <row r="334" spans="1:13" ht="15" x14ac:dyDescent="0.25">
      <c r="A334" s="1" t="str">
        <f>IF('1.1 Produksi Bersih Padi 2025'!A334="","",'1.1 Produksi Bersih Padi 2025'!A334)</f>
        <v/>
      </c>
      <c r="B334" s="31" t="str">
        <f>IF('1.1 Produksi Bersih Padi 2025'!B334="","",'1.1 Produksi Bersih Padi 2025'!B334)</f>
        <v/>
      </c>
      <c r="C334" s="31" t="str">
        <f>IF('1.1 Produksi Bersih Padi 2025'!C334="","",'1.1 Produksi Bersih Padi 2025'!C334)</f>
        <v/>
      </c>
      <c r="D334" s="1" t="str">
        <f>IF('1.1 Produksi Bersih Padi 2025'!D334="","",'1.1 Produksi Bersih Padi 2025'!D334)</f>
        <v/>
      </c>
      <c r="E334" s="1" t="str">
        <f>IF('1.1 Produksi Bersih Padi 2025'!E334="","",'1.1 Produksi Bersih Padi 2025'!E334)</f>
        <v/>
      </c>
      <c r="F334" s="28" t="str">
        <f>IF(D334="","",VLOOKUP(D334,'[1]0.1 Produksi Pangan &amp; Penduduk'!$D$5:$AQ$860,40,0))</f>
        <v/>
      </c>
      <c r="G334" s="29" t="str">
        <f t="shared" si="25"/>
        <v/>
      </c>
      <c r="H334" s="29" t="str">
        <f t="shared" si="26"/>
        <v/>
      </c>
      <c r="I334" s="29" t="str">
        <f t="shared" si="27"/>
        <v/>
      </c>
      <c r="J334" s="29" t="str">
        <f t="shared" si="28"/>
        <v/>
      </c>
      <c r="K334" s="29" t="str">
        <f t="shared" si="29"/>
        <v/>
      </c>
      <c r="M334" s="11"/>
    </row>
    <row r="335" spans="1:13" ht="15" x14ac:dyDescent="0.25">
      <c r="A335" s="1" t="str">
        <f>IF('1.1 Produksi Bersih Padi 2025'!A335="","",'1.1 Produksi Bersih Padi 2025'!A335)</f>
        <v/>
      </c>
      <c r="B335" s="31" t="str">
        <f>IF('1.1 Produksi Bersih Padi 2025'!B335="","",'1.1 Produksi Bersih Padi 2025'!B335)</f>
        <v/>
      </c>
      <c r="C335" s="31" t="str">
        <f>IF('1.1 Produksi Bersih Padi 2025'!C335="","",'1.1 Produksi Bersih Padi 2025'!C335)</f>
        <v/>
      </c>
      <c r="D335" s="1" t="str">
        <f>IF('1.1 Produksi Bersih Padi 2025'!D335="","",'1.1 Produksi Bersih Padi 2025'!D335)</f>
        <v/>
      </c>
      <c r="E335" s="1" t="str">
        <f>IF('1.1 Produksi Bersih Padi 2025'!E335="","",'1.1 Produksi Bersih Padi 2025'!E335)</f>
        <v/>
      </c>
      <c r="F335" s="28" t="str">
        <f>IF(D335="","",VLOOKUP(D335,'[1]0.1 Produksi Pangan &amp; Penduduk'!$D$5:$AQ$860,40,0))</f>
        <v/>
      </c>
      <c r="G335" s="29" t="str">
        <f t="shared" si="25"/>
        <v/>
      </c>
      <c r="H335" s="29" t="str">
        <f t="shared" si="26"/>
        <v/>
      </c>
      <c r="I335" s="29" t="str">
        <f t="shared" si="27"/>
        <v/>
      </c>
      <c r="J335" s="29" t="str">
        <f t="shared" si="28"/>
        <v/>
      </c>
      <c r="K335" s="29" t="str">
        <f t="shared" si="29"/>
        <v/>
      </c>
      <c r="M335" s="11"/>
    </row>
    <row r="336" spans="1:13" ht="15" x14ac:dyDescent="0.25">
      <c r="A336" s="1" t="str">
        <f>IF('1.1 Produksi Bersih Padi 2025'!A336="","",'1.1 Produksi Bersih Padi 2025'!A336)</f>
        <v/>
      </c>
      <c r="B336" s="31" t="str">
        <f>IF('1.1 Produksi Bersih Padi 2025'!B336="","",'1.1 Produksi Bersih Padi 2025'!B336)</f>
        <v/>
      </c>
      <c r="C336" s="31" t="str">
        <f>IF('1.1 Produksi Bersih Padi 2025'!C336="","",'1.1 Produksi Bersih Padi 2025'!C336)</f>
        <v/>
      </c>
      <c r="D336" s="1" t="str">
        <f>IF('1.1 Produksi Bersih Padi 2025'!D336="","",'1.1 Produksi Bersih Padi 2025'!D336)</f>
        <v/>
      </c>
      <c r="E336" s="1" t="str">
        <f>IF('1.1 Produksi Bersih Padi 2025'!E336="","",'1.1 Produksi Bersih Padi 2025'!E336)</f>
        <v/>
      </c>
      <c r="F336" s="28" t="str">
        <f>IF(D336="","",VLOOKUP(D336,'[1]0.1 Produksi Pangan &amp; Penduduk'!$D$5:$AQ$860,40,0))</f>
        <v/>
      </c>
      <c r="G336" s="29" t="str">
        <f t="shared" si="25"/>
        <v/>
      </c>
      <c r="H336" s="29" t="str">
        <f t="shared" si="26"/>
        <v/>
      </c>
      <c r="I336" s="29" t="str">
        <f t="shared" si="27"/>
        <v/>
      </c>
      <c r="J336" s="29" t="str">
        <f t="shared" si="28"/>
        <v/>
      </c>
      <c r="K336" s="29" t="str">
        <f t="shared" si="29"/>
        <v/>
      </c>
      <c r="M336" s="11"/>
    </row>
    <row r="337" spans="1:13" ht="15" x14ac:dyDescent="0.25">
      <c r="A337" s="1" t="str">
        <f>IF('1.1 Produksi Bersih Padi 2025'!A337="","",'1.1 Produksi Bersih Padi 2025'!A337)</f>
        <v/>
      </c>
      <c r="B337" s="31" t="str">
        <f>IF('1.1 Produksi Bersih Padi 2025'!B337="","",'1.1 Produksi Bersih Padi 2025'!B337)</f>
        <v/>
      </c>
      <c r="C337" s="31" t="str">
        <f>IF('1.1 Produksi Bersih Padi 2025'!C337="","",'1.1 Produksi Bersih Padi 2025'!C337)</f>
        <v/>
      </c>
      <c r="D337" s="1" t="str">
        <f>IF('1.1 Produksi Bersih Padi 2025'!D337="","",'1.1 Produksi Bersih Padi 2025'!D337)</f>
        <v/>
      </c>
      <c r="E337" s="1" t="str">
        <f>IF('1.1 Produksi Bersih Padi 2025'!E337="","",'1.1 Produksi Bersih Padi 2025'!E337)</f>
        <v/>
      </c>
      <c r="F337" s="28" t="str">
        <f>IF(D337="","",VLOOKUP(D337,'[1]0.1 Produksi Pangan &amp; Penduduk'!$D$5:$AQ$860,40,0))</f>
        <v/>
      </c>
      <c r="G337" s="29" t="str">
        <f t="shared" si="25"/>
        <v/>
      </c>
      <c r="H337" s="29" t="str">
        <f t="shared" si="26"/>
        <v/>
      </c>
      <c r="I337" s="29" t="str">
        <f t="shared" si="27"/>
        <v/>
      </c>
      <c r="J337" s="29" t="str">
        <f t="shared" si="28"/>
        <v/>
      </c>
      <c r="K337" s="29" t="str">
        <f t="shared" si="29"/>
        <v/>
      </c>
      <c r="M337" s="11"/>
    </row>
    <row r="338" spans="1:13" ht="15" x14ac:dyDescent="0.25">
      <c r="A338" s="1" t="str">
        <f>IF('1.1 Produksi Bersih Padi 2025'!A338="","",'1.1 Produksi Bersih Padi 2025'!A338)</f>
        <v/>
      </c>
      <c r="B338" s="31" t="str">
        <f>IF('1.1 Produksi Bersih Padi 2025'!B338="","",'1.1 Produksi Bersih Padi 2025'!B338)</f>
        <v/>
      </c>
      <c r="C338" s="31" t="str">
        <f>IF('1.1 Produksi Bersih Padi 2025'!C338="","",'1.1 Produksi Bersih Padi 2025'!C338)</f>
        <v/>
      </c>
      <c r="D338" s="1" t="str">
        <f>IF('1.1 Produksi Bersih Padi 2025'!D338="","",'1.1 Produksi Bersih Padi 2025'!D338)</f>
        <v/>
      </c>
      <c r="E338" s="1" t="str">
        <f>IF('1.1 Produksi Bersih Padi 2025'!E338="","",'1.1 Produksi Bersih Padi 2025'!E338)</f>
        <v/>
      </c>
      <c r="F338" s="28" t="str">
        <f>IF(D338="","",VLOOKUP(D338,'[1]0.1 Produksi Pangan &amp; Penduduk'!$D$5:$AQ$860,40,0))</f>
        <v/>
      </c>
      <c r="G338" s="29" t="str">
        <f t="shared" si="25"/>
        <v/>
      </c>
      <c r="H338" s="29" t="str">
        <f t="shared" si="26"/>
        <v/>
      </c>
      <c r="I338" s="29" t="str">
        <f t="shared" si="27"/>
        <v/>
      </c>
      <c r="J338" s="29" t="str">
        <f t="shared" si="28"/>
        <v/>
      </c>
      <c r="K338" s="29" t="str">
        <f t="shared" si="29"/>
        <v/>
      </c>
      <c r="M338" s="11"/>
    </row>
    <row r="339" spans="1:13" ht="15" x14ac:dyDescent="0.25">
      <c r="A339" s="1" t="str">
        <f>IF('1.1 Produksi Bersih Padi 2025'!A339="","",'1.1 Produksi Bersih Padi 2025'!A339)</f>
        <v/>
      </c>
      <c r="B339" s="31" t="str">
        <f>IF('1.1 Produksi Bersih Padi 2025'!B339="","",'1.1 Produksi Bersih Padi 2025'!B339)</f>
        <v/>
      </c>
      <c r="C339" s="31" t="str">
        <f>IF('1.1 Produksi Bersih Padi 2025'!C339="","",'1.1 Produksi Bersih Padi 2025'!C339)</f>
        <v/>
      </c>
      <c r="D339" s="1" t="str">
        <f>IF('1.1 Produksi Bersih Padi 2025'!D339="","",'1.1 Produksi Bersih Padi 2025'!D339)</f>
        <v/>
      </c>
      <c r="E339" s="1" t="str">
        <f>IF('1.1 Produksi Bersih Padi 2025'!E339="","",'1.1 Produksi Bersih Padi 2025'!E339)</f>
        <v/>
      </c>
      <c r="F339" s="28" t="str">
        <f>IF(D339="","",VLOOKUP(D339,'[1]0.1 Produksi Pangan &amp; Penduduk'!$D$5:$AQ$860,40,0))</f>
        <v/>
      </c>
      <c r="G339" s="29" t="str">
        <f t="shared" si="25"/>
        <v/>
      </c>
      <c r="H339" s="29" t="str">
        <f t="shared" si="26"/>
        <v/>
      </c>
      <c r="I339" s="29" t="str">
        <f t="shared" si="27"/>
        <v/>
      </c>
      <c r="J339" s="29" t="str">
        <f t="shared" si="28"/>
        <v/>
      </c>
      <c r="K339" s="29" t="str">
        <f t="shared" si="29"/>
        <v/>
      </c>
      <c r="M339" s="11"/>
    </row>
    <row r="340" spans="1:13" ht="15" x14ac:dyDescent="0.25">
      <c r="A340" s="1" t="str">
        <f>IF('1.1 Produksi Bersih Padi 2025'!A340="","",'1.1 Produksi Bersih Padi 2025'!A340)</f>
        <v/>
      </c>
      <c r="B340" s="31" t="str">
        <f>IF('1.1 Produksi Bersih Padi 2025'!B340="","",'1.1 Produksi Bersih Padi 2025'!B340)</f>
        <v/>
      </c>
      <c r="C340" s="31" t="str">
        <f>IF('1.1 Produksi Bersih Padi 2025'!C340="","",'1.1 Produksi Bersih Padi 2025'!C340)</f>
        <v/>
      </c>
      <c r="D340" s="1" t="str">
        <f>IF('1.1 Produksi Bersih Padi 2025'!D340="","",'1.1 Produksi Bersih Padi 2025'!D340)</f>
        <v/>
      </c>
      <c r="E340" s="1" t="str">
        <f>IF('1.1 Produksi Bersih Padi 2025'!E340="","",'1.1 Produksi Bersih Padi 2025'!E340)</f>
        <v/>
      </c>
      <c r="F340" s="28" t="str">
        <f>IF(D340="","",VLOOKUP(D340,'[1]0.1 Produksi Pangan &amp; Penduduk'!$D$5:$AQ$860,40,0))</f>
        <v/>
      </c>
      <c r="G340" s="29" t="str">
        <f t="shared" si="25"/>
        <v/>
      </c>
      <c r="H340" s="29" t="str">
        <f t="shared" si="26"/>
        <v/>
      </c>
      <c r="I340" s="29" t="str">
        <f t="shared" si="27"/>
        <v/>
      </c>
      <c r="J340" s="29" t="str">
        <f t="shared" si="28"/>
        <v/>
      </c>
      <c r="K340" s="29" t="str">
        <f t="shared" si="29"/>
        <v/>
      </c>
      <c r="M340" s="11"/>
    </row>
    <row r="341" spans="1:13" ht="15" x14ac:dyDescent="0.25">
      <c r="A341" s="1" t="str">
        <f>IF('1.1 Produksi Bersih Padi 2025'!A341="","",'1.1 Produksi Bersih Padi 2025'!A341)</f>
        <v/>
      </c>
      <c r="B341" s="31" t="str">
        <f>IF('1.1 Produksi Bersih Padi 2025'!B341="","",'1.1 Produksi Bersih Padi 2025'!B341)</f>
        <v/>
      </c>
      <c r="C341" s="31" t="str">
        <f>IF('1.1 Produksi Bersih Padi 2025'!C341="","",'1.1 Produksi Bersih Padi 2025'!C341)</f>
        <v/>
      </c>
      <c r="D341" s="1" t="str">
        <f>IF('1.1 Produksi Bersih Padi 2025'!D341="","",'1.1 Produksi Bersih Padi 2025'!D341)</f>
        <v/>
      </c>
      <c r="E341" s="1" t="str">
        <f>IF('1.1 Produksi Bersih Padi 2025'!E341="","",'1.1 Produksi Bersih Padi 2025'!E341)</f>
        <v/>
      </c>
      <c r="F341" s="28" t="str">
        <f>IF(D341="","",VLOOKUP(D341,'[1]0.1 Produksi Pangan &amp; Penduduk'!$D$5:$AQ$860,40,0))</f>
        <v/>
      </c>
      <c r="G341" s="29" t="str">
        <f t="shared" si="25"/>
        <v/>
      </c>
      <c r="H341" s="29" t="str">
        <f t="shared" si="26"/>
        <v/>
      </c>
      <c r="I341" s="29" t="str">
        <f t="shared" si="27"/>
        <v/>
      </c>
      <c r="J341" s="29" t="str">
        <f t="shared" si="28"/>
        <v/>
      </c>
      <c r="K341" s="29" t="str">
        <f t="shared" si="29"/>
        <v/>
      </c>
      <c r="M341" s="11"/>
    </row>
    <row r="342" spans="1:13" ht="15" x14ac:dyDescent="0.25">
      <c r="A342" s="1" t="str">
        <f>IF('1.1 Produksi Bersih Padi 2025'!A342="","",'1.1 Produksi Bersih Padi 2025'!A342)</f>
        <v/>
      </c>
      <c r="B342" s="31" t="str">
        <f>IF('1.1 Produksi Bersih Padi 2025'!B342="","",'1.1 Produksi Bersih Padi 2025'!B342)</f>
        <v/>
      </c>
      <c r="C342" s="31" t="str">
        <f>IF('1.1 Produksi Bersih Padi 2025'!C342="","",'1.1 Produksi Bersih Padi 2025'!C342)</f>
        <v/>
      </c>
      <c r="D342" s="1" t="str">
        <f>IF('1.1 Produksi Bersih Padi 2025'!D342="","",'1.1 Produksi Bersih Padi 2025'!D342)</f>
        <v/>
      </c>
      <c r="E342" s="1" t="str">
        <f>IF('1.1 Produksi Bersih Padi 2025'!E342="","",'1.1 Produksi Bersih Padi 2025'!E342)</f>
        <v/>
      </c>
      <c r="F342" s="28" t="str">
        <f>IF(D342="","",VLOOKUP(D342,'[1]0.1 Produksi Pangan &amp; Penduduk'!$D$5:$AQ$860,40,0))</f>
        <v/>
      </c>
      <c r="G342" s="29" t="str">
        <f t="shared" si="25"/>
        <v/>
      </c>
      <c r="H342" s="29" t="str">
        <f t="shared" si="26"/>
        <v/>
      </c>
      <c r="I342" s="29" t="str">
        <f t="shared" si="27"/>
        <v/>
      </c>
      <c r="J342" s="29" t="str">
        <f t="shared" si="28"/>
        <v/>
      </c>
      <c r="K342" s="29" t="str">
        <f t="shared" si="29"/>
        <v/>
      </c>
      <c r="M342" s="11"/>
    </row>
    <row r="343" spans="1:13" ht="15" x14ac:dyDescent="0.25">
      <c r="A343" s="1" t="str">
        <f>IF('1.1 Produksi Bersih Padi 2025'!A343="","",'1.1 Produksi Bersih Padi 2025'!A343)</f>
        <v/>
      </c>
      <c r="B343" s="31" t="str">
        <f>IF('1.1 Produksi Bersih Padi 2025'!B343="","",'1.1 Produksi Bersih Padi 2025'!B343)</f>
        <v/>
      </c>
      <c r="C343" s="31" t="str">
        <f>IF('1.1 Produksi Bersih Padi 2025'!C343="","",'1.1 Produksi Bersih Padi 2025'!C343)</f>
        <v/>
      </c>
      <c r="D343" s="1" t="str">
        <f>IF('1.1 Produksi Bersih Padi 2025'!D343="","",'1.1 Produksi Bersih Padi 2025'!D343)</f>
        <v/>
      </c>
      <c r="E343" s="1" t="str">
        <f>IF('1.1 Produksi Bersih Padi 2025'!E343="","",'1.1 Produksi Bersih Padi 2025'!E343)</f>
        <v/>
      </c>
      <c r="F343" s="28" t="str">
        <f>IF(D343="","",VLOOKUP(D343,'[1]0.1 Produksi Pangan &amp; Penduduk'!$D$5:$AQ$860,40,0))</f>
        <v/>
      </c>
      <c r="G343" s="29" t="str">
        <f t="shared" si="25"/>
        <v/>
      </c>
      <c r="H343" s="29" t="str">
        <f t="shared" si="26"/>
        <v/>
      </c>
      <c r="I343" s="29" t="str">
        <f t="shared" si="27"/>
        <v/>
      </c>
      <c r="J343" s="29" t="str">
        <f t="shared" si="28"/>
        <v/>
      </c>
      <c r="K343" s="29" t="str">
        <f t="shared" si="29"/>
        <v/>
      </c>
      <c r="M343" s="11"/>
    </row>
    <row r="344" spans="1:13" ht="15" x14ac:dyDescent="0.25">
      <c r="A344" s="1" t="str">
        <f>IF('1.1 Produksi Bersih Padi 2025'!A344="","",'1.1 Produksi Bersih Padi 2025'!A344)</f>
        <v/>
      </c>
      <c r="B344" s="31" t="str">
        <f>IF('1.1 Produksi Bersih Padi 2025'!B344="","",'1.1 Produksi Bersih Padi 2025'!B344)</f>
        <v/>
      </c>
      <c r="C344" s="31" t="str">
        <f>IF('1.1 Produksi Bersih Padi 2025'!C344="","",'1.1 Produksi Bersih Padi 2025'!C344)</f>
        <v/>
      </c>
      <c r="D344" s="1" t="str">
        <f>IF('1.1 Produksi Bersih Padi 2025'!D344="","",'1.1 Produksi Bersih Padi 2025'!D344)</f>
        <v/>
      </c>
      <c r="E344" s="1" t="str">
        <f>IF('1.1 Produksi Bersih Padi 2025'!E344="","",'1.1 Produksi Bersih Padi 2025'!E344)</f>
        <v/>
      </c>
      <c r="F344" s="28" t="str">
        <f>IF(D344="","",VLOOKUP(D344,'[1]0.1 Produksi Pangan &amp; Penduduk'!$D$5:$AQ$860,40,0))</f>
        <v/>
      </c>
      <c r="G344" s="29" t="str">
        <f t="shared" si="25"/>
        <v/>
      </c>
      <c r="H344" s="29" t="str">
        <f t="shared" si="26"/>
        <v/>
      </c>
      <c r="I344" s="29" t="str">
        <f t="shared" si="27"/>
        <v/>
      </c>
      <c r="J344" s="29" t="str">
        <f t="shared" si="28"/>
        <v/>
      </c>
      <c r="K344" s="29" t="str">
        <f t="shared" si="29"/>
        <v/>
      </c>
      <c r="M344" s="11"/>
    </row>
    <row r="345" spans="1:13" ht="15" x14ac:dyDescent="0.25">
      <c r="A345" s="1" t="str">
        <f>IF('1.1 Produksi Bersih Padi 2025'!A345="","",'1.1 Produksi Bersih Padi 2025'!A345)</f>
        <v/>
      </c>
      <c r="B345" s="31" t="str">
        <f>IF('1.1 Produksi Bersih Padi 2025'!B345="","",'1.1 Produksi Bersih Padi 2025'!B345)</f>
        <v/>
      </c>
      <c r="C345" s="31" t="str">
        <f>IF('1.1 Produksi Bersih Padi 2025'!C345="","",'1.1 Produksi Bersih Padi 2025'!C345)</f>
        <v/>
      </c>
      <c r="D345" s="1" t="str">
        <f>IF('1.1 Produksi Bersih Padi 2025'!D345="","",'1.1 Produksi Bersih Padi 2025'!D345)</f>
        <v/>
      </c>
      <c r="E345" s="1" t="str">
        <f>IF('1.1 Produksi Bersih Padi 2025'!E345="","",'1.1 Produksi Bersih Padi 2025'!E345)</f>
        <v/>
      </c>
      <c r="F345" s="28" t="str">
        <f>IF(D345="","",VLOOKUP(D345,'[1]0.1 Produksi Pangan &amp; Penduduk'!$D$5:$AQ$860,40,0))</f>
        <v/>
      </c>
      <c r="G345" s="29" t="str">
        <f t="shared" si="25"/>
        <v/>
      </c>
      <c r="H345" s="29" t="str">
        <f t="shared" si="26"/>
        <v/>
      </c>
      <c r="I345" s="29" t="str">
        <f t="shared" si="27"/>
        <v/>
      </c>
      <c r="J345" s="29" t="str">
        <f t="shared" si="28"/>
        <v/>
      </c>
      <c r="K345" s="29" t="str">
        <f t="shared" si="29"/>
        <v/>
      </c>
      <c r="M345" s="11"/>
    </row>
    <row r="346" spans="1:13" ht="15" x14ac:dyDescent="0.25">
      <c r="A346" s="1" t="str">
        <f>IF('1.1 Produksi Bersih Padi 2025'!A346="","",'1.1 Produksi Bersih Padi 2025'!A346)</f>
        <v/>
      </c>
      <c r="B346" s="31" t="str">
        <f>IF('1.1 Produksi Bersih Padi 2025'!B346="","",'1.1 Produksi Bersih Padi 2025'!B346)</f>
        <v/>
      </c>
      <c r="C346" s="31" t="str">
        <f>IF('1.1 Produksi Bersih Padi 2025'!C346="","",'1.1 Produksi Bersih Padi 2025'!C346)</f>
        <v/>
      </c>
      <c r="D346" s="1" t="str">
        <f>IF('1.1 Produksi Bersih Padi 2025'!D346="","",'1.1 Produksi Bersih Padi 2025'!D346)</f>
        <v/>
      </c>
      <c r="E346" s="1" t="str">
        <f>IF('1.1 Produksi Bersih Padi 2025'!E346="","",'1.1 Produksi Bersih Padi 2025'!E346)</f>
        <v/>
      </c>
      <c r="F346" s="28" t="str">
        <f>IF(D346="","",VLOOKUP(D346,'[1]0.1 Produksi Pangan &amp; Penduduk'!$D$5:$AQ$860,40,0))</f>
        <v/>
      </c>
      <c r="G346" s="29" t="str">
        <f t="shared" si="25"/>
        <v/>
      </c>
      <c r="H346" s="29" t="str">
        <f t="shared" si="26"/>
        <v/>
      </c>
      <c r="I346" s="29" t="str">
        <f t="shared" si="27"/>
        <v/>
      </c>
      <c r="J346" s="29" t="str">
        <f t="shared" si="28"/>
        <v/>
      </c>
      <c r="K346" s="29" t="str">
        <f t="shared" si="29"/>
        <v/>
      </c>
      <c r="M346" s="11"/>
    </row>
    <row r="347" spans="1:13" ht="15" x14ac:dyDescent="0.25">
      <c r="A347" s="1" t="str">
        <f>IF('1.1 Produksi Bersih Padi 2025'!A347="","",'1.1 Produksi Bersih Padi 2025'!A347)</f>
        <v/>
      </c>
      <c r="B347" s="31" t="str">
        <f>IF('1.1 Produksi Bersih Padi 2025'!B347="","",'1.1 Produksi Bersih Padi 2025'!B347)</f>
        <v/>
      </c>
      <c r="C347" s="31" t="str">
        <f>IF('1.1 Produksi Bersih Padi 2025'!C347="","",'1.1 Produksi Bersih Padi 2025'!C347)</f>
        <v/>
      </c>
      <c r="D347" s="1" t="str">
        <f>IF('1.1 Produksi Bersih Padi 2025'!D347="","",'1.1 Produksi Bersih Padi 2025'!D347)</f>
        <v/>
      </c>
      <c r="E347" s="1" t="str">
        <f>IF('1.1 Produksi Bersih Padi 2025'!E347="","",'1.1 Produksi Bersih Padi 2025'!E347)</f>
        <v/>
      </c>
      <c r="F347" s="28" t="str">
        <f>IF(D347="","",VLOOKUP(D347,'[1]0.1 Produksi Pangan &amp; Penduduk'!$D$5:$AQ$860,40,0))</f>
        <v/>
      </c>
      <c r="G347" s="29" t="str">
        <f t="shared" si="25"/>
        <v/>
      </c>
      <c r="H347" s="29" t="str">
        <f t="shared" si="26"/>
        <v/>
      </c>
      <c r="I347" s="29" t="str">
        <f t="shared" si="27"/>
        <v/>
      </c>
      <c r="J347" s="29" t="str">
        <f t="shared" si="28"/>
        <v/>
      </c>
      <c r="K347" s="29" t="str">
        <f t="shared" si="29"/>
        <v/>
      </c>
      <c r="M347" s="11"/>
    </row>
    <row r="348" spans="1:13" ht="15" x14ac:dyDescent="0.25">
      <c r="A348" s="1" t="str">
        <f>IF('1.1 Produksi Bersih Padi 2025'!A348="","",'1.1 Produksi Bersih Padi 2025'!A348)</f>
        <v/>
      </c>
      <c r="B348" s="31" t="str">
        <f>IF('1.1 Produksi Bersih Padi 2025'!B348="","",'1.1 Produksi Bersih Padi 2025'!B348)</f>
        <v/>
      </c>
      <c r="C348" s="31" t="str">
        <f>IF('1.1 Produksi Bersih Padi 2025'!C348="","",'1.1 Produksi Bersih Padi 2025'!C348)</f>
        <v/>
      </c>
      <c r="D348" s="1" t="str">
        <f>IF('1.1 Produksi Bersih Padi 2025'!D348="","",'1.1 Produksi Bersih Padi 2025'!D348)</f>
        <v/>
      </c>
      <c r="E348" s="1" t="str">
        <f>IF('1.1 Produksi Bersih Padi 2025'!E348="","",'1.1 Produksi Bersih Padi 2025'!E348)</f>
        <v/>
      </c>
      <c r="F348" s="28" t="str">
        <f>IF(D348="","",VLOOKUP(D348,'[1]0.1 Produksi Pangan &amp; Penduduk'!$D$5:$AQ$860,40,0))</f>
        <v/>
      </c>
      <c r="G348" s="29" t="str">
        <f t="shared" si="25"/>
        <v/>
      </c>
      <c r="H348" s="29" t="str">
        <f t="shared" si="26"/>
        <v/>
      </c>
      <c r="I348" s="29" t="str">
        <f t="shared" si="27"/>
        <v/>
      </c>
      <c r="J348" s="29" t="str">
        <f t="shared" si="28"/>
        <v/>
      </c>
      <c r="K348" s="29" t="str">
        <f t="shared" si="29"/>
        <v/>
      </c>
      <c r="M348" s="11"/>
    </row>
    <row r="349" spans="1:13" ht="15" x14ac:dyDescent="0.25">
      <c r="A349" s="1" t="str">
        <f>IF('1.1 Produksi Bersih Padi 2025'!A349="","",'1.1 Produksi Bersih Padi 2025'!A349)</f>
        <v/>
      </c>
      <c r="B349" s="31" t="str">
        <f>IF('1.1 Produksi Bersih Padi 2025'!B349="","",'1.1 Produksi Bersih Padi 2025'!B349)</f>
        <v/>
      </c>
      <c r="C349" s="31" t="str">
        <f>IF('1.1 Produksi Bersih Padi 2025'!C349="","",'1.1 Produksi Bersih Padi 2025'!C349)</f>
        <v/>
      </c>
      <c r="D349" s="1" t="str">
        <f>IF('1.1 Produksi Bersih Padi 2025'!D349="","",'1.1 Produksi Bersih Padi 2025'!D349)</f>
        <v/>
      </c>
      <c r="E349" s="1" t="str">
        <f>IF('1.1 Produksi Bersih Padi 2025'!E349="","",'1.1 Produksi Bersih Padi 2025'!E349)</f>
        <v/>
      </c>
      <c r="F349" s="28" t="str">
        <f>IF(D349="","",VLOOKUP(D349,'[1]0.1 Produksi Pangan &amp; Penduduk'!$D$5:$AQ$860,40,0))</f>
        <v/>
      </c>
      <c r="G349" s="29" t="str">
        <f t="shared" si="25"/>
        <v/>
      </c>
      <c r="H349" s="29" t="str">
        <f t="shared" si="26"/>
        <v/>
      </c>
      <c r="I349" s="29" t="str">
        <f t="shared" si="27"/>
        <v/>
      </c>
      <c r="J349" s="29" t="str">
        <f t="shared" si="28"/>
        <v/>
      </c>
      <c r="K349" s="29" t="str">
        <f t="shared" si="29"/>
        <v/>
      </c>
      <c r="M349" s="11"/>
    </row>
    <row r="350" spans="1:13" ht="15" x14ac:dyDescent="0.25">
      <c r="A350" s="1" t="str">
        <f>IF('1.1 Produksi Bersih Padi 2025'!A350="","",'1.1 Produksi Bersih Padi 2025'!A350)</f>
        <v/>
      </c>
      <c r="B350" s="31" t="str">
        <f>IF('1.1 Produksi Bersih Padi 2025'!B350="","",'1.1 Produksi Bersih Padi 2025'!B350)</f>
        <v/>
      </c>
      <c r="C350" s="31" t="str">
        <f>IF('1.1 Produksi Bersih Padi 2025'!C350="","",'1.1 Produksi Bersih Padi 2025'!C350)</f>
        <v/>
      </c>
      <c r="D350" s="1" t="str">
        <f>IF('1.1 Produksi Bersih Padi 2025'!D350="","",'1.1 Produksi Bersih Padi 2025'!D350)</f>
        <v/>
      </c>
      <c r="E350" s="1" t="str">
        <f>IF('1.1 Produksi Bersih Padi 2025'!E350="","",'1.1 Produksi Bersih Padi 2025'!E350)</f>
        <v/>
      </c>
      <c r="F350" s="28" t="str">
        <f>IF(D350="","",VLOOKUP(D350,'[1]0.1 Produksi Pangan &amp; Penduduk'!$D$5:$AQ$860,40,0))</f>
        <v/>
      </c>
      <c r="G350" s="29" t="str">
        <f t="shared" si="25"/>
        <v/>
      </c>
      <c r="H350" s="29" t="str">
        <f t="shared" si="26"/>
        <v/>
      </c>
      <c r="I350" s="29" t="str">
        <f t="shared" si="27"/>
        <v/>
      </c>
      <c r="J350" s="29" t="str">
        <f t="shared" si="28"/>
        <v/>
      </c>
      <c r="K350" s="29" t="str">
        <f t="shared" si="29"/>
        <v/>
      </c>
      <c r="M350" s="11"/>
    </row>
    <row r="351" spans="1:13" ht="15" x14ac:dyDescent="0.25">
      <c r="A351" s="1" t="str">
        <f>IF('1.1 Produksi Bersih Padi 2025'!A351="","",'1.1 Produksi Bersih Padi 2025'!A351)</f>
        <v/>
      </c>
      <c r="B351" s="31" t="str">
        <f>IF('1.1 Produksi Bersih Padi 2025'!B351="","",'1.1 Produksi Bersih Padi 2025'!B351)</f>
        <v/>
      </c>
      <c r="C351" s="31" t="str">
        <f>IF('1.1 Produksi Bersih Padi 2025'!C351="","",'1.1 Produksi Bersih Padi 2025'!C351)</f>
        <v/>
      </c>
      <c r="D351" s="1" t="str">
        <f>IF('1.1 Produksi Bersih Padi 2025'!D351="","",'1.1 Produksi Bersih Padi 2025'!D351)</f>
        <v/>
      </c>
      <c r="E351" s="1" t="str">
        <f>IF('1.1 Produksi Bersih Padi 2025'!E351="","",'1.1 Produksi Bersih Padi 2025'!E351)</f>
        <v/>
      </c>
      <c r="F351" s="28" t="str">
        <f>IF(D351="","",VLOOKUP(D351,'[1]0.1 Produksi Pangan &amp; Penduduk'!$D$5:$AQ$860,40,0))</f>
        <v/>
      </c>
      <c r="G351" s="29" t="str">
        <f t="shared" si="25"/>
        <v/>
      </c>
      <c r="H351" s="29" t="str">
        <f t="shared" si="26"/>
        <v/>
      </c>
      <c r="I351" s="29" t="str">
        <f t="shared" si="27"/>
        <v/>
      </c>
      <c r="J351" s="29" t="str">
        <f t="shared" si="28"/>
        <v/>
      </c>
      <c r="K351" s="29" t="str">
        <f t="shared" si="29"/>
        <v/>
      </c>
      <c r="M351" s="11"/>
    </row>
    <row r="352" spans="1:13" ht="15" x14ac:dyDescent="0.25">
      <c r="A352" s="1" t="str">
        <f>IF('1.1 Produksi Bersih Padi 2025'!A352="","",'1.1 Produksi Bersih Padi 2025'!A352)</f>
        <v/>
      </c>
      <c r="B352" s="31" t="str">
        <f>IF('1.1 Produksi Bersih Padi 2025'!B352="","",'1.1 Produksi Bersih Padi 2025'!B352)</f>
        <v/>
      </c>
      <c r="C352" s="31" t="str">
        <f>IF('1.1 Produksi Bersih Padi 2025'!C352="","",'1.1 Produksi Bersih Padi 2025'!C352)</f>
        <v/>
      </c>
      <c r="D352" s="1" t="str">
        <f>IF('1.1 Produksi Bersih Padi 2025'!D352="","",'1.1 Produksi Bersih Padi 2025'!D352)</f>
        <v/>
      </c>
      <c r="E352" s="1" t="str">
        <f>IF('1.1 Produksi Bersih Padi 2025'!E352="","",'1.1 Produksi Bersih Padi 2025'!E352)</f>
        <v/>
      </c>
      <c r="F352" s="28" t="str">
        <f>IF(D352="","",VLOOKUP(D352,'[1]0.1 Produksi Pangan &amp; Penduduk'!$D$5:$AQ$860,40,0))</f>
        <v/>
      </c>
      <c r="G352" s="29" t="str">
        <f t="shared" si="25"/>
        <v/>
      </c>
      <c r="H352" s="29" t="str">
        <f t="shared" si="26"/>
        <v/>
      </c>
      <c r="I352" s="29" t="str">
        <f t="shared" si="27"/>
        <v/>
      </c>
      <c r="J352" s="29" t="str">
        <f t="shared" si="28"/>
        <v/>
      </c>
      <c r="K352" s="29" t="str">
        <f t="shared" si="29"/>
        <v/>
      </c>
      <c r="M352" s="11"/>
    </row>
    <row r="353" spans="1:13" ht="15" x14ac:dyDescent="0.25">
      <c r="A353" s="1" t="str">
        <f>IF('1.1 Produksi Bersih Padi 2025'!A353="","",'1.1 Produksi Bersih Padi 2025'!A353)</f>
        <v/>
      </c>
      <c r="B353" s="31" t="str">
        <f>IF('1.1 Produksi Bersih Padi 2025'!B353="","",'1.1 Produksi Bersih Padi 2025'!B353)</f>
        <v/>
      </c>
      <c r="C353" s="31" t="str">
        <f>IF('1.1 Produksi Bersih Padi 2025'!C353="","",'1.1 Produksi Bersih Padi 2025'!C353)</f>
        <v/>
      </c>
      <c r="D353" s="1" t="str">
        <f>IF('1.1 Produksi Bersih Padi 2025'!D353="","",'1.1 Produksi Bersih Padi 2025'!D353)</f>
        <v/>
      </c>
      <c r="E353" s="1" t="str">
        <f>IF('1.1 Produksi Bersih Padi 2025'!E353="","",'1.1 Produksi Bersih Padi 2025'!E353)</f>
        <v/>
      </c>
      <c r="F353" s="28" t="str">
        <f>IF(D353="","",VLOOKUP(D353,'[1]0.1 Produksi Pangan &amp; Penduduk'!$D$5:$AQ$860,40,0))</f>
        <v/>
      </c>
      <c r="G353" s="29" t="str">
        <f t="shared" si="25"/>
        <v/>
      </c>
      <c r="H353" s="29" t="str">
        <f t="shared" si="26"/>
        <v/>
      </c>
      <c r="I353" s="29" t="str">
        <f t="shared" si="27"/>
        <v/>
      </c>
      <c r="J353" s="29" t="str">
        <f t="shared" si="28"/>
        <v/>
      </c>
      <c r="K353" s="29" t="str">
        <f t="shared" si="29"/>
        <v/>
      </c>
      <c r="M353" s="11"/>
    </row>
    <row r="354" spans="1:13" ht="15" x14ac:dyDescent="0.25">
      <c r="A354" s="1" t="str">
        <f>IF('1.1 Produksi Bersih Padi 2025'!A354="","",'1.1 Produksi Bersih Padi 2025'!A354)</f>
        <v/>
      </c>
      <c r="B354" s="31" t="str">
        <f>IF('1.1 Produksi Bersih Padi 2025'!B354="","",'1.1 Produksi Bersih Padi 2025'!B354)</f>
        <v/>
      </c>
      <c r="C354" s="31" t="str">
        <f>IF('1.1 Produksi Bersih Padi 2025'!C354="","",'1.1 Produksi Bersih Padi 2025'!C354)</f>
        <v/>
      </c>
      <c r="D354" s="1" t="str">
        <f>IF('1.1 Produksi Bersih Padi 2025'!D354="","",'1.1 Produksi Bersih Padi 2025'!D354)</f>
        <v/>
      </c>
      <c r="E354" s="1" t="str">
        <f>IF('1.1 Produksi Bersih Padi 2025'!E354="","",'1.1 Produksi Bersih Padi 2025'!E354)</f>
        <v/>
      </c>
      <c r="F354" s="28" t="str">
        <f>IF(D354="","",VLOOKUP(D354,'[1]0.1 Produksi Pangan &amp; Penduduk'!$D$5:$AQ$860,40,0))</f>
        <v/>
      </c>
      <c r="G354" s="29" t="str">
        <f t="shared" si="25"/>
        <v/>
      </c>
      <c r="H354" s="29" t="str">
        <f t="shared" si="26"/>
        <v/>
      </c>
      <c r="I354" s="29" t="str">
        <f t="shared" si="27"/>
        <v/>
      </c>
      <c r="J354" s="29" t="str">
        <f t="shared" si="28"/>
        <v/>
      </c>
      <c r="K354" s="29" t="str">
        <f t="shared" si="29"/>
        <v/>
      </c>
      <c r="M354" s="11"/>
    </row>
    <row r="355" spans="1:13" ht="15" x14ac:dyDescent="0.25">
      <c r="A355" s="1" t="str">
        <f>IF('1.1 Produksi Bersih Padi 2025'!A355="","",'1.1 Produksi Bersih Padi 2025'!A355)</f>
        <v/>
      </c>
      <c r="B355" s="31" t="str">
        <f>IF('1.1 Produksi Bersih Padi 2025'!B355="","",'1.1 Produksi Bersih Padi 2025'!B355)</f>
        <v/>
      </c>
      <c r="C355" s="31" t="str">
        <f>IF('1.1 Produksi Bersih Padi 2025'!C355="","",'1.1 Produksi Bersih Padi 2025'!C355)</f>
        <v/>
      </c>
      <c r="D355" s="1" t="str">
        <f>IF('1.1 Produksi Bersih Padi 2025'!D355="","",'1.1 Produksi Bersih Padi 2025'!D355)</f>
        <v/>
      </c>
      <c r="E355" s="1" t="str">
        <f>IF('1.1 Produksi Bersih Padi 2025'!E355="","",'1.1 Produksi Bersih Padi 2025'!E355)</f>
        <v/>
      </c>
      <c r="F355" s="28" t="str">
        <f>IF(D355="","",VLOOKUP(D355,'[1]0.1 Produksi Pangan &amp; Penduduk'!$D$5:$AQ$860,40,0))</f>
        <v/>
      </c>
      <c r="G355" s="29" t="str">
        <f t="shared" si="25"/>
        <v/>
      </c>
      <c r="H355" s="29" t="str">
        <f t="shared" si="26"/>
        <v/>
      </c>
      <c r="I355" s="29" t="str">
        <f t="shared" si="27"/>
        <v/>
      </c>
      <c r="J355" s="29" t="str">
        <f t="shared" si="28"/>
        <v/>
      </c>
      <c r="K355" s="29" t="str">
        <f t="shared" si="29"/>
        <v/>
      </c>
      <c r="M355" s="11"/>
    </row>
    <row r="356" spans="1:13" ht="15" x14ac:dyDescent="0.25">
      <c r="A356" s="1" t="str">
        <f>IF('1.1 Produksi Bersih Padi 2025'!A356="","",'1.1 Produksi Bersih Padi 2025'!A356)</f>
        <v/>
      </c>
      <c r="B356" s="31" t="str">
        <f>IF('1.1 Produksi Bersih Padi 2025'!B356="","",'1.1 Produksi Bersih Padi 2025'!B356)</f>
        <v/>
      </c>
      <c r="C356" s="31" t="str">
        <f>IF('1.1 Produksi Bersih Padi 2025'!C356="","",'1.1 Produksi Bersih Padi 2025'!C356)</f>
        <v/>
      </c>
      <c r="D356" s="1" t="str">
        <f>IF('1.1 Produksi Bersih Padi 2025'!D356="","",'1.1 Produksi Bersih Padi 2025'!D356)</f>
        <v/>
      </c>
      <c r="E356" s="1" t="str">
        <f>IF('1.1 Produksi Bersih Padi 2025'!E356="","",'1.1 Produksi Bersih Padi 2025'!E356)</f>
        <v/>
      </c>
      <c r="F356" s="28" t="str">
        <f>IF(D356="","",VLOOKUP(D356,'[1]0.1 Produksi Pangan &amp; Penduduk'!$D$5:$AQ$860,40,0))</f>
        <v/>
      </c>
      <c r="G356" s="29" t="str">
        <f t="shared" si="25"/>
        <v/>
      </c>
      <c r="H356" s="29" t="str">
        <f t="shared" si="26"/>
        <v/>
      </c>
      <c r="I356" s="29" t="str">
        <f t="shared" si="27"/>
        <v/>
      </c>
      <c r="J356" s="29" t="str">
        <f t="shared" si="28"/>
        <v/>
      </c>
      <c r="K356" s="29" t="str">
        <f t="shared" si="29"/>
        <v/>
      </c>
      <c r="M356" s="11"/>
    </row>
    <row r="357" spans="1:13" ht="15" x14ac:dyDescent="0.25">
      <c r="A357" s="1" t="str">
        <f>IF('1.1 Produksi Bersih Padi 2025'!A357="","",'1.1 Produksi Bersih Padi 2025'!A357)</f>
        <v/>
      </c>
      <c r="B357" s="31" t="str">
        <f>IF('1.1 Produksi Bersih Padi 2025'!B357="","",'1.1 Produksi Bersih Padi 2025'!B357)</f>
        <v/>
      </c>
      <c r="C357" s="31" t="str">
        <f>IF('1.1 Produksi Bersih Padi 2025'!C357="","",'1.1 Produksi Bersih Padi 2025'!C357)</f>
        <v/>
      </c>
      <c r="D357" s="1" t="str">
        <f>IF('1.1 Produksi Bersih Padi 2025'!D357="","",'1.1 Produksi Bersih Padi 2025'!D357)</f>
        <v/>
      </c>
      <c r="E357" s="1" t="str">
        <f>IF('1.1 Produksi Bersih Padi 2025'!E357="","",'1.1 Produksi Bersih Padi 2025'!E357)</f>
        <v/>
      </c>
      <c r="F357" s="28" t="str">
        <f>IF(D357="","",VLOOKUP(D357,'[1]0.1 Produksi Pangan &amp; Penduduk'!$D$5:$AQ$860,40,0))</f>
        <v/>
      </c>
      <c r="G357" s="29" t="str">
        <f t="shared" si="25"/>
        <v/>
      </c>
      <c r="H357" s="29" t="str">
        <f t="shared" si="26"/>
        <v/>
      </c>
      <c r="I357" s="29" t="str">
        <f t="shared" si="27"/>
        <v/>
      </c>
      <c r="J357" s="29" t="str">
        <f t="shared" si="28"/>
        <v/>
      </c>
      <c r="K357" s="29" t="str">
        <f t="shared" si="29"/>
        <v/>
      </c>
      <c r="M357" s="11"/>
    </row>
    <row r="358" spans="1:13" ht="15" x14ac:dyDescent="0.25">
      <c r="A358" s="1" t="str">
        <f>IF('1.1 Produksi Bersih Padi 2025'!A358="","",'1.1 Produksi Bersih Padi 2025'!A358)</f>
        <v/>
      </c>
      <c r="B358" s="31" t="str">
        <f>IF('1.1 Produksi Bersih Padi 2025'!B358="","",'1.1 Produksi Bersih Padi 2025'!B358)</f>
        <v/>
      </c>
      <c r="C358" s="31" t="str">
        <f>IF('1.1 Produksi Bersih Padi 2025'!C358="","",'1.1 Produksi Bersih Padi 2025'!C358)</f>
        <v/>
      </c>
      <c r="D358" s="1" t="str">
        <f>IF('1.1 Produksi Bersih Padi 2025'!D358="","",'1.1 Produksi Bersih Padi 2025'!D358)</f>
        <v/>
      </c>
      <c r="E358" s="1" t="str">
        <f>IF('1.1 Produksi Bersih Padi 2025'!E358="","",'1.1 Produksi Bersih Padi 2025'!E358)</f>
        <v/>
      </c>
      <c r="F358" s="28" t="str">
        <f>IF(D358="","",VLOOKUP(D358,'[1]0.1 Produksi Pangan &amp; Penduduk'!$D$5:$AQ$860,40,0))</f>
        <v/>
      </c>
      <c r="G358" s="29" t="str">
        <f t="shared" si="25"/>
        <v/>
      </c>
      <c r="H358" s="29" t="str">
        <f t="shared" si="26"/>
        <v/>
      </c>
      <c r="I358" s="29" t="str">
        <f t="shared" si="27"/>
        <v/>
      </c>
      <c r="J358" s="29" t="str">
        <f t="shared" si="28"/>
        <v/>
      </c>
      <c r="K358" s="29" t="str">
        <f t="shared" si="29"/>
        <v/>
      </c>
      <c r="M358" s="11"/>
    </row>
    <row r="359" spans="1:13" ht="15" x14ac:dyDescent="0.25">
      <c r="A359" s="1" t="str">
        <f>IF('1.1 Produksi Bersih Padi 2025'!A359="","",'1.1 Produksi Bersih Padi 2025'!A359)</f>
        <v/>
      </c>
      <c r="B359" s="31" t="str">
        <f>IF('1.1 Produksi Bersih Padi 2025'!B359="","",'1.1 Produksi Bersih Padi 2025'!B359)</f>
        <v/>
      </c>
      <c r="C359" s="31" t="str">
        <f>IF('1.1 Produksi Bersih Padi 2025'!C359="","",'1.1 Produksi Bersih Padi 2025'!C359)</f>
        <v/>
      </c>
      <c r="D359" s="1" t="str">
        <f>IF('1.1 Produksi Bersih Padi 2025'!D359="","",'1.1 Produksi Bersih Padi 2025'!D359)</f>
        <v/>
      </c>
      <c r="E359" s="1" t="str">
        <f>IF('1.1 Produksi Bersih Padi 2025'!E359="","",'1.1 Produksi Bersih Padi 2025'!E359)</f>
        <v/>
      </c>
      <c r="F359" s="28" t="str">
        <f>IF(D359="","",VLOOKUP(D359,'[1]0.1 Produksi Pangan &amp; Penduduk'!$D$5:$AQ$860,40,0))</f>
        <v/>
      </c>
      <c r="G359" s="29" t="str">
        <f t="shared" si="25"/>
        <v/>
      </c>
      <c r="H359" s="29" t="str">
        <f t="shared" si="26"/>
        <v/>
      </c>
      <c r="I359" s="29" t="str">
        <f t="shared" si="27"/>
        <v/>
      </c>
      <c r="J359" s="29" t="str">
        <f t="shared" si="28"/>
        <v/>
      </c>
      <c r="K359" s="29" t="str">
        <f t="shared" si="29"/>
        <v/>
      </c>
      <c r="M359" s="11"/>
    </row>
    <row r="360" spans="1:13" ht="15" x14ac:dyDescent="0.25">
      <c r="A360" s="1" t="str">
        <f>IF('1.1 Produksi Bersih Padi 2025'!A360="","",'1.1 Produksi Bersih Padi 2025'!A360)</f>
        <v/>
      </c>
      <c r="B360" s="31" t="str">
        <f>IF('1.1 Produksi Bersih Padi 2025'!B360="","",'1.1 Produksi Bersih Padi 2025'!B360)</f>
        <v/>
      </c>
      <c r="C360" s="31" t="str">
        <f>IF('1.1 Produksi Bersih Padi 2025'!C360="","",'1.1 Produksi Bersih Padi 2025'!C360)</f>
        <v/>
      </c>
      <c r="D360" s="1" t="str">
        <f>IF('1.1 Produksi Bersih Padi 2025'!D360="","",'1.1 Produksi Bersih Padi 2025'!D360)</f>
        <v/>
      </c>
      <c r="E360" s="1" t="str">
        <f>IF('1.1 Produksi Bersih Padi 2025'!E360="","",'1.1 Produksi Bersih Padi 2025'!E360)</f>
        <v/>
      </c>
      <c r="F360" s="28" t="str">
        <f>IF(D360="","",VLOOKUP(D360,'[1]0.1 Produksi Pangan &amp; Penduduk'!$D$5:$AQ$860,40,0))</f>
        <v/>
      </c>
      <c r="G360" s="29" t="str">
        <f t="shared" si="25"/>
        <v/>
      </c>
      <c r="H360" s="29" t="str">
        <f t="shared" si="26"/>
        <v/>
      </c>
      <c r="I360" s="29" t="str">
        <f t="shared" si="27"/>
        <v/>
      </c>
      <c r="J360" s="29" t="str">
        <f t="shared" si="28"/>
        <v/>
      </c>
      <c r="K360" s="29" t="str">
        <f t="shared" si="29"/>
        <v/>
      </c>
      <c r="M360" s="11"/>
    </row>
    <row r="361" spans="1:13" ht="15" x14ac:dyDescent="0.25">
      <c r="A361" s="1" t="str">
        <f>IF('1.1 Produksi Bersih Padi 2025'!A361="","",'1.1 Produksi Bersih Padi 2025'!A361)</f>
        <v/>
      </c>
      <c r="B361" s="31" t="str">
        <f>IF('1.1 Produksi Bersih Padi 2025'!B361="","",'1.1 Produksi Bersih Padi 2025'!B361)</f>
        <v/>
      </c>
      <c r="C361" s="31" t="str">
        <f>IF('1.1 Produksi Bersih Padi 2025'!C361="","",'1.1 Produksi Bersih Padi 2025'!C361)</f>
        <v/>
      </c>
      <c r="D361" s="1" t="str">
        <f>IF('1.1 Produksi Bersih Padi 2025'!D361="","",'1.1 Produksi Bersih Padi 2025'!D361)</f>
        <v/>
      </c>
      <c r="E361" s="1" t="str">
        <f>IF('1.1 Produksi Bersih Padi 2025'!E361="","",'1.1 Produksi Bersih Padi 2025'!E361)</f>
        <v/>
      </c>
      <c r="F361" s="28" t="str">
        <f>IF(D361="","",VLOOKUP(D361,'[1]0.1 Produksi Pangan &amp; Penduduk'!$D$5:$AQ$860,40,0))</f>
        <v/>
      </c>
      <c r="G361" s="29" t="str">
        <f t="shared" si="25"/>
        <v/>
      </c>
      <c r="H361" s="29" t="str">
        <f t="shared" si="26"/>
        <v/>
      </c>
      <c r="I361" s="29" t="str">
        <f t="shared" si="27"/>
        <v/>
      </c>
      <c r="J361" s="29" t="str">
        <f t="shared" si="28"/>
        <v/>
      </c>
      <c r="K361" s="29" t="str">
        <f t="shared" si="29"/>
        <v/>
      </c>
      <c r="M361" s="11"/>
    </row>
    <row r="362" spans="1:13" ht="15" x14ac:dyDescent="0.25">
      <c r="A362" s="1" t="str">
        <f>IF('1.1 Produksi Bersih Padi 2025'!A362="","",'1.1 Produksi Bersih Padi 2025'!A362)</f>
        <v/>
      </c>
      <c r="B362" s="31" t="str">
        <f>IF('1.1 Produksi Bersih Padi 2025'!B362="","",'1.1 Produksi Bersih Padi 2025'!B362)</f>
        <v/>
      </c>
      <c r="C362" s="31" t="str">
        <f>IF('1.1 Produksi Bersih Padi 2025'!C362="","",'1.1 Produksi Bersih Padi 2025'!C362)</f>
        <v/>
      </c>
      <c r="D362" s="1" t="str">
        <f>IF('1.1 Produksi Bersih Padi 2025'!D362="","",'1.1 Produksi Bersih Padi 2025'!D362)</f>
        <v/>
      </c>
      <c r="E362" s="1" t="str">
        <f>IF('1.1 Produksi Bersih Padi 2025'!E362="","",'1.1 Produksi Bersih Padi 2025'!E362)</f>
        <v/>
      </c>
      <c r="F362" s="28" t="str">
        <f>IF(D362="","",VLOOKUP(D362,'[1]0.1 Produksi Pangan &amp; Penduduk'!$D$5:$AQ$860,40,0))</f>
        <v/>
      </c>
      <c r="G362" s="29" t="str">
        <f t="shared" si="25"/>
        <v/>
      </c>
      <c r="H362" s="29" t="str">
        <f t="shared" si="26"/>
        <v/>
      </c>
      <c r="I362" s="29" t="str">
        <f t="shared" si="27"/>
        <v/>
      </c>
      <c r="J362" s="29" t="str">
        <f t="shared" si="28"/>
        <v/>
      </c>
      <c r="K362" s="29" t="str">
        <f t="shared" si="29"/>
        <v/>
      </c>
      <c r="M362" s="11"/>
    </row>
    <row r="363" spans="1:13" ht="15" x14ac:dyDescent="0.25">
      <c r="A363" s="1" t="str">
        <f>IF('1.1 Produksi Bersih Padi 2025'!A363="","",'1.1 Produksi Bersih Padi 2025'!A363)</f>
        <v/>
      </c>
      <c r="B363" s="31" t="str">
        <f>IF('1.1 Produksi Bersih Padi 2025'!B363="","",'1.1 Produksi Bersih Padi 2025'!B363)</f>
        <v/>
      </c>
      <c r="C363" s="31" t="str">
        <f>IF('1.1 Produksi Bersih Padi 2025'!C363="","",'1.1 Produksi Bersih Padi 2025'!C363)</f>
        <v/>
      </c>
      <c r="D363" s="1" t="str">
        <f>IF('1.1 Produksi Bersih Padi 2025'!D363="","",'1.1 Produksi Bersih Padi 2025'!D363)</f>
        <v/>
      </c>
      <c r="E363" s="1" t="str">
        <f>IF('1.1 Produksi Bersih Padi 2025'!E363="","",'1.1 Produksi Bersih Padi 2025'!E363)</f>
        <v/>
      </c>
      <c r="F363" s="28" t="str">
        <f>IF(D363="","",VLOOKUP(D363,'[1]0.1 Produksi Pangan &amp; Penduduk'!$D$5:$AQ$860,40,0))</f>
        <v/>
      </c>
      <c r="G363" s="29" t="str">
        <f t="shared" si="25"/>
        <v/>
      </c>
      <c r="H363" s="29" t="str">
        <f t="shared" si="26"/>
        <v/>
      </c>
      <c r="I363" s="29" t="str">
        <f t="shared" si="27"/>
        <v/>
      </c>
      <c r="J363" s="29" t="str">
        <f t="shared" si="28"/>
        <v/>
      </c>
      <c r="K363" s="29" t="str">
        <f t="shared" si="29"/>
        <v/>
      </c>
      <c r="M363" s="11"/>
    </row>
    <row r="364" spans="1:13" ht="15" x14ac:dyDescent="0.25">
      <c r="A364" s="1" t="str">
        <f>IF('1.1 Produksi Bersih Padi 2025'!A364="","",'1.1 Produksi Bersih Padi 2025'!A364)</f>
        <v/>
      </c>
      <c r="B364" s="31" t="str">
        <f>IF('1.1 Produksi Bersih Padi 2025'!B364="","",'1.1 Produksi Bersih Padi 2025'!B364)</f>
        <v/>
      </c>
      <c r="C364" s="31" t="str">
        <f>IF('1.1 Produksi Bersih Padi 2025'!C364="","",'1.1 Produksi Bersih Padi 2025'!C364)</f>
        <v/>
      </c>
      <c r="D364" s="1" t="str">
        <f>IF('1.1 Produksi Bersih Padi 2025'!D364="","",'1.1 Produksi Bersih Padi 2025'!D364)</f>
        <v/>
      </c>
      <c r="E364" s="1" t="str">
        <f>IF('1.1 Produksi Bersih Padi 2025'!E364="","",'1.1 Produksi Bersih Padi 2025'!E364)</f>
        <v/>
      </c>
      <c r="F364" s="28" t="str">
        <f>IF(D364="","",VLOOKUP(D364,'[1]0.1 Produksi Pangan &amp; Penduduk'!$D$5:$AQ$860,40,0))</f>
        <v/>
      </c>
      <c r="G364" s="29" t="str">
        <f t="shared" si="25"/>
        <v/>
      </c>
      <c r="H364" s="29" t="str">
        <f t="shared" si="26"/>
        <v/>
      </c>
      <c r="I364" s="29" t="str">
        <f t="shared" si="27"/>
        <v/>
      </c>
      <c r="J364" s="29" t="str">
        <f t="shared" si="28"/>
        <v/>
      </c>
      <c r="K364" s="29" t="str">
        <f t="shared" si="29"/>
        <v/>
      </c>
      <c r="M364" s="11"/>
    </row>
    <row r="365" spans="1:13" ht="15" x14ac:dyDescent="0.25">
      <c r="A365" s="1" t="str">
        <f>IF('1.1 Produksi Bersih Padi 2025'!A365="","",'1.1 Produksi Bersih Padi 2025'!A365)</f>
        <v/>
      </c>
      <c r="B365" s="31" t="str">
        <f>IF('1.1 Produksi Bersih Padi 2025'!B365="","",'1.1 Produksi Bersih Padi 2025'!B365)</f>
        <v/>
      </c>
      <c r="C365" s="31" t="str">
        <f>IF('1.1 Produksi Bersih Padi 2025'!C365="","",'1.1 Produksi Bersih Padi 2025'!C365)</f>
        <v/>
      </c>
      <c r="D365" s="1" t="str">
        <f>IF('1.1 Produksi Bersih Padi 2025'!D365="","",'1.1 Produksi Bersih Padi 2025'!D365)</f>
        <v/>
      </c>
      <c r="E365" s="1" t="str">
        <f>IF('1.1 Produksi Bersih Padi 2025'!E365="","",'1.1 Produksi Bersih Padi 2025'!E365)</f>
        <v/>
      </c>
      <c r="F365" s="28" t="str">
        <f>IF(D365="","",VLOOKUP(D365,'[1]0.1 Produksi Pangan &amp; Penduduk'!$D$5:$AQ$860,40,0))</f>
        <v/>
      </c>
      <c r="G365" s="29" t="str">
        <f t="shared" si="25"/>
        <v/>
      </c>
      <c r="H365" s="29" t="str">
        <f t="shared" si="26"/>
        <v/>
      </c>
      <c r="I365" s="29" t="str">
        <f t="shared" si="27"/>
        <v/>
      </c>
      <c r="J365" s="29" t="str">
        <f t="shared" si="28"/>
        <v/>
      </c>
      <c r="K365" s="29" t="str">
        <f t="shared" si="29"/>
        <v/>
      </c>
      <c r="M365" s="11"/>
    </row>
    <row r="366" spans="1:13" ht="15" x14ac:dyDescent="0.25">
      <c r="A366" s="1" t="str">
        <f>IF('1.1 Produksi Bersih Padi 2025'!A366="","",'1.1 Produksi Bersih Padi 2025'!A366)</f>
        <v/>
      </c>
      <c r="B366" s="31" t="str">
        <f>IF('1.1 Produksi Bersih Padi 2025'!B366="","",'1.1 Produksi Bersih Padi 2025'!B366)</f>
        <v/>
      </c>
      <c r="C366" s="31" t="str">
        <f>IF('1.1 Produksi Bersih Padi 2025'!C366="","",'1.1 Produksi Bersih Padi 2025'!C366)</f>
        <v/>
      </c>
      <c r="D366" s="1" t="str">
        <f>IF('1.1 Produksi Bersih Padi 2025'!D366="","",'1.1 Produksi Bersih Padi 2025'!D366)</f>
        <v/>
      </c>
      <c r="E366" s="1" t="str">
        <f>IF('1.1 Produksi Bersih Padi 2025'!E366="","",'1.1 Produksi Bersih Padi 2025'!E366)</f>
        <v/>
      </c>
      <c r="F366" s="28" t="str">
        <f>IF(D366="","",VLOOKUP(D366,'[1]0.1 Produksi Pangan &amp; Penduduk'!$D$5:$AQ$860,40,0))</f>
        <v/>
      </c>
      <c r="G366" s="29" t="str">
        <f t="shared" si="25"/>
        <v/>
      </c>
      <c r="H366" s="29" t="str">
        <f t="shared" si="26"/>
        <v/>
      </c>
      <c r="I366" s="29" t="str">
        <f t="shared" si="27"/>
        <v/>
      </c>
      <c r="J366" s="29" t="str">
        <f t="shared" si="28"/>
        <v/>
      </c>
      <c r="K366" s="29" t="str">
        <f t="shared" si="29"/>
        <v/>
      </c>
      <c r="M366" s="11"/>
    </row>
    <row r="367" spans="1:13" ht="15" x14ac:dyDescent="0.25">
      <c r="A367" s="1" t="str">
        <f>IF('1.1 Produksi Bersih Padi 2025'!A367="","",'1.1 Produksi Bersih Padi 2025'!A367)</f>
        <v/>
      </c>
      <c r="B367" s="31" t="str">
        <f>IF('1.1 Produksi Bersih Padi 2025'!B367="","",'1.1 Produksi Bersih Padi 2025'!B367)</f>
        <v/>
      </c>
      <c r="C367" s="31" t="str">
        <f>IF('1.1 Produksi Bersih Padi 2025'!C367="","",'1.1 Produksi Bersih Padi 2025'!C367)</f>
        <v/>
      </c>
      <c r="D367" s="1" t="str">
        <f>IF('1.1 Produksi Bersih Padi 2025'!D367="","",'1.1 Produksi Bersih Padi 2025'!D367)</f>
        <v/>
      </c>
      <c r="E367" s="1" t="str">
        <f>IF('1.1 Produksi Bersih Padi 2025'!E367="","",'1.1 Produksi Bersih Padi 2025'!E367)</f>
        <v/>
      </c>
      <c r="F367" s="28" t="str">
        <f>IF(D367="","",VLOOKUP(D367,'[1]0.1 Produksi Pangan &amp; Penduduk'!$D$5:$AQ$860,40,0))</f>
        <v/>
      </c>
      <c r="G367" s="29" t="str">
        <f t="shared" si="25"/>
        <v/>
      </c>
      <c r="H367" s="29" t="str">
        <f t="shared" si="26"/>
        <v/>
      </c>
      <c r="I367" s="29" t="str">
        <f t="shared" si="27"/>
        <v/>
      </c>
      <c r="J367" s="29" t="str">
        <f t="shared" si="28"/>
        <v/>
      </c>
      <c r="K367" s="29" t="str">
        <f t="shared" si="29"/>
        <v/>
      </c>
      <c r="M367" s="11"/>
    </row>
    <row r="368" spans="1:13" ht="15" x14ac:dyDescent="0.25">
      <c r="A368" s="1" t="str">
        <f>IF('1.1 Produksi Bersih Padi 2025'!A368="","",'1.1 Produksi Bersih Padi 2025'!A368)</f>
        <v/>
      </c>
      <c r="B368" s="31" t="str">
        <f>IF('1.1 Produksi Bersih Padi 2025'!B368="","",'1.1 Produksi Bersih Padi 2025'!B368)</f>
        <v/>
      </c>
      <c r="C368" s="31" t="str">
        <f>IF('1.1 Produksi Bersih Padi 2025'!C368="","",'1.1 Produksi Bersih Padi 2025'!C368)</f>
        <v/>
      </c>
      <c r="D368" s="1" t="str">
        <f>IF('1.1 Produksi Bersih Padi 2025'!D368="","",'1.1 Produksi Bersih Padi 2025'!D368)</f>
        <v/>
      </c>
      <c r="E368" s="1" t="str">
        <f>IF('1.1 Produksi Bersih Padi 2025'!E368="","",'1.1 Produksi Bersih Padi 2025'!E368)</f>
        <v/>
      </c>
      <c r="F368" s="28" t="str">
        <f>IF(D368="","",VLOOKUP(D368,'[1]0.1 Produksi Pangan &amp; Penduduk'!$D$5:$AQ$860,40,0))</f>
        <v/>
      </c>
      <c r="G368" s="29" t="str">
        <f t="shared" si="25"/>
        <v/>
      </c>
      <c r="H368" s="29" t="str">
        <f t="shared" si="26"/>
        <v/>
      </c>
      <c r="I368" s="29" t="str">
        <f t="shared" si="27"/>
        <v/>
      </c>
      <c r="J368" s="29" t="str">
        <f t="shared" si="28"/>
        <v/>
      </c>
      <c r="K368" s="29" t="str">
        <f t="shared" si="29"/>
        <v/>
      </c>
      <c r="M368" s="11"/>
    </row>
    <row r="369" spans="1:13" ht="15" x14ac:dyDescent="0.25">
      <c r="A369" s="1" t="str">
        <f>IF('1.1 Produksi Bersih Padi 2025'!A369="","",'1.1 Produksi Bersih Padi 2025'!A369)</f>
        <v/>
      </c>
      <c r="B369" s="31" t="str">
        <f>IF('1.1 Produksi Bersih Padi 2025'!B369="","",'1.1 Produksi Bersih Padi 2025'!B369)</f>
        <v/>
      </c>
      <c r="C369" s="31" t="str">
        <f>IF('1.1 Produksi Bersih Padi 2025'!C369="","",'1.1 Produksi Bersih Padi 2025'!C369)</f>
        <v/>
      </c>
      <c r="D369" s="1" t="str">
        <f>IF('1.1 Produksi Bersih Padi 2025'!D369="","",'1.1 Produksi Bersih Padi 2025'!D369)</f>
        <v/>
      </c>
      <c r="E369" s="1" t="str">
        <f>IF('1.1 Produksi Bersih Padi 2025'!E369="","",'1.1 Produksi Bersih Padi 2025'!E369)</f>
        <v/>
      </c>
      <c r="F369" s="28" t="str">
        <f>IF(D369="","",VLOOKUP(D369,'[1]0.1 Produksi Pangan &amp; Penduduk'!$D$5:$AQ$860,40,0))</f>
        <v/>
      </c>
      <c r="G369" s="29" t="str">
        <f t="shared" si="25"/>
        <v/>
      </c>
      <c r="H369" s="29" t="str">
        <f t="shared" si="26"/>
        <v/>
      </c>
      <c r="I369" s="29" t="str">
        <f t="shared" si="27"/>
        <v/>
      </c>
      <c r="J369" s="29" t="str">
        <f t="shared" si="28"/>
        <v/>
      </c>
      <c r="K369" s="29" t="str">
        <f t="shared" si="29"/>
        <v/>
      </c>
      <c r="M369" s="11"/>
    </row>
    <row r="370" spans="1:13" ht="15" x14ac:dyDescent="0.25">
      <c r="A370" s="1" t="str">
        <f>IF('1.1 Produksi Bersih Padi 2025'!A370="","",'1.1 Produksi Bersih Padi 2025'!A370)</f>
        <v/>
      </c>
      <c r="B370" s="31" t="str">
        <f>IF('1.1 Produksi Bersih Padi 2025'!B370="","",'1.1 Produksi Bersih Padi 2025'!B370)</f>
        <v/>
      </c>
      <c r="C370" s="31" t="str">
        <f>IF('1.1 Produksi Bersih Padi 2025'!C370="","",'1.1 Produksi Bersih Padi 2025'!C370)</f>
        <v/>
      </c>
      <c r="D370" s="1" t="str">
        <f>IF('1.1 Produksi Bersih Padi 2025'!D370="","",'1.1 Produksi Bersih Padi 2025'!D370)</f>
        <v/>
      </c>
      <c r="E370" s="1" t="str">
        <f>IF('1.1 Produksi Bersih Padi 2025'!E370="","",'1.1 Produksi Bersih Padi 2025'!E370)</f>
        <v/>
      </c>
      <c r="F370" s="28" t="str">
        <f>IF(D370="","",VLOOKUP(D370,'[1]0.1 Produksi Pangan &amp; Penduduk'!$D$5:$AQ$860,40,0))</f>
        <v/>
      </c>
      <c r="G370" s="29" t="str">
        <f t="shared" si="25"/>
        <v/>
      </c>
      <c r="H370" s="29" t="str">
        <f t="shared" si="26"/>
        <v/>
      </c>
      <c r="I370" s="29" t="str">
        <f t="shared" si="27"/>
        <v/>
      </c>
      <c r="J370" s="29" t="str">
        <f t="shared" si="28"/>
        <v/>
      </c>
      <c r="K370" s="29" t="str">
        <f t="shared" si="29"/>
        <v/>
      </c>
      <c r="M370" s="11"/>
    </row>
    <row r="371" spans="1:13" ht="15" x14ac:dyDescent="0.25">
      <c r="A371" s="1" t="str">
        <f>IF('1.1 Produksi Bersih Padi 2025'!A371="","",'1.1 Produksi Bersih Padi 2025'!A371)</f>
        <v/>
      </c>
      <c r="B371" s="31" t="str">
        <f>IF('1.1 Produksi Bersih Padi 2025'!B371="","",'1.1 Produksi Bersih Padi 2025'!B371)</f>
        <v/>
      </c>
      <c r="C371" s="31" t="str">
        <f>IF('1.1 Produksi Bersih Padi 2025'!C371="","",'1.1 Produksi Bersih Padi 2025'!C371)</f>
        <v/>
      </c>
      <c r="D371" s="1" t="str">
        <f>IF('1.1 Produksi Bersih Padi 2025'!D371="","",'1.1 Produksi Bersih Padi 2025'!D371)</f>
        <v/>
      </c>
      <c r="E371" s="1" t="str">
        <f>IF('1.1 Produksi Bersih Padi 2025'!E371="","",'1.1 Produksi Bersih Padi 2025'!E371)</f>
        <v/>
      </c>
      <c r="F371" s="28" t="str">
        <f>IF(D371="","",VLOOKUP(D371,'[1]0.1 Produksi Pangan &amp; Penduduk'!$D$5:$AQ$860,40,0))</f>
        <v/>
      </c>
      <c r="G371" s="29" t="str">
        <f t="shared" si="25"/>
        <v/>
      </c>
      <c r="H371" s="29" t="str">
        <f t="shared" si="26"/>
        <v/>
      </c>
      <c r="I371" s="29" t="str">
        <f t="shared" si="27"/>
        <v/>
      </c>
      <c r="J371" s="29" t="str">
        <f t="shared" si="28"/>
        <v/>
      </c>
      <c r="K371" s="29" t="str">
        <f t="shared" si="29"/>
        <v/>
      </c>
      <c r="M371" s="11"/>
    </row>
    <row r="372" spans="1:13" ht="15" x14ac:dyDescent="0.25">
      <c r="A372" s="1" t="str">
        <f>IF('1.1 Produksi Bersih Padi 2025'!A372="","",'1.1 Produksi Bersih Padi 2025'!A372)</f>
        <v/>
      </c>
      <c r="B372" s="31" t="str">
        <f>IF('1.1 Produksi Bersih Padi 2025'!B372="","",'1.1 Produksi Bersih Padi 2025'!B372)</f>
        <v/>
      </c>
      <c r="C372" s="31" t="str">
        <f>IF('1.1 Produksi Bersih Padi 2025'!C372="","",'1.1 Produksi Bersih Padi 2025'!C372)</f>
        <v/>
      </c>
      <c r="D372" s="1" t="str">
        <f>IF('1.1 Produksi Bersih Padi 2025'!D372="","",'1.1 Produksi Bersih Padi 2025'!D372)</f>
        <v/>
      </c>
      <c r="E372" s="1" t="str">
        <f>IF('1.1 Produksi Bersih Padi 2025'!E372="","",'1.1 Produksi Bersih Padi 2025'!E372)</f>
        <v/>
      </c>
      <c r="F372" s="28" t="str">
        <f>IF(D372="","",VLOOKUP(D372,'[1]0.1 Produksi Pangan &amp; Penduduk'!$D$5:$AQ$860,40,0))</f>
        <v/>
      </c>
      <c r="G372" s="29" t="str">
        <f t="shared" si="25"/>
        <v/>
      </c>
      <c r="H372" s="29" t="str">
        <f t="shared" si="26"/>
        <v/>
      </c>
      <c r="I372" s="29" t="str">
        <f t="shared" si="27"/>
        <v/>
      </c>
      <c r="J372" s="29" t="str">
        <f t="shared" si="28"/>
        <v/>
      </c>
      <c r="K372" s="29" t="str">
        <f t="shared" si="29"/>
        <v/>
      </c>
      <c r="M372" s="11"/>
    </row>
    <row r="373" spans="1:13" ht="15" x14ac:dyDescent="0.25">
      <c r="A373" s="1" t="str">
        <f>IF('1.1 Produksi Bersih Padi 2025'!A373="","",'1.1 Produksi Bersih Padi 2025'!A373)</f>
        <v/>
      </c>
      <c r="B373" s="31" t="str">
        <f>IF('1.1 Produksi Bersih Padi 2025'!B373="","",'1.1 Produksi Bersih Padi 2025'!B373)</f>
        <v/>
      </c>
      <c r="C373" s="31" t="str">
        <f>IF('1.1 Produksi Bersih Padi 2025'!C373="","",'1.1 Produksi Bersih Padi 2025'!C373)</f>
        <v/>
      </c>
      <c r="D373" s="1" t="str">
        <f>IF('1.1 Produksi Bersih Padi 2025'!D373="","",'1.1 Produksi Bersih Padi 2025'!D373)</f>
        <v/>
      </c>
      <c r="E373" s="1" t="str">
        <f>IF('1.1 Produksi Bersih Padi 2025'!E373="","",'1.1 Produksi Bersih Padi 2025'!E373)</f>
        <v/>
      </c>
      <c r="F373" s="28" t="str">
        <f>IF(D373="","",VLOOKUP(D373,'[1]0.1 Produksi Pangan &amp; Penduduk'!$D$5:$AQ$860,40,0))</f>
        <v/>
      </c>
      <c r="G373" s="29" t="str">
        <f t="shared" si="25"/>
        <v/>
      </c>
      <c r="H373" s="29" t="str">
        <f t="shared" si="26"/>
        <v/>
      </c>
      <c r="I373" s="29" t="str">
        <f t="shared" si="27"/>
        <v/>
      </c>
      <c r="J373" s="29" t="str">
        <f t="shared" si="28"/>
        <v/>
      </c>
      <c r="K373" s="29" t="str">
        <f t="shared" si="29"/>
        <v/>
      </c>
      <c r="M373" s="11"/>
    </row>
    <row r="374" spans="1:13" ht="15" x14ac:dyDescent="0.25">
      <c r="A374" s="1" t="str">
        <f>IF('1.1 Produksi Bersih Padi 2025'!A374="","",'1.1 Produksi Bersih Padi 2025'!A374)</f>
        <v/>
      </c>
      <c r="B374" s="31" t="str">
        <f>IF('1.1 Produksi Bersih Padi 2025'!B374="","",'1.1 Produksi Bersih Padi 2025'!B374)</f>
        <v/>
      </c>
      <c r="C374" s="31" t="str">
        <f>IF('1.1 Produksi Bersih Padi 2025'!C374="","",'1.1 Produksi Bersih Padi 2025'!C374)</f>
        <v/>
      </c>
      <c r="D374" s="1" t="str">
        <f>IF('1.1 Produksi Bersih Padi 2025'!D374="","",'1.1 Produksi Bersih Padi 2025'!D374)</f>
        <v/>
      </c>
      <c r="E374" s="1" t="str">
        <f>IF('1.1 Produksi Bersih Padi 2025'!E374="","",'1.1 Produksi Bersih Padi 2025'!E374)</f>
        <v/>
      </c>
      <c r="F374" s="28" t="str">
        <f>IF(D374="","",VLOOKUP(D374,'[1]0.1 Produksi Pangan &amp; Penduduk'!$D$5:$AQ$860,40,0))</f>
        <v/>
      </c>
      <c r="G374" s="29" t="str">
        <f t="shared" si="25"/>
        <v/>
      </c>
      <c r="H374" s="29" t="str">
        <f t="shared" si="26"/>
        <v/>
      </c>
      <c r="I374" s="29" t="str">
        <f t="shared" si="27"/>
        <v/>
      </c>
      <c r="J374" s="29" t="str">
        <f t="shared" si="28"/>
        <v/>
      </c>
      <c r="K374" s="29" t="str">
        <f t="shared" si="29"/>
        <v/>
      </c>
      <c r="M374" s="11"/>
    </row>
    <row r="375" spans="1:13" ht="15" x14ac:dyDescent="0.25">
      <c r="A375" s="1" t="str">
        <f>IF('1.1 Produksi Bersih Padi 2025'!A375="","",'1.1 Produksi Bersih Padi 2025'!A375)</f>
        <v/>
      </c>
      <c r="B375" s="31" t="str">
        <f>IF('1.1 Produksi Bersih Padi 2025'!B375="","",'1.1 Produksi Bersih Padi 2025'!B375)</f>
        <v/>
      </c>
      <c r="C375" s="31" t="str">
        <f>IF('1.1 Produksi Bersih Padi 2025'!C375="","",'1.1 Produksi Bersih Padi 2025'!C375)</f>
        <v/>
      </c>
      <c r="D375" s="1" t="str">
        <f>IF('1.1 Produksi Bersih Padi 2025'!D375="","",'1.1 Produksi Bersih Padi 2025'!D375)</f>
        <v/>
      </c>
      <c r="E375" s="1" t="str">
        <f>IF('1.1 Produksi Bersih Padi 2025'!E375="","",'1.1 Produksi Bersih Padi 2025'!E375)</f>
        <v/>
      </c>
      <c r="F375" s="28" t="str">
        <f>IF(D375="","",VLOOKUP(D375,'[1]0.1 Produksi Pangan &amp; Penduduk'!$D$5:$AQ$860,40,0))</f>
        <v/>
      </c>
      <c r="G375" s="29" t="str">
        <f t="shared" si="25"/>
        <v/>
      </c>
      <c r="H375" s="29" t="str">
        <f t="shared" si="26"/>
        <v/>
      </c>
      <c r="I375" s="29" t="str">
        <f t="shared" si="27"/>
        <v/>
      </c>
      <c r="J375" s="29" t="str">
        <f t="shared" si="28"/>
        <v/>
      </c>
      <c r="K375" s="29" t="str">
        <f t="shared" si="29"/>
        <v/>
      </c>
      <c r="M375" s="11"/>
    </row>
    <row r="376" spans="1:13" ht="15" x14ac:dyDescent="0.25">
      <c r="A376" s="1" t="str">
        <f>IF('1.1 Produksi Bersih Padi 2025'!A376="","",'1.1 Produksi Bersih Padi 2025'!A376)</f>
        <v/>
      </c>
      <c r="B376" s="31" t="str">
        <f>IF('1.1 Produksi Bersih Padi 2025'!B376="","",'1.1 Produksi Bersih Padi 2025'!B376)</f>
        <v/>
      </c>
      <c r="C376" s="31" t="str">
        <f>IF('1.1 Produksi Bersih Padi 2025'!C376="","",'1.1 Produksi Bersih Padi 2025'!C376)</f>
        <v/>
      </c>
      <c r="D376" s="1" t="str">
        <f>IF('1.1 Produksi Bersih Padi 2025'!D376="","",'1.1 Produksi Bersih Padi 2025'!D376)</f>
        <v/>
      </c>
      <c r="E376" s="1" t="str">
        <f>IF('1.1 Produksi Bersih Padi 2025'!E376="","",'1.1 Produksi Bersih Padi 2025'!E376)</f>
        <v/>
      </c>
      <c r="F376" s="28" t="str">
        <f>IF(D376="","",VLOOKUP(D376,'[1]0.1 Produksi Pangan &amp; Penduduk'!$D$5:$AQ$860,40,0))</f>
        <v/>
      </c>
      <c r="G376" s="29" t="str">
        <f t="shared" si="25"/>
        <v/>
      </c>
      <c r="H376" s="29" t="str">
        <f t="shared" si="26"/>
        <v/>
      </c>
      <c r="I376" s="29" t="str">
        <f t="shared" si="27"/>
        <v/>
      </c>
      <c r="J376" s="29" t="str">
        <f t="shared" si="28"/>
        <v/>
      </c>
      <c r="K376" s="29" t="str">
        <f t="shared" si="29"/>
        <v/>
      </c>
      <c r="M376" s="11"/>
    </row>
    <row r="377" spans="1:13" ht="15" x14ac:dyDescent="0.25">
      <c r="A377" s="1" t="str">
        <f>IF('1.1 Produksi Bersih Padi 2025'!A377="","",'1.1 Produksi Bersih Padi 2025'!A377)</f>
        <v/>
      </c>
      <c r="B377" s="31" t="str">
        <f>IF('1.1 Produksi Bersih Padi 2025'!B377="","",'1.1 Produksi Bersih Padi 2025'!B377)</f>
        <v/>
      </c>
      <c r="C377" s="31" t="str">
        <f>IF('1.1 Produksi Bersih Padi 2025'!C377="","",'1.1 Produksi Bersih Padi 2025'!C377)</f>
        <v/>
      </c>
      <c r="D377" s="1" t="str">
        <f>IF('1.1 Produksi Bersih Padi 2025'!D377="","",'1.1 Produksi Bersih Padi 2025'!D377)</f>
        <v/>
      </c>
      <c r="E377" s="1" t="str">
        <f>IF('1.1 Produksi Bersih Padi 2025'!E377="","",'1.1 Produksi Bersih Padi 2025'!E377)</f>
        <v/>
      </c>
      <c r="F377" s="28" t="str">
        <f>IF(D377="","",VLOOKUP(D377,'[1]0.1 Produksi Pangan &amp; Penduduk'!$D$5:$AQ$860,40,0))</f>
        <v/>
      </c>
      <c r="G377" s="29" t="str">
        <f t="shared" si="25"/>
        <v/>
      </c>
      <c r="H377" s="29" t="str">
        <f t="shared" si="26"/>
        <v/>
      </c>
      <c r="I377" s="29" t="str">
        <f t="shared" si="27"/>
        <v/>
      </c>
      <c r="J377" s="29" t="str">
        <f t="shared" si="28"/>
        <v/>
      </c>
      <c r="K377" s="29" t="str">
        <f t="shared" si="29"/>
        <v/>
      </c>
      <c r="M377" s="11"/>
    </row>
    <row r="378" spans="1:13" ht="15" x14ac:dyDescent="0.25">
      <c r="A378" s="1" t="str">
        <f>IF('1.1 Produksi Bersih Padi 2025'!A378="","",'1.1 Produksi Bersih Padi 2025'!A378)</f>
        <v/>
      </c>
      <c r="B378" s="31" t="str">
        <f>IF('1.1 Produksi Bersih Padi 2025'!B378="","",'1.1 Produksi Bersih Padi 2025'!B378)</f>
        <v/>
      </c>
      <c r="C378" s="31" t="str">
        <f>IF('1.1 Produksi Bersih Padi 2025'!C378="","",'1.1 Produksi Bersih Padi 2025'!C378)</f>
        <v/>
      </c>
      <c r="D378" s="1" t="str">
        <f>IF('1.1 Produksi Bersih Padi 2025'!D378="","",'1.1 Produksi Bersih Padi 2025'!D378)</f>
        <v/>
      </c>
      <c r="E378" s="1" t="str">
        <f>IF('1.1 Produksi Bersih Padi 2025'!E378="","",'1.1 Produksi Bersih Padi 2025'!E378)</f>
        <v/>
      </c>
      <c r="F378" s="28" t="str">
        <f>IF(D378="","",VLOOKUP(D378,'[1]0.1 Produksi Pangan &amp; Penduduk'!$D$5:$AQ$860,40,0))</f>
        <v/>
      </c>
      <c r="G378" s="29" t="str">
        <f t="shared" si="25"/>
        <v/>
      </c>
      <c r="H378" s="29" t="str">
        <f t="shared" si="26"/>
        <v/>
      </c>
      <c r="I378" s="29" t="str">
        <f t="shared" si="27"/>
        <v/>
      </c>
      <c r="J378" s="29" t="str">
        <f t="shared" si="28"/>
        <v/>
      </c>
      <c r="K378" s="29" t="str">
        <f t="shared" si="29"/>
        <v/>
      </c>
      <c r="M378" s="11"/>
    </row>
    <row r="379" spans="1:13" ht="15" x14ac:dyDescent="0.25">
      <c r="A379" s="1" t="str">
        <f>IF('1.1 Produksi Bersih Padi 2025'!A379="","",'1.1 Produksi Bersih Padi 2025'!A379)</f>
        <v/>
      </c>
      <c r="B379" s="31" t="str">
        <f>IF('1.1 Produksi Bersih Padi 2025'!B379="","",'1.1 Produksi Bersih Padi 2025'!B379)</f>
        <v/>
      </c>
      <c r="C379" s="31" t="str">
        <f>IF('1.1 Produksi Bersih Padi 2025'!C379="","",'1.1 Produksi Bersih Padi 2025'!C379)</f>
        <v/>
      </c>
      <c r="D379" s="1" t="str">
        <f>IF('1.1 Produksi Bersih Padi 2025'!D379="","",'1.1 Produksi Bersih Padi 2025'!D379)</f>
        <v/>
      </c>
      <c r="E379" s="1" t="str">
        <f>IF('1.1 Produksi Bersih Padi 2025'!E379="","",'1.1 Produksi Bersih Padi 2025'!E379)</f>
        <v/>
      </c>
      <c r="F379" s="28" t="str">
        <f>IF(D379="","",VLOOKUP(D379,'[1]0.1 Produksi Pangan &amp; Penduduk'!$D$5:$AQ$860,40,0))</f>
        <v/>
      </c>
      <c r="G379" s="29" t="str">
        <f t="shared" si="25"/>
        <v/>
      </c>
      <c r="H379" s="29" t="str">
        <f t="shared" si="26"/>
        <v/>
      </c>
      <c r="I379" s="29" t="str">
        <f t="shared" si="27"/>
        <v/>
      </c>
      <c r="J379" s="29" t="str">
        <f t="shared" si="28"/>
        <v/>
      </c>
      <c r="K379" s="29" t="str">
        <f t="shared" si="29"/>
        <v/>
      </c>
      <c r="M379" s="11"/>
    </row>
    <row r="380" spans="1:13" ht="15" x14ac:dyDescent="0.25">
      <c r="A380" s="1" t="str">
        <f>IF('1.1 Produksi Bersih Padi 2025'!A380="","",'1.1 Produksi Bersih Padi 2025'!A380)</f>
        <v/>
      </c>
      <c r="B380" s="31" t="str">
        <f>IF('1.1 Produksi Bersih Padi 2025'!B380="","",'1.1 Produksi Bersih Padi 2025'!B380)</f>
        <v/>
      </c>
      <c r="C380" s="31" t="str">
        <f>IF('1.1 Produksi Bersih Padi 2025'!C380="","",'1.1 Produksi Bersih Padi 2025'!C380)</f>
        <v/>
      </c>
      <c r="D380" s="1" t="str">
        <f>IF('1.1 Produksi Bersih Padi 2025'!D380="","",'1.1 Produksi Bersih Padi 2025'!D380)</f>
        <v/>
      </c>
      <c r="E380" s="1" t="str">
        <f>IF('1.1 Produksi Bersih Padi 2025'!E380="","",'1.1 Produksi Bersih Padi 2025'!E380)</f>
        <v/>
      </c>
      <c r="F380" s="28" t="str">
        <f>IF(D380="","",VLOOKUP(D380,'[1]0.1 Produksi Pangan &amp; Penduduk'!$D$5:$AQ$860,40,0))</f>
        <v/>
      </c>
      <c r="G380" s="29" t="str">
        <f t="shared" si="25"/>
        <v/>
      </c>
      <c r="H380" s="29" t="str">
        <f t="shared" si="26"/>
        <v/>
      </c>
      <c r="I380" s="29" t="str">
        <f t="shared" si="27"/>
        <v/>
      </c>
      <c r="J380" s="29" t="str">
        <f t="shared" si="28"/>
        <v/>
      </c>
      <c r="K380" s="29" t="str">
        <f t="shared" si="29"/>
        <v/>
      </c>
      <c r="M380" s="11"/>
    </row>
    <row r="381" spans="1:13" ht="15" x14ac:dyDescent="0.25">
      <c r="A381" s="1" t="str">
        <f>IF('1.1 Produksi Bersih Padi 2025'!A381="","",'1.1 Produksi Bersih Padi 2025'!A381)</f>
        <v/>
      </c>
      <c r="B381" s="31" t="str">
        <f>IF('1.1 Produksi Bersih Padi 2025'!B381="","",'1.1 Produksi Bersih Padi 2025'!B381)</f>
        <v/>
      </c>
      <c r="C381" s="31" t="str">
        <f>IF('1.1 Produksi Bersih Padi 2025'!C381="","",'1.1 Produksi Bersih Padi 2025'!C381)</f>
        <v/>
      </c>
      <c r="D381" s="1" t="str">
        <f>IF('1.1 Produksi Bersih Padi 2025'!D381="","",'1.1 Produksi Bersih Padi 2025'!D381)</f>
        <v/>
      </c>
      <c r="E381" s="1" t="str">
        <f>IF('1.1 Produksi Bersih Padi 2025'!E381="","",'1.1 Produksi Bersih Padi 2025'!E381)</f>
        <v/>
      </c>
      <c r="F381" s="28" t="str">
        <f>IF(D381="","",VLOOKUP(D381,'[1]0.1 Produksi Pangan &amp; Penduduk'!$D$5:$AQ$860,40,0))</f>
        <v/>
      </c>
      <c r="G381" s="29" t="str">
        <f t="shared" si="25"/>
        <v/>
      </c>
      <c r="H381" s="29" t="str">
        <f t="shared" si="26"/>
        <v/>
      </c>
      <c r="I381" s="29" t="str">
        <f t="shared" si="27"/>
        <v/>
      </c>
      <c r="J381" s="29" t="str">
        <f t="shared" si="28"/>
        <v/>
      </c>
      <c r="K381" s="29" t="str">
        <f t="shared" si="29"/>
        <v/>
      </c>
      <c r="M381" s="11"/>
    </row>
    <row r="382" spans="1:13" ht="15" x14ac:dyDescent="0.25">
      <c r="A382" s="1" t="str">
        <f>IF('1.1 Produksi Bersih Padi 2025'!A382="","",'1.1 Produksi Bersih Padi 2025'!A382)</f>
        <v/>
      </c>
      <c r="B382" s="31" t="str">
        <f>IF('1.1 Produksi Bersih Padi 2025'!B382="","",'1.1 Produksi Bersih Padi 2025'!B382)</f>
        <v/>
      </c>
      <c r="C382" s="31" t="str">
        <f>IF('1.1 Produksi Bersih Padi 2025'!C382="","",'1.1 Produksi Bersih Padi 2025'!C382)</f>
        <v/>
      </c>
      <c r="D382" s="1" t="str">
        <f>IF('1.1 Produksi Bersih Padi 2025'!D382="","",'1.1 Produksi Bersih Padi 2025'!D382)</f>
        <v/>
      </c>
      <c r="E382" s="1" t="str">
        <f>IF('1.1 Produksi Bersih Padi 2025'!E382="","",'1.1 Produksi Bersih Padi 2025'!E382)</f>
        <v/>
      </c>
      <c r="F382" s="28" t="str">
        <f>IF(D382="","",VLOOKUP(D382,'[1]0.1 Produksi Pangan &amp; Penduduk'!$D$5:$AQ$860,40,0))</f>
        <v/>
      </c>
      <c r="G382" s="29" t="str">
        <f t="shared" si="25"/>
        <v/>
      </c>
      <c r="H382" s="29" t="str">
        <f t="shared" si="26"/>
        <v/>
      </c>
      <c r="I382" s="29" t="str">
        <f t="shared" si="27"/>
        <v/>
      </c>
      <c r="J382" s="29" t="str">
        <f t="shared" si="28"/>
        <v/>
      </c>
      <c r="K382" s="29" t="str">
        <f t="shared" si="29"/>
        <v/>
      </c>
      <c r="M382" s="11"/>
    </row>
    <row r="383" spans="1:13" ht="15" x14ac:dyDescent="0.25">
      <c r="A383" s="1" t="str">
        <f>IF('1.1 Produksi Bersih Padi 2025'!A383="","",'1.1 Produksi Bersih Padi 2025'!A383)</f>
        <v/>
      </c>
      <c r="B383" s="31" t="str">
        <f>IF('1.1 Produksi Bersih Padi 2025'!B383="","",'1.1 Produksi Bersih Padi 2025'!B383)</f>
        <v/>
      </c>
      <c r="C383" s="31" t="str">
        <f>IF('1.1 Produksi Bersih Padi 2025'!C383="","",'1.1 Produksi Bersih Padi 2025'!C383)</f>
        <v/>
      </c>
      <c r="D383" s="1" t="str">
        <f>IF('1.1 Produksi Bersih Padi 2025'!D383="","",'1.1 Produksi Bersih Padi 2025'!D383)</f>
        <v/>
      </c>
      <c r="E383" s="1" t="str">
        <f>IF('1.1 Produksi Bersih Padi 2025'!E383="","",'1.1 Produksi Bersih Padi 2025'!E383)</f>
        <v/>
      </c>
      <c r="F383" s="28" t="str">
        <f>IF(D383="","",VLOOKUP(D383,'[1]0.1 Produksi Pangan &amp; Penduduk'!$D$5:$AQ$860,40,0))</f>
        <v/>
      </c>
      <c r="G383" s="29" t="str">
        <f t="shared" si="25"/>
        <v/>
      </c>
      <c r="H383" s="29" t="str">
        <f t="shared" si="26"/>
        <v/>
      </c>
      <c r="I383" s="29" t="str">
        <f t="shared" si="27"/>
        <v/>
      </c>
      <c r="J383" s="29" t="str">
        <f t="shared" si="28"/>
        <v/>
      </c>
      <c r="K383" s="29" t="str">
        <f t="shared" si="29"/>
        <v/>
      </c>
      <c r="M383" s="11"/>
    </row>
    <row r="384" spans="1:13" ht="15" x14ac:dyDescent="0.25">
      <c r="A384" s="1" t="str">
        <f>IF('1.1 Produksi Bersih Padi 2025'!A384="","",'1.1 Produksi Bersih Padi 2025'!A384)</f>
        <v/>
      </c>
      <c r="B384" s="31" t="str">
        <f>IF('1.1 Produksi Bersih Padi 2025'!B384="","",'1.1 Produksi Bersih Padi 2025'!B384)</f>
        <v/>
      </c>
      <c r="C384" s="31" t="str">
        <f>IF('1.1 Produksi Bersih Padi 2025'!C384="","",'1.1 Produksi Bersih Padi 2025'!C384)</f>
        <v/>
      </c>
      <c r="D384" s="1" t="str">
        <f>IF('1.1 Produksi Bersih Padi 2025'!D384="","",'1.1 Produksi Bersih Padi 2025'!D384)</f>
        <v/>
      </c>
      <c r="E384" s="1" t="str">
        <f>IF('1.1 Produksi Bersih Padi 2025'!E384="","",'1.1 Produksi Bersih Padi 2025'!E384)</f>
        <v/>
      </c>
      <c r="F384" s="28" t="str">
        <f>IF(D384="","",VLOOKUP(D384,'[1]0.1 Produksi Pangan &amp; Penduduk'!$D$5:$AQ$860,40,0))</f>
        <v/>
      </c>
      <c r="G384" s="29" t="str">
        <f t="shared" si="25"/>
        <v/>
      </c>
      <c r="H384" s="29" t="str">
        <f t="shared" si="26"/>
        <v/>
      </c>
      <c r="I384" s="29" t="str">
        <f t="shared" si="27"/>
        <v/>
      </c>
      <c r="J384" s="29" t="str">
        <f t="shared" si="28"/>
        <v/>
      </c>
      <c r="K384" s="29" t="str">
        <f t="shared" si="29"/>
        <v/>
      </c>
      <c r="M384" s="11"/>
    </row>
    <row r="385" spans="1:13" ht="15" x14ac:dyDescent="0.25">
      <c r="A385" s="1" t="str">
        <f>IF('1.1 Produksi Bersih Padi 2025'!A385="","",'1.1 Produksi Bersih Padi 2025'!A385)</f>
        <v/>
      </c>
      <c r="B385" s="31" t="str">
        <f>IF('1.1 Produksi Bersih Padi 2025'!B385="","",'1.1 Produksi Bersih Padi 2025'!B385)</f>
        <v/>
      </c>
      <c r="C385" s="31" t="str">
        <f>IF('1.1 Produksi Bersih Padi 2025'!C385="","",'1.1 Produksi Bersih Padi 2025'!C385)</f>
        <v/>
      </c>
      <c r="D385" s="1" t="str">
        <f>IF('1.1 Produksi Bersih Padi 2025'!D385="","",'1.1 Produksi Bersih Padi 2025'!D385)</f>
        <v/>
      </c>
      <c r="E385" s="1" t="str">
        <f>IF('1.1 Produksi Bersih Padi 2025'!E385="","",'1.1 Produksi Bersih Padi 2025'!E385)</f>
        <v/>
      </c>
      <c r="F385" s="28" t="str">
        <f>IF(D385="","",VLOOKUP(D385,'[1]0.1 Produksi Pangan &amp; Penduduk'!$D$5:$AQ$860,40,0))</f>
        <v/>
      </c>
      <c r="G385" s="29" t="str">
        <f t="shared" si="25"/>
        <v/>
      </c>
      <c r="H385" s="29" t="str">
        <f t="shared" si="26"/>
        <v/>
      </c>
      <c r="I385" s="29" t="str">
        <f t="shared" si="27"/>
        <v/>
      </c>
      <c r="J385" s="29" t="str">
        <f t="shared" si="28"/>
        <v/>
      </c>
      <c r="K385" s="29" t="str">
        <f t="shared" si="29"/>
        <v/>
      </c>
      <c r="M385" s="11"/>
    </row>
    <row r="386" spans="1:13" ht="15" x14ac:dyDescent="0.25">
      <c r="A386" s="1" t="str">
        <f>IF('1.1 Produksi Bersih Padi 2025'!A386="","",'1.1 Produksi Bersih Padi 2025'!A386)</f>
        <v/>
      </c>
      <c r="B386" s="31" t="str">
        <f>IF('1.1 Produksi Bersih Padi 2025'!B386="","",'1.1 Produksi Bersih Padi 2025'!B386)</f>
        <v/>
      </c>
      <c r="C386" s="31" t="str">
        <f>IF('1.1 Produksi Bersih Padi 2025'!C386="","",'1.1 Produksi Bersih Padi 2025'!C386)</f>
        <v/>
      </c>
      <c r="D386" s="1" t="str">
        <f>IF('1.1 Produksi Bersih Padi 2025'!D386="","",'1.1 Produksi Bersih Padi 2025'!D386)</f>
        <v/>
      </c>
      <c r="E386" s="1" t="str">
        <f>IF('1.1 Produksi Bersih Padi 2025'!E386="","",'1.1 Produksi Bersih Padi 2025'!E386)</f>
        <v/>
      </c>
      <c r="F386" s="28" t="str">
        <f>IF(D386="","",VLOOKUP(D386,'[1]0.1 Produksi Pangan &amp; Penduduk'!$D$5:$AQ$860,40,0))</f>
        <v/>
      </c>
      <c r="G386" s="29" t="str">
        <f t="shared" si="25"/>
        <v/>
      </c>
      <c r="H386" s="29" t="str">
        <f t="shared" si="26"/>
        <v/>
      </c>
      <c r="I386" s="29" t="str">
        <f t="shared" si="27"/>
        <v/>
      </c>
      <c r="J386" s="29" t="str">
        <f t="shared" si="28"/>
        <v/>
      </c>
      <c r="K386" s="29" t="str">
        <f t="shared" si="29"/>
        <v/>
      </c>
      <c r="M386" s="11"/>
    </row>
    <row r="387" spans="1:13" ht="15" x14ac:dyDescent="0.25">
      <c r="A387" s="1" t="str">
        <f>IF('1.1 Produksi Bersih Padi 2025'!A387="","",'1.1 Produksi Bersih Padi 2025'!A387)</f>
        <v/>
      </c>
      <c r="B387" s="31" t="str">
        <f>IF('1.1 Produksi Bersih Padi 2025'!B387="","",'1.1 Produksi Bersih Padi 2025'!B387)</f>
        <v/>
      </c>
      <c r="C387" s="31" t="str">
        <f>IF('1.1 Produksi Bersih Padi 2025'!C387="","",'1.1 Produksi Bersih Padi 2025'!C387)</f>
        <v/>
      </c>
      <c r="D387" s="1" t="str">
        <f>IF('1.1 Produksi Bersih Padi 2025'!D387="","",'1.1 Produksi Bersih Padi 2025'!D387)</f>
        <v/>
      </c>
      <c r="E387" s="1" t="str">
        <f>IF('1.1 Produksi Bersih Padi 2025'!E387="","",'1.1 Produksi Bersih Padi 2025'!E387)</f>
        <v/>
      </c>
      <c r="F387" s="28" t="str">
        <f>IF(D387="","",VLOOKUP(D387,'[1]0.1 Produksi Pangan &amp; Penduduk'!$D$5:$AQ$860,40,0))</f>
        <v/>
      </c>
      <c r="G387" s="29" t="str">
        <f t="shared" si="25"/>
        <v/>
      </c>
      <c r="H387" s="29" t="str">
        <f t="shared" si="26"/>
        <v/>
      </c>
      <c r="I387" s="29" t="str">
        <f t="shared" si="27"/>
        <v/>
      </c>
      <c r="J387" s="29" t="str">
        <f t="shared" si="28"/>
        <v/>
      </c>
      <c r="K387" s="29" t="str">
        <f t="shared" si="29"/>
        <v/>
      </c>
      <c r="M387" s="11"/>
    </row>
    <row r="388" spans="1:13" ht="15" x14ac:dyDescent="0.25">
      <c r="A388" s="1" t="str">
        <f>IF('1.1 Produksi Bersih Padi 2025'!A388="","",'1.1 Produksi Bersih Padi 2025'!A388)</f>
        <v/>
      </c>
      <c r="B388" s="31" t="str">
        <f>IF('1.1 Produksi Bersih Padi 2025'!B388="","",'1.1 Produksi Bersih Padi 2025'!B388)</f>
        <v/>
      </c>
      <c r="C388" s="31" t="str">
        <f>IF('1.1 Produksi Bersih Padi 2025'!C388="","",'1.1 Produksi Bersih Padi 2025'!C388)</f>
        <v/>
      </c>
      <c r="D388" s="1" t="str">
        <f>IF('1.1 Produksi Bersih Padi 2025'!D388="","",'1.1 Produksi Bersih Padi 2025'!D388)</f>
        <v/>
      </c>
      <c r="E388" s="1" t="str">
        <f>IF('1.1 Produksi Bersih Padi 2025'!E388="","",'1.1 Produksi Bersih Padi 2025'!E388)</f>
        <v/>
      </c>
      <c r="F388" s="28" t="str">
        <f>IF(D388="","",VLOOKUP(D388,'[1]0.1 Produksi Pangan &amp; Penduduk'!$D$5:$AQ$860,40,0))</f>
        <v/>
      </c>
      <c r="G388" s="29" t="str">
        <f t="shared" si="25"/>
        <v/>
      </c>
      <c r="H388" s="29" t="str">
        <f t="shared" si="26"/>
        <v/>
      </c>
      <c r="I388" s="29" t="str">
        <f t="shared" si="27"/>
        <v/>
      </c>
      <c r="J388" s="29" t="str">
        <f t="shared" si="28"/>
        <v/>
      </c>
      <c r="K388" s="29" t="str">
        <f t="shared" si="29"/>
        <v/>
      </c>
      <c r="M388" s="11"/>
    </row>
    <row r="389" spans="1:13" ht="15" x14ac:dyDescent="0.25">
      <c r="A389" s="1" t="str">
        <f>IF('1.1 Produksi Bersih Padi 2025'!A389="","",'1.1 Produksi Bersih Padi 2025'!A389)</f>
        <v/>
      </c>
      <c r="B389" s="31" t="str">
        <f>IF('1.1 Produksi Bersih Padi 2025'!B389="","",'1.1 Produksi Bersih Padi 2025'!B389)</f>
        <v/>
      </c>
      <c r="C389" s="31" t="str">
        <f>IF('1.1 Produksi Bersih Padi 2025'!C389="","",'1.1 Produksi Bersih Padi 2025'!C389)</f>
        <v/>
      </c>
      <c r="D389" s="1" t="str">
        <f>IF('1.1 Produksi Bersih Padi 2025'!D389="","",'1.1 Produksi Bersih Padi 2025'!D389)</f>
        <v/>
      </c>
      <c r="E389" s="1" t="str">
        <f>IF('1.1 Produksi Bersih Padi 2025'!E389="","",'1.1 Produksi Bersih Padi 2025'!E389)</f>
        <v/>
      </c>
      <c r="F389" s="28" t="str">
        <f>IF(D389="","",VLOOKUP(D389,'[1]0.1 Produksi Pangan &amp; Penduduk'!$D$5:$AQ$860,40,0))</f>
        <v/>
      </c>
      <c r="G389" s="29" t="str">
        <f t="shared" si="25"/>
        <v/>
      </c>
      <c r="H389" s="29" t="str">
        <f t="shared" si="26"/>
        <v/>
      </c>
      <c r="I389" s="29" t="str">
        <f t="shared" si="27"/>
        <v/>
      </c>
      <c r="J389" s="29" t="str">
        <f t="shared" si="28"/>
        <v/>
      </c>
      <c r="K389" s="29" t="str">
        <f t="shared" si="29"/>
        <v/>
      </c>
      <c r="M389" s="11"/>
    </row>
    <row r="390" spans="1:13" ht="15" x14ac:dyDescent="0.25">
      <c r="A390" s="1" t="str">
        <f>IF('1.1 Produksi Bersih Padi 2025'!A390="","",'1.1 Produksi Bersih Padi 2025'!A390)</f>
        <v/>
      </c>
      <c r="B390" s="31" t="str">
        <f>IF('1.1 Produksi Bersih Padi 2025'!B390="","",'1.1 Produksi Bersih Padi 2025'!B390)</f>
        <v/>
      </c>
      <c r="C390" s="31" t="str">
        <f>IF('1.1 Produksi Bersih Padi 2025'!C390="","",'1.1 Produksi Bersih Padi 2025'!C390)</f>
        <v/>
      </c>
      <c r="D390" s="1" t="str">
        <f>IF('1.1 Produksi Bersih Padi 2025'!D390="","",'1.1 Produksi Bersih Padi 2025'!D390)</f>
        <v/>
      </c>
      <c r="E390" s="1" t="str">
        <f>IF('1.1 Produksi Bersih Padi 2025'!E390="","",'1.1 Produksi Bersih Padi 2025'!E390)</f>
        <v/>
      </c>
      <c r="F390" s="28" t="str">
        <f>IF(D390="","",VLOOKUP(D390,'[1]0.1 Produksi Pangan &amp; Penduduk'!$D$5:$AQ$860,40,0))</f>
        <v/>
      </c>
      <c r="G390" s="29" t="str">
        <f t="shared" ref="G390:G453" si="30">IF(F390="","",F390*0%)</f>
        <v/>
      </c>
      <c r="H390" s="29" t="str">
        <f t="shared" ref="H390:H453" si="31">IF(F390="","",F390*0%)</f>
        <v/>
      </c>
      <c r="I390" s="29" t="str">
        <f t="shared" ref="I390:I453" si="32">IF(F390="","",F390*1.11%)</f>
        <v/>
      </c>
      <c r="J390" s="29" t="str">
        <f t="shared" ref="J390:J453" si="33">IF(F390="","",F390-(G390+H390+I390))</f>
        <v/>
      </c>
      <c r="K390" s="29" t="str">
        <f t="shared" ref="K390:K453" si="34">IF(J390="","",J390*0.134)</f>
        <v/>
      </c>
      <c r="M390" s="11"/>
    </row>
    <row r="391" spans="1:13" ht="15" x14ac:dyDescent="0.25">
      <c r="A391" s="1" t="str">
        <f>IF('1.1 Produksi Bersih Padi 2025'!A391="","",'1.1 Produksi Bersih Padi 2025'!A391)</f>
        <v/>
      </c>
      <c r="B391" s="31" t="str">
        <f>IF('1.1 Produksi Bersih Padi 2025'!B391="","",'1.1 Produksi Bersih Padi 2025'!B391)</f>
        <v/>
      </c>
      <c r="C391" s="31" t="str">
        <f>IF('1.1 Produksi Bersih Padi 2025'!C391="","",'1.1 Produksi Bersih Padi 2025'!C391)</f>
        <v/>
      </c>
      <c r="D391" s="1" t="str">
        <f>IF('1.1 Produksi Bersih Padi 2025'!D391="","",'1.1 Produksi Bersih Padi 2025'!D391)</f>
        <v/>
      </c>
      <c r="E391" s="1" t="str">
        <f>IF('1.1 Produksi Bersih Padi 2025'!E391="","",'1.1 Produksi Bersih Padi 2025'!E391)</f>
        <v/>
      </c>
      <c r="F391" s="28" t="str">
        <f>IF(D391="","",VLOOKUP(D391,'[1]0.1 Produksi Pangan &amp; Penduduk'!$D$5:$AQ$860,40,0))</f>
        <v/>
      </c>
      <c r="G391" s="29" t="str">
        <f t="shared" si="30"/>
        <v/>
      </c>
      <c r="H391" s="29" t="str">
        <f t="shared" si="31"/>
        <v/>
      </c>
      <c r="I391" s="29" t="str">
        <f t="shared" si="32"/>
        <v/>
      </c>
      <c r="J391" s="29" t="str">
        <f t="shared" si="33"/>
        <v/>
      </c>
      <c r="K391" s="29" t="str">
        <f t="shared" si="34"/>
        <v/>
      </c>
      <c r="M391" s="11"/>
    </row>
    <row r="392" spans="1:13" ht="15" x14ac:dyDescent="0.25">
      <c r="A392" s="1" t="str">
        <f>IF('1.1 Produksi Bersih Padi 2025'!A392="","",'1.1 Produksi Bersih Padi 2025'!A392)</f>
        <v/>
      </c>
      <c r="B392" s="31" t="str">
        <f>IF('1.1 Produksi Bersih Padi 2025'!B392="","",'1.1 Produksi Bersih Padi 2025'!B392)</f>
        <v/>
      </c>
      <c r="C392" s="31" t="str">
        <f>IF('1.1 Produksi Bersih Padi 2025'!C392="","",'1.1 Produksi Bersih Padi 2025'!C392)</f>
        <v/>
      </c>
      <c r="D392" s="1" t="str">
        <f>IF('1.1 Produksi Bersih Padi 2025'!D392="","",'1.1 Produksi Bersih Padi 2025'!D392)</f>
        <v/>
      </c>
      <c r="E392" s="1" t="str">
        <f>IF('1.1 Produksi Bersih Padi 2025'!E392="","",'1.1 Produksi Bersih Padi 2025'!E392)</f>
        <v/>
      </c>
      <c r="F392" s="28" t="str">
        <f>IF(D392="","",VLOOKUP(D392,'[1]0.1 Produksi Pangan &amp; Penduduk'!$D$5:$AQ$860,40,0))</f>
        <v/>
      </c>
      <c r="G392" s="29" t="str">
        <f t="shared" si="30"/>
        <v/>
      </c>
      <c r="H392" s="29" t="str">
        <f t="shared" si="31"/>
        <v/>
      </c>
      <c r="I392" s="29" t="str">
        <f t="shared" si="32"/>
        <v/>
      </c>
      <c r="J392" s="29" t="str">
        <f t="shared" si="33"/>
        <v/>
      </c>
      <c r="K392" s="29" t="str">
        <f t="shared" si="34"/>
        <v/>
      </c>
      <c r="M392" s="11"/>
    </row>
    <row r="393" spans="1:13" ht="15" x14ac:dyDescent="0.25">
      <c r="A393" s="1" t="str">
        <f>IF('1.1 Produksi Bersih Padi 2025'!A393="","",'1.1 Produksi Bersih Padi 2025'!A393)</f>
        <v/>
      </c>
      <c r="B393" s="31" t="str">
        <f>IF('1.1 Produksi Bersih Padi 2025'!B393="","",'1.1 Produksi Bersih Padi 2025'!B393)</f>
        <v/>
      </c>
      <c r="C393" s="31" t="str">
        <f>IF('1.1 Produksi Bersih Padi 2025'!C393="","",'1.1 Produksi Bersih Padi 2025'!C393)</f>
        <v/>
      </c>
      <c r="D393" s="1" t="str">
        <f>IF('1.1 Produksi Bersih Padi 2025'!D393="","",'1.1 Produksi Bersih Padi 2025'!D393)</f>
        <v/>
      </c>
      <c r="E393" s="1" t="str">
        <f>IF('1.1 Produksi Bersih Padi 2025'!E393="","",'1.1 Produksi Bersih Padi 2025'!E393)</f>
        <v/>
      </c>
      <c r="F393" s="28" t="str">
        <f>IF(D393="","",VLOOKUP(D393,'[1]0.1 Produksi Pangan &amp; Penduduk'!$D$5:$AQ$860,40,0))</f>
        <v/>
      </c>
      <c r="G393" s="29" t="str">
        <f t="shared" si="30"/>
        <v/>
      </c>
      <c r="H393" s="29" t="str">
        <f t="shared" si="31"/>
        <v/>
      </c>
      <c r="I393" s="29" t="str">
        <f t="shared" si="32"/>
        <v/>
      </c>
      <c r="J393" s="29" t="str">
        <f t="shared" si="33"/>
        <v/>
      </c>
      <c r="K393" s="29" t="str">
        <f t="shared" si="34"/>
        <v/>
      </c>
      <c r="M393" s="11"/>
    </row>
    <row r="394" spans="1:13" ht="15" x14ac:dyDescent="0.25">
      <c r="A394" s="1" t="str">
        <f>IF('1.1 Produksi Bersih Padi 2025'!A394="","",'1.1 Produksi Bersih Padi 2025'!A394)</f>
        <v/>
      </c>
      <c r="B394" s="31" t="str">
        <f>IF('1.1 Produksi Bersih Padi 2025'!B394="","",'1.1 Produksi Bersih Padi 2025'!B394)</f>
        <v/>
      </c>
      <c r="C394" s="31" t="str">
        <f>IF('1.1 Produksi Bersih Padi 2025'!C394="","",'1.1 Produksi Bersih Padi 2025'!C394)</f>
        <v/>
      </c>
      <c r="D394" s="1" t="str">
        <f>IF('1.1 Produksi Bersih Padi 2025'!D394="","",'1.1 Produksi Bersih Padi 2025'!D394)</f>
        <v/>
      </c>
      <c r="E394" s="1" t="str">
        <f>IF('1.1 Produksi Bersih Padi 2025'!E394="","",'1.1 Produksi Bersih Padi 2025'!E394)</f>
        <v/>
      </c>
      <c r="F394" s="28" t="str">
        <f>IF(D394="","",VLOOKUP(D394,'[1]0.1 Produksi Pangan &amp; Penduduk'!$D$5:$AQ$860,40,0))</f>
        <v/>
      </c>
      <c r="G394" s="29" t="str">
        <f t="shared" si="30"/>
        <v/>
      </c>
      <c r="H394" s="29" t="str">
        <f t="shared" si="31"/>
        <v/>
      </c>
      <c r="I394" s="29" t="str">
        <f t="shared" si="32"/>
        <v/>
      </c>
      <c r="J394" s="29" t="str">
        <f t="shared" si="33"/>
        <v/>
      </c>
      <c r="K394" s="29" t="str">
        <f t="shared" si="34"/>
        <v/>
      </c>
      <c r="M394" s="11"/>
    </row>
    <row r="395" spans="1:13" ht="15" x14ac:dyDescent="0.25">
      <c r="A395" s="1" t="str">
        <f>IF('1.1 Produksi Bersih Padi 2025'!A395="","",'1.1 Produksi Bersih Padi 2025'!A395)</f>
        <v/>
      </c>
      <c r="B395" s="31" t="str">
        <f>IF('1.1 Produksi Bersih Padi 2025'!B395="","",'1.1 Produksi Bersih Padi 2025'!B395)</f>
        <v/>
      </c>
      <c r="C395" s="31" t="str">
        <f>IF('1.1 Produksi Bersih Padi 2025'!C395="","",'1.1 Produksi Bersih Padi 2025'!C395)</f>
        <v/>
      </c>
      <c r="D395" s="1" t="str">
        <f>IF('1.1 Produksi Bersih Padi 2025'!D395="","",'1.1 Produksi Bersih Padi 2025'!D395)</f>
        <v/>
      </c>
      <c r="E395" s="1" t="str">
        <f>IF('1.1 Produksi Bersih Padi 2025'!E395="","",'1.1 Produksi Bersih Padi 2025'!E395)</f>
        <v/>
      </c>
      <c r="F395" s="28" t="str">
        <f>IF(D395="","",VLOOKUP(D395,'[1]0.1 Produksi Pangan &amp; Penduduk'!$D$5:$AQ$860,40,0))</f>
        <v/>
      </c>
      <c r="G395" s="29" t="str">
        <f t="shared" si="30"/>
        <v/>
      </c>
      <c r="H395" s="29" t="str">
        <f t="shared" si="31"/>
        <v/>
      </c>
      <c r="I395" s="29" t="str">
        <f t="shared" si="32"/>
        <v/>
      </c>
      <c r="J395" s="29" t="str">
        <f t="shared" si="33"/>
        <v/>
      </c>
      <c r="K395" s="29" t="str">
        <f t="shared" si="34"/>
        <v/>
      </c>
      <c r="M395" s="11"/>
    </row>
    <row r="396" spans="1:13" ht="15" x14ac:dyDescent="0.25">
      <c r="A396" s="1" t="str">
        <f>IF('1.1 Produksi Bersih Padi 2025'!A396="","",'1.1 Produksi Bersih Padi 2025'!A396)</f>
        <v/>
      </c>
      <c r="B396" s="31" t="str">
        <f>IF('1.1 Produksi Bersih Padi 2025'!B396="","",'1.1 Produksi Bersih Padi 2025'!B396)</f>
        <v/>
      </c>
      <c r="C396" s="31" t="str">
        <f>IF('1.1 Produksi Bersih Padi 2025'!C396="","",'1.1 Produksi Bersih Padi 2025'!C396)</f>
        <v/>
      </c>
      <c r="D396" s="1" t="str">
        <f>IF('1.1 Produksi Bersih Padi 2025'!D396="","",'1.1 Produksi Bersih Padi 2025'!D396)</f>
        <v/>
      </c>
      <c r="E396" s="1" t="str">
        <f>IF('1.1 Produksi Bersih Padi 2025'!E396="","",'1.1 Produksi Bersih Padi 2025'!E396)</f>
        <v/>
      </c>
      <c r="F396" s="28" t="str">
        <f>IF(D396="","",VLOOKUP(D396,'[1]0.1 Produksi Pangan &amp; Penduduk'!$D$5:$AQ$860,40,0))</f>
        <v/>
      </c>
      <c r="G396" s="29" t="str">
        <f t="shared" si="30"/>
        <v/>
      </c>
      <c r="H396" s="29" t="str">
        <f t="shared" si="31"/>
        <v/>
      </c>
      <c r="I396" s="29" t="str">
        <f t="shared" si="32"/>
        <v/>
      </c>
      <c r="J396" s="29" t="str">
        <f t="shared" si="33"/>
        <v/>
      </c>
      <c r="K396" s="29" t="str">
        <f t="shared" si="34"/>
        <v/>
      </c>
      <c r="M396" s="11"/>
    </row>
    <row r="397" spans="1:13" ht="15" x14ac:dyDescent="0.25">
      <c r="A397" s="1" t="str">
        <f>IF('1.1 Produksi Bersih Padi 2025'!A397="","",'1.1 Produksi Bersih Padi 2025'!A397)</f>
        <v/>
      </c>
      <c r="B397" s="31" t="str">
        <f>IF('1.1 Produksi Bersih Padi 2025'!B397="","",'1.1 Produksi Bersih Padi 2025'!B397)</f>
        <v/>
      </c>
      <c r="C397" s="31" t="str">
        <f>IF('1.1 Produksi Bersih Padi 2025'!C397="","",'1.1 Produksi Bersih Padi 2025'!C397)</f>
        <v/>
      </c>
      <c r="D397" s="1" t="str">
        <f>IF('1.1 Produksi Bersih Padi 2025'!D397="","",'1.1 Produksi Bersih Padi 2025'!D397)</f>
        <v/>
      </c>
      <c r="E397" s="1" t="str">
        <f>IF('1.1 Produksi Bersih Padi 2025'!E397="","",'1.1 Produksi Bersih Padi 2025'!E397)</f>
        <v/>
      </c>
      <c r="F397" s="28" t="str">
        <f>IF(D397="","",VLOOKUP(D397,'[1]0.1 Produksi Pangan &amp; Penduduk'!$D$5:$AQ$860,40,0))</f>
        <v/>
      </c>
      <c r="G397" s="29" t="str">
        <f t="shared" si="30"/>
        <v/>
      </c>
      <c r="H397" s="29" t="str">
        <f t="shared" si="31"/>
        <v/>
      </c>
      <c r="I397" s="29" t="str">
        <f t="shared" si="32"/>
        <v/>
      </c>
      <c r="J397" s="29" t="str">
        <f t="shared" si="33"/>
        <v/>
      </c>
      <c r="K397" s="29" t="str">
        <f t="shared" si="34"/>
        <v/>
      </c>
      <c r="M397" s="11"/>
    </row>
    <row r="398" spans="1:13" ht="15" x14ac:dyDescent="0.25">
      <c r="A398" s="1" t="str">
        <f>IF('1.1 Produksi Bersih Padi 2025'!A398="","",'1.1 Produksi Bersih Padi 2025'!A398)</f>
        <v/>
      </c>
      <c r="B398" s="31" t="str">
        <f>IF('1.1 Produksi Bersih Padi 2025'!B398="","",'1.1 Produksi Bersih Padi 2025'!B398)</f>
        <v/>
      </c>
      <c r="C398" s="31" t="str">
        <f>IF('1.1 Produksi Bersih Padi 2025'!C398="","",'1.1 Produksi Bersih Padi 2025'!C398)</f>
        <v/>
      </c>
      <c r="D398" s="1" t="str">
        <f>IF('1.1 Produksi Bersih Padi 2025'!D398="","",'1.1 Produksi Bersih Padi 2025'!D398)</f>
        <v/>
      </c>
      <c r="E398" s="1" t="str">
        <f>IF('1.1 Produksi Bersih Padi 2025'!E398="","",'1.1 Produksi Bersih Padi 2025'!E398)</f>
        <v/>
      </c>
      <c r="F398" s="28" t="str">
        <f>IF(D398="","",VLOOKUP(D398,'[1]0.1 Produksi Pangan &amp; Penduduk'!$D$5:$AQ$860,40,0))</f>
        <v/>
      </c>
      <c r="G398" s="29" t="str">
        <f t="shared" si="30"/>
        <v/>
      </c>
      <c r="H398" s="29" t="str">
        <f t="shared" si="31"/>
        <v/>
      </c>
      <c r="I398" s="29" t="str">
        <f t="shared" si="32"/>
        <v/>
      </c>
      <c r="J398" s="29" t="str">
        <f t="shared" si="33"/>
        <v/>
      </c>
      <c r="K398" s="29" t="str">
        <f t="shared" si="34"/>
        <v/>
      </c>
      <c r="M398" s="11"/>
    </row>
    <row r="399" spans="1:13" ht="15" x14ac:dyDescent="0.25">
      <c r="A399" s="1" t="str">
        <f>IF('1.1 Produksi Bersih Padi 2025'!A399="","",'1.1 Produksi Bersih Padi 2025'!A399)</f>
        <v/>
      </c>
      <c r="B399" s="31" t="str">
        <f>IF('1.1 Produksi Bersih Padi 2025'!B399="","",'1.1 Produksi Bersih Padi 2025'!B399)</f>
        <v/>
      </c>
      <c r="C399" s="31" t="str">
        <f>IF('1.1 Produksi Bersih Padi 2025'!C399="","",'1.1 Produksi Bersih Padi 2025'!C399)</f>
        <v/>
      </c>
      <c r="D399" s="1" t="str">
        <f>IF('1.1 Produksi Bersih Padi 2025'!D399="","",'1.1 Produksi Bersih Padi 2025'!D399)</f>
        <v/>
      </c>
      <c r="E399" s="1" t="str">
        <f>IF('1.1 Produksi Bersih Padi 2025'!E399="","",'1.1 Produksi Bersih Padi 2025'!E399)</f>
        <v/>
      </c>
      <c r="F399" s="28" t="str">
        <f>IF(D399="","",VLOOKUP(D399,'[1]0.1 Produksi Pangan &amp; Penduduk'!$D$5:$AQ$860,40,0))</f>
        <v/>
      </c>
      <c r="G399" s="29" t="str">
        <f t="shared" si="30"/>
        <v/>
      </c>
      <c r="H399" s="29" t="str">
        <f t="shared" si="31"/>
        <v/>
      </c>
      <c r="I399" s="29" t="str">
        <f t="shared" si="32"/>
        <v/>
      </c>
      <c r="J399" s="29" t="str">
        <f t="shared" si="33"/>
        <v/>
      </c>
      <c r="K399" s="29" t="str">
        <f t="shared" si="34"/>
        <v/>
      </c>
      <c r="M399" s="11"/>
    </row>
    <row r="400" spans="1:13" ht="15" x14ac:dyDescent="0.25">
      <c r="A400" s="1" t="str">
        <f>IF('1.1 Produksi Bersih Padi 2025'!A400="","",'1.1 Produksi Bersih Padi 2025'!A400)</f>
        <v/>
      </c>
      <c r="B400" s="31" t="str">
        <f>IF('1.1 Produksi Bersih Padi 2025'!B400="","",'1.1 Produksi Bersih Padi 2025'!B400)</f>
        <v/>
      </c>
      <c r="C400" s="31" t="str">
        <f>IF('1.1 Produksi Bersih Padi 2025'!C400="","",'1.1 Produksi Bersih Padi 2025'!C400)</f>
        <v/>
      </c>
      <c r="D400" s="1" t="str">
        <f>IF('1.1 Produksi Bersih Padi 2025'!D400="","",'1.1 Produksi Bersih Padi 2025'!D400)</f>
        <v/>
      </c>
      <c r="E400" s="1" t="str">
        <f>IF('1.1 Produksi Bersih Padi 2025'!E400="","",'1.1 Produksi Bersih Padi 2025'!E400)</f>
        <v/>
      </c>
      <c r="F400" s="28" t="str">
        <f>IF(D400="","",VLOOKUP(D400,'[1]0.1 Produksi Pangan &amp; Penduduk'!$D$5:$AQ$860,40,0))</f>
        <v/>
      </c>
      <c r="G400" s="29" t="str">
        <f t="shared" si="30"/>
        <v/>
      </c>
      <c r="H400" s="29" t="str">
        <f t="shared" si="31"/>
        <v/>
      </c>
      <c r="I400" s="29" t="str">
        <f t="shared" si="32"/>
        <v/>
      </c>
      <c r="J400" s="29" t="str">
        <f t="shared" si="33"/>
        <v/>
      </c>
      <c r="K400" s="29" t="str">
        <f t="shared" si="34"/>
        <v/>
      </c>
      <c r="M400" s="11"/>
    </row>
    <row r="401" spans="1:13" ht="15" x14ac:dyDescent="0.25">
      <c r="A401" s="1" t="str">
        <f>IF('1.1 Produksi Bersih Padi 2025'!A401="","",'1.1 Produksi Bersih Padi 2025'!A401)</f>
        <v/>
      </c>
      <c r="B401" s="31" t="str">
        <f>IF('1.1 Produksi Bersih Padi 2025'!B401="","",'1.1 Produksi Bersih Padi 2025'!B401)</f>
        <v/>
      </c>
      <c r="C401" s="31" t="str">
        <f>IF('1.1 Produksi Bersih Padi 2025'!C401="","",'1.1 Produksi Bersih Padi 2025'!C401)</f>
        <v/>
      </c>
      <c r="D401" s="1" t="str">
        <f>IF('1.1 Produksi Bersih Padi 2025'!D401="","",'1.1 Produksi Bersih Padi 2025'!D401)</f>
        <v/>
      </c>
      <c r="E401" s="1" t="str">
        <f>IF('1.1 Produksi Bersih Padi 2025'!E401="","",'1.1 Produksi Bersih Padi 2025'!E401)</f>
        <v/>
      </c>
      <c r="F401" s="28" t="str">
        <f>IF(D401="","",VLOOKUP(D401,'[1]0.1 Produksi Pangan &amp; Penduduk'!$D$5:$AQ$860,40,0))</f>
        <v/>
      </c>
      <c r="G401" s="29" t="str">
        <f t="shared" si="30"/>
        <v/>
      </c>
      <c r="H401" s="29" t="str">
        <f t="shared" si="31"/>
        <v/>
      </c>
      <c r="I401" s="29" t="str">
        <f t="shared" si="32"/>
        <v/>
      </c>
      <c r="J401" s="29" t="str">
        <f t="shared" si="33"/>
        <v/>
      </c>
      <c r="K401" s="29" t="str">
        <f t="shared" si="34"/>
        <v/>
      </c>
      <c r="M401" s="11"/>
    </row>
    <row r="402" spans="1:13" ht="15" x14ac:dyDescent="0.25">
      <c r="A402" s="1" t="str">
        <f>IF('1.1 Produksi Bersih Padi 2025'!A402="","",'1.1 Produksi Bersih Padi 2025'!A402)</f>
        <v/>
      </c>
      <c r="B402" s="31" t="str">
        <f>IF('1.1 Produksi Bersih Padi 2025'!B402="","",'1.1 Produksi Bersih Padi 2025'!B402)</f>
        <v/>
      </c>
      <c r="C402" s="31" t="str">
        <f>IF('1.1 Produksi Bersih Padi 2025'!C402="","",'1.1 Produksi Bersih Padi 2025'!C402)</f>
        <v/>
      </c>
      <c r="D402" s="1" t="str">
        <f>IF('1.1 Produksi Bersih Padi 2025'!D402="","",'1.1 Produksi Bersih Padi 2025'!D402)</f>
        <v/>
      </c>
      <c r="E402" s="1" t="str">
        <f>IF('1.1 Produksi Bersih Padi 2025'!E402="","",'1.1 Produksi Bersih Padi 2025'!E402)</f>
        <v/>
      </c>
      <c r="F402" s="28" t="str">
        <f>IF(D402="","",VLOOKUP(D402,'[1]0.1 Produksi Pangan &amp; Penduduk'!$D$5:$AQ$860,40,0))</f>
        <v/>
      </c>
      <c r="G402" s="29" t="str">
        <f t="shared" si="30"/>
        <v/>
      </c>
      <c r="H402" s="29" t="str">
        <f t="shared" si="31"/>
        <v/>
      </c>
      <c r="I402" s="29" t="str">
        <f t="shared" si="32"/>
        <v/>
      </c>
      <c r="J402" s="29" t="str">
        <f t="shared" si="33"/>
        <v/>
      </c>
      <c r="K402" s="29" t="str">
        <f t="shared" si="34"/>
        <v/>
      </c>
      <c r="M402" s="11"/>
    </row>
    <row r="403" spans="1:13" ht="15" x14ac:dyDescent="0.25">
      <c r="A403" s="1" t="str">
        <f>IF('1.1 Produksi Bersih Padi 2025'!A403="","",'1.1 Produksi Bersih Padi 2025'!A403)</f>
        <v/>
      </c>
      <c r="B403" s="31" t="str">
        <f>IF('1.1 Produksi Bersih Padi 2025'!B403="","",'1.1 Produksi Bersih Padi 2025'!B403)</f>
        <v/>
      </c>
      <c r="C403" s="31" t="str">
        <f>IF('1.1 Produksi Bersih Padi 2025'!C403="","",'1.1 Produksi Bersih Padi 2025'!C403)</f>
        <v/>
      </c>
      <c r="D403" s="1" t="str">
        <f>IF('1.1 Produksi Bersih Padi 2025'!D403="","",'1.1 Produksi Bersih Padi 2025'!D403)</f>
        <v/>
      </c>
      <c r="E403" s="1" t="str">
        <f>IF('1.1 Produksi Bersih Padi 2025'!E403="","",'1.1 Produksi Bersih Padi 2025'!E403)</f>
        <v/>
      </c>
      <c r="F403" s="28" t="str">
        <f>IF(D403="","",VLOOKUP(D403,'[1]0.1 Produksi Pangan &amp; Penduduk'!$D$5:$AQ$860,40,0))</f>
        <v/>
      </c>
      <c r="G403" s="29" t="str">
        <f t="shared" si="30"/>
        <v/>
      </c>
      <c r="H403" s="29" t="str">
        <f t="shared" si="31"/>
        <v/>
      </c>
      <c r="I403" s="29" t="str">
        <f t="shared" si="32"/>
        <v/>
      </c>
      <c r="J403" s="29" t="str">
        <f t="shared" si="33"/>
        <v/>
      </c>
      <c r="K403" s="29" t="str">
        <f t="shared" si="34"/>
        <v/>
      </c>
      <c r="M403" s="11"/>
    </row>
    <row r="404" spans="1:13" ht="15" x14ac:dyDescent="0.25">
      <c r="A404" s="1" t="str">
        <f>IF('1.1 Produksi Bersih Padi 2025'!A404="","",'1.1 Produksi Bersih Padi 2025'!A404)</f>
        <v/>
      </c>
      <c r="B404" s="31" t="str">
        <f>IF('1.1 Produksi Bersih Padi 2025'!B404="","",'1.1 Produksi Bersih Padi 2025'!B404)</f>
        <v/>
      </c>
      <c r="C404" s="31" t="str">
        <f>IF('1.1 Produksi Bersih Padi 2025'!C404="","",'1.1 Produksi Bersih Padi 2025'!C404)</f>
        <v/>
      </c>
      <c r="D404" s="1" t="str">
        <f>IF('1.1 Produksi Bersih Padi 2025'!D404="","",'1.1 Produksi Bersih Padi 2025'!D404)</f>
        <v/>
      </c>
      <c r="E404" s="1" t="str">
        <f>IF('1.1 Produksi Bersih Padi 2025'!E404="","",'1.1 Produksi Bersih Padi 2025'!E404)</f>
        <v/>
      </c>
      <c r="F404" s="28" t="str">
        <f>IF(D404="","",VLOOKUP(D404,'[1]0.1 Produksi Pangan &amp; Penduduk'!$D$5:$AQ$860,40,0))</f>
        <v/>
      </c>
      <c r="G404" s="29" t="str">
        <f t="shared" si="30"/>
        <v/>
      </c>
      <c r="H404" s="29" t="str">
        <f t="shared" si="31"/>
        <v/>
      </c>
      <c r="I404" s="29" t="str">
        <f t="shared" si="32"/>
        <v/>
      </c>
      <c r="J404" s="29" t="str">
        <f t="shared" si="33"/>
        <v/>
      </c>
      <c r="K404" s="29" t="str">
        <f t="shared" si="34"/>
        <v/>
      </c>
      <c r="M404" s="11"/>
    </row>
    <row r="405" spans="1:13" ht="15" x14ac:dyDescent="0.25">
      <c r="A405" s="1" t="str">
        <f>IF('1.1 Produksi Bersih Padi 2025'!A405="","",'1.1 Produksi Bersih Padi 2025'!A405)</f>
        <v/>
      </c>
      <c r="B405" s="31" t="str">
        <f>IF('1.1 Produksi Bersih Padi 2025'!B405="","",'1.1 Produksi Bersih Padi 2025'!B405)</f>
        <v/>
      </c>
      <c r="C405" s="31" t="str">
        <f>IF('1.1 Produksi Bersih Padi 2025'!C405="","",'1.1 Produksi Bersih Padi 2025'!C405)</f>
        <v/>
      </c>
      <c r="D405" s="1" t="str">
        <f>IF('1.1 Produksi Bersih Padi 2025'!D405="","",'1.1 Produksi Bersih Padi 2025'!D405)</f>
        <v/>
      </c>
      <c r="E405" s="1" t="str">
        <f>IF('1.1 Produksi Bersih Padi 2025'!E405="","",'1.1 Produksi Bersih Padi 2025'!E405)</f>
        <v/>
      </c>
      <c r="F405" s="28" t="str">
        <f>IF(D405="","",VLOOKUP(D405,'[1]0.1 Produksi Pangan &amp; Penduduk'!$D$5:$AQ$860,40,0))</f>
        <v/>
      </c>
      <c r="G405" s="29" t="str">
        <f t="shared" si="30"/>
        <v/>
      </c>
      <c r="H405" s="29" t="str">
        <f t="shared" si="31"/>
        <v/>
      </c>
      <c r="I405" s="29" t="str">
        <f t="shared" si="32"/>
        <v/>
      </c>
      <c r="J405" s="29" t="str">
        <f t="shared" si="33"/>
        <v/>
      </c>
      <c r="K405" s="29" t="str">
        <f t="shared" si="34"/>
        <v/>
      </c>
      <c r="M405" s="11"/>
    </row>
    <row r="406" spans="1:13" ht="15" x14ac:dyDescent="0.25">
      <c r="A406" s="1" t="str">
        <f>IF('1.1 Produksi Bersih Padi 2025'!A406="","",'1.1 Produksi Bersih Padi 2025'!A406)</f>
        <v/>
      </c>
      <c r="B406" s="31" t="str">
        <f>IF('1.1 Produksi Bersih Padi 2025'!B406="","",'1.1 Produksi Bersih Padi 2025'!B406)</f>
        <v/>
      </c>
      <c r="C406" s="31" t="str">
        <f>IF('1.1 Produksi Bersih Padi 2025'!C406="","",'1.1 Produksi Bersih Padi 2025'!C406)</f>
        <v/>
      </c>
      <c r="D406" s="1" t="str">
        <f>IF('1.1 Produksi Bersih Padi 2025'!D406="","",'1.1 Produksi Bersih Padi 2025'!D406)</f>
        <v/>
      </c>
      <c r="E406" s="1" t="str">
        <f>IF('1.1 Produksi Bersih Padi 2025'!E406="","",'1.1 Produksi Bersih Padi 2025'!E406)</f>
        <v/>
      </c>
      <c r="F406" s="28" t="str">
        <f>IF(D406="","",VLOOKUP(D406,'[1]0.1 Produksi Pangan &amp; Penduduk'!$D$5:$AQ$860,40,0))</f>
        <v/>
      </c>
      <c r="G406" s="29" t="str">
        <f t="shared" si="30"/>
        <v/>
      </c>
      <c r="H406" s="29" t="str">
        <f t="shared" si="31"/>
        <v/>
      </c>
      <c r="I406" s="29" t="str">
        <f t="shared" si="32"/>
        <v/>
      </c>
      <c r="J406" s="29" t="str">
        <f t="shared" si="33"/>
        <v/>
      </c>
      <c r="K406" s="29" t="str">
        <f t="shared" si="34"/>
        <v/>
      </c>
      <c r="M406" s="11"/>
    </row>
    <row r="407" spans="1:13" ht="15" x14ac:dyDescent="0.25">
      <c r="A407" s="1" t="str">
        <f>IF('1.1 Produksi Bersih Padi 2025'!A407="","",'1.1 Produksi Bersih Padi 2025'!A407)</f>
        <v/>
      </c>
      <c r="B407" s="31" t="str">
        <f>IF('1.1 Produksi Bersih Padi 2025'!B407="","",'1.1 Produksi Bersih Padi 2025'!B407)</f>
        <v/>
      </c>
      <c r="C407" s="31" t="str">
        <f>IF('1.1 Produksi Bersih Padi 2025'!C407="","",'1.1 Produksi Bersih Padi 2025'!C407)</f>
        <v/>
      </c>
      <c r="D407" s="1" t="str">
        <f>IF('1.1 Produksi Bersih Padi 2025'!D407="","",'1.1 Produksi Bersih Padi 2025'!D407)</f>
        <v/>
      </c>
      <c r="E407" s="1" t="str">
        <f>IF('1.1 Produksi Bersih Padi 2025'!E407="","",'1.1 Produksi Bersih Padi 2025'!E407)</f>
        <v/>
      </c>
      <c r="F407" s="28" t="str">
        <f>IF(D407="","",VLOOKUP(D407,'[1]0.1 Produksi Pangan &amp; Penduduk'!$D$5:$AQ$860,40,0))</f>
        <v/>
      </c>
      <c r="G407" s="29" t="str">
        <f t="shared" si="30"/>
        <v/>
      </c>
      <c r="H407" s="29" t="str">
        <f t="shared" si="31"/>
        <v/>
      </c>
      <c r="I407" s="29" t="str">
        <f t="shared" si="32"/>
        <v/>
      </c>
      <c r="J407" s="29" t="str">
        <f t="shared" si="33"/>
        <v/>
      </c>
      <c r="K407" s="29" t="str">
        <f t="shared" si="34"/>
        <v/>
      </c>
      <c r="M407" s="11"/>
    </row>
    <row r="408" spans="1:13" ht="15" x14ac:dyDescent="0.25">
      <c r="A408" s="1" t="str">
        <f>IF('1.1 Produksi Bersih Padi 2025'!A408="","",'1.1 Produksi Bersih Padi 2025'!A408)</f>
        <v/>
      </c>
      <c r="B408" s="31" t="str">
        <f>IF('1.1 Produksi Bersih Padi 2025'!B408="","",'1.1 Produksi Bersih Padi 2025'!B408)</f>
        <v/>
      </c>
      <c r="C408" s="31" t="str">
        <f>IF('1.1 Produksi Bersih Padi 2025'!C408="","",'1.1 Produksi Bersih Padi 2025'!C408)</f>
        <v/>
      </c>
      <c r="D408" s="1" t="str">
        <f>IF('1.1 Produksi Bersih Padi 2025'!D408="","",'1.1 Produksi Bersih Padi 2025'!D408)</f>
        <v/>
      </c>
      <c r="E408" s="1" t="str">
        <f>IF('1.1 Produksi Bersih Padi 2025'!E408="","",'1.1 Produksi Bersih Padi 2025'!E408)</f>
        <v/>
      </c>
      <c r="F408" s="28" t="str">
        <f>IF(D408="","",VLOOKUP(D408,'[1]0.1 Produksi Pangan &amp; Penduduk'!$D$5:$AQ$860,40,0))</f>
        <v/>
      </c>
      <c r="G408" s="29" t="str">
        <f t="shared" si="30"/>
        <v/>
      </c>
      <c r="H408" s="29" t="str">
        <f t="shared" si="31"/>
        <v/>
      </c>
      <c r="I408" s="29" t="str">
        <f t="shared" si="32"/>
        <v/>
      </c>
      <c r="J408" s="29" t="str">
        <f t="shared" si="33"/>
        <v/>
      </c>
      <c r="K408" s="29" t="str">
        <f t="shared" si="34"/>
        <v/>
      </c>
      <c r="M408" s="11"/>
    </row>
    <row r="409" spans="1:13" ht="15" x14ac:dyDescent="0.25">
      <c r="A409" s="1" t="str">
        <f>IF('1.1 Produksi Bersih Padi 2025'!A409="","",'1.1 Produksi Bersih Padi 2025'!A409)</f>
        <v/>
      </c>
      <c r="B409" s="31" t="str">
        <f>IF('1.1 Produksi Bersih Padi 2025'!B409="","",'1.1 Produksi Bersih Padi 2025'!B409)</f>
        <v/>
      </c>
      <c r="C409" s="31" t="str">
        <f>IF('1.1 Produksi Bersih Padi 2025'!C409="","",'1.1 Produksi Bersih Padi 2025'!C409)</f>
        <v/>
      </c>
      <c r="D409" s="1" t="str">
        <f>IF('1.1 Produksi Bersih Padi 2025'!D409="","",'1.1 Produksi Bersih Padi 2025'!D409)</f>
        <v/>
      </c>
      <c r="E409" s="1" t="str">
        <f>IF('1.1 Produksi Bersih Padi 2025'!E409="","",'1.1 Produksi Bersih Padi 2025'!E409)</f>
        <v/>
      </c>
      <c r="F409" s="28" t="str">
        <f>IF(D409="","",VLOOKUP(D409,'[1]0.1 Produksi Pangan &amp; Penduduk'!$D$5:$AQ$860,40,0))</f>
        <v/>
      </c>
      <c r="G409" s="29" t="str">
        <f t="shared" si="30"/>
        <v/>
      </c>
      <c r="H409" s="29" t="str">
        <f t="shared" si="31"/>
        <v/>
      </c>
      <c r="I409" s="29" t="str">
        <f t="shared" si="32"/>
        <v/>
      </c>
      <c r="J409" s="29" t="str">
        <f t="shared" si="33"/>
        <v/>
      </c>
      <c r="K409" s="29" t="str">
        <f t="shared" si="34"/>
        <v/>
      </c>
      <c r="M409" s="11"/>
    </row>
    <row r="410" spans="1:13" ht="15" x14ac:dyDescent="0.25">
      <c r="A410" s="1" t="str">
        <f>IF('1.1 Produksi Bersih Padi 2025'!A410="","",'1.1 Produksi Bersih Padi 2025'!A410)</f>
        <v/>
      </c>
      <c r="B410" s="31" t="str">
        <f>IF('1.1 Produksi Bersih Padi 2025'!B410="","",'1.1 Produksi Bersih Padi 2025'!B410)</f>
        <v/>
      </c>
      <c r="C410" s="31" t="str">
        <f>IF('1.1 Produksi Bersih Padi 2025'!C410="","",'1.1 Produksi Bersih Padi 2025'!C410)</f>
        <v/>
      </c>
      <c r="D410" s="1" t="str">
        <f>IF('1.1 Produksi Bersih Padi 2025'!D410="","",'1.1 Produksi Bersih Padi 2025'!D410)</f>
        <v/>
      </c>
      <c r="E410" s="1" t="str">
        <f>IF('1.1 Produksi Bersih Padi 2025'!E410="","",'1.1 Produksi Bersih Padi 2025'!E410)</f>
        <v/>
      </c>
      <c r="F410" s="28" t="str">
        <f>IF(D410="","",VLOOKUP(D410,'[1]0.1 Produksi Pangan &amp; Penduduk'!$D$5:$AQ$860,40,0))</f>
        <v/>
      </c>
      <c r="G410" s="29" t="str">
        <f t="shared" si="30"/>
        <v/>
      </c>
      <c r="H410" s="29" t="str">
        <f t="shared" si="31"/>
        <v/>
      </c>
      <c r="I410" s="29" t="str">
        <f t="shared" si="32"/>
        <v/>
      </c>
      <c r="J410" s="29" t="str">
        <f t="shared" si="33"/>
        <v/>
      </c>
      <c r="K410" s="29" t="str">
        <f t="shared" si="34"/>
        <v/>
      </c>
      <c r="M410" s="11"/>
    </row>
    <row r="411" spans="1:13" ht="15" x14ac:dyDescent="0.25">
      <c r="A411" s="1" t="str">
        <f>IF('1.1 Produksi Bersih Padi 2025'!A411="","",'1.1 Produksi Bersih Padi 2025'!A411)</f>
        <v/>
      </c>
      <c r="B411" s="31" t="str">
        <f>IF('1.1 Produksi Bersih Padi 2025'!B411="","",'1.1 Produksi Bersih Padi 2025'!B411)</f>
        <v/>
      </c>
      <c r="C411" s="31" t="str">
        <f>IF('1.1 Produksi Bersih Padi 2025'!C411="","",'1.1 Produksi Bersih Padi 2025'!C411)</f>
        <v/>
      </c>
      <c r="D411" s="1" t="str">
        <f>IF('1.1 Produksi Bersih Padi 2025'!D411="","",'1.1 Produksi Bersih Padi 2025'!D411)</f>
        <v/>
      </c>
      <c r="E411" s="1" t="str">
        <f>IF('1.1 Produksi Bersih Padi 2025'!E411="","",'1.1 Produksi Bersih Padi 2025'!E411)</f>
        <v/>
      </c>
      <c r="F411" s="28" t="str">
        <f>IF(D411="","",VLOOKUP(D411,'[1]0.1 Produksi Pangan &amp; Penduduk'!$D$5:$AQ$860,40,0))</f>
        <v/>
      </c>
      <c r="G411" s="29" t="str">
        <f t="shared" si="30"/>
        <v/>
      </c>
      <c r="H411" s="29" t="str">
        <f t="shared" si="31"/>
        <v/>
      </c>
      <c r="I411" s="29" t="str">
        <f t="shared" si="32"/>
        <v/>
      </c>
      <c r="J411" s="29" t="str">
        <f t="shared" si="33"/>
        <v/>
      </c>
      <c r="K411" s="29" t="str">
        <f t="shared" si="34"/>
        <v/>
      </c>
      <c r="M411" s="11"/>
    </row>
    <row r="412" spans="1:13" ht="15" x14ac:dyDescent="0.25">
      <c r="A412" s="1" t="str">
        <f>IF('1.1 Produksi Bersih Padi 2025'!A412="","",'1.1 Produksi Bersih Padi 2025'!A412)</f>
        <v/>
      </c>
      <c r="B412" s="31" t="str">
        <f>IF('1.1 Produksi Bersih Padi 2025'!B412="","",'1.1 Produksi Bersih Padi 2025'!B412)</f>
        <v/>
      </c>
      <c r="C412" s="31" t="str">
        <f>IF('1.1 Produksi Bersih Padi 2025'!C412="","",'1.1 Produksi Bersih Padi 2025'!C412)</f>
        <v/>
      </c>
      <c r="D412" s="1" t="str">
        <f>IF('1.1 Produksi Bersih Padi 2025'!D412="","",'1.1 Produksi Bersih Padi 2025'!D412)</f>
        <v/>
      </c>
      <c r="E412" s="1" t="str">
        <f>IF('1.1 Produksi Bersih Padi 2025'!E412="","",'1.1 Produksi Bersih Padi 2025'!E412)</f>
        <v/>
      </c>
      <c r="F412" s="28" t="str">
        <f>IF(D412="","",VLOOKUP(D412,'[1]0.1 Produksi Pangan &amp; Penduduk'!$D$5:$AQ$860,40,0))</f>
        <v/>
      </c>
      <c r="G412" s="29" t="str">
        <f t="shared" si="30"/>
        <v/>
      </c>
      <c r="H412" s="29" t="str">
        <f t="shared" si="31"/>
        <v/>
      </c>
      <c r="I412" s="29" t="str">
        <f t="shared" si="32"/>
        <v/>
      </c>
      <c r="J412" s="29" t="str">
        <f t="shared" si="33"/>
        <v/>
      </c>
      <c r="K412" s="29" t="str">
        <f t="shared" si="34"/>
        <v/>
      </c>
      <c r="M412" s="11"/>
    </row>
    <row r="413" spans="1:13" ht="15" x14ac:dyDescent="0.25">
      <c r="A413" s="1" t="str">
        <f>IF('1.1 Produksi Bersih Padi 2025'!A413="","",'1.1 Produksi Bersih Padi 2025'!A413)</f>
        <v/>
      </c>
      <c r="B413" s="31" t="str">
        <f>IF('1.1 Produksi Bersih Padi 2025'!B413="","",'1.1 Produksi Bersih Padi 2025'!B413)</f>
        <v/>
      </c>
      <c r="C413" s="31" t="str">
        <f>IF('1.1 Produksi Bersih Padi 2025'!C413="","",'1.1 Produksi Bersih Padi 2025'!C413)</f>
        <v/>
      </c>
      <c r="D413" s="1" t="str">
        <f>IF('1.1 Produksi Bersih Padi 2025'!D413="","",'1.1 Produksi Bersih Padi 2025'!D413)</f>
        <v/>
      </c>
      <c r="E413" s="1" t="str">
        <f>IF('1.1 Produksi Bersih Padi 2025'!E413="","",'1.1 Produksi Bersih Padi 2025'!E413)</f>
        <v/>
      </c>
      <c r="F413" s="28" t="str">
        <f>IF(D413="","",VLOOKUP(D413,'[1]0.1 Produksi Pangan &amp; Penduduk'!$D$5:$AQ$860,40,0))</f>
        <v/>
      </c>
      <c r="G413" s="29" t="str">
        <f t="shared" si="30"/>
        <v/>
      </c>
      <c r="H413" s="29" t="str">
        <f t="shared" si="31"/>
        <v/>
      </c>
      <c r="I413" s="29" t="str">
        <f t="shared" si="32"/>
        <v/>
      </c>
      <c r="J413" s="29" t="str">
        <f t="shared" si="33"/>
        <v/>
      </c>
      <c r="K413" s="29" t="str">
        <f t="shared" si="34"/>
        <v/>
      </c>
      <c r="M413" s="11"/>
    </row>
    <row r="414" spans="1:13" ht="15" x14ac:dyDescent="0.25">
      <c r="A414" s="1" t="str">
        <f>IF('1.1 Produksi Bersih Padi 2025'!A414="","",'1.1 Produksi Bersih Padi 2025'!A414)</f>
        <v/>
      </c>
      <c r="B414" s="31" t="str">
        <f>IF('1.1 Produksi Bersih Padi 2025'!B414="","",'1.1 Produksi Bersih Padi 2025'!B414)</f>
        <v/>
      </c>
      <c r="C414" s="31" t="str">
        <f>IF('1.1 Produksi Bersih Padi 2025'!C414="","",'1.1 Produksi Bersih Padi 2025'!C414)</f>
        <v/>
      </c>
      <c r="D414" s="1" t="str">
        <f>IF('1.1 Produksi Bersih Padi 2025'!D414="","",'1.1 Produksi Bersih Padi 2025'!D414)</f>
        <v/>
      </c>
      <c r="E414" s="1" t="str">
        <f>IF('1.1 Produksi Bersih Padi 2025'!E414="","",'1.1 Produksi Bersih Padi 2025'!E414)</f>
        <v/>
      </c>
      <c r="F414" s="28" t="str">
        <f>IF(D414="","",VLOOKUP(D414,'[1]0.1 Produksi Pangan &amp; Penduduk'!$D$5:$AQ$860,40,0))</f>
        <v/>
      </c>
      <c r="G414" s="29" t="str">
        <f t="shared" si="30"/>
        <v/>
      </c>
      <c r="H414" s="29" t="str">
        <f t="shared" si="31"/>
        <v/>
      </c>
      <c r="I414" s="29" t="str">
        <f t="shared" si="32"/>
        <v/>
      </c>
      <c r="J414" s="29" t="str">
        <f t="shared" si="33"/>
        <v/>
      </c>
      <c r="K414" s="29" t="str">
        <f t="shared" si="34"/>
        <v/>
      </c>
      <c r="M414" s="11"/>
    </row>
    <row r="415" spans="1:13" ht="15" x14ac:dyDescent="0.25">
      <c r="A415" s="1" t="str">
        <f>IF('1.1 Produksi Bersih Padi 2025'!A415="","",'1.1 Produksi Bersih Padi 2025'!A415)</f>
        <v/>
      </c>
      <c r="B415" s="31" t="str">
        <f>IF('1.1 Produksi Bersih Padi 2025'!B415="","",'1.1 Produksi Bersih Padi 2025'!B415)</f>
        <v/>
      </c>
      <c r="C415" s="31" t="str">
        <f>IF('1.1 Produksi Bersih Padi 2025'!C415="","",'1.1 Produksi Bersih Padi 2025'!C415)</f>
        <v/>
      </c>
      <c r="D415" s="1" t="str">
        <f>IF('1.1 Produksi Bersih Padi 2025'!D415="","",'1.1 Produksi Bersih Padi 2025'!D415)</f>
        <v/>
      </c>
      <c r="E415" s="1" t="str">
        <f>IF('1.1 Produksi Bersih Padi 2025'!E415="","",'1.1 Produksi Bersih Padi 2025'!E415)</f>
        <v/>
      </c>
      <c r="F415" s="28" t="str">
        <f>IF(D415="","",VLOOKUP(D415,'[1]0.1 Produksi Pangan &amp; Penduduk'!$D$5:$AQ$860,40,0))</f>
        <v/>
      </c>
      <c r="G415" s="29" t="str">
        <f t="shared" si="30"/>
        <v/>
      </c>
      <c r="H415" s="29" t="str">
        <f t="shared" si="31"/>
        <v/>
      </c>
      <c r="I415" s="29" t="str">
        <f t="shared" si="32"/>
        <v/>
      </c>
      <c r="J415" s="29" t="str">
        <f t="shared" si="33"/>
        <v/>
      </c>
      <c r="K415" s="29" t="str">
        <f t="shared" si="34"/>
        <v/>
      </c>
      <c r="M415" s="11"/>
    </row>
    <row r="416" spans="1:13" ht="15" x14ac:dyDescent="0.25">
      <c r="A416" s="1" t="str">
        <f>IF('1.1 Produksi Bersih Padi 2025'!A416="","",'1.1 Produksi Bersih Padi 2025'!A416)</f>
        <v/>
      </c>
      <c r="B416" s="31" t="str">
        <f>IF('1.1 Produksi Bersih Padi 2025'!B416="","",'1.1 Produksi Bersih Padi 2025'!B416)</f>
        <v/>
      </c>
      <c r="C416" s="31" t="str">
        <f>IF('1.1 Produksi Bersih Padi 2025'!C416="","",'1.1 Produksi Bersih Padi 2025'!C416)</f>
        <v/>
      </c>
      <c r="D416" s="1" t="str">
        <f>IF('1.1 Produksi Bersih Padi 2025'!D416="","",'1.1 Produksi Bersih Padi 2025'!D416)</f>
        <v/>
      </c>
      <c r="E416" s="1" t="str">
        <f>IF('1.1 Produksi Bersih Padi 2025'!E416="","",'1.1 Produksi Bersih Padi 2025'!E416)</f>
        <v/>
      </c>
      <c r="F416" s="28" t="str">
        <f>IF(D416="","",VLOOKUP(D416,'[1]0.1 Produksi Pangan &amp; Penduduk'!$D$5:$AQ$860,40,0))</f>
        <v/>
      </c>
      <c r="G416" s="29" t="str">
        <f t="shared" si="30"/>
        <v/>
      </c>
      <c r="H416" s="29" t="str">
        <f t="shared" si="31"/>
        <v/>
      </c>
      <c r="I416" s="29" t="str">
        <f t="shared" si="32"/>
        <v/>
      </c>
      <c r="J416" s="29" t="str">
        <f t="shared" si="33"/>
        <v/>
      </c>
      <c r="K416" s="29" t="str">
        <f t="shared" si="34"/>
        <v/>
      </c>
      <c r="M416" s="11"/>
    </row>
    <row r="417" spans="1:13" ht="15" x14ac:dyDescent="0.25">
      <c r="A417" s="1" t="str">
        <f>IF('1.1 Produksi Bersih Padi 2025'!A417="","",'1.1 Produksi Bersih Padi 2025'!A417)</f>
        <v/>
      </c>
      <c r="B417" s="31" t="str">
        <f>IF('1.1 Produksi Bersih Padi 2025'!B417="","",'1.1 Produksi Bersih Padi 2025'!B417)</f>
        <v/>
      </c>
      <c r="C417" s="31" t="str">
        <f>IF('1.1 Produksi Bersih Padi 2025'!C417="","",'1.1 Produksi Bersih Padi 2025'!C417)</f>
        <v/>
      </c>
      <c r="D417" s="1" t="str">
        <f>IF('1.1 Produksi Bersih Padi 2025'!D417="","",'1.1 Produksi Bersih Padi 2025'!D417)</f>
        <v/>
      </c>
      <c r="E417" s="1" t="str">
        <f>IF('1.1 Produksi Bersih Padi 2025'!E417="","",'1.1 Produksi Bersih Padi 2025'!E417)</f>
        <v/>
      </c>
      <c r="F417" s="28" t="str">
        <f>IF(D417="","",VLOOKUP(D417,'[1]0.1 Produksi Pangan &amp; Penduduk'!$D$5:$AQ$860,40,0))</f>
        <v/>
      </c>
      <c r="G417" s="29" t="str">
        <f t="shared" si="30"/>
        <v/>
      </c>
      <c r="H417" s="29" t="str">
        <f t="shared" si="31"/>
        <v/>
      </c>
      <c r="I417" s="29" t="str">
        <f t="shared" si="32"/>
        <v/>
      </c>
      <c r="J417" s="29" t="str">
        <f t="shared" si="33"/>
        <v/>
      </c>
      <c r="K417" s="29" t="str">
        <f t="shared" si="34"/>
        <v/>
      </c>
      <c r="M417" s="11"/>
    </row>
    <row r="418" spans="1:13" ht="15" x14ac:dyDescent="0.25">
      <c r="A418" s="1" t="str">
        <f>IF('1.1 Produksi Bersih Padi 2025'!A418="","",'1.1 Produksi Bersih Padi 2025'!A418)</f>
        <v/>
      </c>
      <c r="B418" s="31" t="str">
        <f>IF('1.1 Produksi Bersih Padi 2025'!B418="","",'1.1 Produksi Bersih Padi 2025'!B418)</f>
        <v/>
      </c>
      <c r="C418" s="31" t="str">
        <f>IF('1.1 Produksi Bersih Padi 2025'!C418="","",'1.1 Produksi Bersih Padi 2025'!C418)</f>
        <v/>
      </c>
      <c r="D418" s="1" t="str">
        <f>IF('1.1 Produksi Bersih Padi 2025'!D418="","",'1.1 Produksi Bersih Padi 2025'!D418)</f>
        <v/>
      </c>
      <c r="E418" s="1" t="str">
        <f>IF('1.1 Produksi Bersih Padi 2025'!E418="","",'1.1 Produksi Bersih Padi 2025'!E418)</f>
        <v/>
      </c>
      <c r="F418" s="28" t="str">
        <f>IF(D418="","",VLOOKUP(D418,'[1]0.1 Produksi Pangan &amp; Penduduk'!$D$5:$AQ$860,40,0))</f>
        <v/>
      </c>
      <c r="G418" s="29" t="str">
        <f t="shared" si="30"/>
        <v/>
      </c>
      <c r="H418" s="29" t="str">
        <f t="shared" si="31"/>
        <v/>
      </c>
      <c r="I418" s="29" t="str">
        <f t="shared" si="32"/>
        <v/>
      </c>
      <c r="J418" s="29" t="str">
        <f t="shared" si="33"/>
        <v/>
      </c>
      <c r="K418" s="29" t="str">
        <f t="shared" si="34"/>
        <v/>
      </c>
      <c r="M418" s="11"/>
    </row>
    <row r="419" spans="1:13" ht="15" x14ac:dyDescent="0.25">
      <c r="A419" s="1" t="str">
        <f>IF('1.1 Produksi Bersih Padi 2025'!A419="","",'1.1 Produksi Bersih Padi 2025'!A419)</f>
        <v/>
      </c>
      <c r="B419" s="31" t="str">
        <f>IF('1.1 Produksi Bersih Padi 2025'!B419="","",'1.1 Produksi Bersih Padi 2025'!B419)</f>
        <v/>
      </c>
      <c r="C419" s="31" t="str">
        <f>IF('1.1 Produksi Bersih Padi 2025'!C419="","",'1.1 Produksi Bersih Padi 2025'!C419)</f>
        <v/>
      </c>
      <c r="D419" s="1" t="str">
        <f>IF('1.1 Produksi Bersih Padi 2025'!D419="","",'1.1 Produksi Bersih Padi 2025'!D419)</f>
        <v/>
      </c>
      <c r="E419" s="1" t="str">
        <f>IF('1.1 Produksi Bersih Padi 2025'!E419="","",'1.1 Produksi Bersih Padi 2025'!E419)</f>
        <v/>
      </c>
      <c r="F419" s="28" t="str">
        <f>IF(D419="","",VLOOKUP(D419,'[1]0.1 Produksi Pangan &amp; Penduduk'!$D$5:$AQ$860,40,0))</f>
        <v/>
      </c>
      <c r="G419" s="29" t="str">
        <f t="shared" si="30"/>
        <v/>
      </c>
      <c r="H419" s="29" t="str">
        <f t="shared" si="31"/>
        <v/>
      </c>
      <c r="I419" s="29" t="str">
        <f t="shared" si="32"/>
        <v/>
      </c>
      <c r="J419" s="29" t="str">
        <f t="shared" si="33"/>
        <v/>
      </c>
      <c r="K419" s="29" t="str">
        <f t="shared" si="34"/>
        <v/>
      </c>
      <c r="M419" s="11"/>
    </row>
    <row r="420" spans="1:13" ht="15" x14ac:dyDescent="0.25">
      <c r="A420" s="1" t="str">
        <f>IF('1.1 Produksi Bersih Padi 2025'!A420="","",'1.1 Produksi Bersih Padi 2025'!A420)</f>
        <v/>
      </c>
      <c r="B420" s="31" t="str">
        <f>IF('1.1 Produksi Bersih Padi 2025'!B420="","",'1.1 Produksi Bersih Padi 2025'!B420)</f>
        <v/>
      </c>
      <c r="C420" s="31" t="str">
        <f>IF('1.1 Produksi Bersih Padi 2025'!C420="","",'1.1 Produksi Bersih Padi 2025'!C420)</f>
        <v/>
      </c>
      <c r="D420" s="1" t="str">
        <f>IF('1.1 Produksi Bersih Padi 2025'!D420="","",'1.1 Produksi Bersih Padi 2025'!D420)</f>
        <v/>
      </c>
      <c r="E420" s="1" t="str">
        <f>IF('1.1 Produksi Bersih Padi 2025'!E420="","",'1.1 Produksi Bersih Padi 2025'!E420)</f>
        <v/>
      </c>
      <c r="F420" s="28" t="str">
        <f>IF(D420="","",VLOOKUP(D420,'[1]0.1 Produksi Pangan &amp; Penduduk'!$D$5:$AQ$860,40,0))</f>
        <v/>
      </c>
      <c r="G420" s="29" t="str">
        <f t="shared" si="30"/>
        <v/>
      </c>
      <c r="H420" s="29" t="str">
        <f t="shared" si="31"/>
        <v/>
      </c>
      <c r="I420" s="29" t="str">
        <f t="shared" si="32"/>
        <v/>
      </c>
      <c r="J420" s="29" t="str">
        <f t="shared" si="33"/>
        <v/>
      </c>
      <c r="K420" s="29" t="str">
        <f t="shared" si="34"/>
        <v/>
      </c>
      <c r="M420" s="11"/>
    </row>
    <row r="421" spans="1:13" ht="15" x14ac:dyDescent="0.25">
      <c r="A421" s="1" t="str">
        <f>IF('1.1 Produksi Bersih Padi 2025'!A421="","",'1.1 Produksi Bersih Padi 2025'!A421)</f>
        <v/>
      </c>
      <c r="B421" s="31" t="str">
        <f>IF('1.1 Produksi Bersih Padi 2025'!B421="","",'1.1 Produksi Bersih Padi 2025'!B421)</f>
        <v/>
      </c>
      <c r="C421" s="31" t="str">
        <f>IF('1.1 Produksi Bersih Padi 2025'!C421="","",'1.1 Produksi Bersih Padi 2025'!C421)</f>
        <v/>
      </c>
      <c r="D421" s="1" t="str">
        <f>IF('1.1 Produksi Bersih Padi 2025'!D421="","",'1.1 Produksi Bersih Padi 2025'!D421)</f>
        <v/>
      </c>
      <c r="E421" s="1" t="str">
        <f>IF('1.1 Produksi Bersih Padi 2025'!E421="","",'1.1 Produksi Bersih Padi 2025'!E421)</f>
        <v/>
      </c>
      <c r="F421" s="28" t="str">
        <f>IF(D421="","",VLOOKUP(D421,'[1]0.1 Produksi Pangan &amp; Penduduk'!$D$5:$AQ$860,40,0))</f>
        <v/>
      </c>
      <c r="G421" s="29" t="str">
        <f t="shared" si="30"/>
        <v/>
      </c>
      <c r="H421" s="29" t="str">
        <f t="shared" si="31"/>
        <v/>
      </c>
      <c r="I421" s="29" t="str">
        <f t="shared" si="32"/>
        <v/>
      </c>
      <c r="J421" s="29" t="str">
        <f t="shared" si="33"/>
        <v/>
      </c>
      <c r="K421" s="29" t="str">
        <f t="shared" si="34"/>
        <v/>
      </c>
    </row>
    <row r="422" spans="1:13" ht="15" x14ac:dyDescent="0.25">
      <c r="A422" s="1" t="str">
        <f>IF('1.1 Produksi Bersih Padi 2025'!A422="","",'1.1 Produksi Bersih Padi 2025'!A422)</f>
        <v/>
      </c>
      <c r="B422" s="31" t="str">
        <f>IF('1.1 Produksi Bersih Padi 2025'!B422="","",'1.1 Produksi Bersih Padi 2025'!B422)</f>
        <v/>
      </c>
      <c r="C422" s="31" t="str">
        <f>IF('1.1 Produksi Bersih Padi 2025'!C422="","",'1.1 Produksi Bersih Padi 2025'!C422)</f>
        <v/>
      </c>
      <c r="D422" s="1" t="str">
        <f>IF('1.1 Produksi Bersih Padi 2025'!D422="","",'1.1 Produksi Bersih Padi 2025'!D422)</f>
        <v/>
      </c>
      <c r="E422" s="1" t="str">
        <f>IF('1.1 Produksi Bersih Padi 2025'!E422="","",'1.1 Produksi Bersih Padi 2025'!E422)</f>
        <v/>
      </c>
      <c r="F422" s="28" t="str">
        <f>IF(D422="","",VLOOKUP(D422,'[1]0.1 Produksi Pangan &amp; Penduduk'!$D$5:$AQ$860,40,0))</f>
        <v/>
      </c>
      <c r="G422" s="29" t="str">
        <f t="shared" si="30"/>
        <v/>
      </c>
      <c r="H422" s="29" t="str">
        <f t="shared" si="31"/>
        <v/>
      </c>
      <c r="I422" s="29" t="str">
        <f t="shared" si="32"/>
        <v/>
      </c>
      <c r="J422" s="29" t="str">
        <f t="shared" si="33"/>
        <v/>
      </c>
      <c r="K422" s="29" t="str">
        <f t="shared" si="34"/>
        <v/>
      </c>
    </row>
    <row r="423" spans="1:13" ht="15" x14ac:dyDescent="0.25">
      <c r="A423" s="1" t="str">
        <f>IF('1.1 Produksi Bersih Padi 2025'!A423="","",'1.1 Produksi Bersih Padi 2025'!A423)</f>
        <v/>
      </c>
      <c r="B423" s="31" t="str">
        <f>IF('1.1 Produksi Bersih Padi 2025'!B423="","",'1.1 Produksi Bersih Padi 2025'!B423)</f>
        <v/>
      </c>
      <c r="C423" s="31" t="str">
        <f>IF('1.1 Produksi Bersih Padi 2025'!C423="","",'1.1 Produksi Bersih Padi 2025'!C423)</f>
        <v/>
      </c>
      <c r="D423" s="1" t="str">
        <f>IF('1.1 Produksi Bersih Padi 2025'!D423="","",'1.1 Produksi Bersih Padi 2025'!D423)</f>
        <v/>
      </c>
      <c r="E423" s="1" t="str">
        <f>IF('1.1 Produksi Bersih Padi 2025'!E423="","",'1.1 Produksi Bersih Padi 2025'!E423)</f>
        <v/>
      </c>
      <c r="F423" s="28" t="str">
        <f>IF(D423="","",VLOOKUP(D423,'[1]0.1 Produksi Pangan &amp; Penduduk'!$D$5:$AQ$860,40,0))</f>
        <v/>
      </c>
      <c r="G423" s="29" t="str">
        <f t="shared" si="30"/>
        <v/>
      </c>
      <c r="H423" s="29" t="str">
        <f t="shared" si="31"/>
        <v/>
      </c>
      <c r="I423" s="29" t="str">
        <f t="shared" si="32"/>
        <v/>
      </c>
      <c r="J423" s="29" t="str">
        <f t="shared" si="33"/>
        <v/>
      </c>
      <c r="K423" s="29" t="str">
        <f t="shared" si="34"/>
        <v/>
      </c>
    </row>
    <row r="424" spans="1:13" ht="15" x14ac:dyDescent="0.25">
      <c r="A424" s="1" t="str">
        <f>IF('1.1 Produksi Bersih Padi 2025'!A424="","",'1.1 Produksi Bersih Padi 2025'!A424)</f>
        <v/>
      </c>
      <c r="B424" s="31" t="str">
        <f>IF('1.1 Produksi Bersih Padi 2025'!B424="","",'1.1 Produksi Bersih Padi 2025'!B424)</f>
        <v/>
      </c>
      <c r="C424" s="31" t="str">
        <f>IF('1.1 Produksi Bersih Padi 2025'!C424="","",'1.1 Produksi Bersih Padi 2025'!C424)</f>
        <v/>
      </c>
      <c r="D424" s="1" t="str">
        <f>IF('1.1 Produksi Bersih Padi 2025'!D424="","",'1.1 Produksi Bersih Padi 2025'!D424)</f>
        <v/>
      </c>
      <c r="E424" s="1" t="str">
        <f>IF('1.1 Produksi Bersih Padi 2025'!E424="","",'1.1 Produksi Bersih Padi 2025'!E424)</f>
        <v/>
      </c>
      <c r="F424" s="28" t="str">
        <f>IF(D424="","",VLOOKUP(D424,'[1]0.1 Produksi Pangan &amp; Penduduk'!$D$5:$AQ$860,40,0))</f>
        <v/>
      </c>
      <c r="G424" s="29" t="str">
        <f t="shared" si="30"/>
        <v/>
      </c>
      <c r="H424" s="29" t="str">
        <f t="shared" si="31"/>
        <v/>
      </c>
      <c r="I424" s="29" t="str">
        <f t="shared" si="32"/>
        <v/>
      </c>
      <c r="J424" s="29" t="str">
        <f t="shared" si="33"/>
        <v/>
      </c>
      <c r="K424" s="29" t="str">
        <f t="shared" si="34"/>
        <v/>
      </c>
    </row>
    <row r="425" spans="1:13" ht="15" x14ac:dyDescent="0.25">
      <c r="A425" s="1" t="str">
        <f>IF('1.1 Produksi Bersih Padi 2025'!A425="","",'1.1 Produksi Bersih Padi 2025'!A425)</f>
        <v/>
      </c>
      <c r="B425" s="31" t="str">
        <f>IF('1.1 Produksi Bersih Padi 2025'!B425="","",'1.1 Produksi Bersih Padi 2025'!B425)</f>
        <v/>
      </c>
      <c r="C425" s="31" t="str">
        <f>IF('1.1 Produksi Bersih Padi 2025'!C425="","",'1.1 Produksi Bersih Padi 2025'!C425)</f>
        <v/>
      </c>
      <c r="D425" s="1" t="str">
        <f>IF('1.1 Produksi Bersih Padi 2025'!D425="","",'1.1 Produksi Bersih Padi 2025'!D425)</f>
        <v/>
      </c>
      <c r="E425" s="1" t="str">
        <f>IF('1.1 Produksi Bersih Padi 2025'!E425="","",'1.1 Produksi Bersih Padi 2025'!E425)</f>
        <v/>
      </c>
      <c r="F425" s="28" t="str">
        <f>IF(D425="","",VLOOKUP(D425,'[1]0.1 Produksi Pangan &amp; Penduduk'!$D$5:$AQ$860,40,0))</f>
        <v/>
      </c>
      <c r="G425" s="29" t="str">
        <f t="shared" si="30"/>
        <v/>
      </c>
      <c r="H425" s="29" t="str">
        <f t="shared" si="31"/>
        <v/>
      </c>
      <c r="I425" s="29" t="str">
        <f t="shared" si="32"/>
        <v/>
      </c>
      <c r="J425" s="29" t="str">
        <f t="shared" si="33"/>
        <v/>
      </c>
      <c r="K425" s="29" t="str">
        <f t="shared" si="34"/>
        <v/>
      </c>
    </row>
    <row r="426" spans="1:13" ht="15" x14ac:dyDescent="0.25">
      <c r="A426" s="1" t="str">
        <f>IF('1.1 Produksi Bersih Padi 2025'!A426="","",'1.1 Produksi Bersih Padi 2025'!A426)</f>
        <v/>
      </c>
      <c r="B426" s="31" t="str">
        <f>IF('1.1 Produksi Bersih Padi 2025'!B426="","",'1.1 Produksi Bersih Padi 2025'!B426)</f>
        <v/>
      </c>
      <c r="C426" s="31" t="str">
        <f>IF('1.1 Produksi Bersih Padi 2025'!C426="","",'1.1 Produksi Bersih Padi 2025'!C426)</f>
        <v/>
      </c>
      <c r="D426" s="1" t="str">
        <f>IF('1.1 Produksi Bersih Padi 2025'!D426="","",'1.1 Produksi Bersih Padi 2025'!D426)</f>
        <v/>
      </c>
      <c r="E426" s="1" t="str">
        <f>IF('1.1 Produksi Bersih Padi 2025'!E426="","",'1.1 Produksi Bersih Padi 2025'!E426)</f>
        <v/>
      </c>
      <c r="F426" s="28" t="str">
        <f>IF(D426="","",VLOOKUP(D426,'[1]0.1 Produksi Pangan &amp; Penduduk'!$D$5:$AQ$860,40,0))</f>
        <v/>
      </c>
      <c r="G426" s="29" t="str">
        <f t="shared" si="30"/>
        <v/>
      </c>
      <c r="H426" s="29" t="str">
        <f t="shared" si="31"/>
        <v/>
      </c>
      <c r="I426" s="29" t="str">
        <f t="shared" si="32"/>
        <v/>
      </c>
      <c r="J426" s="29" t="str">
        <f t="shared" si="33"/>
        <v/>
      </c>
      <c r="K426" s="29" t="str">
        <f t="shared" si="34"/>
        <v/>
      </c>
    </row>
    <row r="427" spans="1:13" ht="15" x14ac:dyDescent="0.25">
      <c r="A427" s="1" t="str">
        <f>IF('1.1 Produksi Bersih Padi 2025'!A427="","",'1.1 Produksi Bersih Padi 2025'!A427)</f>
        <v/>
      </c>
      <c r="B427" s="31" t="str">
        <f>IF('1.1 Produksi Bersih Padi 2025'!B427="","",'1.1 Produksi Bersih Padi 2025'!B427)</f>
        <v/>
      </c>
      <c r="C427" s="31" t="str">
        <f>IF('1.1 Produksi Bersih Padi 2025'!C427="","",'1.1 Produksi Bersih Padi 2025'!C427)</f>
        <v/>
      </c>
      <c r="D427" s="1" t="str">
        <f>IF('1.1 Produksi Bersih Padi 2025'!D427="","",'1.1 Produksi Bersih Padi 2025'!D427)</f>
        <v/>
      </c>
      <c r="E427" s="1" t="str">
        <f>IF('1.1 Produksi Bersih Padi 2025'!E427="","",'1.1 Produksi Bersih Padi 2025'!E427)</f>
        <v/>
      </c>
      <c r="F427" s="28" t="str">
        <f>IF(D427="","",VLOOKUP(D427,'[1]0.1 Produksi Pangan &amp; Penduduk'!$D$5:$AQ$860,40,0))</f>
        <v/>
      </c>
      <c r="G427" s="29" t="str">
        <f t="shared" si="30"/>
        <v/>
      </c>
      <c r="H427" s="29" t="str">
        <f t="shared" si="31"/>
        <v/>
      </c>
      <c r="I427" s="29" t="str">
        <f t="shared" si="32"/>
        <v/>
      </c>
      <c r="J427" s="29" t="str">
        <f t="shared" si="33"/>
        <v/>
      </c>
      <c r="K427" s="29" t="str">
        <f t="shared" si="34"/>
        <v/>
      </c>
    </row>
    <row r="428" spans="1:13" ht="15" x14ac:dyDescent="0.25">
      <c r="A428" s="1" t="str">
        <f>IF('1.1 Produksi Bersih Padi 2025'!A428="","",'1.1 Produksi Bersih Padi 2025'!A428)</f>
        <v/>
      </c>
      <c r="B428" s="31" t="str">
        <f>IF('1.1 Produksi Bersih Padi 2025'!B428="","",'1.1 Produksi Bersih Padi 2025'!B428)</f>
        <v/>
      </c>
      <c r="C428" s="31" t="str">
        <f>IF('1.1 Produksi Bersih Padi 2025'!C428="","",'1.1 Produksi Bersih Padi 2025'!C428)</f>
        <v/>
      </c>
      <c r="D428" s="1" t="str">
        <f>IF('1.1 Produksi Bersih Padi 2025'!D428="","",'1.1 Produksi Bersih Padi 2025'!D428)</f>
        <v/>
      </c>
      <c r="E428" s="1" t="str">
        <f>IF('1.1 Produksi Bersih Padi 2025'!E428="","",'1.1 Produksi Bersih Padi 2025'!E428)</f>
        <v/>
      </c>
      <c r="F428" s="28" t="str">
        <f>IF(D428="","",VLOOKUP(D428,'[1]0.1 Produksi Pangan &amp; Penduduk'!$D$5:$AQ$860,40,0))</f>
        <v/>
      </c>
      <c r="G428" s="29" t="str">
        <f t="shared" si="30"/>
        <v/>
      </c>
      <c r="H428" s="29" t="str">
        <f t="shared" si="31"/>
        <v/>
      </c>
      <c r="I428" s="29" t="str">
        <f t="shared" si="32"/>
        <v/>
      </c>
      <c r="J428" s="29" t="str">
        <f t="shared" si="33"/>
        <v/>
      </c>
      <c r="K428" s="29" t="str">
        <f t="shared" si="34"/>
        <v/>
      </c>
    </row>
    <row r="429" spans="1:13" ht="15" x14ac:dyDescent="0.25">
      <c r="A429" s="1" t="str">
        <f>IF('1.1 Produksi Bersih Padi 2025'!A429="","",'1.1 Produksi Bersih Padi 2025'!A429)</f>
        <v/>
      </c>
      <c r="B429" s="31" t="str">
        <f>IF('1.1 Produksi Bersih Padi 2025'!B429="","",'1.1 Produksi Bersih Padi 2025'!B429)</f>
        <v/>
      </c>
      <c r="C429" s="31" t="str">
        <f>IF('1.1 Produksi Bersih Padi 2025'!C429="","",'1.1 Produksi Bersih Padi 2025'!C429)</f>
        <v/>
      </c>
      <c r="D429" s="1" t="str">
        <f>IF('1.1 Produksi Bersih Padi 2025'!D429="","",'1.1 Produksi Bersih Padi 2025'!D429)</f>
        <v/>
      </c>
      <c r="E429" s="1" t="str">
        <f>IF('1.1 Produksi Bersih Padi 2025'!E429="","",'1.1 Produksi Bersih Padi 2025'!E429)</f>
        <v/>
      </c>
      <c r="F429" s="28" t="str">
        <f>IF(D429="","",VLOOKUP(D429,'[1]0.1 Produksi Pangan &amp; Penduduk'!$D$5:$AQ$860,40,0))</f>
        <v/>
      </c>
      <c r="G429" s="29" t="str">
        <f t="shared" si="30"/>
        <v/>
      </c>
      <c r="H429" s="29" t="str">
        <f t="shared" si="31"/>
        <v/>
      </c>
      <c r="I429" s="29" t="str">
        <f t="shared" si="32"/>
        <v/>
      </c>
      <c r="J429" s="29" t="str">
        <f t="shared" si="33"/>
        <v/>
      </c>
      <c r="K429" s="29" t="str">
        <f t="shared" si="34"/>
        <v/>
      </c>
    </row>
    <row r="430" spans="1:13" ht="15" x14ac:dyDescent="0.25">
      <c r="A430" s="1" t="str">
        <f>IF('1.1 Produksi Bersih Padi 2025'!A430="","",'1.1 Produksi Bersih Padi 2025'!A430)</f>
        <v/>
      </c>
      <c r="B430" s="31" t="str">
        <f>IF('1.1 Produksi Bersih Padi 2025'!B430="","",'1.1 Produksi Bersih Padi 2025'!B430)</f>
        <v/>
      </c>
      <c r="C430" s="31" t="str">
        <f>IF('1.1 Produksi Bersih Padi 2025'!C430="","",'1.1 Produksi Bersih Padi 2025'!C430)</f>
        <v/>
      </c>
      <c r="D430" s="1" t="str">
        <f>IF('1.1 Produksi Bersih Padi 2025'!D430="","",'1.1 Produksi Bersih Padi 2025'!D430)</f>
        <v/>
      </c>
      <c r="E430" s="1" t="str">
        <f>IF('1.1 Produksi Bersih Padi 2025'!E430="","",'1.1 Produksi Bersih Padi 2025'!E430)</f>
        <v/>
      </c>
      <c r="F430" s="28" t="str">
        <f>IF(D430="","",VLOOKUP(D430,'[1]0.1 Produksi Pangan &amp; Penduduk'!$D$5:$AQ$860,40,0))</f>
        <v/>
      </c>
      <c r="G430" s="29" t="str">
        <f t="shared" si="30"/>
        <v/>
      </c>
      <c r="H430" s="29" t="str">
        <f t="shared" si="31"/>
        <v/>
      </c>
      <c r="I430" s="29" t="str">
        <f t="shared" si="32"/>
        <v/>
      </c>
      <c r="J430" s="29" t="str">
        <f t="shared" si="33"/>
        <v/>
      </c>
      <c r="K430" s="29" t="str">
        <f t="shared" si="34"/>
        <v/>
      </c>
    </row>
    <row r="431" spans="1:13" ht="15" x14ac:dyDescent="0.25">
      <c r="A431" s="1" t="str">
        <f>IF('1.1 Produksi Bersih Padi 2025'!A431="","",'1.1 Produksi Bersih Padi 2025'!A431)</f>
        <v/>
      </c>
      <c r="B431" s="31" t="str">
        <f>IF('1.1 Produksi Bersih Padi 2025'!B431="","",'1.1 Produksi Bersih Padi 2025'!B431)</f>
        <v/>
      </c>
      <c r="C431" s="31" t="str">
        <f>IF('1.1 Produksi Bersih Padi 2025'!C431="","",'1.1 Produksi Bersih Padi 2025'!C431)</f>
        <v/>
      </c>
      <c r="D431" s="1" t="str">
        <f>IF('1.1 Produksi Bersih Padi 2025'!D431="","",'1.1 Produksi Bersih Padi 2025'!D431)</f>
        <v/>
      </c>
      <c r="E431" s="1" t="str">
        <f>IF('1.1 Produksi Bersih Padi 2025'!E431="","",'1.1 Produksi Bersih Padi 2025'!E431)</f>
        <v/>
      </c>
      <c r="F431" s="28" t="str">
        <f>IF(D431="","",VLOOKUP(D431,'[1]0.1 Produksi Pangan &amp; Penduduk'!$D$5:$AQ$860,40,0))</f>
        <v/>
      </c>
      <c r="G431" s="29" t="str">
        <f t="shared" si="30"/>
        <v/>
      </c>
      <c r="H431" s="29" t="str">
        <f t="shared" si="31"/>
        <v/>
      </c>
      <c r="I431" s="29" t="str">
        <f t="shared" si="32"/>
        <v/>
      </c>
      <c r="J431" s="29" t="str">
        <f t="shared" si="33"/>
        <v/>
      </c>
      <c r="K431" s="29" t="str">
        <f t="shared" si="34"/>
        <v/>
      </c>
    </row>
    <row r="432" spans="1:13" ht="15" x14ac:dyDescent="0.25">
      <c r="A432" s="1" t="str">
        <f>IF('1.1 Produksi Bersih Padi 2025'!A432="","",'1.1 Produksi Bersih Padi 2025'!A432)</f>
        <v/>
      </c>
      <c r="B432" s="31" t="str">
        <f>IF('1.1 Produksi Bersih Padi 2025'!B432="","",'1.1 Produksi Bersih Padi 2025'!B432)</f>
        <v/>
      </c>
      <c r="C432" s="31" t="str">
        <f>IF('1.1 Produksi Bersih Padi 2025'!C432="","",'1.1 Produksi Bersih Padi 2025'!C432)</f>
        <v/>
      </c>
      <c r="D432" s="1" t="str">
        <f>IF('1.1 Produksi Bersih Padi 2025'!D432="","",'1.1 Produksi Bersih Padi 2025'!D432)</f>
        <v/>
      </c>
      <c r="E432" s="1" t="str">
        <f>IF('1.1 Produksi Bersih Padi 2025'!E432="","",'1.1 Produksi Bersih Padi 2025'!E432)</f>
        <v/>
      </c>
      <c r="F432" s="28" t="str">
        <f>IF(D432="","",VLOOKUP(D432,'[1]0.1 Produksi Pangan &amp; Penduduk'!$D$5:$AQ$860,40,0))</f>
        <v/>
      </c>
      <c r="G432" s="29" t="str">
        <f t="shared" si="30"/>
        <v/>
      </c>
      <c r="H432" s="29" t="str">
        <f t="shared" si="31"/>
        <v/>
      </c>
      <c r="I432" s="29" t="str">
        <f t="shared" si="32"/>
        <v/>
      </c>
      <c r="J432" s="29" t="str">
        <f t="shared" si="33"/>
        <v/>
      </c>
      <c r="K432" s="29" t="str">
        <f t="shared" si="34"/>
        <v/>
      </c>
    </row>
    <row r="433" spans="1:11" ht="15" x14ac:dyDescent="0.25">
      <c r="A433" s="1" t="str">
        <f>IF('1.1 Produksi Bersih Padi 2025'!A433="","",'1.1 Produksi Bersih Padi 2025'!A433)</f>
        <v/>
      </c>
      <c r="B433" s="31" t="str">
        <f>IF('1.1 Produksi Bersih Padi 2025'!B433="","",'1.1 Produksi Bersih Padi 2025'!B433)</f>
        <v/>
      </c>
      <c r="C433" s="31" t="str">
        <f>IF('1.1 Produksi Bersih Padi 2025'!C433="","",'1.1 Produksi Bersih Padi 2025'!C433)</f>
        <v/>
      </c>
      <c r="D433" s="1" t="str">
        <f>IF('1.1 Produksi Bersih Padi 2025'!D433="","",'1.1 Produksi Bersih Padi 2025'!D433)</f>
        <v/>
      </c>
      <c r="E433" s="1" t="str">
        <f>IF('1.1 Produksi Bersih Padi 2025'!E433="","",'1.1 Produksi Bersih Padi 2025'!E433)</f>
        <v/>
      </c>
      <c r="F433" s="28" t="str">
        <f>IF(D433="","",VLOOKUP(D433,'[1]0.1 Produksi Pangan &amp; Penduduk'!$D$5:$AQ$860,40,0))</f>
        <v/>
      </c>
      <c r="G433" s="29" t="str">
        <f t="shared" si="30"/>
        <v/>
      </c>
      <c r="H433" s="29" t="str">
        <f t="shared" si="31"/>
        <v/>
      </c>
      <c r="I433" s="29" t="str">
        <f t="shared" si="32"/>
        <v/>
      </c>
      <c r="J433" s="29" t="str">
        <f t="shared" si="33"/>
        <v/>
      </c>
      <c r="K433" s="29" t="str">
        <f t="shared" si="34"/>
        <v/>
      </c>
    </row>
    <row r="434" spans="1:11" ht="15" x14ac:dyDescent="0.25">
      <c r="A434" s="1" t="str">
        <f>IF('1.1 Produksi Bersih Padi 2025'!A434="","",'1.1 Produksi Bersih Padi 2025'!A434)</f>
        <v/>
      </c>
      <c r="B434" s="31" t="str">
        <f>IF('1.1 Produksi Bersih Padi 2025'!B434="","",'1.1 Produksi Bersih Padi 2025'!B434)</f>
        <v/>
      </c>
      <c r="C434" s="31" t="str">
        <f>IF('1.1 Produksi Bersih Padi 2025'!C434="","",'1.1 Produksi Bersih Padi 2025'!C434)</f>
        <v/>
      </c>
      <c r="D434" s="1" t="str">
        <f>IF('1.1 Produksi Bersih Padi 2025'!D434="","",'1.1 Produksi Bersih Padi 2025'!D434)</f>
        <v/>
      </c>
      <c r="E434" s="1" t="str">
        <f>IF('1.1 Produksi Bersih Padi 2025'!E434="","",'1.1 Produksi Bersih Padi 2025'!E434)</f>
        <v/>
      </c>
      <c r="F434" s="28" t="str">
        <f>IF(D434="","",VLOOKUP(D434,'[1]0.1 Produksi Pangan &amp; Penduduk'!$D$5:$AQ$860,40,0))</f>
        <v/>
      </c>
      <c r="G434" s="29" t="str">
        <f t="shared" si="30"/>
        <v/>
      </c>
      <c r="H434" s="29" t="str">
        <f t="shared" si="31"/>
        <v/>
      </c>
      <c r="I434" s="29" t="str">
        <f t="shared" si="32"/>
        <v/>
      </c>
      <c r="J434" s="29" t="str">
        <f t="shared" si="33"/>
        <v/>
      </c>
      <c r="K434" s="29" t="str">
        <f t="shared" si="34"/>
        <v/>
      </c>
    </row>
    <row r="435" spans="1:11" ht="15" x14ac:dyDescent="0.25">
      <c r="A435" s="1" t="str">
        <f>IF('1.1 Produksi Bersih Padi 2025'!A435="","",'1.1 Produksi Bersih Padi 2025'!A435)</f>
        <v/>
      </c>
      <c r="B435" s="31" t="str">
        <f>IF('1.1 Produksi Bersih Padi 2025'!B435="","",'1.1 Produksi Bersih Padi 2025'!B435)</f>
        <v/>
      </c>
      <c r="C435" s="31" t="str">
        <f>IF('1.1 Produksi Bersih Padi 2025'!C435="","",'1.1 Produksi Bersih Padi 2025'!C435)</f>
        <v/>
      </c>
      <c r="D435" s="1" t="str">
        <f>IF('1.1 Produksi Bersih Padi 2025'!D435="","",'1.1 Produksi Bersih Padi 2025'!D435)</f>
        <v/>
      </c>
      <c r="E435" s="1" t="str">
        <f>IF('1.1 Produksi Bersih Padi 2025'!E435="","",'1.1 Produksi Bersih Padi 2025'!E435)</f>
        <v/>
      </c>
      <c r="F435" s="28" t="str">
        <f>IF(D435="","",VLOOKUP(D435,'[1]0.1 Produksi Pangan &amp; Penduduk'!$D$5:$AQ$860,40,0))</f>
        <v/>
      </c>
      <c r="G435" s="29" t="str">
        <f t="shared" si="30"/>
        <v/>
      </c>
      <c r="H435" s="29" t="str">
        <f t="shared" si="31"/>
        <v/>
      </c>
      <c r="I435" s="29" t="str">
        <f t="shared" si="32"/>
        <v/>
      </c>
      <c r="J435" s="29" t="str">
        <f t="shared" si="33"/>
        <v/>
      </c>
      <c r="K435" s="29" t="str">
        <f t="shared" si="34"/>
        <v/>
      </c>
    </row>
    <row r="436" spans="1:11" ht="15" x14ac:dyDescent="0.25">
      <c r="A436" s="1" t="str">
        <f>IF('1.1 Produksi Bersih Padi 2025'!A436="","",'1.1 Produksi Bersih Padi 2025'!A436)</f>
        <v/>
      </c>
      <c r="B436" s="31" t="str">
        <f>IF('1.1 Produksi Bersih Padi 2025'!B436="","",'1.1 Produksi Bersih Padi 2025'!B436)</f>
        <v/>
      </c>
      <c r="C436" s="31" t="str">
        <f>IF('1.1 Produksi Bersih Padi 2025'!C436="","",'1.1 Produksi Bersih Padi 2025'!C436)</f>
        <v/>
      </c>
      <c r="D436" s="1" t="str">
        <f>IF('1.1 Produksi Bersih Padi 2025'!D436="","",'1.1 Produksi Bersih Padi 2025'!D436)</f>
        <v/>
      </c>
      <c r="E436" s="1" t="str">
        <f>IF('1.1 Produksi Bersih Padi 2025'!E436="","",'1.1 Produksi Bersih Padi 2025'!E436)</f>
        <v/>
      </c>
      <c r="F436" s="28" t="str">
        <f>IF(D436="","",VLOOKUP(D436,'[1]0.1 Produksi Pangan &amp; Penduduk'!$D$5:$AQ$860,40,0))</f>
        <v/>
      </c>
      <c r="G436" s="29" t="str">
        <f t="shared" si="30"/>
        <v/>
      </c>
      <c r="H436" s="29" t="str">
        <f t="shared" si="31"/>
        <v/>
      </c>
      <c r="I436" s="29" t="str">
        <f t="shared" si="32"/>
        <v/>
      </c>
      <c r="J436" s="29" t="str">
        <f t="shared" si="33"/>
        <v/>
      </c>
      <c r="K436" s="29" t="str">
        <f t="shared" si="34"/>
        <v/>
      </c>
    </row>
    <row r="437" spans="1:11" ht="15" x14ac:dyDescent="0.25">
      <c r="A437" s="1" t="str">
        <f>IF('1.1 Produksi Bersih Padi 2025'!A437="","",'1.1 Produksi Bersih Padi 2025'!A437)</f>
        <v/>
      </c>
      <c r="B437" s="31" t="str">
        <f>IF('1.1 Produksi Bersih Padi 2025'!B437="","",'1.1 Produksi Bersih Padi 2025'!B437)</f>
        <v/>
      </c>
      <c r="C437" s="31" t="str">
        <f>IF('1.1 Produksi Bersih Padi 2025'!C437="","",'1.1 Produksi Bersih Padi 2025'!C437)</f>
        <v/>
      </c>
      <c r="D437" s="1" t="str">
        <f>IF('1.1 Produksi Bersih Padi 2025'!D437="","",'1.1 Produksi Bersih Padi 2025'!D437)</f>
        <v/>
      </c>
      <c r="E437" s="1" t="str">
        <f>IF('1.1 Produksi Bersih Padi 2025'!E437="","",'1.1 Produksi Bersih Padi 2025'!E437)</f>
        <v/>
      </c>
      <c r="F437" s="28" t="str">
        <f>IF(D437="","",VLOOKUP(D437,'[1]0.1 Produksi Pangan &amp; Penduduk'!$D$5:$AQ$860,40,0))</f>
        <v/>
      </c>
      <c r="G437" s="29" t="str">
        <f t="shared" si="30"/>
        <v/>
      </c>
      <c r="H437" s="29" t="str">
        <f t="shared" si="31"/>
        <v/>
      </c>
      <c r="I437" s="29" t="str">
        <f t="shared" si="32"/>
        <v/>
      </c>
      <c r="J437" s="29" t="str">
        <f t="shared" si="33"/>
        <v/>
      </c>
      <c r="K437" s="29" t="str">
        <f t="shared" si="34"/>
        <v/>
      </c>
    </row>
    <row r="438" spans="1:11" ht="15" x14ac:dyDescent="0.25">
      <c r="A438" s="1" t="str">
        <f>IF('1.1 Produksi Bersih Padi 2025'!A438="","",'1.1 Produksi Bersih Padi 2025'!A438)</f>
        <v/>
      </c>
      <c r="B438" s="31" t="str">
        <f>IF('1.1 Produksi Bersih Padi 2025'!B438="","",'1.1 Produksi Bersih Padi 2025'!B438)</f>
        <v/>
      </c>
      <c r="C438" s="31" t="str">
        <f>IF('1.1 Produksi Bersih Padi 2025'!C438="","",'1.1 Produksi Bersih Padi 2025'!C438)</f>
        <v/>
      </c>
      <c r="D438" s="1" t="str">
        <f>IF('1.1 Produksi Bersih Padi 2025'!D438="","",'1.1 Produksi Bersih Padi 2025'!D438)</f>
        <v/>
      </c>
      <c r="E438" s="1" t="str">
        <f>IF('1.1 Produksi Bersih Padi 2025'!E438="","",'1.1 Produksi Bersih Padi 2025'!E438)</f>
        <v/>
      </c>
      <c r="F438" s="28" t="str">
        <f>IF(D438="","",VLOOKUP(D438,'[1]0.1 Produksi Pangan &amp; Penduduk'!$D$5:$AQ$860,40,0))</f>
        <v/>
      </c>
      <c r="G438" s="29" t="str">
        <f t="shared" si="30"/>
        <v/>
      </c>
      <c r="H438" s="29" t="str">
        <f t="shared" si="31"/>
        <v/>
      </c>
      <c r="I438" s="29" t="str">
        <f t="shared" si="32"/>
        <v/>
      </c>
      <c r="J438" s="29" t="str">
        <f t="shared" si="33"/>
        <v/>
      </c>
      <c r="K438" s="29" t="str">
        <f t="shared" si="34"/>
        <v/>
      </c>
    </row>
    <row r="439" spans="1:11" ht="15" x14ac:dyDescent="0.25">
      <c r="A439" s="1" t="str">
        <f>IF('1.1 Produksi Bersih Padi 2025'!A439="","",'1.1 Produksi Bersih Padi 2025'!A439)</f>
        <v/>
      </c>
      <c r="B439" s="31" t="str">
        <f>IF('1.1 Produksi Bersih Padi 2025'!B439="","",'1.1 Produksi Bersih Padi 2025'!B439)</f>
        <v/>
      </c>
      <c r="C439" s="31" t="str">
        <f>IF('1.1 Produksi Bersih Padi 2025'!C439="","",'1.1 Produksi Bersih Padi 2025'!C439)</f>
        <v/>
      </c>
      <c r="D439" s="1" t="str">
        <f>IF('1.1 Produksi Bersih Padi 2025'!D439="","",'1.1 Produksi Bersih Padi 2025'!D439)</f>
        <v/>
      </c>
      <c r="E439" s="1" t="str">
        <f>IF('1.1 Produksi Bersih Padi 2025'!E439="","",'1.1 Produksi Bersih Padi 2025'!E439)</f>
        <v/>
      </c>
      <c r="F439" s="28" t="str">
        <f>IF(D439="","",VLOOKUP(D439,'[1]0.1 Produksi Pangan &amp; Penduduk'!$D$5:$AQ$860,40,0))</f>
        <v/>
      </c>
      <c r="G439" s="29" t="str">
        <f t="shared" si="30"/>
        <v/>
      </c>
      <c r="H439" s="29" t="str">
        <f t="shared" si="31"/>
        <v/>
      </c>
      <c r="I439" s="29" t="str">
        <f t="shared" si="32"/>
        <v/>
      </c>
      <c r="J439" s="29" t="str">
        <f t="shared" si="33"/>
        <v/>
      </c>
      <c r="K439" s="29" t="str">
        <f t="shared" si="34"/>
        <v/>
      </c>
    </row>
    <row r="440" spans="1:11" ht="15" x14ac:dyDescent="0.25">
      <c r="A440" s="1" t="str">
        <f>IF('1.1 Produksi Bersih Padi 2025'!A440="","",'1.1 Produksi Bersih Padi 2025'!A440)</f>
        <v/>
      </c>
      <c r="B440" s="31" t="str">
        <f>IF('1.1 Produksi Bersih Padi 2025'!B440="","",'1.1 Produksi Bersih Padi 2025'!B440)</f>
        <v/>
      </c>
      <c r="C440" s="31" t="str">
        <f>IF('1.1 Produksi Bersih Padi 2025'!C440="","",'1.1 Produksi Bersih Padi 2025'!C440)</f>
        <v/>
      </c>
      <c r="D440" s="1" t="str">
        <f>IF('1.1 Produksi Bersih Padi 2025'!D440="","",'1.1 Produksi Bersih Padi 2025'!D440)</f>
        <v/>
      </c>
      <c r="E440" s="1" t="str">
        <f>IF('1.1 Produksi Bersih Padi 2025'!E440="","",'1.1 Produksi Bersih Padi 2025'!E440)</f>
        <v/>
      </c>
      <c r="F440" s="28" t="str">
        <f>IF(D440="","",VLOOKUP(D440,'[1]0.1 Produksi Pangan &amp; Penduduk'!$D$5:$AQ$860,40,0))</f>
        <v/>
      </c>
      <c r="G440" s="29" t="str">
        <f t="shared" si="30"/>
        <v/>
      </c>
      <c r="H440" s="29" t="str">
        <f t="shared" si="31"/>
        <v/>
      </c>
      <c r="I440" s="29" t="str">
        <f t="shared" si="32"/>
        <v/>
      </c>
      <c r="J440" s="29" t="str">
        <f t="shared" si="33"/>
        <v/>
      </c>
      <c r="K440" s="29" t="str">
        <f t="shared" si="34"/>
        <v/>
      </c>
    </row>
    <row r="441" spans="1:11" ht="15" x14ac:dyDescent="0.25">
      <c r="A441" s="1" t="str">
        <f>IF('1.1 Produksi Bersih Padi 2025'!A441="","",'1.1 Produksi Bersih Padi 2025'!A441)</f>
        <v/>
      </c>
      <c r="B441" s="31" t="str">
        <f>IF('1.1 Produksi Bersih Padi 2025'!B441="","",'1.1 Produksi Bersih Padi 2025'!B441)</f>
        <v/>
      </c>
      <c r="C441" s="31" t="str">
        <f>IF('1.1 Produksi Bersih Padi 2025'!C441="","",'1.1 Produksi Bersih Padi 2025'!C441)</f>
        <v/>
      </c>
      <c r="D441" s="1" t="str">
        <f>IF('1.1 Produksi Bersih Padi 2025'!D441="","",'1.1 Produksi Bersih Padi 2025'!D441)</f>
        <v/>
      </c>
      <c r="E441" s="1" t="str">
        <f>IF('1.1 Produksi Bersih Padi 2025'!E441="","",'1.1 Produksi Bersih Padi 2025'!E441)</f>
        <v/>
      </c>
      <c r="F441" s="28" t="str">
        <f>IF(D441="","",VLOOKUP(D441,'[1]0.1 Produksi Pangan &amp; Penduduk'!$D$5:$AQ$860,40,0))</f>
        <v/>
      </c>
      <c r="G441" s="29" t="str">
        <f t="shared" si="30"/>
        <v/>
      </c>
      <c r="H441" s="29" t="str">
        <f t="shared" si="31"/>
        <v/>
      </c>
      <c r="I441" s="29" t="str">
        <f t="shared" si="32"/>
        <v/>
      </c>
      <c r="J441" s="29" t="str">
        <f t="shared" si="33"/>
        <v/>
      </c>
      <c r="K441" s="29" t="str">
        <f t="shared" si="34"/>
        <v/>
      </c>
    </row>
    <row r="442" spans="1:11" ht="15" x14ac:dyDescent="0.25">
      <c r="A442" s="1" t="str">
        <f>IF('1.1 Produksi Bersih Padi 2025'!A442="","",'1.1 Produksi Bersih Padi 2025'!A442)</f>
        <v/>
      </c>
      <c r="B442" s="31" t="str">
        <f>IF('1.1 Produksi Bersih Padi 2025'!B442="","",'1.1 Produksi Bersih Padi 2025'!B442)</f>
        <v/>
      </c>
      <c r="C442" s="31" t="str">
        <f>IF('1.1 Produksi Bersih Padi 2025'!C442="","",'1.1 Produksi Bersih Padi 2025'!C442)</f>
        <v/>
      </c>
      <c r="D442" s="1" t="str">
        <f>IF('1.1 Produksi Bersih Padi 2025'!D442="","",'1.1 Produksi Bersih Padi 2025'!D442)</f>
        <v/>
      </c>
      <c r="E442" s="1" t="str">
        <f>IF('1.1 Produksi Bersih Padi 2025'!E442="","",'1.1 Produksi Bersih Padi 2025'!E442)</f>
        <v/>
      </c>
      <c r="F442" s="28" t="str">
        <f>IF(D442="","",VLOOKUP(D442,'[1]0.1 Produksi Pangan &amp; Penduduk'!$D$5:$AQ$860,40,0))</f>
        <v/>
      </c>
      <c r="G442" s="29" t="str">
        <f t="shared" si="30"/>
        <v/>
      </c>
      <c r="H442" s="29" t="str">
        <f t="shared" si="31"/>
        <v/>
      </c>
      <c r="I442" s="29" t="str">
        <f t="shared" si="32"/>
        <v/>
      </c>
      <c r="J442" s="29" t="str">
        <f t="shared" si="33"/>
        <v/>
      </c>
      <c r="K442" s="29" t="str">
        <f t="shared" si="34"/>
        <v/>
      </c>
    </row>
    <row r="443" spans="1:11" ht="15" x14ac:dyDescent="0.25">
      <c r="A443" s="1" t="str">
        <f>IF('1.1 Produksi Bersih Padi 2025'!A443="","",'1.1 Produksi Bersih Padi 2025'!A443)</f>
        <v/>
      </c>
      <c r="B443" s="31" t="str">
        <f>IF('1.1 Produksi Bersih Padi 2025'!B443="","",'1.1 Produksi Bersih Padi 2025'!B443)</f>
        <v/>
      </c>
      <c r="C443" s="31" t="str">
        <f>IF('1.1 Produksi Bersih Padi 2025'!C443="","",'1.1 Produksi Bersih Padi 2025'!C443)</f>
        <v/>
      </c>
      <c r="D443" s="1" t="str">
        <f>IF('1.1 Produksi Bersih Padi 2025'!D443="","",'1.1 Produksi Bersih Padi 2025'!D443)</f>
        <v/>
      </c>
      <c r="E443" s="1" t="str">
        <f>IF('1.1 Produksi Bersih Padi 2025'!E443="","",'1.1 Produksi Bersih Padi 2025'!E443)</f>
        <v/>
      </c>
      <c r="F443" s="28" t="str">
        <f>IF(D443="","",VLOOKUP(D443,'[1]0.1 Produksi Pangan &amp; Penduduk'!$D$5:$AQ$860,40,0))</f>
        <v/>
      </c>
      <c r="G443" s="29" t="str">
        <f t="shared" si="30"/>
        <v/>
      </c>
      <c r="H443" s="29" t="str">
        <f t="shared" si="31"/>
        <v/>
      </c>
      <c r="I443" s="29" t="str">
        <f t="shared" si="32"/>
        <v/>
      </c>
      <c r="J443" s="29" t="str">
        <f t="shared" si="33"/>
        <v/>
      </c>
      <c r="K443" s="29" t="str">
        <f t="shared" si="34"/>
        <v/>
      </c>
    </row>
    <row r="444" spans="1:11" ht="15" x14ac:dyDescent="0.25">
      <c r="A444" s="1" t="str">
        <f>IF('1.1 Produksi Bersih Padi 2025'!A444="","",'1.1 Produksi Bersih Padi 2025'!A444)</f>
        <v/>
      </c>
      <c r="B444" s="31" t="str">
        <f>IF('1.1 Produksi Bersih Padi 2025'!B444="","",'1.1 Produksi Bersih Padi 2025'!B444)</f>
        <v/>
      </c>
      <c r="C444" s="31" t="str">
        <f>IF('1.1 Produksi Bersih Padi 2025'!C444="","",'1.1 Produksi Bersih Padi 2025'!C444)</f>
        <v/>
      </c>
      <c r="D444" s="1" t="str">
        <f>IF('1.1 Produksi Bersih Padi 2025'!D444="","",'1.1 Produksi Bersih Padi 2025'!D444)</f>
        <v/>
      </c>
      <c r="E444" s="1" t="str">
        <f>IF('1.1 Produksi Bersih Padi 2025'!E444="","",'1.1 Produksi Bersih Padi 2025'!E444)</f>
        <v/>
      </c>
      <c r="F444" s="28" t="str">
        <f>IF(D444="","",VLOOKUP(D444,'[1]0.1 Produksi Pangan &amp; Penduduk'!$D$5:$AQ$860,40,0))</f>
        <v/>
      </c>
      <c r="G444" s="29" t="str">
        <f t="shared" si="30"/>
        <v/>
      </c>
      <c r="H444" s="29" t="str">
        <f t="shared" si="31"/>
        <v/>
      </c>
      <c r="I444" s="29" t="str">
        <f t="shared" si="32"/>
        <v/>
      </c>
      <c r="J444" s="29" t="str">
        <f t="shared" si="33"/>
        <v/>
      </c>
      <c r="K444" s="29" t="str">
        <f t="shared" si="34"/>
        <v/>
      </c>
    </row>
    <row r="445" spans="1:11" ht="15" x14ac:dyDescent="0.25">
      <c r="A445" s="1" t="str">
        <f>IF('1.1 Produksi Bersih Padi 2025'!A445="","",'1.1 Produksi Bersih Padi 2025'!A445)</f>
        <v/>
      </c>
      <c r="B445" s="31" t="str">
        <f>IF('1.1 Produksi Bersih Padi 2025'!B445="","",'1.1 Produksi Bersih Padi 2025'!B445)</f>
        <v/>
      </c>
      <c r="C445" s="31" t="str">
        <f>IF('1.1 Produksi Bersih Padi 2025'!C445="","",'1.1 Produksi Bersih Padi 2025'!C445)</f>
        <v/>
      </c>
      <c r="D445" s="1" t="str">
        <f>IF('1.1 Produksi Bersih Padi 2025'!D445="","",'1.1 Produksi Bersih Padi 2025'!D445)</f>
        <v/>
      </c>
      <c r="E445" s="1" t="str">
        <f>IF('1.1 Produksi Bersih Padi 2025'!E445="","",'1.1 Produksi Bersih Padi 2025'!E445)</f>
        <v/>
      </c>
      <c r="F445" s="28" t="str">
        <f>IF(D445="","",VLOOKUP(D445,'[1]0.1 Produksi Pangan &amp; Penduduk'!$D$5:$AQ$860,40,0))</f>
        <v/>
      </c>
      <c r="G445" s="29" t="str">
        <f t="shared" si="30"/>
        <v/>
      </c>
      <c r="H445" s="29" t="str">
        <f t="shared" si="31"/>
        <v/>
      </c>
      <c r="I445" s="29" t="str">
        <f t="shared" si="32"/>
        <v/>
      </c>
      <c r="J445" s="29" t="str">
        <f t="shared" si="33"/>
        <v/>
      </c>
      <c r="K445" s="29" t="str">
        <f t="shared" si="34"/>
        <v/>
      </c>
    </row>
    <row r="446" spans="1:11" ht="15" x14ac:dyDescent="0.25">
      <c r="A446" s="1" t="str">
        <f>IF('1.1 Produksi Bersih Padi 2025'!A446="","",'1.1 Produksi Bersih Padi 2025'!A446)</f>
        <v/>
      </c>
      <c r="B446" s="31" t="str">
        <f>IF('1.1 Produksi Bersih Padi 2025'!B446="","",'1.1 Produksi Bersih Padi 2025'!B446)</f>
        <v/>
      </c>
      <c r="C446" s="31" t="str">
        <f>IF('1.1 Produksi Bersih Padi 2025'!C446="","",'1.1 Produksi Bersih Padi 2025'!C446)</f>
        <v/>
      </c>
      <c r="D446" s="1" t="str">
        <f>IF('1.1 Produksi Bersih Padi 2025'!D446="","",'1.1 Produksi Bersih Padi 2025'!D446)</f>
        <v/>
      </c>
      <c r="E446" s="1" t="str">
        <f>IF('1.1 Produksi Bersih Padi 2025'!E446="","",'1.1 Produksi Bersih Padi 2025'!E446)</f>
        <v/>
      </c>
      <c r="F446" s="28" t="str">
        <f>IF(D446="","",VLOOKUP(D446,'[1]0.1 Produksi Pangan &amp; Penduduk'!$D$5:$AQ$860,40,0))</f>
        <v/>
      </c>
      <c r="G446" s="29" t="str">
        <f t="shared" si="30"/>
        <v/>
      </c>
      <c r="H446" s="29" t="str">
        <f t="shared" si="31"/>
        <v/>
      </c>
      <c r="I446" s="29" t="str">
        <f t="shared" si="32"/>
        <v/>
      </c>
      <c r="J446" s="29" t="str">
        <f t="shared" si="33"/>
        <v/>
      </c>
      <c r="K446" s="29" t="str">
        <f t="shared" si="34"/>
        <v/>
      </c>
    </row>
    <row r="447" spans="1:11" ht="15" x14ac:dyDescent="0.25">
      <c r="A447" s="1" t="str">
        <f>IF('1.1 Produksi Bersih Padi 2025'!A447="","",'1.1 Produksi Bersih Padi 2025'!A447)</f>
        <v/>
      </c>
      <c r="B447" s="31" t="str">
        <f>IF('1.1 Produksi Bersih Padi 2025'!B447="","",'1.1 Produksi Bersih Padi 2025'!B447)</f>
        <v/>
      </c>
      <c r="C447" s="31" t="str">
        <f>IF('1.1 Produksi Bersih Padi 2025'!C447="","",'1.1 Produksi Bersih Padi 2025'!C447)</f>
        <v/>
      </c>
      <c r="D447" s="1" t="str">
        <f>IF('1.1 Produksi Bersih Padi 2025'!D447="","",'1.1 Produksi Bersih Padi 2025'!D447)</f>
        <v/>
      </c>
      <c r="E447" s="1" t="str">
        <f>IF('1.1 Produksi Bersih Padi 2025'!E447="","",'1.1 Produksi Bersih Padi 2025'!E447)</f>
        <v/>
      </c>
      <c r="F447" s="28" t="str">
        <f>IF(D447="","",VLOOKUP(D447,'[1]0.1 Produksi Pangan &amp; Penduduk'!$D$5:$AQ$860,40,0))</f>
        <v/>
      </c>
      <c r="G447" s="29" t="str">
        <f t="shared" si="30"/>
        <v/>
      </c>
      <c r="H447" s="29" t="str">
        <f t="shared" si="31"/>
        <v/>
      </c>
      <c r="I447" s="29" t="str">
        <f t="shared" si="32"/>
        <v/>
      </c>
      <c r="J447" s="29" t="str">
        <f t="shared" si="33"/>
        <v/>
      </c>
      <c r="K447" s="29" t="str">
        <f t="shared" si="34"/>
        <v/>
      </c>
    </row>
    <row r="448" spans="1:11" ht="15" x14ac:dyDescent="0.25">
      <c r="A448" s="1" t="str">
        <f>IF('1.1 Produksi Bersih Padi 2025'!A448="","",'1.1 Produksi Bersih Padi 2025'!A448)</f>
        <v/>
      </c>
      <c r="B448" s="31" t="str">
        <f>IF('1.1 Produksi Bersih Padi 2025'!B448="","",'1.1 Produksi Bersih Padi 2025'!B448)</f>
        <v/>
      </c>
      <c r="C448" s="31" t="str">
        <f>IF('1.1 Produksi Bersih Padi 2025'!C448="","",'1.1 Produksi Bersih Padi 2025'!C448)</f>
        <v/>
      </c>
      <c r="D448" s="1" t="str">
        <f>IF('1.1 Produksi Bersih Padi 2025'!D448="","",'1.1 Produksi Bersih Padi 2025'!D448)</f>
        <v/>
      </c>
      <c r="E448" s="1" t="str">
        <f>IF('1.1 Produksi Bersih Padi 2025'!E448="","",'1.1 Produksi Bersih Padi 2025'!E448)</f>
        <v/>
      </c>
      <c r="F448" s="28" t="str">
        <f>IF(D448="","",VLOOKUP(D448,'[1]0.1 Produksi Pangan &amp; Penduduk'!$D$5:$AQ$860,40,0))</f>
        <v/>
      </c>
      <c r="G448" s="29" t="str">
        <f t="shared" si="30"/>
        <v/>
      </c>
      <c r="H448" s="29" t="str">
        <f t="shared" si="31"/>
        <v/>
      </c>
      <c r="I448" s="29" t="str">
        <f t="shared" si="32"/>
        <v/>
      </c>
      <c r="J448" s="29" t="str">
        <f t="shared" si="33"/>
        <v/>
      </c>
      <c r="K448" s="29" t="str">
        <f t="shared" si="34"/>
        <v/>
      </c>
    </row>
    <row r="449" spans="1:11" ht="15" x14ac:dyDescent="0.25">
      <c r="A449" s="1" t="str">
        <f>IF('1.1 Produksi Bersih Padi 2025'!A449="","",'1.1 Produksi Bersih Padi 2025'!A449)</f>
        <v/>
      </c>
      <c r="B449" s="31" t="str">
        <f>IF('1.1 Produksi Bersih Padi 2025'!B449="","",'1.1 Produksi Bersih Padi 2025'!B449)</f>
        <v/>
      </c>
      <c r="C449" s="31" t="str">
        <f>IF('1.1 Produksi Bersih Padi 2025'!C449="","",'1.1 Produksi Bersih Padi 2025'!C449)</f>
        <v/>
      </c>
      <c r="D449" s="1" t="str">
        <f>IF('1.1 Produksi Bersih Padi 2025'!D449="","",'1.1 Produksi Bersih Padi 2025'!D449)</f>
        <v/>
      </c>
      <c r="E449" s="1" t="str">
        <f>IF('1.1 Produksi Bersih Padi 2025'!E449="","",'1.1 Produksi Bersih Padi 2025'!E449)</f>
        <v/>
      </c>
      <c r="F449" s="28" t="str">
        <f>IF(D449="","",VLOOKUP(D449,'[1]0.1 Produksi Pangan &amp; Penduduk'!$D$5:$AQ$860,40,0))</f>
        <v/>
      </c>
      <c r="G449" s="29" t="str">
        <f t="shared" si="30"/>
        <v/>
      </c>
      <c r="H449" s="29" t="str">
        <f t="shared" si="31"/>
        <v/>
      </c>
      <c r="I449" s="29" t="str">
        <f t="shared" si="32"/>
        <v/>
      </c>
      <c r="J449" s="29" t="str">
        <f t="shared" si="33"/>
        <v/>
      </c>
      <c r="K449" s="29" t="str">
        <f t="shared" si="34"/>
        <v/>
      </c>
    </row>
    <row r="450" spans="1:11" ht="15" x14ac:dyDescent="0.25">
      <c r="A450" s="1" t="str">
        <f>IF('1.1 Produksi Bersih Padi 2025'!A450="","",'1.1 Produksi Bersih Padi 2025'!A450)</f>
        <v/>
      </c>
      <c r="B450" s="31" t="str">
        <f>IF('1.1 Produksi Bersih Padi 2025'!B450="","",'1.1 Produksi Bersih Padi 2025'!B450)</f>
        <v/>
      </c>
      <c r="C450" s="31" t="str">
        <f>IF('1.1 Produksi Bersih Padi 2025'!C450="","",'1.1 Produksi Bersih Padi 2025'!C450)</f>
        <v/>
      </c>
      <c r="D450" s="1" t="str">
        <f>IF('1.1 Produksi Bersih Padi 2025'!D450="","",'1.1 Produksi Bersih Padi 2025'!D450)</f>
        <v/>
      </c>
      <c r="E450" s="1" t="str">
        <f>IF('1.1 Produksi Bersih Padi 2025'!E450="","",'1.1 Produksi Bersih Padi 2025'!E450)</f>
        <v/>
      </c>
      <c r="F450" s="28" t="str">
        <f>IF(D450="","",VLOOKUP(D450,'[1]0.1 Produksi Pangan &amp; Penduduk'!$D$5:$AQ$860,40,0))</f>
        <v/>
      </c>
      <c r="G450" s="29" t="str">
        <f t="shared" si="30"/>
        <v/>
      </c>
      <c r="H450" s="29" t="str">
        <f t="shared" si="31"/>
        <v/>
      </c>
      <c r="I450" s="29" t="str">
        <f t="shared" si="32"/>
        <v/>
      </c>
      <c r="J450" s="29" t="str">
        <f t="shared" si="33"/>
        <v/>
      </c>
      <c r="K450" s="29" t="str">
        <f t="shared" si="34"/>
        <v/>
      </c>
    </row>
    <row r="451" spans="1:11" ht="15" x14ac:dyDescent="0.25">
      <c r="A451" s="1" t="str">
        <f>IF('1.1 Produksi Bersih Padi 2025'!A451="","",'1.1 Produksi Bersih Padi 2025'!A451)</f>
        <v/>
      </c>
      <c r="B451" s="31" t="str">
        <f>IF('1.1 Produksi Bersih Padi 2025'!B451="","",'1.1 Produksi Bersih Padi 2025'!B451)</f>
        <v/>
      </c>
      <c r="C451" s="31" t="str">
        <f>IF('1.1 Produksi Bersih Padi 2025'!C451="","",'1.1 Produksi Bersih Padi 2025'!C451)</f>
        <v/>
      </c>
      <c r="D451" s="1" t="str">
        <f>IF('1.1 Produksi Bersih Padi 2025'!D451="","",'1.1 Produksi Bersih Padi 2025'!D451)</f>
        <v/>
      </c>
      <c r="E451" s="1" t="str">
        <f>IF('1.1 Produksi Bersih Padi 2025'!E451="","",'1.1 Produksi Bersih Padi 2025'!E451)</f>
        <v/>
      </c>
      <c r="F451" s="28" t="str">
        <f>IF(D451="","",VLOOKUP(D451,'[1]0.1 Produksi Pangan &amp; Penduduk'!$D$5:$AQ$860,40,0))</f>
        <v/>
      </c>
      <c r="G451" s="29" t="str">
        <f t="shared" si="30"/>
        <v/>
      </c>
      <c r="H451" s="29" t="str">
        <f t="shared" si="31"/>
        <v/>
      </c>
      <c r="I451" s="29" t="str">
        <f t="shared" si="32"/>
        <v/>
      </c>
      <c r="J451" s="29" t="str">
        <f t="shared" si="33"/>
        <v/>
      </c>
      <c r="K451" s="29" t="str">
        <f t="shared" si="34"/>
        <v/>
      </c>
    </row>
    <row r="452" spans="1:11" ht="15" x14ac:dyDescent="0.25">
      <c r="A452" s="1" t="str">
        <f>IF('1.1 Produksi Bersih Padi 2025'!A452="","",'1.1 Produksi Bersih Padi 2025'!A452)</f>
        <v/>
      </c>
      <c r="B452" s="31" t="str">
        <f>IF('1.1 Produksi Bersih Padi 2025'!B452="","",'1.1 Produksi Bersih Padi 2025'!B452)</f>
        <v/>
      </c>
      <c r="C452" s="31" t="str">
        <f>IF('1.1 Produksi Bersih Padi 2025'!C452="","",'1.1 Produksi Bersih Padi 2025'!C452)</f>
        <v/>
      </c>
      <c r="D452" s="1" t="str">
        <f>IF('1.1 Produksi Bersih Padi 2025'!D452="","",'1.1 Produksi Bersih Padi 2025'!D452)</f>
        <v/>
      </c>
      <c r="E452" s="1" t="str">
        <f>IF('1.1 Produksi Bersih Padi 2025'!E452="","",'1.1 Produksi Bersih Padi 2025'!E452)</f>
        <v/>
      </c>
      <c r="F452" s="28" t="str">
        <f>IF(D452="","",VLOOKUP(D452,'[1]0.1 Produksi Pangan &amp; Penduduk'!$D$5:$AQ$860,40,0))</f>
        <v/>
      </c>
      <c r="G452" s="29" t="str">
        <f t="shared" si="30"/>
        <v/>
      </c>
      <c r="H452" s="29" t="str">
        <f t="shared" si="31"/>
        <v/>
      </c>
      <c r="I452" s="29" t="str">
        <f t="shared" si="32"/>
        <v/>
      </c>
      <c r="J452" s="29" t="str">
        <f t="shared" si="33"/>
        <v/>
      </c>
      <c r="K452" s="29" t="str">
        <f t="shared" si="34"/>
        <v/>
      </c>
    </row>
    <row r="453" spans="1:11" ht="15" x14ac:dyDescent="0.25">
      <c r="A453" s="1" t="str">
        <f>IF('1.1 Produksi Bersih Padi 2025'!A453="","",'1.1 Produksi Bersih Padi 2025'!A453)</f>
        <v/>
      </c>
      <c r="B453" s="31" t="str">
        <f>IF('1.1 Produksi Bersih Padi 2025'!B453="","",'1.1 Produksi Bersih Padi 2025'!B453)</f>
        <v/>
      </c>
      <c r="C453" s="31" t="str">
        <f>IF('1.1 Produksi Bersih Padi 2025'!C453="","",'1.1 Produksi Bersih Padi 2025'!C453)</f>
        <v/>
      </c>
      <c r="D453" s="1" t="str">
        <f>IF('1.1 Produksi Bersih Padi 2025'!D453="","",'1.1 Produksi Bersih Padi 2025'!D453)</f>
        <v/>
      </c>
      <c r="E453" s="1" t="str">
        <f>IF('1.1 Produksi Bersih Padi 2025'!E453="","",'1.1 Produksi Bersih Padi 2025'!E453)</f>
        <v/>
      </c>
      <c r="F453" s="28" t="str">
        <f>IF(D453="","",VLOOKUP(D453,'[1]0.1 Produksi Pangan &amp; Penduduk'!$D$5:$AQ$860,40,0))</f>
        <v/>
      </c>
      <c r="G453" s="29" t="str">
        <f t="shared" si="30"/>
        <v/>
      </c>
      <c r="H453" s="29" t="str">
        <f t="shared" si="31"/>
        <v/>
      </c>
      <c r="I453" s="29" t="str">
        <f t="shared" si="32"/>
        <v/>
      </c>
      <c r="J453" s="29" t="str">
        <f t="shared" si="33"/>
        <v/>
      </c>
      <c r="K453" s="29" t="str">
        <f t="shared" si="34"/>
        <v/>
      </c>
    </row>
    <row r="454" spans="1:11" ht="15" x14ac:dyDescent="0.25">
      <c r="A454" s="1" t="str">
        <f>IF('1.1 Produksi Bersih Padi 2025'!A454="","",'1.1 Produksi Bersih Padi 2025'!A454)</f>
        <v/>
      </c>
      <c r="B454" s="31" t="str">
        <f>IF('1.1 Produksi Bersih Padi 2025'!B454="","",'1.1 Produksi Bersih Padi 2025'!B454)</f>
        <v/>
      </c>
      <c r="C454" s="31" t="str">
        <f>IF('1.1 Produksi Bersih Padi 2025'!C454="","",'1.1 Produksi Bersih Padi 2025'!C454)</f>
        <v/>
      </c>
      <c r="D454" s="1" t="str">
        <f>IF('1.1 Produksi Bersih Padi 2025'!D454="","",'1.1 Produksi Bersih Padi 2025'!D454)</f>
        <v/>
      </c>
      <c r="E454" s="1" t="str">
        <f>IF('1.1 Produksi Bersih Padi 2025'!E454="","",'1.1 Produksi Bersih Padi 2025'!E454)</f>
        <v/>
      </c>
      <c r="F454" s="28" t="str">
        <f>IF(D454="","",VLOOKUP(D454,'[1]0.1 Produksi Pangan &amp; Penduduk'!$D$5:$AQ$860,40,0))</f>
        <v/>
      </c>
      <c r="G454" s="29" t="str">
        <f t="shared" ref="G454:G517" si="35">IF(F454="","",F454*0%)</f>
        <v/>
      </c>
      <c r="H454" s="29" t="str">
        <f t="shared" ref="H454:H517" si="36">IF(F454="","",F454*0%)</f>
        <v/>
      </c>
      <c r="I454" s="29" t="str">
        <f t="shared" ref="I454:I517" si="37">IF(F454="","",F454*1.11%)</f>
        <v/>
      </c>
      <c r="J454" s="29" t="str">
        <f t="shared" ref="J454:J517" si="38">IF(F454="","",F454-(G454+H454+I454))</f>
        <v/>
      </c>
      <c r="K454" s="29" t="str">
        <f t="shared" ref="K454:K517" si="39">IF(J454="","",J454*0.134)</f>
        <v/>
      </c>
    </row>
    <row r="455" spans="1:11" ht="15" x14ac:dyDescent="0.25">
      <c r="A455" s="1" t="str">
        <f>IF('1.1 Produksi Bersih Padi 2025'!A455="","",'1.1 Produksi Bersih Padi 2025'!A455)</f>
        <v/>
      </c>
      <c r="B455" s="31" t="str">
        <f>IF('1.1 Produksi Bersih Padi 2025'!B455="","",'1.1 Produksi Bersih Padi 2025'!B455)</f>
        <v/>
      </c>
      <c r="C455" s="31" t="str">
        <f>IF('1.1 Produksi Bersih Padi 2025'!C455="","",'1.1 Produksi Bersih Padi 2025'!C455)</f>
        <v/>
      </c>
      <c r="D455" s="1" t="str">
        <f>IF('1.1 Produksi Bersih Padi 2025'!D455="","",'1.1 Produksi Bersih Padi 2025'!D455)</f>
        <v/>
      </c>
      <c r="E455" s="1" t="str">
        <f>IF('1.1 Produksi Bersih Padi 2025'!E455="","",'1.1 Produksi Bersih Padi 2025'!E455)</f>
        <v/>
      </c>
      <c r="F455" s="28" t="str">
        <f>IF(D455="","",VLOOKUP(D455,'[1]0.1 Produksi Pangan &amp; Penduduk'!$D$5:$AQ$860,40,0))</f>
        <v/>
      </c>
      <c r="G455" s="29" t="str">
        <f t="shared" si="35"/>
        <v/>
      </c>
      <c r="H455" s="29" t="str">
        <f t="shared" si="36"/>
        <v/>
      </c>
      <c r="I455" s="29" t="str">
        <f t="shared" si="37"/>
        <v/>
      </c>
      <c r="J455" s="29" t="str">
        <f t="shared" si="38"/>
        <v/>
      </c>
      <c r="K455" s="29" t="str">
        <f t="shared" si="39"/>
        <v/>
      </c>
    </row>
    <row r="456" spans="1:11" ht="15" x14ac:dyDescent="0.25">
      <c r="A456" s="1" t="str">
        <f>IF('1.1 Produksi Bersih Padi 2025'!A456="","",'1.1 Produksi Bersih Padi 2025'!A456)</f>
        <v/>
      </c>
      <c r="B456" s="31" t="str">
        <f>IF('1.1 Produksi Bersih Padi 2025'!B456="","",'1.1 Produksi Bersih Padi 2025'!B456)</f>
        <v/>
      </c>
      <c r="C456" s="31" t="str">
        <f>IF('1.1 Produksi Bersih Padi 2025'!C456="","",'1.1 Produksi Bersih Padi 2025'!C456)</f>
        <v/>
      </c>
      <c r="D456" s="1" t="str">
        <f>IF('1.1 Produksi Bersih Padi 2025'!D456="","",'1.1 Produksi Bersih Padi 2025'!D456)</f>
        <v/>
      </c>
      <c r="E456" s="1" t="str">
        <f>IF('1.1 Produksi Bersih Padi 2025'!E456="","",'1.1 Produksi Bersih Padi 2025'!E456)</f>
        <v/>
      </c>
      <c r="F456" s="28" t="str">
        <f>IF(D456="","",VLOOKUP(D456,'[1]0.1 Produksi Pangan &amp; Penduduk'!$D$5:$AQ$860,40,0))</f>
        <v/>
      </c>
      <c r="G456" s="29" t="str">
        <f t="shared" si="35"/>
        <v/>
      </c>
      <c r="H456" s="29" t="str">
        <f t="shared" si="36"/>
        <v/>
      </c>
      <c r="I456" s="29" t="str">
        <f t="shared" si="37"/>
        <v/>
      </c>
      <c r="J456" s="29" t="str">
        <f t="shared" si="38"/>
        <v/>
      </c>
      <c r="K456" s="29" t="str">
        <f t="shared" si="39"/>
        <v/>
      </c>
    </row>
    <row r="457" spans="1:11" ht="15" x14ac:dyDescent="0.25">
      <c r="A457" s="1" t="str">
        <f>IF('1.1 Produksi Bersih Padi 2025'!A457="","",'1.1 Produksi Bersih Padi 2025'!A457)</f>
        <v/>
      </c>
      <c r="B457" s="31" t="str">
        <f>IF('1.1 Produksi Bersih Padi 2025'!B457="","",'1.1 Produksi Bersih Padi 2025'!B457)</f>
        <v/>
      </c>
      <c r="C457" s="31" t="str">
        <f>IF('1.1 Produksi Bersih Padi 2025'!C457="","",'1.1 Produksi Bersih Padi 2025'!C457)</f>
        <v/>
      </c>
      <c r="D457" s="1" t="str">
        <f>IF('1.1 Produksi Bersih Padi 2025'!D457="","",'1.1 Produksi Bersih Padi 2025'!D457)</f>
        <v/>
      </c>
      <c r="E457" s="1" t="str">
        <f>IF('1.1 Produksi Bersih Padi 2025'!E457="","",'1.1 Produksi Bersih Padi 2025'!E457)</f>
        <v/>
      </c>
      <c r="F457" s="28" t="str">
        <f>IF(D457="","",VLOOKUP(D457,'[1]0.1 Produksi Pangan &amp; Penduduk'!$D$5:$AQ$860,40,0))</f>
        <v/>
      </c>
      <c r="G457" s="29" t="str">
        <f t="shared" si="35"/>
        <v/>
      </c>
      <c r="H457" s="29" t="str">
        <f t="shared" si="36"/>
        <v/>
      </c>
      <c r="I457" s="29" t="str">
        <f t="shared" si="37"/>
        <v/>
      </c>
      <c r="J457" s="29" t="str">
        <f t="shared" si="38"/>
        <v/>
      </c>
      <c r="K457" s="29" t="str">
        <f t="shared" si="39"/>
        <v/>
      </c>
    </row>
    <row r="458" spans="1:11" ht="15" x14ac:dyDescent="0.25">
      <c r="A458" s="1" t="str">
        <f>IF('1.1 Produksi Bersih Padi 2025'!A458="","",'1.1 Produksi Bersih Padi 2025'!A458)</f>
        <v/>
      </c>
      <c r="B458" s="31" t="str">
        <f>IF('1.1 Produksi Bersih Padi 2025'!B458="","",'1.1 Produksi Bersih Padi 2025'!B458)</f>
        <v/>
      </c>
      <c r="C458" s="31" t="str">
        <f>IF('1.1 Produksi Bersih Padi 2025'!C458="","",'1.1 Produksi Bersih Padi 2025'!C458)</f>
        <v/>
      </c>
      <c r="D458" s="1" t="str">
        <f>IF('1.1 Produksi Bersih Padi 2025'!D458="","",'1.1 Produksi Bersih Padi 2025'!D458)</f>
        <v/>
      </c>
      <c r="E458" s="1" t="str">
        <f>IF('1.1 Produksi Bersih Padi 2025'!E458="","",'1.1 Produksi Bersih Padi 2025'!E458)</f>
        <v/>
      </c>
      <c r="F458" s="28" t="str">
        <f>IF(D458="","",VLOOKUP(D458,'[1]0.1 Produksi Pangan &amp; Penduduk'!$D$5:$AQ$860,40,0))</f>
        <v/>
      </c>
      <c r="G458" s="29" t="str">
        <f t="shared" si="35"/>
        <v/>
      </c>
      <c r="H458" s="29" t="str">
        <f t="shared" si="36"/>
        <v/>
      </c>
      <c r="I458" s="29" t="str">
        <f t="shared" si="37"/>
        <v/>
      </c>
      <c r="J458" s="29" t="str">
        <f t="shared" si="38"/>
        <v/>
      </c>
      <c r="K458" s="29" t="str">
        <f t="shared" si="39"/>
        <v/>
      </c>
    </row>
    <row r="459" spans="1:11" ht="15" x14ac:dyDescent="0.25">
      <c r="A459" s="1" t="str">
        <f>IF('1.1 Produksi Bersih Padi 2025'!A459="","",'1.1 Produksi Bersih Padi 2025'!A459)</f>
        <v/>
      </c>
      <c r="B459" s="31" t="str">
        <f>IF('1.1 Produksi Bersih Padi 2025'!B459="","",'1.1 Produksi Bersih Padi 2025'!B459)</f>
        <v/>
      </c>
      <c r="C459" s="31" t="str">
        <f>IF('1.1 Produksi Bersih Padi 2025'!C459="","",'1.1 Produksi Bersih Padi 2025'!C459)</f>
        <v/>
      </c>
      <c r="D459" s="1" t="str">
        <f>IF('1.1 Produksi Bersih Padi 2025'!D459="","",'1.1 Produksi Bersih Padi 2025'!D459)</f>
        <v/>
      </c>
      <c r="E459" s="1" t="str">
        <f>IF('1.1 Produksi Bersih Padi 2025'!E459="","",'1.1 Produksi Bersih Padi 2025'!E459)</f>
        <v/>
      </c>
      <c r="F459" s="28" t="str">
        <f>IF(D459="","",VLOOKUP(D459,'[1]0.1 Produksi Pangan &amp; Penduduk'!$D$5:$AQ$860,40,0))</f>
        <v/>
      </c>
      <c r="G459" s="29" t="str">
        <f t="shared" si="35"/>
        <v/>
      </c>
      <c r="H459" s="29" t="str">
        <f t="shared" si="36"/>
        <v/>
      </c>
      <c r="I459" s="29" t="str">
        <f t="shared" si="37"/>
        <v/>
      </c>
      <c r="J459" s="29" t="str">
        <f t="shared" si="38"/>
        <v/>
      </c>
      <c r="K459" s="29" t="str">
        <f t="shared" si="39"/>
        <v/>
      </c>
    </row>
    <row r="460" spans="1:11" ht="15" x14ac:dyDescent="0.25">
      <c r="A460" s="1" t="str">
        <f>IF('1.1 Produksi Bersih Padi 2025'!A460="","",'1.1 Produksi Bersih Padi 2025'!A460)</f>
        <v/>
      </c>
      <c r="B460" s="31" t="str">
        <f>IF('1.1 Produksi Bersih Padi 2025'!B460="","",'1.1 Produksi Bersih Padi 2025'!B460)</f>
        <v/>
      </c>
      <c r="C460" s="31" t="str">
        <f>IF('1.1 Produksi Bersih Padi 2025'!C460="","",'1.1 Produksi Bersih Padi 2025'!C460)</f>
        <v/>
      </c>
      <c r="D460" s="1" t="str">
        <f>IF('1.1 Produksi Bersih Padi 2025'!D460="","",'1.1 Produksi Bersih Padi 2025'!D460)</f>
        <v/>
      </c>
      <c r="E460" s="1" t="str">
        <f>IF('1.1 Produksi Bersih Padi 2025'!E460="","",'1.1 Produksi Bersih Padi 2025'!E460)</f>
        <v/>
      </c>
      <c r="F460" s="28" t="str">
        <f>IF(D460="","",VLOOKUP(D460,'[1]0.1 Produksi Pangan &amp; Penduduk'!$D$5:$AQ$860,40,0))</f>
        <v/>
      </c>
      <c r="G460" s="29" t="str">
        <f t="shared" si="35"/>
        <v/>
      </c>
      <c r="H460" s="29" t="str">
        <f t="shared" si="36"/>
        <v/>
      </c>
      <c r="I460" s="29" t="str">
        <f t="shared" si="37"/>
        <v/>
      </c>
      <c r="J460" s="29" t="str">
        <f t="shared" si="38"/>
        <v/>
      </c>
      <c r="K460" s="29" t="str">
        <f t="shared" si="39"/>
        <v/>
      </c>
    </row>
    <row r="461" spans="1:11" ht="15" x14ac:dyDescent="0.25">
      <c r="A461" s="1" t="str">
        <f>IF('1.1 Produksi Bersih Padi 2025'!A461="","",'1.1 Produksi Bersih Padi 2025'!A461)</f>
        <v/>
      </c>
      <c r="B461" s="31" t="str">
        <f>IF('1.1 Produksi Bersih Padi 2025'!B461="","",'1.1 Produksi Bersih Padi 2025'!B461)</f>
        <v/>
      </c>
      <c r="C461" s="31" t="str">
        <f>IF('1.1 Produksi Bersih Padi 2025'!C461="","",'1.1 Produksi Bersih Padi 2025'!C461)</f>
        <v/>
      </c>
      <c r="D461" s="1" t="str">
        <f>IF('1.1 Produksi Bersih Padi 2025'!D461="","",'1.1 Produksi Bersih Padi 2025'!D461)</f>
        <v/>
      </c>
      <c r="E461" s="1" t="str">
        <f>IF('1.1 Produksi Bersih Padi 2025'!E461="","",'1.1 Produksi Bersih Padi 2025'!E461)</f>
        <v/>
      </c>
      <c r="F461" s="28" t="str">
        <f>IF(D461="","",VLOOKUP(D461,'[1]0.1 Produksi Pangan &amp; Penduduk'!$D$5:$AQ$860,40,0))</f>
        <v/>
      </c>
      <c r="G461" s="29" t="str">
        <f t="shared" si="35"/>
        <v/>
      </c>
      <c r="H461" s="29" t="str">
        <f t="shared" si="36"/>
        <v/>
      </c>
      <c r="I461" s="29" t="str">
        <f t="shared" si="37"/>
        <v/>
      </c>
      <c r="J461" s="29" t="str">
        <f t="shared" si="38"/>
        <v/>
      </c>
      <c r="K461" s="29" t="str">
        <f t="shared" si="39"/>
        <v/>
      </c>
    </row>
    <row r="462" spans="1:11" ht="15" x14ac:dyDescent="0.25">
      <c r="A462" s="1" t="str">
        <f>IF('1.1 Produksi Bersih Padi 2025'!A462="","",'1.1 Produksi Bersih Padi 2025'!A462)</f>
        <v/>
      </c>
      <c r="B462" s="31" t="str">
        <f>IF('1.1 Produksi Bersih Padi 2025'!B462="","",'1.1 Produksi Bersih Padi 2025'!B462)</f>
        <v/>
      </c>
      <c r="C462" s="31" t="str">
        <f>IF('1.1 Produksi Bersih Padi 2025'!C462="","",'1.1 Produksi Bersih Padi 2025'!C462)</f>
        <v/>
      </c>
      <c r="D462" s="1" t="str">
        <f>IF('1.1 Produksi Bersih Padi 2025'!D462="","",'1.1 Produksi Bersih Padi 2025'!D462)</f>
        <v/>
      </c>
      <c r="E462" s="1" t="str">
        <f>IF('1.1 Produksi Bersih Padi 2025'!E462="","",'1.1 Produksi Bersih Padi 2025'!E462)</f>
        <v/>
      </c>
      <c r="F462" s="28" t="str">
        <f>IF(D462="","",VLOOKUP(D462,'[1]0.1 Produksi Pangan &amp; Penduduk'!$D$5:$AQ$860,40,0))</f>
        <v/>
      </c>
      <c r="G462" s="29" t="str">
        <f t="shared" si="35"/>
        <v/>
      </c>
      <c r="H462" s="29" t="str">
        <f t="shared" si="36"/>
        <v/>
      </c>
      <c r="I462" s="29" t="str">
        <f t="shared" si="37"/>
        <v/>
      </c>
      <c r="J462" s="29" t="str">
        <f t="shared" si="38"/>
        <v/>
      </c>
      <c r="K462" s="29" t="str">
        <f t="shared" si="39"/>
        <v/>
      </c>
    </row>
    <row r="463" spans="1:11" ht="15" x14ac:dyDescent="0.25">
      <c r="A463" s="1" t="str">
        <f>IF('1.1 Produksi Bersih Padi 2025'!A463="","",'1.1 Produksi Bersih Padi 2025'!A463)</f>
        <v/>
      </c>
      <c r="B463" s="31" t="str">
        <f>IF('1.1 Produksi Bersih Padi 2025'!B463="","",'1.1 Produksi Bersih Padi 2025'!B463)</f>
        <v/>
      </c>
      <c r="C463" s="31" t="str">
        <f>IF('1.1 Produksi Bersih Padi 2025'!C463="","",'1.1 Produksi Bersih Padi 2025'!C463)</f>
        <v/>
      </c>
      <c r="D463" s="1" t="str">
        <f>IF('1.1 Produksi Bersih Padi 2025'!D463="","",'1.1 Produksi Bersih Padi 2025'!D463)</f>
        <v/>
      </c>
      <c r="E463" s="1" t="str">
        <f>IF('1.1 Produksi Bersih Padi 2025'!E463="","",'1.1 Produksi Bersih Padi 2025'!E463)</f>
        <v/>
      </c>
      <c r="F463" s="28" t="str">
        <f>IF(D463="","",VLOOKUP(D463,'[1]0.1 Produksi Pangan &amp; Penduduk'!$D$5:$AQ$860,40,0))</f>
        <v/>
      </c>
      <c r="G463" s="29" t="str">
        <f t="shared" si="35"/>
        <v/>
      </c>
      <c r="H463" s="29" t="str">
        <f t="shared" si="36"/>
        <v/>
      </c>
      <c r="I463" s="29" t="str">
        <f t="shared" si="37"/>
        <v/>
      </c>
      <c r="J463" s="29" t="str">
        <f t="shared" si="38"/>
        <v/>
      </c>
      <c r="K463" s="29" t="str">
        <f t="shared" si="39"/>
        <v/>
      </c>
    </row>
    <row r="464" spans="1:11" ht="15" x14ac:dyDescent="0.25">
      <c r="A464" s="1" t="str">
        <f>IF('1.1 Produksi Bersih Padi 2025'!A464="","",'1.1 Produksi Bersih Padi 2025'!A464)</f>
        <v/>
      </c>
      <c r="B464" s="31" t="str">
        <f>IF('1.1 Produksi Bersih Padi 2025'!B464="","",'1.1 Produksi Bersih Padi 2025'!B464)</f>
        <v/>
      </c>
      <c r="C464" s="31" t="str">
        <f>IF('1.1 Produksi Bersih Padi 2025'!C464="","",'1.1 Produksi Bersih Padi 2025'!C464)</f>
        <v/>
      </c>
      <c r="D464" s="1" t="str">
        <f>IF('1.1 Produksi Bersih Padi 2025'!D464="","",'1.1 Produksi Bersih Padi 2025'!D464)</f>
        <v/>
      </c>
      <c r="E464" s="1" t="str">
        <f>IF('1.1 Produksi Bersih Padi 2025'!E464="","",'1.1 Produksi Bersih Padi 2025'!E464)</f>
        <v/>
      </c>
      <c r="F464" s="28" t="str">
        <f>IF(D464="","",VLOOKUP(D464,'[1]0.1 Produksi Pangan &amp; Penduduk'!$D$5:$AQ$860,40,0))</f>
        <v/>
      </c>
      <c r="G464" s="29" t="str">
        <f t="shared" si="35"/>
        <v/>
      </c>
      <c r="H464" s="29" t="str">
        <f t="shared" si="36"/>
        <v/>
      </c>
      <c r="I464" s="29" t="str">
        <f t="shared" si="37"/>
        <v/>
      </c>
      <c r="J464" s="29" t="str">
        <f t="shared" si="38"/>
        <v/>
      </c>
      <c r="K464" s="29" t="str">
        <f t="shared" si="39"/>
        <v/>
      </c>
    </row>
    <row r="465" spans="1:11" ht="15" x14ac:dyDescent="0.25">
      <c r="A465" s="1" t="str">
        <f>IF('1.1 Produksi Bersih Padi 2025'!A465="","",'1.1 Produksi Bersih Padi 2025'!A465)</f>
        <v/>
      </c>
      <c r="B465" s="31" t="str">
        <f>IF('1.1 Produksi Bersih Padi 2025'!B465="","",'1.1 Produksi Bersih Padi 2025'!B465)</f>
        <v/>
      </c>
      <c r="C465" s="31" t="str">
        <f>IF('1.1 Produksi Bersih Padi 2025'!C465="","",'1.1 Produksi Bersih Padi 2025'!C465)</f>
        <v/>
      </c>
      <c r="D465" s="1" t="str">
        <f>IF('1.1 Produksi Bersih Padi 2025'!D465="","",'1.1 Produksi Bersih Padi 2025'!D465)</f>
        <v/>
      </c>
      <c r="E465" s="1" t="str">
        <f>IF('1.1 Produksi Bersih Padi 2025'!E465="","",'1.1 Produksi Bersih Padi 2025'!E465)</f>
        <v/>
      </c>
      <c r="F465" s="28" t="str">
        <f>IF(D465="","",VLOOKUP(D465,'[1]0.1 Produksi Pangan &amp; Penduduk'!$D$5:$AQ$860,40,0))</f>
        <v/>
      </c>
      <c r="G465" s="29" t="str">
        <f t="shared" si="35"/>
        <v/>
      </c>
      <c r="H465" s="29" t="str">
        <f t="shared" si="36"/>
        <v/>
      </c>
      <c r="I465" s="29" t="str">
        <f t="shared" si="37"/>
        <v/>
      </c>
      <c r="J465" s="29" t="str">
        <f t="shared" si="38"/>
        <v/>
      </c>
      <c r="K465" s="29" t="str">
        <f t="shared" si="39"/>
        <v/>
      </c>
    </row>
    <row r="466" spans="1:11" ht="15" x14ac:dyDescent="0.25">
      <c r="A466" s="1" t="str">
        <f>IF('1.1 Produksi Bersih Padi 2025'!A466="","",'1.1 Produksi Bersih Padi 2025'!A466)</f>
        <v/>
      </c>
      <c r="B466" s="31" t="str">
        <f>IF('1.1 Produksi Bersih Padi 2025'!B466="","",'1.1 Produksi Bersih Padi 2025'!B466)</f>
        <v/>
      </c>
      <c r="C466" s="31" t="str">
        <f>IF('1.1 Produksi Bersih Padi 2025'!C466="","",'1.1 Produksi Bersih Padi 2025'!C466)</f>
        <v/>
      </c>
      <c r="D466" s="1" t="str">
        <f>IF('1.1 Produksi Bersih Padi 2025'!D466="","",'1.1 Produksi Bersih Padi 2025'!D466)</f>
        <v/>
      </c>
      <c r="E466" s="1" t="str">
        <f>IF('1.1 Produksi Bersih Padi 2025'!E466="","",'1.1 Produksi Bersih Padi 2025'!E466)</f>
        <v/>
      </c>
      <c r="F466" s="28" t="str">
        <f>IF(D466="","",VLOOKUP(D466,'[1]0.1 Produksi Pangan &amp; Penduduk'!$D$5:$AQ$860,40,0))</f>
        <v/>
      </c>
      <c r="G466" s="29" t="str">
        <f t="shared" si="35"/>
        <v/>
      </c>
      <c r="H466" s="29" t="str">
        <f t="shared" si="36"/>
        <v/>
      </c>
      <c r="I466" s="29" t="str">
        <f t="shared" si="37"/>
        <v/>
      </c>
      <c r="J466" s="29" t="str">
        <f t="shared" si="38"/>
        <v/>
      </c>
      <c r="K466" s="29" t="str">
        <f t="shared" si="39"/>
        <v/>
      </c>
    </row>
    <row r="467" spans="1:11" ht="15" x14ac:dyDescent="0.25">
      <c r="A467" s="1" t="str">
        <f>IF('1.1 Produksi Bersih Padi 2025'!A467="","",'1.1 Produksi Bersih Padi 2025'!A467)</f>
        <v/>
      </c>
      <c r="B467" s="31" t="str">
        <f>IF('1.1 Produksi Bersih Padi 2025'!B467="","",'1.1 Produksi Bersih Padi 2025'!B467)</f>
        <v/>
      </c>
      <c r="C467" s="31" t="str">
        <f>IF('1.1 Produksi Bersih Padi 2025'!C467="","",'1.1 Produksi Bersih Padi 2025'!C467)</f>
        <v/>
      </c>
      <c r="D467" s="1" t="str">
        <f>IF('1.1 Produksi Bersih Padi 2025'!D467="","",'1.1 Produksi Bersih Padi 2025'!D467)</f>
        <v/>
      </c>
      <c r="E467" s="1" t="str">
        <f>IF('1.1 Produksi Bersih Padi 2025'!E467="","",'1.1 Produksi Bersih Padi 2025'!E467)</f>
        <v/>
      </c>
      <c r="F467" s="28" t="str">
        <f>IF(D467="","",VLOOKUP(D467,'[1]0.1 Produksi Pangan &amp; Penduduk'!$D$5:$AQ$860,40,0))</f>
        <v/>
      </c>
      <c r="G467" s="29" t="str">
        <f t="shared" si="35"/>
        <v/>
      </c>
      <c r="H467" s="29" t="str">
        <f t="shared" si="36"/>
        <v/>
      </c>
      <c r="I467" s="29" t="str">
        <f t="shared" si="37"/>
        <v/>
      </c>
      <c r="J467" s="29" t="str">
        <f t="shared" si="38"/>
        <v/>
      </c>
      <c r="K467" s="29" t="str">
        <f t="shared" si="39"/>
        <v/>
      </c>
    </row>
    <row r="468" spans="1:11" ht="15" x14ac:dyDescent="0.25">
      <c r="A468" s="1" t="str">
        <f>IF('1.1 Produksi Bersih Padi 2025'!A468="","",'1.1 Produksi Bersih Padi 2025'!A468)</f>
        <v/>
      </c>
      <c r="B468" s="31" t="str">
        <f>IF('1.1 Produksi Bersih Padi 2025'!B468="","",'1.1 Produksi Bersih Padi 2025'!B468)</f>
        <v/>
      </c>
      <c r="C468" s="31" t="str">
        <f>IF('1.1 Produksi Bersih Padi 2025'!C468="","",'1.1 Produksi Bersih Padi 2025'!C468)</f>
        <v/>
      </c>
      <c r="D468" s="1" t="str">
        <f>IF('1.1 Produksi Bersih Padi 2025'!D468="","",'1.1 Produksi Bersih Padi 2025'!D468)</f>
        <v/>
      </c>
      <c r="E468" s="1" t="str">
        <f>IF('1.1 Produksi Bersih Padi 2025'!E468="","",'1.1 Produksi Bersih Padi 2025'!E468)</f>
        <v/>
      </c>
      <c r="F468" s="28" t="str">
        <f>IF(D468="","",VLOOKUP(D468,'[1]0.1 Produksi Pangan &amp; Penduduk'!$D$5:$AQ$860,40,0))</f>
        <v/>
      </c>
      <c r="G468" s="29" t="str">
        <f t="shared" si="35"/>
        <v/>
      </c>
      <c r="H468" s="29" t="str">
        <f t="shared" si="36"/>
        <v/>
      </c>
      <c r="I468" s="29" t="str">
        <f t="shared" si="37"/>
        <v/>
      </c>
      <c r="J468" s="29" t="str">
        <f t="shared" si="38"/>
        <v/>
      </c>
      <c r="K468" s="29" t="str">
        <f t="shared" si="39"/>
        <v/>
      </c>
    </row>
    <row r="469" spans="1:11" ht="15" x14ac:dyDescent="0.25">
      <c r="A469" s="1" t="str">
        <f>IF('1.1 Produksi Bersih Padi 2025'!A469="","",'1.1 Produksi Bersih Padi 2025'!A469)</f>
        <v/>
      </c>
      <c r="B469" s="31" t="str">
        <f>IF('1.1 Produksi Bersih Padi 2025'!B469="","",'1.1 Produksi Bersih Padi 2025'!B469)</f>
        <v/>
      </c>
      <c r="C469" s="31" t="str">
        <f>IF('1.1 Produksi Bersih Padi 2025'!C469="","",'1.1 Produksi Bersih Padi 2025'!C469)</f>
        <v/>
      </c>
      <c r="D469" s="1" t="str">
        <f>IF('1.1 Produksi Bersih Padi 2025'!D469="","",'1.1 Produksi Bersih Padi 2025'!D469)</f>
        <v/>
      </c>
      <c r="E469" s="1" t="str">
        <f>IF('1.1 Produksi Bersih Padi 2025'!E469="","",'1.1 Produksi Bersih Padi 2025'!E469)</f>
        <v/>
      </c>
      <c r="F469" s="28" t="str">
        <f>IF(D469="","",VLOOKUP(D469,'[1]0.1 Produksi Pangan &amp; Penduduk'!$D$5:$AQ$860,40,0))</f>
        <v/>
      </c>
      <c r="G469" s="29" t="str">
        <f t="shared" si="35"/>
        <v/>
      </c>
      <c r="H469" s="29" t="str">
        <f t="shared" si="36"/>
        <v/>
      </c>
      <c r="I469" s="29" t="str">
        <f t="shared" si="37"/>
        <v/>
      </c>
      <c r="J469" s="29" t="str">
        <f t="shared" si="38"/>
        <v/>
      </c>
      <c r="K469" s="29" t="str">
        <f t="shared" si="39"/>
        <v/>
      </c>
    </row>
    <row r="470" spans="1:11" ht="15" x14ac:dyDescent="0.25">
      <c r="A470" s="1" t="str">
        <f>IF('1.1 Produksi Bersih Padi 2025'!A470="","",'1.1 Produksi Bersih Padi 2025'!A470)</f>
        <v/>
      </c>
      <c r="B470" s="31" t="str">
        <f>IF('1.1 Produksi Bersih Padi 2025'!B470="","",'1.1 Produksi Bersih Padi 2025'!B470)</f>
        <v/>
      </c>
      <c r="C470" s="31" t="str">
        <f>IF('1.1 Produksi Bersih Padi 2025'!C470="","",'1.1 Produksi Bersih Padi 2025'!C470)</f>
        <v/>
      </c>
      <c r="D470" s="1" t="str">
        <f>IF('1.1 Produksi Bersih Padi 2025'!D470="","",'1.1 Produksi Bersih Padi 2025'!D470)</f>
        <v/>
      </c>
      <c r="E470" s="1" t="str">
        <f>IF('1.1 Produksi Bersih Padi 2025'!E470="","",'1.1 Produksi Bersih Padi 2025'!E470)</f>
        <v/>
      </c>
      <c r="F470" s="28" t="str">
        <f>IF(D470="","",VLOOKUP(D470,'[1]0.1 Produksi Pangan &amp; Penduduk'!$D$5:$AQ$860,40,0))</f>
        <v/>
      </c>
      <c r="G470" s="29" t="str">
        <f t="shared" si="35"/>
        <v/>
      </c>
      <c r="H470" s="29" t="str">
        <f t="shared" si="36"/>
        <v/>
      </c>
      <c r="I470" s="29" t="str">
        <f t="shared" si="37"/>
        <v/>
      </c>
      <c r="J470" s="29" t="str">
        <f t="shared" si="38"/>
        <v/>
      </c>
      <c r="K470" s="29" t="str">
        <f t="shared" si="39"/>
        <v/>
      </c>
    </row>
    <row r="471" spans="1:11" ht="15" x14ac:dyDescent="0.25">
      <c r="A471" s="1" t="str">
        <f>IF('1.1 Produksi Bersih Padi 2025'!A471="","",'1.1 Produksi Bersih Padi 2025'!A471)</f>
        <v/>
      </c>
      <c r="B471" s="31" t="str">
        <f>IF('1.1 Produksi Bersih Padi 2025'!B471="","",'1.1 Produksi Bersih Padi 2025'!B471)</f>
        <v/>
      </c>
      <c r="C471" s="31" t="str">
        <f>IF('1.1 Produksi Bersih Padi 2025'!C471="","",'1.1 Produksi Bersih Padi 2025'!C471)</f>
        <v/>
      </c>
      <c r="D471" s="1" t="str">
        <f>IF('1.1 Produksi Bersih Padi 2025'!D471="","",'1.1 Produksi Bersih Padi 2025'!D471)</f>
        <v/>
      </c>
      <c r="E471" s="1" t="str">
        <f>IF('1.1 Produksi Bersih Padi 2025'!E471="","",'1.1 Produksi Bersih Padi 2025'!E471)</f>
        <v/>
      </c>
      <c r="F471" s="28" t="str">
        <f>IF(D471="","",VLOOKUP(D471,'[1]0.1 Produksi Pangan &amp; Penduduk'!$D$5:$AQ$860,40,0))</f>
        <v/>
      </c>
      <c r="G471" s="29" t="str">
        <f t="shared" si="35"/>
        <v/>
      </c>
      <c r="H471" s="29" t="str">
        <f t="shared" si="36"/>
        <v/>
      </c>
      <c r="I471" s="29" t="str">
        <f t="shared" si="37"/>
        <v/>
      </c>
      <c r="J471" s="29" t="str">
        <f t="shared" si="38"/>
        <v/>
      </c>
      <c r="K471" s="29" t="str">
        <f t="shared" si="39"/>
        <v/>
      </c>
    </row>
    <row r="472" spans="1:11" ht="15" x14ac:dyDescent="0.25">
      <c r="A472" s="1" t="str">
        <f>IF('1.1 Produksi Bersih Padi 2025'!A472="","",'1.1 Produksi Bersih Padi 2025'!A472)</f>
        <v/>
      </c>
      <c r="B472" s="31" t="str">
        <f>IF('1.1 Produksi Bersih Padi 2025'!B472="","",'1.1 Produksi Bersih Padi 2025'!B472)</f>
        <v/>
      </c>
      <c r="C472" s="31" t="str">
        <f>IF('1.1 Produksi Bersih Padi 2025'!C472="","",'1.1 Produksi Bersih Padi 2025'!C472)</f>
        <v/>
      </c>
      <c r="D472" s="1" t="str">
        <f>IF('1.1 Produksi Bersih Padi 2025'!D472="","",'1.1 Produksi Bersih Padi 2025'!D472)</f>
        <v/>
      </c>
      <c r="E472" s="1" t="str">
        <f>IF('1.1 Produksi Bersih Padi 2025'!E472="","",'1.1 Produksi Bersih Padi 2025'!E472)</f>
        <v/>
      </c>
      <c r="F472" s="28" t="str">
        <f>IF(D472="","",VLOOKUP(D472,'[1]0.1 Produksi Pangan &amp; Penduduk'!$D$5:$AQ$860,40,0))</f>
        <v/>
      </c>
      <c r="G472" s="29" t="str">
        <f t="shared" si="35"/>
        <v/>
      </c>
      <c r="H472" s="29" t="str">
        <f t="shared" si="36"/>
        <v/>
      </c>
      <c r="I472" s="29" t="str">
        <f t="shared" si="37"/>
        <v/>
      </c>
      <c r="J472" s="29" t="str">
        <f t="shared" si="38"/>
        <v/>
      </c>
      <c r="K472" s="29" t="str">
        <f t="shared" si="39"/>
        <v/>
      </c>
    </row>
    <row r="473" spans="1:11" ht="15" x14ac:dyDescent="0.25">
      <c r="A473" s="1" t="str">
        <f>IF('1.1 Produksi Bersih Padi 2025'!A473="","",'1.1 Produksi Bersih Padi 2025'!A473)</f>
        <v/>
      </c>
      <c r="B473" s="31" t="str">
        <f>IF('1.1 Produksi Bersih Padi 2025'!B473="","",'1.1 Produksi Bersih Padi 2025'!B473)</f>
        <v/>
      </c>
      <c r="C473" s="31" t="str">
        <f>IF('1.1 Produksi Bersih Padi 2025'!C473="","",'1.1 Produksi Bersih Padi 2025'!C473)</f>
        <v/>
      </c>
      <c r="D473" s="1" t="str">
        <f>IF('1.1 Produksi Bersih Padi 2025'!D473="","",'1.1 Produksi Bersih Padi 2025'!D473)</f>
        <v/>
      </c>
      <c r="E473" s="1" t="str">
        <f>IF('1.1 Produksi Bersih Padi 2025'!E473="","",'1.1 Produksi Bersih Padi 2025'!E473)</f>
        <v/>
      </c>
      <c r="F473" s="28" t="str">
        <f>IF(D473="","",VLOOKUP(D473,'[1]0.1 Produksi Pangan &amp; Penduduk'!$D$5:$AQ$860,40,0))</f>
        <v/>
      </c>
      <c r="G473" s="29" t="str">
        <f t="shared" si="35"/>
        <v/>
      </c>
      <c r="H473" s="29" t="str">
        <f t="shared" si="36"/>
        <v/>
      </c>
      <c r="I473" s="29" t="str">
        <f t="shared" si="37"/>
        <v/>
      </c>
      <c r="J473" s="29" t="str">
        <f t="shared" si="38"/>
        <v/>
      </c>
      <c r="K473" s="29" t="str">
        <f t="shared" si="39"/>
        <v/>
      </c>
    </row>
    <row r="474" spans="1:11" ht="15" x14ac:dyDescent="0.25">
      <c r="A474" s="1" t="str">
        <f>IF('1.1 Produksi Bersih Padi 2025'!A474="","",'1.1 Produksi Bersih Padi 2025'!A474)</f>
        <v/>
      </c>
      <c r="B474" s="31" t="str">
        <f>IF('1.1 Produksi Bersih Padi 2025'!B474="","",'1.1 Produksi Bersih Padi 2025'!B474)</f>
        <v/>
      </c>
      <c r="C474" s="31" t="str">
        <f>IF('1.1 Produksi Bersih Padi 2025'!C474="","",'1.1 Produksi Bersih Padi 2025'!C474)</f>
        <v/>
      </c>
      <c r="D474" s="1" t="str">
        <f>IF('1.1 Produksi Bersih Padi 2025'!D474="","",'1.1 Produksi Bersih Padi 2025'!D474)</f>
        <v/>
      </c>
      <c r="E474" s="1" t="str">
        <f>IF('1.1 Produksi Bersih Padi 2025'!E474="","",'1.1 Produksi Bersih Padi 2025'!E474)</f>
        <v/>
      </c>
      <c r="F474" s="28" t="str">
        <f>IF(D474="","",VLOOKUP(D474,'[1]0.1 Produksi Pangan &amp; Penduduk'!$D$5:$AQ$860,40,0))</f>
        <v/>
      </c>
      <c r="G474" s="29" t="str">
        <f t="shared" si="35"/>
        <v/>
      </c>
      <c r="H474" s="29" t="str">
        <f t="shared" si="36"/>
        <v/>
      </c>
      <c r="I474" s="29" t="str">
        <f t="shared" si="37"/>
        <v/>
      </c>
      <c r="J474" s="29" t="str">
        <f t="shared" si="38"/>
        <v/>
      </c>
      <c r="K474" s="29" t="str">
        <f t="shared" si="39"/>
        <v/>
      </c>
    </row>
    <row r="475" spans="1:11" ht="15" x14ac:dyDescent="0.25">
      <c r="A475" s="1" t="str">
        <f>IF('1.1 Produksi Bersih Padi 2025'!A475="","",'1.1 Produksi Bersih Padi 2025'!A475)</f>
        <v/>
      </c>
      <c r="B475" s="31" t="str">
        <f>IF('1.1 Produksi Bersih Padi 2025'!B475="","",'1.1 Produksi Bersih Padi 2025'!B475)</f>
        <v/>
      </c>
      <c r="C475" s="31" t="str">
        <f>IF('1.1 Produksi Bersih Padi 2025'!C475="","",'1.1 Produksi Bersih Padi 2025'!C475)</f>
        <v/>
      </c>
      <c r="D475" s="1" t="str">
        <f>IF('1.1 Produksi Bersih Padi 2025'!D475="","",'1.1 Produksi Bersih Padi 2025'!D475)</f>
        <v/>
      </c>
      <c r="E475" s="1" t="str">
        <f>IF('1.1 Produksi Bersih Padi 2025'!E475="","",'1.1 Produksi Bersih Padi 2025'!E475)</f>
        <v/>
      </c>
      <c r="F475" s="28" t="str">
        <f>IF(D475="","",VLOOKUP(D475,'[1]0.1 Produksi Pangan &amp; Penduduk'!$D$5:$AQ$860,40,0))</f>
        <v/>
      </c>
      <c r="G475" s="29" t="str">
        <f t="shared" si="35"/>
        <v/>
      </c>
      <c r="H475" s="29" t="str">
        <f t="shared" si="36"/>
        <v/>
      </c>
      <c r="I475" s="29" t="str">
        <f t="shared" si="37"/>
        <v/>
      </c>
      <c r="J475" s="29" t="str">
        <f t="shared" si="38"/>
        <v/>
      </c>
      <c r="K475" s="29" t="str">
        <f t="shared" si="39"/>
        <v/>
      </c>
    </row>
    <row r="476" spans="1:11" ht="15" x14ac:dyDescent="0.25">
      <c r="A476" s="1" t="str">
        <f>IF('1.1 Produksi Bersih Padi 2025'!A476="","",'1.1 Produksi Bersih Padi 2025'!A476)</f>
        <v/>
      </c>
      <c r="B476" s="31" t="str">
        <f>IF('1.1 Produksi Bersih Padi 2025'!B476="","",'1.1 Produksi Bersih Padi 2025'!B476)</f>
        <v/>
      </c>
      <c r="C476" s="31" t="str">
        <f>IF('1.1 Produksi Bersih Padi 2025'!C476="","",'1.1 Produksi Bersih Padi 2025'!C476)</f>
        <v/>
      </c>
      <c r="D476" s="1" t="str">
        <f>IF('1.1 Produksi Bersih Padi 2025'!D476="","",'1.1 Produksi Bersih Padi 2025'!D476)</f>
        <v/>
      </c>
      <c r="E476" s="1" t="str">
        <f>IF('1.1 Produksi Bersih Padi 2025'!E476="","",'1.1 Produksi Bersih Padi 2025'!E476)</f>
        <v/>
      </c>
      <c r="F476" s="28" t="str">
        <f>IF(D476="","",VLOOKUP(D476,'[1]0.1 Produksi Pangan &amp; Penduduk'!$D$5:$AQ$860,40,0))</f>
        <v/>
      </c>
      <c r="G476" s="29" t="str">
        <f t="shared" si="35"/>
        <v/>
      </c>
      <c r="H476" s="29" t="str">
        <f t="shared" si="36"/>
        <v/>
      </c>
      <c r="I476" s="29" t="str">
        <f t="shared" si="37"/>
        <v/>
      </c>
      <c r="J476" s="29" t="str">
        <f t="shared" si="38"/>
        <v/>
      </c>
      <c r="K476" s="29" t="str">
        <f t="shared" si="39"/>
        <v/>
      </c>
    </row>
    <row r="477" spans="1:11" ht="15" x14ac:dyDescent="0.25">
      <c r="A477" s="1" t="str">
        <f>IF('1.1 Produksi Bersih Padi 2025'!A477="","",'1.1 Produksi Bersih Padi 2025'!A477)</f>
        <v/>
      </c>
      <c r="B477" s="31" t="str">
        <f>IF('1.1 Produksi Bersih Padi 2025'!B477="","",'1.1 Produksi Bersih Padi 2025'!B477)</f>
        <v/>
      </c>
      <c r="C477" s="31" t="str">
        <f>IF('1.1 Produksi Bersih Padi 2025'!C477="","",'1.1 Produksi Bersih Padi 2025'!C477)</f>
        <v/>
      </c>
      <c r="D477" s="1" t="str">
        <f>IF('1.1 Produksi Bersih Padi 2025'!D477="","",'1.1 Produksi Bersih Padi 2025'!D477)</f>
        <v/>
      </c>
      <c r="E477" s="1" t="str">
        <f>IF('1.1 Produksi Bersih Padi 2025'!E477="","",'1.1 Produksi Bersih Padi 2025'!E477)</f>
        <v/>
      </c>
      <c r="F477" s="28" t="str">
        <f>IF(D477="","",VLOOKUP(D477,'[1]0.1 Produksi Pangan &amp; Penduduk'!$D$5:$AQ$860,40,0))</f>
        <v/>
      </c>
      <c r="G477" s="29" t="str">
        <f t="shared" si="35"/>
        <v/>
      </c>
      <c r="H477" s="29" t="str">
        <f t="shared" si="36"/>
        <v/>
      </c>
      <c r="I477" s="29" t="str">
        <f t="shared" si="37"/>
        <v/>
      </c>
      <c r="J477" s="29" t="str">
        <f t="shared" si="38"/>
        <v/>
      </c>
      <c r="K477" s="29" t="str">
        <f t="shared" si="39"/>
        <v/>
      </c>
    </row>
    <row r="478" spans="1:11" ht="15" x14ac:dyDescent="0.25">
      <c r="A478" s="1" t="str">
        <f>IF('1.1 Produksi Bersih Padi 2025'!A478="","",'1.1 Produksi Bersih Padi 2025'!A478)</f>
        <v/>
      </c>
      <c r="B478" s="31" t="str">
        <f>IF('1.1 Produksi Bersih Padi 2025'!B478="","",'1.1 Produksi Bersih Padi 2025'!B478)</f>
        <v/>
      </c>
      <c r="C478" s="31" t="str">
        <f>IF('1.1 Produksi Bersih Padi 2025'!C478="","",'1.1 Produksi Bersih Padi 2025'!C478)</f>
        <v/>
      </c>
      <c r="D478" s="1" t="str">
        <f>IF('1.1 Produksi Bersih Padi 2025'!D478="","",'1.1 Produksi Bersih Padi 2025'!D478)</f>
        <v/>
      </c>
      <c r="E478" s="1" t="str">
        <f>IF('1.1 Produksi Bersih Padi 2025'!E478="","",'1.1 Produksi Bersih Padi 2025'!E478)</f>
        <v/>
      </c>
      <c r="F478" s="28" t="str">
        <f>IF(D478="","",VLOOKUP(D478,'[1]0.1 Produksi Pangan &amp; Penduduk'!$D$5:$AQ$860,40,0))</f>
        <v/>
      </c>
      <c r="G478" s="29" t="str">
        <f t="shared" si="35"/>
        <v/>
      </c>
      <c r="H478" s="29" t="str">
        <f t="shared" si="36"/>
        <v/>
      </c>
      <c r="I478" s="29" t="str">
        <f t="shared" si="37"/>
        <v/>
      </c>
      <c r="J478" s="29" t="str">
        <f t="shared" si="38"/>
        <v/>
      </c>
      <c r="K478" s="29" t="str">
        <f t="shared" si="39"/>
        <v/>
      </c>
    </row>
    <row r="479" spans="1:11" ht="15" x14ac:dyDescent="0.25">
      <c r="A479" s="1" t="str">
        <f>IF('1.1 Produksi Bersih Padi 2025'!A479="","",'1.1 Produksi Bersih Padi 2025'!A479)</f>
        <v/>
      </c>
      <c r="B479" s="31" t="str">
        <f>IF('1.1 Produksi Bersih Padi 2025'!B479="","",'1.1 Produksi Bersih Padi 2025'!B479)</f>
        <v/>
      </c>
      <c r="C479" s="31" t="str">
        <f>IF('1.1 Produksi Bersih Padi 2025'!C479="","",'1.1 Produksi Bersih Padi 2025'!C479)</f>
        <v/>
      </c>
      <c r="D479" s="1" t="str">
        <f>IF('1.1 Produksi Bersih Padi 2025'!D479="","",'1.1 Produksi Bersih Padi 2025'!D479)</f>
        <v/>
      </c>
      <c r="E479" s="1" t="str">
        <f>IF('1.1 Produksi Bersih Padi 2025'!E479="","",'1.1 Produksi Bersih Padi 2025'!E479)</f>
        <v/>
      </c>
      <c r="F479" s="28" t="str">
        <f>IF(D479="","",VLOOKUP(D479,'[1]0.1 Produksi Pangan &amp; Penduduk'!$D$5:$AQ$860,40,0))</f>
        <v/>
      </c>
      <c r="G479" s="29" t="str">
        <f t="shared" si="35"/>
        <v/>
      </c>
      <c r="H479" s="29" t="str">
        <f t="shared" si="36"/>
        <v/>
      </c>
      <c r="I479" s="29" t="str">
        <f t="shared" si="37"/>
        <v/>
      </c>
      <c r="J479" s="29" t="str">
        <f t="shared" si="38"/>
        <v/>
      </c>
      <c r="K479" s="29" t="str">
        <f t="shared" si="39"/>
        <v/>
      </c>
    </row>
    <row r="480" spans="1:11" ht="15" x14ac:dyDescent="0.25">
      <c r="A480" s="1" t="str">
        <f>IF('1.1 Produksi Bersih Padi 2025'!A480="","",'1.1 Produksi Bersih Padi 2025'!A480)</f>
        <v/>
      </c>
      <c r="B480" s="31" t="str">
        <f>IF('1.1 Produksi Bersih Padi 2025'!B480="","",'1.1 Produksi Bersih Padi 2025'!B480)</f>
        <v/>
      </c>
      <c r="C480" s="31" t="str">
        <f>IF('1.1 Produksi Bersih Padi 2025'!C480="","",'1.1 Produksi Bersih Padi 2025'!C480)</f>
        <v/>
      </c>
      <c r="D480" s="1" t="str">
        <f>IF('1.1 Produksi Bersih Padi 2025'!D480="","",'1.1 Produksi Bersih Padi 2025'!D480)</f>
        <v/>
      </c>
      <c r="E480" s="1" t="str">
        <f>IF('1.1 Produksi Bersih Padi 2025'!E480="","",'1.1 Produksi Bersih Padi 2025'!E480)</f>
        <v/>
      </c>
      <c r="F480" s="28" t="str">
        <f>IF(D480="","",VLOOKUP(D480,'[1]0.1 Produksi Pangan &amp; Penduduk'!$D$5:$AQ$860,40,0))</f>
        <v/>
      </c>
      <c r="G480" s="29" t="str">
        <f t="shared" si="35"/>
        <v/>
      </c>
      <c r="H480" s="29" t="str">
        <f t="shared" si="36"/>
        <v/>
      </c>
      <c r="I480" s="29" t="str">
        <f t="shared" si="37"/>
        <v/>
      </c>
      <c r="J480" s="29" t="str">
        <f t="shared" si="38"/>
        <v/>
      </c>
      <c r="K480" s="29" t="str">
        <f t="shared" si="39"/>
        <v/>
      </c>
    </row>
    <row r="481" spans="1:11" ht="15" x14ac:dyDescent="0.25">
      <c r="A481" s="1" t="str">
        <f>IF('1.1 Produksi Bersih Padi 2025'!A481="","",'1.1 Produksi Bersih Padi 2025'!A481)</f>
        <v/>
      </c>
      <c r="B481" s="31" t="str">
        <f>IF('1.1 Produksi Bersih Padi 2025'!B481="","",'1.1 Produksi Bersih Padi 2025'!B481)</f>
        <v/>
      </c>
      <c r="C481" s="31" t="str">
        <f>IF('1.1 Produksi Bersih Padi 2025'!C481="","",'1.1 Produksi Bersih Padi 2025'!C481)</f>
        <v/>
      </c>
      <c r="D481" s="1" t="str">
        <f>IF('1.1 Produksi Bersih Padi 2025'!D481="","",'1.1 Produksi Bersih Padi 2025'!D481)</f>
        <v/>
      </c>
      <c r="E481" s="1" t="str">
        <f>IF('1.1 Produksi Bersih Padi 2025'!E481="","",'1.1 Produksi Bersih Padi 2025'!E481)</f>
        <v/>
      </c>
      <c r="F481" s="28" t="str">
        <f>IF(D481="","",VLOOKUP(D481,'[1]0.1 Produksi Pangan &amp; Penduduk'!$D$5:$AQ$860,40,0))</f>
        <v/>
      </c>
      <c r="G481" s="29" t="str">
        <f t="shared" si="35"/>
        <v/>
      </c>
      <c r="H481" s="29" t="str">
        <f t="shared" si="36"/>
        <v/>
      </c>
      <c r="I481" s="29" t="str">
        <f t="shared" si="37"/>
        <v/>
      </c>
      <c r="J481" s="29" t="str">
        <f t="shared" si="38"/>
        <v/>
      </c>
      <c r="K481" s="29" t="str">
        <f t="shared" si="39"/>
        <v/>
      </c>
    </row>
    <row r="482" spans="1:11" ht="15" x14ac:dyDescent="0.25">
      <c r="A482" s="1" t="str">
        <f>IF('1.1 Produksi Bersih Padi 2025'!A482="","",'1.1 Produksi Bersih Padi 2025'!A482)</f>
        <v/>
      </c>
      <c r="B482" s="31" t="str">
        <f>IF('1.1 Produksi Bersih Padi 2025'!B482="","",'1.1 Produksi Bersih Padi 2025'!B482)</f>
        <v/>
      </c>
      <c r="C482" s="31" t="str">
        <f>IF('1.1 Produksi Bersih Padi 2025'!C482="","",'1.1 Produksi Bersih Padi 2025'!C482)</f>
        <v/>
      </c>
      <c r="D482" s="1" t="str">
        <f>IF('1.1 Produksi Bersih Padi 2025'!D482="","",'1.1 Produksi Bersih Padi 2025'!D482)</f>
        <v/>
      </c>
      <c r="E482" s="1" t="str">
        <f>IF('1.1 Produksi Bersih Padi 2025'!E482="","",'1.1 Produksi Bersih Padi 2025'!E482)</f>
        <v/>
      </c>
      <c r="F482" s="28" t="str">
        <f>IF(D482="","",VLOOKUP(D482,'[1]0.1 Produksi Pangan &amp; Penduduk'!$D$5:$AQ$860,40,0))</f>
        <v/>
      </c>
      <c r="G482" s="29" t="str">
        <f t="shared" si="35"/>
        <v/>
      </c>
      <c r="H482" s="29" t="str">
        <f t="shared" si="36"/>
        <v/>
      </c>
      <c r="I482" s="29" t="str">
        <f t="shared" si="37"/>
        <v/>
      </c>
      <c r="J482" s="29" t="str">
        <f t="shared" si="38"/>
        <v/>
      </c>
      <c r="K482" s="29" t="str">
        <f t="shared" si="39"/>
        <v/>
      </c>
    </row>
    <row r="483" spans="1:11" ht="15" x14ac:dyDescent="0.25">
      <c r="A483" s="1" t="str">
        <f>IF('1.1 Produksi Bersih Padi 2025'!A483="","",'1.1 Produksi Bersih Padi 2025'!A483)</f>
        <v/>
      </c>
      <c r="B483" s="31" t="str">
        <f>IF('1.1 Produksi Bersih Padi 2025'!B483="","",'1.1 Produksi Bersih Padi 2025'!B483)</f>
        <v/>
      </c>
      <c r="C483" s="31" t="str">
        <f>IF('1.1 Produksi Bersih Padi 2025'!C483="","",'1.1 Produksi Bersih Padi 2025'!C483)</f>
        <v/>
      </c>
      <c r="D483" s="1" t="str">
        <f>IF('1.1 Produksi Bersih Padi 2025'!D483="","",'1.1 Produksi Bersih Padi 2025'!D483)</f>
        <v/>
      </c>
      <c r="E483" s="1" t="str">
        <f>IF('1.1 Produksi Bersih Padi 2025'!E483="","",'1.1 Produksi Bersih Padi 2025'!E483)</f>
        <v/>
      </c>
      <c r="F483" s="28" t="str">
        <f>IF(D483="","",VLOOKUP(D483,'[1]0.1 Produksi Pangan &amp; Penduduk'!$D$5:$AQ$860,40,0))</f>
        <v/>
      </c>
      <c r="G483" s="29" t="str">
        <f t="shared" si="35"/>
        <v/>
      </c>
      <c r="H483" s="29" t="str">
        <f t="shared" si="36"/>
        <v/>
      </c>
      <c r="I483" s="29" t="str">
        <f t="shared" si="37"/>
        <v/>
      </c>
      <c r="J483" s="29" t="str">
        <f t="shared" si="38"/>
        <v/>
      </c>
      <c r="K483" s="29" t="str">
        <f t="shared" si="39"/>
        <v/>
      </c>
    </row>
    <row r="484" spans="1:11" ht="15" x14ac:dyDescent="0.25">
      <c r="A484" s="1" t="str">
        <f>IF('1.1 Produksi Bersih Padi 2025'!A484="","",'1.1 Produksi Bersih Padi 2025'!A484)</f>
        <v/>
      </c>
      <c r="B484" s="31" t="str">
        <f>IF('1.1 Produksi Bersih Padi 2025'!B484="","",'1.1 Produksi Bersih Padi 2025'!B484)</f>
        <v/>
      </c>
      <c r="C484" s="31" t="str">
        <f>IF('1.1 Produksi Bersih Padi 2025'!C484="","",'1.1 Produksi Bersih Padi 2025'!C484)</f>
        <v/>
      </c>
      <c r="D484" s="1" t="str">
        <f>IF('1.1 Produksi Bersih Padi 2025'!D484="","",'1.1 Produksi Bersih Padi 2025'!D484)</f>
        <v/>
      </c>
      <c r="E484" s="1" t="str">
        <f>IF('1.1 Produksi Bersih Padi 2025'!E484="","",'1.1 Produksi Bersih Padi 2025'!E484)</f>
        <v/>
      </c>
      <c r="F484" s="28" t="str">
        <f>IF(D484="","",VLOOKUP(D484,'[1]0.1 Produksi Pangan &amp; Penduduk'!$D$5:$AQ$860,40,0))</f>
        <v/>
      </c>
      <c r="G484" s="29" t="str">
        <f t="shared" si="35"/>
        <v/>
      </c>
      <c r="H484" s="29" t="str">
        <f t="shared" si="36"/>
        <v/>
      </c>
      <c r="I484" s="29" t="str">
        <f t="shared" si="37"/>
        <v/>
      </c>
      <c r="J484" s="29" t="str">
        <f t="shared" si="38"/>
        <v/>
      </c>
      <c r="K484" s="29" t="str">
        <f t="shared" si="39"/>
        <v/>
      </c>
    </row>
    <row r="485" spans="1:11" ht="15" x14ac:dyDescent="0.25">
      <c r="A485" s="1" t="str">
        <f>IF('1.1 Produksi Bersih Padi 2025'!A485="","",'1.1 Produksi Bersih Padi 2025'!A485)</f>
        <v/>
      </c>
      <c r="B485" s="31" t="str">
        <f>IF('1.1 Produksi Bersih Padi 2025'!B485="","",'1.1 Produksi Bersih Padi 2025'!B485)</f>
        <v/>
      </c>
      <c r="C485" s="31" t="str">
        <f>IF('1.1 Produksi Bersih Padi 2025'!C485="","",'1.1 Produksi Bersih Padi 2025'!C485)</f>
        <v/>
      </c>
      <c r="D485" s="1" t="str">
        <f>IF('1.1 Produksi Bersih Padi 2025'!D485="","",'1.1 Produksi Bersih Padi 2025'!D485)</f>
        <v/>
      </c>
      <c r="E485" s="1" t="str">
        <f>IF('1.1 Produksi Bersih Padi 2025'!E485="","",'1.1 Produksi Bersih Padi 2025'!E485)</f>
        <v/>
      </c>
      <c r="F485" s="28" t="str">
        <f>IF(D485="","",VLOOKUP(D485,'[1]0.1 Produksi Pangan &amp; Penduduk'!$D$5:$AQ$860,40,0))</f>
        <v/>
      </c>
      <c r="G485" s="29" t="str">
        <f t="shared" si="35"/>
        <v/>
      </c>
      <c r="H485" s="29" t="str">
        <f t="shared" si="36"/>
        <v/>
      </c>
      <c r="I485" s="29" t="str">
        <f t="shared" si="37"/>
        <v/>
      </c>
      <c r="J485" s="29" t="str">
        <f t="shared" si="38"/>
        <v/>
      </c>
      <c r="K485" s="29" t="str">
        <f t="shared" si="39"/>
        <v/>
      </c>
    </row>
    <row r="486" spans="1:11" ht="15" x14ac:dyDescent="0.25">
      <c r="A486" s="1" t="str">
        <f>IF('1.1 Produksi Bersih Padi 2025'!A486="","",'1.1 Produksi Bersih Padi 2025'!A486)</f>
        <v/>
      </c>
      <c r="B486" s="31" t="str">
        <f>IF('1.1 Produksi Bersih Padi 2025'!B486="","",'1.1 Produksi Bersih Padi 2025'!B486)</f>
        <v/>
      </c>
      <c r="C486" s="31" t="str">
        <f>IF('1.1 Produksi Bersih Padi 2025'!C486="","",'1.1 Produksi Bersih Padi 2025'!C486)</f>
        <v/>
      </c>
      <c r="D486" s="1" t="str">
        <f>IF('1.1 Produksi Bersih Padi 2025'!D486="","",'1.1 Produksi Bersih Padi 2025'!D486)</f>
        <v/>
      </c>
      <c r="E486" s="1" t="str">
        <f>IF('1.1 Produksi Bersih Padi 2025'!E486="","",'1.1 Produksi Bersih Padi 2025'!E486)</f>
        <v/>
      </c>
      <c r="F486" s="28" t="str">
        <f>IF(D486="","",VLOOKUP(D486,'[1]0.1 Produksi Pangan &amp; Penduduk'!$D$5:$AQ$860,40,0))</f>
        <v/>
      </c>
      <c r="G486" s="29" t="str">
        <f t="shared" si="35"/>
        <v/>
      </c>
      <c r="H486" s="29" t="str">
        <f t="shared" si="36"/>
        <v/>
      </c>
      <c r="I486" s="29" t="str">
        <f t="shared" si="37"/>
        <v/>
      </c>
      <c r="J486" s="29" t="str">
        <f t="shared" si="38"/>
        <v/>
      </c>
      <c r="K486" s="29" t="str">
        <f t="shared" si="39"/>
        <v/>
      </c>
    </row>
    <row r="487" spans="1:11" ht="15" x14ac:dyDescent="0.25">
      <c r="A487" s="1" t="str">
        <f>IF('1.1 Produksi Bersih Padi 2025'!A487="","",'1.1 Produksi Bersih Padi 2025'!A487)</f>
        <v/>
      </c>
      <c r="B487" s="31" t="str">
        <f>IF('1.1 Produksi Bersih Padi 2025'!B487="","",'1.1 Produksi Bersih Padi 2025'!B487)</f>
        <v/>
      </c>
      <c r="C487" s="31" t="str">
        <f>IF('1.1 Produksi Bersih Padi 2025'!C487="","",'1.1 Produksi Bersih Padi 2025'!C487)</f>
        <v/>
      </c>
      <c r="D487" s="1" t="str">
        <f>IF('1.1 Produksi Bersih Padi 2025'!D487="","",'1.1 Produksi Bersih Padi 2025'!D487)</f>
        <v/>
      </c>
      <c r="E487" s="1" t="str">
        <f>IF('1.1 Produksi Bersih Padi 2025'!E487="","",'1.1 Produksi Bersih Padi 2025'!E487)</f>
        <v/>
      </c>
      <c r="F487" s="28" t="str">
        <f>IF(D487="","",VLOOKUP(D487,'[1]0.1 Produksi Pangan &amp; Penduduk'!$D$5:$AQ$860,40,0))</f>
        <v/>
      </c>
      <c r="G487" s="29" t="str">
        <f t="shared" si="35"/>
        <v/>
      </c>
      <c r="H487" s="29" t="str">
        <f t="shared" si="36"/>
        <v/>
      </c>
      <c r="I487" s="29" t="str">
        <f t="shared" si="37"/>
        <v/>
      </c>
      <c r="J487" s="29" t="str">
        <f t="shared" si="38"/>
        <v/>
      </c>
      <c r="K487" s="29" t="str">
        <f t="shared" si="39"/>
        <v/>
      </c>
    </row>
    <row r="488" spans="1:11" ht="15" x14ac:dyDescent="0.25">
      <c r="A488" s="1" t="str">
        <f>IF('1.1 Produksi Bersih Padi 2025'!A488="","",'1.1 Produksi Bersih Padi 2025'!A488)</f>
        <v/>
      </c>
      <c r="B488" s="31" t="str">
        <f>IF('1.1 Produksi Bersih Padi 2025'!B488="","",'1.1 Produksi Bersih Padi 2025'!B488)</f>
        <v/>
      </c>
      <c r="C488" s="31" t="str">
        <f>IF('1.1 Produksi Bersih Padi 2025'!C488="","",'1.1 Produksi Bersih Padi 2025'!C488)</f>
        <v/>
      </c>
      <c r="D488" s="1" t="str">
        <f>IF('1.1 Produksi Bersih Padi 2025'!D488="","",'1.1 Produksi Bersih Padi 2025'!D488)</f>
        <v/>
      </c>
      <c r="E488" s="1" t="str">
        <f>IF('1.1 Produksi Bersih Padi 2025'!E488="","",'1.1 Produksi Bersih Padi 2025'!E488)</f>
        <v/>
      </c>
      <c r="F488" s="28" t="str">
        <f>IF(D488="","",VLOOKUP(D488,'[1]0.1 Produksi Pangan &amp; Penduduk'!$D$5:$AQ$860,40,0))</f>
        <v/>
      </c>
      <c r="G488" s="29" t="str">
        <f t="shared" si="35"/>
        <v/>
      </c>
      <c r="H488" s="29" t="str">
        <f t="shared" si="36"/>
        <v/>
      </c>
      <c r="I488" s="29" t="str">
        <f t="shared" si="37"/>
        <v/>
      </c>
      <c r="J488" s="29" t="str">
        <f t="shared" si="38"/>
        <v/>
      </c>
      <c r="K488" s="29" t="str">
        <f t="shared" si="39"/>
        <v/>
      </c>
    </row>
    <row r="489" spans="1:11" ht="15" x14ac:dyDescent="0.25">
      <c r="A489" s="1" t="str">
        <f>IF('1.1 Produksi Bersih Padi 2025'!A489="","",'1.1 Produksi Bersih Padi 2025'!A489)</f>
        <v/>
      </c>
      <c r="B489" s="31" t="str">
        <f>IF('1.1 Produksi Bersih Padi 2025'!B489="","",'1.1 Produksi Bersih Padi 2025'!B489)</f>
        <v/>
      </c>
      <c r="C489" s="31" t="str">
        <f>IF('1.1 Produksi Bersih Padi 2025'!C489="","",'1.1 Produksi Bersih Padi 2025'!C489)</f>
        <v/>
      </c>
      <c r="D489" s="1" t="str">
        <f>IF('1.1 Produksi Bersih Padi 2025'!D489="","",'1.1 Produksi Bersih Padi 2025'!D489)</f>
        <v/>
      </c>
      <c r="E489" s="1" t="str">
        <f>IF('1.1 Produksi Bersih Padi 2025'!E489="","",'1.1 Produksi Bersih Padi 2025'!E489)</f>
        <v/>
      </c>
      <c r="F489" s="28" t="str">
        <f>IF(D489="","",VLOOKUP(D489,'[1]0.1 Produksi Pangan &amp; Penduduk'!$D$5:$AQ$860,40,0))</f>
        <v/>
      </c>
      <c r="G489" s="29" t="str">
        <f t="shared" si="35"/>
        <v/>
      </c>
      <c r="H489" s="29" t="str">
        <f t="shared" si="36"/>
        <v/>
      </c>
      <c r="I489" s="29" t="str">
        <f t="shared" si="37"/>
        <v/>
      </c>
      <c r="J489" s="29" t="str">
        <f t="shared" si="38"/>
        <v/>
      </c>
      <c r="K489" s="29" t="str">
        <f t="shared" si="39"/>
        <v/>
      </c>
    </row>
    <row r="490" spans="1:11" ht="15" x14ac:dyDescent="0.25">
      <c r="A490" s="1" t="str">
        <f>IF('1.1 Produksi Bersih Padi 2025'!A490="","",'1.1 Produksi Bersih Padi 2025'!A490)</f>
        <v/>
      </c>
      <c r="B490" s="31" t="str">
        <f>IF('1.1 Produksi Bersih Padi 2025'!B490="","",'1.1 Produksi Bersih Padi 2025'!B490)</f>
        <v/>
      </c>
      <c r="C490" s="31" t="str">
        <f>IF('1.1 Produksi Bersih Padi 2025'!C490="","",'1.1 Produksi Bersih Padi 2025'!C490)</f>
        <v/>
      </c>
      <c r="D490" s="1" t="str">
        <f>IF('1.1 Produksi Bersih Padi 2025'!D490="","",'1.1 Produksi Bersih Padi 2025'!D490)</f>
        <v/>
      </c>
      <c r="E490" s="1" t="str">
        <f>IF('1.1 Produksi Bersih Padi 2025'!E490="","",'1.1 Produksi Bersih Padi 2025'!E490)</f>
        <v/>
      </c>
      <c r="F490" s="28" t="str">
        <f>IF(D490="","",VLOOKUP(D490,'[1]0.1 Produksi Pangan &amp; Penduduk'!$D$5:$AQ$860,40,0))</f>
        <v/>
      </c>
      <c r="G490" s="29" t="str">
        <f t="shared" si="35"/>
        <v/>
      </c>
      <c r="H490" s="29" t="str">
        <f t="shared" si="36"/>
        <v/>
      </c>
      <c r="I490" s="29" t="str">
        <f t="shared" si="37"/>
        <v/>
      </c>
      <c r="J490" s="29" t="str">
        <f t="shared" si="38"/>
        <v/>
      </c>
      <c r="K490" s="29" t="str">
        <f t="shared" si="39"/>
        <v/>
      </c>
    </row>
    <row r="491" spans="1:11" ht="15" x14ac:dyDescent="0.25">
      <c r="A491" s="1" t="str">
        <f>IF('1.1 Produksi Bersih Padi 2025'!A491="","",'1.1 Produksi Bersih Padi 2025'!A491)</f>
        <v/>
      </c>
      <c r="B491" s="31" t="str">
        <f>IF('1.1 Produksi Bersih Padi 2025'!B491="","",'1.1 Produksi Bersih Padi 2025'!B491)</f>
        <v/>
      </c>
      <c r="C491" s="31" t="str">
        <f>IF('1.1 Produksi Bersih Padi 2025'!C491="","",'1.1 Produksi Bersih Padi 2025'!C491)</f>
        <v/>
      </c>
      <c r="D491" s="1" t="str">
        <f>IF('1.1 Produksi Bersih Padi 2025'!D491="","",'1.1 Produksi Bersih Padi 2025'!D491)</f>
        <v/>
      </c>
      <c r="E491" s="1" t="str">
        <f>IF('1.1 Produksi Bersih Padi 2025'!E491="","",'1.1 Produksi Bersih Padi 2025'!E491)</f>
        <v/>
      </c>
      <c r="F491" s="28" t="str">
        <f>IF(D491="","",VLOOKUP(D491,'[1]0.1 Produksi Pangan &amp; Penduduk'!$D$5:$AQ$860,40,0))</f>
        <v/>
      </c>
      <c r="G491" s="29" t="str">
        <f t="shared" si="35"/>
        <v/>
      </c>
      <c r="H491" s="29" t="str">
        <f t="shared" si="36"/>
        <v/>
      </c>
      <c r="I491" s="29" t="str">
        <f t="shared" si="37"/>
        <v/>
      </c>
      <c r="J491" s="29" t="str">
        <f t="shared" si="38"/>
        <v/>
      </c>
      <c r="K491" s="29" t="str">
        <f t="shared" si="39"/>
        <v/>
      </c>
    </row>
    <row r="492" spans="1:11" ht="15" x14ac:dyDescent="0.25">
      <c r="A492" s="1" t="str">
        <f>IF('1.1 Produksi Bersih Padi 2025'!A492="","",'1.1 Produksi Bersih Padi 2025'!A492)</f>
        <v/>
      </c>
      <c r="B492" s="31" t="str">
        <f>IF('1.1 Produksi Bersih Padi 2025'!B492="","",'1.1 Produksi Bersih Padi 2025'!B492)</f>
        <v/>
      </c>
      <c r="C492" s="31" t="str">
        <f>IF('1.1 Produksi Bersih Padi 2025'!C492="","",'1.1 Produksi Bersih Padi 2025'!C492)</f>
        <v/>
      </c>
      <c r="D492" s="1" t="str">
        <f>IF('1.1 Produksi Bersih Padi 2025'!D492="","",'1.1 Produksi Bersih Padi 2025'!D492)</f>
        <v/>
      </c>
      <c r="E492" s="1" t="str">
        <f>IF('1.1 Produksi Bersih Padi 2025'!E492="","",'1.1 Produksi Bersih Padi 2025'!E492)</f>
        <v/>
      </c>
      <c r="F492" s="28" t="str">
        <f>IF(D492="","",VLOOKUP(D492,'[1]0.1 Produksi Pangan &amp; Penduduk'!$D$5:$AQ$860,40,0))</f>
        <v/>
      </c>
      <c r="G492" s="29" t="str">
        <f t="shared" si="35"/>
        <v/>
      </c>
      <c r="H492" s="29" t="str">
        <f t="shared" si="36"/>
        <v/>
      </c>
      <c r="I492" s="29" t="str">
        <f t="shared" si="37"/>
        <v/>
      </c>
      <c r="J492" s="29" t="str">
        <f t="shared" si="38"/>
        <v/>
      </c>
      <c r="K492" s="29" t="str">
        <f t="shared" si="39"/>
        <v/>
      </c>
    </row>
    <row r="493" spans="1:11" ht="15" x14ac:dyDescent="0.25">
      <c r="A493" s="1" t="str">
        <f>IF('1.1 Produksi Bersih Padi 2025'!A493="","",'1.1 Produksi Bersih Padi 2025'!A493)</f>
        <v/>
      </c>
      <c r="B493" s="31" t="str">
        <f>IF('1.1 Produksi Bersih Padi 2025'!B493="","",'1.1 Produksi Bersih Padi 2025'!B493)</f>
        <v/>
      </c>
      <c r="C493" s="31" t="str">
        <f>IF('1.1 Produksi Bersih Padi 2025'!C493="","",'1.1 Produksi Bersih Padi 2025'!C493)</f>
        <v/>
      </c>
      <c r="D493" s="1" t="str">
        <f>IF('1.1 Produksi Bersih Padi 2025'!D493="","",'1.1 Produksi Bersih Padi 2025'!D493)</f>
        <v/>
      </c>
      <c r="E493" s="1" t="str">
        <f>IF('1.1 Produksi Bersih Padi 2025'!E493="","",'1.1 Produksi Bersih Padi 2025'!E493)</f>
        <v/>
      </c>
      <c r="F493" s="28" t="str">
        <f>IF(D493="","",VLOOKUP(D493,'[1]0.1 Produksi Pangan &amp; Penduduk'!$D$5:$AQ$860,40,0))</f>
        <v/>
      </c>
      <c r="G493" s="29" t="str">
        <f t="shared" si="35"/>
        <v/>
      </c>
      <c r="H493" s="29" t="str">
        <f t="shared" si="36"/>
        <v/>
      </c>
      <c r="I493" s="29" t="str">
        <f t="shared" si="37"/>
        <v/>
      </c>
      <c r="J493" s="29" t="str">
        <f t="shared" si="38"/>
        <v/>
      </c>
      <c r="K493" s="29" t="str">
        <f t="shared" si="39"/>
        <v/>
      </c>
    </row>
    <row r="494" spans="1:11" ht="15" x14ac:dyDescent="0.25">
      <c r="A494" s="1" t="str">
        <f>IF('1.1 Produksi Bersih Padi 2025'!A494="","",'1.1 Produksi Bersih Padi 2025'!A494)</f>
        <v/>
      </c>
      <c r="B494" s="31" t="str">
        <f>IF('1.1 Produksi Bersih Padi 2025'!B494="","",'1.1 Produksi Bersih Padi 2025'!B494)</f>
        <v/>
      </c>
      <c r="C494" s="31" t="str">
        <f>IF('1.1 Produksi Bersih Padi 2025'!C494="","",'1.1 Produksi Bersih Padi 2025'!C494)</f>
        <v/>
      </c>
      <c r="D494" s="1" t="str">
        <f>IF('1.1 Produksi Bersih Padi 2025'!D494="","",'1.1 Produksi Bersih Padi 2025'!D494)</f>
        <v/>
      </c>
      <c r="E494" s="1" t="str">
        <f>IF('1.1 Produksi Bersih Padi 2025'!E494="","",'1.1 Produksi Bersih Padi 2025'!E494)</f>
        <v/>
      </c>
      <c r="F494" s="28" t="str">
        <f>IF(D494="","",VLOOKUP(D494,'[1]0.1 Produksi Pangan &amp; Penduduk'!$D$5:$AQ$860,40,0))</f>
        <v/>
      </c>
      <c r="G494" s="29" t="str">
        <f t="shared" si="35"/>
        <v/>
      </c>
      <c r="H494" s="29" t="str">
        <f t="shared" si="36"/>
        <v/>
      </c>
      <c r="I494" s="29" t="str">
        <f t="shared" si="37"/>
        <v/>
      </c>
      <c r="J494" s="29" t="str">
        <f t="shared" si="38"/>
        <v/>
      </c>
      <c r="K494" s="29" t="str">
        <f t="shared" si="39"/>
        <v/>
      </c>
    </row>
    <row r="495" spans="1:11" ht="15" x14ac:dyDescent="0.25">
      <c r="A495" s="1" t="str">
        <f>IF('1.1 Produksi Bersih Padi 2025'!A495="","",'1.1 Produksi Bersih Padi 2025'!A495)</f>
        <v/>
      </c>
      <c r="B495" s="31" t="str">
        <f>IF('1.1 Produksi Bersih Padi 2025'!B495="","",'1.1 Produksi Bersih Padi 2025'!B495)</f>
        <v/>
      </c>
      <c r="C495" s="31" t="str">
        <f>IF('1.1 Produksi Bersih Padi 2025'!C495="","",'1.1 Produksi Bersih Padi 2025'!C495)</f>
        <v/>
      </c>
      <c r="D495" s="1" t="str">
        <f>IF('1.1 Produksi Bersih Padi 2025'!D495="","",'1.1 Produksi Bersih Padi 2025'!D495)</f>
        <v/>
      </c>
      <c r="E495" s="1" t="str">
        <f>IF('1.1 Produksi Bersih Padi 2025'!E495="","",'1.1 Produksi Bersih Padi 2025'!E495)</f>
        <v/>
      </c>
      <c r="F495" s="28" t="str">
        <f>IF(D495="","",VLOOKUP(D495,'[1]0.1 Produksi Pangan &amp; Penduduk'!$D$5:$AQ$860,40,0))</f>
        <v/>
      </c>
      <c r="G495" s="29" t="str">
        <f t="shared" si="35"/>
        <v/>
      </c>
      <c r="H495" s="29" t="str">
        <f t="shared" si="36"/>
        <v/>
      </c>
      <c r="I495" s="29" t="str">
        <f t="shared" si="37"/>
        <v/>
      </c>
      <c r="J495" s="29" t="str">
        <f t="shared" si="38"/>
        <v/>
      </c>
      <c r="K495" s="29" t="str">
        <f t="shared" si="39"/>
        <v/>
      </c>
    </row>
    <row r="496" spans="1:11" ht="15" x14ac:dyDescent="0.25">
      <c r="A496" s="1" t="str">
        <f>IF('1.1 Produksi Bersih Padi 2025'!A496="","",'1.1 Produksi Bersih Padi 2025'!A496)</f>
        <v/>
      </c>
      <c r="B496" s="31" t="str">
        <f>IF('1.1 Produksi Bersih Padi 2025'!B496="","",'1.1 Produksi Bersih Padi 2025'!B496)</f>
        <v/>
      </c>
      <c r="C496" s="31" t="str">
        <f>IF('1.1 Produksi Bersih Padi 2025'!C496="","",'1.1 Produksi Bersih Padi 2025'!C496)</f>
        <v/>
      </c>
      <c r="D496" s="1" t="str">
        <f>IF('1.1 Produksi Bersih Padi 2025'!D496="","",'1.1 Produksi Bersih Padi 2025'!D496)</f>
        <v/>
      </c>
      <c r="E496" s="1" t="str">
        <f>IF('1.1 Produksi Bersih Padi 2025'!E496="","",'1.1 Produksi Bersih Padi 2025'!E496)</f>
        <v/>
      </c>
      <c r="F496" s="28" t="str">
        <f>IF(D496="","",VLOOKUP(D496,'[1]0.1 Produksi Pangan &amp; Penduduk'!$D$5:$AQ$860,40,0))</f>
        <v/>
      </c>
      <c r="G496" s="29" t="str">
        <f t="shared" si="35"/>
        <v/>
      </c>
      <c r="H496" s="29" t="str">
        <f t="shared" si="36"/>
        <v/>
      </c>
      <c r="I496" s="29" t="str">
        <f t="shared" si="37"/>
        <v/>
      </c>
      <c r="J496" s="29" t="str">
        <f t="shared" si="38"/>
        <v/>
      </c>
      <c r="K496" s="29" t="str">
        <f t="shared" si="39"/>
        <v/>
      </c>
    </row>
    <row r="497" spans="1:11" ht="15" x14ac:dyDescent="0.25">
      <c r="A497" s="1" t="str">
        <f>IF('1.1 Produksi Bersih Padi 2025'!A497="","",'1.1 Produksi Bersih Padi 2025'!A497)</f>
        <v/>
      </c>
      <c r="B497" s="31" t="str">
        <f>IF('1.1 Produksi Bersih Padi 2025'!B497="","",'1.1 Produksi Bersih Padi 2025'!B497)</f>
        <v/>
      </c>
      <c r="C497" s="31" t="str">
        <f>IF('1.1 Produksi Bersih Padi 2025'!C497="","",'1.1 Produksi Bersih Padi 2025'!C497)</f>
        <v/>
      </c>
      <c r="D497" s="1" t="str">
        <f>IF('1.1 Produksi Bersih Padi 2025'!D497="","",'1.1 Produksi Bersih Padi 2025'!D497)</f>
        <v/>
      </c>
      <c r="E497" s="1" t="str">
        <f>IF('1.1 Produksi Bersih Padi 2025'!E497="","",'1.1 Produksi Bersih Padi 2025'!E497)</f>
        <v/>
      </c>
      <c r="F497" s="28" t="str">
        <f>IF(D497="","",VLOOKUP(D497,'[1]0.1 Produksi Pangan &amp; Penduduk'!$D$5:$AQ$860,40,0))</f>
        <v/>
      </c>
      <c r="G497" s="29" t="str">
        <f t="shared" si="35"/>
        <v/>
      </c>
      <c r="H497" s="29" t="str">
        <f t="shared" si="36"/>
        <v/>
      </c>
      <c r="I497" s="29" t="str">
        <f t="shared" si="37"/>
        <v/>
      </c>
      <c r="J497" s="29" t="str">
        <f t="shared" si="38"/>
        <v/>
      </c>
      <c r="K497" s="29" t="str">
        <f t="shared" si="39"/>
        <v/>
      </c>
    </row>
    <row r="498" spans="1:11" ht="15" x14ac:dyDescent="0.25">
      <c r="A498" s="1" t="str">
        <f>IF('1.1 Produksi Bersih Padi 2025'!A498="","",'1.1 Produksi Bersih Padi 2025'!A498)</f>
        <v/>
      </c>
      <c r="B498" s="31" t="str">
        <f>IF('1.1 Produksi Bersih Padi 2025'!B498="","",'1.1 Produksi Bersih Padi 2025'!B498)</f>
        <v/>
      </c>
      <c r="C498" s="31" t="str">
        <f>IF('1.1 Produksi Bersih Padi 2025'!C498="","",'1.1 Produksi Bersih Padi 2025'!C498)</f>
        <v/>
      </c>
      <c r="D498" s="1" t="str">
        <f>IF('1.1 Produksi Bersih Padi 2025'!D498="","",'1.1 Produksi Bersih Padi 2025'!D498)</f>
        <v/>
      </c>
      <c r="E498" s="1" t="str">
        <f>IF('1.1 Produksi Bersih Padi 2025'!E498="","",'1.1 Produksi Bersih Padi 2025'!E498)</f>
        <v/>
      </c>
      <c r="F498" s="28" t="str">
        <f>IF(D498="","",VLOOKUP(D498,'[1]0.1 Produksi Pangan &amp; Penduduk'!$D$5:$AQ$860,40,0))</f>
        <v/>
      </c>
      <c r="G498" s="29" t="str">
        <f t="shared" si="35"/>
        <v/>
      </c>
      <c r="H498" s="29" t="str">
        <f t="shared" si="36"/>
        <v/>
      </c>
      <c r="I498" s="29" t="str">
        <f t="shared" si="37"/>
        <v/>
      </c>
      <c r="J498" s="29" t="str">
        <f t="shared" si="38"/>
        <v/>
      </c>
      <c r="K498" s="29" t="str">
        <f t="shared" si="39"/>
        <v/>
      </c>
    </row>
    <row r="499" spans="1:11" ht="15" x14ac:dyDescent="0.25">
      <c r="A499" s="1" t="str">
        <f>IF('1.1 Produksi Bersih Padi 2025'!A499="","",'1.1 Produksi Bersih Padi 2025'!A499)</f>
        <v/>
      </c>
      <c r="B499" s="31" t="str">
        <f>IF('1.1 Produksi Bersih Padi 2025'!B499="","",'1.1 Produksi Bersih Padi 2025'!B499)</f>
        <v/>
      </c>
      <c r="C499" s="31" t="str">
        <f>IF('1.1 Produksi Bersih Padi 2025'!C499="","",'1.1 Produksi Bersih Padi 2025'!C499)</f>
        <v/>
      </c>
      <c r="D499" s="1" t="str">
        <f>IF('1.1 Produksi Bersih Padi 2025'!D499="","",'1.1 Produksi Bersih Padi 2025'!D499)</f>
        <v/>
      </c>
      <c r="E499" s="1" t="str">
        <f>IF('1.1 Produksi Bersih Padi 2025'!E499="","",'1.1 Produksi Bersih Padi 2025'!E499)</f>
        <v/>
      </c>
      <c r="F499" s="28" t="str">
        <f>IF(D499="","",VLOOKUP(D499,'[1]0.1 Produksi Pangan &amp; Penduduk'!$D$5:$AQ$860,40,0))</f>
        <v/>
      </c>
      <c r="G499" s="29" t="str">
        <f t="shared" si="35"/>
        <v/>
      </c>
      <c r="H499" s="29" t="str">
        <f t="shared" si="36"/>
        <v/>
      </c>
      <c r="I499" s="29" t="str">
        <f t="shared" si="37"/>
        <v/>
      </c>
      <c r="J499" s="29" t="str">
        <f t="shared" si="38"/>
        <v/>
      </c>
      <c r="K499" s="29" t="str">
        <f t="shared" si="39"/>
        <v/>
      </c>
    </row>
    <row r="500" spans="1:11" ht="15" x14ac:dyDescent="0.25">
      <c r="A500" s="1" t="str">
        <f>IF('1.1 Produksi Bersih Padi 2025'!A500="","",'1.1 Produksi Bersih Padi 2025'!A500)</f>
        <v/>
      </c>
      <c r="B500" s="31" t="str">
        <f>IF('1.1 Produksi Bersih Padi 2025'!B500="","",'1.1 Produksi Bersih Padi 2025'!B500)</f>
        <v/>
      </c>
      <c r="C500" s="31" t="str">
        <f>IF('1.1 Produksi Bersih Padi 2025'!C500="","",'1.1 Produksi Bersih Padi 2025'!C500)</f>
        <v/>
      </c>
      <c r="D500" s="1" t="str">
        <f>IF('1.1 Produksi Bersih Padi 2025'!D500="","",'1.1 Produksi Bersih Padi 2025'!D500)</f>
        <v/>
      </c>
      <c r="E500" s="1" t="str">
        <f>IF('1.1 Produksi Bersih Padi 2025'!E500="","",'1.1 Produksi Bersih Padi 2025'!E500)</f>
        <v/>
      </c>
      <c r="F500" s="28" t="str">
        <f>IF(D500="","",VLOOKUP(D500,'[1]0.1 Produksi Pangan &amp; Penduduk'!$D$5:$AQ$860,40,0))</f>
        <v/>
      </c>
      <c r="G500" s="29" t="str">
        <f t="shared" si="35"/>
        <v/>
      </c>
      <c r="H500" s="29" t="str">
        <f t="shared" si="36"/>
        <v/>
      </c>
      <c r="I500" s="29" t="str">
        <f t="shared" si="37"/>
        <v/>
      </c>
      <c r="J500" s="29" t="str">
        <f t="shared" si="38"/>
        <v/>
      </c>
      <c r="K500" s="29" t="str">
        <f t="shared" si="39"/>
        <v/>
      </c>
    </row>
    <row r="501" spans="1:11" ht="15" x14ac:dyDescent="0.25">
      <c r="A501" s="1" t="str">
        <f>IF('1.1 Produksi Bersih Padi 2025'!A501="","",'1.1 Produksi Bersih Padi 2025'!A501)</f>
        <v/>
      </c>
      <c r="B501" s="31" t="str">
        <f>IF('1.1 Produksi Bersih Padi 2025'!B501="","",'1.1 Produksi Bersih Padi 2025'!B501)</f>
        <v/>
      </c>
      <c r="C501" s="31" t="str">
        <f>IF('1.1 Produksi Bersih Padi 2025'!C501="","",'1.1 Produksi Bersih Padi 2025'!C501)</f>
        <v/>
      </c>
      <c r="D501" s="1" t="str">
        <f>IF('1.1 Produksi Bersih Padi 2025'!D501="","",'1.1 Produksi Bersih Padi 2025'!D501)</f>
        <v/>
      </c>
      <c r="E501" s="1" t="str">
        <f>IF('1.1 Produksi Bersih Padi 2025'!E501="","",'1.1 Produksi Bersih Padi 2025'!E501)</f>
        <v/>
      </c>
      <c r="F501" s="28" t="str">
        <f>IF(D501="","",VLOOKUP(D501,'[1]0.1 Produksi Pangan &amp; Penduduk'!$D$5:$AQ$860,40,0))</f>
        <v/>
      </c>
      <c r="G501" s="29" t="str">
        <f t="shared" si="35"/>
        <v/>
      </c>
      <c r="H501" s="29" t="str">
        <f t="shared" si="36"/>
        <v/>
      </c>
      <c r="I501" s="29" t="str">
        <f t="shared" si="37"/>
        <v/>
      </c>
      <c r="J501" s="29" t="str">
        <f t="shared" si="38"/>
        <v/>
      </c>
      <c r="K501" s="29" t="str">
        <f t="shared" si="39"/>
        <v/>
      </c>
    </row>
    <row r="502" spans="1:11" ht="15" x14ac:dyDescent="0.25">
      <c r="A502" s="1" t="str">
        <f>IF('1.1 Produksi Bersih Padi 2025'!A502="","",'1.1 Produksi Bersih Padi 2025'!A502)</f>
        <v/>
      </c>
      <c r="B502" s="31" t="str">
        <f>IF('1.1 Produksi Bersih Padi 2025'!B502="","",'1.1 Produksi Bersih Padi 2025'!B502)</f>
        <v/>
      </c>
      <c r="C502" s="31" t="str">
        <f>IF('1.1 Produksi Bersih Padi 2025'!C502="","",'1.1 Produksi Bersih Padi 2025'!C502)</f>
        <v/>
      </c>
      <c r="D502" s="1" t="str">
        <f>IF('1.1 Produksi Bersih Padi 2025'!D502="","",'1.1 Produksi Bersih Padi 2025'!D502)</f>
        <v/>
      </c>
      <c r="E502" s="1" t="str">
        <f>IF('1.1 Produksi Bersih Padi 2025'!E502="","",'1.1 Produksi Bersih Padi 2025'!E502)</f>
        <v/>
      </c>
      <c r="F502" s="28" t="str">
        <f>IF(D502="","",VLOOKUP(D502,'[1]0.1 Produksi Pangan &amp; Penduduk'!$D$5:$AQ$860,40,0))</f>
        <v/>
      </c>
      <c r="G502" s="29" t="str">
        <f t="shared" si="35"/>
        <v/>
      </c>
      <c r="H502" s="29" t="str">
        <f t="shared" si="36"/>
        <v/>
      </c>
      <c r="I502" s="29" t="str">
        <f t="shared" si="37"/>
        <v/>
      </c>
      <c r="J502" s="29" t="str">
        <f t="shared" si="38"/>
        <v/>
      </c>
      <c r="K502" s="29" t="str">
        <f t="shared" si="39"/>
        <v/>
      </c>
    </row>
    <row r="503" spans="1:11" ht="15" x14ac:dyDescent="0.25">
      <c r="A503" s="1" t="str">
        <f>IF('1.1 Produksi Bersih Padi 2025'!A503="","",'1.1 Produksi Bersih Padi 2025'!A503)</f>
        <v/>
      </c>
      <c r="B503" s="31" t="str">
        <f>IF('1.1 Produksi Bersih Padi 2025'!B503="","",'1.1 Produksi Bersih Padi 2025'!B503)</f>
        <v/>
      </c>
      <c r="C503" s="31" t="str">
        <f>IF('1.1 Produksi Bersih Padi 2025'!C503="","",'1.1 Produksi Bersih Padi 2025'!C503)</f>
        <v/>
      </c>
      <c r="D503" s="1" t="str">
        <f>IF('1.1 Produksi Bersih Padi 2025'!D503="","",'1.1 Produksi Bersih Padi 2025'!D503)</f>
        <v/>
      </c>
      <c r="E503" s="1" t="str">
        <f>IF('1.1 Produksi Bersih Padi 2025'!E503="","",'1.1 Produksi Bersih Padi 2025'!E503)</f>
        <v/>
      </c>
      <c r="F503" s="28" t="str">
        <f>IF(D503="","",VLOOKUP(D503,'[1]0.1 Produksi Pangan &amp; Penduduk'!$D$5:$AQ$860,40,0))</f>
        <v/>
      </c>
      <c r="G503" s="29" t="str">
        <f t="shared" si="35"/>
        <v/>
      </c>
      <c r="H503" s="29" t="str">
        <f t="shared" si="36"/>
        <v/>
      </c>
      <c r="I503" s="29" t="str">
        <f t="shared" si="37"/>
        <v/>
      </c>
      <c r="J503" s="29" t="str">
        <f t="shared" si="38"/>
        <v/>
      </c>
      <c r="K503" s="29" t="str">
        <f t="shared" si="39"/>
        <v/>
      </c>
    </row>
    <row r="504" spans="1:11" ht="15" x14ac:dyDescent="0.25">
      <c r="A504" s="1" t="str">
        <f>IF('1.1 Produksi Bersih Padi 2025'!A504="","",'1.1 Produksi Bersih Padi 2025'!A504)</f>
        <v/>
      </c>
      <c r="B504" s="31" t="str">
        <f>IF('1.1 Produksi Bersih Padi 2025'!B504="","",'1.1 Produksi Bersih Padi 2025'!B504)</f>
        <v/>
      </c>
      <c r="C504" s="31" t="str">
        <f>IF('1.1 Produksi Bersih Padi 2025'!C504="","",'1.1 Produksi Bersih Padi 2025'!C504)</f>
        <v/>
      </c>
      <c r="D504" s="1" t="str">
        <f>IF('1.1 Produksi Bersih Padi 2025'!D504="","",'1.1 Produksi Bersih Padi 2025'!D504)</f>
        <v/>
      </c>
      <c r="E504" s="1" t="str">
        <f>IF('1.1 Produksi Bersih Padi 2025'!E504="","",'1.1 Produksi Bersih Padi 2025'!E504)</f>
        <v/>
      </c>
      <c r="F504" s="28" t="str">
        <f>IF(D504="","",VLOOKUP(D504,'[1]0.1 Produksi Pangan &amp; Penduduk'!$D$5:$AQ$860,40,0))</f>
        <v/>
      </c>
      <c r="G504" s="29" t="str">
        <f t="shared" si="35"/>
        <v/>
      </c>
      <c r="H504" s="29" t="str">
        <f t="shared" si="36"/>
        <v/>
      </c>
      <c r="I504" s="29" t="str">
        <f t="shared" si="37"/>
        <v/>
      </c>
      <c r="J504" s="29" t="str">
        <f t="shared" si="38"/>
        <v/>
      </c>
      <c r="K504" s="29" t="str">
        <f t="shared" si="39"/>
        <v/>
      </c>
    </row>
    <row r="505" spans="1:11" ht="15" x14ac:dyDescent="0.25">
      <c r="A505" s="1" t="str">
        <f>IF('1.1 Produksi Bersih Padi 2025'!A505="","",'1.1 Produksi Bersih Padi 2025'!A505)</f>
        <v/>
      </c>
      <c r="B505" s="31" t="str">
        <f>IF('1.1 Produksi Bersih Padi 2025'!B505="","",'1.1 Produksi Bersih Padi 2025'!B505)</f>
        <v/>
      </c>
      <c r="C505" s="31" t="str">
        <f>IF('1.1 Produksi Bersih Padi 2025'!C505="","",'1.1 Produksi Bersih Padi 2025'!C505)</f>
        <v/>
      </c>
      <c r="D505" s="1" t="str">
        <f>IF('1.1 Produksi Bersih Padi 2025'!D505="","",'1.1 Produksi Bersih Padi 2025'!D505)</f>
        <v/>
      </c>
      <c r="E505" s="1" t="str">
        <f>IF('1.1 Produksi Bersih Padi 2025'!E505="","",'1.1 Produksi Bersih Padi 2025'!E505)</f>
        <v/>
      </c>
      <c r="F505" s="28" t="str">
        <f>IF(D505="","",VLOOKUP(D505,'[1]0.1 Produksi Pangan &amp; Penduduk'!$D$5:$AQ$860,40,0))</f>
        <v/>
      </c>
      <c r="G505" s="29" t="str">
        <f t="shared" si="35"/>
        <v/>
      </c>
      <c r="H505" s="29" t="str">
        <f t="shared" si="36"/>
        <v/>
      </c>
      <c r="I505" s="29" t="str">
        <f t="shared" si="37"/>
        <v/>
      </c>
      <c r="J505" s="29" t="str">
        <f t="shared" si="38"/>
        <v/>
      </c>
      <c r="K505" s="29" t="str">
        <f t="shared" si="39"/>
        <v/>
      </c>
    </row>
    <row r="506" spans="1:11" ht="15" x14ac:dyDescent="0.25">
      <c r="A506" s="1" t="str">
        <f>IF('1.1 Produksi Bersih Padi 2025'!A506="","",'1.1 Produksi Bersih Padi 2025'!A506)</f>
        <v/>
      </c>
      <c r="B506" s="31" t="str">
        <f>IF('1.1 Produksi Bersih Padi 2025'!B506="","",'1.1 Produksi Bersih Padi 2025'!B506)</f>
        <v/>
      </c>
      <c r="C506" s="31" t="str">
        <f>IF('1.1 Produksi Bersih Padi 2025'!C506="","",'1.1 Produksi Bersih Padi 2025'!C506)</f>
        <v/>
      </c>
      <c r="D506" s="1" t="str">
        <f>IF('1.1 Produksi Bersih Padi 2025'!D506="","",'1.1 Produksi Bersih Padi 2025'!D506)</f>
        <v/>
      </c>
      <c r="E506" s="1" t="str">
        <f>IF('1.1 Produksi Bersih Padi 2025'!E506="","",'1.1 Produksi Bersih Padi 2025'!E506)</f>
        <v/>
      </c>
      <c r="F506" s="28" t="str">
        <f>IF(D506="","",VLOOKUP(D506,'[1]0.1 Produksi Pangan &amp; Penduduk'!$D$5:$AQ$860,40,0))</f>
        <v/>
      </c>
      <c r="G506" s="29" t="str">
        <f t="shared" si="35"/>
        <v/>
      </c>
      <c r="H506" s="29" t="str">
        <f t="shared" si="36"/>
        <v/>
      </c>
      <c r="I506" s="29" t="str">
        <f t="shared" si="37"/>
        <v/>
      </c>
      <c r="J506" s="29" t="str">
        <f t="shared" si="38"/>
        <v/>
      </c>
      <c r="K506" s="29" t="str">
        <f t="shared" si="39"/>
        <v/>
      </c>
    </row>
    <row r="507" spans="1:11" ht="15" x14ac:dyDescent="0.25">
      <c r="A507" s="1" t="str">
        <f>IF('1.1 Produksi Bersih Padi 2025'!A507="","",'1.1 Produksi Bersih Padi 2025'!A507)</f>
        <v/>
      </c>
      <c r="B507" s="31" t="str">
        <f>IF('1.1 Produksi Bersih Padi 2025'!B507="","",'1.1 Produksi Bersih Padi 2025'!B507)</f>
        <v/>
      </c>
      <c r="C507" s="31" t="str">
        <f>IF('1.1 Produksi Bersih Padi 2025'!C507="","",'1.1 Produksi Bersih Padi 2025'!C507)</f>
        <v/>
      </c>
      <c r="D507" s="1" t="str">
        <f>IF('1.1 Produksi Bersih Padi 2025'!D507="","",'1.1 Produksi Bersih Padi 2025'!D507)</f>
        <v/>
      </c>
      <c r="E507" s="1" t="str">
        <f>IF('1.1 Produksi Bersih Padi 2025'!E507="","",'1.1 Produksi Bersih Padi 2025'!E507)</f>
        <v/>
      </c>
      <c r="F507" s="28" t="str">
        <f>IF(D507="","",VLOOKUP(D507,'[1]0.1 Produksi Pangan &amp; Penduduk'!$D$5:$AQ$860,40,0))</f>
        <v/>
      </c>
      <c r="G507" s="29" t="str">
        <f t="shared" si="35"/>
        <v/>
      </c>
      <c r="H507" s="29" t="str">
        <f t="shared" si="36"/>
        <v/>
      </c>
      <c r="I507" s="29" t="str">
        <f t="shared" si="37"/>
        <v/>
      </c>
      <c r="J507" s="29" t="str">
        <f t="shared" si="38"/>
        <v/>
      </c>
      <c r="K507" s="29" t="str">
        <f t="shared" si="39"/>
        <v/>
      </c>
    </row>
    <row r="508" spans="1:11" ht="15" x14ac:dyDescent="0.25">
      <c r="A508" s="1" t="str">
        <f>IF('1.1 Produksi Bersih Padi 2025'!A508="","",'1.1 Produksi Bersih Padi 2025'!A508)</f>
        <v/>
      </c>
      <c r="B508" s="31" t="str">
        <f>IF('1.1 Produksi Bersih Padi 2025'!B508="","",'1.1 Produksi Bersih Padi 2025'!B508)</f>
        <v/>
      </c>
      <c r="C508" s="31" t="str">
        <f>IF('1.1 Produksi Bersih Padi 2025'!C508="","",'1.1 Produksi Bersih Padi 2025'!C508)</f>
        <v/>
      </c>
      <c r="D508" s="1" t="str">
        <f>IF('1.1 Produksi Bersih Padi 2025'!D508="","",'1.1 Produksi Bersih Padi 2025'!D508)</f>
        <v/>
      </c>
      <c r="E508" s="1" t="str">
        <f>IF('1.1 Produksi Bersih Padi 2025'!E508="","",'1.1 Produksi Bersih Padi 2025'!E508)</f>
        <v/>
      </c>
      <c r="F508" s="28" t="str">
        <f>IF(D508="","",VLOOKUP(D508,'[1]0.1 Produksi Pangan &amp; Penduduk'!$D$5:$AQ$860,40,0))</f>
        <v/>
      </c>
      <c r="G508" s="29" t="str">
        <f t="shared" si="35"/>
        <v/>
      </c>
      <c r="H508" s="29" t="str">
        <f t="shared" si="36"/>
        <v/>
      </c>
      <c r="I508" s="29" t="str">
        <f t="shared" si="37"/>
        <v/>
      </c>
      <c r="J508" s="29" t="str">
        <f t="shared" si="38"/>
        <v/>
      </c>
      <c r="K508" s="29" t="str">
        <f t="shared" si="39"/>
        <v/>
      </c>
    </row>
    <row r="509" spans="1:11" ht="15" x14ac:dyDescent="0.25">
      <c r="A509" s="1" t="str">
        <f>IF('1.1 Produksi Bersih Padi 2025'!A509="","",'1.1 Produksi Bersih Padi 2025'!A509)</f>
        <v/>
      </c>
      <c r="B509" s="31" t="str">
        <f>IF('1.1 Produksi Bersih Padi 2025'!B509="","",'1.1 Produksi Bersih Padi 2025'!B509)</f>
        <v/>
      </c>
      <c r="C509" s="31" t="str">
        <f>IF('1.1 Produksi Bersih Padi 2025'!C509="","",'1.1 Produksi Bersih Padi 2025'!C509)</f>
        <v/>
      </c>
      <c r="D509" s="1" t="str">
        <f>IF('1.1 Produksi Bersih Padi 2025'!D509="","",'1.1 Produksi Bersih Padi 2025'!D509)</f>
        <v/>
      </c>
      <c r="E509" s="1" t="str">
        <f>IF('1.1 Produksi Bersih Padi 2025'!E509="","",'1.1 Produksi Bersih Padi 2025'!E509)</f>
        <v/>
      </c>
      <c r="F509" s="28" t="str">
        <f>IF(D509="","",VLOOKUP(D509,'[1]0.1 Produksi Pangan &amp; Penduduk'!$D$5:$AQ$860,40,0))</f>
        <v/>
      </c>
      <c r="G509" s="29" t="str">
        <f t="shared" si="35"/>
        <v/>
      </c>
      <c r="H509" s="29" t="str">
        <f t="shared" si="36"/>
        <v/>
      </c>
      <c r="I509" s="29" t="str">
        <f t="shared" si="37"/>
        <v/>
      </c>
      <c r="J509" s="29" t="str">
        <f t="shared" si="38"/>
        <v/>
      </c>
      <c r="K509" s="29" t="str">
        <f t="shared" si="39"/>
        <v/>
      </c>
    </row>
    <row r="510" spans="1:11" ht="15" x14ac:dyDescent="0.25">
      <c r="A510" s="1" t="str">
        <f>IF('1.1 Produksi Bersih Padi 2025'!A510="","",'1.1 Produksi Bersih Padi 2025'!A510)</f>
        <v/>
      </c>
      <c r="B510" s="31" t="str">
        <f>IF('1.1 Produksi Bersih Padi 2025'!B510="","",'1.1 Produksi Bersih Padi 2025'!B510)</f>
        <v/>
      </c>
      <c r="C510" s="31" t="str">
        <f>IF('1.1 Produksi Bersih Padi 2025'!C510="","",'1.1 Produksi Bersih Padi 2025'!C510)</f>
        <v/>
      </c>
      <c r="D510" s="1" t="str">
        <f>IF('1.1 Produksi Bersih Padi 2025'!D510="","",'1.1 Produksi Bersih Padi 2025'!D510)</f>
        <v/>
      </c>
      <c r="E510" s="1" t="str">
        <f>IF('1.1 Produksi Bersih Padi 2025'!E510="","",'1.1 Produksi Bersih Padi 2025'!E510)</f>
        <v/>
      </c>
      <c r="F510" s="28" t="str">
        <f>IF(D510="","",VLOOKUP(D510,'[1]0.1 Produksi Pangan &amp; Penduduk'!$D$5:$AQ$860,40,0))</f>
        <v/>
      </c>
      <c r="G510" s="29" t="str">
        <f t="shared" si="35"/>
        <v/>
      </c>
      <c r="H510" s="29" t="str">
        <f t="shared" si="36"/>
        <v/>
      </c>
      <c r="I510" s="29" t="str">
        <f t="shared" si="37"/>
        <v/>
      </c>
      <c r="J510" s="29" t="str">
        <f t="shared" si="38"/>
        <v/>
      </c>
      <c r="K510" s="29" t="str">
        <f t="shared" si="39"/>
        <v/>
      </c>
    </row>
    <row r="511" spans="1:11" ht="15" x14ac:dyDescent="0.25">
      <c r="A511" s="1" t="str">
        <f>IF('1.1 Produksi Bersih Padi 2025'!A511="","",'1.1 Produksi Bersih Padi 2025'!A511)</f>
        <v/>
      </c>
      <c r="B511" s="31" t="str">
        <f>IF('1.1 Produksi Bersih Padi 2025'!B511="","",'1.1 Produksi Bersih Padi 2025'!B511)</f>
        <v/>
      </c>
      <c r="C511" s="31" t="str">
        <f>IF('1.1 Produksi Bersih Padi 2025'!C511="","",'1.1 Produksi Bersih Padi 2025'!C511)</f>
        <v/>
      </c>
      <c r="D511" s="1" t="str">
        <f>IF('1.1 Produksi Bersih Padi 2025'!D511="","",'1.1 Produksi Bersih Padi 2025'!D511)</f>
        <v/>
      </c>
      <c r="E511" s="1" t="str">
        <f>IF('1.1 Produksi Bersih Padi 2025'!E511="","",'1.1 Produksi Bersih Padi 2025'!E511)</f>
        <v/>
      </c>
      <c r="F511" s="28" t="str">
        <f>IF(D511="","",VLOOKUP(D511,'[1]0.1 Produksi Pangan &amp; Penduduk'!$D$5:$AQ$860,40,0))</f>
        <v/>
      </c>
      <c r="G511" s="29" t="str">
        <f t="shared" si="35"/>
        <v/>
      </c>
      <c r="H511" s="29" t="str">
        <f t="shared" si="36"/>
        <v/>
      </c>
      <c r="I511" s="29" t="str">
        <f t="shared" si="37"/>
        <v/>
      </c>
      <c r="J511" s="29" t="str">
        <f t="shared" si="38"/>
        <v/>
      </c>
      <c r="K511" s="29" t="str">
        <f t="shared" si="39"/>
        <v/>
      </c>
    </row>
    <row r="512" spans="1:11" ht="15" x14ac:dyDescent="0.25">
      <c r="A512" s="1" t="str">
        <f>IF('1.1 Produksi Bersih Padi 2025'!A512="","",'1.1 Produksi Bersih Padi 2025'!A512)</f>
        <v/>
      </c>
      <c r="B512" s="31" t="str">
        <f>IF('1.1 Produksi Bersih Padi 2025'!B512="","",'1.1 Produksi Bersih Padi 2025'!B512)</f>
        <v/>
      </c>
      <c r="C512" s="31" t="str">
        <f>IF('1.1 Produksi Bersih Padi 2025'!C512="","",'1.1 Produksi Bersih Padi 2025'!C512)</f>
        <v/>
      </c>
      <c r="D512" s="1" t="str">
        <f>IF('1.1 Produksi Bersih Padi 2025'!D512="","",'1.1 Produksi Bersih Padi 2025'!D512)</f>
        <v/>
      </c>
      <c r="E512" s="1" t="str">
        <f>IF('1.1 Produksi Bersih Padi 2025'!E512="","",'1.1 Produksi Bersih Padi 2025'!E512)</f>
        <v/>
      </c>
      <c r="F512" s="28" t="str">
        <f>IF(D512="","",VLOOKUP(D512,'[1]0.1 Produksi Pangan &amp; Penduduk'!$D$5:$AQ$860,40,0))</f>
        <v/>
      </c>
      <c r="G512" s="29" t="str">
        <f t="shared" si="35"/>
        <v/>
      </c>
      <c r="H512" s="29" t="str">
        <f t="shared" si="36"/>
        <v/>
      </c>
      <c r="I512" s="29" t="str">
        <f t="shared" si="37"/>
        <v/>
      </c>
      <c r="J512" s="29" t="str">
        <f t="shared" si="38"/>
        <v/>
      </c>
      <c r="K512" s="29" t="str">
        <f t="shared" si="39"/>
        <v/>
      </c>
    </row>
    <row r="513" spans="1:11" ht="15" x14ac:dyDescent="0.25">
      <c r="A513" s="1" t="str">
        <f>IF('1.1 Produksi Bersih Padi 2025'!A513="","",'1.1 Produksi Bersih Padi 2025'!A513)</f>
        <v/>
      </c>
      <c r="B513" s="31" t="str">
        <f>IF('1.1 Produksi Bersih Padi 2025'!B513="","",'1.1 Produksi Bersih Padi 2025'!B513)</f>
        <v/>
      </c>
      <c r="C513" s="31" t="str">
        <f>IF('1.1 Produksi Bersih Padi 2025'!C513="","",'1.1 Produksi Bersih Padi 2025'!C513)</f>
        <v/>
      </c>
      <c r="D513" s="1" t="str">
        <f>IF('1.1 Produksi Bersih Padi 2025'!D513="","",'1.1 Produksi Bersih Padi 2025'!D513)</f>
        <v/>
      </c>
      <c r="E513" s="1" t="str">
        <f>IF('1.1 Produksi Bersih Padi 2025'!E513="","",'1.1 Produksi Bersih Padi 2025'!E513)</f>
        <v/>
      </c>
      <c r="F513" s="28" t="str">
        <f>IF(D513="","",VLOOKUP(D513,'[1]0.1 Produksi Pangan &amp; Penduduk'!$D$5:$AQ$860,40,0))</f>
        <v/>
      </c>
      <c r="G513" s="29" t="str">
        <f t="shared" si="35"/>
        <v/>
      </c>
      <c r="H513" s="29" t="str">
        <f t="shared" si="36"/>
        <v/>
      </c>
      <c r="I513" s="29" t="str">
        <f t="shared" si="37"/>
        <v/>
      </c>
      <c r="J513" s="29" t="str">
        <f t="shared" si="38"/>
        <v/>
      </c>
      <c r="K513" s="29" t="str">
        <f t="shared" si="39"/>
        <v/>
      </c>
    </row>
    <row r="514" spans="1:11" ht="15" x14ac:dyDescent="0.25">
      <c r="A514" s="1" t="str">
        <f>IF('1.1 Produksi Bersih Padi 2025'!A514="","",'1.1 Produksi Bersih Padi 2025'!A514)</f>
        <v/>
      </c>
      <c r="B514" s="31" t="str">
        <f>IF('1.1 Produksi Bersih Padi 2025'!B514="","",'1.1 Produksi Bersih Padi 2025'!B514)</f>
        <v/>
      </c>
      <c r="C514" s="31" t="str">
        <f>IF('1.1 Produksi Bersih Padi 2025'!C514="","",'1.1 Produksi Bersih Padi 2025'!C514)</f>
        <v/>
      </c>
      <c r="D514" s="1" t="str">
        <f>IF('1.1 Produksi Bersih Padi 2025'!D514="","",'1.1 Produksi Bersih Padi 2025'!D514)</f>
        <v/>
      </c>
      <c r="E514" s="1" t="str">
        <f>IF('1.1 Produksi Bersih Padi 2025'!E514="","",'1.1 Produksi Bersih Padi 2025'!E514)</f>
        <v/>
      </c>
      <c r="F514" s="28" t="str">
        <f>IF(D514="","",VLOOKUP(D514,'[1]0.1 Produksi Pangan &amp; Penduduk'!$D$5:$AQ$860,40,0))</f>
        <v/>
      </c>
      <c r="G514" s="29" t="str">
        <f t="shared" si="35"/>
        <v/>
      </c>
      <c r="H514" s="29" t="str">
        <f t="shared" si="36"/>
        <v/>
      </c>
      <c r="I514" s="29" t="str">
        <f t="shared" si="37"/>
        <v/>
      </c>
      <c r="J514" s="29" t="str">
        <f t="shared" si="38"/>
        <v/>
      </c>
      <c r="K514" s="29" t="str">
        <f t="shared" si="39"/>
        <v/>
      </c>
    </row>
    <row r="515" spans="1:11" ht="15" x14ac:dyDescent="0.25">
      <c r="A515" s="1" t="str">
        <f>IF('1.1 Produksi Bersih Padi 2025'!A515="","",'1.1 Produksi Bersih Padi 2025'!A515)</f>
        <v/>
      </c>
      <c r="B515" s="31" t="str">
        <f>IF('1.1 Produksi Bersih Padi 2025'!B515="","",'1.1 Produksi Bersih Padi 2025'!B515)</f>
        <v/>
      </c>
      <c r="C515" s="31" t="str">
        <f>IF('1.1 Produksi Bersih Padi 2025'!C515="","",'1.1 Produksi Bersih Padi 2025'!C515)</f>
        <v/>
      </c>
      <c r="D515" s="1" t="str">
        <f>IF('1.1 Produksi Bersih Padi 2025'!D515="","",'1.1 Produksi Bersih Padi 2025'!D515)</f>
        <v/>
      </c>
      <c r="E515" s="1" t="str">
        <f>IF('1.1 Produksi Bersih Padi 2025'!E515="","",'1.1 Produksi Bersih Padi 2025'!E515)</f>
        <v/>
      </c>
      <c r="F515" s="28" t="str">
        <f>IF(D515="","",VLOOKUP(D515,'[1]0.1 Produksi Pangan &amp; Penduduk'!$D$5:$AQ$860,40,0))</f>
        <v/>
      </c>
      <c r="G515" s="29" t="str">
        <f t="shared" si="35"/>
        <v/>
      </c>
      <c r="H515" s="29" t="str">
        <f t="shared" si="36"/>
        <v/>
      </c>
      <c r="I515" s="29" t="str">
        <f t="shared" si="37"/>
        <v/>
      </c>
      <c r="J515" s="29" t="str">
        <f t="shared" si="38"/>
        <v/>
      </c>
      <c r="K515" s="29" t="str">
        <f t="shared" si="39"/>
        <v/>
      </c>
    </row>
    <row r="516" spans="1:11" ht="15" x14ac:dyDescent="0.25">
      <c r="A516" s="1" t="str">
        <f>IF('1.1 Produksi Bersih Padi 2025'!A516="","",'1.1 Produksi Bersih Padi 2025'!A516)</f>
        <v/>
      </c>
      <c r="B516" s="31" t="str">
        <f>IF('1.1 Produksi Bersih Padi 2025'!B516="","",'1.1 Produksi Bersih Padi 2025'!B516)</f>
        <v/>
      </c>
      <c r="C516" s="31" t="str">
        <f>IF('1.1 Produksi Bersih Padi 2025'!C516="","",'1.1 Produksi Bersih Padi 2025'!C516)</f>
        <v/>
      </c>
      <c r="D516" s="1" t="str">
        <f>IF('1.1 Produksi Bersih Padi 2025'!D516="","",'1.1 Produksi Bersih Padi 2025'!D516)</f>
        <v/>
      </c>
      <c r="E516" s="1" t="str">
        <f>IF('1.1 Produksi Bersih Padi 2025'!E516="","",'1.1 Produksi Bersih Padi 2025'!E516)</f>
        <v/>
      </c>
      <c r="F516" s="28" t="str">
        <f>IF(D516="","",VLOOKUP(D516,'[1]0.1 Produksi Pangan &amp; Penduduk'!$D$5:$AQ$860,40,0))</f>
        <v/>
      </c>
      <c r="G516" s="29" t="str">
        <f t="shared" si="35"/>
        <v/>
      </c>
      <c r="H516" s="29" t="str">
        <f t="shared" si="36"/>
        <v/>
      </c>
      <c r="I516" s="29" t="str">
        <f t="shared" si="37"/>
        <v/>
      </c>
      <c r="J516" s="29" t="str">
        <f t="shared" si="38"/>
        <v/>
      </c>
      <c r="K516" s="29" t="str">
        <f t="shared" si="39"/>
        <v/>
      </c>
    </row>
    <row r="517" spans="1:11" ht="15" x14ac:dyDescent="0.25">
      <c r="A517" s="1" t="str">
        <f>IF('1.1 Produksi Bersih Padi 2025'!A517="","",'1.1 Produksi Bersih Padi 2025'!A517)</f>
        <v/>
      </c>
      <c r="B517" s="31" t="str">
        <f>IF('1.1 Produksi Bersih Padi 2025'!B517="","",'1.1 Produksi Bersih Padi 2025'!B517)</f>
        <v/>
      </c>
      <c r="C517" s="31" t="str">
        <f>IF('1.1 Produksi Bersih Padi 2025'!C517="","",'1.1 Produksi Bersih Padi 2025'!C517)</f>
        <v/>
      </c>
      <c r="D517" s="1" t="str">
        <f>IF('1.1 Produksi Bersih Padi 2025'!D517="","",'1.1 Produksi Bersih Padi 2025'!D517)</f>
        <v/>
      </c>
      <c r="E517" s="1" t="str">
        <f>IF('1.1 Produksi Bersih Padi 2025'!E517="","",'1.1 Produksi Bersih Padi 2025'!E517)</f>
        <v/>
      </c>
      <c r="F517" s="28" t="str">
        <f>IF(D517="","",VLOOKUP(D517,'[1]0.1 Produksi Pangan &amp; Penduduk'!$D$5:$AQ$860,40,0))</f>
        <v/>
      </c>
      <c r="G517" s="29" t="str">
        <f t="shared" si="35"/>
        <v/>
      </c>
      <c r="H517" s="29" t="str">
        <f t="shared" si="36"/>
        <v/>
      </c>
      <c r="I517" s="29" t="str">
        <f t="shared" si="37"/>
        <v/>
      </c>
      <c r="J517" s="29" t="str">
        <f t="shared" si="38"/>
        <v/>
      </c>
      <c r="K517" s="29" t="str">
        <f t="shared" si="39"/>
        <v/>
      </c>
    </row>
    <row r="518" spans="1:11" ht="15" x14ac:dyDescent="0.25">
      <c r="A518" s="1" t="str">
        <f>IF('1.1 Produksi Bersih Padi 2025'!A518="","",'1.1 Produksi Bersih Padi 2025'!A518)</f>
        <v/>
      </c>
      <c r="B518" s="31" t="str">
        <f>IF('1.1 Produksi Bersih Padi 2025'!B518="","",'1.1 Produksi Bersih Padi 2025'!B518)</f>
        <v/>
      </c>
      <c r="C518" s="31" t="str">
        <f>IF('1.1 Produksi Bersih Padi 2025'!C518="","",'1.1 Produksi Bersih Padi 2025'!C518)</f>
        <v/>
      </c>
      <c r="D518" s="1" t="str">
        <f>IF('1.1 Produksi Bersih Padi 2025'!D518="","",'1.1 Produksi Bersih Padi 2025'!D518)</f>
        <v/>
      </c>
      <c r="E518" s="1" t="str">
        <f>IF('1.1 Produksi Bersih Padi 2025'!E518="","",'1.1 Produksi Bersih Padi 2025'!E518)</f>
        <v/>
      </c>
      <c r="F518" s="28" t="str">
        <f>IF(D518="","",VLOOKUP(D518,'[1]0.1 Produksi Pangan &amp; Penduduk'!$D$5:$AQ$860,40,0))</f>
        <v/>
      </c>
      <c r="G518" s="29" t="str">
        <f t="shared" ref="G518:G581" si="40">IF(F518="","",F518*0%)</f>
        <v/>
      </c>
      <c r="H518" s="29" t="str">
        <f t="shared" ref="H518:H581" si="41">IF(F518="","",F518*0%)</f>
        <v/>
      </c>
      <c r="I518" s="29" t="str">
        <f t="shared" ref="I518:I581" si="42">IF(F518="","",F518*1.11%)</f>
        <v/>
      </c>
      <c r="J518" s="29" t="str">
        <f t="shared" ref="J518:J581" si="43">IF(F518="","",F518-(G518+H518+I518))</f>
        <v/>
      </c>
      <c r="K518" s="29" t="str">
        <f t="shared" ref="K518:K581" si="44">IF(J518="","",J518*0.134)</f>
        <v/>
      </c>
    </row>
    <row r="519" spans="1:11" ht="15" x14ac:dyDescent="0.25">
      <c r="A519" s="1" t="str">
        <f>IF('1.1 Produksi Bersih Padi 2025'!A519="","",'1.1 Produksi Bersih Padi 2025'!A519)</f>
        <v/>
      </c>
      <c r="B519" s="31" t="str">
        <f>IF('1.1 Produksi Bersih Padi 2025'!B519="","",'1.1 Produksi Bersih Padi 2025'!B519)</f>
        <v/>
      </c>
      <c r="C519" s="31" t="str">
        <f>IF('1.1 Produksi Bersih Padi 2025'!C519="","",'1.1 Produksi Bersih Padi 2025'!C519)</f>
        <v/>
      </c>
      <c r="D519" s="1" t="str">
        <f>IF('1.1 Produksi Bersih Padi 2025'!D519="","",'1.1 Produksi Bersih Padi 2025'!D519)</f>
        <v/>
      </c>
      <c r="E519" s="1" t="str">
        <f>IF('1.1 Produksi Bersih Padi 2025'!E519="","",'1.1 Produksi Bersih Padi 2025'!E519)</f>
        <v/>
      </c>
      <c r="F519" s="28" t="str">
        <f>IF(D519="","",VLOOKUP(D519,'[1]0.1 Produksi Pangan &amp; Penduduk'!$D$5:$AQ$860,40,0))</f>
        <v/>
      </c>
      <c r="G519" s="29" t="str">
        <f t="shared" si="40"/>
        <v/>
      </c>
      <c r="H519" s="29" t="str">
        <f t="shared" si="41"/>
        <v/>
      </c>
      <c r="I519" s="29" t="str">
        <f t="shared" si="42"/>
        <v/>
      </c>
      <c r="J519" s="29" t="str">
        <f t="shared" si="43"/>
        <v/>
      </c>
      <c r="K519" s="29" t="str">
        <f t="shared" si="44"/>
        <v/>
      </c>
    </row>
    <row r="520" spans="1:11" ht="15" x14ac:dyDescent="0.25">
      <c r="A520" s="1" t="str">
        <f>IF('1.1 Produksi Bersih Padi 2025'!A520="","",'1.1 Produksi Bersih Padi 2025'!A520)</f>
        <v/>
      </c>
      <c r="B520" s="31" t="str">
        <f>IF('1.1 Produksi Bersih Padi 2025'!B520="","",'1.1 Produksi Bersih Padi 2025'!B520)</f>
        <v/>
      </c>
      <c r="C520" s="31" t="str">
        <f>IF('1.1 Produksi Bersih Padi 2025'!C520="","",'1.1 Produksi Bersih Padi 2025'!C520)</f>
        <v/>
      </c>
      <c r="D520" s="1" t="str">
        <f>IF('1.1 Produksi Bersih Padi 2025'!D520="","",'1.1 Produksi Bersih Padi 2025'!D520)</f>
        <v/>
      </c>
      <c r="E520" s="1" t="str">
        <f>IF('1.1 Produksi Bersih Padi 2025'!E520="","",'1.1 Produksi Bersih Padi 2025'!E520)</f>
        <v/>
      </c>
      <c r="F520" s="28" t="str">
        <f>IF(D520="","",VLOOKUP(D520,'[1]0.1 Produksi Pangan &amp; Penduduk'!$D$5:$AQ$860,40,0))</f>
        <v/>
      </c>
      <c r="G520" s="29" t="str">
        <f t="shared" si="40"/>
        <v/>
      </c>
      <c r="H520" s="29" t="str">
        <f t="shared" si="41"/>
        <v/>
      </c>
      <c r="I520" s="29" t="str">
        <f t="shared" si="42"/>
        <v/>
      </c>
      <c r="J520" s="29" t="str">
        <f t="shared" si="43"/>
        <v/>
      </c>
      <c r="K520" s="29" t="str">
        <f t="shared" si="44"/>
        <v/>
      </c>
    </row>
    <row r="521" spans="1:11" ht="15" x14ac:dyDescent="0.25">
      <c r="A521" s="1" t="str">
        <f>IF('1.1 Produksi Bersih Padi 2025'!A521="","",'1.1 Produksi Bersih Padi 2025'!A521)</f>
        <v/>
      </c>
      <c r="B521" s="31" t="str">
        <f>IF('1.1 Produksi Bersih Padi 2025'!B521="","",'1.1 Produksi Bersih Padi 2025'!B521)</f>
        <v/>
      </c>
      <c r="C521" s="31" t="str">
        <f>IF('1.1 Produksi Bersih Padi 2025'!C521="","",'1.1 Produksi Bersih Padi 2025'!C521)</f>
        <v/>
      </c>
      <c r="D521" s="1" t="str">
        <f>IF('1.1 Produksi Bersih Padi 2025'!D521="","",'1.1 Produksi Bersih Padi 2025'!D521)</f>
        <v/>
      </c>
      <c r="E521" s="1" t="str">
        <f>IF('1.1 Produksi Bersih Padi 2025'!E521="","",'1.1 Produksi Bersih Padi 2025'!E521)</f>
        <v/>
      </c>
      <c r="F521" s="28" t="str">
        <f>IF(D521="","",VLOOKUP(D521,'[1]0.1 Produksi Pangan &amp; Penduduk'!$D$5:$AQ$860,40,0))</f>
        <v/>
      </c>
      <c r="G521" s="29" t="str">
        <f t="shared" si="40"/>
        <v/>
      </c>
      <c r="H521" s="29" t="str">
        <f t="shared" si="41"/>
        <v/>
      </c>
      <c r="I521" s="29" t="str">
        <f t="shared" si="42"/>
        <v/>
      </c>
      <c r="J521" s="29" t="str">
        <f t="shared" si="43"/>
        <v/>
      </c>
      <c r="K521" s="29" t="str">
        <f t="shared" si="44"/>
        <v/>
      </c>
    </row>
    <row r="522" spans="1:11" ht="15" x14ac:dyDescent="0.25">
      <c r="A522" s="1" t="str">
        <f>IF('1.1 Produksi Bersih Padi 2025'!A522="","",'1.1 Produksi Bersih Padi 2025'!A522)</f>
        <v/>
      </c>
      <c r="B522" s="31" t="str">
        <f>IF('1.1 Produksi Bersih Padi 2025'!B522="","",'1.1 Produksi Bersih Padi 2025'!B522)</f>
        <v/>
      </c>
      <c r="C522" s="31" t="str">
        <f>IF('1.1 Produksi Bersih Padi 2025'!C522="","",'1.1 Produksi Bersih Padi 2025'!C522)</f>
        <v/>
      </c>
      <c r="D522" s="1" t="str">
        <f>IF('1.1 Produksi Bersih Padi 2025'!D522="","",'1.1 Produksi Bersih Padi 2025'!D522)</f>
        <v/>
      </c>
      <c r="E522" s="1" t="str">
        <f>IF('1.1 Produksi Bersih Padi 2025'!E522="","",'1.1 Produksi Bersih Padi 2025'!E522)</f>
        <v/>
      </c>
      <c r="F522" s="28" t="str">
        <f>IF(D522="","",VLOOKUP(D522,'[1]0.1 Produksi Pangan &amp; Penduduk'!$D$5:$AQ$860,40,0))</f>
        <v/>
      </c>
      <c r="G522" s="29" t="str">
        <f t="shared" si="40"/>
        <v/>
      </c>
      <c r="H522" s="29" t="str">
        <f t="shared" si="41"/>
        <v/>
      </c>
      <c r="I522" s="29" t="str">
        <f t="shared" si="42"/>
        <v/>
      </c>
      <c r="J522" s="29" t="str">
        <f t="shared" si="43"/>
        <v/>
      </c>
      <c r="K522" s="29" t="str">
        <f t="shared" si="44"/>
        <v/>
      </c>
    </row>
    <row r="523" spans="1:11" ht="15" x14ac:dyDescent="0.25">
      <c r="A523" s="1" t="str">
        <f>IF('1.1 Produksi Bersih Padi 2025'!A523="","",'1.1 Produksi Bersih Padi 2025'!A523)</f>
        <v/>
      </c>
      <c r="B523" s="31" t="str">
        <f>IF('1.1 Produksi Bersih Padi 2025'!B523="","",'1.1 Produksi Bersih Padi 2025'!B523)</f>
        <v/>
      </c>
      <c r="C523" s="31" t="str">
        <f>IF('1.1 Produksi Bersih Padi 2025'!C523="","",'1.1 Produksi Bersih Padi 2025'!C523)</f>
        <v/>
      </c>
      <c r="D523" s="1" t="str">
        <f>IF('1.1 Produksi Bersih Padi 2025'!D523="","",'1.1 Produksi Bersih Padi 2025'!D523)</f>
        <v/>
      </c>
      <c r="E523" s="1" t="str">
        <f>IF('1.1 Produksi Bersih Padi 2025'!E523="","",'1.1 Produksi Bersih Padi 2025'!E523)</f>
        <v/>
      </c>
      <c r="F523" s="28" t="str">
        <f>IF(D523="","",VLOOKUP(D523,'[1]0.1 Produksi Pangan &amp; Penduduk'!$D$5:$AQ$860,40,0))</f>
        <v/>
      </c>
      <c r="G523" s="29" t="str">
        <f t="shared" si="40"/>
        <v/>
      </c>
      <c r="H523" s="29" t="str">
        <f t="shared" si="41"/>
        <v/>
      </c>
      <c r="I523" s="29" t="str">
        <f t="shared" si="42"/>
        <v/>
      </c>
      <c r="J523" s="29" t="str">
        <f t="shared" si="43"/>
        <v/>
      </c>
      <c r="K523" s="29" t="str">
        <f t="shared" si="44"/>
        <v/>
      </c>
    </row>
    <row r="524" spans="1:11" ht="15" x14ac:dyDescent="0.25">
      <c r="A524" s="1" t="str">
        <f>IF('1.1 Produksi Bersih Padi 2025'!A524="","",'1.1 Produksi Bersih Padi 2025'!A524)</f>
        <v/>
      </c>
      <c r="B524" s="31" t="str">
        <f>IF('1.1 Produksi Bersih Padi 2025'!B524="","",'1.1 Produksi Bersih Padi 2025'!B524)</f>
        <v/>
      </c>
      <c r="C524" s="31" t="str">
        <f>IF('1.1 Produksi Bersih Padi 2025'!C524="","",'1.1 Produksi Bersih Padi 2025'!C524)</f>
        <v/>
      </c>
      <c r="D524" s="1" t="str">
        <f>IF('1.1 Produksi Bersih Padi 2025'!D524="","",'1.1 Produksi Bersih Padi 2025'!D524)</f>
        <v/>
      </c>
      <c r="E524" s="1" t="str">
        <f>IF('1.1 Produksi Bersih Padi 2025'!E524="","",'1.1 Produksi Bersih Padi 2025'!E524)</f>
        <v/>
      </c>
      <c r="F524" s="28" t="str">
        <f>IF(D524="","",VLOOKUP(D524,'[1]0.1 Produksi Pangan &amp; Penduduk'!$D$5:$AQ$860,40,0))</f>
        <v/>
      </c>
      <c r="G524" s="29" t="str">
        <f t="shared" si="40"/>
        <v/>
      </c>
      <c r="H524" s="29" t="str">
        <f t="shared" si="41"/>
        <v/>
      </c>
      <c r="I524" s="29" t="str">
        <f t="shared" si="42"/>
        <v/>
      </c>
      <c r="J524" s="29" t="str">
        <f t="shared" si="43"/>
        <v/>
      </c>
      <c r="K524" s="29" t="str">
        <f t="shared" si="44"/>
        <v/>
      </c>
    </row>
    <row r="525" spans="1:11" ht="15" x14ac:dyDescent="0.25">
      <c r="A525" s="1" t="str">
        <f>IF('1.1 Produksi Bersih Padi 2025'!A525="","",'1.1 Produksi Bersih Padi 2025'!A525)</f>
        <v/>
      </c>
      <c r="B525" s="31" t="str">
        <f>IF('1.1 Produksi Bersih Padi 2025'!B525="","",'1.1 Produksi Bersih Padi 2025'!B525)</f>
        <v/>
      </c>
      <c r="C525" s="31" t="str">
        <f>IF('1.1 Produksi Bersih Padi 2025'!C525="","",'1.1 Produksi Bersih Padi 2025'!C525)</f>
        <v/>
      </c>
      <c r="D525" s="1" t="str">
        <f>IF('1.1 Produksi Bersih Padi 2025'!D525="","",'1.1 Produksi Bersih Padi 2025'!D525)</f>
        <v/>
      </c>
      <c r="E525" s="1" t="str">
        <f>IF('1.1 Produksi Bersih Padi 2025'!E525="","",'1.1 Produksi Bersih Padi 2025'!E525)</f>
        <v/>
      </c>
      <c r="F525" s="28" t="str">
        <f>IF(D525="","",VLOOKUP(D525,'[1]0.1 Produksi Pangan &amp; Penduduk'!$D$5:$AQ$860,40,0))</f>
        <v/>
      </c>
      <c r="G525" s="29" t="str">
        <f t="shared" si="40"/>
        <v/>
      </c>
      <c r="H525" s="29" t="str">
        <f t="shared" si="41"/>
        <v/>
      </c>
      <c r="I525" s="29" t="str">
        <f t="shared" si="42"/>
        <v/>
      </c>
      <c r="J525" s="29" t="str">
        <f t="shared" si="43"/>
        <v/>
      </c>
      <c r="K525" s="29" t="str">
        <f t="shared" si="44"/>
        <v/>
      </c>
    </row>
    <row r="526" spans="1:11" ht="15" x14ac:dyDescent="0.25">
      <c r="A526" s="1" t="str">
        <f>IF('1.1 Produksi Bersih Padi 2025'!A526="","",'1.1 Produksi Bersih Padi 2025'!A526)</f>
        <v/>
      </c>
      <c r="B526" s="31" t="str">
        <f>IF('1.1 Produksi Bersih Padi 2025'!B526="","",'1.1 Produksi Bersih Padi 2025'!B526)</f>
        <v/>
      </c>
      <c r="C526" s="31" t="str">
        <f>IF('1.1 Produksi Bersih Padi 2025'!C526="","",'1.1 Produksi Bersih Padi 2025'!C526)</f>
        <v/>
      </c>
      <c r="D526" s="1" t="str">
        <f>IF('1.1 Produksi Bersih Padi 2025'!D526="","",'1.1 Produksi Bersih Padi 2025'!D526)</f>
        <v/>
      </c>
      <c r="E526" s="1" t="str">
        <f>IF('1.1 Produksi Bersih Padi 2025'!E526="","",'1.1 Produksi Bersih Padi 2025'!E526)</f>
        <v/>
      </c>
      <c r="F526" s="28" t="str">
        <f>IF(D526="","",VLOOKUP(D526,'[1]0.1 Produksi Pangan &amp; Penduduk'!$D$5:$AQ$860,40,0))</f>
        <v/>
      </c>
      <c r="G526" s="29" t="str">
        <f t="shared" si="40"/>
        <v/>
      </c>
      <c r="H526" s="29" t="str">
        <f t="shared" si="41"/>
        <v/>
      </c>
      <c r="I526" s="29" t="str">
        <f t="shared" si="42"/>
        <v/>
      </c>
      <c r="J526" s="29" t="str">
        <f t="shared" si="43"/>
        <v/>
      </c>
      <c r="K526" s="29" t="str">
        <f t="shared" si="44"/>
        <v/>
      </c>
    </row>
    <row r="527" spans="1:11" ht="15" x14ac:dyDescent="0.25">
      <c r="A527" s="1" t="str">
        <f>IF('1.1 Produksi Bersih Padi 2025'!A527="","",'1.1 Produksi Bersih Padi 2025'!A527)</f>
        <v/>
      </c>
      <c r="B527" s="31" t="str">
        <f>IF('1.1 Produksi Bersih Padi 2025'!B527="","",'1.1 Produksi Bersih Padi 2025'!B527)</f>
        <v/>
      </c>
      <c r="C527" s="31" t="str">
        <f>IF('1.1 Produksi Bersih Padi 2025'!C527="","",'1.1 Produksi Bersih Padi 2025'!C527)</f>
        <v/>
      </c>
      <c r="D527" s="1" t="str">
        <f>IF('1.1 Produksi Bersih Padi 2025'!D527="","",'1.1 Produksi Bersih Padi 2025'!D527)</f>
        <v/>
      </c>
      <c r="E527" s="1" t="str">
        <f>IF('1.1 Produksi Bersih Padi 2025'!E527="","",'1.1 Produksi Bersih Padi 2025'!E527)</f>
        <v/>
      </c>
      <c r="F527" s="28" t="str">
        <f>IF(D527="","",VLOOKUP(D527,'[1]0.1 Produksi Pangan &amp; Penduduk'!$D$5:$AQ$860,40,0))</f>
        <v/>
      </c>
      <c r="G527" s="29" t="str">
        <f t="shared" si="40"/>
        <v/>
      </c>
      <c r="H527" s="29" t="str">
        <f t="shared" si="41"/>
        <v/>
      </c>
      <c r="I527" s="29" t="str">
        <f t="shared" si="42"/>
        <v/>
      </c>
      <c r="J527" s="29" t="str">
        <f t="shared" si="43"/>
        <v/>
      </c>
      <c r="K527" s="29" t="str">
        <f t="shared" si="44"/>
        <v/>
      </c>
    </row>
    <row r="528" spans="1:11" ht="15" x14ac:dyDescent="0.25">
      <c r="A528" s="1" t="str">
        <f>IF('1.1 Produksi Bersih Padi 2025'!A528="","",'1.1 Produksi Bersih Padi 2025'!A528)</f>
        <v/>
      </c>
      <c r="B528" s="31" t="str">
        <f>IF('1.1 Produksi Bersih Padi 2025'!B528="","",'1.1 Produksi Bersih Padi 2025'!B528)</f>
        <v/>
      </c>
      <c r="C528" s="31" t="str">
        <f>IF('1.1 Produksi Bersih Padi 2025'!C528="","",'1.1 Produksi Bersih Padi 2025'!C528)</f>
        <v/>
      </c>
      <c r="D528" s="1" t="str">
        <f>IF('1.1 Produksi Bersih Padi 2025'!D528="","",'1.1 Produksi Bersih Padi 2025'!D528)</f>
        <v/>
      </c>
      <c r="E528" s="1" t="str">
        <f>IF('1.1 Produksi Bersih Padi 2025'!E528="","",'1.1 Produksi Bersih Padi 2025'!E528)</f>
        <v/>
      </c>
      <c r="F528" s="28" t="str">
        <f>IF(D528="","",VLOOKUP(D528,'[1]0.1 Produksi Pangan &amp; Penduduk'!$D$5:$AQ$860,40,0))</f>
        <v/>
      </c>
      <c r="G528" s="29" t="str">
        <f t="shared" si="40"/>
        <v/>
      </c>
      <c r="H528" s="29" t="str">
        <f t="shared" si="41"/>
        <v/>
      </c>
      <c r="I528" s="29" t="str">
        <f t="shared" si="42"/>
        <v/>
      </c>
      <c r="J528" s="29" t="str">
        <f t="shared" si="43"/>
        <v/>
      </c>
      <c r="K528" s="29" t="str">
        <f t="shared" si="44"/>
        <v/>
      </c>
    </row>
    <row r="529" spans="1:11" ht="15" x14ac:dyDescent="0.25">
      <c r="A529" s="1" t="str">
        <f>IF('1.1 Produksi Bersih Padi 2025'!A529="","",'1.1 Produksi Bersih Padi 2025'!A529)</f>
        <v/>
      </c>
      <c r="B529" s="31" t="str">
        <f>IF('1.1 Produksi Bersih Padi 2025'!B529="","",'1.1 Produksi Bersih Padi 2025'!B529)</f>
        <v/>
      </c>
      <c r="C529" s="31" t="str">
        <f>IF('1.1 Produksi Bersih Padi 2025'!C529="","",'1.1 Produksi Bersih Padi 2025'!C529)</f>
        <v/>
      </c>
      <c r="D529" s="1" t="str">
        <f>IF('1.1 Produksi Bersih Padi 2025'!D529="","",'1.1 Produksi Bersih Padi 2025'!D529)</f>
        <v/>
      </c>
      <c r="E529" s="1" t="str">
        <f>IF('1.1 Produksi Bersih Padi 2025'!E529="","",'1.1 Produksi Bersih Padi 2025'!E529)</f>
        <v/>
      </c>
      <c r="F529" s="28" t="str">
        <f>IF(D529="","",VLOOKUP(D529,'[1]0.1 Produksi Pangan &amp; Penduduk'!$D$5:$AQ$860,40,0))</f>
        <v/>
      </c>
      <c r="G529" s="29" t="str">
        <f t="shared" si="40"/>
        <v/>
      </c>
      <c r="H529" s="29" t="str">
        <f t="shared" si="41"/>
        <v/>
      </c>
      <c r="I529" s="29" t="str">
        <f t="shared" si="42"/>
        <v/>
      </c>
      <c r="J529" s="29" t="str">
        <f t="shared" si="43"/>
        <v/>
      </c>
      <c r="K529" s="29" t="str">
        <f t="shared" si="44"/>
        <v/>
      </c>
    </row>
    <row r="530" spans="1:11" ht="15" x14ac:dyDescent="0.25">
      <c r="A530" s="1" t="str">
        <f>IF('1.1 Produksi Bersih Padi 2025'!A530="","",'1.1 Produksi Bersih Padi 2025'!A530)</f>
        <v/>
      </c>
      <c r="B530" s="31" t="str">
        <f>IF('1.1 Produksi Bersih Padi 2025'!B530="","",'1.1 Produksi Bersih Padi 2025'!B530)</f>
        <v/>
      </c>
      <c r="C530" s="31" t="str">
        <f>IF('1.1 Produksi Bersih Padi 2025'!C530="","",'1.1 Produksi Bersih Padi 2025'!C530)</f>
        <v/>
      </c>
      <c r="D530" s="1" t="str">
        <f>IF('1.1 Produksi Bersih Padi 2025'!D530="","",'1.1 Produksi Bersih Padi 2025'!D530)</f>
        <v/>
      </c>
      <c r="E530" s="1" t="str">
        <f>IF('1.1 Produksi Bersih Padi 2025'!E530="","",'1.1 Produksi Bersih Padi 2025'!E530)</f>
        <v/>
      </c>
      <c r="F530" s="28" t="str">
        <f>IF(D530="","",VLOOKUP(D530,'[1]0.1 Produksi Pangan &amp; Penduduk'!$D$5:$AQ$860,40,0))</f>
        <v/>
      </c>
      <c r="G530" s="29" t="str">
        <f t="shared" si="40"/>
        <v/>
      </c>
      <c r="H530" s="29" t="str">
        <f t="shared" si="41"/>
        <v/>
      </c>
      <c r="I530" s="29" t="str">
        <f t="shared" si="42"/>
        <v/>
      </c>
      <c r="J530" s="29" t="str">
        <f t="shared" si="43"/>
        <v/>
      </c>
      <c r="K530" s="29" t="str">
        <f t="shared" si="44"/>
        <v/>
      </c>
    </row>
    <row r="531" spans="1:11" ht="15" x14ac:dyDescent="0.25">
      <c r="A531" s="1" t="str">
        <f>IF('1.1 Produksi Bersih Padi 2025'!A531="","",'1.1 Produksi Bersih Padi 2025'!A531)</f>
        <v/>
      </c>
      <c r="B531" s="31" t="str">
        <f>IF('1.1 Produksi Bersih Padi 2025'!B531="","",'1.1 Produksi Bersih Padi 2025'!B531)</f>
        <v/>
      </c>
      <c r="C531" s="31" t="str">
        <f>IF('1.1 Produksi Bersih Padi 2025'!C531="","",'1.1 Produksi Bersih Padi 2025'!C531)</f>
        <v/>
      </c>
      <c r="D531" s="1" t="str">
        <f>IF('1.1 Produksi Bersih Padi 2025'!D531="","",'1.1 Produksi Bersih Padi 2025'!D531)</f>
        <v/>
      </c>
      <c r="E531" s="1" t="str">
        <f>IF('1.1 Produksi Bersih Padi 2025'!E531="","",'1.1 Produksi Bersih Padi 2025'!E531)</f>
        <v/>
      </c>
      <c r="F531" s="28" t="str">
        <f>IF(D531="","",VLOOKUP(D531,'[1]0.1 Produksi Pangan &amp; Penduduk'!$D$5:$AQ$860,40,0))</f>
        <v/>
      </c>
      <c r="G531" s="29" t="str">
        <f t="shared" si="40"/>
        <v/>
      </c>
      <c r="H531" s="29" t="str">
        <f t="shared" si="41"/>
        <v/>
      </c>
      <c r="I531" s="29" t="str">
        <f t="shared" si="42"/>
        <v/>
      </c>
      <c r="J531" s="29" t="str">
        <f t="shared" si="43"/>
        <v/>
      </c>
      <c r="K531" s="29" t="str">
        <f t="shared" si="44"/>
        <v/>
      </c>
    </row>
    <row r="532" spans="1:11" ht="15" x14ac:dyDescent="0.25">
      <c r="A532" s="1" t="str">
        <f>IF('1.1 Produksi Bersih Padi 2025'!A532="","",'1.1 Produksi Bersih Padi 2025'!A532)</f>
        <v/>
      </c>
      <c r="B532" s="31" t="str">
        <f>IF('1.1 Produksi Bersih Padi 2025'!B532="","",'1.1 Produksi Bersih Padi 2025'!B532)</f>
        <v/>
      </c>
      <c r="C532" s="31" t="str">
        <f>IF('1.1 Produksi Bersih Padi 2025'!C532="","",'1.1 Produksi Bersih Padi 2025'!C532)</f>
        <v/>
      </c>
      <c r="D532" s="1" t="str">
        <f>IF('1.1 Produksi Bersih Padi 2025'!D532="","",'1.1 Produksi Bersih Padi 2025'!D532)</f>
        <v/>
      </c>
      <c r="E532" s="1" t="str">
        <f>IF('1.1 Produksi Bersih Padi 2025'!E532="","",'1.1 Produksi Bersih Padi 2025'!E532)</f>
        <v/>
      </c>
      <c r="F532" s="28" t="str">
        <f>IF(D532="","",VLOOKUP(D532,'[1]0.1 Produksi Pangan &amp; Penduduk'!$D$5:$AQ$860,40,0))</f>
        <v/>
      </c>
      <c r="G532" s="29" t="str">
        <f t="shared" si="40"/>
        <v/>
      </c>
      <c r="H532" s="29" t="str">
        <f t="shared" si="41"/>
        <v/>
      </c>
      <c r="I532" s="29" t="str">
        <f t="shared" si="42"/>
        <v/>
      </c>
      <c r="J532" s="29" t="str">
        <f t="shared" si="43"/>
        <v/>
      </c>
      <c r="K532" s="29" t="str">
        <f t="shared" si="44"/>
        <v/>
      </c>
    </row>
    <row r="533" spans="1:11" ht="15" x14ac:dyDescent="0.25">
      <c r="A533" s="1" t="str">
        <f>IF('1.1 Produksi Bersih Padi 2025'!A533="","",'1.1 Produksi Bersih Padi 2025'!A533)</f>
        <v/>
      </c>
      <c r="B533" s="31" t="str">
        <f>IF('1.1 Produksi Bersih Padi 2025'!B533="","",'1.1 Produksi Bersih Padi 2025'!B533)</f>
        <v/>
      </c>
      <c r="C533" s="31" t="str">
        <f>IF('1.1 Produksi Bersih Padi 2025'!C533="","",'1.1 Produksi Bersih Padi 2025'!C533)</f>
        <v/>
      </c>
      <c r="D533" s="1" t="str">
        <f>IF('1.1 Produksi Bersih Padi 2025'!D533="","",'1.1 Produksi Bersih Padi 2025'!D533)</f>
        <v/>
      </c>
      <c r="E533" s="1" t="str">
        <f>IF('1.1 Produksi Bersih Padi 2025'!E533="","",'1.1 Produksi Bersih Padi 2025'!E533)</f>
        <v/>
      </c>
      <c r="F533" s="28" t="str">
        <f>IF(D533="","",VLOOKUP(D533,'[1]0.1 Produksi Pangan &amp; Penduduk'!$D$5:$AQ$860,40,0))</f>
        <v/>
      </c>
      <c r="G533" s="29" t="str">
        <f t="shared" si="40"/>
        <v/>
      </c>
      <c r="H533" s="29" t="str">
        <f t="shared" si="41"/>
        <v/>
      </c>
      <c r="I533" s="29" t="str">
        <f t="shared" si="42"/>
        <v/>
      </c>
      <c r="J533" s="29" t="str">
        <f t="shared" si="43"/>
        <v/>
      </c>
      <c r="K533" s="29" t="str">
        <f t="shared" si="44"/>
        <v/>
      </c>
    </row>
    <row r="534" spans="1:11" ht="15" x14ac:dyDescent="0.25">
      <c r="A534" s="1" t="str">
        <f>IF('1.1 Produksi Bersih Padi 2025'!A534="","",'1.1 Produksi Bersih Padi 2025'!A534)</f>
        <v/>
      </c>
      <c r="B534" s="31" t="str">
        <f>IF('1.1 Produksi Bersih Padi 2025'!B534="","",'1.1 Produksi Bersih Padi 2025'!B534)</f>
        <v/>
      </c>
      <c r="C534" s="31" t="str">
        <f>IF('1.1 Produksi Bersih Padi 2025'!C534="","",'1.1 Produksi Bersih Padi 2025'!C534)</f>
        <v/>
      </c>
      <c r="D534" s="1" t="str">
        <f>IF('1.1 Produksi Bersih Padi 2025'!D534="","",'1.1 Produksi Bersih Padi 2025'!D534)</f>
        <v/>
      </c>
      <c r="E534" s="1" t="str">
        <f>IF('1.1 Produksi Bersih Padi 2025'!E534="","",'1.1 Produksi Bersih Padi 2025'!E534)</f>
        <v/>
      </c>
      <c r="F534" s="28" t="str">
        <f>IF(D534="","",VLOOKUP(D534,'[1]0.1 Produksi Pangan &amp; Penduduk'!$D$5:$AQ$860,40,0))</f>
        <v/>
      </c>
      <c r="G534" s="29" t="str">
        <f t="shared" si="40"/>
        <v/>
      </c>
      <c r="H534" s="29" t="str">
        <f t="shared" si="41"/>
        <v/>
      </c>
      <c r="I534" s="29" t="str">
        <f t="shared" si="42"/>
        <v/>
      </c>
      <c r="J534" s="29" t="str">
        <f t="shared" si="43"/>
        <v/>
      </c>
      <c r="K534" s="29" t="str">
        <f t="shared" si="44"/>
        <v/>
      </c>
    </row>
    <row r="535" spans="1:11" ht="15" x14ac:dyDescent="0.25">
      <c r="A535" s="1" t="str">
        <f>IF('1.1 Produksi Bersih Padi 2025'!A535="","",'1.1 Produksi Bersih Padi 2025'!A535)</f>
        <v/>
      </c>
      <c r="B535" s="31" t="str">
        <f>IF('1.1 Produksi Bersih Padi 2025'!B535="","",'1.1 Produksi Bersih Padi 2025'!B535)</f>
        <v/>
      </c>
      <c r="C535" s="31" t="str">
        <f>IF('1.1 Produksi Bersih Padi 2025'!C535="","",'1.1 Produksi Bersih Padi 2025'!C535)</f>
        <v/>
      </c>
      <c r="D535" s="1" t="str">
        <f>IF('1.1 Produksi Bersih Padi 2025'!D535="","",'1.1 Produksi Bersih Padi 2025'!D535)</f>
        <v/>
      </c>
      <c r="E535" s="1" t="str">
        <f>IF('1.1 Produksi Bersih Padi 2025'!E535="","",'1.1 Produksi Bersih Padi 2025'!E535)</f>
        <v/>
      </c>
      <c r="F535" s="28" t="str">
        <f>IF(D535="","",VLOOKUP(D535,'[1]0.1 Produksi Pangan &amp; Penduduk'!$D$5:$AQ$860,40,0))</f>
        <v/>
      </c>
      <c r="G535" s="29" t="str">
        <f t="shared" si="40"/>
        <v/>
      </c>
      <c r="H535" s="29" t="str">
        <f t="shared" si="41"/>
        <v/>
      </c>
      <c r="I535" s="29" t="str">
        <f t="shared" si="42"/>
        <v/>
      </c>
      <c r="J535" s="29" t="str">
        <f t="shared" si="43"/>
        <v/>
      </c>
      <c r="K535" s="29" t="str">
        <f t="shared" si="44"/>
        <v/>
      </c>
    </row>
    <row r="536" spans="1:11" ht="15" x14ac:dyDescent="0.25">
      <c r="A536" s="1" t="str">
        <f>IF('1.1 Produksi Bersih Padi 2025'!A536="","",'1.1 Produksi Bersih Padi 2025'!A536)</f>
        <v/>
      </c>
      <c r="B536" s="31" t="str">
        <f>IF('1.1 Produksi Bersih Padi 2025'!B536="","",'1.1 Produksi Bersih Padi 2025'!B536)</f>
        <v/>
      </c>
      <c r="C536" s="31" t="str">
        <f>IF('1.1 Produksi Bersih Padi 2025'!C536="","",'1.1 Produksi Bersih Padi 2025'!C536)</f>
        <v/>
      </c>
      <c r="D536" s="1" t="str">
        <f>IF('1.1 Produksi Bersih Padi 2025'!D536="","",'1.1 Produksi Bersih Padi 2025'!D536)</f>
        <v/>
      </c>
      <c r="E536" s="1" t="str">
        <f>IF('1.1 Produksi Bersih Padi 2025'!E536="","",'1.1 Produksi Bersih Padi 2025'!E536)</f>
        <v/>
      </c>
      <c r="F536" s="28" t="str">
        <f>IF(D536="","",VLOOKUP(D536,'[1]0.1 Produksi Pangan &amp; Penduduk'!$D$5:$AQ$860,40,0))</f>
        <v/>
      </c>
      <c r="G536" s="29" t="str">
        <f t="shared" si="40"/>
        <v/>
      </c>
      <c r="H536" s="29" t="str">
        <f t="shared" si="41"/>
        <v/>
      </c>
      <c r="I536" s="29" t="str">
        <f t="shared" si="42"/>
        <v/>
      </c>
      <c r="J536" s="29" t="str">
        <f t="shared" si="43"/>
        <v/>
      </c>
      <c r="K536" s="29" t="str">
        <f t="shared" si="44"/>
        <v/>
      </c>
    </row>
    <row r="537" spans="1:11" ht="15" x14ac:dyDescent="0.25">
      <c r="A537" s="1" t="str">
        <f>IF('1.1 Produksi Bersih Padi 2025'!A537="","",'1.1 Produksi Bersih Padi 2025'!A537)</f>
        <v/>
      </c>
      <c r="B537" s="31" t="str">
        <f>IF('1.1 Produksi Bersih Padi 2025'!B537="","",'1.1 Produksi Bersih Padi 2025'!B537)</f>
        <v/>
      </c>
      <c r="C537" s="31" t="str">
        <f>IF('1.1 Produksi Bersih Padi 2025'!C537="","",'1.1 Produksi Bersih Padi 2025'!C537)</f>
        <v/>
      </c>
      <c r="D537" s="1" t="str">
        <f>IF('1.1 Produksi Bersih Padi 2025'!D537="","",'1.1 Produksi Bersih Padi 2025'!D537)</f>
        <v/>
      </c>
      <c r="E537" s="1" t="str">
        <f>IF('1.1 Produksi Bersih Padi 2025'!E537="","",'1.1 Produksi Bersih Padi 2025'!E537)</f>
        <v/>
      </c>
      <c r="F537" s="28" t="str">
        <f>IF(D537="","",VLOOKUP(D537,'[1]0.1 Produksi Pangan &amp; Penduduk'!$D$5:$AQ$860,40,0))</f>
        <v/>
      </c>
      <c r="G537" s="29" t="str">
        <f t="shared" si="40"/>
        <v/>
      </c>
      <c r="H537" s="29" t="str">
        <f t="shared" si="41"/>
        <v/>
      </c>
      <c r="I537" s="29" t="str">
        <f t="shared" si="42"/>
        <v/>
      </c>
      <c r="J537" s="29" t="str">
        <f t="shared" si="43"/>
        <v/>
      </c>
      <c r="K537" s="29" t="str">
        <f t="shared" si="44"/>
        <v/>
      </c>
    </row>
    <row r="538" spans="1:11" ht="15" x14ac:dyDescent="0.25">
      <c r="A538" s="1" t="str">
        <f>IF('1.1 Produksi Bersih Padi 2025'!A538="","",'1.1 Produksi Bersih Padi 2025'!A538)</f>
        <v/>
      </c>
      <c r="B538" s="31" t="str">
        <f>IF('1.1 Produksi Bersih Padi 2025'!B538="","",'1.1 Produksi Bersih Padi 2025'!B538)</f>
        <v/>
      </c>
      <c r="C538" s="31" t="str">
        <f>IF('1.1 Produksi Bersih Padi 2025'!C538="","",'1.1 Produksi Bersih Padi 2025'!C538)</f>
        <v/>
      </c>
      <c r="D538" s="1" t="str">
        <f>IF('1.1 Produksi Bersih Padi 2025'!D538="","",'1.1 Produksi Bersih Padi 2025'!D538)</f>
        <v/>
      </c>
      <c r="E538" s="1" t="str">
        <f>IF('1.1 Produksi Bersih Padi 2025'!E538="","",'1.1 Produksi Bersih Padi 2025'!E538)</f>
        <v/>
      </c>
      <c r="F538" s="28" t="str">
        <f>IF(D538="","",VLOOKUP(D538,'[1]0.1 Produksi Pangan &amp; Penduduk'!$D$5:$AQ$860,40,0))</f>
        <v/>
      </c>
      <c r="G538" s="29" t="str">
        <f t="shared" si="40"/>
        <v/>
      </c>
      <c r="H538" s="29" t="str">
        <f t="shared" si="41"/>
        <v/>
      </c>
      <c r="I538" s="29" t="str">
        <f t="shared" si="42"/>
        <v/>
      </c>
      <c r="J538" s="29" t="str">
        <f t="shared" si="43"/>
        <v/>
      </c>
      <c r="K538" s="29" t="str">
        <f t="shared" si="44"/>
        <v/>
      </c>
    </row>
    <row r="539" spans="1:11" ht="15" x14ac:dyDescent="0.25">
      <c r="A539" s="1" t="str">
        <f>IF('1.1 Produksi Bersih Padi 2025'!A539="","",'1.1 Produksi Bersih Padi 2025'!A539)</f>
        <v/>
      </c>
      <c r="B539" s="31" t="str">
        <f>IF('1.1 Produksi Bersih Padi 2025'!B539="","",'1.1 Produksi Bersih Padi 2025'!B539)</f>
        <v/>
      </c>
      <c r="C539" s="31" t="str">
        <f>IF('1.1 Produksi Bersih Padi 2025'!C539="","",'1.1 Produksi Bersih Padi 2025'!C539)</f>
        <v/>
      </c>
      <c r="D539" s="1" t="str">
        <f>IF('1.1 Produksi Bersih Padi 2025'!D539="","",'1.1 Produksi Bersih Padi 2025'!D539)</f>
        <v/>
      </c>
      <c r="E539" s="1" t="str">
        <f>IF('1.1 Produksi Bersih Padi 2025'!E539="","",'1.1 Produksi Bersih Padi 2025'!E539)</f>
        <v/>
      </c>
      <c r="F539" s="28" t="str">
        <f>IF(D539="","",VLOOKUP(D539,'[1]0.1 Produksi Pangan &amp; Penduduk'!$D$5:$AQ$860,40,0))</f>
        <v/>
      </c>
      <c r="G539" s="29" t="str">
        <f t="shared" si="40"/>
        <v/>
      </c>
      <c r="H539" s="29" t="str">
        <f t="shared" si="41"/>
        <v/>
      </c>
      <c r="I539" s="29" t="str">
        <f t="shared" si="42"/>
        <v/>
      </c>
      <c r="J539" s="29" t="str">
        <f t="shared" si="43"/>
        <v/>
      </c>
      <c r="K539" s="29" t="str">
        <f t="shared" si="44"/>
        <v/>
      </c>
    </row>
    <row r="540" spans="1:11" ht="15" x14ac:dyDescent="0.25">
      <c r="A540" s="1" t="str">
        <f>IF('1.1 Produksi Bersih Padi 2025'!A540="","",'1.1 Produksi Bersih Padi 2025'!A540)</f>
        <v/>
      </c>
      <c r="B540" s="31" t="str">
        <f>IF('1.1 Produksi Bersih Padi 2025'!B540="","",'1.1 Produksi Bersih Padi 2025'!B540)</f>
        <v/>
      </c>
      <c r="C540" s="31" t="str">
        <f>IF('1.1 Produksi Bersih Padi 2025'!C540="","",'1.1 Produksi Bersih Padi 2025'!C540)</f>
        <v/>
      </c>
      <c r="D540" s="1" t="str">
        <f>IF('1.1 Produksi Bersih Padi 2025'!D540="","",'1.1 Produksi Bersih Padi 2025'!D540)</f>
        <v/>
      </c>
      <c r="E540" s="1" t="str">
        <f>IF('1.1 Produksi Bersih Padi 2025'!E540="","",'1.1 Produksi Bersih Padi 2025'!E540)</f>
        <v/>
      </c>
      <c r="F540" s="28" t="str">
        <f>IF(D540="","",VLOOKUP(D540,'[1]0.1 Produksi Pangan &amp; Penduduk'!$D$5:$AQ$860,40,0))</f>
        <v/>
      </c>
      <c r="G540" s="29" t="str">
        <f t="shared" si="40"/>
        <v/>
      </c>
      <c r="H540" s="29" t="str">
        <f t="shared" si="41"/>
        <v/>
      </c>
      <c r="I540" s="29" t="str">
        <f t="shared" si="42"/>
        <v/>
      </c>
      <c r="J540" s="29" t="str">
        <f t="shared" si="43"/>
        <v/>
      </c>
      <c r="K540" s="29" t="str">
        <f t="shared" si="44"/>
        <v/>
      </c>
    </row>
    <row r="541" spans="1:11" ht="15" x14ac:dyDescent="0.25">
      <c r="A541" s="1" t="str">
        <f>IF('1.1 Produksi Bersih Padi 2025'!A541="","",'1.1 Produksi Bersih Padi 2025'!A541)</f>
        <v/>
      </c>
      <c r="B541" s="31" t="str">
        <f>IF('1.1 Produksi Bersih Padi 2025'!B541="","",'1.1 Produksi Bersih Padi 2025'!B541)</f>
        <v/>
      </c>
      <c r="C541" s="31" t="str">
        <f>IF('1.1 Produksi Bersih Padi 2025'!C541="","",'1.1 Produksi Bersih Padi 2025'!C541)</f>
        <v/>
      </c>
      <c r="D541" s="1" t="str">
        <f>IF('1.1 Produksi Bersih Padi 2025'!D541="","",'1.1 Produksi Bersih Padi 2025'!D541)</f>
        <v/>
      </c>
      <c r="E541" s="1" t="str">
        <f>IF('1.1 Produksi Bersih Padi 2025'!E541="","",'1.1 Produksi Bersih Padi 2025'!E541)</f>
        <v/>
      </c>
      <c r="F541" s="28" t="str">
        <f>IF(D541="","",VLOOKUP(D541,'[1]0.1 Produksi Pangan &amp; Penduduk'!$D$5:$AQ$860,40,0))</f>
        <v/>
      </c>
      <c r="G541" s="29" t="str">
        <f t="shared" si="40"/>
        <v/>
      </c>
      <c r="H541" s="29" t="str">
        <f t="shared" si="41"/>
        <v/>
      </c>
      <c r="I541" s="29" t="str">
        <f t="shared" si="42"/>
        <v/>
      </c>
      <c r="J541" s="29" t="str">
        <f t="shared" si="43"/>
        <v/>
      </c>
      <c r="K541" s="29" t="str">
        <f t="shared" si="44"/>
        <v/>
      </c>
    </row>
    <row r="542" spans="1:11" ht="15" x14ac:dyDescent="0.25">
      <c r="A542" s="1" t="str">
        <f>IF('1.1 Produksi Bersih Padi 2025'!A542="","",'1.1 Produksi Bersih Padi 2025'!A542)</f>
        <v/>
      </c>
      <c r="B542" s="31" t="str">
        <f>IF('1.1 Produksi Bersih Padi 2025'!B542="","",'1.1 Produksi Bersih Padi 2025'!B542)</f>
        <v/>
      </c>
      <c r="C542" s="31" t="str">
        <f>IF('1.1 Produksi Bersih Padi 2025'!C542="","",'1.1 Produksi Bersih Padi 2025'!C542)</f>
        <v/>
      </c>
      <c r="D542" s="1" t="str">
        <f>IF('1.1 Produksi Bersih Padi 2025'!D542="","",'1.1 Produksi Bersih Padi 2025'!D542)</f>
        <v/>
      </c>
      <c r="E542" s="1" t="str">
        <f>IF('1.1 Produksi Bersih Padi 2025'!E542="","",'1.1 Produksi Bersih Padi 2025'!E542)</f>
        <v/>
      </c>
      <c r="F542" s="28" t="str">
        <f>IF(D542="","",VLOOKUP(D542,'[1]0.1 Produksi Pangan &amp; Penduduk'!$D$5:$AQ$860,40,0))</f>
        <v/>
      </c>
      <c r="G542" s="29" t="str">
        <f t="shared" si="40"/>
        <v/>
      </c>
      <c r="H542" s="29" t="str">
        <f t="shared" si="41"/>
        <v/>
      </c>
      <c r="I542" s="29" t="str">
        <f t="shared" si="42"/>
        <v/>
      </c>
      <c r="J542" s="29" t="str">
        <f t="shared" si="43"/>
        <v/>
      </c>
      <c r="K542" s="29" t="str">
        <f t="shared" si="44"/>
        <v/>
      </c>
    </row>
    <row r="543" spans="1:11" ht="15" x14ac:dyDescent="0.25">
      <c r="A543" s="1" t="str">
        <f>IF('1.1 Produksi Bersih Padi 2025'!A543="","",'1.1 Produksi Bersih Padi 2025'!A543)</f>
        <v/>
      </c>
      <c r="B543" s="31" t="str">
        <f>IF('1.1 Produksi Bersih Padi 2025'!B543="","",'1.1 Produksi Bersih Padi 2025'!B543)</f>
        <v/>
      </c>
      <c r="C543" s="31" t="str">
        <f>IF('1.1 Produksi Bersih Padi 2025'!C543="","",'1.1 Produksi Bersih Padi 2025'!C543)</f>
        <v/>
      </c>
      <c r="D543" s="1" t="str">
        <f>IF('1.1 Produksi Bersih Padi 2025'!D543="","",'1.1 Produksi Bersih Padi 2025'!D543)</f>
        <v/>
      </c>
      <c r="E543" s="1" t="str">
        <f>IF('1.1 Produksi Bersih Padi 2025'!E543="","",'1.1 Produksi Bersih Padi 2025'!E543)</f>
        <v/>
      </c>
      <c r="F543" s="28" t="str">
        <f>IF(D543="","",VLOOKUP(D543,'[1]0.1 Produksi Pangan &amp; Penduduk'!$D$5:$AQ$860,40,0))</f>
        <v/>
      </c>
      <c r="G543" s="29" t="str">
        <f t="shared" si="40"/>
        <v/>
      </c>
      <c r="H543" s="29" t="str">
        <f t="shared" si="41"/>
        <v/>
      </c>
      <c r="I543" s="29" t="str">
        <f t="shared" si="42"/>
        <v/>
      </c>
      <c r="J543" s="29" t="str">
        <f t="shared" si="43"/>
        <v/>
      </c>
      <c r="K543" s="29" t="str">
        <f t="shared" si="44"/>
        <v/>
      </c>
    </row>
    <row r="544" spans="1:11" ht="15" x14ac:dyDescent="0.25">
      <c r="A544" s="1" t="str">
        <f>IF('1.1 Produksi Bersih Padi 2025'!A544="","",'1.1 Produksi Bersih Padi 2025'!A544)</f>
        <v/>
      </c>
      <c r="B544" s="31" t="str">
        <f>IF('1.1 Produksi Bersih Padi 2025'!B544="","",'1.1 Produksi Bersih Padi 2025'!B544)</f>
        <v/>
      </c>
      <c r="C544" s="31" t="str">
        <f>IF('1.1 Produksi Bersih Padi 2025'!C544="","",'1.1 Produksi Bersih Padi 2025'!C544)</f>
        <v/>
      </c>
      <c r="D544" s="1" t="str">
        <f>IF('1.1 Produksi Bersih Padi 2025'!D544="","",'1.1 Produksi Bersih Padi 2025'!D544)</f>
        <v/>
      </c>
      <c r="E544" s="1" t="str">
        <f>IF('1.1 Produksi Bersih Padi 2025'!E544="","",'1.1 Produksi Bersih Padi 2025'!E544)</f>
        <v/>
      </c>
      <c r="F544" s="28" t="str">
        <f>IF(D544="","",VLOOKUP(D544,'[1]0.1 Produksi Pangan &amp; Penduduk'!$D$5:$AQ$860,40,0))</f>
        <v/>
      </c>
      <c r="G544" s="29" t="str">
        <f t="shared" si="40"/>
        <v/>
      </c>
      <c r="H544" s="29" t="str">
        <f t="shared" si="41"/>
        <v/>
      </c>
      <c r="I544" s="29" t="str">
        <f t="shared" si="42"/>
        <v/>
      </c>
      <c r="J544" s="29" t="str">
        <f t="shared" si="43"/>
        <v/>
      </c>
      <c r="K544" s="29" t="str">
        <f t="shared" si="44"/>
        <v/>
      </c>
    </row>
    <row r="545" spans="1:11" ht="15" x14ac:dyDescent="0.25">
      <c r="A545" s="1" t="str">
        <f>IF('1.1 Produksi Bersih Padi 2025'!A545="","",'1.1 Produksi Bersih Padi 2025'!A545)</f>
        <v/>
      </c>
      <c r="B545" s="31" t="str">
        <f>IF('1.1 Produksi Bersih Padi 2025'!B545="","",'1.1 Produksi Bersih Padi 2025'!B545)</f>
        <v/>
      </c>
      <c r="C545" s="31" t="str">
        <f>IF('1.1 Produksi Bersih Padi 2025'!C545="","",'1.1 Produksi Bersih Padi 2025'!C545)</f>
        <v/>
      </c>
      <c r="D545" s="1" t="str">
        <f>IF('1.1 Produksi Bersih Padi 2025'!D545="","",'1.1 Produksi Bersih Padi 2025'!D545)</f>
        <v/>
      </c>
      <c r="E545" s="1" t="str">
        <f>IF('1.1 Produksi Bersih Padi 2025'!E545="","",'1.1 Produksi Bersih Padi 2025'!E545)</f>
        <v/>
      </c>
      <c r="F545" s="28" t="str">
        <f>IF(D545="","",VLOOKUP(D545,'[1]0.1 Produksi Pangan &amp; Penduduk'!$D$5:$AQ$860,40,0))</f>
        <v/>
      </c>
      <c r="G545" s="29" t="str">
        <f t="shared" si="40"/>
        <v/>
      </c>
      <c r="H545" s="29" t="str">
        <f t="shared" si="41"/>
        <v/>
      </c>
      <c r="I545" s="29" t="str">
        <f t="shared" si="42"/>
        <v/>
      </c>
      <c r="J545" s="29" t="str">
        <f t="shared" si="43"/>
        <v/>
      </c>
      <c r="K545" s="29" t="str">
        <f t="shared" si="44"/>
        <v/>
      </c>
    </row>
    <row r="546" spans="1:11" ht="15" x14ac:dyDescent="0.25">
      <c r="A546" s="1" t="str">
        <f>IF('1.1 Produksi Bersih Padi 2025'!A546="","",'1.1 Produksi Bersih Padi 2025'!A546)</f>
        <v/>
      </c>
      <c r="B546" s="31" t="str">
        <f>IF('1.1 Produksi Bersih Padi 2025'!B546="","",'1.1 Produksi Bersih Padi 2025'!B546)</f>
        <v/>
      </c>
      <c r="C546" s="31" t="str">
        <f>IF('1.1 Produksi Bersih Padi 2025'!C546="","",'1.1 Produksi Bersih Padi 2025'!C546)</f>
        <v/>
      </c>
      <c r="D546" s="1" t="str">
        <f>IF('1.1 Produksi Bersih Padi 2025'!D546="","",'1.1 Produksi Bersih Padi 2025'!D546)</f>
        <v/>
      </c>
      <c r="E546" s="1" t="str">
        <f>IF('1.1 Produksi Bersih Padi 2025'!E546="","",'1.1 Produksi Bersih Padi 2025'!E546)</f>
        <v/>
      </c>
      <c r="F546" s="28" t="str">
        <f>IF(D546="","",VLOOKUP(D546,'[1]0.1 Produksi Pangan &amp; Penduduk'!$D$5:$AQ$860,40,0))</f>
        <v/>
      </c>
      <c r="G546" s="29" t="str">
        <f t="shared" si="40"/>
        <v/>
      </c>
      <c r="H546" s="29" t="str">
        <f t="shared" si="41"/>
        <v/>
      </c>
      <c r="I546" s="29" t="str">
        <f t="shared" si="42"/>
        <v/>
      </c>
      <c r="J546" s="29" t="str">
        <f t="shared" si="43"/>
        <v/>
      </c>
      <c r="K546" s="29" t="str">
        <f t="shared" si="44"/>
        <v/>
      </c>
    </row>
    <row r="547" spans="1:11" ht="15" x14ac:dyDescent="0.25">
      <c r="A547" s="1" t="str">
        <f>IF('1.1 Produksi Bersih Padi 2025'!A547="","",'1.1 Produksi Bersih Padi 2025'!A547)</f>
        <v/>
      </c>
      <c r="B547" s="31" t="str">
        <f>IF('1.1 Produksi Bersih Padi 2025'!B547="","",'1.1 Produksi Bersih Padi 2025'!B547)</f>
        <v/>
      </c>
      <c r="C547" s="31" t="str">
        <f>IF('1.1 Produksi Bersih Padi 2025'!C547="","",'1.1 Produksi Bersih Padi 2025'!C547)</f>
        <v/>
      </c>
      <c r="D547" s="1" t="str">
        <f>IF('1.1 Produksi Bersih Padi 2025'!D547="","",'1.1 Produksi Bersih Padi 2025'!D547)</f>
        <v/>
      </c>
      <c r="E547" s="1" t="str">
        <f>IF('1.1 Produksi Bersih Padi 2025'!E547="","",'1.1 Produksi Bersih Padi 2025'!E547)</f>
        <v/>
      </c>
      <c r="F547" s="28" t="str">
        <f>IF(D547="","",VLOOKUP(D547,'[1]0.1 Produksi Pangan &amp; Penduduk'!$D$5:$AQ$860,40,0))</f>
        <v/>
      </c>
      <c r="G547" s="29" t="str">
        <f t="shared" si="40"/>
        <v/>
      </c>
      <c r="H547" s="29" t="str">
        <f t="shared" si="41"/>
        <v/>
      </c>
      <c r="I547" s="29" t="str">
        <f t="shared" si="42"/>
        <v/>
      </c>
      <c r="J547" s="29" t="str">
        <f t="shared" si="43"/>
        <v/>
      </c>
      <c r="K547" s="29" t="str">
        <f t="shared" si="44"/>
        <v/>
      </c>
    </row>
    <row r="548" spans="1:11" ht="15" x14ac:dyDescent="0.25">
      <c r="A548" s="1" t="str">
        <f>IF('1.1 Produksi Bersih Padi 2025'!A548="","",'1.1 Produksi Bersih Padi 2025'!A548)</f>
        <v/>
      </c>
      <c r="B548" s="31" t="str">
        <f>IF('1.1 Produksi Bersih Padi 2025'!B548="","",'1.1 Produksi Bersih Padi 2025'!B548)</f>
        <v/>
      </c>
      <c r="C548" s="31" t="str">
        <f>IF('1.1 Produksi Bersih Padi 2025'!C548="","",'1.1 Produksi Bersih Padi 2025'!C548)</f>
        <v/>
      </c>
      <c r="D548" s="1" t="str">
        <f>IF('1.1 Produksi Bersih Padi 2025'!D548="","",'1.1 Produksi Bersih Padi 2025'!D548)</f>
        <v/>
      </c>
      <c r="E548" s="1" t="str">
        <f>IF('1.1 Produksi Bersih Padi 2025'!E548="","",'1.1 Produksi Bersih Padi 2025'!E548)</f>
        <v/>
      </c>
      <c r="F548" s="28" t="str">
        <f>IF(D548="","",VLOOKUP(D548,'[1]0.1 Produksi Pangan &amp; Penduduk'!$D$5:$AQ$860,40,0))</f>
        <v/>
      </c>
      <c r="G548" s="29" t="str">
        <f t="shared" si="40"/>
        <v/>
      </c>
      <c r="H548" s="29" t="str">
        <f t="shared" si="41"/>
        <v/>
      </c>
      <c r="I548" s="29" t="str">
        <f t="shared" si="42"/>
        <v/>
      </c>
      <c r="J548" s="29" t="str">
        <f t="shared" si="43"/>
        <v/>
      </c>
      <c r="K548" s="29" t="str">
        <f t="shared" si="44"/>
        <v/>
      </c>
    </row>
    <row r="549" spans="1:11" ht="15" x14ac:dyDescent="0.25">
      <c r="A549" s="1" t="str">
        <f>IF('1.1 Produksi Bersih Padi 2025'!A549="","",'1.1 Produksi Bersih Padi 2025'!A549)</f>
        <v/>
      </c>
      <c r="B549" s="31" t="str">
        <f>IF('1.1 Produksi Bersih Padi 2025'!B549="","",'1.1 Produksi Bersih Padi 2025'!B549)</f>
        <v/>
      </c>
      <c r="C549" s="31" t="str">
        <f>IF('1.1 Produksi Bersih Padi 2025'!C549="","",'1.1 Produksi Bersih Padi 2025'!C549)</f>
        <v/>
      </c>
      <c r="D549" s="1" t="str">
        <f>IF('1.1 Produksi Bersih Padi 2025'!D549="","",'1.1 Produksi Bersih Padi 2025'!D549)</f>
        <v/>
      </c>
      <c r="E549" s="1" t="str">
        <f>IF('1.1 Produksi Bersih Padi 2025'!E549="","",'1.1 Produksi Bersih Padi 2025'!E549)</f>
        <v/>
      </c>
      <c r="F549" s="28" t="str">
        <f>IF(D549="","",VLOOKUP(D549,'[1]0.1 Produksi Pangan &amp; Penduduk'!$D$5:$AQ$860,40,0))</f>
        <v/>
      </c>
      <c r="G549" s="29" t="str">
        <f t="shared" si="40"/>
        <v/>
      </c>
      <c r="H549" s="29" t="str">
        <f t="shared" si="41"/>
        <v/>
      </c>
      <c r="I549" s="29" t="str">
        <f t="shared" si="42"/>
        <v/>
      </c>
      <c r="J549" s="29" t="str">
        <f t="shared" si="43"/>
        <v/>
      </c>
      <c r="K549" s="29" t="str">
        <f t="shared" si="44"/>
        <v/>
      </c>
    </row>
    <row r="550" spans="1:11" ht="15" x14ac:dyDescent="0.25">
      <c r="A550" s="1" t="str">
        <f>IF('1.1 Produksi Bersih Padi 2025'!A550="","",'1.1 Produksi Bersih Padi 2025'!A550)</f>
        <v/>
      </c>
      <c r="B550" s="31" t="str">
        <f>IF('1.1 Produksi Bersih Padi 2025'!B550="","",'1.1 Produksi Bersih Padi 2025'!B550)</f>
        <v/>
      </c>
      <c r="C550" s="31" t="str">
        <f>IF('1.1 Produksi Bersih Padi 2025'!C550="","",'1.1 Produksi Bersih Padi 2025'!C550)</f>
        <v/>
      </c>
      <c r="D550" s="1" t="str">
        <f>IF('1.1 Produksi Bersih Padi 2025'!D550="","",'1.1 Produksi Bersih Padi 2025'!D550)</f>
        <v/>
      </c>
      <c r="E550" s="1" t="str">
        <f>IF('1.1 Produksi Bersih Padi 2025'!E550="","",'1.1 Produksi Bersih Padi 2025'!E550)</f>
        <v/>
      </c>
      <c r="F550" s="28" t="str">
        <f>IF(D550="","",VLOOKUP(D550,'[1]0.1 Produksi Pangan &amp; Penduduk'!$D$5:$AQ$860,40,0))</f>
        <v/>
      </c>
      <c r="G550" s="29" t="str">
        <f t="shared" si="40"/>
        <v/>
      </c>
      <c r="H550" s="29" t="str">
        <f t="shared" si="41"/>
        <v/>
      </c>
      <c r="I550" s="29" t="str">
        <f t="shared" si="42"/>
        <v/>
      </c>
      <c r="J550" s="29" t="str">
        <f t="shared" si="43"/>
        <v/>
      </c>
      <c r="K550" s="29" t="str">
        <f t="shared" si="44"/>
        <v/>
      </c>
    </row>
    <row r="551" spans="1:11" ht="15" x14ac:dyDescent="0.25">
      <c r="A551" s="1" t="str">
        <f>IF('1.1 Produksi Bersih Padi 2025'!A551="","",'1.1 Produksi Bersih Padi 2025'!A551)</f>
        <v/>
      </c>
      <c r="B551" s="31" t="str">
        <f>IF('1.1 Produksi Bersih Padi 2025'!B551="","",'1.1 Produksi Bersih Padi 2025'!B551)</f>
        <v/>
      </c>
      <c r="C551" s="31" t="str">
        <f>IF('1.1 Produksi Bersih Padi 2025'!C551="","",'1.1 Produksi Bersih Padi 2025'!C551)</f>
        <v/>
      </c>
      <c r="D551" s="1" t="str">
        <f>IF('1.1 Produksi Bersih Padi 2025'!D551="","",'1.1 Produksi Bersih Padi 2025'!D551)</f>
        <v/>
      </c>
      <c r="E551" s="1" t="str">
        <f>IF('1.1 Produksi Bersih Padi 2025'!E551="","",'1.1 Produksi Bersih Padi 2025'!E551)</f>
        <v/>
      </c>
      <c r="F551" s="28" t="str">
        <f>IF(D551="","",VLOOKUP(D551,'[1]0.1 Produksi Pangan &amp; Penduduk'!$D$5:$AQ$860,40,0))</f>
        <v/>
      </c>
      <c r="G551" s="29" t="str">
        <f t="shared" si="40"/>
        <v/>
      </c>
      <c r="H551" s="29" t="str">
        <f t="shared" si="41"/>
        <v/>
      </c>
      <c r="I551" s="29" t="str">
        <f t="shared" si="42"/>
        <v/>
      </c>
      <c r="J551" s="29" t="str">
        <f t="shared" si="43"/>
        <v/>
      </c>
      <c r="K551" s="29" t="str">
        <f t="shared" si="44"/>
        <v/>
      </c>
    </row>
    <row r="552" spans="1:11" ht="15" x14ac:dyDescent="0.25">
      <c r="A552" s="1" t="str">
        <f>IF('1.1 Produksi Bersih Padi 2025'!A552="","",'1.1 Produksi Bersih Padi 2025'!A552)</f>
        <v/>
      </c>
      <c r="B552" s="31" t="str">
        <f>IF('1.1 Produksi Bersih Padi 2025'!B552="","",'1.1 Produksi Bersih Padi 2025'!B552)</f>
        <v/>
      </c>
      <c r="C552" s="31" t="str">
        <f>IF('1.1 Produksi Bersih Padi 2025'!C552="","",'1.1 Produksi Bersih Padi 2025'!C552)</f>
        <v/>
      </c>
      <c r="D552" s="1" t="str">
        <f>IF('1.1 Produksi Bersih Padi 2025'!D552="","",'1.1 Produksi Bersih Padi 2025'!D552)</f>
        <v/>
      </c>
      <c r="E552" s="1" t="str">
        <f>IF('1.1 Produksi Bersih Padi 2025'!E552="","",'1.1 Produksi Bersih Padi 2025'!E552)</f>
        <v/>
      </c>
      <c r="F552" s="28" t="str">
        <f>IF(D552="","",VLOOKUP(D552,'[1]0.1 Produksi Pangan &amp; Penduduk'!$D$5:$AQ$860,40,0))</f>
        <v/>
      </c>
      <c r="G552" s="29" t="str">
        <f t="shared" si="40"/>
        <v/>
      </c>
      <c r="H552" s="29" t="str">
        <f t="shared" si="41"/>
        <v/>
      </c>
      <c r="I552" s="29" t="str">
        <f t="shared" si="42"/>
        <v/>
      </c>
      <c r="J552" s="29" t="str">
        <f t="shared" si="43"/>
        <v/>
      </c>
      <c r="K552" s="29" t="str">
        <f t="shared" si="44"/>
        <v/>
      </c>
    </row>
    <row r="553" spans="1:11" ht="15" x14ac:dyDescent="0.25">
      <c r="A553" s="1" t="str">
        <f>IF('1.1 Produksi Bersih Padi 2025'!A553="","",'1.1 Produksi Bersih Padi 2025'!A553)</f>
        <v/>
      </c>
      <c r="B553" s="31" t="str">
        <f>IF('1.1 Produksi Bersih Padi 2025'!B553="","",'1.1 Produksi Bersih Padi 2025'!B553)</f>
        <v/>
      </c>
      <c r="C553" s="31" t="str">
        <f>IF('1.1 Produksi Bersih Padi 2025'!C553="","",'1.1 Produksi Bersih Padi 2025'!C553)</f>
        <v/>
      </c>
      <c r="D553" s="1" t="str">
        <f>IF('1.1 Produksi Bersih Padi 2025'!D553="","",'1.1 Produksi Bersih Padi 2025'!D553)</f>
        <v/>
      </c>
      <c r="E553" s="1" t="str">
        <f>IF('1.1 Produksi Bersih Padi 2025'!E553="","",'1.1 Produksi Bersih Padi 2025'!E553)</f>
        <v/>
      </c>
      <c r="F553" s="28" t="str">
        <f>IF(D553="","",VLOOKUP(D553,'[1]0.1 Produksi Pangan &amp; Penduduk'!$D$5:$AQ$860,40,0))</f>
        <v/>
      </c>
      <c r="G553" s="29" t="str">
        <f t="shared" si="40"/>
        <v/>
      </c>
      <c r="H553" s="29" t="str">
        <f t="shared" si="41"/>
        <v/>
      </c>
      <c r="I553" s="29" t="str">
        <f t="shared" si="42"/>
        <v/>
      </c>
      <c r="J553" s="29" t="str">
        <f t="shared" si="43"/>
        <v/>
      </c>
      <c r="K553" s="29" t="str">
        <f t="shared" si="44"/>
        <v/>
      </c>
    </row>
    <row r="554" spans="1:11" ht="15" x14ac:dyDescent="0.25">
      <c r="A554" s="1" t="str">
        <f>IF('1.1 Produksi Bersih Padi 2025'!A554="","",'1.1 Produksi Bersih Padi 2025'!A554)</f>
        <v/>
      </c>
      <c r="B554" s="31" t="str">
        <f>IF('1.1 Produksi Bersih Padi 2025'!B554="","",'1.1 Produksi Bersih Padi 2025'!B554)</f>
        <v/>
      </c>
      <c r="C554" s="31" t="str">
        <f>IF('1.1 Produksi Bersih Padi 2025'!C554="","",'1.1 Produksi Bersih Padi 2025'!C554)</f>
        <v/>
      </c>
      <c r="D554" s="1" t="str">
        <f>IF('1.1 Produksi Bersih Padi 2025'!D554="","",'1.1 Produksi Bersih Padi 2025'!D554)</f>
        <v/>
      </c>
      <c r="E554" s="1" t="str">
        <f>IF('1.1 Produksi Bersih Padi 2025'!E554="","",'1.1 Produksi Bersih Padi 2025'!E554)</f>
        <v/>
      </c>
      <c r="F554" s="28" t="str">
        <f>IF(D554="","",VLOOKUP(D554,'[1]0.1 Produksi Pangan &amp; Penduduk'!$D$5:$AQ$860,40,0))</f>
        <v/>
      </c>
      <c r="G554" s="29" t="str">
        <f t="shared" si="40"/>
        <v/>
      </c>
      <c r="H554" s="29" t="str">
        <f t="shared" si="41"/>
        <v/>
      </c>
      <c r="I554" s="29" t="str">
        <f t="shared" si="42"/>
        <v/>
      </c>
      <c r="J554" s="29" t="str">
        <f t="shared" si="43"/>
        <v/>
      </c>
      <c r="K554" s="29" t="str">
        <f t="shared" si="44"/>
        <v/>
      </c>
    </row>
    <row r="555" spans="1:11" ht="15" x14ac:dyDescent="0.25">
      <c r="A555" s="1" t="str">
        <f>IF('1.1 Produksi Bersih Padi 2025'!A555="","",'1.1 Produksi Bersih Padi 2025'!A555)</f>
        <v/>
      </c>
      <c r="B555" s="31" t="str">
        <f>IF('1.1 Produksi Bersih Padi 2025'!B555="","",'1.1 Produksi Bersih Padi 2025'!B555)</f>
        <v/>
      </c>
      <c r="C555" s="31" t="str">
        <f>IF('1.1 Produksi Bersih Padi 2025'!C555="","",'1.1 Produksi Bersih Padi 2025'!C555)</f>
        <v/>
      </c>
      <c r="D555" s="1" t="str">
        <f>IF('1.1 Produksi Bersih Padi 2025'!D555="","",'1.1 Produksi Bersih Padi 2025'!D555)</f>
        <v/>
      </c>
      <c r="E555" s="1" t="str">
        <f>IF('1.1 Produksi Bersih Padi 2025'!E555="","",'1.1 Produksi Bersih Padi 2025'!E555)</f>
        <v/>
      </c>
      <c r="F555" s="28" t="str">
        <f>IF(D555="","",VLOOKUP(D555,'[1]0.1 Produksi Pangan &amp; Penduduk'!$D$5:$AQ$860,40,0))</f>
        <v/>
      </c>
      <c r="G555" s="29" t="str">
        <f t="shared" si="40"/>
        <v/>
      </c>
      <c r="H555" s="29" t="str">
        <f t="shared" si="41"/>
        <v/>
      </c>
      <c r="I555" s="29" t="str">
        <f t="shared" si="42"/>
        <v/>
      </c>
      <c r="J555" s="29" t="str">
        <f t="shared" si="43"/>
        <v/>
      </c>
      <c r="K555" s="29" t="str">
        <f t="shared" si="44"/>
        <v/>
      </c>
    </row>
    <row r="556" spans="1:11" ht="15" x14ac:dyDescent="0.25">
      <c r="A556" s="1" t="str">
        <f>IF('1.1 Produksi Bersih Padi 2025'!A556="","",'1.1 Produksi Bersih Padi 2025'!A556)</f>
        <v/>
      </c>
      <c r="B556" s="31" t="str">
        <f>IF('1.1 Produksi Bersih Padi 2025'!B556="","",'1.1 Produksi Bersih Padi 2025'!B556)</f>
        <v/>
      </c>
      <c r="C556" s="31" t="str">
        <f>IF('1.1 Produksi Bersih Padi 2025'!C556="","",'1.1 Produksi Bersih Padi 2025'!C556)</f>
        <v/>
      </c>
      <c r="D556" s="1" t="str">
        <f>IF('1.1 Produksi Bersih Padi 2025'!D556="","",'1.1 Produksi Bersih Padi 2025'!D556)</f>
        <v/>
      </c>
      <c r="E556" s="1" t="str">
        <f>IF('1.1 Produksi Bersih Padi 2025'!E556="","",'1.1 Produksi Bersih Padi 2025'!E556)</f>
        <v/>
      </c>
      <c r="F556" s="28" t="str">
        <f>IF(D556="","",VLOOKUP(D556,'[1]0.1 Produksi Pangan &amp; Penduduk'!$D$5:$AQ$860,40,0))</f>
        <v/>
      </c>
      <c r="G556" s="29" t="str">
        <f t="shared" si="40"/>
        <v/>
      </c>
      <c r="H556" s="29" t="str">
        <f t="shared" si="41"/>
        <v/>
      </c>
      <c r="I556" s="29" t="str">
        <f t="shared" si="42"/>
        <v/>
      </c>
      <c r="J556" s="29" t="str">
        <f t="shared" si="43"/>
        <v/>
      </c>
      <c r="K556" s="29" t="str">
        <f t="shared" si="44"/>
        <v/>
      </c>
    </row>
    <row r="557" spans="1:11" ht="15" x14ac:dyDescent="0.25">
      <c r="A557" s="1" t="str">
        <f>IF('1.1 Produksi Bersih Padi 2025'!A557="","",'1.1 Produksi Bersih Padi 2025'!A557)</f>
        <v/>
      </c>
      <c r="B557" s="31" t="str">
        <f>IF('1.1 Produksi Bersih Padi 2025'!B557="","",'1.1 Produksi Bersih Padi 2025'!B557)</f>
        <v/>
      </c>
      <c r="C557" s="31" t="str">
        <f>IF('1.1 Produksi Bersih Padi 2025'!C557="","",'1.1 Produksi Bersih Padi 2025'!C557)</f>
        <v/>
      </c>
      <c r="D557" s="1" t="str">
        <f>IF('1.1 Produksi Bersih Padi 2025'!D557="","",'1.1 Produksi Bersih Padi 2025'!D557)</f>
        <v/>
      </c>
      <c r="E557" s="1" t="str">
        <f>IF('1.1 Produksi Bersih Padi 2025'!E557="","",'1.1 Produksi Bersih Padi 2025'!E557)</f>
        <v/>
      </c>
      <c r="F557" s="28" t="str">
        <f>IF(D557="","",VLOOKUP(D557,'[1]0.1 Produksi Pangan &amp; Penduduk'!$D$5:$AQ$860,40,0))</f>
        <v/>
      </c>
      <c r="G557" s="29" t="str">
        <f t="shared" si="40"/>
        <v/>
      </c>
      <c r="H557" s="29" t="str">
        <f t="shared" si="41"/>
        <v/>
      </c>
      <c r="I557" s="29" t="str">
        <f t="shared" si="42"/>
        <v/>
      </c>
      <c r="J557" s="29" t="str">
        <f t="shared" si="43"/>
        <v/>
      </c>
      <c r="K557" s="29" t="str">
        <f t="shared" si="44"/>
        <v/>
      </c>
    </row>
    <row r="558" spans="1:11" ht="15" x14ac:dyDescent="0.25">
      <c r="A558" s="1" t="str">
        <f>IF('1.1 Produksi Bersih Padi 2025'!A558="","",'1.1 Produksi Bersih Padi 2025'!A558)</f>
        <v/>
      </c>
      <c r="B558" s="31" t="str">
        <f>IF('1.1 Produksi Bersih Padi 2025'!B558="","",'1.1 Produksi Bersih Padi 2025'!B558)</f>
        <v/>
      </c>
      <c r="C558" s="31" t="str">
        <f>IF('1.1 Produksi Bersih Padi 2025'!C558="","",'1.1 Produksi Bersih Padi 2025'!C558)</f>
        <v/>
      </c>
      <c r="D558" s="1" t="str">
        <f>IF('1.1 Produksi Bersih Padi 2025'!D558="","",'1.1 Produksi Bersih Padi 2025'!D558)</f>
        <v/>
      </c>
      <c r="E558" s="1" t="str">
        <f>IF('1.1 Produksi Bersih Padi 2025'!E558="","",'1.1 Produksi Bersih Padi 2025'!E558)</f>
        <v/>
      </c>
      <c r="F558" s="28" t="str">
        <f>IF(D558="","",VLOOKUP(D558,'[1]0.1 Produksi Pangan &amp; Penduduk'!$D$5:$AQ$860,40,0))</f>
        <v/>
      </c>
      <c r="G558" s="29" t="str">
        <f t="shared" si="40"/>
        <v/>
      </c>
      <c r="H558" s="29" t="str">
        <f t="shared" si="41"/>
        <v/>
      </c>
      <c r="I558" s="29" t="str">
        <f t="shared" si="42"/>
        <v/>
      </c>
      <c r="J558" s="29" t="str">
        <f t="shared" si="43"/>
        <v/>
      </c>
      <c r="K558" s="29" t="str">
        <f t="shared" si="44"/>
        <v/>
      </c>
    </row>
    <row r="559" spans="1:11" ht="15" x14ac:dyDescent="0.25">
      <c r="A559" s="1" t="str">
        <f>IF('1.1 Produksi Bersih Padi 2025'!A559="","",'1.1 Produksi Bersih Padi 2025'!A559)</f>
        <v/>
      </c>
      <c r="B559" s="31" t="str">
        <f>IF('1.1 Produksi Bersih Padi 2025'!B559="","",'1.1 Produksi Bersih Padi 2025'!B559)</f>
        <v/>
      </c>
      <c r="C559" s="31" t="str">
        <f>IF('1.1 Produksi Bersih Padi 2025'!C559="","",'1.1 Produksi Bersih Padi 2025'!C559)</f>
        <v/>
      </c>
      <c r="D559" s="1" t="str">
        <f>IF('1.1 Produksi Bersih Padi 2025'!D559="","",'1.1 Produksi Bersih Padi 2025'!D559)</f>
        <v/>
      </c>
      <c r="E559" s="1" t="str">
        <f>IF('1.1 Produksi Bersih Padi 2025'!E559="","",'1.1 Produksi Bersih Padi 2025'!E559)</f>
        <v/>
      </c>
      <c r="F559" s="28" t="str">
        <f>IF(D559="","",VLOOKUP(D559,'[1]0.1 Produksi Pangan &amp; Penduduk'!$D$5:$AQ$860,40,0))</f>
        <v/>
      </c>
      <c r="G559" s="29" t="str">
        <f t="shared" si="40"/>
        <v/>
      </c>
      <c r="H559" s="29" t="str">
        <f t="shared" si="41"/>
        <v/>
      </c>
      <c r="I559" s="29" t="str">
        <f t="shared" si="42"/>
        <v/>
      </c>
      <c r="J559" s="29" t="str">
        <f t="shared" si="43"/>
        <v/>
      </c>
      <c r="K559" s="29" t="str">
        <f t="shared" si="44"/>
        <v/>
      </c>
    </row>
    <row r="560" spans="1:11" ht="15" x14ac:dyDescent="0.25">
      <c r="A560" s="1" t="str">
        <f>IF('1.1 Produksi Bersih Padi 2025'!A560="","",'1.1 Produksi Bersih Padi 2025'!A560)</f>
        <v/>
      </c>
      <c r="B560" s="31" t="str">
        <f>IF('1.1 Produksi Bersih Padi 2025'!B560="","",'1.1 Produksi Bersih Padi 2025'!B560)</f>
        <v/>
      </c>
      <c r="C560" s="31" t="str">
        <f>IF('1.1 Produksi Bersih Padi 2025'!C560="","",'1.1 Produksi Bersih Padi 2025'!C560)</f>
        <v/>
      </c>
      <c r="D560" s="1" t="str">
        <f>IF('1.1 Produksi Bersih Padi 2025'!D560="","",'1.1 Produksi Bersih Padi 2025'!D560)</f>
        <v/>
      </c>
      <c r="E560" s="1" t="str">
        <f>IF('1.1 Produksi Bersih Padi 2025'!E560="","",'1.1 Produksi Bersih Padi 2025'!E560)</f>
        <v/>
      </c>
      <c r="F560" s="28" t="str">
        <f>IF(D560="","",VLOOKUP(D560,'[1]0.1 Produksi Pangan &amp; Penduduk'!$D$5:$AQ$860,40,0))</f>
        <v/>
      </c>
      <c r="G560" s="29" t="str">
        <f t="shared" si="40"/>
        <v/>
      </c>
      <c r="H560" s="29" t="str">
        <f t="shared" si="41"/>
        <v/>
      </c>
      <c r="I560" s="29" t="str">
        <f t="shared" si="42"/>
        <v/>
      </c>
      <c r="J560" s="29" t="str">
        <f t="shared" si="43"/>
        <v/>
      </c>
      <c r="K560" s="29" t="str">
        <f t="shared" si="44"/>
        <v/>
      </c>
    </row>
    <row r="561" spans="1:11" ht="15" x14ac:dyDescent="0.25">
      <c r="A561" s="1" t="str">
        <f>IF('1.1 Produksi Bersih Padi 2025'!A561="","",'1.1 Produksi Bersih Padi 2025'!A561)</f>
        <v/>
      </c>
      <c r="B561" s="31" t="str">
        <f>IF('1.1 Produksi Bersih Padi 2025'!B561="","",'1.1 Produksi Bersih Padi 2025'!B561)</f>
        <v/>
      </c>
      <c r="C561" s="31" t="str">
        <f>IF('1.1 Produksi Bersih Padi 2025'!C561="","",'1.1 Produksi Bersih Padi 2025'!C561)</f>
        <v/>
      </c>
      <c r="D561" s="1" t="str">
        <f>IF('1.1 Produksi Bersih Padi 2025'!D561="","",'1.1 Produksi Bersih Padi 2025'!D561)</f>
        <v/>
      </c>
      <c r="E561" s="1" t="str">
        <f>IF('1.1 Produksi Bersih Padi 2025'!E561="","",'1.1 Produksi Bersih Padi 2025'!E561)</f>
        <v/>
      </c>
      <c r="F561" s="28" t="str">
        <f>IF(D561="","",VLOOKUP(D561,'[1]0.1 Produksi Pangan &amp; Penduduk'!$D$5:$AQ$860,40,0))</f>
        <v/>
      </c>
      <c r="G561" s="29" t="str">
        <f t="shared" si="40"/>
        <v/>
      </c>
      <c r="H561" s="29" t="str">
        <f t="shared" si="41"/>
        <v/>
      </c>
      <c r="I561" s="29" t="str">
        <f t="shared" si="42"/>
        <v/>
      </c>
      <c r="J561" s="29" t="str">
        <f t="shared" si="43"/>
        <v/>
      </c>
      <c r="K561" s="29" t="str">
        <f t="shared" si="44"/>
        <v/>
      </c>
    </row>
    <row r="562" spans="1:11" ht="15" x14ac:dyDescent="0.25">
      <c r="A562" s="1" t="str">
        <f>IF('1.1 Produksi Bersih Padi 2025'!A562="","",'1.1 Produksi Bersih Padi 2025'!A562)</f>
        <v/>
      </c>
      <c r="B562" s="31" t="str">
        <f>IF('1.1 Produksi Bersih Padi 2025'!B562="","",'1.1 Produksi Bersih Padi 2025'!B562)</f>
        <v/>
      </c>
      <c r="C562" s="31" t="str">
        <f>IF('1.1 Produksi Bersih Padi 2025'!C562="","",'1.1 Produksi Bersih Padi 2025'!C562)</f>
        <v/>
      </c>
      <c r="D562" s="1" t="str">
        <f>IF('1.1 Produksi Bersih Padi 2025'!D562="","",'1.1 Produksi Bersih Padi 2025'!D562)</f>
        <v/>
      </c>
      <c r="E562" s="1" t="str">
        <f>IF('1.1 Produksi Bersih Padi 2025'!E562="","",'1.1 Produksi Bersih Padi 2025'!E562)</f>
        <v/>
      </c>
      <c r="F562" s="28" t="str">
        <f>IF(D562="","",VLOOKUP(D562,'[1]0.1 Produksi Pangan &amp; Penduduk'!$D$5:$AQ$860,40,0))</f>
        <v/>
      </c>
      <c r="G562" s="29" t="str">
        <f t="shared" si="40"/>
        <v/>
      </c>
      <c r="H562" s="29" t="str">
        <f t="shared" si="41"/>
        <v/>
      </c>
      <c r="I562" s="29" t="str">
        <f t="shared" si="42"/>
        <v/>
      </c>
      <c r="J562" s="29" t="str">
        <f t="shared" si="43"/>
        <v/>
      </c>
      <c r="K562" s="29" t="str">
        <f t="shared" si="44"/>
        <v/>
      </c>
    </row>
    <row r="563" spans="1:11" ht="15" x14ac:dyDescent="0.25">
      <c r="A563" s="1" t="str">
        <f>IF('1.1 Produksi Bersih Padi 2025'!A563="","",'1.1 Produksi Bersih Padi 2025'!A563)</f>
        <v/>
      </c>
      <c r="B563" s="31" t="str">
        <f>IF('1.1 Produksi Bersih Padi 2025'!B563="","",'1.1 Produksi Bersih Padi 2025'!B563)</f>
        <v/>
      </c>
      <c r="C563" s="31" t="str">
        <f>IF('1.1 Produksi Bersih Padi 2025'!C563="","",'1.1 Produksi Bersih Padi 2025'!C563)</f>
        <v/>
      </c>
      <c r="D563" s="1" t="str">
        <f>IF('1.1 Produksi Bersih Padi 2025'!D563="","",'1.1 Produksi Bersih Padi 2025'!D563)</f>
        <v/>
      </c>
      <c r="E563" s="1" t="str">
        <f>IF('1.1 Produksi Bersih Padi 2025'!E563="","",'1.1 Produksi Bersih Padi 2025'!E563)</f>
        <v/>
      </c>
      <c r="F563" s="28" t="str">
        <f>IF(D563="","",VLOOKUP(D563,'[1]0.1 Produksi Pangan &amp; Penduduk'!$D$5:$AQ$860,40,0))</f>
        <v/>
      </c>
      <c r="G563" s="29" t="str">
        <f t="shared" si="40"/>
        <v/>
      </c>
      <c r="H563" s="29" t="str">
        <f t="shared" si="41"/>
        <v/>
      </c>
      <c r="I563" s="29" t="str">
        <f t="shared" si="42"/>
        <v/>
      </c>
      <c r="J563" s="29" t="str">
        <f t="shared" si="43"/>
        <v/>
      </c>
      <c r="K563" s="29" t="str">
        <f t="shared" si="44"/>
        <v/>
      </c>
    </row>
    <row r="564" spans="1:11" ht="15" x14ac:dyDescent="0.25">
      <c r="A564" s="1" t="str">
        <f>IF('1.1 Produksi Bersih Padi 2025'!A564="","",'1.1 Produksi Bersih Padi 2025'!A564)</f>
        <v/>
      </c>
      <c r="B564" s="31" t="str">
        <f>IF('1.1 Produksi Bersih Padi 2025'!B564="","",'1.1 Produksi Bersih Padi 2025'!B564)</f>
        <v/>
      </c>
      <c r="C564" s="31" t="str">
        <f>IF('1.1 Produksi Bersih Padi 2025'!C564="","",'1.1 Produksi Bersih Padi 2025'!C564)</f>
        <v/>
      </c>
      <c r="D564" s="1" t="str">
        <f>IF('1.1 Produksi Bersih Padi 2025'!D564="","",'1.1 Produksi Bersih Padi 2025'!D564)</f>
        <v/>
      </c>
      <c r="E564" s="1" t="str">
        <f>IF('1.1 Produksi Bersih Padi 2025'!E564="","",'1.1 Produksi Bersih Padi 2025'!E564)</f>
        <v/>
      </c>
      <c r="F564" s="28" t="str">
        <f>IF(D564="","",VLOOKUP(D564,'[1]0.1 Produksi Pangan &amp; Penduduk'!$D$5:$AQ$860,40,0))</f>
        <v/>
      </c>
      <c r="G564" s="29" t="str">
        <f t="shared" si="40"/>
        <v/>
      </c>
      <c r="H564" s="29" t="str">
        <f t="shared" si="41"/>
        <v/>
      </c>
      <c r="I564" s="29" t="str">
        <f t="shared" si="42"/>
        <v/>
      </c>
      <c r="J564" s="29" t="str">
        <f t="shared" si="43"/>
        <v/>
      </c>
      <c r="K564" s="29" t="str">
        <f t="shared" si="44"/>
        <v/>
      </c>
    </row>
    <row r="565" spans="1:11" ht="15" x14ac:dyDescent="0.25">
      <c r="A565" s="1" t="str">
        <f>IF('1.1 Produksi Bersih Padi 2025'!A565="","",'1.1 Produksi Bersih Padi 2025'!A565)</f>
        <v/>
      </c>
      <c r="B565" s="31" t="str">
        <f>IF('1.1 Produksi Bersih Padi 2025'!B565="","",'1.1 Produksi Bersih Padi 2025'!B565)</f>
        <v/>
      </c>
      <c r="C565" s="31" t="str">
        <f>IF('1.1 Produksi Bersih Padi 2025'!C565="","",'1.1 Produksi Bersih Padi 2025'!C565)</f>
        <v/>
      </c>
      <c r="D565" s="1" t="str">
        <f>IF('1.1 Produksi Bersih Padi 2025'!D565="","",'1.1 Produksi Bersih Padi 2025'!D565)</f>
        <v/>
      </c>
      <c r="E565" s="1" t="str">
        <f>IF('1.1 Produksi Bersih Padi 2025'!E565="","",'1.1 Produksi Bersih Padi 2025'!E565)</f>
        <v/>
      </c>
      <c r="F565" s="28" t="str">
        <f>IF(D565="","",VLOOKUP(D565,'[1]0.1 Produksi Pangan &amp; Penduduk'!$D$5:$AQ$860,40,0))</f>
        <v/>
      </c>
      <c r="G565" s="29" t="str">
        <f t="shared" si="40"/>
        <v/>
      </c>
      <c r="H565" s="29" t="str">
        <f t="shared" si="41"/>
        <v/>
      </c>
      <c r="I565" s="29" t="str">
        <f t="shared" si="42"/>
        <v/>
      </c>
      <c r="J565" s="29" t="str">
        <f t="shared" si="43"/>
        <v/>
      </c>
      <c r="K565" s="29" t="str">
        <f t="shared" si="44"/>
        <v/>
      </c>
    </row>
    <row r="566" spans="1:11" ht="15" x14ac:dyDescent="0.25">
      <c r="A566" s="1" t="str">
        <f>IF('1.1 Produksi Bersih Padi 2025'!A566="","",'1.1 Produksi Bersih Padi 2025'!A566)</f>
        <v/>
      </c>
      <c r="B566" s="31" t="str">
        <f>IF('1.1 Produksi Bersih Padi 2025'!B566="","",'1.1 Produksi Bersih Padi 2025'!B566)</f>
        <v/>
      </c>
      <c r="C566" s="31" t="str">
        <f>IF('1.1 Produksi Bersih Padi 2025'!C566="","",'1.1 Produksi Bersih Padi 2025'!C566)</f>
        <v/>
      </c>
      <c r="D566" s="1" t="str">
        <f>IF('1.1 Produksi Bersih Padi 2025'!D566="","",'1.1 Produksi Bersih Padi 2025'!D566)</f>
        <v/>
      </c>
      <c r="E566" s="1" t="str">
        <f>IF('1.1 Produksi Bersih Padi 2025'!E566="","",'1.1 Produksi Bersih Padi 2025'!E566)</f>
        <v/>
      </c>
      <c r="F566" s="28" t="str">
        <f>IF(D566="","",VLOOKUP(D566,'[1]0.1 Produksi Pangan &amp; Penduduk'!$D$5:$AQ$860,40,0))</f>
        <v/>
      </c>
      <c r="G566" s="29" t="str">
        <f t="shared" si="40"/>
        <v/>
      </c>
      <c r="H566" s="29" t="str">
        <f t="shared" si="41"/>
        <v/>
      </c>
      <c r="I566" s="29" t="str">
        <f t="shared" si="42"/>
        <v/>
      </c>
      <c r="J566" s="29" t="str">
        <f t="shared" si="43"/>
        <v/>
      </c>
      <c r="K566" s="29" t="str">
        <f t="shared" si="44"/>
        <v/>
      </c>
    </row>
    <row r="567" spans="1:11" ht="15" x14ac:dyDescent="0.25">
      <c r="A567" s="1" t="str">
        <f>IF('1.1 Produksi Bersih Padi 2025'!A567="","",'1.1 Produksi Bersih Padi 2025'!A567)</f>
        <v/>
      </c>
      <c r="B567" s="31" t="str">
        <f>IF('1.1 Produksi Bersih Padi 2025'!B567="","",'1.1 Produksi Bersih Padi 2025'!B567)</f>
        <v/>
      </c>
      <c r="C567" s="31" t="str">
        <f>IF('1.1 Produksi Bersih Padi 2025'!C567="","",'1.1 Produksi Bersih Padi 2025'!C567)</f>
        <v/>
      </c>
      <c r="D567" s="1" t="str">
        <f>IF('1.1 Produksi Bersih Padi 2025'!D567="","",'1.1 Produksi Bersih Padi 2025'!D567)</f>
        <v/>
      </c>
      <c r="E567" s="1" t="str">
        <f>IF('1.1 Produksi Bersih Padi 2025'!E567="","",'1.1 Produksi Bersih Padi 2025'!E567)</f>
        <v/>
      </c>
      <c r="F567" s="28" t="str">
        <f>IF(D567="","",VLOOKUP(D567,'[1]0.1 Produksi Pangan &amp; Penduduk'!$D$5:$AQ$860,40,0))</f>
        <v/>
      </c>
      <c r="G567" s="29" t="str">
        <f t="shared" si="40"/>
        <v/>
      </c>
      <c r="H567" s="29" t="str">
        <f t="shared" si="41"/>
        <v/>
      </c>
      <c r="I567" s="29" t="str">
        <f t="shared" si="42"/>
        <v/>
      </c>
      <c r="J567" s="29" t="str">
        <f t="shared" si="43"/>
        <v/>
      </c>
      <c r="K567" s="29" t="str">
        <f t="shared" si="44"/>
        <v/>
      </c>
    </row>
    <row r="568" spans="1:11" ht="15" x14ac:dyDescent="0.25">
      <c r="A568" s="1" t="str">
        <f>IF('1.1 Produksi Bersih Padi 2025'!A568="","",'1.1 Produksi Bersih Padi 2025'!A568)</f>
        <v/>
      </c>
      <c r="B568" s="31" t="str">
        <f>IF('1.1 Produksi Bersih Padi 2025'!B568="","",'1.1 Produksi Bersih Padi 2025'!B568)</f>
        <v/>
      </c>
      <c r="C568" s="31" t="str">
        <f>IF('1.1 Produksi Bersih Padi 2025'!C568="","",'1.1 Produksi Bersih Padi 2025'!C568)</f>
        <v/>
      </c>
      <c r="D568" s="1" t="str">
        <f>IF('1.1 Produksi Bersih Padi 2025'!D568="","",'1.1 Produksi Bersih Padi 2025'!D568)</f>
        <v/>
      </c>
      <c r="E568" s="1" t="str">
        <f>IF('1.1 Produksi Bersih Padi 2025'!E568="","",'1.1 Produksi Bersih Padi 2025'!E568)</f>
        <v/>
      </c>
      <c r="F568" s="28" t="str">
        <f>IF(D568="","",VLOOKUP(D568,'[1]0.1 Produksi Pangan &amp; Penduduk'!$D$5:$AQ$860,40,0))</f>
        <v/>
      </c>
      <c r="G568" s="29" t="str">
        <f t="shared" si="40"/>
        <v/>
      </c>
      <c r="H568" s="29" t="str">
        <f t="shared" si="41"/>
        <v/>
      </c>
      <c r="I568" s="29" t="str">
        <f t="shared" si="42"/>
        <v/>
      </c>
      <c r="J568" s="29" t="str">
        <f t="shared" si="43"/>
        <v/>
      </c>
      <c r="K568" s="29" t="str">
        <f t="shared" si="44"/>
        <v/>
      </c>
    </row>
    <row r="569" spans="1:11" ht="15" x14ac:dyDescent="0.25">
      <c r="A569" s="1" t="str">
        <f>IF('1.1 Produksi Bersih Padi 2025'!A569="","",'1.1 Produksi Bersih Padi 2025'!A569)</f>
        <v/>
      </c>
      <c r="B569" s="31" t="str">
        <f>IF('1.1 Produksi Bersih Padi 2025'!B569="","",'1.1 Produksi Bersih Padi 2025'!B569)</f>
        <v/>
      </c>
      <c r="C569" s="31" t="str">
        <f>IF('1.1 Produksi Bersih Padi 2025'!C569="","",'1.1 Produksi Bersih Padi 2025'!C569)</f>
        <v/>
      </c>
      <c r="D569" s="1" t="str">
        <f>IF('1.1 Produksi Bersih Padi 2025'!D569="","",'1.1 Produksi Bersih Padi 2025'!D569)</f>
        <v/>
      </c>
      <c r="E569" s="1" t="str">
        <f>IF('1.1 Produksi Bersih Padi 2025'!E569="","",'1.1 Produksi Bersih Padi 2025'!E569)</f>
        <v/>
      </c>
      <c r="F569" s="28" t="str">
        <f>IF(D569="","",VLOOKUP(D569,'[1]0.1 Produksi Pangan &amp; Penduduk'!$D$5:$AQ$860,40,0))</f>
        <v/>
      </c>
      <c r="G569" s="29" t="str">
        <f t="shared" si="40"/>
        <v/>
      </c>
      <c r="H569" s="29" t="str">
        <f t="shared" si="41"/>
        <v/>
      </c>
      <c r="I569" s="29" t="str">
        <f t="shared" si="42"/>
        <v/>
      </c>
      <c r="J569" s="29" t="str">
        <f t="shared" si="43"/>
        <v/>
      </c>
      <c r="K569" s="29" t="str">
        <f t="shared" si="44"/>
        <v/>
      </c>
    </row>
    <row r="570" spans="1:11" ht="15" x14ac:dyDescent="0.25">
      <c r="A570" s="1" t="str">
        <f>IF('1.1 Produksi Bersih Padi 2025'!A570="","",'1.1 Produksi Bersih Padi 2025'!A570)</f>
        <v/>
      </c>
      <c r="B570" s="31" t="str">
        <f>IF('1.1 Produksi Bersih Padi 2025'!B570="","",'1.1 Produksi Bersih Padi 2025'!B570)</f>
        <v/>
      </c>
      <c r="C570" s="31" t="str">
        <f>IF('1.1 Produksi Bersih Padi 2025'!C570="","",'1.1 Produksi Bersih Padi 2025'!C570)</f>
        <v/>
      </c>
      <c r="D570" s="1" t="str">
        <f>IF('1.1 Produksi Bersih Padi 2025'!D570="","",'1.1 Produksi Bersih Padi 2025'!D570)</f>
        <v/>
      </c>
      <c r="E570" s="1" t="str">
        <f>IF('1.1 Produksi Bersih Padi 2025'!E570="","",'1.1 Produksi Bersih Padi 2025'!E570)</f>
        <v/>
      </c>
      <c r="F570" s="28" t="str">
        <f>IF(D570="","",VLOOKUP(D570,'[1]0.1 Produksi Pangan &amp; Penduduk'!$D$5:$AQ$860,40,0))</f>
        <v/>
      </c>
      <c r="G570" s="29" t="str">
        <f t="shared" si="40"/>
        <v/>
      </c>
      <c r="H570" s="29" t="str">
        <f t="shared" si="41"/>
        <v/>
      </c>
      <c r="I570" s="29" t="str">
        <f t="shared" si="42"/>
        <v/>
      </c>
      <c r="J570" s="29" t="str">
        <f t="shared" si="43"/>
        <v/>
      </c>
      <c r="K570" s="29" t="str">
        <f t="shared" si="44"/>
        <v/>
      </c>
    </row>
    <row r="571" spans="1:11" ht="15" x14ac:dyDescent="0.25">
      <c r="A571" s="1" t="str">
        <f>IF('1.1 Produksi Bersih Padi 2025'!A571="","",'1.1 Produksi Bersih Padi 2025'!A571)</f>
        <v/>
      </c>
      <c r="B571" s="31" t="str">
        <f>IF('1.1 Produksi Bersih Padi 2025'!B571="","",'1.1 Produksi Bersih Padi 2025'!B571)</f>
        <v/>
      </c>
      <c r="C571" s="31" t="str">
        <f>IF('1.1 Produksi Bersih Padi 2025'!C571="","",'1.1 Produksi Bersih Padi 2025'!C571)</f>
        <v/>
      </c>
      <c r="D571" s="1" t="str">
        <f>IF('1.1 Produksi Bersih Padi 2025'!D571="","",'1.1 Produksi Bersih Padi 2025'!D571)</f>
        <v/>
      </c>
      <c r="E571" s="1" t="str">
        <f>IF('1.1 Produksi Bersih Padi 2025'!E571="","",'1.1 Produksi Bersih Padi 2025'!E571)</f>
        <v/>
      </c>
      <c r="F571" s="28" t="str">
        <f>IF(D571="","",VLOOKUP(D571,'[1]0.1 Produksi Pangan &amp; Penduduk'!$D$5:$AQ$860,40,0))</f>
        <v/>
      </c>
      <c r="G571" s="29" t="str">
        <f t="shared" si="40"/>
        <v/>
      </c>
      <c r="H571" s="29" t="str">
        <f t="shared" si="41"/>
        <v/>
      </c>
      <c r="I571" s="29" t="str">
        <f t="shared" si="42"/>
        <v/>
      </c>
      <c r="J571" s="29" t="str">
        <f t="shared" si="43"/>
        <v/>
      </c>
      <c r="K571" s="29" t="str">
        <f t="shared" si="44"/>
        <v/>
      </c>
    </row>
    <row r="572" spans="1:11" ht="15" x14ac:dyDescent="0.25">
      <c r="A572" s="1" t="str">
        <f>IF('1.1 Produksi Bersih Padi 2025'!A572="","",'1.1 Produksi Bersih Padi 2025'!A572)</f>
        <v/>
      </c>
      <c r="B572" s="31" t="str">
        <f>IF('1.1 Produksi Bersih Padi 2025'!B572="","",'1.1 Produksi Bersih Padi 2025'!B572)</f>
        <v/>
      </c>
      <c r="C572" s="31" t="str">
        <f>IF('1.1 Produksi Bersih Padi 2025'!C572="","",'1.1 Produksi Bersih Padi 2025'!C572)</f>
        <v/>
      </c>
      <c r="D572" s="1" t="str">
        <f>IF('1.1 Produksi Bersih Padi 2025'!D572="","",'1.1 Produksi Bersih Padi 2025'!D572)</f>
        <v/>
      </c>
      <c r="E572" s="1" t="str">
        <f>IF('1.1 Produksi Bersih Padi 2025'!E572="","",'1.1 Produksi Bersih Padi 2025'!E572)</f>
        <v/>
      </c>
      <c r="F572" s="28" t="str">
        <f>IF(D572="","",VLOOKUP(D572,'[1]0.1 Produksi Pangan &amp; Penduduk'!$D$5:$AQ$860,40,0))</f>
        <v/>
      </c>
      <c r="G572" s="29" t="str">
        <f t="shared" si="40"/>
        <v/>
      </c>
      <c r="H572" s="29" t="str">
        <f t="shared" si="41"/>
        <v/>
      </c>
      <c r="I572" s="29" t="str">
        <f t="shared" si="42"/>
        <v/>
      </c>
      <c r="J572" s="29" t="str">
        <f t="shared" si="43"/>
        <v/>
      </c>
      <c r="K572" s="29" t="str">
        <f t="shared" si="44"/>
        <v/>
      </c>
    </row>
    <row r="573" spans="1:11" ht="15" x14ac:dyDescent="0.25">
      <c r="A573" s="1" t="str">
        <f>IF('1.1 Produksi Bersih Padi 2025'!A573="","",'1.1 Produksi Bersih Padi 2025'!A573)</f>
        <v/>
      </c>
      <c r="B573" s="31" t="str">
        <f>IF('1.1 Produksi Bersih Padi 2025'!B573="","",'1.1 Produksi Bersih Padi 2025'!B573)</f>
        <v/>
      </c>
      <c r="C573" s="31" t="str">
        <f>IF('1.1 Produksi Bersih Padi 2025'!C573="","",'1.1 Produksi Bersih Padi 2025'!C573)</f>
        <v/>
      </c>
      <c r="D573" s="1" t="str">
        <f>IF('1.1 Produksi Bersih Padi 2025'!D573="","",'1.1 Produksi Bersih Padi 2025'!D573)</f>
        <v/>
      </c>
      <c r="E573" s="1" t="str">
        <f>IF('1.1 Produksi Bersih Padi 2025'!E573="","",'1.1 Produksi Bersih Padi 2025'!E573)</f>
        <v/>
      </c>
      <c r="F573" s="28" t="str">
        <f>IF(D573="","",VLOOKUP(D573,'[1]0.1 Produksi Pangan &amp; Penduduk'!$D$5:$AQ$860,40,0))</f>
        <v/>
      </c>
      <c r="G573" s="29" t="str">
        <f t="shared" si="40"/>
        <v/>
      </c>
      <c r="H573" s="29" t="str">
        <f t="shared" si="41"/>
        <v/>
      </c>
      <c r="I573" s="29" t="str">
        <f t="shared" si="42"/>
        <v/>
      </c>
      <c r="J573" s="29" t="str">
        <f t="shared" si="43"/>
        <v/>
      </c>
      <c r="K573" s="29" t="str">
        <f t="shared" si="44"/>
        <v/>
      </c>
    </row>
    <row r="574" spans="1:11" ht="15" x14ac:dyDescent="0.25">
      <c r="A574" s="1" t="str">
        <f>IF('1.1 Produksi Bersih Padi 2025'!A574="","",'1.1 Produksi Bersih Padi 2025'!A574)</f>
        <v/>
      </c>
      <c r="B574" s="31" t="str">
        <f>IF('1.1 Produksi Bersih Padi 2025'!B574="","",'1.1 Produksi Bersih Padi 2025'!B574)</f>
        <v/>
      </c>
      <c r="C574" s="31" t="str">
        <f>IF('1.1 Produksi Bersih Padi 2025'!C574="","",'1.1 Produksi Bersih Padi 2025'!C574)</f>
        <v/>
      </c>
      <c r="D574" s="1" t="str">
        <f>IF('1.1 Produksi Bersih Padi 2025'!D574="","",'1.1 Produksi Bersih Padi 2025'!D574)</f>
        <v/>
      </c>
      <c r="E574" s="1" t="str">
        <f>IF('1.1 Produksi Bersih Padi 2025'!E574="","",'1.1 Produksi Bersih Padi 2025'!E574)</f>
        <v/>
      </c>
      <c r="F574" s="28" t="str">
        <f>IF(D574="","",VLOOKUP(D574,'[1]0.1 Produksi Pangan &amp; Penduduk'!$D$5:$AQ$860,40,0))</f>
        <v/>
      </c>
      <c r="G574" s="29" t="str">
        <f t="shared" si="40"/>
        <v/>
      </c>
      <c r="H574" s="29" t="str">
        <f t="shared" si="41"/>
        <v/>
      </c>
      <c r="I574" s="29" t="str">
        <f t="shared" si="42"/>
        <v/>
      </c>
      <c r="J574" s="29" t="str">
        <f t="shared" si="43"/>
        <v/>
      </c>
      <c r="K574" s="29" t="str">
        <f t="shared" si="44"/>
        <v/>
      </c>
    </row>
    <row r="575" spans="1:11" ht="15" x14ac:dyDescent="0.25">
      <c r="A575" s="1" t="str">
        <f>IF('1.1 Produksi Bersih Padi 2025'!A575="","",'1.1 Produksi Bersih Padi 2025'!A575)</f>
        <v/>
      </c>
      <c r="B575" s="31" t="str">
        <f>IF('1.1 Produksi Bersih Padi 2025'!B575="","",'1.1 Produksi Bersih Padi 2025'!B575)</f>
        <v/>
      </c>
      <c r="C575" s="31" t="str">
        <f>IF('1.1 Produksi Bersih Padi 2025'!C575="","",'1.1 Produksi Bersih Padi 2025'!C575)</f>
        <v/>
      </c>
      <c r="D575" s="1" t="str">
        <f>IF('1.1 Produksi Bersih Padi 2025'!D575="","",'1.1 Produksi Bersih Padi 2025'!D575)</f>
        <v/>
      </c>
      <c r="E575" s="1" t="str">
        <f>IF('1.1 Produksi Bersih Padi 2025'!E575="","",'1.1 Produksi Bersih Padi 2025'!E575)</f>
        <v/>
      </c>
      <c r="F575" s="28" t="str">
        <f>IF(D575="","",VLOOKUP(D575,'[1]0.1 Produksi Pangan &amp; Penduduk'!$D$5:$AQ$860,40,0))</f>
        <v/>
      </c>
      <c r="G575" s="29" t="str">
        <f t="shared" si="40"/>
        <v/>
      </c>
      <c r="H575" s="29" t="str">
        <f t="shared" si="41"/>
        <v/>
      </c>
      <c r="I575" s="29" t="str">
        <f t="shared" si="42"/>
        <v/>
      </c>
      <c r="J575" s="29" t="str">
        <f t="shared" si="43"/>
        <v/>
      </c>
      <c r="K575" s="29" t="str">
        <f t="shared" si="44"/>
        <v/>
      </c>
    </row>
    <row r="576" spans="1:11" ht="15" x14ac:dyDescent="0.25">
      <c r="A576" s="1" t="str">
        <f>IF('1.1 Produksi Bersih Padi 2025'!A576="","",'1.1 Produksi Bersih Padi 2025'!A576)</f>
        <v/>
      </c>
      <c r="B576" s="31" t="str">
        <f>IF('1.1 Produksi Bersih Padi 2025'!B576="","",'1.1 Produksi Bersih Padi 2025'!B576)</f>
        <v/>
      </c>
      <c r="C576" s="31" t="str">
        <f>IF('1.1 Produksi Bersih Padi 2025'!C576="","",'1.1 Produksi Bersih Padi 2025'!C576)</f>
        <v/>
      </c>
      <c r="D576" s="1" t="str">
        <f>IF('1.1 Produksi Bersih Padi 2025'!D576="","",'1.1 Produksi Bersih Padi 2025'!D576)</f>
        <v/>
      </c>
      <c r="E576" s="1" t="str">
        <f>IF('1.1 Produksi Bersih Padi 2025'!E576="","",'1.1 Produksi Bersih Padi 2025'!E576)</f>
        <v/>
      </c>
      <c r="F576" s="28" t="str">
        <f>IF(D576="","",VLOOKUP(D576,'[1]0.1 Produksi Pangan &amp; Penduduk'!$D$5:$AQ$860,40,0))</f>
        <v/>
      </c>
      <c r="G576" s="29" t="str">
        <f t="shared" si="40"/>
        <v/>
      </c>
      <c r="H576" s="29" t="str">
        <f t="shared" si="41"/>
        <v/>
      </c>
      <c r="I576" s="29" t="str">
        <f t="shared" si="42"/>
        <v/>
      </c>
      <c r="J576" s="29" t="str">
        <f t="shared" si="43"/>
        <v/>
      </c>
      <c r="K576" s="29" t="str">
        <f t="shared" si="44"/>
        <v/>
      </c>
    </row>
    <row r="577" spans="1:11" ht="15" x14ac:dyDescent="0.25">
      <c r="A577" s="1" t="str">
        <f>IF('1.1 Produksi Bersih Padi 2025'!A577="","",'1.1 Produksi Bersih Padi 2025'!A577)</f>
        <v/>
      </c>
      <c r="B577" s="31" t="str">
        <f>IF('1.1 Produksi Bersih Padi 2025'!B577="","",'1.1 Produksi Bersih Padi 2025'!B577)</f>
        <v/>
      </c>
      <c r="C577" s="31" t="str">
        <f>IF('1.1 Produksi Bersih Padi 2025'!C577="","",'1.1 Produksi Bersih Padi 2025'!C577)</f>
        <v/>
      </c>
      <c r="D577" s="1" t="str">
        <f>IF('1.1 Produksi Bersih Padi 2025'!D577="","",'1.1 Produksi Bersih Padi 2025'!D577)</f>
        <v/>
      </c>
      <c r="E577" s="1" t="str">
        <f>IF('1.1 Produksi Bersih Padi 2025'!E577="","",'1.1 Produksi Bersih Padi 2025'!E577)</f>
        <v/>
      </c>
      <c r="F577" s="28" t="str">
        <f>IF(D577="","",VLOOKUP(D577,'[1]0.1 Produksi Pangan &amp; Penduduk'!$D$5:$AQ$860,40,0))</f>
        <v/>
      </c>
      <c r="G577" s="29" t="str">
        <f t="shared" si="40"/>
        <v/>
      </c>
      <c r="H577" s="29" t="str">
        <f t="shared" si="41"/>
        <v/>
      </c>
      <c r="I577" s="29" t="str">
        <f t="shared" si="42"/>
        <v/>
      </c>
      <c r="J577" s="29" t="str">
        <f t="shared" si="43"/>
        <v/>
      </c>
      <c r="K577" s="29" t="str">
        <f t="shared" si="44"/>
        <v/>
      </c>
    </row>
    <row r="578" spans="1:11" ht="15" x14ac:dyDescent="0.25">
      <c r="A578" s="1" t="str">
        <f>IF('1.1 Produksi Bersih Padi 2025'!A578="","",'1.1 Produksi Bersih Padi 2025'!A578)</f>
        <v/>
      </c>
      <c r="B578" s="31" t="str">
        <f>IF('1.1 Produksi Bersih Padi 2025'!B578="","",'1.1 Produksi Bersih Padi 2025'!B578)</f>
        <v/>
      </c>
      <c r="C578" s="31" t="str">
        <f>IF('1.1 Produksi Bersih Padi 2025'!C578="","",'1.1 Produksi Bersih Padi 2025'!C578)</f>
        <v/>
      </c>
      <c r="D578" s="1" t="str">
        <f>IF('1.1 Produksi Bersih Padi 2025'!D578="","",'1.1 Produksi Bersih Padi 2025'!D578)</f>
        <v/>
      </c>
      <c r="E578" s="1" t="str">
        <f>IF('1.1 Produksi Bersih Padi 2025'!E578="","",'1.1 Produksi Bersih Padi 2025'!E578)</f>
        <v/>
      </c>
      <c r="F578" s="28" t="str">
        <f>IF(D578="","",VLOOKUP(D578,'[1]0.1 Produksi Pangan &amp; Penduduk'!$D$5:$AQ$860,40,0))</f>
        <v/>
      </c>
      <c r="G578" s="29" t="str">
        <f t="shared" si="40"/>
        <v/>
      </c>
      <c r="H578" s="29" t="str">
        <f t="shared" si="41"/>
        <v/>
      </c>
      <c r="I578" s="29" t="str">
        <f t="shared" si="42"/>
        <v/>
      </c>
      <c r="J578" s="29" t="str">
        <f t="shared" si="43"/>
        <v/>
      </c>
      <c r="K578" s="29" t="str">
        <f t="shared" si="44"/>
        <v/>
      </c>
    </row>
    <row r="579" spans="1:11" ht="15" x14ac:dyDescent="0.25">
      <c r="A579" s="1" t="str">
        <f>IF('1.1 Produksi Bersih Padi 2025'!A579="","",'1.1 Produksi Bersih Padi 2025'!A579)</f>
        <v/>
      </c>
      <c r="B579" s="31" t="str">
        <f>IF('1.1 Produksi Bersih Padi 2025'!B579="","",'1.1 Produksi Bersih Padi 2025'!B579)</f>
        <v/>
      </c>
      <c r="C579" s="31" t="str">
        <f>IF('1.1 Produksi Bersih Padi 2025'!C579="","",'1.1 Produksi Bersih Padi 2025'!C579)</f>
        <v/>
      </c>
      <c r="D579" s="1" t="str">
        <f>IF('1.1 Produksi Bersih Padi 2025'!D579="","",'1.1 Produksi Bersih Padi 2025'!D579)</f>
        <v/>
      </c>
      <c r="E579" s="1" t="str">
        <f>IF('1.1 Produksi Bersih Padi 2025'!E579="","",'1.1 Produksi Bersih Padi 2025'!E579)</f>
        <v/>
      </c>
      <c r="F579" s="28" t="str">
        <f>IF(D579="","",VLOOKUP(D579,'[1]0.1 Produksi Pangan &amp; Penduduk'!$D$5:$AQ$860,40,0))</f>
        <v/>
      </c>
      <c r="G579" s="29" t="str">
        <f t="shared" si="40"/>
        <v/>
      </c>
      <c r="H579" s="29" t="str">
        <f t="shared" si="41"/>
        <v/>
      </c>
      <c r="I579" s="29" t="str">
        <f t="shared" si="42"/>
        <v/>
      </c>
      <c r="J579" s="29" t="str">
        <f t="shared" si="43"/>
        <v/>
      </c>
      <c r="K579" s="29" t="str">
        <f t="shared" si="44"/>
        <v/>
      </c>
    </row>
    <row r="580" spans="1:11" ht="15" x14ac:dyDescent="0.25">
      <c r="A580" s="1" t="str">
        <f>IF('1.1 Produksi Bersih Padi 2025'!A580="","",'1.1 Produksi Bersih Padi 2025'!A580)</f>
        <v/>
      </c>
      <c r="B580" s="31" t="str">
        <f>IF('1.1 Produksi Bersih Padi 2025'!B580="","",'1.1 Produksi Bersih Padi 2025'!B580)</f>
        <v/>
      </c>
      <c r="C580" s="31" t="str">
        <f>IF('1.1 Produksi Bersih Padi 2025'!C580="","",'1.1 Produksi Bersih Padi 2025'!C580)</f>
        <v/>
      </c>
      <c r="D580" s="1" t="str">
        <f>IF('1.1 Produksi Bersih Padi 2025'!D580="","",'1.1 Produksi Bersih Padi 2025'!D580)</f>
        <v/>
      </c>
      <c r="E580" s="1" t="str">
        <f>IF('1.1 Produksi Bersih Padi 2025'!E580="","",'1.1 Produksi Bersih Padi 2025'!E580)</f>
        <v/>
      </c>
      <c r="F580" s="28" t="str">
        <f>IF(D580="","",VLOOKUP(D580,'[1]0.1 Produksi Pangan &amp; Penduduk'!$D$5:$AQ$860,40,0))</f>
        <v/>
      </c>
      <c r="G580" s="29" t="str">
        <f t="shared" si="40"/>
        <v/>
      </c>
      <c r="H580" s="29" t="str">
        <f t="shared" si="41"/>
        <v/>
      </c>
      <c r="I580" s="29" t="str">
        <f t="shared" si="42"/>
        <v/>
      </c>
      <c r="J580" s="29" t="str">
        <f t="shared" si="43"/>
        <v/>
      </c>
      <c r="K580" s="29" t="str">
        <f t="shared" si="44"/>
        <v/>
      </c>
    </row>
    <row r="581" spans="1:11" ht="15" x14ac:dyDescent="0.25">
      <c r="A581" s="1" t="str">
        <f>IF('1.1 Produksi Bersih Padi 2025'!A581="","",'1.1 Produksi Bersih Padi 2025'!A581)</f>
        <v/>
      </c>
      <c r="B581" s="31" t="str">
        <f>IF('1.1 Produksi Bersih Padi 2025'!B581="","",'1.1 Produksi Bersih Padi 2025'!B581)</f>
        <v/>
      </c>
      <c r="C581" s="31" t="str">
        <f>IF('1.1 Produksi Bersih Padi 2025'!C581="","",'1.1 Produksi Bersih Padi 2025'!C581)</f>
        <v/>
      </c>
      <c r="D581" s="1" t="str">
        <f>IF('1.1 Produksi Bersih Padi 2025'!D581="","",'1.1 Produksi Bersih Padi 2025'!D581)</f>
        <v/>
      </c>
      <c r="E581" s="1" t="str">
        <f>IF('1.1 Produksi Bersih Padi 2025'!E581="","",'1.1 Produksi Bersih Padi 2025'!E581)</f>
        <v/>
      </c>
      <c r="F581" s="28" t="str">
        <f>IF(D581="","",VLOOKUP(D581,'[1]0.1 Produksi Pangan &amp; Penduduk'!$D$5:$AQ$860,40,0))</f>
        <v/>
      </c>
      <c r="G581" s="29" t="str">
        <f t="shared" si="40"/>
        <v/>
      </c>
      <c r="H581" s="29" t="str">
        <f t="shared" si="41"/>
        <v/>
      </c>
      <c r="I581" s="29" t="str">
        <f t="shared" si="42"/>
        <v/>
      </c>
      <c r="J581" s="29" t="str">
        <f t="shared" si="43"/>
        <v/>
      </c>
      <c r="K581" s="29" t="str">
        <f t="shared" si="44"/>
        <v/>
      </c>
    </row>
    <row r="582" spans="1:11" ht="15" x14ac:dyDescent="0.25">
      <c r="A582" s="1" t="str">
        <f>IF('1.1 Produksi Bersih Padi 2025'!A582="","",'1.1 Produksi Bersih Padi 2025'!A582)</f>
        <v/>
      </c>
      <c r="B582" s="31" t="str">
        <f>IF('1.1 Produksi Bersih Padi 2025'!B582="","",'1.1 Produksi Bersih Padi 2025'!B582)</f>
        <v/>
      </c>
      <c r="C582" s="31" t="str">
        <f>IF('1.1 Produksi Bersih Padi 2025'!C582="","",'1.1 Produksi Bersih Padi 2025'!C582)</f>
        <v/>
      </c>
      <c r="D582" s="1" t="str">
        <f>IF('1.1 Produksi Bersih Padi 2025'!D582="","",'1.1 Produksi Bersih Padi 2025'!D582)</f>
        <v/>
      </c>
      <c r="E582" s="1" t="str">
        <f>IF('1.1 Produksi Bersih Padi 2025'!E582="","",'1.1 Produksi Bersih Padi 2025'!E582)</f>
        <v/>
      </c>
      <c r="F582" s="28" t="str">
        <f>IF(D582="","",VLOOKUP(D582,'[1]0.1 Produksi Pangan &amp; Penduduk'!$D$5:$AQ$860,40,0))</f>
        <v/>
      </c>
      <c r="G582" s="29" t="str">
        <f t="shared" ref="G582:G645" si="45">IF(F582="","",F582*0%)</f>
        <v/>
      </c>
      <c r="H582" s="29" t="str">
        <f t="shared" ref="H582:H645" si="46">IF(F582="","",F582*0%)</f>
        <v/>
      </c>
      <c r="I582" s="29" t="str">
        <f t="shared" ref="I582:I645" si="47">IF(F582="","",F582*1.11%)</f>
        <v/>
      </c>
      <c r="J582" s="29" t="str">
        <f t="shared" ref="J582:J645" si="48">IF(F582="","",F582-(G582+H582+I582))</f>
        <v/>
      </c>
      <c r="K582" s="29" t="str">
        <f t="shared" ref="K582:K645" si="49">IF(J582="","",J582*0.134)</f>
        <v/>
      </c>
    </row>
    <row r="583" spans="1:11" ht="15" x14ac:dyDescent="0.25">
      <c r="A583" s="1" t="str">
        <f>IF('1.1 Produksi Bersih Padi 2025'!A583="","",'1.1 Produksi Bersih Padi 2025'!A583)</f>
        <v/>
      </c>
      <c r="B583" s="31" t="str">
        <f>IF('1.1 Produksi Bersih Padi 2025'!B583="","",'1.1 Produksi Bersih Padi 2025'!B583)</f>
        <v/>
      </c>
      <c r="C583" s="31" t="str">
        <f>IF('1.1 Produksi Bersih Padi 2025'!C583="","",'1.1 Produksi Bersih Padi 2025'!C583)</f>
        <v/>
      </c>
      <c r="D583" s="1" t="str">
        <f>IF('1.1 Produksi Bersih Padi 2025'!D583="","",'1.1 Produksi Bersih Padi 2025'!D583)</f>
        <v/>
      </c>
      <c r="E583" s="1" t="str">
        <f>IF('1.1 Produksi Bersih Padi 2025'!E583="","",'1.1 Produksi Bersih Padi 2025'!E583)</f>
        <v/>
      </c>
      <c r="F583" s="28" t="str">
        <f>IF(D583="","",VLOOKUP(D583,'[1]0.1 Produksi Pangan &amp; Penduduk'!$D$5:$AQ$860,40,0))</f>
        <v/>
      </c>
      <c r="G583" s="29" t="str">
        <f t="shared" si="45"/>
        <v/>
      </c>
      <c r="H583" s="29" t="str">
        <f t="shared" si="46"/>
        <v/>
      </c>
      <c r="I583" s="29" t="str">
        <f t="shared" si="47"/>
        <v/>
      </c>
      <c r="J583" s="29" t="str">
        <f t="shared" si="48"/>
        <v/>
      </c>
      <c r="K583" s="29" t="str">
        <f t="shared" si="49"/>
        <v/>
      </c>
    </row>
    <row r="584" spans="1:11" ht="15" x14ac:dyDescent="0.25">
      <c r="A584" s="1" t="str">
        <f>IF('1.1 Produksi Bersih Padi 2025'!A584="","",'1.1 Produksi Bersih Padi 2025'!A584)</f>
        <v/>
      </c>
      <c r="B584" s="31" t="str">
        <f>IF('1.1 Produksi Bersih Padi 2025'!B584="","",'1.1 Produksi Bersih Padi 2025'!B584)</f>
        <v/>
      </c>
      <c r="C584" s="31" t="str">
        <f>IF('1.1 Produksi Bersih Padi 2025'!C584="","",'1.1 Produksi Bersih Padi 2025'!C584)</f>
        <v/>
      </c>
      <c r="D584" s="1" t="str">
        <f>IF('1.1 Produksi Bersih Padi 2025'!D584="","",'1.1 Produksi Bersih Padi 2025'!D584)</f>
        <v/>
      </c>
      <c r="E584" s="1" t="str">
        <f>IF('1.1 Produksi Bersih Padi 2025'!E584="","",'1.1 Produksi Bersih Padi 2025'!E584)</f>
        <v/>
      </c>
      <c r="F584" s="28" t="str">
        <f>IF(D584="","",VLOOKUP(D584,'[1]0.1 Produksi Pangan &amp; Penduduk'!$D$5:$AQ$860,40,0))</f>
        <v/>
      </c>
      <c r="G584" s="29" t="str">
        <f t="shared" si="45"/>
        <v/>
      </c>
      <c r="H584" s="29" t="str">
        <f t="shared" si="46"/>
        <v/>
      </c>
      <c r="I584" s="29" t="str">
        <f t="shared" si="47"/>
        <v/>
      </c>
      <c r="J584" s="29" t="str">
        <f t="shared" si="48"/>
        <v/>
      </c>
      <c r="K584" s="29" t="str">
        <f t="shared" si="49"/>
        <v/>
      </c>
    </row>
    <row r="585" spans="1:11" ht="15" x14ac:dyDescent="0.25">
      <c r="A585" s="1" t="str">
        <f>IF('1.1 Produksi Bersih Padi 2025'!A585="","",'1.1 Produksi Bersih Padi 2025'!A585)</f>
        <v/>
      </c>
      <c r="B585" s="31" t="str">
        <f>IF('1.1 Produksi Bersih Padi 2025'!B585="","",'1.1 Produksi Bersih Padi 2025'!B585)</f>
        <v/>
      </c>
      <c r="C585" s="31" t="str">
        <f>IF('1.1 Produksi Bersih Padi 2025'!C585="","",'1.1 Produksi Bersih Padi 2025'!C585)</f>
        <v/>
      </c>
      <c r="D585" s="1" t="str">
        <f>IF('1.1 Produksi Bersih Padi 2025'!D585="","",'1.1 Produksi Bersih Padi 2025'!D585)</f>
        <v/>
      </c>
      <c r="E585" s="1" t="str">
        <f>IF('1.1 Produksi Bersih Padi 2025'!E585="","",'1.1 Produksi Bersih Padi 2025'!E585)</f>
        <v/>
      </c>
      <c r="F585" s="28" t="str">
        <f>IF(D585="","",VLOOKUP(D585,'[1]0.1 Produksi Pangan &amp; Penduduk'!$D$5:$AQ$860,40,0))</f>
        <v/>
      </c>
      <c r="G585" s="29" t="str">
        <f t="shared" si="45"/>
        <v/>
      </c>
      <c r="H585" s="29" t="str">
        <f t="shared" si="46"/>
        <v/>
      </c>
      <c r="I585" s="29" t="str">
        <f t="shared" si="47"/>
        <v/>
      </c>
      <c r="J585" s="29" t="str">
        <f t="shared" si="48"/>
        <v/>
      </c>
      <c r="K585" s="29" t="str">
        <f t="shared" si="49"/>
        <v/>
      </c>
    </row>
    <row r="586" spans="1:11" ht="15" x14ac:dyDescent="0.25">
      <c r="A586" s="1" t="str">
        <f>IF('1.1 Produksi Bersih Padi 2025'!A586="","",'1.1 Produksi Bersih Padi 2025'!A586)</f>
        <v/>
      </c>
      <c r="B586" s="31" t="str">
        <f>IF('1.1 Produksi Bersih Padi 2025'!B586="","",'1.1 Produksi Bersih Padi 2025'!B586)</f>
        <v/>
      </c>
      <c r="C586" s="31" t="str">
        <f>IF('1.1 Produksi Bersih Padi 2025'!C586="","",'1.1 Produksi Bersih Padi 2025'!C586)</f>
        <v/>
      </c>
      <c r="D586" s="1" t="str">
        <f>IF('1.1 Produksi Bersih Padi 2025'!D586="","",'1.1 Produksi Bersih Padi 2025'!D586)</f>
        <v/>
      </c>
      <c r="E586" s="1" t="str">
        <f>IF('1.1 Produksi Bersih Padi 2025'!E586="","",'1.1 Produksi Bersih Padi 2025'!E586)</f>
        <v/>
      </c>
      <c r="F586" s="28" t="str">
        <f>IF(D586="","",VLOOKUP(D586,'[1]0.1 Produksi Pangan &amp; Penduduk'!$D$5:$AQ$860,40,0))</f>
        <v/>
      </c>
      <c r="G586" s="29" t="str">
        <f t="shared" si="45"/>
        <v/>
      </c>
      <c r="H586" s="29" t="str">
        <f t="shared" si="46"/>
        <v/>
      </c>
      <c r="I586" s="29" t="str">
        <f t="shared" si="47"/>
        <v/>
      </c>
      <c r="J586" s="29" t="str">
        <f t="shared" si="48"/>
        <v/>
      </c>
      <c r="K586" s="29" t="str">
        <f t="shared" si="49"/>
        <v/>
      </c>
    </row>
    <row r="587" spans="1:11" ht="15" x14ac:dyDescent="0.25">
      <c r="A587" s="1" t="str">
        <f>IF('1.1 Produksi Bersih Padi 2025'!A587="","",'1.1 Produksi Bersih Padi 2025'!A587)</f>
        <v/>
      </c>
      <c r="B587" s="31" t="str">
        <f>IF('1.1 Produksi Bersih Padi 2025'!B587="","",'1.1 Produksi Bersih Padi 2025'!B587)</f>
        <v/>
      </c>
      <c r="C587" s="31" t="str">
        <f>IF('1.1 Produksi Bersih Padi 2025'!C587="","",'1.1 Produksi Bersih Padi 2025'!C587)</f>
        <v/>
      </c>
      <c r="D587" s="1" t="str">
        <f>IF('1.1 Produksi Bersih Padi 2025'!D587="","",'1.1 Produksi Bersih Padi 2025'!D587)</f>
        <v/>
      </c>
      <c r="E587" s="1" t="str">
        <f>IF('1.1 Produksi Bersih Padi 2025'!E587="","",'1.1 Produksi Bersih Padi 2025'!E587)</f>
        <v/>
      </c>
      <c r="F587" s="28" t="str">
        <f>IF(D587="","",VLOOKUP(D587,'[1]0.1 Produksi Pangan &amp; Penduduk'!$D$5:$AQ$860,40,0))</f>
        <v/>
      </c>
      <c r="G587" s="29" t="str">
        <f t="shared" si="45"/>
        <v/>
      </c>
      <c r="H587" s="29" t="str">
        <f t="shared" si="46"/>
        <v/>
      </c>
      <c r="I587" s="29" t="str">
        <f t="shared" si="47"/>
        <v/>
      </c>
      <c r="J587" s="29" t="str">
        <f t="shared" si="48"/>
        <v/>
      </c>
      <c r="K587" s="29" t="str">
        <f t="shared" si="49"/>
        <v/>
      </c>
    </row>
    <row r="588" spans="1:11" ht="15" x14ac:dyDescent="0.25">
      <c r="A588" s="1" t="str">
        <f>IF('1.1 Produksi Bersih Padi 2025'!A588="","",'1.1 Produksi Bersih Padi 2025'!A588)</f>
        <v/>
      </c>
      <c r="B588" s="31" t="str">
        <f>IF('1.1 Produksi Bersih Padi 2025'!B588="","",'1.1 Produksi Bersih Padi 2025'!B588)</f>
        <v/>
      </c>
      <c r="C588" s="31" t="str">
        <f>IF('1.1 Produksi Bersih Padi 2025'!C588="","",'1.1 Produksi Bersih Padi 2025'!C588)</f>
        <v/>
      </c>
      <c r="D588" s="1" t="str">
        <f>IF('1.1 Produksi Bersih Padi 2025'!D588="","",'1.1 Produksi Bersih Padi 2025'!D588)</f>
        <v/>
      </c>
      <c r="E588" s="1" t="str">
        <f>IF('1.1 Produksi Bersih Padi 2025'!E588="","",'1.1 Produksi Bersih Padi 2025'!E588)</f>
        <v/>
      </c>
      <c r="F588" s="28" t="str">
        <f>IF(D588="","",VLOOKUP(D588,'[1]0.1 Produksi Pangan &amp; Penduduk'!$D$5:$AQ$860,40,0))</f>
        <v/>
      </c>
      <c r="G588" s="29" t="str">
        <f t="shared" si="45"/>
        <v/>
      </c>
      <c r="H588" s="29" t="str">
        <f t="shared" si="46"/>
        <v/>
      </c>
      <c r="I588" s="29" t="str">
        <f t="shared" si="47"/>
        <v/>
      </c>
      <c r="J588" s="29" t="str">
        <f t="shared" si="48"/>
        <v/>
      </c>
      <c r="K588" s="29" t="str">
        <f t="shared" si="49"/>
        <v/>
      </c>
    </row>
    <row r="589" spans="1:11" ht="15" x14ac:dyDescent="0.25">
      <c r="A589" s="1" t="str">
        <f>IF('1.1 Produksi Bersih Padi 2025'!A589="","",'1.1 Produksi Bersih Padi 2025'!A589)</f>
        <v/>
      </c>
      <c r="B589" s="31" t="str">
        <f>IF('1.1 Produksi Bersih Padi 2025'!B589="","",'1.1 Produksi Bersih Padi 2025'!B589)</f>
        <v/>
      </c>
      <c r="C589" s="31" t="str">
        <f>IF('1.1 Produksi Bersih Padi 2025'!C589="","",'1.1 Produksi Bersih Padi 2025'!C589)</f>
        <v/>
      </c>
      <c r="D589" s="1" t="str">
        <f>IF('1.1 Produksi Bersih Padi 2025'!D589="","",'1.1 Produksi Bersih Padi 2025'!D589)</f>
        <v/>
      </c>
      <c r="E589" s="1" t="str">
        <f>IF('1.1 Produksi Bersih Padi 2025'!E589="","",'1.1 Produksi Bersih Padi 2025'!E589)</f>
        <v/>
      </c>
      <c r="F589" s="28" t="str">
        <f>IF(D589="","",VLOOKUP(D589,'[1]0.1 Produksi Pangan &amp; Penduduk'!$D$5:$AQ$860,40,0))</f>
        <v/>
      </c>
      <c r="G589" s="29" t="str">
        <f t="shared" si="45"/>
        <v/>
      </c>
      <c r="H589" s="29" t="str">
        <f t="shared" si="46"/>
        <v/>
      </c>
      <c r="I589" s="29" t="str">
        <f t="shared" si="47"/>
        <v/>
      </c>
      <c r="J589" s="29" t="str">
        <f t="shared" si="48"/>
        <v/>
      </c>
      <c r="K589" s="29" t="str">
        <f t="shared" si="49"/>
        <v/>
      </c>
    </row>
    <row r="590" spans="1:11" ht="15" x14ac:dyDescent="0.25">
      <c r="A590" s="1" t="str">
        <f>IF('1.1 Produksi Bersih Padi 2025'!A590="","",'1.1 Produksi Bersih Padi 2025'!A590)</f>
        <v/>
      </c>
      <c r="B590" s="31" t="str">
        <f>IF('1.1 Produksi Bersih Padi 2025'!B590="","",'1.1 Produksi Bersih Padi 2025'!B590)</f>
        <v/>
      </c>
      <c r="C590" s="31" t="str">
        <f>IF('1.1 Produksi Bersih Padi 2025'!C590="","",'1.1 Produksi Bersih Padi 2025'!C590)</f>
        <v/>
      </c>
      <c r="D590" s="1" t="str">
        <f>IF('1.1 Produksi Bersih Padi 2025'!D590="","",'1.1 Produksi Bersih Padi 2025'!D590)</f>
        <v/>
      </c>
      <c r="E590" s="1" t="str">
        <f>IF('1.1 Produksi Bersih Padi 2025'!E590="","",'1.1 Produksi Bersih Padi 2025'!E590)</f>
        <v/>
      </c>
      <c r="F590" s="28" t="str">
        <f>IF(D590="","",VLOOKUP(D590,'[1]0.1 Produksi Pangan &amp; Penduduk'!$D$5:$AQ$860,40,0))</f>
        <v/>
      </c>
      <c r="G590" s="29" t="str">
        <f t="shared" si="45"/>
        <v/>
      </c>
      <c r="H590" s="29" t="str">
        <f t="shared" si="46"/>
        <v/>
      </c>
      <c r="I590" s="29" t="str">
        <f t="shared" si="47"/>
        <v/>
      </c>
      <c r="J590" s="29" t="str">
        <f t="shared" si="48"/>
        <v/>
      </c>
      <c r="K590" s="29" t="str">
        <f t="shared" si="49"/>
        <v/>
      </c>
    </row>
    <row r="591" spans="1:11" ht="15" x14ac:dyDescent="0.25">
      <c r="A591" s="1" t="str">
        <f>IF('1.1 Produksi Bersih Padi 2025'!A591="","",'1.1 Produksi Bersih Padi 2025'!A591)</f>
        <v/>
      </c>
      <c r="B591" s="31" t="str">
        <f>IF('1.1 Produksi Bersih Padi 2025'!B591="","",'1.1 Produksi Bersih Padi 2025'!B591)</f>
        <v/>
      </c>
      <c r="C591" s="31" t="str">
        <f>IF('1.1 Produksi Bersih Padi 2025'!C591="","",'1.1 Produksi Bersih Padi 2025'!C591)</f>
        <v/>
      </c>
      <c r="D591" s="1" t="str">
        <f>IF('1.1 Produksi Bersih Padi 2025'!D591="","",'1.1 Produksi Bersih Padi 2025'!D591)</f>
        <v/>
      </c>
      <c r="E591" s="1" t="str">
        <f>IF('1.1 Produksi Bersih Padi 2025'!E591="","",'1.1 Produksi Bersih Padi 2025'!E591)</f>
        <v/>
      </c>
      <c r="F591" s="28" t="str">
        <f>IF(D591="","",VLOOKUP(D591,'[1]0.1 Produksi Pangan &amp; Penduduk'!$D$5:$AQ$860,40,0))</f>
        <v/>
      </c>
      <c r="G591" s="29" t="str">
        <f t="shared" si="45"/>
        <v/>
      </c>
      <c r="H591" s="29" t="str">
        <f t="shared" si="46"/>
        <v/>
      </c>
      <c r="I591" s="29" t="str">
        <f t="shared" si="47"/>
        <v/>
      </c>
      <c r="J591" s="29" t="str">
        <f t="shared" si="48"/>
        <v/>
      </c>
      <c r="K591" s="29" t="str">
        <f t="shared" si="49"/>
        <v/>
      </c>
    </row>
    <row r="592" spans="1:11" ht="15" x14ac:dyDescent="0.25">
      <c r="A592" s="1" t="str">
        <f>IF('1.1 Produksi Bersih Padi 2025'!A592="","",'1.1 Produksi Bersih Padi 2025'!A592)</f>
        <v/>
      </c>
      <c r="B592" s="31" t="str">
        <f>IF('1.1 Produksi Bersih Padi 2025'!B592="","",'1.1 Produksi Bersih Padi 2025'!B592)</f>
        <v/>
      </c>
      <c r="C592" s="31" t="str">
        <f>IF('1.1 Produksi Bersih Padi 2025'!C592="","",'1.1 Produksi Bersih Padi 2025'!C592)</f>
        <v/>
      </c>
      <c r="D592" s="1" t="str">
        <f>IF('1.1 Produksi Bersih Padi 2025'!D592="","",'1.1 Produksi Bersih Padi 2025'!D592)</f>
        <v/>
      </c>
      <c r="E592" s="1" t="str">
        <f>IF('1.1 Produksi Bersih Padi 2025'!E592="","",'1.1 Produksi Bersih Padi 2025'!E592)</f>
        <v/>
      </c>
      <c r="F592" s="28" t="str">
        <f>IF(D592="","",VLOOKUP(D592,'[1]0.1 Produksi Pangan &amp; Penduduk'!$D$5:$AQ$860,40,0))</f>
        <v/>
      </c>
      <c r="G592" s="29" t="str">
        <f t="shared" si="45"/>
        <v/>
      </c>
      <c r="H592" s="29" t="str">
        <f t="shared" si="46"/>
        <v/>
      </c>
      <c r="I592" s="29" t="str">
        <f t="shared" si="47"/>
        <v/>
      </c>
      <c r="J592" s="29" t="str">
        <f t="shared" si="48"/>
        <v/>
      </c>
      <c r="K592" s="29" t="str">
        <f t="shared" si="49"/>
        <v/>
      </c>
    </row>
    <row r="593" spans="1:11" ht="15" x14ac:dyDescent="0.25">
      <c r="A593" s="1" t="str">
        <f>IF('1.1 Produksi Bersih Padi 2025'!A593="","",'1.1 Produksi Bersih Padi 2025'!A593)</f>
        <v/>
      </c>
      <c r="B593" s="31" t="str">
        <f>IF('1.1 Produksi Bersih Padi 2025'!B593="","",'1.1 Produksi Bersih Padi 2025'!B593)</f>
        <v/>
      </c>
      <c r="C593" s="31" t="str">
        <f>IF('1.1 Produksi Bersih Padi 2025'!C593="","",'1.1 Produksi Bersih Padi 2025'!C593)</f>
        <v/>
      </c>
      <c r="D593" s="1" t="str">
        <f>IF('1.1 Produksi Bersih Padi 2025'!D593="","",'1.1 Produksi Bersih Padi 2025'!D593)</f>
        <v/>
      </c>
      <c r="E593" s="1" t="str">
        <f>IF('1.1 Produksi Bersih Padi 2025'!E593="","",'1.1 Produksi Bersih Padi 2025'!E593)</f>
        <v/>
      </c>
      <c r="F593" s="28" t="str">
        <f>IF(D593="","",VLOOKUP(D593,'[1]0.1 Produksi Pangan &amp; Penduduk'!$D$5:$AQ$860,40,0))</f>
        <v/>
      </c>
      <c r="G593" s="29" t="str">
        <f t="shared" si="45"/>
        <v/>
      </c>
      <c r="H593" s="29" t="str">
        <f t="shared" si="46"/>
        <v/>
      </c>
      <c r="I593" s="29" t="str">
        <f t="shared" si="47"/>
        <v/>
      </c>
      <c r="J593" s="29" t="str">
        <f t="shared" si="48"/>
        <v/>
      </c>
      <c r="K593" s="29" t="str">
        <f t="shared" si="49"/>
        <v/>
      </c>
    </row>
    <row r="594" spans="1:11" ht="15" x14ac:dyDescent="0.25">
      <c r="A594" s="1" t="str">
        <f>IF('1.1 Produksi Bersih Padi 2025'!A594="","",'1.1 Produksi Bersih Padi 2025'!A594)</f>
        <v/>
      </c>
      <c r="B594" s="31" t="str">
        <f>IF('1.1 Produksi Bersih Padi 2025'!B594="","",'1.1 Produksi Bersih Padi 2025'!B594)</f>
        <v/>
      </c>
      <c r="C594" s="31" t="str">
        <f>IF('1.1 Produksi Bersih Padi 2025'!C594="","",'1.1 Produksi Bersih Padi 2025'!C594)</f>
        <v/>
      </c>
      <c r="D594" s="1" t="str">
        <f>IF('1.1 Produksi Bersih Padi 2025'!D594="","",'1.1 Produksi Bersih Padi 2025'!D594)</f>
        <v/>
      </c>
      <c r="E594" s="1" t="str">
        <f>IF('1.1 Produksi Bersih Padi 2025'!E594="","",'1.1 Produksi Bersih Padi 2025'!E594)</f>
        <v/>
      </c>
      <c r="F594" s="28" t="str">
        <f>IF(D594="","",VLOOKUP(D594,'[1]0.1 Produksi Pangan &amp; Penduduk'!$D$5:$AQ$860,40,0))</f>
        <v/>
      </c>
      <c r="G594" s="29" t="str">
        <f t="shared" si="45"/>
        <v/>
      </c>
      <c r="H594" s="29" t="str">
        <f t="shared" si="46"/>
        <v/>
      </c>
      <c r="I594" s="29" t="str">
        <f t="shared" si="47"/>
        <v/>
      </c>
      <c r="J594" s="29" t="str">
        <f t="shared" si="48"/>
        <v/>
      </c>
      <c r="K594" s="29" t="str">
        <f t="shared" si="49"/>
        <v/>
      </c>
    </row>
    <row r="595" spans="1:11" ht="15" x14ac:dyDescent="0.25">
      <c r="A595" s="1" t="str">
        <f>IF('1.1 Produksi Bersih Padi 2025'!A595="","",'1.1 Produksi Bersih Padi 2025'!A595)</f>
        <v/>
      </c>
      <c r="B595" s="31" t="str">
        <f>IF('1.1 Produksi Bersih Padi 2025'!B595="","",'1.1 Produksi Bersih Padi 2025'!B595)</f>
        <v/>
      </c>
      <c r="C595" s="31" t="str">
        <f>IF('1.1 Produksi Bersih Padi 2025'!C595="","",'1.1 Produksi Bersih Padi 2025'!C595)</f>
        <v/>
      </c>
      <c r="D595" s="1" t="str">
        <f>IF('1.1 Produksi Bersih Padi 2025'!D595="","",'1.1 Produksi Bersih Padi 2025'!D595)</f>
        <v/>
      </c>
      <c r="E595" s="1" t="str">
        <f>IF('1.1 Produksi Bersih Padi 2025'!E595="","",'1.1 Produksi Bersih Padi 2025'!E595)</f>
        <v/>
      </c>
      <c r="F595" s="28" t="str">
        <f>IF(D595="","",VLOOKUP(D595,'[1]0.1 Produksi Pangan &amp; Penduduk'!$D$5:$AQ$860,40,0))</f>
        <v/>
      </c>
      <c r="G595" s="29" t="str">
        <f t="shared" si="45"/>
        <v/>
      </c>
      <c r="H595" s="29" t="str">
        <f t="shared" si="46"/>
        <v/>
      </c>
      <c r="I595" s="29" t="str">
        <f t="shared" si="47"/>
        <v/>
      </c>
      <c r="J595" s="29" t="str">
        <f t="shared" si="48"/>
        <v/>
      </c>
      <c r="K595" s="29" t="str">
        <f t="shared" si="49"/>
        <v/>
      </c>
    </row>
    <row r="596" spans="1:11" ht="15" x14ac:dyDescent="0.25">
      <c r="A596" s="1" t="str">
        <f>IF('1.1 Produksi Bersih Padi 2025'!A596="","",'1.1 Produksi Bersih Padi 2025'!A596)</f>
        <v/>
      </c>
      <c r="B596" s="31" t="str">
        <f>IF('1.1 Produksi Bersih Padi 2025'!B596="","",'1.1 Produksi Bersih Padi 2025'!B596)</f>
        <v/>
      </c>
      <c r="C596" s="31" t="str">
        <f>IF('1.1 Produksi Bersih Padi 2025'!C596="","",'1.1 Produksi Bersih Padi 2025'!C596)</f>
        <v/>
      </c>
      <c r="D596" s="1" t="str">
        <f>IF('1.1 Produksi Bersih Padi 2025'!D596="","",'1.1 Produksi Bersih Padi 2025'!D596)</f>
        <v/>
      </c>
      <c r="E596" s="1" t="str">
        <f>IF('1.1 Produksi Bersih Padi 2025'!E596="","",'1.1 Produksi Bersih Padi 2025'!E596)</f>
        <v/>
      </c>
      <c r="F596" s="28" t="str">
        <f>IF(D596="","",VLOOKUP(D596,'[1]0.1 Produksi Pangan &amp; Penduduk'!$D$5:$AQ$860,40,0))</f>
        <v/>
      </c>
      <c r="G596" s="29" t="str">
        <f t="shared" si="45"/>
        <v/>
      </c>
      <c r="H596" s="29" t="str">
        <f t="shared" si="46"/>
        <v/>
      </c>
      <c r="I596" s="29" t="str">
        <f t="shared" si="47"/>
        <v/>
      </c>
      <c r="J596" s="29" t="str">
        <f t="shared" si="48"/>
        <v/>
      </c>
      <c r="K596" s="29" t="str">
        <f t="shared" si="49"/>
        <v/>
      </c>
    </row>
    <row r="597" spans="1:11" ht="15" x14ac:dyDescent="0.25">
      <c r="A597" s="1" t="str">
        <f>IF('1.1 Produksi Bersih Padi 2025'!A597="","",'1.1 Produksi Bersih Padi 2025'!A597)</f>
        <v/>
      </c>
      <c r="B597" s="31" t="str">
        <f>IF('1.1 Produksi Bersih Padi 2025'!B597="","",'1.1 Produksi Bersih Padi 2025'!B597)</f>
        <v/>
      </c>
      <c r="C597" s="31" t="str">
        <f>IF('1.1 Produksi Bersih Padi 2025'!C597="","",'1.1 Produksi Bersih Padi 2025'!C597)</f>
        <v/>
      </c>
      <c r="D597" s="1" t="str">
        <f>IF('1.1 Produksi Bersih Padi 2025'!D597="","",'1.1 Produksi Bersih Padi 2025'!D597)</f>
        <v/>
      </c>
      <c r="E597" s="1" t="str">
        <f>IF('1.1 Produksi Bersih Padi 2025'!E597="","",'1.1 Produksi Bersih Padi 2025'!E597)</f>
        <v/>
      </c>
      <c r="F597" s="28" t="str">
        <f>IF(D597="","",VLOOKUP(D597,'[1]0.1 Produksi Pangan &amp; Penduduk'!$D$5:$AQ$860,40,0))</f>
        <v/>
      </c>
      <c r="G597" s="29" t="str">
        <f t="shared" si="45"/>
        <v/>
      </c>
      <c r="H597" s="29" t="str">
        <f t="shared" si="46"/>
        <v/>
      </c>
      <c r="I597" s="29" t="str">
        <f t="shared" si="47"/>
        <v/>
      </c>
      <c r="J597" s="29" t="str">
        <f t="shared" si="48"/>
        <v/>
      </c>
      <c r="K597" s="29" t="str">
        <f t="shared" si="49"/>
        <v/>
      </c>
    </row>
    <row r="598" spans="1:11" ht="15" x14ac:dyDescent="0.25">
      <c r="A598" s="1" t="str">
        <f>IF('1.1 Produksi Bersih Padi 2025'!A598="","",'1.1 Produksi Bersih Padi 2025'!A598)</f>
        <v/>
      </c>
      <c r="B598" s="31" t="str">
        <f>IF('1.1 Produksi Bersih Padi 2025'!B598="","",'1.1 Produksi Bersih Padi 2025'!B598)</f>
        <v/>
      </c>
      <c r="C598" s="31" t="str">
        <f>IF('1.1 Produksi Bersih Padi 2025'!C598="","",'1.1 Produksi Bersih Padi 2025'!C598)</f>
        <v/>
      </c>
      <c r="D598" s="1" t="str">
        <f>IF('1.1 Produksi Bersih Padi 2025'!D598="","",'1.1 Produksi Bersih Padi 2025'!D598)</f>
        <v/>
      </c>
      <c r="E598" s="1" t="str">
        <f>IF('1.1 Produksi Bersih Padi 2025'!E598="","",'1.1 Produksi Bersih Padi 2025'!E598)</f>
        <v/>
      </c>
      <c r="F598" s="28" t="str">
        <f>IF(D598="","",VLOOKUP(D598,'[1]0.1 Produksi Pangan &amp; Penduduk'!$D$5:$AQ$860,40,0))</f>
        <v/>
      </c>
      <c r="G598" s="29" t="str">
        <f t="shared" si="45"/>
        <v/>
      </c>
      <c r="H598" s="29" t="str">
        <f t="shared" si="46"/>
        <v/>
      </c>
      <c r="I598" s="29" t="str">
        <f t="shared" si="47"/>
        <v/>
      </c>
      <c r="J598" s="29" t="str">
        <f t="shared" si="48"/>
        <v/>
      </c>
      <c r="K598" s="29" t="str">
        <f t="shared" si="49"/>
        <v/>
      </c>
    </row>
    <row r="599" spans="1:11" ht="15" x14ac:dyDescent="0.25">
      <c r="A599" s="1" t="str">
        <f>IF('1.1 Produksi Bersih Padi 2025'!A599="","",'1.1 Produksi Bersih Padi 2025'!A599)</f>
        <v/>
      </c>
      <c r="B599" s="31" t="str">
        <f>IF('1.1 Produksi Bersih Padi 2025'!B599="","",'1.1 Produksi Bersih Padi 2025'!B599)</f>
        <v/>
      </c>
      <c r="C599" s="31" t="str">
        <f>IF('1.1 Produksi Bersih Padi 2025'!C599="","",'1.1 Produksi Bersih Padi 2025'!C599)</f>
        <v/>
      </c>
      <c r="D599" s="1" t="str">
        <f>IF('1.1 Produksi Bersih Padi 2025'!D599="","",'1.1 Produksi Bersih Padi 2025'!D599)</f>
        <v/>
      </c>
      <c r="E599" s="1" t="str">
        <f>IF('1.1 Produksi Bersih Padi 2025'!E599="","",'1.1 Produksi Bersih Padi 2025'!E599)</f>
        <v/>
      </c>
      <c r="F599" s="28" t="str">
        <f>IF(D599="","",VLOOKUP(D599,'[1]0.1 Produksi Pangan &amp; Penduduk'!$D$5:$AQ$860,40,0))</f>
        <v/>
      </c>
      <c r="G599" s="29" t="str">
        <f t="shared" si="45"/>
        <v/>
      </c>
      <c r="H599" s="29" t="str">
        <f t="shared" si="46"/>
        <v/>
      </c>
      <c r="I599" s="29" t="str">
        <f t="shared" si="47"/>
        <v/>
      </c>
      <c r="J599" s="29" t="str">
        <f t="shared" si="48"/>
        <v/>
      </c>
      <c r="K599" s="29" t="str">
        <f t="shared" si="49"/>
        <v/>
      </c>
    </row>
    <row r="600" spans="1:11" ht="15" x14ac:dyDescent="0.25">
      <c r="A600" s="1" t="str">
        <f>IF('1.1 Produksi Bersih Padi 2025'!A600="","",'1.1 Produksi Bersih Padi 2025'!A600)</f>
        <v/>
      </c>
      <c r="B600" s="31" t="str">
        <f>IF('1.1 Produksi Bersih Padi 2025'!B600="","",'1.1 Produksi Bersih Padi 2025'!B600)</f>
        <v/>
      </c>
      <c r="C600" s="31" t="str">
        <f>IF('1.1 Produksi Bersih Padi 2025'!C600="","",'1.1 Produksi Bersih Padi 2025'!C600)</f>
        <v/>
      </c>
      <c r="D600" s="1" t="str">
        <f>IF('1.1 Produksi Bersih Padi 2025'!D600="","",'1.1 Produksi Bersih Padi 2025'!D600)</f>
        <v/>
      </c>
      <c r="E600" s="1" t="str">
        <f>IF('1.1 Produksi Bersih Padi 2025'!E600="","",'1.1 Produksi Bersih Padi 2025'!E600)</f>
        <v/>
      </c>
      <c r="F600" s="28" t="str">
        <f>IF(D600="","",VLOOKUP(D600,'[1]0.1 Produksi Pangan &amp; Penduduk'!$D$5:$AQ$860,40,0))</f>
        <v/>
      </c>
      <c r="G600" s="29" t="str">
        <f t="shared" si="45"/>
        <v/>
      </c>
      <c r="H600" s="29" t="str">
        <f t="shared" si="46"/>
        <v/>
      </c>
      <c r="I600" s="29" t="str">
        <f t="shared" si="47"/>
        <v/>
      </c>
      <c r="J600" s="29" t="str">
        <f t="shared" si="48"/>
        <v/>
      </c>
      <c r="K600" s="29" t="str">
        <f t="shared" si="49"/>
        <v/>
      </c>
    </row>
    <row r="601" spans="1:11" ht="15" x14ac:dyDescent="0.25">
      <c r="A601" s="1" t="str">
        <f>IF('1.1 Produksi Bersih Padi 2025'!A601="","",'1.1 Produksi Bersih Padi 2025'!A601)</f>
        <v/>
      </c>
      <c r="B601" s="31" t="str">
        <f>IF('1.1 Produksi Bersih Padi 2025'!B601="","",'1.1 Produksi Bersih Padi 2025'!B601)</f>
        <v/>
      </c>
      <c r="C601" s="31" t="str">
        <f>IF('1.1 Produksi Bersih Padi 2025'!C601="","",'1.1 Produksi Bersih Padi 2025'!C601)</f>
        <v/>
      </c>
      <c r="D601" s="1" t="str">
        <f>IF('1.1 Produksi Bersih Padi 2025'!D601="","",'1.1 Produksi Bersih Padi 2025'!D601)</f>
        <v/>
      </c>
      <c r="E601" s="1" t="str">
        <f>IF('1.1 Produksi Bersih Padi 2025'!E601="","",'1.1 Produksi Bersih Padi 2025'!E601)</f>
        <v/>
      </c>
      <c r="F601" s="28" t="str">
        <f>IF(D601="","",VLOOKUP(D601,'[1]0.1 Produksi Pangan &amp; Penduduk'!$D$5:$AQ$860,40,0))</f>
        <v/>
      </c>
      <c r="G601" s="29" t="str">
        <f t="shared" si="45"/>
        <v/>
      </c>
      <c r="H601" s="29" t="str">
        <f t="shared" si="46"/>
        <v/>
      </c>
      <c r="I601" s="29" t="str">
        <f t="shared" si="47"/>
        <v/>
      </c>
      <c r="J601" s="29" t="str">
        <f t="shared" si="48"/>
        <v/>
      </c>
      <c r="K601" s="29" t="str">
        <f t="shared" si="49"/>
        <v/>
      </c>
    </row>
    <row r="602" spans="1:11" ht="15" x14ac:dyDescent="0.25">
      <c r="A602" s="1" t="str">
        <f>IF('1.1 Produksi Bersih Padi 2025'!A602="","",'1.1 Produksi Bersih Padi 2025'!A602)</f>
        <v/>
      </c>
      <c r="B602" s="31" t="str">
        <f>IF('1.1 Produksi Bersih Padi 2025'!B602="","",'1.1 Produksi Bersih Padi 2025'!B602)</f>
        <v/>
      </c>
      <c r="C602" s="31" t="str">
        <f>IF('1.1 Produksi Bersih Padi 2025'!C602="","",'1.1 Produksi Bersih Padi 2025'!C602)</f>
        <v/>
      </c>
      <c r="D602" s="1" t="str">
        <f>IF('1.1 Produksi Bersih Padi 2025'!D602="","",'1.1 Produksi Bersih Padi 2025'!D602)</f>
        <v/>
      </c>
      <c r="E602" s="1" t="str">
        <f>IF('1.1 Produksi Bersih Padi 2025'!E602="","",'1.1 Produksi Bersih Padi 2025'!E602)</f>
        <v/>
      </c>
      <c r="F602" s="28" t="str">
        <f>IF(D602="","",VLOOKUP(D602,'[1]0.1 Produksi Pangan &amp; Penduduk'!$D$5:$AQ$860,40,0))</f>
        <v/>
      </c>
      <c r="G602" s="29" t="str">
        <f t="shared" si="45"/>
        <v/>
      </c>
      <c r="H602" s="29" t="str">
        <f t="shared" si="46"/>
        <v/>
      </c>
      <c r="I602" s="29" t="str">
        <f t="shared" si="47"/>
        <v/>
      </c>
      <c r="J602" s="29" t="str">
        <f t="shared" si="48"/>
        <v/>
      </c>
      <c r="K602" s="29" t="str">
        <f t="shared" si="49"/>
        <v/>
      </c>
    </row>
    <row r="603" spans="1:11" ht="15" x14ac:dyDescent="0.25">
      <c r="A603" s="1" t="str">
        <f>IF('1.1 Produksi Bersih Padi 2025'!A603="","",'1.1 Produksi Bersih Padi 2025'!A603)</f>
        <v/>
      </c>
      <c r="B603" s="31" t="str">
        <f>IF('1.1 Produksi Bersih Padi 2025'!B603="","",'1.1 Produksi Bersih Padi 2025'!B603)</f>
        <v/>
      </c>
      <c r="C603" s="31" t="str">
        <f>IF('1.1 Produksi Bersih Padi 2025'!C603="","",'1.1 Produksi Bersih Padi 2025'!C603)</f>
        <v/>
      </c>
      <c r="D603" s="1" t="str">
        <f>IF('1.1 Produksi Bersih Padi 2025'!D603="","",'1.1 Produksi Bersih Padi 2025'!D603)</f>
        <v/>
      </c>
      <c r="E603" s="1" t="str">
        <f>IF('1.1 Produksi Bersih Padi 2025'!E603="","",'1.1 Produksi Bersih Padi 2025'!E603)</f>
        <v/>
      </c>
      <c r="F603" s="28" t="str">
        <f>IF(D603="","",VLOOKUP(D603,'[1]0.1 Produksi Pangan &amp; Penduduk'!$D$5:$AQ$860,40,0))</f>
        <v/>
      </c>
      <c r="G603" s="29" t="str">
        <f t="shared" si="45"/>
        <v/>
      </c>
      <c r="H603" s="29" t="str">
        <f t="shared" si="46"/>
        <v/>
      </c>
      <c r="I603" s="29" t="str">
        <f t="shared" si="47"/>
        <v/>
      </c>
      <c r="J603" s="29" t="str">
        <f t="shared" si="48"/>
        <v/>
      </c>
      <c r="K603" s="29" t="str">
        <f t="shared" si="49"/>
        <v/>
      </c>
    </row>
    <row r="604" spans="1:11" ht="15" x14ac:dyDescent="0.25">
      <c r="A604" s="1" t="str">
        <f>IF('1.1 Produksi Bersih Padi 2025'!A604="","",'1.1 Produksi Bersih Padi 2025'!A604)</f>
        <v/>
      </c>
      <c r="B604" s="31" t="str">
        <f>IF('1.1 Produksi Bersih Padi 2025'!B604="","",'1.1 Produksi Bersih Padi 2025'!B604)</f>
        <v/>
      </c>
      <c r="C604" s="31" t="str">
        <f>IF('1.1 Produksi Bersih Padi 2025'!C604="","",'1.1 Produksi Bersih Padi 2025'!C604)</f>
        <v/>
      </c>
      <c r="D604" s="1" t="str">
        <f>IF('1.1 Produksi Bersih Padi 2025'!D604="","",'1.1 Produksi Bersih Padi 2025'!D604)</f>
        <v/>
      </c>
      <c r="E604" s="1" t="str">
        <f>IF('1.1 Produksi Bersih Padi 2025'!E604="","",'1.1 Produksi Bersih Padi 2025'!E604)</f>
        <v/>
      </c>
      <c r="F604" s="28" t="str">
        <f>IF(D604="","",VLOOKUP(D604,'[1]0.1 Produksi Pangan &amp; Penduduk'!$D$5:$AQ$860,40,0))</f>
        <v/>
      </c>
      <c r="G604" s="29" t="str">
        <f t="shared" si="45"/>
        <v/>
      </c>
      <c r="H604" s="29" t="str">
        <f t="shared" si="46"/>
        <v/>
      </c>
      <c r="I604" s="29" t="str">
        <f t="shared" si="47"/>
        <v/>
      </c>
      <c r="J604" s="29" t="str">
        <f t="shared" si="48"/>
        <v/>
      </c>
      <c r="K604" s="29" t="str">
        <f t="shared" si="49"/>
        <v/>
      </c>
    </row>
    <row r="605" spans="1:11" ht="15" x14ac:dyDescent="0.25">
      <c r="A605" s="1" t="str">
        <f>IF('1.1 Produksi Bersih Padi 2025'!A605="","",'1.1 Produksi Bersih Padi 2025'!A605)</f>
        <v/>
      </c>
      <c r="B605" s="31" t="str">
        <f>IF('1.1 Produksi Bersih Padi 2025'!B605="","",'1.1 Produksi Bersih Padi 2025'!B605)</f>
        <v/>
      </c>
      <c r="C605" s="31" t="str">
        <f>IF('1.1 Produksi Bersih Padi 2025'!C605="","",'1.1 Produksi Bersih Padi 2025'!C605)</f>
        <v/>
      </c>
      <c r="D605" s="1" t="str">
        <f>IF('1.1 Produksi Bersih Padi 2025'!D605="","",'1.1 Produksi Bersih Padi 2025'!D605)</f>
        <v/>
      </c>
      <c r="E605" s="1" t="str">
        <f>IF('1.1 Produksi Bersih Padi 2025'!E605="","",'1.1 Produksi Bersih Padi 2025'!E605)</f>
        <v/>
      </c>
      <c r="F605" s="28" t="str">
        <f>IF(D605="","",VLOOKUP(D605,'[1]0.1 Produksi Pangan &amp; Penduduk'!$D$5:$AQ$860,40,0))</f>
        <v/>
      </c>
      <c r="G605" s="29" t="str">
        <f t="shared" si="45"/>
        <v/>
      </c>
      <c r="H605" s="29" t="str">
        <f t="shared" si="46"/>
        <v/>
      </c>
      <c r="I605" s="29" t="str">
        <f t="shared" si="47"/>
        <v/>
      </c>
      <c r="J605" s="29" t="str">
        <f t="shared" si="48"/>
        <v/>
      </c>
      <c r="K605" s="29" t="str">
        <f t="shared" si="49"/>
        <v/>
      </c>
    </row>
    <row r="606" spans="1:11" ht="15" x14ac:dyDescent="0.25">
      <c r="A606" s="1" t="str">
        <f>IF('1.1 Produksi Bersih Padi 2025'!A606="","",'1.1 Produksi Bersih Padi 2025'!A606)</f>
        <v/>
      </c>
      <c r="B606" s="31" t="str">
        <f>IF('1.1 Produksi Bersih Padi 2025'!B606="","",'1.1 Produksi Bersih Padi 2025'!B606)</f>
        <v/>
      </c>
      <c r="C606" s="31" t="str">
        <f>IF('1.1 Produksi Bersih Padi 2025'!C606="","",'1.1 Produksi Bersih Padi 2025'!C606)</f>
        <v/>
      </c>
      <c r="D606" s="1" t="str">
        <f>IF('1.1 Produksi Bersih Padi 2025'!D606="","",'1.1 Produksi Bersih Padi 2025'!D606)</f>
        <v/>
      </c>
      <c r="E606" s="1" t="str">
        <f>IF('1.1 Produksi Bersih Padi 2025'!E606="","",'1.1 Produksi Bersih Padi 2025'!E606)</f>
        <v/>
      </c>
      <c r="F606" s="28" t="str">
        <f>IF(D606="","",VLOOKUP(D606,'[1]0.1 Produksi Pangan &amp; Penduduk'!$D$5:$AQ$860,40,0))</f>
        <v/>
      </c>
      <c r="G606" s="29" t="str">
        <f t="shared" si="45"/>
        <v/>
      </c>
      <c r="H606" s="29" t="str">
        <f t="shared" si="46"/>
        <v/>
      </c>
      <c r="I606" s="29" t="str">
        <f t="shared" si="47"/>
        <v/>
      </c>
      <c r="J606" s="29" t="str">
        <f t="shared" si="48"/>
        <v/>
      </c>
      <c r="K606" s="29" t="str">
        <f t="shared" si="49"/>
        <v/>
      </c>
    </row>
    <row r="607" spans="1:11" ht="15" x14ac:dyDescent="0.25">
      <c r="A607" s="1" t="str">
        <f>IF('1.1 Produksi Bersih Padi 2025'!A607="","",'1.1 Produksi Bersih Padi 2025'!A607)</f>
        <v/>
      </c>
      <c r="B607" s="31" t="str">
        <f>IF('1.1 Produksi Bersih Padi 2025'!B607="","",'1.1 Produksi Bersih Padi 2025'!B607)</f>
        <v/>
      </c>
      <c r="C607" s="31" t="str">
        <f>IF('1.1 Produksi Bersih Padi 2025'!C607="","",'1.1 Produksi Bersih Padi 2025'!C607)</f>
        <v/>
      </c>
      <c r="D607" s="1" t="str">
        <f>IF('1.1 Produksi Bersih Padi 2025'!D607="","",'1.1 Produksi Bersih Padi 2025'!D607)</f>
        <v/>
      </c>
      <c r="E607" s="1" t="str">
        <f>IF('1.1 Produksi Bersih Padi 2025'!E607="","",'1.1 Produksi Bersih Padi 2025'!E607)</f>
        <v/>
      </c>
      <c r="F607" s="28" t="str">
        <f>IF(D607="","",VLOOKUP(D607,'[1]0.1 Produksi Pangan &amp; Penduduk'!$D$5:$AQ$860,40,0))</f>
        <v/>
      </c>
      <c r="G607" s="29" t="str">
        <f t="shared" si="45"/>
        <v/>
      </c>
      <c r="H607" s="29" t="str">
        <f t="shared" si="46"/>
        <v/>
      </c>
      <c r="I607" s="29" t="str">
        <f t="shared" si="47"/>
        <v/>
      </c>
      <c r="J607" s="29" t="str">
        <f t="shared" si="48"/>
        <v/>
      </c>
      <c r="K607" s="29" t="str">
        <f t="shared" si="49"/>
        <v/>
      </c>
    </row>
    <row r="608" spans="1:11" ht="15" x14ac:dyDescent="0.25">
      <c r="A608" s="1" t="str">
        <f>IF('1.1 Produksi Bersih Padi 2025'!A608="","",'1.1 Produksi Bersih Padi 2025'!A608)</f>
        <v/>
      </c>
      <c r="B608" s="31" t="str">
        <f>IF('1.1 Produksi Bersih Padi 2025'!B608="","",'1.1 Produksi Bersih Padi 2025'!B608)</f>
        <v/>
      </c>
      <c r="C608" s="31" t="str">
        <f>IF('1.1 Produksi Bersih Padi 2025'!C608="","",'1.1 Produksi Bersih Padi 2025'!C608)</f>
        <v/>
      </c>
      <c r="D608" s="1" t="str">
        <f>IF('1.1 Produksi Bersih Padi 2025'!D608="","",'1.1 Produksi Bersih Padi 2025'!D608)</f>
        <v/>
      </c>
      <c r="E608" s="1" t="str">
        <f>IF('1.1 Produksi Bersih Padi 2025'!E608="","",'1.1 Produksi Bersih Padi 2025'!E608)</f>
        <v/>
      </c>
      <c r="F608" s="28" t="str">
        <f>IF(D608="","",VLOOKUP(D608,'[1]0.1 Produksi Pangan &amp; Penduduk'!$D$5:$AQ$860,40,0))</f>
        <v/>
      </c>
      <c r="G608" s="29" t="str">
        <f t="shared" si="45"/>
        <v/>
      </c>
      <c r="H608" s="29" t="str">
        <f t="shared" si="46"/>
        <v/>
      </c>
      <c r="I608" s="29" t="str">
        <f t="shared" si="47"/>
        <v/>
      </c>
      <c r="J608" s="29" t="str">
        <f t="shared" si="48"/>
        <v/>
      </c>
      <c r="K608" s="29" t="str">
        <f t="shared" si="49"/>
        <v/>
      </c>
    </row>
    <row r="609" spans="1:11" ht="15" x14ac:dyDescent="0.25">
      <c r="A609" s="1" t="str">
        <f>IF('1.1 Produksi Bersih Padi 2025'!A609="","",'1.1 Produksi Bersih Padi 2025'!A609)</f>
        <v/>
      </c>
      <c r="B609" s="31" t="str">
        <f>IF('1.1 Produksi Bersih Padi 2025'!B609="","",'1.1 Produksi Bersih Padi 2025'!B609)</f>
        <v/>
      </c>
      <c r="C609" s="31" t="str">
        <f>IF('1.1 Produksi Bersih Padi 2025'!C609="","",'1.1 Produksi Bersih Padi 2025'!C609)</f>
        <v/>
      </c>
      <c r="D609" s="1" t="str">
        <f>IF('1.1 Produksi Bersih Padi 2025'!D609="","",'1.1 Produksi Bersih Padi 2025'!D609)</f>
        <v/>
      </c>
      <c r="E609" s="1" t="str">
        <f>IF('1.1 Produksi Bersih Padi 2025'!E609="","",'1.1 Produksi Bersih Padi 2025'!E609)</f>
        <v/>
      </c>
      <c r="F609" s="28" t="str">
        <f>IF(D609="","",VLOOKUP(D609,'[1]0.1 Produksi Pangan &amp; Penduduk'!$D$5:$AQ$860,40,0))</f>
        <v/>
      </c>
      <c r="G609" s="29" t="str">
        <f t="shared" si="45"/>
        <v/>
      </c>
      <c r="H609" s="29" t="str">
        <f t="shared" si="46"/>
        <v/>
      </c>
      <c r="I609" s="29" t="str">
        <f t="shared" si="47"/>
        <v/>
      </c>
      <c r="J609" s="29" t="str">
        <f t="shared" si="48"/>
        <v/>
      </c>
      <c r="K609" s="29" t="str">
        <f t="shared" si="49"/>
        <v/>
      </c>
    </row>
    <row r="610" spans="1:11" ht="15" x14ac:dyDescent="0.25">
      <c r="A610" s="1" t="str">
        <f>IF('1.1 Produksi Bersih Padi 2025'!A610="","",'1.1 Produksi Bersih Padi 2025'!A610)</f>
        <v/>
      </c>
      <c r="B610" s="31" t="str">
        <f>IF('1.1 Produksi Bersih Padi 2025'!B610="","",'1.1 Produksi Bersih Padi 2025'!B610)</f>
        <v/>
      </c>
      <c r="C610" s="31" t="str">
        <f>IF('1.1 Produksi Bersih Padi 2025'!C610="","",'1.1 Produksi Bersih Padi 2025'!C610)</f>
        <v/>
      </c>
      <c r="D610" s="1" t="str">
        <f>IF('1.1 Produksi Bersih Padi 2025'!D610="","",'1.1 Produksi Bersih Padi 2025'!D610)</f>
        <v/>
      </c>
      <c r="E610" s="1" t="str">
        <f>IF('1.1 Produksi Bersih Padi 2025'!E610="","",'1.1 Produksi Bersih Padi 2025'!E610)</f>
        <v/>
      </c>
      <c r="F610" s="28" t="str">
        <f>IF(D610="","",VLOOKUP(D610,'[1]0.1 Produksi Pangan &amp; Penduduk'!$D$5:$AQ$860,40,0))</f>
        <v/>
      </c>
      <c r="G610" s="29" t="str">
        <f t="shared" si="45"/>
        <v/>
      </c>
      <c r="H610" s="29" t="str">
        <f t="shared" si="46"/>
        <v/>
      </c>
      <c r="I610" s="29" t="str">
        <f t="shared" si="47"/>
        <v/>
      </c>
      <c r="J610" s="29" t="str">
        <f t="shared" si="48"/>
        <v/>
      </c>
      <c r="K610" s="29" t="str">
        <f t="shared" si="49"/>
        <v/>
      </c>
    </row>
    <row r="611" spans="1:11" ht="15" x14ac:dyDescent="0.25">
      <c r="A611" s="1" t="str">
        <f>IF('1.1 Produksi Bersih Padi 2025'!A611="","",'1.1 Produksi Bersih Padi 2025'!A611)</f>
        <v/>
      </c>
      <c r="B611" s="31" t="str">
        <f>IF('1.1 Produksi Bersih Padi 2025'!B611="","",'1.1 Produksi Bersih Padi 2025'!B611)</f>
        <v/>
      </c>
      <c r="C611" s="31" t="str">
        <f>IF('1.1 Produksi Bersih Padi 2025'!C611="","",'1.1 Produksi Bersih Padi 2025'!C611)</f>
        <v/>
      </c>
      <c r="D611" s="1" t="str">
        <f>IF('1.1 Produksi Bersih Padi 2025'!D611="","",'1.1 Produksi Bersih Padi 2025'!D611)</f>
        <v/>
      </c>
      <c r="E611" s="1" t="str">
        <f>IF('1.1 Produksi Bersih Padi 2025'!E611="","",'1.1 Produksi Bersih Padi 2025'!E611)</f>
        <v/>
      </c>
      <c r="F611" s="28" t="str">
        <f>IF(D611="","",VLOOKUP(D611,'[1]0.1 Produksi Pangan &amp; Penduduk'!$D$5:$AQ$860,40,0))</f>
        <v/>
      </c>
      <c r="G611" s="29" t="str">
        <f t="shared" si="45"/>
        <v/>
      </c>
      <c r="H611" s="29" t="str">
        <f t="shared" si="46"/>
        <v/>
      </c>
      <c r="I611" s="29" t="str">
        <f t="shared" si="47"/>
        <v/>
      </c>
      <c r="J611" s="29" t="str">
        <f t="shared" si="48"/>
        <v/>
      </c>
      <c r="K611" s="29" t="str">
        <f t="shared" si="49"/>
        <v/>
      </c>
    </row>
    <row r="612" spans="1:11" ht="15" x14ac:dyDescent="0.25">
      <c r="A612" s="1" t="str">
        <f>IF('1.1 Produksi Bersih Padi 2025'!A612="","",'1.1 Produksi Bersih Padi 2025'!A612)</f>
        <v/>
      </c>
      <c r="B612" s="31" t="str">
        <f>IF('1.1 Produksi Bersih Padi 2025'!B612="","",'1.1 Produksi Bersih Padi 2025'!B612)</f>
        <v/>
      </c>
      <c r="C612" s="31" t="str">
        <f>IF('1.1 Produksi Bersih Padi 2025'!C612="","",'1.1 Produksi Bersih Padi 2025'!C612)</f>
        <v/>
      </c>
      <c r="D612" s="1" t="str">
        <f>IF('1.1 Produksi Bersih Padi 2025'!D612="","",'1.1 Produksi Bersih Padi 2025'!D612)</f>
        <v/>
      </c>
      <c r="E612" s="1" t="str">
        <f>IF('1.1 Produksi Bersih Padi 2025'!E612="","",'1.1 Produksi Bersih Padi 2025'!E612)</f>
        <v/>
      </c>
      <c r="F612" s="28" t="str">
        <f>IF(D612="","",VLOOKUP(D612,'[1]0.1 Produksi Pangan &amp; Penduduk'!$D$5:$AQ$860,40,0))</f>
        <v/>
      </c>
      <c r="G612" s="29" t="str">
        <f t="shared" si="45"/>
        <v/>
      </c>
      <c r="H612" s="29" t="str">
        <f t="shared" si="46"/>
        <v/>
      </c>
      <c r="I612" s="29" t="str">
        <f t="shared" si="47"/>
        <v/>
      </c>
      <c r="J612" s="29" t="str">
        <f t="shared" si="48"/>
        <v/>
      </c>
      <c r="K612" s="29" t="str">
        <f t="shared" si="49"/>
        <v/>
      </c>
    </row>
    <row r="613" spans="1:11" ht="15" x14ac:dyDescent="0.25">
      <c r="A613" s="1" t="str">
        <f>IF('1.1 Produksi Bersih Padi 2025'!A613="","",'1.1 Produksi Bersih Padi 2025'!A613)</f>
        <v/>
      </c>
      <c r="B613" s="31" t="str">
        <f>IF('1.1 Produksi Bersih Padi 2025'!B613="","",'1.1 Produksi Bersih Padi 2025'!B613)</f>
        <v/>
      </c>
      <c r="C613" s="31" t="str">
        <f>IF('1.1 Produksi Bersih Padi 2025'!C613="","",'1.1 Produksi Bersih Padi 2025'!C613)</f>
        <v/>
      </c>
      <c r="D613" s="1" t="str">
        <f>IF('1.1 Produksi Bersih Padi 2025'!D613="","",'1.1 Produksi Bersih Padi 2025'!D613)</f>
        <v/>
      </c>
      <c r="E613" s="1" t="str">
        <f>IF('1.1 Produksi Bersih Padi 2025'!E613="","",'1.1 Produksi Bersih Padi 2025'!E613)</f>
        <v/>
      </c>
      <c r="F613" s="28" t="str">
        <f>IF(D613="","",VLOOKUP(D613,'[1]0.1 Produksi Pangan &amp; Penduduk'!$D$5:$AQ$860,40,0))</f>
        <v/>
      </c>
      <c r="G613" s="29" t="str">
        <f t="shared" si="45"/>
        <v/>
      </c>
      <c r="H613" s="29" t="str">
        <f t="shared" si="46"/>
        <v/>
      </c>
      <c r="I613" s="29" t="str">
        <f t="shared" si="47"/>
        <v/>
      </c>
      <c r="J613" s="29" t="str">
        <f t="shared" si="48"/>
        <v/>
      </c>
      <c r="K613" s="29" t="str">
        <f t="shared" si="49"/>
        <v/>
      </c>
    </row>
    <row r="614" spans="1:11" ht="15" x14ac:dyDescent="0.25">
      <c r="A614" s="1" t="str">
        <f>IF('1.1 Produksi Bersih Padi 2025'!A614="","",'1.1 Produksi Bersih Padi 2025'!A614)</f>
        <v/>
      </c>
      <c r="B614" s="31" t="str">
        <f>IF('1.1 Produksi Bersih Padi 2025'!B614="","",'1.1 Produksi Bersih Padi 2025'!B614)</f>
        <v/>
      </c>
      <c r="C614" s="31" t="str">
        <f>IF('1.1 Produksi Bersih Padi 2025'!C614="","",'1.1 Produksi Bersih Padi 2025'!C614)</f>
        <v/>
      </c>
      <c r="D614" s="1" t="str">
        <f>IF('1.1 Produksi Bersih Padi 2025'!D614="","",'1.1 Produksi Bersih Padi 2025'!D614)</f>
        <v/>
      </c>
      <c r="E614" s="1" t="str">
        <f>IF('1.1 Produksi Bersih Padi 2025'!E614="","",'1.1 Produksi Bersih Padi 2025'!E614)</f>
        <v/>
      </c>
      <c r="F614" s="28" t="str">
        <f>IF(D614="","",VLOOKUP(D614,'[1]0.1 Produksi Pangan &amp; Penduduk'!$D$5:$AQ$860,40,0))</f>
        <v/>
      </c>
      <c r="G614" s="29" t="str">
        <f t="shared" si="45"/>
        <v/>
      </c>
      <c r="H614" s="29" t="str">
        <f t="shared" si="46"/>
        <v/>
      </c>
      <c r="I614" s="29" t="str">
        <f t="shared" si="47"/>
        <v/>
      </c>
      <c r="J614" s="29" t="str">
        <f t="shared" si="48"/>
        <v/>
      </c>
      <c r="K614" s="29" t="str">
        <f t="shared" si="49"/>
        <v/>
      </c>
    </row>
    <row r="615" spans="1:11" ht="15" x14ac:dyDescent="0.25">
      <c r="A615" s="1" t="str">
        <f>IF('1.1 Produksi Bersih Padi 2025'!A615="","",'1.1 Produksi Bersih Padi 2025'!A615)</f>
        <v/>
      </c>
      <c r="B615" s="31" t="str">
        <f>IF('1.1 Produksi Bersih Padi 2025'!B615="","",'1.1 Produksi Bersih Padi 2025'!B615)</f>
        <v/>
      </c>
      <c r="C615" s="31" t="str">
        <f>IF('1.1 Produksi Bersih Padi 2025'!C615="","",'1.1 Produksi Bersih Padi 2025'!C615)</f>
        <v/>
      </c>
      <c r="D615" s="1" t="str">
        <f>IF('1.1 Produksi Bersih Padi 2025'!D615="","",'1.1 Produksi Bersih Padi 2025'!D615)</f>
        <v/>
      </c>
      <c r="E615" s="1" t="str">
        <f>IF('1.1 Produksi Bersih Padi 2025'!E615="","",'1.1 Produksi Bersih Padi 2025'!E615)</f>
        <v/>
      </c>
      <c r="F615" s="28" t="str">
        <f>IF(D615="","",VLOOKUP(D615,'[1]0.1 Produksi Pangan &amp; Penduduk'!$D$5:$AQ$860,40,0))</f>
        <v/>
      </c>
      <c r="G615" s="29" t="str">
        <f t="shared" si="45"/>
        <v/>
      </c>
      <c r="H615" s="29" t="str">
        <f t="shared" si="46"/>
        <v/>
      </c>
      <c r="I615" s="29" t="str">
        <f t="shared" si="47"/>
        <v/>
      </c>
      <c r="J615" s="29" t="str">
        <f t="shared" si="48"/>
        <v/>
      </c>
      <c r="K615" s="29" t="str">
        <f t="shared" si="49"/>
        <v/>
      </c>
    </row>
    <row r="616" spans="1:11" ht="15" x14ac:dyDescent="0.25">
      <c r="A616" s="1" t="str">
        <f>IF('1.1 Produksi Bersih Padi 2025'!A616="","",'1.1 Produksi Bersih Padi 2025'!A616)</f>
        <v/>
      </c>
      <c r="B616" s="31" t="str">
        <f>IF('1.1 Produksi Bersih Padi 2025'!B616="","",'1.1 Produksi Bersih Padi 2025'!B616)</f>
        <v/>
      </c>
      <c r="C616" s="31" t="str">
        <f>IF('1.1 Produksi Bersih Padi 2025'!C616="","",'1.1 Produksi Bersih Padi 2025'!C616)</f>
        <v/>
      </c>
      <c r="D616" s="1" t="str">
        <f>IF('1.1 Produksi Bersih Padi 2025'!D616="","",'1.1 Produksi Bersih Padi 2025'!D616)</f>
        <v/>
      </c>
      <c r="E616" s="1" t="str">
        <f>IF('1.1 Produksi Bersih Padi 2025'!E616="","",'1.1 Produksi Bersih Padi 2025'!E616)</f>
        <v/>
      </c>
      <c r="F616" s="28" t="str">
        <f>IF(D616="","",VLOOKUP(D616,'[1]0.1 Produksi Pangan &amp; Penduduk'!$D$5:$AQ$860,40,0))</f>
        <v/>
      </c>
      <c r="G616" s="29" t="str">
        <f t="shared" si="45"/>
        <v/>
      </c>
      <c r="H616" s="29" t="str">
        <f t="shared" si="46"/>
        <v/>
      </c>
      <c r="I616" s="29" t="str">
        <f t="shared" si="47"/>
        <v/>
      </c>
      <c r="J616" s="29" t="str">
        <f t="shared" si="48"/>
        <v/>
      </c>
      <c r="K616" s="29" t="str">
        <f t="shared" si="49"/>
        <v/>
      </c>
    </row>
    <row r="617" spans="1:11" ht="15" x14ac:dyDescent="0.25">
      <c r="A617" s="1" t="str">
        <f>IF('1.1 Produksi Bersih Padi 2025'!A617="","",'1.1 Produksi Bersih Padi 2025'!A617)</f>
        <v/>
      </c>
      <c r="B617" s="31" t="str">
        <f>IF('1.1 Produksi Bersih Padi 2025'!B617="","",'1.1 Produksi Bersih Padi 2025'!B617)</f>
        <v/>
      </c>
      <c r="C617" s="31" t="str">
        <f>IF('1.1 Produksi Bersih Padi 2025'!C617="","",'1.1 Produksi Bersih Padi 2025'!C617)</f>
        <v/>
      </c>
      <c r="D617" s="1" t="str">
        <f>IF('1.1 Produksi Bersih Padi 2025'!D617="","",'1.1 Produksi Bersih Padi 2025'!D617)</f>
        <v/>
      </c>
      <c r="E617" s="1" t="str">
        <f>IF('1.1 Produksi Bersih Padi 2025'!E617="","",'1.1 Produksi Bersih Padi 2025'!E617)</f>
        <v/>
      </c>
      <c r="F617" s="28" t="str">
        <f>IF(D617="","",VLOOKUP(D617,'[1]0.1 Produksi Pangan &amp; Penduduk'!$D$5:$AQ$860,40,0))</f>
        <v/>
      </c>
      <c r="G617" s="29" t="str">
        <f t="shared" si="45"/>
        <v/>
      </c>
      <c r="H617" s="29" t="str">
        <f t="shared" si="46"/>
        <v/>
      </c>
      <c r="I617" s="29" t="str">
        <f t="shared" si="47"/>
        <v/>
      </c>
      <c r="J617" s="29" t="str">
        <f t="shared" si="48"/>
        <v/>
      </c>
      <c r="K617" s="29" t="str">
        <f t="shared" si="49"/>
        <v/>
      </c>
    </row>
    <row r="618" spans="1:11" ht="15" x14ac:dyDescent="0.25">
      <c r="A618" s="1" t="str">
        <f>IF('1.1 Produksi Bersih Padi 2025'!A618="","",'1.1 Produksi Bersih Padi 2025'!A618)</f>
        <v/>
      </c>
      <c r="B618" s="31" t="str">
        <f>IF('1.1 Produksi Bersih Padi 2025'!B618="","",'1.1 Produksi Bersih Padi 2025'!B618)</f>
        <v/>
      </c>
      <c r="C618" s="31" t="str">
        <f>IF('1.1 Produksi Bersih Padi 2025'!C618="","",'1.1 Produksi Bersih Padi 2025'!C618)</f>
        <v/>
      </c>
      <c r="D618" s="1" t="str">
        <f>IF('1.1 Produksi Bersih Padi 2025'!D618="","",'1.1 Produksi Bersih Padi 2025'!D618)</f>
        <v/>
      </c>
      <c r="E618" s="1" t="str">
        <f>IF('1.1 Produksi Bersih Padi 2025'!E618="","",'1.1 Produksi Bersih Padi 2025'!E618)</f>
        <v/>
      </c>
      <c r="F618" s="28" t="str">
        <f>IF(D618="","",VLOOKUP(D618,'[1]0.1 Produksi Pangan &amp; Penduduk'!$D$5:$AQ$860,40,0))</f>
        <v/>
      </c>
      <c r="G618" s="29" t="str">
        <f t="shared" si="45"/>
        <v/>
      </c>
      <c r="H618" s="29" t="str">
        <f t="shared" si="46"/>
        <v/>
      </c>
      <c r="I618" s="29" t="str">
        <f t="shared" si="47"/>
        <v/>
      </c>
      <c r="J618" s="29" t="str">
        <f t="shared" si="48"/>
        <v/>
      </c>
      <c r="K618" s="29" t="str">
        <f t="shared" si="49"/>
        <v/>
      </c>
    </row>
    <row r="619" spans="1:11" ht="15" x14ac:dyDescent="0.25">
      <c r="A619" s="1" t="str">
        <f>IF('1.1 Produksi Bersih Padi 2025'!A619="","",'1.1 Produksi Bersih Padi 2025'!A619)</f>
        <v/>
      </c>
      <c r="B619" s="31" t="str">
        <f>IF('1.1 Produksi Bersih Padi 2025'!B619="","",'1.1 Produksi Bersih Padi 2025'!B619)</f>
        <v/>
      </c>
      <c r="C619" s="31" t="str">
        <f>IF('1.1 Produksi Bersih Padi 2025'!C619="","",'1.1 Produksi Bersih Padi 2025'!C619)</f>
        <v/>
      </c>
      <c r="D619" s="1" t="str">
        <f>IF('1.1 Produksi Bersih Padi 2025'!D619="","",'1.1 Produksi Bersih Padi 2025'!D619)</f>
        <v/>
      </c>
      <c r="E619" s="1" t="str">
        <f>IF('1.1 Produksi Bersih Padi 2025'!E619="","",'1.1 Produksi Bersih Padi 2025'!E619)</f>
        <v/>
      </c>
      <c r="F619" s="28" t="str">
        <f>IF(D619="","",VLOOKUP(D619,'[1]0.1 Produksi Pangan &amp; Penduduk'!$D$5:$AQ$860,40,0))</f>
        <v/>
      </c>
      <c r="G619" s="29" t="str">
        <f t="shared" si="45"/>
        <v/>
      </c>
      <c r="H619" s="29" t="str">
        <f t="shared" si="46"/>
        <v/>
      </c>
      <c r="I619" s="29" t="str">
        <f t="shared" si="47"/>
        <v/>
      </c>
      <c r="J619" s="29" t="str">
        <f t="shared" si="48"/>
        <v/>
      </c>
      <c r="K619" s="29" t="str">
        <f t="shared" si="49"/>
        <v/>
      </c>
    </row>
    <row r="620" spans="1:11" ht="15" x14ac:dyDescent="0.25">
      <c r="A620" s="1" t="str">
        <f>IF('1.1 Produksi Bersih Padi 2025'!A620="","",'1.1 Produksi Bersih Padi 2025'!A620)</f>
        <v/>
      </c>
      <c r="B620" s="31" t="str">
        <f>IF('1.1 Produksi Bersih Padi 2025'!B620="","",'1.1 Produksi Bersih Padi 2025'!B620)</f>
        <v/>
      </c>
      <c r="C620" s="31" t="str">
        <f>IF('1.1 Produksi Bersih Padi 2025'!C620="","",'1.1 Produksi Bersih Padi 2025'!C620)</f>
        <v/>
      </c>
      <c r="D620" s="1" t="str">
        <f>IF('1.1 Produksi Bersih Padi 2025'!D620="","",'1.1 Produksi Bersih Padi 2025'!D620)</f>
        <v/>
      </c>
      <c r="E620" s="1" t="str">
        <f>IF('1.1 Produksi Bersih Padi 2025'!E620="","",'1.1 Produksi Bersih Padi 2025'!E620)</f>
        <v/>
      </c>
      <c r="F620" s="28" t="str">
        <f>IF(D620="","",VLOOKUP(D620,'[1]0.1 Produksi Pangan &amp; Penduduk'!$D$5:$AQ$860,40,0))</f>
        <v/>
      </c>
      <c r="G620" s="29" t="str">
        <f t="shared" si="45"/>
        <v/>
      </c>
      <c r="H620" s="29" t="str">
        <f t="shared" si="46"/>
        <v/>
      </c>
      <c r="I620" s="29" t="str">
        <f t="shared" si="47"/>
        <v/>
      </c>
      <c r="J620" s="29" t="str">
        <f t="shared" si="48"/>
        <v/>
      </c>
      <c r="K620" s="29" t="str">
        <f t="shared" si="49"/>
        <v/>
      </c>
    </row>
    <row r="621" spans="1:11" ht="15" x14ac:dyDescent="0.25">
      <c r="A621" s="1" t="str">
        <f>IF('1.1 Produksi Bersih Padi 2025'!A621="","",'1.1 Produksi Bersih Padi 2025'!A621)</f>
        <v/>
      </c>
      <c r="B621" s="31" t="str">
        <f>IF('1.1 Produksi Bersih Padi 2025'!B621="","",'1.1 Produksi Bersih Padi 2025'!B621)</f>
        <v/>
      </c>
      <c r="C621" s="31" t="str">
        <f>IF('1.1 Produksi Bersih Padi 2025'!C621="","",'1.1 Produksi Bersih Padi 2025'!C621)</f>
        <v/>
      </c>
      <c r="D621" s="1" t="str">
        <f>IF('1.1 Produksi Bersih Padi 2025'!D621="","",'1.1 Produksi Bersih Padi 2025'!D621)</f>
        <v/>
      </c>
      <c r="E621" s="1" t="str">
        <f>IF('1.1 Produksi Bersih Padi 2025'!E621="","",'1.1 Produksi Bersih Padi 2025'!E621)</f>
        <v/>
      </c>
      <c r="F621" s="28" t="str">
        <f>IF(D621="","",VLOOKUP(D621,'[1]0.1 Produksi Pangan &amp; Penduduk'!$D$5:$AQ$860,40,0))</f>
        <v/>
      </c>
      <c r="G621" s="29" t="str">
        <f t="shared" si="45"/>
        <v/>
      </c>
      <c r="H621" s="29" t="str">
        <f t="shared" si="46"/>
        <v/>
      </c>
      <c r="I621" s="29" t="str">
        <f t="shared" si="47"/>
        <v/>
      </c>
      <c r="J621" s="29" t="str">
        <f t="shared" si="48"/>
        <v/>
      </c>
      <c r="K621" s="29" t="str">
        <f t="shared" si="49"/>
        <v/>
      </c>
    </row>
    <row r="622" spans="1:11" ht="15" x14ac:dyDescent="0.25">
      <c r="A622" s="1" t="str">
        <f>IF('1.1 Produksi Bersih Padi 2025'!A622="","",'1.1 Produksi Bersih Padi 2025'!A622)</f>
        <v/>
      </c>
      <c r="B622" s="31" t="str">
        <f>IF('1.1 Produksi Bersih Padi 2025'!B622="","",'1.1 Produksi Bersih Padi 2025'!B622)</f>
        <v/>
      </c>
      <c r="C622" s="31" t="str">
        <f>IF('1.1 Produksi Bersih Padi 2025'!C622="","",'1.1 Produksi Bersih Padi 2025'!C622)</f>
        <v/>
      </c>
      <c r="D622" s="1" t="str">
        <f>IF('1.1 Produksi Bersih Padi 2025'!D622="","",'1.1 Produksi Bersih Padi 2025'!D622)</f>
        <v/>
      </c>
      <c r="E622" s="1" t="str">
        <f>IF('1.1 Produksi Bersih Padi 2025'!E622="","",'1.1 Produksi Bersih Padi 2025'!E622)</f>
        <v/>
      </c>
      <c r="F622" s="28" t="str">
        <f>IF(D622="","",VLOOKUP(D622,'[1]0.1 Produksi Pangan &amp; Penduduk'!$D$5:$AQ$860,40,0))</f>
        <v/>
      </c>
      <c r="G622" s="29" t="str">
        <f t="shared" si="45"/>
        <v/>
      </c>
      <c r="H622" s="29" t="str">
        <f t="shared" si="46"/>
        <v/>
      </c>
      <c r="I622" s="29" t="str">
        <f t="shared" si="47"/>
        <v/>
      </c>
      <c r="J622" s="29" t="str">
        <f t="shared" si="48"/>
        <v/>
      </c>
      <c r="K622" s="29" t="str">
        <f t="shared" si="49"/>
        <v/>
      </c>
    </row>
    <row r="623" spans="1:11" ht="15" x14ac:dyDescent="0.25">
      <c r="A623" s="1" t="str">
        <f>IF('1.1 Produksi Bersih Padi 2025'!A623="","",'1.1 Produksi Bersih Padi 2025'!A623)</f>
        <v/>
      </c>
      <c r="B623" s="31" t="str">
        <f>IF('1.1 Produksi Bersih Padi 2025'!B623="","",'1.1 Produksi Bersih Padi 2025'!B623)</f>
        <v/>
      </c>
      <c r="C623" s="31" t="str">
        <f>IF('1.1 Produksi Bersih Padi 2025'!C623="","",'1.1 Produksi Bersih Padi 2025'!C623)</f>
        <v/>
      </c>
      <c r="D623" s="1" t="str">
        <f>IF('1.1 Produksi Bersih Padi 2025'!D623="","",'1.1 Produksi Bersih Padi 2025'!D623)</f>
        <v/>
      </c>
      <c r="E623" s="1" t="str">
        <f>IF('1.1 Produksi Bersih Padi 2025'!E623="","",'1.1 Produksi Bersih Padi 2025'!E623)</f>
        <v/>
      </c>
      <c r="F623" s="28" t="str">
        <f>IF(D623="","",VLOOKUP(D623,'[1]0.1 Produksi Pangan &amp; Penduduk'!$D$5:$AQ$860,40,0))</f>
        <v/>
      </c>
      <c r="G623" s="29" t="str">
        <f t="shared" si="45"/>
        <v/>
      </c>
      <c r="H623" s="29" t="str">
        <f t="shared" si="46"/>
        <v/>
      </c>
      <c r="I623" s="29" t="str">
        <f t="shared" si="47"/>
        <v/>
      </c>
      <c r="J623" s="29" t="str">
        <f t="shared" si="48"/>
        <v/>
      </c>
      <c r="K623" s="29" t="str">
        <f t="shared" si="49"/>
        <v/>
      </c>
    </row>
    <row r="624" spans="1:11" ht="15" x14ac:dyDescent="0.25">
      <c r="A624" s="1" t="str">
        <f>IF('1.1 Produksi Bersih Padi 2025'!A624="","",'1.1 Produksi Bersih Padi 2025'!A624)</f>
        <v/>
      </c>
      <c r="B624" s="31" t="str">
        <f>IF('1.1 Produksi Bersih Padi 2025'!B624="","",'1.1 Produksi Bersih Padi 2025'!B624)</f>
        <v/>
      </c>
      <c r="C624" s="31" t="str">
        <f>IF('1.1 Produksi Bersih Padi 2025'!C624="","",'1.1 Produksi Bersih Padi 2025'!C624)</f>
        <v/>
      </c>
      <c r="D624" s="1" t="str">
        <f>IF('1.1 Produksi Bersih Padi 2025'!D624="","",'1.1 Produksi Bersih Padi 2025'!D624)</f>
        <v/>
      </c>
      <c r="E624" s="1" t="str">
        <f>IF('1.1 Produksi Bersih Padi 2025'!E624="","",'1.1 Produksi Bersih Padi 2025'!E624)</f>
        <v/>
      </c>
      <c r="F624" s="28" t="str">
        <f>IF(D624="","",VLOOKUP(D624,'[1]0.1 Produksi Pangan &amp; Penduduk'!$D$5:$AQ$860,40,0))</f>
        <v/>
      </c>
      <c r="G624" s="29" t="str">
        <f t="shared" si="45"/>
        <v/>
      </c>
      <c r="H624" s="29" t="str">
        <f t="shared" si="46"/>
        <v/>
      </c>
      <c r="I624" s="29" t="str">
        <f t="shared" si="47"/>
        <v/>
      </c>
      <c r="J624" s="29" t="str">
        <f t="shared" si="48"/>
        <v/>
      </c>
      <c r="K624" s="29" t="str">
        <f t="shared" si="49"/>
        <v/>
      </c>
    </row>
    <row r="625" spans="1:11" ht="15" x14ac:dyDescent="0.25">
      <c r="A625" s="1" t="str">
        <f>IF('1.1 Produksi Bersih Padi 2025'!A625="","",'1.1 Produksi Bersih Padi 2025'!A625)</f>
        <v/>
      </c>
      <c r="B625" s="31" t="str">
        <f>IF('1.1 Produksi Bersih Padi 2025'!B625="","",'1.1 Produksi Bersih Padi 2025'!B625)</f>
        <v/>
      </c>
      <c r="C625" s="31" t="str">
        <f>IF('1.1 Produksi Bersih Padi 2025'!C625="","",'1.1 Produksi Bersih Padi 2025'!C625)</f>
        <v/>
      </c>
      <c r="D625" s="1" t="str">
        <f>IF('1.1 Produksi Bersih Padi 2025'!D625="","",'1.1 Produksi Bersih Padi 2025'!D625)</f>
        <v/>
      </c>
      <c r="E625" s="1" t="str">
        <f>IF('1.1 Produksi Bersih Padi 2025'!E625="","",'1.1 Produksi Bersih Padi 2025'!E625)</f>
        <v/>
      </c>
      <c r="F625" s="28" t="str">
        <f>IF(D625="","",VLOOKUP(D625,'[1]0.1 Produksi Pangan &amp; Penduduk'!$D$5:$AQ$860,40,0))</f>
        <v/>
      </c>
      <c r="G625" s="29" t="str">
        <f t="shared" si="45"/>
        <v/>
      </c>
      <c r="H625" s="29" t="str">
        <f t="shared" si="46"/>
        <v/>
      </c>
      <c r="I625" s="29" t="str">
        <f t="shared" si="47"/>
        <v/>
      </c>
      <c r="J625" s="29" t="str">
        <f t="shared" si="48"/>
        <v/>
      </c>
      <c r="K625" s="29" t="str">
        <f t="shared" si="49"/>
        <v/>
      </c>
    </row>
    <row r="626" spans="1:11" ht="15" x14ac:dyDescent="0.25">
      <c r="A626" s="1" t="str">
        <f>IF('1.1 Produksi Bersih Padi 2025'!A626="","",'1.1 Produksi Bersih Padi 2025'!A626)</f>
        <v/>
      </c>
      <c r="B626" s="31" t="str">
        <f>IF('1.1 Produksi Bersih Padi 2025'!B626="","",'1.1 Produksi Bersih Padi 2025'!B626)</f>
        <v/>
      </c>
      <c r="C626" s="31" t="str">
        <f>IF('1.1 Produksi Bersih Padi 2025'!C626="","",'1.1 Produksi Bersih Padi 2025'!C626)</f>
        <v/>
      </c>
      <c r="D626" s="1" t="str">
        <f>IF('1.1 Produksi Bersih Padi 2025'!D626="","",'1.1 Produksi Bersih Padi 2025'!D626)</f>
        <v/>
      </c>
      <c r="E626" s="1" t="str">
        <f>IF('1.1 Produksi Bersih Padi 2025'!E626="","",'1.1 Produksi Bersih Padi 2025'!E626)</f>
        <v/>
      </c>
      <c r="F626" s="28" t="str">
        <f>IF(D626="","",VLOOKUP(D626,'[1]0.1 Produksi Pangan &amp; Penduduk'!$D$5:$AQ$860,40,0))</f>
        <v/>
      </c>
      <c r="G626" s="29" t="str">
        <f t="shared" si="45"/>
        <v/>
      </c>
      <c r="H626" s="29" t="str">
        <f t="shared" si="46"/>
        <v/>
      </c>
      <c r="I626" s="29" t="str">
        <f t="shared" si="47"/>
        <v/>
      </c>
      <c r="J626" s="29" t="str">
        <f t="shared" si="48"/>
        <v/>
      </c>
      <c r="K626" s="29" t="str">
        <f t="shared" si="49"/>
        <v/>
      </c>
    </row>
    <row r="627" spans="1:11" ht="15" x14ac:dyDescent="0.25">
      <c r="A627" s="1" t="str">
        <f>IF('1.1 Produksi Bersih Padi 2025'!A627="","",'1.1 Produksi Bersih Padi 2025'!A627)</f>
        <v/>
      </c>
      <c r="B627" s="31" t="str">
        <f>IF('1.1 Produksi Bersih Padi 2025'!B627="","",'1.1 Produksi Bersih Padi 2025'!B627)</f>
        <v/>
      </c>
      <c r="C627" s="31" t="str">
        <f>IF('1.1 Produksi Bersih Padi 2025'!C627="","",'1.1 Produksi Bersih Padi 2025'!C627)</f>
        <v/>
      </c>
      <c r="D627" s="1" t="str">
        <f>IF('1.1 Produksi Bersih Padi 2025'!D627="","",'1.1 Produksi Bersih Padi 2025'!D627)</f>
        <v/>
      </c>
      <c r="E627" s="1" t="str">
        <f>IF('1.1 Produksi Bersih Padi 2025'!E627="","",'1.1 Produksi Bersih Padi 2025'!E627)</f>
        <v/>
      </c>
      <c r="F627" s="28" t="str">
        <f>IF(D627="","",VLOOKUP(D627,'[1]0.1 Produksi Pangan &amp; Penduduk'!$D$5:$AQ$860,40,0))</f>
        <v/>
      </c>
      <c r="G627" s="29" t="str">
        <f t="shared" si="45"/>
        <v/>
      </c>
      <c r="H627" s="29" t="str">
        <f t="shared" si="46"/>
        <v/>
      </c>
      <c r="I627" s="29" t="str">
        <f t="shared" si="47"/>
        <v/>
      </c>
      <c r="J627" s="29" t="str">
        <f t="shared" si="48"/>
        <v/>
      </c>
      <c r="K627" s="29" t="str">
        <f t="shared" si="49"/>
        <v/>
      </c>
    </row>
    <row r="628" spans="1:11" ht="15" x14ac:dyDescent="0.25">
      <c r="A628" s="1" t="str">
        <f>IF('1.1 Produksi Bersih Padi 2025'!A628="","",'1.1 Produksi Bersih Padi 2025'!A628)</f>
        <v/>
      </c>
      <c r="B628" s="31" t="str">
        <f>IF('1.1 Produksi Bersih Padi 2025'!B628="","",'1.1 Produksi Bersih Padi 2025'!B628)</f>
        <v/>
      </c>
      <c r="C628" s="31" t="str">
        <f>IF('1.1 Produksi Bersih Padi 2025'!C628="","",'1.1 Produksi Bersih Padi 2025'!C628)</f>
        <v/>
      </c>
      <c r="D628" s="1" t="str">
        <f>IF('1.1 Produksi Bersih Padi 2025'!D628="","",'1.1 Produksi Bersih Padi 2025'!D628)</f>
        <v/>
      </c>
      <c r="E628" s="1" t="str">
        <f>IF('1.1 Produksi Bersih Padi 2025'!E628="","",'1.1 Produksi Bersih Padi 2025'!E628)</f>
        <v/>
      </c>
      <c r="F628" s="28" t="str">
        <f>IF(D628="","",VLOOKUP(D628,'[1]0.1 Produksi Pangan &amp; Penduduk'!$D$5:$AQ$860,40,0))</f>
        <v/>
      </c>
      <c r="G628" s="29" t="str">
        <f t="shared" si="45"/>
        <v/>
      </c>
      <c r="H628" s="29" t="str">
        <f t="shared" si="46"/>
        <v/>
      </c>
      <c r="I628" s="29" t="str">
        <f t="shared" si="47"/>
        <v/>
      </c>
      <c r="J628" s="29" t="str">
        <f t="shared" si="48"/>
        <v/>
      </c>
      <c r="K628" s="29" t="str">
        <f t="shared" si="49"/>
        <v/>
      </c>
    </row>
    <row r="629" spans="1:11" ht="15" x14ac:dyDescent="0.25">
      <c r="A629" s="1" t="str">
        <f>IF('1.1 Produksi Bersih Padi 2025'!A629="","",'1.1 Produksi Bersih Padi 2025'!A629)</f>
        <v/>
      </c>
      <c r="B629" s="31" t="str">
        <f>IF('1.1 Produksi Bersih Padi 2025'!B629="","",'1.1 Produksi Bersih Padi 2025'!B629)</f>
        <v/>
      </c>
      <c r="C629" s="31" t="str">
        <f>IF('1.1 Produksi Bersih Padi 2025'!C629="","",'1.1 Produksi Bersih Padi 2025'!C629)</f>
        <v/>
      </c>
      <c r="D629" s="1" t="str">
        <f>IF('1.1 Produksi Bersih Padi 2025'!D629="","",'1.1 Produksi Bersih Padi 2025'!D629)</f>
        <v/>
      </c>
      <c r="E629" s="1" t="str">
        <f>IF('1.1 Produksi Bersih Padi 2025'!E629="","",'1.1 Produksi Bersih Padi 2025'!E629)</f>
        <v/>
      </c>
      <c r="F629" s="28" t="str">
        <f>IF(D629="","",VLOOKUP(D629,'[1]0.1 Produksi Pangan &amp; Penduduk'!$D$5:$AQ$860,40,0))</f>
        <v/>
      </c>
      <c r="G629" s="29" t="str">
        <f t="shared" si="45"/>
        <v/>
      </c>
      <c r="H629" s="29" t="str">
        <f t="shared" si="46"/>
        <v/>
      </c>
      <c r="I629" s="29" t="str">
        <f t="shared" si="47"/>
        <v/>
      </c>
      <c r="J629" s="29" t="str">
        <f t="shared" si="48"/>
        <v/>
      </c>
      <c r="K629" s="29" t="str">
        <f t="shared" si="49"/>
        <v/>
      </c>
    </row>
    <row r="630" spans="1:11" ht="15" x14ac:dyDescent="0.25">
      <c r="A630" s="1" t="str">
        <f>IF('1.1 Produksi Bersih Padi 2025'!A630="","",'1.1 Produksi Bersih Padi 2025'!A630)</f>
        <v/>
      </c>
      <c r="B630" s="31" t="str">
        <f>IF('1.1 Produksi Bersih Padi 2025'!B630="","",'1.1 Produksi Bersih Padi 2025'!B630)</f>
        <v/>
      </c>
      <c r="C630" s="31" t="str">
        <f>IF('1.1 Produksi Bersih Padi 2025'!C630="","",'1.1 Produksi Bersih Padi 2025'!C630)</f>
        <v/>
      </c>
      <c r="D630" s="1" t="str">
        <f>IF('1.1 Produksi Bersih Padi 2025'!D630="","",'1.1 Produksi Bersih Padi 2025'!D630)</f>
        <v/>
      </c>
      <c r="E630" s="1" t="str">
        <f>IF('1.1 Produksi Bersih Padi 2025'!E630="","",'1.1 Produksi Bersih Padi 2025'!E630)</f>
        <v/>
      </c>
      <c r="F630" s="28" t="str">
        <f>IF(D630="","",VLOOKUP(D630,'[1]0.1 Produksi Pangan &amp; Penduduk'!$D$5:$AQ$860,40,0))</f>
        <v/>
      </c>
      <c r="G630" s="29" t="str">
        <f t="shared" si="45"/>
        <v/>
      </c>
      <c r="H630" s="29" t="str">
        <f t="shared" si="46"/>
        <v/>
      </c>
      <c r="I630" s="29" t="str">
        <f t="shared" si="47"/>
        <v/>
      </c>
      <c r="J630" s="29" t="str">
        <f t="shared" si="48"/>
        <v/>
      </c>
      <c r="K630" s="29" t="str">
        <f t="shared" si="49"/>
        <v/>
      </c>
    </row>
    <row r="631" spans="1:11" ht="15" x14ac:dyDescent="0.25">
      <c r="A631" s="1" t="str">
        <f>IF('1.1 Produksi Bersih Padi 2025'!A631="","",'1.1 Produksi Bersih Padi 2025'!A631)</f>
        <v/>
      </c>
      <c r="B631" s="31" t="str">
        <f>IF('1.1 Produksi Bersih Padi 2025'!B631="","",'1.1 Produksi Bersih Padi 2025'!B631)</f>
        <v/>
      </c>
      <c r="C631" s="31" t="str">
        <f>IF('1.1 Produksi Bersih Padi 2025'!C631="","",'1.1 Produksi Bersih Padi 2025'!C631)</f>
        <v/>
      </c>
      <c r="D631" s="1" t="str">
        <f>IF('1.1 Produksi Bersih Padi 2025'!D631="","",'1.1 Produksi Bersih Padi 2025'!D631)</f>
        <v/>
      </c>
      <c r="E631" s="1" t="str">
        <f>IF('1.1 Produksi Bersih Padi 2025'!E631="","",'1.1 Produksi Bersih Padi 2025'!E631)</f>
        <v/>
      </c>
      <c r="F631" s="28" t="str">
        <f>IF(D631="","",VLOOKUP(D631,'[1]0.1 Produksi Pangan &amp; Penduduk'!$D$5:$AQ$860,40,0))</f>
        <v/>
      </c>
      <c r="G631" s="29" t="str">
        <f t="shared" si="45"/>
        <v/>
      </c>
      <c r="H631" s="29" t="str">
        <f t="shared" si="46"/>
        <v/>
      </c>
      <c r="I631" s="29" t="str">
        <f t="shared" si="47"/>
        <v/>
      </c>
      <c r="J631" s="29" t="str">
        <f t="shared" si="48"/>
        <v/>
      </c>
      <c r="K631" s="29" t="str">
        <f t="shared" si="49"/>
        <v/>
      </c>
    </row>
    <row r="632" spans="1:11" ht="15" x14ac:dyDescent="0.25">
      <c r="A632" s="1" t="str">
        <f>IF('1.1 Produksi Bersih Padi 2025'!A632="","",'1.1 Produksi Bersih Padi 2025'!A632)</f>
        <v/>
      </c>
      <c r="B632" s="31" t="str">
        <f>IF('1.1 Produksi Bersih Padi 2025'!B632="","",'1.1 Produksi Bersih Padi 2025'!B632)</f>
        <v/>
      </c>
      <c r="C632" s="31" t="str">
        <f>IF('1.1 Produksi Bersih Padi 2025'!C632="","",'1.1 Produksi Bersih Padi 2025'!C632)</f>
        <v/>
      </c>
      <c r="D632" s="1" t="str">
        <f>IF('1.1 Produksi Bersih Padi 2025'!D632="","",'1.1 Produksi Bersih Padi 2025'!D632)</f>
        <v/>
      </c>
      <c r="E632" s="1" t="str">
        <f>IF('1.1 Produksi Bersih Padi 2025'!E632="","",'1.1 Produksi Bersih Padi 2025'!E632)</f>
        <v/>
      </c>
      <c r="F632" s="28" t="str">
        <f>IF(D632="","",VLOOKUP(D632,'[1]0.1 Produksi Pangan &amp; Penduduk'!$D$5:$AQ$860,40,0))</f>
        <v/>
      </c>
      <c r="G632" s="29" t="str">
        <f t="shared" si="45"/>
        <v/>
      </c>
      <c r="H632" s="29" t="str">
        <f t="shared" si="46"/>
        <v/>
      </c>
      <c r="I632" s="29" t="str">
        <f t="shared" si="47"/>
        <v/>
      </c>
      <c r="J632" s="29" t="str">
        <f t="shared" si="48"/>
        <v/>
      </c>
      <c r="K632" s="29" t="str">
        <f t="shared" si="49"/>
        <v/>
      </c>
    </row>
    <row r="633" spans="1:11" ht="15" x14ac:dyDescent="0.25">
      <c r="A633" s="1" t="str">
        <f>IF('1.1 Produksi Bersih Padi 2025'!A633="","",'1.1 Produksi Bersih Padi 2025'!A633)</f>
        <v/>
      </c>
      <c r="B633" s="31" t="str">
        <f>IF('1.1 Produksi Bersih Padi 2025'!B633="","",'1.1 Produksi Bersih Padi 2025'!B633)</f>
        <v/>
      </c>
      <c r="C633" s="31" t="str">
        <f>IF('1.1 Produksi Bersih Padi 2025'!C633="","",'1.1 Produksi Bersih Padi 2025'!C633)</f>
        <v/>
      </c>
      <c r="D633" s="1" t="str">
        <f>IF('1.1 Produksi Bersih Padi 2025'!D633="","",'1.1 Produksi Bersih Padi 2025'!D633)</f>
        <v/>
      </c>
      <c r="E633" s="1" t="str">
        <f>IF('1.1 Produksi Bersih Padi 2025'!E633="","",'1.1 Produksi Bersih Padi 2025'!E633)</f>
        <v/>
      </c>
      <c r="F633" s="28" t="str">
        <f>IF(D633="","",VLOOKUP(D633,'[1]0.1 Produksi Pangan &amp; Penduduk'!$D$5:$AQ$860,40,0))</f>
        <v/>
      </c>
      <c r="G633" s="29" t="str">
        <f t="shared" si="45"/>
        <v/>
      </c>
      <c r="H633" s="29" t="str">
        <f t="shared" si="46"/>
        <v/>
      </c>
      <c r="I633" s="29" t="str">
        <f t="shared" si="47"/>
        <v/>
      </c>
      <c r="J633" s="29" t="str">
        <f t="shared" si="48"/>
        <v/>
      </c>
      <c r="K633" s="29" t="str">
        <f t="shared" si="49"/>
        <v/>
      </c>
    </row>
    <row r="634" spans="1:11" ht="15" x14ac:dyDescent="0.25">
      <c r="A634" s="1" t="str">
        <f>IF('1.1 Produksi Bersih Padi 2025'!A634="","",'1.1 Produksi Bersih Padi 2025'!A634)</f>
        <v/>
      </c>
      <c r="B634" s="31" t="str">
        <f>IF('1.1 Produksi Bersih Padi 2025'!B634="","",'1.1 Produksi Bersih Padi 2025'!B634)</f>
        <v/>
      </c>
      <c r="C634" s="31" t="str">
        <f>IF('1.1 Produksi Bersih Padi 2025'!C634="","",'1.1 Produksi Bersih Padi 2025'!C634)</f>
        <v/>
      </c>
      <c r="D634" s="1" t="str">
        <f>IF('1.1 Produksi Bersih Padi 2025'!D634="","",'1.1 Produksi Bersih Padi 2025'!D634)</f>
        <v/>
      </c>
      <c r="E634" s="1" t="str">
        <f>IF('1.1 Produksi Bersih Padi 2025'!E634="","",'1.1 Produksi Bersih Padi 2025'!E634)</f>
        <v/>
      </c>
      <c r="F634" s="28" t="str">
        <f>IF(D634="","",VLOOKUP(D634,'[1]0.1 Produksi Pangan &amp; Penduduk'!$D$5:$AQ$860,40,0))</f>
        <v/>
      </c>
      <c r="G634" s="29" t="str">
        <f t="shared" si="45"/>
        <v/>
      </c>
      <c r="H634" s="29" t="str">
        <f t="shared" si="46"/>
        <v/>
      </c>
      <c r="I634" s="29" t="str">
        <f t="shared" si="47"/>
        <v/>
      </c>
      <c r="J634" s="29" t="str">
        <f t="shared" si="48"/>
        <v/>
      </c>
      <c r="K634" s="29" t="str">
        <f t="shared" si="49"/>
        <v/>
      </c>
    </row>
    <row r="635" spans="1:11" ht="15" x14ac:dyDescent="0.25">
      <c r="A635" s="1" t="str">
        <f>IF('1.1 Produksi Bersih Padi 2025'!A635="","",'1.1 Produksi Bersih Padi 2025'!A635)</f>
        <v/>
      </c>
      <c r="B635" s="31" t="str">
        <f>IF('1.1 Produksi Bersih Padi 2025'!B635="","",'1.1 Produksi Bersih Padi 2025'!B635)</f>
        <v/>
      </c>
      <c r="C635" s="31" t="str">
        <f>IF('1.1 Produksi Bersih Padi 2025'!C635="","",'1.1 Produksi Bersih Padi 2025'!C635)</f>
        <v/>
      </c>
      <c r="D635" s="1" t="str">
        <f>IF('1.1 Produksi Bersih Padi 2025'!D635="","",'1.1 Produksi Bersih Padi 2025'!D635)</f>
        <v/>
      </c>
      <c r="E635" s="1" t="str">
        <f>IF('1.1 Produksi Bersih Padi 2025'!E635="","",'1.1 Produksi Bersih Padi 2025'!E635)</f>
        <v/>
      </c>
      <c r="F635" s="28" t="str">
        <f>IF(D635="","",VLOOKUP(D635,'[1]0.1 Produksi Pangan &amp; Penduduk'!$D$5:$AQ$860,40,0))</f>
        <v/>
      </c>
      <c r="G635" s="29" t="str">
        <f t="shared" si="45"/>
        <v/>
      </c>
      <c r="H635" s="29" t="str">
        <f t="shared" si="46"/>
        <v/>
      </c>
      <c r="I635" s="29" t="str">
        <f t="shared" si="47"/>
        <v/>
      </c>
      <c r="J635" s="29" t="str">
        <f t="shared" si="48"/>
        <v/>
      </c>
      <c r="K635" s="29" t="str">
        <f t="shared" si="49"/>
        <v/>
      </c>
    </row>
    <row r="636" spans="1:11" ht="15" x14ac:dyDescent="0.25">
      <c r="A636" s="1" t="str">
        <f>IF('1.1 Produksi Bersih Padi 2025'!A636="","",'1.1 Produksi Bersih Padi 2025'!A636)</f>
        <v/>
      </c>
      <c r="B636" s="31" t="str">
        <f>IF('1.1 Produksi Bersih Padi 2025'!B636="","",'1.1 Produksi Bersih Padi 2025'!B636)</f>
        <v/>
      </c>
      <c r="C636" s="31" t="str">
        <f>IF('1.1 Produksi Bersih Padi 2025'!C636="","",'1.1 Produksi Bersih Padi 2025'!C636)</f>
        <v/>
      </c>
      <c r="D636" s="1" t="str">
        <f>IF('1.1 Produksi Bersih Padi 2025'!D636="","",'1.1 Produksi Bersih Padi 2025'!D636)</f>
        <v/>
      </c>
      <c r="E636" s="1" t="str">
        <f>IF('1.1 Produksi Bersih Padi 2025'!E636="","",'1.1 Produksi Bersih Padi 2025'!E636)</f>
        <v/>
      </c>
      <c r="F636" s="28" t="str">
        <f>IF(D636="","",VLOOKUP(D636,'[1]0.1 Produksi Pangan &amp; Penduduk'!$D$5:$AQ$860,40,0))</f>
        <v/>
      </c>
      <c r="G636" s="29" t="str">
        <f t="shared" si="45"/>
        <v/>
      </c>
      <c r="H636" s="29" t="str">
        <f t="shared" si="46"/>
        <v/>
      </c>
      <c r="I636" s="29" t="str">
        <f t="shared" si="47"/>
        <v/>
      </c>
      <c r="J636" s="29" t="str">
        <f t="shared" si="48"/>
        <v/>
      </c>
      <c r="K636" s="29" t="str">
        <f t="shared" si="49"/>
        <v/>
      </c>
    </row>
    <row r="637" spans="1:11" ht="15" x14ac:dyDescent="0.25">
      <c r="A637" s="1" t="str">
        <f>IF('1.1 Produksi Bersih Padi 2025'!A637="","",'1.1 Produksi Bersih Padi 2025'!A637)</f>
        <v/>
      </c>
      <c r="B637" s="31" t="str">
        <f>IF('1.1 Produksi Bersih Padi 2025'!B637="","",'1.1 Produksi Bersih Padi 2025'!B637)</f>
        <v/>
      </c>
      <c r="C637" s="31" t="str">
        <f>IF('1.1 Produksi Bersih Padi 2025'!C637="","",'1.1 Produksi Bersih Padi 2025'!C637)</f>
        <v/>
      </c>
      <c r="D637" s="1" t="str">
        <f>IF('1.1 Produksi Bersih Padi 2025'!D637="","",'1.1 Produksi Bersih Padi 2025'!D637)</f>
        <v/>
      </c>
      <c r="E637" s="1" t="str">
        <f>IF('1.1 Produksi Bersih Padi 2025'!E637="","",'1.1 Produksi Bersih Padi 2025'!E637)</f>
        <v/>
      </c>
      <c r="F637" s="28" t="str">
        <f>IF(D637="","",VLOOKUP(D637,'[1]0.1 Produksi Pangan &amp; Penduduk'!$D$5:$AQ$860,40,0))</f>
        <v/>
      </c>
      <c r="G637" s="29" t="str">
        <f t="shared" si="45"/>
        <v/>
      </c>
      <c r="H637" s="29" t="str">
        <f t="shared" si="46"/>
        <v/>
      </c>
      <c r="I637" s="29" t="str">
        <f t="shared" si="47"/>
        <v/>
      </c>
      <c r="J637" s="29" t="str">
        <f t="shared" si="48"/>
        <v/>
      </c>
      <c r="K637" s="29" t="str">
        <f t="shared" si="49"/>
        <v/>
      </c>
    </row>
    <row r="638" spans="1:11" ht="15" x14ac:dyDescent="0.25">
      <c r="A638" s="1" t="str">
        <f>IF('1.1 Produksi Bersih Padi 2025'!A638="","",'1.1 Produksi Bersih Padi 2025'!A638)</f>
        <v/>
      </c>
      <c r="B638" s="31" t="str">
        <f>IF('1.1 Produksi Bersih Padi 2025'!B638="","",'1.1 Produksi Bersih Padi 2025'!B638)</f>
        <v/>
      </c>
      <c r="C638" s="31" t="str">
        <f>IF('1.1 Produksi Bersih Padi 2025'!C638="","",'1.1 Produksi Bersih Padi 2025'!C638)</f>
        <v/>
      </c>
      <c r="D638" s="1" t="str">
        <f>IF('1.1 Produksi Bersih Padi 2025'!D638="","",'1.1 Produksi Bersih Padi 2025'!D638)</f>
        <v/>
      </c>
      <c r="E638" s="1" t="str">
        <f>IF('1.1 Produksi Bersih Padi 2025'!E638="","",'1.1 Produksi Bersih Padi 2025'!E638)</f>
        <v/>
      </c>
      <c r="F638" s="28" t="str">
        <f>IF(D638="","",VLOOKUP(D638,'[1]0.1 Produksi Pangan &amp; Penduduk'!$D$5:$AQ$860,40,0))</f>
        <v/>
      </c>
      <c r="G638" s="29" t="str">
        <f t="shared" si="45"/>
        <v/>
      </c>
      <c r="H638" s="29" t="str">
        <f t="shared" si="46"/>
        <v/>
      </c>
      <c r="I638" s="29" t="str">
        <f t="shared" si="47"/>
        <v/>
      </c>
      <c r="J638" s="29" t="str">
        <f t="shared" si="48"/>
        <v/>
      </c>
      <c r="K638" s="29" t="str">
        <f t="shared" si="49"/>
        <v/>
      </c>
    </row>
    <row r="639" spans="1:11" ht="15" x14ac:dyDescent="0.25">
      <c r="A639" s="1" t="str">
        <f>IF('1.1 Produksi Bersih Padi 2025'!A639="","",'1.1 Produksi Bersih Padi 2025'!A639)</f>
        <v/>
      </c>
      <c r="B639" s="31" t="str">
        <f>IF('1.1 Produksi Bersih Padi 2025'!B639="","",'1.1 Produksi Bersih Padi 2025'!B639)</f>
        <v/>
      </c>
      <c r="C639" s="31" t="str">
        <f>IF('1.1 Produksi Bersih Padi 2025'!C639="","",'1.1 Produksi Bersih Padi 2025'!C639)</f>
        <v/>
      </c>
      <c r="D639" s="1" t="str">
        <f>IF('1.1 Produksi Bersih Padi 2025'!D639="","",'1.1 Produksi Bersih Padi 2025'!D639)</f>
        <v/>
      </c>
      <c r="E639" s="1" t="str">
        <f>IF('1.1 Produksi Bersih Padi 2025'!E639="","",'1.1 Produksi Bersih Padi 2025'!E639)</f>
        <v/>
      </c>
      <c r="F639" s="28" t="str">
        <f>IF(D639="","",VLOOKUP(D639,'[1]0.1 Produksi Pangan &amp; Penduduk'!$D$5:$AQ$860,40,0))</f>
        <v/>
      </c>
      <c r="G639" s="29" t="str">
        <f t="shared" si="45"/>
        <v/>
      </c>
      <c r="H639" s="29" t="str">
        <f t="shared" si="46"/>
        <v/>
      </c>
      <c r="I639" s="29" t="str">
        <f t="shared" si="47"/>
        <v/>
      </c>
      <c r="J639" s="29" t="str">
        <f t="shared" si="48"/>
        <v/>
      </c>
      <c r="K639" s="29" t="str">
        <f t="shared" si="49"/>
        <v/>
      </c>
    </row>
    <row r="640" spans="1:11" ht="15" x14ac:dyDescent="0.25">
      <c r="A640" s="1" t="str">
        <f>IF('1.1 Produksi Bersih Padi 2025'!A640="","",'1.1 Produksi Bersih Padi 2025'!A640)</f>
        <v/>
      </c>
      <c r="B640" s="31" t="str">
        <f>IF('1.1 Produksi Bersih Padi 2025'!B640="","",'1.1 Produksi Bersih Padi 2025'!B640)</f>
        <v/>
      </c>
      <c r="C640" s="31" t="str">
        <f>IF('1.1 Produksi Bersih Padi 2025'!C640="","",'1.1 Produksi Bersih Padi 2025'!C640)</f>
        <v/>
      </c>
      <c r="D640" s="1" t="str">
        <f>IF('1.1 Produksi Bersih Padi 2025'!D640="","",'1.1 Produksi Bersih Padi 2025'!D640)</f>
        <v/>
      </c>
      <c r="E640" s="1" t="str">
        <f>IF('1.1 Produksi Bersih Padi 2025'!E640="","",'1.1 Produksi Bersih Padi 2025'!E640)</f>
        <v/>
      </c>
      <c r="F640" s="28" t="str">
        <f>IF(D640="","",VLOOKUP(D640,'[1]0.1 Produksi Pangan &amp; Penduduk'!$D$5:$AQ$860,40,0))</f>
        <v/>
      </c>
      <c r="G640" s="29" t="str">
        <f t="shared" si="45"/>
        <v/>
      </c>
      <c r="H640" s="29" t="str">
        <f t="shared" si="46"/>
        <v/>
      </c>
      <c r="I640" s="29" t="str">
        <f t="shared" si="47"/>
        <v/>
      </c>
      <c r="J640" s="29" t="str">
        <f t="shared" si="48"/>
        <v/>
      </c>
      <c r="K640" s="29" t="str">
        <f t="shared" si="49"/>
        <v/>
      </c>
    </row>
    <row r="641" spans="1:11" ht="15" x14ac:dyDescent="0.25">
      <c r="A641" s="1" t="str">
        <f>IF('1.1 Produksi Bersih Padi 2025'!A641="","",'1.1 Produksi Bersih Padi 2025'!A641)</f>
        <v/>
      </c>
      <c r="B641" s="31" t="str">
        <f>IF('1.1 Produksi Bersih Padi 2025'!B641="","",'1.1 Produksi Bersih Padi 2025'!B641)</f>
        <v/>
      </c>
      <c r="C641" s="31" t="str">
        <f>IF('1.1 Produksi Bersih Padi 2025'!C641="","",'1.1 Produksi Bersih Padi 2025'!C641)</f>
        <v/>
      </c>
      <c r="D641" s="1" t="str">
        <f>IF('1.1 Produksi Bersih Padi 2025'!D641="","",'1.1 Produksi Bersih Padi 2025'!D641)</f>
        <v/>
      </c>
      <c r="E641" s="1" t="str">
        <f>IF('1.1 Produksi Bersih Padi 2025'!E641="","",'1.1 Produksi Bersih Padi 2025'!E641)</f>
        <v/>
      </c>
      <c r="F641" s="28" t="str">
        <f>IF(D641="","",VLOOKUP(D641,'[1]0.1 Produksi Pangan &amp; Penduduk'!$D$5:$AQ$860,40,0))</f>
        <v/>
      </c>
      <c r="G641" s="29" t="str">
        <f t="shared" si="45"/>
        <v/>
      </c>
      <c r="H641" s="29" t="str">
        <f t="shared" si="46"/>
        <v/>
      </c>
      <c r="I641" s="29" t="str">
        <f t="shared" si="47"/>
        <v/>
      </c>
      <c r="J641" s="29" t="str">
        <f t="shared" si="48"/>
        <v/>
      </c>
      <c r="K641" s="29" t="str">
        <f t="shared" si="49"/>
        <v/>
      </c>
    </row>
    <row r="642" spans="1:11" ht="15" x14ac:dyDescent="0.25">
      <c r="A642" s="1" t="str">
        <f>IF('1.1 Produksi Bersih Padi 2025'!A642="","",'1.1 Produksi Bersih Padi 2025'!A642)</f>
        <v/>
      </c>
      <c r="B642" s="31" t="str">
        <f>IF('1.1 Produksi Bersih Padi 2025'!B642="","",'1.1 Produksi Bersih Padi 2025'!B642)</f>
        <v/>
      </c>
      <c r="C642" s="31" t="str">
        <f>IF('1.1 Produksi Bersih Padi 2025'!C642="","",'1.1 Produksi Bersih Padi 2025'!C642)</f>
        <v/>
      </c>
      <c r="D642" s="1" t="str">
        <f>IF('1.1 Produksi Bersih Padi 2025'!D642="","",'1.1 Produksi Bersih Padi 2025'!D642)</f>
        <v/>
      </c>
      <c r="E642" s="1" t="str">
        <f>IF('1.1 Produksi Bersih Padi 2025'!E642="","",'1.1 Produksi Bersih Padi 2025'!E642)</f>
        <v/>
      </c>
      <c r="F642" s="28" t="str">
        <f>IF(D642="","",VLOOKUP(D642,'[1]0.1 Produksi Pangan &amp; Penduduk'!$D$5:$AQ$860,40,0))</f>
        <v/>
      </c>
      <c r="G642" s="29" t="str">
        <f t="shared" si="45"/>
        <v/>
      </c>
      <c r="H642" s="29" t="str">
        <f t="shared" si="46"/>
        <v/>
      </c>
      <c r="I642" s="29" t="str">
        <f t="shared" si="47"/>
        <v/>
      </c>
      <c r="J642" s="29" t="str">
        <f t="shared" si="48"/>
        <v/>
      </c>
      <c r="K642" s="29" t="str">
        <f t="shared" si="49"/>
        <v/>
      </c>
    </row>
    <row r="643" spans="1:11" ht="15" x14ac:dyDescent="0.25">
      <c r="A643" s="1" t="str">
        <f>IF('1.1 Produksi Bersih Padi 2025'!A643="","",'1.1 Produksi Bersih Padi 2025'!A643)</f>
        <v/>
      </c>
      <c r="B643" s="31" t="str">
        <f>IF('1.1 Produksi Bersih Padi 2025'!B643="","",'1.1 Produksi Bersih Padi 2025'!B643)</f>
        <v/>
      </c>
      <c r="C643" s="31" t="str">
        <f>IF('1.1 Produksi Bersih Padi 2025'!C643="","",'1.1 Produksi Bersih Padi 2025'!C643)</f>
        <v/>
      </c>
      <c r="D643" s="1" t="str">
        <f>IF('1.1 Produksi Bersih Padi 2025'!D643="","",'1.1 Produksi Bersih Padi 2025'!D643)</f>
        <v/>
      </c>
      <c r="E643" s="1" t="str">
        <f>IF('1.1 Produksi Bersih Padi 2025'!E643="","",'1.1 Produksi Bersih Padi 2025'!E643)</f>
        <v/>
      </c>
      <c r="F643" s="28" t="str">
        <f>IF(D643="","",VLOOKUP(D643,'[1]0.1 Produksi Pangan &amp; Penduduk'!$D$5:$AQ$860,40,0))</f>
        <v/>
      </c>
      <c r="G643" s="29" t="str">
        <f t="shared" si="45"/>
        <v/>
      </c>
      <c r="H643" s="29" t="str">
        <f t="shared" si="46"/>
        <v/>
      </c>
      <c r="I643" s="29" t="str">
        <f t="shared" si="47"/>
        <v/>
      </c>
      <c r="J643" s="29" t="str">
        <f t="shared" si="48"/>
        <v/>
      </c>
      <c r="K643" s="29" t="str">
        <f t="shared" si="49"/>
        <v/>
      </c>
    </row>
    <row r="644" spans="1:11" ht="15" x14ac:dyDescent="0.25">
      <c r="A644" s="1" t="str">
        <f>IF('1.1 Produksi Bersih Padi 2025'!A644="","",'1.1 Produksi Bersih Padi 2025'!A644)</f>
        <v/>
      </c>
      <c r="B644" s="31" t="str">
        <f>IF('1.1 Produksi Bersih Padi 2025'!B644="","",'1.1 Produksi Bersih Padi 2025'!B644)</f>
        <v/>
      </c>
      <c r="C644" s="31" t="str">
        <f>IF('1.1 Produksi Bersih Padi 2025'!C644="","",'1.1 Produksi Bersih Padi 2025'!C644)</f>
        <v/>
      </c>
      <c r="D644" s="1" t="str">
        <f>IF('1.1 Produksi Bersih Padi 2025'!D644="","",'1.1 Produksi Bersih Padi 2025'!D644)</f>
        <v/>
      </c>
      <c r="E644" s="1" t="str">
        <f>IF('1.1 Produksi Bersih Padi 2025'!E644="","",'1.1 Produksi Bersih Padi 2025'!E644)</f>
        <v/>
      </c>
      <c r="F644" s="28" t="str">
        <f>IF(D644="","",VLOOKUP(D644,'[1]0.1 Produksi Pangan &amp; Penduduk'!$D$5:$AQ$860,40,0))</f>
        <v/>
      </c>
      <c r="G644" s="29" t="str">
        <f t="shared" si="45"/>
        <v/>
      </c>
      <c r="H644" s="29" t="str">
        <f t="shared" si="46"/>
        <v/>
      </c>
      <c r="I644" s="29" t="str">
        <f t="shared" si="47"/>
        <v/>
      </c>
      <c r="J644" s="29" t="str">
        <f t="shared" si="48"/>
        <v/>
      </c>
      <c r="K644" s="29" t="str">
        <f t="shared" si="49"/>
        <v/>
      </c>
    </row>
    <row r="645" spans="1:11" ht="15" x14ac:dyDescent="0.25">
      <c r="A645" s="1" t="str">
        <f>IF('1.1 Produksi Bersih Padi 2025'!A645="","",'1.1 Produksi Bersih Padi 2025'!A645)</f>
        <v/>
      </c>
      <c r="B645" s="31" t="str">
        <f>IF('1.1 Produksi Bersih Padi 2025'!B645="","",'1.1 Produksi Bersih Padi 2025'!B645)</f>
        <v/>
      </c>
      <c r="C645" s="31" t="str">
        <f>IF('1.1 Produksi Bersih Padi 2025'!C645="","",'1.1 Produksi Bersih Padi 2025'!C645)</f>
        <v/>
      </c>
      <c r="D645" s="1" t="str">
        <f>IF('1.1 Produksi Bersih Padi 2025'!D645="","",'1.1 Produksi Bersih Padi 2025'!D645)</f>
        <v/>
      </c>
      <c r="E645" s="1" t="str">
        <f>IF('1.1 Produksi Bersih Padi 2025'!E645="","",'1.1 Produksi Bersih Padi 2025'!E645)</f>
        <v/>
      </c>
      <c r="F645" s="28" t="str">
        <f>IF(D645="","",VLOOKUP(D645,'[1]0.1 Produksi Pangan &amp; Penduduk'!$D$5:$AQ$860,40,0))</f>
        <v/>
      </c>
      <c r="G645" s="29" t="str">
        <f t="shared" si="45"/>
        <v/>
      </c>
      <c r="H645" s="29" t="str">
        <f t="shared" si="46"/>
        <v/>
      </c>
      <c r="I645" s="29" t="str">
        <f t="shared" si="47"/>
        <v/>
      </c>
      <c r="J645" s="29" t="str">
        <f t="shared" si="48"/>
        <v/>
      </c>
      <c r="K645" s="29" t="str">
        <f t="shared" si="49"/>
        <v/>
      </c>
    </row>
    <row r="646" spans="1:11" ht="15" x14ac:dyDescent="0.25">
      <c r="A646" s="1" t="str">
        <f>IF('1.1 Produksi Bersih Padi 2025'!A646="","",'1.1 Produksi Bersih Padi 2025'!A646)</f>
        <v/>
      </c>
      <c r="B646" s="31" t="str">
        <f>IF('1.1 Produksi Bersih Padi 2025'!B646="","",'1.1 Produksi Bersih Padi 2025'!B646)</f>
        <v/>
      </c>
      <c r="C646" s="31" t="str">
        <f>IF('1.1 Produksi Bersih Padi 2025'!C646="","",'1.1 Produksi Bersih Padi 2025'!C646)</f>
        <v/>
      </c>
      <c r="D646" s="1" t="str">
        <f>IF('1.1 Produksi Bersih Padi 2025'!D646="","",'1.1 Produksi Bersih Padi 2025'!D646)</f>
        <v/>
      </c>
      <c r="E646" s="1" t="str">
        <f>IF('1.1 Produksi Bersih Padi 2025'!E646="","",'1.1 Produksi Bersih Padi 2025'!E646)</f>
        <v/>
      </c>
      <c r="F646" s="28" t="str">
        <f>IF(D646="","",VLOOKUP(D646,'[1]0.1 Produksi Pangan &amp; Penduduk'!$D$5:$AQ$860,40,0))</f>
        <v/>
      </c>
      <c r="G646" s="29" t="str">
        <f t="shared" ref="G646:G709" si="50">IF(F646="","",F646*0%)</f>
        <v/>
      </c>
      <c r="H646" s="29" t="str">
        <f t="shared" ref="H646:H709" si="51">IF(F646="","",F646*0%)</f>
        <v/>
      </c>
      <c r="I646" s="29" t="str">
        <f t="shared" ref="I646:I709" si="52">IF(F646="","",F646*1.11%)</f>
        <v/>
      </c>
      <c r="J646" s="29" t="str">
        <f t="shared" ref="J646:J709" si="53">IF(F646="","",F646-(G646+H646+I646))</f>
        <v/>
      </c>
      <c r="K646" s="29" t="str">
        <f t="shared" ref="K646:K709" si="54">IF(J646="","",J646*0.134)</f>
        <v/>
      </c>
    </row>
    <row r="647" spans="1:11" ht="15" x14ac:dyDescent="0.25">
      <c r="A647" s="1" t="str">
        <f>IF('1.1 Produksi Bersih Padi 2025'!A647="","",'1.1 Produksi Bersih Padi 2025'!A647)</f>
        <v/>
      </c>
      <c r="B647" s="31" t="str">
        <f>IF('1.1 Produksi Bersih Padi 2025'!B647="","",'1.1 Produksi Bersih Padi 2025'!B647)</f>
        <v/>
      </c>
      <c r="C647" s="31" t="str">
        <f>IF('1.1 Produksi Bersih Padi 2025'!C647="","",'1.1 Produksi Bersih Padi 2025'!C647)</f>
        <v/>
      </c>
      <c r="D647" s="1" t="str">
        <f>IF('1.1 Produksi Bersih Padi 2025'!D647="","",'1.1 Produksi Bersih Padi 2025'!D647)</f>
        <v/>
      </c>
      <c r="E647" s="1" t="str">
        <f>IF('1.1 Produksi Bersih Padi 2025'!E647="","",'1.1 Produksi Bersih Padi 2025'!E647)</f>
        <v/>
      </c>
      <c r="F647" s="28" t="str">
        <f>IF(D647="","",VLOOKUP(D647,'[1]0.1 Produksi Pangan &amp; Penduduk'!$D$5:$AQ$860,40,0))</f>
        <v/>
      </c>
      <c r="G647" s="29" t="str">
        <f t="shared" si="50"/>
        <v/>
      </c>
      <c r="H647" s="29" t="str">
        <f t="shared" si="51"/>
        <v/>
      </c>
      <c r="I647" s="29" t="str">
        <f t="shared" si="52"/>
        <v/>
      </c>
      <c r="J647" s="29" t="str">
        <f t="shared" si="53"/>
        <v/>
      </c>
      <c r="K647" s="29" t="str">
        <f t="shared" si="54"/>
        <v/>
      </c>
    </row>
    <row r="648" spans="1:11" ht="15" x14ac:dyDescent="0.25">
      <c r="A648" s="1" t="str">
        <f>IF('1.1 Produksi Bersih Padi 2025'!A648="","",'1.1 Produksi Bersih Padi 2025'!A648)</f>
        <v/>
      </c>
      <c r="B648" s="31" t="str">
        <f>IF('1.1 Produksi Bersih Padi 2025'!B648="","",'1.1 Produksi Bersih Padi 2025'!B648)</f>
        <v/>
      </c>
      <c r="C648" s="31" t="str">
        <f>IF('1.1 Produksi Bersih Padi 2025'!C648="","",'1.1 Produksi Bersih Padi 2025'!C648)</f>
        <v/>
      </c>
      <c r="D648" s="1" t="str">
        <f>IF('1.1 Produksi Bersih Padi 2025'!D648="","",'1.1 Produksi Bersih Padi 2025'!D648)</f>
        <v/>
      </c>
      <c r="E648" s="1" t="str">
        <f>IF('1.1 Produksi Bersih Padi 2025'!E648="","",'1.1 Produksi Bersih Padi 2025'!E648)</f>
        <v/>
      </c>
      <c r="F648" s="28" t="str">
        <f>IF(D648="","",VLOOKUP(D648,'[1]0.1 Produksi Pangan &amp; Penduduk'!$D$5:$AQ$860,40,0))</f>
        <v/>
      </c>
      <c r="G648" s="29" t="str">
        <f t="shared" si="50"/>
        <v/>
      </c>
      <c r="H648" s="29" t="str">
        <f t="shared" si="51"/>
        <v/>
      </c>
      <c r="I648" s="29" t="str">
        <f t="shared" si="52"/>
        <v/>
      </c>
      <c r="J648" s="29" t="str">
        <f t="shared" si="53"/>
        <v/>
      </c>
      <c r="K648" s="29" t="str">
        <f t="shared" si="54"/>
        <v/>
      </c>
    </row>
    <row r="649" spans="1:11" ht="15" x14ac:dyDescent="0.25">
      <c r="A649" s="1" t="str">
        <f>IF('1.1 Produksi Bersih Padi 2025'!A649="","",'1.1 Produksi Bersih Padi 2025'!A649)</f>
        <v/>
      </c>
      <c r="B649" s="31" t="str">
        <f>IF('1.1 Produksi Bersih Padi 2025'!B649="","",'1.1 Produksi Bersih Padi 2025'!B649)</f>
        <v/>
      </c>
      <c r="C649" s="31" t="str">
        <f>IF('1.1 Produksi Bersih Padi 2025'!C649="","",'1.1 Produksi Bersih Padi 2025'!C649)</f>
        <v/>
      </c>
      <c r="D649" s="1" t="str">
        <f>IF('1.1 Produksi Bersih Padi 2025'!D649="","",'1.1 Produksi Bersih Padi 2025'!D649)</f>
        <v/>
      </c>
      <c r="E649" s="1" t="str">
        <f>IF('1.1 Produksi Bersih Padi 2025'!E649="","",'1.1 Produksi Bersih Padi 2025'!E649)</f>
        <v/>
      </c>
      <c r="F649" s="28" t="str">
        <f>IF(D649="","",VLOOKUP(D649,'[1]0.1 Produksi Pangan &amp; Penduduk'!$D$5:$AQ$860,40,0))</f>
        <v/>
      </c>
      <c r="G649" s="29" t="str">
        <f t="shared" si="50"/>
        <v/>
      </c>
      <c r="H649" s="29" t="str">
        <f t="shared" si="51"/>
        <v/>
      </c>
      <c r="I649" s="29" t="str">
        <f t="shared" si="52"/>
        <v/>
      </c>
      <c r="J649" s="29" t="str">
        <f t="shared" si="53"/>
        <v/>
      </c>
      <c r="K649" s="29" t="str">
        <f t="shared" si="54"/>
        <v/>
      </c>
    </row>
    <row r="650" spans="1:11" ht="15" x14ac:dyDescent="0.25">
      <c r="A650" s="1" t="str">
        <f>IF('1.1 Produksi Bersih Padi 2025'!A650="","",'1.1 Produksi Bersih Padi 2025'!A650)</f>
        <v/>
      </c>
      <c r="B650" s="31" t="str">
        <f>IF('1.1 Produksi Bersih Padi 2025'!B650="","",'1.1 Produksi Bersih Padi 2025'!B650)</f>
        <v/>
      </c>
      <c r="C650" s="31" t="str">
        <f>IF('1.1 Produksi Bersih Padi 2025'!C650="","",'1.1 Produksi Bersih Padi 2025'!C650)</f>
        <v/>
      </c>
      <c r="D650" s="1" t="str">
        <f>IF('1.1 Produksi Bersih Padi 2025'!D650="","",'1.1 Produksi Bersih Padi 2025'!D650)</f>
        <v/>
      </c>
      <c r="E650" s="1" t="str">
        <f>IF('1.1 Produksi Bersih Padi 2025'!E650="","",'1.1 Produksi Bersih Padi 2025'!E650)</f>
        <v/>
      </c>
      <c r="F650" s="28" t="str">
        <f>IF(D650="","",VLOOKUP(D650,'[1]0.1 Produksi Pangan &amp; Penduduk'!$D$5:$AQ$860,40,0))</f>
        <v/>
      </c>
      <c r="G650" s="29" t="str">
        <f t="shared" si="50"/>
        <v/>
      </c>
      <c r="H650" s="29" t="str">
        <f t="shared" si="51"/>
        <v/>
      </c>
      <c r="I650" s="29" t="str">
        <f t="shared" si="52"/>
        <v/>
      </c>
      <c r="J650" s="29" t="str">
        <f t="shared" si="53"/>
        <v/>
      </c>
      <c r="K650" s="29" t="str">
        <f t="shared" si="54"/>
        <v/>
      </c>
    </row>
    <row r="651" spans="1:11" ht="15" x14ac:dyDescent="0.25">
      <c r="A651" s="1" t="str">
        <f>IF('1.1 Produksi Bersih Padi 2025'!A651="","",'1.1 Produksi Bersih Padi 2025'!A651)</f>
        <v/>
      </c>
      <c r="B651" s="31" t="str">
        <f>IF('1.1 Produksi Bersih Padi 2025'!B651="","",'1.1 Produksi Bersih Padi 2025'!B651)</f>
        <v/>
      </c>
      <c r="C651" s="31" t="str">
        <f>IF('1.1 Produksi Bersih Padi 2025'!C651="","",'1.1 Produksi Bersih Padi 2025'!C651)</f>
        <v/>
      </c>
      <c r="D651" s="1" t="str">
        <f>IF('1.1 Produksi Bersih Padi 2025'!D651="","",'1.1 Produksi Bersih Padi 2025'!D651)</f>
        <v/>
      </c>
      <c r="E651" s="1" t="str">
        <f>IF('1.1 Produksi Bersih Padi 2025'!E651="","",'1.1 Produksi Bersih Padi 2025'!E651)</f>
        <v/>
      </c>
      <c r="F651" s="28" t="str">
        <f>IF(D651="","",VLOOKUP(D651,'[1]0.1 Produksi Pangan &amp; Penduduk'!$D$5:$AQ$860,40,0))</f>
        <v/>
      </c>
      <c r="G651" s="29" t="str">
        <f t="shared" si="50"/>
        <v/>
      </c>
      <c r="H651" s="29" t="str">
        <f t="shared" si="51"/>
        <v/>
      </c>
      <c r="I651" s="29" t="str">
        <f t="shared" si="52"/>
        <v/>
      </c>
      <c r="J651" s="29" t="str">
        <f t="shared" si="53"/>
        <v/>
      </c>
      <c r="K651" s="29" t="str">
        <f t="shared" si="54"/>
        <v/>
      </c>
    </row>
    <row r="652" spans="1:11" ht="15" x14ac:dyDescent="0.25">
      <c r="A652" s="1" t="str">
        <f>IF('1.1 Produksi Bersih Padi 2025'!A652="","",'1.1 Produksi Bersih Padi 2025'!A652)</f>
        <v/>
      </c>
      <c r="B652" s="31" t="str">
        <f>IF('1.1 Produksi Bersih Padi 2025'!B652="","",'1.1 Produksi Bersih Padi 2025'!B652)</f>
        <v/>
      </c>
      <c r="C652" s="31" t="str">
        <f>IF('1.1 Produksi Bersih Padi 2025'!C652="","",'1.1 Produksi Bersih Padi 2025'!C652)</f>
        <v/>
      </c>
      <c r="D652" s="1" t="str">
        <f>IF('1.1 Produksi Bersih Padi 2025'!D652="","",'1.1 Produksi Bersih Padi 2025'!D652)</f>
        <v/>
      </c>
      <c r="E652" s="1" t="str">
        <f>IF('1.1 Produksi Bersih Padi 2025'!E652="","",'1.1 Produksi Bersih Padi 2025'!E652)</f>
        <v/>
      </c>
      <c r="F652" s="28" t="str">
        <f>IF(D652="","",VLOOKUP(D652,'[1]0.1 Produksi Pangan &amp; Penduduk'!$D$5:$AQ$860,40,0))</f>
        <v/>
      </c>
      <c r="G652" s="29" t="str">
        <f t="shared" si="50"/>
        <v/>
      </c>
      <c r="H652" s="29" t="str">
        <f t="shared" si="51"/>
        <v/>
      </c>
      <c r="I652" s="29" t="str">
        <f t="shared" si="52"/>
        <v/>
      </c>
      <c r="J652" s="29" t="str">
        <f t="shared" si="53"/>
        <v/>
      </c>
      <c r="K652" s="29" t="str">
        <f t="shared" si="54"/>
        <v/>
      </c>
    </row>
    <row r="653" spans="1:11" ht="15" x14ac:dyDescent="0.25">
      <c r="A653" s="1" t="str">
        <f>IF('1.1 Produksi Bersih Padi 2025'!A653="","",'1.1 Produksi Bersih Padi 2025'!A653)</f>
        <v/>
      </c>
      <c r="B653" s="31" t="str">
        <f>IF('1.1 Produksi Bersih Padi 2025'!B653="","",'1.1 Produksi Bersih Padi 2025'!B653)</f>
        <v/>
      </c>
      <c r="C653" s="31" t="str">
        <f>IF('1.1 Produksi Bersih Padi 2025'!C653="","",'1.1 Produksi Bersih Padi 2025'!C653)</f>
        <v/>
      </c>
      <c r="D653" s="1" t="str">
        <f>IF('1.1 Produksi Bersih Padi 2025'!D653="","",'1.1 Produksi Bersih Padi 2025'!D653)</f>
        <v/>
      </c>
      <c r="E653" s="1" t="str">
        <f>IF('1.1 Produksi Bersih Padi 2025'!E653="","",'1.1 Produksi Bersih Padi 2025'!E653)</f>
        <v/>
      </c>
      <c r="F653" s="28" t="str">
        <f>IF(D653="","",VLOOKUP(D653,'[1]0.1 Produksi Pangan &amp; Penduduk'!$D$5:$AQ$860,40,0))</f>
        <v/>
      </c>
      <c r="G653" s="29" t="str">
        <f t="shared" si="50"/>
        <v/>
      </c>
      <c r="H653" s="29" t="str">
        <f t="shared" si="51"/>
        <v/>
      </c>
      <c r="I653" s="29" t="str">
        <f t="shared" si="52"/>
        <v/>
      </c>
      <c r="J653" s="29" t="str">
        <f t="shared" si="53"/>
        <v/>
      </c>
      <c r="K653" s="29" t="str">
        <f t="shared" si="54"/>
        <v/>
      </c>
    </row>
    <row r="654" spans="1:11" ht="15" x14ac:dyDescent="0.25">
      <c r="A654" s="1" t="str">
        <f>IF('1.1 Produksi Bersih Padi 2025'!A654="","",'1.1 Produksi Bersih Padi 2025'!A654)</f>
        <v/>
      </c>
      <c r="B654" s="31" t="str">
        <f>IF('1.1 Produksi Bersih Padi 2025'!B654="","",'1.1 Produksi Bersih Padi 2025'!B654)</f>
        <v/>
      </c>
      <c r="C654" s="31" t="str">
        <f>IF('1.1 Produksi Bersih Padi 2025'!C654="","",'1.1 Produksi Bersih Padi 2025'!C654)</f>
        <v/>
      </c>
      <c r="D654" s="1" t="str">
        <f>IF('1.1 Produksi Bersih Padi 2025'!D654="","",'1.1 Produksi Bersih Padi 2025'!D654)</f>
        <v/>
      </c>
      <c r="E654" s="1" t="str">
        <f>IF('1.1 Produksi Bersih Padi 2025'!E654="","",'1.1 Produksi Bersih Padi 2025'!E654)</f>
        <v/>
      </c>
      <c r="F654" s="28" t="str">
        <f>IF(D654="","",VLOOKUP(D654,'[1]0.1 Produksi Pangan &amp; Penduduk'!$D$5:$AQ$860,40,0))</f>
        <v/>
      </c>
      <c r="G654" s="29" t="str">
        <f t="shared" si="50"/>
        <v/>
      </c>
      <c r="H654" s="29" t="str">
        <f t="shared" si="51"/>
        <v/>
      </c>
      <c r="I654" s="29" t="str">
        <f t="shared" si="52"/>
        <v/>
      </c>
      <c r="J654" s="29" t="str">
        <f t="shared" si="53"/>
        <v/>
      </c>
      <c r="K654" s="29" t="str">
        <f t="shared" si="54"/>
        <v/>
      </c>
    </row>
    <row r="655" spans="1:11" ht="15" x14ac:dyDescent="0.25">
      <c r="A655" s="1" t="str">
        <f>IF('1.1 Produksi Bersih Padi 2025'!A655="","",'1.1 Produksi Bersih Padi 2025'!A655)</f>
        <v/>
      </c>
      <c r="B655" s="31" t="str">
        <f>IF('1.1 Produksi Bersih Padi 2025'!B655="","",'1.1 Produksi Bersih Padi 2025'!B655)</f>
        <v/>
      </c>
      <c r="C655" s="31" t="str">
        <f>IF('1.1 Produksi Bersih Padi 2025'!C655="","",'1.1 Produksi Bersih Padi 2025'!C655)</f>
        <v/>
      </c>
      <c r="D655" s="1" t="str">
        <f>IF('1.1 Produksi Bersih Padi 2025'!D655="","",'1.1 Produksi Bersih Padi 2025'!D655)</f>
        <v/>
      </c>
      <c r="E655" s="1" t="str">
        <f>IF('1.1 Produksi Bersih Padi 2025'!E655="","",'1.1 Produksi Bersih Padi 2025'!E655)</f>
        <v/>
      </c>
      <c r="F655" s="28" t="str">
        <f>IF(D655="","",VLOOKUP(D655,'[1]0.1 Produksi Pangan &amp; Penduduk'!$D$5:$AQ$860,40,0))</f>
        <v/>
      </c>
      <c r="G655" s="29" t="str">
        <f t="shared" si="50"/>
        <v/>
      </c>
      <c r="H655" s="29" t="str">
        <f t="shared" si="51"/>
        <v/>
      </c>
      <c r="I655" s="29" t="str">
        <f t="shared" si="52"/>
        <v/>
      </c>
      <c r="J655" s="29" t="str">
        <f t="shared" si="53"/>
        <v/>
      </c>
      <c r="K655" s="29" t="str">
        <f t="shared" si="54"/>
        <v/>
      </c>
    </row>
    <row r="656" spans="1:11" ht="15" x14ac:dyDescent="0.25">
      <c r="A656" s="1" t="str">
        <f>IF('1.1 Produksi Bersih Padi 2025'!A656="","",'1.1 Produksi Bersih Padi 2025'!A656)</f>
        <v/>
      </c>
      <c r="B656" s="31" t="str">
        <f>IF('1.1 Produksi Bersih Padi 2025'!B656="","",'1.1 Produksi Bersih Padi 2025'!B656)</f>
        <v/>
      </c>
      <c r="C656" s="31" t="str">
        <f>IF('1.1 Produksi Bersih Padi 2025'!C656="","",'1.1 Produksi Bersih Padi 2025'!C656)</f>
        <v/>
      </c>
      <c r="D656" s="1" t="str">
        <f>IF('1.1 Produksi Bersih Padi 2025'!D656="","",'1.1 Produksi Bersih Padi 2025'!D656)</f>
        <v/>
      </c>
      <c r="E656" s="1" t="str">
        <f>IF('1.1 Produksi Bersih Padi 2025'!E656="","",'1.1 Produksi Bersih Padi 2025'!E656)</f>
        <v/>
      </c>
      <c r="F656" s="28" t="str">
        <f>IF(D656="","",VLOOKUP(D656,'[1]0.1 Produksi Pangan &amp; Penduduk'!$D$5:$AQ$860,40,0))</f>
        <v/>
      </c>
      <c r="G656" s="29" t="str">
        <f t="shared" si="50"/>
        <v/>
      </c>
      <c r="H656" s="29" t="str">
        <f t="shared" si="51"/>
        <v/>
      </c>
      <c r="I656" s="29" t="str">
        <f t="shared" si="52"/>
        <v/>
      </c>
      <c r="J656" s="29" t="str">
        <f t="shared" si="53"/>
        <v/>
      </c>
      <c r="K656" s="29" t="str">
        <f t="shared" si="54"/>
        <v/>
      </c>
    </row>
    <row r="657" spans="1:11" ht="15" x14ac:dyDescent="0.25">
      <c r="A657" s="1" t="str">
        <f>IF('1.1 Produksi Bersih Padi 2025'!A657="","",'1.1 Produksi Bersih Padi 2025'!A657)</f>
        <v/>
      </c>
      <c r="B657" s="31" t="str">
        <f>IF('1.1 Produksi Bersih Padi 2025'!B657="","",'1.1 Produksi Bersih Padi 2025'!B657)</f>
        <v/>
      </c>
      <c r="C657" s="31" t="str">
        <f>IF('1.1 Produksi Bersih Padi 2025'!C657="","",'1.1 Produksi Bersih Padi 2025'!C657)</f>
        <v/>
      </c>
      <c r="D657" s="1" t="str">
        <f>IF('1.1 Produksi Bersih Padi 2025'!D657="","",'1.1 Produksi Bersih Padi 2025'!D657)</f>
        <v/>
      </c>
      <c r="E657" s="1" t="str">
        <f>IF('1.1 Produksi Bersih Padi 2025'!E657="","",'1.1 Produksi Bersih Padi 2025'!E657)</f>
        <v/>
      </c>
      <c r="F657" s="28" t="str">
        <f>IF(D657="","",VLOOKUP(D657,'[1]0.1 Produksi Pangan &amp; Penduduk'!$D$5:$AQ$860,40,0))</f>
        <v/>
      </c>
      <c r="G657" s="29" t="str">
        <f t="shared" si="50"/>
        <v/>
      </c>
      <c r="H657" s="29" t="str">
        <f t="shared" si="51"/>
        <v/>
      </c>
      <c r="I657" s="29" t="str">
        <f t="shared" si="52"/>
        <v/>
      </c>
      <c r="J657" s="29" t="str">
        <f t="shared" si="53"/>
        <v/>
      </c>
      <c r="K657" s="29" t="str">
        <f t="shared" si="54"/>
        <v/>
      </c>
    </row>
    <row r="658" spans="1:11" ht="15" x14ac:dyDescent="0.25">
      <c r="A658" s="1" t="str">
        <f>IF('1.1 Produksi Bersih Padi 2025'!A658="","",'1.1 Produksi Bersih Padi 2025'!A658)</f>
        <v/>
      </c>
      <c r="B658" s="31" t="str">
        <f>IF('1.1 Produksi Bersih Padi 2025'!B658="","",'1.1 Produksi Bersih Padi 2025'!B658)</f>
        <v/>
      </c>
      <c r="C658" s="31" t="str">
        <f>IF('1.1 Produksi Bersih Padi 2025'!C658="","",'1.1 Produksi Bersih Padi 2025'!C658)</f>
        <v/>
      </c>
      <c r="D658" s="1" t="str">
        <f>IF('1.1 Produksi Bersih Padi 2025'!D658="","",'1.1 Produksi Bersih Padi 2025'!D658)</f>
        <v/>
      </c>
      <c r="E658" s="1" t="str">
        <f>IF('1.1 Produksi Bersih Padi 2025'!E658="","",'1.1 Produksi Bersih Padi 2025'!E658)</f>
        <v/>
      </c>
      <c r="F658" s="28" t="str">
        <f>IF(D658="","",VLOOKUP(D658,'[1]0.1 Produksi Pangan &amp; Penduduk'!$D$5:$AQ$860,40,0))</f>
        <v/>
      </c>
      <c r="G658" s="29" t="str">
        <f t="shared" si="50"/>
        <v/>
      </c>
      <c r="H658" s="29" t="str">
        <f t="shared" si="51"/>
        <v/>
      </c>
      <c r="I658" s="29" t="str">
        <f t="shared" si="52"/>
        <v/>
      </c>
      <c r="J658" s="29" t="str">
        <f t="shared" si="53"/>
        <v/>
      </c>
      <c r="K658" s="29" t="str">
        <f t="shared" si="54"/>
        <v/>
      </c>
    </row>
    <row r="659" spans="1:11" ht="15" x14ac:dyDescent="0.25">
      <c r="A659" s="1" t="str">
        <f>IF('1.1 Produksi Bersih Padi 2025'!A659="","",'1.1 Produksi Bersih Padi 2025'!A659)</f>
        <v/>
      </c>
      <c r="B659" s="31" t="str">
        <f>IF('1.1 Produksi Bersih Padi 2025'!B659="","",'1.1 Produksi Bersih Padi 2025'!B659)</f>
        <v/>
      </c>
      <c r="C659" s="31" t="str">
        <f>IF('1.1 Produksi Bersih Padi 2025'!C659="","",'1.1 Produksi Bersih Padi 2025'!C659)</f>
        <v/>
      </c>
      <c r="D659" s="1" t="str">
        <f>IF('1.1 Produksi Bersih Padi 2025'!D659="","",'1.1 Produksi Bersih Padi 2025'!D659)</f>
        <v/>
      </c>
      <c r="E659" s="1" t="str">
        <f>IF('1.1 Produksi Bersih Padi 2025'!E659="","",'1.1 Produksi Bersih Padi 2025'!E659)</f>
        <v/>
      </c>
      <c r="F659" s="28" t="str">
        <f>IF(D659="","",VLOOKUP(D659,'[1]0.1 Produksi Pangan &amp; Penduduk'!$D$5:$AQ$860,40,0))</f>
        <v/>
      </c>
      <c r="G659" s="29" t="str">
        <f t="shared" si="50"/>
        <v/>
      </c>
      <c r="H659" s="29" t="str">
        <f t="shared" si="51"/>
        <v/>
      </c>
      <c r="I659" s="29" t="str">
        <f t="shared" si="52"/>
        <v/>
      </c>
      <c r="J659" s="29" t="str">
        <f t="shared" si="53"/>
        <v/>
      </c>
      <c r="K659" s="29" t="str">
        <f t="shared" si="54"/>
        <v/>
      </c>
    </row>
    <row r="660" spans="1:11" ht="15" x14ac:dyDescent="0.25">
      <c r="A660" s="1" t="str">
        <f>IF('1.1 Produksi Bersih Padi 2025'!A660="","",'1.1 Produksi Bersih Padi 2025'!A660)</f>
        <v/>
      </c>
      <c r="B660" s="31" t="str">
        <f>IF('1.1 Produksi Bersih Padi 2025'!B660="","",'1.1 Produksi Bersih Padi 2025'!B660)</f>
        <v/>
      </c>
      <c r="C660" s="31" t="str">
        <f>IF('1.1 Produksi Bersih Padi 2025'!C660="","",'1.1 Produksi Bersih Padi 2025'!C660)</f>
        <v/>
      </c>
      <c r="D660" s="1" t="str">
        <f>IF('1.1 Produksi Bersih Padi 2025'!D660="","",'1.1 Produksi Bersih Padi 2025'!D660)</f>
        <v/>
      </c>
      <c r="E660" s="1" t="str">
        <f>IF('1.1 Produksi Bersih Padi 2025'!E660="","",'1.1 Produksi Bersih Padi 2025'!E660)</f>
        <v/>
      </c>
      <c r="F660" s="28" t="str">
        <f>IF(D660="","",VLOOKUP(D660,'[1]0.1 Produksi Pangan &amp; Penduduk'!$D$5:$AQ$860,40,0))</f>
        <v/>
      </c>
      <c r="G660" s="29" t="str">
        <f t="shared" si="50"/>
        <v/>
      </c>
      <c r="H660" s="29" t="str">
        <f t="shared" si="51"/>
        <v/>
      </c>
      <c r="I660" s="29" t="str">
        <f t="shared" si="52"/>
        <v/>
      </c>
      <c r="J660" s="29" t="str">
        <f t="shared" si="53"/>
        <v/>
      </c>
      <c r="K660" s="29" t="str">
        <f t="shared" si="54"/>
        <v/>
      </c>
    </row>
    <row r="661" spans="1:11" ht="15" x14ac:dyDescent="0.25">
      <c r="A661" s="1" t="str">
        <f>IF('1.1 Produksi Bersih Padi 2025'!A661="","",'1.1 Produksi Bersih Padi 2025'!A661)</f>
        <v/>
      </c>
      <c r="B661" s="31" t="str">
        <f>IF('1.1 Produksi Bersih Padi 2025'!B661="","",'1.1 Produksi Bersih Padi 2025'!B661)</f>
        <v/>
      </c>
      <c r="C661" s="31" t="str">
        <f>IF('1.1 Produksi Bersih Padi 2025'!C661="","",'1.1 Produksi Bersih Padi 2025'!C661)</f>
        <v/>
      </c>
      <c r="D661" s="1" t="str">
        <f>IF('1.1 Produksi Bersih Padi 2025'!D661="","",'1.1 Produksi Bersih Padi 2025'!D661)</f>
        <v/>
      </c>
      <c r="E661" s="1" t="str">
        <f>IF('1.1 Produksi Bersih Padi 2025'!E661="","",'1.1 Produksi Bersih Padi 2025'!E661)</f>
        <v/>
      </c>
      <c r="F661" s="28" t="str">
        <f>IF(D661="","",VLOOKUP(D661,'[1]0.1 Produksi Pangan &amp; Penduduk'!$D$5:$AQ$860,40,0))</f>
        <v/>
      </c>
      <c r="G661" s="29" t="str">
        <f t="shared" si="50"/>
        <v/>
      </c>
      <c r="H661" s="29" t="str">
        <f t="shared" si="51"/>
        <v/>
      </c>
      <c r="I661" s="29" t="str">
        <f t="shared" si="52"/>
        <v/>
      </c>
      <c r="J661" s="29" t="str">
        <f t="shared" si="53"/>
        <v/>
      </c>
      <c r="K661" s="29" t="str">
        <f t="shared" si="54"/>
        <v/>
      </c>
    </row>
    <row r="662" spans="1:11" ht="15" x14ac:dyDescent="0.25">
      <c r="A662" s="1" t="str">
        <f>IF('1.1 Produksi Bersih Padi 2025'!A662="","",'1.1 Produksi Bersih Padi 2025'!A662)</f>
        <v/>
      </c>
      <c r="B662" s="31" t="str">
        <f>IF('1.1 Produksi Bersih Padi 2025'!B662="","",'1.1 Produksi Bersih Padi 2025'!B662)</f>
        <v/>
      </c>
      <c r="C662" s="31" t="str">
        <f>IF('1.1 Produksi Bersih Padi 2025'!C662="","",'1.1 Produksi Bersih Padi 2025'!C662)</f>
        <v/>
      </c>
      <c r="D662" s="1" t="str">
        <f>IF('1.1 Produksi Bersih Padi 2025'!D662="","",'1.1 Produksi Bersih Padi 2025'!D662)</f>
        <v/>
      </c>
      <c r="E662" s="1" t="str">
        <f>IF('1.1 Produksi Bersih Padi 2025'!E662="","",'1.1 Produksi Bersih Padi 2025'!E662)</f>
        <v/>
      </c>
      <c r="F662" s="28" t="str">
        <f>IF(D662="","",VLOOKUP(D662,'[1]0.1 Produksi Pangan &amp; Penduduk'!$D$5:$AQ$860,40,0))</f>
        <v/>
      </c>
      <c r="G662" s="29" t="str">
        <f t="shared" si="50"/>
        <v/>
      </c>
      <c r="H662" s="29" t="str">
        <f t="shared" si="51"/>
        <v/>
      </c>
      <c r="I662" s="29" t="str">
        <f t="shared" si="52"/>
        <v/>
      </c>
      <c r="J662" s="29" t="str">
        <f t="shared" si="53"/>
        <v/>
      </c>
      <c r="K662" s="29" t="str">
        <f t="shared" si="54"/>
        <v/>
      </c>
    </row>
    <row r="663" spans="1:11" ht="15" x14ac:dyDescent="0.25">
      <c r="A663" s="1" t="str">
        <f>IF('1.1 Produksi Bersih Padi 2025'!A663="","",'1.1 Produksi Bersih Padi 2025'!A663)</f>
        <v/>
      </c>
      <c r="B663" s="31" t="str">
        <f>IF('1.1 Produksi Bersih Padi 2025'!B663="","",'1.1 Produksi Bersih Padi 2025'!B663)</f>
        <v/>
      </c>
      <c r="C663" s="31" t="str">
        <f>IF('1.1 Produksi Bersih Padi 2025'!C663="","",'1.1 Produksi Bersih Padi 2025'!C663)</f>
        <v/>
      </c>
      <c r="D663" s="1" t="str">
        <f>IF('1.1 Produksi Bersih Padi 2025'!D663="","",'1.1 Produksi Bersih Padi 2025'!D663)</f>
        <v/>
      </c>
      <c r="E663" s="1" t="str">
        <f>IF('1.1 Produksi Bersih Padi 2025'!E663="","",'1.1 Produksi Bersih Padi 2025'!E663)</f>
        <v/>
      </c>
      <c r="F663" s="28" t="str">
        <f>IF(D663="","",VLOOKUP(D663,'[1]0.1 Produksi Pangan &amp; Penduduk'!$D$5:$AQ$860,40,0))</f>
        <v/>
      </c>
      <c r="G663" s="29" t="str">
        <f t="shared" si="50"/>
        <v/>
      </c>
      <c r="H663" s="29" t="str">
        <f t="shared" si="51"/>
        <v/>
      </c>
      <c r="I663" s="29" t="str">
        <f t="shared" si="52"/>
        <v/>
      </c>
      <c r="J663" s="29" t="str">
        <f t="shared" si="53"/>
        <v/>
      </c>
      <c r="K663" s="29" t="str">
        <f t="shared" si="54"/>
        <v/>
      </c>
    </row>
    <row r="664" spans="1:11" ht="15" x14ac:dyDescent="0.25">
      <c r="A664" s="1" t="str">
        <f>IF('1.1 Produksi Bersih Padi 2025'!A664="","",'1.1 Produksi Bersih Padi 2025'!A664)</f>
        <v/>
      </c>
      <c r="B664" s="31" t="str">
        <f>IF('1.1 Produksi Bersih Padi 2025'!B664="","",'1.1 Produksi Bersih Padi 2025'!B664)</f>
        <v/>
      </c>
      <c r="C664" s="31" t="str">
        <f>IF('1.1 Produksi Bersih Padi 2025'!C664="","",'1.1 Produksi Bersih Padi 2025'!C664)</f>
        <v/>
      </c>
      <c r="D664" s="1" t="str">
        <f>IF('1.1 Produksi Bersih Padi 2025'!D664="","",'1.1 Produksi Bersih Padi 2025'!D664)</f>
        <v/>
      </c>
      <c r="E664" s="1" t="str">
        <f>IF('1.1 Produksi Bersih Padi 2025'!E664="","",'1.1 Produksi Bersih Padi 2025'!E664)</f>
        <v/>
      </c>
      <c r="F664" s="28" t="str">
        <f>IF(D664="","",VLOOKUP(D664,'[1]0.1 Produksi Pangan &amp; Penduduk'!$D$5:$AQ$860,40,0))</f>
        <v/>
      </c>
      <c r="G664" s="29" t="str">
        <f t="shared" si="50"/>
        <v/>
      </c>
      <c r="H664" s="29" t="str">
        <f t="shared" si="51"/>
        <v/>
      </c>
      <c r="I664" s="29" t="str">
        <f t="shared" si="52"/>
        <v/>
      </c>
      <c r="J664" s="29" t="str">
        <f t="shared" si="53"/>
        <v/>
      </c>
      <c r="K664" s="29" t="str">
        <f t="shared" si="54"/>
        <v/>
      </c>
    </row>
    <row r="665" spans="1:11" ht="15" x14ac:dyDescent="0.25">
      <c r="A665" s="1" t="str">
        <f>IF('1.1 Produksi Bersih Padi 2025'!A665="","",'1.1 Produksi Bersih Padi 2025'!A665)</f>
        <v/>
      </c>
      <c r="B665" s="31" t="str">
        <f>IF('1.1 Produksi Bersih Padi 2025'!B665="","",'1.1 Produksi Bersih Padi 2025'!B665)</f>
        <v/>
      </c>
      <c r="C665" s="31" t="str">
        <f>IF('1.1 Produksi Bersih Padi 2025'!C665="","",'1.1 Produksi Bersih Padi 2025'!C665)</f>
        <v/>
      </c>
      <c r="D665" s="1" t="str">
        <f>IF('1.1 Produksi Bersih Padi 2025'!D665="","",'1.1 Produksi Bersih Padi 2025'!D665)</f>
        <v/>
      </c>
      <c r="E665" s="1" t="str">
        <f>IF('1.1 Produksi Bersih Padi 2025'!E665="","",'1.1 Produksi Bersih Padi 2025'!E665)</f>
        <v/>
      </c>
      <c r="F665" s="28" t="str">
        <f>IF(D665="","",VLOOKUP(D665,'[1]0.1 Produksi Pangan &amp; Penduduk'!$D$5:$AQ$860,40,0))</f>
        <v/>
      </c>
      <c r="G665" s="29" t="str">
        <f t="shared" si="50"/>
        <v/>
      </c>
      <c r="H665" s="29" t="str">
        <f t="shared" si="51"/>
        <v/>
      </c>
      <c r="I665" s="29" t="str">
        <f t="shared" si="52"/>
        <v/>
      </c>
      <c r="J665" s="29" t="str">
        <f t="shared" si="53"/>
        <v/>
      </c>
      <c r="K665" s="29" t="str">
        <f t="shared" si="54"/>
        <v/>
      </c>
    </row>
    <row r="666" spans="1:11" ht="15" x14ac:dyDescent="0.25">
      <c r="A666" s="1" t="str">
        <f>IF('1.1 Produksi Bersih Padi 2025'!A666="","",'1.1 Produksi Bersih Padi 2025'!A666)</f>
        <v/>
      </c>
      <c r="B666" s="31" t="str">
        <f>IF('1.1 Produksi Bersih Padi 2025'!B666="","",'1.1 Produksi Bersih Padi 2025'!B666)</f>
        <v/>
      </c>
      <c r="C666" s="31" t="str">
        <f>IF('1.1 Produksi Bersih Padi 2025'!C666="","",'1.1 Produksi Bersih Padi 2025'!C666)</f>
        <v/>
      </c>
      <c r="D666" s="1" t="str">
        <f>IF('1.1 Produksi Bersih Padi 2025'!D666="","",'1.1 Produksi Bersih Padi 2025'!D666)</f>
        <v/>
      </c>
      <c r="E666" s="1" t="str">
        <f>IF('1.1 Produksi Bersih Padi 2025'!E666="","",'1.1 Produksi Bersih Padi 2025'!E666)</f>
        <v/>
      </c>
      <c r="F666" s="28" t="str">
        <f>IF(D666="","",VLOOKUP(D666,'[1]0.1 Produksi Pangan &amp; Penduduk'!$D$5:$AQ$860,40,0))</f>
        <v/>
      </c>
      <c r="G666" s="29" t="str">
        <f t="shared" si="50"/>
        <v/>
      </c>
      <c r="H666" s="29" t="str">
        <f t="shared" si="51"/>
        <v/>
      </c>
      <c r="I666" s="29" t="str">
        <f t="shared" si="52"/>
        <v/>
      </c>
      <c r="J666" s="29" t="str">
        <f t="shared" si="53"/>
        <v/>
      </c>
      <c r="K666" s="29" t="str">
        <f t="shared" si="54"/>
        <v/>
      </c>
    </row>
    <row r="667" spans="1:11" ht="15" x14ac:dyDescent="0.25">
      <c r="A667" s="1" t="str">
        <f>IF('1.1 Produksi Bersih Padi 2025'!A667="","",'1.1 Produksi Bersih Padi 2025'!A667)</f>
        <v/>
      </c>
      <c r="B667" s="31" t="str">
        <f>IF('1.1 Produksi Bersih Padi 2025'!B667="","",'1.1 Produksi Bersih Padi 2025'!B667)</f>
        <v/>
      </c>
      <c r="C667" s="31" t="str">
        <f>IF('1.1 Produksi Bersih Padi 2025'!C667="","",'1.1 Produksi Bersih Padi 2025'!C667)</f>
        <v/>
      </c>
      <c r="D667" s="1" t="str">
        <f>IF('1.1 Produksi Bersih Padi 2025'!D667="","",'1.1 Produksi Bersih Padi 2025'!D667)</f>
        <v/>
      </c>
      <c r="E667" s="1" t="str">
        <f>IF('1.1 Produksi Bersih Padi 2025'!E667="","",'1.1 Produksi Bersih Padi 2025'!E667)</f>
        <v/>
      </c>
      <c r="F667" s="28" t="str">
        <f>IF(D667="","",VLOOKUP(D667,'[1]0.1 Produksi Pangan &amp; Penduduk'!$D$5:$AQ$860,40,0))</f>
        <v/>
      </c>
      <c r="G667" s="29" t="str">
        <f t="shared" si="50"/>
        <v/>
      </c>
      <c r="H667" s="29" t="str">
        <f t="shared" si="51"/>
        <v/>
      </c>
      <c r="I667" s="29" t="str">
        <f t="shared" si="52"/>
        <v/>
      </c>
      <c r="J667" s="29" t="str">
        <f t="shared" si="53"/>
        <v/>
      </c>
      <c r="K667" s="29" t="str">
        <f t="shared" si="54"/>
        <v/>
      </c>
    </row>
    <row r="668" spans="1:11" ht="15" x14ac:dyDescent="0.25">
      <c r="A668" s="1" t="str">
        <f>IF('1.1 Produksi Bersih Padi 2025'!A668="","",'1.1 Produksi Bersih Padi 2025'!A668)</f>
        <v/>
      </c>
      <c r="B668" s="31" t="str">
        <f>IF('1.1 Produksi Bersih Padi 2025'!B668="","",'1.1 Produksi Bersih Padi 2025'!B668)</f>
        <v/>
      </c>
      <c r="C668" s="31" t="str">
        <f>IF('1.1 Produksi Bersih Padi 2025'!C668="","",'1.1 Produksi Bersih Padi 2025'!C668)</f>
        <v/>
      </c>
      <c r="D668" s="1" t="str">
        <f>IF('1.1 Produksi Bersih Padi 2025'!D668="","",'1.1 Produksi Bersih Padi 2025'!D668)</f>
        <v/>
      </c>
      <c r="E668" s="1" t="str">
        <f>IF('1.1 Produksi Bersih Padi 2025'!E668="","",'1.1 Produksi Bersih Padi 2025'!E668)</f>
        <v/>
      </c>
      <c r="F668" s="28" t="str">
        <f>IF(D668="","",VLOOKUP(D668,'[1]0.1 Produksi Pangan &amp; Penduduk'!$D$5:$AQ$860,40,0))</f>
        <v/>
      </c>
      <c r="G668" s="29" t="str">
        <f t="shared" si="50"/>
        <v/>
      </c>
      <c r="H668" s="29" t="str">
        <f t="shared" si="51"/>
        <v/>
      </c>
      <c r="I668" s="29" t="str">
        <f t="shared" si="52"/>
        <v/>
      </c>
      <c r="J668" s="29" t="str">
        <f t="shared" si="53"/>
        <v/>
      </c>
      <c r="K668" s="29" t="str">
        <f t="shared" si="54"/>
        <v/>
      </c>
    </row>
    <row r="669" spans="1:11" ht="15" x14ac:dyDescent="0.25">
      <c r="A669" s="1" t="str">
        <f>IF('1.1 Produksi Bersih Padi 2025'!A669="","",'1.1 Produksi Bersih Padi 2025'!A669)</f>
        <v/>
      </c>
      <c r="B669" s="31" t="str">
        <f>IF('1.1 Produksi Bersih Padi 2025'!B669="","",'1.1 Produksi Bersih Padi 2025'!B669)</f>
        <v/>
      </c>
      <c r="C669" s="31" t="str">
        <f>IF('1.1 Produksi Bersih Padi 2025'!C669="","",'1.1 Produksi Bersih Padi 2025'!C669)</f>
        <v/>
      </c>
      <c r="D669" s="1" t="str">
        <f>IF('1.1 Produksi Bersih Padi 2025'!D669="","",'1.1 Produksi Bersih Padi 2025'!D669)</f>
        <v/>
      </c>
      <c r="E669" s="1" t="str">
        <f>IF('1.1 Produksi Bersih Padi 2025'!E669="","",'1.1 Produksi Bersih Padi 2025'!E669)</f>
        <v/>
      </c>
      <c r="F669" s="28" t="str">
        <f>IF(D669="","",VLOOKUP(D669,'[1]0.1 Produksi Pangan &amp; Penduduk'!$D$5:$AQ$860,40,0))</f>
        <v/>
      </c>
      <c r="G669" s="29" t="str">
        <f t="shared" si="50"/>
        <v/>
      </c>
      <c r="H669" s="29" t="str">
        <f t="shared" si="51"/>
        <v/>
      </c>
      <c r="I669" s="29" t="str">
        <f t="shared" si="52"/>
        <v/>
      </c>
      <c r="J669" s="29" t="str">
        <f t="shared" si="53"/>
        <v/>
      </c>
      <c r="K669" s="29" t="str">
        <f t="shared" si="54"/>
        <v/>
      </c>
    </row>
    <row r="670" spans="1:11" ht="15" x14ac:dyDescent="0.25">
      <c r="A670" s="1" t="str">
        <f>IF('1.1 Produksi Bersih Padi 2025'!A670="","",'1.1 Produksi Bersih Padi 2025'!A670)</f>
        <v/>
      </c>
      <c r="B670" s="31" t="str">
        <f>IF('1.1 Produksi Bersih Padi 2025'!B670="","",'1.1 Produksi Bersih Padi 2025'!B670)</f>
        <v/>
      </c>
      <c r="C670" s="31" t="str">
        <f>IF('1.1 Produksi Bersih Padi 2025'!C670="","",'1.1 Produksi Bersih Padi 2025'!C670)</f>
        <v/>
      </c>
      <c r="D670" s="1" t="str">
        <f>IF('1.1 Produksi Bersih Padi 2025'!D670="","",'1.1 Produksi Bersih Padi 2025'!D670)</f>
        <v/>
      </c>
      <c r="E670" s="1" t="str">
        <f>IF('1.1 Produksi Bersih Padi 2025'!E670="","",'1.1 Produksi Bersih Padi 2025'!E670)</f>
        <v/>
      </c>
      <c r="F670" s="28" t="str">
        <f>IF(D670="","",VLOOKUP(D670,'[1]0.1 Produksi Pangan &amp; Penduduk'!$D$5:$AQ$860,40,0))</f>
        <v/>
      </c>
      <c r="G670" s="29" t="str">
        <f t="shared" si="50"/>
        <v/>
      </c>
      <c r="H670" s="29" t="str">
        <f t="shared" si="51"/>
        <v/>
      </c>
      <c r="I670" s="29" t="str">
        <f t="shared" si="52"/>
        <v/>
      </c>
      <c r="J670" s="29" t="str">
        <f t="shared" si="53"/>
        <v/>
      </c>
      <c r="K670" s="29" t="str">
        <f t="shared" si="54"/>
        <v/>
      </c>
    </row>
    <row r="671" spans="1:11" ht="15" x14ac:dyDescent="0.25">
      <c r="A671" s="1" t="str">
        <f>IF('1.1 Produksi Bersih Padi 2025'!A671="","",'1.1 Produksi Bersih Padi 2025'!A671)</f>
        <v/>
      </c>
      <c r="B671" s="31" t="str">
        <f>IF('1.1 Produksi Bersih Padi 2025'!B671="","",'1.1 Produksi Bersih Padi 2025'!B671)</f>
        <v/>
      </c>
      <c r="C671" s="31" t="str">
        <f>IF('1.1 Produksi Bersih Padi 2025'!C671="","",'1.1 Produksi Bersih Padi 2025'!C671)</f>
        <v/>
      </c>
      <c r="D671" s="1" t="str">
        <f>IF('1.1 Produksi Bersih Padi 2025'!D671="","",'1.1 Produksi Bersih Padi 2025'!D671)</f>
        <v/>
      </c>
      <c r="E671" s="1" t="str">
        <f>IF('1.1 Produksi Bersih Padi 2025'!E671="","",'1.1 Produksi Bersih Padi 2025'!E671)</f>
        <v/>
      </c>
      <c r="F671" s="28" t="str">
        <f>IF(D671="","",VLOOKUP(D671,'[1]0.1 Produksi Pangan &amp; Penduduk'!$D$5:$AQ$860,40,0))</f>
        <v/>
      </c>
      <c r="G671" s="29" t="str">
        <f t="shared" si="50"/>
        <v/>
      </c>
      <c r="H671" s="29" t="str">
        <f t="shared" si="51"/>
        <v/>
      </c>
      <c r="I671" s="29" t="str">
        <f t="shared" si="52"/>
        <v/>
      </c>
      <c r="J671" s="29" t="str">
        <f t="shared" si="53"/>
        <v/>
      </c>
      <c r="K671" s="29" t="str">
        <f t="shared" si="54"/>
        <v/>
      </c>
    </row>
    <row r="672" spans="1:11" ht="15" x14ac:dyDescent="0.25">
      <c r="A672" s="1" t="str">
        <f>IF('1.1 Produksi Bersih Padi 2025'!A672="","",'1.1 Produksi Bersih Padi 2025'!A672)</f>
        <v/>
      </c>
      <c r="B672" s="31" t="str">
        <f>IF('1.1 Produksi Bersih Padi 2025'!B672="","",'1.1 Produksi Bersih Padi 2025'!B672)</f>
        <v/>
      </c>
      <c r="C672" s="31" t="str">
        <f>IF('1.1 Produksi Bersih Padi 2025'!C672="","",'1.1 Produksi Bersih Padi 2025'!C672)</f>
        <v/>
      </c>
      <c r="D672" s="1" t="str">
        <f>IF('1.1 Produksi Bersih Padi 2025'!D672="","",'1.1 Produksi Bersih Padi 2025'!D672)</f>
        <v/>
      </c>
      <c r="E672" s="1" t="str">
        <f>IF('1.1 Produksi Bersih Padi 2025'!E672="","",'1.1 Produksi Bersih Padi 2025'!E672)</f>
        <v/>
      </c>
      <c r="F672" s="28" t="str">
        <f>IF(D672="","",VLOOKUP(D672,'[1]0.1 Produksi Pangan &amp; Penduduk'!$D$5:$AQ$860,40,0))</f>
        <v/>
      </c>
      <c r="G672" s="29" t="str">
        <f t="shared" si="50"/>
        <v/>
      </c>
      <c r="H672" s="29" t="str">
        <f t="shared" si="51"/>
        <v/>
      </c>
      <c r="I672" s="29" t="str">
        <f t="shared" si="52"/>
        <v/>
      </c>
      <c r="J672" s="29" t="str">
        <f t="shared" si="53"/>
        <v/>
      </c>
      <c r="K672" s="29" t="str">
        <f t="shared" si="54"/>
        <v/>
      </c>
    </row>
    <row r="673" spans="1:11" ht="15" x14ac:dyDescent="0.25">
      <c r="A673" s="1" t="str">
        <f>IF('1.1 Produksi Bersih Padi 2025'!A673="","",'1.1 Produksi Bersih Padi 2025'!A673)</f>
        <v/>
      </c>
      <c r="B673" s="31" t="str">
        <f>IF('1.1 Produksi Bersih Padi 2025'!B673="","",'1.1 Produksi Bersih Padi 2025'!B673)</f>
        <v/>
      </c>
      <c r="C673" s="31" t="str">
        <f>IF('1.1 Produksi Bersih Padi 2025'!C673="","",'1.1 Produksi Bersih Padi 2025'!C673)</f>
        <v/>
      </c>
      <c r="D673" s="1" t="str">
        <f>IF('1.1 Produksi Bersih Padi 2025'!D673="","",'1.1 Produksi Bersih Padi 2025'!D673)</f>
        <v/>
      </c>
      <c r="E673" s="1" t="str">
        <f>IF('1.1 Produksi Bersih Padi 2025'!E673="","",'1.1 Produksi Bersih Padi 2025'!E673)</f>
        <v/>
      </c>
      <c r="F673" s="28" t="str">
        <f>IF(D673="","",VLOOKUP(D673,'[1]0.1 Produksi Pangan &amp; Penduduk'!$D$5:$AQ$860,40,0))</f>
        <v/>
      </c>
      <c r="G673" s="29" t="str">
        <f t="shared" si="50"/>
        <v/>
      </c>
      <c r="H673" s="29" t="str">
        <f t="shared" si="51"/>
        <v/>
      </c>
      <c r="I673" s="29" t="str">
        <f t="shared" si="52"/>
        <v/>
      </c>
      <c r="J673" s="29" t="str">
        <f t="shared" si="53"/>
        <v/>
      </c>
      <c r="K673" s="29" t="str">
        <f t="shared" si="54"/>
        <v/>
      </c>
    </row>
    <row r="674" spans="1:11" ht="15" x14ac:dyDescent="0.25">
      <c r="A674" s="1" t="str">
        <f>IF('1.1 Produksi Bersih Padi 2025'!A674="","",'1.1 Produksi Bersih Padi 2025'!A674)</f>
        <v/>
      </c>
      <c r="B674" s="31" t="str">
        <f>IF('1.1 Produksi Bersih Padi 2025'!B674="","",'1.1 Produksi Bersih Padi 2025'!B674)</f>
        <v/>
      </c>
      <c r="C674" s="31" t="str">
        <f>IF('1.1 Produksi Bersih Padi 2025'!C674="","",'1.1 Produksi Bersih Padi 2025'!C674)</f>
        <v/>
      </c>
      <c r="D674" s="1" t="str">
        <f>IF('1.1 Produksi Bersih Padi 2025'!D674="","",'1.1 Produksi Bersih Padi 2025'!D674)</f>
        <v/>
      </c>
      <c r="E674" s="1" t="str">
        <f>IF('1.1 Produksi Bersih Padi 2025'!E674="","",'1.1 Produksi Bersih Padi 2025'!E674)</f>
        <v/>
      </c>
      <c r="F674" s="28" t="str">
        <f>IF(D674="","",VLOOKUP(D674,'[1]0.1 Produksi Pangan &amp; Penduduk'!$D$5:$AQ$860,40,0))</f>
        <v/>
      </c>
      <c r="G674" s="29" t="str">
        <f t="shared" si="50"/>
        <v/>
      </c>
      <c r="H674" s="29" t="str">
        <f t="shared" si="51"/>
        <v/>
      </c>
      <c r="I674" s="29" t="str">
        <f t="shared" si="52"/>
        <v/>
      </c>
      <c r="J674" s="29" t="str">
        <f t="shared" si="53"/>
        <v/>
      </c>
      <c r="K674" s="29" t="str">
        <f t="shared" si="54"/>
        <v/>
      </c>
    </row>
    <row r="675" spans="1:11" ht="15" x14ac:dyDescent="0.25">
      <c r="A675" s="1" t="str">
        <f>IF('1.1 Produksi Bersih Padi 2025'!A675="","",'1.1 Produksi Bersih Padi 2025'!A675)</f>
        <v/>
      </c>
      <c r="B675" s="31" t="str">
        <f>IF('1.1 Produksi Bersih Padi 2025'!B675="","",'1.1 Produksi Bersih Padi 2025'!B675)</f>
        <v/>
      </c>
      <c r="C675" s="31" t="str">
        <f>IF('1.1 Produksi Bersih Padi 2025'!C675="","",'1.1 Produksi Bersih Padi 2025'!C675)</f>
        <v/>
      </c>
      <c r="D675" s="1" t="str">
        <f>IF('1.1 Produksi Bersih Padi 2025'!D675="","",'1.1 Produksi Bersih Padi 2025'!D675)</f>
        <v/>
      </c>
      <c r="E675" s="1" t="str">
        <f>IF('1.1 Produksi Bersih Padi 2025'!E675="","",'1.1 Produksi Bersih Padi 2025'!E675)</f>
        <v/>
      </c>
      <c r="F675" s="28" t="str">
        <f>IF(D675="","",VLOOKUP(D675,'[1]0.1 Produksi Pangan &amp; Penduduk'!$D$5:$AQ$860,40,0))</f>
        <v/>
      </c>
      <c r="G675" s="29" t="str">
        <f t="shared" si="50"/>
        <v/>
      </c>
      <c r="H675" s="29" t="str">
        <f t="shared" si="51"/>
        <v/>
      </c>
      <c r="I675" s="29" t="str">
        <f t="shared" si="52"/>
        <v/>
      </c>
      <c r="J675" s="29" t="str">
        <f t="shared" si="53"/>
        <v/>
      </c>
      <c r="K675" s="29" t="str">
        <f t="shared" si="54"/>
        <v/>
      </c>
    </row>
    <row r="676" spans="1:11" ht="15" x14ac:dyDescent="0.25">
      <c r="A676" s="1" t="str">
        <f>IF('1.1 Produksi Bersih Padi 2025'!A676="","",'1.1 Produksi Bersih Padi 2025'!A676)</f>
        <v/>
      </c>
      <c r="B676" s="31" t="str">
        <f>IF('1.1 Produksi Bersih Padi 2025'!B676="","",'1.1 Produksi Bersih Padi 2025'!B676)</f>
        <v/>
      </c>
      <c r="C676" s="31" t="str">
        <f>IF('1.1 Produksi Bersih Padi 2025'!C676="","",'1.1 Produksi Bersih Padi 2025'!C676)</f>
        <v/>
      </c>
      <c r="D676" s="1" t="str">
        <f>IF('1.1 Produksi Bersih Padi 2025'!D676="","",'1.1 Produksi Bersih Padi 2025'!D676)</f>
        <v/>
      </c>
      <c r="E676" s="1" t="str">
        <f>IF('1.1 Produksi Bersih Padi 2025'!E676="","",'1.1 Produksi Bersih Padi 2025'!E676)</f>
        <v/>
      </c>
      <c r="F676" s="28" t="str">
        <f>IF(D676="","",VLOOKUP(D676,'[1]0.1 Produksi Pangan &amp; Penduduk'!$D$5:$AQ$860,40,0))</f>
        <v/>
      </c>
      <c r="G676" s="29" t="str">
        <f t="shared" si="50"/>
        <v/>
      </c>
      <c r="H676" s="29" t="str">
        <f t="shared" si="51"/>
        <v/>
      </c>
      <c r="I676" s="29" t="str">
        <f t="shared" si="52"/>
        <v/>
      </c>
      <c r="J676" s="29" t="str">
        <f t="shared" si="53"/>
        <v/>
      </c>
      <c r="K676" s="29" t="str">
        <f t="shared" si="54"/>
        <v/>
      </c>
    </row>
    <row r="677" spans="1:11" ht="15" x14ac:dyDescent="0.25">
      <c r="A677" s="1" t="str">
        <f>IF('1.1 Produksi Bersih Padi 2025'!A677="","",'1.1 Produksi Bersih Padi 2025'!A677)</f>
        <v/>
      </c>
      <c r="B677" s="31" t="str">
        <f>IF('1.1 Produksi Bersih Padi 2025'!B677="","",'1.1 Produksi Bersih Padi 2025'!B677)</f>
        <v/>
      </c>
      <c r="C677" s="31" t="str">
        <f>IF('1.1 Produksi Bersih Padi 2025'!C677="","",'1.1 Produksi Bersih Padi 2025'!C677)</f>
        <v/>
      </c>
      <c r="D677" s="1" t="str">
        <f>IF('1.1 Produksi Bersih Padi 2025'!D677="","",'1.1 Produksi Bersih Padi 2025'!D677)</f>
        <v/>
      </c>
      <c r="E677" s="1" t="str">
        <f>IF('1.1 Produksi Bersih Padi 2025'!E677="","",'1.1 Produksi Bersih Padi 2025'!E677)</f>
        <v/>
      </c>
      <c r="F677" s="28" t="str">
        <f>IF(D677="","",VLOOKUP(D677,'[1]0.1 Produksi Pangan &amp; Penduduk'!$D$5:$AQ$860,40,0))</f>
        <v/>
      </c>
      <c r="G677" s="29" t="str">
        <f t="shared" si="50"/>
        <v/>
      </c>
      <c r="H677" s="29" t="str">
        <f t="shared" si="51"/>
        <v/>
      </c>
      <c r="I677" s="29" t="str">
        <f t="shared" si="52"/>
        <v/>
      </c>
      <c r="J677" s="29" t="str">
        <f t="shared" si="53"/>
        <v/>
      </c>
      <c r="K677" s="29" t="str">
        <f t="shared" si="54"/>
        <v/>
      </c>
    </row>
    <row r="678" spans="1:11" ht="15" x14ac:dyDescent="0.25">
      <c r="A678" s="1" t="str">
        <f>IF('1.1 Produksi Bersih Padi 2025'!A678="","",'1.1 Produksi Bersih Padi 2025'!A678)</f>
        <v/>
      </c>
      <c r="B678" s="31" t="str">
        <f>IF('1.1 Produksi Bersih Padi 2025'!B678="","",'1.1 Produksi Bersih Padi 2025'!B678)</f>
        <v/>
      </c>
      <c r="C678" s="31" t="str">
        <f>IF('1.1 Produksi Bersih Padi 2025'!C678="","",'1.1 Produksi Bersih Padi 2025'!C678)</f>
        <v/>
      </c>
      <c r="D678" s="1" t="str">
        <f>IF('1.1 Produksi Bersih Padi 2025'!D678="","",'1.1 Produksi Bersih Padi 2025'!D678)</f>
        <v/>
      </c>
      <c r="E678" s="1" t="str">
        <f>IF('1.1 Produksi Bersih Padi 2025'!E678="","",'1.1 Produksi Bersih Padi 2025'!E678)</f>
        <v/>
      </c>
      <c r="F678" s="28" t="str">
        <f>IF(D678="","",VLOOKUP(D678,'[1]0.1 Produksi Pangan &amp; Penduduk'!$D$5:$AQ$860,40,0))</f>
        <v/>
      </c>
      <c r="G678" s="29" t="str">
        <f t="shared" si="50"/>
        <v/>
      </c>
      <c r="H678" s="29" t="str">
        <f t="shared" si="51"/>
        <v/>
      </c>
      <c r="I678" s="29" t="str">
        <f t="shared" si="52"/>
        <v/>
      </c>
      <c r="J678" s="29" t="str">
        <f t="shared" si="53"/>
        <v/>
      </c>
      <c r="K678" s="29" t="str">
        <f t="shared" si="54"/>
        <v/>
      </c>
    </row>
    <row r="679" spans="1:11" ht="15" x14ac:dyDescent="0.25">
      <c r="A679" s="1" t="str">
        <f>IF('1.1 Produksi Bersih Padi 2025'!A679="","",'1.1 Produksi Bersih Padi 2025'!A679)</f>
        <v/>
      </c>
      <c r="B679" s="31" t="str">
        <f>IF('1.1 Produksi Bersih Padi 2025'!B679="","",'1.1 Produksi Bersih Padi 2025'!B679)</f>
        <v/>
      </c>
      <c r="C679" s="31" t="str">
        <f>IF('1.1 Produksi Bersih Padi 2025'!C679="","",'1.1 Produksi Bersih Padi 2025'!C679)</f>
        <v/>
      </c>
      <c r="D679" s="1" t="str">
        <f>IF('1.1 Produksi Bersih Padi 2025'!D679="","",'1.1 Produksi Bersih Padi 2025'!D679)</f>
        <v/>
      </c>
      <c r="E679" s="1" t="str">
        <f>IF('1.1 Produksi Bersih Padi 2025'!E679="","",'1.1 Produksi Bersih Padi 2025'!E679)</f>
        <v/>
      </c>
      <c r="F679" s="28" t="str">
        <f>IF(D679="","",VLOOKUP(D679,'[1]0.1 Produksi Pangan &amp; Penduduk'!$D$5:$AQ$860,40,0))</f>
        <v/>
      </c>
      <c r="G679" s="29" t="str">
        <f t="shared" si="50"/>
        <v/>
      </c>
      <c r="H679" s="29" t="str">
        <f t="shared" si="51"/>
        <v/>
      </c>
      <c r="I679" s="29" t="str">
        <f t="shared" si="52"/>
        <v/>
      </c>
      <c r="J679" s="29" t="str">
        <f t="shared" si="53"/>
        <v/>
      </c>
      <c r="K679" s="29" t="str">
        <f t="shared" si="54"/>
        <v/>
      </c>
    </row>
    <row r="680" spans="1:11" ht="15" x14ac:dyDescent="0.25">
      <c r="A680" s="1" t="str">
        <f>IF('1.1 Produksi Bersih Padi 2025'!A680="","",'1.1 Produksi Bersih Padi 2025'!A680)</f>
        <v/>
      </c>
      <c r="B680" s="31" t="str">
        <f>IF('1.1 Produksi Bersih Padi 2025'!B680="","",'1.1 Produksi Bersih Padi 2025'!B680)</f>
        <v/>
      </c>
      <c r="C680" s="31" t="str">
        <f>IF('1.1 Produksi Bersih Padi 2025'!C680="","",'1.1 Produksi Bersih Padi 2025'!C680)</f>
        <v/>
      </c>
      <c r="D680" s="1" t="str">
        <f>IF('1.1 Produksi Bersih Padi 2025'!D680="","",'1.1 Produksi Bersih Padi 2025'!D680)</f>
        <v/>
      </c>
      <c r="E680" s="1" t="str">
        <f>IF('1.1 Produksi Bersih Padi 2025'!E680="","",'1.1 Produksi Bersih Padi 2025'!E680)</f>
        <v/>
      </c>
      <c r="F680" s="28" t="str">
        <f>IF(D680="","",VLOOKUP(D680,'[1]0.1 Produksi Pangan &amp; Penduduk'!$D$5:$AQ$860,40,0))</f>
        <v/>
      </c>
      <c r="G680" s="29" t="str">
        <f t="shared" si="50"/>
        <v/>
      </c>
      <c r="H680" s="29" t="str">
        <f t="shared" si="51"/>
        <v/>
      </c>
      <c r="I680" s="29" t="str">
        <f t="shared" si="52"/>
        <v/>
      </c>
      <c r="J680" s="29" t="str">
        <f t="shared" si="53"/>
        <v/>
      </c>
      <c r="K680" s="29" t="str">
        <f t="shared" si="54"/>
        <v/>
      </c>
    </row>
    <row r="681" spans="1:11" ht="15" x14ac:dyDescent="0.25">
      <c r="A681" s="1" t="str">
        <f>IF('1.1 Produksi Bersih Padi 2025'!A681="","",'1.1 Produksi Bersih Padi 2025'!A681)</f>
        <v/>
      </c>
      <c r="B681" s="31" t="str">
        <f>IF('1.1 Produksi Bersih Padi 2025'!B681="","",'1.1 Produksi Bersih Padi 2025'!B681)</f>
        <v/>
      </c>
      <c r="C681" s="31" t="str">
        <f>IF('1.1 Produksi Bersih Padi 2025'!C681="","",'1.1 Produksi Bersih Padi 2025'!C681)</f>
        <v/>
      </c>
      <c r="D681" s="1" t="str">
        <f>IF('1.1 Produksi Bersih Padi 2025'!D681="","",'1.1 Produksi Bersih Padi 2025'!D681)</f>
        <v/>
      </c>
      <c r="E681" s="1" t="str">
        <f>IF('1.1 Produksi Bersih Padi 2025'!E681="","",'1.1 Produksi Bersih Padi 2025'!E681)</f>
        <v/>
      </c>
      <c r="F681" s="28" t="str">
        <f>IF(D681="","",VLOOKUP(D681,'[1]0.1 Produksi Pangan &amp; Penduduk'!$D$5:$AQ$860,40,0))</f>
        <v/>
      </c>
      <c r="G681" s="29" t="str">
        <f t="shared" si="50"/>
        <v/>
      </c>
      <c r="H681" s="29" t="str">
        <f t="shared" si="51"/>
        <v/>
      </c>
      <c r="I681" s="29" t="str">
        <f t="shared" si="52"/>
        <v/>
      </c>
      <c r="J681" s="29" t="str">
        <f t="shared" si="53"/>
        <v/>
      </c>
      <c r="K681" s="29" t="str">
        <f t="shared" si="54"/>
        <v/>
      </c>
    </row>
    <row r="682" spans="1:11" ht="15" x14ac:dyDescent="0.25">
      <c r="A682" s="1" t="str">
        <f>IF('1.1 Produksi Bersih Padi 2025'!A682="","",'1.1 Produksi Bersih Padi 2025'!A682)</f>
        <v/>
      </c>
      <c r="B682" s="31" t="str">
        <f>IF('1.1 Produksi Bersih Padi 2025'!B682="","",'1.1 Produksi Bersih Padi 2025'!B682)</f>
        <v/>
      </c>
      <c r="C682" s="31" t="str">
        <f>IF('1.1 Produksi Bersih Padi 2025'!C682="","",'1.1 Produksi Bersih Padi 2025'!C682)</f>
        <v/>
      </c>
      <c r="D682" s="1" t="str">
        <f>IF('1.1 Produksi Bersih Padi 2025'!D682="","",'1.1 Produksi Bersih Padi 2025'!D682)</f>
        <v/>
      </c>
      <c r="E682" s="1" t="str">
        <f>IF('1.1 Produksi Bersih Padi 2025'!E682="","",'1.1 Produksi Bersih Padi 2025'!E682)</f>
        <v/>
      </c>
      <c r="F682" s="28" t="str">
        <f>IF(D682="","",VLOOKUP(D682,'[1]0.1 Produksi Pangan &amp; Penduduk'!$D$5:$AQ$860,40,0))</f>
        <v/>
      </c>
      <c r="G682" s="29" t="str">
        <f t="shared" si="50"/>
        <v/>
      </c>
      <c r="H682" s="29" t="str">
        <f t="shared" si="51"/>
        <v/>
      </c>
      <c r="I682" s="29" t="str">
        <f t="shared" si="52"/>
        <v/>
      </c>
      <c r="J682" s="29" t="str">
        <f t="shared" si="53"/>
        <v/>
      </c>
      <c r="K682" s="29" t="str">
        <f t="shared" si="54"/>
        <v/>
      </c>
    </row>
    <row r="683" spans="1:11" ht="15" x14ac:dyDescent="0.25">
      <c r="A683" s="1" t="str">
        <f>IF('1.1 Produksi Bersih Padi 2025'!A683="","",'1.1 Produksi Bersih Padi 2025'!A683)</f>
        <v/>
      </c>
      <c r="B683" s="31" t="str">
        <f>IF('1.1 Produksi Bersih Padi 2025'!B683="","",'1.1 Produksi Bersih Padi 2025'!B683)</f>
        <v/>
      </c>
      <c r="C683" s="31" t="str">
        <f>IF('1.1 Produksi Bersih Padi 2025'!C683="","",'1.1 Produksi Bersih Padi 2025'!C683)</f>
        <v/>
      </c>
      <c r="D683" s="1" t="str">
        <f>IF('1.1 Produksi Bersih Padi 2025'!D683="","",'1.1 Produksi Bersih Padi 2025'!D683)</f>
        <v/>
      </c>
      <c r="E683" s="1" t="str">
        <f>IF('1.1 Produksi Bersih Padi 2025'!E683="","",'1.1 Produksi Bersih Padi 2025'!E683)</f>
        <v/>
      </c>
      <c r="F683" s="28" t="str">
        <f>IF(D683="","",VLOOKUP(D683,'[1]0.1 Produksi Pangan &amp; Penduduk'!$D$5:$AQ$860,40,0))</f>
        <v/>
      </c>
      <c r="G683" s="29" t="str">
        <f t="shared" si="50"/>
        <v/>
      </c>
      <c r="H683" s="29" t="str">
        <f t="shared" si="51"/>
        <v/>
      </c>
      <c r="I683" s="29" t="str">
        <f t="shared" si="52"/>
        <v/>
      </c>
      <c r="J683" s="29" t="str">
        <f t="shared" si="53"/>
        <v/>
      </c>
      <c r="K683" s="29" t="str">
        <f t="shared" si="54"/>
        <v/>
      </c>
    </row>
    <row r="684" spans="1:11" ht="15" x14ac:dyDescent="0.25">
      <c r="A684" s="1" t="str">
        <f>IF('1.1 Produksi Bersih Padi 2025'!A684="","",'1.1 Produksi Bersih Padi 2025'!A684)</f>
        <v/>
      </c>
      <c r="B684" s="31" t="str">
        <f>IF('1.1 Produksi Bersih Padi 2025'!B684="","",'1.1 Produksi Bersih Padi 2025'!B684)</f>
        <v/>
      </c>
      <c r="C684" s="31" t="str">
        <f>IF('1.1 Produksi Bersih Padi 2025'!C684="","",'1.1 Produksi Bersih Padi 2025'!C684)</f>
        <v/>
      </c>
      <c r="D684" s="1" t="str">
        <f>IF('1.1 Produksi Bersih Padi 2025'!D684="","",'1.1 Produksi Bersih Padi 2025'!D684)</f>
        <v/>
      </c>
      <c r="E684" s="1" t="str">
        <f>IF('1.1 Produksi Bersih Padi 2025'!E684="","",'1.1 Produksi Bersih Padi 2025'!E684)</f>
        <v/>
      </c>
      <c r="F684" s="28" t="str">
        <f>IF(D684="","",VLOOKUP(D684,'[1]0.1 Produksi Pangan &amp; Penduduk'!$D$5:$AQ$860,40,0))</f>
        <v/>
      </c>
      <c r="G684" s="29" t="str">
        <f t="shared" si="50"/>
        <v/>
      </c>
      <c r="H684" s="29" t="str">
        <f t="shared" si="51"/>
        <v/>
      </c>
      <c r="I684" s="29" t="str">
        <f t="shared" si="52"/>
        <v/>
      </c>
      <c r="J684" s="29" t="str">
        <f t="shared" si="53"/>
        <v/>
      </c>
      <c r="K684" s="29" t="str">
        <f t="shared" si="54"/>
        <v/>
      </c>
    </row>
    <row r="685" spans="1:11" ht="15" x14ac:dyDescent="0.25">
      <c r="A685" s="1" t="str">
        <f>IF('1.1 Produksi Bersih Padi 2025'!A685="","",'1.1 Produksi Bersih Padi 2025'!A685)</f>
        <v/>
      </c>
      <c r="B685" s="31" t="str">
        <f>IF('1.1 Produksi Bersih Padi 2025'!B685="","",'1.1 Produksi Bersih Padi 2025'!B685)</f>
        <v/>
      </c>
      <c r="C685" s="31" t="str">
        <f>IF('1.1 Produksi Bersih Padi 2025'!C685="","",'1.1 Produksi Bersih Padi 2025'!C685)</f>
        <v/>
      </c>
      <c r="D685" s="1" t="str">
        <f>IF('1.1 Produksi Bersih Padi 2025'!D685="","",'1.1 Produksi Bersih Padi 2025'!D685)</f>
        <v/>
      </c>
      <c r="E685" s="1" t="str">
        <f>IF('1.1 Produksi Bersih Padi 2025'!E685="","",'1.1 Produksi Bersih Padi 2025'!E685)</f>
        <v/>
      </c>
      <c r="F685" s="28" t="str">
        <f>IF(D685="","",VLOOKUP(D685,'[1]0.1 Produksi Pangan &amp; Penduduk'!$D$5:$AQ$860,40,0))</f>
        <v/>
      </c>
      <c r="G685" s="29" t="str">
        <f t="shared" si="50"/>
        <v/>
      </c>
      <c r="H685" s="29" t="str">
        <f t="shared" si="51"/>
        <v/>
      </c>
      <c r="I685" s="29" t="str">
        <f t="shared" si="52"/>
        <v/>
      </c>
      <c r="J685" s="29" t="str">
        <f t="shared" si="53"/>
        <v/>
      </c>
      <c r="K685" s="29" t="str">
        <f t="shared" si="54"/>
        <v/>
      </c>
    </row>
    <row r="686" spans="1:11" ht="15" x14ac:dyDescent="0.25">
      <c r="A686" s="1" t="str">
        <f>IF('1.1 Produksi Bersih Padi 2025'!A686="","",'1.1 Produksi Bersih Padi 2025'!A686)</f>
        <v/>
      </c>
      <c r="B686" s="31" t="str">
        <f>IF('1.1 Produksi Bersih Padi 2025'!B686="","",'1.1 Produksi Bersih Padi 2025'!B686)</f>
        <v/>
      </c>
      <c r="C686" s="31" t="str">
        <f>IF('1.1 Produksi Bersih Padi 2025'!C686="","",'1.1 Produksi Bersih Padi 2025'!C686)</f>
        <v/>
      </c>
      <c r="D686" s="1" t="str">
        <f>IF('1.1 Produksi Bersih Padi 2025'!D686="","",'1.1 Produksi Bersih Padi 2025'!D686)</f>
        <v/>
      </c>
      <c r="E686" s="1" t="str">
        <f>IF('1.1 Produksi Bersih Padi 2025'!E686="","",'1.1 Produksi Bersih Padi 2025'!E686)</f>
        <v/>
      </c>
      <c r="F686" s="28" t="str">
        <f>IF(D686="","",VLOOKUP(D686,'[1]0.1 Produksi Pangan &amp; Penduduk'!$D$5:$AQ$860,40,0))</f>
        <v/>
      </c>
      <c r="G686" s="29" t="str">
        <f t="shared" si="50"/>
        <v/>
      </c>
      <c r="H686" s="29" t="str">
        <f t="shared" si="51"/>
        <v/>
      </c>
      <c r="I686" s="29" t="str">
        <f t="shared" si="52"/>
        <v/>
      </c>
      <c r="J686" s="29" t="str">
        <f t="shared" si="53"/>
        <v/>
      </c>
      <c r="K686" s="29" t="str">
        <f t="shared" si="54"/>
        <v/>
      </c>
    </row>
    <row r="687" spans="1:11" ht="15" x14ac:dyDescent="0.25">
      <c r="A687" s="1" t="str">
        <f>IF('1.1 Produksi Bersih Padi 2025'!A687="","",'1.1 Produksi Bersih Padi 2025'!A687)</f>
        <v/>
      </c>
      <c r="B687" s="31" t="str">
        <f>IF('1.1 Produksi Bersih Padi 2025'!B687="","",'1.1 Produksi Bersih Padi 2025'!B687)</f>
        <v/>
      </c>
      <c r="C687" s="31" t="str">
        <f>IF('1.1 Produksi Bersih Padi 2025'!C687="","",'1.1 Produksi Bersih Padi 2025'!C687)</f>
        <v/>
      </c>
      <c r="D687" s="1" t="str">
        <f>IF('1.1 Produksi Bersih Padi 2025'!D687="","",'1.1 Produksi Bersih Padi 2025'!D687)</f>
        <v/>
      </c>
      <c r="E687" s="1" t="str">
        <f>IF('1.1 Produksi Bersih Padi 2025'!E687="","",'1.1 Produksi Bersih Padi 2025'!E687)</f>
        <v/>
      </c>
      <c r="F687" s="28" t="str">
        <f>IF(D687="","",VLOOKUP(D687,'[1]0.1 Produksi Pangan &amp; Penduduk'!$D$5:$AQ$860,40,0))</f>
        <v/>
      </c>
      <c r="G687" s="29" t="str">
        <f t="shared" si="50"/>
        <v/>
      </c>
      <c r="H687" s="29" t="str">
        <f t="shared" si="51"/>
        <v/>
      </c>
      <c r="I687" s="29" t="str">
        <f t="shared" si="52"/>
        <v/>
      </c>
      <c r="J687" s="29" t="str">
        <f t="shared" si="53"/>
        <v/>
      </c>
      <c r="K687" s="29" t="str">
        <f t="shared" si="54"/>
        <v/>
      </c>
    </row>
    <row r="688" spans="1:11" ht="15" x14ac:dyDescent="0.25">
      <c r="A688" s="1" t="str">
        <f>IF('1.1 Produksi Bersih Padi 2025'!A688="","",'1.1 Produksi Bersih Padi 2025'!A688)</f>
        <v/>
      </c>
      <c r="B688" s="31" t="str">
        <f>IF('1.1 Produksi Bersih Padi 2025'!B688="","",'1.1 Produksi Bersih Padi 2025'!B688)</f>
        <v/>
      </c>
      <c r="C688" s="31" t="str">
        <f>IF('1.1 Produksi Bersih Padi 2025'!C688="","",'1.1 Produksi Bersih Padi 2025'!C688)</f>
        <v/>
      </c>
      <c r="D688" s="1" t="str">
        <f>IF('1.1 Produksi Bersih Padi 2025'!D688="","",'1.1 Produksi Bersih Padi 2025'!D688)</f>
        <v/>
      </c>
      <c r="E688" s="1" t="str">
        <f>IF('1.1 Produksi Bersih Padi 2025'!E688="","",'1.1 Produksi Bersih Padi 2025'!E688)</f>
        <v/>
      </c>
      <c r="F688" s="28" t="str">
        <f>IF(D688="","",VLOOKUP(D688,'[1]0.1 Produksi Pangan &amp; Penduduk'!$D$5:$AQ$860,40,0))</f>
        <v/>
      </c>
      <c r="G688" s="29" t="str">
        <f t="shared" si="50"/>
        <v/>
      </c>
      <c r="H688" s="29" t="str">
        <f t="shared" si="51"/>
        <v/>
      </c>
      <c r="I688" s="29" t="str">
        <f t="shared" si="52"/>
        <v/>
      </c>
      <c r="J688" s="29" t="str">
        <f t="shared" si="53"/>
        <v/>
      </c>
      <c r="K688" s="29" t="str">
        <f t="shared" si="54"/>
        <v/>
      </c>
    </row>
    <row r="689" spans="1:11" ht="15" x14ac:dyDescent="0.25">
      <c r="A689" s="1" t="str">
        <f>IF('1.1 Produksi Bersih Padi 2025'!A689="","",'1.1 Produksi Bersih Padi 2025'!A689)</f>
        <v/>
      </c>
      <c r="B689" s="31" t="str">
        <f>IF('1.1 Produksi Bersih Padi 2025'!B689="","",'1.1 Produksi Bersih Padi 2025'!B689)</f>
        <v/>
      </c>
      <c r="C689" s="31" t="str">
        <f>IF('1.1 Produksi Bersih Padi 2025'!C689="","",'1.1 Produksi Bersih Padi 2025'!C689)</f>
        <v/>
      </c>
      <c r="D689" s="1" t="str">
        <f>IF('1.1 Produksi Bersih Padi 2025'!D689="","",'1.1 Produksi Bersih Padi 2025'!D689)</f>
        <v/>
      </c>
      <c r="E689" s="1" t="str">
        <f>IF('1.1 Produksi Bersih Padi 2025'!E689="","",'1.1 Produksi Bersih Padi 2025'!E689)</f>
        <v/>
      </c>
      <c r="F689" s="28" t="str">
        <f>IF(D689="","",VLOOKUP(D689,'[1]0.1 Produksi Pangan &amp; Penduduk'!$D$5:$AQ$860,40,0))</f>
        <v/>
      </c>
      <c r="G689" s="29" t="str">
        <f t="shared" si="50"/>
        <v/>
      </c>
      <c r="H689" s="29" t="str">
        <f t="shared" si="51"/>
        <v/>
      </c>
      <c r="I689" s="29" t="str">
        <f t="shared" si="52"/>
        <v/>
      </c>
      <c r="J689" s="29" t="str">
        <f t="shared" si="53"/>
        <v/>
      </c>
      <c r="K689" s="29" t="str">
        <f t="shared" si="54"/>
        <v/>
      </c>
    </row>
    <row r="690" spans="1:11" ht="15" x14ac:dyDescent="0.25">
      <c r="A690" s="1" t="str">
        <f>IF('1.1 Produksi Bersih Padi 2025'!A690="","",'1.1 Produksi Bersih Padi 2025'!A690)</f>
        <v/>
      </c>
      <c r="B690" s="31" t="str">
        <f>IF('1.1 Produksi Bersih Padi 2025'!B690="","",'1.1 Produksi Bersih Padi 2025'!B690)</f>
        <v/>
      </c>
      <c r="C690" s="31" t="str">
        <f>IF('1.1 Produksi Bersih Padi 2025'!C690="","",'1.1 Produksi Bersih Padi 2025'!C690)</f>
        <v/>
      </c>
      <c r="D690" s="1" t="str">
        <f>IF('1.1 Produksi Bersih Padi 2025'!D690="","",'1.1 Produksi Bersih Padi 2025'!D690)</f>
        <v/>
      </c>
      <c r="E690" s="1" t="str">
        <f>IF('1.1 Produksi Bersih Padi 2025'!E690="","",'1.1 Produksi Bersih Padi 2025'!E690)</f>
        <v/>
      </c>
      <c r="F690" s="28" t="str">
        <f>IF(D690="","",VLOOKUP(D690,'[1]0.1 Produksi Pangan &amp; Penduduk'!$D$5:$AQ$860,40,0))</f>
        <v/>
      </c>
      <c r="G690" s="29" t="str">
        <f t="shared" si="50"/>
        <v/>
      </c>
      <c r="H690" s="29" t="str">
        <f t="shared" si="51"/>
        <v/>
      </c>
      <c r="I690" s="29" t="str">
        <f t="shared" si="52"/>
        <v/>
      </c>
      <c r="J690" s="29" t="str">
        <f t="shared" si="53"/>
        <v/>
      </c>
      <c r="K690" s="29" t="str">
        <f t="shared" si="54"/>
        <v/>
      </c>
    </row>
    <row r="691" spans="1:11" ht="15" x14ac:dyDescent="0.25">
      <c r="A691" s="1" t="str">
        <f>IF('1.1 Produksi Bersih Padi 2025'!A691="","",'1.1 Produksi Bersih Padi 2025'!A691)</f>
        <v/>
      </c>
      <c r="B691" s="31" t="str">
        <f>IF('1.1 Produksi Bersih Padi 2025'!B691="","",'1.1 Produksi Bersih Padi 2025'!B691)</f>
        <v/>
      </c>
      <c r="C691" s="31" t="str">
        <f>IF('1.1 Produksi Bersih Padi 2025'!C691="","",'1.1 Produksi Bersih Padi 2025'!C691)</f>
        <v/>
      </c>
      <c r="D691" s="1" t="str">
        <f>IF('1.1 Produksi Bersih Padi 2025'!D691="","",'1.1 Produksi Bersih Padi 2025'!D691)</f>
        <v/>
      </c>
      <c r="E691" s="1" t="str">
        <f>IF('1.1 Produksi Bersih Padi 2025'!E691="","",'1.1 Produksi Bersih Padi 2025'!E691)</f>
        <v/>
      </c>
      <c r="F691" s="28" t="str">
        <f>IF(D691="","",VLOOKUP(D691,'[1]0.1 Produksi Pangan &amp; Penduduk'!$D$5:$AQ$860,40,0))</f>
        <v/>
      </c>
      <c r="G691" s="29" t="str">
        <f t="shared" si="50"/>
        <v/>
      </c>
      <c r="H691" s="29" t="str">
        <f t="shared" si="51"/>
        <v/>
      </c>
      <c r="I691" s="29" t="str">
        <f t="shared" si="52"/>
        <v/>
      </c>
      <c r="J691" s="29" t="str">
        <f t="shared" si="53"/>
        <v/>
      </c>
      <c r="K691" s="29" t="str">
        <f t="shared" si="54"/>
        <v/>
      </c>
    </row>
    <row r="692" spans="1:11" ht="15" x14ac:dyDescent="0.25">
      <c r="A692" s="1" t="str">
        <f>IF('1.1 Produksi Bersih Padi 2025'!A692="","",'1.1 Produksi Bersih Padi 2025'!A692)</f>
        <v/>
      </c>
      <c r="B692" s="31" t="str">
        <f>IF('1.1 Produksi Bersih Padi 2025'!B692="","",'1.1 Produksi Bersih Padi 2025'!B692)</f>
        <v/>
      </c>
      <c r="C692" s="31" t="str">
        <f>IF('1.1 Produksi Bersih Padi 2025'!C692="","",'1.1 Produksi Bersih Padi 2025'!C692)</f>
        <v/>
      </c>
      <c r="D692" s="1" t="str">
        <f>IF('1.1 Produksi Bersih Padi 2025'!D692="","",'1.1 Produksi Bersih Padi 2025'!D692)</f>
        <v/>
      </c>
      <c r="E692" s="1" t="str">
        <f>IF('1.1 Produksi Bersih Padi 2025'!E692="","",'1.1 Produksi Bersih Padi 2025'!E692)</f>
        <v/>
      </c>
      <c r="F692" s="28" t="str">
        <f>IF(D692="","",VLOOKUP(D692,'[1]0.1 Produksi Pangan &amp; Penduduk'!$D$5:$AQ$860,40,0))</f>
        <v/>
      </c>
      <c r="G692" s="29" t="str">
        <f t="shared" si="50"/>
        <v/>
      </c>
      <c r="H692" s="29" t="str">
        <f t="shared" si="51"/>
        <v/>
      </c>
      <c r="I692" s="29" t="str">
        <f t="shared" si="52"/>
        <v/>
      </c>
      <c r="J692" s="29" t="str">
        <f t="shared" si="53"/>
        <v/>
      </c>
      <c r="K692" s="29" t="str">
        <f t="shared" si="54"/>
        <v/>
      </c>
    </row>
    <row r="693" spans="1:11" ht="15" x14ac:dyDescent="0.25">
      <c r="A693" s="1" t="str">
        <f>IF('1.1 Produksi Bersih Padi 2025'!A693="","",'1.1 Produksi Bersih Padi 2025'!A693)</f>
        <v/>
      </c>
      <c r="B693" s="31" t="str">
        <f>IF('1.1 Produksi Bersih Padi 2025'!B693="","",'1.1 Produksi Bersih Padi 2025'!B693)</f>
        <v/>
      </c>
      <c r="C693" s="31" t="str">
        <f>IF('1.1 Produksi Bersih Padi 2025'!C693="","",'1.1 Produksi Bersih Padi 2025'!C693)</f>
        <v/>
      </c>
      <c r="D693" s="1" t="str">
        <f>IF('1.1 Produksi Bersih Padi 2025'!D693="","",'1.1 Produksi Bersih Padi 2025'!D693)</f>
        <v/>
      </c>
      <c r="E693" s="1" t="str">
        <f>IF('1.1 Produksi Bersih Padi 2025'!E693="","",'1.1 Produksi Bersih Padi 2025'!E693)</f>
        <v/>
      </c>
      <c r="F693" s="28" t="str">
        <f>IF(D693="","",VLOOKUP(D693,'[1]0.1 Produksi Pangan &amp; Penduduk'!$D$5:$AQ$860,40,0))</f>
        <v/>
      </c>
      <c r="G693" s="29" t="str">
        <f t="shared" si="50"/>
        <v/>
      </c>
      <c r="H693" s="29" t="str">
        <f t="shared" si="51"/>
        <v/>
      </c>
      <c r="I693" s="29" t="str">
        <f t="shared" si="52"/>
        <v/>
      </c>
      <c r="J693" s="29" t="str">
        <f t="shared" si="53"/>
        <v/>
      </c>
      <c r="K693" s="29" t="str">
        <f t="shared" si="54"/>
        <v/>
      </c>
    </row>
    <row r="694" spans="1:11" ht="15" x14ac:dyDescent="0.25">
      <c r="A694" s="1" t="str">
        <f>IF('1.1 Produksi Bersih Padi 2025'!A694="","",'1.1 Produksi Bersih Padi 2025'!A694)</f>
        <v/>
      </c>
      <c r="B694" s="31" t="str">
        <f>IF('1.1 Produksi Bersih Padi 2025'!B694="","",'1.1 Produksi Bersih Padi 2025'!B694)</f>
        <v/>
      </c>
      <c r="C694" s="31" t="str">
        <f>IF('1.1 Produksi Bersih Padi 2025'!C694="","",'1.1 Produksi Bersih Padi 2025'!C694)</f>
        <v/>
      </c>
      <c r="D694" s="1" t="str">
        <f>IF('1.1 Produksi Bersih Padi 2025'!D694="","",'1.1 Produksi Bersih Padi 2025'!D694)</f>
        <v/>
      </c>
      <c r="E694" s="1" t="str">
        <f>IF('1.1 Produksi Bersih Padi 2025'!E694="","",'1.1 Produksi Bersih Padi 2025'!E694)</f>
        <v/>
      </c>
      <c r="F694" s="28" t="str">
        <f>IF(D694="","",VLOOKUP(D694,'[1]0.1 Produksi Pangan &amp; Penduduk'!$D$5:$AQ$860,40,0))</f>
        <v/>
      </c>
      <c r="G694" s="29" t="str">
        <f t="shared" si="50"/>
        <v/>
      </c>
      <c r="H694" s="29" t="str">
        <f t="shared" si="51"/>
        <v/>
      </c>
      <c r="I694" s="29" t="str">
        <f t="shared" si="52"/>
        <v/>
      </c>
      <c r="J694" s="29" t="str">
        <f t="shared" si="53"/>
        <v/>
      </c>
      <c r="K694" s="29" t="str">
        <f t="shared" si="54"/>
        <v/>
      </c>
    </row>
    <row r="695" spans="1:11" ht="15" x14ac:dyDescent="0.25">
      <c r="A695" s="1" t="str">
        <f>IF('1.1 Produksi Bersih Padi 2025'!A695="","",'1.1 Produksi Bersih Padi 2025'!A695)</f>
        <v/>
      </c>
      <c r="B695" s="31" t="str">
        <f>IF('1.1 Produksi Bersih Padi 2025'!B695="","",'1.1 Produksi Bersih Padi 2025'!B695)</f>
        <v/>
      </c>
      <c r="C695" s="31" t="str">
        <f>IF('1.1 Produksi Bersih Padi 2025'!C695="","",'1.1 Produksi Bersih Padi 2025'!C695)</f>
        <v/>
      </c>
      <c r="D695" s="1" t="str">
        <f>IF('1.1 Produksi Bersih Padi 2025'!D695="","",'1.1 Produksi Bersih Padi 2025'!D695)</f>
        <v/>
      </c>
      <c r="E695" s="1" t="str">
        <f>IF('1.1 Produksi Bersih Padi 2025'!E695="","",'1.1 Produksi Bersih Padi 2025'!E695)</f>
        <v/>
      </c>
      <c r="F695" s="28" t="str">
        <f>IF(D695="","",VLOOKUP(D695,'[1]0.1 Produksi Pangan &amp; Penduduk'!$D$5:$AQ$860,40,0))</f>
        <v/>
      </c>
      <c r="G695" s="29" t="str">
        <f t="shared" si="50"/>
        <v/>
      </c>
      <c r="H695" s="29" t="str">
        <f t="shared" si="51"/>
        <v/>
      </c>
      <c r="I695" s="29" t="str">
        <f t="shared" si="52"/>
        <v/>
      </c>
      <c r="J695" s="29" t="str">
        <f t="shared" si="53"/>
        <v/>
      </c>
      <c r="K695" s="29" t="str">
        <f t="shared" si="54"/>
        <v/>
      </c>
    </row>
    <row r="696" spans="1:11" ht="15" x14ac:dyDescent="0.25">
      <c r="A696" s="1" t="str">
        <f>IF('1.1 Produksi Bersih Padi 2025'!A696="","",'1.1 Produksi Bersih Padi 2025'!A696)</f>
        <v/>
      </c>
      <c r="B696" s="31" t="str">
        <f>IF('1.1 Produksi Bersih Padi 2025'!B696="","",'1.1 Produksi Bersih Padi 2025'!B696)</f>
        <v/>
      </c>
      <c r="C696" s="31" t="str">
        <f>IF('1.1 Produksi Bersih Padi 2025'!C696="","",'1.1 Produksi Bersih Padi 2025'!C696)</f>
        <v/>
      </c>
      <c r="D696" s="1" t="str">
        <f>IF('1.1 Produksi Bersih Padi 2025'!D696="","",'1.1 Produksi Bersih Padi 2025'!D696)</f>
        <v/>
      </c>
      <c r="E696" s="1" t="str">
        <f>IF('1.1 Produksi Bersih Padi 2025'!E696="","",'1.1 Produksi Bersih Padi 2025'!E696)</f>
        <v/>
      </c>
      <c r="F696" s="28" t="str">
        <f>IF(D696="","",VLOOKUP(D696,'[1]0.1 Produksi Pangan &amp; Penduduk'!$D$5:$AQ$860,40,0))</f>
        <v/>
      </c>
      <c r="G696" s="29" t="str">
        <f t="shared" si="50"/>
        <v/>
      </c>
      <c r="H696" s="29" t="str">
        <f t="shared" si="51"/>
        <v/>
      </c>
      <c r="I696" s="29" t="str">
        <f t="shared" si="52"/>
        <v/>
      </c>
      <c r="J696" s="29" t="str">
        <f t="shared" si="53"/>
        <v/>
      </c>
      <c r="K696" s="29" t="str">
        <f t="shared" si="54"/>
        <v/>
      </c>
    </row>
    <row r="697" spans="1:11" ht="15" x14ac:dyDescent="0.25">
      <c r="A697" s="1" t="str">
        <f>IF('1.1 Produksi Bersih Padi 2025'!A697="","",'1.1 Produksi Bersih Padi 2025'!A697)</f>
        <v/>
      </c>
      <c r="B697" s="31" t="str">
        <f>IF('1.1 Produksi Bersih Padi 2025'!B697="","",'1.1 Produksi Bersih Padi 2025'!B697)</f>
        <v/>
      </c>
      <c r="C697" s="31" t="str">
        <f>IF('1.1 Produksi Bersih Padi 2025'!C697="","",'1.1 Produksi Bersih Padi 2025'!C697)</f>
        <v/>
      </c>
      <c r="D697" s="1" t="str">
        <f>IF('1.1 Produksi Bersih Padi 2025'!D697="","",'1.1 Produksi Bersih Padi 2025'!D697)</f>
        <v/>
      </c>
      <c r="E697" s="1" t="str">
        <f>IF('1.1 Produksi Bersih Padi 2025'!E697="","",'1.1 Produksi Bersih Padi 2025'!E697)</f>
        <v/>
      </c>
      <c r="F697" s="28" t="str">
        <f>IF(D697="","",VLOOKUP(D697,'[1]0.1 Produksi Pangan &amp; Penduduk'!$D$5:$AQ$860,40,0))</f>
        <v/>
      </c>
      <c r="G697" s="29" t="str">
        <f t="shared" si="50"/>
        <v/>
      </c>
      <c r="H697" s="29" t="str">
        <f t="shared" si="51"/>
        <v/>
      </c>
      <c r="I697" s="29" t="str">
        <f t="shared" si="52"/>
        <v/>
      </c>
      <c r="J697" s="29" t="str">
        <f t="shared" si="53"/>
        <v/>
      </c>
      <c r="K697" s="29" t="str">
        <f t="shared" si="54"/>
        <v/>
      </c>
    </row>
    <row r="698" spans="1:11" ht="15" x14ac:dyDescent="0.25">
      <c r="A698" s="1" t="str">
        <f>IF('1.1 Produksi Bersih Padi 2025'!A698="","",'1.1 Produksi Bersih Padi 2025'!A698)</f>
        <v/>
      </c>
      <c r="B698" s="31" t="str">
        <f>IF('1.1 Produksi Bersih Padi 2025'!B698="","",'1.1 Produksi Bersih Padi 2025'!B698)</f>
        <v/>
      </c>
      <c r="C698" s="31" t="str">
        <f>IF('1.1 Produksi Bersih Padi 2025'!C698="","",'1.1 Produksi Bersih Padi 2025'!C698)</f>
        <v/>
      </c>
      <c r="D698" s="1" t="str">
        <f>IF('1.1 Produksi Bersih Padi 2025'!D698="","",'1.1 Produksi Bersih Padi 2025'!D698)</f>
        <v/>
      </c>
      <c r="E698" s="1" t="str">
        <f>IF('1.1 Produksi Bersih Padi 2025'!E698="","",'1.1 Produksi Bersih Padi 2025'!E698)</f>
        <v/>
      </c>
      <c r="F698" s="28" t="str">
        <f>IF(D698="","",VLOOKUP(D698,'[1]0.1 Produksi Pangan &amp; Penduduk'!$D$5:$AQ$860,40,0))</f>
        <v/>
      </c>
      <c r="G698" s="29" t="str">
        <f t="shared" si="50"/>
        <v/>
      </c>
      <c r="H698" s="29" t="str">
        <f t="shared" si="51"/>
        <v/>
      </c>
      <c r="I698" s="29" t="str">
        <f t="shared" si="52"/>
        <v/>
      </c>
      <c r="J698" s="29" t="str">
        <f t="shared" si="53"/>
        <v/>
      </c>
      <c r="K698" s="29" t="str">
        <f t="shared" si="54"/>
        <v/>
      </c>
    </row>
    <row r="699" spans="1:11" ht="15" x14ac:dyDescent="0.25">
      <c r="A699" s="1" t="str">
        <f>IF('1.1 Produksi Bersih Padi 2025'!A699="","",'1.1 Produksi Bersih Padi 2025'!A699)</f>
        <v/>
      </c>
      <c r="B699" s="31" t="str">
        <f>IF('1.1 Produksi Bersih Padi 2025'!B699="","",'1.1 Produksi Bersih Padi 2025'!B699)</f>
        <v/>
      </c>
      <c r="C699" s="31" t="str">
        <f>IF('1.1 Produksi Bersih Padi 2025'!C699="","",'1.1 Produksi Bersih Padi 2025'!C699)</f>
        <v/>
      </c>
      <c r="D699" s="1" t="str">
        <f>IF('1.1 Produksi Bersih Padi 2025'!D699="","",'1.1 Produksi Bersih Padi 2025'!D699)</f>
        <v/>
      </c>
      <c r="E699" s="1" t="str">
        <f>IF('1.1 Produksi Bersih Padi 2025'!E699="","",'1.1 Produksi Bersih Padi 2025'!E699)</f>
        <v/>
      </c>
      <c r="F699" s="28" t="str">
        <f>IF(D699="","",VLOOKUP(D699,'[1]0.1 Produksi Pangan &amp; Penduduk'!$D$5:$AQ$860,40,0))</f>
        <v/>
      </c>
      <c r="G699" s="29" t="str">
        <f t="shared" si="50"/>
        <v/>
      </c>
      <c r="H699" s="29" t="str">
        <f t="shared" si="51"/>
        <v/>
      </c>
      <c r="I699" s="29" t="str">
        <f t="shared" si="52"/>
        <v/>
      </c>
      <c r="J699" s="29" t="str">
        <f t="shared" si="53"/>
        <v/>
      </c>
      <c r="K699" s="29" t="str">
        <f t="shared" si="54"/>
        <v/>
      </c>
    </row>
    <row r="700" spans="1:11" ht="15" x14ac:dyDescent="0.25">
      <c r="A700" s="1" t="str">
        <f>IF('1.1 Produksi Bersih Padi 2025'!A700="","",'1.1 Produksi Bersih Padi 2025'!A700)</f>
        <v/>
      </c>
      <c r="B700" s="31" t="str">
        <f>IF('1.1 Produksi Bersih Padi 2025'!B700="","",'1.1 Produksi Bersih Padi 2025'!B700)</f>
        <v/>
      </c>
      <c r="C700" s="31" t="str">
        <f>IF('1.1 Produksi Bersih Padi 2025'!C700="","",'1.1 Produksi Bersih Padi 2025'!C700)</f>
        <v/>
      </c>
      <c r="D700" s="1" t="str">
        <f>IF('1.1 Produksi Bersih Padi 2025'!D700="","",'1.1 Produksi Bersih Padi 2025'!D700)</f>
        <v/>
      </c>
      <c r="E700" s="1" t="str">
        <f>IF('1.1 Produksi Bersih Padi 2025'!E700="","",'1.1 Produksi Bersih Padi 2025'!E700)</f>
        <v/>
      </c>
      <c r="F700" s="28" t="str">
        <f>IF(D700="","",VLOOKUP(D700,'[1]0.1 Produksi Pangan &amp; Penduduk'!$D$5:$AQ$860,40,0))</f>
        <v/>
      </c>
      <c r="G700" s="29" t="str">
        <f t="shared" si="50"/>
        <v/>
      </c>
      <c r="H700" s="29" t="str">
        <f t="shared" si="51"/>
        <v/>
      </c>
      <c r="I700" s="29" t="str">
        <f t="shared" si="52"/>
        <v/>
      </c>
      <c r="J700" s="29" t="str">
        <f t="shared" si="53"/>
        <v/>
      </c>
      <c r="K700" s="29" t="str">
        <f t="shared" si="54"/>
        <v/>
      </c>
    </row>
    <row r="701" spans="1:11" ht="15" x14ac:dyDescent="0.25">
      <c r="A701" s="1" t="str">
        <f>IF('1.1 Produksi Bersih Padi 2025'!A701="","",'1.1 Produksi Bersih Padi 2025'!A701)</f>
        <v/>
      </c>
      <c r="B701" s="31" t="str">
        <f>IF('1.1 Produksi Bersih Padi 2025'!B701="","",'1.1 Produksi Bersih Padi 2025'!B701)</f>
        <v/>
      </c>
      <c r="C701" s="31" t="str">
        <f>IF('1.1 Produksi Bersih Padi 2025'!C701="","",'1.1 Produksi Bersih Padi 2025'!C701)</f>
        <v/>
      </c>
      <c r="D701" s="1" t="str">
        <f>IF('1.1 Produksi Bersih Padi 2025'!D701="","",'1.1 Produksi Bersih Padi 2025'!D701)</f>
        <v/>
      </c>
      <c r="E701" s="1" t="str">
        <f>IF('1.1 Produksi Bersih Padi 2025'!E701="","",'1.1 Produksi Bersih Padi 2025'!E701)</f>
        <v/>
      </c>
      <c r="F701" s="28" t="str">
        <f>IF(D701="","",VLOOKUP(D701,'[1]0.1 Produksi Pangan &amp; Penduduk'!$D$5:$AQ$860,40,0))</f>
        <v/>
      </c>
      <c r="G701" s="29" t="str">
        <f t="shared" si="50"/>
        <v/>
      </c>
      <c r="H701" s="29" t="str">
        <f t="shared" si="51"/>
        <v/>
      </c>
      <c r="I701" s="29" t="str">
        <f t="shared" si="52"/>
        <v/>
      </c>
      <c r="J701" s="29" t="str">
        <f t="shared" si="53"/>
        <v/>
      </c>
      <c r="K701" s="29" t="str">
        <f t="shared" si="54"/>
        <v/>
      </c>
    </row>
    <row r="702" spans="1:11" ht="15" x14ac:dyDescent="0.25">
      <c r="A702" s="1" t="str">
        <f>IF('1.1 Produksi Bersih Padi 2025'!A702="","",'1.1 Produksi Bersih Padi 2025'!A702)</f>
        <v/>
      </c>
      <c r="B702" s="31" t="str">
        <f>IF('1.1 Produksi Bersih Padi 2025'!B702="","",'1.1 Produksi Bersih Padi 2025'!B702)</f>
        <v/>
      </c>
      <c r="C702" s="31" t="str">
        <f>IF('1.1 Produksi Bersih Padi 2025'!C702="","",'1.1 Produksi Bersih Padi 2025'!C702)</f>
        <v/>
      </c>
      <c r="D702" s="1" t="str">
        <f>IF('1.1 Produksi Bersih Padi 2025'!D702="","",'1.1 Produksi Bersih Padi 2025'!D702)</f>
        <v/>
      </c>
      <c r="E702" s="1" t="str">
        <f>IF('1.1 Produksi Bersih Padi 2025'!E702="","",'1.1 Produksi Bersih Padi 2025'!E702)</f>
        <v/>
      </c>
      <c r="F702" s="28" t="str">
        <f>IF(D702="","",VLOOKUP(D702,'[1]0.1 Produksi Pangan &amp; Penduduk'!$D$5:$AQ$860,40,0))</f>
        <v/>
      </c>
      <c r="G702" s="29" t="str">
        <f t="shared" si="50"/>
        <v/>
      </c>
      <c r="H702" s="29" t="str">
        <f t="shared" si="51"/>
        <v/>
      </c>
      <c r="I702" s="29" t="str">
        <f t="shared" si="52"/>
        <v/>
      </c>
      <c r="J702" s="29" t="str">
        <f t="shared" si="53"/>
        <v/>
      </c>
      <c r="K702" s="29" t="str">
        <f t="shared" si="54"/>
        <v/>
      </c>
    </row>
    <row r="703" spans="1:11" ht="15" x14ac:dyDescent="0.25">
      <c r="A703" s="1" t="str">
        <f>IF('1.1 Produksi Bersih Padi 2025'!A703="","",'1.1 Produksi Bersih Padi 2025'!A703)</f>
        <v/>
      </c>
      <c r="B703" s="31" t="str">
        <f>IF('1.1 Produksi Bersih Padi 2025'!B703="","",'1.1 Produksi Bersih Padi 2025'!B703)</f>
        <v/>
      </c>
      <c r="C703" s="31" t="str">
        <f>IF('1.1 Produksi Bersih Padi 2025'!C703="","",'1.1 Produksi Bersih Padi 2025'!C703)</f>
        <v/>
      </c>
      <c r="D703" s="1" t="str">
        <f>IF('1.1 Produksi Bersih Padi 2025'!D703="","",'1.1 Produksi Bersih Padi 2025'!D703)</f>
        <v/>
      </c>
      <c r="E703" s="1" t="str">
        <f>IF('1.1 Produksi Bersih Padi 2025'!E703="","",'1.1 Produksi Bersih Padi 2025'!E703)</f>
        <v/>
      </c>
      <c r="F703" s="28" t="str">
        <f>IF(D703="","",VLOOKUP(D703,'[1]0.1 Produksi Pangan &amp; Penduduk'!$D$5:$AQ$860,40,0))</f>
        <v/>
      </c>
      <c r="G703" s="29" t="str">
        <f t="shared" si="50"/>
        <v/>
      </c>
      <c r="H703" s="29" t="str">
        <f t="shared" si="51"/>
        <v/>
      </c>
      <c r="I703" s="29" t="str">
        <f t="shared" si="52"/>
        <v/>
      </c>
      <c r="J703" s="29" t="str">
        <f t="shared" si="53"/>
        <v/>
      </c>
      <c r="K703" s="29" t="str">
        <f t="shared" si="54"/>
        <v/>
      </c>
    </row>
    <row r="704" spans="1:11" ht="15" x14ac:dyDescent="0.25">
      <c r="A704" s="1" t="str">
        <f>IF('1.1 Produksi Bersih Padi 2025'!A704="","",'1.1 Produksi Bersih Padi 2025'!A704)</f>
        <v/>
      </c>
      <c r="B704" s="31" t="str">
        <f>IF('1.1 Produksi Bersih Padi 2025'!B704="","",'1.1 Produksi Bersih Padi 2025'!B704)</f>
        <v/>
      </c>
      <c r="C704" s="31" t="str">
        <f>IF('1.1 Produksi Bersih Padi 2025'!C704="","",'1.1 Produksi Bersih Padi 2025'!C704)</f>
        <v/>
      </c>
      <c r="D704" s="1" t="str">
        <f>IF('1.1 Produksi Bersih Padi 2025'!D704="","",'1.1 Produksi Bersih Padi 2025'!D704)</f>
        <v/>
      </c>
      <c r="E704" s="1" t="str">
        <f>IF('1.1 Produksi Bersih Padi 2025'!E704="","",'1.1 Produksi Bersih Padi 2025'!E704)</f>
        <v/>
      </c>
      <c r="F704" s="28" t="str">
        <f>IF(D704="","",VLOOKUP(D704,'[1]0.1 Produksi Pangan &amp; Penduduk'!$D$5:$AQ$860,40,0))</f>
        <v/>
      </c>
      <c r="G704" s="29" t="str">
        <f t="shared" si="50"/>
        <v/>
      </c>
      <c r="H704" s="29" t="str">
        <f t="shared" si="51"/>
        <v/>
      </c>
      <c r="I704" s="29" t="str">
        <f t="shared" si="52"/>
        <v/>
      </c>
      <c r="J704" s="29" t="str">
        <f t="shared" si="53"/>
        <v/>
      </c>
      <c r="K704" s="29" t="str">
        <f t="shared" si="54"/>
        <v/>
      </c>
    </row>
    <row r="705" spans="1:11" ht="15" x14ac:dyDescent="0.25">
      <c r="A705" s="1" t="str">
        <f>IF('1.1 Produksi Bersih Padi 2025'!A705="","",'1.1 Produksi Bersih Padi 2025'!A705)</f>
        <v/>
      </c>
      <c r="B705" s="31" t="str">
        <f>IF('1.1 Produksi Bersih Padi 2025'!B705="","",'1.1 Produksi Bersih Padi 2025'!B705)</f>
        <v/>
      </c>
      <c r="C705" s="31" t="str">
        <f>IF('1.1 Produksi Bersih Padi 2025'!C705="","",'1.1 Produksi Bersih Padi 2025'!C705)</f>
        <v/>
      </c>
      <c r="D705" s="1" t="str">
        <f>IF('1.1 Produksi Bersih Padi 2025'!D705="","",'1.1 Produksi Bersih Padi 2025'!D705)</f>
        <v/>
      </c>
      <c r="E705" s="1" t="str">
        <f>IF('1.1 Produksi Bersih Padi 2025'!E705="","",'1.1 Produksi Bersih Padi 2025'!E705)</f>
        <v/>
      </c>
      <c r="F705" s="28" t="str">
        <f>IF(D705="","",VLOOKUP(D705,'[1]0.1 Produksi Pangan &amp; Penduduk'!$D$5:$AQ$860,40,0))</f>
        <v/>
      </c>
      <c r="G705" s="29" t="str">
        <f t="shared" si="50"/>
        <v/>
      </c>
      <c r="H705" s="29" t="str">
        <f t="shared" si="51"/>
        <v/>
      </c>
      <c r="I705" s="29" t="str">
        <f t="shared" si="52"/>
        <v/>
      </c>
      <c r="J705" s="29" t="str">
        <f t="shared" si="53"/>
        <v/>
      </c>
      <c r="K705" s="29" t="str">
        <f t="shared" si="54"/>
        <v/>
      </c>
    </row>
    <row r="706" spans="1:11" ht="15" x14ac:dyDescent="0.25">
      <c r="A706" s="1" t="str">
        <f>IF('1.1 Produksi Bersih Padi 2025'!A706="","",'1.1 Produksi Bersih Padi 2025'!A706)</f>
        <v/>
      </c>
      <c r="B706" s="31" t="str">
        <f>IF('1.1 Produksi Bersih Padi 2025'!B706="","",'1.1 Produksi Bersih Padi 2025'!B706)</f>
        <v/>
      </c>
      <c r="C706" s="31" t="str">
        <f>IF('1.1 Produksi Bersih Padi 2025'!C706="","",'1.1 Produksi Bersih Padi 2025'!C706)</f>
        <v/>
      </c>
      <c r="D706" s="1" t="str">
        <f>IF('1.1 Produksi Bersih Padi 2025'!D706="","",'1.1 Produksi Bersih Padi 2025'!D706)</f>
        <v/>
      </c>
      <c r="E706" s="1" t="str">
        <f>IF('1.1 Produksi Bersih Padi 2025'!E706="","",'1.1 Produksi Bersih Padi 2025'!E706)</f>
        <v/>
      </c>
      <c r="F706" s="28" t="str">
        <f>IF(D706="","",VLOOKUP(D706,'[1]0.1 Produksi Pangan &amp; Penduduk'!$D$5:$AQ$860,40,0))</f>
        <v/>
      </c>
      <c r="G706" s="29" t="str">
        <f t="shared" si="50"/>
        <v/>
      </c>
      <c r="H706" s="29" t="str">
        <f t="shared" si="51"/>
        <v/>
      </c>
      <c r="I706" s="29" t="str">
        <f t="shared" si="52"/>
        <v/>
      </c>
      <c r="J706" s="29" t="str">
        <f t="shared" si="53"/>
        <v/>
      </c>
      <c r="K706" s="29" t="str">
        <f t="shared" si="54"/>
        <v/>
      </c>
    </row>
    <row r="707" spans="1:11" ht="15" x14ac:dyDescent="0.25">
      <c r="A707" s="1" t="str">
        <f>IF('1.1 Produksi Bersih Padi 2025'!A707="","",'1.1 Produksi Bersih Padi 2025'!A707)</f>
        <v/>
      </c>
      <c r="B707" s="31" t="str">
        <f>IF('1.1 Produksi Bersih Padi 2025'!B707="","",'1.1 Produksi Bersih Padi 2025'!B707)</f>
        <v/>
      </c>
      <c r="C707" s="31" t="str">
        <f>IF('1.1 Produksi Bersih Padi 2025'!C707="","",'1.1 Produksi Bersih Padi 2025'!C707)</f>
        <v/>
      </c>
      <c r="D707" s="1" t="str">
        <f>IF('1.1 Produksi Bersih Padi 2025'!D707="","",'1.1 Produksi Bersih Padi 2025'!D707)</f>
        <v/>
      </c>
      <c r="E707" s="1" t="str">
        <f>IF('1.1 Produksi Bersih Padi 2025'!E707="","",'1.1 Produksi Bersih Padi 2025'!E707)</f>
        <v/>
      </c>
      <c r="F707" s="28" t="str">
        <f>IF(D707="","",VLOOKUP(D707,'[1]0.1 Produksi Pangan &amp; Penduduk'!$D$5:$AQ$860,40,0))</f>
        <v/>
      </c>
      <c r="G707" s="29" t="str">
        <f t="shared" si="50"/>
        <v/>
      </c>
      <c r="H707" s="29" t="str">
        <f t="shared" si="51"/>
        <v/>
      </c>
      <c r="I707" s="29" t="str">
        <f t="shared" si="52"/>
        <v/>
      </c>
      <c r="J707" s="29" t="str">
        <f t="shared" si="53"/>
        <v/>
      </c>
      <c r="K707" s="29" t="str">
        <f t="shared" si="54"/>
        <v/>
      </c>
    </row>
    <row r="708" spans="1:11" ht="15" x14ac:dyDescent="0.25">
      <c r="A708" s="1" t="str">
        <f>IF('1.1 Produksi Bersih Padi 2025'!A708="","",'1.1 Produksi Bersih Padi 2025'!A708)</f>
        <v/>
      </c>
      <c r="B708" s="31" t="str">
        <f>IF('1.1 Produksi Bersih Padi 2025'!B708="","",'1.1 Produksi Bersih Padi 2025'!B708)</f>
        <v/>
      </c>
      <c r="C708" s="31" t="str">
        <f>IF('1.1 Produksi Bersih Padi 2025'!C708="","",'1.1 Produksi Bersih Padi 2025'!C708)</f>
        <v/>
      </c>
      <c r="D708" s="1" t="str">
        <f>IF('1.1 Produksi Bersih Padi 2025'!D708="","",'1.1 Produksi Bersih Padi 2025'!D708)</f>
        <v/>
      </c>
      <c r="E708" s="1" t="str">
        <f>IF('1.1 Produksi Bersih Padi 2025'!E708="","",'1.1 Produksi Bersih Padi 2025'!E708)</f>
        <v/>
      </c>
      <c r="F708" s="28" t="str">
        <f>IF(D708="","",VLOOKUP(D708,'[1]0.1 Produksi Pangan &amp; Penduduk'!$D$5:$AQ$860,40,0))</f>
        <v/>
      </c>
      <c r="G708" s="29" t="str">
        <f t="shared" si="50"/>
        <v/>
      </c>
      <c r="H708" s="29" t="str">
        <f t="shared" si="51"/>
        <v/>
      </c>
      <c r="I708" s="29" t="str">
        <f t="shared" si="52"/>
        <v/>
      </c>
      <c r="J708" s="29" t="str">
        <f t="shared" si="53"/>
        <v/>
      </c>
      <c r="K708" s="29" t="str">
        <f t="shared" si="54"/>
        <v/>
      </c>
    </row>
    <row r="709" spans="1:11" ht="15" x14ac:dyDescent="0.25">
      <c r="A709" s="1" t="str">
        <f>IF('1.1 Produksi Bersih Padi 2025'!A709="","",'1.1 Produksi Bersih Padi 2025'!A709)</f>
        <v/>
      </c>
      <c r="B709" s="31" t="str">
        <f>IF('1.1 Produksi Bersih Padi 2025'!B709="","",'1.1 Produksi Bersih Padi 2025'!B709)</f>
        <v/>
      </c>
      <c r="C709" s="31" t="str">
        <f>IF('1.1 Produksi Bersih Padi 2025'!C709="","",'1.1 Produksi Bersih Padi 2025'!C709)</f>
        <v/>
      </c>
      <c r="D709" s="1" t="str">
        <f>IF('1.1 Produksi Bersih Padi 2025'!D709="","",'1.1 Produksi Bersih Padi 2025'!D709)</f>
        <v/>
      </c>
      <c r="E709" s="1" t="str">
        <f>IF('1.1 Produksi Bersih Padi 2025'!E709="","",'1.1 Produksi Bersih Padi 2025'!E709)</f>
        <v/>
      </c>
      <c r="F709" s="28" t="str">
        <f>IF(D709="","",VLOOKUP(D709,'[1]0.1 Produksi Pangan &amp; Penduduk'!$D$5:$AQ$860,40,0))</f>
        <v/>
      </c>
      <c r="G709" s="29" t="str">
        <f t="shared" si="50"/>
        <v/>
      </c>
      <c r="H709" s="29" t="str">
        <f t="shared" si="51"/>
        <v/>
      </c>
      <c r="I709" s="29" t="str">
        <f t="shared" si="52"/>
        <v/>
      </c>
      <c r="J709" s="29" t="str">
        <f t="shared" si="53"/>
        <v/>
      </c>
      <c r="K709" s="29" t="str">
        <f t="shared" si="54"/>
        <v/>
      </c>
    </row>
    <row r="710" spans="1:11" ht="15" x14ac:dyDescent="0.25">
      <c r="A710" s="1" t="str">
        <f>IF('1.1 Produksi Bersih Padi 2025'!A710="","",'1.1 Produksi Bersih Padi 2025'!A710)</f>
        <v/>
      </c>
      <c r="B710" s="31" t="str">
        <f>IF('1.1 Produksi Bersih Padi 2025'!B710="","",'1.1 Produksi Bersih Padi 2025'!B710)</f>
        <v/>
      </c>
      <c r="C710" s="31" t="str">
        <f>IF('1.1 Produksi Bersih Padi 2025'!C710="","",'1.1 Produksi Bersih Padi 2025'!C710)</f>
        <v/>
      </c>
      <c r="D710" s="1" t="str">
        <f>IF('1.1 Produksi Bersih Padi 2025'!D710="","",'1.1 Produksi Bersih Padi 2025'!D710)</f>
        <v/>
      </c>
      <c r="E710" s="1" t="str">
        <f>IF('1.1 Produksi Bersih Padi 2025'!E710="","",'1.1 Produksi Bersih Padi 2025'!E710)</f>
        <v/>
      </c>
      <c r="F710" s="28" t="str">
        <f>IF(D710="","",VLOOKUP(D710,'[1]0.1 Produksi Pangan &amp; Penduduk'!$D$5:$AQ$860,40,0))</f>
        <v/>
      </c>
      <c r="G710" s="29" t="str">
        <f t="shared" ref="G710:G773" si="55">IF(F710="","",F710*0%)</f>
        <v/>
      </c>
      <c r="H710" s="29" t="str">
        <f t="shared" ref="H710:H773" si="56">IF(F710="","",F710*0%)</f>
        <v/>
      </c>
      <c r="I710" s="29" t="str">
        <f t="shared" ref="I710:I773" si="57">IF(F710="","",F710*1.11%)</f>
        <v/>
      </c>
      <c r="J710" s="29" t="str">
        <f t="shared" ref="J710:J773" si="58">IF(F710="","",F710-(G710+H710+I710))</f>
        <v/>
      </c>
      <c r="K710" s="29" t="str">
        <f t="shared" ref="K710:K773" si="59">IF(J710="","",J710*0.134)</f>
        <v/>
      </c>
    </row>
    <row r="711" spans="1:11" ht="15" x14ac:dyDescent="0.25">
      <c r="A711" s="1" t="str">
        <f>IF('1.1 Produksi Bersih Padi 2025'!A711="","",'1.1 Produksi Bersih Padi 2025'!A711)</f>
        <v/>
      </c>
      <c r="B711" s="31" t="str">
        <f>IF('1.1 Produksi Bersih Padi 2025'!B711="","",'1.1 Produksi Bersih Padi 2025'!B711)</f>
        <v/>
      </c>
      <c r="C711" s="31" t="str">
        <f>IF('1.1 Produksi Bersih Padi 2025'!C711="","",'1.1 Produksi Bersih Padi 2025'!C711)</f>
        <v/>
      </c>
      <c r="D711" s="1" t="str">
        <f>IF('1.1 Produksi Bersih Padi 2025'!D711="","",'1.1 Produksi Bersih Padi 2025'!D711)</f>
        <v/>
      </c>
      <c r="E711" s="1" t="str">
        <f>IF('1.1 Produksi Bersih Padi 2025'!E711="","",'1.1 Produksi Bersih Padi 2025'!E711)</f>
        <v/>
      </c>
      <c r="F711" s="28" t="str">
        <f>IF(D711="","",VLOOKUP(D711,'[1]0.1 Produksi Pangan &amp; Penduduk'!$D$5:$AQ$860,40,0))</f>
        <v/>
      </c>
      <c r="G711" s="29" t="str">
        <f t="shared" si="55"/>
        <v/>
      </c>
      <c r="H711" s="29" t="str">
        <f t="shared" si="56"/>
        <v/>
      </c>
      <c r="I711" s="29" t="str">
        <f t="shared" si="57"/>
        <v/>
      </c>
      <c r="J711" s="29" t="str">
        <f t="shared" si="58"/>
        <v/>
      </c>
      <c r="K711" s="29" t="str">
        <f t="shared" si="59"/>
        <v/>
      </c>
    </row>
    <row r="712" spans="1:11" ht="15" x14ac:dyDescent="0.25">
      <c r="A712" s="1" t="str">
        <f>IF('1.1 Produksi Bersih Padi 2025'!A712="","",'1.1 Produksi Bersih Padi 2025'!A712)</f>
        <v/>
      </c>
      <c r="B712" s="31" t="str">
        <f>IF('1.1 Produksi Bersih Padi 2025'!B712="","",'1.1 Produksi Bersih Padi 2025'!B712)</f>
        <v/>
      </c>
      <c r="C712" s="31" t="str">
        <f>IF('1.1 Produksi Bersih Padi 2025'!C712="","",'1.1 Produksi Bersih Padi 2025'!C712)</f>
        <v/>
      </c>
      <c r="D712" s="1" t="str">
        <f>IF('1.1 Produksi Bersih Padi 2025'!D712="","",'1.1 Produksi Bersih Padi 2025'!D712)</f>
        <v/>
      </c>
      <c r="E712" s="1" t="str">
        <f>IF('1.1 Produksi Bersih Padi 2025'!E712="","",'1.1 Produksi Bersih Padi 2025'!E712)</f>
        <v/>
      </c>
      <c r="F712" s="28" t="str">
        <f>IF(D712="","",VLOOKUP(D712,'[1]0.1 Produksi Pangan &amp; Penduduk'!$D$5:$AQ$860,40,0))</f>
        <v/>
      </c>
      <c r="G712" s="29" t="str">
        <f t="shared" si="55"/>
        <v/>
      </c>
      <c r="H712" s="29" t="str">
        <f t="shared" si="56"/>
        <v/>
      </c>
      <c r="I712" s="29" t="str">
        <f t="shared" si="57"/>
        <v/>
      </c>
      <c r="J712" s="29" t="str">
        <f t="shared" si="58"/>
        <v/>
      </c>
      <c r="K712" s="29" t="str">
        <f t="shared" si="59"/>
        <v/>
      </c>
    </row>
    <row r="713" spans="1:11" ht="15" x14ac:dyDescent="0.25">
      <c r="A713" s="1" t="str">
        <f>IF('1.1 Produksi Bersih Padi 2025'!A713="","",'1.1 Produksi Bersih Padi 2025'!A713)</f>
        <v/>
      </c>
      <c r="B713" s="31" t="str">
        <f>IF('1.1 Produksi Bersih Padi 2025'!B713="","",'1.1 Produksi Bersih Padi 2025'!B713)</f>
        <v/>
      </c>
      <c r="C713" s="31" t="str">
        <f>IF('1.1 Produksi Bersih Padi 2025'!C713="","",'1.1 Produksi Bersih Padi 2025'!C713)</f>
        <v/>
      </c>
      <c r="D713" s="1" t="str">
        <f>IF('1.1 Produksi Bersih Padi 2025'!D713="","",'1.1 Produksi Bersih Padi 2025'!D713)</f>
        <v/>
      </c>
      <c r="E713" s="1" t="str">
        <f>IF('1.1 Produksi Bersih Padi 2025'!E713="","",'1.1 Produksi Bersih Padi 2025'!E713)</f>
        <v/>
      </c>
      <c r="F713" s="28" t="str">
        <f>IF(D713="","",VLOOKUP(D713,'[1]0.1 Produksi Pangan &amp; Penduduk'!$D$5:$AQ$860,40,0))</f>
        <v/>
      </c>
      <c r="G713" s="29" t="str">
        <f t="shared" si="55"/>
        <v/>
      </c>
      <c r="H713" s="29" t="str">
        <f t="shared" si="56"/>
        <v/>
      </c>
      <c r="I713" s="29" t="str">
        <f t="shared" si="57"/>
        <v/>
      </c>
      <c r="J713" s="29" t="str">
        <f t="shared" si="58"/>
        <v/>
      </c>
      <c r="K713" s="29" t="str">
        <f t="shared" si="59"/>
        <v/>
      </c>
    </row>
    <row r="714" spans="1:11" ht="15" x14ac:dyDescent="0.25">
      <c r="A714" s="1" t="str">
        <f>IF('1.1 Produksi Bersih Padi 2025'!A714="","",'1.1 Produksi Bersih Padi 2025'!A714)</f>
        <v/>
      </c>
      <c r="B714" s="31" t="str">
        <f>IF('1.1 Produksi Bersih Padi 2025'!B714="","",'1.1 Produksi Bersih Padi 2025'!B714)</f>
        <v/>
      </c>
      <c r="C714" s="31" t="str">
        <f>IF('1.1 Produksi Bersih Padi 2025'!C714="","",'1.1 Produksi Bersih Padi 2025'!C714)</f>
        <v/>
      </c>
      <c r="D714" s="1" t="str">
        <f>IF('1.1 Produksi Bersih Padi 2025'!D714="","",'1.1 Produksi Bersih Padi 2025'!D714)</f>
        <v/>
      </c>
      <c r="E714" s="1" t="str">
        <f>IF('1.1 Produksi Bersih Padi 2025'!E714="","",'1.1 Produksi Bersih Padi 2025'!E714)</f>
        <v/>
      </c>
      <c r="F714" s="28" t="str">
        <f>IF(D714="","",VLOOKUP(D714,'[1]0.1 Produksi Pangan &amp; Penduduk'!$D$5:$AQ$860,40,0))</f>
        <v/>
      </c>
      <c r="G714" s="29" t="str">
        <f t="shared" si="55"/>
        <v/>
      </c>
      <c r="H714" s="29" t="str">
        <f t="shared" si="56"/>
        <v/>
      </c>
      <c r="I714" s="29" t="str">
        <f t="shared" si="57"/>
        <v/>
      </c>
      <c r="J714" s="29" t="str">
        <f t="shared" si="58"/>
        <v/>
      </c>
      <c r="K714" s="29" t="str">
        <f t="shared" si="59"/>
        <v/>
      </c>
    </row>
    <row r="715" spans="1:11" ht="15" x14ac:dyDescent="0.25">
      <c r="A715" s="1" t="str">
        <f>IF('1.1 Produksi Bersih Padi 2025'!A715="","",'1.1 Produksi Bersih Padi 2025'!A715)</f>
        <v/>
      </c>
      <c r="B715" s="31" t="str">
        <f>IF('1.1 Produksi Bersih Padi 2025'!B715="","",'1.1 Produksi Bersih Padi 2025'!B715)</f>
        <v/>
      </c>
      <c r="C715" s="31" t="str">
        <f>IF('1.1 Produksi Bersih Padi 2025'!C715="","",'1.1 Produksi Bersih Padi 2025'!C715)</f>
        <v/>
      </c>
      <c r="D715" s="1" t="str">
        <f>IF('1.1 Produksi Bersih Padi 2025'!D715="","",'1.1 Produksi Bersih Padi 2025'!D715)</f>
        <v/>
      </c>
      <c r="E715" s="1" t="str">
        <f>IF('1.1 Produksi Bersih Padi 2025'!E715="","",'1.1 Produksi Bersih Padi 2025'!E715)</f>
        <v/>
      </c>
      <c r="F715" s="28" t="str">
        <f>IF(D715="","",VLOOKUP(D715,'[1]0.1 Produksi Pangan &amp; Penduduk'!$D$5:$AQ$860,40,0))</f>
        <v/>
      </c>
      <c r="G715" s="29" t="str">
        <f t="shared" si="55"/>
        <v/>
      </c>
      <c r="H715" s="29" t="str">
        <f t="shared" si="56"/>
        <v/>
      </c>
      <c r="I715" s="29" t="str">
        <f t="shared" si="57"/>
        <v/>
      </c>
      <c r="J715" s="29" t="str">
        <f t="shared" si="58"/>
        <v/>
      </c>
      <c r="K715" s="29" t="str">
        <f t="shared" si="59"/>
        <v/>
      </c>
    </row>
    <row r="716" spans="1:11" ht="15" x14ac:dyDescent="0.25">
      <c r="A716" s="1" t="str">
        <f>IF('1.1 Produksi Bersih Padi 2025'!A716="","",'1.1 Produksi Bersih Padi 2025'!A716)</f>
        <v/>
      </c>
      <c r="B716" s="31" t="str">
        <f>IF('1.1 Produksi Bersih Padi 2025'!B716="","",'1.1 Produksi Bersih Padi 2025'!B716)</f>
        <v/>
      </c>
      <c r="C716" s="31" t="str">
        <f>IF('1.1 Produksi Bersih Padi 2025'!C716="","",'1.1 Produksi Bersih Padi 2025'!C716)</f>
        <v/>
      </c>
      <c r="D716" s="1" t="str">
        <f>IF('1.1 Produksi Bersih Padi 2025'!D716="","",'1.1 Produksi Bersih Padi 2025'!D716)</f>
        <v/>
      </c>
      <c r="E716" s="1" t="str">
        <f>IF('1.1 Produksi Bersih Padi 2025'!E716="","",'1.1 Produksi Bersih Padi 2025'!E716)</f>
        <v/>
      </c>
      <c r="F716" s="28" t="str">
        <f>IF(D716="","",VLOOKUP(D716,'[1]0.1 Produksi Pangan &amp; Penduduk'!$D$5:$AQ$860,40,0))</f>
        <v/>
      </c>
      <c r="G716" s="29" t="str">
        <f t="shared" si="55"/>
        <v/>
      </c>
      <c r="H716" s="29" t="str">
        <f t="shared" si="56"/>
        <v/>
      </c>
      <c r="I716" s="29" t="str">
        <f t="shared" si="57"/>
        <v/>
      </c>
      <c r="J716" s="29" t="str">
        <f t="shared" si="58"/>
        <v/>
      </c>
      <c r="K716" s="29" t="str">
        <f t="shared" si="59"/>
        <v/>
      </c>
    </row>
    <row r="717" spans="1:11" ht="15" x14ac:dyDescent="0.25">
      <c r="A717" s="1" t="str">
        <f>IF('1.1 Produksi Bersih Padi 2025'!A717="","",'1.1 Produksi Bersih Padi 2025'!A717)</f>
        <v/>
      </c>
      <c r="B717" s="31" t="str">
        <f>IF('1.1 Produksi Bersih Padi 2025'!B717="","",'1.1 Produksi Bersih Padi 2025'!B717)</f>
        <v/>
      </c>
      <c r="C717" s="31" t="str">
        <f>IF('1.1 Produksi Bersih Padi 2025'!C717="","",'1.1 Produksi Bersih Padi 2025'!C717)</f>
        <v/>
      </c>
      <c r="D717" s="1" t="str">
        <f>IF('1.1 Produksi Bersih Padi 2025'!D717="","",'1.1 Produksi Bersih Padi 2025'!D717)</f>
        <v/>
      </c>
      <c r="E717" s="1" t="str">
        <f>IF('1.1 Produksi Bersih Padi 2025'!E717="","",'1.1 Produksi Bersih Padi 2025'!E717)</f>
        <v/>
      </c>
      <c r="F717" s="28" t="str">
        <f>IF(D717="","",VLOOKUP(D717,'[1]0.1 Produksi Pangan &amp; Penduduk'!$D$5:$AQ$860,40,0))</f>
        <v/>
      </c>
      <c r="G717" s="29" t="str">
        <f t="shared" si="55"/>
        <v/>
      </c>
      <c r="H717" s="29" t="str">
        <f t="shared" si="56"/>
        <v/>
      </c>
      <c r="I717" s="29" t="str">
        <f t="shared" si="57"/>
        <v/>
      </c>
      <c r="J717" s="29" t="str">
        <f t="shared" si="58"/>
        <v/>
      </c>
      <c r="K717" s="29" t="str">
        <f t="shared" si="59"/>
        <v/>
      </c>
    </row>
    <row r="718" spans="1:11" ht="15" x14ac:dyDescent="0.25">
      <c r="A718" s="1" t="str">
        <f>IF('1.1 Produksi Bersih Padi 2025'!A718="","",'1.1 Produksi Bersih Padi 2025'!A718)</f>
        <v/>
      </c>
      <c r="B718" s="31" t="str">
        <f>IF('1.1 Produksi Bersih Padi 2025'!B718="","",'1.1 Produksi Bersih Padi 2025'!B718)</f>
        <v/>
      </c>
      <c r="C718" s="31" t="str">
        <f>IF('1.1 Produksi Bersih Padi 2025'!C718="","",'1.1 Produksi Bersih Padi 2025'!C718)</f>
        <v/>
      </c>
      <c r="D718" s="1" t="str">
        <f>IF('1.1 Produksi Bersih Padi 2025'!D718="","",'1.1 Produksi Bersih Padi 2025'!D718)</f>
        <v/>
      </c>
      <c r="E718" s="1" t="str">
        <f>IF('1.1 Produksi Bersih Padi 2025'!E718="","",'1.1 Produksi Bersih Padi 2025'!E718)</f>
        <v/>
      </c>
      <c r="F718" s="28" t="str">
        <f>IF(D718="","",VLOOKUP(D718,'[1]0.1 Produksi Pangan &amp; Penduduk'!$D$5:$AQ$860,40,0))</f>
        <v/>
      </c>
      <c r="G718" s="29" t="str">
        <f t="shared" si="55"/>
        <v/>
      </c>
      <c r="H718" s="29" t="str">
        <f t="shared" si="56"/>
        <v/>
      </c>
      <c r="I718" s="29" t="str">
        <f t="shared" si="57"/>
        <v/>
      </c>
      <c r="J718" s="29" t="str">
        <f t="shared" si="58"/>
        <v/>
      </c>
      <c r="K718" s="29" t="str">
        <f t="shared" si="59"/>
        <v/>
      </c>
    </row>
    <row r="719" spans="1:11" ht="15" x14ac:dyDescent="0.25">
      <c r="A719" s="1" t="str">
        <f>IF('1.1 Produksi Bersih Padi 2025'!A719="","",'1.1 Produksi Bersih Padi 2025'!A719)</f>
        <v/>
      </c>
      <c r="B719" s="31" t="str">
        <f>IF('1.1 Produksi Bersih Padi 2025'!B719="","",'1.1 Produksi Bersih Padi 2025'!B719)</f>
        <v/>
      </c>
      <c r="C719" s="31" t="str">
        <f>IF('1.1 Produksi Bersih Padi 2025'!C719="","",'1.1 Produksi Bersih Padi 2025'!C719)</f>
        <v/>
      </c>
      <c r="D719" s="1" t="str">
        <f>IF('1.1 Produksi Bersih Padi 2025'!D719="","",'1.1 Produksi Bersih Padi 2025'!D719)</f>
        <v/>
      </c>
      <c r="E719" s="1" t="str">
        <f>IF('1.1 Produksi Bersih Padi 2025'!E719="","",'1.1 Produksi Bersih Padi 2025'!E719)</f>
        <v/>
      </c>
      <c r="F719" s="28" t="str">
        <f>IF(D719="","",VLOOKUP(D719,'[1]0.1 Produksi Pangan &amp; Penduduk'!$D$5:$AQ$860,40,0))</f>
        <v/>
      </c>
      <c r="G719" s="29" t="str">
        <f t="shared" si="55"/>
        <v/>
      </c>
      <c r="H719" s="29" t="str">
        <f t="shared" si="56"/>
        <v/>
      </c>
      <c r="I719" s="29" t="str">
        <f t="shared" si="57"/>
        <v/>
      </c>
      <c r="J719" s="29" t="str">
        <f t="shared" si="58"/>
        <v/>
      </c>
      <c r="K719" s="29" t="str">
        <f t="shared" si="59"/>
        <v/>
      </c>
    </row>
    <row r="720" spans="1:11" ht="15" x14ac:dyDescent="0.25">
      <c r="A720" s="1" t="str">
        <f>IF('1.1 Produksi Bersih Padi 2025'!A720="","",'1.1 Produksi Bersih Padi 2025'!A720)</f>
        <v/>
      </c>
      <c r="B720" s="31" t="str">
        <f>IF('1.1 Produksi Bersih Padi 2025'!B720="","",'1.1 Produksi Bersih Padi 2025'!B720)</f>
        <v/>
      </c>
      <c r="C720" s="31" t="str">
        <f>IF('1.1 Produksi Bersih Padi 2025'!C720="","",'1.1 Produksi Bersih Padi 2025'!C720)</f>
        <v/>
      </c>
      <c r="D720" s="1" t="str">
        <f>IF('1.1 Produksi Bersih Padi 2025'!D720="","",'1.1 Produksi Bersih Padi 2025'!D720)</f>
        <v/>
      </c>
      <c r="E720" s="1" t="str">
        <f>IF('1.1 Produksi Bersih Padi 2025'!E720="","",'1.1 Produksi Bersih Padi 2025'!E720)</f>
        <v/>
      </c>
      <c r="F720" s="28" t="str">
        <f>IF(D720="","",VLOOKUP(D720,'[1]0.1 Produksi Pangan &amp; Penduduk'!$D$5:$AQ$860,40,0))</f>
        <v/>
      </c>
      <c r="G720" s="29" t="str">
        <f t="shared" si="55"/>
        <v/>
      </c>
      <c r="H720" s="29" t="str">
        <f t="shared" si="56"/>
        <v/>
      </c>
      <c r="I720" s="29" t="str">
        <f t="shared" si="57"/>
        <v/>
      </c>
      <c r="J720" s="29" t="str">
        <f t="shared" si="58"/>
        <v/>
      </c>
      <c r="K720" s="29" t="str">
        <f t="shared" si="59"/>
        <v/>
      </c>
    </row>
    <row r="721" spans="1:11" ht="15" x14ac:dyDescent="0.25">
      <c r="A721" s="1" t="str">
        <f>IF('1.1 Produksi Bersih Padi 2025'!A721="","",'1.1 Produksi Bersih Padi 2025'!A721)</f>
        <v/>
      </c>
      <c r="B721" s="31" t="str">
        <f>IF('1.1 Produksi Bersih Padi 2025'!B721="","",'1.1 Produksi Bersih Padi 2025'!B721)</f>
        <v/>
      </c>
      <c r="C721" s="31" t="str">
        <f>IF('1.1 Produksi Bersih Padi 2025'!C721="","",'1.1 Produksi Bersih Padi 2025'!C721)</f>
        <v/>
      </c>
      <c r="D721" s="1" t="str">
        <f>IF('1.1 Produksi Bersih Padi 2025'!D721="","",'1.1 Produksi Bersih Padi 2025'!D721)</f>
        <v/>
      </c>
      <c r="E721" s="1" t="str">
        <f>IF('1.1 Produksi Bersih Padi 2025'!E721="","",'1.1 Produksi Bersih Padi 2025'!E721)</f>
        <v/>
      </c>
      <c r="F721" s="28" t="str">
        <f>IF(D721="","",VLOOKUP(D721,'[1]0.1 Produksi Pangan &amp; Penduduk'!$D$5:$AQ$860,40,0))</f>
        <v/>
      </c>
      <c r="G721" s="29" t="str">
        <f t="shared" si="55"/>
        <v/>
      </c>
      <c r="H721" s="29" t="str">
        <f t="shared" si="56"/>
        <v/>
      </c>
      <c r="I721" s="29" t="str">
        <f t="shared" si="57"/>
        <v/>
      </c>
      <c r="J721" s="29" t="str">
        <f t="shared" si="58"/>
        <v/>
      </c>
      <c r="K721" s="29" t="str">
        <f t="shared" si="59"/>
        <v/>
      </c>
    </row>
    <row r="722" spans="1:11" ht="15" x14ac:dyDescent="0.25">
      <c r="A722" s="1" t="str">
        <f>IF('1.1 Produksi Bersih Padi 2025'!A722="","",'1.1 Produksi Bersih Padi 2025'!A722)</f>
        <v/>
      </c>
      <c r="B722" s="31" t="str">
        <f>IF('1.1 Produksi Bersih Padi 2025'!B722="","",'1.1 Produksi Bersih Padi 2025'!B722)</f>
        <v/>
      </c>
      <c r="C722" s="31" t="str">
        <f>IF('1.1 Produksi Bersih Padi 2025'!C722="","",'1.1 Produksi Bersih Padi 2025'!C722)</f>
        <v/>
      </c>
      <c r="D722" s="1" t="str">
        <f>IF('1.1 Produksi Bersih Padi 2025'!D722="","",'1.1 Produksi Bersih Padi 2025'!D722)</f>
        <v/>
      </c>
      <c r="E722" s="1" t="str">
        <f>IF('1.1 Produksi Bersih Padi 2025'!E722="","",'1.1 Produksi Bersih Padi 2025'!E722)</f>
        <v/>
      </c>
      <c r="F722" s="28" t="str">
        <f>IF(D722="","",VLOOKUP(D722,'[1]0.1 Produksi Pangan &amp; Penduduk'!$D$5:$AQ$860,40,0))</f>
        <v/>
      </c>
      <c r="G722" s="29" t="str">
        <f t="shared" si="55"/>
        <v/>
      </c>
      <c r="H722" s="29" t="str">
        <f t="shared" si="56"/>
        <v/>
      </c>
      <c r="I722" s="29" t="str">
        <f t="shared" si="57"/>
        <v/>
      </c>
      <c r="J722" s="29" t="str">
        <f t="shared" si="58"/>
        <v/>
      </c>
      <c r="K722" s="29" t="str">
        <f t="shared" si="59"/>
        <v/>
      </c>
    </row>
    <row r="723" spans="1:11" ht="15" x14ac:dyDescent="0.25">
      <c r="A723" s="1" t="str">
        <f>IF('1.1 Produksi Bersih Padi 2025'!A723="","",'1.1 Produksi Bersih Padi 2025'!A723)</f>
        <v/>
      </c>
      <c r="B723" s="31" t="str">
        <f>IF('1.1 Produksi Bersih Padi 2025'!B723="","",'1.1 Produksi Bersih Padi 2025'!B723)</f>
        <v/>
      </c>
      <c r="C723" s="31" t="str">
        <f>IF('1.1 Produksi Bersih Padi 2025'!C723="","",'1.1 Produksi Bersih Padi 2025'!C723)</f>
        <v/>
      </c>
      <c r="D723" s="1" t="str">
        <f>IF('1.1 Produksi Bersih Padi 2025'!D723="","",'1.1 Produksi Bersih Padi 2025'!D723)</f>
        <v/>
      </c>
      <c r="E723" s="1" t="str">
        <f>IF('1.1 Produksi Bersih Padi 2025'!E723="","",'1.1 Produksi Bersih Padi 2025'!E723)</f>
        <v/>
      </c>
      <c r="F723" s="28" t="str">
        <f>IF(D723="","",VLOOKUP(D723,'[1]0.1 Produksi Pangan &amp; Penduduk'!$D$5:$AQ$860,40,0))</f>
        <v/>
      </c>
      <c r="G723" s="29" t="str">
        <f t="shared" si="55"/>
        <v/>
      </c>
      <c r="H723" s="29" t="str">
        <f t="shared" si="56"/>
        <v/>
      </c>
      <c r="I723" s="29" t="str">
        <f t="shared" si="57"/>
        <v/>
      </c>
      <c r="J723" s="29" t="str">
        <f t="shared" si="58"/>
        <v/>
      </c>
      <c r="K723" s="29" t="str">
        <f t="shared" si="59"/>
        <v/>
      </c>
    </row>
    <row r="724" spans="1:11" ht="15" x14ac:dyDescent="0.25">
      <c r="A724" s="1" t="str">
        <f>IF('1.1 Produksi Bersih Padi 2025'!A724="","",'1.1 Produksi Bersih Padi 2025'!A724)</f>
        <v/>
      </c>
      <c r="B724" s="31" t="str">
        <f>IF('1.1 Produksi Bersih Padi 2025'!B724="","",'1.1 Produksi Bersih Padi 2025'!B724)</f>
        <v/>
      </c>
      <c r="C724" s="31" t="str">
        <f>IF('1.1 Produksi Bersih Padi 2025'!C724="","",'1.1 Produksi Bersih Padi 2025'!C724)</f>
        <v/>
      </c>
      <c r="D724" s="1" t="str">
        <f>IF('1.1 Produksi Bersih Padi 2025'!D724="","",'1.1 Produksi Bersih Padi 2025'!D724)</f>
        <v/>
      </c>
      <c r="E724" s="1" t="str">
        <f>IF('1.1 Produksi Bersih Padi 2025'!E724="","",'1.1 Produksi Bersih Padi 2025'!E724)</f>
        <v/>
      </c>
      <c r="F724" s="28" t="str">
        <f>IF(D724="","",VLOOKUP(D724,'[1]0.1 Produksi Pangan &amp; Penduduk'!$D$5:$AQ$860,40,0))</f>
        <v/>
      </c>
      <c r="G724" s="29" t="str">
        <f t="shared" si="55"/>
        <v/>
      </c>
      <c r="H724" s="29" t="str">
        <f t="shared" si="56"/>
        <v/>
      </c>
      <c r="I724" s="29" t="str">
        <f t="shared" si="57"/>
        <v/>
      </c>
      <c r="J724" s="29" t="str">
        <f t="shared" si="58"/>
        <v/>
      </c>
      <c r="K724" s="29" t="str">
        <f t="shared" si="59"/>
        <v/>
      </c>
    </row>
    <row r="725" spans="1:11" ht="15" x14ac:dyDescent="0.25">
      <c r="A725" s="1" t="str">
        <f>IF('1.1 Produksi Bersih Padi 2025'!A725="","",'1.1 Produksi Bersih Padi 2025'!A725)</f>
        <v/>
      </c>
      <c r="B725" s="31" t="str">
        <f>IF('1.1 Produksi Bersih Padi 2025'!B725="","",'1.1 Produksi Bersih Padi 2025'!B725)</f>
        <v/>
      </c>
      <c r="C725" s="31" t="str">
        <f>IF('1.1 Produksi Bersih Padi 2025'!C725="","",'1.1 Produksi Bersih Padi 2025'!C725)</f>
        <v/>
      </c>
      <c r="D725" s="1" t="str">
        <f>IF('1.1 Produksi Bersih Padi 2025'!D725="","",'1.1 Produksi Bersih Padi 2025'!D725)</f>
        <v/>
      </c>
      <c r="E725" s="1" t="str">
        <f>IF('1.1 Produksi Bersih Padi 2025'!E725="","",'1.1 Produksi Bersih Padi 2025'!E725)</f>
        <v/>
      </c>
      <c r="F725" s="28" t="str">
        <f>IF(D725="","",VLOOKUP(D725,'[1]0.1 Produksi Pangan &amp; Penduduk'!$D$5:$AQ$860,40,0))</f>
        <v/>
      </c>
      <c r="G725" s="29" t="str">
        <f t="shared" si="55"/>
        <v/>
      </c>
      <c r="H725" s="29" t="str">
        <f t="shared" si="56"/>
        <v/>
      </c>
      <c r="I725" s="29" t="str">
        <f t="shared" si="57"/>
        <v/>
      </c>
      <c r="J725" s="29" t="str">
        <f t="shared" si="58"/>
        <v/>
      </c>
      <c r="K725" s="29" t="str">
        <f t="shared" si="59"/>
        <v/>
      </c>
    </row>
    <row r="726" spans="1:11" ht="15" x14ac:dyDescent="0.25">
      <c r="A726" s="1" t="str">
        <f>IF('1.1 Produksi Bersih Padi 2025'!A726="","",'1.1 Produksi Bersih Padi 2025'!A726)</f>
        <v/>
      </c>
      <c r="B726" s="31" t="str">
        <f>IF('1.1 Produksi Bersih Padi 2025'!B726="","",'1.1 Produksi Bersih Padi 2025'!B726)</f>
        <v/>
      </c>
      <c r="C726" s="31" t="str">
        <f>IF('1.1 Produksi Bersih Padi 2025'!C726="","",'1.1 Produksi Bersih Padi 2025'!C726)</f>
        <v/>
      </c>
      <c r="D726" s="1" t="str">
        <f>IF('1.1 Produksi Bersih Padi 2025'!D726="","",'1.1 Produksi Bersih Padi 2025'!D726)</f>
        <v/>
      </c>
      <c r="E726" s="1" t="str">
        <f>IF('1.1 Produksi Bersih Padi 2025'!E726="","",'1.1 Produksi Bersih Padi 2025'!E726)</f>
        <v/>
      </c>
      <c r="F726" s="28" t="str">
        <f>IF(D726="","",VLOOKUP(D726,'[1]0.1 Produksi Pangan &amp; Penduduk'!$D$5:$AQ$860,40,0))</f>
        <v/>
      </c>
      <c r="G726" s="29" t="str">
        <f t="shared" si="55"/>
        <v/>
      </c>
      <c r="H726" s="29" t="str">
        <f t="shared" si="56"/>
        <v/>
      </c>
      <c r="I726" s="29" t="str">
        <f t="shared" si="57"/>
        <v/>
      </c>
      <c r="J726" s="29" t="str">
        <f t="shared" si="58"/>
        <v/>
      </c>
      <c r="K726" s="29" t="str">
        <f t="shared" si="59"/>
        <v/>
      </c>
    </row>
    <row r="727" spans="1:11" ht="15" x14ac:dyDescent="0.25">
      <c r="A727" s="1" t="str">
        <f>IF('1.1 Produksi Bersih Padi 2025'!A727="","",'1.1 Produksi Bersih Padi 2025'!A727)</f>
        <v/>
      </c>
      <c r="B727" s="31" t="str">
        <f>IF('1.1 Produksi Bersih Padi 2025'!B727="","",'1.1 Produksi Bersih Padi 2025'!B727)</f>
        <v/>
      </c>
      <c r="C727" s="31" t="str">
        <f>IF('1.1 Produksi Bersih Padi 2025'!C727="","",'1.1 Produksi Bersih Padi 2025'!C727)</f>
        <v/>
      </c>
      <c r="D727" s="1" t="str">
        <f>IF('1.1 Produksi Bersih Padi 2025'!D727="","",'1.1 Produksi Bersih Padi 2025'!D727)</f>
        <v/>
      </c>
      <c r="E727" s="1" t="str">
        <f>IF('1.1 Produksi Bersih Padi 2025'!E727="","",'1.1 Produksi Bersih Padi 2025'!E727)</f>
        <v/>
      </c>
      <c r="F727" s="28" t="str">
        <f>IF(D727="","",VLOOKUP(D727,'[1]0.1 Produksi Pangan &amp; Penduduk'!$D$5:$AQ$860,40,0))</f>
        <v/>
      </c>
      <c r="G727" s="29" t="str">
        <f t="shared" si="55"/>
        <v/>
      </c>
      <c r="H727" s="29" t="str">
        <f t="shared" si="56"/>
        <v/>
      </c>
      <c r="I727" s="29" t="str">
        <f t="shared" si="57"/>
        <v/>
      </c>
      <c r="J727" s="29" t="str">
        <f t="shared" si="58"/>
        <v/>
      </c>
      <c r="K727" s="29" t="str">
        <f t="shared" si="59"/>
        <v/>
      </c>
    </row>
    <row r="728" spans="1:11" ht="15" x14ac:dyDescent="0.25">
      <c r="A728" s="1" t="str">
        <f>IF('1.1 Produksi Bersih Padi 2025'!A728="","",'1.1 Produksi Bersih Padi 2025'!A728)</f>
        <v/>
      </c>
      <c r="B728" s="31" t="str">
        <f>IF('1.1 Produksi Bersih Padi 2025'!B728="","",'1.1 Produksi Bersih Padi 2025'!B728)</f>
        <v/>
      </c>
      <c r="C728" s="31" t="str">
        <f>IF('1.1 Produksi Bersih Padi 2025'!C728="","",'1.1 Produksi Bersih Padi 2025'!C728)</f>
        <v/>
      </c>
      <c r="D728" s="1" t="str">
        <f>IF('1.1 Produksi Bersih Padi 2025'!D728="","",'1.1 Produksi Bersih Padi 2025'!D728)</f>
        <v/>
      </c>
      <c r="E728" s="1" t="str">
        <f>IF('1.1 Produksi Bersih Padi 2025'!E728="","",'1.1 Produksi Bersih Padi 2025'!E728)</f>
        <v/>
      </c>
      <c r="F728" s="28" t="str">
        <f>IF(D728="","",VLOOKUP(D728,'[1]0.1 Produksi Pangan &amp; Penduduk'!$D$5:$AQ$860,40,0))</f>
        <v/>
      </c>
      <c r="G728" s="29" t="str">
        <f t="shared" si="55"/>
        <v/>
      </c>
      <c r="H728" s="29" t="str">
        <f t="shared" si="56"/>
        <v/>
      </c>
      <c r="I728" s="29" t="str">
        <f t="shared" si="57"/>
        <v/>
      </c>
      <c r="J728" s="29" t="str">
        <f t="shared" si="58"/>
        <v/>
      </c>
      <c r="K728" s="29" t="str">
        <f t="shared" si="59"/>
        <v/>
      </c>
    </row>
    <row r="729" spans="1:11" ht="15" x14ac:dyDescent="0.25">
      <c r="A729" s="1" t="str">
        <f>IF('1.1 Produksi Bersih Padi 2025'!A729="","",'1.1 Produksi Bersih Padi 2025'!A729)</f>
        <v/>
      </c>
      <c r="B729" s="31" t="str">
        <f>IF('1.1 Produksi Bersih Padi 2025'!B729="","",'1.1 Produksi Bersih Padi 2025'!B729)</f>
        <v/>
      </c>
      <c r="C729" s="31" t="str">
        <f>IF('1.1 Produksi Bersih Padi 2025'!C729="","",'1.1 Produksi Bersih Padi 2025'!C729)</f>
        <v/>
      </c>
      <c r="D729" s="1" t="str">
        <f>IF('1.1 Produksi Bersih Padi 2025'!D729="","",'1.1 Produksi Bersih Padi 2025'!D729)</f>
        <v/>
      </c>
      <c r="E729" s="1" t="str">
        <f>IF('1.1 Produksi Bersih Padi 2025'!E729="","",'1.1 Produksi Bersih Padi 2025'!E729)</f>
        <v/>
      </c>
      <c r="F729" s="28" t="str">
        <f>IF(D729="","",VLOOKUP(D729,'[1]0.1 Produksi Pangan &amp; Penduduk'!$D$5:$AQ$860,40,0))</f>
        <v/>
      </c>
      <c r="G729" s="29" t="str">
        <f t="shared" si="55"/>
        <v/>
      </c>
      <c r="H729" s="29" t="str">
        <f t="shared" si="56"/>
        <v/>
      </c>
      <c r="I729" s="29" t="str">
        <f t="shared" si="57"/>
        <v/>
      </c>
      <c r="J729" s="29" t="str">
        <f t="shared" si="58"/>
        <v/>
      </c>
      <c r="K729" s="29" t="str">
        <f t="shared" si="59"/>
        <v/>
      </c>
    </row>
    <row r="730" spans="1:11" ht="15" x14ac:dyDescent="0.25">
      <c r="A730" s="1" t="str">
        <f>IF('1.1 Produksi Bersih Padi 2025'!A730="","",'1.1 Produksi Bersih Padi 2025'!A730)</f>
        <v/>
      </c>
      <c r="B730" s="31" t="str">
        <f>IF('1.1 Produksi Bersih Padi 2025'!B730="","",'1.1 Produksi Bersih Padi 2025'!B730)</f>
        <v/>
      </c>
      <c r="C730" s="31" t="str">
        <f>IF('1.1 Produksi Bersih Padi 2025'!C730="","",'1.1 Produksi Bersih Padi 2025'!C730)</f>
        <v/>
      </c>
      <c r="D730" s="1" t="str">
        <f>IF('1.1 Produksi Bersih Padi 2025'!D730="","",'1.1 Produksi Bersih Padi 2025'!D730)</f>
        <v/>
      </c>
      <c r="E730" s="1" t="str">
        <f>IF('1.1 Produksi Bersih Padi 2025'!E730="","",'1.1 Produksi Bersih Padi 2025'!E730)</f>
        <v/>
      </c>
      <c r="F730" s="28" t="str">
        <f>IF(D730="","",VLOOKUP(D730,'[1]0.1 Produksi Pangan &amp; Penduduk'!$D$5:$AQ$860,40,0))</f>
        <v/>
      </c>
      <c r="G730" s="29" t="str">
        <f t="shared" si="55"/>
        <v/>
      </c>
      <c r="H730" s="29" t="str">
        <f t="shared" si="56"/>
        <v/>
      </c>
      <c r="I730" s="29" t="str">
        <f t="shared" si="57"/>
        <v/>
      </c>
      <c r="J730" s="29" t="str">
        <f t="shared" si="58"/>
        <v/>
      </c>
      <c r="K730" s="29" t="str">
        <f t="shared" si="59"/>
        <v/>
      </c>
    </row>
    <row r="731" spans="1:11" ht="15" x14ac:dyDescent="0.25">
      <c r="A731" s="1" t="str">
        <f>IF('1.1 Produksi Bersih Padi 2025'!A731="","",'1.1 Produksi Bersih Padi 2025'!A731)</f>
        <v/>
      </c>
      <c r="B731" s="31" t="str">
        <f>IF('1.1 Produksi Bersih Padi 2025'!B731="","",'1.1 Produksi Bersih Padi 2025'!B731)</f>
        <v/>
      </c>
      <c r="C731" s="31" t="str">
        <f>IF('1.1 Produksi Bersih Padi 2025'!C731="","",'1.1 Produksi Bersih Padi 2025'!C731)</f>
        <v/>
      </c>
      <c r="D731" s="1" t="str">
        <f>IF('1.1 Produksi Bersih Padi 2025'!D731="","",'1.1 Produksi Bersih Padi 2025'!D731)</f>
        <v/>
      </c>
      <c r="E731" s="1" t="str">
        <f>IF('1.1 Produksi Bersih Padi 2025'!E731="","",'1.1 Produksi Bersih Padi 2025'!E731)</f>
        <v/>
      </c>
      <c r="F731" s="28" t="str">
        <f>IF(D731="","",VLOOKUP(D731,'[1]0.1 Produksi Pangan &amp; Penduduk'!$D$5:$AQ$860,40,0))</f>
        <v/>
      </c>
      <c r="G731" s="29" t="str">
        <f t="shared" si="55"/>
        <v/>
      </c>
      <c r="H731" s="29" t="str">
        <f t="shared" si="56"/>
        <v/>
      </c>
      <c r="I731" s="29" t="str">
        <f t="shared" si="57"/>
        <v/>
      </c>
      <c r="J731" s="29" t="str">
        <f t="shared" si="58"/>
        <v/>
      </c>
      <c r="K731" s="29" t="str">
        <f t="shared" si="59"/>
        <v/>
      </c>
    </row>
    <row r="732" spans="1:11" ht="15" x14ac:dyDescent="0.25">
      <c r="A732" s="1" t="str">
        <f>IF('1.1 Produksi Bersih Padi 2025'!A732="","",'1.1 Produksi Bersih Padi 2025'!A732)</f>
        <v/>
      </c>
      <c r="B732" s="31" t="str">
        <f>IF('1.1 Produksi Bersih Padi 2025'!B732="","",'1.1 Produksi Bersih Padi 2025'!B732)</f>
        <v/>
      </c>
      <c r="C732" s="31" t="str">
        <f>IF('1.1 Produksi Bersih Padi 2025'!C732="","",'1.1 Produksi Bersih Padi 2025'!C732)</f>
        <v/>
      </c>
      <c r="D732" s="1" t="str">
        <f>IF('1.1 Produksi Bersih Padi 2025'!D732="","",'1.1 Produksi Bersih Padi 2025'!D732)</f>
        <v/>
      </c>
      <c r="E732" s="1" t="str">
        <f>IF('1.1 Produksi Bersih Padi 2025'!E732="","",'1.1 Produksi Bersih Padi 2025'!E732)</f>
        <v/>
      </c>
      <c r="F732" s="28" t="str">
        <f>IF(D732="","",VLOOKUP(D732,'[1]0.1 Produksi Pangan &amp; Penduduk'!$D$5:$AQ$860,40,0))</f>
        <v/>
      </c>
      <c r="G732" s="29" t="str">
        <f t="shared" si="55"/>
        <v/>
      </c>
      <c r="H732" s="29" t="str">
        <f t="shared" si="56"/>
        <v/>
      </c>
      <c r="I732" s="29" t="str">
        <f t="shared" si="57"/>
        <v/>
      </c>
      <c r="J732" s="29" t="str">
        <f t="shared" si="58"/>
        <v/>
      </c>
      <c r="K732" s="29" t="str">
        <f t="shared" si="59"/>
        <v/>
      </c>
    </row>
    <row r="733" spans="1:11" ht="15" x14ac:dyDescent="0.25">
      <c r="A733" s="1" t="str">
        <f>IF('1.1 Produksi Bersih Padi 2025'!A733="","",'1.1 Produksi Bersih Padi 2025'!A733)</f>
        <v/>
      </c>
      <c r="B733" s="31" t="str">
        <f>IF('1.1 Produksi Bersih Padi 2025'!B733="","",'1.1 Produksi Bersih Padi 2025'!B733)</f>
        <v/>
      </c>
      <c r="C733" s="31" t="str">
        <f>IF('1.1 Produksi Bersih Padi 2025'!C733="","",'1.1 Produksi Bersih Padi 2025'!C733)</f>
        <v/>
      </c>
      <c r="D733" s="1" t="str">
        <f>IF('1.1 Produksi Bersih Padi 2025'!D733="","",'1.1 Produksi Bersih Padi 2025'!D733)</f>
        <v/>
      </c>
      <c r="E733" s="1" t="str">
        <f>IF('1.1 Produksi Bersih Padi 2025'!E733="","",'1.1 Produksi Bersih Padi 2025'!E733)</f>
        <v/>
      </c>
      <c r="F733" s="28" t="str">
        <f>IF(D733="","",VLOOKUP(D733,'[1]0.1 Produksi Pangan &amp; Penduduk'!$D$5:$AQ$860,40,0))</f>
        <v/>
      </c>
      <c r="G733" s="29" t="str">
        <f t="shared" si="55"/>
        <v/>
      </c>
      <c r="H733" s="29" t="str">
        <f t="shared" si="56"/>
        <v/>
      </c>
      <c r="I733" s="29" t="str">
        <f t="shared" si="57"/>
        <v/>
      </c>
      <c r="J733" s="29" t="str">
        <f t="shared" si="58"/>
        <v/>
      </c>
      <c r="K733" s="29" t="str">
        <f t="shared" si="59"/>
        <v/>
      </c>
    </row>
    <row r="734" spans="1:11" ht="15" x14ac:dyDescent="0.25">
      <c r="A734" s="1" t="str">
        <f>IF('1.1 Produksi Bersih Padi 2025'!A734="","",'1.1 Produksi Bersih Padi 2025'!A734)</f>
        <v/>
      </c>
      <c r="B734" s="31" t="str">
        <f>IF('1.1 Produksi Bersih Padi 2025'!B734="","",'1.1 Produksi Bersih Padi 2025'!B734)</f>
        <v/>
      </c>
      <c r="C734" s="31" t="str">
        <f>IF('1.1 Produksi Bersih Padi 2025'!C734="","",'1.1 Produksi Bersih Padi 2025'!C734)</f>
        <v/>
      </c>
      <c r="D734" s="1" t="str">
        <f>IF('1.1 Produksi Bersih Padi 2025'!D734="","",'1.1 Produksi Bersih Padi 2025'!D734)</f>
        <v/>
      </c>
      <c r="E734" s="1" t="str">
        <f>IF('1.1 Produksi Bersih Padi 2025'!E734="","",'1.1 Produksi Bersih Padi 2025'!E734)</f>
        <v/>
      </c>
      <c r="F734" s="28" t="str">
        <f>IF(D734="","",VLOOKUP(D734,'[1]0.1 Produksi Pangan &amp; Penduduk'!$D$5:$AQ$860,40,0))</f>
        <v/>
      </c>
      <c r="G734" s="29" t="str">
        <f t="shared" si="55"/>
        <v/>
      </c>
      <c r="H734" s="29" t="str">
        <f t="shared" si="56"/>
        <v/>
      </c>
      <c r="I734" s="29" t="str">
        <f t="shared" si="57"/>
        <v/>
      </c>
      <c r="J734" s="29" t="str">
        <f t="shared" si="58"/>
        <v/>
      </c>
      <c r="K734" s="29" t="str">
        <f t="shared" si="59"/>
        <v/>
      </c>
    </row>
    <row r="735" spans="1:11" ht="15" x14ac:dyDescent="0.25">
      <c r="A735" s="1" t="str">
        <f>IF('1.1 Produksi Bersih Padi 2025'!A735="","",'1.1 Produksi Bersih Padi 2025'!A735)</f>
        <v/>
      </c>
      <c r="B735" s="31" t="str">
        <f>IF('1.1 Produksi Bersih Padi 2025'!B735="","",'1.1 Produksi Bersih Padi 2025'!B735)</f>
        <v/>
      </c>
      <c r="C735" s="31" t="str">
        <f>IF('1.1 Produksi Bersih Padi 2025'!C735="","",'1.1 Produksi Bersih Padi 2025'!C735)</f>
        <v/>
      </c>
      <c r="D735" s="1" t="str">
        <f>IF('1.1 Produksi Bersih Padi 2025'!D735="","",'1.1 Produksi Bersih Padi 2025'!D735)</f>
        <v/>
      </c>
      <c r="E735" s="1" t="str">
        <f>IF('1.1 Produksi Bersih Padi 2025'!E735="","",'1.1 Produksi Bersih Padi 2025'!E735)</f>
        <v/>
      </c>
      <c r="F735" s="28" t="str">
        <f>IF(D735="","",VLOOKUP(D735,'[1]0.1 Produksi Pangan &amp; Penduduk'!$D$5:$AQ$860,40,0))</f>
        <v/>
      </c>
      <c r="G735" s="29" t="str">
        <f t="shared" si="55"/>
        <v/>
      </c>
      <c r="H735" s="29" t="str">
        <f t="shared" si="56"/>
        <v/>
      </c>
      <c r="I735" s="29" t="str">
        <f t="shared" si="57"/>
        <v/>
      </c>
      <c r="J735" s="29" t="str">
        <f t="shared" si="58"/>
        <v/>
      </c>
      <c r="K735" s="29" t="str">
        <f t="shared" si="59"/>
        <v/>
      </c>
    </row>
    <row r="736" spans="1:11" ht="15" x14ac:dyDescent="0.25">
      <c r="A736" s="1" t="str">
        <f>IF('1.1 Produksi Bersih Padi 2025'!A736="","",'1.1 Produksi Bersih Padi 2025'!A736)</f>
        <v/>
      </c>
      <c r="B736" s="31" t="str">
        <f>IF('1.1 Produksi Bersih Padi 2025'!B736="","",'1.1 Produksi Bersih Padi 2025'!B736)</f>
        <v/>
      </c>
      <c r="C736" s="31" t="str">
        <f>IF('1.1 Produksi Bersih Padi 2025'!C736="","",'1.1 Produksi Bersih Padi 2025'!C736)</f>
        <v/>
      </c>
      <c r="D736" s="1" t="str">
        <f>IF('1.1 Produksi Bersih Padi 2025'!D736="","",'1.1 Produksi Bersih Padi 2025'!D736)</f>
        <v/>
      </c>
      <c r="E736" s="1" t="str">
        <f>IF('1.1 Produksi Bersih Padi 2025'!E736="","",'1.1 Produksi Bersih Padi 2025'!E736)</f>
        <v/>
      </c>
      <c r="F736" s="28" t="str">
        <f>IF(D736="","",VLOOKUP(D736,'[1]0.1 Produksi Pangan &amp; Penduduk'!$D$5:$AQ$860,40,0))</f>
        <v/>
      </c>
      <c r="G736" s="29" t="str">
        <f t="shared" si="55"/>
        <v/>
      </c>
      <c r="H736" s="29" t="str">
        <f t="shared" si="56"/>
        <v/>
      </c>
      <c r="I736" s="29" t="str">
        <f t="shared" si="57"/>
        <v/>
      </c>
      <c r="J736" s="29" t="str">
        <f t="shared" si="58"/>
        <v/>
      </c>
      <c r="K736" s="29" t="str">
        <f t="shared" si="59"/>
        <v/>
      </c>
    </row>
    <row r="737" spans="1:11" ht="15" x14ac:dyDescent="0.25">
      <c r="A737" s="1" t="str">
        <f>IF('1.1 Produksi Bersih Padi 2025'!A737="","",'1.1 Produksi Bersih Padi 2025'!A737)</f>
        <v/>
      </c>
      <c r="B737" s="31" t="str">
        <f>IF('1.1 Produksi Bersih Padi 2025'!B737="","",'1.1 Produksi Bersih Padi 2025'!B737)</f>
        <v/>
      </c>
      <c r="C737" s="31" t="str">
        <f>IF('1.1 Produksi Bersih Padi 2025'!C737="","",'1.1 Produksi Bersih Padi 2025'!C737)</f>
        <v/>
      </c>
      <c r="D737" s="1" t="str">
        <f>IF('1.1 Produksi Bersih Padi 2025'!D737="","",'1.1 Produksi Bersih Padi 2025'!D737)</f>
        <v/>
      </c>
      <c r="E737" s="1" t="str">
        <f>IF('1.1 Produksi Bersih Padi 2025'!E737="","",'1.1 Produksi Bersih Padi 2025'!E737)</f>
        <v/>
      </c>
      <c r="F737" s="28" t="str">
        <f>IF(D737="","",VLOOKUP(D737,'[1]0.1 Produksi Pangan &amp; Penduduk'!$D$5:$AQ$860,40,0))</f>
        <v/>
      </c>
      <c r="G737" s="29" t="str">
        <f t="shared" si="55"/>
        <v/>
      </c>
      <c r="H737" s="29" t="str">
        <f t="shared" si="56"/>
        <v/>
      </c>
      <c r="I737" s="29" t="str">
        <f t="shared" si="57"/>
        <v/>
      </c>
      <c r="J737" s="29" t="str">
        <f t="shared" si="58"/>
        <v/>
      </c>
      <c r="K737" s="29" t="str">
        <f t="shared" si="59"/>
        <v/>
      </c>
    </row>
    <row r="738" spans="1:11" ht="15" x14ac:dyDescent="0.25">
      <c r="A738" s="1" t="str">
        <f>IF('1.1 Produksi Bersih Padi 2025'!A738="","",'1.1 Produksi Bersih Padi 2025'!A738)</f>
        <v/>
      </c>
      <c r="B738" s="31" t="str">
        <f>IF('1.1 Produksi Bersih Padi 2025'!B738="","",'1.1 Produksi Bersih Padi 2025'!B738)</f>
        <v/>
      </c>
      <c r="C738" s="31" t="str">
        <f>IF('1.1 Produksi Bersih Padi 2025'!C738="","",'1.1 Produksi Bersih Padi 2025'!C738)</f>
        <v/>
      </c>
      <c r="D738" s="1" t="str">
        <f>IF('1.1 Produksi Bersih Padi 2025'!D738="","",'1.1 Produksi Bersih Padi 2025'!D738)</f>
        <v/>
      </c>
      <c r="E738" s="1" t="str">
        <f>IF('1.1 Produksi Bersih Padi 2025'!E738="","",'1.1 Produksi Bersih Padi 2025'!E738)</f>
        <v/>
      </c>
      <c r="F738" s="28" t="str">
        <f>IF(D738="","",VLOOKUP(D738,'[1]0.1 Produksi Pangan &amp; Penduduk'!$D$5:$AQ$860,40,0))</f>
        <v/>
      </c>
      <c r="G738" s="29" t="str">
        <f t="shared" si="55"/>
        <v/>
      </c>
      <c r="H738" s="29" t="str">
        <f t="shared" si="56"/>
        <v/>
      </c>
      <c r="I738" s="29" t="str">
        <f t="shared" si="57"/>
        <v/>
      </c>
      <c r="J738" s="29" t="str">
        <f t="shared" si="58"/>
        <v/>
      </c>
      <c r="K738" s="29" t="str">
        <f t="shared" si="59"/>
        <v/>
      </c>
    </row>
    <row r="739" spans="1:11" ht="15" x14ac:dyDescent="0.25">
      <c r="A739" s="1" t="str">
        <f>IF('1.1 Produksi Bersih Padi 2025'!A739="","",'1.1 Produksi Bersih Padi 2025'!A739)</f>
        <v/>
      </c>
      <c r="B739" s="31" t="str">
        <f>IF('1.1 Produksi Bersih Padi 2025'!B739="","",'1.1 Produksi Bersih Padi 2025'!B739)</f>
        <v/>
      </c>
      <c r="C739" s="31" t="str">
        <f>IF('1.1 Produksi Bersih Padi 2025'!C739="","",'1.1 Produksi Bersih Padi 2025'!C739)</f>
        <v/>
      </c>
      <c r="D739" s="1" t="str">
        <f>IF('1.1 Produksi Bersih Padi 2025'!D739="","",'1.1 Produksi Bersih Padi 2025'!D739)</f>
        <v/>
      </c>
      <c r="E739" s="1" t="str">
        <f>IF('1.1 Produksi Bersih Padi 2025'!E739="","",'1.1 Produksi Bersih Padi 2025'!E739)</f>
        <v/>
      </c>
      <c r="F739" s="28" t="str">
        <f>IF(D739="","",VLOOKUP(D739,'[1]0.1 Produksi Pangan &amp; Penduduk'!$D$5:$AQ$860,40,0))</f>
        <v/>
      </c>
      <c r="G739" s="29" t="str">
        <f t="shared" si="55"/>
        <v/>
      </c>
      <c r="H739" s="29" t="str">
        <f t="shared" si="56"/>
        <v/>
      </c>
      <c r="I739" s="29" t="str">
        <f t="shared" si="57"/>
        <v/>
      </c>
      <c r="J739" s="29" t="str">
        <f t="shared" si="58"/>
        <v/>
      </c>
      <c r="K739" s="29" t="str">
        <f t="shared" si="59"/>
        <v/>
      </c>
    </row>
    <row r="740" spans="1:11" ht="15" x14ac:dyDescent="0.25">
      <c r="A740" s="1" t="str">
        <f>IF('1.1 Produksi Bersih Padi 2025'!A740="","",'1.1 Produksi Bersih Padi 2025'!A740)</f>
        <v/>
      </c>
      <c r="B740" s="31" t="str">
        <f>IF('1.1 Produksi Bersih Padi 2025'!B740="","",'1.1 Produksi Bersih Padi 2025'!B740)</f>
        <v/>
      </c>
      <c r="C740" s="31" t="str">
        <f>IF('1.1 Produksi Bersih Padi 2025'!C740="","",'1.1 Produksi Bersih Padi 2025'!C740)</f>
        <v/>
      </c>
      <c r="D740" s="1" t="str">
        <f>IF('1.1 Produksi Bersih Padi 2025'!D740="","",'1.1 Produksi Bersih Padi 2025'!D740)</f>
        <v/>
      </c>
      <c r="E740" s="1" t="str">
        <f>IF('1.1 Produksi Bersih Padi 2025'!E740="","",'1.1 Produksi Bersih Padi 2025'!E740)</f>
        <v/>
      </c>
      <c r="F740" s="28" t="str">
        <f>IF(D740="","",VLOOKUP(D740,'[1]0.1 Produksi Pangan &amp; Penduduk'!$D$5:$AQ$860,40,0))</f>
        <v/>
      </c>
      <c r="G740" s="29" t="str">
        <f t="shared" si="55"/>
        <v/>
      </c>
      <c r="H740" s="29" t="str">
        <f t="shared" si="56"/>
        <v/>
      </c>
      <c r="I740" s="29" t="str">
        <f t="shared" si="57"/>
        <v/>
      </c>
      <c r="J740" s="29" t="str">
        <f t="shared" si="58"/>
        <v/>
      </c>
      <c r="K740" s="29" t="str">
        <f t="shared" si="59"/>
        <v/>
      </c>
    </row>
    <row r="741" spans="1:11" ht="15" x14ac:dyDescent="0.25">
      <c r="A741" s="1" t="str">
        <f>IF('1.1 Produksi Bersih Padi 2025'!A741="","",'1.1 Produksi Bersih Padi 2025'!A741)</f>
        <v/>
      </c>
      <c r="B741" s="31" t="str">
        <f>IF('1.1 Produksi Bersih Padi 2025'!B741="","",'1.1 Produksi Bersih Padi 2025'!B741)</f>
        <v/>
      </c>
      <c r="C741" s="31" t="str">
        <f>IF('1.1 Produksi Bersih Padi 2025'!C741="","",'1.1 Produksi Bersih Padi 2025'!C741)</f>
        <v/>
      </c>
      <c r="D741" s="1" t="str">
        <f>IF('1.1 Produksi Bersih Padi 2025'!D741="","",'1.1 Produksi Bersih Padi 2025'!D741)</f>
        <v/>
      </c>
      <c r="E741" s="1" t="str">
        <f>IF('1.1 Produksi Bersih Padi 2025'!E741="","",'1.1 Produksi Bersih Padi 2025'!E741)</f>
        <v/>
      </c>
      <c r="F741" s="28" t="str">
        <f>IF(D741="","",VLOOKUP(D741,'[1]0.1 Produksi Pangan &amp; Penduduk'!$D$5:$AQ$860,40,0))</f>
        <v/>
      </c>
      <c r="G741" s="29" t="str">
        <f t="shared" si="55"/>
        <v/>
      </c>
      <c r="H741" s="29" t="str">
        <f t="shared" si="56"/>
        <v/>
      </c>
      <c r="I741" s="29" t="str">
        <f t="shared" si="57"/>
        <v/>
      </c>
      <c r="J741" s="29" t="str">
        <f t="shared" si="58"/>
        <v/>
      </c>
      <c r="K741" s="29" t="str">
        <f t="shared" si="59"/>
        <v/>
      </c>
    </row>
    <row r="742" spans="1:11" ht="15" x14ac:dyDescent="0.25">
      <c r="A742" s="1" t="str">
        <f>IF('1.1 Produksi Bersih Padi 2025'!A742="","",'1.1 Produksi Bersih Padi 2025'!A742)</f>
        <v/>
      </c>
      <c r="B742" s="31" t="str">
        <f>IF('1.1 Produksi Bersih Padi 2025'!B742="","",'1.1 Produksi Bersih Padi 2025'!B742)</f>
        <v/>
      </c>
      <c r="C742" s="31" t="str">
        <f>IF('1.1 Produksi Bersih Padi 2025'!C742="","",'1.1 Produksi Bersih Padi 2025'!C742)</f>
        <v/>
      </c>
      <c r="D742" s="1" t="str">
        <f>IF('1.1 Produksi Bersih Padi 2025'!D742="","",'1.1 Produksi Bersih Padi 2025'!D742)</f>
        <v/>
      </c>
      <c r="E742" s="1" t="str">
        <f>IF('1.1 Produksi Bersih Padi 2025'!E742="","",'1.1 Produksi Bersih Padi 2025'!E742)</f>
        <v/>
      </c>
      <c r="F742" s="28" t="str">
        <f>IF(D742="","",VLOOKUP(D742,'[1]0.1 Produksi Pangan &amp; Penduduk'!$D$5:$AQ$860,40,0))</f>
        <v/>
      </c>
      <c r="G742" s="29" t="str">
        <f t="shared" si="55"/>
        <v/>
      </c>
      <c r="H742" s="29" t="str">
        <f t="shared" si="56"/>
        <v/>
      </c>
      <c r="I742" s="29" t="str">
        <f t="shared" si="57"/>
        <v/>
      </c>
      <c r="J742" s="29" t="str">
        <f t="shared" si="58"/>
        <v/>
      </c>
      <c r="K742" s="29" t="str">
        <f t="shared" si="59"/>
        <v/>
      </c>
    </row>
    <row r="743" spans="1:11" ht="15" x14ac:dyDescent="0.25">
      <c r="A743" s="1" t="str">
        <f>IF('1.1 Produksi Bersih Padi 2025'!A743="","",'1.1 Produksi Bersih Padi 2025'!A743)</f>
        <v/>
      </c>
      <c r="B743" s="31" t="str">
        <f>IF('1.1 Produksi Bersih Padi 2025'!B743="","",'1.1 Produksi Bersih Padi 2025'!B743)</f>
        <v/>
      </c>
      <c r="C743" s="31" t="str">
        <f>IF('1.1 Produksi Bersih Padi 2025'!C743="","",'1.1 Produksi Bersih Padi 2025'!C743)</f>
        <v/>
      </c>
      <c r="D743" s="1" t="str">
        <f>IF('1.1 Produksi Bersih Padi 2025'!D743="","",'1.1 Produksi Bersih Padi 2025'!D743)</f>
        <v/>
      </c>
      <c r="E743" s="1" t="str">
        <f>IF('1.1 Produksi Bersih Padi 2025'!E743="","",'1.1 Produksi Bersih Padi 2025'!E743)</f>
        <v/>
      </c>
      <c r="F743" s="28" t="str">
        <f>IF(D743="","",VLOOKUP(D743,'[1]0.1 Produksi Pangan &amp; Penduduk'!$D$5:$AQ$860,40,0))</f>
        <v/>
      </c>
      <c r="G743" s="29" t="str">
        <f t="shared" si="55"/>
        <v/>
      </c>
      <c r="H743" s="29" t="str">
        <f t="shared" si="56"/>
        <v/>
      </c>
      <c r="I743" s="29" t="str">
        <f t="shared" si="57"/>
        <v/>
      </c>
      <c r="J743" s="29" t="str">
        <f t="shared" si="58"/>
        <v/>
      </c>
      <c r="K743" s="29" t="str">
        <f t="shared" si="59"/>
        <v/>
      </c>
    </row>
    <row r="744" spans="1:11" ht="15" x14ac:dyDescent="0.25">
      <c r="A744" s="1" t="str">
        <f>IF('1.1 Produksi Bersih Padi 2025'!A744="","",'1.1 Produksi Bersih Padi 2025'!A744)</f>
        <v/>
      </c>
      <c r="B744" s="31" t="str">
        <f>IF('1.1 Produksi Bersih Padi 2025'!B744="","",'1.1 Produksi Bersih Padi 2025'!B744)</f>
        <v/>
      </c>
      <c r="C744" s="31" t="str">
        <f>IF('1.1 Produksi Bersih Padi 2025'!C744="","",'1.1 Produksi Bersih Padi 2025'!C744)</f>
        <v/>
      </c>
      <c r="D744" s="1" t="str">
        <f>IF('1.1 Produksi Bersih Padi 2025'!D744="","",'1.1 Produksi Bersih Padi 2025'!D744)</f>
        <v/>
      </c>
      <c r="E744" s="1" t="str">
        <f>IF('1.1 Produksi Bersih Padi 2025'!E744="","",'1.1 Produksi Bersih Padi 2025'!E744)</f>
        <v/>
      </c>
      <c r="F744" s="28" t="str">
        <f>IF(D744="","",VLOOKUP(D744,'[1]0.1 Produksi Pangan &amp; Penduduk'!$D$5:$AQ$860,40,0))</f>
        <v/>
      </c>
      <c r="G744" s="29" t="str">
        <f t="shared" si="55"/>
        <v/>
      </c>
      <c r="H744" s="29" t="str">
        <f t="shared" si="56"/>
        <v/>
      </c>
      <c r="I744" s="29" t="str">
        <f t="shared" si="57"/>
        <v/>
      </c>
      <c r="J744" s="29" t="str">
        <f t="shared" si="58"/>
        <v/>
      </c>
      <c r="K744" s="29" t="str">
        <f t="shared" si="59"/>
        <v/>
      </c>
    </row>
    <row r="745" spans="1:11" ht="15" x14ac:dyDescent="0.25">
      <c r="A745" s="1" t="str">
        <f>IF('1.1 Produksi Bersih Padi 2025'!A745="","",'1.1 Produksi Bersih Padi 2025'!A745)</f>
        <v/>
      </c>
      <c r="B745" s="31" t="str">
        <f>IF('1.1 Produksi Bersih Padi 2025'!B745="","",'1.1 Produksi Bersih Padi 2025'!B745)</f>
        <v/>
      </c>
      <c r="C745" s="31" t="str">
        <f>IF('1.1 Produksi Bersih Padi 2025'!C745="","",'1.1 Produksi Bersih Padi 2025'!C745)</f>
        <v/>
      </c>
      <c r="D745" s="1" t="str">
        <f>IF('1.1 Produksi Bersih Padi 2025'!D745="","",'1.1 Produksi Bersih Padi 2025'!D745)</f>
        <v/>
      </c>
      <c r="E745" s="1" t="str">
        <f>IF('1.1 Produksi Bersih Padi 2025'!E745="","",'1.1 Produksi Bersih Padi 2025'!E745)</f>
        <v/>
      </c>
      <c r="F745" s="28" t="str">
        <f>IF(D745="","",VLOOKUP(D745,'[1]0.1 Produksi Pangan &amp; Penduduk'!$D$5:$AQ$860,40,0))</f>
        <v/>
      </c>
      <c r="G745" s="29" t="str">
        <f t="shared" si="55"/>
        <v/>
      </c>
      <c r="H745" s="29" t="str">
        <f t="shared" si="56"/>
        <v/>
      </c>
      <c r="I745" s="29" t="str">
        <f t="shared" si="57"/>
        <v/>
      </c>
      <c r="J745" s="29" t="str">
        <f t="shared" si="58"/>
        <v/>
      </c>
      <c r="K745" s="29" t="str">
        <f t="shared" si="59"/>
        <v/>
      </c>
    </row>
    <row r="746" spans="1:11" ht="15" x14ac:dyDescent="0.25">
      <c r="A746" s="1" t="str">
        <f>IF('1.1 Produksi Bersih Padi 2025'!A746="","",'1.1 Produksi Bersih Padi 2025'!A746)</f>
        <v/>
      </c>
      <c r="B746" s="31" t="str">
        <f>IF('1.1 Produksi Bersih Padi 2025'!B746="","",'1.1 Produksi Bersih Padi 2025'!B746)</f>
        <v/>
      </c>
      <c r="C746" s="31" t="str">
        <f>IF('1.1 Produksi Bersih Padi 2025'!C746="","",'1.1 Produksi Bersih Padi 2025'!C746)</f>
        <v/>
      </c>
      <c r="D746" s="1" t="str">
        <f>IF('1.1 Produksi Bersih Padi 2025'!D746="","",'1.1 Produksi Bersih Padi 2025'!D746)</f>
        <v/>
      </c>
      <c r="E746" s="1" t="str">
        <f>IF('1.1 Produksi Bersih Padi 2025'!E746="","",'1.1 Produksi Bersih Padi 2025'!E746)</f>
        <v/>
      </c>
      <c r="F746" s="28" t="str">
        <f>IF(D746="","",VLOOKUP(D746,'[1]0.1 Produksi Pangan &amp; Penduduk'!$D$5:$AQ$860,40,0))</f>
        <v/>
      </c>
      <c r="G746" s="29" t="str">
        <f t="shared" si="55"/>
        <v/>
      </c>
      <c r="H746" s="29" t="str">
        <f t="shared" si="56"/>
        <v/>
      </c>
      <c r="I746" s="29" t="str">
        <f t="shared" si="57"/>
        <v/>
      </c>
      <c r="J746" s="29" t="str">
        <f t="shared" si="58"/>
        <v/>
      </c>
      <c r="K746" s="29" t="str">
        <f t="shared" si="59"/>
        <v/>
      </c>
    </row>
    <row r="747" spans="1:11" ht="15" x14ac:dyDescent="0.25">
      <c r="A747" s="1" t="str">
        <f>IF('1.1 Produksi Bersih Padi 2025'!A747="","",'1.1 Produksi Bersih Padi 2025'!A747)</f>
        <v/>
      </c>
      <c r="B747" s="31" t="str">
        <f>IF('1.1 Produksi Bersih Padi 2025'!B747="","",'1.1 Produksi Bersih Padi 2025'!B747)</f>
        <v/>
      </c>
      <c r="C747" s="31" t="str">
        <f>IF('1.1 Produksi Bersih Padi 2025'!C747="","",'1.1 Produksi Bersih Padi 2025'!C747)</f>
        <v/>
      </c>
      <c r="D747" s="1" t="str">
        <f>IF('1.1 Produksi Bersih Padi 2025'!D747="","",'1.1 Produksi Bersih Padi 2025'!D747)</f>
        <v/>
      </c>
      <c r="E747" s="1" t="str">
        <f>IF('1.1 Produksi Bersih Padi 2025'!E747="","",'1.1 Produksi Bersih Padi 2025'!E747)</f>
        <v/>
      </c>
      <c r="F747" s="28" t="str">
        <f>IF(D747="","",VLOOKUP(D747,'[1]0.1 Produksi Pangan &amp; Penduduk'!$D$5:$AQ$860,40,0))</f>
        <v/>
      </c>
      <c r="G747" s="29" t="str">
        <f t="shared" si="55"/>
        <v/>
      </c>
      <c r="H747" s="29" t="str">
        <f t="shared" si="56"/>
        <v/>
      </c>
      <c r="I747" s="29" t="str">
        <f t="shared" si="57"/>
        <v/>
      </c>
      <c r="J747" s="29" t="str">
        <f t="shared" si="58"/>
        <v/>
      </c>
      <c r="K747" s="29" t="str">
        <f t="shared" si="59"/>
        <v/>
      </c>
    </row>
    <row r="748" spans="1:11" ht="15" x14ac:dyDescent="0.25">
      <c r="A748" s="1" t="str">
        <f>IF('1.1 Produksi Bersih Padi 2025'!A748="","",'1.1 Produksi Bersih Padi 2025'!A748)</f>
        <v/>
      </c>
      <c r="B748" s="31" t="str">
        <f>IF('1.1 Produksi Bersih Padi 2025'!B748="","",'1.1 Produksi Bersih Padi 2025'!B748)</f>
        <v/>
      </c>
      <c r="C748" s="31" t="str">
        <f>IF('1.1 Produksi Bersih Padi 2025'!C748="","",'1.1 Produksi Bersih Padi 2025'!C748)</f>
        <v/>
      </c>
      <c r="D748" s="1" t="str">
        <f>IF('1.1 Produksi Bersih Padi 2025'!D748="","",'1.1 Produksi Bersih Padi 2025'!D748)</f>
        <v/>
      </c>
      <c r="E748" s="1" t="str">
        <f>IF('1.1 Produksi Bersih Padi 2025'!E748="","",'1.1 Produksi Bersih Padi 2025'!E748)</f>
        <v/>
      </c>
      <c r="F748" s="28" t="str">
        <f>IF(D748="","",VLOOKUP(D748,'[1]0.1 Produksi Pangan &amp; Penduduk'!$D$5:$AQ$860,40,0))</f>
        <v/>
      </c>
      <c r="G748" s="29" t="str">
        <f t="shared" si="55"/>
        <v/>
      </c>
      <c r="H748" s="29" t="str">
        <f t="shared" si="56"/>
        <v/>
      </c>
      <c r="I748" s="29" t="str">
        <f t="shared" si="57"/>
        <v/>
      </c>
      <c r="J748" s="29" t="str">
        <f t="shared" si="58"/>
        <v/>
      </c>
      <c r="K748" s="29" t="str">
        <f t="shared" si="59"/>
        <v/>
      </c>
    </row>
    <row r="749" spans="1:11" ht="15" x14ac:dyDescent="0.25">
      <c r="A749" s="1" t="str">
        <f>IF('1.1 Produksi Bersih Padi 2025'!A749="","",'1.1 Produksi Bersih Padi 2025'!A749)</f>
        <v/>
      </c>
      <c r="B749" s="31" t="str">
        <f>IF('1.1 Produksi Bersih Padi 2025'!B749="","",'1.1 Produksi Bersih Padi 2025'!B749)</f>
        <v/>
      </c>
      <c r="C749" s="31" t="str">
        <f>IF('1.1 Produksi Bersih Padi 2025'!C749="","",'1.1 Produksi Bersih Padi 2025'!C749)</f>
        <v/>
      </c>
      <c r="D749" s="1" t="str">
        <f>IF('1.1 Produksi Bersih Padi 2025'!D749="","",'1.1 Produksi Bersih Padi 2025'!D749)</f>
        <v/>
      </c>
      <c r="E749" s="1" t="str">
        <f>IF('1.1 Produksi Bersih Padi 2025'!E749="","",'1.1 Produksi Bersih Padi 2025'!E749)</f>
        <v/>
      </c>
      <c r="F749" s="28" t="str">
        <f>IF(D749="","",VLOOKUP(D749,'[1]0.1 Produksi Pangan &amp; Penduduk'!$D$5:$AQ$860,40,0))</f>
        <v/>
      </c>
      <c r="G749" s="29" t="str">
        <f t="shared" si="55"/>
        <v/>
      </c>
      <c r="H749" s="29" t="str">
        <f t="shared" si="56"/>
        <v/>
      </c>
      <c r="I749" s="29" t="str">
        <f t="shared" si="57"/>
        <v/>
      </c>
      <c r="J749" s="29" t="str">
        <f t="shared" si="58"/>
        <v/>
      </c>
      <c r="K749" s="29" t="str">
        <f t="shared" si="59"/>
        <v/>
      </c>
    </row>
    <row r="750" spans="1:11" ht="15" x14ac:dyDescent="0.25">
      <c r="A750" s="1" t="str">
        <f>IF('1.1 Produksi Bersih Padi 2025'!A750="","",'1.1 Produksi Bersih Padi 2025'!A750)</f>
        <v/>
      </c>
      <c r="B750" s="31" t="str">
        <f>IF('1.1 Produksi Bersih Padi 2025'!B750="","",'1.1 Produksi Bersih Padi 2025'!B750)</f>
        <v/>
      </c>
      <c r="C750" s="31" t="str">
        <f>IF('1.1 Produksi Bersih Padi 2025'!C750="","",'1.1 Produksi Bersih Padi 2025'!C750)</f>
        <v/>
      </c>
      <c r="D750" s="1" t="str">
        <f>IF('1.1 Produksi Bersih Padi 2025'!D750="","",'1.1 Produksi Bersih Padi 2025'!D750)</f>
        <v/>
      </c>
      <c r="E750" s="1" t="str">
        <f>IF('1.1 Produksi Bersih Padi 2025'!E750="","",'1.1 Produksi Bersih Padi 2025'!E750)</f>
        <v/>
      </c>
      <c r="F750" s="28" t="str">
        <f>IF(D750="","",VLOOKUP(D750,'[1]0.1 Produksi Pangan &amp; Penduduk'!$D$5:$AQ$860,40,0))</f>
        <v/>
      </c>
      <c r="G750" s="29" t="str">
        <f t="shared" si="55"/>
        <v/>
      </c>
      <c r="H750" s="29" t="str">
        <f t="shared" si="56"/>
        <v/>
      </c>
      <c r="I750" s="29" t="str">
        <f t="shared" si="57"/>
        <v/>
      </c>
      <c r="J750" s="29" t="str">
        <f t="shared" si="58"/>
        <v/>
      </c>
      <c r="K750" s="29" t="str">
        <f t="shared" si="59"/>
        <v/>
      </c>
    </row>
    <row r="751" spans="1:11" ht="15" x14ac:dyDescent="0.25">
      <c r="A751" s="1" t="str">
        <f>IF('1.1 Produksi Bersih Padi 2025'!A751="","",'1.1 Produksi Bersih Padi 2025'!A751)</f>
        <v/>
      </c>
      <c r="B751" s="31" t="str">
        <f>IF('1.1 Produksi Bersih Padi 2025'!B751="","",'1.1 Produksi Bersih Padi 2025'!B751)</f>
        <v/>
      </c>
      <c r="C751" s="31" t="str">
        <f>IF('1.1 Produksi Bersih Padi 2025'!C751="","",'1.1 Produksi Bersih Padi 2025'!C751)</f>
        <v/>
      </c>
      <c r="D751" s="1" t="str">
        <f>IF('1.1 Produksi Bersih Padi 2025'!D751="","",'1.1 Produksi Bersih Padi 2025'!D751)</f>
        <v/>
      </c>
      <c r="E751" s="1" t="str">
        <f>IF('1.1 Produksi Bersih Padi 2025'!E751="","",'1.1 Produksi Bersih Padi 2025'!E751)</f>
        <v/>
      </c>
      <c r="F751" s="28" t="str">
        <f>IF(D751="","",VLOOKUP(D751,'[1]0.1 Produksi Pangan &amp; Penduduk'!$D$5:$AQ$860,40,0))</f>
        <v/>
      </c>
      <c r="G751" s="29" t="str">
        <f t="shared" si="55"/>
        <v/>
      </c>
      <c r="H751" s="29" t="str">
        <f t="shared" si="56"/>
        <v/>
      </c>
      <c r="I751" s="29" t="str">
        <f t="shared" si="57"/>
        <v/>
      </c>
      <c r="J751" s="29" t="str">
        <f t="shared" si="58"/>
        <v/>
      </c>
      <c r="K751" s="29" t="str">
        <f t="shared" si="59"/>
        <v/>
      </c>
    </row>
    <row r="752" spans="1:11" ht="15" x14ac:dyDescent="0.25">
      <c r="A752" s="1" t="str">
        <f>IF('1.1 Produksi Bersih Padi 2025'!A752="","",'1.1 Produksi Bersih Padi 2025'!A752)</f>
        <v/>
      </c>
      <c r="B752" s="31" t="str">
        <f>IF('1.1 Produksi Bersih Padi 2025'!B752="","",'1.1 Produksi Bersih Padi 2025'!B752)</f>
        <v/>
      </c>
      <c r="C752" s="31" t="str">
        <f>IF('1.1 Produksi Bersih Padi 2025'!C752="","",'1.1 Produksi Bersih Padi 2025'!C752)</f>
        <v/>
      </c>
      <c r="D752" s="1" t="str">
        <f>IF('1.1 Produksi Bersih Padi 2025'!D752="","",'1.1 Produksi Bersih Padi 2025'!D752)</f>
        <v/>
      </c>
      <c r="E752" s="1" t="str">
        <f>IF('1.1 Produksi Bersih Padi 2025'!E752="","",'1.1 Produksi Bersih Padi 2025'!E752)</f>
        <v/>
      </c>
      <c r="F752" s="28" t="str">
        <f>IF(D752="","",VLOOKUP(D752,'[1]0.1 Produksi Pangan &amp; Penduduk'!$D$5:$AQ$860,40,0))</f>
        <v/>
      </c>
      <c r="G752" s="29" t="str">
        <f t="shared" si="55"/>
        <v/>
      </c>
      <c r="H752" s="29" t="str">
        <f t="shared" si="56"/>
        <v/>
      </c>
      <c r="I752" s="29" t="str">
        <f t="shared" si="57"/>
        <v/>
      </c>
      <c r="J752" s="29" t="str">
        <f t="shared" si="58"/>
        <v/>
      </c>
      <c r="K752" s="29" t="str">
        <f t="shared" si="59"/>
        <v/>
      </c>
    </row>
    <row r="753" spans="1:11" ht="15" x14ac:dyDescent="0.25">
      <c r="A753" s="1" t="str">
        <f>IF('1.1 Produksi Bersih Padi 2025'!A753="","",'1.1 Produksi Bersih Padi 2025'!A753)</f>
        <v/>
      </c>
      <c r="B753" s="31" t="str">
        <f>IF('1.1 Produksi Bersih Padi 2025'!B753="","",'1.1 Produksi Bersih Padi 2025'!B753)</f>
        <v/>
      </c>
      <c r="C753" s="31" t="str">
        <f>IF('1.1 Produksi Bersih Padi 2025'!C753="","",'1.1 Produksi Bersih Padi 2025'!C753)</f>
        <v/>
      </c>
      <c r="D753" s="1" t="str">
        <f>IF('1.1 Produksi Bersih Padi 2025'!D753="","",'1.1 Produksi Bersih Padi 2025'!D753)</f>
        <v/>
      </c>
      <c r="E753" s="1" t="str">
        <f>IF('1.1 Produksi Bersih Padi 2025'!E753="","",'1.1 Produksi Bersih Padi 2025'!E753)</f>
        <v/>
      </c>
      <c r="F753" s="28" t="str">
        <f>IF(D753="","",VLOOKUP(D753,'[1]0.1 Produksi Pangan &amp; Penduduk'!$D$5:$AQ$860,40,0))</f>
        <v/>
      </c>
      <c r="G753" s="29" t="str">
        <f t="shared" si="55"/>
        <v/>
      </c>
      <c r="H753" s="29" t="str">
        <f t="shared" si="56"/>
        <v/>
      </c>
      <c r="I753" s="29" t="str">
        <f t="shared" si="57"/>
        <v/>
      </c>
      <c r="J753" s="29" t="str">
        <f t="shared" si="58"/>
        <v/>
      </c>
      <c r="K753" s="29" t="str">
        <f t="shared" si="59"/>
        <v/>
      </c>
    </row>
    <row r="754" spans="1:11" ht="15" x14ac:dyDescent="0.25">
      <c r="A754" s="1" t="str">
        <f>IF('1.1 Produksi Bersih Padi 2025'!A754="","",'1.1 Produksi Bersih Padi 2025'!A754)</f>
        <v/>
      </c>
      <c r="B754" s="31" t="str">
        <f>IF('1.1 Produksi Bersih Padi 2025'!B754="","",'1.1 Produksi Bersih Padi 2025'!B754)</f>
        <v/>
      </c>
      <c r="C754" s="31" t="str">
        <f>IF('1.1 Produksi Bersih Padi 2025'!C754="","",'1.1 Produksi Bersih Padi 2025'!C754)</f>
        <v/>
      </c>
      <c r="D754" s="1" t="str">
        <f>IF('1.1 Produksi Bersih Padi 2025'!D754="","",'1.1 Produksi Bersih Padi 2025'!D754)</f>
        <v/>
      </c>
      <c r="E754" s="1" t="str">
        <f>IF('1.1 Produksi Bersih Padi 2025'!E754="","",'1.1 Produksi Bersih Padi 2025'!E754)</f>
        <v/>
      </c>
      <c r="F754" s="28" t="str">
        <f>IF(D754="","",VLOOKUP(D754,'[1]0.1 Produksi Pangan &amp; Penduduk'!$D$5:$AQ$860,40,0))</f>
        <v/>
      </c>
      <c r="G754" s="29" t="str">
        <f t="shared" si="55"/>
        <v/>
      </c>
      <c r="H754" s="29" t="str">
        <f t="shared" si="56"/>
        <v/>
      </c>
      <c r="I754" s="29" t="str">
        <f t="shared" si="57"/>
        <v/>
      </c>
      <c r="J754" s="29" t="str">
        <f t="shared" si="58"/>
        <v/>
      </c>
      <c r="K754" s="29" t="str">
        <f t="shared" si="59"/>
        <v/>
      </c>
    </row>
    <row r="755" spans="1:11" ht="15" x14ac:dyDescent="0.25">
      <c r="A755" s="1" t="str">
        <f>IF('1.1 Produksi Bersih Padi 2025'!A755="","",'1.1 Produksi Bersih Padi 2025'!A755)</f>
        <v/>
      </c>
      <c r="B755" s="31" t="str">
        <f>IF('1.1 Produksi Bersih Padi 2025'!B755="","",'1.1 Produksi Bersih Padi 2025'!B755)</f>
        <v/>
      </c>
      <c r="C755" s="31" t="str">
        <f>IF('1.1 Produksi Bersih Padi 2025'!C755="","",'1.1 Produksi Bersih Padi 2025'!C755)</f>
        <v/>
      </c>
      <c r="D755" s="1" t="str">
        <f>IF('1.1 Produksi Bersih Padi 2025'!D755="","",'1.1 Produksi Bersih Padi 2025'!D755)</f>
        <v/>
      </c>
      <c r="E755" s="1" t="str">
        <f>IF('1.1 Produksi Bersih Padi 2025'!E755="","",'1.1 Produksi Bersih Padi 2025'!E755)</f>
        <v/>
      </c>
      <c r="F755" s="28" t="str">
        <f>IF(D755="","",VLOOKUP(D755,'[1]0.1 Produksi Pangan &amp; Penduduk'!$D$5:$AQ$860,40,0))</f>
        <v/>
      </c>
      <c r="G755" s="29" t="str">
        <f t="shared" si="55"/>
        <v/>
      </c>
      <c r="H755" s="29" t="str">
        <f t="shared" si="56"/>
        <v/>
      </c>
      <c r="I755" s="29" t="str">
        <f t="shared" si="57"/>
        <v/>
      </c>
      <c r="J755" s="29" t="str">
        <f t="shared" si="58"/>
        <v/>
      </c>
      <c r="K755" s="29" t="str">
        <f t="shared" si="59"/>
        <v/>
      </c>
    </row>
    <row r="756" spans="1:11" ht="15" x14ac:dyDescent="0.25">
      <c r="A756" s="1" t="str">
        <f>IF('1.1 Produksi Bersih Padi 2025'!A756="","",'1.1 Produksi Bersih Padi 2025'!A756)</f>
        <v/>
      </c>
      <c r="B756" s="31" t="str">
        <f>IF('1.1 Produksi Bersih Padi 2025'!B756="","",'1.1 Produksi Bersih Padi 2025'!B756)</f>
        <v/>
      </c>
      <c r="C756" s="31" t="str">
        <f>IF('1.1 Produksi Bersih Padi 2025'!C756="","",'1.1 Produksi Bersih Padi 2025'!C756)</f>
        <v/>
      </c>
      <c r="D756" s="1" t="str">
        <f>IF('1.1 Produksi Bersih Padi 2025'!D756="","",'1.1 Produksi Bersih Padi 2025'!D756)</f>
        <v/>
      </c>
      <c r="E756" s="1" t="str">
        <f>IF('1.1 Produksi Bersih Padi 2025'!E756="","",'1.1 Produksi Bersih Padi 2025'!E756)</f>
        <v/>
      </c>
      <c r="F756" s="28" t="str">
        <f>IF(D756="","",VLOOKUP(D756,'[1]0.1 Produksi Pangan &amp; Penduduk'!$D$5:$AQ$860,40,0))</f>
        <v/>
      </c>
      <c r="G756" s="29" t="str">
        <f t="shared" si="55"/>
        <v/>
      </c>
      <c r="H756" s="29" t="str">
        <f t="shared" si="56"/>
        <v/>
      </c>
      <c r="I756" s="29" t="str">
        <f t="shared" si="57"/>
        <v/>
      </c>
      <c r="J756" s="29" t="str">
        <f t="shared" si="58"/>
        <v/>
      </c>
      <c r="K756" s="29" t="str">
        <f t="shared" si="59"/>
        <v/>
      </c>
    </row>
    <row r="757" spans="1:11" ht="15" x14ac:dyDescent="0.25">
      <c r="A757" s="1" t="str">
        <f>IF('1.1 Produksi Bersih Padi 2025'!A757="","",'1.1 Produksi Bersih Padi 2025'!A757)</f>
        <v/>
      </c>
      <c r="B757" s="31" t="str">
        <f>IF('1.1 Produksi Bersih Padi 2025'!B757="","",'1.1 Produksi Bersih Padi 2025'!B757)</f>
        <v/>
      </c>
      <c r="C757" s="31" t="str">
        <f>IF('1.1 Produksi Bersih Padi 2025'!C757="","",'1.1 Produksi Bersih Padi 2025'!C757)</f>
        <v/>
      </c>
      <c r="D757" s="1" t="str">
        <f>IF('1.1 Produksi Bersih Padi 2025'!D757="","",'1.1 Produksi Bersih Padi 2025'!D757)</f>
        <v/>
      </c>
      <c r="E757" s="1" t="str">
        <f>IF('1.1 Produksi Bersih Padi 2025'!E757="","",'1.1 Produksi Bersih Padi 2025'!E757)</f>
        <v/>
      </c>
      <c r="F757" s="28" t="str">
        <f>IF(D757="","",VLOOKUP(D757,'[1]0.1 Produksi Pangan &amp; Penduduk'!$D$5:$AQ$860,40,0))</f>
        <v/>
      </c>
      <c r="G757" s="29" t="str">
        <f t="shared" si="55"/>
        <v/>
      </c>
      <c r="H757" s="29" t="str">
        <f t="shared" si="56"/>
        <v/>
      </c>
      <c r="I757" s="29" t="str">
        <f t="shared" si="57"/>
        <v/>
      </c>
      <c r="J757" s="29" t="str">
        <f t="shared" si="58"/>
        <v/>
      </c>
      <c r="K757" s="29" t="str">
        <f t="shared" si="59"/>
        <v/>
      </c>
    </row>
    <row r="758" spans="1:11" ht="15" x14ac:dyDescent="0.25">
      <c r="A758" s="1" t="str">
        <f>IF('1.1 Produksi Bersih Padi 2025'!A758="","",'1.1 Produksi Bersih Padi 2025'!A758)</f>
        <v/>
      </c>
      <c r="B758" s="31" t="str">
        <f>IF('1.1 Produksi Bersih Padi 2025'!B758="","",'1.1 Produksi Bersih Padi 2025'!B758)</f>
        <v/>
      </c>
      <c r="C758" s="31" t="str">
        <f>IF('1.1 Produksi Bersih Padi 2025'!C758="","",'1.1 Produksi Bersih Padi 2025'!C758)</f>
        <v/>
      </c>
      <c r="D758" s="1" t="str">
        <f>IF('1.1 Produksi Bersih Padi 2025'!D758="","",'1.1 Produksi Bersih Padi 2025'!D758)</f>
        <v/>
      </c>
      <c r="E758" s="1" t="str">
        <f>IF('1.1 Produksi Bersih Padi 2025'!E758="","",'1.1 Produksi Bersih Padi 2025'!E758)</f>
        <v/>
      </c>
      <c r="F758" s="28" t="str">
        <f>IF(D758="","",VLOOKUP(D758,'[1]0.1 Produksi Pangan &amp; Penduduk'!$D$5:$AQ$860,40,0))</f>
        <v/>
      </c>
      <c r="G758" s="29" t="str">
        <f t="shared" si="55"/>
        <v/>
      </c>
      <c r="H758" s="29" t="str">
        <f t="shared" si="56"/>
        <v/>
      </c>
      <c r="I758" s="29" t="str">
        <f t="shared" si="57"/>
        <v/>
      </c>
      <c r="J758" s="29" t="str">
        <f t="shared" si="58"/>
        <v/>
      </c>
      <c r="K758" s="29" t="str">
        <f t="shared" si="59"/>
        <v/>
      </c>
    </row>
    <row r="759" spans="1:11" ht="15" x14ac:dyDescent="0.25">
      <c r="A759" s="1" t="str">
        <f>IF('1.1 Produksi Bersih Padi 2025'!A759="","",'1.1 Produksi Bersih Padi 2025'!A759)</f>
        <v/>
      </c>
      <c r="B759" s="31" t="str">
        <f>IF('1.1 Produksi Bersih Padi 2025'!B759="","",'1.1 Produksi Bersih Padi 2025'!B759)</f>
        <v/>
      </c>
      <c r="C759" s="31" t="str">
        <f>IF('1.1 Produksi Bersih Padi 2025'!C759="","",'1.1 Produksi Bersih Padi 2025'!C759)</f>
        <v/>
      </c>
      <c r="D759" s="1" t="str">
        <f>IF('1.1 Produksi Bersih Padi 2025'!D759="","",'1.1 Produksi Bersih Padi 2025'!D759)</f>
        <v/>
      </c>
      <c r="E759" s="1" t="str">
        <f>IF('1.1 Produksi Bersih Padi 2025'!E759="","",'1.1 Produksi Bersih Padi 2025'!E759)</f>
        <v/>
      </c>
      <c r="F759" s="28" t="str">
        <f>IF(D759="","",VLOOKUP(D759,'[1]0.1 Produksi Pangan &amp; Penduduk'!$D$5:$AQ$860,40,0))</f>
        <v/>
      </c>
      <c r="G759" s="29" t="str">
        <f t="shared" si="55"/>
        <v/>
      </c>
      <c r="H759" s="29" t="str">
        <f t="shared" si="56"/>
        <v/>
      </c>
      <c r="I759" s="29" t="str">
        <f t="shared" si="57"/>
        <v/>
      </c>
      <c r="J759" s="29" t="str">
        <f t="shared" si="58"/>
        <v/>
      </c>
      <c r="K759" s="29" t="str">
        <f t="shared" si="59"/>
        <v/>
      </c>
    </row>
    <row r="760" spans="1:11" ht="15" x14ac:dyDescent="0.25">
      <c r="A760" s="1" t="str">
        <f>IF('1.1 Produksi Bersih Padi 2025'!A760="","",'1.1 Produksi Bersih Padi 2025'!A760)</f>
        <v/>
      </c>
      <c r="B760" s="31" t="str">
        <f>IF('1.1 Produksi Bersih Padi 2025'!B760="","",'1.1 Produksi Bersih Padi 2025'!B760)</f>
        <v/>
      </c>
      <c r="C760" s="31" t="str">
        <f>IF('1.1 Produksi Bersih Padi 2025'!C760="","",'1.1 Produksi Bersih Padi 2025'!C760)</f>
        <v/>
      </c>
      <c r="D760" s="1" t="str">
        <f>IF('1.1 Produksi Bersih Padi 2025'!D760="","",'1.1 Produksi Bersih Padi 2025'!D760)</f>
        <v/>
      </c>
      <c r="E760" s="1" t="str">
        <f>IF('1.1 Produksi Bersih Padi 2025'!E760="","",'1.1 Produksi Bersih Padi 2025'!E760)</f>
        <v/>
      </c>
      <c r="F760" s="28" t="str">
        <f>IF(D760="","",VLOOKUP(D760,'[1]0.1 Produksi Pangan &amp; Penduduk'!$D$5:$AQ$860,40,0))</f>
        <v/>
      </c>
      <c r="G760" s="29" t="str">
        <f t="shared" si="55"/>
        <v/>
      </c>
      <c r="H760" s="29" t="str">
        <f t="shared" si="56"/>
        <v/>
      </c>
      <c r="I760" s="29" t="str">
        <f t="shared" si="57"/>
        <v/>
      </c>
      <c r="J760" s="29" t="str">
        <f t="shared" si="58"/>
        <v/>
      </c>
      <c r="K760" s="29" t="str">
        <f t="shared" si="59"/>
        <v/>
      </c>
    </row>
    <row r="761" spans="1:11" ht="15" x14ac:dyDescent="0.25">
      <c r="A761" s="1" t="str">
        <f>IF('1.1 Produksi Bersih Padi 2025'!A761="","",'1.1 Produksi Bersih Padi 2025'!A761)</f>
        <v/>
      </c>
      <c r="B761" s="31" t="str">
        <f>IF('1.1 Produksi Bersih Padi 2025'!B761="","",'1.1 Produksi Bersih Padi 2025'!B761)</f>
        <v/>
      </c>
      <c r="C761" s="31" t="str">
        <f>IF('1.1 Produksi Bersih Padi 2025'!C761="","",'1.1 Produksi Bersih Padi 2025'!C761)</f>
        <v/>
      </c>
      <c r="D761" s="1" t="str">
        <f>IF('1.1 Produksi Bersih Padi 2025'!D761="","",'1.1 Produksi Bersih Padi 2025'!D761)</f>
        <v/>
      </c>
      <c r="E761" s="1" t="str">
        <f>IF('1.1 Produksi Bersih Padi 2025'!E761="","",'1.1 Produksi Bersih Padi 2025'!E761)</f>
        <v/>
      </c>
      <c r="F761" s="28" t="str">
        <f>IF(D761="","",VLOOKUP(D761,'[1]0.1 Produksi Pangan &amp; Penduduk'!$D$5:$AQ$860,40,0))</f>
        <v/>
      </c>
      <c r="G761" s="29" t="str">
        <f t="shared" si="55"/>
        <v/>
      </c>
      <c r="H761" s="29" t="str">
        <f t="shared" si="56"/>
        <v/>
      </c>
      <c r="I761" s="29" t="str">
        <f t="shared" si="57"/>
        <v/>
      </c>
      <c r="J761" s="29" t="str">
        <f t="shared" si="58"/>
        <v/>
      </c>
      <c r="K761" s="29" t="str">
        <f t="shared" si="59"/>
        <v/>
      </c>
    </row>
    <row r="762" spans="1:11" ht="15" x14ac:dyDescent="0.25">
      <c r="A762" s="1" t="str">
        <f>IF('1.1 Produksi Bersih Padi 2025'!A762="","",'1.1 Produksi Bersih Padi 2025'!A762)</f>
        <v/>
      </c>
      <c r="B762" s="31" t="str">
        <f>IF('1.1 Produksi Bersih Padi 2025'!B762="","",'1.1 Produksi Bersih Padi 2025'!B762)</f>
        <v/>
      </c>
      <c r="C762" s="31" t="str">
        <f>IF('1.1 Produksi Bersih Padi 2025'!C762="","",'1.1 Produksi Bersih Padi 2025'!C762)</f>
        <v/>
      </c>
      <c r="D762" s="1" t="str">
        <f>IF('1.1 Produksi Bersih Padi 2025'!D762="","",'1.1 Produksi Bersih Padi 2025'!D762)</f>
        <v/>
      </c>
      <c r="E762" s="1" t="str">
        <f>IF('1.1 Produksi Bersih Padi 2025'!E762="","",'1.1 Produksi Bersih Padi 2025'!E762)</f>
        <v/>
      </c>
      <c r="F762" s="28" t="str">
        <f>IF(D762="","",VLOOKUP(D762,'[1]0.1 Produksi Pangan &amp; Penduduk'!$D$5:$AQ$860,40,0))</f>
        <v/>
      </c>
      <c r="G762" s="29" t="str">
        <f t="shared" si="55"/>
        <v/>
      </c>
      <c r="H762" s="29" t="str">
        <f t="shared" si="56"/>
        <v/>
      </c>
      <c r="I762" s="29" t="str">
        <f t="shared" si="57"/>
        <v/>
      </c>
      <c r="J762" s="29" t="str">
        <f t="shared" si="58"/>
        <v/>
      </c>
      <c r="K762" s="29" t="str">
        <f t="shared" si="59"/>
        <v/>
      </c>
    </row>
    <row r="763" spans="1:11" ht="15" x14ac:dyDescent="0.25">
      <c r="A763" s="1" t="str">
        <f>IF('1.1 Produksi Bersih Padi 2025'!A763="","",'1.1 Produksi Bersih Padi 2025'!A763)</f>
        <v/>
      </c>
      <c r="B763" s="31" t="str">
        <f>IF('1.1 Produksi Bersih Padi 2025'!B763="","",'1.1 Produksi Bersih Padi 2025'!B763)</f>
        <v/>
      </c>
      <c r="C763" s="31" t="str">
        <f>IF('1.1 Produksi Bersih Padi 2025'!C763="","",'1.1 Produksi Bersih Padi 2025'!C763)</f>
        <v/>
      </c>
      <c r="D763" s="1" t="str">
        <f>IF('1.1 Produksi Bersih Padi 2025'!D763="","",'1.1 Produksi Bersih Padi 2025'!D763)</f>
        <v/>
      </c>
      <c r="E763" s="1" t="str">
        <f>IF('1.1 Produksi Bersih Padi 2025'!E763="","",'1.1 Produksi Bersih Padi 2025'!E763)</f>
        <v/>
      </c>
      <c r="F763" s="28" t="str">
        <f>IF(D763="","",VLOOKUP(D763,'[1]0.1 Produksi Pangan &amp; Penduduk'!$D$5:$AQ$860,40,0))</f>
        <v/>
      </c>
      <c r="G763" s="29" t="str">
        <f t="shared" si="55"/>
        <v/>
      </c>
      <c r="H763" s="29" t="str">
        <f t="shared" si="56"/>
        <v/>
      </c>
      <c r="I763" s="29" t="str">
        <f t="shared" si="57"/>
        <v/>
      </c>
      <c r="J763" s="29" t="str">
        <f t="shared" si="58"/>
        <v/>
      </c>
      <c r="K763" s="29" t="str">
        <f t="shared" si="59"/>
        <v/>
      </c>
    </row>
    <row r="764" spans="1:11" ht="15" x14ac:dyDescent="0.25">
      <c r="A764" s="1" t="str">
        <f>IF('1.1 Produksi Bersih Padi 2025'!A764="","",'1.1 Produksi Bersih Padi 2025'!A764)</f>
        <v/>
      </c>
      <c r="B764" s="31" t="str">
        <f>IF('1.1 Produksi Bersih Padi 2025'!B764="","",'1.1 Produksi Bersih Padi 2025'!B764)</f>
        <v/>
      </c>
      <c r="C764" s="31" t="str">
        <f>IF('1.1 Produksi Bersih Padi 2025'!C764="","",'1.1 Produksi Bersih Padi 2025'!C764)</f>
        <v/>
      </c>
      <c r="D764" s="1" t="str">
        <f>IF('1.1 Produksi Bersih Padi 2025'!D764="","",'1.1 Produksi Bersih Padi 2025'!D764)</f>
        <v/>
      </c>
      <c r="E764" s="1" t="str">
        <f>IF('1.1 Produksi Bersih Padi 2025'!E764="","",'1.1 Produksi Bersih Padi 2025'!E764)</f>
        <v/>
      </c>
      <c r="F764" s="28" t="str">
        <f>IF(D764="","",VLOOKUP(D764,'[1]0.1 Produksi Pangan &amp; Penduduk'!$D$5:$AQ$860,40,0))</f>
        <v/>
      </c>
      <c r="G764" s="29" t="str">
        <f t="shared" si="55"/>
        <v/>
      </c>
      <c r="H764" s="29" t="str">
        <f t="shared" si="56"/>
        <v/>
      </c>
      <c r="I764" s="29" t="str">
        <f t="shared" si="57"/>
        <v/>
      </c>
      <c r="J764" s="29" t="str">
        <f t="shared" si="58"/>
        <v/>
      </c>
      <c r="K764" s="29" t="str">
        <f t="shared" si="59"/>
        <v/>
      </c>
    </row>
    <row r="765" spans="1:11" ht="15" x14ac:dyDescent="0.25">
      <c r="A765" s="1" t="str">
        <f>IF('1.1 Produksi Bersih Padi 2025'!A765="","",'1.1 Produksi Bersih Padi 2025'!A765)</f>
        <v/>
      </c>
      <c r="B765" s="31" t="str">
        <f>IF('1.1 Produksi Bersih Padi 2025'!B765="","",'1.1 Produksi Bersih Padi 2025'!B765)</f>
        <v/>
      </c>
      <c r="C765" s="31" t="str">
        <f>IF('1.1 Produksi Bersih Padi 2025'!C765="","",'1.1 Produksi Bersih Padi 2025'!C765)</f>
        <v/>
      </c>
      <c r="D765" s="1" t="str">
        <f>IF('1.1 Produksi Bersih Padi 2025'!D765="","",'1.1 Produksi Bersih Padi 2025'!D765)</f>
        <v/>
      </c>
      <c r="E765" s="1" t="str">
        <f>IF('1.1 Produksi Bersih Padi 2025'!E765="","",'1.1 Produksi Bersih Padi 2025'!E765)</f>
        <v/>
      </c>
      <c r="F765" s="28" t="str">
        <f>IF(D765="","",VLOOKUP(D765,'[1]0.1 Produksi Pangan &amp; Penduduk'!$D$5:$AQ$860,40,0))</f>
        <v/>
      </c>
      <c r="G765" s="29" t="str">
        <f t="shared" si="55"/>
        <v/>
      </c>
      <c r="H765" s="29" t="str">
        <f t="shared" si="56"/>
        <v/>
      </c>
      <c r="I765" s="29" t="str">
        <f t="shared" si="57"/>
        <v/>
      </c>
      <c r="J765" s="29" t="str">
        <f t="shared" si="58"/>
        <v/>
      </c>
      <c r="K765" s="29" t="str">
        <f t="shared" si="59"/>
        <v/>
      </c>
    </row>
    <row r="766" spans="1:11" ht="15" x14ac:dyDescent="0.25">
      <c r="A766" s="1" t="str">
        <f>IF('1.1 Produksi Bersih Padi 2025'!A766="","",'1.1 Produksi Bersih Padi 2025'!A766)</f>
        <v/>
      </c>
      <c r="B766" s="31" t="str">
        <f>IF('1.1 Produksi Bersih Padi 2025'!B766="","",'1.1 Produksi Bersih Padi 2025'!B766)</f>
        <v/>
      </c>
      <c r="C766" s="31" t="str">
        <f>IF('1.1 Produksi Bersih Padi 2025'!C766="","",'1.1 Produksi Bersih Padi 2025'!C766)</f>
        <v/>
      </c>
      <c r="D766" s="1" t="str">
        <f>IF('1.1 Produksi Bersih Padi 2025'!D766="","",'1.1 Produksi Bersih Padi 2025'!D766)</f>
        <v/>
      </c>
      <c r="E766" s="1" t="str">
        <f>IF('1.1 Produksi Bersih Padi 2025'!E766="","",'1.1 Produksi Bersih Padi 2025'!E766)</f>
        <v/>
      </c>
      <c r="F766" s="28" t="str">
        <f>IF(D766="","",VLOOKUP(D766,'[1]0.1 Produksi Pangan &amp; Penduduk'!$D$5:$AQ$860,40,0))</f>
        <v/>
      </c>
      <c r="G766" s="29" t="str">
        <f t="shared" si="55"/>
        <v/>
      </c>
      <c r="H766" s="29" t="str">
        <f t="shared" si="56"/>
        <v/>
      </c>
      <c r="I766" s="29" t="str">
        <f t="shared" si="57"/>
        <v/>
      </c>
      <c r="J766" s="29" t="str">
        <f t="shared" si="58"/>
        <v/>
      </c>
      <c r="K766" s="29" t="str">
        <f t="shared" si="59"/>
        <v/>
      </c>
    </row>
    <row r="767" spans="1:11" ht="15" x14ac:dyDescent="0.25">
      <c r="A767" s="1" t="str">
        <f>IF('1.1 Produksi Bersih Padi 2025'!A767="","",'1.1 Produksi Bersih Padi 2025'!A767)</f>
        <v/>
      </c>
      <c r="B767" s="31" t="str">
        <f>IF('1.1 Produksi Bersih Padi 2025'!B767="","",'1.1 Produksi Bersih Padi 2025'!B767)</f>
        <v/>
      </c>
      <c r="C767" s="31" t="str">
        <f>IF('1.1 Produksi Bersih Padi 2025'!C767="","",'1.1 Produksi Bersih Padi 2025'!C767)</f>
        <v/>
      </c>
      <c r="D767" s="1" t="str">
        <f>IF('1.1 Produksi Bersih Padi 2025'!D767="","",'1.1 Produksi Bersih Padi 2025'!D767)</f>
        <v/>
      </c>
      <c r="E767" s="1" t="str">
        <f>IF('1.1 Produksi Bersih Padi 2025'!E767="","",'1.1 Produksi Bersih Padi 2025'!E767)</f>
        <v/>
      </c>
      <c r="F767" s="28" t="str">
        <f>IF(D767="","",VLOOKUP(D767,'[1]0.1 Produksi Pangan &amp; Penduduk'!$D$5:$AQ$860,40,0))</f>
        <v/>
      </c>
      <c r="G767" s="29" t="str">
        <f t="shared" si="55"/>
        <v/>
      </c>
      <c r="H767" s="29" t="str">
        <f t="shared" si="56"/>
        <v/>
      </c>
      <c r="I767" s="29" t="str">
        <f t="shared" si="57"/>
        <v/>
      </c>
      <c r="J767" s="29" t="str">
        <f t="shared" si="58"/>
        <v/>
      </c>
      <c r="K767" s="29" t="str">
        <f t="shared" si="59"/>
        <v/>
      </c>
    </row>
    <row r="768" spans="1:11" ht="15" x14ac:dyDescent="0.25">
      <c r="A768" s="1" t="str">
        <f>IF('1.1 Produksi Bersih Padi 2025'!A768="","",'1.1 Produksi Bersih Padi 2025'!A768)</f>
        <v/>
      </c>
      <c r="B768" s="31" t="str">
        <f>IF('1.1 Produksi Bersih Padi 2025'!B768="","",'1.1 Produksi Bersih Padi 2025'!B768)</f>
        <v/>
      </c>
      <c r="C768" s="31" t="str">
        <f>IF('1.1 Produksi Bersih Padi 2025'!C768="","",'1.1 Produksi Bersih Padi 2025'!C768)</f>
        <v/>
      </c>
      <c r="D768" s="1" t="str">
        <f>IF('1.1 Produksi Bersih Padi 2025'!D768="","",'1.1 Produksi Bersih Padi 2025'!D768)</f>
        <v/>
      </c>
      <c r="E768" s="1" t="str">
        <f>IF('1.1 Produksi Bersih Padi 2025'!E768="","",'1.1 Produksi Bersih Padi 2025'!E768)</f>
        <v/>
      </c>
      <c r="F768" s="28" t="str">
        <f>IF(D768="","",VLOOKUP(D768,'[1]0.1 Produksi Pangan &amp; Penduduk'!$D$5:$AQ$860,40,0))</f>
        <v/>
      </c>
      <c r="G768" s="29" t="str">
        <f t="shared" si="55"/>
        <v/>
      </c>
      <c r="H768" s="29" t="str">
        <f t="shared" si="56"/>
        <v/>
      </c>
      <c r="I768" s="29" t="str">
        <f t="shared" si="57"/>
        <v/>
      </c>
      <c r="J768" s="29" t="str">
        <f t="shared" si="58"/>
        <v/>
      </c>
      <c r="K768" s="29" t="str">
        <f t="shared" si="59"/>
        <v/>
      </c>
    </row>
    <row r="769" spans="1:11" ht="15" x14ac:dyDescent="0.25">
      <c r="A769" s="1" t="str">
        <f>IF('1.1 Produksi Bersih Padi 2025'!A769="","",'1.1 Produksi Bersih Padi 2025'!A769)</f>
        <v/>
      </c>
      <c r="B769" s="31" t="str">
        <f>IF('1.1 Produksi Bersih Padi 2025'!B769="","",'1.1 Produksi Bersih Padi 2025'!B769)</f>
        <v/>
      </c>
      <c r="C769" s="31" t="str">
        <f>IF('1.1 Produksi Bersih Padi 2025'!C769="","",'1.1 Produksi Bersih Padi 2025'!C769)</f>
        <v/>
      </c>
      <c r="D769" s="1" t="str">
        <f>IF('1.1 Produksi Bersih Padi 2025'!D769="","",'1.1 Produksi Bersih Padi 2025'!D769)</f>
        <v/>
      </c>
      <c r="E769" s="1" t="str">
        <f>IF('1.1 Produksi Bersih Padi 2025'!E769="","",'1.1 Produksi Bersih Padi 2025'!E769)</f>
        <v/>
      </c>
      <c r="F769" s="28" t="str">
        <f>IF(D769="","",VLOOKUP(D769,'[1]0.1 Produksi Pangan &amp; Penduduk'!$D$5:$AQ$860,40,0))</f>
        <v/>
      </c>
      <c r="G769" s="29" t="str">
        <f t="shared" si="55"/>
        <v/>
      </c>
      <c r="H769" s="29" t="str">
        <f t="shared" si="56"/>
        <v/>
      </c>
      <c r="I769" s="29" t="str">
        <f t="shared" si="57"/>
        <v/>
      </c>
      <c r="J769" s="29" t="str">
        <f t="shared" si="58"/>
        <v/>
      </c>
      <c r="K769" s="29" t="str">
        <f t="shared" si="59"/>
        <v/>
      </c>
    </row>
    <row r="770" spans="1:11" ht="15" x14ac:dyDescent="0.25">
      <c r="A770" s="1" t="str">
        <f>IF('1.1 Produksi Bersih Padi 2025'!A770="","",'1.1 Produksi Bersih Padi 2025'!A770)</f>
        <v/>
      </c>
      <c r="B770" s="31" t="str">
        <f>IF('1.1 Produksi Bersih Padi 2025'!B770="","",'1.1 Produksi Bersih Padi 2025'!B770)</f>
        <v/>
      </c>
      <c r="C770" s="31" t="str">
        <f>IF('1.1 Produksi Bersih Padi 2025'!C770="","",'1.1 Produksi Bersih Padi 2025'!C770)</f>
        <v/>
      </c>
      <c r="D770" s="1" t="str">
        <f>IF('1.1 Produksi Bersih Padi 2025'!D770="","",'1.1 Produksi Bersih Padi 2025'!D770)</f>
        <v/>
      </c>
      <c r="E770" s="1" t="str">
        <f>IF('1.1 Produksi Bersih Padi 2025'!E770="","",'1.1 Produksi Bersih Padi 2025'!E770)</f>
        <v/>
      </c>
      <c r="F770" s="28" t="str">
        <f>IF(D770="","",VLOOKUP(D770,'[1]0.1 Produksi Pangan &amp; Penduduk'!$D$5:$AQ$860,40,0))</f>
        <v/>
      </c>
      <c r="G770" s="29" t="str">
        <f t="shared" si="55"/>
        <v/>
      </c>
      <c r="H770" s="29" t="str">
        <f t="shared" si="56"/>
        <v/>
      </c>
      <c r="I770" s="29" t="str">
        <f t="shared" si="57"/>
        <v/>
      </c>
      <c r="J770" s="29" t="str">
        <f t="shared" si="58"/>
        <v/>
      </c>
      <c r="K770" s="29" t="str">
        <f t="shared" si="59"/>
        <v/>
      </c>
    </row>
    <row r="771" spans="1:11" ht="15" x14ac:dyDescent="0.25">
      <c r="A771" s="1" t="str">
        <f>IF('1.1 Produksi Bersih Padi 2025'!A771="","",'1.1 Produksi Bersih Padi 2025'!A771)</f>
        <v/>
      </c>
      <c r="B771" s="31" t="str">
        <f>IF('1.1 Produksi Bersih Padi 2025'!B771="","",'1.1 Produksi Bersih Padi 2025'!B771)</f>
        <v/>
      </c>
      <c r="C771" s="31" t="str">
        <f>IF('1.1 Produksi Bersih Padi 2025'!C771="","",'1.1 Produksi Bersih Padi 2025'!C771)</f>
        <v/>
      </c>
      <c r="D771" s="1" t="str">
        <f>IF('1.1 Produksi Bersih Padi 2025'!D771="","",'1.1 Produksi Bersih Padi 2025'!D771)</f>
        <v/>
      </c>
      <c r="E771" s="1" t="str">
        <f>IF('1.1 Produksi Bersih Padi 2025'!E771="","",'1.1 Produksi Bersih Padi 2025'!E771)</f>
        <v/>
      </c>
      <c r="F771" s="28" t="str">
        <f>IF(D771="","",VLOOKUP(D771,'[1]0.1 Produksi Pangan &amp; Penduduk'!$D$5:$AQ$860,40,0))</f>
        <v/>
      </c>
      <c r="G771" s="29" t="str">
        <f t="shared" si="55"/>
        <v/>
      </c>
      <c r="H771" s="29" t="str">
        <f t="shared" si="56"/>
        <v/>
      </c>
      <c r="I771" s="29" t="str">
        <f t="shared" si="57"/>
        <v/>
      </c>
      <c r="J771" s="29" t="str">
        <f t="shared" si="58"/>
        <v/>
      </c>
      <c r="K771" s="29" t="str">
        <f t="shared" si="59"/>
        <v/>
      </c>
    </row>
    <row r="772" spans="1:11" ht="15" x14ac:dyDescent="0.25">
      <c r="A772" s="1" t="str">
        <f>IF('1.1 Produksi Bersih Padi 2025'!A772="","",'1.1 Produksi Bersih Padi 2025'!A772)</f>
        <v/>
      </c>
      <c r="B772" s="31" t="str">
        <f>IF('1.1 Produksi Bersih Padi 2025'!B772="","",'1.1 Produksi Bersih Padi 2025'!B772)</f>
        <v/>
      </c>
      <c r="C772" s="31" t="str">
        <f>IF('1.1 Produksi Bersih Padi 2025'!C772="","",'1.1 Produksi Bersih Padi 2025'!C772)</f>
        <v/>
      </c>
      <c r="D772" s="1" t="str">
        <f>IF('1.1 Produksi Bersih Padi 2025'!D772="","",'1.1 Produksi Bersih Padi 2025'!D772)</f>
        <v/>
      </c>
      <c r="E772" s="1" t="str">
        <f>IF('1.1 Produksi Bersih Padi 2025'!E772="","",'1.1 Produksi Bersih Padi 2025'!E772)</f>
        <v/>
      </c>
      <c r="F772" s="28" t="str">
        <f>IF(D772="","",VLOOKUP(D772,'[1]0.1 Produksi Pangan &amp; Penduduk'!$D$5:$AQ$860,40,0))</f>
        <v/>
      </c>
      <c r="G772" s="29" t="str">
        <f t="shared" si="55"/>
        <v/>
      </c>
      <c r="H772" s="29" t="str">
        <f t="shared" si="56"/>
        <v/>
      </c>
      <c r="I772" s="29" t="str">
        <f t="shared" si="57"/>
        <v/>
      </c>
      <c r="J772" s="29" t="str">
        <f t="shared" si="58"/>
        <v/>
      </c>
      <c r="K772" s="29" t="str">
        <f t="shared" si="59"/>
        <v/>
      </c>
    </row>
    <row r="773" spans="1:11" ht="15" x14ac:dyDescent="0.25">
      <c r="A773" s="1" t="str">
        <f>IF('1.1 Produksi Bersih Padi 2025'!A773="","",'1.1 Produksi Bersih Padi 2025'!A773)</f>
        <v/>
      </c>
      <c r="B773" s="31" t="str">
        <f>IF('1.1 Produksi Bersih Padi 2025'!B773="","",'1.1 Produksi Bersih Padi 2025'!B773)</f>
        <v/>
      </c>
      <c r="C773" s="31" t="str">
        <f>IF('1.1 Produksi Bersih Padi 2025'!C773="","",'1.1 Produksi Bersih Padi 2025'!C773)</f>
        <v/>
      </c>
      <c r="D773" s="1" t="str">
        <f>IF('1.1 Produksi Bersih Padi 2025'!D773="","",'1.1 Produksi Bersih Padi 2025'!D773)</f>
        <v/>
      </c>
      <c r="E773" s="1" t="str">
        <f>IF('1.1 Produksi Bersih Padi 2025'!E773="","",'1.1 Produksi Bersih Padi 2025'!E773)</f>
        <v/>
      </c>
      <c r="F773" s="28" t="str">
        <f>IF(D773="","",VLOOKUP(D773,'[1]0.1 Produksi Pangan &amp; Penduduk'!$D$5:$AQ$860,40,0))</f>
        <v/>
      </c>
      <c r="G773" s="29" t="str">
        <f t="shared" si="55"/>
        <v/>
      </c>
      <c r="H773" s="29" t="str">
        <f t="shared" si="56"/>
        <v/>
      </c>
      <c r="I773" s="29" t="str">
        <f t="shared" si="57"/>
        <v/>
      </c>
      <c r="J773" s="29" t="str">
        <f t="shared" si="58"/>
        <v/>
      </c>
      <c r="K773" s="29" t="str">
        <f t="shared" si="59"/>
        <v/>
      </c>
    </row>
    <row r="774" spans="1:11" ht="15" x14ac:dyDescent="0.25">
      <c r="A774" s="1" t="str">
        <f>IF('1.1 Produksi Bersih Padi 2025'!A774="","",'1.1 Produksi Bersih Padi 2025'!A774)</f>
        <v/>
      </c>
      <c r="B774" s="31" t="str">
        <f>IF('1.1 Produksi Bersih Padi 2025'!B774="","",'1.1 Produksi Bersih Padi 2025'!B774)</f>
        <v/>
      </c>
      <c r="C774" s="31" t="str">
        <f>IF('1.1 Produksi Bersih Padi 2025'!C774="","",'1.1 Produksi Bersih Padi 2025'!C774)</f>
        <v/>
      </c>
      <c r="D774" s="1" t="str">
        <f>IF('1.1 Produksi Bersih Padi 2025'!D774="","",'1.1 Produksi Bersih Padi 2025'!D774)</f>
        <v/>
      </c>
      <c r="E774" s="1" t="str">
        <f>IF('1.1 Produksi Bersih Padi 2025'!E774="","",'1.1 Produksi Bersih Padi 2025'!E774)</f>
        <v/>
      </c>
      <c r="F774" s="28" t="str">
        <f>IF(D774="","",VLOOKUP(D774,'[1]0.1 Produksi Pangan &amp; Penduduk'!$D$5:$AQ$860,40,0))</f>
        <v/>
      </c>
      <c r="G774" s="29" t="str">
        <f t="shared" ref="G774:G837" si="60">IF(F774="","",F774*0%)</f>
        <v/>
      </c>
      <c r="H774" s="29" t="str">
        <f t="shared" ref="H774:H837" si="61">IF(F774="","",F774*0%)</f>
        <v/>
      </c>
      <c r="I774" s="29" t="str">
        <f t="shared" ref="I774:I837" si="62">IF(F774="","",F774*1.11%)</f>
        <v/>
      </c>
      <c r="J774" s="29" t="str">
        <f t="shared" ref="J774:J837" si="63">IF(F774="","",F774-(G774+H774+I774))</f>
        <v/>
      </c>
      <c r="K774" s="29" t="str">
        <f t="shared" ref="K774:K837" si="64">IF(J774="","",J774*0.134)</f>
        <v/>
      </c>
    </row>
    <row r="775" spans="1:11" ht="15" x14ac:dyDescent="0.25">
      <c r="A775" s="1" t="str">
        <f>IF('1.1 Produksi Bersih Padi 2025'!A775="","",'1.1 Produksi Bersih Padi 2025'!A775)</f>
        <v/>
      </c>
      <c r="B775" s="31" t="str">
        <f>IF('1.1 Produksi Bersih Padi 2025'!B775="","",'1.1 Produksi Bersih Padi 2025'!B775)</f>
        <v/>
      </c>
      <c r="C775" s="31" t="str">
        <f>IF('1.1 Produksi Bersih Padi 2025'!C775="","",'1.1 Produksi Bersih Padi 2025'!C775)</f>
        <v/>
      </c>
      <c r="D775" s="1" t="str">
        <f>IF('1.1 Produksi Bersih Padi 2025'!D775="","",'1.1 Produksi Bersih Padi 2025'!D775)</f>
        <v/>
      </c>
      <c r="E775" s="1" t="str">
        <f>IF('1.1 Produksi Bersih Padi 2025'!E775="","",'1.1 Produksi Bersih Padi 2025'!E775)</f>
        <v/>
      </c>
      <c r="F775" s="28" t="str">
        <f>IF(D775="","",VLOOKUP(D775,'[1]0.1 Produksi Pangan &amp; Penduduk'!$D$5:$AQ$860,40,0))</f>
        <v/>
      </c>
      <c r="G775" s="29" t="str">
        <f t="shared" si="60"/>
        <v/>
      </c>
      <c r="H775" s="29" t="str">
        <f t="shared" si="61"/>
        <v/>
      </c>
      <c r="I775" s="29" t="str">
        <f t="shared" si="62"/>
        <v/>
      </c>
      <c r="J775" s="29" t="str">
        <f t="shared" si="63"/>
        <v/>
      </c>
      <c r="K775" s="29" t="str">
        <f t="shared" si="64"/>
        <v/>
      </c>
    </row>
    <row r="776" spans="1:11" ht="15" x14ac:dyDescent="0.25">
      <c r="A776" s="1" t="str">
        <f>IF('1.1 Produksi Bersih Padi 2025'!A776="","",'1.1 Produksi Bersih Padi 2025'!A776)</f>
        <v/>
      </c>
      <c r="B776" s="31" t="str">
        <f>IF('1.1 Produksi Bersih Padi 2025'!B776="","",'1.1 Produksi Bersih Padi 2025'!B776)</f>
        <v/>
      </c>
      <c r="C776" s="31" t="str">
        <f>IF('1.1 Produksi Bersih Padi 2025'!C776="","",'1.1 Produksi Bersih Padi 2025'!C776)</f>
        <v/>
      </c>
      <c r="D776" s="1" t="str">
        <f>IF('1.1 Produksi Bersih Padi 2025'!D776="","",'1.1 Produksi Bersih Padi 2025'!D776)</f>
        <v/>
      </c>
      <c r="E776" s="1" t="str">
        <f>IF('1.1 Produksi Bersih Padi 2025'!E776="","",'1.1 Produksi Bersih Padi 2025'!E776)</f>
        <v/>
      </c>
      <c r="F776" s="28" t="str">
        <f>IF(D776="","",VLOOKUP(D776,'[1]0.1 Produksi Pangan &amp; Penduduk'!$D$5:$AQ$860,40,0))</f>
        <v/>
      </c>
      <c r="G776" s="29" t="str">
        <f t="shared" si="60"/>
        <v/>
      </c>
      <c r="H776" s="29" t="str">
        <f t="shared" si="61"/>
        <v/>
      </c>
      <c r="I776" s="29" t="str">
        <f t="shared" si="62"/>
        <v/>
      </c>
      <c r="J776" s="29" t="str">
        <f t="shared" si="63"/>
        <v/>
      </c>
      <c r="K776" s="29" t="str">
        <f t="shared" si="64"/>
        <v/>
      </c>
    </row>
    <row r="777" spans="1:11" ht="15" x14ac:dyDescent="0.25">
      <c r="A777" s="1" t="str">
        <f>IF('1.1 Produksi Bersih Padi 2025'!A777="","",'1.1 Produksi Bersih Padi 2025'!A777)</f>
        <v/>
      </c>
      <c r="B777" s="31" t="str">
        <f>IF('1.1 Produksi Bersih Padi 2025'!B777="","",'1.1 Produksi Bersih Padi 2025'!B777)</f>
        <v/>
      </c>
      <c r="C777" s="31" t="str">
        <f>IF('1.1 Produksi Bersih Padi 2025'!C777="","",'1.1 Produksi Bersih Padi 2025'!C777)</f>
        <v/>
      </c>
      <c r="D777" s="1" t="str">
        <f>IF('1.1 Produksi Bersih Padi 2025'!D777="","",'1.1 Produksi Bersih Padi 2025'!D777)</f>
        <v/>
      </c>
      <c r="E777" s="1" t="str">
        <f>IF('1.1 Produksi Bersih Padi 2025'!E777="","",'1.1 Produksi Bersih Padi 2025'!E777)</f>
        <v/>
      </c>
      <c r="F777" s="28" t="str">
        <f>IF(D777="","",VLOOKUP(D777,'[1]0.1 Produksi Pangan &amp; Penduduk'!$D$5:$AQ$860,40,0))</f>
        <v/>
      </c>
      <c r="G777" s="29" t="str">
        <f t="shared" si="60"/>
        <v/>
      </c>
      <c r="H777" s="29" t="str">
        <f t="shared" si="61"/>
        <v/>
      </c>
      <c r="I777" s="29" t="str">
        <f t="shared" si="62"/>
        <v/>
      </c>
      <c r="J777" s="29" t="str">
        <f t="shared" si="63"/>
        <v/>
      </c>
      <c r="K777" s="29" t="str">
        <f t="shared" si="64"/>
        <v/>
      </c>
    </row>
    <row r="778" spans="1:11" ht="15" x14ac:dyDescent="0.25">
      <c r="A778" s="1" t="str">
        <f>IF('1.1 Produksi Bersih Padi 2025'!A778="","",'1.1 Produksi Bersih Padi 2025'!A778)</f>
        <v/>
      </c>
      <c r="B778" s="31" t="str">
        <f>IF('1.1 Produksi Bersih Padi 2025'!B778="","",'1.1 Produksi Bersih Padi 2025'!B778)</f>
        <v/>
      </c>
      <c r="C778" s="31" t="str">
        <f>IF('1.1 Produksi Bersih Padi 2025'!C778="","",'1.1 Produksi Bersih Padi 2025'!C778)</f>
        <v/>
      </c>
      <c r="D778" s="1" t="str">
        <f>IF('1.1 Produksi Bersih Padi 2025'!D778="","",'1.1 Produksi Bersih Padi 2025'!D778)</f>
        <v/>
      </c>
      <c r="E778" s="1" t="str">
        <f>IF('1.1 Produksi Bersih Padi 2025'!E778="","",'1.1 Produksi Bersih Padi 2025'!E778)</f>
        <v/>
      </c>
      <c r="F778" s="28" t="str">
        <f>IF(D778="","",VLOOKUP(D778,'[1]0.1 Produksi Pangan &amp; Penduduk'!$D$5:$AQ$860,40,0))</f>
        <v/>
      </c>
      <c r="G778" s="29" t="str">
        <f t="shared" si="60"/>
        <v/>
      </c>
      <c r="H778" s="29" t="str">
        <f t="shared" si="61"/>
        <v/>
      </c>
      <c r="I778" s="29" t="str">
        <f t="shared" si="62"/>
        <v/>
      </c>
      <c r="J778" s="29" t="str">
        <f t="shared" si="63"/>
        <v/>
      </c>
      <c r="K778" s="29" t="str">
        <f t="shared" si="64"/>
        <v/>
      </c>
    </row>
    <row r="779" spans="1:11" ht="15" x14ac:dyDescent="0.25">
      <c r="A779" s="1" t="str">
        <f>IF('1.1 Produksi Bersih Padi 2025'!A779="","",'1.1 Produksi Bersih Padi 2025'!A779)</f>
        <v/>
      </c>
      <c r="B779" s="31" t="str">
        <f>IF('1.1 Produksi Bersih Padi 2025'!B779="","",'1.1 Produksi Bersih Padi 2025'!B779)</f>
        <v/>
      </c>
      <c r="C779" s="31" t="str">
        <f>IF('1.1 Produksi Bersih Padi 2025'!C779="","",'1.1 Produksi Bersih Padi 2025'!C779)</f>
        <v/>
      </c>
      <c r="D779" s="1" t="str">
        <f>IF('1.1 Produksi Bersih Padi 2025'!D779="","",'1.1 Produksi Bersih Padi 2025'!D779)</f>
        <v/>
      </c>
      <c r="E779" s="1" t="str">
        <f>IF('1.1 Produksi Bersih Padi 2025'!E779="","",'1.1 Produksi Bersih Padi 2025'!E779)</f>
        <v/>
      </c>
      <c r="F779" s="28" t="str">
        <f>IF(D779="","",VLOOKUP(D779,'[1]0.1 Produksi Pangan &amp; Penduduk'!$D$5:$AQ$860,40,0))</f>
        <v/>
      </c>
      <c r="G779" s="29" t="str">
        <f t="shared" si="60"/>
        <v/>
      </c>
      <c r="H779" s="29" t="str">
        <f t="shared" si="61"/>
        <v/>
      </c>
      <c r="I779" s="29" t="str">
        <f t="shared" si="62"/>
        <v/>
      </c>
      <c r="J779" s="29" t="str">
        <f t="shared" si="63"/>
        <v/>
      </c>
      <c r="K779" s="29" t="str">
        <f t="shared" si="64"/>
        <v/>
      </c>
    </row>
    <row r="780" spans="1:11" ht="15" x14ac:dyDescent="0.25">
      <c r="A780" s="1" t="str">
        <f>IF('1.1 Produksi Bersih Padi 2025'!A780="","",'1.1 Produksi Bersih Padi 2025'!A780)</f>
        <v/>
      </c>
      <c r="B780" s="31" t="str">
        <f>IF('1.1 Produksi Bersih Padi 2025'!B780="","",'1.1 Produksi Bersih Padi 2025'!B780)</f>
        <v/>
      </c>
      <c r="C780" s="31" t="str">
        <f>IF('1.1 Produksi Bersih Padi 2025'!C780="","",'1.1 Produksi Bersih Padi 2025'!C780)</f>
        <v/>
      </c>
      <c r="D780" s="1" t="str">
        <f>IF('1.1 Produksi Bersih Padi 2025'!D780="","",'1.1 Produksi Bersih Padi 2025'!D780)</f>
        <v/>
      </c>
      <c r="E780" s="1" t="str">
        <f>IF('1.1 Produksi Bersih Padi 2025'!E780="","",'1.1 Produksi Bersih Padi 2025'!E780)</f>
        <v/>
      </c>
      <c r="F780" s="28" t="str">
        <f>IF(D780="","",VLOOKUP(D780,'[1]0.1 Produksi Pangan &amp; Penduduk'!$D$5:$AQ$860,40,0))</f>
        <v/>
      </c>
      <c r="G780" s="29" t="str">
        <f t="shared" si="60"/>
        <v/>
      </c>
      <c r="H780" s="29" t="str">
        <f t="shared" si="61"/>
        <v/>
      </c>
      <c r="I780" s="29" t="str">
        <f t="shared" si="62"/>
        <v/>
      </c>
      <c r="J780" s="29" t="str">
        <f t="shared" si="63"/>
        <v/>
      </c>
      <c r="K780" s="29" t="str">
        <f t="shared" si="64"/>
        <v/>
      </c>
    </row>
    <row r="781" spans="1:11" ht="15" x14ac:dyDescent="0.25">
      <c r="A781" s="1" t="str">
        <f>IF('1.1 Produksi Bersih Padi 2025'!A781="","",'1.1 Produksi Bersih Padi 2025'!A781)</f>
        <v/>
      </c>
      <c r="B781" s="31" t="str">
        <f>IF('1.1 Produksi Bersih Padi 2025'!B781="","",'1.1 Produksi Bersih Padi 2025'!B781)</f>
        <v/>
      </c>
      <c r="C781" s="31" t="str">
        <f>IF('1.1 Produksi Bersih Padi 2025'!C781="","",'1.1 Produksi Bersih Padi 2025'!C781)</f>
        <v/>
      </c>
      <c r="D781" s="1" t="str">
        <f>IF('1.1 Produksi Bersih Padi 2025'!D781="","",'1.1 Produksi Bersih Padi 2025'!D781)</f>
        <v/>
      </c>
      <c r="E781" s="1" t="str">
        <f>IF('1.1 Produksi Bersih Padi 2025'!E781="","",'1.1 Produksi Bersih Padi 2025'!E781)</f>
        <v/>
      </c>
      <c r="F781" s="28" t="str">
        <f>IF(D781="","",VLOOKUP(D781,'[1]0.1 Produksi Pangan &amp; Penduduk'!$D$5:$AQ$860,40,0))</f>
        <v/>
      </c>
      <c r="G781" s="29" t="str">
        <f t="shared" si="60"/>
        <v/>
      </c>
      <c r="H781" s="29" t="str">
        <f t="shared" si="61"/>
        <v/>
      </c>
      <c r="I781" s="29" t="str">
        <f t="shared" si="62"/>
        <v/>
      </c>
      <c r="J781" s="29" t="str">
        <f t="shared" si="63"/>
        <v/>
      </c>
      <c r="K781" s="29" t="str">
        <f t="shared" si="64"/>
        <v/>
      </c>
    </row>
    <row r="782" spans="1:11" ht="15" x14ac:dyDescent="0.25">
      <c r="A782" s="1" t="str">
        <f>IF('1.1 Produksi Bersih Padi 2025'!A782="","",'1.1 Produksi Bersih Padi 2025'!A782)</f>
        <v/>
      </c>
      <c r="B782" s="31" t="str">
        <f>IF('1.1 Produksi Bersih Padi 2025'!B782="","",'1.1 Produksi Bersih Padi 2025'!B782)</f>
        <v/>
      </c>
      <c r="C782" s="31" t="str">
        <f>IF('1.1 Produksi Bersih Padi 2025'!C782="","",'1.1 Produksi Bersih Padi 2025'!C782)</f>
        <v/>
      </c>
      <c r="D782" s="1" t="str">
        <f>IF('1.1 Produksi Bersih Padi 2025'!D782="","",'1.1 Produksi Bersih Padi 2025'!D782)</f>
        <v/>
      </c>
      <c r="E782" s="1" t="str">
        <f>IF('1.1 Produksi Bersih Padi 2025'!E782="","",'1.1 Produksi Bersih Padi 2025'!E782)</f>
        <v/>
      </c>
      <c r="F782" s="28" t="str">
        <f>IF(D782="","",VLOOKUP(D782,'[1]0.1 Produksi Pangan &amp; Penduduk'!$D$5:$AQ$860,40,0))</f>
        <v/>
      </c>
      <c r="G782" s="29" t="str">
        <f t="shared" si="60"/>
        <v/>
      </c>
      <c r="H782" s="29" t="str">
        <f t="shared" si="61"/>
        <v/>
      </c>
      <c r="I782" s="29" t="str">
        <f t="shared" si="62"/>
        <v/>
      </c>
      <c r="J782" s="29" t="str">
        <f t="shared" si="63"/>
        <v/>
      </c>
      <c r="K782" s="29" t="str">
        <f t="shared" si="64"/>
        <v/>
      </c>
    </row>
    <row r="783" spans="1:11" ht="15" x14ac:dyDescent="0.25">
      <c r="A783" s="1" t="str">
        <f>IF('1.1 Produksi Bersih Padi 2025'!A783="","",'1.1 Produksi Bersih Padi 2025'!A783)</f>
        <v/>
      </c>
      <c r="B783" s="31" t="str">
        <f>IF('1.1 Produksi Bersih Padi 2025'!B783="","",'1.1 Produksi Bersih Padi 2025'!B783)</f>
        <v/>
      </c>
      <c r="C783" s="31" t="str">
        <f>IF('1.1 Produksi Bersih Padi 2025'!C783="","",'1.1 Produksi Bersih Padi 2025'!C783)</f>
        <v/>
      </c>
      <c r="D783" s="1" t="str">
        <f>IF('1.1 Produksi Bersih Padi 2025'!D783="","",'1.1 Produksi Bersih Padi 2025'!D783)</f>
        <v/>
      </c>
      <c r="E783" s="1" t="str">
        <f>IF('1.1 Produksi Bersih Padi 2025'!E783="","",'1.1 Produksi Bersih Padi 2025'!E783)</f>
        <v/>
      </c>
      <c r="F783" s="28" t="str">
        <f>IF(D783="","",VLOOKUP(D783,'[1]0.1 Produksi Pangan &amp; Penduduk'!$D$5:$AQ$860,40,0))</f>
        <v/>
      </c>
      <c r="G783" s="29" t="str">
        <f t="shared" si="60"/>
        <v/>
      </c>
      <c r="H783" s="29" t="str">
        <f t="shared" si="61"/>
        <v/>
      </c>
      <c r="I783" s="29" t="str">
        <f t="shared" si="62"/>
        <v/>
      </c>
      <c r="J783" s="29" t="str">
        <f t="shared" si="63"/>
        <v/>
      </c>
      <c r="K783" s="29" t="str">
        <f t="shared" si="64"/>
        <v/>
      </c>
    </row>
    <row r="784" spans="1:11" ht="15" x14ac:dyDescent="0.25">
      <c r="A784" s="1" t="str">
        <f>IF('1.1 Produksi Bersih Padi 2025'!A784="","",'1.1 Produksi Bersih Padi 2025'!A784)</f>
        <v/>
      </c>
      <c r="B784" s="31" t="str">
        <f>IF('1.1 Produksi Bersih Padi 2025'!B784="","",'1.1 Produksi Bersih Padi 2025'!B784)</f>
        <v/>
      </c>
      <c r="C784" s="31" t="str">
        <f>IF('1.1 Produksi Bersih Padi 2025'!C784="","",'1.1 Produksi Bersih Padi 2025'!C784)</f>
        <v/>
      </c>
      <c r="D784" s="1" t="str">
        <f>IF('1.1 Produksi Bersih Padi 2025'!D784="","",'1.1 Produksi Bersih Padi 2025'!D784)</f>
        <v/>
      </c>
      <c r="E784" s="1" t="str">
        <f>IF('1.1 Produksi Bersih Padi 2025'!E784="","",'1.1 Produksi Bersih Padi 2025'!E784)</f>
        <v/>
      </c>
      <c r="F784" s="28" t="str">
        <f>IF(D784="","",VLOOKUP(D784,'[1]0.1 Produksi Pangan &amp; Penduduk'!$D$5:$AQ$860,40,0))</f>
        <v/>
      </c>
      <c r="G784" s="29" t="str">
        <f t="shared" si="60"/>
        <v/>
      </c>
      <c r="H784" s="29" t="str">
        <f t="shared" si="61"/>
        <v/>
      </c>
      <c r="I784" s="29" t="str">
        <f t="shared" si="62"/>
        <v/>
      </c>
      <c r="J784" s="29" t="str">
        <f t="shared" si="63"/>
        <v/>
      </c>
      <c r="K784" s="29" t="str">
        <f t="shared" si="64"/>
        <v/>
      </c>
    </row>
    <row r="785" spans="1:11" ht="15" x14ac:dyDescent="0.25">
      <c r="A785" s="1" t="str">
        <f>IF('1.1 Produksi Bersih Padi 2025'!A785="","",'1.1 Produksi Bersih Padi 2025'!A785)</f>
        <v/>
      </c>
      <c r="B785" s="31" t="str">
        <f>IF('1.1 Produksi Bersih Padi 2025'!B785="","",'1.1 Produksi Bersih Padi 2025'!B785)</f>
        <v/>
      </c>
      <c r="C785" s="31" t="str">
        <f>IF('1.1 Produksi Bersih Padi 2025'!C785="","",'1.1 Produksi Bersih Padi 2025'!C785)</f>
        <v/>
      </c>
      <c r="D785" s="1" t="str">
        <f>IF('1.1 Produksi Bersih Padi 2025'!D785="","",'1.1 Produksi Bersih Padi 2025'!D785)</f>
        <v/>
      </c>
      <c r="E785" s="1" t="str">
        <f>IF('1.1 Produksi Bersih Padi 2025'!E785="","",'1.1 Produksi Bersih Padi 2025'!E785)</f>
        <v/>
      </c>
      <c r="F785" s="28" t="str">
        <f>IF(D785="","",VLOOKUP(D785,'[1]0.1 Produksi Pangan &amp; Penduduk'!$D$5:$AQ$860,40,0))</f>
        <v/>
      </c>
      <c r="G785" s="29" t="str">
        <f t="shared" si="60"/>
        <v/>
      </c>
      <c r="H785" s="29" t="str">
        <f t="shared" si="61"/>
        <v/>
      </c>
      <c r="I785" s="29" t="str">
        <f t="shared" si="62"/>
        <v/>
      </c>
      <c r="J785" s="29" t="str">
        <f t="shared" si="63"/>
        <v/>
      </c>
      <c r="K785" s="29" t="str">
        <f t="shared" si="64"/>
        <v/>
      </c>
    </row>
    <row r="786" spans="1:11" ht="15" x14ac:dyDescent="0.25">
      <c r="A786" s="1" t="str">
        <f>IF('1.1 Produksi Bersih Padi 2025'!A786="","",'1.1 Produksi Bersih Padi 2025'!A786)</f>
        <v/>
      </c>
      <c r="B786" s="31" t="str">
        <f>IF('1.1 Produksi Bersih Padi 2025'!B786="","",'1.1 Produksi Bersih Padi 2025'!B786)</f>
        <v/>
      </c>
      <c r="C786" s="31" t="str">
        <f>IF('1.1 Produksi Bersih Padi 2025'!C786="","",'1.1 Produksi Bersih Padi 2025'!C786)</f>
        <v/>
      </c>
      <c r="D786" s="1" t="str">
        <f>IF('1.1 Produksi Bersih Padi 2025'!D786="","",'1.1 Produksi Bersih Padi 2025'!D786)</f>
        <v/>
      </c>
      <c r="E786" s="1" t="str">
        <f>IF('1.1 Produksi Bersih Padi 2025'!E786="","",'1.1 Produksi Bersih Padi 2025'!E786)</f>
        <v/>
      </c>
      <c r="F786" s="28" t="str">
        <f>IF(D786="","",VLOOKUP(D786,'[1]0.1 Produksi Pangan &amp; Penduduk'!$D$5:$AQ$860,40,0))</f>
        <v/>
      </c>
      <c r="G786" s="29" t="str">
        <f t="shared" si="60"/>
        <v/>
      </c>
      <c r="H786" s="29" t="str">
        <f t="shared" si="61"/>
        <v/>
      </c>
      <c r="I786" s="29" t="str">
        <f t="shared" si="62"/>
        <v/>
      </c>
      <c r="J786" s="29" t="str">
        <f t="shared" si="63"/>
        <v/>
      </c>
      <c r="K786" s="29" t="str">
        <f t="shared" si="64"/>
        <v/>
      </c>
    </row>
    <row r="787" spans="1:11" ht="15" x14ac:dyDescent="0.25">
      <c r="A787" s="1" t="str">
        <f>IF('1.1 Produksi Bersih Padi 2025'!A787="","",'1.1 Produksi Bersih Padi 2025'!A787)</f>
        <v/>
      </c>
      <c r="B787" s="31" t="str">
        <f>IF('1.1 Produksi Bersih Padi 2025'!B787="","",'1.1 Produksi Bersih Padi 2025'!B787)</f>
        <v/>
      </c>
      <c r="C787" s="31" t="str">
        <f>IF('1.1 Produksi Bersih Padi 2025'!C787="","",'1.1 Produksi Bersih Padi 2025'!C787)</f>
        <v/>
      </c>
      <c r="D787" s="1" t="str">
        <f>IF('1.1 Produksi Bersih Padi 2025'!D787="","",'1.1 Produksi Bersih Padi 2025'!D787)</f>
        <v/>
      </c>
      <c r="E787" s="1" t="str">
        <f>IF('1.1 Produksi Bersih Padi 2025'!E787="","",'1.1 Produksi Bersih Padi 2025'!E787)</f>
        <v/>
      </c>
      <c r="F787" s="28" t="str">
        <f>IF(D787="","",VLOOKUP(D787,'[1]0.1 Produksi Pangan &amp; Penduduk'!$D$5:$AQ$860,40,0))</f>
        <v/>
      </c>
      <c r="G787" s="29" t="str">
        <f t="shared" si="60"/>
        <v/>
      </c>
      <c r="H787" s="29" t="str">
        <f t="shared" si="61"/>
        <v/>
      </c>
      <c r="I787" s="29" t="str">
        <f t="shared" si="62"/>
        <v/>
      </c>
      <c r="J787" s="29" t="str">
        <f t="shared" si="63"/>
        <v/>
      </c>
      <c r="K787" s="29" t="str">
        <f t="shared" si="64"/>
        <v/>
      </c>
    </row>
    <row r="788" spans="1:11" ht="15" x14ac:dyDescent="0.25">
      <c r="A788" s="1" t="str">
        <f>IF('1.1 Produksi Bersih Padi 2025'!A788="","",'1.1 Produksi Bersih Padi 2025'!A788)</f>
        <v/>
      </c>
      <c r="B788" s="31" t="str">
        <f>IF('1.1 Produksi Bersih Padi 2025'!B788="","",'1.1 Produksi Bersih Padi 2025'!B788)</f>
        <v/>
      </c>
      <c r="C788" s="31" t="str">
        <f>IF('1.1 Produksi Bersih Padi 2025'!C788="","",'1.1 Produksi Bersih Padi 2025'!C788)</f>
        <v/>
      </c>
      <c r="D788" s="1" t="str">
        <f>IF('1.1 Produksi Bersih Padi 2025'!D788="","",'1.1 Produksi Bersih Padi 2025'!D788)</f>
        <v/>
      </c>
      <c r="E788" s="1" t="str">
        <f>IF('1.1 Produksi Bersih Padi 2025'!E788="","",'1.1 Produksi Bersih Padi 2025'!E788)</f>
        <v/>
      </c>
      <c r="F788" s="28" t="str">
        <f>IF(D788="","",VLOOKUP(D788,'[1]0.1 Produksi Pangan &amp; Penduduk'!$D$5:$AQ$860,40,0))</f>
        <v/>
      </c>
      <c r="G788" s="29" t="str">
        <f t="shared" si="60"/>
        <v/>
      </c>
      <c r="H788" s="29" t="str">
        <f t="shared" si="61"/>
        <v/>
      </c>
      <c r="I788" s="29" t="str">
        <f t="shared" si="62"/>
        <v/>
      </c>
      <c r="J788" s="29" t="str">
        <f t="shared" si="63"/>
        <v/>
      </c>
      <c r="K788" s="29" t="str">
        <f t="shared" si="64"/>
        <v/>
      </c>
    </row>
    <row r="789" spans="1:11" ht="15" x14ac:dyDescent="0.25">
      <c r="A789" s="1" t="str">
        <f>IF('1.1 Produksi Bersih Padi 2025'!A789="","",'1.1 Produksi Bersih Padi 2025'!A789)</f>
        <v/>
      </c>
      <c r="B789" s="31" t="str">
        <f>IF('1.1 Produksi Bersih Padi 2025'!B789="","",'1.1 Produksi Bersih Padi 2025'!B789)</f>
        <v/>
      </c>
      <c r="C789" s="31" t="str">
        <f>IF('1.1 Produksi Bersih Padi 2025'!C789="","",'1.1 Produksi Bersih Padi 2025'!C789)</f>
        <v/>
      </c>
      <c r="D789" s="1" t="str">
        <f>IF('1.1 Produksi Bersih Padi 2025'!D789="","",'1.1 Produksi Bersih Padi 2025'!D789)</f>
        <v/>
      </c>
      <c r="E789" s="1" t="str">
        <f>IF('1.1 Produksi Bersih Padi 2025'!E789="","",'1.1 Produksi Bersih Padi 2025'!E789)</f>
        <v/>
      </c>
      <c r="F789" s="28" t="str">
        <f>IF(D789="","",VLOOKUP(D789,'[1]0.1 Produksi Pangan &amp; Penduduk'!$D$5:$AQ$860,40,0))</f>
        <v/>
      </c>
      <c r="G789" s="29" t="str">
        <f t="shared" si="60"/>
        <v/>
      </c>
      <c r="H789" s="29" t="str">
        <f t="shared" si="61"/>
        <v/>
      </c>
      <c r="I789" s="29" t="str">
        <f t="shared" si="62"/>
        <v/>
      </c>
      <c r="J789" s="29" t="str">
        <f t="shared" si="63"/>
        <v/>
      </c>
      <c r="K789" s="29" t="str">
        <f t="shared" si="64"/>
        <v/>
      </c>
    </row>
    <row r="790" spans="1:11" ht="15" x14ac:dyDescent="0.25">
      <c r="A790" s="1" t="str">
        <f>IF('1.1 Produksi Bersih Padi 2025'!A790="","",'1.1 Produksi Bersih Padi 2025'!A790)</f>
        <v/>
      </c>
      <c r="B790" s="31" t="str">
        <f>IF('1.1 Produksi Bersih Padi 2025'!B790="","",'1.1 Produksi Bersih Padi 2025'!B790)</f>
        <v/>
      </c>
      <c r="C790" s="31" t="str">
        <f>IF('1.1 Produksi Bersih Padi 2025'!C790="","",'1.1 Produksi Bersih Padi 2025'!C790)</f>
        <v/>
      </c>
      <c r="D790" s="1" t="str">
        <f>IF('1.1 Produksi Bersih Padi 2025'!D790="","",'1.1 Produksi Bersih Padi 2025'!D790)</f>
        <v/>
      </c>
      <c r="E790" s="1" t="str">
        <f>IF('1.1 Produksi Bersih Padi 2025'!E790="","",'1.1 Produksi Bersih Padi 2025'!E790)</f>
        <v/>
      </c>
      <c r="F790" s="28" t="str">
        <f>IF(D790="","",VLOOKUP(D790,'[1]0.1 Produksi Pangan &amp; Penduduk'!$D$5:$AQ$860,40,0))</f>
        <v/>
      </c>
      <c r="G790" s="29" t="str">
        <f t="shared" si="60"/>
        <v/>
      </c>
      <c r="H790" s="29" t="str">
        <f t="shared" si="61"/>
        <v/>
      </c>
      <c r="I790" s="29" t="str">
        <f t="shared" si="62"/>
        <v/>
      </c>
      <c r="J790" s="29" t="str">
        <f t="shared" si="63"/>
        <v/>
      </c>
      <c r="K790" s="29" t="str">
        <f t="shared" si="64"/>
        <v/>
      </c>
    </row>
    <row r="791" spans="1:11" ht="15" x14ac:dyDescent="0.25">
      <c r="A791" s="1" t="str">
        <f>IF('1.1 Produksi Bersih Padi 2025'!A791="","",'1.1 Produksi Bersih Padi 2025'!A791)</f>
        <v/>
      </c>
      <c r="B791" s="31" t="str">
        <f>IF('1.1 Produksi Bersih Padi 2025'!B791="","",'1.1 Produksi Bersih Padi 2025'!B791)</f>
        <v/>
      </c>
      <c r="C791" s="31" t="str">
        <f>IF('1.1 Produksi Bersih Padi 2025'!C791="","",'1.1 Produksi Bersih Padi 2025'!C791)</f>
        <v/>
      </c>
      <c r="D791" s="1" t="str">
        <f>IF('1.1 Produksi Bersih Padi 2025'!D791="","",'1.1 Produksi Bersih Padi 2025'!D791)</f>
        <v/>
      </c>
      <c r="E791" s="1" t="str">
        <f>IF('1.1 Produksi Bersih Padi 2025'!E791="","",'1.1 Produksi Bersih Padi 2025'!E791)</f>
        <v/>
      </c>
      <c r="F791" s="28" t="str">
        <f>IF(D791="","",VLOOKUP(D791,'[1]0.1 Produksi Pangan &amp; Penduduk'!$D$5:$AQ$860,40,0))</f>
        <v/>
      </c>
      <c r="G791" s="29" t="str">
        <f t="shared" si="60"/>
        <v/>
      </c>
      <c r="H791" s="29" t="str">
        <f t="shared" si="61"/>
        <v/>
      </c>
      <c r="I791" s="29" t="str">
        <f t="shared" si="62"/>
        <v/>
      </c>
      <c r="J791" s="29" t="str">
        <f t="shared" si="63"/>
        <v/>
      </c>
      <c r="K791" s="29" t="str">
        <f t="shared" si="64"/>
        <v/>
      </c>
    </row>
    <row r="792" spans="1:11" ht="15" x14ac:dyDescent="0.25">
      <c r="A792" s="1" t="str">
        <f>IF('1.1 Produksi Bersih Padi 2025'!A792="","",'1.1 Produksi Bersih Padi 2025'!A792)</f>
        <v/>
      </c>
      <c r="B792" s="31" t="str">
        <f>IF('1.1 Produksi Bersih Padi 2025'!B792="","",'1.1 Produksi Bersih Padi 2025'!B792)</f>
        <v/>
      </c>
      <c r="C792" s="31" t="str">
        <f>IF('1.1 Produksi Bersih Padi 2025'!C792="","",'1.1 Produksi Bersih Padi 2025'!C792)</f>
        <v/>
      </c>
      <c r="D792" s="1" t="str">
        <f>IF('1.1 Produksi Bersih Padi 2025'!D792="","",'1.1 Produksi Bersih Padi 2025'!D792)</f>
        <v/>
      </c>
      <c r="E792" s="1" t="str">
        <f>IF('1.1 Produksi Bersih Padi 2025'!E792="","",'1.1 Produksi Bersih Padi 2025'!E792)</f>
        <v/>
      </c>
      <c r="F792" s="28" t="str">
        <f>IF(D792="","",VLOOKUP(D792,'[1]0.1 Produksi Pangan &amp; Penduduk'!$D$5:$AQ$860,40,0))</f>
        <v/>
      </c>
      <c r="G792" s="29" t="str">
        <f t="shared" si="60"/>
        <v/>
      </c>
      <c r="H792" s="29" t="str">
        <f t="shared" si="61"/>
        <v/>
      </c>
      <c r="I792" s="29" t="str">
        <f t="shared" si="62"/>
        <v/>
      </c>
      <c r="J792" s="29" t="str">
        <f t="shared" si="63"/>
        <v/>
      </c>
      <c r="K792" s="29" t="str">
        <f t="shared" si="64"/>
        <v/>
      </c>
    </row>
    <row r="793" spans="1:11" ht="15" x14ac:dyDescent="0.25">
      <c r="A793" s="1" t="str">
        <f>IF('1.1 Produksi Bersih Padi 2025'!A793="","",'1.1 Produksi Bersih Padi 2025'!A793)</f>
        <v/>
      </c>
      <c r="B793" s="31" t="str">
        <f>IF('1.1 Produksi Bersih Padi 2025'!B793="","",'1.1 Produksi Bersih Padi 2025'!B793)</f>
        <v/>
      </c>
      <c r="C793" s="31" t="str">
        <f>IF('1.1 Produksi Bersih Padi 2025'!C793="","",'1.1 Produksi Bersih Padi 2025'!C793)</f>
        <v/>
      </c>
      <c r="D793" s="1" t="str">
        <f>IF('1.1 Produksi Bersih Padi 2025'!D793="","",'1.1 Produksi Bersih Padi 2025'!D793)</f>
        <v/>
      </c>
      <c r="E793" s="1" t="str">
        <f>IF('1.1 Produksi Bersih Padi 2025'!E793="","",'1.1 Produksi Bersih Padi 2025'!E793)</f>
        <v/>
      </c>
      <c r="F793" s="28" t="str">
        <f>IF(D793="","",VLOOKUP(D793,'[1]0.1 Produksi Pangan &amp; Penduduk'!$D$5:$AQ$860,40,0))</f>
        <v/>
      </c>
      <c r="G793" s="29" t="str">
        <f t="shared" si="60"/>
        <v/>
      </c>
      <c r="H793" s="29" t="str">
        <f t="shared" si="61"/>
        <v/>
      </c>
      <c r="I793" s="29" t="str">
        <f t="shared" si="62"/>
        <v/>
      </c>
      <c r="J793" s="29" t="str">
        <f t="shared" si="63"/>
        <v/>
      </c>
      <c r="K793" s="29" t="str">
        <f t="shared" si="64"/>
        <v/>
      </c>
    </row>
    <row r="794" spans="1:11" ht="15" x14ac:dyDescent="0.25">
      <c r="A794" s="1" t="str">
        <f>IF('1.1 Produksi Bersih Padi 2025'!A794="","",'1.1 Produksi Bersih Padi 2025'!A794)</f>
        <v/>
      </c>
      <c r="B794" s="31" t="str">
        <f>IF('1.1 Produksi Bersih Padi 2025'!B794="","",'1.1 Produksi Bersih Padi 2025'!B794)</f>
        <v/>
      </c>
      <c r="C794" s="31" t="str">
        <f>IF('1.1 Produksi Bersih Padi 2025'!C794="","",'1.1 Produksi Bersih Padi 2025'!C794)</f>
        <v/>
      </c>
      <c r="D794" s="1" t="str">
        <f>IF('1.1 Produksi Bersih Padi 2025'!D794="","",'1.1 Produksi Bersih Padi 2025'!D794)</f>
        <v/>
      </c>
      <c r="E794" s="1" t="str">
        <f>IF('1.1 Produksi Bersih Padi 2025'!E794="","",'1.1 Produksi Bersih Padi 2025'!E794)</f>
        <v/>
      </c>
      <c r="F794" s="28" t="str">
        <f>IF(D794="","",VLOOKUP(D794,'[1]0.1 Produksi Pangan &amp; Penduduk'!$D$5:$AQ$860,40,0))</f>
        <v/>
      </c>
      <c r="G794" s="29" t="str">
        <f t="shared" si="60"/>
        <v/>
      </c>
      <c r="H794" s="29" t="str">
        <f t="shared" si="61"/>
        <v/>
      </c>
      <c r="I794" s="29" t="str">
        <f t="shared" si="62"/>
        <v/>
      </c>
      <c r="J794" s="29" t="str">
        <f t="shared" si="63"/>
        <v/>
      </c>
      <c r="K794" s="29" t="str">
        <f t="shared" si="64"/>
        <v/>
      </c>
    </row>
    <row r="795" spans="1:11" ht="15" x14ac:dyDescent="0.25">
      <c r="A795" s="1" t="str">
        <f>IF('1.1 Produksi Bersih Padi 2025'!A795="","",'1.1 Produksi Bersih Padi 2025'!A795)</f>
        <v/>
      </c>
      <c r="B795" s="31" t="str">
        <f>IF('1.1 Produksi Bersih Padi 2025'!B795="","",'1.1 Produksi Bersih Padi 2025'!B795)</f>
        <v/>
      </c>
      <c r="C795" s="31" t="str">
        <f>IF('1.1 Produksi Bersih Padi 2025'!C795="","",'1.1 Produksi Bersih Padi 2025'!C795)</f>
        <v/>
      </c>
      <c r="D795" s="1" t="str">
        <f>IF('1.1 Produksi Bersih Padi 2025'!D795="","",'1.1 Produksi Bersih Padi 2025'!D795)</f>
        <v/>
      </c>
      <c r="E795" s="1" t="str">
        <f>IF('1.1 Produksi Bersih Padi 2025'!E795="","",'1.1 Produksi Bersih Padi 2025'!E795)</f>
        <v/>
      </c>
      <c r="F795" s="28" t="str">
        <f>IF(D795="","",VLOOKUP(D795,'[1]0.1 Produksi Pangan &amp; Penduduk'!$D$5:$AQ$860,40,0))</f>
        <v/>
      </c>
      <c r="G795" s="29" t="str">
        <f t="shared" si="60"/>
        <v/>
      </c>
      <c r="H795" s="29" t="str">
        <f t="shared" si="61"/>
        <v/>
      </c>
      <c r="I795" s="29" t="str">
        <f t="shared" si="62"/>
        <v/>
      </c>
      <c r="J795" s="29" t="str">
        <f t="shared" si="63"/>
        <v/>
      </c>
      <c r="K795" s="29" t="str">
        <f t="shared" si="64"/>
        <v/>
      </c>
    </row>
    <row r="796" spans="1:11" ht="15" x14ac:dyDescent="0.25">
      <c r="A796" s="1" t="str">
        <f>IF('1.1 Produksi Bersih Padi 2025'!A796="","",'1.1 Produksi Bersih Padi 2025'!A796)</f>
        <v/>
      </c>
      <c r="B796" s="31" t="str">
        <f>IF('1.1 Produksi Bersih Padi 2025'!B796="","",'1.1 Produksi Bersih Padi 2025'!B796)</f>
        <v/>
      </c>
      <c r="C796" s="31" t="str">
        <f>IF('1.1 Produksi Bersih Padi 2025'!C796="","",'1.1 Produksi Bersih Padi 2025'!C796)</f>
        <v/>
      </c>
      <c r="D796" s="1" t="str">
        <f>IF('1.1 Produksi Bersih Padi 2025'!D796="","",'1.1 Produksi Bersih Padi 2025'!D796)</f>
        <v/>
      </c>
      <c r="E796" s="1" t="str">
        <f>IF('1.1 Produksi Bersih Padi 2025'!E796="","",'1.1 Produksi Bersih Padi 2025'!E796)</f>
        <v/>
      </c>
      <c r="F796" s="28" t="str">
        <f>IF(D796="","",VLOOKUP(D796,'[1]0.1 Produksi Pangan &amp; Penduduk'!$D$5:$AQ$860,40,0))</f>
        <v/>
      </c>
      <c r="G796" s="29" t="str">
        <f t="shared" si="60"/>
        <v/>
      </c>
      <c r="H796" s="29" t="str">
        <f t="shared" si="61"/>
        <v/>
      </c>
      <c r="I796" s="29" t="str">
        <f t="shared" si="62"/>
        <v/>
      </c>
      <c r="J796" s="29" t="str">
        <f t="shared" si="63"/>
        <v/>
      </c>
      <c r="K796" s="29" t="str">
        <f t="shared" si="64"/>
        <v/>
      </c>
    </row>
    <row r="797" spans="1:11" ht="15" x14ac:dyDescent="0.25">
      <c r="A797" s="1" t="str">
        <f>IF('1.1 Produksi Bersih Padi 2025'!A797="","",'1.1 Produksi Bersih Padi 2025'!A797)</f>
        <v/>
      </c>
      <c r="B797" s="31" t="str">
        <f>IF('1.1 Produksi Bersih Padi 2025'!B797="","",'1.1 Produksi Bersih Padi 2025'!B797)</f>
        <v/>
      </c>
      <c r="C797" s="31" t="str">
        <f>IF('1.1 Produksi Bersih Padi 2025'!C797="","",'1.1 Produksi Bersih Padi 2025'!C797)</f>
        <v/>
      </c>
      <c r="D797" s="1" t="str">
        <f>IF('1.1 Produksi Bersih Padi 2025'!D797="","",'1.1 Produksi Bersih Padi 2025'!D797)</f>
        <v/>
      </c>
      <c r="E797" s="1" t="str">
        <f>IF('1.1 Produksi Bersih Padi 2025'!E797="","",'1.1 Produksi Bersih Padi 2025'!E797)</f>
        <v/>
      </c>
      <c r="F797" s="28" t="str">
        <f>IF(D797="","",VLOOKUP(D797,'[1]0.1 Produksi Pangan &amp; Penduduk'!$D$5:$AQ$860,40,0))</f>
        <v/>
      </c>
      <c r="G797" s="29" t="str">
        <f t="shared" si="60"/>
        <v/>
      </c>
      <c r="H797" s="29" t="str">
        <f t="shared" si="61"/>
        <v/>
      </c>
      <c r="I797" s="29" t="str">
        <f t="shared" si="62"/>
        <v/>
      </c>
      <c r="J797" s="29" t="str">
        <f t="shared" si="63"/>
        <v/>
      </c>
      <c r="K797" s="29" t="str">
        <f t="shared" si="64"/>
        <v/>
      </c>
    </row>
    <row r="798" spans="1:11" ht="15" x14ac:dyDescent="0.25">
      <c r="A798" s="1" t="str">
        <f>IF('1.1 Produksi Bersih Padi 2025'!A798="","",'1.1 Produksi Bersih Padi 2025'!A798)</f>
        <v/>
      </c>
      <c r="B798" s="31" t="str">
        <f>IF('1.1 Produksi Bersih Padi 2025'!B798="","",'1.1 Produksi Bersih Padi 2025'!B798)</f>
        <v/>
      </c>
      <c r="C798" s="31" t="str">
        <f>IF('1.1 Produksi Bersih Padi 2025'!C798="","",'1.1 Produksi Bersih Padi 2025'!C798)</f>
        <v/>
      </c>
      <c r="D798" s="1" t="str">
        <f>IF('1.1 Produksi Bersih Padi 2025'!D798="","",'1.1 Produksi Bersih Padi 2025'!D798)</f>
        <v/>
      </c>
      <c r="E798" s="1" t="str">
        <f>IF('1.1 Produksi Bersih Padi 2025'!E798="","",'1.1 Produksi Bersih Padi 2025'!E798)</f>
        <v/>
      </c>
      <c r="F798" s="28" t="str">
        <f>IF(D798="","",VLOOKUP(D798,'[1]0.1 Produksi Pangan &amp; Penduduk'!$D$5:$AQ$860,40,0))</f>
        <v/>
      </c>
      <c r="G798" s="29" t="str">
        <f t="shared" si="60"/>
        <v/>
      </c>
      <c r="H798" s="29" t="str">
        <f t="shared" si="61"/>
        <v/>
      </c>
      <c r="I798" s="29" t="str">
        <f t="shared" si="62"/>
        <v/>
      </c>
      <c r="J798" s="29" t="str">
        <f t="shared" si="63"/>
        <v/>
      </c>
      <c r="K798" s="29" t="str">
        <f t="shared" si="64"/>
        <v/>
      </c>
    </row>
    <row r="799" spans="1:11" ht="15" x14ac:dyDescent="0.25">
      <c r="A799" s="1" t="str">
        <f>IF('1.1 Produksi Bersih Padi 2025'!A799="","",'1.1 Produksi Bersih Padi 2025'!A799)</f>
        <v/>
      </c>
      <c r="B799" s="31" t="str">
        <f>IF('1.1 Produksi Bersih Padi 2025'!B799="","",'1.1 Produksi Bersih Padi 2025'!B799)</f>
        <v/>
      </c>
      <c r="C799" s="31" t="str">
        <f>IF('1.1 Produksi Bersih Padi 2025'!C799="","",'1.1 Produksi Bersih Padi 2025'!C799)</f>
        <v/>
      </c>
      <c r="D799" s="1" t="str">
        <f>IF('1.1 Produksi Bersih Padi 2025'!D799="","",'1.1 Produksi Bersih Padi 2025'!D799)</f>
        <v/>
      </c>
      <c r="E799" s="1" t="str">
        <f>IF('1.1 Produksi Bersih Padi 2025'!E799="","",'1.1 Produksi Bersih Padi 2025'!E799)</f>
        <v/>
      </c>
      <c r="F799" s="28" t="str">
        <f>IF(D799="","",VLOOKUP(D799,'[1]0.1 Produksi Pangan &amp; Penduduk'!$D$5:$AQ$860,40,0))</f>
        <v/>
      </c>
      <c r="G799" s="29" t="str">
        <f t="shared" si="60"/>
        <v/>
      </c>
      <c r="H799" s="29" t="str">
        <f t="shared" si="61"/>
        <v/>
      </c>
      <c r="I799" s="29" t="str">
        <f t="shared" si="62"/>
        <v/>
      </c>
      <c r="J799" s="29" t="str">
        <f t="shared" si="63"/>
        <v/>
      </c>
      <c r="K799" s="29" t="str">
        <f t="shared" si="64"/>
        <v/>
      </c>
    </row>
    <row r="800" spans="1:11" ht="15" x14ac:dyDescent="0.25">
      <c r="A800" s="1" t="str">
        <f>IF('1.1 Produksi Bersih Padi 2025'!A800="","",'1.1 Produksi Bersih Padi 2025'!A800)</f>
        <v/>
      </c>
      <c r="B800" s="31" t="str">
        <f>IF('1.1 Produksi Bersih Padi 2025'!B800="","",'1.1 Produksi Bersih Padi 2025'!B800)</f>
        <v/>
      </c>
      <c r="C800" s="31" t="str">
        <f>IF('1.1 Produksi Bersih Padi 2025'!C800="","",'1.1 Produksi Bersih Padi 2025'!C800)</f>
        <v/>
      </c>
      <c r="D800" s="1" t="str">
        <f>IF('1.1 Produksi Bersih Padi 2025'!D800="","",'1.1 Produksi Bersih Padi 2025'!D800)</f>
        <v/>
      </c>
      <c r="E800" s="1" t="str">
        <f>IF('1.1 Produksi Bersih Padi 2025'!E800="","",'1.1 Produksi Bersih Padi 2025'!E800)</f>
        <v/>
      </c>
      <c r="F800" s="28" t="str">
        <f>IF(D800="","",VLOOKUP(D800,'[1]0.1 Produksi Pangan &amp; Penduduk'!$D$5:$AQ$860,40,0))</f>
        <v/>
      </c>
      <c r="G800" s="29" t="str">
        <f t="shared" si="60"/>
        <v/>
      </c>
      <c r="H800" s="29" t="str">
        <f t="shared" si="61"/>
        <v/>
      </c>
      <c r="I800" s="29" t="str">
        <f t="shared" si="62"/>
        <v/>
      </c>
      <c r="J800" s="29" t="str">
        <f t="shared" si="63"/>
        <v/>
      </c>
      <c r="K800" s="29" t="str">
        <f t="shared" si="64"/>
        <v/>
      </c>
    </row>
    <row r="801" spans="1:11" ht="15" x14ac:dyDescent="0.25">
      <c r="A801" s="1" t="str">
        <f>IF('1.1 Produksi Bersih Padi 2025'!A801="","",'1.1 Produksi Bersih Padi 2025'!A801)</f>
        <v/>
      </c>
      <c r="B801" s="31" t="str">
        <f>IF('1.1 Produksi Bersih Padi 2025'!B801="","",'1.1 Produksi Bersih Padi 2025'!B801)</f>
        <v/>
      </c>
      <c r="C801" s="31" t="str">
        <f>IF('1.1 Produksi Bersih Padi 2025'!C801="","",'1.1 Produksi Bersih Padi 2025'!C801)</f>
        <v/>
      </c>
      <c r="D801" s="1" t="str">
        <f>IF('1.1 Produksi Bersih Padi 2025'!D801="","",'1.1 Produksi Bersih Padi 2025'!D801)</f>
        <v/>
      </c>
      <c r="E801" s="1" t="str">
        <f>IF('1.1 Produksi Bersih Padi 2025'!E801="","",'1.1 Produksi Bersih Padi 2025'!E801)</f>
        <v/>
      </c>
      <c r="F801" s="28" t="str">
        <f>IF(D801="","",VLOOKUP(D801,'[1]0.1 Produksi Pangan &amp; Penduduk'!$D$5:$AQ$860,40,0))</f>
        <v/>
      </c>
      <c r="G801" s="29" t="str">
        <f t="shared" si="60"/>
        <v/>
      </c>
      <c r="H801" s="29" t="str">
        <f t="shared" si="61"/>
        <v/>
      </c>
      <c r="I801" s="29" t="str">
        <f t="shared" si="62"/>
        <v/>
      </c>
      <c r="J801" s="29" t="str">
        <f t="shared" si="63"/>
        <v/>
      </c>
      <c r="K801" s="29" t="str">
        <f t="shared" si="64"/>
        <v/>
      </c>
    </row>
    <row r="802" spans="1:11" ht="15" x14ac:dyDescent="0.25">
      <c r="A802" s="1" t="str">
        <f>IF('1.1 Produksi Bersih Padi 2025'!A802="","",'1.1 Produksi Bersih Padi 2025'!A802)</f>
        <v/>
      </c>
      <c r="B802" s="31" t="str">
        <f>IF('1.1 Produksi Bersih Padi 2025'!B802="","",'1.1 Produksi Bersih Padi 2025'!B802)</f>
        <v/>
      </c>
      <c r="C802" s="31" t="str">
        <f>IF('1.1 Produksi Bersih Padi 2025'!C802="","",'1.1 Produksi Bersih Padi 2025'!C802)</f>
        <v/>
      </c>
      <c r="D802" s="1" t="str">
        <f>IF('1.1 Produksi Bersih Padi 2025'!D802="","",'1.1 Produksi Bersih Padi 2025'!D802)</f>
        <v/>
      </c>
      <c r="E802" s="1" t="str">
        <f>IF('1.1 Produksi Bersih Padi 2025'!E802="","",'1.1 Produksi Bersih Padi 2025'!E802)</f>
        <v/>
      </c>
      <c r="F802" s="28" t="str">
        <f>IF(D802="","",VLOOKUP(D802,'[1]0.1 Produksi Pangan &amp; Penduduk'!$D$5:$AQ$860,40,0))</f>
        <v/>
      </c>
      <c r="G802" s="29" t="str">
        <f t="shared" si="60"/>
        <v/>
      </c>
      <c r="H802" s="29" t="str">
        <f t="shared" si="61"/>
        <v/>
      </c>
      <c r="I802" s="29" t="str">
        <f t="shared" si="62"/>
        <v/>
      </c>
      <c r="J802" s="29" t="str">
        <f t="shared" si="63"/>
        <v/>
      </c>
      <c r="K802" s="29" t="str">
        <f t="shared" si="64"/>
        <v/>
      </c>
    </row>
    <row r="803" spans="1:11" ht="15" x14ac:dyDescent="0.25">
      <c r="A803" s="1" t="str">
        <f>IF('1.1 Produksi Bersih Padi 2025'!A803="","",'1.1 Produksi Bersih Padi 2025'!A803)</f>
        <v/>
      </c>
      <c r="B803" s="31" t="str">
        <f>IF('1.1 Produksi Bersih Padi 2025'!B803="","",'1.1 Produksi Bersih Padi 2025'!B803)</f>
        <v/>
      </c>
      <c r="C803" s="31" t="str">
        <f>IF('1.1 Produksi Bersih Padi 2025'!C803="","",'1.1 Produksi Bersih Padi 2025'!C803)</f>
        <v/>
      </c>
      <c r="D803" s="1" t="str">
        <f>IF('1.1 Produksi Bersih Padi 2025'!D803="","",'1.1 Produksi Bersih Padi 2025'!D803)</f>
        <v/>
      </c>
      <c r="E803" s="1" t="str">
        <f>IF('1.1 Produksi Bersih Padi 2025'!E803="","",'1.1 Produksi Bersih Padi 2025'!E803)</f>
        <v/>
      </c>
      <c r="F803" s="28" t="str">
        <f>IF(D803="","",VLOOKUP(D803,'[1]0.1 Produksi Pangan &amp; Penduduk'!$D$5:$AQ$860,40,0))</f>
        <v/>
      </c>
      <c r="G803" s="29" t="str">
        <f t="shared" si="60"/>
        <v/>
      </c>
      <c r="H803" s="29" t="str">
        <f t="shared" si="61"/>
        <v/>
      </c>
      <c r="I803" s="29" t="str">
        <f t="shared" si="62"/>
        <v/>
      </c>
      <c r="J803" s="29" t="str">
        <f t="shared" si="63"/>
        <v/>
      </c>
      <c r="K803" s="29" t="str">
        <f t="shared" si="64"/>
        <v/>
      </c>
    </row>
    <row r="804" spans="1:11" ht="15" x14ac:dyDescent="0.25">
      <c r="A804" s="1" t="str">
        <f>IF('1.1 Produksi Bersih Padi 2025'!A804="","",'1.1 Produksi Bersih Padi 2025'!A804)</f>
        <v/>
      </c>
      <c r="B804" s="31" t="str">
        <f>IF('1.1 Produksi Bersih Padi 2025'!B804="","",'1.1 Produksi Bersih Padi 2025'!B804)</f>
        <v/>
      </c>
      <c r="C804" s="31" t="str">
        <f>IF('1.1 Produksi Bersih Padi 2025'!C804="","",'1.1 Produksi Bersih Padi 2025'!C804)</f>
        <v/>
      </c>
      <c r="D804" s="1" t="str">
        <f>IF('1.1 Produksi Bersih Padi 2025'!D804="","",'1.1 Produksi Bersih Padi 2025'!D804)</f>
        <v/>
      </c>
      <c r="E804" s="1" t="str">
        <f>IF('1.1 Produksi Bersih Padi 2025'!E804="","",'1.1 Produksi Bersih Padi 2025'!E804)</f>
        <v/>
      </c>
      <c r="F804" s="28" t="str">
        <f>IF(D804="","",VLOOKUP(D804,'[1]0.1 Produksi Pangan &amp; Penduduk'!$D$5:$AQ$860,40,0))</f>
        <v/>
      </c>
      <c r="G804" s="29" t="str">
        <f t="shared" si="60"/>
        <v/>
      </c>
      <c r="H804" s="29" t="str">
        <f t="shared" si="61"/>
        <v/>
      </c>
      <c r="I804" s="29" t="str">
        <f t="shared" si="62"/>
        <v/>
      </c>
      <c r="J804" s="29" t="str">
        <f t="shared" si="63"/>
        <v/>
      </c>
      <c r="K804" s="29" t="str">
        <f t="shared" si="64"/>
        <v/>
      </c>
    </row>
    <row r="805" spans="1:11" ht="15" x14ac:dyDescent="0.25">
      <c r="A805" s="1" t="str">
        <f>IF('1.1 Produksi Bersih Padi 2025'!A805="","",'1.1 Produksi Bersih Padi 2025'!A805)</f>
        <v/>
      </c>
      <c r="B805" s="31" t="str">
        <f>IF('1.1 Produksi Bersih Padi 2025'!B805="","",'1.1 Produksi Bersih Padi 2025'!B805)</f>
        <v/>
      </c>
      <c r="C805" s="31" t="str">
        <f>IF('1.1 Produksi Bersih Padi 2025'!C805="","",'1.1 Produksi Bersih Padi 2025'!C805)</f>
        <v/>
      </c>
      <c r="D805" s="1" t="str">
        <f>IF('1.1 Produksi Bersih Padi 2025'!D805="","",'1.1 Produksi Bersih Padi 2025'!D805)</f>
        <v/>
      </c>
      <c r="E805" s="1" t="str">
        <f>IF('1.1 Produksi Bersih Padi 2025'!E805="","",'1.1 Produksi Bersih Padi 2025'!E805)</f>
        <v/>
      </c>
      <c r="F805" s="28" t="str">
        <f>IF(D805="","",VLOOKUP(D805,'[1]0.1 Produksi Pangan &amp; Penduduk'!$D$5:$AQ$860,40,0))</f>
        <v/>
      </c>
      <c r="G805" s="29" t="str">
        <f t="shared" si="60"/>
        <v/>
      </c>
      <c r="H805" s="29" t="str">
        <f t="shared" si="61"/>
        <v/>
      </c>
      <c r="I805" s="29" t="str">
        <f t="shared" si="62"/>
        <v/>
      </c>
      <c r="J805" s="29" t="str">
        <f t="shared" si="63"/>
        <v/>
      </c>
      <c r="K805" s="29" t="str">
        <f t="shared" si="64"/>
        <v/>
      </c>
    </row>
    <row r="806" spans="1:11" ht="15" x14ac:dyDescent="0.25">
      <c r="A806" s="1" t="str">
        <f>IF('1.1 Produksi Bersih Padi 2025'!A806="","",'1.1 Produksi Bersih Padi 2025'!A806)</f>
        <v/>
      </c>
      <c r="B806" s="31" t="str">
        <f>IF('1.1 Produksi Bersih Padi 2025'!B806="","",'1.1 Produksi Bersih Padi 2025'!B806)</f>
        <v/>
      </c>
      <c r="C806" s="31" t="str">
        <f>IF('1.1 Produksi Bersih Padi 2025'!C806="","",'1.1 Produksi Bersih Padi 2025'!C806)</f>
        <v/>
      </c>
      <c r="D806" s="1" t="str">
        <f>IF('1.1 Produksi Bersih Padi 2025'!D806="","",'1.1 Produksi Bersih Padi 2025'!D806)</f>
        <v/>
      </c>
      <c r="E806" s="1" t="str">
        <f>IF('1.1 Produksi Bersih Padi 2025'!E806="","",'1.1 Produksi Bersih Padi 2025'!E806)</f>
        <v/>
      </c>
      <c r="F806" s="28" t="str">
        <f>IF(D806="","",VLOOKUP(D806,'[1]0.1 Produksi Pangan &amp; Penduduk'!$D$5:$AQ$860,40,0))</f>
        <v/>
      </c>
      <c r="G806" s="29" t="str">
        <f t="shared" si="60"/>
        <v/>
      </c>
      <c r="H806" s="29" t="str">
        <f t="shared" si="61"/>
        <v/>
      </c>
      <c r="I806" s="29" t="str">
        <f t="shared" si="62"/>
        <v/>
      </c>
      <c r="J806" s="29" t="str">
        <f t="shared" si="63"/>
        <v/>
      </c>
      <c r="K806" s="29" t="str">
        <f t="shared" si="64"/>
        <v/>
      </c>
    </row>
    <row r="807" spans="1:11" ht="15" x14ac:dyDescent="0.25">
      <c r="A807" s="1" t="str">
        <f>IF('1.1 Produksi Bersih Padi 2025'!A807="","",'1.1 Produksi Bersih Padi 2025'!A807)</f>
        <v/>
      </c>
      <c r="B807" s="31" t="str">
        <f>IF('1.1 Produksi Bersih Padi 2025'!B807="","",'1.1 Produksi Bersih Padi 2025'!B807)</f>
        <v/>
      </c>
      <c r="C807" s="31" t="str">
        <f>IF('1.1 Produksi Bersih Padi 2025'!C807="","",'1.1 Produksi Bersih Padi 2025'!C807)</f>
        <v/>
      </c>
      <c r="D807" s="1" t="str">
        <f>IF('1.1 Produksi Bersih Padi 2025'!D807="","",'1.1 Produksi Bersih Padi 2025'!D807)</f>
        <v/>
      </c>
      <c r="E807" s="1" t="str">
        <f>IF('1.1 Produksi Bersih Padi 2025'!E807="","",'1.1 Produksi Bersih Padi 2025'!E807)</f>
        <v/>
      </c>
      <c r="F807" s="28" t="str">
        <f>IF(D807="","",VLOOKUP(D807,'[1]0.1 Produksi Pangan &amp; Penduduk'!$D$5:$AQ$860,40,0))</f>
        <v/>
      </c>
      <c r="G807" s="29" t="str">
        <f t="shared" si="60"/>
        <v/>
      </c>
      <c r="H807" s="29" t="str">
        <f t="shared" si="61"/>
        <v/>
      </c>
      <c r="I807" s="29" t="str">
        <f t="shared" si="62"/>
        <v/>
      </c>
      <c r="J807" s="29" t="str">
        <f t="shared" si="63"/>
        <v/>
      </c>
      <c r="K807" s="29" t="str">
        <f t="shared" si="64"/>
        <v/>
      </c>
    </row>
    <row r="808" spans="1:11" ht="15" x14ac:dyDescent="0.25">
      <c r="A808" s="1" t="str">
        <f>IF('1.1 Produksi Bersih Padi 2025'!A808="","",'1.1 Produksi Bersih Padi 2025'!A808)</f>
        <v/>
      </c>
      <c r="B808" s="31" t="str">
        <f>IF('1.1 Produksi Bersih Padi 2025'!B808="","",'1.1 Produksi Bersih Padi 2025'!B808)</f>
        <v/>
      </c>
      <c r="C808" s="31" t="str">
        <f>IF('1.1 Produksi Bersih Padi 2025'!C808="","",'1.1 Produksi Bersih Padi 2025'!C808)</f>
        <v/>
      </c>
      <c r="D808" s="1" t="str">
        <f>IF('1.1 Produksi Bersih Padi 2025'!D808="","",'1.1 Produksi Bersih Padi 2025'!D808)</f>
        <v/>
      </c>
      <c r="E808" s="1" t="str">
        <f>IF('1.1 Produksi Bersih Padi 2025'!E808="","",'1.1 Produksi Bersih Padi 2025'!E808)</f>
        <v/>
      </c>
      <c r="F808" s="28" t="str">
        <f>IF(D808="","",VLOOKUP(D808,'[1]0.1 Produksi Pangan &amp; Penduduk'!$D$5:$AQ$860,40,0))</f>
        <v/>
      </c>
      <c r="G808" s="29" t="str">
        <f t="shared" si="60"/>
        <v/>
      </c>
      <c r="H808" s="29" t="str">
        <f t="shared" si="61"/>
        <v/>
      </c>
      <c r="I808" s="29" t="str">
        <f t="shared" si="62"/>
        <v/>
      </c>
      <c r="J808" s="29" t="str">
        <f t="shared" si="63"/>
        <v/>
      </c>
      <c r="K808" s="29" t="str">
        <f t="shared" si="64"/>
        <v/>
      </c>
    </row>
    <row r="809" spans="1:11" ht="15" x14ac:dyDescent="0.25">
      <c r="A809" s="1" t="str">
        <f>IF('1.1 Produksi Bersih Padi 2025'!A809="","",'1.1 Produksi Bersih Padi 2025'!A809)</f>
        <v/>
      </c>
      <c r="B809" s="31" t="str">
        <f>IF('1.1 Produksi Bersih Padi 2025'!B809="","",'1.1 Produksi Bersih Padi 2025'!B809)</f>
        <v/>
      </c>
      <c r="C809" s="31" t="str">
        <f>IF('1.1 Produksi Bersih Padi 2025'!C809="","",'1.1 Produksi Bersih Padi 2025'!C809)</f>
        <v/>
      </c>
      <c r="D809" s="1" t="str">
        <f>IF('1.1 Produksi Bersih Padi 2025'!D809="","",'1.1 Produksi Bersih Padi 2025'!D809)</f>
        <v/>
      </c>
      <c r="E809" s="1" t="str">
        <f>IF('1.1 Produksi Bersih Padi 2025'!E809="","",'1.1 Produksi Bersih Padi 2025'!E809)</f>
        <v/>
      </c>
      <c r="F809" s="28" t="str">
        <f>IF(D809="","",VLOOKUP(D809,'[1]0.1 Produksi Pangan &amp; Penduduk'!$D$5:$AQ$860,40,0))</f>
        <v/>
      </c>
      <c r="G809" s="29" t="str">
        <f t="shared" si="60"/>
        <v/>
      </c>
      <c r="H809" s="29" t="str">
        <f t="shared" si="61"/>
        <v/>
      </c>
      <c r="I809" s="29" t="str">
        <f t="shared" si="62"/>
        <v/>
      </c>
      <c r="J809" s="29" t="str">
        <f t="shared" si="63"/>
        <v/>
      </c>
      <c r="K809" s="29" t="str">
        <f t="shared" si="64"/>
        <v/>
      </c>
    </row>
    <row r="810" spans="1:11" ht="15" x14ac:dyDescent="0.25">
      <c r="A810" s="1" t="str">
        <f>IF('1.1 Produksi Bersih Padi 2025'!A810="","",'1.1 Produksi Bersih Padi 2025'!A810)</f>
        <v/>
      </c>
      <c r="B810" s="31" t="str">
        <f>IF('1.1 Produksi Bersih Padi 2025'!B810="","",'1.1 Produksi Bersih Padi 2025'!B810)</f>
        <v/>
      </c>
      <c r="C810" s="31" t="str">
        <f>IF('1.1 Produksi Bersih Padi 2025'!C810="","",'1.1 Produksi Bersih Padi 2025'!C810)</f>
        <v/>
      </c>
      <c r="D810" s="1" t="str">
        <f>IF('1.1 Produksi Bersih Padi 2025'!D810="","",'1.1 Produksi Bersih Padi 2025'!D810)</f>
        <v/>
      </c>
      <c r="E810" s="1" t="str">
        <f>IF('1.1 Produksi Bersih Padi 2025'!E810="","",'1.1 Produksi Bersih Padi 2025'!E810)</f>
        <v/>
      </c>
      <c r="F810" s="28" t="str">
        <f>IF(D810="","",VLOOKUP(D810,'[1]0.1 Produksi Pangan &amp; Penduduk'!$D$5:$AQ$860,40,0))</f>
        <v/>
      </c>
      <c r="G810" s="29" t="str">
        <f t="shared" si="60"/>
        <v/>
      </c>
      <c r="H810" s="29" t="str">
        <f t="shared" si="61"/>
        <v/>
      </c>
      <c r="I810" s="29" t="str">
        <f t="shared" si="62"/>
        <v/>
      </c>
      <c r="J810" s="29" t="str">
        <f t="shared" si="63"/>
        <v/>
      </c>
      <c r="K810" s="29" t="str">
        <f t="shared" si="64"/>
        <v/>
      </c>
    </row>
    <row r="811" spans="1:11" ht="15" x14ac:dyDescent="0.25">
      <c r="A811" s="1" t="str">
        <f>IF('1.1 Produksi Bersih Padi 2025'!A811="","",'1.1 Produksi Bersih Padi 2025'!A811)</f>
        <v/>
      </c>
      <c r="B811" s="31" t="str">
        <f>IF('1.1 Produksi Bersih Padi 2025'!B811="","",'1.1 Produksi Bersih Padi 2025'!B811)</f>
        <v/>
      </c>
      <c r="C811" s="31" t="str">
        <f>IF('1.1 Produksi Bersih Padi 2025'!C811="","",'1.1 Produksi Bersih Padi 2025'!C811)</f>
        <v/>
      </c>
      <c r="D811" s="1" t="str">
        <f>IF('1.1 Produksi Bersih Padi 2025'!D811="","",'1.1 Produksi Bersih Padi 2025'!D811)</f>
        <v/>
      </c>
      <c r="E811" s="1" t="str">
        <f>IF('1.1 Produksi Bersih Padi 2025'!E811="","",'1.1 Produksi Bersih Padi 2025'!E811)</f>
        <v/>
      </c>
      <c r="F811" s="28" t="str">
        <f>IF(D811="","",VLOOKUP(D811,'[1]0.1 Produksi Pangan &amp; Penduduk'!$D$5:$AQ$860,40,0))</f>
        <v/>
      </c>
      <c r="G811" s="29" t="str">
        <f t="shared" si="60"/>
        <v/>
      </c>
      <c r="H811" s="29" t="str">
        <f t="shared" si="61"/>
        <v/>
      </c>
      <c r="I811" s="29" t="str">
        <f t="shared" si="62"/>
        <v/>
      </c>
      <c r="J811" s="29" t="str">
        <f t="shared" si="63"/>
        <v/>
      </c>
      <c r="K811" s="29" t="str">
        <f t="shared" si="64"/>
        <v/>
      </c>
    </row>
    <row r="812" spans="1:11" ht="15" x14ac:dyDescent="0.25">
      <c r="A812" s="1" t="str">
        <f>IF('1.1 Produksi Bersih Padi 2025'!A812="","",'1.1 Produksi Bersih Padi 2025'!A812)</f>
        <v/>
      </c>
      <c r="B812" s="31" t="str">
        <f>IF('1.1 Produksi Bersih Padi 2025'!B812="","",'1.1 Produksi Bersih Padi 2025'!B812)</f>
        <v/>
      </c>
      <c r="C812" s="31" t="str">
        <f>IF('1.1 Produksi Bersih Padi 2025'!C812="","",'1.1 Produksi Bersih Padi 2025'!C812)</f>
        <v/>
      </c>
      <c r="D812" s="1" t="str">
        <f>IF('1.1 Produksi Bersih Padi 2025'!D812="","",'1.1 Produksi Bersih Padi 2025'!D812)</f>
        <v/>
      </c>
      <c r="E812" s="1" t="str">
        <f>IF('1.1 Produksi Bersih Padi 2025'!E812="","",'1.1 Produksi Bersih Padi 2025'!E812)</f>
        <v/>
      </c>
      <c r="F812" s="28" t="str">
        <f>IF(D812="","",VLOOKUP(D812,'[1]0.1 Produksi Pangan &amp; Penduduk'!$D$5:$AQ$860,40,0))</f>
        <v/>
      </c>
      <c r="G812" s="29" t="str">
        <f t="shared" si="60"/>
        <v/>
      </c>
      <c r="H812" s="29" t="str">
        <f t="shared" si="61"/>
        <v/>
      </c>
      <c r="I812" s="29" t="str">
        <f t="shared" si="62"/>
        <v/>
      </c>
      <c r="J812" s="29" t="str">
        <f t="shared" si="63"/>
        <v/>
      </c>
      <c r="K812" s="29" t="str">
        <f t="shared" si="64"/>
        <v/>
      </c>
    </row>
    <row r="813" spans="1:11" ht="15" x14ac:dyDescent="0.25">
      <c r="A813" s="1" t="str">
        <f>IF('1.1 Produksi Bersih Padi 2025'!A813="","",'1.1 Produksi Bersih Padi 2025'!A813)</f>
        <v/>
      </c>
      <c r="B813" s="31" t="str">
        <f>IF('1.1 Produksi Bersih Padi 2025'!B813="","",'1.1 Produksi Bersih Padi 2025'!B813)</f>
        <v/>
      </c>
      <c r="C813" s="31" t="str">
        <f>IF('1.1 Produksi Bersih Padi 2025'!C813="","",'1.1 Produksi Bersih Padi 2025'!C813)</f>
        <v/>
      </c>
      <c r="D813" s="1" t="str">
        <f>IF('1.1 Produksi Bersih Padi 2025'!D813="","",'1.1 Produksi Bersih Padi 2025'!D813)</f>
        <v/>
      </c>
      <c r="E813" s="1" t="str">
        <f>IF('1.1 Produksi Bersih Padi 2025'!E813="","",'1.1 Produksi Bersih Padi 2025'!E813)</f>
        <v/>
      </c>
      <c r="F813" s="28" t="str">
        <f>IF(D813="","",VLOOKUP(D813,'[1]0.1 Produksi Pangan &amp; Penduduk'!$D$5:$AQ$860,40,0))</f>
        <v/>
      </c>
      <c r="G813" s="29" t="str">
        <f t="shared" si="60"/>
        <v/>
      </c>
      <c r="H813" s="29" t="str">
        <f t="shared" si="61"/>
        <v/>
      </c>
      <c r="I813" s="29" t="str">
        <f t="shared" si="62"/>
        <v/>
      </c>
      <c r="J813" s="29" t="str">
        <f t="shared" si="63"/>
        <v/>
      </c>
      <c r="K813" s="29" t="str">
        <f t="shared" si="64"/>
        <v/>
      </c>
    </row>
    <row r="814" spans="1:11" ht="15" x14ac:dyDescent="0.25">
      <c r="A814" s="1" t="str">
        <f>IF('1.1 Produksi Bersih Padi 2025'!A814="","",'1.1 Produksi Bersih Padi 2025'!A814)</f>
        <v/>
      </c>
      <c r="B814" s="31" t="str">
        <f>IF('1.1 Produksi Bersih Padi 2025'!B814="","",'1.1 Produksi Bersih Padi 2025'!B814)</f>
        <v/>
      </c>
      <c r="C814" s="31" t="str">
        <f>IF('1.1 Produksi Bersih Padi 2025'!C814="","",'1.1 Produksi Bersih Padi 2025'!C814)</f>
        <v/>
      </c>
      <c r="D814" s="1" t="str">
        <f>IF('1.1 Produksi Bersih Padi 2025'!D814="","",'1.1 Produksi Bersih Padi 2025'!D814)</f>
        <v/>
      </c>
      <c r="E814" s="1" t="str">
        <f>IF('1.1 Produksi Bersih Padi 2025'!E814="","",'1.1 Produksi Bersih Padi 2025'!E814)</f>
        <v/>
      </c>
      <c r="F814" s="28" t="str">
        <f>IF(D814="","",VLOOKUP(D814,'[1]0.1 Produksi Pangan &amp; Penduduk'!$D$5:$AQ$860,40,0))</f>
        <v/>
      </c>
      <c r="G814" s="29" t="str">
        <f t="shared" si="60"/>
        <v/>
      </c>
      <c r="H814" s="29" t="str">
        <f t="shared" si="61"/>
        <v/>
      </c>
      <c r="I814" s="29" t="str">
        <f t="shared" si="62"/>
        <v/>
      </c>
      <c r="J814" s="29" t="str">
        <f t="shared" si="63"/>
        <v/>
      </c>
      <c r="K814" s="29" t="str">
        <f t="shared" si="64"/>
        <v/>
      </c>
    </row>
    <row r="815" spans="1:11" ht="15" x14ac:dyDescent="0.25">
      <c r="A815" s="1" t="str">
        <f>IF('1.1 Produksi Bersih Padi 2025'!A815="","",'1.1 Produksi Bersih Padi 2025'!A815)</f>
        <v/>
      </c>
      <c r="B815" s="31" t="str">
        <f>IF('1.1 Produksi Bersih Padi 2025'!B815="","",'1.1 Produksi Bersih Padi 2025'!B815)</f>
        <v/>
      </c>
      <c r="C815" s="31" t="str">
        <f>IF('1.1 Produksi Bersih Padi 2025'!C815="","",'1.1 Produksi Bersih Padi 2025'!C815)</f>
        <v/>
      </c>
      <c r="D815" s="1" t="str">
        <f>IF('1.1 Produksi Bersih Padi 2025'!D815="","",'1.1 Produksi Bersih Padi 2025'!D815)</f>
        <v/>
      </c>
      <c r="E815" s="1" t="str">
        <f>IF('1.1 Produksi Bersih Padi 2025'!E815="","",'1.1 Produksi Bersih Padi 2025'!E815)</f>
        <v/>
      </c>
      <c r="F815" s="28" t="str">
        <f>IF(D815="","",VLOOKUP(D815,'[1]0.1 Produksi Pangan &amp; Penduduk'!$D$5:$AQ$860,40,0))</f>
        <v/>
      </c>
      <c r="G815" s="29" t="str">
        <f t="shared" si="60"/>
        <v/>
      </c>
      <c r="H815" s="29" t="str">
        <f t="shared" si="61"/>
        <v/>
      </c>
      <c r="I815" s="29" t="str">
        <f t="shared" si="62"/>
        <v/>
      </c>
      <c r="J815" s="29" t="str">
        <f t="shared" si="63"/>
        <v/>
      </c>
      <c r="K815" s="29" t="str">
        <f t="shared" si="64"/>
        <v/>
      </c>
    </row>
    <row r="816" spans="1:11" ht="15" x14ac:dyDescent="0.25">
      <c r="A816" s="1" t="str">
        <f>IF('1.1 Produksi Bersih Padi 2025'!A816="","",'1.1 Produksi Bersih Padi 2025'!A816)</f>
        <v/>
      </c>
      <c r="B816" s="31" t="str">
        <f>IF('1.1 Produksi Bersih Padi 2025'!B816="","",'1.1 Produksi Bersih Padi 2025'!B816)</f>
        <v/>
      </c>
      <c r="C816" s="31" t="str">
        <f>IF('1.1 Produksi Bersih Padi 2025'!C816="","",'1.1 Produksi Bersih Padi 2025'!C816)</f>
        <v/>
      </c>
      <c r="D816" s="1" t="str">
        <f>IF('1.1 Produksi Bersih Padi 2025'!D816="","",'1.1 Produksi Bersih Padi 2025'!D816)</f>
        <v/>
      </c>
      <c r="E816" s="1" t="str">
        <f>IF('1.1 Produksi Bersih Padi 2025'!E816="","",'1.1 Produksi Bersih Padi 2025'!E816)</f>
        <v/>
      </c>
      <c r="F816" s="28" t="str">
        <f>IF(D816="","",VLOOKUP(D816,'[1]0.1 Produksi Pangan &amp; Penduduk'!$D$5:$AQ$860,40,0))</f>
        <v/>
      </c>
      <c r="G816" s="29" t="str">
        <f t="shared" si="60"/>
        <v/>
      </c>
      <c r="H816" s="29" t="str">
        <f t="shared" si="61"/>
        <v/>
      </c>
      <c r="I816" s="29" t="str">
        <f t="shared" si="62"/>
        <v/>
      </c>
      <c r="J816" s="29" t="str">
        <f t="shared" si="63"/>
        <v/>
      </c>
      <c r="K816" s="29" t="str">
        <f t="shared" si="64"/>
        <v/>
      </c>
    </row>
    <row r="817" spans="1:11" ht="15" x14ac:dyDescent="0.25">
      <c r="A817" s="1" t="str">
        <f>IF('1.1 Produksi Bersih Padi 2025'!A817="","",'1.1 Produksi Bersih Padi 2025'!A817)</f>
        <v/>
      </c>
      <c r="B817" s="31" t="str">
        <f>IF('1.1 Produksi Bersih Padi 2025'!B817="","",'1.1 Produksi Bersih Padi 2025'!B817)</f>
        <v/>
      </c>
      <c r="C817" s="31" t="str">
        <f>IF('1.1 Produksi Bersih Padi 2025'!C817="","",'1.1 Produksi Bersih Padi 2025'!C817)</f>
        <v/>
      </c>
      <c r="D817" s="1" t="str">
        <f>IF('1.1 Produksi Bersih Padi 2025'!D817="","",'1.1 Produksi Bersih Padi 2025'!D817)</f>
        <v/>
      </c>
      <c r="E817" s="1" t="str">
        <f>IF('1.1 Produksi Bersih Padi 2025'!E817="","",'1.1 Produksi Bersih Padi 2025'!E817)</f>
        <v/>
      </c>
      <c r="F817" s="28" t="str">
        <f>IF(D817="","",VLOOKUP(D817,'[1]0.1 Produksi Pangan &amp; Penduduk'!$D$5:$AQ$860,40,0))</f>
        <v/>
      </c>
      <c r="G817" s="29" t="str">
        <f t="shared" si="60"/>
        <v/>
      </c>
      <c r="H817" s="29" t="str">
        <f t="shared" si="61"/>
        <v/>
      </c>
      <c r="I817" s="29" t="str">
        <f t="shared" si="62"/>
        <v/>
      </c>
      <c r="J817" s="29" t="str">
        <f t="shared" si="63"/>
        <v/>
      </c>
      <c r="K817" s="29" t="str">
        <f t="shared" si="64"/>
        <v/>
      </c>
    </row>
    <row r="818" spans="1:11" ht="15" x14ac:dyDescent="0.25">
      <c r="A818" s="1" t="str">
        <f>IF('1.1 Produksi Bersih Padi 2025'!A818="","",'1.1 Produksi Bersih Padi 2025'!A818)</f>
        <v/>
      </c>
      <c r="B818" s="31" t="str">
        <f>IF('1.1 Produksi Bersih Padi 2025'!B818="","",'1.1 Produksi Bersih Padi 2025'!B818)</f>
        <v/>
      </c>
      <c r="C818" s="31" t="str">
        <f>IF('1.1 Produksi Bersih Padi 2025'!C818="","",'1.1 Produksi Bersih Padi 2025'!C818)</f>
        <v/>
      </c>
      <c r="D818" s="1" t="str">
        <f>IF('1.1 Produksi Bersih Padi 2025'!D818="","",'1.1 Produksi Bersih Padi 2025'!D818)</f>
        <v/>
      </c>
      <c r="E818" s="1" t="str">
        <f>IF('1.1 Produksi Bersih Padi 2025'!E818="","",'1.1 Produksi Bersih Padi 2025'!E818)</f>
        <v/>
      </c>
      <c r="F818" s="28" t="str">
        <f>IF(D818="","",VLOOKUP(D818,'[1]0.1 Produksi Pangan &amp; Penduduk'!$D$5:$AQ$860,40,0))</f>
        <v/>
      </c>
      <c r="G818" s="29" t="str">
        <f t="shared" si="60"/>
        <v/>
      </c>
      <c r="H818" s="29" t="str">
        <f t="shared" si="61"/>
        <v/>
      </c>
      <c r="I818" s="29" t="str">
        <f t="shared" si="62"/>
        <v/>
      </c>
      <c r="J818" s="29" t="str">
        <f t="shared" si="63"/>
        <v/>
      </c>
      <c r="K818" s="29" t="str">
        <f t="shared" si="64"/>
        <v/>
      </c>
    </row>
    <row r="819" spans="1:11" ht="15" x14ac:dyDescent="0.25">
      <c r="A819" s="1" t="str">
        <f>IF('1.1 Produksi Bersih Padi 2025'!A819="","",'1.1 Produksi Bersih Padi 2025'!A819)</f>
        <v/>
      </c>
      <c r="B819" s="31" t="str">
        <f>IF('1.1 Produksi Bersih Padi 2025'!B819="","",'1.1 Produksi Bersih Padi 2025'!B819)</f>
        <v/>
      </c>
      <c r="C819" s="31" t="str">
        <f>IF('1.1 Produksi Bersih Padi 2025'!C819="","",'1.1 Produksi Bersih Padi 2025'!C819)</f>
        <v/>
      </c>
      <c r="D819" s="1" t="str">
        <f>IF('1.1 Produksi Bersih Padi 2025'!D819="","",'1.1 Produksi Bersih Padi 2025'!D819)</f>
        <v/>
      </c>
      <c r="E819" s="1" t="str">
        <f>IF('1.1 Produksi Bersih Padi 2025'!E819="","",'1.1 Produksi Bersih Padi 2025'!E819)</f>
        <v/>
      </c>
      <c r="F819" s="28" t="str">
        <f>IF(D819="","",VLOOKUP(D819,'[1]0.1 Produksi Pangan &amp; Penduduk'!$D$5:$AQ$860,40,0))</f>
        <v/>
      </c>
      <c r="G819" s="29" t="str">
        <f t="shared" si="60"/>
        <v/>
      </c>
      <c r="H819" s="29" t="str">
        <f t="shared" si="61"/>
        <v/>
      </c>
      <c r="I819" s="29" t="str">
        <f t="shared" si="62"/>
        <v/>
      </c>
      <c r="J819" s="29" t="str">
        <f t="shared" si="63"/>
        <v/>
      </c>
      <c r="K819" s="29" t="str">
        <f t="shared" si="64"/>
        <v/>
      </c>
    </row>
    <row r="820" spans="1:11" ht="15" x14ac:dyDescent="0.25">
      <c r="A820" s="1" t="str">
        <f>IF('1.1 Produksi Bersih Padi 2025'!A820="","",'1.1 Produksi Bersih Padi 2025'!A820)</f>
        <v/>
      </c>
      <c r="B820" s="31" t="str">
        <f>IF('1.1 Produksi Bersih Padi 2025'!B820="","",'1.1 Produksi Bersih Padi 2025'!B820)</f>
        <v/>
      </c>
      <c r="C820" s="31" t="str">
        <f>IF('1.1 Produksi Bersih Padi 2025'!C820="","",'1.1 Produksi Bersih Padi 2025'!C820)</f>
        <v/>
      </c>
      <c r="D820" s="1" t="str">
        <f>IF('1.1 Produksi Bersih Padi 2025'!D820="","",'1.1 Produksi Bersih Padi 2025'!D820)</f>
        <v/>
      </c>
      <c r="E820" s="1" t="str">
        <f>IF('1.1 Produksi Bersih Padi 2025'!E820="","",'1.1 Produksi Bersih Padi 2025'!E820)</f>
        <v/>
      </c>
      <c r="F820" s="28" t="str">
        <f>IF(D820="","",VLOOKUP(D820,'[1]0.1 Produksi Pangan &amp; Penduduk'!$D$5:$AQ$860,40,0))</f>
        <v/>
      </c>
      <c r="G820" s="29" t="str">
        <f t="shared" si="60"/>
        <v/>
      </c>
      <c r="H820" s="29" t="str">
        <f t="shared" si="61"/>
        <v/>
      </c>
      <c r="I820" s="29" t="str">
        <f t="shared" si="62"/>
        <v/>
      </c>
      <c r="J820" s="29" t="str">
        <f t="shared" si="63"/>
        <v/>
      </c>
      <c r="K820" s="29" t="str">
        <f t="shared" si="64"/>
        <v/>
      </c>
    </row>
    <row r="821" spans="1:11" ht="15" x14ac:dyDescent="0.25">
      <c r="A821" s="1" t="str">
        <f>IF('1.1 Produksi Bersih Padi 2025'!A821="","",'1.1 Produksi Bersih Padi 2025'!A821)</f>
        <v/>
      </c>
      <c r="B821" s="31" t="str">
        <f>IF('1.1 Produksi Bersih Padi 2025'!B821="","",'1.1 Produksi Bersih Padi 2025'!B821)</f>
        <v/>
      </c>
      <c r="C821" s="31" t="str">
        <f>IF('1.1 Produksi Bersih Padi 2025'!C821="","",'1.1 Produksi Bersih Padi 2025'!C821)</f>
        <v/>
      </c>
      <c r="D821" s="1" t="str">
        <f>IF('1.1 Produksi Bersih Padi 2025'!D821="","",'1.1 Produksi Bersih Padi 2025'!D821)</f>
        <v/>
      </c>
      <c r="E821" s="1" t="str">
        <f>IF('1.1 Produksi Bersih Padi 2025'!E821="","",'1.1 Produksi Bersih Padi 2025'!E821)</f>
        <v/>
      </c>
      <c r="F821" s="28" t="str">
        <f>IF(D821="","",VLOOKUP(D821,'[1]0.1 Produksi Pangan &amp; Penduduk'!$D$5:$AQ$860,40,0))</f>
        <v/>
      </c>
      <c r="G821" s="29" t="str">
        <f t="shared" si="60"/>
        <v/>
      </c>
      <c r="H821" s="29" t="str">
        <f t="shared" si="61"/>
        <v/>
      </c>
      <c r="I821" s="29" t="str">
        <f t="shared" si="62"/>
        <v/>
      </c>
      <c r="J821" s="29" t="str">
        <f t="shared" si="63"/>
        <v/>
      </c>
      <c r="K821" s="29" t="str">
        <f t="shared" si="64"/>
        <v/>
      </c>
    </row>
    <row r="822" spans="1:11" ht="15" x14ac:dyDescent="0.25">
      <c r="A822" s="1" t="str">
        <f>IF('1.1 Produksi Bersih Padi 2025'!A822="","",'1.1 Produksi Bersih Padi 2025'!A822)</f>
        <v/>
      </c>
      <c r="B822" s="31" t="str">
        <f>IF('1.1 Produksi Bersih Padi 2025'!B822="","",'1.1 Produksi Bersih Padi 2025'!B822)</f>
        <v/>
      </c>
      <c r="C822" s="31" t="str">
        <f>IF('1.1 Produksi Bersih Padi 2025'!C822="","",'1.1 Produksi Bersih Padi 2025'!C822)</f>
        <v/>
      </c>
      <c r="D822" s="1" t="str">
        <f>IF('1.1 Produksi Bersih Padi 2025'!D822="","",'1.1 Produksi Bersih Padi 2025'!D822)</f>
        <v/>
      </c>
      <c r="E822" s="1" t="str">
        <f>IF('1.1 Produksi Bersih Padi 2025'!E822="","",'1.1 Produksi Bersih Padi 2025'!E822)</f>
        <v/>
      </c>
      <c r="F822" s="28" t="str">
        <f>IF(D822="","",VLOOKUP(D822,'[1]0.1 Produksi Pangan &amp; Penduduk'!$D$5:$AQ$860,40,0))</f>
        <v/>
      </c>
      <c r="G822" s="29" t="str">
        <f t="shared" si="60"/>
        <v/>
      </c>
      <c r="H822" s="29" t="str">
        <f t="shared" si="61"/>
        <v/>
      </c>
      <c r="I822" s="29" t="str">
        <f t="shared" si="62"/>
        <v/>
      </c>
      <c r="J822" s="29" t="str">
        <f t="shared" si="63"/>
        <v/>
      </c>
      <c r="K822" s="29" t="str">
        <f t="shared" si="64"/>
        <v/>
      </c>
    </row>
    <row r="823" spans="1:11" ht="15" x14ac:dyDescent="0.25">
      <c r="A823" s="1" t="str">
        <f>IF('1.1 Produksi Bersih Padi 2025'!A823="","",'1.1 Produksi Bersih Padi 2025'!A823)</f>
        <v/>
      </c>
      <c r="B823" s="31" t="str">
        <f>IF('1.1 Produksi Bersih Padi 2025'!B823="","",'1.1 Produksi Bersih Padi 2025'!B823)</f>
        <v/>
      </c>
      <c r="C823" s="31" t="str">
        <f>IF('1.1 Produksi Bersih Padi 2025'!C823="","",'1.1 Produksi Bersih Padi 2025'!C823)</f>
        <v/>
      </c>
      <c r="D823" s="1" t="str">
        <f>IF('1.1 Produksi Bersih Padi 2025'!D823="","",'1.1 Produksi Bersih Padi 2025'!D823)</f>
        <v/>
      </c>
      <c r="E823" s="1" t="str">
        <f>IF('1.1 Produksi Bersih Padi 2025'!E823="","",'1.1 Produksi Bersih Padi 2025'!E823)</f>
        <v/>
      </c>
      <c r="F823" s="28" t="str">
        <f>IF(D823="","",VLOOKUP(D823,'[1]0.1 Produksi Pangan &amp; Penduduk'!$D$5:$AQ$860,40,0))</f>
        <v/>
      </c>
      <c r="G823" s="29" t="str">
        <f t="shared" si="60"/>
        <v/>
      </c>
      <c r="H823" s="29" t="str">
        <f t="shared" si="61"/>
        <v/>
      </c>
      <c r="I823" s="29" t="str">
        <f t="shared" si="62"/>
        <v/>
      </c>
      <c r="J823" s="29" t="str">
        <f t="shared" si="63"/>
        <v/>
      </c>
      <c r="K823" s="29" t="str">
        <f t="shared" si="64"/>
        <v/>
      </c>
    </row>
    <row r="824" spans="1:11" ht="15" x14ac:dyDescent="0.25">
      <c r="A824" s="1" t="str">
        <f>IF('1.1 Produksi Bersih Padi 2025'!A824="","",'1.1 Produksi Bersih Padi 2025'!A824)</f>
        <v/>
      </c>
      <c r="B824" s="31" t="str">
        <f>IF('1.1 Produksi Bersih Padi 2025'!B824="","",'1.1 Produksi Bersih Padi 2025'!B824)</f>
        <v/>
      </c>
      <c r="C824" s="31" t="str">
        <f>IF('1.1 Produksi Bersih Padi 2025'!C824="","",'1.1 Produksi Bersih Padi 2025'!C824)</f>
        <v/>
      </c>
      <c r="D824" s="1" t="str">
        <f>IF('1.1 Produksi Bersih Padi 2025'!D824="","",'1.1 Produksi Bersih Padi 2025'!D824)</f>
        <v/>
      </c>
      <c r="E824" s="1" t="str">
        <f>IF('1.1 Produksi Bersih Padi 2025'!E824="","",'1.1 Produksi Bersih Padi 2025'!E824)</f>
        <v/>
      </c>
      <c r="F824" s="28" t="str">
        <f>IF(D824="","",VLOOKUP(D824,'[1]0.1 Produksi Pangan &amp; Penduduk'!$D$5:$AQ$860,40,0))</f>
        <v/>
      </c>
      <c r="G824" s="29" t="str">
        <f t="shared" si="60"/>
        <v/>
      </c>
      <c r="H824" s="29" t="str">
        <f t="shared" si="61"/>
        <v/>
      </c>
      <c r="I824" s="29" t="str">
        <f t="shared" si="62"/>
        <v/>
      </c>
      <c r="J824" s="29" t="str">
        <f t="shared" si="63"/>
        <v/>
      </c>
      <c r="K824" s="29" t="str">
        <f t="shared" si="64"/>
        <v/>
      </c>
    </row>
    <row r="825" spans="1:11" ht="15" x14ac:dyDescent="0.25">
      <c r="A825" s="1" t="str">
        <f>IF('1.1 Produksi Bersih Padi 2025'!A825="","",'1.1 Produksi Bersih Padi 2025'!A825)</f>
        <v/>
      </c>
      <c r="B825" s="31" t="str">
        <f>IF('1.1 Produksi Bersih Padi 2025'!B825="","",'1.1 Produksi Bersih Padi 2025'!B825)</f>
        <v/>
      </c>
      <c r="C825" s="31" t="str">
        <f>IF('1.1 Produksi Bersih Padi 2025'!C825="","",'1.1 Produksi Bersih Padi 2025'!C825)</f>
        <v/>
      </c>
      <c r="D825" s="1" t="str">
        <f>IF('1.1 Produksi Bersih Padi 2025'!D825="","",'1.1 Produksi Bersih Padi 2025'!D825)</f>
        <v/>
      </c>
      <c r="E825" s="1" t="str">
        <f>IF('1.1 Produksi Bersih Padi 2025'!E825="","",'1.1 Produksi Bersih Padi 2025'!E825)</f>
        <v/>
      </c>
      <c r="F825" s="28" t="str">
        <f>IF(D825="","",VLOOKUP(D825,'[1]0.1 Produksi Pangan &amp; Penduduk'!$D$5:$AQ$860,40,0))</f>
        <v/>
      </c>
      <c r="G825" s="29" t="str">
        <f t="shared" si="60"/>
        <v/>
      </c>
      <c r="H825" s="29" t="str">
        <f t="shared" si="61"/>
        <v/>
      </c>
      <c r="I825" s="29" t="str">
        <f t="shared" si="62"/>
        <v/>
      </c>
      <c r="J825" s="29" t="str">
        <f t="shared" si="63"/>
        <v/>
      </c>
      <c r="K825" s="29" t="str">
        <f t="shared" si="64"/>
        <v/>
      </c>
    </row>
    <row r="826" spans="1:11" ht="15" x14ac:dyDescent="0.25">
      <c r="A826" s="1" t="str">
        <f>IF('1.1 Produksi Bersih Padi 2025'!A826="","",'1.1 Produksi Bersih Padi 2025'!A826)</f>
        <v/>
      </c>
      <c r="B826" s="31" t="str">
        <f>IF('1.1 Produksi Bersih Padi 2025'!B826="","",'1.1 Produksi Bersih Padi 2025'!B826)</f>
        <v/>
      </c>
      <c r="C826" s="31" t="str">
        <f>IF('1.1 Produksi Bersih Padi 2025'!C826="","",'1.1 Produksi Bersih Padi 2025'!C826)</f>
        <v/>
      </c>
      <c r="D826" s="1" t="str">
        <f>IF('1.1 Produksi Bersih Padi 2025'!D826="","",'1.1 Produksi Bersih Padi 2025'!D826)</f>
        <v/>
      </c>
      <c r="E826" s="1" t="str">
        <f>IF('1.1 Produksi Bersih Padi 2025'!E826="","",'1.1 Produksi Bersih Padi 2025'!E826)</f>
        <v/>
      </c>
      <c r="F826" s="28" t="str">
        <f>IF(D826="","",VLOOKUP(D826,'[1]0.1 Produksi Pangan &amp; Penduduk'!$D$5:$AQ$860,40,0))</f>
        <v/>
      </c>
      <c r="G826" s="29" t="str">
        <f t="shared" si="60"/>
        <v/>
      </c>
      <c r="H826" s="29" t="str">
        <f t="shared" si="61"/>
        <v/>
      </c>
      <c r="I826" s="29" t="str">
        <f t="shared" si="62"/>
        <v/>
      </c>
      <c r="J826" s="29" t="str">
        <f t="shared" si="63"/>
        <v/>
      </c>
      <c r="K826" s="29" t="str">
        <f t="shared" si="64"/>
        <v/>
      </c>
    </row>
    <row r="827" spans="1:11" ht="15" x14ac:dyDescent="0.25">
      <c r="A827" s="1" t="str">
        <f>IF('1.1 Produksi Bersih Padi 2025'!A827="","",'1.1 Produksi Bersih Padi 2025'!A827)</f>
        <v/>
      </c>
      <c r="B827" s="31" t="str">
        <f>IF('1.1 Produksi Bersih Padi 2025'!B827="","",'1.1 Produksi Bersih Padi 2025'!B827)</f>
        <v/>
      </c>
      <c r="C827" s="31" t="str">
        <f>IF('1.1 Produksi Bersih Padi 2025'!C827="","",'1.1 Produksi Bersih Padi 2025'!C827)</f>
        <v/>
      </c>
      <c r="D827" s="1" t="str">
        <f>IF('1.1 Produksi Bersih Padi 2025'!D827="","",'1.1 Produksi Bersih Padi 2025'!D827)</f>
        <v/>
      </c>
      <c r="E827" s="1" t="str">
        <f>IF('1.1 Produksi Bersih Padi 2025'!E827="","",'1.1 Produksi Bersih Padi 2025'!E827)</f>
        <v/>
      </c>
      <c r="F827" s="28" t="str">
        <f>IF(D827="","",VLOOKUP(D827,'[1]0.1 Produksi Pangan &amp; Penduduk'!$D$5:$AQ$860,40,0))</f>
        <v/>
      </c>
      <c r="G827" s="29" t="str">
        <f t="shared" si="60"/>
        <v/>
      </c>
      <c r="H827" s="29" t="str">
        <f t="shared" si="61"/>
        <v/>
      </c>
      <c r="I827" s="29" t="str">
        <f t="shared" si="62"/>
        <v/>
      </c>
      <c r="J827" s="29" t="str">
        <f t="shared" si="63"/>
        <v/>
      </c>
      <c r="K827" s="29" t="str">
        <f t="shared" si="64"/>
        <v/>
      </c>
    </row>
    <row r="828" spans="1:11" ht="15" x14ac:dyDescent="0.25">
      <c r="A828" s="1" t="str">
        <f>IF('1.1 Produksi Bersih Padi 2025'!A828="","",'1.1 Produksi Bersih Padi 2025'!A828)</f>
        <v/>
      </c>
      <c r="B828" s="31" t="str">
        <f>IF('1.1 Produksi Bersih Padi 2025'!B828="","",'1.1 Produksi Bersih Padi 2025'!B828)</f>
        <v/>
      </c>
      <c r="C828" s="31" t="str">
        <f>IF('1.1 Produksi Bersih Padi 2025'!C828="","",'1.1 Produksi Bersih Padi 2025'!C828)</f>
        <v/>
      </c>
      <c r="D828" s="1" t="str">
        <f>IF('1.1 Produksi Bersih Padi 2025'!D828="","",'1.1 Produksi Bersih Padi 2025'!D828)</f>
        <v/>
      </c>
      <c r="E828" s="1" t="str">
        <f>IF('1.1 Produksi Bersih Padi 2025'!E828="","",'1.1 Produksi Bersih Padi 2025'!E828)</f>
        <v/>
      </c>
      <c r="F828" s="28" t="str">
        <f>IF(D828="","",VLOOKUP(D828,'[1]0.1 Produksi Pangan &amp; Penduduk'!$D$5:$AQ$860,40,0))</f>
        <v/>
      </c>
      <c r="G828" s="29" t="str">
        <f t="shared" si="60"/>
        <v/>
      </c>
      <c r="H828" s="29" t="str">
        <f t="shared" si="61"/>
        <v/>
      </c>
      <c r="I828" s="29" t="str">
        <f t="shared" si="62"/>
        <v/>
      </c>
      <c r="J828" s="29" t="str">
        <f t="shared" si="63"/>
        <v/>
      </c>
      <c r="K828" s="29" t="str">
        <f t="shared" si="64"/>
        <v/>
      </c>
    </row>
    <row r="829" spans="1:11" ht="15" x14ac:dyDescent="0.25">
      <c r="A829" s="1" t="str">
        <f>IF('1.1 Produksi Bersih Padi 2025'!A829="","",'1.1 Produksi Bersih Padi 2025'!A829)</f>
        <v/>
      </c>
      <c r="B829" s="31" t="str">
        <f>IF('1.1 Produksi Bersih Padi 2025'!B829="","",'1.1 Produksi Bersih Padi 2025'!B829)</f>
        <v/>
      </c>
      <c r="C829" s="31" t="str">
        <f>IF('1.1 Produksi Bersih Padi 2025'!C829="","",'1.1 Produksi Bersih Padi 2025'!C829)</f>
        <v/>
      </c>
      <c r="D829" s="1" t="str">
        <f>IF('1.1 Produksi Bersih Padi 2025'!D829="","",'1.1 Produksi Bersih Padi 2025'!D829)</f>
        <v/>
      </c>
      <c r="E829" s="1" t="str">
        <f>IF('1.1 Produksi Bersih Padi 2025'!E829="","",'1.1 Produksi Bersih Padi 2025'!E829)</f>
        <v/>
      </c>
      <c r="F829" s="28" t="str">
        <f>IF(D829="","",VLOOKUP(D829,'[1]0.1 Produksi Pangan &amp; Penduduk'!$D$5:$AQ$860,40,0))</f>
        <v/>
      </c>
      <c r="G829" s="29" t="str">
        <f t="shared" si="60"/>
        <v/>
      </c>
      <c r="H829" s="29" t="str">
        <f t="shared" si="61"/>
        <v/>
      </c>
      <c r="I829" s="29" t="str">
        <f t="shared" si="62"/>
        <v/>
      </c>
      <c r="J829" s="29" t="str">
        <f t="shared" si="63"/>
        <v/>
      </c>
      <c r="K829" s="29" t="str">
        <f t="shared" si="64"/>
        <v/>
      </c>
    </row>
    <row r="830" spans="1:11" ht="15" x14ac:dyDescent="0.25">
      <c r="A830" s="1" t="str">
        <f>IF('1.1 Produksi Bersih Padi 2025'!A830="","",'1.1 Produksi Bersih Padi 2025'!A830)</f>
        <v/>
      </c>
      <c r="B830" s="31" t="str">
        <f>IF('1.1 Produksi Bersih Padi 2025'!B830="","",'1.1 Produksi Bersih Padi 2025'!B830)</f>
        <v/>
      </c>
      <c r="C830" s="31" t="str">
        <f>IF('1.1 Produksi Bersih Padi 2025'!C830="","",'1.1 Produksi Bersih Padi 2025'!C830)</f>
        <v/>
      </c>
      <c r="D830" s="1" t="str">
        <f>IF('1.1 Produksi Bersih Padi 2025'!D830="","",'1.1 Produksi Bersih Padi 2025'!D830)</f>
        <v/>
      </c>
      <c r="E830" s="1" t="str">
        <f>IF('1.1 Produksi Bersih Padi 2025'!E830="","",'1.1 Produksi Bersih Padi 2025'!E830)</f>
        <v/>
      </c>
      <c r="F830" s="28" t="str">
        <f>IF(D830="","",VLOOKUP(D830,'[1]0.1 Produksi Pangan &amp; Penduduk'!$D$5:$AQ$860,40,0))</f>
        <v/>
      </c>
      <c r="G830" s="29" t="str">
        <f t="shared" si="60"/>
        <v/>
      </c>
      <c r="H830" s="29" t="str">
        <f t="shared" si="61"/>
        <v/>
      </c>
      <c r="I830" s="29" t="str">
        <f t="shared" si="62"/>
        <v/>
      </c>
      <c r="J830" s="29" t="str">
        <f t="shared" si="63"/>
        <v/>
      </c>
      <c r="K830" s="29" t="str">
        <f t="shared" si="64"/>
        <v/>
      </c>
    </row>
    <row r="831" spans="1:11" ht="15" x14ac:dyDescent="0.25">
      <c r="A831" s="1" t="str">
        <f>IF('1.1 Produksi Bersih Padi 2025'!A831="","",'1.1 Produksi Bersih Padi 2025'!A831)</f>
        <v/>
      </c>
      <c r="B831" s="31" t="str">
        <f>IF('1.1 Produksi Bersih Padi 2025'!B831="","",'1.1 Produksi Bersih Padi 2025'!B831)</f>
        <v/>
      </c>
      <c r="C831" s="31" t="str">
        <f>IF('1.1 Produksi Bersih Padi 2025'!C831="","",'1.1 Produksi Bersih Padi 2025'!C831)</f>
        <v/>
      </c>
      <c r="D831" s="1" t="str">
        <f>IF('1.1 Produksi Bersih Padi 2025'!D831="","",'1.1 Produksi Bersih Padi 2025'!D831)</f>
        <v/>
      </c>
      <c r="E831" s="1" t="str">
        <f>IF('1.1 Produksi Bersih Padi 2025'!E831="","",'1.1 Produksi Bersih Padi 2025'!E831)</f>
        <v/>
      </c>
      <c r="F831" s="28" t="str">
        <f>IF(D831="","",VLOOKUP(D831,'[1]0.1 Produksi Pangan &amp; Penduduk'!$D$5:$AQ$860,40,0))</f>
        <v/>
      </c>
      <c r="G831" s="29" t="str">
        <f t="shared" si="60"/>
        <v/>
      </c>
      <c r="H831" s="29" t="str">
        <f t="shared" si="61"/>
        <v/>
      </c>
      <c r="I831" s="29" t="str">
        <f t="shared" si="62"/>
        <v/>
      </c>
      <c r="J831" s="29" t="str">
        <f t="shared" si="63"/>
        <v/>
      </c>
      <c r="K831" s="29" t="str">
        <f t="shared" si="64"/>
        <v/>
      </c>
    </row>
    <row r="832" spans="1:11" ht="15" x14ac:dyDescent="0.25">
      <c r="A832" s="1" t="str">
        <f>IF('1.1 Produksi Bersih Padi 2025'!A832="","",'1.1 Produksi Bersih Padi 2025'!A832)</f>
        <v/>
      </c>
      <c r="B832" s="31" t="str">
        <f>IF('1.1 Produksi Bersih Padi 2025'!B832="","",'1.1 Produksi Bersih Padi 2025'!B832)</f>
        <v/>
      </c>
      <c r="C832" s="31" t="str">
        <f>IF('1.1 Produksi Bersih Padi 2025'!C832="","",'1.1 Produksi Bersih Padi 2025'!C832)</f>
        <v/>
      </c>
      <c r="D832" s="1" t="str">
        <f>IF('1.1 Produksi Bersih Padi 2025'!D832="","",'1.1 Produksi Bersih Padi 2025'!D832)</f>
        <v/>
      </c>
      <c r="E832" s="1" t="str">
        <f>IF('1.1 Produksi Bersih Padi 2025'!E832="","",'1.1 Produksi Bersih Padi 2025'!E832)</f>
        <v/>
      </c>
      <c r="F832" s="28" t="str">
        <f>IF(D832="","",VLOOKUP(D832,'[1]0.1 Produksi Pangan &amp; Penduduk'!$D$5:$AQ$860,40,0))</f>
        <v/>
      </c>
      <c r="G832" s="29" t="str">
        <f t="shared" si="60"/>
        <v/>
      </c>
      <c r="H832" s="29" t="str">
        <f t="shared" si="61"/>
        <v/>
      </c>
      <c r="I832" s="29" t="str">
        <f t="shared" si="62"/>
        <v/>
      </c>
      <c r="J832" s="29" t="str">
        <f t="shared" si="63"/>
        <v/>
      </c>
      <c r="K832" s="29" t="str">
        <f t="shared" si="64"/>
        <v/>
      </c>
    </row>
    <row r="833" spans="1:11" ht="15" x14ac:dyDescent="0.25">
      <c r="A833" s="1" t="str">
        <f>IF('1.1 Produksi Bersih Padi 2025'!A833="","",'1.1 Produksi Bersih Padi 2025'!A833)</f>
        <v/>
      </c>
      <c r="B833" s="31" t="str">
        <f>IF('1.1 Produksi Bersih Padi 2025'!B833="","",'1.1 Produksi Bersih Padi 2025'!B833)</f>
        <v/>
      </c>
      <c r="C833" s="31" t="str">
        <f>IF('1.1 Produksi Bersih Padi 2025'!C833="","",'1.1 Produksi Bersih Padi 2025'!C833)</f>
        <v/>
      </c>
      <c r="D833" s="1" t="str">
        <f>IF('1.1 Produksi Bersih Padi 2025'!D833="","",'1.1 Produksi Bersih Padi 2025'!D833)</f>
        <v/>
      </c>
      <c r="E833" s="1" t="str">
        <f>IF('1.1 Produksi Bersih Padi 2025'!E833="","",'1.1 Produksi Bersih Padi 2025'!E833)</f>
        <v/>
      </c>
      <c r="F833" s="28" t="str">
        <f>IF(D833="","",VLOOKUP(D833,'[1]0.1 Produksi Pangan &amp; Penduduk'!$D$5:$AQ$860,40,0))</f>
        <v/>
      </c>
      <c r="G833" s="29" t="str">
        <f t="shared" si="60"/>
        <v/>
      </c>
      <c r="H833" s="29" t="str">
        <f t="shared" si="61"/>
        <v/>
      </c>
      <c r="I833" s="29" t="str">
        <f t="shared" si="62"/>
        <v/>
      </c>
      <c r="J833" s="29" t="str">
        <f t="shared" si="63"/>
        <v/>
      </c>
      <c r="K833" s="29" t="str">
        <f t="shared" si="64"/>
        <v/>
      </c>
    </row>
    <row r="834" spans="1:11" ht="15" x14ac:dyDescent="0.25">
      <c r="A834" s="1" t="str">
        <f>IF('1.1 Produksi Bersih Padi 2025'!A834="","",'1.1 Produksi Bersih Padi 2025'!A834)</f>
        <v/>
      </c>
      <c r="B834" s="31" t="str">
        <f>IF('1.1 Produksi Bersih Padi 2025'!B834="","",'1.1 Produksi Bersih Padi 2025'!B834)</f>
        <v/>
      </c>
      <c r="C834" s="31" t="str">
        <f>IF('1.1 Produksi Bersih Padi 2025'!C834="","",'1.1 Produksi Bersih Padi 2025'!C834)</f>
        <v/>
      </c>
      <c r="D834" s="1" t="str">
        <f>IF('1.1 Produksi Bersih Padi 2025'!D834="","",'1.1 Produksi Bersih Padi 2025'!D834)</f>
        <v/>
      </c>
      <c r="E834" s="1" t="str">
        <f>IF('1.1 Produksi Bersih Padi 2025'!E834="","",'1.1 Produksi Bersih Padi 2025'!E834)</f>
        <v/>
      </c>
      <c r="F834" s="28" t="str">
        <f>IF(D834="","",VLOOKUP(D834,'[1]0.1 Produksi Pangan &amp; Penduduk'!$D$5:$AQ$860,40,0))</f>
        <v/>
      </c>
      <c r="G834" s="29" t="str">
        <f t="shared" si="60"/>
        <v/>
      </c>
      <c r="H834" s="29" t="str">
        <f t="shared" si="61"/>
        <v/>
      </c>
      <c r="I834" s="29" t="str">
        <f t="shared" si="62"/>
        <v/>
      </c>
      <c r="J834" s="29" t="str">
        <f t="shared" si="63"/>
        <v/>
      </c>
      <c r="K834" s="29" t="str">
        <f t="shared" si="64"/>
        <v/>
      </c>
    </row>
    <row r="835" spans="1:11" ht="15" x14ac:dyDescent="0.25">
      <c r="A835" s="1" t="str">
        <f>IF('1.1 Produksi Bersih Padi 2025'!A835="","",'1.1 Produksi Bersih Padi 2025'!A835)</f>
        <v/>
      </c>
      <c r="B835" s="31" t="str">
        <f>IF('1.1 Produksi Bersih Padi 2025'!B835="","",'1.1 Produksi Bersih Padi 2025'!B835)</f>
        <v/>
      </c>
      <c r="C835" s="31" t="str">
        <f>IF('1.1 Produksi Bersih Padi 2025'!C835="","",'1.1 Produksi Bersih Padi 2025'!C835)</f>
        <v/>
      </c>
      <c r="D835" s="1" t="str">
        <f>IF('1.1 Produksi Bersih Padi 2025'!D835="","",'1.1 Produksi Bersih Padi 2025'!D835)</f>
        <v/>
      </c>
      <c r="E835" s="1" t="str">
        <f>IF('1.1 Produksi Bersih Padi 2025'!E835="","",'1.1 Produksi Bersih Padi 2025'!E835)</f>
        <v/>
      </c>
      <c r="F835" s="28" t="str">
        <f>IF(D835="","",VLOOKUP(D835,'[1]0.1 Produksi Pangan &amp; Penduduk'!$D$5:$AQ$860,40,0))</f>
        <v/>
      </c>
      <c r="G835" s="29" t="str">
        <f t="shared" si="60"/>
        <v/>
      </c>
      <c r="H835" s="29" t="str">
        <f t="shared" si="61"/>
        <v/>
      </c>
      <c r="I835" s="29" t="str">
        <f t="shared" si="62"/>
        <v/>
      </c>
      <c r="J835" s="29" t="str">
        <f t="shared" si="63"/>
        <v/>
      </c>
      <c r="K835" s="29" t="str">
        <f t="shared" si="64"/>
        <v/>
      </c>
    </row>
    <row r="836" spans="1:11" ht="15" x14ac:dyDescent="0.25">
      <c r="A836" s="1" t="str">
        <f>IF('1.1 Produksi Bersih Padi 2025'!A836="","",'1.1 Produksi Bersih Padi 2025'!A836)</f>
        <v/>
      </c>
      <c r="B836" s="31" t="str">
        <f>IF('1.1 Produksi Bersih Padi 2025'!B836="","",'1.1 Produksi Bersih Padi 2025'!B836)</f>
        <v/>
      </c>
      <c r="C836" s="31" t="str">
        <f>IF('1.1 Produksi Bersih Padi 2025'!C836="","",'1.1 Produksi Bersih Padi 2025'!C836)</f>
        <v/>
      </c>
      <c r="D836" s="1" t="str">
        <f>IF('1.1 Produksi Bersih Padi 2025'!D836="","",'1.1 Produksi Bersih Padi 2025'!D836)</f>
        <v/>
      </c>
      <c r="E836" s="1" t="str">
        <f>IF('1.1 Produksi Bersih Padi 2025'!E836="","",'1.1 Produksi Bersih Padi 2025'!E836)</f>
        <v/>
      </c>
      <c r="F836" s="28" t="str">
        <f>IF(D836="","",VLOOKUP(D836,'[1]0.1 Produksi Pangan &amp; Penduduk'!$D$5:$AQ$860,40,0))</f>
        <v/>
      </c>
      <c r="G836" s="29" t="str">
        <f t="shared" si="60"/>
        <v/>
      </c>
      <c r="H836" s="29" t="str">
        <f t="shared" si="61"/>
        <v/>
      </c>
      <c r="I836" s="29" t="str">
        <f t="shared" si="62"/>
        <v/>
      </c>
      <c r="J836" s="29" t="str">
        <f t="shared" si="63"/>
        <v/>
      </c>
      <c r="K836" s="29" t="str">
        <f t="shared" si="64"/>
        <v/>
      </c>
    </row>
    <row r="837" spans="1:11" ht="15" x14ac:dyDescent="0.25">
      <c r="A837" s="1" t="str">
        <f>IF('1.1 Produksi Bersih Padi 2025'!A837="","",'1.1 Produksi Bersih Padi 2025'!A837)</f>
        <v/>
      </c>
      <c r="B837" s="31" t="str">
        <f>IF('1.1 Produksi Bersih Padi 2025'!B837="","",'1.1 Produksi Bersih Padi 2025'!B837)</f>
        <v/>
      </c>
      <c r="C837" s="31" t="str">
        <f>IF('1.1 Produksi Bersih Padi 2025'!C837="","",'1.1 Produksi Bersih Padi 2025'!C837)</f>
        <v/>
      </c>
      <c r="D837" s="1" t="str">
        <f>IF('1.1 Produksi Bersih Padi 2025'!D837="","",'1.1 Produksi Bersih Padi 2025'!D837)</f>
        <v/>
      </c>
      <c r="E837" s="1" t="str">
        <f>IF('1.1 Produksi Bersih Padi 2025'!E837="","",'1.1 Produksi Bersih Padi 2025'!E837)</f>
        <v/>
      </c>
      <c r="F837" s="28" t="str">
        <f>IF(D837="","",VLOOKUP(D837,'[1]0.1 Produksi Pangan &amp; Penduduk'!$D$5:$AQ$860,40,0))</f>
        <v/>
      </c>
      <c r="G837" s="29" t="str">
        <f t="shared" si="60"/>
        <v/>
      </c>
      <c r="H837" s="29" t="str">
        <f t="shared" si="61"/>
        <v/>
      </c>
      <c r="I837" s="29" t="str">
        <f t="shared" si="62"/>
        <v/>
      </c>
      <c r="J837" s="29" t="str">
        <f t="shared" si="63"/>
        <v/>
      </c>
      <c r="K837" s="29" t="str">
        <f t="shared" si="64"/>
        <v/>
      </c>
    </row>
    <row r="838" spans="1:11" ht="15" x14ac:dyDescent="0.25">
      <c r="A838" s="1" t="str">
        <f>IF('1.1 Produksi Bersih Padi 2025'!A838="","",'1.1 Produksi Bersih Padi 2025'!A838)</f>
        <v/>
      </c>
      <c r="B838" s="31" t="str">
        <f>IF('1.1 Produksi Bersih Padi 2025'!B838="","",'1.1 Produksi Bersih Padi 2025'!B838)</f>
        <v/>
      </c>
      <c r="C838" s="31" t="str">
        <f>IF('1.1 Produksi Bersih Padi 2025'!C838="","",'1.1 Produksi Bersih Padi 2025'!C838)</f>
        <v/>
      </c>
      <c r="D838" s="1" t="str">
        <f>IF('1.1 Produksi Bersih Padi 2025'!D838="","",'1.1 Produksi Bersih Padi 2025'!D838)</f>
        <v/>
      </c>
      <c r="E838" s="1" t="str">
        <f>IF('1.1 Produksi Bersih Padi 2025'!E838="","",'1.1 Produksi Bersih Padi 2025'!E838)</f>
        <v/>
      </c>
      <c r="F838" s="28" t="str">
        <f>IF(D838="","",VLOOKUP(D838,'[1]0.1 Produksi Pangan &amp; Penduduk'!$D$5:$AQ$860,40,0))</f>
        <v/>
      </c>
      <c r="G838" s="29" t="str">
        <f t="shared" ref="G838:G859" si="65">IF(F838="","",F838*0%)</f>
        <v/>
      </c>
      <c r="H838" s="29" t="str">
        <f t="shared" ref="H838:H859" si="66">IF(F838="","",F838*0%)</f>
        <v/>
      </c>
      <c r="I838" s="29" t="str">
        <f t="shared" ref="I838:I859" si="67">IF(F838="","",F838*1.11%)</f>
        <v/>
      </c>
      <c r="J838" s="29" t="str">
        <f t="shared" ref="J838:J859" si="68">IF(F838="","",F838-(G838+H838+I838))</f>
        <v/>
      </c>
      <c r="K838" s="29" t="str">
        <f t="shared" ref="K838:K859" si="69">IF(J838="","",J838*0.134)</f>
        <v/>
      </c>
    </row>
    <row r="839" spans="1:11" ht="15" x14ac:dyDescent="0.25">
      <c r="A839" s="1" t="str">
        <f>IF('1.1 Produksi Bersih Padi 2025'!A839="","",'1.1 Produksi Bersih Padi 2025'!A839)</f>
        <v/>
      </c>
      <c r="B839" s="31" t="str">
        <f>IF('1.1 Produksi Bersih Padi 2025'!B839="","",'1.1 Produksi Bersih Padi 2025'!B839)</f>
        <v/>
      </c>
      <c r="C839" s="31" t="str">
        <f>IF('1.1 Produksi Bersih Padi 2025'!C839="","",'1.1 Produksi Bersih Padi 2025'!C839)</f>
        <v/>
      </c>
      <c r="D839" s="1" t="str">
        <f>IF('1.1 Produksi Bersih Padi 2025'!D839="","",'1.1 Produksi Bersih Padi 2025'!D839)</f>
        <v/>
      </c>
      <c r="E839" s="1" t="str">
        <f>IF('1.1 Produksi Bersih Padi 2025'!E839="","",'1.1 Produksi Bersih Padi 2025'!E839)</f>
        <v/>
      </c>
      <c r="F839" s="28" t="str">
        <f>IF(D839="","",VLOOKUP(D839,'[1]0.1 Produksi Pangan &amp; Penduduk'!$D$5:$AQ$860,40,0))</f>
        <v/>
      </c>
      <c r="G839" s="29" t="str">
        <f t="shared" si="65"/>
        <v/>
      </c>
      <c r="H839" s="29" t="str">
        <f t="shared" si="66"/>
        <v/>
      </c>
      <c r="I839" s="29" t="str">
        <f t="shared" si="67"/>
        <v/>
      </c>
      <c r="J839" s="29" t="str">
        <f t="shared" si="68"/>
        <v/>
      </c>
      <c r="K839" s="29" t="str">
        <f t="shared" si="69"/>
        <v/>
      </c>
    </row>
    <row r="840" spans="1:11" ht="15" x14ac:dyDescent="0.25">
      <c r="A840" s="1" t="str">
        <f>IF('1.1 Produksi Bersih Padi 2025'!A840="","",'1.1 Produksi Bersih Padi 2025'!A840)</f>
        <v/>
      </c>
      <c r="B840" s="31" t="str">
        <f>IF('1.1 Produksi Bersih Padi 2025'!B840="","",'1.1 Produksi Bersih Padi 2025'!B840)</f>
        <v/>
      </c>
      <c r="C840" s="31" t="str">
        <f>IF('1.1 Produksi Bersih Padi 2025'!C840="","",'1.1 Produksi Bersih Padi 2025'!C840)</f>
        <v/>
      </c>
      <c r="D840" s="1" t="str">
        <f>IF('1.1 Produksi Bersih Padi 2025'!D840="","",'1.1 Produksi Bersih Padi 2025'!D840)</f>
        <v/>
      </c>
      <c r="E840" s="1" t="str">
        <f>IF('1.1 Produksi Bersih Padi 2025'!E840="","",'1.1 Produksi Bersih Padi 2025'!E840)</f>
        <v/>
      </c>
      <c r="F840" s="28" t="str">
        <f>IF(D840="","",VLOOKUP(D840,'[1]0.1 Produksi Pangan &amp; Penduduk'!$D$5:$AQ$860,40,0))</f>
        <v/>
      </c>
      <c r="G840" s="29" t="str">
        <f t="shared" si="65"/>
        <v/>
      </c>
      <c r="H840" s="29" t="str">
        <f t="shared" si="66"/>
        <v/>
      </c>
      <c r="I840" s="29" t="str">
        <f t="shared" si="67"/>
        <v/>
      </c>
      <c r="J840" s="29" t="str">
        <f t="shared" si="68"/>
        <v/>
      </c>
      <c r="K840" s="29" t="str">
        <f t="shared" si="69"/>
        <v/>
      </c>
    </row>
    <row r="841" spans="1:11" ht="15" x14ac:dyDescent="0.25">
      <c r="A841" s="1" t="str">
        <f>IF('1.1 Produksi Bersih Padi 2025'!A841="","",'1.1 Produksi Bersih Padi 2025'!A841)</f>
        <v/>
      </c>
      <c r="B841" s="31" t="str">
        <f>IF('1.1 Produksi Bersih Padi 2025'!B841="","",'1.1 Produksi Bersih Padi 2025'!B841)</f>
        <v/>
      </c>
      <c r="C841" s="31" t="str">
        <f>IF('1.1 Produksi Bersih Padi 2025'!C841="","",'1.1 Produksi Bersih Padi 2025'!C841)</f>
        <v/>
      </c>
      <c r="D841" s="1" t="str">
        <f>IF('1.1 Produksi Bersih Padi 2025'!D841="","",'1.1 Produksi Bersih Padi 2025'!D841)</f>
        <v/>
      </c>
      <c r="E841" s="1" t="str">
        <f>IF('1.1 Produksi Bersih Padi 2025'!E841="","",'1.1 Produksi Bersih Padi 2025'!E841)</f>
        <v/>
      </c>
      <c r="F841" s="28" t="str">
        <f>IF(D841="","",VLOOKUP(D841,'[1]0.1 Produksi Pangan &amp; Penduduk'!$D$5:$AQ$860,40,0))</f>
        <v/>
      </c>
      <c r="G841" s="29" t="str">
        <f t="shared" si="65"/>
        <v/>
      </c>
      <c r="H841" s="29" t="str">
        <f t="shared" si="66"/>
        <v/>
      </c>
      <c r="I841" s="29" t="str">
        <f t="shared" si="67"/>
        <v/>
      </c>
      <c r="J841" s="29" t="str">
        <f t="shared" si="68"/>
        <v/>
      </c>
      <c r="K841" s="29" t="str">
        <f t="shared" si="69"/>
        <v/>
      </c>
    </row>
    <row r="842" spans="1:11" ht="15" x14ac:dyDescent="0.25">
      <c r="A842" s="1" t="str">
        <f>IF('1.1 Produksi Bersih Padi 2025'!A842="","",'1.1 Produksi Bersih Padi 2025'!A842)</f>
        <v/>
      </c>
      <c r="B842" s="31" t="str">
        <f>IF('1.1 Produksi Bersih Padi 2025'!B842="","",'1.1 Produksi Bersih Padi 2025'!B842)</f>
        <v/>
      </c>
      <c r="C842" s="31" t="str">
        <f>IF('1.1 Produksi Bersih Padi 2025'!C842="","",'1.1 Produksi Bersih Padi 2025'!C842)</f>
        <v/>
      </c>
      <c r="D842" s="1" t="str">
        <f>IF('1.1 Produksi Bersih Padi 2025'!D842="","",'1.1 Produksi Bersih Padi 2025'!D842)</f>
        <v/>
      </c>
      <c r="E842" s="1" t="str">
        <f>IF('1.1 Produksi Bersih Padi 2025'!E842="","",'1.1 Produksi Bersih Padi 2025'!E842)</f>
        <v/>
      </c>
      <c r="F842" s="28" t="str">
        <f>IF(D842="","",VLOOKUP(D842,'[1]0.1 Produksi Pangan &amp; Penduduk'!$D$5:$AQ$860,40,0))</f>
        <v/>
      </c>
      <c r="G842" s="29" t="str">
        <f t="shared" si="65"/>
        <v/>
      </c>
      <c r="H842" s="29" t="str">
        <f t="shared" si="66"/>
        <v/>
      </c>
      <c r="I842" s="29" t="str">
        <f t="shared" si="67"/>
        <v/>
      </c>
      <c r="J842" s="29" t="str">
        <f t="shared" si="68"/>
        <v/>
      </c>
      <c r="K842" s="29" t="str">
        <f t="shared" si="69"/>
        <v/>
      </c>
    </row>
    <row r="843" spans="1:11" ht="15" x14ac:dyDescent="0.25">
      <c r="A843" s="1" t="str">
        <f>IF('1.1 Produksi Bersih Padi 2025'!A843="","",'1.1 Produksi Bersih Padi 2025'!A843)</f>
        <v/>
      </c>
      <c r="B843" s="31" t="str">
        <f>IF('1.1 Produksi Bersih Padi 2025'!B843="","",'1.1 Produksi Bersih Padi 2025'!B843)</f>
        <v/>
      </c>
      <c r="C843" s="31" t="str">
        <f>IF('1.1 Produksi Bersih Padi 2025'!C843="","",'1.1 Produksi Bersih Padi 2025'!C843)</f>
        <v/>
      </c>
      <c r="D843" s="1" t="str">
        <f>IF('1.1 Produksi Bersih Padi 2025'!D843="","",'1.1 Produksi Bersih Padi 2025'!D843)</f>
        <v/>
      </c>
      <c r="E843" s="1" t="str">
        <f>IF('1.1 Produksi Bersih Padi 2025'!E843="","",'1.1 Produksi Bersih Padi 2025'!E843)</f>
        <v/>
      </c>
      <c r="F843" s="28" t="str">
        <f>IF(D843="","",VLOOKUP(D843,'[1]0.1 Produksi Pangan &amp; Penduduk'!$D$5:$AQ$860,40,0))</f>
        <v/>
      </c>
      <c r="G843" s="29" t="str">
        <f t="shared" si="65"/>
        <v/>
      </c>
      <c r="H843" s="29" t="str">
        <f t="shared" si="66"/>
        <v/>
      </c>
      <c r="I843" s="29" t="str">
        <f t="shared" si="67"/>
        <v/>
      </c>
      <c r="J843" s="29" t="str">
        <f t="shared" si="68"/>
        <v/>
      </c>
      <c r="K843" s="29" t="str">
        <f t="shared" si="69"/>
        <v/>
      </c>
    </row>
    <row r="844" spans="1:11" ht="15" x14ac:dyDescent="0.25">
      <c r="A844" s="1" t="str">
        <f>IF('1.1 Produksi Bersih Padi 2025'!A844="","",'1.1 Produksi Bersih Padi 2025'!A844)</f>
        <v/>
      </c>
      <c r="B844" s="31" t="str">
        <f>IF('1.1 Produksi Bersih Padi 2025'!B844="","",'1.1 Produksi Bersih Padi 2025'!B844)</f>
        <v/>
      </c>
      <c r="C844" s="31" t="str">
        <f>IF('1.1 Produksi Bersih Padi 2025'!C844="","",'1.1 Produksi Bersih Padi 2025'!C844)</f>
        <v/>
      </c>
      <c r="D844" s="1" t="str">
        <f>IF('1.1 Produksi Bersih Padi 2025'!D844="","",'1.1 Produksi Bersih Padi 2025'!D844)</f>
        <v/>
      </c>
      <c r="E844" s="1" t="str">
        <f>IF('1.1 Produksi Bersih Padi 2025'!E844="","",'1.1 Produksi Bersih Padi 2025'!E844)</f>
        <v/>
      </c>
      <c r="F844" s="28" t="str">
        <f>IF(D844="","",VLOOKUP(D844,'[1]0.1 Produksi Pangan &amp; Penduduk'!$D$5:$AQ$860,40,0))</f>
        <v/>
      </c>
      <c r="G844" s="29" t="str">
        <f t="shared" si="65"/>
        <v/>
      </c>
      <c r="H844" s="29" t="str">
        <f t="shared" si="66"/>
        <v/>
      </c>
      <c r="I844" s="29" t="str">
        <f t="shared" si="67"/>
        <v/>
      </c>
      <c r="J844" s="29" t="str">
        <f t="shared" si="68"/>
        <v/>
      </c>
      <c r="K844" s="29" t="str">
        <f t="shared" si="69"/>
        <v/>
      </c>
    </row>
    <row r="845" spans="1:11" ht="15" x14ac:dyDescent="0.25">
      <c r="A845" s="1" t="str">
        <f>IF('1.1 Produksi Bersih Padi 2025'!A845="","",'1.1 Produksi Bersih Padi 2025'!A845)</f>
        <v/>
      </c>
      <c r="B845" s="31" t="str">
        <f>IF('1.1 Produksi Bersih Padi 2025'!B845="","",'1.1 Produksi Bersih Padi 2025'!B845)</f>
        <v/>
      </c>
      <c r="C845" s="31" t="str">
        <f>IF('1.1 Produksi Bersih Padi 2025'!C845="","",'1.1 Produksi Bersih Padi 2025'!C845)</f>
        <v/>
      </c>
      <c r="D845" s="1" t="str">
        <f>IF('1.1 Produksi Bersih Padi 2025'!D845="","",'1.1 Produksi Bersih Padi 2025'!D845)</f>
        <v/>
      </c>
      <c r="E845" s="1" t="str">
        <f>IF('1.1 Produksi Bersih Padi 2025'!E845="","",'1.1 Produksi Bersih Padi 2025'!E845)</f>
        <v/>
      </c>
      <c r="F845" s="28" t="str">
        <f>IF(D845="","",VLOOKUP(D845,'[1]0.1 Produksi Pangan &amp; Penduduk'!$D$5:$AQ$860,40,0))</f>
        <v/>
      </c>
      <c r="G845" s="29" t="str">
        <f t="shared" si="65"/>
        <v/>
      </c>
      <c r="H845" s="29" t="str">
        <f t="shared" si="66"/>
        <v/>
      </c>
      <c r="I845" s="29" t="str">
        <f t="shared" si="67"/>
        <v/>
      </c>
      <c r="J845" s="29" t="str">
        <f t="shared" si="68"/>
        <v/>
      </c>
      <c r="K845" s="29" t="str">
        <f t="shared" si="69"/>
        <v/>
      </c>
    </row>
    <row r="846" spans="1:11" ht="15" x14ac:dyDescent="0.25">
      <c r="A846" s="1" t="str">
        <f>IF('1.1 Produksi Bersih Padi 2025'!A846="","",'1.1 Produksi Bersih Padi 2025'!A846)</f>
        <v/>
      </c>
      <c r="B846" s="31" t="str">
        <f>IF('1.1 Produksi Bersih Padi 2025'!B846="","",'1.1 Produksi Bersih Padi 2025'!B846)</f>
        <v/>
      </c>
      <c r="C846" s="31" t="str">
        <f>IF('1.1 Produksi Bersih Padi 2025'!C846="","",'1.1 Produksi Bersih Padi 2025'!C846)</f>
        <v/>
      </c>
      <c r="D846" s="1" t="str">
        <f>IF('1.1 Produksi Bersih Padi 2025'!D846="","",'1.1 Produksi Bersih Padi 2025'!D846)</f>
        <v/>
      </c>
      <c r="E846" s="1" t="str">
        <f>IF('1.1 Produksi Bersih Padi 2025'!E846="","",'1.1 Produksi Bersih Padi 2025'!E846)</f>
        <v/>
      </c>
      <c r="F846" s="28" t="str">
        <f>IF(D846="","",VLOOKUP(D846,'[1]0.1 Produksi Pangan &amp; Penduduk'!$D$5:$AQ$860,40,0))</f>
        <v/>
      </c>
      <c r="G846" s="29" t="str">
        <f t="shared" si="65"/>
        <v/>
      </c>
      <c r="H846" s="29" t="str">
        <f t="shared" si="66"/>
        <v/>
      </c>
      <c r="I846" s="29" t="str">
        <f t="shared" si="67"/>
        <v/>
      </c>
      <c r="J846" s="29" t="str">
        <f t="shared" si="68"/>
        <v/>
      </c>
      <c r="K846" s="29" t="str">
        <f t="shared" si="69"/>
        <v/>
      </c>
    </row>
    <row r="847" spans="1:11" ht="15" x14ac:dyDescent="0.25">
      <c r="A847" s="1" t="str">
        <f>IF('1.1 Produksi Bersih Padi 2025'!A847="","",'1.1 Produksi Bersih Padi 2025'!A847)</f>
        <v/>
      </c>
      <c r="B847" s="31" t="str">
        <f>IF('1.1 Produksi Bersih Padi 2025'!B847="","",'1.1 Produksi Bersih Padi 2025'!B847)</f>
        <v/>
      </c>
      <c r="C847" s="31" t="str">
        <f>IF('1.1 Produksi Bersih Padi 2025'!C847="","",'1.1 Produksi Bersih Padi 2025'!C847)</f>
        <v/>
      </c>
      <c r="D847" s="1" t="str">
        <f>IF('1.1 Produksi Bersih Padi 2025'!D847="","",'1.1 Produksi Bersih Padi 2025'!D847)</f>
        <v/>
      </c>
      <c r="E847" s="1" t="str">
        <f>IF('1.1 Produksi Bersih Padi 2025'!E847="","",'1.1 Produksi Bersih Padi 2025'!E847)</f>
        <v/>
      </c>
      <c r="F847" s="28" t="str">
        <f>IF(D847="","",VLOOKUP(D847,'[1]0.1 Produksi Pangan &amp; Penduduk'!$D$5:$AQ$860,40,0))</f>
        <v/>
      </c>
      <c r="G847" s="29" t="str">
        <f t="shared" si="65"/>
        <v/>
      </c>
      <c r="H847" s="29" t="str">
        <f t="shared" si="66"/>
        <v/>
      </c>
      <c r="I847" s="29" t="str">
        <f t="shared" si="67"/>
        <v/>
      </c>
      <c r="J847" s="29" t="str">
        <f t="shared" si="68"/>
        <v/>
      </c>
      <c r="K847" s="29" t="str">
        <f t="shared" si="69"/>
        <v/>
      </c>
    </row>
    <row r="848" spans="1:11" ht="15" x14ac:dyDescent="0.25">
      <c r="A848" s="1" t="str">
        <f>IF('1.1 Produksi Bersih Padi 2025'!A848="","",'1.1 Produksi Bersih Padi 2025'!A848)</f>
        <v/>
      </c>
      <c r="B848" s="31" t="str">
        <f>IF('1.1 Produksi Bersih Padi 2025'!B848="","",'1.1 Produksi Bersih Padi 2025'!B848)</f>
        <v/>
      </c>
      <c r="C848" s="31" t="str">
        <f>IF('1.1 Produksi Bersih Padi 2025'!C848="","",'1.1 Produksi Bersih Padi 2025'!C848)</f>
        <v/>
      </c>
      <c r="D848" s="1" t="str">
        <f>IF('1.1 Produksi Bersih Padi 2025'!D848="","",'1.1 Produksi Bersih Padi 2025'!D848)</f>
        <v/>
      </c>
      <c r="E848" s="1" t="str">
        <f>IF('1.1 Produksi Bersih Padi 2025'!E848="","",'1.1 Produksi Bersih Padi 2025'!E848)</f>
        <v/>
      </c>
      <c r="F848" s="28" t="str">
        <f>IF(D848="","",VLOOKUP(D848,'[1]0.1 Produksi Pangan &amp; Penduduk'!$D$5:$AQ$860,40,0))</f>
        <v/>
      </c>
      <c r="G848" s="29" t="str">
        <f t="shared" si="65"/>
        <v/>
      </c>
      <c r="H848" s="29" t="str">
        <f t="shared" si="66"/>
        <v/>
      </c>
      <c r="I848" s="29" t="str">
        <f t="shared" si="67"/>
        <v/>
      </c>
      <c r="J848" s="29" t="str">
        <f t="shared" si="68"/>
        <v/>
      </c>
      <c r="K848" s="29" t="str">
        <f t="shared" si="69"/>
        <v/>
      </c>
    </row>
    <row r="849" spans="1:11" ht="15" x14ac:dyDescent="0.25">
      <c r="A849" s="1" t="str">
        <f>IF('1.1 Produksi Bersih Padi 2025'!A849="","",'1.1 Produksi Bersih Padi 2025'!A849)</f>
        <v/>
      </c>
      <c r="B849" s="31" t="str">
        <f>IF('1.1 Produksi Bersih Padi 2025'!B849="","",'1.1 Produksi Bersih Padi 2025'!B849)</f>
        <v/>
      </c>
      <c r="C849" s="31" t="str">
        <f>IF('1.1 Produksi Bersih Padi 2025'!C849="","",'1.1 Produksi Bersih Padi 2025'!C849)</f>
        <v/>
      </c>
      <c r="D849" s="1" t="str">
        <f>IF('1.1 Produksi Bersih Padi 2025'!D849="","",'1.1 Produksi Bersih Padi 2025'!D849)</f>
        <v/>
      </c>
      <c r="E849" s="1" t="str">
        <f>IF('1.1 Produksi Bersih Padi 2025'!E849="","",'1.1 Produksi Bersih Padi 2025'!E849)</f>
        <v/>
      </c>
      <c r="F849" s="28" t="str">
        <f>IF(D849="","",VLOOKUP(D849,'[1]0.1 Produksi Pangan &amp; Penduduk'!$D$5:$AQ$860,40,0))</f>
        <v/>
      </c>
      <c r="G849" s="29" t="str">
        <f t="shared" si="65"/>
        <v/>
      </c>
      <c r="H849" s="29" t="str">
        <f t="shared" si="66"/>
        <v/>
      </c>
      <c r="I849" s="29" t="str">
        <f t="shared" si="67"/>
        <v/>
      </c>
      <c r="J849" s="29" t="str">
        <f t="shared" si="68"/>
        <v/>
      </c>
      <c r="K849" s="29" t="str">
        <f t="shared" si="69"/>
        <v/>
      </c>
    </row>
    <row r="850" spans="1:11" ht="15" x14ac:dyDescent="0.25">
      <c r="A850" s="1" t="str">
        <f>IF('1.1 Produksi Bersih Padi 2025'!A850="","",'1.1 Produksi Bersih Padi 2025'!A850)</f>
        <v/>
      </c>
      <c r="B850" s="31" t="str">
        <f>IF('1.1 Produksi Bersih Padi 2025'!B850="","",'1.1 Produksi Bersih Padi 2025'!B850)</f>
        <v/>
      </c>
      <c r="C850" s="31" t="str">
        <f>IF('1.1 Produksi Bersih Padi 2025'!C850="","",'1.1 Produksi Bersih Padi 2025'!C850)</f>
        <v/>
      </c>
      <c r="D850" s="1" t="str">
        <f>IF('1.1 Produksi Bersih Padi 2025'!D850="","",'1.1 Produksi Bersih Padi 2025'!D850)</f>
        <v/>
      </c>
      <c r="E850" s="1" t="str">
        <f>IF('1.1 Produksi Bersih Padi 2025'!E850="","",'1.1 Produksi Bersih Padi 2025'!E850)</f>
        <v/>
      </c>
      <c r="F850" s="28" t="str">
        <f>IF(D850="","",VLOOKUP(D850,'[1]0.1 Produksi Pangan &amp; Penduduk'!$D$5:$AQ$860,40,0))</f>
        <v/>
      </c>
      <c r="G850" s="29" t="str">
        <f t="shared" si="65"/>
        <v/>
      </c>
      <c r="H850" s="29" t="str">
        <f t="shared" si="66"/>
        <v/>
      </c>
      <c r="I850" s="29" t="str">
        <f t="shared" si="67"/>
        <v/>
      </c>
      <c r="J850" s="29" t="str">
        <f t="shared" si="68"/>
        <v/>
      </c>
      <c r="K850" s="29" t="str">
        <f t="shared" si="69"/>
        <v/>
      </c>
    </row>
    <row r="851" spans="1:11" ht="15" x14ac:dyDescent="0.25">
      <c r="A851" s="1" t="str">
        <f>IF('1.1 Produksi Bersih Padi 2025'!A851="","",'1.1 Produksi Bersih Padi 2025'!A851)</f>
        <v/>
      </c>
      <c r="B851" s="31" t="str">
        <f>IF('1.1 Produksi Bersih Padi 2025'!B851="","",'1.1 Produksi Bersih Padi 2025'!B851)</f>
        <v/>
      </c>
      <c r="C851" s="31" t="str">
        <f>IF('1.1 Produksi Bersih Padi 2025'!C851="","",'1.1 Produksi Bersih Padi 2025'!C851)</f>
        <v/>
      </c>
      <c r="D851" s="1" t="str">
        <f>IF('1.1 Produksi Bersih Padi 2025'!D851="","",'1.1 Produksi Bersih Padi 2025'!D851)</f>
        <v/>
      </c>
      <c r="E851" s="1" t="str">
        <f>IF('1.1 Produksi Bersih Padi 2025'!E851="","",'1.1 Produksi Bersih Padi 2025'!E851)</f>
        <v/>
      </c>
      <c r="F851" s="28" t="str">
        <f>IF(D851="","",VLOOKUP(D851,'[1]0.1 Produksi Pangan &amp; Penduduk'!$D$5:$AQ$860,40,0))</f>
        <v/>
      </c>
      <c r="G851" s="29" t="str">
        <f t="shared" si="65"/>
        <v/>
      </c>
      <c r="H851" s="29" t="str">
        <f t="shared" si="66"/>
        <v/>
      </c>
      <c r="I851" s="29" t="str">
        <f t="shared" si="67"/>
        <v/>
      </c>
      <c r="J851" s="29" t="str">
        <f t="shared" si="68"/>
        <v/>
      </c>
      <c r="K851" s="29" t="str">
        <f t="shared" si="69"/>
        <v/>
      </c>
    </row>
    <row r="852" spans="1:11" ht="15" x14ac:dyDescent="0.25">
      <c r="A852" s="1" t="str">
        <f>IF('1.1 Produksi Bersih Padi 2025'!A852="","",'1.1 Produksi Bersih Padi 2025'!A852)</f>
        <v/>
      </c>
      <c r="B852" s="31" t="str">
        <f>IF('1.1 Produksi Bersih Padi 2025'!B852="","",'1.1 Produksi Bersih Padi 2025'!B852)</f>
        <v/>
      </c>
      <c r="C852" s="31" t="str">
        <f>IF('1.1 Produksi Bersih Padi 2025'!C852="","",'1.1 Produksi Bersih Padi 2025'!C852)</f>
        <v/>
      </c>
      <c r="D852" s="1" t="str">
        <f>IF('1.1 Produksi Bersih Padi 2025'!D852="","",'1.1 Produksi Bersih Padi 2025'!D852)</f>
        <v/>
      </c>
      <c r="E852" s="1" t="str">
        <f>IF('1.1 Produksi Bersih Padi 2025'!E852="","",'1.1 Produksi Bersih Padi 2025'!E852)</f>
        <v/>
      </c>
      <c r="F852" s="28" t="str">
        <f>IF(D852="","",VLOOKUP(D852,'[1]0.1 Produksi Pangan &amp; Penduduk'!$D$5:$AQ$860,40,0))</f>
        <v/>
      </c>
      <c r="G852" s="29" t="str">
        <f t="shared" si="65"/>
        <v/>
      </c>
      <c r="H852" s="29" t="str">
        <f t="shared" si="66"/>
        <v/>
      </c>
      <c r="I852" s="29" t="str">
        <f t="shared" si="67"/>
        <v/>
      </c>
      <c r="J852" s="29" t="str">
        <f t="shared" si="68"/>
        <v/>
      </c>
      <c r="K852" s="29" t="str">
        <f t="shared" si="69"/>
        <v/>
      </c>
    </row>
    <row r="853" spans="1:11" ht="15" x14ac:dyDescent="0.25">
      <c r="A853" s="1" t="str">
        <f>IF('1.1 Produksi Bersih Padi 2025'!A853="","",'1.1 Produksi Bersih Padi 2025'!A853)</f>
        <v/>
      </c>
      <c r="B853" s="31" t="str">
        <f>IF('1.1 Produksi Bersih Padi 2025'!B853="","",'1.1 Produksi Bersih Padi 2025'!B853)</f>
        <v/>
      </c>
      <c r="C853" s="31" t="str">
        <f>IF('1.1 Produksi Bersih Padi 2025'!C853="","",'1.1 Produksi Bersih Padi 2025'!C853)</f>
        <v/>
      </c>
      <c r="D853" s="1" t="str">
        <f>IF('1.1 Produksi Bersih Padi 2025'!D853="","",'1.1 Produksi Bersih Padi 2025'!D853)</f>
        <v/>
      </c>
      <c r="E853" s="1" t="str">
        <f>IF('1.1 Produksi Bersih Padi 2025'!E853="","",'1.1 Produksi Bersih Padi 2025'!E853)</f>
        <v/>
      </c>
      <c r="F853" s="28" t="str">
        <f>IF(D853="","",VLOOKUP(D853,'[1]0.1 Produksi Pangan &amp; Penduduk'!$D$5:$AQ$860,40,0))</f>
        <v/>
      </c>
      <c r="G853" s="29" t="str">
        <f t="shared" si="65"/>
        <v/>
      </c>
      <c r="H853" s="29" t="str">
        <f t="shared" si="66"/>
        <v/>
      </c>
      <c r="I853" s="29" t="str">
        <f t="shared" si="67"/>
        <v/>
      </c>
      <c r="J853" s="29" t="str">
        <f t="shared" si="68"/>
        <v/>
      </c>
      <c r="K853" s="29" t="str">
        <f t="shared" si="69"/>
        <v/>
      </c>
    </row>
    <row r="854" spans="1:11" ht="15" x14ac:dyDescent="0.25">
      <c r="A854" s="1" t="str">
        <f>IF('1.1 Produksi Bersih Padi 2025'!A854="","",'1.1 Produksi Bersih Padi 2025'!A854)</f>
        <v/>
      </c>
      <c r="B854" s="31" t="str">
        <f>IF('1.1 Produksi Bersih Padi 2025'!B854="","",'1.1 Produksi Bersih Padi 2025'!B854)</f>
        <v/>
      </c>
      <c r="C854" s="31" t="str">
        <f>IF('1.1 Produksi Bersih Padi 2025'!C854="","",'1.1 Produksi Bersih Padi 2025'!C854)</f>
        <v/>
      </c>
      <c r="D854" s="1" t="str">
        <f>IF('1.1 Produksi Bersih Padi 2025'!D854="","",'1.1 Produksi Bersih Padi 2025'!D854)</f>
        <v/>
      </c>
      <c r="E854" s="1" t="str">
        <f>IF('1.1 Produksi Bersih Padi 2025'!E854="","",'1.1 Produksi Bersih Padi 2025'!E854)</f>
        <v/>
      </c>
      <c r="F854" s="28" t="str">
        <f>IF(D854="","",VLOOKUP(D854,'[1]0.1 Produksi Pangan &amp; Penduduk'!$D$5:$AQ$860,40,0))</f>
        <v/>
      </c>
      <c r="G854" s="29" t="str">
        <f t="shared" si="65"/>
        <v/>
      </c>
      <c r="H854" s="29" t="str">
        <f t="shared" si="66"/>
        <v/>
      </c>
      <c r="I854" s="29" t="str">
        <f t="shared" si="67"/>
        <v/>
      </c>
      <c r="J854" s="29" t="str">
        <f t="shared" si="68"/>
        <v/>
      </c>
      <c r="K854" s="29" t="str">
        <f t="shared" si="69"/>
        <v/>
      </c>
    </row>
    <row r="855" spans="1:11" ht="15" x14ac:dyDescent="0.25">
      <c r="A855" s="1" t="str">
        <f>IF('1.1 Produksi Bersih Padi 2025'!A855="","",'1.1 Produksi Bersih Padi 2025'!A855)</f>
        <v/>
      </c>
      <c r="B855" s="31" t="str">
        <f>IF('1.1 Produksi Bersih Padi 2025'!B855="","",'1.1 Produksi Bersih Padi 2025'!B855)</f>
        <v/>
      </c>
      <c r="C855" s="31" t="str">
        <f>IF('1.1 Produksi Bersih Padi 2025'!C855="","",'1.1 Produksi Bersih Padi 2025'!C855)</f>
        <v/>
      </c>
      <c r="D855" s="1" t="str">
        <f>IF('1.1 Produksi Bersih Padi 2025'!D855="","",'1.1 Produksi Bersih Padi 2025'!D855)</f>
        <v/>
      </c>
      <c r="E855" s="1" t="str">
        <f>IF('1.1 Produksi Bersih Padi 2025'!E855="","",'1.1 Produksi Bersih Padi 2025'!E855)</f>
        <v/>
      </c>
      <c r="F855" s="28" t="str">
        <f>IF(D855="","",VLOOKUP(D855,'[1]0.1 Produksi Pangan &amp; Penduduk'!$D$5:$AQ$860,40,0))</f>
        <v/>
      </c>
      <c r="G855" s="29" t="str">
        <f t="shared" si="65"/>
        <v/>
      </c>
      <c r="H855" s="29" t="str">
        <f t="shared" si="66"/>
        <v/>
      </c>
      <c r="I855" s="29" t="str">
        <f t="shared" si="67"/>
        <v/>
      </c>
      <c r="J855" s="29" t="str">
        <f t="shared" si="68"/>
        <v/>
      </c>
      <c r="K855" s="29" t="str">
        <f t="shared" si="69"/>
        <v/>
      </c>
    </row>
    <row r="856" spans="1:11" ht="15" x14ac:dyDescent="0.25">
      <c r="A856" s="1" t="str">
        <f>IF('1.1 Produksi Bersih Padi 2025'!A856="","",'1.1 Produksi Bersih Padi 2025'!A856)</f>
        <v/>
      </c>
      <c r="B856" s="31" t="str">
        <f>IF('1.1 Produksi Bersih Padi 2025'!B856="","",'1.1 Produksi Bersih Padi 2025'!B856)</f>
        <v/>
      </c>
      <c r="C856" s="31" t="str">
        <f>IF('1.1 Produksi Bersih Padi 2025'!C856="","",'1.1 Produksi Bersih Padi 2025'!C856)</f>
        <v/>
      </c>
      <c r="D856" s="1" t="str">
        <f>IF('1.1 Produksi Bersih Padi 2025'!D856="","",'1.1 Produksi Bersih Padi 2025'!D856)</f>
        <v/>
      </c>
      <c r="E856" s="1" t="str">
        <f>IF('1.1 Produksi Bersih Padi 2025'!E856="","",'1.1 Produksi Bersih Padi 2025'!E856)</f>
        <v/>
      </c>
      <c r="F856" s="28" t="str">
        <f>IF(D856="","",VLOOKUP(D856,'[1]0.1 Produksi Pangan &amp; Penduduk'!$D$5:$AQ$860,40,0))</f>
        <v/>
      </c>
      <c r="G856" s="29" t="str">
        <f t="shared" si="65"/>
        <v/>
      </c>
      <c r="H856" s="29" t="str">
        <f t="shared" si="66"/>
        <v/>
      </c>
      <c r="I856" s="29" t="str">
        <f t="shared" si="67"/>
        <v/>
      </c>
      <c r="J856" s="29" t="str">
        <f t="shared" si="68"/>
        <v/>
      </c>
      <c r="K856" s="29" t="str">
        <f t="shared" si="69"/>
        <v/>
      </c>
    </row>
    <row r="857" spans="1:11" ht="15" x14ac:dyDescent="0.25">
      <c r="A857" s="1" t="str">
        <f>IF('1.1 Produksi Bersih Padi 2025'!A857="","",'1.1 Produksi Bersih Padi 2025'!A857)</f>
        <v/>
      </c>
      <c r="B857" s="31" t="str">
        <f>IF('1.1 Produksi Bersih Padi 2025'!B857="","",'1.1 Produksi Bersih Padi 2025'!B857)</f>
        <v/>
      </c>
      <c r="C857" s="31" t="str">
        <f>IF('1.1 Produksi Bersih Padi 2025'!C857="","",'1.1 Produksi Bersih Padi 2025'!C857)</f>
        <v/>
      </c>
      <c r="D857" s="1" t="str">
        <f>IF('1.1 Produksi Bersih Padi 2025'!D857="","",'1.1 Produksi Bersih Padi 2025'!D857)</f>
        <v/>
      </c>
      <c r="E857" s="1" t="str">
        <f>IF('1.1 Produksi Bersih Padi 2025'!E857="","",'1.1 Produksi Bersih Padi 2025'!E857)</f>
        <v/>
      </c>
      <c r="F857" s="28" t="str">
        <f>IF(D857="","",VLOOKUP(D857,'[1]0.1 Produksi Pangan &amp; Penduduk'!$D$5:$AQ$860,40,0))</f>
        <v/>
      </c>
      <c r="G857" s="29" t="str">
        <f t="shared" si="65"/>
        <v/>
      </c>
      <c r="H857" s="29" t="str">
        <f t="shared" si="66"/>
        <v/>
      </c>
      <c r="I857" s="29" t="str">
        <f t="shared" si="67"/>
        <v/>
      </c>
      <c r="J857" s="29" t="str">
        <f t="shared" si="68"/>
        <v/>
      </c>
      <c r="K857" s="29" t="str">
        <f t="shared" si="69"/>
        <v/>
      </c>
    </row>
    <row r="858" spans="1:11" ht="15" x14ac:dyDescent="0.25">
      <c r="A858" s="1" t="str">
        <f>IF('1.1 Produksi Bersih Padi 2025'!A858="","",'1.1 Produksi Bersih Padi 2025'!A858)</f>
        <v/>
      </c>
      <c r="B858" s="31" t="str">
        <f>IF('1.1 Produksi Bersih Padi 2025'!B858="","",'1.1 Produksi Bersih Padi 2025'!B858)</f>
        <v/>
      </c>
      <c r="C858" s="31" t="str">
        <f>IF('1.1 Produksi Bersih Padi 2025'!C858="","",'1.1 Produksi Bersih Padi 2025'!C858)</f>
        <v/>
      </c>
      <c r="D858" s="1" t="str">
        <f>IF('1.1 Produksi Bersih Padi 2025'!D858="","",'1.1 Produksi Bersih Padi 2025'!D858)</f>
        <v/>
      </c>
      <c r="E858" s="1" t="str">
        <f>IF('1.1 Produksi Bersih Padi 2025'!E858="","",'1.1 Produksi Bersih Padi 2025'!E858)</f>
        <v/>
      </c>
      <c r="F858" s="28" t="str">
        <f>IF(D858="","",VLOOKUP(D858,'[1]0.1 Produksi Pangan &amp; Penduduk'!$D$5:$AQ$860,40,0))</f>
        <v/>
      </c>
      <c r="G858" s="29" t="str">
        <f t="shared" si="65"/>
        <v/>
      </c>
      <c r="H858" s="29" t="str">
        <f t="shared" si="66"/>
        <v/>
      </c>
      <c r="I858" s="29" t="str">
        <f t="shared" si="67"/>
        <v/>
      </c>
      <c r="J858" s="29" t="str">
        <f t="shared" si="68"/>
        <v/>
      </c>
      <c r="K858" s="29" t="str">
        <f t="shared" si="69"/>
        <v/>
      </c>
    </row>
    <row r="859" spans="1:11" ht="15" x14ac:dyDescent="0.25">
      <c r="A859" s="1" t="str">
        <f>IF('1.1 Produksi Bersih Padi 2025'!A859="","",'1.1 Produksi Bersih Padi 2025'!A859)</f>
        <v/>
      </c>
      <c r="B859" s="31" t="str">
        <f>IF('1.1 Produksi Bersih Padi 2025'!B859="","",'1.1 Produksi Bersih Padi 2025'!B859)</f>
        <v/>
      </c>
      <c r="C859" s="31" t="str">
        <f>IF('1.1 Produksi Bersih Padi 2025'!C859="","",'1.1 Produksi Bersih Padi 2025'!C859)</f>
        <v/>
      </c>
      <c r="D859" s="1" t="str">
        <f>IF('1.1 Produksi Bersih Padi 2025'!D859="","",'1.1 Produksi Bersih Padi 2025'!D859)</f>
        <v/>
      </c>
      <c r="E859" s="1" t="str">
        <f>IF('1.1 Produksi Bersih Padi 2025'!E859="","",'1.1 Produksi Bersih Padi 2025'!E859)</f>
        <v/>
      </c>
      <c r="F859" s="28" t="str">
        <f>IF(D859="","",VLOOKUP(D859,'[1]0.1 Produksi Pangan &amp; Penduduk'!$D$5:$AQ$860,40,0))</f>
        <v/>
      </c>
      <c r="G859" s="29" t="str">
        <f t="shared" si="65"/>
        <v/>
      </c>
      <c r="H859" s="29" t="str">
        <f t="shared" si="66"/>
        <v/>
      </c>
      <c r="I859" s="29" t="str">
        <f t="shared" si="67"/>
        <v/>
      </c>
      <c r="J859" s="29" t="str">
        <f t="shared" si="68"/>
        <v/>
      </c>
      <c r="K859" s="29" t="str">
        <f t="shared" si="69"/>
        <v/>
      </c>
    </row>
    <row r="860" spans="1:11" ht="15" x14ac:dyDescent="0.25">
      <c r="A860" s="35"/>
      <c r="B860" s="36"/>
      <c r="C860" s="36"/>
      <c r="D860" s="35"/>
      <c r="E860" s="35"/>
      <c r="F860" s="37"/>
      <c r="G860" s="38"/>
      <c r="H860" s="38"/>
      <c r="I860" s="38"/>
      <c r="J860" s="38"/>
      <c r="K860" s="38"/>
    </row>
  </sheetData>
  <sheetProtection algorithmName="SHA-512" hashValue="gACZmscoXEXwc/liRHMP4CRejrVgIyJKBJpGtERxrzGR3hVfoZO1nN4vn6BJaoGKMNfFcW7cuGrXfQMKpURQQg==" saltValue="pXU/TlBow7Os/5BNarZbEg==" spinCount="100000" sheet="1"/>
  <protectedRanges>
    <protectedRange sqref="A1:G1" name="Range1_3"/>
    <protectedRange sqref="H1" name="Range1_1_2"/>
    <protectedRange sqref="J1" name="Range1_1_1_1_2"/>
    <protectedRange sqref="I1" name="Range1_1_2_1"/>
  </protectedRanges>
  <mergeCells count="10">
    <mergeCell ref="A1:H1"/>
    <mergeCell ref="K2:K3"/>
    <mergeCell ref="J2:J3"/>
    <mergeCell ref="A2:A4"/>
    <mergeCell ref="B2:B4"/>
    <mergeCell ref="C2:C4"/>
    <mergeCell ref="D2:D4"/>
    <mergeCell ref="F2:F3"/>
    <mergeCell ref="G2:I2"/>
    <mergeCell ref="E2:E4"/>
  </mergeCells>
  <pageMargins left="0.75" right="0.5" top="0.75" bottom="0.5" header="0.5" footer="0.5"/>
  <pageSetup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6" tint="-0.249977111117893"/>
  </sheetPr>
  <dimension ref="A1:R860"/>
  <sheetViews>
    <sheetView zoomScale="70" zoomScaleNormal="70" workbookViewId="0">
      <pane xSplit="5" ySplit="2" topLeftCell="F3" activePane="bottomRight" state="frozen"/>
      <selection pane="topRight" activeCell="F1" sqref="F1"/>
      <selection pane="bottomLeft" activeCell="A3" sqref="A3"/>
      <selection pane="bottomRight" sqref="A1:H1"/>
    </sheetView>
  </sheetViews>
  <sheetFormatPr defaultRowHeight="13.2" x14ac:dyDescent="0.25"/>
  <cols>
    <col min="1" max="1" width="6.44140625" customWidth="1"/>
    <col min="2" max="2" width="24.21875" customWidth="1"/>
    <col min="3" max="3" width="28.77734375" customWidth="1"/>
    <col min="4" max="5" width="20.6640625" customWidth="1"/>
    <col min="6" max="6" width="20.44140625" customWidth="1"/>
    <col min="7" max="7" width="19.77734375" customWidth="1"/>
    <col min="8" max="11" width="23.77734375" customWidth="1"/>
    <col min="12" max="12" width="21.77734375" customWidth="1"/>
    <col min="13" max="13" width="21" customWidth="1"/>
    <col min="14" max="14" width="21.21875" customWidth="1"/>
    <col min="15" max="15" width="3.21875" customWidth="1"/>
    <col min="16" max="16" width="22.21875" customWidth="1"/>
    <col min="17" max="17" width="3.77734375" customWidth="1"/>
  </cols>
  <sheetData>
    <row r="1" spans="1:18" ht="30" customHeight="1" x14ac:dyDescent="0.25">
      <c r="A1" s="89" t="s">
        <v>75</v>
      </c>
      <c r="B1" s="89"/>
      <c r="C1" s="89"/>
      <c r="D1" s="89"/>
      <c r="E1" s="89"/>
      <c r="F1" s="89"/>
      <c r="G1" s="89"/>
      <c r="H1" s="89"/>
      <c r="I1" s="33" t="s">
        <v>64</v>
      </c>
      <c r="J1" s="34" t="str">
        <f>IF('[1]0.1 Produksi Pangan &amp; Penduduk'!$C$3="","",'[1]0.1 Produksi Pangan &amp; Penduduk'!$C$3)</f>
        <v/>
      </c>
      <c r="K1" s="17"/>
      <c r="L1" s="17"/>
      <c r="M1" s="9"/>
      <c r="N1" s="10"/>
      <c r="O1" s="12"/>
      <c r="P1" s="12"/>
      <c r="Q1" s="12"/>
    </row>
    <row r="2" spans="1:18" ht="62.4" customHeight="1" x14ac:dyDescent="0.25">
      <c r="A2" s="24" t="s">
        <v>0</v>
      </c>
      <c r="B2" s="24" t="s">
        <v>67</v>
      </c>
      <c r="C2" s="24" t="s">
        <v>68</v>
      </c>
      <c r="D2" s="24" t="s">
        <v>65</v>
      </c>
      <c r="E2" s="24" t="s">
        <v>66</v>
      </c>
      <c r="F2" s="18" t="s">
        <v>76</v>
      </c>
      <c r="G2" s="19" t="s">
        <v>77</v>
      </c>
      <c r="H2" s="4" t="s">
        <v>35</v>
      </c>
      <c r="I2" s="21" t="s">
        <v>78</v>
      </c>
      <c r="J2" s="22" t="s">
        <v>79</v>
      </c>
      <c r="K2" s="23" t="s">
        <v>80</v>
      </c>
      <c r="L2" s="6" t="s">
        <v>25</v>
      </c>
      <c r="M2" s="7" t="s">
        <v>81</v>
      </c>
      <c r="N2" s="5" t="s">
        <v>26</v>
      </c>
      <c r="O2" s="8"/>
      <c r="P2" s="24" t="s">
        <v>63</v>
      </c>
      <c r="Q2" s="8"/>
    </row>
    <row r="3" spans="1:18" ht="15" customHeight="1" x14ac:dyDescent="0.25">
      <c r="A3" s="3" t="str">
        <f>IF('1.1 Produksi Bersih Padi 2025'!A5="","",'1.1 Produksi Bersih Padi 2025'!A5)</f>
        <v/>
      </c>
      <c r="B3" s="32" t="str">
        <f>IF('1.1 Produksi Bersih Padi 2025'!B5="","",'1.1 Produksi Bersih Padi 2025'!B5)</f>
        <v/>
      </c>
      <c r="C3" s="32" t="str">
        <f>IF('1.1 Produksi Bersih Padi 2025'!C5="","",'1.1 Produksi Bersih Padi 2025'!C5)</f>
        <v/>
      </c>
      <c r="D3" s="3" t="str">
        <f>IF('1.1 Produksi Bersih Padi 2025'!D5="","",'1.1 Produksi Bersih Padi 2025'!D5)</f>
        <v/>
      </c>
      <c r="E3" s="3" t="str">
        <f>IF('1.1 Produksi Bersih Padi 2025'!E5="","",'1.1 Produksi Bersih Padi 2025'!E5)</f>
        <v/>
      </c>
      <c r="F3" s="13" t="str">
        <f>'1.1 Produksi Bersih Padi 2025'!Q5</f>
        <v/>
      </c>
      <c r="G3" s="13" t="str">
        <f>'1.2 Produksi Bersih Jagung 2025'!L5</f>
        <v/>
      </c>
      <c r="H3" s="13" t="str">
        <f>'1.3 Prod Bersih Ubi Kayu 2025'!K5</f>
        <v/>
      </c>
      <c r="I3" s="13" t="str">
        <f>'1.4 Prod Bersih Ubi Jalar 2025'!K5</f>
        <v/>
      </c>
      <c r="J3" s="13" t="str">
        <f>'1.5 Prod Bersih Sagu 2025'!K5</f>
        <v/>
      </c>
      <c r="K3" s="13" t="str">
        <f>'1.6 Prod Bersih Pisang 2025'!K5</f>
        <v/>
      </c>
      <c r="L3" s="15">
        <f>IFERROR(SUM(F3:K3),0)</f>
        <v>0</v>
      </c>
      <c r="M3" s="14" t="str">
        <f>IF(D3="","",VLOOKUP(D3,'[1]0.1 Produksi Pangan &amp; Penduduk'!$D$5:$AU$704,44,0))</f>
        <v/>
      </c>
      <c r="N3" s="26" t="str">
        <f>IF(M3="","",IFERROR((L3*1000*1000/M3)/365,"-"))</f>
        <v/>
      </c>
      <c r="O3" s="16"/>
      <c r="P3" s="25" t="str">
        <f>IF(N3="","",IFERROR(300/N3,"-"))</f>
        <v/>
      </c>
      <c r="Q3" s="8"/>
      <c r="R3" s="11"/>
    </row>
    <row r="4" spans="1:18" ht="15" customHeight="1" x14ac:dyDescent="0.25">
      <c r="A4" s="3" t="str">
        <f>IF('1.1 Produksi Bersih Padi 2025'!A6="","",'1.1 Produksi Bersih Padi 2025'!A6)</f>
        <v/>
      </c>
      <c r="B4" s="32" t="str">
        <f>IF('1.1 Produksi Bersih Padi 2025'!B6="","",'1.1 Produksi Bersih Padi 2025'!B6)</f>
        <v/>
      </c>
      <c r="C4" s="32" t="str">
        <f>IF('1.1 Produksi Bersih Padi 2025'!C6="","",'1.1 Produksi Bersih Padi 2025'!C6)</f>
        <v/>
      </c>
      <c r="D4" s="3" t="str">
        <f>IF('1.1 Produksi Bersih Padi 2025'!D6="","",'1.1 Produksi Bersih Padi 2025'!D6)</f>
        <v/>
      </c>
      <c r="E4" s="3" t="str">
        <f>IF('1.1 Produksi Bersih Padi 2025'!E6="","",'1.1 Produksi Bersih Padi 2025'!E6)</f>
        <v/>
      </c>
      <c r="F4" s="13" t="str">
        <f>'1.1 Produksi Bersih Padi 2025'!Q6</f>
        <v/>
      </c>
      <c r="G4" s="13" t="str">
        <f>'1.2 Produksi Bersih Jagung 2025'!L6</f>
        <v/>
      </c>
      <c r="H4" s="13" t="str">
        <f>'1.3 Prod Bersih Ubi Kayu 2025'!K6</f>
        <v/>
      </c>
      <c r="I4" s="13" t="str">
        <f>'1.4 Prod Bersih Ubi Jalar 2025'!K6</f>
        <v/>
      </c>
      <c r="J4" s="13" t="str">
        <f>'1.5 Prod Bersih Sagu 2025'!K6</f>
        <v/>
      </c>
      <c r="K4" s="13" t="str">
        <f>'1.6 Prod Bersih Pisang 2025'!K6</f>
        <v/>
      </c>
      <c r="L4" s="15">
        <f t="shared" ref="L4:L67" si="0">IFERROR(SUM(F4:K4),0)</f>
        <v>0</v>
      </c>
      <c r="M4" s="14" t="str">
        <f>IF(D4="","",VLOOKUP(D4,'[1]0.1 Produksi Pangan &amp; Penduduk'!$D$5:$AU$704,44,0))</f>
        <v/>
      </c>
      <c r="N4" s="26" t="str">
        <f t="shared" ref="N4:N67" si="1">IF(M4="","",IFERROR((L4*1000*1000/M4)/365,"-"))</f>
        <v/>
      </c>
      <c r="O4" s="16"/>
      <c r="P4" s="25" t="str">
        <f t="shared" ref="P4:P67" si="2">IF(N4="","",IFERROR(300/N4,"-"))</f>
        <v/>
      </c>
      <c r="Q4" s="8"/>
      <c r="R4" s="11"/>
    </row>
    <row r="5" spans="1:18" ht="15" x14ac:dyDescent="0.25">
      <c r="A5" s="3" t="str">
        <f>IF('1.1 Produksi Bersih Padi 2025'!A7="","",'1.1 Produksi Bersih Padi 2025'!A7)</f>
        <v/>
      </c>
      <c r="B5" s="32" t="str">
        <f>IF('1.1 Produksi Bersih Padi 2025'!B7="","",'1.1 Produksi Bersih Padi 2025'!B7)</f>
        <v/>
      </c>
      <c r="C5" s="32" t="str">
        <f>IF('1.1 Produksi Bersih Padi 2025'!C7="","",'1.1 Produksi Bersih Padi 2025'!C7)</f>
        <v/>
      </c>
      <c r="D5" s="3" t="str">
        <f>IF('1.1 Produksi Bersih Padi 2025'!D7="","",'1.1 Produksi Bersih Padi 2025'!D7)</f>
        <v/>
      </c>
      <c r="E5" s="3" t="str">
        <f>IF('1.1 Produksi Bersih Padi 2025'!E7="","",'1.1 Produksi Bersih Padi 2025'!E7)</f>
        <v/>
      </c>
      <c r="F5" s="13" t="str">
        <f>'1.1 Produksi Bersih Padi 2025'!Q7</f>
        <v/>
      </c>
      <c r="G5" s="13" t="str">
        <f>'1.2 Produksi Bersih Jagung 2025'!L7</f>
        <v/>
      </c>
      <c r="H5" s="13" t="str">
        <f>'1.3 Prod Bersih Ubi Kayu 2025'!K7</f>
        <v/>
      </c>
      <c r="I5" s="13" t="str">
        <f>'1.4 Prod Bersih Ubi Jalar 2025'!K7</f>
        <v/>
      </c>
      <c r="J5" s="13" t="str">
        <f>'1.5 Prod Bersih Sagu 2025'!K7</f>
        <v/>
      </c>
      <c r="K5" s="13" t="str">
        <f>'1.6 Prod Bersih Pisang 2025'!K7</f>
        <v/>
      </c>
      <c r="L5" s="15">
        <f t="shared" si="0"/>
        <v>0</v>
      </c>
      <c r="M5" s="14" t="str">
        <f>IF(D5="","",VLOOKUP(D5,'[1]0.1 Produksi Pangan &amp; Penduduk'!$D$5:$AU$704,44,0))</f>
        <v/>
      </c>
      <c r="N5" s="26" t="str">
        <f t="shared" si="1"/>
        <v/>
      </c>
      <c r="O5" s="16"/>
      <c r="P5" s="25" t="str">
        <f t="shared" si="2"/>
        <v/>
      </c>
      <c r="Q5" s="8"/>
      <c r="R5" s="11"/>
    </row>
    <row r="6" spans="1:18" ht="15" x14ac:dyDescent="0.25">
      <c r="A6" s="3" t="str">
        <f>IF('1.1 Produksi Bersih Padi 2025'!A8="","",'1.1 Produksi Bersih Padi 2025'!A8)</f>
        <v/>
      </c>
      <c r="B6" s="32" t="str">
        <f>IF('1.1 Produksi Bersih Padi 2025'!B8="","",'1.1 Produksi Bersih Padi 2025'!B8)</f>
        <v/>
      </c>
      <c r="C6" s="32" t="str">
        <f>IF('1.1 Produksi Bersih Padi 2025'!C8="","",'1.1 Produksi Bersih Padi 2025'!C8)</f>
        <v/>
      </c>
      <c r="D6" s="3" t="str">
        <f>IF('1.1 Produksi Bersih Padi 2025'!D8="","",'1.1 Produksi Bersih Padi 2025'!D8)</f>
        <v/>
      </c>
      <c r="E6" s="3" t="str">
        <f>IF('1.1 Produksi Bersih Padi 2025'!E8="","",'1.1 Produksi Bersih Padi 2025'!E8)</f>
        <v/>
      </c>
      <c r="F6" s="13" t="str">
        <f>'1.1 Produksi Bersih Padi 2025'!Q8</f>
        <v/>
      </c>
      <c r="G6" s="13" t="str">
        <f>'1.2 Produksi Bersih Jagung 2025'!L8</f>
        <v/>
      </c>
      <c r="H6" s="13" t="str">
        <f>'1.3 Prod Bersih Ubi Kayu 2025'!K8</f>
        <v/>
      </c>
      <c r="I6" s="13" t="str">
        <f>'1.4 Prod Bersih Ubi Jalar 2025'!K8</f>
        <v/>
      </c>
      <c r="J6" s="13" t="str">
        <f>'1.5 Prod Bersih Sagu 2025'!K8</f>
        <v/>
      </c>
      <c r="K6" s="13" t="str">
        <f>'1.6 Prod Bersih Pisang 2025'!K8</f>
        <v/>
      </c>
      <c r="L6" s="15">
        <f t="shared" si="0"/>
        <v>0</v>
      </c>
      <c r="M6" s="14" t="str">
        <f>IF(D6="","",VLOOKUP(D6,'[1]0.1 Produksi Pangan &amp; Penduduk'!$D$5:$AU$704,44,0))</f>
        <v/>
      </c>
      <c r="N6" s="26" t="str">
        <f t="shared" si="1"/>
        <v/>
      </c>
      <c r="O6" s="16"/>
      <c r="P6" s="25" t="str">
        <f t="shared" si="2"/>
        <v/>
      </c>
      <c r="Q6" s="8"/>
      <c r="R6" s="11"/>
    </row>
    <row r="7" spans="1:18" ht="15" x14ac:dyDescent="0.25">
      <c r="A7" s="3" t="str">
        <f>IF('1.1 Produksi Bersih Padi 2025'!A9="","",'1.1 Produksi Bersih Padi 2025'!A9)</f>
        <v/>
      </c>
      <c r="B7" s="32" t="str">
        <f>IF('1.1 Produksi Bersih Padi 2025'!B9="","",'1.1 Produksi Bersih Padi 2025'!B9)</f>
        <v/>
      </c>
      <c r="C7" s="32" t="str">
        <f>IF('1.1 Produksi Bersih Padi 2025'!C9="","",'1.1 Produksi Bersih Padi 2025'!C9)</f>
        <v/>
      </c>
      <c r="D7" s="3" t="str">
        <f>IF('1.1 Produksi Bersih Padi 2025'!D9="","",'1.1 Produksi Bersih Padi 2025'!D9)</f>
        <v/>
      </c>
      <c r="E7" s="3" t="str">
        <f>IF('1.1 Produksi Bersih Padi 2025'!E9="","",'1.1 Produksi Bersih Padi 2025'!E9)</f>
        <v/>
      </c>
      <c r="F7" s="13" t="str">
        <f>'1.1 Produksi Bersih Padi 2025'!Q9</f>
        <v/>
      </c>
      <c r="G7" s="13" t="str">
        <f>'1.2 Produksi Bersih Jagung 2025'!L9</f>
        <v/>
      </c>
      <c r="H7" s="13" t="str">
        <f>'1.3 Prod Bersih Ubi Kayu 2025'!K9</f>
        <v/>
      </c>
      <c r="I7" s="13" t="str">
        <f>'1.4 Prod Bersih Ubi Jalar 2025'!K9</f>
        <v/>
      </c>
      <c r="J7" s="13" t="str">
        <f>'1.5 Prod Bersih Sagu 2025'!K9</f>
        <v/>
      </c>
      <c r="K7" s="13" t="str">
        <f>'1.6 Prod Bersih Pisang 2025'!K9</f>
        <v/>
      </c>
      <c r="L7" s="15">
        <f t="shared" si="0"/>
        <v>0</v>
      </c>
      <c r="M7" s="14" t="str">
        <f>IF(D7="","",VLOOKUP(D7,'[1]0.1 Produksi Pangan &amp; Penduduk'!$D$5:$AU$704,44,0))</f>
        <v/>
      </c>
      <c r="N7" s="26" t="str">
        <f t="shared" si="1"/>
        <v/>
      </c>
      <c r="O7" s="16"/>
      <c r="P7" s="25" t="str">
        <f t="shared" si="2"/>
        <v/>
      </c>
      <c r="Q7" s="8"/>
      <c r="R7" s="11"/>
    </row>
    <row r="8" spans="1:18" ht="15" x14ac:dyDescent="0.25">
      <c r="A8" s="3" t="str">
        <f>IF('1.1 Produksi Bersih Padi 2025'!A10="","",'1.1 Produksi Bersih Padi 2025'!A10)</f>
        <v/>
      </c>
      <c r="B8" s="32" t="str">
        <f>IF('1.1 Produksi Bersih Padi 2025'!B10="","",'1.1 Produksi Bersih Padi 2025'!B10)</f>
        <v/>
      </c>
      <c r="C8" s="32" t="str">
        <f>IF('1.1 Produksi Bersih Padi 2025'!C10="","",'1.1 Produksi Bersih Padi 2025'!C10)</f>
        <v/>
      </c>
      <c r="D8" s="3" t="str">
        <f>IF('1.1 Produksi Bersih Padi 2025'!D10="","",'1.1 Produksi Bersih Padi 2025'!D10)</f>
        <v/>
      </c>
      <c r="E8" s="3" t="str">
        <f>IF('1.1 Produksi Bersih Padi 2025'!E10="","",'1.1 Produksi Bersih Padi 2025'!E10)</f>
        <v/>
      </c>
      <c r="F8" s="13" t="str">
        <f>'1.1 Produksi Bersih Padi 2025'!Q10</f>
        <v/>
      </c>
      <c r="G8" s="13" t="str">
        <f>'1.2 Produksi Bersih Jagung 2025'!L10</f>
        <v/>
      </c>
      <c r="H8" s="13" t="str">
        <f>'1.3 Prod Bersih Ubi Kayu 2025'!K10</f>
        <v/>
      </c>
      <c r="I8" s="13" t="str">
        <f>'1.4 Prod Bersih Ubi Jalar 2025'!K10</f>
        <v/>
      </c>
      <c r="J8" s="13" t="str">
        <f>'1.5 Prod Bersih Sagu 2025'!K10</f>
        <v/>
      </c>
      <c r="K8" s="13" t="str">
        <f>'1.6 Prod Bersih Pisang 2025'!K10</f>
        <v/>
      </c>
      <c r="L8" s="15">
        <f t="shared" si="0"/>
        <v>0</v>
      </c>
      <c r="M8" s="14" t="str">
        <f>IF(D8="","",VLOOKUP(D8,'[1]0.1 Produksi Pangan &amp; Penduduk'!$D$5:$AU$704,44,0))</f>
        <v/>
      </c>
      <c r="N8" s="26" t="str">
        <f t="shared" si="1"/>
        <v/>
      </c>
      <c r="O8" s="16"/>
      <c r="P8" s="25" t="str">
        <f t="shared" si="2"/>
        <v/>
      </c>
      <c r="Q8" s="8"/>
      <c r="R8" s="11"/>
    </row>
    <row r="9" spans="1:18" ht="15" x14ac:dyDescent="0.25">
      <c r="A9" s="3" t="str">
        <f>IF('1.1 Produksi Bersih Padi 2025'!A11="","",'1.1 Produksi Bersih Padi 2025'!A11)</f>
        <v/>
      </c>
      <c r="B9" s="32" t="str">
        <f>IF('1.1 Produksi Bersih Padi 2025'!B11="","",'1.1 Produksi Bersih Padi 2025'!B11)</f>
        <v/>
      </c>
      <c r="C9" s="32" t="str">
        <f>IF('1.1 Produksi Bersih Padi 2025'!C11="","",'1.1 Produksi Bersih Padi 2025'!C11)</f>
        <v/>
      </c>
      <c r="D9" s="3" t="str">
        <f>IF('1.1 Produksi Bersih Padi 2025'!D11="","",'1.1 Produksi Bersih Padi 2025'!D11)</f>
        <v/>
      </c>
      <c r="E9" s="3" t="str">
        <f>IF('1.1 Produksi Bersih Padi 2025'!E11="","",'1.1 Produksi Bersih Padi 2025'!E11)</f>
        <v/>
      </c>
      <c r="F9" s="13" t="str">
        <f>'1.1 Produksi Bersih Padi 2025'!Q11</f>
        <v/>
      </c>
      <c r="G9" s="13" t="str">
        <f>'1.2 Produksi Bersih Jagung 2025'!L11</f>
        <v/>
      </c>
      <c r="H9" s="13" t="str">
        <f>'1.3 Prod Bersih Ubi Kayu 2025'!K11</f>
        <v/>
      </c>
      <c r="I9" s="13" t="str">
        <f>'1.4 Prod Bersih Ubi Jalar 2025'!K11</f>
        <v/>
      </c>
      <c r="J9" s="13" t="str">
        <f>'1.5 Prod Bersih Sagu 2025'!K11</f>
        <v/>
      </c>
      <c r="K9" s="13" t="str">
        <f>'1.6 Prod Bersih Pisang 2025'!K11</f>
        <v/>
      </c>
      <c r="L9" s="15">
        <f t="shared" si="0"/>
        <v>0</v>
      </c>
      <c r="M9" s="14" t="str">
        <f>IF(D9="","",VLOOKUP(D9,'[1]0.1 Produksi Pangan &amp; Penduduk'!$D$5:$AU$704,44,0))</f>
        <v/>
      </c>
      <c r="N9" s="26" t="str">
        <f t="shared" si="1"/>
        <v/>
      </c>
      <c r="O9" s="16"/>
      <c r="P9" s="25" t="str">
        <f t="shared" si="2"/>
        <v/>
      </c>
      <c r="Q9" s="8"/>
      <c r="R9" s="11"/>
    </row>
    <row r="10" spans="1:18" ht="15" x14ac:dyDescent="0.25">
      <c r="A10" s="3" t="str">
        <f>IF('1.1 Produksi Bersih Padi 2025'!A12="","",'1.1 Produksi Bersih Padi 2025'!A12)</f>
        <v/>
      </c>
      <c r="B10" s="32" t="str">
        <f>IF('1.1 Produksi Bersih Padi 2025'!B12="","",'1.1 Produksi Bersih Padi 2025'!B12)</f>
        <v/>
      </c>
      <c r="C10" s="32" t="str">
        <f>IF('1.1 Produksi Bersih Padi 2025'!C12="","",'1.1 Produksi Bersih Padi 2025'!C12)</f>
        <v/>
      </c>
      <c r="D10" s="3" t="str">
        <f>IF('1.1 Produksi Bersih Padi 2025'!D12="","",'1.1 Produksi Bersih Padi 2025'!D12)</f>
        <v/>
      </c>
      <c r="E10" s="3" t="str">
        <f>IF('1.1 Produksi Bersih Padi 2025'!E12="","",'1.1 Produksi Bersih Padi 2025'!E12)</f>
        <v/>
      </c>
      <c r="F10" s="13" t="str">
        <f>'1.1 Produksi Bersih Padi 2025'!Q12</f>
        <v/>
      </c>
      <c r="G10" s="13" t="str">
        <f>'1.2 Produksi Bersih Jagung 2025'!L12</f>
        <v/>
      </c>
      <c r="H10" s="13" t="str">
        <f>'1.3 Prod Bersih Ubi Kayu 2025'!K12</f>
        <v/>
      </c>
      <c r="I10" s="13" t="str">
        <f>'1.4 Prod Bersih Ubi Jalar 2025'!K12</f>
        <v/>
      </c>
      <c r="J10" s="13" t="str">
        <f>'1.5 Prod Bersih Sagu 2025'!K12</f>
        <v/>
      </c>
      <c r="K10" s="13" t="str">
        <f>'1.6 Prod Bersih Pisang 2025'!K12</f>
        <v/>
      </c>
      <c r="L10" s="15">
        <f t="shared" si="0"/>
        <v>0</v>
      </c>
      <c r="M10" s="14" t="str">
        <f>IF(D10="","",VLOOKUP(D10,'[1]0.1 Produksi Pangan &amp; Penduduk'!$D$5:$AU$704,44,0))</f>
        <v/>
      </c>
      <c r="N10" s="26" t="str">
        <f t="shared" si="1"/>
        <v/>
      </c>
      <c r="O10" s="16"/>
      <c r="P10" s="25" t="str">
        <f t="shared" si="2"/>
        <v/>
      </c>
      <c r="Q10" s="8"/>
      <c r="R10" s="11"/>
    </row>
    <row r="11" spans="1:18" ht="15" x14ac:dyDescent="0.25">
      <c r="A11" s="3" t="str">
        <f>IF('1.1 Produksi Bersih Padi 2025'!A13="","",'1.1 Produksi Bersih Padi 2025'!A13)</f>
        <v/>
      </c>
      <c r="B11" s="32" t="str">
        <f>IF('1.1 Produksi Bersih Padi 2025'!B13="","",'1.1 Produksi Bersih Padi 2025'!B13)</f>
        <v/>
      </c>
      <c r="C11" s="32" t="str">
        <f>IF('1.1 Produksi Bersih Padi 2025'!C13="","",'1.1 Produksi Bersih Padi 2025'!C13)</f>
        <v/>
      </c>
      <c r="D11" s="3" t="str">
        <f>IF('1.1 Produksi Bersih Padi 2025'!D13="","",'1.1 Produksi Bersih Padi 2025'!D13)</f>
        <v/>
      </c>
      <c r="E11" s="3" t="str">
        <f>IF('1.1 Produksi Bersih Padi 2025'!E13="","",'1.1 Produksi Bersih Padi 2025'!E13)</f>
        <v/>
      </c>
      <c r="F11" s="13" t="str">
        <f>'1.1 Produksi Bersih Padi 2025'!Q13</f>
        <v/>
      </c>
      <c r="G11" s="13" t="str">
        <f>'1.2 Produksi Bersih Jagung 2025'!L13</f>
        <v/>
      </c>
      <c r="H11" s="13" t="str">
        <f>'1.3 Prod Bersih Ubi Kayu 2025'!K13</f>
        <v/>
      </c>
      <c r="I11" s="13" t="str">
        <f>'1.4 Prod Bersih Ubi Jalar 2025'!K13</f>
        <v/>
      </c>
      <c r="J11" s="13" t="str">
        <f>'1.5 Prod Bersih Sagu 2025'!K13</f>
        <v/>
      </c>
      <c r="K11" s="13" t="str">
        <f>'1.6 Prod Bersih Pisang 2025'!K13</f>
        <v/>
      </c>
      <c r="L11" s="15">
        <f t="shared" si="0"/>
        <v>0</v>
      </c>
      <c r="M11" s="14" t="str">
        <f>IF(D11="","",VLOOKUP(D11,'[1]0.1 Produksi Pangan &amp; Penduduk'!$D$5:$AU$704,44,0))</f>
        <v/>
      </c>
      <c r="N11" s="26" t="str">
        <f t="shared" si="1"/>
        <v/>
      </c>
      <c r="O11" s="16"/>
      <c r="P11" s="25" t="str">
        <f t="shared" si="2"/>
        <v/>
      </c>
      <c r="Q11" s="8"/>
      <c r="R11" s="11"/>
    </row>
    <row r="12" spans="1:18" ht="15" x14ac:dyDescent="0.25">
      <c r="A12" s="3" t="str">
        <f>IF('1.1 Produksi Bersih Padi 2025'!A14="","",'1.1 Produksi Bersih Padi 2025'!A14)</f>
        <v/>
      </c>
      <c r="B12" s="32" t="str">
        <f>IF('1.1 Produksi Bersih Padi 2025'!B14="","",'1.1 Produksi Bersih Padi 2025'!B14)</f>
        <v/>
      </c>
      <c r="C12" s="32" t="str">
        <f>IF('1.1 Produksi Bersih Padi 2025'!C14="","",'1.1 Produksi Bersih Padi 2025'!C14)</f>
        <v/>
      </c>
      <c r="D12" s="3" t="str">
        <f>IF('1.1 Produksi Bersih Padi 2025'!D14="","",'1.1 Produksi Bersih Padi 2025'!D14)</f>
        <v/>
      </c>
      <c r="E12" s="3" t="str">
        <f>IF('1.1 Produksi Bersih Padi 2025'!E14="","",'1.1 Produksi Bersih Padi 2025'!E14)</f>
        <v/>
      </c>
      <c r="F12" s="13" t="str">
        <f>'1.1 Produksi Bersih Padi 2025'!Q14</f>
        <v/>
      </c>
      <c r="G12" s="13" t="str">
        <f>'1.2 Produksi Bersih Jagung 2025'!L14</f>
        <v/>
      </c>
      <c r="H12" s="13" t="str">
        <f>'1.3 Prod Bersih Ubi Kayu 2025'!K14</f>
        <v/>
      </c>
      <c r="I12" s="13" t="str">
        <f>'1.4 Prod Bersih Ubi Jalar 2025'!K14</f>
        <v/>
      </c>
      <c r="J12" s="13" t="str">
        <f>'1.5 Prod Bersih Sagu 2025'!K14</f>
        <v/>
      </c>
      <c r="K12" s="13" t="str">
        <f>'1.6 Prod Bersih Pisang 2025'!K14</f>
        <v/>
      </c>
      <c r="L12" s="15">
        <f t="shared" si="0"/>
        <v>0</v>
      </c>
      <c r="M12" s="14" t="str">
        <f>IF(D12="","",VLOOKUP(D12,'[1]0.1 Produksi Pangan &amp; Penduduk'!$D$5:$AU$704,44,0))</f>
        <v/>
      </c>
      <c r="N12" s="26" t="str">
        <f t="shared" si="1"/>
        <v/>
      </c>
      <c r="O12" s="16"/>
      <c r="P12" s="25" t="str">
        <f t="shared" si="2"/>
        <v/>
      </c>
      <c r="Q12" s="8"/>
      <c r="R12" s="11"/>
    </row>
    <row r="13" spans="1:18" ht="15" x14ac:dyDescent="0.25">
      <c r="A13" s="3" t="str">
        <f>IF('1.1 Produksi Bersih Padi 2025'!A15="","",'1.1 Produksi Bersih Padi 2025'!A15)</f>
        <v/>
      </c>
      <c r="B13" s="32" t="str">
        <f>IF('1.1 Produksi Bersih Padi 2025'!B15="","",'1.1 Produksi Bersih Padi 2025'!B15)</f>
        <v/>
      </c>
      <c r="C13" s="32" t="str">
        <f>IF('1.1 Produksi Bersih Padi 2025'!C15="","",'1.1 Produksi Bersih Padi 2025'!C15)</f>
        <v/>
      </c>
      <c r="D13" s="3" t="str">
        <f>IF('1.1 Produksi Bersih Padi 2025'!D15="","",'1.1 Produksi Bersih Padi 2025'!D15)</f>
        <v/>
      </c>
      <c r="E13" s="3" t="str">
        <f>IF('1.1 Produksi Bersih Padi 2025'!E15="","",'1.1 Produksi Bersih Padi 2025'!E15)</f>
        <v/>
      </c>
      <c r="F13" s="13" t="str">
        <f>'1.1 Produksi Bersih Padi 2025'!Q15</f>
        <v/>
      </c>
      <c r="G13" s="13" t="str">
        <f>'1.2 Produksi Bersih Jagung 2025'!L15</f>
        <v/>
      </c>
      <c r="H13" s="13" t="str">
        <f>'1.3 Prod Bersih Ubi Kayu 2025'!K15</f>
        <v/>
      </c>
      <c r="I13" s="13" t="str">
        <f>'1.4 Prod Bersih Ubi Jalar 2025'!K15</f>
        <v/>
      </c>
      <c r="J13" s="13" t="str">
        <f>'1.5 Prod Bersih Sagu 2025'!K15</f>
        <v/>
      </c>
      <c r="K13" s="13" t="str">
        <f>'1.6 Prod Bersih Pisang 2025'!K15</f>
        <v/>
      </c>
      <c r="L13" s="15">
        <f t="shared" si="0"/>
        <v>0</v>
      </c>
      <c r="M13" s="14" t="str">
        <f>IF(D13="","",VLOOKUP(D13,'[1]0.1 Produksi Pangan &amp; Penduduk'!$D$5:$AU$704,44,0))</f>
        <v/>
      </c>
      <c r="N13" s="26" t="str">
        <f t="shared" si="1"/>
        <v/>
      </c>
      <c r="O13" s="16"/>
      <c r="P13" s="25" t="str">
        <f t="shared" si="2"/>
        <v/>
      </c>
      <c r="Q13" s="8"/>
      <c r="R13" s="11"/>
    </row>
    <row r="14" spans="1:18" ht="15" x14ac:dyDescent="0.25">
      <c r="A14" s="3" t="str">
        <f>IF('1.1 Produksi Bersih Padi 2025'!A16="","",'1.1 Produksi Bersih Padi 2025'!A16)</f>
        <v/>
      </c>
      <c r="B14" s="32" t="str">
        <f>IF('1.1 Produksi Bersih Padi 2025'!B16="","",'1.1 Produksi Bersih Padi 2025'!B16)</f>
        <v/>
      </c>
      <c r="C14" s="32" t="str">
        <f>IF('1.1 Produksi Bersih Padi 2025'!C16="","",'1.1 Produksi Bersih Padi 2025'!C16)</f>
        <v/>
      </c>
      <c r="D14" s="3" t="str">
        <f>IF('1.1 Produksi Bersih Padi 2025'!D16="","",'1.1 Produksi Bersih Padi 2025'!D16)</f>
        <v/>
      </c>
      <c r="E14" s="3" t="str">
        <f>IF('1.1 Produksi Bersih Padi 2025'!E16="","",'1.1 Produksi Bersih Padi 2025'!E16)</f>
        <v/>
      </c>
      <c r="F14" s="13" t="str">
        <f>'1.1 Produksi Bersih Padi 2025'!Q16</f>
        <v/>
      </c>
      <c r="G14" s="13" t="str">
        <f>'1.2 Produksi Bersih Jagung 2025'!L16</f>
        <v/>
      </c>
      <c r="H14" s="13" t="str">
        <f>'1.3 Prod Bersih Ubi Kayu 2025'!K16</f>
        <v/>
      </c>
      <c r="I14" s="13" t="str">
        <f>'1.4 Prod Bersih Ubi Jalar 2025'!K16</f>
        <v/>
      </c>
      <c r="J14" s="13" t="str">
        <f>'1.5 Prod Bersih Sagu 2025'!K16</f>
        <v/>
      </c>
      <c r="K14" s="13" t="str">
        <f>'1.6 Prod Bersih Pisang 2025'!K16</f>
        <v/>
      </c>
      <c r="L14" s="15">
        <f t="shared" si="0"/>
        <v>0</v>
      </c>
      <c r="M14" s="14" t="str">
        <f>IF(D14="","",VLOOKUP(D14,'[1]0.1 Produksi Pangan &amp; Penduduk'!$D$5:$AU$704,44,0))</f>
        <v/>
      </c>
      <c r="N14" s="26" t="str">
        <f t="shared" si="1"/>
        <v/>
      </c>
      <c r="O14" s="16"/>
      <c r="P14" s="25" t="str">
        <f t="shared" si="2"/>
        <v/>
      </c>
      <c r="Q14" s="8"/>
      <c r="R14" s="11"/>
    </row>
    <row r="15" spans="1:18" ht="15" x14ac:dyDescent="0.25">
      <c r="A15" s="3" t="str">
        <f>IF('1.1 Produksi Bersih Padi 2025'!A17="","",'1.1 Produksi Bersih Padi 2025'!A17)</f>
        <v/>
      </c>
      <c r="B15" s="32" t="str">
        <f>IF('1.1 Produksi Bersih Padi 2025'!B17="","",'1.1 Produksi Bersih Padi 2025'!B17)</f>
        <v/>
      </c>
      <c r="C15" s="32" t="str">
        <f>IF('1.1 Produksi Bersih Padi 2025'!C17="","",'1.1 Produksi Bersih Padi 2025'!C17)</f>
        <v/>
      </c>
      <c r="D15" s="3" t="str">
        <f>IF('1.1 Produksi Bersih Padi 2025'!D17="","",'1.1 Produksi Bersih Padi 2025'!D17)</f>
        <v/>
      </c>
      <c r="E15" s="3" t="str">
        <f>IF('1.1 Produksi Bersih Padi 2025'!E17="","",'1.1 Produksi Bersih Padi 2025'!E17)</f>
        <v/>
      </c>
      <c r="F15" s="13" t="str">
        <f>'1.1 Produksi Bersih Padi 2025'!Q17</f>
        <v/>
      </c>
      <c r="G15" s="13" t="str">
        <f>'1.2 Produksi Bersih Jagung 2025'!L17</f>
        <v/>
      </c>
      <c r="H15" s="13" t="str">
        <f>'1.3 Prod Bersih Ubi Kayu 2025'!K17</f>
        <v/>
      </c>
      <c r="I15" s="13" t="str">
        <f>'1.4 Prod Bersih Ubi Jalar 2025'!K17</f>
        <v/>
      </c>
      <c r="J15" s="13" t="str">
        <f>'1.5 Prod Bersih Sagu 2025'!K17</f>
        <v/>
      </c>
      <c r="K15" s="13" t="str">
        <f>'1.6 Prod Bersih Pisang 2025'!K17</f>
        <v/>
      </c>
      <c r="L15" s="15">
        <f t="shared" si="0"/>
        <v>0</v>
      </c>
      <c r="M15" s="14" t="str">
        <f>IF(D15="","",VLOOKUP(D15,'[1]0.1 Produksi Pangan &amp; Penduduk'!$D$5:$AU$704,44,0))</f>
        <v/>
      </c>
      <c r="N15" s="26" t="str">
        <f t="shared" si="1"/>
        <v/>
      </c>
      <c r="O15" s="16"/>
      <c r="P15" s="25" t="str">
        <f t="shared" si="2"/>
        <v/>
      </c>
      <c r="Q15" s="8"/>
      <c r="R15" s="11"/>
    </row>
    <row r="16" spans="1:18" ht="15" x14ac:dyDescent="0.25">
      <c r="A16" s="3" t="str">
        <f>IF('1.1 Produksi Bersih Padi 2025'!A18="","",'1.1 Produksi Bersih Padi 2025'!A18)</f>
        <v/>
      </c>
      <c r="B16" s="32" t="str">
        <f>IF('1.1 Produksi Bersih Padi 2025'!B18="","",'1.1 Produksi Bersih Padi 2025'!B18)</f>
        <v/>
      </c>
      <c r="C16" s="32" t="str">
        <f>IF('1.1 Produksi Bersih Padi 2025'!C18="","",'1.1 Produksi Bersih Padi 2025'!C18)</f>
        <v/>
      </c>
      <c r="D16" s="3" t="str">
        <f>IF('1.1 Produksi Bersih Padi 2025'!D18="","",'1.1 Produksi Bersih Padi 2025'!D18)</f>
        <v/>
      </c>
      <c r="E16" s="3" t="str">
        <f>IF('1.1 Produksi Bersih Padi 2025'!E18="","",'1.1 Produksi Bersih Padi 2025'!E18)</f>
        <v/>
      </c>
      <c r="F16" s="13" t="str">
        <f>'1.1 Produksi Bersih Padi 2025'!Q18</f>
        <v/>
      </c>
      <c r="G16" s="13" t="str">
        <f>'1.2 Produksi Bersih Jagung 2025'!L18</f>
        <v/>
      </c>
      <c r="H16" s="13" t="str">
        <f>'1.3 Prod Bersih Ubi Kayu 2025'!K18</f>
        <v/>
      </c>
      <c r="I16" s="13" t="str">
        <f>'1.4 Prod Bersih Ubi Jalar 2025'!K18</f>
        <v/>
      </c>
      <c r="J16" s="13" t="str">
        <f>'1.5 Prod Bersih Sagu 2025'!K18</f>
        <v/>
      </c>
      <c r="K16" s="13" t="str">
        <f>'1.6 Prod Bersih Pisang 2025'!K18</f>
        <v/>
      </c>
      <c r="L16" s="15">
        <f t="shared" si="0"/>
        <v>0</v>
      </c>
      <c r="M16" s="14" t="str">
        <f>IF(D16="","",VLOOKUP(D16,'[1]0.1 Produksi Pangan &amp; Penduduk'!$D$5:$AU$704,44,0))</f>
        <v/>
      </c>
      <c r="N16" s="26" t="str">
        <f t="shared" si="1"/>
        <v/>
      </c>
      <c r="O16" s="16"/>
      <c r="P16" s="25" t="str">
        <f t="shared" si="2"/>
        <v/>
      </c>
      <c r="Q16" s="8"/>
      <c r="R16" s="11"/>
    </row>
    <row r="17" spans="1:18" ht="15" x14ac:dyDescent="0.25">
      <c r="A17" s="3" t="str">
        <f>IF('1.1 Produksi Bersih Padi 2025'!A19="","",'1.1 Produksi Bersih Padi 2025'!A19)</f>
        <v/>
      </c>
      <c r="B17" s="32" t="str">
        <f>IF('1.1 Produksi Bersih Padi 2025'!B19="","",'1.1 Produksi Bersih Padi 2025'!B19)</f>
        <v/>
      </c>
      <c r="C17" s="32" t="str">
        <f>IF('1.1 Produksi Bersih Padi 2025'!C19="","",'1.1 Produksi Bersih Padi 2025'!C19)</f>
        <v/>
      </c>
      <c r="D17" s="3" t="str">
        <f>IF('1.1 Produksi Bersih Padi 2025'!D19="","",'1.1 Produksi Bersih Padi 2025'!D19)</f>
        <v/>
      </c>
      <c r="E17" s="3" t="str">
        <f>IF('1.1 Produksi Bersih Padi 2025'!E19="","",'1.1 Produksi Bersih Padi 2025'!E19)</f>
        <v/>
      </c>
      <c r="F17" s="13" t="str">
        <f>'1.1 Produksi Bersih Padi 2025'!Q19</f>
        <v/>
      </c>
      <c r="G17" s="13" t="str">
        <f>'1.2 Produksi Bersih Jagung 2025'!L19</f>
        <v/>
      </c>
      <c r="H17" s="13" t="str">
        <f>'1.3 Prod Bersih Ubi Kayu 2025'!K19</f>
        <v/>
      </c>
      <c r="I17" s="13" t="str">
        <f>'1.4 Prod Bersih Ubi Jalar 2025'!K19</f>
        <v/>
      </c>
      <c r="J17" s="13" t="str">
        <f>'1.5 Prod Bersih Sagu 2025'!K19</f>
        <v/>
      </c>
      <c r="K17" s="13" t="str">
        <f>'1.6 Prod Bersih Pisang 2025'!K19</f>
        <v/>
      </c>
      <c r="L17" s="15">
        <f t="shared" si="0"/>
        <v>0</v>
      </c>
      <c r="M17" s="14" t="str">
        <f>IF(D17="","",VLOOKUP(D17,'[1]0.1 Produksi Pangan &amp; Penduduk'!$D$5:$AU$704,44,0))</f>
        <v/>
      </c>
      <c r="N17" s="26" t="str">
        <f t="shared" si="1"/>
        <v/>
      </c>
      <c r="O17" s="16"/>
      <c r="P17" s="25" t="str">
        <f t="shared" si="2"/>
        <v/>
      </c>
      <c r="Q17" s="8"/>
      <c r="R17" s="11"/>
    </row>
    <row r="18" spans="1:18" ht="15" x14ac:dyDescent="0.25">
      <c r="A18" s="3" t="str">
        <f>IF('1.1 Produksi Bersih Padi 2025'!A20="","",'1.1 Produksi Bersih Padi 2025'!A20)</f>
        <v/>
      </c>
      <c r="B18" s="32" t="str">
        <f>IF('1.1 Produksi Bersih Padi 2025'!B20="","",'1.1 Produksi Bersih Padi 2025'!B20)</f>
        <v/>
      </c>
      <c r="C18" s="32" t="str">
        <f>IF('1.1 Produksi Bersih Padi 2025'!C20="","",'1.1 Produksi Bersih Padi 2025'!C20)</f>
        <v/>
      </c>
      <c r="D18" s="3" t="str">
        <f>IF('1.1 Produksi Bersih Padi 2025'!D20="","",'1.1 Produksi Bersih Padi 2025'!D20)</f>
        <v/>
      </c>
      <c r="E18" s="3" t="str">
        <f>IF('1.1 Produksi Bersih Padi 2025'!E20="","",'1.1 Produksi Bersih Padi 2025'!E20)</f>
        <v/>
      </c>
      <c r="F18" s="13" t="str">
        <f>'1.1 Produksi Bersih Padi 2025'!Q20</f>
        <v/>
      </c>
      <c r="G18" s="13" t="str">
        <f>'1.2 Produksi Bersih Jagung 2025'!L20</f>
        <v/>
      </c>
      <c r="H18" s="13" t="str">
        <f>'1.3 Prod Bersih Ubi Kayu 2025'!K20</f>
        <v/>
      </c>
      <c r="I18" s="13" t="str">
        <f>'1.4 Prod Bersih Ubi Jalar 2025'!K20</f>
        <v/>
      </c>
      <c r="J18" s="13" t="str">
        <f>'1.5 Prod Bersih Sagu 2025'!K20</f>
        <v/>
      </c>
      <c r="K18" s="13" t="str">
        <f>'1.6 Prod Bersih Pisang 2025'!K20</f>
        <v/>
      </c>
      <c r="L18" s="15">
        <f t="shared" si="0"/>
        <v>0</v>
      </c>
      <c r="M18" s="14" t="str">
        <f>IF(D18="","",VLOOKUP(D18,'[1]0.1 Produksi Pangan &amp; Penduduk'!$D$5:$AU$704,44,0))</f>
        <v/>
      </c>
      <c r="N18" s="26" t="str">
        <f t="shared" si="1"/>
        <v/>
      </c>
      <c r="O18" s="16"/>
      <c r="P18" s="25" t="str">
        <f t="shared" si="2"/>
        <v/>
      </c>
      <c r="Q18" s="8"/>
      <c r="R18" s="11"/>
    </row>
    <row r="19" spans="1:18" ht="15" x14ac:dyDescent="0.25">
      <c r="A19" s="3" t="str">
        <f>IF('1.1 Produksi Bersih Padi 2025'!A21="","",'1.1 Produksi Bersih Padi 2025'!A21)</f>
        <v/>
      </c>
      <c r="B19" s="32" t="str">
        <f>IF('1.1 Produksi Bersih Padi 2025'!B21="","",'1.1 Produksi Bersih Padi 2025'!B21)</f>
        <v/>
      </c>
      <c r="C19" s="32" t="str">
        <f>IF('1.1 Produksi Bersih Padi 2025'!C21="","",'1.1 Produksi Bersih Padi 2025'!C21)</f>
        <v/>
      </c>
      <c r="D19" s="3" t="str">
        <f>IF('1.1 Produksi Bersih Padi 2025'!D21="","",'1.1 Produksi Bersih Padi 2025'!D21)</f>
        <v/>
      </c>
      <c r="E19" s="3" t="str">
        <f>IF('1.1 Produksi Bersih Padi 2025'!E21="","",'1.1 Produksi Bersih Padi 2025'!E21)</f>
        <v/>
      </c>
      <c r="F19" s="13" t="str">
        <f>'1.1 Produksi Bersih Padi 2025'!Q21</f>
        <v/>
      </c>
      <c r="G19" s="13" t="str">
        <f>'1.2 Produksi Bersih Jagung 2025'!L21</f>
        <v/>
      </c>
      <c r="H19" s="13" t="str">
        <f>'1.3 Prod Bersih Ubi Kayu 2025'!K21</f>
        <v/>
      </c>
      <c r="I19" s="13" t="str">
        <f>'1.4 Prod Bersih Ubi Jalar 2025'!K21</f>
        <v/>
      </c>
      <c r="J19" s="13" t="str">
        <f>'1.5 Prod Bersih Sagu 2025'!K21</f>
        <v/>
      </c>
      <c r="K19" s="13" t="str">
        <f>'1.6 Prod Bersih Pisang 2025'!K21</f>
        <v/>
      </c>
      <c r="L19" s="15">
        <f t="shared" si="0"/>
        <v>0</v>
      </c>
      <c r="M19" s="14" t="str">
        <f>IF(D19="","",VLOOKUP(D19,'[1]0.1 Produksi Pangan &amp; Penduduk'!$D$5:$AU$704,44,0))</f>
        <v/>
      </c>
      <c r="N19" s="26" t="str">
        <f t="shared" si="1"/>
        <v/>
      </c>
      <c r="O19" s="16"/>
      <c r="P19" s="25" t="str">
        <f t="shared" si="2"/>
        <v/>
      </c>
      <c r="Q19" s="8"/>
      <c r="R19" s="11"/>
    </row>
    <row r="20" spans="1:18" ht="15" x14ac:dyDescent="0.25">
      <c r="A20" s="3" t="str">
        <f>IF('1.1 Produksi Bersih Padi 2025'!A22="","",'1.1 Produksi Bersih Padi 2025'!A22)</f>
        <v/>
      </c>
      <c r="B20" s="32" t="str">
        <f>IF('1.1 Produksi Bersih Padi 2025'!B22="","",'1.1 Produksi Bersih Padi 2025'!B22)</f>
        <v/>
      </c>
      <c r="C20" s="32" t="str">
        <f>IF('1.1 Produksi Bersih Padi 2025'!C22="","",'1.1 Produksi Bersih Padi 2025'!C22)</f>
        <v/>
      </c>
      <c r="D20" s="3" t="str">
        <f>IF('1.1 Produksi Bersih Padi 2025'!D22="","",'1.1 Produksi Bersih Padi 2025'!D22)</f>
        <v/>
      </c>
      <c r="E20" s="3" t="str">
        <f>IF('1.1 Produksi Bersih Padi 2025'!E22="","",'1.1 Produksi Bersih Padi 2025'!E22)</f>
        <v/>
      </c>
      <c r="F20" s="13" t="str">
        <f>'1.1 Produksi Bersih Padi 2025'!Q22</f>
        <v/>
      </c>
      <c r="G20" s="13" t="str">
        <f>'1.2 Produksi Bersih Jagung 2025'!L22</f>
        <v/>
      </c>
      <c r="H20" s="13" t="str">
        <f>'1.3 Prod Bersih Ubi Kayu 2025'!K22</f>
        <v/>
      </c>
      <c r="I20" s="13" t="str">
        <f>'1.4 Prod Bersih Ubi Jalar 2025'!K22</f>
        <v/>
      </c>
      <c r="J20" s="13" t="str">
        <f>'1.5 Prod Bersih Sagu 2025'!K22</f>
        <v/>
      </c>
      <c r="K20" s="13" t="str">
        <f>'1.6 Prod Bersih Pisang 2025'!K22</f>
        <v/>
      </c>
      <c r="L20" s="15">
        <f t="shared" si="0"/>
        <v>0</v>
      </c>
      <c r="M20" s="14" t="str">
        <f>IF(D20="","",VLOOKUP(D20,'[1]0.1 Produksi Pangan &amp; Penduduk'!$D$5:$AU$704,44,0))</f>
        <v/>
      </c>
      <c r="N20" s="26" t="str">
        <f t="shared" si="1"/>
        <v/>
      </c>
      <c r="O20" s="16"/>
      <c r="P20" s="25" t="str">
        <f t="shared" si="2"/>
        <v/>
      </c>
      <c r="Q20" s="8"/>
      <c r="R20" s="11"/>
    </row>
    <row r="21" spans="1:18" ht="15" x14ac:dyDescent="0.25">
      <c r="A21" s="3" t="str">
        <f>IF('1.1 Produksi Bersih Padi 2025'!A23="","",'1.1 Produksi Bersih Padi 2025'!A23)</f>
        <v/>
      </c>
      <c r="B21" s="32" t="str">
        <f>IF('1.1 Produksi Bersih Padi 2025'!B23="","",'1.1 Produksi Bersih Padi 2025'!B23)</f>
        <v/>
      </c>
      <c r="C21" s="32" t="str">
        <f>IF('1.1 Produksi Bersih Padi 2025'!C23="","",'1.1 Produksi Bersih Padi 2025'!C23)</f>
        <v/>
      </c>
      <c r="D21" s="3" t="str">
        <f>IF('1.1 Produksi Bersih Padi 2025'!D23="","",'1.1 Produksi Bersih Padi 2025'!D23)</f>
        <v/>
      </c>
      <c r="E21" s="3" t="str">
        <f>IF('1.1 Produksi Bersih Padi 2025'!E23="","",'1.1 Produksi Bersih Padi 2025'!E23)</f>
        <v/>
      </c>
      <c r="F21" s="13" t="str">
        <f>'1.1 Produksi Bersih Padi 2025'!Q23</f>
        <v/>
      </c>
      <c r="G21" s="13" t="str">
        <f>'1.2 Produksi Bersih Jagung 2025'!L23</f>
        <v/>
      </c>
      <c r="H21" s="13" t="str">
        <f>'1.3 Prod Bersih Ubi Kayu 2025'!K23</f>
        <v/>
      </c>
      <c r="I21" s="13" t="str">
        <f>'1.4 Prod Bersih Ubi Jalar 2025'!K23</f>
        <v/>
      </c>
      <c r="J21" s="13" t="str">
        <f>'1.5 Prod Bersih Sagu 2025'!K23</f>
        <v/>
      </c>
      <c r="K21" s="13" t="str">
        <f>'1.6 Prod Bersih Pisang 2025'!K23</f>
        <v/>
      </c>
      <c r="L21" s="15">
        <f t="shared" si="0"/>
        <v>0</v>
      </c>
      <c r="M21" s="14" t="str">
        <f>IF(D21="","",VLOOKUP(D21,'[1]0.1 Produksi Pangan &amp; Penduduk'!$D$5:$AU$704,44,0))</f>
        <v/>
      </c>
      <c r="N21" s="26" t="str">
        <f t="shared" si="1"/>
        <v/>
      </c>
      <c r="O21" s="16"/>
      <c r="P21" s="25" t="str">
        <f t="shared" si="2"/>
        <v/>
      </c>
      <c r="Q21" s="8"/>
      <c r="R21" s="11"/>
    </row>
    <row r="22" spans="1:18" ht="15" x14ac:dyDescent="0.25">
      <c r="A22" s="3" t="str">
        <f>IF('1.1 Produksi Bersih Padi 2025'!A24="","",'1.1 Produksi Bersih Padi 2025'!A24)</f>
        <v/>
      </c>
      <c r="B22" s="32" t="str">
        <f>IF('1.1 Produksi Bersih Padi 2025'!B24="","",'1.1 Produksi Bersih Padi 2025'!B24)</f>
        <v/>
      </c>
      <c r="C22" s="32" t="str">
        <f>IF('1.1 Produksi Bersih Padi 2025'!C24="","",'1.1 Produksi Bersih Padi 2025'!C24)</f>
        <v/>
      </c>
      <c r="D22" s="3" t="str">
        <f>IF('1.1 Produksi Bersih Padi 2025'!D24="","",'1.1 Produksi Bersih Padi 2025'!D24)</f>
        <v/>
      </c>
      <c r="E22" s="3" t="str">
        <f>IF('1.1 Produksi Bersih Padi 2025'!E24="","",'1.1 Produksi Bersih Padi 2025'!E24)</f>
        <v/>
      </c>
      <c r="F22" s="13" t="str">
        <f>'1.1 Produksi Bersih Padi 2025'!Q24</f>
        <v/>
      </c>
      <c r="G22" s="13" t="str">
        <f>'1.2 Produksi Bersih Jagung 2025'!L24</f>
        <v/>
      </c>
      <c r="H22" s="13" t="str">
        <f>'1.3 Prod Bersih Ubi Kayu 2025'!K24</f>
        <v/>
      </c>
      <c r="I22" s="13" t="str">
        <f>'1.4 Prod Bersih Ubi Jalar 2025'!K24</f>
        <v/>
      </c>
      <c r="J22" s="13" t="str">
        <f>'1.5 Prod Bersih Sagu 2025'!K24</f>
        <v/>
      </c>
      <c r="K22" s="13" t="str">
        <f>'1.6 Prod Bersih Pisang 2025'!K24</f>
        <v/>
      </c>
      <c r="L22" s="15">
        <f t="shared" si="0"/>
        <v>0</v>
      </c>
      <c r="M22" s="14" t="str">
        <f>IF(D22="","",VLOOKUP(D22,'[1]0.1 Produksi Pangan &amp; Penduduk'!$D$5:$AU$704,44,0))</f>
        <v/>
      </c>
      <c r="N22" s="26" t="str">
        <f t="shared" si="1"/>
        <v/>
      </c>
      <c r="O22" s="16"/>
      <c r="P22" s="25" t="str">
        <f t="shared" si="2"/>
        <v/>
      </c>
      <c r="Q22" s="8"/>
      <c r="R22" s="11"/>
    </row>
    <row r="23" spans="1:18" ht="15" x14ac:dyDescent="0.25">
      <c r="A23" s="3" t="str">
        <f>IF('1.1 Produksi Bersih Padi 2025'!A25="","",'1.1 Produksi Bersih Padi 2025'!A25)</f>
        <v/>
      </c>
      <c r="B23" s="32" t="str">
        <f>IF('1.1 Produksi Bersih Padi 2025'!B25="","",'1.1 Produksi Bersih Padi 2025'!B25)</f>
        <v/>
      </c>
      <c r="C23" s="32" t="str">
        <f>IF('1.1 Produksi Bersih Padi 2025'!C25="","",'1.1 Produksi Bersih Padi 2025'!C25)</f>
        <v/>
      </c>
      <c r="D23" s="3" t="str">
        <f>IF('1.1 Produksi Bersih Padi 2025'!D25="","",'1.1 Produksi Bersih Padi 2025'!D25)</f>
        <v/>
      </c>
      <c r="E23" s="3" t="str">
        <f>IF('1.1 Produksi Bersih Padi 2025'!E25="","",'1.1 Produksi Bersih Padi 2025'!E25)</f>
        <v/>
      </c>
      <c r="F23" s="13" t="str">
        <f>'1.1 Produksi Bersih Padi 2025'!Q25</f>
        <v/>
      </c>
      <c r="G23" s="13" t="str">
        <f>'1.2 Produksi Bersih Jagung 2025'!L25</f>
        <v/>
      </c>
      <c r="H23" s="13" t="str">
        <f>'1.3 Prod Bersih Ubi Kayu 2025'!K25</f>
        <v/>
      </c>
      <c r="I23" s="13" t="str">
        <f>'1.4 Prod Bersih Ubi Jalar 2025'!K25</f>
        <v/>
      </c>
      <c r="J23" s="13" t="str">
        <f>'1.5 Prod Bersih Sagu 2025'!K25</f>
        <v/>
      </c>
      <c r="K23" s="13" t="str">
        <f>'1.6 Prod Bersih Pisang 2025'!K25</f>
        <v/>
      </c>
      <c r="L23" s="15">
        <f t="shared" si="0"/>
        <v>0</v>
      </c>
      <c r="M23" s="14" t="str">
        <f>IF(D23="","",VLOOKUP(D23,'[1]0.1 Produksi Pangan &amp; Penduduk'!$D$5:$AU$704,44,0))</f>
        <v/>
      </c>
      <c r="N23" s="26" t="str">
        <f t="shared" si="1"/>
        <v/>
      </c>
      <c r="O23" s="16"/>
      <c r="P23" s="25" t="str">
        <f t="shared" si="2"/>
        <v/>
      </c>
      <c r="Q23" s="8"/>
      <c r="R23" s="11"/>
    </row>
    <row r="24" spans="1:18" ht="15" x14ac:dyDescent="0.25">
      <c r="A24" s="3" t="str">
        <f>IF('1.1 Produksi Bersih Padi 2025'!A26="","",'1.1 Produksi Bersih Padi 2025'!A26)</f>
        <v/>
      </c>
      <c r="B24" s="32" t="str">
        <f>IF('1.1 Produksi Bersih Padi 2025'!B26="","",'1.1 Produksi Bersih Padi 2025'!B26)</f>
        <v/>
      </c>
      <c r="C24" s="32" t="str">
        <f>IF('1.1 Produksi Bersih Padi 2025'!C26="","",'1.1 Produksi Bersih Padi 2025'!C26)</f>
        <v/>
      </c>
      <c r="D24" s="3" t="str">
        <f>IF('1.1 Produksi Bersih Padi 2025'!D26="","",'1.1 Produksi Bersih Padi 2025'!D26)</f>
        <v/>
      </c>
      <c r="E24" s="3" t="str">
        <f>IF('1.1 Produksi Bersih Padi 2025'!E26="","",'1.1 Produksi Bersih Padi 2025'!E26)</f>
        <v/>
      </c>
      <c r="F24" s="13" t="str">
        <f>'1.1 Produksi Bersih Padi 2025'!Q26</f>
        <v/>
      </c>
      <c r="G24" s="13" t="str">
        <f>'1.2 Produksi Bersih Jagung 2025'!L26</f>
        <v/>
      </c>
      <c r="H24" s="13" t="str">
        <f>'1.3 Prod Bersih Ubi Kayu 2025'!K26</f>
        <v/>
      </c>
      <c r="I24" s="13" t="str">
        <f>'1.4 Prod Bersih Ubi Jalar 2025'!K26</f>
        <v/>
      </c>
      <c r="J24" s="13" t="str">
        <f>'1.5 Prod Bersih Sagu 2025'!K26</f>
        <v/>
      </c>
      <c r="K24" s="13" t="str">
        <f>'1.6 Prod Bersih Pisang 2025'!K26</f>
        <v/>
      </c>
      <c r="L24" s="15">
        <f t="shared" si="0"/>
        <v>0</v>
      </c>
      <c r="M24" s="14" t="str">
        <f>IF(D24="","",VLOOKUP(D24,'[1]0.1 Produksi Pangan &amp; Penduduk'!$D$5:$AU$704,44,0))</f>
        <v/>
      </c>
      <c r="N24" s="26" t="str">
        <f t="shared" si="1"/>
        <v/>
      </c>
      <c r="O24" s="16"/>
      <c r="P24" s="25" t="str">
        <f t="shared" si="2"/>
        <v/>
      </c>
      <c r="Q24" s="8"/>
      <c r="R24" s="11"/>
    </row>
    <row r="25" spans="1:18" ht="15" x14ac:dyDescent="0.25">
      <c r="A25" s="3" t="str">
        <f>IF('1.1 Produksi Bersih Padi 2025'!A27="","",'1.1 Produksi Bersih Padi 2025'!A27)</f>
        <v/>
      </c>
      <c r="B25" s="32" t="str">
        <f>IF('1.1 Produksi Bersih Padi 2025'!B27="","",'1.1 Produksi Bersih Padi 2025'!B27)</f>
        <v/>
      </c>
      <c r="C25" s="32" t="str">
        <f>IF('1.1 Produksi Bersih Padi 2025'!C27="","",'1.1 Produksi Bersih Padi 2025'!C27)</f>
        <v/>
      </c>
      <c r="D25" s="3" t="str">
        <f>IF('1.1 Produksi Bersih Padi 2025'!D27="","",'1.1 Produksi Bersih Padi 2025'!D27)</f>
        <v/>
      </c>
      <c r="E25" s="3" t="str">
        <f>IF('1.1 Produksi Bersih Padi 2025'!E27="","",'1.1 Produksi Bersih Padi 2025'!E27)</f>
        <v/>
      </c>
      <c r="F25" s="13" t="str">
        <f>'1.1 Produksi Bersih Padi 2025'!Q27</f>
        <v/>
      </c>
      <c r="G25" s="13" t="str">
        <f>'1.2 Produksi Bersih Jagung 2025'!L27</f>
        <v/>
      </c>
      <c r="H25" s="13" t="str">
        <f>'1.3 Prod Bersih Ubi Kayu 2025'!K27</f>
        <v/>
      </c>
      <c r="I25" s="13" t="str">
        <f>'1.4 Prod Bersih Ubi Jalar 2025'!K27</f>
        <v/>
      </c>
      <c r="J25" s="13" t="str">
        <f>'1.5 Prod Bersih Sagu 2025'!K27</f>
        <v/>
      </c>
      <c r="K25" s="13" t="str">
        <f>'1.6 Prod Bersih Pisang 2025'!K27</f>
        <v/>
      </c>
      <c r="L25" s="15">
        <f t="shared" si="0"/>
        <v>0</v>
      </c>
      <c r="M25" s="14" t="str">
        <f>IF(D25="","",VLOOKUP(D25,'[1]0.1 Produksi Pangan &amp; Penduduk'!$D$5:$AU$704,44,0))</f>
        <v/>
      </c>
      <c r="N25" s="26" t="str">
        <f t="shared" si="1"/>
        <v/>
      </c>
      <c r="O25" s="16"/>
      <c r="P25" s="25" t="str">
        <f t="shared" si="2"/>
        <v/>
      </c>
      <c r="Q25" s="8"/>
      <c r="R25" s="11"/>
    </row>
    <row r="26" spans="1:18" ht="15" x14ac:dyDescent="0.25">
      <c r="A26" s="3" t="str">
        <f>IF('1.1 Produksi Bersih Padi 2025'!A28="","",'1.1 Produksi Bersih Padi 2025'!A28)</f>
        <v/>
      </c>
      <c r="B26" s="32" t="str">
        <f>IF('1.1 Produksi Bersih Padi 2025'!B28="","",'1.1 Produksi Bersih Padi 2025'!B28)</f>
        <v/>
      </c>
      <c r="C26" s="32" t="str">
        <f>IF('1.1 Produksi Bersih Padi 2025'!C28="","",'1.1 Produksi Bersih Padi 2025'!C28)</f>
        <v/>
      </c>
      <c r="D26" s="3" t="str">
        <f>IF('1.1 Produksi Bersih Padi 2025'!D28="","",'1.1 Produksi Bersih Padi 2025'!D28)</f>
        <v/>
      </c>
      <c r="E26" s="3" t="str">
        <f>IF('1.1 Produksi Bersih Padi 2025'!E28="","",'1.1 Produksi Bersih Padi 2025'!E28)</f>
        <v/>
      </c>
      <c r="F26" s="13" t="str">
        <f>'1.1 Produksi Bersih Padi 2025'!Q28</f>
        <v/>
      </c>
      <c r="G26" s="13" t="str">
        <f>'1.2 Produksi Bersih Jagung 2025'!L28</f>
        <v/>
      </c>
      <c r="H26" s="13" t="str">
        <f>'1.3 Prod Bersih Ubi Kayu 2025'!K28</f>
        <v/>
      </c>
      <c r="I26" s="13" t="str">
        <f>'1.4 Prod Bersih Ubi Jalar 2025'!K28</f>
        <v/>
      </c>
      <c r="J26" s="13" t="str">
        <f>'1.5 Prod Bersih Sagu 2025'!K28</f>
        <v/>
      </c>
      <c r="K26" s="13" t="str">
        <f>'1.6 Prod Bersih Pisang 2025'!K28</f>
        <v/>
      </c>
      <c r="L26" s="15">
        <f t="shared" si="0"/>
        <v>0</v>
      </c>
      <c r="M26" s="14" t="str">
        <f>IF(D26="","",VLOOKUP(D26,'[1]0.1 Produksi Pangan &amp; Penduduk'!$D$5:$AU$704,44,0))</f>
        <v/>
      </c>
      <c r="N26" s="26" t="str">
        <f t="shared" si="1"/>
        <v/>
      </c>
      <c r="O26" s="16"/>
      <c r="P26" s="25" t="str">
        <f t="shared" si="2"/>
        <v/>
      </c>
      <c r="Q26" s="8"/>
      <c r="R26" s="11"/>
    </row>
    <row r="27" spans="1:18" ht="15" x14ac:dyDescent="0.25">
      <c r="A27" s="3" t="str">
        <f>IF('1.1 Produksi Bersih Padi 2025'!A29="","",'1.1 Produksi Bersih Padi 2025'!A29)</f>
        <v/>
      </c>
      <c r="B27" s="32" t="str">
        <f>IF('1.1 Produksi Bersih Padi 2025'!B29="","",'1.1 Produksi Bersih Padi 2025'!B29)</f>
        <v/>
      </c>
      <c r="C27" s="32" t="str">
        <f>IF('1.1 Produksi Bersih Padi 2025'!C29="","",'1.1 Produksi Bersih Padi 2025'!C29)</f>
        <v/>
      </c>
      <c r="D27" s="3" t="str">
        <f>IF('1.1 Produksi Bersih Padi 2025'!D29="","",'1.1 Produksi Bersih Padi 2025'!D29)</f>
        <v/>
      </c>
      <c r="E27" s="3" t="str">
        <f>IF('1.1 Produksi Bersih Padi 2025'!E29="","",'1.1 Produksi Bersih Padi 2025'!E29)</f>
        <v/>
      </c>
      <c r="F27" s="13" t="str">
        <f>'1.1 Produksi Bersih Padi 2025'!Q29</f>
        <v/>
      </c>
      <c r="G27" s="13" t="str">
        <f>'1.2 Produksi Bersih Jagung 2025'!L29</f>
        <v/>
      </c>
      <c r="H27" s="13" t="str">
        <f>'1.3 Prod Bersih Ubi Kayu 2025'!K29</f>
        <v/>
      </c>
      <c r="I27" s="13" t="str">
        <f>'1.4 Prod Bersih Ubi Jalar 2025'!K29</f>
        <v/>
      </c>
      <c r="J27" s="13" t="str">
        <f>'1.5 Prod Bersih Sagu 2025'!K29</f>
        <v/>
      </c>
      <c r="K27" s="13" t="str">
        <f>'1.6 Prod Bersih Pisang 2025'!K29</f>
        <v/>
      </c>
      <c r="L27" s="15">
        <f t="shared" si="0"/>
        <v>0</v>
      </c>
      <c r="M27" s="14" t="str">
        <f>IF(D27="","",VLOOKUP(D27,'[1]0.1 Produksi Pangan &amp; Penduduk'!$D$5:$AU$704,44,0))</f>
        <v/>
      </c>
      <c r="N27" s="26" t="str">
        <f t="shared" si="1"/>
        <v/>
      </c>
      <c r="O27" s="16"/>
      <c r="P27" s="25" t="str">
        <f t="shared" si="2"/>
        <v/>
      </c>
      <c r="Q27" s="8"/>
      <c r="R27" s="11"/>
    </row>
    <row r="28" spans="1:18" ht="15" x14ac:dyDescent="0.25">
      <c r="A28" s="3" t="str">
        <f>IF('1.1 Produksi Bersih Padi 2025'!A30="","",'1.1 Produksi Bersih Padi 2025'!A30)</f>
        <v/>
      </c>
      <c r="B28" s="32" t="str">
        <f>IF('1.1 Produksi Bersih Padi 2025'!B30="","",'1.1 Produksi Bersih Padi 2025'!B30)</f>
        <v/>
      </c>
      <c r="C28" s="32" t="str">
        <f>IF('1.1 Produksi Bersih Padi 2025'!C30="","",'1.1 Produksi Bersih Padi 2025'!C30)</f>
        <v/>
      </c>
      <c r="D28" s="3" t="str">
        <f>IF('1.1 Produksi Bersih Padi 2025'!D30="","",'1.1 Produksi Bersih Padi 2025'!D30)</f>
        <v/>
      </c>
      <c r="E28" s="3" t="str">
        <f>IF('1.1 Produksi Bersih Padi 2025'!E30="","",'1.1 Produksi Bersih Padi 2025'!E30)</f>
        <v/>
      </c>
      <c r="F28" s="13" t="str">
        <f>'1.1 Produksi Bersih Padi 2025'!Q30</f>
        <v/>
      </c>
      <c r="G28" s="13" t="str">
        <f>'1.2 Produksi Bersih Jagung 2025'!L30</f>
        <v/>
      </c>
      <c r="H28" s="13" t="str">
        <f>'1.3 Prod Bersih Ubi Kayu 2025'!K30</f>
        <v/>
      </c>
      <c r="I28" s="13" t="str">
        <f>'1.4 Prod Bersih Ubi Jalar 2025'!K30</f>
        <v/>
      </c>
      <c r="J28" s="13" t="str">
        <f>'1.5 Prod Bersih Sagu 2025'!K30</f>
        <v/>
      </c>
      <c r="K28" s="13" t="str">
        <f>'1.6 Prod Bersih Pisang 2025'!K30</f>
        <v/>
      </c>
      <c r="L28" s="15">
        <f t="shared" si="0"/>
        <v>0</v>
      </c>
      <c r="M28" s="14" t="str">
        <f>IF(D28="","",VLOOKUP(D28,'[1]0.1 Produksi Pangan &amp; Penduduk'!$D$5:$AU$704,44,0))</f>
        <v/>
      </c>
      <c r="N28" s="26" t="str">
        <f t="shared" si="1"/>
        <v/>
      </c>
      <c r="O28" s="16"/>
      <c r="P28" s="25" t="str">
        <f t="shared" si="2"/>
        <v/>
      </c>
      <c r="Q28" s="8"/>
      <c r="R28" s="11"/>
    </row>
    <row r="29" spans="1:18" ht="15" x14ac:dyDescent="0.25">
      <c r="A29" s="3" t="str">
        <f>IF('1.1 Produksi Bersih Padi 2025'!A31="","",'1.1 Produksi Bersih Padi 2025'!A31)</f>
        <v/>
      </c>
      <c r="B29" s="32" t="str">
        <f>IF('1.1 Produksi Bersih Padi 2025'!B31="","",'1.1 Produksi Bersih Padi 2025'!B31)</f>
        <v/>
      </c>
      <c r="C29" s="32" t="str">
        <f>IF('1.1 Produksi Bersih Padi 2025'!C31="","",'1.1 Produksi Bersih Padi 2025'!C31)</f>
        <v/>
      </c>
      <c r="D29" s="3" t="str">
        <f>IF('1.1 Produksi Bersih Padi 2025'!D31="","",'1.1 Produksi Bersih Padi 2025'!D31)</f>
        <v/>
      </c>
      <c r="E29" s="3" t="str">
        <f>IF('1.1 Produksi Bersih Padi 2025'!E31="","",'1.1 Produksi Bersih Padi 2025'!E31)</f>
        <v/>
      </c>
      <c r="F29" s="13" t="str">
        <f>'1.1 Produksi Bersih Padi 2025'!Q31</f>
        <v/>
      </c>
      <c r="G29" s="13" t="str">
        <f>'1.2 Produksi Bersih Jagung 2025'!L31</f>
        <v/>
      </c>
      <c r="H29" s="13" t="str">
        <f>'1.3 Prod Bersih Ubi Kayu 2025'!K31</f>
        <v/>
      </c>
      <c r="I29" s="13" t="str">
        <f>'1.4 Prod Bersih Ubi Jalar 2025'!K31</f>
        <v/>
      </c>
      <c r="J29" s="13" t="str">
        <f>'1.5 Prod Bersih Sagu 2025'!K31</f>
        <v/>
      </c>
      <c r="K29" s="13" t="str">
        <f>'1.6 Prod Bersih Pisang 2025'!K31</f>
        <v/>
      </c>
      <c r="L29" s="15">
        <f t="shared" si="0"/>
        <v>0</v>
      </c>
      <c r="M29" s="14" t="str">
        <f>IF(D29="","",VLOOKUP(D29,'[1]0.1 Produksi Pangan &amp; Penduduk'!$D$5:$AU$704,44,0))</f>
        <v/>
      </c>
      <c r="N29" s="26" t="str">
        <f t="shared" si="1"/>
        <v/>
      </c>
      <c r="O29" s="16"/>
      <c r="P29" s="25" t="str">
        <f t="shared" si="2"/>
        <v/>
      </c>
      <c r="Q29" s="8"/>
      <c r="R29" s="11"/>
    </row>
    <row r="30" spans="1:18" ht="15" x14ac:dyDescent="0.25">
      <c r="A30" s="3" t="str">
        <f>IF('1.1 Produksi Bersih Padi 2025'!A32="","",'1.1 Produksi Bersih Padi 2025'!A32)</f>
        <v/>
      </c>
      <c r="B30" s="32" t="str">
        <f>IF('1.1 Produksi Bersih Padi 2025'!B32="","",'1.1 Produksi Bersih Padi 2025'!B32)</f>
        <v/>
      </c>
      <c r="C30" s="32" t="str">
        <f>IF('1.1 Produksi Bersih Padi 2025'!C32="","",'1.1 Produksi Bersih Padi 2025'!C32)</f>
        <v/>
      </c>
      <c r="D30" s="3" t="str">
        <f>IF('1.1 Produksi Bersih Padi 2025'!D32="","",'1.1 Produksi Bersih Padi 2025'!D32)</f>
        <v/>
      </c>
      <c r="E30" s="3" t="str">
        <f>IF('1.1 Produksi Bersih Padi 2025'!E32="","",'1.1 Produksi Bersih Padi 2025'!E32)</f>
        <v/>
      </c>
      <c r="F30" s="13" t="str">
        <f>'1.1 Produksi Bersih Padi 2025'!Q32</f>
        <v/>
      </c>
      <c r="G30" s="13" t="str">
        <f>'1.2 Produksi Bersih Jagung 2025'!L32</f>
        <v/>
      </c>
      <c r="H30" s="13" t="str">
        <f>'1.3 Prod Bersih Ubi Kayu 2025'!K32</f>
        <v/>
      </c>
      <c r="I30" s="13" t="str">
        <f>'1.4 Prod Bersih Ubi Jalar 2025'!K32</f>
        <v/>
      </c>
      <c r="J30" s="13" t="str">
        <f>'1.5 Prod Bersih Sagu 2025'!K32</f>
        <v/>
      </c>
      <c r="K30" s="13" t="str">
        <f>'1.6 Prod Bersih Pisang 2025'!K32</f>
        <v/>
      </c>
      <c r="L30" s="15">
        <f t="shared" si="0"/>
        <v>0</v>
      </c>
      <c r="M30" s="14" t="str">
        <f>IF(D30="","",VLOOKUP(D30,'[1]0.1 Produksi Pangan &amp; Penduduk'!$D$5:$AU$704,44,0))</f>
        <v/>
      </c>
      <c r="N30" s="26" t="str">
        <f t="shared" si="1"/>
        <v/>
      </c>
      <c r="O30" s="16"/>
      <c r="P30" s="25" t="str">
        <f t="shared" si="2"/>
        <v/>
      </c>
      <c r="Q30" s="8"/>
      <c r="R30" s="11"/>
    </row>
    <row r="31" spans="1:18" ht="15" x14ac:dyDescent="0.25">
      <c r="A31" s="3" t="str">
        <f>IF('1.1 Produksi Bersih Padi 2025'!A33="","",'1.1 Produksi Bersih Padi 2025'!A33)</f>
        <v/>
      </c>
      <c r="B31" s="32" t="str">
        <f>IF('1.1 Produksi Bersih Padi 2025'!B33="","",'1.1 Produksi Bersih Padi 2025'!B33)</f>
        <v/>
      </c>
      <c r="C31" s="32" t="str">
        <f>IF('1.1 Produksi Bersih Padi 2025'!C33="","",'1.1 Produksi Bersih Padi 2025'!C33)</f>
        <v/>
      </c>
      <c r="D31" s="3" t="str">
        <f>IF('1.1 Produksi Bersih Padi 2025'!D33="","",'1.1 Produksi Bersih Padi 2025'!D33)</f>
        <v/>
      </c>
      <c r="E31" s="3" t="str">
        <f>IF('1.1 Produksi Bersih Padi 2025'!E33="","",'1.1 Produksi Bersih Padi 2025'!E33)</f>
        <v/>
      </c>
      <c r="F31" s="13" t="str">
        <f>'1.1 Produksi Bersih Padi 2025'!Q33</f>
        <v/>
      </c>
      <c r="G31" s="13" t="str">
        <f>'1.2 Produksi Bersih Jagung 2025'!L33</f>
        <v/>
      </c>
      <c r="H31" s="13" t="str">
        <f>'1.3 Prod Bersih Ubi Kayu 2025'!K33</f>
        <v/>
      </c>
      <c r="I31" s="13" t="str">
        <f>'1.4 Prod Bersih Ubi Jalar 2025'!K33</f>
        <v/>
      </c>
      <c r="J31" s="13" t="str">
        <f>'1.5 Prod Bersih Sagu 2025'!K33</f>
        <v/>
      </c>
      <c r="K31" s="13" t="str">
        <f>'1.6 Prod Bersih Pisang 2025'!K33</f>
        <v/>
      </c>
      <c r="L31" s="15">
        <f t="shared" si="0"/>
        <v>0</v>
      </c>
      <c r="M31" s="14" t="str">
        <f>IF(D31="","",VLOOKUP(D31,'[1]0.1 Produksi Pangan &amp; Penduduk'!$D$5:$AU$704,44,0))</f>
        <v/>
      </c>
      <c r="N31" s="26" t="str">
        <f t="shared" si="1"/>
        <v/>
      </c>
      <c r="O31" s="16"/>
      <c r="P31" s="25" t="str">
        <f t="shared" si="2"/>
        <v/>
      </c>
      <c r="Q31" s="8"/>
      <c r="R31" s="11"/>
    </row>
    <row r="32" spans="1:18" ht="15" x14ac:dyDescent="0.25">
      <c r="A32" s="3" t="str">
        <f>IF('1.1 Produksi Bersih Padi 2025'!A34="","",'1.1 Produksi Bersih Padi 2025'!A34)</f>
        <v/>
      </c>
      <c r="B32" s="32" t="str">
        <f>IF('1.1 Produksi Bersih Padi 2025'!B34="","",'1.1 Produksi Bersih Padi 2025'!B34)</f>
        <v/>
      </c>
      <c r="C32" s="32" t="str">
        <f>IF('1.1 Produksi Bersih Padi 2025'!C34="","",'1.1 Produksi Bersih Padi 2025'!C34)</f>
        <v/>
      </c>
      <c r="D32" s="3" t="str">
        <f>IF('1.1 Produksi Bersih Padi 2025'!D34="","",'1.1 Produksi Bersih Padi 2025'!D34)</f>
        <v/>
      </c>
      <c r="E32" s="3" t="str">
        <f>IF('1.1 Produksi Bersih Padi 2025'!E34="","",'1.1 Produksi Bersih Padi 2025'!E34)</f>
        <v/>
      </c>
      <c r="F32" s="13" t="str">
        <f>'1.1 Produksi Bersih Padi 2025'!Q34</f>
        <v/>
      </c>
      <c r="G32" s="13" t="str">
        <f>'1.2 Produksi Bersih Jagung 2025'!L34</f>
        <v/>
      </c>
      <c r="H32" s="13" t="str">
        <f>'1.3 Prod Bersih Ubi Kayu 2025'!K34</f>
        <v/>
      </c>
      <c r="I32" s="13" t="str">
        <f>'1.4 Prod Bersih Ubi Jalar 2025'!K34</f>
        <v/>
      </c>
      <c r="J32" s="13" t="str">
        <f>'1.5 Prod Bersih Sagu 2025'!K34</f>
        <v/>
      </c>
      <c r="K32" s="13" t="str">
        <f>'1.6 Prod Bersih Pisang 2025'!K34</f>
        <v/>
      </c>
      <c r="L32" s="15">
        <f t="shared" si="0"/>
        <v>0</v>
      </c>
      <c r="M32" s="14" t="str">
        <f>IF(D32="","",VLOOKUP(D32,'[1]0.1 Produksi Pangan &amp; Penduduk'!$D$5:$AU$704,44,0))</f>
        <v/>
      </c>
      <c r="N32" s="26" t="str">
        <f t="shared" si="1"/>
        <v/>
      </c>
      <c r="O32" s="16"/>
      <c r="P32" s="25" t="str">
        <f t="shared" si="2"/>
        <v/>
      </c>
      <c r="Q32" s="8"/>
      <c r="R32" s="11"/>
    </row>
    <row r="33" spans="1:18" ht="15" x14ac:dyDescent="0.25">
      <c r="A33" s="3" t="str">
        <f>IF('1.1 Produksi Bersih Padi 2025'!A35="","",'1.1 Produksi Bersih Padi 2025'!A35)</f>
        <v/>
      </c>
      <c r="B33" s="32" t="str">
        <f>IF('1.1 Produksi Bersih Padi 2025'!B35="","",'1.1 Produksi Bersih Padi 2025'!B35)</f>
        <v/>
      </c>
      <c r="C33" s="32" t="str">
        <f>IF('1.1 Produksi Bersih Padi 2025'!C35="","",'1.1 Produksi Bersih Padi 2025'!C35)</f>
        <v/>
      </c>
      <c r="D33" s="3" t="str">
        <f>IF('1.1 Produksi Bersih Padi 2025'!D35="","",'1.1 Produksi Bersih Padi 2025'!D35)</f>
        <v/>
      </c>
      <c r="E33" s="3" t="str">
        <f>IF('1.1 Produksi Bersih Padi 2025'!E35="","",'1.1 Produksi Bersih Padi 2025'!E35)</f>
        <v/>
      </c>
      <c r="F33" s="13" t="str">
        <f>'1.1 Produksi Bersih Padi 2025'!Q35</f>
        <v/>
      </c>
      <c r="G33" s="13" t="str">
        <f>'1.2 Produksi Bersih Jagung 2025'!L35</f>
        <v/>
      </c>
      <c r="H33" s="13" t="str">
        <f>'1.3 Prod Bersih Ubi Kayu 2025'!K35</f>
        <v/>
      </c>
      <c r="I33" s="13" t="str">
        <f>'1.4 Prod Bersih Ubi Jalar 2025'!K35</f>
        <v/>
      </c>
      <c r="J33" s="13" t="str">
        <f>'1.5 Prod Bersih Sagu 2025'!K35</f>
        <v/>
      </c>
      <c r="K33" s="13" t="str">
        <f>'1.6 Prod Bersih Pisang 2025'!K35</f>
        <v/>
      </c>
      <c r="L33" s="15">
        <f t="shared" si="0"/>
        <v>0</v>
      </c>
      <c r="M33" s="14" t="str">
        <f>IF(D33="","",VLOOKUP(D33,'[1]0.1 Produksi Pangan &amp; Penduduk'!$D$5:$AU$704,44,0))</f>
        <v/>
      </c>
      <c r="N33" s="26" t="str">
        <f t="shared" si="1"/>
        <v/>
      </c>
      <c r="O33" s="16"/>
      <c r="P33" s="25" t="str">
        <f t="shared" si="2"/>
        <v/>
      </c>
      <c r="Q33" s="8"/>
      <c r="R33" s="11"/>
    </row>
    <row r="34" spans="1:18" ht="15" x14ac:dyDescent="0.25">
      <c r="A34" s="3" t="str">
        <f>IF('1.1 Produksi Bersih Padi 2025'!A36="","",'1.1 Produksi Bersih Padi 2025'!A36)</f>
        <v/>
      </c>
      <c r="B34" s="32" t="str">
        <f>IF('1.1 Produksi Bersih Padi 2025'!B36="","",'1.1 Produksi Bersih Padi 2025'!B36)</f>
        <v/>
      </c>
      <c r="C34" s="32" t="str">
        <f>IF('1.1 Produksi Bersih Padi 2025'!C36="","",'1.1 Produksi Bersih Padi 2025'!C36)</f>
        <v/>
      </c>
      <c r="D34" s="3" t="str">
        <f>IF('1.1 Produksi Bersih Padi 2025'!D36="","",'1.1 Produksi Bersih Padi 2025'!D36)</f>
        <v/>
      </c>
      <c r="E34" s="3" t="str">
        <f>IF('1.1 Produksi Bersih Padi 2025'!E36="","",'1.1 Produksi Bersih Padi 2025'!E36)</f>
        <v/>
      </c>
      <c r="F34" s="13" t="str">
        <f>'1.1 Produksi Bersih Padi 2025'!Q36</f>
        <v/>
      </c>
      <c r="G34" s="13" t="str">
        <f>'1.2 Produksi Bersih Jagung 2025'!L36</f>
        <v/>
      </c>
      <c r="H34" s="13" t="str">
        <f>'1.3 Prod Bersih Ubi Kayu 2025'!K36</f>
        <v/>
      </c>
      <c r="I34" s="13" t="str">
        <f>'1.4 Prod Bersih Ubi Jalar 2025'!K36</f>
        <v/>
      </c>
      <c r="J34" s="13" t="str">
        <f>'1.5 Prod Bersih Sagu 2025'!K36</f>
        <v/>
      </c>
      <c r="K34" s="13" t="str">
        <f>'1.6 Prod Bersih Pisang 2025'!K36</f>
        <v/>
      </c>
      <c r="L34" s="15">
        <f t="shared" si="0"/>
        <v>0</v>
      </c>
      <c r="M34" s="14" t="str">
        <f>IF(D34="","",VLOOKUP(D34,'[1]0.1 Produksi Pangan &amp; Penduduk'!$D$5:$AU$704,44,0))</f>
        <v/>
      </c>
      <c r="N34" s="26" t="str">
        <f t="shared" si="1"/>
        <v/>
      </c>
      <c r="O34" s="16"/>
      <c r="P34" s="25" t="str">
        <f t="shared" si="2"/>
        <v/>
      </c>
      <c r="Q34" s="8"/>
      <c r="R34" s="11"/>
    </row>
    <row r="35" spans="1:18" ht="15" x14ac:dyDescent="0.25">
      <c r="A35" s="3" t="str">
        <f>IF('1.1 Produksi Bersih Padi 2025'!A37="","",'1.1 Produksi Bersih Padi 2025'!A37)</f>
        <v/>
      </c>
      <c r="B35" s="32" t="str">
        <f>IF('1.1 Produksi Bersih Padi 2025'!B37="","",'1.1 Produksi Bersih Padi 2025'!B37)</f>
        <v/>
      </c>
      <c r="C35" s="32" t="str">
        <f>IF('1.1 Produksi Bersih Padi 2025'!C37="","",'1.1 Produksi Bersih Padi 2025'!C37)</f>
        <v/>
      </c>
      <c r="D35" s="3" t="str">
        <f>IF('1.1 Produksi Bersih Padi 2025'!D37="","",'1.1 Produksi Bersih Padi 2025'!D37)</f>
        <v/>
      </c>
      <c r="E35" s="3" t="str">
        <f>IF('1.1 Produksi Bersih Padi 2025'!E37="","",'1.1 Produksi Bersih Padi 2025'!E37)</f>
        <v/>
      </c>
      <c r="F35" s="13" t="str">
        <f>'1.1 Produksi Bersih Padi 2025'!Q37</f>
        <v/>
      </c>
      <c r="G35" s="13" t="str">
        <f>'1.2 Produksi Bersih Jagung 2025'!L37</f>
        <v/>
      </c>
      <c r="H35" s="13" t="str">
        <f>'1.3 Prod Bersih Ubi Kayu 2025'!K37</f>
        <v/>
      </c>
      <c r="I35" s="13" t="str">
        <f>'1.4 Prod Bersih Ubi Jalar 2025'!K37</f>
        <v/>
      </c>
      <c r="J35" s="13" t="str">
        <f>'1.5 Prod Bersih Sagu 2025'!K37</f>
        <v/>
      </c>
      <c r="K35" s="13" t="str">
        <f>'1.6 Prod Bersih Pisang 2025'!K37</f>
        <v/>
      </c>
      <c r="L35" s="15">
        <f t="shared" si="0"/>
        <v>0</v>
      </c>
      <c r="M35" s="14" t="str">
        <f>IF(D35="","",VLOOKUP(D35,'[1]0.1 Produksi Pangan &amp; Penduduk'!$D$5:$AU$704,44,0))</f>
        <v/>
      </c>
      <c r="N35" s="26" t="str">
        <f t="shared" si="1"/>
        <v/>
      </c>
      <c r="O35" s="16"/>
      <c r="P35" s="25" t="str">
        <f t="shared" si="2"/>
        <v/>
      </c>
      <c r="Q35" s="8"/>
      <c r="R35" s="11"/>
    </row>
    <row r="36" spans="1:18" ht="15" x14ac:dyDescent="0.25">
      <c r="A36" s="3" t="str">
        <f>IF('1.1 Produksi Bersih Padi 2025'!A38="","",'1.1 Produksi Bersih Padi 2025'!A38)</f>
        <v/>
      </c>
      <c r="B36" s="32" t="str">
        <f>IF('1.1 Produksi Bersih Padi 2025'!B38="","",'1.1 Produksi Bersih Padi 2025'!B38)</f>
        <v/>
      </c>
      <c r="C36" s="32" t="str">
        <f>IF('1.1 Produksi Bersih Padi 2025'!C38="","",'1.1 Produksi Bersih Padi 2025'!C38)</f>
        <v/>
      </c>
      <c r="D36" s="3" t="str">
        <f>IF('1.1 Produksi Bersih Padi 2025'!D38="","",'1.1 Produksi Bersih Padi 2025'!D38)</f>
        <v/>
      </c>
      <c r="E36" s="3" t="str">
        <f>IF('1.1 Produksi Bersih Padi 2025'!E38="","",'1.1 Produksi Bersih Padi 2025'!E38)</f>
        <v/>
      </c>
      <c r="F36" s="13" t="str">
        <f>'1.1 Produksi Bersih Padi 2025'!Q38</f>
        <v/>
      </c>
      <c r="G36" s="13" t="str">
        <f>'1.2 Produksi Bersih Jagung 2025'!L38</f>
        <v/>
      </c>
      <c r="H36" s="13" t="str">
        <f>'1.3 Prod Bersih Ubi Kayu 2025'!K38</f>
        <v/>
      </c>
      <c r="I36" s="13" t="str">
        <f>'1.4 Prod Bersih Ubi Jalar 2025'!K38</f>
        <v/>
      </c>
      <c r="J36" s="13" t="str">
        <f>'1.5 Prod Bersih Sagu 2025'!K38</f>
        <v/>
      </c>
      <c r="K36" s="13" t="str">
        <f>'1.6 Prod Bersih Pisang 2025'!K38</f>
        <v/>
      </c>
      <c r="L36" s="15">
        <f t="shared" si="0"/>
        <v>0</v>
      </c>
      <c r="M36" s="14" t="str">
        <f>IF(D36="","",VLOOKUP(D36,'[1]0.1 Produksi Pangan &amp; Penduduk'!$D$5:$AU$704,44,0))</f>
        <v/>
      </c>
      <c r="N36" s="26" t="str">
        <f t="shared" si="1"/>
        <v/>
      </c>
      <c r="O36" s="16"/>
      <c r="P36" s="25" t="str">
        <f t="shared" si="2"/>
        <v/>
      </c>
      <c r="Q36" s="8"/>
      <c r="R36" s="11"/>
    </row>
    <row r="37" spans="1:18" ht="15" x14ac:dyDescent="0.25">
      <c r="A37" s="3" t="str">
        <f>IF('1.1 Produksi Bersih Padi 2025'!A39="","",'1.1 Produksi Bersih Padi 2025'!A39)</f>
        <v/>
      </c>
      <c r="B37" s="32" t="str">
        <f>IF('1.1 Produksi Bersih Padi 2025'!B39="","",'1.1 Produksi Bersih Padi 2025'!B39)</f>
        <v/>
      </c>
      <c r="C37" s="32" t="str">
        <f>IF('1.1 Produksi Bersih Padi 2025'!C39="","",'1.1 Produksi Bersih Padi 2025'!C39)</f>
        <v/>
      </c>
      <c r="D37" s="3" t="str">
        <f>IF('1.1 Produksi Bersih Padi 2025'!D39="","",'1.1 Produksi Bersih Padi 2025'!D39)</f>
        <v/>
      </c>
      <c r="E37" s="3" t="str">
        <f>IF('1.1 Produksi Bersih Padi 2025'!E39="","",'1.1 Produksi Bersih Padi 2025'!E39)</f>
        <v/>
      </c>
      <c r="F37" s="13" t="str">
        <f>'1.1 Produksi Bersih Padi 2025'!Q39</f>
        <v/>
      </c>
      <c r="G37" s="13" t="str">
        <f>'1.2 Produksi Bersih Jagung 2025'!L39</f>
        <v/>
      </c>
      <c r="H37" s="13" t="str">
        <f>'1.3 Prod Bersih Ubi Kayu 2025'!K39</f>
        <v/>
      </c>
      <c r="I37" s="13" t="str">
        <f>'1.4 Prod Bersih Ubi Jalar 2025'!K39</f>
        <v/>
      </c>
      <c r="J37" s="13" t="str">
        <f>'1.5 Prod Bersih Sagu 2025'!K39</f>
        <v/>
      </c>
      <c r="K37" s="13" t="str">
        <f>'1.6 Prod Bersih Pisang 2025'!K39</f>
        <v/>
      </c>
      <c r="L37" s="15">
        <f t="shared" si="0"/>
        <v>0</v>
      </c>
      <c r="M37" s="14" t="str">
        <f>IF(D37="","",VLOOKUP(D37,'[1]0.1 Produksi Pangan &amp; Penduduk'!$D$5:$AU$704,44,0))</f>
        <v/>
      </c>
      <c r="N37" s="26" t="str">
        <f t="shared" si="1"/>
        <v/>
      </c>
      <c r="O37" s="16"/>
      <c r="P37" s="25" t="str">
        <f t="shared" si="2"/>
        <v/>
      </c>
      <c r="Q37" s="8"/>
      <c r="R37" s="11"/>
    </row>
    <row r="38" spans="1:18" ht="15" x14ac:dyDescent="0.25">
      <c r="A38" s="3" t="str">
        <f>IF('1.1 Produksi Bersih Padi 2025'!A40="","",'1.1 Produksi Bersih Padi 2025'!A40)</f>
        <v/>
      </c>
      <c r="B38" s="32" t="str">
        <f>IF('1.1 Produksi Bersih Padi 2025'!B40="","",'1.1 Produksi Bersih Padi 2025'!B40)</f>
        <v/>
      </c>
      <c r="C38" s="32" t="str">
        <f>IF('1.1 Produksi Bersih Padi 2025'!C40="","",'1.1 Produksi Bersih Padi 2025'!C40)</f>
        <v/>
      </c>
      <c r="D38" s="3" t="str">
        <f>IF('1.1 Produksi Bersih Padi 2025'!D40="","",'1.1 Produksi Bersih Padi 2025'!D40)</f>
        <v/>
      </c>
      <c r="E38" s="3" t="str">
        <f>IF('1.1 Produksi Bersih Padi 2025'!E40="","",'1.1 Produksi Bersih Padi 2025'!E40)</f>
        <v/>
      </c>
      <c r="F38" s="13" t="str">
        <f>'1.1 Produksi Bersih Padi 2025'!Q40</f>
        <v/>
      </c>
      <c r="G38" s="13" t="str">
        <f>'1.2 Produksi Bersih Jagung 2025'!L40</f>
        <v/>
      </c>
      <c r="H38" s="13" t="str">
        <f>'1.3 Prod Bersih Ubi Kayu 2025'!K40</f>
        <v/>
      </c>
      <c r="I38" s="13" t="str">
        <f>'1.4 Prod Bersih Ubi Jalar 2025'!K40</f>
        <v/>
      </c>
      <c r="J38" s="13" t="str">
        <f>'1.5 Prod Bersih Sagu 2025'!K40</f>
        <v/>
      </c>
      <c r="K38" s="13" t="str">
        <f>'1.6 Prod Bersih Pisang 2025'!K40</f>
        <v/>
      </c>
      <c r="L38" s="15">
        <f t="shared" si="0"/>
        <v>0</v>
      </c>
      <c r="M38" s="14" t="str">
        <f>IF(D38="","",VLOOKUP(D38,'[1]0.1 Produksi Pangan &amp; Penduduk'!$D$5:$AU$704,44,0))</f>
        <v/>
      </c>
      <c r="N38" s="26" t="str">
        <f t="shared" si="1"/>
        <v/>
      </c>
      <c r="O38" s="16"/>
      <c r="P38" s="25" t="str">
        <f t="shared" si="2"/>
        <v/>
      </c>
      <c r="Q38" s="8"/>
      <c r="R38" s="11"/>
    </row>
    <row r="39" spans="1:18" ht="15" x14ac:dyDescent="0.25">
      <c r="A39" s="3" t="str">
        <f>IF('1.1 Produksi Bersih Padi 2025'!A41="","",'1.1 Produksi Bersih Padi 2025'!A41)</f>
        <v/>
      </c>
      <c r="B39" s="32" t="str">
        <f>IF('1.1 Produksi Bersih Padi 2025'!B41="","",'1.1 Produksi Bersih Padi 2025'!B41)</f>
        <v/>
      </c>
      <c r="C39" s="32" t="str">
        <f>IF('1.1 Produksi Bersih Padi 2025'!C41="","",'1.1 Produksi Bersih Padi 2025'!C41)</f>
        <v/>
      </c>
      <c r="D39" s="3" t="str">
        <f>IF('1.1 Produksi Bersih Padi 2025'!D41="","",'1.1 Produksi Bersih Padi 2025'!D41)</f>
        <v/>
      </c>
      <c r="E39" s="3" t="str">
        <f>IF('1.1 Produksi Bersih Padi 2025'!E41="","",'1.1 Produksi Bersih Padi 2025'!E41)</f>
        <v/>
      </c>
      <c r="F39" s="13" t="str">
        <f>'1.1 Produksi Bersih Padi 2025'!Q41</f>
        <v/>
      </c>
      <c r="G39" s="13" t="str">
        <f>'1.2 Produksi Bersih Jagung 2025'!L41</f>
        <v/>
      </c>
      <c r="H39" s="13" t="str">
        <f>'1.3 Prod Bersih Ubi Kayu 2025'!K41</f>
        <v/>
      </c>
      <c r="I39" s="13" t="str">
        <f>'1.4 Prod Bersih Ubi Jalar 2025'!K41</f>
        <v/>
      </c>
      <c r="J39" s="13" t="str">
        <f>'1.5 Prod Bersih Sagu 2025'!K41</f>
        <v/>
      </c>
      <c r="K39" s="13" t="str">
        <f>'1.6 Prod Bersih Pisang 2025'!K41</f>
        <v/>
      </c>
      <c r="L39" s="15">
        <f t="shared" si="0"/>
        <v>0</v>
      </c>
      <c r="M39" s="14" t="str">
        <f>IF(D39="","",VLOOKUP(D39,'[1]0.1 Produksi Pangan &amp; Penduduk'!$D$5:$AU$704,44,0))</f>
        <v/>
      </c>
      <c r="N39" s="26" t="str">
        <f t="shared" si="1"/>
        <v/>
      </c>
      <c r="O39" s="16"/>
      <c r="P39" s="25" t="str">
        <f t="shared" si="2"/>
        <v/>
      </c>
      <c r="Q39" s="8"/>
      <c r="R39" s="11"/>
    </row>
    <row r="40" spans="1:18" ht="15" x14ac:dyDescent="0.25">
      <c r="A40" s="3" t="str">
        <f>IF('1.1 Produksi Bersih Padi 2025'!A42="","",'1.1 Produksi Bersih Padi 2025'!A42)</f>
        <v/>
      </c>
      <c r="B40" s="32" t="str">
        <f>IF('1.1 Produksi Bersih Padi 2025'!B42="","",'1.1 Produksi Bersih Padi 2025'!B42)</f>
        <v/>
      </c>
      <c r="C40" s="32" t="str">
        <f>IF('1.1 Produksi Bersih Padi 2025'!C42="","",'1.1 Produksi Bersih Padi 2025'!C42)</f>
        <v/>
      </c>
      <c r="D40" s="3" t="str">
        <f>IF('1.1 Produksi Bersih Padi 2025'!D42="","",'1.1 Produksi Bersih Padi 2025'!D42)</f>
        <v/>
      </c>
      <c r="E40" s="3" t="str">
        <f>IF('1.1 Produksi Bersih Padi 2025'!E42="","",'1.1 Produksi Bersih Padi 2025'!E42)</f>
        <v/>
      </c>
      <c r="F40" s="13" t="str">
        <f>'1.1 Produksi Bersih Padi 2025'!Q42</f>
        <v/>
      </c>
      <c r="G40" s="13" t="str">
        <f>'1.2 Produksi Bersih Jagung 2025'!L42</f>
        <v/>
      </c>
      <c r="H40" s="13" t="str">
        <f>'1.3 Prod Bersih Ubi Kayu 2025'!K42</f>
        <v/>
      </c>
      <c r="I40" s="13" t="str">
        <f>'1.4 Prod Bersih Ubi Jalar 2025'!K42</f>
        <v/>
      </c>
      <c r="J40" s="13" t="str">
        <f>'1.5 Prod Bersih Sagu 2025'!K42</f>
        <v/>
      </c>
      <c r="K40" s="13" t="str">
        <f>'1.6 Prod Bersih Pisang 2025'!K42</f>
        <v/>
      </c>
      <c r="L40" s="15">
        <f t="shared" si="0"/>
        <v>0</v>
      </c>
      <c r="M40" s="14" t="str">
        <f>IF(D40="","",VLOOKUP(D40,'[1]0.1 Produksi Pangan &amp; Penduduk'!$D$5:$AU$704,44,0))</f>
        <v/>
      </c>
      <c r="N40" s="26" t="str">
        <f t="shared" si="1"/>
        <v/>
      </c>
      <c r="O40" s="16"/>
      <c r="P40" s="25" t="str">
        <f t="shared" si="2"/>
        <v/>
      </c>
      <c r="Q40" s="8"/>
      <c r="R40" s="11"/>
    </row>
    <row r="41" spans="1:18" ht="15" x14ac:dyDescent="0.25">
      <c r="A41" s="3" t="str">
        <f>IF('1.1 Produksi Bersih Padi 2025'!A43="","",'1.1 Produksi Bersih Padi 2025'!A43)</f>
        <v/>
      </c>
      <c r="B41" s="32" t="str">
        <f>IF('1.1 Produksi Bersih Padi 2025'!B43="","",'1.1 Produksi Bersih Padi 2025'!B43)</f>
        <v/>
      </c>
      <c r="C41" s="32" t="str">
        <f>IF('1.1 Produksi Bersih Padi 2025'!C43="","",'1.1 Produksi Bersih Padi 2025'!C43)</f>
        <v/>
      </c>
      <c r="D41" s="3" t="str">
        <f>IF('1.1 Produksi Bersih Padi 2025'!D43="","",'1.1 Produksi Bersih Padi 2025'!D43)</f>
        <v/>
      </c>
      <c r="E41" s="3" t="str">
        <f>IF('1.1 Produksi Bersih Padi 2025'!E43="","",'1.1 Produksi Bersih Padi 2025'!E43)</f>
        <v/>
      </c>
      <c r="F41" s="13" t="str">
        <f>'1.1 Produksi Bersih Padi 2025'!Q43</f>
        <v/>
      </c>
      <c r="G41" s="13" t="str">
        <f>'1.2 Produksi Bersih Jagung 2025'!L43</f>
        <v/>
      </c>
      <c r="H41" s="13" t="str">
        <f>'1.3 Prod Bersih Ubi Kayu 2025'!K43</f>
        <v/>
      </c>
      <c r="I41" s="13" t="str">
        <f>'1.4 Prod Bersih Ubi Jalar 2025'!K43</f>
        <v/>
      </c>
      <c r="J41" s="13" t="str">
        <f>'1.5 Prod Bersih Sagu 2025'!K43</f>
        <v/>
      </c>
      <c r="K41" s="13" t="str">
        <f>'1.6 Prod Bersih Pisang 2025'!K43</f>
        <v/>
      </c>
      <c r="L41" s="15">
        <f t="shared" si="0"/>
        <v>0</v>
      </c>
      <c r="M41" s="14" t="str">
        <f>IF(D41="","",VLOOKUP(D41,'[1]0.1 Produksi Pangan &amp; Penduduk'!$D$5:$AU$704,44,0))</f>
        <v/>
      </c>
      <c r="N41" s="26" t="str">
        <f t="shared" si="1"/>
        <v/>
      </c>
      <c r="O41" s="16"/>
      <c r="P41" s="25" t="str">
        <f t="shared" si="2"/>
        <v/>
      </c>
      <c r="Q41" s="8"/>
      <c r="R41" s="11"/>
    </row>
    <row r="42" spans="1:18" ht="15" x14ac:dyDescent="0.25">
      <c r="A42" s="3" t="str">
        <f>IF('1.1 Produksi Bersih Padi 2025'!A44="","",'1.1 Produksi Bersih Padi 2025'!A44)</f>
        <v/>
      </c>
      <c r="B42" s="32" t="str">
        <f>IF('1.1 Produksi Bersih Padi 2025'!B44="","",'1.1 Produksi Bersih Padi 2025'!B44)</f>
        <v/>
      </c>
      <c r="C42" s="32" t="str">
        <f>IF('1.1 Produksi Bersih Padi 2025'!C44="","",'1.1 Produksi Bersih Padi 2025'!C44)</f>
        <v/>
      </c>
      <c r="D42" s="3" t="str">
        <f>IF('1.1 Produksi Bersih Padi 2025'!D44="","",'1.1 Produksi Bersih Padi 2025'!D44)</f>
        <v/>
      </c>
      <c r="E42" s="3" t="str">
        <f>IF('1.1 Produksi Bersih Padi 2025'!E44="","",'1.1 Produksi Bersih Padi 2025'!E44)</f>
        <v/>
      </c>
      <c r="F42" s="13" t="str">
        <f>'1.1 Produksi Bersih Padi 2025'!Q44</f>
        <v/>
      </c>
      <c r="G42" s="13" t="str">
        <f>'1.2 Produksi Bersih Jagung 2025'!L44</f>
        <v/>
      </c>
      <c r="H42" s="13" t="str">
        <f>'1.3 Prod Bersih Ubi Kayu 2025'!K44</f>
        <v/>
      </c>
      <c r="I42" s="13" t="str">
        <f>'1.4 Prod Bersih Ubi Jalar 2025'!K44</f>
        <v/>
      </c>
      <c r="J42" s="13" t="str">
        <f>'1.5 Prod Bersih Sagu 2025'!K44</f>
        <v/>
      </c>
      <c r="K42" s="13" t="str">
        <f>'1.6 Prod Bersih Pisang 2025'!K44</f>
        <v/>
      </c>
      <c r="L42" s="15">
        <f t="shared" si="0"/>
        <v>0</v>
      </c>
      <c r="M42" s="14" t="str">
        <f>IF(D42="","",VLOOKUP(D42,'[1]0.1 Produksi Pangan &amp; Penduduk'!$D$5:$AU$704,44,0))</f>
        <v/>
      </c>
      <c r="N42" s="26" t="str">
        <f t="shared" si="1"/>
        <v/>
      </c>
      <c r="O42" s="16"/>
      <c r="P42" s="25" t="str">
        <f t="shared" si="2"/>
        <v/>
      </c>
      <c r="Q42" s="8"/>
      <c r="R42" s="11"/>
    </row>
    <row r="43" spans="1:18" ht="15" x14ac:dyDescent="0.25">
      <c r="A43" s="3" t="str">
        <f>IF('1.1 Produksi Bersih Padi 2025'!A45="","",'1.1 Produksi Bersih Padi 2025'!A45)</f>
        <v/>
      </c>
      <c r="B43" s="32" t="str">
        <f>IF('1.1 Produksi Bersih Padi 2025'!B45="","",'1.1 Produksi Bersih Padi 2025'!B45)</f>
        <v/>
      </c>
      <c r="C43" s="32" t="str">
        <f>IF('1.1 Produksi Bersih Padi 2025'!C45="","",'1.1 Produksi Bersih Padi 2025'!C45)</f>
        <v/>
      </c>
      <c r="D43" s="3" t="str">
        <f>IF('1.1 Produksi Bersih Padi 2025'!D45="","",'1.1 Produksi Bersih Padi 2025'!D45)</f>
        <v/>
      </c>
      <c r="E43" s="3" t="str">
        <f>IF('1.1 Produksi Bersih Padi 2025'!E45="","",'1.1 Produksi Bersih Padi 2025'!E45)</f>
        <v/>
      </c>
      <c r="F43" s="13" t="str">
        <f>'1.1 Produksi Bersih Padi 2025'!Q45</f>
        <v/>
      </c>
      <c r="G43" s="13" t="str">
        <f>'1.2 Produksi Bersih Jagung 2025'!L45</f>
        <v/>
      </c>
      <c r="H43" s="13" t="str">
        <f>'1.3 Prod Bersih Ubi Kayu 2025'!K45</f>
        <v/>
      </c>
      <c r="I43" s="13" t="str">
        <f>'1.4 Prod Bersih Ubi Jalar 2025'!K45</f>
        <v/>
      </c>
      <c r="J43" s="13" t="str">
        <f>'1.5 Prod Bersih Sagu 2025'!K45</f>
        <v/>
      </c>
      <c r="K43" s="13" t="str">
        <f>'1.6 Prod Bersih Pisang 2025'!K45</f>
        <v/>
      </c>
      <c r="L43" s="15">
        <f t="shared" si="0"/>
        <v>0</v>
      </c>
      <c r="M43" s="14" t="str">
        <f>IF(D43="","",VLOOKUP(D43,'[1]0.1 Produksi Pangan &amp; Penduduk'!$D$5:$AU$704,44,0))</f>
        <v/>
      </c>
      <c r="N43" s="26" t="str">
        <f t="shared" si="1"/>
        <v/>
      </c>
      <c r="O43" s="16"/>
      <c r="P43" s="25" t="str">
        <f t="shared" si="2"/>
        <v/>
      </c>
      <c r="Q43" s="8"/>
      <c r="R43" s="11"/>
    </row>
    <row r="44" spans="1:18" ht="15" x14ac:dyDescent="0.25">
      <c r="A44" s="3" t="str">
        <f>IF('1.1 Produksi Bersih Padi 2025'!A46="","",'1.1 Produksi Bersih Padi 2025'!A46)</f>
        <v/>
      </c>
      <c r="B44" s="32" t="str">
        <f>IF('1.1 Produksi Bersih Padi 2025'!B46="","",'1.1 Produksi Bersih Padi 2025'!B46)</f>
        <v/>
      </c>
      <c r="C44" s="32" t="str">
        <f>IF('1.1 Produksi Bersih Padi 2025'!C46="","",'1.1 Produksi Bersih Padi 2025'!C46)</f>
        <v/>
      </c>
      <c r="D44" s="3" t="str">
        <f>IF('1.1 Produksi Bersih Padi 2025'!D46="","",'1.1 Produksi Bersih Padi 2025'!D46)</f>
        <v/>
      </c>
      <c r="E44" s="3" t="str">
        <f>IF('1.1 Produksi Bersih Padi 2025'!E46="","",'1.1 Produksi Bersih Padi 2025'!E46)</f>
        <v/>
      </c>
      <c r="F44" s="13" t="str">
        <f>'1.1 Produksi Bersih Padi 2025'!Q46</f>
        <v/>
      </c>
      <c r="G44" s="13" t="str">
        <f>'1.2 Produksi Bersih Jagung 2025'!L46</f>
        <v/>
      </c>
      <c r="H44" s="13" t="str">
        <f>'1.3 Prod Bersih Ubi Kayu 2025'!K46</f>
        <v/>
      </c>
      <c r="I44" s="13" t="str">
        <f>'1.4 Prod Bersih Ubi Jalar 2025'!K46</f>
        <v/>
      </c>
      <c r="J44" s="13" t="str">
        <f>'1.5 Prod Bersih Sagu 2025'!K46</f>
        <v/>
      </c>
      <c r="K44" s="13" t="str">
        <f>'1.6 Prod Bersih Pisang 2025'!K46</f>
        <v/>
      </c>
      <c r="L44" s="15">
        <f t="shared" si="0"/>
        <v>0</v>
      </c>
      <c r="M44" s="14" t="str">
        <f>IF(D44="","",VLOOKUP(D44,'[1]0.1 Produksi Pangan &amp; Penduduk'!$D$5:$AU$704,44,0))</f>
        <v/>
      </c>
      <c r="N44" s="26" t="str">
        <f t="shared" si="1"/>
        <v/>
      </c>
      <c r="O44" s="16"/>
      <c r="P44" s="25" t="str">
        <f t="shared" si="2"/>
        <v/>
      </c>
      <c r="Q44" s="8"/>
      <c r="R44" s="11"/>
    </row>
    <row r="45" spans="1:18" ht="15" x14ac:dyDescent="0.25">
      <c r="A45" s="3" t="str">
        <f>IF('1.1 Produksi Bersih Padi 2025'!A47="","",'1.1 Produksi Bersih Padi 2025'!A47)</f>
        <v/>
      </c>
      <c r="B45" s="32" t="str">
        <f>IF('1.1 Produksi Bersih Padi 2025'!B47="","",'1.1 Produksi Bersih Padi 2025'!B47)</f>
        <v/>
      </c>
      <c r="C45" s="32" t="str">
        <f>IF('1.1 Produksi Bersih Padi 2025'!C47="","",'1.1 Produksi Bersih Padi 2025'!C47)</f>
        <v/>
      </c>
      <c r="D45" s="3" t="str">
        <f>IF('1.1 Produksi Bersih Padi 2025'!D47="","",'1.1 Produksi Bersih Padi 2025'!D47)</f>
        <v/>
      </c>
      <c r="E45" s="3" t="str">
        <f>IF('1.1 Produksi Bersih Padi 2025'!E47="","",'1.1 Produksi Bersih Padi 2025'!E47)</f>
        <v/>
      </c>
      <c r="F45" s="13" t="str">
        <f>'1.1 Produksi Bersih Padi 2025'!Q47</f>
        <v/>
      </c>
      <c r="G45" s="13" t="str">
        <f>'1.2 Produksi Bersih Jagung 2025'!L47</f>
        <v/>
      </c>
      <c r="H45" s="13" t="str">
        <f>'1.3 Prod Bersih Ubi Kayu 2025'!K47</f>
        <v/>
      </c>
      <c r="I45" s="13" t="str">
        <f>'1.4 Prod Bersih Ubi Jalar 2025'!K47</f>
        <v/>
      </c>
      <c r="J45" s="13" t="str">
        <f>'1.5 Prod Bersih Sagu 2025'!K47</f>
        <v/>
      </c>
      <c r="K45" s="13" t="str">
        <f>'1.6 Prod Bersih Pisang 2025'!K47</f>
        <v/>
      </c>
      <c r="L45" s="15">
        <f t="shared" si="0"/>
        <v>0</v>
      </c>
      <c r="M45" s="14" t="str">
        <f>IF(D45="","",VLOOKUP(D45,'[1]0.1 Produksi Pangan &amp; Penduduk'!$D$5:$AU$704,44,0))</f>
        <v/>
      </c>
      <c r="N45" s="26" t="str">
        <f t="shared" si="1"/>
        <v/>
      </c>
      <c r="O45" s="16"/>
      <c r="P45" s="25" t="str">
        <f t="shared" si="2"/>
        <v/>
      </c>
      <c r="Q45" s="8"/>
      <c r="R45" s="11"/>
    </row>
    <row r="46" spans="1:18" ht="15" x14ac:dyDescent="0.25">
      <c r="A46" s="3" t="str">
        <f>IF('1.1 Produksi Bersih Padi 2025'!A48="","",'1.1 Produksi Bersih Padi 2025'!A48)</f>
        <v/>
      </c>
      <c r="B46" s="32" t="str">
        <f>IF('1.1 Produksi Bersih Padi 2025'!B48="","",'1.1 Produksi Bersih Padi 2025'!B48)</f>
        <v/>
      </c>
      <c r="C46" s="32" t="str">
        <f>IF('1.1 Produksi Bersih Padi 2025'!C48="","",'1.1 Produksi Bersih Padi 2025'!C48)</f>
        <v/>
      </c>
      <c r="D46" s="3" t="str">
        <f>IF('1.1 Produksi Bersih Padi 2025'!D48="","",'1.1 Produksi Bersih Padi 2025'!D48)</f>
        <v/>
      </c>
      <c r="E46" s="3" t="str">
        <f>IF('1.1 Produksi Bersih Padi 2025'!E48="","",'1.1 Produksi Bersih Padi 2025'!E48)</f>
        <v/>
      </c>
      <c r="F46" s="13" t="str">
        <f>'1.1 Produksi Bersih Padi 2025'!Q48</f>
        <v/>
      </c>
      <c r="G46" s="13" t="str">
        <f>'1.2 Produksi Bersih Jagung 2025'!L48</f>
        <v/>
      </c>
      <c r="H46" s="13" t="str">
        <f>'1.3 Prod Bersih Ubi Kayu 2025'!K48</f>
        <v/>
      </c>
      <c r="I46" s="13" t="str">
        <f>'1.4 Prod Bersih Ubi Jalar 2025'!K48</f>
        <v/>
      </c>
      <c r="J46" s="13" t="str">
        <f>'1.5 Prod Bersih Sagu 2025'!K48</f>
        <v/>
      </c>
      <c r="K46" s="13" t="str">
        <f>'1.6 Prod Bersih Pisang 2025'!K48</f>
        <v/>
      </c>
      <c r="L46" s="15">
        <f t="shared" si="0"/>
        <v>0</v>
      </c>
      <c r="M46" s="14" t="str">
        <f>IF(D46="","",VLOOKUP(D46,'[1]0.1 Produksi Pangan &amp; Penduduk'!$D$5:$AU$704,44,0))</f>
        <v/>
      </c>
      <c r="N46" s="26" t="str">
        <f t="shared" si="1"/>
        <v/>
      </c>
      <c r="O46" s="16"/>
      <c r="P46" s="25" t="str">
        <f t="shared" si="2"/>
        <v/>
      </c>
      <c r="Q46" s="8"/>
      <c r="R46" s="11"/>
    </row>
    <row r="47" spans="1:18" ht="15" x14ac:dyDescent="0.25">
      <c r="A47" s="3" t="str">
        <f>IF('1.1 Produksi Bersih Padi 2025'!A49="","",'1.1 Produksi Bersih Padi 2025'!A49)</f>
        <v/>
      </c>
      <c r="B47" s="32" t="str">
        <f>IF('1.1 Produksi Bersih Padi 2025'!B49="","",'1.1 Produksi Bersih Padi 2025'!B49)</f>
        <v/>
      </c>
      <c r="C47" s="32" t="str">
        <f>IF('1.1 Produksi Bersih Padi 2025'!C49="","",'1.1 Produksi Bersih Padi 2025'!C49)</f>
        <v/>
      </c>
      <c r="D47" s="3" t="str">
        <f>IF('1.1 Produksi Bersih Padi 2025'!D49="","",'1.1 Produksi Bersih Padi 2025'!D49)</f>
        <v/>
      </c>
      <c r="E47" s="3" t="str">
        <f>IF('1.1 Produksi Bersih Padi 2025'!E49="","",'1.1 Produksi Bersih Padi 2025'!E49)</f>
        <v/>
      </c>
      <c r="F47" s="13" t="str">
        <f>'1.1 Produksi Bersih Padi 2025'!Q49</f>
        <v/>
      </c>
      <c r="G47" s="13" t="str">
        <f>'1.2 Produksi Bersih Jagung 2025'!L49</f>
        <v/>
      </c>
      <c r="H47" s="13" t="str">
        <f>'1.3 Prod Bersih Ubi Kayu 2025'!K49</f>
        <v/>
      </c>
      <c r="I47" s="13" t="str">
        <f>'1.4 Prod Bersih Ubi Jalar 2025'!K49</f>
        <v/>
      </c>
      <c r="J47" s="13" t="str">
        <f>'1.5 Prod Bersih Sagu 2025'!K49</f>
        <v/>
      </c>
      <c r="K47" s="13" t="str">
        <f>'1.6 Prod Bersih Pisang 2025'!K49</f>
        <v/>
      </c>
      <c r="L47" s="15">
        <f t="shared" si="0"/>
        <v>0</v>
      </c>
      <c r="M47" s="14" t="str">
        <f>IF(D47="","",VLOOKUP(D47,'[1]0.1 Produksi Pangan &amp; Penduduk'!$D$5:$AU$704,44,0))</f>
        <v/>
      </c>
      <c r="N47" s="26" t="str">
        <f t="shared" si="1"/>
        <v/>
      </c>
      <c r="O47" s="16"/>
      <c r="P47" s="25" t="str">
        <f t="shared" si="2"/>
        <v/>
      </c>
      <c r="Q47" s="8"/>
      <c r="R47" s="11"/>
    </row>
    <row r="48" spans="1:18" ht="15" x14ac:dyDescent="0.25">
      <c r="A48" s="3" t="str">
        <f>IF('1.1 Produksi Bersih Padi 2025'!A50="","",'1.1 Produksi Bersih Padi 2025'!A50)</f>
        <v/>
      </c>
      <c r="B48" s="32" t="str">
        <f>IF('1.1 Produksi Bersih Padi 2025'!B50="","",'1.1 Produksi Bersih Padi 2025'!B50)</f>
        <v/>
      </c>
      <c r="C48" s="32" t="str">
        <f>IF('1.1 Produksi Bersih Padi 2025'!C50="","",'1.1 Produksi Bersih Padi 2025'!C50)</f>
        <v/>
      </c>
      <c r="D48" s="3" t="str">
        <f>IF('1.1 Produksi Bersih Padi 2025'!D50="","",'1.1 Produksi Bersih Padi 2025'!D50)</f>
        <v/>
      </c>
      <c r="E48" s="3" t="str">
        <f>IF('1.1 Produksi Bersih Padi 2025'!E50="","",'1.1 Produksi Bersih Padi 2025'!E50)</f>
        <v/>
      </c>
      <c r="F48" s="13" t="str">
        <f>'1.1 Produksi Bersih Padi 2025'!Q50</f>
        <v/>
      </c>
      <c r="G48" s="13" t="str">
        <f>'1.2 Produksi Bersih Jagung 2025'!L50</f>
        <v/>
      </c>
      <c r="H48" s="13" t="str">
        <f>'1.3 Prod Bersih Ubi Kayu 2025'!K50</f>
        <v/>
      </c>
      <c r="I48" s="13" t="str">
        <f>'1.4 Prod Bersih Ubi Jalar 2025'!K50</f>
        <v/>
      </c>
      <c r="J48" s="13" t="str">
        <f>'1.5 Prod Bersih Sagu 2025'!K50</f>
        <v/>
      </c>
      <c r="K48" s="13" t="str">
        <f>'1.6 Prod Bersih Pisang 2025'!K50</f>
        <v/>
      </c>
      <c r="L48" s="15">
        <f t="shared" si="0"/>
        <v>0</v>
      </c>
      <c r="M48" s="14" t="str">
        <f>IF(D48="","",VLOOKUP(D48,'[1]0.1 Produksi Pangan &amp; Penduduk'!$D$5:$AU$704,44,0))</f>
        <v/>
      </c>
      <c r="N48" s="26" t="str">
        <f t="shared" si="1"/>
        <v/>
      </c>
      <c r="O48" s="16"/>
      <c r="P48" s="25" t="str">
        <f t="shared" si="2"/>
        <v/>
      </c>
      <c r="Q48" s="8"/>
      <c r="R48" s="11"/>
    </row>
    <row r="49" spans="1:18" ht="15" x14ac:dyDescent="0.25">
      <c r="A49" s="3" t="str">
        <f>IF('1.1 Produksi Bersih Padi 2025'!A51="","",'1.1 Produksi Bersih Padi 2025'!A51)</f>
        <v/>
      </c>
      <c r="B49" s="32" t="str">
        <f>IF('1.1 Produksi Bersih Padi 2025'!B51="","",'1.1 Produksi Bersih Padi 2025'!B51)</f>
        <v/>
      </c>
      <c r="C49" s="32" t="str">
        <f>IF('1.1 Produksi Bersih Padi 2025'!C51="","",'1.1 Produksi Bersih Padi 2025'!C51)</f>
        <v/>
      </c>
      <c r="D49" s="3" t="str">
        <f>IF('1.1 Produksi Bersih Padi 2025'!D51="","",'1.1 Produksi Bersih Padi 2025'!D51)</f>
        <v/>
      </c>
      <c r="E49" s="3" t="str">
        <f>IF('1.1 Produksi Bersih Padi 2025'!E51="","",'1.1 Produksi Bersih Padi 2025'!E51)</f>
        <v/>
      </c>
      <c r="F49" s="13" t="str">
        <f>'1.1 Produksi Bersih Padi 2025'!Q51</f>
        <v/>
      </c>
      <c r="G49" s="13" t="str">
        <f>'1.2 Produksi Bersih Jagung 2025'!L51</f>
        <v/>
      </c>
      <c r="H49" s="13" t="str">
        <f>'1.3 Prod Bersih Ubi Kayu 2025'!K51</f>
        <v/>
      </c>
      <c r="I49" s="13" t="str">
        <f>'1.4 Prod Bersih Ubi Jalar 2025'!K51</f>
        <v/>
      </c>
      <c r="J49" s="13" t="str">
        <f>'1.5 Prod Bersih Sagu 2025'!K51</f>
        <v/>
      </c>
      <c r="K49" s="13" t="str">
        <f>'1.6 Prod Bersih Pisang 2025'!K51</f>
        <v/>
      </c>
      <c r="L49" s="15">
        <f t="shared" si="0"/>
        <v>0</v>
      </c>
      <c r="M49" s="14" t="str">
        <f>IF(D49="","",VLOOKUP(D49,'[1]0.1 Produksi Pangan &amp; Penduduk'!$D$5:$AU$704,44,0))</f>
        <v/>
      </c>
      <c r="N49" s="26" t="str">
        <f t="shared" si="1"/>
        <v/>
      </c>
      <c r="O49" s="16"/>
      <c r="P49" s="25" t="str">
        <f t="shared" si="2"/>
        <v/>
      </c>
      <c r="Q49" s="8"/>
      <c r="R49" s="11"/>
    </row>
    <row r="50" spans="1:18" ht="15" x14ac:dyDescent="0.25">
      <c r="A50" s="3" t="str">
        <f>IF('1.1 Produksi Bersih Padi 2025'!A52="","",'1.1 Produksi Bersih Padi 2025'!A52)</f>
        <v/>
      </c>
      <c r="B50" s="32" t="str">
        <f>IF('1.1 Produksi Bersih Padi 2025'!B52="","",'1.1 Produksi Bersih Padi 2025'!B52)</f>
        <v/>
      </c>
      <c r="C50" s="32" t="str">
        <f>IF('1.1 Produksi Bersih Padi 2025'!C52="","",'1.1 Produksi Bersih Padi 2025'!C52)</f>
        <v/>
      </c>
      <c r="D50" s="3" t="str">
        <f>IF('1.1 Produksi Bersih Padi 2025'!D52="","",'1.1 Produksi Bersih Padi 2025'!D52)</f>
        <v/>
      </c>
      <c r="E50" s="3" t="str">
        <f>IF('1.1 Produksi Bersih Padi 2025'!E52="","",'1.1 Produksi Bersih Padi 2025'!E52)</f>
        <v/>
      </c>
      <c r="F50" s="13" t="str">
        <f>'1.1 Produksi Bersih Padi 2025'!Q52</f>
        <v/>
      </c>
      <c r="G50" s="13" t="str">
        <f>'1.2 Produksi Bersih Jagung 2025'!L52</f>
        <v/>
      </c>
      <c r="H50" s="13" t="str">
        <f>'1.3 Prod Bersih Ubi Kayu 2025'!K52</f>
        <v/>
      </c>
      <c r="I50" s="13" t="str">
        <f>'1.4 Prod Bersih Ubi Jalar 2025'!K52</f>
        <v/>
      </c>
      <c r="J50" s="13" t="str">
        <f>'1.5 Prod Bersih Sagu 2025'!K52</f>
        <v/>
      </c>
      <c r="K50" s="13" t="str">
        <f>'1.6 Prod Bersih Pisang 2025'!K52</f>
        <v/>
      </c>
      <c r="L50" s="15">
        <f t="shared" si="0"/>
        <v>0</v>
      </c>
      <c r="M50" s="14" t="str">
        <f>IF(D50="","",VLOOKUP(D50,'[1]0.1 Produksi Pangan &amp; Penduduk'!$D$5:$AU$704,44,0))</f>
        <v/>
      </c>
      <c r="N50" s="26" t="str">
        <f t="shared" si="1"/>
        <v/>
      </c>
      <c r="O50" s="16"/>
      <c r="P50" s="25" t="str">
        <f t="shared" si="2"/>
        <v/>
      </c>
      <c r="Q50" s="8"/>
      <c r="R50" s="11"/>
    </row>
    <row r="51" spans="1:18" ht="15" x14ac:dyDescent="0.25">
      <c r="A51" s="3" t="str">
        <f>IF('1.1 Produksi Bersih Padi 2025'!A53="","",'1.1 Produksi Bersih Padi 2025'!A53)</f>
        <v/>
      </c>
      <c r="B51" s="32" t="str">
        <f>IF('1.1 Produksi Bersih Padi 2025'!B53="","",'1.1 Produksi Bersih Padi 2025'!B53)</f>
        <v/>
      </c>
      <c r="C51" s="32" t="str">
        <f>IF('1.1 Produksi Bersih Padi 2025'!C53="","",'1.1 Produksi Bersih Padi 2025'!C53)</f>
        <v/>
      </c>
      <c r="D51" s="3" t="str">
        <f>IF('1.1 Produksi Bersih Padi 2025'!D53="","",'1.1 Produksi Bersih Padi 2025'!D53)</f>
        <v/>
      </c>
      <c r="E51" s="3" t="str">
        <f>IF('1.1 Produksi Bersih Padi 2025'!E53="","",'1.1 Produksi Bersih Padi 2025'!E53)</f>
        <v/>
      </c>
      <c r="F51" s="13" t="str">
        <f>'1.1 Produksi Bersih Padi 2025'!Q53</f>
        <v/>
      </c>
      <c r="G51" s="13" t="str">
        <f>'1.2 Produksi Bersih Jagung 2025'!L53</f>
        <v/>
      </c>
      <c r="H51" s="13" t="str">
        <f>'1.3 Prod Bersih Ubi Kayu 2025'!K53</f>
        <v/>
      </c>
      <c r="I51" s="13" t="str">
        <f>'1.4 Prod Bersih Ubi Jalar 2025'!K53</f>
        <v/>
      </c>
      <c r="J51" s="13" t="str">
        <f>'1.5 Prod Bersih Sagu 2025'!K53</f>
        <v/>
      </c>
      <c r="K51" s="13" t="str">
        <f>'1.6 Prod Bersih Pisang 2025'!K53</f>
        <v/>
      </c>
      <c r="L51" s="15">
        <f t="shared" si="0"/>
        <v>0</v>
      </c>
      <c r="M51" s="14" t="str">
        <f>IF(D51="","",VLOOKUP(D51,'[1]0.1 Produksi Pangan &amp; Penduduk'!$D$5:$AU$704,44,0))</f>
        <v/>
      </c>
      <c r="N51" s="26" t="str">
        <f t="shared" si="1"/>
        <v/>
      </c>
      <c r="O51" s="16"/>
      <c r="P51" s="25" t="str">
        <f t="shared" si="2"/>
        <v/>
      </c>
      <c r="Q51" s="8"/>
      <c r="R51" s="11"/>
    </row>
    <row r="52" spans="1:18" ht="15" x14ac:dyDescent="0.25">
      <c r="A52" s="3" t="str">
        <f>IF('1.1 Produksi Bersih Padi 2025'!A54="","",'1.1 Produksi Bersih Padi 2025'!A54)</f>
        <v/>
      </c>
      <c r="B52" s="32" t="str">
        <f>IF('1.1 Produksi Bersih Padi 2025'!B54="","",'1.1 Produksi Bersih Padi 2025'!B54)</f>
        <v/>
      </c>
      <c r="C52" s="32" t="str">
        <f>IF('1.1 Produksi Bersih Padi 2025'!C54="","",'1.1 Produksi Bersih Padi 2025'!C54)</f>
        <v/>
      </c>
      <c r="D52" s="3" t="str">
        <f>IF('1.1 Produksi Bersih Padi 2025'!D54="","",'1.1 Produksi Bersih Padi 2025'!D54)</f>
        <v/>
      </c>
      <c r="E52" s="3" t="str">
        <f>IF('1.1 Produksi Bersih Padi 2025'!E54="","",'1.1 Produksi Bersih Padi 2025'!E54)</f>
        <v/>
      </c>
      <c r="F52" s="13" t="str">
        <f>'1.1 Produksi Bersih Padi 2025'!Q54</f>
        <v/>
      </c>
      <c r="G52" s="13" t="str">
        <f>'1.2 Produksi Bersih Jagung 2025'!L54</f>
        <v/>
      </c>
      <c r="H52" s="13" t="str">
        <f>'1.3 Prod Bersih Ubi Kayu 2025'!K54</f>
        <v/>
      </c>
      <c r="I52" s="13" t="str">
        <f>'1.4 Prod Bersih Ubi Jalar 2025'!K54</f>
        <v/>
      </c>
      <c r="J52" s="13" t="str">
        <f>'1.5 Prod Bersih Sagu 2025'!K54</f>
        <v/>
      </c>
      <c r="K52" s="13" t="str">
        <f>'1.6 Prod Bersih Pisang 2025'!K54</f>
        <v/>
      </c>
      <c r="L52" s="15">
        <f t="shared" si="0"/>
        <v>0</v>
      </c>
      <c r="M52" s="14" t="str">
        <f>IF(D52="","",VLOOKUP(D52,'[1]0.1 Produksi Pangan &amp; Penduduk'!$D$5:$AU$704,44,0))</f>
        <v/>
      </c>
      <c r="N52" s="26" t="str">
        <f t="shared" si="1"/>
        <v/>
      </c>
      <c r="O52" s="16"/>
      <c r="P52" s="25" t="str">
        <f t="shared" si="2"/>
        <v/>
      </c>
      <c r="Q52" s="8"/>
      <c r="R52" s="11"/>
    </row>
    <row r="53" spans="1:18" ht="15" x14ac:dyDescent="0.25">
      <c r="A53" s="3" t="str">
        <f>IF('1.1 Produksi Bersih Padi 2025'!A55="","",'1.1 Produksi Bersih Padi 2025'!A55)</f>
        <v/>
      </c>
      <c r="B53" s="32" t="str">
        <f>IF('1.1 Produksi Bersih Padi 2025'!B55="","",'1.1 Produksi Bersih Padi 2025'!B55)</f>
        <v/>
      </c>
      <c r="C53" s="32" t="str">
        <f>IF('1.1 Produksi Bersih Padi 2025'!C55="","",'1.1 Produksi Bersih Padi 2025'!C55)</f>
        <v/>
      </c>
      <c r="D53" s="3" t="str">
        <f>IF('1.1 Produksi Bersih Padi 2025'!D55="","",'1.1 Produksi Bersih Padi 2025'!D55)</f>
        <v/>
      </c>
      <c r="E53" s="3" t="str">
        <f>IF('1.1 Produksi Bersih Padi 2025'!E55="","",'1.1 Produksi Bersih Padi 2025'!E55)</f>
        <v/>
      </c>
      <c r="F53" s="13" t="str">
        <f>'1.1 Produksi Bersih Padi 2025'!Q55</f>
        <v/>
      </c>
      <c r="G53" s="13" t="str">
        <f>'1.2 Produksi Bersih Jagung 2025'!L55</f>
        <v/>
      </c>
      <c r="H53" s="13" t="str">
        <f>'1.3 Prod Bersih Ubi Kayu 2025'!K55</f>
        <v/>
      </c>
      <c r="I53" s="13" t="str">
        <f>'1.4 Prod Bersih Ubi Jalar 2025'!K55</f>
        <v/>
      </c>
      <c r="J53" s="13" t="str">
        <f>'1.5 Prod Bersih Sagu 2025'!K55</f>
        <v/>
      </c>
      <c r="K53" s="13" t="str">
        <f>'1.6 Prod Bersih Pisang 2025'!K55</f>
        <v/>
      </c>
      <c r="L53" s="15">
        <f t="shared" si="0"/>
        <v>0</v>
      </c>
      <c r="M53" s="14" t="str">
        <f>IF(D53="","",VLOOKUP(D53,'[1]0.1 Produksi Pangan &amp; Penduduk'!$D$5:$AU$704,44,0))</f>
        <v/>
      </c>
      <c r="N53" s="26" t="str">
        <f t="shared" si="1"/>
        <v/>
      </c>
      <c r="O53" s="16"/>
      <c r="P53" s="25" t="str">
        <f t="shared" si="2"/>
        <v/>
      </c>
      <c r="Q53" s="8"/>
      <c r="R53" s="11"/>
    </row>
    <row r="54" spans="1:18" ht="15" x14ac:dyDescent="0.25">
      <c r="A54" s="3" t="str">
        <f>IF('1.1 Produksi Bersih Padi 2025'!A56="","",'1.1 Produksi Bersih Padi 2025'!A56)</f>
        <v/>
      </c>
      <c r="B54" s="32" t="str">
        <f>IF('1.1 Produksi Bersih Padi 2025'!B56="","",'1.1 Produksi Bersih Padi 2025'!B56)</f>
        <v/>
      </c>
      <c r="C54" s="32" t="str">
        <f>IF('1.1 Produksi Bersih Padi 2025'!C56="","",'1.1 Produksi Bersih Padi 2025'!C56)</f>
        <v/>
      </c>
      <c r="D54" s="3" t="str">
        <f>IF('1.1 Produksi Bersih Padi 2025'!D56="","",'1.1 Produksi Bersih Padi 2025'!D56)</f>
        <v/>
      </c>
      <c r="E54" s="3" t="str">
        <f>IF('1.1 Produksi Bersih Padi 2025'!E56="","",'1.1 Produksi Bersih Padi 2025'!E56)</f>
        <v/>
      </c>
      <c r="F54" s="13" t="str">
        <f>'1.1 Produksi Bersih Padi 2025'!Q56</f>
        <v/>
      </c>
      <c r="G54" s="13" t="str">
        <f>'1.2 Produksi Bersih Jagung 2025'!L56</f>
        <v/>
      </c>
      <c r="H54" s="13" t="str">
        <f>'1.3 Prod Bersih Ubi Kayu 2025'!K56</f>
        <v/>
      </c>
      <c r="I54" s="13" t="str">
        <f>'1.4 Prod Bersih Ubi Jalar 2025'!K56</f>
        <v/>
      </c>
      <c r="J54" s="13" t="str">
        <f>'1.5 Prod Bersih Sagu 2025'!K56</f>
        <v/>
      </c>
      <c r="K54" s="13" t="str">
        <f>'1.6 Prod Bersih Pisang 2025'!K56</f>
        <v/>
      </c>
      <c r="L54" s="15">
        <f t="shared" si="0"/>
        <v>0</v>
      </c>
      <c r="M54" s="14" t="str">
        <f>IF(D54="","",VLOOKUP(D54,'[1]0.1 Produksi Pangan &amp; Penduduk'!$D$5:$AU$704,44,0))</f>
        <v/>
      </c>
      <c r="N54" s="26" t="str">
        <f t="shared" si="1"/>
        <v/>
      </c>
      <c r="O54" s="16"/>
      <c r="P54" s="25" t="str">
        <f t="shared" si="2"/>
        <v/>
      </c>
      <c r="Q54" s="8"/>
      <c r="R54" s="11"/>
    </row>
    <row r="55" spans="1:18" ht="15" x14ac:dyDescent="0.25">
      <c r="A55" s="3" t="str">
        <f>IF('1.1 Produksi Bersih Padi 2025'!A57="","",'1.1 Produksi Bersih Padi 2025'!A57)</f>
        <v/>
      </c>
      <c r="B55" s="32" t="str">
        <f>IF('1.1 Produksi Bersih Padi 2025'!B57="","",'1.1 Produksi Bersih Padi 2025'!B57)</f>
        <v/>
      </c>
      <c r="C55" s="32" t="str">
        <f>IF('1.1 Produksi Bersih Padi 2025'!C57="","",'1.1 Produksi Bersih Padi 2025'!C57)</f>
        <v/>
      </c>
      <c r="D55" s="3" t="str">
        <f>IF('1.1 Produksi Bersih Padi 2025'!D57="","",'1.1 Produksi Bersih Padi 2025'!D57)</f>
        <v/>
      </c>
      <c r="E55" s="3" t="str">
        <f>IF('1.1 Produksi Bersih Padi 2025'!E57="","",'1.1 Produksi Bersih Padi 2025'!E57)</f>
        <v/>
      </c>
      <c r="F55" s="13" t="str">
        <f>'1.1 Produksi Bersih Padi 2025'!Q57</f>
        <v/>
      </c>
      <c r="G55" s="13" t="str">
        <f>'1.2 Produksi Bersih Jagung 2025'!L57</f>
        <v/>
      </c>
      <c r="H55" s="13" t="str">
        <f>'1.3 Prod Bersih Ubi Kayu 2025'!K57</f>
        <v/>
      </c>
      <c r="I55" s="13" t="str">
        <f>'1.4 Prod Bersih Ubi Jalar 2025'!K57</f>
        <v/>
      </c>
      <c r="J55" s="13" t="str">
        <f>'1.5 Prod Bersih Sagu 2025'!K57</f>
        <v/>
      </c>
      <c r="K55" s="13" t="str">
        <f>'1.6 Prod Bersih Pisang 2025'!K57</f>
        <v/>
      </c>
      <c r="L55" s="15">
        <f t="shared" si="0"/>
        <v>0</v>
      </c>
      <c r="M55" s="14" t="str">
        <f>IF(D55="","",VLOOKUP(D55,'[1]0.1 Produksi Pangan &amp; Penduduk'!$D$5:$AU$704,44,0))</f>
        <v/>
      </c>
      <c r="N55" s="26" t="str">
        <f t="shared" si="1"/>
        <v/>
      </c>
      <c r="O55" s="16"/>
      <c r="P55" s="25" t="str">
        <f t="shared" si="2"/>
        <v/>
      </c>
      <c r="Q55" s="8"/>
      <c r="R55" s="11"/>
    </row>
    <row r="56" spans="1:18" ht="15" x14ac:dyDescent="0.25">
      <c r="A56" s="3" t="str">
        <f>IF('1.1 Produksi Bersih Padi 2025'!A58="","",'1.1 Produksi Bersih Padi 2025'!A58)</f>
        <v/>
      </c>
      <c r="B56" s="32" t="str">
        <f>IF('1.1 Produksi Bersih Padi 2025'!B58="","",'1.1 Produksi Bersih Padi 2025'!B58)</f>
        <v/>
      </c>
      <c r="C56" s="32" t="str">
        <f>IF('1.1 Produksi Bersih Padi 2025'!C58="","",'1.1 Produksi Bersih Padi 2025'!C58)</f>
        <v/>
      </c>
      <c r="D56" s="3" t="str">
        <f>IF('1.1 Produksi Bersih Padi 2025'!D58="","",'1.1 Produksi Bersih Padi 2025'!D58)</f>
        <v/>
      </c>
      <c r="E56" s="3" t="str">
        <f>IF('1.1 Produksi Bersih Padi 2025'!E58="","",'1.1 Produksi Bersih Padi 2025'!E58)</f>
        <v/>
      </c>
      <c r="F56" s="13" t="str">
        <f>'1.1 Produksi Bersih Padi 2025'!Q58</f>
        <v/>
      </c>
      <c r="G56" s="13" t="str">
        <f>'1.2 Produksi Bersih Jagung 2025'!L58</f>
        <v/>
      </c>
      <c r="H56" s="13" t="str">
        <f>'1.3 Prod Bersih Ubi Kayu 2025'!K58</f>
        <v/>
      </c>
      <c r="I56" s="13" t="str">
        <f>'1.4 Prod Bersih Ubi Jalar 2025'!K58</f>
        <v/>
      </c>
      <c r="J56" s="13" t="str">
        <f>'1.5 Prod Bersih Sagu 2025'!K58</f>
        <v/>
      </c>
      <c r="K56" s="13" t="str">
        <f>'1.6 Prod Bersih Pisang 2025'!K58</f>
        <v/>
      </c>
      <c r="L56" s="15">
        <f t="shared" si="0"/>
        <v>0</v>
      </c>
      <c r="M56" s="14" t="str">
        <f>IF(D56="","",VLOOKUP(D56,'[1]0.1 Produksi Pangan &amp; Penduduk'!$D$5:$AU$704,44,0))</f>
        <v/>
      </c>
      <c r="N56" s="26" t="str">
        <f t="shared" si="1"/>
        <v/>
      </c>
      <c r="O56" s="16"/>
      <c r="P56" s="25" t="str">
        <f t="shared" si="2"/>
        <v/>
      </c>
      <c r="Q56" s="8"/>
      <c r="R56" s="11"/>
    </row>
    <row r="57" spans="1:18" ht="15" x14ac:dyDescent="0.25">
      <c r="A57" s="3" t="str">
        <f>IF('1.1 Produksi Bersih Padi 2025'!A59="","",'1.1 Produksi Bersih Padi 2025'!A59)</f>
        <v/>
      </c>
      <c r="B57" s="32" t="str">
        <f>IF('1.1 Produksi Bersih Padi 2025'!B59="","",'1.1 Produksi Bersih Padi 2025'!B59)</f>
        <v/>
      </c>
      <c r="C57" s="32" t="str">
        <f>IF('1.1 Produksi Bersih Padi 2025'!C59="","",'1.1 Produksi Bersih Padi 2025'!C59)</f>
        <v/>
      </c>
      <c r="D57" s="3" t="str">
        <f>IF('1.1 Produksi Bersih Padi 2025'!D59="","",'1.1 Produksi Bersih Padi 2025'!D59)</f>
        <v/>
      </c>
      <c r="E57" s="3" t="str">
        <f>IF('1.1 Produksi Bersih Padi 2025'!E59="","",'1.1 Produksi Bersih Padi 2025'!E59)</f>
        <v/>
      </c>
      <c r="F57" s="13" t="str">
        <f>'1.1 Produksi Bersih Padi 2025'!Q59</f>
        <v/>
      </c>
      <c r="G57" s="13" t="str">
        <f>'1.2 Produksi Bersih Jagung 2025'!L59</f>
        <v/>
      </c>
      <c r="H57" s="13" t="str">
        <f>'1.3 Prod Bersih Ubi Kayu 2025'!K59</f>
        <v/>
      </c>
      <c r="I57" s="13" t="str">
        <f>'1.4 Prod Bersih Ubi Jalar 2025'!K59</f>
        <v/>
      </c>
      <c r="J57" s="13" t="str">
        <f>'1.5 Prod Bersih Sagu 2025'!K59</f>
        <v/>
      </c>
      <c r="K57" s="13" t="str">
        <f>'1.6 Prod Bersih Pisang 2025'!K59</f>
        <v/>
      </c>
      <c r="L57" s="15">
        <f t="shared" si="0"/>
        <v>0</v>
      </c>
      <c r="M57" s="14" t="str">
        <f>IF(D57="","",VLOOKUP(D57,'[1]0.1 Produksi Pangan &amp; Penduduk'!$D$5:$AU$704,44,0))</f>
        <v/>
      </c>
      <c r="N57" s="26" t="str">
        <f t="shared" si="1"/>
        <v/>
      </c>
      <c r="O57" s="16"/>
      <c r="P57" s="25" t="str">
        <f t="shared" si="2"/>
        <v/>
      </c>
      <c r="Q57" s="8"/>
      <c r="R57" s="11"/>
    </row>
    <row r="58" spans="1:18" ht="15" x14ac:dyDescent="0.25">
      <c r="A58" s="3" t="str">
        <f>IF('1.1 Produksi Bersih Padi 2025'!A60="","",'1.1 Produksi Bersih Padi 2025'!A60)</f>
        <v/>
      </c>
      <c r="B58" s="32" t="str">
        <f>IF('1.1 Produksi Bersih Padi 2025'!B60="","",'1.1 Produksi Bersih Padi 2025'!B60)</f>
        <v/>
      </c>
      <c r="C58" s="32" t="str">
        <f>IF('1.1 Produksi Bersih Padi 2025'!C60="","",'1.1 Produksi Bersih Padi 2025'!C60)</f>
        <v/>
      </c>
      <c r="D58" s="3" t="str">
        <f>IF('1.1 Produksi Bersih Padi 2025'!D60="","",'1.1 Produksi Bersih Padi 2025'!D60)</f>
        <v/>
      </c>
      <c r="E58" s="3" t="str">
        <f>IF('1.1 Produksi Bersih Padi 2025'!E60="","",'1.1 Produksi Bersih Padi 2025'!E60)</f>
        <v/>
      </c>
      <c r="F58" s="13" t="str">
        <f>'1.1 Produksi Bersih Padi 2025'!Q60</f>
        <v/>
      </c>
      <c r="G58" s="13" t="str">
        <f>'1.2 Produksi Bersih Jagung 2025'!L60</f>
        <v/>
      </c>
      <c r="H58" s="13" t="str">
        <f>'1.3 Prod Bersih Ubi Kayu 2025'!K60</f>
        <v/>
      </c>
      <c r="I58" s="13" t="str">
        <f>'1.4 Prod Bersih Ubi Jalar 2025'!K60</f>
        <v/>
      </c>
      <c r="J58" s="13" t="str">
        <f>'1.5 Prod Bersih Sagu 2025'!K60</f>
        <v/>
      </c>
      <c r="K58" s="13" t="str">
        <f>'1.6 Prod Bersih Pisang 2025'!K60</f>
        <v/>
      </c>
      <c r="L58" s="15">
        <f t="shared" si="0"/>
        <v>0</v>
      </c>
      <c r="M58" s="14" t="str">
        <f>IF(D58="","",VLOOKUP(D58,'[1]0.1 Produksi Pangan &amp; Penduduk'!$D$5:$AU$704,44,0))</f>
        <v/>
      </c>
      <c r="N58" s="26" t="str">
        <f t="shared" si="1"/>
        <v/>
      </c>
      <c r="O58" s="16"/>
      <c r="P58" s="25" t="str">
        <f t="shared" si="2"/>
        <v/>
      </c>
      <c r="Q58" s="8"/>
      <c r="R58" s="11"/>
    </row>
    <row r="59" spans="1:18" ht="15" x14ac:dyDescent="0.25">
      <c r="A59" s="3" t="str">
        <f>IF('1.1 Produksi Bersih Padi 2025'!A61="","",'1.1 Produksi Bersih Padi 2025'!A61)</f>
        <v/>
      </c>
      <c r="B59" s="32" t="str">
        <f>IF('1.1 Produksi Bersih Padi 2025'!B61="","",'1.1 Produksi Bersih Padi 2025'!B61)</f>
        <v/>
      </c>
      <c r="C59" s="32" t="str">
        <f>IF('1.1 Produksi Bersih Padi 2025'!C61="","",'1.1 Produksi Bersih Padi 2025'!C61)</f>
        <v/>
      </c>
      <c r="D59" s="3" t="str">
        <f>IF('1.1 Produksi Bersih Padi 2025'!D61="","",'1.1 Produksi Bersih Padi 2025'!D61)</f>
        <v/>
      </c>
      <c r="E59" s="3" t="str">
        <f>IF('1.1 Produksi Bersih Padi 2025'!E61="","",'1.1 Produksi Bersih Padi 2025'!E61)</f>
        <v/>
      </c>
      <c r="F59" s="13" t="str">
        <f>'1.1 Produksi Bersih Padi 2025'!Q61</f>
        <v/>
      </c>
      <c r="G59" s="13" t="str">
        <f>'1.2 Produksi Bersih Jagung 2025'!L61</f>
        <v/>
      </c>
      <c r="H59" s="13" t="str">
        <f>'1.3 Prod Bersih Ubi Kayu 2025'!K61</f>
        <v/>
      </c>
      <c r="I59" s="13" t="str">
        <f>'1.4 Prod Bersih Ubi Jalar 2025'!K61</f>
        <v/>
      </c>
      <c r="J59" s="13" t="str">
        <f>'1.5 Prod Bersih Sagu 2025'!K61</f>
        <v/>
      </c>
      <c r="K59" s="13" t="str">
        <f>'1.6 Prod Bersih Pisang 2025'!K61</f>
        <v/>
      </c>
      <c r="L59" s="15">
        <f t="shared" si="0"/>
        <v>0</v>
      </c>
      <c r="M59" s="14" t="str">
        <f>IF(D59="","",VLOOKUP(D59,'[1]0.1 Produksi Pangan &amp; Penduduk'!$D$5:$AU$704,44,0))</f>
        <v/>
      </c>
      <c r="N59" s="26" t="str">
        <f t="shared" si="1"/>
        <v/>
      </c>
      <c r="O59" s="16"/>
      <c r="P59" s="25" t="str">
        <f t="shared" si="2"/>
        <v/>
      </c>
      <c r="Q59" s="8"/>
      <c r="R59" s="11"/>
    </row>
    <row r="60" spans="1:18" ht="15" x14ac:dyDescent="0.25">
      <c r="A60" s="3" t="str">
        <f>IF('1.1 Produksi Bersih Padi 2025'!A62="","",'1.1 Produksi Bersih Padi 2025'!A62)</f>
        <v/>
      </c>
      <c r="B60" s="32" t="str">
        <f>IF('1.1 Produksi Bersih Padi 2025'!B62="","",'1.1 Produksi Bersih Padi 2025'!B62)</f>
        <v/>
      </c>
      <c r="C60" s="32" t="str">
        <f>IF('1.1 Produksi Bersih Padi 2025'!C62="","",'1.1 Produksi Bersih Padi 2025'!C62)</f>
        <v/>
      </c>
      <c r="D60" s="3" t="str">
        <f>IF('1.1 Produksi Bersih Padi 2025'!D62="","",'1.1 Produksi Bersih Padi 2025'!D62)</f>
        <v/>
      </c>
      <c r="E60" s="3" t="str">
        <f>IF('1.1 Produksi Bersih Padi 2025'!E62="","",'1.1 Produksi Bersih Padi 2025'!E62)</f>
        <v/>
      </c>
      <c r="F60" s="13" t="str">
        <f>'1.1 Produksi Bersih Padi 2025'!Q62</f>
        <v/>
      </c>
      <c r="G60" s="13" t="str">
        <f>'1.2 Produksi Bersih Jagung 2025'!L62</f>
        <v/>
      </c>
      <c r="H60" s="13" t="str">
        <f>'1.3 Prod Bersih Ubi Kayu 2025'!K62</f>
        <v/>
      </c>
      <c r="I60" s="13" t="str">
        <f>'1.4 Prod Bersih Ubi Jalar 2025'!K62</f>
        <v/>
      </c>
      <c r="J60" s="13" t="str">
        <f>'1.5 Prod Bersih Sagu 2025'!K62</f>
        <v/>
      </c>
      <c r="K60" s="13" t="str">
        <f>'1.6 Prod Bersih Pisang 2025'!K62</f>
        <v/>
      </c>
      <c r="L60" s="15">
        <f t="shared" si="0"/>
        <v>0</v>
      </c>
      <c r="M60" s="14" t="str">
        <f>IF(D60="","",VLOOKUP(D60,'[1]0.1 Produksi Pangan &amp; Penduduk'!$D$5:$AU$704,44,0))</f>
        <v/>
      </c>
      <c r="N60" s="26" t="str">
        <f t="shared" si="1"/>
        <v/>
      </c>
      <c r="O60" s="16"/>
      <c r="P60" s="25" t="str">
        <f t="shared" si="2"/>
        <v/>
      </c>
      <c r="Q60" s="8"/>
      <c r="R60" s="11"/>
    </row>
    <row r="61" spans="1:18" ht="15" x14ac:dyDescent="0.25">
      <c r="A61" s="3" t="str">
        <f>IF('1.1 Produksi Bersih Padi 2025'!A63="","",'1.1 Produksi Bersih Padi 2025'!A63)</f>
        <v/>
      </c>
      <c r="B61" s="32" t="str">
        <f>IF('1.1 Produksi Bersih Padi 2025'!B63="","",'1.1 Produksi Bersih Padi 2025'!B63)</f>
        <v/>
      </c>
      <c r="C61" s="32" t="str">
        <f>IF('1.1 Produksi Bersih Padi 2025'!C63="","",'1.1 Produksi Bersih Padi 2025'!C63)</f>
        <v/>
      </c>
      <c r="D61" s="3" t="str">
        <f>IF('1.1 Produksi Bersih Padi 2025'!D63="","",'1.1 Produksi Bersih Padi 2025'!D63)</f>
        <v/>
      </c>
      <c r="E61" s="3" t="str">
        <f>IF('1.1 Produksi Bersih Padi 2025'!E63="","",'1.1 Produksi Bersih Padi 2025'!E63)</f>
        <v/>
      </c>
      <c r="F61" s="13" t="str">
        <f>'1.1 Produksi Bersih Padi 2025'!Q63</f>
        <v/>
      </c>
      <c r="G61" s="13" t="str">
        <f>'1.2 Produksi Bersih Jagung 2025'!L63</f>
        <v/>
      </c>
      <c r="H61" s="13" t="str">
        <f>'1.3 Prod Bersih Ubi Kayu 2025'!K63</f>
        <v/>
      </c>
      <c r="I61" s="13" t="str">
        <f>'1.4 Prod Bersih Ubi Jalar 2025'!K63</f>
        <v/>
      </c>
      <c r="J61" s="13" t="str">
        <f>'1.5 Prod Bersih Sagu 2025'!K63</f>
        <v/>
      </c>
      <c r="K61" s="13" t="str">
        <f>'1.6 Prod Bersih Pisang 2025'!K63</f>
        <v/>
      </c>
      <c r="L61" s="15">
        <f t="shared" si="0"/>
        <v>0</v>
      </c>
      <c r="M61" s="14" t="str">
        <f>IF(D61="","",VLOOKUP(D61,'[1]0.1 Produksi Pangan &amp; Penduduk'!$D$5:$AU$704,44,0))</f>
        <v/>
      </c>
      <c r="N61" s="26" t="str">
        <f t="shared" si="1"/>
        <v/>
      </c>
      <c r="O61" s="16"/>
      <c r="P61" s="25" t="str">
        <f t="shared" si="2"/>
        <v/>
      </c>
      <c r="Q61" s="8"/>
      <c r="R61" s="11"/>
    </row>
    <row r="62" spans="1:18" ht="15" x14ac:dyDescent="0.25">
      <c r="A62" s="3" t="str">
        <f>IF('1.1 Produksi Bersih Padi 2025'!A64="","",'1.1 Produksi Bersih Padi 2025'!A64)</f>
        <v/>
      </c>
      <c r="B62" s="32" t="str">
        <f>IF('1.1 Produksi Bersih Padi 2025'!B64="","",'1.1 Produksi Bersih Padi 2025'!B64)</f>
        <v/>
      </c>
      <c r="C62" s="32" t="str">
        <f>IF('1.1 Produksi Bersih Padi 2025'!C64="","",'1.1 Produksi Bersih Padi 2025'!C64)</f>
        <v/>
      </c>
      <c r="D62" s="3" t="str">
        <f>IF('1.1 Produksi Bersih Padi 2025'!D64="","",'1.1 Produksi Bersih Padi 2025'!D64)</f>
        <v/>
      </c>
      <c r="E62" s="3" t="str">
        <f>IF('1.1 Produksi Bersih Padi 2025'!E64="","",'1.1 Produksi Bersih Padi 2025'!E64)</f>
        <v/>
      </c>
      <c r="F62" s="13" t="str">
        <f>'1.1 Produksi Bersih Padi 2025'!Q64</f>
        <v/>
      </c>
      <c r="G62" s="13" t="str">
        <f>'1.2 Produksi Bersih Jagung 2025'!L64</f>
        <v/>
      </c>
      <c r="H62" s="13" t="str">
        <f>'1.3 Prod Bersih Ubi Kayu 2025'!K64</f>
        <v/>
      </c>
      <c r="I62" s="13" t="str">
        <f>'1.4 Prod Bersih Ubi Jalar 2025'!K64</f>
        <v/>
      </c>
      <c r="J62" s="13" t="str">
        <f>'1.5 Prod Bersih Sagu 2025'!K64</f>
        <v/>
      </c>
      <c r="K62" s="13" t="str">
        <f>'1.6 Prod Bersih Pisang 2025'!K64</f>
        <v/>
      </c>
      <c r="L62" s="15">
        <f t="shared" si="0"/>
        <v>0</v>
      </c>
      <c r="M62" s="14" t="str">
        <f>IF(D62="","",VLOOKUP(D62,'[1]0.1 Produksi Pangan &amp; Penduduk'!$D$5:$AU$704,44,0))</f>
        <v/>
      </c>
      <c r="N62" s="26" t="str">
        <f t="shared" si="1"/>
        <v/>
      </c>
      <c r="O62" s="16"/>
      <c r="P62" s="25" t="str">
        <f t="shared" si="2"/>
        <v/>
      </c>
      <c r="Q62" s="8"/>
      <c r="R62" s="11"/>
    </row>
    <row r="63" spans="1:18" ht="15" x14ac:dyDescent="0.25">
      <c r="A63" s="3" t="str">
        <f>IF('1.1 Produksi Bersih Padi 2025'!A65="","",'1.1 Produksi Bersih Padi 2025'!A65)</f>
        <v/>
      </c>
      <c r="B63" s="32" t="str">
        <f>IF('1.1 Produksi Bersih Padi 2025'!B65="","",'1.1 Produksi Bersih Padi 2025'!B65)</f>
        <v/>
      </c>
      <c r="C63" s="32" t="str">
        <f>IF('1.1 Produksi Bersih Padi 2025'!C65="","",'1.1 Produksi Bersih Padi 2025'!C65)</f>
        <v/>
      </c>
      <c r="D63" s="3" t="str">
        <f>IF('1.1 Produksi Bersih Padi 2025'!D65="","",'1.1 Produksi Bersih Padi 2025'!D65)</f>
        <v/>
      </c>
      <c r="E63" s="3" t="str">
        <f>IF('1.1 Produksi Bersih Padi 2025'!E65="","",'1.1 Produksi Bersih Padi 2025'!E65)</f>
        <v/>
      </c>
      <c r="F63" s="13" t="str">
        <f>'1.1 Produksi Bersih Padi 2025'!Q65</f>
        <v/>
      </c>
      <c r="G63" s="13" t="str">
        <f>'1.2 Produksi Bersih Jagung 2025'!L65</f>
        <v/>
      </c>
      <c r="H63" s="13" t="str">
        <f>'1.3 Prod Bersih Ubi Kayu 2025'!K65</f>
        <v/>
      </c>
      <c r="I63" s="13" t="str">
        <f>'1.4 Prod Bersih Ubi Jalar 2025'!K65</f>
        <v/>
      </c>
      <c r="J63" s="13" t="str">
        <f>'1.5 Prod Bersih Sagu 2025'!K65</f>
        <v/>
      </c>
      <c r="K63" s="13" t="str">
        <f>'1.6 Prod Bersih Pisang 2025'!K65</f>
        <v/>
      </c>
      <c r="L63" s="15">
        <f t="shared" si="0"/>
        <v>0</v>
      </c>
      <c r="M63" s="14" t="str">
        <f>IF(D63="","",VLOOKUP(D63,'[1]0.1 Produksi Pangan &amp; Penduduk'!$D$5:$AU$704,44,0))</f>
        <v/>
      </c>
      <c r="N63" s="26" t="str">
        <f t="shared" si="1"/>
        <v/>
      </c>
      <c r="O63" s="16"/>
      <c r="P63" s="25" t="str">
        <f t="shared" si="2"/>
        <v/>
      </c>
      <c r="Q63" s="8"/>
      <c r="R63" s="11"/>
    </row>
    <row r="64" spans="1:18" ht="15" x14ac:dyDescent="0.25">
      <c r="A64" s="3" t="str">
        <f>IF('1.1 Produksi Bersih Padi 2025'!A66="","",'1.1 Produksi Bersih Padi 2025'!A66)</f>
        <v/>
      </c>
      <c r="B64" s="32" t="str">
        <f>IF('1.1 Produksi Bersih Padi 2025'!B66="","",'1.1 Produksi Bersih Padi 2025'!B66)</f>
        <v/>
      </c>
      <c r="C64" s="32" t="str">
        <f>IF('1.1 Produksi Bersih Padi 2025'!C66="","",'1.1 Produksi Bersih Padi 2025'!C66)</f>
        <v/>
      </c>
      <c r="D64" s="3" t="str">
        <f>IF('1.1 Produksi Bersih Padi 2025'!D66="","",'1.1 Produksi Bersih Padi 2025'!D66)</f>
        <v/>
      </c>
      <c r="E64" s="3" t="str">
        <f>IF('1.1 Produksi Bersih Padi 2025'!E66="","",'1.1 Produksi Bersih Padi 2025'!E66)</f>
        <v/>
      </c>
      <c r="F64" s="13" t="str">
        <f>'1.1 Produksi Bersih Padi 2025'!Q66</f>
        <v/>
      </c>
      <c r="G64" s="13" t="str">
        <f>'1.2 Produksi Bersih Jagung 2025'!L66</f>
        <v/>
      </c>
      <c r="H64" s="13" t="str">
        <f>'1.3 Prod Bersih Ubi Kayu 2025'!K66</f>
        <v/>
      </c>
      <c r="I64" s="13" t="str">
        <f>'1.4 Prod Bersih Ubi Jalar 2025'!K66</f>
        <v/>
      </c>
      <c r="J64" s="13" t="str">
        <f>'1.5 Prod Bersih Sagu 2025'!K66</f>
        <v/>
      </c>
      <c r="K64" s="13" t="str">
        <f>'1.6 Prod Bersih Pisang 2025'!K66</f>
        <v/>
      </c>
      <c r="L64" s="15">
        <f t="shared" si="0"/>
        <v>0</v>
      </c>
      <c r="M64" s="14" t="str">
        <f>IF(D64="","",VLOOKUP(D64,'[1]0.1 Produksi Pangan &amp; Penduduk'!$D$5:$AU$704,44,0))</f>
        <v/>
      </c>
      <c r="N64" s="26" t="str">
        <f t="shared" si="1"/>
        <v/>
      </c>
      <c r="O64" s="16"/>
      <c r="P64" s="25" t="str">
        <f t="shared" si="2"/>
        <v/>
      </c>
      <c r="Q64" s="8"/>
      <c r="R64" s="11"/>
    </row>
    <row r="65" spans="1:18" ht="15" x14ac:dyDescent="0.25">
      <c r="A65" s="3" t="str">
        <f>IF('1.1 Produksi Bersih Padi 2025'!A67="","",'1.1 Produksi Bersih Padi 2025'!A67)</f>
        <v/>
      </c>
      <c r="B65" s="32" t="str">
        <f>IF('1.1 Produksi Bersih Padi 2025'!B67="","",'1.1 Produksi Bersih Padi 2025'!B67)</f>
        <v/>
      </c>
      <c r="C65" s="32" t="str">
        <f>IF('1.1 Produksi Bersih Padi 2025'!C67="","",'1.1 Produksi Bersih Padi 2025'!C67)</f>
        <v/>
      </c>
      <c r="D65" s="3" t="str">
        <f>IF('1.1 Produksi Bersih Padi 2025'!D67="","",'1.1 Produksi Bersih Padi 2025'!D67)</f>
        <v/>
      </c>
      <c r="E65" s="3" t="str">
        <f>IF('1.1 Produksi Bersih Padi 2025'!E67="","",'1.1 Produksi Bersih Padi 2025'!E67)</f>
        <v/>
      </c>
      <c r="F65" s="13" t="str">
        <f>'1.1 Produksi Bersih Padi 2025'!Q67</f>
        <v/>
      </c>
      <c r="G65" s="13" t="str">
        <f>'1.2 Produksi Bersih Jagung 2025'!L67</f>
        <v/>
      </c>
      <c r="H65" s="13" t="str">
        <f>'1.3 Prod Bersih Ubi Kayu 2025'!K67</f>
        <v/>
      </c>
      <c r="I65" s="13" t="str">
        <f>'1.4 Prod Bersih Ubi Jalar 2025'!K67</f>
        <v/>
      </c>
      <c r="J65" s="13" t="str">
        <f>'1.5 Prod Bersih Sagu 2025'!K67</f>
        <v/>
      </c>
      <c r="K65" s="13" t="str">
        <f>'1.6 Prod Bersih Pisang 2025'!K67</f>
        <v/>
      </c>
      <c r="L65" s="15">
        <f t="shared" si="0"/>
        <v>0</v>
      </c>
      <c r="M65" s="14" t="str">
        <f>IF(D65="","",VLOOKUP(D65,'[1]0.1 Produksi Pangan &amp; Penduduk'!$D$5:$AU$704,44,0))</f>
        <v/>
      </c>
      <c r="N65" s="26" t="str">
        <f t="shared" si="1"/>
        <v/>
      </c>
      <c r="O65" s="16"/>
      <c r="P65" s="25" t="str">
        <f t="shared" si="2"/>
        <v/>
      </c>
      <c r="Q65" s="8"/>
      <c r="R65" s="11"/>
    </row>
    <row r="66" spans="1:18" ht="15" x14ac:dyDescent="0.25">
      <c r="A66" s="3" t="str">
        <f>IF('1.1 Produksi Bersih Padi 2025'!A68="","",'1.1 Produksi Bersih Padi 2025'!A68)</f>
        <v/>
      </c>
      <c r="B66" s="32" t="str">
        <f>IF('1.1 Produksi Bersih Padi 2025'!B68="","",'1.1 Produksi Bersih Padi 2025'!B68)</f>
        <v/>
      </c>
      <c r="C66" s="32" t="str">
        <f>IF('1.1 Produksi Bersih Padi 2025'!C68="","",'1.1 Produksi Bersih Padi 2025'!C68)</f>
        <v/>
      </c>
      <c r="D66" s="3" t="str">
        <f>IF('1.1 Produksi Bersih Padi 2025'!D68="","",'1.1 Produksi Bersih Padi 2025'!D68)</f>
        <v/>
      </c>
      <c r="E66" s="3" t="str">
        <f>IF('1.1 Produksi Bersih Padi 2025'!E68="","",'1.1 Produksi Bersih Padi 2025'!E68)</f>
        <v/>
      </c>
      <c r="F66" s="13" t="str">
        <f>'1.1 Produksi Bersih Padi 2025'!Q68</f>
        <v/>
      </c>
      <c r="G66" s="13" t="str">
        <f>'1.2 Produksi Bersih Jagung 2025'!L68</f>
        <v/>
      </c>
      <c r="H66" s="13" t="str">
        <f>'1.3 Prod Bersih Ubi Kayu 2025'!K68</f>
        <v/>
      </c>
      <c r="I66" s="13" t="str">
        <f>'1.4 Prod Bersih Ubi Jalar 2025'!K68</f>
        <v/>
      </c>
      <c r="J66" s="13" t="str">
        <f>'1.5 Prod Bersih Sagu 2025'!K68</f>
        <v/>
      </c>
      <c r="K66" s="13" t="str">
        <f>'1.6 Prod Bersih Pisang 2025'!K68</f>
        <v/>
      </c>
      <c r="L66" s="15">
        <f t="shared" si="0"/>
        <v>0</v>
      </c>
      <c r="M66" s="14" t="str">
        <f>IF(D66="","",VLOOKUP(D66,'[1]0.1 Produksi Pangan &amp; Penduduk'!$D$5:$AU$704,44,0))</f>
        <v/>
      </c>
      <c r="N66" s="26" t="str">
        <f t="shared" si="1"/>
        <v/>
      </c>
      <c r="O66" s="16"/>
      <c r="P66" s="25" t="str">
        <f t="shared" si="2"/>
        <v/>
      </c>
      <c r="Q66" s="8"/>
      <c r="R66" s="11"/>
    </row>
    <row r="67" spans="1:18" ht="15" x14ac:dyDescent="0.25">
      <c r="A67" s="3" t="str">
        <f>IF('1.1 Produksi Bersih Padi 2025'!A69="","",'1.1 Produksi Bersih Padi 2025'!A69)</f>
        <v/>
      </c>
      <c r="B67" s="32" t="str">
        <f>IF('1.1 Produksi Bersih Padi 2025'!B69="","",'1.1 Produksi Bersih Padi 2025'!B69)</f>
        <v/>
      </c>
      <c r="C67" s="32" t="str">
        <f>IF('1.1 Produksi Bersih Padi 2025'!C69="","",'1.1 Produksi Bersih Padi 2025'!C69)</f>
        <v/>
      </c>
      <c r="D67" s="3" t="str">
        <f>IF('1.1 Produksi Bersih Padi 2025'!D69="","",'1.1 Produksi Bersih Padi 2025'!D69)</f>
        <v/>
      </c>
      <c r="E67" s="3" t="str">
        <f>IF('1.1 Produksi Bersih Padi 2025'!E69="","",'1.1 Produksi Bersih Padi 2025'!E69)</f>
        <v/>
      </c>
      <c r="F67" s="13" t="str">
        <f>'1.1 Produksi Bersih Padi 2025'!Q69</f>
        <v/>
      </c>
      <c r="G67" s="13" t="str">
        <f>'1.2 Produksi Bersih Jagung 2025'!L69</f>
        <v/>
      </c>
      <c r="H67" s="13" t="str">
        <f>'1.3 Prod Bersih Ubi Kayu 2025'!K69</f>
        <v/>
      </c>
      <c r="I67" s="13" t="str">
        <f>'1.4 Prod Bersih Ubi Jalar 2025'!K69</f>
        <v/>
      </c>
      <c r="J67" s="13" t="str">
        <f>'1.5 Prod Bersih Sagu 2025'!K69</f>
        <v/>
      </c>
      <c r="K67" s="13" t="str">
        <f>'1.6 Prod Bersih Pisang 2025'!K69</f>
        <v/>
      </c>
      <c r="L67" s="15">
        <f t="shared" si="0"/>
        <v>0</v>
      </c>
      <c r="M67" s="14" t="str">
        <f>IF(D67="","",VLOOKUP(D67,'[1]0.1 Produksi Pangan &amp; Penduduk'!$D$5:$AU$704,44,0))</f>
        <v/>
      </c>
      <c r="N67" s="26" t="str">
        <f t="shared" si="1"/>
        <v/>
      </c>
      <c r="O67" s="16"/>
      <c r="P67" s="25" t="str">
        <f t="shared" si="2"/>
        <v/>
      </c>
      <c r="Q67" s="8"/>
      <c r="R67" s="11"/>
    </row>
    <row r="68" spans="1:18" ht="15" x14ac:dyDescent="0.25">
      <c r="A68" s="3" t="str">
        <f>IF('1.1 Produksi Bersih Padi 2025'!A70="","",'1.1 Produksi Bersih Padi 2025'!A70)</f>
        <v/>
      </c>
      <c r="B68" s="32" t="str">
        <f>IF('1.1 Produksi Bersih Padi 2025'!B70="","",'1.1 Produksi Bersih Padi 2025'!B70)</f>
        <v/>
      </c>
      <c r="C68" s="32" t="str">
        <f>IF('1.1 Produksi Bersih Padi 2025'!C70="","",'1.1 Produksi Bersih Padi 2025'!C70)</f>
        <v/>
      </c>
      <c r="D68" s="3" t="str">
        <f>IF('1.1 Produksi Bersih Padi 2025'!D70="","",'1.1 Produksi Bersih Padi 2025'!D70)</f>
        <v/>
      </c>
      <c r="E68" s="3" t="str">
        <f>IF('1.1 Produksi Bersih Padi 2025'!E70="","",'1.1 Produksi Bersih Padi 2025'!E70)</f>
        <v/>
      </c>
      <c r="F68" s="13" t="str">
        <f>'1.1 Produksi Bersih Padi 2025'!Q70</f>
        <v/>
      </c>
      <c r="G68" s="13" t="str">
        <f>'1.2 Produksi Bersih Jagung 2025'!L70</f>
        <v/>
      </c>
      <c r="H68" s="13" t="str">
        <f>'1.3 Prod Bersih Ubi Kayu 2025'!K70</f>
        <v/>
      </c>
      <c r="I68" s="13" t="str">
        <f>'1.4 Prod Bersih Ubi Jalar 2025'!K70</f>
        <v/>
      </c>
      <c r="J68" s="13" t="str">
        <f>'1.5 Prod Bersih Sagu 2025'!K70</f>
        <v/>
      </c>
      <c r="K68" s="13" t="str">
        <f>'1.6 Prod Bersih Pisang 2025'!K70</f>
        <v/>
      </c>
      <c r="L68" s="15">
        <f t="shared" ref="L68:L131" si="3">IFERROR(SUM(F68:K68),0)</f>
        <v>0</v>
      </c>
      <c r="M68" s="14" t="str">
        <f>IF(D68="","",VLOOKUP(D68,'[1]0.1 Produksi Pangan &amp; Penduduk'!$D$5:$AU$704,44,0))</f>
        <v/>
      </c>
      <c r="N68" s="26" t="str">
        <f t="shared" ref="N68:N131" si="4">IF(M68="","",IFERROR((L68*1000*1000/M68)/365,"-"))</f>
        <v/>
      </c>
      <c r="O68" s="16"/>
      <c r="P68" s="25" t="str">
        <f t="shared" ref="P68:P131" si="5">IF(N68="","",IFERROR(300/N68,"-"))</f>
        <v/>
      </c>
      <c r="Q68" s="8"/>
      <c r="R68" s="11"/>
    </row>
    <row r="69" spans="1:18" ht="15" x14ac:dyDescent="0.25">
      <c r="A69" s="3" t="str">
        <f>IF('1.1 Produksi Bersih Padi 2025'!A71="","",'1.1 Produksi Bersih Padi 2025'!A71)</f>
        <v/>
      </c>
      <c r="B69" s="32" t="str">
        <f>IF('1.1 Produksi Bersih Padi 2025'!B71="","",'1.1 Produksi Bersih Padi 2025'!B71)</f>
        <v/>
      </c>
      <c r="C69" s="32" t="str">
        <f>IF('1.1 Produksi Bersih Padi 2025'!C71="","",'1.1 Produksi Bersih Padi 2025'!C71)</f>
        <v/>
      </c>
      <c r="D69" s="3" t="str">
        <f>IF('1.1 Produksi Bersih Padi 2025'!D71="","",'1.1 Produksi Bersih Padi 2025'!D71)</f>
        <v/>
      </c>
      <c r="E69" s="3" t="str">
        <f>IF('1.1 Produksi Bersih Padi 2025'!E71="","",'1.1 Produksi Bersih Padi 2025'!E71)</f>
        <v/>
      </c>
      <c r="F69" s="13" t="str">
        <f>'1.1 Produksi Bersih Padi 2025'!Q71</f>
        <v/>
      </c>
      <c r="G69" s="13" t="str">
        <f>'1.2 Produksi Bersih Jagung 2025'!L71</f>
        <v/>
      </c>
      <c r="H69" s="13" t="str">
        <f>'1.3 Prod Bersih Ubi Kayu 2025'!K71</f>
        <v/>
      </c>
      <c r="I69" s="13" t="str">
        <f>'1.4 Prod Bersih Ubi Jalar 2025'!K71</f>
        <v/>
      </c>
      <c r="J69" s="13" t="str">
        <f>'1.5 Prod Bersih Sagu 2025'!K71</f>
        <v/>
      </c>
      <c r="K69" s="13" t="str">
        <f>'1.6 Prod Bersih Pisang 2025'!K71</f>
        <v/>
      </c>
      <c r="L69" s="15">
        <f t="shared" si="3"/>
        <v>0</v>
      </c>
      <c r="M69" s="14" t="str">
        <f>IF(D69="","",VLOOKUP(D69,'[1]0.1 Produksi Pangan &amp; Penduduk'!$D$5:$AU$704,44,0))</f>
        <v/>
      </c>
      <c r="N69" s="26" t="str">
        <f t="shared" si="4"/>
        <v/>
      </c>
      <c r="O69" s="16"/>
      <c r="P69" s="25" t="str">
        <f t="shared" si="5"/>
        <v/>
      </c>
      <c r="Q69" s="8"/>
      <c r="R69" s="11"/>
    </row>
    <row r="70" spans="1:18" ht="15" x14ac:dyDescent="0.25">
      <c r="A70" s="3" t="str">
        <f>IF('1.1 Produksi Bersih Padi 2025'!A72="","",'1.1 Produksi Bersih Padi 2025'!A72)</f>
        <v/>
      </c>
      <c r="B70" s="32" t="str">
        <f>IF('1.1 Produksi Bersih Padi 2025'!B72="","",'1.1 Produksi Bersih Padi 2025'!B72)</f>
        <v/>
      </c>
      <c r="C70" s="32" t="str">
        <f>IF('1.1 Produksi Bersih Padi 2025'!C72="","",'1.1 Produksi Bersih Padi 2025'!C72)</f>
        <v/>
      </c>
      <c r="D70" s="3" t="str">
        <f>IF('1.1 Produksi Bersih Padi 2025'!D72="","",'1.1 Produksi Bersih Padi 2025'!D72)</f>
        <v/>
      </c>
      <c r="E70" s="3" t="str">
        <f>IF('1.1 Produksi Bersih Padi 2025'!E72="","",'1.1 Produksi Bersih Padi 2025'!E72)</f>
        <v/>
      </c>
      <c r="F70" s="13" t="str">
        <f>'1.1 Produksi Bersih Padi 2025'!Q72</f>
        <v/>
      </c>
      <c r="G70" s="13" t="str">
        <f>'1.2 Produksi Bersih Jagung 2025'!L72</f>
        <v/>
      </c>
      <c r="H70" s="13" t="str">
        <f>'1.3 Prod Bersih Ubi Kayu 2025'!K72</f>
        <v/>
      </c>
      <c r="I70" s="13" t="str">
        <f>'1.4 Prod Bersih Ubi Jalar 2025'!K72</f>
        <v/>
      </c>
      <c r="J70" s="13" t="str">
        <f>'1.5 Prod Bersih Sagu 2025'!K72</f>
        <v/>
      </c>
      <c r="K70" s="13" t="str">
        <f>'1.6 Prod Bersih Pisang 2025'!K72</f>
        <v/>
      </c>
      <c r="L70" s="15">
        <f t="shared" si="3"/>
        <v>0</v>
      </c>
      <c r="M70" s="14" t="str">
        <f>IF(D70="","",VLOOKUP(D70,'[1]0.1 Produksi Pangan &amp; Penduduk'!$D$5:$AU$704,44,0))</f>
        <v/>
      </c>
      <c r="N70" s="26" t="str">
        <f t="shared" si="4"/>
        <v/>
      </c>
      <c r="O70" s="16"/>
      <c r="P70" s="25" t="str">
        <f t="shared" si="5"/>
        <v/>
      </c>
      <c r="Q70" s="8"/>
      <c r="R70" s="11"/>
    </row>
    <row r="71" spans="1:18" ht="15" x14ac:dyDescent="0.25">
      <c r="A71" s="3" t="str">
        <f>IF('1.1 Produksi Bersih Padi 2025'!A73="","",'1.1 Produksi Bersih Padi 2025'!A73)</f>
        <v/>
      </c>
      <c r="B71" s="32" t="str">
        <f>IF('1.1 Produksi Bersih Padi 2025'!B73="","",'1.1 Produksi Bersih Padi 2025'!B73)</f>
        <v/>
      </c>
      <c r="C71" s="32" t="str">
        <f>IF('1.1 Produksi Bersih Padi 2025'!C73="","",'1.1 Produksi Bersih Padi 2025'!C73)</f>
        <v/>
      </c>
      <c r="D71" s="3" t="str">
        <f>IF('1.1 Produksi Bersih Padi 2025'!D73="","",'1.1 Produksi Bersih Padi 2025'!D73)</f>
        <v/>
      </c>
      <c r="E71" s="3" t="str">
        <f>IF('1.1 Produksi Bersih Padi 2025'!E73="","",'1.1 Produksi Bersih Padi 2025'!E73)</f>
        <v/>
      </c>
      <c r="F71" s="13" t="str">
        <f>'1.1 Produksi Bersih Padi 2025'!Q73</f>
        <v/>
      </c>
      <c r="G71" s="13" t="str">
        <f>'1.2 Produksi Bersih Jagung 2025'!L73</f>
        <v/>
      </c>
      <c r="H71" s="13" t="str">
        <f>'1.3 Prod Bersih Ubi Kayu 2025'!K73</f>
        <v/>
      </c>
      <c r="I71" s="13" t="str">
        <f>'1.4 Prod Bersih Ubi Jalar 2025'!K73</f>
        <v/>
      </c>
      <c r="J71" s="13" t="str">
        <f>'1.5 Prod Bersih Sagu 2025'!K73</f>
        <v/>
      </c>
      <c r="K71" s="13" t="str">
        <f>'1.6 Prod Bersih Pisang 2025'!K73</f>
        <v/>
      </c>
      <c r="L71" s="15">
        <f t="shared" si="3"/>
        <v>0</v>
      </c>
      <c r="M71" s="14" t="str">
        <f>IF(D71="","",VLOOKUP(D71,'[1]0.1 Produksi Pangan &amp; Penduduk'!$D$5:$AU$704,44,0))</f>
        <v/>
      </c>
      <c r="N71" s="26" t="str">
        <f t="shared" si="4"/>
        <v/>
      </c>
      <c r="O71" s="16"/>
      <c r="P71" s="25" t="str">
        <f t="shared" si="5"/>
        <v/>
      </c>
      <c r="Q71" s="8"/>
      <c r="R71" s="11"/>
    </row>
    <row r="72" spans="1:18" ht="15" x14ac:dyDescent="0.25">
      <c r="A72" s="3" t="str">
        <f>IF('1.1 Produksi Bersih Padi 2025'!A74="","",'1.1 Produksi Bersih Padi 2025'!A74)</f>
        <v/>
      </c>
      <c r="B72" s="32" t="str">
        <f>IF('1.1 Produksi Bersih Padi 2025'!B74="","",'1.1 Produksi Bersih Padi 2025'!B74)</f>
        <v/>
      </c>
      <c r="C72" s="32" t="str">
        <f>IF('1.1 Produksi Bersih Padi 2025'!C74="","",'1.1 Produksi Bersih Padi 2025'!C74)</f>
        <v/>
      </c>
      <c r="D72" s="3" t="str">
        <f>IF('1.1 Produksi Bersih Padi 2025'!D74="","",'1.1 Produksi Bersih Padi 2025'!D74)</f>
        <v/>
      </c>
      <c r="E72" s="3" t="str">
        <f>IF('1.1 Produksi Bersih Padi 2025'!E74="","",'1.1 Produksi Bersih Padi 2025'!E74)</f>
        <v/>
      </c>
      <c r="F72" s="13" t="str">
        <f>'1.1 Produksi Bersih Padi 2025'!Q74</f>
        <v/>
      </c>
      <c r="G72" s="13" t="str">
        <f>'1.2 Produksi Bersih Jagung 2025'!L74</f>
        <v/>
      </c>
      <c r="H72" s="13" t="str">
        <f>'1.3 Prod Bersih Ubi Kayu 2025'!K74</f>
        <v/>
      </c>
      <c r="I72" s="13" t="str">
        <f>'1.4 Prod Bersih Ubi Jalar 2025'!K74</f>
        <v/>
      </c>
      <c r="J72" s="13" t="str">
        <f>'1.5 Prod Bersih Sagu 2025'!K74</f>
        <v/>
      </c>
      <c r="K72" s="13" t="str">
        <f>'1.6 Prod Bersih Pisang 2025'!K74</f>
        <v/>
      </c>
      <c r="L72" s="15">
        <f t="shared" si="3"/>
        <v>0</v>
      </c>
      <c r="M72" s="14" t="str">
        <f>IF(D72="","",VLOOKUP(D72,'[1]0.1 Produksi Pangan &amp; Penduduk'!$D$5:$AU$704,44,0))</f>
        <v/>
      </c>
      <c r="N72" s="26" t="str">
        <f t="shared" si="4"/>
        <v/>
      </c>
      <c r="O72" s="16"/>
      <c r="P72" s="25" t="str">
        <f t="shared" si="5"/>
        <v/>
      </c>
      <c r="Q72" s="8"/>
      <c r="R72" s="11"/>
    </row>
    <row r="73" spans="1:18" ht="15" x14ac:dyDescent="0.25">
      <c r="A73" s="3" t="str">
        <f>IF('1.1 Produksi Bersih Padi 2025'!A75="","",'1.1 Produksi Bersih Padi 2025'!A75)</f>
        <v/>
      </c>
      <c r="B73" s="32" t="str">
        <f>IF('1.1 Produksi Bersih Padi 2025'!B75="","",'1.1 Produksi Bersih Padi 2025'!B75)</f>
        <v/>
      </c>
      <c r="C73" s="32" t="str">
        <f>IF('1.1 Produksi Bersih Padi 2025'!C75="","",'1.1 Produksi Bersih Padi 2025'!C75)</f>
        <v/>
      </c>
      <c r="D73" s="3" t="str">
        <f>IF('1.1 Produksi Bersih Padi 2025'!D75="","",'1.1 Produksi Bersih Padi 2025'!D75)</f>
        <v/>
      </c>
      <c r="E73" s="3" t="str">
        <f>IF('1.1 Produksi Bersih Padi 2025'!E75="","",'1.1 Produksi Bersih Padi 2025'!E75)</f>
        <v/>
      </c>
      <c r="F73" s="13" t="str">
        <f>'1.1 Produksi Bersih Padi 2025'!Q75</f>
        <v/>
      </c>
      <c r="G73" s="13" t="str">
        <f>'1.2 Produksi Bersih Jagung 2025'!L75</f>
        <v/>
      </c>
      <c r="H73" s="13" t="str">
        <f>'1.3 Prod Bersih Ubi Kayu 2025'!K75</f>
        <v/>
      </c>
      <c r="I73" s="13" t="str">
        <f>'1.4 Prod Bersih Ubi Jalar 2025'!K75</f>
        <v/>
      </c>
      <c r="J73" s="13" t="str">
        <f>'1.5 Prod Bersih Sagu 2025'!K75</f>
        <v/>
      </c>
      <c r="K73" s="13" t="str">
        <f>'1.6 Prod Bersih Pisang 2025'!K75</f>
        <v/>
      </c>
      <c r="L73" s="15">
        <f t="shared" si="3"/>
        <v>0</v>
      </c>
      <c r="M73" s="14" t="str">
        <f>IF(D73="","",VLOOKUP(D73,'[1]0.1 Produksi Pangan &amp; Penduduk'!$D$5:$AU$704,44,0))</f>
        <v/>
      </c>
      <c r="N73" s="26" t="str">
        <f t="shared" si="4"/>
        <v/>
      </c>
      <c r="O73" s="16"/>
      <c r="P73" s="25" t="str">
        <f t="shared" si="5"/>
        <v/>
      </c>
      <c r="Q73" s="8"/>
      <c r="R73" s="11"/>
    </row>
    <row r="74" spans="1:18" ht="15" x14ac:dyDescent="0.25">
      <c r="A74" s="3" t="str">
        <f>IF('1.1 Produksi Bersih Padi 2025'!A76="","",'1.1 Produksi Bersih Padi 2025'!A76)</f>
        <v/>
      </c>
      <c r="B74" s="32" t="str">
        <f>IF('1.1 Produksi Bersih Padi 2025'!B76="","",'1.1 Produksi Bersih Padi 2025'!B76)</f>
        <v/>
      </c>
      <c r="C74" s="32" t="str">
        <f>IF('1.1 Produksi Bersih Padi 2025'!C76="","",'1.1 Produksi Bersih Padi 2025'!C76)</f>
        <v/>
      </c>
      <c r="D74" s="3" t="str">
        <f>IF('1.1 Produksi Bersih Padi 2025'!D76="","",'1.1 Produksi Bersih Padi 2025'!D76)</f>
        <v/>
      </c>
      <c r="E74" s="3" t="str">
        <f>IF('1.1 Produksi Bersih Padi 2025'!E76="","",'1.1 Produksi Bersih Padi 2025'!E76)</f>
        <v/>
      </c>
      <c r="F74" s="13" t="str">
        <f>'1.1 Produksi Bersih Padi 2025'!Q76</f>
        <v/>
      </c>
      <c r="G74" s="13" t="str">
        <f>'1.2 Produksi Bersih Jagung 2025'!L76</f>
        <v/>
      </c>
      <c r="H74" s="13" t="str">
        <f>'1.3 Prod Bersih Ubi Kayu 2025'!K76</f>
        <v/>
      </c>
      <c r="I74" s="13" t="str">
        <f>'1.4 Prod Bersih Ubi Jalar 2025'!K76</f>
        <v/>
      </c>
      <c r="J74" s="13" t="str">
        <f>'1.5 Prod Bersih Sagu 2025'!K76</f>
        <v/>
      </c>
      <c r="K74" s="13" t="str">
        <f>'1.6 Prod Bersih Pisang 2025'!K76</f>
        <v/>
      </c>
      <c r="L74" s="15">
        <f t="shared" si="3"/>
        <v>0</v>
      </c>
      <c r="M74" s="14" t="str">
        <f>IF(D74="","",VLOOKUP(D74,'[1]0.1 Produksi Pangan &amp; Penduduk'!$D$5:$AU$704,44,0))</f>
        <v/>
      </c>
      <c r="N74" s="26" t="str">
        <f t="shared" si="4"/>
        <v/>
      </c>
      <c r="O74" s="16"/>
      <c r="P74" s="25" t="str">
        <f t="shared" si="5"/>
        <v/>
      </c>
      <c r="Q74" s="8"/>
      <c r="R74" s="11"/>
    </row>
    <row r="75" spans="1:18" ht="15" x14ac:dyDescent="0.25">
      <c r="A75" s="3" t="str">
        <f>IF('1.1 Produksi Bersih Padi 2025'!A77="","",'1.1 Produksi Bersih Padi 2025'!A77)</f>
        <v/>
      </c>
      <c r="B75" s="32" t="str">
        <f>IF('1.1 Produksi Bersih Padi 2025'!B77="","",'1.1 Produksi Bersih Padi 2025'!B77)</f>
        <v/>
      </c>
      <c r="C75" s="32" t="str">
        <f>IF('1.1 Produksi Bersih Padi 2025'!C77="","",'1.1 Produksi Bersih Padi 2025'!C77)</f>
        <v/>
      </c>
      <c r="D75" s="3" t="str">
        <f>IF('1.1 Produksi Bersih Padi 2025'!D77="","",'1.1 Produksi Bersih Padi 2025'!D77)</f>
        <v/>
      </c>
      <c r="E75" s="3" t="str">
        <f>IF('1.1 Produksi Bersih Padi 2025'!E77="","",'1.1 Produksi Bersih Padi 2025'!E77)</f>
        <v/>
      </c>
      <c r="F75" s="13" t="str">
        <f>'1.1 Produksi Bersih Padi 2025'!Q77</f>
        <v/>
      </c>
      <c r="G75" s="13" t="str">
        <f>'1.2 Produksi Bersih Jagung 2025'!L77</f>
        <v/>
      </c>
      <c r="H75" s="13" t="str">
        <f>'1.3 Prod Bersih Ubi Kayu 2025'!K77</f>
        <v/>
      </c>
      <c r="I75" s="13" t="str">
        <f>'1.4 Prod Bersih Ubi Jalar 2025'!K77</f>
        <v/>
      </c>
      <c r="J75" s="13" t="str">
        <f>'1.5 Prod Bersih Sagu 2025'!K77</f>
        <v/>
      </c>
      <c r="K75" s="13" t="str">
        <f>'1.6 Prod Bersih Pisang 2025'!K77</f>
        <v/>
      </c>
      <c r="L75" s="15">
        <f t="shared" si="3"/>
        <v>0</v>
      </c>
      <c r="M75" s="14" t="str">
        <f>IF(D75="","",VLOOKUP(D75,'[1]0.1 Produksi Pangan &amp; Penduduk'!$D$5:$AU$704,44,0))</f>
        <v/>
      </c>
      <c r="N75" s="26" t="str">
        <f t="shared" si="4"/>
        <v/>
      </c>
      <c r="O75" s="16"/>
      <c r="P75" s="25" t="str">
        <f t="shared" si="5"/>
        <v/>
      </c>
      <c r="Q75" s="8"/>
      <c r="R75" s="11"/>
    </row>
    <row r="76" spans="1:18" ht="15" x14ac:dyDescent="0.25">
      <c r="A76" s="3" t="str">
        <f>IF('1.1 Produksi Bersih Padi 2025'!A78="","",'1.1 Produksi Bersih Padi 2025'!A78)</f>
        <v/>
      </c>
      <c r="B76" s="32" t="str">
        <f>IF('1.1 Produksi Bersih Padi 2025'!B78="","",'1.1 Produksi Bersih Padi 2025'!B78)</f>
        <v/>
      </c>
      <c r="C76" s="32" t="str">
        <f>IF('1.1 Produksi Bersih Padi 2025'!C78="","",'1.1 Produksi Bersih Padi 2025'!C78)</f>
        <v/>
      </c>
      <c r="D76" s="3" t="str">
        <f>IF('1.1 Produksi Bersih Padi 2025'!D78="","",'1.1 Produksi Bersih Padi 2025'!D78)</f>
        <v/>
      </c>
      <c r="E76" s="3" t="str">
        <f>IF('1.1 Produksi Bersih Padi 2025'!E78="","",'1.1 Produksi Bersih Padi 2025'!E78)</f>
        <v/>
      </c>
      <c r="F76" s="13" t="str">
        <f>'1.1 Produksi Bersih Padi 2025'!Q78</f>
        <v/>
      </c>
      <c r="G76" s="13" t="str">
        <f>'1.2 Produksi Bersih Jagung 2025'!L78</f>
        <v/>
      </c>
      <c r="H76" s="13" t="str">
        <f>'1.3 Prod Bersih Ubi Kayu 2025'!K78</f>
        <v/>
      </c>
      <c r="I76" s="13" t="str">
        <f>'1.4 Prod Bersih Ubi Jalar 2025'!K78</f>
        <v/>
      </c>
      <c r="J76" s="13" t="str">
        <f>'1.5 Prod Bersih Sagu 2025'!K78</f>
        <v/>
      </c>
      <c r="K76" s="13" t="str">
        <f>'1.6 Prod Bersih Pisang 2025'!K78</f>
        <v/>
      </c>
      <c r="L76" s="15">
        <f t="shared" si="3"/>
        <v>0</v>
      </c>
      <c r="M76" s="14" t="str">
        <f>IF(D76="","",VLOOKUP(D76,'[1]0.1 Produksi Pangan &amp; Penduduk'!$D$5:$AU$704,44,0))</f>
        <v/>
      </c>
      <c r="N76" s="26" t="str">
        <f t="shared" si="4"/>
        <v/>
      </c>
      <c r="O76" s="16"/>
      <c r="P76" s="25" t="str">
        <f t="shared" si="5"/>
        <v/>
      </c>
      <c r="Q76" s="8"/>
      <c r="R76" s="11"/>
    </row>
    <row r="77" spans="1:18" ht="15" x14ac:dyDescent="0.25">
      <c r="A77" s="3" t="str">
        <f>IF('1.1 Produksi Bersih Padi 2025'!A79="","",'1.1 Produksi Bersih Padi 2025'!A79)</f>
        <v/>
      </c>
      <c r="B77" s="32" t="str">
        <f>IF('1.1 Produksi Bersih Padi 2025'!B79="","",'1.1 Produksi Bersih Padi 2025'!B79)</f>
        <v/>
      </c>
      <c r="C77" s="32" t="str">
        <f>IF('1.1 Produksi Bersih Padi 2025'!C79="","",'1.1 Produksi Bersih Padi 2025'!C79)</f>
        <v/>
      </c>
      <c r="D77" s="3" t="str">
        <f>IF('1.1 Produksi Bersih Padi 2025'!D79="","",'1.1 Produksi Bersih Padi 2025'!D79)</f>
        <v/>
      </c>
      <c r="E77" s="3" t="str">
        <f>IF('1.1 Produksi Bersih Padi 2025'!E79="","",'1.1 Produksi Bersih Padi 2025'!E79)</f>
        <v/>
      </c>
      <c r="F77" s="13" t="str">
        <f>'1.1 Produksi Bersih Padi 2025'!Q79</f>
        <v/>
      </c>
      <c r="G77" s="13" t="str">
        <f>'1.2 Produksi Bersih Jagung 2025'!L79</f>
        <v/>
      </c>
      <c r="H77" s="13" t="str">
        <f>'1.3 Prod Bersih Ubi Kayu 2025'!K79</f>
        <v/>
      </c>
      <c r="I77" s="13" t="str">
        <f>'1.4 Prod Bersih Ubi Jalar 2025'!K79</f>
        <v/>
      </c>
      <c r="J77" s="13" t="str">
        <f>'1.5 Prod Bersih Sagu 2025'!K79</f>
        <v/>
      </c>
      <c r="K77" s="13" t="str">
        <f>'1.6 Prod Bersih Pisang 2025'!K79</f>
        <v/>
      </c>
      <c r="L77" s="15">
        <f t="shared" si="3"/>
        <v>0</v>
      </c>
      <c r="M77" s="14" t="str">
        <f>IF(D77="","",VLOOKUP(D77,'[1]0.1 Produksi Pangan &amp; Penduduk'!$D$5:$AU$704,44,0))</f>
        <v/>
      </c>
      <c r="N77" s="26" t="str">
        <f t="shared" si="4"/>
        <v/>
      </c>
      <c r="O77" s="16"/>
      <c r="P77" s="25" t="str">
        <f t="shared" si="5"/>
        <v/>
      </c>
      <c r="Q77" s="8"/>
      <c r="R77" s="11"/>
    </row>
    <row r="78" spans="1:18" ht="15" x14ac:dyDescent="0.25">
      <c r="A78" s="3" t="str">
        <f>IF('1.1 Produksi Bersih Padi 2025'!A80="","",'1.1 Produksi Bersih Padi 2025'!A80)</f>
        <v/>
      </c>
      <c r="B78" s="32" t="str">
        <f>IF('1.1 Produksi Bersih Padi 2025'!B80="","",'1.1 Produksi Bersih Padi 2025'!B80)</f>
        <v/>
      </c>
      <c r="C78" s="32" t="str">
        <f>IF('1.1 Produksi Bersih Padi 2025'!C80="","",'1.1 Produksi Bersih Padi 2025'!C80)</f>
        <v/>
      </c>
      <c r="D78" s="3" t="str">
        <f>IF('1.1 Produksi Bersih Padi 2025'!D80="","",'1.1 Produksi Bersih Padi 2025'!D80)</f>
        <v/>
      </c>
      <c r="E78" s="3" t="str">
        <f>IF('1.1 Produksi Bersih Padi 2025'!E80="","",'1.1 Produksi Bersih Padi 2025'!E80)</f>
        <v/>
      </c>
      <c r="F78" s="13" t="str">
        <f>'1.1 Produksi Bersih Padi 2025'!Q80</f>
        <v/>
      </c>
      <c r="G78" s="13" t="str">
        <f>'1.2 Produksi Bersih Jagung 2025'!L80</f>
        <v/>
      </c>
      <c r="H78" s="13" t="str">
        <f>'1.3 Prod Bersih Ubi Kayu 2025'!K80</f>
        <v/>
      </c>
      <c r="I78" s="13" t="str">
        <f>'1.4 Prod Bersih Ubi Jalar 2025'!K80</f>
        <v/>
      </c>
      <c r="J78" s="13" t="str">
        <f>'1.5 Prod Bersih Sagu 2025'!K80</f>
        <v/>
      </c>
      <c r="K78" s="13" t="str">
        <f>'1.6 Prod Bersih Pisang 2025'!K80</f>
        <v/>
      </c>
      <c r="L78" s="15">
        <f t="shared" si="3"/>
        <v>0</v>
      </c>
      <c r="M78" s="14" t="str">
        <f>IF(D78="","",VLOOKUP(D78,'[1]0.1 Produksi Pangan &amp; Penduduk'!$D$5:$AU$704,44,0))</f>
        <v/>
      </c>
      <c r="N78" s="26" t="str">
        <f t="shared" si="4"/>
        <v/>
      </c>
      <c r="O78" s="16"/>
      <c r="P78" s="25" t="str">
        <f t="shared" si="5"/>
        <v/>
      </c>
      <c r="Q78" s="8"/>
      <c r="R78" s="11"/>
    </row>
    <row r="79" spans="1:18" ht="15" x14ac:dyDescent="0.25">
      <c r="A79" s="3" t="str">
        <f>IF('1.1 Produksi Bersih Padi 2025'!A81="","",'1.1 Produksi Bersih Padi 2025'!A81)</f>
        <v/>
      </c>
      <c r="B79" s="32" t="str">
        <f>IF('1.1 Produksi Bersih Padi 2025'!B81="","",'1.1 Produksi Bersih Padi 2025'!B81)</f>
        <v/>
      </c>
      <c r="C79" s="32" t="str">
        <f>IF('1.1 Produksi Bersih Padi 2025'!C81="","",'1.1 Produksi Bersih Padi 2025'!C81)</f>
        <v/>
      </c>
      <c r="D79" s="3" t="str">
        <f>IF('1.1 Produksi Bersih Padi 2025'!D81="","",'1.1 Produksi Bersih Padi 2025'!D81)</f>
        <v/>
      </c>
      <c r="E79" s="3" t="str">
        <f>IF('1.1 Produksi Bersih Padi 2025'!E81="","",'1.1 Produksi Bersih Padi 2025'!E81)</f>
        <v/>
      </c>
      <c r="F79" s="13" t="str">
        <f>'1.1 Produksi Bersih Padi 2025'!Q81</f>
        <v/>
      </c>
      <c r="G79" s="13" t="str">
        <f>'1.2 Produksi Bersih Jagung 2025'!L81</f>
        <v/>
      </c>
      <c r="H79" s="13" t="str">
        <f>'1.3 Prod Bersih Ubi Kayu 2025'!K81</f>
        <v/>
      </c>
      <c r="I79" s="13" t="str">
        <f>'1.4 Prod Bersih Ubi Jalar 2025'!K81</f>
        <v/>
      </c>
      <c r="J79" s="13" t="str">
        <f>'1.5 Prod Bersih Sagu 2025'!K81</f>
        <v/>
      </c>
      <c r="K79" s="13" t="str">
        <f>'1.6 Prod Bersih Pisang 2025'!K81</f>
        <v/>
      </c>
      <c r="L79" s="15">
        <f t="shared" si="3"/>
        <v>0</v>
      </c>
      <c r="M79" s="14" t="str">
        <f>IF(D79="","",VLOOKUP(D79,'[1]0.1 Produksi Pangan &amp; Penduduk'!$D$5:$AU$704,44,0))</f>
        <v/>
      </c>
      <c r="N79" s="26" t="str">
        <f t="shared" si="4"/>
        <v/>
      </c>
      <c r="O79" s="16"/>
      <c r="P79" s="25" t="str">
        <f t="shared" si="5"/>
        <v/>
      </c>
      <c r="Q79" s="8"/>
      <c r="R79" s="11"/>
    </row>
    <row r="80" spans="1:18" ht="15" x14ac:dyDescent="0.25">
      <c r="A80" s="3" t="str">
        <f>IF('1.1 Produksi Bersih Padi 2025'!A82="","",'1.1 Produksi Bersih Padi 2025'!A82)</f>
        <v/>
      </c>
      <c r="B80" s="32" t="str">
        <f>IF('1.1 Produksi Bersih Padi 2025'!B82="","",'1.1 Produksi Bersih Padi 2025'!B82)</f>
        <v/>
      </c>
      <c r="C80" s="32" t="str">
        <f>IF('1.1 Produksi Bersih Padi 2025'!C82="","",'1.1 Produksi Bersih Padi 2025'!C82)</f>
        <v/>
      </c>
      <c r="D80" s="3" t="str">
        <f>IF('1.1 Produksi Bersih Padi 2025'!D82="","",'1.1 Produksi Bersih Padi 2025'!D82)</f>
        <v/>
      </c>
      <c r="E80" s="3" t="str">
        <f>IF('1.1 Produksi Bersih Padi 2025'!E82="","",'1.1 Produksi Bersih Padi 2025'!E82)</f>
        <v/>
      </c>
      <c r="F80" s="13" t="str">
        <f>'1.1 Produksi Bersih Padi 2025'!Q82</f>
        <v/>
      </c>
      <c r="G80" s="13" t="str">
        <f>'1.2 Produksi Bersih Jagung 2025'!L82</f>
        <v/>
      </c>
      <c r="H80" s="13" t="str">
        <f>'1.3 Prod Bersih Ubi Kayu 2025'!K82</f>
        <v/>
      </c>
      <c r="I80" s="13" t="str">
        <f>'1.4 Prod Bersih Ubi Jalar 2025'!K82</f>
        <v/>
      </c>
      <c r="J80" s="13" t="str">
        <f>'1.5 Prod Bersih Sagu 2025'!K82</f>
        <v/>
      </c>
      <c r="K80" s="13" t="str">
        <f>'1.6 Prod Bersih Pisang 2025'!K82</f>
        <v/>
      </c>
      <c r="L80" s="15">
        <f t="shared" si="3"/>
        <v>0</v>
      </c>
      <c r="M80" s="14" t="str">
        <f>IF(D80="","",VLOOKUP(D80,'[1]0.1 Produksi Pangan &amp; Penduduk'!$D$5:$AU$704,44,0))</f>
        <v/>
      </c>
      <c r="N80" s="26" t="str">
        <f t="shared" si="4"/>
        <v/>
      </c>
      <c r="O80" s="16"/>
      <c r="P80" s="25" t="str">
        <f t="shared" si="5"/>
        <v/>
      </c>
      <c r="Q80" s="8"/>
      <c r="R80" s="11"/>
    </row>
    <row r="81" spans="1:18" ht="15" x14ac:dyDescent="0.25">
      <c r="A81" s="3" t="str">
        <f>IF('1.1 Produksi Bersih Padi 2025'!A83="","",'1.1 Produksi Bersih Padi 2025'!A83)</f>
        <v/>
      </c>
      <c r="B81" s="32" t="str">
        <f>IF('1.1 Produksi Bersih Padi 2025'!B83="","",'1.1 Produksi Bersih Padi 2025'!B83)</f>
        <v/>
      </c>
      <c r="C81" s="32" t="str">
        <f>IF('1.1 Produksi Bersih Padi 2025'!C83="","",'1.1 Produksi Bersih Padi 2025'!C83)</f>
        <v/>
      </c>
      <c r="D81" s="3" t="str">
        <f>IF('1.1 Produksi Bersih Padi 2025'!D83="","",'1.1 Produksi Bersih Padi 2025'!D83)</f>
        <v/>
      </c>
      <c r="E81" s="3" t="str">
        <f>IF('1.1 Produksi Bersih Padi 2025'!E83="","",'1.1 Produksi Bersih Padi 2025'!E83)</f>
        <v/>
      </c>
      <c r="F81" s="13" t="str">
        <f>'1.1 Produksi Bersih Padi 2025'!Q83</f>
        <v/>
      </c>
      <c r="G81" s="13" t="str">
        <f>'1.2 Produksi Bersih Jagung 2025'!L83</f>
        <v/>
      </c>
      <c r="H81" s="13" t="str">
        <f>'1.3 Prod Bersih Ubi Kayu 2025'!K83</f>
        <v/>
      </c>
      <c r="I81" s="13" t="str">
        <f>'1.4 Prod Bersih Ubi Jalar 2025'!K83</f>
        <v/>
      </c>
      <c r="J81" s="13" t="str">
        <f>'1.5 Prod Bersih Sagu 2025'!K83</f>
        <v/>
      </c>
      <c r="K81" s="13" t="str">
        <f>'1.6 Prod Bersih Pisang 2025'!K83</f>
        <v/>
      </c>
      <c r="L81" s="15">
        <f t="shared" si="3"/>
        <v>0</v>
      </c>
      <c r="M81" s="14" t="str">
        <f>IF(D81="","",VLOOKUP(D81,'[1]0.1 Produksi Pangan &amp; Penduduk'!$D$5:$AU$704,44,0))</f>
        <v/>
      </c>
      <c r="N81" s="26" t="str">
        <f t="shared" si="4"/>
        <v/>
      </c>
      <c r="O81" s="16"/>
      <c r="P81" s="25" t="str">
        <f t="shared" si="5"/>
        <v/>
      </c>
      <c r="Q81" s="8"/>
      <c r="R81" s="11"/>
    </row>
    <row r="82" spans="1:18" ht="15" x14ac:dyDescent="0.25">
      <c r="A82" s="3" t="str">
        <f>IF('1.1 Produksi Bersih Padi 2025'!A84="","",'1.1 Produksi Bersih Padi 2025'!A84)</f>
        <v/>
      </c>
      <c r="B82" s="32" t="str">
        <f>IF('1.1 Produksi Bersih Padi 2025'!B84="","",'1.1 Produksi Bersih Padi 2025'!B84)</f>
        <v/>
      </c>
      <c r="C82" s="32" t="str">
        <f>IF('1.1 Produksi Bersih Padi 2025'!C84="","",'1.1 Produksi Bersih Padi 2025'!C84)</f>
        <v/>
      </c>
      <c r="D82" s="3" t="str">
        <f>IF('1.1 Produksi Bersih Padi 2025'!D84="","",'1.1 Produksi Bersih Padi 2025'!D84)</f>
        <v/>
      </c>
      <c r="E82" s="3" t="str">
        <f>IF('1.1 Produksi Bersih Padi 2025'!E84="","",'1.1 Produksi Bersih Padi 2025'!E84)</f>
        <v/>
      </c>
      <c r="F82" s="13" t="str">
        <f>'1.1 Produksi Bersih Padi 2025'!Q84</f>
        <v/>
      </c>
      <c r="G82" s="13" t="str">
        <f>'1.2 Produksi Bersih Jagung 2025'!L84</f>
        <v/>
      </c>
      <c r="H82" s="13" t="str">
        <f>'1.3 Prod Bersih Ubi Kayu 2025'!K84</f>
        <v/>
      </c>
      <c r="I82" s="13" t="str">
        <f>'1.4 Prod Bersih Ubi Jalar 2025'!K84</f>
        <v/>
      </c>
      <c r="J82" s="13" t="str">
        <f>'1.5 Prod Bersih Sagu 2025'!K84</f>
        <v/>
      </c>
      <c r="K82" s="13" t="str">
        <f>'1.6 Prod Bersih Pisang 2025'!K84</f>
        <v/>
      </c>
      <c r="L82" s="15">
        <f t="shared" si="3"/>
        <v>0</v>
      </c>
      <c r="M82" s="14" t="str">
        <f>IF(D82="","",VLOOKUP(D82,'[1]0.1 Produksi Pangan &amp; Penduduk'!$D$5:$AU$704,44,0))</f>
        <v/>
      </c>
      <c r="N82" s="26" t="str">
        <f t="shared" si="4"/>
        <v/>
      </c>
      <c r="O82" s="16"/>
      <c r="P82" s="25" t="str">
        <f t="shared" si="5"/>
        <v/>
      </c>
      <c r="Q82" s="8"/>
      <c r="R82" s="11"/>
    </row>
    <row r="83" spans="1:18" ht="15" x14ac:dyDescent="0.25">
      <c r="A83" s="3" t="str">
        <f>IF('1.1 Produksi Bersih Padi 2025'!A85="","",'1.1 Produksi Bersih Padi 2025'!A85)</f>
        <v/>
      </c>
      <c r="B83" s="32" t="str">
        <f>IF('1.1 Produksi Bersih Padi 2025'!B85="","",'1.1 Produksi Bersih Padi 2025'!B85)</f>
        <v/>
      </c>
      <c r="C83" s="32" t="str">
        <f>IF('1.1 Produksi Bersih Padi 2025'!C85="","",'1.1 Produksi Bersih Padi 2025'!C85)</f>
        <v/>
      </c>
      <c r="D83" s="3" t="str">
        <f>IF('1.1 Produksi Bersih Padi 2025'!D85="","",'1.1 Produksi Bersih Padi 2025'!D85)</f>
        <v/>
      </c>
      <c r="E83" s="3" t="str">
        <f>IF('1.1 Produksi Bersih Padi 2025'!E85="","",'1.1 Produksi Bersih Padi 2025'!E85)</f>
        <v/>
      </c>
      <c r="F83" s="13" t="str">
        <f>'1.1 Produksi Bersih Padi 2025'!Q85</f>
        <v/>
      </c>
      <c r="G83" s="13" t="str">
        <f>'1.2 Produksi Bersih Jagung 2025'!L85</f>
        <v/>
      </c>
      <c r="H83" s="13" t="str">
        <f>'1.3 Prod Bersih Ubi Kayu 2025'!K85</f>
        <v/>
      </c>
      <c r="I83" s="13" t="str">
        <f>'1.4 Prod Bersih Ubi Jalar 2025'!K85</f>
        <v/>
      </c>
      <c r="J83" s="13" t="str">
        <f>'1.5 Prod Bersih Sagu 2025'!K85</f>
        <v/>
      </c>
      <c r="K83" s="13" t="str">
        <f>'1.6 Prod Bersih Pisang 2025'!K85</f>
        <v/>
      </c>
      <c r="L83" s="15">
        <f t="shared" si="3"/>
        <v>0</v>
      </c>
      <c r="M83" s="14" t="str">
        <f>IF(D83="","",VLOOKUP(D83,'[1]0.1 Produksi Pangan &amp; Penduduk'!$D$5:$AU$704,44,0))</f>
        <v/>
      </c>
      <c r="N83" s="26" t="str">
        <f t="shared" si="4"/>
        <v/>
      </c>
      <c r="O83" s="16"/>
      <c r="P83" s="25" t="str">
        <f t="shared" si="5"/>
        <v/>
      </c>
      <c r="Q83" s="8"/>
      <c r="R83" s="11"/>
    </row>
    <row r="84" spans="1:18" ht="15" x14ac:dyDescent="0.25">
      <c r="A84" s="3" t="str">
        <f>IF('1.1 Produksi Bersih Padi 2025'!A86="","",'1.1 Produksi Bersih Padi 2025'!A86)</f>
        <v/>
      </c>
      <c r="B84" s="32" t="str">
        <f>IF('1.1 Produksi Bersih Padi 2025'!B86="","",'1.1 Produksi Bersih Padi 2025'!B86)</f>
        <v/>
      </c>
      <c r="C84" s="32" t="str">
        <f>IF('1.1 Produksi Bersih Padi 2025'!C86="","",'1.1 Produksi Bersih Padi 2025'!C86)</f>
        <v/>
      </c>
      <c r="D84" s="3" t="str">
        <f>IF('1.1 Produksi Bersih Padi 2025'!D86="","",'1.1 Produksi Bersih Padi 2025'!D86)</f>
        <v/>
      </c>
      <c r="E84" s="3" t="str">
        <f>IF('1.1 Produksi Bersih Padi 2025'!E86="","",'1.1 Produksi Bersih Padi 2025'!E86)</f>
        <v/>
      </c>
      <c r="F84" s="13" t="str">
        <f>'1.1 Produksi Bersih Padi 2025'!Q86</f>
        <v/>
      </c>
      <c r="G84" s="13" t="str">
        <f>'1.2 Produksi Bersih Jagung 2025'!L86</f>
        <v/>
      </c>
      <c r="H84" s="13" t="str">
        <f>'1.3 Prod Bersih Ubi Kayu 2025'!K86</f>
        <v/>
      </c>
      <c r="I84" s="13" t="str">
        <f>'1.4 Prod Bersih Ubi Jalar 2025'!K86</f>
        <v/>
      </c>
      <c r="J84" s="13" t="str">
        <f>'1.5 Prod Bersih Sagu 2025'!K86</f>
        <v/>
      </c>
      <c r="K84" s="13" t="str">
        <f>'1.6 Prod Bersih Pisang 2025'!K86</f>
        <v/>
      </c>
      <c r="L84" s="15">
        <f t="shared" si="3"/>
        <v>0</v>
      </c>
      <c r="M84" s="14" t="str">
        <f>IF(D84="","",VLOOKUP(D84,'[1]0.1 Produksi Pangan &amp; Penduduk'!$D$5:$AU$704,44,0))</f>
        <v/>
      </c>
      <c r="N84" s="26" t="str">
        <f t="shared" si="4"/>
        <v/>
      </c>
      <c r="O84" s="16"/>
      <c r="P84" s="25" t="str">
        <f t="shared" si="5"/>
        <v/>
      </c>
      <c r="Q84" s="8"/>
      <c r="R84" s="11"/>
    </row>
    <row r="85" spans="1:18" ht="15" x14ac:dyDescent="0.25">
      <c r="A85" s="3" t="str">
        <f>IF('1.1 Produksi Bersih Padi 2025'!A87="","",'1.1 Produksi Bersih Padi 2025'!A87)</f>
        <v/>
      </c>
      <c r="B85" s="32" t="str">
        <f>IF('1.1 Produksi Bersih Padi 2025'!B87="","",'1.1 Produksi Bersih Padi 2025'!B87)</f>
        <v/>
      </c>
      <c r="C85" s="32" t="str">
        <f>IF('1.1 Produksi Bersih Padi 2025'!C87="","",'1.1 Produksi Bersih Padi 2025'!C87)</f>
        <v/>
      </c>
      <c r="D85" s="3" t="str">
        <f>IF('1.1 Produksi Bersih Padi 2025'!D87="","",'1.1 Produksi Bersih Padi 2025'!D87)</f>
        <v/>
      </c>
      <c r="E85" s="3" t="str">
        <f>IF('1.1 Produksi Bersih Padi 2025'!E87="","",'1.1 Produksi Bersih Padi 2025'!E87)</f>
        <v/>
      </c>
      <c r="F85" s="13" t="str">
        <f>'1.1 Produksi Bersih Padi 2025'!Q87</f>
        <v/>
      </c>
      <c r="G85" s="13" t="str">
        <f>'1.2 Produksi Bersih Jagung 2025'!L87</f>
        <v/>
      </c>
      <c r="H85" s="13" t="str">
        <f>'1.3 Prod Bersih Ubi Kayu 2025'!K87</f>
        <v/>
      </c>
      <c r="I85" s="13" t="str">
        <f>'1.4 Prod Bersih Ubi Jalar 2025'!K87</f>
        <v/>
      </c>
      <c r="J85" s="13" t="str">
        <f>'1.5 Prod Bersih Sagu 2025'!K87</f>
        <v/>
      </c>
      <c r="K85" s="13" t="str">
        <f>'1.6 Prod Bersih Pisang 2025'!K87</f>
        <v/>
      </c>
      <c r="L85" s="15">
        <f t="shared" si="3"/>
        <v>0</v>
      </c>
      <c r="M85" s="14" t="str">
        <f>IF(D85="","",VLOOKUP(D85,'[1]0.1 Produksi Pangan &amp; Penduduk'!$D$5:$AU$704,44,0))</f>
        <v/>
      </c>
      <c r="N85" s="26" t="str">
        <f t="shared" si="4"/>
        <v/>
      </c>
      <c r="O85" s="16"/>
      <c r="P85" s="25" t="str">
        <f t="shared" si="5"/>
        <v/>
      </c>
      <c r="Q85" s="8"/>
      <c r="R85" s="11"/>
    </row>
    <row r="86" spans="1:18" ht="15" x14ac:dyDescent="0.25">
      <c r="A86" s="3" t="str">
        <f>IF('1.1 Produksi Bersih Padi 2025'!A88="","",'1.1 Produksi Bersih Padi 2025'!A88)</f>
        <v/>
      </c>
      <c r="B86" s="32" t="str">
        <f>IF('1.1 Produksi Bersih Padi 2025'!B88="","",'1.1 Produksi Bersih Padi 2025'!B88)</f>
        <v/>
      </c>
      <c r="C86" s="32" t="str">
        <f>IF('1.1 Produksi Bersih Padi 2025'!C88="","",'1.1 Produksi Bersih Padi 2025'!C88)</f>
        <v/>
      </c>
      <c r="D86" s="3" t="str">
        <f>IF('1.1 Produksi Bersih Padi 2025'!D88="","",'1.1 Produksi Bersih Padi 2025'!D88)</f>
        <v/>
      </c>
      <c r="E86" s="3" t="str">
        <f>IF('1.1 Produksi Bersih Padi 2025'!E88="","",'1.1 Produksi Bersih Padi 2025'!E88)</f>
        <v/>
      </c>
      <c r="F86" s="13" t="str">
        <f>'1.1 Produksi Bersih Padi 2025'!Q88</f>
        <v/>
      </c>
      <c r="G86" s="13" t="str">
        <f>'1.2 Produksi Bersih Jagung 2025'!L88</f>
        <v/>
      </c>
      <c r="H86" s="13" t="str">
        <f>'1.3 Prod Bersih Ubi Kayu 2025'!K88</f>
        <v/>
      </c>
      <c r="I86" s="13" t="str">
        <f>'1.4 Prod Bersih Ubi Jalar 2025'!K88</f>
        <v/>
      </c>
      <c r="J86" s="13" t="str">
        <f>'1.5 Prod Bersih Sagu 2025'!K88</f>
        <v/>
      </c>
      <c r="K86" s="13" t="str">
        <f>'1.6 Prod Bersih Pisang 2025'!K88</f>
        <v/>
      </c>
      <c r="L86" s="15">
        <f t="shared" si="3"/>
        <v>0</v>
      </c>
      <c r="M86" s="14" t="str">
        <f>IF(D86="","",VLOOKUP(D86,'[1]0.1 Produksi Pangan &amp; Penduduk'!$D$5:$AU$704,44,0))</f>
        <v/>
      </c>
      <c r="N86" s="26" t="str">
        <f t="shared" si="4"/>
        <v/>
      </c>
      <c r="O86" s="16"/>
      <c r="P86" s="25" t="str">
        <f t="shared" si="5"/>
        <v/>
      </c>
      <c r="Q86" s="8"/>
      <c r="R86" s="11"/>
    </row>
    <row r="87" spans="1:18" ht="15" x14ac:dyDescent="0.25">
      <c r="A87" s="3" t="str">
        <f>IF('1.1 Produksi Bersih Padi 2025'!A89="","",'1.1 Produksi Bersih Padi 2025'!A89)</f>
        <v/>
      </c>
      <c r="B87" s="32" t="str">
        <f>IF('1.1 Produksi Bersih Padi 2025'!B89="","",'1.1 Produksi Bersih Padi 2025'!B89)</f>
        <v/>
      </c>
      <c r="C87" s="32" t="str">
        <f>IF('1.1 Produksi Bersih Padi 2025'!C89="","",'1.1 Produksi Bersih Padi 2025'!C89)</f>
        <v/>
      </c>
      <c r="D87" s="3" t="str">
        <f>IF('1.1 Produksi Bersih Padi 2025'!D89="","",'1.1 Produksi Bersih Padi 2025'!D89)</f>
        <v/>
      </c>
      <c r="E87" s="3" t="str">
        <f>IF('1.1 Produksi Bersih Padi 2025'!E89="","",'1.1 Produksi Bersih Padi 2025'!E89)</f>
        <v/>
      </c>
      <c r="F87" s="13" t="str">
        <f>'1.1 Produksi Bersih Padi 2025'!Q89</f>
        <v/>
      </c>
      <c r="G87" s="13" t="str">
        <f>'1.2 Produksi Bersih Jagung 2025'!L89</f>
        <v/>
      </c>
      <c r="H87" s="13" t="str">
        <f>'1.3 Prod Bersih Ubi Kayu 2025'!K89</f>
        <v/>
      </c>
      <c r="I87" s="13" t="str">
        <f>'1.4 Prod Bersih Ubi Jalar 2025'!K89</f>
        <v/>
      </c>
      <c r="J87" s="13" t="str">
        <f>'1.5 Prod Bersih Sagu 2025'!K89</f>
        <v/>
      </c>
      <c r="K87" s="13" t="str">
        <f>'1.6 Prod Bersih Pisang 2025'!K89</f>
        <v/>
      </c>
      <c r="L87" s="15">
        <f t="shared" si="3"/>
        <v>0</v>
      </c>
      <c r="M87" s="14" t="str">
        <f>IF(D87="","",VLOOKUP(D87,'[1]0.1 Produksi Pangan &amp; Penduduk'!$D$5:$AU$704,44,0))</f>
        <v/>
      </c>
      <c r="N87" s="26" t="str">
        <f t="shared" si="4"/>
        <v/>
      </c>
      <c r="O87" s="16"/>
      <c r="P87" s="25" t="str">
        <f t="shared" si="5"/>
        <v/>
      </c>
      <c r="Q87" s="8"/>
      <c r="R87" s="11"/>
    </row>
    <row r="88" spans="1:18" ht="15" x14ac:dyDescent="0.25">
      <c r="A88" s="3" t="str">
        <f>IF('1.1 Produksi Bersih Padi 2025'!A90="","",'1.1 Produksi Bersih Padi 2025'!A90)</f>
        <v/>
      </c>
      <c r="B88" s="32" t="str">
        <f>IF('1.1 Produksi Bersih Padi 2025'!B90="","",'1.1 Produksi Bersih Padi 2025'!B90)</f>
        <v/>
      </c>
      <c r="C88" s="32" t="str">
        <f>IF('1.1 Produksi Bersih Padi 2025'!C90="","",'1.1 Produksi Bersih Padi 2025'!C90)</f>
        <v/>
      </c>
      <c r="D88" s="3" t="str">
        <f>IF('1.1 Produksi Bersih Padi 2025'!D90="","",'1.1 Produksi Bersih Padi 2025'!D90)</f>
        <v/>
      </c>
      <c r="E88" s="3" t="str">
        <f>IF('1.1 Produksi Bersih Padi 2025'!E90="","",'1.1 Produksi Bersih Padi 2025'!E90)</f>
        <v/>
      </c>
      <c r="F88" s="13" t="str">
        <f>'1.1 Produksi Bersih Padi 2025'!Q90</f>
        <v/>
      </c>
      <c r="G88" s="13" t="str">
        <f>'1.2 Produksi Bersih Jagung 2025'!L90</f>
        <v/>
      </c>
      <c r="H88" s="13" t="str">
        <f>'1.3 Prod Bersih Ubi Kayu 2025'!K90</f>
        <v/>
      </c>
      <c r="I88" s="13" t="str">
        <f>'1.4 Prod Bersih Ubi Jalar 2025'!K90</f>
        <v/>
      </c>
      <c r="J88" s="13" t="str">
        <f>'1.5 Prod Bersih Sagu 2025'!K90</f>
        <v/>
      </c>
      <c r="K88" s="13" t="str">
        <f>'1.6 Prod Bersih Pisang 2025'!K90</f>
        <v/>
      </c>
      <c r="L88" s="15">
        <f t="shared" si="3"/>
        <v>0</v>
      </c>
      <c r="M88" s="14" t="str">
        <f>IF(D88="","",VLOOKUP(D88,'[1]0.1 Produksi Pangan &amp; Penduduk'!$D$5:$AU$704,44,0))</f>
        <v/>
      </c>
      <c r="N88" s="26" t="str">
        <f t="shared" si="4"/>
        <v/>
      </c>
      <c r="O88" s="16"/>
      <c r="P88" s="25" t="str">
        <f t="shared" si="5"/>
        <v/>
      </c>
      <c r="Q88" s="8"/>
      <c r="R88" s="11"/>
    </row>
    <row r="89" spans="1:18" ht="15" x14ac:dyDescent="0.25">
      <c r="A89" s="3" t="str">
        <f>IF('1.1 Produksi Bersih Padi 2025'!A91="","",'1.1 Produksi Bersih Padi 2025'!A91)</f>
        <v/>
      </c>
      <c r="B89" s="32" t="str">
        <f>IF('1.1 Produksi Bersih Padi 2025'!B91="","",'1.1 Produksi Bersih Padi 2025'!B91)</f>
        <v/>
      </c>
      <c r="C89" s="32" t="str">
        <f>IF('1.1 Produksi Bersih Padi 2025'!C91="","",'1.1 Produksi Bersih Padi 2025'!C91)</f>
        <v/>
      </c>
      <c r="D89" s="3" t="str">
        <f>IF('1.1 Produksi Bersih Padi 2025'!D91="","",'1.1 Produksi Bersih Padi 2025'!D91)</f>
        <v/>
      </c>
      <c r="E89" s="3" t="str">
        <f>IF('1.1 Produksi Bersih Padi 2025'!E91="","",'1.1 Produksi Bersih Padi 2025'!E91)</f>
        <v/>
      </c>
      <c r="F89" s="13" t="str">
        <f>'1.1 Produksi Bersih Padi 2025'!Q91</f>
        <v/>
      </c>
      <c r="G89" s="13" t="str">
        <f>'1.2 Produksi Bersih Jagung 2025'!L91</f>
        <v/>
      </c>
      <c r="H89" s="13" t="str">
        <f>'1.3 Prod Bersih Ubi Kayu 2025'!K91</f>
        <v/>
      </c>
      <c r="I89" s="13" t="str">
        <f>'1.4 Prod Bersih Ubi Jalar 2025'!K91</f>
        <v/>
      </c>
      <c r="J89" s="13" t="str">
        <f>'1.5 Prod Bersih Sagu 2025'!K91</f>
        <v/>
      </c>
      <c r="K89" s="13" t="str">
        <f>'1.6 Prod Bersih Pisang 2025'!K91</f>
        <v/>
      </c>
      <c r="L89" s="15">
        <f t="shared" si="3"/>
        <v>0</v>
      </c>
      <c r="M89" s="14" t="str">
        <f>IF(D89="","",VLOOKUP(D89,'[1]0.1 Produksi Pangan &amp; Penduduk'!$D$5:$AU$704,44,0))</f>
        <v/>
      </c>
      <c r="N89" s="26" t="str">
        <f t="shared" si="4"/>
        <v/>
      </c>
      <c r="O89" s="16"/>
      <c r="P89" s="25" t="str">
        <f t="shared" si="5"/>
        <v/>
      </c>
      <c r="Q89" s="8"/>
      <c r="R89" s="11"/>
    </row>
    <row r="90" spans="1:18" ht="15" x14ac:dyDescent="0.25">
      <c r="A90" s="3" t="str">
        <f>IF('1.1 Produksi Bersih Padi 2025'!A92="","",'1.1 Produksi Bersih Padi 2025'!A92)</f>
        <v/>
      </c>
      <c r="B90" s="32" t="str">
        <f>IF('1.1 Produksi Bersih Padi 2025'!B92="","",'1.1 Produksi Bersih Padi 2025'!B92)</f>
        <v/>
      </c>
      <c r="C90" s="32" t="str">
        <f>IF('1.1 Produksi Bersih Padi 2025'!C92="","",'1.1 Produksi Bersih Padi 2025'!C92)</f>
        <v/>
      </c>
      <c r="D90" s="3" t="str">
        <f>IF('1.1 Produksi Bersih Padi 2025'!D92="","",'1.1 Produksi Bersih Padi 2025'!D92)</f>
        <v/>
      </c>
      <c r="E90" s="3" t="str">
        <f>IF('1.1 Produksi Bersih Padi 2025'!E92="","",'1.1 Produksi Bersih Padi 2025'!E92)</f>
        <v/>
      </c>
      <c r="F90" s="13" t="str">
        <f>'1.1 Produksi Bersih Padi 2025'!Q92</f>
        <v/>
      </c>
      <c r="G90" s="13" t="str">
        <f>'1.2 Produksi Bersih Jagung 2025'!L92</f>
        <v/>
      </c>
      <c r="H90" s="13" t="str">
        <f>'1.3 Prod Bersih Ubi Kayu 2025'!K92</f>
        <v/>
      </c>
      <c r="I90" s="13" t="str">
        <f>'1.4 Prod Bersih Ubi Jalar 2025'!K92</f>
        <v/>
      </c>
      <c r="J90" s="13" t="str">
        <f>'1.5 Prod Bersih Sagu 2025'!K92</f>
        <v/>
      </c>
      <c r="K90" s="13" t="str">
        <f>'1.6 Prod Bersih Pisang 2025'!K92</f>
        <v/>
      </c>
      <c r="L90" s="15">
        <f t="shared" si="3"/>
        <v>0</v>
      </c>
      <c r="M90" s="14" t="str">
        <f>IF(D90="","",VLOOKUP(D90,'[1]0.1 Produksi Pangan &amp; Penduduk'!$D$5:$AU$704,44,0))</f>
        <v/>
      </c>
      <c r="N90" s="26" t="str">
        <f t="shared" si="4"/>
        <v/>
      </c>
      <c r="O90" s="16"/>
      <c r="P90" s="25" t="str">
        <f t="shared" si="5"/>
        <v/>
      </c>
      <c r="Q90" s="8"/>
      <c r="R90" s="11"/>
    </row>
    <row r="91" spans="1:18" ht="15" x14ac:dyDescent="0.25">
      <c r="A91" s="3" t="str">
        <f>IF('1.1 Produksi Bersih Padi 2025'!A93="","",'1.1 Produksi Bersih Padi 2025'!A93)</f>
        <v/>
      </c>
      <c r="B91" s="32" t="str">
        <f>IF('1.1 Produksi Bersih Padi 2025'!B93="","",'1.1 Produksi Bersih Padi 2025'!B93)</f>
        <v/>
      </c>
      <c r="C91" s="32" t="str">
        <f>IF('1.1 Produksi Bersih Padi 2025'!C93="","",'1.1 Produksi Bersih Padi 2025'!C93)</f>
        <v/>
      </c>
      <c r="D91" s="3" t="str">
        <f>IF('1.1 Produksi Bersih Padi 2025'!D93="","",'1.1 Produksi Bersih Padi 2025'!D93)</f>
        <v/>
      </c>
      <c r="E91" s="3" t="str">
        <f>IF('1.1 Produksi Bersih Padi 2025'!E93="","",'1.1 Produksi Bersih Padi 2025'!E93)</f>
        <v/>
      </c>
      <c r="F91" s="13" t="str">
        <f>'1.1 Produksi Bersih Padi 2025'!Q93</f>
        <v/>
      </c>
      <c r="G91" s="13" t="str">
        <f>'1.2 Produksi Bersih Jagung 2025'!L93</f>
        <v/>
      </c>
      <c r="H91" s="13" t="str">
        <f>'1.3 Prod Bersih Ubi Kayu 2025'!K93</f>
        <v/>
      </c>
      <c r="I91" s="13" t="str">
        <f>'1.4 Prod Bersih Ubi Jalar 2025'!K93</f>
        <v/>
      </c>
      <c r="J91" s="13" t="str">
        <f>'1.5 Prod Bersih Sagu 2025'!K93</f>
        <v/>
      </c>
      <c r="K91" s="13" t="str">
        <f>'1.6 Prod Bersih Pisang 2025'!K93</f>
        <v/>
      </c>
      <c r="L91" s="15">
        <f t="shared" si="3"/>
        <v>0</v>
      </c>
      <c r="M91" s="14" t="str">
        <f>IF(D91="","",VLOOKUP(D91,'[1]0.1 Produksi Pangan &amp; Penduduk'!$D$5:$AU$704,44,0))</f>
        <v/>
      </c>
      <c r="N91" s="26" t="str">
        <f t="shared" si="4"/>
        <v/>
      </c>
      <c r="O91" s="16"/>
      <c r="P91" s="25" t="str">
        <f t="shared" si="5"/>
        <v/>
      </c>
      <c r="Q91" s="8"/>
      <c r="R91" s="11"/>
    </row>
    <row r="92" spans="1:18" ht="15" x14ac:dyDescent="0.25">
      <c r="A92" s="3" t="str">
        <f>IF('1.1 Produksi Bersih Padi 2025'!A94="","",'1.1 Produksi Bersih Padi 2025'!A94)</f>
        <v/>
      </c>
      <c r="B92" s="32" t="str">
        <f>IF('1.1 Produksi Bersih Padi 2025'!B94="","",'1.1 Produksi Bersih Padi 2025'!B94)</f>
        <v/>
      </c>
      <c r="C92" s="32" t="str">
        <f>IF('1.1 Produksi Bersih Padi 2025'!C94="","",'1.1 Produksi Bersih Padi 2025'!C94)</f>
        <v/>
      </c>
      <c r="D92" s="3" t="str">
        <f>IF('1.1 Produksi Bersih Padi 2025'!D94="","",'1.1 Produksi Bersih Padi 2025'!D94)</f>
        <v/>
      </c>
      <c r="E92" s="3" t="str">
        <f>IF('1.1 Produksi Bersih Padi 2025'!E94="","",'1.1 Produksi Bersih Padi 2025'!E94)</f>
        <v/>
      </c>
      <c r="F92" s="13" t="str">
        <f>'1.1 Produksi Bersih Padi 2025'!Q94</f>
        <v/>
      </c>
      <c r="G92" s="13" t="str">
        <f>'1.2 Produksi Bersih Jagung 2025'!L94</f>
        <v/>
      </c>
      <c r="H92" s="13" t="str">
        <f>'1.3 Prod Bersih Ubi Kayu 2025'!K94</f>
        <v/>
      </c>
      <c r="I92" s="13" t="str">
        <f>'1.4 Prod Bersih Ubi Jalar 2025'!K94</f>
        <v/>
      </c>
      <c r="J92" s="13" t="str">
        <f>'1.5 Prod Bersih Sagu 2025'!K94</f>
        <v/>
      </c>
      <c r="K92" s="13" t="str">
        <f>'1.6 Prod Bersih Pisang 2025'!K94</f>
        <v/>
      </c>
      <c r="L92" s="15">
        <f t="shared" si="3"/>
        <v>0</v>
      </c>
      <c r="M92" s="14" t="str">
        <f>IF(D92="","",VLOOKUP(D92,'[1]0.1 Produksi Pangan &amp; Penduduk'!$D$5:$AU$704,44,0))</f>
        <v/>
      </c>
      <c r="N92" s="26" t="str">
        <f t="shared" si="4"/>
        <v/>
      </c>
      <c r="O92" s="16"/>
      <c r="P92" s="25" t="str">
        <f t="shared" si="5"/>
        <v/>
      </c>
      <c r="Q92" s="8"/>
      <c r="R92" s="11"/>
    </row>
    <row r="93" spans="1:18" ht="15" x14ac:dyDescent="0.25">
      <c r="A93" s="3" t="str">
        <f>IF('1.1 Produksi Bersih Padi 2025'!A95="","",'1.1 Produksi Bersih Padi 2025'!A95)</f>
        <v/>
      </c>
      <c r="B93" s="32" t="str">
        <f>IF('1.1 Produksi Bersih Padi 2025'!B95="","",'1.1 Produksi Bersih Padi 2025'!B95)</f>
        <v/>
      </c>
      <c r="C93" s="32" t="str">
        <f>IF('1.1 Produksi Bersih Padi 2025'!C95="","",'1.1 Produksi Bersih Padi 2025'!C95)</f>
        <v/>
      </c>
      <c r="D93" s="3" t="str">
        <f>IF('1.1 Produksi Bersih Padi 2025'!D95="","",'1.1 Produksi Bersih Padi 2025'!D95)</f>
        <v/>
      </c>
      <c r="E93" s="3" t="str">
        <f>IF('1.1 Produksi Bersih Padi 2025'!E95="","",'1.1 Produksi Bersih Padi 2025'!E95)</f>
        <v/>
      </c>
      <c r="F93" s="13" t="str">
        <f>'1.1 Produksi Bersih Padi 2025'!Q95</f>
        <v/>
      </c>
      <c r="G93" s="13" t="str">
        <f>'1.2 Produksi Bersih Jagung 2025'!L95</f>
        <v/>
      </c>
      <c r="H93" s="13" t="str">
        <f>'1.3 Prod Bersih Ubi Kayu 2025'!K95</f>
        <v/>
      </c>
      <c r="I93" s="13" t="str">
        <f>'1.4 Prod Bersih Ubi Jalar 2025'!K95</f>
        <v/>
      </c>
      <c r="J93" s="13" t="str">
        <f>'1.5 Prod Bersih Sagu 2025'!K95</f>
        <v/>
      </c>
      <c r="K93" s="13" t="str">
        <f>'1.6 Prod Bersih Pisang 2025'!K95</f>
        <v/>
      </c>
      <c r="L93" s="15">
        <f t="shared" si="3"/>
        <v>0</v>
      </c>
      <c r="M93" s="14" t="str">
        <f>IF(D93="","",VLOOKUP(D93,'[1]0.1 Produksi Pangan &amp; Penduduk'!$D$5:$AU$704,44,0))</f>
        <v/>
      </c>
      <c r="N93" s="26" t="str">
        <f t="shared" si="4"/>
        <v/>
      </c>
      <c r="O93" s="16"/>
      <c r="P93" s="25" t="str">
        <f t="shared" si="5"/>
        <v/>
      </c>
      <c r="Q93" s="8"/>
      <c r="R93" s="11"/>
    </row>
    <row r="94" spans="1:18" ht="15" x14ac:dyDescent="0.25">
      <c r="A94" s="3" t="str">
        <f>IF('1.1 Produksi Bersih Padi 2025'!A96="","",'1.1 Produksi Bersih Padi 2025'!A96)</f>
        <v/>
      </c>
      <c r="B94" s="32" t="str">
        <f>IF('1.1 Produksi Bersih Padi 2025'!B96="","",'1.1 Produksi Bersih Padi 2025'!B96)</f>
        <v/>
      </c>
      <c r="C94" s="32" t="str">
        <f>IF('1.1 Produksi Bersih Padi 2025'!C96="","",'1.1 Produksi Bersih Padi 2025'!C96)</f>
        <v/>
      </c>
      <c r="D94" s="3" t="str">
        <f>IF('1.1 Produksi Bersih Padi 2025'!D96="","",'1.1 Produksi Bersih Padi 2025'!D96)</f>
        <v/>
      </c>
      <c r="E94" s="3" t="str">
        <f>IF('1.1 Produksi Bersih Padi 2025'!E96="","",'1.1 Produksi Bersih Padi 2025'!E96)</f>
        <v/>
      </c>
      <c r="F94" s="13" t="str">
        <f>'1.1 Produksi Bersih Padi 2025'!Q96</f>
        <v/>
      </c>
      <c r="G94" s="13" t="str">
        <f>'1.2 Produksi Bersih Jagung 2025'!L96</f>
        <v/>
      </c>
      <c r="H94" s="13" t="str">
        <f>'1.3 Prod Bersih Ubi Kayu 2025'!K96</f>
        <v/>
      </c>
      <c r="I94" s="13" t="str">
        <f>'1.4 Prod Bersih Ubi Jalar 2025'!K96</f>
        <v/>
      </c>
      <c r="J94" s="13" t="str">
        <f>'1.5 Prod Bersih Sagu 2025'!K96</f>
        <v/>
      </c>
      <c r="K94" s="13" t="str">
        <f>'1.6 Prod Bersih Pisang 2025'!K96</f>
        <v/>
      </c>
      <c r="L94" s="15">
        <f t="shared" si="3"/>
        <v>0</v>
      </c>
      <c r="M94" s="14" t="str">
        <f>IF(D94="","",VLOOKUP(D94,'[1]0.1 Produksi Pangan &amp; Penduduk'!$D$5:$AU$704,44,0))</f>
        <v/>
      </c>
      <c r="N94" s="26" t="str">
        <f t="shared" si="4"/>
        <v/>
      </c>
      <c r="O94" s="16"/>
      <c r="P94" s="25" t="str">
        <f t="shared" si="5"/>
        <v/>
      </c>
      <c r="Q94" s="8"/>
      <c r="R94" s="11"/>
    </row>
    <row r="95" spans="1:18" ht="15" x14ac:dyDescent="0.25">
      <c r="A95" s="3" t="str">
        <f>IF('1.1 Produksi Bersih Padi 2025'!A97="","",'1.1 Produksi Bersih Padi 2025'!A97)</f>
        <v/>
      </c>
      <c r="B95" s="32" t="str">
        <f>IF('1.1 Produksi Bersih Padi 2025'!B97="","",'1.1 Produksi Bersih Padi 2025'!B97)</f>
        <v/>
      </c>
      <c r="C95" s="32" t="str">
        <f>IF('1.1 Produksi Bersih Padi 2025'!C97="","",'1.1 Produksi Bersih Padi 2025'!C97)</f>
        <v/>
      </c>
      <c r="D95" s="3" t="str">
        <f>IF('1.1 Produksi Bersih Padi 2025'!D97="","",'1.1 Produksi Bersih Padi 2025'!D97)</f>
        <v/>
      </c>
      <c r="E95" s="3" t="str">
        <f>IF('1.1 Produksi Bersih Padi 2025'!E97="","",'1.1 Produksi Bersih Padi 2025'!E97)</f>
        <v/>
      </c>
      <c r="F95" s="13" t="str">
        <f>'1.1 Produksi Bersih Padi 2025'!Q97</f>
        <v/>
      </c>
      <c r="G95" s="13" t="str">
        <f>'1.2 Produksi Bersih Jagung 2025'!L97</f>
        <v/>
      </c>
      <c r="H95" s="13" t="str">
        <f>'1.3 Prod Bersih Ubi Kayu 2025'!K97</f>
        <v/>
      </c>
      <c r="I95" s="13" t="str">
        <f>'1.4 Prod Bersih Ubi Jalar 2025'!K97</f>
        <v/>
      </c>
      <c r="J95" s="13" t="str">
        <f>'1.5 Prod Bersih Sagu 2025'!K97</f>
        <v/>
      </c>
      <c r="K95" s="13" t="str">
        <f>'1.6 Prod Bersih Pisang 2025'!K97</f>
        <v/>
      </c>
      <c r="L95" s="15">
        <f t="shared" si="3"/>
        <v>0</v>
      </c>
      <c r="M95" s="14" t="str">
        <f>IF(D95="","",VLOOKUP(D95,'[1]0.1 Produksi Pangan &amp; Penduduk'!$D$5:$AU$704,44,0))</f>
        <v/>
      </c>
      <c r="N95" s="26" t="str">
        <f t="shared" si="4"/>
        <v/>
      </c>
      <c r="O95" s="16"/>
      <c r="P95" s="25" t="str">
        <f t="shared" si="5"/>
        <v/>
      </c>
      <c r="Q95" s="8"/>
      <c r="R95" s="11"/>
    </row>
    <row r="96" spans="1:18" ht="15" x14ac:dyDescent="0.25">
      <c r="A96" s="3" t="str">
        <f>IF('1.1 Produksi Bersih Padi 2025'!A98="","",'1.1 Produksi Bersih Padi 2025'!A98)</f>
        <v/>
      </c>
      <c r="B96" s="32" t="str">
        <f>IF('1.1 Produksi Bersih Padi 2025'!B98="","",'1.1 Produksi Bersih Padi 2025'!B98)</f>
        <v/>
      </c>
      <c r="C96" s="32" t="str">
        <f>IF('1.1 Produksi Bersih Padi 2025'!C98="","",'1.1 Produksi Bersih Padi 2025'!C98)</f>
        <v/>
      </c>
      <c r="D96" s="3" t="str">
        <f>IF('1.1 Produksi Bersih Padi 2025'!D98="","",'1.1 Produksi Bersih Padi 2025'!D98)</f>
        <v/>
      </c>
      <c r="E96" s="3" t="str">
        <f>IF('1.1 Produksi Bersih Padi 2025'!E98="","",'1.1 Produksi Bersih Padi 2025'!E98)</f>
        <v/>
      </c>
      <c r="F96" s="13" t="str">
        <f>'1.1 Produksi Bersih Padi 2025'!Q98</f>
        <v/>
      </c>
      <c r="G96" s="13" t="str">
        <f>'1.2 Produksi Bersih Jagung 2025'!L98</f>
        <v/>
      </c>
      <c r="H96" s="13" t="str">
        <f>'1.3 Prod Bersih Ubi Kayu 2025'!K98</f>
        <v/>
      </c>
      <c r="I96" s="13" t="str">
        <f>'1.4 Prod Bersih Ubi Jalar 2025'!K98</f>
        <v/>
      </c>
      <c r="J96" s="13" t="str">
        <f>'1.5 Prod Bersih Sagu 2025'!K98</f>
        <v/>
      </c>
      <c r="K96" s="13" t="str">
        <f>'1.6 Prod Bersih Pisang 2025'!K98</f>
        <v/>
      </c>
      <c r="L96" s="15">
        <f t="shared" si="3"/>
        <v>0</v>
      </c>
      <c r="M96" s="14" t="str">
        <f>IF(D96="","",VLOOKUP(D96,'[1]0.1 Produksi Pangan &amp; Penduduk'!$D$5:$AU$704,44,0))</f>
        <v/>
      </c>
      <c r="N96" s="26" t="str">
        <f t="shared" si="4"/>
        <v/>
      </c>
      <c r="O96" s="16"/>
      <c r="P96" s="25" t="str">
        <f t="shared" si="5"/>
        <v/>
      </c>
      <c r="Q96" s="8"/>
      <c r="R96" s="11"/>
    </row>
    <row r="97" spans="1:18" ht="15" x14ac:dyDescent="0.25">
      <c r="A97" s="3" t="str">
        <f>IF('1.1 Produksi Bersih Padi 2025'!A99="","",'1.1 Produksi Bersih Padi 2025'!A99)</f>
        <v/>
      </c>
      <c r="B97" s="32" t="str">
        <f>IF('1.1 Produksi Bersih Padi 2025'!B99="","",'1.1 Produksi Bersih Padi 2025'!B99)</f>
        <v/>
      </c>
      <c r="C97" s="32" t="str">
        <f>IF('1.1 Produksi Bersih Padi 2025'!C99="","",'1.1 Produksi Bersih Padi 2025'!C99)</f>
        <v/>
      </c>
      <c r="D97" s="3" t="str">
        <f>IF('1.1 Produksi Bersih Padi 2025'!D99="","",'1.1 Produksi Bersih Padi 2025'!D99)</f>
        <v/>
      </c>
      <c r="E97" s="3" t="str">
        <f>IF('1.1 Produksi Bersih Padi 2025'!E99="","",'1.1 Produksi Bersih Padi 2025'!E99)</f>
        <v/>
      </c>
      <c r="F97" s="13" t="str">
        <f>'1.1 Produksi Bersih Padi 2025'!Q99</f>
        <v/>
      </c>
      <c r="G97" s="13" t="str">
        <f>'1.2 Produksi Bersih Jagung 2025'!L99</f>
        <v/>
      </c>
      <c r="H97" s="13" t="str">
        <f>'1.3 Prod Bersih Ubi Kayu 2025'!K99</f>
        <v/>
      </c>
      <c r="I97" s="13" t="str">
        <f>'1.4 Prod Bersih Ubi Jalar 2025'!K99</f>
        <v/>
      </c>
      <c r="J97" s="13" t="str">
        <f>'1.5 Prod Bersih Sagu 2025'!K99</f>
        <v/>
      </c>
      <c r="K97" s="13" t="str">
        <f>'1.6 Prod Bersih Pisang 2025'!K99</f>
        <v/>
      </c>
      <c r="L97" s="15">
        <f t="shared" si="3"/>
        <v>0</v>
      </c>
      <c r="M97" s="14" t="str">
        <f>IF(D97="","",VLOOKUP(D97,'[1]0.1 Produksi Pangan &amp; Penduduk'!$D$5:$AU$704,44,0))</f>
        <v/>
      </c>
      <c r="N97" s="26" t="str">
        <f t="shared" si="4"/>
        <v/>
      </c>
      <c r="O97" s="16"/>
      <c r="P97" s="25" t="str">
        <f t="shared" si="5"/>
        <v/>
      </c>
      <c r="Q97" s="8"/>
      <c r="R97" s="11"/>
    </row>
    <row r="98" spans="1:18" ht="15" x14ac:dyDescent="0.25">
      <c r="A98" s="3" t="str">
        <f>IF('1.1 Produksi Bersih Padi 2025'!A100="","",'1.1 Produksi Bersih Padi 2025'!A100)</f>
        <v/>
      </c>
      <c r="B98" s="32" t="str">
        <f>IF('1.1 Produksi Bersih Padi 2025'!B100="","",'1.1 Produksi Bersih Padi 2025'!B100)</f>
        <v/>
      </c>
      <c r="C98" s="32" t="str">
        <f>IF('1.1 Produksi Bersih Padi 2025'!C100="","",'1.1 Produksi Bersih Padi 2025'!C100)</f>
        <v/>
      </c>
      <c r="D98" s="3" t="str">
        <f>IF('1.1 Produksi Bersih Padi 2025'!D100="","",'1.1 Produksi Bersih Padi 2025'!D100)</f>
        <v/>
      </c>
      <c r="E98" s="3" t="str">
        <f>IF('1.1 Produksi Bersih Padi 2025'!E100="","",'1.1 Produksi Bersih Padi 2025'!E100)</f>
        <v/>
      </c>
      <c r="F98" s="13" t="str">
        <f>'1.1 Produksi Bersih Padi 2025'!Q100</f>
        <v/>
      </c>
      <c r="G98" s="13" t="str">
        <f>'1.2 Produksi Bersih Jagung 2025'!L100</f>
        <v/>
      </c>
      <c r="H98" s="13" t="str">
        <f>'1.3 Prod Bersih Ubi Kayu 2025'!K100</f>
        <v/>
      </c>
      <c r="I98" s="13" t="str">
        <f>'1.4 Prod Bersih Ubi Jalar 2025'!K100</f>
        <v/>
      </c>
      <c r="J98" s="13" t="str">
        <f>'1.5 Prod Bersih Sagu 2025'!K100</f>
        <v/>
      </c>
      <c r="K98" s="13" t="str">
        <f>'1.6 Prod Bersih Pisang 2025'!K100</f>
        <v/>
      </c>
      <c r="L98" s="15">
        <f t="shared" si="3"/>
        <v>0</v>
      </c>
      <c r="M98" s="14" t="str">
        <f>IF(D98="","",VLOOKUP(D98,'[1]0.1 Produksi Pangan &amp; Penduduk'!$D$5:$AU$704,44,0))</f>
        <v/>
      </c>
      <c r="N98" s="26" t="str">
        <f t="shared" si="4"/>
        <v/>
      </c>
      <c r="O98" s="16"/>
      <c r="P98" s="25" t="str">
        <f t="shared" si="5"/>
        <v/>
      </c>
      <c r="Q98" s="8"/>
      <c r="R98" s="11"/>
    </row>
    <row r="99" spans="1:18" ht="15" x14ac:dyDescent="0.25">
      <c r="A99" s="3" t="str">
        <f>IF('1.1 Produksi Bersih Padi 2025'!A101="","",'1.1 Produksi Bersih Padi 2025'!A101)</f>
        <v/>
      </c>
      <c r="B99" s="32" t="str">
        <f>IF('1.1 Produksi Bersih Padi 2025'!B101="","",'1.1 Produksi Bersih Padi 2025'!B101)</f>
        <v/>
      </c>
      <c r="C99" s="32" t="str">
        <f>IF('1.1 Produksi Bersih Padi 2025'!C101="","",'1.1 Produksi Bersih Padi 2025'!C101)</f>
        <v/>
      </c>
      <c r="D99" s="3" t="str">
        <f>IF('1.1 Produksi Bersih Padi 2025'!D101="","",'1.1 Produksi Bersih Padi 2025'!D101)</f>
        <v/>
      </c>
      <c r="E99" s="3" t="str">
        <f>IF('1.1 Produksi Bersih Padi 2025'!E101="","",'1.1 Produksi Bersih Padi 2025'!E101)</f>
        <v/>
      </c>
      <c r="F99" s="13" t="str">
        <f>'1.1 Produksi Bersih Padi 2025'!Q101</f>
        <v/>
      </c>
      <c r="G99" s="13" t="str">
        <f>'1.2 Produksi Bersih Jagung 2025'!L101</f>
        <v/>
      </c>
      <c r="H99" s="13" t="str">
        <f>'1.3 Prod Bersih Ubi Kayu 2025'!K101</f>
        <v/>
      </c>
      <c r="I99" s="13" t="str">
        <f>'1.4 Prod Bersih Ubi Jalar 2025'!K101</f>
        <v/>
      </c>
      <c r="J99" s="13" t="str">
        <f>'1.5 Prod Bersih Sagu 2025'!K101</f>
        <v/>
      </c>
      <c r="K99" s="13" t="str">
        <f>'1.6 Prod Bersih Pisang 2025'!K101</f>
        <v/>
      </c>
      <c r="L99" s="15">
        <f t="shared" si="3"/>
        <v>0</v>
      </c>
      <c r="M99" s="14" t="str">
        <f>IF(D99="","",VLOOKUP(D99,'[1]0.1 Produksi Pangan &amp; Penduduk'!$D$5:$AU$704,44,0))</f>
        <v/>
      </c>
      <c r="N99" s="26" t="str">
        <f t="shared" si="4"/>
        <v/>
      </c>
      <c r="O99" s="16"/>
      <c r="P99" s="25" t="str">
        <f t="shared" si="5"/>
        <v/>
      </c>
      <c r="Q99" s="8"/>
      <c r="R99" s="11"/>
    </row>
    <row r="100" spans="1:18" ht="15" x14ac:dyDescent="0.25">
      <c r="A100" s="3" t="str">
        <f>IF('1.1 Produksi Bersih Padi 2025'!A102="","",'1.1 Produksi Bersih Padi 2025'!A102)</f>
        <v/>
      </c>
      <c r="B100" s="32" t="str">
        <f>IF('1.1 Produksi Bersih Padi 2025'!B102="","",'1.1 Produksi Bersih Padi 2025'!B102)</f>
        <v/>
      </c>
      <c r="C100" s="32" t="str">
        <f>IF('1.1 Produksi Bersih Padi 2025'!C102="","",'1.1 Produksi Bersih Padi 2025'!C102)</f>
        <v/>
      </c>
      <c r="D100" s="3" t="str">
        <f>IF('1.1 Produksi Bersih Padi 2025'!D102="","",'1.1 Produksi Bersih Padi 2025'!D102)</f>
        <v/>
      </c>
      <c r="E100" s="3" t="str">
        <f>IF('1.1 Produksi Bersih Padi 2025'!E102="","",'1.1 Produksi Bersih Padi 2025'!E102)</f>
        <v/>
      </c>
      <c r="F100" s="13" t="str">
        <f>'1.1 Produksi Bersih Padi 2025'!Q102</f>
        <v/>
      </c>
      <c r="G100" s="13" t="str">
        <f>'1.2 Produksi Bersih Jagung 2025'!L102</f>
        <v/>
      </c>
      <c r="H100" s="13" t="str">
        <f>'1.3 Prod Bersih Ubi Kayu 2025'!K102</f>
        <v/>
      </c>
      <c r="I100" s="13" t="str">
        <f>'1.4 Prod Bersih Ubi Jalar 2025'!K102</f>
        <v/>
      </c>
      <c r="J100" s="13" t="str">
        <f>'1.5 Prod Bersih Sagu 2025'!K102</f>
        <v/>
      </c>
      <c r="K100" s="13" t="str">
        <f>'1.6 Prod Bersih Pisang 2025'!K102</f>
        <v/>
      </c>
      <c r="L100" s="15">
        <f t="shared" si="3"/>
        <v>0</v>
      </c>
      <c r="M100" s="14" t="str">
        <f>IF(D100="","",VLOOKUP(D100,'[1]0.1 Produksi Pangan &amp; Penduduk'!$D$5:$AU$704,44,0))</f>
        <v/>
      </c>
      <c r="N100" s="26" t="str">
        <f t="shared" si="4"/>
        <v/>
      </c>
      <c r="O100" s="16"/>
      <c r="P100" s="25" t="str">
        <f t="shared" si="5"/>
        <v/>
      </c>
      <c r="Q100" s="8"/>
      <c r="R100" s="11"/>
    </row>
    <row r="101" spans="1:18" ht="15" x14ac:dyDescent="0.25">
      <c r="A101" s="3" t="str">
        <f>IF('1.1 Produksi Bersih Padi 2025'!A103="","",'1.1 Produksi Bersih Padi 2025'!A103)</f>
        <v/>
      </c>
      <c r="B101" s="32" t="str">
        <f>IF('1.1 Produksi Bersih Padi 2025'!B103="","",'1.1 Produksi Bersih Padi 2025'!B103)</f>
        <v/>
      </c>
      <c r="C101" s="32" t="str">
        <f>IF('1.1 Produksi Bersih Padi 2025'!C103="","",'1.1 Produksi Bersih Padi 2025'!C103)</f>
        <v/>
      </c>
      <c r="D101" s="3" t="str">
        <f>IF('1.1 Produksi Bersih Padi 2025'!D103="","",'1.1 Produksi Bersih Padi 2025'!D103)</f>
        <v/>
      </c>
      <c r="E101" s="3" t="str">
        <f>IF('1.1 Produksi Bersih Padi 2025'!E103="","",'1.1 Produksi Bersih Padi 2025'!E103)</f>
        <v/>
      </c>
      <c r="F101" s="13" t="str">
        <f>'1.1 Produksi Bersih Padi 2025'!Q103</f>
        <v/>
      </c>
      <c r="G101" s="13" t="str">
        <f>'1.2 Produksi Bersih Jagung 2025'!L103</f>
        <v/>
      </c>
      <c r="H101" s="13" t="str">
        <f>'1.3 Prod Bersih Ubi Kayu 2025'!K103</f>
        <v/>
      </c>
      <c r="I101" s="13" t="str">
        <f>'1.4 Prod Bersih Ubi Jalar 2025'!K103</f>
        <v/>
      </c>
      <c r="J101" s="13" t="str">
        <f>'1.5 Prod Bersih Sagu 2025'!K103</f>
        <v/>
      </c>
      <c r="K101" s="13" t="str">
        <f>'1.6 Prod Bersih Pisang 2025'!K103</f>
        <v/>
      </c>
      <c r="L101" s="15">
        <f t="shared" si="3"/>
        <v>0</v>
      </c>
      <c r="M101" s="14" t="str">
        <f>IF(D101="","",VLOOKUP(D101,'[1]0.1 Produksi Pangan &amp; Penduduk'!$D$5:$AU$704,44,0))</f>
        <v/>
      </c>
      <c r="N101" s="26" t="str">
        <f t="shared" si="4"/>
        <v/>
      </c>
      <c r="O101" s="16"/>
      <c r="P101" s="25" t="str">
        <f t="shared" si="5"/>
        <v/>
      </c>
      <c r="Q101" s="8"/>
      <c r="R101" s="11"/>
    </row>
    <row r="102" spans="1:18" ht="15" x14ac:dyDescent="0.25">
      <c r="A102" s="3" t="str">
        <f>IF('1.1 Produksi Bersih Padi 2025'!A104="","",'1.1 Produksi Bersih Padi 2025'!A104)</f>
        <v/>
      </c>
      <c r="B102" s="32" t="str">
        <f>IF('1.1 Produksi Bersih Padi 2025'!B104="","",'1.1 Produksi Bersih Padi 2025'!B104)</f>
        <v/>
      </c>
      <c r="C102" s="32" t="str">
        <f>IF('1.1 Produksi Bersih Padi 2025'!C104="","",'1.1 Produksi Bersih Padi 2025'!C104)</f>
        <v/>
      </c>
      <c r="D102" s="3" t="str">
        <f>IF('1.1 Produksi Bersih Padi 2025'!D104="","",'1.1 Produksi Bersih Padi 2025'!D104)</f>
        <v/>
      </c>
      <c r="E102" s="3" t="str">
        <f>IF('1.1 Produksi Bersih Padi 2025'!E104="","",'1.1 Produksi Bersih Padi 2025'!E104)</f>
        <v/>
      </c>
      <c r="F102" s="13" t="str">
        <f>'1.1 Produksi Bersih Padi 2025'!Q104</f>
        <v/>
      </c>
      <c r="G102" s="13" t="str">
        <f>'1.2 Produksi Bersih Jagung 2025'!L104</f>
        <v/>
      </c>
      <c r="H102" s="13" t="str">
        <f>'1.3 Prod Bersih Ubi Kayu 2025'!K104</f>
        <v/>
      </c>
      <c r="I102" s="13" t="str">
        <f>'1.4 Prod Bersih Ubi Jalar 2025'!K104</f>
        <v/>
      </c>
      <c r="J102" s="13" t="str">
        <f>'1.5 Prod Bersih Sagu 2025'!K104</f>
        <v/>
      </c>
      <c r="K102" s="13" t="str">
        <f>'1.6 Prod Bersih Pisang 2025'!K104</f>
        <v/>
      </c>
      <c r="L102" s="15">
        <f t="shared" si="3"/>
        <v>0</v>
      </c>
      <c r="M102" s="14" t="str">
        <f>IF(D102="","",VLOOKUP(D102,'[1]0.1 Produksi Pangan &amp; Penduduk'!$D$5:$AU$704,44,0))</f>
        <v/>
      </c>
      <c r="N102" s="26" t="str">
        <f t="shared" si="4"/>
        <v/>
      </c>
      <c r="O102" s="16"/>
      <c r="P102" s="25" t="str">
        <f t="shared" si="5"/>
        <v/>
      </c>
      <c r="Q102" s="8"/>
      <c r="R102" s="11"/>
    </row>
    <row r="103" spans="1:18" ht="15" x14ac:dyDescent="0.25">
      <c r="A103" s="3" t="str">
        <f>IF('1.1 Produksi Bersih Padi 2025'!A105="","",'1.1 Produksi Bersih Padi 2025'!A105)</f>
        <v/>
      </c>
      <c r="B103" s="32" t="str">
        <f>IF('1.1 Produksi Bersih Padi 2025'!B105="","",'1.1 Produksi Bersih Padi 2025'!B105)</f>
        <v/>
      </c>
      <c r="C103" s="32" t="str">
        <f>IF('1.1 Produksi Bersih Padi 2025'!C105="","",'1.1 Produksi Bersih Padi 2025'!C105)</f>
        <v/>
      </c>
      <c r="D103" s="3" t="str">
        <f>IF('1.1 Produksi Bersih Padi 2025'!D105="","",'1.1 Produksi Bersih Padi 2025'!D105)</f>
        <v/>
      </c>
      <c r="E103" s="3" t="str">
        <f>IF('1.1 Produksi Bersih Padi 2025'!E105="","",'1.1 Produksi Bersih Padi 2025'!E105)</f>
        <v/>
      </c>
      <c r="F103" s="13" t="str">
        <f>'1.1 Produksi Bersih Padi 2025'!Q105</f>
        <v/>
      </c>
      <c r="G103" s="13" t="str">
        <f>'1.2 Produksi Bersih Jagung 2025'!L105</f>
        <v/>
      </c>
      <c r="H103" s="13" t="str">
        <f>'1.3 Prod Bersih Ubi Kayu 2025'!K105</f>
        <v/>
      </c>
      <c r="I103" s="13" t="str">
        <f>'1.4 Prod Bersih Ubi Jalar 2025'!K105</f>
        <v/>
      </c>
      <c r="J103" s="13" t="str">
        <f>'1.5 Prod Bersih Sagu 2025'!K105</f>
        <v/>
      </c>
      <c r="K103" s="13" t="str">
        <f>'1.6 Prod Bersih Pisang 2025'!K105</f>
        <v/>
      </c>
      <c r="L103" s="15">
        <f t="shared" si="3"/>
        <v>0</v>
      </c>
      <c r="M103" s="14" t="str">
        <f>IF(D103="","",VLOOKUP(D103,'[1]0.1 Produksi Pangan &amp; Penduduk'!$D$5:$AU$704,44,0))</f>
        <v/>
      </c>
      <c r="N103" s="26" t="str">
        <f t="shared" si="4"/>
        <v/>
      </c>
      <c r="O103" s="16"/>
      <c r="P103" s="25" t="str">
        <f t="shared" si="5"/>
        <v/>
      </c>
      <c r="Q103" s="8"/>
      <c r="R103" s="11"/>
    </row>
    <row r="104" spans="1:18" ht="15" x14ac:dyDescent="0.25">
      <c r="A104" s="3" t="str">
        <f>IF('1.1 Produksi Bersih Padi 2025'!A106="","",'1.1 Produksi Bersih Padi 2025'!A106)</f>
        <v/>
      </c>
      <c r="B104" s="32" t="str">
        <f>IF('1.1 Produksi Bersih Padi 2025'!B106="","",'1.1 Produksi Bersih Padi 2025'!B106)</f>
        <v/>
      </c>
      <c r="C104" s="32" t="str">
        <f>IF('1.1 Produksi Bersih Padi 2025'!C106="","",'1.1 Produksi Bersih Padi 2025'!C106)</f>
        <v/>
      </c>
      <c r="D104" s="3" t="str">
        <f>IF('1.1 Produksi Bersih Padi 2025'!D106="","",'1.1 Produksi Bersih Padi 2025'!D106)</f>
        <v/>
      </c>
      <c r="E104" s="3" t="str">
        <f>IF('1.1 Produksi Bersih Padi 2025'!E106="","",'1.1 Produksi Bersih Padi 2025'!E106)</f>
        <v/>
      </c>
      <c r="F104" s="13" t="str">
        <f>'1.1 Produksi Bersih Padi 2025'!Q106</f>
        <v/>
      </c>
      <c r="G104" s="13" t="str">
        <f>'1.2 Produksi Bersih Jagung 2025'!L106</f>
        <v/>
      </c>
      <c r="H104" s="13" t="str">
        <f>'1.3 Prod Bersih Ubi Kayu 2025'!K106</f>
        <v/>
      </c>
      <c r="I104" s="13" t="str">
        <f>'1.4 Prod Bersih Ubi Jalar 2025'!K106</f>
        <v/>
      </c>
      <c r="J104" s="13" t="str">
        <f>'1.5 Prod Bersih Sagu 2025'!K106</f>
        <v/>
      </c>
      <c r="K104" s="13" t="str">
        <f>'1.6 Prod Bersih Pisang 2025'!K106</f>
        <v/>
      </c>
      <c r="L104" s="15">
        <f t="shared" si="3"/>
        <v>0</v>
      </c>
      <c r="M104" s="14" t="str">
        <f>IF(D104="","",VLOOKUP(D104,'[1]0.1 Produksi Pangan &amp; Penduduk'!$D$5:$AU$704,44,0))</f>
        <v/>
      </c>
      <c r="N104" s="26" t="str">
        <f t="shared" si="4"/>
        <v/>
      </c>
      <c r="O104" s="16"/>
      <c r="P104" s="25" t="str">
        <f t="shared" si="5"/>
        <v/>
      </c>
      <c r="Q104" s="8"/>
      <c r="R104" s="11"/>
    </row>
    <row r="105" spans="1:18" ht="15" x14ac:dyDescent="0.25">
      <c r="A105" s="3" t="str">
        <f>IF('1.1 Produksi Bersih Padi 2025'!A107="","",'1.1 Produksi Bersih Padi 2025'!A107)</f>
        <v/>
      </c>
      <c r="B105" s="32" t="str">
        <f>IF('1.1 Produksi Bersih Padi 2025'!B107="","",'1.1 Produksi Bersih Padi 2025'!B107)</f>
        <v/>
      </c>
      <c r="C105" s="32" t="str">
        <f>IF('1.1 Produksi Bersih Padi 2025'!C107="","",'1.1 Produksi Bersih Padi 2025'!C107)</f>
        <v/>
      </c>
      <c r="D105" s="3" t="str">
        <f>IF('1.1 Produksi Bersih Padi 2025'!D107="","",'1.1 Produksi Bersih Padi 2025'!D107)</f>
        <v/>
      </c>
      <c r="E105" s="3" t="str">
        <f>IF('1.1 Produksi Bersih Padi 2025'!E107="","",'1.1 Produksi Bersih Padi 2025'!E107)</f>
        <v/>
      </c>
      <c r="F105" s="13" t="str">
        <f>'1.1 Produksi Bersih Padi 2025'!Q107</f>
        <v/>
      </c>
      <c r="G105" s="13" t="str">
        <f>'1.2 Produksi Bersih Jagung 2025'!L107</f>
        <v/>
      </c>
      <c r="H105" s="13" t="str">
        <f>'1.3 Prod Bersih Ubi Kayu 2025'!K107</f>
        <v/>
      </c>
      <c r="I105" s="13" t="str">
        <f>'1.4 Prod Bersih Ubi Jalar 2025'!K107</f>
        <v/>
      </c>
      <c r="J105" s="13" t="str">
        <f>'1.5 Prod Bersih Sagu 2025'!K107</f>
        <v/>
      </c>
      <c r="K105" s="13" t="str">
        <f>'1.6 Prod Bersih Pisang 2025'!K107</f>
        <v/>
      </c>
      <c r="L105" s="15">
        <f t="shared" si="3"/>
        <v>0</v>
      </c>
      <c r="M105" s="14" t="str">
        <f>IF(D105="","",VLOOKUP(D105,'[1]0.1 Produksi Pangan &amp; Penduduk'!$D$5:$AU$704,44,0))</f>
        <v/>
      </c>
      <c r="N105" s="26" t="str">
        <f t="shared" si="4"/>
        <v/>
      </c>
      <c r="O105" s="16"/>
      <c r="P105" s="25" t="str">
        <f t="shared" si="5"/>
        <v/>
      </c>
      <c r="Q105" s="8"/>
      <c r="R105" s="11"/>
    </row>
    <row r="106" spans="1:18" ht="15" x14ac:dyDescent="0.25">
      <c r="A106" s="3" t="str">
        <f>IF('1.1 Produksi Bersih Padi 2025'!A108="","",'1.1 Produksi Bersih Padi 2025'!A108)</f>
        <v/>
      </c>
      <c r="B106" s="32" t="str">
        <f>IF('1.1 Produksi Bersih Padi 2025'!B108="","",'1.1 Produksi Bersih Padi 2025'!B108)</f>
        <v/>
      </c>
      <c r="C106" s="32" t="str">
        <f>IF('1.1 Produksi Bersih Padi 2025'!C108="","",'1.1 Produksi Bersih Padi 2025'!C108)</f>
        <v/>
      </c>
      <c r="D106" s="3" t="str">
        <f>IF('1.1 Produksi Bersih Padi 2025'!D108="","",'1.1 Produksi Bersih Padi 2025'!D108)</f>
        <v/>
      </c>
      <c r="E106" s="3" t="str">
        <f>IF('1.1 Produksi Bersih Padi 2025'!E108="","",'1.1 Produksi Bersih Padi 2025'!E108)</f>
        <v/>
      </c>
      <c r="F106" s="13" t="str">
        <f>'1.1 Produksi Bersih Padi 2025'!Q108</f>
        <v/>
      </c>
      <c r="G106" s="13" t="str">
        <f>'1.2 Produksi Bersih Jagung 2025'!L108</f>
        <v/>
      </c>
      <c r="H106" s="13" t="str">
        <f>'1.3 Prod Bersih Ubi Kayu 2025'!K108</f>
        <v/>
      </c>
      <c r="I106" s="13" t="str">
        <f>'1.4 Prod Bersih Ubi Jalar 2025'!K108</f>
        <v/>
      </c>
      <c r="J106" s="13" t="str">
        <f>'1.5 Prod Bersih Sagu 2025'!K108</f>
        <v/>
      </c>
      <c r="K106" s="13" t="str">
        <f>'1.6 Prod Bersih Pisang 2025'!K108</f>
        <v/>
      </c>
      <c r="L106" s="15">
        <f t="shared" si="3"/>
        <v>0</v>
      </c>
      <c r="M106" s="14" t="str">
        <f>IF(D106="","",VLOOKUP(D106,'[1]0.1 Produksi Pangan &amp; Penduduk'!$D$5:$AU$704,44,0))</f>
        <v/>
      </c>
      <c r="N106" s="26" t="str">
        <f t="shared" si="4"/>
        <v/>
      </c>
      <c r="O106" s="16"/>
      <c r="P106" s="25" t="str">
        <f t="shared" si="5"/>
        <v/>
      </c>
      <c r="Q106" s="8"/>
      <c r="R106" s="11"/>
    </row>
    <row r="107" spans="1:18" ht="15" x14ac:dyDescent="0.25">
      <c r="A107" s="3" t="str">
        <f>IF('1.1 Produksi Bersih Padi 2025'!A109="","",'1.1 Produksi Bersih Padi 2025'!A109)</f>
        <v/>
      </c>
      <c r="B107" s="32" t="str">
        <f>IF('1.1 Produksi Bersih Padi 2025'!B109="","",'1.1 Produksi Bersih Padi 2025'!B109)</f>
        <v/>
      </c>
      <c r="C107" s="32" t="str">
        <f>IF('1.1 Produksi Bersih Padi 2025'!C109="","",'1.1 Produksi Bersih Padi 2025'!C109)</f>
        <v/>
      </c>
      <c r="D107" s="3" t="str">
        <f>IF('1.1 Produksi Bersih Padi 2025'!D109="","",'1.1 Produksi Bersih Padi 2025'!D109)</f>
        <v/>
      </c>
      <c r="E107" s="3" t="str">
        <f>IF('1.1 Produksi Bersih Padi 2025'!E109="","",'1.1 Produksi Bersih Padi 2025'!E109)</f>
        <v/>
      </c>
      <c r="F107" s="13" t="str">
        <f>'1.1 Produksi Bersih Padi 2025'!Q109</f>
        <v/>
      </c>
      <c r="G107" s="13" t="str">
        <f>'1.2 Produksi Bersih Jagung 2025'!L109</f>
        <v/>
      </c>
      <c r="H107" s="13" t="str">
        <f>'1.3 Prod Bersih Ubi Kayu 2025'!K109</f>
        <v/>
      </c>
      <c r="I107" s="13" t="str">
        <f>'1.4 Prod Bersih Ubi Jalar 2025'!K109</f>
        <v/>
      </c>
      <c r="J107" s="13" t="str">
        <f>'1.5 Prod Bersih Sagu 2025'!K109</f>
        <v/>
      </c>
      <c r="K107" s="13" t="str">
        <f>'1.6 Prod Bersih Pisang 2025'!K109</f>
        <v/>
      </c>
      <c r="L107" s="15">
        <f t="shared" si="3"/>
        <v>0</v>
      </c>
      <c r="M107" s="14" t="str">
        <f>IF(D107="","",VLOOKUP(D107,'[1]0.1 Produksi Pangan &amp; Penduduk'!$D$5:$AU$704,44,0))</f>
        <v/>
      </c>
      <c r="N107" s="26" t="str">
        <f t="shared" si="4"/>
        <v/>
      </c>
      <c r="O107" s="16"/>
      <c r="P107" s="25" t="str">
        <f t="shared" si="5"/>
        <v/>
      </c>
      <c r="Q107" s="8"/>
      <c r="R107" s="11"/>
    </row>
    <row r="108" spans="1:18" ht="15" x14ac:dyDescent="0.25">
      <c r="A108" s="3" t="str">
        <f>IF('1.1 Produksi Bersih Padi 2025'!A110="","",'1.1 Produksi Bersih Padi 2025'!A110)</f>
        <v/>
      </c>
      <c r="B108" s="32" t="str">
        <f>IF('1.1 Produksi Bersih Padi 2025'!B110="","",'1.1 Produksi Bersih Padi 2025'!B110)</f>
        <v/>
      </c>
      <c r="C108" s="32" t="str">
        <f>IF('1.1 Produksi Bersih Padi 2025'!C110="","",'1.1 Produksi Bersih Padi 2025'!C110)</f>
        <v/>
      </c>
      <c r="D108" s="3" t="str">
        <f>IF('1.1 Produksi Bersih Padi 2025'!D110="","",'1.1 Produksi Bersih Padi 2025'!D110)</f>
        <v/>
      </c>
      <c r="E108" s="3" t="str">
        <f>IF('1.1 Produksi Bersih Padi 2025'!E110="","",'1.1 Produksi Bersih Padi 2025'!E110)</f>
        <v/>
      </c>
      <c r="F108" s="13" t="str">
        <f>'1.1 Produksi Bersih Padi 2025'!Q110</f>
        <v/>
      </c>
      <c r="G108" s="13" t="str">
        <f>'1.2 Produksi Bersih Jagung 2025'!L110</f>
        <v/>
      </c>
      <c r="H108" s="13" t="str">
        <f>'1.3 Prod Bersih Ubi Kayu 2025'!K110</f>
        <v/>
      </c>
      <c r="I108" s="13" t="str">
        <f>'1.4 Prod Bersih Ubi Jalar 2025'!K110</f>
        <v/>
      </c>
      <c r="J108" s="13" t="str">
        <f>'1.5 Prod Bersih Sagu 2025'!K110</f>
        <v/>
      </c>
      <c r="K108" s="13" t="str">
        <f>'1.6 Prod Bersih Pisang 2025'!K110</f>
        <v/>
      </c>
      <c r="L108" s="15">
        <f t="shared" si="3"/>
        <v>0</v>
      </c>
      <c r="M108" s="14" t="str">
        <f>IF(D108="","",VLOOKUP(D108,'[1]0.1 Produksi Pangan &amp; Penduduk'!$D$5:$AU$704,44,0))</f>
        <v/>
      </c>
      <c r="N108" s="26" t="str">
        <f t="shared" si="4"/>
        <v/>
      </c>
      <c r="O108" s="16"/>
      <c r="P108" s="25" t="str">
        <f t="shared" si="5"/>
        <v/>
      </c>
      <c r="Q108" s="8"/>
      <c r="R108" s="11"/>
    </row>
    <row r="109" spans="1:18" ht="15" x14ac:dyDescent="0.25">
      <c r="A109" s="3" t="str">
        <f>IF('1.1 Produksi Bersih Padi 2025'!A111="","",'1.1 Produksi Bersih Padi 2025'!A111)</f>
        <v/>
      </c>
      <c r="B109" s="32" t="str">
        <f>IF('1.1 Produksi Bersih Padi 2025'!B111="","",'1.1 Produksi Bersih Padi 2025'!B111)</f>
        <v/>
      </c>
      <c r="C109" s="32" t="str">
        <f>IF('1.1 Produksi Bersih Padi 2025'!C111="","",'1.1 Produksi Bersih Padi 2025'!C111)</f>
        <v/>
      </c>
      <c r="D109" s="3" t="str">
        <f>IF('1.1 Produksi Bersih Padi 2025'!D111="","",'1.1 Produksi Bersih Padi 2025'!D111)</f>
        <v/>
      </c>
      <c r="E109" s="3" t="str">
        <f>IF('1.1 Produksi Bersih Padi 2025'!E111="","",'1.1 Produksi Bersih Padi 2025'!E111)</f>
        <v/>
      </c>
      <c r="F109" s="13" t="str">
        <f>'1.1 Produksi Bersih Padi 2025'!Q111</f>
        <v/>
      </c>
      <c r="G109" s="13" t="str">
        <f>'1.2 Produksi Bersih Jagung 2025'!L111</f>
        <v/>
      </c>
      <c r="H109" s="13" t="str">
        <f>'1.3 Prod Bersih Ubi Kayu 2025'!K111</f>
        <v/>
      </c>
      <c r="I109" s="13" t="str">
        <f>'1.4 Prod Bersih Ubi Jalar 2025'!K111</f>
        <v/>
      </c>
      <c r="J109" s="13" t="str">
        <f>'1.5 Prod Bersih Sagu 2025'!K111</f>
        <v/>
      </c>
      <c r="K109" s="13" t="str">
        <f>'1.6 Prod Bersih Pisang 2025'!K111</f>
        <v/>
      </c>
      <c r="L109" s="15">
        <f t="shared" si="3"/>
        <v>0</v>
      </c>
      <c r="M109" s="14" t="str">
        <f>IF(D109="","",VLOOKUP(D109,'[1]0.1 Produksi Pangan &amp; Penduduk'!$D$5:$AU$704,44,0))</f>
        <v/>
      </c>
      <c r="N109" s="26" t="str">
        <f t="shared" si="4"/>
        <v/>
      </c>
      <c r="O109" s="16"/>
      <c r="P109" s="25" t="str">
        <f t="shared" si="5"/>
        <v/>
      </c>
      <c r="Q109" s="8"/>
      <c r="R109" s="11"/>
    </row>
    <row r="110" spans="1:18" ht="15" x14ac:dyDescent="0.25">
      <c r="A110" s="3" t="str">
        <f>IF('1.1 Produksi Bersih Padi 2025'!A112="","",'1.1 Produksi Bersih Padi 2025'!A112)</f>
        <v/>
      </c>
      <c r="B110" s="32" t="str">
        <f>IF('1.1 Produksi Bersih Padi 2025'!B112="","",'1.1 Produksi Bersih Padi 2025'!B112)</f>
        <v/>
      </c>
      <c r="C110" s="32" t="str">
        <f>IF('1.1 Produksi Bersih Padi 2025'!C112="","",'1.1 Produksi Bersih Padi 2025'!C112)</f>
        <v/>
      </c>
      <c r="D110" s="3" t="str">
        <f>IF('1.1 Produksi Bersih Padi 2025'!D112="","",'1.1 Produksi Bersih Padi 2025'!D112)</f>
        <v/>
      </c>
      <c r="E110" s="3" t="str">
        <f>IF('1.1 Produksi Bersih Padi 2025'!E112="","",'1.1 Produksi Bersih Padi 2025'!E112)</f>
        <v/>
      </c>
      <c r="F110" s="13" t="str">
        <f>'1.1 Produksi Bersih Padi 2025'!Q112</f>
        <v/>
      </c>
      <c r="G110" s="13" t="str">
        <f>'1.2 Produksi Bersih Jagung 2025'!L112</f>
        <v/>
      </c>
      <c r="H110" s="13" t="str">
        <f>'1.3 Prod Bersih Ubi Kayu 2025'!K112</f>
        <v/>
      </c>
      <c r="I110" s="13" t="str">
        <f>'1.4 Prod Bersih Ubi Jalar 2025'!K112</f>
        <v/>
      </c>
      <c r="J110" s="13" t="str">
        <f>'1.5 Prod Bersih Sagu 2025'!K112</f>
        <v/>
      </c>
      <c r="K110" s="13" t="str">
        <f>'1.6 Prod Bersih Pisang 2025'!K112</f>
        <v/>
      </c>
      <c r="L110" s="15">
        <f t="shared" si="3"/>
        <v>0</v>
      </c>
      <c r="M110" s="14" t="str">
        <f>IF(D110="","",VLOOKUP(D110,'[1]0.1 Produksi Pangan &amp; Penduduk'!$D$5:$AU$704,44,0))</f>
        <v/>
      </c>
      <c r="N110" s="26" t="str">
        <f t="shared" si="4"/>
        <v/>
      </c>
      <c r="O110" s="16"/>
      <c r="P110" s="25" t="str">
        <f t="shared" si="5"/>
        <v/>
      </c>
      <c r="Q110" s="8"/>
      <c r="R110" s="11"/>
    </row>
    <row r="111" spans="1:18" ht="15" x14ac:dyDescent="0.25">
      <c r="A111" s="3" t="str">
        <f>IF('1.1 Produksi Bersih Padi 2025'!A113="","",'1.1 Produksi Bersih Padi 2025'!A113)</f>
        <v/>
      </c>
      <c r="B111" s="32" t="str">
        <f>IF('1.1 Produksi Bersih Padi 2025'!B113="","",'1.1 Produksi Bersih Padi 2025'!B113)</f>
        <v/>
      </c>
      <c r="C111" s="32" t="str">
        <f>IF('1.1 Produksi Bersih Padi 2025'!C113="","",'1.1 Produksi Bersih Padi 2025'!C113)</f>
        <v/>
      </c>
      <c r="D111" s="3" t="str">
        <f>IF('1.1 Produksi Bersih Padi 2025'!D113="","",'1.1 Produksi Bersih Padi 2025'!D113)</f>
        <v/>
      </c>
      <c r="E111" s="3" t="str">
        <f>IF('1.1 Produksi Bersih Padi 2025'!E113="","",'1.1 Produksi Bersih Padi 2025'!E113)</f>
        <v/>
      </c>
      <c r="F111" s="13" t="str">
        <f>'1.1 Produksi Bersih Padi 2025'!Q113</f>
        <v/>
      </c>
      <c r="G111" s="13" t="str">
        <f>'1.2 Produksi Bersih Jagung 2025'!L113</f>
        <v/>
      </c>
      <c r="H111" s="13" t="str">
        <f>'1.3 Prod Bersih Ubi Kayu 2025'!K113</f>
        <v/>
      </c>
      <c r="I111" s="13" t="str">
        <f>'1.4 Prod Bersih Ubi Jalar 2025'!K113</f>
        <v/>
      </c>
      <c r="J111" s="13" t="str">
        <f>'1.5 Prod Bersih Sagu 2025'!K113</f>
        <v/>
      </c>
      <c r="K111" s="13" t="str">
        <f>'1.6 Prod Bersih Pisang 2025'!K113</f>
        <v/>
      </c>
      <c r="L111" s="15">
        <f t="shared" si="3"/>
        <v>0</v>
      </c>
      <c r="M111" s="14" t="str">
        <f>IF(D111="","",VLOOKUP(D111,'[1]0.1 Produksi Pangan &amp; Penduduk'!$D$5:$AU$704,44,0))</f>
        <v/>
      </c>
      <c r="N111" s="26" t="str">
        <f t="shared" si="4"/>
        <v/>
      </c>
      <c r="O111" s="16"/>
      <c r="P111" s="25" t="str">
        <f t="shared" si="5"/>
        <v/>
      </c>
      <c r="Q111" s="8"/>
      <c r="R111" s="11"/>
    </row>
    <row r="112" spans="1:18" ht="15" x14ac:dyDescent="0.25">
      <c r="A112" s="3" t="str">
        <f>IF('1.1 Produksi Bersih Padi 2025'!A114="","",'1.1 Produksi Bersih Padi 2025'!A114)</f>
        <v/>
      </c>
      <c r="B112" s="32" t="str">
        <f>IF('1.1 Produksi Bersih Padi 2025'!B114="","",'1.1 Produksi Bersih Padi 2025'!B114)</f>
        <v/>
      </c>
      <c r="C112" s="32" t="str">
        <f>IF('1.1 Produksi Bersih Padi 2025'!C114="","",'1.1 Produksi Bersih Padi 2025'!C114)</f>
        <v/>
      </c>
      <c r="D112" s="3" t="str">
        <f>IF('1.1 Produksi Bersih Padi 2025'!D114="","",'1.1 Produksi Bersih Padi 2025'!D114)</f>
        <v/>
      </c>
      <c r="E112" s="3" t="str">
        <f>IF('1.1 Produksi Bersih Padi 2025'!E114="","",'1.1 Produksi Bersih Padi 2025'!E114)</f>
        <v/>
      </c>
      <c r="F112" s="13" t="str">
        <f>'1.1 Produksi Bersih Padi 2025'!Q114</f>
        <v/>
      </c>
      <c r="G112" s="13" t="str">
        <f>'1.2 Produksi Bersih Jagung 2025'!L114</f>
        <v/>
      </c>
      <c r="H112" s="13" t="str">
        <f>'1.3 Prod Bersih Ubi Kayu 2025'!K114</f>
        <v/>
      </c>
      <c r="I112" s="13" t="str">
        <f>'1.4 Prod Bersih Ubi Jalar 2025'!K114</f>
        <v/>
      </c>
      <c r="J112" s="13" t="str">
        <f>'1.5 Prod Bersih Sagu 2025'!K114</f>
        <v/>
      </c>
      <c r="K112" s="13" t="str">
        <f>'1.6 Prod Bersih Pisang 2025'!K114</f>
        <v/>
      </c>
      <c r="L112" s="15">
        <f t="shared" si="3"/>
        <v>0</v>
      </c>
      <c r="M112" s="14" t="str">
        <f>IF(D112="","",VLOOKUP(D112,'[1]0.1 Produksi Pangan &amp; Penduduk'!$D$5:$AU$704,44,0))</f>
        <v/>
      </c>
      <c r="N112" s="26" t="str">
        <f t="shared" si="4"/>
        <v/>
      </c>
      <c r="O112" s="16"/>
      <c r="P112" s="25" t="str">
        <f t="shared" si="5"/>
        <v/>
      </c>
      <c r="Q112" s="8"/>
      <c r="R112" s="11"/>
    </row>
    <row r="113" spans="1:18" ht="15" x14ac:dyDescent="0.25">
      <c r="A113" s="3" t="str">
        <f>IF('1.1 Produksi Bersih Padi 2025'!A115="","",'1.1 Produksi Bersih Padi 2025'!A115)</f>
        <v/>
      </c>
      <c r="B113" s="32" t="str">
        <f>IF('1.1 Produksi Bersih Padi 2025'!B115="","",'1.1 Produksi Bersih Padi 2025'!B115)</f>
        <v/>
      </c>
      <c r="C113" s="32" t="str">
        <f>IF('1.1 Produksi Bersih Padi 2025'!C115="","",'1.1 Produksi Bersih Padi 2025'!C115)</f>
        <v/>
      </c>
      <c r="D113" s="3" t="str">
        <f>IF('1.1 Produksi Bersih Padi 2025'!D115="","",'1.1 Produksi Bersih Padi 2025'!D115)</f>
        <v/>
      </c>
      <c r="E113" s="3" t="str">
        <f>IF('1.1 Produksi Bersih Padi 2025'!E115="","",'1.1 Produksi Bersih Padi 2025'!E115)</f>
        <v/>
      </c>
      <c r="F113" s="13" t="str">
        <f>'1.1 Produksi Bersih Padi 2025'!Q115</f>
        <v/>
      </c>
      <c r="G113" s="13" t="str">
        <f>'1.2 Produksi Bersih Jagung 2025'!L115</f>
        <v/>
      </c>
      <c r="H113" s="13" t="str">
        <f>'1.3 Prod Bersih Ubi Kayu 2025'!K115</f>
        <v/>
      </c>
      <c r="I113" s="13" t="str">
        <f>'1.4 Prod Bersih Ubi Jalar 2025'!K115</f>
        <v/>
      </c>
      <c r="J113" s="13" t="str">
        <f>'1.5 Prod Bersih Sagu 2025'!K115</f>
        <v/>
      </c>
      <c r="K113" s="13" t="str">
        <f>'1.6 Prod Bersih Pisang 2025'!K115</f>
        <v/>
      </c>
      <c r="L113" s="15">
        <f t="shared" si="3"/>
        <v>0</v>
      </c>
      <c r="M113" s="14" t="str">
        <f>IF(D113="","",VLOOKUP(D113,'[1]0.1 Produksi Pangan &amp; Penduduk'!$D$5:$AU$704,44,0))</f>
        <v/>
      </c>
      <c r="N113" s="26" t="str">
        <f t="shared" si="4"/>
        <v/>
      </c>
      <c r="O113" s="16"/>
      <c r="P113" s="25" t="str">
        <f t="shared" si="5"/>
        <v/>
      </c>
      <c r="Q113" s="8"/>
      <c r="R113" s="11"/>
    </row>
    <row r="114" spans="1:18" ht="15" x14ac:dyDescent="0.25">
      <c r="A114" s="3" t="str">
        <f>IF('1.1 Produksi Bersih Padi 2025'!A116="","",'1.1 Produksi Bersih Padi 2025'!A116)</f>
        <v/>
      </c>
      <c r="B114" s="32" t="str">
        <f>IF('1.1 Produksi Bersih Padi 2025'!B116="","",'1.1 Produksi Bersih Padi 2025'!B116)</f>
        <v/>
      </c>
      <c r="C114" s="32" t="str">
        <f>IF('1.1 Produksi Bersih Padi 2025'!C116="","",'1.1 Produksi Bersih Padi 2025'!C116)</f>
        <v/>
      </c>
      <c r="D114" s="3" t="str">
        <f>IF('1.1 Produksi Bersih Padi 2025'!D116="","",'1.1 Produksi Bersih Padi 2025'!D116)</f>
        <v/>
      </c>
      <c r="E114" s="3" t="str">
        <f>IF('1.1 Produksi Bersih Padi 2025'!E116="","",'1.1 Produksi Bersih Padi 2025'!E116)</f>
        <v/>
      </c>
      <c r="F114" s="13" t="str">
        <f>'1.1 Produksi Bersih Padi 2025'!Q116</f>
        <v/>
      </c>
      <c r="G114" s="13" t="str">
        <f>'1.2 Produksi Bersih Jagung 2025'!L116</f>
        <v/>
      </c>
      <c r="H114" s="13" t="str">
        <f>'1.3 Prod Bersih Ubi Kayu 2025'!K116</f>
        <v/>
      </c>
      <c r="I114" s="13" t="str">
        <f>'1.4 Prod Bersih Ubi Jalar 2025'!K116</f>
        <v/>
      </c>
      <c r="J114" s="13" t="str">
        <f>'1.5 Prod Bersih Sagu 2025'!K116</f>
        <v/>
      </c>
      <c r="K114" s="13" t="str">
        <f>'1.6 Prod Bersih Pisang 2025'!K116</f>
        <v/>
      </c>
      <c r="L114" s="15">
        <f t="shared" si="3"/>
        <v>0</v>
      </c>
      <c r="M114" s="14" t="str">
        <f>IF(D114="","",VLOOKUP(D114,'[1]0.1 Produksi Pangan &amp; Penduduk'!$D$5:$AU$704,44,0))</f>
        <v/>
      </c>
      <c r="N114" s="26" t="str">
        <f t="shared" si="4"/>
        <v/>
      </c>
      <c r="O114" s="16"/>
      <c r="P114" s="25" t="str">
        <f t="shared" si="5"/>
        <v/>
      </c>
      <c r="Q114" s="8"/>
      <c r="R114" s="11"/>
    </row>
    <row r="115" spans="1:18" ht="15" x14ac:dyDescent="0.25">
      <c r="A115" s="3" t="str">
        <f>IF('1.1 Produksi Bersih Padi 2025'!A117="","",'1.1 Produksi Bersih Padi 2025'!A117)</f>
        <v/>
      </c>
      <c r="B115" s="32" t="str">
        <f>IF('1.1 Produksi Bersih Padi 2025'!B117="","",'1.1 Produksi Bersih Padi 2025'!B117)</f>
        <v/>
      </c>
      <c r="C115" s="32" t="str">
        <f>IF('1.1 Produksi Bersih Padi 2025'!C117="","",'1.1 Produksi Bersih Padi 2025'!C117)</f>
        <v/>
      </c>
      <c r="D115" s="3" t="str">
        <f>IF('1.1 Produksi Bersih Padi 2025'!D117="","",'1.1 Produksi Bersih Padi 2025'!D117)</f>
        <v/>
      </c>
      <c r="E115" s="3" t="str">
        <f>IF('1.1 Produksi Bersih Padi 2025'!E117="","",'1.1 Produksi Bersih Padi 2025'!E117)</f>
        <v/>
      </c>
      <c r="F115" s="13" t="str">
        <f>'1.1 Produksi Bersih Padi 2025'!Q117</f>
        <v/>
      </c>
      <c r="G115" s="13" t="str">
        <f>'1.2 Produksi Bersih Jagung 2025'!L117</f>
        <v/>
      </c>
      <c r="H115" s="13" t="str">
        <f>'1.3 Prod Bersih Ubi Kayu 2025'!K117</f>
        <v/>
      </c>
      <c r="I115" s="13" t="str">
        <f>'1.4 Prod Bersih Ubi Jalar 2025'!K117</f>
        <v/>
      </c>
      <c r="J115" s="13" t="str">
        <f>'1.5 Prod Bersih Sagu 2025'!K117</f>
        <v/>
      </c>
      <c r="K115" s="13" t="str">
        <f>'1.6 Prod Bersih Pisang 2025'!K117</f>
        <v/>
      </c>
      <c r="L115" s="15">
        <f t="shared" si="3"/>
        <v>0</v>
      </c>
      <c r="M115" s="14" t="str">
        <f>IF(D115="","",VLOOKUP(D115,'[1]0.1 Produksi Pangan &amp; Penduduk'!$D$5:$AU$704,44,0))</f>
        <v/>
      </c>
      <c r="N115" s="26" t="str">
        <f t="shared" si="4"/>
        <v/>
      </c>
      <c r="O115" s="16"/>
      <c r="P115" s="25" t="str">
        <f t="shared" si="5"/>
        <v/>
      </c>
      <c r="Q115" s="8"/>
      <c r="R115" s="11"/>
    </row>
    <row r="116" spans="1:18" ht="15" x14ac:dyDescent="0.25">
      <c r="A116" s="3" t="str">
        <f>IF('1.1 Produksi Bersih Padi 2025'!A118="","",'1.1 Produksi Bersih Padi 2025'!A118)</f>
        <v/>
      </c>
      <c r="B116" s="32" t="str">
        <f>IF('1.1 Produksi Bersih Padi 2025'!B118="","",'1.1 Produksi Bersih Padi 2025'!B118)</f>
        <v/>
      </c>
      <c r="C116" s="32" t="str">
        <f>IF('1.1 Produksi Bersih Padi 2025'!C118="","",'1.1 Produksi Bersih Padi 2025'!C118)</f>
        <v/>
      </c>
      <c r="D116" s="3" t="str">
        <f>IF('1.1 Produksi Bersih Padi 2025'!D118="","",'1.1 Produksi Bersih Padi 2025'!D118)</f>
        <v/>
      </c>
      <c r="E116" s="3" t="str">
        <f>IF('1.1 Produksi Bersih Padi 2025'!E118="","",'1.1 Produksi Bersih Padi 2025'!E118)</f>
        <v/>
      </c>
      <c r="F116" s="13" t="str">
        <f>'1.1 Produksi Bersih Padi 2025'!Q118</f>
        <v/>
      </c>
      <c r="G116" s="13" t="str">
        <f>'1.2 Produksi Bersih Jagung 2025'!L118</f>
        <v/>
      </c>
      <c r="H116" s="13" t="str">
        <f>'1.3 Prod Bersih Ubi Kayu 2025'!K118</f>
        <v/>
      </c>
      <c r="I116" s="13" t="str">
        <f>'1.4 Prod Bersih Ubi Jalar 2025'!K118</f>
        <v/>
      </c>
      <c r="J116" s="13" t="str">
        <f>'1.5 Prod Bersih Sagu 2025'!K118</f>
        <v/>
      </c>
      <c r="K116" s="13" t="str">
        <f>'1.6 Prod Bersih Pisang 2025'!K118</f>
        <v/>
      </c>
      <c r="L116" s="15">
        <f t="shared" si="3"/>
        <v>0</v>
      </c>
      <c r="M116" s="14" t="str">
        <f>IF(D116="","",VLOOKUP(D116,'[1]0.1 Produksi Pangan &amp; Penduduk'!$D$5:$AU$704,44,0))</f>
        <v/>
      </c>
      <c r="N116" s="26" t="str">
        <f t="shared" si="4"/>
        <v/>
      </c>
      <c r="O116" s="16"/>
      <c r="P116" s="25" t="str">
        <f t="shared" si="5"/>
        <v/>
      </c>
      <c r="Q116" s="8"/>
      <c r="R116" s="11"/>
    </row>
    <row r="117" spans="1:18" ht="15" x14ac:dyDescent="0.25">
      <c r="A117" s="3" t="str">
        <f>IF('1.1 Produksi Bersih Padi 2025'!A119="","",'1.1 Produksi Bersih Padi 2025'!A119)</f>
        <v/>
      </c>
      <c r="B117" s="32" t="str">
        <f>IF('1.1 Produksi Bersih Padi 2025'!B119="","",'1.1 Produksi Bersih Padi 2025'!B119)</f>
        <v/>
      </c>
      <c r="C117" s="32" t="str">
        <f>IF('1.1 Produksi Bersih Padi 2025'!C119="","",'1.1 Produksi Bersih Padi 2025'!C119)</f>
        <v/>
      </c>
      <c r="D117" s="3" t="str">
        <f>IF('1.1 Produksi Bersih Padi 2025'!D119="","",'1.1 Produksi Bersih Padi 2025'!D119)</f>
        <v/>
      </c>
      <c r="E117" s="3" t="str">
        <f>IF('1.1 Produksi Bersih Padi 2025'!E119="","",'1.1 Produksi Bersih Padi 2025'!E119)</f>
        <v/>
      </c>
      <c r="F117" s="13" t="str">
        <f>'1.1 Produksi Bersih Padi 2025'!Q119</f>
        <v/>
      </c>
      <c r="G117" s="13" t="str">
        <f>'1.2 Produksi Bersih Jagung 2025'!L119</f>
        <v/>
      </c>
      <c r="H117" s="13" t="str">
        <f>'1.3 Prod Bersih Ubi Kayu 2025'!K119</f>
        <v/>
      </c>
      <c r="I117" s="13" t="str">
        <f>'1.4 Prod Bersih Ubi Jalar 2025'!K119</f>
        <v/>
      </c>
      <c r="J117" s="13" t="str">
        <f>'1.5 Prod Bersih Sagu 2025'!K119</f>
        <v/>
      </c>
      <c r="K117" s="13" t="str">
        <f>'1.6 Prod Bersih Pisang 2025'!K119</f>
        <v/>
      </c>
      <c r="L117" s="15">
        <f t="shared" si="3"/>
        <v>0</v>
      </c>
      <c r="M117" s="14" t="str">
        <f>IF(D117="","",VLOOKUP(D117,'[1]0.1 Produksi Pangan &amp; Penduduk'!$D$5:$AU$704,44,0))</f>
        <v/>
      </c>
      <c r="N117" s="26" t="str">
        <f t="shared" si="4"/>
        <v/>
      </c>
      <c r="O117" s="16"/>
      <c r="P117" s="25" t="str">
        <f t="shared" si="5"/>
        <v/>
      </c>
      <c r="Q117" s="8"/>
      <c r="R117" s="11"/>
    </row>
    <row r="118" spans="1:18" ht="15" x14ac:dyDescent="0.25">
      <c r="A118" s="3" t="str">
        <f>IF('1.1 Produksi Bersih Padi 2025'!A120="","",'1.1 Produksi Bersih Padi 2025'!A120)</f>
        <v/>
      </c>
      <c r="B118" s="32" t="str">
        <f>IF('1.1 Produksi Bersih Padi 2025'!B120="","",'1.1 Produksi Bersih Padi 2025'!B120)</f>
        <v/>
      </c>
      <c r="C118" s="32" t="str">
        <f>IF('1.1 Produksi Bersih Padi 2025'!C120="","",'1.1 Produksi Bersih Padi 2025'!C120)</f>
        <v/>
      </c>
      <c r="D118" s="3" t="str">
        <f>IF('1.1 Produksi Bersih Padi 2025'!D120="","",'1.1 Produksi Bersih Padi 2025'!D120)</f>
        <v/>
      </c>
      <c r="E118" s="3" t="str">
        <f>IF('1.1 Produksi Bersih Padi 2025'!E120="","",'1.1 Produksi Bersih Padi 2025'!E120)</f>
        <v/>
      </c>
      <c r="F118" s="13" t="str">
        <f>'1.1 Produksi Bersih Padi 2025'!Q120</f>
        <v/>
      </c>
      <c r="G118" s="13" t="str">
        <f>'1.2 Produksi Bersih Jagung 2025'!L120</f>
        <v/>
      </c>
      <c r="H118" s="13" t="str">
        <f>'1.3 Prod Bersih Ubi Kayu 2025'!K120</f>
        <v/>
      </c>
      <c r="I118" s="13" t="str">
        <f>'1.4 Prod Bersih Ubi Jalar 2025'!K120</f>
        <v/>
      </c>
      <c r="J118" s="13" t="str">
        <f>'1.5 Prod Bersih Sagu 2025'!K120</f>
        <v/>
      </c>
      <c r="K118" s="13" t="str">
        <f>'1.6 Prod Bersih Pisang 2025'!K120</f>
        <v/>
      </c>
      <c r="L118" s="15">
        <f t="shared" si="3"/>
        <v>0</v>
      </c>
      <c r="M118" s="14" t="str">
        <f>IF(D118="","",VLOOKUP(D118,'[1]0.1 Produksi Pangan &amp; Penduduk'!$D$5:$AU$704,44,0))</f>
        <v/>
      </c>
      <c r="N118" s="26" t="str">
        <f t="shared" si="4"/>
        <v/>
      </c>
      <c r="O118" s="16"/>
      <c r="P118" s="25" t="str">
        <f t="shared" si="5"/>
        <v/>
      </c>
      <c r="Q118" s="8"/>
      <c r="R118" s="11"/>
    </row>
    <row r="119" spans="1:18" ht="15" x14ac:dyDescent="0.25">
      <c r="A119" s="3" t="str">
        <f>IF('1.1 Produksi Bersih Padi 2025'!A121="","",'1.1 Produksi Bersih Padi 2025'!A121)</f>
        <v/>
      </c>
      <c r="B119" s="32" t="str">
        <f>IF('1.1 Produksi Bersih Padi 2025'!B121="","",'1.1 Produksi Bersih Padi 2025'!B121)</f>
        <v/>
      </c>
      <c r="C119" s="32" t="str">
        <f>IF('1.1 Produksi Bersih Padi 2025'!C121="","",'1.1 Produksi Bersih Padi 2025'!C121)</f>
        <v/>
      </c>
      <c r="D119" s="3" t="str">
        <f>IF('1.1 Produksi Bersih Padi 2025'!D121="","",'1.1 Produksi Bersih Padi 2025'!D121)</f>
        <v/>
      </c>
      <c r="E119" s="3" t="str">
        <f>IF('1.1 Produksi Bersih Padi 2025'!E121="","",'1.1 Produksi Bersih Padi 2025'!E121)</f>
        <v/>
      </c>
      <c r="F119" s="13" t="str">
        <f>'1.1 Produksi Bersih Padi 2025'!Q121</f>
        <v/>
      </c>
      <c r="G119" s="13" t="str">
        <f>'1.2 Produksi Bersih Jagung 2025'!L121</f>
        <v/>
      </c>
      <c r="H119" s="13" t="str">
        <f>'1.3 Prod Bersih Ubi Kayu 2025'!K121</f>
        <v/>
      </c>
      <c r="I119" s="13" t="str">
        <f>'1.4 Prod Bersih Ubi Jalar 2025'!K121</f>
        <v/>
      </c>
      <c r="J119" s="13" t="str">
        <f>'1.5 Prod Bersih Sagu 2025'!K121</f>
        <v/>
      </c>
      <c r="K119" s="13" t="str">
        <f>'1.6 Prod Bersih Pisang 2025'!K121</f>
        <v/>
      </c>
      <c r="L119" s="15">
        <f t="shared" si="3"/>
        <v>0</v>
      </c>
      <c r="M119" s="14" t="str">
        <f>IF(D119="","",VLOOKUP(D119,'[1]0.1 Produksi Pangan &amp; Penduduk'!$D$5:$AU$704,44,0))</f>
        <v/>
      </c>
      <c r="N119" s="26" t="str">
        <f t="shared" si="4"/>
        <v/>
      </c>
      <c r="O119" s="16"/>
      <c r="P119" s="25" t="str">
        <f t="shared" si="5"/>
        <v/>
      </c>
      <c r="Q119" s="8"/>
      <c r="R119" s="11"/>
    </row>
    <row r="120" spans="1:18" ht="15" x14ac:dyDescent="0.25">
      <c r="A120" s="3" t="str">
        <f>IF('1.1 Produksi Bersih Padi 2025'!A122="","",'1.1 Produksi Bersih Padi 2025'!A122)</f>
        <v/>
      </c>
      <c r="B120" s="32" t="str">
        <f>IF('1.1 Produksi Bersih Padi 2025'!B122="","",'1.1 Produksi Bersih Padi 2025'!B122)</f>
        <v/>
      </c>
      <c r="C120" s="32" t="str">
        <f>IF('1.1 Produksi Bersih Padi 2025'!C122="","",'1.1 Produksi Bersih Padi 2025'!C122)</f>
        <v/>
      </c>
      <c r="D120" s="3" t="str">
        <f>IF('1.1 Produksi Bersih Padi 2025'!D122="","",'1.1 Produksi Bersih Padi 2025'!D122)</f>
        <v/>
      </c>
      <c r="E120" s="3" t="str">
        <f>IF('1.1 Produksi Bersih Padi 2025'!E122="","",'1.1 Produksi Bersih Padi 2025'!E122)</f>
        <v/>
      </c>
      <c r="F120" s="13" t="str">
        <f>'1.1 Produksi Bersih Padi 2025'!Q122</f>
        <v/>
      </c>
      <c r="G120" s="13" t="str">
        <f>'1.2 Produksi Bersih Jagung 2025'!L122</f>
        <v/>
      </c>
      <c r="H120" s="13" t="str">
        <f>'1.3 Prod Bersih Ubi Kayu 2025'!K122</f>
        <v/>
      </c>
      <c r="I120" s="13" t="str">
        <f>'1.4 Prod Bersih Ubi Jalar 2025'!K122</f>
        <v/>
      </c>
      <c r="J120" s="13" t="str">
        <f>'1.5 Prod Bersih Sagu 2025'!K122</f>
        <v/>
      </c>
      <c r="K120" s="13" t="str">
        <f>'1.6 Prod Bersih Pisang 2025'!K122</f>
        <v/>
      </c>
      <c r="L120" s="15">
        <f t="shared" si="3"/>
        <v>0</v>
      </c>
      <c r="M120" s="14" t="str">
        <f>IF(D120="","",VLOOKUP(D120,'[1]0.1 Produksi Pangan &amp; Penduduk'!$D$5:$AU$704,44,0))</f>
        <v/>
      </c>
      <c r="N120" s="26" t="str">
        <f t="shared" si="4"/>
        <v/>
      </c>
      <c r="O120" s="16"/>
      <c r="P120" s="25" t="str">
        <f t="shared" si="5"/>
        <v/>
      </c>
      <c r="Q120" s="8"/>
      <c r="R120" s="11"/>
    </row>
    <row r="121" spans="1:18" ht="15" x14ac:dyDescent="0.25">
      <c r="A121" s="3" t="str">
        <f>IF('1.1 Produksi Bersih Padi 2025'!A123="","",'1.1 Produksi Bersih Padi 2025'!A123)</f>
        <v/>
      </c>
      <c r="B121" s="32" t="str">
        <f>IF('1.1 Produksi Bersih Padi 2025'!B123="","",'1.1 Produksi Bersih Padi 2025'!B123)</f>
        <v/>
      </c>
      <c r="C121" s="32" t="str">
        <f>IF('1.1 Produksi Bersih Padi 2025'!C123="","",'1.1 Produksi Bersih Padi 2025'!C123)</f>
        <v/>
      </c>
      <c r="D121" s="3" t="str">
        <f>IF('1.1 Produksi Bersih Padi 2025'!D123="","",'1.1 Produksi Bersih Padi 2025'!D123)</f>
        <v/>
      </c>
      <c r="E121" s="3" t="str">
        <f>IF('1.1 Produksi Bersih Padi 2025'!E123="","",'1.1 Produksi Bersih Padi 2025'!E123)</f>
        <v/>
      </c>
      <c r="F121" s="13" t="str">
        <f>'1.1 Produksi Bersih Padi 2025'!Q123</f>
        <v/>
      </c>
      <c r="G121" s="13" t="str">
        <f>'1.2 Produksi Bersih Jagung 2025'!L123</f>
        <v/>
      </c>
      <c r="H121" s="13" t="str">
        <f>'1.3 Prod Bersih Ubi Kayu 2025'!K123</f>
        <v/>
      </c>
      <c r="I121" s="13" t="str">
        <f>'1.4 Prod Bersih Ubi Jalar 2025'!K123</f>
        <v/>
      </c>
      <c r="J121" s="13" t="str">
        <f>'1.5 Prod Bersih Sagu 2025'!K123</f>
        <v/>
      </c>
      <c r="K121" s="13" t="str">
        <f>'1.6 Prod Bersih Pisang 2025'!K123</f>
        <v/>
      </c>
      <c r="L121" s="15">
        <f t="shared" si="3"/>
        <v>0</v>
      </c>
      <c r="M121" s="14" t="str">
        <f>IF(D121="","",VLOOKUP(D121,'[1]0.1 Produksi Pangan &amp; Penduduk'!$D$5:$AU$704,44,0))</f>
        <v/>
      </c>
      <c r="N121" s="26" t="str">
        <f t="shared" si="4"/>
        <v/>
      </c>
      <c r="O121" s="16"/>
      <c r="P121" s="25" t="str">
        <f t="shared" si="5"/>
        <v/>
      </c>
      <c r="Q121" s="8"/>
      <c r="R121" s="11"/>
    </row>
    <row r="122" spans="1:18" ht="15" x14ac:dyDescent="0.25">
      <c r="A122" s="3" t="str">
        <f>IF('1.1 Produksi Bersih Padi 2025'!A124="","",'1.1 Produksi Bersih Padi 2025'!A124)</f>
        <v/>
      </c>
      <c r="B122" s="32" t="str">
        <f>IF('1.1 Produksi Bersih Padi 2025'!B124="","",'1.1 Produksi Bersih Padi 2025'!B124)</f>
        <v/>
      </c>
      <c r="C122" s="32" t="str">
        <f>IF('1.1 Produksi Bersih Padi 2025'!C124="","",'1.1 Produksi Bersih Padi 2025'!C124)</f>
        <v/>
      </c>
      <c r="D122" s="3" t="str">
        <f>IF('1.1 Produksi Bersih Padi 2025'!D124="","",'1.1 Produksi Bersih Padi 2025'!D124)</f>
        <v/>
      </c>
      <c r="E122" s="3" t="str">
        <f>IF('1.1 Produksi Bersih Padi 2025'!E124="","",'1.1 Produksi Bersih Padi 2025'!E124)</f>
        <v/>
      </c>
      <c r="F122" s="13" t="str">
        <f>'1.1 Produksi Bersih Padi 2025'!Q124</f>
        <v/>
      </c>
      <c r="G122" s="13" t="str">
        <f>'1.2 Produksi Bersih Jagung 2025'!L124</f>
        <v/>
      </c>
      <c r="H122" s="13" t="str">
        <f>'1.3 Prod Bersih Ubi Kayu 2025'!K124</f>
        <v/>
      </c>
      <c r="I122" s="13" t="str">
        <f>'1.4 Prod Bersih Ubi Jalar 2025'!K124</f>
        <v/>
      </c>
      <c r="J122" s="13" t="str">
        <f>'1.5 Prod Bersih Sagu 2025'!K124</f>
        <v/>
      </c>
      <c r="K122" s="13" t="str">
        <f>'1.6 Prod Bersih Pisang 2025'!K124</f>
        <v/>
      </c>
      <c r="L122" s="15">
        <f t="shared" si="3"/>
        <v>0</v>
      </c>
      <c r="M122" s="14" t="str">
        <f>IF(D122="","",VLOOKUP(D122,'[1]0.1 Produksi Pangan &amp; Penduduk'!$D$5:$AU$704,44,0))</f>
        <v/>
      </c>
      <c r="N122" s="26" t="str">
        <f t="shared" si="4"/>
        <v/>
      </c>
      <c r="O122" s="16"/>
      <c r="P122" s="25" t="str">
        <f t="shared" si="5"/>
        <v/>
      </c>
      <c r="Q122" s="8"/>
      <c r="R122" s="11"/>
    </row>
    <row r="123" spans="1:18" ht="15" x14ac:dyDescent="0.25">
      <c r="A123" s="3" t="str">
        <f>IF('1.1 Produksi Bersih Padi 2025'!A125="","",'1.1 Produksi Bersih Padi 2025'!A125)</f>
        <v/>
      </c>
      <c r="B123" s="32" t="str">
        <f>IF('1.1 Produksi Bersih Padi 2025'!B125="","",'1.1 Produksi Bersih Padi 2025'!B125)</f>
        <v/>
      </c>
      <c r="C123" s="32" t="str">
        <f>IF('1.1 Produksi Bersih Padi 2025'!C125="","",'1.1 Produksi Bersih Padi 2025'!C125)</f>
        <v/>
      </c>
      <c r="D123" s="3" t="str">
        <f>IF('1.1 Produksi Bersih Padi 2025'!D125="","",'1.1 Produksi Bersih Padi 2025'!D125)</f>
        <v/>
      </c>
      <c r="E123" s="3" t="str">
        <f>IF('1.1 Produksi Bersih Padi 2025'!E125="","",'1.1 Produksi Bersih Padi 2025'!E125)</f>
        <v/>
      </c>
      <c r="F123" s="13" t="str">
        <f>'1.1 Produksi Bersih Padi 2025'!Q125</f>
        <v/>
      </c>
      <c r="G123" s="13" t="str">
        <f>'1.2 Produksi Bersih Jagung 2025'!L125</f>
        <v/>
      </c>
      <c r="H123" s="13" t="str">
        <f>'1.3 Prod Bersih Ubi Kayu 2025'!K125</f>
        <v/>
      </c>
      <c r="I123" s="13" t="str">
        <f>'1.4 Prod Bersih Ubi Jalar 2025'!K125</f>
        <v/>
      </c>
      <c r="J123" s="13" t="str">
        <f>'1.5 Prod Bersih Sagu 2025'!K125</f>
        <v/>
      </c>
      <c r="K123" s="13" t="str">
        <f>'1.6 Prod Bersih Pisang 2025'!K125</f>
        <v/>
      </c>
      <c r="L123" s="15">
        <f t="shared" si="3"/>
        <v>0</v>
      </c>
      <c r="M123" s="14" t="str">
        <f>IF(D123="","",VLOOKUP(D123,'[1]0.1 Produksi Pangan &amp; Penduduk'!$D$5:$AU$704,44,0))</f>
        <v/>
      </c>
      <c r="N123" s="26" t="str">
        <f t="shared" si="4"/>
        <v/>
      </c>
      <c r="O123" s="16"/>
      <c r="P123" s="25" t="str">
        <f t="shared" si="5"/>
        <v/>
      </c>
      <c r="Q123" s="8"/>
      <c r="R123" s="11"/>
    </row>
    <row r="124" spans="1:18" ht="15" x14ac:dyDescent="0.25">
      <c r="A124" s="3" t="str">
        <f>IF('1.1 Produksi Bersih Padi 2025'!A126="","",'1.1 Produksi Bersih Padi 2025'!A126)</f>
        <v/>
      </c>
      <c r="B124" s="32" t="str">
        <f>IF('1.1 Produksi Bersih Padi 2025'!B126="","",'1.1 Produksi Bersih Padi 2025'!B126)</f>
        <v/>
      </c>
      <c r="C124" s="32" t="str">
        <f>IF('1.1 Produksi Bersih Padi 2025'!C126="","",'1.1 Produksi Bersih Padi 2025'!C126)</f>
        <v/>
      </c>
      <c r="D124" s="3" t="str">
        <f>IF('1.1 Produksi Bersih Padi 2025'!D126="","",'1.1 Produksi Bersih Padi 2025'!D126)</f>
        <v/>
      </c>
      <c r="E124" s="3" t="str">
        <f>IF('1.1 Produksi Bersih Padi 2025'!E126="","",'1.1 Produksi Bersih Padi 2025'!E126)</f>
        <v/>
      </c>
      <c r="F124" s="13" t="str">
        <f>'1.1 Produksi Bersih Padi 2025'!Q126</f>
        <v/>
      </c>
      <c r="G124" s="13" t="str">
        <f>'1.2 Produksi Bersih Jagung 2025'!L126</f>
        <v/>
      </c>
      <c r="H124" s="13" t="str">
        <f>'1.3 Prod Bersih Ubi Kayu 2025'!K126</f>
        <v/>
      </c>
      <c r="I124" s="13" t="str">
        <f>'1.4 Prod Bersih Ubi Jalar 2025'!K126</f>
        <v/>
      </c>
      <c r="J124" s="13" t="str">
        <f>'1.5 Prod Bersih Sagu 2025'!K126</f>
        <v/>
      </c>
      <c r="K124" s="13" t="str">
        <f>'1.6 Prod Bersih Pisang 2025'!K126</f>
        <v/>
      </c>
      <c r="L124" s="15">
        <f t="shared" si="3"/>
        <v>0</v>
      </c>
      <c r="M124" s="14" t="str">
        <f>IF(D124="","",VLOOKUP(D124,'[1]0.1 Produksi Pangan &amp; Penduduk'!$D$5:$AU$704,44,0))</f>
        <v/>
      </c>
      <c r="N124" s="26" t="str">
        <f t="shared" si="4"/>
        <v/>
      </c>
      <c r="O124" s="16"/>
      <c r="P124" s="25" t="str">
        <f t="shared" si="5"/>
        <v/>
      </c>
      <c r="Q124" s="8"/>
      <c r="R124" s="11"/>
    </row>
    <row r="125" spans="1:18" ht="15" x14ac:dyDescent="0.25">
      <c r="A125" s="3" t="str">
        <f>IF('1.1 Produksi Bersih Padi 2025'!A127="","",'1.1 Produksi Bersih Padi 2025'!A127)</f>
        <v/>
      </c>
      <c r="B125" s="32" t="str">
        <f>IF('1.1 Produksi Bersih Padi 2025'!B127="","",'1.1 Produksi Bersih Padi 2025'!B127)</f>
        <v/>
      </c>
      <c r="C125" s="32" t="str">
        <f>IF('1.1 Produksi Bersih Padi 2025'!C127="","",'1.1 Produksi Bersih Padi 2025'!C127)</f>
        <v/>
      </c>
      <c r="D125" s="3" t="str">
        <f>IF('1.1 Produksi Bersih Padi 2025'!D127="","",'1.1 Produksi Bersih Padi 2025'!D127)</f>
        <v/>
      </c>
      <c r="E125" s="3" t="str">
        <f>IF('1.1 Produksi Bersih Padi 2025'!E127="","",'1.1 Produksi Bersih Padi 2025'!E127)</f>
        <v/>
      </c>
      <c r="F125" s="13" t="str">
        <f>'1.1 Produksi Bersih Padi 2025'!Q127</f>
        <v/>
      </c>
      <c r="G125" s="13" t="str">
        <f>'1.2 Produksi Bersih Jagung 2025'!L127</f>
        <v/>
      </c>
      <c r="H125" s="13" t="str">
        <f>'1.3 Prod Bersih Ubi Kayu 2025'!K127</f>
        <v/>
      </c>
      <c r="I125" s="13" t="str">
        <f>'1.4 Prod Bersih Ubi Jalar 2025'!K127</f>
        <v/>
      </c>
      <c r="J125" s="13" t="str">
        <f>'1.5 Prod Bersih Sagu 2025'!K127</f>
        <v/>
      </c>
      <c r="K125" s="13" t="str">
        <f>'1.6 Prod Bersih Pisang 2025'!K127</f>
        <v/>
      </c>
      <c r="L125" s="15">
        <f t="shared" si="3"/>
        <v>0</v>
      </c>
      <c r="M125" s="14" t="str">
        <f>IF(D125="","",VLOOKUP(D125,'[1]0.1 Produksi Pangan &amp; Penduduk'!$D$5:$AU$704,44,0))</f>
        <v/>
      </c>
      <c r="N125" s="26" t="str">
        <f t="shared" si="4"/>
        <v/>
      </c>
      <c r="O125" s="16"/>
      <c r="P125" s="25" t="str">
        <f t="shared" si="5"/>
        <v/>
      </c>
      <c r="Q125" s="8"/>
      <c r="R125" s="11"/>
    </row>
    <row r="126" spans="1:18" ht="15" x14ac:dyDescent="0.25">
      <c r="A126" s="3" t="str">
        <f>IF('1.1 Produksi Bersih Padi 2025'!A128="","",'1.1 Produksi Bersih Padi 2025'!A128)</f>
        <v/>
      </c>
      <c r="B126" s="32" t="str">
        <f>IF('1.1 Produksi Bersih Padi 2025'!B128="","",'1.1 Produksi Bersih Padi 2025'!B128)</f>
        <v/>
      </c>
      <c r="C126" s="32" t="str">
        <f>IF('1.1 Produksi Bersih Padi 2025'!C128="","",'1.1 Produksi Bersih Padi 2025'!C128)</f>
        <v/>
      </c>
      <c r="D126" s="3" t="str">
        <f>IF('1.1 Produksi Bersih Padi 2025'!D128="","",'1.1 Produksi Bersih Padi 2025'!D128)</f>
        <v/>
      </c>
      <c r="E126" s="3" t="str">
        <f>IF('1.1 Produksi Bersih Padi 2025'!E128="","",'1.1 Produksi Bersih Padi 2025'!E128)</f>
        <v/>
      </c>
      <c r="F126" s="13" t="str">
        <f>'1.1 Produksi Bersih Padi 2025'!Q128</f>
        <v/>
      </c>
      <c r="G126" s="13" t="str">
        <f>'1.2 Produksi Bersih Jagung 2025'!L128</f>
        <v/>
      </c>
      <c r="H126" s="13" t="str">
        <f>'1.3 Prod Bersih Ubi Kayu 2025'!K128</f>
        <v/>
      </c>
      <c r="I126" s="13" t="str">
        <f>'1.4 Prod Bersih Ubi Jalar 2025'!K128</f>
        <v/>
      </c>
      <c r="J126" s="13" t="str">
        <f>'1.5 Prod Bersih Sagu 2025'!K128</f>
        <v/>
      </c>
      <c r="K126" s="13" t="str">
        <f>'1.6 Prod Bersih Pisang 2025'!K128</f>
        <v/>
      </c>
      <c r="L126" s="15">
        <f t="shared" si="3"/>
        <v>0</v>
      </c>
      <c r="M126" s="14" t="str">
        <f>IF(D126="","",VLOOKUP(D126,'[1]0.1 Produksi Pangan &amp; Penduduk'!$D$5:$AU$704,44,0))</f>
        <v/>
      </c>
      <c r="N126" s="26" t="str">
        <f t="shared" si="4"/>
        <v/>
      </c>
      <c r="O126" s="16"/>
      <c r="P126" s="25" t="str">
        <f t="shared" si="5"/>
        <v/>
      </c>
      <c r="Q126" s="8"/>
      <c r="R126" s="11"/>
    </row>
    <row r="127" spans="1:18" ht="15" x14ac:dyDescent="0.25">
      <c r="A127" s="3" t="str">
        <f>IF('1.1 Produksi Bersih Padi 2025'!A129="","",'1.1 Produksi Bersih Padi 2025'!A129)</f>
        <v/>
      </c>
      <c r="B127" s="32" t="str">
        <f>IF('1.1 Produksi Bersih Padi 2025'!B129="","",'1.1 Produksi Bersih Padi 2025'!B129)</f>
        <v/>
      </c>
      <c r="C127" s="32" t="str">
        <f>IF('1.1 Produksi Bersih Padi 2025'!C129="","",'1.1 Produksi Bersih Padi 2025'!C129)</f>
        <v/>
      </c>
      <c r="D127" s="3" t="str">
        <f>IF('1.1 Produksi Bersih Padi 2025'!D129="","",'1.1 Produksi Bersih Padi 2025'!D129)</f>
        <v/>
      </c>
      <c r="E127" s="3" t="str">
        <f>IF('1.1 Produksi Bersih Padi 2025'!E129="","",'1.1 Produksi Bersih Padi 2025'!E129)</f>
        <v/>
      </c>
      <c r="F127" s="13" t="str">
        <f>'1.1 Produksi Bersih Padi 2025'!Q129</f>
        <v/>
      </c>
      <c r="G127" s="13" t="str">
        <f>'1.2 Produksi Bersih Jagung 2025'!L129</f>
        <v/>
      </c>
      <c r="H127" s="13" t="str">
        <f>'1.3 Prod Bersih Ubi Kayu 2025'!K129</f>
        <v/>
      </c>
      <c r="I127" s="13" t="str">
        <f>'1.4 Prod Bersih Ubi Jalar 2025'!K129</f>
        <v/>
      </c>
      <c r="J127" s="13" t="str">
        <f>'1.5 Prod Bersih Sagu 2025'!K129</f>
        <v/>
      </c>
      <c r="K127" s="13" t="str">
        <f>'1.6 Prod Bersih Pisang 2025'!K129</f>
        <v/>
      </c>
      <c r="L127" s="15">
        <f t="shared" si="3"/>
        <v>0</v>
      </c>
      <c r="M127" s="14" t="str">
        <f>IF(D127="","",VLOOKUP(D127,'[1]0.1 Produksi Pangan &amp; Penduduk'!$D$5:$AU$704,44,0))</f>
        <v/>
      </c>
      <c r="N127" s="26" t="str">
        <f t="shared" si="4"/>
        <v/>
      </c>
      <c r="O127" s="16"/>
      <c r="P127" s="25" t="str">
        <f t="shared" si="5"/>
        <v/>
      </c>
      <c r="Q127" s="8"/>
      <c r="R127" s="11"/>
    </row>
    <row r="128" spans="1:18" ht="15" x14ac:dyDescent="0.25">
      <c r="A128" s="3" t="str">
        <f>IF('1.1 Produksi Bersih Padi 2025'!A130="","",'1.1 Produksi Bersih Padi 2025'!A130)</f>
        <v/>
      </c>
      <c r="B128" s="32" t="str">
        <f>IF('1.1 Produksi Bersih Padi 2025'!B130="","",'1.1 Produksi Bersih Padi 2025'!B130)</f>
        <v/>
      </c>
      <c r="C128" s="32" t="str">
        <f>IF('1.1 Produksi Bersih Padi 2025'!C130="","",'1.1 Produksi Bersih Padi 2025'!C130)</f>
        <v/>
      </c>
      <c r="D128" s="3" t="str">
        <f>IF('1.1 Produksi Bersih Padi 2025'!D130="","",'1.1 Produksi Bersih Padi 2025'!D130)</f>
        <v/>
      </c>
      <c r="E128" s="3" t="str">
        <f>IF('1.1 Produksi Bersih Padi 2025'!E130="","",'1.1 Produksi Bersih Padi 2025'!E130)</f>
        <v/>
      </c>
      <c r="F128" s="13" t="str">
        <f>'1.1 Produksi Bersih Padi 2025'!Q130</f>
        <v/>
      </c>
      <c r="G128" s="13" t="str">
        <f>'1.2 Produksi Bersih Jagung 2025'!L130</f>
        <v/>
      </c>
      <c r="H128" s="13" t="str">
        <f>'1.3 Prod Bersih Ubi Kayu 2025'!K130</f>
        <v/>
      </c>
      <c r="I128" s="13" t="str">
        <f>'1.4 Prod Bersih Ubi Jalar 2025'!K130</f>
        <v/>
      </c>
      <c r="J128" s="13" t="str">
        <f>'1.5 Prod Bersih Sagu 2025'!K130</f>
        <v/>
      </c>
      <c r="K128" s="13" t="str">
        <f>'1.6 Prod Bersih Pisang 2025'!K130</f>
        <v/>
      </c>
      <c r="L128" s="15">
        <f t="shared" si="3"/>
        <v>0</v>
      </c>
      <c r="M128" s="14" t="str">
        <f>IF(D128="","",VLOOKUP(D128,'[1]0.1 Produksi Pangan &amp; Penduduk'!$D$5:$AU$704,44,0))</f>
        <v/>
      </c>
      <c r="N128" s="26" t="str">
        <f t="shared" si="4"/>
        <v/>
      </c>
      <c r="O128" s="16"/>
      <c r="P128" s="25" t="str">
        <f t="shared" si="5"/>
        <v/>
      </c>
      <c r="Q128" s="8"/>
      <c r="R128" s="11"/>
    </row>
    <row r="129" spans="1:18" ht="15" x14ac:dyDescent="0.25">
      <c r="A129" s="3" t="str">
        <f>IF('1.1 Produksi Bersih Padi 2025'!A131="","",'1.1 Produksi Bersih Padi 2025'!A131)</f>
        <v/>
      </c>
      <c r="B129" s="32" t="str">
        <f>IF('1.1 Produksi Bersih Padi 2025'!B131="","",'1.1 Produksi Bersih Padi 2025'!B131)</f>
        <v/>
      </c>
      <c r="C129" s="32" t="str">
        <f>IF('1.1 Produksi Bersih Padi 2025'!C131="","",'1.1 Produksi Bersih Padi 2025'!C131)</f>
        <v/>
      </c>
      <c r="D129" s="3" t="str">
        <f>IF('1.1 Produksi Bersih Padi 2025'!D131="","",'1.1 Produksi Bersih Padi 2025'!D131)</f>
        <v/>
      </c>
      <c r="E129" s="3" t="str">
        <f>IF('1.1 Produksi Bersih Padi 2025'!E131="","",'1.1 Produksi Bersih Padi 2025'!E131)</f>
        <v/>
      </c>
      <c r="F129" s="13" t="str">
        <f>'1.1 Produksi Bersih Padi 2025'!Q131</f>
        <v/>
      </c>
      <c r="G129" s="13" t="str">
        <f>'1.2 Produksi Bersih Jagung 2025'!L131</f>
        <v/>
      </c>
      <c r="H129" s="13" t="str">
        <f>'1.3 Prod Bersih Ubi Kayu 2025'!K131</f>
        <v/>
      </c>
      <c r="I129" s="13" t="str">
        <f>'1.4 Prod Bersih Ubi Jalar 2025'!K131</f>
        <v/>
      </c>
      <c r="J129" s="13" t="str">
        <f>'1.5 Prod Bersih Sagu 2025'!K131</f>
        <v/>
      </c>
      <c r="K129" s="13" t="str">
        <f>'1.6 Prod Bersih Pisang 2025'!K131</f>
        <v/>
      </c>
      <c r="L129" s="15">
        <f t="shared" si="3"/>
        <v>0</v>
      </c>
      <c r="M129" s="14" t="str">
        <f>IF(D129="","",VLOOKUP(D129,'[1]0.1 Produksi Pangan &amp; Penduduk'!$D$5:$AU$704,44,0))</f>
        <v/>
      </c>
      <c r="N129" s="26" t="str">
        <f t="shared" si="4"/>
        <v/>
      </c>
      <c r="O129" s="16"/>
      <c r="P129" s="25" t="str">
        <f t="shared" si="5"/>
        <v/>
      </c>
      <c r="Q129" s="8"/>
      <c r="R129" s="11"/>
    </row>
    <row r="130" spans="1:18" ht="15" x14ac:dyDescent="0.25">
      <c r="A130" s="3" t="str">
        <f>IF('1.1 Produksi Bersih Padi 2025'!A132="","",'1.1 Produksi Bersih Padi 2025'!A132)</f>
        <v/>
      </c>
      <c r="B130" s="32" t="str">
        <f>IF('1.1 Produksi Bersih Padi 2025'!B132="","",'1.1 Produksi Bersih Padi 2025'!B132)</f>
        <v/>
      </c>
      <c r="C130" s="32" t="str">
        <f>IF('1.1 Produksi Bersih Padi 2025'!C132="","",'1.1 Produksi Bersih Padi 2025'!C132)</f>
        <v/>
      </c>
      <c r="D130" s="3" t="str">
        <f>IF('1.1 Produksi Bersih Padi 2025'!D132="","",'1.1 Produksi Bersih Padi 2025'!D132)</f>
        <v/>
      </c>
      <c r="E130" s="3" t="str">
        <f>IF('1.1 Produksi Bersih Padi 2025'!E132="","",'1.1 Produksi Bersih Padi 2025'!E132)</f>
        <v/>
      </c>
      <c r="F130" s="13" t="str">
        <f>'1.1 Produksi Bersih Padi 2025'!Q132</f>
        <v/>
      </c>
      <c r="G130" s="13" t="str">
        <f>'1.2 Produksi Bersih Jagung 2025'!L132</f>
        <v/>
      </c>
      <c r="H130" s="13" t="str">
        <f>'1.3 Prod Bersih Ubi Kayu 2025'!K132</f>
        <v/>
      </c>
      <c r="I130" s="13" t="str">
        <f>'1.4 Prod Bersih Ubi Jalar 2025'!K132</f>
        <v/>
      </c>
      <c r="J130" s="13" t="str">
        <f>'1.5 Prod Bersih Sagu 2025'!K132</f>
        <v/>
      </c>
      <c r="K130" s="13" t="str">
        <f>'1.6 Prod Bersih Pisang 2025'!K132</f>
        <v/>
      </c>
      <c r="L130" s="15">
        <f t="shared" si="3"/>
        <v>0</v>
      </c>
      <c r="M130" s="14" t="str">
        <f>IF(D130="","",VLOOKUP(D130,'[1]0.1 Produksi Pangan &amp; Penduduk'!$D$5:$AU$704,44,0))</f>
        <v/>
      </c>
      <c r="N130" s="26" t="str">
        <f t="shared" si="4"/>
        <v/>
      </c>
      <c r="O130" s="16"/>
      <c r="P130" s="25" t="str">
        <f t="shared" si="5"/>
        <v/>
      </c>
      <c r="Q130" s="8"/>
      <c r="R130" s="11"/>
    </row>
    <row r="131" spans="1:18" ht="15" x14ac:dyDescent="0.25">
      <c r="A131" s="3" t="str">
        <f>IF('1.1 Produksi Bersih Padi 2025'!A133="","",'1.1 Produksi Bersih Padi 2025'!A133)</f>
        <v/>
      </c>
      <c r="B131" s="32" t="str">
        <f>IF('1.1 Produksi Bersih Padi 2025'!B133="","",'1.1 Produksi Bersih Padi 2025'!B133)</f>
        <v/>
      </c>
      <c r="C131" s="32" t="str">
        <f>IF('1.1 Produksi Bersih Padi 2025'!C133="","",'1.1 Produksi Bersih Padi 2025'!C133)</f>
        <v/>
      </c>
      <c r="D131" s="3" t="str">
        <f>IF('1.1 Produksi Bersih Padi 2025'!D133="","",'1.1 Produksi Bersih Padi 2025'!D133)</f>
        <v/>
      </c>
      <c r="E131" s="3" t="str">
        <f>IF('1.1 Produksi Bersih Padi 2025'!E133="","",'1.1 Produksi Bersih Padi 2025'!E133)</f>
        <v/>
      </c>
      <c r="F131" s="13" t="str">
        <f>'1.1 Produksi Bersih Padi 2025'!Q133</f>
        <v/>
      </c>
      <c r="G131" s="13" t="str">
        <f>'1.2 Produksi Bersih Jagung 2025'!L133</f>
        <v/>
      </c>
      <c r="H131" s="13" t="str">
        <f>'1.3 Prod Bersih Ubi Kayu 2025'!K133</f>
        <v/>
      </c>
      <c r="I131" s="13" t="str">
        <f>'1.4 Prod Bersih Ubi Jalar 2025'!K133</f>
        <v/>
      </c>
      <c r="J131" s="13" t="str">
        <f>'1.5 Prod Bersih Sagu 2025'!K133</f>
        <v/>
      </c>
      <c r="K131" s="13" t="str">
        <f>'1.6 Prod Bersih Pisang 2025'!K133</f>
        <v/>
      </c>
      <c r="L131" s="15">
        <f t="shared" si="3"/>
        <v>0</v>
      </c>
      <c r="M131" s="14" t="str">
        <f>IF(D131="","",VLOOKUP(D131,'[1]0.1 Produksi Pangan &amp; Penduduk'!$D$5:$AU$704,44,0))</f>
        <v/>
      </c>
      <c r="N131" s="26" t="str">
        <f t="shared" si="4"/>
        <v/>
      </c>
      <c r="O131" s="16"/>
      <c r="P131" s="25" t="str">
        <f t="shared" si="5"/>
        <v/>
      </c>
      <c r="Q131" s="8"/>
      <c r="R131" s="11"/>
    </row>
    <row r="132" spans="1:18" ht="15" x14ac:dyDescent="0.25">
      <c r="A132" s="3" t="str">
        <f>IF('1.1 Produksi Bersih Padi 2025'!A134="","",'1.1 Produksi Bersih Padi 2025'!A134)</f>
        <v/>
      </c>
      <c r="B132" s="32" t="str">
        <f>IF('1.1 Produksi Bersih Padi 2025'!B134="","",'1.1 Produksi Bersih Padi 2025'!B134)</f>
        <v/>
      </c>
      <c r="C132" s="32" t="str">
        <f>IF('1.1 Produksi Bersih Padi 2025'!C134="","",'1.1 Produksi Bersih Padi 2025'!C134)</f>
        <v/>
      </c>
      <c r="D132" s="3" t="str">
        <f>IF('1.1 Produksi Bersih Padi 2025'!D134="","",'1.1 Produksi Bersih Padi 2025'!D134)</f>
        <v/>
      </c>
      <c r="E132" s="3" t="str">
        <f>IF('1.1 Produksi Bersih Padi 2025'!E134="","",'1.1 Produksi Bersih Padi 2025'!E134)</f>
        <v/>
      </c>
      <c r="F132" s="13" t="str">
        <f>'1.1 Produksi Bersih Padi 2025'!Q134</f>
        <v/>
      </c>
      <c r="G132" s="13" t="str">
        <f>'1.2 Produksi Bersih Jagung 2025'!L134</f>
        <v/>
      </c>
      <c r="H132" s="13" t="str">
        <f>'1.3 Prod Bersih Ubi Kayu 2025'!K134</f>
        <v/>
      </c>
      <c r="I132" s="13" t="str">
        <f>'1.4 Prod Bersih Ubi Jalar 2025'!K134</f>
        <v/>
      </c>
      <c r="J132" s="13" t="str">
        <f>'1.5 Prod Bersih Sagu 2025'!K134</f>
        <v/>
      </c>
      <c r="K132" s="13" t="str">
        <f>'1.6 Prod Bersih Pisang 2025'!K134</f>
        <v/>
      </c>
      <c r="L132" s="15">
        <f t="shared" ref="L132:L195" si="6">IFERROR(SUM(F132:K132),0)</f>
        <v>0</v>
      </c>
      <c r="M132" s="14" t="str">
        <f>IF(D132="","",VLOOKUP(D132,'[1]0.1 Produksi Pangan &amp; Penduduk'!$D$5:$AU$704,44,0))</f>
        <v/>
      </c>
      <c r="N132" s="26" t="str">
        <f t="shared" ref="N132:N195" si="7">IF(M132="","",IFERROR((L132*1000*1000/M132)/365,"-"))</f>
        <v/>
      </c>
      <c r="O132" s="16"/>
      <c r="P132" s="25" t="str">
        <f t="shared" ref="P132:P195" si="8">IF(N132="","",IFERROR(300/N132,"-"))</f>
        <v/>
      </c>
      <c r="Q132" s="8"/>
      <c r="R132" s="11"/>
    </row>
    <row r="133" spans="1:18" ht="15" x14ac:dyDescent="0.25">
      <c r="A133" s="3" t="str">
        <f>IF('1.1 Produksi Bersih Padi 2025'!A135="","",'1.1 Produksi Bersih Padi 2025'!A135)</f>
        <v/>
      </c>
      <c r="B133" s="32" t="str">
        <f>IF('1.1 Produksi Bersih Padi 2025'!B135="","",'1.1 Produksi Bersih Padi 2025'!B135)</f>
        <v/>
      </c>
      <c r="C133" s="32" t="str">
        <f>IF('1.1 Produksi Bersih Padi 2025'!C135="","",'1.1 Produksi Bersih Padi 2025'!C135)</f>
        <v/>
      </c>
      <c r="D133" s="3" t="str">
        <f>IF('1.1 Produksi Bersih Padi 2025'!D135="","",'1.1 Produksi Bersih Padi 2025'!D135)</f>
        <v/>
      </c>
      <c r="E133" s="3" t="str">
        <f>IF('1.1 Produksi Bersih Padi 2025'!E135="","",'1.1 Produksi Bersih Padi 2025'!E135)</f>
        <v/>
      </c>
      <c r="F133" s="13" t="str">
        <f>'1.1 Produksi Bersih Padi 2025'!Q135</f>
        <v/>
      </c>
      <c r="G133" s="13" t="str">
        <f>'1.2 Produksi Bersih Jagung 2025'!L135</f>
        <v/>
      </c>
      <c r="H133" s="13" t="str">
        <f>'1.3 Prod Bersih Ubi Kayu 2025'!K135</f>
        <v/>
      </c>
      <c r="I133" s="13" t="str">
        <f>'1.4 Prod Bersih Ubi Jalar 2025'!K135</f>
        <v/>
      </c>
      <c r="J133" s="13" t="str">
        <f>'1.5 Prod Bersih Sagu 2025'!K135</f>
        <v/>
      </c>
      <c r="K133" s="13" t="str">
        <f>'1.6 Prod Bersih Pisang 2025'!K135</f>
        <v/>
      </c>
      <c r="L133" s="15">
        <f t="shared" si="6"/>
        <v>0</v>
      </c>
      <c r="M133" s="14" t="str">
        <f>IF(D133="","",VLOOKUP(D133,'[1]0.1 Produksi Pangan &amp; Penduduk'!$D$5:$AU$704,44,0))</f>
        <v/>
      </c>
      <c r="N133" s="26" t="str">
        <f t="shared" si="7"/>
        <v/>
      </c>
      <c r="O133" s="16"/>
      <c r="P133" s="25" t="str">
        <f t="shared" si="8"/>
        <v/>
      </c>
      <c r="Q133" s="8"/>
      <c r="R133" s="11"/>
    </row>
    <row r="134" spans="1:18" ht="15" x14ac:dyDescent="0.25">
      <c r="A134" s="3" t="str">
        <f>IF('1.1 Produksi Bersih Padi 2025'!A136="","",'1.1 Produksi Bersih Padi 2025'!A136)</f>
        <v/>
      </c>
      <c r="B134" s="32" t="str">
        <f>IF('1.1 Produksi Bersih Padi 2025'!B136="","",'1.1 Produksi Bersih Padi 2025'!B136)</f>
        <v/>
      </c>
      <c r="C134" s="32" t="str">
        <f>IF('1.1 Produksi Bersih Padi 2025'!C136="","",'1.1 Produksi Bersih Padi 2025'!C136)</f>
        <v/>
      </c>
      <c r="D134" s="3" t="str">
        <f>IF('1.1 Produksi Bersih Padi 2025'!D136="","",'1.1 Produksi Bersih Padi 2025'!D136)</f>
        <v/>
      </c>
      <c r="E134" s="3" t="str">
        <f>IF('1.1 Produksi Bersih Padi 2025'!E136="","",'1.1 Produksi Bersih Padi 2025'!E136)</f>
        <v/>
      </c>
      <c r="F134" s="13" t="str">
        <f>'1.1 Produksi Bersih Padi 2025'!Q136</f>
        <v/>
      </c>
      <c r="G134" s="13" t="str">
        <f>'1.2 Produksi Bersih Jagung 2025'!L136</f>
        <v/>
      </c>
      <c r="H134" s="13" t="str">
        <f>'1.3 Prod Bersih Ubi Kayu 2025'!K136</f>
        <v/>
      </c>
      <c r="I134" s="13" t="str">
        <f>'1.4 Prod Bersih Ubi Jalar 2025'!K136</f>
        <v/>
      </c>
      <c r="J134" s="13" t="str">
        <f>'1.5 Prod Bersih Sagu 2025'!K136</f>
        <v/>
      </c>
      <c r="K134" s="13" t="str">
        <f>'1.6 Prod Bersih Pisang 2025'!K136</f>
        <v/>
      </c>
      <c r="L134" s="15">
        <f t="shared" si="6"/>
        <v>0</v>
      </c>
      <c r="M134" s="14" t="str">
        <f>IF(D134="","",VLOOKUP(D134,'[1]0.1 Produksi Pangan &amp; Penduduk'!$D$5:$AU$704,44,0))</f>
        <v/>
      </c>
      <c r="N134" s="26" t="str">
        <f t="shared" si="7"/>
        <v/>
      </c>
      <c r="O134" s="16"/>
      <c r="P134" s="25" t="str">
        <f t="shared" si="8"/>
        <v/>
      </c>
      <c r="Q134" s="8"/>
      <c r="R134" s="11"/>
    </row>
    <row r="135" spans="1:18" ht="15" x14ac:dyDescent="0.25">
      <c r="A135" s="3" t="str">
        <f>IF('1.1 Produksi Bersih Padi 2025'!A137="","",'1.1 Produksi Bersih Padi 2025'!A137)</f>
        <v/>
      </c>
      <c r="B135" s="32" t="str">
        <f>IF('1.1 Produksi Bersih Padi 2025'!B137="","",'1.1 Produksi Bersih Padi 2025'!B137)</f>
        <v/>
      </c>
      <c r="C135" s="32" t="str">
        <f>IF('1.1 Produksi Bersih Padi 2025'!C137="","",'1.1 Produksi Bersih Padi 2025'!C137)</f>
        <v/>
      </c>
      <c r="D135" s="3" t="str">
        <f>IF('1.1 Produksi Bersih Padi 2025'!D137="","",'1.1 Produksi Bersih Padi 2025'!D137)</f>
        <v/>
      </c>
      <c r="E135" s="3" t="str">
        <f>IF('1.1 Produksi Bersih Padi 2025'!E137="","",'1.1 Produksi Bersih Padi 2025'!E137)</f>
        <v/>
      </c>
      <c r="F135" s="13" t="str">
        <f>'1.1 Produksi Bersih Padi 2025'!Q137</f>
        <v/>
      </c>
      <c r="G135" s="13" t="str">
        <f>'1.2 Produksi Bersih Jagung 2025'!L137</f>
        <v/>
      </c>
      <c r="H135" s="13" t="str">
        <f>'1.3 Prod Bersih Ubi Kayu 2025'!K137</f>
        <v/>
      </c>
      <c r="I135" s="13" t="str">
        <f>'1.4 Prod Bersih Ubi Jalar 2025'!K137</f>
        <v/>
      </c>
      <c r="J135" s="13" t="str">
        <f>'1.5 Prod Bersih Sagu 2025'!K137</f>
        <v/>
      </c>
      <c r="K135" s="13" t="str">
        <f>'1.6 Prod Bersih Pisang 2025'!K137</f>
        <v/>
      </c>
      <c r="L135" s="15">
        <f t="shared" si="6"/>
        <v>0</v>
      </c>
      <c r="M135" s="14" t="str">
        <f>IF(D135="","",VLOOKUP(D135,'[1]0.1 Produksi Pangan &amp; Penduduk'!$D$5:$AU$704,44,0))</f>
        <v/>
      </c>
      <c r="N135" s="26" t="str">
        <f t="shared" si="7"/>
        <v/>
      </c>
      <c r="O135" s="16"/>
      <c r="P135" s="25" t="str">
        <f t="shared" si="8"/>
        <v/>
      </c>
      <c r="Q135" s="8"/>
      <c r="R135" s="11"/>
    </row>
    <row r="136" spans="1:18" ht="15" x14ac:dyDescent="0.25">
      <c r="A136" s="3" t="str">
        <f>IF('1.1 Produksi Bersih Padi 2025'!A138="","",'1.1 Produksi Bersih Padi 2025'!A138)</f>
        <v/>
      </c>
      <c r="B136" s="32" t="str">
        <f>IF('1.1 Produksi Bersih Padi 2025'!B138="","",'1.1 Produksi Bersih Padi 2025'!B138)</f>
        <v/>
      </c>
      <c r="C136" s="32" t="str">
        <f>IF('1.1 Produksi Bersih Padi 2025'!C138="","",'1.1 Produksi Bersih Padi 2025'!C138)</f>
        <v/>
      </c>
      <c r="D136" s="3" t="str">
        <f>IF('1.1 Produksi Bersih Padi 2025'!D138="","",'1.1 Produksi Bersih Padi 2025'!D138)</f>
        <v/>
      </c>
      <c r="E136" s="3" t="str">
        <f>IF('1.1 Produksi Bersih Padi 2025'!E138="","",'1.1 Produksi Bersih Padi 2025'!E138)</f>
        <v/>
      </c>
      <c r="F136" s="13" t="str">
        <f>'1.1 Produksi Bersih Padi 2025'!Q138</f>
        <v/>
      </c>
      <c r="G136" s="13" t="str">
        <f>'1.2 Produksi Bersih Jagung 2025'!L138</f>
        <v/>
      </c>
      <c r="H136" s="13" t="str">
        <f>'1.3 Prod Bersih Ubi Kayu 2025'!K138</f>
        <v/>
      </c>
      <c r="I136" s="13" t="str">
        <f>'1.4 Prod Bersih Ubi Jalar 2025'!K138</f>
        <v/>
      </c>
      <c r="J136" s="13" t="str">
        <f>'1.5 Prod Bersih Sagu 2025'!K138</f>
        <v/>
      </c>
      <c r="K136" s="13" t="str">
        <f>'1.6 Prod Bersih Pisang 2025'!K138</f>
        <v/>
      </c>
      <c r="L136" s="15">
        <f t="shared" si="6"/>
        <v>0</v>
      </c>
      <c r="M136" s="14" t="str">
        <f>IF(D136="","",VLOOKUP(D136,'[1]0.1 Produksi Pangan &amp; Penduduk'!$D$5:$AU$704,44,0))</f>
        <v/>
      </c>
      <c r="N136" s="26" t="str">
        <f t="shared" si="7"/>
        <v/>
      </c>
      <c r="O136" s="16"/>
      <c r="P136" s="25" t="str">
        <f t="shared" si="8"/>
        <v/>
      </c>
      <c r="Q136" s="8"/>
      <c r="R136" s="11"/>
    </row>
    <row r="137" spans="1:18" ht="15" x14ac:dyDescent="0.25">
      <c r="A137" s="3" t="str">
        <f>IF('1.1 Produksi Bersih Padi 2025'!A139="","",'1.1 Produksi Bersih Padi 2025'!A139)</f>
        <v/>
      </c>
      <c r="B137" s="32" t="str">
        <f>IF('1.1 Produksi Bersih Padi 2025'!B139="","",'1.1 Produksi Bersih Padi 2025'!B139)</f>
        <v/>
      </c>
      <c r="C137" s="32" t="str">
        <f>IF('1.1 Produksi Bersih Padi 2025'!C139="","",'1.1 Produksi Bersih Padi 2025'!C139)</f>
        <v/>
      </c>
      <c r="D137" s="3" t="str">
        <f>IF('1.1 Produksi Bersih Padi 2025'!D139="","",'1.1 Produksi Bersih Padi 2025'!D139)</f>
        <v/>
      </c>
      <c r="E137" s="3" t="str">
        <f>IF('1.1 Produksi Bersih Padi 2025'!E139="","",'1.1 Produksi Bersih Padi 2025'!E139)</f>
        <v/>
      </c>
      <c r="F137" s="13" t="str">
        <f>'1.1 Produksi Bersih Padi 2025'!Q139</f>
        <v/>
      </c>
      <c r="G137" s="13" t="str">
        <f>'1.2 Produksi Bersih Jagung 2025'!L139</f>
        <v/>
      </c>
      <c r="H137" s="13" t="str">
        <f>'1.3 Prod Bersih Ubi Kayu 2025'!K139</f>
        <v/>
      </c>
      <c r="I137" s="13" t="str">
        <f>'1.4 Prod Bersih Ubi Jalar 2025'!K139</f>
        <v/>
      </c>
      <c r="J137" s="13" t="str">
        <f>'1.5 Prod Bersih Sagu 2025'!K139</f>
        <v/>
      </c>
      <c r="K137" s="13" t="str">
        <f>'1.6 Prod Bersih Pisang 2025'!K139</f>
        <v/>
      </c>
      <c r="L137" s="15">
        <f t="shared" si="6"/>
        <v>0</v>
      </c>
      <c r="M137" s="14" t="str">
        <f>IF(D137="","",VLOOKUP(D137,'[1]0.1 Produksi Pangan &amp; Penduduk'!$D$5:$AU$704,44,0))</f>
        <v/>
      </c>
      <c r="N137" s="26" t="str">
        <f t="shared" si="7"/>
        <v/>
      </c>
      <c r="O137" s="16"/>
      <c r="P137" s="25" t="str">
        <f t="shared" si="8"/>
        <v/>
      </c>
      <c r="Q137" s="8"/>
      <c r="R137" s="11"/>
    </row>
    <row r="138" spans="1:18" ht="15" x14ac:dyDescent="0.25">
      <c r="A138" s="3" t="str">
        <f>IF('1.1 Produksi Bersih Padi 2025'!A140="","",'1.1 Produksi Bersih Padi 2025'!A140)</f>
        <v/>
      </c>
      <c r="B138" s="32" t="str">
        <f>IF('1.1 Produksi Bersih Padi 2025'!B140="","",'1.1 Produksi Bersih Padi 2025'!B140)</f>
        <v/>
      </c>
      <c r="C138" s="32" t="str">
        <f>IF('1.1 Produksi Bersih Padi 2025'!C140="","",'1.1 Produksi Bersih Padi 2025'!C140)</f>
        <v/>
      </c>
      <c r="D138" s="3" t="str">
        <f>IF('1.1 Produksi Bersih Padi 2025'!D140="","",'1.1 Produksi Bersih Padi 2025'!D140)</f>
        <v/>
      </c>
      <c r="E138" s="3" t="str">
        <f>IF('1.1 Produksi Bersih Padi 2025'!E140="","",'1.1 Produksi Bersih Padi 2025'!E140)</f>
        <v/>
      </c>
      <c r="F138" s="13" t="str">
        <f>'1.1 Produksi Bersih Padi 2025'!Q140</f>
        <v/>
      </c>
      <c r="G138" s="13" t="str">
        <f>'1.2 Produksi Bersih Jagung 2025'!L140</f>
        <v/>
      </c>
      <c r="H138" s="13" t="str">
        <f>'1.3 Prod Bersih Ubi Kayu 2025'!K140</f>
        <v/>
      </c>
      <c r="I138" s="13" t="str">
        <f>'1.4 Prod Bersih Ubi Jalar 2025'!K140</f>
        <v/>
      </c>
      <c r="J138" s="13" t="str">
        <f>'1.5 Prod Bersih Sagu 2025'!K140</f>
        <v/>
      </c>
      <c r="K138" s="13" t="str">
        <f>'1.6 Prod Bersih Pisang 2025'!K140</f>
        <v/>
      </c>
      <c r="L138" s="15">
        <f t="shared" si="6"/>
        <v>0</v>
      </c>
      <c r="M138" s="14" t="str">
        <f>IF(D138="","",VLOOKUP(D138,'[1]0.1 Produksi Pangan &amp; Penduduk'!$D$5:$AU$704,44,0))</f>
        <v/>
      </c>
      <c r="N138" s="26" t="str">
        <f t="shared" si="7"/>
        <v/>
      </c>
      <c r="O138" s="16"/>
      <c r="P138" s="25" t="str">
        <f t="shared" si="8"/>
        <v/>
      </c>
      <c r="Q138" s="8"/>
      <c r="R138" s="11"/>
    </row>
    <row r="139" spans="1:18" ht="15" x14ac:dyDescent="0.25">
      <c r="A139" s="3" t="str">
        <f>IF('1.1 Produksi Bersih Padi 2025'!A141="","",'1.1 Produksi Bersih Padi 2025'!A141)</f>
        <v/>
      </c>
      <c r="B139" s="32" t="str">
        <f>IF('1.1 Produksi Bersih Padi 2025'!B141="","",'1.1 Produksi Bersih Padi 2025'!B141)</f>
        <v/>
      </c>
      <c r="C139" s="32" t="str">
        <f>IF('1.1 Produksi Bersih Padi 2025'!C141="","",'1.1 Produksi Bersih Padi 2025'!C141)</f>
        <v/>
      </c>
      <c r="D139" s="3" t="str">
        <f>IF('1.1 Produksi Bersih Padi 2025'!D141="","",'1.1 Produksi Bersih Padi 2025'!D141)</f>
        <v/>
      </c>
      <c r="E139" s="3" t="str">
        <f>IF('1.1 Produksi Bersih Padi 2025'!E141="","",'1.1 Produksi Bersih Padi 2025'!E141)</f>
        <v/>
      </c>
      <c r="F139" s="13" t="str">
        <f>'1.1 Produksi Bersih Padi 2025'!Q141</f>
        <v/>
      </c>
      <c r="G139" s="13" t="str">
        <f>'1.2 Produksi Bersih Jagung 2025'!L141</f>
        <v/>
      </c>
      <c r="H139" s="13" t="str">
        <f>'1.3 Prod Bersih Ubi Kayu 2025'!K141</f>
        <v/>
      </c>
      <c r="I139" s="13" t="str">
        <f>'1.4 Prod Bersih Ubi Jalar 2025'!K141</f>
        <v/>
      </c>
      <c r="J139" s="13" t="str">
        <f>'1.5 Prod Bersih Sagu 2025'!K141</f>
        <v/>
      </c>
      <c r="K139" s="13" t="str">
        <f>'1.6 Prod Bersih Pisang 2025'!K141</f>
        <v/>
      </c>
      <c r="L139" s="15">
        <f t="shared" si="6"/>
        <v>0</v>
      </c>
      <c r="M139" s="14" t="str">
        <f>IF(D139="","",VLOOKUP(D139,'[1]0.1 Produksi Pangan &amp; Penduduk'!$D$5:$AU$704,44,0))</f>
        <v/>
      </c>
      <c r="N139" s="26" t="str">
        <f t="shared" si="7"/>
        <v/>
      </c>
      <c r="O139" s="16"/>
      <c r="P139" s="25" t="str">
        <f t="shared" si="8"/>
        <v/>
      </c>
      <c r="Q139" s="8"/>
      <c r="R139" s="11"/>
    </row>
    <row r="140" spans="1:18" ht="15" x14ac:dyDescent="0.25">
      <c r="A140" s="3" t="str">
        <f>IF('1.1 Produksi Bersih Padi 2025'!A142="","",'1.1 Produksi Bersih Padi 2025'!A142)</f>
        <v/>
      </c>
      <c r="B140" s="32" t="str">
        <f>IF('1.1 Produksi Bersih Padi 2025'!B142="","",'1.1 Produksi Bersih Padi 2025'!B142)</f>
        <v/>
      </c>
      <c r="C140" s="32" t="str">
        <f>IF('1.1 Produksi Bersih Padi 2025'!C142="","",'1.1 Produksi Bersih Padi 2025'!C142)</f>
        <v/>
      </c>
      <c r="D140" s="3" t="str">
        <f>IF('1.1 Produksi Bersih Padi 2025'!D142="","",'1.1 Produksi Bersih Padi 2025'!D142)</f>
        <v/>
      </c>
      <c r="E140" s="3" t="str">
        <f>IF('1.1 Produksi Bersih Padi 2025'!E142="","",'1.1 Produksi Bersih Padi 2025'!E142)</f>
        <v/>
      </c>
      <c r="F140" s="13" t="str">
        <f>'1.1 Produksi Bersih Padi 2025'!Q142</f>
        <v/>
      </c>
      <c r="G140" s="13" t="str">
        <f>'1.2 Produksi Bersih Jagung 2025'!L142</f>
        <v/>
      </c>
      <c r="H140" s="13" t="str">
        <f>'1.3 Prod Bersih Ubi Kayu 2025'!K142</f>
        <v/>
      </c>
      <c r="I140" s="13" t="str">
        <f>'1.4 Prod Bersih Ubi Jalar 2025'!K142</f>
        <v/>
      </c>
      <c r="J140" s="13" t="str">
        <f>'1.5 Prod Bersih Sagu 2025'!K142</f>
        <v/>
      </c>
      <c r="K140" s="13" t="str">
        <f>'1.6 Prod Bersih Pisang 2025'!K142</f>
        <v/>
      </c>
      <c r="L140" s="15">
        <f t="shared" si="6"/>
        <v>0</v>
      </c>
      <c r="M140" s="14" t="str">
        <f>IF(D140="","",VLOOKUP(D140,'[1]0.1 Produksi Pangan &amp; Penduduk'!$D$5:$AU$704,44,0))</f>
        <v/>
      </c>
      <c r="N140" s="26" t="str">
        <f t="shared" si="7"/>
        <v/>
      </c>
      <c r="O140" s="16"/>
      <c r="P140" s="25" t="str">
        <f t="shared" si="8"/>
        <v/>
      </c>
      <c r="Q140" s="8"/>
      <c r="R140" s="11"/>
    </row>
    <row r="141" spans="1:18" ht="15" x14ac:dyDescent="0.25">
      <c r="A141" s="3" t="str">
        <f>IF('1.1 Produksi Bersih Padi 2025'!A143="","",'1.1 Produksi Bersih Padi 2025'!A143)</f>
        <v/>
      </c>
      <c r="B141" s="32" t="str">
        <f>IF('1.1 Produksi Bersih Padi 2025'!B143="","",'1.1 Produksi Bersih Padi 2025'!B143)</f>
        <v/>
      </c>
      <c r="C141" s="32" t="str">
        <f>IF('1.1 Produksi Bersih Padi 2025'!C143="","",'1.1 Produksi Bersih Padi 2025'!C143)</f>
        <v/>
      </c>
      <c r="D141" s="3" t="str">
        <f>IF('1.1 Produksi Bersih Padi 2025'!D143="","",'1.1 Produksi Bersih Padi 2025'!D143)</f>
        <v/>
      </c>
      <c r="E141" s="3" t="str">
        <f>IF('1.1 Produksi Bersih Padi 2025'!E143="","",'1.1 Produksi Bersih Padi 2025'!E143)</f>
        <v/>
      </c>
      <c r="F141" s="13" t="str">
        <f>'1.1 Produksi Bersih Padi 2025'!Q143</f>
        <v/>
      </c>
      <c r="G141" s="13" t="str">
        <f>'1.2 Produksi Bersih Jagung 2025'!L143</f>
        <v/>
      </c>
      <c r="H141" s="13" t="str">
        <f>'1.3 Prod Bersih Ubi Kayu 2025'!K143</f>
        <v/>
      </c>
      <c r="I141" s="13" t="str">
        <f>'1.4 Prod Bersih Ubi Jalar 2025'!K143</f>
        <v/>
      </c>
      <c r="J141" s="13" t="str">
        <f>'1.5 Prod Bersih Sagu 2025'!K143</f>
        <v/>
      </c>
      <c r="K141" s="13" t="str">
        <f>'1.6 Prod Bersih Pisang 2025'!K143</f>
        <v/>
      </c>
      <c r="L141" s="15">
        <f t="shared" si="6"/>
        <v>0</v>
      </c>
      <c r="M141" s="14" t="str">
        <f>IF(D141="","",VLOOKUP(D141,'[1]0.1 Produksi Pangan &amp; Penduduk'!$D$5:$AU$704,44,0))</f>
        <v/>
      </c>
      <c r="N141" s="26" t="str">
        <f t="shared" si="7"/>
        <v/>
      </c>
      <c r="O141" s="16"/>
      <c r="P141" s="25" t="str">
        <f t="shared" si="8"/>
        <v/>
      </c>
      <c r="Q141" s="8"/>
      <c r="R141" s="11"/>
    </row>
    <row r="142" spans="1:18" ht="15" x14ac:dyDescent="0.25">
      <c r="A142" s="3" t="str">
        <f>IF('1.1 Produksi Bersih Padi 2025'!A144="","",'1.1 Produksi Bersih Padi 2025'!A144)</f>
        <v/>
      </c>
      <c r="B142" s="32" t="str">
        <f>IF('1.1 Produksi Bersih Padi 2025'!B144="","",'1.1 Produksi Bersih Padi 2025'!B144)</f>
        <v/>
      </c>
      <c r="C142" s="32" t="str">
        <f>IF('1.1 Produksi Bersih Padi 2025'!C144="","",'1.1 Produksi Bersih Padi 2025'!C144)</f>
        <v/>
      </c>
      <c r="D142" s="3" t="str">
        <f>IF('1.1 Produksi Bersih Padi 2025'!D144="","",'1.1 Produksi Bersih Padi 2025'!D144)</f>
        <v/>
      </c>
      <c r="E142" s="3" t="str">
        <f>IF('1.1 Produksi Bersih Padi 2025'!E144="","",'1.1 Produksi Bersih Padi 2025'!E144)</f>
        <v/>
      </c>
      <c r="F142" s="13" t="str">
        <f>'1.1 Produksi Bersih Padi 2025'!Q144</f>
        <v/>
      </c>
      <c r="G142" s="13" t="str">
        <f>'1.2 Produksi Bersih Jagung 2025'!L144</f>
        <v/>
      </c>
      <c r="H142" s="13" t="str">
        <f>'1.3 Prod Bersih Ubi Kayu 2025'!K144</f>
        <v/>
      </c>
      <c r="I142" s="13" t="str">
        <f>'1.4 Prod Bersih Ubi Jalar 2025'!K144</f>
        <v/>
      </c>
      <c r="J142" s="13" t="str">
        <f>'1.5 Prod Bersih Sagu 2025'!K144</f>
        <v/>
      </c>
      <c r="K142" s="13" t="str">
        <f>'1.6 Prod Bersih Pisang 2025'!K144</f>
        <v/>
      </c>
      <c r="L142" s="15">
        <f t="shared" si="6"/>
        <v>0</v>
      </c>
      <c r="M142" s="14" t="str">
        <f>IF(D142="","",VLOOKUP(D142,'[1]0.1 Produksi Pangan &amp; Penduduk'!$D$5:$AU$704,44,0))</f>
        <v/>
      </c>
      <c r="N142" s="26" t="str">
        <f t="shared" si="7"/>
        <v/>
      </c>
      <c r="O142" s="16"/>
      <c r="P142" s="25" t="str">
        <f t="shared" si="8"/>
        <v/>
      </c>
      <c r="Q142" s="8"/>
      <c r="R142" s="11"/>
    </row>
    <row r="143" spans="1:18" ht="15" x14ac:dyDescent="0.25">
      <c r="A143" s="3" t="str">
        <f>IF('1.1 Produksi Bersih Padi 2025'!A145="","",'1.1 Produksi Bersih Padi 2025'!A145)</f>
        <v/>
      </c>
      <c r="B143" s="32" t="str">
        <f>IF('1.1 Produksi Bersih Padi 2025'!B145="","",'1.1 Produksi Bersih Padi 2025'!B145)</f>
        <v/>
      </c>
      <c r="C143" s="32" t="str">
        <f>IF('1.1 Produksi Bersih Padi 2025'!C145="","",'1.1 Produksi Bersih Padi 2025'!C145)</f>
        <v/>
      </c>
      <c r="D143" s="3" t="str">
        <f>IF('1.1 Produksi Bersih Padi 2025'!D145="","",'1.1 Produksi Bersih Padi 2025'!D145)</f>
        <v/>
      </c>
      <c r="E143" s="3" t="str">
        <f>IF('1.1 Produksi Bersih Padi 2025'!E145="","",'1.1 Produksi Bersih Padi 2025'!E145)</f>
        <v/>
      </c>
      <c r="F143" s="13" t="str">
        <f>'1.1 Produksi Bersih Padi 2025'!Q145</f>
        <v/>
      </c>
      <c r="G143" s="13" t="str">
        <f>'1.2 Produksi Bersih Jagung 2025'!L145</f>
        <v/>
      </c>
      <c r="H143" s="13" t="str">
        <f>'1.3 Prod Bersih Ubi Kayu 2025'!K145</f>
        <v/>
      </c>
      <c r="I143" s="13" t="str">
        <f>'1.4 Prod Bersih Ubi Jalar 2025'!K145</f>
        <v/>
      </c>
      <c r="J143" s="13" t="str">
        <f>'1.5 Prod Bersih Sagu 2025'!K145</f>
        <v/>
      </c>
      <c r="K143" s="13" t="str">
        <f>'1.6 Prod Bersih Pisang 2025'!K145</f>
        <v/>
      </c>
      <c r="L143" s="15">
        <f t="shared" si="6"/>
        <v>0</v>
      </c>
      <c r="M143" s="14" t="str">
        <f>IF(D143="","",VLOOKUP(D143,'[1]0.1 Produksi Pangan &amp; Penduduk'!$D$5:$AU$704,44,0))</f>
        <v/>
      </c>
      <c r="N143" s="26" t="str">
        <f t="shared" si="7"/>
        <v/>
      </c>
      <c r="O143" s="16"/>
      <c r="P143" s="25" t="str">
        <f t="shared" si="8"/>
        <v/>
      </c>
      <c r="Q143" s="8"/>
      <c r="R143" s="11"/>
    </row>
    <row r="144" spans="1:18" ht="15" x14ac:dyDescent="0.25">
      <c r="A144" s="3" t="str">
        <f>IF('1.1 Produksi Bersih Padi 2025'!A146="","",'1.1 Produksi Bersih Padi 2025'!A146)</f>
        <v/>
      </c>
      <c r="B144" s="32" t="str">
        <f>IF('1.1 Produksi Bersih Padi 2025'!B146="","",'1.1 Produksi Bersih Padi 2025'!B146)</f>
        <v/>
      </c>
      <c r="C144" s="32" t="str">
        <f>IF('1.1 Produksi Bersih Padi 2025'!C146="","",'1.1 Produksi Bersih Padi 2025'!C146)</f>
        <v/>
      </c>
      <c r="D144" s="3" t="str">
        <f>IF('1.1 Produksi Bersih Padi 2025'!D146="","",'1.1 Produksi Bersih Padi 2025'!D146)</f>
        <v/>
      </c>
      <c r="E144" s="3" t="str">
        <f>IF('1.1 Produksi Bersih Padi 2025'!E146="","",'1.1 Produksi Bersih Padi 2025'!E146)</f>
        <v/>
      </c>
      <c r="F144" s="13" t="str">
        <f>'1.1 Produksi Bersih Padi 2025'!Q146</f>
        <v/>
      </c>
      <c r="G144" s="13" t="str">
        <f>'1.2 Produksi Bersih Jagung 2025'!L146</f>
        <v/>
      </c>
      <c r="H144" s="13" t="str">
        <f>'1.3 Prod Bersih Ubi Kayu 2025'!K146</f>
        <v/>
      </c>
      <c r="I144" s="13" t="str">
        <f>'1.4 Prod Bersih Ubi Jalar 2025'!K146</f>
        <v/>
      </c>
      <c r="J144" s="13" t="str">
        <f>'1.5 Prod Bersih Sagu 2025'!K146</f>
        <v/>
      </c>
      <c r="K144" s="13" t="str">
        <f>'1.6 Prod Bersih Pisang 2025'!K146</f>
        <v/>
      </c>
      <c r="L144" s="15">
        <f t="shared" si="6"/>
        <v>0</v>
      </c>
      <c r="M144" s="14" t="str">
        <f>IF(D144="","",VLOOKUP(D144,'[1]0.1 Produksi Pangan &amp; Penduduk'!$D$5:$AU$704,44,0))</f>
        <v/>
      </c>
      <c r="N144" s="26" t="str">
        <f t="shared" si="7"/>
        <v/>
      </c>
      <c r="O144" s="16"/>
      <c r="P144" s="25" t="str">
        <f t="shared" si="8"/>
        <v/>
      </c>
      <c r="Q144" s="8"/>
      <c r="R144" s="11"/>
    </row>
    <row r="145" spans="1:18" ht="15" x14ac:dyDescent="0.25">
      <c r="A145" s="3" t="str">
        <f>IF('1.1 Produksi Bersih Padi 2025'!A147="","",'1.1 Produksi Bersih Padi 2025'!A147)</f>
        <v/>
      </c>
      <c r="B145" s="32" t="str">
        <f>IF('1.1 Produksi Bersih Padi 2025'!B147="","",'1.1 Produksi Bersih Padi 2025'!B147)</f>
        <v/>
      </c>
      <c r="C145" s="32" t="str">
        <f>IF('1.1 Produksi Bersih Padi 2025'!C147="","",'1.1 Produksi Bersih Padi 2025'!C147)</f>
        <v/>
      </c>
      <c r="D145" s="3" t="str">
        <f>IF('1.1 Produksi Bersih Padi 2025'!D147="","",'1.1 Produksi Bersih Padi 2025'!D147)</f>
        <v/>
      </c>
      <c r="E145" s="3" t="str">
        <f>IF('1.1 Produksi Bersih Padi 2025'!E147="","",'1.1 Produksi Bersih Padi 2025'!E147)</f>
        <v/>
      </c>
      <c r="F145" s="13" t="str">
        <f>'1.1 Produksi Bersih Padi 2025'!Q147</f>
        <v/>
      </c>
      <c r="G145" s="13" t="str">
        <f>'1.2 Produksi Bersih Jagung 2025'!L147</f>
        <v/>
      </c>
      <c r="H145" s="13" t="str">
        <f>'1.3 Prod Bersih Ubi Kayu 2025'!K147</f>
        <v/>
      </c>
      <c r="I145" s="13" t="str">
        <f>'1.4 Prod Bersih Ubi Jalar 2025'!K147</f>
        <v/>
      </c>
      <c r="J145" s="13" t="str">
        <f>'1.5 Prod Bersih Sagu 2025'!K147</f>
        <v/>
      </c>
      <c r="K145" s="13" t="str">
        <f>'1.6 Prod Bersih Pisang 2025'!K147</f>
        <v/>
      </c>
      <c r="L145" s="15">
        <f t="shared" si="6"/>
        <v>0</v>
      </c>
      <c r="M145" s="14" t="str">
        <f>IF(D145="","",VLOOKUP(D145,'[1]0.1 Produksi Pangan &amp; Penduduk'!$D$5:$AU$704,44,0))</f>
        <v/>
      </c>
      <c r="N145" s="26" t="str">
        <f t="shared" si="7"/>
        <v/>
      </c>
      <c r="O145" s="16"/>
      <c r="P145" s="25" t="str">
        <f t="shared" si="8"/>
        <v/>
      </c>
      <c r="Q145" s="8"/>
      <c r="R145" s="11"/>
    </row>
    <row r="146" spans="1:18" ht="15" x14ac:dyDescent="0.25">
      <c r="A146" s="3" t="str">
        <f>IF('1.1 Produksi Bersih Padi 2025'!A148="","",'1.1 Produksi Bersih Padi 2025'!A148)</f>
        <v/>
      </c>
      <c r="B146" s="32" t="str">
        <f>IF('1.1 Produksi Bersih Padi 2025'!B148="","",'1.1 Produksi Bersih Padi 2025'!B148)</f>
        <v/>
      </c>
      <c r="C146" s="32" t="str">
        <f>IF('1.1 Produksi Bersih Padi 2025'!C148="","",'1.1 Produksi Bersih Padi 2025'!C148)</f>
        <v/>
      </c>
      <c r="D146" s="3" t="str">
        <f>IF('1.1 Produksi Bersih Padi 2025'!D148="","",'1.1 Produksi Bersih Padi 2025'!D148)</f>
        <v/>
      </c>
      <c r="E146" s="3" t="str">
        <f>IF('1.1 Produksi Bersih Padi 2025'!E148="","",'1.1 Produksi Bersih Padi 2025'!E148)</f>
        <v/>
      </c>
      <c r="F146" s="13" t="str">
        <f>'1.1 Produksi Bersih Padi 2025'!Q148</f>
        <v/>
      </c>
      <c r="G146" s="13" t="str">
        <f>'1.2 Produksi Bersih Jagung 2025'!L148</f>
        <v/>
      </c>
      <c r="H146" s="13" t="str">
        <f>'1.3 Prod Bersih Ubi Kayu 2025'!K148</f>
        <v/>
      </c>
      <c r="I146" s="13" t="str">
        <f>'1.4 Prod Bersih Ubi Jalar 2025'!K148</f>
        <v/>
      </c>
      <c r="J146" s="13" t="str">
        <f>'1.5 Prod Bersih Sagu 2025'!K148</f>
        <v/>
      </c>
      <c r="K146" s="13" t="str">
        <f>'1.6 Prod Bersih Pisang 2025'!K148</f>
        <v/>
      </c>
      <c r="L146" s="15">
        <f t="shared" si="6"/>
        <v>0</v>
      </c>
      <c r="M146" s="14" t="str">
        <f>IF(D146="","",VLOOKUP(D146,'[1]0.1 Produksi Pangan &amp; Penduduk'!$D$5:$AU$704,44,0))</f>
        <v/>
      </c>
      <c r="N146" s="26" t="str">
        <f t="shared" si="7"/>
        <v/>
      </c>
      <c r="O146" s="16"/>
      <c r="P146" s="25" t="str">
        <f t="shared" si="8"/>
        <v/>
      </c>
      <c r="Q146" s="8"/>
      <c r="R146" s="11"/>
    </row>
    <row r="147" spans="1:18" ht="15" x14ac:dyDescent="0.25">
      <c r="A147" s="3" t="str">
        <f>IF('1.1 Produksi Bersih Padi 2025'!A149="","",'1.1 Produksi Bersih Padi 2025'!A149)</f>
        <v/>
      </c>
      <c r="B147" s="32" t="str">
        <f>IF('1.1 Produksi Bersih Padi 2025'!B149="","",'1.1 Produksi Bersih Padi 2025'!B149)</f>
        <v/>
      </c>
      <c r="C147" s="32" t="str">
        <f>IF('1.1 Produksi Bersih Padi 2025'!C149="","",'1.1 Produksi Bersih Padi 2025'!C149)</f>
        <v/>
      </c>
      <c r="D147" s="3" t="str">
        <f>IF('1.1 Produksi Bersih Padi 2025'!D149="","",'1.1 Produksi Bersih Padi 2025'!D149)</f>
        <v/>
      </c>
      <c r="E147" s="3" t="str">
        <f>IF('1.1 Produksi Bersih Padi 2025'!E149="","",'1.1 Produksi Bersih Padi 2025'!E149)</f>
        <v/>
      </c>
      <c r="F147" s="13" t="str">
        <f>'1.1 Produksi Bersih Padi 2025'!Q149</f>
        <v/>
      </c>
      <c r="G147" s="13" t="str">
        <f>'1.2 Produksi Bersih Jagung 2025'!L149</f>
        <v/>
      </c>
      <c r="H147" s="13" t="str">
        <f>'1.3 Prod Bersih Ubi Kayu 2025'!K149</f>
        <v/>
      </c>
      <c r="I147" s="13" t="str">
        <f>'1.4 Prod Bersih Ubi Jalar 2025'!K149</f>
        <v/>
      </c>
      <c r="J147" s="13" t="str">
        <f>'1.5 Prod Bersih Sagu 2025'!K149</f>
        <v/>
      </c>
      <c r="K147" s="13" t="str">
        <f>'1.6 Prod Bersih Pisang 2025'!K149</f>
        <v/>
      </c>
      <c r="L147" s="15">
        <f t="shared" si="6"/>
        <v>0</v>
      </c>
      <c r="M147" s="14" t="str">
        <f>IF(D147="","",VLOOKUP(D147,'[1]0.1 Produksi Pangan &amp; Penduduk'!$D$5:$AU$704,44,0))</f>
        <v/>
      </c>
      <c r="N147" s="26" t="str">
        <f t="shared" si="7"/>
        <v/>
      </c>
      <c r="O147" s="16"/>
      <c r="P147" s="25" t="str">
        <f t="shared" si="8"/>
        <v/>
      </c>
      <c r="Q147" s="8"/>
      <c r="R147" s="11"/>
    </row>
    <row r="148" spans="1:18" ht="15" x14ac:dyDescent="0.25">
      <c r="A148" s="3" t="str">
        <f>IF('1.1 Produksi Bersih Padi 2025'!A150="","",'1.1 Produksi Bersih Padi 2025'!A150)</f>
        <v/>
      </c>
      <c r="B148" s="32" t="str">
        <f>IF('1.1 Produksi Bersih Padi 2025'!B150="","",'1.1 Produksi Bersih Padi 2025'!B150)</f>
        <v/>
      </c>
      <c r="C148" s="32" t="str">
        <f>IF('1.1 Produksi Bersih Padi 2025'!C150="","",'1.1 Produksi Bersih Padi 2025'!C150)</f>
        <v/>
      </c>
      <c r="D148" s="3" t="str">
        <f>IF('1.1 Produksi Bersih Padi 2025'!D150="","",'1.1 Produksi Bersih Padi 2025'!D150)</f>
        <v/>
      </c>
      <c r="E148" s="3" t="str">
        <f>IF('1.1 Produksi Bersih Padi 2025'!E150="","",'1.1 Produksi Bersih Padi 2025'!E150)</f>
        <v/>
      </c>
      <c r="F148" s="13" t="str">
        <f>'1.1 Produksi Bersih Padi 2025'!Q150</f>
        <v/>
      </c>
      <c r="G148" s="13" t="str">
        <f>'1.2 Produksi Bersih Jagung 2025'!L150</f>
        <v/>
      </c>
      <c r="H148" s="13" t="str">
        <f>'1.3 Prod Bersih Ubi Kayu 2025'!K150</f>
        <v/>
      </c>
      <c r="I148" s="13" t="str">
        <f>'1.4 Prod Bersih Ubi Jalar 2025'!K150</f>
        <v/>
      </c>
      <c r="J148" s="13" t="str">
        <f>'1.5 Prod Bersih Sagu 2025'!K150</f>
        <v/>
      </c>
      <c r="K148" s="13" t="str">
        <f>'1.6 Prod Bersih Pisang 2025'!K150</f>
        <v/>
      </c>
      <c r="L148" s="15">
        <f t="shared" si="6"/>
        <v>0</v>
      </c>
      <c r="M148" s="14" t="str">
        <f>IF(D148="","",VLOOKUP(D148,'[1]0.1 Produksi Pangan &amp; Penduduk'!$D$5:$AU$704,44,0))</f>
        <v/>
      </c>
      <c r="N148" s="26" t="str">
        <f t="shared" si="7"/>
        <v/>
      </c>
      <c r="O148" s="16"/>
      <c r="P148" s="25" t="str">
        <f t="shared" si="8"/>
        <v/>
      </c>
      <c r="Q148" s="8"/>
      <c r="R148" s="11"/>
    </row>
    <row r="149" spans="1:18" ht="15" x14ac:dyDescent="0.25">
      <c r="A149" s="3" t="str">
        <f>IF('1.1 Produksi Bersih Padi 2025'!A151="","",'1.1 Produksi Bersih Padi 2025'!A151)</f>
        <v/>
      </c>
      <c r="B149" s="32" t="str">
        <f>IF('1.1 Produksi Bersih Padi 2025'!B151="","",'1.1 Produksi Bersih Padi 2025'!B151)</f>
        <v/>
      </c>
      <c r="C149" s="32" t="str">
        <f>IF('1.1 Produksi Bersih Padi 2025'!C151="","",'1.1 Produksi Bersih Padi 2025'!C151)</f>
        <v/>
      </c>
      <c r="D149" s="3" t="str">
        <f>IF('1.1 Produksi Bersih Padi 2025'!D151="","",'1.1 Produksi Bersih Padi 2025'!D151)</f>
        <v/>
      </c>
      <c r="E149" s="3" t="str">
        <f>IF('1.1 Produksi Bersih Padi 2025'!E151="","",'1.1 Produksi Bersih Padi 2025'!E151)</f>
        <v/>
      </c>
      <c r="F149" s="13" t="str">
        <f>'1.1 Produksi Bersih Padi 2025'!Q151</f>
        <v/>
      </c>
      <c r="G149" s="13" t="str">
        <f>'1.2 Produksi Bersih Jagung 2025'!L151</f>
        <v/>
      </c>
      <c r="H149" s="13" t="str">
        <f>'1.3 Prod Bersih Ubi Kayu 2025'!K151</f>
        <v/>
      </c>
      <c r="I149" s="13" t="str">
        <f>'1.4 Prod Bersih Ubi Jalar 2025'!K151</f>
        <v/>
      </c>
      <c r="J149" s="13" t="str">
        <f>'1.5 Prod Bersih Sagu 2025'!K151</f>
        <v/>
      </c>
      <c r="K149" s="13" t="str">
        <f>'1.6 Prod Bersih Pisang 2025'!K151</f>
        <v/>
      </c>
      <c r="L149" s="15">
        <f t="shared" si="6"/>
        <v>0</v>
      </c>
      <c r="M149" s="14" t="str">
        <f>IF(D149="","",VLOOKUP(D149,'[1]0.1 Produksi Pangan &amp; Penduduk'!$D$5:$AU$704,44,0))</f>
        <v/>
      </c>
      <c r="N149" s="26" t="str">
        <f t="shared" si="7"/>
        <v/>
      </c>
      <c r="O149" s="16"/>
      <c r="P149" s="25" t="str">
        <f t="shared" si="8"/>
        <v/>
      </c>
      <c r="Q149" s="8"/>
      <c r="R149" s="11"/>
    </row>
    <row r="150" spans="1:18" ht="15" x14ac:dyDescent="0.25">
      <c r="A150" s="3" t="str">
        <f>IF('1.1 Produksi Bersih Padi 2025'!A152="","",'1.1 Produksi Bersih Padi 2025'!A152)</f>
        <v/>
      </c>
      <c r="B150" s="32" t="str">
        <f>IF('1.1 Produksi Bersih Padi 2025'!B152="","",'1.1 Produksi Bersih Padi 2025'!B152)</f>
        <v/>
      </c>
      <c r="C150" s="32" t="str">
        <f>IF('1.1 Produksi Bersih Padi 2025'!C152="","",'1.1 Produksi Bersih Padi 2025'!C152)</f>
        <v/>
      </c>
      <c r="D150" s="3" t="str">
        <f>IF('1.1 Produksi Bersih Padi 2025'!D152="","",'1.1 Produksi Bersih Padi 2025'!D152)</f>
        <v/>
      </c>
      <c r="E150" s="3" t="str">
        <f>IF('1.1 Produksi Bersih Padi 2025'!E152="","",'1.1 Produksi Bersih Padi 2025'!E152)</f>
        <v/>
      </c>
      <c r="F150" s="13" t="str">
        <f>'1.1 Produksi Bersih Padi 2025'!Q152</f>
        <v/>
      </c>
      <c r="G150" s="13" t="str">
        <f>'1.2 Produksi Bersih Jagung 2025'!L152</f>
        <v/>
      </c>
      <c r="H150" s="13" t="str">
        <f>'1.3 Prod Bersih Ubi Kayu 2025'!K152</f>
        <v/>
      </c>
      <c r="I150" s="13" t="str">
        <f>'1.4 Prod Bersih Ubi Jalar 2025'!K152</f>
        <v/>
      </c>
      <c r="J150" s="13" t="str">
        <f>'1.5 Prod Bersih Sagu 2025'!K152</f>
        <v/>
      </c>
      <c r="K150" s="13" t="str">
        <f>'1.6 Prod Bersih Pisang 2025'!K152</f>
        <v/>
      </c>
      <c r="L150" s="15">
        <f t="shared" si="6"/>
        <v>0</v>
      </c>
      <c r="M150" s="14" t="str">
        <f>IF(D150="","",VLOOKUP(D150,'[1]0.1 Produksi Pangan &amp; Penduduk'!$D$5:$AU$704,44,0))</f>
        <v/>
      </c>
      <c r="N150" s="26" t="str">
        <f t="shared" si="7"/>
        <v/>
      </c>
      <c r="O150" s="16"/>
      <c r="P150" s="25" t="str">
        <f t="shared" si="8"/>
        <v/>
      </c>
      <c r="Q150" s="8"/>
      <c r="R150" s="11"/>
    </row>
    <row r="151" spans="1:18" ht="15" x14ac:dyDescent="0.25">
      <c r="A151" s="3" t="str">
        <f>IF('1.1 Produksi Bersih Padi 2025'!A153="","",'1.1 Produksi Bersih Padi 2025'!A153)</f>
        <v/>
      </c>
      <c r="B151" s="32" t="str">
        <f>IF('1.1 Produksi Bersih Padi 2025'!B153="","",'1.1 Produksi Bersih Padi 2025'!B153)</f>
        <v/>
      </c>
      <c r="C151" s="32" t="str">
        <f>IF('1.1 Produksi Bersih Padi 2025'!C153="","",'1.1 Produksi Bersih Padi 2025'!C153)</f>
        <v/>
      </c>
      <c r="D151" s="3" t="str">
        <f>IF('1.1 Produksi Bersih Padi 2025'!D153="","",'1.1 Produksi Bersih Padi 2025'!D153)</f>
        <v/>
      </c>
      <c r="E151" s="3" t="str">
        <f>IF('1.1 Produksi Bersih Padi 2025'!E153="","",'1.1 Produksi Bersih Padi 2025'!E153)</f>
        <v/>
      </c>
      <c r="F151" s="13" t="str">
        <f>'1.1 Produksi Bersih Padi 2025'!Q153</f>
        <v/>
      </c>
      <c r="G151" s="13" t="str">
        <f>'1.2 Produksi Bersih Jagung 2025'!L153</f>
        <v/>
      </c>
      <c r="H151" s="13" t="str">
        <f>'1.3 Prod Bersih Ubi Kayu 2025'!K153</f>
        <v/>
      </c>
      <c r="I151" s="13" t="str">
        <f>'1.4 Prod Bersih Ubi Jalar 2025'!K153</f>
        <v/>
      </c>
      <c r="J151" s="13" t="str">
        <f>'1.5 Prod Bersih Sagu 2025'!K153</f>
        <v/>
      </c>
      <c r="K151" s="13" t="str">
        <f>'1.6 Prod Bersih Pisang 2025'!K153</f>
        <v/>
      </c>
      <c r="L151" s="15">
        <f t="shared" si="6"/>
        <v>0</v>
      </c>
      <c r="M151" s="14" t="str">
        <f>IF(D151="","",VLOOKUP(D151,'[1]0.1 Produksi Pangan &amp; Penduduk'!$D$5:$AU$704,44,0))</f>
        <v/>
      </c>
      <c r="N151" s="26" t="str">
        <f t="shared" si="7"/>
        <v/>
      </c>
      <c r="O151" s="16"/>
      <c r="P151" s="25" t="str">
        <f t="shared" si="8"/>
        <v/>
      </c>
      <c r="Q151" s="8"/>
      <c r="R151" s="11"/>
    </row>
    <row r="152" spans="1:18" ht="15" x14ac:dyDescent="0.25">
      <c r="A152" s="3" t="str">
        <f>IF('1.1 Produksi Bersih Padi 2025'!A154="","",'1.1 Produksi Bersih Padi 2025'!A154)</f>
        <v/>
      </c>
      <c r="B152" s="32" t="str">
        <f>IF('1.1 Produksi Bersih Padi 2025'!B154="","",'1.1 Produksi Bersih Padi 2025'!B154)</f>
        <v/>
      </c>
      <c r="C152" s="32" t="str">
        <f>IF('1.1 Produksi Bersih Padi 2025'!C154="","",'1.1 Produksi Bersih Padi 2025'!C154)</f>
        <v/>
      </c>
      <c r="D152" s="3" t="str">
        <f>IF('1.1 Produksi Bersih Padi 2025'!D154="","",'1.1 Produksi Bersih Padi 2025'!D154)</f>
        <v/>
      </c>
      <c r="E152" s="3" t="str">
        <f>IF('1.1 Produksi Bersih Padi 2025'!E154="","",'1.1 Produksi Bersih Padi 2025'!E154)</f>
        <v/>
      </c>
      <c r="F152" s="13" t="str">
        <f>'1.1 Produksi Bersih Padi 2025'!Q154</f>
        <v/>
      </c>
      <c r="G152" s="13" t="str">
        <f>'1.2 Produksi Bersih Jagung 2025'!L154</f>
        <v/>
      </c>
      <c r="H152" s="13" t="str">
        <f>'1.3 Prod Bersih Ubi Kayu 2025'!K154</f>
        <v/>
      </c>
      <c r="I152" s="13" t="str">
        <f>'1.4 Prod Bersih Ubi Jalar 2025'!K154</f>
        <v/>
      </c>
      <c r="J152" s="13" t="str">
        <f>'1.5 Prod Bersih Sagu 2025'!K154</f>
        <v/>
      </c>
      <c r="K152" s="13" t="str">
        <f>'1.6 Prod Bersih Pisang 2025'!K154</f>
        <v/>
      </c>
      <c r="L152" s="15">
        <f t="shared" si="6"/>
        <v>0</v>
      </c>
      <c r="M152" s="14" t="str">
        <f>IF(D152="","",VLOOKUP(D152,'[1]0.1 Produksi Pangan &amp; Penduduk'!$D$5:$AU$704,44,0))</f>
        <v/>
      </c>
      <c r="N152" s="26" t="str">
        <f t="shared" si="7"/>
        <v/>
      </c>
      <c r="O152" s="16"/>
      <c r="P152" s="25" t="str">
        <f t="shared" si="8"/>
        <v/>
      </c>
      <c r="Q152" s="8"/>
      <c r="R152" s="11"/>
    </row>
    <row r="153" spans="1:18" ht="15" x14ac:dyDescent="0.25">
      <c r="A153" s="3" t="str">
        <f>IF('1.1 Produksi Bersih Padi 2025'!A155="","",'1.1 Produksi Bersih Padi 2025'!A155)</f>
        <v/>
      </c>
      <c r="B153" s="32" t="str">
        <f>IF('1.1 Produksi Bersih Padi 2025'!B155="","",'1.1 Produksi Bersih Padi 2025'!B155)</f>
        <v/>
      </c>
      <c r="C153" s="32" t="str">
        <f>IF('1.1 Produksi Bersih Padi 2025'!C155="","",'1.1 Produksi Bersih Padi 2025'!C155)</f>
        <v/>
      </c>
      <c r="D153" s="3" t="str">
        <f>IF('1.1 Produksi Bersih Padi 2025'!D155="","",'1.1 Produksi Bersih Padi 2025'!D155)</f>
        <v/>
      </c>
      <c r="E153" s="3" t="str">
        <f>IF('1.1 Produksi Bersih Padi 2025'!E155="","",'1.1 Produksi Bersih Padi 2025'!E155)</f>
        <v/>
      </c>
      <c r="F153" s="13" t="str">
        <f>'1.1 Produksi Bersih Padi 2025'!Q155</f>
        <v/>
      </c>
      <c r="G153" s="13" t="str">
        <f>'1.2 Produksi Bersih Jagung 2025'!L155</f>
        <v/>
      </c>
      <c r="H153" s="13" t="str">
        <f>'1.3 Prod Bersih Ubi Kayu 2025'!K155</f>
        <v/>
      </c>
      <c r="I153" s="13" t="str">
        <f>'1.4 Prod Bersih Ubi Jalar 2025'!K155</f>
        <v/>
      </c>
      <c r="J153" s="13" t="str">
        <f>'1.5 Prod Bersih Sagu 2025'!K155</f>
        <v/>
      </c>
      <c r="K153" s="13" t="str">
        <f>'1.6 Prod Bersih Pisang 2025'!K155</f>
        <v/>
      </c>
      <c r="L153" s="15">
        <f t="shared" si="6"/>
        <v>0</v>
      </c>
      <c r="M153" s="14" t="str">
        <f>IF(D153="","",VLOOKUP(D153,'[1]0.1 Produksi Pangan &amp; Penduduk'!$D$5:$AU$704,44,0))</f>
        <v/>
      </c>
      <c r="N153" s="26" t="str">
        <f t="shared" si="7"/>
        <v/>
      </c>
      <c r="O153" s="16"/>
      <c r="P153" s="25" t="str">
        <f t="shared" si="8"/>
        <v/>
      </c>
      <c r="Q153" s="8"/>
      <c r="R153" s="11"/>
    </row>
    <row r="154" spans="1:18" ht="15" x14ac:dyDescent="0.25">
      <c r="A154" s="3" t="str">
        <f>IF('1.1 Produksi Bersih Padi 2025'!A156="","",'1.1 Produksi Bersih Padi 2025'!A156)</f>
        <v/>
      </c>
      <c r="B154" s="32" t="str">
        <f>IF('1.1 Produksi Bersih Padi 2025'!B156="","",'1.1 Produksi Bersih Padi 2025'!B156)</f>
        <v/>
      </c>
      <c r="C154" s="32" t="str">
        <f>IF('1.1 Produksi Bersih Padi 2025'!C156="","",'1.1 Produksi Bersih Padi 2025'!C156)</f>
        <v/>
      </c>
      <c r="D154" s="3" t="str">
        <f>IF('1.1 Produksi Bersih Padi 2025'!D156="","",'1.1 Produksi Bersih Padi 2025'!D156)</f>
        <v/>
      </c>
      <c r="E154" s="3" t="str">
        <f>IF('1.1 Produksi Bersih Padi 2025'!E156="","",'1.1 Produksi Bersih Padi 2025'!E156)</f>
        <v/>
      </c>
      <c r="F154" s="13" t="str">
        <f>'1.1 Produksi Bersih Padi 2025'!Q156</f>
        <v/>
      </c>
      <c r="G154" s="13" t="str">
        <f>'1.2 Produksi Bersih Jagung 2025'!L156</f>
        <v/>
      </c>
      <c r="H154" s="13" t="str">
        <f>'1.3 Prod Bersih Ubi Kayu 2025'!K156</f>
        <v/>
      </c>
      <c r="I154" s="13" t="str">
        <f>'1.4 Prod Bersih Ubi Jalar 2025'!K156</f>
        <v/>
      </c>
      <c r="J154" s="13" t="str">
        <f>'1.5 Prod Bersih Sagu 2025'!K156</f>
        <v/>
      </c>
      <c r="K154" s="13" t="str">
        <f>'1.6 Prod Bersih Pisang 2025'!K156</f>
        <v/>
      </c>
      <c r="L154" s="15">
        <f t="shared" si="6"/>
        <v>0</v>
      </c>
      <c r="M154" s="14" t="str">
        <f>IF(D154="","",VLOOKUP(D154,'[1]0.1 Produksi Pangan &amp; Penduduk'!$D$5:$AU$704,44,0))</f>
        <v/>
      </c>
      <c r="N154" s="26" t="str">
        <f t="shared" si="7"/>
        <v/>
      </c>
      <c r="O154" s="16"/>
      <c r="P154" s="25" t="str">
        <f t="shared" si="8"/>
        <v/>
      </c>
      <c r="Q154" s="8"/>
      <c r="R154" s="11"/>
    </row>
    <row r="155" spans="1:18" ht="15" x14ac:dyDescent="0.25">
      <c r="A155" s="3" t="str">
        <f>IF('1.1 Produksi Bersih Padi 2025'!A157="","",'1.1 Produksi Bersih Padi 2025'!A157)</f>
        <v/>
      </c>
      <c r="B155" s="32" t="str">
        <f>IF('1.1 Produksi Bersih Padi 2025'!B157="","",'1.1 Produksi Bersih Padi 2025'!B157)</f>
        <v/>
      </c>
      <c r="C155" s="32" t="str">
        <f>IF('1.1 Produksi Bersih Padi 2025'!C157="","",'1.1 Produksi Bersih Padi 2025'!C157)</f>
        <v/>
      </c>
      <c r="D155" s="3" t="str">
        <f>IF('1.1 Produksi Bersih Padi 2025'!D157="","",'1.1 Produksi Bersih Padi 2025'!D157)</f>
        <v/>
      </c>
      <c r="E155" s="3" t="str">
        <f>IF('1.1 Produksi Bersih Padi 2025'!E157="","",'1.1 Produksi Bersih Padi 2025'!E157)</f>
        <v/>
      </c>
      <c r="F155" s="13" t="str">
        <f>'1.1 Produksi Bersih Padi 2025'!Q157</f>
        <v/>
      </c>
      <c r="G155" s="13" t="str">
        <f>'1.2 Produksi Bersih Jagung 2025'!L157</f>
        <v/>
      </c>
      <c r="H155" s="13" t="str">
        <f>'1.3 Prod Bersih Ubi Kayu 2025'!K157</f>
        <v/>
      </c>
      <c r="I155" s="13" t="str">
        <f>'1.4 Prod Bersih Ubi Jalar 2025'!K157</f>
        <v/>
      </c>
      <c r="J155" s="13" t="str">
        <f>'1.5 Prod Bersih Sagu 2025'!K157</f>
        <v/>
      </c>
      <c r="K155" s="13" t="str">
        <f>'1.6 Prod Bersih Pisang 2025'!K157</f>
        <v/>
      </c>
      <c r="L155" s="15">
        <f t="shared" si="6"/>
        <v>0</v>
      </c>
      <c r="M155" s="14" t="str">
        <f>IF(D155="","",VLOOKUP(D155,'[1]0.1 Produksi Pangan &amp; Penduduk'!$D$5:$AU$704,44,0))</f>
        <v/>
      </c>
      <c r="N155" s="26" t="str">
        <f t="shared" si="7"/>
        <v/>
      </c>
      <c r="O155" s="16"/>
      <c r="P155" s="25" t="str">
        <f t="shared" si="8"/>
        <v/>
      </c>
      <c r="Q155" s="8"/>
      <c r="R155" s="11"/>
    </row>
    <row r="156" spans="1:18" ht="15" x14ac:dyDescent="0.25">
      <c r="A156" s="3" t="str">
        <f>IF('1.1 Produksi Bersih Padi 2025'!A158="","",'1.1 Produksi Bersih Padi 2025'!A158)</f>
        <v/>
      </c>
      <c r="B156" s="32" t="str">
        <f>IF('1.1 Produksi Bersih Padi 2025'!B158="","",'1.1 Produksi Bersih Padi 2025'!B158)</f>
        <v/>
      </c>
      <c r="C156" s="32" t="str">
        <f>IF('1.1 Produksi Bersih Padi 2025'!C158="","",'1.1 Produksi Bersih Padi 2025'!C158)</f>
        <v/>
      </c>
      <c r="D156" s="3" t="str">
        <f>IF('1.1 Produksi Bersih Padi 2025'!D158="","",'1.1 Produksi Bersih Padi 2025'!D158)</f>
        <v/>
      </c>
      <c r="E156" s="3" t="str">
        <f>IF('1.1 Produksi Bersih Padi 2025'!E158="","",'1.1 Produksi Bersih Padi 2025'!E158)</f>
        <v/>
      </c>
      <c r="F156" s="13" t="str">
        <f>'1.1 Produksi Bersih Padi 2025'!Q158</f>
        <v/>
      </c>
      <c r="G156" s="13" t="str">
        <f>'1.2 Produksi Bersih Jagung 2025'!L158</f>
        <v/>
      </c>
      <c r="H156" s="13" t="str">
        <f>'1.3 Prod Bersih Ubi Kayu 2025'!K158</f>
        <v/>
      </c>
      <c r="I156" s="13" t="str">
        <f>'1.4 Prod Bersih Ubi Jalar 2025'!K158</f>
        <v/>
      </c>
      <c r="J156" s="13" t="str">
        <f>'1.5 Prod Bersih Sagu 2025'!K158</f>
        <v/>
      </c>
      <c r="K156" s="13" t="str">
        <f>'1.6 Prod Bersih Pisang 2025'!K158</f>
        <v/>
      </c>
      <c r="L156" s="15">
        <f t="shared" si="6"/>
        <v>0</v>
      </c>
      <c r="M156" s="14" t="str">
        <f>IF(D156="","",VLOOKUP(D156,'[1]0.1 Produksi Pangan &amp; Penduduk'!$D$5:$AU$704,44,0))</f>
        <v/>
      </c>
      <c r="N156" s="26" t="str">
        <f t="shared" si="7"/>
        <v/>
      </c>
      <c r="O156" s="16"/>
      <c r="P156" s="25" t="str">
        <f t="shared" si="8"/>
        <v/>
      </c>
      <c r="Q156" s="8"/>
      <c r="R156" s="11"/>
    </row>
    <row r="157" spans="1:18" ht="15" x14ac:dyDescent="0.25">
      <c r="A157" s="3" t="str">
        <f>IF('1.1 Produksi Bersih Padi 2025'!A159="","",'1.1 Produksi Bersih Padi 2025'!A159)</f>
        <v/>
      </c>
      <c r="B157" s="32" t="str">
        <f>IF('1.1 Produksi Bersih Padi 2025'!B159="","",'1.1 Produksi Bersih Padi 2025'!B159)</f>
        <v/>
      </c>
      <c r="C157" s="32" t="str">
        <f>IF('1.1 Produksi Bersih Padi 2025'!C159="","",'1.1 Produksi Bersih Padi 2025'!C159)</f>
        <v/>
      </c>
      <c r="D157" s="3" t="str">
        <f>IF('1.1 Produksi Bersih Padi 2025'!D159="","",'1.1 Produksi Bersih Padi 2025'!D159)</f>
        <v/>
      </c>
      <c r="E157" s="3" t="str">
        <f>IF('1.1 Produksi Bersih Padi 2025'!E159="","",'1.1 Produksi Bersih Padi 2025'!E159)</f>
        <v/>
      </c>
      <c r="F157" s="13" t="str">
        <f>'1.1 Produksi Bersih Padi 2025'!Q159</f>
        <v/>
      </c>
      <c r="G157" s="13" t="str">
        <f>'1.2 Produksi Bersih Jagung 2025'!L159</f>
        <v/>
      </c>
      <c r="H157" s="13" t="str">
        <f>'1.3 Prod Bersih Ubi Kayu 2025'!K159</f>
        <v/>
      </c>
      <c r="I157" s="13" t="str">
        <f>'1.4 Prod Bersih Ubi Jalar 2025'!K159</f>
        <v/>
      </c>
      <c r="J157" s="13" t="str">
        <f>'1.5 Prod Bersih Sagu 2025'!K159</f>
        <v/>
      </c>
      <c r="K157" s="13" t="str">
        <f>'1.6 Prod Bersih Pisang 2025'!K159</f>
        <v/>
      </c>
      <c r="L157" s="15">
        <f t="shared" si="6"/>
        <v>0</v>
      </c>
      <c r="M157" s="14" t="str">
        <f>IF(D157="","",VLOOKUP(D157,'[1]0.1 Produksi Pangan &amp; Penduduk'!$D$5:$AU$704,44,0))</f>
        <v/>
      </c>
      <c r="N157" s="26" t="str">
        <f t="shared" si="7"/>
        <v/>
      </c>
      <c r="O157" s="16"/>
      <c r="P157" s="25" t="str">
        <f t="shared" si="8"/>
        <v/>
      </c>
      <c r="Q157" s="8"/>
      <c r="R157" s="11"/>
    </row>
    <row r="158" spans="1:18" ht="15" x14ac:dyDescent="0.25">
      <c r="A158" s="3" t="str">
        <f>IF('1.1 Produksi Bersih Padi 2025'!A160="","",'1.1 Produksi Bersih Padi 2025'!A160)</f>
        <v/>
      </c>
      <c r="B158" s="32" t="str">
        <f>IF('1.1 Produksi Bersih Padi 2025'!B160="","",'1.1 Produksi Bersih Padi 2025'!B160)</f>
        <v/>
      </c>
      <c r="C158" s="32" t="str">
        <f>IF('1.1 Produksi Bersih Padi 2025'!C160="","",'1.1 Produksi Bersih Padi 2025'!C160)</f>
        <v/>
      </c>
      <c r="D158" s="3" t="str">
        <f>IF('1.1 Produksi Bersih Padi 2025'!D160="","",'1.1 Produksi Bersih Padi 2025'!D160)</f>
        <v/>
      </c>
      <c r="E158" s="3" t="str">
        <f>IF('1.1 Produksi Bersih Padi 2025'!E160="","",'1.1 Produksi Bersih Padi 2025'!E160)</f>
        <v/>
      </c>
      <c r="F158" s="13" t="str">
        <f>'1.1 Produksi Bersih Padi 2025'!Q160</f>
        <v/>
      </c>
      <c r="G158" s="13" t="str">
        <f>'1.2 Produksi Bersih Jagung 2025'!L160</f>
        <v/>
      </c>
      <c r="H158" s="13" t="str">
        <f>'1.3 Prod Bersih Ubi Kayu 2025'!K160</f>
        <v/>
      </c>
      <c r="I158" s="13" t="str">
        <f>'1.4 Prod Bersih Ubi Jalar 2025'!K160</f>
        <v/>
      </c>
      <c r="J158" s="13" t="str">
        <f>'1.5 Prod Bersih Sagu 2025'!K160</f>
        <v/>
      </c>
      <c r="K158" s="13" t="str">
        <f>'1.6 Prod Bersih Pisang 2025'!K160</f>
        <v/>
      </c>
      <c r="L158" s="15">
        <f t="shared" si="6"/>
        <v>0</v>
      </c>
      <c r="M158" s="14" t="str">
        <f>IF(D158="","",VLOOKUP(D158,'[1]0.1 Produksi Pangan &amp; Penduduk'!$D$5:$AU$704,44,0))</f>
        <v/>
      </c>
      <c r="N158" s="26" t="str">
        <f t="shared" si="7"/>
        <v/>
      </c>
      <c r="O158" s="16"/>
      <c r="P158" s="25" t="str">
        <f t="shared" si="8"/>
        <v/>
      </c>
      <c r="Q158" s="8"/>
      <c r="R158" s="11"/>
    </row>
    <row r="159" spans="1:18" ht="15" x14ac:dyDescent="0.25">
      <c r="A159" s="3" t="str">
        <f>IF('1.1 Produksi Bersih Padi 2025'!A161="","",'1.1 Produksi Bersih Padi 2025'!A161)</f>
        <v/>
      </c>
      <c r="B159" s="32" t="str">
        <f>IF('1.1 Produksi Bersih Padi 2025'!B161="","",'1.1 Produksi Bersih Padi 2025'!B161)</f>
        <v/>
      </c>
      <c r="C159" s="32" t="str">
        <f>IF('1.1 Produksi Bersih Padi 2025'!C161="","",'1.1 Produksi Bersih Padi 2025'!C161)</f>
        <v/>
      </c>
      <c r="D159" s="3" t="str">
        <f>IF('1.1 Produksi Bersih Padi 2025'!D161="","",'1.1 Produksi Bersih Padi 2025'!D161)</f>
        <v/>
      </c>
      <c r="E159" s="3" t="str">
        <f>IF('1.1 Produksi Bersih Padi 2025'!E161="","",'1.1 Produksi Bersih Padi 2025'!E161)</f>
        <v/>
      </c>
      <c r="F159" s="13" t="str">
        <f>'1.1 Produksi Bersih Padi 2025'!Q161</f>
        <v/>
      </c>
      <c r="G159" s="13" t="str">
        <f>'1.2 Produksi Bersih Jagung 2025'!L161</f>
        <v/>
      </c>
      <c r="H159" s="13" t="str">
        <f>'1.3 Prod Bersih Ubi Kayu 2025'!K161</f>
        <v/>
      </c>
      <c r="I159" s="13" t="str">
        <f>'1.4 Prod Bersih Ubi Jalar 2025'!K161</f>
        <v/>
      </c>
      <c r="J159" s="13" t="str">
        <f>'1.5 Prod Bersih Sagu 2025'!K161</f>
        <v/>
      </c>
      <c r="K159" s="13" t="str">
        <f>'1.6 Prod Bersih Pisang 2025'!K161</f>
        <v/>
      </c>
      <c r="L159" s="15">
        <f t="shared" si="6"/>
        <v>0</v>
      </c>
      <c r="M159" s="14" t="str">
        <f>IF(D159="","",VLOOKUP(D159,'[1]0.1 Produksi Pangan &amp; Penduduk'!$D$5:$AU$704,44,0))</f>
        <v/>
      </c>
      <c r="N159" s="26" t="str">
        <f t="shared" si="7"/>
        <v/>
      </c>
      <c r="O159" s="16"/>
      <c r="P159" s="25" t="str">
        <f t="shared" si="8"/>
        <v/>
      </c>
      <c r="Q159" s="8"/>
      <c r="R159" s="11"/>
    </row>
    <row r="160" spans="1:18" ht="15" x14ac:dyDescent="0.25">
      <c r="A160" s="3" t="str">
        <f>IF('1.1 Produksi Bersih Padi 2025'!A162="","",'1.1 Produksi Bersih Padi 2025'!A162)</f>
        <v/>
      </c>
      <c r="B160" s="32" t="str">
        <f>IF('1.1 Produksi Bersih Padi 2025'!B162="","",'1.1 Produksi Bersih Padi 2025'!B162)</f>
        <v/>
      </c>
      <c r="C160" s="32" t="str">
        <f>IF('1.1 Produksi Bersih Padi 2025'!C162="","",'1.1 Produksi Bersih Padi 2025'!C162)</f>
        <v/>
      </c>
      <c r="D160" s="3" t="str">
        <f>IF('1.1 Produksi Bersih Padi 2025'!D162="","",'1.1 Produksi Bersih Padi 2025'!D162)</f>
        <v/>
      </c>
      <c r="E160" s="3" t="str">
        <f>IF('1.1 Produksi Bersih Padi 2025'!E162="","",'1.1 Produksi Bersih Padi 2025'!E162)</f>
        <v/>
      </c>
      <c r="F160" s="13" t="str">
        <f>'1.1 Produksi Bersih Padi 2025'!Q162</f>
        <v/>
      </c>
      <c r="G160" s="13" t="str">
        <f>'1.2 Produksi Bersih Jagung 2025'!L162</f>
        <v/>
      </c>
      <c r="H160" s="13" t="str">
        <f>'1.3 Prod Bersih Ubi Kayu 2025'!K162</f>
        <v/>
      </c>
      <c r="I160" s="13" t="str">
        <f>'1.4 Prod Bersih Ubi Jalar 2025'!K162</f>
        <v/>
      </c>
      <c r="J160" s="13" t="str">
        <f>'1.5 Prod Bersih Sagu 2025'!K162</f>
        <v/>
      </c>
      <c r="K160" s="13" t="str">
        <f>'1.6 Prod Bersih Pisang 2025'!K162</f>
        <v/>
      </c>
      <c r="L160" s="15">
        <f t="shared" si="6"/>
        <v>0</v>
      </c>
      <c r="M160" s="14" t="str">
        <f>IF(D160="","",VLOOKUP(D160,'[1]0.1 Produksi Pangan &amp; Penduduk'!$D$5:$AU$704,44,0))</f>
        <v/>
      </c>
      <c r="N160" s="26" t="str">
        <f t="shared" si="7"/>
        <v/>
      </c>
      <c r="O160" s="16"/>
      <c r="P160" s="25" t="str">
        <f t="shared" si="8"/>
        <v/>
      </c>
      <c r="Q160" s="8"/>
      <c r="R160" s="11"/>
    </row>
    <row r="161" spans="1:18" ht="15" x14ac:dyDescent="0.25">
      <c r="A161" s="3" t="str">
        <f>IF('1.1 Produksi Bersih Padi 2025'!A163="","",'1.1 Produksi Bersih Padi 2025'!A163)</f>
        <v/>
      </c>
      <c r="B161" s="32" t="str">
        <f>IF('1.1 Produksi Bersih Padi 2025'!B163="","",'1.1 Produksi Bersih Padi 2025'!B163)</f>
        <v/>
      </c>
      <c r="C161" s="32" t="str">
        <f>IF('1.1 Produksi Bersih Padi 2025'!C163="","",'1.1 Produksi Bersih Padi 2025'!C163)</f>
        <v/>
      </c>
      <c r="D161" s="3" t="str">
        <f>IF('1.1 Produksi Bersih Padi 2025'!D163="","",'1.1 Produksi Bersih Padi 2025'!D163)</f>
        <v/>
      </c>
      <c r="E161" s="3" t="str">
        <f>IF('1.1 Produksi Bersih Padi 2025'!E163="","",'1.1 Produksi Bersih Padi 2025'!E163)</f>
        <v/>
      </c>
      <c r="F161" s="13" t="str">
        <f>'1.1 Produksi Bersih Padi 2025'!Q163</f>
        <v/>
      </c>
      <c r="G161" s="13" t="str">
        <f>'1.2 Produksi Bersih Jagung 2025'!L163</f>
        <v/>
      </c>
      <c r="H161" s="13" t="str">
        <f>'1.3 Prod Bersih Ubi Kayu 2025'!K163</f>
        <v/>
      </c>
      <c r="I161" s="13" t="str">
        <f>'1.4 Prod Bersih Ubi Jalar 2025'!K163</f>
        <v/>
      </c>
      <c r="J161" s="13" t="str">
        <f>'1.5 Prod Bersih Sagu 2025'!K163</f>
        <v/>
      </c>
      <c r="K161" s="13" t="str">
        <f>'1.6 Prod Bersih Pisang 2025'!K163</f>
        <v/>
      </c>
      <c r="L161" s="15">
        <f t="shared" si="6"/>
        <v>0</v>
      </c>
      <c r="M161" s="14" t="str">
        <f>IF(D161="","",VLOOKUP(D161,'[1]0.1 Produksi Pangan &amp; Penduduk'!$D$5:$AU$704,44,0))</f>
        <v/>
      </c>
      <c r="N161" s="26" t="str">
        <f t="shared" si="7"/>
        <v/>
      </c>
      <c r="O161" s="16"/>
      <c r="P161" s="25" t="str">
        <f t="shared" si="8"/>
        <v/>
      </c>
      <c r="Q161" s="8"/>
      <c r="R161" s="11"/>
    </row>
    <row r="162" spans="1:18" ht="15" x14ac:dyDescent="0.25">
      <c r="A162" s="3" t="str">
        <f>IF('1.1 Produksi Bersih Padi 2025'!A164="","",'1.1 Produksi Bersih Padi 2025'!A164)</f>
        <v/>
      </c>
      <c r="B162" s="32" t="str">
        <f>IF('1.1 Produksi Bersih Padi 2025'!B164="","",'1.1 Produksi Bersih Padi 2025'!B164)</f>
        <v/>
      </c>
      <c r="C162" s="32" t="str">
        <f>IF('1.1 Produksi Bersih Padi 2025'!C164="","",'1.1 Produksi Bersih Padi 2025'!C164)</f>
        <v/>
      </c>
      <c r="D162" s="3" t="str">
        <f>IF('1.1 Produksi Bersih Padi 2025'!D164="","",'1.1 Produksi Bersih Padi 2025'!D164)</f>
        <v/>
      </c>
      <c r="E162" s="3" t="str">
        <f>IF('1.1 Produksi Bersih Padi 2025'!E164="","",'1.1 Produksi Bersih Padi 2025'!E164)</f>
        <v/>
      </c>
      <c r="F162" s="13" t="str">
        <f>'1.1 Produksi Bersih Padi 2025'!Q164</f>
        <v/>
      </c>
      <c r="G162" s="13" t="str">
        <f>'1.2 Produksi Bersih Jagung 2025'!L164</f>
        <v/>
      </c>
      <c r="H162" s="13" t="str">
        <f>'1.3 Prod Bersih Ubi Kayu 2025'!K164</f>
        <v/>
      </c>
      <c r="I162" s="13" t="str">
        <f>'1.4 Prod Bersih Ubi Jalar 2025'!K164</f>
        <v/>
      </c>
      <c r="J162" s="13" t="str">
        <f>'1.5 Prod Bersih Sagu 2025'!K164</f>
        <v/>
      </c>
      <c r="K162" s="13" t="str">
        <f>'1.6 Prod Bersih Pisang 2025'!K164</f>
        <v/>
      </c>
      <c r="L162" s="15">
        <f t="shared" si="6"/>
        <v>0</v>
      </c>
      <c r="M162" s="14" t="str">
        <f>IF(D162="","",VLOOKUP(D162,'[1]0.1 Produksi Pangan &amp; Penduduk'!$D$5:$AU$704,44,0))</f>
        <v/>
      </c>
      <c r="N162" s="26" t="str">
        <f t="shared" si="7"/>
        <v/>
      </c>
      <c r="O162" s="16"/>
      <c r="P162" s="25" t="str">
        <f t="shared" si="8"/>
        <v/>
      </c>
      <c r="Q162" s="8"/>
      <c r="R162" s="11"/>
    </row>
    <row r="163" spans="1:18" ht="15" x14ac:dyDescent="0.25">
      <c r="A163" s="3" t="str">
        <f>IF('1.1 Produksi Bersih Padi 2025'!A165="","",'1.1 Produksi Bersih Padi 2025'!A165)</f>
        <v/>
      </c>
      <c r="B163" s="32" t="str">
        <f>IF('1.1 Produksi Bersih Padi 2025'!B165="","",'1.1 Produksi Bersih Padi 2025'!B165)</f>
        <v/>
      </c>
      <c r="C163" s="32" t="str">
        <f>IF('1.1 Produksi Bersih Padi 2025'!C165="","",'1.1 Produksi Bersih Padi 2025'!C165)</f>
        <v/>
      </c>
      <c r="D163" s="3" t="str">
        <f>IF('1.1 Produksi Bersih Padi 2025'!D165="","",'1.1 Produksi Bersih Padi 2025'!D165)</f>
        <v/>
      </c>
      <c r="E163" s="3" t="str">
        <f>IF('1.1 Produksi Bersih Padi 2025'!E165="","",'1.1 Produksi Bersih Padi 2025'!E165)</f>
        <v/>
      </c>
      <c r="F163" s="13" t="str">
        <f>'1.1 Produksi Bersih Padi 2025'!Q165</f>
        <v/>
      </c>
      <c r="G163" s="13" t="str">
        <f>'1.2 Produksi Bersih Jagung 2025'!L165</f>
        <v/>
      </c>
      <c r="H163" s="13" t="str">
        <f>'1.3 Prod Bersih Ubi Kayu 2025'!K165</f>
        <v/>
      </c>
      <c r="I163" s="13" t="str">
        <f>'1.4 Prod Bersih Ubi Jalar 2025'!K165</f>
        <v/>
      </c>
      <c r="J163" s="13" t="str">
        <f>'1.5 Prod Bersih Sagu 2025'!K165</f>
        <v/>
      </c>
      <c r="K163" s="13" t="str">
        <f>'1.6 Prod Bersih Pisang 2025'!K165</f>
        <v/>
      </c>
      <c r="L163" s="15">
        <f t="shared" si="6"/>
        <v>0</v>
      </c>
      <c r="M163" s="14" t="str">
        <f>IF(D163="","",VLOOKUP(D163,'[1]0.1 Produksi Pangan &amp; Penduduk'!$D$5:$AU$704,44,0))</f>
        <v/>
      </c>
      <c r="N163" s="26" t="str">
        <f t="shared" si="7"/>
        <v/>
      </c>
      <c r="O163" s="16"/>
      <c r="P163" s="25" t="str">
        <f t="shared" si="8"/>
        <v/>
      </c>
      <c r="Q163" s="8"/>
      <c r="R163" s="11"/>
    </row>
    <row r="164" spans="1:18" ht="15" x14ac:dyDescent="0.25">
      <c r="A164" s="3" t="str">
        <f>IF('1.1 Produksi Bersih Padi 2025'!A166="","",'1.1 Produksi Bersih Padi 2025'!A166)</f>
        <v/>
      </c>
      <c r="B164" s="32" t="str">
        <f>IF('1.1 Produksi Bersih Padi 2025'!B166="","",'1.1 Produksi Bersih Padi 2025'!B166)</f>
        <v/>
      </c>
      <c r="C164" s="32" t="str">
        <f>IF('1.1 Produksi Bersih Padi 2025'!C166="","",'1.1 Produksi Bersih Padi 2025'!C166)</f>
        <v/>
      </c>
      <c r="D164" s="3" t="str">
        <f>IF('1.1 Produksi Bersih Padi 2025'!D166="","",'1.1 Produksi Bersih Padi 2025'!D166)</f>
        <v/>
      </c>
      <c r="E164" s="3" t="str">
        <f>IF('1.1 Produksi Bersih Padi 2025'!E166="","",'1.1 Produksi Bersih Padi 2025'!E166)</f>
        <v/>
      </c>
      <c r="F164" s="13" t="str">
        <f>'1.1 Produksi Bersih Padi 2025'!Q166</f>
        <v/>
      </c>
      <c r="G164" s="13" t="str">
        <f>'1.2 Produksi Bersih Jagung 2025'!L166</f>
        <v/>
      </c>
      <c r="H164" s="13" t="str">
        <f>'1.3 Prod Bersih Ubi Kayu 2025'!K166</f>
        <v/>
      </c>
      <c r="I164" s="13" t="str">
        <f>'1.4 Prod Bersih Ubi Jalar 2025'!K166</f>
        <v/>
      </c>
      <c r="J164" s="13" t="str">
        <f>'1.5 Prod Bersih Sagu 2025'!K166</f>
        <v/>
      </c>
      <c r="K164" s="13" t="str">
        <f>'1.6 Prod Bersih Pisang 2025'!K166</f>
        <v/>
      </c>
      <c r="L164" s="15">
        <f t="shared" si="6"/>
        <v>0</v>
      </c>
      <c r="M164" s="14" t="str">
        <f>IF(D164="","",VLOOKUP(D164,'[1]0.1 Produksi Pangan &amp; Penduduk'!$D$5:$AU$704,44,0))</f>
        <v/>
      </c>
      <c r="N164" s="26" t="str">
        <f t="shared" si="7"/>
        <v/>
      </c>
      <c r="O164" s="16"/>
      <c r="P164" s="25" t="str">
        <f t="shared" si="8"/>
        <v/>
      </c>
      <c r="Q164" s="8"/>
      <c r="R164" s="11"/>
    </row>
    <row r="165" spans="1:18" ht="15" x14ac:dyDescent="0.25">
      <c r="A165" s="3" t="str">
        <f>IF('1.1 Produksi Bersih Padi 2025'!A167="","",'1.1 Produksi Bersih Padi 2025'!A167)</f>
        <v/>
      </c>
      <c r="B165" s="32" t="str">
        <f>IF('1.1 Produksi Bersih Padi 2025'!B167="","",'1.1 Produksi Bersih Padi 2025'!B167)</f>
        <v/>
      </c>
      <c r="C165" s="32" t="str">
        <f>IF('1.1 Produksi Bersih Padi 2025'!C167="","",'1.1 Produksi Bersih Padi 2025'!C167)</f>
        <v/>
      </c>
      <c r="D165" s="3" t="str">
        <f>IF('1.1 Produksi Bersih Padi 2025'!D167="","",'1.1 Produksi Bersih Padi 2025'!D167)</f>
        <v/>
      </c>
      <c r="E165" s="3" t="str">
        <f>IF('1.1 Produksi Bersih Padi 2025'!E167="","",'1.1 Produksi Bersih Padi 2025'!E167)</f>
        <v/>
      </c>
      <c r="F165" s="13" t="str">
        <f>'1.1 Produksi Bersih Padi 2025'!Q167</f>
        <v/>
      </c>
      <c r="G165" s="13" t="str">
        <f>'1.2 Produksi Bersih Jagung 2025'!L167</f>
        <v/>
      </c>
      <c r="H165" s="13" t="str">
        <f>'1.3 Prod Bersih Ubi Kayu 2025'!K167</f>
        <v/>
      </c>
      <c r="I165" s="13" t="str">
        <f>'1.4 Prod Bersih Ubi Jalar 2025'!K167</f>
        <v/>
      </c>
      <c r="J165" s="13" t="str">
        <f>'1.5 Prod Bersih Sagu 2025'!K167</f>
        <v/>
      </c>
      <c r="K165" s="13" t="str">
        <f>'1.6 Prod Bersih Pisang 2025'!K167</f>
        <v/>
      </c>
      <c r="L165" s="15">
        <f t="shared" si="6"/>
        <v>0</v>
      </c>
      <c r="M165" s="14" t="str">
        <f>IF(D165="","",VLOOKUP(D165,'[1]0.1 Produksi Pangan &amp; Penduduk'!$D$5:$AU$704,44,0))</f>
        <v/>
      </c>
      <c r="N165" s="26" t="str">
        <f t="shared" si="7"/>
        <v/>
      </c>
      <c r="O165" s="16"/>
      <c r="P165" s="25" t="str">
        <f t="shared" si="8"/>
        <v/>
      </c>
      <c r="Q165" s="8"/>
      <c r="R165" s="11"/>
    </row>
    <row r="166" spans="1:18" ht="15" x14ac:dyDescent="0.25">
      <c r="A166" s="3" t="str">
        <f>IF('1.1 Produksi Bersih Padi 2025'!A168="","",'1.1 Produksi Bersih Padi 2025'!A168)</f>
        <v/>
      </c>
      <c r="B166" s="32" t="str">
        <f>IF('1.1 Produksi Bersih Padi 2025'!B168="","",'1.1 Produksi Bersih Padi 2025'!B168)</f>
        <v/>
      </c>
      <c r="C166" s="32" t="str">
        <f>IF('1.1 Produksi Bersih Padi 2025'!C168="","",'1.1 Produksi Bersih Padi 2025'!C168)</f>
        <v/>
      </c>
      <c r="D166" s="3" t="str">
        <f>IF('1.1 Produksi Bersih Padi 2025'!D168="","",'1.1 Produksi Bersih Padi 2025'!D168)</f>
        <v/>
      </c>
      <c r="E166" s="3" t="str">
        <f>IF('1.1 Produksi Bersih Padi 2025'!E168="","",'1.1 Produksi Bersih Padi 2025'!E168)</f>
        <v/>
      </c>
      <c r="F166" s="13" t="str">
        <f>'1.1 Produksi Bersih Padi 2025'!Q168</f>
        <v/>
      </c>
      <c r="G166" s="13" t="str">
        <f>'1.2 Produksi Bersih Jagung 2025'!L168</f>
        <v/>
      </c>
      <c r="H166" s="13" t="str">
        <f>'1.3 Prod Bersih Ubi Kayu 2025'!K168</f>
        <v/>
      </c>
      <c r="I166" s="13" t="str">
        <f>'1.4 Prod Bersih Ubi Jalar 2025'!K168</f>
        <v/>
      </c>
      <c r="J166" s="13" t="str">
        <f>'1.5 Prod Bersih Sagu 2025'!K168</f>
        <v/>
      </c>
      <c r="K166" s="13" t="str">
        <f>'1.6 Prod Bersih Pisang 2025'!K168</f>
        <v/>
      </c>
      <c r="L166" s="15">
        <f t="shared" si="6"/>
        <v>0</v>
      </c>
      <c r="M166" s="14" t="str">
        <f>IF(D166="","",VLOOKUP(D166,'[1]0.1 Produksi Pangan &amp; Penduduk'!$D$5:$AU$704,44,0))</f>
        <v/>
      </c>
      <c r="N166" s="26" t="str">
        <f t="shared" si="7"/>
        <v/>
      </c>
      <c r="O166" s="16"/>
      <c r="P166" s="25" t="str">
        <f t="shared" si="8"/>
        <v/>
      </c>
      <c r="Q166" s="8"/>
      <c r="R166" s="11"/>
    </row>
    <row r="167" spans="1:18" ht="15" x14ac:dyDescent="0.25">
      <c r="A167" s="3" t="str">
        <f>IF('1.1 Produksi Bersih Padi 2025'!A169="","",'1.1 Produksi Bersih Padi 2025'!A169)</f>
        <v/>
      </c>
      <c r="B167" s="32" t="str">
        <f>IF('1.1 Produksi Bersih Padi 2025'!B169="","",'1.1 Produksi Bersih Padi 2025'!B169)</f>
        <v/>
      </c>
      <c r="C167" s="32" t="str">
        <f>IF('1.1 Produksi Bersih Padi 2025'!C169="","",'1.1 Produksi Bersih Padi 2025'!C169)</f>
        <v/>
      </c>
      <c r="D167" s="3" t="str">
        <f>IF('1.1 Produksi Bersih Padi 2025'!D169="","",'1.1 Produksi Bersih Padi 2025'!D169)</f>
        <v/>
      </c>
      <c r="E167" s="3" t="str">
        <f>IF('1.1 Produksi Bersih Padi 2025'!E169="","",'1.1 Produksi Bersih Padi 2025'!E169)</f>
        <v/>
      </c>
      <c r="F167" s="13" t="str">
        <f>'1.1 Produksi Bersih Padi 2025'!Q169</f>
        <v/>
      </c>
      <c r="G167" s="13" t="str">
        <f>'1.2 Produksi Bersih Jagung 2025'!L169</f>
        <v/>
      </c>
      <c r="H167" s="13" t="str">
        <f>'1.3 Prod Bersih Ubi Kayu 2025'!K169</f>
        <v/>
      </c>
      <c r="I167" s="13" t="str">
        <f>'1.4 Prod Bersih Ubi Jalar 2025'!K169</f>
        <v/>
      </c>
      <c r="J167" s="13" t="str">
        <f>'1.5 Prod Bersih Sagu 2025'!K169</f>
        <v/>
      </c>
      <c r="K167" s="13" t="str">
        <f>'1.6 Prod Bersih Pisang 2025'!K169</f>
        <v/>
      </c>
      <c r="L167" s="15">
        <f t="shared" si="6"/>
        <v>0</v>
      </c>
      <c r="M167" s="14" t="str">
        <f>IF(D167="","",VLOOKUP(D167,'[1]0.1 Produksi Pangan &amp; Penduduk'!$D$5:$AU$704,44,0))</f>
        <v/>
      </c>
      <c r="N167" s="26" t="str">
        <f t="shared" si="7"/>
        <v/>
      </c>
      <c r="O167" s="16"/>
      <c r="P167" s="25" t="str">
        <f t="shared" si="8"/>
        <v/>
      </c>
      <c r="Q167" s="8"/>
      <c r="R167" s="11"/>
    </row>
    <row r="168" spans="1:18" ht="15" x14ac:dyDescent="0.25">
      <c r="A168" s="3" t="str">
        <f>IF('1.1 Produksi Bersih Padi 2025'!A170="","",'1.1 Produksi Bersih Padi 2025'!A170)</f>
        <v/>
      </c>
      <c r="B168" s="32" t="str">
        <f>IF('1.1 Produksi Bersih Padi 2025'!B170="","",'1.1 Produksi Bersih Padi 2025'!B170)</f>
        <v/>
      </c>
      <c r="C168" s="32" t="str">
        <f>IF('1.1 Produksi Bersih Padi 2025'!C170="","",'1.1 Produksi Bersih Padi 2025'!C170)</f>
        <v/>
      </c>
      <c r="D168" s="3" t="str">
        <f>IF('1.1 Produksi Bersih Padi 2025'!D170="","",'1.1 Produksi Bersih Padi 2025'!D170)</f>
        <v/>
      </c>
      <c r="E168" s="3" t="str">
        <f>IF('1.1 Produksi Bersih Padi 2025'!E170="","",'1.1 Produksi Bersih Padi 2025'!E170)</f>
        <v/>
      </c>
      <c r="F168" s="13" t="str">
        <f>'1.1 Produksi Bersih Padi 2025'!Q170</f>
        <v/>
      </c>
      <c r="G168" s="13" t="str">
        <f>'1.2 Produksi Bersih Jagung 2025'!L170</f>
        <v/>
      </c>
      <c r="H168" s="13" t="str">
        <f>'1.3 Prod Bersih Ubi Kayu 2025'!K170</f>
        <v/>
      </c>
      <c r="I168" s="13" t="str">
        <f>'1.4 Prod Bersih Ubi Jalar 2025'!K170</f>
        <v/>
      </c>
      <c r="J168" s="13" t="str">
        <f>'1.5 Prod Bersih Sagu 2025'!K170</f>
        <v/>
      </c>
      <c r="K168" s="13" t="str">
        <f>'1.6 Prod Bersih Pisang 2025'!K170</f>
        <v/>
      </c>
      <c r="L168" s="15">
        <f t="shared" si="6"/>
        <v>0</v>
      </c>
      <c r="M168" s="14" t="str">
        <f>IF(D168="","",VLOOKUP(D168,'[1]0.1 Produksi Pangan &amp; Penduduk'!$D$5:$AU$704,44,0))</f>
        <v/>
      </c>
      <c r="N168" s="26" t="str">
        <f t="shared" si="7"/>
        <v/>
      </c>
      <c r="O168" s="16"/>
      <c r="P168" s="25" t="str">
        <f t="shared" si="8"/>
        <v/>
      </c>
      <c r="Q168" s="8"/>
      <c r="R168" s="11"/>
    </row>
    <row r="169" spans="1:18" ht="15" x14ac:dyDescent="0.25">
      <c r="A169" s="3" t="str">
        <f>IF('1.1 Produksi Bersih Padi 2025'!A171="","",'1.1 Produksi Bersih Padi 2025'!A171)</f>
        <v/>
      </c>
      <c r="B169" s="32" t="str">
        <f>IF('1.1 Produksi Bersih Padi 2025'!B171="","",'1.1 Produksi Bersih Padi 2025'!B171)</f>
        <v/>
      </c>
      <c r="C169" s="32" t="str">
        <f>IF('1.1 Produksi Bersih Padi 2025'!C171="","",'1.1 Produksi Bersih Padi 2025'!C171)</f>
        <v/>
      </c>
      <c r="D169" s="3" t="str">
        <f>IF('1.1 Produksi Bersih Padi 2025'!D171="","",'1.1 Produksi Bersih Padi 2025'!D171)</f>
        <v/>
      </c>
      <c r="E169" s="3" t="str">
        <f>IF('1.1 Produksi Bersih Padi 2025'!E171="","",'1.1 Produksi Bersih Padi 2025'!E171)</f>
        <v/>
      </c>
      <c r="F169" s="13" t="str">
        <f>'1.1 Produksi Bersih Padi 2025'!Q171</f>
        <v/>
      </c>
      <c r="G169" s="13" t="str">
        <f>'1.2 Produksi Bersih Jagung 2025'!L171</f>
        <v/>
      </c>
      <c r="H169" s="13" t="str">
        <f>'1.3 Prod Bersih Ubi Kayu 2025'!K171</f>
        <v/>
      </c>
      <c r="I169" s="13" t="str">
        <f>'1.4 Prod Bersih Ubi Jalar 2025'!K171</f>
        <v/>
      </c>
      <c r="J169" s="13" t="str">
        <f>'1.5 Prod Bersih Sagu 2025'!K171</f>
        <v/>
      </c>
      <c r="K169" s="13" t="str">
        <f>'1.6 Prod Bersih Pisang 2025'!K171</f>
        <v/>
      </c>
      <c r="L169" s="15">
        <f t="shared" si="6"/>
        <v>0</v>
      </c>
      <c r="M169" s="14" t="str">
        <f>IF(D169="","",VLOOKUP(D169,'[1]0.1 Produksi Pangan &amp; Penduduk'!$D$5:$AU$704,44,0))</f>
        <v/>
      </c>
      <c r="N169" s="26" t="str">
        <f t="shared" si="7"/>
        <v/>
      </c>
      <c r="O169" s="16"/>
      <c r="P169" s="25" t="str">
        <f t="shared" si="8"/>
        <v/>
      </c>
      <c r="Q169" s="8"/>
      <c r="R169" s="11"/>
    </row>
    <row r="170" spans="1:18" ht="15" x14ac:dyDescent="0.25">
      <c r="A170" s="3" t="str">
        <f>IF('1.1 Produksi Bersih Padi 2025'!A172="","",'1.1 Produksi Bersih Padi 2025'!A172)</f>
        <v/>
      </c>
      <c r="B170" s="32" t="str">
        <f>IF('1.1 Produksi Bersih Padi 2025'!B172="","",'1.1 Produksi Bersih Padi 2025'!B172)</f>
        <v/>
      </c>
      <c r="C170" s="32" t="str">
        <f>IF('1.1 Produksi Bersih Padi 2025'!C172="","",'1.1 Produksi Bersih Padi 2025'!C172)</f>
        <v/>
      </c>
      <c r="D170" s="3" t="str">
        <f>IF('1.1 Produksi Bersih Padi 2025'!D172="","",'1.1 Produksi Bersih Padi 2025'!D172)</f>
        <v/>
      </c>
      <c r="E170" s="3" t="str">
        <f>IF('1.1 Produksi Bersih Padi 2025'!E172="","",'1.1 Produksi Bersih Padi 2025'!E172)</f>
        <v/>
      </c>
      <c r="F170" s="13" t="str">
        <f>'1.1 Produksi Bersih Padi 2025'!Q172</f>
        <v/>
      </c>
      <c r="G170" s="13" t="str">
        <f>'1.2 Produksi Bersih Jagung 2025'!L172</f>
        <v/>
      </c>
      <c r="H170" s="13" t="str">
        <f>'1.3 Prod Bersih Ubi Kayu 2025'!K172</f>
        <v/>
      </c>
      <c r="I170" s="13" t="str">
        <f>'1.4 Prod Bersih Ubi Jalar 2025'!K172</f>
        <v/>
      </c>
      <c r="J170" s="13" t="str">
        <f>'1.5 Prod Bersih Sagu 2025'!K172</f>
        <v/>
      </c>
      <c r="K170" s="13" t="str">
        <f>'1.6 Prod Bersih Pisang 2025'!K172</f>
        <v/>
      </c>
      <c r="L170" s="15">
        <f t="shared" si="6"/>
        <v>0</v>
      </c>
      <c r="M170" s="14" t="str">
        <f>IF(D170="","",VLOOKUP(D170,'[1]0.1 Produksi Pangan &amp; Penduduk'!$D$5:$AU$704,44,0))</f>
        <v/>
      </c>
      <c r="N170" s="26" t="str">
        <f t="shared" si="7"/>
        <v/>
      </c>
      <c r="O170" s="16"/>
      <c r="P170" s="25" t="str">
        <f t="shared" si="8"/>
        <v/>
      </c>
      <c r="Q170" s="8"/>
      <c r="R170" s="11"/>
    </row>
    <row r="171" spans="1:18" ht="15" x14ac:dyDescent="0.25">
      <c r="A171" s="3" t="str">
        <f>IF('1.1 Produksi Bersih Padi 2025'!A173="","",'1.1 Produksi Bersih Padi 2025'!A173)</f>
        <v/>
      </c>
      <c r="B171" s="32" t="str">
        <f>IF('1.1 Produksi Bersih Padi 2025'!B173="","",'1.1 Produksi Bersih Padi 2025'!B173)</f>
        <v/>
      </c>
      <c r="C171" s="32" t="str">
        <f>IF('1.1 Produksi Bersih Padi 2025'!C173="","",'1.1 Produksi Bersih Padi 2025'!C173)</f>
        <v/>
      </c>
      <c r="D171" s="3" t="str">
        <f>IF('1.1 Produksi Bersih Padi 2025'!D173="","",'1.1 Produksi Bersih Padi 2025'!D173)</f>
        <v/>
      </c>
      <c r="E171" s="3" t="str">
        <f>IF('1.1 Produksi Bersih Padi 2025'!E173="","",'1.1 Produksi Bersih Padi 2025'!E173)</f>
        <v/>
      </c>
      <c r="F171" s="13" t="str">
        <f>'1.1 Produksi Bersih Padi 2025'!Q173</f>
        <v/>
      </c>
      <c r="G171" s="13" t="str">
        <f>'1.2 Produksi Bersih Jagung 2025'!L173</f>
        <v/>
      </c>
      <c r="H171" s="13" t="str">
        <f>'1.3 Prod Bersih Ubi Kayu 2025'!K173</f>
        <v/>
      </c>
      <c r="I171" s="13" t="str">
        <f>'1.4 Prod Bersih Ubi Jalar 2025'!K173</f>
        <v/>
      </c>
      <c r="J171" s="13" t="str">
        <f>'1.5 Prod Bersih Sagu 2025'!K173</f>
        <v/>
      </c>
      <c r="K171" s="13" t="str">
        <f>'1.6 Prod Bersih Pisang 2025'!K173</f>
        <v/>
      </c>
      <c r="L171" s="15">
        <f t="shared" si="6"/>
        <v>0</v>
      </c>
      <c r="M171" s="14" t="str">
        <f>IF(D171="","",VLOOKUP(D171,'[1]0.1 Produksi Pangan &amp; Penduduk'!$D$5:$AU$704,44,0))</f>
        <v/>
      </c>
      <c r="N171" s="26" t="str">
        <f t="shared" si="7"/>
        <v/>
      </c>
      <c r="O171" s="16"/>
      <c r="P171" s="25" t="str">
        <f t="shared" si="8"/>
        <v/>
      </c>
      <c r="Q171" s="8"/>
      <c r="R171" s="11"/>
    </row>
    <row r="172" spans="1:18" ht="15" x14ac:dyDescent="0.25">
      <c r="A172" s="3" t="str">
        <f>IF('1.1 Produksi Bersih Padi 2025'!A174="","",'1.1 Produksi Bersih Padi 2025'!A174)</f>
        <v/>
      </c>
      <c r="B172" s="32" t="str">
        <f>IF('1.1 Produksi Bersih Padi 2025'!B174="","",'1.1 Produksi Bersih Padi 2025'!B174)</f>
        <v/>
      </c>
      <c r="C172" s="32" t="str">
        <f>IF('1.1 Produksi Bersih Padi 2025'!C174="","",'1.1 Produksi Bersih Padi 2025'!C174)</f>
        <v/>
      </c>
      <c r="D172" s="3" t="str">
        <f>IF('1.1 Produksi Bersih Padi 2025'!D174="","",'1.1 Produksi Bersih Padi 2025'!D174)</f>
        <v/>
      </c>
      <c r="E172" s="3" t="str">
        <f>IF('1.1 Produksi Bersih Padi 2025'!E174="","",'1.1 Produksi Bersih Padi 2025'!E174)</f>
        <v/>
      </c>
      <c r="F172" s="13" t="str">
        <f>'1.1 Produksi Bersih Padi 2025'!Q174</f>
        <v/>
      </c>
      <c r="G172" s="13" t="str">
        <f>'1.2 Produksi Bersih Jagung 2025'!L174</f>
        <v/>
      </c>
      <c r="H172" s="13" t="str">
        <f>'1.3 Prod Bersih Ubi Kayu 2025'!K174</f>
        <v/>
      </c>
      <c r="I172" s="13" t="str">
        <f>'1.4 Prod Bersih Ubi Jalar 2025'!K174</f>
        <v/>
      </c>
      <c r="J172" s="13" t="str">
        <f>'1.5 Prod Bersih Sagu 2025'!K174</f>
        <v/>
      </c>
      <c r="K172" s="13" t="str">
        <f>'1.6 Prod Bersih Pisang 2025'!K174</f>
        <v/>
      </c>
      <c r="L172" s="15">
        <f t="shared" si="6"/>
        <v>0</v>
      </c>
      <c r="M172" s="14" t="str">
        <f>IF(D172="","",VLOOKUP(D172,'[1]0.1 Produksi Pangan &amp; Penduduk'!$D$5:$AU$704,44,0))</f>
        <v/>
      </c>
      <c r="N172" s="26" t="str">
        <f t="shared" si="7"/>
        <v/>
      </c>
      <c r="O172" s="16"/>
      <c r="P172" s="25" t="str">
        <f t="shared" si="8"/>
        <v/>
      </c>
      <c r="Q172" s="8"/>
      <c r="R172" s="11"/>
    </row>
    <row r="173" spans="1:18" ht="15" x14ac:dyDescent="0.25">
      <c r="A173" s="3" t="str">
        <f>IF('1.1 Produksi Bersih Padi 2025'!A175="","",'1.1 Produksi Bersih Padi 2025'!A175)</f>
        <v/>
      </c>
      <c r="B173" s="32" t="str">
        <f>IF('1.1 Produksi Bersih Padi 2025'!B175="","",'1.1 Produksi Bersih Padi 2025'!B175)</f>
        <v/>
      </c>
      <c r="C173" s="32" t="str">
        <f>IF('1.1 Produksi Bersih Padi 2025'!C175="","",'1.1 Produksi Bersih Padi 2025'!C175)</f>
        <v/>
      </c>
      <c r="D173" s="3" t="str">
        <f>IF('1.1 Produksi Bersih Padi 2025'!D175="","",'1.1 Produksi Bersih Padi 2025'!D175)</f>
        <v/>
      </c>
      <c r="E173" s="3" t="str">
        <f>IF('1.1 Produksi Bersih Padi 2025'!E175="","",'1.1 Produksi Bersih Padi 2025'!E175)</f>
        <v/>
      </c>
      <c r="F173" s="13" t="str">
        <f>'1.1 Produksi Bersih Padi 2025'!Q175</f>
        <v/>
      </c>
      <c r="G173" s="13" t="str">
        <f>'1.2 Produksi Bersih Jagung 2025'!L175</f>
        <v/>
      </c>
      <c r="H173" s="13" t="str">
        <f>'1.3 Prod Bersih Ubi Kayu 2025'!K175</f>
        <v/>
      </c>
      <c r="I173" s="13" t="str">
        <f>'1.4 Prod Bersih Ubi Jalar 2025'!K175</f>
        <v/>
      </c>
      <c r="J173" s="13" t="str">
        <f>'1.5 Prod Bersih Sagu 2025'!K175</f>
        <v/>
      </c>
      <c r="K173" s="13" t="str">
        <f>'1.6 Prod Bersih Pisang 2025'!K175</f>
        <v/>
      </c>
      <c r="L173" s="15">
        <f t="shared" si="6"/>
        <v>0</v>
      </c>
      <c r="M173" s="14" t="str">
        <f>IF(D173="","",VLOOKUP(D173,'[1]0.1 Produksi Pangan &amp; Penduduk'!$D$5:$AU$704,44,0))</f>
        <v/>
      </c>
      <c r="N173" s="26" t="str">
        <f t="shared" si="7"/>
        <v/>
      </c>
      <c r="O173" s="16"/>
      <c r="P173" s="25" t="str">
        <f t="shared" si="8"/>
        <v/>
      </c>
      <c r="Q173" s="8"/>
      <c r="R173" s="11"/>
    </row>
    <row r="174" spans="1:18" ht="15" x14ac:dyDescent="0.25">
      <c r="A174" s="3" t="str">
        <f>IF('1.1 Produksi Bersih Padi 2025'!A176="","",'1.1 Produksi Bersih Padi 2025'!A176)</f>
        <v/>
      </c>
      <c r="B174" s="32" t="str">
        <f>IF('1.1 Produksi Bersih Padi 2025'!B176="","",'1.1 Produksi Bersih Padi 2025'!B176)</f>
        <v/>
      </c>
      <c r="C174" s="32" t="str">
        <f>IF('1.1 Produksi Bersih Padi 2025'!C176="","",'1.1 Produksi Bersih Padi 2025'!C176)</f>
        <v/>
      </c>
      <c r="D174" s="3" t="str">
        <f>IF('1.1 Produksi Bersih Padi 2025'!D176="","",'1.1 Produksi Bersih Padi 2025'!D176)</f>
        <v/>
      </c>
      <c r="E174" s="3" t="str">
        <f>IF('1.1 Produksi Bersih Padi 2025'!E176="","",'1.1 Produksi Bersih Padi 2025'!E176)</f>
        <v/>
      </c>
      <c r="F174" s="13" t="str">
        <f>'1.1 Produksi Bersih Padi 2025'!Q176</f>
        <v/>
      </c>
      <c r="G174" s="13" t="str">
        <f>'1.2 Produksi Bersih Jagung 2025'!L176</f>
        <v/>
      </c>
      <c r="H174" s="13" t="str">
        <f>'1.3 Prod Bersih Ubi Kayu 2025'!K176</f>
        <v/>
      </c>
      <c r="I174" s="13" t="str">
        <f>'1.4 Prod Bersih Ubi Jalar 2025'!K176</f>
        <v/>
      </c>
      <c r="J174" s="13" t="str">
        <f>'1.5 Prod Bersih Sagu 2025'!K176</f>
        <v/>
      </c>
      <c r="K174" s="13" t="str">
        <f>'1.6 Prod Bersih Pisang 2025'!K176</f>
        <v/>
      </c>
      <c r="L174" s="15">
        <f t="shared" si="6"/>
        <v>0</v>
      </c>
      <c r="M174" s="14" t="str">
        <f>IF(D174="","",VLOOKUP(D174,'[1]0.1 Produksi Pangan &amp; Penduduk'!$D$5:$AU$704,44,0))</f>
        <v/>
      </c>
      <c r="N174" s="26" t="str">
        <f t="shared" si="7"/>
        <v/>
      </c>
      <c r="O174" s="16"/>
      <c r="P174" s="25" t="str">
        <f t="shared" si="8"/>
        <v/>
      </c>
      <c r="Q174" s="8"/>
      <c r="R174" s="11"/>
    </row>
    <row r="175" spans="1:18" ht="15" x14ac:dyDescent="0.25">
      <c r="A175" s="3" t="str">
        <f>IF('1.1 Produksi Bersih Padi 2025'!A177="","",'1.1 Produksi Bersih Padi 2025'!A177)</f>
        <v/>
      </c>
      <c r="B175" s="32" t="str">
        <f>IF('1.1 Produksi Bersih Padi 2025'!B177="","",'1.1 Produksi Bersih Padi 2025'!B177)</f>
        <v/>
      </c>
      <c r="C175" s="32" t="str">
        <f>IF('1.1 Produksi Bersih Padi 2025'!C177="","",'1.1 Produksi Bersih Padi 2025'!C177)</f>
        <v/>
      </c>
      <c r="D175" s="3" t="str">
        <f>IF('1.1 Produksi Bersih Padi 2025'!D177="","",'1.1 Produksi Bersih Padi 2025'!D177)</f>
        <v/>
      </c>
      <c r="E175" s="3" t="str">
        <f>IF('1.1 Produksi Bersih Padi 2025'!E177="","",'1.1 Produksi Bersih Padi 2025'!E177)</f>
        <v/>
      </c>
      <c r="F175" s="13" t="str">
        <f>'1.1 Produksi Bersih Padi 2025'!Q177</f>
        <v/>
      </c>
      <c r="G175" s="13" t="str">
        <f>'1.2 Produksi Bersih Jagung 2025'!L177</f>
        <v/>
      </c>
      <c r="H175" s="13" t="str">
        <f>'1.3 Prod Bersih Ubi Kayu 2025'!K177</f>
        <v/>
      </c>
      <c r="I175" s="13" t="str">
        <f>'1.4 Prod Bersih Ubi Jalar 2025'!K177</f>
        <v/>
      </c>
      <c r="J175" s="13" t="str">
        <f>'1.5 Prod Bersih Sagu 2025'!K177</f>
        <v/>
      </c>
      <c r="K175" s="13" t="str">
        <f>'1.6 Prod Bersih Pisang 2025'!K177</f>
        <v/>
      </c>
      <c r="L175" s="15">
        <f t="shared" si="6"/>
        <v>0</v>
      </c>
      <c r="M175" s="14" t="str">
        <f>IF(D175="","",VLOOKUP(D175,'[1]0.1 Produksi Pangan &amp; Penduduk'!$D$5:$AU$704,44,0))</f>
        <v/>
      </c>
      <c r="N175" s="26" t="str">
        <f t="shared" si="7"/>
        <v/>
      </c>
      <c r="O175" s="16"/>
      <c r="P175" s="25" t="str">
        <f t="shared" si="8"/>
        <v/>
      </c>
      <c r="Q175" s="8"/>
      <c r="R175" s="11"/>
    </row>
    <row r="176" spans="1:18" ht="15" x14ac:dyDescent="0.25">
      <c r="A176" s="3" t="str">
        <f>IF('1.1 Produksi Bersih Padi 2025'!A178="","",'1.1 Produksi Bersih Padi 2025'!A178)</f>
        <v/>
      </c>
      <c r="B176" s="32" t="str">
        <f>IF('1.1 Produksi Bersih Padi 2025'!B178="","",'1.1 Produksi Bersih Padi 2025'!B178)</f>
        <v/>
      </c>
      <c r="C176" s="32" t="str">
        <f>IF('1.1 Produksi Bersih Padi 2025'!C178="","",'1.1 Produksi Bersih Padi 2025'!C178)</f>
        <v/>
      </c>
      <c r="D176" s="3" t="str">
        <f>IF('1.1 Produksi Bersih Padi 2025'!D178="","",'1.1 Produksi Bersih Padi 2025'!D178)</f>
        <v/>
      </c>
      <c r="E176" s="3" t="str">
        <f>IF('1.1 Produksi Bersih Padi 2025'!E178="","",'1.1 Produksi Bersih Padi 2025'!E178)</f>
        <v/>
      </c>
      <c r="F176" s="13" t="str">
        <f>'1.1 Produksi Bersih Padi 2025'!Q178</f>
        <v/>
      </c>
      <c r="G176" s="13" t="str">
        <f>'1.2 Produksi Bersih Jagung 2025'!L178</f>
        <v/>
      </c>
      <c r="H176" s="13" t="str">
        <f>'1.3 Prod Bersih Ubi Kayu 2025'!K178</f>
        <v/>
      </c>
      <c r="I176" s="13" t="str">
        <f>'1.4 Prod Bersih Ubi Jalar 2025'!K178</f>
        <v/>
      </c>
      <c r="J176" s="13" t="str">
        <f>'1.5 Prod Bersih Sagu 2025'!K178</f>
        <v/>
      </c>
      <c r="K176" s="13" t="str">
        <f>'1.6 Prod Bersih Pisang 2025'!K178</f>
        <v/>
      </c>
      <c r="L176" s="15">
        <f t="shared" si="6"/>
        <v>0</v>
      </c>
      <c r="M176" s="14" t="str">
        <f>IF(D176="","",VLOOKUP(D176,'[1]0.1 Produksi Pangan &amp; Penduduk'!$D$5:$AU$704,44,0))</f>
        <v/>
      </c>
      <c r="N176" s="26" t="str">
        <f t="shared" si="7"/>
        <v/>
      </c>
      <c r="O176" s="16"/>
      <c r="P176" s="25" t="str">
        <f t="shared" si="8"/>
        <v/>
      </c>
      <c r="Q176" s="8"/>
      <c r="R176" s="11"/>
    </row>
    <row r="177" spans="1:18" ht="15" x14ac:dyDescent="0.25">
      <c r="A177" s="3" t="str">
        <f>IF('1.1 Produksi Bersih Padi 2025'!A179="","",'1.1 Produksi Bersih Padi 2025'!A179)</f>
        <v/>
      </c>
      <c r="B177" s="32" t="str">
        <f>IF('1.1 Produksi Bersih Padi 2025'!B179="","",'1.1 Produksi Bersih Padi 2025'!B179)</f>
        <v/>
      </c>
      <c r="C177" s="32" t="str">
        <f>IF('1.1 Produksi Bersih Padi 2025'!C179="","",'1.1 Produksi Bersih Padi 2025'!C179)</f>
        <v/>
      </c>
      <c r="D177" s="3" t="str">
        <f>IF('1.1 Produksi Bersih Padi 2025'!D179="","",'1.1 Produksi Bersih Padi 2025'!D179)</f>
        <v/>
      </c>
      <c r="E177" s="3" t="str">
        <f>IF('1.1 Produksi Bersih Padi 2025'!E179="","",'1.1 Produksi Bersih Padi 2025'!E179)</f>
        <v/>
      </c>
      <c r="F177" s="13" t="str">
        <f>'1.1 Produksi Bersih Padi 2025'!Q179</f>
        <v/>
      </c>
      <c r="G177" s="13" t="str">
        <f>'1.2 Produksi Bersih Jagung 2025'!L179</f>
        <v/>
      </c>
      <c r="H177" s="13" t="str">
        <f>'1.3 Prod Bersih Ubi Kayu 2025'!K179</f>
        <v/>
      </c>
      <c r="I177" s="13" t="str">
        <f>'1.4 Prod Bersih Ubi Jalar 2025'!K179</f>
        <v/>
      </c>
      <c r="J177" s="13" t="str">
        <f>'1.5 Prod Bersih Sagu 2025'!K179</f>
        <v/>
      </c>
      <c r="K177" s="13" t="str">
        <f>'1.6 Prod Bersih Pisang 2025'!K179</f>
        <v/>
      </c>
      <c r="L177" s="15">
        <f t="shared" si="6"/>
        <v>0</v>
      </c>
      <c r="M177" s="14" t="str">
        <f>IF(D177="","",VLOOKUP(D177,'[1]0.1 Produksi Pangan &amp; Penduduk'!$D$5:$AU$704,44,0))</f>
        <v/>
      </c>
      <c r="N177" s="26" t="str">
        <f t="shared" si="7"/>
        <v/>
      </c>
      <c r="O177" s="16"/>
      <c r="P177" s="25" t="str">
        <f t="shared" si="8"/>
        <v/>
      </c>
      <c r="Q177" s="8"/>
      <c r="R177" s="11"/>
    </row>
    <row r="178" spans="1:18" ht="15" x14ac:dyDescent="0.25">
      <c r="A178" s="3" t="str">
        <f>IF('1.1 Produksi Bersih Padi 2025'!A180="","",'1.1 Produksi Bersih Padi 2025'!A180)</f>
        <v/>
      </c>
      <c r="B178" s="32" t="str">
        <f>IF('1.1 Produksi Bersih Padi 2025'!B180="","",'1.1 Produksi Bersih Padi 2025'!B180)</f>
        <v/>
      </c>
      <c r="C178" s="32" t="str">
        <f>IF('1.1 Produksi Bersih Padi 2025'!C180="","",'1.1 Produksi Bersih Padi 2025'!C180)</f>
        <v/>
      </c>
      <c r="D178" s="3" t="str">
        <f>IF('1.1 Produksi Bersih Padi 2025'!D180="","",'1.1 Produksi Bersih Padi 2025'!D180)</f>
        <v/>
      </c>
      <c r="E178" s="3" t="str">
        <f>IF('1.1 Produksi Bersih Padi 2025'!E180="","",'1.1 Produksi Bersih Padi 2025'!E180)</f>
        <v/>
      </c>
      <c r="F178" s="13" t="str">
        <f>'1.1 Produksi Bersih Padi 2025'!Q180</f>
        <v/>
      </c>
      <c r="G178" s="13" t="str">
        <f>'1.2 Produksi Bersih Jagung 2025'!L180</f>
        <v/>
      </c>
      <c r="H178" s="13" t="str">
        <f>'1.3 Prod Bersih Ubi Kayu 2025'!K180</f>
        <v/>
      </c>
      <c r="I178" s="13" t="str">
        <f>'1.4 Prod Bersih Ubi Jalar 2025'!K180</f>
        <v/>
      </c>
      <c r="J178" s="13" t="str">
        <f>'1.5 Prod Bersih Sagu 2025'!K180</f>
        <v/>
      </c>
      <c r="K178" s="13" t="str">
        <f>'1.6 Prod Bersih Pisang 2025'!K180</f>
        <v/>
      </c>
      <c r="L178" s="15">
        <f t="shared" si="6"/>
        <v>0</v>
      </c>
      <c r="M178" s="14" t="str">
        <f>IF(D178="","",VLOOKUP(D178,'[1]0.1 Produksi Pangan &amp; Penduduk'!$D$5:$AU$704,44,0))</f>
        <v/>
      </c>
      <c r="N178" s="26" t="str">
        <f t="shared" si="7"/>
        <v/>
      </c>
      <c r="O178" s="16"/>
      <c r="P178" s="25" t="str">
        <f t="shared" si="8"/>
        <v/>
      </c>
      <c r="Q178" s="8"/>
      <c r="R178" s="11"/>
    </row>
    <row r="179" spans="1:18" ht="15" x14ac:dyDescent="0.25">
      <c r="A179" s="3" t="str">
        <f>IF('1.1 Produksi Bersih Padi 2025'!A181="","",'1.1 Produksi Bersih Padi 2025'!A181)</f>
        <v/>
      </c>
      <c r="B179" s="32" t="str">
        <f>IF('1.1 Produksi Bersih Padi 2025'!B181="","",'1.1 Produksi Bersih Padi 2025'!B181)</f>
        <v/>
      </c>
      <c r="C179" s="32" t="str">
        <f>IF('1.1 Produksi Bersih Padi 2025'!C181="","",'1.1 Produksi Bersih Padi 2025'!C181)</f>
        <v/>
      </c>
      <c r="D179" s="3" t="str">
        <f>IF('1.1 Produksi Bersih Padi 2025'!D181="","",'1.1 Produksi Bersih Padi 2025'!D181)</f>
        <v/>
      </c>
      <c r="E179" s="3" t="str">
        <f>IF('1.1 Produksi Bersih Padi 2025'!E181="","",'1.1 Produksi Bersih Padi 2025'!E181)</f>
        <v/>
      </c>
      <c r="F179" s="13" t="str">
        <f>'1.1 Produksi Bersih Padi 2025'!Q181</f>
        <v/>
      </c>
      <c r="G179" s="13" t="str">
        <f>'1.2 Produksi Bersih Jagung 2025'!L181</f>
        <v/>
      </c>
      <c r="H179" s="13" t="str">
        <f>'1.3 Prod Bersih Ubi Kayu 2025'!K181</f>
        <v/>
      </c>
      <c r="I179" s="13" t="str">
        <f>'1.4 Prod Bersih Ubi Jalar 2025'!K181</f>
        <v/>
      </c>
      <c r="J179" s="13" t="str">
        <f>'1.5 Prod Bersih Sagu 2025'!K181</f>
        <v/>
      </c>
      <c r="K179" s="13" t="str">
        <f>'1.6 Prod Bersih Pisang 2025'!K181</f>
        <v/>
      </c>
      <c r="L179" s="15">
        <f t="shared" si="6"/>
        <v>0</v>
      </c>
      <c r="M179" s="14" t="str">
        <f>IF(D179="","",VLOOKUP(D179,'[1]0.1 Produksi Pangan &amp; Penduduk'!$D$5:$AU$704,44,0))</f>
        <v/>
      </c>
      <c r="N179" s="26" t="str">
        <f t="shared" si="7"/>
        <v/>
      </c>
      <c r="O179" s="16"/>
      <c r="P179" s="25" t="str">
        <f t="shared" si="8"/>
        <v/>
      </c>
      <c r="Q179" s="8"/>
      <c r="R179" s="11"/>
    </row>
    <row r="180" spans="1:18" ht="15" x14ac:dyDescent="0.25">
      <c r="A180" s="3" t="str">
        <f>IF('1.1 Produksi Bersih Padi 2025'!A182="","",'1.1 Produksi Bersih Padi 2025'!A182)</f>
        <v/>
      </c>
      <c r="B180" s="32" t="str">
        <f>IF('1.1 Produksi Bersih Padi 2025'!B182="","",'1.1 Produksi Bersih Padi 2025'!B182)</f>
        <v/>
      </c>
      <c r="C180" s="32" t="str">
        <f>IF('1.1 Produksi Bersih Padi 2025'!C182="","",'1.1 Produksi Bersih Padi 2025'!C182)</f>
        <v/>
      </c>
      <c r="D180" s="3" t="str">
        <f>IF('1.1 Produksi Bersih Padi 2025'!D182="","",'1.1 Produksi Bersih Padi 2025'!D182)</f>
        <v/>
      </c>
      <c r="E180" s="3" t="str">
        <f>IF('1.1 Produksi Bersih Padi 2025'!E182="","",'1.1 Produksi Bersih Padi 2025'!E182)</f>
        <v/>
      </c>
      <c r="F180" s="13" t="str">
        <f>'1.1 Produksi Bersih Padi 2025'!Q182</f>
        <v/>
      </c>
      <c r="G180" s="13" t="str">
        <f>'1.2 Produksi Bersih Jagung 2025'!L182</f>
        <v/>
      </c>
      <c r="H180" s="13" t="str">
        <f>'1.3 Prod Bersih Ubi Kayu 2025'!K182</f>
        <v/>
      </c>
      <c r="I180" s="13" t="str">
        <f>'1.4 Prod Bersih Ubi Jalar 2025'!K182</f>
        <v/>
      </c>
      <c r="J180" s="13" t="str">
        <f>'1.5 Prod Bersih Sagu 2025'!K182</f>
        <v/>
      </c>
      <c r="K180" s="13" t="str">
        <f>'1.6 Prod Bersih Pisang 2025'!K182</f>
        <v/>
      </c>
      <c r="L180" s="15">
        <f t="shared" si="6"/>
        <v>0</v>
      </c>
      <c r="M180" s="14" t="str">
        <f>IF(D180="","",VLOOKUP(D180,'[1]0.1 Produksi Pangan &amp; Penduduk'!$D$5:$AU$704,44,0))</f>
        <v/>
      </c>
      <c r="N180" s="26" t="str">
        <f t="shared" si="7"/>
        <v/>
      </c>
      <c r="O180" s="16"/>
      <c r="P180" s="25" t="str">
        <f t="shared" si="8"/>
        <v/>
      </c>
      <c r="Q180" s="8"/>
      <c r="R180" s="11"/>
    </row>
    <row r="181" spans="1:18" ht="15" x14ac:dyDescent="0.25">
      <c r="A181" s="3" t="str">
        <f>IF('1.1 Produksi Bersih Padi 2025'!A183="","",'1.1 Produksi Bersih Padi 2025'!A183)</f>
        <v/>
      </c>
      <c r="B181" s="32" t="str">
        <f>IF('1.1 Produksi Bersih Padi 2025'!B183="","",'1.1 Produksi Bersih Padi 2025'!B183)</f>
        <v/>
      </c>
      <c r="C181" s="32" t="str">
        <f>IF('1.1 Produksi Bersih Padi 2025'!C183="","",'1.1 Produksi Bersih Padi 2025'!C183)</f>
        <v/>
      </c>
      <c r="D181" s="3" t="str">
        <f>IF('1.1 Produksi Bersih Padi 2025'!D183="","",'1.1 Produksi Bersih Padi 2025'!D183)</f>
        <v/>
      </c>
      <c r="E181" s="3" t="str">
        <f>IF('1.1 Produksi Bersih Padi 2025'!E183="","",'1.1 Produksi Bersih Padi 2025'!E183)</f>
        <v/>
      </c>
      <c r="F181" s="13" t="str">
        <f>'1.1 Produksi Bersih Padi 2025'!Q183</f>
        <v/>
      </c>
      <c r="G181" s="13" t="str">
        <f>'1.2 Produksi Bersih Jagung 2025'!L183</f>
        <v/>
      </c>
      <c r="H181" s="13" t="str">
        <f>'1.3 Prod Bersih Ubi Kayu 2025'!K183</f>
        <v/>
      </c>
      <c r="I181" s="13" t="str">
        <f>'1.4 Prod Bersih Ubi Jalar 2025'!K183</f>
        <v/>
      </c>
      <c r="J181" s="13" t="str">
        <f>'1.5 Prod Bersih Sagu 2025'!K183</f>
        <v/>
      </c>
      <c r="K181" s="13" t="str">
        <f>'1.6 Prod Bersih Pisang 2025'!K183</f>
        <v/>
      </c>
      <c r="L181" s="15">
        <f t="shared" si="6"/>
        <v>0</v>
      </c>
      <c r="M181" s="14" t="str">
        <f>IF(D181="","",VLOOKUP(D181,'[1]0.1 Produksi Pangan &amp; Penduduk'!$D$5:$AU$704,44,0))</f>
        <v/>
      </c>
      <c r="N181" s="26" t="str">
        <f t="shared" si="7"/>
        <v/>
      </c>
      <c r="O181" s="16"/>
      <c r="P181" s="25" t="str">
        <f t="shared" si="8"/>
        <v/>
      </c>
      <c r="Q181" s="8"/>
      <c r="R181" s="11"/>
    </row>
    <row r="182" spans="1:18" ht="15" x14ac:dyDescent="0.25">
      <c r="A182" s="3" t="str">
        <f>IF('1.1 Produksi Bersih Padi 2025'!A184="","",'1.1 Produksi Bersih Padi 2025'!A184)</f>
        <v/>
      </c>
      <c r="B182" s="32" t="str">
        <f>IF('1.1 Produksi Bersih Padi 2025'!B184="","",'1.1 Produksi Bersih Padi 2025'!B184)</f>
        <v/>
      </c>
      <c r="C182" s="32" t="str">
        <f>IF('1.1 Produksi Bersih Padi 2025'!C184="","",'1.1 Produksi Bersih Padi 2025'!C184)</f>
        <v/>
      </c>
      <c r="D182" s="3" t="str">
        <f>IF('1.1 Produksi Bersih Padi 2025'!D184="","",'1.1 Produksi Bersih Padi 2025'!D184)</f>
        <v/>
      </c>
      <c r="E182" s="3" t="str">
        <f>IF('1.1 Produksi Bersih Padi 2025'!E184="","",'1.1 Produksi Bersih Padi 2025'!E184)</f>
        <v/>
      </c>
      <c r="F182" s="13" t="str">
        <f>'1.1 Produksi Bersih Padi 2025'!Q184</f>
        <v/>
      </c>
      <c r="G182" s="13" t="str">
        <f>'1.2 Produksi Bersih Jagung 2025'!L184</f>
        <v/>
      </c>
      <c r="H182" s="13" t="str">
        <f>'1.3 Prod Bersih Ubi Kayu 2025'!K184</f>
        <v/>
      </c>
      <c r="I182" s="13" t="str">
        <f>'1.4 Prod Bersih Ubi Jalar 2025'!K184</f>
        <v/>
      </c>
      <c r="J182" s="13" t="str">
        <f>'1.5 Prod Bersih Sagu 2025'!K184</f>
        <v/>
      </c>
      <c r="K182" s="13" t="str">
        <f>'1.6 Prod Bersih Pisang 2025'!K184</f>
        <v/>
      </c>
      <c r="L182" s="15">
        <f t="shared" si="6"/>
        <v>0</v>
      </c>
      <c r="M182" s="14" t="str">
        <f>IF(D182="","",VLOOKUP(D182,'[1]0.1 Produksi Pangan &amp; Penduduk'!$D$5:$AU$704,44,0))</f>
        <v/>
      </c>
      <c r="N182" s="26" t="str">
        <f t="shared" si="7"/>
        <v/>
      </c>
      <c r="O182" s="16"/>
      <c r="P182" s="25" t="str">
        <f t="shared" si="8"/>
        <v/>
      </c>
      <c r="Q182" s="8"/>
      <c r="R182" s="11"/>
    </row>
    <row r="183" spans="1:18" ht="15" x14ac:dyDescent="0.25">
      <c r="A183" s="3" t="str">
        <f>IF('1.1 Produksi Bersih Padi 2025'!A185="","",'1.1 Produksi Bersih Padi 2025'!A185)</f>
        <v/>
      </c>
      <c r="B183" s="32" t="str">
        <f>IF('1.1 Produksi Bersih Padi 2025'!B185="","",'1.1 Produksi Bersih Padi 2025'!B185)</f>
        <v/>
      </c>
      <c r="C183" s="32" t="str">
        <f>IF('1.1 Produksi Bersih Padi 2025'!C185="","",'1.1 Produksi Bersih Padi 2025'!C185)</f>
        <v/>
      </c>
      <c r="D183" s="3" t="str">
        <f>IF('1.1 Produksi Bersih Padi 2025'!D185="","",'1.1 Produksi Bersih Padi 2025'!D185)</f>
        <v/>
      </c>
      <c r="E183" s="3" t="str">
        <f>IF('1.1 Produksi Bersih Padi 2025'!E185="","",'1.1 Produksi Bersih Padi 2025'!E185)</f>
        <v/>
      </c>
      <c r="F183" s="13" t="str">
        <f>'1.1 Produksi Bersih Padi 2025'!Q185</f>
        <v/>
      </c>
      <c r="G183" s="13" t="str">
        <f>'1.2 Produksi Bersih Jagung 2025'!L185</f>
        <v/>
      </c>
      <c r="H183" s="13" t="str">
        <f>'1.3 Prod Bersih Ubi Kayu 2025'!K185</f>
        <v/>
      </c>
      <c r="I183" s="13" t="str">
        <f>'1.4 Prod Bersih Ubi Jalar 2025'!K185</f>
        <v/>
      </c>
      <c r="J183" s="13" t="str">
        <f>'1.5 Prod Bersih Sagu 2025'!K185</f>
        <v/>
      </c>
      <c r="K183" s="13" t="str">
        <f>'1.6 Prod Bersih Pisang 2025'!K185</f>
        <v/>
      </c>
      <c r="L183" s="15">
        <f t="shared" si="6"/>
        <v>0</v>
      </c>
      <c r="M183" s="14" t="str">
        <f>IF(D183="","",VLOOKUP(D183,'[1]0.1 Produksi Pangan &amp; Penduduk'!$D$5:$AU$704,44,0))</f>
        <v/>
      </c>
      <c r="N183" s="26" t="str">
        <f t="shared" si="7"/>
        <v/>
      </c>
      <c r="O183" s="16"/>
      <c r="P183" s="25" t="str">
        <f t="shared" si="8"/>
        <v/>
      </c>
      <c r="Q183" s="8"/>
      <c r="R183" s="11"/>
    </row>
    <row r="184" spans="1:18" ht="15" x14ac:dyDescent="0.25">
      <c r="A184" s="3" t="str">
        <f>IF('1.1 Produksi Bersih Padi 2025'!A186="","",'1.1 Produksi Bersih Padi 2025'!A186)</f>
        <v/>
      </c>
      <c r="B184" s="32" t="str">
        <f>IF('1.1 Produksi Bersih Padi 2025'!B186="","",'1.1 Produksi Bersih Padi 2025'!B186)</f>
        <v/>
      </c>
      <c r="C184" s="32" t="str">
        <f>IF('1.1 Produksi Bersih Padi 2025'!C186="","",'1.1 Produksi Bersih Padi 2025'!C186)</f>
        <v/>
      </c>
      <c r="D184" s="3" t="str">
        <f>IF('1.1 Produksi Bersih Padi 2025'!D186="","",'1.1 Produksi Bersih Padi 2025'!D186)</f>
        <v/>
      </c>
      <c r="E184" s="3" t="str">
        <f>IF('1.1 Produksi Bersih Padi 2025'!E186="","",'1.1 Produksi Bersih Padi 2025'!E186)</f>
        <v/>
      </c>
      <c r="F184" s="13" t="str">
        <f>'1.1 Produksi Bersih Padi 2025'!Q186</f>
        <v/>
      </c>
      <c r="G184" s="13" t="str">
        <f>'1.2 Produksi Bersih Jagung 2025'!L186</f>
        <v/>
      </c>
      <c r="H184" s="13" t="str">
        <f>'1.3 Prod Bersih Ubi Kayu 2025'!K186</f>
        <v/>
      </c>
      <c r="I184" s="13" t="str">
        <f>'1.4 Prod Bersih Ubi Jalar 2025'!K186</f>
        <v/>
      </c>
      <c r="J184" s="13" t="str">
        <f>'1.5 Prod Bersih Sagu 2025'!K186</f>
        <v/>
      </c>
      <c r="K184" s="13" t="str">
        <f>'1.6 Prod Bersih Pisang 2025'!K186</f>
        <v/>
      </c>
      <c r="L184" s="15">
        <f t="shared" si="6"/>
        <v>0</v>
      </c>
      <c r="M184" s="14" t="str">
        <f>IF(D184="","",VLOOKUP(D184,'[1]0.1 Produksi Pangan &amp; Penduduk'!$D$5:$AU$704,44,0))</f>
        <v/>
      </c>
      <c r="N184" s="26" t="str">
        <f t="shared" si="7"/>
        <v/>
      </c>
      <c r="O184" s="16"/>
      <c r="P184" s="25" t="str">
        <f t="shared" si="8"/>
        <v/>
      </c>
      <c r="Q184" s="8"/>
      <c r="R184" s="11"/>
    </row>
    <row r="185" spans="1:18" ht="15" x14ac:dyDescent="0.25">
      <c r="A185" s="3" t="str">
        <f>IF('1.1 Produksi Bersih Padi 2025'!A187="","",'1.1 Produksi Bersih Padi 2025'!A187)</f>
        <v/>
      </c>
      <c r="B185" s="32" t="str">
        <f>IF('1.1 Produksi Bersih Padi 2025'!B187="","",'1.1 Produksi Bersih Padi 2025'!B187)</f>
        <v/>
      </c>
      <c r="C185" s="32" t="str">
        <f>IF('1.1 Produksi Bersih Padi 2025'!C187="","",'1.1 Produksi Bersih Padi 2025'!C187)</f>
        <v/>
      </c>
      <c r="D185" s="3" t="str">
        <f>IF('1.1 Produksi Bersih Padi 2025'!D187="","",'1.1 Produksi Bersih Padi 2025'!D187)</f>
        <v/>
      </c>
      <c r="E185" s="3" t="str">
        <f>IF('1.1 Produksi Bersih Padi 2025'!E187="","",'1.1 Produksi Bersih Padi 2025'!E187)</f>
        <v/>
      </c>
      <c r="F185" s="13" t="str">
        <f>'1.1 Produksi Bersih Padi 2025'!Q187</f>
        <v/>
      </c>
      <c r="G185" s="13" t="str">
        <f>'1.2 Produksi Bersih Jagung 2025'!L187</f>
        <v/>
      </c>
      <c r="H185" s="13" t="str">
        <f>'1.3 Prod Bersih Ubi Kayu 2025'!K187</f>
        <v/>
      </c>
      <c r="I185" s="13" t="str">
        <f>'1.4 Prod Bersih Ubi Jalar 2025'!K187</f>
        <v/>
      </c>
      <c r="J185" s="13" t="str">
        <f>'1.5 Prod Bersih Sagu 2025'!K187</f>
        <v/>
      </c>
      <c r="K185" s="13" t="str">
        <f>'1.6 Prod Bersih Pisang 2025'!K187</f>
        <v/>
      </c>
      <c r="L185" s="15">
        <f t="shared" si="6"/>
        <v>0</v>
      </c>
      <c r="M185" s="14" t="str">
        <f>IF(D185="","",VLOOKUP(D185,'[1]0.1 Produksi Pangan &amp; Penduduk'!$D$5:$AU$704,44,0))</f>
        <v/>
      </c>
      <c r="N185" s="26" t="str">
        <f t="shared" si="7"/>
        <v/>
      </c>
      <c r="O185" s="16"/>
      <c r="P185" s="25" t="str">
        <f t="shared" si="8"/>
        <v/>
      </c>
      <c r="Q185" s="8"/>
      <c r="R185" s="11"/>
    </row>
    <row r="186" spans="1:18" ht="15" x14ac:dyDescent="0.25">
      <c r="A186" s="3" t="str">
        <f>IF('1.1 Produksi Bersih Padi 2025'!A188="","",'1.1 Produksi Bersih Padi 2025'!A188)</f>
        <v/>
      </c>
      <c r="B186" s="32" t="str">
        <f>IF('1.1 Produksi Bersih Padi 2025'!B188="","",'1.1 Produksi Bersih Padi 2025'!B188)</f>
        <v/>
      </c>
      <c r="C186" s="32" t="str">
        <f>IF('1.1 Produksi Bersih Padi 2025'!C188="","",'1.1 Produksi Bersih Padi 2025'!C188)</f>
        <v/>
      </c>
      <c r="D186" s="3" t="str">
        <f>IF('1.1 Produksi Bersih Padi 2025'!D188="","",'1.1 Produksi Bersih Padi 2025'!D188)</f>
        <v/>
      </c>
      <c r="E186" s="3" t="str">
        <f>IF('1.1 Produksi Bersih Padi 2025'!E188="","",'1.1 Produksi Bersih Padi 2025'!E188)</f>
        <v/>
      </c>
      <c r="F186" s="13" t="str">
        <f>'1.1 Produksi Bersih Padi 2025'!Q188</f>
        <v/>
      </c>
      <c r="G186" s="13" t="str">
        <f>'1.2 Produksi Bersih Jagung 2025'!L188</f>
        <v/>
      </c>
      <c r="H186" s="13" t="str">
        <f>'1.3 Prod Bersih Ubi Kayu 2025'!K188</f>
        <v/>
      </c>
      <c r="I186" s="13" t="str">
        <f>'1.4 Prod Bersih Ubi Jalar 2025'!K188</f>
        <v/>
      </c>
      <c r="J186" s="13" t="str">
        <f>'1.5 Prod Bersih Sagu 2025'!K188</f>
        <v/>
      </c>
      <c r="K186" s="13" t="str">
        <f>'1.6 Prod Bersih Pisang 2025'!K188</f>
        <v/>
      </c>
      <c r="L186" s="15">
        <f t="shared" si="6"/>
        <v>0</v>
      </c>
      <c r="M186" s="14" t="str">
        <f>IF(D186="","",VLOOKUP(D186,'[1]0.1 Produksi Pangan &amp; Penduduk'!$D$5:$AU$704,44,0))</f>
        <v/>
      </c>
      <c r="N186" s="26" t="str">
        <f t="shared" si="7"/>
        <v/>
      </c>
      <c r="O186" s="16"/>
      <c r="P186" s="25" t="str">
        <f t="shared" si="8"/>
        <v/>
      </c>
      <c r="Q186" s="8"/>
      <c r="R186" s="11"/>
    </row>
    <row r="187" spans="1:18" ht="15" x14ac:dyDescent="0.25">
      <c r="A187" s="3" t="str">
        <f>IF('1.1 Produksi Bersih Padi 2025'!A189="","",'1.1 Produksi Bersih Padi 2025'!A189)</f>
        <v/>
      </c>
      <c r="B187" s="32" t="str">
        <f>IF('1.1 Produksi Bersih Padi 2025'!B189="","",'1.1 Produksi Bersih Padi 2025'!B189)</f>
        <v/>
      </c>
      <c r="C187" s="32" t="str">
        <f>IF('1.1 Produksi Bersih Padi 2025'!C189="","",'1.1 Produksi Bersih Padi 2025'!C189)</f>
        <v/>
      </c>
      <c r="D187" s="3" t="str">
        <f>IF('1.1 Produksi Bersih Padi 2025'!D189="","",'1.1 Produksi Bersih Padi 2025'!D189)</f>
        <v/>
      </c>
      <c r="E187" s="3" t="str">
        <f>IF('1.1 Produksi Bersih Padi 2025'!E189="","",'1.1 Produksi Bersih Padi 2025'!E189)</f>
        <v/>
      </c>
      <c r="F187" s="13" t="str">
        <f>'1.1 Produksi Bersih Padi 2025'!Q189</f>
        <v/>
      </c>
      <c r="G187" s="13" t="str">
        <f>'1.2 Produksi Bersih Jagung 2025'!L189</f>
        <v/>
      </c>
      <c r="H187" s="13" t="str">
        <f>'1.3 Prod Bersih Ubi Kayu 2025'!K189</f>
        <v/>
      </c>
      <c r="I187" s="13" t="str">
        <f>'1.4 Prod Bersih Ubi Jalar 2025'!K189</f>
        <v/>
      </c>
      <c r="J187" s="13" t="str">
        <f>'1.5 Prod Bersih Sagu 2025'!K189</f>
        <v/>
      </c>
      <c r="K187" s="13" t="str">
        <f>'1.6 Prod Bersih Pisang 2025'!K189</f>
        <v/>
      </c>
      <c r="L187" s="15">
        <f t="shared" si="6"/>
        <v>0</v>
      </c>
      <c r="M187" s="14" t="str">
        <f>IF(D187="","",VLOOKUP(D187,'[1]0.1 Produksi Pangan &amp; Penduduk'!$D$5:$AU$704,44,0))</f>
        <v/>
      </c>
      <c r="N187" s="26" t="str">
        <f t="shared" si="7"/>
        <v/>
      </c>
      <c r="O187" s="16"/>
      <c r="P187" s="25" t="str">
        <f t="shared" si="8"/>
        <v/>
      </c>
      <c r="Q187" s="8"/>
      <c r="R187" s="11"/>
    </row>
    <row r="188" spans="1:18" ht="15" x14ac:dyDescent="0.25">
      <c r="A188" s="3" t="str">
        <f>IF('1.1 Produksi Bersih Padi 2025'!A190="","",'1.1 Produksi Bersih Padi 2025'!A190)</f>
        <v/>
      </c>
      <c r="B188" s="32" t="str">
        <f>IF('1.1 Produksi Bersih Padi 2025'!B190="","",'1.1 Produksi Bersih Padi 2025'!B190)</f>
        <v/>
      </c>
      <c r="C188" s="32" t="str">
        <f>IF('1.1 Produksi Bersih Padi 2025'!C190="","",'1.1 Produksi Bersih Padi 2025'!C190)</f>
        <v/>
      </c>
      <c r="D188" s="3" t="str">
        <f>IF('1.1 Produksi Bersih Padi 2025'!D190="","",'1.1 Produksi Bersih Padi 2025'!D190)</f>
        <v/>
      </c>
      <c r="E188" s="3" t="str">
        <f>IF('1.1 Produksi Bersih Padi 2025'!E190="","",'1.1 Produksi Bersih Padi 2025'!E190)</f>
        <v/>
      </c>
      <c r="F188" s="13" t="str">
        <f>'1.1 Produksi Bersih Padi 2025'!Q190</f>
        <v/>
      </c>
      <c r="G188" s="13" t="str">
        <f>'1.2 Produksi Bersih Jagung 2025'!L190</f>
        <v/>
      </c>
      <c r="H188" s="13" t="str">
        <f>'1.3 Prod Bersih Ubi Kayu 2025'!K190</f>
        <v/>
      </c>
      <c r="I188" s="13" t="str">
        <f>'1.4 Prod Bersih Ubi Jalar 2025'!K190</f>
        <v/>
      </c>
      <c r="J188" s="13" t="str">
        <f>'1.5 Prod Bersih Sagu 2025'!K190</f>
        <v/>
      </c>
      <c r="K188" s="13" t="str">
        <f>'1.6 Prod Bersih Pisang 2025'!K190</f>
        <v/>
      </c>
      <c r="L188" s="15">
        <f t="shared" si="6"/>
        <v>0</v>
      </c>
      <c r="M188" s="14" t="str">
        <f>IF(D188="","",VLOOKUP(D188,'[1]0.1 Produksi Pangan &amp; Penduduk'!$D$5:$AU$704,44,0))</f>
        <v/>
      </c>
      <c r="N188" s="26" t="str">
        <f t="shared" si="7"/>
        <v/>
      </c>
      <c r="O188" s="16"/>
      <c r="P188" s="25" t="str">
        <f t="shared" si="8"/>
        <v/>
      </c>
      <c r="Q188" s="8"/>
      <c r="R188" s="11"/>
    </row>
    <row r="189" spans="1:18" ht="15" x14ac:dyDescent="0.25">
      <c r="A189" s="3" t="str">
        <f>IF('1.1 Produksi Bersih Padi 2025'!A191="","",'1.1 Produksi Bersih Padi 2025'!A191)</f>
        <v/>
      </c>
      <c r="B189" s="32" t="str">
        <f>IF('1.1 Produksi Bersih Padi 2025'!B191="","",'1.1 Produksi Bersih Padi 2025'!B191)</f>
        <v/>
      </c>
      <c r="C189" s="32" t="str">
        <f>IF('1.1 Produksi Bersih Padi 2025'!C191="","",'1.1 Produksi Bersih Padi 2025'!C191)</f>
        <v/>
      </c>
      <c r="D189" s="3" t="str">
        <f>IF('1.1 Produksi Bersih Padi 2025'!D191="","",'1.1 Produksi Bersih Padi 2025'!D191)</f>
        <v/>
      </c>
      <c r="E189" s="3" t="str">
        <f>IF('1.1 Produksi Bersih Padi 2025'!E191="","",'1.1 Produksi Bersih Padi 2025'!E191)</f>
        <v/>
      </c>
      <c r="F189" s="13" t="str">
        <f>'1.1 Produksi Bersih Padi 2025'!Q191</f>
        <v/>
      </c>
      <c r="G189" s="13" t="str">
        <f>'1.2 Produksi Bersih Jagung 2025'!L191</f>
        <v/>
      </c>
      <c r="H189" s="13" t="str">
        <f>'1.3 Prod Bersih Ubi Kayu 2025'!K191</f>
        <v/>
      </c>
      <c r="I189" s="13" t="str">
        <f>'1.4 Prod Bersih Ubi Jalar 2025'!K191</f>
        <v/>
      </c>
      <c r="J189" s="13" t="str">
        <f>'1.5 Prod Bersih Sagu 2025'!K191</f>
        <v/>
      </c>
      <c r="K189" s="13" t="str">
        <f>'1.6 Prod Bersih Pisang 2025'!K191</f>
        <v/>
      </c>
      <c r="L189" s="15">
        <f t="shared" si="6"/>
        <v>0</v>
      </c>
      <c r="M189" s="14" t="str">
        <f>IF(D189="","",VLOOKUP(D189,'[1]0.1 Produksi Pangan &amp; Penduduk'!$D$5:$AU$704,44,0))</f>
        <v/>
      </c>
      <c r="N189" s="26" t="str">
        <f t="shared" si="7"/>
        <v/>
      </c>
      <c r="O189" s="16"/>
      <c r="P189" s="25" t="str">
        <f t="shared" si="8"/>
        <v/>
      </c>
      <c r="Q189" s="8"/>
      <c r="R189" s="11"/>
    </row>
    <row r="190" spans="1:18" ht="15" x14ac:dyDescent="0.25">
      <c r="A190" s="3" t="str">
        <f>IF('1.1 Produksi Bersih Padi 2025'!A192="","",'1.1 Produksi Bersih Padi 2025'!A192)</f>
        <v/>
      </c>
      <c r="B190" s="32" t="str">
        <f>IF('1.1 Produksi Bersih Padi 2025'!B192="","",'1.1 Produksi Bersih Padi 2025'!B192)</f>
        <v/>
      </c>
      <c r="C190" s="32" t="str">
        <f>IF('1.1 Produksi Bersih Padi 2025'!C192="","",'1.1 Produksi Bersih Padi 2025'!C192)</f>
        <v/>
      </c>
      <c r="D190" s="3" t="str">
        <f>IF('1.1 Produksi Bersih Padi 2025'!D192="","",'1.1 Produksi Bersih Padi 2025'!D192)</f>
        <v/>
      </c>
      <c r="E190" s="3" t="str">
        <f>IF('1.1 Produksi Bersih Padi 2025'!E192="","",'1.1 Produksi Bersih Padi 2025'!E192)</f>
        <v/>
      </c>
      <c r="F190" s="13" t="str">
        <f>'1.1 Produksi Bersih Padi 2025'!Q192</f>
        <v/>
      </c>
      <c r="G190" s="13" t="str">
        <f>'1.2 Produksi Bersih Jagung 2025'!L192</f>
        <v/>
      </c>
      <c r="H190" s="13" t="str">
        <f>'1.3 Prod Bersih Ubi Kayu 2025'!K192</f>
        <v/>
      </c>
      <c r="I190" s="13" t="str">
        <f>'1.4 Prod Bersih Ubi Jalar 2025'!K192</f>
        <v/>
      </c>
      <c r="J190" s="13" t="str">
        <f>'1.5 Prod Bersih Sagu 2025'!K192</f>
        <v/>
      </c>
      <c r="K190" s="13" t="str">
        <f>'1.6 Prod Bersih Pisang 2025'!K192</f>
        <v/>
      </c>
      <c r="L190" s="15">
        <f t="shared" si="6"/>
        <v>0</v>
      </c>
      <c r="M190" s="14" t="str">
        <f>IF(D190="","",VLOOKUP(D190,'[1]0.1 Produksi Pangan &amp; Penduduk'!$D$5:$AU$704,44,0))</f>
        <v/>
      </c>
      <c r="N190" s="26" t="str">
        <f t="shared" si="7"/>
        <v/>
      </c>
      <c r="O190" s="16"/>
      <c r="P190" s="25" t="str">
        <f t="shared" si="8"/>
        <v/>
      </c>
      <c r="Q190" s="8"/>
      <c r="R190" s="11"/>
    </row>
    <row r="191" spans="1:18" ht="15" x14ac:dyDescent="0.25">
      <c r="A191" s="3" t="str">
        <f>IF('1.1 Produksi Bersih Padi 2025'!A193="","",'1.1 Produksi Bersih Padi 2025'!A193)</f>
        <v/>
      </c>
      <c r="B191" s="32" t="str">
        <f>IF('1.1 Produksi Bersih Padi 2025'!B193="","",'1.1 Produksi Bersih Padi 2025'!B193)</f>
        <v/>
      </c>
      <c r="C191" s="32" t="str">
        <f>IF('1.1 Produksi Bersih Padi 2025'!C193="","",'1.1 Produksi Bersih Padi 2025'!C193)</f>
        <v/>
      </c>
      <c r="D191" s="3" t="str">
        <f>IF('1.1 Produksi Bersih Padi 2025'!D193="","",'1.1 Produksi Bersih Padi 2025'!D193)</f>
        <v/>
      </c>
      <c r="E191" s="3" t="str">
        <f>IF('1.1 Produksi Bersih Padi 2025'!E193="","",'1.1 Produksi Bersih Padi 2025'!E193)</f>
        <v/>
      </c>
      <c r="F191" s="13" t="str">
        <f>'1.1 Produksi Bersih Padi 2025'!Q193</f>
        <v/>
      </c>
      <c r="G191" s="13" t="str">
        <f>'1.2 Produksi Bersih Jagung 2025'!L193</f>
        <v/>
      </c>
      <c r="H191" s="13" t="str">
        <f>'1.3 Prod Bersih Ubi Kayu 2025'!K193</f>
        <v/>
      </c>
      <c r="I191" s="13" t="str">
        <f>'1.4 Prod Bersih Ubi Jalar 2025'!K193</f>
        <v/>
      </c>
      <c r="J191" s="13" t="str">
        <f>'1.5 Prod Bersih Sagu 2025'!K193</f>
        <v/>
      </c>
      <c r="K191" s="13" t="str">
        <f>'1.6 Prod Bersih Pisang 2025'!K193</f>
        <v/>
      </c>
      <c r="L191" s="15">
        <f t="shared" si="6"/>
        <v>0</v>
      </c>
      <c r="M191" s="14" t="str">
        <f>IF(D191="","",VLOOKUP(D191,'[1]0.1 Produksi Pangan &amp; Penduduk'!$D$5:$AU$704,44,0))</f>
        <v/>
      </c>
      <c r="N191" s="26" t="str">
        <f t="shared" si="7"/>
        <v/>
      </c>
      <c r="O191" s="16"/>
      <c r="P191" s="25" t="str">
        <f t="shared" si="8"/>
        <v/>
      </c>
      <c r="Q191" s="8"/>
      <c r="R191" s="11"/>
    </row>
    <row r="192" spans="1:18" ht="15" x14ac:dyDescent="0.25">
      <c r="A192" s="3" t="str">
        <f>IF('1.1 Produksi Bersih Padi 2025'!A194="","",'1.1 Produksi Bersih Padi 2025'!A194)</f>
        <v/>
      </c>
      <c r="B192" s="32" t="str">
        <f>IF('1.1 Produksi Bersih Padi 2025'!B194="","",'1.1 Produksi Bersih Padi 2025'!B194)</f>
        <v/>
      </c>
      <c r="C192" s="32" t="str">
        <f>IF('1.1 Produksi Bersih Padi 2025'!C194="","",'1.1 Produksi Bersih Padi 2025'!C194)</f>
        <v/>
      </c>
      <c r="D192" s="3" t="str">
        <f>IF('1.1 Produksi Bersih Padi 2025'!D194="","",'1.1 Produksi Bersih Padi 2025'!D194)</f>
        <v/>
      </c>
      <c r="E192" s="3" t="str">
        <f>IF('1.1 Produksi Bersih Padi 2025'!E194="","",'1.1 Produksi Bersih Padi 2025'!E194)</f>
        <v/>
      </c>
      <c r="F192" s="13" t="str">
        <f>'1.1 Produksi Bersih Padi 2025'!Q194</f>
        <v/>
      </c>
      <c r="G192" s="13" t="str">
        <f>'1.2 Produksi Bersih Jagung 2025'!L194</f>
        <v/>
      </c>
      <c r="H192" s="13" t="str">
        <f>'1.3 Prod Bersih Ubi Kayu 2025'!K194</f>
        <v/>
      </c>
      <c r="I192" s="13" t="str">
        <f>'1.4 Prod Bersih Ubi Jalar 2025'!K194</f>
        <v/>
      </c>
      <c r="J192" s="13" t="str">
        <f>'1.5 Prod Bersih Sagu 2025'!K194</f>
        <v/>
      </c>
      <c r="K192" s="13" t="str">
        <f>'1.6 Prod Bersih Pisang 2025'!K194</f>
        <v/>
      </c>
      <c r="L192" s="15">
        <f t="shared" si="6"/>
        <v>0</v>
      </c>
      <c r="M192" s="14" t="str">
        <f>IF(D192="","",VLOOKUP(D192,'[1]0.1 Produksi Pangan &amp; Penduduk'!$D$5:$AU$704,44,0))</f>
        <v/>
      </c>
      <c r="N192" s="26" t="str">
        <f t="shared" si="7"/>
        <v/>
      </c>
      <c r="O192" s="16"/>
      <c r="P192" s="25" t="str">
        <f t="shared" si="8"/>
        <v/>
      </c>
      <c r="Q192" s="8"/>
      <c r="R192" s="11"/>
    </row>
    <row r="193" spans="1:18" ht="15" x14ac:dyDescent="0.25">
      <c r="A193" s="3" t="str">
        <f>IF('1.1 Produksi Bersih Padi 2025'!A195="","",'1.1 Produksi Bersih Padi 2025'!A195)</f>
        <v/>
      </c>
      <c r="B193" s="32" t="str">
        <f>IF('1.1 Produksi Bersih Padi 2025'!B195="","",'1.1 Produksi Bersih Padi 2025'!B195)</f>
        <v/>
      </c>
      <c r="C193" s="32" t="str">
        <f>IF('1.1 Produksi Bersih Padi 2025'!C195="","",'1.1 Produksi Bersih Padi 2025'!C195)</f>
        <v/>
      </c>
      <c r="D193" s="3" t="str">
        <f>IF('1.1 Produksi Bersih Padi 2025'!D195="","",'1.1 Produksi Bersih Padi 2025'!D195)</f>
        <v/>
      </c>
      <c r="E193" s="3" t="str">
        <f>IF('1.1 Produksi Bersih Padi 2025'!E195="","",'1.1 Produksi Bersih Padi 2025'!E195)</f>
        <v/>
      </c>
      <c r="F193" s="13" t="str">
        <f>'1.1 Produksi Bersih Padi 2025'!Q195</f>
        <v/>
      </c>
      <c r="G193" s="13" t="str">
        <f>'1.2 Produksi Bersih Jagung 2025'!L195</f>
        <v/>
      </c>
      <c r="H193" s="13" t="str">
        <f>'1.3 Prod Bersih Ubi Kayu 2025'!K195</f>
        <v/>
      </c>
      <c r="I193" s="13" t="str">
        <f>'1.4 Prod Bersih Ubi Jalar 2025'!K195</f>
        <v/>
      </c>
      <c r="J193" s="13" t="str">
        <f>'1.5 Prod Bersih Sagu 2025'!K195</f>
        <v/>
      </c>
      <c r="K193" s="13" t="str">
        <f>'1.6 Prod Bersih Pisang 2025'!K195</f>
        <v/>
      </c>
      <c r="L193" s="15">
        <f t="shared" si="6"/>
        <v>0</v>
      </c>
      <c r="M193" s="14" t="str">
        <f>IF(D193="","",VLOOKUP(D193,'[1]0.1 Produksi Pangan &amp; Penduduk'!$D$5:$AU$704,44,0))</f>
        <v/>
      </c>
      <c r="N193" s="26" t="str">
        <f t="shared" si="7"/>
        <v/>
      </c>
      <c r="O193" s="16"/>
      <c r="P193" s="25" t="str">
        <f t="shared" si="8"/>
        <v/>
      </c>
      <c r="Q193" s="8"/>
      <c r="R193" s="11"/>
    </row>
    <row r="194" spans="1:18" ht="15" x14ac:dyDescent="0.25">
      <c r="A194" s="3" t="str">
        <f>IF('1.1 Produksi Bersih Padi 2025'!A196="","",'1.1 Produksi Bersih Padi 2025'!A196)</f>
        <v/>
      </c>
      <c r="B194" s="32" t="str">
        <f>IF('1.1 Produksi Bersih Padi 2025'!B196="","",'1.1 Produksi Bersih Padi 2025'!B196)</f>
        <v/>
      </c>
      <c r="C194" s="32" t="str">
        <f>IF('1.1 Produksi Bersih Padi 2025'!C196="","",'1.1 Produksi Bersih Padi 2025'!C196)</f>
        <v/>
      </c>
      <c r="D194" s="3" t="str">
        <f>IF('1.1 Produksi Bersih Padi 2025'!D196="","",'1.1 Produksi Bersih Padi 2025'!D196)</f>
        <v/>
      </c>
      <c r="E194" s="3" t="str">
        <f>IF('1.1 Produksi Bersih Padi 2025'!E196="","",'1.1 Produksi Bersih Padi 2025'!E196)</f>
        <v/>
      </c>
      <c r="F194" s="13" t="str">
        <f>'1.1 Produksi Bersih Padi 2025'!Q196</f>
        <v/>
      </c>
      <c r="G194" s="13" t="str">
        <f>'1.2 Produksi Bersih Jagung 2025'!L196</f>
        <v/>
      </c>
      <c r="H194" s="13" t="str">
        <f>'1.3 Prod Bersih Ubi Kayu 2025'!K196</f>
        <v/>
      </c>
      <c r="I194" s="13" t="str">
        <f>'1.4 Prod Bersih Ubi Jalar 2025'!K196</f>
        <v/>
      </c>
      <c r="J194" s="13" t="str">
        <f>'1.5 Prod Bersih Sagu 2025'!K196</f>
        <v/>
      </c>
      <c r="K194" s="13" t="str">
        <f>'1.6 Prod Bersih Pisang 2025'!K196</f>
        <v/>
      </c>
      <c r="L194" s="15">
        <f t="shared" si="6"/>
        <v>0</v>
      </c>
      <c r="M194" s="14" t="str">
        <f>IF(D194="","",VLOOKUP(D194,'[1]0.1 Produksi Pangan &amp; Penduduk'!$D$5:$AU$704,44,0))</f>
        <v/>
      </c>
      <c r="N194" s="26" t="str">
        <f t="shared" si="7"/>
        <v/>
      </c>
      <c r="O194" s="16"/>
      <c r="P194" s="25" t="str">
        <f t="shared" si="8"/>
        <v/>
      </c>
      <c r="Q194" s="8"/>
      <c r="R194" s="11"/>
    </row>
    <row r="195" spans="1:18" ht="15" x14ac:dyDescent="0.25">
      <c r="A195" s="3" t="str">
        <f>IF('1.1 Produksi Bersih Padi 2025'!A197="","",'1.1 Produksi Bersih Padi 2025'!A197)</f>
        <v/>
      </c>
      <c r="B195" s="32" t="str">
        <f>IF('1.1 Produksi Bersih Padi 2025'!B197="","",'1.1 Produksi Bersih Padi 2025'!B197)</f>
        <v/>
      </c>
      <c r="C195" s="32" t="str">
        <f>IF('1.1 Produksi Bersih Padi 2025'!C197="","",'1.1 Produksi Bersih Padi 2025'!C197)</f>
        <v/>
      </c>
      <c r="D195" s="3" t="str">
        <f>IF('1.1 Produksi Bersih Padi 2025'!D197="","",'1.1 Produksi Bersih Padi 2025'!D197)</f>
        <v/>
      </c>
      <c r="E195" s="3" t="str">
        <f>IF('1.1 Produksi Bersih Padi 2025'!E197="","",'1.1 Produksi Bersih Padi 2025'!E197)</f>
        <v/>
      </c>
      <c r="F195" s="13" t="str">
        <f>'1.1 Produksi Bersih Padi 2025'!Q197</f>
        <v/>
      </c>
      <c r="G195" s="13" t="str">
        <f>'1.2 Produksi Bersih Jagung 2025'!L197</f>
        <v/>
      </c>
      <c r="H195" s="13" t="str">
        <f>'1.3 Prod Bersih Ubi Kayu 2025'!K197</f>
        <v/>
      </c>
      <c r="I195" s="13" t="str">
        <f>'1.4 Prod Bersih Ubi Jalar 2025'!K197</f>
        <v/>
      </c>
      <c r="J195" s="13" t="str">
        <f>'1.5 Prod Bersih Sagu 2025'!K197</f>
        <v/>
      </c>
      <c r="K195" s="13" t="str">
        <f>'1.6 Prod Bersih Pisang 2025'!K197</f>
        <v/>
      </c>
      <c r="L195" s="15">
        <f t="shared" si="6"/>
        <v>0</v>
      </c>
      <c r="M195" s="14" t="str">
        <f>IF(D195="","",VLOOKUP(D195,'[1]0.1 Produksi Pangan &amp; Penduduk'!$D$5:$AU$704,44,0))</f>
        <v/>
      </c>
      <c r="N195" s="26" t="str">
        <f t="shared" si="7"/>
        <v/>
      </c>
      <c r="O195" s="16"/>
      <c r="P195" s="25" t="str">
        <f t="shared" si="8"/>
        <v/>
      </c>
      <c r="Q195" s="8"/>
      <c r="R195" s="11"/>
    </row>
    <row r="196" spans="1:18" ht="15" x14ac:dyDescent="0.25">
      <c r="A196" s="3" t="str">
        <f>IF('1.1 Produksi Bersih Padi 2025'!A198="","",'1.1 Produksi Bersih Padi 2025'!A198)</f>
        <v/>
      </c>
      <c r="B196" s="32" t="str">
        <f>IF('1.1 Produksi Bersih Padi 2025'!B198="","",'1.1 Produksi Bersih Padi 2025'!B198)</f>
        <v/>
      </c>
      <c r="C196" s="32" t="str">
        <f>IF('1.1 Produksi Bersih Padi 2025'!C198="","",'1.1 Produksi Bersih Padi 2025'!C198)</f>
        <v/>
      </c>
      <c r="D196" s="3" t="str">
        <f>IF('1.1 Produksi Bersih Padi 2025'!D198="","",'1.1 Produksi Bersih Padi 2025'!D198)</f>
        <v/>
      </c>
      <c r="E196" s="3" t="str">
        <f>IF('1.1 Produksi Bersih Padi 2025'!E198="","",'1.1 Produksi Bersih Padi 2025'!E198)</f>
        <v/>
      </c>
      <c r="F196" s="13" t="str">
        <f>'1.1 Produksi Bersih Padi 2025'!Q198</f>
        <v/>
      </c>
      <c r="G196" s="13" t="str">
        <f>'1.2 Produksi Bersih Jagung 2025'!L198</f>
        <v/>
      </c>
      <c r="H196" s="13" t="str">
        <f>'1.3 Prod Bersih Ubi Kayu 2025'!K198</f>
        <v/>
      </c>
      <c r="I196" s="13" t="str">
        <f>'1.4 Prod Bersih Ubi Jalar 2025'!K198</f>
        <v/>
      </c>
      <c r="J196" s="13" t="str">
        <f>'1.5 Prod Bersih Sagu 2025'!K198</f>
        <v/>
      </c>
      <c r="K196" s="13" t="str">
        <f>'1.6 Prod Bersih Pisang 2025'!K198</f>
        <v/>
      </c>
      <c r="L196" s="15">
        <f t="shared" ref="L196:L259" si="9">IFERROR(SUM(F196:K196),0)</f>
        <v>0</v>
      </c>
      <c r="M196" s="14" t="str">
        <f>IF(D196="","",VLOOKUP(D196,'[1]0.1 Produksi Pangan &amp; Penduduk'!$D$5:$AU$704,44,0))</f>
        <v/>
      </c>
      <c r="N196" s="26" t="str">
        <f t="shared" ref="N196:N259" si="10">IF(M196="","",IFERROR((L196*1000*1000/M196)/365,"-"))</f>
        <v/>
      </c>
      <c r="O196" s="16"/>
      <c r="P196" s="25" t="str">
        <f t="shared" ref="P196:P259" si="11">IF(N196="","",IFERROR(300/N196,"-"))</f>
        <v/>
      </c>
      <c r="Q196" s="8"/>
      <c r="R196" s="11"/>
    </row>
    <row r="197" spans="1:18" ht="15" x14ac:dyDescent="0.25">
      <c r="A197" s="3" t="str">
        <f>IF('1.1 Produksi Bersih Padi 2025'!A199="","",'1.1 Produksi Bersih Padi 2025'!A199)</f>
        <v/>
      </c>
      <c r="B197" s="32" t="str">
        <f>IF('1.1 Produksi Bersih Padi 2025'!B199="","",'1.1 Produksi Bersih Padi 2025'!B199)</f>
        <v/>
      </c>
      <c r="C197" s="32" t="str">
        <f>IF('1.1 Produksi Bersih Padi 2025'!C199="","",'1.1 Produksi Bersih Padi 2025'!C199)</f>
        <v/>
      </c>
      <c r="D197" s="3" t="str">
        <f>IF('1.1 Produksi Bersih Padi 2025'!D199="","",'1.1 Produksi Bersih Padi 2025'!D199)</f>
        <v/>
      </c>
      <c r="E197" s="3" t="str">
        <f>IF('1.1 Produksi Bersih Padi 2025'!E199="","",'1.1 Produksi Bersih Padi 2025'!E199)</f>
        <v/>
      </c>
      <c r="F197" s="13" t="str">
        <f>'1.1 Produksi Bersih Padi 2025'!Q199</f>
        <v/>
      </c>
      <c r="G197" s="13" t="str">
        <f>'1.2 Produksi Bersih Jagung 2025'!L199</f>
        <v/>
      </c>
      <c r="H197" s="13" t="str">
        <f>'1.3 Prod Bersih Ubi Kayu 2025'!K199</f>
        <v/>
      </c>
      <c r="I197" s="13" t="str">
        <f>'1.4 Prod Bersih Ubi Jalar 2025'!K199</f>
        <v/>
      </c>
      <c r="J197" s="13" t="str">
        <f>'1.5 Prod Bersih Sagu 2025'!K199</f>
        <v/>
      </c>
      <c r="K197" s="13" t="str">
        <f>'1.6 Prod Bersih Pisang 2025'!K199</f>
        <v/>
      </c>
      <c r="L197" s="15">
        <f t="shared" si="9"/>
        <v>0</v>
      </c>
      <c r="M197" s="14" t="str">
        <f>IF(D197="","",VLOOKUP(D197,'[1]0.1 Produksi Pangan &amp; Penduduk'!$D$5:$AU$704,44,0))</f>
        <v/>
      </c>
      <c r="N197" s="26" t="str">
        <f t="shared" si="10"/>
        <v/>
      </c>
      <c r="O197" s="16"/>
      <c r="P197" s="25" t="str">
        <f t="shared" si="11"/>
        <v/>
      </c>
      <c r="Q197" s="8"/>
      <c r="R197" s="11"/>
    </row>
    <row r="198" spans="1:18" ht="15" x14ac:dyDescent="0.25">
      <c r="A198" s="3" t="str">
        <f>IF('1.1 Produksi Bersih Padi 2025'!A200="","",'1.1 Produksi Bersih Padi 2025'!A200)</f>
        <v/>
      </c>
      <c r="B198" s="32" t="str">
        <f>IF('1.1 Produksi Bersih Padi 2025'!B200="","",'1.1 Produksi Bersih Padi 2025'!B200)</f>
        <v/>
      </c>
      <c r="C198" s="32" t="str">
        <f>IF('1.1 Produksi Bersih Padi 2025'!C200="","",'1.1 Produksi Bersih Padi 2025'!C200)</f>
        <v/>
      </c>
      <c r="D198" s="3" t="str">
        <f>IF('1.1 Produksi Bersih Padi 2025'!D200="","",'1.1 Produksi Bersih Padi 2025'!D200)</f>
        <v/>
      </c>
      <c r="E198" s="3" t="str">
        <f>IF('1.1 Produksi Bersih Padi 2025'!E200="","",'1.1 Produksi Bersih Padi 2025'!E200)</f>
        <v/>
      </c>
      <c r="F198" s="13" t="str">
        <f>'1.1 Produksi Bersih Padi 2025'!Q200</f>
        <v/>
      </c>
      <c r="G198" s="13" t="str">
        <f>'1.2 Produksi Bersih Jagung 2025'!L200</f>
        <v/>
      </c>
      <c r="H198" s="13" t="str">
        <f>'1.3 Prod Bersih Ubi Kayu 2025'!K200</f>
        <v/>
      </c>
      <c r="I198" s="13" t="str">
        <f>'1.4 Prod Bersih Ubi Jalar 2025'!K200</f>
        <v/>
      </c>
      <c r="J198" s="13" t="str">
        <f>'1.5 Prod Bersih Sagu 2025'!K200</f>
        <v/>
      </c>
      <c r="K198" s="13" t="str">
        <f>'1.6 Prod Bersih Pisang 2025'!K200</f>
        <v/>
      </c>
      <c r="L198" s="15">
        <f t="shared" si="9"/>
        <v>0</v>
      </c>
      <c r="M198" s="14" t="str">
        <f>IF(D198="","",VLOOKUP(D198,'[1]0.1 Produksi Pangan &amp; Penduduk'!$D$5:$AU$704,44,0))</f>
        <v/>
      </c>
      <c r="N198" s="26" t="str">
        <f t="shared" si="10"/>
        <v/>
      </c>
      <c r="O198" s="16"/>
      <c r="P198" s="25" t="str">
        <f t="shared" si="11"/>
        <v/>
      </c>
      <c r="Q198" s="8"/>
      <c r="R198" s="11"/>
    </row>
    <row r="199" spans="1:18" ht="15" x14ac:dyDescent="0.25">
      <c r="A199" s="3" t="str">
        <f>IF('1.1 Produksi Bersih Padi 2025'!A201="","",'1.1 Produksi Bersih Padi 2025'!A201)</f>
        <v/>
      </c>
      <c r="B199" s="32" t="str">
        <f>IF('1.1 Produksi Bersih Padi 2025'!B201="","",'1.1 Produksi Bersih Padi 2025'!B201)</f>
        <v/>
      </c>
      <c r="C199" s="32" t="str">
        <f>IF('1.1 Produksi Bersih Padi 2025'!C201="","",'1.1 Produksi Bersih Padi 2025'!C201)</f>
        <v/>
      </c>
      <c r="D199" s="3" t="str">
        <f>IF('1.1 Produksi Bersih Padi 2025'!D201="","",'1.1 Produksi Bersih Padi 2025'!D201)</f>
        <v/>
      </c>
      <c r="E199" s="3" t="str">
        <f>IF('1.1 Produksi Bersih Padi 2025'!E201="","",'1.1 Produksi Bersih Padi 2025'!E201)</f>
        <v/>
      </c>
      <c r="F199" s="13" t="str">
        <f>'1.1 Produksi Bersih Padi 2025'!Q201</f>
        <v/>
      </c>
      <c r="G199" s="13" t="str">
        <f>'1.2 Produksi Bersih Jagung 2025'!L201</f>
        <v/>
      </c>
      <c r="H199" s="13" t="str">
        <f>'1.3 Prod Bersih Ubi Kayu 2025'!K201</f>
        <v/>
      </c>
      <c r="I199" s="13" t="str">
        <f>'1.4 Prod Bersih Ubi Jalar 2025'!K201</f>
        <v/>
      </c>
      <c r="J199" s="13" t="str">
        <f>'1.5 Prod Bersih Sagu 2025'!K201</f>
        <v/>
      </c>
      <c r="K199" s="13" t="str">
        <f>'1.6 Prod Bersih Pisang 2025'!K201</f>
        <v/>
      </c>
      <c r="L199" s="15">
        <f t="shared" si="9"/>
        <v>0</v>
      </c>
      <c r="M199" s="14" t="str">
        <f>IF(D199="","",VLOOKUP(D199,'[1]0.1 Produksi Pangan &amp; Penduduk'!$D$5:$AU$704,44,0))</f>
        <v/>
      </c>
      <c r="N199" s="26" t="str">
        <f t="shared" si="10"/>
        <v/>
      </c>
      <c r="O199" s="16"/>
      <c r="P199" s="25" t="str">
        <f t="shared" si="11"/>
        <v/>
      </c>
      <c r="Q199" s="8"/>
      <c r="R199" s="11"/>
    </row>
    <row r="200" spans="1:18" ht="15" x14ac:dyDescent="0.25">
      <c r="A200" s="3" t="str">
        <f>IF('1.1 Produksi Bersih Padi 2025'!A202="","",'1.1 Produksi Bersih Padi 2025'!A202)</f>
        <v/>
      </c>
      <c r="B200" s="32" t="str">
        <f>IF('1.1 Produksi Bersih Padi 2025'!B202="","",'1.1 Produksi Bersih Padi 2025'!B202)</f>
        <v/>
      </c>
      <c r="C200" s="32" t="str">
        <f>IF('1.1 Produksi Bersih Padi 2025'!C202="","",'1.1 Produksi Bersih Padi 2025'!C202)</f>
        <v/>
      </c>
      <c r="D200" s="3" t="str">
        <f>IF('1.1 Produksi Bersih Padi 2025'!D202="","",'1.1 Produksi Bersih Padi 2025'!D202)</f>
        <v/>
      </c>
      <c r="E200" s="3" t="str">
        <f>IF('1.1 Produksi Bersih Padi 2025'!E202="","",'1.1 Produksi Bersih Padi 2025'!E202)</f>
        <v/>
      </c>
      <c r="F200" s="13" t="str">
        <f>'1.1 Produksi Bersih Padi 2025'!Q202</f>
        <v/>
      </c>
      <c r="G200" s="13" t="str">
        <f>'1.2 Produksi Bersih Jagung 2025'!L202</f>
        <v/>
      </c>
      <c r="H200" s="13" t="str">
        <f>'1.3 Prod Bersih Ubi Kayu 2025'!K202</f>
        <v/>
      </c>
      <c r="I200" s="13" t="str">
        <f>'1.4 Prod Bersih Ubi Jalar 2025'!K202</f>
        <v/>
      </c>
      <c r="J200" s="13" t="str">
        <f>'1.5 Prod Bersih Sagu 2025'!K202</f>
        <v/>
      </c>
      <c r="K200" s="13" t="str">
        <f>'1.6 Prod Bersih Pisang 2025'!K202</f>
        <v/>
      </c>
      <c r="L200" s="15">
        <f t="shared" si="9"/>
        <v>0</v>
      </c>
      <c r="M200" s="14" t="str">
        <f>IF(D200="","",VLOOKUP(D200,'[1]0.1 Produksi Pangan &amp; Penduduk'!$D$5:$AU$704,44,0))</f>
        <v/>
      </c>
      <c r="N200" s="26" t="str">
        <f t="shared" si="10"/>
        <v/>
      </c>
      <c r="O200" s="16"/>
      <c r="P200" s="25" t="str">
        <f t="shared" si="11"/>
        <v/>
      </c>
      <c r="Q200" s="8"/>
      <c r="R200" s="11"/>
    </row>
    <row r="201" spans="1:18" ht="15" x14ac:dyDescent="0.25">
      <c r="A201" s="3" t="str">
        <f>IF('1.1 Produksi Bersih Padi 2025'!A203="","",'1.1 Produksi Bersih Padi 2025'!A203)</f>
        <v/>
      </c>
      <c r="B201" s="32" t="str">
        <f>IF('1.1 Produksi Bersih Padi 2025'!B203="","",'1.1 Produksi Bersih Padi 2025'!B203)</f>
        <v/>
      </c>
      <c r="C201" s="32" t="str">
        <f>IF('1.1 Produksi Bersih Padi 2025'!C203="","",'1.1 Produksi Bersih Padi 2025'!C203)</f>
        <v/>
      </c>
      <c r="D201" s="3" t="str">
        <f>IF('1.1 Produksi Bersih Padi 2025'!D203="","",'1.1 Produksi Bersih Padi 2025'!D203)</f>
        <v/>
      </c>
      <c r="E201" s="3" t="str">
        <f>IF('1.1 Produksi Bersih Padi 2025'!E203="","",'1.1 Produksi Bersih Padi 2025'!E203)</f>
        <v/>
      </c>
      <c r="F201" s="13" t="str">
        <f>'1.1 Produksi Bersih Padi 2025'!Q203</f>
        <v/>
      </c>
      <c r="G201" s="13" t="str">
        <f>'1.2 Produksi Bersih Jagung 2025'!L203</f>
        <v/>
      </c>
      <c r="H201" s="13" t="str">
        <f>'1.3 Prod Bersih Ubi Kayu 2025'!K203</f>
        <v/>
      </c>
      <c r="I201" s="13" t="str">
        <f>'1.4 Prod Bersih Ubi Jalar 2025'!K203</f>
        <v/>
      </c>
      <c r="J201" s="13" t="str">
        <f>'1.5 Prod Bersih Sagu 2025'!K203</f>
        <v/>
      </c>
      <c r="K201" s="13" t="str">
        <f>'1.6 Prod Bersih Pisang 2025'!K203</f>
        <v/>
      </c>
      <c r="L201" s="15">
        <f t="shared" si="9"/>
        <v>0</v>
      </c>
      <c r="M201" s="14" t="str">
        <f>IF(D201="","",VLOOKUP(D201,'[1]0.1 Produksi Pangan &amp; Penduduk'!$D$5:$AU$704,44,0))</f>
        <v/>
      </c>
      <c r="N201" s="26" t="str">
        <f t="shared" si="10"/>
        <v/>
      </c>
      <c r="O201" s="16"/>
      <c r="P201" s="25" t="str">
        <f t="shared" si="11"/>
        <v/>
      </c>
      <c r="Q201" s="8"/>
      <c r="R201" s="11"/>
    </row>
    <row r="202" spans="1:18" ht="15" x14ac:dyDescent="0.25">
      <c r="A202" s="3" t="str">
        <f>IF('1.1 Produksi Bersih Padi 2025'!A204="","",'1.1 Produksi Bersih Padi 2025'!A204)</f>
        <v/>
      </c>
      <c r="B202" s="32" t="str">
        <f>IF('1.1 Produksi Bersih Padi 2025'!B204="","",'1.1 Produksi Bersih Padi 2025'!B204)</f>
        <v/>
      </c>
      <c r="C202" s="32" t="str">
        <f>IF('1.1 Produksi Bersih Padi 2025'!C204="","",'1.1 Produksi Bersih Padi 2025'!C204)</f>
        <v/>
      </c>
      <c r="D202" s="3" t="str">
        <f>IF('1.1 Produksi Bersih Padi 2025'!D204="","",'1.1 Produksi Bersih Padi 2025'!D204)</f>
        <v/>
      </c>
      <c r="E202" s="3" t="str">
        <f>IF('1.1 Produksi Bersih Padi 2025'!E204="","",'1.1 Produksi Bersih Padi 2025'!E204)</f>
        <v/>
      </c>
      <c r="F202" s="13" t="str">
        <f>'1.1 Produksi Bersih Padi 2025'!Q204</f>
        <v/>
      </c>
      <c r="G202" s="13" t="str">
        <f>'1.2 Produksi Bersih Jagung 2025'!L204</f>
        <v/>
      </c>
      <c r="H202" s="13" t="str">
        <f>'1.3 Prod Bersih Ubi Kayu 2025'!K204</f>
        <v/>
      </c>
      <c r="I202" s="13" t="str">
        <f>'1.4 Prod Bersih Ubi Jalar 2025'!K204</f>
        <v/>
      </c>
      <c r="J202" s="13" t="str">
        <f>'1.5 Prod Bersih Sagu 2025'!K204</f>
        <v/>
      </c>
      <c r="K202" s="13" t="str">
        <f>'1.6 Prod Bersih Pisang 2025'!K204</f>
        <v/>
      </c>
      <c r="L202" s="15">
        <f t="shared" si="9"/>
        <v>0</v>
      </c>
      <c r="M202" s="14" t="str">
        <f>IF(D202="","",VLOOKUP(D202,'[1]0.1 Produksi Pangan &amp; Penduduk'!$D$5:$AU$704,44,0))</f>
        <v/>
      </c>
      <c r="N202" s="26" t="str">
        <f t="shared" si="10"/>
        <v/>
      </c>
      <c r="O202" s="16"/>
      <c r="P202" s="25" t="str">
        <f t="shared" si="11"/>
        <v/>
      </c>
      <c r="Q202" s="8"/>
      <c r="R202" s="11"/>
    </row>
    <row r="203" spans="1:18" ht="15" x14ac:dyDescent="0.25">
      <c r="A203" s="3" t="str">
        <f>IF('1.1 Produksi Bersih Padi 2025'!A205="","",'1.1 Produksi Bersih Padi 2025'!A205)</f>
        <v/>
      </c>
      <c r="B203" s="32" t="str">
        <f>IF('1.1 Produksi Bersih Padi 2025'!B205="","",'1.1 Produksi Bersih Padi 2025'!B205)</f>
        <v/>
      </c>
      <c r="C203" s="32" t="str">
        <f>IF('1.1 Produksi Bersih Padi 2025'!C205="","",'1.1 Produksi Bersih Padi 2025'!C205)</f>
        <v/>
      </c>
      <c r="D203" s="3" t="str">
        <f>IF('1.1 Produksi Bersih Padi 2025'!D205="","",'1.1 Produksi Bersih Padi 2025'!D205)</f>
        <v/>
      </c>
      <c r="E203" s="3" t="str">
        <f>IF('1.1 Produksi Bersih Padi 2025'!E205="","",'1.1 Produksi Bersih Padi 2025'!E205)</f>
        <v/>
      </c>
      <c r="F203" s="13" t="str">
        <f>'1.1 Produksi Bersih Padi 2025'!Q205</f>
        <v/>
      </c>
      <c r="G203" s="13" t="str">
        <f>'1.2 Produksi Bersih Jagung 2025'!L205</f>
        <v/>
      </c>
      <c r="H203" s="13" t="str">
        <f>'1.3 Prod Bersih Ubi Kayu 2025'!K205</f>
        <v/>
      </c>
      <c r="I203" s="13" t="str">
        <f>'1.4 Prod Bersih Ubi Jalar 2025'!K205</f>
        <v/>
      </c>
      <c r="J203" s="13" t="str">
        <f>'1.5 Prod Bersih Sagu 2025'!K205</f>
        <v/>
      </c>
      <c r="K203" s="13" t="str">
        <f>'1.6 Prod Bersih Pisang 2025'!K205</f>
        <v/>
      </c>
      <c r="L203" s="15">
        <f t="shared" si="9"/>
        <v>0</v>
      </c>
      <c r="M203" s="14" t="str">
        <f>IF(D203="","",VLOOKUP(D203,'[1]0.1 Produksi Pangan &amp; Penduduk'!$D$5:$AU$704,44,0))</f>
        <v/>
      </c>
      <c r="N203" s="26" t="str">
        <f t="shared" si="10"/>
        <v/>
      </c>
      <c r="O203" s="16"/>
      <c r="P203" s="25" t="str">
        <f t="shared" si="11"/>
        <v/>
      </c>
      <c r="Q203" s="8"/>
      <c r="R203" s="11"/>
    </row>
    <row r="204" spans="1:18" ht="15" x14ac:dyDescent="0.25">
      <c r="A204" s="3" t="str">
        <f>IF('1.1 Produksi Bersih Padi 2025'!A206="","",'1.1 Produksi Bersih Padi 2025'!A206)</f>
        <v/>
      </c>
      <c r="B204" s="32" t="str">
        <f>IF('1.1 Produksi Bersih Padi 2025'!B206="","",'1.1 Produksi Bersih Padi 2025'!B206)</f>
        <v/>
      </c>
      <c r="C204" s="32" t="str">
        <f>IF('1.1 Produksi Bersih Padi 2025'!C206="","",'1.1 Produksi Bersih Padi 2025'!C206)</f>
        <v/>
      </c>
      <c r="D204" s="3" t="str">
        <f>IF('1.1 Produksi Bersih Padi 2025'!D206="","",'1.1 Produksi Bersih Padi 2025'!D206)</f>
        <v/>
      </c>
      <c r="E204" s="3" t="str">
        <f>IF('1.1 Produksi Bersih Padi 2025'!E206="","",'1.1 Produksi Bersih Padi 2025'!E206)</f>
        <v/>
      </c>
      <c r="F204" s="13" t="str">
        <f>'1.1 Produksi Bersih Padi 2025'!Q206</f>
        <v/>
      </c>
      <c r="G204" s="13" t="str">
        <f>'1.2 Produksi Bersih Jagung 2025'!L206</f>
        <v/>
      </c>
      <c r="H204" s="13" t="str">
        <f>'1.3 Prod Bersih Ubi Kayu 2025'!K206</f>
        <v/>
      </c>
      <c r="I204" s="13" t="str">
        <f>'1.4 Prod Bersih Ubi Jalar 2025'!K206</f>
        <v/>
      </c>
      <c r="J204" s="13" t="str">
        <f>'1.5 Prod Bersih Sagu 2025'!K206</f>
        <v/>
      </c>
      <c r="K204" s="13" t="str">
        <f>'1.6 Prod Bersih Pisang 2025'!K206</f>
        <v/>
      </c>
      <c r="L204" s="15">
        <f t="shared" si="9"/>
        <v>0</v>
      </c>
      <c r="M204" s="14" t="str">
        <f>IF(D204="","",VLOOKUP(D204,'[1]0.1 Produksi Pangan &amp; Penduduk'!$D$5:$AU$704,44,0))</f>
        <v/>
      </c>
      <c r="N204" s="26" t="str">
        <f t="shared" si="10"/>
        <v/>
      </c>
      <c r="O204" s="16"/>
      <c r="P204" s="25" t="str">
        <f t="shared" si="11"/>
        <v/>
      </c>
      <c r="Q204" s="8"/>
      <c r="R204" s="11"/>
    </row>
    <row r="205" spans="1:18" ht="15" x14ac:dyDescent="0.25">
      <c r="A205" s="3" t="str">
        <f>IF('1.1 Produksi Bersih Padi 2025'!A207="","",'1.1 Produksi Bersih Padi 2025'!A207)</f>
        <v/>
      </c>
      <c r="B205" s="32" t="str">
        <f>IF('1.1 Produksi Bersih Padi 2025'!B207="","",'1.1 Produksi Bersih Padi 2025'!B207)</f>
        <v/>
      </c>
      <c r="C205" s="32" t="str">
        <f>IF('1.1 Produksi Bersih Padi 2025'!C207="","",'1.1 Produksi Bersih Padi 2025'!C207)</f>
        <v/>
      </c>
      <c r="D205" s="3" t="str">
        <f>IF('1.1 Produksi Bersih Padi 2025'!D207="","",'1.1 Produksi Bersih Padi 2025'!D207)</f>
        <v/>
      </c>
      <c r="E205" s="3" t="str">
        <f>IF('1.1 Produksi Bersih Padi 2025'!E207="","",'1.1 Produksi Bersih Padi 2025'!E207)</f>
        <v/>
      </c>
      <c r="F205" s="13" t="str">
        <f>'1.1 Produksi Bersih Padi 2025'!Q207</f>
        <v/>
      </c>
      <c r="G205" s="13" t="str">
        <f>'1.2 Produksi Bersih Jagung 2025'!L207</f>
        <v/>
      </c>
      <c r="H205" s="13" t="str">
        <f>'1.3 Prod Bersih Ubi Kayu 2025'!K207</f>
        <v/>
      </c>
      <c r="I205" s="13" t="str">
        <f>'1.4 Prod Bersih Ubi Jalar 2025'!K207</f>
        <v/>
      </c>
      <c r="J205" s="13" t="str">
        <f>'1.5 Prod Bersih Sagu 2025'!K207</f>
        <v/>
      </c>
      <c r="K205" s="13" t="str">
        <f>'1.6 Prod Bersih Pisang 2025'!K207</f>
        <v/>
      </c>
      <c r="L205" s="15">
        <f t="shared" si="9"/>
        <v>0</v>
      </c>
      <c r="M205" s="14" t="str">
        <f>IF(D205="","",VLOOKUP(D205,'[1]0.1 Produksi Pangan &amp; Penduduk'!$D$5:$AU$704,44,0))</f>
        <v/>
      </c>
      <c r="N205" s="26" t="str">
        <f t="shared" si="10"/>
        <v/>
      </c>
      <c r="O205" s="16"/>
      <c r="P205" s="25" t="str">
        <f t="shared" si="11"/>
        <v/>
      </c>
      <c r="Q205" s="8"/>
      <c r="R205" s="11"/>
    </row>
    <row r="206" spans="1:18" ht="15" x14ac:dyDescent="0.25">
      <c r="A206" s="3" t="str">
        <f>IF('1.1 Produksi Bersih Padi 2025'!A208="","",'1.1 Produksi Bersih Padi 2025'!A208)</f>
        <v/>
      </c>
      <c r="B206" s="32" t="str">
        <f>IF('1.1 Produksi Bersih Padi 2025'!B208="","",'1.1 Produksi Bersih Padi 2025'!B208)</f>
        <v/>
      </c>
      <c r="C206" s="32" t="str">
        <f>IF('1.1 Produksi Bersih Padi 2025'!C208="","",'1.1 Produksi Bersih Padi 2025'!C208)</f>
        <v/>
      </c>
      <c r="D206" s="3" t="str">
        <f>IF('1.1 Produksi Bersih Padi 2025'!D208="","",'1.1 Produksi Bersih Padi 2025'!D208)</f>
        <v/>
      </c>
      <c r="E206" s="3" t="str">
        <f>IF('1.1 Produksi Bersih Padi 2025'!E208="","",'1.1 Produksi Bersih Padi 2025'!E208)</f>
        <v/>
      </c>
      <c r="F206" s="13" t="str">
        <f>'1.1 Produksi Bersih Padi 2025'!Q208</f>
        <v/>
      </c>
      <c r="G206" s="13" t="str">
        <f>'1.2 Produksi Bersih Jagung 2025'!L208</f>
        <v/>
      </c>
      <c r="H206" s="13" t="str">
        <f>'1.3 Prod Bersih Ubi Kayu 2025'!K208</f>
        <v/>
      </c>
      <c r="I206" s="13" t="str">
        <f>'1.4 Prod Bersih Ubi Jalar 2025'!K208</f>
        <v/>
      </c>
      <c r="J206" s="13" t="str">
        <f>'1.5 Prod Bersih Sagu 2025'!K208</f>
        <v/>
      </c>
      <c r="K206" s="13" t="str">
        <f>'1.6 Prod Bersih Pisang 2025'!K208</f>
        <v/>
      </c>
      <c r="L206" s="15">
        <f t="shared" si="9"/>
        <v>0</v>
      </c>
      <c r="M206" s="14" t="str">
        <f>IF(D206="","",VLOOKUP(D206,'[1]0.1 Produksi Pangan &amp; Penduduk'!$D$5:$AU$704,44,0))</f>
        <v/>
      </c>
      <c r="N206" s="26" t="str">
        <f t="shared" si="10"/>
        <v/>
      </c>
      <c r="O206" s="16"/>
      <c r="P206" s="25" t="str">
        <f t="shared" si="11"/>
        <v/>
      </c>
      <c r="Q206" s="8"/>
      <c r="R206" s="11"/>
    </row>
    <row r="207" spans="1:18" ht="15" x14ac:dyDescent="0.25">
      <c r="A207" s="3" t="str">
        <f>IF('1.1 Produksi Bersih Padi 2025'!A209="","",'1.1 Produksi Bersih Padi 2025'!A209)</f>
        <v/>
      </c>
      <c r="B207" s="32" t="str">
        <f>IF('1.1 Produksi Bersih Padi 2025'!B209="","",'1.1 Produksi Bersih Padi 2025'!B209)</f>
        <v/>
      </c>
      <c r="C207" s="32" t="str">
        <f>IF('1.1 Produksi Bersih Padi 2025'!C209="","",'1.1 Produksi Bersih Padi 2025'!C209)</f>
        <v/>
      </c>
      <c r="D207" s="3" t="str">
        <f>IF('1.1 Produksi Bersih Padi 2025'!D209="","",'1.1 Produksi Bersih Padi 2025'!D209)</f>
        <v/>
      </c>
      <c r="E207" s="3" t="str">
        <f>IF('1.1 Produksi Bersih Padi 2025'!E209="","",'1.1 Produksi Bersih Padi 2025'!E209)</f>
        <v/>
      </c>
      <c r="F207" s="13" t="str">
        <f>'1.1 Produksi Bersih Padi 2025'!Q209</f>
        <v/>
      </c>
      <c r="G207" s="13" t="str">
        <f>'1.2 Produksi Bersih Jagung 2025'!L209</f>
        <v/>
      </c>
      <c r="H207" s="13" t="str">
        <f>'1.3 Prod Bersih Ubi Kayu 2025'!K209</f>
        <v/>
      </c>
      <c r="I207" s="13" t="str">
        <f>'1.4 Prod Bersih Ubi Jalar 2025'!K209</f>
        <v/>
      </c>
      <c r="J207" s="13" t="str">
        <f>'1.5 Prod Bersih Sagu 2025'!K209</f>
        <v/>
      </c>
      <c r="K207" s="13" t="str">
        <f>'1.6 Prod Bersih Pisang 2025'!K209</f>
        <v/>
      </c>
      <c r="L207" s="15">
        <f t="shared" si="9"/>
        <v>0</v>
      </c>
      <c r="M207" s="14" t="str">
        <f>IF(D207="","",VLOOKUP(D207,'[1]0.1 Produksi Pangan &amp; Penduduk'!$D$5:$AU$704,44,0))</f>
        <v/>
      </c>
      <c r="N207" s="26" t="str">
        <f t="shared" si="10"/>
        <v/>
      </c>
      <c r="O207" s="16"/>
      <c r="P207" s="25" t="str">
        <f t="shared" si="11"/>
        <v/>
      </c>
      <c r="Q207" s="8"/>
      <c r="R207" s="11"/>
    </row>
    <row r="208" spans="1:18" ht="15" x14ac:dyDescent="0.25">
      <c r="A208" s="3" t="str">
        <f>IF('1.1 Produksi Bersih Padi 2025'!A210="","",'1.1 Produksi Bersih Padi 2025'!A210)</f>
        <v/>
      </c>
      <c r="B208" s="32" t="str">
        <f>IF('1.1 Produksi Bersih Padi 2025'!B210="","",'1.1 Produksi Bersih Padi 2025'!B210)</f>
        <v/>
      </c>
      <c r="C208" s="32" t="str">
        <f>IF('1.1 Produksi Bersih Padi 2025'!C210="","",'1.1 Produksi Bersih Padi 2025'!C210)</f>
        <v/>
      </c>
      <c r="D208" s="3" t="str">
        <f>IF('1.1 Produksi Bersih Padi 2025'!D210="","",'1.1 Produksi Bersih Padi 2025'!D210)</f>
        <v/>
      </c>
      <c r="E208" s="3" t="str">
        <f>IF('1.1 Produksi Bersih Padi 2025'!E210="","",'1.1 Produksi Bersih Padi 2025'!E210)</f>
        <v/>
      </c>
      <c r="F208" s="13" t="str">
        <f>'1.1 Produksi Bersih Padi 2025'!Q210</f>
        <v/>
      </c>
      <c r="G208" s="13" t="str">
        <f>'1.2 Produksi Bersih Jagung 2025'!L210</f>
        <v/>
      </c>
      <c r="H208" s="13" t="str">
        <f>'1.3 Prod Bersih Ubi Kayu 2025'!K210</f>
        <v/>
      </c>
      <c r="I208" s="13" t="str">
        <f>'1.4 Prod Bersih Ubi Jalar 2025'!K210</f>
        <v/>
      </c>
      <c r="J208" s="13" t="str">
        <f>'1.5 Prod Bersih Sagu 2025'!K210</f>
        <v/>
      </c>
      <c r="K208" s="13" t="str">
        <f>'1.6 Prod Bersih Pisang 2025'!K210</f>
        <v/>
      </c>
      <c r="L208" s="15">
        <f t="shared" si="9"/>
        <v>0</v>
      </c>
      <c r="M208" s="14" t="str">
        <f>IF(D208="","",VLOOKUP(D208,'[1]0.1 Produksi Pangan &amp; Penduduk'!$D$5:$AU$704,44,0))</f>
        <v/>
      </c>
      <c r="N208" s="26" t="str">
        <f t="shared" si="10"/>
        <v/>
      </c>
      <c r="O208" s="16"/>
      <c r="P208" s="25" t="str">
        <f t="shared" si="11"/>
        <v/>
      </c>
      <c r="Q208" s="8"/>
      <c r="R208" s="11"/>
    </row>
    <row r="209" spans="1:18" ht="15" x14ac:dyDescent="0.25">
      <c r="A209" s="3" t="str">
        <f>IF('1.1 Produksi Bersih Padi 2025'!A211="","",'1.1 Produksi Bersih Padi 2025'!A211)</f>
        <v/>
      </c>
      <c r="B209" s="32" t="str">
        <f>IF('1.1 Produksi Bersih Padi 2025'!B211="","",'1.1 Produksi Bersih Padi 2025'!B211)</f>
        <v/>
      </c>
      <c r="C209" s="32" t="str">
        <f>IF('1.1 Produksi Bersih Padi 2025'!C211="","",'1.1 Produksi Bersih Padi 2025'!C211)</f>
        <v/>
      </c>
      <c r="D209" s="3" t="str">
        <f>IF('1.1 Produksi Bersih Padi 2025'!D211="","",'1.1 Produksi Bersih Padi 2025'!D211)</f>
        <v/>
      </c>
      <c r="E209" s="3" t="str">
        <f>IF('1.1 Produksi Bersih Padi 2025'!E211="","",'1.1 Produksi Bersih Padi 2025'!E211)</f>
        <v/>
      </c>
      <c r="F209" s="13" t="str">
        <f>'1.1 Produksi Bersih Padi 2025'!Q211</f>
        <v/>
      </c>
      <c r="G209" s="13" t="str">
        <f>'1.2 Produksi Bersih Jagung 2025'!L211</f>
        <v/>
      </c>
      <c r="H209" s="13" t="str">
        <f>'1.3 Prod Bersih Ubi Kayu 2025'!K211</f>
        <v/>
      </c>
      <c r="I209" s="13" t="str">
        <f>'1.4 Prod Bersih Ubi Jalar 2025'!K211</f>
        <v/>
      </c>
      <c r="J209" s="13" t="str">
        <f>'1.5 Prod Bersih Sagu 2025'!K211</f>
        <v/>
      </c>
      <c r="K209" s="13" t="str">
        <f>'1.6 Prod Bersih Pisang 2025'!K211</f>
        <v/>
      </c>
      <c r="L209" s="15">
        <f t="shared" si="9"/>
        <v>0</v>
      </c>
      <c r="M209" s="14" t="str">
        <f>IF(D209="","",VLOOKUP(D209,'[1]0.1 Produksi Pangan &amp; Penduduk'!$D$5:$AU$704,44,0))</f>
        <v/>
      </c>
      <c r="N209" s="26" t="str">
        <f t="shared" si="10"/>
        <v/>
      </c>
      <c r="O209" s="16"/>
      <c r="P209" s="25" t="str">
        <f t="shared" si="11"/>
        <v/>
      </c>
      <c r="Q209" s="8"/>
      <c r="R209" s="11"/>
    </row>
    <row r="210" spans="1:18" ht="15" x14ac:dyDescent="0.25">
      <c r="A210" s="3" t="str">
        <f>IF('1.1 Produksi Bersih Padi 2025'!A212="","",'1.1 Produksi Bersih Padi 2025'!A212)</f>
        <v/>
      </c>
      <c r="B210" s="32" t="str">
        <f>IF('1.1 Produksi Bersih Padi 2025'!B212="","",'1.1 Produksi Bersih Padi 2025'!B212)</f>
        <v/>
      </c>
      <c r="C210" s="32" t="str">
        <f>IF('1.1 Produksi Bersih Padi 2025'!C212="","",'1.1 Produksi Bersih Padi 2025'!C212)</f>
        <v/>
      </c>
      <c r="D210" s="3" t="str">
        <f>IF('1.1 Produksi Bersih Padi 2025'!D212="","",'1.1 Produksi Bersih Padi 2025'!D212)</f>
        <v/>
      </c>
      <c r="E210" s="3" t="str">
        <f>IF('1.1 Produksi Bersih Padi 2025'!E212="","",'1.1 Produksi Bersih Padi 2025'!E212)</f>
        <v/>
      </c>
      <c r="F210" s="13" t="str">
        <f>'1.1 Produksi Bersih Padi 2025'!Q212</f>
        <v/>
      </c>
      <c r="G210" s="13" t="str">
        <f>'1.2 Produksi Bersih Jagung 2025'!L212</f>
        <v/>
      </c>
      <c r="H210" s="13" t="str">
        <f>'1.3 Prod Bersih Ubi Kayu 2025'!K212</f>
        <v/>
      </c>
      <c r="I210" s="13" t="str">
        <f>'1.4 Prod Bersih Ubi Jalar 2025'!K212</f>
        <v/>
      </c>
      <c r="J210" s="13" t="str">
        <f>'1.5 Prod Bersih Sagu 2025'!K212</f>
        <v/>
      </c>
      <c r="K210" s="13" t="str">
        <f>'1.6 Prod Bersih Pisang 2025'!K212</f>
        <v/>
      </c>
      <c r="L210" s="15">
        <f t="shared" si="9"/>
        <v>0</v>
      </c>
      <c r="M210" s="14" t="str">
        <f>IF(D210="","",VLOOKUP(D210,'[1]0.1 Produksi Pangan &amp; Penduduk'!$D$5:$AU$704,44,0))</f>
        <v/>
      </c>
      <c r="N210" s="26" t="str">
        <f t="shared" si="10"/>
        <v/>
      </c>
      <c r="O210" s="16"/>
      <c r="P210" s="25" t="str">
        <f t="shared" si="11"/>
        <v/>
      </c>
      <c r="Q210" s="8"/>
      <c r="R210" s="11"/>
    </row>
    <row r="211" spans="1:18" ht="15" x14ac:dyDescent="0.25">
      <c r="A211" s="3" t="str">
        <f>IF('1.1 Produksi Bersih Padi 2025'!A213="","",'1.1 Produksi Bersih Padi 2025'!A213)</f>
        <v/>
      </c>
      <c r="B211" s="32" t="str">
        <f>IF('1.1 Produksi Bersih Padi 2025'!B213="","",'1.1 Produksi Bersih Padi 2025'!B213)</f>
        <v/>
      </c>
      <c r="C211" s="32" t="str">
        <f>IF('1.1 Produksi Bersih Padi 2025'!C213="","",'1.1 Produksi Bersih Padi 2025'!C213)</f>
        <v/>
      </c>
      <c r="D211" s="3" t="str">
        <f>IF('1.1 Produksi Bersih Padi 2025'!D213="","",'1.1 Produksi Bersih Padi 2025'!D213)</f>
        <v/>
      </c>
      <c r="E211" s="3" t="str">
        <f>IF('1.1 Produksi Bersih Padi 2025'!E213="","",'1.1 Produksi Bersih Padi 2025'!E213)</f>
        <v/>
      </c>
      <c r="F211" s="13" t="str">
        <f>'1.1 Produksi Bersih Padi 2025'!Q213</f>
        <v/>
      </c>
      <c r="G211" s="13" t="str">
        <f>'1.2 Produksi Bersih Jagung 2025'!L213</f>
        <v/>
      </c>
      <c r="H211" s="13" t="str">
        <f>'1.3 Prod Bersih Ubi Kayu 2025'!K213</f>
        <v/>
      </c>
      <c r="I211" s="13" t="str">
        <f>'1.4 Prod Bersih Ubi Jalar 2025'!K213</f>
        <v/>
      </c>
      <c r="J211" s="13" t="str">
        <f>'1.5 Prod Bersih Sagu 2025'!K213</f>
        <v/>
      </c>
      <c r="K211" s="13" t="str">
        <f>'1.6 Prod Bersih Pisang 2025'!K213</f>
        <v/>
      </c>
      <c r="L211" s="15">
        <f t="shared" si="9"/>
        <v>0</v>
      </c>
      <c r="M211" s="14" t="str">
        <f>IF(D211="","",VLOOKUP(D211,'[1]0.1 Produksi Pangan &amp; Penduduk'!$D$5:$AU$704,44,0))</f>
        <v/>
      </c>
      <c r="N211" s="26" t="str">
        <f t="shared" si="10"/>
        <v/>
      </c>
      <c r="O211" s="16"/>
      <c r="P211" s="25" t="str">
        <f t="shared" si="11"/>
        <v/>
      </c>
      <c r="Q211" s="8"/>
      <c r="R211" s="11"/>
    </row>
    <row r="212" spans="1:18" ht="15" x14ac:dyDescent="0.25">
      <c r="A212" s="3" t="str">
        <f>IF('1.1 Produksi Bersih Padi 2025'!A214="","",'1.1 Produksi Bersih Padi 2025'!A214)</f>
        <v/>
      </c>
      <c r="B212" s="32" t="str">
        <f>IF('1.1 Produksi Bersih Padi 2025'!B214="","",'1.1 Produksi Bersih Padi 2025'!B214)</f>
        <v/>
      </c>
      <c r="C212" s="32" t="str">
        <f>IF('1.1 Produksi Bersih Padi 2025'!C214="","",'1.1 Produksi Bersih Padi 2025'!C214)</f>
        <v/>
      </c>
      <c r="D212" s="3" t="str">
        <f>IF('1.1 Produksi Bersih Padi 2025'!D214="","",'1.1 Produksi Bersih Padi 2025'!D214)</f>
        <v/>
      </c>
      <c r="E212" s="3" t="str">
        <f>IF('1.1 Produksi Bersih Padi 2025'!E214="","",'1.1 Produksi Bersih Padi 2025'!E214)</f>
        <v/>
      </c>
      <c r="F212" s="13" t="str">
        <f>'1.1 Produksi Bersih Padi 2025'!Q214</f>
        <v/>
      </c>
      <c r="G212" s="13" t="str">
        <f>'1.2 Produksi Bersih Jagung 2025'!L214</f>
        <v/>
      </c>
      <c r="H212" s="13" t="str">
        <f>'1.3 Prod Bersih Ubi Kayu 2025'!K214</f>
        <v/>
      </c>
      <c r="I212" s="13" t="str">
        <f>'1.4 Prod Bersih Ubi Jalar 2025'!K214</f>
        <v/>
      </c>
      <c r="J212" s="13" t="str">
        <f>'1.5 Prod Bersih Sagu 2025'!K214</f>
        <v/>
      </c>
      <c r="K212" s="13" t="str">
        <f>'1.6 Prod Bersih Pisang 2025'!K214</f>
        <v/>
      </c>
      <c r="L212" s="15">
        <f t="shared" si="9"/>
        <v>0</v>
      </c>
      <c r="M212" s="14" t="str">
        <f>IF(D212="","",VLOOKUP(D212,'[1]0.1 Produksi Pangan &amp; Penduduk'!$D$5:$AU$704,44,0))</f>
        <v/>
      </c>
      <c r="N212" s="26" t="str">
        <f t="shared" si="10"/>
        <v/>
      </c>
      <c r="O212" s="16"/>
      <c r="P212" s="25" t="str">
        <f t="shared" si="11"/>
        <v/>
      </c>
      <c r="Q212" s="8"/>
      <c r="R212" s="11"/>
    </row>
    <row r="213" spans="1:18" ht="15" x14ac:dyDescent="0.25">
      <c r="A213" s="3" t="str">
        <f>IF('1.1 Produksi Bersih Padi 2025'!A215="","",'1.1 Produksi Bersih Padi 2025'!A215)</f>
        <v/>
      </c>
      <c r="B213" s="32" t="str">
        <f>IF('1.1 Produksi Bersih Padi 2025'!B215="","",'1.1 Produksi Bersih Padi 2025'!B215)</f>
        <v/>
      </c>
      <c r="C213" s="32" t="str">
        <f>IF('1.1 Produksi Bersih Padi 2025'!C215="","",'1.1 Produksi Bersih Padi 2025'!C215)</f>
        <v/>
      </c>
      <c r="D213" s="3" t="str">
        <f>IF('1.1 Produksi Bersih Padi 2025'!D215="","",'1.1 Produksi Bersih Padi 2025'!D215)</f>
        <v/>
      </c>
      <c r="E213" s="3" t="str">
        <f>IF('1.1 Produksi Bersih Padi 2025'!E215="","",'1.1 Produksi Bersih Padi 2025'!E215)</f>
        <v/>
      </c>
      <c r="F213" s="13" t="str">
        <f>'1.1 Produksi Bersih Padi 2025'!Q215</f>
        <v/>
      </c>
      <c r="G213" s="13" t="str">
        <f>'1.2 Produksi Bersih Jagung 2025'!L215</f>
        <v/>
      </c>
      <c r="H213" s="13" t="str">
        <f>'1.3 Prod Bersih Ubi Kayu 2025'!K215</f>
        <v/>
      </c>
      <c r="I213" s="13" t="str">
        <f>'1.4 Prod Bersih Ubi Jalar 2025'!K215</f>
        <v/>
      </c>
      <c r="J213" s="13" t="str">
        <f>'1.5 Prod Bersih Sagu 2025'!K215</f>
        <v/>
      </c>
      <c r="K213" s="13" t="str">
        <f>'1.6 Prod Bersih Pisang 2025'!K215</f>
        <v/>
      </c>
      <c r="L213" s="15">
        <f t="shared" si="9"/>
        <v>0</v>
      </c>
      <c r="M213" s="14" t="str">
        <f>IF(D213="","",VLOOKUP(D213,'[1]0.1 Produksi Pangan &amp; Penduduk'!$D$5:$AU$704,44,0))</f>
        <v/>
      </c>
      <c r="N213" s="26" t="str">
        <f t="shared" si="10"/>
        <v/>
      </c>
      <c r="O213" s="16"/>
      <c r="P213" s="25" t="str">
        <f t="shared" si="11"/>
        <v/>
      </c>
      <c r="Q213" s="8"/>
      <c r="R213" s="11"/>
    </row>
    <row r="214" spans="1:18" ht="15" x14ac:dyDescent="0.25">
      <c r="A214" s="3" t="str">
        <f>IF('1.1 Produksi Bersih Padi 2025'!A216="","",'1.1 Produksi Bersih Padi 2025'!A216)</f>
        <v/>
      </c>
      <c r="B214" s="32" t="str">
        <f>IF('1.1 Produksi Bersih Padi 2025'!B216="","",'1.1 Produksi Bersih Padi 2025'!B216)</f>
        <v/>
      </c>
      <c r="C214" s="32" t="str">
        <f>IF('1.1 Produksi Bersih Padi 2025'!C216="","",'1.1 Produksi Bersih Padi 2025'!C216)</f>
        <v/>
      </c>
      <c r="D214" s="3" t="str">
        <f>IF('1.1 Produksi Bersih Padi 2025'!D216="","",'1.1 Produksi Bersih Padi 2025'!D216)</f>
        <v/>
      </c>
      <c r="E214" s="3" t="str">
        <f>IF('1.1 Produksi Bersih Padi 2025'!E216="","",'1.1 Produksi Bersih Padi 2025'!E216)</f>
        <v/>
      </c>
      <c r="F214" s="13" t="str">
        <f>'1.1 Produksi Bersih Padi 2025'!Q216</f>
        <v/>
      </c>
      <c r="G214" s="13" t="str">
        <f>'1.2 Produksi Bersih Jagung 2025'!L216</f>
        <v/>
      </c>
      <c r="H214" s="13" t="str">
        <f>'1.3 Prod Bersih Ubi Kayu 2025'!K216</f>
        <v/>
      </c>
      <c r="I214" s="13" t="str">
        <f>'1.4 Prod Bersih Ubi Jalar 2025'!K216</f>
        <v/>
      </c>
      <c r="J214" s="13" t="str">
        <f>'1.5 Prod Bersih Sagu 2025'!K216</f>
        <v/>
      </c>
      <c r="K214" s="13" t="str">
        <f>'1.6 Prod Bersih Pisang 2025'!K216</f>
        <v/>
      </c>
      <c r="L214" s="15">
        <f t="shared" si="9"/>
        <v>0</v>
      </c>
      <c r="M214" s="14" t="str">
        <f>IF(D214="","",VLOOKUP(D214,'[1]0.1 Produksi Pangan &amp; Penduduk'!$D$5:$AU$704,44,0))</f>
        <v/>
      </c>
      <c r="N214" s="26" t="str">
        <f t="shared" si="10"/>
        <v/>
      </c>
      <c r="O214" s="16"/>
      <c r="P214" s="25" t="str">
        <f t="shared" si="11"/>
        <v/>
      </c>
      <c r="Q214" s="8"/>
      <c r="R214" s="11"/>
    </row>
    <row r="215" spans="1:18" ht="15" x14ac:dyDescent="0.25">
      <c r="A215" s="3" t="str">
        <f>IF('1.1 Produksi Bersih Padi 2025'!A217="","",'1.1 Produksi Bersih Padi 2025'!A217)</f>
        <v/>
      </c>
      <c r="B215" s="32" t="str">
        <f>IF('1.1 Produksi Bersih Padi 2025'!B217="","",'1.1 Produksi Bersih Padi 2025'!B217)</f>
        <v/>
      </c>
      <c r="C215" s="32" t="str">
        <f>IF('1.1 Produksi Bersih Padi 2025'!C217="","",'1.1 Produksi Bersih Padi 2025'!C217)</f>
        <v/>
      </c>
      <c r="D215" s="3" t="str">
        <f>IF('1.1 Produksi Bersih Padi 2025'!D217="","",'1.1 Produksi Bersih Padi 2025'!D217)</f>
        <v/>
      </c>
      <c r="E215" s="3" t="str">
        <f>IF('1.1 Produksi Bersih Padi 2025'!E217="","",'1.1 Produksi Bersih Padi 2025'!E217)</f>
        <v/>
      </c>
      <c r="F215" s="13" t="str">
        <f>'1.1 Produksi Bersih Padi 2025'!Q217</f>
        <v/>
      </c>
      <c r="G215" s="13" t="str">
        <f>'1.2 Produksi Bersih Jagung 2025'!L217</f>
        <v/>
      </c>
      <c r="H215" s="13" t="str">
        <f>'1.3 Prod Bersih Ubi Kayu 2025'!K217</f>
        <v/>
      </c>
      <c r="I215" s="13" t="str">
        <f>'1.4 Prod Bersih Ubi Jalar 2025'!K217</f>
        <v/>
      </c>
      <c r="J215" s="13" t="str">
        <f>'1.5 Prod Bersih Sagu 2025'!K217</f>
        <v/>
      </c>
      <c r="K215" s="13" t="str">
        <f>'1.6 Prod Bersih Pisang 2025'!K217</f>
        <v/>
      </c>
      <c r="L215" s="15">
        <f t="shared" si="9"/>
        <v>0</v>
      </c>
      <c r="M215" s="14" t="str">
        <f>IF(D215="","",VLOOKUP(D215,'[1]0.1 Produksi Pangan &amp; Penduduk'!$D$5:$AU$704,44,0))</f>
        <v/>
      </c>
      <c r="N215" s="26" t="str">
        <f t="shared" si="10"/>
        <v/>
      </c>
      <c r="O215" s="16"/>
      <c r="P215" s="25" t="str">
        <f t="shared" si="11"/>
        <v/>
      </c>
      <c r="Q215" s="8"/>
      <c r="R215" s="11"/>
    </row>
    <row r="216" spans="1:18" ht="15" x14ac:dyDescent="0.25">
      <c r="A216" s="3" t="str">
        <f>IF('1.1 Produksi Bersih Padi 2025'!A218="","",'1.1 Produksi Bersih Padi 2025'!A218)</f>
        <v/>
      </c>
      <c r="B216" s="32" t="str">
        <f>IF('1.1 Produksi Bersih Padi 2025'!B218="","",'1.1 Produksi Bersih Padi 2025'!B218)</f>
        <v/>
      </c>
      <c r="C216" s="32" t="str">
        <f>IF('1.1 Produksi Bersih Padi 2025'!C218="","",'1.1 Produksi Bersih Padi 2025'!C218)</f>
        <v/>
      </c>
      <c r="D216" s="3" t="str">
        <f>IF('1.1 Produksi Bersih Padi 2025'!D218="","",'1.1 Produksi Bersih Padi 2025'!D218)</f>
        <v/>
      </c>
      <c r="E216" s="3" t="str">
        <f>IF('1.1 Produksi Bersih Padi 2025'!E218="","",'1.1 Produksi Bersih Padi 2025'!E218)</f>
        <v/>
      </c>
      <c r="F216" s="13" t="str">
        <f>'1.1 Produksi Bersih Padi 2025'!Q218</f>
        <v/>
      </c>
      <c r="G216" s="13" t="str">
        <f>'1.2 Produksi Bersih Jagung 2025'!L218</f>
        <v/>
      </c>
      <c r="H216" s="13" t="str">
        <f>'1.3 Prod Bersih Ubi Kayu 2025'!K218</f>
        <v/>
      </c>
      <c r="I216" s="13" t="str">
        <f>'1.4 Prod Bersih Ubi Jalar 2025'!K218</f>
        <v/>
      </c>
      <c r="J216" s="13" t="str">
        <f>'1.5 Prod Bersih Sagu 2025'!K218</f>
        <v/>
      </c>
      <c r="K216" s="13" t="str">
        <f>'1.6 Prod Bersih Pisang 2025'!K218</f>
        <v/>
      </c>
      <c r="L216" s="15">
        <f t="shared" si="9"/>
        <v>0</v>
      </c>
      <c r="M216" s="14" t="str">
        <f>IF(D216="","",VLOOKUP(D216,'[1]0.1 Produksi Pangan &amp; Penduduk'!$D$5:$AU$704,44,0))</f>
        <v/>
      </c>
      <c r="N216" s="26" t="str">
        <f t="shared" si="10"/>
        <v/>
      </c>
      <c r="O216" s="16"/>
      <c r="P216" s="25" t="str">
        <f t="shared" si="11"/>
        <v/>
      </c>
      <c r="Q216" s="8"/>
      <c r="R216" s="11"/>
    </row>
    <row r="217" spans="1:18" ht="15" x14ac:dyDescent="0.25">
      <c r="A217" s="3" t="str">
        <f>IF('1.1 Produksi Bersih Padi 2025'!A219="","",'1.1 Produksi Bersih Padi 2025'!A219)</f>
        <v/>
      </c>
      <c r="B217" s="32" t="str">
        <f>IF('1.1 Produksi Bersih Padi 2025'!B219="","",'1.1 Produksi Bersih Padi 2025'!B219)</f>
        <v/>
      </c>
      <c r="C217" s="32" t="str">
        <f>IF('1.1 Produksi Bersih Padi 2025'!C219="","",'1.1 Produksi Bersih Padi 2025'!C219)</f>
        <v/>
      </c>
      <c r="D217" s="3" t="str">
        <f>IF('1.1 Produksi Bersih Padi 2025'!D219="","",'1.1 Produksi Bersih Padi 2025'!D219)</f>
        <v/>
      </c>
      <c r="E217" s="3" t="str">
        <f>IF('1.1 Produksi Bersih Padi 2025'!E219="","",'1.1 Produksi Bersih Padi 2025'!E219)</f>
        <v/>
      </c>
      <c r="F217" s="13" t="str">
        <f>'1.1 Produksi Bersih Padi 2025'!Q219</f>
        <v/>
      </c>
      <c r="G217" s="13" t="str">
        <f>'1.2 Produksi Bersih Jagung 2025'!L219</f>
        <v/>
      </c>
      <c r="H217" s="13" t="str">
        <f>'1.3 Prod Bersih Ubi Kayu 2025'!K219</f>
        <v/>
      </c>
      <c r="I217" s="13" t="str">
        <f>'1.4 Prod Bersih Ubi Jalar 2025'!K219</f>
        <v/>
      </c>
      <c r="J217" s="13" t="str">
        <f>'1.5 Prod Bersih Sagu 2025'!K219</f>
        <v/>
      </c>
      <c r="K217" s="13" t="str">
        <f>'1.6 Prod Bersih Pisang 2025'!K219</f>
        <v/>
      </c>
      <c r="L217" s="15">
        <f t="shared" si="9"/>
        <v>0</v>
      </c>
      <c r="M217" s="14" t="str">
        <f>IF(D217="","",VLOOKUP(D217,'[1]0.1 Produksi Pangan &amp; Penduduk'!$D$5:$AU$704,44,0))</f>
        <v/>
      </c>
      <c r="N217" s="26" t="str">
        <f t="shared" si="10"/>
        <v/>
      </c>
      <c r="O217" s="16"/>
      <c r="P217" s="25" t="str">
        <f t="shared" si="11"/>
        <v/>
      </c>
      <c r="Q217" s="8"/>
      <c r="R217" s="11"/>
    </row>
    <row r="218" spans="1:18" ht="15" x14ac:dyDescent="0.25">
      <c r="A218" s="3" t="str">
        <f>IF('1.1 Produksi Bersih Padi 2025'!A220="","",'1.1 Produksi Bersih Padi 2025'!A220)</f>
        <v/>
      </c>
      <c r="B218" s="32" t="str">
        <f>IF('1.1 Produksi Bersih Padi 2025'!B220="","",'1.1 Produksi Bersih Padi 2025'!B220)</f>
        <v/>
      </c>
      <c r="C218" s="32" t="str">
        <f>IF('1.1 Produksi Bersih Padi 2025'!C220="","",'1.1 Produksi Bersih Padi 2025'!C220)</f>
        <v/>
      </c>
      <c r="D218" s="3" t="str">
        <f>IF('1.1 Produksi Bersih Padi 2025'!D220="","",'1.1 Produksi Bersih Padi 2025'!D220)</f>
        <v/>
      </c>
      <c r="E218" s="3" t="str">
        <f>IF('1.1 Produksi Bersih Padi 2025'!E220="","",'1.1 Produksi Bersih Padi 2025'!E220)</f>
        <v/>
      </c>
      <c r="F218" s="13" t="str">
        <f>'1.1 Produksi Bersih Padi 2025'!Q220</f>
        <v/>
      </c>
      <c r="G218" s="13" t="str">
        <f>'1.2 Produksi Bersih Jagung 2025'!L220</f>
        <v/>
      </c>
      <c r="H218" s="13" t="str">
        <f>'1.3 Prod Bersih Ubi Kayu 2025'!K220</f>
        <v/>
      </c>
      <c r="I218" s="13" t="str">
        <f>'1.4 Prod Bersih Ubi Jalar 2025'!K220</f>
        <v/>
      </c>
      <c r="J218" s="13" t="str">
        <f>'1.5 Prod Bersih Sagu 2025'!K220</f>
        <v/>
      </c>
      <c r="K218" s="13" t="str">
        <f>'1.6 Prod Bersih Pisang 2025'!K220</f>
        <v/>
      </c>
      <c r="L218" s="15">
        <f t="shared" si="9"/>
        <v>0</v>
      </c>
      <c r="M218" s="14" t="str">
        <f>IF(D218="","",VLOOKUP(D218,'[1]0.1 Produksi Pangan &amp; Penduduk'!$D$5:$AU$704,44,0))</f>
        <v/>
      </c>
      <c r="N218" s="26" t="str">
        <f t="shared" si="10"/>
        <v/>
      </c>
      <c r="O218" s="16"/>
      <c r="P218" s="25" t="str">
        <f t="shared" si="11"/>
        <v/>
      </c>
      <c r="Q218" s="8"/>
      <c r="R218" s="11"/>
    </row>
    <row r="219" spans="1:18" ht="15" x14ac:dyDescent="0.25">
      <c r="A219" s="3" t="str">
        <f>IF('1.1 Produksi Bersih Padi 2025'!A221="","",'1.1 Produksi Bersih Padi 2025'!A221)</f>
        <v/>
      </c>
      <c r="B219" s="32" t="str">
        <f>IF('1.1 Produksi Bersih Padi 2025'!B221="","",'1.1 Produksi Bersih Padi 2025'!B221)</f>
        <v/>
      </c>
      <c r="C219" s="32" t="str">
        <f>IF('1.1 Produksi Bersih Padi 2025'!C221="","",'1.1 Produksi Bersih Padi 2025'!C221)</f>
        <v/>
      </c>
      <c r="D219" s="3" t="str">
        <f>IF('1.1 Produksi Bersih Padi 2025'!D221="","",'1.1 Produksi Bersih Padi 2025'!D221)</f>
        <v/>
      </c>
      <c r="E219" s="3" t="str">
        <f>IF('1.1 Produksi Bersih Padi 2025'!E221="","",'1.1 Produksi Bersih Padi 2025'!E221)</f>
        <v/>
      </c>
      <c r="F219" s="13" t="str">
        <f>'1.1 Produksi Bersih Padi 2025'!Q221</f>
        <v/>
      </c>
      <c r="G219" s="13" t="str">
        <f>'1.2 Produksi Bersih Jagung 2025'!L221</f>
        <v/>
      </c>
      <c r="H219" s="13" t="str">
        <f>'1.3 Prod Bersih Ubi Kayu 2025'!K221</f>
        <v/>
      </c>
      <c r="I219" s="13" t="str">
        <f>'1.4 Prod Bersih Ubi Jalar 2025'!K221</f>
        <v/>
      </c>
      <c r="J219" s="13" t="str">
        <f>'1.5 Prod Bersih Sagu 2025'!K221</f>
        <v/>
      </c>
      <c r="K219" s="13" t="str">
        <f>'1.6 Prod Bersih Pisang 2025'!K221</f>
        <v/>
      </c>
      <c r="L219" s="15">
        <f t="shared" si="9"/>
        <v>0</v>
      </c>
      <c r="M219" s="14" t="str">
        <f>IF(D219="","",VLOOKUP(D219,'[1]0.1 Produksi Pangan &amp; Penduduk'!$D$5:$AU$704,44,0))</f>
        <v/>
      </c>
      <c r="N219" s="26" t="str">
        <f t="shared" si="10"/>
        <v/>
      </c>
      <c r="O219" s="16"/>
      <c r="P219" s="25" t="str">
        <f t="shared" si="11"/>
        <v/>
      </c>
      <c r="Q219" s="8"/>
      <c r="R219" s="11"/>
    </row>
    <row r="220" spans="1:18" ht="15" x14ac:dyDescent="0.25">
      <c r="A220" s="3" t="str">
        <f>IF('1.1 Produksi Bersih Padi 2025'!A222="","",'1.1 Produksi Bersih Padi 2025'!A222)</f>
        <v/>
      </c>
      <c r="B220" s="32" t="str">
        <f>IF('1.1 Produksi Bersih Padi 2025'!B222="","",'1.1 Produksi Bersih Padi 2025'!B222)</f>
        <v/>
      </c>
      <c r="C220" s="32" t="str">
        <f>IF('1.1 Produksi Bersih Padi 2025'!C222="","",'1.1 Produksi Bersih Padi 2025'!C222)</f>
        <v/>
      </c>
      <c r="D220" s="3" t="str">
        <f>IF('1.1 Produksi Bersih Padi 2025'!D222="","",'1.1 Produksi Bersih Padi 2025'!D222)</f>
        <v/>
      </c>
      <c r="E220" s="3" t="str">
        <f>IF('1.1 Produksi Bersih Padi 2025'!E222="","",'1.1 Produksi Bersih Padi 2025'!E222)</f>
        <v/>
      </c>
      <c r="F220" s="13" t="str">
        <f>'1.1 Produksi Bersih Padi 2025'!Q222</f>
        <v/>
      </c>
      <c r="G220" s="13" t="str">
        <f>'1.2 Produksi Bersih Jagung 2025'!L222</f>
        <v/>
      </c>
      <c r="H220" s="13" t="str">
        <f>'1.3 Prod Bersih Ubi Kayu 2025'!K222</f>
        <v/>
      </c>
      <c r="I220" s="13" t="str">
        <f>'1.4 Prod Bersih Ubi Jalar 2025'!K222</f>
        <v/>
      </c>
      <c r="J220" s="13" t="str">
        <f>'1.5 Prod Bersih Sagu 2025'!K222</f>
        <v/>
      </c>
      <c r="K220" s="13" t="str">
        <f>'1.6 Prod Bersih Pisang 2025'!K222</f>
        <v/>
      </c>
      <c r="L220" s="15">
        <f t="shared" si="9"/>
        <v>0</v>
      </c>
      <c r="M220" s="14" t="str">
        <f>IF(D220="","",VLOOKUP(D220,'[1]0.1 Produksi Pangan &amp; Penduduk'!$D$5:$AU$704,44,0))</f>
        <v/>
      </c>
      <c r="N220" s="26" t="str">
        <f t="shared" si="10"/>
        <v/>
      </c>
      <c r="O220" s="16"/>
      <c r="P220" s="25" t="str">
        <f t="shared" si="11"/>
        <v/>
      </c>
      <c r="Q220" s="8"/>
      <c r="R220" s="11"/>
    </row>
    <row r="221" spans="1:18" ht="15" x14ac:dyDescent="0.25">
      <c r="A221" s="3" t="str">
        <f>IF('1.1 Produksi Bersih Padi 2025'!A223="","",'1.1 Produksi Bersih Padi 2025'!A223)</f>
        <v/>
      </c>
      <c r="B221" s="32" t="str">
        <f>IF('1.1 Produksi Bersih Padi 2025'!B223="","",'1.1 Produksi Bersih Padi 2025'!B223)</f>
        <v/>
      </c>
      <c r="C221" s="32" t="str">
        <f>IF('1.1 Produksi Bersih Padi 2025'!C223="","",'1.1 Produksi Bersih Padi 2025'!C223)</f>
        <v/>
      </c>
      <c r="D221" s="3" t="str">
        <f>IF('1.1 Produksi Bersih Padi 2025'!D223="","",'1.1 Produksi Bersih Padi 2025'!D223)</f>
        <v/>
      </c>
      <c r="E221" s="3" t="str">
        <f>IF('1.1 Produksi Bersih Padi 2025'!E223="","",'1.1 Produksi Bersih Padi 2025'!E223)</f>
        <v/>
      </c>
      <c r="F221" s="13" t="str">
        <f>'1.1 Produksi Bersih Padi 2025'!Q223</f>
        <v/>
      </c>
      <c r="G221" s="13" t="str">
        <f>'1.2 Produksi Bersih Jagung 2025'!L223</f>
        <v/>
      </c>
      <c r="H221" s="13" t="str">
        <f>'1.3 Prod Bersih Ubi Kayu 2025'!K223</f>
        <v/>
      </c>
      <c r="I221" s="13" t="str">
        <f>'1.4 Prod Bersih Ubi Jalar 2025'!K223</f>
        <v/>
      </c>
      <c r="J221" s="13" t="str">
        <f>'1.5 Prod Bersih Sagu 2025'!K223</f>
        <v/>
      </c>
      <c r="K221" s="13" t="str">
        <f>'1.6 Prod Bersih Pisang 2025'!K223</f>
        <v/>
      </c>
      <c r="L221" s="15">
        <f t="shared" si="9"/>
        <v>0</v>
      </c>
      <c r="M221" s="14" t="str">
        <f>IF(D221="","",VLOOKUP(D221,'[1]0.1 Produksi Pangan &amp; Penduduk'!$D$5:$AU$704,44,0))</f>
        <v/>
      </c>
      <c r="N221" s="26" t="str">
        <f t="shared" si="10"/>
        <v/>
      </c>
      <c r="O221" s="16"/>
      <c r="P221" s="25" t="str">
        <f t="shared" si="11"/>
        <v/>
      </c>
      <c r="Q221" s="8"/>
      <c r="R221" s="11"/>
    </row>
    <row r="222" spans="1:18" ht="15" x14ac:dyDescent="0.25">
      <c r="A222" s="3" t="str">
        <f>IF('1.1 Produksi Bersih Padi 2025'!A224="","",'1.1 Produksi Bersih Padi 2025'!A224)</f>
        <v/>
      </c>
      <c r="B222" s="32" t="str">
        <f>IF('1.1 Produksi Bersih Padi 2025'!B224="","",'1.1 Produksi Bersih Padi 2025'!B224)</f>
        <v/>
      </c>
      <c r="C222" s="32" t="str">
        <f>IF('1.1 Produksi Bersih Padi 2025'!C224="","",'1.1 Produksi Bersih Padi 2025'!C224)</f>
        <v/>
      </c>
      <c r="D222" s="3" t="str">
        <f>IF('1.1 Produksi Bersih Padi 2025'!D224="","",'1.1 Produksi Bersih Padi 2025'!D224)</f>
        <v/>
      </c>
      <c r="E222" s="3" t="str">
        <f>IF('1.1 Produksi Bersih Padi 2025'!E224="","",'1.1 Produksi Bersih Padi 2025'!E224)</f>
        <v/>
      </c>
      <c r="F222" s="13" t="str">
        <f>'1.1 Produksi Bersih Padi 2025'!Q224</f>
        <v/>
      </c>
      <c r="G222" s="13" t="str">
        <f>'1.2 Produksi Bersih Jagung 2025'!L224</f>
        <v/>
      </c>
      <c r="H222" s="13" t="str">
        <f>'1.3 Prod Bersih Ubi Kayu 2025'!K224</f>
        <v/>
      </c>
      <c r="I222" s="13" t="str">
        <f>'1.4 Prod Bersih Ubi Jalar 2025'!K224</f>
        <v/>
      </c>
      <c r="J222" s="13" t="str">
        <f>'1.5 Prod Bersih Sagu 2025'!K224</f>
        <v/>
      </c>
      <c r="K222" s="13" t="str">
        <f>'1.6 Prod Bersih Pisang 2025'!K224</f>
        <v/>
      </c>
      <c r="L222" s="15">
        <f t="shared" si="9"/>
        <v>0</v>
      </c>
      <c r="M222" s="14" t="str">
        <f>IF(D222="","",VLOOKUP(D222,'[1]0.1 Produksi Pangan &amp; Penduduk'!$D$5:$AU$704,44,0))</f>
        <v/>
      </c>
      <c r="N222" s="26" t="str">
        <f t="shared" si="10"/>
        <v/>
      </c>
      <c r="O222" s="16"/>
      <c r="P222" s="25" t="str">
        <f t="shared" si="11"/>
        <v/>
      </c>
      <c r="Q222" s="8"/>
      <c r="R222" s="11"/>
    </row>
    <row r="223" spans="1:18" ht="15" x14ac:dyDescent="0.25">
      <c r="A223" s="3" t="str">
        <f>IF('1.1 Produksi Bersih Padi 2025'!A225="","",'1.1 Produksi Bersih Padi 2025'!A225)</f>
        <v/>
      </c>
      <c r="B223" s="32" t="str">
        <f>IF('1.1 Produksi Bersih Padi 2025'!B225="","",'1.1 Produksi Bersih Padi 2025'!B225)</f>
        <v/>
      </c>
      <c r="C223" s="32" t="str">
        <f>IF('1.1 Produksi Bersih Padi 2025'!C225="","",'1.1 Produksi Bersih Padi 2025'!C225)</f>
        <v/>
      </c>
      <c r="D223" s="3" t="str">
        <f>IF('1.1 Produksi Bersih Padi 2025'!D225="","",'1.1 Produksi Bersih Padi 2025'!D225)</f>
        <v/>
      </c>
      <c r="E223" s="3" t="str">
        <f>IF('1.1 Produksi Bersih Padi 2025'!E225="","",'1.1 Produksi Bersih Padi 2025'!E225)</f>
        <v/>
      </c>
      <c r="F223" s="13" t="str">
        <f>'1.1 Produksi Bersih Padi 2025'!Q225</f>
        <v/>
      </c>
      <c r="G223" s="13" t="str">
        <f>'1.2 Produksi Bersih Jagung 2025'!L225</f>
        <v/>
      </c>
      <c r="H223" s="13" t="str">
        <f>'1.3 Prod Bersih Ubi Kayu 2025'!K225</f>
        <v/>
      </c>
      <c r="I223" s="13" t="str">
        <f>'1.4 Prod Bersih Ubi Jalar 2025'!K225</f>
        <v/>
      </c>
      <c r="J223" s="13" t="str">
        <f>'1.5 Prod Bersih Sagu 2025'!K225</f>
        <v/>
      </c>
      <c r="K223" s="13" t="str">
        <f>'1.6 Prod Bersih Pisang 2025'!K225</f>
        <v/>
      </c>
      <c r="L223" s="15">
        <f t="shared" si="9"/>
        <v>0</v>
      </c>
      <c r="M223" s="14" t="str">
        <f>IF(D223="","",VLOOKUP(D223,'[1]0.1 Produksi Pangan &amp; Penduduk'!$D$5:$AU$704,44,0))</f>
        <v/>
      </c>
      <c r="N223" s="26" t="str">
        <f t="shared" si="10"/>
        <v/>
      </c>
      <c r="O223" s="16"/>
      <c r="P223" s="25" t="str">
        <f t="shared" si="11"/>
        <v/>
      </c>
      <c r="Q223" s="8"/>
      <c r="R223" s="11"/>
    </row>
    <row r="224" spans="1:18" ht="15" x14ac:dyDescent="0.25">
      <c r="A224" s="3" t="str">
        <f>IF('1.1 Produksi Bersih Padi 2025'!A226="","",'1.1 Produksi Bersih Padi 2025'!A226)</f>
        <v/>
      </c>
      <c r="B224" s="32" t="str">
        <f>IF('1.1 Produksi Bersih Padi 2025'!B226="","",'1.1 Produksi Bersih Padi 2025'!B226)</f>
        <v/>
      </c>
      <c r="C224" s="32" t="str">
        <f>IF('1.1 Produksi Bersih Padi 2025'!C226="","",'1.1 Produksi Bersih Padi 2025'!C226)</f>
        <v/>
      </c>
      <c r="D224" s="3" t="str">
        <f>IF('1.1 Produksi Bersih Padi 2025'!D226="","",'1.1 Produksi Bersih Padi 2025'!D226)</f>
        <v/>
      </c>
      <c r="E224" s="3" t="str">
        <f>IF('1.1 Produksi Bersih Padi 2025'!E226="","",'1.1 Produksi Bersih Padi 2025'!E226)</f>
        <v/>
      </c>
      <c r="F224" s="13" t="str">
        <f>'1.1 Produksi Bersih Padi 2025'!Q226</f>
        <v/>
      </c>
      <c r="G224" s="13" t="str">
        <f>'1.2 Produksi Bersih Jagung 2025'!L226</f>
        <v/>
      </c>
      <c r="H224" s="13" t="str">
        <f>'1.3 Prod Bersih Ubi Kayu 2025'!K226</f>
        <v/>
      </c>
      <c r="I224" s="13" t="str">
        <f>'1.4 Prod Bersih Ubi Jalar 2025'!K226</f>
        <v/>
      </c>
      <c r="J224" s="13" t="str">
        <f>'1.5 Prod Bersih Sagu 2025'!K226</f>
        <v/>
      </c>
      <c r="K224" s="13" t="str">
        <f>'1.6 Prod Bersih Pisang 2025'!K226</f>
        <v/>
      </c>
      <c r="L224" s="15">
        <f t="shared" si="9"/>
        <v>0</v>
      </c>
      <c r="M224" s="14" t="str">
        <f>IF(D224="","",VLOOKUP(D224,'[1]0.1 Produksi Pangan &amp; Penduduk'!$D$5:$AU$704,44,0))</f>
        <v/>
      </c>
      <c r="N224" s="26" t="str">
        <f t="shared" si="10"/>
        <v/>
      </c>
      <c r="O224" s="16"/>
      <c r="P224" s="25" t="str">
        <f t="shared" si="11"/>
        <v/>
      </c>
      <c r="Q224" s="8"/>
      <c r="R224" s="11"/>
    </row>
    <row r="225" spans="1:18" ht="15" x14ac:dyDescent="0.25">
      <c r="A225" s="3" t="str">
        <f>IF('1.1 Produksi Bersih Padi 2025'!A227="","",'1.1 Produksi Bersih Padi 2025'!A227)</f>
        <v/>
      </c>
      <c r="B225" s="32" t="str">
        <f>IF('1.1 Produksi Bersih Padi 2025'!B227="","",'1.1 Produksi Bersih Padi 2025'!B227)</f>
        <v/>
      </c>
      <c r="C225" s="32" t="str">
        <f>IF('1.1 Produksi Bersih Padi 2025'!C227="","",'1.1 Produksi Bersih Padi 2025'!C227)</f>
        <v/>
      </c>
      <c r="D225" s="3" t="str">
        <f>IF('1.1 Produksi Bersih Padi 2025'!D227="","",'1.1 Produksi Bersih Padi 2025'!D227)</f>
        <v/>
      </c>
      <c r="E225" s="3" t="str">
        <f>IF('1.1 Produksi Bersih Padi 2025'!E227="","",'1.1 Produksi Bersih Padi 2025'!E227)</f>
        <v/>
      </c>
      <c r="F225" s="13" t="str">
        <f>'1.1 Produksi Bersih Padi 2025'!Q227</f>
        <v/>
      </c>
      <c r="G225" s="13" t="str">
        <f>'1.2 Produksi Bersih Jagung 2025'!L227</f>
        <v/>
      </c>
      <c r="H225" s="13" t="str">
        <f>'1.3 Prod Bersih Ubi Kayu 2025'!K227</f>
        <v/>
      </c>
      <c r="I225" s="13" t="str">
        <f>'1.4 Prod Bersih Ubi Jalar 2025'!K227</f>
        <v/>
      </c>
      <c r="J225" s="13" t="str">
        <f>'1.5 Prod Bersih Sagu 2025'!K227</f>
        <v/>
      </c>
      <c r="K225" s="13" t="str">
        <f>'1.6 Prod Bersih Pisang 2025'!K227</f>
        <v/>
      </c>
      <c r="L225" s="15">
        <f t="shared" si="9"/>
        <v>0</v>
      </c>
      <c r="M225" s="14" t="str">
        <f>IF(D225="","",VLOOKUP(D225,'[1]0.1 Produksi Pangan &amp; Penduduk'!$D$5:$AU$704,44,0))</f>
        <v/>
      </c>
      <c r="N225" s="26" t="str">
        <f t="shared" si="10"/>
        <v/>
      </c>
      <c r="O225" s="16"/>
      <c r="P225" s="25" t="str">
        <f t="shared" si="11"/>
        <v/>
      </c>
      <c r="Q225" s="8"/>
      <c r="R225" s="11"/>
    </row>
    <row r="226" spans="1:18" ht="15" x14ac:dyDescent="0.25">
      <c r="A226" s="3" t="str">
        <f>IF('1.1 Produksi Bersih Padi 2025'!A228="","",'1.1 Produksi Bersih Padi 2025'!A228)</f>
        <v/>
      </c>
      <c r="B226" s="32" t="str">
        <f>IF('1.1 Produksi Bersih Padi 2025'!B228="","",'1.1 Produksi Bersih Padi 2025'!B228)</f>
        <v/>
      </c>
      <c r="C226" s="32" t="str">
        <f>IF('1.1 Produksi Bersih Padi 2025'!C228="","",'1.1 Produksi Bersih Padi 2025'!C228)</f>
        <v/>
      </c>
      <c r="D226" s="3" t="str">
        <f>IF('1.1 Produksi Bersih Padi 2025'!D228="","",'1.1 Produksi Bersih Padi 2025'!D228)</f>
        <v/>
      </c>
      <c r="E226" s="3" t="str">
        <f>IF('1.1 Produksi Bersih Padi 2025'!E228="","",'1.1 Produksi Bersih Padi 2025'!E228)</f>
        <v/>
      </c>
      <c r="F226" s="13" t="str">
        <f>'1.1 Produksi Bersih Padi 2025'!Q228</f>
        <v/>
      </c>
      <c r="G226" s="13" t="str">
        <f>'1.2 Produksi Bersih Jagung 2025'!L228</f>
        <v/>
      </c>
      <c r="H226" s="13" t="str">
        <f>'1.3 Prod Bersih Ubi Kayu 2025'!K228</f>
        <v/>
      </c>
      <c r="I226" s="13" t="str">
        <f>'1.4 Prod Bersih Ubi Jalar 2025'!K228</f>
        <v/>
      </c>
      <c r="J226" s="13" t="str">
        <f>'1.5 Prod Bersih Sagu 2025'!K228</f>
        <v/>
      </c>
      <c r="K226" s="13" t="str">
        <f>'1.6 Prod Bersih Pisang 2025'!K228</f>
        <v/>
      </c>
      <c r="L226" s="15">
        <f t="shared" si="9"/>
        <v>0</v>
      </c>
      <c r="M226" s="14" t="str">
        <f>IF(D226="","",VLOOKUP(D226,'[1]0.1 Produksi Pangan &amp; Penduduk'!$D$5:$AU$704,44,0))</f>
        <v/>
      </c>
      <c r="N226" s="26" t="str">
        <f t="shared" si="10"/>
        <v/>
      </c>
      <c r="O226" s="16"/>
      <c r="P226" s="25" t="str">
        <f t="shared" si="11"/>
        <v/>
      </c>
      <c r="Q226" s="8"/>
      <c r="R226" s="11"/>
    </row>
    <row r="227" spans="1:18" ht="15" x14ac:dyDescent="0.25">
      <c r="A227" s="3" t="str">
        <f>IF('1.1 Produksi Bersih Padi 2025'!A229="","",'1.1 Produksi Bersih Padi 2025'!A229)</f>
        <v/>
      </c>
      <c r="B227" s="32" t="str">
        <f>IF('1.1 Produksi Bersih Padi 2025'!B229="","",'1.1 Produksi Bersih Padi 2025'!B229)</f>
        <v/>
      </c>
      <c r="C227" s="32" t="str">
        <f>IF('1.1 Produksi Bersih Padi 2025'!C229="","",'1.1 Produksi Bersih Padi 2025'!C229)</f>
        <v/>
      </c>
      <c r="D227" s="3" t="str">
        <f>IF('1.1 Produksi Bersih Padi 2025'!D229="","",'1.1 Produksi Bersih Padi 2025'!D229)</f>
        <v/>
      </c>
      <c r="E227" s="3" t="str">
        <f>IF('1.1 Produksi Bersih Padi 2025'!E229="","",'1.1 Produksi Bersih Padi 2025'!E229)</f>
        <v/>
      </c>
      <c r="F227" s="13" t="str">
        <f>'1.1 Produksi Bersih Padi 2025'!Q229</f>
        <v/>
      </c>
      <c r="G227" s="13" t="str">
        <f>'1.2 Produksi Bersih Jagung 2025'!L229</f>
        <v/>
      </c>
      <c r="H227" s="13" t="str">
        <f>'1.3 Prod Bersih Ubi Kayu 2025'!K229</f>
        <v/>
      </c>
      <c r="I227" s="13" t="str">
        <f>'1.4 Prod Bersih Ubi Jalar 2025'!K229</f>
        <v/>
      </c>
      <c r="J227" s="13" t="str">
        <f>'1.5 Prod Bersih Sagu 2025'!K229</f>
        <v/>
      </c>
      <c r="K227" s="13" t="str">
        <f>'1.6 Prod Bersih Pisang 2025'!K229</f>
        <v/>
      </c>
      <c r="L227" s="15">
        <f t="shared" si="9"/>
        <v>0</v>
      </c>
      <c r="M227" s="14" t="str">
        <f>IF(D227="","",VLOOKUP(D227,'[1]0.1 Produksi Pangan &amp; Penduduk'!$D$5:$AU$704,44,0))</f>
        <v/>
      </c>
      <c r="N227" s="26" t="str">
        <f t="shared" si="10"/>
        <v/>
      </c>
      <c r="O227" s="16"/>
      <c r="P227" s="25" t="str">
        <f t="shared" si="11"/>
        <v/>
      </c>
      <c r="Q227" s="8"/>
      <c r="R227" s="11"/>
    </row>
    <row r="228" spans="1:18" ht="15" x14ac:dyDescent="0.25">
      <c r="A228" s="3" t="str">
        <f>IF('1.1 Produksi Bersih Padi 2025'!A230="","",'1.1 Produksi Bersih Padi 2025'!A230)</f>
        <v/>
      </c>
      <c r="B228" s="32" t="str">
        <f>IF('1.1 Produksi Bersih Padi 2025'!B230="","",'1.1 Produksi Bersih Padi 2025'!B230)</f>
        <v/>
      </c>
      <c r="C228" s="32" t="str">
        <f>IF('1.1 Produksi Bersih Padi 2025'!C230="","",'1.1 Produksi Bersih Padi 2025'!C230)</f>
        <v/>
      </c>
      <c r="D228" s="3" t="str">
        <f>IF('1.1 Produksi Bersih Padi 2025'!D230="","",'1.1 Produksi Bersih Padi 2025'!D230)</f>
        <v/>
      </c>
      <c r="E228" s="3" t="str">
        <f>IF('1.1 Produksi Bersih Padi 2025'!E230="","",'1.1 Produksi Bersih Padi 2025'!E230)</f>
        <v/>
      </c>
      <c r="F228" s="13" t="str">
        <f>'1.1 Produksi Bersih Padi 2025'!Q230</f>
        <v/>
      </c>
      <c r="G228" s="13" t="str">
        <f>'1.2 Produksi Bersih Jagung 2025'!L230</f>
        <v/>
      </c>
      <c r="H228" s="13" t="str">
        <f>'1.3 Prod Bersih Ubi Kayu 2025'!K230</f>
        <v/>
      </c>
      <c r="I228" s="13" t="str">
        <f>'1.4 Prod Bersih Ubi Jalar 2025'!K230</f>
        <v/>
      </c>
      <c r="J228" s="13" t="str">
        <f>'1.5 Prod Bersih Sagu 2025'!K230</f>
        <v/>
      </c>
      <c r="K228" s="13" t="str">
        <f>'1.6 Prod Bersih Pisang 2025'!K230</f>
        <v/>
      </c>
      <c r="L228" s="15">
        <f t="shared" si="9"/>
        <v>0</v>
      </c>
      <c r="M228" s="14" t="str">
        <f>IF(D228="","",VLOOKUP(D228,'[1]0.1 Produksi Pangan &amp; Penduduk'!$D$5:$AU$704,44,0))</f>
        <v/>
      </c>
      <c r="N228" s="26" t="str">
        <f t="shared" si="10"/>
        <v/>
      </c>
      <c r="O228" s="16"/>
      <c r="P228" s="25" t="str">
        <f t="shared" si="11"/>
        <v/>
      </c>
      <c r="Q228" s="8"/>
      <c r="R228" s="11"/>
    </row>
    <row r="229" spans="1:18" ht="15" x14ac:dyDescent="0.25">
      <c r="A229" s="3" t="str">
        <f>IF('1.1 Produksi Bersih Padi 2025'!A231="","",'1.1 Produksi Bersih Padi 2025'!A231)</f>
        <v/>
      </c>
      <c r="B229" s="32" t="str">
        <f>IF('1.1 Produksi Bersih Padi 2025'!B231="","",'1.1 Produksi Bersih Padi 2025'!B231)</f>
        <v/>
      </c>
      <c r="C229" s="32" t="str">
        <f>IF('1.1 Produksi Bersih Padi 2025'!C231="","",'1.1 Produksi Bersih Padi 2025'!C231)</f>
        <v/>
      </c>
      <c r="D229" s="3" t="str">
        <f>IF('1.1 Produksi Bersih Padi 2025'!D231="","",'1.1 Produksi Bersih Padi 2025'!D231)</f>
        <v/>
      </c>
      <c r="E229" s="3" t="str">
        <f>IF('1.1 Produksi Bersih Padi 2025'!E231="","",'1.1 Produksi Bersih Padi 2025'!E231)</f>
        <v/>
      </c>
      <c r="F229" s="13" t="str">
        <f>'1.1 Produksi Bersih Padi 2025'!Q231</f>
        <v/>
      </c>
      <c r="G229" s="13" t="str">
        <f>'1.2 Produksi Bersih Jagung 2025'!L231</f>
        <v/>
      </c>
      <c r="H229" s="13" t="str">
        <f>'1.3 Prod Bersih Ubi Kayu 2025'!K231</f>
        <v/>
      </c>
      <c r="I229" s="13" t="str">
        <f>'1.4 Prod Bersih Ubi Jalar 2025'!K231</f>
        <v/>
      </c>
      <c r="J229" s="13" t="str">
        <f>'1.5 Prod Bersih Sagu 2025'!K231</f>
        <v/>
      </c>
      <c r="K229" s="13" t="str">
        <f>'1.6 Prod Bersih Pisang 2025'!K231</f>
        <v/>
      </c>
      <c r="L229" s="15">
        <f t="shared" si="9"/>
        <v>0</v>
      </c>
      <c r="M229" s="14" t="str">
        <f>IF(D229="","",VLOOKUP(D229,'[1]0.1 Produksi Pangan &amp; Penduduk'!$D$5:$AU$704,44,0))</f>
        <v/>
      </c>
      <c r="N229" s="26" t="str">
        <f t="shared" si="10"/>
        <v/>
      </c>
      <c r="O229" s="16"/>
      <c r="P229" s="25" t="str">
        <f t="shared" si="11"/>
        <v/>
      </c>
      <c r="Q229" s="8"/>
      <c r="R229" s="11"/>
    </row>
    <row r="230" spans="1:18" ht="15" x14ac:dyDescent="0.25">
      <c r="A230" s="3" t="str">
        <f>IF('1.1 Produksi Bersih Padi 2025'!A232="","",'1.1 Produksi Bersih Padi 2025'!A232)</f>
        <v/>
      </c>
      <c r="B230" s="32" t="str">
        <f>IF('1.1 Produksi Bersih Padi 2025'!B232="","",'1.1 Produksi Bersih Padi 2025'!B232)</f>
        <v/>
      </c>
      <c r="C230" s="32" t="str">
        <f>IF('1.1 Produksi Bersih Padi 2025'!C232="","",'1.1 Produksi Bersih Padi 2025'!C232)</f>
        <v/>
      </c>
      <c r="D230" s="3" t="str">
        <f>IF('1.1 Produksi Bersih Padi 2025'!D232="","",'1.1 Produksi Bersih Padi 2025'!D232)</f>
        <v/>
      </c>
      <c r="E230" s="3" t="str">
        <f>IF('1.1 Produksi Bersih Padi 2025'!E232="","",'1.1 Produksi Bersih Padi 2025'!E232)</f>
        <v/>
      </c>
      <c r="F230" s="13" t="str">
        <f>'1.1 Produksi Bersih Padi 2025'!Q232</f>
        <v/>
      </c>
      <c r="G230" s="13" t="str">
        <f>'1.2 Produksi Bersih Jagung 2025'!L232</f>
        <v/>
      </c>
      <c r="H230" s="13" t="str">
        <f>'1.3 Prod Bersih Ubi Kayu 2025'!K232</f>
        <v/>
      </c>
      <c r="I230" s="13" t="str">
        <f>'1.4 Prod Bersih Ubi Jalar 2025'!K232</f>
        <v/>
      </c>
      <c r="J230" s="13" t="str">
        <f>'1.5 Prod Bersih Sagu 2025'!K232</f>
        <v/>
      </c>
      <c r="K230" s="13" t="str">
        <f>'1.6 Prod Bersih Pisang 2025'!K232</f>
        <v/>
      </c>
      <c r="L230" s="15">
        <f t="shared" si="9"/>
        <v>0</v>
      </c>
      <c r="M230" s="14" t="str">
        <f>IF(D230="","",VLOOKUP(D230,'[1]0.1 Produksi Pangan &amp; Penduduk'!$D$5:$AU$704,44,0))</f>
        <v/>
      </c>
      <c r="N230" s="26" t="str">
        <f t="shared" si="10"/>
        <v/>
      </c>
      <c r="O230" s="16"/>
      <c r="P230" s="25" t="str">
        <f t="shared" si="11"/>
        <v/>
      </c>
      <c r="Q230" s="8"/>
      <c r="R230" s="11"/>
    </row>
    <row r="231" spans="1:18" ht="15" x14ac:dyDescent="0.25">
      <c r="A231" s="3" t="str">
        <f>IF('1.1 Produksi Bersih Padi 2025'!A233="","",'1.1 Produksi Bersih Padi 2025'!A233)</f>
        <v/>
      </c>
      <c r="B231" s="32" t="str">
        <f>IF('1.1 Produksi Bersih Padi 2025'!B233="","",'1.1 Produksi Bersih Padi 2025'!B233)</f>
        <v/>
      </c>
      <c r="C231" s="32" t="str">
        <f>IF('1.1 Produksi Bersih Padi 2025'!C233="","",'1.1 Produksi Bersih Padi 2025'!C233)</f>
        <v/>
      </c>
      <c r="D231" s="3" t="str">
        <f>IF('1.1 Produksi Bersih Padi 2025'!D233="","",'1.1 Produksi Bersih Padi 2025'!D233)</f>
        <v/>
      </c>
      <c r="E231" s="3" t="str">
        <f>IF('1.1 Produksi Bersih Padi 2025'!E233="","",'1.1 Produksi Bersih Padi 2025'!E233)</f>
        <v/>
      </c>
      <c r="F231" s="13" t="str">
        <f>'1.1 Produksi Bersih Padi 2025'!Q233</f>
        <v/>
      </c>
      <c r="G231" s="13" t="str">
        <f>'1.2 Produksi Bersih Jagung 2025'!L233</f>
        <v/>
      </c>
      <c r="H231" s="13" t="str">
        <f>'1.3 Prod Bersih Ubi Kayu 2025'!K233</f>
        <v/>
      </c>
      <c r="I231" s="13" t="str">
        <f>'1.4 Prod Bersih Ubi Jalar 2025'!K233</f>
        <v/>
      </c>
      <c r="J231" s="13" t="str">
        <f>'1.5 Prod Bersih Sagu 2025'!K233</f>
        <v/>
      </c>
      <c r="K231" s="13" t="str">
        <f>'1.6 Prod Bersih Pisang 2025'!K233</f>
        <v/>
      </c>
      <c r="L231" s="15">
        <f t="shared" si="9"/>
        <v>0</v>
      </c>
      <c r="M231" s="14" t="str">
        <f>IF(D231="","",VLOOKUP(D231,'[1]0.1 Produksi Pangan &amp; Penduduk'!$D$5:$AU$704,44,0))</f>
        <v/>
      </c>
      <c r="N231" s="26" t="str">
        <f t="shared" si="10"/>
        <v/>
      </c>
      <c r="O231" s="16"/>
      <c r="P231" s="25" t="str">
        <f t="shared" si="11"/>
        <v/>
      </c>
      <c r="Q231" s="8"/>
      <c r="R231" s="11"/>
    </row>
    <row r="232" spans="1:18" ht="15" x14ac:dyDescent="0.25">
      <c r="A232" s="3" t="str">
        <f>IF('1.1 Produksi Bersih Padi 2025'!A234="","",'1.1 Produksi Bersih Padi 2025'!A234)</f>
        <v/>
      </c>
      <c r="B232" s="32" t="str">
        <f>IF('1.1 Produksi Bersih Padi 2025'!B234="","",'1.1 Produksi Bersih Padi 2025'!B234)</f>
        <v/>
      </c>
      <c r="C232" s="32" t="str">
        <f>IF('1.1 Produksi Bersih Padi 2025'!C234="","",'1.1 Produksi Bersih Padi 2025'!C234)</f>
        <v/>
      </c>
      <c r="D232" s="3" t="str">
        <f>IF('1.1 Produksi Bersih Padi 2025'!D234="","",'1.1 Produksi Bersih Padi 2025'!D234)</f>
        <v/>
      </c>
      <c r="E232" s="3" t="str">
        <f>IF('1.1 Produksi Bersih Padi 2025'!E234="","",'1.1 Produksi Bersih Padi 2025'!E234)</f>
        <v/>
      </c>
      <c r="F232" s="13" t="str">
        <f>'1.1 Produksi Bersih Padi 2025'!Q234</f>
        <v/>
      </c>
      <c r="G232" s="13" t="str">
        <f>'1.2 Produksi Bersih Jagung 2025'!L234</f>
        <v/>
      </c>
      <c r="H232" s="13" t="str">
        <f>'1.3 Prod Bersih Ubi Kayu 2025'!K234</f>
        <v/>
      </c>
      <c r="I232" s="13" t="str">
        <f>'1.4 Prod Bersih Ubi Jalar 2025'!K234</f>
        <v/>
      </c>
      <c r="J232" s="13" t="str">
        <f>'1.5 Prod Bersih Sagu 2025'!K234</f>
        <v/>
      </c>
      <c r="K232" s="13" t="str">
        <f>'1.6 Prod Bersih Pisang 2025'!K234</f>
        <v/>
      </c>
      <c r="L232" s="15">
        <f t="shared" si="9"/>
        <v>0</v>
      </c>
      <c r="M232" s="14" t="str">
        <f>IF(D232="","",VLOOKUP(D232,'[1]0.1 Produksi Pangan &amp; Penduduk'!$D$5:$AU$704,44,0))</f>
        <v/>
      </c>
      <c r="N232" s="26" t="str">
        <f t="shared" si="10"/>
        <v/>
      </c>
      <c r="O232" s="16"/>
      <c r="P232" s="25" t="str">
        <f t="shared" si="11"/>
        <v/>
      </c>
      <c r="Q232" s="8"/>
      <c r="R232" s="11"/>
    </row>
    <row r="233" spans="1:18" ht="15" x14ac:dyDescent="0.25">
      <c r="A233" s="3" t="str">
        <f>IF('1.1 Produksi Bersih Padi 2025'!A235="","",'1.1 Produksi Bersih Padi 2025'!A235)</f>
        <v/>
      </c>
      <c r="B233" s="32" t="str">
        <f>IF('1.1 Produksi Bersih Padi 2025'!B235="","",'1.1 Produksi Bersih Padi 2025'!B235)</f>
        <v/>
      </c>
      <c r="C233" s="32" t="str">
        <f>IF('1.1 Produksi Bersih Padi 2025'!C235="","",'1.1 Produksi Bersih Padi 2025'!C235)</f>
        <v/>
      </c>
      <c r="D233" s="3" t="str">
        <f>IF('1.1 Produksi Bersih Padi 2025'!D235="","",'1.1 Produksi Bersih Padi 2025'!D235)</f>
        <v/>
      </c>
      <c r="E233" s="3" t="str">
        <f>IF('1.1 Produksi Bersih Padi 2025'!E235="","",'1.1 Produksi Bersih Padi 2025'!E235)</f>
        <v/>
      </c>
      <c r="F233" s="13" t="str">
        <f>'1.1 Produksi Bersih Padi 2025'!Q235</f>
        <v/>
      </c>
      <c r="G233" s="13" t="str">
        <f>'1.2 Produksi Bersih Jagung 2025'!L235</f>
        <v/>
      </c>
      <c r="H233" s="13" t="str">
        <f>'1.3 Prod Bersih Ubi Kayu 2025'!K235</f>
        <v/>
      </c>
      <c r="I233" s="13" t="str">
        <f>'1.4 Prod Bersih Ubi Jalar 2025'!K235</f>
        <v/>
      </c>
      <c r="J233" s="13" t="str">
        <f>'1.5 Prod Bersih Sagu 2025'!K235</f>
        <v/>
      </c>
      <c r="K233" s="13" t="str">
        <f>'1.6 Prod Bersih Pisang 2025'!K235</f>
        <v/>
      </c>
      <c r="L233" s="15">
        <f t="shared" si="9"/>
        <v>0</v>
      </c>
      <c r="M233" s="14" t="str">
        <f>IF(D233="","",VLOOKUP(D233,'[1]0.1 Produksi Pangan &amp; Penduduk'!$D$5:$AU$704,44,0))</f>
        <v/>
      </c>
      <c r="N233" s="26" t="str">
        <f t="shared" si="10"/>
        <v/>
      </c>
      <c r="O233" s="16"/>
      <c r="P233" s="25" t="str">
        <f t="shared" si="11"/>
        <v/>
      </c>
      <c r="Q233" s="8"/>
      <c r="R233" s="11"/>
    </row>
    <row r="234" spans="1:18" ht="15" x14ac:dyDescent="0.25">
      <c r="A234" s="3" t="str">
        <f>IF('1.1 Produksi Bersih Padi 2025'!A236="","",'1.1 Produksi Bersih Padi 2025'!A236)</f>
        <v/>
      </c>
      <c r="B234" s="32" t="str">
        <f>IF('1.1 Produksi Bersih Padi 2025'!B236="","",'1.1 Produksi Bersih Padi 2025'!B236)</f>
        <v/>
      </c>
      <c r="C234" s="32" t="str">
        <f>IF('1.1 Produksi Bersih Padi 2025'!C236="","",'1.1 Produksi Bersih Padi 2025'!C236)</f>
        <v/>
      </c>
      <c r="D234" s="3" t="str">
        <f>IF('1.1 Produksi Bersih Padi 2025'!D236="","",'1.1 Produksi Bersih Padi 2025'!D236)</f>
        <v/>
      </c>
      <c r="E234" s="3" t="str">
        <f>IF('1.1 Produksi Bersih Padi 2025'!E236="","",'1.1 Produksi Bersih Padi 2025'!E236)</f>
        <v/>
      </c>
      <c r="F234" s="13" t="str">
        <f>'1.1 Produksi Bersih Padi 2025'!Q236</f>
        <v/>
      </c>
      <c r="G234" s="13" t="str">
        <f>'1.2 Produksi Bersih Jagung 2025'!L236</f>
        <v/>
      </c>
      <c r="H234" s="13" t="str">
        <f>'1.3 Prod Bersih Ubi Kayu 2025'!K236</f>
        <v/>
      </c>
      <c r="I234" s="13" t="str">
        <f>'1.4 Prod Bersih Ubi Jalar 2025'!K236</f>
        <v/>
      </c>
      <c r="J234" s="13" t="str">
        <f>'1.5 Prod Bersih Sagu 2025'!K236</f>
        <v/>
      </c>
      <c r="K234" s="13" t="str">
        <f>'1.6 Prod Bersih Pisang 2025'!K236</f>
        <v/>
      </c>
      <c r="L234" s="15">
        <f t="shared" si="9"/>
        <v>0</v>
      </c>
      <c r="M234" s="14" t="str">
        <f>IF(D234="","",VLOOKUP(D234,'[1]0.1 Produksi Pangan &amp; Penduduk'!$D$5:$AU$704,44,0))</f>
        <v/>
      </c>
      <c r="N234" s="26" t="str">
        <f t="shared" si="10"/>
        <v/>
      </c>
      <c r="O234" s="16"/>
      <c r="P234" s="25" t="str">
        <f t="shared" si="11"/>
        <v/>
      </c>
      <c r="Q234" s="8"/>
      <c r="R234" s="11"/>
    </row>
    <row r="235" spans="1:18" ht="15" x14ac:dyDescent="0.25">
      <c r="A235" s="3" t="str">
        <f>IF('1.1 Produksi Bersih Padi 2025'!A237="","",'1.1 Produksi Bersih Padi 2025'!A237)</f>
        <v/>
      </c>
      <c r="B235" s="32" t="str">
        <f>IF('1.1 Produksi Bersih Padi 2025'!B237="","",'1.1 Produksi Bersih Padi 2025'!B237)</f>
        <v/>
      </c>
      <c r="C235" s="32" t="str">
        <f>IF('1.1 Produksi Bersih Padi 2025'!C237="","",'1.1 Produksi Bersih Padi 2025'!C237)</f>
        <v/>
      </c>
      <c r="D235" s="3" t="str">
        <f>IF('1.1 Produksi Bersih Padi 2025'!D237="","",'1.1 Produksi Bersih Padi 2025'!D237)</f>
        <v/>
      </c>
      <c r="E235" s="3" t="str">
        <f>IF('1.1 Produksi Bersih Padi 2025'!E237="","",'1.1 Produksi Bersih Padi 2025'!E237)</f>
        <v/>
      </c>
      <c r="F235" s="13" t="str">
        <f>'1.1 Produksi Bersih Padi 2025'!Q237</f>
        <v/>
      </c>
      <c r="G235" s="13" t="str">
        <f>'1.2 Produksi Bersih Jagung 2025'!L237</f>
        <v/>
      </c>
      <c r="H235" s="13" t="str">
        <f>'1.3 Prod Bersih Ubi Kayu 2025'!K237</f>
        <v/>
      </c>
      <c r="I235" s="13" t="str">
        <f>'1.4 Prod Bersih Ubi Jalar 2025'!K237</f>
        <v/>
      </c>
      <c r="J235" s="13" t="str">
        <f>'1.5 Prod Bersih Sagu 2025'!K237</f>
        <v/>
      </c>
      <c r="K235" s="13" t="str">
        <f>'1.6 Prod Bersih Pisang 2025'!K237</f>
        <v/>
      </c>
      <c r="L235" s="15">
        <f t="shared" si="9"/>
        <v>0</v>
      </c>
      <c r="M235" s="14" t="str">
        <f>IF(D235="","",VLOOKUP(D235,'[1]0.1 Produksi Pangan &amp; Penduduk'!$D$5:$AU$704,44,0))</f>
        <v/>
      </c>
      <c r="N235" s="26" t="str">
        <f t="shared" si="10"/>
        <v/>
      </c>
      <c r="O235" s="16"/>
      <c r="P235" s="25" t="str">
        <f t="shared" si="11"/>
        <v/>
      </c>
      <c r="Q235" s="8"/>
      <c r="R235" s="11"/>
    </row>
    <row r="236" spans="1:18" ht="15" x14ac:dyDescent="0.25">
      <c r="A236" s="3" t="str">
        <f>IF('1.1 Produksi Bersih Padi 2025'!A238="","",'1.1 Produksi Bersih Padi 2025'!A238)</f>
        <v/>
      </c>
      <c r="B236" s="32" t="str">
        <f>IF('1.1 Produksi Bersih Padi 2025'!B238="","",'1.1 Produksi Bersih Padi 2025'!B238)</f>
        <v/>
      </c>
      <c r="C236" s="32" t="str">
        <f>IF('1.1 Produksi Bersih Padi 2025'!C238="","",'1.1 Produksi Bersih Padi 2025'!C238)</f>
        <v/>
      </c>
      <c r="D236" s="3" t="str">
        <f>IF('1.1 Produksi Bersih Padi 2025'!D238="","",'1.1 Produksi Bersih Padi 2025'!D238)</f>
        <v/>
      </c>
      <c r="E236" s="3" t="str">
        <f>IF('1.1 Produksi Bersih Padi 2025'!E238="","",'1.1 Produksi Bersih Padi 2025'!E238)</f>
        <v/>
      </c>
      <c r="F236" s="13" t="str">
        <f>'1.1 Produksi Bersih Padi 2025'!Q238</f>
        <v/>
      </c>
      <c r="G236" s="13" t="str">
        <f>'1.2 Produksi Bersih Jagung 2025'!L238</f>
        <v/>
      </c>
      <c r="H236" s="13" t="str">
        <f>'1.3 Prod Bersih Ubi Kayu 2025'!K238</f>
        <v/>
      </c>
      <c r="I236" s="13" t="str">
        <f>'1.4 Prod Bersih Ubi Jalar 2025'!K238</f>
        <v/>
      </c>
      <c r="J236" s="13" t="str">
        <f>'1.5 Prod Bersih Sagu 2025'!K238</f>
        <v/>
      </c>
      <c r="K236" s="13" t="str">
        <f>'1.6 Prod Bersih Pisang 2025'!K238</f>
        <v/>
      </c>
      <c r="L236" s="15">
        <f t="shared" si="9"/>
        <v>0</v>
      </c>
      <c r="M236" s="14" t="str">
        <f>IF(D236="","",VLOOKUP(D236,'[1]0.1 Produksi Pangan &amp; Penduduk'!$D$5:$AU$704,44,0))</f>
        <v/>
      </c>
      <c r="N236" s="26" t="str">
        <f t="shared" si="10"/>
        <v/>
      </c>
      <c r="O236" s="16"/>
      <c r="P236" s="25" t="str">
        <f t="shared" si="11"/>
        <v/>
      </c>
      <c r="Q236" s="8"/>
      <c r="R236" s="11"/>
    </row>
    <row r="237" spans="1:18" ht="15" x14ac:dyDescent="0.25">
      <c r="A237" s="3" t="str">
        <f>IF('1.1 Produksi Bersih Padi 2025'!A239="","",'1.1 Produksi Bersih Padi 2025'!A239)</f>
        <v/>
      </c>
      <c r="B237" s="32" t="str">
        <f>IF('1.1 Produksi Bersih Padi 2025'!B239="","",'1.1 Produksi Bersih Padi 2025'!B239)</f>
        <v/>
      </c>
      <c r="C237" s="32" t="str">
        <f>IF('1.1 Produksi Bersih Padi 2025'!C239="","",'1.1 Produksi Bersih Padi 2025'!C239)</f>
        <v/>
      </c>
      <c r="D237" s="3" t="str">
        <f>IF('1.1 Produksi Bersih Padi 2025'!D239="","",'1.1 Produksi Bersih Padi 2025'!D239)</f>
        <v/>
      </c>
      <c r="E237" s="3" t="str">
        <f>IF('1.1 Produksi Bersih Padi 2025'!E239="","",'1.1 Produksi Bersih Padi 2025'!E239)</f>
        <v/>
      </c>
      <c r="F237" s="13" t="str">
        <f>'1.1 Produksi Bersih Padi 2025'!Q239</f>
        <v/>
      </c>
      <c r="G237" s="13" t="str">
        <f>'1.2 Produksi Bersih Jagung 2025'!L239</f>
        <v/>
      </c>
      <c r="H237" s="13" t="str">
        <f>'1.3 Prod Bersih Ubi Kayu 2025'!K239</f>
        <v/>
      </c>
      <c r="I237" s="13" t="str">
        <f>'1.4 Prod Bersih Ubi Jalar 2025'!K239</f>
        <v/>
      </c>
      <c r="J237" s="13" t="str">
        <f>'1.5 Prod Bersih Sagu 2025'!K239</f>
        <v/>
      </c>
      <c r="K237" s="13" t="str">
        <f>'1.6 Prod Bersih Pisang 2025'!K239</f>
        <v/>
      </c>
      <c r="L237" s="15">
        <f t="shared" si="9"/>
        <v>0</v>
      </c>
      <c r="M237" s="14" t="str">
        <f>IF(D237="","",VLOOKUP(D237,'[1]0.1 Produksi Pangan &amp; Penduduk'!$D$5:$AU$704,44,0))</f>
        <v/>
      </c>
      <c r="N237" s="26" t="str">
        <f t="shared" si="10"/>
        <v/>
      </c>
      <c r="O237" s="16"/>
      <c r="P237" s="25" t="str">
        <f t="shared" si="11"/>
        <v/>
      </c>
      <c r="Q237" s="8"/>
      <c r="R237" s="11"/>
    </row>
    <row r="238" spans="1:18" ht="15" x14ac:dyDescent="0.25">
      <c r="A238" s="3" t="str">
        <f>IF('1.1 Produksi Bersih Padi 2025'!A240="","",'1.1 Produksi Bersih Padi 2025'!A240)</f>
        <v/>
      </c>
      <c r="B238" s="32" t="str">
        <f>IF('1.1 Produksi Bersih Padi 2025'!B240="","",'1.1 Produksi Bersih Padi 2025'!B240)</f>
        <v/>
      </c>
      <c r="C238" s="32" t="str">
        <f>IF('1.1 Produksi Bersih Padi 2025'!C240="","",'1.1 Produksi Bersih Padi 2025'!C240)</f>
        <v/>
      </c>
      <c r="D238" s="3" t="str">
        <f>IF('1.1 Produksi Bersih Padi 2025'!D240="","",'1.1 Produksi Bersih Padi 2025'!D240)</f>
        <v/>
      </c>
      <c r="E238" s="3" t="str">
        <f>IF('1.1 Produksi Bersih Padi 2025'!E240="","",'1.1 Produksi Bersih Padi 2025'!E240)</f>
        <v/>
      </c>
      <c r="F238" s="13" t="str">
        <f>'1.1 Produksi Bersih Padi 2025'!Q240</f>
        <v/>
      </c>
      <c r="G238" s="13" t="str">
        <f>'1.2 Produksi Bersih Jagung 2025'!L240</f>
        <v/>
      </c>
      <c r="H238" s="13" t="str">
        <f>'1.3 Prod Bersih Ubi Kayu 2025'!K240</f>
        <v/>
      </c>
      <c r="I238" s="13" t="str">
        <f>'1.4 Prod Bersih Ubi Jalar 2025'!K240</f>
        <v/>
      </c>
      <c r="J238" s="13" t="str">
        <f>'1.5 Prod Bersih Sagu 2025'!K240</f>
        <v/>
      </c>
      <c r="K238" s="13" t="str">
        <f>'1.6 Prod Bersih Pisang 2025'!K240</f>
        <v/>
      </c>
      <c r="L238" s="15">
        <f t="shared" si="9"/>
        <v>0</v>
      </c>
      <c r="M238" s="14" t="str">
        <f>IF(D238="","",VLOOKUP(D238,'[1]0.1 Produksi Pangan &amp; Penduduk'!$D$5:$AU$704,44,0))</f>
        <v/>
      </c>
      <c r="N238" s="26" t="str">
        <f t="shared" si="10"/>
        <v/>
      </c>
      <c r="O238" s="16"/>
      <c r="P238" s="25" t="str">
        <f t="shared" si="11"/>
        <v/>
      </c>
      <c r="Q238" s="8"/>
      <c r="R238" s="11"/>
    </row>
    <row r="239" spans="1:18" ht="15" x14ac:dyDescent="0.25">
      <c r="A239" s="3" t="str">
        <f>IF('1.1 Produksi Bersih Padi 2025'!A241="","",'1.1 Produksi Bersih Padi 2025'!A241)</f>
        <v/>
      </c>
      <c r="B239" s="32" t="str">
        <f>IF('1.1 Produksi Bersih Padi 2025'!B241="","",'1.1 Produksi Bersih Padi 2025'!B241)</f>
        <v/>
      </c>
      <c r="C239" s="32" t="str">
        <f>IF('1.1 Produksi Bersih Padi 2025'!C241="","",'1.1 Produksi Bersih Padi 2025'!C241)</f>
        <v/>
      </c>
      <c r="D239" s="3" t="str">
        <f>IF('1.1 Produksi Bersih Padi 2025'!D241="","",'1.1 Produksi Bersih Padi 2025'!D241)</f>
        <v/>
      </c>
      <c r="E239" s="3" t="str">
        <f>IF('1.1 Produksi Bersih Padi 2025'!E241="","",'1.1 Produksi Bersih Padi 2025'!E241)</f>
        <v/>
      </c>
      <c r="F239" s="13" t="str">
        <f>'1.1 Produksi Bersih Padi 2025'!Q241</f>
        <v/>
      </c>
      <c r="G239" s="13" t="str">
        <f>'1.2 Produksi Bersih Jagung 2025'!L241</f>
        <v/>
      </c>
      <c r="H239" s="13" t="str">
        <f>'1.3 Prod Bersih Ubi Kayu 2025'!K241</f>
        <v/>
      </c>
      <c r="I239" s="13" t="str">
        <f>'1.4 Prod Bersih Ubi Jalar 2025'!K241</f>
        <v/>
      </c>
      <c r="J239" s="13" t="str">
        <f>'1.5 Prod Bersih Sagu 2025'!K241</f>
        <v/>
      </c>
      <c r="K239" s="13" t="str">
        <f>'1.6 Prod Bersih Pisang 2025'!K241</f>
        <v/>
      </c>
      <c r="L239" s="15">
        <f t="shared" si="9"/>
        <v>0</v>
      </c>
      <c r="M239" s="14" t="str">
        <f>IF(D239="","",VLOOKUP(D239,'[1]0.1 Produksi Pangan &amp; Penduduk'!$D$5:$AU$704,44,0))</f>
        <v/>
      </c>
      <c r="N239" s="26" t="str">
        <f t="shared" si="10"/>
        <v/>
      </c>
      <c r="O239" s="16"/>
      <c r="P239" s="25" t="str">
        <f t="shared" si="11"/>
        <v/>
      </c>
      <c r="Q239" s="8"/>
      <c r="R239" s="11"/>
    </row>
    <row r="240" spans="1:18" ht="15" x14ac:dyDescent="0.25">
      <c r="A240" s="3" t="str">
        <f>IF('1.1 Produksi Bersih Padi 2025'!A242="","",'1.1 Produksi Bersih Padi 2025'!A242)</f>
        <v/>
      </c>
      <c r="B240" s="32" t="str">
        <f>IF('1.1 Produksi Bersih Padi 2025'!B242="","",'1.1 Produksi Bersih Padi 2025'!B242)</f>
        <v/>
      </c>
      <c r="C240" s="32" t="str">
        <f>IF('1.1 Produksi Bersih Padi 2025'!C242="","",'1.1 Produksi Bersih Padi 2025'!C242)</f>
        <v/>
      </c>
      <c r="D240" s="3" t="str">
        <f>IF('1.1 Produksi Bersih Padi 2025'!D242="","",'1.1 Produksi Bersih Padi 2025'!D242)</f>
        <v/>
      </c>
      <c r="E240" s="3" t="str">
        <f>IF('1.1 Produksi Bersih Padi 2025'!E242="","",'1.1 Produksi Bersih Padi 2025'!E242)</f>
        <v/>
      </c>
      <c r="F240" s="13" t="str">
        <f>'1.1 Produksi Bersih Padi 2025'!Q242</f>
        <v/>
      </c>
      <c r="G240" s="13" t="str">
        <f>'1.2 Produksi Bersih Jagung 2025'!L242</f>
        <v/>
      </c>
      <c r="H240" s="13" t="str">
        <f>'1.3 Prod Bersih Ubi Kayu 2025'!K242</f>
        <v/>
      </c>
      <c r="I240" s="13" t="str">
        <f>'1.4 Prod Bersih Ubi Jalar 2025'!K242</f>
        <v/>
      </c>
      <c r="J240" s="13" t="str">
        <f>'1.5 Prod Bersih Sagu 2025'!K242</f>
        <v/>
      </c>
      <c r="K240" s="13" t="str">
        <f>'1.6 Prod Bersih Pisang 2025'!K242</f>
        <v/>
      </c>
      <c r="L240" s="15">
        <f t="shared" si="9"/>
        <v>0</v>
      </c>
      <c r="M240" s="14" t="str">
        <f>IF(D240="","",VLOOKUP(D240,'[1]0.1 Produksi Pangan &amp; Penduduk'!$D$5:$AU$704,44,0))</f>
        <v/>
      </c>
      <c r="N240" s="26" t="str">
        <f t="shared" si="10"/>
        <v/>
      </c>
      <c r="O240" s="16"/>
      <c r="P240" s="25" t="str">
        <f t="shared" si="11"/>
        <v/>
      </c>
      <c r="Q240" s="8"/>
      <c r="R240" s="11"/>
    </row>
    <row r="241" spans="1:18" ht="15" x14ac:dyDescent="0.25">
      <c r="A241" s="3" t="str">
        <f>IF('1.1 Produksi Bersih Padi 2025'!A243="","",'1.1 Produksi Bersih Padi 2025'!A243)</f>
        <v/>
      </c>
      <c r="B241" s="32" t="str">
        <f>IF('1.1 Produksi Bersih Padi 2025'!B243="","",'1.1 Produksi Bersih Padi 2025'!B243)</f>
        <v/>
      </c>
      <c r="C241" s="32" t="str">
        <f>IF('1.1 Produksi Bersih Padi 2025'!C243="","",'1.1 Produksi Bersih Padi 2025'!C243)</f>
        <v/>
      </c>
      <c r="D241" s="3" t="str">
        <f>IF('1.1 Produksi Bersih Padi 2025'!D243="","",'1.1 Produksi Bersih Padi 2025'!D243)</f>
        <v/>
      </c>
      <c r="E241" s="3" t="str">
        <f>IF('1.1 Produksi Bersih Padi 2025'!E243="","",'1.1 Produksi Bersih Padi 2025'!E243)</f>
        <v/>
      </c>
      <c r="F241" s="13" t="str">
        <f>'1.1 Produksi Bersih Padi 2025'!Q243</f>
        <v/>
      </c>
      <c r="G241" s="13" t="str">
        <f>'1.2 Produksi Bersih Jagung 2025'!L243</f>
        <v/>
      </c>
      <c r="H241" s="13" t="str">
        <f>'1.3 Prod Bersih Ubi Kayu 2025'!K243</f>
        <v/>
      </c>
      <c r="I241" s="13" t="str">
        <f>'1.4 Prod Bersih Ubi Jalar 2025'!K243</f>
        <v/>
      </c>
      <c r="J241" s="13" t="str">
        <f>'1.5 Prod Bersih Sagu 2025'!K243</f>
        <v/>
      </c>
      <c r="K241" s="13" t="str">
        <f>'1.6 Prod Bersih Pisang 2025'!K243</f>
        <v/>
      </c>
      <c r="L241" s="15">
        <f t="shared" si="9"/>
        <v>0</v>
      </c>
      <c r="M241" s="14" t="str">
        <f>IF(D241="","",VLOOKUP(D241,'[1]0.1 Produksi Pangan &amp; Penduduk'!$D$5:$AU$704,44,0))</f>
        <v/>
      </c>
      <c r="N241" s="26" t="str">
        <f t="shared" si="10"/>
        <v/>
      </c>
      <c r="O241" s="16"/>
      <c r="P241" s="25" t="str">
        <f t="shared" si="11"/>
        <v/>
      </c>
      <c r="Q241" s="8"/>
      <c r="R241" s="11"/>
    </row>
    <row r="242" spans="1:18" ht="15" x14ac:dyDescent="0.25">
      <c r="A242" s="3" t="str">
        <f>IF('1.1 Produksi Bersih Padi 2025'!A244="","",'1.1 Produksi Bersih Padi 2025'!A244)</f>
        <v/>
      </c>
      <c r="B242" s="32" t="str">
        <f>IF('1.1 Produksi Bersih Padi 2025'!B244="","",'1.1 Produksi Bersih Padi 2025'!B244)</f>
        <v/>
      </c>
      <c r="C242" s="32" t="str">
        <f>IF('1.1 Produksi Bersih Padi 2025'!C244="","",'1.1 Produksi Bersih Padi 2025'!C244)</f>
        <v/>
      </c>
      <c r="D242" s="3" t="str">
        <f>IF('1.1 Produksi Bersih Padi 2025'!D244="","",'1.1 Produksi Bersih Padi 2025'!D244)</f>
        <v/>
      </c>
      <c r="E242" s="3" t="str">
        <f>IF('1.1 Produksi Bersih Padi 2025'!E244="","",'1.1 Produksi Bersih Padi 2025'!E244)</f>
        <v/>
      </c>
      <c r="F242" s="13" t="str">
        <f>'1.1 Produksi Bersih Padi 2025'!Q244</f>
        <v/>
      </c>
      <c r="G242" s="13" t="str">
        <f>'1.2 Produksi Bersih Jagung 2025'!L244</f>
        <v/>
      </c>
      <c r="H242" s="13" t="str">
        <f>'1.3 Prod Bersih Ubi Kayu 2025'!K244</f>
        <v/>
      </c>
      <c r="I242" s="13" t="str">
        <f>'1.4 Prod Bersih Ubi Jalar 2025'!K244</f>
        <v/>
      </c>
      <c r="J242" s="13" t="str">
        <f>'1.5 Prod Bersih Sagu 2025'!K244</f>
        <v/>
      </c>
      <c r="K242" s="13" t="str">
        <f>'1.6 Prod Bersih Pisang 2025'!K244</f>
        <v/>
      </c>
      <c r="L242" s="15">
        <f t="shared" si="9"/>
        <v>0</v>
      </c>
      <c r="M242" s="14" t="str">
        <f>IF(D242="","",VLOOKUP(D242,'[1]0.1 Produksi Pangan &amp; Penduduk'!$D$5:$AU$704,44,0))</f>
        <v/>
      </c>
      <c r="N242" s="26" t="str">
        <f t="shared" si="10"/>
        <v/>
      </c>
      <c r="O242" s="16"/>
      <c r="P242" s="25" t="str">
        <f t="shared" si="11"/>
        <v/>
      </c>
      <c r="Q242" s="8"/>
      <c r="R242" s="11"/>
    </row>
    <row r="243" spans="1:18" ht="15" x14ac:dyDescent="0.25">
      <c r="A243" s="3" t="str">
        <f>IF('1.1 Produksi Bersih Padi 2025'!A245="","",'1.1 Produksi Bersih Padi 2025'!A245)</f>
        <v/>
      </c>
      <c r="B243" s="32" t="str">
        <f>IF('1.1 Produksi Bersih Padi 2025'!B245="","",'1.1 Produksi Bersih Padi 2025'!B245)</f>
        <v/>
      </c>
      <c r="C243" s="32" t="str">
        <f>IF('1.1 Produksi Bersih Padi 2025'!C245="","",'1.1 Produksi Bersih Padi 2025'!C245)</f>
        <v/>
      </c>
      <c r="D243" s="3" t="str">
        <f>IF('1.1 Produksi Bersih Padi 2025'!D245="","",'1.1 Produksi Bersih Padi 2025'!D245)</f>
        <v/>
      </c>
      <c r="E243" s="3" t="str">
        <f>IF('1.1 Produksi Bersih Padi 2025'!E245="","",'1.1 Produksi Bersih Padi 2025'!E245)</f>
        <v/>
      </c>
      <c r="F243" s="13" t="str">
        <f>'1.1 Produksi Bersih Padi 2025'!Q245</f>
        <v/>
      </c>
      <c r="G243" s="13" t="str">
        <f>'1.2 Produksi Bersih Jagung 2025'!L245</f>
        <v/>
      </c>
      <c r="H243" s="13" t="str">
        <f>'1.3 Prod Bersih Ubi Kayu 2025'!K245</f>
        <v/>
      </c>
      <c r="I243" s="13" t="str">
        <f>'1.4 Prod Bersih Ubi Jalar 2025'!K245</f>
        <v/>
      </c>
      <c r="J243" s="13" t="str">
        <f>'1.5 Prod Bersih Sagu 2025'!K245</f>
        <v/>
      </c>
      <c r="K243" s="13" t="str">
        <f>'1.6 Prod Bersih Pisang 2025'!K245</f>
        <v/>
      </c>
      <c r="L243" s="15">
        <f t="shared" si="9"/>
        <v>0</v>
      </c>
      <c r="M243" s="14" t="str">
        <f>IF(D243="","",VLOOKUP(D243,'[1]0.1 Produksi Pangan &amp; Penduduk'!$D$5:$AU$704,44,0))</f>
        <v/>
      </c>
      <c r="N243" s="26" t="str">
        <f t="shared" si="10"/>
        <v/>
      </c>
      <c r="O243" s="16"/>
      <c r="P243" s="25" t="str">
        <f t="shared" si="11"/>
        <v/>
      </c>
      <c r="Q243" s="8"/>
      <c r="R243" s="11"/>
    </row>
    <row r="244" spans="1:18" ht="15" x14ac:dyDescent="0.25">
      <c r="A244" s="3" t="str">
        <f>IF('1.1 Produksi Bersih Padi 2025'!A246="","",'1.1 Produksi Bersih Padi 2025'!A246)</f>
        <v/>
      </c>
      <c r="B244" s="32" t="str">
        <f>IF('1.1 Produksi Bersih Padi 2025'!B246="","",'1.1 Produksi Bersih Padi 2025'!B246)</f>
        <v/>
      </c>
      <c r="C244" s="32" t="str">
        <f>IF('1.1 Produksi Bersih Padi 2025'!C246="","",'1.1 Produksi Bersih Padi 2025'!C246)</f>
        <v/>
      </c>
      <c r="D244" s="3" t="str">
        <f>IF('1.1 Produksi Bersih Padi 2025'!D246="","",'1.1 Produksi Bersih Padi 2025'!D246)</f>
        <v/>
      </c>
      <c r="E244" s="3" t="str">
        <f>IF('1.1 Produksi Bersih Padi 2025'!E246="","",'1.1 Produksi Bersih Padi 2025'!E246)</f>
        <v/>
      </c>
      <c r="F244" s="13" t="str">
        <f>'1.1 Produksi Bersih Padi 2025'!Q246</f>
        <v/>
      </c>
      <c r="G244" s="13" t="str">
        <f>'1.2 Produksi Bersih Jagung 2025'!L246</f>
        <v/>
      </c>
      <c r="H244" s="13" t="str">
        <f>'1.3 Prod Bersih Ubi Kayu 2025'!K246</f>
        <v/>
      </c>
      <c r="I244" s="13" t="str">
        <f>'1.4 Prod Bersih Ubi Jalar 2025'!K246</f>
        <v/>
      </c>
      <c r="J244" s="13" t="str">
        <f>'1.5 Prod Bersih Sagu 2025'!K246</f>
        <v/>
      </c>
      <c r="K244" s="13" t="str">
        <f>'1.6 Prod Bersih Pisang 2025'!K246</f>
        <v/>
      </c>
      <c r="L244" s="15">
        <f t="shared" si="9"/>
        <v>0</v>
      </c>
      <c r="M244" s="14" t="str">
        <f>IF(D244="","",VLOOKUP(D244,'[1]0.1 Produksi Pangan &amp; Penduduk'!$D$5:$AU$704,44,0))</f>
        <v/>
      </c>
      <c r="N244" s="26" t="str">
        <f t="shared" si="10"/>
        <v/>
      </c>
      <c r="O244" s="16"/>
      <c r="P244" s="25" t="str">
        <f t="shared" si="11"/>
        <v/>
      </c>
      <c r="Q244" s="8"/>
      <c r="R244" s="11"/>
    </row>
    <row r="245" spans="1:18" ht="15" x14ac:dyDescent="0.25">
      <c r="A245" s="3" t="str">
        <f>IF('1.1 Produksi Bersih Padi 2025'!A247="","",'1.1 Produksi Bersih Padi 2025'!A247)</f>
        <v/>
      </c>
      <c r="B245" s="32" t="str">
        <f>IF('1.1 Produksi Bersih Padi 2025'!B247="","",'1.1 Produksi Bersih Padi 2025'!B247)</f>
        <v/>
      </c>
      <c r="C245" s="32" t="str">
        <f>IF('1.1 Produksi Bersih Padi 2025'!C247="","",'1.1 Produksi Bersih Padi 2025'!C247)</f>
        <v/>
      </c>
      <c r="D245" s="3" t="str">
        <f>IF('1.1 Produksi Bersih Padi 2025'!D247="","",'1.1 Produksi Bersih Padi 2025'!D247)</f>
        <v/>
      </c>
      <c r="E245" s="3" t="str">
        <f>IF('1.1 Produksi Bersih Padi 2025'!E247="","",'1.1 Produksi Bersih Padi 2025'!E247)</f>
        <v/>
      </c>
      <c r="F245" s="13" t="str">
        <f>'1.1 Produksi Bersih Padi 2025'!Q247</f>
        <v/>
      </c>
      <c r="G245" s="13" t="str">
        <f>'1.2 Produksi Bersih Jagung 2025'!L247</f>
        <v/>
      </c>
      <c r="H245" s="13" t="str">
        <f>'1.3 Prod Bersih Ubi Kayu 2025'!K247</f>
        <v/>
      </c>
      <c r="I245" s="13" t="str">
        <f>'1.4 Prod Bersih Ubi Jalar 2025'!K247</f>
        <v/>
      </c>
      <c r="J245" s="13" t="str">
        <f>'1.5 Prod Bersih Sagu 2025'!K247</f>
        <v/>
      </c>
      <c r="K245" s="13" t="str">
        <f>'1.6 Prod Bersih Pisang 2025'!K247</f>
        <v/>
      </c>
      <c r="L245" s="15">
        <f t="shared" si="9"/>
        <v>0</v>
      </c>
      <c r="M245" s="14" t="str">
        <f>IF(D245="","",VLOOKUP(D245,'[1]0.1 Produksi Pangan &amp; Penduduk'!$D$5:$AU$704,44,0))</f>
        <v/>
      </c>
      <c r="N245" s="26" t="str">
        <f t="shared" si="10"/>
        <v/>
      </c>
      <c r="O245" s="16"/>
      <c r="P245" s="25" t="str">
        <f t="shared" si="11"/>
        <v/>
      </c>
      <c r="Q245" s="8"/>
      <c r="R245" s="11"/>
    </row>
    <row r="246" spans="1:18" ht="15" x14ac:dyDescent="0.25">
      <c r="A246" s="3" t="str">
        <f>IF('1.1 Produksi Bersih Padi 2025'!A248="","",'1.1 Produksi Bersih Padi 2025'!A248)</f>
        <v/>
      </c>
      <c r="B246" s="32" t="str">
        <f>IF('1.1 Produksi Bersih Padi 2025'!B248="","",'1.1 Produksi Bersih Padi 2025'!B248)</f>
        <v/>
      </c>
      <c r="C246" s="32" t="str">
        <f>IF('1.1 Produksi Bersih Padi 2025'!C248="","",'1.1 Produksi Bersih Padi 2025'!C248)</f>
        <v/>
      </c>
      <c r="D246" s="3" t="str">
        <f>IF('1.1 Produksi Bersih Padi 2025'!D248="","",'1.1 Produksi Bersih Padi 2025'!D248)</f>
        <v/>
      </c>
      <c r="E246" s="3" t="str">
        <f>IF('1.1 Produksi Bersih Padi 2025'!E248="","",'1.1 Produksi Bersih Padi 2025'!E248)</f>
        <v/>
      </c>
      <c r="F246" s="13" t="str">
        <f>'1.1 Produksi Bersih Padi 2025'!Q248</f>
        <v/>
      </c>
      <c r="G246" s="13" t="str">
        <f>'1.2 Produksi Bersih Jagung 2025'!L248</f>
        <v/>
      </c>
      <c r="H246" s="13" t="str">
        <f>'1.3 Prod Bersih Ubi Kayu 2025'!K248</f>
        <v/>
      </c>
      <c r="I246" s="13" t="str">
        <f>'1.4 Prod Bersih Ubi Jalar 2025'!K248</f>
        <v/>
      </c>
      <c r="J246" s="13" t="str">
        <f>'1.5 Prod Bersih Sagu 2025'!K248</f>
        <v/>
      </c>
      <c r="K246" s="13" t="str">
        <f>'1.6 Prod Bersih Pisang 2025'!K248</f>
        <v/>
      </c>
      <c r="L246" s="15">
        <f t="shared" si="9"/>
        <v>0</v>
      </c>
      <c r="M246" s="14" t="str">
        <f>IF(D246="","",VLOOKUP(D246,'[1]0.1 Produksi Pangan &amp; Penduduk'!$D$5:$AU$704,44,0))</f>
        <v/>
      </c>
      <c r="N246" s="26" t="str">
        <f t="shared" si="10"/>
        <v/>
      </c>
      <c r="O246" s="16"/>
      <c r="P246" s="25" t="str">
        <f t="shared" si="11"/>
        <v/>
      </c>
      <c r="Q246" s="8"/>
      <c r="R246" s="11"/>
    </row>
    <row r="247" spans="1:18" ht="15" x14ac:dyDescent="0.25">
      <c r="A247" s="3" t="str">
        <f>IF('1.1 Produksi Bersih Padi 2025'!A249="","",'1.1 Produksi Bersih Padi 2025'!A249)</f>
        <v/>
      </c>
      <c r="B247" s="32" t="str">
        <f>IF('1.1 Produksi Bersih Padi 2025'!B249="","",'1.1 Produksi Bersih Padi 2025'!B249)</f>
        <v/>
      </c>
      <c r="C247" s="32" t="str">
        <f>IF('1.1 Produksi Bersih Padi 2025'!C249="","",'1.1 Produksi Bersih Padi 2025'!C249)</f>
        <v/>
      </c>
      <c r="D247" s="3" t="str">
        <f>IF('1.1 Produksi Bersih Padi 2025'!D249="","",'1.1 Produksi Bersih Padi 2025'!D249)</f>
        <v/>
      </c>
      <c r="E247" s="3" t="str">
        <f>IF('1.1 Produksi Bersih Padi 2025'!E249="","",'1.1 Produksi Bersih Padi 2025'!E249)</f>
        <v/>
      </c>
      <c r="F247" s="13" t="str">
        <f>'1.1 Produksi Bersih Padi 2025'!Q249</f>
        <v/>
      </c>
      <c r="G247" s="13" t="str">
        <f>'1.2 Produksi Bersih Jagung 2025'!L249</f>
        <v/>
      </c>
      <c r="H247" s="13" t="str">
        <f>'1.3 Prod Bersih Ubi Kayu 2025'!K249</f>
        <v/>
      </c>
      <c r="I247" s="13" t="str">
        <f>'1.4 Prod Bersih Ubi Jalar 2025'!K249</f>
        <v/>
      </c>
      <c r="J247" s="13" t="str">
        <f>'1.5 Prod Bersih Sagu 2025'!K249</f>
        <v/>
      </c>
      <c r="K247" s="13" t="str">
        <f>'1.6 Prod Bersih Pisang 2025'!K249</f>
        <v/>
      </c>
      <c r="L247" s="15">
        <f t="shared" si="9"/>
        <v>0</v>
      </c>
      <c r="M247" s="14" t="str">
        <f>IF(D247="","",VLOOKUP(D247,'[1]0.1 Produksi Pangan &amp; Penduduk'!$D$5:$AU$704,44,0))</f>
        <v/>
      </c>
      <c r="N247" s="26" t="str">
        <f t="shared" si="10"/>
        <v/>
      </c>
      <c r="O247" s="16"/>
      <c r="P247" s="25" t="str">
        <f t="shared" si="11"/>
        <v/>
      </c>
      <c r="Q247" s="8"/>
      <c r="R247" s="11"/>
    </row>
    <row r="248" spans="1:18" ht="15" x14ac:dyDescent="0.25">
      <c r="A248" s="3" t="str">
        <f>IF('1.1 Produksi Bersih Padi 2025'!A250="","",'1.1 Produksi Bersih Padi 2025'!A250)</f>
        <v/>
      </c>
      <c r="B248" s="32" t="str">
        <f>IF('1.1 Produksi Bersih Padi 2025'!B250="","",'1.1 Produksi Bersih Padi 2025'!B250)</f>
        <v/>
      </c>
      <c r="C248" s="32" t="str">
        <f>IF('1.1 Produksi Bersih Padi 2025'!C250="","",'1.1 Produksi Bersih Padi 2025'!C250)</f>
        <v/>
      </c>
      <c r="D248" s="3" t="str">
        <f>IF('1.1 Produksi Bersih Padi 2025'!D250="","",'1.1 Produksi Bersih Padi 2025'!D250)</f>
        <v/>
      </c>
      <c r="E248" s="3" t="str">
        <f>IF('1.1 Produksi Bersih Padi 2025'!E250="","",'1.1 Produksi Bersih Padi 2025'!E250)</f>
        <v/>
      </c>
      <c r="F248" s="13" t="str">
        <f>'1.1 Produksi Bersih Padi 2025'!Q250</f>
        <v/>
      </c>
      <c r="G248" s="13" t="str">
        <f>'1.2 Produksi Bersih Jagung 2025'!L250</f>
        <v/>
      </c>
      <c r="H248" s="13" t="str">
        <f>'1.3 Prod Bersih Ubi Kayu 2025'!K250</f>
        <v/>
      </c>
      <c r="I248" s="13" t="str">
        <f>'1.4 Prod Bersih Ubi Jalar 2025'!K250</f>
        <v/>
      </c>
      <c r="J248" s="13" t="str">
        <f>'1.5 Prod Bersih Sagu 2025'!K250</f>
        <v/>
      </c>
      <c r="K248" s="13" t="str">
        <f>'1.6 Prod Bersih Pisang 2025'!K250</f>
        <v/>
      </c>
      <c r="L248" s="15">
        <f t="shared" si="9"/>
        <v>0</v>
      </c>
      <c r="M248" s="14" t="str">
        <f>IF(D248="","",VLOOKUP(D248,'[1]0.1 Produksi Pangan &amp; Penduduk'!$D$5:$AU$704,44,0))</f>
        <v/>
      </c>
      <c r="N248" s="26" t="str">
        <f t="shared" si="10"/>
        <v/>
      </c>
      <c r="O248" s="16"/>
      <c r="P248" s="25" t="str">
        <f t="shared" si="11"/>
        <v/>
      </c>
      <c r="Q248" s="8"/>
      <c r="R248" s="11"/>
    </row>
    <row r="249" spans="1:18" ht="15" x14ac:dyDescent="0.25">
      <c r="A249" s="3" t="str">
        <f>IF('1.1 Produksi Bersih Padi 2025'!A251="","",'1.1 Produksi Bersih Padi 2025'!A251)</f>
        <v/>
      </c>
      <c r="B249" s="32" t="str">
        <f>IF('1.1 Produksi Bersih Padi 2025'!B251="","",'1.1 Produksi Bersih Padi 2025'!B251)</f>
        <v/>
      </c>
      <c r="C249" s="32" t="str">
        <f>IF('1.1 Produksi Bersih Padi 2025'!C251="","",'1.1 Produksi Bersih Padi 2025'!C251)</f>
        <v/>
      </c>
      <c r="D249" s="3" t="str">
        <f>IF('1.1 Produksi Bersih Padi 2025'!D251="","",'1.1 Produksi Bersih Padi 2025'!D251)</f>
        <v/>
      </c>
      <c r="E249" s="3" t="str">
        <f>IF('1.1 Produksi Bersih Padi 2025'!E251="","",'1.1 Produksi Bersih Padi 2025'!E251)</f>
        <v/>
      </c>
      <c r="F249" s="13" t="str">
        <f>'1.1 Produksi Bersih Padi 2025'!Q251</f>
        <v/>
      </c>
      <c r="G249" s="13" t="str">
        <f>'1.2 Produksi Bersih Jagung 2025'!L251</f>
        <v/>
      </c>
      <c r="H249" s="13" t="str">
        <f>'1.3 Prod Bersih Ubi Kayu 2025'!K251</f>
        <v/>
      </c>
      <c r="I249" s="13" t="str">
        <f>'1.4 Prod Bersih Ubi Jalar 2025'!K251</f>
        <v/>
      </c>
      <c r="J249" s="13" t="str">
        <f>'1.5 Prod Bersih Sagu 2025'!K251</f>
        <v/>
      </c>
      <c r="K249" s="13" t="str">
        <f>'1.6 Prod Bersih Pisang 2025'!K251</f>
        <v/>
      </c>
      <c r="L249" s="15">
        <f t="shared" si="9"/>
        <v>0</v>
      </c>
      <c r="M249" s="14" t="str">
        <f>IF(D249="","",VLOOKUP(D249,'[1]0.1 Produksi Pangan &amp; Penduduk'!$D$5:$AU$704,44,0))</f>
        <v/>
      </c>
      <c r="N249" s="26" t="str">
        <f t="shared" si="10"/>
        <v/>
      </c>
      <c r="O249" s="16"/>
      <c r="P249" s="25" t="str">
        <f t="shared" si="11"/>
        <v/>
      </c>
      <c r="Q249" s="8"/>
      <c r="R249" s="11"/>
    </row>
    <row r="250" spans="1:18" ht="15" x14ac:dyDescent="0.25">
      <c r="A250" s="3" t="str">
        <f>IF('1.1 Produksi Bersih Padi 2025'!A252="","",'1.1 Produksi Bersih Padi 2025'!A252)</f>
        <v/>
      </c>
      <c r="B250" s="32" t="str">
        <f>IF('1.1 Produksi Bersih Padi 2025'!B252="","",'1.1 Produksi Bersih Padi 2025'!B252)</f>
        <v/>
      </c>
      <c r="C250" s="32" t="str">
        <f>IF('1.1 Produksi Bersih Padi 2025'!C252="","",'1.1 Produksi Bersih Padi 2025'!C252)</f>
        <v/>
      </c>
      <c r="D250" s="3" t="str">
        <f>IF('1.1 Produksi Bersih Padi 2025'!D252="","",'1.1 Produksi Bersih Padi 2025'!D252)</f>
        <v/>
      </c>
      <c r="E250" s="3" t="str">
        <f>IF('1.1 Produksi Bersih Padi 2025'!E252="","",'1.1 Produksi Bersih Padi 2025'!E252)</f>
        <v/>
      </c>
      <c r="F250" s="13" t="str">
        <f>'1.1 Produksi Bersih Padi 2025'!Q252</f>
        <v/>
      </c>
      <c r="G250" s="13" t="str">
        <f>'1.2 Produksi Bersih Jagung 2025'!L252</f>
        <v/>
      </c>
      <c r="H250" s="13" t="str">
        <f>'1.3 Prod Bersih Ubi Kayu 2025'!K252</f>
        <v/>
      </c>
      <c r="I250" s="13" t="str">
        <f>'1.4 Prod Bersih Ubi Jalar 2025'!K252</f>
        <v/>
      </c>
      <c r="J250" s="13" t="str">
        <f>'1.5 Prod Bersih Sagu 2025'!K252</f>
        <v/>
      </c>
      <c r="K250" s="13" t="str">
        <f>'1.6 Prod Bersih Pisang 2025'!K252</f>
        <v/>
      </c>
      <c r="L250" s="15">
        <f t="shared" si="9"/>
        <v>0</v>
      </c>
      <c r="M250" s="14" t="str">
        <f>IF(D250="","",VLOOKUP(D250,'[1]0.1 Produksi Pangan &amp; Penduduk'!$D$5:$AU$704,44,0))</f>
        <v/>
      </c>
      <c r="N250" s="26" t="str">
        <f t="shared" si="10"/>
        <v/>
      </c>
      <c r="O250" s="16"/>
      <c r="P250" s="25" t="str">
        <f t="shared" si="11"/>
        <v/>
      </c>
      <c r="Q250" s="8"/>
      <c r="R250" s="11"/>
    </row>
    <row r="251" spans="1:18" ht="15" x14ac:dyDescent="0.25">
      <c r="A251" s="3" t="str">
        <f>IF('1.1 Produksi Bersih Padi 2025'!A253="","",'1.1 Produksi Bersih Padi 2025'!A253)</f>
        <v/>
      </c>
      <c r="B251" s="32" t="str">
        <f>IF('1.1 Produksi Bersih Padi 2025'!B253="","",'1.1 Produksi Bersih Padi 2025'!B253)</f>
        <v/>
      </c>
      <c r="C251" s="32" t="str">
        <f>IF('1.1 Produksi Bersih Padi 2025'!C253="","",'1.1 Produksi Bersih Padi 2025'!C253)</f>
        <v/>
      </c>
      <c r="D251" s="3" t="str">
        <f>IF('1.1 Produksi Bersih Padi 2025'!D253="","",'1.1 Produksi Bersih Padi 2025'!D253)</f>
        <v/>
      </c>
      <c r="E251" s="3" t="str">
        <f>IF('1.1 Produksi Bersih Padi 2025'!E253="","",'1.1 Produksi Bersih Padi 2025'!E253)</f>
        <v/>
      </c>
      <c r="F251" s="13" t="str">
        <f>'1.1 Produksi Bersih Padi 2025'!Q253</f>
        <v/>
      </c>
      <c r="G251" s="13" t="str">
        <f>'1.2 Produksi Bersih Jagung 2025'!L253</f>
        <v/>
      </c>
      <c r="H251" s="13" t="str">
        <f>'1.3 Prod Bersih Ubi Kayu 2025'!K253</f>
        <v/>
      </c>
      <c r="I251" s="13" t="str">
        <f>'1.4 Prod Bersih Ubi Jalar 2025'!K253</f>
        <v/>
      </c>
      <c r="J251" s="13" t="str">
        <f>'1.5 Prod Bersih Sagu 2025'!K253</f>
        <v/>
      </c>
      <c r="K251" s="13" t="str">
        <f>'1.6 Prod Bersih Pisang 2025'!K253</f>
        <v/>
      </c>
      <c r="L251" s="15">
        <f t="shared" si="9"/>
        <v>0</v>
      </c>
      <c r="M251" s="14" t="str">
        <f>IF(D251="","",VLOOKUP(D251,'[1]0.1 Produksi Pangan &amp; Penduduk'!$D$5:$AU$704,44,0))</f>
        <v/>
      </c>
      <c r="N251" s="26" t="str">
        <f t="shared" si="10"/>
        <v/>
      </c>
      <c r="O251" s="16"/>
      <c r="P251" s="25" t="str">
        <f t="shared" si="11"/>
        <v/>
      </c>
      <c r="Q251" s="8"/>
      <c r="R251" s="11"/>
    </row>
    <row r="252" spans="1:18" ht="15" x14ac:dyDescent="0.25">
      <c r="A252" s="3" t="str">
        <f>IF('1.1 Produksi Bersih Padi 2025'!A254="","",'1.1 Produksi Bersih Padi 2025'!A254)</f>
        <v/>
      </c>
      <c r="B252" s="32" t="str">
        <f>IF('1.1 Produksi Bersih Padi 2025'!B254="","",'1.1 Produksi Bersih Padi 2025'!B254)</f>
        <v/>
      </c>
      <c r="C252" s="32" t="str">
        <f>IF('1.1 Produksi Bersih Padi 2025'!C254="","",'1.1 Produksi Bersih Padi 2025'!C254)</f>
        <v/>
      </c>
      <c r="D252" s="3" t="str">
        <f>IF('1.1 Produksi Bersih Padi 2025'!D254="","",'1.1 Produksi Bersih Padi 2025'!D254)</f>
        <v/>
      </c>
      <c r="E252" s="3" t="str">
        <f>IF('1.1 Produksi Bersih Padi 2025'!E254="","",'1.1 Produksi Bersih Padi 2025'!E254)</f>
        <v/>
      </c>
      <c r="F252" s="13" t="str">
        <f>'1.1 Produksi Bersih Padi 2025'!Q254</f>
        <v/>
      </c>
      <c r="G252" s="13" t="str">
        <f>'1.2 Produksi Bersih Jagung 2025'!L254</f>
        <v/>
      </c>
      <c r="H252" s="13" t="str">
        <f>'1.3 Prod Bersih Ubi Kayu 2025'!K254</f>
        <v/>
      </c>
      <c r="I252" s="13" t="str">
        <f>'1.4 Prod Bersih Ubi Jalar 2025'!K254</f>
        <v/>
      </c>
      <c r="J252" s="13" t="str">
        <f>'1.5 Prod Bersih Sagu 2025'!K254</f>
        <v/>
      </c>
      <c r="K252" s="13" t="str">
        <f>'1.6 Prod Bersih Pisang 2025'!K254</f>
        <v/>
      </c>
      <c r="L252" s="15">
        <f t="shared" si="9"/>
        <v>0</v>
      </c>
      <c r="M252" s="14" t="str">
        <f>IF(D252="","",VLOOKUP(D252,'[1]0.1 Produksi Pangan &amp; Penduduk'!$D$5:$AU$704,44,0))</f>
        <v/>
      </c>
      <c r="N252" s="26" t="str">
        <f t="shared" si="10"/>
        <v/>
      </c>
      <c r="O252" s="16"/>
      <c r="P252" s="25" t="str">
        <f t="shared" si="11"/>
        <v/>
      </c>
      <c r="Q252" s="8"/>
      <c r="R252" s="11"/>
    </row>
    <row r="253" spans="1:18" ht="15" x14ac:dyDescent="0.25">
      <c r="A253" s="3" t="str">
        <f>IF('1.1 Produksi Bersih Padi 2025'!A255="","",'1.1 Produksi Bersih Padi 2025'!A255)</f>
        <v/>
      </c>
      <c r="B253" s="32" t="str">
        <f>IF('1.1 Produksi Bersih Padi 2025'!B255="","",'1.1 Produksi Bersih Padi 2025'!B255)</f>
        <v/>
      </c>
      <c r="C253" s="32" t="str">
        <f>IF('1.1 Produksi Bersih Padi 2025'!C255="","",'1.1 Produksi Bersih Padi 2025'!C255)</f>
        <v/>
      </c>
      <c r="D253" s="3" t="str">
        <f>IF('1.1 Produksi Bersih Padi 2025'!D255="","",'1.1 Produksi Bersih Padi 2025'!D255)</f>
        <v/>
      </c>
      <c r="E253" s="3" t="str">
        <f>IF('1.1 Produksi Bersih Padi 2025'!E255="","",'1.1 Produksi Bersih Padi 2025'!E255)</f>
        <v/>
      </c>
      <c r="F253" s="13" t="str">
        <f>'1.1 Produksi Bersih Padi 2025'!Q255</f>
        <v/>
      </c>
      <c r="G253" s="13" t="str">
        <f>'1.2 Produksi Bersih Jagung 2025'!L255</f>
        <v/>
      </c>
      <c r="H253" s="13" t="str">
        <f>'1.3 Prod Bersih Ubi Kayu 2025'!K255</f>
        <v/>
      </c>
      <c r="I253" s="13" t="str">
        <f>'1.4 Prod Bersih Ubi Jalar 2025'!K255</f>
        <v/>
      </c>
      <c r="J253" s="13" t="str">
        <f>'1.5 Prod Bersih Sagu 2025'!K255</f>
        <v/>
      </c>
      <c r="K253" s="13" t="str">
        <f>'1.6 Prod Bersih Pisang 2025'!K255</f>
        <v/>
      </c>
      <c r="L253" s="15">
        <f t="shared" si="9"/>
        <v>0</v>
      </c>
      <c r="M253" s="14" t="str">
        <f>IF(D253="","",VLOOKUP(D253,'[1]0.1 Produksi Pangan &amp; Penduduk'!$D$5:$AU$704,44,0))</f>
        <v/>
      </c>
      <c r="N253" s="26" t="str">
        <f t="shared" si="10"/>
        <v/>
      </c>
      <c r="O253" s="16"/>
      <c r="P253" s="25" t="str">
        <f t="shared" si="11"/>
        <v/>
      </c>
      <c r="Q253" s="8"/>
      <c r="R253" s="11"/>
    </row>
    <row r="254" spans="1:18" ht="15" x14ac:dyDescent="0.25">
      <c r="A254" s="3" t="str">
        <f>IF('1.1 Produksi Bersih Padi 2025'!A256="","",'1.1 Produksi Bersih Padi 2025'!A256)</f>
        <v/>
      </c>
      <c r="B254" s="32" t="str">
        <f>IF('1.1 Produksi Bersih Padi 2025'!B256="","",'1.1 Produksi Bersih Padi 2025'!B256)</f>
        <v/>
      </c>
      <c r="C254" s="32" t="str">
        <f>IF('1.1 Produksi Bersih Padi 2025'!C256="","",'1.1 Produksi Bersih Padi 2025'!C256)</f>
        <v/>
      </c>
      <c r="D254" s="3" t="str">
        <f>IF('1.1 Produksi Bersih Padi 2025'!D256="","",'1.1 Produksi Bersih Padi 2025'!D256)</f>
        <v/>
      </c>
      <c r="E254" s="3" t="str">
        <f>IF('1.1 Produksi Bersih Padi 2025'!E256="","",'1.1 Produksi Bersih Padi 2025'!E256)</f>
        <v/>
      </c>
      <c r="F254" s="13" t="str">
        <f>'1.1 Produksi Bersih Padi 2025'!Q256</f>
        <v/>
      </c>
      <c r="G254" s="13" t="str">
        <f>'1.2 Produksi Bersih Jagung 2025'!L256</f>
        <v/>
      </c>
      <c r="H254" s="13" t="str">
        <f>'1.3 Prod Bersih Ubi Kayu 2025'!K256</f>
        <v/>
      </c>
      <c r="I254" s="13" t="str">
        <f>'1.4 Prod Bersih Ubi Jalar 2025'!K256</f>
        <v/>
      </c>
      <c r="J254" s="13" t="str">
        <f>'1.5 Prod Bersih Sagu 2025'!K256</f>
        <v/>
      </c>
      <c r="K254" s="13" t="str">
        <f>'1.6 Prod Bersih Pisang 2025'!K256</f>
        <v/>
      </c>
      <c r="L254" s="15">
        <f t="shared" si="9"/>
        <v>0</v>
      </c>
      <c r="M254" s="14" t="str">
        <f>IF(D254="","",VLOOKUP(D254,'[1]0.1 Produksi Pangan &amp; Penduduk'!$D$5:$AU$704,44,0))</f>
        <v/>
      </c>
      <c r="N254" s="26" t="str">
        <f t="shared" si="10"/>
        <v/>
      </c>
      <c r="O254" s="16"/>
      <c r="P254" s="25" t="str">
        <f t="shared" si="11"/>
        <v/>
      </c>
      <c r="Q254" s="8"/>
      <c r="R254" s="11"/>
    </row>
    <row r="255" spans="1:18" ht="15" x14ac:dyDescent="0.25">
      <c r="A255" s="3" t="str">
        <f>IF('1.1 Produksi Bersih Padi 2025'!A257="","",'1.1 Produksi Bersih Padi 2025'!A257)</f>
        <v/>
      </c>
      <c r="B255" s="32" t="str">
        <f>IF('1.1 Produksi Bersih Padi 2025'!B257="","",'1.1 Produksi Bersih Padi 2025'!B257)</f>
        <v/>
      </c>
      <c r="C255" s="32" t="str">
        <f>IF('1.1 Produksi Bersih Padi 2025'!C257="","",'1.1 Produksi Bersih Padi 2025'!C257)</f>
        <v/>
      </c>
      <c r="D255" s="3" t="str">
        <f>IF('1.1 Produksi Bersih Padi 2025'!D257="","",'1.1 Produksi Bersih Padi 2025'!D257)</f>
        <v/>
      </c>
      <c r="E255" s="3" t="str">
        <f>IF('1.1 Produksi Bersih Padi 2025'!E257="","",'1.1 Produksi Bersih Padi 2025'!E257)</f>
        <v/>
      </c>
      <c r="F255" s="13" t="str">
        <f>'1.1 Produksi Bersih Padi 2025'!Q257</f>
        <v/>
      </c>
      <c r="G255" s="13" t="str">
        <f>'1.2 Produksi Bersih Jagung 2025'!L257</f>
        <v/>
      </c>
      <c r="H255" s="13" t="str">
        <f>'1.3 Prod Bersih Ubi Kayu 2025'!K257</f>
        <v/>
      </c>
      <c r="I255" s="13" t="str">
        <f>'1.4 Prod Bersih Ubi Jalar 2025'!K257</f>
        <v/>
      </c>
      <c r="J255" s="13" t="str">
        <f>'1.5 Prod Bersih Sagu 2025'!K257</f>
        <v/>
      </c>
      <c r="K255" s="13" t="str">
        <f>'1.6 Prod Bersih Pisang 2025'!K257</f>
        <v/>
      </c>
      <c r="L255" s="15">
        <f t="shared" si="9"/>
        <v>0</v>
      </c>
      <c r="M255" s="14" t="str">
        <f>IF(D255="","",VLOOKUP(D255,'[1]0.1 Produksi Pangan &amp; Penduduk'!$D$5:$AU$704,44,0))</f>
        <v/>
      </c>
      <c r="N255" s="26" t="str">
        <f t="shared" si="10"/>
        <v/>
      </c>
      <c r="O255" s="16"/>
      <c r="P255" s="25" t="str">
        <f t="shared" si="11"/>
        <v/>
      </c>
      <c r="Q255" s="8"/>
      <c r="R255" s="11"/>
    </row>
    <row r="256" spans="1:18" ht="15" x14ac:dyDescent="0.25">
      <c r="A256" s="3" t="str">
        <f>IF('1.1 Produksi Bersih Padi 2025'!A258="","",'1.1 Produksi Bersih Padi 2025'!A258)</f>
        <v/>
      </c>
      <c r="B256" s="32" t="str">
        <f>IF('1.1 Produksi Bersih Padi 2025'!B258="","",'1.1 Produksi Bersih Padi 2025'!B258)</f>
        <v/>
      </c>
      <c r="C256" s="32" t="str">
        <f>IF('1.1 Produksi Bersih Padi 2025'!C258="","",'1.1 Produksi Bersih Padi 2025'!C258)</f>
        <v/>
      </c>
      <c r="D256" s="3" t="str">
        <f>IF('1.1 Produksi Bersih Padi 2025'!D258="","",'1.1 Produksi Bersih Padi 2025'!D258)</f>
        <v/>
      </c>
      <c r="E256" s="3" t="str">
        <f>IF('1.1 Produksi Bersih Padi 2025'!E258="","",'1.1 Produksi Bersih Padi 2025'!E258)</f>
        <v/>
      </c>
      <c r="F256" s="13" t="str">
        <f>'1.1 Produksi Bersih Padi 2025'!Q258</f>
        <v/>
      </c>
      <c r="G256" s="13" t="str">
        <f>'1.2 Produksi Bersih Jagung 2025'!L258</f>
        <v/>
      </c>
      <c r="H256" s="13" t="str">
        <f>'1.3 Prod Bersih Ubi Kayu 2025'!K258</f>
        <v/>
      </c>
      <c r="I256" s="13" t="str">
        <f>'1.4 Prod Bersih Ubi Jalar 2025'!K258</f>
        <v/>
      </c>
      <c r="J256" s="13" t="str">
        <f>'1.5 Prod Bersih Sagu 2025'!K258</f>
        <v/>
      </c>
      <c r="K256" s="13" t="str">
        <f>'1.6 Prod Bersih Pisang 2025'!K258</f>
        <v/>
      </c>
      <c r="L256" s="15">
        <f t="shared" si="9"/>
        <v>0</v>
      </c>
      <c r="M256" s="14" t="str">
        <f>IF(D256="","",VLOOKUP(D256,'[1]0.1 Produksi Pangan &amp; Penduduk'!$D$5:$AU$704,44,0))</f>
        <v/>
      </c>
      <c r="N256" s="26" t="str">
        <f t="shared" si="10"/>
        <v/>
      </c>
      <c r="O256" s="16"/>
      <c r="P256" s="25" t="str">
        <f t="shared" si="11"/>
        <v/>
      </c>
      <c r="Q256" s="8"/>
      <c r="R256" s="11"/>
    </row>
    <row r="257" spans="1:18" ht="15" x14ac:dyDescent="0.25">
      <c r="A257" s="3" t="str">
        <f>IF('1.1 Produksi Bersih Padi 2025'!A259="","",'1.1 Produksi Bersih Padi 2025'!A259)</f>
        <v/>
      </c>
      <c r="B257" s="32" t="str">
        <f>IF('1.1 Produksi Bersih Padi 2025'!B259="","",'1.1 Produksi Bersih Padi 2025'!B259)</f>
        <v/>
      </c>
      <c r="C257" s="32" t="str">
        <f>IF('1.1 Produksi Bersih Padi 2025'!C259="","",'1.1 Produksi Bersih Padi 2025'!C259)</f>
        <v/>
      </c>
      <c r="D257" s="3" t="str">
        <f>IF('1.1 Produksi Bersih Padi 2025'!D259="","",'1.1 Produksi Bersih Padi 2025'!D259)</f>
        <v/>
      </c>
      <c r="E257" s="3" t="str">
        <f>IF('1.1 Produksi Bersih Padi 2025'!E259="","",'1.1 Produksi Bersih Padi 2025'!E259)</f>
        <v/>
      </c>
      <c r="F257" s="13" t="str">
        <f>'1.1 Produksi Bersih Padi 2025'!Q259</f>
        <v/>
      </c>
      <c r="G257" s="13" t="str">
        <f>'1.2 Produksi Bersih Jagung 2025'!L259</f>
        <v/>
      </c>
      <c r="H257" s="13" t="str">
        <f>'1.3 Prod Bersih Ubi Kayu 2025'!K259</f>
        <v/>
      </c>
      <c r="I257" s="13" t="str">
        <f>'1.4 Prod Bersih Ubi Jalar 2025'!K259</f>
        <v/>
      </c>
      <c r="J257" s="13" t="str">
        <f>'1.5 Prod Bersih Sagu 2025'!K259</f>
        <v/>
      </c>
      <c r="K257" s="13" t="str">
        <f>'1.6 Prod Bersih Pisang 2025'!K259</f>
        <v/>
      </c>
      <c r="L257" s="15">
        <f t="shared" si="9"/>
        <v>0</v>
      </c>
      <c r="M257" s="14" t="str">
        <f>IF(D257="","",VLOOKUP(D257,'[1]0.1 Produksi Pangan &amp; Penduduk'!$D$5:$AU$704,44,0))</f>
        <v/>
      </c>
      <c r="N257" s="26" t="str">
        <f t="shared" si="10"/>
        <v/>
      </c>
      <c r="O257" s="16"/>
      <c r="P257" s="25" t="str">
        <f t="shared" si="11"/>
        <v/>
      </c>
      <c r="Q257" s="8"/>
      <c r="R257" s="11"/>
    </row>
    <row r="258" spans="1:18" ht="15" x14ac:dyDescent="0.25">
      <c r="A258" s="3" t="str">
        <f>IF('1.1 Produksi Bersih Padi 2025'!A260="","",'1.1 Produksi Bersih Padi 2025'!A260)</f>
        <v/>
      </c>
      <c r="B258" s="32" t="str">
        <f>IF('1.1 Produksi Bersih Padi 2025'!B260="","",'1.1 Produksi Bersih Padi 2025'!B260)</f>
        <v/>
      </c>
      <c r="C258" s="32" t="str">
        <f>IF('1.1 Produksi Bersih Padi 2025'!C260="","",'1.1 Produksi Bersih Padi 2025'!C260)</f>
        <v/>
      </c>
      <c r="D258" s="3" t="str">
        <f>IF('1.1 Produksi Bersih Padi 2025'!D260="","",'1.1 Produksi Bersih Padi 2025'!D260)</f>
        <v/>
      </c>
      <c r="E258" s="3" t="str">
        <f>IF('1.1 Produksi Bersih Padi 2025'!E260="","",'1.1 Produksi Bersih Padi 2025'!E260)</f>
        <v/>
      </c>
      <c r="F258" s="13" t="str">
        <f>'1.1 Produksi Bersih Padi 2025'!Q260</f>
        <v/>
      </c>
      <c r="G258" s="13" t="str">
        <f>'1.2 Produksi Bersih Jagung 2025'!L260</f>
        <v/>
      </c>
      <c r="H258" s="13" t="str">
        <f>'1.3 Prod Bersih Ubi Kayu 2025'!K260</f>
        <v/>
      </c>
      <c r="I258" s="13" t="str">
        <f>'1.4 Prod Bersih Ubi Jalar 2025'!K260</f>
        <v/>
      </c>
      <c r="J258" s="13" t="str">
        <f>'1.5 Prod Bersih Sagu 2025'!K260</f>
        <v/>
      </c>
      <c r="K258" s="13" t="str">
        <f>'1.6 Prod Bersih Pisang 2025'!K260</f>
        <v/>
      </c>
      <c r="L258" s="15">
        <f t="shared" si="9"/>
        <v>0</v>
      </c>
      <c r="M258" s="14" t="str">
        <f>IF(D258="","",VLOOKUP(D258,'[1]0.1 Produksi Pangan &amp; Penduduk'!$D$5:$AU$704,44,0))</f>
        <v/>
      </c>
      <c r="N258" s="26" t="str">
        <f t="shared" si="10"/>
        <v/>
      </c>
      <c r="O258" s="16"/>
      <c r="P258" s="25" t="str">
        <f t="shared" si="11"/>
        <v/>
      </c>
      <c r="Q258" s="8"/>
      <c r="R258" s="11"/>
    </row>
    <row r="259" spans="1:18" ht="15" x14ac:dyDescent="0.25">
      <c r="A259" s="3" t="str">
        <f>IF('1.1 Produksi Bersih Padi 2025'!A261="","",'1.1 Produksi Bersih Padi 2025'!A261)</f>
        <v/>
      </c>
      <c r="B259" s="32" t="str">
        <f>IF('1.1 Produksi Bersih Padi 2025'!B261="","",'1.1 Produksi Bersih Padi 2025'!B261)</f>
        <v/>
      </c>
      <c r="C259" s="32" t="str">
        <f>IF('1.1 Produksi Bersih Padi 2025'!C261="","",'1.1 Produksi Bersih Padi 2025'!C261)</f>
        <v/>
      </c>
      <c r="D259" s="3" t="str">
        <f>IF('1.1 Produksi Bersih Padi 2025'!D261="","",'1.1 Produksi Bersih Padi 2025'!D261)</f>
        <v/>
      </c>
      <c r="E259" s="3" t="str">
        <f>IF('1.1 Produksi Bersih Padi 2025'!E261="","",'1.1 Produksi Bersih Padi 2025'!E261)</f>
        <v/>
      </c>
      <c r="F259" s="13" t="str">
        <f>'1.1 Produksi Bersih Padi 2025'!Q261</f>
        <v/>
      </c>
      <c r="G259" s="13" t="str">
        <f>'1.2 Produksi Bersih Jagung 2025'!L261</f>
        <v/>
      </c>
      <c r="H259" s="13" t="str">
        <f>'1.3 Prod Bersih Ubi Kayu 2025'!K261</f>
        <v/>
      </c>
      <c r="I259" s="13" t="str">
        <f>'1.4 Prod Bersih Ubi Jalar 2025'!K261</f>
        <v/>
      </c>
      <c r="J259" s="13" t="str">
        <f>'1.5 Prod Bersih Sagu 2025'!K261</f>
        <v/>
      </c>
      <c r="K259" s="13" t="str">
        <f>'1.6 Prod Bersih Pisang 2025'!K261</f>
        <v/>
      </c>
      <c r="L259" s="15">
        <f t="shared" si="9"/>
        <v>0</v>
      </c>
      <c r="M259" s="14" t="str">
        <f>IF(D259="","",VLOOKUP(D259,'[1]0.1 Produksi Pangan &amp; Penduduk'!$D$5:$AU$704,44,0))</f>
        <v/>
      </c>
      <c r="N259" s="26" t="str">
        <f t="shared" si="10"/>
        <v/>
      </c>
      <c r="O259" s="16"/>
      <c r="P259" s="25" t="str">
        <f t="shared" si="11"/>
        <v/>
      </c>
      <c r="Q259" s="8"/>
      <c r="R259" s="11"/>
    </row>
    <row r="260" spans="1:18" ht="15" x14ac:dyDescent="0.25">
      <c r="A260" s="3" t="str">
        <f>IF('1.1 Produksi Bersih Padi 2025'!A262="","",'1.1 Produksi Bersih Padi 2025'!A262)</f>
        <v/>
      </c>
      <c r="B260" s="32" t="str">
        <f>IF('1.1 Produksi Bersih Padi 2025'!B262="","",'1.1 Produksi Bersih Padi 2025'!B262)</f>
        <v/>
      </c>
      <c r="C260" s="32" t="str">
        <f>IF('1.1 Produksi Bersih Padi 2025'!C262="","",'1.1 Produksi Bersih Padi 2025'!C262)</f>
        <v/>
      </c>
      <c r="D260" s="3" t="str">
        <f>IF('1.1 Produksi Bersih Padi 2025'!D262="","",'1.1 Produksi Bersih Padi 2025'!D262)</f>
        <v/>
      </c>
      <c r="E260" s="3" t="str">
        <f>IF('1.1 Produksi Bersih Padi 2025'!E262="","",'1.1 Produksi Bersih Padi 2025'!E262)</f>
        <v/>
      </c>
      <c r="F260" s="13" t="str">
        <f>'1.1 Produksi Bersih Padi 2025'!Q262</f>
        <v/>
      </c>
      <c r="G260" s="13" t="str">
        <f>'1.2 Produksi Bersih Jagung 2025'!L262</f>
        <v/>
      </c>
      <c r="H260" s="13" t="str">
        <f>'1.3 Prod Bersih Ubi Kayu 2025'!K262</f>
        <v/>
      </c>
      <c r="I260" s="13" t="str">
        <f>'1.4 Prod Bersih Ubi Jalar 2025'!K262</f>
        <v/>
      </c>
      <c r="J260" s="13" t="str">
        <f>'1.5 Prod Bersih Sagu 2025'!K262</f>
        <v/>
      </c>
      <c r="K260" s="13" t="str">
        <f>'1.6 Prod Bersih Pisang 2025'!K262</f>
        <v/>
      </c>
      <c r="L260" s="15">
        <f t="shared" ref="L260:L323" si="12">IFERROR(SUM(F260:K260),0)</f>
        <v>0</v>
      </c>
      <c r="M260" s="14" t="str">
        <f>IF(D260="","",VLOOKUP(D260,'[1]0.1 Produksi Pangan &amp; Penduduk'!$D$5:$AU$704,44,0))</f>
        <v/>
      </c>
      <c r="N260" s="26" t="str">
        <f t="shared" ref="N260:N323" si="13">IF(M260="","",IFERROR((L260*1000*1000/M260)/365,"-"))</f>
        <v/>
      </c>
      <c r="O260" s="16"/>
      <c r="P260" s="25" t="str">
        <f t="shared" ref="P260:P323" si="14">IF(N260="","",IFERROR(300/N260,"-"))</f>
        <v/>
      </c>
      <c r="Q260" s="8"/>
      <c r="R260" s="11"/>
    </row>
    <row r="261" spans="1:18" ht="15" x14ac:dyDescent="0.25">
      <c r="A261" s="3" t="str">
        <f>IF('1.1 Produksi Bersih Padi 2025'!A263="","",'1.1 Produksi Bersih Padi 2025'!A263)</f>
        <v/>
      </c>
      <c r="B261" s="32" t="str">
        <f>IF('1.1 Produksi Bersih Padi 2025'!B263="","",'1.1 Produksi Bersih Padi 2025'!B263)</f>
        <v/>
      </c>
      <c r="C261" s="32" t="str">
        <f>IF('1.1 Produksi Bersih Padi 2025'!C263="","",'1.1 Produksi Bersih Padi 2025'!C263)</f>
        <v/>
      </c>
      <c r="D261" s="3" t="str">
        <f>IF('1.1 Produksi Bersih Padi 2025'!D263="","",'1.1 Produksi Bersih Padi 2025'!D263)</f>
        <v/>
      </c>
      <c r="E261" s="3" t="str">
        <f>IF('1.1 Produksi Bersih Padi 2025'!E263="","",'1.1 Produksi Bersih Padi 2025'!E263)</f>
        <v/>
      </c>
      <c r="F261" s="13" t="str">
        <f>'1.1 Produksi Bersih Padi 2025'!Q263</f>
        <v/>
      </c>
      <c r="G261" s="13" t="str">
        <f>'1.2 Produksi Bersih Jagung 2025'!L263</f>
        <v/>
      </c>
      <c r="H261" s="13" t="str">
        <f>'1.3 Prod Bersih Ubi Kayu 2025'!K263</f>
        <v/>
      </c>
      <c r="I261" s="13" t="str">
        <f>'1.4 Prod Bersih Ubi Jalar 2025'!K263</f>
        <v/>
      </c>
      <c r="J261" s="13" t="str">
        <f>'1.5 Prod Bersih Sagu 2025'!K263</f>
        <v/>
      </c>
      <c r="K261" s="13" t="str">
        <f>'1.6 Prod Bersih Pisang 2025'!K263</f>
        <v/>
      </c>
      <c r="L261" s="15">
        <f t="shared" si="12"/>
        <v>0</v>
      </c>
      <c r="M261" s="14" t="str">
        <f>IF(D261="","",VLOOKUP(D261,'[1]0.1 Produksi Pangan &amp; Penduduk'!$D$5:$AU$704,44,0))</f>
        <v/>
      </c>
      <c r="N261" s="26" t="str">
        <f t="shared" si="13"/>
        <v/>
      </c>
      <c r="O261" s="16"/>
      <c r="P261" s="25" t="str">
        <f t="shared" si="14"/>
        <v/>
      </c>
      <c r="Q261" s="8"/>
      <c r="R261" s="11"/>
    </row>
    <row r="262" spans="1:18" ht="15" x14ac:dyDescent="0.25">
      <c r="A262" s="3" t="str">
        <f>IF('1.1 Produksi Bersih Padi 2025'!A264="","",'1.1 Produksi Bersih Padi 2025'!A264)</f>
        <v/>
      </c>
      <c r="B262" s="32" t="str">
        <f>IF('1.1 Produksi Bersih Padi 2025'!B264="","",'1.1 Produksi Bersih Padi 2025'!B264)</f>
        <v/>
      </c>
      <c r="C262" s="32" t="str">
        <f>IF('1.1 Produksi Bersih Padi 2025'!C264="","",'1.1 Produksi Bersih Padi 2025'!C264)</f>
        <v/>
      </c>
      <c r="D262" s="3" t="str">
        <f>IF('1.1 Produksi Bersih Padi 2025'!D264="","",'1.1 Produksi Bersih Padi 2025'!D264)</f>
        <v/>
      </c>
      <c r="E262" s="3" t="str">
        <f>IF('1.1 Produksi Bersih Padi 2025'!E264="","",'1.1 Produksi Bersih Padi 2025'!E264)</f>
        <v/>
      </c>
      <c r="F262" s="13" t="str">
        <f>'1.1 Produksi Bersih Padi 2025'!Q264</f>
        <v/>
      </c>
      <c r="G262" s="13" t="str">
        <f>'1.2 Produksi Bersih Jagung 2025'!L264</f>
        <v/>
      </c>
      <c r="H262" s="13" t="str">
        <f>'1.3 Prod Bersih Ubi Kayu 2025'!K264</f>
        <v/>
      </c>
      <c r="I262" s="13" t="str">
        <f>'1.4 Prod Bersih Ubi Jalar 2025'!K264</f>
        <v/>
      </c>
      <c r="J262" s="13" t="str">
        <f>'1.5 Prod Bersih Sagu 2025'!K264</f>
        <v/>
      </c>
      <c r="K262" s="13" t="str">
        <f>'1.6 Prod Bersih Pisang 2025'!K264</f>
        <v/>
      </c>
      <c r="L262" s="15">
        <f t="shared" si="12"/>
        <v>0</v>
      </c>
      <c r="M262" s="14" t="str">
        <f>IF(D262="","",VLOOKUP(D262,'[1]0.1 Produksi Pangan &amp; Penduduk'!$D$5:$AU$704,44,0))</f>
        <v/>
      </c>
      <c r="N262" s="26" t="str">
        <f t="shared" si="13"/>
        <v/>
      </c>
      <c r="O262" s="16"/>
      <c r="P262" s="25" t="str">
        <f t="shared" si="14"/>
        <v/>
      </c>
      <c r="Q262" s="8"/>
      <c r="R262" s="11"/>
    </row>
    <row r="263" spans="1:18" ht="15" x14ac:dyDescent="0.25">
      <c r="A263" s="3" t="str">
        <f>IF('1.1 Produksi Bersih Padi 2025'!A265="","",'1.1 Produksi Bersih Padi 2025'!A265)</f>
        <v/>
      </c>
      <c r="B263" s="32" t="str">
        <f>IF('1.1 Produksi Bersih Padi 2025'!B265="","",'1.1 Produksi Bersih Padi 2025'!B265)</f>
        <v/>
      </c>
      <c r="C263" s="32" t="str">
        <f>IF('1.1 Produksi Bersih Padi 2025'!C265="","",'1.1 Produksi Bersih Padi 2025'!C265)</f>
        <v/>
      </c>
      <c r="D263" s="3" t="str">
        <f>IF('1.1 Produksi Bersih Padi 2025'!D265="","",'1.1 Produksi Bersih Padi 2025'!D265)</f>
        <v/>
      </c>
      <c r="E263" s="3" t="str">
        <f>IF('1.1 Produksi Bersih Padi 2025'!E265="","",'1.1 Produksi Bersih Padi 2025'!E265)</f>
        <v/>
      </c>
      <c r="F263" s="13" t="str">
        <f>'1.1 Produksi Bersih Padi 2025'!Q265</f>
        <v/>
      </c>
      <c r="G263" s="13" t="str">
        <f>'1.2 Produksi Bersih Jagung 2025'!L265</f>
        <v/>
      </c>
      <c r="H263" s="13" t="str">
        <f>'1.3 Prod Bersih Ubi Kayu 2025'!K265</f>
        <v/>
      </c>
      <c r="I263" s="13" t="str">
        <f>'1.4 Prod Bersih Ubi Jalar 2025'!K265</f>
        <v/>
      </c>
      <c r="J263" s="13" t="str">
        <f>'1.5 Prod Bersih Sagu 2025'!K265</f>
        <v/>
      </c>
      <c r="K263" s="13" t="str">
        <f>'1.6 Prod Bersih Pisang 2025'!K265</f>
        <v/>
      </c>
      <c r="L263" s="15">
        <f t="shared" si="12"/>
        <v>0</v>
      </c>
      <c r="M263" s="14" t="str">
        <f>IF(D263="","",VLOOKUP(D263,'[1]0.1 Produksi Pangan &amp; Penduduk'!$D$5:$AU$704,44,0))</f>
        <v/>
      </c>
      <c r="N263" s="26" t="str">
        <f t="shared" si="13"/>
        <v/>
      </c>
      <c r="O263" s="16"/>
      <c r="P263" s="25" t="str">
        <f t="shared" si="14"/>
        <v/>
      </c>
      <c r="Q263" s="8"/>
      <c r="R263" s="11"/>
    </row>
    <row r="264" spans="1:18" ht="15" x14ac:dyDescent="0.25">
      <c r="A264" s="3" t="str">
        <f>IF('1.1 Produksi Bersih Padi 2025'!A266="","",'1.1 Produksi Bersih Padi 2025'!A266)</f>
        <v/>
      </c>
      <c r="B264" s="32" t="str">
        <f>IF('1.1 Produksi Bersih Padi 2025'!B266="","",'1.1 Produksi Bersih Padi 2025'!B266)</f>
        <v/>
      </c>
      <c r="C264" s="32" t="str">
        <f>IF('1.1 Produksi Bersih Padi 2025'!C266="","",'1.1 Produksi Bersih Padi 2025'!C266)</f>
        <v/>
      </c>
      <c r="D264" s="3" t="str">
        <f>IF('1.1 Produksi Bersih Padi 2025'!D266="","",'1.1 Produksi Bersih Padi 2025'!D266)</f>
        <v/>
      </c>
      <c r="E264" s="3" t="str">
        <f>IF('1.1 Produksi Bersih Padi 2025'!E266="","",'1.1 Produksi Bersih Padi 2025'!E266)</f>
        <v/>
      </c>
      <c r="F264" s="13" t="str">
        <f>'1.1 Produksi Bersih Padi 2025'!Q266</f>
        <v/>
      </c>
      <c r="G264" s="13" t="str">
        <f>'1.2 Produksi Bersih Jagung 2025'!L266</f>
        <v/>
      </c>
      <c r="H264" s="13" t="str">
        <f>'1.3 Prod Bersih Ubi Kayu 2025'!K266</f>
        <v/>
      </c>
      <c r="I264" s="13" t="str">
        <f>'1.4 Prod Bersih Ubi Jalar 2025'!K266</f>
        <v/>
      </c>
      <c r="J264" s="13" t="str">
        <f>'1.5 Prod Bersih Sagu 2025'!K266</f>
        <v/>
      </c>
      <c r="K264" s="13" t="str">
        <f>'1.6 Prod Bersih Pisang 2025'!K266</f>
        <v/>
      </c>
      <c r="L264" s="15">
        <f t="shared" si="12"/>
        <v>0</v>
      </c>
      <c r="M264" s="14" t="str">
        <f>IF(D264="","",VLOOKUP(D264,'[1]0.1 Produksi Pangan &amp; Penduduk'!$D$5:$AU$704,44,0))</f>
        <v/>
      </c>
      <c r="N264" s="26" t="str">
        <f t="shared" si="13"/>
        <v/>
      </c>
      <c r="O264" s="16"/>
      <c r="P264" s="25" t="str">
        <f t="shared" si="14"/>
        <v/>
      </c>
      <c r="Q264" s="8"/>
      <c r="R264" s="11"/>
    </row>
    <row r="265" spans="1:18" ht="15" x14ac:dyDescent="0.25">
      <c r="A265" s="3" t="str">
        <f>IF('1.1 Produksi Bersih Padi 2025'!A267="","",'1.1 Produksi Bersih Padi 2025'!A267)</f>
        <v/>
      </c>
      <c r="B265" s="32" t="str">
        <f>IF('1.1 Produksi Bersih Padi 2025'!B267="","",'1.1 Produksi Bersih Padi 2025'!B267)</f>
        <v/>
      </c>
      <c r="C265" s="32" t="str">
        <f>IF('1.1 Produksi Bersih Padi 2025'!C267="","",'1.1 Produksi Bersih Padi 2025'!C267)</f>
        <v/>
      </c>
      <c r="D265" s="3" t="str">
        <f>IF('1.1 Produksi Bersih Padi 2025'!D267="","",'1.1 Produksi Bersih Padi 2025'!D267)</f>
        <v/>
      </c>
      <c r="E265" s="3" t="str">
        <f>IF('1.1 Produksi Bersih Padi 2025'!E267="","",'1.1 Produksi Bersih Padi 2025'!E267)</f>
        <v/>
      </c>
      <c r="F265" s="13" t="str">
        <f>'1.1 Produksi Bersih Padi 2025'!Q267</f>
        <v/>
      </c>
      <c r="G265" s="13" t="str">
        <f>'1.2 Produksi Bersih Jagung 2025'!L267</f>
        <v/>
      </c>
      <c r="H265" s="13" t="str">
        <f>'1.3 Prod Bersih Ubi Kayu 2025'!K267</f>
        <v/>
      </c>
      <c r="I265" s="13" t="str">
        <f>'1.4 Prod Bersih Ubi Jalar 2025'!K267</f>
        <v/>
      </c>
      <c r="J265" s="13" t="str">
        <f>'1.5 Prod Bersih Sagu 2025'!K267</f>
        <v/>
      </c>
      <c r="K265" s="13" t="str">
        <f>'1.6 Prod Bersih Pisang 2025'!K267</f>
        <v/>
      </c>
      <c r="L265" s="15">
        <f t="shared" si="12"/>
        <v>0</v>
      </c>
      <c r="M265" s="14" t="str">
        <f>IF(D265="","",VLOOKUP(D265,'[1]0.1 Produksi Pangan &amp; Penduduk'!$D$5:$AU$704,44,0))</f>
        <v/>
      </c>
      <c r="N265" s="26" t="str">
        <f t="shared" si="13"/>
        <v/>
      </c>
      <c r="O265" s="16"/>
      <c r="P265" s="25" t="str">
        <f t="shared" si="14"/>
        <v/>
      </c>
      <c r="Q265" s="8"/>
      <c r="R265" s="11"/>
    </row>
    <row r="266" spans="1:18" ht="15" x14ac:dyDescent="0.25">
      <c r="A266" s="3" t="str">
        <f>IF('1.1 Produksi Bersih Padi 2025'!A268="","",'1.1 Produksi Bersih Padi 2025'!A268)</f>
        <v/>
      </c>
      <c r="B266" s="32" t="str">
        <f>IF('1.1 Produksi Bersih Padi 2025'!B268="","",'1.1 Produksi Bersih Padi 2025'!B268)</f>
        <v/>
      </c>
      <c r="C266" s="32" t="str">
        <f>IF('1.1 Produksi Bersih Padi 2025'!C268="","",'1.1 Produksi Bersih Padi 2025'!C268)</f>
        <v/>
      </c>
      <c r="D266" s="3" t="str">
        <f>IF('1.1 Produksi Bersih Padi 2025'!D268="","",'1.1 Produksi Bersih Padi 2025'!D268)</f>
        <v/>
      </c>
      <c r="E266" s="3" t="str">
        <f>IF('1.1 Produksi Bersih Padi 2025'!E268="","",'1.1 Produksi Bersih Padi 2025'!E268)</f>
        <v/>
      </c>
      <c r="F266" s="13" t="str">
        <f>'1.1 Produksi Bersih Padi 2025'!Q268</f>
        <v/>
      </c>
      <c r="G266" s="13" t="str">
        <f>'1.2 Produksi Bersih Jagung 2025'!L268</f>
        <v/>
      </c>
      <c r="H266" s="13" t="str">
        <f>'1.3 Prod Bersih Ubi Kayu 2025'!K268</f>
        <v/>
      </c>
      <c r="I266" s="13" t="str">
        <f>'1.4 Prod Bersih Ubi Jalar 2025'!K268</f>
        <v/>
      </c>
      <c r="J266" s="13" t="str">
        <f>'1.5 Prod Bersih Sagu 2025'!K268</f>
        <v/>
      </c>
      <c r="K266" s="13" t="str">
        <f>'1.6 Prod Bersih Pisang 2025'!K268</f>
        <v/>
      </c>
      <c r="L266" s="15">
        <f t="shared" si="12"/>
        <v>0</v>
      </c>
      <c r="M266" s="14" t="str">
        <f>IF(D266="","",VLOOKUP(D266,'[1]0.1 Produksi Pangan &amp; Penduduk'!$D$5:$AU$704,44,0))</f>
        <v/>
      </c>
      <c r="N266" s="26" t="str">
        <f t="shared" si="13"/>
        <v/>
      </c>
      <c r="O266" s="16"/>
      <c r="P266" s="25" t="str">
        <f t="shared" si="14"/>
        <v/>
      </c>
      <c r="Q266" s="8"/>
      <c r="R266" s="11"/>
    </row>
    <row r="267" spans="1:18" ht="15" x14ac:dyDescent="0.25">
      <c r="A267" s="3" t="str">
        <f>IF('1.1 Produksi Bersih Padi 2025'!A269="","",'1.1 Produksi Bersih Padi 2025'!A269)</f>
        <v/>
      </c>
      <c r="B267" s="32" t="str">
        <f>IF('1.1 Produksi Bersih Padi 2025'!B269="","",'1.1 Produksi Bersih Padi 2025'!B269)</f>
        <v/>
      </c>
      <c r="C267" s="32" t="str">
        <f>IF('1.1 Produksi Bersih Padi 2025'!C269="","",'1.1 Produksi Bersih Padi 2025'!C269)</f>
        <v/>
      </c>
      <c r="D267" s="3" t="str">
        <f>IF('1.1 Produksi Bersih Padi 2025'!D269="","",'1.1 Produksi Bersih Padi 2025'!D269)</f>
        <v/>
      </c>
      <c r="E267" s="3" t="str">
        <f>IF('1.1 Produksi Bersih Padi 2025'!E269="","",'1.1 Produksi Bersih Padi 2025'!E269)</f>
        <v/>
      </c>
      <c r="F267" s="13" t="str">
        <f>'1.1 Produksi Bersih Padi 2025'!Q269</f>
        <v/>
      </c>
      <c r="G267" s="13" t="str">
        <f>'1.2 Produksi Bersih Jagung 2025'!L269</f>
        <v/>
      </c>
      <c r="H267" s="13" t="str">
        <f>'1.3 Prod Bersih Ubi Kayu 2025'!K269</f>
        <v/>
      </c>
      <c r="I267" s="13" t="str">
        <f>'1.4 Prod Bersih Ubi Jalar 2025'!K269</f>
        <v/>
      </c>
      <c r="J267" s="13" t="str">
        <f>'1.5 Prod Bersih Sagu 2025'!K269</f>
        <v/>
      </c>
      <c r="K267" s="13" t="str">
        <f>'1.6 Prod Bersih Pisang 2025'!K269</f>
        <v/>
      </c>
      <c r="L267" s="15">
        <f t="shared" si="12"/>
        <v>0</v>
      </c>
      <c r="M267" s="14" t="str">
        <f>IF(D267="","",VLOOKUP(D267,'[1]0.1 Produksi Pangan &amp; Penduduk'!$D$5:$AU$704,44,0))</f>
        <v/>
      </c>
      <c r="N267" s="26" t="str">
        <f t="shared" si="13"/>
        <v/>
      </c>
      <c r="O267" s="16"/>
      <c r="P267" s="25" t="str">
        <f t="shared" si="14"/>
        <v/>
      </c>
      <c r="Q267" s="8"/>
      <c r="R267" s="11"/>
    </row>
    <row r="268" spans="1:18" ht="15" x14ac:dyDescent="0.25">
      <c r="A268" s="3" t="str">
        <f>IF('1.1 Produksi Bersih Padi 2025'!A270="","",'1.1 Produksi Bersih Padi 2025'!A270)</f>
        <v/>
      </c>
      <c r="B268" s="32" t="str">
        <f>IF('1.1 Produksi Bersih Padi 2025'!B270="","",'1.1 Produksi Bersih Padi 2025'!B270)</f>
        <v/>
      </c>
      <c r="C268" s="32" t="str">
        <f>IF('1.1 Produksi Bersih Padi 2025'!C270="","",'1.1 Produksi Bersih Padi 2025'!C270)</f>
        <v/>
      </c>
      <c r="D268" s="3" t="str">
        <f>IF('1.1 Produksi Bersih Padi 2025'!D270="","",'1.1 Produksi Bersih Padi 2025'!D270)</f>
        <v/>
      </c>
      <c r="E268" s="3" t="str">
        <f>IF('1.1 Produksi Bersih Padi 2025'!E270="","",'1.1 Produksi Bersih Padi 2025'!E270)</f>
        <v/>
      </c>
      <c r="F268" s="13" t="str">
        <f>'1.1 Produksi Bersih Padi 2025'!Q270</f>
        <v/>
      </c>
      <c r="G268" s="13" t="str">
        <f>'1.2 Produksi Bersih Jagung 2025'!L270</f>
        <v/>
      </c>
      <c r="H268" s="13" t="str">
        <f>'1.3 Prod Bersih Ubi Kayu 2025'!K270</f>
        <v/>
      </c>
      <c r="I268" s="13" t="str">
        <f>'1.4 Prod Bersih Ubi Jalar 2025'!K270</f>
        <v/>
      </c>
      <c r="J268" s="13" t="str">
        <f>'1.5 Prod Bersih Sagu 2025'!K270</f>
        <v/>
      </c>
      <c r="K268" s="13" t="str">
        <f>'1.6 Prod Bersih Pisang 2025'!K270</f>
        <v/>
      </c>
      <c r="L268" s="15">
        <f t="shared" si="12"/>
        <v>0</v>
      </c>
      <c r="M268" s="14" t="str">
        <f>IF(D268="","",VLOOKUP(D268,'[1]0.1 Produksi Pangan &amp; Penduduk'!$D$5:$AU$704,44,0))</f>
        <v/>
      </c>
      <c r="N268" s="26" t="str">
        <f t="shared" si="13"/>
        <v/>
      </c>
      <c r="O268" s="16"/>
      <c r="P268" s="25" t="str">
        <f t="shared" si="14"/>
        <v/>
      </c>
      <c r="Q268" s="8"/>
      <c r="R268" s="11"/>
    </row>
    <row r="269" spans="1:18" ht="15" x14ac:dyDescent="0.25">
      <c r="A269" s="3" t="str">
        <f>IF('1.1 Produksi Bersih Padi 2025'!A271="","",'1.1 Produksi Bersih Padi 2025'!A271)</f>
        <v/>
      </c>
      <c r="B269" s="32" t="str">
        <f>IF('1.1 Produksi Bersih Padi 2025'!B271="","",'1.1 Produksi Bersih Padi 2025'!B271)</f>
        <v/>
      </c>
      <c r="C269" s="32" t="str">
        <f>IF('1.1 Produksi Bersih Padi 2025'!C271="","",'1.1 Produksi Bersih Padi 2025'!C271)</f>
        <v/>
      </c>
      <c r="D269" s="3" t="str">
        <f>IF('1.1 Produksi Bersih Padi 2025'!D271="","",'1.1 Produksi Bersih Padi 2025'!D271)</f>
        <v/>
      </c>
      <c r="E269" s="3" t="str">
        <f>IF('1.1 Produksi Bersih Padi 2025'!E271="","",'1.1 Produksi Bersih Padi 2025'!E271)</f>
        <v/>
      </c>
      <c r="F269" s="13" t="str">
        <f>'1.1 Produksi Bersih Padi 2025'!Q271</f>
        <v/>
      </c>
      <c r="G269" s="13" t="str">
        <f>'1.2 Produksi Bersih Jagung 2025'!L271</f>
        <v/>
      </c>
      <c r="H269" s="13" t="str">
        <f>'1.3 Prod Bersih Ubi Kayu 2025'!K271</f>
        <v/>
      </c>
      <c r="I269" s="13" t="str">
        <f>'1.4 Prod Bersih Ubi Jalar 2025'!K271</f>
        <v/>
      </c>
      <c r="J269" s="13" t="str">
        <f>'1.5 Prod Bersih Sagu 2025'!K271</f>
        <v/>
      </c>
      <c r="K269" s="13" t="str">
        <f>'1.6 Prod Bersih Pisang 2025'!K271</f>
        <v/>
      </c>
      <c r="L269" s="15">
        <f t="shared" si="12"/>
        <v>0</v>
      </c>
      <c r="M269" s="14" t="str">
        <f>IF(D269="","",VLOOKUP(D269,'[1]0.1 Produksi Pangan &amp; Penduduk'!$D$5:$AU$704,44,0))</f>
        <v/>
      </c>
      <c r="N269" s="26" t="str">
        <f t="shared" si="13"/>
        <v/>
      </c>
      <c r="O269" s="16"/>
      <c r="P269" s="25" t="str">
        <f t="shared" si="14"/>
        <v/>
      </c>
      <c r="Q269" s="8"/>
      <c r="R269" s="11"/>
    </row>
    <row r="270" spans="1:18" ht="15" x14ac:dyDescent="0.25">
      <c r="A270" s="3" t="str">
        <f>IF('1.1 Produksi Bersih Padi 2025'!A272="","",'1.1 Produksi Bersih Padi 2025'!A272)</f>
        <v/>
      </c>
      <c r="B270" s="32" t="str">
        <f>IF('1.1 Produksi Bersih Padi 2025'!B272="","",'1.1 Produksi Bersih Padi 2025'!B272)</f>
        <v/>
      </c>
      <c r="C270" s="32" t="str">
        <f>IF('1.1 Produksi Bersih Padi 2025'!C272="","",'1.1 Produksi Bersih Padi 2025'!C272)</f>
        <v/>
      </c>
      <c r="D270" s="3" t="str">
        <f>IF('1.1 Produksi Bersih Padi 2025'!D272="","",'1.1 Produksi Bersih Padi 2025'!D272)</f>
        <v/>
      </c>
      <c r="E270" s="3" t="str">
        <f>IF('1.1 Produksi Bersih Padi 2025'!E272="","",'1.1 Produksi Bersih Padi 2025'!E272)</f>
        <v/>
      </c>
      <c r="F270" s="13" t="str">
        <f>'1.1 Produksi Bersih Padi 2025'!Q272</f>
        <v/>
      </c>
      <c r="G270" s="13" t="str">
        <f>'1.2 Produksi Bersih Jagung 2025'!L272</f>
        <v/>
      </c>
      <c r="H270" s="13" t="str">
        <f>'1.3 Prod Bersih Ubi Kayu 2025'!K272</f>
        <v/>
      </c>
      <c r="I270" s="13" t="str">
        <f>'1.4 Prod Bersih Ubi Jalar 2025'!K272</f>
        <v/>
      </c>
      <c r="J270" s="13" t="str">
        <f>'1.5 Prod Bersih Sagu 2025'!K272</f>
        <v/>
      </c>
      <c r="K270" s="13" t="str">
        <f>'1.6 Prod Bersih Pisang 2025'!K272</f>
        <v/>
      </c>
      <c r="L270" s="15">
        <f t="shared" si="12"/>
        <v>0</v>
      </c>
      <c r="M270" s="14" t="str">
        <f>IF(D270="","",VLOOKUP(D270,'[1]0.1 Produksi Pangan &amp; Penduduk'!$D$5:$AU$704,44,0))</f>
        <v/>
      </c>
      <c r="N270" s="26" t="str">
        <f t="shared" si="13"/>
        <v/>
      </c>
      <c r="O270" s="16"/>
      <c r="P270" s="25" t="str">
        <f t="shared" si="14"/>
        <v/>
      </c>
      <c r="Q270" s="8"/>
      <c r="R270" s="11"/>
    </row>
    <row r="271" spans="1:18" ht="15" x14ac:dyDescent="0.25">
      <c r="A271" s="3" t="str">
        <f>IF('1.1 Produksi Bersih Padi 2025'!A273="","",'1.1 Produksi Bersih Padi 2025'!A273)</f>
        <v/>
      </c>
      <c r="B271" s="32" t="str">
        <f>IF('1.1 Produksi Bersih Padi 2025'!B273="","",'1.1 Produksi Bersih Padi 2025'!B273)</f>
        <v/>
      </c>
      <c r="C271" s="32" t="str">
        <f>IF('1.1 Produksi Bersih Padi 2025'!C273="","",'1.1 Produksi Bersih Padi 2025'!C273)</f>
        <v/>
      </c>
      <c r="D271" s="3" t="str">
        <f>IF('1.1 Produksi Bersih Padi 2025'!D273="","",'1.1 Produksi Bersih Padi 2025'!D273)</f>
        <v/>
      </c>
      <c r="E271" s="3" t="str">
        <f>IF('1.1 Produksi Bersih Padi 2025'!E273="","",'1.1 Produksi Bersih Padi 2025'!E273)</f>
        <v/>
      </c>
      <c r="F271" s="13" t="str">
        <f>'1.1 Produksi Bersih Padi 2025'!Q273</f>
        <v/>
      </c>
      <c r="G271" s="13" t="str">
        <f>'1.2 Produksi Bersih Jagung 2025'!L273</f>
        <v/>
      </c>
      <c r="H271" s="13" t="str">
        <f>'1.3 Prod Bersih Ubi Kayu 2025'!K273</f>
        <v/>
      </c>
      <c r="I271" s="13" t="str">
        <f>'1.4 Prod Bersih Ubi Jalar 2025'!K273</f>
        <v/>
      </c>
      <c r="J271" s="13" t="str">
        <f>'1.5 Prod Bersih Sagu 2025'!K273</f>
        <v/>
      </c>
      <c r="K271" s="13" t="str">
        <f>'1.6 Prod Bersih Pisang 2025'!K273</f>
        <v/>
      </c>
      <c r="L271" s="15">
        <f t="shared" si="12"/>
        <v>0</v>
      </c>
      <c r="M271" s="14" t="str">
        <f>IF(D271="","",VLOOKUP(D271,'[1]0.1 Produksi Pangan &amp; Penduduk'!$D$5:$AU$704,44,0))</f>
        <v/>
      </c>
      <c r="N271" s="26" t="str">
        <f t="shared" si="13"/>
        <v/>
      </c>
      <c r="O271" s="16"/>
      <c r="P271" s="25" t="str">
        <f t="shared" si="14"/>
        <v/>
      </c>
      <c r="Q271" s="8"/>
      <c r="R271" s="11"/>
    </row>
    <row r="272" spans="1:18" ht="15" x14ac:dyDescent="0.25">
      <c r="A272" s="3" t="str">
        <f>IF('1.1 Produksi Bersih Padi 2025'!A274="","",'1.1 Produksi Bersih Padi 2025'!A274)</f>
        <v/>
      </c>
      <c r="B272" s="32" t="str">
        <f>IF('1.1 Produksi Bersih Padi 2025'!B274="","",'1.1 Produksi Bersih Padi 2025'!B274)</f>
        <v/>
      </c>
      <c r="C272" s="32" t="str">
        <f>IF('1.1 Produksi Bersih Padi 2025'!C274="","",'1.1 Produksi Bersih Padi 2025'!C274)</f>
        <v/>
      </c>
      <c r="D272" s="3" t="str">
        <f>IF('1.1 Produksi Bersih Padi 2025'!D274="","",'1.1 Produksi Bersih Padi 2025'!D274)</f>
        <v/>
      </c>
      <c r="E272" s="3" t="str">
        <f>IF('1.1 Produksi Bersih Padi 2025'!E274="","",'1.1 Produksi Bersih Padi 2025'!E274)</f>
        <v/>
      </c>
      <c r="F272" s="13" t="str">
        <f>'1.1 Produksi Bersih Padi 2025'!Q274</f>
        <v/>
      </c>
      <c r="G272" s="13" t="str">
        <f>'1.2 Produksi Bersih Jagung 2025'!L274</f>
        <v/>
      </c>
      <c r="H272" s="13" t="str">
        <f>'1.3 Prod Bersih Ubi Kayu 2025'!K274</f>
        <v/>
      </c>
      <c r="I272" s="13" t="str">
        <f>'1.4 Prod Bersih Ubi Jalar 2025'!K274</f>
        <v/>
      </c>
      <c r="J272" s="13" t="str">
        <f>'1.5 Prod Bersih Sagu 2025'!K274</f>
        <v/>
      </c>
      <c r="K272" s="13" t="str">
        <f>'1.6 Prod Bersih Pisang 2025'!K274</f>
        <v/>
      </c>
      <c r="L272" s="15">
        <f t="shared" si="12"/>
        <v>0</v>
      </c>
      <c r="M272" s="14" t="str">
        <f>IF(D272="","",VLOOKUP(D272,'[1]0.1 Produksi Pangan &amp; Penduduk'!$D$5:$AU$704,44,0))</f>
        <v/>
      </c>
      <c r="N272" s="26" t="str">
        <f t="shared" si="13"/>
        <v/>
      </c>
      <c r="O272" s="16"/>
      <c r="P272" s="25" t="str">
        <f t="shared" si="14"/>
        <v/>
      </c>
      <c r="Q272" s="8"/>
      <c r="R272" s="11"/>
    </row>
    <row r="273" spans="1:18" ht="15" x14ac:dyDescent="0.25">
      <c r="A273" s="3" t="str">
        <f>IF('1.1 Produksi Bersih Padi 2025'!A275="","",'1.1 Produksi Bersih Padi 2025'!A275)</f>
        <v/>
      </c>
      <c r="B273" s="32" t="str">
        <f>IF('1.1 Produksi Bersih Padi 2025'!B275="","",'1.1 Produksi Bersih Padi 2025'!B275)</f>
        <v/>
      </c>
      <c r="C273" s="32" t="str">
        <f>IF('1.1 Produksi Bersih Padi 2025'!C275="","",'1.1 Produksi Bersih Padi 2025'!C275)</f>
        <v/>
      </c>
      <c r="D273" s="3" t="str">
        <f>IF('1.1 Produksi Bersih Padi 2025'!D275="","",'1.1 Produksi Bersih Padi 2025'!D275)</f>
        <v/>
      </c>
      <c r="E273" s="3" t="str">
        <f>IF('1.1 Produksi Bersih Padi 2025'!E275="","",'1.1 Produksi Bersih Padi 2025'!E275)</f>
        <v/>
      </c>
      <c r="F273" s="13" t="str">
        <f>'1.1 Produksi Bersih Padi 2025'!Q275</f>
        <v/>
      </c>
      <c r="G273" s="13" t="str">
        <f>'1.2 Produksi Bersih Jagung 2025'!L275</f>
        <v/>
      </c>
      <c r="H273" s="13" t="str">
        <f>'1.3 Prod Bersih Ubi Kayu 2025'!K275</f>
        <v/>
      </c>
      <c r="I273" s="13" t="str">
        <f>'1.4 Prod Bersih Ubi Jalar 2025'!K275</f>
        <v/>
      </c>
      <c r="J273" s="13" t="str">
        <f>'1.5 Prod Bersih Sagu 2025'!K275</f>
        <v/>
      </c>
      <c r="K273" s="13" t="str">
        <f>'1.6 Prod Bersih Pisang 2025'!K275</f>
        <v/>
      </c>
      <c r="L273" s="15">
        <f t="shared" si="12"/>
        <v>0</v>
      </c>
      <c r="M273" s="14" t="str">
        <f>IF(D273="","",VLOOKUP(D273,'[1]0.1 Produksi Pangan &amp; Penduduk'!$D$5:$AU$704,44,0))</f>
        <v/>
      </c>
      <c r="N273" s="26" t="str">
        <f t="shared" si="13"/>
        <v/>
      </c>
      <c r="O273" s="16"/>
      <c r="P273" s="25" t="str">
        <f t="shared" si="14"/>
        <v/>
      </c>
      <c r="Q273" s="8"/>
      <c r="R273" s="11"/>
    </row>
    <row r="274" spans="1:18" ht="15" x14ac:dyDescent="0.25">
      <c r="A274" s="3" t="str">
        <f>IF('1.1 Produksi Bersih Padi 2025'!A276="","",'1.1 Produksi Bersih Padi 2025'!A276)</f>
        <v/>
      </c>
      <c r="B274" s="32" t="str">
        <f>IF('1.1 Produksi Bersih Padi 2025'!B276="","",'1.1 Produksi Bersih Padi 2025'!B276)</f>
        <v/>
      </c>
      <c r="C274" s="32" t="str">
        <f>IF('1.1 Produksi Bersih Padi 2025'!C276="","",'1.1 Produksi Bersih Padi 2025'!C276)</f>
        <v/>
      </c>
      <c r="D274" s="3" t="str">
        <f>IF('1.1 Produksi Bersih Padi 2025'!D276="","",'1.1 Produksi Bersih Padi 2025'!D276)</f>
        <v/>
      </c>
      <c r="E274" s="3" t="str">
        <f>IF('1.1 Produksi Bersih Padi 2025'!E276="","",'1.1 Produksi Bersih Padi 2025'!E276)</f>
        <v/>
      </c>
      <c r="F274" s="13" t="str">
        <f>'1.1 Produksi Bersih Padi 2025'!Q276</f>
        <v/>
      </c>
      <c r="G274" s="13" t="str">
        <f>'1.2 Produksi Bersih Jagung 2025'!L276</f>
        <v/>
      </c>
      <c r="H274" s="13" t="str">
        <f>'1.3 Prod Bersih Ubi Kayu 2025'!K276</f>
        <v/>
      </c>
      <c r="I274" s="13" t="str">
        <f>'1.4 Prod Bersih Ubi Jalar 2025'!K276</f>
        <v/>
      </c>
      <c r="J274" s="13" t="str">
        <f>'1.5 Prod Bersih Sagu 2025'!K276</f>
        <v/>
      </c>
      <c r="K274" s="13" t="str">
        <f>'1.6 Prod Bersih Pisang 2025'!K276</f>
        <v/>
      </c>
      <c r="L274" s="15">
        <f t="shared" si="12"/>
        <v>0</v>
      </c>
      <c r="M274" s="14" t="str">
        <f>IF(D274="","",VLOOKUP(D274,'[1]0.1 Produksi Pangan &amp; Penduduk'!$D$5:$AU$704,44,0))</f>
        <v/>
      </c>
      <c r="N274" s="26" t="str">
        <f t="shared" si="13"/>
        <v/>
      </c>
      <c r="O274" s="16"/>
      <c r="P274" s="25" t="str">
        <f t="shared" si="14"/>
        <v/>
      </c>
      <c r="Q274" s="8"/>
      <c r="R274" s="11"/>
    </row>
    <row r="275" spans="1:18" ht="15" x14ac:dyDescent="0.25">
      <c r="A275" s="3" t="str">
        <f>IF('1.1 Produksi Bersih Padi 2025'!A277="","",'1.1 Produksi Bersih Padi 2025'!A277)</f>
        <v/>
      </c>
      <c r="B275" s="32" t="str">
        <f>IF('1.1 Produksi Bersih Padi 2025'!B277="","",'1.1 Produksi Bersih Padi 2025'!B277)</f>
        <v/>
      </c>
      <c r="C275" s="32" t="str">
        <f>IF('1.1 Produksi Bersih Padi 2025'!C277="","",'1.1 Produksi Bersih Padi 2025'!C277)</f>
        <v/>
      </c>
      <c r="D275" s="3" t="str">
        <f>IF('1.1 Produksi Bersih Padi 2025'!D277="","",'1.1 Produksi Bersih Padi 2025'!D277)</f>
        <v/>
      </c>
      <c r="E275" s="3" t="str">
        <f>IF('1.1 Produksi Bersih Padi 2025'!E277="","",'1.1 Produksi Bersih Padi 2025'!E277)</f>
        <v/>
      </c>
      <c r="F275" s="13" t="str">
        <f>'1.1 Produksi Bersih Padi 2025'!Q277</f>
        <v/>
      </c>
      <c r="G275" s="13" t="str">
        <f>'1.2 Produksi Bersih Jagung 2025'!L277</f>
        <v/>
      </c>
      <c r="H275" s="13" t="str">
        <f>'1.3 Prod Bersih Ubi Kayu 2025'!K277</f>
        <v/>
      </c>
      <c r="I275" s="13" t="str">
        <f>'1.4 Prod Bersih Ubi Jalar 2025'!K277</f>
        <v/>
      </c>
      <c r="J275" s="13" t="str">
        <f>'1.5 Prod Bersih Sagu 2025'!K277</f>
        <v/>
      </c>
      <c r="K275" s="13" t="str">
        <f>'1.6 Prod Bersih Pisang 2025'!K277</f>
        <v/>
      </c>
      <c r="L275" s="15">
        <f t="shared" si="12"/>
        <v>0</v>
      </c>
      <c r="M275" s="14" t="str">
        <f>IF(D275="","",VLOOKUP(D275,'[1]0.1 Produksi Pangan &amp; Penduduk'!$D$5:$AU$704,44,0))</f>
        <v/>
      </c>
      <c r="N275" s="26" t="str">
        <f t="shared" si="13"/>
        <v/>
      </c>
      <c r="O275" s="16"/>
      <c r="P275" s="25" t="str">
        <f t="shared" si="14"/>
        <v/>
      </c>
      <c r="Q275" s="8"/>
      <c r="R275" s="11"/>
    </row>
    <row r="276" spans="1:18" ht="15" x14ac:dyDescent="0.25">
      <c r="A276" s="3" t="str">
        <f>IF('1.1 Produksi Bersih Padi 2025'!A278="","",'1.1 Produksi Bersih Padi 2025'!A278)</f>
        <v/>
      </c>
      <c r="B276" s="32" t="str">
        <f>IF('1.1 Produksi Bersih Padi 2025'!B278="","",'1.1 Produksi Bersih Padi 2025'!B278)</f>
        <v/>
      </c>
      <c r="C276" s="32" t="str">
        <f>IF('1.1 Produksi Bersih Padi 2025'!C278="","",'1.1 Produksi Bersih Padi 2025'!C278)</f>
        <v/>
      </c>
      <c r="D276" s="3" t="str">
        <f>IF('1.1 Produksi Bersih Padi 2025'!D278="","",'1.1 Produksi Bersih Padi 2025'!D278)</f>
        <v/>
      </c>
      <c r="E276" s="3" t="str">
        <f>IF('1.1 Produksi Bersih Padi 2025'!E278="","",'1.1 Produksi Bersih Padi 2025'!E278)</f>
        <v/>
      </c>
      <c r="F276" s="13" t="str">
        <f>'1.1 Produksi Bersih Padi 2025'!Q278</f>
        <v/>
      </c>
      <c r="G276" s="13" t="str">
        <f>'1.2 Produksi Bersih Jagung 2025'!L278</f>
        <v/>
      </c>
      <c r="H276" s="13" t="str">
        <f>'1.3 Prod Bersih Ubi Kayu 2025'!K278</f>
        <v/>
      </c>
      <c r="I276" s="13" t="str">
        <f>'1.4 Prod Bersih Ubi Jalar 2025'!K278</f>
        <v/>
      </c>
      <c r="J276" s="13" t="str">
        <f>'1.5 Prod Bersih Sagu 2025'!K278</f>
        <v/>
      </c>
      <c r="K276" s="13" t="str">
        <f>'1.6 Prod Bersih Pisang 2025'!K278</f>
        <v/>
      </c>
      <c r="L276" s="15">
        <f t="shared" si="12"/>
        <v>0</v>
      </c>
      <c r="M276" s="14" t="str">
        <f>IF(D276="","",VLOOKUP(D276,'[1]0.1 Produksi Pangan &amp; Penduduk'!$D$5:$AU$704,44,0))</f>
        <v/>
      </c>
      <c r="N276" s="26" t="str">
        <f t="shared" si="13"/>
        <v/>
      </c>
      <c r="O276" s="16"/>
      <c r="P276" s="25" t="str">
        <f t="shared" si="14"/>
        <v/>
      </c>
      <c r="Q276" s="8"/>
      <c r="R276" s="11"/>
    </row>
    <row r="277" spans="1:18" ht="15" x14ac:dyDescent="0.25">
      <c r="A277" s="3" t="str">
        <f>IF('1.1 Produksi Bersih Padi 2025'!A279="","",'1.1 Produksi Bersih Padi 2025'!A279)</f>
        <v/>
      </c>
      <c r="B277" s="32" t="str">
        <f>IF('1.1 Produksi Bersih Padi 2025'!B279="","",'1.1 Produksi Bersih Padi 2025'!B279)</f>
        <v/>
      </c>
      <c r="C277" s="32" t="str">
        <f>IF('1.1 Produksi Bersih Padi 2025'!C279="","",'1.1 Produksi Bersih Padi 2025'!C279)</f>
        <v/>
      </c>
      <c r="D277" s="3" t="str">
        <f>IF('1.1 Produksi Bersih Padi 2025'!D279="","",'1.1 Produksi Bersih Padi 2025'!D279)</f>
        <v/>
      </c>
      <c r="E277" s="3" t="str">
        <f>IF('1.1 Produksi Bersih Padi 2025'!E279="","",'1.1 Produksi Bersih Padi 2025'!E279)</f>
        <v/>
      </c>
      <c r="F277" s="13" t="str">
        <f>'1.1 Produksi Bersih Padi 2025'!Q279</f>
        <v/>
      </c>
      <c r="G277" s="13" t="str">
        <f>'1.2 Produksi Bersih Jagung 2025'!L279</f>
        <v/>
      </c>
      <c r="H277" s="13" t="str">
        <f>'1.3 Prod Bersih Ubi Kayu 2025'!K279</f>
        <v/>
      </c>
      <c r="I277" s="13" t="str">
        <f>'1.4 Prod Bersih Ubi Jalar 2025'!K279</f>
        <v/>
      </c>
      <c r="J277" s="13" t="str">
        <f>'1.5 Prod Bersih Sagu 2025'!K279</f>
        <v/>
      </c>
      <c r="K277" s="13" t="str">
        <f>'1.6 Prod Bersih Pisang 2025'!K279</f>
        <v/>
      </c>
      <c r="L277" s="15">
        <f t="shared" si="12"/>
        <v>0</v>
      </c>
      <c r="M277" s="14" t="str">
        <f>IF(D277="","",VLOOKUP(D277,'[1]0.1 Produksi Pangan &amp; Penduduk'!$D$5:$AU$704,44,0))</f>
        <v/>
      </c>
      <c r="N277" s="26" t="str">
        <f t="shared" si="13"/>
        <v/>
      </c>
      <c r="O277" s="16"/>
      <c r="P277" s="25" t="str">
        <f t="shared" si="14"/>
        <v/>
      </c>
      <c r="Q277" s="8"/>
      <c r="R277" s="11"/>
    </row>
    <row r="278" spans="1:18" ht="15" x14ac:dyDescent="0.25">
      <c r="A278" s="3" t="str">
        <f>IF('1.1 Produksi Bersih Padi 2025'!A280="","",'1.1 Produksi Bersih Padi 2025'!A280)</f>
        <v/>
      </c>
      <c r="B278" s="32" t="str">
        <f>IF('1.1 Produksi Bersih Padi 2025'!B280="","",'1.1 Produksi Bersih Padi 2025'!B280)</f>
        <v/>
      </c>
      <c r="C278" s="32" t="str">
        <f>IF('1.1 Produksi Bersih Padi 2025'!C280="","",'1.1 Produksi Bersih Padi 2025'!C280)</f>
        <v/>
      </c>
      <c r="D278" s="3" t="str">
        <f>IF('1.1 Produksi Bersih Padi 2025'!D280="","",'1.1 Produksi Bersih Padi 2025'!D280)</f>
        <v/>
      </c>
      <c r="E278" s="3" t="str">
        <f>IF('1.1 Produksi Bersih Padi 2025'!E280="","",'1.1 Produksi Bersih Padi 2025'!E280)</f>
        <v/>
      </c>
      <c r="F278" s="13" t="str">
        <f>'1.1 Produksi Bersih Padi 2025'!Q280</f>
        <v/>
      </c>
      <c r="G278" s="13" t="str">
        <f>'1.2 Produksi Bersih Jagung 2025'!L280</f>
        <v/>
      </c>
      <c r="H278" s="13" t="str">
        <f>'1.3 Prod Bersih Ubi Kayu 2025'!K280</f>
        <v/>
      </c>
      <c r="I278" s="13" t="str">
        <f>'1.4 Prod Bersih Ubi Jalar 2025'!K280</f>
        <v/>
      </c>
      <c r="J278" s="13" t="str">
        <f>'1.5 Prod Bersih Sagu 2025'!K280</f>
        <v/>
      </c>
      <c r="K278" s="13" t="str">
        <f>'1.6 Prod Bersih Pisang 2025'!K280</f>
        <v/>
      </c>
      <c r="L278" s="15">
        <f t="shared" si="12"/>
        <v>0</v>
      </c>
      <c r="M278" s="14" t="str">
        <f>IF(D278="","",VLOOKUP(D278,'[1]0.1 Produksi Pangan &amp; Penduduk'!$D$5:$AU$704,44,0))</f>
        <v/>
      </c>
      <c r="N278" s="26" t="str">
        <f t="shared" si="13"/>
        <v/>
      </c>
      <c r="O278" s="16"/>
      <c r="P278" s="25" t="str">
        <f t="shared" si="14"/>
        <v/>
      </c>
      <c r="Q278" s="8"/>
      <c r="R278" s="11"/>
    </row>
    <row r="279" spans="1:18" ht="15" x14ac:dyDescent="0.25">
      <c r="A279" s="3" t="str">
        <f>IF('1.1 Produksi Bersih Padi 2025'!A281="","",'1.1 Produksi Bersih Padi 2025'!A281)</f>
        <v/>
      </c>
      <c r="B279" s="32" t="str">
        <f>IF('1.1 Produksi Bersih Padi 2025'!B281="","",'1.1 Produksi Bersih Padi 2025'!B281)</f>
        <v/>
      </c>
      <c r="C279" s="32" t="str">
        <f>IF('1.1 Produksi Bersih Padi 2025'!C281="","",'1.1 Produksi Bersih Padi 2025'!C281)</f>
        <v/>
      </c>
      <c r="D279" s="3" t="str">
        <f>IF('1.1 Produksi Bersih Padi 2025'!D281="","",'1.1 Produksi Bersih Padi 2025'!D281)</f>
        <v/>
      </c>
      <c r="E279" s="3" t="str">
        <f>IF('1.1 Produksi Bersih Padi 2025'!E281="","",'1.1 Produksi Bersih Padi 2025'!E281)</f>
        <v/>
      </c>
      <c r="F279" s="13" t="str">
        <f>'1.1 Produksi Bersih Padi 2025'!Q281</f>
        <v/>
      </c>
      <c r="G279" s="13" t="str">
        <f>'1.2 Produksi Bersih Jagung 2025'!L281</f>
        <v/>
      </c>
      <c r="H279" s="13" t="str">
        <f>'1.3 Prod Bersih Ubi Kayu 2025'!K281</f>
        <v/>
      </c>
      <c r="I279" s="13" t="str">
        <f>'1.4 Prod Bersih Ubi Jalar 2025'!K281</f>
        <v/>
      </c>
      <c r="J279" s="13" t="str">
        <f>'1.5 Prod Bersih Sagu 2025'!K281</f>
        <v/>
      </c>
      <c r="K279" s="13" t="str">
        <f>'1.6 Prod Bersih Pisang 2025'!K281</f>
        <v/>
      </c>
      <c r="L279" s="15">
        <f t="shared" si="12"/>
        <v>0</v>
      </c>
      <c r="M279" s="14" t="str">
        <f>IF(D279="","",VLOOKUP(D279,'[1]0.1 Produksi Pangan &amp; Penduduk'!$D$5:$AU$704,44,0))</f>
        <v/>
      </c>
      <c r="N279" s="26" t="str">
        <f t="shared" si="13"/>
        <v/>
      </c>
      <c r="O279" s="16"/>
      <c r="P279" s="25" t="str">
        <f t="shared" si="14"/>
        <v/>
      </c>
      <c r="Q279" s="8"/>
      <c r="R279" s="11"/>
    </row>
    <row r="280" spans="1:18" ht="15" x14ac:dyDescent="0.25">
      <c r="A280" s="3" t="str">
        <f>IF('1.1 Produksi Bersih Padi 2025'!A282="","",'1.1 Produksi Bersih Padi 2025'!A282)</f>
        <v/>
      </c>
      <c r="B280" s="32" t="str">
        <f>IF('1.1 Produksi Bersih Padi 2025'!B282="","",'1.1 Produksi Bersih Padi 2025'!B282)</f>
        <v/>
      </c>
      <c r="C280" s="32" t="str">
        <f>IF('1.1 Produksi Bersih Padi 2025'!C282="","",'1.1 Produksi Bersih Padi 2025'!C282)</f>
        <v/>
      </c>
      <c r="D280" s="3" t="str">
        <f>IF('1.1 Produksi Bersih Padi 2025'!D282="","",'1.1 Produksi Bersih Padi 2025'!D282)</f>
        <v/>
      </c>
      <c r="E280" s="3" t="str">
        <f>IF('1.1 Produksi Bersih Padi 2025'!E282="","",'1.1 Produksi Bersih Padi 2025'!E282)</f>
        <v/>
      </c>
      <c r="F280" s="13" t="str">
        <f>'1.1 Produksi Bersih Padi 2025'!Q282</f>
        <v/>
      </c>
      <c r="G280" s="13" t="str">
        <f>'1.2 Produksi Bersih Jagung 2025'!L282</f>
        <v/>
      </c>
      <c r="H280" s="13" t="str">
        <f>'1.3 Prod Bersih Ubi Kayu 2025'!K282</f>
        <v/>
      </c>
      <c r="I280" s="13" t="str">
        <f>'1.4 Prod Bersih Ubi Jalar 2025'!K282</f>
        <v/>
      </c>
      <c r="J280" s="13" t="str">
        <f>'1.5 Prod Bersih Sagu 2025'!K282</f>
        <v/>
      </c>
      <c r="K280" s="13" t="str">
        <f>'1.6 Prod Bersih Pisang 2025'!K282</f>
        <v/>
      </c>
      <c r="L280" s="15">
        <f t="shared" si="12"/>
        <v>0</v>
      </c>
      <c r="M280" s="14" t="str">
        <f>IF(D280="","",VLOOKUP(D280,'[1]0.1 Produksi Pangan &amp; Penduduk'!$D$5:$AU$704,44,0))</f>
        <v/>
      </c>
      <c r="N280" s="26" t="str">
        <f t="shared" si="13"/>
        <v/>
      </c>
      <c r="O280" s="16"/>
      <c r="P280" s="25" t="str">
        <f t="shared" si="14"/>
        <v/>
      </c>
      <c r="Q280" s="8"/>
      <c r="R280" s="11"/>
    </row>
    <row r="281" spans="1:18" ht="15" x14ac:dyDescent="0.25">
      <c r="A281" s="3" t="str">
        <f>IF('1.1 Produksi Bersih Padi 2025'!A283="","",'1.1 Produksi Bersih Padi 2025'!A283)</f>
        <v/>
      </c>
      <c r="B281" s="32" t="str">
        <f>IF('1.1 Produksi Bersih Padi 2025'!B283="","",'1.1 Produksi Bersih Padi 2025'!B283)</f>
        <v/>
      </c>
      <c r="C281" s="32" t="str">
        <f>IF('1.1 Produksi Bersih Padi 2025'!C283="","",'1.1 Produksi Bersih Padi 2025'!C283)</f>
        <v/>
      </c>
      <c r="D281" s="3" t="str">
        <f>IF('1.1 Produksi Bersih Padi 2025'!D283="","",'1.1 Produksi Bersih Padi 2025'!D283)</f>
        <v/>
      </c>
      <c r="E281" s="3" t="str">
        <f>IF('1.1 Produksi Bersih Padi 2025'!E283="","",'1.1 Produksi Bersih Padi 2025'!E283)</f>
        <v/>
      </c>
      <c r="F281" s="13" t="str">
        <f>'1.1 Produksi Bersih Padi 2025'!Q283</f>
        <v/>
      </c>
      <c r="G281" s="13" t="str">
        <f>'1.2 Produksi Bersih Jagung 2025'!L283</f>
        <v/>
      </c>
      <c r="H281" s="13" t="str">
        <f>'1.3 Prod Bersih Ubi Kayu 2025'!K283</f>
        <v/>
      </c>
      <c r="I281" s="13" t="str">
        <f>'1.4 Prod Bersih Ubi Jalar 2025'!K283</f>
        <v/>
      </c>
      <c r="J281" s="13" t="str">
        <f>'1.5 Prod Bersih Sagu 2025'!K283</f>
        <v/>
      </c>
      <c r="K281" s="13" t="str">
        <f>'1.6 Prod Bersih Pisang 2025'!K283</f>
        <v/>
      </c>
      <c r="L281" s="15">
        <f t="shared" si="12"/>
        <v>0</v>
      </c>
      <c r="M281" s="14" t="str">
        <f>IF(D281="","",VLOOKUP(D281,'[1]0.1 Produksi Pangan &amp; Penduduk'!$D$5:$AU$704,44,0))</f>
        <v/>
      </c>
      <c r="N281" s="26" t="str">
        <f t="shared" si="13"/>
        <v/>
      </c>
      <c r="O281" s="16"/>
      <c r="P281" s="25" t="str">
        <f t="shared" si="14"/>
        <v/>
      </c>
      <c r="Q281" s="8"/>
      <c r="R281" s="11"/>
    </row>
    <row r="282" spans="1:18" ht="15" x14ac:dyDescent="0.25">
      <c r="A282" s="3" t="str">
        <f>IF('1.1 Produksi Bersih Padi 2025'!A284="","",'1.1 Produksi Bersih Padi 2025'!A284)</f>
        <v/>
      </c>
      <c r="B282" s="32" t="str">
        <f>IF('1.1 Produksi Bersih Padi 2025'!B284="","",'1.1 Produksi Bersih Padi 2025'!B284)</f>
        <v/>
      </c>
      <c r="C282" s="32" t="str">
        <f>IF('1.1 Produksi Bersih Padi 2025'!C284="","",'1.1 Produksi Bersih Padi 2025'!C284)</f>
        <v/>
      </c>
      <c r="D282" s="3" t="str">
        <f>IF('1.1 Produksi Bersih Padi 2025'!D284="","",'1.1 Produksi Bersih Padi 2025'!D284)</f>
        <v/>
      </c>
      <c r="E282" s="3" t="str">
        <f>IF('1.1 Produksi Bersih Padi 2025'!E284="","",'1.1 Produksi Bersih Padi 2025'!E284)</f>
        <v/>
      </c>
      <c r="F282" s="13" t="str">
        <f>'1.1 Produksi Bersih Padi 2025'!Q284</f>
        <v/>
      </c>
      <c r="G282" s="13" t="str">
        <f>'1.2 Produksi Bersih Jagung 2025'!L284</f>
        <v/>
      </c>
      <c r="H282" s="13" t="str">
        <f>'1.3 Prod Bersih Ubi Kayu 2025'!K284</f>
        <v/>
      </c>
      <c r="I282" s="13" t="str">
        <f>'1.4 Prod Bersih Ubi Jalar 2025'!K284</f>
        <v/>
      </c>
      <c r="J282" s="13" t="str">
        <f>'1.5 Prod Bersih Sagu 2025'!K284</f>
        <v/>
      </c>
      <c r="K282" s="13" t="str">
        <f>'1.6 Prod Bersih Pisang 2025'!K284</f>
        <v/>
      </c>
      <c r="L282" s="15">
        <f t="shared" si="12"/>
        <v>0</v>
      </c>
      <c r="M282" s="14" t="str">
        <f>IF(D282="","",VLOOKUP(D282,'[1]0.1 Produksi Pangan &amp; Penduduk'!$D$5:$AU$704,44,0))</f>
        <v/>
      </c>
      <c r="N282" s="26" t="str">
        <f t="shared" si="13"/>
        <v/>
      </c>
      <c r="O282" s="16"/>
      <c r="P282" s="25" t="str">
        <f t="shared" si="14"/>
        <v/>
      </c>
      <c r="Q282" s="8"/>
      <c r="R282" s="11"/>
    </row>
    <row r="283" spans="1:18" ht="15" x14ac:dyDescent="0.25">
      <c r="A283" s="3" t="str">
        <f>IF('1.1 Produksi Bersih Padi 2025'!A285="","",'1.1 Produksi Bersih Padi 2025'!A285)</f>
        <v/>
      </c>
      <c r="B283" s="32" t="str">
        <f>IF('1.1 Produksi Bersih Padi 2025'!B285="","",'1.1 Produksi Bersih Padi 2025'!B285)</f>
        <v/>
      </c>
      <c r="C283" s="32" t="str">
        <f>IF('1.1 Produksi Bersih Padi 2025'!C285="","",'1.1 Produksi Bersih Padi 2025'!C285)</f>
        <v/>
      </c>
      <c r="D283" s="3" t="str">
        <f>IF('1.1 Produksi Bersih Padi 2025'!D285="","",'1.1 Produksi Bersih Padi 2025'!D285)</f>
        <v/>
      </c>
      <c r="E283" s="3" t="str">
        <f>IF('1.1 Produksi Bersih Padi 2025'!E285="","",'1.1 Produksi Bersih Padi 2025'!E285)</f>
        <v/>
      </c>
      <c r="F283" s="13" t="str">
        <f>'1.1 Produksi Bersih Padi 2025'!Q285</f>
        <v/>
      </c>
      <c r="G283" s="13" t="str">
        <f>'1.2 Produksi Bersih Jagung 2025'!L285</f>
        <v/>
      </c>
      <c r="H283" s="13" t="str">
        <f>'1.3 Prod Bersih Ubi Kayu 2025'!K285</f>
        <v/>
      </c>
      <c r="I283" s="13" t="str">
        <f>'1.4 Prod Bersih Ubi Jalar 2025'!K285</f>
        <v/>
      </c>
      <c r="J283" s="13" t="str">
        <f>'1.5 Prod Bersih Sagu 2025'!K285</f>
        <v/>
      </c>
      <c r="K283" s="13" t="str">
        <f>'1.6 Prod Bersih Pisang 2025'!K285</f>
        <v/>
      </c>
      <c r="L283" s="15">
        <f t="shared" si="12"/>
        <v>0</v>
      </c>
      <c r="M283" s="14" t="str">
        <f>IF(D283="","",VLOOKUP(D283,'[1]0.1 Produksi Pangan &amp; Penduduk'!$D$5:$AU$704,44,0))</f>
        <v/>
      </c>
      <c r="N283" s="26" t="str">
        <f t="shared" si="13"/>
        <v/>
      </c>
      <c r="O283" s="16"/>
      <c r="P283" s="25" t="str">
        <f t="shared" si="14"/>
        <v/>
      </c>
      <c r="Q283" s="8"/>
      <c r="R283" s="11"/>
    </row>
    <row r="284" spans="1:18" ht="15" x14ac:dyDescent="0.25">
      <c r="A284" s="3" t="str">
        <f>IF('1.1 Produksi Bersih Padi 2025'!A286="","",'1.1 Produksi Bersih Padi 2025'!A286)</f>
        <v/>
      </c>
      <c r="B284" s="32" t="str">
        <f>IF('1.1 Produksi Bersih Padi 2025'!B286="","",'1.1 Produksi Bersih Padi 2025'!B286)</f>
        <v/>
      </c>
      <c r="C284" s="32" t="str">
        <f>IF('1.1 Produksi Bersih Padi 2025'!C286="","",'1.1 Produksi Bersih Padi 2025'!C286)</f>
        <v/>
      </c>
      <c r="D284" s="3" t="str">
        <f>IF('1.1 Produksi Bersih Padi 2025'!D286="","",'1.1 Produksi Bersih Padi 2025'!D286)</f>
        <v/>
      </c>
      <c r="E284" s="3" t="str">
        <f>IF('1.1 Produksi Bersih Padi 2025'!E286="","",'1.1 Produksi Bersih Padi 2025'!E286)</f>
        <v/>
      </c>
      <c r="F284" s="13" t="str">
        <f>'1.1 Produksi Bersih Padi 2025'!Q286</f>
        <v/>
      </c>
      <c r="G284" s="13" t="str">
        <f>'1.2 Produksi Bersih Jagung 2025'!L286</f>
        <v/>
      </c>
      <c r="H284" s="13" t="str">
        <f>'1.3 Prod Bersih Ubi Kayu 2025'!K286</f>
        <v/>
      </c>
      <c r="I284" s="13" t="str">
        <f>'1.4 Prod Bersih Ubi Jalar 2025'!K286</f>
        <v/>
      </c>
      <c r="J284" s="13" t="str">
        <f>'1.5 Prod Bersih Sagu 2025'!K286</f>
        <v/>
      </c>
      <c r="K284" s="13" t="str">
        <f>'1.6 Prod Bersih Pisang 2025'!K286</f>
        <v/>
      </c>
      <c r="L284" s="15">
        <f t="shared" si="12"/>
        <v>0</v>
      </c>
      <c r="M284" s="14" t="str">
        <f>IF(D284="","",VLOOKUP(D284,'[1]0.1 Produksi Pangan &amp; Penduduk'!$D$5:$AU$704,44,0))</f>
        <v/>
      </c>
      <c r="N284" s="26" t="str">
        <f t="shared" si="13"/>
        <v/>
      </c>
      <c r="O284" s="16"/>
      <c r="P284" s="25" t="str">
        <f t="shared" si="14"/>
        <v/>
      </c>
      <c r="Q284" s="8"/>
      <c r="R284" s="11"/>
    </row>
    <row r="285" spans="1:18" ht="15" x14ac:dyDescent="0.25">
      <c r="A285" s="3" t="str">
        <f>IF('1.1 Produksi Bersih Padi 2025'!A287="","",'1.1 Produksi Bersih Padi 2025'!A287)</f>
        <v/>
      </c>
      <c r="B285" s="32" t="str">
        <f>IF('1.1 Produksi Bersih Padi 2025'!B287="","",'1.1 Produksi Bersih Padi 2025'!B287)</f>
        <v/>
      </c>
      <c r="C285" s="32" t="str">
        <f>IF('1.1 Produksi Bersih Padi 2025'!C287="","",'1.1 Produksi Bersih Padi 2025'!C287)</f>
        <v/>
      </c>
      <c r="D285" s="3" t="str">
        <f>IF('1.1 Produksi Bersih Padi 2025'!D287="","",'1.1 Produksi Bersih Padi 2025'!D287)</f>
        <v/>
      </c>
      <c r="E285" s="3" t="str">
        <f>IF('1.1 Produksi Bersih Padi 2025'!E287="","",'1.1 Produksi Bersih Padi 2025'!E287)</f>
        <v/>
      </c>
      <c r="F285" s="13" t="str">
        <f>'1.1 Produksi Bersih Padi 2025'!Q287</f>
        <v/>
      </c>
      <c r="G285" s="13" t="str">
        <f>'1.2 Produksi Bersih Jagung 2025'!L287</f>
        <v/>
      </c>
      <c r="H285" s="13" t="str">
        <f>'1.3 Prod Bersih Ubi Kayu 2025'!K287</f>
        <v/>
      </c>
      <c r="I285" s="13" t="str">
        <f>'1.4 Prod Bersih Ubi Jalar 2025'!K287</f>
        <v/>
      </c>
      <c r="J285" s="13" t="str">
        <f>'1.5 Prod Bersih Sagu 2025'!K287</f>
        <v/>
      </c>
      <c r="K285" s="13" t="str">
        <f>'1.6 Prod Bersih Pisang 2025'!K287</f>
        <v/>
      </c>
      <c r="L285" s="15">
        <f t="shared" si="12"/>
        <v>0</v>
      </c>
      <c r="M285" s="14" t="str">
        <f>IF(D285="","",VLOOKUP(D285,'[1]0.1 Produksi Pangan &amp; Penduduk'!$D$5:$AU$704,44,0))</f>
        <v/>
      </c>
      <c r="N285" s="26" t="str">
        <f t="shared" si="13"/>
        <v/>
      </c>
      <c r="O285" s="16"/>
      <c r="P285" s="25" t="str">
        <f t="shared" si="14"/>
        <v/>
      </c>
      <c r="Q285" s="8"/>
      <c r="R285" s="11"/>
    </row>
    <row r="286" spans="1:18" ht="15" x14ac:dyDescent="0.25">
      <c r="A286" s="3" t="str">
        <f>IF('1.1 Produksi Bersih Padi 2025'!A288="","",'1.1 Produksi Bersih Padi 2025'!A288)</f>
        <v/>
      </c>
      <c r="B286" s="32" t="str">
        <f>IF('1.1 Produksi Bersih Padi 2025'!B288="","",'1.1 Produksi Bersih Padi 2025'!B288)</f>
        <v/>
      </c>
      <c r="C286" s="32" t="str">
        <f>IF('1.1 Produksi Bersih Padi 2025'!C288="","",'1.1 Produksi Bersih Padi 2025'!C288)</f>
        <v/>
      </c>
      <c r="D286" s="3" t="str">
        <f>IF('1.1 Produksi Bersih Padi 2025'!D288="","",'1.1 Produksi Bersih Padi 2025'!D288)</f>
        <v/>
      </c>
      <c r="E286" s="3" t="str">
        <f>IF('1.1 Produksi Bersih Padi 2025'!E288="","",'1.1 Produksi Bersih Padi 2025'!E288)</f>
        <v/>
      </c>
      <c r="F286" s="13" t="str">
        <f>'1.1 Produksi Bersih Padi 2025'!Q288</f>
        <v/>
      </c>
      <c r="G286" s="13" t="str">
        <f>'1.2 Produksi Bersih Jagung 2025'!L288</f>
        <v/>
      </c>
      <c r="H286" s="13" t="str">
        <f>'1.3 Prod Bersih Ubi Kayu 2025'!K288</f>
        <v/>
      </c>
      <c r="I286" s="13" t="str">
        <f>'1.4 Prod Bersih Ubi Jalar 2025'!K288</f>
        <v/>
      </c>
      <c r="J286" s="13" t="str">
        <f>'1.5 Prod Bersih Sagu 2025'!K288</f>
        <v/>
      </c>
      <c r="K286" s="13" t="str">
        <f>'1.6 Prod Bersih Pisang 2025'!K288</f>
        <v/>
      </c>
      <c r="L286" s="15">
        <f t="shared" si="12"/>
        <v>0</v>
      </c>
      <c r="M286" s="14" t="str">
        <f>IF(D286="","",VLOOKUP(D286,'[1]0.1 Produksi Pangan &amp; Penduduk'!$D$5:$AU$704,44,0))</f>
        <v/>
      </c>
      <c r="N286" s="26" t="str">
        <f t="shared" si="13"/>
        <v/>
      </c>
      <c r="O286" s="16"/>
      <c r="P286" s="25" t="str">
        <f t="shared" si="14"/>
        <v/>
      </c>
      <c r="Q286" s="8"/>
      <c r="R286" s="11"/>
    </row>
    <row r="287" spans="1:18" ht="15" x14ac:dyDescent="0.25">
      <c r="A287" s="3" t="str">
        <f>IF('1.1 Produksi Bersih Padi 2025'!A289="","",'1.1 Produksi Bersih Padi 2025'!A289)</f>
        <v/>
      </c>
      <c r="B287" s="32" t="str">
        <f>IF('1.1 Produksi Bersih Padi 2025'!B289="","",'1.1 Produksi Bersih Padi 2025'!B289)</f>
        <v/>
      </c>
      <c r="C287" s="32" t="str">
        <f>IF('1.1 Produksi Bersih Padi 2025'!C289="","",'1.1 Produksi Bersih Padi 2025'!C289)</f>
        <v/>
      </c>
      <c r="D287" s="3" t="str">
        <f>IF('1.1 Produksi Bersih Padi 2025'!D289="","",'1.1 Produksi Bersih Padi 2025'!D289)</f>
        <v/>
      </c>
      <c r="E287" s="3" t="str">
        <f>IF('1.1 Produksi Bersih Padi 2025'!E289="","",'1.1 Produksi Bersih Padi 2025'!E289)</f>
        <v/>
      </c>
      <c r="F287" s="13" t="str">
        <f>'1.1 Produksi Bersih Padi 2025'!Q289</f>
        <v/>
      </c>
      <c r="G287" s="13" t="str">
        <f>'1.2 Produksi Bersih Jagung 2025'!L289</f>
        <v/>
      </c>
      <c r="H287" s="13" t="str">
        <f>'1.3 Prod Bersih Ubi Kayu 2025'!K289</f>
        <v/>
      </c>
      <c r="I287" s="13" t="str">
        <f>'1.4 Prod Bersih Ubi Jalar 2025'!K289</f>
        <v/>
      </c>
      <c r="J287" s="13" t="str">
        <f>'1.5 Prod Bersih Sagu 2025'!K289</f>
        <v/>
      </c>
      <c r="K287" s="13" t="str">
        <f>'1.6 Prod Bersih Pisang 2025'!K289</f>
        <v/>
      </c>
      <c r="L287" s="15">
        <f t="shared" si="12"/>
        <v>0</v>
      </c>
      <c r="M287" s="14" t="str">
        <f>IF(D287="","",VLOOKUP(D287,'[1]0.1 Produksi Pangan &amp; Penduduk'!$D$5:$AU$704,44,0))</f>
        <v/>
      </c>
      <c r="N287" s="26" t="str">
        <f t="shared" si="13"/>
        <v/>
      </c>
      <c r="O287" s="16"/>
      <c r="P287" s="25" t="str">
        <f t="shared" si="14"/>
        <v/>
      </c>
      <c r="Q287" s="8"/>
      <c r="R287" s="11"/>
    </row>
    <row r="288" spans="1:18" ht="15" x14ac:dyDescent="0.25">
      <c r="A288" s="3" t="str">
        <f>IF('1.1 Produksi Bersih Padi 2025'!A290="","",'1.1 Produksi Bersih Padi 2025'!A290)</f>
        <v/>
      </c>
      <c r="B288" s="32" t="str">
        <f>IF('1.1 Produksi Bersih Padi 2025'!B290="","",'1.1 Produksi Bersih Padi 2025'!B290)</f>
        <v/>
      </c>
      <c r="C288" s="32" t="str">
        <f>IF('1.1 Produksi Bersih Padi 2025'!C290="","",'1.1 Produksi Bersih Padi 2025'!C290)</f>
        <v/>
      </c>
      <c r="D288" s="3" t="str">
        <f>IF('1.1 Produksi Bersih Padi 2025'!D290="","",'1.1 Produksi Bersih Padi 2025'!D290)</f>
        <v/>
      </c>
      <c r="E288" s="3" t="str">
        <f>IF('1.1 Produksi Bersih Padi 2025'!E290="","",'1.1 Produksi Bersih Padi 2025'!E290)</f>
        <v/>
      </c>
      <c r="F288" s="13" t="str">
        <f>'1.1 Produksi Bersih Padi 2025'!Q290</f>
        <v/>
      </c>
      <c r="G288" s="13" t="str">
        <f>'1.2 Produksi Bersih Jagung 2025'!L290</f>
        <v/>
      </c>
      <c r="H288" s="13" t="str">
        <f>'1.3 Prod Bersih Ubi Kayu 2025'!K290</f>
        <v/>
      </c>
      <c r="I288" s="13" t="str">
        <f>'1.4 Prod Bersih Ubi Jalar 2025'!K290</f>
        <v/>
      </c>
      <c r="J288" s="13" t="str">
        <f>'1.5 Prod Bersih Sagu 2025'!K290</f>
        <v/>
      </c>
      <c r="K288" s="13" t="str">
        <f>'1.6 Prod Bersih Pisang 2025'!K290</f>
        <v/>
      </c>
      <c r="L288" s="15">
        <f t="shared" si="12"/>
        <v>0</v>
      </c>
      <c r="M288" s="14" t="str">
        <f>IF(D288="","",VLOOKUP(D288,'[1]0.1 Produksi Pangan &amp; Penduduk'!$D$5:$AU$704,44,0))</f>
        <v/>
      </c>
      <c r="N288" s="26" t="str">
        <f t="shared" si="13"/>
        <v/>
      </c>
      <c r="O288" s="16"/>
      <c r="P288" s="25" t="str">
        <f t="shared" si="14"/>
        <v/>
      </c>
      <c r="Q288" s="8"/>
      <c r="R288" s="11"/>
    </row>
    <row r="289" spans="1:18" ht="15" x14ac:dyDescent="0.25">
      <c r="A289" s="3" t="str">
        <f>IF('1.1 Produksi Bersih Padi 2025'!A291="","",'1.1 Produksi Bersih Padi 2025'!A291)</f>
        <v/>
      </c>
      <c r="B289" s="32" t="str">
        <f>IF('1.1 Produksi Bersih Padi 2025'!B291="","",'1.1 Produksi Bersih Padi 2025'!B291)</f>
        <v/>
      </c>
      <c r="C289" s="32" t="str">
        <f>IF('1.1 Produksi Bersih Padi 2025'!C291="","",'1.1 Produksi Bersih Padi 2025'!C291)</f>
        <v/>
      </c>
      <c r="D289" s="3" t="str">
        <f>IF('1.1 Produksi Bersih Padi 2025'!D291="","",'1.1 Produksi Bersih Padi 2025'!D291)</f>
        <v/>
      </c>
      <c r="E289" s="3" t="str">
        <f>IF('1.1 Produksi Bersih Padi 2025'!E291="","",'1.1 Produksi Bersih Padi 2025'!E291)</f>
        <v/>
      </c>
      <c r="F289" s="13" t="str">
        <f>'1.1 Produksi Bersih Padi 2025'!Q291</f>
        <v/>
      </c>
      <c r="G289" s="13" t="str">
        <f>'1.2 Produksi Bersih Jagung 2025'!L291</f>
        <v/>
      </c>
      <c r="H289" s="13" t="str">
        <f>'1.3 Prod Bersih Ubi Kayu 2025'!K291</f>
        <v/>
      </c>
      <c r="I289" s="13" t="str">
        <f>'1.4 Prod Bersih Ubi Jalar 2025'!K291</f>
        <v/>
      </c>
      <c r="J289" s="13" t="str">
        <f>'1.5 Prod Bersih Sagu 2025'!K291</f>
        <v/>
      </c>
      <c r="K289" s="13" t="str">
        <f>'1.6 Prod Bersih Pisang 2025'!K291</f>
        <v/>
      </c>
      <c r="L289" s="15">
        <f t="shared" si="12"/>
        <v>0</v>
      </c>
      <c r="M289" s="14" t="str">
        <f>IF(D289="","",VLOOKUP(D289,'[1]0.1 Produksi Pangan &amp; Penduduk'!$D$5:$AU$704,44,0))</f>
        <v/>
      </c>
      <c r="N289" s="26" t="str">
        <f t="shared" si="13"/>
        <v/>
      </c>
      <c r="O289" s="16"/>
      <c r="P289" s="25" t="str">
        <f t="shared" si="14"/>
        <v/>
      </c>
      <c r="Q289" s="8"/>
      <c r="R289" s="11"/>
    </row>
    <row r="290" spans="1:18" ht="15" x14ac:dyDescent="0.25">
      <c r="A290" s="3" t="str">
        <f>IF('1.1 Produksi Bersih Padi 2025'!A292="","",'1.1 Produksi Bersih Padi 2025'!A292)</f>
        <v/>
      </c>
      <c r="B290" s="32" t="str">
        <f>IF('1.1 Produksi Bersih Padi 2025'!B292="","",'1.1 Produksi Bersih Padi 2025'!B292)</f>
        <v/>
      </c>
      <c r="C290" s="32" t="str">
        <f>IF('1.1 Produksi Bersih Padi 2025'!C292="","",'1.1 Produksi Bersih Padi 2025'!C292)</f>
        <v/>
      </c>
      <c r="D290" s="3" t="str">
        <f>IF('1.1 Produksi Bersih Padi 2025'!D292="","",'1.1 Produksi Bersih Padi 2025'!D292)</f>
        <v/>
      </c>
      <c r="E290" s="3" t="str">
        <f>IF('1.1 Produksi Bersih Padi 2025'!E292="","",'1.1 Produksi Bersih Padi 2025'!E292)</f>
        <v/>
      </c>
      <c r="F290" s="13" t="str">
        <f>'1.1 Produksi Bersih Padi 2025'!Q292</f>
        <v/>
      </c>
      <c r="G290" s="13" t="str">
        <f>'1.2 Produksi Bersih Jagung 2025'!L292</f>
        <v/>
      </c>
      <c r="H290" s="13" t="str">
        <f>'1.3 Prod Bersih Ubi Kayu 2025'!K292</f>
        <v/>
      </c>
      <c r="I290" s="13" t="str">
        <f>'1.4 Prod Bersih Ubi Jalar 2025'!K292</f>
        <v/>
      </c>
      <c r="J290" s="13" t="str">
        <f>'1.5 Prod Bersih Sagu 2025'!K292</f>
        <v/>
      </c>
      <c r="K290" s="13" t="str">
        <f>'1.6 Prod Bersih Pisang 2025'!K292</f>
        <v/>
      </c>
      <c r="L290" s="15">
        <f t="shared" si="12"/>
        <v>0</v>
      </c>
      <c r="M290" s="14" t="str">
        <f>IF(D290="","",VLOOKUP(D290,'[1]0.1 Produksi Pangan &amp; Penduduk'!$D$5:$AU$704,44,0))</f>
        <v/>
      </c>
      <c r="N290" s="26" t="str">
        <f t="shared" si="13"/>
        <v/>
      </c>
      <c r="O290" s="16"/>
      <c r="P290" s="25" t="str">
        <f t="shared" si="14"/>
        <v/>
      </c>
      <c r="Q290" s="8"/>
      <c r="R290" s="11"/>
    </row>
    <row r="291" spans="1:18" ht="15" x14ac:dyDescent="0.25">
      <c r="A291" s="3" t="str">
        <f>IF('1.1 Produksi Bersih Padi 2025'!A293="","",'1.1 Produksi Bersih Padi 2025'!A293)</f>
        <v/>
      </c>
      <c r="B291" s="32" t="str">
        <f>IF('1.1 Produksi Bersih Padi 2025'!B293="","",'1.1 Produksi Bersih Padi 2025'!B293)</f>
        <v/>
      </c>
      <c r="C291" s="32" t="str">
        <f>IF('1.1 Produksi Bersih Padi 2025'!C293="","",'1.1 Produksi Bersih Padi 2025'!C293)</f>
        <v/>
      </c>
      <c r="D291" s="3" t="str">
        <f>IF('1.1 Produksi Bersih Padi 2025'!D293="","",'1.1 Produksi Bersih Padi 2025'!D293)</f>
        <v/>
      </c>
      <c r="E291" s="3" t="str">
        <f>IF('1.1 Produksi Bersih Padi 2025'!E293="","",'1.1 Produksi Bersih Padi 2025'!E293)</f>
        <v/>
      </c>
      <c r="F291" s="13" t="str">
        <f>'1.1 Produksi Bersih Padi 2025'!Q293</f>
        <v/>
      </c>
      <c r="G291" s="13" t="str">
        <f>'1.2 Produksi Bersih Jagung 2025'!L293</f>
        <v/>
      </c>
      <c r="H291" s="13" t="str">
        <f>'1.3 Prod Bersih Ubi Kayu 2025'!K293</f>
        <v/>
      </c>
      <c r="I291" s="13" t="str">
        <f>'1.4 Prod Bersih Ubi Jalar 2025'!K293</f>
        <v/>
      </c>
      <c r="J291" s="13" t="str">
        <f>'1.5 Prod Bersih Sagu 2025'!K293</f>
        <v/>
      </c>
      <c r="K291" s="13" t="str">
        <f>'1.6 Prod Bersih Pisang 2025'!K293</f>
        <v/>
      </c>
      <c r="L291" s="15">
        <f t="shared" si="12"/>
        <v>0</v>
      </c>
      <c r="M291" s="14" t="str">
        <f>IF(D291="","",VLOOKUP(D291,'[1]0.1 Produksi Pangan &amp; Penduduk'!$D$5:$AU$704,44,0))</f>
        <v/>
      </c>
      <c r="N291" s="26" t="str">
        <f t="shared" si="13"/>
        <v/>
      </c>
      <c r="O291" s="16"/>
      <c r="P291" s="25" t="str">
        <f t="shared" si="14"/>
        <v/>
      </c>
      <c r="Q291" s="8"/>
      <c r="R291" s="11"/>
    </row>
    <row r="292" spans="1:18" ht="15" x14ac:dyDescent="0.25">
      <c r="A292" s="3" t="str">
        <f>IF('1.1 Produksi Bersih Padi 2025'!A294="","",'1.1 Produksi Bersih Padi 2025'!A294)</f>
        <v/>
      </c>
      <c r="B292" s="32" t="str">
        <f>IF('1.1 Produksi Bersih Padi 2025'!B294="","",'1.1 Produksi Bersih Padi 2025'!B294)</f>
        <v/>
      </c>
      <c r="C292" s="32" t="str">
        <f>IF('1.1 Produksi Bersih Padi 2025'!C294="","",'1.1 Produksi Bersih Padi 2025'!C294)</f>
        <v/>
      </c>
      <c r="D292" s="3" t="str">
        <f>IF('1.1 Produksi Bersih Padi 2025'!D294="","",'1.1 Produksi Bersih Padi 2025'!D294)</f>
        <v/>
      </c>
      <c r="E292" s="3" t="str">
        <f>IF('1.1 Produksi Bersih Padi 2025'!E294="","",'1.1 Produksi Bersih Padi 2025'!E294)</f>
        <v/>
      </c>
      <c r="F292" s="13" t="str">
        <f>'1.1 Produksi Bersih Padi 2025'!Q294</f>
        <v/>
      </c>
      <c r="G292" s="13" t="str">
        <f>'1.2 Produksi Bersih Jagung 2025'!L294</f>
        <v/>
      </c>
      <c r="H292" s="13" t="str">
        <f>'1.3 Prod Bersih Ubi Kayu 2025'!K294</f>
        <v/>
      </c>
      <c r="I292" s="13" t="str">
        <f>'1.4 Prod Bersih Ubi Jalar 2025'!K294</f>
        <v/>
      </c>
      <c r="J292" s="13" t="str">
        <f>'1.5 Prod Bersih Sagu 2025'!K294</f>
        <v/>
      </c>
      <c r="K292" s="13" t="str">
        <f>'1.6 Prod Bersih Pisang 2025'!K294</f>
        <v/>
      </c>
      <c r="L292" s="15">
        <f t="shared" si="12"/>
        <v>0</v>
      </c>
      <c r="M292" s="14" t="str">
        <f>IF(D292="","",VLOOKUP(D292,'[1]0.1 Produksi Pangan &amp; Penduduk'!$D$5:$AU$704,44,0))</f>
        <v/>
      </c>
      <c r="N292" s="26" t="str">
        <f t="shared" si="13"/>
        <v/>
      </c>
      <c r="O292" s="16"/>
      <c r="P292" s="25" t="str">
        <f t="shared" si="14"/>
        <v/>
      </c>
      <c r="Q292" s="8"/>
      <c r="R292" s="11"/>
    </row>
    <row r="293" spans="1:18" ht="15" x14ac:dyDescent="0.25">
      <c r="A293" s="3" t="str">
        <f>IF('1.1 Produksi Bersih Padi 2025'!A295="","",'1.1 Produksi Bersih Padi 2025'!A295)</f>
        <v/>
      </c>
      <c r="B293" s="32" t="str">
        <f>IF('1.1 Produksi Bersih Padi 2025'!B295="","",'1.1 Produksi Bersih Padi 2025'!B295)</f>
        <v/>
      </c>
      <c r="C293" s="32" t="str">
        <f>IF('1.1 Produksi Bersih Padi 2025'!C295="","",'1.1 Produksi Bersih Padi 2025'!C295)</f>
        <v/>
      </c>
      <c r="D293" s="3" t="str">
        <f>IF('1.1 Produksi Bersih Padi 2025'!D295="","",'1.1 Produksi Bersih Padi 2025'!D295)</f>
        <v/>
      </c>
      <c r="E293" s="3" t="str">
        <f>IF('1.1 Produksi Bersih Padi 2025'!E295="","",'1.1 Produksi Bersih Padi 2025'!E295)</f>
        <v/>
      </c>
      <c r="F293" s="13" t="str">
        <f>'1.1 Produksi Bersih Padi 2025'!Q295</f>
        <v/>
      </c>
      <c r="G293" s="13" t="str">
        <f>'1.2 Produksi Bersih Jagung 2025'!L295</f>
        <v/>
      </c>
      <c r="H293" s="13" t="str">
        <f>'1.3 Prod Bersih Ubi Kayu 2025'!K295</f>
        <v/>
      </c>
      <c r="I293" s="13" t="str">
        <f>'1.4 Prod Bersih Ubi Jalar 2025'!K295</f>
        <v/>
      </c>
      <c r="J293" s="13" t="str">
        <f>'1.5 Prod Bersih Sagu 2025'!K295</f>
        <v/>
      </c>
      <c r="K293" s="13" t="str">
        <f>'1.6 Prod Bersih Pisang 2025'!K295</f>
        <v/>
      </c>
      <c r="L293" s="15">
        <f t="shared" si="12"/>
        <v>0</v>
      </c>
      <c r="M293" s="14" t="str">
        <f>IF(D293="","",VLOOKUP(D293,'[1]0.1 Produksi Pangan &amp; Penduduk'!$D$5:$AU$704,44,0))</f>
        <v/>
      </c>
      <c r="N293" s="26" t="str">
        <f t="shared" si="13"/>
        <v/>
      </c>
      <c r="O293" s="16"/>
      <c r="P293" s="25" t="str">
        <f t="shared" si="14"/>
        <v/>
      </c>
      <c r="Q293" s="8"/>
      <c r="R293" s="11"/>
    </row>
    <row r="294" spans="1:18" ht="15" x14ac:dyDescent="0.25">
      <c r="A294" s="3" t="str">
        <f>IF('1.1 Produksi Bersih Padi 2025'!A296="","",'1.1 Produksi Bersih Padi 2025'!A296)</f>
        <v/>
      </c>
      <c r="B294" s="32" t="str">
        <f>IF('1.1 Produksi Bersih Padi 2025'!B296="","",'1.1 Produksi Bersih Padi 2025'!B296)</f>
        <v/>
      </c>
      <c r="C294" s="32" t="str">
        <f>IF('1.1 Produksi Bersih Padi 2025'!C296="","",'1.1 Produksi Bersih Padi 2025'!C296)</f>
        <v/>
      </c>
      <c r="D294" s="3" t="str">
        <f>IF('1.1 Produksi Bersih Padi 2025'!D296="","",'1.1 Produksi Bersih Padi 2025'!D296)</f>
        <v/>
      </c>
      <c r="E294" s="3" t="str">
        <f>IF('1.1 Produksi Bersih Padi 2025'!E296="","",'1.1 Produksi Bersih Padi 2025'!E296)</f>
        <v/>
      </c>
      <c r="F294" s="13" t="str">
        <f>'1.1 Produksi Bersih Padi 2025'!Q296</f>
        <v/>
      </c>
      <c r="G294" s="13" t="str">
        <f>'1.2 Produksi Bersih Jagung 2025'!L296</f>
        <v/>
      </c>
      <c r="H294" s="13" t="str">
        <f>'1.3 Prod Bersih Ubi Kayu 2025'!K296</f>
        <v/>
      </c>
      <c r="I294" s="13" t="str">
        <f>'1.4 Prod Bersih Ubi Jalar 2025'!K296</f>
        <v/>
      </c>
      <c r="J294" s="13" t="str">
        <f>'1.5 Prod Bersih Sagu 2025'!K296</f>
        <v/>
      </c>
      <c r="K294" s="13" t="str">
        <f>'1.6 Prod Bersih Pisang 2025'!K296</f>
        <v/>
      </c>
      <c r="L294" s="15">
        <f t="shared" si="12"/>
        <v>0</v>
      </c>
      <c r="M294" s="14" t="str">
        <f>IF(D294="","",VLOOKUP(D294,'[1]0.1 Produksi Pangan &amp; Penduduk'!$D$5:$AU$704,44,0))</f>
        <v/>
      </c>
      <c r="N294" s="26" t="str">
        <f t="shared" si="13"/>
        <v/>
      </c>
      <c r="O294" s="16"/>
      <c r="P294" s="25" t="str">
        <f t="shared" si="14"/>
        <v/>
      </c>
      <c r="Q294" s="8"/>
      <c r="R294" s="11"/>
    </row>
    <row r="295" spans="1:18" ht="15" x14ac:dyDescent="0.25">
      <c r="A295" s="3" t="str">
        <f>IF('1.1 Produksi Bersih Padi 2025'!A297="","",'1.1 Produksi Bersih Padi 2025'!A297)</f>
        <v/>
      </c>
      <c r="B295" s="32" t="str">
        <f>IF('1.1 Produksi Bersih Padi 2025'!B297="","",'1.1 Produksi Bersih Padi 2025'!B297)</f>
        <v/>
      </c>
      <c r="C295" s="32" t="str">
        <f>IF('1.1 Produksi Bersih Padi 2025'!C297="","",'1.1 Produksi Bersih Padi 2025'!C297)</f>
        <v/>
      </c>
      <c r="D295" s="3" t="str">
        <f>IF('1.1 Produksi Bersih Padi 2025'!D297="","",'1.1 Produksi Bersih Padi 2025'!D297)</f>
        <v/>
      </c>
      <c r="E295" s="3" t="str">
        <f>IF('1.1 Produksi Bersih Padi 2025'!E297="","",'1.1 Produksi Bersih Padi 2025'!E297)</f>
        <v/>
      </c>
      <c r="F295" s="13" t="str">
        <f>'1.1 Produksi Bersih Padi 2025'!Q297</f>
        <v/>
      </c>
      <c r="G295" s="13" t="str">
        <f>'1.2 Produksi Bersih Jagung 2025'!L297</f>
        <v/>
      </c>
      <c r="H295" s="13" t="str">
        <f>'1.3 Prod Bersih Ubi Kayu 2025'!K297</f>
        <v/>
      </c>
      <c r="I295" s="13" t="str">
        <f>'1.4 Prod Bersih Ubi Jalar 2025'!K297</f>
        <v/>
      </c>
      <c r="J295" s="13" t="str">
        <f>'1.5 Prod Bersih Sagu 2025'!K297</f>
        <v/>
      </c>
      <c r="K295" s="13" t="str">
        <f>'1.6 Prod Bersih Pisang 2025'!K297</f>
        <v/>
      </c>
      <c r="L295" s="15">
        <f t="shared" si="12"/>
        <v>0</v>
      </c>
      <c r="M295" s="14" t="str">
        <f>IF(D295="","",VLOOKUP(D295,'[1]0.1 Produksi Pangan &amp; Penduduk'!$D$5:$AU$704,44,0))</f>
        <v/>
      </c>
      <c r="N295" s="26" t="str">
        <f t="shared" si="13"/>
        <v/>
      </c>
      <c r="O295" s="16"/>
      <c r="P295" s="25" t="str">
        <f t="shared" si="14"/>
        <v/>
      </c>
      <c r="Q295" s="8"/>
      <c r="R295" s="11"/>
    </row>
    <row r="296" spans="1:18" ht="15" x14ac:dyDescent="0.25">
      <c r="A296" s="3" t="str">
        <f>IF('1.1 Produksi Bersih Padi 2025'!A298="","",'1.1 Produksi Bersih Padi 2025'!A298)</f>
        <v/>
      </c>
      <c r="B296" s="32" t="str">
        <f>IF('1.1 Produksi Bersih Padi 2025'!B298="","",'1.1 Produksi Bersih Padi 2025'!B298)</f>
        <v/>
      </c>
      <c r="C296" s="32" t="str">
        <f>IF('1.1 Produksi Bersih Padi 2025'!C298="","",'1.1 Produksi Bersih Padi 2025'!C298)</f>
        <v/>
      </c>
      <c r="D296" s="3" t="str">
        <f>IF('1.1 Produksi Bersih Padi 2025'!D298="","",'1.1 Produksi Bersih Padi 2025'!D298)</f>
        <v/>
      </c>
      <c r="E296" s="3" t="str">
        <f>IF('1.1 Produksi Bersih Padi 2025'!E298="","",'1.1 Produksi Bersih Padi 2025'!E298)</f>
        <v/>
      </c>
      <c r="F296" s="13" t="str">
        <f>'1.1 Produksi Bersih Padi 2025'!Q298</f>
        <v/>
      </c>
      <c r="G296" s="13" t="str">
        <f>'1.2 Produksi Bersih Jagung 2025'!L298</f>
        <v/>
      </c>
      <c r="H296" s="13" t="str">
        <f>'1.3 Prod Bersih Ubi Kayu 2025'!K298</f>
        <v/>
      </c>
      <c r="I296" s="13" t="str">
        <f>'1.4 Prod Bersih Ubi Jalar 2025'!K298</f>
        <v/>
      </c>
      <c r="J296" s="13" t="str">
        <f>'1.5 Prod Bersih Sagu 2025'!K298</f>
        <v/>
      </c>
      <c r="K296" s="13" t="str">
        <f>'1.6 Prod Bersih Pisang 2025'!K298</f>
        <v/>
      </c>
      <c r="L296" s="15">
        <f t="shared" si="12"/>
        <v>0</v>
      </c>
      <c r="M296" s="14" t="str">
        <f>IF(D296="","",VLOOKUP(D296,'[1]0.1 Produksi Pangan &amp; Penduduk'!$D$5:$AU$704,44,0))</f>
        <v/>
      </c>
      <c r="N296" s="26" t="str">
        <f t="shared" si="13"/>
        <v/>
      </c>
      <c r="O296" s="16"/>
      <c r="P296" s="25" t="str">
        <f t="shared" si="14"/>
        <v/>
      </c>
      <c r="Q296" s="8"/>
      <c r="R296" s="11"/>
    </row>
    <row r="297" spans="1:18" ht="15" x14ac:dyDescent="0.25">
      <c r="A297" s="3" t="str">
        <f>IF('1.1 Produksi Bersih Padi 2025'!A299="","",'1.1 Produksi Bersih Padi 2025'!A299)</f>
        <v/>
      </c>
      <c r="B297" s="32" t="str">
        <f>IF('1.1 Produksi Bersih Padi 2025'!B299="","",'1.1 Produksi Bersih Padi 2025'!B299)</f>
        <v/>
      </c>
      <c r="C297" s="32" t="str">
        <f>IF('1.1 Produksi Bersih Padi 2025'!C299="","",'1.1 Produksi Bersih Padi 2025'!C299)</f>
        <v/>
      </c>
      <c r="D297" s="3" t="str">
        <f>IF('1.1 Produksi Bersih Padi 2025'!D299="","",'1.1 Produksi Bersih Padi 2025'!D299)</f>
        <v/>
      </c>
      <c r="E297" s="3" t="str">
        <f>IF('1.1 Produksi Bersih Padi 2025'!E299="","",'1.1 Produksi Bersih Padi 2025'!E299)</f>
        <v/>
      </c>
      <c r="F297" s="13" t="str">
        <f>'1.1 Produksi Bersih Padi 2025'!Q299</f>
        <v/>
      </c>
      <c r="G297" s="13" t="str">
        <f>'1.2 Produksi Bersih Jagung 2025'!L299</f>
        <v/>
      </c>
      <c r="H297" s="13" t="str">
        <f>'1.3 Prod Bersih Ubi Kayu 2025'!K299</f>
        <v/>
      </c>
      <c r="I297" s="13" t="str">
        <f>'1.4 Prod Bersih Ubi Jalar 2025'!K299</f>
        <v/>
      </c>
      <c r="J297" s="13" t="str">
        <f>'1.5 Prod Bersih Sagu 2025'!K299</f>
        <v/>
      </c>
      <c r="K297" s="13" t="str">
        <f>'1.6 Prod Bersih Pisang 2025'!K299</f>
        <v/>
      </c>
      <c r="L297" s="15">
        <f t="shared" si="12"/>
        <v>0</v>
      </c>
      <c r="M297" s="14" t="str">
        <f>IF(D297="","",VLOOKUP(D297,'[1]0.1 Produksi Pangan &amp; Penduduk'!$D$5:$AU$704,44,0))</f>
        <v/>
      </c>
      <c r="N297" s="26" t="str">
        <f t="shared" si="13"/>
        <v/>
      </c>
      <c r="O297" s="16"/>
      <c r="P297" s="25" t="str">
        <f t="shared" si="14"/>
        <v/>
      </c>
      <c r="Q297" s="8"/>
      <c r="R297" s="11"/>
    </row>
    <row r="298" spans="1:18" ht="15" x14ac:dyDescent="0.25">
      <c r="A298" s="3" t="str">
        <f>IF('1.1 Produksi Bersih Padi 2025'!A300="","",'1.1 Produksi Bersih Padi 2025'!A300)</f>
        <v/>
      </c>
      <c r="B298" s="32" t="str">
        <f>IF('1.1 Produksi Bersih Padi 2025'!B300="","",'1.1 Produksi Bersih Padi 2025'!B300)</f>
        <v/>
      </c>
      <c r="C298" s="32" t="str">
        <f>IF('1.1 Produksi Bersih Padi 2025'!C300="","",'1.1 Produksi Bersih Padi 2025'!C300)</f>
        <v/>
      </c>
      <c r="D298" s="3" t="str">
        <f>IF('1.1 Produksi Bersih Padi 2025'!D300="","",'1.1 Produksi Bersih Padi 2025'!D300)</f>
        <v/>
      </c>
      <c r="E298" s="3" t="str">
        <f>IF('1.1 Produksi Bersih Padi 2025'!E300="","",'1.1 Produksi Bersih Padi 2025'!E300)</f>
        <v/>
      </c>
      <c r="F298" s="13" t="str">
        <f>'1.1 Produksi Bersih Padi 2025'!Q300</f>
        <v/>
      </c>
      <c r="G298" s="13" t="str">
        <f>'1.2 Produksi Bersih Jagung 2025'!L300</f>
        <v/>
      </c>
      <c r="H298" s="13" t="str">
        <f>'1.3 Prod Bersih Ubi Kayu 2025'!K300</f>
        <v/>
      </c>
      <c r="I298" s="13" t="str">
        <f>'1.4 Prod Bersih Ubi Jalar 2025'!K300</f>
        <v/>
      </c>
      <c r="J298" s="13" t="str">
        <f>'1.5 Prod Bersih Sagu 2025'!K300</f>
        <v/>
      </c>
      <c r="K298" s="13" t="str">
        <f>'1.6 Prod Bersih Pisang 2025'!K300</f>
        <v/>
      </c>
      <c r="L298" s="15">
        <f t="shared" si="12"/>
        <v>0</v>
      </c>
      <c r="M298" s="14" t="str">
        <f>IF(D298="","",VLOOKUP(D298,'[1]0.1 Produksi Pangan &amp; Penduduk'!$D$5:$AU$704,44,0))</f>
        <v/>
      </c>
      <c r="N298" s="26" t="str">
        <f t="shared" si="13"/>
        <v/>
      </c>
      <c r="O298" s="16"/>
      <c r="P298" s="25" t="str">
        <f t="shared" si="14"/>
        <v/>
      </c>
      <c r="Q298" s="8"/>
      <c r="R298" s="11"/>
    </row>
    <row r="299" spans="1:18" ht="15" x14ac:dyDescent="0.25">
      <c r="A299" s="3" t="str">
        <f>IF('1.1 Produksi Bersih Padi 2025'!A301="","",'1.1 Produksi Bersih Padi 2025'!A301)</f>
        <v/>
      </c>
      <c r="B299" s="32" t="str">
        <f>IF('1.1 Produksi Bersih Padi 2025'!B301="","",'1.1 Produksi Bersih Padi 2025'!B301)</f>
        <v/>
      </c>
      <c r="C299" s="32" t="str">
        <f>IF('1.1 Produksi Bersih Padi 2025'!C301="","",'1.1 Produksi Bersih Padi 2025'!C301)</f>
        <v/>
      </c>
      <c r="D299" s="3" t="str">
        <f>IF('1.1 Produksi Bersih Padi 2025'!D301="","",'1.1 Produksi Bersih Padi 2025'!D301)</f>
        <v/>
      </c>
      <c r="E299" s="3" t="str">
        <f>IF('1.1 Produksi Bersih Padi 2025'!E301="","",'1.1 Produksi Bersih Padi 2025'!E301)</f>
        <v/>
      </c>
      <c r="F299" s="13" t="str">
        <f>'1.1 Produksi Bersih Padi 2025'!Q301</f>
        <v/>
      </c>
      <c r="G299" s="13" t="str">
        <f>'1.2 Produksi Bersih Jagung 2025'!L301</f>
        <v/>
      </c>
      <c r="H299" s="13" t="str">
        <f>'1.3 Prod Bersih Ubi Kayu 2025'!K301</f>
        <v/>
      </c>
      <c r="I299" s="13" t="str">
        <f>'1.4 Prod Bersih Ubi Jalar 2025'!K301</f>
        <v/>
      </c>
      <c r="J299" s="13" t="str">
        <f>'1.5 Prod Bersih Sagu 2025'!K301</f>
        <v/>
      </c>
      <c r="K299" s="13" t="str">
        <f>'1.6 Prod Bersih Pisang 2025'!K301</f>
        <v/>
      </c>
      <c r="L299" s="15">
        <f t="shared" si="12"/>
        <v>0</v>
      </c>
      <c r="M299" s="14" t="str">
        <f>IF(D299="","",VLOOKUP(D299,'[1]0.1 Produksi Pangan &amp; Penduduk'!$D$5:$AU$704,44,0))</f>
        <v/>
      </c>
      <c r="N299" s="26" t="str">
        <f t="shared" si="13"/>
        <v/>
      </c>
      <c r="O299" s="16"/>
      <c r="P299" s="25" t="str">
        <f t="shared" si="14"/>
        <v/>
      </c>
      <c r="Q299" s="8"/>
      <c r="R299" s="11"/>
    </row>
    <row r="300" spans="1:18" ht="15" x14ac:dyDescent="0.25">
      <c r="A300" s="3" t="str">
        <f>IF('1.1 Produksi Bersih Padi 2025'!A302="","",'1.1 Produksi Bersih Padi 2025'!A302)</f>
        <v/>
      </c>
      <c r="B300" s="32" t="str">
        <f>IF('1.1 Produksi Bersih Padi 2025'!B302="","",'1.1 Produksi Bersih Padi 2025'!B302)</f>
        <v/>
      </c>
      <c r="C300" s="32" t="str">
        <f>IF('1.1 Produksi Bersih Padi 2025'!C302="","",'1.1 Produksi Bersih Padi 2025'!C302)</f>
        <v/>
      </c>
      <c r="D300" s="3" t="str">
        <f>IF('1.1 Produksi Bersih Padi 2025'!D302="","",'1.1 Produksi Bersih Padi 2025'!D302)</f>
        <v/>
      </c>
      <c r="E300" s="3" t="str">
        <f>IF('1.1 Produksi Bersih Padi 2025'!E302="","",'1.1 Produksi Bersih Padi 2025'!E302)</f>
        <v/>
      </c>
      <c r="F300" s="13" t="str">
        <f>'1.1 Produksi Bersih Padi 2025'!Q302</f>
        <v/>
      </c>
      <c r="G300" s="13" t="str">
        <f>'1.2 Produksi Bersih Jagung 2025'!L302</f>
        <v/>
      </c>
      <c r="H300" s="13" t="str">
        <f>'1.3 Prod Bersih Ubi Kayu 2025'!K302</f>
        <v/>
      </c>
      <c r="I300" s="13" t="str">
        <f>'1.4 Prod Bersih Ubi Jalar 2025'!K302</f>
        <v/>
      </c>
      <c r="J300" s="13" t="str">
        <f>'1.5 Prod Bersih Sagu 2025'!K302</f>
        <v/>
      </c>
      <c r="K300" s="13" t="str">
        <f>'1.6 Prod Bersih Pisang 2025'!K302</f>
        <v/>
      </c>
      <c r="L300" s="15">
        <f t="shared" si="12"/>
        <v>0</v>
      </c>
      <c r="M300" s="14" t="str">
        <f>IF(D300="","",VLOOKUP(D300,'[1]0.1 Produksi Pangan &amp; Penduduk'!$D$5:$AU$704,44,0))</f>
        <v/>
      </c>
      <c r="N300" s="26" t="str">
        <f t="shared" si="13"/>
        <v/>
      </c>
      <c r="O300" s="16"/>
      <c r="P300" s="25" t="str">
        <f t="shared" si="14"/>
        <v/>
      </c>
      <c r="Q300" s="8"/>
      <c r="R300" s="11"/>
    </row>
    <row r="301" spans="1:18" ht="15" x14ac:dyDescent="0.25">
      <c r="A301" s="3" t="str">
        <f>IF('1.1 Produksi Bersih Padi 2025'!A303="","",'1.1 Produksi Bersih Padi 2025'!A303)</f>
        <v/>
      </c>
      <c r="B301" s="32" t="str">
        <f>IF('1.1 Produksi Bersih Padi 2025'!B303="","",'1.1 Produksi Bersih Padi 2025'!B303)</f>
        <v/>
      </c>
      <c r="C301" s="32" t="str">
        <f>IF('1.1 Produksi Bersih Padi 2025'!C303="","",'1.1 Produksi Bersih Padi 2025'!C303)</f>
        <v/>
      </c>
      <c r="D301" s="3" t="str">
        <f>IF('1.1 Produksi Bersih Padi 2025'!D303="","",'1.1 Produksi Bersih Padi 2025'!D303)</f>
        <v/>
      </c>
      <c r="E301" s="3" t="str">
        <f>IF('1.1 Produksi Bersih Padi 2025'!E303="","",'1.1 Produksi Bersih Padi 2025'!E303)</f>
        <v/>
      </c>
      <c r="F301" s="13" t="str">
        <f>'1.1 Produksi Bersih Padi 2025'!Q303</f>
        <v/>
      </c>
      <c r="G301" s="13" t="str">
        <f>'1.2 Produksi Bersih Jagung 2025'!L303</f>
        <v/>
      </c>
      <c r="H301" s="13" t="str">
        <f>'1.3 Prod Bersih Ubi Kayu 2025'!K303</f>
        <v/>
      </c>
      <c r="I301" s="13" t="str">
        <f>'1.4 Prod Bersih Ubi Jalar 2025'!K303</f>
        <v/>
      </c>
      <c r="J301" s="13" t="str">
        <f>'1.5 Prod Bersih Sagu 2025'!K303</f>
        <v/>
      </c>
      <c r="K301" s="13" t="str">
        <f>'1.6 Prod Bersih Pisang 2025'!K303</f>
        <v/>
      </c>
      <c r="L301" s="15">
        <f t="shared" si="12"/>
        <v>0</v>
      </c>
      <c r="M301" s="14" t="str">
        <f>IF(D301="","",VLOOKUP(D301,'[1]0.1 Produksi Pangan &amp; Penduduk'!$D$5:$AU$704,44,0))</f>
        <v/>
      </c>
      <c r="N301" s="26" t="str">
        <f t="shared" si="13"/>
        <v/>
      </c>
      <c r="O301" s="16"/>
      <c r="P301" s="25" t="str">
        <f t="shared" si="14"/>
        <v/>
      </c>
      <c r="Q301" s="8"/>
      <c r="R301" s="11"/>
    </row>
    <row r="302" spans="1:18" ht="15" x14ac:dyDescent="0.25">
      <c r="A302" s="3" t="str">
        <f>IF('1.1 Produksi Bersih Padi 2025'!A304="","",'1.1 Produksi Bersih Padi 2025'!A304)</f>
        <v/>
      </c>
      <c r="B302" s="32" t="str">
        <f>IF('1.1 Produksi Bersih Padi 2025'!B304="","",'1.1 Produksi Bersih Padi 2025'!B304)</f>
        <v/>
      </c>
      <c r="C302" s="32" t="str">
        <f>IF('1.1 Produksi Bersih Padi 2025'!C304="","",'1.1 Produksi Bersih Padi 2025'!C304)</f>
        <v/>
      </c>
      <c r="D302" s="3" t="str">
        <f>IF('1.1 Produksi Bersih Padi 2025'!D304="","",'1.1 Produksi Bersih Padi 2025'!D304)</f>
        <v/>
      </c>
      <c r="E302" s="3" t="str">
        <f>IF('1.1 Produksi Bersih Padi 2025'!E304="","",'1.1 Produksi Bersih Padi 2025'!E304)</f>
        <v/>
      </c>
      <c r="F302" s="13" t="str">
        <f>'1.1 Produksi Bersih Padi 2025'!Q304</f>
        <v/>
      </c>
      <c r="G302" s="13" t="str">
        <f>'1.2 Produksi Bersih Jagung 2025'!L304</f>
        <v/>
      </c>
      <c r="H302" s="13" t="str">
        <f>'1.3 Prod Bersih Ubi Kayu 2025'!K304</f>
        <v/>
      </c>
      <c r="I302" s="13" t="str">
        <f>'1.4 Prod Bersih Ubi Jalar 2025'!K304</f>
        <v/>
      </c>
      <c r="J302" s="13" t="str">
        <f>'1.5 Prod Bersih Sagu 2025'!K304</f>
        <v/>
      </c>
      <c r="K302" s="13" t="str">
        <f>'1.6 Prod Bersih Pisang 2025'!K304</f>
        <v/>
      </c>
      <c r="L302" s="15">
        <f t="shared" si="12"/>
        <v>0</v>
      </c>
      <c r="M302" s="14" t="str">
        <f>IF(D302="","",VLOOKUP(D302,'[1]0.1 Produksi Pangan &amp; Penduduk'!$D$5:$AU$704,44,0))</f>
        <v/>
      </c>
      <c r="N302" s="26" t="str">
        <f t="shared" si="13"/>
        <v/>
      </c>
      <c r="O302" s="16"/>
      <c r="P302" s="25" t="str">
        <f t="shared" si="14"/>
        <v/>
      </c>
      <c r="Q302" s="8"/>
      <c r="R302" s="11"/>
    </row>
    <row r="303" spans="1:18" ht="15" x14ac:dyDescent="0.25">
      <c r="A303" s="3" t="str">
        <f>IF('1.1 Produksi Bersih Padi 2025'!A305="","",'1.1 Produksi Bersih Padi 2025'!A305)</f>
        <v/>
      </c>
      <c r="B303" s="32" t="str">
        <f>IF('1.1 Produksi Bersih Padi 2025'!B305="","",'1.1 Produksi Bersih Padi 2025'!B305)</f>
        <v/>
      </c>
      <c r="C303" s="32" t="str">
        <f>IF('1.1 Produksi Bersih Padi 2025'!C305="","",'1.1 Produksi Bersih Padi 2025'!C305)</f>
        <v/>
      </c>
      <c r="D303" s="3" t="str">
        <f>IF('1.1 Produksi Bersih Padi 2025'!D305="","",'1.1 Produksi Bersih Padi 2025'!D305)</f>
        <v/>
      </c>
      <c r="E303" s="3" t="str">
        <f>IF('1.1 Produksi Bersih Padi 2025'!E305="","",'1.1 Produksi Bersih Padi 2025'!E305)</f>
        <v/>
      </c>
      <c r="F303" s="13" t="str">
        <f>'1.1 Produksi Bersih Padi 2025'!Q305</f>
        <v/>
      </c>
      <c r="G303" s="13" t="str">
        <f>'1.2 Produksi Bersih Jagung 2025'!L305</f>
        <v/>
      </c>
      <c r="H303" s="13" t="str">
        <f>'1.3 Prod Bersih Ubi Kayu 2025'!K305</f>
        <v/>
      </c>
      <c r="I303" s="13" t="str">
        <f>'1.4 Prod Bersih Ubi Jalar 2025'!K305</f>
        <v/>
      </c>
      <c r="J303" s="13" t="str">
        <f>'1.5 Prod Bersih Sagu 2025'!K305</f>
        <v/>
      </c>
      <c r="K303" s="13" t="str">
        <f>'1.6 Prod Bersih Pisang 2025'!K305</f>
        <v/>
      </c>
      <c r="L303" s="15">
        <f t="shared" si="12"/>
        <v>0</v>
      </c>
      <c r="M303" s="14" t="str">
        <f>IF(D303="","",VLOOKUP(D303,'[1]0.1 Produksi Pangan &amp; Penduduk'!$D$5:$AU$704,44,0))</f>
        <v/>
      </c>
      <c r="N303" s="26" t="str">
        <f t="shared" si="13"/>
        <v/>
      </c>
      <c r="O303" s="16"/>
      <c r="P303" s="25" t="str">
        <f t="shared" si="14"/>
        <v/>
      </c>
      <c r="Q303" s="8"/>
      <c r="R303" s="11"/>
    </row>
    <row r="304" spans="1:18" ht="15" x14ac:dyDescent="0.25">
      <c r="A304" s="3" t="str">
        <f>IF('1.1 Produksi Bersih Padi 2025'!A306="","",'1.1 Produksi Bersih Padi 2025'!A306)</f>
        <v/>
      </c>
      <c r="B304" s="32" t="str">
        <f>IF('1.1 Produksi Bersih Padi 2025'!B306="","",'1.1 Produksi Bersih Padi 2025'!B306)</f>
        <v/>
      </c>
      <c r="C304" s="32" t="str">
        <f>IF('1.1 Produksi Bersih Padi 2025'!C306="","",'1.1 Produksi Bersih Padi 2025'!C306)</f>
        <v/>
      </c>
      <c r="D304" s="3" t="str">
        <f>IF('1.1 Produksi Bersih Padi 2025'!D306="","",'1.1 Produksi Bersih Padi 2025'!D306)</f>
        <v/>
      </c>
      <c r="E304" s="3" t="str">
        <f>IF('1.1 Produksi Bersih Padi 2025'!E306="","",'1.1 Produksi Bersih Padi 2025'!E306)</f>
        <v/>
      </c>
      <c r="F304" s="13" t="str">
        <f>'1.1 Produksi Bersih Padi 2025'!Q306</f>
        <v/>
      </c>
      <c r="G304" s="13" t="str">
        <f>'1.2 Produksi Bersih Jagung 2025'!L306</f>
        <v/>
      </c>
      <c r="H304" s="13" t="str">
        <f>'1.3 Prod Bersih Ubi Kayu 2025'!K306</f>
        <v/>
      </c>
      <c r="I304" s="13" t="str">
        <f>'1.4 Prod Bersih Ubi Jalar 2025'!K306</f>
        <v/>
      </c>
      <c r="J304" s="13" t="str">
        <f>'1.5 Prod Bersih Sagu 2025'!K306</f>
        <v/>
      </c>
      <c r="K304" s="13" t="str">
        <f>'1.6 Prod Bersih Pisang 2025'!K306</f>
        <v/>
      </c>
      <c r="L304" s="15">
        <f t="shared" si="12"/>
        <v>0</v>
      </c>
      <c r="M304" s="14" t="str">
        <f>IF(D304="","",VLOOKUP(D304,'[1]0.1 Produksi Pangan &amp; Penduduk'!$D$5:$AU$704,44,0))</f>
        <v/>
      </c>
      <c r="N304" s="26" t="str">
        <f t="shared" si="13"/>
        <v/>
      </c>
      <c r="O304" s="16"/>
      <c r="P304" s="25" t="str">
        <f t="shared" si="14"/>
        <v/>
      </c>
      <c r="Q304" s="8"/>
      <c r="R304" s="11"/>
    </row>
    <row r="305" spans="1:18" ht="15" x14ac:dyDescent="0.25">
      <c r="A305" s="3" t="str">
        <f>IF('1.1 Produksi Bersih Padi 2025'!A307="","",'1.1 Produksi Bersih Padi 2025'!A307)</f>
        <v/>
      </c>
      <c r="B305" s="32" t="str">
        <f>IF('1.1 Produksi Bersih Padi 2025'!B307="","",'1.1 Produksi Bersih Padi 2025'!B307)</f>
        <v/>
      </c>
      <c r="C305" s="32" t="str">
        <f>IF('1.1 Produksi Bersih Padi 2025'!C307="","",'1.1 Produksi Bersih Padi 2025'!C307)</f>
        <v/>
      </c>
      <c r="D305" s="3" t="str">
        <f>IF('1.1 Produksi Bersih Padi 2025'!D307="","",'1.1 Produksi Bersih Padi 2025'!D307)</f>
        <v/>
      </c>
      <c r="E305" s="3" t="str">
        <f>IF('1.1 Produksi Bersih Padi 2025'!E307="","",'1.1 Produksi Bersih Padi 2025'!E307)</f>
        <v/>
      </c>
      <c r="F305" s="13" t="str">
        <f>'1.1 Produksi Bersih Padi 2025'!Q307</f>
        <v/>
      </c>
      <c r="G305" s="13" t="str">
        <f>'1.2 Produksi Bersih Jagung 2025'!L307</f>
        <v/>
      </c>
      <c r="H305" s="13" t="str">
        <f>'1.3 Prod Bersih Ubi Kayu 2025'!K307</f>
        <v/>
      </c>
      <c r="I305" s="13" t="str">
        <f>'1.4 Prod Bersih Ubi Jalar 2025'!K307</f>
        <v/>
      </c>
      <c r="J305" s="13" t="str">
        <f>'1.5 Prod Bersih Sagu 2025'!K307</f>
        <v/>
      </c>
      <c r="K305" s="13" t="str">
        <f>'1.6 Prod Bersih Pisang 2025'!K307</f>
        <v/>
      </c>
      <c r="L305" s="15">
        <f t="shared" si="12"/>
        <v>0</v>
      </c>
      <c r="M305" s="14" t="str">
        <f>IF(D305="","",VLOOKUP(D305,'[1]0.1 Produksi Pangan &amp; Penduduk'!$D$5:$AU$704,44,0))</f>
        <v/>
      </c>
      <c r="N305" s="26" t="str">
        <f t="shared" si="13"/>
        <v/>
      </c>
      <c r="O305" s="16"/>
      <c r="P305" s="25" t="str">
        <f t="shared" si="14"/>
        <v/>
      </c>
      <c r="Q305" s="8"/>
      <c r="R305" s="11"/>
    </row>
    <row r="306" spans="1:18" ht="15" x14ac:dyDescent="0.25">
      <c r="A306" s="3" t="str">
        <f>IF('1.1 Produksi Bersih Padi 2025'!A308="","",'1.1 Produksi Bersih Padi 2025'!A308)</f>
        <v/>
      </c>
      <c r="B306" s="32" t="str">
        <f>IF('1.1 Produksi Bersih Padi 2025'!B308="","",'1.1 Produksi Bersih Padi 2025'!B308)</f>
        <v/>
      </c>
      <c r="C306" s="32" t="str">
        <f>IF('1.1 Produksi Bersih Padi 2025'!C308="","",'1.1 Produksi Bersih Padi 2025'!C308)</f>
        <v/>
      </c>
      <c r="D306" s="3" t="str">
        <f>IF('1.1 Produksi Bersih Padi 2025'!D308="","",'1.1 Produksi Bersih Padi 2025'!D308)</f>
        <v/>
      </c>
      <c r="E306" s="3" t="str">
        <f>IF('1.1 Produksi Bersih Padi 2025'!E308="","",'1.1 Produksi Bersih Padi 2025'!E308)</f>
        <v/>
      </c>
      <c r="F306" s="13" t="str">
        <f>'1.1 Produksi Bersih Padi 2025'!Q308</f>
        <v/>
      </c>
      <c r="G306" s="13" t="str">
        <f>'1.2 Produksi Bersih Jagung 2025'!L308</f>
        <v/>
      </c>
      <c r="H306" s="13" t="str">
        <f>'1.3 Prod Bersih Ubi Kayu 2025'!K308</f>
        <v/>
      </c>
      <c r="I306" s="13" t="str">
        <f>'1.4 Prod Bersih Ubi Jalar 2025'!K308</f>
        <v/>
      </c>
      <c r="J306" s="13" t="str">
        <f>'1.5 Prod Bersih Sagu 2025'!K308</f>
        <v/>
      </c>
      <c r="K306" s="13" t="str">
        <f>'1.6 Prod Bersih Pisang 2025'!K308</f>
        <v/>
      </c>
      <c r="L306" s="15">
        <f t="shared" si="12"/>
        <v>0</v>
      </c>
      <c r="M306" s="14" t="str">
        <f>IF(D306="","",VLOOKUP(D306,'[1]0.1 Produksi Pangan &amp; Penduduk'!$D$5:$AU$704,44,0))</f>
        <v/>
      </c>
      <c r="N306" s="26" t="str">
        <f t="shared" si="13"/>
        <v/>
      </c>
      <c r="O306" s="16"/>
      <c r="P306" s="25" t="str">
        <f t="shared" si="14"/>
        <v/>
      </c>
      <c r="Q306" s="8"/>
      <c r="R306" s="11"/>
    </row>
    <row r="307" spans="1:18" ht="15" x14ac:dyDescent="0.25">
      <c r="A307" s="3" t="str">
        <f>IF('1.1 Produksi Bersih Padi 2025'!A309="","",'1.1 Produksi Bersih Padi 2025'!A309)</f>
        <v/>
      </c>
      <c r="B307" s="32" t="str">
        <f>IF('1.1 Produksi Bersih Padi 2025'!B309="","",'1.1 Produksi Bersih Padi 2025'!B309)</f>
        <v/>
      </c>
      <c r="C307" s="32" t="str">
        <f>IF('1.1 Produksi Bersih Padi 2025'!C309="","",'1.1 Produksi Bersih Padi 2025'!C309)</f>
        <v/>
      </c>
      <c r="D307" s="3" t="str">
        <f>IF('1.1 Produksi Bersih Padi 2025'!D309="","",'1.1 Produksi Bersih Padi 2025'!D309)</f>
        <v/>
      </c>
      <c r="E307" s="3" t="str">
        <f>IF('1.1 Produksi Bersih Padi 2025'!E309="","",'1.1 Produksi Bersih Padi 2025'!E309)</f>
        <v/>
      </c>
      <c r="F307" s="13" t="str">
        <f>'1.1 Produksi Bersih Padi 2025'!Q309</f>
        <v/>
      </c>
      <c r="G307" s="13" t="str">
        <f>'1.2 Produksi Bersih Jagung 2025'!L309</f>
        <v/>
      </c>
      <c r="H307" s="13" t="str">
        <f>'1.3 Prod Bersih Ubi Kayu 2025'!K309</f>
        <v/>
      </c>
      <c r="I307" s="13" t="str">
        <f>'1.4 Prod Bersih Ubi Jalar 2025'!K309</f>
        <v/>
      </c>
      <c r="J307" s="13" t="str">
        <f>'1.5 Prod Bersih Sagu 2025'!K309</f>
        <v/>
      </c>
      <c r="K307" s="13" t="str">
        <f>'1.6 Prod Bersih Pisang 2025'!K309</f>
        <v/>
      </c>
      <c r="L307" s="15">
        <f t="shared" si="12"/>
        <v>0</v>
      </c>
      <c r="M307" s="14" t="str">
        <f>IF(D307="","",VLOOKUP(D307,'[1]0.1 Produksi Pangan &amp; Penduduk'!$D$5:$AU$704,44,0))</f>
        <v/>
      </c>
      <c r="N307" s="26" t="str">
        <f t="shared" si="13"/>
        <v/>
      </c>
      <c r="O307" s="16"/>
      <c r="P307" s="25" t="str">
        <f t="shared" si="14"/>
        <v/>
      </c>
      <c r="Q307" s="8"/>
      <c r="R307" s="11"/>
    </row>
    <row r="308" spans="1:18" ht="15" x14ac:dyDescent="0.25">
      <c r="A308" s="3" t="str">
        <f>IF('1.1 Produksi Bersih Padi 2025'!A310="","",'1.1 Produksi Bersih Padi 2025'!A310)</f>
        <v/>
      </c>
      <c r="B308" s="32" t="str">
        <f>IF('1.1 Produksi Bersih Padi 2025'!B310="","",'1.1 Produksi Bersih Padi 2025'!B310)</f>
        <v/>
      </c>
      <c r="C308" s="32" t="str">
        <f>IF('1.1 Produksi Bersih Padi 2025'!C310="","",'1.1 Produksi Bersih Padi 2025'!C310)</f>
        <v/>
      </c>
      <c r="D308" s="3" t="str">
        <f>IF('1.1 Produksi Bersih Padi 2025'!D310="","",'1.1 Produksi Bersih Padi 2025'!D310)</f>
        <v/>
      </c>
      <c r="E308" s="3" t="str">
        <f>IF('1.1 Produksi Bersih Padi 2025'!E310="","",'1.1 Produksi Bersih Padi 2025'!E310)</f>
        <v/>
      </c>
      <c r="F308" s="13" t="str">
        <f>'1.1 Produksi Bersih Padi 2025'!Q310</f>
        <v/>
      </c>
      <c r="G308" s="13" t="str">
        <f>'1.2 Produksi Bersih Jagung 2025'!L310</f>
        <v/>
      </c>
      <c r="H308" s="13" t="str">
        <f>'1.3 Prod Bersih Ubi Kayu 2025'!K310</f>
        <v/>
      </c>
      <c r="I308" s="13" t="str">
        <f>'1.4 Prod Bersih Ubi Jalar 2025'!K310</f>
        <v/>
      </c>
      <c r="J308" s="13" t="str">
        <f>'1.5 Prod Bersih Sagu 2025'!K310</f>
        <v/>
      </c>
      <c r="K308" s="13" t="str">
        <f>'1.6 Prod Bersih Pisang 2025'!K310</f>
        <v/>
      </c>
      <c r="L308" s="15">
        <f t="shared" si="12"/>
        <v>0</v>
      </c>
      <c r="M308" s="14" t="str">
        <f>IF(D308="","",VLOOKUP(D308,'[1]0.1 Produksi Pangan &amp; Penduduk'!$D$5:$AU$704,44,0))</f>
        <v/>
      </c>
      <c r="N308" s="26" t="str">
        <f t="shared" si="13"/>
        <v/>
      </c>
      <c r="O308" s="16"/>
      <c r="P308" s="25" t="str">
        <f t="shared" si="14"/>
        <v/>
      </c>
      <c r="Q308" s="8"/>
      <c r="R308" s="11"/>
    </row>
    <row r="309" spans="1:18" ht="15" x14ac:dyDescent="0.25">
      <c r="A309" s="3" t="str">
        <f>IF('1.1 Produksi Bersih Padi 2025'!A311="","",'1.1 Produksi Bersih Padi 2025'!A311)</f>
        <v/>
      </c>
      <c r="B309" s="32" t="str">
        <f>IF('1.1 Produksi Bersih Padi 2025'!B311="","",'1.1 Produksi Bersih Padi 2025'!B311)</f>
        <v/>
      </c>
      <c r="C309" s="32" t="str">
        <f>IF('1.1 Produksi Bersih Padi 2025'!C311="","",'1.1 Produksi Bersih Padi 2025'!C311)</f>
        <v/>
      </c>
      <c r="D309" s="3" t="str">
        <f>IF('1.1 Produksi Bersih Padi 2025'!D311="","",'1.1 Produksi Bersih Padi 2025'!D311)</f>
        <v/>
      </c>
      <c r="E309" s="3" t="str">
        <f>IF('1.1 Produksi Bersih Padi 2025'!E311="","",'1.1 Produksi Bersih Padi 2025'!E311)</f>
        <v/>
      </c>
      <c r="F309" s="13" t="str">
        <f>'1.1 Produksi Bersih Padi 2025'!Q311</f>
        <v/>
      </c>
      <c r="G309" s="13" t="str">
        <f>'1.2 Produksi Bersih Jagung 2025'!L311</f>
        <v/>
      </c>
      <c r="H309" s="13" t="str">
        <f>'1.3 Prod Bersih Ubi Kayu 2025'!K311</f>
        <v/>
      </c>
      <c r="I309" s="13" t="str">
        <f>'1.4 Prod Bersih Ubi Jalar 2025'!K311</f>
        <v/>
      </c>
      <c r="J309" s="13" t="str">
        <f>'1.5 Prod Bersih Sagu 2025'!K311</f>
        <v/>
      </c>
      <c r="K309" s="13" t="str">
        <f>'1.6 Prod Bersih Pisang 2025'!K311</f>
        <v/>
      </c>
      <c r="L309" s="15">
        <f t="shared" si="12"/>
        <v>0</v>
      </c>
      <c r="M309" s="14" t="str">
        <f>IF(D309="","",VLOOKUP(D309,'[1]0.1 Produksi Pangan &amp; Penduduk'!$D$5:$AU$704,44,0))</f>
        <v/>
      </c>
      <c r="N309" s="26" t="str">
        <f t="shared" si="13"/>
        <v/>
      </c>
      <c r="O309" s="16"/>
      <c r="P309" s="25" t="str">
        <f t="shared" si="14"/>
        <v/>
      </c>
      <c r="Q309" s="8"/>
      <c r="R309" s="11"/>
    </row>
    <row r="310" spans="1:18" ht="15" x14ac:dyDescent="0.25">
      <c r="A310" s="3" t="str">
        <f>IF('1.1 Produksi Bersih Padi 2025'!A312="","",'1.1 Produksi Bersih Padi 2025'!A312)</f>
        <v/>
      </c>
      <c r="B310" s="32" t="str">
        <f>IF('1.1 Produksi Bersih Padi 2025'!B312="","",'1.1 Produksi Bersih Padi 2025'!B312)</f>
        <v/>
      </c>
      <c r="C310" s="32" t="str">
        <f>IF('1.1 Produksi Bersih Padi 2025'!C312="","",'1.1 Produksi Bersih Padi 2025'!C312)</f>
        <v/>
      </c>
      <c r="D310" s="3" t="str">
        <f>IF('1.1 Produksi Bersih Padi 2025'!D312="","",'1.1 Produksi Bersih Padi 2025'!D312)</f>
        <v/>
      </c>
      <c r="E310" s="3" t="str">
        <f>IF('1.1 Produksi Bersih Padi 2025'!E312="","",'1.1 Produksi Bersih Padi 2025'!E312)</f>
        <v/>
      </c>
      <c r="F310" s="13" t="str">
        <f>'1.1 Produksi Bersih Padi 2025'!Q312</f>
        <v/>
      </c>
      <c r="G310" s="13" t="str">
        <f>'1.2 Produksi Bersih Jagung 2025'!L312</f>
        <v/>
      </c>
      <c r="H310" s="13" t="str">
        <f>'1.3 Prod Bersih Ubi Kayu 2025'!K312</f>
        <v/>
      </c>
      <c r="I310" s="13" t="str">
        <f>'1.4 Prod Bersih Ubi Jalar 2025'!K312</f>
        <v/>
      </c>
      <c r="J310" s="13" t="str">
        <f>'1.5 Prod Bersih Sagu 2025'!K312</f>
        <v/>
      </c>
      <c r="K310" s="13" t="str">
        <f>'1.6 Prod Bersih Pisang 2025'!K312</f>
        <v/>
      </c>
      <c r="L310" s="15">
        <f t="shared" si="12"/>
        <v>0</v>
      </c>
      <c r="M310" s="14" t="str">
        <f>IF(D310="","",VLOOKUP(D310,'[1]0.1 Produksi Pangan &amp; Penduduk'!$D$5:$AU$704,44,0))</f>
        <v/>
      </c>
      <c r="N310" s="26" t="str">
        <f t="shared" si="13"/>
        <v/>
      </c>
      <c r="O310" s="16"/>
      <c r="P310" s="25" t="str">
        <f t="shared" si="14"/>
        <v/>
      </c>
      <c r="Q310" s="8"/>
      <c r="R310" s="11"/>
    </row>
    <row r="311" spans="1:18" ht="15" x14ac:dyDescent="0.25">
      <c r="A311" s="3" t="str">
        <f>IF('1.1 Produksi Bersih Padi 2025'!A313="","",'1.1 Produksi Bersih Padi 2025'!A313)</f>
        <v/>
      </c>
      <c r="B311" s="32" t="str">
        <f>IF('1.1 Produksi Bersih Padi 2025'!B313="","",'1.1 Produksi Bersih Padi 2025'!B313)</f>
        <v/>
      </c>
      <c r="C311" s="32" t="str">
        <f>IF('1.1 Produksi Bersih Padi 2025'!C313="","",'1.1 Produksi Bersih Padi 2025'!C313)</f>
        <v/>
      </c>
      <c r="D311" s="3" t="str">
        <f>IF('1.1 Produksi Bersih Padi 2025'!D313="","",'1.1 Produksi Bersih Padi 2025'!D313)</f>
        <v/>
      </c>
      <c r="E311" s="3" t="str">
        <f>IF('1.1 Produksi Bersih Padi 2025'!E313="","",'1.1 Produksi Bersih Padi 2025'!E313)</f>
        <v/>
      </c>
      <c r="F311" s="13" t="str">
        <f>'1.1 Produksi Bersih Padi 2025'!Q313</f>
        <v/>
      </c>
      <c r="G311" s="13" t="str">
        <f>'1.2 Produksi Bersih Jagung 2025'!L313</f>
        <v/>
      </c>
      <c r="H311" s="13" t="str">
        <f>'1.3 Prod Bersih Ubi Kayu 2025'!K313</f>
        <v/>
      </c>
      <c r="I311" s="13" t="str">
        <f>'1.4 Prod Bersih Ubi Jalar 2025'!K313</f>
        <v/>
      </c>
      <c r="J311" s="13" t="str">
        <f>'1.5 Prod Bersih Sagu 2025'!K313</f>
        <v/>
      </c>
      <c r="K311" s="13" t="str">
        <f>'1.6 Prod Bersih Pisang 2025'!K313</f>
        <v/>
      </c>
      <c r="L311" s="15">
        <f t="shared" si="12"/>
        <v>0</v>
      </c>
      <c r="M311" s="14" t="str">
        <f>IF(D311="","",VLOOKUP(D311,'[1]0.1 Produksi Pangan &amp; Penduduk'!$D$5:$AU$704,44,0))</f>
        <v/>
      </c>
      <c r="N311" s="26" t="str">
        <f t="shared" si="13"/>
        <v/>
      </c>
      <c r="O311" s="16"/>
      <c r="P311" s="25" t="str">
        <f t="shared" si="14"/>
        <v/>
      </c>
      <c r="Q311" s="8"/>
      <c r="R311" s="11"/>
    </row>
    <row r="312" spans="1:18" ht="15" x14ac:dyDescent="0.25">
      <c r="A312" s="3" t="str">
        <f>IF('1.1 Produksi Bersih Padi 2025'!A314="","",'1.1 Produksi Bersih Padi 2025'!A314)</f>
        <v/>
      </c>
      <c r="B312" s="32" t="str">
        <f>IF('1.1 Produksi Bersih Padi 2025'!B314="","",'1.1 Produksi Bersih Padi 2025'!B314)</f>
        <v/>
      </c>
      <c r="C312" s="32" t="str">
        <f>IF('1.1 Produksi Bersih Padi 2025'!C314="","",'1.1 Produksi Bersih Padi 2025'!C314)</f>
        <v/>
      </c>
      <c r="D312" s="3" t="str">
        <f>IF('1.1 Produksi Bersih Padi 2025'!D314="","",'1.1 Produksi Bersih Padi 2025'!D314)</f>
        <v/>
      </c>
      <c r="E312" s="3" t="str">
        <f>IF('1.1 Produksi Bersih Padi 2025'!E314="","",'1.1 Produksi Bersih Padi 2025'!E314)</f>
        <v/>
      </c>
      <c r="F312" s="13" t="str">
        <f>'1.1 Produksi Bersih Padi 2025'!Q314</f>
        <v/>
      </c>
      <c r="G312" s="13" t="str">
        <f>'1.2 Produksi Bersih Jagung 2025'!L314</f>
        <v/>
      </c>
      <c r="H312" s="13" t="str">
        <f>'1.3 Prod Bersih Ubi Kayu 2025'!K314</f>
        <v/>
      </c>
      <c r="I312" s="13" t="str">
        <f>'1.4 Prod Bersih Ubi Jalar 2025'!K314</f>
        <v/>
      </c>
      <c r="J312" s="13" t="str">
        <f>'1.5 Prod Bersih Sagu 2025'!K314</f>
        <v/>
      </c>
      <c r="K312" s="13" t="str">
        <f>'1.6 Prod Bersih Pisang 2025'!K314</f>
        <v/>
      </c>
      <c r="L312" s="15">
        <f t="shared" si="12"/>
        <v>0</v>
      </c>
      <c r="M312" s="14" t="str">
        <f>IF(D312="","",VLOOKUP(D312,'[1]0.1 Produksi Pangan &amp; Penduduk'!$D$5:$AU$704,44,0))</f>
        <v/>
      </c>
      <c r="N312" s="26" t="str">
        <f t="shared" si="13"/>
        <v/>
      </c>
      <c r="O312" s="16"/>
      <c r="P312" s="25" t="str">
        <f t="shared" si="14"/>
        <v/>
      </c>
      <c r="Q312" s="8"/>
      <c r="R312" s="11"/>
    </row>
    <row r="313" spans="1:18" ht="15" x14ac:dyDescent="0.25">
      <c r="A313" s="3" t="str">
        <f>IF('1.1 Produksi Bersih Padi 2025'!A315="","",'1.1 Produksi Bersih Padi 2025'!A315)</f>
        <v/>
      </c>
      <c r="B313" s="32" t="str">
        <f>IF('1.1 Produksi Bersih Padi 2025'!B315="","",'1.1 Produksi Bersih Padi 2025'!B315)</f>
        <v/>
      </c>
      <c r="C313" s="32" t="str">
        <f>IF('1.1 Produksi Bersih Padi 2025'!C315="","",'1.1 Produksi Bersih Padi 2025'!C315)</f>
        <v/>
      </c>
      <c r="D313" s="3" t="str">
        <f>IF('1.1 Produksi Bersih Padi 2025'!D315="","",'1.1 Produksi Bersih Padi 2025'!D315)</f>
        <v/>
      </c>
      <c r="E313" s="3" t="str">
        <f>IF('1.1 Produksi Bersih Padi 2025'!E315="","",'1.1 Produksi Bersih Padi 2025'!E315)</f>
        <v/>
      </c>
      <c r="F313" s="13" t="str">
        <f>'1.1 Produksi Bersih Padi 2025'!Q315</f>
        <v/>
      </c>
      <c r="G313" s="13" t="str">
        <f>'1.2 Produksi Bersih Jagung 2025'!L315</f>
        <v/>
      </c>
      <c r="H313" s="13" t="str">
        <f>'1.3 Prod Bersih Ubi Kayu 2025'!K315</f>
        <v/>
      </c>
      <c r="I313" s="13" t="str">
        <f>'1.4 Prod Bersih Ubi Jalar 2025'!K315</f>
        <v/>
      </c>
      <c r="J313" s="13" t="str">
        <f>'1.5 Prod Bersih Sagu 2025'!K315</f>
        <v/>
      </c>
      <c r="K313" s="13" t="str">
        <f>'1.6 Prod Bersih Pisang 2025'!K315</f>
        <v/>
      </c>
      <c r="L313" s="15">
        <f t="shared" si="12"/>
        <v>0</v>
      </c>
      <c r="M313" s="14" t="str">
        <f>IF(D313="","",VLOOKUP(D313,'[1]0.1 Produksi Pangan &amp; Penduduk'!$D$5:$AU$704,44,0))</f>
        <v/>
      </c>
      <c r="N313" s="26" t="str">
        <f t="shared" si="13"/>
        <v/>
      </c>
      <c r="O313" s="16"/>
      <c r="P313" s="25" t="str">
        <f t="shared" si="14"/>
        <v/>
      </c>
      <c r="Q313" s="8"/>
      <c r="R313" s="11"/>
    </row>
    <row r="314" spans="1:18" ht="15" x14ac:dyDescent="0.25">
      <c r="A314" s="3" t="str">
        <f>IF('1.1 Produksi Bersih Padi 2025'!A316="","",'1.1 Produksi Bersih Padi 2025'!A316)</f>
        <v/>
      </c>
      <c r="B314" s="32" t="str">
        <f>IF('1.1 Produksi Bersih Padi 2025'!B316="","",'1.1 Produksi Bersih Padi 2025'!B316)</f>
        <v/>
      </c>
      <c r="C314" s="32" t="str">
        <f>IF('1.1 Produksi Bersih Padi 2025'!C316="","",'1.1 Produksi Bersih Padi 2025'!C316)</f>
        <v/>
      </c>
      <c r="D314" s="3" t="str">
        <f>IF('1.1 Produksi Bersih Padi 2025'!D316="","",'1.1 Produksi Bersih Padi 2025'!D316)</f>
        <v/>
      </c>
      <c r="E314" s="3" t="str">
        <f>IF('1.1 Produksi Bersih Padi 2025'!E316="","",'1.1 Produksi Bersih Padi 2025'!E316)</f>
        <v/>
      </c>
      <c r="F314" s="13" t="str">
        <f>'1.1 Produksi Bersih Padi 2025'!Q316</f>
        <v/>
      </c>
      <c r="G314" s="13" t="str">
        <f>'1.2 Produksi Bersih Jagung 2025'!L316</f>
        <v/>
      </c>
      <c r="H314" s="13" t="str">
        <f>'1.3 Prod Bersih Ubi Kayu 2025'!K316</f>
        <v/>
      </c>
      <c r="I314" s="13" t="str">
        <f>'1.4 Prod Bersih Ubi Jalar 2025'!K316</f>
        <v/>
      </c>
      <c r="J314" s="13" t="str">
        <f>'1.5 Prod Bersih Sagu 2025'!K316</f>
        <v/>
      </c>
      <c r="K314" s="13" t="str">
        <f>'1.6 Prod Bersih Pisang 2025'!K316</f>
        <v/>
      </c>
      <c r="L314" s="15">
        <f t="shared" si="12"/>
        <v>0</v>
      </c>
      <c r="M314" s="14" t="str">
        <f>IF(D314="","",VLOOKUP(D314,'[1]0.1 Produksi Pangan &amp; Penduduk'!$D$5:$AU$704,44,0))</f>
        <v/>
      </c>
      <c r="N314" s="26" t="str">
        <f t="shared" si="13"/>
        <v/>
      </c>
      <c r="O314" s="16"/>
      <c r="P314" s="25" t="str">
        <f t="shared" si="14"/>
        <v/>
      </c>
      <c r="Q314" s="8"/>
      <c r="R314" s="11"/>
    </row>
    <row r="315" spans="1:18" ht="15" x14ac:dyDescent="0.25">
      <c r="A315" s="3" t="str">
        <f>IF('1.1 Produksi Bersih Padi 2025'!A317="","",'1.1 Produksi Bersih Padi 2025'!A317)</f>
        <v/>
      </c>
      <c r="B315" s="32" t="str">
        <f>IF('1.1 Produksi Bersih Padi 2025'!B317="","",'1.1 Produksi Bersih Padi 2025'!B317)</f>
        <v/>
      </c>
      <c r="C315" s="32" t="str">
        <f>IF('1.1 Produksi Bersih Padi 2025'!C317="","",'1.1 Produksi Bersih Padi 2025'!C317)</f>
        <v/>
      </c>
      <c r="D315" s="3" t="str">
        <f>IF('1.1 Produksi Bersih Padi 2025'!D317="","",'1.1 Produksi Bersih Padi 2025'!D317)</f>
        <v/>
      </c>
      <c r="E315" s="3" t="str">
        <f>IF('1.1 Produksi Bersih Padi 2025'!E317="","",'1.1 Produksi Bersih Padi 2025'!E317)</f>
        <v/>
      </c>
      <c r="F315" s="13" t="str">
        <f>'1.1 Produksi Bersih Padi 2025'!Q317</f>
        <v/>
      </c>
      <c r="G315" s="13" t="str">
        <f>'1.2 Produksi Bersih Jagung 2025'!L317</f>
        <v/>
      </c>
      <c r="H315" s="13" t="str">
        <f>'1.3 Prod Bersih Ubi Kayu 2025'!K317</f>
        <v/>
      </c>
      <c r="I315" s="13" t="str">
        <f>'1.4 Prod Bersih Ubi Jalar 2025'!K317</f>
        <v/>
      </c>
      <c r="J315" s="13" t="str">
        <f>'1.5 Prod Bersih Sagu 2025'!K317</f>
        <v/>
      </c>
      <c r="K315" s="13" t="str">
        <f>'1.6 Prod Bersih Pisang 2025'!K317</f>
        <v/>
      </c>
      <c r="L315" s="15">
        <f t="shared" si="12"/>
        <v>0</v>
      </c>
      <c r="M315" s="14" t="str">
        <f>IF(D315="","",VLOOKUP(D315,'[1]0.1 Produksi Pangan &amp; Penduduk'!$D$5:$AU$704,44,0))</f>
        <v/>
      </c>
      <c r="N315" s="26" t="str">
        <f t="shared" si="13"/>
        <v/>
      </c>
      <c r="O315" s="16"/>
      <c r="P315" s="25" t="str">
        <f t="shared" si="14"/>
        <v/>
      </c>
      <c r="Q315" s="8"/>
      <c r="R315" s="11"/>
    </row>
    <row r="316" spans="1:18" ht="15" x14ac:dyDescent="0.25">
      <c r="A316" s="3" t="str">
        <f>IF('1.1 Produksi Bersih Padi 2025'!A318="","",'1.1 Produksi Bersih Padi 2025'!A318)</f>
        <v/>
      </c>
      <c r="B316" s="32" t="str">
        <f>IF('1.1 Produksi Bersih Padi 2025'!B318="","",'1.1 Produksi Bersih Padi 2025'!B318)</f>
        <v/>
      </c>
      <c r="C316" s="32" t="str">
        <f>IF('1.1 Produksi Bersih Padi 2025'!C318="","",'1.1 Produksi Bersih Padi 2025'!C318)</f>
        <v/>
      </c>
      <c r="D316" s="3" t="str">
        <f>IF('1.1 Produksi Bersih Padi 2025'!D318="","",'1.1 Produksi Bersih Padi 2025'!D318)</f>
        <v/>
      </c>
      <c r="E316" s="3" t="str">
        <f>IF('1.1 Produksi Bersih Padi 2025'!E318="","",'1.1 Produksi Bersih Padi 2025'!E318)</f>
        <v/>
      </c>
      <c r="F316" s="13" t="str">
        <f>'1.1 Produksi Bersih Padi 2025'!Q318</f>
        <v/>
      </c>
      <c r="G316" s="13" t="str">
        <f>'1.2 Produksi Bersih Jagung 2025'!L318</f>
        <v/>
      </c>
      <c r="H316" s="13" t="str">
        <f>'1.3 Prod Bersih Ubi Kayu 2025'!K318</f>
        <v/>
      </c>
      <c r="I316" s="13" t="str">
        <f>'1.4 Prod Bersih Ubi Jalar 2025'!K318</f>
        <v/>
      </c>
      <c r="J316" s="13" t="str">
        <f>'1.5 Prod Bersih Sagu 2025'!K318</f>
        <v/>
      </c>
      <c r="K316" s="13" t="str">
        <f>'1.6 Prod Bersih Pisang 2025'!K318</f>
        <v/>
      </c>
      <c r="L316" s="15">
        <f t="shared" si="12"/>
        <v>0</v>
      </c>
      <c r="M316" s="14" t="str">
        <f>IF(D316="","",VLOOKUP(D316,'[1]0.1 Produksi Pangan &amp; Penduduk'!$D$5:$AU$704,44,0))</f>
        <v/>
      </c>
      <c r="N316" s="26" t="str">
        <f t="shared" si="13"/>
        <v/>
      </c>
      <c r="O316" s="16"/>
      <c r="P316" s="25" t="str">
        <f t="shared" si="14"/>
        <v/>
      </c>
      <c r="Q316" s="8"/>
      <c r="R316" s="11"/>
    </row>
    <row r="317" spans="1:18" ht="15" x14ac:dyDescent="0.25">
      <c r="A317" s="3" t="str">
        <f>IF('1.1 Produksi Bersih Padi 2025'!A319="","",'1.1 Produksi Bersih Padi 2025'!A319)</f>
        <v/>
      </c>
      <c r="B317" s="32" t="str">
        <f>IF('1.1 Produksi Bersih Padi 2025'!B319="","",'1.1 Produksi Bersih Padi 2025'!B319)</f>
        <v/>
      </c>
      <c r="C317" s="32" t="str">
        <f>IF('1.1 Produksi Bersih Padi 2025'!C319="","",'1.1 Produksi Bersih Padi 2025'!C319)</f>
        <v/>
      </c>
      <c r="D317" s="3" t="str">
        <f>IF('1.1 Produksi Bersih Padi 2025'!D319="","",'1.1 Produksi Bersih Padi 2025'!D319)</f>
        <v/>
      </c>
      <c r="E317" s="3" t="str">
        <f>IF('1.1 Produksi Bersih Padi 2025'!E319="","",'1.1 Produksi Bersih Padi 2025'!E319)</f>
        <v/>
      </c>
      <c r="F317" s="13" t="str">
        <f>'1.1 Produksi Bersih Padi 2025'!Q319</f>
        <v/>
      </c>
      <c r="G317" s="13" t="str">
        <f>'1.2 Produksi Bersih Jagung 2025'!L319</f>
        <v/>
      </c>
      <c r="H317" s="13" t="str">
        <f>'1.3 Prod Bersih Ubi Kayu 2025'!K319</f>
        <v/>
      </c>
      <c r="I317" s="13" t="str">
        <f>'1.4 Prod Bersih Ubi Jalar 2025'!K319</f>
        <v/>
      </c>
      <c r="J317" s="13" t="str">
        <f>'1.5 Prod Bersih Sagu 2025'!K319</f>
        <v/>
      </c>
      <c r="K317" s="13" t="str">
        <f>'1.6 Prod Bersih Pisang 2025'!K319</f>
        <v/>
      </c>
      <c r="L317" s="15">
        <f t="shared" si="12"/>
        <v>0</v>
      </c>
      <c r="M317" s="14" t="str">
        <f>IF(D317="","",VLOOKUP(D317,'[1]0.1 Produksi Pangan &amp; Penduduk'!$D$5:$AU$704,44,0))</f>
        <v/>
      </c>
      <c r="N317" s="26" t="str">
        <f t="shared" si="13"/>
        <v/>
      </c>
      <c r="O317" s="16"/>
      <c r="P317" s="25" t="str">
        <f t="shared" si="14"/>
        <v/>
      </c>
      <c r="Q317" s="8"/>
      <c r="R317" s="11"/>
    </row>
    <row r="318" spans="1:18" ht="15" x14ac:dyDescent="0.25">
      <c r="A318" s="3" t="str">
        <f>IF('1.1 Produksi Bersih Padi 2025'!A320="","",'1.1 Produksi Bersih Padi 2025'!A320)</f>
        <v/>
      </c>
      <c r="B318" s="32" t="str">
        <f>IF('1.1 Produksi Bersih Padi 2025'!B320="","",'1.1 Produksi Bersih Padi 2025'!B320)</f>
        <v/>
      </c>
      <c r="C318" s="32" t="str">
        <f>IF('1.1 Produksi Bersih Padi 2025'!C320="","",'1.1 Produksi Bersih Padi 2025'!C320)</f>
        <v/>
      </c>
      <c r="D318" s="3" t="str">
        <f>IF('1.1 Produksi Bersih Padi 2025'!D320="","",'1.1 Produksi Bersih Padi 2025'!D320)</f>
        <v/>
      </c>
      <c r="E318" s="3" t="str">
        <f>IF('1.1 Produksi Bersih Padi 2025'!E320="","",'1.1 Produksi Bersih Padi 2025'!E320)</f>
        <v/>
      </c>
      <c r="F318" s="13" t="str">
        <f>'1.1 Produksi Bersih Padi 2025'!Q320</f>
        <v/>
      </c>
      <c r="G318" s="13" t="str">
        <f>'1.2 Produksi Bersih Jagung 2025'!L320</f>
        <v/>
      </c>
      <c r="H318" s="13" t="str">
        <f>'1.3 Prod Bersih Ubi Kayu 2025'!K320</f>
        <v/>
      </c>
      <c r="I318" s="13" t="str">
        <f>'1.4 Prod Bersih Ubi Jalar 2025'!K320</f>
        <v/>
      </c>
      <c r="J318" s="13" t="str">
        <f>'1.5 Prod Bersih Sagu 2025'!K320</f>
        <v/>
      </c>
      <c r="K318" s="13" t="str">
        <f>'1.6 Prod Bersih Pisang 2025'!K320</f>
        <v/>
      </c>
      <c r="L318" s="15">
        <f t="shared" si="12"/>
        <v>0</v>
      </c>
      <c r="M318" s="14" t="str">
        <f>IF(D318="","",VLOOKUP(D318,'[1]0.1 Produksi Pangan &amp; Penduduk'!$D$5:$AU$704,44,0))</f>
        <v/>
      </c>
      <c r="N318" s="26" t="str">
        <f t="shared" si="13"/>
        <v/>
      </c>
      <c r="O318" s="16"/>
      <c r="P318" s="25" t="str">
        <f t="shared" si="14"/>
        <v/>
      </c>
      <c r="Q318" s="8"/>
      <c r="R318" s="11"/>
    </row>
    <row r="319" spans="1:18" ht="15" x14ac:dyDescent="0.25">
      <c r="A319" s="3" t="str">
        <f>IF('1.1 Produksi Bersih Padi 2025'!A321="","",'1.1 Produksi Bersih Padi 2025'!A321)</f>
        <v/>
      </c>
      <c r="B319" s="32" t="str">
        <f>IF('1.1 Produksi Bersih Padi 2025'!B321="","",'1.1 Produksi Bersih Padi 2025'!B321)</f>
        <v/>
      </c>
      <c r="C319" s="32" t="str">
        <f>IF('1.1 Produksi Bersih Padi 2025'!C321="","",'1.1 Produksi Bersih Padi 2025'!C321)</f>
        <v/>
      </c>
      <c r="D319" s="3" t="str">
        <f>IF('1.1 Produksi Bersih Padi 2025'!D321="","",'1.1 Produksi Bersih Padi 2025'!D321)</f>
        <v/>
      </c>
      <c r="E319" s="3" t="str">
        <f>IF('1.1 Produksi Bersih Padi 2025'!E321="","",'1.1 Produksi Bersih Padi 2025'!E321)</f>
        <v/>
      </c>
      <c r="F319" s="13" t="str">
        <f>'1.1 Produksi Bersih Padi 2025'!Q321</f>
        <v/>
      </c>
      <c r="G319" s="13" t="str">
        <f>'1.2 Produksi Bersih Jagung 2025'!L321</f>
        <v/>
      </c>
      <c r="H319" s="13" t="str">
        <f>'1.3 Prod Bersih Ubi Kayu 2025'!K321</f>
        <v/>
      </c>
      <c r="I319" s="13" t="str">
        <f>'1.4 Prod Bersih Ubi Jalar 2025'!K321</f>
        <v/>
      </c>
      <c r="J319" s="13" t="str">
        <f>'1.5 Prod Bersih Sagu 2025'!K321</f>
        <v/>
      </c>
      <c r="K319" s="13" t="str">
        <f>'1.6 Prod Bersih Pisang 2025'!K321</f>
        <v/>
      </c>
      <c r="L319" s="15">
        <f t="shared" si="12"/>
        <v>0</v>
      </c>
      <c r="M319" s="14" t="str">
        <f>IF(D319="","",VLOOKUP(D319,'[1]0.1 Produksi Pangan &amp; Penduduk'!$D$5:$AU$704,44,0))</f>
        <v/>
      </c>
      <c r="N319" s="26" t="str">
        <f t="shared" si="13"/>
        <v/>
      </c>
      <c r="O319" s="16"/>
      <c r="P319" s="25" t="str">
        <f t="shared" si="14"/>
        <v/>
      </c>
      <c r="Q319" s="8"/>
      <c r="R319" s="11"/>
    </row>
    <row r="320" spans="1:18" ht="15" x14ac:dyDescent="0.25">
      <c r="A320" s="3" t="str">
        <f>IF('1.1 Produksi Bersih Padi 2025'!A322="","",'1.1 Produksi Bersih Padi 2025'!A322)</f>
        <v/>
      </c>
      <c r="B320" s="32" t="str">
        <f>IF('1.1 Produksi Bersih Padi 2025'!B322="","",'1.1 Produksi Bersih Padi 2025'!B322)</f>
        <v/>
      </c>
      <c r="C320" s="32" t="str">
        <f>IF('1.1 Produksi Bersih Padi 2025'!C322="","",'1.1 Produksi Bersih Padi 2025'!C322)</f>
        <v/>
      </c>
      <c r="D320" s="3" t="str">
        <f>IF('1.1 Produksi Bersih Padi 2025'!D322="","",'1.1 Produksi Bersih Padi 2025'!D322)</f>
        <v/>
      </c>
      <c r="E320" s="3" t="str">
        <f>IF('1.1 Produksi Bersih Padi 2025'!E322="","",'1.1 Produksi Bersih Padi 2025'!E322)</f>
        <v/>
      </c>
      <c r="F320" s="13" t="str">
        <f>'1.1 Produksi Bersih Padi 2025'!Q322</f>
        <v/>
      </c>
      <c r="G320" s="13" t="str">
        <f>'1.2 Produksi Bersih Jagung 2025'!L322</f>
        <v/>
      </c>
      <c r="H320" s="13" t="str">
        <f>'1.3 Prod Bersih Ubi Kayu 2025'!K322</f>
        <v/>
      </c>
      <c r="I320" s="13" t="str">
        <f>'1.4 Prod Bersih Ubi Jalar 2025'!K322</f>
        <v/>
      </c>
      <c r="J320" s="13" t="str">
        <f>'1.5 Prod Bersih Sagu 2025'!K322</f>
        <v/>
      </c>
      <c r="K320" s="13" t="str">
        <f>'1.6 Prod Bersih Pisang 2025'!K322</f>
        <v/>
      </c>
      <c r="L320" s="15">
        <f t="shared" si="12"/>
        <v>0</v>
      </c>
      <c r="M320" s="14" t="str">
        <f>IF(D320="","",VLOOKUP(D320,'[1]0.1 Produksi Pangan &amp; Penduduk'!$D$5:$AU$704,44,0))</f>
        <v/>
      </c>
      <c r="N320" s="26" t="str">
        <f t="shared" si="13"/>
        <v/>
      </c>
      <c r="O320" s="16"/>
      <c r="P320" s="25" t="str">
        <f t="shared" si="14"/>
        <v/>
      </c>
      <c r="Q320" s="8"/>
      <c r="R320" s="11"/>
    </row>
    <row r="321" spans="1:18" ht="15" x14ac:dyDescent="0.25">
      <c r="A321" s="3" t="str">
        <f>IF('1.1 Produksi Bersih Padi 2025'!A323="","",'1.1 Produksi Bersih Padi 2025'!A323)</f>
        <v/>
      </c>
      <c r="B321" s="32" t="str">
        <f>IF('1.1 Produksi Bersih Padi 2025'!B323="","",'1.1 Produksi Bersih Padi 2025'!B323)</f>
        <v/>
      </c>
      <c r="C321" s="32" t="str">
        <f>IF('1.1 Produksi Bersih Padi 2025'!C323="","",'1.1 Produksi Bersih Padi 2025'!C323)</f>
        <v/>
      </c>
      <c r="D321" s="3" t="str">
        <f>IF('1.1 Produksi Bersih Padi 2025'!D323="","",'1.1 Produksi Bersih Padi 2025'!D323)</f>
        <v/>
      </c>
      <c r="E321" s="3" t="str">
        <f>IF('1.1 Produksi Bersih Padi 2025'!E323="","",'1.1 Produksi Bersih Padi 2025'!E323)</f>
        <v/>
      </c>
      <c r="F321" s="13" t="str">
        <f>'1.1 Produksi Bersih Padi 2025'!Q323</f>
        <v/>
      </c>
      <c r="G321" s="13" t="str">
        <f>'1.2 Produksi Bersih Jagung 2025'!L323</f>
        <v/>
      </c>
      <c r="H321" s="13" t="str">
        <f>'1.3 Prod Bersih Ubi Kayu 2025'!K323</f>
        <v/>
      </c>
      <c r="I321" s="13" t="str">
        <f>'1.4 Prod Bersih Ubi Jalar 2025'!K323</f>
        <v/>
      </c>
      <c r="J321" s="13" t="str">
        <f>'1.5 Prod Bersih Sagu 2025'!K323</f>
        <v/>
      </c>
      <c r="K321" s="13" t="str">
        <f>'1.6 Prod Bersih Pisang 2025'!K323</f>
        <v/>
      </c>
      <c r="L321" s="15">
        <f t="shared" si="12"/>
        <v>0</v>
      </c>
      <c r="M321" s="14" t="str">
        <f>IF(D321="","",VLOOKUP(D321,'[1]0.1 Produksi Pangan &amp; Penduduk'!$D$5:$AU$704,44,0))</f>
        <v/>
      </c>
      <c r="N321" s="26" t="str">
        <f t="shared" si="13"/>
        <v/>
      </c>
      <c r="O321" s="16"/>
      <c r="P321" s="25" t="str">
        <f t="shared" si="14"/>
        <v/>
      </c>
      <c r="Q321" s="8"/>
      <c r="R321" s="11"/>
    </row>
    <row r="322" spans="1:18" ht="15" x14ac:dyDescent="0.25">
      <c r="A322" s="3" t="str">
        <f>IF('1.1 Produksi Bersih Padi 2025'!A324="","",'1.1 Produksi Bersih Padi 2025'!A324)</f>
        <v/>
      </c>
      <c r="B322" s="32" t="str">
        <f>IF('1.1 Produksi Bersih Padi 2025'!B324="","",'1.1 Produksi Bersih Padi 2025'!B324)</f>
        <v/>
      </c>
      <c r="C322" s="32" t="str">
        <f>IF('1.1 Produksi Bersih Padi 2025'!C324="","",'1.1 Produksi Bersih Padi 2025'!C324)</f>
        <v/>
      </c>
      <c r="D322" s="3" t="str">
        <f>IF('1.1 Produksi Bersih Padi 2025'!D324="","",'1.1 Produksi Bersih Padi 2025'!D324)</f>
        <v/>
      </c>
      <c r="E322" s="3" t="str">
        <f>IF('1.1 Produksi Bersih Padi 2025'!E324="","",'1.1 Produksi Bersih Padi 2025'!E324)</f>
        <v/>
      </c>
      <c r="F322" s="13" t="str">
        <f>'1.1 Produksi Bersih Padi 2025'!Q324</f>
        <v/>
      </c>
      <c r="G322" s="13" t="str">
        <f>'1.2 Produksi Bersih Jagung 2025'!L324</f>
        <v/>
      </c>
      <c r="H322" s="13" t="str">
        <f>'1.3 Prod Bersih Ubi Kayu 2025'!K324</f>
        <v/>
      </c>
      <c r="I322" s="13" t="str">
        <f>'1.4 Prod Bersih Ubi Jalar 2025'!K324</f>
        <v/>
      </c>
      <c r="J322" s="13" t="str">
        <f>'1.5 Prod Bersih Sagu 2025'!K324</f>
        <v/>
      </c>
      <c r="K322" s="13" t="str">
        <f>'1.6 Prod Bersih Pisang 2025'!K324</f>
        <v/>
      </c>
      <c r="L322" s="15">
        <f t="shared" si="12"/>
        <v>0</v>
      </c>
      <c r="M322" s="14" t="str">
        <f>IF(D322="","",VLOOKUP(D322,'[1]0.1 Produksi Pangan &amp; Penduduk'!$D$5:$AU$704,44,0))</f>
        <v/>
      </c>
      <c r="N322" s="26" t="str">
        <f t="shared" si="13"/>
        <v/>
      </c>
      <c r="O322" s="16"/>
      <c r="P322" s="25" t="str">
        <f t="shared" si="14"/>
        <v/>
      </c>
      <c r="Q322" s="8"/>
      <c r="R322" s="11"/>
    </row>
    <row r="323" spans="1:18" ht="15" x14ac:dyDescent="0.25">
      <c r="A323" s="3" t="str">
        <f>IF('1.1 Produksi Bersih Padi 2025'!A325="","",'1.1 Produksi Bersih Padi 2025'!A325)</f>
        <v/>
      </c>
      <c r="B323" s="32" t="str">
        <f>IF('1.1 Produksi Bersih Padi 2025'!B325="","",'1.1 Produksi Bersih Padi 2025'!B325)</f>
        <v/>
      </c>
      <c r="C323" s="32" t="str">
        <f>IF('1.1 Produksi Bersih Padi 2025'!C325="","",'1.1 Produksi Bersih Padi 2025'!C325)</f>
        <v/>
      </c>
      <c r="D323" s="3" t="str">
        <f>IF('1.1 Produksi Bersih Padi 2025'!D325="","",'1.1 Produksi Bersih Padi 2025'!D325)</f>
        <v/>
      </c>
      <c r="E323" s="3" t="str">
        <f>IF('1.1 Produksi Bersih Padi 2025'!E325="","",'1.1 Produksi Bersih Padi 2025'!E325)</f>
        <v/>
      </c>
      <c r="F323" s="13" t="str">
        <f>'1.1 Produksi Bersih Padi 2025'!Q325</f>
        <v/>
      </c>
      <c r="G323" s="13" t="str">
        <f>'1.2 Produksi Bersih Jagung 2025'!L325</f>
        <v/>
      </c>
      <c r="H323" s="13" t="str">
        <f>'1.3 Prod Bersih Ubi Kayu 2025'!K325</f>
        <v/>
      </c>
      <c r="I323" s="13" t="str">
        <f>'1.4 Prod Bersih Ubi Jalar 2025'!K325</f>
        <v/>
      </c>
      <c r="J323" s="13" t="str">
        <f>'1.5 Prod Bersih Sagu 2025'!K325</f>
        <v/>
      </c>
      <c r="K323" s="13" t="str">
        <f>'1.6 Prod Bersih Pisang 2025'!K325</f>
        <v/>
      </c>
      <c r="L323" s="15">
        <f t="shared" si="12"/>
        <v>0</v>
      </c>
      <c r="M323" s="14" t="str">
        <f>IF(D323="","",VLOOKUP(D323,'[1]0.1 Produksi Pangan &amp; Penduduk'!$D$5:$AU$704,44,0))</f>
        <v/>
      </c>
      <c r="N323" s="26" t="str">
        <f t="shared" si="13"/>
        <v/>
      </c>
      <c r="O323" s="16"/>
      <c r="P323" s="25" t="str">
        <f t="shared" si="14"/>
        <v/>
      </c>
      <c r="Q323" s="8"/>
      <c r="R323" s="11"/>
    </row>
    <row r="324" spans="1:18" ht="15" x14ac:dyDescent="0.25">
      <c r="A324" s="3" t="str">
        <f>IF('1.1 Produksi Bersih Padi 2025'!A326="","",'1.1 Produksi Bersih Padi 2025'!A326)</f>
        <v/>
      </c>
      <c r="B324" s="32" t="str">
        <f>IF('1.1 Produksi Bersih Padi 2025'!B326="","",'1.1 Produksi Bersih Padi 2025'!B326)</f>
        <v/>
      </c>
      <c r="C324" s="32" t="str">
        <f>IF('1.1 Produksi Bersih Padi 2025'!C326="","",'1.1 Produksi Bersih Padi 2025'!C326)</f>
        <v/>
      </c>
      <c r="D324" s="3" t="str">
        <f>IF('1.1 Produksi Bersih Padi 2025'!D326="","",'1.1 Produksi Bersih Padi 2025'!D326)</f>
        <v/>
      </c>
      <c r="E324" s="3" t="str">
        <f>IF('1.1 Produksi Bersih Padi 2025'!E326="","",'1.1 Produksi Bersih Padi 2025'!E326)</f>
        <v/>
      </c>
      <c r="F324" s="13" t="str">
        <f>'1.1 Produksi Bersih Padi 2025'!Q326</f>
        <v/>
      </c>
      <c r="G324" s="13" t="str">
        <f>'1.2 Produksi Bersih Jagung 2025'!L326</f>
        <v/>
      </c>
      <c r="H324" s="13" t="str">
        <f>'1.3 Prod Bersih Ubi Kayu 2025'!K326</f>
        <v/>
      </c>
      <c r="I324" s="13" t="str">
        <f>'1.4 Prod Bersih Ubi Jalar 2025'!K326</f>
        <v/>
      </c>
      <c r="J324" s="13" t="str">
        <f>'1.5 Prod Bersih Sagu 2025'!K326</f>
        <v/>
      </c>
      <c r="K324" s="13" t="str">
        <f>'1.6 Prod Bersih Pisang 2025'!K326</f>
        <v/>
      </c>
      <c r="L324" s="15">
        <f t="shared" ref="L324:L387" si="15">IFERROR(SUM(F324:K324),0)</f>
        <v>0</v>
      </c>
      <c r="M324" s="14" t="str">
        <f>IF(D324="","",VLOOKUP(D324,'[1]0.1 Produksi Pangan &amp; Penduduk'!$D$5:$AU$704,44,0))</f>
        <v/>
      </c>
      <c r="N324" s="26" t="str">
        <f t="shared" ref="N324:N387" si="16">IF(M324="","",IFERROR((L324*1000*1000/M324)/365,"-"))</f>
        <v/>
      </c>
      <c r="O324" s="16"/>
      <c r="P324" s="25" t="str">
        <f t="shared" ref="P324:P387" si="17">IF(N324="","",IFERROR(300/N324,"-"))</f>
        <v/>
      </c>
      <c r="Q324" s="8"/>
      <c r="R324" s="11"/>
    </row>
    <row r="325" spans="1:18" ht="15" x14ac:dyDescent="0.25">
      <c r="A325" s="3" t="str">
        <f>IF('1.1 Produksi Bersih Padi 2025'!A327="","",'1.1 Produksi Bersih Padi 2025'!A327)</f>
        <v/>
      </c>
      <c r="B325" s="32" t="str">
        <f>IF('1.1 Produksi Bersih Padi 2025'!B327="","",'1.1 Produksi Bersih Padi 2025'!B327)</f>
        <v/>
      </c>
      <c r="C325" s="32" t="str">
        <f>IF('1.1 Produksi Bersih Padi 2025'!C327="","",'1.1 Produksi Bersih Padi 2025'!C327)</f>
        <v/>
      </c>
      <c r="D325" s="3" t="str">
        <f>IF('1.1 Produksi Bersih Padi 2025'!D327="","",'1.1 Produksi Bersih Padi 2025'!D327)</f>
        <v/>
      </c>
      <c r="E325" s="3" t="str">
        <f>IF('1.1 Produksi Bersih Padi 2025'!E327="","",'1.1 Produksi Bersih Padi 2025'!E327)</f>
        <v/>
      </c>
      <c r="F325" s="13" t="str">
        <f>'1.1 Produksi Bersih Padi 2025'!Q327</f>
        <v/>
      </c>
      <c r="G325" s="13" t="str">
        <f>'1.2 Produksi Bersih Jagung 2025'!L327</f>
        <v/>
      </c>
      <c r="H325" s="13" t="str">
        <f>'1.3 Prod Bersih Ubi Kayu 2025'!K327</f>
        <v/>
      </c>
      <c r="I325" s="13" t="str">
        <f>'1.4 Prod Bersih Ubi Jalar 2025'!K327</f>
        <v/>
      </c>
      <c r="J325" s="13" t="str">
        <f>'1.5 Prod Bersih Sagu 2025'!K327</f>
        <v/>
      </c>
      <c r="K325" s="13" t="str">
        <f>'1.6 Prod Bersih Pisang 2025'!K327</f>
        <v/>
      </c>
      <c r="L325" s="15">
        <f t="shared" si="15"/>
        <v>0</v>
      </c>
      <c r="M325" s="14" t="str">
        <f>IF(D325="","",VLOOKUP(D325,'[1]0.1 Produksi Pangan &amp; Penduduk'!$D$5:$AU$704,44,0))</f>
        <v/>
      </c>
      <c r="N325" s="26" t="str">
        <f t="shared" si="16"/>
        <v/>
      </c>
      <c r="O325" s="16"/>
      <c r="P325" s="25" t="str">
        <f t="shared" si="17"/>
        <v/>
      </c>
      <c r="Q325" s="8"/>
      <c r="R325" s="11"/>
    </row>
    <row r="326" spans="1:18" ht="15" x14ac:dyDescent="0.25">
      <c r="A326" s="3" t="str">
        <f>IF('1.1 Produksi Bersih Padi 2025'!A328="","",'1.1 Produksi Bersih Padi 2025'!A328)</f>
        <v/>
      </c>
      <c r="B326" s="32" t="str">
        <f>IF('1.1 Produksi Bersih Padi 2025'!B328="","",'1.1 Produksi Bersih Padi 2025'!B328)</f>
        <v/>
      </c>
      <c r="C326" s="32" t="str">
        <f>IF('1.1 Produksi Bersih Padi 2025'!C328="","",'1.1 Produksi Bersih Padi 2025'!C328)</f>
        <v/>
      </c>
      <c r="D326" s="3" t="str">
        <f>IF('1.1 Produksi Bersih Padi 2025'!D328="","",'1.1 Produksi Bersih Padi 2025'!D328)</f>
        <v/>
      </c>
      <c r="E326" s="3" t="str">
        <f>IF('1.1 Produksi Bersih Padi 2025'!E328="","",'1.1 Produksi Bersih Padi 2025'!E328)</f>
        <v/>
      </c>
      <c r="F326" s="13" t="str">
        <f>'1.1 Produksi Bersih Padi 2025'!Q328</f>
        <v/>
      </c>
      <c r="G326" s="13" t="str">
        <f>'1.2 Produksi Bersih Jagung 2025'!L328</f>
        <v/>
      </c>
      <c r="H326" s="13" t="str">
        <f>'1.3 Prod Bersih Ubi Kayu 2025'!K328</f>
        <v/>
      </c>
      <c r="I326" s="13" t="str">
        <f>'1.4 Prod Bersih Ubi Jalar 2025'!K328</f>
        <v/>
      </c>
      <c r="J326" s="13" t="str">
        <f>'1.5 Prod Bersih Sagu 2025'!K328</f>
        <v/>
      </c>
      <c r="K326" s="13" t="str">
        <f>'1.6 Prod Bersih Pisang 2025'!K328</f>
        <v/>
      </c>
      <c r="L326" s="15">
        <f t="shared" si="15"/>
        <v>0</v>
      </c>
      <c r="M326" s="14" t="str">
        <f>IF(D326="","",VLOOKUP(D326,'[1]0.1 Produksi Pangan &amp; Penduduk'!$D$5:$AU$704,44,0))</f>
        <v/>
      </c>
      <c r="N326" s="26" t="str">
        <f t="shared" si="16"/>
        <v/>
      </c>
      <c r="O326" s="16"/>
      <c r="P326" s="25" t="str">
        <f t="shared" si="17"/>
        <v/>
      </c>
      <c r="Q326" s="8"/>
      <c r="R326" s="11"/>
    </row>
    <row r="327" spans="1:18" ht="15" x14ac:dyDescent="0.25">
      <c r="A327" s="3" t="str">
        <f>IF('1.1 Produksi Bersih Padi 2025'!A329="","",'1.1 Produksi Bersih Padi 2025'!A329)</f>
        <v/>
      </c>
      <c r="B327" s="32" t="str">
        <f>IF('1.1 Produksi Bersih Padi 2025'!B329="","",'1.1 Produksi Bersih Padi 2025'!B329)</f>
        <v/>
      </c>
      <c r="C327" s="32" t="str">
        <f>IF('1.1 Produksi Bersih Padi 2025'!C329="","",'1.1 Produksi Bersih Padi 2025'!C329)</f>
        <v/>
      </c>
      <c r="D327" s="3" t="str">
        <f>IF('1.1 Produksi Bersih Padi 2025'!D329="","",'1.1 Produksi Bersih Padi 2025'!D329)</f>
        <v/>
      </c>
      <c r="E327" s="3" t="str">
        <f>IF('1.1 Produksi Bersih Padi 2025'!E329="","",'1.1 Produksi Bersih Padi 2025'!E329)</f>
        <v/>
      </c>
      <c r="F327" s="13" t="str">
        <f>'1.1 Produksi Bersih Padi 2025'!Q329</f>
        <v/>
      </c>
      <c r="G327" s="13" t="str">
        <f>'1.2 Produksi Bersih Jagung 2025'!L329</f>
        <v/>
      </c>
      <c r="H327" s="13" t="str">
        <f>'1.3 Prod Bersih Ubi Kayu 2025'!K329</f>
        <v/>
      </c>
      <c r="I327" s="13" t="str">
        <f>'1.4 Prod Bersih Ubi Jalar 2025'!K329</f>
        <v/>
      </c>
      <c r="J327" s="13" t="str">
        <f>'1.5 Prod Bersih Sagu 2025'!K329</f>
        <v/>
      </c>
      <c r="K327" s="13" t="str">
        <f>'1.6 Prod Bersih Pisang 2025'!K329</f>
        <v/>
      </c>
      <c r="L327" s="15">
        <f t="shared" si="15"/>
        <v>0</v>
      </c>
      <c r="M327" s="14" t="str">
        <f>IF(D327="","",VLOOKUP(D327,'[1]0.1 Produksi Pangan &amp; Penduduk'!$D$5:$AU$704,44,0))</f>
        <v/>
      </c>
      <c r="N327" s="26" t="str">
        <f t="shared" si="16"/>
        <v/>
      </c>
      <c r="O327" s="16"/>
      <c r="P327" s="25" t="str">
        <f t="shared" si="17"/>
        <v/>
      </c>
      <c r="Q327" s="8"/>
      <c r="R327" s="11"/>
    </row>
    <row r="328" spans="1:18" ht="15" x14ac:dyDescent="0.25">
      <c r="A328" s="3" t="str">
        <f>IF('1.1 Produksi Bersih Padi 2025'!A330="","",'1.1 Produksi Bersih Padi 2025'!A330)</f>
        <v/>
      </c>
      <c r="B328" s="32" t="str">
        <f>IF('1.1 Produksi Bersih Padi 2025'!B330="","",'1.1 Produksi Bersih Padi 2025'!B330)</f>
        <v/>
      </c>
      <c r="C328" s="32" t="str">
        <f>IF('1.1 Produksi Bersih Padi 2025'!C330="","",'1.1 Produksi Bersih Padi 2025'!C330)</f>
        <v/>
      </c>
      <c r="D328" s="3" t="str">
        <f>IF('1.1 Produksi Bersih Padi 2025'!D330="","",'1.1 Produksi Bersih Padi 2025'!D330)</f>
        <v/>
      </c>
      <c r="E328" s="3" t="str">
        <f>IF('1.1 Produksi Bersih Padi 2025'!E330="","",'1.1 Produksi Bersih Padi 2025'!E330)</f>
        <v/>
      </c>
      <c r="F328" s="13" t="str">
        <f>'1.1 Produksi Bersih Padi 2025'!Q330</f>
        <v/>
      </c>
      <c r="G328" s="13" t="str">
        <f>'1.2 Produksi Bersih Jagung 2025'!L330</f>
        <v/>
      </c>
      <c r="H328" s="13" t="str">
        <f>'1.3 Prod Bersih Ubi Kayu 2025'!K330</f>
        <v/>
      </c>
      <c r="I328" s="13" t="str">
        <f>'1.4 Prod Bersih Ubi Jalar 2025'!K330</f>
        <v/>
      </c>
      <c r="J328" s="13" t="str">
        <f>'1.5 Prod Bersih Sagu 2025'!K330</f>
        <v/>
      </c>
      <c r="K328" s="13" t="str">
        <f>'1.6 Prod Bersih Pisang 2025'!K330</f>
        <v/>
      </c>
      <c r="L328" s="15">
        <f t="shared" si="15"/>
        <v>0</v>
      </c>
      <c r="M328" s="14" t="str">
        <f>IF(D328="","",VLOOKUP(D328,'[1]0.1 Produksi Pangan &amp; Penduduk'!$D$5:$AU$704,44,0))</f>
        <v/>
      </c>
      <c r="N328" s="26" t="str">
        <f t="shared" si="16"/>
        <v/>
      </c>
      <c r="O328" s="16"/>
      <c r="P328" s="25" t="str">
        <f t="shared" si="17"/>
        <v/>
      </c>
      <c r="Q328" s="8"/>
      <c r="R328" s="11"/>
    </row>
    <row r="329" spans="1:18" ht="15" x14ac:dyDescent="0.25">
      <c r="A329" s="3" t="str">
        <f>IF('1.1 Produksi Bersih Padi 2025'!A331="","",'1.1 Produksi Bersih Padi 2025'!A331)</f>
        <v/>
      </c>
      <c r="B329" s="32" t="str">
        <f>IF('1.1 Produksi Bersih Padi 2025'!B331="","",'1.1 Produksi Bersih Padi 2025'!B331)</f>
        <v/>
      </c>
      <c r="C329" s="32" t="str">
        <f>IF('1.1 Produksi Bersih Padi 2025'!C331="","",'1.1 Produksi Bersih Padi 2025'!C331)</f>
        <v/>
      </c>
      <c r="D329" s="3" t="str">
        <f>IF('1.1 Produksi Bersih Padi 2025'!D331="","",'1.1 Produksi Bersih Padi 2025'!D331)</f>
        <v/>
      </c>
      <c r="E329" s="3" t="str">
        <f>IF('1.1 Produksi Bersih Padi 2025'!E331="","",'1.1 Produksi Bersih Padi 2025'!E331)</f>
        <v/>
      </c>
      <c r="F329" s="13" t="str">
        <f>'1.1 Produksi Bersih Padi 2025'!Q331</f>
        <v/>
      </c>
      <c r="G329" s="13" t="str">
        <f>'1.2 Produksi Bersih Jagung 2025'!L331</f>
        <v/>
      </c>
      <c r="H329" s="13" t="str">
        <f>'1.3 Prod Bersih Ubi Kayu 2025'!K331</f>
        <v/>
      </c>
      <c r="I329" s="13" t="str">
        <f>'1.4 Prod Bersih Ubi Jalar 2025'!K331</f>
        <v/>
      </c>
      <c r="J329" s="13" t="str">
        <f>'1.5 Prod Bersih Sagu 2025'!K331</f>
        <v/>
      </c>
      <c r="K329" s="13" t="str">
        <f>'1.6 Prod Bersih Pisang 2025'!K331</f>
        <v/>
      </c>
      <c r="L329" s="15">
        <f t="shared" si="15"/>
        <v>0</v>
      </c>
      <c r="M329" s="14" t="str">
        <f>IF(D329="","",VLOOKUP(D329,'[1]0.1 Produksi Pangan &amp; Penduduk'!$D$5:$AU$704,44,0))</f>
        <v/>
      </c>
      <c r="N329" s="26" t="str">
        <f t="shared" si="16"/>
        <v/>
      </c>
      <c r="O329" s="16"/>
      <c r="P329" s="25" t="str">
        <f t="shared" si="17"/>
        <v/>
      </c>
      <c r="Q329" s="8"/>
      <c r="R329" s="11"/>
    </row>
    <row r="330" spans="1:18" ht="15" x14ac:dyDescent="0.25">
      <c r="A330" s="3" t="str">
        <f>IF('1.1 Produksi Bersih Padi 2025'!A332="","",'1.1 Produksi Bersih Padi 2025'!A332)</f>
        <v/>
      </c>
      <c r="B330" s="32" t="str">
        <f>IF('1.1 Produksi Bersih Padi 2025'!B332="","",'1.1 Produksi Bersih Padi 2025'!B332)</f>
        <v/>
      </c>
      <c r="C330" s="32" t="str">
        <f>IF('1.1 Produksi Bersih Padi 2025'!C332="","",'1.1 Produksi Bersih Padi 2025'!C332)</f>
        <v/>
      </c>
      <c r="D330" s="3" t="str">
        <f>IF('1.1 Produksi Bersih Padi 2025'!D332="","",'1.1 Produksi Bersih Padi 2025'!D332)</f>
        <v/>
      </c>
      <c r="E330" s="3" t="str">
        <f>IF('1.1 Produksi Bersih Padi 2025'!E332="","",'1.1 Produksi Bersih Padi 2025'!E332)</f>
        <v/>
      </c>
      <c r="F330" s="13" t="str">
        <f>'1.1 Produksi Bersih Padi 2025'!Q332</f>
        <v/>
      </c>
      <c r="G330" s="13" t="str">
        <f>'1.2 Produksi Bersih Jagung 2025'!L332</f>
        <v/>
      </c>
      <c r="H330" s="13" t="str">
        <f>'1.3 Prod Bersih Ubi Kayu 2025'!K332</f>
        <v/>
      </c>
      <c r="I330" s="13" t="str">
        <f>'1.4 Prod Bersih Ubi Jalar 2025'!K332</f>
        <v/>
      </c>
      <c r="J330" s="13" t="str">
        <f>'1.5 Prod Bersih Sagu 2025'!K332</f>
        <v/>
      </c>
      <c r="K330" s="13" t="str">
        <f>'1.6 Prod Bersih Pisang 2025'!K332</f>
        <v/>
      </c>
      <c r="L330" s="15">
        <f t="shared" si="15"/>
        <v>0</v>
      </c>
      <c r="M330" s="14" t="str">
        <f>IF(D330="","",VLOOKUP(D330,'[1]0.1 Produksi Pangan &amp; Penduduk'!$D$5:$AU$704,44,0))</f>
        <v/>
      </c>
      <c r="N330" s="26" t="str">
        <f t="shared" si="16"/>
        <v/>
      </c>
      <c r="O330" s="16"/>
      <c r="P330" s="25" t="str">
        <f t="shared" si="17"/>
        <v/>
      </c>
      <c r="Q330" s="8"/>
      <c r="R330" s="11"/>
    </row>
    <row r="331" spans="1:18" ht="15" x14ac:dyDescent="0.25">
      <c r="A331" s="3" t="str">
        <f>IF('1.1 Produksi Bersih Padi 2025'!A333="","",'1.1 Produksi Bersih Padi 2025'!A333)</f>
        <v/>
      </c>
      <c r="B331" s="32" t="str">
        <f>IF('1.1 Produksi Bersih Padi 2025'!B333="","",'1.1 Produksi Bersih Padi 2025'!B333)</f>
        <v/>
      </c>
      <c r="C331" s="32" t="str">
        <f>IF('1.1 Produksi Bersih Padi 2025'!C333="","",'1.1 Produksi Bersih Padi 2025'!C333)</f>
        <v/>
      </c>
      <c r="D331" s="3" t="str">
        <f>IF('1.1 Produksi Bersih Padi 2025'!D333="","",'1.1 Produksi Bersih Padi 2025'!D333)</f>
        <v/>
      </c>
      <c r="E331" s="3" t="str">
        <f>IF('1.1 Produksi Bersih Padi 2025'!E333="","",'1.1 Produksi Bersih Padi 2025'!E333)</f>
        <v/>
      </c>
      <c r="F331" s="13" t="str">
        <f>'1.1 Produksi Bersih Padi 2025'!Q333</f>
        <v/>
      </c>
      <c r="G331" s="13" t="str">
        <f>'1.2 Produksi Bersih Jagung 2025'!L333</f>
        <v/>
      </c>
      <c r="H331" s="13" t="str">
        <f>'1.3 Prod Bersih Ubi Kayu 2025'!K333</f>
        <v/>
      </c>
      <c r="I331" s="13" t="str">
        <f>'1.4 Prod Bersih Ubi Jalar 2025'!K333</f>
        <v/>
      </c>
      <c r="J331" s="13" t="str">
        <f>'1.5 Prod Bersih Sagu 2025'!K333</f>
        <v/>
      </c>
      <c r="K331" s="13" t="str">
        <f>'1.6 Prod Bersih Pisang 2025'!K333</f>
        <v/>
      </c>
      <c r="L331" s="15">
        <f t="shared" si="15"/>
        <v>0</v>
      </c>
      <c r="M331" s="14" t="str">
        <f>IF(D331="","",VLOOKUP(D331,'[1]0.1 Produksi Pangan &amp; Penduduk'!$D$5:$AU$704,44,0))</f>
        <v/>
      </c>
      <c r="N331" s="26" t="str">
        <f t="shared" si="16"/>
        <v/>
      </c>
      <c r="O331" s="16"/>
      <c r="P331" s="25" t="str">
        <f t="shared" si="17"/>
        <v/>
      </c>
      <c r="Q331" s="8"/>
      <c r="R331" s="11"/>
    </row>
    <row r="332" spans="1:18" ht="15" x14ac:dyDescent="0.25">
      <c r="A332" s="3" t="str">
        <f>IF('1.1 Produksi Bersih Padi 2025'!A334="","",'1.1 Produksi Bersih Padi 2025'!A334)</f>
        <v/>
      </c>
      <c r="B332" s="32" t="str">
        <f>IF('1.1 Produksi Bersih Padi 2025'!B334="","",'1.1 Produksi Bersih Padi 2025'!B334)</f>
        <v/>
      </c>
      <c r="C332" s="32" t="str">
        <f>IF('1.1 Produksi Bersih Padi 2025'!C334="","",'1.1 Produksi Bersih Padi 2025'!C334)</f>
        <v/>
      </c>
      <c r="D332" s="3" t="str">
        <f>IF('1.1 Produksi Bersih Padi 2025'!D334="","",'1.1 Produksi Bersih Padi 2025'!D334)</f>
        <v/>
      </c>
      <c r="E332" s="3" t="str">
        <f>IF('1.1 Produksi Bersih Padi 2025'!E334="","",'1.1 Produksi Bersih Padi 2025'!E334)</f>
        <v/>
      </c>
      <c r="F332" s="13" t="str">
        <f>'1.1 Produksi Bersih Padi 2025'!Q334</f>
        <v/>
      </c>
      <c r="G332" s="13" t="str">
        <f>'1.2 Produksi Bersih Jagung 2025'!L334</f>
        <v/>
      </c>
      <c r="H332" s="13" t="str">
        <f>'1.3 Prod Bersih Ubi Kayu 2025'!K334</f>
        <v/>
      </c>
      <c r="I332" s="13" t="str">
        <f>'1.4 Prod Bersih Ubi Jalar 2025'!K334</f>
        <v/>
      </c>
      <c r="J332" s="13" t="str">
        <f>'1.5 Prod Bersih Sagu 2025'!K334</f>
        <v/>
      </c>
      <c r="K332" s="13" t="str">
        <f>'1.6 Prod Bersih Pisang 2025'!K334</f>
        <v/>
      </c>
      <c r="L332" s="15">
        <f t="shared" si="15"/>
        <v>0</v>
      </c>
      <c r="M332" s="14" t="str">
        <f>IF(D332="","",VLOOKUP(D332,'[1]0.1 Produksi Pangan &amp; Penduduk'!$D$5:$AU$704,44,0))</f>
        <v/>
      </c>
      <c r="N332" s="26" t="str">
        <f t="shared" si="16"/>
        <v/>
      </c>
      <c r="O332" s="16"/>
      <c r="P332" s="25" t="str">
        <f t="shared" si="17"/>
        <v/>
      </c>
      <c r="Q332" s="8"/>
      <c r="R332" s="11"/>
    </row>
    <row r="333" spans="1:18" ht="15" x14ac:dyDescent="0.25">
      <c r="A333" s="3" t="str">
        <f>IF('1.1 Produksi Bersih Padi 2025'!A335="","",'1.1 Produksi Bersih Padi 2025'!A335)</f>
        <v/>
      </c>
      <c r="B333" s="32" t="str">
        <f>IF('1.1 Produksi Bersih Padi 2025'!B335="","",'1.1 Produksi Bersih Padi 2025'!B335)</f>
        <v/>
      </c>
      <c r="C333" s="32" t="str">
        <f>IF('1.1 Produksi Bersih Padi 2025'!C335="","",'1.1 Produksi Bersih Padi 2025'!C335)</f>
        <v/>
      </c>
      <c r="D333" s="3" t="str">
        <f>IF('1.1 Produksi Bersih Padi 2025'!D335="","",'1.1 Produksi Bersih Padi 2025'!D335)</f>
        <v/>
      </c>
      <c r="E333" s="3" t="str">
        <f>IF('1.1 Produksi Bersih Padi 2025'!E335="","",'1.1 Produksi Bersih Padi 2025'!E335)</f>
        <v/>
      </c>
      <c r="F333" s="13" t="str">
        <f>'1.1 Produksi Bersih Padi 2025'!Q335</f>
        <v/>
      </c>
      <c r="G333" s="13" t="str">
        <f>'1.2 Produksi Bersih Jagung 2025'!L335</f>
        <v/>
      </c>
      <c r="H333" s="13" t="str">
        <f>'1.3 Prod Bersih Ubi Kayu 2025'!K335</f>
        <v/>
      </c>
      <c r="I333" s="13" t="str">
        <f>'1.4 Prod Bersih Ubi Jalar 2025'!K335</f>
        <v/>
      </c>
      <c r="J333" s="13" t="str">
        <f>'1.5 Prod Bersih Sagu 2025'!K335</f>
        <v/>
      </c>
      <c r="K333" s="13" t="str">
        <f>'1.6 Prod Bersih Pisang 2025'!K335</f>
        <v/>
      </c>
      <c r="L333" s="15">
        <f t="shared" si="15"/>
        <v>0</v>
      </c>
      <c r="M333" s="14" t="str">
        <f>IF(D333="","",VLOOKUP(D333,'[1]0.1 Produksi Pangan &amp; Penduduk'!$D$5:$AU$704,44,0))</f>
        <v/>
      </c>
      <c r="N333" s="26" t="str">
        <f t="shared" si="16"/>
        <v/>
      </c>
      <c r="O333" s="16"/>
      <c r="P333" s="25" t="str">
        <f t="shared" si="17"/>
        <v/>
      </c>
      <c r="Q333" s="8"/>
      <c r="R333" s="11"/>
    </row>
    <row r="334" spans="1:18" ht="15" x14ac:dyDescent="0.25">
      <c r="A334" s="3" t="str">
        <f>IF('1.1 Produksi Bersih Padi 2025'!A336="","",'1.1 Produksi Bersih Padi 2025'!A336)</f>
        <v/>
      </c>
      <c r="B334" s="32" t="str">
        <f>IF('1.1 Produksi Bersih Padi 2025'!B336="","",'1.1 Produksi Bersih Padi 2025'!B336)</f>
        <v/>
      </c>
      <c r="C334" s="32" t="str">
        <f>IF('1.1 Produksi Bersih Padi 2025'!C336="","",'1.1 Produksi Bersih Padi 2025'!C336)</f>
        <v/>
      </c>
      <c r="D334" s="3" t="str">
        <f>IF('1.1 Produksi Bersih Padi 2025'!D336="","",'1.1 Produksi Bersih Padi 2025'!D336)</f>
        <v/>
      </c>
      <c r="E334" s="3" t="str">
        <f>IF('1.1 Produksi Bersih Padi 2025'!E336="","",'1.1 Produksi Bersih Padi 2025'!E336)</f>
        <v/>
      </c>
      <c r="F334" s="13" t="str">
        <f>'1.1 Produksi Bersih Padi 2025'!Q336</f>
        <v/>
      </c>
      <c r="G334" s="13" t="str">
        <f>'1.2 Produksi Bersih Jagung 2025'!L336</f>
        <v/>
      </c>
      <c r="H334" s="13" t="str">
        <f>'1.3 Prod Bersih Ubi Kayu 2025'!K336</f>
        <v/>
      </c>
      <c r="I334" s="13" t="str">
        <f>'1.4 Prod Bersih Ubi Jalar 2025'!K336</f>
        <v/>
      </c>
      <c r="J334" s="13" t="str">
        <f>'1.5 Prod Bersih Sagu 2025'!K336</f>
        <v/>
      </c>
      <c r="K334" s="13" t="str">
        <f>'1.6 Prod Bersih Pisang 2025'!K336</f>
        <v/>
      </c>
      <c r="L334" s="15">
        <f t="shared" si="15"/>
        <v>0</v>
      </c>
      <c r="M334" s="14" t="str">
        <f>IF(D334="","",VLOOKUP(D334,'[1]0.1 Produksi Pangan &amp; Penduduk'!$D$5:$AU$704,44,0))</f>
        <v/>
      </c>
      <c r="N334" s="26" t="str">
        <f t="shared" si="16"/>
        <v/>
      </c>
      <c r="O334" s="16"/>
      <c r="P334" s="25" t="str">
        <f t="shared" si="17"/>
        <v/>
      </c>
      <c r="Q334" s="8"/>
      <c r="R334" s="11"/>
    </row>
    <row r="335" spans="1:18" ht="15" x14ac:dyDescent="0.25">
      <c r="A335" s="3" t="str">
        <f>IF('1.1 Produksi Bersih Padi 2025'!A337="","",'1.1 Produksi Bersih Padi 2025'!A337)</f>
        <v/>
      </c>
      <c r="B335" s="32" t="str">
        <f>IF('1.1 Produksi Bersih Padi 2025'!B337="","",'1.1 Produksi Bersih Padi 2025'!B337)</f>
        <v/>
      </c>
      <c r="C335" s="32" t="str">
        <f>IF('1.1 Produksi Bersih Padi 2025'!C337="","",'1.1 Produksi Bersih Padi 2025'!C337)</f>
        <v/>
      </c>
      <c r="D335" s="3" t="str">
        <f>IF('1.1 Produksi Bersih Padi 2025'!D337="","",'1.1 Produksi Bersih Padi 2025'!D337)</f>
        <v/>
      </c>
      <c r="E335" s="3" t="str">
        <f>IF('1.1 Produksi Bersih Padi 2025'!E337="","",'1.1 Produksi Bersih Padi 2025'!E337)</f>
        <v/>
      </c>
      <c r="F335" s="13" t="str">
        <f>'1.1 Produksi Bersih Padi 2025'!Q337</f>
        <v/>
      </c>
      <c r="G335" s="13" t="str">
        <f>'1.2 Produksi Bersih Jagung 2025'!L337</f>
        <v/>
      </c>
      <c r="H335" s="13" t="str">
        <f>'1.3 Prod Bersih Ubi Kayu 2025'!K337</f>
        <v/>
      </c>
      <c r="I335" s="13" t="str">
        <f>'1.4 Prod Bersih Ubi Jalar 2025'!K337</f>
        <v/>
      </c>
      <c r="J335" s="13" t="str">
        <f>'1.5 Prod Bersih Sagu 2025'!K337</f>
        <v/>
      </c>
      <c r="K335" s="13" t="str">
        <f>'1.6 Prod Bersih Pisang 2025'!K337</f>
        <v/>
      </c>
      <c r="L335" s="15">
        <f t="shared" si="15"/>
        <v>0</v>
      </c>
      <c r="M335" s="14" t="str">
        <f>IF(D335="","",VLOOKUP(D335,'[1]0.1 Produksi Pangan &amp; Penduduk'!$D$5:$AU$704,44,0))</f>
        <v/>
      </c>
      <c r="N335" s="26" t="str">
        <f t="shared" si="16"/>
        <v/>
      </c>
      <c r="O335" s="16"/>
      <c r="P335" s="25" t="str">
        <f t="shared" si="17"/>
        <v/>
      </c>
      <c r="Q335" s="8"/>
      <c r="R335" s="11"/>
    </row>
    <row r="336" spans="1:18" ht="15" x14ac:dyDescent="0.25">
      <c r="A336" s="3" t="str">
        <f>IF('1.1 Produksi Bersih Padi 2025'!A338="","",'1.1 Produksi Bersih Padi 2025'!A338)</f>
        <v/>
      </c>
      <c r="B336" s="32" t="str">
        <f>IF('1.1 Produksi Bersih Padi 2025'!B338="","",'1.1 Produksi Bersih Padi 2025'!B338)</f>
        <v/>
      </c>
      <c r="C336" s="32" t="str">
        <f>IF('1.1 Produksi Bersih Padi 2025'!C338="","",'1.1 Produksi Bersih Padi 2025'!C338)</f>
        <v/>
      </c>
      <c r="D336" s="3" t="str">
        <f>IF('1.1 Produksi Bersih Padi 2025'!D338="","",'1.1 Produksi Bersih Padi 2025'!D338)</f>
        <v/>
      </c>
      <c r="E336" s="3" t="str">
        <f>IF('1.1 Produksi Bersih Padi 2025'!E338="","",'1.1 Produksi Bersih Padi 2025'!E338)</f>
        <v/>
      </c>
      <c r="F336" s="13" t="str">
        <f>'1.1 Produksi Bersih Padi 2025'!Q338</f>
        <v/>
      </c>
      <c r="G336" s="13" t="str">
        <f>'1.2 Produksi Bersih Jagung 2025'!L338</f>
        <v/>
      </c>
      <c r="H336" s="13" t="str">
        <f>'1.3 Prod Bersih Ubi Kayu 2025'!K338</f>
        <v/>
      </c>
      <c r="I336" s="13" t="str">
        <f>'1.4 Prod Bersih Ubi Jalar 2025'!K338</f>
        <v/>
      </c>
      <c r="J336" s="13" t="str">
        <f>'1.5 Prod Bersih Sagu 2025'!K338</f>
        <v/>
      </c>
      <c r="K336" s="13" t="str">
        <f>'1.6 Prod Bersih Pisang 2025'!K338</f>
        <v/>
      </c>
      <c r="L336" s="15">
        <f t="shared" si="15"/>
        <v>0</v>
      </c>
      <c r="M336" s="14" t="str">
        <f>IF(D336="","",VLOOKUP(D336,'[1]0.1 Produksi Pangan &amp; Penduduk'!$D$5:$AU$704,44,0))</f>
        <v/>
      </c>
      <c r="N336" s="26" t="str">
        <f t="shared" si="16"/>
        <v/>
      </c>
      <c r="O336" s="16"/>
      <c r="P336" s="25" t="str">
        <f t="shared" si="17"/>
        <v/>
      </c>
      <c r="Q336" s="8"/>
      <c r="R336" s="11"/>
    </row>
    <row r="337" spans="1:18" ht="15" x14ac:dyDescent="0.25">
      <c r="A337" s="3" t="str">
        <f>IF('1.1 Produksi Bersih Padi 2025'!A339="","",'1.1 Produksi Bersih Padi 2025'!A339)</f>
        <v/>
      </c>
      <c r="B337" s="32" t="str">
        <f>IF('1.1 Produksi Bersih Padi 2025'!B339="","",'1.1 Produksi Bersih Padi 2025'!B339)</f>
        <v/>
      </c>
      <c r="C337" s="32" t="str">
        <f>IF('1.1 Produksi Bersih Padi 2025'!C339="","",'1.1 Produksi Bersih Padi 2025'!C339)</f>
        <v/>
      </c>
      <c r="D337" s="3" t="str">
        <f>IF('1.1 Produksi Bersih Padi 2025'!D339="","",'1.1 Produksi Bersih Padi 2025'!D339)</f>
        <v/>
      </c>
      <c r="E337" s="3" t="str">
        <f>IF('1.1 Produksi Bersih Padi 2025'!E339="","",'1.1 Produksi Bersih Padi 2025'!E339)</f>
        <v/>
      </c>
      <c r="F337" s="13" t="str">
        <f>'1.1 Produksi Bersih Padi 2025'!Q339</f>
        <v/>
      </c>
      <c r="G337" s="13" t="str">
        <f>'1.2 Produksi Bersih Jagung 2025'!L339</f>
        <v/>
      </c>
      <c r="H337" s="13" t="str">
        <f>'1.3 Prod Bersih Ubi Kayu 2025'!K339</f>
        <v/>
      </c>
      <c r="I337" s="13" t="str">
        <f>'1.4 Prod Bersih Ubi Jalar 2025'!K339</f>
        <v/>
      </c>
      <c r="J337" s="13" t="str">
        <f>'1.5 Prod Bersih Sagu 2025'!K339</f>
        <v/>
      </c>
      <c r="K337" s="13" t="str">
        <f>'1.6 Prod Bersih Pisang 2025'!K339</f>
        <v/>
      </c>
      <c r="L337" s="15">
        <f t="shared" si="15"/>
        <v>0</v>
      </c>
      <c r="M337" s="14" t="str">
        <f>IF(D337="","",VLOOKUP(D337,'[1]0.1 Produksi Pangan &amp; Penduduk'!$D$5:$AU$704,44,0))</f>
        <v/>
      </c>
      <c r="N337" s="26" t="str">
        <f t="shared" si="16"/>
        <v/>
      </c>
      <c r="O337" s="16"/>
      <c r="P337" s="25" t="str">
        <f t="shared" si="17"/>
        <v/>
      </c>
      <c r="Q337" s="8"/>
      <c r="R337" s="11"/>
    </row>
    <row r="338" spans="1:18" ht="15" x14ac:dyDescent="0.25">
      <c r="A338" s="3" t="str">
        <f>IF('1.1 Produksi Bersih Padi 2025'!A340="","",'1.1 Produksi Bersih Padi 2025'!A340)</f>
        <v/>
      </c>
      <c r="B338" s="32" t="str">
        <f>IF('1.1 Produksi Bersih Padi 2025'!B340="","",'1.1 Produksi Bersih Padi 2025'!B340)</f>
        <v/>
      </c>
      <c r="C338" s="32" t="str">
        <f>IF('1.1 Produksi Bersih Padi 2025'!C340="","",'1.1 Produksi Bersih Padi 2025'!C340)</f>
        <v/>
      </c>
      <c r="D338" s="3" t="str">
        <f>IF('1.1 Produksi Bersih Padi 2025'!D340="","",'1.1 Produksi Bersih Padi 2025'!D340)</f>
        <v/>
      </c>
      <c r="E338" s="3" t="str">
        <f>IF('1.1 Produksi Bersih Padi 2025'!E340="","",'1.1 Produksi Bersih Padi 2025'!E340)</f>
        <v/>
      </c>
      <c r="F338" s="13" t="str">
        <f>'1.1 Produksi Bersih Padi 2025'!Q340</f>
        <v/>
      </c>
      <c r="G338" s="13" t="str">
        <f>'1.2 Produksi Bersih Jagung 2025'!L340</f>
        <v/>
      </c>
      <c r="H338" s="13" t="str">
        <f>'1.3 Prod Bersih Ubi Kayu 2025'!K340</f>
        <v/>
      </c>
      <c r="I338" s="13" t="str">
        <f>'1.4 Prod Bersih Ubi Jalar 2025'!K340</f>
        <v/>
      </c>
      <c r="J338" s="13" t="str">
        <f>'1.5 Prod Bersih Sagu 2025'!K340</f>
        <v/>
      </c>
      <c r="K338" s="13" t="str">
        <f>'1.6 Prod Bersih Pisang 2025'!K340</f>
        <v/>
      </c>
      <c r="L338" s="15">
        <f t="shared" si="15"/>
        <v>0</v>
      </c>
      <c r="M338" s="14" t="str">
        <f>IF(D338="","",VLOOKUP(D338,'[1]0.1 Produksi Pangan &amp; Penduduk'!$D$5:$AU$704,44,0))</f>
        <v/>
      </c>
      <c r="N338" s="26" t="str">
        <f t="shared" si="16"/>
        <v/>
      </c>
      <c r="O338" s="16"/>
      <c r="P338" s="25" t="str">
        <f t="shared" si="17"/>
        <v/>
      </c>
      <c r="Q338" s="8"/>
      <c r="R338" s="11"/>
    </row>
    <row r="339" spans="1:18" ht="15" x14ac:dyDescent="0.25">
      <c r="A339" s="3" t="str">
        <f>IF('1.1 Produksi Bersih Padi 2025'!A341="","",'1.1 Produksi Bersih Padi 2025'!A341)</f>
        <v/>
      </c>
      <c r="B339" s="32" t="str">
        <f>IF('1.1 Produksi Bersih Padi 2025'!B341="","",'1.1 Produksi Bersih Padi 2025'!B341)</f>
        <v/>
      </c>
      <c r="C339" s="32" t="str">
        <f>IF('1.1 Produksi Bersih Padi 2025'!C341="","",'1.1 Produksi Bersih Padi 2025'!C341)</f>
        <v/>
      </c>
      <c r="D339" s="3" t="str">
        <f>IF('1.1 Produksi Bersih Padi 2025'!D341="","",'1.1 Produksi Bersih Padi 2025'!D341)</f>
        <v/>
      </c>
      <c r="E339" s="3" t="str">
        <f>IF('1.1 Produksi Bersih Padi 2025'!E341="","",'1.1 Produksi Bersih Padi 2025'!E341)</f>
        <v/>
      </c>
      <c r="F339" s="13" t="str">
        <f>'1.1 Produksi Bersih Padi 2025'!Q341</f>
        <v/>
      </c>
      <c r="G339" s="13" t="str">
        <f>'1.2 Produksi Bersih Jagung 2025'!L341</f>
        <v/>
      </c>
      <c r="H339" s="13" t="str">
        <f>'1.3 Prod Bersih Ubi Kayu 2025'!K341</f>
        <v/>
      </c>
      <c r="I339" s="13" t="str">
        <f>'1.4 Prod Bersih Ubi Jalar 2025'!K341</f>
        <v/>
      </c>
      <c r="J339" s="13" t="str">
        <f>'1.5 Prod Bersih Sagu 2025'!K341</f>
        <v/>
      </c>
      <c r="K339" s="13" t="str">
        <f>'1.6 Prod Bersih Pisang 2025'!K341</f>
        <v/>
      </c>
      <c r="L339" s="15">
        <f t="shared" si="15"/>
        <v>0</v>
      </c>
      <c r="M339" s="14" t="str">
        <f>IF(D339="","",VLOOKUP(D339,'[1]0.1 Produksi Pangan &amp; Penduduk'!$D$5:$AU$704,44,0))</f>
        <v/>
      </c>
      <c r="N339" s="26" t="str">
        <f t="shared" si="16"/>
        <v/>
      </c>
      <c r="O339" s="16"/>
      <c r="P339" s="25" t="str">
        <f t="shared" si="17"/>
        <v/>
      </c>
      <c r="Q339" s="8"/>
      <c r="R339" s="11"/>
    </row>
    <row r="340" spans="1:18" ht="15" x14ac:dyDescent="0.25">
      <c r="A340" s="3" t="str">
        <f>IF('1.1 Produksi Bersih Padi 2025'!A342="","",'1.1 Produksi Bersih Padi 2025'!A342)</f>
        <v/>
      </c>
      <c r="B340" s="32" t="str">
        <f>IF('1.1 Produksi Bersih Padi 2025'!B342="","",'1.1 Produksi Bersih Padi 2025'!B342)</f>
        <v/>
      </c>
      <c r="C340" s="32" t="str">
        <f>IF('1.1 Produksi Bersih Padi 2025'!C342="","",'1.1 Produksi Bersih Padi 2025'!C342)</f>
        <v/>
      </c>
      <c r="D340" s="3" t="str">
        <f>IF('1.1 Produksi Bersih Padi 2025'!D342="","",'1.1 Produksi Bersih Padi 2025'!D342)</f>
        <v/>
      </c>
      <c r="E340" s="3" t="str">
        <f>IF('1.1 Produksi Bersih Padi 2025'!E342="","",'1.1 Produksi Bersih Padi 2025'!E342)</f>
        <v/>
      </c>
      <c r="F340" s="13" t="str">
        <f>'1.1 Produksi Bersih Padi 2025'!Q342</f>
        <v/>
      </c>
      <c r="G340" s="13" t="str">
        <f>'1.2 Produksi Bersih Jagung 2025'!L342</f>
        <v/>
      </c>
      <c r="H340" s="13" t="str">
        <f>'1.3 Prod Bersih Ubi Kayu 2025'!K342</f>
        <v/>
      </c>
      <c r="I340" s="13" t="str">
        <f>'1.4 Prod Bersih Ubi Jalar 2025'!K342</f>
        <v/>
      </c>
      <c r="J340" s="13" t="str">
        <f>'1.5 Prod Bersih Sagu 2025'!K342</f>
        <v/>
      </c>
      <c r="K340" s="13" t="str">
        <f>'1.6 Prod Bersih Pisang 2025'!K342</f>
        <v/>
      </c>
      <c r="L340" s="15">
        <f t="shared" si="15"/>
        <v>0</v>
      </c>
      <c r="M340" s="14" t="str">
        <f>IF(D340="","",VLOOKUP(D340,'[1]0.1 Produksi Pangan &amp; Penduduk'!$D$5:$AU$704,44,0))</f>
        <v/>
      </c>
      <c r="N340" s="26" t="str">
        <f t="shared" si="16"/>
        <v/>
      </c>
      <c r="O340" s="16"/>
      <c r="P340" s="25" t="str">
        <f t="shared" si="17"/>
        <v/>
      </c>
      <c r="Q340" s="8"/>
      <c r="R340" s="11"/>
    </row>
    <row r="341" spans="1:18" ht="15" x14ac:dyDescent="0.25">
      <c r="A341" s="3" t="str">
        <f>IF('1.1 Produksi Bersih Padi 2025'!A343="","",'1.1 Produksi Bersih Padi 2025'!A343)</f>
        <v/>
      </c>
      <c r="B341" s="32" t="str">
        <f>IF('1.1 Produksi Bersih Padi 2025'!B343="","",'1.1 Produksi Bersih Padi 2025'!B343)</f>
        <v/>
      </c>
      <c r="C341" s="32" t="str">
        <f>IF('1.1 Produksi Bersih Padi 2025'!C343="","",'1.1 Produksi Bersih Padi 2025'!C343)</f>
        <v/>
      </c>
      <c r="D341" s="3" t="str">
        <f>IF('1.1 Produksi Bersih Padi 2025'!D343="","",'1.1 Produksi Bersih Padi 2025'!D343)</f>
        <v/>
      </c>
      <c r="E341" s="3" t="str">
        <f>IF('1.1 Produksi Bersih Padi 2025'!E343="","",'1.1 Produksi Bersih Padi 2025'!E343)</f>
        <v/>
      </c>
      <c r="F341" s="13" t="str">
        <f>'1.1 Produksi Bersih Padi 2025'!Q343</f>
        <v/>
      </c>
      <c r="G341" s="13" t="str">
        <f>'1.2 Produksi Bersih Jagung 2025'!L343</f>
        <v/>
      </c>
      <c r="H341" s="13" t="str">
        <f>'1.3 Prod Bersih Ubi Kayu 2025'!K343</f>
        <v/>
      </c>
      <c r="I341" s="13" t="str">
        <f>'1.4 Prod Bersih Ubi Jalar 2025'!K343</f>
        <v/>
      </c>
      <c r="J341" s="13" t="str">
        <f>'1.5 Prod Bersih Sagu 2025'!K343</f>
        <v/>
      </c>
      <c r="K341" s="13" t="str">
        <f>'1.6 Prod Bersih Pisang 2025'!K343</f>
        <v/>
      </c>
      <c r="L341" s="15">
        <f t="shared" si="15"/>
        <v>0</v>
      </c>
      <c r="M341" s="14" t="str">
        <f>IF(D341="","",VLOOKUP(D341,'[1]0.1 Produksi Pangan &amp; Penduduk'!$D$5:$AU$704,44,0))</f>
        <v/>
      </c>
      <c r="N341" s="26" t="str">
        <f t="shared" si="16"/>
        <v/>
      </c>
      <c r="O341" s="16"/>
      <c r="P341" s="25" t="str">
        <f t="shared" si="17"/>
        <v/>
      </c>
      <c r="Q341" s="8"/>
      <c r="R341" s="11"/>
    </row>
    <row r="342" spans="1:18" ht="15" x14ac:dyDescent="0.25">
      <c r="A342" s="3" t="str">
        <f>IF('1.1 Produksi Bersih Padi 2025'!A344="","",'1.1 Produksi Bersih Padi 2025'!A344)</f>
        <v/>
      </c>
      <c r="B342" s="32" t="str">
        <f>IF('1.1 Produksi Bersih Padi 2025'!B344="","",'1.1 Produksi Bersih Padi 2025'!B344)</f>
        <v/>
      </c>
      <c r="C342" s="32" t="str">
        <f>IF('1.1 Produksi Bersih Padi 2025'!C344="","",'1.1 Produksi Bersih Padi 2025'!C344)</f>
        <v/>
      </c>
      <c r="D342" s="3" t="str">
        <f>IF('1.1 Produksi Bersih Padi 2025'!D344="","",'1.1 Produksi Bersih Padi 2025'!D344)</f>
        <v/>
      </c>
      <c r="E342" s="3" t="str">
        <f>IF('1.1 Produksi Bersih Padi 2025'!E344="","",'1.1 Produksi Bersih Padi 2025'!E344)</f>
        <v/>
      </c>
      <c r="F342" s="13" t="str">
        <f>'1.1 Produksi Bersih Padi 2025'!Q344</f>
        <v/>
      </c>
      <c r="G342" s="13" t="str">
        <f>'1.2 Produksi Bersih Jagung 2025'!L344</f>
        <v/>
      </c>
      <c r="H342" s="13" t="str">
        <f>'1.3 Prod Bersih Ubi Kayu 2025'!K344</f>
        <v/>
      </c>
      <c r="I342" s="13" t="str">
        <f>'1.4 Prod Bersih Ubi Jalar 2025'!K344</f>
        <v/>
      </c>
      <c r="J342" s="13" t="str">
        <f>'1.5 Prod Bersih Sagu 2025'!K344</f>
        <v/>
      </c>
      <c r="K342" s="13" t="str">
        <f>'1.6 Prod Bersih Pisang 2025'!K344</f>
        <v/>
      </c>
      <c r="L342" s="15">
        <f t="shared" si="15"/>
        <v>0</v>
      </c>
      <c r="M342" s="14" t="str">
        <f>IF(D342="","",VLOOKUP(D342,'[1]0.1 Produksi Pangan &amp; Penduduk'!$D$5:$AU$704,44,0))</f>
        <v/>
      </c>
      <c r="N342" s="26" t="str">
        <f t="shared" si="16"/>
        <v/>
      </c>
      <c r="O342" s="16"/>
      <c r="P342" s="25" t="str">
        <f t="shared" si="17"/>
        <v/>
      </c>
      <c r="Q342" s="8"/>
      <c r="R342" s="11"/>
    </row>
    <row r="343" spans="1:18" ht="15" x14ac:dyDescent="0.25">
      <c r="A343" s="3" t="str">
        <f>IF('1.1 Produksi Bersih Padi 2025'!A345="","",'1.1 Produksi Bersih Padi 2025'!A345)</f>
        <v/>
      </c>
      <c r="B343" s="32" t="str">
        <f>IF('1.1 Produksi Bersih Padi 2025'!B345="","",'1.1 Produksi Bersih Padi 2025'!B345)</f>
        <v/>
      </c>
      <c r="C343" s="32" t="str">
        <f>IF('1.1 Produksi Bersih Padi 2025'!C345="","",'1.1 Produksi Bersih Padi 2025'!C345)</f>
        <v/>
      </c>
      <c r="D343" s="3" t="str">
        <f>IF('1.1 Produksi Bersih Padi 2025'!D345="","",'1.1 Produksi Bersih Padi 2025'!D345)</f>
        <v/>
      </c>
      <c r="E343" s="3" t="str">
        <f>IF('1.1 Produksi Bersih Padi 2025'!E345="","",'1.1 Produksi Bersih Padi 2025'!E345)</f>
        <v/>
      </c>
      <c r="F343" s="13" t="str">
        <f>'1.1 Produksi Bersih Padi 2025'!Q345</f>
        <v/>
      </c>
      <c r="G343" s="13" t="str">
        <f>'1.2 Produksi Bersih Jagung 2025'!L345</f>
        <v/>
      </c>
      <c r="H343" s="13" t="str">
        <f>'1.3 Prod Bersih Ubi Kayu 2025'!K345</f>
        <v/>
      </c>
      <c r="I343" s="13" t="str">
        <f>'1.4 Prod Bersih Ubi Jalar 2025'!K345</f>
        <v/>
      </c>
      <c r="J343" s="13" t="str">
        <f>'1.5 Prod Bersih Sagu 2025'!K345</f>
        <v/>
      </c>
      <c r="K343" s="13" t="str">
        <f>'1.6 Prod Bersih Pisang 2025'!K345</f>
        <v/>
      </c>
      <c r="L343" s="15">
        <f t="shared" si="15"/>
        <v>0</v>
      </c>
      <c r="M343" s="14" t="str">
        <f>IF(D343="","",VLOOKUP(D343,'[1]0.1 Produksi Pangan &amp; Penduduk'!$D$5:$AU$704,44,0))</f>
        <v/>
      </c>
      <c r="N343" s="26" t="str">
        <f t="shared" si="16"/>
        <v/>
      </c>
      <c r="O343" s="16"/>
      <c r="P343" s="25" t="str">
        <f t="shared" si="17"/>
        <v/>
      </c>
      <c r="Q343" s="8"/>
      <c r="R343" s="11"/>
    </row>
    <row r="344" spans="1:18" ht="15" x14ac:dyDescent="0.25">
      <c r="A344" s="3" t="str">
        <f>IF('1.1 Produksi Bersih Padi 2025'!A346="","",'1.1 Produksi Bersih Padi 2025'!A346)</f>
        <v/>
      </c>
      <c r="B344" s="32" t="str">
        <f>IF('1.1 Produksi Bersih Padi 2025'!B346="","",'1.1 Produksi Bersih Padi 2025'!B346)</f>
        <v/>
      </c>
      <c r="C344" s="32" t="str">
        <f>IF('1.1 Produksi Bersih Padi 2025'!C346="","",'1.1 Produksi Bersih Padi 2025'!C346)</f>
        <v/>
      </c>
      <c r="D344" s="3" t="str">
        <f>IF('1.1 Produksi Bersih Padi 2025'!D346="","",'1.1 Produksi Bersih Padi 2025'!D346)</f>
        <v/>
      </c>
      <c r="E344" s="3" t="str">
        <f>IF('1.1 Produksi Bersih Padi 2025'!E346="","",'1.1 Produksi Bersih Padi 2025'!E346)</f>
        <v/>
      </c>
      <c r="F344" s="13" t="str">
        <f>'1.1 Produksi Bersih Padi 2025'!Q346</f>
        <v/>
      </c>
      <c r="G344" s="13" t="str">
        <f>'1.2 Produksi Bersih Jagung 2025'!L346</f>
        <v/>
      </c>
      <c r="H344" s="13" t="str">
        <f>'1.3 Prod Bersih Ubi Kayu 2025'!K346</f>
        <v/>
      </c>
      <c r="I344" s="13" t="str">
        <f>'1.4 Prod Bersih Ubi Jalar 2025'!K346</f>
        <v/>
      </c>
      <c r="J344" s="13" t="str">
        <f>'1.5 Prod Bersih Sagu 2025'!K346</f>
        <v/>
      </c>
      <c r="K344" s="13" t="str">
        <f>'1.6 Prod Bersih Pisang 2025'!K346</f>
        <v/>
      </c>
      <c r="L344" s="15">
        <f t="shared" si="15"/>
        <v>0</v>
      </c>
      <c r="M344" s="14" t="str">
        <f>IF(D344="","",VLOOKUP(D344,'[1]0.1 Produksi Pangan &amp; Penduduk'!$D$5:$AU$704,44,0))</f>
        <v/>
      </c>
      <c r="N344" s="26" t="str">
        <f t="shared" si="16"/>
        <v/>
      </c>
      <c r="O344" s="16"/>
      <c r="P344" s="25" t="str">
        <f t="shared" si="17"/>
        <v/>
      </c>
      <c r="Q344" s="8"/>
      <c r="R344" s="11"/>
    </row>
    <row r="345" spans="1:18" ht="15" x14ac:dyDescent="0.25">
      <c r="A345" s="3" t="str">
        <f>IF('1.1 Produksi Bersih Padi 2025'!A347="","",'1.1 Produksi Bersih Padi 2025'!A347)</f>
        <v/>
      </c>
      <c r="B345" s="32" t="str">
        <f>IF('1.1 Produksi Bersih Padi 2025'!B347="","",'1.1 Produksi Bersih Padi 2025'!B347)</f>
        <v/>
      </c>
      <c r="C345" s="32" t="str">
        <f>IF('1.1 Produksi Bersih Padi 2025'!C347="","",'1.1 Produksi Bersih Padi 2025'!C347)</f>
        <v/>
      </c>
      <c r="D345" s="3" t="str">
        <f>IF('1.1 Produksi Bersih Padi 2025'!D347="","",'1.1 Produksi Bersih Padi 2025'!D347)</f>
        <v/>
      </c>
      <c r="E345" s="3" t="str">
        <f>IF('1.1 Produksi Bersih Padi 2025'!E347="","",'1.1 Produksi Bersih Padi 2025'!E347)</f>
        <v/>
      </c>
      <c r="F345" s="13" t="str">
        <f>'1.1 Produksi Bersih Padi 2025'!Q347</f>
        <v/>
      </c>
      <c r="G345" s="13" t="str">
        <f>'1.2 Produksi Bersih Jagung 2025'!L347</f>
        <v/>
      </c>
      <c r="H345" s="13" t="str">
        <f>'1.3 Prod Bersih Ubi Kayu 2025'!K347</f>
        <v/>
      </c>
      <c r="I345" s="13" t="str">
        <f>'1.4 Prod Bersih Ubi Jalar 2025'!K347</f>
        <v/>
      </c>
      <c r="J345" s="13" t="str">
        <f>'1.5 Prod Bersih Sagu 2025'!K347</f>
        <v/>
      </c>
      <c r="K345" s="13" t="str">
        <f>'1.6 Prod Bersih Pisang 2025'!K347</f>
        <v/>
      </c>
      <c r="L345" s="15">
        <f t="shared" si="15"/>
        <v>0</v>
      </c>
      <c r="M345" s="14" t="str">
        <f>IF(D345="","",VLOOKUP(D345,'[1]0.1 Produksi Pangan &amp; Penduduk'!$D$5:$AU$704,44,0))</f>
        <v/>
      </c>
      <c r="N345" s="26" t="str">
        <f t="shared" si="16"/>
        <v/>
      </c>
      <c r="O345" s="16"/>
      <c r="P345" s="25" t="str">
        <f t="shared" si="17"/>
        <v/>
      </c>
      <c r="Q345" s="8"/>
      <c r="R345" s="11"/>
    </row>
    <row r="346" spans="1:18" ht="15" x14ac:dyDescent="0.25">
      <c r="A346" s="3" t="str">
        <f>IF('1.1 Produksi Bersih Padi 2025'!A348="","",'1.1 Produksi Bersih Padi 2025'!A348)</f>
        <v/>
      </c>
      <c r="B346" s="32" t="str">
        <f>IF('1.1 Produksi Bersih Padi 2025'!B348="","",'1.1 Produksi Bersih Padi 2025'!B348)</f>
        <v/>
      </c>
      <c r="C346" s="32" t="str">
        <f>IF('1.1 Produksi Bersih Padi 2025'!C348="","",'1.1 Produksi Bersih Padi 2025'!C348)</f>
        <v/>
      </c>
      <c r="D346" s="3" t="str">
        <f>IF('1.1 Produksi Bersih Padi 2025'!D348="","",'1.1 Produksi Bersih Padi 2025'!D348)</f>
        <v/>
      </c>
      <c r="E346" s="3" t="str">
        <f>IF('1.1 Produksi Bersih Padi 2025'!E348="","",'1.1 Produksi Bersih Padi 2025'!E348)</f>
        <v/>
      </c>
      <c r="F346" s="13" t="str">
        <f>'1.1 Produksi Bersih Padi 2025'!Q348</f>
        <v/>
      </c>
      <c r="G346" s="13" t="str">
        <f>'1.2 Produksi Bersih Jagung 2025'!L348</f>
        <v/>
      </c>
      <c r="H346" s="13" t="str">
        <f>'1.3 Prod Bersih Ubi Kayu 2025'!K348</f>
        <v/>
      </c>
      <c r="I346" s="13" t="str">
        <f>'1.4 Prod Bersih Ubi Jalar 2025'!K348</f>
        <v/>
      </c>
      <c r="J346" s="13" t="str">
        <f>'1.5 Prod Bersih Sagu 2025'!K348</f>
        <v/>
      </c>
      <c r="K346" s="13" t="str">
        <f>'1.6 Prod Bersih Pisang 2025'!K348</f>
        <v/>
      </c>
      <c r="L346" s="15">
        <f t="shared" si="15"/>
        <v>0</v>
      </c>
      <c r="M346" s="14" t="str">
        <f>IF(D346="","",VLOOKUP(D346,'[1]0.1 Produksi Pangan &amp; Penduduk'!$D$5:$AU$704,44,0))</f>
        <v/>
      </c>
      <c r="N346" s="26" t="str">
        <f t="shared" si="16"/>
        <v/>
      </c>
      <c r="O346" s="16"/>
      <c r="P346" s="25" t="str">
        <f t="shared" si="17"/>
        <v/>
      </c>
      <c r="Q346" s="8"/>
      <c r="R346" s="11"/>
    </row>
    <row r="347" spans="1:18" ht="15" x14ac:dyDescent="0.25">
      <c r="A347" s="3" t="str">
        <f>IF('1.1 Produksi Bersih Padi 2025'!A349="","",'1.1 Produksi Bersih Padi 2025'!A349)</f>
        <v/>
      </c>
      <c r="B347" s="32" t="str">
        <f>IF('1.1 Produksi Bersih Padi 2025'!B349="","",'1.1 Produksi Bersih Padi 2025'!B349)</f>
        <v/>
      </c>
      <c r="C347" s="32" t="str">
        <f>IF('1.1 Produksi Bersih Padi 2025'!C349="","",'1.1 Produksi Bersih Padi 2025'!C349)</f>
        <v/>
      </c>
      <c r="D347" s="3" t="str">
        <f>IF('1.1 Produksi Bersih Padi 2025'!D349="","",'1.1 Produksi Bersih Padi 2025'!D349)</f>
        <v/>
      </c>
      <c r="E347" s="3" t="str">
        <f>IF('1.1 Produksi Bersih Padi 2025'!E349="","",'1.1 Produksi Bersih Padi 2025'!E349)</f>
        <v/>
      </c>
      <c r="F347" s="13" t="str">
        <f>'1.1 Produksi Bersih Padi 2025'!Q349</f>
        <v/>
      </c>
      <c r="G347" s="13" t="str">
        <f>'1.2 Produksi Bersih Jagung 2025'!L349</f>
        <v/>
      </c>
      <c r="H347" s="13" t="str">
        <f>'1.3 Prod Bersih Ubi Kayu 2025'!K349</f>
        <v/>
      </c>
      <c r="I347" s="13" t="str">
        <f>'1.4 Prod Bersih Ubi Jalar 2025'!K349</f>
        <v/>
      </c>
      <c r="J347" s="13" t="str">
        <f>'1.5 Prod Bersih Sagu 2025'!K349</f>
        <v/>
      </c>
      <c r="K347" s="13" t="str">
        <f>'1.6 Prod Bersih Pisang 2025'!K349</f>
        <v/>
      </c>
      <c r="L347" s="15">
        <f t="shared" si="15"/>
        <v>0</v>
      </c>
      <c r="M347" s="14" t="str">
        <f>IF(D347="","",VLOOKUP(D347,'[1]0.1 Produksi Pangan &amp; Penduduk'!$D$5:$AU$704,44,0))</f>
        <v/>
      </c>
      <c r="N347" s="26" t="str">
        <f t="shared" si="16"/>
        <v/>
      </c>
      <c r="O347" s="16"/>
      <c r="P347" s="25" t="str">
        <f t="shared" si="17"/>
        <v/>
      </c>
      <c r="Q347" s="8"/>
      <c r="R347" s="11"/>
    </row>
    <row r="348" spans="1:18" ht="15" x14ac:dyDescent="0.25">
      <c r="A348" s="3" t="str">
        <f>IF('1.1 Produksi Bersih Padi 2025'!A350="","",'1.1 Produksi Bersih Padi 2025'!A350)</f>
        <v/>
      </c>
      <c r="B348" s="32" t="str">
        <f>IF('1.1 Produksi Bersih Padi 2025'!B350="","",'1.1 Produksi Bersih Padi 2025'!B350)</f>
        <v/>
      </c>
      <c r="C348" s="32" t="str">
        <f>IF('1.1 Produksi Bersih Padi 2025'!C350="","",'1.1 Produksi Bersih Padi 2025'!C350)</f>
        <v/>
      </c>
      <c r="D348" s="3" t="str">
        <f>IF('1.1 Produksi Bersih Padi 2025'!D350="","",'1.1 Produksi Bersih Padi 2025'!D350)</f>
        <v/>
      </c>
      <c r="E348" s="3" t="str">
        <f>IF('1.1 Produksi Bersih Padi 2025'!E350="","",'1.1 Produksi Bersih Padi 2025'!E350)</f>
        <v/>
      </c>
      <c r="F348" s="13" t="str">
        <f>'1.1 Produksi Bersih Padi 2025'!Q350</f>
        <v/>
      </c>
      <c r="G348" s="13" t="str">
        <f>'1.2 Produksi Bersih Jagung 2025'!L350</f>
        <v/>
      </c>
      <c r="H348" s="13" t="str">
        <f>'1.3 Prod Bersih Ubi Kayu 2025'!K350</f>
        <v/>
      </c>
      <c r="I348" s="13" t="str">
        <f>'1.4 Prod Bersih Ubi Jalar 2025'!K350</f>
        <v/>
      </c>
      <c r="J348" s="13" t="str">
        <f>'1.5 Prod Bersih Sagu 2025'!K350</f>
        <v/>
      </c>
      <c r="K348" s="13" t="str">
        <f>'1.6 Prod Bersih Pisang 2025'!K350</f>
        <v/>
      </c>
      <c r="L348" s="15">
        <f t="shared" si="15"/>
        <v>0</v>
      </c>
      <c r="M348" s="14" t="str">
        <f>IF(D348="","",VLOOKUP(D348,'[1]0.1 Produksi Pangan &amp; Penduduk'!$D$5:$AU$704,44,0))</f>
        <v/>
      </c>
      <c r="N348" s="26" t="str">
        <f t="shared" si="16"/>
        <v/>
      </c>
      <c r="O348" s="16"/>
      <c r="P348" s="25" t="str">
        <f t="shared" si="17"/>
        <v/>
      </c>
      <c r="Q348" s="8"/>
      <c r="R348" s="11"/>
    </row>
    <row r="349" spans="1:18" ht="15" x14ac:dyDescent="0.25">
      <c r="A349" s="3" t="str">
        <f>IF('1.1 Produksi Bersih Padi 2025'!A351="","",'1.1 Produksi Bersih Padi 2025'!A351)</f>
        <v/>
      </c>
      <c r="B349" s="32" t="str">
        <f>IF('1.1 Produksi Bersih Padi 2025'!B351="","",'1.1 Produksi Bersih Padi 2025'!B351)</f>
        <v/>
      </c>
      <c r="C349" s="32" t="str">
        <f>IF('1.1 Produksi Bersih Padi 2025'!C351="","",'1.1 Produksi Bersih Padi 2025'!C351)</f>
        <v/>
      </c>
      <c r="D349" s="3" t="str">
        <f>IF('1.1 Produksi Bersih Padi 2025'!D351="","",'1.1 Produksi Bersih Padi 2025'!D351)</f>
        <v/>
      </c>
      <c r="E349" s="3" t="str">
        <f>IF('1.1 Produksi Bersih Padi 2025'!E351="","",'1.1 Produksi Bersih Padi 2025'!E351)</f>
        <v/>
      </c>
      <c r="F349" s="13" t="str">
        <f>'1.1 Produksi Bersih Padi 2025'!Q351</f>
        <v/>
      </c>
      <c r="G349" s="13" t="str">
        <f>'1.2 Produksi Bersih Jagung 2025'!L351</f>
        <v/>
      </c>
      <c r="H349" s="13" t="str">
        <f>'1.3 Prod Bersih Ubi Kayu 2025'!K351</f>
        <v/>
      </c>
      <c r="I349" s="13" t="str">
        <f>'1.4 Prod Bersih Ubi Jalar 2025'!K351</f>
        <v/>
      </c>
      <c r="J349" s="13" t="str">
        <f>'1.5 Prod Bersih Sagu 2025'!K351</f>
        <v/>
      </c>
      <c r="K349" s="13" t="str">
        <f>'1.6 Prod Bersih Pisang 2025'!K351</f>
        <v/>
      </c>
      <c r="L349" s="15">
        <f t="shared" si="15"/>
        <v>0</v>
      </c>
      <c r="M349" s="14" t="str">
        <f>IF(D349="","",VLOOKUP(D349,'[1]0.1 Produksi Pangan &amp; Penduduk'!$D$5:$AU$704,44,0))</f>
        <v/>
      </c>
      <c r="N349" s="26" t="str">
        <f t="shared" si="16"/>
        <v/>
      </c>
      <c r="O349" s="16"/>
      <c r="P349" s="25" t="str">
        <f t="shared" si="17"/>
        <v/>
      </c>
      <c r="Q349" s="8"/>
      <c r="R349" s="11"/>
    </row>
    <row r="350" spans="1:18" ht="15" x14ac:dyDescent="0.25">
      <c r="A350" s="3" t="str">
        <f>IF('1.1 Produksi Bersih Padi 2025'!A352="","",'1.1 Produksi Bersih Padi 2025'!A352)</f>
        <v/>
      </c>
      <c r="B350" s="32" t="str">
        <f>IF('1.1 Produksi Bersih Padi 2025'!B352="","",'1.1 Produksi Bersih Padi 2025'!B352)</f>
        <v/>
      </c>
      <c r="C350" s="32" t="str">
        <f>IF('1.1 Produksi Bersih Padi 2025'!C352="","",'1.1 Produksi Bersih Padi 2025'!C352)</f>
        <v/>
      </c>
      <c r="D350" s="3" t="str">
        <f>IF('1.1 Produksi Bersih Padi 2025'!D352="","",'1.1 Produksi Bersih Padi 2025'!D352)</f>
        <v/>
      </c>
      <c r="E350" s="3" t="str">
        <f>IF('1.1 Produksi Bersih Padi 2025'!E352="","",'1.1 Produksi Bersih Padi 2025'!E352)</f>
        <v/>
      </c>
      <c r="F350" s="13" t="str">
        <f>'1.1 Produksi Bersih Padi 2025'!Q352</f>
        <v/>
      </c>
      <c r="G350" s="13" t="str">
        <f>'1.2 Produksi Bersih Jagung 2025'!L352</f>
        <v/>
      </c>
      <c r="H350" s="13" t="str">
        <f>'1.3 Prod Bersih Ubi Kayu 2025'!K352</f>
        <v/>
      </c>
      <c r="I350" s="13" t="str">
        <f>'1.4 Prod Bersih Ubi Jalar 2025'!K352</f>
        <v/>
      </c>
      <c r="J350" s="13" t="str">
        <f>'1.5 Prod Bersih Sagu 2025'!K352</f>
        <v/>
      </c>
      <c r="K350" s="13" t="str">
        <f>'1.6 Prod Bersih Pisang 2025'!K352</f>
        <v/>
      </c>
      <c r="L350" s="15">
        <f t="shared" si="15"/>
        <v>0</v>
      </c>
      <c r="M350" s="14" t="str">
        <f>IF(D350="","",VLOOKUP(D350,'[1]0.1 Produksi Pangan &amp; Penduduk'!$D$5:$AU$704,44,0))</f>
        <v/>
      </c>
      <c r="N350" s="26" t="str">
        <f t="shared" si="16"/>
        <v/>
      </c>
      <c r="O350" s="16"/>
      <c r="P350" s="25" t="str">
        <f t="shared" si="17"/>
        <v/>
      </c>
      <c r="Q350" s="8"/>
      <c r="R350" s="11"/>
    </row>
    <row r="351" spans="1:18" ht="15" x14ac:dyDescent="0.25">
      <c r="A351" s="3" t="str">
        <f>IF('1.1 Produksi Bersih Padi 2025'!A353="","",'1.1 Produksi Bersih Padi 2025'!A353)</f>
        <v/>
      </c>
      <c r="B351" s="32" t="str">
        <f>IF('1.1 Produksi Bersih Padi 2025'!B353="","",'1.1 Produksi Bersih Padi 2025'!B353)</f>
        <v/>
      </c>
      <c r="C351" s="32" t="str">
        <f>IF('1.1 Produksi Bersih Padi 2025'!C353="","",'1.1 Produksi Bersih Padi 2025'!C353)</f>
        <v/>
      </c>
      <c r="D351" s="3" t="str">
        <f>IF('1.1 Produksi Bersih Padi 2025'!D353="","",'1.1 Produksi Bersih Padi 2025'!D353)</f>
        <v/>
      </c>
      <c r="E351" s="3" t="str">
        <f>IF('1.1 Produksi Bersih Padi 2025'!E353="","",'1.1 Produksi Bersih Padi 2025'!E353)</f>
        <v/>
      </c>
      <c r="F351" s="13" t="str">
        <f>'1.1 Produksi Bersih Padi 2025'!Q353</f>
        <v/>
      </c>
      <c r="G351" s="13" t="str">
        <f>'1.2 Produksi Bersih Jagung 2025'!L353</f>
        <v/>
      </c>
      <c r="H351" s="13" t="str">
        <f>'1.3 Prod Bersih Ubi Kayu 2025'!K353</f>
        <v/>
      </c>
      <c r="I351" s="13" t="str">
        <f>'1.4 Prod Bersih Ubi Jalar 2025'!K353</f>
        <v/>
      </c>
      <c r="J351" s="13" t="str">
        <f>'1.5 Prod Bersih Sagu 2025'!K353</f>
        <v/>
      </c>
      <c r="K351" s="13" t="str">
        <f>'1.6 Prod Bersih Pisang 2025'!K353</f>
        <v/>
      </c>
      <c r="L351" s="15">
        <f t="shared" si="15"/>
        <v>0</v>
      </c>
      <c r="M351" s="14" t="str">
        <f>IF(D351="","",VLOOKUP(D351,'[1]0.1 Produksi Pangan &amp; Penduduk'!$D$5:$AU$704,44,0))</f>
        <v/>
      </c>
      <c r="N351" s="26" t="str">
        <f t="shared" si="16"/>
        <v/>
      </c>
      <c r="O351" s="16"/>
      <c r="P351" s="25" t="str">
        <f t="shared" si="17"/>
        <v/>
      </c>
      <c r="Q351" s="8"/>
      <c r="R351" s="11"/>
    </row>
    <row r="352" spans="1:18" ht="15" x14ac:dyDescent="0.25">
      <c r="A352" s="3" t="str">
        <f>IF('1.1 Produksi Bersih Padi 2025'!A354="","",'1.1 Produksi Bersih Padi 2025'!A354)</f>
        <v/>
      </c>
      <c r="B352" s="32" t="str">
        <f>IF('1.1 Produksi Bersih Padi 2025'!B354="","",'1.1 Produksi Bersih Padi 2025'!B354)</f>
        <v/>
      </c>
      <c r="C352" s="32" t="str">
        <f>IF('1.1 Produksi Bersih Padi 2025'!C354="","",'1.1 Produksi Bersih Padi 2025'!C354)</f>
        <v/>
      </c>
      <c r="D352" s="3" t="str">
        <f>IF('1.1 Produksi Bersih Padi 2025'!D354="","",'1.1 Produksi Bersih Padi 2025'!D354)</f>
        <v/>
      </c>
      <c r="E352" s="3" t="str">
        <f>IF('1.1 Produksi Bersih Padi 2025'!E354="","",'1.1 Produksi Bersih Padi 2025'!E354)</f>
        <v/>
      </c>
      <c r="F352" s="13" t="str">
        <f>'1.1 Produksi Bersih Padi 2025'!Q354</f>
        <v/>
      </c>
      <c r="G352" s="13" t="str">
        <f>'1.2 Produksi Bersih Jagung 2025'!L354</f>
        <v/>
      </c>
      <c r="H352" s="13" t="str">
        <f>'1.3 Prod Bersih Ubi Kayu 2025'!K354</f>
        <v/>
      </c>
      <c r="I352" s="13" t="str">
        <f>'1.4 Prod Bersih Ubi Jalar 2025'!K354</f>
        <v/>
      </c>
      <c r="J352" s="13" t="str">
        <f>'1.5 Prod Bersih Sagu 2025'!K354</f>
        <v/>
      </c>
      <c r="K352" s="13" t="str">
        <f>'1.6 Prod Bersih Pisang 2025'!K354</f>
        <v/>
      </c>
      <c r="L352" s="15">
        <f t="shared" si="15"/>
        <v>0</v>
      </c>
      <c r="M352" s="14" t="str">
        <f>IF(D352="","",VLOOKUP(D352,'[1]0.1 Produksi Pangan &amp; Penduduk'!$D$5:$AU$704,44,0))</f>
        <v/>
      </c>
      <c r="N352" s="26" t="str">
        <f t="shared" si="16"/>
        <v/>
      </c>
      <c r="O352" s="16"/>
      <c r="P352" s="25" t="str">
        <f t="shared" si="17"/>
        <v/>
      </c>
      <c r="Q352" s="8"/>
      <c r="R352" s="11"/>
    </row>
    <row r="353" spans="1:18" ht="15" x14ac:dyDescent="0.25">
      <c r="A353" s="3" t="str">
        <f>IF('1.1 Produksi Bersih Padi 2025'!A355="","",'1.1 Produksi Bersih Padi 2025'!A355)</f>
        <v/>
      </c>
      <c r="B353" s="32" t="str">
        <f>IF('1.1 Produksi Bersih Padi 2025'!B355="","",'1.1 Produksi Bersih Padi 2025'!B355)</f>
        <v/>
      </c>
      <c r="C353" s="32" t="str">
        <f>IF('1.1 Produksi Bersih Padi 2025'!C355="","",'1.1 Produksi Bersih Padi 2025'!C355)</f>
        <v/>
      </c>
      <c r="D353" s="3" t="str">
        <f>IF('1.1 Produksi Bersih Padi 2025'!D355="","",'1.1 Produksi Bersih Padi 2025'!D355)</f>
        <v/>
      </c>
      <c r="E353" s="3" t="str">
        <f>IF('1.1 Produksi Bersih Padi 2025'!E355="","",'1.1 Produksi Bersih Padi 2025'!E355)</f>
        <v/>
      </c>
      <c r="F353" s="13" t="str">
        <f>'1.1 Produksi Bersih Padi 2025'!Q355</f>
        <v/>
      </c>
      <c r="G353" s="13" t="str">
        <f>'1.2 Produksi Bersih Jagung 2025'!L355</f>
        <v/>
      </c>
      <c r="H353" s="13" t="str">
        <f>'1.3 Prod Bersih Ubi Kayu 2025'!K355</f>
        <v/>
      </c>
      <c r="I353" s="13" t="str">
        <f>'1.4 Prod Bersih Ubi Jalar 2025'!K355</f>
        <v/>
      </c>
      <c r="J353" s="13" t="str">
        <f>'1.5 Prod Bersih Sagu 2025'!K355</f>
        <v/>
      </c>
      <c r="K353" s="13" t="str">
        <f>'1.6 Prod Bersih Pisang 2025'!K355</f>
        <v/>
      </c>
      <c r="L353" s="15">
        <f t="shared" si="15"/>
        <v>0</v>
      </c>
      <c r="M353" s="14" t="str">
        <f>IF(D353="","",VLOOKUP(D353,'[1]0.1 Produksi Pangan &amp; Penduduk'!$D$5:$AU$704,44,0))</f>
        <v/>
      </c>
      <c r="N353" s="26" t="str">
        <f t="shared" si="16"/>
        <v/>
      </c>
      <c r="O353" s="16"/>
      <c r="P353" s="25" t="str">
        <f t="shared" si="17"/>
        <v/>
      </c>
      <c r="Q353" s="8"/>
      <c r="R353" s="11"/>
    </row>
    <row r="354" spans="1:18" ht="15" x14ac:dyDescent="0.25">
      <c r="A354" s="3" t="str">
        <f>IF('1.1 Produksi Bersih Padi 2025'!A356="","",'1.1 Produksi Bersih Padi 2025'!A356)</f>
        <v/>
      </c>
      <c r="B354" s="32" t="str">
        <f>IF('1.1 Produksi Bersih Padi 2025'!B356="","",'1.1 Produksi Bersih Padi 2025'!B356)</f>
        <v/>
      </c>
      <c r="C354" s="32" t="str">
        <f>IF('1.1 Produksi Bersih Padi 2025'!C356="","",'1.1 Produksi Bersih Padi 2025'!C356)</f>
        <v/>
      </c>
      <c r="D354" s="3" t="str">
        <f>IF('1.1 Produksi Bersih Padi 2025'!D356="","",'1.1 Produksi Bersih Padi 2025'!D356)</f>
        <v/>
      </c>
      <c r="E354" s="3" t="str">
        <f>IF('1.1 Produksi Bersih Padi 2025'!E356="","",'1.1 Produksi Bersih Padi 2025'!E356)</f>
        <v/>
      </c>
      <c r="F354" s="13" t="str">
        <f>'1.1 Produksi Bersih Padi 2025'!Q356</f>
        <v/>
      </c>
      <c r="G354" s="13" t="str">
        <f>'1.2 Produksi Bersih Jagung 2025'!L356</f>
        <v/>
      </c>
      <c r="H354" s="13" t="str">
        <f>'1.3 Prod Bersih Ubi Kayu 2025'!K356</f>
        <v/>
      </c>
      <c r="I354" s="13" t="str">
        <f>'1.4 Prod Bersih Ubi Jalar 2025'!K356</f>
        <v/>
      </c>
      <c r="J354" s="13" t="str">
        <f>'1.5 Prod Bersih Sagu 2025'!K356</f>
        <v/>
      </c>
      <c r="K354" s="13" t="str">
        <f>'1.6 Prod Bersih Pisang 2025'!K356</f>
        <v/>
      </c>
      <c r="L354" s="15">
        <f t="shared" si="15"/>
        <v>0</v>
      </c>
      <c r="M354" s="14" t="str">
        <f>IF(D354="","",VLOOKUP(D354,'[1]0.1 Produksi Pangan &amp; Penduduk'!$D$5:$AU$704,44,0))</f>
        <v/>
      </c>
      <c r="N354" s="26" t="str">
        <f t="shared" si="16"/>
        <v/>
      </c>
      <c r="O354" s="16"/>
      <c r="P354" s="25" t="str">
        <f t="shared" si="17"/>
        <v/>
      </c>
      <c r="Q354" s="8"/>
      <c r="R354" s="11"/>
    </row>
    <row r="355" spans="1:18" ht="15" x14ac:dyDescent="0.25">
      <c r="A355" s="3" t="str">
        <f>IF('1.1 Produksi Bersih Padi 2025'!A357="","",'1.1 Produksi Bersih Padi 2025'!A357)</f>
        <v/>
      </c>
      <c r="B355" s="32" t="str">
        <f>IF('1.1 Produksi Bersih Padi 2025'!B357="","",'1.1 Produksi Bersih Padi 2025'!B357)</f>
        <v/>
      </c>
      <c r="C355" s="32" t="str">
        <f>IF('1.1 Produksi Bersih Padi 2025'!C357="","",'1.1 Produksi Bersih Padi 2025'!C357)</f>
        <v/>
      </c>
      <c r="D355" s="3" t="str">
        <f>IF('1.1 Produksi Bersih Padi 2025'!D357="","",'1.1 Produksi Bersih Padi 2025'!D357)</f>
        <v/>
      </c>
      <c r="E355" s="3" t="str">
        <f>IF('1.1 Produksi Bersih Padi 2025'!E357="","",'1.1 Produksi Bersih Padi 2025'!E357)</f>
        <v/>
      </c>
      <c r="F355" s="13" t="str">
        <f>'1.1 Produksi Bersih Padi 2025'!Q357</f>
        <v/>
      </c>
      <c r="G355" s="13" t="str">
        <f>'1.2 Produksi Bersih Jagung 2025'!L357</f>
        <v/>
      </c>
      <c r="H355" s="13" t="str">
        <f>'1.3 Prod Bersih Ubi Kayu 2025'!K357</f>
        <v/>
      </c>
      <c r="I355" s="13" t="str">
        <f>'1.4 Prod Bersih Ubi Jalar 2025'!K357</f>
        <v/>
      </c>
      <c r="J355" s="13" t="str">
        <f>'1.5 Prod Bersih Sagu 2025'!K357</f>
        <v/>
      </c>
      <c r="K355" s="13" t="str">
        <f>'1.6 Prod Bersih Pisang 2025'!K357</f>
        <v/>
      </c>
      <c r="L355" s="15">
        <f t="shared" si="15"/>
        <v>0</v>
      </c>
      <c r="M355" s="14" t="str">
        <f>IF(D355="","",VLOOKUP(D355,'[1]0.1 Produksi Pangan &amp; Penduduk'!$D$5:$AU$704,44,0))</f>
        <v/>
      </c>
      <c r="N355" s="26" t="str">
        <f t="shared" si="16"/>
        <v/>
      </c>
      <c r="O355" s="16"/>
      <c r="P355" s="25" t="str">
        <f t="shared" si="17"/>
        <v/>
      </c>
      <c r="Q355" s="8"/>
      <c r="R355" s="11"/>
    </row>
    <row r="356" spans="1:18" ht="15" x14ac:dyDescent="0.25">
      <c r="A356" s="3" t="str">
        <f>IF('1.1 Produksi Bersih Padi 2025'!A358="","",'1.1 Produksi Bersih Padi 2025'!A358)</f>
        <v/>
      </c>
      <c r="B356" s="32" t="str">
        <f>IF('1.1 Produksi Bersih Padi 2025'!B358="","",'1.1 Produksi Bersih Padi 2025'!B358)</f>
        <v/>
      </c>
      <c r="C356" s="32" t="str">
        <f>IF('1.1 Produksi Bersih Padi 2025'!C358="","",'1.1 Produksi Bersih Padi 2025'!C358)</f>
        <v/>
      </c>
      <c r="D356" s="3" t="str">
        <f>IF('1.1 Produksi Bersih Padi 2025'!D358="","",'1.1 Produksi Bersih Padi 2025'!D358)</f>
        <v/>
      </c>
      <c r="E356" s="3" t="str">
        <f>IF('1.1 Produksi Bersih Padi 2025'!E358="","",'1.1 Produksi Bersih Padi 2025'!E358)</f>
        <v/>
      </c>
      <c r="F356" s="13" t="str">
        <f>'1.1 Produksi Bersih Padi 2025'!Q358</f>
        <v/>
      </c>
      <c r="G356" s="13" t="str">
        <f>'1.2 Produksi Bersih Jagung 2025'!L358</f>
        <v/>
      </c>
      <c r="H356" s="13" t="str">
        <f>'1.3 Prod Bersih Ubi Kayu 2025'!K358</f>
        <v/>
      </c>
      <c r="I356" s="13" t="str">
        <f>'1.4 Prod Bersih Ubi Jalar 2025'!K358</f>
        <v/>
      </c>
      <c r="J356" s="13" t="str">
        <f>'1.5 Prod Bersih Sagu 2025'!K358</f>
        <v/>
      </c>
      <c r="K356" s="13" t="str">
        <f>'1.6 Prod Bersih Pisang 2025'!K358</f>
        <v/>
      </c>
      <c r="L356" s="15">
        <f t="shared" si="15"/>
        <v>0</v>
      </c>
      <c r="M356" s="14" t="str">
        <f>IF(D356="","",VLOOKUP(D356,'[1]0.1 Produksi Pangan &amp; Penduduk'!$D$5:$AU$704,44,0))</f>
        <v/>
      </c>
      <c r="N356" s="26" t="str">
        <f t="shared" si="16"/>
        <v/>
      </c>
      <c r="O356" s="16"/>
      <c r="P356" s="25" t="str">
        <f t="shared" si="17"/>
        <v/>
      </c>
      <c r="Q356" s="8"/>
      <c r="R356" s="11"/>
    </row>
    <row r="357" spans="1:18" ht="15" x14ac:dyDescent="0.25">
      <c r="A357" s="3" t="str">
        <f>IF('1.1 Produksi Bersih Padi 2025'!A359="","",'1.1 Produksi Bersih Padi 2025'!A359)</f>
        <v/>
      </c>
      <c r="B357" s="32" t="str">
        <f>IF('1.1 Produksi Bersih Padi 2025'!B359="","",'1.1 Produksi Bersih Padi 2025'!B359)</f>
        <v/>
      </c>
      <c r="C357" s="32" t="str">
        <f>IF('1.1 Produksi Bersih Padi 2025'!C359="","",'1.1 Produksi Bersih Padi 2025'!C359)</f>
        <v/>
      </c>
      <c r="D357" s="3" t="str">
        <f>IF('1.1 Produksi Bersih Padi 2025'!D359="","",'1.1 Produksi Bersih Padi 2025'!D359)</f>
        <v/>
      </c>
      <c r="E357" s="3" t="str">
        <f>IF('1.1 Produksi Bersih Padi 2025'!E359="","",'1.1 Produksi Bersih Padi 2025'!E359)</f>
        <v/>
      </c>
      <c r="F357" s="13" t="str">
        <f>'1.1 Produksi Bersih Padi 2025'!Q359</f>
        <v/>
      </c>
      <c r="G357" s="13" t="str">
        <f>'1.2 Produksi Bersih Jagung 2025'!L359</f>
        <v/>
      </c>
      <c r="H357" s="13" t="str">
        <f>'1.3 Prod Bersih Ubi Kayu 2025'!K359</f>
        <v/>
      </c>
      <c r="I357" s="13" t="str">
        <f>'1.4 Prod Bersih Ubi Jalar 2025'!K359</f>
        <v/>
      </c>
      <c r="J357" s="13" t="str">
        <f>'1.5 Prod Bersih Sagu 2025'!K359</f>
        <v/>
      </c>
      <c r="K357" s="13" t="str">
        <f>'1.6 Prod Bersih Pisang 2025'!K359</f>
        <v/>
      </c>
      <c r="L357" s="15">
        <f t="shared" si="15"/>
        <v>0</v>
      </c>
      <c r="M357" s="14" t="str">
        <f>IF(D357="","",VLOOKUP(D357,'[1]0.1 Produksi Pangan &amp; Penduduk'!$D$5:$AU$704,44,0))</f>
        <v/>
      </c>
      <c r="N357" s="26" t="str">
        <f t="shared" si="16"/>
        <v/>
      </c>
      <c r="O357" s="16"/>
      <c r="P357" s="25" t="str">
        <f t="shared" si="17"/>
        <v/>
      </c>
      <c r="Q357" s="8"/>
      <c r="R357" s="11"/>
    </row>
    <row r="358" spans="1:18" ht="15" x14ac:dyDescent="0.25">
      <c r="A358" s="3" t="str">
        <f>IF('1.1 Produksi Bersih Padi 2025'!A360="","",'1.1 Produksi Bersih Padi 2025'!A360)</f>
        <v/>
      </c>
      <c r="B358" s="32" t="str">
        <f>IF('1.1 Produksi Bersih Padi 2025'!B360="","",'1.1 Produksi Bersih Padi 2025'!B360)</f>
        <v/>
      </c>
      <c r="C358" s="32" t="str">
        <f>IF('1.1 Produksi Bersih Padi 2025'!C360="","",'1.1 Produksi Bersih Padi 2025'!C360)</f>
        <v/>
      </c>
      <c r="D358" s="3" t="str">
        <f>IF('1.1 Produksi Bersih Padi 2025'!D360="","",'1.1 Produksi Bersih Padi 2025'!D360)</f>
        <v/>
      </c>
      <c r="E358" s="3" t="str">
        <f>IF('1.1 Produksi Bersih Padi 2025'!E360="","",'1.1 Produksi Bersih Padi 2025'!E360)</f>
        <v/>
      </c>
      <c r="F358" s="13" t="str">
        <f>'1.1 Produksi Bersih Padi 2025'!Q360</f>
        <v/>
      </c>
      <c r="G358" s="13" t="str">
        <f>'1.2 Produksi Bersih Jagung 2025'!L360</f>
        <v/>
      </c>
      <c r="H358" s="13" t="str">
        <f>'1.3 Prod Bersih Ubi Kayu 2025'!K360</f>
        <v/>
      </c>
      <c r="I358" s="13" t="str">
        <f>'1.4 Prod Bersih Ubi Jalar 2025'!K360</f>
        <v/>
      </c>
      <c r="J358" s="13" t="str">
        <f>'1.5 Prod Bersih Sagu 2025'!K360</f>
        <v/>
      </c>
      <c r="K358" s="13" t="str">
        <f>'1.6 Prod Bersih Pisang 2025'!K360</f>
        <v/>
      </c>
      <c r="L358" s="15">
        <f t="shared" si="15"/>
        <v>0</v>
      </c>
      <c r="M358" s="14" t="str">
        <f>IF(D358="","",VLOOKUP(D358,'[1]0.1 Produksi Pangan &amp; Penduduk'!$D$5:$AU$704,44,0))</f>
        <v/>
      </c>
      <c r="N358" s="26" t="str">
        <f t="shared" si="16"/>
        <v/>
      </c>
      <c r="O358" s="16"/>
      <c r="P358" s="25" t="str">
        <f t="shared" si="17"/>
        <v/>
      </c>
      <c r="Q358" s="8"/>
      <c r="R358" s="11"/>
    </row>
    <row r="359" spans="1:18" ht="15" x14ac:dyDescent="0.25">
      <c r="A359" s="3" t="str">
        <f>IF('1.1 Produksi Bersih Padi 2025'!A361="","",'1.1 Produksi Bersih Padi 2025'!A361)</f>
        <v/>
      </c>
      <c r="B359" s="32" t="str">
        <f>IF('1.1 Produksi Bersih Padi 2025'!B361="","",'1.1 Produksi Bersih Padi 2025'!B361)</f>
        <v/>
      </c>
      <c r="C359" s="32" t="str">
        <f>IF('1.1 Produksi Bersih Padi 2025'!C361="","",'1.1 Produksi Bersih Padi 2025'!C361)</f>
        <v/>
      </c>
      <c r="D359" s="3" t="str">
        <f>IF('1.1 Produksi Bersih Padi 2025'!D361="","",'1.1 Produksi Bersih Padi 2025'!D361)</f>
        <v/>
      </c>
      <c r="E359" s="3" t="str">
        <f>IF('1.1 Produksi Bersih Padi 2025'!E361="","",'1.1 Produksi Bersih Padi 2025'!E361)</f>
        <v/>
      </c>
      <c r="F359" s="13" t="str">
        <f>'1.1 Produksi Bersih Padi 2025'!Q361</f>
        <v/>
      </c>
      <c r="G359" s="13" t="str">
        <f>'1.2 Produksi Bersih Jagung 2025'!L361</f>
        <v/>
      </c>
      <c r="H359" s="13" t="str">
        <f>'1.3 Prod Bersih Ubi Kayu 2025'!K361</f>
        <v/>
      </c>
      <c r="I359" s="13" t="str">
        <f>'1.4 Prod Bersih Ubi Jalar 2025'!K361</f>
        <v/>
      </c>
      <c r="J359" s="13" t="str">
        <f>'1.5 Prod Bersih Sagu 2025'!K361</f>
        <v/>
      </c>
      <c r="K359" s="13" t="str">
        <f>'1.6 Prod Bersih Pisang 2025'!K361</f>
        <v/>
      </c>
      <c r="L359" s="15">
        <f t="shared" si="15"/>
        <v>0</v>
      </c>
      <c r="M359" s="14" t="str">
        <f>IF(D359="","",VLOOKUP(D359,'[1]0.1 Produksi Pangan &amp; Penduduk'!$D$5:$AU$704,44,0))</f>
        <v/>
      </c>
      <c r="N359" s="26" t="str">
        <f t="shared" si="16"/>
        <v/>
      </c>
      <c r="O359" s="16"/>
      <c r="P359" s="25" t="str">
        <f t="shared" si="17"/>
        <v/>
      </c>
      <c r="Q359" s="8"/>
      <c r="R359" s="11"/>
    </row>
    <row r="360" spans="1:18" ht="15" x14ac:dyDescent="0.25">
      <c r="A360" s="3" t="str">
        <f>IF('1.1 Produksi Bersih Padi 2025'!A362="","",'1.1 Produksi Bersih Padi 2025'!A362)</f>
        <v/>
      </c>
      <c r="B360" s="32" t="str">
        <f>IF('1.1 Produksi Bersih Padi 2025'!B362="","",'1.1 Produksi Bersih Padi 2025'!B362)</f>
        <v/>
      </c>
      <c r="C360" s="32" t="str">
        <f>IF('1.1 Produksi Bersih Padi 2025'!C362="","",'1.1 Produksi Bersih Padi 2025'!C362)</f>
        <v/>
      </c>
      <c r="D360" s="3" t="str">
        <f>IF('1.1 Produksi Bersih Padi 2025'!D362="","",'1.1 Produksi Bersih Padi 2025'!D362)</f>
        <v/>
      </c>
      <c r="E360" s="3" t="str">
        <f>IF('1.1 Produksi Bersih Padi 2025'!E362="","",'1.1 Produksi Bersih Padi 2025'!E362)</f>
        <v/>
      </c>
      <c r="F360" s="13" t="str">
        <f>'1.1 Produksi Bersih Padi 2025'!Q362</f>
        <v/>
      </c>
      <c r="G360" s="13" t="str">
        <f>'1.2 Produksi Bersih Jagung 2025'!L362</f>
        <v/>
      </c>
      <c r="H360" s="13" t="str">
        <f>'1.3 Prod Bersih Ubi Kayu 2025'!K362</f>
        <v/>
      </c>
      <c r="I360" s="13" t="str">
        <f>'1.4 Prod Bersih Ubi Jalar 2025'!K362</f>
        <v/>
      </c>
      <c r="J360" s="13" t="str">
        <f>'1.5 Prod Bersih Sagu 2025'!K362</f>
        <v/>
      </c>
      <c r="K360" s="13" t="str">
        <f>'1.6 Prod Bersih Pisang 2025'!K362</f>
        <v/>
      </c>
      <c r="L360" s="15">
        <f t="shared" si="15"/>
        <v>0</v>
      </c>
      <c r="M360" s="14" t="str">
        <f>IF(D360="","",VLOOKUP(D360,'[1]0.1 Produksi Pangan &amp; Penduduk'!$D$5:$AU$704,44,0))</f>
        <v/>
      </c>
      <c r="N360" s="26" t="str">
        <f t="shared" si="16"/>
        <v/>
      </c>
      <c r="O360" s="16"/>
      <c r="P360" s="25" t="str">
        <f t="shared" si="17"/>
        <v/>
      </c>
      <c r="Q360" s="8"/>
      <c r="R360" s="11"/>
    </row>
    <row r="361" spans="1:18" ht="15" x14ac:dyDescent="0.25">
      <c r="A361" s="3" t="str">
        <f>IF('1.1 Produksi Bersih Padi 2025'!A363="","",'1.1 Produksi Bersih Padi 2025'!A363)</f>
        <v/>
      </c>
      <c r="B361" s="32" t="str">
        <f>IF('1.1 Produksi Bersih Padi 2025'!B363="","",'1.1 Produksi Bersih Padi 2025'!B363)</f>
        <v/>
      </c>
      <c r="C361" s="32" t="str">
        <f>IF('1.1 Produksi Bersih Padi 2025'!C363="","",'1.1 Produksi Bersih Padi 2025'!C363)</f>
        <v/>
      </c>
      <c r="D361" s="3" t="str">
        <f>IF('1.1 Produksi Bersih Padi 2025'!D363="","",'1.1 Produksi Bersih Padi 2025'!D363)</f>
        <v/>
      </c>
      <c r="E361" s="3" t="str">
        <f>IF('1.1 Produksi Bersih Padi 2025'!E363="","",'1.1 Produksi Bersih Padi 2025'!E363)</f>
        <v/>
      </c>
      <c r="F361" s="13" t="str">
        <f>'1.1 Produksi Bersih Padi 2025'!Q363</f>
        <v/>
      </c>
      <c r="G361" s="13" t="str">
        <f>'1.2 Produksi Bersih Jagung 2025'!L363</f>
        <v/>
      </c>
      <c r="H361" s="13" t="str">
        <f>'1.3 Prod Bersih Ubi Kayu 2025'!K363</f>
        <v/>
      </c>
      <c r="I361" s="13" t="str">
        <f>'1.4 Prod Bersih Ubi Jalar 2025'!K363</f>
        <v/>
      </c>
      <c r="J361" s="13" t="str">
        <f>'1.5 Prod Bersih Sagu 2025'!K363</f>
        <v/>
      </c>
      <c r="K361" s="13" t="str">
        <f>'1.6 Prod Bersih Pisang 2025'!K363</f>
        <v/>
      </c>
      <c r="L361" s="15">
        <f t="shared" si="15"/>
        <v>0</v>
      </c>
      <c r="M361" s="14" t="str">
        <f>IF(D361="","",VLOOKUP(D361,'[1]0.1 Produksi Pangan &amp; Penduduk'!$D$5:$AU$704,44,0))</f>
        <v/>
      </c>
      <c r="N361" s="26" t="str">
        <f t="shared" si="16"/>
        <v/>
      </c>
      <c r="O361" s="16"/>
      <c r="P361" s="25" t="str">
        <f t="shared" si="17"/>
        <v/>
      </c>
      <c r="Q361" s="8"/>
      <c r="R361" s="11"/>
    </row>
    <row r="362" spans="1:18" ht="15" x14ac:dyDescent="0.25">
      <c r="A362" s="3" t="str">
        <f>IF('1.1 Produksi Bersih Padi 2025'!A364="","",'1.1 Produksi Bersih Padi 2025'!A364)</f>
        <v/>
      </c>
      <c r="B362" s="32" t="str">
        <f>IF('1.1 Produksi Bersih Padi 2025'!B364="","",'1.1 Produksi Bersih Padi 2025'!B364)</f>
        <v/>
      </c>
      <c r="C362" s="32" t="str">
        <f>IF('1.1 Produksi Bersih Padi 2025'!C364="","",'1.1 Produksi Bersih Padi 2025'!C364)</f>
        <v/>
      </c>
      <c r="D362" s="3" t="str">
        <f>IF('1.1 Produksi Bersih Padi 2025'!D364="","",'1.1 Produksi Bersih Padi 2025'!D364)</f>
        <v/>
      </c>
      <c r="E362" s="3" t="str">
        <f>IF('1.1 Produksi Bersih Padi 2025'!E364="","",'1.1 Produksi Bersih Padi 2025'!E364)</f>
        <v/>
      </c>
      <c r="F362" s="13" t="str">
        <f>'1.1 Produksi Bersih Padi 2025'!Q364</f>
        <v/>
      </c>
      <c r="G362" s="13" t="str">
        <f>'1.2 Produksi Bersih Jagung 2025'!L364</f>
        <v/>
      </c>
      <c r="H362" s="13" t="str">
        <f>'1.3 Prod Bersih Ubi Kayu 2025'!K364</f>
        <v/>
      </c>
      <c r="I362" s="13" t="str">
        <f>'1.4 Prod Bersih Ubi Jalar 2025'!K364</f>
        <v/>
      </c>
      <c r="J362" s="13" t="str">
        <f>'1.5 Prod Bersih Sagu 2025'!K364</f>
        <v/>
      </c>
      <c r="K362" s="13" t="str">
        <f>'1.6 Prod Bersih Pisang 2025'!K364</f>
        <v/>
      </c>
      <c r="L362" s="15">
        <f t="shared" si="15"/>
        <v>0</v>
      </c>
      <c r="M362" s="14" t="str">
        <f>IF(D362="","",VLOOKUP(D362,'[1]0.1 Produksi Pangan &amp; Penduduk'!$D$5:$AU$704,44,0))</f>
        <v/>
      </c>
      <c r="N362" s="26" t="str">
        <f t="shared" si="16"/>
        <v/>
      </c>
      <c r="O362" s="16"/>
      <c r="P362" s="25" t="str">
        <f t="shared" si="17"/>
        <v/>
      </c>
      <c r="Q362" s="8"/>
      <c r="R362" s="11"/>
    </row>
    <row r="363" spans="1:18" ht="15" x14ac:dyDescent="0.25">
      <c r="A363" s="3" t="str">
        <f>IF('1.1 Produksi Bersih Padi 2025'!A365="","",'1.1 Produksi Bersih Padi 2025'!A365)</f>
        <v/>
      </c>
      <c r="B363" s="32" t="str">
        <f>IF('1.1 Produksi Bersih Padi 2025'!B365="","",'1.1 Produksi Bersih Padi 2025'!B365)</f>
        <v/>
      </c>
      <c r="C363" s="32" t="str">
        <f>IF('1.1 Produksi Bersih Padi 2025'!C365="","",'1.1 Produksi Bersih Padi 2025'!C365)</f>
        <v/>
      </c>
      <c r="D363" s="3" t="str">
        <f>IF('1.1 Produksi Bersih Padi 2025'!D365="","",'1.1 Produksi Bersih Padi 2025'!D365)</f>
        <v/>
      </c>
      <c r="E363" s="3" t="str">
        <f>IF('1.1 Produksi Bersih Padi 2025'!E365="","",'1.1 Produksi Bersih Padi 2025'!E365)</f>
        <v/>
      </c>
      <c r="F363" s="13" t="str">
        <f>'1.1 Produksi Bersih Padi 2025'!Q365</f>
        <v/>
      </c>
      <c r="G363" s="13" t="str">
        <f>'1.2 Produksi Bersih Jagung 2025'!L365</f>
        <v/>
      </c>
      <c r="H363" s="13" t="str">
        <f>'1.3 Prod Bersih Ubi Kayu 2025'!K365</f>
        <v/>
      </c>
      <c r="I363" s="13" t="str">
        <f>'1.4 Prod Bersih Ubi Jalar 2025'!K365</f>
        <v/>
      </c>
      <c r="J363" s="13" t="str">
        <f>'1.5 Prod Bersih Sagu 2025'!K365</f>
        <v/>
      </c>
      <c r="K363" s="13" t="str">
        <f>'1.6 Prod Bersih Pisang 2025'!K365</f>
        <v/>
      </c>
      <c r="L363" s="15">
        <f t="shared" si="15"/>
        <v>0</v>
      </c>
      <c r="M363" s="14" t="str">
        <f>IF(D363="","",VLOOKUP(D363,'[1]0.1 Produksi Pangan &amp; Penduduk'!$D$5:$AU$704,44,0))</f>
        <v/>
      </c>
      <c r="N363" s="26" t="str">
        <f t="shared" si="16"/>
        <v/>
      </c>
      <c r="O363" s="16"/>
      <c r="P363" s="25" t="str">
        <f t="shared" si="17"/>
        <v/>
      </c>
      <c r="Q363" s="8"/>
      <c r="R363" s="11"/>
    </row>
    <row r="364" spans="1:18" ht="15" x14ac:dyDescent="0.25">
      <c r="A364" s="3" t="str">
        <f>IF('1.1 Produksi Bersih Padi 2025'!A366="","",'1.1 Produksi Bersih Padi 2025'!A366)</f>
        <v/>
      </c>
      <c r="B364" s="32" t="str">
        <f>IF('1.1 Produksi Bersih Padi 2025'!B366="","",'1.1 Produksi Bersih Padi 2025'!B366)</f>
        <v/>
      </c>
      <c r="C364" s="32" t="str">
        <f>IF('1.1 Produksi Bersih Padi 2025'!C366="","",'1.1 Produksi Bersih Padi 2025'!C366)</f>
        <v/>
      </c>
      <c r="D364" s="3" t="str">
        <f>IF('1.1 Produksi Bersih Padi 2025'!D366="","",'1.1 Produksi Bersih Padi 2025'!D366)</f>
        <v/>
      </c>
      <c r="E364" s="3" t="str">
        <f>IF('1.1 Produksi Bersih Padi 2025'!E366="","",'1.1 Produksi Bersih Padi 2025'!E366)</f>
        <v/>
      </c>
      <c r="F364" s="13" t="str">
        <f>'1.1 Produksi Bersih Padi 2025'!Q366</f>
        <v/>
      </c>
      <c r="G364" s="13" t="str">
        <f>'1.2 Produksi Bersih Jagung 2025'!L366</f>
        <v/>
      </c>
      <c r="H364" s="13" t="str">
        <f>'1.3 Prod Bersih Ubi Kayu 2025'!K366</f>
        <v/>
      </c>
      <c r="I364" s="13" t="str">
        <f>'1.4 Prod Bersih Ubi Jalar 2025'!K366</f>
        <v/>
      </c>
      <c r="J364" s="13" t="str">
        <f>'1.5 Prod Bersih Sagu 2025'!K366</f>
        <v/>
      </c>
      <c r="K364" s="13" t="str">
        <f>'1.6 Prod Bersih Pisang 2025'!K366</f>
        <v/>
      </c>
      <c r="L364" s="15">
        <f t="shared" si="15"/>
        <v>0</v>
      </c>
      <c r="M364" s="14" t="str">
        <f>IF(D364="","",VLOOKUP(D364,'[1]0.1 Produksi Pangan &amp; Penduduk'!$D$5:$AU$704,44,0))</f>
        <v/>
      </c>
      <c r="N364" s="26" t="str">
        <f t="shared" si="16"/>
        <v/>
      </c>
      <c r="O364" s="16"/>
      <c r="P364" s="25" t="str">
        <f t="shared" si="17"/>
        <v/>
      </c>
      <c r="Q364" s="8"/>
      <c r="R364" s="11"/>
    </row>
    <row r="365" spans="1:18" ht="15" x14ac:dyDescent="0.25">
      <c r="A365" s="3" t="str">
        <f>IF('1.1 Produksi Bersih Padi 2025'!A367="","",'1.1 Produksi Bersih Padi 2025'!A367)</f>
        <v/>
      </c>
      <c r="B365" s="32" t="str">
        <f>IF('1.1 Produksi Bersih Padi 2025'!B367="","",'1.1 Produksi Bersih Padi 2025'!B367)</f>
        <v/>
      </c>
      <c r="C365" s="32" t="str">
        <f>IF('1.1 Produksi Bersih Padi 2025'!C367="","",'1.1 Produksi Bersih Padi 2025'!C367)</f>
        <v/>
      </c>
      <c r="D365" s="3" t="str">
        <f>IF('1.1 Produksi Bersih Padi 2025'!D367="","",'1.1 Produksi Bersih Padi 2025'!D367)</f>
        <v/>
      </c>
      <c r="E365" s="3" t="str">
        <f>IF('1.1 Produksi Bersih Padi 2025'!E367="","",'1.1 Produksi Bersih Padi 2025'!E367)</f>
        <v/>
      </c>
      <c r="F365" s="13" t="str">
        <f>'1.1 Produksi Bersih Padi 2025'!Q367</f>
        <v/>
      </c>
      <c r="G365" s="13" t="str">
        <f>'1.2 Produksi Bersih Jagung 2025'!L367</f>
        <v/>
      </c>
      <c r="H365" s="13" t="str">
        <f>'1.3 Prod Bersih Ubi Kayu 2025'!K367</f>
        <v/>
      </c>
      <c r="I365" s="13" t="str">
        <f>'1.4 Prod Bersih Ubi Jalar 2025'!K367</f>
        <v/>
      </c>
      <c r="J365" s="13" t="str">
        <f>'1.5 Prod Bersih Sagu 2025'!K367</f>
        <v/>
      </c>
      <c r="K365" s="13" t="str">
        <f>'1.6 Prod Bersih Pisang 2025'!K367</f>
        <v/>
      </c>
      <c r="L365" s="15">
        <f t="shared" si="15"/>
        <v>0</v>
      </c>
      <c r="M365" s="14" t="str">
        <f>IF(D365="","",VLOOKUP(D365,'[1]0.1 Produksi Pangan &amp; Penduduk'!$D$5:$AU$704,44,0))</f>
        <v/>
      </c>
      <c r="N365" s="26" t="str">
        <f t="shared" si="16"/>
        <v/>
      </c>
      <c r="O365" s="16"/>
      <c r="P365" s="25" t="str">
        <f t="shared" si="17"/>
        <v/>
      </c>
      <c r="Q365" s="8"/>
      <c r="R365" s="11"/>
    </row>
    <row r="366" spans="1:18" ht="15" x14ac:dyDescent="0.25">
      <c r="A366" s="3" t="str">
        <f>IF('1.1 Produksi Bersih Padi 2025'!A368="","",'1.1 Produksi Bersih Padi 2025'!A368)</f>
        <v/>
      </c>
      <c r="B366" s="32" t="str">
        <f>IF('1.1 Produksi Bersih Padi 2025'!B368="","",'1.1 Produksi Bersih Padi 2025'!B368)</f>
        <v/>
      </c>
      <c r="C366" s="32" t="str">
        <f>IF('1.1 Produksi Bersih Padi 2025'!C368="","",'1.1 Produksi Bersih Padi 2025'!C368)</f>
        <v/>
      </c>
      <c r="D366" s="3" t="str">
        <f>IF('1.1 Produksi Bersih Padi 2025'!D368="","",'1.1 Produksi Bersih Padi 2025'!D368)</f>
        <v/>
      </c>
      <c r="E366" s="3" t="str">
        <f>IF('1.1 Produksi Bersih Padi 2025'!E368="","",'1.1 Produksi Bersih Padi 2025'!E368)</f>
        <v/>
      </c>
      <c r="F366" s="13" t="str">
        <f>'1.1 Produksi Bersih Padi 2025'!Q368</f>
        <v/>
      </c>
      <c r="G366" s="13" t="str">
        <f>'1.2 Produksi Bersih Jagung 2025'!L368</f>
        <v/>
      </c>
      <c r="H366" s="13" t="str">
        <f>'1.3 Prod Bersih Ubi Kayu 2025'!K368</f>
        <v/>
      </c>
      <c r="I366" s="13" t="str">
        <f>'1.4 Prod Bersih Ubi Jalar 2025'!K368</f>
        <v/>
      </c>
      <c r="J366" s="13" t="str">
        <f>'1.5 Prod Bersih Sagu 2025'!K368</f>
        <v/>
      </c>
      <c r="K366" s="13" t="str">
        <f>'1.6 Prod Bersih Pisang 2025'!K368</f>
        <v/>
      </c>
      <c r="L366" s="15">
        <f t="shared" si="15"/>
        <v>0</v>
      </c>
      <c r="M366" s="14" t="str">
        <f>IF(D366="","",VLOOKUP(D366,'[1]0.1 Produksi Pangan &amp; Penduduk'!$D$5:$AU$704,44,0))</f>
        <v/>
      </c>
      <c r="N366" s="26" t="str">
        <f t="shared" si="16"/>
        <v/>
      </c>
      <c r="O366" s="16"/>
      <c r="P366" s="25" t="str">
        <f t="shared" si="17"/>
        <v/>
      </c>
      <c r="Q366" s="8"/>
      <c r="R366" s="11"/>
    </row>
    <row r="367" spans="1:18" ht="15" x14ac:dyDescent="0.25">
      <c r="A367" s="3" t="str">
        <f>IF('1.1 Produksi Bersih Padi 2025'!A369="","",'1.1 Produksi Bersih Padi 2025'!A369)</f>
        <v/>
      </c>
      <c r="B367" s="32" t="str">
        <f>IF('1.1 Produksi Bersih Padi 2025'!B369="","",'1.1 Produksi Bersih Padi 2025'!B369)</f>
        <v/>
      </c>
      <c r="C367" s="32" t="str">
        <f>IF('1.1 Produksi Bersih Padi 2025'!C369="","",'1.1 Produksi Bersih Padi 2025'!C369)</f>
        <v/>
      </c>
      <c r="D367" s="3" t="str">
        <f>IF('1.1 Produksi Bersih Padi 2025'!D369="","",'1.1 Produksi Bersih Padi 2025'!D369)</f>
        <v/>
      </c>
      <c r="E367" s="3" t="str">
        <f>IF('1.1 Produksi Bersih Padi 2025'!E369="","",'1.1 Produksi Bersih Padi 2025'!E369)</f>
        <v/>
      </c>
      <c r="F367" s="13" t="str">
        <f>'1.1 Produksi Bersih Padi 2025'!Q369</f>
        <v/>
      </c>
      <c r="G367" s="13" t="str">
        <f>'1.2 Produksi Bersih Jagung 2025'!L369</f>
        <v/>
      </c>
      <c r="H367" s="13" t="str">
        <f>'1.3 Prod Bersih Ubi Kayu 2025'!K369</f>
        <v/>
      </c>
      <c r="I367" s="13" t="str">
        <f>'1.4 Prod Bersih Ubi Jalar 2025'!K369</f>
        <v/>
      </c>
      <c r="J367" s="13" t="str">
        <f>'1.5 Prod Bersih Sagu 2025'!K369</f>
        <v/>
      </c>
      <c r="K367" s="13" t="str">
        <f>'1.6 Prod Bersih Pisang 2025'!K369</f>
        <v/>
      </c>
      <c r="L367" s="15">
        <f t="shared" si="15"/>
        <v>0</v>
      </c>
      <c r="M367" s="14" t="str">
        <f>IF(D367="","",VLOOKUP(D367,'[1]0.1 Produksi Pangan &amp; Penduduk'!$D$5:$AU$704,44,0))</f>
        <v/>
      </c>
      <c r="N367" s="26" t="str">
        <f t="shared" si="16"/>
        <v/>
      </c>
      <c r="O367" s="16"/>
      <c r="P367" s="25" t="str">
        <f t="shared" si="17"/>
        <v/>
      </c>
      <c r="Q367" s="8"/>
      <c r="R367" s="11"/>
    </row>
    <row r="368" spans="1:18" ht="15" x14ac:dyDescent="0.25">
      <c r="A368" s="3" t="str">
        <f>IF('1.1 Produksi Bersih Padi 2025'!A370="","",'1.1 Produksi Bersih Padi 2025'!A370)</f>
        <v/>
      </c>
      <c r="B368" s="32" t="str">
        <f>IF('1.1 Produksi Bersih Padi 2025'!B370="","",'1.1 Produksi Bersih Padi 2025'!B370)</f>
        <v/>
      </c>
      <c r="C368" s="32" t="str">
        <f>IF('1.1 Produksi Bersih Padi 2025'!C370="","",'1.1 Produksi Bersih Padi 2025'!C370)</f>
        <v/>
      </c>
      <c r="D368" s="3" t="str">
        <f>IF('1.1 Produksi Bersih Padi 2025'!D370="","",'1.1 Produksi Bersih Padi 2025'!D370)</f>
        <v/>
      </c>
      <c r="E368" s="3" t="str">
        <f>IF('1.1 Produksi Bersih Padi 2025'!E370="","",'1.1 Produksi Bersih Padi 2025'!E370)</f>
        <v/>
      </c>
      <c r="F368" s="13" t="str">
        <f>'1.1 Produksi Bersih Padi 2025'!Q370</f>
        <v/>
      </c>
      <c r="G368" s="13" t="str">
        <f>'1.2 Produksi Bersih Jagung 2025'!L370</f>
        <v/>
      </c>
      <c r="H368" s="13" t="str">
        <f>'1.3 Prod Bersih Ubi Kayu 2025'!K370</f>
        <v/>
      </c>
      <c r="I368" s="13" t="str">
        <f>'1.4 Prod Bersih Ubi Jalar 2025'!K370</f>
        <v/>
      </c>
      <c r="J368" s="13" t="str">
        <f>'1.5 Prod Bersih Sagu 2025'!K370</f>
        <v/>
      </c>
      <c r="K368" s="13" t="str">
        <f>'1.6 Prod Bersih Pisang 2025'!K370</f>
        <v/>
      </c>
      <c r="L368" s="15">
        <f t="shared" si="15"/>
        <v>0</v>
      </c>
      <c r="M368" s="14" t="str">
        <f>IF(D368="","",VLOOKUP(D368,'[1]0.1 Produksi Pangan &amp; Penduduk'!$D$5:$AU$704,44,0))</f>
        <v/>
      </c>
      <c r="N368" s="26" t="str">
        <f t="shared" si="16"/>
        <v/>
      </c>
      <c r="O368" s="16"/>
      <c r="P368" s="25" t="str">
        <f t="shared" si="17"/>
        <v/>
      </c>
      <c r="Q368" s="8"/>
      <c r="R368" s="11"/>
    </row>
    <row r="369" spans="1:18" ht="15" x14ac:dyDescent="0.25">
      <c r="A369" s="3" t="str">
        <f>IF('1.1 Produksi Bersih Padi 2025'!A371="","",'1.1 Produksi Bersih Padi 2025'!A371)</f>
        <v/>
      </c>
      <c r="B369" s="32" t="str">
        <f>IF('1.1 Produksi Bersih Padi 2025'!B371="","",'1.1 Produksi Bersih Padi 2025'!B371)</f>
        <v/>
      </c>
      <c r="C369" s="32" t="str">
        <f>IF('1.1 Produksi Bersih Padi 2025'!C371="","",'1.1 Produksi Bersih Padi 2025'!C371)</f>
        <v/>
      </c>
      <c r="D369" s="3" t="str">
        <f>IF('1.1 Produksi Bersih Padi 2025'!D371="","",'1.1 Produksi Bersih Padi 2025'!D371)</f>
        <v/>
      </c>
      <c r="E369" s="3" t="str">
        <f>IF('1.1 Produksi Bersih Padi 2025'!E371="","",'1.1 Produksi Bersih Padi 2025'!E371)</f>
        <v/>
      </c>
      <c r="F369" s="13" t="str">
        <f>'1.1 Produksi Bersih Padi 2025'!Q371</f>
        <v/>
      </c>
      <c r="G369" s="13" t="str">
        <f>'1.2 Produksi Bersih Jagung 2025'!L371</f>
        <v/>
      </c>
      <c r="H369" s="13" t="str">
        <f>'1.3 Prod Bersih Ubi Kayu 2025'!K371</f>
        <v/>
      </c>
      <c r="I369" s="13" t="str">
        <f>'1.4 Prod Bersih Ubi Jalar 2025'!K371</f>
        <v/>
      </c>
      <c r="J369" s="13" t="str">
        <f>'1.5 Prod Bersih Sagu 2025'!K371</f>
        <v/>
      </c>
      <c r="K369" s="13" t="str">
        <f>'1.6 Prod Bersih Pisang 2025'!K371</f>
        <v/>
      </c>
      <c r="L369" s="15">
        <f t="shared" si="15"/>
        <v>0</v>
      </c>
      <c r="M369" s="14" t="str">
        <f>IF(D369="","",VLOOKUP(D369,'[1]0.1 Produksi Pangan &amp; Penduduk'!$D$5:$AU$704,44,0))</f>
        <v/>
      </c>
      <c r="N369" s="26" t="str">
        <f t="shared" si="16"/>
        <v/>
      </c>
      <c r="O369" s="16"/>
      <c r="P369" s="25" t="str">
        <f t="shared" si="17"/>
        <v/>
      </c>
      <c r="Q369" s="8"/>
      <c r="R369" s="11"/>
    </row>
    <row r="370" spans="1:18" ht="15" x14ac:dyDescent="0.25">
      <c r="A370" s="3" t="str">
        <f>IF('1.1 Produksi Bersih Padi 2025'!A372="","",'1.1 Produksi Bersih Padi 2025'!A372)</f>
        <v/>
      </c>
      <c r="B370" s="32" t="str">
        <f>IF('1.1 Produksi Bersih Padi 2025'!B372="","",'1.1 Produksi Bersih Padi 2025'!B372)</f>
        <v/>
      </c>
      <c r="C370" s="32" t="str">
        <f>IF('1.1 Produksi Bersih Padi 2025'!C372="","",'1.1 Produksi Bersih Padi 2025'!C372)</f>
        <v/>
      </c>
      <c r="D370" s="3" t="str">
        <f>IF('1.1 Produksi Bersih Padi 2025'!D372="","",'1.1 Produksi Bersih Padi 2025'!D372)</f>
        <v/>
      </c>
      <c r="E370" s="3" t="str">
        <f>IF('1.1 Produksi Bersih Padi 2025'!E372="","",'1.1 Produksi Bersih Padi 2025'!E372)</f>
        <v/>
      </c>
      <c r="F370" s="13" t="str">
        <f>'1.1 Produksi Bersih Padi 2025'!Q372</f>
        <v/>
      </c>
      <c r="G370" s="13" t="str">
        <f>'1.2 Produksi Bersih Jagung 2025'!L372</f>
        <v/>
      </c>
      <c r="H370" s="13" t="str">
        <f>'1.3 Prod Bersih Ubi Kayu 2025'!K372</f>
        <v/>
      </c>
      <c r="I370" s="13" t="str">
        <f>'1.4 Prod Bersih Ubi Jalar 2025'!K372</f>
        <v/>
      </c>
      <c r="J370" s="13" t="str">
        <f>'1.5 Prod Bersih Sagu 2025'!K372</f>
        <v/>
      </c>
      <c r="K370" s="13" t="str">
        <f>'1.6 Prod Bersih Pisang 2025'!K372</f>
        <v/>
      </c>
      <c r="L370" s="15">
        <f t="shared" si="15"/>
        <v>0</v>
      </c>
      <c r="M370" s="14" t="str">
        <f>IF(D370="","",VLOOKUP(D370,'[1]0.1 Produksi Pangan &amp; Penduduk'!$D$5:$AU$704,44,0))</f>
        <v/>
      </c>
      <c r="N370" s="26" t="str">
        <f t="shared" si="16"/>
        <v/>
      </c>
      <c r="O370" s="16"/>
      <c r="P370" s="25" t="str">
        <f t="shared" si="17"/>
        <v/>
      </c>
      <c r="Q370" s="8"/>
      <c r="R370" s="11"/>
    </row>
    <row r="371" spans="1:18" ht="15" x14ac:dyDescent="0.25">
      <c r="A371" s="3" t="str">
        <f>IF('1.1 Produksi Bersih Padi 2025'!A373="","",'1.1 Produksi Bersih Padi 2025'!A373)</f>
        <v/>
      </c>
      <c r="B371" s="32" t="str">
        <f>IF('1.1 Produksi Bersih Padi 2025'!B373="","",'1.1 Produksi Bersih Padi 2025'!B373)</f>
        <v/>
      </c>
      <c r="C371" s="32" t="str">
        <f>IF('1.1 Produksi Bersih Padi 2025'!C373="","",'1.1 Produksi Bersih Padi 2025'!C373)</f>
        <v/>
      </c>
      <c r="D371" s="3" t="str">
        <f>IF('1.1 Produksi Bersih Padi 2025'!D373="","",'1.1 Produksi Bersih Padi 2025'!D373)</f>
        <v/>
      </c>
      <c r="E371" s="3" t="str">
        <f>IF('1.1 Produksi Bersih Padi 2025'!E373="","",'1.1 Produksi Bersih Padi 2025'!E373)</f>
        <v/>
      </c>
      <c r="F371" s="13" t="str">
        <f>'1.1 Produksi Bersih Padi 2025'!Q373</f>
        <v/>
      </c>
      <c r="G371" s="13" t="str">
        <f>'1.2 Produksi Bersih Jagung 2025'!L373</f>
        <v/>
      </c>
      <c r="H371" s="13" t="str">
        <f>'1.3 Prod Bersih Ubi Kayu 2025'!K373</f>
        <v/>
      </c>
      <c r="I371" s="13" t="str">
        <f>'1.4 Prod Bersih Ubi Jalar 2025'!K373</f>
        <v/>
      </c>
      <c r="J371" s="13" t="str">
        <f>'1.5 Prod Bersih Sagu 2025'!K373</f>
        <v/>
      </c>
      <c r="K371" s="13" t="str">
        <f>'1.6 Prod Bersih Pisang 2025'!K373</f>
        <v/>
      </c>
      <c r="L371" s="15">
        <f t="shared" si="15"/>
        <v>0</v>
      </c>
      <c r="M371" s="14" t="str">
        <f>IF(D371="","",VLOOKUP(D371,'[1]0.1 Produksi Pangan &amp; Penduduk'!$D$5:$AU$704,44,0))</f>
        <v/>
      </c>
      <c r="N371" s="26" t="str">
        <f t="shared" si="16"/>
        <v/>
      </c>
      <c r="O371" s="16"/>
      <c r="P371" s="25" t="str">
        <f t="shared" si="17"/>
        <v/>
      </c>
      <c r="Q371" s="8"/>
      <c r="R371" s="11"/>
    </row>
    <row r="372" spans="1:18" ht="15" x14ac:dyDescent="0.25">
      <c r="A372" s="3" t="str">
        <f>IF('1.1 Produksi Bersih Padi 2025'!A374="","",'1.1 Produksi Bersih Padi 2025'!A374)</f>
        <v/>
      </c>
      <c r="B372" s="32" t="str">
        <f>IF('1.1 Produksi Bersih Padi 2025'!B374="","",'1.1 Produksi Bersih Padi 2025'!B374)</f>
        <v/>
      </c>
      <c r="C372" s="32" t="str">
        <f>IF('1.1 Produksi Bersih Padi 2025'!C374="","",'1.1 Produksi Bersih Padi 2025'!C374)</f>
        <v/>
      </c>
      <c r="D372" s="3" t="str">
        <f>IF('1.1 Produksi Bersih Padi 2025'!D374="","",'1.1 Produksi Bersih Padi 2025'!D374)</f>
        <v/>
      </c>
      <c r="E372" s="3" t="str">
        <f>IF('1.1 Produksi Bersih Padi 2025'!E374="","",'1.1 Produksi Bersih Padi 2025'!E374)</f>
        <v/>
      </c>
      <c r="F372" s="13" t="str">
        <f>'1.1 Produksi Bersih Padi 2025'!Q374</f>
        <v/>
      </c>
      <c r="G372" s="13" t="str">
        <f>'1.2 Produksi Bersih Jagung 2025'!L374</f>
        <v/>
      </c>
      <c r="H372" s="13" t="str">
        <f>'1.3 Prod Bersih Ubi Kayu 2025'!K374</f>
        <v/>
      </c>
      <c r="I372" s="13" t="str">
        <f>'1.4 Prod Bersih Ubi Jalar 2025'!K374</f>
        <v/>
      </c>
      <c r="J372" s="13" t="str">
        <f>'1.5 Prod Bersih Sagu 2025'!K374</f>
        <v/>
      </c>
      <c r="K372" s="13" t="str">
        <f>'1.6 Prod Bersih Pisang 2025'!K374</f>
        <v/>
      </c>
      <c r="L372" s="15">
        <f t="shared" si="15"/>
        <v>0</v>
      </c>
      <c r="M372" s="14" t="str">
        <f>IF(D372="","",VLOOKUP(D372,'[1]0.1 Produksi Pangan &amp; Penduduk'!$D$5:$AU$704,44,0))</f>
        <v/>
      </c>
      <c r="N372" s="26" t="str">
        <f t="shared" si="16"/>
        <v/>
      </c>
      <c r="O372" s="16"/>
      <c r="P372" s="25" t="str">
        <f t="shared" si="17"/>
        <v/>
      </c>
      <c r="Q372" s="8"/>
      <c r="R372" s="11"/>
    </row>
    <row r="373" spans="1:18" ht="15" x14ac:dyDescent="0.25">
      <c r="A373" s="3" t="str">
        <f>IF('1.1 Produksi Bersih Padi 2025'!A375="","",'1.1 Produksi Bersih Padi 2025'!A375)</f>
        <v/>
      </c>
      <c r="B373" s="32" t="str">
        <f>IF('1.1 Produksi Bersih Padi 2025'!B375="","",'1.1 Produksi Bersih Padi 2025'!B375)</f>
        <v/>
      </c>
      <c r="C373" s="32" t="str">
        <f>IF('1.1 Produksi Bersih Padi 2025'!C375="","",'1.1 Produksi Bersih Padi 2025'!C375)</f>
        <v/>
      </c>
      <c r="D373" s="3" t="str">
        <f>IF('1.1 Produksi Bersih Padi 2025'!D375="","",'1.1 Produksi Bersih Padi 2025'!D375)</f>
        <v/>
      </c>
      <c r="E373" s="3" t="str">
        <f>IF('1.1 Produksi Bersih Padi 2025'!E375="","",'1.1 Produksi Bersih Padi 2025'!E375)</f>
        <v/>
      </c>
      <c r="F373" s="13" t="str">
        <f>'1.1 Produksi Bersih Padi 2025'!Q375</f>
        <v/>
      </c>
      <c r="G373" s="13" t="str">
        <f>'1.2 Produksi Bersih Jagung 2025'!L375</f>
        <v/>
      </c>
      <c r="H373" s="13" t="str">
        <f>'1.3 Prod Bersih Ubi Kayu 2025'!K375</f>
        <v/>
      </c>
      <c r="I373" s="13" t="str">
        <f>'1.4 Prod Bersih Ubi Jalar 2025'!K375</f>
        <v/>
      </c>
      <c r="J373" s="13" t="str">
        <f>'1.5 Prod Bersih Sagu 2025'!K375</f>
        <v/>
      </c>
      <c r="K373" s="13" t="str">
        <f>'1.6 Prod Bersih Pisang 2025'!K375</f>
        <v/>
      </c>
      <c r="L373" s="15">
        <f t="shared" si="15"/>
        <v>0</v>
      </c>
      <c r="M373" s="14" t="str">
        <f>IF(D373="","",VLOOKUP(D373,'[1]0.1 Produksi Pangan &amp; Penduduk'!$D$5:$AU$704,44,0))</f>
        <v/>
      </c>
      <c r="N373" s="26" t="str">
        <f t="shared" si="16"/>
        <v/>
      </c>
      <c r="O373" s="16"/>
      <c r="P373" s="25" t="str">
        <f t="shared" si="17"/>
        <v/>
      </c>
      <c r="Q373" s="8"/>
      <c r="R373" s="11"/>
    </row>
    <row r="374" spans="1:18" ht="15" x14ac:dyDescent="0.25">
      <c r="A374" s="3" t="str">
        <f>IF('1.1 Produksi Bersih Padi 2025'!A376="","",'1.1 Produksi Bersih Padi 2025'!A376)</f>
        <v/>
      </c>
      <c r="B374" s="32" t="str">
        <f>IF('1.1 Produksi Bersih Padi 2025'!B376="","",'1.1 Produksi Bersih Padi 2025'!B376)</f>
        <v/>
      </c>
      <c r="C374" s="32" t="str">
        <f>IF('1.1 Produksi Bersih Padi 2025'!C376="","",'1.1 Produksi Bersih Padi 2025'!C376)</f>
        <v/>
      </c>
      <c r="D374" s="3" t="str">
        <f>IF('1.1 Produksi Bersih Padi 2025'!D376="","",'1.1 Produksi Bersih Padi 2025'!D376)</f>
        <v/>
      </c>
      <c r="E374" s="3" t="str">
        <f>IF('1.1 Produksi Bersih Padi 2025'!E376="","",'1.1 Produksi Bersih Padi 2025'!E376)</f>
        <v/>
      </c>
      <c r="F374" s="13" t="str">
        <f>'1.1 Produksi Bersih Padi 2025'!Q376</f>
        <v/>
      </c>
      <c r="G374" s="13" t="str">
        <f>'1.2 Produksi Bersih Jagung 2025'!L376</f>
        <v/>
      </c>
      <c r="H374" s="13" t="str">
        <f>'1.3 Prod Bersih Ubi Kayu 2025'!K376</f>
        <v/>
      </c>
      <c r="I374" s="13" t="str">
        <f>'1.4 Prod Bersih Ubi Jalar 2025'!K376</f>
        <v/>
      </c>
      <c r="J374" s="13" t="str">
        <f>'1.5 Prod Bersih Sagu 2025'!K376</f>
        <v/>
      </c>
      <c r="K374" s="13" t="str">
        <f>'1.6 Prod Bersih Pisang 2025'!K376</f>
        <v/>
      </c>
      <c r="L374" s="15">
        <f t="shared" si="15"/>
        <v>0</v>
      </c>
      <c r="M374" s="14" t="str">
        <f>IF(D374="","",VLOOKUP(D374,'[1]0.1 Produksi Pangan &amp; Penduduk'!$D$5:$AU$704,44,0))</f>
        <v/>
      </c>
      <c r="N374" s="26" t="str">
        <f t="shared" si="16"/>
        <v/>
      </c>
      <c r="O374" s="16"/>
      <c r="P374" s="25" t="str">
        <f t="shared" si="17"/>
        <v/>
      </c>
      <c r="Q374" s="8"/>
      <c r="R374" s="11"/>
    </row>
    <row r="375" spans="1:18" ht="15" x14ac:dyDescent="0.25">
      <c r="A375" s="3" t="str">
        <f>IF('1.1 Produksi Bersih Padi 2025'!A377="","",'1.1 Produksi Bersih Padi 2025'!A377)</f>
        <v/>
      </c>
      <c r="B375" s="32" t="str">
        <f>IF('1.1 Produksi Bersih Padi 2025'!B377="","",'1.1 Produksi Bersih Padi 2025'!B377)</f>
        <v/>
      </c>
      <c r="C375" s="32" t="str">
        <f>IF('1.1 Produksi Bersih Padi 2025'!C377="","",'1.1 Produksi Bersih Padi 2025'!C377)</f>
        <v/>
      </c>
      <c r="D375" s="3" t="str">
        <f>IF('1.1 Produksi Bersih Padi 2025'!D377="","",'1.1 Produksi Bersih Padi 2025'!D377)</f>
        <v/>
      </c>
      <c r="E375" s="3" t="str">
        <f>IF('1.1 Produksi Bersih Padi 2025'!E377="","",'1.1 Produksi Bersih Padi 2025'!E377)</f>
        <v/>
      </c>
      <c r="F375" s="13" t="str">
        <f>'1.1 Produksi Bersih Padi 2025'!Q377</f>
        <v/>
      </c>
      <c r="G375" s="13" t="str">
        <f>'1.2 Produksi Bersih Jagung 2025'!L377</f>
        <v/>
      </c>
      <c r="H375" s="13" t="str">
        <f>'1.3 Prod Bersih Ubi Kayu 2025'!K377</f>
        <v/>
      </c>
      <c r="I375" s="13" t="str">
        <f>'1.4 Prod Bersih Ubi Jalar 2025'!K377</f>
        <v/>
      </c>
      <c r="J375" s="13" t="str">
        <f>'1.5 Prod Bersih Sagu 2025'!K377</f>
        <v/>
      </c>
      <c r="K375" s="13" t="str">
        <f>'1.6 Prod Bersih Pisang 2025'!K377</f>
        <v/>
      </c>
      <c r="L375" s="15">
        <f t="shared" si="15"/>
        <v>0</v>
      </c>
      <c r="M375" s="14" t="str">
        <f>IF(D375="","",VLOOKUP(D375,'[1]0.1 Produksi Pangan &amp; Penduduk'!$D$5:$AU$704,44,0))</f>
        <v/>
      </c>
      <c r="N375" s="26" t="str">
        <f t="shared" si="16"/>
        <v/>
      </c>
      <c r="O375" s="16"/>
      <c r="P375" s="25" t="str">
        <f t="shared" si="17"/>
        <v/>
      </c>
      <c r="Q375" s="8"/>
      <c r="R375" s="11"/>
    </row>
    <row r="376" spans="1:18" ht="15" x14ac:dyDescent="0.25">
      <c r="A376" s="3" t="str">
        <f>IF('1.1 Produksi Bersih Padi 2025'!A378="","",'1.1 Produksi Bersih Padi 2025'!A378)</f>
        <v/>
      </c>
      <c r="B376" s="32" t="str">
        <f>IF('1.1 Produksi Bersih Padi 2025'!B378="","",'1.1 Produksi Bersih Padi 2025'!B378)</f>
        <v/>
      </c>
      <c r="C376" s="32" t="str">
        <f>IF('1.1 Produksi Bersih Padi 2025'!C378="","",'1.1 Produksi Bersih Padi 2025'!C378)</f>
        <v/>
      </c>
      <c r="D376" s="3" t="str">
        <f>IF('1.1 Produksi Bersih Padi 2025'!D378="","",'1.1 Produksi Bersih Padi 2025'!D378)</f>
        <v/>
      </c>
      <c r="E376" s="3" t="str">
        <f>IF('1.1 Produksi Bersih Padi 2025'!E378="","",'1.1 Produksi Bersih Padi 2025'!E378)</f>
        <v/>
      </c>
      <c r="F376" s="13" t="str">
        <f>'1.1 Produksi Bersih Padi 2025'!Q378</f>
        <v/>
      </c>
      <c r="G376" s="13" t="str">
        <f>'1.2 Produksi Bersih Jagung 2025'!L378</f>
        <v/>
      </c>
      <c r="H376" s="13" t="str">
        <f>'1.3 Prod Bersih Ubi Kayu 2025'!K378</f>
        <v/>
      </c>
      <c r="I376" s="13" t="str">
        <f>'1.4 Prod Bersih Ubi Jalar 2025'!K378</f>
        <v/>
      </c>
      <c r="J376" s="13" t="str">
        <f>'1.5 Prod Bersih Sagu 2025'!K378</f>
        <v/>
      </c>
      <c r="K376" s="13" t="str">
        <f>'1.6 Prod Bersih Pisang 2025'!K378</f>
        <v/>
      </c>
      <c r="L376" s="15">
        <f t="shared" si="15"/>
        <v>0</v>
      </c>
      <c r="M376" s="14" t="str">
        <f>IF(D376="","",VLOOKUP(D376,'[1]0.1 Produksi Pangan &amp; Penduduk'!$D$5:$AU$704,44,0))</f>
        <v/>
      </c>
      <c r="N376" s="26" t="str">
        <f t="shared" si="16"/>
        <v/>
      </c>
      <c r="O376" s="16"/>
      <c r="P376" s="25" t="str">
        <f t="shared" si="17"/>
        <v/>
      </c>
      <c r="Q376" s="8"/>
      <c r="R376" s="11"/>
    </row>
    <row r="377" spans="1:18" ht="15" x14ac:dyDescent="0.25">
      <c r="A377" s="3" t="str">
        <f>IF('1.1 Produksi Bersih Padi 2025'!A379="","",'1.1 Produksi Bersih Padi 2025'!A379)</f>
        <v/>
      </c>
      <c r="B377" s="32" t="str">
        <f>IF('1.1 Produksi Bersih Padi 2025'!B379="","",'1.1 Produksi Bersih Padi 2025'!B379)</f>
        <v/>
      </c>
      <c r="C377" s="32" t="str">
        <f>IF('1.1 Produksi Bersih Padi 2025'!C379="","",'1.1 Produksi Bersih Padi 2025'!C379)</f>
        <v/>
      </c>
      <c r="D377" s="3" t="str">
        <f>IF('1.1 Produksi Bersih Padi 2025'!D379="","",'1.1 Produksi Bersih Padi 2025'!D379)</f>
        <v/>
      </c>
      <c r="E377" s="3" t="str">
        <f>IF('1.1 Produksi Bersih Padi 2025'!E379="","",'1.1 Produksi Bersih Padi 2025'!E379)</f>
        <v/>
      </c>
      <c r="F377" s="13" t="str">
        <f>'1.1 Produksi Bersih Padi 2025'!Q379</f>
        <v/>
      </c>
      <c r="G377" s="13" t="str">
        <f>'1.2 Produksi Bersih Jagung 2025'!L379</f>
        <v/>
      </c>
      <c r="H377" s="13" t="str">
        <f>'1.3 Prod Bersih Ubi Kayu 2025'!K379</f>
        <v/>
      </c>
      <c r="I377" s="13" t="str">
        <f>'1.4 Prod Bersih Ubi Jalar 2025'!K379</f>
        <v/>
      </c>
      <c r="J377" s="13" t="str">
        <f>'1.5 Prod Bersih Sagu 2025'!K379</f>
        <v/>
      </c>
      <c r="K377" s="13" t="str">
        <f>'1.6 Prod Bersih Pisang 2025'!K379</f>
        <v/>
      </c>
      <c r="L377" s="15">
        <f t="shared" si="15"/>
        <v>0</v>
      </c>
      <c r="M377" s="14" t="str">
        <f>IF(D377="","",VLOOKUP(D377,'[1]0.1 Produksi Pangan &amp; Penduduk'!$D$5:$AU$704,44,0))</f>
        <v/>
      </c>
      <c r="N377" s="26" t="str">
        <f t="shared" si="16"/>
        <v/>
      </c>
      <c r="O377" s="16"/>
      <c r="P377" s="25" t="str">
        <f t="shared" si="17"/>
        <v/>
      </c>
      <c r="Q377" s="8"/>
      <c r="R377" s="11"/>
    </row>
    <row r="378" spans="1:18" ht="15" x14ac:dyDescent="0.25">
      <c r="A378" s="3" t="str">
        <f>IF('1.1 Produksi Bersih Padi 2025'!A380="","",'1.1 Produksi Bersih Padi 2025'!A380)</f>
        <v/>
      </c>
      <c r="B378" s="32" t="str">
        <f>IF('1.1 Produksi Bersih Padi 2025'!B380="","",'1.1 Produksi Bersih Padi 2025'!B380)</f>
        <v/>
      </c>
      <c r="C378" s="32" t="str">
        <f>IF('1.1 Produksi Bersih Padi 2025'!C380="","",'1.1 Produksi Bersih Padi 2025'!C380)</f>
        <v/>
      </c>
      <c r="D378" s="3" t="str">
        <f>IF('1.1 Produksi Bersih Padi 2025'!D380="","",'1.1 Produksi Bersih Padi 2025'!D380)</f>
        <v/>
      </c>
      <c r="E378" s="3" t="str">
        <f>IF('1.1 Produksi Bersih Padi 2025'!E380="","",'1.1 Produksi Bersih Padi 2025'!E380)</f>
        <v/>
      </c>
      <c r="F378" s="13" t="str">
        <f>'1.1 Produksi Bersih Padi 2025'!Q380</f>
        <v/>
      </c>
      <c r="G378" s="13" t="str">
        <f>'1.2 Produksi Bersih Jagung 2025'!L380</f>
        <v/>
      </c>
      <c r="H378" s="13" t="str">
        <f>'1.3 Prod Bersih Ubi Kayu 2025'!K380</f>
        <v/>
      </c>
      <c r="I378" s="13" t="str">
        <f>'1.4 Prod Bersih Ubi Jalar 2025'!K380</f>
        <v/>
      </c>
      <c r="J378" s="13" t="str">
        <f>'1.5 Prod Bersih Sagu 2025'!K380</f>
        <v/>
      </c>
      <c r="K378" s="13" t="str">
        <f>'1.6 Prod Bersih Pisang 2025'!K380</f>
        <v/>
      </c>
      <c r="L378" s="15">
        <f t="shared" si="15"/>
        <v>0</v>
      </c>
      <c r="M378" s="14" t="str">
        <f>IF(D378="","",VLOOKUP(D378,'[1]0.1 Produksi Pangan &amp; Penduduk'!$D$5:$AU$704,44,0))</f>
        <v/>
      </c>
      <c r="N378" s="26" t="str">
        <f t="shared" si="16"/>
        <v/>
      </c>
      <c r="O378" s="16"/>
      <c r="P378" s="25" t="str">
        <f t="shared" si="17"/>
        <v/>
      </c>
      <c r="Q378" s="8"/>
      <c r="R378" s="11"/>
    </row>
    <row r="379" spans="1:18" ht="15" x14ac:dyDescent="0.25">
      <c r="A379" s="3" t="str">
        <f>IF('1.1 Produksi Bersih Padi 2025'!A381="","",'1.1 Produksi Bersih Padi 2025'!A381)</f>
        <v/>
      </c>
      <c r="B379" s="32" t="str">
        <f>IF('1.1 Produksi Bersih Padi 2025'!B381="","",'1.1 Produksi Bersih Padi 2025'!B381)</f>
        <v/>
      </c>
      <c r="C379" s="32" t="str">
        <f>IF('1.1 Produksi Bersih Padi 2025'!C381="","",'1.1 Produksi Bersih Padi 2025'!C381)</f>
        <v/>
      </c>
      <c r="D379" s="3" t="str">
        <f>IF('1.1 Produksi Bersih Padi 2025'!D381="","",'1.1 Produksi Bersih Padi 2025'!D381)</f>
        <v/>
      </c>
      <c r="E379" s="3" t="str">
        <f>IF('1.1 Produksi Bersih Padi 2025'!E381="","",'1.1 Produksi Bersih Padi 2025'!E381)</f>
        <v/>
      </c>
      <c r="F379" s="13" t="str">
        <f>'1.1 Produksi Bersih Padi 2025'!Q381</f>
        <v/>
      </c>
      <c r="G379" s="13" t="str">
        <f>'1.2 Produksi Bersih Jagung 2025'!L381</f>
        <v/>
      </c>
      <c r="H379" s="13" t="str">
        <f>'1.3 Prod Bersih Ubi Kayu 2025'!K381</f>
        <v/>
      </c>
      <c r="I379" s="13" t="str">
        <f>'1.4 Prod Bersih Ubi Jalar 2025'!K381</f>
        <v/>
      </c>
      <c r="J379" s="13" t="str">
        <f>'1.5 Prod Bersih Sagu 2025'!K381</f>
        <v/>
      </c>
      <c r="K379" s="13" t="str">
        <f>'1.6 Prod Bersih Pisang 2025'!K381</f>
        <v/>
      </c>
      <c r="L379" s="15">
        <f t="shared" si="15"/>
        <v>0</v>
      </c>
      <c r="M379" s="14" t="str">
        <f>IF(D379="","",VLOOKUP(D379,'[1]0.1 Produksi Pangan &amp; Penduduk'!$D$5:$AU$704,44,0))</f>
        <v/>
      </c>
      <c r="N379" s="26" t="str">
        <f t="shared" si="16"/>
        <v/>
      </c>
      <c r="O379" s="16"/>
      <c r="P379" s="25" t="str">
        <f t="shared" si="17"/>
        <v/>
      </c>
      <c r="Q379" s="8"/>
      <c r="R379" s="11"/>
    </row>
    <row r="380" spans="1:18" ht="15" x14ac:dyDescent="0.25">
      <c r="A380" s="3" t="str">
        <f>IF('1.1 Produksi Bersih Padi 2025'!A382="","",'1.1 Produksi Bersih Padi 2025'!A382)</f>
        <v/>
      </c>
      <c r="B380" s="32" t="str">
        <f>IF('1.1 Produksi Bersih Padi 2025'!B382="","",'1.1 Produksi Bersih Padi 2025'!B382)</f>
        <v/>
      </c>
      <c r="C380" s="32" t="str">
        <f>IF('1.1 Produksi Bersih Padi 2025'!C382="","",'1.1 Produksi Bersih Padi 2025'!C382)</f>
        <v/>
      </c>
      <c r="D380" s="3" t="str">
        <f>IF('1.1 Produksi Bersih Padi 2025'!D382="","",'1.1 Produksi Bersih Padi 2025'!D382)</f>
        <v/>
      </c>
      <c r="E380" s="3" t="str">
        <f>IF('1.1 Produksi Bersih Padi 2025'!E382="","",'1.1 Produksi Bersih Padi 2025'!E382)</f>
        <v/>
      </c>
      <c r="F380" s="13" t="str">
        <f>'1.1 Produksi Bersih Padi 2025'!Q382</f>
        <v/>
      </c>
      <c r="G380" s="13" t="str">
        <f>'1.2 Produksi Bersih Jagung 2025'!L382</f>
        <v/>
      </c>
      <c r="H380" s="13" t="str">
        <f>'1.3 Prod Bersih Ubi Kayu 2025'!K382</f>
        <v/>
      </c>
      <c r="I380" s="13" t="str">
        <f>'1.4 Prod Bersih Ubi Jalar 2025'!K382</f>
        <v/>
      </c>
      <c r="J380" s="13" t="str">
        <f>'1.5 Prod Bersih Sagu 2025'!K382</f>
        <v/>
      </c>
      <c r="K380" s="13" t="str">
        <f>'1.6 Prod Bersih Pisang 2025'!K382</f>
        <v/>
      </c>
      <c r="L380" s="15">
        <f t="shared" si="15"/>
        <v>0</v>
      </c>
      <c r="M380" s="14" t="str">
        <f>IF(D380="","",VLOOKUP(D380,'[1]0.1 Produksi Pangan &amp; Penduduk'!$D$5:$AU$704,44,0))</f>
        <v/>
      </c>
      <c r="N380" s="26" t="str">
        <f t="shared" si="16"/>
        <v/>
      </c>
      <c r="O380" s="16"/>
      <c r="P380" s="25" t="str">
        <f t="shared" si="17"/>
        <v/>
      </c>
      <c r="Q380" s="8"/>
      <c r="R380" s="11"/>
    </row>
    <row r="381" spans="1:18" ht="15" x14ac:dyDescent="0.25">
      <c r="A381" s="3" t="str">
        <f>IF('1.1 Produksi Bersih Padi 2025'!A383="","",'1.1 Produksi Bersih Padi 2025'!A383)</f>
        <v/>
      </c>
      <c r="B381" s="32" t="str">
        <f>IF('1.1 Produksi Bersih Padi 2025'!B383="","",'1.1 Produksi Bersih Padi 2025'!B383)</f>
        <v/>
      </c>
      <c r="C381" s="32" t="str">
        <f>IF('1.1 Produksi Bersih Padi 2025'!C383="","",'1.1 Produksi Bersih Padi 2025'!C383)</f>
        <v/>
      </c>
      <c r="D381" s="3" t="str">
        <f>IF('1.1 Produksi Bersih Padi 2025'!D383="","",'1.1 Produksi Bersih Padi 2025'!D383)</f>
        <v/>
      </c>
      <c r="E381" s="3" t="str">
        <f>IF('1.1 Produksi Bersih Padi 2025'!E383="","",'1.1 Produksi Bersih Padi 2025'!E383)</f>
        <v/>
      </c>
      <c r="F381" s="13" t="str">
        <f>'1.1 Produksi Bersih Padi 2025'!Q383</f>
        <v/>
      </c>
      <c r="G381" s="13" t="str">
        <f>'1.2 Produksi Bersih Jagung 2025'!L383</f>
        <v/>
      </c>
      <c r="H381" s="13" t="str">
        <f>'1.3 Prod Bersih Ubi Kayu 2025'!K383</f>
        <v/>
      </c>
      <c r="I381" s="13" t="str">
        <f>'1.4 Prod Bersih Ubi Jalar 2025'!K383</f>
        <v/>
      </c>
      <c r="J381" s="13" t="str">
        <f>'1.5 Prod Bersih Sagu 2025'!K383</f>
        <v/>
      </c>
      <c r="K381" s="13" t="str">
        <f>'1.6 Prod Bersih Pisang 2025'!K383</f>
        <v/>
      </c>
      <c r="L381" s="15">
        <f t="shared" si="15"/>
        <v>0</v>
      </c>
      <c r="M381" s="14" t="str">
        <f>IF(D381="","",VLOOKUP(D381,'[1]0.1 Produksi Pangan &amp; Penduduk'!$D$5:$AU$704,44,0))</f>
        <v/>
      </c>
      <c r="N381" s="26" t="str">
        <f t="shared" si="16"/>
        <v/>
      </c>
      <c r="O381" s="16"/>
      <c r="P381" s="25" t="str">
        <f t="shared" si="17"/>
        <v/>
      </c>
      <c r="Q381" s="8"/>
      <c r="R381" s="11"/>
    </row>
    <row r="382" spans="1:18" ht="15" x14ac:dyDescent="0.25">
      <c r="A382" s="3" t="str">
        <f>IF('1.1 Produksi Bersih Padi 2025'!A384="","",'1.1 Produksi Bersih Padi 2025'!A384)</f>
        <v/>
      </c>
      <c r="B382" s="32" t="str">
        <f>IF('1.1 Produksi Bersih Padi 2025'!B384="","",'1.1 Produksi Bersih Padi 2025'!B384)</f>
        <v/>
      </c>
      <c r="C382" s="32" t="str">
        <f>IF('1.1 Produksi Bersih Padi 2025'!C384="","",'1.1 Produksi Bersih Padi 2025'!C384)</f>
        <v/>
      </c>
      <c r="D382" s="3" t="str">
        <f>IF('1.1 Produksi Bersih Padi 2025'!D384="","",'1.1 Produksi Bersih Padi 2025'!D384)</f>
        <v/>
      </c>
      <c r="E382" s="3" t="str">
        <f>IF('1.1 Produksi Bersih Padi 2025'!E384="","",'1.1 Produksi Bersih Padi 2025'!E384)</f>
        <v/>
      </c>
      <c r="F382" s="13" t="str">
        <f>'1.1 Produksi Bersih Padi 2025'!Q384</f>
        <v/>
      </c>
      <c r="G382" s="13" t="str">
        <f>'1.2 Produksi Bersih Jagung 2025'!L384</f>
        <v/>
      </c>
      <c r="H382" s="13" t="str">
        <f>'1.3 Prod Bersih Ubi Kayu 2025'!K384</f>
        <v/>
      </c>
      <c r="I382" s="13" t="str">
        <f>'1.4 Prod Bersih Ubi Jalar 2025'!K384</f>
        <v/>
      </c>
      <c r="J382" s="13" t="str">
        <f>'1.5 Prod Bersih Sagu 2025'!K384</f>
        <v/>
      </c>
      <c r="K382" s="13" t="str">
        <f>'1.6 Prod Bersih Pisang 2025'!K384</f>
        <v/>
      </c>
      <c r="L382" s="15">
        <f t="shared" si="15"/>
        <v>0</v>
      </c>
      <c r="M382" s="14" t="str">
        <f>IF(D382="","",VLOOKUP(D382,'[1]0.1 Produksi Pangan &amp; Penduduk'!$D$5:$AU$704,44,0))</f>
        <v/>
      </c>
      <c r="N382" s="26" t="str">
        <f t="shared" si="16"/>
        <v/>
      </c>
      <c r="O382" s="16"/>
      <c r="P382" s="25" t="str">
        <f t="shared" si="17"/>
        <v/>
      </c>
      <c r="Q382" s="8"/>
      <c r="R382" s="11"/>
    </row>
    <row r="383" spans="1:18" ht="15" x14ac:dyDescent="0.25">
      <c r="A383" s="3" t="str">
        <f>IF('1.1 Produksi Bersih Padi 2025'!A385="","",'1.1 Produksi Bersih Padi 2025'!A385)</f>
        <v/>
      </c>
      <c r="B383" s="32" t="str">
        <f>IF('1.1 Produksi Bersih Padi 2025'!B385="","",'1.1 Produksi Bersih Padi 2025'!B385)</f>
        <v/>
      </c>
      <c r="C383" s="32" t="str">
        <f>IF('1.1 Produksi Bersih Padi 2025'!C385="","",'1.1 Produksi Bersih Padi 2025'!C385)</f>
        <v/>
      </c>
      <c r="D383" s="3" t="str">
        <f>IF('1.1 Produksi Bersih Padi 2025'!D385="","",'1.1 Produksi Bersih Padi 2025'!D385)</f>
        <v/>
      </c>
      <c r="E383" s="3" t="str">
        <f>IF('1.1 Produksi Bersih Padi 2025'!E385="","",'1.1 Produksi Bersih Padi 2025'!E385)</f>
        <v/>
      </c>
      <c r="F383" s="13" t="str">
        <f>'1.1 Produksi Bersih Padi 2025'!Q385</f>
        <v/>
      </c>
      <c r="G383" s="13" t="str">
        <f>'1.2 Produksi Bersih Jagung 2025'!L385</f>
        <v/>
      </c>
      <c r="H383" s="13" t="str">
        <f>'1.3 Prod Bersih Ubi Kayu 2025'!K385</f>
        <v/>
      </c>
      <c r="I383" s="13" t="str">
        <f>'1.4 Prod Bersih Ubi Jalar 2025'!K385</f>
        <v/>
      </c>
      <c r="J383" s="13" t="str">
        <f>'1.5 Prod Bersih Sagu 2025'!K385</f>
        <v/>
      </c>
      <c r="K383" s="13" t="str">
        <f>'1.6 Prod Bersih Pisang 2025'!K385</f>
        <v/>
      </c>
      <c r="L383" s="15">
        <f t="shared" si="15"/>
        <v>0</v>
      </c>
      <c r="M383" s="14" t="str">
        <f>IF(D383="","",VLOOKUP(D383,'[1]0.1 Produksi Pangan &amp; Penduduk'!$D$5:$AU$704,44,0))</f>
        <v/>
      </c>
      <c r="N383" s="26" t="str">
        <f t="shared" si="16"/>
        <v/>
      </c>
      <c r="O383" s="16"/>
      <c r="P383" s="25" t="str">
        <f t="shared" si="17"/>
        <v/>
      </c>
      <c r="Q383" s="8"/>
      <c r="R383" s="11"/>
    </row>
    <row r="384" spans="1:18" ht="15" x14ac:dyDescent="0.25">
      <c r="A384" s="3" t="str">
        <f>IF('1.1 Produksi Bersih Padi 2025'!A386="","",'1.1 Produksi Bersih Padi 2025'!A386)</f>
        <v/>
      </c>
      <c r="B384" s="32" t="str">
        <f>IF('1.1 Produksi Bersih Padi 2025'!B386="","",'1.1 Produksi Bersih Padi 2025'!B386)</f>
        <v/>
      </c>
      <c r="C384" s="32" t="str">
        <f>IF('1.1 Produksi Bersih Padi 2025'!C386="","",'1.1 Produksi Bersih Padi 2025'!C386)</f>
        <v/>
      </c>
      <c r="D384" s="3" t="str">
        <f>IF('1.1 Produksi Bersih Padi 2025'!D386="","",'1.1 Produksi Bersih Padi 2025'!D386)</f>
        <v/>
      </c>
      <c r="E384" s="3" t="str">
        <f>IF('1.1 Produksi Bersih Padi 2025'!E386="","",'1.1 Produksi Bersih Padi 2025'!E386)</f>
        <v/>
      </c>
      <c r="F384" s="13" t="str">
        <f>'1.1 Produksi Bersih Padi 2025'!Q386</f>
        <v/>
      </c>
      <c r="G384" s="13" t="str">
        <f>'1.2 Produksi Bersih Jagung 2025'!L386</f>
        <v/>
      </c>
      <c r="H384" s="13" t="str">
        <f>'1.3 Prod Bersih Ubi Kayu 2025'!K386</f>
        <v/>
      </c>
      <c r="I384" s="13" t="str">
        <f>'1.4 Prod Bersih Ubi Jalar 2025'!K386</f>
        <v/>
      </c>
      <c r="J384" s="13" t="str">
        <f>'1.5 Prod Bersih Sagu 2025'!K386</f>
        <v/>
      </c>
      <c r="K384" s="13" t="str">
        <f>'1.6 Prod Bersih Pisang 2025'!K386</f>
        <v/>
      </c>
      <c r="L384" s="15">
        <f t="shared" si="15"/>
        <v>0</v>
      </c>
      <c r="M384" s="14" t="str">
        <f>IF(D384="","",VLOOKUP(D384,'[1]0.1 Produksi Pangan &amp; Penduduk'!$D$5:$AU$704,44,0))</f>
        <v/>
      </c>
      <c r="N384" s="26" t="str">
        <f t="shared" si="16"/>
        <v/>
      </c>
      <c r="O384" s="16"/>
      <c r="P384" s="25" t="str">
        <f t="shared" si="17"/>
        <v/>
      </c>
      <c r="Q384" s="8"/>
      <c r="R384" s="11"/>
    </row>
    <row r="385" spans="1:18" ht="15" x14ac:dyDescent="0.25">
      <c r="A385" s="3" t="str">
        <f>IF('1.1 Produksi Bersih Padi 2025'!A387="","",'1.1 Produksi Bersih Padi 2025'!A387)</f>
        <v/>
      </c>
      <c r="B385" s="32" t="str">
        <f>IF('1.1 Produksi Bersih Padi 2025'!B387="","",'1.1 Produksi Bersih Padi 2025'!B387)</f>
        <v/>
      </c>
      <c r="C385" s="32" t="str">
        <f>IF('1.1 Produksi Bersih Padi 2025'!C387="","",'1.1 Produksi Bersih Padi 2025'!C387)</f>
        <v/>
      </c>
      <c r="D385" s="3" t="str">
        <f>IF('1.1 Produksi Bersih Padi 2025'!D387="","",'1.1 Produksi Bersih Padi 2025'!D387)</f>
        <v/>
      </c>
      <c r="E385" s="3" t="str">
        <f>IF('1.1 Produksi Bersih Padi 2025'!E387="","",'1.1 Produksi Bersih Padi 2025'!E387)</f>
        <v/>
      </c>
      <c r="F385" s="13" t="str">
        <f>'1.1 Produksi Bersih Padi 2025'!Q387</f>
        <v/>
      </c>
      <c r="G385" s="13" t="str">
        <f>'1.2 Produksi Bersih Jagung 2025'!L387</f>
        <v/>
      </c>
      <c r="H385" s="13" t="str">
        <f>'1.3 Prod Bersih Ubi Kayu 2025'!K387</f>
        <v/>
      </c>
      <c r="I385" s="13" t="str">
        <f>'1.4 Prod Bersih Ubi Jalar 2025'!K387</f>
        <v/>
      </c>
      <c r="J385" s="13" t="str">
        <f>'1.5 Prod Bersih Sagu 2025'!K387</f>
        <v/>
      </c>
      <c r="K385" s="13" t="str">
        <f>'1.6 Prod Bersih Pisang 2025'!K387</f>
        <v/>
      </c>
      <c r="L385" s="15">
        <f t="shared" si="15"/>
        <v>0</v>
      </c>
      <c r="M385" s="14" t="str">
        <f>IF(D385="","",VLOOKUP(D385,'[1]0.1 Produksi Pangan &amp; Penduduk'!$D$5:$AU$704,44,0))</f>
        <v/>
      </c>
      <c r="N385" s="26" t="str">
        <f t="shared" si="16"/>
        <v/>
      </c>
      <c r="O385" s="16"/>
      <c r="P385" s="25" t="str">
        <f t="shared" si="17"/>
        <v/>
      </c>
      <c r="Q385" s="8"/>
      <c r="R385" s="11"/>
    </row>
    <row r="386" spans="1:18" ht="15" x14ac:dyDescent="0.25">
      <c r="A386" s="3" t="str">
        <f>IF('1.1 Produksi Bersih Padi 2025'!A388="","",'1.1 Produksi Bersih Padi 2025'!A388)</f>
        <v/>
      </c>
      <c r="B386" s="32" t="str">
        <f>IF('1.1 Produksi Bersih Padi 2025'!B388="","",'1.1 Produksi Bersih Padi 2025'!B388)</f>
        <v/>
      </c>
      <c r="C386" s="32" t="str">
        <f>IF('1.1 Produksi Bersih Padi 2025'!C388="","",'1.1 Produksi Bersih Padi 2025'!C388)</f>
        <v/>
      </c>
      <c r="D386" s="3" t="str">
        <f>IF('1.1 Produksi Bersih Padi 2025'!D388="","",'1.1 Produksi Bersih Padi 2025'!D388)</f>
        <v/>
      </c>
      <c r="E386" s="3" t="str">
        <f>IF('1.1 Produksi Bersih Padi 2025'!E388="","",'1.1 Produksi Bersih Padi 2025'!E388)</f>
        <v/>
      </c>
      <c r="F386" s="13" t="str">
        <f>'1.1 Produksi Bersih Padi 2025'!Q388</f>
        <v/>
      </c>
      <c r="G386" s="13" t="str">
        <f>'1.2 Produksi Bersih Jagung 2025'!L388</f>
        <v/>
      </c>
      <c r="H386" s="13" t="str">
        <f>'1.3 Prod Bersih Ubi Kayu 2025'!K388</f>
        <v/>
      </c>
      <c r="I386" s="13" t="str">
        <f>'1.4 Prod Bersih Ubi Jalar 2025'!K388</f>
        <v/>
      </c>
      <c r="J386" s="13" t="str">
        <f>'1.5 Prod Bersih Sagu 2025'!K388</f>
        <v/>
      </c>
      <c r="K386" s="13" t="str">
        <f>'1.6 Prod Bersih Pisang 2025'!K388</f>
        <v/>
      </c>
      <c r="L386" s="15">
        <f t="shared" si="15"/>
        <v>0</v>
      </c>
      <c r="M386" s="14" t="str">
        <f>IF(D386="","",VLOOKUP(D386,'[1]0.1 Produksi Pangan &amp; Penduduk'!$D$5:$AU$704,44,0))</f>
        <v/>
      </c>
      <c r="N386" s="26" t="str">
        <f t="shared" si="16"/>
        <v/>
      </c>
      <c r="O386" s="16"/>
      <c r="P386" s="25" t="str">
        <f t="shared" si="17"/>
        <v/>
      </c>
      <c r="Q386" s="8"/>
      <c r="R386" s="11"/>
    </row>
    <row r="387" spans="1:18" ht="15" x14ac:dyDescent="0.25">
      <c r="A387" s="3" t="str">
        <f>IF('1.1 Produksi Bersih Padi 2025'!A389="","",'1.1 Produksi Bersih Padi 2025'!A389)</f>
        <v/>
      </c>
      <c r="B387" s="32" t="str">
        <f>IF('1.1 Produksi Bersih Padi 2025'!B389="","",'1.1 Produksi Bersih Padi 2025'!B389)</f>
        <v/>
      </c>
      <c r="C387" s="32" t="str">
        <f>IF('1.1 Produksi Bersih Padi 2025'!C389="","",'1.1 Produksi Bersih Padi 2025'!C389)</f>
        <v/>
      </c>
      <c r="D387" s="3" t="str">
        <f>IF('1.1 Produksi Bersih Padi 2025'!D389="","",'1.1 Produksi Bersih Padi 2025'!D389)</f>
        <v/>
      </c>
      <c r="E387" s="3" t="str">
        <f>IF('1.1 Produksi Bersih Padi 2025'!E389="","",'1.1 Produksi Bersih Padi 2025'!E389)</f>
        <v/>
      </c>
      <c r="F387" s="13" t="str">
        <f>'1.1 Produksi Bersih Padi 2025'!Q389</f>
        <v/>
      </c>
      <c r="G387" s="13" t="str">
        <f>'1.2 Produksi Bersih Jagung 2025'!L389</f>
        <v/>
      </c>
      <c r="H387" s="13" t="str">
        <f>'1.3 Prod Bersih Ubi Kayu 2025'!K389</f>
        <v/>
      </c>
      <c r="I387" s="13" t="str">
        <f>'1.4 Prod Bersih Ubi Jalar 2025'!K389</f>
        <v/>
      </c>
      <c r="J387" s="13" t="str">
        <f>'1.5 Prod Bersih Sagu 2025'!K389</f>
        <v/>
      </c>
      <c r="K387" s="13" t="str">
        <f>'1.6 Prod Bersih Pisang 2025'!K389</f>
        <v/>
      </c>
      <c r="L387" s="15">
        <f t="shared" si="15"/>
        <v>0</v>
      </c>
      <c r="M387" s="14" t="str">
        <f>IF(D387="","",VLOOKUP(D387,'[1]0.1 Produksi Pangan &amp; Penduduk'!$D$5:$AU$704,44,0))</f>
        <v/>
      </c>
      <c r="N387" s="26" t="str">
        <f t="shared" si="16"/>
        <v/>
      </c>
      <c r="O387" s="16"/>
      <c r="P387" s="25" t="str">
        <f t="shared" si="17"/>
        <v/>
      </c>
      <c r="Q387" s="8"/>
      <c r="R387" s="11"/>
    </row>
    <row r="388" spans="1:18" ht="15" x14ac:dyDescent="0.25">
      <c r="A388" s="3" t="str">
        <f>IF('1.1 Produksi Bersih Padi 2025'!A390="","",'1.1 Produksi Bersih Padi 2025'!A390)</f>
        <v/>
      </c>
      <c r="B388" s="32" t="str">
        <f>IF('1.1 Produksi Bersih Padi 2025'!B390="","",'1.1 Produksi Bersih Padi 2025'!B390)</f>
        <v/>
      </c>
      <c r="C388" s="32" t="str">
        <f>IF('1.1 Produksi Bersih Padi 2025'!C390="","",'1.1 Produksi Bersih Padi 2025'!C390)</f>
        <v/>
      </c>
      <c r="D388" s="3" t="str">
        <f>IF('1.1 Produksi Bersih Padi 2025'!D390="","",'1.1 Produksi Bersih Padi 2025'!D390)</f>
        <v/>
      </c>
      <c r="E388" s="3" t="str">
        <f>IF('1.1 Produksi Bersih Padi 2025'!E390="","",'1.1 Produksi Bersih Padi 2025'!E390)</f>
        <v/>
      </c>
      <c r="F388" s="13" t="str">
        <f>'1.1 Produksi Bersih Padi 2025'!Q390</f>
        <v/>
      </c>
      <c r="G388" s="13" t="str">
        <f>'1.2 Produksi Bersih Jagung 2025'!L390</f>
        <v/>
      </c>
      <c r="H388" s="13" t="str">
        <f>'1.3 Prod Bersih Ubi Kayu 2025'!K390</f>
        <v/>
      </c>
      <c r="I388" s="13" t="str">
        <f>'1.4 Prod Bersih Ubi Jalar 2025'!K390</f>
        <v/>
      </c>
      <c r="J388" s="13" t="str">
        <f>'1.5 Prod Bersih Sagu 2025'!K390</f>
        <v/>
      </c>
      <c r="K388" s="13" t="str">
        <f>'1.6 Prod Bersih Pisang 2025'!K390</f>
        <v/>
      </c>
      <c r="L388" s="15">
        <f t="shared" ref="L388:L451" si="18">IFERROR(SUM(F388:K388),0)</f>
        <v>0</v>
      </c>
      <c r="M388" s="14" t="str">
        <f>IF(D388="","",VLOOKUP(D388,'[1]0.1 Produksi Pangan &amp; Penduduk'!$D$5:$AU$704,44,0))</f>
        <v/>
      </c>
      <c r="N388" s="26" t="str">
        <f t="shared" ref="N388:N451" si="19">IF(M388="","",IFERROR((L388*1000*1000/M388)/365,"-"))</f>
        <v/>
      </c>
      <c r="O388" s="16"/>
      <c r="P388" s="25" t="str">
        <f t="shared" ref="P388:P451" si="20">IF(N388="","",IFERROR(300/N388,"-"))</f>
        <v/>
      </c>
      <c r="Q388" s="8"/>
      <c r="R388" s="11"/>
    </row>
    <row r="389" spans="1:18" ht="15" x14ac:dyDescent="0.25">
      <c r="A389" s="3" t="str">
        <f>IF('1.1 Produksi Bersih Padi 2025'!A391="","",'1.1 Produksi Bersih Padi 2025'!A391)</f>
        <v/>
      </c>
      <c r="B389" s="32" t="str">
        <f>IF('1.1 Produksi Bersih Padi 2025'!B391="","",'1.1 Produksi Bersih Padi 2025'!B391)</f>
        <v/>
      </c>
      <c r="C389" s="32" t="str">
        <f>IF('1.1 Produksi Bersih Padi 2025'!C391="","",'1.1 Produksi Bersih Padi 2025'!C391)</f>
        <v/>
      </c>
      <c r="D389" s="3" t="str">
        <f>IF('1.1 Produksi Bersih Padi 2025'!D391="","",'1.1 Produksi Bersih Padi 2025'!D391)</f>
        <v/>
      </c>
      <c r="E389" s="3" t="str">
        <f>IF('1.1 Produksi Bersih Padi 2025'!E391="","",'1.1 Produksi Bersih Padi 2025'!E391)</f>
        <v/>
      </c>
      <c r="F389" s="13" t="str">
        <f>'1.1 Produksi Bersih Padi 2025'!Q391</f>
        <v/>
      </c>
      <c r="G389" s="13" t="str">
        <f>'1.2 Produksi Bersih Jagung 2025'!L391</f>
        <v/>
      </c>
      <c r="H389" s="13" t="str">
        <f>'1.3 Prod Bersih Ubi Kayu 2025'!K391</f>
        <v/>
      </c>
      <c r="I389" s="13" t="str">
        <f>'1.4 Prod Bersih Ubi Jalar 2025'!K391</f>
        <v/>
      </c>
      <c r="J389" s="13" t="str">
        <f>'1.5 Prod Bersih Sagu 2025'!K391</f>
        <v/>
      </c>
      <c r="K389" s="13" t="str">
        <f>'1.6 Prod Bersih Pisang 2025'!K391</f>
        <v/>
      </c>
      <c r="L389" s="15">
        <f t="shared" si="18"/>
        <v>0</v>
      </c>
      <c r="M389" s="14" t="str">
        <f>IF(D389="","",VLOOKUP(D389,'[1]0.1 Produksi Pangan &amp; Penduduk'!$D$5:$AU$704,44,0))</f>
        <v/>
      </c>
      <c r="N389" s="26" t="str">
        <f t="shared" si="19"/>
        <v/>
      </c>
      <c r="O389" s="16"/>
      <c r="P389" s="25" t="str">
        <f t="shared" si="20"/>
        <v/>
      </c>
      <c r="Q389" s="8"/>
      <c r="R389" s="11"/>
    </row>
    <row r="390" spans="1:18" ht="15" x14ac:dyDescent="0.25">
      <c r="A390" s="3" t="str">
        <f>IF('1.1 Produksi Bersih Padi 2025'!A392="","",'1.1 Produksi Bersih Padi 2025'!A392)</f>
        <v/>
      </c>
      <c r="B390" s="32" t="str">
        <f>IF('1.1 Produksi Bersih Padi 2025'!B392="","",'1.1 Produksi Bersih Padi 2025'!B392)</f>
        <v/>
      </c>
      <c r="C390" s="32" t="str">
        <f>IF('1.1 Produksi Bersih Padi 2025'!C392="","",'1.1 Produksi Bersih Padi 2025'!C392)</f>
        <v/>
      </c>
      <c r="D390" s="3" t="str">
        <f>IF('1.1 Produksi Bersih Padi 2025'!D392="","",'1.1 Produksi Bersih Padi 2025'!D392)</f>
        <v/>
      </c>
      <c r="E390" s="3" t="str">
        <f>IF('1.1 Produksi Bersih Padi 2025'!E392="","",'1.1 Produksi Bersih Padi 2025'!E392)</f>
        <v/>
      </c>
      <c r="F390" s="13" t="str">
        <f>'1.1 Produksi Bersih Padi 2025'!Q392</f>
        <v/>
      </c>
      <c r="G390" s="13" t="str">
        <f>'1.2 Produksi Bersih Jagung 2025'!L392</f>
        <v/>
      </c>
      <c r="H390" s="13" t="str">
        <f>'1.3 Prod Bersih Ubi Kayu 2025'!K392</f>
        <v/>
      </c>
      <c r="I390" s="13" t="str">
        <f>'1.4 Prod Bersih Ubi Jalar 2025'!K392</f>
        <v/>
      </c>
      <c r="J390" s="13" t="str">
        <f>'1.5 Prod Bersih Sagu 2025'!K392</f>
        <v/>
      </c>
      <c r="K390" s="13" t="str">
        <f>'1.6 Prod Bersih Pisang 2025'!K392</f>
        <v/>
      </c>
      <c r="L390" s="15">
        <f t="shared" si="18"/>
        <v>0</v>
      </c>
      <c r="M390" s="14" t="str">
        <f>IF(D390="","",VLOOKUP(D390,'[1]0.1 Produksi Pangan &amp; Penduduk'!$D$5:$AU$704,44,0))</f>
        <v/>
      </c>
      <c r="N390" s="26" t="str">
        <f t="shared" si="19"/>
        <v/>
      </c>
      <c r="O390" s="16"/>
      <c r="P390" s="25" t="str">
        <f t="shared" si="20"/>
        <v/>
      </c>
      <c r="Q390" s="8"/>
      <c r="R390" s="11"/>
    </row>
    <row r="391" spans="1:18" ht="15" x14ac:dyDescent="0.25">
      <c r="A391" s="3" t="str">
        <f>IF('1.1 Produksi Bersih Padi 2025'!A393="","",'1.1 Produksi Bersih Padi 2025'!A393)</f>
        <v/>
      </c>
      <c r="B391" s="32" t="str">
        <f>IF('1.1 Produksi Bersih Padi 2025'!B393="","",'1.1 Produksi Bersih Padi 2025'!B393)</f>
        <v/>
      </c>
      <c r="C391" s="32" t="str">
        <f>IF('1.1 Produksi Bersih Padi 2025'!C393="","",'1.1 Produksi Bersih Padi 2025'!C393)</f>
        <v/>
      </c>
      <c r="D391" s="3" t="str">
        <f>IF('1.1 Produksi Bersih Padi 2025'!D393="","",'1.1 Produksi Bersih Padi 2025'!D393)</f>
        <v/>
      </c>
      <c r="E391" s="3" t="str">
        <f>IF('1.1 Produksi Bersih Padi 2025'!E393="","",'1.1 Produksi Bersih Padi 2025'!E393)</f>
        <v/>
      </c>
      <c r="F391" s="13" t="str">
        <f>'1.1 Produksi Bersih Padi 2025'!Q393</f>
        <v/>
      </c>
      <c r="G391" s="13" t="str">
        <f>'1.2 Produksi Bersih Jagung 2025'!L393</f>
        <v/>
      </c>
      <c r="H391" s="13" t="str">
        <f>'1.3 Prod Bersih Ubi Kayu 2025'!K393</f>
        <v/>
      </c>
      <c r="I391" s="13" t="str">
        <f>'1.4 Prod Bersih Ubi Jalar 2025'!K393</f>
        <v/>
      </c>
      <c r="J391" s="13" t="str">
        <f>'1.5 Prod Bersih Sagu 2025'!K393</f>
        <v/>
      </c>
      <c r="K391" s="13" t="str">
        <f>'1.6 Prod Bersih Pisang 2025'!K393</f>
        <v/>
      </c>
      <c r="L391" s="15">
        <f t="shared" si="18"/>
        <v>0</v>
      </c>
      <c r="M391" s="14" t="str">
        <f>IF(D391="","",VLOOKUP(D391,'[1]0.1 Produksi Pangan &amp; Penduduk'!$D$5:$AU$704,44,0))</f>
        <v/>
      </c>
      <c r="N391" s="26" t="str">
        <f t="shared" si="19"/>
        <v/>
      </c>
      <c r="O391" s="16"/>
      <c r="P391" s="25" t="str">
        <f t="shared" si="20"/>
        <v/>
      </c>
      <c r="Q391" s="8"/>
      <c r="R391" s="11"/>
    </row>
    <row r="392" spans="1:18" ht="15" x14ac:dyDescent="0.25">
      <c r="A392" s="3" t="str">
        <f>IF('1.1 Produksi Bersih Padi 2025'!A394="","",'1.1 Produksi Bersih Padi 2025'!A394)</f>
        <v/>
      </c>
      <c r="B392" s="32" t="str">
        <f>IF('1.1 Produksi Bersih Padi 2025'!B394="","",'1.1 Produksi Bersih Padi 2025'!B394)</f>
        <v/>
      </c>
      <c r="C392" s="32" t="str">
        <f>IF('1.1 Produksi Bersih Padi 2025'!C394="","",'1.1 Produksi Bersih Padi 2025'!C394)</f>
        <v/>
      </c>
      <c r="D392" s="3" t="str">
        <f>IF('1.1 Produksi Bersih Padi 2025'!D394="","",'1.1 Produksi Bersih Padi 2025'!D394)</f>
        <v/>
      </c>
      <c r="E392" s="3" t="str">
        <f>IF('1.1 Produksi Bersih Padi 2025'!E394="","",'1.1 Produksi Bersih Padi 2025'!E394)</f>
        <v/>
      </c>
      <c r="F392" s="13" t="str">
        <f>'1.1 Produksi Bersih Padi 2025'!Q394</f>
        <v/>
      </c>
      <c r="G392" s="13" t="str">
        <f>'1.2 Produksi Bersih Jagung 2025'!L394</f>
        <v/>
      </c>
      <c r="H392" s="13" t="str">
        <f>'1.3 Prod Bersih Ubi Kayu 2025'!K394</f>
        <v/>
      </c>
      <c r="I392" s="13" t="str">
        <f>'1.4 Prod Bersih Ubi Jalar 2025'!K394</f>
        <v/>
      </c>
      <c r="J392" s="13" t="str">
        <f>'1.5 Prod Bersih Sagu 2025'!K394</f>
        <v/>
      </c>
      <c r="K392" s="13" t="str">
        <f>'1.6 Prod Bersih Pisang 2025'!K394</f>
        <v/>
      </c>
      <c r="L392" s="15">
        <f t="shared" si="18"/>
        <v>0</v>
      </c>
      <c r="M392" s="14" t="str">
        <f>IF(D392="","",VLOOKUP(D392,'[1]0.1 Produksi Pangan &amp; Penduduk'!$D$5:$AU$704,44,0))</f>
        <v/>
      </c>
      <c r="N392" s="26" t="str">
        <f t="shared" si="19"/>
        <v/>
      </c>
      <c r="O392" s="16"/>
      <c r="P392" s="25" t="str">
        <f t="shared" si="20"/>
        <v/>
      </c>
      <c r="Q392" s="8"/>
      <c r="R392" s="11"/>
    </row>
    <row r="393" spans="1:18" ht="15" x14ac:dyDescent="0.25">
      <c r="A393" s="3" t="str">
        <f>IF('1.1 Produksi Bersih Padi 2025'!A395="","",'1.1 Produksi Bersih Padi 2025'!A395)</f>
        <v/>
      </c>
      <c r="B393" s="32" t="str">
        <f>IF('1.1 Produksi Bersih Padi 2025'!B395="","",'1.1 Produksi Bersih Padi 2025'!B395)</f>
        <v/>
      </c>
      <c r="C393" s="32" t="str">
        <f>IF('1.1 Produksi Bersih Padi 2025'!C395="","",'1.1 Produksi Bersih Padi 2025'!C395)</f>
        <v/>
      </c>
      <c r="D393" s="3" t="str">
        <f>IF('1.1 Produksi Bersih Padi 2025'!D395="","",'1.1 Produksi Bersih Padi 2025'!D395)</f>
        <v/>
      </c>
      <c r="E393" s="3" t="str">
        <f>IF('1.1 Produksi Bersih Padi 2025'!E395="","",'1.1 Produksi Bersih Padi 2025'!E395)</f>
        <v/>
      </c>
      <c r="F393" s="13" t="str">
        <f>'1.1 Produksi Bersih Padi 2025'!Q395</f>
        <v/>
      </c>
      <c r="G393" s="13" t="str">
        <f>'1.2 Produksi Bersih Jagung 2025'!L395</f>
        <v/>
      </c>
      <c r="H393" s="13" t="str">
        <f>'1.3 Prod Bersih Ubi Kayu 2025'!K395</f>
        <v/>
      </c>
      <c r="I393" s="13" t="str">
        <f>'1.4 Prod Bersih Ubi Jalar 2025'!K395</f>
        <v/>
      </c>
      <c r="J393" s="13" t="str">
        <f>'1.5 Prod Bersih Sagu 2025'!K395</f>
        <v/>
      </c>
      <c r="K393" s="13" t="str">
        <f>'1.6 Prod Bersih Pisang 2025'!K395</f>
        <v/>
      </c>
      <c r="L393" s="15">
        <f t="shared" si="18"/>
        <v>0</v>
      </c>
      <c r="M393" s="14" t="str">
        <f>IF(D393="","",VLOOKUP(D393,'[1]0.1 Produksi Pangan &amp; Penduduk'!$D$5:$AU$704,44,0))</f>
        <v/>
      </c>
      <c r="N393" s="26" t="str">
        <f t="shared" si="19"/>
        <v/>
      </c>
      <c r="O393" s="16"/>
      <c r="P393" s="25" t="str">
        <f t="shared" si="20"/>
        <v/>
      </c>
      <c r="Q393" s="8"/>
      <c r="R393" s="11"/>
    </row>
    <row r="394" spans="1:18" ht="15" x14ac:dyDescent="0.25">
      <c r="A394" s="3" t="str">
        <f>IF('1.1 Produksi Bersih Padi 2025'!A396="","",'1.1 Produksi Bersih Padi 2025'!A396)</f>
        <v/>
      </c>
      <c r="B394" s="32" t="str">
        <f>IF('1.1 Produksi Bersih Padi 2025'!B396="","",'1.1 Produksi Bersih Padi 2025'!B396)</f>
        <v/>
      </c>
      <c r="C394" s="32" t="str">
        <f>IF('1.1 Produksi Bersih Padi 2025'!C396="","",'1.1 Produksi Bersih Padi 2025'!C396)</f>
        <v/>
      </c>
      <c r="D394" s="3" t="str">
        <f>IF('1.1 Produksi Bersih Padi 2025'!D396="","",'1.1 Produksi Bersih Padi 2025'!D396)</f>
        <v/>
      </c>
      <c r="E394" s="3" t="str">
        <f>IF('1.1 Produksi Bersih Padi 2025'!E396="","",'1.1 Produksi Bersih Padi 2025'!E396)</f>
        <v/>
      </c>
      <c r="F394" s="13" t="str">
        <f>'1.1 Produksi Bersih Padi 2025'!Q396</f>
        <v/>
      </c>
      <c r="G394" s="13" t="str">
        <f>'1.2 Produksi Bersih Jagung 2025'!L396</f>
        <v/>
      </c>
      <c r="H394" s="13" t="str">
        <f>'1.3 Prod Bersih Ubi Kayu 2025'!K396</f>
        <v/>
      </c>
      <c r="I394" s="13" t="str">
        <f>'1.4 Prod Bersih Ubi Jalar 2025'!K396</f>
        <v/>
      </c>
      <c r="J394" s="13" t="str">
        <f>'1.5 Prod Bersih Sagu 2025'!K396</f>
        <v/>
      </c>
      <c r="K394" s="13" t="str">
        <f>'1.6 Prod Bersih Pisang 2025'!K396</f>
        <v/>
      </c>
      <c r="L394" s="15">
        <f t="shared" si="18"/>
        <v>0</v>
      </c>
      <c r="M394" s="14" t="str">
        <f>IF(D394="","",VLOOKUP(D394,'[1]0.1 Produksi Pangan &amp; Penduduk'!$D$5:$AU$704,44,0))</f>
        <v/>
      </c>
      <c r="N394" s="26" t="str">
        <f t="shared" si="19"/>
        <v/>
      </c>
      <c r="O394" s="16"/>
      <c r="P394" s="25" t="str">
        <f t="shared" si="20"/>
        <v/>
      </c>
      <c r="Q394" s="8"/>
      <c r="R394" s="11"/>
    </row>
    <row r="395" spans="1:18" ht="15" x14ac:dyDescent="0.25">
      <c r="A395" s="3" t="str">
        <f>IF('1.1 Produksi Bersih Padi 2025'!A397="","",'1.1 Produksi Bersih Padi 2025'!A397)</f>
        <v/>
      </c>
      <c r="B395" s="32" t="str">
        <f>IF('1.1 Produksi Bersih Padi 2025'!B397="","",'1.1 Produksi Bersih Padi 2025'!B397)</f>
        <v/>
      </c>
      <c r="C395" s="32" t="str">
        <f>IF('1.1 Produksi Bersih Padi 2025'!C397="","",'1.1 Produksi Bersih Padi 2025'!C397)</f>
        <v/>
      </c>
      <c r="D395" s="3" t="str">
        <f>IF('1.1 Produksi Bersih Padi 2025'!D397="","",'1.1 Produksi Bersih Padi 2025'!D397)</f>
        <v/>
      </c>
      <c r="E395" s="3" t="str">
        <f>IF('1.1 Produksi Bersih Padi 2025'!E397="","",'1.1 Produksi Bersih Padi 2025'!E397)</f>
        <v/>
      </c>
      <c r="F395" s="13" t="str">
        <f>'1.1 Produksi Bersih Padi 2025'!Q397</f>
        <v/>
      </c>
      <c r="G395" s="13" t="str">
        <f>'1.2 Produksi Bersih Jagung 2025'!L397</f>
        <v/>
      </c>
      <c r="H395" s="13" t="str">
        <f>'1.3 Prod Bersih Ubi Kayu 2025'!K397</f>
        <v/>
      </c>
      <c r="I395" s="13" t="str">
        <f>'1.4 Prod Bersih Ubi Jalar 2025'!K397</f>
        <v/>
      </c>
      <c r="J395" s="13" t="str">
        <f>'1.5 Prod Bersih Sagu 2025'!K397</f>
        <v/>
      </c>
      <c r="K395" s="13" t="str">
        <f>'1.6 Prod Bersih Pisang 2025'!K397</f>
        <v/>
      </c>
      <c r="L395" s="15">
        <f t="shared" si="18"/>
        <v>0</v>
      </c>
      <c r="M395" s="14" t="str">
        <f>IF(D395="","",VLOOKUP(D395,'[1]0.1 Produksi Pangan &amp; Penduduk'!$D$5:$AU$704,44,0))</f>
        <v/>
      </c>
      <c r="N395" s="26" t="str">
        <f t="shared" si="19"/>
        <v/>
      </c>
      <c r="O395" s="16"/>
      <c r="P395" s="25" t="str">
        <f t="shared" si="20"/>
        <v/>
      </c>
      <c r="Q395" s="8"/>
      <c r="R395" s="11"/>
    </row>
    <row r="396" spans="1:18" ht="15" x14ac:dyDescent="0.25">
      <c r="A396" s="3" t="str">
        <f>IF('1.1 Produksi Bersih Padi 2025'!A398="","",'1.1 Produksi Bersih Padi 2025'!A398)</f>
        <v/>
      </c>
      <c r="B396" s="32" t="str">
        <f>IF('1.1 Produksi Bersih Padi 2025'!B398="","",'1.1 Produksi Bersih Padi 2025'!B398)</f>
        <v/>
      </c>
      <c r="C396" s="32" t="str">
        <f>IF('1.1 Produksi Bersih Padi 2025'!C398="","",'1.1 Produksi Bersih Padi 2025'!C398)</f>
        <v/>
      </c>
      <c r="D396" s="3" t="str">
        <f>IF('1.1 Produksi Bersih Padi 2025'!D398="","",'1.1 Produksi Bersih Padi 2025'!D398)</f>
        <v/>
      </c>
      <c r="E396" s="3" t="str">
        <f>IF('1.1 Produksi Bersih Padi 2025'!E398="","",'1.1 Produksi Bersih Padi 2025'!E398)</f>
        <v/>
      </c>
      <c r="F396" s="13" t="str">
        <f>'1.1 Produksi Bersih Padi 2025'!Q398</f>
        <v/>
      </c>
      <c r="G396" s="13" t="str">
        <f>'1.2 Produksi Bersih Jagung 2025'!L398</f>
        <v/>
      </c>
      <c r="H396" s="13" t="str">
        <f>'1.3 Prod Bersih Ubi Kayu 2025'!K398</f>
        <v/>
      </c>
      <c r="I396" s="13" t="str">
        <f>'1.4 Prod Bersih Ubi Jalar 2025'!K398</f>
        <v/>
      </c>
      <c r="J396" s="13" t="str">
        <f>'1.5 Prod Bersih Sagu 2025'!K398</f>
        <v/>
      </c>
      <c r="K396" s="13" t="str">
        <f>'1.6 Prod Bersih Pisang 2025'!K398</f>
        <v/>
      </c>
      <c r="L396" s="15">
        <f t="shared" si="18"/>
        <v>0</v>
      </c>
      <c r="M396" s="14" t="str">
        <f>IF(D396="","",VLOOKUP(D396,'[1]0.1 Produksi Pangan &amp; Penduduk'!$D$5:$AU$704,44,0))</f>
        <v/>
      </c>
      <c r="N396" s="26" t="str">
        <f t="shared" si="19"/>
        <v/>
      </c>
      <c r="O396" s="16"/>
      <c r="P396" s="25" t="str">
        <f t="shared" si="20"/>
        <v/>
      </c>
      <c r="Q396" s="8"/>
      <c r="R396" s="11"/>
    </row>
    <row r="397" spans="1:18" ht="15" x14ac:dyDescent="0.25">
      <c r="A397" s="3" t="str">
        <f>IF('1.1 Produksi Bersih Padi 2025'!A399="","",'1.1 Produksi Bersih Padi 2025'!A399)</f>
        <v/>
      </c>
      <c r="B397" s="32" t="str">
        <f>IF('1.1 Produksi Bersih Padi 2025'!B399="","",'1.1 Produksi Bersih Padi 2025'!B399)</f>
        <v/>
      </c>
      <c r="C397" s="32" t="str">
        <f>IF('1.1 Produksi Bersih Padi 2025'!C399="","",'1.1 Produksi Bersih Padi 2025'!C399)</f>
        <v/>
      </c>
      <c r="D397" s="3" t="str">
        <f>IF('1.1 Produksi Bersih Padi 2025'!D399="","",'1.1 Produksi Bersih Padi 2025'!D399)</f>
        <v/>
      </c>
      <c r="E397" s="3" t="str">
        <f>IF('1.1 Produksi Bersih Padi 2025'!E399="","",'1.1 Produksi Bersih Padi 2025'!E399)</f>
        <v/>
      </c>
      <c r="F397" s="13" t="str">
        <f>'1.1 Produksi Bersih Padi 2025'!Q399</f>
        <v/>
      </c>
      <c r="G397" s="13" t="str">
        <f>'1.2 Produksi Bersih Jagung 2025'!L399</f>
        <v/>
      </c>
      <c r="H397" s="13" t="str">
        <f>'1.3 Prod Bersih Ubi Kayu 2025'!K399</f>
        <v/>
      </c>
      <c r="I397" s="13" t="str">
        <f>'1.4 Prod Bersih Ubi Jalar 2025'!K399</f>
        <v/>
      </c>
      <c r="J397" s="13" t="str">
        <f>'1.5 Prod Bersih Sagu 2025'!K399</f>
        <v/>
      </c>
      <c r="K397" s="13" t="str">
        <f>'1.6 Prod Bersih Pisang 2025'!K399</f>
        <v/>
      </c>
      <c r="L397" s="15">
        <f t="shared" si="18"/>
        <v>0</v>
      </c>
      <c r="M397" s="14" t="str">
        <f>IF(D397="","",VLOOKUP(D397,'[1]0.1 Produksi Pangan &amp; Penduduk'!$D$5:$AU$704,44,0))</f>
        <v/>
      </c>
      <c r="N397" s="26" t="str">
        <f t="shared" si="19"/>
        <v/>
      </c>
      <c r="O397" s="16"/>
      <c r="P397" s="25" t="str">
        <f t="shared" si="20"/>
        <v/>
      </c>
      <c r="Q397" s="8"/>
      <c r="R397" s="11"/>
    </row>
    <row r="398" spans="1:18" ht="15" x14ac:dyDescent="0.25">
      <c r="A398" s="3" t="str">
        <f>IF('1.1 Produksi Bersih Padi 2025'!A400="","",'1.1 Produksi Bersih Padi 2025'!A400)</f>
        <v/>
      </c>
      <c r="B398" s="32" t="str">
        <f>IF('1.1 Produksi Bersih Padi 2025'!B400="","",'1.1 Produksi Bersih Padi 2025'!B400)</f>
        <v/>
      </c>
      <c r="C398" s="32" t="str">
        <f>IF('1.1 Produksi Bersih Padi 2025'!C400="","",'1.1 Produksi Bersih Padi 2025'!C400)</f>
        <v/>
      </c>
      <c r="D398" s="3" t="str">
        <f>IF('1.1 Produksi Bersih Padi 2025'!D400="","",'1.1 Produksi Bersih Padi 2025'!D400)</f>
        <v/>
      </c>
      <c r="E398" s="3" t="str">
        <f>IF('1.1 Produksi Bersih Padi 2025'!E400="","",'1.1 Produksi Bersih Padi 2025'!E400)</f>
        <v/>
      </c>
      <c r="F398" s="13" t="str">
        <f>'1.1 Produksi Bersih Padi 2025'!Q400</f>
        <v/>
      </c>
      <c r="G398" s="13" t="str">
        <f>'1.2 Produksi Bersih Jagung 2025'!L400</f>
        <v/>
      </c>
      <c r="H398" s="13" t="str">
        <f>'1.3 Prod Bersih Ubi Kayu 2025'!K400</f>
        <v/>
      </c>
      <c r="I398" s="13" t="str">
        <f>'1.4 Prod Bersih Ubi Jalar 2025'!K400</f>
        <v/>
      </c>
      <c r="J398" s="13" t="str">
        <f>'1.5 Prod Bersih Sagu 2025'!K400</f>
        <v/>
      </c>
      <c r="K398" s="13" t="str">
        <f>'1.6 Prod Bersih Pisang 2025'!K400</f>
        <v/>
      </c>
      <c r="L398" s="15">
        <f t="shared" si="18"/>
        <v>0</v>
      </c>
      <c r="M398" s="14" t="str">
        <f>IF(D398="","",VLOOKUP(D398,'[1]0.1 Produksi Pangan &amp; Penduduk'!$D$5:$AU$704,44,0))</f>
        <v/>
      </c>
      <c r="N398" s="26" t="str">
        <f t="shared" si="19"/>
        <v/>
      </c>
      <c r="O398" s="16"/>
      <c r="P398" s="25" t="str">
        <f t="shared" si="20"/>
        <v/>
      </c>
      <c r="Q398" s="8"/>
      <c r="R398" s="11"/>
    </row>
    <row r="399" spans="1:18" ht="15" x14ac:dyDescent="0.25">
      <c r="A399" s="3" t="str">
        <f>IF('1.1 Produksi Bersih Padi 2025'!A401="","",'1.1 Produksi Bersih Padi 2025'!A401)</f>
        <v/>
      </c>
      <c r="B399" s="32" t="str">
        <f>IF('1.1 Produksi Bersih Padi 2025'!B401="","",'1.1 Produksi Bersih Padi 2025'!B401)</f>
        <v/>
      </c>
      <c r="C399" s="32" t="str">
        <f>IF('1.1 Produksi Bersih Padi 2025'!C401="","",'1.1 Produksi Bersih Padi 2025'!C401)</f>
        <v/>
      </c>
      <c r="D399" s="3" t="str">
        <f>IF('1.1 Produksi Bersih Padi 2025'!D401="","",'1.1 Produksi Bersih Padi 2025'!D401)</f>
        <v/>
      </c>
      <c r="E399" s="3" t="str">
        <f>IF('1.1 Produksi Bersih Padi 2025'!E401="","",'1.1 Produksi Bersih Padi 2025'!E401)</f>
        <v/>
      </c>
      <c r="F399" s="13" t="str">
        <f>'1.1 Produksi Bersih Padi 2025'!Q401</f>
        <v/>
      </c>
      <c r="G399" s="13" t="str">
        <f>'1.2 Produksi Bersih Jagung 2025'!L401</f>
        <v/>
      </c>
      <c r="H399" s="13" t="str">
        <f>'1.3 Prod Bersih Ubi Kayu 2025'!K401</f>
        <v/>
      </c>
      <c r="I399" s="13" t="str">
        <f>'1.4 Prod Bersih Ubi Jalar 2025'!K401</f>
        <v/>
      </c>
      <c r="J399" s="13" t="str">
        <f>'1.5 Prod Bersih Sagu 2025'!K401</f>
        <v/>
      </c>
      <c r="K399" s="13" t="str">
        <f>'1.6 Prod Bersih Pisang 2025'!K401</f>
        <v/>
      </c>
      <c r="L399" s="15">
        <f t="shared" si="18"/>
        <v>0</v>
      </c>
      <c r="M399" s="14" t="str">
        <f>IF(D399="","",VLOOKUP(D399,'[1]0.1 Produksi Pangan &amp; Penduduk'!$D$5:$AU$704,44,0))</f>
        <v/>
      </c>
      <c r="N399" s="26" t="str">
        <f t="shared" si="19"/>
        <v/>
      </c>
      <c r="O399" s="16"/>
      <c r="P399" s="25" t="str">
        <f t="shared" si="20"/>
        <v/>
      </c>
      <c r="Q399" s="8"/>
      <c r="R399" s="11"/>
    </row>
    <row r="400" spans="1:18" ht="15" x14ac:dyDescent="0.25">
      <c r="A400" s="3" t="str">
        <f>IF('1.1 Produksi Bersih Padi 2025'!A402="","",'1.1 Produksi Bersih Padi 2025'!A402)</f>
        <v/>
      </c>
      <c r="B400" s="32" t="str">
        <f>IF('1.1 Produksi Bersih Padi 2025'!B402="","",'1.1 Produksi Bersih Padi 2025'!B402)</f>
        <v/>
      </c>
      <c r="C400" s="32" t="str">
        <f>IF('1.1 Produksi Bersih Padi 2025'!C402="","",'1.1 Produksi Bersih Padi 2025'!C402)</f>
        <v/>
      </c>
      <c r="D400" s="3" t="str">
        <f>IF('1.1 Produksi Bersih Padi 2025'!D402="","",'1.1 Produksi Bersih Padi 2025'!D402)</f>
        <v/>
      </c>
      <c r="E400" s="3" t="str">
        <f>IF('1.1 Produksi Bersih Padi 2025'!E402="","",'1.1 Produksi Bersih Padi 2025'!E402)</f>
        <v/>
      </c>
      <c r="F400" s="13" t="str">
        <f>'1.1 Produksi Bersih Padi 2025'!Q402</f>
        <v/>
      </c>
      <c r="G400" s="13" t="str">
        <f>'1.2 Produksi Bersih Jagung 2025'!L402</f>
        <v/>
      </c>
      <c r="H400" s="13" t="str">
        <f>'1.3 Prod Bersih Ubi Kayu 2025'!K402</f>
        <v/>
      </c>
      <c r="I400" s="13" t="str">
        <f>'1.4 Prod Bersih Ubi Jalar 2025'!K402</f>
        <v/>
      </c>
      <c r="J400" s="13" t="str">
        <f>'1.5 Prod Bersih Sagu 2025'!K402</f>
        <v/>
      </c>
      <c r="K400" s="13" t="str">
        <f>'1.6 Prod Bersih Pisang 2025'!K402</f>
        <v/>
      </c>
      <c r="L400" s="15">
        <f t="shared" si="18"/>
        <v>0</v>
      </c>
      <c r="M400" s="14" t="str">
        <f>IF(D400="","",VLOOKUP(D400,'[1]0.1 Produksi Pangan &amp; Penduduk'!$D$5:$AU$704,44,0))</f>
        <v/>
      </c>
      <c r="N400" s="26" t="str">
        <f t="shared" si="19"/>
        <v/>
      </c>
      <c r="O400" s="16"/>
      <c r="P400" s="25" t="str">
        <f t="shared" si="20"/>
        <v/>
      </c>
      <c r="Q400" s="8"/>
      <c r="R400" s="11"/>
    </row>
    <row r="401" spans="1:18" ht="15" x14ac:dyDescent="0.25">
      <c r="A401" s="3" t="str">
        <f>IF('1.1 Produksi Bersih Padi 2025'!A403="","",'1.1 Produksi Bersih Padi 2025'!A403)</f>
        <v/>
      </c>
      <c r="B401" s="32" t="str">
        <f>IF('1.1 Produksi Bersih Padi 2025'!B403="","",'1.1 Produksi Bersih Padi 2025'!B403)</f>
        <v/>
      </c>
      <c r="C401" s="32" t="str">
        <f>IF('1.1 Produksi Bersih Padi 2025'!C403="","",'1.1 Produksi Bersih Padi 2025'!C403)</f>
        <v/>
      </c>
      <c r="D401" s="3" t="str">
        <f>IF('1.1 Produksi Bersih Padi 2025'!D403="","",'1.1 Produksi Bersih Padi 2025'!D403)</f>
        <v/>
      </c>
      <c r="E401" s="3" t="str">
        <f>IF('1.1 Produksi Bersih Padi 2025'!E403="","",'1.1 Produksi Bersih Padi 2025'!E403)</f>
        <v/>
      </c>
      <c r="F401" s="13" t="str">
        <f>'1.1 Produksi Bersih Padi 2025'!Q403</f>
        <v/>
      </c>
      <c r="G401" s="13" t="str">
        <f>'1.2 Produksi Bersih Jagung 2025'!L403</f>
        <v/>
      </c>
      <c r="H401" s="13" t="str">
        <f>'1.3 Prod Bersih Ubi Kayu 2025'!K403</f>
        <v/>
      </c>
      <c r="I401" s="13" t="str">
        <f>'1.4 Prod Bersih Ubi Jalar 2025'!K403</f>
        <v/>
      </c>
      <c r="J401" s="13" t="str">
        <f>'1.5 Prod Bersih Sagu 2025'!K403</f>
        <v/>
      </c>
      <c r="K401" s="13" t="str">
        <f>'1.6 Prod Bersih Pisang 2025'!K403</f>
        <v/>
      </c>
      <c r="L401" s="15">
        <f t="shared" si="18"/>
        <v>0</v>
      </c>
      <c r="M401" s="14" t="str">
        <f>IF(D401="","",VLOOKUP(D401,'[1]0.1 Produksi Pangan &amp; Penduduk'!$D$5:$AU$704,44,0))</f>
        <v/>
      </c>
      <c r="N401" s="26" t="str">
        <f t="shared" si="19"/>
        <v/>
      </c>
      <c r="O401" s="16"/>
      <c r="P401" s="25" t="str">
        <f t="shared" si="20"/>
        <v/>
      </c>
      <c r="Q401" s="8"/>
      <c r="R401" s="11"/>
    </row>
    <row r="402" spans="1:18" ht="15" x14ac:dyDescent="0.25">
      <c r="A402" s="3" t="str">
        <f>IF('1.1 Produksi Bersih Padi 2025'!A404="","",'1.1 Produksi Bersih Padi 2025'!A404)</f>
        <v/>
      </c>
      <c r="B402" s="32" t="str">
        <f>IF('1.1 Produksi Bersih Padi 2025'!B404="","",'1.1 Produksi Bersih Padi 2025'!B404)</f>
        <v/>
      </c>
      <c r="C402" s="32" t="str">
        <f>IF('1.1 Produksi Bersih Padi 2025'!C404="","",'1.1 Produksi Bersih Padi 2025'!C404)</f>
        <v/>
      </c>
      <c r="D402" s="3" t="str">
        <f>IF('1.1 Produksi Bersih Padi 2025'!D404="","",'1.1 Produksi Bersih Padi 2025'!D404)</f>
        <v/>
      </c>
      <c r="E402" s="3" t="str">
        <f>IF('1.1 Produksi Bersih Padi 2025'!E404="","",'1.1 Produksi Bersih Padi 2025'!E404)</f>
        <v/>
      </c>
      <c r="F402" s="13" t="str">
        <f>'1.1 Produksi Bersih Padi 2025'!Q404</f>
        <v/>
      </c>
      <c r="G402" s="13" t="str">
        <f>'1.2 Produksi Bersih Jagung 2025'!L404</f>
        <v/>
      </c>
      <c r="H402" s="13" t="str">
        <f>'1.3 Prod Bersih Ubi Kayu 2025'!K404</f>
        <v/>
      </c>
      <c r="I402" s="13" t="str">
        <f>'1.4 Prod Bersih Ubi Jalar 2025'!K404</f>
        <v/>
      </c>
      <c r="J402" s="13" t="str">
        <f>'1.5 Prod Bersih Sagu 2025'!K404</f>
        <v/>
      </c>
      <c r="K402" s="13" t="str">
        <f>'1.6 Prod Bersih Pisang 2025'!K404</f>
        <v/>
      </c>
      <c r="L402" s="15">
        <f t="shared" si="18"/>
        <v>0</v>
      </c>
      <c r="M402" s="14" t="str">
        <f>IF(D402="","",VLOOKUP(D402,'[1]0.1 Produksi Pangan &amp; Penduduk'!$D$5:$AU$704,44,0))</f>
        <v/>
      </c>
      <c r="N402" s="26" t="str">
        <f t="shared" si="19"/>
        <v/>
      </c>
      <c r="O402" s="16"/>
      <c r="P402" s="25" t="str">
        <f t="shared" si="20"/>
        <v/>
      </c>
      <c r="Q402" s="8"/>
      <c r="R402" s="11"/>
    </row>
    <row r="403" spans="1:18" ht="15" x14ac:dyDescent="0.25">
      <c r="A403" s="3" t="str">
        <f>IF('1.1 Produksi Bersih Padi 2025'!A405="","",'1.1 Produksi Bersih Padi 2025'!A405)</f>
        <v/>
      </c>
      <c r="B403" s="32" t="str">
        <f>IF('1.1 Produksi Bersih Padi 2025'!B405="","",'1.1 Produksi Bersih Padi 2025'!B405)</f>
        <v/>
      </c>
      <c r="C403" s="32" t="str">
        <f>IF('1.1 Produksi Bersih Padi 2025'!C405="","",'1.1 Produksi Bersih Padi 2025'!C405)</f>
        <v/>
      </c>
      <c r="D403" s="3" t="str">
        <f>IF('1.1 Produksi Bersih Padi 2025'!D405="","",'1.1 Produksi Bersih Padi 2025'!D405)</f>
        <v/>
      </c>
      <c r="E403" s="3" t="str">
        <f>IF('1.1 Produksi Bersih Padi 2025'!E405="","",'1.1 Produksi Bersih Padi 2025'!E405)</f>
        <v/>
      </c>
      <c r="F403" s="13" t="str">
        <f>'1.1 Produksi Bersih Padi 2025'!Q405</f>
        <v/>
      </c>
      <c r="G403" s="13" t="str">
        <f>'1.2 Produksi Bersih Jagung 2025'!L405</f>
        <v/>
      </c>
      <c r="H403" s="13" t="str">
        <f>'1.3 Prod Bersih Ubi Kayu 2025'!K405</f>
        <v/>
      </c>
      <c r="I403" s="13" t="str">
        <f>'1.4 Prod Bersih Ubi Jalar 2025'!K405</f>
        <v/>
      </c>
      <c r="J403" s="13" t="str">
        <f>'1.5 Prod Bersih Sagu 2025'!K405</f>
        <v/>
      </c>
      <c r="K403" s="13" t="str">
        <f>'1.6 Prod Bersih Pisang 2025'!K405</f>
        <v/>
      </c>
      <c r="L403" s="15">
        <f t="shared" si="18"/>
        <v>0</v>
      </c>
      <c r="M403" s="14" t="str">
        <f>IF(D403="","",VLOOKUP(D403,'[1]0.1 Produksi Pangan &amp; Penduduk'!$D$5:$AU$704,44,0))</f>
        <v/>
      </c>
      <c r="N403" s="26" t="str">
        <f t="shared" si="19"/>
        <v/>
      </c>
      <c r="O403" s="16"/>
      <c r="P403" s="25" t="str">
        <f t="shared" si="20"/>
        <v/>
      </c>
      <c r="Q403" s="8"/>
      <c r="R403" s="11"/>
    </row>
    <row r="404" spans="1:18" ht="15" x14ac:dyDescent="0.25">
      <c r="A404" s="3" t="str">
        <f>IF('1.1 Produksi Bersih Padi 2025'!A406="","",'1.1 Produksi Bersih Padi 2025'!A406)</f>
        <v/>
      </c>
      <c r="B404" s="32" t="str">
        <f>IF('1.1 Produksi Bersih Padi 2025'!B406="","",'1.1 Produksi Bersih Padi 2025'!B406)</f>
        <v/>
      </c>
      <c r="C404" s="32" t="str">
        <f>IF('1.1 Produksi Bersih Padi 2025'!C406="","",'1.1 Produksi Bersih Padi 2025'!C406)</f>
        <v/>
      </c>
      <c r="D404" s="3" t="str">
        <f>IF('1.1 Produksi Bersih Padi 2025'!D406="","",'1.1 Produksi Bersih Padi 2025'!D406)</f>
        <v/>
      </c>
      <c r="E404" s="3" t="str">
        <f>IF('1.1 Produksi Bersih Padi 2025'!E406="","",'1.1 Produksi Bersih Padi 2025'!E406)</f>
        <v/>
      </c>
      <c r="F404" s="13" t="str">
        <f>'1.1 Produksi Bersih Padi 2025'!Q406</f>
        <v/>
      </c>
      <c r="G404" s="13" t="str">
        <f>'1.2 Produksi Bersih Jagung 2025'!L406</f>
        <v/>
      </c>
      <c r="H404" s="13" t="str">
        <f>'1.3 Prod Bersih Ubi Kayu 2025'!K406</f>
        <v/>
      </c>
      <c r="I404" s="13" t="str">
        <f>'1.4 Prod Bersih Ubi Jalar 2025'!K406</f>
        <v/>
      </c>
      <c r="J404" s="13" t="str">
        <f>'1.5 Prod Bersih Sagu 2025'!K406</f>
        <v/>
      </c>
      <c r="K404" s="13" t="str">
        <f>'1.6 Prod Bersih Pisang 2025'!K406</f>
        <v/>
      </c>
      <c r="L404" s="15">
        <f t="shared" si="18"/>
        <v>0</v>
      </c>
      <c r="M404" s="14" t="str">
        <f>IF(D404="","",VLOOKUP(D404,'[1]0.1 Produksi Pangan &amp; Penduduk'!$D$5:$AU$704,44,0))</f>
        <v/>
      </c>
      <c r="N404" s="26" t="str">
        <f t="shared" si="19"/>
        <v/>
      </c>
      <c r="O404" s="16"/>
      <c r="P404" s="25" t="str">
        <f t="shared" si="20"/>
        <v/>
      </c>
      <c r="Q404" s="8"/>
      <c r="R404" s="11"/>
    </row>
    <row r="405" spans="1:18" ht="15" x14ac:dyDescent="0.25">
      <c r="A405" s="3" t="str">
        <f>IF('1.1 Produksi Bersih Padi 2025'!A407="","",'1.1 Produksi Bersih Padi 2025'!A407)</f>
        <v/>
      </c>
      <c r="B405" s="32" t="str">
        <f>IF('1.1 Produksi Bersih Padi 2025'!B407="","",'1.1 Produksi Bersih Padi 2025'!B407)</f>
        <v/>
      </c>
      <c r="C405" s="32" t="str">
        <f>IF('1.1 Produksi Bersih Padi 2025'!C407="","",'1.1 Produksi Bersih Padi 2025'!C407)</f>
        <v/>
      </c>
      <c r="D405" s="3" t="str">
        <f>IF('1.1 Produksi Bersih Padi 2025'!D407="","",'1.1 Produksi Bersih Padi 2025'!D407)</f>
        <v/>
      </c>
      <c r="E405" s="3" t="str">
        <f>IF('1.1 Produksi Bersih Padi 2025'!E407="","",'1.1 Produksi Bersih Padi 2025'!E407)</f>
        <v/>
      </c>
      <c r="F405" s="13" t="str">
        <f>'1.1 Produksi Bersih Padi 2025'!Q407</f>
        <v/>
      </c>
      <c r="G405" s="13" t="str">
        <f>'1.2 Produksi Bersih Jagung 2025'!L407</f>
        <v/>
      </c>
      <c r="H405" s="13" t="str">
        <f>'1.3 Prod Bersih Ubi Kayu 2025'!K407</f>
        <v/>
      </c>
      <c r="I405" s="13" t="str">
        <f>'1.4 Prod Bersih Ubi Jalar 2025'!K407</f>
        <v/>
      </c>
      <c r="J405" s="13" t="str">
        <f>'1.5 Prod Bersih Sagu 2025'!K407</f>
        <v/>
      </c>
      <c r="K405" s="13" t="str">
        <f>'1.6 Prod Bersih Pisang 2025'!K407</f>
        <v/>
      </c>
      <c r="L405" s="15">
        <f t="shared" si="18"/>
        <v>0</v>
      </c>
      <c r="M405" s="14" t="str">
        <f>IF(D405="","",VLOOKUP(D405,'[1]0.1 Produksi Pangan &amp; Penduduk'!$D$5:$AU$704,44,0))</f>
        <v/>
      </c>
      <c r="N405" s="26" t="str">
        <f t="shared" si="19"/>
        <v/>
      </c>
      <c r="O405" s="16"/>
      <c r="P405" s="25" t="str">
        <f t="shared" si="20"/>
        <v/>
      </c>
      <c r="Q405" s="8"/>
      <c r="R405" s="11"/>
    </row>
    <row r="406" spans="1:18" ht="15" x14ac:dyDescent="0.25">
      <c r="A406" s="3" t="str">
        <f>IF('1.1 Produksi Bersih Padi 2025'!A408="","",'1.1 Produksi Bersih Padi 2025'!A408)</f>
        <v/>
      </c>
      <c r="B406" s="32" t="str">
        <f>IF('1.1 Produksi Bersih Padi 2025'!B408="","",'1.1 Produksi Bersih Padi 2025'!B408)</f>
        <v/>
      </c>
      <c r="C406" s="32" t="str">
        <f>IF('1.1 Produksi Bersih Padi 2025'!C408="","",'1.1 Produksi Bersih Padi 2025'!C408)</f>
        <v/>
      </c>
      <c r="D406" s="3" t="str">
        <f>IF('1.1 Produksi Bersih Padi 2025'!D408="","",'1.1 Produksi Bersih Padi 2025'!D408)</f>
        <v/>
      </c>
      <c r="E406" s="3" t="str">
        <f>IF('1.1 Produksi Bersih Padi 2025'!E408="","",'1.1 Produksi Bersih Padi 2025'!E408)</f>
        <v/>
      </c>
      <c r="F406" s="13" t="str">
        <f>'1.1 Produksi Bersih Padi 2025'!Q408</f>
        <v/>
      </c>
      <c r="G406" s="13" t="str">
        <f>'1.2 Produksi Bersih Jagung 2025'!L408</f>
        <v/>
      </c>
      <c r="H406" s="13" t="str">
        <f>'1.3 Prod Bersih Ubi Kayu 2025'!K408</f>
        <v/>
      </c>
      <c r="I406" s="13" t="str">
        <f>'1.4 Prod Bersih Ubi Jalar 2025'!K408</f>
        <v/>
      </c>
      <c r="J406" s="13" t="str">
        <f>'1.5 Prod Bersih Sagu 2025'!K408</f>
        <v/>
      </c>
      <c r="K406" s="13" t="str">
        <f>'1.6 Prod Bersih Pisang 2025'!K408</f>
        <v/>
      </c>
      <c r="L406" s="15">
        <f t="shared" si="18"/>
        <v>0</v>
      </c>
      <c r="M406" s="14" t="str">
        <f>IF(D406="","",VLOOKUP(D406,'[1]0.1 Produksi Pangan &amp; Penduduk'!$D$5:$AU$704,44,0))</f>
        <v/>
      </c>
      <c r="N406" s="26" t="str">
        <f t="shared" si="19"/>
        <v/>
      </c>
      <c r="O406" s="16"/>
      <c r="P406" s="25" t="str">
        <f t="shared" si="20"/>
        <v/>
      </c>
      <c r="Q406" s="8"/>
      <c r="R406" s="11"/>
    </row>
    <row r="407" spans="1:18" ht="15" x14ac:dyDescent="0.25">
      <c r="A407" s="3" t="str">
        <f>IF('1.1 Produksi Bersih Padi 2025'!A409="","",'1.1 Produksi Bersih Padi 2025'!A409)</f>
        <v/>
      </c>
      <c r="B407" s="32" t="str">
        <f>IF('1.1 Produksi Bersih Padi 2025'!B409="","",'1.1 Produksi Bersih Padi 2025'!B409)</f>
        <v/>
      </c>
      <c r="C407" s="32" t="str">
        <f>IF('1.1 Produksi Bersih Padi 2025'!C409="","",'1.1 Produksi Bersih Padi 2025'!C409)</f>
        <v/>
      </c>
      <c r="D407" s="3" t="str">
        <f>IF('1.1 Produksi Bersih Padi 2025'!D409="","",'1.1 Produksi Bersih Padi 2025'!D409)</f>
        <v/>
      </c>
      <c r="E407" s="3" t="str">
        <f>IF('1.1 Produksi Bersih Padi 2025'!E409="","",'1.1 Produksi Bersih Padi 2025'!E409)</f>
        <v/>
      </c>
      <c r="F407" s="13" t="str">
        <f>'1.1 Produksi Bersih Padi 2025'!Q409</f>
        <v/>
      </c>
      <c r="G407" s="13" t="str">
        <f>'1.2 Produksi Bersih Jagung 2025'!L409</f>
        <v/>
      </c>
      <c r="H407" s="13" t="str">
        <f>'1.3 Prod Bersih Ubi Kayu 2025'!K409</f>
        <v/>
      </c>
      <c r="I407" s="13" t="str">
        <f>'1.4 Prod Bersih Ubi Jalar 2025'!K409</f>
        <v/>
      </c>
      <c r="J407" s="13" t="str">
        <f>'1.5 Prod Bersih Sagu 2025'!K409</f>
        <v/>
      </c>
      <c r="K407" s="13" t="str">
        <f>'1.6 Prod Bersih Pisang 2025'!K409</f>
        <v/>
      </c>
      <c r="L407" s="15">
        <f t="shared" si="18"/>
        <v>0</v>
      </c>
      <c r="M407" s="14" t="str">
        <f>IF(D407="","",VLOOKUP(D407,'[1]0.1 Produksi Pangan &amp; Penduduk'!$D$5:$AU$704,44,0))</f>
        <v/>
      </c>
      <c r="N407" s="26" t="str">
        <f t="shared" si="19"/>
        <v/>
      </c>
      <c r="O407" s="16"/>
      <c r="P407" s="25" t="str">
        <f t="shared" si="20"/>
        <v/>
      </c>
      <c r="Q407" s="8"/>
      <c r="R407" s="11"/>
    </row>
    <row r="408" spans="1:18" ht="15" x14ac:dyDescent="0.25">
      <c r="A408" s="3" t="str">
        <f>IF('1.1 Produksi Bersih Padi 2025'!A410="","",'1.1 Produksi Bersih Padi 2025'!A410)</f>
        <v/>
      </c>
      <c r="B408" s="32" t="str">
        <f>IF('1.1 Produksi Bersih Padi 2025'!B410="","",'1.1 Produksi Bersih Padi 2025'!B410)</f>
        <v/>
      </c>
      <c r="C408" s="32" t="str">
        <f>IF('1.1 Produksi Bersih Padi 2025'!C410="","",'1.1 Produksi Bersih Padi 2025'!C410)</f>
        <v/>
      </c>
      <c r="D408" s="3" t="str">
        <f>IF('1.1 Produksi Bersih Padi 2025'!D410="","",'1.1 Produksi Bersih Padi 2025'!D410)</f>
        <v/>
      </c>
      <c r="E408" s="3" t="str">
        <f>IF('1.1 Produksi Bersih Padi 2025'!E410="","",'1.1 Produksi Bersih Padi 2025'!E410)</f>
        <v/>
      </c>
      <c r="F408" s="13" t="str">
        <f>'1.1 Produksi Bersih Padi 2025'!Q410</f>
        <v/>
      </c>
      <c r="G408" s="13" t="str">
        <f>'1.2 Produksi Bersih Jagung 2025'!L410</f>
        <v/>
      </c>
      <c r="H408" s="13" t="str">
        <f>'1.3 Prod Bersih Ubi Kayu 2025'!K410</f>
        <v/>
      </c>
      <c r="I408" s="13" t="str">
        <f>'1.4 Prod Bersih Ubi Jalar 2025'!K410</f>
        <v/>
      </c>
      <c r="J408" s="13" t="str">
        <f>'1.5 Prod Bersih Sagu 2025'!K410</f>
        <v/>
      </c>
      <c r="K408" s="13" t="str">
        <f>'1.6 Prod Bersih Pisang 2025'!K410</f>
        <v/>
      </c>
      <c r="L408" s="15">
        <f t="shared" si="18"/>
        <v>0</v>
      </c>
      <c r="M408" s="14" t="str">
        <f>IF(D408="","",VLOOKUP(D408,'[1]0.1 Produksi Pangan &amp; Penduduk'!$D$5:$AU$704,44,0))</f>
        <v/>
      </c>
      <c r="N408" s="26" t="str">
        <f t="shared" si="19"/>
        <v/>
      </c>
      <c r="O408" s="16"/>
      <c r="P408" s="25" t="str">
        <f t="shared" si="20"/>
        <v/>
      </c>
      <c r="Q408" s="8"/>
      <c r="R408" s="11"/>
    </row>
    <row r="409" spans="1:18" ht="15" x14ac:dyDescent="0.25">
      <c r="A409" s="3" t="str">
        <f>IF('1.1 Produksi Bersih Padi 2025'!A411="","",'1.1 Produksi Bersih Padi 2025'!A411)</f>
        <v/>
      </c>
      <c r="B409" s="32" t="str">
        <f>IF('1.1 Produksi Bersih Padi 2025'!B411="","",'1.1 Produksi Bersih Padi 2025'!B411)</f>
        <v/>
      </c>
      <c r="C409" s="32" t="str">
        <f>IF('1.1 Produksi Bersih Padi 2025'!C411="","",'1.1 Produksi Bersih Padi 2025'!C411)</f>
        <v/>
      </c>
      <c r="D409" s="3" t="str">
        <f>IF('1.1 Produksi Bersih Padi 2025'!D411="","",'1.1 Produksi Bersih Padi 2025'!D411)</f>
        <v/>
      </c>
      <c r="E409" s="3" t="str">
        <f>IF('1.1 Produksi Bersih Padi 2025'!E411="","",'1.1 Produksi Bersih Padi 2025'!E411)</f>
        <v/>
      </c>
      <c r="F409" s="13" t="str">
        <f>'1.1 Produksi Bersih Padi 2025'!Q411</f>
        <v/>
      </c>
      <c r="G409" s="13" t="str">
        <f>'1.2 Produksi Bersih Jagung 2025'!L411</f>
        <v/>
      </c>
      <c r="H409" s="13" t="str">
        <f>'1.3 Prod Bersih Ubi Kayu 2025'!K411</f>
        <v/>
      </c>
      <c r="I409" s="13" t="str">
        <f>'1.4 Prod Bersih Ubi Jalar 2025'!K411</f>
        <v/>
      </c>
      <c r="J409" s="13" t="str">
        <f>'1.5 Prod Bersih Sagu 2025'!K411</f>
        <v/>
      </c>
      <c r="K409" s="13" t="str">
        <f>'1.6 Prod Bersih Pisang 2025'!K411</f>
        <v/>
      </c>
      <c r="L409" s="15">
        <f t="shared" si="18"/>
        <v>0</v>
      </c>
      <c r="M409" s="14" t="str">
        <f>IF(D409="","",VLOOKUP(D409,'[1]0.1 Produksi Pangan &amp; Penduduk'!$D$5:$AU$704,44,0))</f>
        <v/>
      </c>
      <c r="N409" s="26" t="str">
        <f t="shared" si="19"/>
        <v/>
      </c>
      <c r="O409" s="16"/>
      <c r="P409" s="25" t="str">
        <f t="shared" si="20"/>
        <v/>
      </c>
      <c r="Q409" s="8"/>
      <c r="R409" s="11"/>
    </row>
    <row r="410" spans="1:18" ht="15" x14ac:dyDescent="0.25">
      <c r="A410" s="3" t="str">
        <f>IF('1.1 Produksi Bersih Padi 2025'!A412="","",'1.1 Produksi Bersih Padi 2025'!A412)</f>
        <v/>
      </c>
      <c r="B410" s="32" t="str">
        <f>IF('1.1 Produksi Bersih Padi 2025'!B412="","",'1.1 Produksi Bersih Padi 2025'!B412)</f>
        <v/>
      </c>
      <c r="C410" s="32" t="str">
        <f>IF('1.1 Produksi Bersih Padi 2025'!C412="","",'1.1 Produksi Bersih Padi 2025'!C412)</f>
        <v/>
      </c>
      <c r="D410" s="3" t="str">
        <f>IF('1.1 Produksi Bersih Padi 2025'!D412="","",'1.1 Produksi Bersih Padi 2025'!D412)</f>
        <v/>
      </c>
      <c r="E410" s="3" t="str">
        <f>IF('1.1 Produksi Bersih Padi 2025'!E412="","",'1.1 Produksi Bersih Padi 2025'!E412)</f>
        <v/>
      </c>
      <c r="F410" s="13" t="str">
        <f>'1.1 Produksi Bersih Padi 2025'!Q412</f>
        <v/>
      </c>
      <c r="G410" s="13" t="str">
        <f>'1.2 Produksi Bersih Jagung 2025'!L412</f>
        <v/>
      </c>
      <c r="H410" s="13" t="str">
        <f>'1.3 Prod Bersih Ubi Kayu 2025'!K412</f>
        <v/>
      </c>
      <c r="I410" s="13" t="str">
        <f>'1.4 Prod Bersih Ubi Jalar 2025'!K412</f>
        <v/>
      </c>
      <c r="J410" s="13" t="str">
        <f>'1.5 Prod Bersih Sagu 2025'!K412</f>
        <v/>
      </c>
      <c r="K410" s="13" t="str">
        <f>'1.6 Prod Bersih Pisang 2025'!K412</f>
        <v/>
      </c>
      <c r="L410" s="15">
        <f t="shared" si="18"/>
        <v>0</v>
      </c>
      <c r="M410" s="14" t="str">
        <f>IF(D410="","",VLOOKUP(D410,'[1]0.1 Produksi Pangan &amp; Penduduk'!$D$5:$AU$704,44,0))</f>
        <v/>
      </c>
      <c r="N410" s="26" t="str">
        <f t="shared" si="19"/>
        <v/>
      </c>
      <c r="O410" s="16"/>
      <c r="P410" s="25" t="str">
        <f t="shared" si="20"/>
        <v/>
      </c>
      <c r="Q410" s="8"/>
      <c r="R410" s="11"/>
    </row>
    <row r="411" spans="1:18" ht="15" x14ac:dyDescent="0.25">
      <c r="A411" s="3" t="str">
        <f>IF('1.1 Produksi Bersih Padi 2025'!A413="","",'1.1 Produksi Bersih Padi 2025'!A413)</f>
        <v/>
      </c>
      <c r="B411" s="32" t="str">
        <f>IF('1.1 Produksi Bersih Padi 2025'!B413="","",'1.1 Produksi Bersih Padi 2025'!B413)</f>
        <v/>
      </c>
      <c r="C411" s="32" t="str">
        <f>IF('1.1 Produksi Bersih Padi 2025'!C413="","",'1.1 Produksi Bersih Padi 2025'!C413)</f>
        <v/>
      </c>
      <c r="D411" s="3" t="str">
        <f>IF('1.1 Produksi Bersih Padi 2025'!D413="","",'1.1 Produksi Bersih Padi 2025'!D413)</f>
        <v/>
      </c>
      <c r="E411" s="3" t="str">
        <f>IF('1.1 Produksi Bersih Padi 2025'!E413="","",'1.1 Produksi Bersih Padi 2025'!E413)</f>
        <v/>
      </c>
      <c r="F411" s="13" t="str">
        <f>'1.1 Produksi Bersih Padi 2025'!Q413</f>
        <v/>
      </c>
      <c r="G411" s="13" t="str">
        <f>'1.2 Produksi Bersih Jagung 2025'!L413</f>
        <v/>
      </c>
      <c r="H411" s="13" t="str">
        <f>'1.3 Prod Bersih Ubi Kayu 2025'!K413</f>
        <v/>
      </c>
      <c r="I411" s="13" t="str">
        <f>'1.4 Prod Bersih Ubi Jalar 2025'!K413</f>
        <v/>
      </c>
      <c r="J411" s="13" t="str">
        <f>'1.5 Prod Bersih Sagu 2025'!K413</f>
        <v/>
      </c>
      <c r="K411" s="13" t="str">
        <f>'1.6 Prod Bersih Pisang 2025'!K413</f>
        <v/>
      </c>
      <c r="L411" s="15">
        <f t="shared" si="18"/>
        <v>0</v>
      </c>
      <c r="M411" s="14" t="str">
        <f>IF(D411="","",VLOOKUP(D411,'[1]0.1 Produksi Pangan &amp; Penduduk'!$D$5:$AU$704,44,0))</f>
        <v/>
      </c>
      <c r="N411" s="26" t="str">
        <f t="shared" si="19"/>
        <v/>
      </c>
      <c r="O411" s="16"/>
      <c r="P411" s="25" t="str">
        <f t="shared" si="20"/>
        <v/>
      </c>
      <c r="Q411" s="8"/>
      <c r="R411" s="11"/>
    </row>
    <row r="412" spans="1:18" ht="15" x14ac:dyDescent="0.25">
      <c r="A412" s="3" t="str">
        <f>IF('1.1 Produksi Bersih Padi 2025'!A414="","",'1.1 Produksi Bersih Padi 2025'!A414)</f>
        <v/>
      </c>
      <c r="B412" s="32" t="str">
        <f>IF('1.1 Produksi Bersih Padi 2025'!B414="","",'1.1 Produksi Bersih Padi 2025'!B414)</f>
        <v/>
      </c>
      <c r="C412" s="32" t="str">
        <f>IF('1.1 Produksi Bersih Padi 2025'!C414="","",'1.1 Produksi Bersih Padi 2025'!C414)</f>
        <v/>
      </c>
      <c r="D412" s="3" t="str">
        <f>IF('1.1 Produksi Bersih Padi 2025'!D414="","",'1.1 Produksi Bersih Padi 2025'!D414)</f>
        <v/>
      </c>
      <c r="E412" s="3" t="str">
        <f>IF('1.1 Produksi Bersih Padi 2025'!E414="","",'1.1 Produksi Bersih Padi 2025'!E414)</f>
        <v/>
      </c>
      <c r="F412" s="13" t="str">
        <f>'1.1 Produksi Bersih Padi 2025'!Q414</f>
        <v/>
      </c>
      <c r="G412" s="13" t="str">
        <f>'1.2 Produksi Bersih Jagung 2025'!L414</f>
        <v/>
      </c>
      <c r="H412" s="13" t="str">
        <f>'1.3 Prod Bersih Ubi Kayu 2025'!K414</f>
        <v/>
      </c>
      <c r="I412" s="13" t="str">
        <f>'1.4 Prod Bersih Ubi Jalar 2025'!K414</f>
        <v/>
      </c>
      <c r="J412" s="13" t="str">
        <f>'1.5 Prod Bersih Sagu 2025'!K414</f>
        <v/>
      </c>
      <c r="K412" s="13" t="str">
        <f>'1.6 Prod Bersih Pisang 2025'!K414</f>
        <v/>
      </c>
      <c r="L412" s="15">
        <f t="shared" si="18"/>
        <v>0</v>
      </c>
      <c r="M412" s="14" t="str">
        <f>IF(D412="","",VLOOKUP(D412,'[1]0.1 Produksi Pangan &amp; Penduduk'!$D$5:$AU$704,44,0))</f>
        <v/>
      </c>
      <c r="N412" s="26" t="str">
        <f t="shared" si="19"/>
        <v/>
      </c>
      <c r="O412" s="16"/>
      <c r="P412" s="25" t="str">
        <f t="shared" si="20"/>
        <v/>
      </c>
      <c r="Q412" s="8"/>
      <c r="R412" s="11"/>
    </row>
    <row r="413" spans="1:18" ht="15" x14ac:dyDescent="0.25">
      <c r="A413" s="3" t="str">
        <f>IF('1.1 Produksi Bersih Padi 2025'!A415="","",'1.1 Produksi Bersih Padi 2025'!A415)</f>
        <v/>
      </c>
      <c r="B413" s="32" t="str">
        <f>IF('1.1 Produksi Bersih Padi 2025'!B415="","",'1.1 Produksi Bersih Padi 2025'!B415)</f>
        <v/>
      </c>
      <c r="C413" s="32" t="str">
        <f>IF('1.1 Produksi Bersih Padi 2025'!C415="","",'1.1 Produksi Bersih Padi 2025'!C415)</f>
        <v/>
      </c>
      <c r="D413" s="3" t="str">
        <f>IF('1.1 Produksi Bersih Padi 2025'!D415="","",'1.1 Produksi Bersih Padi 2025'!D415)</f>
        <v/>
      </c>
      <c r="E413" s="3" t="str">
        <f>IF('1.1 Produksi Bersih Padi 2025'!E415="","",'1.1 Produksi Bersih Padi 2025'!E415)</f>
        <v/>
      </c>
      <c r="F413" s="13" t="str">
        <f>'1.1 Produksi Bersih Padi 2025'!Q415</f>
        <v/>
      </c>
      <c r="G413" s="13" t="str">
        <f>'1.2 Produksi Bersih Jagung 2025'!L415</f>
        <v/>
      </c>
      <c r="H413" s="13" t="str">
        <f>'1.3 Prod Bersih Ubi Kayu 2025'!K415</f>
        <v/>
      </c>
      <c r="I413" s="13" t="str">
        <f>'1.4 Prod Bersih Ubi Jalar 2025'!K415</f>
        <v/>
      </c>
      <c r="J413" s="13" t="str">
        <f>'1.5 Prod Bersih Sagu 2025'!K415</f>
        <v/>
      </c>
      <c r="K413" s="13" t="str">
        <f>'1.6 Prod Bersih Pisang 2025'!K415</f>
        <v/>
      </c>
      <c r="L413" s="15">
        <f t="shared" si="18"/>
        <v>0</v>
      </c>
      <c r="M413" s="14" t="str">
        <f>IF(D413="","",VLOOKUP(D413,'[1]0.1 Produksi Pangan &amp; Penduduk'!$D$5:$AU$704,44,0))</f>
        <v/>
      </c>
      <c r="N413" s="26" t="str">
        <f t="shared" si="19"/>
        <v/>
      </c>
      <c r="O413" s="16"/>
      <c r="P413" s="25" t="str">
        <f t="shared" si="20"/>
        <v/>
      </c>
      <c r="Q413" s="8"/>
      <c r="R413" s="11"/>
    </row>
    <row r="414" spans="1:18" ht="15" x14ac:dyDescent="0.25">
      <c r="A414" s="3" t="str">
        <f>IF('1.1 Produksi Bersih Padi 2025'!A416="","",'1.1 Produksi Bersih Padi 2025'!A416)</f>
        <v/>
      </c>
      <c r="B414" s="32" t="str">
        <f>IF('1.1 Produksi Bersih Padi 2025'!B416="","",'1.1 Produksi Bersih Padi 2025'!B416)</f>
        <v/>
      </c>
      <c r="C414" s="32" t="str">
        <f>IF('1.1 Produksi Bersih Padi 2025'!C416="","",'1.1 Produksi Bersih Padi 2025'!C416)</f>
        <v/>
      </c>
      <c r="D414" s="3" t="str">
        <f>IF('1.1 Produksi Bersih Padi 2025'!D416="","",'1.1 Produksi Bersih Padi 2025'!D416)</f>
        <v/>
      </c>
      <c r="E414" s="3" t="str">
        <f>IF('1.1 Produksi Bersih Padi 2025'!E416="","",'1.1 Produksi Bersih Padi 2025'!E416)</f>
        <v/>
      </c>
      <c r="F414" s="13" t="str">
        <f>'1.1 Produksi Bersih Padi 2025'!Q416</f>
        <v/>
      </c>
      <c r="G414" s="13" t="str">
        <f>'1.2 Produksi Bersih Jagung 2025'!L416</f>
        <v/>
      </c>
      <c r="H414" s="13" t="str">
        <f>'1.3 Prod Bersih Ubi Kayu 2025'!K416</f>
        <v/>
      </c>
      <c r="I414" s="13" t="str">
        <f>'1.4 Prod Bersih Ubi Jalar 2025'!K416</f>
        <v/>
      </c>
      <c r="J414" s="13" t="str">
        <f>'1.5 Prod Bersih Sagu 2025'!K416</f>
        <v/>
      </c>
      <c r="K414" s="13" t="str">
        <f>'1.6 Prod Bersih Pisang 2025'!K416</f>
        <v/>
      </c>
      <c r="L414" s="15">
        <f t="shared" si="18"/>
        <v>0</v>
      </c>
      <c r="M414" s="14" t="str">
        <f>IF(D414="","",VLOOKUP(D414,'[1]0.1 Produksi Pangan &amp; Penduduk'!$D$5:$AU$704,44,0))</f>
        <v/>
      </c>
      <c r="N414" s="26" t="str">
        <f t="shared" si="19"/>
        <v/>
      </c>
      <c r="O414" s="16"/>
      <c r="P414" s="25" t="str">
        <f t="shared" si="20"/>
        <v/>
      </c>
      <c r="Q414" s="8"/>
      <c r="R414" s="11"/>
    </row>
    <row r="415" spans="1:18" ht="15" x14ac:dyDescent="0.25">
      <c r="A415" s="3" t="str">
        <f>IF('1.1 Produksi Bersih Padi 2025'!A417="","",'1.1 Produksi Bersih Padi 2025'!A417)</f>
        <v/>
      </c>
      <c r="B415" s="32" t="str">
        <f>IF('1.1 Produksi Bersih Padi 2025'!B417="","",'1.1 Produksi Bersih Padi 2025'!B417)</f>
        <v/>
      </c>
      <c r="C415" s="32" t="str">
        <f>IF('1.1 Produksi Bersih Padi 2025'!C417="","",'1.1 Produksi Bersih Padi 2025'!C417)</f>
        <v/>
      </c>
      <c r="D415" s="3" t="str">
        <f>IF('1.1 Produksi Bersih Padi 2025'!D417="","",'1.1 Produksi Bersih Padi 2025'!D417)</f>
        <v/>
      </c>
      <c r="E415" s="3" t="str">
        <f>IF('1.1 Produksi Bersih Padi 2025'!E417="","",'1.1 Produksi Bersih Padi 2025'!E417)</f>
        <v/>
      </c>
      <c r="F415" s="13" t="str">
        <f>'1.1 Produksi Bersih Padi 2025'!Q417</f>
        <v/>
      </c>
      <c r="G415" s="13" t="str">
        <f>'1.2 Produksi Bersih Jagung 2025'!L417</f>
        <v/>
      </c>
      <c r="H415" s="13" t="str">
        <f>'1.3 Prod Bersih Ubi Kayu 2025'!K417</f>
        <v/>
      </c>
      <c r="I415" s="13" t="str">
        <f>'1.4 Prod Bersih Ubi Jalar 2025'!K417</f>
        <v/>
      </c>
      <c r="J415" s="13" t="str">
        <f>'1.5 Prod Bersih Sagu 2025'!K417</f>
        <v/>
      </c>
      <c r="K415" s="13" t="str">
        <f>'1.6 Prod Bersih Pisang 2025'!K417</f>
        <v/>
      </c>
      <c r="L415" s="15">
        <f t="shared" si="18"/>
        <v>0</v>
      </c>
      <c r="M415" s="14" t="str">
        <f>IF(D415="","",VLOOKUP(D415,'[1]0.1 Produksi Pangan &amp; Penduduk'!$D$5:$AU$704,44,0))</f>
        <v/>
      </c>
      <c r="N415" s="26" t="str">
        <f t="shared" si="19"/>
        <v/>
      </c>
      <c r="O415" s="16"/>
      <c r="P415" s="25" t="str">
        <f t="shared" si="20"/>
        <v/>
      </c>
      <c r="Q415" s="8"/>
      <c r="R415" s="11"/>
    </row>
    <row r="416" spans="1:18" ht="15" x14ac:dyDescent="0.25">
      <c r="A416" s="3" t="str">
        <f>IF('1.1 Produksi Bersih Padi 2025'!A418="","",'1.1 Produksi Bersih Padi 2025'!A418)</f>
        <v/>
      </c>
      <c r="B416" s="32" t="str">
        <f>IF('1.1 Produksi Bersih Padi 2025'!B418="","",'1.1 Produksi Bersih Padi 2025'!B418)</f>
        <v/>
      </c>
      <c r="C416" s="32" t="str">
        <f>IF('1.1 Produksi Bersih Padi 2025'!C418="","",'1.1 Produksi Bersih Padi 2025'!C418)</f>
        <v/>
      </c>
      <c r="D416" s="3" t="str">
        <f>IF('1.1 Produksi Bersih Padi 2025'!D418="","",'1.1 Produksi Bersih Padi 2025'!D418)</f>
        <v/>
      </c>
      <c r="E416" s="3" t="str">
        <f>IF('1.1 Produksi Bersih Padi 2025'!E418="","",'1.1 Produksi Bersih Padi 2025'!E418)</f>
        <v/>
      </c>
      <c r="F416" s="13" t="str">
        <f>'1.1 Produksi Bersih Padi 2025'!Q418</f>
        <v/>
      </c>
      <c r="G416" s="13" t="str">
        <f>'1.2 Produksi Bersih Jagung 2025'!L418</f>
        <v/>
      </c>
      <c r="H416" s="13" t="str">
        <f>'1.3 Prod Bersih Ubi Kayu 2025'!K418</f>
        <v/>
      </c>
      <c r="I416" s="13" t="str">
        <f>'1.4 Prod Bersih Ubi Jalar 2025'!K418</f>
        <v/>
      </c>
      <c r="J416" s="13" t="str">
        <f>'1.5 Prod Bersih Sagu 2025'!K418</f>
        <v/>
      </c>
      <c r="K416" s="13" t="str">
        <f>'1.6 Prod Bersih Pisang 2025'!K418</f>
        <v/>
      </c>
      <c r="L416" s="15">
        <f t="shared" si="18"/>
        <v>0</v>
      </c>
      <c r="M416" s="14" t="str">
        <f>IF(D416="","",VLOOKUP(D416,'[1]0.1 Produksi Pangan &amp; Penduduk'!$D$5:$AU$704,44,0))</f>
        <v/>
      </c>
      <c r="N416" s="26" t="str">
        <f t="shared" si="19"/>
        <v/>
      </c>
      <c r="O416" s="16"/>
      <c r="P416" s="25" t="str">
        <f t="shared" si="20"/>
        <v/>
      </c>
      <c r="Q416" s="8"/>
      <c r="R416" s="11"/>
    </row>
    <row r="417" spans="1:18" ht="15" x14ac:dyDescent="0.25">
      <c r="A417" s="3" t="str">
        <f>IF('1.1 Produksi Bersih Padi 2025'!A419="","",'1.1 Produksi Bersih Padi 2025'!A419)</f>
        <v/>
      </c>
      <c r="B417" s="32" t="str">
        <f>IF('1.1 Produksi Bersih Padi 2025'!B419="","",'1.1 Produksi Bersih Padi 2025'!B419)</f>
        <v/>
      </c>
      <c r="C417" s="32" t="str">
        <f>IF('1.1 Produksi Bersih Padi 2025'!C419="","",'1.1 Produksi Bersih Padi 2025'!C419)</f>
        <v/>
      </c>
      <c r="D417" s="3" t="str">
        <f>IF('1.1 Produksi Bersih Padi 2025'!D419="","",'1.1 Produksi Bersih Padi 2025'!D419)</f>
        <v/>
      </c>
      <c r="E417" s="3" t="str">
        <f>IF('1.1 Produksi Bersih Padi 2025'!E419="","",'1.1 Produksi Bersih Padi 2025'!E419)</f>
        <v/>
      </c>
      <c r="F417" s="13" t="str">
        <f>'1.1 Produksi Bersih Padi 2025'!Q419</f>
        <v/>
      </c>
      <c r="G417" s="13" t="str">
        <f>'1.2 Produksi Bersih Jagung 2025'!L419</f>
        <v/>
      </c>
      <c r="H417" s="13" t="str">
        <f>'1.3 Prod Bersih Ubi Kayu 2025'!K419</f>
        <v/>
      </c>
      <c r="I417" s="13" t="str">
        <f>'1.4 Prod Bersih Ubi Jalar 2025'!K419</f>
        <v/>
      </c>
      <c r="J417" s="13" t="str">
        <f>'1.5 Prod Bersih Sagu 2025'!K419</f>
        <v/>
      </c>
      <c r="K417" s="13" t="str">
        <f>'1.6 Prod Bersih Pisang 2025'!K419</f>
        <v/>
      </c>
      <c r="L417" s="15">
        <f t="shared" si="18"/>
        <v>0</v>
      </c>
      <c r="M417" s="14" t="str">
        <f>IF(D417="","",VLOOKUP(D417,'[1]0.1 Produksi Pangan &amp; Penduduk'!$D$5:$AU$704,44,0))</f>
        <v/>
      </c>
      <c r="N417" s="26" t="str">
        <f t="shared" si="19"/>
        <v/>
      </c>
      <c r="O417" s="16"/>
      <c r="P417" s="25" t="str">
        <f t="shared" si="20"/>
        <v/>
      </c>
      <c r="Q417" s="8"/>
      <c r="R417" s="11"/>
    </row>
    <row r="418" spans="1:18" ht="15" x14ac:dyDescent="0.25">
      <c r="A418" s="3" t="str">
        <f>IF('1.1 Produksi Bersih Padi 2025'!A420="","",'1.1 Produksi Bersih Padi 2025'!A420)</f>
        <v/>
      </c>
      <c r="B418" s="32" t="str">
        <f>IF('1.1 Produksi Bersih Padi 2025'!B420="","",'1.1 Produksi Bersih Padi 2025'!B420)</f>
        <v/>
      </c>
      <c r="C418" s="32" t="str">
        <f>IF('1.1 Produksi Bersih Padi 2025'!C420="","",'1.1 Produksi Bersih Padi 2025'!C420)</f>
        <v/>
      </c>
      <c r="D418" s="3" t="str">
        <f>IF('1.1 Produksi Bersih Padi 2025'!D420="","",'1.1 Produksi Bersih Padi 2025'!D420)</f>
        <v/>
      </c>
      <c r="E418" s="3" t="str">
        <f>IF('1.1 Produksi Bersih Padi 2025'!E420="","",'1.1 Produksi Bersih Padi 2025'!E420)</f>
        <v/>
      </c>
      <c r="F418" s="13" t="str">
        <f>'1.1 Produksi Bersih Padi 2025'!Q420</f>
        <v/>
      </c>
      <c r="G418" s="13" t="str">
        <f>'1.2 Produksi Bersih Jagung 2025'!L420</f>
        <v/>
      </c>
      <c r="H418" s="13" t="str">
        <f>'1.3 Prod Bersih Ubi Kayu 2025'!K420</f>
        <v/>
      </c>
      <c r="I418" s="13" t="str">
        <f>'1.4 Prod Bersih Ubi Jalar 2025'!K420</f>
        <v/>
      </c>
      <c r="J418" s="13" t="str">
        <f>'1.5 Prod Bersih Sagu 2025'!K420</f>
        <v/>
      </c>
      <c r="K418" s="13" t="str">
        <f>'1.6 Prod Bersih Pisang 2025'!K420</f>
        <v/>
      </c>
      <c r="L418" s="15">
        <f t="shared" si="18"/>
        <v>0</v>
      </c>
      <c r="M418" s="14" t="str">
        <f>IF(D418="","",VLOOKUP(D418,'[1]0.1 Produksi Pangan &amp; Penduduk'!$D$5:$AU$704,44,0))</f>
        <v/>
      </c>
      <c r="N418" s="26" t="str">
        <f t="shared" si="19"/>
        <v/>
      </c>
      <c r="O418" s="16"/>
      <c r="P418" s="25" t="str">
        <f t="shared" si="20"/>
        <v/>
      </c>
      <c r="Q418" s="8"/>
      <c r="R418" s="11"/>
    </row>
    <row r="419" spans="1:18" ht="15" x14ac:dyDescent="0.25">
      <c r="A419" s="3" t="str">
        <f>IF('1.1 Produksi Bersih Padi 2025'!A421="","",'1.1 Produksi Bersih Padi 2025'!A421)</f>
        <v/>
      </c>
      <c r="B419" s="32" t="str">
        <f>IF('1.1 Produksi Bersih Padi 2025'!B421="","",'1.1 Produksi Bersih Padi 2025'!B421)</f>
        <v/>
      </c>
      <c r="C419" s="32" t="str">
        <f>IF('1.1 Produksi Bersih Padi 2025'!C421="","",'1.1 Produksi Bersih Padi 2025'!C421)</f>
        <v/>
      </c>
      <c r="D419" s="3" t="str">
        <f>IF('1.1 Produksi Bersih Padi 2025'!D421="","",'1.1 Produksi Bersih Padi 2025'!D421)</f>
        <v/>
      </c>
      <c r="E419" s="3" t="str">
        <f>IF('1.1 Produksi Bersih Padi 2025'!E421="","",'1.1 Produksi Bersih Padi 2025'!E421)</f>
        <v/>
      </c>
      <c r="F419" s="13" t="str">
        <f>'1.1 Produksi Bersih Padi 2025'!Q421</f>
        <v/>
      </c>
      <c r="G419" s="13" t="str">
        <f>'1.2 Produksi Bersih Jagung 2025'!L421</f>
        <v/>
      </c>
      <c r="H419" s="13" t="str">
        <f>'1.3 Prod Bersih Ubi Kayu 2025'!K421</f>
        <v/>
      </c>
      <c r="I419" s="13" t="str">
        <f>'1.4 Prod Bersih Ubi Jalar 2025'!K421</f>
        <v/>
      </c>
      <c r="J419" s="13" t="str">
        <f>'1.5 Prod Bersih Sagu 2025'!K421</f>
        <v/>
      </c>
      <c r="K419" s="13" t="str">
        <f>'1.6 Prod Bersih Pisang 2025'!K421</f>
        <v/>
      </c>
      <c r="L419" s="15">
        <f t="shared" si="18"/>
        <v>0</v>
      </c>
      <c r="M419" s="14" t="str">
        <f>IF(D419="","",VLOOKUP(D419,'[1]0.1 Produksi Pangan &amp; Penduduk'!$D$5:$AU$704,44,0))</f>
        <v/>
      </c>
      <c r="N419" s="26" t="str">
        <f t="shared" si="19"/>
        <v/>
      </c>
      <c r="O419" s="16"/>
      <c r="P419" s="25" t="str">
        <f t="shared" si="20"/>
        <v/>
      </c>
      <c r="Q419" s="8"/>
      <c r="R419" s="11"/>
    </row>
    <row r="420" spans="1:18" ht="15" x14ac:dyDescent="0.25">
      <c r="A420" s="3" t="str">
        <f>IF('1.1 Produksi Bersih Padi 2025'!A422="","",'1.1 Produksi Bersih Padi 2025'!A422)</f>
        <v/>
      </c>
      <c r="B420" s="32" t="str">
        <f>IF('1.1 Produksi Bersih Padi 2025'!B422="","",'1.1 Produksi Bersih Padi 2025'!B422)</f>
        <v/>
      </c>
      <c r="C420" s="32" t="str">
        <f>IF('1.1 Produksi Bersih Padi 2025'!C422="","",'1.1 Produksi Bersih Padi 2025'!C422)</f>
        <v/>
      </c>
      <c r="D420" s="3" t="str">
        <f>IF('1.1 Produksi Bersih Padi 2025'!D422="","",'1.1 Produksi Bersih Padi 2025'!D422)</f>
        <v/>
      </c>
      <c r="E420" s="3" t="str">
        <f>IF('1.1 Produksi Bersih Padi 2025'!E422="","",'1.1 Produksi Bersih Padi 2025'!E422)</f>
        <v/>
      </c>
      <c r="F420" s="13" t="str">
        <f>'1.1 Produksi Bersih Padi 2025'!Q422</f>
        <v/>
      </c>
      <c r="G420" s="13" t="str">
        <f>'1.2 Produksi Bersih Jagung 2025'!L422</f>
        <v/>
      </c>
      <c r="H420" s="13" t="str">
        <f>'1.3 Prod Bersih Ubi Kayu 2025'!K422</f>
        <v/>
      </c>
      <c r="I420" s="13" t="str">
        <f>'1.4 Prod Bersih Ubi Jalar 2025'!K422</f>
        <v/>
      </c>
      <c r="J420" s="13" t="str">
        <f>'1.5 Prod Bersih Sagu 2025'!K422</f>
        <v/>
      </c>
      <c r="K420" s="13" t="str">
        <f>'1.6 Prod Bersih Pisang 2025'!K422</f>
        <v/>
      </c>
      <c r="L420" s="15">
        <f t="shared" si="18"/>
        <v>0</v>
      </c>
      <c r="M420" s="14" t="str">
        <f>IF(D420="","",VLOOKUP(D420,'[1]0.1 Produksi Pangan &amp; Penduduk'!$D$5:$AU$704,44,0))</f>
        <v/>
      </c>
      <c r="N420" s="26" t="str">
        <f t="shared" si="19"/>
        <v/>
      </c>
      <c r="O420" s="16"/>
      <c r="P420" s="25" t="str">
        <f t="shared" si="20"/>
        <v/>
      </c>
      <c r="Q420" s="8"/>
      <c r="R420" s="11"/>
    </row>
    <row r="421" spans="1:18" ht="15" x14ac:dyDescent="0.25">
      <c r="A421" s="3" t="str">
        <f>IF('1.1 Produksi Bersih Padi 2025'!A423="","",'1.1 Produksi Bersih Padi 2025'!A423)</f>
        <v/>
      </c>
      <c r="B421" s="32" t="str">
        <f>IF('1.1 Produksi Bersih Padi 2025'!B423="","",'1.1 Produksi Bersih Padi 2025'!B423)</f>
        <v/>
      </c>
      <c r="C421" s="32" t="str">
        <f>IF('1.1 Produksi Bersih Padi 2025'!C423="","",'1.1 Produksi Bersih Padi 2025'!C423)</f>
        <v/>
      </c>
      <c r="D421" s="3" t="str">
        <f>IF('1.1 Produksi Bersih Padi 2025'!D423="","",'1.1 Produksi Bersih Padi 2025'!D423)</f>
        <v/>
      </c>
      <c r="E421" s="3" t="str">
        <f>IF('1.1 Produksi Bersih Padi 2025'!E423="","",'1.1 Produksi Bersih Padi 2025'!E423)</f>
        <v/>
      </c>
      <c r="F421" s="13" t="str">
        <f>'1.1 Produksi Bersih Padi 2025'!Q423</f>
        <v/>
      </c>
      <c r="G421" s="13" t="str">
        <f>'1.2 Produksi Bersih Jagung 2025'!L423</f>
        <v/>
      </c>
      <c r="H421" s="13" t="str">
        <f>'1.3 Prod Bersih Ubi Kayu 2025'!K423</f>
        <v/>
      </c>
      <c r="I421" s="13" t="str">
        <f>'1.4 Prod Bersih Ubi Jalar 2025'!K423</f>
        <v/>
      </c>
      <c r="J421" s="13" t="str">
        <f>'1.5 Prod Bersih Sagu 2025'!K423</f>
        <v/>
      </c>
      <c r="K421" s="13" t="str">
        <f>'1.6 Prod Bersih Pisang 2025'!K423</f>
        <v/>
      </c>
      <c r="L421" s="15">
        <f t="shared" si="18"/>
        <v>0</v>
      </c>
      <c r="M421" s="14" t="str">
        <f>IF(D421="","",VLOOKUP(D421,'[1]0.1 Produksi Pangan &amp; Penduduk'!$D$5:$AU$704,44,0))</f>
        <v/>
      </c>
      <c r="N421" s="26" t="str">
        <f t="shared" si="19"/>
        <v/>
      </c>
      <c r="O421" s="16"/>
      <c r="P421" s="25" t="str">
        <f t="shared" si="20"/>
        <v/>
      </c>
      <c r="Q421" s="8"/>
      <c r="R421" s="11"/>
    </row>
    <row r="422" spans="1:18" ht="15" x14ac:dyDescent="0.25">
      <c r="A422" s="3" t="str">
        <f>IF('1.1 Produksi Bersih Padi 2025'!A424="","",'1.1 Produksi Bersih Padi 2025'!A424)</f>
        <v/>
      </c>
      <c r="B422" s="32" t="str">
        <f>IF('1.1 Produksi Bersih Padi 2025'!B424="","",'1.1 Produksi Bersih Padi 2025'!B424)</f>
        <v/>
      </c>
      <c r="C422" s="32" t="str">
        <f>IF('1.1 Produksi Bersih Padi 2025'!C424="","",'1.1 Produksi Bersih Padi 2025'!C424)</f>
        <v/>
      </c>
      <c r="D422" s="3" t="str">
        <f>IF('1.1 Produksi Bersih Padi 2025'!D424="","",'1.1 Produksi Bersih Padi 2025'!D424)</f>
        <v/>
      </c>
      <c r="E422" s="3" t="str">
        <f>IF('1.1 Produksi Bersih Padi 2025'!E424="","",'1.1 Produksi Bersih Padi 2025'!E424)</f>
        <v/>
      </c>
      <c r="F422" s="13" t="str">
        <f>'1.1 Produksi Bersih Padi 2025'!Q424</f>
        <v/>
      </c>
      <c r="G422" s="13" t="str">
        <f>'1.2 Produksi Bersih Jagung 2025'!L424</f>
        <v/>
      </c>
      <c r="H422" s="13" t="str">
        <f>'1.3 Prod Bersih Ubi Kayu 2025'!K424</f>
        <v/>
      </c>
      <c r="I422" s="13" t="str">
        <f>'1.4 Prod Bersih Ubi Jalar 2025'!K424</f>
        <v/>
      </c>
      <c r="J422" s="13" t="str">
        <f>'1.5 Prod Bersih Sagu 2025'!K424</f>
        <v/>
      </c>
      <c r="K422" s="13" t="str">
        <f>'1.6 Prod Bersih Pisang 2025'!K424</f>
        <v/>
      </c>
      <c r="L422" s="15">
        <f t="shared" si="18"/>
        <v>0</v>
      </c>
      <c r="M422" s="14" t="str">
        <f>IF(D422="","",VLOOKUP(D422,'[1]0.1 Produksi Pangan &amp; Penduduk'!$D$5:$AU$704,44,0))</f>
        <v/>
      </c>
      <c r="N422" s="26" t="str">
        <f t="shared" si="19"/>
        <v/>
      </c>
      <c r="O422" s="16"/>
      <c r="P422" s="25" t="str">
        <f t="shared" si="20"/>
        <v/>
      </c>
      <c r="Q422" s="8"/>
      <c r="R422" s="11"/>
    </row>
    <row r="423" spans="1:18" ht="15" x14ac:dyDescent="0.25">
      <c r="A423" s="3" t="str">
        <f>IF('1.1 Produksi Bersih Padi 2025'!A425="","",'1.1 Produksi Bersih Padi 2025'!A425)</f>
        <v/>
      </c>
      <c r="B423" s="32" t="str">
        <f>IF('1.1 Produksi Bersih Padi 2025'!B425="","",'1.1 Produksi Bersih Padi 2025'!B425)</f>
        <v/>
      </c>
      <c r="C423" s="32" t="str">
        <f>IF('1.1 Produksi Bersih Padi 2025'!C425="","",'1.1 Produksi Bersih Padi 2025'!C425)</f>
        <v/>
      </c>
      <c r="D423" s="3" t="str">
        <f>IF('1.1 Produksi Bersih Padi 2025'!D425="","",'1.1 Produksi Bersih Padi 2025'!D425)</f>
        <v/>
      </c>
      <c r="E423" s="3" t="str">
        <f>IF('1.1 Produksi Bersih Padi 2025'!E425="","",'1.1 Produksi Bersih Padi 2025'!E425)</f>
        <v/>
      </c>
      <c r="F423" s="13" t="str">
        <f>'1.1 Produksi Bersih Padi 2025'!Q425</f>
        <v/>
      </c>
      <c r="G423" s="13" t="str">
        <f>'1.2 Produksi Bersih Jagung 2025'!L425</f>
        <v/>
      </c>
      <c r="H423" s="13" t="str">
        <f>'1.3 Prod Bersih Ubi Kayu 2025'!K425</f>
        <v/>
      </c>
      <c r="I423" s="13" t="str">
        <f>'1.4 Prod Bersih Ubi Jalar 2025'!K425</f>
        <v/>
      </c>
      <c r="J423" s="13" t="str">
        <f>'1.5 Prod Bersih Sagu 2025'!K425</f>
        <v/>
      </c>
      <c r="K423" s="13" t="str">
        <f>'1.6 Prod Bersih Pisang 2025'!K425</f>
        <v/>
      </c>
      <c r="L423" s="15">
        <f t="shared" si="18"/>
        <v>0</v>
      </c>
      <c r="M423" s="14" t="str">
        <f>IF(D423="","",VLOOKUP(D423,'[1]0.1 Produksi Pangan &amp; Penduduk'!$D$5:$AU$704,44,0))</f>
        <v/>
      </c>
      <c r="N423" s="26" t="str">
        <f t="shared" si="19"/>
        <v/>
      </c>
      <c r="O423" s="16"/>
      <c r="P423" s="25" t="str">
        <f t="shared" si="20"/>
        <v/>
      </c>
      <c r="Q423" s="8"/>
      <c r="R423" s="11"/>
    </row>
    <row r="424" spans="1:18" ht="15" x14ac:dyDescent="0.25">
      <c r="A424" s="3" t="str">
        <f>IF('1.1 Produksi Bersih Padi 2025'!A426="","",'1.1 Produksi Bersih Padi 2025'!A426)</f>
        <v/>
      </c>
      <c r="B424" s="32" t="str">
        <f>IF('1.1 Produksi Bersih Padi 2025'!B426="","",'1.1 Produksi Bersih Padi 2025'!B426)</f>
        <v/>
      </c>
      <c r="C424" s="32" t="str">
        <f>IF('1.1 Produksi Bersih Padi 2025'!C426="","",'1.1 Produksi Bersih Padi 2025'!C426)</f>
        <v/>
      </c>
      <c r="D424" s="3" t="str">
        <f>IF('1.1 Produksi Bersih Padi 2025'!D426="","",'1.1 Produksi Bersih Padi 2025'!D426)</f>
        <v/>
      </c>
      <c r="E424" s="3" t="str">
        <f>IF('1.1 Produksi Bersih Padi 2025'!E426="","",'1.1 Produksi Bersih Padi 2025'!E426)</f>
        <v/>
      </c>
      <c r="F424" s="13" t="str">
        <f>'1.1 Produksi Bersih Padi 2025'!Q426</f>
        <v/>
      </c>
      <c r="G424" s="13" t="str">
        <f>'1.2 Produksi Bersih Jagung 2025'!L426</f>
        <v/>
      </c>
      <c r="H424" s="13" t="str">
        <f>'1.3 Prod Bersih Ubi Kayu 2025'!K426</f>
        <v/>
      </c>
      <c r="I424" s="13" t="str">
        <f>'1.4 Prod Bersih Ubi Jalar 2025'!K426</f>
        <v/>
      </c>
      <c r="J424" s="13" t="str">
        <f>'1.5 Prod Bersih Sagu 2025'!K426</f>
        <v/>
      </c>
      <c r="K424" s="13" t="str">
        <f>'1.6 Prod Bersih Pisang 2025'!K426</f>
        <v/>
      </c>
      <c r="L424" s="15">
        <f t="shared" si="18"/>
        <v>0</v>
      </c>
      <c r="M424" s="14" t="str">
        <f>IF(D424="","",VLOOKUP(D424,'[1]0.1 Produksi Pangan &amp; Penduduk'!$D$5:$AU$704,44,0))</f>
        <v/>
      </c>
      <c r="N424" s="26" t="str">
        <f t="shared" si="19"/>
        <v/>
      </c>
      <c r="O424" s="16"/>
      <c r="P424" s="25" t="str">
        <f t="shared" si="20"/>
        <v/>
      </c>
      <c r="Q424" s="8"/>
      <c r="R424" s="11"/>
    </row>
    <row r="425" spans="1:18" ht="15" x14ac:dyDescent="0.25">
      <c r="A425" s="3" t="str">
        <f>IF('1.1 Produksi Bersih Padi 2025'!A427="","",'1.1 Produksi Bersih Padi 2025'!A427)</f>
        <v/>
      </c>
      <c r="B425" s="32" t="str">
        <f>IF('1.1 Produksi Bersih Padi 2025'!B427="","",'1.1 Produksi Bersih Padi 2025'!B427)</f>
        <v/>
      </c>
      <c r="C425" s="32" t="str">
        <f>IF('1.1 Produksi Bersih Padi 2025'!C427="","",'1.1 Produksi Bersih Padi 2025'!C427)</f>
        <v/>
      </c>
      <c r="D425" s="3" t="str">
        <f>IF('1.1 Produksi Bersih Padi 2025'!D427="","",'1.1 Produksi Bersih Padi 2025'!D427)</f>
        <v/>
      </c>
      <c r="E425" s="3" t="str">
        <f>IF('1.1 Produksi Bersih Padi 2025'!E427="","",'1.1 Produksi Bersih Padi 2025'!E427)</f>
        <v/>
      </c>
      <c r="F425" s="13" t="str">
        <f>'1.1 Produksi Bersih Padi 2025'!Q427</f>
        <v/>
      </c>
      <c r="G425" s="13" t="str">
        <f>'1.2 Produksi Bersih Jagung 2025'!L427</f>
        <v/>
      </c>
      <c r="H425" s="13" t="str">
        <f>'1.3 Prod Bersih Ubi Kayu 2025'!K427</f>
        <v/>
      </c>
      <c r="I425" s="13" t="str">
        <f>'1.4 Prod Bersih Ubi Jalar 2025'!K427</f>
        <v/>
      </c>
      <c r="J425" s="13" t="str">
        <f>'1.5 Prod Bersih Sagu 2025'!K427</f>
        <v/>
      </c>
      <c r="K425" s="13" t="str">
        <f>'1.6 Prod Bersih Pisang 2025'!K427</f>
        <v/>
      </c>
      <c r="L425" s="15">
        <f t="shared" si="18"/>
        <v>0</v>
      </c>
      <c r="M425" s="14" t="str">
        <f>IF(D425="","",VLOOKUP(D425,'[1]0.1 Produksi Pangan &amp; Penduduk'!$D$5:$AU$704,44,0))</f>
        <v/>
      </c>
      <c r="N425" s="26" t="str">
        <f t="shared" si="19"/>
        <v/>
      </c>
      <c r="O425" s="16"/>
      <c r="P425" s="25" t="str">
        <f t="shared" si="20"/>
        <v/>
      </c>
      <c r="Q425" s="8"/>
      <c r="R425" s="11"/>
    </row>
    <row r="426" spans="1:18" ht="15" x14ac:dyDescent="0.25">
      <c r="A426" s="3" t="str">
        <f>IF('1.1 Produksi Bersih Padi 2025'!A428="","",'1.1 Produksi Bersih Padi 2025'!A428)</f>
        <v/>
      </c>
      <c r="B426" s="32" t="str">
        <f>IF('1.1 Produksi Bersih Padi 2025'!B428="","",'1.1 Produksi Bersih Padi 2025'!B428)</f>
        <v/>
      </c>
      <c r="C426" s="32" t="str">
        <f>IF('1.1 Produksi Bersih Padi 2025'!C428="","",'1.1 Produksi Bersih Padi 2025'!C428)</f>
        <v/>
      </c>
      <c r="D426" s="3" t="str">
        <f>IF('1.1 Produksi Bersih Padi 2025'!D428="","",'1.1 Produksi Bersih Padi 2025'!D428)</f>
        <v/>
      </c>
      <c r="E426" s="3" t="str">
        <f>IF('1.1 Produksi Bersih Padi 2025'!E428="","",'1.1 Produksi Bersih Padi 2025'!E428)</f>
        <v/>
      </c>
      <c r="F426" s="13" t="str">
        <f>'1.1 Produksi Bersih Padi 2025'!Q428</f>
        <v/>
      </c>
      <c r="G426" s="13" t="str">
        <f>'1.2 Produksi Bersih Jagung 2025'!L428</f>
        <v/>
      </c>
      <c r="H426" s="13" t="str">
        <f>'1.3 Prod Bersih Ubi Kayu 2025'!K428</f>
        <v/>
      </c>
      <c r="I426" s="13" t="str">
        <f>'1.4 Prod Bersih Ubi Jalar 2025'!K428</f>
        <v/>
      </c>
      <c r="J426" s="13" t="str">
        <f>'1.5 Prod Bersih Sagu 2025'!K428</f>
        <v/>
      </c>
      <c r="K426" s="13" t="str">
        <f>'1.6 Prod Bersih Pisang 2025'!K428</f>
        <v/>
      </c>
      <c r="L426" s="15">
        <f t="shared" si="18"/>
        <v>0</v>
      </c>
      <c r="M426" s="14" t="str">
        <f>IF(D426="","",VLOOKUP(D426,'[1]0.1 Produksi Pangan &amp; Penduduk'!$D$5:$AU$704,44,0))</f>
        <v/>
      </c>
      <c r="N426" s="26" t="str">
        <f t="shared" si="19"/>
        <v/>
      </c>
      <c r="O426" s="16"/>
      <c r="P426" s="25" t="str">
        <f t="shared" si="20"/>
        <v/>
      </c>
      <c r="Q426" s="8"/>
      <c r="R426" s="11"/>
    </row>
    <row r="427" spans="1:18" ht="15" x14ac:dyDescent="0.25">
      <c r="A427" s="3" t="str">
        <f>IF('1.1 Produksi Bersih Padi 2025'!A429="","",'1.1 Produksi Bersih Padi 2025'!A429)</f>
        <v/>
      </c>
      <c r="B427" s="32" t="str">
        <f>IF('1.1 Produksi Bersih Padi 2025'!B429="","",'1.1 Produksi Bersih Padi 2025'!B429)</f>
        <v/>
      </c>
      <c r="C427" s="32" t="str">
        <f>IF('1.1 Produksi Bersih Padi 2025'!C429="","",'1.1 Produksi Bersih Padi 2025'!C429)</f>
        <v/>
      </c>
      <c r="D427" s="3" t="str">
        <f>IF('1.1 Produksi Bersih Padi 2025'!D429="","",'1.1 Produksi Bersih Padi 2025'!D429)</f>
        <v/>
      </c>
      <c r="E427" s="3" t="str">
        <f>IF('1.1 Produksi Bersih Padi 2025'!E429="","",'1.1 Produksi Bersih Padi 2025'!E429)</f>
        <v/>
      </c>
      <c r="F427" s="13" t="str">
        <f>'1.1 Produksi Bersih Padi 2025'!Q429</f>
        <v/>
      </c>
      <c r="G427" s="13" t="str">
        <f>'1.2 Produksi Bersih Jagung 2025'!L429</f>
        <v/>
      </c>
      <c r="H427" s="13" t="str">
        <f>'1.3 Prod Bersih Ubi Kayu 2025'!K429</f>
        <v/>
      </c>
      <c r="I427" s="13" t="str">
        <f>'1.4 Prod Bersih Ubi Jalar 2025'!K429</f>
        <v/>
      </c>
      <c r="J427" s="13" t="str">
        <f>'1.5 Prod Bersih Sagu 2025'!K429</f>
        <v/>
      </c>
      <c r="K427" s="13" t="str">
        <f>'1.6 Prod Bersih Pisang 2025'!K429</f>
        <v/>
      </c>
      <c r="L427" s="15">
        <f t="shared" si="18"/>
        <v>0</v>
      </c>
      <c r="M427" s="14" t="str">
        <f>IF(D427="","",VLOOKUP(D427,'[1]0.1 Produksi Pangan &amp; Penduduk'!$D$5:$AU$704,44,0))</f>
        <v/>
      </c>
      <c r="N427" s="26" t="str">
        <f t="shared" si="19"/>
        <v/>
      </c>
      <c r="O427" s="16"/>
      <c r="P427" s="25" t="str">
        <f t="shared" si="20"/>
        <v/>
      </c>
      <c r="Q427" s="8"/>
      <c r="R427" s="11"/>
    </row>
    <row r="428" spans="1:18" ht="15" x14ac:dyDescent="0.25">
      <c r="A428" s="3" t="str">
        <f>IF('1.1 Produksi Bersih Padi 2025'!A430="","",'1.1 Produksi Bersih Padi 2025'!A430)</f>
        <v/>
      </c>
      <c r="B428" s="32" t="str">
        <f>IF('1.1 Produksi Bersih Padi 2025'!B430="","",'1.1 Produksi Bersih Padi 2025'!B430)</f>
        <v/>
      </c>
      <c r="C428" s="32" t="str">
        <f>IF('1.1 Produksi Bersih Padi 2025'!C430="","",'1.1 Produksi Bersih Padi 2025'!C430)</f>
        <v/>
      </c>
      <c r="D428" s="3" t="str">
        <f>IF('1.1 Produksi Bersih Padi 2025'!D430="","",'1.1 Produksi Bersih Padi 2025'!D430)</f>
        <v/>
      </c>
      <c r="E428" s="3" t="str">
        <f>IF('1.1 Produksi Bersih Padi 2025'!E430="","",'1.1 Produksi Bersih Padi 2025'!E430)</f>
        <v/>
      </c>
      <c r="F428" s="13" t="str">
        <f>'1.1 Produksi Bersih Padi 2025'!Q430</f>
        <v/>
      </c>
      <c r="G428" s="13" t="str">
        <f>'1.2 Produksi Bersih Jagung 2025'!L430</f>
        <v/>
      </c>
      <c r="H428" s="13" t="str">
        <f>'1.3 Prod Bersih Ubi Kayu 2025'!K430</f>
        <v/>
      </c>
      <c r="I428" s="13" t="str">
        <f>'1.4 Prod Bersih Ubi Jalar 2025'!K430</f>
        <v/>
      </c>
      <c r="J428" s="13" t="str">
        <f>'1.5 Prod Bersih Sagu 2025'!K430</f>
        <v/>
      </c>
      <c r="K428" s="13" t="str">
        <f>'1.6 Prod Bersih Pisang 2025'!K430</f>
        <v/>
      </c>
      <c r="L428" s="15">
        <f t="shared" si="18"/>
        <v>0</v>
      </c>
      <c r="M428" s="14" t="str">
        <f>IF(D428="","",VLOOKUP(D428,'[1]0.1 Produksi Pangan &amp; Penduduk'!$D$5:$AU$704,44,0))</f>
        <v/>
      </c>
      <c r="N428" s="26" t="str">
        <f t="shared" si="19"/>
        <v/>
      </c>
      <c r="O428" s="16"/>
      <c r="P428" s="25" t="str">
        <f t="shared" si="20"/>
        <v/>
      </c>
      <c r="Q428" s="8"/>
      <c r="R428" s="11"/>
    </row>
    <row r="429" spans="1:18" ht="15" x14ac:dyDescent="0.25">
      <c r="A429" s="3" t="str">
        <f>IF('1.1 Produksi Bersih Padi 2025'!A431="","",'1.1 Produksi Bersih Padi 2025'!A431)</f>
        <v/>
      </c>
      <c r="B429" s="32" t="str">
        <f>IF('1.1 Produksi Bersih Padi 2025'!B431="","",'1.1 Produksi Bersih Padi 2025'!B431)</f>
        <v/>
      </c>
      <c r="C429" s="32" t="str">
        <f>IF('1.1 Produksi Bersih Padi 2025'!C431="","",'1.1 Produksi Bersih Padi 2025'!C431)</f>
        <v/>
      </c>
      <c r="D429" s="3" t="str">
        <f>IF('1.1 Produksi Bersih Padi 2025'!D431="","",'1.1 Produksi Bersih Padi 2025'!D431)</f>
        <v/>
      </c>
      <c r="E429" s="3" t="str">
        <f>IF('1.1 Produksi Bersih Padi 2025'!E431="","",'1.1 Produksi Bersih Padi 2025'!E431)</f>
        <v/>
      </c>
      <c r="F429" s="13" t="str">
        <f>'1.1 Produksi Bersih Padi 2025'!Q431</f>
        <v/>
      </c>
      <c r="G429" s="13" t="str">
        <f>'1.2 Produksi Bersih Jagung 2025'!L431</f>
        <v/>
      </c>
      <c r="H429" s="13" t="str">
        <f>'1.3 Prod Bersih Ubi Kayu 2025'!K431</f>
        <v/>
      </c>
      <c r="I429" s="13" t="str">
        <f>'1.4 Prod Bersih Ubi Jalar 2025'!K431</f>
        <v/>
      </c>
      <c r="J429" s="13" t="str">
        <f>'1.5 Prod Bersih Sagu 2025'!K431</f>
        <v/>
      </c>
      <c r="K429" s="13" t="str">
        <f>'1.6 Prod Bersih Pisang 2025'!K431</f>
        <v/>
      </c>
      <c r="L429" s="15">
        <f t="shared" si="18"/>
        <v>0</v>
      </c>
      <c r="M429" s="14" t="str">
        <f>IF(D429="","",VLOOKUP(D429,'[1]0.1 Produksi Pangan &amp; Penduduk'!$D$5:$AU$704,44,0))</f>
        <v/>
      </c>
      <c r="N429" s="26" t="str">
        <f t="shared" si="19"/>
        <v/>
      </c>
      <c r="O429" s="16"/>
      <c r="P429" s="25" t="str">
        <f t="shared" si="20"/>
        <v/>
      </c>
      <c r="Q429" s="8"/>
      <c r="R429" s="11"/>
    </row>
    <row r="430" spans="1:18" ht="15" x14ac:dyDescent="0.25">
      <c r="A430" s="3" t="str">
        <f>IF('1.1 Produksi Bersih Padi 2025'!A432="","",'1.1 Produksi Bersih Padi 2025'!A432)</f>
        <v/>
      </c>
      <c r="B430" s="32" t="str">
        <f>IF('1.1 Produksi Bersih Padi 2025'!B432="","",'1.1 Produksi Bersih Padi 2025'!B432)</f>
        <v/>
      </c>
      <c r="C430" s="32" t="str">
        <f>IF('1.1 Produksi Bersih Padi 2025'!C432="","",'1.1 Produksi Bersih Padi 2025'!C432)</f>
        <v/>
      </c>
      <c r="D430" s="3" t="str">
        <f>IF('1.1 Produksi Bersih Padi 2025'!D432="","",'1.1 Produksi Bersih Padi 2025'!D432)</f>
        <v/>
      </c>
      <c r="E430" s="3" t="str">
        <f>IF('1.1 Produksi Bersih Padi 2025'!E432="","",'1.1 Produksi Bersih Padi 2025'!E432)</f>
        <v/>
      </c>
      <c r="F430" s="13" t="str">
        <f>'1.1 Produksi Bersih Padi 2025'!Q432</f>
        <v/>
      </c>
      <c r="G430" s="13" t="str">
        <f>'1.2 Produksi Bersih Jagung 2025'!L432</f>
        <v/>
      </c>
      <c r="H430" s="13" t="str">
        <f>'1.3 Prod Bersih Ubi Kayu 2025'!K432</f>
        <v/>
      </c>
      <c r="I430" s="13" t="str">
        <f>'1.4 Prod Bersih Ubi Jalar 2025'!K432</f>
        <v/>
      </c>
      <c r="J430" s="13" t="str">
        <f>'1.5 Prod Bersih Sagu 2025'!K432</f>
        <v/>
      </c>
      <c r="K430" s="13" t="str">
        <f>'1.6 Prod Bersih Pisang 2025'!K432</f>
        <v/>
      </c>
      <c r="L430" s="15">
        <f t="shared" si="18"/>
        <v>0</v>
      </c>
      <c r="M430" s="14" t="str">
        <f>IF(D430="","",VLOOKUP(D430,'[1]0.1 Produksi Pangan &amp; Penduduk'!$D$5:$AU$704,44,0))</f>
        <v/>
      </c>
      <c r="N430" s="26" t="str">
        <f t="shared" si="19"/>
        <v/>
      </c>
      <c r="O430" s="16"/>
      <c r="P430" s="25" t="str">
        <f t="shared" si="20"/>
        <v/>
      </c>
      <c r="Q430" s="8"/>
      <c r="R430" s="11"/>
    </row>
    <row r="431" spans="1:18" ht="15" x14ac:dyDescent="0.25">
      <c r="A431" s="3" t="str">
        <f>IF('1.1 Produksi Bersih Padi 2025'!A433="","",'1.1 Produksi Bersih Padi 2025'!A433)</f>
        <v/>
      </c>
      <c r="B431" s="32" t="str">
        <f>IF('1.1 Produksi Bersih Padi 2025'!B433="","",'1.1 Produksi Bersih Padi 2025'!B433)</f>
        <v/>
      </c>
      <c r="C431" s="32" t="str">
        <f>IF('1.1 Produksi Bersih Padi 2025'!C433="","",'1.1 Produksi Bersih Padi 2025'!C433)</f>
        <v/>
      </c>
      <c r="D431" s="3" t="str">
        <f>IF('1.1 Produksi Bersih Padi 2025'!D433="","",'1.1 Produksi Bersih Padi 2025'!D433)</f>
        <v/>
      </c>
      <c r="E431" s="3" t="str">
        <f>IF('1.1 Produksi Bersih Padi 2025'!E433="","",'1.1 Produksi Bersih Padi 2025'!E433)</f>
        <v/>
      </c>
      <c r="F431" s="13" t="str">
        <f>'1.1 Produksi Bersih Padi 2025'!Q433</f>
        <v/>
      </c>
      <c r="G431" s="13" t="str">
        <f>'1.2 Produksi Bersih Jagung 2025'!L433</f>
        <v/>
      </c>
      <c r="H431" s="13" t="str">
        <f>'1.3 Prod Bersih Ubi Kayu 2025'!K433</f>
        <v/>
      </c>
      <c r="I431" s="13" t="str">
        <f>'1.4 Prod Bersih Ubi Jalar 2025'!K433</f>
        <v/>
      </c>
      <c r="J431" s="13" t="str">
        <f>'1.5 Prod Bersih Sagu 2025'!K433</f>
        <v/>
      </c>
      <c r="K431" s="13" t="str">
        <f>'1.6 Prod Bersih Pisang 2025'!K433</f>
        <v/>
      </c>
      <c r="L431" s="15">
        <f t="shared" si="18"/>
        <v>0</v>
      </c>
      <c r="M431" s="14" t="str">
        <f>IF(D431="","",VLOOKUP(D431,'[1]0.1 Produksi Pangan &amp; Penduduk'!$D$5:$AU$704,44,0))</f>
        <v/>
      </c>
      <c r="N431" s="26" t="str">
        <f t="shared" si="19"/>
        <v/>
      </c>
      <c r="O431" s="16"/>
      <c r="P431" s="25" t="str">
        <f t="shared" si="20"/>
        <v/>
      </c>
      <c r="Q431" s="8"/>
      <c r="R431" s="11"/>
    </row>
    <row r="432" spans="1:18" ht="15" x14ac:dyDescent="0.25">
      <c r="A432" s="3" t="str">
        <f>IF('1.1 Produksi Bersih Padi 2025'!A434="","",'1.1 Produksi Bersih Padi 2025'!A434)</f>
        <v/>
      </c>
      <c r="B432" s="32" t="str">
        <f>IF('1.1 Produksi Bersih Padi 2025'!B434="","",'1.1 Produksi Bersih Padi 2025'!B434)</f>
        <v/>
      </c>
      <c r="C432" s="32" t="str">
        <f>IF('1.1 Produksi Bersih Padi 2025'!C434="","",'1.1 Produksi Bersih Padi 2025'!C434)</f>
        <v/>
      </c>
      <c r="D432" s="3" t="str">
        <f>IF('1.1 Produksi Bersih Padi 2025'!D434="","",'1.1 Produksi Bersih Padi 2025'!D434)</f>
        <v/>
      </c>
      <c r="E432" s="3" t="str">
        <f>IF('1.1 Produksi Bersih Padi 2025'!E434="","",'1.1 Produksi Bersih Padi 2025'!E434)</f>
        <v/>
      </c>
      <c r="F432" s="13" t="str">
        <f>'1.1 Produksi Bersih Padi 2025'!Q434</f>
        <v/>
      </c>
      <c r="G432" s="13" t="str">
        <f>'1.2 Produksi Bersih Jagung 2025'!L434</f>
        <v/>
      </c>
      <c r="H432" s="13" t="str">
        <f>'1.3 Prod Bersih Ubi Kayu 2025'!K434</f>
        <v/>
      </c>
      <c r="I432" s="13" t="str">
        <f>'1.4 Prod Bersih Ubi Jalar 2025'!K434</f>
        <v/>
      </c>
      <c r="J432" s="13" t="str">
        <f>'1.5 Prod Bersih Sagu 2025'!K434</f>
        <v/>
      </c>
      <c r="K432" s="13" t="str">
        <f>'1.6 Prod Bersih Pisang 2025'!K434</f>
        <v/>
      </c>
      <c r="L432" s="15">
        <f t="shared" si="18"/>
        <v>0</v>
      </c>
      <c r="M432" s="14" t="str">
        <f>IF(D432="","",VLOOKUP(D432,'[1]0.1 Produksi Pangan &amp; Penduduk'!$D$5:$AU$704,44,0))</f>
        <v/>
      </c>
      <c r="N432" s="26" t="str">
        <f t="shared" si="19"/>
        <v/>
      </c>
      <c r="O432" s="16"/>
      <c r="P432" s="25" t="str">
        <f t="shared" si="20"/>
        <v/>
      </c>
      <c r="Q432" s="8"/>
      <c r="R432" s="11"/>
    </row>
    <row r="433" spans="1:18" ht="15" x14ac:dyDescent="0.25">
      <c r="A433" s="3" t="str">
        <f>IF('1.1 Produksi Bersih Padi 2025'!A435="","",'1.1 Produksi Bersih Padi 2025'!A435)</f>
        <v/>
      </c>
      <c r="B433" s="32" t="str">
        <f>IF('1.1 Produksi Bersih Padi 2025'!B435="","",'1.1 Produksi Bersih Padi 2025'!B435)</f>
        <v/>
      </c>
      <c r="C433" s="32" t="str">
        <f>IF('1.1 Produksi Bersih Padi 2025'!C435="","",'1.1 Produksi Bersih Padi 2025'!C435)</f>
        <v/>
      </c>
      <c r="D433" s="3" t="str">
        <f>IF('1.1 Produksi Bersih Padi 2025'!D435="","",'1.1 Produksi Bersih Padi 2025'!D435)</f>
        <v/>
      </c>
      <c r="E433" s="3" t="str">
        <f>IF('1.1 Produksi Bersih Padi 2025'!E435="","",'1.1 Produksi Bersih Padi 2025'!E435)</f>
        <v/>
      </c>
      <c r="F433" s="13" t="str">
        <f>'1.1 Produksi Bersih Padi 2025'!Q435</f>
        <v/>
      </c>
      <c r="G433" s="13" t="str">
        <f>'1.2 Produksi Bersih Jagung 2025'!L435</f>
        <v/>
      </c>
      <c r="H433" s="13" t="str">
        <f>'1.3 Prod Bersih Ubi Kayu 2025'!K435</f>
        <v/>
      </c>
      <c r="I433" s="13" t="str">
        <f>'1.4 Prod Bersih Ubi Jalar 2025'!K435</f>
        <v/>
      </c>
      <c r="J433" s="13" t="str">
        <f>'1.5 Prod Bersih Sagu 2025'!K435</f>
        <v/>
      </c>
      <c r="K433" s="13" t="str">
        <f>'1.6 Prod Bersih Pisang 2025'!K435</f>
        <v/>
      </c>
      <c r="L433" s="15">
        <f t="shared" si="18"/>
        <v>0</v>
      </c>
      <c r="M433" s="14" t="str">
        <f>IF(D433="","",VLOOKUP(D433,'[1]0.1 Produksi Pangan &amp; Penduduk'!$D$5:$AU$704,44,0))</f>
        <v/>
      </c>
      <c r="N433" s="26" t="str">
        <f t="shared" si="19"/>
        <v/>
      </c>
      <c r="O433" s="16"/>
      <c r="P433" s="25" t="str">
        <f t="shared" si="20"/>
        <v/>
      </c>
      <c r="Q433" s="8"/>
      <c r="R433" s="11"/>
    </row>
    <row r="434" spans="1:18" ht="15" x14ac:dyDescent="0.25">
      <c r="A434" s="3" t="str">
        <f>IF('1.1 Produksi Bersih Padi 2025'!A436="","",'1.1 Produksi Bersih Padi 2025'!A436)</f>
        <v/>
      </c>
      <c r="B434" s="32" t="str">
        <f>IF('1.1 Produksi Bersih Padi 2025'!B436="","",'1.1 Produksi Bersih Padi 2025'!B436)</f>
        <v/>
      </c>
      <c r="C434" s="32" t="str">
        <f>IF('1.1 Produksi Bersih Padi 2025'!C436="","",'1.1 Produksi Bersih Padi 2025'!C436)</f>
        <v/>
      </c>
      <c r="D434" s="3" t="str">
        <f>IF('1.1 Produksi Bersih Padi 2025'!D436="","",'1.1 Produksi Bersih Padi 2025'!D436)</f>
        <v/>
      </c>
      <c r="E434" s="3" t="str">
        <f>IF('1.1 Produksi Bersih Padi 2025'!E436="","",'1.1 Produksi Bersih Padi 2025'!E436)</f>
        <v/>
      </c>
      <c r="F434" s="13" t="str">
        <f>'1.1 Produksi Bersih Padi 2025'!Q436</f>
        <v/>
      </c>
      <c r="G434" s="13" t="str">
        <f>'1.2 Produksi Bersih Jagung 2025'!L436</f>
        <v/>
      </c>
      <c r="H434" s="13" t="str">
        <f>'1.3 Prod Bersih Ubi Kayu 2025'!K436</f>
        <v/>
      </c>
      <c r="I434" s="13" t="str">
        <f>'1.4 Prod Bersih Ubi Jalar 2025'!K436</f>
        <v/>
      </c>
      <c r="J434" s="13" t="str">
        <f>'1.5 Prod Bersih Sagu 2025'!K436</f>
        <v/>
      </c>
      <c r="K434" s="13" t="str">
        <f>'1.6 Prod Bersih Pisang 2025'!K436</f>
        <v/>
      </c>
      <c r="L434" s="15">
        <f t="shared" si="18"/>
        <v>0</v>
      </c>
      <c r="M434" s="14" t="str">
        <f>IF(D434="","",VLOOKUP(D434,'[1]0.1 Produksi Pangan &amp; Penduduk'!$D$5:$AU$704,44,0))</f>
        <v/>
      </c>
      <c r="N434" s="26" t="str">
        <f t="shared" si="19"/>
        <v/>
      </c>
      <c r="O434" s="16"/>
      <c r="P434" s="25" t="str">
        <f t="shared" si="20"/>
        <v/>
      </c>
      <c r="Q434" s="8"/>
      <c r="R434" s="11"/>
    </row>
    <row r="435" spans="1:18" ht="15" x14ac:dyDescent="0.25">
      <c r="A435" s="3" t="str">
        <f>IF('1.1 Produksi Bersih Padi 2025'!A437="","",'1.1 Produksi Bersih Padi 2025'!A437)</f>
        <v/>
      </c>
      <c r="B435" s="32" t="str">
        <f>IF('1.1 Produksi Bersih Padi 2025'!B437="","",'1.1 Produksi Bersih Padi 2025'!B437)</f>
        <v/>
      </c>
      <c r="C435" s="32" t="str">
        <f>IF('1.1 Produksi Bersih Padi 2025'!C437="","",'1.1 Produksi Bersih Padi 2025'!C437)</f>
        <v/>
      </c>
      <c r="D435" s="3" t="str">
        <f>IF('1.1 Produksi Bersih Padi 2025'!D437="","",'1.1 Produksi Bersih Padi 2025'!D437)</f>
        <v/>
      </c>
      <c r="E435" s="3" t="str">
        <f>IF('1.1 Produksi Bersih Padi 2025'!E437="","",'1.1 Produksi Bersih Padi 2025'!E437)</f>
        <v/>
      </c>
      <c r="F435" s="13" t="str">
        <f>'1.1 Produksi Bersih Padi 2025'!Q437</f>
        <v/>
      </c>
      <c r="G435" s="13" t="str">
        <f>'1.2 Produksi Bersih Jagung 2025'!L437</f>
        <v/>
      </c>
      <c r="H435" s="13" t="str">
        <f>'1.3 Prod Bersih Ubi Kayu 2025'!K437</f>
        <v/>
      </c>
      <c r="I435" s="13" t="str">
        <f>'1.4 Prod Bersih Ubi Jalar 2025'!K437</f>
        <v/>
      </c>
      <c r="J435" s="13" t="str">
        <f>'1.5 Prod Bersih Sagu 2025'!K437</f>
        <v/>
      </c>
      <c r="K435" s="13" t="str">
        <f>'1.6 Prod Bersih Pisang 2025'!K437</f>
        <v/>
      </c>
      <c r="L435" s="15">
        <f t="shared" si="18"/>
        <v>0</v>
      </c>
      <c r="M435" s="14" t="str">
        <f>IF(D435="","",VLOOKUP(D435,'[1]0.1 Produksi Pangan &amp; Penduduk'!$D$5:$AU$704,44,0))</f>
        <v/>
      </c>
      <c r="N435" s="26" t="str">
        <f t="shared" si="19"/>
        <v/>
      </c>
      <c r="O435" s="16"/>
      <c r="P435" s="25" t="str">
        <f t="shared" si="20"/>
        <v/>
      </c>
      <c r="Q435" s="8"/>
      <c r="R435" s="11"/>
    </row>
    <row r="436" spans="1:18" ht="15" x14ac:dyDescent="0.25">
      <c r="A436" s="3" t="str">
        <f>IF('1.1 Produksi Bersih Padi 2025'!A438="","",'1.1 Produksi Bersih Padi 2025'!A438)</f>
        <v/>
      </c>
      <c r="B436" s="32" t="str">
        <f>IF('1.1 Produksi Bersih Padi 2025'!B438="","",'1.1 Produksi Bersih Padi 2025'!B438)</f>
        <v/>
      </c>
      <c r="C436" s="32" t="str">
        <f>IF('1.1 Produksi Bersih Padi 2025'!C438="","",'1.1 Produksi Bersih Padi 2025'!C438)</f>
        <v/>
      </c>
      <c r="D436" s="3" t="str">
        <f>IF('1.1 Produksi Bersih Padi 2025'!D438="","",'1.1 Produksi Bersih Padi 2025'!D438)</f>
        <v/>
      </c>
      <c r="E436" s="3" t="str">
        <f>IF('1.1 Produksi Bersih Padi 2025'!E438="","",'1.1 Produksi Bersih Padi 2025'!E438)</f>
        <v/>
      </c>
      <c r="F436" s="13" t="str">
        <f>'1.1 Produksi Bersih Padi 2025'!Q438</f>
        <v/>
      </c>
      <c r="G436" s="13" t="str">
        <f>'1.2 Produksi Bersih Jagung 2025'!L438</f>
        <v/>
      </c>
      <c r="H436" s="13" t="str">
        <f>'1.3 Prod Bersih Ubi Kayu 2025'!K438</f>
        <v/>
      </c>
      <c r="I436" s="13" t="str">
        <f>'1.4 Prod Bersih Ubi Jalar 2025'!K438</f>
        <v/>
      </c>
      <c r="J436" s="13" t="str">
        <f>'1.5 Prod Bersih Sagu 2025'!K438</f>
        <v/>
      </c>
      <c r="K436" s="13" t="str">
        <f>'1.6 Prod Bersih Pisang 2025'!K438</f>
        <v/>
      </c>
      <c r="L436" s="15">
        <f t="shared" si="18"/>
        <v>0</v>
      </c>
      <c r="M436" s="14" t="str">
        <f>IF(D436="","",VLOOKUP(D436,'[1]0.1 Produksi Pangan &amp; Penduduk'!$D$5:$AU$704,44,0))</f>
        <v/>
      </c>
      <c r="N436" s="26" t="str">
        <f t="shared" si="19"/>
        <v/>
      </c>
      <c r="O436" s="16"/>
      <c r="P436" s="25" t="str">
        <f t="shared" si="20"/>
        <v/>
      </c>
      <c r="Q436" s="8"/>
      <c r="R436" s="11"/>
    </row>
    <row r="437" spans="1:18" ht="15" x14ac:dyDescent="0.25">
      <c r="A437" s="3" t="str">
        <f>IF('1.1 Produksi Bersih Padi 2025'!A439="","",'1.1 Produksi Bersih Padi 2025'!A439)</f>
        <v/>
      </c>
      <c r="B437" s="32" t="str">
        <f>IF('1.1 Produksi Bersih Padi 2025'!B439="","",'1.1 Produksi Bersih Padi 2025'!B439)</f>
        <v/>
      </c>
      <c r="C437" s="32" t="str">
        <f>IF('1.1 Produksi Bersih Padi 2025'!C439="","",'1.1 Produksi Bersih Padi 2025'!C439)</f>
        <v/>
      </c>
      <c r="D437" s="3" t="str">
        <f>IF('1.1 Produksi Bersih Padi 2025'!D439="","",'1.1 Produksi Bersih Padi 2025'!D439)</f>
        <v/>
      </c>
      <c r="E437" s="3" t="str">
        <f>IF('1.1 Produksi Bersih Padi 2025'!E439="","",'1.1 Produksi Bersih Padi 2025'!E439)</f>
        <v/>
      </c>
      <c r="F437" s="13" t="str">
        <f>'1.1 Produksi Bersih Padi 2025'!Q439</f>
        <v/>
      </c>
      <c r="G437" s="13" t="str">
        <f>'1.2 Produksi Bersih Jagung 2025'!L439</f>
        <v/>
      </c>
      <c r="H437" s="13" t="str">
        <f>'1.3 Prod Bersih Ubi Kayu 2025'!K439</f>
        <v/>
      </c>
      <c r="I437" s="13" t="str">
        <f>'1.4 Prod Bersih Ubi Jalar 2025'!K439</f>
        <v/>
      </c>
      <c r="J437" s="13" t="str">
        <f>'1.5 Prod Bersih Sagu 2025'!K439</f>
        <v/>
      </c>
      <c r="K437" s="13" t="str">
        <f>'1.6 Prod Bersih Pisang 2025'!K439</f>
        <v/>
      </c>
      <c r="L437" s="15">
        <f t="shared" si="18"/>
        <v>0</v>
      </c>
      <c r="M437" s="14" t="str">
        <f>IF(D437="","",VLOOKUP(D437,'[1]0.1 Produksi Pangan &amp; Penduduk'!$D$5:$AU$704,44,0))</f>
        <v/>
      </c>
      <c r="N437" s="26" t="str">
        <f t="shared" si="19"/>
        <v/>
      </c>
      <c r="O437" s="16"/>
      <c r="P437" s="25" t="str">
        <f t="shared" si="20"/>
        <v/>
      </c>
      <c r="Q437" s="8"/>
      <c r="R437" s="11"/>
    </row>
    <row r="438" spans="1:18" ht="15" x14ac:dyDescent="0.25">
      <c r="A438" s="3" t="str">
        <f>IF('1.1 Produksi Bersih Padi 2025'!A440="","",'1.1 Produksi Bersih Padi 2025'!A440)</f>
        <v/>
      </c>
      <c r="B438" s="32" t="str">
        <f>IF('1.1 Produksi Bersih Padi 2025'!B440="","",'1.1 Produksi Bersih Padi 2025'!B440)</f>
        <v/>
      </c>
      <c r="C438" s="32" t="str">
        <f>IF('1.1 Produksi Bersih Padi 2025'!C440="","",'1.1 Produksi Bersih Padi 2025'!C440)</f>
        <v/>
      </c>
      <c r="D438" s="3" t="str">
        <f>IF('1.1 Produksi Bersih Padi 2025'!D440="","",'1.1 Produksi Bersih Padi 2025'!D440)</f>
        <v/>
      </c>
      <c r="E438" s="3" t="str">
        <f>IF('1.1 Produksi Bersih Padi 2025'!E440="","",'1.1 Produksi Bersih Padi 2025'!E440)</f>
        <v/>
      </c>
      <c r="F438" s="13" t="str">
        <f>'1.1 Produksi Bersih Padi 2025'!Q440</f>
        <v/>
      </c>
      <c r="G438" s="13" t="str">
        <f>'1.2 Produksi Bersih Jagung 2025'!L440</f>
        <v/>
      </c>
      <c r="H438" s="13" t="str">
        <f>'1.3 Prod Bersih Ubi Kayu 2025'!K440</f>
        <v/>
      </c>
      <c r="I438" s="13" t="str">
        <f>'1.4 Prod Bersih Ubi Jalar 2025'!K440</f>
        <v/>
      </c>
      <c r="J438" s="13" t="str">
        <f>'1.5 Prod Bersih Sagu 2025'!K440</f>
        <v/>
      </c>
      <c r="K438" s="13" t="str">
        <f>'1.6 Prod Bersih Pisang 2025'!K440</f>
        <v/>
      </c>
      <c r="L438" s="15">
        <f t="shared" si="18"/>
        <v>0</v>
      </c>
      <c r="M438" s="14" t="str">
        <f>IF(D438="","",VLOOKUP(D438,'[1]0.1 Produksi Pangan &amp; Penduduk'!$D$5:$AU$704,44,0))</f>
        <v/>
      </c>
      <c r="N438" s="26" t="str">
        <f t="shared" si="19"/>
        <v/>
      </c>
      <c r="O438" s="16"/>
      <c r="P438" s="25" t="str">
        <f t="shared" si="20"/>
        <v/>
      </c>
      <c r="Q438" s="8"/>
      <c r="R438" s="11"/>
    </row>
    <row r="439" spans="1:18" ht="15" x14ac:dyDescent="0.25">
      <c r="A439" s="3" t="str">
        <f>IF('1.1 Produksi Bersih Padi 2025'!A441="","",'1.1 Produksi Bersih Padi 2025'!A441)</f>
        <v/>
      </c>
      <c r="B439" s="32" t="str">
        <f>IF('1.1 Produksi Bersih Padi 2025'!B441="","",'1.1 Produksi Bersih Padi 2025'!B441)</f>
        <v/>
      </c>
      <c r="C439" s="32" t="str">
        <f>IF('1.1 Produksi Bersih Padi 2025'!C441="","",'1.1 Produksi Bersih Padi 2025'!C441)</f>
        <v/>
      </c>
      <c r="D439" s="3" t="str">
        <f>IF('1.1 Produksi Bersih Padi 2025'!D441="","",'1.1 Produksi Bersih Padi 2025'!D441)</f>
        <v/>
      </c>
      <c r="E439" s="3" t="str">
        <f>IF('1.1 Produksi Bersih Padi 2025'!E441="","",'1.1 Produksi Bersih Padi 2025'!E441)</f>
        <v/>
      </c>
      <c r="F439" s="13" t="str">
        <f>'1.1 Produksi Bersih Padi 2025'!Q441</f>
        <v/>
      </c>
      <c r="G439" s="13" t="str">
        <f>'1.2 Produksi Bersih Jagung 2025'!L441</f>
        <v/>
      </c>
      <c r="H439" s="13" t="str">
        <f>'1.3 Prod Bersih Ubi Kayu 2025'!K441</f>
        <v/>
      </c>
      <c r="I439" s="13" t="str">
        <f>'1.4 Prod Bersih Ubi Jalar 2025'!K441</f>
        <v/>
      </c>
      <c r="J439" s="13" t="str">
        <f>'1.5 Prod Bersih Sagu 2025'!K441</f>
        <v/>
      </c>
      <c r="K439" s="13" t="str">
        <f>'1.6 Prod Bersih Pisang 2025'!K441</f>
        <v/>
      </c>
      <c r="L439" s="15">
        <f t="shared" si="18"/>
        <v>0</v>
      </c>
      <c r="M439" s="14" t="str">
        <f>IF(D439="","",VLOOKUP(D439,'[1]0.1 Produksi Pangan &amp; Penduduk'!$D$5:$AU$704,44,0))</f>
        <v/>
      </c>
      <c r="N439" s="26" t="str">
        <f t="shared" si="19"/>
        <v/>
      </c>
      <c r="O439" s="16"/>
      <c r="P439" s="25" t="str">
        <f t="shared" si="20"/>
        <v/>
      </c>
      <c r="Q439" s="8"/>
      <c r="R439" s="11"/>
    </row>
    <row r="440" spans="1:18" ht="15" x14ac:dyDescent="0.25">
      <c r="A440" s="3" t="str">
        <f>IF('1.1 Produksi Bersih Padi 2025'!A442="","",'1.1 Produksi Bersih Padi 2025'!A442)</f>
        <v/>
      </c>
      <c r="B440" s="32" t="str">
        <f>IF('1.1 Produksi Bersih Padi 2025'!B442="","",'1.1 Produksi Bersih Padi 2025'!B442)</f>
        <v/>
      </c>
      <c r="C440" s="32" t="str">
        <f>IF('1.1 Produksi Bersih Padi 2025'!C442="","",'1.1 Produksi Bersih Padi 2025'!C442)</f>
        <v/>
      </c>
      <c r="D440" s="3" t="str">
        <f>IF('1.1 Produksi Bersih Padi 2025'!D442="","",'1.1 Produksi Bersih Padi 2025'!D442)</f>
        <v/>
      </c>
      <c r="E440" s="3" t="str">
        <f>IF('1.1 Produksi Bersih Padi 2025'!E442="","",'1.1 Produksi Bersih Padi 2025'!E442)</f>
        <v/>
      </c>
      <c r="F440" s="13" t="str">
        <f>'1.1 Produksi Bersih Padi 2025'!Q442</f>
        <v/>
      </c>
      <c r="G440" s="13" t="str">
        <f>'1.2 Produksi Bersih Jagung 2025'!L442</f>
        <v/>
      </c>
      <c r="H440" s="13" t="str">
        <f>'1.3 Prod Bersih Ubi Kayu 2025'!K442</f>
        <v/>
      </c>
      <c r="I440" s="13" t="str">
        <f>'1.4 Prod Bersih Ubi Jalar 2025'!K442</f>
        <v/>
      </c>
      <c r="J440" s="13" t="str">
        <f>'1.5 Prod Bersih Sagu 2025'!K442</f>
        <v/>
      </c>
      <c r="K440" s="13" t="str">
        <f>'1.6 Prod Bersih Pisang 2025'!K442</f>
        <v/>
      </c>
      <c r="L440" s="15">
        <f t="shared" si="18"/>
        <v>0</v>
      </c>
      <c r="M440" s="14" t="str">
        <f>IF(D440="","",VLOOKUP(D440,'[1]0.1 Produksi Pangan &amp; Penduduk'!$D$5:$AU$704,44,0))</f>
        <v/>
      </c>
      <c r="N440" s="26" t="str">
        <f t="shared" si="19"/>
        <v/>
      </c>
      <c r="O440" s="16"/>
      <c r="P440" s="25" t="str">
        <f t="shared" si="20"/>
        <v/>
      </c>
      <c r="Q440" s="8"/>
      <c r="R440" s="11"/>
    </row>
    <row r="441" spans="1:18" ht="15" x14ac:dyDescent="0.25">
      <c r="A441" s="3" t="str">
        <f>IF('1.1 Produksi Bersih Padi 2025'!A443="","",'1.1 Produksi Bersih Padi 2025'!A443)</f>
        <v/>
      </c>
      <c r="B441" s="32" t="str">
        <f>IF('1.1 Produksi Bersih Padi 2025'!B443="","",'1.1 Produksi Bersih Padi 2025'!B443)</f>
        <v/>
      </c>
      <c r="C441" s="32" t="str">
        <f>IF('1.1 Produksi Bersih Padi 2025'!C443="","",'1.1 Produksi Bersih Padi 2025'!C443)</f>
        <v/>
      </c>
      <c r="D441" s="3" t="str">
        <f>IF('1.1 Produksi Bersih Padi 2025'!D443="","",'1.1 Produksi Bersih Padi 2025'!D443)</f>
        <v/>
      </c>
      <c r="E441" s="3" t="str">
        <f>IF('1.1 Produksi Bersih Padi 2025'!E443="","",'1.1 Produksi Bersih Padi 2025'!E443)</f>
        <v/>
      </c>
      <c r="F441" s="13" t="str">
        <f>'1.1 Produksi Bersih Padi 2025'!Q443</f>
        <v/>
      </c>
      <c r="G441" s="13" t="str">
        <f>'1.2 Produksi Bersih Jagung 2025'!L443</f>
        <v/>
      </c>
      <c r="H441" s="13" t="str">
        <f>'1.3 Prod Bersih Ubi Kayu 2025'!K443</f>
        <v/>
      </c>
      <c r="I441" s="13" t="str">
        <f>'1.4 Prod Bersih Ubi Jalar 2025'!K443</f>
        <v/>
      </c>
      <c r="J441" s="13" t="str">
        <f>'1.5 Prod Bersih Sagu 2025'!K443</f>
        <v/>
      </c>
      <c r="K441" s="13" t="str">
        <f>'1.6 Prod Bersih Pisang 2025'!K443</f>
        <v/>
      </c>
      <c r="L441" s="15">
        <f t="shared" si="18"/>
        <v>0</v>
      </c>
      <c r="M441" s="14" t="str">
        <f>IF(D441="","",VLOOKUP(D441,'[1]0.1 Produksi Pangan &amp; Penduduk'!$D$5:$AU$704,44,0))</f>
        <v/>
      </c>
      <c r="N441" s="26" t="str">
        <f t="shared" si="19"/>
        <v/>
      </c>
      <c r="O441" s="16"/>
      <c r="P441" s="25" t="str">
        <f t="shared" si="20"/>
        <v/>
      </c>
      <c r="Q441" s="8"/>
      <c r="R441" s="11"/>
    </row>
    <row r="442" spans="1:18" ht="15" x14ac:dyDescent="0.25">
      <c r="A442" s="3" t="str">
        <f>IF('1.1 Produksi Bersih Padi 2025'!A444="","",'1.1 Produksi Bersih Padi 2025'!A444)</f>
        <v/>
      </c>
      <c r="B442" s="32" t="str">
        <f>IF('1.1 Produksi Bersih Padi 2025'!B444="","",'1.1 Produksi Bersih Padi 2025'!B444)</f>
        <v/>
      </c>
      <c r="C442" s="32" t="str">
        <f>IF('1.1 Produksi Bersih Padi 2025'!C444="","",'1.1 Produksi Bersih Padi 2025'!C444)</f>
        <v/>
      </c>
      <c r="D442" s="3" t="str">
        <f>IF('1.1 Produksi Bersih Padi 2025'!D444="","",'1.1 Produksi Bersih Padi 2025'!D444)</f>
        <v/>
      </c>
      <c r="E442" s="3" t="str">
        <f>IF('1.1 Produksi Bersih Padi 2025'!E444="","",'1.1 Produksi Bersih Padi 2025'!E444)</f>
        <v/>
      </c>
      <c r="F442" s="13" t="str">
        <f>'1.1 Produksi Bersih Padi 2025'!Q444</f>
        <v/>
      </c>
      <c r="G442" s="13" t="str">
        <f>'1.2 Produksi Bersih Jagung 2025'!L444</f>
        <v/>
      </c>
      <c r="H442" s="13" t="str">
        <f>'1.3 Prod Bersih Ubi Kayu 2025'!K444</f>
        <v/>
      </c>
      <c r="I442" s="13" t="str">
        <f>'1.4 Prod Bersih Ubi Jalar 2025'!K444</f>
        <v/>
      </c>
      <c r="J442" s="13" t="str">
        <f>'1.5 Prod Bersih Sagu 2025'!K444</f>
        <v/>
      </c>
      <c r="K442" s="13" t="str">
        <f>'1.6 Prod Bersih Pisang 2025'!K444</f>
        <v/>
      </c>
      <c r="L442" s="15">
        <f t="shared" si="18"/>
        <v>0</v>
      </c>
      <c r="M442" s="14" t="str">
        <f>IF(D442="","",VLOOKUP(D442,'[1]0.1 Produksi Pangan &amp; Penduduk'!$D$5:$AU$704,44,0))</f>
        <v/>
      </c>
      <c r="N442" s="26" t="str">
        <f t="shared" si="19"/>
        <v/>
      </c>
      <c r="O442" s="16"/>
      <c r="P442" s="25" t="str">
        <f t="shared" si="20"/>
        <v/>
      </c>
      <c r="Q442" s="8"/>
      <c r="R442" s="11"/>
    </row>
    <row r="443" spans="1:18" ht="15" x14ac:dyDescent="0.25">
      <c r="A443" s="3" t="str">
        <f>IF('1.1 Produksi Bersih Padi 2025'!A445="","",'1.1 Produksi Bersih Padi 2025'!A445)</f>
        <v/>
      </c>
      <c r="B443" s="32" t="str">
        <f>IF('1.1 Produksi Bersih Padi 2025'!B445="","",'1.1 Produksi Bersih Padi 2025'!B445)</f>
        <v/>
      </c>
      <c r="C443" s="32" t="str">
        <f>IF('1.1 Produksi Bersih Padi 2025'!C445="","",'1.1 Produksi Bersih Padi 2025'!C445)</f>
        <v/>
      </c>
      <c r="D443" s="3" t="str">
        <f>IF('1.1 Produksi Bersih Padi 2025'!D445="","",'1.1 Produksi Bersih Padi 2025'!D445)</f>
        <v/>
      </c>
      <c r="E443" s="3" t="str">
        <f>IF('1.1 Produksi Bersih Padi 2025'!E445="","",'1.1 Produksi Bersih Padi 2025'!E445)</f>
        <v/>
      </c>
      <c r="F443" s="13" t="str">
        <f>'1.1 Produksi Bersih Padi 2025'!Q445</f>
        <v/>
      </c>
      <c r="G443" s="13" t="str">
        <f>'1.2 Produksi Bersih Jagung 2025'!L445</f>
        <v/>
      </c>
      <c r="H443" s="13" t="str">
        <f>'1.3 Prod Bersih Ubi Kayu 2025'!K445</f>
        <v/>
      </c>
      <c r="I443" s="13" t="str">
        <f>'1.4 Prod Bersih Ubi Jalar 2025'!K445</f>
        <v/>
      </c>
      <c r="J443" s="13" t="str">
        <f>'1.5 Prod Bersih Sagu 2025'!K445</f>
        <v/>
      </c>
      <c r="K443" s="13" t="str">
        <f>'1.6 Prod Bersih Pisang 2025'!K445</f>
        <v/>
      </c>
      <c r="L443" s="15">
        <f t="shared" si="18"/>
        <v>0</v>
      </c>
      <c r="M443" s="14" t="str">
        <f>IF(D443="","",VLOOKUP(D443,'[1]0.1 Produksi Pangan &amp; Penduduk'!$D$5:$AU$704,44,0))</f>
        <v/>
      </c>
      <c r="N443" s="26" t="str">
        <f t="shared" si="19"/>
        <v/>
      </c>
      <c r="O443" s="16"/>
      <c r="P443" s="25" t="str">
        <f t="shared" si="20"/>
        <v/>
      </c>
      <c r="Q443" s="8"/>
      <c r="R443" s="11"/>
    </row>
    <row r="444" spans="1:18" ht="15" x14ac:dyDescent="0.25">
      <c r="A444" s="3" t="str">
        <f>IF('1.1 Produksi Bersih Padi 2025'!A446="","",'1.1 Produksi Bersih Padi 2025'!A446)</f>
        <v/>
      </c>
      <c r="B444" s="32" t="str">
        <f>IF('1.1 Produksi Bersih Padi 2025'!B446="","",'1.1 Produksi Bersih Padi 2025'!B446)</f>
        <v/>
      </c>
      <c r="C444" s="32" t="str">
        <f>IF('1.1 Produksi Bersih Padi 2025'!C446="","",'1.1 Produksi Bersih Padi 2025'!C446)</f>
        <v/>
      </c>
      <c r="D444" s="3" t="str">
        <f>IF('1.1 Produksi Bersih Padi 2025'!D446="","",'1.1 Produksi Bersih Padi 2025'!D446)</f>
        <v/>
      </c>
      <c r="E444" s="3" t="str">
        <f>IF('1.1 Produksi Bersih Padi 2025'!E446="","",'1.1 Produksi Bersih Padi 2025'!E446)</f>
        <v/>
      </c>
      <c r="F444" s="13" t="str">
        <f>'1.1 Produksi Bersih Padi 2025'!Q446</f>
        <v/>
      </c>
      <c r="G444" s="13" t="str">
        <f>'1.2 Produksi Bersih Jagung 2025'!L446</f>
        <v/>
      </c>
      <c r="H444" s="13" t="str">
        <f>'1.3 Prod Bersih Ubi Kayu 2025'!K446</f>
        <v/>
      </c>
      <c r="I444" s="13" t="str">
        <f>'1.4 Prod Bersih Ubi Jalar 2025'!K446</f>
        <v/>
      </c>
      <c r="J444" s="13" t="str">
        <f>'1.5 Prod Bersih Sagu 2025'!K446</f>
        <v/>
      </c>
      <c r="K444" s="13" t="str">
        <f>'1.6 Prod Bersih Pisang 2025'!K446</f>
        <v/>
      </c>
      <c r="L444" s="15">
        <f t="shared" si="18"/>
        <v>0</v>
      </c>
      <c r="M444" s="14" t="str">
        <f>IF(D444="","",VLOOKUP(D444,'[1]0.1 Produksi Pangan &amp; Penduduk'!$D$5:$AU$704,44,0))</f>
        <v/>
      </c>
      <c r="N444" s="26" t="str">
        <f t="shared" si="19"/>
        <v/>
      </c>
      <c r="O444" s="16"/>
      <c r="P444" s="25" t="str">
        <f t="shared" si="20"/>
        <v/>
      </c>
      <c r="Q444" s="8"/>
      <c r="R444" s="11"/>
    </row>
    <row r="445" spans="1:18" ht="15" x14ac:dyDescent="0.25">
      <c r="A445" s="3" t="str">
        <f>IF('1.1 Produksi Bersih Padi 2025'!A447="","",'1.1 Produksi Bersih Padi 2025'!A447)</f>
        <v/>
      </c>
      <c r="B445" s="32" t="str">
        <f>IF('1.1 Produksi Bersih Padi 2025'!B447="","",'1.1 Produksi Bersih Padi 2025'!B447)</f>
        <v/>
      </c>
      <c r="C445" s="32" t="str">
        <f>IF('1.1 Produksi Bersih Padi 2025'!C447="","",'1.1 Produksi Bersih Padi 2025'!C447)</f>
        <v/>
      </c>
      <c r="D445" s="3" t="str">
        <f>IF('1.1 Produksi Bersih Padi 2025'!D447="","",'1.1 Produksi Bersih Padi 2025'!D447)</f>
        <v/>
      </c>
      <c r="E445" s="3" t="str">
        <f>IF('1.1 Produksi Bersih Padi 2025'!E447="","",'1.1 Produksi Bersih Padi 2025'!E447)</f>
        <v/>
      </c>
      <c r="F445" s="13" t="str">
        <f>'1.1 Produksi Bersih Padi 2025'!Q447</f>
        <v/>
      </c>
      <c r="G445" s="13" t="str">
        <f>'1.2 Produksi Bersih Jagung 2025'!L447</f>
        <v/>
      </c>
      <c r="H445" s="13" t="str">
        <f>'1.3 Prod Bersih Ubi Kayu 2025'!K447</f>
        <v/>
      </c>
      <c r="I445" s="13" t="str">
        <f>'1.4 Prod Bersih Ubi Jalar 2025'!K447</f>
        <v/>
      </c>
      <c r="J445" s="13" t="str">
        <f>'1.5 Prod Bersih Sagu 2025'!K447</f>
        <v/>
      </c>
      <c r="K445" s="13" t="str">
        <f>'1.6 Prod Bersih Pisang 2025'!K447</f>
        <v/>
      </c>
      <c r="L445" s="15">
        <f t="shared" si="18"/>
        <v>0</v>
      </c>
      <c r="M445" s="14" t="str">
        <f>IF(D445="","",VLOOKUP(D445,'[1]0.1 Produksi Pangan &amp; Penduduk'!$D$5:$AU$704,44,0))</f>
        <v/>
      </c>
      <c r="N445" s="26" t="str">
        <f t="shared" si="19"/>
        <v/>
      </c>
      <c r="O445" s="16"/>
      <c r="P445" s="25" t="str">
        <f t="shared" si="20"/>
        <v/>
      </c>
      <c r="Q445" s="8"/>
      <c r="R445" s="11"/>
    </row>
    <row r="446" spans="1:18" ht="15" x14ac:dyDescent="0.25">
      <c r="A446" s="3" t="str">
        <f>IF('1.1 Produksi Bersih Padi 2025'!A448="","",'1.1 Produksi Bersih Padi 2025'!A448)</f>
        <v/>
      </c>
      <c r="B446" s="32" t="str">
        <f>IF('1.1 Produksi Bersih Padi 2025'!B448="","",'1.1 Produksi Bersih Padi 2025'!B448)</f>
        <v/>
      </c>
      <c r="C446" s="32" t="str">
        <f>IF('1.1 Produksi Bersih Padi 2025'!C448="","",'1.1 Produksi Bersih Padi 2025'!C448)</f>
        <v/>
      </c>
      <c r="D446" s="3" t="str">
        <f>IF('1.1 Produksi Bersih Padi 2025'!D448="","",'1.1 Produksi Bersih Padi 2025'!D448)</f>
        <v/>
      </c>
      <c r="E446" s="3" t="str">
        <f>IF('1.1 Produksi Bersih Padi 2025'!E448="","",'1.1 Produksi Bersih Padi 2025'!E448)</f>
        <v/>
      </c>
      <c r="F446" s="13" t="str">
        <f>'1.1 Produksi Bersih Padi 2025'!Q448</f>
        <v/>
      </c>
      <c r="G446" s="13" t="str">
        <f>'1.2 Produksi Bersih Jagung 2025'!L448</f>
        <v/>
      </c>
      <c r="H446" s="13" t="str">
        <f>'1.3 Prod Bersih Ubi Kayu 2025'!K448</f>
        <v/>
      </c>
      <c r="I446" s="13" t="str">
        <f>'1.4 Prod Bersih Ubi Jalar 2025'!K448</f>
        <v/>
      </c>
      <c r="J446" s="13" t="str">
        <f>'1.5 Prod Bersih Sagu 2025'!K448</f>
        <v/>
      </c>
      <c r="K446" s="13" t="str">
        <f>'1.6 Prod Bersih Pisang 2025'!K448</f>
        <v/>
      </c>
      <c r="L446" s="15">
        <f t="shared" si="18"/>
        <v>0</v>
      </c>
      <c r="M446" s="14" t="str">
        <f>IF(D446="","",VLOOKUP(D446,'[1]0.1 Produksi Pangan &amp; Penduduk'!$D$5:$AU$704,44,0))</f>
        <v/>
      </c>
      <c r="N446" s="26" t="str">
        <f t="shared" si="19"/>
        <v/>
      </c>
      <c r="O446" s="16"/>
      <c r="P446" s="25" t="str">
        <f t="shared" si="20"/>
        <v/>
      </c>
      <c r="Q446" s="8"/>
      <c r="R446" s="11"/>
    </row>
    <row r="447" spans="1:18" ht="15" x14ac:dyDescent="0.25">
      <c r="A447" s="3" t="str">
        <f>IF('1.1 Produksi Bersih Padi 2025'!A449="","",'1.1 Produksi Bersih Padi 2025'!A449)</f>
        <v/>
      </c>
      <c r="B447" s="32" t="str">
        <f>IF('1.1 Produksi Bersih Padi 2025'!B449="","",'1.1 Produksi Bersih Padi 2025'!B449)</f>
        <v/>
      </c>
      <c r="C447" s="32" t="str">
        <f>IF('1.1 Produksi Bersih Padi 2025'!C449="","",'1.1 Produksi Bersih Padi 2025'!C449)</f>
        <v/>
      </c>
      <c r="D447" s="3" t="str">
        <f>IF('1.1 Produksi Bersih Padi 2025'!D449="","",'1.1 Produksi Bersih Padi 2025'!D449)</f>
        <v/>
      </c>
      <c r="E447" s="3" t="str">
        <f>IF('1.1 Produksi Bersih Padi 2025'!E449="","",'1.1 Produksi Bersih Padi 2025'!E449)</f>
        <v/>
      </c>
      <c r="F447" s="13" t="str">
        <f>'1.1 Produksi Bersih Padi 2025'!Q449</f>
        <v/>
      </c>
      <c r="G447" s="13" t="str">
        <f>'1.2 Produksi Bersih Jagung 2025'!L449</f>
        <v/>
      </c>
      <c r="H447" s="13" t="str">
        <f>'1.3 Prod Bersih Ubi Kayu 2025'!K449</f>
        <v/>
      </c>
      <c r="I447" s="13" t="str">
        <f>'1.4 Prod Bersih Ubi Jalar 2025'!K449</f>
        <v/>
      </c>
      <c r="J447" s="13" t="str">
        <f>'1.5 Prod Bersih Sagu 2025'!K449</f>
        <v/>
      </c>
      <c r="K447" s="13" t="str">
        <f>'1.6 Prod Bersih Pisang 2025'!K449</f>
        <v/>
      </c>
      <c r="L447" s="15">
        <f t="shared" si="18"/>
        <v>0</v>
      </c>
      <c r="M447" s="14" t="str">
        <f>IF(D447="","",VLOOKUP(D447,'[1]0.1 Produksi Pangan &amp; Penduduk'!$D$5:$AU$704,44,0))</f>
        <v/>
      </c>
      <c r="N447" s="26" t="str">
        <f t="shared" si="19"/>
        <v/>
      </c>
      <c r="O447" s="16"/>
      <c r="P447" s="25" t="str">
        <f t="shared" si="20"/>
        <v/>
      </c>
      <c r="Q447" s="8"/>
      <c r="R447" s="11"/>
    </row>
    <row r="448" spans="1:18" ht="15" x14ac:dyDescent="0.25">
      <c r="A448" s="3" t="str">
        <f>IF('1.1 Produksi Bersih Padi 2025'!A450="","",'1.1 Produksi Bersih Padi 2025'!A450)</f>
        <v/>
      </c>
      <c r="B448" s="32" t="str">
        <f>IF('1.1 Produksi Bersih Padi 2025'!B450="","",'1.1 Produksi Bersih Padi 2025'!B450)</f>
        <v/>
      </c>
      <c r="C448" s="32" t="str">
        <f>IF('1.1 Produksi Bersih Padi 2025'!C450="","",'1.1 Produksi Bersih Padi 2025'!C450)</f>
        <v/>
      </c>
      <c r="D448" s="3" t="str">
        <f>IF('1.1 Produksi Bersih Padi 2025'!D450="","",'1.1 Produksi Bersih Padi 2025'!D450)</f>
        <v/>
      </c>
      <c r="E448" s="3" t="str">
        <f>IF('1.1 Produksi Bersih Padi 2025'!E450="","",'1.1 Produksi Bersih Padi 2025'!E450)</f>
        <v/>
      </c>
      <c r="F448" s="13" t="str">
        <f>'1.1 Produksi Bersih Padi 2025'!Q450</f>
        <v/>
      </c>
      <c r="G448" s="13" t="str">
        <f>'1.2 Produksi Bersih Jagung 2025'!L450</f>
        <v/>
      </c>
      <c r="H448" s="13" t="str">
        <f>'1.3 Prod Bersih Ubi Kayu 2025'!K450</f>
        <v/>
      </c>
      <c r="I448" s="13" t="str">
        <f>'1.4 Prod Bersih Ubi Jalar 2025'!K450</f>
        <v/>
      </c>
      <c r="J448" s="13" t="str">
        <f>'1.5 Prod Bersih Sagu 2025'!K450</f>
        <v/>
      </c>
      <c r="K448" s="13" t="str">
        <f>'1.6 Prod Bersih Pisang 2025'!K450</f>
        <v/>
      </c>
      <c r="L448" s="15">
        <f t="shared" si="18"/>
        <v>0</v>
      </c>
      <c r="M448" s="14" t="str">
        <f>IF(D448="","",VLOOKUP(D448,'[1]0.1 Produksi Pangan &amp; Penduduk'!$D$5:$AU$704,44,0))</f>
        <v/>
      </c>
      <c r="N448" s="26" t="str">
        <f t="shared" si="19"/>
        <v/>
      </c>
      <c r="O448" s="16"/>
      <c r="P448" s="25" t="str">
        <f t="shared" si="20"/>
        <v/>
      </c>
      <c r="Q448" s="8"/>
      <c r="R448" s="11"/>
    </row>
    <row r="449" spans="1:18" ht="15" x14ac:dyDescent="0.25">
      <c r="A449" s="3" t="str">
        <f>IF('1.1 Produksi Bersih Padi 2025'!A451="","",'1.1 Produksi Bersih Padi 2025'!A451)</f>
        <v/>
      </c>
      <c r="B449" s="32" t="str">
        <f>IF('1.1 Produksi Bersih Padi 2025'!B451="","",'1.1 Produksi Bersih Padi 2025'!B451)</f>
        <v/>
      </c>
      <c r="C449" s="32" t="str">
        <f>IF('1.1 Produksi Bersih Padi 2025'!C451="","",'1.1 Produksi Bersih Padi 2025'!C451)</f>
        <v/>
      </c>
      <c r="D449" s="3" t="str">
        <f>IF('1.1 Produksi Bersih Padi 2025'!D451="","",'1.1 Produksi Bersih Padi 2025'!D451)</f>
        <v/>
      </c>
      <c r="E449" s="3" t="str">
        <f>IF('1.1 Produksi Bersih Padi 2025'!E451="","",'1.1 Produksi Bersih Padi 2025'!E451)</f>
        <v/>
      </c>
      <c r="F449" s="13" t="str">
        <f>'1.1 Produksi Bersih Padi 2025'!Q451</f>
        <v/>
      </c>
      <c r="G449" s="13" t="str">
        <f>'1.2 Produksi Bersih Jagung 2025'!L451</f>
        <v/>
      </c>
      <c r="H449" s="13" t="str">
        <f>'1.3 Prod Bersih Ubi Kayu 2025'!K451</f>
        <v/>
      </c>
      <c r="I449" s="13" t="str">
        <f>'1.4 Prod Bersih Ubi Jalar 2025'!K451</f>
        <v/>
      </c>
      <c r="J449" s="13" t="str">
        <f>'1.5 Prod Bersih Sagu 2025'!K451</f>
        <v/>
      </c>
      <c r="K449" s="13" t="str">
        <f>'1.6 Prod Bersih Pisang 2025'!K451</f>
        <v/>
      </c>
      <c r="L449" s="15">
        <f t="shared" si="18"/>
        <v>0</v>
      </c>
      <c r="M449" s="14" t="str">
        <f>IF(D449="","",VLOOKUP(D449,'[1]0.1 Produksi Pangan &amp; Penduduk'!$D$5:$AU$704,44,0))</f>
        <v/>
      </c>
      <c r="N449" s="26" t="str">
        <f t="shared" si="19"/>
        <v/>
      </c>
      <c r="O449" s="16"/>
      <c r="P449" s="25" t="str">
        <f t="shared" si="20"/>
        <v/>
      </c>
      <c r="Q449" s="8"/>
      <c r="R449" s="11"/>
    </row>
    <row r="450" spans="1:18" ht="15" x14ac:dyDescent="0.25">
      <c r="A450" s="3" t="str">
        <f>IF('1.1 Produksi Bersih Padi 2025'!A452="","",'1.1 Produksi Bersih Padi 2025'!A452)</f>
        <v/>
      </c>
      <c r="B450" s="32" t="str">
        <f>IF('1.1 Produksi Bersih Padi 2025'!B452="","",'1.1 Produksi Bersih Padi 2025'!B452)</f>
        <v/>
      </c>
      <c r="C450" s="32" t="str">
        <f>IF('1.1 Produksi Bersih Padi 2025'!C452="","",'1.1 Produksi Bersih Padi 2025'!C452)</f>
        <v/>
      </c>
      <c r="D450" s="3" t="str">
        <f>IF('1.1 Produksi Bersih Padi 2025'!D452="","",'1.1 Produksi Bersih Padi 2025'!D452)</f>
        <v/>
      </c>
      <c r="E450" s="3" t="str">
        <f>IF('1.1 Produksi Bersih Padi 2025'!E452="","",'1.1 Produksi Bersih Padi 2025'!E452)</f>
        <v/>
      </c>
      <c r="F450" s="13" t="str">
        <f>'1.1 Produksi Bersih Padi 2025'!Q452</f>
        <v/>
      </c>
      <c r="G450" s="13" t="str">
        <f>'1.2 Produksi Bersih Jagung 2025'!L452</f>
        <v/>
      </c>
      <c r="H450" s="13" t="str">
        <f>'1.3 Prod Bersih Ubi Kayu 2025'!K452</f>
        <v/>
      </c>
      <c r="I450" s="13" t="str">
        <f>'1.4 Prod Bersih Ubi Jalar 2025'!K452</f>
        <v/>
      </c>
      <c r="J450" s="13" t="str">
        <f>'1.5 Prod Bersih Sagu 2025'!K452</f>
        <v/>
      </c>
      <c r="K450" s="13" t="str">
        <f>'1.6 Prod Bersih Pisang 2025'!K452</f>
        <v/>
      </c>
      <c r="L450" s="15">
        <f t="shared" si="18"/>
        <v>0</v>
      </c>
      <c r="M450" s="14" t="str">
        <f>IF(D450="","",VLOOKUP(D450,'[1]0.1 Produksi Pangan &amp; Penduduk'!$D$5:$AU$704,44,0))</f>
        <v/>
      </c>
      <c r="N450" s="26" t="str">
        <f t="shared" si="19"/>
        <v/>
      </c>
      <c r="O450" s="16"/>
      <c r="P450" s="25" t="str">
        <f t="shared" si="20"/>
        <v/>
      </c>
      <c r="Q450" s="8"/>
      <c r="R450" s="11"/>
    </row>
    <row r="451" spans="1:18" ht="15" x14ac:dyDescent="0.25">
      <c r="A451" s="3" t="str">
        <f>IF('1.1 Produksi Bersih Padi 2025'!A453="","",'1.1 Produksi Bersih Padi 2025'!A453)</f>
        <v/>
      </c>
      <c r="B451" s="32" t="str">
        <f>IF('1.1 Produksi Bersih Padi 2025'!B453="","",'1.1 Produksi Bersih Padi 2025'!B453)</f>
        <v/>
      </c>
      <c r="C451" s="32" t="str">
        <f>IF('1.1 Produksi Bersih Padi 2025'!C453="","",'1.1 Produksi Bersih Padi 2025'!C453)</f>
        <v/>
      </c>
      <c r="D451" s="3" t="str">
        <f>IF('1.1 Produksi Bersih Padi 2025'!D453="","",'1.1 Produksi Bersih Padi 2025'!D453)</f>
        <v/>
      </c>
      <c r="E451" s="3" t="str">
        <f>IF('1.1 Produksi Bersih Padi 2025'!E453="","",'1.1 Produksi Bersih Padi 2025'!E453)</f>
        <v/>
      </c>
      <c r="F451" s="13" t="str">
        <f>'1.1 Produksi Bersih Padi 2025'!Q453</f>
        <v/>
      </c>
      <c r="G451" s="13" t="str">
        <f>'1.2 Produksi Bersih Jagung 2025'!L453</f>
        <v/>
      </c>
      <c r="H451" s="13" t="str">
        <f>'1.3 Prod Bersih Ubi Kayu 2025'!K453</f>
        <v/>
      </c>
      <c r="I451" s="13" t="str">
        <f>'1.4 Prod Bersih Ubi Jalar 2025'!K453</f>
        <v/>
      </c>
      <c r="J451" s="13" t="str">
        <f>'1.5 Prod Bersih Sagu 2025'!K453</f>
        <v/>
      </c>
      <c r="K451" s="13" t="str">
        <f>'1.6 Prod Bersih Pisang 2025'!K453</f>
        <v/>
      </c>
      <c r="L451" s="15">
        <f t="shared" si="18"/>
        <v>0</v>
      </c>
      <c r="M451" s="14" t="str">
        <f>IF(D451="","",VLOOKUP(D451,'[1]0.1 Produksi Pangan &amp; Penduduk'!$D$5:$AU$704,44,0))</f>
        <v/>
      </c>
      <c r="N451" s="26" t="str">
        <f t="shared" si="19"/>
        <v/>
      </c>
      <c r="O451" s="16"/>
      <c r="P451" s="25" t="str">
        <f t="shared" si="20"/>
        <v/>
      </c>
      <c r="Q451" s="8"/>
      <c r="R451" s="11"/>
    </row>
    <row r="452" spans="1:18" ht="15" x14ac:dyDescent="0.25">
      <c r="A452" s="3" t="str">
        <f>IF('1.1 Produksi Bersih Padi 2025'!A454="","",'1.1 Produksi Bersih Padi 2025'!A454)</f>
        <v/>
      </c>
      <c r="B452" s="32" t="str">
        <f>IF('1.1 Produksi Bersih Padi 2025'!B454="","",'1.1 Produksi Bersih Padi 2025'!B454)</f>
        <v/>
      </c>
      <c r="C452" s="32" t="str">
        <f>IF('1.1 Produksi Bersih Padi 2025'!C454="","",'1.1 Produksi Bersih Padi 2025'!C454)</f>
        <v/>
      </c>
      <c r="D452" s="3" t="str">
        <f>IF('1.1 Produksi Bersih Padi 2025'!D454="","",'1.1 Produksi Bersih Padi 2025'!D454)</f>
        <v/>
      </c>
      <c r="E452" s="3" t="str">
        <f>IF('1.1 Produksi Bersih Padi 2025'!E454="","",'1.1 Produksi Bersih Padi 2025'!E454)</f>
        <v/>
      </c>
      <c r="F452" s="13" t="str">
        <f>'1.1 Produksi Bersih Padi 2025'!Q454</f>
        <v/>
      </c>
      <c r="G452" s="13" t="str">
        <f>'1.2 Produksi Bersih Jagung 2025'!L454</f>
        <v/>
      </c>
      <c r="H452" s="13" t="str">
        <f>'1.3 Prod Bersih Ubi Kayu 2025'!K454</f>
        <v/>
      </c>
      <c r="I452" s="13" t="str">
        <f>'1.4 Prod Bersih Ubi Jalar 2025'!K454</f>
        <v/>
      </c>
      <c r="J452" s="13" t="str">
        <f>'1.5 Prod Bersih Sagu 2025'!K454</f>
        <v/>
      </c>
      <c r="K452" s="13" t="str">
        <f>'1.6 Prod Bersih Pisang 2025'!K454</f>
        <v/>
      </c>
      <c r="L452" s="15">
        <f t="shared" ref="L452:L515" si="21">IFERROR(SUM(F452:K452),0)</f>
        <v>0</v>
      </c>
      <c r="M452" s="14" t="str">
        <f>IF(D452="","",VLOOKUP(D452,'[1]0.1 Produksi Pangan &amp; Penduduk'!$D$5:$AU$704,44,0))</f>
        <v/>
      </c>
      <c r="N452" s="26" t="str">
        <f t="shared" ref="N452:N515" si="22">IF(M452="","",IFERROR((L452*1000*1000/M452)/365,"-"))</f>
        <v/>
      </c>
      <c r="O452" s="16"/>
      <c r="P452" s="25" t="str">
        <f t="shared" ref="P452:P515" si="23">IF(N452="","",IFERROR(300/N452,"-"))</f>
        <v/>
      </c>
      <c r="Q452" s="8"/>
      <c r="R452" s="11"/>
    </row>
    <row r="453" spans="1:18" ht="15" x14ac:dyDescent="0.25">
      <c r="A453" s="3" t="str">
        <f>IF('1.1 Produksi Bersih Padi 2025'!A455="","",'1.1 Produksi Bersih Padi 2025'!A455)</f>
        <v/>
      </c>
      <c r="B453" s="32" t="str">
        <f>IF('1.1 Produksi Bersih Padi 2025'!B455="","",'1.1 Produksi Bersih Padi 2025'!B455)</f>
        <v/>
      </c>
      <c r="C453" s="32" t="str">
        <f>IF('1.1 Produksi Bersih Padi 2025'!C455="","",'1.1 Produksi Bersih Padi 2025'!C455)</f>
        <v/>
      </c>
      <c r="D453" s="3" t="str">
        <f>IF('1.1 Produksi Bersih Padi 2025'!D455="","",'1.1 Produksi Bersih Padi 2025'!D455)</f>
        <v/>
      </c>
      <c r="E453" s="3" t="str">
        <f>IF('1.1 Produksi Bersih Padi 2025'!E455="","",'1.1 Produksi Bersih Padi 2025'!E455)</f>
        <v/>
      </c>
      <c r="F453" s="13" t="str">
        <f>'1.1 Produksi Bersih Padi 2025'!Q455</f>
        <v/>
      </c>
      <c r="G453" s="13" t="str">
        <f>'1.2 Produksi Bersih Jagung 2025'!L455</f>
        <v/>
      </c>
      <c r="H453" s="13" t="str">
        <f>'1.3 Prod Bersih Ubi Kayu 2025'!K455</f>
        <v/>
      </c>
      <c r="I453" s="13" t="str">
        <f>'1.4 Prod Bersih Ubi Jalar 2025'!K455</f>
        <v/>
      </c>
      <c r="J453" s="13" t="str">
        <f>'1.5 Prod Bersih Sagu 2025'!K455</f>
        <v/>
      </c>
      <c r="K453" s="13" t="str">
        <f>'1.6 Prod Bersih Pisang 2025'!K455</f>
        <v/>
      </c>
      <c r="L453" s="15">
        <f t="shared" si="21"/>
        <v>0</v>
      </c>
      <c r="M453" s="14" t="str">
        <f>IF(D453="","",VLOOKUP(D453,'[1]0.1 Produksi Pangan &amp; Penduduk'!$D$5:$AU$704,44,0))</f>
        <v/>
      </c>
      <c r="N453" s="26" t="str">
        <f t="shared" si="22"/>
        <v/>
      </c>
      <c r="O453" s="16"/>
      <c r="P453" s="25" t="str">
        <f t="shared" si="23"/>
        <v/>
      </c>
      <c r="Q453" s="8"/>
      <c r="R453" s="11"/>
    </row>
    <row r="454" spans="1:18" ht="15" x14ac:dyDescent="0.25">
      <c r="A454" s="3" t="str">
        <f>IF('1.1 Produksi Bersih Padi 2025'!A456="","",'1.1 Produksi Bersih Padi 2025'!A456)</f>
        <v/>
      </c>
      <c r="B454" s="32" t="str">
        <f>IF('1.1 Produksi Bersih Padi 2025'!B456="","",'1.1 Produksi Bersih Padi 2025'!B456)</f>
        <v/>
      </c>
      <c r="C454" s="32" t="str">
        <f>IF('1.1 Produksi Bersih Padi 2025'!C456="","",'1.1 Produksi Bersih Padi 2025'!C456)</f>
        <v/>
      </c>
      <c r="D454" s="3" t="str">
        <f>IF('1.1 Produksi Bersih Padi 2025'!D456="","",'1.1 Produksi Bersih Padi 2025'!D456)</f>
        <v/>
      </c>
      <c r="E454" s="3" t="str">
        <f>IF('1.1 Produksi Bersih Padi 2025'!E456="","",'1.1 Produksi Bersih Padi 2025'!E456)</f>
        <v/>
      </c>
      <c r="F454" s="13" t="str">
        <f>'1.1 Produksi Bersih Padi 2025'!Q456</f>
        <v/>
      </c>
      <c r="G454" s="13" t="str">
        <f>'1.2 Produksi Bersih Jagung 2025'!L456</f>
        <v/>
      </c>
      <c r="H454" s="13" t="str">
        <f>'1.3 Prod Bersih Ubi Kayu 2025'!K456</f>
        <v/>
      </c>
      <c r="I454" s="13" t="str">
        <f>'1.4 Prod Bersih Ubi Jalar 2025'!K456</f>
        <v/>
      </c>
      <c r="J454" s="13" t="str">
        <f>'1.5 Prod Bersih Sagu 2025'!K456</f>
        <v/>
      </c>
      <c r="K454" s="13" t="str">
        <f>'1.6 Prod Bersih Pisang 2025'!K456</f>
        <v/>
      </c>
      <c r="L454" s="15">
        <f t="shared" si="21"/>
        <v>0</v>
      </c>
      <c r="M454" s="14" t="str">
        <f>IF(D454="","",VLOOKUP(D454,'[1]0.1 Produksi Pangan &amp; Penduduk'!$D$5:$AU$704,44,0))</f>
        <v/>
      </c>
      <c r="N454" s="26" t="str">
        <f t="shared" si="22"/>
        <v/>
      </c>
      <c r="O454" s="16"/>
      <c r="P454" s="25" t="str">
        <f t="shared" si="23"/>
        <v/>
      </c>
      <c r="Q454" s="8"/>
      <c r="R454" s="11"/>
    </row>
    <row r="455" spans="1:18" ht="15" x14ac:dyDescent="0.25">
      <c r="A455" s="3" t="str">
        <f>IF('1.1 Produksi Bersih Padi 2025'!A457="","",'1.1 Produksi Bersih Padi 2025'!A457)</f>
        <v/>
      </c>
      <c r="B455" s="32" t="str">
        <f>IF('1.1 Produksi Bersih Padi 2025'!B457="","",'1.1 Produksi Bersih Padi 2025'!B457)</f>
        <v/>
      </c>
      <c r="C455" s="32" t="str">
        <f>IF('1.1 Produksi Bersih Padi 2025'!C457="","",'1.1 Produksi Bersih Padi 2025'!C457)</f>
        <v/>
      </c>
      <c r="D455" s="3" t="str">
        <f>IF('1.1 Produksi Bersih Padi 2025'!D457="","",'1.1 Produksi Bersih Padi 2025'!D457)</f>
        <v/>
      </c>
      <c r="E455" s="3" t="str">
        <f>IF('1.1 Produksi Bersih Padi 2025'!E457="","",'1.1 Produksi Bersih Padi 2025'!E457)</f>
        <v/>
      </c>
      <c r="F455" s="13" t="str">
        <f>'1.1 Produksi Bersih Padi 2025'!Q457</f>
        <v/>
      </c>
      <c r="G455" s="13" t="str">
        <f>'1.2 Produksi Bersih Jagung 2025'!L457</f>
        <v/>
      </c>
      <c r="H455" s="13" t="str">
        <f>'1.3 Prod Bersih Ubi Kayu 2025'!K457</f>
        <v/>
      </c>
      <c r="I455" s="13" t="str">
        <f>'1.4 Prod Bersih Ubi Jalar 2025'!K457</f>
        <v/>
      </c>
      <c r="J455" s="13" t="str">
        <f>'1.5 Prod Bersih Sagu 2025'!K457</f>
        <v/>
      </c>
      <c r="K455" s="13" t="str">
        <f>'1.6 Prod Bersih Pisang 2025'!K457</f>
        <v/>
      </c>
      <c r="L455" s="15">
        <f t="shared" si="21"/>
        <v>0</v>
      </c>
      <c r="M455" s="14" t="str">
        <f>IF(D455="","",VLOOKUP(D455,'[1]0.1 Produksi Pangan &amp; Penduduk'!$D$5:$AU$704,44,0))</f>
        <v/>
      </c>
      <c r="N455" s="26" t="str">
        <f t="shared" si="22"/>
        <v/>
      </c>
      <c r="O455" s="16"/>
      <c r="P455" s="25" t="str">
        <f t="shared" si="23"/>
        <v/>
      </c>
      <c r="Q455" s="8"/>
      <c r="R455" s="11"/>
    </row>
    <row r="456" spans="1:18" ht="15" x14ac:dyDescent="0.25">
      <c r="A456" s="3" t="str">
        <f>IF('1.1 Produksi Bersih Padi 2025'!A458="","",'1.1 Produksi Bersih Padi 2025'!A458)</f>
        <v/>
      </c>
      <c r="B456" s="32" t="str">
        <f>IF('1.1 Produksi Bersih Padi 2025'!B458="","",'1.1 Produksi Bersih Padi 2025'!B458)</f>
        <v/>
      </c>
      <c r="C456" s="32" t="str">
        <f>IF('1.1 Produksi Bersih Padi 2025'!C458="","",'1.1 Produksi Bersih Padi 2025'!C458)</f>
        <v/>
      </c>
      <c r="D456" s="3" t="str">
        <f>IF('1.1 Produksi Bersih Padi 2025'!D458="","",'1.1 Produksi Bersih Padi 2025'!D458)</f>
        <v/>
      </c>
      <c r="E456" s="3" t="str">
        <f>IF('1.1 Produksi Bersih Padi 2025'!E458="","",'1.1 Produksi Bersih Padi 2025'!E458)</f>
        <v/>
      </c>
      <c r="F456" s="13" t="str">
        <f>'1.1 Produksi Bersih Padi 2025'!Q458</f>
        <v/>
      </c>
      <c r="G456" s="13" t="str">
        <f>'1.2 Produksi Bersih Jagung 2025'!L458</f>
        <v/>
      </c>
      <c r="H456" s="13" t="str">
        <f>'1.3 Prod Bersih Ubi Kayu 2025'!K458</f>
        <v/>
      </c>
      <c r="I456" s="13" t="str">
        <f>'1.4 Prod Bersih Ubi Jalar 2025'!K458</f>
        <v/>
      </c>
      <c r="J456" s="13" t="str">
        <f>'1.5 Prod Bersih Sagu 2025'!K458</f>
        <v/>
      </c>
      <c r="K456" s="13" t="str">
        <f>'1.6 Prod Bersih Pisang 2025'!K458</f>
        <v/>
      </c>
      <c r="L456" s="15">
        <f t="shared" si="21"/>
        <v>0</v>
      </c>
      <c r="M456" s="14" t="str">
        <f>IF(D456="","",VLOOKUP(D456,'[1]0.1 Produksi Pangan &amp; Penduduk'!$D$5:$AU$704,44,0))</f>
        <v/>
      </c>
      <c r="N456" s="26" t="str">
        <f t="shared" si="22"/>
        <v/>
      </c>
      <c r="O456" s="16"/>
      <c r="P456" s="25" t="str">
        <f t="shared" si="23"/>
        <v/>
      </c>
      <c r="Q456" s="8"/>
      <c r="R456" s="11"/>
    </row>
    <row r="457" spans="1:18" ht="15" x14ac:dyDescent="0.25">
      <c r="A457" s="3" t="str">
        <f>IF('1.1 Produksi Bersih Padi 2025'!A459="","",'1.1 Produksi Bersih Padi 2025'!A459)</f>
        <v/>
      </c>
      <c r="B457" s="32" t="str">
        <f>IF('1.1 Produksi Bersih Padi 2025'!B459="","",'1.1 Produksi Bersih Padi 2025'!B459)</f>
        <v/>
      </c>
      <c r="C457" s="32" t="str">
        <f>IF('1.1 Produksi Bersih Padi 2025'!C459="","",'1.1 Produksi Bersih Padi 2025'!C459)</f>
        <v/>
      </c>
      <c r="D457" s="3" t="str">
        <f>IF('1.1 Produksi Bersih Padi 2025'!D459="","",'1.1 Produksi Bersih Padi 2025'!D459)</f>
        <v/>
      </c>
      <c r="E457" s="3" t="str">
        <f>IF('1.1 Produksi Bersih Padi 2025'!E459="","",'1.1 Produksi Bersih Padi 2025'!E459)</f>
        <v/>
      </c>
      <c r="F457" s="13" t="str">
        <f>'1.1 Produksi Bersih Padi 2025'!Q459</f>
        <v/>
      </c>
      <c r="G457" s="13" t="str">
        <f>'1.2 Produksi Bersih Jagung 2025'!L459</f>
        <v/>
      </c>
      <c r="H457" s="13" t="str">
        <f>'1.3 Prod Bersih Ubi Kayu 2025'!K459</f>
        <v/>
      </c>
      <c r="I457" s="13" t="str">
        <f>'1.4 Prod Bersih Ubi Jalar 2025'!K459</f>
        <v/>
      </c>
      <c r="J457" s="13" t="str">
        <f>'1.5 Prod Bersih Sagu 2025'!K459</f>
        <v/>
      </c>
      <c r="K457" s="13" t="str">
        <f>'1.6 Prod Bersih Pisang 2025'!K459</f>
        <v/>
      </c>
      <c r="L457" s="15">
        <f t="shared" si="21"/>
        <v>0</v>
      </c>
      <c r="M457" s="14" t="str">
        <f>IF(D457="","",VLOOKUP(D457,'[1]0.1 Produksi Pangan &amp; Penduduk'!$D$5:$AU$704,44,0))</f>
        <v/>
      </c>
      <c r="N457" s="26" t="str">
        <f t="shared" si="22"/>
        <v/>
      </c>
      <c r="O457" s="16"/>
      <c r="P457" s="25" t="str">
        <f t="shared" si="23"/>
        <v/>
      </c>
      <c r="Q457" s="8"/>
      <c r="R457" s="11"/>
    </row>
    <row r="458" spans="1:18" ht="15" x14ac:dyDescent="0.25">
      <c r="A458" s="3" t="str">
        <f>IF('1.1 Produksi Bersih Padi 2025'!A460="","",'1.1 Produksi Bersih Padi 2025'!A460)</f>
        <v/>
      </c>
      <c r="B458" s="32" t="str">
        <f>IF('1.1 Produksi Bersih Padi 2025'!B460="","",'1.1 Produksi Bersih Padi 2025'!B460)</f>
        <v/>
      </c>
      <c r="C458" s="32" t="str">
        <f>IF('1.1 Produksi Bersih Padi 2025'!C460="","",'1.1 Produksi Bersih Padi 2025'!C460)</f>
        <v/>
      </c>
      <c r="D458" s="3" t="str">
        <f>IF('1.1 Produksi Bersih Padi 2025'!D460="","",'1.1 Produksi Bersih Padi 2025'!D460)</f>
        <v/>
      </c>
      <c r="E458" s="3" t="str">
        <f>IF('1.1 Produksi Bersih Padi 2025'!E460="","",'1.1 Produksi Bersih Padi 2025'!E460)</f>
        <v/>
      </c>
      <c r="F458" s="13" t="str">
        <f>'1.1 Produksi Bersih Padi 2025'!Q460</f>
        <v/>
      </c>
      <c r="G458" s="13" t="str">
        <f>'1.2 Produksi Bersih Jagung 2025'!L460</f>
        <v/>
      </c>
      <c r="H458" s="13" t="str">
        <f>'1.3 Prod Bersih Ubi Kayu 2025'!K460</f>
        <v/>
      </c>
      <c r="I458" s="13" t="str">
        <f>'1.4 Prod Bersih Ubi Jalar 2025'!K460</f>
        <v/>
      </c>
      <c r="J458" s="13" t="str">
        <f>'1.5 Prod Bersih Sagu 2025'!K460</f>
        <v/>
      </c>
      <c r="K458" s="13" t="str">
        <f>'1.6 Prod Bersih Pisang 2025'!K460</f>
        <v/>
      </c>
      <c r="L458" s="15">
        <f t="shared" si="21"/>
        <v>0</v>
      </c>
      <c r="M458" s="14" t="str">
        <f>IF(D458="","",VLOOKUP(D458,'[1]0.1 Produksi Pangan &amp; Penduduk'!$D$5:$AU$704,44,0))</f>
        <v/>
      </c>
      <c r="N458" s="26" t="str">
        <f t="shared" si="22"/>
        <v/>
      </c>
      <c r="O458" s="16"/>
      <c r="P458" s="25" t="str">
        <f t="shared" si="23"/>
        <v/>
      </c>
      <c r="Q458" s="8"/>
      <c r="R458" s="11"/>
    </row>
    <row r="459" spans="1:18" ht="15" x14ac:dyDescent="0.25">
      <c r="A459" s="3" t="str">
        <f>IF('1.1 Produksi Bersih Padi 2025'!A461="","",'1.1 Produksi Bersih Padi 2025'!A461)</f>
        <v/>
      </c>
      <c r="B459" s="32" t="str">
        <f>IF('1.1 Produksi Bersih Padi 2025'!B461="","",'1.1 Produksi Bersih Padi 2025'!B461)</f>
        <v/>
      </c>
      <c r="C459" s="32" t="str">
        <f>IF('1.1 Produksi Bersih Padi 2025'!C461="","",'1.1 Produksi Bersih Padi 2025'!C461)</f>
        <v/>
      </c>
      <c r="D459" s="3" t="str">
        <f>IF('1.1 Produksi Bersih Padi 2025'!D461="","",'1.1 Produksi Bersih Padi 2025'!D461)</f>
        <v/>
      </c>
      <c r="E459" s="3" t="str">
        <f>IF('1.1 Produksi Bersih Padi 2025'!E461="","",'1.1 Produksi Bersih Padi 2025'!E461)</f>
        <v/>
      </c>
      <c r="F459" s="13" t="str">
        <f>'1.1 Produksi Bersih Padi 2025'!Q461</f>
        <v/>
      </c>
      <c r="G459" s="13" t="str">
        <f>'1.2 Produksi Bersih Jagung 2025'!L461</f>
        <v/>
      </c>
      <c r="H459" s="13" t="str">
        <f>'1.3 Prod Bersih Ubi Kayu 2025'!K461</f>
        <v/>
      </c>
      <c r="I459" s="13" t="str">
        <f>'1.4 Prod Bersih Ubi Jalar 2025'!K461</f>
        <v/>
      </c>
      <c r="J459" s="13" t="str">
        <f>'1.5 Prod Bersih Sagu 2025'!K461</f>
        <v/>
      </c>
      <c r="K459" s="13" t="str">
        <f>'1.6 Prod Bersih Pisang 2025'!K461</f>
        <v/>
      </c>
      <c r="L459" s="15">
        <f t="shared" si="21"/>
        <v>0</v>
      </c>
      <c r="M459" s="14" t="str">
        <f>IF(D459="","",VLOOKUP(D459,'[1]0.1 Produksi Pangan &amp; Penduduk'!$D$5:$AU$704,44,0))</f>
        <v/>
      </c>
      <c r="N459" s="26" t="str">
        <f t="shared" si="22"/>
        <v/>
      </c>
      <c r="O459" s="16"/>
      <c r="P459" s="25" t="str">
        <f t="shared" si="23"/>
        <v/>
      </c>
      <c r="Q459" s="8"/>
      <c r="R459" s="11"/>
    </row>
    <row r="460" spans="1:18" ht="15" x14ac:dyDescent="0.25">
      <c r="A460" s="3" t="str">
        <f>IF('1.1 Produksi Bersih Padi 2025'!A462="","",'1.1 Produksi Bersih Padi 2025'!A462)</f>
        <v/>
      </c>
      <c r="B460" s="32" t="str">
        <f>IF('1.1 Produksi Bersih Padi 2025'!B462="","",'1.1 Produksi Bersih Padi 2025'!B462)</f>
        <v/>
      </c>
      <c r="C460" s="32" t="str">
        <f>IF('1.1 Produksi Bersih Padi 2025'!C462="","",'1.1 Produksi Bersih Padi 2025'!C462)</f>
        <v/>
      </c>
      <c r="D460" s="3" t="str">
        <f>IF('1.1 Produksi Bersih Padi 2025'!D462="","",'1.1 Produksi Bersih Padi 2025'!D462)</f>
        <v/>
      </c>
      <c r="E460" s="3" t="str">
        <f>IF('1.1 Produksi Bersih Padi 2025'!E462="","",'1.1 Produksi Bersih Padi 2025'!E462)</f>
        <v/>
      </c>
      <c r="F460" s="13" t="str">
        <f>'1.1 Produksi Bersih Padi 2025'!Q462</f>
        <v/>
      </c>
      <c r="G460" s="13" t="str">
        <f>'1.2 Produksi Bersih Jagung 2025'!L462</f>
        <v/>
      </c>
      <c r="H460" s="13" t="str">
        <f>'1.3 Prod Bersih Ubi Kayu 2025'!K462</f>
        <v/>
      </c>
      <c r="I460" s="13" t="str">
        <f>'1.4 Prod Bersih Ubi Jalar 2025'!K462</f>
        <v/>
      </c>
      <c r="J460" s="13" t="str">
        <f>'1.5 Prod Bersih Sagu 2025'!K462</f>
        <v/>
      </c>
      <c r="K460" s="13" t="str">
        <f>'1.6 Prod Bersih Pisang 2025'!K462</f>
        <v/>
      </c>
      <c r="L460" s="15">
        <f t="shared" si="21"/>
        <v>0</v>
      </c>
      <c r="M460" s="14" t="str">
        <f>IF(D460="","",VLOOKUP(D460,'[1]0.1 Produksi Pangan &amp; Penduduk'!$D$5:$AU$704,44,0))</f>
        <v/>
      </c>
      <c r="N460" s="26" t="str">
        <f t="shared" si="22"/>
        <v/>
      </c>
      <c r="O460" s="16"/>
      <c r="P460" s="25" t="str">
        <f t="shared" si="23"/>
        <v/>
      </c>
      <c r="Q460" s="8"/>
      <c r="R460" s="11"/>
    </row>
    <row r="461" spans="1:18" ht="15" x14ac:dyDescent="0.25">
      <c r="A461" s="3" t="str">
        <f>IF('1.1 Produksi Bersih Padi 2025'!A463="","",'1.1 Produksi Bersih Padi 2025'!A463)</f>
        <v/>
      </c>
      <c r="B461" s="32" t="str">
        <f>IF('1.1 Produksi Bersih Padi 2025'!B463="","",'1.1 Produksi Bersih Padi 2025'!B463)</f>
        <v/>
      </c>
      <c r="C461" s="32" t="str">
        <f>IF('1.1 Produksi Bersih Padi 2025'!C463="","",'1.1 Produksi Bersih Padi 2025'!C463)</f>
        <v/>
      </c>
      <c r="D461" s="3" t="str">
        <f>IF('1.1 Produksi Bersih Padi 2025'!D463="","",'1.1 Produksi Bersih Padi 2025'!D463)</f>
        <v/>
      </c>
      <c r="E461" s="3" t="str">
        <f>IF('1.1 Produksi Bersih Padi 2025'!E463="","",'1.1 Produksi Bersih Padi 2025'!E463)</f>
        <v/>
      </c>
      <c r="F461" s="13" t="str">
        <f>'1.1 Produksi Bersih Padi 2025'!Q463</f>
        <v/>
      </c>
      <c r="G461" s="13" t="str">
        <f>'1.2 Produksi Bersih Jagung 2025'!L463</f>
        <v/>
      </c>
      <c r="H461" s="13" t="str">
        <f>'1.3 Prod Bersih Ubi Kayu 2025'!K463</f>
        <v/>
      </c>
      <c r="I461" s="13" t="str">
        <f>'1.4 Prod Bersih Ubi Jalar 2025'!K463</f>
        <v/>
      </c>
      <c r="J461" s="13" t="str">
        <f>'1.5 Prod Bersih Sagu 2025'!K463</f>
        <v/>
      </c>
      <c r="K461" s="13" t="str">
        <f>'1.6 Prod Bersih Pisang 2025'!K463</f>
        <v/>
      </c>
      <c r="L461" s="15">
        <f t="shared" si="21"/>
        <v>0</v>
      </c>
      <c r="M461" s="14" t="str">
        <f>IF(D461="","",VLOOKUP(D461,'[1]0.1 Produksi Pangan &amp; Penduduk'!$D$5:$AU$704,44,0))</f>
        <v/>
      </c>
      <c r="N461" s="26" t="str">
        <f t="shared" si="22"/>
        <v/>
      </c>
      <c r="O461" s="16"/>
      <c r="P461" s="25" t="str">
        <f t="shared" si="23"/>
        <v/>
      </c>
      <c r="Q461" s="8"/>
      <c r="R461" s="11"/>
    </row>
    <row r="462" spans="1:18" ht="15" x14ac:dyDescent="0.25">
      <c r="A462" s="3" t="str">
        <f>IF('1.1 Produksi Bersih Padi 2025'!A464="","",'1.1 Produksi Bersih Padi 2025'!A464)</f>
        <v/>
      </c>
      <c r="B462" s="32" t="str">
        <f>IF('1.1 Produksi Bersih Padi 2025'!B464="","",'1.1 Produksi Bersih Padi 2025'!B464)</f>
        <v/>
      </c>
      <c r="C462" s="32" t="str">
        <f>IF('1.1 Produksi Bersih Padi 2025'!C464="","",'1.1 Produksi Bersih Padi 2025'!C464)</f>
        <v/>
      </c>
      <c r="D462" s="3" t="str">
        <f>IF('1.1 Produksi Bersih Padi 2025'!D464="","",'1.1 Produksi Bersih Padi 2025'!D464)</f>
        <v/>
      </c>
      <c r="E462" s="3" t="str">
        <f>IF('1.1 Produksi Bersih Padi 2025'!E464="","",'1.1 Produksi Bersih Padi 2025'!E464)</f>
        <v/>
      </c>
      <c r="F462" s="13" t="str">
        <f>'1.1 Produksi Bersih Padi 2025'!Q464</f>
        <v/>
      </c>
      <c r="G462" s="13" t="str">
        <f>'1.2 Produksi Bersih Jagung 2025'!L464</f>
        <v/>
      </c>
      <c r="H462" s="13" t="str">
        <f>'1.3 Prod Bersih Ubi Kayu 2025'!K464</f>
        <v/>
      </c>
      <c r="I462" s="13" t="str">
        <f>'1.4 Prod Bersih Ubi Jalar 2025'!K464</f>
        <v/>
      </c>
      <c r="J462" s="13" t="str">
        <f>'1.5 Prod Bersih Sagu 2025'!K464</f>
        <v/>
      </c>
      <c r="K462" s="13" t="str">
        <f>'1.6 Prod Bersih Pisang 2025'!K464</f>
        <v/>
      </c>
      <c r="L462" s="15">
        <f t="shared" si="21"/>
        <v>0</v>
      </c>
      <c r="M462" s="14" t="str">
        <f>IF(D462="","",VLOOKUP(D462,'[1]0.1 Produksi Pangan &amp; Penduduk'!$D$5:$AU$704,44,0))</f>
        <v/>
      </c>
      <c r="N462" s="26" t="str">
        <f t="shared" si="22"/>
        <v/>
      </c>
      <c r="O462" s="16"/>
      <c r="P462" s="25" t="str">
        <f t="shared" si="23"/>
        <v/>
      </c>
      <c r="Q462" s="8"/>
      <c r="R462" s="11"/>
    </row>
    <row r="463" spans="1:18" ht="15" x14ac:dyDescent="0.25">
      <c r="A463" s="3" t="str">
        <f>IF('1.1 Produksi Bersih Padi 2025'!A465="","",'1.1 Produksi Bersih Padi 2025'!A465)</f>
        <v/>
      </c>
      <c r="B463" s="32" t="str">
        <f>IF('1.1 Produksi Bersih Padi 2025'!B465="","",'1.1 Produksi Bersih Padi 2025'!B465)</f>
        <v/>
      </c>
      <c r="C463" s="32" t="str">
        <f>IF('1.1 Produksi Bersih Padi 2025'!C465="","",'1.1 Produksi Bersih Padi 2025'!C465)</f>
        <v/>
      </c>
      <c r="D463" s="3" t="str">
        <f>IF('1.1 Produksi Bersih Padi 2025'!D465="","",'1.1 Produksi Bersih Padi 2025'!D465)</f>
        <v/>
      </c>
      <c r="E463" s="3" t="str">
        <f>IF('1.1 Produksi Bersih Padi 2025'!E465="","",'1.1 Produksi Bersih Padi 2025'!E465)</f>
        <v/>
      </c>
      <c r="F463" s="13" t="str">
        <f>'1.1 Produksi Bersih Padi 2025'!Q465</f>
        <v/>
      </c>
      <c r="G463" s="13" t="str">
        <f>'1.2 Produksi Bersih Jagung 2025'!L465</f>
        <v/>
      </c>
      <c r="H463" s="13" t="str">
        <f>'1.3 Prod Bersih Ubi Kayu 2025'!K465</f>
        <v/>
      </c>
      <c r="I463" s="13" t="str">
        <f>'1.4 Prod Bersih Ubi Jalar 2025'!K465</f>
        <v/>
      </c>
      <c r="J463" s="13" t="str">
        <f>'1.5 Prod Bersih Sagu 2025'!K465</f>
        <v/>
      </c>
      <c r="K463" s="13" t="str">
        <f>'1.6 Prod Bersih Pisang 2025'!K465</f>
        <v/>
      </c>
      <c r="L463" s="15">
        <f t="shared" si="21"/>
        <v>0</v>
      </c>
      <c r="M463" s="14" t="str">
        <f>IF(D463="","",VLOOKUP(D463,'[1]0.1 Produksi Pangan &amp; Penduduk'!$D$5:$AU$704,44,0))</f>
        <v/>
      </c>
      <c r="N463" s="26" t="str">
        <f t="shared" si="22"/>
        <v/>
      </c>
      <c r="O463" s="16"/>
      <c r="P463" s="25" t="str">
        <f t="shared" si="23"/>
        <v/>
      </c>
      <c r="Q463" s="8"/>
      <c r="R463" s="11"/>
    </row>
    <row r="464" spans="1:18" ht="15" x14ac:dyDescent="0.25">
      <c r="A464" s="3" t="str">
        <f>IF('1.1 Produksi Bersih Padi 2025'!A466="","",'1.1 Produksi Bersih Padi 2025'!A466)</f>
        <v/>
      </c>
      <c r="B464" s="32" t="str">
        <f>IF('1.1 Produksi Bersih Padi 2025'!B466="","",'1.1 Produksi Bersih Padi 2025'!B466)</f>
        <v/>
      </c>
      <c r="C464" s="32" t="str">
        <f>IF('1.1 Produksi Bersih Padi 2025'!C466="","",'1.1 Produksi Bersih Padi 2025'!C466)</f>
        <v/>
      </c>
      <c r="D464" s="3" t="str">
        <f>IF('1.1 Produksi Bersih Padi 2025'!D466="","",'1.1 Produksi Bersih Padi 2025'!D466)</f>
        <v/>
      </c>
      <c r="E464" s="3" t="str">
        <f>IF('1.1 Produksi Bersih Padi 2025'!E466="","",'1.1 Produksi Bersih Padi 2025'!E466)</f>
        <v/>
      </c>
      <c r="F464" s="13" t="str">
        <f>'1.1 Produksi Bersih Padi 2025'!Q466</f>
        <v/>
      </c>
      <c r="G464" s="13" t="str">
        <f>'1.2 Produksi Bersih Jagung 2025'!L466</f>
        <v/>
      </c>
      <c r="H464" s="13" t="str">
        <f>'1.3 Prod Bersih Ubi Kayu 2025'!K466</f>
        <v/>
      </c>
      <c r="I464" s="13" t="str">
        <f>'1.4 Prod Bersih Ubi Jalar 2025'!K466</f>
        <v/>
      </c>
      <c r="J464" s="13" t="str">
        <f>'1.5 Prod Bersih Sagu 2025'!K466</f>
        <v/>
      </c>
      <c r="K464" s="13" t="str">
        <f>'1.6 Prod Bersih Pisang 2025'!K466</f>
        <v/>
      </c>
      <c r="L464" s="15">
        <f t="shared" si="21"/>
        <v>0</v>
      </c>
      <c r="M464" s="14" t="str">
        <f>IF(D464="","",VLOOKUP(D464,'[1]0.1 Produksi Pangan &amp; Penduduk'!$D$5:$AU$704,44,0))</f>
        <v/>
      </c>
      <c r="N464" s="26" t="str">
        <f t="shared" si="22"/>
        <v/>
      </c>
      <c r="O464" s="16"/>
      <c r="P464" s="25" t="str">
        <f t="shared" si="23"/>
        <v/>
      </c>
      <c r="Q464" s="8"/>
      <c r="R464" s="11"/>
    </row>
    <row r="465" spans="1:18" ht="15" x14ac:dyDescent="0.25">
      <c r="A465" s="3" t="str">
        <f>IF('1.1 Produksi Bersih Padi 2025'!A467="","",'1.1 Produksi Bersih Padi 2025'!A467)</f>
        <v/>
      </c>
      <c r="B465" s="32" t="str">
        <f>IF('1.1 Produksi Bersih Padi 2025'!B467="","",'1.1 Produksi Bersih Padi 2025'!B467)</f>
        <v/>
      </c>
      <c r="C465" s="32" t="str">
        <f>IF('1.1 Produksi Bersih Padi 2025'!C467="","",'1.1 Produksi Bersih Padi 2025'!C467)</f>
        <v/>
      </c>
      <c r="D465" s="3" t="str">
        <f>IF('1.1 Produksi Bersih Padi 2025'!D467="","",'1.1 Produksi Bersih Padi 2025'!D467)</f>
        <v/>
      </c>
      <c r="E465" s="3" t="str">
        <f>IF('1.1 Produksi Bersih Padi 2025'!E467="","",'1.1 Produksi Bersih Padi 2025'!E467)</f>
        <v/>
      </c>
      <c r="F465" s="13" t="str">
        <f>'1.1 Produksi Bersih Padi 2025'!Q467</f>
        <v/>
      </c>
      <c r="G465" s="13" t="str">
        <f>'1.2 Produksi Bersih Jagung 2025'!L467</f>
        <v/>
      </c>
      <c r="H465" s="13" t="str">
        <f>'1.3 Prod Bersih Ubi Kayu 2025'!K467</f>
        <v/>
      </c>
      <c r="I465" s="13" t="str">
        <f>'1.4 Prod Bersih Ubi Jalar 2025'!K467</f>
        <v/>
      </c>
      <c r="J465" s="13" t="str">
        <f>'1.5 Prod Bersih Sagu 2025'!K467</f>
        <v/>
      </c>
      <c r="K465" s="13" t="str">
        <f>'1.6 Prod Bersih Pisang 2025'!K467</f>
        <v/>
      </c>
      <c r="L465" s="15">
        <f t="shared" si="21"/>
        <v>0</v>
      </c>
      <c r="M465" s="14" t="str">
        <f>IF(D465="","",VLOOKUP(D465,'[1]0.1 Produksi Pangan &amp; Penduduk'!$D$5:$AU$704,44,0))</f>
        <v/>
      </c>
      <c r="N465" s="26" t="str">
        <f t="shared" si="22"/>
        <v/>
      </c>
      <c r="O465" s="16"/>
      <c r="P465" s="25" t="str">
        <f t="shared" si="23"/>
        <v/>
      </c>
      <c r="Q465" s="8"/>
      <c r="R465" s="11"/>
    </row>
    <row r="466" spans="1:18" ht="15" x14ac:dyDescent="0.25">
      <c r="A466" s="3" t="str">
        <f>IF('1.1 Produksi Bersih Padi 2025'!A468="","",'1.1 Produksi Bersih Padi 2025'!A468)</f>
        <v/>
      </c>
      <c r="B466" s="32" t="str">
        <f>IF('1.1 Produksi Bersih Padi 2025'!B468="","",'1.1 Produksi Bersih Padi 2025'!B468)</f>
        <v/>
      </c>
      <c r="C466" s="32" t="str">
        <f>IF('1.1 Produksi Bersih Padi 2025'!C468="","",'1.1 Produksi Bersih Padi 2025'!C468)</f>
        <v/>
      </c>
      <c r="D466" s="3" t="str">
        <f>IF('1.1 Produksi Bersih Padi 2025'!D468="","",'1.1 Produksi Bersih Padi 2025'!D468)</f>
        <v/>
      </c>
      <c r="E466" s="3" t="str">
        <f>IF('1.1 Produksi Bersih Padi 2025'!E468="","",'1.1 Produksi Bersih Padi 2025'!E468)</f>
        <v/>
      </c>
      <c r="F466" s="13" t="str">
        <f>'1.1 Produksi Bersih Padi 2025'!Q468</f>
        <v/>
      </c>
      <c r="G466" s="13" t="str">
        <f>'1.2 Produksi Bersih Jagung 2025'!L468</f>
        <v/>
      </c>
      <c r="H466" s="13" t="str">
        <f>'1.3 Prod Bersih Ubi Kayu 2025'!K468</f>
        <v/>
      </c>
      <c r="I466" s="13" t="str">
        <f>'1.4 Prod Bersih Ubi Jalar 2025'!K468</f>
        <v/>
      </c>
      <c r="J466" s="13" t="str">
        <f>'1.5 Prod Bersih Sagu 2025'!K468</f>
        <v/>
      </c>
      <c r="K466" s="13" t="str">
        <f>'1.6 Prod Bersih Pisang 2025'!K468</f>
        <v/>
      </c>
      <c r="L466" s="15">
        <f t="shared" si="21"/>
        <v>0</v>
      </c>
      <c r="M466" s="14" t="str">
        <f>IF(D466="","",VLOOKUP(D466,'[1]0.1 Produksi Pangan &amp; Penduduk'!$D$5:$AU$704,44,0))</f>
        <v/>
      </c>
      <c r="N466" s="26" t="str">
        <f t="shared" si="22"/>
        <v/>
      </c>
      <c r="O466" s="16"/>
      <c r="P466" s="25" t="str">
        <f t="shared" si="23"/>
        <v/>
      </c>
      <c r="Q466" s="8"/>
      <c r="R466" s="11"/>
    </row>
    <row r="467" spans="1:18" ht="15" x14ac:dyDescent="0.25">
      <c r="A467" s="3" t="str">
        <f>IF('1.1 Produksi Bersih Padi 2025'!A469="","",'1.1 Produksi Bersih Padi 2025'!A469)</f>
        <v/>
      </c>
      <c r="B467" s="32" t="str">
        <f>IF('1.1 Produksi Bersih Padi 2025'!B469="","",'1.1 Produksi Bersih Padi 2025'!B469)</f>
        <v/>
      </c>
      <c r="C467" s="32" t="str">
        <f>IF('1.1 Produksi Bersih Padi 2025'!C469="","",'1.1 Produksi Bersih Padi 2025'!C469)</f>
        <v/>
      </c>
      <c r="D467" s="3" t="str">
        <f>IF('1.1 Produksi Bersih Padi 2025'!D469="","",'1.1 Produksi Bersih Padi 2025'!D469)</f>
        <v/>
      </c>
      <c r="E467" s="3" t="str">
        <f>IF('1.1 Produksi Bersih Padi 2025'!E469="","",'1.1 Produksi Bersih Padi 2025'!E469)</f>
        <v/>
      </c>
      <c r="F467" s="13" t="str">
        <f>'1.1 Produksi Bersih Padi 2025'!Q469</f>
        <v/>
      </c>
      <c r="G467" s="13" t="str">
        <f>'1.2 Produksi Bersih Jagung 2025'!L469</f>
        <v/>
      </c>
      <c r="H467" s="13" t="str">
        <f>'1.3 Prod Bersih Ubi Kayu 2025'!K469</f>
        <v/>
      </c>
      <c r="I467" s="13" t="str">
        <f>'1.4 Prod Bersih Ubi Jalar 2025'!K469</f>
        <v/>
      </c>
      <c r="J467" s="13" t="str">
        <f>'1.5 Prod Bersih Sagu 2025'!K469</f>
        <v/>
      </c>
      <c r="K467" s="13" t="str">
        <f>'1.6 Prod Bersih Pisang 2025'!K469</f>
        <v/>
      </c>
      <c r="L467" s="15">
        <f t="shared" si="21"/>
        <v>0</v>
      </c>
      <c r="M467" s="14" t="str">
        <f>IF(D467="","",VLOOKUP(D467,'[1]0.1 Produksi Pangan &amp; Penduduk'!$D$5:$AU$704,44,0))</f>
        <v/>
      </c>
      <c r="N467" s="26" t="str">
        <f t="shared" si="22"/>
        <v/>
      </c>
      <c r="O467" s="16"/>
      <c r="P467" s="25" t="str">
        <f t="shared" si="23"/>
        <v/>
      </c>
      <c r="Q467" s="8"/>
      <c r="R467" s="11"/>
    </row>
    <row r="468" spans="1:18" ht="15" x14ac:dyDescent="0.25">
      <c r="A468" s="3" t="str">
        <f>IF('1.1 Produksi Bersih Padi 2025'!A470="","",'1.1 Produksi Bersih Padi 2025'!A470)</f>
        <v/>
      </c>
      <c r="B468" s="32" t="str">
        <f>IF('1.1 Produksi Bersih Padi 2025'!B470="","",'1.1 Produksi Bersih Padi 2025'!B470)</f>
        <v/>
      </c>
      <c r="C468" s="32" t="str">
        <f>IF('1.1 Produksi Bersih Padi 2025'!C470="","",'1.1 Produksi Bersih Padi 2025'!C470)</f>
        <v/>
      </c>
      <c r="D468" s="3" t="str">
        <f>IF('1.1 Produksi Bersih Padi 2025'!D470="","",'1.1 Produksi Bersih Padi 2025'!D470)</f>
        <v/>
      </c>
      <c r="E468" s="3" t="str">
        <f>IF('1.1 Produksi Bersih Padi 2025'!E470="","",'1.1 Produksi Bersih Padi 2025'!E470)</f>
        <v/>
      </c>
      <c r="F468" s="13" t="str">
        <f>'1.1 Produksi Bersih Padi 2025'!Q470</f>
        <v/>
      </c>
      <c r="G468" s="13" t="str">
        <f>'1.2 Produksi Bersih Jagung 2025'!L470</f>
        <v/>
      </c>
      <c r="H468" s="13" t="str">
        <f>'1.3 Prod Bersih Ubi Kayu 2025'!K470</f>
        <v/>
      </c>
      <c r="I468" s="13" t="str">
        <f>'1.4 Prod Bersih Ubi Jalar 2025'!K470</f>
        <v/>
      </c>
      <c r="J468" s="13" t="str">
        <f>'1.5 Prod Bersih Sagu 2025'!K470</f>
        <v/>
      </c>
      <c r="K468" s="13" t="str">
        <f>'1.6 Prod Bersih Pisang 2025'!K470</f>
        <v/>
      </c>
      <c r="L468" s="15">
        <f t="shared" si="21"/>
        <v>0</v>
      </c>
      <c r="M468" s="14" t="str">
        <f>IF(D468="","",VLOOKUP(D468,'[1]0.1 Produksi Pangan &amp; Penduduk'!$D$5:$AU$704,44,0))</f>
        <v/>
      </c>
      <c r="N468" s="26" t="str">
        <f t="shared" si="22"/>
        <v/>
      </c>
      <c r="O468" s="16"/>
      <c r="P468" s="25" t="str">
        <f t="shared" si="23"/>
        <v/>
      </c>
      <c r="Q468" s="8"/>
      <c r="R468" s="11"/>
    </row>
    <row r="469" spans="1:18" ht="15" x14ac:dyDescent="0.25">
      <c r="A469" s="3" t="str">
        <f>IF('1.1 Produksi Bersih Padi 2025'!A471="","",'1.1 Produksi Bersih Padi 2025'!A471)</f>
        <v/>
      </c>
      <c r="B469" s="32" t="str">
        <f>IF('1.1 Produksi Bersih Padi 2025'!B471="","",'1.1 Produksi Bersih Padi 2025'!B471)</f>
        <v/>
      </c>
      <c r="C469" s="32" t="str">
        <f>IF('1.1 Produksi Bersih Padi 2025'!C471="","",'1.1 Produksi Bersih Padi 2025'!C471)</f>
        <v/>
      </c>
      <c r="D469" s="3" t="str">
        <f>IF('1.1 Produksi Bersih Padi 2025'!D471="","",'1.1 Produksi Bersih Padi 2025'!D471)</f>
        <v/>
      </c>
      <c r="E469" s="3" t="str">
        <f>IF('1.1 Produksi Bersih Padi 2025'!E471="","",'1.1 Produksi Bersih Padi 2025'!E471)</f>
        <v/>
      </c>
      <c r="F469" s="13" t="str">
        <f>'1.1 Produksi Bersih Padi 2025'!Q471</f>
        <v/>
      </c>
      <c r="G469" s="13" t="str">
        <f>'1.2 Produksi Bersih Jagung 2025'!L471</f>
        <v/>
      </c>
      <c r="H469" s="13" t="str">
        <f>'1.3 Prod Bersih Ubi Kayu 2025'!K471</f>
        <v/>
      </c>
      <c r="I469" s="13" t="str">
        <f>'1.4 Prod Bersih Ubi Jalar 2025'!K471</f>
        <v/>
      </c>
      <c r="J469" s="13" t="str">
        <f>'1.5 Prod Bersih Sagu 2025'!K471</f>
        <v/>
      </c>
      <c r="K469" s="13" t="str">
        <f>'1.6 Prod Bersih Pisang 2025'!K471</f>
        <v/>
      </c>
      <c r="L469" s="15">
        <f t="shared" si="21"/>
        <v>0</v>
      </c>
      <c r="M469" s="14" t="str">
        <f>IF(D469="","",VLOOKUP(D469,'[1]0.1 Produksi Pangan &amp; Penduduk'!$D$5:$AU$704,44,0))</f>
        <v/>
      </c>
      <c r="N469" s="26" t="str">
        <f t="shared" si="22"/>
        <v/>
      </c>
      <c r="O469" s="16"/>
      <c r="P469" s="25" t="str">
        <f t="shared" si="23"/>
        <v/>
      </c>
      <c r="Q469" s="8"/>
      <c r="R469" s="11"/>
    </row>
    <row r="470" spans="1:18" ht="15" x14ac:dyDescent="0.25">
      <c r="A470" s="3" t="str">
        <f>IF('1.1 Produksi Bersih Padi 2025'!A472="","",'1.1 Produksi Bersih Padi 2025'!A472)</f>
        <v/>
      </c>
      <c r="B470" s="32" t="str">
        <f>IF('1.1 Produksi Bersih Padi 2025'!B472="","",'1.1 Produksi Bersih Padi 2025'!B472)</f>
        <v/>
      </c>
      <c r="C470" s="32" t="str">
        <f>IF('1.1 Produksi Bersih Padi 2025'!C472="","",'1.1 Produksi Bersih Padi 2025'!C472)</f>
        <v/>
      </c>
      <c r="D470" s="3" t="str">
        <f>IF('1.1 Produksi Bersih Padi 2025'!D472="","",'1.1 Produksi Bersih Padi 2025'!D472)</f>
        <v/>
      </c>
      <c r="E470" s="3" t="str">
        <f>IF('1.1 Produksi Bersih Padi 2025'!E472="","",'1.1 Produksi Bersih Padi 2025'!E472)</f>
        <v/>
      </c>
      <c r="F470" s="13" t="str">
        <f>'1.1 Produksi Bersih Padi 2025'!Q472</f>
        <v/>
      </c>
      <c r="G470" s="13" t="str">
        <f>'1.2 Produksi Bersih Jagung 2025'!L472</f>
        <v/>
      </c>
      <c r="H470" s="13" t="str">
        <f>'1.3 Prod Bersih Ubi Kayu 2025'!K472</f>
        <v/>
      </c>
      <c r="I470" s="13" t="str">
        <f>'1.4 Prod Bersih Ubi Jalar 2025'!K472</f>
        <v/>
      </c>
      <c r="J470" s="13" t="str">
        <f>'1.5 Prod Bersih Sagu 2025'!K472</f>
        <v/>
      </c>
      <c r="K470" s="13" t="str">
        <f>'1.6 Prod Bersih Pisang 2025'!K472</f>
        <v/>
      </c>
      <c r="L470" s="15">
        <f t="shared" si="21"/>
        <v>0</v>
      </c>
      <c r="M470" s="14" t="str">
        <f>IF(D470="","",VLOOKUP(D470,'[1]0.1 Produksi Pangan &amp; Penduduk'!$D$5:$AU$704,44,0))</f>
        <v/>
      </c>
      <c r="N470" s="26" t="str">
        <f t="shared" si="22"/>
        <v/>
      </c>
      <c r="O470" s="16"/>
      <c r="P470" s="25" t="str">
        <f t="shared" si="23"/>
        <v/>
      </c>
      <c r="Q470" s="8"/>
      <c r="R470" s="11"/>
    </row>
    <row r="471" spans="1:18" ht="15" x14ac:dyDescent="0.25">
      <c r="A471" s="3" t="str">
        <f>IF('1.1 Produksi Bersih Padi 2025'!A473="","",'1.1 Produksi Bersih Padi 2025'!A473)</f>
        <v/>
      </c>
      <c r="B471" s="32" t="str">
        <f>IF('1.1 Produksi Bersih Padi 2025'!B473="","",'1.1 Produksi Bersih Padi 2025'!B473)</f>
        <v/>
      </c>
      <c r="C471" s="32" t="str">
        <f>IF('1.1 Produksi Bersih Padi 2025'!C473="","",'1.1 Produksi Bersih Padi 2025'!C473)</f>
        <v/>
      </c>
      <c r="D471" s="3" t="str">
        <f>IF('1.1 Produksi Bersih Padi 2025'!D473="","",'1.1 Produksi Bersih Padi 2025'!D473)</f>
        <v/>
      </c>
      <c r="E471" s="3" t="str">
        <f>IF('1.1 Produksi Bersih Padi 2025'!E473="","",'1.1 Produksi Bersih Padi 2025'!E473)</f>
        <v/>
      </c>
      <c r="F471" s="13" t="str">
        <f>'1.1 Produksi Bersih Padi 2025'!Q473</f>
        <v/>
      </c>
      <c r="G471" s="13" t="str">
        <f>'1.2 Produksi Bersih Jagung 2025'!L473</f>
        <v/>
      </c>
      <c r="H471" s="13" t="str">
        <f>'1.3 Prod Bersih Ubi Kayu 2025'!K473</f>
        <v/>
      </c>
      <c r="I471" s="13" t="str">
        <f>'1.4 Prod Bersih Ubi Jalar 2025'!K473</f>
        <v/>
      </c>
      <c r="J471" s="13" t="str">
        <f>'1.5 Prod Bersih Sagu 2025'!K473</f>
        <v/>
      </c>
      <c r="K471" s="13" t="str">
        <f>'1.6 Prod Bersih Pisang 2025'!K473</f>
        <v/>
      </c>
      <c r="L471" s="15">
        <f t="shared" si="21"/>
        <v>0</v>
      </c>
      <c r="M471" s="14" t="str">
        <f>IF(D471="","",VLOOKUP(D471,'[1]0.1 Produksi Pangan &amp; Penduduk'!$D$5:$AU$704,44,0))</f>
        <v/>
      </c>
      <c r="N471" s="26" t="str">
        <f t="shared" si="22"/>
        <v/>
      </c>
      <c r="O471" s="16"/>
      <c r="P471" s="25" t="str">
        <f t="shared" si="23"/>
        <v/>
      </c>
      <c r="Q471" s="8"/>
      <c r="R471" s="11"/>
    </row>
    <row r="472" spans="1:18" ht="15" x14ac:dyDescent="0.25">
      <c r="A472" s="3" t="str">
        <f>IF('1.1 Produksi Bersih Padi 2025'!A474="","",'1.1 Produksi Bersih Padi 2025'!A474)</f>
        <v/>
      </c>
      <c r="B472" s="32" t="str">
        <f>IF('1.1 Produksi Bersih Padi 2025'!B474="","",'1.1 Produksi Bersih Padi 2025'!B474)</f>
        <v/>
      </c>
      <c r="C472" s="32" t="str">
        <f>IF('1.1 Produksi Bersih Padi 2025'!C474="","",'1.1 Produksi Bersih Padi 2025'!C474)</f>
        <v/>
      </c>
      <c r="D472" s="3" t="str">
        <f>IF('1.1 Produksi Bersih Padi 2025'!D474="","",'1.1 Produksi Bersih Padi 2025'!D474)</f>
        <v/>
      </c>
      <c r="E472" s="3" t="str">
        <f>IF('1.1 Produksi Bersih Padi 2025'!E474="","",'1.1 Produksi Bersih Padi 2025'!E474)</f>
        <v/>
      </c>
      <c r="F472" s="13" t="str">
        <f>'1.1 Produksi Bersih Padi 2025'!Q474</f>
        <v/>
      </c>
      <c r="G472" s="13" t="str">
        <f>'1.2 Produksi Bersih Jagung 2025'!L474</f>
        <v/>
      </c>
      <c r="H472" s="13" t="str">
        <f>'1.3 Prod Bersih Ubi Kayu 2025'!K474</f>
        <v/>
      </c>
      <c r="I472" s="13" t="str">
        <f>'1.4 Prod Bersih Ubi Jalar 2025'!K474</f>
        <v/>
      </c>
      <c r="J472" s="13" t="str">
        <f>'1.5 Prod Bersih Sagu 2025'!K474</f>
        <v/>
      </c>
      <c r="K472" s="13" t="str">
        <f>'1.6 Prod Bersih Pisang 2025'!K474</f>
        <v/>
      </c>
      <c r="L472" s="15">
        <f t="shared" si="21"/>
        <v>0</v>
      </c>
      <c r="M472" s="14" t="str">
        <f>IF(D472="","",VLOOKUP(D472,'[1]0.1 Produksi Pangan &amp; Penduduk'!$D$5:$AU$704,44,0))</f>
        <v/>
      </c>
      <c r="N472" s="26" t="str">
        <f t="shared" si="22"/>
        <v/>
      </c>
      <c r="O472" s="16"/>
      <c r="P472" s="25" t="str">
        <f t="shared" si="23"/>
        <v/>
      </c>
      <c r="Q472" s="8"/>
      <c r="R472" s="11"/>
    </row>
    <row r="473" spans="1:18" ht="15" x14ac:dyDescent="0.25">
      <c r="A473" s="3" t="str">
        <f>IF('1.1 Produksi Bersih Padi 2025'!A475="","",'1.1 Produksi Bersih Padi 2025'!A475)</f>
        <v/>
      </c>
      <c r="B473" s="32" t="str">
        <f>IF('1.1 Produksi Bersih Padi 2025'!B475="","",'1.1 Produksi Bersih Padi 2025'!B475)</f>
        <v/>
      </c>
      <c r="C473" s="32" t="str">
        <f>IF('1.1 Produksi Bersih Padi 2025'!C475="","",'1.1 Produksi Bersih Padi 2025'!C475)</f>
        <v/>
      </c>
      <c r="D473" s="3" t="str">
        <f>IF('1.1 Produksi Bersih Padi 2025'!D475="","",'1.1 Produksi Bersih Padi 2025'!D475)</f>
        <v/>
      </c>
      <c r="E473" s="3" t="str">
        <f>IF('1.1 Produksi Bersih Padi 2025'!E475="","",'1.1 Produksi Bersih Padi 2025'!E475)</f>
        <v/>
      </c>
      <c r="F473" s="13" t="str">
        <f>'1.1 Produksi Bersih Padi 2025'!Q475</f>
        <v/>
      </c>
      <c r="G473" s="13" t="str">
        <f>'1.2 Produksi Bersih Jagung 2025'!L475</f>
        <v/>
      </c>
      <c r="H473" s="13" t="str">
        <f>'1.3 Prod Bersih Ubi Kayu 2025'!K475</f>
        <v/>
      </c>
      <c r="I473" s="13" t="str">
        <f>'1.4 Prod Bersih Ubi Jalar 2025'!K475</f>
        <v/>
      </c>
      <c r="J473" s="13" t="str">
        <f>'1.5 Prod Bersih Sagu 2025'!K475</f>
        <v/>
      </c>
      <c r="K473" s="13" t="str">
        <f>'1.6 Prod Bersih Pisang 2025'!K475</f>
        <v/>
      </c>
      <c r="L473" s="15">
        <f t="shared" si="21"/>
        <v>0</v>
      </c>
      <c r="M473" s="14" t="str">
        <f>IF(D473="","",VLOOKUP(D473,'[1]0.1 Produksi Pangan &amp; Penduduk'!$D$5:$AU$704,44,0))</f>
        <v/>
      </c>
      <c r="N473" s="26" t="str">
        <f t="shared" si="22"/>
        <v/>
      </c>
      <c r="O473" s="16"/>
      <c r="P473" s="25" t="str">
        <f t="shared" si="23"/>
        <v/>
      </c>
      <c r="Q473" s="8"/>
      <c r="R473" s="11"/>
    </row>
    <row r="474" spans="1:18" ht="15" x14ac:dyDescent="0.25">
      <c r="A474" s="3" t="str">
        <f>IF('1.1 Produksi Bersih Padi 2025'!A476="","",'1.1 Produksi Bersih Padi 2025'!A476)</f>
        <v/>
      </c>
      <c r="B474" s="32" t="str">
        <f>IF('1.1 Produksi Bersih Padi 2025'!B476="","",'1.1 Produksi Bersih Padi 2025'!B476)</f>
        <v/>
      </c>
      <c r="C474" s="32" t="str">
        <f>IF('1.1 Produksi Bersih Padi 2025'!C476="","",'1.1 Produksi Bersih Padi 2025'!C476)</f>
        <v/>
      </c>
      <c r="D474" s="3" t="str">
        <f>IF('1.1 Produksi Bersih Padi 2025'!D476="","",'1.1 Produksi Bersih Padi 2025'!D476)</f>
        <v/>
      </c>
      <c r="E474" s="3" t="str">
        <f>IF('1.1 Produksi Bersih Padi 2025'!E476="","",'1.1 Produksi Bersih Padi 2025'!E476)</f>
        <v/>
      </c>
      <c r="F474" s="13" t="str">
        <f>'1.1 Produksi Bersih Padi 2025'!Q476</f>
        <v/>
      </c>
      <c r="G474" s="13" t="str">
        <f>'1.2 Produksi Bersih Jagung 2025'!L476</f>
        <v/>
      </c>
      <c r="H474" s="13" t="str">
        <f>'1.3 Prod Bersih Ubi Kayu 2025'!K476</f>
        <v/>
      </c>
      <c r="I474" s="13" t="str">
        <f>'1.4 Prod Bersih Ubi Jalar 2025'!K476</f>
        <v/>
      </c>
      <c r="J474" s="13" t="str">
        <f>'1.5 Prod Bersih Sagu 2025'!K476</f>
        <v/>
      </c>
      <c r="K474" s="13" t="str">
        <f>'1.6 Prod Bersih Pisang 2025'!K476</f>
        <v/>
      </c>
      <c r="L474" s="15">
        <f t="shared" si="21"/>
        <v>0</v>
      </c>
      <c r="M474" s="14" t="str">
        <f>IF(D474="","",VLOOKUP(D474,'[1]0.1 Produksi Pangan &amp; Penduduk'!$D$5:$AU$704,44,0))</f>
        <v/>
      </c>
      <c r="N474" s="26" t="str">
        <f t="shared" si="22"/>
        <v/>
      </c>
      <c r="O474" s="16"/>
      <c r="P474" s="25" t="str">
        <f t="shared" si="23"/>
        <v/>
      </c>
      <c r="Q474" s="8"/>
      <c r="R474" s="11"/>
    </row>
    <row r="475" spans="1:18" ht="15" x14ac:dyDescent="0.25">
      <c r="A475" s="3" t="str">
        <f>IF('1.1 Produksi Bersih Padi 2025'!A477="","",'1.1 Produksi Bersih Padi 2025'!A477)</f>
        <v/>
      </c>
      <c r="B475" s="32" t="str">
        <f>IF('1.1 Produksi Bersih Padi 2025'!B477="","",'1.1 Produksi Bersih Padi 2025'!B477)</f>
        <v/>
      </c>
      <c r="C475" s="32" t="str">
        <f>IF('1.1 Produksi Bersih Padi 2025'!C477="","",'1.1 Produksi Bersih Padi 2025'!C477)</f>
        <v/>
      </c>
      <c r="D475" s="3" t="str">
        <f>IF('1.1 Produksi Bersih Padi 2025'!D477="","",'1.1 Produksi Bersih Padi 2025'!D477)</f>
        <v/>
      </c>
      <c r="E475" s="3" t="str">
        <f>IF('1.1 Produksi Bersih Padi 2025'!E477="","",'1.1 Produksi Bersih Padi 2025'!E477)</f>
        <v/>
      </c>
      <c r="F475" s="13" t="str">
        <f>'1.1 Produksi Bersih Padi 2025'!Q477</f>
        <v/>
      </c>
      <c r="G475" s="13" t="str">
        <f>'1.2 Produksi Bersih Jagung 2025'!L477</f>
        <v/>
      </c>
      <c r="H475" s="13" t="str">
        <f>'1.3 Prod Bersih Ubi Kayu 2025'!K477</f>
        <v/>
      </c>
      <c r="I475" s="13" t="str">
        <f>'1.4 Prod Bersih Ubi Jalar 2025'!K477</f>
        <v/>
      </c>
      <c r="J475" s="13" t="str">
        <f>'1.5 Prod Bersih Sagu 2025'!K477</f>
        <v/>
      </c>
      <c r="K475" s="13" t="str">
        <f>'1.6 Prod Bersih Pisang 2025'!K477</f>
        <v/>
      </c>
      <c r="L475" s="15">
        <f t="shared" si="21"/>
        <v>0</v>
      </c>
      <c r="M475" s="14" t="str">
        <f>IF(D475="","",VLOOKUP(D475,'[1]0.1 Produksi Pangan &amp; Penduduk'!$D$5:$AU$704,44,0))</f>
        <v/>
      </c>
      <c r="N475" s="26" t="str">
        <f t="shared" si="22"/>
        <v/>
      </c>
      <c r="O475" s="16"/>
      <c r="P475" s="25" t="str">
        <f t="shared" si="23"/>
        <v/>
      </c>
      <c r="Q475" s="8"/>
      <c r="R475" s="11"/>
    </row>
    <row r="476" spans="1:18" ht="15" x14ac:dyDescent="0.25">
      <c r="A476" s="3" t="str">
        <f>IF('1.1 Produksi Bersih Padi 2025'!A478="","",'1.1 Produksi Bersih Padi 2025'!A478)</f>
        <v/>
      </c>
      <c r="B476" s="32" t="str">
        <f>IF('1.1 Produksi Bersih Padi 2025'!B478="","",'1.1 Produksi Bersih Padi 2025'!B478)</f>
        <v/>
      </c>
      <c r="C476" s="32" t="str">
        <f>IF('1.1 Produksi Bersih Padi 2025'!C478="","",'1.1 Produksi Bersih Padi 2025'!C478)</f>
        <v/>
      </c>
      <c r="D476" s="3" t="str">
        <f>IF('1.1 Produksi Bersih Padi 2025'!D478="","",'1.1 Produksi Bersih Padi 2025'!D478)</f>
        <v/>
      </c>
      <c r="E476" s="3" t="str">
        <f>IF('1.1 Produksi Bersih Padi 2025'!E478="","",'1.1 Produksi Bersih Padi 2025'!E478)</f>
        <v/>
      </c>
      <c r="F476" s="13" t="str">
        <f>'1.1 Produksi Bersih Padi 2025'!Q478</f>
        <v/>
      </c>
      <c r="G476" s="13" t="str">
        <f>'1.2 Produksi Bersih Jagung 2025'!L478</f>
        <v/>
      </c>
      <c r="H476" s="13" t="str">
        <f>'1.3 Prod Bersih Ubi Kayu 2025'!K478</f>
        <v/>
      </c>
      <c r="I476" s="13" t="str">
        <f>'1.4 Prod Bersih Ubi Jalar 2025'!K478</f>
        <v/>
      </c>
      <c r="J476" s="13" t="str">
        <f>'1.5 Prod Bersih Sagu 2025'!K478</f>
        <v/>
      </c>
      <c r="K476" s="13" t="str">
        <f>'1.6 Prod Bersih Pisang 2025'!K478</f>
        <v/>
      </c>
      <c r="L476" s="15">
        <f t="shared" si="21"/>
        <v>0</v>
      </c>
      <c r="M476" s="14" t="str">
        <f>IF(D476="","",VLOOKUP(D476,'[1]0.1 Produksi Pangan &amp; Penduduk'!$D$5:$AU$704,44,0))</f>
        <v/>
      </c>
      <c r="N476" s="26" t="str">
        <f t="shared" si="22"/>
        <v/>
      </c>
      <c r="O476" s="16"/>
      <c r="P476" s="25" t="str">
        <f t="shared" si="23"/>
        <v/>
      </c>
      <c r="Q476" s="8"/>
      <c r="R476" s="11"/>
    </row>
    <row r="477" spans="1:18" ht="15" x14ac:dyDescent="0.25">
      <c r="A477" s="3" t="str">
        <f>IF('1.1 Produksi Bersih Padi 2025'!A479="","",'1.1 Produksi Bersih Padi 2025'!A479)</f>
        <v/>
      </c>
      <c r="B477" s="32" t="str">
        <f>IF('1.1 Produksi Bersih Padi 2025'!B479="","",'1.1 Produksi Bersih Padi 2025'!B479)</f>
        <v/>
      </c>
      <c r="C477" s="32" t="str">
        <f>IF('1.1 Produksi Bersih Padi 2025'!C479="","",'1.1 Produksi Bersih Padi 2025'!C479)</f>
        <v/>
      </c>
      <c r="D477" s="3" t="str">
        <f>IF('1.1 Produksi Bersih Padi 2025'!D479="","",'1.1 Produksi Bersih Padi 2025'!D479)</f>
        <v/>
      </c>
      <c r="E477" s="3" t="str">
        <f>IF('1.1 Produksi Bersih Padi 2025'!E479="","",'1.1 Produksi Bersih Padi 2025'!E479)</f>
        <v/>
      </c>
      <c r="F477" s="13" t="str">
        <f>'1.1 Produksi Bersih Padi 2025'!Q479</f>
        <v/>
      </c>
      <c r="G477" s="13" t="str">
        <f>'1.2 Produksi Bersih Jagung 2025'!L479</f>
        <v/>
      </c>
      <c r="H477" s="13" t="str">
        <f>'1.3 Prod Bersih Ubi Kayu 2025'!K479</f>
        <v/>
      </c>
      <c r="I477" s="13" t="str">
        <f>'1.4 Prod Bersih Ubi Jalar 2025'!K479</f>
        <v/>
      </c>
      <c r="J477" s="13" t="str">
        <f>'1.5 Prod Bersih Sagu 2025'!K479</f>
        <v/>
      </c>
      <c r="K477" s="13" t="str">
        <f>'1.6 Prod Bersih Pisang 2025'!K479</f>
        <v/>
      </c>
      <c r="L477" s="15">
        <f t="shared" si="21"/>
        <v>0</v>
      </c>
      <c r="M477" s="14" t="str">
        <f>IF(D477="","",VLOOKUP(D477,'[1]0.1 Produksi Pangan &amp; Penduduk'!$D$5:$AU$704,44,0))</f>
        <v/>
      </c>
      <c r="N477" s="26" t="str">
        <f t="shared" si="22"/>
        <v/>
      </c>
      <c r="O477" s="16"/>
      <c r="P477" s="25" t="str">
        <f t="shared" si="23"/>
        <v/>
      </c>
      <c r="Q477" s="8"/>
      <c r="R477" s="11"/>
    </row>
    <row r="478" spans="1:18" ht="15" x14ac:dyDescent="0.25">
      <c r="A478" s="3" t="str">
        <f>IF('1.1 Produksi Bersih Padi 2025'!A480="","",'1.1 Produksi Bersih Padi 2025'!A480)</f>
        <v/>
      </c>
      <c r="B478" s="32" t="str">
        <f>IF('1.1 Produksi Bersih Padi 2025'!B480="","",'1.1 Produksi Bersih Padi 2025'!B480)</f>
        <v/>
      </c>
      <c r="C478" s="32" t="str">
        <f>IF('1.1 Produksi Bersih Padi 2025'!C480="","",'1.1 Produksi Bersih Padi 2025'!C480)</f>
        <v/>
      </c>
      <c r="D478" s="3" t="str">
        <f>IF('1.1 Produksi Bersih Padi 2025'!D480="","",'1.1 Produksi Bersih Padi 2025'!D480)</f>
        <v/>
      </c>
      <c r="E478" s="3" t="str">
        <f>IF('1.1 Produksi Bersih Padi 2025'!E480="","",'1.1 Produksi Bersih Padi 2025'!E480)</f>
        <v/>
      </c>
      <c r="F478" s="13" t="str">
        <f>'1.1 Produksi Bersih Padi 2025'!Q480</f>
        <v/>
      </c>
      <c r="G478" s="13" t="str">
        <f>'1.2 Produksi Bersih Jagung 2025'!L480</f>
        <v/>
      </c>
      <c r="H478" s="13" t="str">
        <f>'1.3 Prod Bersih Ubi Kayu 2025'!K480</f>
        <v/>
      </c>
      <c r="I478" s="13" t="str">
        <f>'1.4 Prod Bersih Ubi Jalar 2025'!K480</f>
        <v/>
      </c>
      <c r="J478" s="13" t="str">
        <f>'1.5 Prod Bersih Sagu 2025'!K480</f>
        <v/>
      </c>
      <c r="K478" s="13" t="str">
        <f>'1.6 Prod Bersih Pisang 2025'!K480</f>
        <v/>
      </c>
      <c r="L478" s="15">
        <f t="shared" si="21"/>
        <v>0</v>
      </c>
      <c r="M478" s="14" t="str">
        <f>IF(D478="","",VLOOKUP(D478,'[1]0.1 Produksi Pangan &amp; Penduduk'!$D$5:$AU$704,44,0))</f>
        <v/>
      </c>
      <c r="N478" s="26" t="str">
        <f t="shared" si="22"/>
        <v/>
      </c>
      <c r="O478" s="16"/>
      <c r="P478" s="25" t="str">
        <f t="shared" si="23"/>
        <v/>
      </c>
      <c r="Q478" s="8"/>
      <c r="R478" s="11"/>
    </row>
    <row r="479" spans="1:18" ht="15" x14ac:dyDescent="0.25">
      <c r="A479" s="3" t="str">
        <f>IF('1.1 Produksi Bersih Padi 2025'!A481="","",'1.1 Produksi Bersih Padi 2025'!A481)</f>
        <v/>
      </c>
      <c r="B479" s="32" t="str">
        <f>IF('1.1 Produksi Bersih Padi 2025'!B481="","",'1.1 Produksi Bersih Padi 2025'!B481)</f>
        <v/>
      </c>
      <c r="C479" s="32" t="str">
        <f>IF('1.1 Produksi Bersih Padi 2025'!C481="","",'1.1 Produksi Bersih Padi 2025'!C481)</f>
        <v/>
      </c>
      <c r="D479" s="3" t="str">
        <f>IF('1.1 Produksi Bersih Padi 2025'!D481="","",'1.1 Produksi Bersih Padi 2025'!D481)</f>
        <v/>
      </c>
      <c r="E479" s="3" t="str">
        <f>IF('1.1 Produksi Bersih Padi 2025'!E481="","",'1.1 Produksi Bersih Padi 2025'!E481)</f>
        <v/>
      </c>
      <c r="F479" s="13" t="str">
        <f>'1.1 Produksi Bersih Padi 2025'!Q481</f>
        <v/>
      </c>
      <c r="G479" s="13" t="str">
        <f>'1.2 Produksi Bersih Jagung 2025'!L481</f>
        <v/>
      </c>
      <c r="H479" s="13" t="str">
        <f>'1.3 Prod Bersih Ubi Kayu 2025'!K481</f>
        <v/>
      </c>
      <c r="I479" s="13" t="str">
        <f>'1.4 Prod Bersih Ubi Jalar 2025'!K481</f>
        <v/>
      </c>
      <c r="J479" s="13" t="str">
        <f>'1.5 Prod Bersih Sagu 2025'!K481</f>
        <v/>
      </c>
      <c r="K479" s="13" t="str">
        <f>'1.6 Prod Bersih Pisang 2025'!K481</f>
        <v/>
      </c>
      <c r="L479" s="15">
        <f t="shared" si="21"/>
        <v>0</v>
      </c>
      <c r="M479" s="14" t="str">
        <f>IF(D479="","",VLOOKUP(D479,'[1]0.1 Produksi Pangan &amp; Penduduk'!$D$5:$AU$704,44,0))</f>
        <v/>
      </c>
      <c r="N479" s="26" t="str">
        <f t="shared" si="22"/>
        <v/>
      </c>
      <c r="O479" s="16"/>
      <c r="P479" s="25" t="str">
        <f t="shared" si="23"/>
        <v/>
      </c>
      <c r="Q479" s="8"/>
      <c r="R479" s="11"/>
    </row>
    <row r="480" spans="1:18" ht="15" x14ac:dyDescent="0.25">
      <c r="A480" s="3" t="str">
        <f>IF('1.1 Produksi Bersih Padi 2025'!A482="","",'1.1 Produksi Bersih Padi 2025'!A482)</f>
        <v/>
      </c>
      <c r="B480" s="32" t="str">
        <f>IF('1.1 Produksi Bersih Padi 2025'!B482="","",'1.1 Produksi Bersih Padi 2025'!B482)</f>
        <v/>
      </c>
      <c r="C480" s="32" t="str">
        <f>IF('1.1 Produksi Bersih Padi 2025'!C482="","",'1.1 Produksi Bersih Padi 2025'!C482)</f>
        <v/>
      </c>
      <c r="D480" s="3" t="str">
        <f>IF('1.1 Produksi Bersih Padi 2025'!D482="","",'1.1 Produksi Bersih Padi 2025'!D482)</f>
        <v/>
      </c>
      <c r="E480" s="3" t="str">
        <f>IF('1.1 Produksi Bersih Padi 2025'!E482="","",'1.1 Produksi Bersih Padi 2025'!E482)</f>
        <v/>
      </c>
      <c r="F480" s="13" t="str">
        <f>'1.1 Produksi Bersih Padi 2025'!Q482</f>
        <v/>
      </c>
      <c r="G480" s="13" t="str">
        <f>'1.2 Produksi Bersih Jagung 2025'!L482</f>
        <v/>
      </c>
      <c r="H480" s="13" t="str">
        <f>'1.3 Prod Bersih Ubi Kayu 2025'!K482</f>
        <v/>
      </c>
      <c r="I480" s="13" t="str">
        <f>'1.4 Prod Bersih Ubi Jalar 2025'!K482</f>
        <v/>
      </c>
      <c r="J480" s="13" t="str">
        <f>'1.5 Prod Bersih Sagu 2025'!K482</f>
        <v/>
      </c>
      <c r="K480" s="13" t="str">
        <f>'1.6 Prod Bersih Pisang 2025'!K482</f>
        <v/>
      </c>
      <c r="L480" s="15">
        <f t="shared" si="21"/>
        <v>0</v>
      </c>
      <c r="M480" s="14" t="str">
        <f>IF(D480="","",VLOOKUP(D480,'[1]0.1 Produksi Pangan &amp; Penduduk'!$D$5:$AU$704,44,0))</f>
        <v/>
      </c>
      <c r="N480" s="26" t="str">
        <f t="shared" si="22"/>
        <v/>
      </c>
      <c r="O480" s="16"/>
      <c r="P480" s="25" t="str">
        <f t="shared" si="23"/>
        <v/>
      </c>
      <c r="Q480" s="8"/>
      <c r="R480" s="11"/>
    </row>
    <row r="481" spans="1:18" ht="15" x14ac:dyDescent="0.25">
      <c r="A481" s="3" t="str">
        <f>IF('1.1 Produksi Bersih Padi 2025'!A483="","",'1.1 Produksi Bersih Padi 2025'!A483)</f>
        <v/>
      </c>
      <c r="B481" s="32" t="str">
        <f>IF('1.1 Produksi Bersih Padi 2025'!B483="","",'1.1 Produksi Bersih Padi 2025'!B483)</f>
        <v/>
      </c>
      <c r="C481" s="32" t="str">
        <f>IF('1.1 Produksi Bersih Padi 2025'!C483="","",'1.1 Produksi Bersih Padi 2025'!C483)</f>
        <v/>
      </c>
      <c r="D481" s="3" t="str">
        <f>IF('1.1 Produksi Bersih Padi 2025'!D483="","",'1.1 Produksi Bersih Padi 2025'!D483)</f>
        <v/>
      </c>
      <c r="E481" s="3" t="str">
        <f>IF('1.1 Produksi Bersih Padi 2025'!E483="","",'1.1 Produksi Bersih Padi 2025'!E483)</f>
        <v/>
      </c>
      <c r="F481" s="13" t="str">
        <f>'1.1 Produksi Bersih Padi 2025'!Q483</f>
        <v/>
      </c>
      <c r="G481" s="13" t="str">
        <f>'1.2 Produksi Bersih Jagung 2025'!L483</f>
        <v/>
      </c>
      <c r="H481" s="13" t="str">
        <f>'1.3 Prod Bersih Ubi Kayu 2025'!K483</f>
        <v/>
      </c>
      <c r="I481" s="13" t="str">
        <f>'1.4 Prod Bersih Ubi Jalar 2025'!K483</f>
        <v/>
      </c>
      <c r="J481" s="13" t="str">
        <f>'1.5 Prod Bersih Sagu 2025'!K483</f>
        <v/>
      </c>
      <c r="K481" s="13" t="str">
        <f>'1.6 Prod Bersih Pisang 2025'!K483</f>
        <v/>
      </c>
      <c r="L481" s="15">
        <f t="shared" si="21"/>
        <v>0</v>
      </c>
      <c r="M481" s="14" t="str">
        <f>IF(D481="","",VLOOKUP(D481,'[1]0.1 Produksi Pangan &amp; Penduduk'!$D$5:$AU$704,44,0))</f>
        <v/>
      </c>
      <c r="N481" s="26" t="str">
        <f t="shared" si="22"/>
        <v/>
      </c>
      <c r="O481" s="16"/>
      <c r="P481" s="25" t="str">
        <f t="shared" si="23"/>
        <v/>
      </c>
      <c r="Q481" s="8"/>
      <c r="R481" s="11"/>
    </row>
    <row r="482" spans="1:18" ht="15" x14ac:dyDescent="0.25">
      <c r="A482" s="3" t="str">
        <f>IF('1.1 Produksi Bersih Padi 2025'!A484="","",'1.1 Produksi Bersih Padi 2025'!A484)</f>
        <v/>
      </c>
      <c r="B482" s="32" t="str">
        <f>IF('1.1 Produksi Bersih Padi 2025'!B484="","",'1.1 Produksi Bersih Padi 2025'!B484)</f>
        <v/>
      </c>
      <c r="C482" s="32" t="str">
        <f>IF('1.1 Produksi Bersih Padi 2025'!C484="","",'1.1 Produksi Bersih Padi 2025'!C484)</f>
        <v/>
      </c>
      <c r="D482" s="3" t="str">
        <f>IF('1.1 Produksi Bersih Padi 2025'!D484="","",'1.1 Produksi Bersih Padi 2025'!D484)</f>
        <v/>
      </c>
      <c r="E482" s="3" t="str">
        <f>IF('1.1 Produksi Bersih Padi 2025'!E484="","",'1.1 Produksi Bersih Padi 2025'!E484)</f>
        <v/>
      </c>
      <c r="F482" s="13" t="str">
        <f>'1.1 Produksi Bersih Padi 2025'!Q484</f>
        <v/>
      </c>
      <c r="G482" s="13" t="str">
        <f>'1.2 Produksi Bersih Jagung 2025'!L484</f>
        <v/>
      </c>
      <c r="H482" s="13" t="str">
        <f>'1.3 Prod Bersih Ubi Kayu 2025'!K484</f>
        <v/>
      </c>
      <c r="I482" s="13" t="str">
        <f>'1.4 Prod Bersih Ubi Jalar 2025'!K484</f>
        <v/>
      </c>
      <c r="J482" s="13" t="str">
        <f>'1.5 Prod Bersih Sagu 2025'!K484</f>
        <v/>
      </c>
      <c r="K482" s="13" t="str">
        <f>'1.6 Prod Bersih Pisang 2025'!K484</f>
        <v/>
      </c>
      <c r="L482" s="15">
        <f t="shared" si="21"/>
        <v>0</v>
      </c>
      <c r="M482" s="14" t="str">
        <f>IF(D482="","",VLOOKUP(D482,'[1]0.1 Produksi Pangan &amp; Penduduk'!$D$5:$AU$704,44,0))</f>
        <v/>
      </c>
      <c r="N482" s="26" t="str">
        <f t="shared" si="22"/>
        <v/>
      </c>
      <c r="O482" s="16"/>
      <c r="P482" s="25" t="str">
        <f t="shared" si="23"/>
        <v/>
      </c>
      <c r="Q482" s="8"/>
      <c r="R482" s="11"/>
    </row>
    <row r="483" spans="1:18" ht="15" x14ac:dyDescent="0.25">
      <c r="A483" s="3" t="str">
        <f>IF('1.1 Produksi Bersih Padi 2025'!A485="","",'1.1 Produksi Bersih Padi 2025'!A485)</f>
        <v/>
      </c>
      <c r="B483" s="32" t="str">
        <f>IF('1.1 Produksi Bersih Padi 2025'!B485="","",'1.1 Produksi Bersih Padi 2025'!B485)</f>
        <v/>
      </c>
      <c r="C483" s="32" t="str">
        <f>IF('1.1 Produksi Bersih Padi 2025'!C485="","",'1.1 Produksi Bersih Padi 2025'!C485)</f>
        <v/>
      </c>
      <c r="D483" s="3" t="str">
        <f>IF('1.1 Produksi Bersih Padi 2025'!D485="","",'1.1 Produksi Bersih Padi 2025'!D485)</f>
        <v/>
      </c>
      <c r="E483" s="3" t="str">
        <f>IF('1.1 Produksi Bersih Padi 2025'!E485="","",'1.1 Produksi Bersih Padi 2025'!E485)</f>
        <v/>
      </c>
      <c r="F483" s="13" t="str">
        <f>'1.1 Produksi Bersih Padi 2025'!Q485</f>
        <v/>
      </c>
      <c r="G483" s="13" t="str">
        <f>'1.2 Produksi Bersih Jagung 2025'!L485</f>
        <v/>
      </c>
      <c r="H483" s="13" t="str">
        <f>'1.3 Prod Bersih Ubi Kayu 2025'!K485</f>
        <v/>
      </c>
      <c r="I483" s="13" t="str">
        <f>'1.4 Prod Bersih Ubi Jalar 2025'!K485</f>
        <v/>
      </c>
      <c r="J483" s="13" t="str">
        <f>'1.5 Prod Bersih Sagu 2025'!K485</f>
        <v/>
      </c>
      <c r="K483" s="13" t="str">
        <f>'1.6 Prod Bersih Pisang 2025'!K485</f>
        <v/>
      </c>
      <c r="L483" s="15">
        <f t="shared" si="21"/>
        <v>0</v>
      </c>
      <c r="M483" s="14" t="str">
        <f>IF(D483="","",VLOOKUP(D483,'[1]0.1 Produksi Pangan &amp; Penduduk'!$D$5:$AU$704,44,0))</f>
        <v/>
      </c>
      <c r="N483" s="26" t="str">
        <f t="shared" si="22"/>
        <v/>
      </c>
      <c r="O483" s="16"/>
      <c r="P483" s="25" t="str">
        <f t="shared" si="23"/>
        <v/>
      </c>
      <c r="Q483" s="8"/>
      <c r="R483" s="11"/>
    </row>
    <row r="484" spans="1:18" ht="15" x14ac:dyDescent="0.25">
      <c r="A484" s="3" t="str">
        <f>IF('1.1 Produksi Bersih Padi 2025'!A486="","",'1.1 Produksi Bersih Padi 2025'!A486)</f>
        <v/>
      </c>
      <c r="B484" s="32" t="str">
        <f>IF('1.1 Produksi Bersih Padi 2025'!B486="","",'1.1 Produksi Bersih Padi 2025'!B486)</f>
        <v/>
      </c>
      <c r="C484" s="32" t="str">
        <f>IF('1.1 Produksi Bersih Padi 2025'!C486="","",'1.1 Produksi Bersih Padi 2025'!C486)</f>
        <v/>
      </c>
      <c r="D484" s="3" t="str">
        <f>IF('1.1 Produksi Bersih Padi 2025'!D486="","",'1.1 Produksi Bersih Padi 2025'!D486)</f>
        <v/>
      </c>
      <c r="E484" s="3" t="str">
        <f>IF('1.1 Produksi Bersih Padi 2025'!E486="","",'1.1 Produksi Bersih Padi 2025'!E486)</f>
        <v/>
      </c>
      <c r="F484" s="13" t="str">
        <f>'1.1 Produksi Bersih Padi 2025'!Q486</f>
        <v/>
      </c>
      <c r="G484" s="13" t="str">
        <f>'1.2 Produksi Bersih Jagung 2025'!L486</f>
        <v/>
      </c>
      <c r="H484" s="13" t="str">
        <f>'1.3 Prod Bersih Ubi Kayu 2025'!K486</f>
        <v/>
      </c>
      <c r="I484" s="13" t="str">
        <f>'1.4 Prod Bersih Ubi Jalar 2025'!K486</f>
        <v/>
      </c>
      <c r="J484" s="13" t="str">
        <f>'1.5 Prod Bersih Sagu 2025'!K486</f>
        <v/>
      </c>
      <c r="K484" s="13" t="str">
        <f>'1.6 Prod Bersih Pisang 2025'!K486</f>
        <v/>
      </c>
      <c r="L484" s="15">
        <f t="shared" si="21"/>
        <v>0</v>
      </c>
      <c r="M484" s="14" t="str">
        <f>IF(D484="","",VLOOKUP(D484,'[1]0.1 Produksi Pangan &amp; Penduduk'!$D$5:$AU$704,44,0))</f>
        <v/>
      </c>
      <c r="N484" s="26" t="str">
        <f t="shared" si="22"/>
        <v/>
      </c>
      <c r="O484" s="16"/>
      <c r="P484" s="25" t="str">
        <f t="shared" si="23"/>
        <v/>
      </c>
      <c r="Q484" s="8"/>
      <c r="R484" s="11"/>
    </row>
    <row r="485" spans="1:18" ht="15" x14ac:dyDescent="0.25">
      <c r="A485" s="3" t="str">
        <f>IF('1.1 Produksi Bersih Padi 2025'!A487="","",'1.1 Produksi Bersih Padi 2025'!A487)</f>
        <v/>
      </c>
      <c r="B485" s="32" t="str">
        <f>IF('1.1 Produksi Bersih Padi 2025'!B487="","",'1.1 Produksi Bersih Padi 2025'!B487)</f>
        <v/>
      </c>
      <c r="C485" s="32" t="str">
        <f>IF('1.1 Produksi Bersih Padi 2025'!C487="","",'1.1 Produksi Bersih Padi 2025'!C487)</f>
        <v/>
      </c>
      <c r="D485" s="3" t="str">
        <f>IF('1.1 Produksi Bersih Padi 2025'!D487="","",'1.1 Produksi Bersih Padi 2025'!D487)</f>
        <v/>
      </c>
      <c r="E485" s="3" t="str">
        <f>IF('1.1 Produksi Bersih Padi 2025'!E487="","",'1.1 Produksi Bersih Padi 2025'!E487)</f>
        <v/>
      </c>
      <c r="F485" s="13" t="str">
        <f>'1.1 Produksi Bersih Padi 2025'!Q487</f>
        <v/>
      </c>
      <c r="G485" s="13" t="str">
        <f>'1.2 Produksi Bersih Jagung 2025'!L487</f>
        <v/>
      </c>
      <c r="H485" s="13" t="str">
        <f>'1.3 Prod Bersih Ubi Kayu 2025'!K487</f>
        <v/>
      </c>
      <c r="I485" s="13" t="str">
        <f>'1.4 Prod Bersih Ubi Jalar 2025'!K487</f>
        <v/>
      </c>
      <c r="J485" s="13" t="str">
        <f>'1.5 Prod Bersih Sagu 2025'!K487</f>
        <v/>
      </c>
      <c r="K485" s="13" t="str">
        <f>'1.6 Prod Bersih Pisang 2025'!K487</f>
        <v/>
      </c>
      <c r="L485" s="15">
        <f t="shared" si="21"/>
        <v>0</v>
      </c>
      <c r="M485" s="14" t="str">
        <f>IF(D485="","",VLOOKUP(D485,'[1]0.1 Produksi Pangan &amp; Penduduk'!$D$5:$AU$704,44,0))</f>
        <v/>
      </c>
      <c r="N485" s="26" t="str">
        <f t="shared" si="22"/>
        <v/>
      </c>
      <c r="O485" s="16"/>
      <c r="P485" s="25" t="str">
        <f t="shared" si="23"/>
        <v/>
      </c>
      <c r="Q485" s="8"/>
      <c r="R485" s="11"/>
    </row>
    <row r="486" spans="1:18" ht="15" x14ac:dyDescent="0.25">
      <c r="A486" s="3" t="str">
        <f>IF('1.1 Produksi Bersih Padi 2025'!A488="","",'1.1 Produksi Bersih Padi 2025'!A488)</f>
        <v/>
      </c>
      <c r="B486" s="32" t="str">
        <f>IF('1.1 Produksi Bersih Padi 2025'!B488="","",'1.1 Produksi Bersih Padi 2025'!B488)</f>
        <v/>
      </c>
      <c r="C486" s="32" t="str">
        <f>IF('1.1 Produksi Bersih Padi 2025'!C488="","",'1.1 Produksi Bersih Padi 2025'!C488)</f>
        <v/>
      </c>
      <c r="D486" s="3" t="str">
        <f>IF('1.1 Produksi Bersih Padi 2025'!D488="","",'1.1 Produksi Bersih Padi 2025'!D488)</f>
        <v/>
      </c>
      <c r="E486" s="3" t="str">
        <f>IF('1.1 Produksi Bersih Padi 2025'!E488="","",'1.1 Produksi Bersih Padi 2025'!E488)</f>
        <v/>
      </c>
      <c r="F486" s="13" t="str">
        <f>'1.1 Produksi Bersih Padi 2025'!Q488</f>
        <v/>
      </c>
      <c r="G486" s="13" t="str">
        <f>'1.2 Produksi Bersih Jagung 2025'!L488</f>
        <v/>
      </c>
      <c r="H486" s="13" t="str">
        <f>'1.3 Prod Bersih Ubi Kayu 2025'!K488</f>
        <v/>
      </c>
      <c r="I486" s="13" t="str">
        <f>'1.4 Prod Bersih Ubi Jalar 2025'!K488</f>
        <v/>
      </c>
      <c r="J486" s="13" t="str">
        <f>'1.5 Prod Bersih Sagu 2025'!K488</f>
        <v/>
      </c>
      <c r="K486" s="13" t="str">
        <f>'1.6 Prod Bersih Pisang 2025'!K488</f>
        <v/>
      </c>
      <c r="L486" s="15">
        <f t="shared" si="21"/>
        <v>0</v>
      </c>
      <c r="M486" s="14" t="str">
        <f>IF(D486="","",VLOOKUP(D486,'[1]0.1 Produksi Pangan &amp; Penduduk'!$D$5:$AU$704,44,0))</f>
        <v/>
      </c>
      <c r="N486" s="26" t="str">
        <f t="shared" si="22"/>
        <v/>
      </c>
      <c r="O486" s="16"/>
      <c r="P486" s="25" t="str">
        <f t="shared" si="23"/>
        <v/>
      </c>
      <c r="Q486" s="8"/>
      <c r="R486" s="11"/>
    </row>
    <row r="487" spans="1:18" ht="15" x14ac:dyDescent="0.25">
      <c r="A487" s="3" t="str">
        <f>IF('1.1 Produksi Bersih Padi 2025'!A489="","",'1.1 Produksi Bersih Padi 2025'!A489)</f>
        <v/>
      </c>
      <c r="B487" s="32" t="str">
        <f>IF('1.1 Produksi Bersih Padi 2025'!B489="","",'1.1 Produksi Bersih Padi 2025'!B489)</f>
        <v/>
      </c>
      <c r="C487" s="32" t="str">
        <f>IF('1.1 Produksi Bersih Padi 2025'!C489="","",'1.1 Produksi Bersih Padi 2025'!C489)</f>
        <v/>
      </c>
      <c r="D487" s="3" t="str">
        <f>IF('1.1 Produksi Bersih Padi 2025'!D489="","",'1.1 Produksi Bersih Padi 2025'!D489)</f>
        <v/>
      </c>
      <c r="E487" s="3" t="str">
        <f>IF('1.1 Produksi Bersih Padi 2025'!E489="","",'1.1 Produksi Bersih Padi 2025'!E489)</f>
        <v/>
      </c>
      <c r="F487" s="13" t="str">
        <f>'1.1 Produksi Bersih Padi 2025'!Q489</f>
        <v/>
      </c>
      <c r="G487" s="13" t="str">
        <f>'1.2 Produksi Bersih Jagung 2025'!L489</f>
        <v/>
      </c>
      <c r="H487" s="13" t="str">
        <f>'1.3 Prod Bersih Ubi Kayu 2025'!K489</f>
        <v/>
      </c>
      <c r="I487" s="13" t="str">
        <f>'1.4 Prod Bersih Ubi Jalar 2025'!K489</f>
        <v/>
      </c>
      <c r="J487" s="13" t="str">
        <f>'1.5 Prod Bersih Sagu 2025'!K489</f>
        <v/>
      </c>
      <c r="K487" s="13" t="str">
        <f>'1.6 Prod Bersih Pisang 2025'!K489</f>
        <v/>
      </c>
      <c r="L487" s="15">
        <f t="shared" si="21"/>
        <v>0</v>
      </c>
      <c r="M487" s="14" t="str">
        <f>IF(D487="","",VLOOKUP(D487,'[1]0.1 Produksi Pangan &amp; Penduduk'!$D$5:$AU$704,44,0))</f>
        <v/>
      </c>
      <c r="N487" s="26" t="str">
        <f t="shared" si="22"/>
        <v/>
      </c>
      <c r="O487" s="16"/>
      <c r="P487" s="25" t="str">
        <f t="shared" si="23"/>
        <v/>
      </c>
      <c r="Q487" s="8"/>
      <c r="R487" s="11"/>
    </row>
    <row r="488" spans="1:18" ht="15" x14ac:dyDescent="0.25">
      <c r="A488" s="3" t="str">
        <f>IF('1.1 Produksi Bersih Padi 2025'!A490="","",'1.1 Produksi Bersih Padi 2025'!A490)</f>
        <v/>
      </c>
      <c r="B488" s="32" t="str">
        <f>IF('1.1 Produksi Bersih Padi 2025'!B490="","",'1.1 Produksi Bersih Padi 2025'!B490)</f>
        <v/>
      </c>
      <c r="C488" s="32" t="str">
        <f>IF('1.1 Produksi Bersih Padi 2025'!C490="","",'1.1 Produksi Bersih Padi 2025'!C490)</f>
        <v/>
      </c>
      <c r="D488" s="3" t="str">
        <f>IF('1.1 Produksi Bersih Padi 2025'!D490="","",'1.1 Produksi Bersih Padi 2025'!D490)</f>
        <v/>
      </c>
      <c r="E488" s="3" t="str">
        <f>IF('1.1 Produksi Bersih Padi 2025'!E490="","",'1.1 Produksi Bersih Padi 2025'!E490)</f>
        <v/>
      </c>
      <c r="F488" s="13" t="str">
        <f>'1.1 Produksi Bersih Padi 2025'!Q490</f>
        <v/>
      </c>
      <c r="G488" s="13" t="str">
        <f>'1.2 Produksi Bersih Jagung 2025'!L490</f>
        <v/>
      </c>
      <c r="H488" s="13" t="str">
        <f>'1.3 Prod Bersih Ubi Kayu 2025'!K490</f>
        <v/>
      </c>
      <c r="I488" s="13" t="str">
        <f>'1.4 Prod Bersih Ubi Jalar 2025'!K490</f>
        <v/>
      </c>
      <c r="J488" s="13" t="str">
        <f>'1.5 Prod Bersih Sagu 2025'!K490</f>
        <v/>
      </c>
      <c r="K488" s="13" t="str">
        <f>'1.6 Prod Bersih Pisang 2025'!K490</f>
        <v/>
      </c>
      <c r="L488" s="15">
        <f t="shared" si="21"/>
        <v>0</v>
      </c>
      <c r="M488" s="14" t="str">
        <f>IF(D488="","",VLOOKUP(D488,'[1]0.1 Produksi Pangan &amp; Penduduk'!$D$5:$AU$704,44,0))</f>
        <v/>
      </c>
      <c r="N488" s="26" t="str">
        <f t="shared" si="22"/>
        <v/>
      </c>
      <c r="O488" s="16"/>
      <c r="P488" s="25" t="str">
        <f t="shared" si="23"/>
        <v/>
      </c>
      <c r="Q488" s="8"/>
      <c r="R488" s="11"/>
    </row>
    <row r="489" spans="1:18" ht="15" x14ac:dyDescent="0.25">
      <c r="A489" s="3" t="str">
        <f>IF('1.1 Produksi Bersih Padi 2025'!A491="","",'1.1 Produksi Bersih Padi 2025'!A491)</f>
        <v/>
      </c>
      <c r="B489" s="32" t="str">
        <f>IF('1.1 Produksi Bersih Padi 2025'!B491="","",'1.1 Produksi Bersih Padi 2025'!B491)</f>
        <v/>
      </c>
      <c r="C489" s="32" t="str">
        <f>IF('1.1 Produksi Bersih Padi 2025'!C491="","",'1.1 Produksi Bersih Padi 2025'!C491)</f>
        <v/>
      </c>
      <c r="D489" s="3" t="str">
        <f>IF('1.1 Produksi Bersih Padi 2025'!D491="","",'1.1 Produksi Bersih Padi 2025'!D491)</f>
        <v/>
      </c>
      <c r="E489" s="3" t="str">
        <f>IF('1.1 Produksi Bersih Padi 2025'!E491="","",'1.1 Produksi Bersih Padi 2025'!E491)</f>
        <v/>
      </c>
      <c r="F489" s="13" t="str">
        <f>'1.1 Produksi Bersih Padi 2025'!Q491</f>
        <v/>
      </c>
      <c r="G489" s="13" t="str">
        <f>'1.2 Produksi Bersih Jagung 2025'!L491</f>
        <v/>
      </c>
      <c r="H489" s="13" t="str">
        <f>'1.3 Prod Bersih Ubi Kayu 2025'!K491</f>
        <v/>
      </c>
      <c r="I489" s="13" t="str">
        <f>'1.4 Prod Bersih Ubi Jalar 2025'!K491</f>
        <v/>
      </c>
      <c r="J489" s="13" t="str">
        <f>'1.5 Prod Bersih Sagu 2025'!K491</f>
        <v/>
      </c>
      <c r="K489" s="13" t="str">
        <f>'1.6 Prod Bersih Pisang 2025'!K491</f>
        <v/>
      </c>
      <c r="L489" s="15">
        <f t="shared" si="21"/>
        <v>0</v>
      </c>
      <c r="M489" s="14" t="str">
        <f>IF(D489="","",VLOOKUP(D489,'[1]0.1 Produksi Pangan &amp; Penduduk'!$D$5:$AU$704,44,0))</f>
        <v/>
      </c>
      <c r="N489" s="26" t="str">
        <f t="shared" si="22"/>
        <v/>
      </c>
      <c r="O489" s="16"/>
      <c r="P489" s="25" t="str">
        <f t="shared" si="23"/>
        <v/>
      </c>
      <c r="Q489" s="8"/>
      <c r="R489" s="11"/>
    </row>
    <row r="490" spans="1:18" ht="15" x14ac:dyDescent="0.25">
      <c r="A490" s="3" t="str">
        <f>IF('1.1 Produksi Bersih Padi 2025'!A492="","",'1.1 Produksi Bersih Padi 2025'!A492)</f>
        <v/>
      </c>
      <c r="B490" s="32" t="str">
        <f>IF('1.1 Produksi Bersih Padi 2025'!B492="","",'1.1 Produksi Bersih Padi 2025'!B492)</f>
        <v/>
      </c>
      <c r="C490" s="32" t="str">
        <f>IF('1.1 Produksi Bersih Padi 2025'!C492="","",'1.1 Produksi Bersih Padi 2025'!C492)</f>
        <v/>
      </c>
      <c r="D490" s="3" t="str">
        <f>IF('1.1 Produksi Bersih Padi 2025'!D492="","",'1.1 Produksi Bersih Padi 2025'!D492)</f>
        <v/>
      </c>
      <c r="E490" s="3" t="str">
        <f>IF('1.1 Produksi Bersih Padi 2025'!E492="","",'1.1 Produksi Bersih Padi 2025'!E492)</f>
        <v/>
      </c>
      <c r="F490" s="13" t="str">
        <f>'1.1 Produksi Bersih Padi 2025'!Q492</f>
        <v/>
      </c>
      <c r="G490" s="13" t="str">
        <f>'1.2 Produksi Bersih Jagung 2025'!L492</f>
        <v/>
      </c>
      <c r="H490" s="13" t="str">
        <f>'1.3 Prod Bersih Ubi Kayu 2025'!K492</f>
        <v/>
      </c>
      <c r="I490" s="13" t="str">
        <f>'1.4 Prod Bersih Ubi Jalar 2025'!K492</f>
        <v/>
      </c>
      <c r="J490" s="13" t="str">
        <f>'1.5 Prod Bersih Sagu 2025'!K492</f>
        <v/>
      </c>
      <c r="K490" s="13" t="str">
        <f>'1.6 Prod Bersih Pisang 2025'!K492</f>
        <v/>
      </c>
      <c r="L490" s="15">
        <f t="shared" si="21"/>
        <v>0</v>
      </c>
      <c r="M490" s="14" t="str">
        <f>IF(D490="","",VLOOKUP(D490,'[1]0.1 Produksi Pangan &amp; Penduduk'!$D$5:$AU$704,44,0))</f>
        <v/>
      </c>
      <c r="N490" s="26" t="str">
        <f t="shared" si="22"/>
        <v/>
      </c>
      <c r="O490" s="16"/>
      <c r="P490" s="25" t="str">
        <f t="shared" si="23"/>
        <v/>
      </c>
      <c r="Q490" s="8"/>
      <c r="R490" s="11"/>
    </row>
    <row r="491" spans="1:18" ht="15" x14ac:dyDescent="0.25">
      <c r="A491" s="3" t="str">
        <f>IF('1.1 Produksi Bersih Padi 2025'!A493="","",'1.1 Produksi Bersih Padi 2025'!A493)</f>
        <v/>
      </c>
      <c r="B491" s="32" t="str">
        <f>IF('1.1 Produksi Bersih Padi 2025'!B493="","",'1.1 Produksi Bersih Padi 2025'!B493)</f>
        <v/>
      </c>
      <c r="C491" s="32" t="str">
        <f>IF('1.1 Produksi Bersih Padi 2025'!C493="","",'1.1 Produksi Bersih Padi 2025'!C493)</f>
        <v/>
      </c>
      <c r="D491" s="3" t="str">
        <f>IF('1.1 Produksi Bersih Padi 2025'!D493="","",'1.1 Produksi Bersih Padi 2025'!D493)</f>
        <v/>
      </c>
      <c r="E491" s="3" t="str">
        <f>IF('1.1 Produksi Bersih Padi 2025'!E493="","",'1.1 Produksi Bersih Padi 2025'!E493)</f>
        <v/>
      </c>
      <c r="F491" s="13" t="str">
        <f>'1.1 Produksi Bersih Padi 2025'!Q493</f>
        <v/>
      </c>
      <c r="G491" s="13" t="str">
        <f>'1.2 Produksi Bersih Jagung 2025'!L493</f>
        <v/>
      </c>
      <c r="H491" s="13" t="str">
        <f>'1.3 Prod Bersih Ubi Kayu 2025'!K493</f>
        <v/>
      </c>
      <c r="I491" s="13" t="str">
        <f>'1.4 Prod Bersih Ubi Jalar 2025'!K493</f>
        <v/>
      </c>
      <c r="J491" s="13" t="str">
        <f>'1.5 Prod Bersih Sagu 2025'!K493</f>
        <v/>
      </c>
      <c r="K491" s="13" t="str">
        <f>'1.6 Prod Bersih Pisang 2025'!K493</f>
        <v/>
      </c>
      <c r="L491" s="15">
        <f t="shared" si="21"/>
        <v>0</v>
      </c>
      <c r="M491" s="14" t="str">
        <f>IF(D491="","",VLOOKUP(D491,'[1]0.1 Produksi Pangan &amp; Penduduk'!$D$5:$AU$704,44,0))</f>
        <v/>
      </c>
      <c r="N491" s="26" t="str">
        <f t="shared" si="22"/>
        <v/>
      </c>
      <c r="O491" s="16"/>
      <c r="P491" s="25" t="str">
        <f t="shared" si="23"/>
        <v/>
      </c>
      <c r="Q491" s="8"/>
      <c r="R491" s="11"/>
    </row>
    <row r="492" spans="1:18" ht="15" x14ac:dyDescent="0.25">
      <c r="A492" s="3" t="str">
        <f>IF('1.1 Produksi Bersih Padi 2025'!A494="","",'1.1 Produksi Bersih Padi 2025'!A494)</f>
        <v/>
      </c>
      <c r="B492" s="32" t="str">
        <f>IF('1.1 Produksi Bersih Padi 2025'!B494="","",'1.1 Produksi Bersih Padi 2025'!B494)</f>
        <v/>
      </c>
      <c r="C492" s="32" t="str">
        <f>IF('1.1 Produksi Bersih Padi 2025'!C494="","",'1.1 Produksi Bersih Padi 2025'!C494)</f>
        <v/>
      </c>
      <c r="D492" s="3" t="str">
        <f>IF('1.1 Produksi Bersih Padi 2025'!D494="","",'1.1 Produksi Bersih Padi 2025'!D494)</f>
        <v/>
      </c>
      <c r="E492" s="3" t="str">
        <f>IF('1.1 Produksi Bersih Padi 2025'!E494="","",'1.1 Produksi Bersih Padi 2025'!E494)</f>
        <v/>
      </c>
      <c r="F492" s="13" t="str">
        <f>'1.1 Produksi Bersih Padi 2025'!Q494</f>
        <v/>
      </c>
      <c r="G492" s="13" t="str">
        <f>'1.2 Produksi Bersih Jagung 2025'!L494</f>
        <v/>
      </c>
      <c r="H492" s="13" t="str">
        <f>'1.3 Prod Bersih Ubi Kayu 2025'!K494</f>
        <v/>
      </c>
      <c r="I492" s="13" t="str">
        <f>'1.4 Prod Bersih Ubi Jalar 2025'!K494</f>
        <v/>
      </c>
      <c r="J492" s="13" t="str">
        <f>'1.5 Prod Bersih Sagu 2025'!K494</f>
        <v/>
      </c>
      <c r="K492" s="13" t="str">
        <f>'1.6 Prod Bersih Pisang 2025'!K494</f>
        <v/>
      </c>
      <c r="L492" s="15">
        <f t="shared" si="21"/>
        <v>0</v>
      </c>
      <c r="M492" s="14" t="str">
        <f>IF(D492="","",VLOOKUP(D492,'[1]0.1 Produksi Pangan &amp; Penduduk'!$D$5:$AU$704,44,0))</f>
        <v/>
      </c>
      <c r="N492" s="26" t="str">
        <f t="shared" si="22"/>
        <v/>
      </c>
      <c r="O492" s="16"/>
      <c r="P492" s="25" t="str">
        <f t="shared" si="23"/>
        <v/>
      </c>
      <c r="Q492" s="8"/>
      <c r="R492" s="11"/>
    </row>
    <row r="493" spans="1:18" ht="15" x14ac:dyDescent="0.25">
      <c r="A493" s="3" t="str">
        <f>IF('1.1 Produksi Bersih Padi 2025'!A495="","",'1.1 Produksi Bersih Padi 2025'!A495)</f>
        <v/>
      </c>
      <c r="B493" s="32" t="str">
        <f>IF('1.1 Produksi Bersih Padi 2025'!B495="","",'1.1 Produksi Bersih Padi 2025'!B495)</f>
        <v/>
      </c>
      <c r="C493" s="32" t="str">
        <f>IF('1.1 Produksi Bersih Padi 2025'!C495="","",'1.1 Produksi Bersih Padi 2025'!C495)</f>
        <v/>
      </c>
      <c r="D493" s="3" t="str">
        <f>IF('1.1 Produksi Bersih Padi 2025'!D495="","",'1.1 Produksi Bersih Padi 2025'!D495)</f>
        <v/>
      </c>
      <c r="E493" s="3" t="str">
        <f>IF('1.1 Produksi Bersih Padi 2025'!E495="","",'1.1 Produksi Bersih Padi 2025'!E495)</f>
        <v/>
      </c>
      <c r="F493" s="13" t="str">
        <f>'1.1 Produksi Bersih Padi 2025'!Q495</f>
        <v/>
      </c>
      <c r="G493" s="13" t="str">
        <f>'1.2 Produksi Bersih Jagung 2025'!L495</f>
        <v/>
      </c>
      <c r="H493" s="13" t="str">
        <f>'1.3 Prod Bersih Ubi Kayu 2025'!K495</f>
        <v/>
      </c>
      <c r="I493" s="13" t="str">
        <f>'1.4 Prod Bersih Ubi Jalar 2025'!K495</f>
        <v/>
      </c>
      <c r="J493" s="13" t="str">
        <f>'1.5 Prod Bersih Sagu 2025'!K495</f>
        <v/>
      </c>
      <c r="K493" s="13" t="str">
        <f>'1.6 Prod Bersih Pisang 2025'!K495</f>
        <v/>
      </c>
      <c r="L493" s="15">
        <f t="shared" si="21"/>
        <v>0</v>
      </c>
      <c r="M493" s="14" t="str">
        <f>IF(D493="","",VLOOKUP(D493,'[1]0.1 Produksi Pangan &amp; Penduduk'!$D$5:$AU$704,44,0))</f>
        <v/>
      </c>
      <c r="N493" s="26" t="str">
        <f t="shared" si="22"/>
        <v/>
      </c>
      <c r="O493" s="16"/>
      <c r="P493" s="25" t="str">
        <f t="shared" si="23"/>
        <v/>
      </c>
      <c r="Q493" s="8"/>
      <c r="R493" s="11"/>
    </row>
    <row r="494" spans="1:18" ht="15" x14ac:dyDescent="0.25">
      <c r="A494" s="3" t="str">
        <f>IF('1.1 Produksi Bersih Padi 2025'!A496="","",'1.1 Produksi Bersih Padi 2025'!A496)</f>
        <v/>
      </c>
      <c r="B494" s="32" t="str">
        <f>IF('1.1 Produksi Bersih Padi 2025'!B496="","",'1.1 Produksi Bersih Padi 2025'!B496)</f>
        <v/>
      </c>
      <c r="C494" s="32" t="str">
        <f>IF('1.1 Produksi Bersih Padi 2025'!C496="","",'1.1 Produksi Bersih Padi 2025'!C496)</f>
        <v/>
      </c>
      <c r="D494" s="3" t="str">
        <f>IF('1.1 Produksi Bersih Padi 2025'!D496="","",'1.1 Produksi Bersih Padi 2025'!D496)</f>
        <v/>
      </c>
      <c r="E494" s="3" t="str">
        <f>IF('1.1 Produksi Bersih Padi 2025'!E496="","",'1.1 Produksi Bersih Padi 2025'!E496)</f>
        <v/>
      </c>
      <c r="F494" s="13" t="str">
        <f>'1.1 Produksi Bersih Padi 2025'!Q496</f>
        <v/>
      </c>
      <c r="G494" s="13" t="str">
        <f>'1.2 Produksi Bersih Jagung 2025'!L496</f>
        <v/>
      </c>
      <c r="H494" s="13" t="str">
        <f>'1.3 Prod Bersih Ubi Kayu 2025'!K496</f>
        <v/>
      </c>
      <c r="I494" s="13" t="str">
        <f>'1.4 Prod Bersih Ubi Jalar 2025'!K496</f>
        <v/>
      </c>
      <c r="J494" s="13" t="str">
        <f>'1.5 Prod Bersih Sagu 2025'!K496</f>
        <v/>
      </c>
      <c r="K494" s="13" t="str">
        <f>'1.6 Prod Bersih Pisang 2025'!K496</f>
        <v/>
      </c>
      <c r="L494" s="15">
        <f t="shared" si="21"/>
        <v>0</v>
      </c>
      <c r="M494" s="14" t="str">
        <f>IF(D494="","",VLOOKUP(D494,'[1]0.1 Produksi Pangan &amp; Penduduk'!$D$5:$AU$704,44,0))</f>
        <v/>
      </c>
      <c r="N494" s="26" t="str">
        <f t="shared" si="22"/>
        <v/>
      </c>
      <c r="O494" s="16"/>
      <c r="P494" s="25" t="str">
        <f t="shared" si="23"/>
        <v/>
      </c>
      <c r="Q494" s="8"/>
      <c r="R494" s="11"/>
    </row>
    <row r="495" spans="1:18" ht="15" x14ac:dyDescent="0.25">
      <c r="A495" s="3" t="str">
        <f>IF('1.1 Produksi Bersih Padi 2025'!A497="","",'1.1 Produksi Bersih Padi 2025'!A497)</f>
        <v/>
      </c>
      <c r="B495" s="32" t="str">
        <f>IF('1.1 Produksi Bersih Padi 2025'!B497="","",'1.1 Produksi Bersih Padi 2025'!B497)</f>
        <v/>
      </c>
      <c r="C495" s="32" t="str">
        <f>IF('1.1 Produksi Bersih Padi 2025'!C497="","",'1.1 Produksi Bersih Padi 2025'!C497)</f>
        <v/>
      </c>
      <c r="D495" s="3" t="str">
        <f>IF('1.1 Produksi Bersih Padi 2025'!D497="","",'1.1 Produksi Bersih Padi 2025'!D497)</f>
        <v/>
      </c>
      <c r="E495" s="3" t="str">
        <f>IF('1.1 Produksi Bersih Padi 2025'!E497="","",'1.1 Produksi Bersih Padi 2025'!E497)</f>
        <v/>
      </c>
      <c r="F495" s="13" t="str">
        <f>'1.1 Produksi Bersih Padi 2025'!Q497</f>
        <v/>
      </c>
      <c r="G495" s="13" t="str">
        <f>'1.2 Produksi Bersih Jagung 2025'!L497</f>
        <v/>
      </c>
      <c r="H495" s="13" t="str">
        <f>'1.3 Prod Bersih Ubi Kayu 2025'!K497</f>
        <v/>
      </c>
      <c r="I495" s="13" t="str">
        <f>'1.4 Prod Bersih Ubi Jalar 2025'!K497</f>
        <v/>
      </c>
      <c r="J495" s="13" t="str">
        <f>'1.5 Prod Bersih Sagu 2025'!K497</f>
        <v/>
      </c>
      <c r="K495" s="13" t="str">
        <f>'1.6 Prod Bersih Pisang 2025'!K497</f>
        <v/>
      </c>
      <c r="L495" s="15">
        <f t="shared" si="21"/>
        <v>0</v>
      </c>
      <c r="M495" s="14" t="str">
        <f>IF(D495="","",VLOOKUP(D495,'[1]0.1 Produksi Pangan &amp; Penduduk'!$D$5:$AU$704,44,0))</f>
        <v/>
      </c>
      <c r="N495" s="26" t="str">
        <f t="shared" si="22"/>
        <v/>
      </c>
      <c r="O495" s="16"/>
      <c r="P495" s="25" t="str">
        <f t="shared" si="23"/>
        <v/>
      </c>
      <c r="Q495" s="8"/>
      <c r="R495" s="11"/>
    </row>
    <row r="496" spans="1:18" ht="15" x14ac:dyDescent="0.25">
      <c r="A496" s="3" t="str">
        <f>IF('1.1 Produksi Bersih Padi 2025'!A498="","",'1.1 Produksi Bersih Padi 2025'!A498)</f>
        <v/>
      </c>
      <c r="B496" s="32" t="str">
        <f>IF('1.1 Produksi Bersih Padi 2025'!B498="","",'1.1 Produksi Bersih Padi 2025'!B498)</f>
        <v/>
      </c>
      <c r="C496" s="32" t="str">
        <f>IF('1.1 Produksi Bersih Padi 2025'!C498="","",'1.1 Produksi Bersih Padi 2025'!C498)</f>
        <v/>
      </c>
      <c r="D496" s="3" t="str">
        <f>IF('1.1 Produksi Bersih Padi 2025'!D498="","",'1.1 Produksi Bersih Padi 2025'!D498)</f>
        <v/>
      </c>
      <c r="E496" s="3" t="str">
        <f>IF('1.1 Produksi Bersih Padi 2025'!E498="","",'1.1 Produksi Bersih Padi 2025'!E498)</f>
        <v/>
      </c>
      <c r="F496" s="13" t="str">
        <f>'1.1 Produksi Bersih Padi 2025'!Q498</f>
        <v/>
      </c>
      <c r="G496" s="13" t="str">
        <f>'1.2 Produksi Bersih Jagung 2025'!L498</f>
        <v/>
      </c>
      <c r="H496" s="13" t="str">
        <f>'1.3 Prod Bersih Ubi Kayu 2025'!K498</f>
        <v/>
      </c>
      <c r="I496" s="13" t="str">
        <f>'1.4 Prod Bersih Ubi Jalar 2025'!K498</f>
        <v/>
      </c>
      <c r="J496" s="13" t="str">
        <f>'1.5 Prod Bersih Sagu 2025'!K498</f>
        <v/>
      </c>
      <c r="K496" s="13" t="str">
        <f>'1.6 Prod Bersih Pisang 2025'!K498</f>
        <v/>
      </c>
      <c r="L496" s="15">
        <f t="shared" si="21"/>
        <v>0</v>
      </c>
      <c r="M496" s="14" t="str">
        <f>IF(D496="","",VLOOKUP(D496,'[1]0.1 Produksi Pangan &amp; Penduduk'!$D$5:$AU$704,44,0))</f>
        <v/>
      </c>
      <c r="N496" s="26" t="str">
        <f t="shared" si="22"/>
        <v/>
      </c>
      <c r="O496" s="16"/>
      <c r="P496" s="25" t="str">
        <f t="shared" si="23"/>
        <v/>
      </c>
      <c r="Q496" s="8"/>
      <c r="R496" s="11"/>
    </row>
    <row r="497" spans="1:18" ht="15" x14ac:dyDescent="0.25">
      <c r="A497" s="3" t="str">
        <f>IF('1.1 Produksi Bersih Padi 2025'!A499="","",'1.1 Produksi Bersih Padi 2025'!A499)</f>
        <v/>
      </c>
      <c r="B497" s="32" t="str">
        <f>IF('1.1 Produksi Bersih Padi 2025'!B499="","",'1.1 Produksi Bersih Padi 2025'!B499)</f>
        <v/>
      </c>
      <c r="C497" s="32" t="str">
        <f>IF('1.1 Produksi Bersih Padi 2025'!C499="","",'1.1 Produksi Bersih Padi 2025'!C499)</f>
        <v/>
      </c>
      <c r="D497" s="3" t="str">
        <f>IF('1.1 Produksi Bersih Padi 2025'!D499="","",'1.1 Produksi Bersih Padi 2025'!D499)</f>
        <v/>
      </c>
      <c r="E497" s="3" t="str">
        <f>IF('1.1 Produksi Bersih Padi 2025'!E499="","",'1.1 Produksi Bersih Padi 2025'!E499)</f>
        <v/>
      </c>
      <c r="F497" s="13" t="str">
        <f>'1.1 Produksi Bersih Padi 2025'!Q499</f>
        <v/>
      </c>
      <c r="G497" s="13" t="str">
        <f>'1.2 Produksi Bersih Jagung 2025'!L499</f>
        <v/>
      </c>
      <c r="H497" s="13" t="str">
        <f>'1.3 Prod Bersih Ubi Kayu 2025'!K499</f>
        <v/>
      </c>
      <c r="I497" s="13" t="str">
        <f>'1.4 Prod Bersih Ubi Jalar 2025'!K499</f>
        <v/>
      </c>
      <c r="J497" s="13" t="str">
        <f>'1.5 Prod Bersih Sagu 2025'!K499</f>
        <v/>
      </c>
      <c r="K497" s="13" t="str">
        <f>'1.6 Prod Bersih Pisang 2025'!K499</f>
        <v/>
      </c>
      <c r="L497" s="15">
        <f t="shared" si="21"/>
        <v>0</v>
      </c>
      <c r="M497" s="14" t="str">
        <f>IF(D497="","",VLOOKUP(D497,'[1]0.1 Produksi Pangan &amp; Penduduk'!$D$5:$AU$704,44,0))</f>
        <v/>
      </c>
      <c r="N497" s="26" t="str">
        <f t="shared" si="22"/>
        <v/>
      </c>
      <c r="O497" s="16"/>
      <c r="P497" s="25" t="str">
        <f t="shared" si="23"/>
        <v/>
      </c>
      <c r="Q497" s="8"/>
      <c r="R497" s="11"/>
    </row>
    <row r="498" spans="1:18" ht="15" x14ac:dyDescent="0.25">
      <c r="A498" s="3" t="str">
        <f>IF('1.1 Produksi Bersih Padi 2025'!A500="","",'1.1 Produksi Bersih Padi 2025'!A500)</f>
        <v/>
      </c>
      <c r="B498" s="32" t="str">
        <f>IF('1.1 Produksi Bersih Padi 2025'!B500="","",'1.1 Produksi Bersih Padi 2025'!B500)</f>
        <v/>
      </c>
      <c r="C498" s="32" t="str">
        <f>IF('1.1 Produksi Bersih Padi 2025'!C500="","",'1.1 Produksi Bersih Padi 2025'!C500)</f>
        <v/>
      </c>
      <c r="D498" s="3" t="str">
        <f>IF('1.1 Produksi Bersih Padi 2025'!D500="","",'1.1 Produksi Bersih Padi 2025'!D500)</f>
        <v/>
      </c>
      <c r="E498" s="3" t="str">
        <f>IF('1.1 Produksi Bersih Padi 2025'!E500="","",'1.1 Produksi Bersih Padi 2025'!E500)</f>
        <v/>
      </c>
      <c r="F498" s="13" t="str">
        <f>'1.1 Produksi Bersih Padi 2025'!Q500</f>
        <v/>
      </c>
      <c r="G498" s="13" t="str">
        <f>'1.2 Produksi Bersih Jagung 2025'!L500</f>
        <v/>
      </c>
      <c r="H498" s="13" t="str">
        <f>'1.3 Prod Bersih Ubi Kayu 2025'!K500</f>
        <v/>
      </c>
      <c r="I498" s="13" t="str">
        <f>'1.4 Prod Bersih Ubi Jalar 2025'!K500</f>
        <v/>
      </c>
      <c r="J498" s="13" t="str">
        <f>'1.5 Prod Bersih Sagu 2025'!K500</f>
        <v/>
      </c>
      <c r="K498" s="13" t="str">
        <f>'1.6 Prod Bersih Pisang 2025'!K500</f>
        <v/>
      </c>
      <c r="L498" s="15">
        <f t="shared" si="21"/>
        <v>0</v>
      </c>
      <c r="M498" s="14" t="str">
        <f>IF(D498="","",VLOOKUP(D498,'[1]0.1 Produksi Pangan &amp; Penduduk'!$D$5:$AU$704,44,0))</f>
        <v/>
      </c>
      <c r="N498" s="26" t="str">
        <f t="shared" si="22"/>
        <v/>
      </c>
      <c r="O498" s="16"/>
      <c r="P498" s="25" t="str">
        <f t="shared" si="23"/>
        <v/>
      </c>
      <c r="Q498" s="8"/>
      <c r="R498" s="11"/>
    </row>
    <row r="499" spans="1:18" ht="15" x14ac:dyDescent="0.25">
      <c r="A499" s="3" t="str">
        <f>IF('1.1 Produksi Bersih Padi 2025'!A501="","",'1.1 Produksi Bersih Padi 2025'!A501)</f>
        <v/>
      </c>
      <c r="B499" s="32" t="str">
        <f>IF('1.1 Produksi Bersih Padi 2025'!B501="","",'1.1 Produksi Bersih Padi 2025'!B501)</f>
        <v/>
      </c>
      <c r="C499" s="32" t="str">
        <f>IF('1.1 Produksi Bersih Padi 2025'!C501="","",'1.1 Produksi Bersih Padi 2025'!C501)</f>
        <v/>
      </c>
      <c r="D499" s="3" t="str">
        <f>IF('1.1 Produksi Bersih Padi 2025'!D501="","",'1.1 Produksi Bersih Padi 2025'!D501)</f>
        <v/>
      </c>
      <c r="E499" s="3" t="str">
        <f>IF('1.1 Produksi Bersih Padi 2025'!E501="","",'1.1 Produksi Bersih Padi 2025'!E501)</f>
        <v/>
      </c>
      <c r="F499" s="13" t="str">
        <f>'1.1 Produksi Bersih Padi 2025'!Q501</f>
        <v/>
      </c>
      <c r="G499" s="13" t="str">
        <f>'1.2 Produksi Bersih Jagung 2025'!L501</f>
        <v/>
      </c>
      <c r="H499" s="13" t="str">
        <f>'1.3 Prod Bersih Ubi Kayu 2025'!K501</f>
        <v/>
      </c>
      <c r="I499" s="13" t="str">
        <f>'1.4 Prod Bersih Ubi Jalar 2025'!K501</f>
        <v/>
      </c>
      <c r="J499" s="13" t="str">
        <f>'1.5 Prod Bersih Sagu 2025'!K501</f>
        <v/>
      </c>
      <c r="K499" s="13" t="str">
        <f>'1.6 Prod Bersih Pisang 2025'!K501</f>
        <v/>
      </c>
      <c r="L499" s="15">
        <f t="shared" si="21"/>
        <v>0</v>
      </c>
      <c r="M499" s="14" t="str">
        <f>IF(D499="","",VLOOKUP(D499,'[1]0.1 Produksi Pangan &amp; Penduduk'!$D$5:$AU$704,44,0))</f>
        <v/>
      </c>
      <c r="N499" s="26" t="str">
        <f t="shared" si="22"/>
        <v/>
      </c>
      <c r="O499" s="16"/>
      <c r="P499" s="25" t="str">
        <f t="shared" si="23"/>
        <v/>
      </c>
      <c r="Q499" s="8"/>
      <c r="R499" s="11"/>
    </row>
    <row r="500" spans="1:18" ht="15" x14ac:dyDescent="0.25">
      <c r="A500" s="3" t="str">
        <f>IF('1.1 Produksi Bersih Padi 2025'!A502="","",'1.1 Produksi Bersih Padi 2025'!A502)</f>
        <v/>
      </c>
      <c r="B500" s="32" t="str">
        <f>IF('1.1 Produksi Bersih Padi 2025'!B502="","",'1.1 Produksi Bersih Padi 2025'!B502)</f>
        <v/>
      </c>
      <c r="C500" s="32" t="str">
        <f>IF('1.1 Produksi Bersih Padi 2025'!C502="","",'1.1 Produksi Bersih Padi 2025'!C502)</f>
        <v/>
      </c>
      <c r="D500" s="3" t="str">
        <f>IF('1.1 Produksi Bersih Padi 2025'!D502="","",'1.1 Produksi Bersih Padi 2025'!D502)</f>
        <v/>
      </c>
      <c r="E500" s="3" t="str">
        <f>IF('1.1 Produksi Bersih Padi 2025'!E502="","",'1.1 Produksi Bersih Padi 2025'!E502)</f>
        <v/>
      </c>
      <c r="F500" s="13" t="str">
        <f>'1.1 Produksi Bersih Padi 2025'!Q502</f>
        <v/>
      </c>
      <c r="G500" s="13" t="str">
        <f>'1.2 Produksi Bersih Jagung 2025'!L502</f>
        <v/>
      </c>
      <c r="H500" s="13" t="str">
        <f>'1.3 Prod Bersih Ubi Kayu 2025'!K502</f>
        <v/>
      </c>
      <c r="I500" s="13" t="str">
        <f>'1.4 Prod Bersih Ubi Jalar 2025'!K502</f>
        <v/>
      </c>
      <c r="J500" s="13" t="str">
        <f>'1.5 Prod Bersih Sagu 2025'!K502</f>
        <v/>
      </c>
      <c r="K500" s="13" t="str">
        <f>'1.6 Prod Bersih Pisang 2025'!K502</f>
        <v/>
      </c>
      <c r="L500" s="15">
        <f t="shared" si="21"/>
        <v>0</v>
      </c>
      <c r="M500" s="14" t="str">
        <f>IF(D500="","",VLOOKUP(D500,'[1]0.1 Produksi Pangan &amp; Penduduk'!$D$5:$AU$704,44,0))</f>
        <v/>
      </c>
      <c r="N500" s="26" t="str">
        <f t="shared" si="22"/>
        <v/>
      </c>
      <c r="O500" s="16"/>
      <c r="P500" s="25" t="str">
        <f t="shared" si="23"/>
        <v/>
      </c>
      <c r="Q500" s="8"/>
      <c r="R500" s="11"/>
    </row>
    <row r="501" spans="1:18" ht="15" x14ac:dyDescent="0.25">
      <c r="A501" s="3" t="str">
        <f>IF('1.1 Produksi Bersih Padi 2025'!A503="","",'1.1 Produksi Bersih Padi 2025'!A503)</f>
        <v/>
      </c>
      <c r="B501" s="32" t="str">
        <f>IF('1.1 Produksi Bersih Padi 2025'!B503="","",'1.1 Produksi Bersih Padi 2025'!B503)</f>
        <v/>
      </c>
      <c r="C501" s="32" t="str">
        <f>IF('1.1 Produksi Bersih Padi 2025'!C503="","",'1.1 Produksi Bersih Padi 2025'!C503)</f>
        <v/>
      </c>
      <c r="D501" s="3" t="str">
        <f>IF('1.1 Produksi Bersih Padi 2025'!D503="","",'1.1 Produksi Bersih Padi 2025'!D503)</f>
        <v/>
      </c>
      <c r="E501" s="3" t="str">
        <f>IF('1.1 Produksi Bersih Padi 2025'!E503="","",'1.1 Produksi Bersih Padi 2025'!E503)</f>
        <v/>
      </c>
      <c r="F501" s="13" t="str">
        <f>'1.1 Produksi Bersih Padi 2025'!Q503</f>
        <v/>
      </c>
      <c r="G501" s="13" t="str">
        <f>'1.2 Produksi Bersih Jagung 2025'!L503</f>
        <v/>
      </c>
      <c r="H501" s="13" t="str">
        <f>'1.3 Prod Bersih Ubi Kayu 2025'!K503</f>
        <v/>
      </c>
      <c r="I501" s="13" t="str">
        <f>'1.4 Prod Bersih Ubi Jalar 2025'!K503</f>
        <v/>
      </c>
      <c r="J501" s="13" t="str">
        <f>'1.5 Prod Bersih Sagu 2025'!K503</f>
        <v/>
      </c>
      <c r="K501" s="13" t="str">
        <f>'1.6 Prod Bersih Pisang 2025'!K503</f>
        <v/>
      </c>
      <c r="L501" s="15">
        <f t="shared" si="21"/>
        <v>0</v>
      </c>
      <c r="M501" s="14" t="str">
        <f>IF(D501="","",VLOOKUP(D501,'[1]0.1 Produksi Pangan &amp; Penduduk'!$D$5:$AU$704,44,0))</f>
        <v/>
      </c>
      <c r="N501" s="26" t="str">
        <f t="shared" si="22"/>
        <v/>
      </c>
      <c r="O501" s="16"/>
      <c r="P501" s="25" t="str">
        <f t="shared" si="23"/>
        <v/>
      </c>
      <c r="Q501" s="8"/>
      <c r="R501" s="11"/>
    </row>
    <row r="502" spans="1:18" ht="15" x14ac:dyDescent="0.25">
      <c r="A502" s="3" t="str">
        <f>IF('1.1 Produksi Bersih Padi 2025'!A504="","",'1.1 Produksi Bersih Padi 2025'!A504)</f>
        <v/>
      </c>
      <c r="B502" s="32" t="str">
        <f>IF('1.1 Produksi Bersih Padi 2025'!B504="","",'1.1 Produksi Bersih Padi 2025'!B504)</f>
        <v/>
      </c>
      <c r="C502" s="32" t="str">
        <f>IF('1.1 Produksi Bersih Padi 2025'!C504="","",'1.1 Produksi Bersih Padi 2025'!C504)</f>
        <v/>
      </c>
      <c r="D502" s="3" t="str">
        <f>IF('1.1 Produksi Bersih Padi 2025'!D504="","",'1.1 Produksi Bersih Padi 2025'!D504)</f>
        <v/>
      </c>
      <c r="E502" s="3" t="str">
        <f>IF('1.1 Produksi Bersih Padi 2025'!E504="","",'1.1 Produksi Bersih Padi 2025'!E504)</f>
        <v/>
      </c>
      <c r="F502" s="13" t="str">
        <f>'1.1 Produksi Bersih Padi 2025'!Q504</f>
        <v/>
      </c>
      <c r="G502" s="13" t="str">
        <f>'1.2 Produksi Bersih Jagung 2025'!L504</f>
        <v/>
      </c>
      <c r="H502" s="13" t="str">
        <f>'1.3 Prod Bersih Ubi Kayu 2025'!K504</f>
        <v/>
      </c>
      <c r="I502" s="13" t="str">
        <f>'1.4 Prod Bersih Ubi Jalar 2025'!K504</f>
        <v/>
      </c>
      <c r="J502" s="13" t="str">
        <f>'1.5 Prod Bersih Sagu 2025'!K504</f>
        <v/>
      </c>
      <c r="K502" s="13" t="str">
        <f>'1.6 Prod Bersih Pisang 2025'!K504</f>
        <v/>
      </c>
      <c r="L502" s="15">
        <f t="shared" si="21"/>
        <v>0</v>
      </c>
      <c r="M502" s="14" t="str">
        <f>IF(D502="","",VLOOKUP(D502,'[1]0.1 Produksi Pangan &amp; Penduduk'!$D$5:$AU$704,44,0))</f>
        <v/>
      </c>
      <c r="N502" s="26" t="str">
        <f t="shared" si="22"/>
        <v/>
      </c>
      <c r="O502" s="16"/>
      <c r="P502" s="25" t="str">
        <f t="shared" si="23"/>
        <v/>
      </c>
      <c r="Q502" s="8"/>
      <c r="R502" s="11"/>
    </row>
    <row r="503" spans="1:18" ht="15" x14ac:dyDescent="0.25">
      <c r="A503" s="3" t="str">
        <f>IF('1.1 Produksi Bersih Padi 2025'!A505="","",'1.1 Produksi Bersih Padi 2025'!A505)</f>
        <v/>
      </c>
      <c r="B503" s="32" t="str">
        <f>IF('1.1 Produksi Bersih Padi 2025'!B505="","",'1.1 Produksi Bersih Padi 2025'!B505)</f>
        <v/>
      </c>
      <c r="C503" s="32" t="str">
        <f>IF('1.1 Produksi Bersih Padi 2025'!C505="","",'1.1 Produksi Bersih Padi 2025'!C505)</f>
        <v/>
      </c>
      <c r="D503" s="3" t="str">
        <f>IF('1.1 Produksi Bersih Padi 2025'!D505="","",'1.1 Produksi Bersih Padi 2025'!D505)</f>
        <v/>
      </c>
      <c r="E503" s="3" t="str">
        <f>IF('1.1 Produksi Bersih Padi 2025'!E505="","",'1.1 Produksi Bersih Padi 2025'!E505)</f>
        <v/>
      </c>
      <c r="F503" s="13" t="str">
        <f>'1.1 Produksi Bersih Padi 2025'!Q505</f>
        <v/>
      </c>
      <c r="G503" s="13" t="str">
        <f>'1.2 Produksi Bersih Jagung 2025'!L505</f>
        <v/>
      </c>
      <c r="H503" s="13" t="str">
        <f>'1.3 Prod Bersih Ubi Kayu 2025'!K505</f>
        <v/>
      </c>
      <c r="I503" s="13" t="str">
        <f>'1.4 Prod Bersih Ubi Jalar 2025'!K505</f>
        <v/>
      </c>
      <c r="J503" s="13" t="str">
        <f>'1.5 Prod Bersih Sagu 2025'!K505</f>
        <v/>
      </c>
      <c r="K503" s="13" t="str">
        <f>'1.6 Prod Bersih Pisang 2025'!K505</f>
        <v/>
      </c>
      <c r="L503" s="15">
        <f t="shared" si="21"/>
        <v>0</v>
      </c>
      <c r="M503" s="14" t="str">
        <f>IF(D503="","",VLOOKUP(D503,'[1]0.1 Produksi Pangan &amp; Penduduk'!$D$5:$AU$704,44,0))</f>
        <v/>
      </c>
      <c r="N503" s="26" t="str">
        <f t="shared" si="22"/>
        <v/>
      </c>
      <c r="O503" s="16"/>
      <c r="P503" s="25" t="str">
        <f t="shared" si="23"/>
        <v/>
      </c>
      <c r="Q503" s="8"/>
      <c r="R503" s="11"/>
    </row>
    <row r="504" spans="1:18" ht="15" x14ac:dyDescent="0.25">
      <c r="A504" s="3" t="str">
        <f>IF('1.1 Produksi Bersih Padi 2025'!A506="","",'1.1 Produksi Bersih Padi 2025'!A506)</f>
        <v/>
      </c>
      <c r="B504" s="32" t="str">
        <f>IF('1.1 Produksi Bersih Padi 2025'!B506="","",'1.1 Produksi Bersih Padi 2025'!B506)</f>
        <v/>
      </c>
      <c r="C504" s="32" t="str">
        <f>IF('1.1 Produksi Bersih Padi 2025'!C506="","",'1.1 Produksi Bersih Padi 2025'!C506)</f>
        <v/>
      </c>
      <c r="D504" s="3" t="str">
        <f>IF('1.1 Produksi Bersih Padi 2025'!D506="","",'1.1 Produksi Bersih Padi 2025'!D506)</f>
        <v/>
      </c>
      <c r="E504" s="3" t="str">
        <f>IF('1.1 Produksi Bersih Padi 2025'!E506="","",'1.1 Produksi Bersih Padi 2025'!E506)</f>
        <v/>
      </c>
      <c r="F504" s="13" t="str">
        <f>'1.1 Produksi Bersih Padi 2025'!Q506</f>
        <v/>
      </c>
      <c r="G504" s="13" t="str">
        <f>'1.2 Produksi Bersih Jagung 2025'!L506</f>
        <v/>
      </c>
      <c r="H504" s="13" t="str">
        <f>'1.3 Prod Bersih Ubi Kayu 2025'!K506</f>
        <v/>
      </c>
      <c r="I504" s="13" t="str">
        <f>'1.4 Prod Bersih Ubi Jalar 2025'!K506</f>
        <v/>
      </c>
      <c r="J504" s="13" t="str">
        <f>'1.5 Prod Bersih Sagu 2025'!K506</f>
        <v/>
      </c>
      <c r="K504" s="13" t="str">
        <f>'1.6 Prod Bersih Pisang 2025'!K506</f>
        <v/>
      </c>
      <c r="L504" s="15">
        <f t="shared" si="21"/>
        <v>0</v>
      </c>
      <c r="M504" s="14" t="str">
        <f>IF(D504="","",VLOOKUP(D504,'[1]0.1 Produksi Pangan &amp; Penduduk'!$D$5:$AU$704,44,0))</f>
        <v/>
      </c>
      <c r="N504" s="26" t="str">
        <f t="shared" si="22"/>
        <v/>
      </c>
      <c r="O504" s="16"/>
      <c r="P504" s="25" t="str">
        <f t="shared" si="23"/>
        <v/>
      </c>
      <c r="Q504" s="8"/>
      <c r="R504" s="11"/>
    </row>
    <row r="505" spans="1:18" ht="15" x14ac:dyDescent="0.25">
      <c r="A505" s="3" t="str">
        <f>IF('1.1 Produksi Bersih Padi 2025'!A507="","",'1.1 Produksi Bersih Padi 2025'!A507)</f>
        <v/>
      </c>
      <c r="B505" s="32" t="str">
        <f>IF('1.1 Produksi Bersih Padi 2025'!B507="","",'1.1 Produksi Bersih Padi 2025'!B507)</f>
        <v/>
      </c>
      <c r="C505" s="32" t="str">
        <f>IF('1.1 Produksi Bersih Padi 2025'!C507="","",'1.1 Produksi Bersih Padi 2025'!C507)</f>
        <v/>
      </c>
      <c r="D505" s="3" t="str">
        <f>IF('1.1 Produksi Bersih Padi 2025'!D507="","",'1.1 Produksi Bersih Padi 2025'!D507)</f>
        <v/>
      </c>
      <c r="E505" s="3" t="str">
        <f>IF('1.1 Produksi Bersih Padi 2025'!E507="","",'1.1 Produksi Bersih Padi 2025'!E507)</f>
        <v/>
      </c>
      <c r="F505" s="13" t="str">
        <f>'1.1 Produksi Bersih Padi 2025'!Q507</f>
        <v/>
      </c>
      <c r="G505" s="13" t="str">
        <f>'1.2 Produksi Bersih Jagung 2025'!L507</f>
        <v/>
      </c>
      <c r="H505" s="13" t="str">
        <f>'1.3 Prod Bersih Ubi Kayu 2025'!K507</f>
        <v/>
      </c>
      <c r="I505" s="13" t="str">
        <f>'1.4 Prod Bersih Ubi Jalar 2025'!K507</f>
        <v/>
      </c>
      <c r="J505" s="13" t="str">
        <f>'1.5 Prod Bersih Sagu 2025'!K507</f>
        <v/>
      </c>
      <c r="K505" s="13" t="str">
        <f>'1.6 Prod Bersih Pisang 2025'!K507</f>
        <v/>
      </c>
      <c r="L505" s="15">
        <f t="shared" si="21"/>
        <v>0</v>
      </c>
      <c r="M505" s="14" t="str">
        <f>IF(D505="","",VLOOKUP(D505,'[1]0.1 Produksi Pangan &amp; Penduduk'!$D$5:$AU$704,44,0))</f>
        <v/>
      </c>
      <c r="N505" s="26" t="str">
        <f t="shared" si="22"/>
        <v/>
      </c>
      <c r="O505" s="16"/>
      <c r="P505" s="25" t="str">
        <f t="shared" si="23"/>
        <v/>
      </c>
      <c r="Q505" s="8"/>
      <c r="R505" s="11"/>
    </row>
    <row r="506" spans="1:18" ht="15" x14ac:dyDescent="0.25">
      <c r="A506" s="3" t="str">
        <f>IF('1.1 Produksi Bersih Padi 2025'!A508="","",'1.1 Produksi Bersih Padi 2025'!A508)</f>
        <v/>
      </c>
      <c r="B506" s="32" t="str">
        <f>IF('1.1 Produksi Bersih Padi 2025'!B508="","",'1.1 Produksi Bersih Padi 2025'!B508)</f>
        <v/>
      </c>
      <c r="C506" s="32" t="str">
        <f>IF('1.1 Produksi Bersih Padi 2025'!C508="","",'1.1 Produksi Bersih Padi 2025'!C508)</f>
        <v/>
      </c>
      <c r="D506" s="3" t="str">
        <f>IF('1.1 Produksi Bersih Padi 2025'!D508="","",'1.1 Produksi Bersih Padi 2025'!D508)</f>
        <v/>
      </c>
      <c r="E506" s="3" t="str">
        <f>IF('1.1 Produksi Bersih Padi 2025'!E508="","",'1.1 Produksi Bersih Padi 2025'!E508)</f>
        <v/>
      </c>
      <c r="F506" s="13" t="str">
        <f>'1.1 Produksi Bersih Padi 2025'!Q508</f>
        <v/>
      </c>
      <c r="G506" s="13" t="str">
        <f>'1.2 Produksi Bersih Jagung 2025'!L508</f>
        <v/>
      </c>
      <c r="H506" s="13" t="str">
        <f>'1.3 Prod Bersih Ubi Kayu 2025'!K508</f>
        <v/>
      </c>
      <c r="I506" s="13" t="str">
        <f>'1.4 Prod Bersih Ubi Jalar 2025'!K508</f>
        <v/>
      </c>
      <c r="J506" s="13" t="str">
        <f>'1.5 Prod Bersih Sagu 2025'!K508</f>
        <v/>
      </c>
      <c r="K506" s="13" t="str">
        <f>'1.6 Prod Bersih Pisang 2025'!K508</f>
        <v/>
      </c>
      <c r="L506" s="15">
        <f t="shared" si="21"/>
        <v>0</v>
      </c>
      <c r="M506" s="14" t="str">
        <f>IF(D506="","",VLOOKUP(D506,'[1]0.1 Produksi Pangan &amp; Penduduk'!$D$5:$AU$704,44,0))</f>
        <v/>
      </c>
      <c r="N506" s="26" t="str">
        <f t="shared" si="22"/>
        <v/>
      </c>
      <c r="O506" s="16"/>
      <c r="P506" s="25" t="str">
        <f t="shared" si="23"/>
        <v/>
      </c>
      <c r="Q506" s="8"/>
      <c r="R506" s="11"/>
    </row>
    <row r="507" spans="1:18" ht="15" x14ac:dyDescent="0.25">
      <c r="A507" s="3" t="str">
        <f>IF('1.1 Produksi Bersih Padi 2025'!A509="","",'1.1 Produksi Bersih Padi 2025'!A509)</f>
        <v/>
      </c>
      <c r="B507" s="32" t="str">
        <f>IF('1.1 Produksi Bersih Padi 2025'!B509="","",'1.1 Produksi Bersih Padi 2025'!B509)</f>
        <v/>
      </c>
      <c r="C507" s="32" t="str">
        <f>IF('1.1 Produksi Bersih Padi 2025'!C509="","",'1.1 Produksi Bersih Padi 2025'!C509)</f>
        <v/>
      </c>
      <c r="D507" s="3" t="str">
        <f>IF('1.1 Produksi Bersih Padi 2025'!D509="","",'1.1 Produksi Bersih Padi 2025'!D509)</f>
        <v/>
      </c>
      <c r="E507" s="3" t="str">
        <f>IF('1.1 Produksi Bersih Padi 2025'!E509="","",'1.1 Produksi Bersih Padi 2025'!E509)</f>
        <v/>
      </c>
      <c r="F507" s="13" t="str">
        <f>'1.1 Produksi Bersih Padi 2025'!Q509</f>
        <v/>
      </c>
      <c r="G507" s="13" t="str">
        <f>'1.2 Produksi Bersih Jagung 2025'!L509</f>
        <v/>
      </c>
      <c r="H507" s="13" t="str">
        <f>'1.3 Prod Bersih Ubi Kayu 2025'!K509</f>
        <v/>
      </c>
      <c r="I507" s="13" t="str">
        <f>'1.4 Prod Bersih Ubi Jalar 2025'!K509</f>
        <v/>
      </c>
      <c r="J507" s="13" t="str">
        <f>'1.5 Prod Bersih Sagu 2025'!K509</f>
        <v/>
      </c>
      <c r="K507" s="13" t="str">
        <f>'1.6 Prod Bersih Pisang 2025'!K509</f>
        <v/>
      </c>
      <c r="L507" s="15">
        <f t="shared" si="21"/>
        <v>0</v>
      </c>
      <c r="M507" s="14" t="str">
        <f>IF(D507="","",VLOOKUP(D507,'[1]0.1 Produksi Pangan &amp; Penduduk'!$D$5:$AU$704,44,0))</f>
        <v/>
      </c>
      <c r="N507" s="26" t="str">
        <f t="shared" si="22"/>
        <v/>
      </c>
      <c r="O507" s="16"/>
      <c r="P507" s="25" t="str">
        <f t="shared" si="23"/>
        <v/>
      </c>
      <c r="Q507" s="8"/>
      <c r="R507" s="11"/>
    </row>
    <row r="508" spans="1:18" ht="15" x14ac:dyDescent="0.25">
      <c r="A508" s="3" t="str">
        <f>IF('1.1 Produksi Bersih Padi 2025'!A510="","",'1.1 Produksi Bersih Padi 2025'!A510)</f>
        <v/>
      </c>
      <c r="B508" s="32" t="str">
        <f>IF('1.1 Produksi Bersih Padi 2025'!B510="","",'1.1 Produksi Bersih Padi 2025'!B510)</f>
        <v/>
      </c>
      <c r="C508" s="32" t="str">
        <f>IF('1.1 Produksi Bersih Padi 2025'!C510="","",'1.1 Produksi Bersih Padi 2025'!C510)</f>
        <v/>
      </c>
      <c r="D508" s="3" t="str">
        <f>IF('1.1 Produksi Bersih Padi 2025'!D510="","",'1.1 Produksi Bersih Padi 2025'!D510)</f>
        <v/>
      </c>
      <c r="E508" s="3" t="str">
        <f>IF('1.1 Produksi Bersih Padi 2025'!E510="","",'1.1 Produksi Bersih Padi 2025'!E510)</f>
        <v/>
      </c>
      <c r="F508" s="13" t="str">
        <f>'1.1 Produksi Bersih Padi 2025'!Q510</f>
        <v/>
      </c>
      <c r="G508" s="13" t="str">
        <f>'1.2 Produksi Bersih Jagung 2025'!L510</f>
        <v/>
      </c>
      <c r="H508" s="13" t="str">
        <f>'1.3 Prod Bersih Ubi Kayu 2025'!K510</f>
        <v/>
      </c>
      <c r="I508" s="13" t="str">
        <f>'1.4 Prod Bersih Ubi Jalar 2025'!K510</f>
        <v/>
      </c>
      <c r="J508" s="13" t="str">
        <f>'1.5 Prod Bersih Sagu 2025'!K510</f>
        <v/>
      </c>
      <c r="K508" s="13" t="str">
        <f>'1.6 Prod Bersih Pisang 2025'!K510</f>
        <v/>
      </c>
      <c r="L508" s="15">
        <f t="shared" si="21"/>
        <v>0</v>
      </c>
      <c r="M508" s="14" t="str">
        <f>IF(D508="","",VLOOKUP(D508,'[1]0.1 Produksi Pangan &amp; Penduduk'!$D$5:$AU$704,44,0))</f>
        <v/>
      </c>
      <c r="N508" s="26" t="str">
        <f t="shared" si="22"/>
        <v/>
      </c>
      <c r="O508" s="16"/>
      <c r="P508" s="25" t="str">
        <f t="shared" si="23"/>
        <v/>
      </c>
      <c r="Q508" s="8"/>
      <c r="R508" s="11"/>
    </row>
    <row r="509" spans="1:18" ht="15" x14ac:dyDescent="0.25">
      <c r="A509" s="3" t="str">
        <f>IF('1.1 Produksi Bersih Padi 2025'!A511="","",'1.1 Produksi Bersih Padi 2025'!A511)</f>
        <v/>
      </c>
      <c r="B509" s="32" t="str">
        <f>IF('1.1 Produksi Bersih Padi 2025'!B511="","",'1.1 Produksi Bersih Padi 2025'!B511)</f>
        <v/>
      </c>
      <c r="C509" s="32" t="str">
        <f>IF('1.1 Produksi Bersih Padi 2025'!C511="","",'1.1 Produksi Bersih Padi 2025'!C511)</f>
        <v/>
      </c>
      <c r="D509" s="3" t="str">
        <f>IF('1.1 Produksi Bersih Padi 2025'!D511="","",'1.1 Produksi Bersih Padi 2025'!D511)</f>
        <v/>
      </c>
      <c r="E509" s="3" t="str">
        <f>IF('1.1 Produksi Bersih Padi 2025'!E511="","",'1.1 Produksi Bersih Padi 2025'!E511)</f>
        <v/>
      </c>
      <c r="F509" s="13" t="str">
        <f>'1.1 Produksi Bersih Padi 2025'!Q511</f>
        <v/>
      </c>
      <c r="G509" s="13" t="str">
        <f>'1.2 Produksi Bersih Jagung 2025'!L511</f>
        <v/>
      </c>
      <c r="H509" s="13" t="str">
        <f>'1.3 Prod Bersih Ubi Kayu 2025'!K511</f>
        <v/>
      </c>
      <c r="I509" s="13" t="str">
        <f>'1.4 Prod Bersih Ubi Jalar 2025'!K511</f>
        <v/>
      </c>
      <c r="J509" s="13" t="str">
        <f>'1.5 Prod Bersih Sagu 2025'!K511</f>
        <v/>
      </c>
      <c r="K509" s="13" t="str">
        <f>'1.6 Prod Bersih Pisang 2025'!K511</f>
        <v/>
      </c>
      <c r="L509" s="15">
        <f t="shared" si="21"/>
        <v>0</v>
      </c>
      <c r="M509" s="14" t="str">
        <f>IF(D509="","",VLOOKUP(D509,'[1]0.1 Produksi Pangan &amp; Penduduk'!$D$5:$AU$704,44,0))</f>
        <v/>
      </c>
      <c r="N509" s="26" t="str">
        <f t="shared" si="22"/>
        <v/>
      </c>
      <c r="O509" s="16"/>
      <c r="P509" s="25" t="str">
        <f t="shared" si="23"/>
        <v/>
      </c>
      <c r="Q509" s="8"/>
      <c r="R509" s="11"/>
    </row>
    <row r="510" spans="1:18" ht="15" x14ac:dyDescent="0.25">
      <c r="A510" s="3" t="str">
        <f>IF('1.1 Produksi Bersih Padi 2025'!A512="","",'1.1 Produksi Bersih Padi 2025'!A512)</f>
        <v/>
      </c>
      <c r="B510" s="32" t="str">
        <f>IF('1.1 Produksi Bersih Padi 2025'!B512="","",'1.1 Produksi Bersih Padi 2025'!B512)</f>
        <v/>
      </c>
      <c r="C510" s="32" t="str">
        <f>IF('1.1 Produksi Bersih Padi 2025'!C512="","",'1.1 Produksi Bersih Padi 2025'!C512)</f>
        <v/>
      </c>
      <c r="D510" s="3" t="str">
        <f>IF('1.1 Produksi Bersih Padi 2025'!D512="","",'1.1 Produksi Bersih Padi 2025'!D512)</f>
        <v/>
      </c>
      <c r="E510" s="3" t="str">
        <f>IF('1.1 Produksi Bersih Padi 2025'!E512="","",'1.1 Produksi Bersih Padi 2025'!E512)</f>
        <v/>
      </c>
      <c r="F510" s="13" t="str">
        <f>'1.1 Produksi Bersih Padi 2025'!Q512</f>
        <v/>
      </c>
      <c r="G510" s="13" t="str">
        <f>'1.2 Produksi Bersih Jagung 2025'!L512</f>
        <v/>
      </c>
      <c r="H510" s="13" t="str">
        <f>'1.3 Prod Bersih Ubi Kayu 2025'!K512</f>
        <v/>
      </c>
      <c r="I510" s="13" t="str">
        <f>'1.4 Prod Bersih Ubi Jalar 2025'!K512</f>
        <v/>
      </c>
      <c r="J510" s="13" t="str">
        <f>'1.5 Prod Bersih Sagu 2025'!K512</f>
        <v/>
      </c>
      <c r="K510" s="13" t="str">
        <f>'1.6 Prod Bersih Pisang 2025'!K512</f>
        <v/>
      </c>
      <c r="L510" s="15">
        <f t="shared" si="21"/>
        <v>0</v>
      </c>
      <c r="M510" s="14" t="str">
        <f>IF(D510="","",VLOOKUP(D510,'[1]0.1 Produksi Pangan &amp; Penduduk'!$D$5:$AU$704,44,0))</f>
        <v/>
      </c>
      <c r="N510" s="26" t="str">
        <f t="shared" si="22"/>
        <v/>
      </c>
      <c r="O510" s="16"/>
      <c r="P510" s="25" t="str">
        <f t="shared" si="23"/>
        <v/>
      </c>
      <c r="Q510" s="8"/>
      <c r="R510" s="11"/>
    </row>
    <row r="511" spans="1:18" ht="15" x14ac:dyDescent="0.25">
      <c r="A511" s="3" t="str">
        <f>IF('1.1 Produksi Bersih Padi 2025'!A513="","",'1.1 Produksi Bersih Padi 2025'!A513)</f>
        <v/>
      </c>
      <c r="B511" s="32" t="str">
        <f>IF('1.1 Produksi Bersih Padi 2025'!B513="","",'1.1 Produksi Bersih Padi 2025'!B513)</f>
        <v/>
      </c>
      <c r="C511" s="32" t="str">
        <f>IF('1.1 Produksi Bersih Padi 2025'!C513="","",'1.1 Produksi Bersih Padi 2025'!C513)</f>
        <v/>
      </c>
      <c r="D511" s="3" t="str">
        <f>IF('1.1 Produksi Bersih Padi 2025'!D513="","",'1.1 Produksi Bersih Padi 2025'!D513)</f>
        <v/>
      </c>
      <c r="E511" s="3" t="str">
        <f>IF('1.1 Produksi Bersih Padi 2025'!E513="","",'1.1 Produksi Bersih Padi 2025'!E513)</f>
        <v/>
      </c>
      <c r="F511" s="13" t="str">
        <f>'1.1 Produksi Bersih Padi 2025'!Q513</f>
        <v/>
      </c>
      <c r="G511" s="13" t="str">
        <f>'1.2 Produksi Bersih Jagung 2025'!L513</f>
        <v/>
      </c>
      <c r="H511" s="13" t="str">
        <f>'1.3 Prod Bersih Ubi Kayu 2025'!K513</f>
        <v/>
      </c>
      <c r="I511" s="13" t="str">
        <f>'1.4 Prod Bersih Ubi Jalar 2025'!K513</f>
        <v/>
      </c>
      <c r="J511" s="13" t="str">
        <f>'1.5 Prod Bersih Sagu 2025'!K513</f>
        <v/>
      </c>
      <c r="K511" s="13" t="str">
        <f>'1.6 Prod Bersih Pisang 2025'!K513</f>
        <v/>
      </c>
      <c r="L511" s="15">
        <f t="shared" si="21"/>
        <v>0</v>
      </c>
      <c r="M511" s="14" t="str">
        <f>IF(D511="","",VLOOKUP(D511,'[1]0.1 Produksi Pangan &amp; Penduduk'!$D$5:$AU$704,44,0))</f>
        <v/>
      </c>
      <c r="N511" s="26" t="str">
        <f t="shared" si="22"/>
        <v/>
      </c>
      <c r="O511" s="16"/>
      <c r="P511" s="25" t="str">
        <f t="shared" si="23"/>
        <v/>
      </c>
      <c r="Q511" s="8"/>
      <c r="R511" s="11"/>
    </row>
    <row r="512" spans="1:18" ht="15" x14ac:dyDescent="0.25">
      <c r="A512" s="3" t="str">
        <f>IF('1.1 Produksi Bersih Padi 2025'!A514="","",'1.1 Produksi Bersih Padi 2025'!A514)</f>
        <v/>
      </c>
      <c r="B512" s="32" t="str">
        <f>IF('1.1 Produksi Bersih Padi 2025'!B514="","",'1.1 Produksi Bersih Padi 2025'!B514)</f>
        <v/>
      </c>
      <c r="C512" s="32" t="str">
        <f>IF('1.1 Produksi Bersih Padi 2025'!C514="","",'1.1 Produksi Bersih Padi 2025'!C514)</f>
        <v/>
      </c>
      <c r="D512" s="3" t="str">
        <f>IF('1.1 Produksi Bersih Padi 2025'!D514="","",'1.1 Produksi Bersih Padi 2025'!D514)</f>
        <v/>
      </c>
      <c r="E512" s="3" t="str">
        <f>IF('1.1 Produksi Bersih Padi 2025'!E514="","",'1.1 Produksi Bersih Padi 2025'!E514)</f>
        <v/>
      </c>
      <c r="F512" s="13" t="str">
        <f>'1.1 Produksi Bersih Padi 2025'!Q514</f>
        <v/>
      </c>
      <c r="G512" s="13" t="str">
        <f>'1.2 Produksi Bersih Jagung 2025'!L514</f>
        <v/>
      </c>
      <c r="H512" s="13" t="str">
        <f>'1.3 Prod Bersih Ubi Kayu 2025'!K514</f>
        <v/>
      </c>
      <c r="I512" s="13" t="str">
        <f>'1.4 Prod Bersih Ubi Jalar 2025'!K514</f>
        <v/>
      </c>
      <c r="J512" s="13" t="str">
        <f>'1.5 Prod Bersih Sagu 2025'!K514</f>
        <v/>
      </c>
      <c r="K512" s="13" t="str">
        <f>'1.6 Prod Bersih Pisang 2025'!K514</f>
        <v/>
      </c>
      <c r="L512" s="15">
        <f t="shared" si="21"/>
        <v>0</v>
      </c>
      <c r="M512" s="14" t="str">
        <f>IF(D512="","",VLOOKUP(D512,'[1]0.1 Produksi Pangan &amp; Penduduk'!$D$5:$AU$704,44,0))</f>
        <v/>
      </c>
      <c r="N512" s="26" t="str">
        <f t="shared" si="22"/>
        <v/>
      </c>
      <c r="O512" s="16"/>
      <c r="P512" s="25" t="str">
        <f t="shared" si="23"/>
        <v/>
      </c>
      <c r="Q512" s="8"/>
      <c r="R512" s="11"/>
    </row>
    <row r="513" spans="1:18" ht="15" x14ac:dyDescent="0.25">
      <c r="A513" s="3" t="str">
        <f>IF('1.1 Produksi Bersih Padi 2025'!A515="","",'1.1 Produksi Bersih Padi 2025'!A515)</f>
        <v/>
      </c>
      <c r="B513" s="32" t="str">
        <f>IF('1.1 Produksi Bersih Padi 2025'!B515="","",'1.1 Produksi Bersih Padi 2025'!B515)</f>
        <v/>
      </c>
      <c r="C513" s="32" t="str">
        <f>IF('1.1 Produksi Bersih Padi 2025'!C515="","",'1.1 Produksi Bersih Padi 2025'!C515)</f>
        <v/>
      </c>
      <c r="D513" s="3" t="str">
        <f>IF('1.1 Produksi Bersih Padi 2025'!D515="","",'1.1 Produksi Bersih Padi 2025'!D515)</f>
        <v/>
      </c>
      <c r="E513" s="3" t="str">
        <f>IF('1.1 Produksi Bersih Padi 2025'!E515="","",'1.1 Produksi Bersih Padi 2025'!E515)</f>
        <v/>
      </c>
      <c r="F513" s="13" t="str">
        <f>'1.1 Produksi Bersih Padi 2025'!Q515</f>
        <v/>
      </c>
      <c r="G513" s="13" t="str">
        <f>'1.2 Produksi Bersih Jagung 2025'!L515</f>
        <v/>
      </c>
      <c r="H513" s="13" t="str">
        <f>'1.3 Prod Bersih Ubi Kayu 2025'!K515</f>
        <v/>
      </c>
      <c r="I513" s="13" t="str">
        <f>'1.4 Prod Bersih Ubi Jalar 2025'!K515</f>
        <v/>
      </c>
      <c r="J513" s="13" t="str">
        <f>'1.5 Prod Bersih Sagu 2025'!K515</f>
        <v/>
      </c>
      <c r="K513" s="13" t="str">
        <f>'1.6 Prod Bersih Pisang 2025'!K515</f>
        <v/>
      </c>
      <c r="L513" s="15">
        <f t="shared" si="21"/>
        <v>0</v>
      </c>
      <c r="M513" s="14" t="str">
        <f>IF(D513="","",VLOOKUP(D513,'[1]0.1 Produksi Pangan &amp; Penduduk'!$D$5:$AU$704,44,0))</f>
        <v/>
      </c>
      <c r="N513" s="26" t="str">
        <f t="shared" si="22"/>
        <v/>
      </c>
      <c r="O513" s="16"/>
      <c r="P513" s="25" t="str">
        <f t="shared" si="23"/>
        <v/>
      </c>
      <c r="Q513" s="8"/>
      <c r="R513" s="11"/>
    </row>
    <row r="514" spans="1:18" ht="15" x14ac:dyDescent="0.25">
      <c r="A514" s="3" t="str">
        <f>IF('1.1 Produksi Bersih Padi 2025'!A516="","",'1.1 Produksi Bersih Padi 2025'!A516)</f>
        <v/>
      </c>
      <c r="B514" s="32" t="str">
        <f>IF('1.1 Produksi Bersih Padi 2025'!B516="","",'1.1 Produksi Bersih Padi 2025'!B516)</f>
        <v/>
      </c>
      <c r="C514" s="32" t="str">
        <f>IF('1.1 Produksi Bersih Padi 2025'!C516="","",'1.1 Produksi Bersih Padi 2025'!C516)</f>
        <v/>
      </c>
      <c r="D514" s="3" t="str">
        <f>IF('1.1 Produksi Bersih Padi 2025'!D516="","",'1.1 Produksi Bersih Padi 2025'!D516)</f>
        <v/>
      </c>
      <c r="E514" s="3" t="str">
        <f>IF('1.1 Produksi Bersih Padi 2025'!E516="","",'1.1 Produksi Bersih Padi 2025'!E516)</f>
        <v/>
      </c>
      <c r="F514" s="13" t="str">
        <f>'1.1 Produksi Bersih Padi 2025'!Q516</f>
        <v/>
      </c>
      <c r="G514" s="13" t="str">
        <f>'1.2 Produksi Bersih Jagung 2025'!L516</f>
        <v/>
      </c>
      <c r="H514" s="13" t="str">
        <f>'1.3 Prod Bersih Ubi Kayu 2025'!K516</f>
        <v/>
      </c>
      <c r="I514" s="13" t="str">
        <f>'1.4 Prod Bersih Ubi Jalar 2025'!K516</f>
        <v/>
      </c>
      <c r="J514" s="13" t="str">
        <f>'1.5 Prod Bersih Sagu 2025'!K516</f>
        <v/>
      </c>
      <c r="K514" s="13" t="str">
        <f>'1.6 Prod Bersih Pisang 2025'!K516</f>
        <v/>
      </c>
      <c r="L514" s="15">
        <f t="shared" si="21"/>
        <v>0</v>
      </c>
      <c r="M514" s="14" t="str">
        <f>IF(D514="","",VLOOKUP(D514,'[1]0.1 Produksi Pangan &amp; Penduduk'!$D$5:$AU$704,44,0))</f>
        <v/>
      </c>
      <c r="N514" s="26" t="str">
        <f t="shared" si="22"/>
        <v/>
      </c>
      <c r="O514" s="16"/>
      <c r="P514" s="25" t="str">
        <f t="shared" si="23"/>
        <v/>
      </c>
      <c r="Q514" s="8"/>
      <c r="R514" s="11"/>
    </row>
    <row r="515" spans="1:18" ht="15" x14ac:dyDescent="0.25">
      <c r="A515" s="3" t="str">
        <f>IF('1.1 Produksi Bersih Padi 2025'!A517="","",'1.1 Produksi Bersih Padi 2025'!A517)</f>
        <v/>
      </c>
      <c r="B515" s="32" t="str">
        <f>IF('1.1 Produksi Bersih Padi 2025'!B517="","",'1.1 Produksi Bersih Padi 2025'!B517)</f>
        <v/>
      </c>
      <c r="C515" s="32" t="str">
        <f>IF('1.1 Produksi Bersih Padi 2025'!C517="","",'1.1 Produksi Bersih Padi 2025'!C517)</f>
        <v/>
      </c>
      <c r="D515" s="3" t="str">
        <f>IF('1.1 Produksi Bersih Padi 2025'!D517="","",'1.1 Produksi Bersih Padi 2025'!D517)</f>
        <v/>
      </c>
      <c r="E515" s="3" t="str">
        <f>IF('1.1 Produksi Bersih Padi 2025'!E517="","",'1.1 Produksi Bersih Padi 2025'!E517)</f>
        <v/>
      </c>
      <c r="F515" s="13" t="str">
        <f>'1.1 Produksi Bersih Padi 2025'!Q517</f>
        <v/>
      </c>
      <c r="G515" s="13" t="str">
        <f>'1.2 Produksi Bersih Jagung 2025'!L517</f>
        <v/>
      </c>
      <c r="H515" s="13" t="str">
        <f>'1.3 Prod Bersih Ubi Kayu 2025'!K517</f>
        <v/>
      </c>
      <c r="I515" s="13" t="str">
        <f>'1.4 Prod Bersih Ubi Jalar 2025'!K517</f>
        <v/>
      </c>
      <c r="J515" s="13" t="str">
        <f>'1.5 Prod Bersih Sagu 2025'!K517</f>
        <v/>
      </c>
      <c r="K515" s="13" t="str">
        <f>'1.6 Prod Bersih Pisang 2025'!K517</f>
        <v/>
      </c>
      <c r="L515" s="15">
        <f t="shared" si="21"/>
        <v>0</v>
      </c>
      <c r="M515" s="14" t="str">
        <f>IF(D515="","",VLOOKUP(D515,'[1]0.1 Produksi Pangan &amp; Penduduk'!$D$5:$AU$704,44,0))</f>
        <v/>
      </c>
      <c r="N515" s="26" t="str">
        <f t="shared" si="22"/>
        <v/>
      </c>
      <c r="O515" s="16"/>
      <c r="P515" s="25" t="str">
        <f t="shared" si="23"/>
        <v/>
      </c>
      <c r="Q515" s="8"/>
      <c r="R515" s="11"/>
    </row>
    <row r="516" spans="1:18" ht="15" x14ac:dyDescent="0.25">
      <c r="A516" s="3" t="str">
        <f>IF('1.1 Produksi Bersih Padi 2025'!A518="","",'1.1 Produksi Bersih Padi 2025'!A518)</f>
        <v/>
      </c>
      <c r="B516" s="32" t="str">
        <f>IF('1.1 Produksi Bersih Padi 2025'!B518="","",'1.1 Produksi Bersih Padi 2025'!B518)</f>
        <v/>
      </c>
      <c r="C516" s="32" t="str">
        <f>IF('1.1 Produksi Bersih Padi 2025'!C518="","",'1.1 Produksi Bersih Padi 2025'!C518)</f>
        <v/>
      </c>
      <c r="D516" s="3" t="str">
        <f>IF('1.1 Produksi Bersih Padi 2025'!D518="","",'1.1 Produksi Bersih Padi 2025'!D518)</f>
        <v/>
      </c>
      <c r="E516" s="3" t="str">
        <f>IF('1.1 Produksi Bersih Padi 2025'!E518="","",'1.1 Produksi Bersih Padi 2025'!E518)</f>
        <v/>
      </c>
      <c r="F516" s="13" t="str">
        <f>'1.1 Produksi Bersih Padi 2025'!Q518</f>
        <v/>
      </c>
      <c r="G516" s="13" t="str">
        <f>'1.2 Produksi Bersih Jagung 2025'!L518</f>
        <v/>
      </c>
      <c r="H516" s="13" t="str">
        <f>'1.3 Prod Bersih Ubi Kayu 2025'!K518</f>
        <v/>
      </c>
      <c r="I516" s="13" t="str">
        <f>'1.4 Prod Bersih Ubi Jalar 2025'!K518</f>
        <v/>
      </c>
      <c r="J516" s="13" t="str">
        <f>'1.5 Prod Bersih Sagu 2025'!K518</f>
        <v/>
      </c>
      <c r="K516" s="13" t="str">
        <f>'1.6 Prod Bersih Pisang 2025'!K518</f>
        <v/>
      </c>
      <c r="L516" s="15">
        <f t="shared" ref="L516:L579" si="24">IFERROR(SUM(F516:K516),0)</f>
        <v>0</v>
      </c>
      <c r="M516" s="14" t="str">
        <f>IF(D516="","",VLOOKUP(D516,'[1]0.1 Produksi Pangan &amp; Penduduk'!$D$5:$AU$704,44,0))</f>
        <v/>
      </c>
      <c r="N516" s="26" t="str">
        <f t="shared" ref="N516:N579" si="25">IF(M516="","",IFERROR((L516*1000*1000/M516)/365,"-"))</f>
        <v/>
      </c>
      <c r="O516" s="16"/>
      <c r="P516" s="25" t="str">
        <f t="shared" ref="P516:P579" si="26">IF(N516="","",IFERROR(300/N516,"-"))</f>
        <v/>
      </c>
      <c r="Q516" s="8"/>
      <c r="R516" s="11"/>
    </row>
    <row r="517" spans="1:18" ht="15" x14ac:dyDescent="0.25">
      <c r="A517" s="3" t="str">
        <f>IF('1.1 Produksi Bersih Padi 2025'!A519="","",'1.1 Produksi Bersih Padi 2025'!A519)</f>
        <v/>
      </c>
      <c r="B517" s="32" t="str">
        <f>IF('1.1 Produksi Bersih Padi 2025'!B519="","",'1.1 Produksi Bersih Padi 2025'!B519)</f>
        <v/>
      </c>
      <c r="C517" s="32" t="str">
        <f>IF('1.1 Produksi Bersih Padi 2025'!C519="","",'1.1 Produksi Bersih Padi 2025'!C519)</f>
        <v/>
      </c>
      <c r="D517" s="3" t="str">
        <f>IF('1.1 Produksi Bersih Padi 2025'!D519="","",'1.1 Produksi Bersih Padi 2025'!D519)</f>
        <v/>
      </c>
      <c r="E517" s="3" t="str">
        <f>IF('1.1 Produksi Bersih Padi 2025'!E519="","",'1.1 Produksi Bersih Padi 2025'!E519)</f>
        <v/>
      </c>
      <c r="F517" s="13" t="str">
        <f>'1.1 Produksi Bersih Padi 2025'!Q519</f>
        <v/>
      </c>
      <c r="G517" s="13" t="str">
        <f>'1.2 Produksi Bersih Jagung 2025'!L519</f>
        <v/>
      </c>
      <c r="H517" s="13" t="str">
        <f>'1.3 Prod Bersih Ubi Kayu 2025'!K519</f>
        <v/>
      </c>
      <c r="I517" s="13" t="str">
        <f>'1.4 Prod Bersih Ubi Jalar 2025'!K519</f>
        <v/>
      </c>
      <c r="J517" s="13" t="str">
        <f>'1.5 Prod Bersih Sagu 2025'!K519</f>
        <v/>
      </c>
      <c r="K517" s="13" t="str">
        <f>'1.6 Prod Bersih Pisang 2025'!K519</f>
        <v/>
      </c>
      <c r="L517" s="15">
        <f t="shared" si="24"/>
        <v>0</v>
      </c>
      <c r="M517" s="14" t="str">
        <f>IF(D517="","",VLOOKUP(D517,'[1]0.1 Produksi Pangan &amp; Penduduk'!$D$5:$AU$704,44,0))</f>
        <v/>
      </c>
      <c r="N517" s="26" t="str">
        <f t="shared" si="25"/>
        <v/>
      </c>
      <c r="O517" s="16"/>
      <c r="P517" s="25" t="str">
        <f t="shared" si="26"/>
        <v/>
      </c>
      <c r="Q517" s="8"/>
      <c r="R517" s="11"/>
    </row>
    <row r="518" spans="1:18" ht="15" x14ac:dyDescent="0.25">
      <c r="A518" s="3" t="str">
        <f>IF('1.1 Produksi Bersih Padi 2025'!A520="","",'1.1 Produksi Bersih Padi 2025'!A520)</f>
        <v/>
      </c>
      <c r="B518" s="32" t="str">
        <f>IF('1.1 Produksi Bersih Padi 2025'!B520="","",'1.1 Produksi Bersih Padi 2025'!B520)</f>
        <v/>
      </c>
      <c r="C518" s="32" t="str">
        <f>IF('1.1 Produksi Bersih Padi 2025'!C520="","",'1.1 Produksi Bersih Padi 2025'!C520)</f>
        <v/>
      </c>
      <c r="D518" s="3" t="str">
        <f>IF('1.1 Produksi Bersih Padi 2025'!D520="","",'1.1 Produksi Bersih Padi 2025'!D520)</f>
        <v/>
      </c>
      <c r="E518" s="3" t="str">
        <f>IF('1.1 Produksi Bersih Padi 2025'!E520="","",'1.1 Produksi Bersih Padi 2025'!E520)</f>
        <v/>
      </c>
      <c r="F518" s="13" t="str">
        <f>'1.1 Produksi Bersih Padi 2025'!Q520</f>
        <v/>
      </c>
      <c r="G518" s="13" t="str">
        <f>'1.2 Produksi Bersih Jagung 2025'!L520</f>
        <v/>
      </c>
      <c r="H518" s="13" t="str">
        <f>'1.3 Prod Bersih Ubi Kayu 2025'!K520</f>
        <v/>
      </c>
      <c r="I518" s="13" t="str">
        <f>'1.4 Prod Bersih Ubi Jalar 2025'!K520</f>
        <v/>
      </c>
      <c r="J518" s="13" t="str">
        <f>'1.5 Prod Bersih Sagu 2025'!K520</f>
        <v/>
      </c>
      <c r="K518" s="13" t="str">
        <f>'1.6 Prod Bersih Pisang 2025'!K520</f>
        <v/>
      </c>
      <c r="L518" s="15">
        <f t="shared" si="24"/>
        <v>0</v>
      </c>
      <c r="M518" s="14" t="str">
        <f>IF(D518="","",VLOOKUP(D518,'[1]0.1 Produksi Pangan &amp; Penduduk'!$D$5:$AU$704,44,0))</f>
        <v/>
      </c>
      <c r="N518" s="26" t="str">
        <f t="shared" si="25"/>
        <v/>
      </c>
      <c r="O518" s="16"/>
      <c r="P518" s="25" t="str">
        <f t="shared" si="26"/>
        <v/>
      </c>
      <c r="Q518" s="8"/>
      <c r="R518" s="11"/>
    </row>
    <row r="519" spans="1:18" ht="15" x14ac:dyDescent="0.25">
      <c r="A519" s="3" t="str">
        <f>IF('1.1 Produksi Bersih Padi 2025'!A521="","",'1.1 Produksi Bersih Padi 2025'!A521)</f>
        <v/>
      </c>
      <c r="B519" s="32" t="str">
        <f>IF('1.1 Produksi Bersih Padi 2025'!B521="","",'1.1 Produksi Bersih Padi 2025'!B521)</f>
        <v/>
      </c>
      <c r="C519" s="32" t="str">
        <f>IF('1.1 Produksi Bersih Padi 2025'!C521="","",'1.1 Produksi Bersih Padi 2025'!C521)</f>
        <v/>
      </c>
      <c r="D519" s="3" t="str">
        <f>IF('1.1 Produksi Bersih Padi 2025'!D521="","",'1.1 Produksi Bersih Padi 2025'!D521)</f>
        <v/>
      </c>
      <c r="E519" s="3" t="str">
        <f>IF('1.1 Produksi Bersih Padi 2025'!E521="","",'1.1 Produksi Bersih Padi 2025'!E521)</f>
        <v/>
      </c>
      <c r="F519" s="13" t="str">
        <f>'1.1 Produksi Bersih Padi 2025'!Q521</f>
        <v/>
      </c>
      <c r="G519" s="13" t="str">
        <f>'1.2 Produksi Bersih Jagung 2025'!L521</f>
        <v/>
      </c>
      <c r="H519" s="13" t="str">
        <f>'1.3 Prod Bersih Ubi Kayu 2025'!K521</f>
        <v/>
      </c>
      <c r="I519" s="13" t="str">
        <f>'1.4 Prod Bersih Ubi Jalar 2025'!K521</f>
        <v/>
      </c>
      <c r="J519" s="13" t="str">
        <f>'1.5 Prod Bersih Sagu 2025'!K521</f>
        <v/>
      </c>
      <c r="K519" s="13" t="str">
        <f>'1.6 Prod Bersih Pisang 2025'!K521</f>
        <v/>
      </c>
      <c r="L519" s="15">
        <f t="shared" si="24"/>
        <v>0</v>
      </c>
      <c r="M519" s="14" t="str">
        <f>IF(D519="","",VLOOKUP(D519,'[1]0.1 Produksi Pangan &amp; Penduduk'!$D$5:$AU$704,44,0))</f>
        <v/>
      </c>
      <c r="N519" s="26" t="str">
        <f t="shared" si="25"/>
        <v/>
      </c>
      <c r="O519" s="16"/>
      <c r="P519" s="25" t="str">
        <f t="shared" si="26"/>
        <v/>
      </c>
      <c r="Q519" s="8"/>
      <c r="R519" s="11"/>
    </row>
    <row r="520" spans="1:18" ht="15" x14ac:dyDescent="0.25">
      <c r="A520" s="3" t="str">
        <f>IF('1.1 Produksi Bersih Padi 2025'!A522="","",'1.1 Produksi Bersih Padi 2025'!A522)</f>
        <v/>
      </c>
      <c r="B520" s="32" t="str">
        <f>IF('1.1 Produksi Bersih Padi 2025'!B522="","",'1.1 Produksi Bersih Padi 2025'!B522)</f>
        <v/>
      </c>
      <c r="C520" s="32" t="str">
        <f>IF('1.1 Produksi Bersih Padi 2025'!C522="","",'1.1 Produksi Bersih Padi 2025'!C522)</f>
        <v/>
      </c>
      <c r="D520" s="3" t="str">
        <f>IF('1.1 Produksi Bersih Padi 2025'!D522="","",'1.1 Produksi Bersih Padi 2025'!D522)</f>
        <v/>
      </c>
      <c r="E520" s="3" t="str">
        <f>IF('1.1 Produksi Bersih Padi 2025'!E522="","",'1.1 Produksi Bersih Padi 2025'!E522)</f>
        <v/>
      </c>
      <c r="F520" s="13" t="str">
        <f>'1.1 Produksi Bersih Padi 2025'!Q522</f>
        <v/>
      </c>
      <c r="G520" s="13" t="str">
        <f>'1.2 Produksi Bersih Jagung 2025'!L522</f>
        <v/>
      </c>
      <c r="H520" s="13" t="str">
        <f>'1.3 Prod Bersih Ubi Kayu 2025'!K522</f>
        <v/>
      </c>
      <c r="I520" s="13" t="str">
        <f>'1.4 Prod Bersih Ubi Jalar 2025'!K522</f>
        <v/>
      </c>
      <c r="J520" s="13" t="str">
        <f>'1.5 Prod Bersih Sagu 2025'!K522</f>
        <v/>
      </c>
      <c r="K520" s="13" t="str">
        <f>'1.6 Prod Bersih Pisang 2025'!K522</f>
        <v/>
      </c>
      <c r="L520" s="15">
        <f t="shared" si="24"/>
        <v>0</v>
      </c>
      <c r="M520" s="14" t="str">
        <f>IF(D520="","",VLOOKUP(D520,'[1]0.1 Produksi Pangan &amp; Penduduk'!$D$5:$AU$704,44,0))</f>
        <v/>
      </c>
      <c r="N520" s="26" t="str">
        <f t="shared" si="25"/>
        <v/>
      </c>
      <c r="O520" s="16"/>
      <c r="P520" s="25" t="str">
        <f t="shared" si="26"/>
        <v/>
      </c>
      <c r="Q520" s="8"/>
      <c r="R520" s="11"/>
    </row>
    <row r="521" spans="1:18" ht="15" x14ac:dyDescent="0.25">
      <c r="A521" s="3" t="str">
        <f>IF('1.1 Produksi Bersih Padi 2025'!A523="","",'1.1 Produksi Bersih Padi 2025'!A523)</f>
        <v/>
      </c>
      <c r="B521" s="32" t="str">
        <f>IF('1.1 Produksi Bersih Padi 2025'!B523="","",'1.1 Produksi Bersih Padi 2025'!B523)</f>
        <v/>
      </c>
      <c r="C521" s="32" t="str">
        <f>IF('1.1 Produksi Bersih Padi 2025'!C523="","",'1.1 Produksi Bersih Padi 2025'!C523)</f>
        <v/>
      </c>
      <c r="D521" s="3" t="str">
        <f>IF('1.1 Produksi Bersih Padi 2025'!D523="","",'1.1 Produksi Bersih Padi 2025'!D523)</f>
        <v/>
      </c>
      <c r="E521" s="3" t="str">
        <f>IF('1.1 Produksi Bersih Padi 2025'!E523="","",'1.1 Produksi Bersih Padi 2025'!E523)</f>
        <v/>
      </c>
      <c r="F521" s="13" t="str">
        <f>'1.1 Produksi Bersih Padi 2025'!Q523</f>
        <v/>
      </c>
      <c r="G521" s="13" t="str">
        <f>'1.2 Produksi Bersih Jagung 2025'!L523</f>
        <v/>
      </c>
      <c r="H521" s="13" t="str">
        <f>'1.3 Prod Bersih Ubi Kayu 2025'!K523</f>
        <v/>
      </c>
      <c r="I521" s="13" t="str">
        <f>'1.4 Prod Bersih Ubi Jalar 2025'!K523</f>
        <v/>
      </c>
      <c r="J521" s="13" t="str">
        <f>'1.5 Prod Bersih Sagu 2025'!K523</f>
        <v/>
      </c>
      <c r="K521" s="13" t="str">
        <f>'1.6 Prod Bersih Pisang 2025'!K523</f>
        <v/>
      </c>
      <c r="L521" s="15">
        <f t="shared" si="24"/>
        <v>0</v>
      </c>
      <c r="M521" s="14" t="str">
        <f>IF(D521="","",VLOOKUP(D521,'[1]0.1 Produksi Pangan &amp; Penduduk'!$D$5:$AU$704,44,0))</f>
        <v/>
      </c>
      <c r="N521" s="26" t="str">
        <f t="shared" si="25"/>
        <v/>
      </c>
      <c r="O521" s="16"/>
      <c r="P521" s="25" t="str">
        <f t="shared" si="26"/>
        <v/>
      </c>
      <c r="Q521" s="8"/>
      <c r="R521" s="11"/>
    </row>
    <row r="522" spans="1:18" ht="15" x14ac:dyDescent="0.25">
      <c r="A522" s="3" t="str">
        <f>IF('1.1 Produksi Bersih Padi 2025'!A524="","",'1.1 Produksi Bersih Padi 2025'!A524)</f>
        <v/>
      </c>
      <c r="B522" s="32" t="str">
        <f>IF('1.1 Produksi Bersih Padi 2025'!B524="","",'1.1 Produksi Bersih Padi 2025'!B524)</f>
        <v/>
      </c>
      <c r="C522" s="32" t="str">
        <f>IF('1.1 Produksi Bersih Padi 2025'!C524="","",'1.1 Produksi Bersih Padi 2025'!C524)</f>
        <v/>
      </c>
      <c r="D522" s="3" t="str">
        <f>IF('1.1 Produksi Bersih Padi 2025'!D524="","",'1.1 Produksi Bersih Padi 2025'!D524)</f>
        <v/>
      </c>
      <c r="E522" s="3" t="str">
        <f>IF('1.1 Produksi Bersih Padi 2025'!E524="","",'1.1 Produksi Bersih Padi 2025'!E524)</f>
        <v/>
      </c>
      <c r="F522" s="13" t="str">
        <f>'1.1 Produksi Bersih Padi 2025'!Q524</f>
        <v/>
      </c>
      <c r="G522" s="13" t="str">
        <f>'1.2 Produksi Bersih Jagung 2025'!L524</f>
        <v/>
      </c>
      <c r="H522" s="13" t="str">
        <f>'1.3 Prod Bersih Ubi Kayu 2025'!K524</f>
        <v/>
      </c>
      <c r="I522" s="13" t="str">
        <f>'1.4 Prod Bersih Ubi Jalar 2025'!K524</f>
        <v/>
      </c>
      <c r="J522" s="13" t="str">
        <f>'1.5 Prod Bersih Sagu 2025'!K524</f>
        <v/>
      </c>
      <c r="K522" s="13" t="str">
        <f>'1.6 Prod Bersih Pisang 2025'!K524</f>
        <v/>
      </c>
      <c r="L522" s="15">
        <f t="shared" si="24"/>
        <v>0</v>
      </c>
      <c r="M522" s="14" t="str">
        <f>IF(D522="","",VLOOKUP(D522,'[1]0.1 Produksi Pangan &amp; Penduduk'!$D$5:$AU$704,44,0))</f>
        <v/>
      </c>
      <c r="N522" s="26" t="str">
        <f t="shared" si="25"/>
        <v/>
      </c>
      <c r="O522" s="16"/>
      <c r="P522" s="25" t="str">
        <f t="shared" si="26"/>
        <v/>
      </c>
      <c r="Q522" s="8"/>
      <c r="R522" s="11"/>
    </row>
    <row r="523" spans="1:18" ht="15" x14ac:dyDescent="0.25">
      <c r="A523" s="3" t="str">
        <f>IF('1.1 Produksi Bersih Padi 2025'!A525="","",'1.1 Produksi Bersih Padi 2025'!A525)</f>
        <v/>
      </c>
      <c r="B523" s="32" t="str">
        <f>IF('1.1 Produksi Bersih Padi 2025'!B525="","",'1.1 Produksi Bersih Padi 2025'!B525)</f>
        <v/>
      </c>
      <c r="C523" s="32" t="str">
        <f>IF('1.1 Produksi Bersih Padi 2025'!C525="","",'1.1 Produksi Bersih Padi 2025'!C525)</f>
        <v/>
      </c>
      <c r="D523" s="3" t="str">
        <f>IF('1.1 Produksi Bersih Padi 2025'!D525="","",'1.1 Produksi Bersih Padi 2025'!D525)</f>
        <v/>
      </c>
      <c r="E523" s="3" t="str">
        <f>IF('1.1 Produksi Bersih Padi 2025'!E525="","",'1.1 Produksi Bersih Padi 2025'!E525)</f>
        <v/>
      </c>
      <c r="F523" s="13" t="str">
        <f>'1.1 Produksi Bersih Padi 2025'!Q525</f>
        <v/>
      </c>
      <c r="G523" s="13" t="str">
        <f>'1.2 Produksi Bersih Jagung 2025'!L525</f>
        <v/>
      </c>
      <c r="H523" s="13" t="str">
        <f>'1.3 Prod Bersih Ubi Kayu 2025'!K525</f>
        <v/>
      </c>
      <c r="I523" s="13" t="str">
        <f>'1.4 Prod Bersih Ubi Jalar 2025'!K525</f>
        <v/>
      </c>
      <c r="J523" s="13" t="str">
        <f>'1.5 Prod Bersih Sagu 2025'!K525</f>
        <v/>
      </c>
      <c r="K523" s="13" t="str">
        <f>'1.6 Prod Bersih Pisang 2025'!K525</f>
        <v/>
      </c>
      <c r="L523" s="15">
        <f t="shared" si="24"/>
        <v>0</v>
      </c>
      <c r="M523" s="14" t="str">
        <f>IF(D523="","",VLOOKUP(D523,'[1]0.1 Produksi Pangan &amp; Penduduk'!$D$5:$AU$704,44,0))</f>
        <v/>
      </c>
      <c r="N523" s="26" t="str">
        <f t="shared" si="25"/>
        <v/>
      </c>
      <c r="O523" s="16"/>
      <c r="P523" s="25" t="str">
        <f t="shared" si="26"/>
        <v/>
      </c>
      <c r="Q523" s="8"/>
      <c r="R523" s="11"/>
    </row>
    <row r="524" spans="1:18" ht="15" x14ac:dyDescent="0.25">
      <c r="A524" s="3" t="str">
        <f>IF('1.1 Produksi Bersih Padi 2025'!A526="","",'1.1 Produksi Bersih Padi 2025'!A526)</f>
        <v/>
      </c>
      <c r="B524" s="32" t="str">
        <f>IF('1.1 Produksi Bersih Padi 2025'!B526="","",'1.1 Produksi Bersih Padi 2025'!B526)</f>
        <v/>
      </c>
      <c r="C524" s="32" t="str">
        <f>IF('1.1 Produksi Bersih Padi 2025'!C526="","",'1.1 Produksi Bersih Padi 2025'!C526)</f>
        <v/>
      </c>
      <c r="D524" s="3" t="str">
        <f>IF('1.1 Produksi Bersih Padi 2025'!D526="","",'1.1 Produksi Bersih Padi 2025'!D526)</f>
        <v/>
      </c>
      <c r="E524" s="3" t="str">
        <f>IF('1.1 Produksi Bersih Padi 2025'!E526="","",'1.1 Produksi Bersih Padi 2025'!E526)</f>
        <v/>
      </c>
      <c r="F524" s="13" t="str">
        <f>'1.1 Produksi Bersih Padi 2025'!Q526</f>
        <v/>
      </c>
      <c r="G524" s="13" t="str">
        <f>'1.2 Produksi Bersih Jagung 2025'!L526</f>
        <v/>
      </c>
      <c r="H524" s="13" t="str">
        <f>'1.3 Prod Bersih Ubi Kayu 2025'!K526</f>
        <v/>
      </c>
      <c r="I524" s="13" t="str">
        <f>'1.4 Prod Bersih Ubi Jalar 2025'!K526</f>
        <v/>
      </c>
      <c r="J524" s="13" t="str">
        <f>'1.5 Prod Bersih Sagu 2025'!K526</f>
        <v/>
      </c>
      <c r="K524" s="13" t="str">
        <f>'1.6 Prod Bersih Pisang 2025'!K526</f>
        <v/>
      </c>
      <c r="L524" s="15">
        <f t="shared" si="24"/>
        <v>0</v>
      </c>
      <c r="M524" s="14" t="str">
        <f>IF(D524="","",VLOOKUP(D524,'[1]0.1 Produksi Pangan &amp; Penduduk'!$D$5:$AU$704,44,0))</f>
        <v/>
      </c>
      <c r="N524" s="26" t="str">
        <f t="shared" si="25"/>
        <v/>
      </c>
      <c r="O524" s="16"/>
      <c r="P524" s="25" t="str">
        <f t="shared" si="26"/>
        <v/>
      </c>
      <c r="Q524" s="8"/>
      <c r="R524" s="11"/>
    </row>
    <row r="525" spans="1:18" ht="15" x14ac:dyDescent="0.25">
      <c r="A525" s="3" t="str">
        <f>IF('1.1 Produksi Bersih Padi 2025'!A527="","",'1.1 Produksi Bersih Padi 2025'!A527)</f>
        <v/>
      </c>
      <c r="B525" s="32" t="str">
        <f>IF('1.1 Produksi Bersih Padi 2025'!B527="","",'1.1 Produksi Bersih Padi 2025'!B527)</f>
        <v/>
      </c>
      <c r="C525" s="32" t="str">
        <f>IF('1.1 Produksi Bersih Padi 2025'!C527="","",'1.1 Produksi Bersih Padi 2025'!C527)</f>
        <v/>
      </c>
      <c r="D525" s="3" t="str">
        <f>IF('1.1 Produksi Bersih Padi 2025'!D527="","",'1.1 Produksi Bersih Padi 2025'!D527)</f>
        <v/>
      </c>
      <c r="E525" s="3" t="str">
        <f>IF('1.1 Produksi Bersih Padi 2025'!E527="","",'1.1 Produksi Bersih Padi 2025'!E527)</f>
        <v/>
      </c>
      <c r="F525" s="13" t="str">
        <f>'1.1 Produksi Bersih Padi 2025'!Q527</f>
        <v/>
      </c>
      <c r="G525" s="13" t="str">
        <f>'1.2 Produksi Bersih Jagung 2025'!L527</f>
        <v/>
      </c>
      <c r="H525" s="13" t="str">
        <f>'1.3 Prod Bersih Ubi Kayu 2025'!K527</f>
        <v/>
      </c>
      <c r="I525" s="13" t="str">
        <f>'1.4 Prod Bersih Ubi Jalar 2025'!K527</f>
        <v/>
      </c>
      <c r="J525" s="13" t="str">
        <f>'1.5 Prod Bersih Sagu 2025'!K527</f>
        <v/>
      </c>
      <c r="K525" s="13" t="str">
        <f>'1.6 Prod Bersih Pisang 2025'!K527</f>
        <v/>
      </c>
      <c r="L525" s="15">
        <f t="shared" si="24"/>
        <v>0</v>
      </c>
      <c r="M525" s="14" t="str">
        <f>IF(D525="","",VLOOKUP(D525,'[1]0.1 Produksi Pangan &amp; Penduduk'!$D$5:$AU$704,44,0))</f>
        <v/>
      </c>
      <c r="N525" s="26" t="str">
        <f t="shared" si="25"/>
        <v/>
      </c>
      <c r="O525" s="16"/>
      <c r="P525" s="25" t="str">
        <f t="shared" si="26"/>
        <v/>
      </c>
      <c r="Q525" s="8"/>
      <c r="R525" s="11"/>
    </row>
    <row r="526" spans="1:18" ht="15" x14ac:dyDescent="0.25">
      <c r="A526" s="3" t="str">
        <f>IF('1.1 Produksi Bersih Padi 2025'!A528="","",'1.1 Produksi Bersih Padi 2025'!A528)</f>
        <v/>
      </c>
      <c r="B526" s="32" t="str">
        <f>IF('1.1 Produksi Bersih Padi 2025'!B528="","",'1.1 Produksi Bersih Padi 2025'!B528)</f>
        <v/>
      </c>
      <c r="C526" s="32" t="str">
        <f>IF('1.1 Produksi Bersih Padi 2025'!C528="","",'1.1 Produksi Bersih Padi 2025'!C528)</f>
        <v/>
      </c>
      <c r="D526" s="3" t="str">
        <f>IF('1.1 Produksi Bersih Padi 2025'!D528="","",'1.1 Produksi Bersih Padi 2025'!D528)</f>
        <v/>
      </c>
      <c r="E526" s="3" t="str">
        <f>IF('1.1 Produksi Bersih Padi 2025'!E528="","",'1.1 Produksi Bersih Padi 2025'!E528)</f>
        <v/>
      </c>
      <c r="F526" s="13" t="str">
        <f>'1.1 Produksi Bersih Padi 2025'!Q528</f>
        <v/>
      </c>
      <c r="G526" s="13" t="str">
        <f>'1.2 Produksi Bersih Jagung 2025'!L528</f>
        <v/>
      </c>
      <c r="H526" s="13" t="str">
        <f>'1.3 Prod Bersih Ubi Kayu 2025'!K528</f>
        <v/>
      </c>
      <c r="I526" s="13" t="str">
        <f>'1.4 Prod Bersih Ubi Jalar 2025'!K528</f>
        <v/>
      </c>
      <c r="J526" s="13" t="str">
        <f>'1.5 Prod Bersih Sagu 2025'!K528</f>
        <v/>
      </c>
      <c r="K526" s="13" t="str">
        <f>'1.6 Prod Bersih Pisang 2025'!K528</f>
        <v/>
      </c>
      <c r="L526" s="15">
        <f t="shared" si="24"/>
        <v>0</v>
      </c>
      <c r="M526" s="14" t="str">
        <f>IF(D526="","",VLOOKUP(D526,'[1]0.1 Produksi Pangan &amp; Penduduk'!$D$5:$AU$704,44,0))</f>
        <v/>
      </c>
      <c r="N526" s="26" t="str">
        <f t="shared" si="25"/>
        <v/>
      </c>
      <c r="O526" s="16"/>
      <c r="P526" s="25" t="str">
        <f t="shared" si="26"/>
        <v/>
      </c>
      <c r="Q526" s="8"/>
      <c r="R526" s="11"/>
    </row>
    <row r="527" spans="1:18" ht="15" x14ac:dyDescent="0.25">
      <c r="A527" s="3" t="str">
        <f>IF('1.1 Produksi Bersih Padi 2025'!A529="","",'1.1 Produksi Bersih Padi 2025'!A529)</f>
        <v/>
      </c>
      <c r="B527" s="32" t="str">
        <f>IF('1.1 Produksi Bersih Padi 2025'!B529="","",'1.1 Produksi Bersih Padi 2025'!B529)</f>
        <v/>
      </c>
      <c r="C527" s="32" t="str">
        <f>IF('1.1 Produksi Bersih Padi 2025'!C529="","",'1.1 Produksi Bersih Padi 2025'!C529)</f>
        <v/>
      </c>
      <c r="D527" s="3" t="str">
        <f>IF('1.1 Produksi Bersih Padi 2025'!D529="","",'1.1 Produksi Bersih Padi 2025'!D529)</f>
        <v/>
      </c>
      <c r="E527" s="3" t="str">
        <f>IF('1.1 Produksi Bersih Padi 2025'!E529="","",'1.1 Produksi Bersih Padi 2025'!E529)</f>
        <v/>
      </c>
      <c r="F527" s="13" t="str">
        <f>'1.1 Produksi Bersih Padi 2025'!Q529</f>
        <v/>
      </c>
      <c r="G527" s="13" t="str">
        <f>'1.2 Produksi Bersih Jagung 2025'!L529</f>
        <v/>
      </c>
      <c r="H527" s="13" t="str">
        <f>'1.3 Prod Bersih Ubi Kayu 2025'!K529</f>
        <v/>
      </c>
      <c r="I527" s="13" t="str">
        <f>'1.4 Prod Bersih Ubi Jalar 2025'!K529</f>
        <v/>
      </c>
      <c r="J527" s="13" t="str">
        <f>'1.5 Prod Bersih Sagu 2025'!K529</f>
        <v/>
      </c>
      <c r="K527" s="13" t="str">
        <f>'1.6 Prod Bersih Pisang 2025'!K529</f>
        <v/>
      </c>
      <c r="L527" s="15">
        <f t="shared" si="24"/>
        <v>0</v>
      </c>
      <c r="M527" s="14" t="str">
        <f>IF(D527="","",VLOOKUP(D527,'[1]0.1 Produksi Pangan &amp; Penduduk'!$D$5:$AU$704,44,0))</f>
        <v/>
      </c>
      <c r="N527" s="26" t="str">
        <f t="shared" si="25"/>
        <v/>
      </c>
      <c r="O527" s="16"/>
      <c r="P527" s="25" t="str">
        <f t="shared" si="26"/>
        <v/>
      </c>
      <c r="Q527" s="8"/>
      <c r="R527" s="11"/>
    </row>
    <row r="528" spans="1:18" ht="15" x14ac:dyDescent="0.25">
      <c r="A528" s="3" t="str">
        <f>IF('1.1 Produksi Bersih Padi 2025'!A530="","",'1.1 Produksi Bersih Padi 2025'!A530)</f>
        <v/>
      </c>
      <c r="B528" s="32" t="str">
        <f>IF('1.1 Produksi Bersih Padi 2025'!B530="","",'1.1 Produksi Bersih Padi 2025'!B530)</f>
        <v/>
      </c>
      <c r="C528" s="32" t="str">
        <f>IF('1.1 Produksi Bersih Padi 2025'!C530="","",'1.1 Produksi Bersih Padi 2025'!C530)</f>
        <v/>
      </c>
      <c r="D528" s="3" t="str">
        <f>IF('1.1 Produksi Bersih Padi 2025'!D530="","",'1.1 Produksi Bersih Padi 2025'!D530)</f>
        <v/>
      </c>
      <c r="E528" s="3" t="str">
        <f>IF('1.1 Produksi Bersih Padi 2025'!E530="","",'1.1 Produksi Bersih Padi 2025'!E530)</f>
        <v/>
      </c>
      <c r="F528" s="13" t="str">
        <f>'1.1 Produksi Bersih Padi 2025'!Q530</f>
        <v/>
      </c>
      <c r="G528" s="13" t="str">
        <f>'1.2 Produksi Bersih Jagung 2025'!L530</f>
        <v/>
      </c>
      <c r="H528" s="13" t="str">
        <f>'1.3 Prod Bersih Ubi Kayu 2025'!K530</f>
        <v/>
      </c>
      <c r="I528" s="13" t="str">
        <f>'1.4 Prod Bersih Ubi Jalar 2025'!K530</f>
        <v/>
      </c>
      <c r="J528" s="13" t="str">
        <f>'1.5 Prod Bersih Sagu 2025'!K530</f>
        <v/>
      </c>
      <c r="K528" s="13" t="str">
        <f>'1.6 Prod Bersih Pisang 2025'!K530</f>
        <v/>
      </c>
      <c r="L528" s="15">
        <f t="shared" si="24"/>
        <v>0</v>
      </c>
      <c r="M528" s="14" t="str">
        <f>IF(D528="","",VLOOKUP(D528,'[1]0.1 Produksi Pangan &amp; Penduduk'!$D$5:$AU$704,44,0))</f>
        <v/>
      </c>
      <c r="N528" s="26" t="str">
        <f t="shared" si="25"/>
        <v/>
      </c>
      <c r="O528" s="16"/>
      <c r="P528" s="25" t="str">
        <f t="shared" si="26"/>
        <v/>
      </c>
      <c r="Q528" s="8"/>
      <c r="R528" s="11"/>
    </row>
    <row r="529" spans="1:18" ht="15" x14ac:dyDescent="0.25">
      <c r="A529" s="3" t="str">
        <f>IF('1.1 Produksi Bersih Padi 2025'!A531="","",'1.1 Produksi Bersih Padi 2025'!A531)</f>
        <v/>
      </c>
      <c r="B529" s="32" t="str">
        <f>IF('1.1 Produksi Bersih Padi 2025'!B531="","",'1.1 Produksi Bersih Padi 2025'!B531)</f>
        <v/>
      </c>
      <c r="C529" s="32" t="str">
        <f>IF('1.1 Produksi Bersih Padi 2025'!C531="","",'1.1 Produksi Bersih Padi 2025'!C531)</f>
        <v/>
      </c>
      <c r="D529" s="3" t="str">
        <f>IF('1.1 Produksi Bersih Padi 2025'!D531="","",'1.1 Produksi Bersih Padi 2025'!D531)</f>
        <v/>
      </c>
      <c r="E529" s="3" t="str">
        <f>IF('1.1 Produksi Bersih Padi 2025'!E531="","",'1.1 Produksi Bersih Padi 2025'!E531)</f>
        <v/>
      </c>
      <c r="F529" s="13" t="str">
        <f>'1.1 Produksi Bersih Padi 2025'!Q531</f>
        <v/>
      </c>
      <c r="G529" s="13" t="str">
        <f>'1.2 Produksi Bersih Jagung 2025'!L531</f>
        <v/>
      </c>
      <c r="H529" s="13" t="str">
        <f>'1.3 Prod Bersih Ubi Kayu 2025'!K531</f>
        <v/>
      </c>
      <c r="I529" s="13" t="str">
        <f>'1.4 Prod Bersih Ubi Jalar 2025'!K531</f>
        <v/>
      </c>
      <c r="J529" s="13" t="str">
        <f>'1.5 Prod Bersih Sagu 2025'!K531</f>
        <v/>
      </c>
      <c r="K529" s="13" t="str">
        <f>'1.6 Prod Bersih Pisang 2025'!K531</f>
        <v/>
      </c>
      <c r="L529" s="15">
        <f t="shared" si="24"/>
        <v>0</v>
      </c>
      <c r="M529" s="14" t="str">
        <f>IF(D529="","",VLOOKUP(D529,'[1]0.1 Produksi Pangan &amp; Penduduk'!$D$5:$AU$704,44,0))</f>
        <v/>
      </c>
      <c r="N529" s="26" t="str">
        <f t="shared" si="25"/>
        <v/>
      </c>
      <c r="O529" s="16"/>
      <c r="P529" s="25" t="str">
        <f t="shared" si="26"/>
        <v/>
      </c>
      <c r="Q529" s="8"/>
      <c r="R529" s="11"/>
    </row>
    <row r="530" spans="1:18" ht="15" x14ac:dyDescent="0.25">
      <c r="A530" s="3" t="str">
        <f>IF('1.1 Produksi Bersih Padi 2025'!A532="","",'1.1 Produksi Bersih Padi 2025'!A532)</f>
        <v/>
      </c>
      <c r="B530" s="32" t="str">
        <f>IF('1.1 Produksi Bersih Padi 2025'!B532="","",'1.1 Produksi Bersih Padi 2025'!B532)</f>
        <v/>
      </c>
      <c r="C530" s="32" t="str">
        <f>IF('1.1 Produksi Bersih Padi 2025'!C532="","",'1.1 Produksi Bersih Padi 2025'!C532)</f>
        <v/>
      </c>
      <c r="D530" s="3" t="str">
        <f>IF('1.1 Produksi Bersih Padi 2025'!D532="","",'1.1 Produksi Bersih Padi 2025'!D532)</f>
        <v/>
      </c>
      <c r="E530" s="3" t="str">
        <f>IF('1.1 Produksi Bersih Padi 2025'!E532="","",'1.1 Produksi Bersih Padi 2025'!E532)</f>
        <v/>
      </c>
      <c r="F530" s="13" t="str">
        <f>'1.1 Produksi Bersih Padi 2025'!Q532</f>
        <v/>
      </c>
      <c r="G530" s="13" t="str">
        <f>'1.2 Produksi Bersih Jagung 2025'!L532</f>
        <v/>
      </c>
      <c r="H530" s="13" t="str">
        <f>'1.3 Prod Bersih Ubi Kayu 2025'!K532</f>
        <v/>
      </c>
      <c r="I530" s="13" t="str">
        <f>'1.4 Prod Bersih Ubi Jalar 2025'!K532</f>
        <v/>
      </c>
      <c r="J530" s="13" t="str">
        <f>'1.5 Prod Bersih Sagu 2025'!K532</f>
        <v/>
      </c>
      <c r="K530" s="13" t="str">
        <f>'1.6 Prod Bersih Pisang 2025'!K532</f>
        <v/>
      </c>
      <c r="L530" s="15">
        <f t="shared" si="24"/>
        <v>0</v>
      </c>
      <c r="M530" s="14" t="str">
        <f>IF(D530="","",VLOOKUP(D530,'[1]0.1 Produksi Pangan &amp; Penduduk'!$D$5:$AU$704,44,0))</f>
        <v/>
      </c>
      <c r="N530" s="26" t="str">
        <f t="shared" si="25"/>
        <v/>
      </c>
      <c r="O530" s="16"/>
      <c r="P530" s="25" t="str">
        <f t="shared" si="26"/>
        <v/>
      </c>
      <c r="Q530" s="8"/>
      <c r="R530" s="11"/>
    </row>
    <row r="531" spans="1:18" ht="15" x14ac:dyDescent="0.25">
      <c r="A531" s="3" t="str">
        <f>IF('1.1 Produksi Bersih Padi 2025'!A533="","",'1.1 Produksi Bersih Padi 2025'!A533)</f>
        <v/>
      </c>
      <c r="B531" s="32" t="str">
        <f>IF('1.1 Produksi Bersih Padi 2025'!B533="","",'1.1 Produksi Bersih Padi 2025'!B533)</f>
        <v/>
      </c>
      <c r="C531" s="32" t="str">
        <f>IF('1.1 Produksi Bersih Padi 2025'!C533="","",'1.1 Produksi Bersih Padi 2025'!C533)</f>
        <v/>
      </c>
      <c r="D531" s="3" t="str">
        <f>IF('1.1 Produksi Bersih Padi 2025'!D533="","",'1.1 Produksi Bersih Padi 2025'!D533)</f>
        <v/>
      </c>
      <c r="E531" s="3" t="str">
        <f>IF('1.1 Produksi Bersih Padi 2025'!E533="","",'1.1 Produksi Bersih Padi 2025'!E533)</f>
        <v/>
      </c>
      <c r="F531" s="13" t="str">
        <f>'1.1 Produksi Bersih Padi 2025'!Q533</f>
        <v/>
      </c>
      <c r="G531" s="13" t="str">
        <f>'1.2 Produksi Bersih Jagung 2025'!L533</f>
        <v/>
      </c>
      <c r="H531" s="13" t="str">
        <f>'1.3 Prod Bersih Ubi Kayu 2025'!K533</f>
        <v/>
      </c>
      <c r="I531" s="13" t="str">
        <f>'1.4 Prod Bersih Ubi Jalar 2025'!K533</f>
        <v/>
      </c>
      <c r="J531" s="13" t="str">
        <f>'1.5 Prod Bersih Sagu 2025'!K533</f>
        <v/>
      </c>
      <c r="K531" s="13" t="str">
        <f>'1.6 Prod Bersih Pisang 2025'!K533</f>
        <v/>
      </c>
      <c r="L531" s="15">
        <f t="shared" si="24"/>
        <v>0</v>
      </c>
      <c r="M531" s="14" t="str">
        <f>IF(D531="","",VLOOKUP(D531,'[1]0.1 Produksi Pangan &amp; Penduduk'!$D$5:$AU$704,44,0))</f>
        <v/>
      </c>
      <c r="N531" s="26" t="str">
        <f t="shared" si="25"/>
        <v/>
      </c>
      <c r="O531" s="16"/>
      <c r="P531" s="25" t="str">
        <f t="shared" si="26"/>
        <v/>
      </c>
      <c r="Q531" s="8"/>
      <c r="R531" s="11"/>
    </row>
    <row r="532" spans="1:18" ht="15" x14ac:dyDescent="0.25">
      <c r="A532" s="3" t="str">
        <f>IF('1.1 Produksi Bersih Padi 2025'!A534="","",'1.1 Produksi Bersih Padi 2025'!A534)</f>
        <v/>
      </c>
      <c r="B532" s="32" t="str">
        <f>IF('1.1 Produksi Bersih Padi 2025'!B534="","",'1.1 Produksi Bersih Padi 2025'!B534)</f>
        <v/>
      </c>
      <c r="C532" s="32" t="str">
        <f>IF('1.1 Produksi Bersih Padi 2025'!C534="","",'1.1 Produksi Bersih Padi 2025'!C534)</f>
        <v/>
      </c>
      <c r="D532" s="3" t="str">
        <f>IF('1.1 Produksi Bersih Padi 2025'!D534="","",'1.1 Produksi Bersih Padi 2025'!D534)</f>
        <v/>
      </c>
      <c r="E532" s="3" t="str">
        <f>IF('1.1 Produksi Bersih Padi 2025'!E534="","",'1.1 Produksi Bersih Padi 2025'!E534)</f>
        <v/>
      </c>
      <c r="F532" s="13" t="str">
        <f>'1.1 Produksi Bersih Padi 2025'!Q534</f>
        <v/>
      </c>
      <c r="G532" s="13" t="str">
        <f>'1.2 Produksi Bersih Jagung 2025'!L534</f>
        <v/>
      </c>
      <c r="H532" s="13" t="str">
        <f>'1.3 Prod Bersih Ubi Kayu 2025'!K534</f>
        <v/>
      </c>
      <c r="I532" s="13" t="str">
        <f>'1.4 Prod Bersih Ubi Jalar 2025'!K534</f>
        <v/>
      </c>
      <c r="J532" s="13" t="str">
        <f>'1.5 Prod Bersih Sagu 2025'!K534</f>
        <v/>
      </c>
      <c r="K532" s="13" t="str">
        <f>'1.6 Prod Bersih Pisang 2025'!K534</f>
        <v/>
      </c>
      <c r="L532" s="15">
        <f t="shared" si="24"/>
        <v>0</v>
      </c>
      <c r="M532" s="14" t="str">
        <f>IF(D532="","",VLOOKUP(D532,'[1]0.1 Produksi Pangan &amp; Penduduk'!$D$5:$AU$704,44,0))</f>
        <v/>
      </c>
      <c r="N532" s="26" t="str">
        <f t="shared" si="25"/>
        <v/>
      </c>
      <c r="O532" s="16"/>
      <c r="P532" s="25" t="str">
        <f t="shared" si="26"/>
        <v/>
      </c>
      <c r="Q532" s="8"/>
      <c r="R532" s="11"/>
    </row>
    <row r="533" spans="1:18" ht="15" x14ac:dyDescent="0.25">
      <c r="A533" s="3" t="str">
        <f>IF('1.1 Produksi Bersih Padi 2025'!A535="","",'1.1 Produksi Bersih Padi 2025'!A535)</f>
        <v/>
      </c>
      <c r="B533" s="32" t="str">
        <f>IF('1.1 Produksi Bersih Padi 2025'!B535="","",'1.1 Produksi Bersih Padi 2025'!B535)</f>
        <v/>
      </c>
      <c r="C533" s="32" t="str">
        <f>IF('1.1 Produksi Bersih Padi 2025'!C535="","",'1.1 Produksi Bersih Padi 2025'!C535)</f>
        <v/>
      </c>
      <c r="D533" s="3" t="str">
        <f>IF('1.1 Produksi Bersih Padi 2025'!D535="","",'1.1 Produksi Bersih Padi 2025'!D535)</f>
        <v/>
      </c>
      <c r="E533" s="3" t="str">
        <f>IF('1.1 Produksi Bersih Padi 2025'!E535="","",'1.1 Produksi Bersih Padi 2025'!E535)</f>
        <v/>
      </c>
      <c r="F533" s="13" t="str">
        <f>'1.1 Produksi Bersih Padi 2025'!Q535</f>
        <v/>
      </c>
      <c r="G533" s="13" t="str">
        <f>'1.2 Produksi Bersih Jagung 2025'!L535</f>
        <v/>
      </c>
      <c r="H533" s="13" t="str">
        <f>'1.3 Prod Bersih Ubi Kayu 2025'!K535</f>
        <v/>
      </c>
      <c r="I533" s="13" t="str">
        <f>'1.4 Prod Bersih Ubi Jalar 2025'!K535</f>
        <v/>
      </c>
      <c r="J533" s="13" t="str">
        <f>'1.5 Prod Bersih Sagu 2025'!K535</f>
        <v/>
      </c>
      <c r="K533" s="13" t="str">
        <f>'1.6 Prod Bersih Pisang 2025'!K535</f>
        <v/>
      </c>
      <c r="L533" s="15">
        <f t="shared" si="24"/>
        <v>0</v>
      </c>
      <c r="M533" s="14" t="str">
        <f>IF(D533="","",VLOOKUP(D533,'[1]0.1 Produksi Pangan &amp; Penduduk'!$D$5:$AU$704,44,0))</f>
        <v/>
      </c>
      <c r="N533" s="26" t="str">
        <f t="shared" si="25"/>
        <v/>
      </c>
      <c r="O533" s="16"/>
      <c r="P533" s="25" t="str">
        <f t="shared" si="26"/>
        <v/>
      </c>
      <c r="Q533" s="8"/>
      <c r="R533" s="11"/>
    </row>
    <row r="534" spans="1:18" ht="15" x14ac:dyDescent="0.25">
      <c r="A534" s="3" t="str">
        <f>IF('1.1 Produksi Bersih Padi 2025'!A536="","",'1.1 Produksi Bersih Padi 2025'!A536)</f>
        <v/>
      </c>
      <c r="B534" s="32" t="str">
        <f>IF('1.1 Produksi Bersih Padi 2025'!B536="","",'1.1 Produksi Bersih Padi 2025'!B536)</f>
        <v/>
      </c>
      <c r="C534" s="32" t="str">
        <f>IF('1.1 Produksi Bersih Padi 2025'!C536="","",'1.1 Produksi Bersih Padi 2025'!C536)</f>
        <v/>
      </c>
      <c r="D534" s="3" t="str">
        <f>IF('1.1 Produksi Bersih Padi 2025'!D536="","",'1.1 Produksi Bersih Padi 2025'!D536)</f>
        <v/>
      </c>
      <c r="E534" s="3" t="str">
        <f>IF('1.1 Produksi Bersih Padi 2025'!E536="","",'1.1 Produksi Bersih Padi 2025'!E536)</f>
        <v/>
      </c>
      <c r="F534" s="13" t="str">
        <f>'1.1 Produksi Bersih Padi 2025'!Q536</f>
        <v/>
      </c>
      <c r="G534" s="13" t="str">
        <f>'1.2 Produksi Bersih Jagung 2025'!L536</f>
        <v/>
      </c>
      <c r="H534" s="13" t="str">
        <f>'1.3 Prod Bersih Ubi Kayu 2025'!K536</f>
        <v/>
      </c>
      <c r="I534" s="13" t="str">
        <f>'1.4 Prod Bersih Ubi Jalar 2025'!K536</f>
        <v/>
      </c>
      <c r="J534" s="13" t="str">
        <f>'1.5 Prod Bersih Sagu 2025'!K536</f>
        <v/>
      </c>
      <c r="K534" s="13" t="str">
        <f>'1.6 Prod Bersih Pisang 2025'!K536</f>
        <v/>
      </c>
      <c r="L534" s="15">
        <f t="shared" si="24"/>
        <v>0</v>
      </c>
      <c r="M534" s="14" t="str">
        <f>IF(D534="","",VLOOKUP(D534,'[1]0.1 Produksi Pangan &amp; Penduduk'!$D$5:$AU$704,44,0))</f>
        <v/>
      </c>
      <c r="N534" s="26" t="str">
        <f t="shared" si="25"/>
        <v/>
      </c>
      <c r="O534" s="16"/>
      <c r="P534" s="25" t="str">
        <f t="shared" si="26"/>
        <v/>
      </c>
      <c r="Q534" s="8"/>
      <c r="R534" s="11"/>
    </row>
    <row r="535" spans="1:18" ht="15" x14ac:dyDescent="0.25">
      <c r="A535" s="3" t="str">
        <f>IF('1.1 Produksi Bersih Padi 2025'!A537="","",'1.1 Produksi Bersih Padi 2025'!A537)</f>
        <v/>
      </c>
      <c r="B535" s="32" t="str">
        <f>IF('1.1 Produksi Bersih Padi 2025'!B537="","",'1.1 Produksi Bersih Padi 2025'!B537)</f>
        <v/>
      </c>
      <c r="C535" s="32" t="str">
        <f>IF('1.1 Produksi Bersih Padi 2025'!C537="","",'1.1 Produksi Bersih Padi 2025'!C537)</f>
        <v/>
      </c>
      <c r="D535" s="3" t="str">
        <f>IF('1.1 Produksi Bersih Padi 2025'!D537="","",'1.1 Produksi Bersih Padi 2025'!D537)</f>
        <v/>
      </c>
      <c r="E535" s="3" t="str">
        <f>IF('1.1 Produksi Bersih Padi 2025'!E537="","",'1.1 Produksi Bersih Padi 2025'!E537)</f>
        <v/>
      </c>
      <c r="F535" s="13" t="str">
        <f>'1.1 Produksi Bersih Padi 2025'!Q537</f>
        <v/>
      </c>
      <c r="G535" s="13" t="str">
        <f>'1.2 Produksi Bersih Jagung 2025'!L537</f>
        <v/>
      </c>
      <c r="H535" s="13" t="str">
        <f>'1.3 Prod Bersih Ubi Kayu 2025'!K537</f>
        <v/>
      </c>
      <c r="I535" s="13" t="str">
        <f>'1.4 Prod Bersih Ubi Jalar 2025'!K537</f>
        <v/>
      </c>
      <c r="J535" s="13" t="str">
        <f>'1.5 Prod Bersih Sagu 2025'!K537</f>
        <v/>
      </c>
      <c r="K535" s="13" t="str">
        <f>'1.6 Prod Bersih Pisang 2025'!K537</f>
        <v/>
      </c>
      <c r="L535" s="15">
        <f t="shared" si="24"/>
        <v>0</v>
      </c>
      <c r="M535" s="14" t="str">
        <f>IF(D535="","",VLOOKUP(D535,'[1]0.1 Produksi Pangan &amp; Penduduk'!$D$5:$AU$704,44,0))</f>
        <v/>
      </c>
      <c r="N535" s="26" t="str">
        <f t="shared" si="25"/>
        <v/>
      </c>
      <c r="O535" s="16"/>
      <c r="P535" s="25" t="str">
        <f t="shared" si="26"/>
        <v/>
      </c>
      <c r="Q535" s="8"/>
      <c r="R535" s="11"/>
    </row>
    <row r="536" spans="1:18" ht="15" x14ac:dyDescent="0.25">
      <c r="A536" s="3" t="str">
        <f>IF('1.1 Produksi Bersih Padi 2025'!A538="","",'1.1 Produksi Bersih Padi 2025'!A538)</f>
        <v/>
      </c>
      <c r="B536" s="32" t="str">
        <f>IF('1.1 Produksi Bersih Padi 2025'!B538="","",'1.1 Produksi Bersih Padi 2025'!B538)</f>
        <v/>
      </c>
      <c r="C536" s="32" t="str">
        <f>IF('1.1 Produksi Bersih Padi 2025'!C538="","",'1.1 Produksi Bersih Padi 2025'!C538)</f>
        <v/>
      </c>
      <c r="D536" s="3" t="str">
        <f>IF('1.1 Produksi Bersih Padi 2025'!D538="","",'1.1 Produksi Bersih Padi 2025'!D538)</f>
        <v/>
      </c>
      <c r="E536" s="3" t="str">
        <f>IF('1.1 Produksi Bersih Padi 2025'!E538="","",'1.1 Produksi Bersih Padi 2025'!E538)</f>
        <v/>
      </c>
      <c r="F536" s="13" t="str">
        <f>'1.1 Produksi Bersih Padi 2025'!Q538</f>
        <v/>
      </c>
      <c r="G536" s="13" t="str">
        <f>'1.2 Produksi Bersih Jagung 2025'!L538</f>
        <v/>
      </c>
      <c r="H536" s="13" t="str">
        <f>'1.3 Prod Bersih Ubi Kayu 2025'!K538</f>
        <v/>
      </c>
      <c r="I536" s="13" t="str">
        <f>'1.4 Prod Bersih Ubi Jalar 2025'!K538</f>
        <v/>
      </c>
      <c r="J536" s="13" t="str">
        <f>'1.5 Prod Bersih Sagu 2025'!K538</f>
        <v/>
      </c>
      <c r="K536" s="13" t="str">
        <f>'1.6 Prod Bersih Pisang 2025'!K538</f>
        <v/>
      </c>
      <c r="L536" s="15">
        <f t="shared" si="24"/>
        <v>0</v>
      </c>
      <c r="M536" s="14" t="str">
        <f>IF(D536="","",VLOOKUP(D536,'[1]0.1 Produksi Pangan &amp; Penduduk'!$D$5:$AU$704,44,0))</f>
        <v/>
      </c>
      <c r="N536" s="26" t="str">
        <f t="shared" si="25"/>
        <v/>
      </c>
      <c r="O536" s="16"/>
      <c r="P536" s="25" t="str">
        <f t="shared" si="26"/>
        <v/>
      </c>
      <c r="Q536" s="8"/>
      <c r="R536" s="11"/>
    </row>
    <row r="537" spans="1:18" ht="15" x14ac:dyDescent="0.25">
      <c r="A537" s="3" t="str">
        <f>IF('1.1 Produksi Bersih Padi 2025'!A539="","",'1.1 Produksi Bersih Padi 2025'!A539)</f>
        <v/>
      </c>
      <c r="B537" s="32" t="str">
        <f>IF('1.1 Produksi Bersih Padi 2025'!B539="","",'1.1 Produksi Bersih Padi 2025'!B539)</f>
        <v/>
      </c>
      <c r="C537" s="32" t="str">
        <f>IF('1.1 Produksi Bersih Padi 2025'!C539="","",'1.1 Produksi Bersih Padi 2025'!C539)</f>
        <v/>
      </c>
      <c r="D537" s="3" t="str">
        <f>IF('1.1 Produksi Bersih Padi 2025'!D539="","",'1.1 Produksi Bersih Padi 2025'!D539)</f>
        <v/>
      </c>
      <c r="E537" s="3" t="str">
        <f>IF('1.1 Produksi Bersih Padi 2025'!E539="","",'1.1 Produksi Bersih Padi 2025'!E539)</f>
        <v/>
      </c>
      <c r="F537" s="13" t="str">
        <f>'1.1 Produksi Bersih Padi 2025'!Q539</f>
        <v/>
      </c>
      <c r="G537" s="13" t="str">
        <f>'1.2 Produksi Bersih Jagung 2025'!L539</f>
        <v/>
      </c>
      <c r="H537" s="13" t="str">
        <f>'1.3 Prod Bersih Ubi Kayu 2025'!K539</f>
        <v/>
      </c>
      <c r="I537" s="13" t="str">
        <f>'1.4 Prod Bersih Ubi Jalar 2025'!K539</f>
        <v/>
      </c>
      <c r="J537" s="13" t="str">
        <f>'1.5 Prod Bersih Sagu 2025'!K539</f>
        <v/>
      </c>
      <c r="K537" s="13" t="str">
        <f>'1.6 Prod Bersih Pisang 2025'!K539</f>
        <v/>
      </c>
      <c r="L537" s="15">
        <f t="shared" si="24"/>
        <v>0</v>
      </c>
      <c r="M537" s="14" t="str">
        <f>IF(D537="","",VLOOKUP(D537,'[1]0.1 Produksi Pangan &amp; Penduduk'!$D$5:$AU$704,44,0))</f>
        <v/>
      </c>
      <c r="N537" s="26" t="str">
        <f t="shared" si="25"/>
        <v/>
      </c>
      <c r="O537" s="16"/>
      <c r="P537" s="25" t="str">
        <f t="shared" si="26"/>
        <v/>
      </c>
      <c r="Q537" s="8"/>
      <c r="R537" s="11"/>
    </row>
    <row r="538" spans="1:18" ht="15" x14ac:dyDescent="0.25">
      <c r="A538" s="3" t="str">
        <f>IF('1.1 Produksi Bersih Padi 2025'!A540="","",'1.1 Produksi Bersih Padi 2025'!A540)</f>
        <v/>
      </c>
      <c r="B538" s="32" t="str">
        <f>IF('1.1 Produksi Bersih Padi 2025'!B540="","",'1.1 Produksi Bersih Padi 2025'!B540)</f>
        <v/>
      </c>
      <c r="C538" s="32" t="str">
        <f>IF('1.1 Produksi Bersih Padi 2025'!C540="","",'1.1 Produksi Bersih Padi 2025'!C540)</f>
        <v/>
      </c>
      <c r="D538" s="3" t="str">
        <f>IF('1.1 Produksi Bersih Padi 2025'!D540="","",'1.1 Produksi Bersih Padi 2025'!D540)</f>
        <v/>
      </c>
      <c r="E538" s="3" t="str">
        <f>IF('1.1 Produksi Bersih Padi 2025'!E540="","",'1.1 Produksi Bersih Padi 2025'!E540)</f>
        <v/>
      </c>
      <c r="F538" s="13" t="str">
        <f>'1.1 Produksi Bersih Padi 2025'!Q540</f>
        <v/>
      </c>
      <c r="G538" s="13" t="str">
        <f>'1.2 Produksi Bersih Jagung 2025'!L540</f>
        <v/>
      </c>
      <c r="H538" s="13" t="str">
        <f>'1.3 Prod Bersih Ubi Kayu 2025'!K540</f>
        <v/>
      </c>
      <c r="I538" s="13" t="str">
        <f>'1.4 Prod Bersih Ubi Jalar 2025'!K540</f>
        <v/>
      </c>
      <c r="J538" s="13" t="str">
        <f>'1.5 Prod Bersih Sagu 2025'!K540</f>
        <v/>
      </c>
      <c r="K538" s="13" t="str">
        <f>'1.6 Prod Bersih Pisang 2025'!K540</f>
        <v/>
      </c>
      <c r="L538" s="15">
        <f t="shared" si="24"/>
        <v>0</v>
      </c>
      <c r="M538" s="14" t="str">
        <f>IF(D538="","",VLOOKUP(D538,'[1]0.1 Produksi Pangan &amp; Penduduk'!$D$5:$AU$704,44,0))</f>
        <v/>
      </c>
      <c r="N538" s="26" t="str">
        <f t="shared" si="25"/>
        <v/>
      </c>
      <c r="O538" s="16"/>
      <c r="P538" s="25" t="str">
        <f t="shared" si="26"/>
        <v/>
      </c>
      <c r="Q538" s="8"/>
      <c r="R538" s="11"/>
    </row>
    <row r="539" spans="1:18" ht="15" x14ac:dyDescent="0.25">
      <c r="A539" s="3" t="str">
        <f>IF('1.1 Produksi Bersih Padi 2025'!A541="","",'1.1 Produksi Bersih Padi 2025'!A541)</f>
        <v/>
      </c>
      <c r="B539" s="32" t="str">
        <f>IF('1.1 Produksi Bersih Padi 2025'!B541="","",'1.1 Produksi Bersih Padi 2025'!B541)</f>
        <v/>
      </c>
      <c r="C539" s="32" t="str">
        <f>IF('1.1 Produksi Bersih Padi 2025'!C541="","",'1.1 Produksi Bersih Padi 2025'!C541)</f>
        <v/>
      </c>
      <c r="D539" s="3" t="str">
        <f>IF('1.1 Produksi Bersih Padi 2025'!D541="","",'1.1 Produksi Bersih Padi 2025'!D541)</f>
        <v/>
      </c>
      <c r="E539" s="3" t="str">
        <f>IF('1.1 Produksi Bersih Padi 2025'!E541="","",'1.1 Produksi Bersih Padi 2025'!E541)</f>
        <v/>
      </c>
      <c r="F539" s="13" t="str">
        <f>'1.1 Produksi Bersih Padi 2025'!Q541</f>
        <v/>
      </c>
      <c r="G539" s="13" t="str">
        <f>'1.2 Produksi Bersih Jagung 2025'!L541</f>
        <v/>
      </c>
      <c r="H539" s="13" t="str">
        <f>'1.3 Prod Bersih Ubi Kayu 2025'!K541</f>
        <v/>
      </c>
      <c r="I539" s="13" t="str">
        <f>'1.4 Prod Bersih Ubi Jalar 2025'!K541</f>
        <v/>
      </c>
      <c r="J539" s="13" t="str">
        <f>'1.5 Prod Bersih Sagu 2025'!K541</f>
        <v/>
      </c>
      <c r="K539" s="13" t="str">
        <f>'1.6 Prod Bersih Pisang 2025'!K541</f>
        <v/>
      </c>
      <c r="L539" s="15">
        <f t="shared" si="24"/>
        <v>0</v>
      </c>
      <c r="M539" s="14" t="str">
        <f>IF(D539="","",VLOOKUP(D539,'[1]0.1 Produksi Pangan &amp; Penduduk'!$D$5:$AU$704,44,0))</f>
        <v/>
      </c>
      <c r="N539" s="26" t="str">
        <f t="shared" si="25"/>
        <v/>
      </c>
      <c r="O539" s="16"/>
      <c r="P539" s="25" t="str">
        <f t="shared" si="26"/>
        <v/>
      </c>
      <c r="Q539" s="8"/>
      <c r="R539" s="11"/>
    </row>
    <row r="540" spans="1:18" ht="15" x14ac:dyDescent="0.25">
      <c r="A540" s="3" t="str">
        <f>IF('1.1 Produksi Bersih Padi 2025'!A542="","",'1.1 Produksi Bersih Padi 2025'!A542)</f>
        <v/>
      </c>
      <c r="B540" s="32" t="str">
        <f>IF('1.1 Produksi Bersih Padi 2025'!B542="","",'1.1 Produksi Bersih Padi 2025'!B542)</f>
        <v/>
      </c>
      <c r="C540" s="32" t="str">
        <f>IF('1.1 Produksi Bersih Padi 2025'!C542="","",'1.1 Produksi Bersih Padi 2025'!C542)</f>
        <v/>
      </c>
      <c r="D540" s="3" t="str">
        <f>IF('1.1 Produksi Bersih Padi 2025'!D542="","",'1.1 Produksi Bersih Padi 2025'!D542)</f>
        <v/>
      </c>
      <c r="E540" s="3" t="str">
        <f>IF('1.1 Produksi Bersih Padi 2025'!E542="","",'1.1 Produksi Bersih Padi 2025'!E542)</f>
        <v/>
      </c>
      <c r="F540" s="13" t="str">
        <f>'1.1 Produksi Bersih Padi 2025'!Q542</f>
        <v/>
      </c>
      <c r="G540" s="13" t="str">
        <f>'1.2 Produksi Bersih Jagung 2025'!L542</f>
        <v/>
      </c>
      <c r="H540" s="13" t="str">
        <f>'1.3 Prod Bersih Ubi Kayu 2025'!K542</f>
        <v/>
      </c>
      <c r="I540" s="13" t="str">
        <f>'1.4 Prod Bersih Ubi Jalar 2025'!K542</f>
        <v/>
      </c>
      <c r="J540" s="13" t="str">
        <f>'1.5 Prod Bersih Sagu 2025'!K542</f>
        <v/>
      </c>
      <c r="K540" s="13" t="str">
        <f>'1.6 Prod Bersih Pisang 2025'!K542</f>
        <v/>
      </c>
      <c r="L540" s="15">
        <f t="shared" si="24"/>
        <v>0</v>
      </c>
      <c r="M540" s="14" t="str">
        <f>IF(D540="","",VLOOKUP(D540,'[1]0.1 Produksi Pangan &amp; Penduduk'!$D$5:$AU$704,44,0))</f>
        <v/>
      </c>
      <c r="N540" s="26" t="str">
        <f t="shared" si="25"/>
        <v/>
      </c>
      <c r="O540" s="16"/>
      <c r="P540" s="25" t="str">
        <f t="shared" si="26"/>
        <v/>
      </c>
      <c r="Q540" s="8"/>
      <c r="R540" s="11"/>
    </row>
    <row r="541" spans="1:18" ht="15" x14ac:dyDescent="0.25">
      <c r="A541" s="3" t="str">
        <f>IF('1.1 Produksi Bersih Padi 2025'!A543="","",'1.1 Produksi Bersih Padi 2025'!A543)</f>
        <v/>
      </c>
      <c r="B541" s="32" t="str">
        <f>IF('1.1 Produksi Bersih Padi 2025'!B543="","",'1.1 Produksi Bersih Padi 2025'!B543)</f>
        <v/>
      </c>
      <c r="C541" s="32" t="str">
        <f>IF('1.1 Produksi Bersih Padi 2025'!C543="","",'1.1 Produksi Bersih Padi 2025'!C543)</f>
        <v/>
      </c>
      <c r="D541" s="3" t="str">
        <f>IF('1.1 Produksi Bersih Padi 2025'!D543="","",'1.1 Produksi Bersih Padi 2025'!D543)</f>
        <v/>
      </c>
      <c r="E541" s="3" t="str">
        <f>IF('1.1 Produksi Bersih Padi 2025'!E543="","",'1.1 Produksi Bersih Padi 2025'!E543)</f>
        <v/>
      </c>
      <c r="F541" s="13" t="str">
        <f>'1.1 Produksi Bersih Padi 2025'!Q543</f>
        <v/>
      </c>
      <c r="G541" s="13" t="str">
        <f>'1.2 Produksi Bersih Jagung 2025'!L543</f>
        <v/>
      </c>
      <c r="H541" s="13" t="str">
        <f>'1.3 Prod Bersih Ubi Kayu 2025'!K543</f>
        <v/>
      </c>
      <c r="I541" s="13" t="str">
        <f>'1.4 Prod Bersih Ubi Jalar 2025'!K543</f>
        <v/>
      </c>
      <c r="J541" s="13" t="str">
        <f>'1.5 Prod Bersih Sagu 2025'!K543</f>
        <v/>
      </c>
      <c r="K541" s="13" t="str">
        <f>'1.6 Prod Bersih Pisang 2025'!K543</f>
        <v/>
      </c>
      <c r="L541" s="15">
        <f t="shared" si="24"/>
        <v>0</v>
      </c>
      <c r="M541" s="14" t="str">
        <f>IF(D541="","",VLOOKUP(D541,'[1]0.1 Produksi Pangan &amp; Penduduk'!$D$5:$AU$704,44,0))</f>
        <v/>
      </c>
      <c r="N541" s="26" t="str">
        <f t="shared" si="25"/>
        <v/>
      </c>
      <c r="O541" s="16"/>
      <c r="P541" s="25" t="str">
        <f t="shared" si="26"/>
        <v/>
      </c>
      <c r="Q541" s="8"/>
      <c r="R541" s="11"/>
    </row>
    <row r="542" spans="1:18" ht="15" x14ac:dyDescent="0.25">
      <c r="A542" s="3" t="str">
        <f>IF('1.1 Produksi Bersih Padi 2025'!A544="","",'1.1 Produksi Bersih Padi 2025'!A544)</f>
        <v/>
      </c>
      <c r="B542" s="32" t="str">
        <f>IF('1.1 Produksi Bersih Padi 2025'!B544="","",'1.1 Produksi Bersih Padi 2025'!B544)</f>
        <v/>
      </c>
      <c r="C542" s="32" t="str">
        <f>IF('1.1 Produksi Bersih Padi 2025'!C544="","",'1.1 Produksi Bersih Padi 2025'!C544)</f>
        <v/>
      </c>
      <c r="D542" s="3" t="str">
        <f>IF('1.1 Produksi Bersih Padi 2025'!D544="","",'1.1 Produksi Bersih Padi 2025'!D544)</f>
        <v/>
      </c>
      <c r="E542" s="3" t="str">
        <f>IF('1.1 Produksi Bersih Padi 2025'!E544="","",'1.1 Produksi Bersih Padi 2025'!E544)</f>
        <v/>
      </c>
      <c r="F542" s="13" t="str">
        <f>'1.1 Produksi Bersih Padi 2025'!Q544</f>
        <v/>
      </c>
      <c r="G542" s="13" t="str">
        <f>'1.2 Produksi Bersih Jagung 2025'!L544</f>
        <v/>
      </c>
      <c r="H542" s="13" t="str">
        <f>'1.3 Prod Bersih Ubi Kayu 2025'!K544</f>
        <v/>
      </c>
      <c r="I542" s="13" t="str">
        <f>'1.4 Prod Bersih Ubi Jalar 2025'!K544</f>
        <v/>
      </c>
      <c r="J542" s="13" t="str">
        <f>'1.5 Prod Bersih Sagu 2025'!K544</f>
        <v/>
      </c>
      <c r="K542" s="13" t="str">
        <f>'1.6 Prod Bersih Pisang 2025'!K544</f>
        <v/>
      </c>
      <c r="L542" s="15">
        <f t="shared" si="24"/>
        <v>0</v>
      </c>
      <c r="M542" s="14" t="str">
        <f>IF(D542="","",VLOOKUP(D542,'[1]0.1 Produksi Pangan &amp; Penduduk'!$D$5:$AU$704,44,0))</f>
        <v/>
      </c>
      <c r="N542" s="26" t="str">
        <f t="shared" si="25"/>
        <v/>
      </c>
      <c r="O542" s="16"/>
      <c r="P542" s="25" t="str">
        <f t="shared" si="26"/>
        <v/>
      </c>
      <c r="Q542" s="8"/>
      <c r="R542" s="11"/>
    </row>
    <row r="543" spans="1:18" ht="15" x14ac:dyDescent="0.25">
      <c r="A543" s="3" t="str">
        <f>IF('1.1 Produksi Bersih Padi 2025'!A545="","",'1.1 Produksi Bersih Padi 2025'!A545)</f>
        <v/>
      </c>
      <c r="B543" s="32" t="str">
        <f>IF('1.1 Produksi Bersih Padi 2025'!B545="","",'1.1 Produksi Bersih Padi 2025'!B545)</f>
        <v/>
      </c>
      <c r="C543" s="32" t="str">
        <f>IF('1.1 Produksi Bersih Padi 2025'!C545="","",'1.1 Produksi Bersih Padi 2025'!C545)</f>
        <v/>
      </c>
      <c r="D543" s="3" t="str">
        <f>IF('1.1 Produksi Bersih Padi 2025'!D545="","",'1.1 Produksi Bersih Padi 2025'!D545)</f>
        <v/>
      </c>
      <c r="E543" s="3" t="str">
        <f>IF('1.1 Produksi Bersih Padi 2025'!E545="","",'1.1 Produksi Bersih Padi 2025'!E545)</f>
        <v/>
      </c>
      <c r="F543" s="13" t="str">
        <f>'1.1 Produksi Bersih Padi 2025'!Q545</f>
        <v/>
      </c>
      <c r="G543" s="13" t="str">
        <f>'1.2 Produksi Bersih Jagung 2025'!L545</f>
        <v/>
      </c>
      <c r="H543" s="13" t="str">
        <f>'1.3 Prod Bersih Ubi Kayu 2025'!K545</f>
        <v/>
      </c>
      <c r="I543" s="13" t="str">
        <f>'1.4 Prod Bersih Ubi Jalar 2025'!K545</f>
        <v/>
      </c>
      <c r="J543" s="13" t="str">
        <f>'1.5 Prod Bersih Sagu 2025'!K545</f>
        <v/>
      </c>
      <c r="K543" s="13" t="str">
        <f>'1.6 Prod Bersih Pisang 2025'!K545</f>
        <v/>
      </c>
      <c r="L543" s="15">
        <f t="shared" si="24"/>
        <v>0</v>
      </c>
      <c r="M543" s="14" t="str">
        <f>IF(D543="","",VLOOKUP(D543,'[1]0.1 Produksi Pangan &amp; Penduduk'!$D$5:$AU$704,44,0))</f>
        <v/>
      </c>
      <c r="N543" s="26" t="str">
        <f t="shared" si="25"/>
        <v/>
      </c>
      <c r="O543" s="16"/>
      <c r="P543" s="25" t="str">
        <f t="shared" si="26"/>
        <v/>
      </c>
      <c r="Q543" s="8"/>
      <c r="R543" s="11"/>
    </row>
    <row r="544" spans="1:18" ht="15" x14ac:dyDescent="0.25">
      <c r="A544" s="3" t="str">
        <f>IF('1.1 Produksi Bersih Padi 2025'!A546="","",'1.1 Produksi Bersih Padi 2025'!A546)</f>
        <v/>
      </c>
      <c r="B544" s="32" t="str">
        <f>IF('1.1 Produksi Bersih Padi 2025'!B546="","",'1.1 Produksi Bersih Padi 2025'!B546)</f>
        <v/>
      </c>
      <c r="C544" s="32" t="str">
        <f>IF('1.1 Produksi Bersih Padi 2025'!C546="","",'1.1 Produksi Bersih Padi 2025'!C546)</f>
        <v/>
      </c>
      <c r="D544" s="3" t="str">
        <f>IF('1.1 Produksi Bersih Padi 2025'!D546="","",'1.1 Produksi Bersih Padi 2025'!D546)</f>
        <v/>
      </c>
      <c r="E544" s="3" t="str">
        <f>IF('1.1 Produksi Bersih Padi 2025'!E546="","",'1.1 Produksi Bersih Padi 2025'!E546)</f>
        <v/>
      </c>
      <c r="F544" s="13" t="str">
        <f>'1.1 Produksi Bersih Padi 2025'!Q546</f>
        <v/>
      </c>
      <c r="G544" s="13" t="str">
        <f>'1.2 Produksi Bersih Jagung 2025'!L546</f>
        <v/>
      </c>
      <c r="H544" s="13" t="str">
        <f>'1.3 Prod Bersih Ubi Kayu 2025'!K546</f>
        <v/>
      </c>
      <c r="I544" s="13" t="str">
        <f>'1.4 Prod Bersih Ubi Jalar 2025'!K546</f>
        <v/>
      </c>
      <c r="J544" s="13" t="str">
        <f>'1.5 Prod Bersih Sagu 2025'!K546</f>
        <v/>
      </c>
      <c r="K544" s="13" t="str">
        <f>'1.6 Prod Bersih Pisang 2025'!K546</f>
        <v/>
      </c>
      <c r="L544" s="15">
        <f t="shared" si="24"/>
        <v>0</v>
      </c>
      <c r="M544" s="14" t="str">
        <f>IF(D544="","",VLOOKUP(D544,'[1]0.1 Produksi Pangan &amp; Penduduk'!$D$5:$AU$704,44,0))</f>
        <v/>
      </c>
      <c r="N544" s="26" t="str">
        <f t="shared" si="25"/>
        <v/>
      </c>
      <c r="O544" s="16"/>
      <c r="P544" s="25" t="str">
        <f t="shared" si="26"/>
        <v/>
      </c>
      <c r="Q544" s="8"/>
      <c r="R544" s="11"/>
    </row>
    <row r="545" spans="1:18" ht="15" x14ac:dyDescent="0.25">
      <c r="A545" s="3" t="str">
        <f>IF('1.1 Produksi Bersih Padi 2025'!A547="","",'1.1 Produksi Bersih Padi 2025'!A547)</f>
        <v/>
      </c>
      <c r="B545" s="32" t="str">
        <f>IF('1.1 Produksi Bersih Padi 2025'!B547="","",'1.1 Produksi Bersih Padi 2025'!B547)</f>
        <v/>
      </c>
      <c r="C545" s="32" t="str">
        <f>IF('1.1 Produksi Bersih Padi 2025'!C547="","",'1.1 Produksi Bersih Padi 2025'!C547)</f>
        <v/>
      </c>
      <c r="D545" s="3" t="str">
        <f>IF('1.1 Produksi Bersih Padi 2025'!D547="","",'1.1 Produksi Bersih Padi 2025'!D547)</f>
        <v/>
      </c>
      <c r="E545" s="3" t="str">
        <f>IF('1.1 Produksi Bersih Padi 2025'!E547="","",'1.1 Produksi Bersih Padi 2025'!E547)</f>
        <v/>
      </c>
      <c r="F545" s="13" t="str">
        <f>'1.1 Produksi Bersih Padi 2025'!Q547</f>
        <v/>
      </c>
      <c r="G545" s="13" t="str">
        <f>'1.2 Produksi Bersih Jagung 2025'!L547</f>
        <v/>
      </c>
      <c r="H545" s="13" t="str">
        <f>'1.3 Prod Bersih Ubi Kayu 2025'!K547</f>
        <v/>
      </c>
      <c r="I545" s="13" t="str">
        <f>'1.4 Prod Bersih Ubi Jalar 2025'!K547</f>
        <v/>
      </c>
      <c r="J545" s="13" t="str">
        <f>'1.5 Prod Bersih Sagu 2025'!K547</f>
        <v/>
      </c>
      <c r="K545" s="13" t="str">
        <f>'1.6 Prod Bersih Pisang 2025'!K547</f>
        <v/>
      </c>
      <c r="L545" s="15">
        <f t="shared" si="24"/>
        <v>0</v>
      </c>
      <c r="M545" s="14" t="str">
        <f>IF(D545="","",VLOOKUP(D545,'[1]0.1 Produksi Pangan &amp; Penduduk'!$D$5:$AU$704,44,0))</f>
        <v/>
      </c>
      <c r="N545" s="26" t="str">
        <f t="shared" si="25"/>
        <v/>
      </c>
      <c r="O545" s="16"/>
      <c r="P545" s="25" t="str">
        <f t="shared" si="26"/>
        <v/>
      </c>
      <c r="Q545" s="8"/>
      <c r="R545" s="11"/>
    </row>
    <row r="546" spans="1:18" ht="15" x14ac:dyDescent="0.25">
      <c r="A546" s="3" t="str">
        <f>IF('1.1 Produksi Bersih Padi 2025'!A548="","",'1.1 Produksi Bersih Padi 2025'!A548)</f>
        <v/>
      </c>
      <c r="B546" s="32" t="str">
        <f>IF('1.1 Produksi Bersih Padi 2025'!B548="","",'1.1 Produksi Bersih Padi 2025'!B548)</f>
        <v/>
      </c>
      <c r="C546" s="32" t="str">
        <f>IF('1.1 Produksi Bersih Padi 2025'!C548="","",'1.1 Produksi Bersih Padi 2025'!C548)</f>
        <v/>
      </c>
      <c r="D546" s="3" t="str">
        <f>IF('1.1 Produksi Bersih Padi 2025'!D548="","",'1.1 Produksi Bersih Padi 2025'!D548)</f>
        <v/>
      </c>
      <c r="E546" s="3" t="str">
        <f>IF('1.1 Produksi Bersih Padi 2025'!E548="","",'1.1 Produksi Bersih Padi 2025'!E548)</f>
        <v/>
      </c>
      <c r="F546" s="13" t="str">
        <f>'1.1 Produksi Bersih Padi 2025'!Q548</f>
        <v/>
      </c>
      <c r="G546" s="13" t="str">
        <f>'1.2 Produksi Bersih Jagung 2025'!L548</f>
        <v/>
      </c>
      <c r="H546" s="13" t="str">
        <f>'1.3 Prod Bersih Ubi Kayu 2025'!K548</f>
        <v/>
      </c>
      <c r="I546" s="13" t="str">
        <f>'1.4 Prod Bersih Ubi Jalar 2025'!K548</f>
        <v/>
      </c>
      <c r="J546" s="13" t="str">
        <f>'1.5 Prod Bersih Sagu 2025'!K548</f>
        <v/>
      </c>
      <c r="K546" s="13" t="str">
        <f>'1.6 Prod Bersih Pisang 2025'!K548</f>
        <v/>
      </c>
      <c r="L546" s="15">
        <f t="shared" si="24"/>
        <v>0</v>
      </c>
      <c r="M546" s="14" t="str">
        <f>IF(D546="","",VLOOKUP(D546,'[1]0.1 Produksi Pangan &amp; Penduduk'!$D$5:$AU$704,44,0))</f>
        <v/>
      </c>
      <c r="N546" s="26" t="str">
        <f t="shared" si="25"/>
        <v/>
      </c>
      <c r="O546" s="16"/>
      <c r="P546" s="25" t="str">
        <f t="shared" si="26"/>
        <v/>
      </c>
      <c r="Q546" s="8"/>
      <c r="R546" s="11"/>
    </row>
    <row r="547" spans="1:18" ht="15" x14ac:dyDescent="0.25">
      <c r="A547" s="3" t="str">
        <f>IF('1.1 Produksi Bersih Padi 2025'!A549="","",'1.1 Produksi Bersih Padi 2025'!A549)</f>
        <v/>
      </c>
      <c r="B547" s="32" t="str">
        <f>IF('1.1 Produksi Bersih Padi 2025'!B549="","",'1.1 Produksi Bersih Padi 2025'!B549)</f>
        <v/>
      </c>
      <c r="C547" s="32" t="str">
        <f>IF('1.1 Produksi Bersih Padi 2025'!C549="","",'1.1 Produksi Bersih Padi 2025'!C549)</f>
        <v/>
      </c>
      <c r="D547" s="3" t="str">
        <f>IF('1.1 Produksi Bersih Padi 2025'!D549="","",'1.1 Produksi Bersih Padi 2025'!D549)</f>
        <v/>
      </c>
      <c r="E547" s="3" t="str">
        <f>IF('1.1 Produksi Bersih Padi 2025'!E549="","",'1.1 Produksi Bersih Padi 2025'!E549)</f>
        <v/>
      </c>
      <c r="F547" s="13" t="str">
        <f>'1.1 Produksi Bersih Padi 2025'!Q549</f>
        <v/>
      </c>
      <c r="G547" s="13" t="str">
        <f>'1.2 Produksi Bersih Jagung 2025'!L549</f>
        <v/>
      </c>
      <c r="H547" s="13" t="str">
        <f>'1.3 Prod Bersih Ubi Kayu 2025'!K549</f>
        <v/>
      </c>
      <c r="I547" s="13" t="str">
        <f>'1.4 Prod Bersih Ubi Jalar 2025'!K549</f>
        <v/>
      </c>
      <c r="J547" s="13" t="str">
        <f>'1.5 Prod Bersih Sagu 2025'!K549</f>
        <v/>
      </c>
      <c r="K547" s="13" t="str">
        <f>'1.6 Prod Bersih Pisang 2025'!K549</f>
        <v/>
      </c>
      <c r="L547" s="15">
        <f t="shared" si="24"/>
        <v>0</v>
      </c>
      <c r="M547" s="14" t="str">
        <f>IF(D547="","",VLOOKUP(D547,'[1]0.1 Produksi Pangan &amp; Penduduk'!$D$5:$AU$704,44,0))</f>
        <v/>
      </c>
      <c r="N547" s="26" t="str">
        <f t="shared" si="25"/>
        <v/>
      </c>
      <c r="O547" s="16"/>
      <c r="P547" s="25" t="str">
        <f t="shared" si="26"/>
        <v/>
      </c>
      <c r="Q547" s="8"/>
      <c r="R547" s="11"/>
    </row>
    <row r="548" spans="1:18" ht="15" x14ac:dyDescent="0.25">
      <c r="A548" s="3" t="str">
        <f>IF('1.1 Produksi Bersih Padi 2025'!A550="","",'1.1 Produksi Bersih Padi 2025'!A550)</f>
        <v/>
      </c>
      <c r="B548" s="32" t="str">
        <f>IF('1.1 Produksi Bersih Padi 2025'!B550="","",'1.1 Produksi Bersih Padi 2025'!B550)</f>
        <v/>
      </c>
      <c r="C548" s="32" t="str">
        <f>IF('1.1 Produksi Bersih Padi 2025'!C550="","",'1.1 Produksi Bersih Padi 2025'!C550)</f>
        <v/>
      </c>
      <c r="D548" s="3" t="str">
        <f>IF('1.1 Produksi Bersih Padi 2025'!D550="","",'1.1 Produksi Bersih Padi 2025'!D550)</f>
        <v/>
      </c>
      <c r="E548" s="3" t="str">
        <f>IF('1.1 Produksi Bersih Padi 2025'!E550="","",'1.1 Produksi Bersih Padi 2025'!E550)</f>
        <v/>
      </c>
      <c r="F548" s="13" t="str">
        <f>'1.1 Produksi Bersih Padi 2025'!Q550</f>
        <v/>
      </c>
      <c r="G548" s="13" t="str">
        <f>'1.2 Produksi Bersih Jagung 2025'!L550</f>
        <v/>
      </c>
      <c r="H548" s="13" t="str">
        <f>'1.3 Prod Bersih Ubi Kayu 2025'!K550</f>
        <v/>
      </c>
      <c r="I548" s="13" t="str">
        <f>'1.4 Prod Bersih Ubi Jalar 2025'!K550</f>
        <v/>
      </c>
      <c r="J548" s="13" t="str">
        <f>'1.5 Prod Bersih Sagu 2025'!K550</f>
        <v/>
      </c>
      <c r="K548" s="13" t="str">
        <f>'1.6 Prod Bersih Pisang 2025'!K550</f>
        <v/>
      </c>
      <c r="L548" s="15">
        <f t="shared" si="24"/>
        <v>0</v>
      </c>
      <c r="M548" s="14" t="str">
        <f>IF(D548="","",VLOOKUP(D548,'[1]0.1 Produksi Pangan &amp; Penduduk'!$D$5:$AU$704,44,0))</f>
        <v/>
      </c>
      <c r="N548" s="26" t="str">
        <f t="shared" si="25"/>
        <v/>
      </c>
      <c r="O548" s="16"/>
      <c r="P548" s="25" t="str">
        <f t="shared" si="26"/>
        <v/>
      </c>
      <c r="Q548" s="8"/>
      <c r="R548" s="11"/>
    </row>
    <row r="549" spans="1:18" ht="15" x14ac:dyDescent="0.25">
      <c r="A549" s="3" t="str">
        <f>IF('1.1 Produksi Bersih Padi 2025'!A551="","",'1.1 Produksi Bersih Padi 2025'!A551)</f>
        <v/>
      </c>
      <c r="B549" s="32" t="str">
        <f>IF('1.1 Produksi Bersih Padi 2025'!B551="","",'1.1 Produksi Bersih Padi 2025'!B551)</f>
        <v/>
      </c>
      <c r="C549" s="32" t="str">
        <f>IF('1.1 Produksi Bersih Padi 2025'!C551="","",'1.1 Produksi Bersih Padi 2025'!C551)</f>
        <v/>
      </c>
      <c r="D549" s="3" t="str">
        <f>IF('1.1 Produksi Bersih Padi 2025'!D551="","",'1.1 Produksi Bersih Padi 2025'!D551)</f>
        <v/>
      </c>
      <c r="E549" s="3" t="str">
        <f>IF('1.1 Produksi Bersih Padi 2025'!E551="","",'1.1 Produksi Bersih Padi 2025'!E551)</f>
        <v/>
      </c>
      <c r="F549" s="13" t="str">
        <f>'1.1 Produksi Bersih Padi 2025'!Q551</f>
        <v/>
      </c>
      <c r="G549" s="13" t="str">
        <f>'1.2 Produksi Bersih Jagung 2025'!L551</f>
        <v/>
      </c>
      <c r="H549" s="13" t="str">
        <f>'1.3 Prod Bersih Ubi Kayu 2025'!K551</f>
        <v/>
      </c>
      <c r="I549" s="13" t="str">
        <f>'1.4 Prod Bersih Ubi Jalar 2025'!K551</f>
        <v/>
      </c>
      <c r="J549" s="13" t="str">
        <f>'1.5 Prod Bersih Sagu 2025'!K551</f>
        <v/>
      </c>
      <c r="K549" s="13" t="str">
        <f>'1.6 Prod Bersih Pisang 2025'!K551</f>
        <v/>
      </c>
      <c r="L549" s="15">
        <f t="shared" si="24"/>
        <v>0</v>
      </c>
      <c r="M549" s="14" t="str">
        <f>IF(D549="","",VLOOKUP(D549,'[1]0.1 Produksi Pangan &amp; Penduduk'!$D$5:$AU$704,44,0))</f>
        <v/>
      </c>
      <c r="N549" s="26" t="str">
        <f t="shared" si="25"/>
        <v/>
      </c>
      <c r="O549" s="16"/>
      <c r="P549" s="25" t="str">
        <f t="shared" si="26"/>
        <v/>
      </c>
      <c r="Q549" s="8"/>
      <c r="R549" s="11"/>
    </row>
    <row r="550" spans="1:18" ht="15" x14ac:dyDescent="0.25">
      <c r="A550" s="3" t="str">
        <f>IF('1.1 Produksi Bersih Padi 2025'!A552="","",'1.1 Produksi Bersih Padi 2025'!A552)</f>
        <v/>
      </c>
      <c r="B550" s="32" t="str">
        <f>IF('1.1 Produksi Bersih Padi 2025'!B552="","",'1.1 Produksi Bersih Padi 2025'!B552)</f>
        <v/>
      </c>
      <c r="C550" s="32" t="str">
        <f>IF('1.1 Produksi Bersih Padi 2025'!C552="","",'1.1 Produksi Bersih Padi 2025'!C552)</f>
        <v/>
      </c>
      <c r="D550" s="3" t="str">
        <f>IF('1.1 Produksi Bersih Padi 2025'!D552="","",'1.1 Produksi Bersih Padi 2025'!D552)</f>
        <v/>
      </c>
      <c r="E550" s="3" t="str">
        <f>IF('1.1 Produksi Bersih Padi 2025'!E552="","",'1.1 Produksi Bersih Padi 2025'!E552)</f>
        <v/>
      </c>
      <c r="F550" s="13" t="str">
        <f>'1.1 Produksi Bersih Padi 2025'!Q552</f>
        <v/>
      </c>
      <c r="G550" s="13" t="str">
        <f>'1.2 Produksi Bersih Jagung 2025'!L552</f>
        <v/>
      </c>
      <c r="H550" s="13" t="str">
        <f>'1.3 Prod Bersih Ubi Kayu 2025'!K552</f>
        <v/>
      </c>
      <c r="I550" s="13" t="str">
        <f>'1.4 Prod Bersih Ubi Jalar 2025'!K552</f>
        <v/>
      </c>
      <c r="J550" s="13" t="str">
        <f>'1.5 Prod Bersih Sagu 2025'!K552</f>
        <v/>
      </c>
      <c r="K550" s="13" t="str">
        <f>'1.6 Prod Bersih Pisang 2025'!K552</f>
        <v/>
      </c>
      <c r="L550" s="15">
        <f t="shared" si="24"/>
        <v>0</v>
      </c>
      <c r="M550" s="14" t="str">
        <f>IF(D550="","",VLOOKUP(D550,'[1]0.1 Produksi Pangan &amp; Penduduk'!$D$5:$AU$704,44,0))</f>
        <v/>
      </c>
      <c r="N550" s="26" t="str">
        <f t="shared" si="25"/>
        <v/>
      </c>
      <c r="O550" s="16"/>
      <c r="P550" s="25" t="str">
        <f t="shared" si="26"/>
        <v/>
      </c>
      <c r="Q550" s="8"/>
      <c r="R550" s="11"/>
    </row>
    <row r="551" spans="1:18" ht="15" x14ac:dyDescent="0.25">
      <c r="A551" s="3" t="str">
        <f>IF('1.1 Produksi Bersih Padi 2025'!A553="","",'1.1 Produksi Bersih Padi 2025'!A553)</f>
        <v/>
      </c>
      <c r="B551" s="32" t="str">
        <f>IF('1.1 Produksi Bersih Padi 2025'!B553="","",'1.1 Produksi Bersih Padi 2025'!B553)</f>
        <v/>
      </c>
      <c r="C551" s="32" t="str">
        <f>IF('1.1 Produksi Bersih Padi 2025'!C553="","",'1.1 Produksi Bersih Padi 2025'!C553)</f>
        <v/>
      </c>
      <c r="D551" s="3" t="str">
        <f>IF('1.1 Produksi Bersih Padi 2025'!D553="","",'1.1 Produksi Bersih Padi 2025'!D553)</f>
        <v/>
      </c>
      <c r="E551" s="3" t="str">
        <f>IF('1.1 Produksi Bersih Padi 2025'!E553="","",'1.1 Produksi Bersih Padi 2025'!E553)</f>
        <v/>
      </c>
      <c r="F551" s="13" t="str">
        <f>'1.1 Produksi Bersih Padi 2025'!Q553</f>
        <v/>
      </c>
      <c r="G551" s="13" t="str">
        <f>'1.2 Produksi Bersih Jagung 2025'!L553</f>
        <v/>
      </c>
      <c r="H551" s="13" t="str">
        <f>'1.3 Prod Bersih Ubi Kayu 2025'!K553</f>
        <v/>
      </c>
      <c r="I551" s="13" t="str">
        <f>'1.4 Prod Bersih Ubi Jalar 2025'!K553</f>
        <v/>
      </c>
      <c r="J551" s="13" t="str">
        <f>'1.5 Prod Bersih Sagu 2025'!K553</f>
        <v/>
      </c>
      <c r="K551" s="13" t="str">
        <f>'1.6 Prod Bersih Pisang 2025'!K553</f>
        <v/>
      </c>
      <c r="L551" s="15">
        <f t="shared" si="24"/>
        <v>0</v>
      </c>
      <c r="M551" s="14" t="str">
        <f>IF(D551="","",VLOOKUP(D551,'[1]0.1 Produksi Pangan &amp; Penduduk'!$D$5:$AU$704,44,0))</f>
        <v/>
      </c>
      <c r="N551" s="26" t="str">
        <f t="shared" si="25"/>
        <v/>
      </c>
      <c r="O551" s="16"/>
      <c r="P551" s="25" t="str">
        <f t="shared" si="26"/>
        <v/>
      </c>
      <c r="Q551" s="8"/>
      <c r="R551" s="11"/>
    </row>
    <row r="552" spans="1:18" ht="15" x14ac:dyDescent="0.25">
      <c r="A552" s="3" t="str">
        <f>IF('1.1 Produksi Bersih Padi 2025'!A554="","",'1.1 Produksi Bersih Padi 2025'!A554)</f>
        <v/>
      </c>
      <c r="B552" s="32" t="str">
        <f>IF('1.1 Produksi Bersih Padi 2025'!B554="","",'1.1 Produksi Bersih Padi 2025'!B554)</f>
        <v/>
      </c>
      <c r="C552" s="32" t="str">
        <f>IF('1.1 Produksi Bersih Padi 2025'!C554="","",'1.1 Produksi Bersih Padi 2025'!C554)</f>
        <v/>
      </c>
      <c r="D552" s="3" t="str">
        <f>IF('1.1 Produksi Bersih Padi 2025'!D554="","",'1.1 Produksi Bersih Padi 2025'!D554)</f>
        <v/>
      </c>
      <c r="E552" s="3" t="str">
        <f>IF('1.1 Produksi Bersih Padi 2025'!E554="","",'1.1 Produksi Bersih Padi 2025'!E554)</f>
        <v/>
      </c>
      <c r="F552" s="13" t="str">
        <f>'1.1 Produksi Bersih Padi 2025'!Q554</f>
        <v/>
      </c>
      <c r="G552" s="13" t="str">
        <f>'1.2 Produksi Bersih Jagung 2025'!L554</f>
        <v/>
      </c>
      <c r="H552" s="13" t="str">
        <f>'1.3 Prod Bersih Ubi Kayu 2025'!K554</f>
        <v/>
      </c>
      <c r="I552" s="13" t="str">
        <f>'1.4 Prod Bersih Ubi Jalar 2025'!K554</f>
        <v/>
      </c>
      <c r="J552" s="13" t="str">
        <f>'1.5 Prod Bersih Sagu 2025'!K554</f>
        <v/>
      </c>
      <c r="K552" s="13" t="str">
        <f>'1.6 Prod Bersih Pisang 2025'!K554</f>
        <v/>
      </c>
      <c r="L552" s="15">
        <f t="shared" si="24"/>
        <v>0</v>
      </c>
      <c r="M552" s="14" t="str">
        <f>IF(D552="","",VLOOKUP(D552,'[1]0.1 Produksi Pangan &amp; Penduduk'!$D$5:$AU$704,44,0))</f>
        <v/>
      </c>
      <c r="N552" s="26" t="str">
        <f t="shared" si="25"/>
        <v/>
      </c>
      <c r="O552" s="16"/>
      <c r="P552" s="25" t="str">
        <f t="shared" si="26"/>
        <v/>
      </c>
      <c r="Q552" s="8"/>
      <c r="R552" s="11"/>
    </row>
    <row r="553" spans="1:18" ht="15" x14ac:dyDescent="0.25">
      <c r="A553" s="3" t="str">
        <f>IF('1.1 Produksi Bersih Padi 2025'!A555="","",'1.1 Produksi Bersih Padi 2025'!A555)</f>
        <v/>
      </c>
      <c r="B553" s="32" t="str">
        <f>IF('1.1 Produksi Bersih Padi 2025'!B555="","",'1.1 Produksi Bersih Padi 2025'!B555)</f>
        <v/>
      </c>
      <c r="C553" s="32" t="str">
        <f>IF('1.1 Produksi Bersih Padi 2025'!C555="","",'1.1 Produksi Bersih Padi 2025'!C555)</f>
        <v/>
      </c>
      <c r="D553" s="3" t="str">
        <f>IF('1.1 Produksi Bersih Padi 2025'!D555="","",'1.1 Produksi Bersih Padi 2025'!D555)</f>
        <v/>
      </c>
      <c r="E553" s="3" t="str">
        <f>IF('1.1 Produksi Bersih Padi 2025'!E555="","",'1.1 Produksi Bersih Padi 2025'!E555)</f>
        <v/>
      </c>
      <c r="F553" s="13" t="str">
        <f>'1.1 Produksi Bersih Padi 2025'!Q555</f>
        <v/>
      </c>
      <c r="G553" s="13" t="str">
        <f>'1.2 Produksi Bersih Jagung 2025'!L555</f>
        <v/>
      </c>
      <c r="H553" s="13" t="str">
        <f>'1.3 Prod Bersih Ubi Kayu 2025'!K555</f>
        <v/>
      </c>
      <c r="I553" s="13" t="str">
        <f>'1.4 Prod Bersih Ubi Jalar 2025'!K555</f>
        <v/>
      </c>
      <c r="J553" s="13" t="str">
        <f>'1.5 Prod Bersih Sagu 2025'!K555</f>
        <v/>
      </c>
      <c r="K553" s="13" t="str">
        <f>'1.6 Prod Bersih Pisang 2025'!K555</f>
        <v/>
      </c>
      <c r="L553" s="15">
        <f t="shared" si="24"/>
        <v>0</v>
      </c>
      <c r="M553" s="14" t="str">
        <f>IF(D553="","",VLOOKUP(D553,'[1]0.1 Produksi Pangan &amp; Penduduk'!$D$5:$AU$704,44,0))</f>
        <v/>
      </c>
      <c r="N553" s="26" t="str">
        <f t="shared" si="25"/>
        <v/>
      </c>
      <c r="O553" s="16"/>
      <c r="P553" s="25" t="str">
        <f t="shared" si="26"/>
        <v/>
      </c>
      <c r="Q553" s="8"/>
      <c r="R553" s="11"/>
    </row>
    <row r="554" spans="1:18" ht="15" x14ac:dyDescent="0.25">
      <c r="A554" s="3" t="str">
        <f>IF('1.1 Produksi Bersih Padi 2025'!A556="","",'1.1 Produksi Bersih Padi 2025'!A556)</f>
        <v/>
      </c>
      <c r="B554" s="32" t="str">
        <f>IF('1.1 Produksi Bersih Padi 2025'!B556="","",'1.1 Produksi Bersih Padi 2025'!B556)</f>
        <v/>
      </c>
      <c r="C554" s="32" t="str">
        <f>IF('1.1 Produksi Bersih Padi 2025'!C556="","",'1.1 Produksi Bersih Padi 2025'!C556)</f>
        <v/>
      </c>
      <c r="D554" s="3" t="str">
        <f>IF('1.1 Produksi Bersih Padi 2025'!D556="","",'1.1 Produksi Bersih Padi 2025'!D556)</f>
        <v/>
      </c>
      <c r="E554" s="3" t="str">
        <f>IF('1.1 Produksi Bersih Padi 2025'!E556="","",'1.1 Produksi Bersih Padi 2025'!E556)</f>
        <v/>
      </c>
      <c r="F554" s="13" t="str">
        <f>'1.1 Produksi Bersih Padi 2025'!Q556</f>
        <v/>
      </c>
      <c r="G554" s="13" t="str">
        <f>'1.2 Produksi Bersih Jagung 2025'!L556</f>
        <v/>
      </c>
      <c r="H554" s="13" t="str">
        <f>'1.3 Prod Bersih Ubi Kayu 2025'!K556</f>
        <v/>
      </c>
      <c r="I554" s="13" t="str">
        <f>'1.4 Prod Bersih Ubi Jalar 2025'!K556</f>
        <v/>
      </c>
      <c r="J554" s="13" t="str">
        <f>'1.5 Prod Bersih Sagu 2025'!K556</f>
        <v/>
      </c>
      <c r="K554" s="13" t="str">
        <f>'1.6 Prod Bersih Pisang 2025'!K556</f>
        <v/>
      </c>
      <c r="L554" s="15">
        <f t="shared" si="24"/>
        <v>0</v>
      </c>
      <c r="M554" s="14" t="str">
        <f>IF(D554="","",VLOOKUP(D554,'[1]0.1 Produksi Pangan &amp; Penduduk'!$D$5:$AU$704,44,0))</f>
        <v/>
      </c>
      <c r="N554" s="26" t="str">
        <f t="shared" si="25"/>
        <v/>
      </c>
      <c r="O554" s="16"/>
      <c r="P554" s="25" t="str">
        <f t="shared" si="26"/>
        <v/>
      </c>
      <c r="Q554" s="8"/>
      <c r="R554" s="11"/>
    </row>
    <row r="555" spans="1:18" ht="15" x14ac:dyDescent="0.25">
      <c r="A555" s="3" t="str">
        <f>IF('1.1 Produksi Bersih Padi 2025'!A557="","",'1.1 Produksi Bersih Padi 2025'!A557)</f>
        <v/>
      </c>
      <c r="B555" s="32" t="str">
        <f>IF('1.1 Produksi Bersih Padi 2025'!B557="","",'1.1 Produksi Bersih Padi 2025'!B557)</f>
        <v/>
      </c>
      <c r="C555" s="32" t="str">
        <f>IF('1.1 Produksi Bersih Padi 2025'!C557="","",'1.1 Produksi Bersih Padi 2025'!C557)</f>
        <v/>
      </c>
      <c r="D555" s="3" t="str">
        <f>IF('1.1 Produksi Bersih Padi 2025'!D557="","",'1.1 Produksi Bersih Padi 2025'!D557)</f>
        <v/>
      </c>
      <c r="E555" s="3" t="str">
        <f>IF('1.1 Produksi Bersih Padi 2025'!E557="","",'1.1 Produksi Bersih Padi 2025'!E557)</f>
        <v/>
      </c>
      <c r="F555" s="13" t="str">
        <f>'1.1 Produksi Bersih Padi 2025'!Q557</f>
        <v/>
      </c>
      <c r="G555" s="13" t="str">
        <f>'1.2 Produksi Bersih Jagung 2025'!L557</f>
        <v/>
      </c>
      <c r="H555" s="13" t="str">
        <f>'1.3 Prod Bersih Ubi Kayu 2025'!K557</f>
        <v/>
      </c>
      <c r="I555" s="13" t="str">
        <f>'1.4 Prod Bersih Ubi Jalar 2025'!K557</f>
        <v/>
      </c>
      <c r="J555" s="13" t="str">
        <f>'1.5 Prod Bersih Sagu 2025'!K557</f>
        <v/>
      </c>
      <c r="K555" s="13" t="str">
        <f>'1.6 Prod Bersih Pisang 2025'!K557</f>
        <v/>
      </c>
      <c r="L555" s="15">
        <f t="shared" si="24"/>
        <v>0</v>
      </c>
      <c r="M555" s="14" t="str">
        <f>IF(D555="","",VLOOKUP(D555,'[1]0.1 Produksi Pangan &amp; Penduduk'!$D$5:$AU$704,44,0))</f>
        <v/>
      </c>
      <c r="N555" s="26" t="str">
        <f t="shared" si="25"/>
        <v/>
      </c>
      <c r="O555" s="16"/>
      <c r="P555" s="25" t="str">
        <f t="shared" si="26"/>
        <v/>
      </c>
      <c r="Q555" s="8"/>
      <c r="R555" s="11"/>
    </row>
    <row r="556" spans="1:18" ht="15" x14ac:dyDescent="0.25">
      <c r="A556" s="3" t="str">
        <f>IF('1.1 Produksi Bersih Padi 2025'!A558="","",'1.1 Produksi Bersih Padi 2025'!A558)</f>
        <v/>
      </c>
      <c r="B556" s="32" t="str">
        <f>IF('1.1 Produksi Bersih Padi 2025'!B558="","",'1.1 Produksi Bersih Padi 2025'!B558)</f>
        <v/>
      </c>
      <c r="C556" s="32" t="str">
        <f>IF('1.1 Produksi Bersih Padi 2025'!C558="","",'1.1 Produksi Bersih Padi 2025'!C558)</f>
        <v/>
      </c>
      <c r="D556" s="3" t="str">
        <f>IF('1.1 Produksi Bersih Padi 2025'!D558="","",'1.1 Produksi Bersih Padi 2025'!D558)</f>
        <v/>
      </c>
      <c r="E556" s="3" t="str">
        <f>IF('1.1 Produksi Bersih Padi 2025'!E558="","",'1.1 Produksi Bersih Padi 2025'!E558)</f>
        <v/>
      </c>
      <c r="F556" s="13" t="str">
        <f>'1.1 Produksi Bersih Padi 2025'!Q558</f>
        <v/>
      </c>
      <c r="G556" s="13" t="str">
        <f>'1.2 Produksi Bersih Jagung 2025'!L558</f>
        <v/>
      </c>
      <c r="H556" s="13" t="str">
        <f>'1.3 Prod Bersih Ubi Kayu 2025'!K558</f>
        <v/>
      </c>
      <c r="I556" s="13" t="str">
        <f>'1.4 Prod Bersih Ubi Jalar 2025'!K558</f>
        <v/>
      </c>
      <c r="J556" s="13" t="str">
        <f>'1.5 Prod Bersih Sagu 2025'!K558</f>
        <v/>
      </c>
      <c r="K556" s="13" t="str">
        <f>'1.6 Prod Bersih Pisang 2025'!K558</f>
        <v/>
      </c>
      <c r="L556" s="15">
        <f t="shared" si="24"/>
        <v>0</v>
      </c>
      <c r="M556" s="14" t="str">
        <f>IF(D556="","",VLOOKUP(D556,'[1]0.1 Produksi Pangan &amp; Penduduk'!$D$5:$AU$704,44,0))</f>
        <v/>
      </c>
      <c r="N556" s="26" t="str">
        <f t="shared" si="25"/>
        <v/>
      </c>
      <c r="O556" s="16"/>
      <c r="P556" s="25" t="str">
        <f t="shared" si="26"/>
        <v/>
      </c>
      <c r="Q556" s="8"/>
      <c r="R556" s="11"/>
    </row>
    <row r="557" spans="1:18" ht="15" x14ac:dyDescent="0.25">
      <c r="A557" s="3" t="str">
        <f>IF('1.1 Produksi Bersih Padi 2025'!A559="","",'1.1 Produksi Bersih Padi 2025'!A559)</f>
        <v/>
      </c>
      <c r="B557" s="32" t="str">
        <f>IF('1.1 Produksi Bersih Padi 2025'!B559="","",'1.1 Produksi Bersih Padi 2025'!B559)</f>
        <v/>
      </c>
      <c r="C557" s="32" t="str">
        <f>IF('1.1 Produksi Bersih Padi 2025'!C559="","",'1.1 Produksi Bersih Padi 2025'!C559)</f>
        <v/>
      </c>
      <c r="D557" s="3" t="str">
        <f>IF('1.1 Produksi Bersih Padi 2025'!D559="","",'1.1 Produksi Bersih Padi 2025'!D559)</f>
        <v/>
      </c>
      <c r="E557" s="3" t="str">
        <f>IF('1.1 Produksi Bersih Padi 2025'!E559="","",'1.1 Produksi Bersih Padi 2025'!E559)</f>
        <v/>
      </c>
      <c r="F557" s="13" t="str">
        <f>'1.1 Produksi Bersih Padi 2025'!Q559</f>
        <v/>
      </c>
      <c r="G557" s="13" t="str">
        <f>'1.2 Produksi Bersih Jagung 2025'!L559</f>
        <v/>
      </c>
      <c r="H557" s="13" t="str">
        <f>'1.3 Prod Bersih Ubi Kayu 2025'!K559</f>
        <v/>
      </c>
      <c r="I557" s="13" t="str">
        <f>'1.4 Prod Bersih Ubi Jalar 2025'!K559</f>
        <v/>
      </c>
      <c r="J557" s="13" t="str">
        <f>'1.5 Prod Bersih Sagu 2025'!K559</f>
        <v/>
      </c>
      <c r="K557" s="13" t="str">
        <f>'1.6 Prod Bersih Pisang 2025'!K559</f>
        <v/>
      </c>
      <c r="L557" s="15">
        <f t="shared" si="24"/>
        <v>0</v>
      </c>
      <c r="M557" s="14" t="str">
        <f>IF(D557="","",VLOOKUP(D557,'[1]0.1 Produksi Pangan &amp; Penduduk'!$D$5:$AU$704,44,0))</f>
        <v/>
      </c>
      <c r="N557" s="26" t="str">
        <f t="shared" si="25"/>
        <v/>
      </c>
      <c r="O557" s="16"/>
      <c r="P557" s="25" t="str">
        <f t="shared" si="26"/>
        <v/>
      </c>
      <c r="Q557" s="8"/>
      <c r="R557" s="11"/>
    </row>
    <row r="558" spans="1:18" ht="15" x14ac:dyDescent="0.25">
      <c r="A558" s="3" t="str">
        <f>IF('1.1 Produksi Bersih Padi 2025'!A560="","",'1.1 Produksi Bersih Padi 2025'!A560)</f>
        <v/>
      </c>
      <c r="B558" s="32" t="str">
        <f>IF('1.1 Produksi Bersih Padi 2025'!B560="","",'1.1 Produksi Bersih Padi 2025'!B560)</f>
        <v/>
      </c>
      <c r="C558" s="32" t="str">
        <f>IF('1.1 Produksi Bersih Padi 2025'!C560="","",'1.1 Produksi Bersih Padi 2025'!C560)</f>
        <v/>
      </c>
      <c r="D558" s="3" t="str">
        <f>IF('1.1 Produksi Bersih Padi 2025'!D560="","",'1.1 Produksi Bersih Padi 2025'!D560)</f>
        <v/>
      </c>
      <c r="E558" s="3" t="str">
        <f>IF('1.1 Produksi Bersih Padi 2025'!E560="","",'1.1 Produksi Bersih Padi 2025'!E560)</f>
        <v/>
      </c>
      <c r="F558" s="13" t="str">
        <f>'1.1 Produksi Bersih Padi 2025'!Q560</f>
        <v/>
      </c>
      <c r="G558" s="13" t="str">
        <f>'1.2 Produksi Bersih Jagung 2025'!L560</f>
        <v/>
      </c>
      <c r="H558" s="13" t="str">
        <f>'1.3 Prod Bersih Ubi Kayu 2025'!K560</f>
        <v/>
      </c>
      <c r="I558" s="13" t="str">
        <f>'1.4 Prod Bersih Ubi Jalar 2025'!K560</f>
        <v/>
      </c>
      <c r="J558" s="13" t="str">
        <f>'1.5 Prod Bersih Sagu 2025'!K560</f>
        <v/>
      </c>
      <c r="K558" s="13" t="str">
        <f>'1.6 Prod Bersih Pisang 2025'!K560</f>
        <v/>
      </c>
      <c r="L558" s="15">
        <f t="shared" si="24"/>
        <v>0</v>
      </c>
      <c r="M558" s="14" t="str">
        <f>IF(D558="","",VLOOKUP(D558,'[1]0.1 Produksi Pangan &amp; Penduduk'!$D$5:$AU$704,44,0))</f>
        <v/>
      </c>
      <c r="N558" s="26" t="str">
        <f t="shared" si="25"/>
        <v/>
      </c>
      <c r="O558" s="16"/>
      <c r="P558" s="25" t="str">
        <f t="shared" si="26"/>
        <v/>
      </c>
      <c r="Q558" s="8"/>
      <c r="R558" s="11"/>
    </row>
    <row r="559" spans="1:18" ht="15" x14ac:dyDescent="0.25">
      <c r="A559" s="3" t="str">
        <f>IF('1.1 Produksi Bersih Padi 2025'!A561="","",'1.1 Produksi Bersih Padi 2025'!A561)</f>
        <v/>
      </c>
      <c r="B559" s="32" t="str">
        <f>IF('1.1 Produksi Bersih Padi 2025'!B561="","",'1.1 Produksi Bersih Padi 2025'!B561)</f>
        <v/>
      </c>
      <c r="C559" s="32" t="str">
        <f>IF('1.1 Produksi Bersih Padi 2025'!C561="","",'1.1 Produksi Bersih Padi 2025'!C561)</f>
        <v/>
      </c>
      <c r="D559" s="3" t="str">
        <f>IF('1.1 Produksi Bersih Padi 2025'!D561="","",'1.1 Produksi Bersih Padi 2025'!D561)</f>
        <v/>
      </c>
      <c r="E559" s="3" t="str">
        <f>IF('1.1 Produksi Bersih Padi 2025'!E561="","",'1.1 Produksi Bersih Padi 2025'!E561)</f>
        <v/>
      </c>
      <c r="F559" s="13" t="str">
        <f>'1.1 Produksi Bersih Padi 2025'!Q561</f>
        <v/>
      </c>
      <c r="G559" s="13" t="str">
        <f>'1.2 Produksi Bersih Jagung 2025'!L561</f>
        <v/>
      </c>
      <c r="H559" s="13" t="str">
        <f>'1.3 Prod Bersih Ubi Kayu 2025'!K561</f>
        <v/>
      </c>
      <c r="I559" s="13" t="str">
        <f>'1.4 Prod Bersih Ubi Jalar 2025'!K561</f>
        <v/>
      </c>
      <c r="J559" s="13" t="str">
        <f>'1.5 Prod Bersih Sagu 2025'!K561</f>
        <v/>
      </c>
      <c r="K559" s="13" t="str">
        <f>'1.6 Prod Bersih Pisang 2025'!K561</f>
        <v/>
      </c>
      <c r="L559" s="15">
        <f t="shared" si="24"/>
        <v>0</v>
      </c>
      <c r="M559" s="14" t="str">
        <f>IF(D559="","",VLOOKUP(D559,'[1]0.1 Produksi Pangan &amp; Penduduk'!$D$5:$AU$704,44,0))</f>
        <v/>
      </c>
      <c r="N559" s="26" t="str">
        <f t="shared" si="25"/>
        <v/>
      </c>
      <c r="O559" s="16"/>
      <c r="P559" s="25" t="str">
        <f t="shared" si="26"/>
        <v/>
      </c>
      <c r="Q559" s="8"/>
      <c r="R559" s="11"/>
    </row>
    <row r="560" spans="1:18" ht="15" x14ac:dyDescent="0.25">
      <c r="A560" s="3" t="str">
        <f>IF('1.1 Produksi Bersih Padi 2025'!A562="","",'1.1 Produksi Bersih Padi 2025'!A562)</f>
        <v/>
      </c>
      <c r="B560" s="32" t="str">
        <f>IF('1.1 Produksi Bersih Padi 2025'!B562="","",'1.1 Produksi Bersih Padi 2025'!B562)</f>
        <v/>
      </c>
      <c r="C560" s="32" t="str">
        <f>IF('1.1 Produksi Bersih Padi 2025'!C562="","",'1.1 Produksi Bersih Padi 2025'!C562)</f>
        <v/>
      </c>
      <c r="D560" s="3" t="str">
        <f>IF('1.1 Produksi Bersih Padi 2025'!D562="","",'1.1 Produksi Bersih Padi 2025'!D562)</f>
        <v/>
      </c>
      <c r="E560" s="3" t="str">
        <f>IF('1.1 Produksi Bersih Padi 2025'!E562="","",'1.1 Produksi Bersih Padi 2025'!E562)</f>
        <v/>
      </c>
      <c r="F560" s="13" t="str">
        <f>'1.1 Produksi Bersih Padi 2025'!Q562</f>
        <v/>
      </c>
      <c r="G560" s="13" t="str">
        <f>'1.2 Produksi Bersih Jagung 2025'!L562</f>
        <v/>
      </c>
      <c r="H560" s="13" t="str">
        <f>'1.3 Prod Bersih Ubi Kayu 2025'!K562</f>
        <v/>
      </c>
      <c r="I560" s="13" t="str">
        <f>'1.4 Prod Bersih Ubi Jalar 2025'!K562</f>
        <v/>
      </c>
      <c r="J560" s="13" t="str">
        <f>'1.5 Prod Bersih Sagu 2025'!K562</f>
        <v/>
      </c>
      <c r="K560" s="13" t="str">
        <f>'1.6 Prod Bersih Pisang 2025'!K562</f>
        <v/>
      </c>
      <c r="L560" s="15">
        <f t="shared" si="24"/>
        <v>0</v>
      </c>
      <c r="M560" s="14" t="str">
        <f>IF(D560="","",VLOOKUP(D560,'[1]0.1 Produksi Pangan &amp; Penduduk'!$D$5:$AU$704,44,0))</f>
        <v/>
      </c>
      <c r="N560" s="26" t="str">
        <f t="shared" si="25"/>
        <v/>
      </c>
      <c r="O560" s="16"/>
      <c r="P560" s="25" t="str">
        <f t="shared" si="26"/>
        <v/>
      </c>
      <c r="Q560" s="8"/>
      <c r="R560" s="11"/>
    </row>
    <row r="561" spans="1:18" ht="15" x14ac:dyDescent="0.25">
      <c r="A561" s="3" t="str">
        <f>IF('1.1 Produksi Bersih Padi 2025'!A563="","",'1.1 Produksi Bersih Padi 2025'!A563)</f>
        <v/>
      </c>
      <c r="B561" s="32" t="str">
        <f>IF('1.1 Produksi Bersih Padi 2025'!B563="","",'1.1 Produksi Bersih Padi 2025'!B563)</f>
        <v/>
      </c>
      <c r="C561" s="32" t="str">
        <f>IF('1.1 Produksi Bersih Padi 2025'!C563="","",'1.1 Produksi Bersih Padi 2025'!C563)</f>
        <v/>
      </c>
      <c r="D561" s="3" t="str">
        <f>IF('1.1 Produksi Bersih Padi 2025'!D563="","",'1.1 Produksi Bersih Padi 2025'!D563)</f>
        <v/>
      </c>
      <c r="E561" s="3" t="str">
        <f>IF('1.1 Produksi Bersih Padi 2025'!E563="","",'1.1 Produksi Bersih Padi 2025'!E563)</f>
        <v/>
      </c>
      <c r="F561" s="13" t="str">
        <f>'1.1 Produksi Bersih Padi 2025'!Q563</f>
        <v/>
      </c>
      <c r="G561" s="13" t="str">
        <f>'1.2 Produksi Bersih Jagung 2025'!L563</f>
        <v/>
      </c>
      <c r="H561" s="13" t="str">
        <f>'1.3 Prod Bersih Ubi Kayu 2025'!K563</f>
        <v/>
      </c>
      <c r="I561" s="13" t="str">
        <f>'1.4 Prod Bersih Ubi Jalar 2025'!K563</f>
        <v/>
      </c>
      <c r="J561" s="13" t="str">
        <f>'1.5 Prod Bersih Sagu 2025'!K563</f>
        <v/>
      </c>
      <c r="K561" s="13" t="str">
        <f>'1.6 Prod Bersih Pisang 2025'!K563</f>
        <v/>
      </c>
      <c r="L561" s="15">
        <f t="shared" si="24"/>
        <v>0</v>
      </c>
      <c r="M561" s="14" t="str">
        <f>IF(D561="","",VLOOKUP(D561,'[1]0.1 Produksi Pangan &amp; Penduduk'!$D$5:$AU$704,44,0))</f>
        <v/>
      </c>
      <c r="N561" s="26" t="str">
        <f t="shared" si="25"/>
        <v/>
      </c>
      <c r="O561" s="16"/>
      <c r="P561" s="25" t="str">
        <f t="shared" si="26"/>
        <v/>
      </c>
      <c r="Q561" s="8"/>
      <c r="R561" s="11"/>
    </row>
    <row r="562" spans="1:18" ht="15" x14ac:dyDescent="0.25">
      <c r="A562" s="3" t="str">
        <f>IF('1.1 Produksi Bersih Padi 2025'!A564="","",'1.1 Produksi Bersih Padi 2025'!A564)</f>
        <v/>
      </c>
      <c r="B562" s="32" t="str">
        <f>IF('1.1 Produksi Bersih Padi 2025'!B564="","",'1.1 Produksi Bersih Padi 2025'!B564)</f>
        <v/>
      </c>
      <c r="C562" s="32" t="str">
        <f>IF('1.1 Produksi Bersih Padi 2025'!C564="","",'1.1 Produksi Bersih Padi 2025'!C564)</f>
        <v/>
      </c>
      <c r="D562" s="3" t="str">
        <f>IF('1.1 Produksi Bersih Padi 2025'!D564="","",'1.1 Produksi Bersih Padi 2025'!D564)</f>
        <v/>
      </c>
      <c r="E562" s="3" t="str">
        <f>IF('1.1 Produksi Bersih Padi 2025'!E564="","",'1.1 Produksi Bersih Padi 2025'!E564)</f>
        <v/>
      </c>
      <c r="F562" s="13" t="str">
        <f>'1.1 Produksi Bersih Padi 2025'!Q564</f>
        <v/>
      </c>
      <c r="G562" s="13" t="str">
        <f>'1.2 Produksi Bersih Jagung 2025'!L564</f>
        <v/>
      </c>
      <c r="H562" s="13" t="str">
        <f>'1.3 Prod Bersih Ubi Kayu 2025'!K564</f>
        <v/>
      </c>
      <c r="I562" s="13" t="str">
        <f>'1.4 Prod Bersih Ubi Jalar 2025'!K564</f>
        <v/>
      </c>
      <c r="J562" s="13" t="str">
        <f>'1.5 Prod Bersih Sagu 2025'!K564</f>
        <v/>
      </c>
      <c r="K562" s="13" t="str">
        <f>'1.6 Prod Bersih Pisang 2025'!K564</f>
        <v/>
      </c>
      <c r="L562" s="15">
        <f t="shared" si="24"/>
        <v>0</v>
      </c>
      <c r="M562" s="14" t="str">
        <f>IF(D562="","",VLOOKUP(D562,'[1]0.1 Produksi Pangan &amp; Penduduk'!$D$5:$AU$704,44,0))</f>
        <v/>
      </c>
      <c r="N562" s="26" t="str">
        <f t="shared" si="25"/>
        <v/>
      </c>
      <c r="O562" s="16"/>
      <c r="P562" s="25" t="str">
        <f t="shared" si="26"/>
        <v/>
      </c>
      <c r="Q562" s="8"/>
      <c r="R562" s="11"/>
    </row>
    <row r="563" spans="1:18" ht="15" x14ac:dyDescent="0.25">
      <c r="A563" s="3" t="str">
        <f>IF('1.1 Produksi Bersih Padi 2025'!A565="","",'1.1 Produksi Bersih Padi 2025'!A565)</f>
        <v/>
      </c>
      <c r="B563" s="32" t="str">
        <f>IF('1.1 Produksi Bersih Padi 2025'!B565="","",'1.1 Produksi Bersih Padi 2025'!B565)</f>
        <v/>
      </c>
      <c r="C563" s="32" t="str">
        <f>IF('1.1 Produksi Bersih Padi 2025'!C565="","",'1.1 Produksi Bersih Padi 2025'!C565)</f>
        <v/>
      </c>
      <c r="D563" s="3" t="str">
        <f>IF('1.1 Produksi Bersih Padi 2025'!D565="","",'1.1 Produksi Bersih Padi 2025'!D565)</f>
        <v/>
      </c>
      <c r="E563" s="3" t="str">
        <f>IF('1.1 Produksi Bersih Padi 2025'!E565="","",'1.1 Produksi Bersih Padi 2025'!E565)</f>
        <v/>
      </c>
      <c r="F563" s="13" t="str">
        <f>'1.1 Produksi Bersih Padi 2025'!Q565</f>
        <v/>
      </c>
      <c r="G563" s="13" t="str">
        <f>'1.2 Produksi Bersih Jagung 2025'!L565</f>
        <v/>
      </c>
      <c r="H563" s="13" t="str">
        <f>'1.3 Prod Bersih Ubi Kayu 2025'!K565</f>
        <v/>
      </c>
      <c r="I563" s="13" t="str">
        <f>'1.4 Prod Bersih Ubi Jalar 2025'!K565</f>
        <v/>
      </c>
      <c r="J563" s="13" t="str">
        <f>'1.5 Prod Bersih Sagu 2025'!K565</f>
        <v/>
      </c>
      <c r="K563" s="13" t="str">
        <f>'1.6 Prod Bersih Pisang 2025'!K565</f>
        <v/>
      </c>
      <c r="L563" s="15">
        <f t="shared" si="24"/>
        <v>0</v>
      </c>
      <c r="M563" s="14" t="str">
        <f>IF(D563="","",VLOOKUP(D563,'[1]0.1 Produksi Pangan &amp; Penduduk'!$D$5:$AU$704,44,0))</f>
        <v/>
      </c>
      <c r="N563" s="26" t="str">
        <f t="shared" si="25"/>
        <v/>
      </c>
      <c r="O563" s="16"/>
      <c r="P563" s="25" t="str">
        <f t="shared" si="26"/>
        <v/>
      </c>
      <c r="Q563" s="8"/>
      <c r="R563" s="11"/>
    </row>
    <row r="564" spans="1:18" ht="15" x14ac:dyDescent="0.25">
      <c r="A564" s="3" t="str">
        <f>IF('1.1 Produksi Bersih Padi 2025'!A566="","",'1.1 Produksi Bersih Padi 2025'!A566)</f>
        <v/>
      </c>
      <c r="B564" s="32" t="str">
        <f>IF('1.1 Produksi Bersih Padi 2025'!B566="","",'1.1 Produksi Bersih Padi 2025'!B566)</f>
        <v/>
      </c>
      <c r="C564" s="32" t="str">
        <f>IF('1.1 Produksi Bersih Padi 2025'!C566="","",'1.1 Produksi Bersih Padi 2025'!C566)</f>
        <v/>
      </c>
      <c r="D564" s="3" t="str">
        <f>IF('1.1 Produksi Bersih Padi 2025'!D566="","",'1.1 Produksi Bersih Padi 2025'!D566)</f>
        <v/>
      </c>
      <c r="E564" s="3" t="str">
        <f>IF('1.1 Produksi Bersih Padi 2025'!E566="","",'1.1 Produksi Bersih Padi 2025'!E566)</f>
        <v/>
      </c>
      <c r="F564" s="13" t="str">
        <f>'1.1 Produksi Bersih Padi 2025'!Q566</f>
        <v/>
      </c>
      <c r="G564" s="13" t="str">
        <f>'1.2 Produksi Bersih Jagung 2025'!L566</f>
        <v/>
      </c>
      <c r="H564" s="13" t="str">
        <f>'1.3 Prod Bersih Ubi Kayu 2025'!K566</f>
        <v/>
      </c>
      <c r="I564" s="13" t="str">
        <f>'1.4 Prod Bersih Ubi Jalar 2025'!K566</f>
        <v/>
      </c>
      <c r="J564" s="13" t="str">
        <f>'1.5 Prod Bersih Sagu 2025'!K566</f>
        <v/>
      </c>
      <c r="K564" s="13" t="str">
        <f>'1.6 Prod Bersih Pisang 2025'!K566</f>
        <v/>
      </c>
      <c r="L564" s="15">
        <f t="shared" si="24"/>
        <v>0</v>
      </c>
      <c r="M564" s="14" t="str">
        <f>IF(D564="","",VLOOKUP(D564,'[1]0.1 Produksi Pangan &amp; Penduduk'!$D$5:$AU$704,44,0))</f>
        <v/>
      </c>
      <c r="N564" s="26" t="str">
        <f t="shared" si="25"/>
        <v/>
      </c>
      <c r="O564" s="16"/>
      <c r="P564" s="25" t="str">
        <f t="shared" si="26"/>
        <v/>
      </c>
      <c r="Q564" s="8"/>
      <c r="R564" s="11"/>
    </row>
    <row r="565" spans="1:18" ht="15" x14ac:dyDescent="0.25">
      <c r="A565" s="3" t="str">
        <f>IF('1.1 Produksi Bersih Padi 2025'!A567="","",'1.1 Produksi Bersih Padi 2025'!A567)</f>
        <v/>
      </c>
      <c r="B565" s="32" t="str">
        <f>IF('1.1 Produksi Bersih Padi 2025'!B567="","",'1.1 Produksi Bersih Padi 2025'!B567)</f>
        <v/>
      </c>
      <c r="C565" s="32" t="str">
        <f>IF('1.1 Produksi Bersih Padi 2025'!C567="","",'1.1 Produksi Bersih Padi 2025'!C567)</f>
        <v/>
      </c>
      <c r="D565" s="3" t="str">
        <f>IF('1.1 Produksi Bersih Padi 2025'!D567="","",'1.1 Produksi Bersih Padi 2025'!D567)</f>
        <v/>
      </c>
      <c r="E565" s="3" t="str">
        <f>IF('1.1 Produksi Bersih Padi 2025'!E567="","",'1.1 Produksi Bersih Padi 2025'!E567)</f>
        <v/>
      </c>
      <c r="F565" s="13" t="str">
        <f>'1.1 Produksi Bersih Padi 2025'!Q567</f>
        <v/>
      </c>
      <c r="G565" s="13" t="str">
        <f>'1.2 Produksi Bersih Jagung 2025'!L567</f>
        <v/>
      </c>
      <c r="H565" s="13" t="str">
        <f>'1.3 Prod Bersih Ubi Kayu 2025'!K567</f>
        <v/>
      </c>
      <c r="I565" s="13" t="str">
        <f>'1.4 Prod Bersih Ubi Jalar 2025'!K567</f>
        <v/>
      </c>
      <c r="J565" s="13" t="str">
        <f>'1.5 Prod Bersih Sagu 2025'!K567</f>
        <v/>
      </c>
      <c r="K565" s="13" t="str">
        <f>'1.6 Prod Bersih Pisang 2025'!K567</f>
        <v/>
      </c>
      <c r="L565" s="15">
        <f t="shared" si="24"/>
        <v>0</v>
      </c>
      <c r="M565" s="14" t="str">
        <f>IF(D565="","",VLOOKUP(D565,'[1]0.1 Produksi Pangan &amp; Penduduk'!$D$5:$AU$704,44,0))</f>
        <v/>
      </c>
      <c r="N565" s="26" t="str">
        <f t="shared" si="25"/>
        <v/>
      </c>
      <c r="O565" s="16"/>
      <c r="P565" s="25" t="str">
        <f t="shared" si="26"/>
        <v/>
      </c>
      <c r="Q565" s="8"/>
      <c r="R565" s="11"/>
    </row>
    <row r="566" spans="1:18" ht="15" x14ac:dyDescent="0.25">
      <c r="A566" s="3" t="str">
        <f>IF('1.1 Produksi Bersih Padi 2025'!A568="","",'1.1 Produksi Bersih Padi 2025'!A568)</f>
        <v/>
      </c>
      <c r="B566" s="32" t="str">
        <f>IF('1.1 Produksi Bersih Padi 2025'!B568="","",'1.1 Produksi Bersih Padi 2025'!B568)</f>
        <v/>
      </c>
      <c r="C566" s="32" t="str">
        <f>IF('1.1 Produksi Bersih Padi 2025'!C568="","",'1.1 Produksi Bersih Padi 2025'!C568)</f>
        <v/>
      </c>
      <c r="D566" s="3" t="str">
        <f>IF('1.1 Produksi Bersih Padi 2025'!D568="","",'1.1 Produksi Bersih Padi 2025'!D568)</f>
        <v/>
      </c>
      <c r="E566" s="3" t="str">
        <f>IF('1.1 Produksi Bersih Padi 2025'!E568="","",'1.1 Produksi Bersih Padi 2025'!E568)</f>
        <v/>
      </c>
      <c r="F566" s="13" t="str">
        <f>'1.1 Produksi Bersih Padi 2025'!Q568</f>
        <v/>
      </c>
      <c r="G566" s="13" t="str">
        <f>'1.2 Produksi Bersih Jagung 2025'!L568</f>
        <v/>
      </c>
      <c r="H566" s="13" t="str">
        <f>'1.3 Prod Bersih Ubi Kayu 2025'!K568</f>
        <v/>
      </c>
      <c r="I566" s="13" t="str">
        <f>'1.4 Prod Bersih Ubi Jalar 2025'!K568</f>
        <v/>
      </c>
      <c r="J566" s="13" t="str">
        <f>'1.5 Prod Bersih Sagu 2025'!K568</f>
        <v/>
      </c>
      <c r="K566" s="13" t="str">
        <f>'1.6 Prod Bersih Pisang 2025'!K568</f>
        <v/>
      </c>
      <c r="L566" s="15">
        <f t="shared" si="24"/>
        <v>0</v>
      </c>
      <c r="M566" s="14" t="str">
        <f>IF(D566="","",VLOOKUP(D566,'[1]0.1 Produksi Pangan &amp; Penduduk'!$D$5:$AU$704,44,0))</f>
        <v/>
      </c>
      <c r="N566" s="26" t="str">
        <f t="shared" si="25"/>
        <v/>
      </c>
      <c r="O566" s="16"/>
      <c r="P566" s="25" t="str">
        <f t="shared" si="26"/>
        <v/>
      </c>
      <c r="Q566" s="8"/>
      <c r="R566" s="11"/>
    </row>
    <row r="567" spans="1:18" ht="15" x14ac:dyDescent="0.25">
      <c r="A567" s="3" t="str">
        <f>IF('1.1 Produksi Bersih Padi 2025'!A569="","",'1.1 Produksi Bersih Padi 2025'!A569)</f>
        <v/>
      </c>
      <c r="B567" s="32" t="str">
        <f>IF('1.1 Produksi Bersih Padi 2025'!B569="","",'1.1 Produksi Bersih Padi 2025'!B569)</f>
        <v/>
      </c>
      <c r="C567" s="32" t="str">
        <f>IF('1.1 Produksi Bersih Padi 2025'!C569="","",'1.1 Produksi Bersih Padi 2025'!C569)</f>
        <v/>
      </c>
      <c r="D567" s="3" t="str">
        <f>IF('1.1 Produksi Bersih Padi 2025'!D569="","",'1.1 Produksi Bersih Padi 2025'!D569)</f>
        <v/>
      </c>
      <c r="E567" s="3" t="str">
        <f>IF('1.1 Produksi Bersih Padi 2025'!E569="","",'1.1 Produksi Bersih Padi 2025'!E569)</f>
        <v/>
      </c>
      <c r="F567" s="13" t="str">
        <f>'1.1 Produksi Bersih Padi 2025'!Q569</f>
        <v/>
      </c>
      <c r="G567" s="13" t="str">
        <f>'1.2 Produksi Bersih Jagung 2025'!L569</f>
        <v/>
      </c>
      <c r="H567" s="13" t="str">
        <f>'1.3 Prod Bersih Ubi Kayu 2025'!K569</f>
        <v/>
      </c>
      <c r="I567" s="13" t="str">
        <f>'1.4 Prod Bersih Ubi Jalar 2025'!K569</f>
        <v/>
      </c>
      <c r="J567" s="13" t="str">
        <f>'1.5 Prod Bersih Sagu 2025'!K569</f>
        <v/>
      </c>
      <c r="K567" s="13" t="str">
        <f>'1.6 Prod Bersih Pisang 2025'!K569</f>
        <v/>
      </c>
      <c r="L567" s="15">
        <f t="shared" si="24"/>
        <v>0</v>
      </c>
      <c r="M567" s="14" t="str">
        <f>IF(D567="","",VLOOKUP(D567,'[1]0.1 Produksi Pangan &amp; Penduduk'!$D$5:$AU$704,44,0))</f>
        <v/>
      </c>
      <c r="N567" s="26" t="str">
        <f t="shared" si="25"/>
        <v/>
      </c>
      <c r="O567" s="16"/>
      <c r="P567" s="25" t="str">
        <f t="shared" si="26"/>
        <v/>
      </c>
      <c r="Q567" s="8"/>
      <c r="R567" s="11"/>
    </row>
    <row r="568" spans="1:18" ht="15" x14ac:dyDescent="0.25">
      <c r="A568" s="3" t="str">
        <f>IF('1.1 Produksi Bersih Padi 2025'!A570="","",'1.1 Produksi Bersih Padi 2025'!A570)</f>
        <v/>
      </c>
      <c r="B568" s="32" t="str">
        <f>IF('1.1 Produksi Bersih Padi 2025'!B570="","",'1.1 Produksi Bersih Padi 2025'!B570)</f>
        <v/>
      </c>
      <c r="C568" s="32" t="str">
        <f>IF('1.1 Produksi Bersih Padi 2025'!C570="","",'1.1 Produksi Bersih Padi 2025'!C570)</f>
        <v/>
      </c>
      <c r="D568" s="3" t="str">
        <f>IF('1.1 Produksi Bersih Padi 2025'!D570="","",'1.1 Produksi Bersih Padi 2025'!D570)</f>
        <v/>
      </c>
      <c r="E568" s="3" t="str">
        <f>IF('1.1 Produksi Bersih Padi 2025'!E570="","",'1.1 Produksi Bersih Padi 2025'!E570)</f>
        <v/>
      </c>
      <c r="F568" s="13" t="str">
        <f>'1.1 Produksi Bersih Padi 2025'!Q570</f>
        <v/>
      </c>
      <c r="G568" s="13" t="str">
        <f>'1.2 Produksi Bersih Jagung 2025'!L570</f>
        <v/>
      </c>
      <c r="H568" s="13" t="str">
        <f>'1.3 Prod Bersih Ubi Kayu 2025'!K570</f>
        <v/>
      </c>
      <c r="I568" s="13" t="str">
        <f>'1.4 Prod Bersih Ubi Jalar 2025'!K570</f>
        <v/>
      </c>
      <c r="J568" s="13" t="str">
        <f>'1.5 Prod Bersih Sagu 2025'!K570</f>
        <v/>
      </c>
      <c r="K568" s="13" t="str">
        <f>'1.6 Prod Bersih Pisang 2025'!K570</f>
        <v/>
      </c>
      <c r="L568" s="15">
        <f t="shared" si="24"/>
        <v>0</v>
      </c>
      <c r="M568" s="14" t="str">
        <f>IF(D568="","",VLOOKUP(D568,'[1]0.1 Produksi Pangan &amp; Penduduk'!$D$5:$AU$704,44,0))</f>
        <v/>
      </c>
      <c r="N568" s="26" t="str">
        <f t="shared" si="25"/>
        <v/>
      </c>
      <c r="O568" s="16"/>
      <c r="P568" s="25" t="str">
        <f t="shared" si="26"/>
        <v/>
      </c>
      <c r="Q568" s="8"/>
      <c r="R568" s="11"/>
    </row>
    <row r="569" spans="1:18" ht="15" x14ac:dyDescent="0.25">
      <c r="A569" s="3" t="str">
        <f>IF('1.1 Produksi Bersih Padi 2025'!A571="","",'1.1 Produksi Bersih Padi 2025'!A571)</f>
        <v/>
      </c>
      <c r="B569" s="32" t="str">
        <f>IF('1.1 Produksi Bersih Padi 2025'!B571="","",'1.1 Produksi Bersih Padi 2025'!B571)</f>
        <v/>
      </c>
      <c r="C569" s="32" t="str">
        <f>IF('1.1 Produksi Bersih Padi 2025'!C571="","",'1.1 Produksi Bersih Padi 2025'!C571)</f>
        <v/>
      </c>
      <c r="D569" s="3" t="str">
        <f>IF('1.1 Produksi Bersih Padi 2025'!D571="","",'1.1 Produksi Bersih Padi 2025'!D571)</f>
        <v/>
      </c>
      <c r="E569" s="3" t="str">
        <f>IF('1.1 Produksi Bersih Padi 2025'!E571="","",'1.1 Produksi Bersih Padi 2025'!E571)</f>
        <v/>
      </c>
      <c r="F569" s="13" t="str">
        <f>'1.1 Produksi Bersih Padi 2025'!Q571</f>
        <v/>
      </c>
      <c r="G569" s="13" t="str">
        <f>'1.2 Produksi Bersih Jagung 2025'!L571</f>
        <v/>
      </c>
      <c r="H569" s="13" t="str">
        <f>'1.3 Prod Bersih Ubi Kayu 2025'!K571</f>
        <v/>
      </c>
      <c r="I569" s="13" t="str">
        <f>'1.4 Prod Bersih Ubi Jalar 2025'!K571</f>
        <v/>
      </c>
      <c r="J569" s="13" t="str">
        <f>'1.5 Prod Bersih Sagu 2025'!K571</f>
        <v/>
      </c>
      <c r="K569" s="13" t="str">
        <f>'1.6 Prod Bersih Pisang 2025'!K571</f>
        <v/>
      </c>
      <c r="L569" s="15">
        <f t="shared" si="24"/>
        <v>0</v>
      </c>
      <c r="M569" s="14" t="str">
        <f>IF(D569="","",VLOOKUP(D569,'[1]0.1 Produksi Pangan &amp; Penduduk'!$D$5:$AU$704,44,0))</f>
        <v/>
      </c>
      <c r="N569" s="26" t="str">
        <f t="shared" si="25"/>
        <v/>
      </c>
      <c r="O569" s="16"/>
      <c r="P569" s="25" t="str">
        <f t="shared" si="26"/>
        <v/>
      </c>
      <c r="Q569" s="8"/>
      <c r="R569" s="11"/>
    </row>
    <row r="570" spans="1:18" ht="15" x14ac:dyDescent="0.25">
      <c r="A570" s="3" t="str">
        <f>IF('1.1 Produksi Bersih Padi 2025'!A572="","",'1.1 Produksi Bersih Padi 2025'!A572)</f>
        <v/>
      </c>
      <c r="B570" s="32" t="str">
        <f>IF('1.1 Produksi Bersih Padi 2025'!B572="","",'1.1 Produksi Bersih Padi 2025'!B572)</f>
        <v/>
      </c>
      <c r="C570" s="32" t="str">
        <f>IF('1.1 Produksi Bersih Padi 2025'!C572="","",'1.1 Produksi Bersih Padi 2025'!C572)</f>
        <v/>
      </c>
      <c r="D570" s="3" t="str">
        <f>IF('1.1 Produksi Bersih Padi 2025'!D572="","",'1.1 Produksi Bersih Padi 2025'!D572)</f>
        <v/>
      </c>
      <c r="E570" s="3" t="str">
        <f>IF('1.1 Produksi Bersih Padi 2025'!E572="","",'1.1 Produksi Bersih Padi 2025'!E572)</f>
        <v/>
      </c>
      <c r="F570" s="13" t="str">
        <f>'1.1 Produksi Bersih Padi 2025'!Q572</f>
        <v/>
      </c>
      <c r="G570" s="13" t="str">
        <f>'1.2 Produksi Bersih Jagung 2025'!L572</f>
        <v/>
      </c>
      <c r="H570" s="13" t="str">
        <f>'1.3 Prod Bersih Ubi Kayu 2025'!K572</f>
        <v/>
      </c>
      <c r="I570" s="13" t="str">
        <f>'1.4 Prod Bersih Ubi Jalar 2025'!K572</f>
        <v/>
      </c>
      <c r="J570" s="13" t="str">
        <f>'1.5 Prod Bersih Sagu 2025'!K572</f>
        <v/>
      </c>
      <c r="K570" s="13" t="str">
        <f>'1.6 Prod Bersih Pisang 2025'!K572</f>
        <v/>
      </c>
      <c r="L570" s="15">
        <f t="shared" si="24"/>
        <v>0</v>
      </c>
      <c r="M570" s="14" t="str">
        <f>IF(D570="","",VLOOKUP(D570,'[1]0.1 Produksi Pangan &amp; Penduduk'!$D$5:$AU$704,44,0))</f>
        <v/>
      </c>
      <c r="N570" s="26" t="str">
        <f t="shared" si="25"/>
        <v/>
      </c>
      <c r="O570" s="16"/>
      <c r="P570" s="25" t="str">
        <f t="shared" si="26"/>
        <v/>
      </c>
      <c r="Q570" s="8"/>
      <c r="R570" s="11"/>
    </row>
    <row r="571" spans="1:18" ht="15" x14ac:dyDescent="0.25">
      <c r="A571" s="3" t="str">
        <f>IF('1.1 Produksi Bersih Padi 2025'!A573="","",'1.1 Produksi Bersih Padi 2025'!A573)</f>
        <v/>
      </c>
      <c r="B571" s="32" t="str">
        <f>IF('1.1 Produksi Bersih Padi 2025'!B573="","",'1.1 Produksi Bersih Padi 2025'!B573)</f>
        <v/>
      </c>
      <c r="C571" s="32" t="str">
        <f>IF('1.1 Produksi Bersih Padi 2025'!C573="","",'1.1 Produksi Bersih Padi 2025'!C573)</f>
        <v/>
      </c>
      <c r="D571" s="3" t="str">
        <f>IF('1.1 Produksi Bersih Padi 2025'!D573="","",'1.1 Produksi Bersih Padi 2025'!D573)</f>
        <v/>
      </c>
      <c r="E571" s="3" t="str">
        <f>IF('1.1 Produksi Bersih Padi 2025'!E573="","",'1.1 Produksi Bersih Padi 2025'!E573)</f>
        <v/>
      </c>
      <c r="F571" s="13" t="str">
        <f>'1.1 Produksi Bersih Padi 2025'!Q573</f>
        <v/>
      </c>
      <c r="G571" s="13" t="str">
        <f>'1.2 Produksi Bersih Jagung 2025'!L573</f>
        <v/>
      </c>
      <c r="H571" s="13" t="str">
        <f>'1.3 Prod Bersih Ubi Kayu 2025'!K573</f>
        <v/>
      </c>
      <c r="I571" s="13" t="str">
        <f>'1.4 Prod Bersih Ubi Jalar 2025'!K573</f>
        <v/>
      </c>
      <c r="J571" s="13" t="str">
        <f>'1.5 Prod Bersih Sagu 2025'!K573</f>
        <v/>
      </c>
      <c r="K571" s="13" t="str">
        <f>'1.6 Prod Bersih Pisang 2025'!K573</f>
        <v/>
      </c>
      <c r="L571" s="15">
        <f t="shared" si="24"/>
        <v>0</v>
      </c>
      <c r="M571" s="14" t="str">
        <f>IF(D571="","",VLOOKUP(D571,'[1]0.1 Produksi Pangan &amp; Penduduk'!$D$5:$AU$704,44,0))</f>
        <v/>
      </c>
      <c r="N571" s="26" t="str">
        <f t="shared" si="25"/>
        <v/>
      </c>
      <c r="O571" s="16"/>
      <c r="P571" s="25" t="str">
        <f t="shared" si="26"/>
        <v/>
      </c>
      <c r="Q571" s="8"/>
      <c r="R571" s="11"/>
    </row>
    <row r="572" spans="1:18" ht="15" x14ac:dyDescent="0.25">
      <c r="A572" s="3" t="str">
        <f>IF('1.1 Produksi Bersih Padi 2025'!A574="","",'1.1 Produksi Bersih Padi 2025'!A574)</f>
        <v/>
      </c>
      <c r="B572" s="32" t="str">
        <f>IF('1.1 Produksi Bersih Padi 2025'!B574="","",'1.1 Produksi Bersih Padi 2025'!B574)</f>
        <v/>
      </c>
      <c r="C572" s="32" t="str">
        <f>IF('1.1 Produksi Bersih Padi 2025'!C574="","",'1.1 Produksi Bersih Padi 2025'!C574)</f>
        <v/>
      </c>
      <c r="D572" s="3" t="str">
        <f>IF('1.1 Produksi Bersih Padi 2025'!D574="","",'1.1 Produksi Bersih Padi 2025'!D574)</f>
        <v/>
      </c>
      <c r="E572" s="3" t="str">
        <f>IF('1.1 Produksi Bersih Padi 2025'!E574="","",'1.1 Produksi Bersih Padi 2025'!E574)</f>
        <v/>
      </c>
      <c r="F572" s="13" t="str">
        <f>'1.1 Produksi Bersih Padi 2025'!Q574</f>
        <v/>
      </c>
      <c r="G572" s="13" t="str">
        <f>'1.2 Produksi Bersih Jagung 2025'!L574</f>
        <v/>
      </c>
      <c r="H572" s="13" t="str">
        <f>'1.3 Prod Bersih Ubi Kayu 2025'!K574</f>
        <v/>
      </c>
      <c r="I572" s="13" t="str">
        <f>'1.4 Prod Bersih Ubi Jalar 2025'!K574</f>
        <v/>
      </c>
      <c r="J572" s="13" t="str">
        <f>'1.5 Prod Bersih Sagu 2025'!K574</f>
        <v/>
      </c>
      <c r="K572" s="13" t="str">
        <f>'1.6 Prod Bersih Pisang 2025'!K574</f>
        <v/>
      </c>
      <c r="L572" s="15">
        <f t="shared" si="24"/>
        <v>0</v>
      </c>
      <c r="M572" s="14" t="str">
        <f>IF(D572="","",VLOOKUP(D572,'[1]0.1 Produksi Pangan &amp; Penduduk'!$D$5:$AU$704,44,0))</f>
        <v/>
      </c>
      <c r="N572" s="26" t="str">
        <f t="shared" si="25"/>
        <v/>
      </c>
      <c r="O572" s="16"/>
      <c r="P572" s="25" t="str">
        <f t="shared" si="26"/>
        <v/>
      </c>
      <c r="Q572" s="8"/>
      <c r="R572" s="11"/>
    </row>
    <row r="573" spans="1:18" ht="15" x14ac:dyDescent="0.25">
      <c r="A573" s="3" t="str">
        <f>IF('1.1 Produksi Bersih Padi 2025'!A575="","",'1.1 Produksi Bersih Padi 2025'!A575)</f>
        <v/>
      </c>
      <c r="B573" s="32" t="str">
        <f>IF('1.1 Produksi Bersih Padi 2025'!B575="","",'1.1 Produksi Bersih Padi 2025'!B575)</f>
        <v/>
      </c>
      <c r="C573" s="32" t="str">
        <f>IF('1.1 Produksi Bersih Padi 2025'!C575="","",'1.1 Produksi Bersih Padi 2025'!C575)</f>
        <v/>
      </c>
      <c r="D573" s="3" t="str">
        <f>IF('1.1 Produksi Bersih Padi 2025'!D575="","",'1.1 Produksi Bersih Padi 2025'!D575)</f>
        <v/>
      </c>
      <c r="E573" s="3" t="str">
        <f>IF('1.1 Produksi Bersih Padi 2025'!E575="","",'1.1 Produksi Bersih Padi 2025'!E575)</f>
        <v/>
      </c>
      <c r="F573" s="13" t="str">
        <f>'1.1 Produksi Bersih Padi 2025'!Q575</f>
        <v/>
      </c>
      <c r="G573" s="13" t="str">
        <f>'1.2 Produksi Bersih Jagung 2025'!L575</f>
        <v/>
      </c>
      <c r="H573" s="13" t="str">
        <f>'1.3 Prod Bersih Ubi Kayu 2025'!K575</f>
        <v/>
      </c>
      <c r="I573" s="13" t="str">
        <f>'1.4 Prod Bersih Ubi Jalar 2025'!K575</f>
        <v/>
      </c>
      <c r="J573" s="13" t="str">
        <f>'1.5 Prod Bersih Sagu 2025'!K575</f>
        <v/>
      </c>
      <c r="K573" s="13" t="str">
        <f>'1.6 Prod Bersih Pisang 2025'!K575</f>
        <v/>
      </c>
      <c r="L573" s="15">
        <f t="shared" si="24"/>
        <v>0</v>
      </c>
      <c r="M573" s="14" t="str">
        <f>IF(D573="","",VLOOKUP(D573,'[1]0.1 Produksi Pangan &amp; Penduduk'!$D$5:$AU$704,44,0))</f>
        <v/>
      </c>
      <c r="N573" s="26" t="str">
        <f t="shared" si="25"/>
        <v/>
      </c>
      <c r="O573" s="16"/>
      <c r="P573" s="25" t="str">
        <f t="shared" si="26"/>
        <v/>
      </c>
      <c r="Q573" s="8"/>
      <c r="R573" s="11"/>
    </row>
    <row r="574" spans="1:18" ht="15" x14ac:dyDescent="0.25">
      <c r="A574" s="3" t="str">
        <f>IF('1.1 Produksi Bersih Padi 2025'!A576="","",'1.1 Produksi Bersih Padi 2025'!A576)</f>
        <v/>
      </c>
      <c r="B574" s="32" t="str">
        <f>IF('1.1 Produksi Bersih Padi 2025'!B576="","",'1.1 Produksi Bersih Padi 2025'!B576)</f>
        <v/>
      </c>
      <c r="C574" s="32" t="str">
        <f>IF('1.1 Produksi Bersih Padi 2025'!C576="","",'1.1 Produksi Bersih Padi 2025'!C576)</f>
        <v/>
      </c>
      <c r="D574" s="3" t="str">
        <f>IF('1.1 Produksi Bersih Padi 2025'!D576="","",'1.1 Produksi Bersih Padi 2025'!D576)</f>
        <v/>
      </c>
      <c r="E574" s="3" t="str">
        <f>IF('1.1 Produksi Bersih Padi 2025'!E576="","",'1.1 Produksi Bersih Padi 2025'!E576)</f>
        <v/>
      </c>
      <c r="F574" s="13" t="str">
        <f>'1.1 Produksi Bersih Padi 2025'!Q576</f>
        <v/>
      </c>
      <c r="G574" s="13" t="str">
        <f>'1.2 Produksi Bersih Jagung 2025'!L576</f>
        <v/>
      </c>
      <c r="H574" s="13" t="str">
        <f>'1.3 Prod Bersih Ubi Kayu 2025'!K576</f>
        <v/>
      </c>
      <c r="I574" s="13" t="str">
        <f>'1.4 Prod Bersih Ubi Jalar 2025'!K576</f>
        <v/>
      </c>
      <c r="J574" s="13" t="str">
        <f>'1.5 Prod Bersih Sagu 2025'!K576</f>
        <v/>
      </c>
      <c r="K574" s="13" t="str">
        <f>'1.6 Prod Bersih Pisang 2025'!K576</f>
        <v/>
      </c>
      <c r="L574" s="15">
        <f t="shared" si="24"/>
        <v>0</v>
      </c>
      <c r="M574" s="14" t="str">
        <f>IF(D574="","",VLOOKUP(D574,'[1]0.1 Produksi Pangan &amp; Penduduk'!$D$5:$AU$704,44,0))</f>
        <v/>
      </c>
      <c r="N574" s="26" t="str">
        <f t="shared" si="25"/>
        <v/>
      </c>
      <c r="O574" s="16"/>
      <c r="P574" s="25" t="str">
        <f t="shared" si="26"/>
        <v/>
      </c>
      <c r="Q574" s="8"/>
      <c r="R574" s="11"/>
    </row>
    <row r="575" spans="1:18" ht="15" x14ac:dyDescent="0.25">
      <c r="A575" s="3" t="str">
        <f>IF('1.1 Produksi Bersih Padi 2025'!A577="","",'1.1 Produksi Bersih Padi 2025'!A577)</f>
        <v/>
      </c>
      <c r="B575" s="32" t="str">
        <f>IF('1.1 Produksi Bersih Padi 2025'!B577="","",'1.1 Produksi Bersih Padi 2025'!B577)</f>
        <v/>
      </c>
      <c r="C575" s="32" t="str">
        <f>IF('1.1 Produksi Bersih Padi 2025'!C577="","",'1.1 Produksi Bersih Padi 2025'!C577)</f>
        <v/>
      </c>
      <c r="D575" s="3" t="str">
        <f>IF('1.1 Produksi Bersih Padi 2025'!D577="","",'1.1 Produksi Bersih Padi 2025'!D577)</f>
        <v/>
      </c>
      <c r="E575" s="3" t="str">
        <f>IF('1.1 Produksi Bersih Padi 2025'!E577="","",'1.1 Produksi Bersih Padi 2025'!E577)</f>
        <v/>
      </c>
      <c r="F575" s="13" t="str">
        <f>'1.1 Produksi Bersih Padi 2025'!Q577</f>
        <v/>
      </c>
      <c r="G575" s="13" t="str">
        <f>'1.2 Produksi Bersih Jagung 2025'!L577</f>
        <v/>
      </c>
      <c r="H575" s="13" t="str">
        <f>'1.3 Prod Bersih Ubi Kayu 2025'!K577</f>
        <v/>
      </c>
      <c r="I575" s="13" t="str">
        <f>'1.4 Prod Bersih Ubi Jalar 2025'!K577</f>
        <v/>
      </c>
      <c r="J575" s="13" t="str">
        <f>'1.5 Prod Bersih Sagu 2025'!K577</f>
        <v/>
      </c>
      <c r="K575" s="13" t="str">
        <f>'1.6 Prod Bersih Pisang 2025'!K577</f>
        <v/>
      </c>
      <c r="L575" s="15">
        <f t="shared" si="24"/>
        <v>0</v>
      </c>
      <c r="M575" s="14" t="str">
        <f>IF(D575="","",VLOOKUP(D575,'[1]0.1 Produksi Pangan &amp; Penduduk'!$D$5:$AU$704,44,0))</f>
        <v/>
      </c>
      <c r="N575" s="26" t="str">
        <f t="shared" si="25"/>
        <v/>
      </c>
      <c r="O575" s="16"/>
      <c r="P575" s="25" t="str">
        <f t="shared" si="26"/>
        <v/>
      </c>
      <c r="Q575" s="8"/>
      <c r="R575" s="11"/>
    </row>
    <row r="576" spans="1:18" ht="15" x14ac:dyDescent="0.25">
      <c r="A576" s="3" t="str">
        <f>IF('1.1 Produksi Bersih Padi 2025'!A578="","",'1.1 Produksi Bersih Padi 2025'!A578)</f>
        <v/>
      </c>
      <c r="B576" s="32" t="str">
        <f>IF('1.1 Produksi Bersih Padi 2025'!B578="","",'1.1 Produksi Bersih Padi 2025'!B578)</f>
        <v/>
      </c>
      <c r="C576" s="32" t="str">
        <f>IF('1.1 Produksi Bersih Padi 2025'!C578="","",'1.1 Produksi Bersih Padi 2025'!C578)</f>
        <v/>
      </c>
      <c r="D576" s="3" t="str">
        <f>IF('1.1 Produksi Bersih Padi 2025'!D578="","",'1.1 Produksi Bersih Padi 2025'!D578)</f>
        <v/>
      </c>
      <c r="E576" s="3" t="str">
        <f>IF('1.1 Produksi Bersih Padi 2025'!E578="","",'1.1 Produksi Bersih Padi 2025'!E578)</f>
        <v/>
      </c>
      <c r="F576" s="13" t="str">
        <f>'1.1 Produksi Bersih Padi 2025'!Q578</f>
        <v/>
      </c>
      <c r="G576" s="13" t="str">
        <f>'1.2 Produksi Bersih Jagung 2025'!L578</f>
        <v/>
      </c>
      <c r="H576" s="13" t="str">
        <f>'1.3 Prod Bersih Ubi Kayu 2025'!K578</f>
        <v/>
      </c>
      <c r="I576" s="13" t="str">
        <f>'1.4 Prod Bersih Ubi Jalar 2025'!K578</f>
        <v/>
      </c>
      <c r="J576" s="13" t="str">
        <f>'1.5 Prod Bersih Sagu 2025'!K578</f>
        <v/>
      </c>
      <c r="K576" s="13" t="str">
        <f>'1.6 Prod Bersih Pisang 2025'!K578</f>
        <v/>
      </c>
      <c r="L576" s="15">
        <f t="shared" si="24"/>
        <v>0</v>
      </c>
      <c r="M576" s="14" t="str">
        <f>IF(D576="","",VLOOKUP(D576,'[1]0.1 Produksi Pangan &amp; Penduduk'!$D$5:$AU$704,44,0))</f>
        <v/>
      </c>
      <c r="N576" s="26" t="str">
        <f t="shared" si="25"/>
        <v/>
      </c>
      <c r="O576" s="16"/>
      <c r="P576" s="25" t="str">
        <f t="shared" si="26"/>
        <v/>
      </c>
      <c r="Q576" s="8"/>
      <c r="R576" s="11"/>
    </row>
    <row r="577" spans="1:18" ht="15" x14ac:dyDescent="0.25">
      <c r="A577" s="3" t="str">
        <f>IF('1.1 Produksi Bersih Padi 2025'!A579="","",'1.1 Produksi Bersih Padi 2025'!A579)</f>
        <v/>
      </c>
      <c r="B577" s="32" t="str">
        <f>IF('1.1 Produksi Bersih Padi 2025'!B579="","",'1.1 Produksi Bersih Padi 2025'!B579)</f>
        <v/>
      </c>
      <c r="C577" s="32" t="str">
        <f>IF('1.1 Produksi Bersih Padi 2025'!C579="","",'1.1 Produksi Bersih Padi 2025'!C579)</f>
        <v/>
      </c>
      <c r="D577" s="3" t="str">
        <f>IF('1.1 Produksi Bersih Padi 2025'!D579="","",'1.1 Produksi Bersih Padi 2025'!D579)</f>
        <v/>
      </c>
      <c r="E577" s="3" t="str">
        <f>IF('1.1 Produksi Bersih Padi 2025'!E579="","",'1.1 Produksi Bersih Padi 2025'!E579)</f>
        <v/>
      </c>
      <c r="F577" s="13" t="str">
        <f>'1.1 Produksi Bersih Padi 2025'!Q579</f>
        <v/>
      </c>
      <c r="G577" s="13" t="str">
        <f>'1.2 Produksi Bersih Jagung 2025'!L579</f>
        <v/>
      </c>
      <c r="H577" s="13" t="str">
        <f>'1.3 Prod Bersih Ubi Kayu 2025'!K579</f>
        <v/>
      </c>
      <c r="I577" s="13" t="str">
        <f>'1.4 Prod Bersih Ubi Jalar 2025'!K579</f>
        <v/>
      </c>
      <c r="J577" s="13" t="str">
        <f>'1.5 Prod Bersih Sagu 2025'!K579</f>
        <v/>
      </c>
      <c r="K577" s="13" t="str">
        <f>'1.6 Prod Bersih Pisang 2025'!K579</f>
        <v/>
      </c>
      <c r="L577" s="15">
        <f t="shared" si="24"/>
        <v>0</v>
      </c>
      <c r="M577" s="14" t="str">
        <f>IF(D577="","",VLOOKUP(D577,'[1]0.1 Produksi Pangan &amp; Penduduk'!$D$5:$AU$704,44,0))</f>
        <v/>
      </c>
      <c r="N577" s="26" t="str">
        <f t="shared" si="25"/>
        <v/>
      </c>
      <c r="O577" s="16"/>
      <c r="P577" s="25" t="str">
        <f t="shared" si="26"/>
        <v/>
      </c>
      <c r="Q577" s="8"/>
      <c r="R577" s="11"/>
    </row>
    <row r="578" spans="1:18" ht="15" x14ac:dyDescent="0.25">
      <c r="A578" s="3" t="str">
        <f>IF('1.1 Produksi Bersih Padi 2025'!A580="","",'1.1 Produksi Bersih Padi 2025'!A580)</f>
        <v/>
      </c>
      <c r="B578" s="32" t="str">
        <f>IF('1.1 Produksi Bersih Padi 2025'!B580="","",'1.1 Produksi Bersih Padi 2025'!B580)</f>
        <v/>
      </c>
      <c r="C578" s="32" t="str">
        <f>IF('1.1 Produksi Bersih Padi 2025'!C580="","",'1.1 Produksi Bersih Padi 2025'!C580)</f>
        <v/>
      </c>
      <c r="D578" s="3" t="str">
        <f>IF('1.1 Produksi Bersih Padi 2025'!D580="","",'1.1 Produksi Bersih Padi 2025'!D580)</f>
        <v/>
      </c>
      <c r="E578" s="3" t="str">
        <f>IF('1.1 Produksi Bersih Padi 2025'!E580="","",'1.1 Produksi Bersih Padi 2025'!E580)</f>
        <v/>
      </c>
      <c r="F578" s="13" t="str">
        <f>'1.1 Produksi Bersih Padi 2025'!Q580</f>
        <v/>
      </c>
      <c r="G578" s="13" t="str">
        <f>'1.2 Produksi Bersih Jagung 2025'!L580</f>
        <v/>
      </c>
      <c r="H578" s="13" t="str">
        <f>'1.3 Prod Bersih Ubi Kayu 2025'!K580</f>
        <v/>
      </c>
      <c r="I578" s="13" t="str">
        <f>'1.4 Prod Bersih Ubi Jalar 2025'!K580</f>
        <v/>
      </c>
      <c r="J578" s="13" t="str">
        <f>'1.5 Prod Bersih Sagu 2025'!K580</f>
        <v/>
      </c>
      <c r="K578" s="13" t="str">
        <f>'1.6 Prod Bersih Pisang 2025'!K580</f>
        <v/>
      </c>
      <c r="L578" s="15">
        <f t="shared" si="24"/>
        <v>0</v>
      </c>
      <c r="M578" s="14" t="str">
        <f>IF(D578="","",VLOOKUP(D578,'[1]0.1 Produksi Pangan &amp; Penduduk'!$D$5:$AU$704,44,0))</f>
        <v/>
      </c>
      <c r="N578" s="26" t="str">
        <f t="shared" si="25"/>
        <v/>
      </c>
      <c r="O578" s="16"/>
      <c r="P578" s="25" t="str">
        <f t="shared" si="26"/>
        <v/>
      </c>
      <c r="Q578" s="8"/>
      <c r="R578" s="11"/>
    </row>
    <row r="579" spans="1:18" ht="15" x14ac:dyDescent="0.25">
      <c r="A579" s="3" t="str">
        <f>IF('1.1 Produksi Bersih Padi 2025'!A581="","",'1.1 Produksi Bersih Padi 2025'!A581)</f>
        <v/>
      </c>
      <c r="B579" s="32" t="str">
        <f>IF('1.1 Produksi Bersih Padi 2025'!B581="","",'1.1 Produksi Bersih Padi 2025'!B581)</f>
        <v/>
      </c>
      <c r="C579" s="32" t="str">
        <f>IF('1.1 Produksi Bersih Padi 2025'!C581="","",'1.1 Produksi Bersih Padi 2025'!C581)</f>
        <v/>
      </c>
      <c r="D579" s="3" t="str">
        <f>IF('1.1 Produksi Bersih Padi 2025'!D581="","",'1.1 Produksi Bersih Padi 2025'!D581)</f>
        <v/>
      </c>
      <c r="E579" s="3" t="str">
        <f>IF('1.1 Produksi Bersih Padi 2025'!E581="","",'1.1 Produksi Bersih Padi 2025'!E581)</f>
        <v/>
      </c>
      <c r="F579" s="13" t="str">
        <f>'1.1 Produksi Bersih Padi 2025'!Q581</f>
        <v/>
      </c>
      <c r="G579" s="13" t="str">
        <f>'1.2 Produksi Bersih Jagung 2025'!L581</f>
        <v/>
      </c>
      <c r="H579" s="13" t="str">
        <f>'1.3 Prod Bersih Ubi Kayu 2025'!K581</f>
        <v/>
      </c>
      <c r="I579" s="13" t="str">
        <f>'1.4 Prod Bersih Ubi Jalar 2025'!K581</f>
        <v/>
      </c>
      <c r="J579" s="13" t="str">
        <f>'1.5 Prod Bersih Sagu 2025'!K581</f>
        <v/>
      </c>
      <c r="K579" s="13" t="str">
        <f>'1.6 Prod Bersih Pisang 2025'!K581</f>
        <v/>
      </c>
      <c r="L579" s="15">
        <f t="shared" si="24"/>
        <v>0</v>
      </c>
      <c r="M579" s="14" t="str">
        <f>IF(D579="","",VLOOKUP(D579,'[1]0.1 Produksi Pangan &amp; Penduduk'!$D$5:$AU$704,44,0))</f>
        <v/>
      </c>
      <c r="N579" s="26" t="str">
        <f t="shared" si="25"/>
        <v/>
      </c>
      <c r="O579" s="16"/>
      <c r="P579" s="25" t="str">
        <f t="shared" si="26"/>
        <v/>
      </c>
      <c r="Q579" s="8"/>
      <c r="R579" s="11"/>
    </row>
    <row r="580" spans="1:18" ht="15" x14ac:dyDescent="0.25">
      <c r="A580" s="3" t="str">
        <f>IF('1.1 Produksi Bersih Padi 2025'!A582="","",'1.1 Produksi Bersih Padi 2025'!A582)</f>
        <v/>
      </c>
      <c r="B580" s="32" t="str">
        <f>IF('1.1 Produksi Bersih Padi 2025'!B582="","",'1.1 Produksi Bersih Padi 2025'!B582)</f>
        <v/>
      </c>
      <c r="C580" s="32" t="str">
        <f>IF('1.1 Produksi Bersih Padi 2025'!C582="","",'1.1 Produksi Bersih Padi 2025'!C582)</f>
        <v/>
      </c>
      <c r="D580" s="3" t="str">
        <f>IF('1.1 Produksi Bersih Padi 2025'!D582="","",'1.1 Produksi Bersih Padi 2025'!D582)</f>
        <v/>
      </c>
      <c r="E580" s="3" t="str">
        <f>IF('1.1 Produksi Bersih Padi 2025'!E582="","",'1.1 Produksi Bersih Padi 2025'!E582)</f>
        <v/>
      </c>
      <c r="F580" s="13" t="str">
        <f>'1.1 Produksi Bersih Padi 2025'!Q582</f>
        <v/>
      </c>
      <c r="G580" s="13" t="str">
        <f>'1.2 Produksi Bersih Jagung 2025'!L582</f>
        <v/>
      </c>
      <c r="H580" s="13" t="str">
        <f>'1.3 Prod Bersih Ubi Kayu 2025'!K582</f>
        <v/>
      </c>
      <c r="I580" s="13" t="str">
        <f>'1.4 Prod Bersih Ubi Jalar 2025'!K582</f>
        <v/>
      </c>
      <c r="J580" s="13" t="str">
        <f>'1.5 Prod Bersih Sagu 2025'!K582</f>
        <v/>
      </c>
      <c r="K580" s="13" t="str">
        <f>'1.6 Prod Bersih Pisang 2025'!K582</f>
        <v/>
      </c>
      <c r="L580" s="15">
        <f t="shared" ref="L580:L643" si="27">IFERROR(SUM(F580:K580),0)</f>
        <v>0</v>
      </c>
      <c r="M580" s="14" t="str">
        <f>IF(D580="","",VLOOKUP(D580,'[1]0.1 Produksi Pangan &amp; Penduduk'!$D$5:$AU$704,44,0))</f>
        <v/>
      </c>
      <c r="N580" s="26" t="str">
        <f t="shared" ref="N580:N643" si="28">IF(M580="","",IFERROR((L580*1000*1000/M580)/365,"-"))</f>
        <v/>
      </c>
      <c r="O580" s="16"/>
      <c r="P580" s="25" t="str">
        <f t="shared" ref="P580:P643" si="29">IF(N580="","",IFERROR(300/N580,"-"))</f>
        <v/>
      </c>
      <c r="Q580" s="8"/>
      <c r="R580" s="11"/>
    </row>
    <row r="581" spans="1:18" ht="15" x14ac:dyDescent="0.25">
      <c r="A581" s="3" t="str">
        <f>IF('1.1 Produksi Bersih Padi 2025'!A583="","",'1.1 Produksi Bersih Padi 2025'!A583)</f>
        <v/>
      </c>
      <c r="B581" s="32" t="str">
        <f>IF('1.1 Produksi Bersih Padi 2025'!B583="","",'1.1 Produksi Bersih Padi 2025'!B583)</f>
        <v/>
      </c>
      <c r="C581" s="32" t="str">
        <f>IF('1.1 Produksi Bersih Padi 2025'!C583="","",'1.1 Produksi Bersih Padi 2025'!C583)</f>
        <v/>
      </c>
      <c r="D581" s="3" t="str">
        <f>IF('1.1 Produksi Bersih Padi 2025'!D583="","",'1.1 Produksi Bersih Padi 2025'!D583)</f>
        <v/>
      </c>
      <c r="E581" s="3" t="str">
        <f>IF('1.1 Produksi Bersih Padi 2025'!E583="","",'1.1 Produksi Bersih Padi 2025'!E583)</f>
        <v/>
      </c>
      <c r="F581" s="13" t="str">
        <f>'1.1 Produksi Bersih Padi 2025'!Q583</f>
        <v/>
      </c>
      <c r="G581" s="13" t="str">
        <f>'1.2 Produksi Bersih Jagung 2025'!L583</f>
        <v/>
      </c>
      <c r="H581" s="13" t="str">
        <f>'1.3 Prod Bersih Ubi Kayu 2025'!K583</f>
        <v/>
      </c>
      <c r="I581" s="13" t="str">
        <f>'1.4 Prod Bersih Ubi Jalar 2025'!K583</f>
        <v/>
      </c>
      <c r="J581" s="13" t="str">
        <f>'1.5 Prod Bersih Sagu 2025'!K583</f>
        <v/>
      </c>
      <c r="K581" s="13" t="str">
        <f>'1.6 Prod Bersih Pisang 2025'!K583</f>
        <v/>
      </c>
      <c r="L581" s="15">
        <f t="shared" si="27"/>
        <v>0</v>
      </c>
      <c r="M581" s="14" t="str">
        <f>IF(D581="","",VLOOKUP(D581,'[1]0.1 Produksi Pangan &amp; Penduduk'!$D$5:$AU$704,44,0))</f>
        <v/>
      </c>
      <c r="N581" s="26" t="str">
        <f t="shared" si="28"/>
        <v/>
      </c>
      <c r="O581" s="16"/>
      <c r="P581" s="25" t="str">
        <f t="shared" si="29"/>
        <v/>
      </c>
      <c r="Q581" s="8"/>
      <c r="R581" s="11"/>
    </row>
    <row r="582" spans="1:18" ht="15" x14ac:dyDescent="0.25">
      <c r="A582" s="3" t="str">
        <f>IF('1.1 Produksi Bersih Padi 2025'!A584="","",'1.1 Produksi Bersih Padi 2025'!A584)</f>
        <v/>
      </c>
      <c r="B582" s="32" t="str">
        <f>IF('1.1 Produksi Bersih Padi 2025'!B584="","",'1.1 Produksi Bersih Padi 2025'!B584)</f>
        <v/>
      </c>
      <c r="C582" s="32" t="str">
        <f>IF('1.1 Produksi Bersih Padi 2025'!C584="","",'1.1 Produksi Bersih Padi 2025'!C584)</f>
        <v/>
      </c>
      <c r="D582" s="3" t="str">
        <f>IF('1.1 Produksi Bersih Padi 2025'!D584="","",'1.1 Produksi Bersih Padi 2025'!D584)</f>
        <v/>
      </c>
      <c r="E582" s="3" t="str">
        <f>IF('1.1 Produksi Bersih Padi 2025'!E584="","",'1.1 Produksi Bersih Padi 2025'!E584)</f>
        <v/>
      </c>
      <c r="F582" s="13" t="str">
        <f>'1.1 Produksi Bersih Padi 2025'!Q584</f>
        <v/>
      </c>
      <c r="G582" s="13" t="str">
        <f>'1.2 Produksi Bersih Jagung 2025'!L584</f>
        <v/>
      </c>
      <c r="H582" s="13" t="str">
        <f>'1.3 Prod Bersih Ubi Kayu 2025'!K584</f>
        <v/>
      </c>
      <c r="I582" s="13" t="str">
        <f>'1.4 Prod Bersih Ubi Jalar 2025'!K584</f>
        <v/>
      </c>
      <c r="J582" s="13" t="str">
        <f>'1.5 Prod Bersih Sagu 2025'!K584</f>
        <v/>
      </c>
      <c r="K582" s="13" t="str">
        <f>'1.6 Prod Bersih Pisang 2025'!K584</f>
        <v/>
      </c>
      <c r="L582" s="15">
        <f t="shared" si="27"/>
        <v>0</v>
      </c>
      <c r="M582" s="14" t="str">
        <f>IF(D582="","",VLOOKUP(D582,'[1]0.1 Produksi Pangan &amp; Penduduk'!$D$5:$AU$704,44,0))</f>
        <v/>
      </c>
      <c r="N582" s="26" t="str">
        <f t="shared" si="28"/>
        <v/>
      </c>
      <c r="O582" s="16"/>
      <c r="P582" s="25" t="str">
        <f t="shared" si="29"/>
        <v/>
      </c>
      <c r="Q582" s="8"/>
      <c r="R582" s="11"/>
    </row>
    <row r="583" spans="1:18" ht="15" x14ac:dyDescent="0.25">
      <c r="A583" s="3" t="str">
        <f>IF('1.1 Produksi Bersih Padi 2025'!A585="","",'1.1 Produksi Bersih Padi 2025'!A585)</f>
        <v/>
      </c>
      <c r="B583" s="32" t="str">
        <f>IF('1.1 Produksi Bersih Padi 2025'!B585="","",'1.1 Produksi Bersih Padi 2025'!B585)</f>
        <v/>
      </c>
      <c r="C583" s="32" t="str">
        <f>IF('1.1 Produksi Bersih Padi 2025'!C585="","",'1.1 Produksi Bersih Padi 2025'!C585)</f>
        <v/>
      </c>
      <c r="D583" s="3" t="str">
        <f>IF('1.1 Produksi Bersih Padi 2025'!D585="","",'1.1 Produksi Bersih Padi 2025'!D585)</f>
        <v/>
      </c>
      <c r="E583" s="3" t="str">
        <f>IF('1.1 Produksi Bersih Padi 2025'!E585="","",'1.1 Produksi Bersih Padi 2025'!E585)</f>
        <v/>
      </c>
      <c r="F583" s="13" t="str">
        <f>'1.1 Produksi Bersih Padi 2025'!Q585</f>
        <v/>
      </c>
      <c r="G583" s="13" t="str">
        <f>'1.2 Produksi Bersih Jagung 2025'!L585</f>
        <v/>
      </c>
      <c r="H583" s="13" t="str">
        <f>'1.3 Prod Bersih Ubi Kayu 2025'!K585</f>
        <v/>
      </c>
      <c r="I583" s="13" t="str">
        <f>'1.4 Prod Bersih Ubi Jalar 2025'!K585</f>
        <v/>
      </c>
      <c r="J583" s="13" t="str">
        <f>'1.5 Prod Bersih Sagu 2025'!K585</f>
        <v/>
      </c>
      <c r="K583" s="13" t="str">
        <f>'1.6 Prod Bersih Pisang 2025'!K585</f>
        <v/>
      </c>
      <c r="L583" s="15">
        <f t="shared" si="27"/>
        <v>0</v>
      </c>
      <c r="M583" s="14" t="str">
        <f>IF(D583="","",VLOOKUP(D583,'[1]0.1 Produksi Pangan &amp; Penduduk'!$D$5:$AU$704,44,0))</f>
        <v/>
      </c>
      <c r="N583" s="26" t="str">
        <f t="shared" si="28"/>
        <v/>
      </c>
      <c r="O583" s="16"/>
      <c r="P583" s="25" t="str">
        <f t="shared" si="29"/>
        <v/>
      </c>
      <c r="Q583" s="8"/>
      <c r="R583" s="11"/>
    </row>
    <row r="584" spans="1:18" ht="15" x14ac:dyDescent="0.25">
      <c r="A584" s="3" t="str">
        <f>IF('1.1 Produksi Bersih Padi 2025'!A586="","",'1.1 Produksi Bersih Padi 2025'!A586)</f>
        <v/>
      </c>
      <c r="B584" s="32" t="str">
        <f>IF('1.1 Produksi Bersih Padi 2025'!B586="","",'1.1 Produksi Bersih Padi 2025'!B586)</f>
        <v/>
      </c>
      <c r="C584" s="32" t="str">
        <f>IF('1.1 Produksi Bersih Padi 2025'!C586="","",'1.1 Produksi Bersih Padi 2025'!C586)</f>
        <v/>
      </c>
      <c r="D584" s="3" t="str">
        <f>IF('1.1 Produksi Bersih Padi 2025'!D586="","",'1.1 Produksi Bersih Padi 2025'!D586)</f>
        <v/>
      </c>
      <c r="E584" s="3" t="str">
        <f>IF('1.1 Produksi Bersih Padi 2025'!E586="","",'1.1 Produksi Bersih Padi 2025'!E586)</f>
        <v/>
      </c>
      <c r="F584" s="13" t="str">
        <f>'1.1 Produksi Bersih Padi 2025'!Q586</f>
        <v/>
      </c>
      <c r="G584" s="13" t="str">
        <f>'1.2 Produksi Bersih Jagung 2025'!L586</f>
        <v/>
      </c>
      <c r="H584" s="13" t="str">
        <f>'1.3 Prod Bersih Ubi Kayu 2025'!K586</f>
        <v/>
      </c>
      <c r="I584" s="13" t="str">
        <f>'1.4 Prod Bersih Ubi Jalar 2025'!K586</f>
        <v/>
      </c>
      <c r="J584" s="13" t="str">
        <f>'1.5 Prod Bersih Sagu 2025'!K586</f>
        <v/>
      </c>
      <c r="K584" s="13" t="str">
        <f>'1.6 Prod Bersih Pisang 2025'!K586</f>
        <v/>
      </c>
      <c r="L584" s="15">
        <f t="shared" si="27"/>
        <v>0</v>
      </c>
      <c r="M584" s="14" t="str">
        <f>IF(D584="","",VLOOKUP(D584,'[1]0.1 Produksi Pangan &amp; Penduduk'!$D$5:$AU$704,44,0))</f>
        <v/>
      </c>
      <c r="N584" s="26" t="str">
        <f t="shared" si="28"/>
        <v/>
      </c>
      <c r="O584" s="16"/>
      <c r="P584" s="25" t="str">
        <f t="shared" si="29"/>
        <v/>
      </c>
      <c r="Q584" s="8"/>
      <c r="R584" s="11"/>
    </row>
    <row r="585" spans="1:18" ht="15" x14ac:dyDescent="0.25">
      <c r="A585" s="3" t="str">
        <f>IF('1.1 Produksi Bersih Padi 2025'!A587="","",'1.1 Produksi Bersih Padi 2025'!A587)</f>
        <v/>
      </c>
      <c r="B585" s="32" t="str">
        <f>IF('1.1 Produksi Bersih Padi 2025'!B587="","",'1.1 Produksi Bersih Padi 2025'!B587)</f>
        <v/>
      </c>
      <c r="C585" s="32" t="str">
        <f>IF('1.1 Produksi Bersih Padi 2025'!C587="","",'1.1 Produksi Bersih Padi 2025'!C587)</f>
        <v/>
      </c>
      <c r="D585" s="3" t="str">
        <f>IF('1.1 Produksi Bersih Padi 2025'!D587="","",'1.1 Produksi Bersih Padi 2025'!D587)</f>
        <v/>
      </c>
      <c r="E585" s="3" t="str">
        <f>IF('1.1 Produksi Bersih Padi 2025'!E587="","",'1.1 Produksi Bersih Padi 2025'!E587)</f>
        <v/>
      </c>
      <c r="F585" s="13" t="str">
        <f>'1.1 Produksi Bersih Padi 2025'!Q587</f>
        <v/>
      </c>
      <c r="G585" s="13" t="str">
        <f>'1.2 Produksi Bersih Jagung 2025'!L587</f>
        <v/>
      </c>
      <c r="H585" s="13" t="str">
        <f>'1.3 Prod Bersih Ubi Kayu 2025'!K587</f>
        <v/>
      </c>
      <c r="I585" s="13" t="str">
        <f>'1.4 Prod Bersih Ubi Jalar 2025'!K587</f>
        <v/>
      </c>
      <c r="J585" s="13" t="str">
        <f>'1.5 Prod Bersih Sagu 2025'!K587</f>
        <v/>
      </c>
      <c r="K585" s="13" t="str">
        <f>'1.6 Prod Bersih Pisang 2025'!K587</f>
        <v/>
      </c>
      <c r="L585" s="15">
        <f t="shared" si="27"/>
        <v>0</v>
      </c>
      <c r="M585" s="14" t="str">
        <f>IF(D585="","",VLOOKUP(D585,'[1]0.1 Produksi Pangan &amp; Penduduk'!$D$5:$AU$704,44,0))</f>
        <v/>
      </c>
      <c r="N585" s="26" t="str">
        <f t="shared" si="28"/>
        <v/>
      </c>
      <c r="O585" s="16"/>
      <c r="P585" s="25" t="str">
        <f t="shared" si="29"/>
        <v/>
      </c>
      <c r="Q585" s="8"/>
      <c r="R585" s="11"/>
    </row>
    <row r="586" spans="1:18" ht="15" x14ac:dyDescent="0.25">
      <c r="A586" s="3" t="str">
        <f>IF('1.1 Produksi Bersih Padi 2025'!A588="","",'1.1 Produksi Bersih Padi 2025'!A588)</f>
        <v/>
      </c>
      <c r="B586" s="32" t="str">
        <f>IF('1.1 Produksi Bersih Padi 2025'!B588="","",'1.1 Produksi Bersih Padi 2025'!B588)</f>
        <v/>
      </c>
      <c r="C586" s="32" t="str">
        <f>IF('1.1 Produksi Bersih Padi 2025'!C588="","",'1.1 Produksi Bersih Padi 2025'!C588)</f>
        <v/>
      </c>
      <c r="D586" s="3" t="str">
        <f>IF('1.1 Produksi Bersih Padi 2025'!D588="","",'1.1 Produksi Bersih Padi 2025'!D588)</f>
        <v/>
      </c>
      <c r="E586" s="3" t="str">
        <f>IF('1.1 Produksi Bersih Padi 2025'!E588="","",'1.1 Produksi Bersih Padi 2025'!E588)</f>
        <v/>
      </c>
      <c r="F586" s="13" t="str">
        <f>'1.1 Produksi Bersih Padi 2025'!Q588</f>
        <v/>
      </c>
      <c r="G586" s="13" t="str">
        <f>'1.2 Produksi Bersih Jagung 2025'!L588</f>
        <v/>
      </c>
      <c r="H586" s="13" t="str">
        <f>'1.3 Prod Bersih Ubi Kayu 2025'!K588</f>
        <v/>
      </c>
      <c r="I586" s="13" t="str">
        <f>'1.4 Prod Bersih Ubi Jalar 2025'!K588</f>
        <v/>
      </c>
      <c r="J586" s="13" t="str">
        <f>'1.5 Prod Bersih Sagu 2025'!K588</f>
        <v/>
      </c>
      <c r="K586" s="13" t="str">
        <f>'1.6 Prod Bersih Pisang 2025'!K588</f>
        <v/>
      </c>
      <c r="L586" s="15">
        <f t="shared" si="27"/>
        <v>0</v>
      </c>
      <c r="M586" s="14" t="str">
        <f>IF(D586="","",VLOOKUP(D586,'[1]0.1 Produksi Pangan &amp; Penduduk'!$D$5:$AU$704,44,0))</f>
        <v/>
      </c>
      <c r="N586" s="26" t="str">
        <f t="shared" si="28"/>
        <v/>
      </c>
      <c r="O586" s="16"/>
      <c r="P586" s="25" t="str">
        <f t="shared" si="29"/>
        <v/>
      </c>
      <c r="Q586" s="8"/>
      <c r="R586" s="11"/>
    </row>
    <row r="587" spans="1:18" ht="15" x14ac:dyDescent="0.25">
      <c r="A587" s="3" t="str">
        <f>IF('1.1 Produksi Bersih Padi 2025'!A589="","",'1.1 Produksi Bersih Padi 2025'!A589)</f>
        <v/>
      </c>
      <c r="B587" s="32" t="str">
        <f>IF('1.1 Produksi Bersih Padi 2025'!B589="","",'1.1 Produksi Bersih Padi 2025'!B589)</f>
        <v/>
      </c>
      <c r="C587" s="32" t="str">
        <f>IF('1.1 Produksi Bersih Padi 2025'!C589="","",'1.1 Produksi Bersih Padi 2025'!C589)</f>
        <v/>
      </c>
      <c r="D587" s="3" t="str">
        <f>IF('1.1 Produksi Bersih Padi 2025'!D589="","",'1.1 Produksi Bersih Padi 2025'!D589)</f>
        <v/>
      </c>
      <c r="E587" s="3" t="str">
        <f>IF('1.1 Produksi Bersih Padi 2025'!E589="","",'1.1 Produksi Bersih Padi 2025'!E589)</f>
        <v/>
      </c>
      <c r="F587" s="13" t="str">
        <f>'1.1 Produksi Bersih Padi 2025'!Q589</f>
        <v/>
      </c>
      <c r="G587" s="13" t="str">
        <f>'1.2 Produksi Bersih Jagung 2025'!L589</f>
        <v/>
      </c>
      <c r="H587" s="13" t="str">
        <f>'1.3 Prod Bersih Ubi Kayu 2025'!K589</f>
        <v/>
      </c>
      <c r="I587" s="13" t="str">
        <f>'1.4 Prod Bersih Ubi Jalar 2025'!K589</f>
        <v/>
      </c>
      <c r="J587" s="13" t="str">
        <f>'1.5 Prod Bersih Sagu 2025'!K589</f>
        <v/>
      </c>
      <c r="K587" s="13" t="str">
        <f>'1.6 Prod Bersih Pisang 2025'!K589</f>
        <v/>
      </c>
      <c r="L587" s="15">
        <f t="shared" si="27"/>
        <v>0</v>
      </c>
      <c r="M587" s="14" t="str">
        <f>IF(D587="","",VLOOKUP(D587,'[1]0.1 Produksi Pangan &amp; Penduduk'!$D$5:$AU$704,44,0))</f>
        <v/>
      </c>
      <c r="N587" s="26" t="str">
        <f t="shared" si="28"/>
        <v/>
      </c>
      <c r="O587" s="16"/>
      <c r="P587" s="25" t="str">
        <f t="shared" si="29"/>
        <v/>
      </c>
      <c r="Q587" s="8"/>
      <c r="R587" s="11"/>
    </row>
    <row r="588" spans="1:18" ht="15" x14ac:dyDescent="0.25">
      <c r="A588" s="3" t="str">
        <f>IF('1.1 Produksi Bersih Padi 2025'!A590="","",'1.1 Produksi Bersih Padi 2025'!A590)</f>
        <v/>
      </c>
      <c r="B588" s="32" t="str">
        <f>IF('1.1 Produksi Bersih Padi 2025'!B590="","",'1.1 Produksi Bersih Padi 2025'!B590)</f>
        <v/>
      </c>
      <c r="C588" s="32" t="str">
        <f>IF('1.1 Produksi Bersih Padi 2025'!C590="","",'1.1 Produksi Bersih Padi 2025'!C590)</f>
        <v/>
      </c>
      <c r="D588" s="3" t="str">
        <f>IF('1.1 Produksi Bersih Padi 2025'!D590="","",'1.1 Produksi Bersih Padi 2025'!D590)</f>
        <v/>
      </c>
      <c r="E588" s="3" t="str">
        <f>IF('1.1 Produksi Bersih Padi 2025'!E590="","",'1.1 Produksi Bersih Padi 2025'!E590)</f>
        <v/>
      </c>
      <c r="F588" s="13" t="str">
        <f>'1.1 Produksi Bersih Padi 2025'!Q590</f>
        <v/>
      </c>
      <c r="G588" s="13" t="str">
        <f>'1.2 Produksi Bersih Jagung 2025'!L590</f>
        <v/>
      </c>
      <c r="H588" s="13" t="str">
        <f>'1.3 Prod Bersih Ubi Kayu 2025'!K590</f>
        <v/>
      </c>
      <c r="I588" s="13" t="str">
        <f>'1.4 Prod Bersih Ubi Jalar 2025'!K590</f>
        <v/>
      </c>
      <c r="J588" s="13" t="str">
        <f>'1.5 Prod Bersih Sagu 2025'!K590</f>
        <v/>
      </c>
      <c r="K588" s="13" t="str">
        <f>'1.6 Prod Bersih Pisang 2025'!K590</f>
        <v/>
      </c>
      <c r="L588" s="15">
        <f t="shared" si="27"/>
        <v>0</v>
      </c>
      <c r="M588" s="14" t="str">
        <f>IF(D588="","",VLOOKUP(D588,'[1]0.1 Produksi Pangan &amp; Penduduk'!$D$5:$AU$704,44,0))</f>
        <v/>
      </c>
      <c r="N588" s="26" t="str">
        <f t="shared" si="28"/>
        <v/>
      </c>
      <c r="O588" s="16"/>
      <c r="P588" s="25" t="str">
        <f t="shared" si="29"/>
        <v/>
      </c>
      <c r="Q588" s="8"/>
      <c r="R588" s="11"/>
    </row>
    <row r="589" spans="1:18" ht="15" x14ac:dyDescent="0.25">
      <c r="A589" s="3" t="str">
        <f>IF('1.1 Produksi Bersih Padi 2025'!A591="","",'1.1 Produksi Bersih Padi 2025'!A591)</f>
        <v/>
      </c>
      <c r="B589" s="32" t="str">
        <f>IF('1.1 Produksi Bersih Padi 2025'!B591="","",'1.1 Produksi Bersih Padi 2025'!B591)</f>
        <v/>
      </c>
      <c r="C589" s="32" t="str">
        <f>IF('1.1 Produksi Bersih Padi 2025'!C591="","",'1.1 Produksi Bersih Padi 2025'!C591)</f>
        <v/>
      </c>
      <c r="D589" s="3" t="str">
        <f>IF('1.1 Produksi Bersih Padi 2025'!D591="","",'1.1 Produksi Bersih Padi 2025'!D591)</f>
        <v/>
      </c>
      <c r="E589" s="3" t="str">
        <f>IF('1.1 Produksi Bersih Padi 2025'!E591="","",'1.1 Produksi Bersih Padi 2025'!E591)</f>
        <v/>
      </c>
      <c r="F589" s="13" t="str">
        <f>'1.1 Produksi Bersih Padi 2025'!Q591</f>
        <v/>
      </c>
      <c r="G589" s="13" t="str">
        <f>'1.2 Produksi Bersih Jagung 2025'!L591</f>
        <v/>
      </c>
      <c r="H589" s="13" t="str">
        <f>'1.3 Prod Bersih Ubi Kayu 2025'!K591</f>
        <v/>
      </c>
      <c r="I589" s="13" t="str">
        <f>'1.4 Prod Bersih Ubi Jalar 2025'!K591</f>
        <v/>
      </c>
      <c r="J589" s="13" t="str">
        <f>'1.5 Prod Bersih Sagu 2025'!K591</f>
        <v/>
      </c>
      <c r="K589" s="13" t="str">
        <f>'1.6 Prod Bersih Pisang 2025'!K591</f>
        <v/>
      </c>
      <c r="L589" s="15">
        <f t="shared" si="27"/>
        <v>0</v>
      </c>
      <c r="M589" s="14" t="str">
        <f>IF(D589="","",VLOOKUP(D589,'[1]0.1 Produksi Pangan &amp; Penduduk'!$D$5:$AU$704,44,0))</f>
        <v/>
      </c>
      <c r="N589" s="26" t="str">
        <f t="shared" si="28"/>
        <v/>
      </c>
      <c r="O589" s="16"/>
      <c r="P589" s="25" t="str">
        <f t="shared" si="29"/>
        <v/>
      </c>
      <c r="Q589" s="8"/>
      <c r="R589" s="11"/>
    </row>
    <row r="590" spans="1:18" ht="15" x14ac:dyDescent="0.25">
      <c r="A590" s="3" t="str">
        <f>IF('1.1 Produksi Bersih Padi 2025'!A592="","",'1.1 Produksi Bersih Padi 2025'!A592)</f>
        <v/>
      </c>
      <c r="B590" s="32" t="str">
        <f>IF('1.1 Produksi Bersih Padi 2025'!B592="","",'1.1 Produksi Bersih Padi 2025'!B592)</f>
        <v/>
      </c>
      <c r="C590" s="32" t="str">
        <f>IF('1.1 Produksi Bersih Padi 2025'!C592="","",'1.1 Produksi Bersih Padi 2025'!C592)</f>
        <v/>
      </c>
      <c r="D590" s="3" t="str">
        <f>IF('1.1 Produksi Bersih Padi 2025'!D592="","",'1.1 Produksi Bersih Padi 2025'!D592)</f>
        <v/>
      </c>
      <c r="E590" s="3" t="str">
        <f>IF('1.1 Produksi Bersih Padi 2025'!E592="","",'1.1 Produksi Bersih Padi 2025'!E592)</f>
        <v/>
      </c>
      <c r="F590" s="13" t="str">
        <f>'1.1 Produksi Bersih Padi 2025'!Q592</f>
        <v/>
      </c>
      <c r="G590" s="13" t="str">
        <f>'1.2 Produksi Bersih Jagung 2025'!L592</f>
        <v/>
      </c>
      <c r="H590" s="13" t="str">
        <f>'1.3 Prod Bersih Ubi Kayu 2025'!K592</f>
        <v/>
      </c>
      <c r="I590" s="13" t="str">
        <f>'1.4 Prod Bersih Ubi Jalar 2025'!K592</f>
        <v/>
      </c>
      <c r="J590" s="13" t="str">
        <f>'1.5 Prod Bersih Sagu 2025'!K592</f>
        <v/>
      </c>
      <c r="K590" s="13" t="str">
        <f>'1.6 Prod Bersih Pisang 2025'!K592</f>
        <v/>
      </c>
      <c r="L590" s="15">
        <f t="shared" si="27"/>
        <v>0</v>
      </c>
      <c r="M590" s="14" t="str">
        <f>IF(D590="","",VLOOKUP(D590,'[1]0.1 Produksi Pangan &amp; Penduduk'!$D$5:$AU$704,44,0))</f>
        <v/>
      </c>
      <c r="N590" s="26" t="str">
        <f t="shared" si="28"/>
        <v/>
      </c>
      <c r="O590" s="16"/>
      <c r="P590" s="25" t="str">
        <f t="shared" si="29"/>
        <v/>
      </c>
      <c r="Q590" s="8"/>
      <c r="R590" s="11"/>
    </row>
    <row r="591" spans="1:18" ht="15" x14ac:dyDescent="0.25">
      <c r="A591" s="3" t="str">
        <f>IF('1.1 Produksi Bersih Padi 2025'!A593="","",'1.1 Produksi Bersih Padi 2025'!A593)</f>
        <v/>
      </c>
      <c r="B591" s="32" t="str">
        <f>IF('1.1 Produksi Bersih Padi 2025'!B593="","",'1.1 Produksi Bersih Padi 2025'!B593)</f>
        <v/>
      </c>
      <c r="C591" s="32" t="str">
        <f>IF('1.1 Produksi Bersih Padi 2025'!C593="","",'1.1 Produksi Bersih Padi 2025'!C593)</f>
        <v/>
      </c>
      <c r="D591" s="3" t="str">
        <f>IF('1.1 Produksi Bersih Padi 2025'!D593="","",'1.1 Produksi Bersih Padi 2025'!D593)</f>
        <v/>
      </c>
      <c r="E591" s="3" t="str">
        <f>IF('1.1 Produksi Bersih Padi 2025'!E593="","",'1.1 Produksi Bersih Padi 2025'!E593)</f>
        <v/>
      </c>
      <c r="F591" s="13" t="str">
        <f>'1.1 Produksi Bersih Padi 2025'!Q593</f>
        <v/>
      </c>
      <c r="G591" s="13" t="str">
        <f>'1.2 Produksi Bersih Jagung 2025'!L593</f>
        <v/>
      </c>
      <c r="H591" s="13" t="str">
        <f>'1.3 Prod Bersih Ubi Kayu 2025'!K593</f>
        <v/>
      </c>
      <c r="I591" s="13" t="str">
        <f>'1.4 Prod Bersih Ubi Jalar 2025'!K593</f>
        <v/>
      </c>
      <c r="J591" s="13" t="str">
        <f>'1.5 Prod Bersih Sagu 2025'!K593</f>
        <v/>
      </c>
      <c r="K591" s="13" t="str">
        <f>'1.6 Prod Bersih Pisang 2025'!K593</f>
        <v/>
      </c>
      <c r="L591" s="15">
        <f t="shared" si="27"/>
        <v>0</v>
      </c>
      <c r="M591" s="14" t="str">
        <f>IF(D591="","",VLOOKUP(D591,'[1]0.1 Produksi Pangan &amp; Penduduk'!$D$5:$AU$704,44,0))</f>
        <v/>
      </c>
      <c r="N591" s="26" t="str">
        <f t="shared" si="28"/>
        <v/>
      </c>
      <c r="O591" s="16"/>
      <c r="P591" s="25" t="str">
        <f t="shared" si="29"/>
        <v/>
      </c>
      <c r="Q591" s="8"/>
      <c r="R591" s="11"/>
    </row>
    <row r="592" spans="1:18" ht="15" x14ac:dyDescent="0.25">
      <c r="A592" s="3" t="str">
        <f>IF('1.1 Produksi Bersih Padi 2025'!A594="","",'1.1 Produksi Bersih Padi 2025'!A594)</f>
        <v/>
      </c>
      <c r="B592" s="32" t="str">
        <f>IF('1.1 Produksi Bersih Padi 2025'!B594="","",'1.1 Produksi Bersih Padi 2025'!B594)</f>
        <v/>
      </c>
      <c r="C592" s="32" t="str">
        <f>IF('1.1 Produksi Bersih Padi 2025'!C594="","",'1.1 Produksi Bersih Padi 2025'!C594)</f>
        <v/>
      </c>
      <c r="D592" s="3" t="str">
        <f>IF('1.1 Produksi Bersih Padi 2025'!D594="","",'1.1 Produksi Bersih Padi 2025'!D594)</f>
        <v/>
      </c>
      <c r="E592" s="3" t="str">
        <f>IF('1.1 Produksi Bersih Padi 2025'!E594="","",'1.1 Produksi Bersih Padi 2025'!E594)</f>
        <v/>
      </c>
      <c r="F592" s="13" t="str">
        <f>'1.1 Produksi Bersih Padi 2025'!Q594</f>
        <v/>
      </c>
      <c r="G592" s="13" t="str">
        <f>'1.2 Produksi Bersih Jagung 2025'!L594</f>
        <v/>
      </c>
      <c r="H592" s="13" t="str">
        <f>'1.3 Prod Bersih Ubi Kayu 2025'!K594</f>
        <v/>
      </c>
      <c r="I592" s="13" t="str">
        <f>'1.4 Prod Bersih Ubi Jalar 2025'!K594</f>
        <v/>
      </c>
      <c r="J592" s="13" t="str">
        <f>'1.5 Prod Bersih Sagu 2025'!K594</f>
        <v/>
      </c>
      <c r="K592" s="13" t="str">
        <f>'1.6 Prod Bersih Pisang 2025'!K594</f>
        <v/>
      </c>
      <c r="L592" s="15">
        <f t="shared" si="27"/>
        <v>0</v>
      </c>
      <c r="M592" s="14" t="str">
        <f>IF(D592="","",VLOOKUP(D592,'[1]0.1 Produksi Pangan &amp; Penduduk'!$D$5:$AU$704,44,0))</f>
        <v/>
      </c>
      <c r="N592" s="26" t="str">
        <f t="shared" si="28"/>
        <v/>
      </c>
      <c r="O592" s="16"/>
      <c r="P592" s="25" t="str">
        <f t="shared" si="29"/>
        <v/>
      </c>
      <c r="Q592" s="8"/>
      <c r="R592" s="11"/>
    </row>
    <row r="593" spans="1:18" ht="15" x14ac:dyDescent="0.25">
      <c r="A593" s="3" t="str">
        <f>IF('1.1 Produksi Bersih Padi 2025'!A595="","",'1.1 Produksi Bersih Padi 2025'!A595)</f>
        <v/>
      </c>
      <c r="B593" s="32" t="str">
        <f>IF('1.1 Produksi Bersih Padi 2025'!B595="","",'1.1 Produksi Bersih Padi 2025'!B595)</f>
        <v/>
      </c>
      <c r="C593" s="32" t="str">
        <f>IF('1.1 Produksi Bersih Padi 2025'!C595="","",'1.1 Produksi Bersih Padi 2025'!C595)</f>
        <v/>
      </c>
      <c r="D593" s="3" t="str">
        <f>IF('1.1 Produksi Bersih Padi 2025'!D595="","",'1.1 Produksi Bersih Padi 2025'!D595)</f>
        <v/>
      </c>
      <c r="E593" s="3" t="str">
        <f>IF('1.1 Produksi Bersih Padi 2025'!E595="","",'1.1 Produksi Bersih Padi 2025'!E595)</f>
        <v/>
      </c>
      <c r="F593" s="13" t="str">
        <f>'1.1 Produksi Bersih Padi 2025'!Q595</f>
        <v/>
      </c>
      <c r="G593" s="13" t="str">
        <f>'1.2 Produksi Bersih Jagung 2025'!L595</f>
        <v/>
      </c>
      <c r="H593" s="13" t="str">
        <f>'1.3 Prod Bersih Ubi Kayu 2025'!K595</f>
        <v/>
      </c>
      <c r="I593" s="13" t="str">
        <f>'1.4 Prod Bersih Ubi Jalar 2025'!K595</f>
        <v/>
      </c>
      <c r="J593" s="13" t="str">
        <f>'1.5 Prod Bersih Sagu 2025'!K595</f>
        <v/>
      </c>
      <c r="K593" s="13" t="str">
        <f>'1.6 Prod Bersih Pisang 2025'!K595</f>
        <v/>
      </c>
      <c r="L593" s="15">
        <f t="shared" si="27"/>
        <v>0</v>
      </c>
      <c r="M593" s="14" t="str">
        <f>IF(D593="","",VLOOKUP(D593,'[1]0.1 Produksi Pangan &amp; Penduduk'!$D$5:$AU$704,44,0))</f>
        <v/>
      </c>
      <c r="N593" s="26" t="str">
        <f t="shared" si="28"/>
        <v/>
      </c>
      <c r="O593" s="16"/>
      <c r="P593" s="25" t="str">
        <f t="shared" si="29"/>
        <v/>
      </c>
      <c r="Q593" s="8"/>
      <c r="R593" s="11"/>
    </row>
    <row r="594" spans="1:18" ht="15" x14ac:dyDescent="0.25">
      <c r="A594" s="3" t="str">
        <f>IF('1.1 Produksi Bersih Padi 2025'!A596="","",'1.1 Produksi Bersih Padi 2025'!A596)</f>
        <v/>
      </c>
      <c r="B594" s="32" t="str">
        <f>IF('1.1 Produksi Bersih Padi 2025'!B596="","",'1.1 Produksi Bersih Padi 2025'!B596)</f>
        <v/>
      </c>
      <c r="C594" s="32" t="str">
        <f>IF('1.1 Produksi Bersih Padi 2025'!C596="","",'1.1 Produksi Bersih Padi 2025'!C596)</f>
        <v/>
      </c>
      <c r="D594" s="3" t="str">
        <f>IF('1.1 Produksi Bersih Padi 2025'!D596="","",'1.1 Produksi Bersih Padi 2025'!D596)</f>
        <v/>
      </c>
      <c r="E594" s="3" t="str">
        <f>IF('1.1 Produksi Bersih Padi 2025'!E596="","",'1.1 Produksi Bersih Padi 2025'!E596)</f>
        <v/>
      </c>
      <c r="F594" s="13" t="str">
        <f>'1.1 Produksi Bersih Padi 2025'!Q596</f>
        <v/>
      </c>
      <c r="G594" s="13" t="str">
        <f>'1.2 Produksi Bersih Jagung 2025'!L596</f>
        <v/>
      </c>
      <c r="H594" s="13" t="str">
        <f>'1.3 Prod Bersih Ubi Kayu 2025'!K596</f>
        <v/>
      </c>
      <c r="I594" s="13" t="str">
        <f>'1.4 Prod Bersih Ubi Jalar 2025'!K596</f>
        <v/>
      </c>
      <c r="J594" s="13" t="str">
        <f>'1.5 Prod Bersih Sagu 2025'!K596</f>
        <v/>
      </c>
      <c r="K594" s="13" t="str">
        <f>'1.6 Prod Bersih Pisang 2025'!K596</f>
        <v/>
      </c>
      <c r="L594" s="15">
        <f t="shared" si="27"/>
        <v>0</v>
      </c>
      <c r="M594" s="14" t="str">
        <f>IF(D594="","",VLOOKUP(D594,'[1]0.1 Produksi Pangan &amp; Penduduk'!$D$5:$AU$704,44,0))</f>
        <v/>
      </c>
      <c r="N594" s="26" t="str">
        <f t="shared" si="28"/>
        <v/>
      </c>
      <c r="O594" s="16"/>
      <c r="P594" s="25" t="str">
        <f t="shared" si="29"/>
        <v/>
      </c>
      <c r="Q594" s="8"/>
      <c r="R594" s="11"/>
    </row>
    <row r="595" spans="1:18" ht="15" x14ac:dyDescent="0.25">
      <c r="A595" s="3" t="str">
        <f>IF('1.1 Produksi Bersih Padi 2025'!A597="","",'1.1 Produksi Bersih Padi 2025'!A597)</f>
        <v/>
      </c>
      <c r="B595" s="32" t="str">
        <f>IF('1.1 Produksi Bersih Padi 2025'!B597="","",'1.1 Produksi Bersih Padi 2025'!B597)</f>
        <v/>
      </c>
      <c r="C595" s="32" t="str">
        <f>IF('1.1 Produksi Bersih Padi 2025'!C597="","",'1.1 Produksi Bersih Padi 2025'!C597)</f>
        <v/>
      </c>
      <c r="D595" s="3" t="str">
        <f>IF('1.1 Produksi Bersih Padi 2025'!D597="","",'1.1 Produksi Bersih Padi 2025'!D597)</f>
        <v/>
      </c>
      <c r="E595" s="3" t="str">
        <f>IF('1.1 Produksi Bersih Padi 2025'!E597="","",'1.1 Produksi Bersih Padi 2025'!E597)</f>
        <v/>
      </c>
      <c r="F595" s="13" t="str">
        <f>'1.1 Produksi Bersih Padi 2025'!Q597</f>
        <v/>
      </c>
      <c r="G595" s="13" t="str">
        <f>'1.2 Produksi Bersih Jagung 2025'!L597</f>
        <v/>
      </c>
      <c r="H595" s="13" t="str">
        <f>'1.3 Prod Bersih Ubi Kayu 2025'!K597</f>
        <v/>
      </c>
      <c r="I595" s="13" t="str">
        <f>'1.4 Prod Bersih Ubi Jalar 2025'!K597</f>
        <v/>
      </c>
      <c r="J595" s="13" t="str">
        <f>'1.5 Prod Bersih Sagu 2025'!K597</f>
        <v/>
      </c>
      <c r="K595" s="13" t="str">
        <f>'1.6 Prod Bersih Pisang 2025'!K597</f>
        <v/>
      </c>
      <c r="L595" s="15">
        <f t="shared" si="27"/>
        <v>0</v>
      </c>
      <c r="M595" s="14" t="str">
        <f>IF(D595="","",VLOOKUP(D595,'[1]0.1 Produksi Pangan &amp; Penduduk'!$D$5:$AU$704,44,0))</f>
        <v/>
      </c>
      <c r="N595" s="26" t="str">
        <f t="shared" si="28"/>
        <v/>
      </c>
      <c r="O595" s="16"/>
      <c r="P595" s="25" t="str">
        <f t="shared" si="29"/>
        <v/>
      </c>
      <c r="Q595" s="8"/>
      <c r="R595" s="11"/>
    </row>
    <row r="596" spans="1:18" ht="15" x14ac:dyDescent="0.25">
      <c r="A596" s="3" t="str">
        <f>IF('1.1 Produksi Bersih Padi 2025'!A598="","",'1.1 Produksi Bersih Padi 2025'!A598)</f>
        <v/>
      </c>
      <c r="B596" s="32" t="str">
        <f>IF('1.1 Produksi Bersih Padi 2025'!B598="","",'1.1 Produksi Bersih Padi 2025'!B598)</f>
        <v/>
      </c>
      <c r="C596" s="32" t="str">
        <f>IF('1.1 Produksi Bersih Padi 2025'!C598="","",'1.1 Produksi Bersih Padi 2025'!C598)</f>
        <v/>
      </c>
      <c r="D596" s="3" t="str">
        <f>IF('1.1 Produksi Bersih Padi 2025'!D598="","",'1.1 Produksi Bersih Padi 2025'!D598)</f>
        <v/>
      </c>
      <c r="E596" s="3" t="str">
        <f>IF('1.1 Produksi Bersih Padi 2025'!E598="","",'1.1 Produksi Bersih Padi 2025'!E598)</f>
        <v/>
      </c>
      <c r="F596" s="13" t="str">
        <f>'1.1 Produksi Bersih Padi 2025'!Q598</f>
        <v/>
      </c>
      <c r="G596" s="13" t="str">
        <f>'1.2 Produksi Bersih Jagung 2025'!L598</f>
        <v/>
      </c>
      <c r="H596" s="13" t="str">
        <f>'1.3 Prod Bersih Ubi Kayu 2025'!K598</f>
        <v/>
      </c>
      <c r="I596" s="13" t="str">
        <f>'1.4 Prod Bersih Ubi Jalar 2025'!K598</f>
        <v/>
      </c>
      <c r="J596" s="13" t="str">
        <f>'1.5 Prod Bersih Sagu 2025'!K598</f>
        <v/>
      </c>
      <c r="K596" s="13" t="str">
        <f>'1.6 Prod Bersih Pisang 2025'!K598</f>
        <v/>
      </c>
      <c r="L596" s="15">
        <f t="shared" si="27"/>
        <v>0</v>
      </c>
      <c r="M596" s="14" t="str">
        <f>IF(D596="","",VLOOKUP(D596,'[1]0.1 Produksi Pangan &amp; Penduduk'!$D$5:$AU$704,44,0))</f>
        <v/>
      </c>
      <c r="N596" s="26" t="str">
        <f t="shared" si="28"/>
        <v/>
      </c>
      <c r="O596" s="16"/>
      <c r="P596" s="25" t="str">
        <f t="shared" si="29"/>
        <v/>
      </c>
      <c r="Q596" s="8"/>
      <c r="R596" s="11"/>
    </row>
    <row r="597" spans="1:18" ht="15" x14ac:dyDescent="0.25">
      <c r="A597" s="3" t="str">
        <f>IF('1.1 Produksi Bersih Padi 2025'!A599="","",'1.1 Produksi Bersih Padi 2025'!A599)</f>
        <v/>
      </c>
      <c r="B597" s="32" t="str">
        <f>IF('1.1 Produksi Bersih Padi 2025'!B599="","",'1.1 Produksi Bersih Padi 2025'!B599)</f>
        <v/>
      </c>
      <c r="C597" s="32" t="str">
        <f>IF('1.1 Produksi Bersih Padi 2025'!C599="","",'1.1 Produksi Bersih Padi 2025'!C599)</f>
        <v/>
      </c>
      <c r="D597" s="3" t="str">
        <f>IF('1.1 Produksi Bersih Padi 2025'!D599="","",'1.1 Produksi Bersih Padi 2025'!D599)</f>
        <v/>
      </c>
      <c r="E597" s="3" t="str">
        <f>IF('1.1 Produksi Bersih Padi 2025'!E599="","",'1.1 Produksi Bersih Padi 2025'!E599)</f>
        <v/>
      </c>
      <c r="F597" s="13" t="str">
        <f>'1.1 Produksi Bersih Padi 2025'!Q599</f>
        <v/>
      </c>
      <c r="G597" s="13" t="str">
        <f>'1.2 Produksi Bersih Jagung 2025'!L599</f>
        <v/>
      </c>
      <c r="H597" s="13" t="str">
        <f>'1.3 Prod Bersih Ubi Kayu 2025'!K599</f>
        <v/>
      </c>
      <c r="I597" s="13" t="str">
        <f>'1.4 Prod Bersih Ubi Jalar 2025'!K599</f>
        <v/>
      </c>
      <c r="J597" s="13" t="str">
        <f>'1.5 Prod Bersih Sagu 2025'!K599</f>
        <v/>
      </c>
      <c r="K597" s="13" t="str">
        <f>'1.6 Prod Bersih Pisang 2025'!K599</f>
        <v/>
      </c>
      <c r="L597" s="15">
        <f t="shared" si="27"/>
        <v>0</v>
      </c>
      <c r="M597" s="14" t="str">
        <f>IF(D597="","",VLOOKUP(D597,'[1]0.1 Produksi Pangan &amp; Penduduk'!$D$5:$AU$704,44,0))</f>
        <v/>
      </c>
      <c r="N597" s="26" t="str">
        <f t="shared" si="28"/>
        <v/>
      </c>
      <c r="O597" s="16"/>
      <c r="P597" s="25" t="str">
        <f t="shared" si="29"/>
        <v/>
      </c>
      <c r="Q597" s="8"/>
      <c r="R597" s="11"/>
    </row>
    <row r="598" spans="1:18" ht="15" x14ac:dyDescent="0.25">
      <c r="A598" s="3" t="str">
        <f>IF('1.1 Produksi Bersih Padi 2025'!A600="","",'1.1 Produksi Bersih Padi 2025'!A600)</f>
        <v/>
      </c>
      <c r="B598" s="32" t="str">
        <f>IF('1.1 Produksi Bersih Padi 2025'!B600="","",'1.1 Produksi Bersih Padi 2025'!B600)</f>
        <v/>
      </c>
      <c r="C598" s="32" t="str">
        <f>IF('1.1 Produksi Bersih Padi 2025'!C600="","",'1.1 Produksi Bersih Padi 2025'!C600)</f>
        <v/>
      </c>
      <c r="D598" s="3" t="str">
        <f>IF('1.1 Produksi Bersih Padi 2025'!D600="","",'1.1 Produksi Bersih Padi 2025'!D600)</f>
        <v/>
      </c>
      <c r="E598" s="3" t="str">
        <f>IF('1.1 Produksi Bersih Padi 2025'!E600="","",'1.1 Produksi Bersih Padi 2025'!E600)</f>
        <v/>
      </c>
      <c r="F598" s="13" t="str">
        <f>'1.1 Produksi Bersih Padi 2025'!Q600</f>
        <v/>
      </c>
      <c r="G598" s="13" t="str">
        <f>'1.2 Produksi Bersih Jagung 2025'!L600</f>
        <v/>
      </c>
      <c r="H598" s="13" t="str">
        <f>'1.3 Prod Bersih Ubi Kayu 2025'!K600</f>
        <v/>
      </c>
      <c r="I598" s="13" t="str">
        <f>'1.4 Prod Bersih Ubi Jalar 2025'!K600</f>
        <v/>
      </c>
      <c r="J598" s="13" t="str">
        <f>'1.5 Prod Bersih Sagu 2025'!K600</f>
        <v/>
      </c>
      <c r="K598" s="13" t="str">
        <f>'1.6 Prod Bersih Pisang 2025'!K600</f>
        <v/>
      </c>
      <c r="L598" s="15">
        <f t="shared" si="27"/>
        <v>0</v>
      </c>
      <c r="M598" s="14" t="str">
        <f>IF(D598="","",VLOOKUP(D598,'[1]0.1 Produksi Pangan &amp; Penduduk'!$D$5:$AU$704,44,0))</f>
        <v/>
      </c>
      <c r="N598" s="26" t="str">
        <f t="shared" si="28"/>
        <v/>
      </c>
      <c r="O598" s="16"/>
      <c r="P598" s="25" t="str">
        <f t="shared" si="29"/>
        <v/>
      </c>
      <c r="Q598" s="8"/>
      <c r="R598" s="11"/>
    </row>
    <row r="599" spans="1:18" ht="15" x14ac:dyDescent="0.25">
      <c r="A599" s="3" t="str">
        <f>IF('1.1 Produksi Bersih Padi 2025'!A601="","",'1.1 Produksi Bersih Padi 2025'!A601)</f>
        <v/>
      </c>
      <c r="B599" s="32" t="str">
        <f>IF('1.1 Produksi Bersih Padi 2025'!B601="","",'1.1 Produksi Bersih Padi 2025'!B601)</f>
        <v/>
      </c>
      <c r="C599" s="32" t="str">
        <f>IF('1.1 Produksi Bersih Padi 2025'!C601="","",'1.1 Produksi Bersih Padi 2025'!C601)</f>
        <v/>
      </c>
      <c r="D599" s="3" t="str">
        <f>IF('1.1 Produksi Bersih Padi 2025'!D601="","",'1.1 Produksi Bersih Padi 2025'!D601)</f>
        <v/>
      </c>
      <c r="E599" s="3" t="str">
        <f>IF('1.1 Produksi Bersih Padi 2025'!E601="","",'1.1 Produksi Bersih Padi 2025'!E601)</f>
        <v/>
      </c>
      <c r="F599" s="13" t="str">
        <f>'1.1 Produksi Bersih Padi 2025'!Q601</f>
        <v/>
      </c>
      <c r="G599" s="13" t="str">
        <f>'1.2 Produksi Bersih Jagung 2025'!L601</f>
        <v/>
      </c>
      <c r="H599" s="13" t="str">
        <f>'1.3 Prod Bersih Ubi Kayu 2025'!K601</f>
        <v/>
      </c>
      <c r="I599" s="13" t="str">
        <f>'1.4 Prod Bersih Ubi Jalar 2025'!K601</f>
        <v/>
      </c>
      <c r="J599" s="13" t="str">
        <f>'1.5 Prod Bersih Sagu 2025'!K601</f>
        <v/>
      </c>
      <c r="K599" s="13" t="str">
        <f>'1.6 Prod Bersih Pisang 2025'!K601</f>
        <v/>
      </c>
      <c r="L599" s="15">
        <f t="shared" si="27"/>
        <v>0</v>
      </c>
      <c r="M599" s="14" t="str">
        <f>IF(D599="","",VLOOKUP(D599,'[1]0.1 Produksi Pangan &amp; Penduduk'!$D$5:$AU$704,44,0))</f>
        <v/>
      </c>
      <c r="N599" s="26" t="str">
        <f t="shared" si="28"/>
        <v/>
      </c>
      <c r="O599" s="16"/>
      <c r="P599" s="25" t="str">
        <f t="shared" si="29"/>
        <v/>
      </c>
      <c r="Q599" s="8"/>
      <c r="R599" s="11"/>
    </row>
    <row r="600" spans="1:18" ht="15" x14ac:dyDescent="0.25">
      <c r="A600" s="3" t="str">
        <f>IF('1.1 Produksi Bersih Padi 2025'!A602="","",'1.1 Produksi Bersih Padi 2025'!A602)</f>
        <v/>
      </c>
      <c r="B600" s="32" t="str">
        <f>IF('1.1 Produksi Bersih Padi 2025'!B602="","",'1.1 Produksi Bersih Padi 2025'!B602)</f>
        <v/>
      </c>
      <c r="C600" s="32" t="str">
        <f>IF('1.1 Produksi Bersih Padi 2025'!C602="","",'1.1 Produksi Bersih Padi 2025'!C602)</f>
        <v/>
      </c>
      <c r="D600" s="3" t="str">
        <f>IF('1.1 Produksi Bersih Padi 2025'!D602="","",'1.1 Produksi Bersih Padi 2025'!D602)</f>
        <v/>
      </c>
      <c r="E600" s="3" t="str">
        <f>IF('1.1 Produksi Bersih Padi 2025'!E602="","",'1.1 Produksi Bersih Padi 2025'!E602)</f>
        <v/>
      </c>
      <c r="F600" s="13" t="str">
        <f>'1.1 Produksi Bersih Padi 2025'!Q602</f>
        <v/>
      </c>
      <c r="G600" s="13" t="str">
        <f>'1.2 Produksi Bersih Jagung 2025'!L602</f>
        <v/>
      </c>
      <c r="H600" s="13" t="str">
        <f>'1.3 Prod Bersih Ubi Kayu 2025'!K602</f>
        <v/>
      </c>
      <c r="I600" s="13" t="str">
        <f>'1.4 Prod Bersih Ubi Jalar 2025'!K602</f>
        <v/>
      </c>
      <c r="J600" s="13" t="str">
        <f>'1.5 Prod Bersih Sagu 2025'!K602</f>
        <v/>
      </c>
      <c r="K600" s="13" t="str">
        <f>'1.6 Prod Bersih Pisang 2025'!K602</f>
        <v/>
      </c>
      <c r="L600" s="15">
        <f t="shared" si="27"/>
        <v>0</v>
      </c>
      <c r="M600" s="14" t="str">
        <f>IF(D600="","",VLOOKUP(D600,'[1]0.1 Produksi Pangan &amp; Penduduk'!$D$5:$AU$704,44,0))</f>
        <v/>
      </c>
      <c r="N600" s="26" t="str">
        <f t="shared" si="28"/>
        <v/>
      </c>
      <c r="O600" s="16"/>
      <c r="P600" s="25" t="str">
        <f t="shared" si="29"/>
        <v/>
      </c>
      <c r="Q600" s="8"/>
      <c r="R600" s="11"/>
    </row>
    <row r="601" spans="1:18" ht="15" x14ac:dyDescent="0.25">
      <c r="A601" s="3" t="str">
        <f>IF('1.1 Produksi Bersih Padi 2025'!A603="","",'1.1 Produksi Bersih Padi 2025'!A603)</f>
        <v/>
      </c>
      <c r="B601" s="32" t="str">
        <f>IF('1.1 Produksi Bersih Padi 2025'!B603="","",'1.1 Produksi Bersih Padi 2025'!B603)</f>
        <v/>
      </c>
      <c r="C601" s="32" t="str">
        <f>IF('1.1 Produksi Bersih Padi 2025'!C603="","",'1.1 Produksi Bersih Padi 2025'!C603)</f>
        <v/>
      </c>
      <c r="D601" s="3" t="str">
        <f>IF('1.1 Produksi Bersih Padi 2025'!D603="","",'1.1 Produksi Bersih Padi 2025'!D603)</f>
        <v/>
      </c>
      <c r="E601" s="3" t="str">
        <f>IF('1.1 Produksi Bersih Padi 2025'!E603="","",'1.1 Produksi Bersih Padi 2025'!E603)</f>
        <v/>
      </c>
      <c r="F601" s="13" t="str">
        <f>'1.1 Produksi Bersih Padi 2025'!Q603</f>
        <v/>
      </c>
      <c r="G601" s="13" t="str">
        <f>'1.2 Produksi Bersih Jagung 2025'!L603</f>
        <v/>
      </c>
      <c r="H601" s="13" t="str">
        <f>'1.3 Prod Bersih Ubi Kayu 2025'!K603</f>
        <v/>
      </c>
      <c r="I601" s="13" t="str">
        <f>'1.4 Prod Bersih Ubi Jalar 2025'!K603</f>
        <v/>
      </c>
      <c r="J601" s="13" t="str">
        <f>'1.5 Prod Bersih Sagu 2025'!K603</f>
        <v/>
      </c>
      <c r="K601" s="13" t="str">
        <f>'1.6 Prod Bersih Pisang 2025'!K603</f>
        <v/>
      </c>
      <c r="L601" s="15">
        <f t="shared" si="27"/>
        <v>0</v>
      </c>
      <c r="M601" s="14" t="str">
        <f>IF(D601="","",VLOOKUP(D601,'[1]0.1 Produksi Pangan &amp; Penduduk'!$D$5:$AU$704,44,0))</f>
        <v/>
      </c>
      <c r="N601" s="26" t="str">
        <f t="shared" si="28"/>
        <v/>
      </c>
      <c r="O601" s="16"/>
      <c r="P601" s="25" t="str">
        <f t="shared" si="29"/>
        <v/>
      </c>
      <c r="Q601" s="8"/>
      <c r="R601" s="11"/>
    </row>
    <row r="602" spans="1:18" ht="15" x14ac:dyDescent="0.25">
      <c r="A602" s="3" t="str">
        <f>IF('1.1 Produksi Bersih Padi 2025'!A604="","",'1.1 Produksi Bersih Padi 2025'!A604)</f>
        <v/>
      </c>
      <c r="B602" s="32" t="str">
        <f>IF('1.1 Produksi Bersih Padi 2025'!B604="","",'1.1 Produksi Bersih Padi 2025'!B604)</f>
        <v/>
      </c>
      <c r="C602" s="32" t="str">
        <f>IF('1.1 Produksi Bersih Padi 2025'!C604="","",'1.1 Produksi Bersih Padi 2025'!C604)</f>
        <v/>
      </c>
      <c r="D602" s="3" t="str">
        <f>IF('1.1 Produksi Bersih Padi 2025'!D604="","",'1.1 Produksi Bersih Padi 2025'!D604)</f>
        <v/>
      </c>
      <c r="E602" s="3" t="str">
        <f>IF('1.1 Produksi Bersih Padi 2025'!E604="","",'1.1 Produksi Bersih Padi 2025'!E604)</f>
        <v/>
      </c>
      <c r="F602" s="13" t="str">
        <f>'1.1 Produksi Bersih Padi 2025'!Q604</f>
        <v/>
      </c>
      <c r="G602" s="13" t="str">
        <f>'1.2 Produksi Bersih Jagung 2025'!L604</f>
        <v/>
      </c>
      <c r="H602" s="13" t="str">
        <f>'1.3 Prod Bersih Ubi Kayu 2025'!K604</f>
        <v/>
      </c>
      <c r="I602" s="13" t="str">
        <f>'1.4 Prod Bersih Ubi Jalar 2025'!K604</f>
        <v/>
      </c>
      <c r="J602" s="13" t="str">
        <f>'1.5 Prod Bersih Sagu 2025'!K604</f>
        <v/>
      </c>
      <c r="K602" s="13" t="str">
        <f>'1.6 Prod Bersih Pisang 2025'!K604</f>
        <v/>
      </c>
      <c r="L602" s="15">
        <f t="shared" si="27"/>
        <v>0</v>
      </c>
      <c r="M602" s="14" t="str">
        <f>IF(D602="","",VLOOKUP(D602,'[1]0.1 Produksi Pangan &amp; Penduduk'!$D$5:$AU$704,44,0))</f>
        <v/>
      </c>
      <c r="N602" s="26" t="str">
        <f t="shared" si="28"/>
        <v/>
      </c>
      <c r="O602" s="16"/>
      <c r="P602" s="25" t="str">
        <f t="shared" si="29"/>
        <v/>
      </c>
      <c r="Q602" s="8"/>
      <c r="R602" s="11"/>
    </row>
    <row r="603" spans="1:18" ht="15" x14ac:dyDescent="0.25">
      <c r="A603" s="3" t="str">
        <f>IF('1.1 Produksi Bersih Padi 2025'!A605="","",'1.1 Produksi Bersih Padi 2025'!A605)</f>
        <v/>
      </c>
      <c r="B603" s="32" t="str">
        <f>IF('1.1 Produksi Bersih Padi 2025'!B605="","",'1.1 Produksi Bersih Padi 2025'!B605)</f>
        <v/>
      </c>
      <c r="C603" s="32" t="str">
        <f>IF('1.1 Produksi Bersih Padi 2025'!C605="","",'1.1 Produksi Bersih Padi 2025'!C605)</f>
        <v/>
      </c>
      <c r="D603" s="3" t="str">
        <f>IF('1.1 Produksi Bersih Padi 2025'!D605="","",'1.1 Produksi Bersih Padi 2025'!D605)</f>
        <v/>
      </c>
      <c r="E603" s="3" t="str">
        <f>IF('1.1 Produksi Bersih Padi 2025'!E605="","",'1.1 Produksi Bersih Padi 2025'!E605)</f>
        <v/>
      </c>
      <c r="F603" s="13" t="str">
        <f>'1.1 Produksi Bersih Padi 2025'!Q605</f>
        <v/>
      </c>
      <c r="G603" s="13" t="str">
        <f>'1.2 Produksi Bersih Jagung 2025'!L605</f>
        <v/>
      </c>
      <c r="H603" s="13" t="str">
        <f>'1.3 Prod Bersih Ubi Kayu 2025'!K605</f>
        <v/>
      </c>
      <c r="I603" s="13" t="str">
        <f>'1.4 Prod Bersih Ubi Jalar 2025'!K605</f>
        <v/>
      </c>
      <c r="J603" s="13" t="str">
        <f>'1.5 Prod Bersih Sagu 2025'!K605</f>
        <v/>
      </c>
      <c r="K603" s="13" t="str">
        <f>'1.6 Prod Bersih Pisang 2025'!K605</f>
        <v/>
      </c>
      <c r="L603" s="15">
        <f t="shared" si="27"/>
        <v>0</v>
      </c>
      <c r="M603" s="14" t="str">
        <f>IF(D603="","",VLOOKUP(D603,'[1]0.1 Produksi Pangan &amp; Penduduk'!$D$5:$AU$704,44,0))</f>
        <v/>
      </c>
      <c r="N603" s="26" t="str">
        <f t="shared" si="28"/>
        <v/>
      </c>
      <c r="O603" s="16"/>
      <c r="P603" s="25" t="str">
        <f t="shared" si="29"/>
        <v/>
      </c>
      <c r="Q603" s="8"/>
      <c r="R603" s="11"/>
    </row>
    <row r="604" spans="1:18" ht="15" x14ac:dyDescent="0.25">
      <c r="A604" s="3" t="str">
        <f>IF('1.1 Produksi Bersih Padi 2025'!A606="","",'1.1 Produksi Bersih Padi 2025'!A606)</f>
        <v/>
      </c>
      <c r="B604" s="32" t="str">
        <f>IF('1.1 Produksi Bersih Padi 2025'!B606="","",'1.1 Produksi Bersih Padi 2025'!B606)</f>
        <v/>
      </c>
      <c r="C604" s="32" t="str">
        <f>IF('1.1 Produksi Bersih Padi 2025'!C606="","",'1.1 Produksi Bersih Padi 2025'!C606)</f>
        <v/>
      </c>
      <c r="D604" s="3" t="str">
        <f>IF('1.1 Produksi Bersih Padi 2025'!D606="","",'1.1 Produksi Bersih Padi 2025'!D606)</f>
        <v/>
      </c>
      <c r="E604" s="3" t="str">
        <f>IF('1.1 Produksi Bersih Padi 2025'!E606="","",'1.1 Produksi Bersih Padi 2025'!E606)</f>
        <v/>
      </c>
      <c r="F604" s="13" t="str">
        <f>'1.1 Produksi Bersih Padi 2025'!Q606</f>
        <v/>
      </c>
      <c r="G604" s="13" t="str">
        <f>'1.2 Produksi Bersih Jagung 2025'!L606</f>
        <v/>
      </c>
      <c r="H604" s="13" t="str">
        <f>'1.3 Prod Bersih Ubi Kayu 2025'!K606</f>
        <v/>
      </c>
      <c r="I604" s="13" t="str">
        <f>'1.4 Prod Bersih Ubi Jalar 2025'!K606</f>
        <v/>
      </c>
      <c r="J604" s="13" t="str">
        <f>'1.5 Prod Bersih Sagu 2025'!K606</f>
        <v/>
      </c>
      <c r="K604" s="13" t="str">
        <f>'1.6 Prod Bersih Pisang 2025'!K606</f>
        <v/>
      </c>
      <c r="L604" s="15">
        <f t="shared" si="27"/>
        <v>0</v>
      </c>
      <c r="M604" s="14" t="str">
        <f>IF(D604="","",VLOOKUP(D604,'[1]0.1 Produksi Pangan &amp; Penduduk'!$D$5:$AU$704,44,0))</f>
        <v/>
      </c>
      <c r="N604" s="26" t="str">
        <f t="shared" si="28"/>
        <v/>
      </c>
      <c r="O604" s="16"/>
      <c r="P604" s="25" t="str">
        <f t="shared" si="29"/>
        <v/>
      </c>
      <c r="Q604" s="8"/>
      <c r="R604" s="11"/>
    </row>
    <row r="605" spans="1:18" ht="15" x14ac:dyDescent="0.25">
      <c r="A605" s="3" t="str">
        <f>IF('1.1 Produksi Bersih Padi 2025'!A607="","",'1.1 Produksi Bersih Padi 2025'!A607)</f>
        <v/>
      </c>
      <c r="B605" s="32" t="str">
        <f>IF('1.1 Produksi Bersih Padi 2025'!B607="","",'1.1 Produksi Bersih Padi 2025'!B607)</f>
        <v/>
      </c>
      <c r="C605" s="32" t="str">
        <f>IF('1.1 Produksi Bersih Padi 2025'!C607="","",'1.1 Produksi Bersih Padi 2025'!C607)</f>
        <v/>
      </c>
      <c r="D605" s="3" t="str">
        <f>IF('1.1 Produksi Bersih Padi 2025'!D607="","",'1.1 Produksi Bersih Padi 2025'!D607)</f>
        <v/>
      </c>
      <c r="E605" s="3" t="str">
        <f>IF('1.1 Produksi Bersih Padi 2025'!E607="","",'1.1 Produksi Bersih Padi 2025'!E607)</f>
        <v/>
      </c>
      <c r="F605" s="13" t="str">
        <f>'1.1 Produksi Bersih Padi 2025'!Q607</f>
        <v/>
      </c>
      <c r="G605" s="13" t="str">
        <f>'1.2 Produksi Bersih Jagung 2025'!L607</f>
        <v/>
      </c>
      <c r="H605" s="13" t="str">
        <f>'1.3 Prod Bersih Ubi Kayu 2025'!K607</f>
        <v/>
      </c>
      <c r="I605" s="13" t="str">
        <f>'1.4 Prod Bersih Ubi Jalar 2025'!K607</f>
        <v/>
      </c>
      <c r="J605" s="13" t="str">
        <f>'1.5 Prod Bersih Sagu 2025'!K607</f>
        <v/>
      </c>
      <c r="K605" s="13" t="str">
        <f>'1.6 Prod Bersih Pisang 2025'!K607</f>
        <v/>
      </c>
      <c r="L605" s="15">
        <f t="shared" si="27"/>
        <v>0</v>
      </c>
      <c r="M605" s="14" t="str">
        <f>IF(D605="","",VLOOKUP(D605,'[1]0.1 Produksi Pangan &amp; Penduduk'!$D$5:$AU$704,44,0))</f>
        <v/>
      </c>
      <c r="N605" s="26" t="str">
        <f t="shared" si="28"/>
        <v/>
      </c>
      <c r="O605" s="16"/>
      <c r="P605" s="25" t="str">
        <f t="shared" si="29"/>
        <v/>
      </c>
      <c r="Q605" s="8"/>
      <c r="R605" s="11"/>
    </row>
    <row r="606" spans="1:18" ht="15" x14ac:dyDescent="0.25">
      <c r="A606" s="3" t="str">
        <f>IF('1.1 Produksi Bersih Padi 2025'!A608="","",'1.1 Produksi Bersih Padi 2025'!A608)</f>
        <v/>
      </c>
      <c r="B606" s="32" t="str">
        <f>IF('1.1 Produksi Bersih Padi 2025'!B608="","",'1.1 Produksi Bersih Padi 2025'!B608)</f>
        <v/>
      </c>
      <c r="C606" s="32" t="str">
        <f>IF('1.1 Produksi Bersih Padi 2025'!C608="","",'1.1 Produksi Bersih Padi 2025'!C608)</f>
        <v/>
      </c>
      <c r="D606" s="3" t="str">
        <f>IF('1.1 Produksi Bersih Padi 2025'!D608="","",'1.1 Produksi Bersih Padi 2025'!D608)</f>
        <v/>
      </c>
      <c r="E606" s="3" t="str">
        <f>IF('1.1 Produksi Bersih Padi 2025'!E608="","",'1.1 Produksi Bersih Padi 2025'!E608)</f>
        <v/>
      </c>
      <c r="F606" s="13" t="str">
        <f>'1.1 Produksi Bersih Padi 2025'!Q608</f>
        <v/>
      </c>
      <c r="G606" s="13" t="str">
        <f>'1.2 Produksi Bersih Jagung 2025'!L608</f>
        <v/>
      </c>
      <c r="H606" s="13" t="str">
        <f>'1.3 Prod Bersih Ubi Kayu 2025'!K608</f>
        <v/>
      </c>
      <c r="I606" s="13" t="str">
        <f>'1.4 Prod Bersih Ubi Jalar 2025'!K608</f>
        <v/>
      </c>
      <c r="J606" s="13" t="str">
        <f>'1.5 Prod Bersih Sagu 2025'!K608</f>
        <v/>
      </c>
      <c r="K606" s="13" t="str">
        <f>'1.6 Prod Bersih Pisang 2025'!K608</f>
        <v/>
      </c>
      <c r="L606" s="15">
        <f t="shared" si="27"/>
        <v>0</v>
      </c>
      <c r="M606" s="14" t="str">
        <f>IF(D606="","",VLOOKUP(D606,'[1]0.1 Produksi Pangan &amp; Penduduk'!$D$5:$AU$704,44,0))</f>
        <v/>
      </c>
      <c r="N606" s="26" t="str">
        <f t="shared" si="28"/>
        <v/>
      </c>
      <c r="O606" s="16"/>
      <c r="P606" s="25" t="str">
        <f t="shared" si="29"/>
        <v/>
      </c>
      <c r="Q606" s="8"/>
      <c r="R606" s="11"/>
    </row>
    <row r="607" spans="1:18" ht="15" x14ac:dyDescent="0.25">
      <c r="A607" s="3" t="str">
        <f>IF('1.1 Produksi Bersih Padi 2025'!A609="","",'1.1 Produksi Bersih Padi 2025'!A609)</f>
        <v/>
      </c>
      <c r="B607" s="32" t="str">
        <f>IF('1.1 Produksi Bersih Padi 2025'!B609="","",'1.1 Produksi Bersih Padi 2025'!B609)</f>
        <v/>
      </c>
      <c r="C607" s="32" t="str">
        <f>IF('1.1 Produksi Bersih Padi 2025'!C609="","",'1.1 Produksi Bersih Padi 2025'!C609)</f>
        <v/>
      </c>
      <c r="D607" s="3" t="str">
        <f>IF('1.1 Produksi Bersih Padi 2025'!D609="","",'1.1 Produksi Bersih Padi 2025'!D609)</f>
        <v/>
      </c>
      <c r="E607" s="3" t="str">
        <f>IF('1.1 Produksi Bersih Padi 2025'!E609="","",'1.1 Produksi Bersih Padi 2025'!E609)</f>
        <v/>
      </c>
      <c r="F607" s="13" t="str">
        <f>'1.1 Produksi Bersih Padi 2025'!Q609</f>
        <v/>
      </c>
      <c r="G607" s="13" t="str">
        <f>'1.2 Produksi Bersih Jagung 2025'!L609</f>
        <v/>
      </c>
      <c r="H607" s="13" t="str">
        <f>'1.3 Prod Bersih Ubi Kayu 2025'!K609</f>
        <v/>
      </c>
      <c r="I607" s="13" t="str">
        <f>'1.4 Prod Bersih Ubi Jalar 2025'!K609</f>
        <v/>
      </c>
      <c r="J607" s="13" t="str">
        <f>'1.5 Prod Bersih Sagu 2025'!K609</f>
        <v/>
      </c>
      <c r="K607" s="13" t="str">
        <f>'1.6 Prod Bersih Pisang 2025'!K609</f>
        <v/>
      </c>
      <c r="L607" s="15">
        <f t="shared" si="27"/>
        <v>0</v>
      </c>
      <c r="M607" s="14" t="str">
        <f>IF(D607="","",VLOOKUP(D607,'[1]0.1 Produksi Pangan &amp; Penduduk'!$D$5:$AU$704,44,0))</f>
        <v/>
      </c>
      <c r="N607" s="26" t="str">
        <f t="shared" si="28"/>
        <v/>
      </c>
      <c r="O607" s="16"/>
      <c r="P607" s="25" t="str">
        <f t="shared" si="29"/>
        <v/>
      </c>
      <c r="Q607" s="8"/>
      <c r="R607" s="11"/>
    </row>
    <row r="608" spans="1:18" ht="15" x14ac:dyDescent="0.25">
      <c r="A608" s="3" t="str">
        <f>IF('1.1 Produksi Bersih Padi 2025'!A610="","",'1.1 Produksi Bersih Padi 2025'!A610)</f>
        <v/>
      </c>
      <c r="B608" s="32" t="str">
        <f>IF('1.1 Produksi Bersih Padi 2025'!B610="","",'1.1 Produksi Bersih Padi 2025'!B610)</f>
        <v/>
      </c>
      <c r="C608" s="32" t="str">
        <f>IF('1.1 Produksi Bersih Padi 2025'!C610="","",'1.1 Produksi Bersih Padi 2025'!C610)</f>
        <v/>
      </c>
      <c r="D608" s="3" t="str">
        <f>IF('1.1 Produksi Bersih Padi 2025'!D610="","",'1.1 Produksi Bersih Padi 2025'!D610)</f>
        <v/>
      </c>
      <c r="E608" s="3" t="str">
        <f>IF('1.1 Produksi Bersih Padi 2025'!E610="","",'1.1 Produksi Bersih Padi 2025'!E610)</f>
        <v/>
      </c>
      <c r="F608" s="13" t="str">
        <f>'1.1 Produksi Bersih Padi 2025'!Q610</f>
        <v/>
      </c>
      <c r="G608" s="13" t="str">
        <f>'1.2 Produksi Bersih Jagung 2025'!L610</f>
        <v/>
      </c>
      <c r="H608" s="13" t="str">
        <f>'1.3 Prod Bersih Ubi Kayu 2025'!K610</f>
        <v/>
      </c>
      <c r="I608" s="13" t="str">
        <f>'1.4 Prod Bersih Ubi Jalar 2025'!K610</f>
        <v/>
      </c>
      <c r="J608" s="13" t="str">
        <f>'1.5 Prod Bersih Sagu 2025'!K610</f>
        <v/>
      </c>
      <c r="K608" s="13" t="str">
        <f>'1.6 Prod Bersih Pisang 2025'!K610</f>
        <v/>
      </c>
      <c r="L608" s="15">
        <f t="shared" si="27"/>
        <v>0</v>
      </c>
      <c r="M608" s="14" t="str">
        <f>IF(D608="","",VLOOKUP(D608,'[1]0.1 Produksi Pangan &amp; Penduduk'!$D$5:$AU$704,44,0))</f>
        <v/>
      </c>
      <c r="N608" s="26" t="str">
        <f t="shared" si="28"/>
        <v/>
      </c>
      <c r="O608" s="16"/>
      <c r="P608" s="25" t="str">
        <f t="shared" si="29"/>
        <v/>
      </c>
      <c r="Q608" s="8"/>
      <c r="R608" s="11"/>
    </row>
    <row r="609" spans="1:18" ht="15" x14ac:dyDescent="0.25">
      <c r="A609" s="3" t="str">
        <f>IF('1.1 Produksi Bersih Padi 2025'!A611="","",'1.1 Produksi Bersih Padi 2025'!A611)</f>
        <v/>
      </c>
      <c r="B609" s="32" t="str">
        <f>IF('1.1 Produksi Bersih Padi 2025'!B611="","",'1.1 Produksi Bersih Padi 2025'!B611)</f>
        <v/>
      </c>
      <c r="C609" s="32" t="str">
        <f>IF('1.1 Produksi Bersih Padi 2025'!C611="","",'1.1 Produksi Bersih Padi 2025'!C611)</f>
        <v/>
      </c>
      <c r="D609" s="3" t="str">
        <f>IF('1.1 Produksi Bersih Padi 2025'!D611="","",'1.1 Produksi Bersih Padi 2025'!D611)</f>
        <v/>
      </c>
      <c r="E609" s="3" t="str">
        <f>IF('1.1 Produksi Bersih Padi 2025'!E611="","",'1.1 Produksi Bersih Padi 2025'!E611)</f>
        <v/>
      </c>
      <c r="F609" s="13" t="str">
        <f>'1.1 Produksi Bersih Padi 2025'!Q611</f>
        <v/>
      </c>
      <c r="G609" s="13" t="str">
        <f>'1.2 Produksi Bersih Jagung 2025'!L611</f>
        <v/>
      </c>
      <c r="H609" s="13" t="str">
        <f>'1.3 Prod Bersih Ubi Kayu 2025'!K611</f>
        <v/>
      </c>
      <c r="I609" s="13" t="str">
        <f>'1.4 Prod Bersih Ubi Jalar 2025'!K611</f>
        <v/>
      </c>
      <c r="J609" s="13" t="str">
        <f>'1.5 Prod Bersih Sagu 2025'!K611</f>
        <v/>
      </c>
      <c r="K609" s="13" t="str">
        <f>'1.6 Prod Bersih Pisang 2025'!K611</f>
        <v/>
      </c>
      <c r="L609" s="15">
        <f t="shared" si="27"/>
        <v>0</v>
      </c>
      <c r="M609" s="14" t="str">
        <f>IF(D609="","",VLOOKUP(D609,'[1]0.1 Produksi Pangan &amp; Penduduk'!$D$5:$AU$704,44,0))</f>
        <v/>
      </c>
      <c r="N609" s="26" t="str">
        <f t="shared" si="28"/>
        <v/>
      </c>
      <c r="O609" s="16"/>
      <c r="P609" s="25" t="str">
        <f t="shared" si="29"/>
        <v/>
      </c>
      <c r="Q609" s="8"/>
      <c r="R609" s="11"/>
    </row>
    <row r="610" spans="1:18" ht="15" x14ac:dyDescent="0.25">
      <c r="A610" s="3" t="str">
        <f>IF('1.1 Produksi Bersih Padi 2025'!A612="","",'1.1 Produksi Bersih Padi 2025'!A612)</f>
        <v/>
      </c>
      <c r="B610" s="32" t="str">
        <f>IF('1.1 Produksi Bersih Padi 2025'!B612="","",'1.1 Produksi Bersih Padi 2025'!B612)</f>
        <v/>
      </c>
      <c r="C610" s="32" t="str">
        <f>IF('1.1 Produksi Bersih Padi 2025'!C612="","",'1.1 Produksi Bersih Padi 2025'!C612)</f>
        <v/>
      </c>
      <c r="D610" s="3" t="str">
        <f>IF('1.1 Produksi Bersih Padi 2025'!D612="","",'1.1 Produksi Bersih Padi 2025'!D612)</f>
        <v/>
      </c>
      <c r="E610" s="3" t="str">
        <f>IF('1.1 Produksi Bersih Padi 2025'!E612="","",'1.1 Produksi Bersih Padi 2025'!E612)</f>
        <v/>
      </c>
      <c r="F610" s="13" t="str">
        <f>'1.1 Produksi Bersih Padi 2025'!Q612</f>
        <v/>
      </c>
      <c r="G610" s="13" t="str">
        <f>'1.2 Produksi Bersih Jagung 2025'!L612</f>
        <v/>
      </c>
      <c r="H610" s="13" t="str">
        <f>'1.3 Prod Bersih Ubi Kayu 2025'!K612</f>
        <v/>
      </c>
      <c r="I610" s="13" t="str">
        <f>'1.4 Prod Bersih Ubi Jalar 2025'!K612</f>
        <v/>
      </c>
      <c r="J610" s="13" t="str">
        <f>'1.5 Prod Bersih Sagu 2025'!K612</f>
        <v/>
      </c>
      <c r="K610" s="13" t="str">
        <f>'1.6 Prod Bersih Pisang 2025'!K612</f>
        <v/>
      </c>
      <c r="L610" s="15">
        <f t="shared" si="27"/>
        <v>0</v>
      </c>
      <c r="M610" s="14" t="str">
        <f>IF(D610="","",VLOOKUP(D610,'[1]0.1 Produksi Pangan &amp; Penduduk'!$D$5:$AU$704,44,0))</f>
        <v/>
      </c>
      <c r="N610" s="26" t="str">
        <f t="shared" si="28"/>
        <v/>
      </c>
      <c r="O610" s="16"/>
      <c r="P610" s="25" t="str">
        <f t="shared" si="29"/>
        <v/>
      </c>
      <c r="Q610" s="8"/>
      <c r="R610" s="11"/>
    </row>
    <row r="611" spans="1:18" ht="15" x14ac:dyDescent="0.25">
      <c r="A611" s="3" t="str">
        <f>IF('1.1 Produksi Bersih Padi 2025'!A613="","",'1.1 Produksi Bersih Padi 2025'!A613)</f>
        <v/>
      </c>
      <c r="B611" s="32" t="str">
        <f>IF('1.1 Produksi Bersih Padi 2025'!B613="","",'1.1 Produksi Bersih Padi 2025'!B613)</f>
        <v/>
      </c>
      <c r="C611" s="32" t="str">
        <f>IF('1.1 Produksi Bersih Padi 2025'!C613="","",'1.1 Produksi Bersih Padi 2025'!C613)</f>
        <v/>
      </c>
      <c r="D611" s="3" t="str">
        <f>IF('1.1 Produksi Bersih Padi 2025'!D613="","",'1.1 Produksi Bersih Padi 2025'!D613)</f>
        <v/>
      </c>
      <c r="E611" s="3" t="str">
        <f>IF('1.1 Produksi Bersih Padi 2025'!E613="","",'1.1 Produksi Bersih Padi 2025'!E613)</f>
        <v/>
      </c>
      <c r="F611" s="13" t="str">
        <f>'1.1 Produksi Bersih Padi 2025'!Q613</f>
        <v/>
      </c>
      <c r="G611" s="13" t="str">
        <f>'1.2 Produksi Bersih Jagung 2025'!L613</f>
        <v/>
      </c>
      <c r="H611" s="13" t="str">
        <f>'1.3 Prod Bersih Ubi Kayu 2025'!K613</f>
        <v/>
      </c>
      <c r="I611" s="13" t="str">
        <f>'1.4 Prod Bersih Ubi Jalar 2025'!K613</f>
        <v/>
      </c>
      <c r="J611" s="13" t="str">
        <f>'1.5 Prod Bersih Sagu 2025'!K613</f>
        <v/>
      </c>
      <c r="K611" s="13" t="str">
        <f>'1.6 Prod Bersih Pisang 2025'!K613</f>
        <v/>
      </c>
      <c r="L611" s="15">
        <f t="shared" si="27"/>
        <v>0</v>
      </c>
      <c r="M611" s="14" t="str">
        <f>IF(D611="","",VLOOKUP(D611,'[1]0.1 Produksi Pangan &amp; Penduduk'!$D$5:$AU$704,44,0))</f>
        <v/>
      </c>
      <c r="N611" s="26" t="str">
        <f t="shared" si="28"/>
        <v/>
      </c>
      <c r="O611" s="16"/>
      <c r="P611" s="25" t="str">
        <f t="shared" si="29"/>
        <v/>
      </c>
      <c r="Q611" s="8"/>
      <c r="R611" s="11"/>
    </row>
    <row r="612" spans="1:18" ht="15" x14ac:dyDescent="0.25">
      <c r="A612" s="3" t="str">
        <f>IF('1.1 Produksi Bersih Padi 2025'!A614="","",'1.1 Produksi Bersih Padi 2025'!A614)</f>
        <v/>
      </c>
      <c r="B612" s="32" t="str">
        <f>IF('1.1 Produksi Bersih Padi 2025'!B614="","",'1.1 Produksi Bersih Padi 2025'!B614)</f>
        <v/>
      </c>
      <c r="C612" s="32" t="str">
        <f>IF('1.1 Produksi Bersih Padi 2025'!C614="","",'1.1 Produksi Bersih Padi 2025'!C614)</f>
        <v/>
      </c>
      <c r="D612" s="3" t="str">
        <f>IF('1.1 Produksi Bersih Padi 2025'!D614="","",'1.1 Produksi Bersih Padi 2025'!D614)</f>
        <v/>
      </c>
      <c r="E612" s="3" t="str">
        <f>IF('1.1 Produksi Bersih Padi 2025'!E614="","",'1.1 Produksi Bersih Padi 2025'!E614)</f>
        <v/>
      </c>
      <c r="F612" s="13" t="str">
        <f>'1.1 Produksi Bersih Padi 2025'!Q614</f>
        <v/>
      </c>
      <c r="G612" s="13" t="str">
        <f>'1.2 Produksi Bersih Jagung 2025'!L614</f>
        <v/>
      </c>
      <c r="H612" s="13" t="str">
        <f>'1.3 Prod Bersih Ubi Kayu 2025'!K614</f>
        <v/>
      </c>
      <c r="I612" s="13" t="str">
        <f>'1.4 Prod Bersih Ubi Jalar 2025'!K614</f>
        <v/>
      </c>
      <c r="J612" s="13" t="str">
        <f>'1.5 Prod Bersih Sagu 2025'!K614</f>
        <v/>
      </c>
      <c r="K612" s="13" t="str">
        <f>'1.6 Prod Bersih Pisang 2025'!K614</f>
        <v/>
      </c>
      <c r="L612" s="15">
        <f t="shared" si="27"/>
        <v>0</v>
      </c>
      <c r="M612" s="14" t="str">
        <f>IF(D612="","",VLOOKUP(D612,'[1]0.1 Produksi Pangan &amp; Penduduk'!$D$5:$AU$704,44,0))</f>
        <v/>
      </c>
      <c r="N612" s="26" t="str">
        <f t="shared" si="28"/>
        <v/>
      </c>
      <c r="O612" s="16"/>
      <c r="P612" s="25" t="str">
        <f t="shared" si="29"/>
        <v/>
      </c>
      <c r="Q612" s="8"/>
      <c r="R612" s="11"/>
    </row>
    <row r="613" spans="1:18" ht="15" x14ac:dyDescent="0.25">
      <c r="A613" s="3" t="str">
        <f>IF('1.1 Produksi Bersih Padi 2025'!A615="","",'1.1 Produksi Bersih Padi 2025'!A615)</f>
        <v/>
      </c>
      <c r="B613" s="32" t="str">
        <f>IF('1.1 Produksi Bersih Padi 2025'!B615="","",'1.1 Produksi Bersih Padi 2025'!B615)</f>
        <v/>
      </c>
      <c r="C613" s="32" t="str">
        <f>IF('1.1 Produksi Bersih Padi 2025'!C615="","",'1.1 Produksi Bersih Padi 2025'!C615)</f>
        <v/>
      </c>
      <c r="D613" s="3" t="str">
        <f>IF('1.1 Produksi Bersih Padi 2025'!D615="","",'1.1 Produksi Bersih Padi 2025'!D615)</f>
        <v/>
      </c>
      <c r="E613" s="3" t="str">
        <f>IF('1.1 Produksi Bersih Padi 2025'!E615="","",'1.1 Produksi Bersih Padi 2025'!E615)</f>
        <v/>
      </c>
      <c r="F613" s="13" t="str">
        <f>'1.1 Produksi Bersih Padi 2025'!Q615</f>
        <v/>
      </c>
      <c r="G613" s="13" t="str">
        <f>'1.2 Produksi Bersih Jagung 2025'!L615</f>
        <v/>
      </c>
      <c r="H613" s="13" t="str">
        <f>'1.3 Prod Bersih Ubi Kayu 2025'!K615</f>
        <v/>
      </c>
      <c r="I613" s="13" t="str">
        <f>'1.4 Prod Bersih Ubi Jalar 2025'!K615</f>
        <v/>
      </c>
      <c r="J613" s="13" t="str">
        <f>'1.5 Prod Bersih Sagu 2025'!K615</f>
        <v/>
      </c>
      <c r="K613" s="13" t="str">
        <f>'1.6 Prod Bersih Pisang 2025'!K615</f>
        <v/>
      </c>
      <c r="L613" s="15">
        <f t="shared" si="27"/>
        <v>0</v>
      </c>
      <c r="M613" s="14" t="str">
        <f>IF(D613="","",VLOOKUP(D613,'[1]0.1 Produksi Pangan &amp; Penduduk'!$D$5:$AU$704,44,0))</f>
        <v/>
      </c>
      <c r="N613" s="26" t="str">
        <f t="shared" si="28"/>
        <v/>
      </c>
      <c r="O613" s="16"/>
      <c r="P613" s="25" t="str">
        <f t="shared" si="29"/>
        <v/>
      </c>
      <c r="Q613" s="8"/>
      <c r="R613" s="11"/>
    </row>
    <row r="614" spans="1:18" ht="15" x14ac:dyDescent="0.25">
      <c r="A614" s="3" t="str">
        <f>IF('1.1 Produksi Bersih Padi 2025'!A616="","",'1.1 Produksi Bersih Padi 2025'!A616)</f>
        <v/>
      </c>
      <c r="B614" s="32" t="str">
        <f>IF('1.1 Produksi Bersih Padi 2025'!B616="","",'1.1 Produksi Bersih Padi 2025'!B616)</f>
        <v/>
      </c>
      <c r="C614" s="32" t="str">
        <f>IF('1.1 Produksi Bersih Padi 2025'!C616="","",'1.1 Produksi Bersih Padi 2025'!C616)</f>
        <v/>
      </c>
      <c r="D614" s="3" t="str">
        <f>IF('1.1 Produksi Bersih Padi 2025'!D616="","",'1.1 Produksi Bersih Padi 2025'!D616)</f>
        <v/>
      </c>
      <c r="E614" s="3" t="str">
        <f>IF('1.1 Produksi Bersih Padi 2025'!E616="","",'1.1 Produksi Bersih Padi 2025'!E616)</f>
        <v/>
      </c>
      <c r="F614" s="13" t="str">
        <f>'1.1 Produksi Bersih Padi 2025'!Q616</f>
        <v/>
      </c>
      <c r="G614" s="13" t="str">
        <f>'1.2 Produksi Bersih Jagung 2025'!L616</f>
        <v/>
      </c>
      <c r="H614" s="13" t="str">
        <f>'1.3 Prod Bersih Ubi Kayu 2025'!K616</f>
        <v/>
      </c>
      <c r="I614" s="13" t="str">
        <f>'1.4 Prod Bersih Ubi Jalar 2025'!K616</f>
        <v/>
      </c>
      <c r="J614" s="13" t="str">
        <f>'1.5 Prod Bersih Sagu 2025'!K616</f>
        <v/>
      </c>
      <c r="K614" s="13" t="str">
        <f>'1.6 Prod Bersih Pisang 2025'!K616</f>
        <v/>
      </c>
      <c r="L614" s="15">
        <f t="shared" si="27"/>
        <v>0</v>
      </c>
      <c r="M614" s="14" t="str">
        <f>IF(D614="","",VLOOKUP(D614,'[1]0.1 Produksi Pangan &amp; Penduduk'!$D$5:$AU$704,44,0))</f>
        <v/>
      </c>
      <c r="N614" s="26" t="str">
        <f t="shared" si="28"/>
        <v/>
      </c>
      <c r="O614" s="16"/>
      <c r="P614" s="25" t="str">
        <f t="shared" si="29"/>
        <v/>
      </c>
      <c r="Q614" s="8"/>
      <c r="R614" s="11"/>
    </row>
    <row r="615" spans="1:18" ht="15" x14ac:dyDescent="0.25">
      <c r="A615" s="3" t="str">
        <f>IF('1.1 Produksi Bersih Padi 2025'!A617="","",'1.1 Produksi Bersih Padi 2025'!A617)</f>
        <v/>
      </c>
      <c r="B615" s="32" t="str">
        <f>IF('1.1 Produksi Bersih Padi 2025'!B617="","",'1.1 Produksi Bersih Padi 2025'!B617)</f>
        <v/>
      </c>
      <c r="C615" s="32" t="str">
        <f>IF('1.1 Produksi Bersih Padi 2025'!C617="","",'1.1 Produksi Bersih Padi 2025'!C617)</f>
        <v/>
      </c>
      <c r="D615" s="3" t="str">
        <f>IF('1.1 Produksi Bersih Padi 2025'!D617="","",'1.1 Produksi Bersih Padi 2025'!D617)</f>
        <v/>
      </c>
      <c r="E615" s="3" t="str">
        <f>IF('1.1 Produksi Bersih Padi 2025'!E617="","",'1.1 Produksi Bersih Padi 2025'!E617)</f>
        <v/>
      </c>
      <c r="F615" s="13" t="str">
        <f>'1.1 Produksi Bersih Padi 2025'!Q617</f>
        <v/>
      </c>
      <c r="G615" s="13" t="str">
        <f>'1.2 Produksi Bersih Jagung 2025'!L617</f>
        <v/>
      </c>
      <c r="H615" s="13" t="str">
        <f>'1.3 Prod Bersih Ubi Kayu 2025'!K617</f>
        <v/>
      </c>
      <c r="I615" s="13" t="str">
        <f>'1.4 Prod Bersih Ubi Jalar 2025'!K617</f>
        <v/>
      </c>
      <c r="J615" s="13" t="str">
        <f>'1.5 Prod Bersih Sagu 2025'!K617</f>
        <v/>
      </c>
      <c r="K615" s="13" t="str">
        <f>'1.6 Prod Bersih Pisang 2025'!K617</f>
        <v/>
      </c>
      <c r="L615" s="15">
        <f t="shared" si="27"/>
        <v>0</v>
      </c>
      <c r="M615" s="14" t="str">
        <f>IF(D615="","",VLOOKUP(D615,'[1]0.1 Produksi Pangan &amp; Penduduk'!$D$5:$AU$704,44,0))</f>
        <v/>
      </c>
      <c r="N615" s="26" t="str">
        <f t="shared" si="28"/>
        <v/>
      </c>
      <c r="O615" s="16"/>
      <c r="P615" s="25" t="str">
        <f t="shared" si="29"/>
        <v/>
      </c>
      <c r="Q615" s="8"/>
      <c r="R615" s="11"/>
    </row>
    <row r="616" spans="1:18" ht="15" x14ac:dyDescent="0.25">
      <c r="A616" s="3" t="str">
        <f>IF('1.1 Produksi Bersih Padi 2025'!A618="","",'1.1 Produksi Bersih Padi 2025'!A618)</f>
        <v/>
      </c>
      <c r="B616" s="32" t="str">
        <f>IF('1.1 Produksi Bersih Padi 2025'!B618="","",'1.1 Produksi Bersih Padi 2025'!B618)</f>
        <v/>
      </c>
      <c r="C616" s="32" t="str">
        <f>IF('1.1 Produksi Bersih Padi 2025'!C618="","",'1.1 Produksi Bersih Padi 2025'!C618)</f>
        <v/>
      </c>
      <c r="D616" s="3" t="str">
        <f>IF('1.1 Produksi Bersih Padi 2025'!D618="","",'1.1 Produksi Bersih Padi 2025'!D618)</f>
        <v/>
      </c>
      <c r="E616" s="3" t="str">
        <f>IF('1.1 Produksi Bersih Padi 2025'!E618="","",'1.1 Produksi Bersih Padi 2025'!E618)</f>
        <v/>
      </c>
      <c r="F616" s="13" t="str">
        <f>'1.1 Produksi Bersih Padi 2025'!Q618</f>
        <v/>
      </c>
      <c r="G616" s="13" t="str">
        <f>'1.2 Produksi Bersih Jagung 2025'!L618</f>
        <v/>
      </c>
      <c r="H616" s="13" t="str">
        <f>'1.3 Prod Bersih Ubi Kayu 2025'!K618</f>
        <v/>
      </c>
      <c r="I616" s="13" t="str">
        <f>'1.4 Prod Bersih Ubi Jalar 2025'!K618</f>
        <v/>
      </c>
      <c r="J616" s="13" t="str">
        <f>'1.5 Prod Bersih Sagu 2025'!K618</f>
        <v/>
      </c>
      <c r="K616" s="13" t="str">
        <f>'1.6 Prod Bersih Pisang 2025'!K618</f>
        <v/>
      </c>
      <c r="L616" s="15">
        <f t="shared" si="27"/>
        <v>0</v>
      </c>
      <c r="M616" s="14" t="str">
        <f>IF(D616="","",VLOOKUP(D616,'[1]0.1 Produksi Pangan &amp; Penduduk'!$D$5:$AU$704,44,0))</f>
        <v/>
      </c>
      <c r="N616" s="26" t="str">
        <f t="shared" si="28"/>
        <v/>
      </c>
      <c r="O616" s="16"/>
      <c r="P616" s="25" t="str">
        <f t="shared" si="29"/>
        <v/>
      </c>
      <c r="Q616" s="8"/>
      <c r="R616" s="11"/>
    </row>
    <row r="617" spans="1:18" ht="15" x14ac:dyDescent="0.25">
      <c r="A617" s="3" t="str">
        <f>IF('1.1 Produksi Bersih Padi 2025'!A619="","",'1.1 Produksi Bersih Padi 2025'!A619)</f>
        <v/>
      </c>
      <c r="B617" s="32" t="str">
        <f>IF('1.1 Produksi Bersih Padi 2025'!B619="","",'1.1 Produksi Bersih Padi 2025'!B619)</f>
        <v/>
      </c>
      <c r="C617" s="32" t="str">
        <f>IF('1.1 Produksi Bersih Padi 2025'!C619="","",'1.1 Produksi Bersih Padi 2025'!C619)</f>
        <v/>
      </c>
      <c r="D617" s="3" t="str">
        <f>IF('1.1 Produksi Bersih Padi 2025'!D619="","",'1.1 Produksi Bersih Padi 2025'!D619)</f>
        <v/>
      </c>
      <c r="E617" s="3" t="str">
        <f>IF('1.1 Produksi Bersih Padi 2025'!E619="","",'1.1 Produksi Bersih Padi 2025'!E619)</f>
        <v/>
      </c>
      <c r="F617" s="13" t="str">
        <f>'1.1 Produksi Bersih Padi 2025'!Q619</f>
        <v/>
      </c>
      <c r="G617" s="13" t="str">
        <f>'1.2 Produksi Bersih Jagung 2025'!L619</f>
        <v/>
      </c>
      <c r="H617" s="13" t="str">
        <f>'1.3 Prod Bersih Ubi Kayu 2025'!K619</f>
        <v/>
      </c>
      <c r="I617" s="13" t="str">
        <f>'1.4 Prod Bersih Ubi Jalar 2025'!K619</f>
        <v/>
      </c>
      <c r="J617" s="13" t="str">
        <f>'1.5 Prod Bersih Sagu 2025'!K619</f>
        <v/>
      </c>
      <c r="K617" s="13" t="str">
        <f>'1.6 Prod Bersih Pisang 2025'!K619</f>
        <v/>
      </c>
      <c r="L617" s="15">
        <f t="shared" si="27"/>
        <v>0</v>
      </c>
      <c r="M617" s="14" t="str">
        <f>IF(D617="","",VLOOKUP(D617,'[1]0.1 Produksi Pangan &amp; Penduduk'!$D$5:$AU$704,44,0))</f>
        <v/>
      </c>
      <c r="N617" s="26" t="str">
        <f t="shared" si="28"/>
        <v/>
      </c>
      <c r="O617" s="16"/>
      <c r="P617" s="25" t="str">
        <f t="shared" si="29"/>
        <v/>
      </c>
      <c r="Q617" s="8"/>
      <c r="R617" s="11"/>
    </row>
    <row r="618" spans="1:18" ht="15" x14ac:dyDescent="0.25">
      <c r="A618" s="3" t="str">
        <f>IF('1.1 Produksi Bersih Padi 2025'!A620="","",'1.1 Produksi Bersih Padi 2025'!A620)</f>
        <v/>
      </c>
      <c r="B618" s="32" t="str">
        <f>IF('1.1 Produksi Bersih Padi 2025'!B620="","",'1.1 Produksi Bersih Padi 2025'!B620)</f>
        <v/>
      </c>
      <c r="C618" s="32" t="str">
        <f>IF('1.1 Produksi Bersih Padi 2025'!C620="","",'1.1 Produksi Bersih Padi 2025'!C620)</f>
        <v/>
      </c>
      <c r="D618" s="3" t="str">
        <f>IF('1.1 Produksi Bersih Padi 2025'!D620="","",'1.1 Produksi Bersih Padi 2025'!D620)</f>
        <v/>
      </c>
      <c r="E618" s="3" t="str">
        <f>IF('1.1 Produksi Bersih Padi 2025'!E620="","",'1.1 Produksi Bersih Padi 2025'!E620)</f>
        <v/>
      </c>
      <c r="F618" s="13" t="str">
        <f>'1.1 Produksi Bersih Padi 2025'!Q620</f>
        <v/>
      </c>
      <c r="G618" s="13" t="str">
        <f>'1.2 Produksi Bersih Jagung 2025'!L620</f>
        <v/>
      </c>
      <c r="H618" s="13" t="str">
        <f>'1.3 Prod Bersih Ubi Kayu 2025'!K620</f>
        <v/>
      </c>
      <c r="I618" s="13" t="str">
        <f>'1.4 Prod Bersih Ubi Jalar 2025'!K620</f>
        <v/>
      </c>
      <c r="J618" s="13" t="str">
        <f>'1.5 Prod Bersih Sagu 2025'!K620</f>
        <v/>
      </c>
      <c r="K618" s="13" t="str">
        <f>'1.6 Prod Bersih Pisang 2025'!K620</f>
        <v/>
      </c>
      <c r="L618" s="15">
        <f t="shared" si="27"/>
        <v>0</v>
      </c>
      <c r="M618" s="14" t="str">
        <f>IF(D618="","",VLOOKUP(D618,'[1]0.1 Produksi Pangan &amp; Penduduk'!$D$5:$AU$704,44,0))</f>
        <v/>
      </c>
      <c r="N618" s="26" t="str">
        <f t="shared" si="28"/>
        <v/>
      </c>
      <c r="O618" s="16"/>
      <c r="P618" s="25" t="str">
        <f t="shared" si="29"/>
        <v/>
      </c>
      <c r="Q618" s="8"/>
      <c r="R618" s="11"/>
    </row>
    <row r="619" spans="1:18" ht="15" x14ac:dyDescent="0.25">
      <c r="A619" s="3" t="str">
        <f>IF('1.1 Produksi Bersih Padi 2025'!A621="","",'1.1 Produksi Bersih Padi 2025'!A621)</f>
        <v/>
      </c>
      <c r="B619" s="32" t="str">
        <f>IF('1.1 Produksi Bersih Padi 2025'!B621="","",'1.1 Produksi Bersih Padi 2025'!B621)</f>
        <v/>
      </c>
      <c r="C619" s="32" t="str">
        <f>IF('1.1 Produksi Bersih Padi 2025'!C621="","",'1.1 Produksi Bersih Padi 2025'!C621)</f>
        <v/>
      </c>
      <c r="D619" s="3" t="str">
        <f>IF('1.1 Produksi Bersih Padi 2025'!D621="","",'1.1 Produksi Bersih Padi 2025'!D621)</f>
        <v/>
      </c>
      <c r="E619" s="3" t="str">
        <f>IF('1.1 Produksi Bersih Padi 2025'!E621="","",'1.1 Produksi Bersih Padi 2025'!E621)</f>
        <v/>
      </c>
      <c r="F619" s="13" t="str">
        <f>'1.1 Produksi Bersih Padi 2025'!Q621</f>
        <v/>
      </c>
      <c r="G619" s="13" t="str">
        <f>'1.2 Produksi Bersih Jagung 2025'!L621</f>
        <v/>
      </c>
      <c r="H619" s="13" t="str">
        <f>'1.3 Prod Bersih Ubi Kayu 2025'!K621</f>
        <v/>
      </c>
      <c r="I619" s="13" t="str">
        <f>'1.4 Prod Bersih Ubi Jalar 2025'!K621</f>
        <v/>
      </c>
      <c r="J619" s="13" t="str">
        <f>'1.5 Prod Bersih Sagu 2025'!K621</f>
        <v/>
      </c>
      <c r="K619" s="13" t="str">
        <f>'1.6 Prod Bersih Pisang 2025'!K621</f>
        <v/>
      </c>
      <c r="L619" s="15">
        <f t="shared" si="27"/>
        <v>0</v>
      </c>
      <c r="M619" s="14" t="str">
        <f>IF(D619="","",VLOOKUP(D619,'[1]0.1 Produksi Pangan &amp; Penduduk'!$D$5:$AU$704,44,0))</f>
        <v/>
      </c>
      <c r="N619" s="26" t="str">
        <f t="shared" si="28"/>
        <v/>
      </c>
      <c r="O619" s="16"/>
      <c r="P619" s="25" t="str">
        <f t="shared" si="29"/>
        <v/>
      </c>
      <c r="Q619" s="8"/>
      <c r="R619" s="11"/>
    </row>
    <row r="620" spans="1:18" ht="15" x14ac:dyDescent="0.25">
      <c r="A620" s="3" t="str">
        <f>IF('1.1 Produksi Bersih Padi 2025'!A622="","",'1.1 Produksi Bersih Padi 2025'!A622)</f>
        <v/>
      </c>
      <c r="B620" s="32" t="str">
        <f>IF('1.1 Produksi Bersih Padi 2025'!B622="","",'1.1 Produksi Bersih Padi 2025'!B622)</f>
        <v/>
      </c>
      <c r="C620" s="32" t="str">
        <f>IF('1.1 Produksi Bersih Padi 2025'!C622="","",'1.1 Produksi Bersih Padi 2025'!C622)</f>
        <v/>
      </c>
      <c r="D620" s="3" t="str">
        <f>IF('1.1 Produksi Bersih Padi 2025'!D622="","",'1.1 Produksi Bersih Padi 2025'!D622)</f>
        <v/>
      </c>
      <c r="E620" s="3" t="str">
        <f>IF('1.1 Produksi Bersih Padi 2025'!E622="","",'1.1 Produksi Bersih Padi 2025'!E622)</f>
        <v/>
      </c>
      <c r="F620" s="13" t="str">
        <f>'1.1 Produksi Bersih Padi 2025'!Q622</f>
        <v/>
      </c>
      <c r="G620" s="13" t="str">
        <f>'1.2 Produksi Bersih Jagung 2025'!L622</f>
        <v/>
      </c>
      <c r="H620" s="13" t="str">
        <f>'1.3 Prod Bersih Ubi Kayu 2025'!K622</f>
        <v/>
      </c>
      <c r="I620" s="13" t="str">
        <f>'1.4 Prod Bersih Ubi Jalar 2025'!K622</f>
        <v/>
      </c>
      <c r="J620" s="13" t="str">
        <f>'1.5 Prod Bersih Sagu 2025'!K622</f>
        <v/>
      </c>
      <c r="K620" s="13" t="str">
        <f>'1.6 Prod Bersih Pisang 2025'!K622</f>
        <v/>
      </c>
      <c r="L620" s="15">
        <f t="shared" si="27"/>
        <v>0</v>
      </c>
      <c r="M620" s="14" t="str">
        <f>IF(D620="","",VLOOKUP(D620,'[1]0.1 Produksi Pangan &amp; Penduduk'!$D$5:$AU$704,44,0))</f>
        <v/>
      </c>
      <c r="N620" s="26" t="str">
        <f t="shared" si="28"/>
        <v/>
      </c>
      <c r="O620" s="16"/>
      <c r="P620" s="25" t="str">
        <f t="shared" si="29"/>
        <v/>
      </c>
      <c r="Q620" s="8"/>
      <c r="R620" s="11"/>
    </row>
    <row r="621" spans="1:18" ht="15" x14ac:dyDescent="0.25">
      <c r="A621" s="3" t="str">
        <f>IF('1.1 Produksi Bersih Padi 2025'!A623="","",'1.1 Produksi Bersih Padi 2025'!A623)</f>
        <v/>
      </c>
      <c r="B621" s="32" t="str">
        <f>IF('1.1 Produksi Bersih Padi 2025'!B623="","",'1.1 Produksi Bersih Padi 2025'!B623)</f>
        <v/>
      </c>
      <c r="C621" s="32" t="str">
        <f>IF('1.1 Produksi Bersih Padi 2025'!C623="","",'1.1 Produksi Bersih Padi 2025'!C623)</f>
        <v/>
      </c>
      <c r="D621" s="3" t="str">
        <f>IF('1.1 Produksi Bersih Padi 2025'!D623="","",'1.1 Produksi Bersih Padi 2025'!D623)</f>
        <v/>
      </c>
      <c r="E621" s="3" t="str">
        <f>IF('1.1 Produksi Bersih Padi 2025'!E623="","",'1.1 Produksi Bersih Padi 2025'!E623)</f>
        <v/>
      </c>
      <c r="F621" s="13" t="str">
        <f>'1.1 Produksi Bersih Padi 2025'!Q623</f>
        <v/>
      </c>
      <c r="G621" s="13" t="str">
        <f>'1.2 Produksi Bersih Jagung 2025'!L623</f>
        <v/>
      </c>
      <c r="H621" s="13" t="str">
        <f>'1.3 Prod Bersih Ubi Kayu 2025'!K623</f>
        <v/>
      </c>
      <c r="I621" s="13" t="str">
        <f>'1.4 Prod Bersih Ubi Jalar 2025'!K623</f>
        <v/>
      </c>
      <c r="J621" s="13" t="str">
        <f>'1.5 Prod Bersih Sagu 2025'!K623</f>
        <v/>
      </c>
      <c r="K621" s="13" t="str">
        <f>'1.6 Prod Bersih Pisang 2025'!K623</f>
        <v/>
      </c>
      <c r="L621" s="15">
        <f t="shared" si="27"/>
        <v>0</v>
      </c>
      <c r="M621" s="14" t="str">
        <f>IF(D621="","",VLOOKUP(D621,'[1]0.1 Produksi Pangan &amp; Penduduk'!$D$5:$AU$704,44,0))</f>
        <v/>
      </c>
      <c r="N621" s="26" t="str">
        <f t="shared" si="28"/>
        <v/>
      </c>
      <c r="O621" s="16"/>
      <c r="P621" s="25" t="str">
        <f t="shared" si="29"/>
        <v/>
      </c>
      <c r="Q621" s="8"/>
      <c r="R621" s="11"/>
    </row>
    <row r="622" spans="1:18" ht="15" x14ac:dyDescent="0.25">
      <c r="A622" s="3" t="str">
        <f>IF('1.1 Produksi Bersih Padi 2025'!A624="","",'1.1 Produksi Bersih Padi 2025'!A624)</f>
        <v/>
      </c>
      <c r="B622" s="32" t="str">
        <f>IF('1.1 Produksi Bersih Padi 2025'!B624="","",'1.1 Produksi Bersih Padi 2025'!B624)</f>
        <v/>
      </c>
      <c r="C622" s="32" t="str">
        <f>IF('1.1 Produksi Bersih Padi 2025'!C624="","",'1.1 Produksi Bersih Padi 2025'!C624)</f>
        <v/>
      </c>
      <c r="D622" s="3" t="str">
        <f>IF('1.1 Produksi Bersih Padi 2025'!D624="","",'1.1 Produksi Bersih Padi 2025'!D624)</f>
        <v/>
      </c>
      <c r="E622" s="3" t="str">
        <f>IF('1.1 Produksi Bersih Padi 2025'!E624="","",'1.1 Produksi Bersih Padi 2025'!E624)</f>
        <v/>
      </c>
      <c r="F622" s="13" t="str">
        <f>'1.1 Produksi Bersih Padi 2025'!Q624</f>
        <v/>
      </c>
      <c r="G622" s="13" t="str">
        <f>'1.2 Produksi Bersih Jagung 2025'!L624</f>
        <v/>
      </c>
      <c r="H622" s="13" t="str">
        <f>'1.3 Prod Bersih Ubi Kayu 2025'!K624</f>
        <v/>
      </c>
      <c r="I622" s="13" t="str">
        <f>'1.4 Prod Bersih Ubi Jalar 2025'!K624</f>
        <v/>
      </c>
      <c r="J622" s="13" t="str">
        <f>'1.5 Prod Bersih Sagu 2025'!K624</f>
        <v/>
      </c>
      <c r="K622" s="13" t="str">
        <f>'1.6 Prod Bersih Pisang 2025'!K624</f>
        <v/>
      </c>
      <c r="L622" s="15">
        <f t="shared" si="27"/>
        <v>0</v>
      </c>
      <c r="M622" s="14" t="str">
        <f>IF(D622="","",VLOOKUP(D622,'[1]0.1 Produksi Pangan &amp; Penduduk'!$D$5:$AU$704,44,0))</f>
        <v/>
      </c>
      <c r="N622" s="26" t="str">
        <f t="shared" si="28"/>
        <v/>
      </c>
      <c r="O622" s="16"/>
      <c r="P622" s="25" t="str">
        <f t="shared" si="29"/>
        <v/>
      </c>
      <c r="Q622" s="8"/>
      <c r="R622" s="11"/>
    </row>
    <row r="623" spans="1:18" ht="15" x14ac:dyDescent="0.25">
      <c r="A623" s="3" t="str">
        <f>IF('1.1 Produksi Bersih Padi 2025'!A625="","",'1.1 Produksi Bersih Padi 2025'!A625)</f>
        <v/>
      </c>
      <c r="B623" s="32" t="str">
        <f>IF('1.1 Produksi Bersih Padi 2025'!B625="","",'1.1 Produksi Bersih Padi 2025'!B625)</f>
        <v/>
      </c>
      <c r="C623" s="32" t="str">
        <f>IF('1.1 Produksi Bersih Padi 2025'!C625="","",'1.1 Produksi Bersih Padi 2025'!C625)</f>
        <v/>
      </c>
      <c r="D623" s="3" t="str">
        <f>IF('1.1 Produksi Bersih Padi 2025'!D625="","",'1.1 Produksi Bersih Padi 2025'!D625)</f>
        <v/>
      </c>
      <c r="E623" s="3" t="str">
        <f>IF('1.1 Produksi Bersih Padi 2025'!E625="","",'1.1 Produksi Bersih Padi 2025'!E625)</f>
        <v/>
      </c>
      <c r="F623" s="13" t="str">
        <f>'1.1 Produksi Bersih Padi 2025'!Q625</f>
        <v/>
      </c>
      <c r="G623" s="13" t="str">
        <f>'1.2 Produksi Bersih Jagung 2025'!L625</f>
        <v/>
      </c>
      <c r="H623" s="13" t="str">
        <f>'1.3 Prod Bersih Ubi Kayu 2025'!K625</f>
        <v/>
      </c>
      <c r="I623" s="13" t="str">
        <f>'1.4 Prod Bersih Ubi Jalar 2025'!K625</f>
        <v/>
      </c>
      <c r="J623" s="13" t="str">
        <f>'1.5 Prod Bersih Sagu 2025'!K625</f>
        <v/>
      </c>
      <c r="K623" s="13" t="str">
        <f>'1.6 Prod Bersih Pisang 2025'!K625</f>
        <v/>
      </c>
      <c r="L623" s="15">
        <f t="shared" si="27"/>
        <v>0</v>
      </c>
      <c r="M623" s="14" t="str">
        <f>IF(D623="","",VLOOKUP(D623,'[1]0.1 Produksi Pangan &amp; Penduduk'!$D$5:$AU$704,44,0))</f>
        <v/>
      </c>
      <c r="N623" s="26" t="str">
        <f t="shared" si="28"/>
        <v/>
      </c>
      <c r="O623" s="16"/>
      <c r="P623" s="25" t="str">
        <f t="shared" si="29"/>
        <v/>
      </c>
      <c r="Q623" s="8"/>
      <c r="R623" s="11"/>
    </row>
    <row r="624" spans="1:18" ht="15" x14ac:dyDescent="0.25">
      <c r="A624" s="3" t="str">
        <f>IF('1.1 Produksi Bersih Padi 2025'!A626="","",'1.1 Produksi Bersih Padi 2025'!A626)</f>
        <v/>
      </c>
      <c r="B624" s="32" t="str">
        <f>IF('1.1 Produksi Bersih Padi 2025'!B626="","",'1.1 Produksi Bersih Padi 2025'!B626)</f>
        <v/>
      </c>
      <c r="C624" s="32" t="str">
        <f>IF('1.1 Produksi Bersih Padi 2025'!C626="","",'1.1 Produksi Bersih Padi 2025'!C626)</f>
        <v/>
      </c>
      <c r="D624" s="3" t="str">
        <f>IF('1.1 Produksi Bersih Padi 2025'!D626="","",'1.1 Produksi Bersih Padi 2025'!D626)</f>
        <v/>
      </c>
      <c r="E624" s="3" t="str">
        <f>IF('1.1 Produksi Bersih Padi 2025'!E626="","",'1.1 Produksi Bersih Padi 2025'!E626)</f>
        <v/>
      </c>
      <c r="F624" s="13" t="str">
        <f>'1.1 Produksi Bersih Padi 2025'!Q626</f>
        <v/>
      </c>
      <c r="G624" s="13" t="str">
        <f>'1.2 Produksi Bersih Jagung 2025'!L626</f>
        <v/>
      </c>
      <c r="H624" s="13" t="str">
        <f>'1.3 Prod Bersih Ubi Kayu 2025'!K626</f>
        <v/>
      </c>
      <c r="I624" s="13" t="str">
        <f>'1.4 Prod Bersih Ubi Jalar 2025'!K626</f>
        <v/>
      </c>
      <c r="J624" s="13" t="str">
        <f>'1.5 Prod Bersih Sagu 2025'!K626</f>
        <v/>
      </c>
      <c r="K624" s="13" t="str">
        <f>'1.6 Prod Bersih Pisang 2025'!K626</f>
        <v/>
      </c>
      <c r="L624" s="15">
        <f t="shared" si="27"/>
        <v>0</v>
      </c>
      <c r="M624" s="14" t="str">
        <f>IF(D624="","",VLOOKUP(D624,'[1]0.1 Produksi Pangan &amp; Penduduk'!$D$5:$AU$704,44,0))</f>
        <v/>
      </c>
      <c r="N624" s="26" t="str">
        <f t="shared" si="28"/>
        <v/>
      </c>
      <c r="O624" s="16"/>
      <c r="P624" s="25" t="str">
        <f t="shared" si="29"/>
        <v/>
      </c>
      <c r="Q624" s="8"/>
      <c r="R624" s="11"/>
    </row>
    <row r="625" spans="1:18" ht="15" x14ac:dyDescent="0.25">
      <c r="A625" s="3" t="str">
        <f>IF('1.1 Produksi Bersih Padi 2025'!A627="","",'1.1 Produksi Bersih Padi 2025'!A627)</f>
        <v/>
      </c>
      <c r="B625" s="32" t="str">
        <f>IF('1.1 Produksi Bersih Padi 2025'!B627="","",'1.1 Produksi Bersih Padi 2025'!B627)</f>
        <v/>
      </c>
      <c r="C625" s="32" t="str">
        <f>IF('1.1 Produksi Bersih Padi 2025'!C627="","",'1.1 Produksi Bersih Padi 2025'!C627)</f>
        <v/>
      </c>
      <c r="D625" s="3" t="str">
        <f>IF('1.1 Produksi Bersih Padi 2025'!D627="","",'1.1 Produksi Bersih Padi 2025'!D627)</f>
        <v/>
      </c>
      <c r="E625" s="3" t="str">
        <f>IF('1.1 Produksi Bersih Padi 2025'!E627="","",'1.1 Produksi Bersih Padi 2025'!E627)</f>
        <v/>
      </c>
      <c r="F625" s="13" t="str">
        <f>'1.1 Produksi Bersih Padi 2025'!Q627</f>
        <v/>
      </c>
      <c r="G625" s="13" t="str">
        <f>'1.2 Produksi Bersih Jagung 2025'!L627</f>
        <v/>
      </c>
      <c r="H625" s="13" t="str">
        <f>'1.3 Prod Bersih Ubi Kayu 2025'!K627</f>
        <v/>
      </c>
      <c r="I625" s="13" t="str">
        <f>'1.4 Prod Bersih Ubi Jalar 2025'!K627</f>
        <v/>
      </c>
      <c r="J625" s="13" t="str">
        <f>'1.5 Prod Bersih Sagu 2025'!K627</f>
        <v/>
      </c>
      <c r="K625" s="13" t="str">
        <f>'1.6 Prod Bersih Pisang 2025'!K627</f>
        <v/>
      </c>
      <c r="L625" s="15">
        <f t="shared" si="27"/>
        <v>0</v>
      </c>
      <c r="M625" s="14" t="str">
        <f>IF(D625="","",VLOOKUP(D625,'[1]0.1 Produksi Pangan &amp; Penduduk'!$D$5:$AU$704,44,0))</f>
        <v/>
      </c>
      <c r="N625" s="26" t="str">
        <f t="shared" si="28"/>
        <v/>
      </c>
      <c r="O625" s="16"/>
      <c r="P625" s="25" t="str">
        <f t="shared" si="29"/>
        <v/>
      </c>
      <c r="Q625" s="8"/>
      <c r="R625" s="11"/>
    </row>
    <row r="626" spans="1:18" ht="15" x14ac:dyDescent="0.25">
      <c r="A626" s="3" t="str">
        <f>IF('1.1 Produksi Bersih Padi 2025'!A628="","",'1.1 Produksi Bersih Padi 2025'!A628)</f>
        <v/>
      </c>
      <c r="B626" s="32" t="str">
        <f>IF('1.1 Produksi Bersih Padi 2025'!B628="","",'1.1 Produksi Bersih Padi 2025'!B628)</f>
        <v/>
      </c>
      <c r="C626" s="32" t="str">
        <f>IF('1.1 Produksi Bersih Padi 2025'!C628="","",'1.1 Produksi Bersih Padi 2025'!C628)</f>
        <v/>
      </c>
      <c r="D626" s="3" t="str">
        <f>IF('1.1 Produksi Bersih Padi 2025'!D628="","",'1.1 Produksi Bersih Padi 2025'!D628)</f>
        <v/>
      </c>
      <c r="E626" s="3" t="str">
        <f>IF('1.1 Produksi Bersih Padi 2025'!E628="","",'1.1 Produksi Bersih Padi 2025'!E628)</f>
        <v/>
      </c>
      <c r="F626" s="13" t="str">
        <f>'1.1 Produksi Bersih Padi 2025'!Q628</f>
        <v/>
      </c>
      <c r="G626" s="13" t="str">
        <f>'1.2 Produksi Bersih Jagung 2025'!L628</f>
        <v/>
      </c>
      <c r="H626" s="13" t="str">
        <f>'1.3 Prod Bersih Ubi Kayu 2025'!K628</f>
        <v/>
      </c>
      <c r="I626" s="13" t="str">
        <f>'1.4 Prod Bersih Ubi Jalar 2025'!K628</f>
        <v/>
      </c>
      <c r="J626" s="13" t="str">
        <f>'1.5 Prod Bersih Sagu 2025'!K628</f>
        <v/>
      </c>
      <c r="K626" s="13" t="str">
        <f>'1.6 Prod Bersih Pisang 2025'!K628</f>
        <v/>
      </c>
      <c r="L626" s="15">
        <f t="shared" si="27"/>
        <v>0</v>
      </c>
      <c r="M626" s="14" t="str">
        <f>IF(D626="","",VLOOKUP(D626,'[1]0.1 Produksi Pangan &amp; Penduduk'!$D$5:$AU$704,44,0))</f>
        <v/>
      </c>
      <c r="N626" s="26" t="str">
        <f t="shared" si="28"/>
        <v/>
      </c>
      <c r="O626" s="16"/>
      <c r="P626" s="25" t="str">
        <f t="shared" si="29"/>
        <v/>
      </c>
      <c r="Q626" s="8"/>
      <c r="R626" s="11"/>
    </row>
    <row r="627" spans="1:18" ht="15" x14ac:dyDescent="0.25">
      <c r="A627" s="3" t="str">
        <f>IF('1.1 Produksi Bersih Padi 2025'!A629="","",'1.1 Produksi Bersih Padi 2025'!A629)</f>
        <v/>
      </c>
      <c r="B627" s="32" t="str">
        <f>IF('1.1 Produksi Bersih Padi 2025'!B629="","",'1.1 Produksi Bersih Padi 2025'!B629)</f>
        <v/>
      </c>
      <c r="C627" s="32" t="str">
        <f>IF('1.1 Produksi Bersih Padi 2025'!C629="","",'1.1 Produksi Bersih Padi 2025'!C629)</f>
        <v/>
      </c>
      <c r="D627" s="3" t="str">
        <f>IF('1.1 Produksi Bersih Padi 2025'!D629="","",'1.1 Produksi Bersih Padi 2025'!D629)</f>
        <v/>
      </c>
      <c r="E627" s="3" t="str">
        <f>IF('1.1 Produksi Bersih Padi 2025'!E629="","",'1.1 Produksi Bersih Padi 2025'!E629)</f>
        <v/>
      </c>
      <c r="F627" s="13" t="str">
        <f>'1.1 Produksi Bersih Padi 2025'!Q629</f>
        <v/>
      </c>
      <c r="G627" s="13" t="str">
        <f>'1.2 Produksi Bersih Jagung 2025'!L629</f>
        <v/>
      </c>
      <c r="H627" s="13" t="str">
        <f>'1.3 Prod Bersih Ubi Kayu 2025'!K629</f>
        <v/>
      </c>
      <c r="I627" s="13" t="str">
        <f>'1.4 Prod Bersih Ubi Jalar 2025'!K629</f>
        <v/>
      </c>
      <c r="J627" s="13" t="str">
        <f>'1.5 Prod Bersih Sagu 2025'!K629</f>
        <v/>
      </c>
      <c r="K627" s="13" t="str">
        <f>'1.6 Prod Bersih Pisang 2025'!K629</f>
        <v/>
      </c>
      <c r="L627" s="15">
        <f t="shared" si="27"/>
        <v>0</v>
      </c>
      <c r="M627" s="14" t="str">
        <f>IF(D627="","",VLOOKUP(D627,'[1]0.1 Produksi Pangan &amp; Penduduk'!$D$5:$AU$704,44,0))</f>
        <v/>
      </c>
      <c r="N627" s="26" t="str">
        <f t="shared" si="28"/>
        <v/>
      </c>
      <c r="O627" s="16"/>
      <c r="P627" s="25" t="str">
        <f t="shared" si="29"/>
        <v/>
      </c>
      <c r="Q627" s="8"/>
      <c r="R627" s="11"/>
    </row>
    <row r="628" spans="1:18" ht="15" x14ac:dyDescent="0.25">
      <c r="A628" s="3" t="str">
        <f>IF('1.1 Produksi Bersih Padi 2025'!A630="","",'1.1 Produksi Bersih Padi 2025'!A630)</f>
        <v/>
      </c>
      <c r="B628" s="32" t="str">
        <f>IF('1.1 Produksi Bersih Padi 2025'!B630="","",'1.1 Produksi Bersih Padi 2025'!B630)</f>
        <v/>
      </c>
      <c r="C628" s="32" t="str">
        <f>IF('1.1 Produksi Bersih Padi 2025'!C630="","",'1.1 Produksi Bersih Padi 2025'!C630)</f>
        <v/>
      </c>
      <c r="D628" s="3" t="str">
        <f>IF('1.1 Produksi Bersih Padi 2025'!D630="","",'1.1 Produksi Bersih Padi 2025'!D630)</f>
        <v/>
      </c>
      <c r="E628" s="3" t="str">
        <f>IF('1.1 Produksi Bersih Padi 2025'!E630="","",'1.1 Produksi Bersih Padi 2025'!E630)</f>
        <v/>
      </c>
      <c r="F628" s="13" t="str">
        <f>'1.1 Produksi Bersih Padi 2025'!Q630</f>
        <v/>
      </c>
      <c r="G628" s="13" t="str">
        <f>'1.2 Produksi Bersih Jagung 2025'!L630</f>
        <v/>
      </c>
      <c r="H628" s="13" t="str">
        <f>'1.3 Prod Bersih Ubi Kayu 2025'!K630</f>
        <v/>
      </c>
      <c r="I628" s="13" t="str">
        <f>'1.4 Prod Bersih Ubi Jalar 2025'!K630</f>
        <v/>
      </c>
      <c r="J628" s="13" t="str">
        <f>'1.5 Prod Bersih Sagu 2025'!K630</f>
        <v/>
      </c>
      <c r="K628" s="13" t="str">
        <f>'1.6 Prod Bersih Pisang 2025'!K630</f>
        <v/>
      </c>
      <c r="L628" s="15">
        <f t="shared" si="27"/>
        <v>0</v>
      </c>
      <c r="M628" s="14" t="str">
        <f>IF(D628="","",VLOOKUP(D628,'[1]0.1 Produksi Pangan &amp; Penduduk'!$D$5:$AU$704,44,0))</f>
        <v/>
      </c>
      <c r="N628" s="26" t="str">
        <f t="shared" si="28"/>
        <v/>
      </c>
      <c r="O628" s="16"/>
      <c r="P628" s="25" t="str">
        <f t="shared" si="29"/>
        <v/>
      </c>
      <c r="Q628" s="8"/>
      <c r="R628" s="11"/>
    </row>
    <row r="629" spans="1:18" ht="15" x14ac:dyDescent="0.25">
      <c r="A629" s="3" t="str">
        <f>IF('1.1 Produksi Bersih Padi 2025'!A631="","",'1.1 Produksi Bersih Padi 2025'!A631)</f>
        <v/>
      </c>
      <c r="B629" s="32" t="str">
        <f>IF('1.1 Produksi Bersih Padi 2025'!B631="","",'1.1 Produksi Bersih Padi 2025'!B631)</f>
        <v/>
      </c>
      <c r="C629" s="32" t="str">
        <f>IF('1.1 Produksi Bersih Padi 2025'!C631="","",'1.1 Produksi Bersih Padi 2025'!C631)</f>
        <v/>
      </c>
      <c r="D629" s="3" t="str">
        <f>IF('1.1 Produksi Bersih Padi 2025'!D631="","",'1.1 Produksi Bersih Padi 2025'!D631)</f>
        <v/>
      </c>
      <c r="E629" s="3" t="str">
        <f>IF('1.1 Produksi Bersih Padi 2025'!E631="","",'1.1 Produksi Bersih Padi 2025'!E631)</f>
        <v/>
      </c>
      <c r="F629" s="13" t="str">
        <f>'1.1 Produksi Bersih Padi 2025'!Q631</f>
        <v/>
      </c>
      <c r="G629" s="13" t="str">
        <f>'1.2 Produksi Bersih Jagung 2025'!L631</f>
        <v/>
      </c>
      <c r="H629" s="13" t="str">
        <f>'1.3 Prod Bersih Ubi Kayu 2025'!K631</f>
        <v/>
      </c>
      <c r="I629" s="13" t="str">
        <f>'1.4 Prod Bersih Ubi Jalar 2025'!K631</f>
        <v/>
      </c>
      <c r="J629" s="13" t="str">
        <f>'1.5 Prod Bersih Sagu 2025'!K631</f>
        <v/>
      </c>
      <c r="K629" s="13" t="str">
        <f>'1.6 Prod Bersih Pisang 2025'!K631</f>
        <v/>
      </c>
      <c r="L629" s="15">
        <f t="shared" si="27"/>
        <v>0</v>
      </c>
      <c r="M629" s="14" t="str">
        <f>IF(D629="","",VLOOKUP(D629,'[1]0.1 Produksi Pangan &amp; Penduduk'!$D$5:$AU$704,44,0))</f>
        <v/>
      </c>
      <c r="N629" s="26" t="str">
        <f t="shared" si="28"/>
        <v/>
      </c>
      <c r="O629" s="16"/>
      <c r="P629" s="25" t="str">
        <f t="shared" si="29"/>
        <v/>
      </c>
      <c r="Q629" s="8"/>
      <c r="R629" s="11"/>
    </row>
    <row r="630" spans="1:18" ht="15" x14ac:dyDescent="0.25">
      <c r="A630" s="3" t="str">
        <f>IF('1.1 Produksi Bersih Padi 2025'!A632="","",'1.1 Produksi Bersih Padi 2025'!A632)</f>
        <v/>
      </c>
      <c r="B630" s="32" t="str">
        <f>IF('1.1 Produksi Bersih Padi 2025'!B632="","",'1.1 Produksi Bersih Padi 2025'!B632)</f>
        <v/>
      </c>
      <c r="C630" s="32" t="str">
        <f>IF('1.1 Produksi Bersih Padi 2025'!C632="","",'1.1 Produksi Bersih Padi 2025'!C632)</f>
        <v/>
      </c>
      <c r="D630" s="3" t="str">
        <f>IF('1.1 Produksi Bersih Padi 2025'!D632="","",'1.1 Produksi Bersih Padi 2025'!D632)</f>
        <v/>
      </c>
      <c r="E630" s="3" t="str">
        <f>IF('1.1 Produksi Bersih Padi 2025'!E632="","",'1.1 Produksi Bersih Padi 2025'!E632)</f>
        <v/>
      </c>
      <c r="F630" s="13" t="str">
        <f>'1.1 Produksi Bersih Padi 2025'!Q632</f>
        <v/>
      </c>
      <c r="G630" s="13" t="str">
        <f>'1.2 Produksi Bersih Jagung 2025'!L632</f>
        <v/>
      </c>
      <c r="H630" s="13" t="str">
        <f>'1.3 Prod Bersih Ubi Kayu 2025'!K632</f>
        <v/>
      </c>
      <c r="I630" s="13" t="str">
        <f>'1.4 Prod Bersih Ubi Jalar 2025'!K632</f>
        <v/>
      </c>
      <c r="J630" s="13" t="str">
        <f>'1.5 Prod Bersih Sagu 2025'!K632</f>
        <v/>
      </c>
      <c r="K630" s="13" t="str">
        <f>'1.6 Prod Bersih Pisang 2025'!K632</f>
        <v/>
      </c>
      <c r="L630" s="15">
        <f t="shared" si="27"/>
        <v>0</v>
      </c>
      <c r="M630" s="14" t="str">
        <f>IF(D630="","",VLOOKUP(D630,'[1]0.1 Produksi Pangan &amp; Penduduk'!$D$5:$AU$704,44,0))</f>
        <v/>
      </c>
      <c r="N630" s="26" t="str">
        <f t="shared" si="28"/>
        <v/>
      </c>
      <c r="O630" s="16"/>
      <c r="P630" s="25" t="str">
        <f t="shared" si="29"/>
        <v/>
      </c>
      <c r="Q630" s="8"/>
      <c r="R630" s="11"/>
    </row>
    <row r="631" spans="1:18" ht="15" x14ac:dyDescent="0.25">
      <c r="A631" s="3" t="str">
        <f>IF('1.1 Produksi Bersih Padi 2025'!A633="","",'1.1 Produksi Bersih Padi 2025'!A633)</f>
        <v/>
      </c>
      <c r="B631" s="32" t="str">
        <f>IF('1.1 Produksi Bersih Padi 2025'!B633="","",'1.1 Produksi Bersih Padi 2025'!B633)</f>
        <v/>
      </c>
      <c r="C631" s="32" t="str">
        <f>IF('1.1 Produksi Bersih Padi 2025'!C633="","",'1.1 Produksi Bersih Padi 2025'!C633)</f>
        <v/>
      </c>
      <c r="D631" s="3" t="str">
        <f>IF('1.1 Produksi Bersih Padi 2025'!D633="","",'1.1 Produksi Bersih Padi 2025'!D633)</f>
        <v/>
      </c>
      <c r="E631" s="3" t="str">
        <f>IF('1.1 Produksi Bersih Padi 2025'!E633="","",'1.1 Produksi Bersih Padi 2025'!E633)</f>
        <v/>
      </c>
      <c r="F631" s="13" t="str">
        <f>'1.1 Produksi Bersih Padi 2025'!Q633</f>
        <v/>
      </c>
      <c r="G631" s="13" t="str">
        <f>'1.2 Produksi Bersih Jagung 2025'!L633</f>
        <v/>
      </c>
      <c r="H631" s="13" t="str">
        <f>'1.3 Prod Bersih Ubi Kayu 2025'!K633</f>
        <v/>
      </c>
      <c r="I631" s="13" t="str">
        <f>'1.4 Prod Bersih Ubi Jalar 2025'!K633</f>
        <v/>
      </c>
      <c r="J631" s="13" t="str">
        <f>'1.5 Prod Bersih Sagu 2025'!K633</f>
        <v/>
      </c>
      <c r="K631" s="13" t="str">
        <f>'1.6 Prod Bersih Pisang 2025'!K633</f>
        <v/>
      </c>
      <c r="L631" s="15">
        <f t="shared" si="27"/>
        <v>0</v>
      </c>
      <c r="M631" s="14" t="str">
        <f>IF(D631="","",VLOOKUP(D631,'[1]0.1 Produksi Pangan &amp; Penduduk'!$D$5:$AU$704,44,0))</f>
        <v/>
      </c>
      <c r="N631" s="26" t="str">
        <f t="shared" si="28"/>
        <v/>
      </c>
      <c r="O631" s="16"/>
      <c r="P631" s="25" t="str">
        <f t="shared" si="29"/>
        <v/>
      </c>
      <c r="Q631" s="8"/>
      <c r="R631" s="11"/>
    </row>
    <row r="632" spans="1:18" ht="15" x14ac:dyDescent="0.25">
      <c r="A632" s="3" t="str">
        <f>IF('1.1 Produksi Bersih Padi 2025'!A634="","",'1.1 Produksi Bersih Padi 2025'!A634)</f>
        <v/>
      </c>
      <c r="B632" s="32" t="str">
        <f>IF('1.1 Produksi Bersih Padi 2025'!B634="","",'1.1 Produksi Bersih Padi 2025'!B634)</f>
        <v/>
      </c>
      <c r="C632" s="32" t="str">
        <f>IF('1.1 Produksi Bersih Padi 2025'!C634="","",'1.1 Produksi Bersih Padi 2025'!C634)</f>
        <v/>
      </c>
      <c r="D632" s="3" t="str">
        <f>IF('1.1 Produksi Bersih Padi 2025'!D634="","",'1.1 Produksi Bersih Padi 2025'!D634)</f>
        <v/>
      </c>
      <c r="E632" s="3" t="str">
        <f>IF('1.1 Produksi Bersih Padi 2025'!E634="","",'1.1 Produksi Bersih Padi 2025'!E634)</f>
        <v/>
      </c>
      <c r="F632" s="13" t="str">
        <f>'1.1 Produksi Bersih Padi 2025'!Q634</f>
        <v/>
      </c>
      <c r="G632" s="13" t="str">
        <f>'1.2 Produksi Bersih Jagung 2025'!L634</f>
        <v/>
      </c>
      <c r="H632" s="13" t="str">
        <f>'1.3 Prod Bersih Ubi Kayu 2025'!K634</f>
        <v/>
      </c>
      <c r="I632" s="13" t="str">
        <f>'1.4 Prod Bersih Ubi Jalar 2025'!K634</f>
        <v/>
      </c>
      <c r="J632" s="13" t="str">
        <f>'1.5 Prod Bersih Sagu 2025'!K634</f>
        <v/>
      </c>
      <c r="K632" s="13" t="str">
        <f>'1.6 Prod Bersih Pisang 2025'!K634</f>
        <v/>
      </c>
      <c r="L632" s="15">
        <f t="shared" si="27"/>
        <v>0</v>
      </c>
      <c r="M632" s="14" t="str">
        <f>IF(D632="","",VLOOKUP(D632,'[1]0.1 Produksi Pangan &amp; Penduduk'!$D$5:$AU$704,44,0))</f>
        <v/>
      </c>
      <c r="N632" s="26" t="str">
        <f t="shared" si="28"/>
        <v/>
      </c>
      <c r="O632" s="16"/>
      <c r="P632" s="25" t="str">
        <f t="shared" si="29"/>
        <v/>
      </c>
      <c r="Q632" s="8"/>
      <c r="R632" s="11"/>
    </row>
    <row r="633" spans="1:18" ht="15" x14ac:dyDescent="0.25">
      <c r="A633" s="3" t="str">
        <f>IF('1.1 Produksi Bersih Padi 2025'!A635="","",'1.1 Produksi Bersih Padi 2025'!A635)</f>
        <v/>
      </c>
      <c r="B633" s="32" t="str">
        <f>IF('1.1 Produksi Bersih Padi 2025'!B635="","",'1.1 Produksi Bersih Padi 2025'!B635)</f>
        <v/>
      </c>
      <c r="C633" s="32" t="str">
        <f>IF('1.1 Produksi Bersih Padi 2025'!C635="","",'1.1 Produksi Bersih Padi 2025'!C635)</f>
        <v/>
      </c>
      <c r="D633" s="3" t="str">
        <f>IF('1.1 Produksi Bersih Padi 2025'!D635="","",'1.1 Produksi Bersih Padi 2025'!D635)</f>
        <v/>
      </c>
      <c r="E633" s="3" t="str">
        <f>IF('1.1 Produksi Bersih Padi 2025'!E635="","",'1.1 Produksi Bersih Padi 2025'!E635)</f>
        <v/>
      </c>
      <c r="F633" s="13" t="str">
        <f>'1.1 Produksi Bersih Padi 2025'!Q635</f>
        <v/>
      </c>
      <c r="G633" s="13" t="str">
        <f>'1.2 Produksi Bersih Jagung 2025'!L635</f>
        <v/>
      </c>
      <c r="H633" s="13" t="str">
        <f>'1.3 Prod Bersih Ubi Kayu 2025'!K635</f>
        <v/>
      </c>
      <c r="I633" s="13" t="str">
        <f>'1.4 Prod Bersih Ubi Jalar 2025'!K635</f>
        <v/>
      </c>
      <c r="J633" s="13" t="str">
        <f>'1.5 Prod Bersih Sagu 2025'!K635</f>
        <v/>
      </c>
      <c r="K633" s="13" t="str">
        <f>'1.6 Prod Bersih Pisang 2025'!K635</f>
        <v/>
      </c>
      <c r="L633" s="15">
        <f t="shared" si="27"/>
        <v>0</v>
      </c>
      <c r="M633" s="14" t="str">
        <f>IF(D633="","",VLOOKUP(D633,'[1]0.1 Produksi Pangan &amp; Penduduk'!$D$5:$AU$704,44,0))</f>
        <v/>
      </c>
      <c r="N633" s="26" t="str">
        <f t="shared" si="28"/>
        <v/>
      </c>
      <c r="O633" s="16"/>
      <c r="P633" s="25" t="str">
        <f t="shared" si="29"/>
        <v/>
      </c>
      <c r="Q633" s="8"/>
      <c r="R633" s="11"/>
    </row>
    <row r="634" spans="1:18" ht="15" x14ac:dyDescent="0.25">
      <c r="A634" s="3" t="str">
        <f>IF('1.1 Produksi Bersih Padi 2025'!A636="","",'1.1 Produksi Bersih Padi 2025'!A636)</f>
        <v/>
      </c>
      <c r="B634" s="32" t="str">
        <f>IF('1.1 Produksi Bersih Padi 2025'!B636="","",'1.1 Produksi Bersih Padi 2025'!B636)</f>
        <v/>
      </c>
      <c r="C634" s="32" t="str">
        <f>IF('1.1 Produksi Bersih Padi 2025'!C636="","",'1.1 Produksi Bersih Padi 2025'!C636)</f>
        <v/>
      </c>
      <c r="D634" s="3" t="str">
        <f>IF('1.1 Produksi Bersih Padi 2025'!D636="","",'1.1 Produksi Bersih Padi 2025'!D636)</f>
        <v/>
      </c>
      <c r="E634" s="3" t="str">
        <f>IF('1.1 Produksi Bersih Padi 2025'!E636="","",'1.1 Produksi Bersih Padi 2025'!E636)</f>
        <v/>
      </c>
      <c r="F634" s="13" t="str">
        <f>'1.1 Produksi Bersih Padi 2025'!Q636</f>
        <v/>
      </c>
      <c r="G634" s="13" t="str">
        <f>'1.2 Produksi Bersih Jagung 2025'!L636</f>
        <v/>
      </c>
      <c r="H634" s="13" t="str">
        <f>'1.3 Prod Bersih Ubi Kayu 2025'!K636</f>
        <v/>
      </c>
      <c r="I634" s="13" t="str">
        <f>'1.4 Prod Bersih Ubi Jalar 2025'!K636</f>
        <v/>
      </c>
      <c r="J634" s="13" t="str">
        <f>'1.5 Prod Bersih Sagu 2025'!K636</f>
        <v/>
      </c>
      <c r="K634" s="13" t="str">
        <f>'1.6 Prod Bersih Pisang 2025'!K636</f>
        <v/>
      </c>
      <c r="L634" s="15">
        <f t="shared" si="27"/>
        <v>0</v>
      </c>
      <c r="M634" s="14" t="str">
        <f>IF(D634="","",VLOOKUP(D634,'[1]0.1 Produksi Pangan &amp; Penduduk'!$D$5:$AU$704,44,0))</f>
        <v/>
      </c>
      <c r="N634" s="26" t="str">
        <f t="shared" si="28"/>
        <v/>
      </c>
      <c r="O634" s="16"/>
      <c r="P634" s="25" t="str">
        <f t="shared" si="29"/>
        <v/>
      </c>
      <c r="Q634" s="8"/>
      <c r="R634" s="11"/>
    </row>
    <row r="635" spans="1:18" ht="15" x14ac:dyDescent="0.25">
      <c r="A635" s="3" t="str">
        <f>IF('1.1 Produksi Bersih Padi 2025'!A637="","",'1.1 Produksi Bersih Padi 2025'!A637)</f>
        <v/>
      </c>
      <c r="B635" s="32" t="str">
        <f>IF('1.1 Produksi Bersih Padi 2025'!B637="","",'1.1 Produksi Bersih Padi 2025'!B637)</f>
        <v/>
      </c>
      <c r="C635" s="32" t="str">
        <f>IF('1.1 Produksi Bersih Padi 2025'!C637="","",'1.1 Produksi Bersih Padi 2025'!C637)</f>
        <v/>
      </c>
      <c r="D635" s="3" t="str">
        <f>IF('1.1 Produksi Bersih Padi 2025'!D637="","",'1.1 Produksi Bersih Padi 2025'!D637)</f>
        <v/>
      </c>
      <c r="E635" s="3" t="str">
        <f>IF('1.1 Produksi Bersih Padi 2025'!E637="","",'1.1 Produksi Bersih Padi 2025'!E637)</f>
        <v/>
      </c>
      <c r="F635" s="13" t="str">
        <f>'1.1 Produksi Bersih Padi 2025'!Q637</f>
        <v/>
      </c>
      <c r="G635" s="13" t="str">
        <f>'1.2 Produksi Bersih Jagung 2025'!L637</f>
        <v/>
      </c>
      <c r="H635" s="13" t="str">
        <f>'1.3 Prod Bersih Ubi Kayu 2025'!K637</f>
        <v/>
      </c>
      <c r="I635" s="13" t="str">
        <f>'1.4 Prod Bersih Ubi Jalar 2025'!K637</f>
        <v/>
      </c>
      <c r="J635" s="13" t="str">
        <f>'1.5 Prod Bersih Sagu 2025'!K637</f>
        <v/>
      </c>
      <c r="K635" s="13" t="str">
        <f>'1.6 Prod Bersih Pisang 2025'!K637</f>
        <v/>
      </c>
      <c r="L635" s="15">
        <f t="shared" si="27"/>
        <v>0</v>
      </c>
      <c r="M635" s="14" t="str">
        <f>IF(D635="","",VLOOKUP(D635,'[1]0.1 Produksi Pangan &amp; Penduduk'!$D$5:$AU$704,44,0))</f>
        <v/>
      </c>
      <c r="N635" s="26" t="str">
        <f t="shared" si="28"/>
        <v/>
      </c>
      <c r="O635" s="16"/>
      <c r="P635" s="25" t="str">
        <f t="shared" si="29"/>
        <v/>
      </c>
      <c r="Q635" s="8"/>
      <c r="R635" s="11"/>
    </row>
    <row r="636" spans="1:18" ht="15" x14ac:dyDescent="0.25">
      <c r="A636" s="3" t="str">
        <f>IF('1.1 Produksi Bersih Padi 2025'!A638="","",'1.1 Produksi Bersih Padi 2025'!A638)</f>
        <v/>
      </c>
      <c r="B636" s="32" t="str">
        <f>IF('1.1 Produksi Bersih Padi 2025'!B638="","",'1.1 Produksi Bersih Padi 2025'!B638)</f>
        <v/>
      </c>
      <c r="C636" s="32" t="str">
        <f>IF('1.1 Produksi Bersih Padi 2025'!C638="","",'1.1 Produksi Bersih Padi 2025'!C638)</f>
        <v/>
      </c>
      <c r="D636" s="3" t="str">
        <f>IF('1.1 Produksi Bersih Padi 2025'!D638="","",'1.1 Produksi Bersih Padi 2025'!D638)</f>
        <v/>
      </c>
      <c r="E636" s="3" t="str">
        <f>IF('1.1 Produksi Bersih Padi 2025'!E638="","",'1.1 Produksi Bersih Padi 2025'!E638)</f>
        <v/>
      </c>
      <c r="F636" s="13" t="str">
        <f>'1.1 Produksi Bersih Padi 2025'!Q638</f>
        <v/>
      </c>
      <c r="G636" s="13" t="str">
        <f>'1.2 Produksi Bersih Jagung 2025'!L638</f>
        <v/>
      </c>
      <c r="H636" s="13" t="str">
        <f>'1.3 Prod Bersih Ubi Kayu 2025'!K638</f>
        <v/>
      </c>
      <c r="I636" s="13" t="str">
        <f>'1.4 Prod Bersih Ubi Jalar 2025'!K638</f>
        <v/>
      </c>
      <c r="J636" s="13" t="str">
        <f>'1.5 Prod Bersih Sagu 2025'!K638</f>
        <v/>
      </c>
      <c r="K636" s="13" t="str">
        <f>'1.6 Prod Bersih Pisang 2025'!K638</f>
        <v/>
      </c>
      <c r="L636" s="15">
        <f t="shared" si="27"/>
        <v>0</v>
      </c>
      <c r="M636" s="14" t="str">
        <f>IF(D636="","",VLOOKUP(D636,'[1]0.1 Produksi Pangan &amp; Penduduk'!$D$5:$AU$704,44,0))</f>
        <v/>
      </c>
      <c r="N636" s="26" t="str">
        <f t="shared" si="28"/>
        <v/>
      </c>
      <c r="O636" s="16"/>
      <c r="P636" s="25" t="str">
        <f t="shared" si="29"/>
        <v/>
      </c>
      <c r="Q636" s="8"/>
      <c r="R636" s="11"/>
    </row>
    <row r="637" spans="1:18" ht="15" x14ac:dyDescent="0.25">
      <c r="A637" s="3" t="str">
        <f>IF('1.1 Produksi Bersih Padi 2025'!A639="","",'1.1 Produksi Bersih Padi 2025'!A639)</f>
        <v/>
      </c>
      <c r="B637" s="32" t="str">
        <f>IF('1.1 Produksi Bersih Padi 2025'!B639="","",'1.1 Produksi Bersih Padi 2025'!B639)</f>
        <v/>
      </c>
      <c r="C637" s="32" t="str">
        <f>IF('1.1 Produksi Bersih Padi 2025'!C639="","",'1.1 Produksi Bersih Padi 2025'!C639)</f>
        <v/>
      </c>
      <c r="D637" s="3" t="str">
        <f>IF('1.1 Produksi Bersih Padi 2025'!D639="","",'1.1 Produksi Bersih Padi 2025'!D639)</f>
        <v/>
      </c>
      <c r="E637" s="3" t="str">
        <f>IF('1.1 Produksi Bersih Padi 2025'!E639="","",'1.1 Produksi Bersih Padi 2025'!E639)</f>
        <v/>
      </c>
      <c r="F637" s="13" t="str">
        <f>'1.1 Produksi Bersih Padi 2025'!Q639</f>
        <v/>
      </c>
      <c r="G637" s="13" t="str">
        <f>'1.2 Produksi Bersih Jagung 2025'!L639</f>
        <v/>
      </c>
      <c r="H637" s="13" t="str">
        <f>'1.3 Prod Bersih Ubi Kayu 2025'!K639</f>
        <v/>
      </c>
      <c r="I637" s="13" t="str">
        <f>'1.4 Prod Bersih Ubi Jalar 2025'!K639</f>
        <v/>
      </c>
      <c r="J637" s="13" t="str">
        <f>'1.5 Prod Bersih Sagu 2025'!K639</f>
        <v/>
      </c>
      <c r="K637" s="13" t="str">
        <f>'1.6 Prod Bersih Pisang 2025'!K639</f>
        <v/>
      </c>
      <c r="L637" s="15">
        <f t="shared" si="27"/>
        <v>0</v>
      </c>
      <c r="M637" s="14" t="str">
        <f>IF(D637="","",VLOOKUP(D637,'[1]0.1 Produksi Pangan &amp; Penduduk'!$D$5:$AU$704,44,0))</f>
        <v/>
      </c>
      <c r="N637" s="26" t="str">
        <f t="shared" si="28"/>
        <v/>
      </c>
      <c r="O637" s="16"/>
      <c r="P637" s="25" t="str">
        <f t="shared" si="29"/>
        <v/>
      </c>
      <c r="Q637" s="8"/>
      <c r="R637" s="11"/>
    </row>
    <row r="638" spans="1:18" ht="15" x14ac:dyDescent="0.25">
      <c r="A638" s="3" t="str">
        <f>IF('1.1 Produksi Bersih Padi 2025'!A640="","",'1.1 Produksi Bersih Padi 2025'!A640)</f>
        <v/>
      </c>
      <c r="B638" s="32" t="str">
        <f>IF('1.1 Produksi Bersih Padi 2025'!B640="","",'1.1 Produksi Bersih Padi 2025'!B640)</f>
        <v/>
      </c>
      <c r="C638" s="32" t="str">
        <f>IF('1.1 Produksi Bersih Padi 2025'!C640="","",'1.1 Produksi Bersih Padi 2025'!C640)</f>
        <v/>
      </c>
      <c r="D638" s="3" t="str">
        <f>IF('1.1 Produksi Bersih Padi 2025'!D640="","",'1.1 Produksi Bersih Padi 2025'!D640)</f>
        <v/>
      </c>
      <c r="E638" s="3" t="str">
        <f>IF('1.1 Produksi Bersih Padi 2025'!E640="","",'1.1 Produksi Bersih Padi 2025'!E640)</f>
        <v/>
      </c>
      <c r="F638" s="13" t="str">
        <f>'1.1 Produksi Bersih Padi 2025'!Q640</f>
        <v/>
      </c>
      <c r="G638" s="13" t="str">
        <f>'1.2 Produksi Bersih Jagung 2025'!L640</f>
        <v/>
      </c>
      <c r="H638" s="13" t="str">
        <f>'1.3 Prod Bersih Ubi Kayu 2025'!K640</f>
        <v/>
      </c>
      <c r="I638" s="13" t="str">
        <f>'1.4 Prod Bersih Ubi Jalar 2025'!K640</f>
        <v/>
      </c>
      <c r="J638" s="13" t="str">
        <f>'1.5 Prod Bersih Sagu 2025'!K640</f>
        <v/>
      </c>
      <c r="K638" s="13" t="str">
        <f>'1.6 Prod Bersih Pisang 2025'!K640</f>
        <v/>
      </c>
      <c r="L638" s="15">
        <f t="shared" si="27"/>
        <v>0</v>
      </c>
      <c r="M638" s="14" t="str">
        <f>IF(D638="","",VLOOKUP(D638,'[1]0.1 Produksi Pangan &amp; Penduduk'!$D$5:$AU$704,44,0))</f>
        <v/>
      </c>
      <c r="N638" s="26" t="str">
        <f t="shared" si="28"/>
        <v/>
      </c>
      <c r="O638" s="16"/>
      <c r="P638" s="25" t="str">
        <f t="shared" si="29"/>
        <v/>
      </c>
      <c r="Q638" s="8"/>
      <c r="R638" s="11"/>
    </row>
    <row r="639" spans="1:18" ht="15" x14ac:dyDescent="0.25">
      <c r="A639" s="3" t="str">
        <f>IF('1.1 Produksi Bersih Padi 2025'!A641="","",'1.1 Produksi Bersih Padi 2025'!A641)</f>
        <v/>
      </c>
      <c r="B639" s="32" t="str">
        <f>IF('1.1 Produksi Bersih Padi 2025'!B641="","",'1.1 Produksi Bersih Padi 2025'!B641)</f>
        <v/>
      </c>
      <c r="C639" s="32" t="str">
        <f>IF('1.1 Produksi Bersih Padi 2025'!C641="","",'1.1 Produksi Bersih Padi 2025'!C641)</f>
        <v/>
      </c>
      <c r="D639" s="3" t="str">
        <f>IF('1.1 Produksi Bersih Padi 2025'!D641="","",'1.1 Produksi Bersih Padi 2025'!D641)</f>
        <v/>
      </c>
      <c r="E639" s="3" t="str">
        <f>IF('1.1 Produksi Bersih Padi 2025'!E641="","",'1.1 Produksi Bersih Padi 2025'!E641)</f>
        <v/>
      </c>
      <c r="F639" s="13" t="str">
        <f>'1.1 Produksi Bersih Padi 2025'!Q641</f>
        <v/>
      </c>
      <c r="G639" s="13" t="str">
        <f>'1.2 Produksi Bersih Jagung 2025'!L641</f>
        <v/>
      </c>
      <c r="H639" s="13" t="str">
        <f>'1.3 Prod Bersih Ubi Kayu 2025'!K641</f>
        <v/>
      </c>
      <c r="I639" s="13" t="str">
        <f>'1.4 Prod Bersih Ubi Jalar 2025'!K641</f>
        <v/>
      </c>
      <c r="J639" s="13" t="str">
        <f>'1.5 Prod Bersih Sagu 2025'!K641</f>
        <v/>
      </c>
      <c r="K639" s="13" t="str">
        <f>'1.6 Prod Bersih Pisang 2025'!K641</f>
        <v/>
      </c>
      <c r="L639" s="15">
        <f t="shared" si="27"/>
        <v>0</v>
      </c>
      <c r="M639" s="14" t="str">
        <f>IF(D639="","",VLOOKUP(D639,'[1]0.1 Produksi Pangan &amp; Penduduk'!$D$5:$AU$704,44,0))</f>
        <v/>
      </c>
      <c r="N639" s="26" t="str">
        <f t="shared" si="28"/>
        <v/>
      </c>
      <c r="O639" s="16"/>
      <c r="P639" s="25" t="str">
        <f t="shared" si="29"/>
        <v/>
      </c>
      <c r="Q639" s="8"/>
      <c r="R639" s="11"/>
    </row>
    <row r="640" spans="1:18" ht="15" x14ac:dyDescent="0.25">
      <c r="A640" s="3" t="str">
        <f>IF('1.1 Produksi Bersih Padi 2025'!A642="","",'1.1 Produksi Bersih Padi 2025'!A642)</f>
        <v/>
      </c>
      <c r="B640" s="32" t="str">
        <f>IF('1.1 Produksi Bersih Padi 2025'!B642="","",'1.1 Produksi Bersih Padi 2025'!B642)</f>
        <v/>
      </c>
      <c r="C640" s="32" t="str">
        <f>IF('1.1 Produksi Bersih Padi 2025'!C642="","",'1.1 Produksi Bersih Padi 2025'!C642)</f>
        <v/>
      </c>
      <c r="D640" s="3" t="str">
        <f>IF('1.1 Produksi Bersih Padi 2025'!D642="","",'1.1 Produksi Bersih Padi 2025'!D642)</f>
        <v/>
      </c>
      <c r="E640" s="3" t="str">
        <f>IF('1.1 Produksi Bersih Padi 2025'!E642="","",'1.1 Produksi Bersih Padi 2025'!E642)</f>
        <v/>
      </c>
      <c r="F640" s="13" t="str">
        <f>'1.1 Produksi Bersih Padi 2025'!Q642</f>
        <v/>
      </c>
      <c r="G640" s="13" t="str">
        <f>'1.2 Produksi Bersih Jagung 2025'!L642</f>
        <v/>
      </c>
      <c r="H640" s="13" t="str">
        <f>'1.3 Prod Bersih Ubi Kayu 2025'!K642</f>
        <v/>
      </c>
      <c r="I640" s="13" t="str">
        <f>'1.4 Prod Bersih Ubi Jalar 2025'!K642</f>
        <v/>
      </c>
      <c r="J640" s="13" t="str">
        <f>'1.5 Prod Bersih Sagu 2025'!K642</f>
        <v/>
      </c>
      <c r="K640" s="13" t="str">
        <f>'1.6 Prod Bersih Pisang 2025'!K642</f>
        <v/>
      </c>
      <c r="L640" s="15">
        <f t="shared" si="27"/>
        <v>0</v>
      </c>
      <c r="M640" s="14" t="str">
        <f>IF(D640="","",VLOOKUP(D640,'[1]0.1 Produksi Pangan &amp; Penduduk'!$D$5:$AU$704,44,0))</f>
        <v/>
      </c>
      <c r="N640" s="26" t="str">
        <f t="shared" si="28"/>
        <v/>
      </c>
      <c r="O640" s="16"/>
      <c r="P640" s="25" t="str">
        <f t="shared" si="29"/>
        <v/>
      </c>
      <c r="Q640" s="8"/>
      <c r="R640" s="11"/>
    </row>
    <row r="641" spans="1:18" ht="15" x14ac:dyDescent="0.25">
      <c r="A641" s="3" t="str">
        <f>IF('1.1 Produksi Bersih Padi 2025'!A643="","",'1.1 Produksi Bersih Padi 2025'!A643)</f>
        <v/>
      </c>
      <c r="B641" s="32" t="str">
        <f>IF('1.1 Produksi Bersih Padi 2025'!B643="","",'1.1 Produksi Bersih Padi 2025'!B643)</f>
        <v/>
      </c>
      <c r="C641" s="32" t="str">
        <f>IF('1.1 Produksi Bersih Padi 2025'!C643="","",'1.1 Produksi Bersih Padi 2025'!C643)</f>
        <v/>
      </c>
      <c r="D641" s="3" t="str">
        <f>IF('1.1 Produksi Bersih Padi 2025'!D643="","",'1.1 Produksi Bersih Padi 2025'!D643)</f>
        <v/>
      </c>
      <c r="E641" s="3" t="str">
        <f>IF('1.1 Produksi Bersih Padi 2025'!E643="","",'1.1 Produksi Bersih Padi 2025'!E643)</f>
        <v/>
      </c>
      <c r="F641" s="13" t="str">
        <f>'1.1 Produksi Bersih Padi 2025'!Q643</f>
        <v/>
      </c>
      <c r="G641" s="13" t="str">
        <f>'1.2 Produksi Bersih Jagung 2025'!L643</f>
        <v/>
      </c>
      <c r="H641" s="13" t="str">
        <f>'1.3 Prod Bersih Ubi Kayu 2025'!K643</f>
        <v/>
      </c>
      <c r="I641" s="13" t="str">
        <f>'1.4 Prod Bersih Ubi Jalar 2025'!K643</f>
        <v/>
      </c>
      <c r="J641" s="13" t="str">
        <f>'1.5 Prod Bersih Sagu 2025'!K643</f>
        <v/>
      </c>
      <c r="K641" s="13" t="str">
        <f>'1.6 Prod Bersih Pisang 2025'!K643</f>
        <v/>
      </c>
      <c r="L641" s="15">
        <f t="shared" si="27"/>
        <v>0</v>
      </c>
      <c r="M641" s="14" t="str">
        <f>IF(D641="","",VLOOKUP(D641,'[1]0.1 Produksi Pangan &amp; Penduduk'!$D$5:$AU$704,44,0))</f>
        <v/>
      </c>
      <c r="N641" s="26" t="str">
        <f t="shared" si="28"/>
        <v/>
      </c>
      <c r="O641" s="16"/>
      <c r="P641" s="25" t="str">
        <f t="shared" si="29"/>
        <v/>
      </c>
      <c r="Q641" s="8"/>
      <c r="R641" s="11"/>
    </row>
    <row r="642" spans="1:18" ht="15" x14ac:dyDescent="0.25">
      <c r="A642" s="3" t="str">
        <f>IF('1.1 Produksi Bersih Padi 2025'!A644="","",'1.1 Produksi Bersih Padi 2025'!A644)</f>
        <v/>
      </c>
      <c r="B642" s="32" t="str">
        <f>IF('1.1 Produksi Bersih Padi 2025'!B644="","",'1.1 Produksi Bersih Padi 2025'!B644)</f>
        <v/>
      </c>
      <c r="C642" s="32" t="str">
        <f>IF('1.1 Produksi Bersih Padi 2025'!C644="","",'1.1 Produksi Bersih Padi 2025'!C644)</f>
        <v/>
      </c>
      <c r="D642" s="3" t="str">
        <f>IF('1.1 Produksi Bersih Padi 2025'!D644="","",'1.1 Produksi Bersih Padi 2025'!D644)</f>
        <v/>
      </c>
      <c r="E642" s="3" t="str">
        <f>IF('1.1 Produksi Bersih Padi 2025'!E644="","",'1.1 Produksi Bersih Padi 2025'!E644)</f>
        <v/>
      </c>
      <c r="F642" s="13" t="str">
        <f>'1.1 Produksi Bersih Padi 2025'!Q644</f>
        <v/>
      </c>
      <c r="G642" s="13" t="str">
        <f>'1.2 Produksi Bersih Jagung 2025'!L644</f>
        <v/>
      </c>
      <c r="H642" s="13" t="str">
        <f>'1.3 Prod Bersih Ubi Kayu 2025'!K644</f>
        <v/>
      </c>
      <c r="I642" s="13" t="str">
        <f>'1.4 Prod Bersih Ubi Jalar 2025'!K644</f>
        <v/>
      </c>
      <c r="J642" s="13" t="str">
        <f>'1.5 Prod Bersih Sagu 2025'!K644</f>
        <v/>
      </c>
      <c r="K642" s="13" t="str">
        <f>'1.6 Prod Bersih Pisang 2025'!K644</f>
        <v/>
      </c>
      <c r="L642" s="15">
        <f t="shared" si="27"/>
        <v>0</v>
      </c>
      <c r="M642" s="14" t="str">
        <f>IF(D642="","",VLOOKUP(D642,'[1]0.1 Produksi Pangan &amp; Penduduk'!$D$5:$AU$704,44,0))</f>
        <v/>
      </c>
      <c r="N642" s="26" t="str">
        <f t="shared" si="28"/>
        <v/>
      </c>
      <c r="O642" s="16"/>
      <c r="P642" s="25" t="str">
        <f t="shared" si="29"/>
        <v/>
      </c>
      <c r="Q642" s="8"/>
      <c r="R642" s="11"/>
    </row>
    <row r="643" spans="1:18" ht="15" x14ac:dyDescent="0.25">
      <c r="A643" s="3" t="str">
        <f>IF('1.1 Produksi Bersih Padi 2025'!A645="","",'1.1 Produksi Bersih Padi 2025'!A645)</f>
        <v/>
      </c>
      <c r="B643" s="32" t="str">
        <f>IF('1.1 Produksi Bersih Padi 2025'!B645="","",'1.1 Produksi Bersih Padi 2025'!B645)</f>
        <v/>
      </c>
      <c r="C643" s="32" t="str">
        <f>IF('1.1 Produksi Bersih Padi 2025'!C645="","",'1.1 Produksi Bersih Padi 2025'!C645)</f>
        <v/>
      </c>
      <c r="D643" s="3" t="str">
        <f>IF('1.1 Produksi Bersih Padi 2025'!D645="","",'1.1 Produksi Bersih Padi 2025'!D645)</f>
        <v/>
      </c>
      <c r="E643" s="3" t="str">
        <f>IF('1.1 Produksi Bersih Padi 2025'!E645="","",'1.1 Produksi Bersih Padi 2025'!E645)</f>
        <v/>
      </c>
      <c r="F643" s="13" t="str">
        <f>'1.1 Produksi Bersih Padi 2025'!Q645</f>
        <v/>
      </c>
      <c r="G643" s="13" t="str">
        <f>'1.2 Produksi Bersih Jagung 2025'!L645</f>
        <v/>
      </c>
      <c r="H643" s="13" t="str">
        <f>'1.3 Prod Bersih Ubi Kayu 2025'!K645</f>
        <v/>
      </c>
      <c r="I643" s="13" t="str">
        <f>'1.4 Prod Bersih Ubi Jalar 2025'!K645</f>
        <v/>
      </c>
      <c r="J643" s="13" t="str">
        <f>'1.5 Prod Bersih Sagu 2025'!K645</f>
        <v/>
      </c>
      <c r="K643" s="13" t="str">
        <f>'1.6 Prod Bersih Pisang 2025'!K645</f>
        <v/>
      </c>
      <c r="L643" s="15">
        <f t="shared" si="27"/>
        <v>0</v>
      </c>
      <c r="M643" s="14" t="str">
        <f>IF(D643="","",VLOOKUP(D643,'[1]0.1 Produksi Pangan &amp; Penduduk'!$D$5:$AU$704,44,0))</f>
        <v/>
      </c>
      <c r="N643" s="26" t="str">
        <f t="shared" si="28"/>
        <v/>
      </c>
      <c r="O643" s="16"/>
      <c r="P643" s="25" t="str">
        <f t="shared" si="29"/>
        <v/>
      </c>
      <c r="Q643" s="8"/>
      <c r="R643" s="11"/>
    </row>
    <row r="644" spans="1:18" ht="15" x14ac:dyDescent="0.25">
      <c r="A644" s="3" t="str">
        <f>IF('1.1 Produksi Bersih Padi 2025'!A646="","",'1.1 Produksi Bersih Padi 2025'!A646)</f>
        <v/>
      </c>
      <c r="B644" s="32" t="str">
        <f>IF('1.1 Produksi Bersih Padi 2025'!B646="","",'1.1 Produksi Bersih Padi 2025'!B646)</f>
        <v/>
      </c>
      <c r="C644" s="32" t="str">
        <f>IF('1.1 Produksi Bersih Padi 2025'!C646="","",'1.1 Produksi Bersih Padi 2025'!C646)</f>
        <v/>
      </c>
      <c r="D644" s="3" t="str">
        <f>IF('1.1 Produksi Bersih Padi 2025'!D646="","",'1.1 Produksi Bersih Padi 2025'!D646)</f>
        <v/>
      </c>
      <c r="E644" s="3" t="str">
        <f>IF('1.1 Produksi Bersih Padi 2025'!E646="","",'1.1 Produksi Bersih Padi 2025'!E646)</f>
        <v/>
      </c>
      <c r="F644" s="13" t="str">
        <f>'1.1 Produksi Bersih Padi 2025'!Q646</f>
        <v/>
      </c>
      <c r="G644" s="13" t="str">
        <f>'1.2 Produksi Bersih Jagung 2025'!L646</f>
        <v/>
      </c>
      <c r="H644" s="13" t="str">
        <f>'1.3 Prod Bersih Ubi Kayu 2025'!K646</f>
        <v/>
      </c>
      <c r="I644" s="13" t="str">
        <f>'1.4 Prod Bersih Ubi Jalar 2025'!K646</f>
        <v/>
      </c>
      <c r="J644" s="13" t="str">
        <f>'1.5 Prod Bersih Sagu 2025'!K646</f>
        <v/>
      </c>
      <c r="K644" s="13" t="str">
        <f>'1.6 Prod Bersih Pisang 2025'!K646</f>
        <v/>
      </c>
      <c r="L644" s="15">
        <f t="shared" ref="L644:L707" si="30">IFERROR(SUM(F644:K644),0)</f>
        <v>0</v>
      </c>
      <c r="M644" s="14" t="str">
        <f>IF(D644="","",VLOOKUP(D644,'[1]0.1 Produksi Pangan &amp; Penduduk'!$D$5:$AU$704,44,0))</f>
        <v/>
      </c>
      <c r="N644" s="26" t="str">
        <f t="shared" ref="N644:N707" si="31">IF(M644="","",IFERROR((L644*1000*1000/M644)/365,"-"))</f>
        <v/>
      </c>
      <c r="O644" s="16"/>
      <c r="P644" s="25" t="str">
        <f t="shared" ref="P644:P707" si="32">IF(N644="","",IFERROR(300/N644,"-"))</f>
        <v/>
      </c>
      <c r="Q644" s="8"/>
      <c r="R644" s="11"/>
    </row>
    <row r="645" spans="1:18" ht="15" x14ac:dyDescent="0.25">
      <c r="A645" s="3" t="str">
        <f>IF('1.1 Produksi Bersih Padi 2025'!A647="","",'1.1 Produksi Bersih Padi 2025'!A647)</f>
        <v/>
      </c>
      <c r="B645" s="32" t="str">
        <f>IF('1.1 Produksi Bersih Padi 2025'!B647="","",'1.1 Produksi Bersih Padi 2025'!B647)</f>
        <v/>
      </c>
      <c r="C645" s="32" t="str">
        <f>IF('1.1 Produksi Bersih Padi 2025'!C647="","",'1.1 Produksi Bersih Padi 2025'!C647)</f>
        <v/>
      </c>
      <c r="D645" s="3" t="str">
        <f>IF('1.1 Produksi Bersih Padi 2025'!D647="","",'1.1 Produksi Bersih Padi 2025'!D647)</f>
        <v/>
      </c>
      <c r="E645" s="3" t="str">
        <f>IF('1.1 Produksi Bersih Padi 2025'!E647="","",'1.1 Produksi Bersih Padi 2025'!E647)</f>
        <v/>
      </c>
      <c r="F645" s="13" t="str">
        <f>'1.1 Produksi Bersih Padi 2025'!Q647</f>
        <v/>
      </c>
      <c r="G645" s="13" t="str">
        <f>'1.2 Produksi Bersih Jagung 2025'!L647</f>
        <v/>
      </c>
      <c r="H645" s="13" t="str">
        <f>'1.3 Prod Bersih Ubi Kayu 2025'!K647</f>
        <v/>
      </c>
      <c r="I645" s="13" t="str">
        <f>'1.4 Prod Bersih Ubi Jalar 2025'!K647</f>
        <v/>
      </c>
      <c r="J645" s="13" t="str">
        <f>'1.5 Prod Bersih Sagu 2025'!K647</f>
        <v/>
      </c>
      <c r="K645" s="13" t="str">
        <f>'1.6 Prod Bersih Pisang 2025'!K647</f>
        <v/>
      </c>
      <c r="L645" s="15">
        <f t="shared" si="30"/>
        <v>0</v>
      </c>
      <c r="M645" s="14" t="str">
        <f>IF(D645="","",VLOOKUP(D645,'[1]0.1 Produksi Pangan &amp; Penduduk'!$D$5:$AU$704,44,0))</f>
        <v/>
      </c>
      <c r="N645" s="26" t="str">
        <f t="shared" si="31"/>
        <v/>
      </c>
      <c r="O645" s="16"/>
      <c r="P645" s="25" t="str">
        <f t="shared" si="32"/>
        <v/>
      </c>
      <c r="Q645" s="8"/>
      <c r="R645" s="11"/>
    </row>
    <row r="646" spans="1:18" ht="15" x14ac:dyDescent="0.25">
      <c r="A646" s="3" t="str">
        <f>IF('1.1 Produksi Bersih Padi 2025'!A648="","",'1.1 Produksi Bersih Padi 2025'!A648)</f>
        <v/>
      </c>
      <c r="B646" s="32" t="str">
        <f>IF('1.1 Produksi Bersih Padi 2025'!B648="","",'1.1 Produksi Bersih Padi 2025'!B648)</f>
        <v/>
      </c>
      <c r="C646" s="32" t="str">
        <f>IF('1.1 Produksi Bersih Padi 2025'!C648="","",'1.1 Produksi Bersih Padi 2025'!C648)</f>
        <v/>
      </c>
      <c r="D646" s="3" t="str">
        <f>IF('1.1 Produksi Bersih Padi 2025'!D648="","",'1.1 Produksi Bersih Padi 2025'!D648)</f>
        <v/>
      </c>
      <c r="E646" s="3" t="str">
        <f>IF('1.1 Produksi Bersih Padi 2025'!E648="","",'1.1 Produksi Bersih Padi 2025'!E648)</f>
        <v/>
      </c>
      <c r="F646" s="13" t="str">
        <f>'1.1 Produksi Bersih Padi 2025'!Q648</f>
        <v/>
      </c>
      <c r="G646" s="13" t="str">
        <f>'1.2 Produksi Bersih Jagung 2025'!L648</f>
        <v/>
      </c>
      <c r="H646" s="13" t="str">
        <f>'1.3 Prod Bersih Ubi Kayu 2025'!K648</f>
        <v/>
      </c>
      <c r="I646" s="13" t="str">
        <f>'1.4 Prod Bersih Ubi Jalar 2025'!K648</f>
        <v/>
      </c>
      <c r="J646" s="13" t="str">
        <f>'1.5 Prod Bersih Sagu 2025'!K648</f>
        <v/>
      </c>
      <c r="K646" s="13" t="str">
        <f>'1.6 Prod Bersih Pisang 2025'!K648</f>
        <v/>
      </c>
      <c r="L646" s="15">
        <f t="shared" si="30"/>
        <v>0</v>
      </c>
      <c r="M646" s="14" t="str">
        <f>IF(D646="","",VLOOKUP(D646,'[1]0.1 Produksi Pangan &amp; Penduduk'!$D$5:$AU$704,44,0))</f>
        <v/>
      </c>
      <c r="N646" s="26" t="str">
        <f t="shared" si="31"/>
        <v/>
      </c>
      <c r="O646" s="16"/>
      <c r="P646" s="25" t="str">
        <f t="shared" si="32"/>
        <v/>
      </c>
      <c r="Q646" s="8"/>
      <c r="R646" s="11"/>
    </row>
    <row r="647" spans="1:18" ht="15" x14ac:dyDescent="0.25">
      <c r="A647" s="3" t="str">
        <f>IF('1.1 Produksi Bersih Padi 2025'!A649="","",'1.1 Produksi Bersih Padi 2025'!A649)</f>
        <v/>
      </c>
      <c r="B647" s="32" t="str">
        <f>IF('1.1 Produksi Bersih Padi 2025'!B649="","",'1.1 Produksi Bersih Padi 2025'!B649)</f>
        <v/>
      </c>
      <c r="C647" s="32" t="str">
        <f>IF('1.1 Produksi Bersih Padi 2025'!C649="","",'1.1 Produksi Bersih Padi 2025'!C649)</f>
        <v/>
      </c>
      <c r="D647" s="3" t="str">
        <f>IF('1.1 Produksi Bersih Padi 2025'!D649="","",'1.1 Produksi Bersih Padi 2025'!D649)</f>
        <v/>
      </c>
      <c r="E647" s="3" t="str">
        <f>IF('1.1 Produksi Bersih Padi 2025'!E649="","",'1.1 Produksi Bersih Padi 2025'!E649)</f>
        <v/>
      </c>
      <c r="F647" s="13" t="str">
        <f>'1.1 Produksi Bersih Padi 2025'!Q649</f>
        <v/>
      </c>
      <c r="G647" s="13" t="str">
        <f>'1.2 Produksi Bersih Jagung 2025'!L649</f>
        <v/>
      </c>
      <c r="H647" s="13" t="str">
        <f>'1.3 Prod Bersih Ubi Kayu 2025'!K649</f>
        <v/>
      </c>
      <c r="I647" s="13" t="str">
        <f>'1.4 Prod Bersih Ubi Jalar 2025'!K649</f>
        <v/>
      </c>
      <c r="J647" s="13" t="str">
        <f>'1.5 Prod Bersih Sagu 2025'!K649</f>
        <v/>
      </c>
      <c r="K647" s="13" t="str">
        <f>'1.6 Prod Bersih Pisang 2025'!K649</f>
        <v/>
      </c>
      <c r="L647" s="15">
        <f t="shared" si="30"/>
        <v>0</v>
      </c>
      <c r="M647" s="14" t="str">
        <f>IF(D647="","",VLOOKUP(D647,'[1]0.1 Produksi Pangan &amp; Penduduk'!$D$5:$AU$704,44,0))</f>
        <v/>
      </c>
      <c r="N647" s="26" t="str">
        <f t="shared" si="31"/>
        <v/>
      </c>
      <c r="O647" s="16"/>
      <c r="P647" s="25" t="str">
        <f t="shared" si="32"/>
        <v/>
      </c>
      <c r="Q647" s="8"/>
      <c r="R647" s="11"/>
    </row>
    <row r="648" spans="1:18" ht="15" x14ac:dyDescent="0.25">
      <c r="A648" s="3" t="str">
        <f>IF('1.1 Produksi Bersih Padi 2025'!A650="","",'1.1 Produksi Bersih Padi 2025'!A650)</f>
        <v/>
      </c>
      <c r="B648" s="32" t="str">
        <f>IF('1.1 Produksi Bersih Padi 2025'!B650="","",'1.1 Produksi Bersih Padi 2025'!B650)</f>
        <v/>
      </c>
      <c r="C648" s="32" t="str">
        <f>IF('1.1 Produksi Bersih Padi 2025'!C650="","",'1.1 Produksi Bersih Padi 2025'!C650)</f>
        <v/>
      </c>
      <c r="D648" s="3" t="str">
        <f>IF('1.1 Produksi Bersih Padi 2025'!D650="","",'1.1 Produksi Bersih Padi 2025'!D650)</f>
        <v/>
      </c>
      <c r="E648" s="3" t="str">
        <f>IF('1.1 Produksi Bersih Padi 2025'!E650="","",'1.1 Produksi Bersih Padi 2025'!E650)</f>
        <v/>
      </c>
      <c r="F648" s="13" t="str">
        <f>'1.1 Produksi Bersih Padi 2025'!Q650</f>
        <v/>
      </c>
      <c r="G648" s="13" t="str">
        <f>'1.2 Produksi Bersih Jagung 2025'!L650</f>
        <v/>
      </c>
      <c r="H648" s="13" t="str">
        <f>'1.3 Prod Bersih Ubi Kayu 2025'!K650</f>
        <v/>
      </c>
      <c r="I648" s="13" t="str">
        <f>'1.4 Prod Bersih Ubi Jalar 2025'!K650</f>
        <v/>
      </c>
      <c r="J648" s="13" t="str">
        <f>'1.5 Prod Bersih Sagu 2025'!K650</f>
        <v/>
      </c>
      <c r="K648" s="13" t="str">
        <f>'1.6 Prod Bersih Pisang 2025'!K650</f>
        <v/>
      </c>
      <c r="L648" s="15">
        <f t="shared" si="30"/>
        <v>0</v>
      </c>
      <c r="M648" s="14" t="str">
        <f>IF(D648="","",VLOOKUP(D648,'[1]0.1 Produksi Pangan &amp; Penduduk'!$D$5:$AU$704,44,0))</f>
        <v/>
      </c>
      <c r="N648" s="26" t="str">
        <f t="shared" si="31"/>
        <v/>
      </c>
      <c r="O648" s="16"/>
      <c r="P648" s="25" t="str">
        <f t="shared" si="32"/>
        <v/>
      </c>
      <c r="Q648" s="8"/>
      <c r="R648" s="11"/>
    </row>
    <row r="649" spans="1:18" ht="15" x14ac:dyDescent="0.25">
      <c r="A649" s="3" t="str">
        <f>IF('1.1 Produksi Bersih Padi 2025'!A651="","",'1.1 Produksi Bersih Padi 2025'!A651)</f>
        <v/>
      </c>
      <c r="B649" s="32" t="str">
        <f>IF('1.1 Produksi Bersih Padi 2025'!B651="","",'1.1 Produksi Bersih Padi 2025'!B651)</f>
        <v/>
      </c>
      <c r="C649" s="32" t="str">
        <f>IF('1.1 Produksi Bersih Padi 2025'!C651="","",'1.1 Produksi Bersih Padi 2025'!C651)</f>
        <v/>
      </c>
      <c r="D649" s="3" t="str">
        <f>IF('1.1 Produksi Bersih Padi 2025'!D651="","",'1.1 Produksi Bersih Padi 2025'!D651)</f>
        <v/>
      </c>
      <c r="E649" s="3" t="str">
        <f>IF('1.1 Produksi Bersih Padi 2025'!E651="","",'1.1 Produksi Bersih Padi 2025'!E651)</f>
        <v/>
      </c>
      <c r="F649" s="13" t="str">
        <f>'1.1 Produksi Bersih Padi 2025'!Q651</f>
        <v/>
      </c>
      <c r="G649" s="13" t="str">
        <f>'1.2 Produksi Bersih Jagung 2025'!L651</f>
        <v/>
      </c>
      <c r="H649" s="13" t="str">
        <f>'1.3 Prod Bersih Ubi Kayu 2025'!K651</f>
        <v/>
      </c>
      <c r="I649" s="13" t="str">
        <f>'1.4 Prod Bersih Ubi Jalar 2025'!K651</f>
        <v/>
      </c>
      <c r="J649" s="13" t="str">
        <f>'1.5 Prod Bersih Sagu 2025'!K651</f>
        <v/>
      </c>
      <c r="K649" s="13" t="str">
        <f>'1.6 Prod Bersih Pisang 2025'!K651</f>
        <v/>
      </c>
      <c r="L649" s="15">
        <f t="shared" si="30"/>
        <v>0</v>
      </c>
      <c r="M649" s="14" t="str">
        <f>IF(D649="","",VLOOKUP(D649,'[1]0.1 Produksi Pangan &amp; Penduduk'!$D$5:$AU$704,44,0))</f>
        <v/>
      </c>
      <c r="N649" s="26" t="str">
        <f t="shared" si="31"/>
        <v/>
      </c>
      <c r="O649" s="16"/>
      <c r="P649" s="25" t="str">
        <f t="shared" si="32"/>
        <v/>
      </c>
      <c r="Q649" s="8"/>
      <c r="R649" s="11"/>
    </row>
    <row r="650" spans="1:18" ht="15" x14ac:dyDescent="0.25">
      <c r="A650" s="3" t="str">
        <f>IF('1.1 Produksi Bersih Padi 2025'!A652="","",'1.1 Produksi Bersih Padi 2025'!A652)</f>
        <v/>
      </c>
      <c r="B650" s="32" t="str">
        <f>IF('1.1 Produksi Bersih Padi 2025'!B652="","",'1.1 Produksi Bersih Padi 2025'!B652)</f>
        <v/>
      </c>
      <c r="C650" s="32" t="str">
        <f>IF('1.1 Produksi Bersih Padi 2025'!C652="","",'1.1 Produksi Bersih Padi 2025'!C652)</f>
        <v/>
      </c>
      <c r="D650" s="3" t="str">
        <f>IF('1.1 Produksi Bersih Padi 2025'!D652="","",'1.1 Produksi Bersih Padi 2025'!D652)</f>
        <v/>
      </c>
      <c r="E650" s="3" t="str">
        <f>IF('1.1 Produksi Bersih Padi 2025'!E652="","",'1.1 Produksi Bersih Padi 2025'!E652)</f>
        <v/>
      </c>
      <c r="F650" s="13" t="str">
        <f>'1.1 Produksi Bersih Padi 2025'!Q652</f>
        <v/>
      </c>
      <c r="G650" s="13" t="str">
        <f>'1.2 Produksi Bersih Jagung 2025'!L652</f>
        <v/>
      </c>
      <c r="H650" s="13" t="str">
        <f>'1.3 Prod Bersih Ubi Kayu 2025'!K652</f>
        <v/>
      </c>
      <c r="I650" s="13" t="str">
        <f>'1.4 Prod Bersih Ubi Jalar 2025'!K652</f>
        <v/>
      </c>
      <c r="J650" s="13" t="str">
        <f>'1.5 Prod Bersih Sagu 2025'!K652</f>
        <v/>
      </c>
      <c r="K650" s="13" t="str">
        <f>'1.6 Prod Bersih Pisang 2025'!K652</f>
        <v/>
      </c>
      <c r="L650" s="15">
        <f t="shared" si="30"/>
        <v>0</v>
      </c>
      <c r="M650" s="14" t="str">
        <f>IF(D650="","",VLOOKUP(D650,'[1]0.1 Produksi Pangan &amp; Penduduk'!$D$5:$AU$704,44,0))</f>
        <v/>
      </c>
      <c r="N650" s="26" t="str">
        <f t="shared" si="31"/>
        <v/>
      </c>
      <c r="O650" s="16"/>
      <c r="P650" s="25" t="str">
        <f t="shared" si="32"/>
        <v/>
      </c>
      <c r="Q650" s="8"/>
      <c r="R650" s="11"/>
    </row>
    <row r="651" spans="1:18" ht="15" x14ac:dyDescent="0.25">
      <c r="A651" s="3" t="str">
        <f>IF('1.1 Produksi Bersih Padi 2025'!A653="","",'1.1 Produksi Bersih Padi 2025'!A653)</f>
        <v/>
      </c>
      <c r="B651" s="32" t="str">
        <f>IF('1.1 Produksi Bersih Padi 2025'!B653="","",'1.1 Produksi Bersih Padi 2025'!B653)</f>
        <v/>
      </c>
      <c r="C651" s="32" t="str">
        <f>IF('1.1 Produksi Bersih Padi 2025'!C653="","",'1.1 Produksi Bersih Padi 2025'!C653)</f>
        <v/>
      </c>
      <c r="D651" s="3" t="str">
        <f>IF('1.1 Produksi Bersih Padi 2025'!D653="","",'1.1 Produksi Bersih Padi 2025'!D653)</f>
        <v/>
      </c>
      <c r="E651" s="3" t="str">
        <f>IF('1.1 Produksi Bersih Padi 2025'!E653="","",'1.1 Produksi Bersih Padi 2025'!E653)</f>
        <v/>
      </c>
      <c r="F651" s="13" t="str">
        <f>'1.1 Produksi Bersih Padi 2025'!Q653</f>
        <v/>
      </c>
      <c r="G651" s="13" t="str">
        <f>'1.2 Produksi Bersih Jagung 2025'!L653</f>
        <v/>
      </c>
      <c r="H651" s="13" t="str">
        <f>'1.3 Prod Bersih Ubi Kayu 2025'!K653</f>
        <v/>
      </c>
      <c r="I651" s="13" t="str">
        <f>'1.4 Prod Bersih Ubi Jalar 2025'!K653</f>
        <v/>
      </c>
      <c r="J651" s="13" t="str">
        <f>'1.5 Prod Bersih Sagu 2025'!K653</f>
        <v/>
      </c>
      <c r="K651" s="13" t="str">
        <f>'1.6 Prod Bersih Pisang 2025'!K653</f>
        <v/>
      </c>
      <c r="L651" s="15">
        <f t="shared" si="30"/>
        <v>0</v>
      </c>
      <c r="M651" s="14" t="str">
        <f>IF(D651="","",VLOOKUP(D651,'[1]0.1 Produksi Pangan &amp; Penduduk'!$D$5:$AU$704,44,0))</f>
        <v/>
      </c>
      <c r="N651" s="26" t="str">
        <f t="shared" si="31"/>
        <v/>
      </c>
      <c r="O651" s="16"/>
      <c r="P651" s="25" t="str">
        <f t="shared" si="32"/>
        <v/>
      </c>
      <c r="Q651" s="8"/>
      <c r="R651" s="11"/>
    </row>
    <row r="652" spans="1:18" ht="15" x14ac:dyDescent="0.25">
      <c r="A652" s="3" t="str">
        <f>IF('1.1 Produksi Bersih Padi 2025'!A654="","",'1.1 Produksi Bersih Padi 2025'!A654)</f>
        <v/>
      </c>
      <c r="B652" s="32" t="str">
        <f>IF('1.1 Produksi Bersih Padi 2025'!B654="","",'1.1 Produksi Bersih Padi 2025'!B654)</f>
        <v/>
      </c>
      <c r="C652" s="32" t="str">
        <f>IF('1.1 Produksi Bersih Padi 2025'!C654="","",'1.1 Produksi Bersih Padi 2025'!C654)</f>
        <v/>
      </c>
      <c r="D652" s="3" t="str">
        <f>IF('1.1 Produksi Bersih Padi 2025'!D654="","",'1.1 Produksi Bersih Padi 2025'!D654)</f>
        <v/>
      </c>
      <c r="E652" s="3" t="str">
        <f>IF('1.1 Produksi Bersih Padi 2025'!E654="","",'1.1 Produksi Bersih Padi 2025'!E654)</f>
        <v/>
      </c>
      <c r="F652" s="13" t="str">
        <f>'1.1 Produksi Bersih Padi 2025'!Q654</f>
        <v/>
      </c>
      <c r="G652" s="13" t="str">
        <f>'1.2 Produksi Bersih Jagung 2025'!L654</f>
        <v/>
      </c>
      <c r="H652" s="13" t="str">
        <f>'1.3 Prod Bersih Ubi Kayu 2025'!K654</f>
        <v/>
      </c>
      <c r="I652" s="13" t="str">
        <f>'1.4 Prod Bersih Ubi Jalar 2025'!K654</f>
        <v/>
      </c>
      <c r="J652" s="13" t="str">
        <f>'1.5 Prod Bersih Sagu 2025'!K654</f>
        <v/>
      </c>
      <c r="K652" s="13" t="str">
        <f>'1.6 Prod Bersih Pisang 2025'!K654</f>
        <v/>
      </c>
      <c r="L652" s="15">
        <f t="shared" si="30"/>
        <v>0</v>
      </c>
      <c r="M652" s="14" t="str">
        <f>IF(D652="","",VLOOKUP(D652,'[1]0.1 Produksi Pangan &amp; Penduduk'!$D$5:$AU$704,44,0))</f>
        <v/>
      </c>
      <c r="N652" s="26" t="str">
        <f t="shared" si="31"/>
        <v/>
      </c>
      <c r="O652" s="16"/>
      <c r="P652" s="25" t="str">
        <f t="shared" si="32"/>
        <v/>
      </c>
      <c r="Q652" s="8"/>
      <c r="R652" s="11"/>
    </row>
    <row r="653" spans="1:18" ht="15" x14ac:dyDescent="0.25">
      <c r="A653" s="3" t="str">
        <f>IF('1.1 Produksi Bersih Padi 2025'!A655="","",'1.1 Produksi Bersih Padi 2025'!A655)</f>
        <v/>
      </c>
      <c r="B653" s="32" t="str">
        <f>IF('1.1 Produksi Bersih Padi 2025'!B655="","",'1.1 Produksi Bersih Padi 2025'!B655)</f>
        <v/>
      </c>
      <c r="C653" s="32" t="str">
        <f>IF('1.1 Produksi Bersih Padi 2025'!C655="","",'1.1 Produksi Bersih Padi 2025'!C655)</f>
        <v/>
      </c>
      <c r="D653" s="3" t="str">
        <f>IF('1.1 Produksi Bersih Padi 2025'!D655="","",'1.1 Produksi Bersih Padi 2025'!D655)</f>
        <v/>
      </c>
      <c r="E653" s="3" t="str">
        <f>IF('1.1 Produksi Bersih Padi 2025'!E655="","",'1.1 Produksi Bersih Padi 2025'!E655)</f>
        <v/>
      </c>
      <c r="F653" s="13" t="str">
        <f>'1.1 Produksi Bersih Padi 2025'!Q655</f>
        <v/>
      </c>
      <c r="G653" s="13" t="str">
        <f>'1.2 Produksi Bersih Jagung 2025'!L655</f>
        <v/>
      </c>
      <c r="H653" s="13" t="str">
        <f>'1.3 Prod Bersih Ubi Kayu 2025'!K655</f>
        <v/>
      </c>
      <c r="I653" s="13" t="str">
        <f>'1.4 Prod Bersih Ubi Jalar 2025'!K655</f>
        <v/>
      </c>
      <c r="J653" s="13" t="str">
        <f>'1.5 Prod Bersih Sagu 2025'!K655</f>
        <v/>
      </c>
      <c r="K653" s="13" t="str">
        <f>'1.6 Prod Bersih Pisang 2025'!K655</f>
        <v/>
      </c>
      <c r="L653" s="15">
        <f t="shared" si="30"/>
        <v>0</v>
      </c>
      <c r="M653" s="14" t="str">
        <f>IF(D653="","",VLOOKUP(D653,'[1]0.1 Produksi Pangan &amp; Penduduk'!$D$5:$AU$704,44,0))</f>
        <v/>
      </c>
      <c r="N653" s="26" t="str">
        <f t="shared" si="31"/>
        <v/>
      </c>
      <c r="O653" s="16"/>
      <c r="P653" s="25" t="str">
        <f t="shared" si="32"/>
        <v/>
      </c>
      <c r="Q653" s="8"/>
      <c r="R653" s="11"/>
    </row>
    <row r="654" spans="1:18" ht="15" x14ac:dyDescent="0.25">
      <c r="A654" s="3" t="str">
        <f>IF('1.1 Produksi Bersih Padi 2025'!A656="","",'1.1 Produksi Bersih Padi 2025'!A656)</f>
        <v/>
      </c>
      <c r="B654" s="32" t="str">
        <f>IF('1.1 Produksi Bersih Padi 2025'!B656="","",'1.1 Produksi Bersih Padi 2025'!B656)</f>
        <v/>
      </c>
      <c r="C654" s="32" t="str">
        <f>IF('1.1 Produksi Bersih Padi 2025'!C656="","",'1.1 Produksi Bersih Padi 2025'!C656)</f>
        <v/>
      </c>
      <c r="D654" s="3" t="str">
        <f>IF('1.1 Produksi Bersih Padi 2025'!D656="","",'1.1 Produksi Bersih Padi 2025'!D656)</f>
        <v/>
      </c>
      <c r="E654" s="3" t="str">
        <f>IF('1.1 Produksi Bersih Padi 2025'!E656="","",'1.1 Produksi Bersih Padi 2025'!E656)</f>
        <v/>
      </c>
      <c r="F654" s="13" t="str">
        <f>'1.1 Produksi Bersih Padi 2025'!Q656</f>
        <v/>
      </c>
      <c r="G654" s="13" t="str">
        <f>'1.2 Produksi Bersih Jagung 2025'!L656</f>
        <v/>
      </c>
      <c r="H654" s="13" t="str">
        <f>'1.3 Prod Bersih Ubi Kayu 2025'!K656</f>
        <v/>
      </c>
      <c r="I654" s="13" t="str">
        <f>'1.4 Prod Bersih Ubi Jalar 2025'!K656</f>
        <v/>
      </c>
      <c r="J654" s="13" t="str">
        <f>'1.5 Prod Bersih Sagu 2025'!K656</f>
        <v/>
      </c>
      <c r="K654" s="13" t="str">
        <f>'1.6 Prod Bersih Pisang 2025'!K656</f>
        <v/>
      </c>
      <c r="L654" s="15">
        <f t="shared" si="30"/>
        <v>0</v>
      </c>
      <c r="M654" s="14" t="str">
        <f>IF(D654="","",VLOOKUP(D654,'[1]0.1 Produksi Pangan &amp; Penduduk'!$D$5:$AU$704,44,0))</f>
        <v/>
      </c>
      <c r="N654" s="26" t="str">
        <f t="shared" si="31"/>
        <v/>
      </c>
      <c r="O654" s="16"/>
      <c r="P654" s="25" t="str">
        <f t="shared" si="32"/>
        <v/>
      </c>
      <c r="Q654" s="8"/>
      <c r="R654" s="11"/>
    </row>
    <row r="655" spans="1:18" ht="15" x14ac:dyDescent="0.25">
      <c r="A655" s="3" t="str">
        <f>IF('1.1 Produksi Bersih Padi 2025'!A657="","",'1.1 Produksi Bersih Padi 2025'!A657)</f>
        <v/>
      </c>
      <c r="B655" s="32" t="str">
        <f>IF('1.1 Produksi Bersih Padi 2025'!B657="","",'1.1 Produksi Bersih Padi 2025'!B657)</f>
        <v/>
      </c>
      <c r="C655" s="32" t="str">
        <f>IF('1.1 Produksi Bersih Padi 2025'!C657="","",'1.1 Produksi Bersih Padi 2025'!C657)</f>
        <v/>
      </c>
      <c r="D655" s="3" t="str">
        <f>IF('1.1 Produksi Bersih Padi 2025'!D657="","",'1.1 Produksi Bersih Padi 2025'!D657)</f>
        <v/>
      </c>
      <c r="E655" s="3" t="str">
        <f>IF('1.1 Produksi Bersih Padi 2025'!E657="","",'1.1 Produksi Bersih Padi 2025'!E657)</f>
        <v/>
      </c>
      <c r="F655" s="13" t="str">
        <f>'1.1 Produksi Bersih Padi 2025'!Q657</f>
        <v/>
      </c>
      <c r="G655" s="13" t="str">
        <f>'1.2 Produksi Bersih Jagung 2025'!L657</f>
        <v/>
      </c>
      <c r="H655" s="13" t="str">
        <f>'1.3 Prod Bersih Ubi Kayu 2025'!K657</f>
        <v/>
      </c>
      <c r="I655" s="13" t="str">
        <f>'1.4 Prod Bersih Ubi Jalar 2025'!K657</f>
        <v/>
      </c>
      <c r="J655" s="13" t="str">
        <f>'1.5 Prod Bersih Sagu 2025'!K657</f>
        <v/>
      </c>
      <c r="K655" s="13" t="str">
        <f>'1.6 Prod Bersih Pisang 2025'!K657</f>
        <v/>
      </c>
      <c r="L655" s="15">
        <f t="shared" si="30"/>
        <v>0</v>
      </c>
      <c r="M655" s="14" t="str">
        <f>IF(D655="","",VLOOKUP(D655,'[1]0.1 Produksi Pangan &amp; Penduduk'!$D$5:$AU$704,44,0))</f>
        <v/>
      </c>
      <c r="N655" s="26" t="str">
        <f t="shared" si="31"/>
        <v/>
      </c>
      <c r="O655" s="16"/>
      <c r="P655" s="25" t="str">
        <f t="shared" si="32"/>
        <v/>
      </c>
      <c r="Q655" s="8"/>
      <c r="R655" s="11"/>
    </row>
    <row r="656" spans="1:18" ht="15" x14ac:dyDescent="0.25">
      <c r="A656" s="3" t="str">
        <f>IF('1.1 Produksi Bersih Padi 2025'!A658="","",'1.1 Produksi Bersih Padi 2025'!A658)</f>
        <v/>
      </c>
      <c r="B656" s="32" t="str">
        <f>IF('1.1 Produksi Bersih Padi 2025'!B658="","",'1.1 Produksi Bersih Padi 2025'!B658)</f>
        <v/>
      </c>
      <c r="C656" s="32" t="str">
        <f>IF('1.1 Produksi Bersih Padi 2025'!C658="","",'1.1 Produksi Bersih Padi 2025'!C658)</f>
        <v/>
      </c>
      <c r="D656" s="3" t="str">
        <f>IF('1.1 Produksi Bersih Padi 2025'!D658="","",'1.1 Produksi Bersih Padi 2025'!D658)</f>
        <v/>
      </c>
      <c r="E656" s="3" t="str">
        <f>IF('1.1 Produksi Bersih Padi 2025'!E658="","",'1.1 Produksi Bersih Padi 2025'!E658)</f>
        <v/>
      </c>
      <c r="F656" s="13" t="str">
        <f>'1.1 Produksi Bersih Padi 2025'!Q658</f>
        <v/>
      </c>
      <c r="G656" s="13" t="str">
        <f>'1.2 Produksi Bersih Jagung 2025'!L658</f>
        <v/>
      </c>
      <c r="H656" s="13" t="str">
        <f>'1.3 Prod Bersih Ubi Kayu 2025'!K658</f>
        <v/>
      </c>
      <c r="I656" s="13" t="str">
        <f>'1.4 Prod Bersih Ubi Jalar 2025'!K658</f>
        <v/>
      </c>
      <c r="J656" s="13" t="str">
        <f>'1.5 Prod Bersih Sagu 2025'!K658</f>
        <v/>
      </c>
      <c r="K656" s="13" t="str">
        <f>'1.6 Prod Bersih Pisang 2025'!K658</f>
        <v/>
      </c>
      <c r="L656" s="15">
        <f t="shared" si="30"/>
        <v>0</v>
      </c>
      <c r="M656" s="14" t="str">
        <f>IF(D656="","",VLOOKUP(D656,'[1]0.1 Produksi Pangan &amp; Penduduk'!$D$5:$AU$704,44,0))</f>
        <v/>
      </c>
      <c r="N656" s="26" t="str">
        <f t="shared" si="31"/>
        <v/>
      </c>
      <c r="O656" s="16"/>
      <c r="P656" s="25" t="str">
        <f t="shared" si="32"/>
        <v/>
      </c>
      <c r="Q656" s="8"/>
      <c r="R656" s="11"/>
    </row>
    <row r="657" spans="1:18" ht="15" x14ac:dyDescent="0.25">
      <c r="A657" s="3" t="str">
        <f>IF('1.1 Produksi Bersih Padi 2025'!A659="","",'1.1 Produksi Bersih Padi 2025'!A659)</f>
        <v/>
      </c>
      <c r="B657" s="32" t="str">
        <f>IF('1.1 Produksi Bersih Padi 2025'!B659="","",'1.1 Produksi Bersih Padi 2025'!B659)</f>
        <v/>
      </c>
      <c r="C657" s="32" t="str">
        <f>IF('1.1 Produksi Bersih Padi 2025'!C659="","",'1.1 Produksi Bersih Padi 2025'!C659)</f>
        <v/>
      </c>
      <c r="D657" s="3" t="str">
        <f>IF('1.1 Produksi Bersih Padi 2025'!D659="","",'1.1 Produksi Bersih Padi 2025'!D659)</f>
        <v/>
      </c>
      <c r="E657" s="3" t="str">
        <f>IF('1.1 Produksi Bersih Padi 2025'!E659="","",'1.1 Produksi Bersih Padi 2025'!E659)</f>
        <v/>
      </c>
      <c r="F657" s="13" t="str">
        <f>'1.1 Produksi Bersih Padi 2025'!Q659</f>
        <v/>
      </c>
      <c r="G657" s="13" t="str">
        <f>'1.2 Produksi Bersih Jagung 2025'!L659</f>
        <v/>
      </c>
      <c r="H657" s="13" t="str">
        <f>'1.3 Prod Bersih Ubi Kayu 2025'!K659</f>
        <v/>
      </c>
      <c r="I657" s="13" t="str">
        <f>'1.4 Prod Bersih Ubi Jalar 2025'!K659</f>
        <v/>
      </c>
      <c r="J657" s="13" t="str">
        <f>'1.5 Prod Bersih Sagu 2025'!K659</f>
        <v/>
      </c>
      <c r="K657" s="13" t="str">
        <f>'1.6 Prod Bersih Pisang 2025'!K659</f>
        <v/>
      </c>
      <c r="L657" s="15">
        <f t="shared" si="30"/>
        <v>0</v>
      </c>
      <c r="M657" s="14" t="str">
        <f>IF(D657="","",VLOOKUP(D657,'[1]0.1 Produksi Pangan &amp; Penduduk'!$D$5:$AU$704,44,0))</f>
        <v/>
      </c>
      <c r="N657" s="26" t="str">
        <f t="shared" si="31"/>
        <v/>
      </c>
      <c r="O657" s="16"/>
      <c r="P657" s="25" t="str">
        <f t="shared" si="32"/>
        <v/>
      </c>
      <c r="Q657" s="8"/>
      <c r="R657" s="11"/>
    </row>
    <row r="658" spans="1:18" ht="15" x14ac:dyDescent="0.25">
      <c r="A658" s="3" t="str">
        <f>IF('1.1 Produksi Bersih Padi 2025'!A660="","",'1.1 Produksi Bersih Padi 2025'!A660)</f>
        <v/>
      </c>
      <c r="B658" s="32" t="str">
        <f>IF('1.1 Produksi Bersih Padi 2025'!B660="","",'1.1 Produksi Bersih Padi 2025'!B660)</f>
        <v/>
      </c>
      <c r="C658" s="32" t="str">
        <f>IF('1.1 Produksi Bersih Padi 2025'!C660="","",'1.1 Produksi Bersih Padi 2025'!C660)</f>
        <v/>
      </c>
      <c r="D658" s="3" t="str">
        <f>IF('1.1 Produksi Bersih Padi 2025'!D660="","",'1.1 Produksi Bersih Padi 2025'!D660)</f>
        <v/>
      </c>
      <c r="E658" s="3" t="str">
        <f>IF('1.1 Produksi Bersih Padi 2025'!E660="","",'1.1 Produksi Bersih Padi 2025'!E660)</f>
        <v/>
      </c>
      <c r="F658" s="13" t="str">
        <f>'1.1 Produksi Bersih Padi 2025'!Q660</f>
        <v/>
      </c>
      <c r="G658" s="13" t="str">
        <f>'1.2 Produksi Bersih Jagung 2025'!L660</f>
        <v/>
      </c>
      <c r="H658" s="13" t="str">
        <f>'1.3 Prod Bersih Ubi Kayu 2025'!K660</f>
        <v/>
      </c>
      <c r="I658" s="13" t="str">
        <f>'1.4 Prod Bersih Ubi Jalar 2025'!K660</f>
        <v/>
      </c>
      <c r="J658" s="13" t="str">
        <f>'1.5 Prod Bersih Sagu 2025'!K660</f>
        <v/>
      </c>
      <c r="K658" s="13" t="str">
        <f>'1.6 Prod Bersih Pisang 2025'!K660</f>
        <v/>
      </c>
      <c r="L658" s="15">
        <f t="shared" si="30"/>
        <v>0</v>
      </c>
      <c r="M658" s="14" t="str">
        <f>IF(D658="","",VLOOKUP(D658,'[1]0.1 Produksi Pangan &amp; Penduduk'!$D$5:$AU$704,44,0))</f>
        <v/>
      </c>
      <c r="N658" s="26" t="str">
        <f t="shared" si="31"/>
        <v/>
      </c>
      <c r="O658" s="16"/>
      <c r="P658" s="25" t="str">
        <f t="shared" si="32"/>
        <v/>
      </c>
      <c r="Q658" s="8"/>
      <c r="R658" s="11"/>
    </row>
    <row r="659" spans="1:18" ht="15" x14ac:dyDescent="0.25">
      <c r="A659" s="3" t="str">
        <f>IF('1.1 Produksi Bersih Padi 2025'!A661="","",'1.1 Produksi Bersih Padi 2025'!A661)</f>
        <v/>
      </c>
      <c r="B659" s="32" t="str">
        <f>IF('1.1 Produksi Bersih Padi 2025'!B661="","",'1.1 Produksi Bersih Padi 2025'!B661)</f>
        <v/>
      </c>
      <c r="C659" s="32" t="str">
        <f>IF('1.1 Produksi Bersih Padi 2025'!C661="","",'1.1 Produksi Bersih Padi 2025'!C661)</f>
        <v/>
      </c>
      <c r="D659" s="3" t="str">
        <f>IF('1.1 Produksi Bersih Padi 2025'!D661="","",'1.1 Produksi Bersih Padi 2025'!D661)</f>
        <v/>
      </c>
      <c r="E659" s="3" t="str">
        <f>IF('1.1 Produksi Bersih Padi 2025'!E661="","",'1.1 Produksi Bersih Padi 2025'!E661)</f>
        <v/>
      </c>
      <c r="F659" s="13" t="str">
        <f>'1.1 Produksi Bersih Padi 2025'!Q661</f>
        <v/>
      </c>
      <c r="G659" s="13" t="str">
        <f>'1.2 Produksi Bersih Jagung 2025'!L661</f>
        <v/>
      </c>
      <c r="H659" s="13" t="str">
        <f>'1.3 Prod Bersih Ubi Kayu 2025'!K661</f>
        <v/>
      </c>
      <c r="I659" s="13" t="str">
        <f>'1.4 Prod Bersih Ubi Jalar 2025'!K661</f>
        <v/>
      </c>
      <c r="J659" s="13" t="str">
        <f>'1.5 Prod Bersih Sagu 2025'!K661</f>
        <v/>
      </c>
      <c r="K659" s="13" t="str">
        <f>'1.6 Prod Bersih Pisang 2025'!K661</f>
        <v/>
      </c>
      <c r="L659" s="15">
        <f t="shared" si="30"/>
        <v>0</v>
      </c>
      <c r="M659" s="14" t="str">
        <f>IF(D659="","",VLOOKUP(D659,'[1]0.1 Produksi Pangan &amp; Penduduk'!$D$5:$AU$704,44,0))</f>
        <v/>
      </c>
      <c r="N659" s="26" t="str">
        <f t="shared" si="31"/>
        <v/>
      </c>
      <c r="O659" s="16"/>
      <c r="P659" s="25" t="str">
        <f t="shared" si="32"/>
        <v/>
      </c>
      <c r="Q659" s="8"/>
      <c r="R659" s="11"/>
    </row>
    <row r="660" spans="1:18" ht="15" x14ac:dyDescent="0.25">
      <c r="A660" s="3" t="str">
        <f>IF('1.1 Produksi Bersih Padi 2025'!A662="","",'1.1 Produksi Bersih Padi 2025'!A662)</f>
        <v/>
      </c>
      <c r="B660" s="32" t="str">
        <f>IF('1.1 Produksi Bersih Padi 2025'!B662="","",'1.1 Produksi Bersih Padi 2025'!B662)</f>
        <v/>
      </c>
      <c r="C660" s="32" t="str">
        <f>IF('1.1 Produksi Bersih Padi 2025'!C662="","",'1.1 Produksi Bersih Padi 2025'!C662)</f>
        <v/>
      </c>
      <c r="D660" s="3" t="str">
        <f>IF('1.1 Produksi Bersih Padi 2025'!D662="","",'1.1 Produksi Bersih Padi 2025'!D662)</f>
        <v/>
      </c>
      <c r="E660" s="3" t="str">
        <f>IF('1.1 Produksi Bersih Padi 2025'!E662="","",'1.1 Produksi Bersih Padi 2025'!E662)</f>
        <v/>
      </c>
      <c r="F660" s="13" t="str">
        <f>'1.1 Produksi Bersih Padi 2025'!Q662</f>
        <v/>
      </c>
      <c r="G660" s="13" t="str">
        <f>'1.2 Produksi Bersih Jagung 2025'!L662</f>
        <v/>
      </c>
      <c r="H660" s="13" t="str">
        <f>'1.3 Prod Bersih Ubi Kayu 2025'!K662</f>
        <v/>
      </c>
      <c r="I660" s="13" t="str">
        <f>'1.4 Prod Bersih Ubi Jalar 2025'!K662</f>
        <v/>
      </c>
      <c r="J660" s="13" t="str">
        <f>'1.5 Prod Bersih Sagu 2025'!K662</f>
        <v/>
      </c>
      <c r="K660" s="13" t="str">
        <f>'1.6 Prod Bersih Pisang 2025'!K662</f>
        <v/>
      </c>
      <c r="L660" s="15">
        <f t="shared" si="30"/>
        <v>0</v>
      </c>
      <c r="M660" s="14" t="str">
        <f>IF(D660="","",VLOOKUP(D660,'[1]0.1 Produksi Pangan &amp; Penduduk'!$D$5:$AU$704,44,0))</f>
        <v/>
      </c>
      <c r="N660" s="26" t="str">
        <f t="shared" si="31"/>
        <v/>
      </c>
      <c r="O660" s="16"/>
      <c r="P660" s="25" t="str">
        <f t="shared" si="32"/>
        <v/>
      </c>
      <c r="Q660" s="8"/>
      <c r="R660" s="11"/>
    </row>
    <row r="661" spans="1:18" ht="15" x14ac:dyDescent="0.25">
      <c r="A661" s="3" t="str">
        <f>IF('1.1 Produksi Bersih Padi 2025'!A663="","",'1.1 Produksi Bersih Padi 2025'!A663)</f>
        <v/>
      </c>
      <c r="B661" s="32" t="str">
        <f>IF('1.1 Produksi Bersih Padi 2025'!B663="","",'1.1 Produksi Bersih Padi 2025'!B663)</f>
        <v/>
      </c>
      <c r="C661" s="32" t="str">
        <f>IF('1.1 Produksi Bersih Padi 2025'!C663="","",'1.1 Produksi Bersih Padi 2025'!C663)</f>
        <v/>
      </c>
      <c r="D661" s="3" t="str">
        <f>IF('1.1 Produksi Bersih Padi 2025'!D663="","",'1.1 Produksi Bersih Padi 2025'!D663)</f>
        <v/>
      </c>
      <c r="E661" s="3" t="str">
        <f>IF('1.1 Produksi Bersih Padi 2025'!E663="","",'1.1 Produksi Bersih Padi 2025'!E663)</f>
        <v/>
      </c>
      <c r="F661" s="13" t="str">
        <f>'1.1 Produksi Bersih Padi 2025'!Q663</f>
        <v/>
      </c>
      <c r="G661" s="13" t="str">
        <f>'1.2 Produksi Bersih Jagung 2025'!L663</f>
        <v/>
      </c>
      <c r="H661" s="13" t="str">
        <f>'1.3 Prod Bersih Ubi Kayu 2025'!K663</f>
        <v/>
      </c>
      <c r="I661" s="13" t="str">
        <f>'1.4 Prod Bersih Ubi Jalar 2025'!K663</f>
        <v/>
      </c>
      <c r="J661" s="13" t="str">
        <f>'1.5 Prod Bersih Sagu 2025'!K663</f>
        <v/>
      </c>
      <c r="K661" s="13" t="str">
        <f>'1.6 Prod Bersih Pisang 2025'!K663</f>
        <v/>
      </c>
      <c r="L661" s="15">
        <f t="shared" si="30"/>
        <v>0</v>
      </c>
      <c r="M661" s="14" t="str">
        <f>IF(D661="","",VLOOKUP(D661,'[1]0.1 Produksi Pangan &amp; Penduduk'!$D$5:$AU$704,44,0))</f>
        <v/>
      </c>
      <c r="N661" s="26" t="str">
        <f t="shared" si="31"/>
        <v/>
      </c>
      <c r="O661" s="16"/>
      <c r="P661" s="25" t="str">
        <f t="shared" si="32"/>
        <v/>
      </c>
      <c r="Q661" s="8"/>
      <c r="R661" s="11"/>
    </row>
    <row r="662" spans="1:18" ht="15" x14ac:dyDescent="0.25">
      <c r="A662" s="3" t="str">
        <f>IF('1.1 Produksi Bersih Padi 2025'!A664="","",'1.1 Produksi Bersih Padi 2025'!A664)</f>
        <v/>
      </c>
      <c r="B662" s="32" t="str">
        <f>IF('1.1 Produksi Bersih Padi 2025'!B664="","",'1.1 Produksi Bersih Padi 2025'!B664)</f>
        <v/>
      </c>
      <c r="C662" s="32" t="str">
        <f>IF('1.1 Produksi Bersih Padi 2025'!C664="","",'1.1 Produksi Bersih Padi 2025'!C664)</f>
        <v/>
      </c>
      <c r="D662" s="3" t="str">
        <f>IF('1.1 Produksi Bersih Padi 2025'!D664="","",'1.1 Produksi Bersih Padi 2025'!D664)</f>
        <v/>
      </c>
      <c r="E662" s="3" t="str">
        <f>IF('1.1 Produksi Bersih Padi 2025'!E664="","",'1.1 Produksi Bersih Padi 2025'!E664)</f>
        <v/>
      </c>
      <c r="F662" s="13" t="str">
        <f>'1.1 Produksi Bersih Padi 2025'!Q664</f>
        <v/>
      </c>
      <c r="G662" s="13" t="str">
        <f>'1.2 Produksi Bersih Jagung 2025'!L664</f>
        <v/>
      </c>
      <c r="H662" s="13" t="str">
        <f>'1.3 Prod Bersih Ubi Kayu 2025'!K664</f>
        <v/>
      </c>
      <c r="I662" s="13" t="str">
        <f>'1.4 Prod Bersih Ubi Jalar 2025'!K664</f>
        <v/>
      </c>
      <c r="J662" s="13" t="str">
        <f>'1.5 Prod Bersih Sagu 2025'!K664</f>
        <v/>
      </c>
      <c r="K662" s="13" t="str">
        <f>'1.6 Prod Bersih Pisang 2025'!K664</f>
        <v/>
      </c>
      <c r="L662" s="15">
        <f t="shared" si="30"/>
        <v>0</v>
      </c>
      <c r="M662" s="14" t="str">
        <f>IF(D662="","",VLOOKUP(D662,'[1]0.1 Produksi Pangan &amp; Penduduk'!$D$5:$AU$704,44,0))</f>
        <v/>
      </c>
      <c r="N662" s="26" t="str">
        <f t="shared" si="31"/>
        <v/>
      </c>
      <c r="O662" s="16"/>
      <c r="P662" s="25" t="str">
        <f t="shared" si="32"/>
        <v/>
      </c>
      <c r="Q662" s="8"/>
      <c r="R662" s="11"/>
    </row>
    <row r="663" spans="1:18" ht="15" x14ac:dyDescent="0.25">
      <c r="A663" s="3" t="str">
        <f>IF('1.1 Produksi Bersih Padi 2025'!A665="","",'1.1 Produksi Bersih Padi 2025'!A665)</f>
        <v/>
      </c>
      <c r="B663" s="32" t="str">
        <f>IF('1.1 Produksi Bersih Padi 2025'!B665="","",'1.1 Produksi Bersih Padi 2025'!B665)</f>
        <v/>
      </c>
      <c r="C663" s="32" t="str">
        <f>IF('1.1 Produksi Bersih Padi 2025'!C665="","",'1.1 Produksi Bersih Padi 2025'!C665)</f>
        <v/>
      </c>
      <c r="D663" s="3" t="str">
        <f>IF('1.1 Produksi Bersih Padi 2025'!D665="","",'1.1 Produksi Bersih Padi 2025'!D665)</f>
        <v/>
      </c>
      <c r="E663" s="3" t="str">
        <f>IF('1.1 Produksi Bersih Padi 2025'!E665="","",'1.1 Produksi Bersih Padi 2025'!E665)</f>
        <v/>
      </c>
      <c r="F663" s="13" t="str">
        <f>'1.1 Produksi Bersih Padi 2025'!Q665</f>
        <v/>
      </c>
      <c r="G663" s="13" t="str">
        <f>'1.2 Produksi Bersih Jagung 2025'!L665</f>
        <v/>
      </c>
      <c r="H663" s="13" t="str">
        <f>'1.3 Prod Bersih Ubi Kayu 2025'!K665</f>
        <v/>
      </c>
      <c r="I663" s="13" t="str">
        <f>'1.4 Prod Bersih Ubi Jalar 2025'!K665</f>
        <v/>
      </c>
      <c r="J663" s="13" t="str">
        <f>'1.5 Prod Bersih Sagu 2025'!K665</f>
        <v/>
      </c>
      <c r="K663" s="13" t="str">
        <f>'1.6 Prod Bersih Pisang 2025'!K665</f>
        <v/>
      </c>
      <c r="L663" s="15">
        <f t="shared" si="30"/>
        <v>0</v>
      </c>
      <c r="M663" s="14" t="str">
        <f>IF(D663="","",VLOOKUP(D663,'[1]0.1 Produksi Pangan &amp; Penduduk'!$D$5:$AU$704,44,0))</f>
        <v/>
      </c>
      <c r="N663" s="26" t="str">
        <f t="shared" si="31"/>
        <v/>
      </c>
      <c r="O663" s="16"/>
      <c r="P663" s="25" t="str">
        <f t="shared" si="32"/>
        <v/>
      </c>
      <c r="Q663" s="8"/>
      <c r="R663" s="11"/>
    </row>
    <row r="664" spans="1:18" ht="15" x14ac:dyDescent="0.25">
      <c r="A664" s="3" t="str">
        <f>IF('1.1 Produksi Bersih Padi 2025'!A666="","",'1.1 Produksi Bersih Padi 2025'!A666)</f>
        <v/>
      </c>
      <c r="B664" s="32" t="str">
        <f>IF('1.1 Produksi Bersih Padi 2025'!B666="","",'1.1 Produksi Bersih Padi 2025'!B666)</f>
        <v/>
      </c>
      <c r="C664" s="32" t="str">
        <f>IF('1.1 Produksi Bersih Padi 2025'!C666="","",'1.1 Produksi Bersih Padi 2025'!C666)</f>
        <v/>
      </c>
      <c r="D664" s="3" t="str">
        <f>IF('1.1 Produksi Bersih Padi 2025'!D666="","",'1.1 Produksi Bersih Padi 2025'!D666)</f>
        <v/>
      </c>
      <c r="E664" s="3" t="str">
        <f>IF('1.1 Produksi Bersih Padi 2025'!E666="","",'1.1 Produksi Bersih Padi 2025'!E666)</f>
        <v/>
      </c>
      <c r="F664" s="13" t="str">
        <f>'1.1 Produksi Bersih Padi 2025'!Q666</f>
        <v/>
      </c>
      <c r="G664" s="13" t="str">
        <f>'1.2 Produksi Bersih Jagung 2025'!L666</f>
        <v/>
      </c>
      <c r="H664" s="13" t="str">
        <f>'1.3 Prod Bersih Ubi Kayu 2025'!K666</f>
        <v/>
      </c>
      <c r="I664" s="13" t="str">
        <f>'1.4 Prod Bersih Ubi Jalar 2025'!K666</f>
        <v/>
      </c>
      <c r="J664" s="13" t="str">
        <f>'1.5 Prod Bersih Sagu 2025'!K666</f>
        <v/>
      </c>
      <c r="K664" s="13" t="str">
        <f>'1.6 Prod Bersih Pisang 2025'!K666</f>
        <v/>
      </c>
      <c r="L664" s="15">
        <f t="shared" si="30"/>
        <v>0</v>
      </c>
      <c r="M664" s="14" t="str">
        <f>IF(D664="","",VLOOKUP(D664,'[1]0.1 Produksi Pangan &amp; Penduduk'!$D$5:$AU$704,44,0))</f>
        <v/>
      </c>
      <c r="N664" s="26" t="str">
        <f t="shared" si="31"/>
        <v/>
      </c>
      <c r="O664" s="16"/>
      <c r="P664" s="25" t="str">
        <f t="shared" si="32"/>
        <v/>
      </c>
      <c r="Q664" s="8"/>
      <c r="R664" s="11"/>
    </row>
    <row r="665" spans="1:18" ht="15" x14ac:dyDescent="0.25">
      <c r="A665" s="3" t="str">
        <f>IF('1.1 Produksi Bersih Padi 2025'!A667="","",'1.1 Produksi Bersih Padi 2025'!A667)</f>
        <v/>
      </c>
      <c r="B665" s="32" t="str">
        <f>IF('1.1 Produksi Bersih Padi 2025'!B667="","",'1.1 Produksi Bersih Padi 2025'!B667)</f>
        <v/>
      </c>
      <c r="C665" s="32" t="str">
        <f>IF('1.1 Produksi Bersih Padi 2025'!C667="","",'1.1 Produksi Bersih Padi 2025'!C667)</f>
        <v/>
      </c>
      <c r="D665" s="3" t="str">
        <f>IF('1.1 Produksi Bersih Padi 2025'!D667="","",'1.1 Produksi Bersih Padi 2025'!D667)</f>
        <v/>
      </c>
      <c r="E665" s="3" t="str">
        <f>IF('1.1 Produksi Bersih Padi 2025'!E667="","",'1.1 Produksi Bersih Padi 2025'!E667)</f>
        <v/>
      </c>
      <c r="F665" s="13" t="str">
        <f>'1.1 Produksi Bersih Padi 2025'!Q667</f>
        <v/>
      </c>
      <c r="G665" s="13" t="str">
        <f>'1.2 Produksi Bersih Jagung 2025'!L667</f>
        <v/>
      </c>
      <c r="H665" s="13" t="str">
        <f>'1.3 Prod Bersih Ubi Kayu 2025'!K667</f>
        <v/>
      </c>
      <c r="I665" s="13" t="str">
        <f>'1.4 Prod Bersih Ubi Jalar 2025'!K667</f>
        <v/>
      </c>
      <c r="J665" s="13" t="str">
        <f>'1.5 Prod Bersih Sagu 2025'!K667</f>
        <v/>
      </c>
      <c r="K665" s="13" t="str">
        <f>'1.6 Prod Bersih Pisang 2025'!K667</f>
        <v/>
      </c>
      <c r="L665" s="15">
        <f t="shared" si="30"/>
        <v>0</v>
      </c>
      <c r="M665" s="14" t="str">
        <f>IF(D665="","",VLOOKUP(D665,'[1]0.1 Produksi Pangan &amp; Penduduk'!$D$5:$AU$704,44,0))</f>
        <v/>
      </c>
      <c r="N665" s="26" t="str">
        <f t="shared" si="31"/>
        <v/>
      </c>
      <c r="O665" s="16"/>
      <c r="P665" s="25" t="str">
        <f t="shared" si="32"/>
        <v/>
      </c>
      <c r="Q665" s="8"/>
      <c r="R665" s="11"/>
    </row>
    <row r="666" spans="1:18" ht="15" x14ac:dyDescent="0.25">
      <c r="A666" s="3" t="str">
        <f>IF('1.1 Produksi Bersih Padi 2025'!A668="","",'1.1 Produksi Bersih Padi 2025'!A668)</f>
        <v/>
      </c>
      <c r="B666" s="32" t="str">
        <f>IF('1.1 Produksi Bersih Padi 2025'!B668="","",'1.1 Produksi Bersih Padi 2025'!B668)</f>
        <v/>
      </c>
      <c r="C666" s="32" t="str">
        <f>IF('1.1 Produksi Bersih Padi 2025'!C668="","",'1.1 Produksi Bersih Padi 2025'!C668)</f>
        <v/>
      </c>
      <c r="D666" s="3" t="str">
        <f>IF('1.1 Produksi Bersih Padi 2025'!D668="","",'1.1 Produksi Bersih Padi 2025'!D668)</f>
        <v/>
      </c>
      <c r="E666" s="3" t="str">
        <f>IF('1.1 Produksi Bersih Padi 2025'!E668="","",'1.1 Produksi Bersih Padi 2025'!E668)</f>
        <v/>
      </c>
      <c r="F666" s="13" t="str">
        <f>'1.1 Produksi Bersih Padi 2025'!Q668</f>
        <v/>
      </c>
      <c r="G666" s="13" t="str">
        <f>'1.2 Produksi Bersih Jagung 2025'!L668</f>
        <v/>
      </c>
      <c r="H666" s="13" t="str">
        <f>'1.3 Prod Bersih Ubi Kayu 2025'!K668</f>
        <v/>
      </c>
      <c r="I666" s="13" t="str">
        <f>'1.4 Prod Bersih Ubi Jalar 2025'!K668</f>
        <v/>
      </c>
      <c r="J666" s="13" t="str">
        <f>'1.5 Prod Bersih Sagu 2025'!K668</f>
        <v/>
      </c>
      <c r="K666" s="13" t="str">
        <f>'1.6 Prod Bersih Pisang 2025'!K668</f>
        <v/>
      </c>
      <c r="L666" s="15">
        <f t="shared" si="30"/>
        <v>0</v>
      </c>
      <c r="M666" s="14" t="str">
        <f>IF(D666="","",VLOOKUP(D666,'[1]0.1 Produksi Pangan &amp; Penduduk'!$D$5:$AU$704,44,0))</f>
        <v/>
      </c>
      <c r="N666" s="26" t="str">
        <f t="shared" si="31"/>
        <v/>
      </c>
      <c r="O666" s="16"/>
      <c r="P666" s="25" t="str">
        <f t="shared" si="32"/>
        <v/>
      </c>
      <c r="Q666" s="8"/>
      <c r="R666" s="11"/>
    </row>
    <row r="667" spans="1:18" ht="15" x14ac:dyDescent="0.25">
      <c r="A667" s="3" t="str">
        <f>IF('1.1 Produksi Bersih Padi 2025'!A669="","",'1.1 Produksi Bersih Padi 2025'!A669)</f>
        <v/>
      </c>
      <c r="B667" s="32" t="str">
        <f>IF('1.1 Produksi Bersih Padi 2025'!B669="","",'1.1 Produksi Bersih Padi 2025'!B669)</f>
        <v/>
      </c>
      <c r="C667" s="32" t="str">
        <f>IF('1.1 Produksi Bersih Padi 2025'!C669="","",'1.1 Produksi Bersih Padi 2025'!C669)</f>
        <v/>
      </c>
      <c r="D667" s="3" t="str">
        <f>IF('1.1 Produksi Bersih Padi 2025'!D669="","",'1.1 Produksi Bersih Padi 2025'!D669)</f>
        <v/>
      </c>
      <c r="E667" s="3" t="str">
        <f>IF('1.1 Produksi Bersih Padi 2025'!E669="","",'1.1 Produksi Bersih Padi 2025'!E669)</f>
        <v/>
      </c>
      <c r="F667" s="13" t="str">
        <f>'1.1 Produksi Bersih Padi 2025'!Q669</f>
        <v/>
      </c>
      <c r="G667" s="13" t="str">
        <f>'1.2 Produksi Bersih Jagung 2025'!L669</f>
        <v/>
      </c>
      <c r="H667" s="13" t="str">
        <f>'1.3 Prod Bersih Ubi Kayu 2025'!K669</f>
        <v/>
      </c>
      <c r="I667" s="13" t="str">
        <f>'1.4 Prod Bersih Ubi Jalar 2025'!K669</f>
        <v/>
      </c>
      <c r="J667" s="13" t="str">
        <f>'1.5 Prod Bersih Sagu 2025'!K669</f>
        <v/>
      </c>
      <c r="K667" s="13" t="str">
        <f>'1.6 Prod Bersih Pisang 2025'!K669</f>
        <v/>
      </c>
      <c r="L667" s="15">
        <f t="shared" si="30"/>
        <v>0</v>
      </c>
      <c r="M667" s="14" t="str">
        <f>IF(D667="","",VLOOKUP(D667,'[1]0.1 Produksi Pangan &amp; Penduduk'!$D$5:$AU$704,44,0))</f>
        <v/>
      </c>
      <c r="N667" s="26" t="str">
        <f t="shared" si="31"/>
        <v/>
      </c>
      <c r="O667" s="16"/>
      <c r="P667" s="25" t="str">
        <f t="shared" si="32"/>
        <v/>
      </c>
      <c r="Q667" s="8"/>
      <c r="R667" s="11"/>
    </row>
    <row r="668" spans="1:18" ht="15" x14ac:dyDescent="0.25">
      <c r="A668" s="3" t="str">
        <f>IF('1.1 Produksi Bersih Padi 2025'!A670="","",'1.1 Produksi Bersih Padi 2025'!A670)</f>
        <v/>
      </c>
      <c r="B668" s="32" t="str">
        <f>IF('1.1 Produksi Bersih Padi 2025'!B670="","",'1.1 Produksi Bersih Padi 2025'!B670)</f>
        <v/>
      </c>
      <c r="C668" s="32" t="str">
        <f>IF('1.1 Produksi Bersih Padi 2025'!C670="","",'1.1 Produksi Bersih Padi 2025'!C670)</f>
        <v/>
      </c>
      <c r="D668" s="3" t="str">
        <f>IF('1.1 Produksi Bersih Padi 2025'!D670="","",'1.1 Produksi Bersih Padi 2025'!D670)</f>
        <v/>
      </c>
      <c r="E668" s="3" t="str">
        <f>IF('1.1 Produksi Bersih Padi 2025'!E670="","",'1.1 Produksi Bersih Padi 2025'!E670)</f>
        <v/>
      </c>
      <c r="F668" s="13" t="str">
        <f>'1.1 Produksi Bersih Padi 2025'!Q670</f>
        <v/>
      </c>
      <c r="G668" s="13" t="str">
        <f>'1.2 Produksi Bersih Jagung 2025'!L670</f>
        <v/>
      </c>
      <c r="H668" s="13" t="str">
        <f>'1.3 Prod Bersih Ubi Kayu 2025'!K670</f>
        <v/>
      </c>
      <c r="I668" s="13" t="str">
        <f>'1.4 Prod Bersih Ubi Jalar 2025'!K670</f>
        <v/>
      </c>
      <c r="J668" s="13" t="str">
        <f>'1.5 Prod Bersih Sagu 2025'!K670</f>
        <v/>
      </c>
      <c r="K668" s="13" t="str">
        <f>'1.6 Prod Bersih Pisang 2025'!K670</f>
        <v/>
      </c>
      <c r="L668" s="15">
        <f t="shared" si="30"/>
        <v>0</v>
      </c>
      <c r="M668" s="14" t="str">
        <f>IF(D668="","",VLOOKUP(D668,'[1]0.1 Produksi Pangan &amp; Penduduk'!$D$5:$AU$704,44,0))</f>
        <v/>
      </c>
      <c r="N668" s="26" t="str">
        <f t="shared" si="31"/>
        <v/>
      </c>
      <c r="O668" s="16"/>
      <c r="P668" s="25" t="str">
        <f t="shared" si="32"/>
        <v/>
      </c>
      <c r="Q668" s="8"/>
      <c r="R668" s="11"/>
    </row>
    <row r="669" spans="1:18" ht="15" x14ac:dyDescent="0.25">
      <c r="A669" s="3" t="str">
        <f>IF('1.1 Produksi Bersih Padi 2025'!A671="","",'1.1 Produksi Bersih Padi 2025'!A671)</f>
        <v/>
      </c>
      <c r="B669" s="32" t="str">
        <f>IF('1.1 Produksi Bersih Padi 2025'!B671="","",'1.1 Produksi Bersih Padi 2025'!B671)</f>
        <v/>
      </c>
      <c r="C669" s="32" t="str">
        <f>IF('1.1 Produksi Bersih Padi 2025'!C671="","",'1.1 Produksi Bersih Padi 2025'!C671)</f>
        <v/>
      </c>
      <c r="D669" s="3" t="str">
        <f>IF('1.1 Produksi Bersih Padi 2025'!D671="","",'1.1 Produksi Bersih Padi 2025'!D671)</f>
        <v/>
      </c>
      <c r="E669" s="3" t="str">
        <f>IF('1.1 Produksi Bersih Padi 2025'!E671="","",'1.1 Produksi Bersih Padi 2025'!E671)</f>
        <v/>
      </c>
      <c r="F669" s="13" t="str">
        <f>'1.1 Produksi Bersih Padi 2025'!Q671</f>
        <v/>
      </c>
      <c r="G669" s="13" t="str">
        <f>'1.2 Produksi Bersih Jagung 2025'!L671</f>
        <v/>
      </c>
      <c r="H669" s="13" t="str">
        <f>'1.3 Prod Bersih Ubi Kayu 2025'!K671</f>
        <v/>
      </c>
      <c r="I669" s="13" t="str">
        <f>'1.4 Prod Bersih Ubi Jalar 2025'!K671</f>
        <v/>
      </c>
      <c r="J669" s="13" t="str">
        <f>'1.5 Prod Bersih Sagu 2025'!K671</f>
        <v/>
      </c>
      <c r="K669" s="13" t="str">
        <f>'1.6 Prod Bersih Pisang 2025'!K671</f>
        <v/>
      </c>
      <c r="L669" s="15">
        <f t="shared" si="30"/>
        <v>0</v>
      </c>
      <c r="M669" s="14" t="str">
        <f>IF(D669="","",VLOOKUP(D669,'[1]0.1 Produksi Pangan &amp; Penduduk'!$D$5:$AU$704,44,0))</f>
        <v/>
      </c>
      <c r="N669" s="26" t="str">
        <f t="shared" si="31"/>
        <v/>
      </c>
      <c r="O669" s="16"/>
      <c r="P669" s="25" t="str">
        <f t="shared" si="32"/>
        <v/>
      </c>
      <c r="Q669" s="8"/>
      <c r="R669" s="11"/>
    </row>
    <row r="670" spans="1:18" ht="15" x14ac:dyDescent="0.25">
      <c r="A670" s="3" t="str">
        <f>IF('1.1 Produksi Bersih Padi 2025'!A672="","",'1.1 Produksi Bersih Padi 2025'!A672)</f>
        <v/>
      </c>
      <c r="B670" s="32" t="str">
        <f>IF('1.1 Produksi Bersih Padi 2025'!B672="","",'1.1 Produksi Bersih Padi 2025'!B672)</f>
        <v/>
      </c>
      <c r="C670" s="32" t="str">
        <f>IF('1.1 Produksi Bersih Padi 2025'!C672="","",'1.1 Produksi Bersih Padi 2025'!C672)</f>
        <v/>
      </c>
      <c r="D670" s="3" t="str">
        <f>IF('1.1 Produksi Bersih Padi 2025'!D672="","",'1.1 Produksi Bersih Padi 2025'!D672)</f>
        <v/>
      </c>
      <c r="E670" s="3" t="str">
        <f>IF('1.1 Produksi Bersih Padi 2025'!E672="","",'1.1 Produksi Bersih Padi 2025'!E672)</f>
        <v/>
      </c>
      <c r="F670" s="13" t="str">
        <f>'1.1 Produksi Bersih Padi 2025'!Q672</f>
        <v/>
      </c>
      <c r="G670" s="13" t="str">
        <f>'1.2 Produksi Bersih Jagung 2025'!L672</f>
        <v/>
      </c>
      <c r="H670" s="13" t="str">
        <f>'1.3 Prod Bersih Ubi Kayu 2025'!K672</f>
        <v/>
      </c>
      <c r="I670" s="13" t="str">
        <f>'1.4 Prod Bersih Ubi Jalar 2025'!K672</f>
        <v/>
      </c>
      <c r="J670" s="13" t="str">
        <f>'1.5 Prod Bersih Sagu 2025'!K672</f>
        <v/>
      </c>
      <c r="K670" s="13" t="str">
        <f>'1.6 Prod Bersih Pisang 2025'!K672</f>
        <v/>
      </c>
      <c r="L670" s="15">
        <f t="shared" si="30"/>
        <v>0</v>
      </c>
      <c r="M670" s="14" t="str">
        <f>IF(D670="","",VLOOKUP(D670,'[1]0.1 Produksi Pangan &amp; Penduduk'!$D$5:$AU$704,44,0))</f>
        <v/>
      </c>
      <c r="N670" s="26" t="str">
        <f t="shared" si="31"/>
        <v/>
      </c>
      <c r="O670" s="16"/>
      <c r="P670" s="25" t="str">
        <f t="shared" si="32"/>
        <v/>
      </c>
      <c r="Q670" s="8"/>
      <c r="R670" s="11"/>
    </row>
    <row r="671" spans="1:18" ht="15" x14ac:dyDescent="0.25">
      <c r="A671" s="3" t="str">
        <f>IF('1.1 Produksi Bersih Padi 2025'!A673="","",'1.1 Produksi Bersih Padi 2025'!A673)</f>
        <v/>
      </c>
      <c r="B671" s="32" t="str">
        <f>IF('1.1 Produksi Bersih Padi 2025'!B673="","",'1.1 Produksi Bersih Padi 2025'!B673)</f>
        <v/>
      </c>
      <c r="C671" s="32" t="str">
        <f>IF('1.1 Produksi Bersih Padi 2025'!C673="","",'1.1 Produksi Bersih Padi 2025'!C673)</f>
        <v/>
      </c>
      <c r="D671" s="3" t="str">
        <f>IF('1.1 Produksi Bersih Padi 2025'!D673="","",'1.1 Produksi Bersih Padi 2025'!D673)</f>
        <v/>
      </c>
      <c r="E671" s="3" t="str">
        <f>IF('1.1 Produksi Bersih Padi 2025'!E673="","",'1.1 Produksi Bersih Padi 2025'!E673)</f>
        <v/>
      </c>
      <c r="F671" s="13" t="str">
        <f>'1.1 Produksi Bersih Padi 2025'!Q673</f>
        <v/>
      </c>
      <c r="G671" s="13" t="str">
        <f>'1.2 Produksi Bersih Jagung 2025'!L673</f>
        <v/>
      </c>
      <c r="H671" s="13" t="str">
        <f>'1.3 Prod Bersih Ubi Kayu 2025'!K673</f>
        <v/>
      </c>
      <c r="I671" s="13" t="str">
        <f>'1.4 Prod Bersih Ubi Jalar 2025'!K673</f>
        <v/>
      </c>
      <c r="J671" s="13" t="str">
        <f>'1.5 Prod Bersih Sagu 2025'!K673</f>
        <v/>
      </c>
      <c r="K671" s="13" t="str">
        <f>'1.6 Prod Bersih Pisang 2025'!K673</f>
        <v/>
      </c>
      <c r="L671" s="15">
        <f t="shared" si="30"/>
        <v>0</v>
      </c>
      <c r="M671" s="14" t="str">
        <f>IF(D671="","",VLOOKUP(D671,'[1]0.1 Produksi Pangan &amp; Penduduk'!$D$5:$AU$704,44,0))</f>
        <v/>
      </c>
      <c r="N671" s="26" t="str">
        <f t="shared" si="31"/>
        <v/>
      </c>
      <c r="O671" s="16"/>
      <c r="P671" s="25" t="str">
        <f t="shared" si="32"/>
        <v/>
      </c>
      <c r="Q671" s="8"/>
      <c r="R671" s="11"/>
    </row>
    <row r="672" spans="1:18" ht="15" x14ac:dyDescent="0.25">
      <c r="A672" s="3" t="str">
        <f>IF('1.1 Produksi Bersih Padi 2025'!A674="","",'1.1 Produksi Bersih Padi 2025'!A674)</f>
        <v/>
      </c>
      <c r="B672" s="32" t="str">
        <f>IF('1.1 Produksi Bersih Padi 2025'!B674="","",'1.1 Produksi Bersih Padi 2025'!B674)</f>
        <v/>
      </c>
      <c r="C672" s="32" t="str">
        <f>IF('1.1 Produksi Bersih Padi 2025'!C674="","",'1.1 Produksi Bersih Padi 2025'!C674)</f>
        <v/>
      </c>
      <c r="D672" s="3" t="str">
        <f>IF('1.1 Produksi Bersih Padi 2025'!D674="","",'1.1 Produksi Bersih Padi 2025'!D674)</f>
        <v/>
      </c>
      <c r="E672" s="3" t="str">
        <f>IF('1.1 Produksi Bersih Padi 2025'!E674="","",'1.1 Produksi Bersih Padi 2025'!E674)</f>
        <v/>
      </c>
      <c r="F672" s="13" t="str">
        <f>'1.1 Produksi Bersih Padi 2025'!Q674</f>
        <v/>
      </c>
      <c r="G672" s="13" t="str">
        <f>'1.2 Produksi Bersih Jagung 2025'!L674</f>
        <v/>
      </c>
      <c r="H672" s="13" t="str">
        <f>'1.3 Prod Bersih Ubi Kayu 2025'!K674</f>
        <v/>
      </c>
      <c r="I672" s="13" t="str">
        <f>'1.4 Prod Bersih Ubi Jalar 2025'!K674</f>
        <v/>
      </c>
      <c r="J672" s="13" t="str">
        <f>'1.5 Prod Bersih Sagu 2025'!K674</f>
        <v/>
      </c>
      <c r="K672" s="13" t="str">
        <f>'1.6 Prod Bersih Pisang 2025'!K674</f>
        <v/>
      </c>
      <c r="L672" s="15">
        <f t="shared" si="30"/>
        <v>0</v>
      </c>
      <c r="M672" s="14" t="str">
        <f>IF(D672="","",VLOOKUP(D672,'[1]0.1 Produksi Pangan &amp; Penduduk'!$D$5:$AU$704,44,0))</f>
        <v/>
      </c>
      <c r="N672" s="26" t="str">
        <f t="shared" si="31"/>
        <v/>
      </c>
      <c r="O672" s="16"/>
      <c r="P672" s="25" t="str">
        <f t="shared" si="32"/>
        <v/>
      </c>
      <c r="Q672" s="8"/>
      <c r="R672" s="11"/>
    </row>
    <row r="673" spans="1:18" ht="15" x14ac:dyDescent="0.25">
      <c r="A673" s="3" t="str">
        <f>IF('1.1 Produksi Bersih Padi 2025'!A675="","",'1.1 Produksi Bersih Padi 2025'!A675)</f>
        <v/>
      </c>
      <c r="B673" s="32" t="str">
        <f>IF('1.1 Produksi Bersih Padi 2025'!B675="","",'1.1 Produksi Bersih Padi 2025'!B675)</f>
        <v/>
      </c>
      <c r="C673" s="32" t="str">
        <f>IF('1.1 Produksi Bersih Padi 2025'!C675="","",'1.1 Produksi Bersih Padi 2025'!C675)</f>
        <v/>
      </c>
      <c r="D673" s="3" t="str">
        <f>IF('1.1 Produksi Bersih Padi 2025'!D675="","",'1.1 Produksi Bersih Padi 2025'!D675)</f>
        <v/>
      </c>
      <c r="E673" s="3" t="str">
        <f>IF('1.1 Produksi Bersih Padi 2025'!E675="","",'1.1 Produksi Bersih Padi 2025'!E675)</f>
        <v/>
      </c>
      <c r="F673" s="13" t="str">
        <f>'1.1 Produksi Bersih Padi 2025'!Q675</f>
        <v/>
      </c>
      <c r="G673" s="13" t="str">
        <f>'1.2 Produksi Bersih Jagung 2025'!L675</f>
        <v/>
      </c>
      <c r="H673" s="13" t="str">
        <f>'1.3 Prod Bersih Ubi Kayu 2025'!K675</f>
        <v/>
      </c>
      <c r="I673" s="13" t="str">
        <f>'1.4 Prod Bersih Ubi Jalar 2025'!K675</f>
        <v/>
      </c>
      <c r="J673" s="13" t="str">
        <f>'1.5 Prod Bersih Sagu 2025'!K675</f>
        <v/>
      </c>
      <c r="K673" s="13" t="str">
        <f>'1.6 Prod Bersih Pisang 2025'!K675</f>
        <v/>
      </c>
      <c r="L673" s="15">
        <f t="shared" si="30"/>
        <v>0</v>
      </c>
      <c r="M673" s="14" t="str">
        <f>IF(D673="","",VLOOKUP(D673,'[1]0.1 Produksi Pangan &amp; Penduduk'!$D$5:$AU$704,44,0))</f>
        <v/>
      </c>
      <c r="N673" s="26" t="str">
        <f t="shared" si="31"/>
        <v/>
      </c>
      <c r="O673" s="16"/>
      <c r="P673" s="25" t="str">
        <f t="shared" si="32"/>
        <v/>
      </c>
      <c r="Q673" s="8"/>
      <c r="R673" s="11"/>
    </row>
    <row r="674" spans="1:18" ht="15" x14ac:dyDescent="0.25">
      <c r="A674" s="3" t="str">
        <f>IF('1.1 Produksi Bersih Padi 2025'!A676="","",'1.1 Produksi Bersih Padi 2025'!A676)</f>
        <v/>
      </c>
      <c r="B674" s="32" t="str">
        <f>IF('1.1 Produksi Bersih Padi 2025'!B676="","",'1.1 Produksi Bersih Padi 2025'!B676)</f>
        <v/>
      </c>
      <c r="C674" s="32" t="str">
        <f>IF('1.1 Produksi Bersih Padi 2025'!C676="","",'1.1 Produksi Bersih Padi 2025'!C676)</f>
        <v/>
      </c>
      <c r="D674" s="3" t="str">
        <f>IF('1.1 Produksi Bersih Padi 2025'!D676="","",'1.1 Produksi Bersih Padi 2025'!D676)</f>
        <v/>
      </c>
      <c r="E674" s="3" t="str">
        <f>IF('1.1 Produksi Bersih Padi 2025'!E676="","",'1.1 Produksi Bersih Padi 2025'!E676)</f>
        <v/>
      </c>
      <c r="F674" s="13" t="str">
        <f>'1.1 Produksi Bersih Padi 2025'!Q676</f>
        <v/>
      </c>
      <c r="G674" s="13" t="str">
        <f>'1.2 Produksi Bersih Jagung 2025'!L676</f>
        <v/>
      </c>
      <c r="H674" s="13" t="str">
        <f>'1.3 Prod Bersih Ubi Kayu 2025'!K676</f>
        <v/>
      </c>
      <c r="I674" s="13" t="str">
        <f>'1.4 Prod Bersih Ubi Jalar 2025'!K676</f>
        <v/>
      </c>
      <c r="J674" s="13" t="str">
        <f>'1.5 Prod Bersih Sagu 2025'!K676</f>
        <v/>
      </c>
      <c r="K674" s="13" t="str">
        <f>'1.6 Prod Bersih Pisang 2025'!K676</f>
        <v/>
      </c>
      <c r="L674" s="15">
        <f t="shared" si="30"/>
        <v>0</v>
      </c>
      <c r="M674" s="14" t="str">
        <f>IF(D674="","",VLOOKUP(D674,'[1]0.1 Produksi Pangan &amp; Penduduk'!$D$5:$AU$704,44,0))</f>
        <v/>
      </c>
      <c r="N674" s="26" t="str">
        <f t="shared" si="31"/>
        <v/>
      </c>
      <c r="O674" s="16"/>
      <c r="P674" s="25" t="str">
        <f t="shared" si="32"/>
        <v/>
      </c>
      <c r="Q674" s="8"/>
      <c r="R674" s="11"/>
    </row>
    <row r="675" spans="1:18" ht="15" x14ac:dyDescent="0.25">
      <c r="A675" s="3" t="str">
        <f>IF('1.1 Produksi Bersih Padi 2025'!A677="","",'1.1 Produksi Bersih Padi 2025'!A677)</f>
        <v/>
      </c>
      <c r="B675" s="32" t="str">
        <f>IF('1.1 Produksi Bersih Padi 2025'!B677="","",'1.1 Produksi Bersih Padi 2025'!B677)</f>
        <v/>
      </c>
      <c r="C675" s="32" t="str">
        <f>IF('1.1 Produksi Bersih Padi 2025'!C677="","",'1.1 Produksi Bersih Padi 2025'!C677)</f>
        <v/>
      </c>
      <c r="D675" s="3" t="str">
        <f>IF('1.1 Produksi Bersih Padi 2025'!D677="","",'1.1 Produksi Bersih Padi 2025'!D677)</f>
        <v/>
      </c>
      <c r="E675" s="3" t="str">
        <f>IF('1.1 Produksi Bersih Padi 2025'!E677="","",'1.1 Produksi Bersih Padi 2025'!E677)</f>
        <v/>
      </c>
      <c r="F675" s="13" t="str">
        <f>'1.1 Produksi Bersih Padi 2025'!Q677</f>
        <v/>
      </c>
      <c r="G675" s="13" t="str">
        <f>'1.2 Produksi Bersih Jagung 2025'!L677</f>
        <v/>
      </c>
      <c r="H675" s="13" t="str">
        <f>'1.3 Prod Bersih Ubi Kayu 2025'!K677</f>
        <v/>
      </c>
      <c r="I675" s="13" t="str">
        <f>'1.4 Prod Bersih Ubi Jalar 2025'!K677</f>
        <v/>
      </c>
      <c r="J675" s="13" t="str">
        <f>'1.5 Prod Bersih Sagu 2025'!K677</f>
        <v/>
      </c>
      <c r="K675" s="13" t="str">
        <f>'1.6 Prod Bersih Pisang 2025'!K677</f>
        <v/>
      </c>
      <c r="L675" s="15">
        <f t="shared" si="30"/>
        <v>0</v>
      </c>
      <c r="M675" s="14" t="str">
        <f>IF(D675="","",VLOOKUP(D675,'[1]0.1 Produksi Pangan &amp; Penduduk'!$D$5:$AU$704,44,0))</f>
        <v/>
      </c>
      <c r="N675" s="26" t="str">
        <f t="shared" si="31"/>
        <v/>
      </c>
      <c r="O675" s="16"/>
      <c r="P675" s="25" t="str">
        <f t="shared" si="32"/>
        <v/>
      </c>
      <c r="Q675" s="8"/>
      <c r="R675" s="11"/>
    </row>
    <row r="676" spans="1:18" ht="15" x14ac:dyDescent="0.25">
      <c r="A676" s="3" t="str">
        <f>IF('1.1 Produksi Bersih Padi 2025'!A678="","",'1.1 Produksi Bersih Padi 2025'!A678)</f>
        <v/>
      </c>
      <c r="B676" s="32" t="str">
        <f>IF('1.1 Produksi Bersih Padi 2025'!B678="","",'1.1 Produksi Bersih Padi 2025'!B678)</f>
        <v/>
      </c>
      <c r="C676" s="32" t="str">
        <f>IF('1.1 Produksi Bersih Padi 2025'!C678="","",'1.1 Produksi Bersih Padi 2025'!C678)</f>
        <v/>
      </c>
      <c r="D676" s="3" t="str">
        <f>IF('1.1 Produksi Bersih Padi 2025'!D678="","",'1.1 Produksi Bersih Padi 2025'!D678)</f>
        <v/>
      </c>
      <c r="E676" s="3" t="str">
        <f>IF('1.1 Produksi Bersih Padi 2025'!E678="","",'1.1 Produksi Bersih Padi 2025'!E678)</f>
        <v/>
      </c>
      <c r="F676" s="13" t="str">
        <f>'1.1 Produksi Bersih Padi 2025'!Q678</f>
        <v/>
      </c>
      <c r="G676" s="13" t="str">
        <f>'1.2 Produksi Bersih Jagung 2025'!L678</f>
        <v/>
      </c>
      <c r="H676" s="13" t="str">
        <f>'1.3 Prod Bersih Ubi Kayu 2025'!K678</f>
        <v/>
      </c>
      <c r="I676" s="13" t="str">
        <f>'1.4 Prod Bersih Ubi Jalar 2025'!K678</f>
        <v/>
      </c>
      <c r="J676" s="13" t="str">
        <f>'1.5 Prod Bersih Sagu 2025'!K678</f>
        <v/>
      </c>
      <c r="K676" s="13" t="str">
        <f>'1.6 Prod Bersih Pisang 2025'!K678</f>
        <v/>
      </c>
      <c r="L676" s="15">
        <f t="shared" si="30"/>
        <v>0</v>
      </c>
      <c r="M676" s="14" t="str">
        <f>IF(D676="","",VLOOKUP(D676,'[1]0.1 Produksi Pangan &amp; Penduduk'!$D$5:$AU$704,44,0))</f>
        <v/>
      </c>
      <c r="N676" s="26" t="str">
        <f t="shared" si="31"/>
        <v/>
      </c>
      <c r="O676" s="16"/>
      <c r="P676" s="25" t="str">
        <f t="shared" si="32"/>
        <v/>
      </c>
      <c r="Q676" s="8"/>
      <c r="R676" s="11"/>
    </row>
    <row r="677" spans="1:18" ht="15" x14ac:dyDescent="0.25">
      <c r="A677" s="3" t="str">
        <f>IF('1.1 Produksi Bersih Padi 2025'!A679="","",'1.1 Produksi Bersih Padi 2025'!A679)</f>
        <v/>
      </c>
      <c r="B677" s="32" t="str">
        <f>IF('1.1 Produksi Bersih Padi 2025'!B679="","",'1.1 Produksi Bersih Padi 2025'!B679)</f>
        <v/>
      </c>
      <c r="C677" s="32" t="str">
        <f>IF('1.1 Produksi Bersih Padi 2025'!C679="","",'1.1 Produksi Bersih Padi 2025'!C679)</f>
        <v/>
      </c>
      <c r="D677" s="3" t="str">
        <f>IF('1.1 Produksi Bersih Padi 2025'!D679="","",'1.1 Produksi Bersih Padi 2025'!D679)</f>
        <v/>
      </c>
      <c r="E677" s="3" t="str">
        <f>IF('1.1 Produksi Bersih Padi 2025'!E679="","",'1.1 Produksi Bersih Padi 2025'!E679)</f>
        <v/>
      </c>
      <c r="F677" s="13" t="str">
        <f>'1.1 Produksi Bersih Padi 2025'!Q679</f>
        <v/>
      </c>
      <c r="G677" s="13" t="str">
        <f>'1.2 Produksi Bersih Jagung 2025'!L679</f>
        <v/>
      </c>
      <c r="H677" s="13" t="str">
        <f>'1.3 Prod Bersih Ubi Kayu 2025'!K679</f>
        <v/>
      </c>
      <c r="I677" s="13" t="str">
        <f>'1.4 Prod Bersih Ubi Jalar 2025'!K679</f>
        <v/>
      </c>
      <c r="J677" s="13" t="str">
        <f>'1.5 Prod Bersih Sagu 2025'!K679</f>
        <v/>
      </c>
      <c r="K677" s="13" t="str">
        <f>'1.6 Prod Bersih Pisang 2025'!K679</f>
        <v/>
      </c>
      <c r="L677" s="15">
        <f t="shared" si="30"/>
        <v>0</v>
      </c>
      <c r="M677" s="14" t="str">
        <f>IF(D677="","",VLOOKUP(D677,'[1]0.1 Produksi Pangan &amp; Penduduk'!$D$5:$AU$704,44,0))</f>
        <v/>
      </c>
      <c r="N677" s="26" t="str">
        <f t="shared" si="31"/>
        <v/>
      </c>
      <c r="O677" s="16"/>
      <c r="P677" s="25" t="str">
        <f t="shared" si="32"/>
        <v/>
      </c>
      <c r="Q677" s="8"/>
      <c r="R677" s="11"/>
    </row>
    <row r="678" spans="1:18" ht="15" x14ac:dyDescent="0.25">
      <c r="A678" s="3" t="str">
        <f>IF('1.1 Produksi Bersih Padi 2025'!A680="","",'1.1 Produksi Bersih Padi 2025'!A680)</f>
        <v/>
      </c>
      <c r="B678" s="32" t="str">
        <f>IF('1.1 Produksi Bersih Padi 2025'!B680="","",'1.1 Produksi Bersih Padi 2025'!B680)</f>
        <v/>
      </c>
      <c r="C678" s="32" t="str">
        <f>IF('1.1 Produksi Bersih Padi 2025'!C680="","",'1.1 Produksi Bersih Padi 2025'!C680)</f>
        <v/>
      </c>
      <c r="D678" s="3" t="str">
        <f>IF('1.1 Produksi Bersih Padi 2025'!D680="","",'1.1 Produksi Bersih Padi 2025'!D680)</f>
        <v/>
      </c>
      <c r="E678" s="3" t="str">
        <f>IF('1.1 Produksi Bersih Padi 2025'!E680="","",'1.1 Produksi Bersih Padi 2025'!E680)</f>
        <v/>
      </c>
      <c r="F678" s="13" t="str">
        <f>'1.1 Produksi Bersih Padi 2025'!Q680</f>
        <v/>
      </c>
      <c r="G678" s="13" t="str">
        <f>'1.2 Produksi Bersih Jagung 2025'!L680</f>
        <v/>
      </c>
      <c r="H678" s="13" t="str">
        <f>'1.3 Prod Bersih Ubi Kayu 2025'!K680</f>
        <v/>
      </c>
      <c r="I678" s="13" t="str">
        <f>'1.4 Prod Bersih Ubi Jalar 2025'!K680</f>
        <v/>
      </c>
      <c r="J678" s="13" t="str">
        <f>'1.5 Prod Bersih Sagu 2025'!K680</f>
        <v/>
      </c>
      <c r="K678" s="13" t="str">
        <f>'1.6 Prod Bersih Pisang 2025'!K680</f>
        <v/>
      </c>
      <c r="L678" s="15">
        <f t="shared" si="30"/>
        <v>0</v>
      </c>
      <c r="M678" s="14" t="str">
        <f>IF(D678="","",VLOOKUP(D678,'[1]0.1 Produksi Pangan &amp; Penduduk'!$D$5:$AU$704,44,0))</f>
        <v/>
      </c>
      <c r="N678" s="26" t="str">
        <f t="shared" si="31"/>
        <v/>
      </c>
      <c r="O678" s="16"/>
      <c r="P678" s="25" t="str">
        <f t="shared" si="32"/>
        <v/>
      </c>
      <c r="Q678" s="8"/>
      <c r="R678" s="11"/>
    </row>
    <row r="679" spans="1:18" ht="15" x14ac:dyDescent="0.25">
      <c r="A679" s="3" t="str">
        <f>IF('1.1 Produksi Bersih Padi 2025'!A681="","",'1.1 Produksi Bersih Padi 2025'!A681)</f>
        <v/>
      </c>
      <c r="B679" s="32" t="str">
        <f>IF('1.1 Produksi Bersih Padi 2025'!B681="","",'1.1 Produksi Bersih Padi 2025'!B681)</f>
        <v/>
      </c>
      <c r="C679" s="32" t="str">
        <f>IF('1.1 Produksi Bersih Padi 2025'!C681="","",'1.1 Produksi Bersih Padi 2025'!C681)</f>
        <v/>
      </c>
      <c r="D679" s="3" t="str">
        <f>IF('1.1 Produksi Bersih Padi 2025'!D681="","",'1.1 Produksi Bersih Padi 2025'!D681)</f>
        <v/>
      </c>
      <c r="E679" s="3" t="str">
        <f>IF('1.1 Produksi Bersih Padi 2025'!E681="","",'1.1 Produksi Bersih Padi 2025'!E681)</f>
        <v/>
      </c>
      <c r="F679" s="13" t="str">
        <f>'1.1 Produksi Bersih Padi 2025'!Q681</f>
        <v/>
      </c>
      <c r="G679" s="13" t="str">
        <f>'1.2 Produksi Bersih Jagung 2025'!L681</f>
        <v/>
      </c>
      <c r="H679" s="13" t="str">
        <f>'1.3 Prod Bersih Ubi Kayu 2025'!K681</f>
        <v/>
      </c>
      <c r="I679" s="13" t="str">
        <f>'1.4 Prod Bersih Ubi Jalar 2025'!K681</f>
        <v/>
      </c>
      <c r="J679" s="13" t="str">
        <f>'1.5 Prod Bersih Sagu 2025'!K681</f>
        <v/>
      </c>
      <c r="K679" s="13" t="str">
        <f>'1.6 Prod Bersih Pisang 2025'!K681</f>
        <v/>
      </c>
      <c r="L679" s="15">
        <f t="shared" si="30"/>
        <v>0</v>
      </c>
      <c r="M679" s="14" t="str">
        <f>IF(D679="","",VLOOKUP(D679,'[1]0.1 Produksi Pangan &amp; Penduduk'!$D$5:$AU$704,44,0))</f>
        <v/>
      </c>
      <c r="N679" s="26" t="str">
        <f t="shared" si="31"/>
        <v/>
      </c>
      <c r="O679" s="16"/>
      <c r="P679" s="25" t="str">
        <f t="shared" si="32"/>
        <v/>
      </c>
      <c r="Q679" s="8"/>
      <c r="R679" s="11"/>
    </row>
    <row r="680" spans="1:18" ht="15" x14ac:dyDescent="0.25">
      <c r="A680" s="3" t="str">
        <f>IF('1.1 Produksi Bersih Padi 2025'!A682="","",'1.1 Produksi Bersih Padi 2025'!A682)</f>
        <v/>
      </c>
      <c r="B680" s="32" t="str">
        <f>IF('1.1 Produksi Bersih Padi 2025'!B682="","",'1.1 Produksi Bersih Padi 2025'!B682)</f>
        <v/>
      </c>
      <c r="C680" s="32" t="str">
        <f>IF('1.1 Produksi Bersih Padi 2025'!C682="","",'1.1 Produksi Bersih Padi 2025'!C682)</f>
        <v/>
      </c>
      <c r="D680" s="3" t="str">
        <f>IF('1.1 Produksi Bersih Padi 2025'!D682="","",'1.1 Produksi Bersih Padi 2025'!D682)</f>
        <v/>
      </c>
      <c r="E680" s="3" t="str">
        <f>IF('1.1 Produksi Bersih Padi 2025'!E682="","",'1.1 Produksi Bersih Padi 2025'!E682)</f>
        <v/>
      </c>
      <c r="F680" s="13" t="str">
        <f>'1.1 Produksi Bersih Padi 2025'!Q682</f>
        <v/>
      </c>
      <c r="G680" s="13" t="str">
        <f>'1.2 Produksi Bersih Jagung 2025'!L682</f>
        <v/>
      </c>
      <c r="H680" s="13" t="str">
        <f>'1.3 Prod Bersih Ubi Kayu 2025'!K682</f>
        <v/>
      </c>
      <c r="I680" s="13" t="str">
        <f>'1.4 Prod Bersih Ubi Jalar 2025'!K682</f>
        <v/>
      </c>
      <c r="J680" s="13" t="str">
        <f>'1.5 Prod Bersih Sagu 2025'!K682</f>
        <v/>
      </c>
      <c r="K680" s="13" t="str">
        <f>'1.6 Prod Bersih Pisang 2025'!K682</f>
        <v/>
      </c>
      <c r="L680" s="15">
        <f t="shared" si="30"/>
        <v>0</v>
      </c>
      <c r="M680" s="14" t="str">
        <f>IF(D680="","",VLOOKUP(D680,'[1]0.1 Produksi Pangan &amp; Penduduk'!$D$5:$AU$704,44,0))</f>
        <v/>
      </c>
      <c r="N680" s="26" t="str">
        <f t="shared" si="31"/>
        <v/>
      </c>
      <c r="O680" s="16"/>
      <c r="P680" s="25" t="str">
        <f t="shared" si="32"/>
        <v/>
      </c>
      <c r="Q680" s="8"/>
      <c r="R680" s="11"/>
    </row>
    <row r="681" spans="1:18" ht="15" x14ac:dyDescent="0.25">
      <c r="A681" s="3" t="str">
        <f>IF('1.1 Produksi Bersih Padi 2025'!A683="","",'1.1 Produksi Bersih Padi 2025'!A683)</f>
        <v/>
      </c>
      <c r="B681" s="32" t="str">
        <f>IF('1.1 Produksi Bersih Padi 2025'!B683="","",'1.1 Produksi Bersih Padi 2025'!B683)</f>
        <v/>
      </c>
      <c r="C681" s="32" t="str">
        <f>IF('1.1 Produksi Bersih Padi 2025'!C683="","",'1.1 Produksi Bersih Padi 2025'!C683)</f>
        <v/>
      </c>
      <c r="D681" s="3" t="str">
        <f>IF('1.1 Produksi Bersih Padi 2025'!D683="","",'1.1 Produksi Bersih Padi 2025'!D683)</f>
        <v/>
      </c>
      <c r="E681" s="3" t="str">
        <f>IF('1.1 Produksi Bersih Padi 2025'!E683="","",'1.1 Produksi Bersih Padi 2025'!E683)</f>
        <v/>
      </c>
      <c r="F681" s="13" t="str">
        <f>'1.1 Produksi Bersih Padi 2025'!Q683</f>
        <v/>
      </c>
      <c r="G681" s="13" t="str">
        <f>'1.2 Produksi Bersih Jagung 2025'!L683</f>
        <v/>
      </c>
      <c r="H681" s="13" t="str">
        <f>'1.3 Prod Bersih Ubi Kayu 2025'!K683</f>
        <v/>
      </c>
      <c r="I681" s="13" t="str">
        <f>'1.4 Prod Bersih Ubi Jalar 2025'!K683</f>
        <v/>
      </c>
      <c r="J681" s="13" t="str">
        <f>'1.5 Prod Bersih Sagu 2025'!K683</f>
        <v/>
      </c>
      <c r="K681" s="13" t="str">
        <f>'1.6 Prod Bersih Pisang 2025'!K683</f>
        <v/>
      </c>
      <c r="L681" s="15">
        <f t="shared" si="30"/>
        <v>0</v>
      </c>
      <c r="M681" s="14" t="str">
        <f>IF(D681="","",VLOOKUP(D681,'[1]0.1 Produksi Pangan &amp; Penduduk'!$D$5:$AU$704,44,0))</f>
        <v/>
      </c>
      <c r="N681" s="26" t="str">
        <f t="shared" si="31"/>
        <v/>
      </c>
      <c r="O681" s="16"/>
      <c r="P681" s="25" t="str">
        <f t="shared" si="32"/>
        <v/>
      </c>
      <c r="Q681" s="8"/>
      <c r="R681" s="11"/>
    </row>
    <row r="682" spans="1:18" ht="15" x14ac:dyDescent="0.25">
      <c r="A682" s="3" t="str">
        <f>IF('1.1 Produksi Bersih Padi 2025'!A684="","",'1.1 Produksi Bersih Padi 2025'!A684)</f>
        <v/>
      </c>
      <c r="B682" s="32" t="str">
        <f>IF('1.1 Produksi Bersih Padi 2025'!B684="","",'1.1 Produksi Bersih Padi 2025'!B684)</f>
        <v/>
      </c>
      <c r="C682" s="32" t="str">
        <f>IF('1.1 Produksi Bersih Padi 2025'!C684="","",'1.1 Produksi Bersih Padi 2025'!C684)</f>
        <v/>
      </c>
      <c r="D682" s="3" t="str">
        <f>IF('1.1 Produksi Bersih Padi 2025'!D684="","",'1.1 Produksi Bersih Padi 2025'!D684)</f>
        <v/>
      </c>
      <c r="E682" s="3" t="str">
        <f>IF('1.1 Produksi Bersih Padi 2025'!E684="","",'1.1 Produksi Bersih Padi 2025'!E684)</f>
        <v/>
      </c>
      <c r="F682" s="13" t="str">
        <f>'1.1 Produksi Bersih Padi 2025'!Q684</f>
        <v/>
      </c>
      <c r="G682" s="13" t="str">
        <f>'1.2 Produksi Bersih Jagung 2025'!L684</f>
        <v/>
      </c>
      <c r="H682" s="13" t="str">
        <f>'1.3 Prod Bersih Ubi Kayu 2025'!K684</f>
        <v/>
      </c>
      <c r="I682" s="13" t="str">
        <f>'1.4 Prod Bersih Ubi Jalar 2025'!K684</f>
        <v/>
      </c>
      <c r="J682" s="13" t="str">
        <f>'1.5 Prod Bersih Sagu 2025'!K684</f>
        <v/>
      </c>
      <c r="K682" s="13" t="str">
        <f>'1.6 Prod Bersih Pisang 2025'!K684</f>
        <v/>
      </c>
      <c r="L682" s="15">
        <f t="shared" si="30"/>
        <v>0</v>
      </c>
      <c r="M682" s="14" t="str">
        <f>IF(D682="","",VLOOKUP(D682,'[1]0.1 Produksi Pangan &amp; Penduduk'!$D$5:$AU$704,44,0))</f>
        <v/>
      </c>
      <c r="N682" s="26" t="str">
        <f t="shared" si="31"/>
        <v/>
      </c>
      <c r="O682" s="16"/>
      <c r="P682" s="25" t="str">
        <f t="shared" si="32"/>
        <v/>
      </c>
      <c r="Q682" s="8"/>
      <c r="R682" s="11"/>
    </row>
    <row r="683" spans="1:18" ht="15" x14ac:dyDescent="0.25">
      <c r="A683" s="3" t="str">
        <f>IF('1.1 Produksi Bersih Padi 2025'!A685="","",'1.1 Produksi Bersih Padi 2025'!A685)</f>
        <v/>
      </c>
      <c r="B683" s="32" t="str">
        <f>IF('1.1 Produksi Bersih Padi 2025'!B685="","",'1.1 Produksi Bersih Padi 2025'!B685)</f>
        <v/>
      </c>
      <c r="C683" s="32" t="str">
        <f>IF('1.1 Produksi Bersih Padi 2025'!C685="","",'1.1 Produksi Bersih Padi 2025'!C685)</f>
        <v/>
      </c>
      <c r="D683" s="3" t="str">
        <f>IF('1.1 Produksi Bersih Padi 2025'!D685="","",'1.1 Produksi Bersih Padi 2025'!D685)</f>
        <v/>
      </c>
      <c r="E683" s="3" t="str">
        <f>IF('1.1 Produksi Bersih Padi 2025'!E685="","",'1.1 Produksi Bersih Padi 2025'!E685)</f>
        <v/>
      </c>
      <c r="F683" s="13" t="str">
        <f>'1.1 Produksi Bersih Padi 2025'!Q685</f>
        <v/>
      </c>
      <c r="G683" s="13" t="str">
        <f>'1.2 Produksi Bersih Jagung 2025'!L685</f>
        <v/>
      </c>
      <c r="H683" s="13" t="str">
        <f>'1.3 Prod Bersih Ubi Kayu 2025'!K685</f>
        <v/>
      </c>
      <c r="I683" s="13" t="str">
        <f>'1.4 Prod Bersih Ubi Jalar 2025'!K685</f>
        <v/>
      </c>
      <c r="J683" s="13" t="str">
        <f>'1.5 Prod Bersih Sagu 2025'!K685</f>
        <v/>
      </c>
      <c r="K683" s="13" t="str">
        <f>'1.6 Prod Bersih Pisang 2025'!K685</f>
        <v/>
      </c>
      <c r="L683" s="15">
        <f t="shared" si="30"/>
        <v>0</v>
      </c>
      <c r="M683" s="14" t="str">
        <f>IF(D683="","",VLOOKUP(D683,'[1]0.1 Produksi Pangan &amp; Penduduk'!$D$5:$AU$704,44,0))</f>
        <v/>
      </c>
      <c r="N683" s="26" t="str">
        <f t="shared" si="31"/>
        <v/>
      </c>
      <c r="O683" s="16"/>
      <c r="P683" s="25" t="str">
        <f t="shared" si="32"/>
        <v/>
      </c>
      <c r="Q683" s="8"/>
      <c r="R683" s="11"/>
    </row>
    <row r="684" spans="1:18" ht="15" x14ac:dyDescent="0.25">
      <c r="A684" s="3" t="str">
        <f>IF('1.1 Produksi Bersih Padi 2025'!A686="","",'1.1 Produksi Bersih Padi 2025'!A686)</f>
        <v/>
      </c>
      <c r="B684" s="32" t="str">
        <f>IF('1.1 Produksi Bersih Padi 2025'!B686="","",'1.1 Produksi Bersih Padi 2025'!B686)</f>
        <v/>
      </c>
      <c r="C684" s="32" t="str">
        <f>IF('1.1 Produksi Bersih Padi 2025'!C686="","",'1.1 Produksi Bersih Padi 2025'!C686)</f>
        <v/>
      </c>
      <c r="D684" s="3" t="str">
        <f>IF('1.1 Produksi Bersih Padi 2025'!D686="","",'1.1 Produksi Bersih Padi 2025'!D686)</f>
        <v/>
      </c>
      <c r="E684" s="3" t="str">
        <f>IF('1.1 Produksi Bersih Padi 2025'!E686="","",'1.1 Produksi Bersih Padi 2025'!E686)</f>
        <v/>
      </c>
      <c r="F684" s="13" t="str">
        <f>'1.1 Produksi Bersih Padi 2025'!Q686</f>
        <v/>
      </c>
      <c r="G684" s="13" t="str">
        <f>'1.2 Produksi Bersih Jagung 2025'!L686</f>
        <v/>
      </c>
      <c r="H684" s="13" t="str">
        <f>'1.3 Prod Bersih Ubi Kayu 2025'!K686</f>
        <v/>
      </c>
      <c r="I684" s="13" t="str">
        <f>'1.4 Prod Bersih Ubi Jalar 2025'!K686</f>
        <v/>
      </c>
      <c r="J684" s="13" t="str">
        <f>'1.5 Prod Bersih Sagu 2025'!K686</f>
        <v/>
      </c>
      <c r="K684" s="13" t="str">
        <f>'1.6 Prod Bersih Pisang 2025'!K686</f>
        <v/>
      </c>
      <c r="L684" s="15">
        <f t="shared" si="30"/>
        <v>0</v>
      </c>
      <c r="M684" s="14" t="str">
        <f>IF(D684="","",VLOOKUP(D684,'[1]0.1 Produksi Pangan &amp; Penduduk'!$D$5:$AU$704,44,0))</f>
        <v/>
      </c>
      <c r="N684" s="26" t="str">
        <f t="shared" si="31"/>
        <v/>
      </c>
      <c r="O684" s="16"/>
      <c r="P684" s="25" t="str">
        <f t="shared" si="32"/>
        <v/>
      </c>
      <c r="Q684" s="8"/>
      <c r="R684" s="11"/>
    </row>
    <row r="685" spans="1:18" ht="15" x14ac:dyDescent="0.25">
      <c r="A685" s="3" t="str">
        <f>IF('1.1 Produksi Bersih Padi 2025'!A687="","",'1.1 Produksi Bersih Padi 2025'!A687)</f>
        <v/>
      </c>
      <c r="B685" s="32" t="str">
        <f>IF('1.1 Produksi Bersih Padi 2025'!B687="","",'1.1 Produksi Bersih Padi 2025'!B687)</f>
        <v/>
      </c>
      <c r="C685" s="32" t="str">
        <f>IF('1.1 Produksi Bersih Padi 2025'!C687="","",'1.1 Produksi Bersih Padi 2025'!C687)</f>
        <v/>
      </c>
      <c r="D685" s="3" t="str">
        <f>IF('1.1 Produksi Bersih Padi 2025'!D687="","",'1.1 Produksi Bersih Padi 2025'!D687)</f>
        <v/>
      </c>
      <c r="E685" s="3" t="str">
        <f>IF('1.1 Produksi Bersih Padi 2025'!E687="","",'1.1 Produksi Bersih Padi 2025'!E687)</f>
        <v/>
      </c>
      <c r="F685" s="13" t="str">
        <f>'1.1 Produksi Bersih Padi 2025'!Q687</f>
        <v/>
      </c>
      <c r="G685" s="13" t="str">
        <f>'1.2 Produksi Bersih Jagung 2025'!L687</f>
        <v/>
      </c>
      <c r="H685" s="13" t="str">
        <f>'1.3 Prod Bersih Ubi Kayu 2025'!K687</f>
        <v/>
      </c>
      <c r="I685" s="13" t="str">
        <f>'1.4 Prod Bersih Ubi Jalar 2025'!K687</f>
        <v/>
      </c>
      <c r="J685" s="13" t="str">
        <f>'1.5 Prod Bersih Sagu 2025'!K687</f>
        <v/>
      </c>
      <c r="K685" s="13" t="str">
        <f>'1.6 Prod Bersih Pisang 2025'!K687</f>
        <v/>
      </c>
      <c r="L685" s="15">
        <f t="shared" si="30"/>
        <v>0</v>
      </c>
      <c r="M685" s="14" t="str">
        <f>IF(D685="","",VLOOKUP(D685,'[1]0.1 Produksi Pangan &amp; Penduduk'!$D$5:$AU$704,44,0))</f>
        <v/>
      </c>
      <c r="N685" s="26" t="str">
        <f t="shared" si="31"/>
        <v/>
      </c>
      <c r="O685" s="16"/>
      <c r="P685" s="25" t="str">
        <f t="shared" si="32"/>
        <v/>
      </c>
      <c r="Q685" s="8"/>
      <c r="R685" s="11"/>
    </row>
    <row r="686" spans="1:18" ht="15" x14ac:dyDescent="0.25">
      <c r="A686" s="3" t="str">
        <f>IF('1.1 Produksi Bersih Padi 2025'!A688="","",'1.1 Produksi Bersih Padi 2025'!A688)</f>
        <v/>
      </c>
      <c r="B686" s="32" t="str">
        <f>IF('1.1 Produksi Bersih Padi 2025'!B688="","",'1.1 Produksi Bersih Padi 2025'!B688)</f>
        <v/>
      </c>
      <c r="C686" s="32" t="str">
        <f>IF('1.1 Produksi Bersih Padi 2025'!C688="","",'1.1 Produksi Bersih Padi 2025'!C688)</f>
        <v/>
      </c>
      <c r="D686" s="3" t="str">
        <f>IF('1.1 Produksi Bersih Padi 2025'!D688="","",'1.1 Produksi Bersih Padi 2025'!D688)</f>
        <v/>
      </c>
      <c r="E686" s="3" t="str">
        <f>IF('1.1 Produksi Bersih Padi 2025'!E688="","",'1.1 Produksi Bersih Padi 2025'!E688)</f>
        <v/>
      </c>
      <c r="F686" s="13" t="str">
        <f>'1.1 Produksi Bersih Padi 2025'!Q688</f>
        <v/>
      </c>
      <c r="G686" s="13" t="str">
        <f>'1.2 Produksi Bersih Jagung 2025'!L688</f>
        <v/>
      </c>
      <c r="H686" s="13" t="str">
        <f>'1.3 Prod Bersih Ubi Kayu 2025'!K688</f>
        <v/>
      </c>
      <c r="I686" s="13" t="str">
        <f>'1.4 Prod Bersih Ubi Jalar 2025'!K688</f>
        <v/>
      </c>
      <c r="J686" s="13" t="str">
        <f>'1.5 Prod Bersih Sagu 2025'!K688</f>
        <v/>
      </c>
      <c r="K686" s="13" t="str">
        <f>'1.6 Prod Bersih Pisang 2025'!K688</f>
        <v/>
      </c>
      <c r="L686" s="15">
        <f t="shared" si="30"/>
        <v>0</v>
      </c>
      <c r="M686" s="14" t="str">
        <f>IF(D686="","",VLOOKUP(D686,'[1]0.1 Produksi Pangan &amp; Penduduk'!$D$5:$AU$704,44,0))</f>
        <v/>
      </c>
      <c r="N686" s="26" t="str">
        <f t="shared" si="31"/>
        <v/>
      </c>
      <c r="O686" s="16"/>
      <c r="P686" s="25" t="str">
        <f t="shared" si="32"/>
        <v/>
      </c>
      <c r="Q686" s="8"/>
      <c r="R686" s="11"/>
    </row>
    <row r="687" spans="1:18" ht="15" x14ac:dyDescent="0.25">
      <c r="A687" s="3" t="str">
        <f>IF('1.1 Produksi Bersih Padi 2025'!A689="","",'1.1 Produksi Bersih Padi 2025'!A689)</f>
        <v/>
      </c>
      <c r="B687" s="32" t="str">
        <f>IF('1.1 Produksi Bersih Padi 2025'!B689="","",'1.1 Produksi Bersih Padi 2025'!B689)</f>
        <v/>
      </c>
      <c r="C687" s="32" t="str">
        <f>IF('1.1 Produksi Bersih Padi 2025'!C689="","",'1.1 Produksi Bersih Padi 2025'!C689)</f>
        <v/>
      </c>
      <c r="D687" s="3" t="str">
        <f>IF('1.1 Produksi Bersih Padi 2025'!D689="","",'1.1 Produksi Bersih Padi 2025'!D689)</f>
        <v/>
      </c>
      <c r="E687" s="3" t="str">
        <f>IF('1.1 Produksi Bersih Padi 2025'!E689="","",'1.1 Produksi Bersih Padi 2025'!E689)</f>
        <v/>
      </c>
      <c r="F687" s="13" t="str">
        <f>'1.1 Produksi Bersih Padi 2025'!Q689</f>
        <v/>
      </c>
      <c r="G687" s="13" t="str">
        <f>'1.2 Produksi Bersih Jagung 2025'!L689</f>
        <v/>
      </c>
      <c r="H687" s="13" t="str">
        <f>'1.3 Prod Bersih Ubi Kayu 2025'!K689</f>
        <v/>
      </c>
      <c r="I687" s="13" t="str">
        <f>'1.4 Prod Bersih Ubi Jalar 2025'!K689</f>
        <v/>
      </c>
      <c r="J687" s="13" t="str">
        <f>'1.5 Prod Bersih Sagu 2025'!K689</f>
        <v/>
      </c>
      <c r="K687" s="13" t="str">
        <f>'1.6 Prod Bersih Pisang 2025'!K689</f>
        <v/>
      </c>
      <c r="L687" s="15">
        <f t="shared" si="30"/>
        <v>0</v>
      </c>
      <c r="M687" s="14" t="str">
        <f>IF(D687="","",VLOOKUP(D687,'[1]0.1 Produksi Pangan &amp; Penduduk'!$D$5:$AU$704,44,0))</f>
        <v/>
      </c>
      <c r="N687" s="26" t="str">
        <f t="shared" si="31"/>
        <v/>
      </c>
      <c r="O687" s="16"/>
      <c r="P687" s="25" t="str">
        <f t="shared" si="32"/>
        <v/>
      </c>
      <c r="Q687" s="8"/>
      <c r="R687" s="11"/>
    </row>
    <row r="688" spans="1:18" ht="15" x14ac:dyDescent="0.25">
      <c r="A688" s="3" t="str">
        <f>IF('1.1 Produksi Bersih Padi 2025'!A690="","",'1.1 Produksi Bersih Padi 2025'!A690)</f>
        <v/>
      </c>
      <c r="B688" s="32" t="str">
        <f>IF('1.1 Produksi Bersih Padi 2025'!B690="","",'1.1 Produksi Bersih Padi 2025'!B690)</f>
        <v/>
      </c>
      <c r="C688" s="32" t="str">
        <f>IF('1.1 Produksi Bersih Padi 2025'!C690="","",'1.1 Produksi Bersih Padi 2025'!C690)</f>
        <v/>
      </c>
      <c r="D688" s="3" t="str">
        <f>IF('1.1 Produksi Bersih Padi 2025'!D690="","",'1.1 Produksi Bersih Padi 2025'!D690)</f>
        <v/>
      </c>
      <c r="E688" s="3" t="str">
        <f>IF('1.1 Produksi Bersih Padi 2025'!E690="","",'1.1 Produksi Bersih Padi 2025'!E690)</f>
        <v/>
      </c>
      <c r="F688" s="13" t="str">
        <f>'1.1 Produksi Bersih Padi 2025'!Q690</f>
        <v/>
      </c>
      <c r="G688" s="13" t="str">
        <f>'1.2 Produksi Bersih Jagung 2025'!L690</f>
        <v/>
      </c>
      <c r="H688" s="13" t="str">
        <f>'1.3 Prod Bersih Ubi Kayu 2025'!K690</f>
        <v/>
      </c>
      <c r="I688" s="13" t="str">
        <f>'1.4 Prod Bersih Ubi Jalar 2025'!K690</f>
        <v/>
      </c>
      <c r="J688" s="13" t="str">
        <f>'1.5 Prod Bersih Sagu 2025'!K690</f>
        <v/>
      </c>
      <c r="K688" s="13" t="str">
        <f>'1.6 Prod Bersih Pisang 2025'!K690</f>
        <v/>
      </c>
      <c r="L688" s="15">
        <f t="shared" si="30"/>
        <v>0</v>
      </c>
      <c r="M688" s="14" t="str">
        <f>IF(D688="","",VLOOKUP(D688,'[1]0.1 Produksi Pangan &amp; Penduduk'!$D$5:$AU$704,44,0))</f>
        <v/>
      </c>
      <c r="N688" s="26" t="str">
        <f t="shared" si="31"/>
        <v/>
      </c>
      <c r="O688" s="16"/>
      <c r="P688" s="25" t="str">
        <f t="shared" si="32"/>
        <v/>
      </c>
      <c r="Q688" s="8"/>
      <c r="R688" s="11"/>
    </row>
    <row r="689" spans="1:18" ht="15" x14ac:dyDescent="0.25">
      <c r="A689" s="3" t="str">
        <f>IF('1.1 Produksi Bersih Padi 2025'!A691="","",'1.1 Produksi Bersih Padi 2025'!A691)</f>
        <v/>
      </c>
      <c r="B689" s="32" t="str">
        <f>IF('1.1 Produksi Bersih Padi 2025'!B691="","",'1.1 Produksi Bersih Padi 2025'!B691)</f>
        <v/>
      </c>
      <c r="C689" s="32" t="str">
        <f>IF('1.1 Produksi Bersih Padi 2025'!C691="","",'1.1 Produksi Bersih Padi 2025'!C691)</f>
        <v/>
      </c>
      <c r="D689" s="3" t="str">
        <f>IF('1.1 Produksi Bersih Padi 2025'!D691="","",'1.1 Produksi Bersih Padi 2025'!D691)</f>
        <v/>
      </c>
      <c r="E689" s="3" t="str">
        <f>IF('1.1 Produksi Bersih Padi 2025'!E691="","",'1.1 Produksi Bersih Padi 2025'!E691)</f>
        <v/>
      </c>
      <c r="F689" s="13" t="str">
        <f>'1.1 Produksi Bersih Padi 2025'!Q691</f>
        <v/>
      </c>
      <c r="G689" s="13" t="str">
        <f>'1.2 Produksi Bersih Jagung 2025'!L691</f>
        <v/>
      </c>
      <c r="H689" s="13" t="str">
        <f>'1.3 Prod Bersih Ubi Kayu 2025'!K691</f>
        <v/>
      </c>
      <c r="I689" s="13" t="str">
        <f>'1.4 Prod Bersih Ubi Jalar 2025'!K691</f>
        <v/>
      </c>
      <c r="J689" s="13" t="str">
        <f>'1.5 Prod Bersih Sagu 2025'!K691</f>
        <v/>
      </c>
      <c r="K689" s="13" t="str">
        <f>'1.6 Prod Bersih Pisang 2025'!K691</f>
        <v/>
      </c>
      <c r="L689" s="15">
        <f t="shared" si="30"/>
        <v>0</v>
      </c>
      <c r="M689" s="14" t="str">
        <f>IF(D689="","",VLOOKUP(D689,'[1]0.1 Produksi Pangan &amp; Penduduk'!$D$5:$AU$704,44,0))</f>
        <v/>
      </c>
      <c r="N689" s="26" t="str">
        <f t="shared" si="31"/>
        <v/>
      </c>
      <c r="O689" s="16"/>
      <c r="P689" s="25" t="str">
        <f t="shared" si="32"/>
        <v/>
      </c>
      <c r="Q689" s="8"/>
      <c r="R689" s="11"/>
    </row>
    <row r="690" spans="1:18" ht="15" x14ac:dyDescent="0.25">
      <c r="A690" s="3" t="str">
        <f>IF('1.1 Produksi Bersih Padi 2025'!A692="","",'1.1 Produksi Bersih Padi 2025'!A692)</f>
        <v/>
      </c>
      <c r="B690" s="32" t="str">
        <f>IF('1.1 Produksi Bersih Padi 2025'!B692="","",'1.1 Produksi Bersih Padi 2025'!B692)</f>
        <v/>
      </c>
      <c r="C690" s="32" t="str">
        <f>IF('1.1 Produksi Bersih Padi 2025'!C692="","",'1.1 Produksi Bersih Padi 2025'!C692)</f>
        <v/>
      </c>
      <c r="D690" s="3" t="str">
        <f>IF('1.1 Produksi Bersih Padi 2025'!D692="","",'1.1 Produksi Bersih Padi 2025'!D692)</f>
        <v/>
      </c>
      <c r="E690" s="3" t="str">
        <f>IF('1.1 Produksi Bersih Padi 2025'!E692="","",'1.1 Produksi Bersih Padi 2025'!E692)</f>
        <v/>
      </c>
      <c r="F690" s="13" t="str">
        <f>'1.1 Produksi Bersih Padi 2025'!Q692</f>
        <v/>
      </c>
      <c r="G690" s="13" t="str">
        <f>'1.2 Produksi Bersih Jagung 2025'!L692</f>
        <v/>
      </c>
      <c r="H690" s="13" t="str">
        <f>'1.3 Prod Bersih Ubi Kayu 2025'!K692</f>
        <v/>
      </c>
      <c r="I690" s="13" t="str">
        <f>'1.4 Prod Bersih Ubi Jalar 2025'!K692</f>
        <v/>
      </c>
      <c r="J690" s="13" t="str">
        <f>'1.5 Prod Bersih Sagu 2025'!K692</f>
        <v/>
      </c>
      <c r="K690" s="13" t="str">
        <f>'1.6 Prod Bersih Pisang 2025'!K692</f>
        <v/>
      </c>
      <c r="L690" s="15">
        <f t="shared" si="30"/>
        <v>0</v>
      </c>
      <c r="M690" s="14" t="str">
        <f>IF(D690="","",VLOOKUP(D690,'[1]0.1 Produksi Pangan &amp; Penduduk'!$D$5:$AU$704,44,0))</f>
        <v/>
      </c>
      <c r="N690" s="26" t="str">
        <f t="shared" si="31"/>
        <v/>
      </c>
      <c r="O690" s="16"/>
      <c r="P690" s="25" t="str">
        <f t="shared" si="32"/>
        <v/>
      </c>
      <c r="Q690" s="8"/>
      <c r="R690" s="11"/>
    </row>
    <row r="691" spans="1:18" ht="15" x14ac:dyDescent="0.25">
      <c r="A691" s="3" t="str">
        <f>IF('1.1 Produksi Bersih Padi 2025'!A693="","",'1.1 Produksi Bersih Padi 2025'!A693)</f>
        <v/>
      </c>
      <c r="B691" s="32" t="str">
        <f>IF('1.1 Produksi Bersih Padi 2025'!B693="","",'1.1 Produksi Bersih Padi 2025'!B693)</f>
        <v/>
      </c>
      <c r="C691" s="32" t="str">
        <f>IF('1.1 Produksi Bersih Padi 2025'!C693="","",'1.1 Produksi Bersih Padi 2025'!C693)</f>
        <v/>
      </c>
      <c r="D691" s="3" t="str">
        <f>IF('1.1 Produksi Bersih Padi 2025'!D693="","",'1.1 Produksi Bersih Padi 2025'!D693)</f>
        <v/>
      </c>
      <c r="E691" s="3" t="str">
        <f>IF('1.1 Produksi Bersih Padi 2025'!E693="","",'1.1 Produksi Bersih Padi 2025'!E693)</f>
        <v/>
      </c>
      <c r="F691" s="13" t="str">
        <f>'1.1 Produksi Bersih Padi 2025'!Q693</f>
        <v/>
      </c>
      <c r="G691" s="13" t="str">
        <f>'1.2 Produksi Bersih Jagung 2025'!L693</f>
        <v/>
      </c>
      <c r="H691" s="13" t="str">
        <f>'1.3 Prod Bersih Ubi Kayu 2025'!K693</f>
        <v/>
      </c>
      <c r="I691" s="13" t="str">
        <f>'1.4 Prod Bersih Ubi Jalar 2025'!K693</f>
        <v/>
      </c>
      <c r="J691" s="13" t="str">
        <f>'1.5 Prod Bersih Sagu 2025'!K693</f>
        <v/>
      </c>
      <c r="K691" s="13" t="str">
        <f>'1.6 Prod Bersih Pisang 2025'!K693</f>
        <v/>
      </c>
      <c r="L691" s="15">
        <f t="shared" si="30"/>
        <v>0</v>
      </c>
      <c r="M691" s="14" t="str">
        <f>IF(D691="","",VLOOKUP(D691,'[1]0.1 Produksi Pangan &amp; Penduduk'!$D$5:$AU$704,44,0))</f>
        <v/>
      </c>
      <c r="N691" s="26" t="str">
        <f t="shared" si="31"/>
        <v/>
      </c>
      <c r="O691" s="16"/>
      <c r="P691" s="25" t="str">
        <f t="shared" si="32"/>
        <v/>
      </c>
      <c r="Q691" s="8"/>
      <c r="R691" s="11"/>
    </row>
    <row r="692" spans="1:18" ht="15" x14ac:dyDescent="0.25">
      <c r="A692" s="3" t="str">
        <f>IF('1.1 Produksi Bersih Padi 2025'!A694="","",'1.1 Produksi Bersih Padi 2025'!A694)</f>
        <v/>
      </c>
      <c r="B692" s="32" t="str">
        <f>IF('1.1 Produksi Bersih Padi 2025'!B694="","",'1.1 Produksi Bersih Padi 2025'!B694)</f>
        <v/>
      </c>
      <c r="C692" s="32" t="str">
        <f>IF('1.1 Produksi Bersih Padi 2025'!C694="","",'1.1 Produksi Bersih Padi 2025'!C694)</f>
        <v/>
      </c>
      <c r="D692" s="3" t="str">
        <f>IF('1.1 Produksi Bersih Padi 2025'!D694="","",'1.1 Produksi Bersih Padi 2025'!D694)</f>
        <v/>
      </c>
      <c r="E692" s="3" t="str">
        <f>IF('1.1 Produksi Bersih Padi 2025'!E694="","",'1.1 Produksi Bersih Padi 2025'!E694)</f>
        <v/>
      </c>
      <c r="F692" s="13" t="str">
        <f>'1.1 Produksi Bersih Padi 2025'!Q694</f>
        <v/>
      </c>
      <c r="G692" s="13" t="str">
        <f>'1.2 Produksi Bersih Jagung 2025'!L694</f>
        <v/>
      </c>
      <c r="H692" s="13" t="str">
        <f>'1.3 Prod Bersih Ubi Kayu 2025'!K694</f>
        <v/>
      </c>
      <c r="I692" s="13" t="str">
        <f>'1.4 Prod Bersih Ubi Jalar 2025'!K694</f>
        <v/>
      </c>
      <c r="J692" s="13" t="str">
        <f>'1.5 Prod Bersih Sagu 2025'!K694</f>
        <v/>
      </c>
      <c r="K692" s="13" t="str">
        <f>'1.6 Prod Bersih Pisang 2025'!K694</f>
        <v/>
      </c>
      <c r="L692" s="15">
        <f t="shared" si="30"/>
        <v>0</v>
      </c>
      <c r="M692" s="14" t="str">
        <f>IF(D692="","",VLOOKUP(D692,'[1]0.1 Produksi Pangan &amp; Penduduk'!$D$5:$AU$704,44,0))</f>
        <v/>
      </c>
      <c r="N692" s="26" t="str">
        <f t="shared" si="31"/>
        <v/>
      </c>
      <c r="O692" s="16"/>
      <c r="P692" s="25" t="str">
        <f t="shared" si="32"/>
        <v/>
      </c>
      <c r="Q692" s="8"/>
      <c r="R692" s="11"/>
    </row>
    <row r="693" spans="1:18" ht="15" x14ac:dyDescent="0.25">
      <c r="A693" s="3" t="str">
        <f>IF('1.1 Produksi Bersih Padi 2025'!A695="","",'1.1 Produksi Bersih Padi 2025'!A695)</f>
        <v/>
      </c>
      <c r="B693" s="32" t="str">
        <f>IF('1.1 Produksi Bersih Padi 2025'!B695="","",'1.1 Produksi Bersih Padi 2025'!B695)</f>
        <v/>
      </c>
      <c r="C693" s="32" t="str">
        <f>IF('1.1 Produksi Bersih Padi 2025'!C695="","",'1.1 Produksi Bersih Padi 2025'!C695)</f>
        <v/>
      </c>
      <c r="D693" s="3" t="str">
        <f>IF('1.1 Produksi Bersih Padi 2025'!D695="","",'1.1 Produksi Bersih Padi 2025'!D695)</f>
        <v/>
      </c>
      <c r="E693" s="3" t="str">
        <f>IF('1.1 Produksi Bersih Padi 2025'!E695="","",'1.1 Produksi Bersih Padi 2025'!E695)</f>
        <v/>
      </c>
      <c r="F693" s="13" t="str">
        <f>'1.1 Produksi Bersih Padi 2025'!Q695</f>
        <v/>
      </c>
      <c r="G693" s="13" t="str">
        <f>'1.2 Produksi Bersih Jagung 2025'!L695</f>
        <v/>
      </c>
      <c r="H693" s="13" t="str">
        <f>'1.3 Prod Bersih Ubi Kayu 2025'!K695</f>
        <v/>
      </c>
      <c r="I693" s="13" t="str">
        <f>'1.4 Prod Bersih Ubi Jalar 2025'!K695</f>
        <v/>
      </c>
      <c r="J693" s="13" t="str">
        <f>'1.5 Prod Bersih Sagu 2025'!K695</f>
        <v/>
      </c>
      <c r="K693" s="13" t="str">
        <f>'1.6 Prod Bersih Pisang 2025'!K695</f>
        <v/>
      </c>
      <c r="L693" s="15">
        <f t="shared" si="30"/>
        <v>0</v>
      </c>
      <c r="M693" s="14" t="str">
        <f>IF(D693="","",VLOOKUP(D693,'[1]0.1 Produksi Pangan &amp; Penduduk'!$D$5:$AU$704,44,0))</f>
        <v/>
      </c>
      <c r="N693" s="26" t="str">
        <f t="shared" si="31"/>
        <v/>
      </c>
      <c r="O693" s="16"/>
      <c r="P693" s="25" t="str">
        <f t="shared" si="32"/>
        <v/>
      </c>
      <c r="Q693" s="8"/>
      <c r="R693" s="11"/>
    </row>
    <row r="694" spans="1:18" ht="15" x14ac:dyDescent="0.25">
      <c r="A694" s="3" t="str">
        <f>IF('1.1 Produksi Bersih Padi 2025'!A696="","",'1.1 Produksi Bersih Padi 2025'!A696)</f>
        <v/>
      </c>
      <c r="B694" s="32" t="str">
        <f>IF('1.1 Produksi Bersih Padi 2025'!B696="","",'1.1 Produksi Bersih Padi 2025'!B696)</f>
        <v/>
      </c>
      <c r="C694" s="32" t="str">
        <f>IF('1.1 Produksi Bersih Padi 2025'!C696="","",'1.1 Produksi Bersih Padi 2025'!C696)</f>
        <v/>
      </c>
      <c r="D694" s="3" t="str">
        <f>IF('1.1 Produksi Bersih Padi 2025'!D696="","",'1.1 Produksi Bersih Padi 2025'!D696)</f>
        <v/>
      </c>
      <c r="E694" s="3" t="str">
        <f>IF('1.1 Produksi Bersih Padi 2025'!E696="","",'1.1 Produksi Bersih Padi 2025'!E696)</f>
        <v/>
      </c>
      <c r="F694" s="13" t="str">
        <f>'1.1 Produksi Bersih Padi 2025'!Q696</f>
        <v/>
      </c>
      <c r="G694" s="13" t="str">
        <f>'1.2 Produksi Bersih Jagung 2025'!L696</f>
        <v/>
      </c>
      <c r="H694" s="13" t="str">
        <f>'1.3 Prod Bersih Ubi Kayu 2025'!K696</f>
        <v/>
      </c>
      <c r="I694" s="13" t="str">
        <f>'1.4 Prod Bersih Ubi Jalar 2025'!K696</f>
        <v/>
      </c>
      <c r="J694" s="13" t="str">
        <f>'1.5 Prod Bersih Sagu 2025'!K696</f>
        <v/>
      </c>
      <c r="K694" s="13" t="str">
        <f>'1.6 Prod Bersih Pisang 2025'!K696</f>
        <v/>
      </c>
      <c r="L694" s="15">
        <f t="shared" si="30"/>
        <v>0</v>
      </c>
      <c r="M694" s="14" t="str">
        <f>IF(D694="","",VLOOKUP(D694,'[1]0.1 Produksi Pangan &amp; Penduduk'!$D$5:$AU$704,44,0))</f>
        <v/>
      </c>
      <c r="N694" s="26" t="str">
        <f t="shared" si="31"/>
        <v/>
      </c>
      <c r="O694" s="16"/>
      <c r="P694" s="25" t="str">
        <f t="shared" si="32"/>
        <v/>
      </c>
      <c r="Q694" s="8"/>
      <c r="R694" s="11"/>
    </row>
    <row r="695" spans="1:18" ht="15" x14ac:dyDescent="0.25">
      <c r="A695" s="3" t="str">
        <f>IF('1.1 Produksi Bersih Padi 2025'!A697="","",'1.1 Produksi Bersih Padi 2025'!A697)</f>
        <v/>
      </c>
      <c r="B695" s="32" t="str">
        <f>IF('1.1 Produksi Bersih Padi 2025'!B697="","",'1.1 Produksi Bersih Padi 2025'!B697)</f>
        <v/>
      </c>
      <c r="C695" s="32" t="str">
        <f>IF('1.1 Produksi Bersih Padi 2025'!C697="","",'1.1 Produksi Bersih Padi 2025'!C697)</f>
        <v/>
      </c>
      <c r="D695" s="3" t="str">
        <f>IF('1.1 Produksi Bersih Padi 2025'!D697="","",'1.1 Produksi Bersih Padi 2025'!D697)</f>
        <v/>
      </c>
      <c r="E695" s="3" t="str">
        <f>IF('1.1 Produksi Bersih Padi 2025'!E697="","",'1.1 Produksi Bersih Padi 2025'!E697)</f>
        <v/>
      </c>
      <c r="F695" s="13" t="str">
        <f>'1.1 Produksi Bersih Padi 2025'!Q697</f>
        <v/>
      </c>
      <c r="G695" s="13" t="str">
        <f>'1.2 Produksi Bersih Jagung 2025'!L697</f>
        <v/>
      </c>
      <c r="H695" s="13" t="str">
        <f>'1.3 Prod Bersih Ubi Kayu 2025'!K697</f>
        <v/>
      </c>
      <c r="I695" s="13" t="str">
        <f>'1.4 Prod Bersih Ubi Jalar 2025'!K697</f>
        <v/>
      </c>
      <c r="J695" s="13" t="str">
        <f>'1.5 Prod Bersih Sagu 2025'!K697</f>
        <v/>
      </c>
      <c r="K695" s="13" t="str">
        <f>'1.6 Prod Bersih Pisang 2025'!K697</f>
        <v/>
      </c>
      <c r="L695" s="15">
        <f t="shared" si="30"/>
        <v>0</v>
      </c>
      <c r="M695" s="14" t="str">
        <f>IF(D695="","",VLOOKUP(D695,'[1]0.1 Produksi Pangan &amp; Penduduk'!$D$5:$AU$704,44,0))</f>
        <v/>
      </c>
      <c r="N695" s="26" t="str">
        <f t="shared" si="31"/>
        <v/>
      </c>
      <c r="O695" s="16"/>
      <c r="P695" s="25" t="str">
        <f t="shared" si="32"/>
        <v/>
      </c>
      <c r="Q695" s="8"/>
      <c r="R695" s="11"/>
    </row>
    <row r="696" spans="1:18" ht="15" x14ac:dyDescent="0.25">
      <c r="A696" s="3" t="str">
        <f>IF('1.1 Produksi Bersih Padi 2025'!A698="","",'1.1 Produksi Bersih Padi 2025'!A698)</f>
        <v/>
      </c>
      <c r="B696" s="32" t="str">
        <f>IF('1.1 Produksi Bersih Padi 2025'!B698="","",'1.1 Produksi Bersih Padi 2025'!B698)</f>
        <v/>
      </c>
      <c r="C696" s="32" t="str">
        <f>IF('1.1 Produksi Bersih Padi 2025'!C698="","",'1.1 Produksi Bersih Padi 2025'!C698)</f>
        <v/>
      </c>
      <c r="D696" s="3" t="str">
        <f>IF('1.1 Produksi Bersih Padi 2025'!D698="","",'1.1 Produksi Bersih Padi 2025'!D698)</f>
        <v/>
      </c>
      <c r="E696" s="3" t="str">
        <f>IF('1.1 Produksi Bersih Padi 2025'!E698="","",'1.1 Produksi Bersih Padi 2025'!E698)</f>
        <v/>
      </c>
      <c r="F696" s="13" t="str">
        <f>'1.1 Produksi Bersih Padi 2025'!Q698</f>
        <v/>
      </c>
      <c r="G696" s="13" t="str">
        <f>'1.2 Produksi Bersih Jagung 2025'!L698</f>
        <v/>
      </c>
      <c r="H696" s="13" t="str">
        <f>'1.3 Prod Bersih Ubi Kayu 2025'!K698</f>
        <v/>
      </c>
      <c r="I696" s="13" t="str">
        <f>'1.4 Prod Bersih Ubi Jalar 2025'!K698</f>
        <v/>
      </c>
      <c r="J696" s="13" t="str">
        <f>'1.5 Prod Bersih Sagu 2025'!K698</f>
        <v/>
      </c>
      <c r="K696" s="13" t="str">
        <f>'1.6 Prod Bersih Pisang 2025'!K698</f>
        <v/>
      </c>
      <c r="L696" s="15">
        <f t="shared" si="30"/>
        <v>0</v>
      </c>
      <c r="M696" s="14" t="str">
        <f>IF(D696="","",VLOOKUP(D696,'[1]0.1 Produksi Pangan &amp; Penduduk'!$D$5:$AU$704,44,0))</f>
        <v/>
      </c>
      <c r="N696" s="26" t="str">
        <f t="shared" si="31"/>
        <v/>
      </c>
      <c r="O696" s="16"/>
      <c r="P696" s="25" t="str">
        <f t="shared" si="32"/>
        <v/>
      </c>
      <c r="Q696" s="8"/>
      <c r="R696" s="11"/>
    </row>
    <row r="697" spans="1:18" ht="15" x14ac:dyDescent="0.25">
      <c r="A697" s="3" t="str">
        <f>IF('1.1 Produksi Bersih Padi 2025'!A699="","",'1.1 Produksi Bersih Padi 2025'!A699)</f>
        <v/>
      </c>
      <c r="B697" s="32" t="str">
        <f>IF('1.1 Produksi Bersih Padi 2025'!B699="","",'1.1 Produksi Bersih Padi 2025'!B699)</f>
        <v/>
      </c>
      <c r="C697" s="32" t="str">
        <f>IF('1.1 Produksi Bersih Padi 2025'!C699="","",'1.1 Produksi Bersih Padi 2025'!C699)</f>
        <v/>
      </c>
      <c r="D697" s="3" t="str">
        <f>IF('1.1 Produksi Bersih Padi 2025'!D699="","",'1.1 Produksi Bersih Padi 2025'!D699)</f>
        <v/>
      </c>
      <c r="E697" s="3" t="str">
        <f>IF('1.1 Produksi Bersih Padi 2025'!E699="","",'1.1 Produksi Bersih Padi 2025'!E699)</f>
        <v/>
      </c>
      <c r="F697" s="13" t="str">
        <f>'1.1 Produksi Bersih Padi 2025'!Q699</f>
        <v/>
      </c>
      <c r="G697" s="13" t="str">
        <f>'1.2 Produksi Bersih Jagung 2025'!L699</f>
        <v/>
      </c>
      <c r="H697" s="13" t="str">
        <f>'1.3 Prod Bersih Ubi Kayu 2025'!K699</f>
        <v/>
      </c>
      <c r="I697" s="13" t="str">
        <f>'1.4 Prod Bersih Ubi Jalar 2025'!K699</f>
        <v/>
      </c>
      <c r="J697" s="13" t="str">
        <f>'1.5 Prod Bersih Sagu 2025'!K699</f>
        <v/>
      </c>
      <c r="K697" s="13" t="str">
        <f>'1.6 Prod Bersih Pisang 2025'!K699</f>
        <v/>
      </c>
      <c r="L697" s="15">
        <f t="shared" si="30"/>
        <v>0</v>
      </c>
      <c r="M697" s="14" t="str">
        <f>IF(D697="","",VLOOKUP(D697,'[1]0.1 Produksi Pangan &amp; Penduduk'!$D$5:$AU$704,44,0))</f>
        <v/>
      </c>
      <c r="N697" s="26" t="str">
        <f t="shared" si="31"/>
        <v/>
      </c>
      <c r="O697" s="16"/>
      <c r="P697" s="25" t="str">
        <f t="shared" si="32"/>
        <v/>
      </c>
      <c r="Q697" s="8"/>
      <c r="R697" s="11"/>
    </row>
    <row r="698" spans="1:18" ht="15" x14ac:dyDescent="0.25">
      <c r="A698" s="3" t="str">
        <f>IF('1.1 Produksi Bersih Padi 2025'!A700="","",'1.1 Produksi Bersih Padi 2025'!A700)</f>
        <v/>
      </c>
      <c r="B698" s="32" t="str">
        <f>IF('1.1 Produksi Bersih Padi 2025'!B700="","",'1.1 Produksi Bersih Padi 2025'!B700)</f>
        <v/>
      </c>
      <c r="C698" s="32" t="str">
        <f>IF('1.1 Produksi Bersih Padi 2025'!C700="","",'1.1 Produksi Bersih Padi 2025'!C700)</f>
        <v/>
      </c>
      <c r="D698" s="3" t="str">
        <f>IF('1.1 Produksi Bersih Padi 2025'!D700="","",'1.1 Produksi Bersih Padi 2025'!D700)</f>
        <v/>
      </c>
      <c r="E698" s="3" t="str">
        <f>IF('1.1 Produksi Bersih Padi 2025'!E700="","",'1.1 Produksi Bersih Padi 2025'!E700)</f>
        <v/>
      </c>
      <c r="F698" s="13" t="str">
        <f>'1.1 Produksi Bersih Padi 2025'!Q700</f>
        <v/>
      </c>
      <c r="G698" s="13" t="str">
        <f>'1.2 Produksi Bersih Jagung 2025'!L700</f>
        <v/>
      </c>
      <c r="H698" s="13" t="str">
        <f>'1.3 Prod Bersih Ubi Kayu 2025'!K700</f>
        <v/>
      </c>
      <c r="I698" s="13" t="str">
        <f>'1.4 Prod Bersih Ubi Jalar 2025'!K700</f>
        <v/>
      </c>
      <c r="J698" s="13" t="str">
        <f>'1.5 Prod Bersih Sagu 2025'!K700</f>
        <v/>
      </c>
      <c r="K698" s="13" t="str">
        <f>'1.6 Prod Bersih Pisang 2025'!K700</f>
        <v/>
      </c>
      <c r="L698" s="15">
        <f t="shared" si="30"/>
        <v>0</v>
      </c>
      <c r="M698" s="14" t="str">
        <f>IF(D698="","",VLOOKUP(D698,'[1]0.1 Produksi Pangan &amp; Penduduk'!$D$5:$AU$704,44,0))</f>
        <v/>
      </c>
      <c r="N698" s="26" t="str">
        <f t="shared" si="31"/>
        <v/>
      </c>
      <c r="O698" s="16"/>
      <c r="P698" s="25" t="str">
        <f t="shared" si="32"/>
        <v/>
      </c>
      <c r="Q698" s="8"/>
      <c r="R698" s="11"/>
    </row>
    <row r="699" spans="1:18" ht="15" x14ac:dyDescent="0.25">
      <c r="A699" s="3" t="str">
        <f>IF('1.1 Produksi Bersih Padi 2025'!A701="","",'1.1 Produksi Bersih Padi 2025'!A701)</f>
        <v/>
      </c>
      <c r="B699" s="32" t="str">
        <f>IF('1.1 Produksi Bersih Padi 2025'!B701="","",'1.1 Produksi Bersih Padi 2025'!B701)</f>
        <v/>
      </c>
      <c r="C699" s="32" t="str">
        <f>IF('1.1 Produksi Bersih Padi 2025'!C701="","",'1.1 Produksi Bersih Padi 2025'!C701)</f>
        <v/>
      </c>
      <c r="D699" s="3" t="str">
        <f>IF('1.1 Produksi Bersih Padi 2025'!D701="","",'1.1 Produksi Bersih Padi 2025'!D701)</f>
        <v/>
      </c>
      <c r="E699" s="3" t="str">
        <f>IF('1.1 Produksi Bersih Padi 2025'!E701="","",'1.1 Produksi Bersih Padi 2025'!E701)</f>
        <v/>
      </c>
      <c r="F699" s="13" t="str">
        <f>'1.1 Produksi Bersih Padi 2025'!Q701</f>
        <v/>
      </c>
      <c r="G699" s="13" t="str">
        <f>'1.2 Produksi Bersih Jagung 2025'!L701</f>
        <v/>
      </c>
      <c r="H699" s="13" t="str">
        <f>'1.3 Prod Bersih Ubi Kayu 2025'!K701</f>
        <v/>
      </c>
      <c r="I699" s="13" t="str">
        <f>'1.4 Prod Bersih Ubi Jalar 2025'!K701</f>
        <v/>
      </c>
      <c r="J699" s="13" t="str">
        <f>'1.5 Prod Bersih Sagu 2025'!K701</f>
        <v/>
      </c>
      <c r="K699" s="13" t="str">
        <f>'1.6 Prod Bersih Pisang 2025'!K701</f>
        <v/>
      </c>
      <c r="L699" s="15">
        <f t="shared" si="30"/>
        <v>0</v>
      </c>
      <c r="M699" s="14" t="str">
        <f>IF(D699="","",VLOOKUP(D699,'[1]0.1 Produksi Pangan &amp; Penduduk'!$D$5:$AU$704,44,0))</f>
        <v/>
      </c>
      <c r="N699" s="26" t="str">
        <f t="shared" si="31"/>
        <v/>
      </c>
      <c r="O699" s="16"/>
      <c r="P699" s="25" t="str">
        <f t="shared" si="32"/>
        <v/>
      </c>
      <c r="Q699" s="8"/>
      <c r="R699" s="11"/>
    </row>
    <row r="700" spans="1:18" ht="15" x14ac:dyDescent="0.25">
      <c r="A700" s="3" t="str">
        <f>IF('1.1 Produksi Bersih Padi 2025'!A702="","",'1.1 Produksi Bersih Padi 2025'!A702)</f>
        <v/>
      </c>
      <c r="B700" s="32" t="str">
        <f>IF('1.1 Produksi Bersih Padi 2025'!B702="","",'1.1 Produksi Bersih Padi 2025'!B702)</f>
        <v/>
      </c>
      <c r="C700" s="32" t="str">
        <f>IF('1.1 Produksi Bersih Padi 2025'!C702="","",'1.1 Produksi Bersih Padi 2025'!C702)</f>
        <v/>
      </c>
      <c r="D700" s="3" t="str">
        <f>IF('1.1 Produksi Bersih Padi 2025'!D702="","",'1.1 Produksi Bersih Padi 2025'!D702)</f>
        <v/>
      </c>
      <c r="E700" s="3" t="str">
        <f>IF('1.1 Produksi Bersih Padi 2025'!E702="","",'1.1 Produksi Bersih Padi 2025'!E702)</f>
        <v/>
      </c>
      <c r="F700" s="13" t="str">
        <f>'1.1 Produksi Bersih Padi 2025'!Q702</f>
        <v/>
      </c>
      <c r="G700" s="13" t="str">
        <f>'1.2 Produksi Bersih Jagung 2025'!L702</f>
        <v/>
      </c>
      <c r="H700" s="13" t="str">
        <f>'1.3 Prod Bersih Ubi Kayu 2025'!K702</f>
        <v/>
      </c>
      <c r="I700" s="13" t="str">
        <f>'1.4 Prod Bersih Ubi Jalar 2025'!K702</f>
        <v/>
      </c>
      <c r="J700" s="13" t="str">
        <f>'1.5 Prod Bersih Sagu 2025'!K702</f>
        <v/>
      </c>
      <c r="K700" s="13" t="str">
        <f>'1.6 Prod Bersih Pisang 2025'!K702</f>
        <v/>
      </c>
      <c r="L700" s="15">
        <f t="shared" si="30"/>
        <v>0</v>
      </c>
      <c r="M700" s="14" t="str">
        <f>IF(D700="","",VLOOKUP(D700,'[1]0.1 Produksi Pangan &amp; Penduduk'!$D$5:$AU$704,44,0))</f>
        <v/>
      </c>
      <c r="N700" s="26" t="str">
        <f t="shared" si="31"/>
        <v/>
      </c>
      <c r="O700" s="16"/>
      <c r="P700" s="25" t="str">
        <f t="shared" si="32"/>
        <v/>
      </c>
      <c r="Q700" s="8"/>
      <c r="R700" s="11"/>
    </row>
    <row r="701" spans="1:18" ht="15" x14ac:dyDescent="0.25">
      <c r="A701" s="3" t="str">
        <f>IF('1.1 Produksi Bersih Padi 2025'!A703="","",'1.1 Produksi Bersih Padi 2025'!A703)</f>
        <v/>
      </c>
      <c r="B701" s="32" t="str">
        <f>IF('1.1 Produksi Bersih Padi 2025'!B703="","",'1.1 Produksi Bersih Padi 2025'!B703)</f>
        <v/>
      </c>
      <c r="C701" s="32" t="str">
        <f>IF('1.1 Produksi Bersih Padi 2025'!C703="","",'1.1 Produksi Bersih Padi 2025'!C703)</f>
        <v/>
      </c>
      <c r="D701" s="3" t="str">
        <f>IF('1.1 Produksi Bersih Padi 2025'!D703="","",'1.1 Produksi Bersih Padi 2025'!D703)</f>
        <v/>
      </c>
      <c r="E701" s="3" t="str">
        <f>IF('1.1 Produksi Bersih Padi 2025'!E703="","",'1.1 Produksi Bersih Padi 2025'!E703)</f>
        <v/>
      </c>
      <c r="F701" s="13" t="str">
        <f>'1.1 Produksi Bersih Padi 2025'!Q703</f>
        <v/>
      </c>
      <c r="G701" s="13" t="str">
        <f>'1.2 Produksi Bersih Jagung 2025'!L703</f>
        <v/>
      </c>
      <c r="H701" s="13" t="str">
        <f>'1.3 Prod Bersih Ubi Kayu 2025'!K703</f>
        <v/>
      </c>
      <c r="I701" s="13" t="str">
        <f>'1.4 Prod Bersih Ubi Jalar 2025'!K703</f>
        <v/>
      </c>
      <c r="J701" s="13" t="str">
        <f>'1.5 Prod Bersih Sagu 2025'!K703</f>
        <v/>
      </c>
      <c r="K701" s="13" t="str">
        <f>'1.6 Prod Bersih Pisang 2025'!K703</f>
        <v/>
      </c>
      <c r="L701" s="15">
        <f t="shared" si="30"/>
        <v>0</v>
      </c>
      <c r="M701" s="14" t="str">
        <f>IF(D701="","",VLOOKUP(D701,'[1]0.1 Produksi Pangan &amp; Penduduk'!$D$5:$AU$704,44,0))</f>
        <v/>
      </c>
      <c r="N701" s="26" t="str">
        <f t="shared" si="31"/>
        <v/>
      </c>
      <c r="O701" s="16"/>
      <c r="P701" s="25" t="str">
        <f t="shared" si="32"/>
        <v/>
      </c>
      <c r="Q701" s="8"/>
      <c r="R701" s="11"/>
    </row>
    <row r="702" spans="1:18" ht="15" x14ac:dyDescent="0.25">
      <c r="A702" s="3" t="str">
        <f>IF('1.1 Produksi Bersih Padi 2025'!A704="","",'1.1 Produksi Bersih Padi 2025'!A704)</f>
        <v/>
      </c>
      <c r="B702" s="32" t="str">
        <f>IF('1.1 Produksi Bersih Padi 2025'!B704="","",'1.1 Produksi Bersih Padi 2025'!B704)</f>
        <v/>
      </c>
      <c r="C702" s="32" t="str">
        <f>IF('1.1 Produksi Bersih Padi 2025'!C704="","",'1.1 Produksi Bersih Padi 2025'!C704)</f>
        <v/>
      </c>
      <c r="D702" s="3" t="str">
        <f>IF('1.1 Produksi Bersih Padi 2025'!D704="","",'1.1 Produksi Bersih Padi 2025'!D704)</f>
        <v/>
      </c>
      <c r="E702" s="3" t="str">
        <f>IF('1.1 Produksi Bersih Padi 2025'!E704="","",'1.1 Produksi Bersih Padi 2025'!E704)</f>
        <v/>
      </c>
      <c r="F702" s="13" t="str">
        <f>'1.1 Produksi Bersih Padi 2025'!Q704</f>
        <v/>
      </c>
      <c r="G702" s="13" t="str">
        <f>'1.2 Produksi Bersih Jagung 2025'!L704</f>
        <v/>
      </c>
      <c r="H702" s="13" t="str">
        <f>'1.3 Prod Bersih Ubi Kayu 2025'!K704</f>
        <v/>
      </c>
      <c r="I702" s="13" t="str">
        <f>'1.4 Prod Bersih Ubi Jalar 2025'!K704</f>
        <v/>
      </c>
      <c r="J702" s="13" t="str">
        <f>'1.5 Prod Bersih Sagu 2025'!K704</f>
        <v/>
      </c>
      <c r="K702" s="13" t="str">
        <f>'1.6 Prod Bersih Pisang 2025'!K704</f>
        <v/>
      </c>
      <c r="L702" s="15">
        <f t="shared" si="30"/>
        <v>0</v>
      </c>
      <c r="M702" s="14" t="str">
        <f>IF(D702="","",VLOOKUP(D702,'[1]0.1 Produksi Pangan &amp; Penduduk'!$D$5:$AU$704,44,0))</f>
        <v/>
      </c>
      <c r="N702" s="26" t="str">
        <f t="shared" si="31"/>
        <v/>
      </c>
      <c r="O702" s="16"/>
      <c r="P702" s="25" t="str">
        <f t="shared" si="32"/>
        <v/>
      </c>
      <c r="Q702" s="8"/>
    </row>
    <row r="703" spans="1:18" ht="15" x14ac:dyDescent="0.25">
      <c r="A703" s="3" t="str">
        <f>IF('1.1 Produksi Bersih Padi 2025'!A705="","",'1.1 Produksi Bersih Padi 2025'!A705)</f>
        <v/>
      </c>
      <c r="B703" s="32" t="str">
        <f>IF('1.1 Produksi Bersih Padi 2025'!B705="","",'1.1 Produksi Bersih Padi 2025'!B705)</f>
        <v/>
      </c>
      <c r="C703" s="32" t="str">
        <f>IF('1.1 Produksi Bersih Padi 2025'!C705="","",'1.1 Produksi Bersih Padi 2025'!C705)</f>
        <v/>
      </c>
      <c r="D703" s="3" t="str">
        <f>IF('1.1 Produksi Bersih Padi 2025'!D705="","",'1.1 Produksi Bersih Padi 2025'!D705)</f>
        <v/>
      </c>
      <c r="E703" s="3" t="str">
        <f>IF('1.1 Produksi Bersih Padi 2025'!E705="","",'1.1 Produksi Bersih Padi 2025'!E705)</f>
        <v/>
      </c>
      <c r="F703" s="13" t="str">
        <f>'1.1 Produksi Bersih Padi 2025'!Q705</f>
        <v/>
      </c>
      <c r="G703" s="13" t="str">
        <f>'1.2 Produksi Bersih Jagung 2025'!L705</f>
        <v/>
      </c>
      <c r="H703" s="13" t="str">
        <f>'1.3 Prod Bersih Ubi Kayu 2025'!K705</f>
        <v/>
      </c>
      <c r="I703" s="13" t="str">
        <f>'1.4 Prod Bersih Ubi Jalar 2025'!K705</f>
        <v/>
      </c>
      <c r="J703" s="13" t="str">
        <f>'1.5 Prod Bersih Sagu 2025'!K705</f>
        <v/>
      </c>
      <c r="K703" s="13" t="str">
        <f>'1.6 Prod Bersih Pisang 2025'!K705</f>
        <v/>
      </c>
      <c r="L703" s="15">
        <f t="shared" si="30"/>
        <v>0</v>
      </c>
      <c r="M703" s="14" t="str">
        <f>IF(D703="","",VLOOKUP(D703,'[1]0.1 Produksi Pangan &amp; Penduduk'!$D$5:$AU$704,44,0))</f>
        <v/>
      </c>
      <c r="N703" s="26" t="str">
        <f t="shared" si="31"/>
        <v/>
      </c>
      <c r="O703" s="16"/>
      <c r="P703" s="25" t="str">
        <f t="shared" si="32"/>
        <v/>
      </c>
      <c r="Q703" s="8"/>
    </row>
    <row r="704" spans="1:18" ht="15" x14ac:dyDescent="0.25">
      <c r="A704" s="3" t="str">
        <f>IF('1.1 Produksi Bersih Padi 2025'!A706="","",'1.1 Produksi Bersih Padi 2025'!A706)</f>
        <v/>
      </c>
      <c r="B704" s="32" t="str">
        <f>IF('1.1 Produksi Bersih Padi 2025'!B706="","",'1.1 Produksi Bersih Padi 2025'!B706)</f>
        <v/>
      </c>
      <c r="C704" s="32" t="str">
        <f>IF('1.1 Produksi Bersih Padi 2025'!C706="","",'1.1 Produksi Bersih Padi 2025'!C706)</f>
        <v/>
      </c>
      <c r="D704" s="3" t="str">
        <f>IF('1.1 Produksi Bersih Padi 2025'!D706="","",'1.1 Produksi Bersih Padi 2025'!D706)</f>
        <v/>
      </c>
      <c r="E704" s="3" t="str">
        <f>IF('1.1 Produksi Bersih Padi 2025'!E706="","",'1.1 Produksi Bersih Padi 2025'!E706)</f>
        <v/>
      </c>
      <c r="F704" s="13" t="str">
        <f>'1.1 Produksi Bersih Padi 2025'!Q706</f>
        <v/>
      </c>
      <c r="G704" s="13" t="str">
        <f>'1.2 Produksi Bersih Jagung 2025'!L706</f>
        <v/>
      </c>
      <c r="H704" s="13" t="str">
        <f>'1.3 Prod Bersih Ubi Kayu 2025'!K706</f>
        <v/>
      </c>
      <c r="I704" s="13" t="str">
        <f>'1.4 Prod Bersih Ubi Jalar 2025'!K706</f>
        <v/>
      </c>
      <c r="J704" s="13" t="str">
        <f>'1.5 Prod Bersih Sagu 2025'!K706</f>
        <v/>
      </c>
      <c r="K704" s="13" t="str">
        <f>'1.6 Prod Bersih Pisang 2025'!K706</f>
        <v/>
      </c>
      <c r="L704" s="15">
        <f t="shared" si="30"/>
        <v>0</v>
      </c>
      <c r="M704" s="14" t="str">
        <f>IF(D704="","",VLOOKUP(D704,'[1]0.1 Produksi Pangan &amp; Penduduk'!$D$5:$AU$704,44,0))</f>
        <v/>
      </c>
      <c r="N704" s="26" t="str">
        <f t="shared" si="31"/>
        <v/>
      </c>
      <c r="O704" s="16"/>
      <c r="P704" s="25" t="str">
        <f t="shared" si="32"/>
        <v/>
      </c>
      <c r="Q704" s="8"/>
    </row>
    <row r="705" spans="1:17" ht="15" x14ac:dyDescent="0.25">
      <c r="A705" s="3" t="str">
        <f>IF('1.1 Produksi Bersih Padi 2025'!A707="","",'1.1 Produksi Bersih Padi 2025'!A707)</f>
        <v/>
      </c>
      <c r="B705" s="32" t="str">
        <f>IF('1.1 Produksi Bersih Padi 2025'!B707="","",'1.1 Produksi Bersih Padi 2025'!B707)</f>
        <v/>
      </c>
      <c r="C705" s="32" t="str">
        <f>IF('1.1 Produksi Bersih Padi 2025'!C707="","",'1.1 Produksi Bersih Padi 2025'!C707)</f>
        <v/>
      </c>
      <c r="D705" s="3" t="str">
        <f>IF('1.1 Produksi Bersih Padi 2025'!D707="","",'1.1 Produksi Bersih Padi 2025'!D707)</f>
        <v/>
      </c>
      <c r="E705" s="3" t="str">
        <f>IF('1.1 Produksi Bersih Padi 2025'!E707="","",'1.1 Produksi Bersih Padi 2025'!E707)</f>
        <v/>
      </c>
      <c r="F705" s="13" t="str">
        <f>'1.1 Produksi Bersih Padi 2025'!Q707</f>
        <v/>
      </c>
      <c r="G705" s="13" t="str">
        <f>'1.2 Produksi Bersih Jagung 2025'!L707</f>
        <v/>
      </c>
      <c r="H705" s="13" t="str">
        <f>'1.3 Prod Bersih Ubi Kayu 2025'!K707</f>
        <v/>
      </c>
      <c r="I705" s="13" t="str">
        <f>'1.4 Prod Bersih Ubi Jalar 2025'!K707</f>
        <v/>
      </c>
      <c r="J705" s="13" t="str">
        <f>'1.5 Prod Bersih Sagu 2025'!K707</f>
        <v/>
      </c>
      <c r="K705" s="13" t="str">
        <f>'1.6 Prod Bersih Pisang 2025'!K707</f>
        <v/>
      </c>
      <c r="L705" s="15">
        <f t="shared" si="30"/>
        <v>0</v>
      </c>
      <c r="M705" s="14" t="str">
        <f>IF(D705="","",VLOOKUP(D705,'[1]0.1 Produksi Pangan &amp; Penduduk'!$D$5:$AU$704,44,0))</f>
        <v/>
      </c>
      <c r="N705" s="26" t="str">
        <f t="shared" si="31"/>
        <v/>
      </c>
      <c r="O705" s="16"/>
      <c r="P705" s="25" t="str">
        <f t="shared" si="32"/>
        <v/>
      </c>
      <c r="Q705" s="8"/>
    </row>
    <row r="706" spans="1:17" ht="15" x14ac:dyDescent="0.25">
      <c r="A706" s="3" t="str">
        <f>IF('1.1 Produksi Bersih Padi 2025'!A708="","",'1.1 Produksi Bersih Padi 2025'!A708)</f>
        <v/>
      </c>
      <c r="B706" s="32" t="str">
        <f>IF('1.1 Produksi Bersih Padi 2025'!B708="","",'1.1 Produksi Bersih Padi 2025'!B708)</f>
        <v/>
      </c>
      <c r="C706" s="32" t="str">
        <f>IF('1.1 Produksi Bersih Padi 2025'!C708="","",'1.1 Produksi Bersih Padi 2025'!C708)</f>
        <v/>
      </c>
      <c r="D706" s="3" t="str">
        <f>IF('1.1 Produksi Bersih Padi 2025'!D708="","",'1.1 Produksi Bersih Padi 2025'!D708)</f>
        <v/>
      </c>
      <c r="E706" s="3" t="str">
        <f>IF('1.1 Produksi Bersih Padi 2025'!E708="","",'1.1 Produksi Bersih Padi 2025'!E708)</f>
        <v/>
      </c>
      <c r="F706" s="13" t="str">
        <f>'1.1 Produksi Bersih Padi 2025'!Q708</f>
        <v/>
      </c>
      <c r="G706" s="13" t="str">
        <f>'1.2 Produksi Bersih Jagung 2025'!L708</f>
        <v/>
      </c>
      <c r="H706" s="13" t="str">
        <f>'1.3 Prod Bersih Ubi Kayu 2025'!K708</f>
        <v/>
      </c>
      <c r="I706" s="13" t="str">
        <f>'1.4 Prod Bersih Ubi Jalar 2025'!K708</f>
        <v/>
      </c>
      <c r="J706" s="13" t="str">
        <f>'1.5 Prod Bersih Sagu 2025'!K708</f>
        <v/>
      </c>
      <c r="K706" s="13" t="str">
        <f>'1.6 Prod Bersih Pisang 2025'!K708</f>
        <v/>
      </c>
      <c r="L706" s="15">
        <f t="shared" si="30"/>
        <v>0</v>
      </c>
      <c r="M706" s="14" t="str">
        <f>IF(D706="","",VLOOKUP(D706,'[1]0.1 Produksi Pangan &amp; Penduduk'!$D$5:$AU$704,44,0))</f>
        <v/>
      </c>
      <c r="N706" s="26" t="str">
        <f t="shared" si="31"/>
        <v/>
      </c>
      <c r="O706" s="16"/>
      <c r="P706" s="25" t="str">
        <f t="shared" si="32"/>
        <v/>
      </c>
      <c r="Q706" s="8"/>
    </row>
    <row r="707" spans="1:17" ht="15" x14ac:dyDescent="0.25">
      <c r="A707" s="3" t="str">
        <f>IF('1.1 Produksi Bersih Padi 2025'!A709="","",'1.1 Produksi Bersih Padi 2025'!A709)</f>
        <v/>
      </c>
      <c r="B707" s="32" t="str">
        <f>IF('1.1 Produksi Bersih Padi 2025'!B709="","",'1.1 Produksi Bersih Padi 2025'!B709)</f>
        <v/>
      </c>
      <c r="C707" s="32" t="str">
        <f>IF('1.1 Produksi Bersih Padi 2025'!C709="","",'1.1 Produksi Bersih Padi 2025'!C709)</f>
        <v/>
      </c>
      <c r="D707" s="3" t="str">
        <f>IF('1.1 Produksi Bersih Padi 2025'!D709="","",'1.1 Produksi Bersih Padi 2025'!D709)</f>
        <v/>
      </c>
      <c r="E707" s="3" t="str">
        <f>IF('1.1 Produksi Bersih Padi 2025'!E709="","",'1.1 Produksi Bersih Padi 2025'!E709)</f>
        <v/>
      </c>
      <c r="F707" s="13" t="str">
        <f>'1.1 Produksi Bersih Padi 2025'!Q709</f>
        <v/>
      </c>
      <c r="G707" s="13" t="str">
        <f>'1.2 Produksi Bersih Jagung 2025'!L709</f>
        <v/>
      </c>
      <c r="H707" s="13" t="str">
        <f>'1.3 Prod Bersih Ubi Kayu 2025'!K709</f>
        <v/>
      </c>
      <c r="I707" s="13" t="str">
        <f>'1.4 Prod Bersih Ubi Jalar 2025'!K709</f>
        <v/>
      </c>
      <c r="J707" s="13" t="str">
        <f>'1.5 Prod Bersih Sagu 2025'!K709</f>
        <v/>
      </c>
      <c r="K707" s="13" t="str">
        <f>'1.6 Prod Bersih Pisang 2025'!K709</f>
        <v/>
      </c>
      <c r="L707" s="15">
        <f t="shared" si="30"/>
        <v>0</v>
      </c>
      <c r="M707" s="14" t="str">
        <f>IF(D707="","",VLOOKUP(D707,'[1]0.1 Produksi Pangan &amp; Penduduk'!$D$5:$AU$704,44,0))</f>
        <v/>
      </c>
      <c r="N707" s="26" t="str">
        <f t="shared" si="31"/>
        <v/>
      </c>
      <c r="O707" s="16"/>
      <c r="P707" s="25" t="str">
        <f t="shared" si="32"/>
        <v/>
      </c>
      <c r="Q707" s="8"/>
    </row>
    <row r="708" spans="1:17" ht="15" x14ac:dyDescent="0.25">
      <c r="A708" s="3" t="str">
        <f>IF('1.1 Produksi Bersih Padi 2025'!A710="","",'1.1 Produksi Bersih Padi 2025'!A710)</f>
        <v/>
      </c>
      <c r="B708" s="32" t="str">
        <f>IF('1.1 Produksi Bersih Padi 2025'!B710="","",'1.1 Produksi Bersih Padi 2025'!B710)</f>
        <v/>
      </c>
      <c r="C708" s="32" t="str">
        <f>IF('1.1 Produksi Bersih Padi 2025'!C710="","",'1.1 Produksi Bersih Padi 2025'!C710)</f>
        <v/>
      </c>
      <c r="D708" s="3" t="str">
        <f>IF('1.1 Produksi Bersih Padi 2025'!D710="","",'1.1 Produksi Bersih Padi 2025'!D710)</f>
        <v/>
      </c>
      <c r="E708" s="3" t="str">
        <f>IF('1.1 Produksi Bersih Padi 2025'!E710="","",'1.1 Produksi Bersih Padi 2025'!E710)</f>
        <v/>
      </c>
      <c r="F708" s="13" t="str">
        <f>'1.1 Produksi Bersih Padi 2025'!Q710</f>
        <v/>
      </c>
      <c r="G708" s="13" t="str">
        <f>'1.2 Produksi Bersih Jagung 2025'!L710</f>
        <v/>
      </c>
      <c r="H708" s="13" t="str">
        <f>'1.3 Prod Bersih Ubi Kayu 2025'!K710</f>
        <v/>
      </c>
      <c r="I708" s="13" t="str">
        <f>'1.4 Prod Bersih Ubi Jalar 2025'!K710</f>
        <v/>
      </c>
      <c r="J708" s="13" t="str">
        <f>'1.5 Prod Bersih Sagu 2025'!K710</f>
        <v/>
      </c>
      <c r="K708" s="13" t="str">
        <f>'1.6 Prod Bersih Pisang 2025'!K710</f>
        <v/>
      </c>
      <c r="L708" s="15">
        <f t="shared" ref="L708:L771" si="33">IFERROR(SUM(F708:K708),0)</f>
        <v>0</v>
      </c>
      <c r="M708" s="14" t="str">
        <f>IF(D708="","",VLOOKUP(D708,'[1]0.1 Produksi Pangan &amp; Penduduk'!$D$5:$AU$704,44,0))</f>
        <v/>
      </c>
      <c r="N708" s="26" t="str">
        <f t="shared" ref="N708:N771" si="34">IF(M708="","",IFERROR((L708*1000*1000/M708)/365,"-"))</f>
        <v/>
      </c>
      <c r="O708" s="16"/>
      <c r="P708" s="25" t="str">
        <f t="shared" ref="P708:P771" si="35">IF(N708="","",IFERROR(300/N708,"-"))</f>
        <v/>
      </c>
      <c r="Q708" s="8"/>
    </row>
    <row r="709" spans="1:17" ht="15" x14ac:dyDescent="0.25">
      <c r="A709" s="3" t="str">
        <f>IF('1.1 Produksi Bersih Padi 2025'!A711="","",'1.1 Produksi Bersih Padi 2025'!A711)</f>
        <v/>
      </c>
      <c r="B709" s="32" t="str">
        <f>IF('1.1 Produksi Bersih Padi 2025'!B711="","",'1.1 Produksi Bersih Padi 2025'!B711)</f>
        <v/>
      </c>
      <c r="C709" s="32" t="str">
        <f>IF('1.1 Produksi Bersih Padi 2025'!C711="","",'1.1 Produksi Bersih Padi 2025'!C711)</f>
        <v/>
      </c>
      <c r="D709" s="3" t="str">
        <f>IF('1.1 Produksi Bersih Padi 2025'!D711="","",'1.1 Produksi Bersih Padi 2025'!D711)</f>
        <v/>
      </c>
      <c r="E709" s="3" t="str">
        <f>IF('1.1 Produksi Bersih Padi 2025'!E711="","",'1.1 Produksi Bersih Padi 2025'!E711)</f>
        <v/>
      </c>
      <c r="F709" s="13" t="str">
        <f>'1.1 Produksi Bersih Padi 2025'!Q711</f>
        <v/>
      </c>
      <c r="G709" s="13" t="str">
        <f>'1.2 Produksi Bersih Jagung 2025'!L711</f>
        <v/>
      </c>
      <c r="H709" s="13" t="str">
        <f>'1.3 Prod Bersih Ubi Kayu 2025'!K711</f>
        <v/>
      </c>
      <c r="I709" s="13" t="str">
        <f>'1.4 Prod Bersih Ubi Jalar 2025'!K711</f>
        <v/>
      </c>
      <c r="J709" s="13" t="str">
        <f>'1.5 Prod Bersih Sagu 2025'!K711</f>
        <v/>
      </c>
      <c r="K709" s="13" t="str">
        <f>'1.6 Prod Bersih Pisang 2025'!K711</f>
        <v/>
      </c>
      <c r="L709" s="15">
        <f t="shared" si="33"/>
        <v>0</v>
      </c>
      <c r="M709" s="14" t="str">
        <f>IF(D709="","",VLOOKUP(D709,'[1]0.1 Produksi Pangan &amp; Penduduk'!$D$5:$AU$704,44,0))</f>
        <v/>
      </c>
      <c r="N709" s="26" t="str">
        <f t="shared" si="34"/>
        <v/>
      </c>
      <c r="O709" s="16"/>
      <c r="P709" s="25" t="str">
        <f t="shared" si="35"/>
        <v/>
      </c>
      <c r="Q709" s="8"/>
    </row>
    <row r="710" spans="1:17" ht="15" x14ac:dyDescent="0.25">
      <c r="A710" s="3" t="str">
        <f>IF('1.1 Produksi Bersih Padi 2025'!A712="","",'1.1 Produksi Bersih Padi 2025'!A712)</f>
        <v/>
      </c>
      <c r="B710" s="32" t="str">
        <f>IF('1.1 Produksi Bersih Padi 2025'!B712="","",'1.1 Produksi Bersih Padi 2025'!B712)</f>
        <v/>
      </c>
      <c r="C710" s="32" t="str">
        <f>IF('1.1 Produksi Bersih Padi 2025'!C712="","",'1.1 Produksi Bersih Padi 2025'!C712)</f>
        <v/>
      </c>
      <c r="D710" s="3" t="str">
        <f>IF('1.1 Produksi Bersih Padi 2025'!D712="","",'1.1 Produksi Bersih Padi 2025'!D712)</f>
        <v/>
      </c>
      <c r="E710" s="3" t="str">
        <f>IF('1.1 Produksi Bersih Padi 2025'!E712="","",'1.1 Produksi Bersih Padi 2025'!E712)</f>
        <v/>
      </c>
      <c r="F710" s="13" t="str">
        <f>'1.1 Produksi Bersih Padi 2025'!Q712</f>
        <v/>
      </c>
      <c r="G710" s="13" t="str">
        <f>'1.2 Produksi Bersih Jagung 2025'!L712</f>
        <v/>
      </c>
      <c r="H710" s="13" t="str">
        <f>'1.3 Prod Bersih Ubi Kayu 2025'!K712</f>
        <v/>
      </c>
      <c r="I710" s="13" t="str">
        <f>'1.4 Prod Bersih Ubi Jalar 2025'!K712</f>
        <v/>
      </c>
      <c r="J710" s="13" t="str">
        <f>'1.5 Prod Bersih Sagu 2025'!K712</f>
        <v/>
      </c>
      <c r="K710" s="13" t="str">
        <f>'1.6 Prod Bersih Pisang 2025'!K712</f>
        <v/>
      </c>
      <c r="L710" s="15">
        <f t="shared" si="33"/>
        <v>0</v>
      </c>
      <c r="M710" s="14" t="str">
        <f>IF(D710="","",VLOOKUP(D710,'[1]0.1 Produksi Pangan &amp; Penduduk'!$D$5:$AU$704,44,0))</f>
        <v/>
      </c>
      <c r="N710" s="26" t="str">
        <f t="shared" si="34"/>
        <v/>
      </c>
      <c r="O710" s="16"/>
      <c r="P710" s="25" t="str">
        <f t="shared" si="35"/>
        <v/>
      </c>
      <c r="Q710" s="8"/>
    </row>
    <row r="711" spans="1:17" ht="15" x14ac:dyDescent="0.25">
      <c r="A711" s="3" t="str">
        <f>IF('1.1 Produksi Bersih Padi 2025'!A713="","",'1.1 Produksi Bersih Padi 2025'!A713)</f>
        <v/>
      </c>
      <c r="B711" s="32" t="str">
        <f>IF('1.1 Produksi Bersih Padi 2025'!B713="","",'1.1 Produksi Bersih Padi 2025'!B713)</f>
        <v/>
      </c>
      <c r="C711" s="32" t="str">
        <f>IF('1.1 Produksi Bersih Padi 2025'!C713="","",'1.1 Produksi Bersih Padi 2025'!C713)</f>
        <v/>
      </c>
      <c r="D711" s="3" t="str">
        <f>IF('1.1 Produksi Bersih Padi 2025'!D713="","",'1.1 Produksi Bersih Padi 2025'!D713)</f>
        <v/>
      </c>
      <c r="E711" s="3" t="str">
        <f>IF('1.1 Produksi Bersih Padi 2025'!E713="","",'1.1 Produksi Bersih Padi 2025'!E713)</f>
        <v/>
      </c>
      <c r="F711" s="13" t="str">
        <f>'1.1 Produksi Bersih Padi 2025'!Q713</f>
        <v/>
      </c>
      <c r="G711" s="13" t="str">
        <f>'1.2 Produksi Bersih Jagung 2025'!L713</f>
        <v/>
      </c>
      <c r="H711" s="13" t="str">
        <f>'1.3 Prod Bersih Ubi Kayu 2025'!K713</f>
        <v/>
      </c>
      <c r="I711" s="13" t="str">
        <f>'1.4 Prod Bersih Ubi Jalar 2025'!K713</f>
        <v/>
      </c>
      <c r="J711" s="13" t="str">
        <f>'1.5 Prod Bersih Sagu 2025'!K713</f>
        <v/>
      </c>
      <c r="K711" s="13" t="str">
        <f>'1.6 Prod Bersih Pisang 2025'!K713</f>
        <v/>
      </c>
      <c r="L711" s="15">
        <f t="shared" si="33"/>
        <v>0</v>
      </c>
      <c r="M711" s="14" t="str">
        <f>IF(D711="","",VLOOKUP(D711,'[1]0.1 Produksi Pangan &amp; Penduduk'!$D$5:$AU$704,44,0))</f>
        <v/>
      </c>
      <c r="N711" s="26" t="str">
        <f t="shared" si="34"/>
        <v/>
      </c>
      <c r="O711" s="16"/>
      <c r="P711" s="25" t="str">
        <f t="shared" si="35"/>
        <v/>
      </c>
      <c r="Q711" s="8"/>
    </row>
    <row r="712" spans="1:17" ht="15" x14ac:dyDescent="0.25">
      <c r="A712" s="3" t="str">
        <f>IF('1.1 Produksi Bersih Padi 2025'!A714="","",'1.1 Produksi Bersih Padi 2025'!A714)</f>
        <v/>
      </c>
      <c r="B712" s="32" t="str">
        <f>IF('1.1 Produksi Bersih Padi 2025'!B714="","",'1.1 Produksi Bersih Padi 2025'!B714)</f>
        <v/>
      </c>
      <c r="C712" s="32" t="str">
        <f>IF('1.1 Produksi Bersih Padi 2025'!C714="","",'1.1 Produksi Bersih Padi 2025'!C714)</f>
        <v/>
      </c>
      <c r="D712" s="3" t="str">
        <f>IF('1.1 Produksi Bersih Padi 2025'!D714="","",'1.1 Produksi Bersih Padi 2025'!D714)</f>
        <v/>
      </c>
      <c r="E712" s="3" t="str">
        <f>IF('1.1 Produksi Bersih Padi 2025'!E714="","",'1.1 Produksi Bersih Padi 2025'!E714)</f>
        <v/>
      </c>
      <c r="F712" s="13" t="str">
        <f>'1.1 Produksi Bersih Padi 2025'!Q714</f>
        <v/>
      </c>
      <c r="G712" s="13" t="str">
        <f>'1.2 Produksi Bersih Jagung 2025'!L714</f>
        <v/>
      </c>
      <c r="H712" s="13" t="str">
        <f>'1.3 Prod Bersih Ubi Kayu 2025'!K714</f>
        <v/>
      </c>
      <c r="I712" s="13" t="str">
        <f>'1.4 Prod Bersih Ubi Jalar 2025'!K714</f>
        <v/>
      </c>
      <c r="J712" s="13" t="str">
        <f>'1.5 Prod Bersih Sagu 2025'!K714</f>
        <v/>
      </c>
      <c r="K712" s="13" t="str">
        <f>'1.6 Prod Bersih Pisang 2025'!K714</f>
        <v/>
      </c>
      <c r="L712" s="15">
        <f t="shared" si="33"/>
        <v>0</v>
      </c>
      <c r="M712" s="14" t="str">
        <f>IF(D712="","",VLOOKUP(D712,'[1]0.1 Produksi Pangan &amp; Penduduk'!$D$5:$AU$704,44,0))</f>
        <v/>
      </c>
      <c r="N712" s="26" t="str">
        <f t="shared" si="34"/>
        <v/>
      </c>
      <c r="O712" s="16"/>
      <c r="P712" s="25" t="str">
        <f t="shared" si="35"/>
        <v/>
      </c>
      <c r="Q712" s="8"/>
    </row>
    <row r="713" spans="1:17" ht="15" x14ac:dyDescent="0.25">
      <c r="A713" s="3" t="str">
        <f>IF('1.1 Produksi Bersih Padi 2025'!A715="","",'1.1 Produksi Bersih Padi 2025'!A715)</f>
        <v/>
      </c>
      <c r="B713" s="32" t="str">
        <f>IF('1.1 Produksi Bersih Padi 2025'!B715="","",'1.1 Produksi Bersih Padi 2025'!B715)</f>
        <v/>
      </c>
      <c r="C713" s="32" t="str">
        <f>IF('1.1 Produksi Bersih Padi 2025'!C715="","",'1.1 Produksi Bersih Padi 2025'!C715)</f>
        <v/>
      </c>
      <c r="D713" s="3" t="str">
        <f>IF('1.1 Produksi Bersih Padi 2025'!D715="","",'1.1 Produksi Bersih Padi 2025'!D715)</f>
        <v/>
      </c>
      <c r="E713" s="3" t="str">
        <f>IF('1.1 Produksi Bersih Padi 2025'!E715="","",'1.1 Produksi Bersih Padi 2025'!E715)</f>
        <v/>
      </c>
      <c r="F713" s="13" t="str">
        <f>'1.1 Produksi Bersih Padi 2025'!Q715</f>
        <v/>
      </c>
      <c r="G713" s="13" t="str">
        <f>'1.2 Produksi Bersih Jagung 2025'!L715</f>
        <v/>
      </c>
      <c r="H713" s="13" t="str">
        <f>'1.3 Prod Bersih Ubi Kayu 2025'!K715</f>
        <v/>
      </c>
      <c r="I713" s="13" t="str">
        <f>'1.4 Prod Bersih Ubi Jalar 2025'!K715</f>
        <v/>
      </c>
      <c r="J713" s="13" t="str">
        <f>'1.5 Prod Bersih Sagu 2025'!K715</f>
        <v/>
      </c>
      <c r="K713" s="13" t="str">
        <f>'1.6 Prod Bersih Pisang 2025'!K715</f>
        <v/>
      </c>
      <c r="L713" s="15">
        <f t="shared" si="33"/>
        <v>0</v>
      </c>
      <c r="M713" s="14" t="str">
        <f>IF(D713="","",VLOOKUP(D713,'[1]0.1 Produksi Pangan &amp; Penduduk'!$D$5:$AU$704,44,0))</f>
        <v/>
      </c>
      <c r="N713" s="26" t="str">
        <f t="shared" si="34"/>
        <v/>
      </c>
      <c r="O713" s="16"/>
      <c r="P713" s="25" t="str">
        <f t="shared" si="35"/>
        <v/>
      </c>
      <c r="Q713" s="8"/>
    </row>
    <row r="714" spans="1:17" ht="15" x14ac:dyDescent="0.25">
      <c r="A714" s="3" t="str">
        <f>IF('1.1 Produksi Bersih Padi 2025'!A716="","",'1.1 Produksi Bersih Padi 2025'!A716)</f>
        <v/>
      </c>
      <c r="B714" s="32" t="str">
        <f>IF('1.1 Produksi Bersih Padi 2025'!B716="","",'1.1 Produksi Bersih Padi 2025'!B716)</f>
        <v/>
      </c>
      <c r="C714" s="32" t="str">
        <f>IF('1.1 Produksi Bersih Padi 2025'!C716="","",'1.1 Produksi Bersih Padi 2025'!C716)</f>
        <v/>
      </c>
      <c r="D714" s="3" t="str">
        <f>IF('1.1 Produksi Bersih Padi 2025'!D716="","",'1.1 Produksi Bersih Padi 2025'!D716)</f>
        <v/>
      </c>
      <c r="E714" s="3" t="str">
        <f>IF('1.1 Produksi Bersih Padi 2025'!E716="","",'1.1 Produksi Bersih Padi 2025'!E716)</f>
        <v/>
      </c>
      <c r="F714" s="13" t="str">
        <f>'1.1 Produksi Bersih Padi 2025'!Q716</f>
        <v/>
      </c>
      <c r="G714" s="13" t="str">
        <f>'1.2 Produksi Bersih Jagung 2025'!L716</f>
        <v/>
      </c>
      <c r="H714" s="13" t="str">
        <f>'1.3 Prod Bersih Ubi Kayu 2025'!K716</f>
        <v/>
      </c>
      <c r="I714" s="13" t="str">
        <f>'1.4 Prod Bersih Ubi Jalar 2025'!K716</f>
        <v/>
      </c>
      <c r="J714" s="13" t="str">
        <f>'1.5 Prod Bersih Sagu 2025'!K716</f>
        <v/>
      </c>
      <c r="K714" s="13" t="str">
        <f>'1.6 Prod Bersih Pisang 2025'!K716</f>
        <v/>
      </c>
      <c r="L714" s="15">
        <f t="shared" si="33"/>
        <v>0</v>
      </c>
      <c r="M714" s="14" t="str">
        <f>IF(D714="","",VLOOKUP(D714,'[1]0.1 Produksi Pangan &amp; Penduduk'!$D$5:$AU$704,44,0))</f>
        <v/>
      </c>
      <c r="N714" s="26" t="str">
        <f t="shared" si="34"/>
        <v/>
      </c>
      <c r="O714" s="16"/>
      <c r="P714" s="25" t="str">
        <f t="shared" si="35"/>
        <v/>
      </c>
      <c r="Q714" s="8"/>
    </row>
    <row r="715" spans="1:17" ht="15" x14ac:dyDescent="0.25">
      <c r="A715" s="3" t="str">
        <f>IF('1.1 Produksi Bersih Padi 2025'!A717="","",'1.1 Produksi Bersih Padi 2025'!A717)</f>
        <v/>
      </c>
      <c r="B715" s="32" t="str">
        <f>IF('1.1 Produksi Bersih Padi 2025'!B717="","",'1.1 Produksi Bersih Padi 2025'!B717)</f>
        <v/>
      </c>
      <c r="C715" s="32" t="str">
        <f>IF('1.1 Produksi Bersih Padi 2025'!C717="","",'1.1 Produksi Bersih Padi 2025'!C717)</f>
        <v/>
      </c>
      <c r="D715" s="3" t="str">
        <f>IF('1.1 Produksi Bersih Padi 2025'!D717="","",'1.1 Produksi Bersih Padi 2025'!D717)</f>
        <v/>
      </c>
      <c r="E715" s="3" t="str">
        <f>IF('1.1 Produksi Bersih Padi 2025'!E717="","",'1.1 Produksi Bersih Padi 2025'!E717)</f>
        <v/>
      </c>
      <c r="F715" s="13" t="str">
        <f>'1.1 Produksi Bersih Padi 2025'!Q717</f>
        <v/>
      </c>
      <c r="G715" s="13" t="str">
        <f>'1.2 Produksi Bersih Jagung 2025'!L717</f>
        <v/>
      </c>
      <c r="H715" s="13" t="str">
        <f>'1.3 Prod Bersih Ubi Kayu 2025'!K717</f>
        <v/>
      </c>
      <c r="I715" s="13" t="str">
        <f>'1.4 Prod Bersih Ubi Jalar 2025'!K717</f>
        <v/>
      </c>
      <c r="J715" s="13" t="str">
        <f>'1.5 Prod Bersih Sagu 2025'!K717</f>
        <v/>
      </c>
      <c r="K715" s="13" t="str">
        <f>'1.6 Prod Bersih Pisang 2025'!K717</f>
        <v/>
      </c>
      <c r="L715" s="15">
        <f t="shared" si="33"/>
        <v>0</v>
      </c>
      <c r="M715" s="14" t="str">
        <f>IF(D715="","",VLOOKUP(D715,'[1]0.1 Produksi Pangan &amp; Penduduk'!$D$5:$AU$704,44,0))</f>
        <v/>
      </c>
      <c r="N715" s="26" t="str">
        <f t="shared" si="34"/>
        <v/>
      </c>
      <c r="O715" s="16"/>
      <c r="P715" s="25" t="str">
        <f t="shared" si="35"/>
        <v/>
      </c>
      <c r="Q715" s="8"/>
    </row>
    <row r="716" spans="1:17" ht="15" x14ac:dyDescent="0.25">
      <c r="A716" s="3" t="str">
        <f>IF('1.1 Produksi Bersih Padi 2025'!A718="","",'1.1 Produksi Bersih Padi 2025'!A718)</f>
        <v/>
      </c>
      <c r="B716" s="32" t="str">
        <f>IF('1.1 Produksi Bersih Padi 2025'!B718="","",'1.1 Produksi Bersih Padi 2025'!B718)</f>
        <v/>
      </c>
      <c r="C716" s="32" t="str">
        <f>IF('1.1 Produksi Bersih Padi 2025'!C718="","",'1.1 Produksi Bersih Padi 2025'!C718)</f>
        <v/>
      </c>
      <c r="D716" s="3" t="str">
        <f>IF('1.1 Produksi Bersih Padi 2025'!D718="","",'1.1 Produksi Bersih Padi 2025'!D718)</f>
        <v/>
      </c>
      <c r="E716" s="3" t="str">
        <f>IF('1.1 Produksi Bersih Padi 2025'!E718="","",'1.1 Produksi Bersih Padi 2025'!E718)</f>
        <v/>
      </c>
      <c r="F716" s="13" t="str">
        <f>'1.1 Produksi Bersih Padi 2025'!Q718</f>
        <v/>
      </c>
      <c r="G716" s="13" t="str">
        <f>'1.2 Produksi Bersih Jagung 2025'!L718</f>
        <v/>
      </c>
      <c r="H716" s="13" t="str">
        <f>'1.3 Prod Bersih Ubi Kayu 2025'!K718</f>
        <v/>
      </c>
      <c r="I716" s="13" t="str">
        <f>'1.4 Prod Bersih Ubi Jalar 2025'!K718</f>
        <v/>
      </c>
      <c r="J716" s="13" t="str">
        <f>'1.5 Prod Bersih Sagu 2025'!K718</f>
        <v/>
      </c>
      <c r="K716" s="13" t="str">
        <f>'1.6 Prod Bersih Pisang 2025'!K718</f>
        <v/>
      </c>
      <c r="L716" s="15">
        <f t="shared" si="33"/>
        <v>0</v>
      </c>
      <c r="M716" s="14" t="str">
        <f>IF(D716="","",VLOOKUP(D716,'[1]0.1 Produksi Pangan &amp; Penduduk'!$D$5:$AU$704,44,0))</f>
        <v/>
      </c>
      <c r="N716" s="26" t="str">
        <f t="shared" si="34"/>
        <v/>
      </c>
      <c r="O716" s="16"/>
      <c r="P716" s="25" t="str">
        <f t="shared" si="35"/>
        <v/>
      </c>
      <c r="Q716" s="8"/>
    </row>
    <row r="717" spans="1:17" ht="15" x14ac:dyDescent="0.25">
      <c r="A717" s="3" t="str">
        <f>IF('1.1 Produksi Bersih Padi 2025'!A719="","",'1.1 Produksi Bersih Padi 2025'!A719)</f>
        <v/>
      </c>
      <c r="B717" s="32" t="str">
        <f>IF('1.1 Produksi Bersih Padi 2025'!B719="","",'1.1 Produksi Bersih Padi 2025'!B719)</f>
        <v/>
      </c>
      <c r="C717" s="32" t="str">
        <f>IF('1.1 Produksi Bersih Padi 2025'!C719="","",'1.1 Produksi Bersih Padi 2025'!C719)</f>
        <v/>
      </c>
      <c r="D717" s="3" t="str">
        <f>IF('1.1 Produksi Bersih Padi 2025'!D719="","",'1.1 Produksi Bersih Padi 2025'!D719)</f>
        <v/>
      </c>
      <c r="E717" s="3" t="str">
        <f>IF('1.1 Produksi Bersih Padi 2025'!E719="","",'1.1 Produksi Bersih Padi 2025'!E719)</f>
        <v/>
      </c>
      <c r="F717" s="13" t="str">
        <f>'1.1 Produksi Bersih Padi 2025'!Q719</f>
        <v/>
      </c>
      <c r="G717" s="13" t="str">
        <f>'1.2 Produksi Bersih Jagung 2025'!L719</f>
        <v/>
      </c>
      <c r="H717" s="13" t="str">
        <f>'1.3 Prod Bersih Ubi Kayu 2025'!K719</f>
        <v/>
      </c>
      <c r="I717" s="13" t="str">
        <f>'1.4 Prod Bersih Ubi Jalar 2025'!K719</f>
        <v/>
      </c>
      <c r="J717" s="13" t="str">
        <f>'1.5 Prod Bersih Sagu 2025'!K719</f>
        <v/>
      </c>
      <c r="K717" s="13" t="str">
        <f>'1.6 Prod Bersih Pisang 2025'!K719</f>
        <v/>
      </c>
      <c r="L717" s="15">
        <f t="shared" si="33"/>
        <v>0</v>
      </c>
      <c r="M717" s="14" t="str">
        <f>IF(D717="","",VLOOKUP(D717,'[1]0.1 Produksi Pangan &amp; Penduduk'!$D$5:$AU$704,44,0))</f>
        <v/>
      </c>
      <c r="N717" s="26" t="str">
        <f t="shared" si="34"/>
        <v/>
      </c>
      <c r="O717" s="16"/>
      <c r="P717" s="25" t="str">
        <f t="shared" si="35"/>
        <v/>
      </c>
      <c r="Q717" s="8"/>
    </row>
    <row r="718" spans="1:17" ht="15" x14ac:dyDescent="0.25">
      <c r="A718" s="3" t="str">
        <f>IF('1.1 Produksi Bersih Padi 2025'!A720="","",'1.1 Produksi Bersih Padi 2025'!A720)</f>
        <v/>
      </c>
      <c r="B718" s="32" t="str">
        <f>IF('1.1 Produksi Bersih Padi 2025'!B720="","",'1.1 Produksi Bersih Padi 2025'!B720)</f>
        <v/>
      </c>
      <c r="C718" s="32" t="str">
        <f>IF('1.1 Produksi Bersih Padi 2025'!C720="","",'1.1 Produksi Bersih Padi 2025'!C720)</f>
        <v/>
      </c>
      <c r="D718" s="3" t="str">
        <f>IF('1.1 Produksi Bersih Padi 2025'!D720="","",'1.1 Produksi Bersih Padi 2025'!D720)</f>
        <v/>
      </c>
      <c r="E718" s="3" t="str">
        <f>IF('1.1 Produksi Bersih Padi 2025'!E720="","",'1.1 Produksi Bersih Padi 2025'!E720)</f>
        <v/>
      </c>
      <c r="F718" s="13" t="str">
        <f>'1.1 Produksi Bersih Padi 2025'!Q720</f>
        <v/>
      </c>
      <c r="G718" s="13" t="str">
        <f>'1.2 Produksi Bersih Jagung 2025'!L720</f>
        <v/>
      </c>
      <c r="H718" s="13" t="str">
        <f>'1.3 Prod Bersih Ubi Kayu 2025'!K720</f>
        <v/>
      </c>
      <c r="I718" s="13" t="str">
        <f>'1.4 Prod Bersih Ubi Jalar 2025'!K720</f>
        <v/>
      </c>
      <c r="J718" s="13" t="str">
        <f>'1.5 Prod Bersih Sagu 2025'!K720</f>
        <v/>
      </c>
      <c r="K718" s="13" t="str">
        <f>'1.6 Prod Bersih Pisang 2025'!K720</f>
        <v/>
      </c>
      <c r="L718" s="15">
        <f t="shared" si="33"/>
        <v>0</v>
      </c>
      <c r="M718" s="14" t="str">
        <f>IF(D718="","",VLOOKUP(D718,'[1]0.1 Produksi Pangan &amp; Penduduk'!$D$5:$AU$704,44,0))</f>
        <v/>
      </c>
      <c r="N718" s="26" t="str">
        <f t="shared" si="34"/>
        <v/>
      </c>
      <c r="O718" s="16"/>
      <c r="P718" s="25" t="str">
        <f t="shared" si="35"/>
        <v/>
      </c>
      <c r="Q718" s="8"/>
    </row>
    <row r="719" spans="1:17" ht="15" x14ac:dyDescent="0.25">
      <c r="A719" s="3" t="str">
        <f>IF('1.1 Produksi Bersih Padi 2025'!A721="","",'1.1 Produksi Bersih Padi 2025'!A721)</f>
        <v/>
      </c>
      <c r="B719" s="32" t="str">
        <f>IF('1.1 Produksi Bersih Padi 2025'!B721="","",'1.1 Produksi Bersih Padi 2025'!B721)</f>
        <v/>
      </c>
      <c r="C719" s="32" t="str">
        <f>IF('1.1 Produksi Bersih Padi 2025'!C721="","",'1.1 Produksi Bersih Padi 2025'!C721)</f>
        <v/>
      </c>
      <c r="D719" s="3" t="str">
        <f>IF('1.1 Produksi Bersih Padi 2025'!D721="","",'1.1 Produksi Bersih Padi 2025'!D721)</f>
        <v/>
      </c>
      <c r="E719" s="3" t="str">
        <f>IF('1.1 Produksi Bersih Padi 2025'!E721="","",'1.1 Produksi Bersih Padi 2025'!E721)</f>
        <v/>
      </c>
      <c r="F719" s="13" t="str">
        <f>'1.1 Produksi Bersih Padi 2025'!Q721</f>
        <v/>
      </c>
      <c r="G719" s="13" t="str">
        <f>'1.2 Produksi Bersih Jagung 2025'!L721</f>
        <v/>
      </c>
      <c r="H719" s="13" t="str">
        <f>'1.3 Prod Bersih Ubi Kayu 2025'!K721</f>
        <v/>
      </c>
      <c r="I719" s="13" t="str">
        <f>'1.4 Prod Bersih Ubi Jalar 2025'!K721</f>
        <v/>
      </c>
      <c r="J719" s="13" t="str">
        <f>'1.5 Prod Bersih Sagu 2025'!K721</f>
        <v/>
      </c>
      <c r="K719" s="13" t="str">
        <f>'1.6 Prod Bersih Pisang 2025'!K721</f>
        <v/>
      </c>
      <c r="L719" s="15">
        <f t="shared" si="33"/>
        <v>0</v>
      </c>
      <c r="M719" s="14" t="str">
        <f>IF(D719="","",VLOOKUP(D719,'[1]0.1 Produksi Pangan &amp; Penduduk'!$D$5:$AU$704,44,0))</f>
        <v/>
      </c>
      <c r="N719" s="26" t="str">
        <f t="shared" si="34"/>
        <v/>
      </c>
      <c r="O719" s="16"/>
      <c r="P719" s="25" t="str">
        <f t="shared" si="35"/>
        <v/>
      </c>
      <c r="Q719" s="8"/>
    </row>
    <row r="720" spans="1:17" ht="15" x14ac:dyDescent="0.25">
      <c r="A720" s="3" t="str">
        <f>IF('1.1 Produksi Bersih Padi 2025'!A722="","",'1.1 Produksi Bersih Padi 2025'!A722)</f>
        <v/>
      </c>
      <c r="B720" s="32" t="str">
        <f>IF('1.1 Produksi Bersih Padi 2025'!B722="","",'1.1 Produksi Bersih Padi 2025'!B722)</f>
        <v/>
      </c>
      <c r="C720" s="32" t="str">
        <f>IF('1.1 Produksi Bersih Padi 2025'!C722="","",'1.1 Produksi Bersih Padi 2025'!C722)</f>
        <v/>
      </c>
      <c r="D720" s="3" t="str">
        <f>IF('1.1 Produksi Bersih Padi 2025'!D722="","",'1.1 Produksi Bersih Padi 2025'!D722)</f>
        <v/>
      </c>
      <c r="E720" s="3" t="str">
        <f>IF('1.1 Produksi Bersih Padi 2025'!E722="","",'1.1 Produksi Bersih Padi 2025'!E722)</f>
        <v/>
      </c>
      <c r="F720" s="13" t="str">
        <f>'1.1 Produksi Bersih Padi 2025'!Q722</f>
        <v/>
      </c>
      <c r="G720" s="13" t="str">
        <f>'1.2 Produksi Bersih Jagung 2025'!L722</f>
        <v/>
      </c>
      <c r="H720" s="13" t="str">
        <f>'1.3 Prod Bersih Ubi Kayu 2025'!K722</f>
        <v/>
      </c>
      <c r="I720" s="13" t="str">
        <f>'1.4 Prod Bersih Ubi Jalar 2025'!K722</f>
        <v/>
      </c>
      <c r="J720" s="13" t="str">
        <f>'1.5 Prod Bersih Sagu 2025'!K722</f>
        <v/>
      </c>
      <c r="K720" s="13" t="str">
        <f>'1.6 Prod Bersih Pisang 2025'!K722</f>
        <v/>
      </c>
      <c r="L720" s="15">
        <f t="shared" si="33"/>
        <v>0</v>
      </c>
      <c r="M720" s="14" t="str">
        <f>IF(D720="","",VLOOKUP(D720,'[1]0.1 Produksi Pangan &amp; Penduduk'!$D$5:$AU$704,44,0))</f>
        <v/>
      </c>
      <c r="N720" s="26" t="str">
        <f t="shared" si="34"/>
        <v/>
      </c>
      <c r="O720" s="16"/>
      <c r="P720" s="25" t="str">
        <f t="shared" si="35"/>
        <v/>
      </c>
      <c r="Q720" s="8"/>
    </row>
    <row r="721" spans="1:17" ht="15" x14ac:dyDescent="0.25">
      <c r="A721" s="3" t="str">
        <f>IF('1.1 Produksi Bersih Padi 2025'!A723="","",'1.1 Produksi Bersih Padi 2025'!A723)</f>
        <v/>
      </c>
      <c r="B721" s="32" t="str">
        <f>IF('1.1 Produksi Bersih Padi 2025'!B723="","",'1.1 Produksi Bersih Padi 2025'!B723)</f>
        <v/>
      </c>
      <c r="C721" s="32" t="str">
        <f>IF('1.1 Produksi Bersih Padi 2025'!C723="","",'1.1 Produksi Bersih Padi 2025'!C723)</f>
        <v/>
      </c>
      <c r="D721" s="3" t="str">
        <f>IF('1.1 Produksi Bersih Padi 2025'!D723="","",'1.1 Produksi Bersih Padi 2025'!D723)</f>
        <v/>
      </c>
      <c r="E721" s="3" t="str">
        <f>IF('1.1 Produksi Bersih Padi 2025'!E723="","",'1.1 Produksi Bersih Padi 2025'!E723)</f>
        <v/>
      </c>
      <c r="F721" s="13" t="str">
        <f>'1.1 Produksi Bersih Padi 2025'!Q723</f>
        <v/>
      </c>
      <c r="G721" s="13" t="str">
        <f>'1.2 Produksi Bersih Jagung 2025'!L723</f>
        <v/>
      </c>
      <c r="H721" s="13" t="str">
        <f>'1.3 Prod Bersih Ubi Kayu 2025'!K723</f>
        <v/>
      </c>
      <c r="I721" s="13" t="str">
        <f>'1.4 Prod Bersih Ubi Jalar 2025'!K723</f>
        <v/>
      </c>
      <c r="J721" s="13" t="str">
        <f>'1.5 Prod Bersih Sagu 2025'!K723</f>
        <v/>
      </c>
      <c r="K721" s="13" t="str">
        <f>'1.6 Prod Bersih Pisang 2025'!K723</f>
        <v/>
      </c>
      <c r="L721" s="15">
        <f t="shared" si="33"/>
        <v>0</v>
      </c>
      <c r="M721" s="14" t="str">
        <f>IF(D721="","",VLOOKUP(D721,'[1]0.1 Produksi Pangan &amp; Penduduk'!$D$5:$AU$704,44,0))</f>
        <v/>
      </c>
      <c r="N721" s="26" t="str">
        <f t="shared" si="34"/>
        <v/>
      </c>
      <c r="O721" s="16"/>
      <c r="P721" s="25" t="str">
        <f t="shared" si="35"/>
        <v/>
      </c>
      <c r="Q721" s="8"/>
    </row>
    <row r="722" spans="1:17" ht="15" x14ac:dyDescent="0.25">
      <c r="A722" s="3" t="str">
        <f>IF('1.1 Produksi Bersih Padi 2025'!A724="","",'1.1 Produksi Bersih Padi 2025'!A724)</f>
        <v/>
      </c>
      <c r="B722" s="32" t="str">
        <f>IF('1.1 Produksi Bersih Padi 2025'!B724="","",'1.1 Produksi Bersih Padi 2025'!B724)</f>
        <v/>
      </c>
      <c r="C722" s="32" t="str">
        <f>IF('1.1 Produksi Bersih Padi 2025'!C724="","",'1.1 Produksi Bersih Padi 2025'!C724)</f>
        <v/>
      </c>
      <c r="D722" s="3" t="str">
        <f>IF('1.1 Produksi Bersih Padi 2025'!D724="","",'1.1 Produksi Bersih Padi 2025'!D724)</f>
        <v/>
      </c>
      <c r="E722" s="3" t="str">
        <f>IF('1.1 Produksi Bersih Padi 2025'!E724="","",'1.1 Produksi Bersih Padi 2025'!E724)</f>
        <v/>
      </c>
      <c r="F722" s="13" t="str">
        <f>'1.1 Produksi Bersih Padi 2025'!Q724</f>
        <v/>
      </c>
      <c r="G722" s="13" t="str">
        <f>'1.2 Produksi Bersih Jagung 2025'!L724</f>
        <v/>
      </c>
      <c r="H722" s="13" t="str">
        <f>'1.3 Prod Bersih Ubi Kayu 2025'!K724</f>
        <v/>
      </c>
      <c r="I722" s="13" t="str">
        <f>'1.4 Prod Bersih Ubi Jalar 2025'!K724</f>
        <v/>
      </c>
      <c r="J722" s="13" t="str">
        <f>'1.5 Prod Bersih Sagu 2025'!K724</f>
        <v/>
      </c>
      <c r="K722" s="13" t="str">
        <f>'1.6 Prod Bersih Pisang 2025'!K724</f>
        <v/>
      </c>
      <c r="L722" s="15">
        <f t="shared" si="33"/>
        <v>0</v>
      </c>
      <c r="M722" s="14" t="str">
        <f>IF(D722="","",VLOOKUP(D722,'[1]0.1 Produksi Pangan &amp; Penduduk'!$D$5:$AU$704,44,0))</f>
        <v/>
      </c>
      <c r="N722" s="26" t="str">
        <f t="shared" si="34"/>
        <v/>
      </c>
      <c r="O722" s="16"/>
      <c r="P722" s="25" t="str">
        <f t="shared" si="35"/>
        <v/>
      </c>
      <c r="Q722" s="8"/>
    </row>
    <row r="723" spans="1:17" ht="15" x14ac:dyDescent="0.25">
      <c r="A723" s="3" t="str">
        <f>IF('1.1 Produksi Bersih Padi 2025'!A725="","",'1.1 Produksi Bersih Padi 2025'!A725)</f>
        <v/>
      </c>
      <c r="B723" s="32" t="str">
        <f>IF('1.1 Produksi Bersih Padi 2025'!B725="","",'1.1 Produksi Bersih Padi 2025'!B725)</f>
        <v/>
      </c>
      <c r="C723" s="32" t="str">
        <f>IF('1.1 Produksi Bersih Padi 2025'!C725="","",'1.1 Produksi Bersih Padi 2025'!C725)</f>
        <v/>
      </c>
      <c r="D723" s="3" t="str">
        <f>IF('1.1 Produksi Bersih Padi 2025'!D725="","",'1.1 Produksi Bersih Padi 2025'!D725)</f>
        <v/>
      </c>
      <c r="E723" s="3" t="str">
        <f>IF('1.1 Produksi Bersih Padi 2025'!E725="","",'1.1 Produksi Bersih Padi 2025'!E725)</f>
        <v/>
      </c>
      <c r="F723" s="13" t="str">
        <f>'1.1 Produksi Bersih Padi 2025'!Q725</f>
        <v/>
      </c>
      <c r="G723" s="13" t="str">
        <f>'1.2 Produksi Bersih Jagung 2025'!L725</f>
        <v/>
      </c>
      <c r="H723" s="13" t="str">
        <f>'1.3 Prod Bersih Ubi Kayu 2025'!K725</f>
        <v/>
      </c>
      <c r="I723" s="13" t="str">
        <f>'1.4 Prod Bersih Ubi Jalar 2025'!K725</f>
        <v/>
      </c>
      <c r="J723" s="13" t="str">
        <f>'1.5 Prod Bersih Sagu 2025'!K725</f>
        <v/>
      </c>
      <c r="K723" s="13" t="str">
        <f>'1.6 Prod Bersih Pisang 2025'!K725</f>
        <v/>
      </c>
      <c r="L723" s="15">
        <f t="shared" si="33"/>
        <v>0</v>
      </c>
      <c r="M723" s="14" t="str">
        <f>IF(D723="","",VLOOKUP(D723,'[1]0.1 Produksi Pangan &amp; Penduduk'!$D$5:$AU$704,44,0))</f>
        <v/>
      </c>
      <c r="N723" s="26" t="str">
        <f t="shared" si="34"/>
        <v/>
      </c>
      <c r="O723" s="16"/>
      <c r="P723" s="25" t="str">
        <f t="shared" si="35"/>
        <v/>
      </c>
      <c r="Q723" s="8"/>
    </row>
    <row r="724" spans="1:17" ht="15" x14ac:dyDescent="0.25">
      <c r="A724" s="3" t="str">
        <f>IF('1.1 Produksi Bersih Padi 2025'!A726="","",'1.1 Produksi Bersih Padi 2025'!A726)</f>
        <v/>
      </c>
      <c r="B724" s="32" t="str">
        <f>IF('1.1 Produksi Bersih Padi 2025'!B726="","",'1.1 Produksi Bersih Padi 2025'!B726)</f>
        <v/>
      </c>
      <c r="C724" s="32" t="str">
        <f>IF('1.1 Produksi Bersih Padi 2025'!C726="","",'1.1 Produksi Bersih Padi 2025'!C726)</f>
        <v/>
      </c>
      <c r="D724" s="3" t="str">
        <f>IF('1.1 Produksi Bersih Padi 2025'!D726="","",'1.1 Produksi Bersih Padi 2025'!D726)</f>
        <v/>
      </c>
      <c r="E724" s="3" t="str">
        <f>IF('1.1 Produksi Bersih Padi 2025'!E726="","",'1.1 Produksi Bersih Padi 2025'!E726)</f>
        <v/>
      </c>
      <c r="F724" s="13" t="str">
        <f>'1.1 Produksi Bersih Padi 2025'!Q726</f>
        <v/>
      </c>
      <c r="G724" s="13" t="str">
        <f>'1.2 Produksi Bersih Jagung 2025'!L726</f>
        <v/>
      </c>
      <c r="H724" s="13" t="str">
        <f>'1.3 Prod Bersih Ubi Kayu 2025'!K726</f>
        <v/>
      </c>
      <c r="I724" s="13" t="str">
        <f>'1.4 Prod Bersih Ubi Jalar 2025'!K726</f>
        <v/>
      </c>
      <c r="J724" s="13" t="str">
        <f>'1.5 Prod Bersih Sagu 2025'!K726</f>
        <v/>
      </c>
      <c r="K724" s="13" t="str">
        <f>'1.6 Prod Bersih Pisang 2025'!K726</f>
        <v/>
      </c>
      <c r="L724" s="15">
        <f t="shared" si="33"/>
        <v>0</v>
      </c>
      <c r="M724" s="14" t="str">
        <f>IF(D724="","",VLOOKUP(D724,'[1]0.1 Produksi Pangan &amp; Penduduk'!$D$5:$AU$704,44,0))</f>
        <v/>
      </c>
      <c r="N724" s="26" t="str">
        <f t="shared" si="34"/>
        <v/>
      </c>
      <c r="O724" s="16"/>
      <c r="P724" s="25" t="str">
        <f t="shared" si="35"/>
        <v/>
      </c>
      <c r="Q724" s="8"/>
    </row>
    <row r="725" spans="1:17" ht="15" x14ac:dyDescent="0.25">
      <c r="A725" s="3" t="str">
        <f>IF('1.1 Produksi Bersih Padi 2025'!A727="","",'1.1 Produksi Bersih Padi 2025'!A727)</f>
        <v/>
      </c>
      <c r="B725" s="32" t="str">
        <f>IF('1.1 Produksi Bersih Padi 2025'!B727="","",'1.1 Produksi Bersih Padi 2025'!B727)</f>
        <v/>
      </c>
      <c r="C725" s="32" t="str">
        <f>IF('1.1 Produksi Bersih Padi 2025'!C727="","",'1.1 Produksi Bersih Padi 2025'!C727)</f>
        <v/>
      </c>
      <c r="D725" s="3" t="str">
        <f>IF('1.1 Produksi Bersih Padi 2025'!D727="","",'1.1 Produksi Bersih Padi 2025'!D727)</f>
        <v/>
      </c>
      <c r="E725" s="3" t="str">
        <f>IF('1.1 Produksi Bersih Padi 2025'!E727="","",'1.1 Produksi Bersih Padi 2025'!E727)</f>
        <v/>
      </c>
      <c r="F725" s="13" t="str">
        <f>'1.1 Produksi Bersih Padi 2025'!Q727</f>
        <v/>
      </c>
      <c r="G725" s="13" t="str">
        <f>'1.2 Produksi Bersih Jagung 2025'!L727</f>
        <v/>
      </c>
      <c r="H725" s="13" t="str">
        <f>'1.3 Prod Bersih Ubi Kayu 2025'!K727</f>
        <v/>
      </c>
      <c r="I725" s="13" t="str">
        <f>'1.4 Prod Bersih Ubi Jalar 2025'!K727</f>
        <v/>
      </c>
      <c r="J725" s="13" t="str">
        <f>'1.5 Prod Bersih Sagu 2025'!K727</f>
        <v/>
      </c>
      <c r="K725" s="13" t="str">
        <f>'1.6 Prod Bersih Pisang 2025'!K727</f>
        <v/>
      </c>
      <c r="L725" s="15">
        <f t="shared" si="33"/>
        <v>0</v>
      </c>
      <c r="M725" s="14" t="str">
        <f>IF(D725="","",VLOOKUP(D725,'[1]0.1 Produksi Pangan &amp; Penduduk'!$D$5:$AU$704,44,0))</f>
        <v/>
      </c>
      <c r="N725" s="26" t="str">
        <f t="shared" si="34"/>
        <v/>
      </c>
      <c r="O725" s="16"/>
      <c r="P725" s="25" t="str">
        <f t="shared" si="35"/>
        <v/>
      </c>
      <c r="Q725" s="8"/>
    </row>
    <row r="726" spans="1:17" ht="15" x14ac:dyDescent="0.25">
      <c r="A726" s="3" t="str">
        <f>IF('1.1 Produksi Bersih Padi 2025'!A728="","",'1.1 Produksi Bersih Padi 2025'!A728)</f>
        <v/>
      </c>
      <c r="B726" s="32" t="str">
        <f>IF('1.1 Produksi Bersih Padi 2025'!B728="","",'1.1 Produksi Bersih Padi 2025'!B728)</f>
        <v/>
      </c>
      <c r="C726" s="32" t="str">
        <f>IF('1.1 Produksi Bersih Padi 2025'!C728="","",'1.1 Produksi Bersih Padi 2025'!C728)</f>
        <v/>
      </c>
      <c r="D726" s="3" t="str">
        <f>IF('1.1 Produksi Bersih Padi 2025'!D728="","",'1.1 Produksi Bersih Padi 2025'!D728)</f>
        <v/>
      </c>
      <c r="E726" s="3" t="str">
        <f>IF('1.1 Produksi Bersih Padi 2025'!E728="","",'1.1 Produksi Bersih Padi 2025'!E728)</f>
        <v/>
      </c>
      <c r="F726" s="13" t="str">
        <f>'1.1 Produksi Bersih Padi 2025'!Q728</f>
        <v/>
      </c>
      <c r="G726" s="13" t="str">
        <f>'1.2 Produksi Bersih Jagung 2025'!L728</f>
        <v/>
      </c>
      <c r="H726" s="13" t="str">
        <f>'1.3 Prod Bersih Ubi Kayu 2025'!K728</f>
        <v/>
      </c>
      <c r="I726" s="13" t="str">
        <f>'1.4 Prod Bersih Ubi Jalar 2025'!K728</f>
        <v/>
      </c>
      <c r="J726" s="13" t="str">
        <f>'1.5 Prod Bersih Sagu 2025'!K728</f>
        <v/>
      </c>
      <c r="K726" s="13" t="str">
        <f>'1.6 Prod Bersih Pisang 2025'!K728</f>
        <v/>
      </c>
      <c r="L726" s="15">
        <f t="shared" si="33"/>
        <v>0</v>
      </c>
      <c r="M726" s="14" t="str">
        <f>IF(D726="","",VLOOKUP(D726,'[1]0.1 Produksi Pangan &amp; Penduduk'!$D$5:$AU$704,44,0))</f>
        <v/>
      </c>
      <c r="N726" s="26" t="str">
        <f t="shared" si="34"/>
        <v/>
      </c>
      <c r="O726" s="16"/>
      <c r="P726" s="25" t="str">
        <f t="shared" si="35"/>
        <v/>
      </c>
      <c r="Q726" s="8"/>
    </row>
    <row r="727" spans="1:17" ht="15" x14ac:dyDescent="0.25">
      <c r="A727" s="3" t="str">
        <f>IF('1.1 Produksi Bersih Padi 2025'!A729="","",'1.1 Produksi Bersih Padi 2025'!A729)</f>
        <v/>
      </c>
      <c r="B727" s="32" t="str">
        <f>IF('1.1 Produksi Bersih Padi 2025'!B729="","",'1.1 Produksi Bersih Padi 2025'!B729)</f>
        <v/>
      </c>
      <c r="C727" s="32" t="str">
        <f>IF('1.1 Produksi Bersih Padi 2025'!C729="","",'1.1 Produksi Bersih Padi 2025'!C729)</f>
        <v/>
      </c>
      <c r="D727" s="3" t="str">
        <f>IF('1.1 Produksi Bersih Padi 2025'!D729="","",'1.1 Produksi Bersih Padi 2025'!D729)</f>
        <v/>
      </c>
      <c r="E727" s="3" t="str">
        <f>IF('1.1 Produksi Bersih Padi 2025'!E729="","",'1.1 Produksi Bersih Padi 2025'!E729)</f>
        <v/>
      </c>
      <c r="F727" s="13" t="str">
        <f>'1.1 Produksi Bersih Padi 2025'!Q729</f>
        <v/>
      </c>
      <c r="G727" s="13" t="str">
        <f>'1.2 Produksi Bersih Jagung 2025'!L729</f>
        <v/>
      </c>
      <c r="H727" s="13" t="str">
        <f>'1.3 Prod Bersih Ubi Kayu 2025'!K729</f>
        <v/>
      </c>
      <c r="I727" s="13" t="str">
        <f>'1.4 Prod Bersih Ubi Jalar 2025'!K729</f>
        <v/>
      </c>
      <c r="J727" s="13" t="str">
        <f>'1.5 Prod Bersih Sagu 2025'!K729</f>
        <v/>
      </c>
      <c r="K727" s="13" t="str">
        <f>'1.6 Prod Bersih Pisang 2025'!K729</f>
        <v/>
      </c>
      <c r="L727" s="15">
        <f t="shared" si="33"/>
        <v>0</v>
      </c>
      <c r="M727" s="14" t="str">
        <f>IF(D727="","",VLOOKUP(D727,'[1]0.1 Produksi Pangan &amp; Penduduk'!$D$5:$AU$704,44,0))</f>
        <v/>
      </c>
      <c r="N727" s="26" t="str">
        <f t="shared" si="34"/>
        <v/>
      </c>
      <c r="O727" s="16"/>
      <c r="P727" s="25" t="str">
        <f t="shared" si="35"/>
        <v/>
      </c>
      <c r="Q727" s="8"/>
    </row>
    <row r="728" spans="1:17" ht="15" x14ac:dyDescent="0.25">
      <c r="A728" s="3" t="str">
        <f>IF('1.1 Produksi Bersih Padi 2025'!A730="","",'1.1 Produksi Bersih Padi 2025'!A730)</f>
        <v/>
      </c>
      <c r="B728" s="32" t="str">
        <f>IF('1.1 Produksi Bersih Padi 2025'!B730="","",'1.1 Produksi Bersih Padi 2025'!B730)</f>
        <v/>
      </c>
      <c r="C728" s="32" t="str">
        <f>IF('1.1 Produksi Bersih Padi 2025'!C730="","",'1.1 Produksi Bersih Padi 2025'!C730)</f>
        <v/>
      </c>
      <c r="D728" s="3" t="str">
        <f>IF('1.1 Produksi Bersih Padi 2025'!D730="","",'1.1 Produksi Bersih Padi 2025'!D730)</f>
        <v/>
      </c>
      <c r="E728" s="3" t="str">
        <f>IF('1.1 Produksi Bersih Padi 2025'!E730="","",'1.1 Produksi Bersih Padi 2025'!E730)</f>
        <v/>
      </c>
      <c r="F728" s="13" t="str">
        <f>'1.1 Produksi Bersih Padi 2025'!Q730</f>
        <v/>
      </c>
      <c r="G728" s="13" t="str">
        <f>'1.2 Produksi Bersih Jagung 2025'!L730</f>
        <v/>
      </c>
      <c r="H728" s="13" t="str">
        <f>'1.3 Prod Bersih Ubi Kayu 2025'!K730</f>
        <v/>
      </c>
      <c r="I728" s="13" t="str">
        <f>'1.4 Prod Bersih Ubi Jalar 2025'!K730</f>
        <v/>
      </c>
      <c r="J728" s="13" t="str">
        <f>'1.5 Prod Bersih Sagu 2025'!K730</f>
        <v/>
      </c>
      <c r="K728" s="13" t="str">
        <f>'1.6 Prod Bersih Pisang 2025'!K730</f>
        <v/>
      </c>
      <c r="L728" s="15">
        <f t="shared" si="33"/>
        <v>0</v>
      </c>
      <c r="M728" s="14" t="str">
        <f>IF(D728="","",VLOOKUP(D728,'[1]0.1 Produksi Pangan &amp; Penduduk'!$D$5:$AU$704,44,0))</f>
        <v/>
      </c>
      <c r="N728" s="26" t="str">
        <f t="shared" si="34"/>
        <v/>
      </c>
      <c r="O728" s="16"/>
      <c r="P728" s="25" t="str">
        <f t="shared" si="35"/>
        <v/>
      </c>
      <c r="Q728" s="8"/>
    </row>
    <row r="729" spans="1:17" ht="15" x14ac:dyDescent="0.25">
      <c r="A729" s="3" t="str">
        <f>IF('1.1 Produksi Bersih Padi 2025'!A731="","",'1.1 Produksi Bersih Padi 2025'!A731)</f>
        <v/>
      </c>
      <c r="B729" s="32" t="str">
        <f>IF('1.1 Produksi Bersih Padi 2025'!B731="","",'1.1 Produksi Bersih Padi 2025'!B731)</f>
        <v/>
      </c>
      <c r="C729" s="32" t="str">
        <f>IF('1.1 Produksi Bersih Padi 2025'!C731="","",'1.1 Produksi Bersih Padi 2025'!C731)</f>
        <v/>
      </c>
      <c r="D729" s="3" t="str">
        <f>IF('1.1 Produksi Bersih Padi 2025'!D731="","",'1.1 Produksi Bersih Padi 2025'!D731)</f>
        <v/>
      </c>
      <c r="E729" s="3" t="str">
        <f>IF('1.1 Produksi Bersih Padi 2025'!E731="","",'1.1 Produksi Bersih Padi 2025'!E731)</f>
        <v/>
      </c>
      <c r="F729" s="13" t="str">
        <f>'1.1 Produksi Bersih Padi 2025'!Q731</f>
        <v/>
      </c>
      <c r="G729" s="13" t="str">
        <f>'1.2 Produksi Bersih Jagung 2025'!L731</f>
        <v/>
      </c>
      <c r="H729" s="13" t="str">
        <f>'1.3 Prod Bersih Ubi Kayu 2025'!K731</f>
        <v/>
      </c>
      <c r="I729" s="13" t="str">
        <f>'1.4 Prod Bersih Ubi Jalar 2025'!K731</f>
        <v/>
      </c>
      <c r="J729" s="13" t="str">
        <f>'1.5 Prod Bersih Sagu 2025'!K731</f>
        <v/>
      </c>
      <c r="K729" s="13" t="str">
        <f>'1.6 Prod Bersih Pisang 2025'!K731</f>
        <v/>
      </c>
      <c r="L729" s="15">
        <f t="shared" si="33"/>
        <v>0</v>
      </c>
      <c r="M729" s="14" t="str">
        <f>IF(D729="","",VLOOKUP(D729,'[1]0.1 Produksi Pangan &amp; Penduduk'!$D$5:$AU$704,44,0))</f>
        <v/>
      </c>
      <c r="N729" s="26" t="str">
        <f t="shared" si="34"/>
        <v/>
      </c>
      <c r="O729" s="16"/>
      <c r="P729" s="25" t="str">
        <f t="shared" si="35"/>
        <v/>
      </c>
      <c r="Q729" s="8"/>
    </row>
    <row r="730" spans="1:17" ht="15" x14ac:dyDescent="0.25">
      <c r="A730" s="3" t="str">
        <f>IF('1.1 Produksi Bersih Padi 2025'!A732="","",'1.1 Produksi Bersih Padi 2025'!A732)</f>
        <v/>
      </c>
      <c r="B730" s="32" t="str">
        <f>IF('1.1 Produksi Bersih Padi 2025'!B732="","",'1.1 Produksi Bersih Padi 2025'!B732)</f>
        <v/>
      </c>
      <c r="C730" s="32" t="str">
        <f>IF('1.1 Produksi Bersih Padi 2025'!C732="","",'1.1 Produksi Bersih Padi 2025'!C732)</f>
        <v/>
      </c>
      <c r="D730" s="3" t="str">
        <f>IF('1.1 Produksi Bersih Padi 2025'!D732="","",'1.1 Produksi Bersih Padi 2025'!D732)</f>
        <v/>
      </c>
      <c r="E730" s="3" t="str">
        <f>IF('1.1 Produksi Bersih Padi 2025'!E732="","",'1.1 Produksi Bersih Padi 2025'!E732)</f>
        <v/>
      </c>
      <c r="F730" s="13" t="str">
        <f>'1.1 Produksi Bersih Padi 2025'!Q732</f>
        <v/>
      </c>
      <c r="G730" s="13" t="str">
        <f>'1.2 Produksi Bersih Jagung 2025'!L732</f>
        <v/>
      </c>
      <c r="H730" s="13" t="str">
        <f>'1.3 Prod Bersih Ubi Kayu 2025'!K732</f>
        <v/>
      </c>
      <c r="I730" s="13" t="str">
        <f>'1.4 Prod Bersih Ubi Jalar 2025'!K732</f>
        <v/>
      </c>
      <c r="J730" s="13" t="str">
        <f>'1.5 Prod Bersih Sagu 2025'!K732</f>
        <v/>
      </c>
      <c r="K730" s="13" t="str">
        <f>'1.6 Prod Bersih Pisang 2025'!K732</f>
        <v/>
      </c>
      <c r="L730" s="15">
        <f t="shared" si="33"/>
        <v>0</v>
      </c>
      <c r="M730" s="14" t="str">
        <f>IF(D730="","",VLOOKUP(D730,'[1]0.1 Produksi Pangan &amp; Penduduk'!$D$5:$AU$704,44,0))</f>
        <v/>
      </c>
      <c r="N730" s="26" t="str">
        <f t="shared" si="34"/>
        <v/>
      </c>
      <c r="O730" s="16"/>
      <c r="P730" s="25" t="str">
        <f t="shared" si="35"/>
        <v/>
      </c>
      <c r="Q730" s="8"/>
    </row>
    <row r="731" spans="1:17" ht="15" x14ac:dyDescent="0.25">
      <c r="A731" s="3" t="str">
        <f>IF('1.1 Produksi Bersih Padi 2025'!A733="","",'1.1 Produksi Bersih Padi 2025'!A733)</f>
        <v/>
      </c>
      <c r="B731" s="32" t="str">
        <f>IF('1.1 Produksi Bersih Padi 2025'!B733="","",'1.1 Produksi Bersih Padi 2025'!B733)</f>
        <v/>
      </c>
      <c r="C731" s="32" t="str">
        <f>IF('1.1 Produksi Bersih Padi 2025'!C733="","",'1.1 Produksi Bersih Padi 2025'!C733)</f>
        <v/>
      </c>
      <c r="D731" s="3" t="str">
        <f>IF('1.1 Produksi Bersih Padi 2025'!D733="","",'1.1 Produksi Bersih Padi 2025'!D733)</f>
        <v/>
      </c>
      <c r="E731" s="3" t="str">
        <f>IF('1.1 Produksi Bersih Padi 2025'!E733="","",'1.1 Produksi Bersih Padi 2025'!E733)</f>
        <v/>
      </c>
      <c r="F731" s="13" t="str">
        <f>'1.1 Produksi Bersih Padi 2025'!Q733</f>
        <v/>
      </c>
      <c r="G731" s="13" t="str">
        <f>'1.2 Produksi Bersih Jagung 2025'!L733</f>
        <v/>
      </c>
      <c r="H731" s="13" t="str">
        <f>'1.3 Prod Bersih Ubi Kayu 2025'!K733</f>
        <v/>
      </c>
      <c r="I731" s="13" t="str">
        <f>'1.4 Prod Bersih Ubi Jalar 2025'!K733</f>
        <v/>
      </c>
      <c r="J731" s="13" t="str">
        <f>'1.5 Prod Bersih Sagu 2025'!K733</f>
        <v/>
      </c>
      <c r="K731" s="13" t="str">
        <f>'1.6 Prod Bersih Pisang 2025'!K733</f>
        <v/>
      </c>
      <c r="L731" s="15">
        <f t="shared" si="33"/>
        <v>0</v>
      </c>
      <c r="M731" s="14" t="str">
        <f>IF(D731="","",VLOOKUP(D731,'[1]0.1 Produksi Pangan &amp; Penduduk'!$D$5:$AU$704,44,0))</f>
        <v/>
      </c>
      <c r="N731" s="26" t="str">
        <f t="shared" si="34"/>
        <v/>
      </c>
      <c r="O731" s="16"/>
      <c r="P731" s="25" t="str">
        <f t="shared" si="35"/>
        <v/>
      </c>
      <c r="Q731" s="8"/>
    </row>
    <row r="732" spans="1:17" ht="15" x14ac:dyDescent="0.25">
      <c r="A732" s="3" t="str">
        <f>IF('1.1 Produksi Bersih Padi 2025'!A734="","",'1.1 Produksi Bersih Padi 2025'!A734)</f>
        <v/>
      </c>
      <c r="B732" s="32" t="str">
        <f>IF('1.1 Produksi Bersih Padi 2025'!B734="","",'1.1 Produksi Bersih Padi 2025'!B734)</f>
        <v/>
      </c>
      <c r="C732" s="32" t="str">
        <f>IF('1.1 Produksi Bersih Padi 2025'!C734="","",'1.1 Produksi Bersih Padi 2025'!C734)</f>
        <v/>
      </c>
      <c r="D732" s="3" t="str">
        <f>IF('1.1 Produksi Bersih Padi 2025'!D734="","",'1.1 Produksi Bersih Padi 2025'!D734)</f>
        <v/>
      </c>
      <c r="E732" s="3" t="str">
        <f>IF('1.1 Produksi Bersih Padi 2025'!E734="","",'1.1 Produksi Bersih Padi 2025'!E734)</f>
        <v/>
      </c>
      <c r="F732" s="13" t="str">
        <f>'1.1 Produksi Bersih Padi 2025'!Q734</f>
        <v/>
      </c>
      <c r="G732" s="13" t="str">
        <f>'1.2 Produksi Bersih Jagung 2025'!L734</f>
        <v/>
      </c>
      <c r="H732" s="13" t="str">
        <f>'1.3 Prod Bersih Ubi Kayu 2025'!K734</f>
        <v/>
      </c>
      <c r="I732" s="13" t="str">
        <f>'1.4 Prod Bersih Ubi Jalar 2025'!K734</f>
        <v/>
      </c>
      <c r="J732" s="13" t="str">
        <f>'1.5 Prod Bersih Sagu 2025'!K734</f>
        <v/>
      </c>
      <c r="K732" s="13" t="str">
        <f>'1.6 Prod Bersih Pisang 2025'!K734</f>
        <v/>
      </c>
      <c r="L732" s="15">
        <f t="shared" si="33"/>
        <v>0</v>
      </c>
      <c r="M732" s="14" t="str">
        <f>IF(D732="","",VLOOKUP(D732,'[1]0.1 Produksi Pangan &amp; Penduduk'!$D$5:$AU$704,44,0))</f>
        <v/>
      </c>
      <c r="N732" s="26" t="str">
        <f t="shared" si="34"/>
        <v/>
      </c>
      <c r="O732" s="16"/>
      <c r="P732" s="25" t="str">
        <f t="shared" si="35"/>
        <v/>
      </c>
      <c r="Q732" s="8"/>
    </row>
    <row r="733" spans="1:17" ht="15" x14ac:dyDescent="0.25">
      <c r="A733" s="3" t="str">
        <f>IF('1.1 Produksi Bersih Padi 2025'!A735="","",'1.1 Produksi Bersih Padi 2025'!A735)</f>
        <v/>
      </c>
      <c r="B733" s="32" t="str">
        <f>IF('1.1 Produksi Bersih Padi 2025'!B735="","",'1.1 Produksi Bersih Padi 2025'!B735)</f>
        <v/>
      </c>
      <c r="C733" s="32" t="str">
        <f>IF('1.1 Produksi Bersih Padi 2025'!C735="","",'1.1 Produksi Bersih Padi 2025'!C735)</f>
        <v/>
      </c>
      <c r="D733" s="3" t="str">
        <f>IF('1.1 Produksi Bersih Padi 2025'!D735="","",'1.1 Produksi Bersih Padi 2025'!D735)</f>
        <v/>
      </c>
      <c r="E733" s="3" t="str">
        <f>IF('1.1 Produksi Bersih Padi 2025'!E735="","",'1.1 Produksi Bersih Padi 2025'!E735)</f>
        <v/>
      </c>
      <c r="F733" s="13" t="str">
        <f>'1.1 Produksi Bersih Padi 2025'!Q735</f>
        <v/>
      </c>
      <c r="G733" s="13" t="str">
        <f>'1.2 Produksi Bersih Jagung 2025'!L735</f>
        <v/>
      </c>
      <c r="H733" s="13" t="str">
        <f>'1.3 Prod Bersih Ubi Kayu 2025'!K735</f>
        <v/>
      </c>
      <c r="I733" s="13" t="str">
        <f>'1.4 Prod Bersih Ubi Jalar 2025'!K735</f>
        <v/>
      </c>
      <c r="J733" s="13" t="str">
        <f>'1.5 Prod Bersih Sagu 2025'!K735</f>
        <v/>
      </c>
      <c r="K733" s="13" t="str">
        <f>'1.6 Prod Bersih Pisang 2025'!K735</f>
        <v/>
      </c>
      <c r="L733" s="15">
        <f t="shared" si="33"/>
        <v>0</v>
      </c>
      <c r="M733" s="14" t="str">
        <f>IF(D733="","",VLOOKUP(D733,'[1]0.1 Produksi Pangan &amp; Penduduk'!$D$5:$AU$704,44,0))</f>
        <v/>
      </c>
      <c r="N733" s="26" t="str">
        <f t="shared" si="34"/>
        <v/>
      </c>
      <c r="O733" s="16"/>
      <c r="P733" s="25" t="str">
        <f t="shared" si="35"/>
        <v/>
      </c>
      <c r="Q733" s="8"/>
    </row>
    <row r="734" spans="1:17" ht="15" x14ac:dyDescent="0.25">
      <c r="A734" s="3" t="str">
        <f>IF('1.1 Produksi Bersih Padi 2025'!A736="","",'1.1 Produksi Bersih Padi 2025'!A736)</f>
        <v/>
      </c>
      <c r="B734" s="32" t="str">
        <f>IF('1.1 Produksi Bersih Padi 2025'!B736="","",'1.1 Produksi Bersih Padi 2025'!B736)</f>
        <v/>
      </c>
      <c r="C734" s="32" t="str">
        <f>IF('1.1 Produksi Bersih Padi 2025'!C736="","",'1.1 Produksi Bersih Padi 2025'!C736)</f>
        <v/>
      </c>
      <c r="D734" s="3" t="str">
        <f>IF('1.1 Produksi Bersih Padi 2025'!D736="","",'1.1 Produksi Bersih Padi 2025'!D736)</f>
        <v/>
      </c>
      <c r="E734" s="3" t="str">
        <f>IF('1.1 Produksi Bersih Padi 2025'!E736="","",'1.1 Produksi Bersih Padi 2025'!E736)</f>
        <v/>
      </c>
      <c r="F734" s="13" t="str">
        <f>'1.1 Produksi Bersih Padi 2025'!Q736</f>
        <v/>
      </c>
      <c r="G734" s="13" t="str">
        <f>'1.2 Produksi Bersih Jagung 2025'!L736</f>
        <v/>
      </c>
      <c r="H734" s="13" t="str">
        <f>'1.3 Prod Bersih Ubi Kayu 2025'!K736</f>
        <v/>
      </c>
      <c r="I734" s="13" t="str">
        <f>'1.4 Prod Bersih Ubi Jalar 2025'!K736</f>
        <v/>
      </c>
      <c r="J734" s="13" t="str">
        <f>'1.5 Prod Bersih Sagu 2025'!K736</f>
        <v/>
      </c>
      <c r="K734" s="13" t="str">
        <f>'1.6 Prod Bersih Pisang 2025'!K736</f>
        <v/>
      </c>
      <c r="L734" s="15">
        <f t="shared" si="33"/>
        <v>0</v>
      </c>
      <c r="M734" s="14" t="str">
        <f>IF(D734="","",VLOOKUP(D734,'[1]0.1 Produksi Pangan &amp; Penduduk'!$D$5:$AU$704,44,0))</f>
        <v/>
      </c>
      <c r="N734" s="26" t="str">
        <f t="shared" si="34"/>
        <v/>
      </c>
      <c r="O734" s="16"/>
      <c r="P734" s="25" t="str">
        <f t="shared" si="35"/>
        <v/>
      </c>
      <c r="Q734" s="8"/>
    </row>
    <row r="735" spans="1:17" ht="15" x14ac:dyDescent="0.25">
      <c r="A735" s="3" t="str">
        <f>IF('1.1 Produksi Bersih Padi 2025'!A737="","",'1.1 Produksi Bersih Padi 2025'!A737)</f>
        <v/>
      </c>
      <c r="B735" s="32" t="str">
        <f>IF('1.1 Produksi Bersih Padi 2025'!B737="","",'1.1 Produksi Bersih Padi 2025'!B737)</f>
        <v/>
      </c>
      <c r="C735" s="32" t="str">
        <f>IF('1.1 Produksi Bersih Padi 2025'!C737="","",'1.1 Produksi Bersih Padi 2025'!C737)</f>
        <v/>
      </c>
      <c r="D735" s="3" t="str">
        <f>IF('1.1 Produksi Bersih Padi 2025'!D737="","",'1.1 Produksi Bersih Padi 2025'!D737)</f>
        <v/>
      </c>
      <c r="E735" s="3" t="str">
        <f>IF('1.1 Produksi Bersih Padi 2025'!E737="","",'1.1 Produksi Bersih Padi 2025'!E737)</f>
        <v/>
      </c>
      <c r="F735" s="13" t="str">
        <f>'1.1 Produksi Bersih Padi 2025'!Q737</f>
        <v/>
      </c>
      <c r="G735" s="13" t="str">
        <f>'1.2 Produksi Bersih Jagung 2025'!L737</f>
        <v/>
      </c>
      <c r="H735" s="13" t="str">
        <f>'1.3 Prod Bersih Ubi Kayu 2025'!K737</f>
        <v/>
      </c>
      <c r="I735" s="13" t="str">
        <f>'1.4 Prod Bersih Ubi Jalar 2025'!K737</f>
        <v/>
      </c>
      <c r="J735" s="13" t="str">
        <f>'1.5 Prod Bersih Sagu 2025'!K737</f>
        <v/>
      </c>
      <c r="K735" s="13" t="str">
        <f>'1.6 Prod Bersih Pisang 2025'!K737</f>
        <v/>
      </c>
      <c r="L735" s="15">
        <f t="shared" si="33"/>
        <v>0</v>
      </c>
      <c r="M735" s="14" t="str">
        <f>IF(D735="","",VLOOKUP(D735,'[1]0.1 Produksi Pangan &amp; Penduduk'!$D$5:$AU$704,44,0))</f>
        <v/>
      </c>
      <c r="N735" s="26" t="str">
        <f t="shared" si="34"/>
        <v/>
      </c>
      <c r="O735" s="16"/>
      <c r="P735" s="25" t="str">
        <f t="shared" si="35"/>
        <v/>
      </c>
      <c r="Q735" s="8"/>
    </row>
    <row r="736" spans="1:17" ht="15" x14ac:dyDescent="0.25">
      <c r="A736" s="3" t="str">
        <f>IF('1.1 Produksi Bersih Padi 2025'!A738="","",'1.1 Produksi Bersih Padi 2025'!A738)</f>
        <v/>
      </c>
      <c r="B736" s="32" t="str">
        <f>IF('1.1 Produksi Bersih Padi 2025'!B738="","",'1.1 Produksi Bersih Padi 2025'!B738)</f>
        <v/>
      </c>
      <c r="C736" s="32" t="str">
        <f>IF('1.1 Produksi Bersih Padi 2025'!C738="","",'1.1 Produksi Bersih Padi 2025'!C738)</f>
        <v/>
      </c>
      <c r="D736" s="3" t="str">
        <f>IF('1.1 Produksi Bersih Padi 2025'!D738="","",'1.1 Produksi Bersih Padi 2025'!D738)</f>
        <v/>
      </c>
      <c r="E736" s="3" t="str">
        <f>IF('1.1 Produksi Bersih Padi 2025'!E738="","",'1.1 Produksi Bersih Padi 2025'!E738)</f>
        <v/>
      </c>
      <c r="F736" s="13" t="str">
        <f>'1.1 Produksi Bersih Padi 2025'!Q738</f>
        <v/>
      </c>
      <c r="G736" s="13" t="str">
        <f>'1.2 Produksi Bersih Jagung 2025'!L738</f>
        <v/>
      </c>
      <c r="H736" s="13" t="str">
        <f>'1.3 Prod Bersih Ubi Kayu 2025'!K738</f>
        <v/>
      </c>
      <c r="I736" s="13" t="str">
        <f>'1.4 Prod Bersih Ubi Jalar 2025'!K738</f>
        <v/>
      </c>
      <c r="J736" s="13" t="str">
        <f>'1.5 Prod Bersih Sagu 2025'!K738</f>
        <v/>
      </c>
      <c r="K736" s="13" t="str">
        <f>'1.6 Prod Bersih Pisang 2025'!K738</f>
        <v/>
      </c>
      <c r="L736" s="15">
        <f t="shared" si="33"/>
        <v>0</v>
      </c>
      <c r="M736" s="14" t="str">
        <f>IF(D736="","",VLOOKUP(D736,'[1]0.1 Produksi Pangan &amp; Penduduk'!$D$5:$AU$704,44,0))</f>
        <v/>
      </c>
      <c r="N736" s="26" t="str">
        <f t="shared" si="34"/>
        <v/>
      </c>
      <c r="O736" s="16"/>
      <c r="P736" s="25" t="str">
        <f t="shared" si="35"/>
        <v/>
      </c>
      <c r="Q736" s="8"/>
    </row>
    <row r="737" spans="1:17" ht="15" x14ac:dyDescent="0.25">
      <c r="A737" s="3" t="str">
        <f>IF('1.1 Produksi Bersih Padi 2025'!A739="","",'1.1 Produksi Bersih Padi 2025'!A739)</f>
        <v/>
      </c>
      <c r="B737" s="32" t="str">
        <f>IF('1.1 Produksi Bersih Padi 2025'!B739="","",'1.1 Produksi Bersih Padi 2025'!B739)</f>
        <v/>
      </c>
      <c r="C737" s="32" t="str">
        <f>IF('1.1 Produksi Bersih Padi 2025'!C739="","",'1.1 Produksi Bersih Padi 2025'!C739)</f>
        <v/>
      </c>
      <c r="D737" s="3" t="str">
        <f>IF('1.1 Produksi Bersih Padi 2025'!D739="","",'1.1 Produksi Bersih Padi 2025'!D739)</f>
        <v/>
      </c>
      <c r="E737" s="3" t="str">
        <f>IF('1.1 Produksi Bersih Padi 2025'!E739="","",'1.1 Produksi Bersih Padi 2025'!E739)</f>
        <v/>
      </c>
      <c r="F737" s="13" t="str">
        <f>'1.1 Produksi Bersih Padi 2025'!Q739</f>
        <v/>
      </c>
      <c r="G737" s="13" t="str">
        <f>'1.2 Produksi Bersih Jagung 2025'!L739</f>
        <v/>
      </c>
      <c r="H737" s="13" t="str">
        <f>'1.3 Prod Bersih Ubi Kayu 2025'!K739</f>
        <v/>
      </c>
      <c r="I737" s="13" t="str">
        <f>'1.4 Prod Bersih Ubi Jalar 2025'!K739</f>
        <v/>
      </c>
      <c r="J737" s="13" t="str">
        <f>'1.5 Prod Bersih Sagu 2025'!K739</f>
        <v/>
      </c>
      <c r="K737" s="13" t="str">
        <f>'1.6 Prod Bersih Pisang 2025'!K739</f>
        <v/>
      </c>
      <c r="L737" s="15">
        <f t="shared" si="33"/>
        <v>0</v>
      </c>
      <c r="M737" s="14" t="str">
        <f>IF(D737="","",VLOOKUP(D737,'[1]0.1 Produksi Pangan &amp; Penduduk'!$D$5:$AU$704,44,0))</f>
        <v/>
      </c>
      <c r="N737" s="26" t="str">
        <f t="shared" si="34"/>
        <v/>
      </c>
      <c r="O737" s="16"/>
      <c r="P737" s="25" t="str">
        <f t="shared" si="35"/>
        <v/>
      </c>
      <c r="Q737" s="8"/>
    </row>
    <row r="738" spans="1:17" ht="15" x14ac:dyDescent="0.25">
      <c r="A738" s="3" t="str">
        <f>IF('1.1 Produksi Bersih Padi 2025'!A740="","",'1.1 Produksi Bersih Padi 2025'!A740)</f>
        <v/>
      </c>
      <c r="B738" s="32" t="str">
        <f>IF('1.1 Produksi Bersih Padi 2025'!B740="","",'1.1 Produksi Bersih Padi 2025'!B740)</f>
        <v/>
      </c>
      <c r="C738" s="32" t="str">
        <f>IF('1.1 Produksi Bersih Padi 2025'!C740="","",'1.1 Produksi Bersih Padi 2025'!C740)</f>
        <v/>
      </c>
      <c r="D738" s="3" t="str">
        <f>IF('1.1 Produksi Bersih Padi 2025'!D740="","",'1.1 Produksi Bersih Padi 2025'!D740)</f>
        <v/>
      </c>
      <c r="E738" s="3" t="str">
        <f>IF('1.1 Produksi Bersih Padi 2025'!E740="","",'1.1 Produksi Bersih Padi 2025'!E740)</f>
        <v/>
      </c>
      <c r="F738" s="13" t="str">
        <f>'1.1 Produksi Bersih Padi 2025'!Q740</f>
        <v/>
      </c>
      <c r="G738" s="13" t="str">
        <f>'1.2 Produksi Bersih Jagung 2025'!L740</f>
        <v/>
      </c>
      <c r="H738" s="13" t="str">
        <f>'1.3 Prod Bersih Ubi Kayu 2025'!K740</f>
        <v/>
      </c>
      <c r="I738" s="13" t="str">
        <f>'1.4 Prod Bersih Ubi Jalar 2025'!K740</f>
        <v/>
      </c>
      <c r="J738" s="13" t="str">
        <f>'1.5 Prod Bersih Sagu 2025'!K740</f>
        <v/>
      </c>
      <c r="K738" s="13" t="str">
        <f>'1.6 Prod Bersih Pisang 2025'!K740</f>
        <v/>
      </c>
      <c r="L738" s="15">
        <f t="shared" si="33"/>
        <v>0</v>
      </c>
      <c r="M738" s="14" t="str">
        <f>IF(D738="","",VLOOKUP(D738,'[1]0.1 Produksi Pangan &amp; Penduduk'!$D$5:$AU$704,44,0))</f>
        <v/>
      </c>
      <c r="N738" s="26" t="str">
        <f t="shared" si="34"/>
        <v/>
      </c>
      <c r="O738" s="16"/>
      <c r="P738" s="25" t="str">
        <f t="shared" si="35"/>
        <v/>
      </c>
      <c r="Q738" s="8"/>
    </row>
    <row r="739" spans="1:17" ht="15" x14ac:dyDescent="0.25">
      <c r="A739" s="3" t="str">
        <f>IF('1.1 Produksi Bersih Padi 2025'!A741="","",'1.1 Produksi Bersih Padi 2025'!A741)</f>
        <v/>
      </c>
      <c r="B739" s="32" t="str">
        <f>IF('1.1 Produksi Bersih Padi 2025'!B741="","",'1.1 Produksi Bersih Padi 2025'!B741)</f>
        <v/>
      </c>
      <c r="C739" s="32" t="str">
        <f>IF('1.1 Produksi Bersih Padi 2025'!C741="","",'1.1 Produksi Bersih Padi 2025'!C741)</f>
        <v/>
      </c>
      <c r="D739" s="3" t="str">
        <f>IF('1.1 Produksi Bersih Padi 2025'!D741="","",'1.1 Produksi Bersih Padi 2025'!D741)</f>
        <v/>
      </c>
      <c r="E739" s="3" t="str">
        <f>IF('1.1 Produksi Bersih Padi 2025'!E741="","",'1.1 Produksi Bersih Padi 2025'!E741)</f>
        <v/>
      </c>
      <c r="F739" s="13" t="str">
        <f>'1.1 Produksi Bersih Padi 2025'!Q741</f>
        <v/>
      </c>
      <c r="G739" s="13" t="str">
        <f>'1.2 Produksi Bersih Jagung 2025'!L741</f>
        <v/>
      </c>
      <c r="H739" s="13" t="str">
        <f>'1.3 Prod Bersih Ubi Kayu 2025'!K741</f>
        <v/>
      </c>
      <c r="I739" s="13" t="str">
        <f>'1.4 Prod Bersih Ubi Jalar 2025'!K741</f>
        <v/>
      </c>
      <c r="J739" s="13" t="str">
        <f>'1.5 Prod Bersih Sagu 2025'!K741</f>
        <v/>
      </c>
      <c r="K739" s="13" t="str">
        <f>'1.6 Prod Bersih Pisang 2025'!K741</f>
        <v/>
      </c>
      <c r="L739" s="15">
        <f t="shared" si="33"/>
        <v>0</v>
      </c>
      <c r="M739" s="14" t="str">
        <f>IF(D739="","",VLOOKUP(D739,'[1]0.1 Produksi Pangan &amp; Penduduk'!$D$5:$AU$704,44,0))</f>
        <v/>
      </c>
      <c r="N739" s="26" t="str">
        <f t="shared" si="34"/>
        <v/>
      </c>
      <c r="O739" s="16"/>
      <c r="P739" s="25" t="str">
        <f t="shared" si="35"/>
        <v/>
      </c>
      <c r="Q739" s="8"/>
    </row>
    <row r="740" spans="1:17" ht="15" x14ac:dyDescent="0.25">
      <c r="A740" s="3" t="str">
        <f>IF('1.1 Produksi Bersih Padi 2025'!A742="","",'1.1 Produksi Bersih Padi 2025'!A742)</f>
        <v/>
      </c>
      <c r="B740" s="32" t="str">
        <f>IF('1.1 Produksi Bersih Padi 2025'!B742="","",'1.1 Produksi Bersih Padi 2025'!B742)</f>
        <v/>
      </c>
      <c r="C740" s="32" t="str">
        <f>IF('1.1 Produksi Bersih Padi 2025'!C742="","",'1.1 Produksi Bersih Padi 2025'!C742)</f>
        <v/>
      </c>
      <c r="D740" s="3" t="str">
        <f>IF('1.1 Produksi Bersih Padi 2025'!D742="","",'1.1 Produksi Bersih Padi 2025'!D742)</f>
        <v/>
      </c>
      <c r="E740" s="3" t="str">
        <f>IF('1.1 Produksi Bersih Padi 2025'!E742="","",'1.1 Produksi Bersih Padi 2025'!E742)</f>
        <v/>
      </c>
      <c r="F740" s="13" t="str">
        <f>'1.1 Produksi Bersih Padi 2025'!Q742</f>
        <v/>
      </c>
      <c r="G740" s="13" t="str">
        <f>'1.2 Produksi Bersih Jagung 2025'!L742</f>
        <v/>
      </c>
      <c r="H740" s="13" t="str">
        <f>'1.3 Prod Bersih Ubi Kayu 2025'!K742</f>
        <v/>
      </c>
      <c r="I740" s="13" t="str">
        <f>'1.4 Prod Bersih Ubi Jalar 2025'!K742</f>
        <v/>
      </c>
      <c r="J740" s="13" t="str">
        <f>'1.5 Prod Bersih Sagu 2025'!K742</f>
        <v/>
      </c>
      <c r="K740" s="13" t="str">
        <f>'1.6 Prod Bersih Pisang 2025'!K742</f>
        <v/>
      </c>
      <c r="L740" s="15">
        <f t="shared" si="33"/>
        <v>0</v>
      </c>
      <c r="M740" s="14" t="str">
        <f>IF(D740="","",VLOOKUP(D740,'[1]0.1 Produksi Pangan &amp; Penduduk'!$D$5:$AU$704,44,0))</f>
        <v/>
      </c>
      <c r="N740" s="26" t="str">
        <f t="shared" si="34"/>
        <v/>
      </c>
      <c r="O740" s="16"/>
      <c r="P740" s="25" t="str">
        <f t="shared" si="35"/>
        <v/>
      </c>
      <c r="Q740" s="8"/>
    </row>
    <row r="741" spans="1:17" ht="15" x14ac:dyDescent="0.25">
      <c r="A741" s="3" t="str">
        <f>IF('1.1 Produksi Bersih Padi 2025'!A743="","",'1.1 Produksi Bersih Padi 2025'!A743)</f>
        <v/>
      </c>
      <c r="B741" s="32" t="str">
        <f>IF('1.1 Produksi Bersih Padi 2025'!B743="","",'1.1 Produksi Bersih Padi 2025'!B743)</f>
        <v/>
      </c>
      <c r="C741" s="32" t="str">
        <f>IF('1.1 Produksi Bersih Padi 2025'!C743="","",'1.1 Produksi Bersih Padi 2025'!C743)</f>
        <v/>
      </c>
      <c r="D741" s="3" t="str">
        <f>IF('1.1 Produksi Bersih Padi 2025'!D743="","",'1.1 Produksi Bersih Padi 2025'!D743)</f>
        <v/>
      </c>
      <c r="E741" s="3" t="str">
        <f>IF('1.1 Produksi Bersih Padi 2025'!E743="","",'1.1 Produksi Bersih Padi 2025'!E743)</f>
        <v/>
      </c>
      <c r="F741" s="13" t="str">
        <f>'1.1 Produksi Bersih Padi 2025'!Q743</f>
        <v/>
      </c>
      <c r="G741" s="13" t="str">
        <f>'1.2 Produksi Bersih Jagung 2025'!L743</f>
        <v/>
      </c>
      <c r="H741" s="13" t="str">
        <f>'1.3 Prod Bersih Ubi Kayu 2025'!K743</f>
        <v/>
      </c>
      <c r="I741" s="13" t="str">
        <f>'1.4 Prod Bersih Ubi Jalar 2025'!K743</f>
        <v/>
      </c>
      <c r="J741" s="13" t="str">
        <f>'1.5 Prod Bersih Sagu 2025'!K743</f>
        <v/>
      </c>
      <c r="K741" s="13" t="str">
        <f>'1.6 Prod Bersih Pisang 2025'!K743</f>
        <v/>
      </c>
      <c r="L741" s="15">
        <f t="shared" si="33"/>
        <v>0</v>
      </c>
      <c r="M741" s="14" t="str">
        <f>IF(D741="","",VLOOKUP(D741,'[1]0.1 Produksi Pangan &amp; Penduduk'!$D$5:$AU$704,44,0))</f>
        <v/>
      </c>
      <c r="N741" s="26" t="str">
        <f t="shared" si="34"/>
        <v/>
      </c>
      <c r="O741" s="16"/>
      <c r="P741" s="25" t="str">
        <f t="shared" si="35"/>
        <v/>
      </c>
      <c r="Q741" s="8"/>
    </row>
    <row r="742" spans="1:17" ht="15" x14ac:dyDescent="0.25">
      <c r="A742" s="3" t="str">
        <f>IF('1.1 Produksi Bersih Padi 2025'!A744="","",'1.1 Produksi Bersih Padi 2025'!A744)</f>
        <v/>
      </c>
      <c r="B742" s="32" t="str">
        <f>IF('1.1 Produksi Bersih Padi 2025'!B744="","",'1.1 Produksi Bersih Padi 2025'!B744)</f>
        <v/>
      </c>
      <c r="C742" s="32" t="str">
        <f>IF('1.1 Produksi Bersih Padi 2025'!C744="","",'1.1 Produksi Bersih Padi 2025'!C744)</f>
        <v/>
      </c>
      <c r="D742" s="3" t="str">
        <f>IF('1.1 Produksi Bersih Padi 2025'!D744="","",'1.1 Produksi Bersih Padi 2025'!D744)</f>
        <v/>
      </c>
      <c r="E742" s="3" t="str">
        <f>IF('1.1 Produksi Bersih Padi 2025'!E744="","",'1.1 Produksi Bersih Padi 2025'!E744)</f>
        <v/>
      </c>
      <c r="F742" s="13" t="str">
        <f>'1.1 Produksi Bersih Padi 2025'!Q744</f>
        <v/>
      </c>
      <c r="G742" s="13" t="str">
        <f>'1.2 Produksi Bersih Jagung 2025'!L744</f>
        <v/>
      </c>
      <c r="H742" s="13" t="str">
        <f>'1.3 Prod Bersih Ubi Kayu 2025'!K744</f>
        <v/>
      </c>
      <c r="I742" s="13" t="str">
        <f>'1.4 Prod Bersih Ubi Jalar 2025'!K744</f>
        <v/>
      </c>
      <c r="J742" s="13" t="str">
        <f>'1.5 Prod Bersih Sagu 2025'!K744</f>
        <v/>
      </c>
      <c r="K742" s="13" t="str">
        <f>'1.6 Prod Bersih Pisang 2025'!K744</f>
        <v/>
      </c>
      <c r="L742" s="15">
        <f t="shared" si="33"/>
        <v>0</v>
      </c>
      <c r="M742" s="14" t="str">
        <f>IF(D742="","",VLOOKUP(D742,'[1]0.1 Produksi Pangan &amp; Penduduk'!$D$5:$AU$704,44,0))</f>
        <v/>
      </c>
      <c r="N742" s="26" t="str">
        <f t="shared" si="34"/>
        <v/>
      </c>
      <c r="O742" s="16"/>
      <c r="P742" s="25" t="str">
        <f t="shared" si="35"/>
        <v/>
      </c>
      <c r="Q742" s="8"/>
    </row>
    <row r="743" spans="1:17" ht="15" x14ac:dyDescent="0.25">
      <c r="A743" s="3" t="str">
        <f>IF('1.1 Produksi Bersih Padi 2025'!A745="","",'1.1 Produksi Bersih Padi 2025'!A745)</f>
        <v/>
      </c>
      <c r="B743" s="32" t="str">
        <f>IF('1.1 Produksi Bersih Padi 2025'!B745="","",'1.1 Produksi Bersih Padi 2025'!B745)</f>
        <v/>
      </c>
      <c r="C743" s="32" t="str">
        <f>IF('1.1 Produksi Bersih Padi 2025'!C745="","",'1.1 Produksi Bersih Padi 2025'!C745)</f>
        <v/>
      </c>
      <c r="D743" s="3" t="str">
        <f>IF('1.1 Produksi Bersih Padi 2025'!D745="","",'1.1 Produksi Bersih Padi 2025'!D745)</f>
        <v/>
      </c>
      <c r="E743" s="3" t="str">
        <f>IF('1.1 Produksi Bersih Padi 2025'!E745="","",'1.1 Produksi Bersih Padi 2025'!E745)</f>
        <v/>
      </c>
      <c r="F743" s="13" t="str">
        <f>'1.1 Produksi Bersih Padi 2025'!Q745</f>
        <v/>
      </c>
      <c r="G743" s="13" t="str">
        <f>'1.2 Produksi Bersih Jagung 2025'!L745</f>
        <v/>
      </c>
      <c r="H743" s="13" t="str">
        <f>'1.3 Prod Bersih Ubi Kayu 2025'!K745</f>
        <v/>
      </c>
      <c r="I743" s="13" t="str">
        <f>'1.4 Prod Bersih Ubi Jalar 2025'!K745</f>
        <v/>
      </c>
      <c r="J743" s="13" t="str">
        <f>'1.5 Prod Bersih Sagu 2025'!K745</f>
        <v/>
      </c>
      <c r="K743" s="13" t="str">
        <f>'1.6 Prod Bersih Pisang 2025'!K745</f>
        <v/>
      </c>
      <c r="L743" s="15">
        <f t="shared" si="33"/>
        <v>0</v>
      </c>
      <c r="M743" s="14" t="str">
        <f>IF(D743="","",VLOOKUP(D743,'[1]0.1 Produksi Pangan &amp; Penduduk'!$D$5:$AU$704,44,0))</f>
        <v/>
      </c>
      <c r="N743" s="26" t="str">
        <f t="shared" si="34"/>
        <v/>
      </c>
      <c r="O743" s="16"/>
      <c r="P743" s="25" t="str">
        <f t="shared" si="35"/>
        <v/>
      </c>
      <c r="Q743" s="8"/>
    </row>
    <row r="744" spans="1:17" ht="15" x14ac:dyDescent="0.25">
      <c r="A744" s="3" t="str">
        <f>IF('1.1 Produksi Bersih Padi 2025'!A746="","",'1.1 Produksi Bersih Padi 2025'!A746)</f>
        <v/>
      </c>
      <c r="B744" s="32" t="str">
        <f>IF('1.1 Produksi Bersih Padi 2025'!B746="","",'1.1 Produksi Bersih Padi 2025'!B746)</f>
        <v/>
      </c>
      <c r="C744" s="32" t="str">
        <f>IF('1.1 Produksi Bersih Padi 2025'!C746="","",'1.1 Produksi Bersih Padi 2025'!C746)</f>
        <v/>
      </c>
      <c r="D744" s="3" t="str">
        <f>IF('1.1 Produksi Bersih Padi 2025'!D746="","",'1.1 Produksi Bersih Padi 2025'!D746)</f>
        <v/>
      </c>
      <c r="E744" s="3" t="str">
        <f>IF('1.1 Produksi Bersih Padi 2025'!E746="","",'1.1 Produksi Bersih Padi 2025'!E746)</f>
        <v/>
      </c>
      <c r="F744" s="13" t="str">
        <f>'1.1 Produksi Bersih Padi 2025'!Q746</f>
        <v/>
      </c>
      <c r="G744" s="13" t="str">
        <f>'1.2 Produksi Bersih Jagung 2025'!L746</f>
        <v/>
      </c>
      <c r="H744" s="13" t="str">
        <f>'1.3 Prod Bersih Ubi Kayu 2025'!K746</f>
        <v/>
      </c>
      <c r="I744" s="13" t="str">
        <f>'1.4 Prod Bersih Ubi Jalar 2025'!K746</f>
        <v/>
      </c>
      <c r="J744" s="13" t="str">
        <f>'1.5 Prod Bersih Sagu 2025'!K746</f>
        <v/>
      </c>
      <c r="K744" s="13" t="str">
        <f>'1.6 Prod Bersih Pisang 2025'!K746</f>
        <v/>
      </c>
      <c r="L744" s="15">
        <f t="shared" si="33"/>
        <v>0</v>
      </c>
      <c r="M744" s="14" t="str">
        <f>IF(D744="","",VLOOKUP(D744,'[1]0.1 Produksi Pangan &amp; Penduduk'!$D$5:$AU$704,44,0))</f>
        <v/>
      </c>
      <c r="N744" s="26" t="str">
        <f t="shared" si="34"/>
        <v/>
      </c>
      <c r="O744" s="16"/>
      <c r="P744" s="25" t="str">
        <f t="shared" si="35"/>
        <v/>
      </c>
      <c r="Q744" s="8"/>
    </row>
    <row r="745" spans="1:17" ht="15" x14ac:dyDescent="0.25">
      <c r="A745" s="3" t="str">
        <f>IF('1.1 Produksi Bersih Padi 2025'!A747="","",'1.1 Produksi Bersih Padi 2025'!A747)</f>
        <v/>
      </c>
      <c r="B745" s="32" t="str">
        <f>IF('1.1 Produksi Bersih Padi 2025'!B747="","",'1.1 Produksi Bersih Padi 2025'!B747)</f>
        <v/>
      </c>
      <c r="C745" s="32" t="str">
        <f>IF('1.1 Produksi Bersih Padi 2025'!C747="","",'1.1 Produksi Bersih Padi 2025'!C747)</f>
        <v/>
      </c>
      <c r="D745" s="3" t="str">
        <f>IF('1.1 Produksi Bersih Padi 2025'!D747="","",'1.1 Produksi Bersih Padi 2025'!D747)</f>
        <v/>
      </c>
      <c r="E745" s="3" t="str">
        <f>IF('1.1 Produksi Bersih Padi 2025'!E747="","",'1.1 Produksi Bersih Padi 2025'!E747)</f>
        <v/>
      </c>
      <c r="F745" s="13" t="str">
        <f>'1.1 Produksi Bersih Padi 2025'!Q747</f>
        <v/>
      </c>
      <c r="G745" s="13" t="str">
        <f>'1.2 Produksi Bersih Jagung 2025'!L747</f>
        <v/>
      </c>
      <c r="H745" s="13" t="str">
        <f>'1.3 Prod Bersih Ubi Kayu 2025'!K747</f>
        <v/>
      </c>
      <c r="I745" s="13" t="str">
        <f>'1.4 Prod Bersih Ubi Jalar 2025'!K747</f>
        <v/>
      </c>
      <c r="J745" s="13" t="str">
        <f>'1.5 Prod Bersih Sagu 2025'!K747</f>
        <v/>
      </c>
      <c r="K745" s="13" t="str">
        <f>'1.6 Prod Bersih Pisang 2025'!K747</f>
        <v/>
      </c>
      <c r="L745" s="15">
        <f t="shared" si="33"/>
        <v>0</v>
      </c>
      <c r="M745" s="14" t="str">
        <f>IF(D745="","",VLOOKUP(D745,'[1]0.1 Produksi Pangan &amp; Penduduk'!$D$5:$AU$704,44,0))</f>
        <v/>
      </c>
      <c r="N745" s="26" t="str">
        <f t="shared" si="34"/>
        <v/>
      </c>
      <c r="O745" s="16"/>
      <c r="P745" s="25" t="str">
        <f t="shared" si="35"/>
        <v/>
      </c>
      <c r="Q745" s="8"/>
    </row>
    <row r="746" spans="1:17" ht="15" x14ac:dyDescent="0.25">
      <c r="A746" s="3" t="str">
        <f>IF('1.1 Produksi Bersih Padi 2025'!A748="","",'1.1 Produksi Bersih Padi 2025'!A748)</f>
        <v/>
      </c>
      <c r="B746" s="32" t="str">
        <f>IF('1.1 Produksi Bersih Padi 2025'!B748="","",'1.1 Produksi Bersih Padi 2025'!B748)</f>
        <v/>
      </c>
      <c r="C746" s="32" t="str">
        <f>IF('1.1 Produksi Bersih Padi 2025'!C748="","",'1.1 Produksi Bersih Padi 2025'!C748)</f>
        <v/>
      </c>
      <c r="D746" s="3" t="str">
        <f>IF('1.1 Produksi Bersih Padi 2025'!D748="","",'1.1 Produksi Bersih Padi 2025'!D748)</f>
        <v/>
      </c>
      <c r="E746" s="3" t="str">
        <f>IF('1.1 Produksi Bersih Padi 2025'!E748="","",'1.1 Produksi Bersih Padi 2025'!E748)</f>
        <v/>
      </c>
      <c r="F746" s="13" t="str">
        <f>'1.1 Produksi Bersih Padi 2025'!Q748</f>
        <v/>
      </c>
      <c r="G746" s="13" t="str">
        <f>'1.2 Produksi Bersih Jagung 2025'!L748</f>
        <v/>
      </c>
      <c r="H746" s="13" t="str">
        <f>'1.3 Prod Bersih Ubi Kayu 2025'!K748</f>
        <v/>
      </c>
      <c r="I746" s="13" t="str">
        <f>'1.4 Prod Bersih Ubi Jalar 2025'!K748</f>
        <v/>
      </c>
      <c r="J746" s="13" t="str">
        <f>'1.5 Prod Bersih Sagu 2025'!K748</f>
        <v/>
      </c>
      <c r="K746" s="13" t="str">
        <f>'1.6 Prod Bersih Pisang 2025'!K748</f>
        <v/>
      </c>
      <c r="L746" s="15">
        <f t="shared" si="33"/>
        <v>0</v>
      </c>
      <c r="M746" s="14" t="str">
        <f>IF(D746="","",VLOOKUP(D746,'[1]0.1 Produksi Pangan &amp; Penduduk'!$D$5:$AU$704,44,0))</f>
        <v/>
      </c>
      <c r="N746" s="26" t="str">
        <f t="shared" si="34"/>
        <v/>
      </c>
      <c r="O746" s="16"/>
      <c r="P746" s="25" t="str">
        <f t="shared" si="35"/>
        <v/>
      </c>
      <c r="Q746" s="8"/>
    </row>
    <row r="747" spans="1:17" ht="15" x14ac:dyDescent="0.25">
      <c r="A747" s="3" t="str">
        <f>IF('1.1 Produksi Bersih Padi 2025'!A749="","",'1.1 Produksi Bersih Padi 2025'!A749)</f>
        <v/>
      </c>
      <c r="B747" s="32" t="str">
        <f>IF('1.1 Produksi Bersih Padi 2025'!B749="","",'1.1 Produksi Bersih Padi 2025'!B749)</f>
        <v/>
      </c>
      <c r="C747" s="32" t="str">
        <f>IF('1.1 Produksi Bersih Padi 2025'!C749="","",'1.1 Produksi Bersih Padi 2025'!C749)</f>
        <v/>
      </c>
      <c r="D747" s="3" t="str">
        <f>IF('1.1 Produksi Bersih Padi 2025'!D749="","",'1.1 Produksi Bersih Padi 2025'!D749)</f>
        <v/>
      </c>
      <c r="E747" s="3" t="str">
        <f>IF('1.1 Produksi Bersih Padi 2025'!E749="","",'1.1 Produksi Bersih Padi 2025'!E749)</f>
        <v/>
      </c>
      <c r="F747" s="13" t="str">
        <f>'1.1 Produksi Bersih Padi 2025'!Q749</f>
        <v/>
      </c>
      <c r="G747" s="13" t="str">
        <f>'1.2 Produksi Bersih Jagung 2025'!L749</f>
        <v/>
      </c>
      <c r="H747" s="13" t="str">
        <f>'1.3 Prod Bersih Ubi Kayu 2025'!K749</f>
        <v/>
      </c>
      <c r="I747" s="13" t="str">
        <f>'1.4 Prod Bersih Ubi Jalar 2025'!K749</f>
        <v/>
      </c>
      <c r="J747" s="13" t="str">
        <f>'1.5 Prod Bersih Sagu 2025'!K749</f>
        <v/>
      </c>
      <c r="K747" s="13" t="str">
        <f>'1.6 Prod Bersih Pisang 2025'!K749</f>
        <v/>
      </c>
      <c r="L747" s="15">
        <f t="shared" si="33"/>
        <v>0</v>
      </c>
      <c r="M747" s="14" t="str">
        <f>IF(D747="","",VLOOKUP(D747,'[1]0.1 Produksi Pangan &amp; Penduduk'!$D$5:$AU$704,44,0))</f>
        <v/>
      </c>
      <c r="N747" s="26" t="str">
        <f t="shared" si="34"/>
        <v/>
      </c>
      <c r="O747" s="16"/>
      <c r="P747" s="25" t="str">
        <f t="shared" si="35"/>
        <v/>
      </c>
      <c r="Q747" s="8"/>
    </row>
    <row r="748" spans="1:17" ht="15" x14ac:dyDescent="0.25">
      <c r="A748" s="3" t="str">
        <f>IF('1.1 Produksi Bersih Padi 2025'!A750="","",'1.1 Produksi Bersih Padi 2025'!A750)</f>
        <v/>
      </c>
      <c r="B748" s="32" t="str">
        <f>IF('1.1 Produksi Bersih Padi 2025'!B750="","",'1.1 Produksi Bersih Padi 2025'!B750)</f>
        <v/>
      </c>
      <c r="C748" s="32" t="str">
        <f>IF('1.1 Produksi Bersih Padi 2025'!C750="","",'1.1 Produksi Bersih Padi 2025'!C750)</f>
        <v/>
      </c>
      <c r="D748" s="3" t="str">
        <f>IF('1.1 Produksi Bersih Padi 2025'!D750="","",'1.1 Produksi Bersih Padi 2025'!D750)</f>
        <v/>
      </c>
      <c r="E748" s="3" t="str">
        <f>IF('1.1 Produksi Bersih Padi 2025'!E750="","",'1.1 Produksi Bersih Padi 2025'!E750)</f>
        <v/>
      </c>
      <c r="F748" s="13" t="str">
        <f>'1.1 Produksi Bersih Padi 2025'!Q750</f>
        <v/>
      </c>
      <c r="G748" s="13" t="str">
        <f>'1.2 Produksi Bersih Jagung 2025'!L750</f>
        <v/>
      </c>
      <c r="H748" s="13" t="str">
        <f>'1.3 Prod Bersih Ubi Kayu 2025'!K750</f>
        <v/>
      </c>
      <c r="I748" s="13" t="str">
        <f>'1.4 Prod Bersih Ubi Jalar 2025'!K750</f>
        <v/>
      </c>
      <c r="J748" s="13" t="str">
        <f>'1.5 Prod Bersih Sagu 2025'!K750</f>
        <v/>
      </c>
      <c r="K748" s="13" t="str">
        <f>'1.6 Prod Bersih Pisang 2025'!K750</f>
        <v/>
      </c>
      <c r="L748" s="15">
        <f t="shared" si="33"/>
        <v>0</v>
      </c>
      <c r="M748" s="14" t="str">
        <f>IF(D748="","",VLOOKUP(D748,'[1]0.1 Produksi Pangan &amp; Penduduk'!$D$5:$AU$704,44,0))</f>
        <v/>
      </c>
      <c r="N748" s="26" t="str">
        <f t="shared" si="34"/>
        <v/>
      </c>
      <c r="O748" s="16"/>
      <c r="P748" s="25" t="str">
        <f t="shared" si="35"/>
        <v/>
      </c>
      <c r="Q748" s="8"/>
    </row>
    <row r="749" spans="1:17" ht="15" x14ac:dyDescent="0.25">
      <c r="A749" s="3" t="str">
        <f>IF('1.1 Produksi Bersih Padi 2025'!A751="","",'1.1 Produksi Bersih Padi 2025'!A751)</f>
        <v/>
      </c>
      <c r="B749" s="32" t="str">
        <f>IF('1.1 Produksi Bersih Padi 2025'!B751="","",'1.1 Produksi Bersih Padi 2025'!B751)</f>
        <v/>
      </c>
      <c r="C749" s="32" t="str">
        <f>IF('1.1 Produksi Bersih Padi 2025'!C751="","",'1.1 Produksi Bersih Padi 2025'!C751)</f>
        <v/>
      </c>
      <c r="D749" s="3" t="str">
        <f>IF('1.1 Produksi Bersih Padi 2025'!D751="","",'1.1 Produksi Bersih Padi 2025'!D751)</f>
        <v/>
      </c>
      <c r="E749" s="3" t="str">
        <f>IF('1.1 Produksi Bersih Padi 2025'!E751="","",'1.1 Produksi Bersih Padi 2025'!E751)</f>
        <v/>
      </c>
      <c r="F749" s="13" t="str">
        <f>'1.1 Produksi Bersih Padi 2025'!Q751</f>
        <v/>
      </c>
      <c r="G749" s="13" t="str">
        <f>'1.2 Produksi Bersih Jagung 2025'!L751</f>
        <v/>
      </c>
      <c r="H749" s="13" t="str">
        <f>'1.3 Prod Bersih Ubi Kayu 2025'!K751</f>
        <v/>
      </c>
      <c r="I749" s="13" t="str">
        <f>'1.4 Prod Bersih Ubi Jalar 2025'!K751</f>
        <v/>
      </c>
      <c r="J749" s="13" t="str">
        <f>'1.5 Prod Bersih Sagu 2025'!K751</f>
        <v/>
      </c>
      <c r="K749" s="13" t="str">
        <f>'1.6 Prod Bersih Pisang 2025'!K751</f>
        <v/>
      </c>
      <c r="L749" s="15">
        <f t="shared" si="33"/>
        <v>0</v>
      </c>
      <c r="M749" s="14" t="str">
        <f>IF(D749="","",VLOOKUP(D749,'[1]0.1 Produksi Pangan &amp; Penduduk'!$D$5:$AU$704,44,0))</f>
        <v/>
      </c>
      <c r="N749" s="26" t="str">
        <f t="shared" si="34"/>
        <v/>
      </c>
      <c r="O749" s="16"/>
      <c r="P749" s="25" t="str">
        <f t="shared" si="35"/>
        <v/>
      </c>
      <c r="Q749" s="8"/>
    </row>
    <row r="750" spans="1:17" ht="15" x14ac:dyDescent="0.25">
      <c r="A750" s="3" t="str">
        <f>IF('1.1 Produksi Bersih Padi 2025'!A752="","",'1.1 Produksi Bersih Padi 2025'!A752)</f>
        <v/>
      </c>
      <c r="B750" s="32" t="str">
        <f>IF('1.1 Produksi Bersih Padi 2025'!B752="","",'1.1 Produksi Bersih Padi 2025'!B752)</f>
        <v/>
      </c>
      <c r="C750" s="32" t="str">
        <f>IF('1.1 Produksi Bersih Padi 2025'!C752="","",'1.1 Produksi Bersih Padi 2025'!C752)</f>
        <v/>
      </c>
      <c r="D750" s="3" t="str">
        <f>IF('1.1 Produksi Bersih Padi 2025'!D752="","",'1.1 Produksi Bersih Padi 2025'!D752)</f>
        <v/>
      </c>
      <c r="E750" s="3" t="str">
        <f>IF('1.1 Produksi Bersih Padi 2025'!E752="","",'1.1 Produksi Bersih Padi 2025'!E752)</f>
        <v/>
      </c>
      <c r="F750" s="13" t="str">
        <f>'1.1 Produksi Bersih Padi 2025'!Q752</f>
        <v/>
      </c>
      <c r="G750" s="13" t="str">
        <f>'1.2 Produksi Bersih Jagung 2025'!L752</f>
        <v/>
      </c>
      <c r="H750" s="13" t="str">
        <f>'1.3 Prod Bersih Ubi Kayu 2025'!K752</f>
        <v/>
      </c>
      <c r="I750" s="13" t="str">
        <f>'1.4 Prod Bersih Ubi Jalar 2025'!K752</f>
        <v/>
      </c>
      <c r="J750" s="13" t="str">
        <f>'1.5 Prod Bersih Sagu 2025'!K752</f>
        <v/>
      </c>
      <c r="K750" s="13" t="str">
        <f>'1.6 Prod Bersih Pisang 2025'!K752</f>
        <v/>
      </c>
      <c r="L750" s="15">
        <f t="shared" si="33"/>
        <v>0</v>
      </c>
      <c r="M750" s="14" t="str">
        <f>IF(D750="","",VLOOKUP(D750,'[1]0.1 Produksi Pangan &amp; Penduduk'!$D$5:$AU$704,44,0))</f>
        <v/>
      </c>
      <c r="N750" s="26" t="str">
        <f t="shared" si="34"/>
        <v/>
      </c>
      <c r="O750" s="16"/>
      <c r="P750" s="25" t="str">
        <f t="shared" si="35"/>
        <v/>
      </c>
      <c r="Q750" s="8"/>
    </row>
    <row r="751" spans="1:17" ht="15" x14ac:dyDescent="0.25">
      <c r="A751" s="3" t="str">
        <f>IF('1.1 Produksi Bersih Padi 2025'!A753="","",'1.1 Produksi Bersih Padi 2025'!A753)</f>
        <v/>
      </c>
      <c r="B751" s="32" t="str">
        <f>IF('1.1 Produksi Bersih Padi 2025'!B753="","",'1.1 Produksi Bersih Padi 2025'!B753)</f>
        <v/>
      </c>
      <c r="C751" s="32" t="str">
        <f>IF('1.1 Produksi Bersih Padi 2025'!C753="","",'1.1 Produksi Bersih Padi 2025'!C753)</f>
        <v/>
      </c>
      <c r="D751" s="3" t="str">
        <f>IF('1.1 Produksi Bersih Padi 2025'!D753="","",'1.1 Produksi Bersih Padi 2025'!D753)</f>
        <v/>
      </c>
      <c r="E751" s="3" t="str">
        <f>IF('1.1 Produksi Bersih Padi 2025'!E753="","",'1.1 Produksi Bersih Padi 2025'!E753)</f>
        <v/>
      </c>
      <c r="F751" s="13" t="str">
        <f>'1.1 Produksi Bersih Padi 2025'!Q753</f>
        <v/>
      </c>
      <c r="G751" s="13" t="str">
        <f>'1.2 Produksi Bersih Jagung 2025'!L753</f>
        <v/>
      </c>
      <c r="H751" s="13" t="str">
        <f>'1.3 Prod Bersih Ubi Kayu 2025'!K753</f>
        <v/>
      </c>
      <c r="I751" s="13" t="str">
        <f>'1.4 Prod Bersih Ubi Jalar 2025'!K753</f>
        <v/>
      </c>
      <c r="J751" s="13" t="str">
        <f>'1.5 Prod Bersih Sagu 2025'!K753</f>
        <v/>
      </c>
      <c r="K751" s="13" t="str">
        <f>'1.6 Prod Bersih Pisang 2025'!K753</f>
        <v/>
      </c>
      <c r="L751" s="15">
        <f t="shared" si="33"/>
        <v>0</v>
      </c>
      <c r="M751" s="14" t="str">
        <f>IF(D751="","",VLOOKUP(D751,'[1]0.1 Produksi Pangan &amp; Penduduk'!$D$5:$AU$704,44,0))</f>
        <v/>
      </c>
      <c r="N751" s="26" t="str">
        <f t="shared" si="34"/>
        <v/>
      </c>
      <c r="O751" s="16"/>
      <c r="P751" s="25" t="str">
        <f t="shared" si="35"/>
        <v/>
      </c>
      <c r="Q751" s="8"/>
    </row>
    <row r="752" spans="1:17" ht="15" x14ac:dyDescent="0.25">
      <c r="A752" s="3" t="str">
        <f>IF('1.1 Produksi Bersih Padi 2025'!A754="","",'1.1 Produksi Bersih Padi 2025'!A754)</f>
        <v/>
      </c>
      <c r="B752" s="32" t="str">
        <f>IF('1.1 Produksi Bersih Padi 2025'!B754="","",'1.1 Produksi Bersih Padi 2025'!B754)</f>
        <v/>
      </c>
      <c r="C752" s="32" t="str">
        <f>IF('1.1 Produksi Bersih Padi 2025'!C754="","",'1.1 Produksi Bersih Padi 2025'!C754)</f>
        <v/>
      </c>
      <c r="D752" s="3" t="str">
        <f>IF('1.1 Produksi Bersih Padi 2025'!D754="","",'1.1 Produksi Bersih Padi 2025'!D754)</f>
        <v/>
      </c>
      <c r="E752" s="3" t="str">
        <f>IF('1.1 Produksi Bersih Padi 2025'!E754="","",'1.1 Produksi Bersih Padi 2025'!E754)</f>
        <v/>
      </c>
      <c r="F752" s="13" t="str">
        <f>'1.1 Produksi Bersih Padi 2025'!Q754</f>
        <v/>
      </c>
      <c r="G752" s="13" t="str">
        <f>'1.2 Produksi Bersih Jagung 2025'!L754</f>
        <v/>
      </c>
      <c r="H752" s="13" t="str">
        <f>'1.3 Prod Bersih Ubi Kayu 2025'!K754</f>
        <v/>
      </c>
      <c r="I752" s="13" t="str">
        <f>'1.4 Prod Bersih Ubi Jalar 2025'!K754</f>
        <v/>
      </c>
      <c r="J752" s="13" t="str">
        <f>'1.5 Prod Bersih Sagu 2025'!K754</f>
        <v/>
      </c>
      <c r="K752" s="13" t="str">
        <f>'1.6 Prod Bersih Pisang 2025'!K754</f>
        <v/>
      </c>
      <c r="L752" s="15">
        <f t="shared" si="33"/>
        <v>0</v>
      </c>
      <c r="M752" s="14" t="str">
        <f>IF(D752="","",VLOOKUP(D752,'[1]0.1 Produksi Pangan &amp; Penduduk'!$D$5:$AU$704,44,0))</f>
        <v/>
      </c>
      <c r="N752" s="26" t="str">
        <f t="shared" si="34"/>
        <v/>
      </c>
      <c r="O752" s="16"/>
      <c r="P752" s="25" t="str">
        <f t="shared" si="35"/>
        <v/>
      </c>
      <c r="Q752" s="8"/>
    </row>
    <row r="753" spans="1:17" ht="15" x14ac:dyDescent="0.25">
      <c r="A753" s="3" t="str">
        <f>IF('1.1 Produksi Bersih Padi 2025'!A755="","",'1.1 Produksi Bersih Padi 2025'!A755)</f>
        <v/>
      </c>
      <c r="B753" s="32" t="str">
        <f>IF('1.1 Produksi Bersih Padi 2025'!B755="","",'1.1 Produksi Bersih Padi 2025'!B755)</f>
        <v/>
      </c>
      <c r="C753" s="32" t="str">
        <f>IF('1.1 Produksi Bersih Padi 2025'!C755="","",'1.1 Produksi Bersih Padi 2025'!C755)</f>
        <v/>
      </c>
      <c r="D753" s="3" t="str">
        <f>IF('1.1 Produksi Bersih Padi 2025'!D755="","",'1.1 Produksi Bersih Padi 2025'!D755)</f>
        <v/>
      </c>
      <c r="E753" s="3" t="str">
        <f>IF('1.1 Produksi Bersih Padi 2025'!E755="","",'1.1 Produksi Bersih Padi 2025'!E755)</f>
        <v/>
      </c>
      <c r="F753" s="13" t="str">
        <f>'1.1 Produksi Bersih Padi 2025'!Q755</f>
        <v/>
      </c>
      <c r="G753" s="13" t="str">
        <f>'1.2 Produksi Bersih Jagung 2025'!L755</f>
        <v/>
      </c>
      <c r="H753" s="13" t="str">
        <f>'1.3 Prod Bersih Ubi Kayu 2025'!K755</f>
        <v/>
      </c>
      <c r="I753" s="13" t="str">
        <f>'1.4 Prod Bersih Ubi Jalar 2025'!K755</f>
        <v/>
      </c>
      <c r="J753" s="13" t="str">
        <f>'1.5 Prod Bersih Sagu 2025'!K755</f>
        <v/>
      </c>
      <c r="K753" s="13" t="str">
        <f>'1.6 Prod Bersih Pisang 2025'!K755</f>
        <v/>
      </c>
      <c r="L753" s="15">
        <f t="shared" si="33"/>
        <v>0</v>
      </c>
      <c r="M753" s="14" t="str">
        <f>IF(D753="","",VLOOKUP(D753,'[1]0.1 Produksi Pangan &amp; Penduduk'!$D$5:$AU$704,44,0))</f>
        <v/>
      </c>
      <c r="N753" s="26" t="str">
        <f t="shared" si="34"/>
        <v/>
      </c>
      <c r="O753" s="16"/>
      <c r="P753" s="25" t="str">
        <f t="shared" si="35"/>
        <v/>
      </c>
      <c r="Q753" s="8"/>
    </row>
    <row r="754" spans="1:17" ht="15" x14ac:dyDescent="0.25">
      <c r="A754" s="3" t="str">
        <f>IF('1.1 Produksi Bersih Padi 2025'!A756="","",'1.1 Produksi Bersih Padi 2025'!A756)</f>
        <v/>
      </c>
      <c r="B754" s="32" t="str">
        <f>IF('1.1 Produksi Bersih Padi 2025'!B756="","",'1.1 Produksi Bersih Padi 2025'!B756)</f>
        <v/>
      </c>
      <c r="C754" s="32" t="str">
        <f>IF('1.1 Produksi Bersih Padi 2025'!C756="","",'1.1 Produksi Bersih Padi 2025'!C756)</f>
        <v/>
      </c>
      <c r="D754" s="3" t="str">
        <f>IF('1.1 Produksi Bersih Padi 2025'!D756="","",'1.1 Produksi Bersih Padi 2025'!D756)</f>
        <v/>
      </c>
      <c r="E754" s="3" t="str">
        <f>IF('1.1 Produksi Bersih Padi 2025'!E756="","",'1.1 Produksi Bersih Padi 2025'!E756)</f>
        <v/>
      </c>
      <c r="F754" s="13" t="str">
        <f>'1.1 Produksi Bersih Padi 2025'!Q756</f>
        <v/>
      </c>
      <c r="G754" s="13" t="str">
        <f>'1.2 Produksi Bersih Jagung 2025'!L756</f>
        <v/>
      </c>
      <c r="H754" s="13" t="str">
        <f>'1.3 Prod Bersih Ubi Kayu 2025'!K756</f>
        <v/>
      </c>
      <c r="I754" s="13" t="str">
        <f>'1.4 Prod Bersih Ubi Jalar 2025'!K756</f>
        <v/>
      </c>
      <c r="J754" s="13" t="str">
        <f>'1.5 Prod Bersih Sagu 2025'!K756</f>
        <v/>
      </c>
      <c r="K754" s="13" t="str">
        <f>'1.6 Prod Bersih Pisang 2025'!K756</f>
        <v/>
      </c>
      <c r="L754" s="15">
        <f t="shared" si="33"/>
        <v>0</v>
      </c>
      <c r="M754" s="14" t="str">
        <f>IF(D754="","",VLOOKUP(D754,'[1]0.1 Produksi Pangan &amp; Penduduk'!$D$5:$AU$704,44,0))</f>
        <v/>
      </c>
      <c r="N754" s="26" t="str">
        <f t="shared" si="34"/>
        <v/>
      </c>
      <c r="O754" s="16"/>
      <c r="P754" s="25" t="str">
        <f t="shared" si="35"/>
        <v/>
      </c>
      <c r="Q754" s="8"/>
    </row>
    <row r="755" spans="1:17" ht="15" x14ac:dyDescent="0.25">
      <c r="A755" s="3" t="str">
        <f>IF('1.1 Produksi Bersih Padi 2025'!A757="","",'1.1 Produksi Bersih Padi 2025'!A757)</f>
        <v/>
      </c>
      <c r="B755" s="32" t="str">
        <f>IF('1.1 Produksi Bersih Padi 2025'!B757="","",'1.1 Produksi Bersih Padi 2025'!B757)</f>
        <v/>
      </c>
      <c r="C755" s="32" t="str">
        <f>IF('1.1 Produksi Bersih Padi 2025'!C757="","",'1.1 Produksi Bersih Padi 2025'!C757)</f>
        <v/>
      </c>
      <c r="D755" s="3" t="str">
        <f>IF('1.1 Produksi Bersih Padi 2025'!D757="","",'1.1 Produksi Bersih Padi 2025'!D757)</f>
        <v/>
      </c>
      <c r="E755" s="3" t="str">
        <f>IF('1.1 Produksi Bersih Padi 2025'!E757="","",'1.1 Produksi Bersih Padi 2025'!E757)</f>
        <v/>
      </c>
      <c r="F755" s="13" t="str">
        <f>'1.1 Produksi Bersih Padi 2025'!Q757</f>
        <v/>
      </c>
      <c r="G755" s="13" t="str">
        <f>'1.2 Produksi Bersih Jagung 2025'!L757</f>
        <v/>
      </c>
      <c r="H755" s="13" t="str">
        <f>'1.3 Prod Bersih Ubi Kayu 2025'!K757</f>
        <v/>
      </c>
      <c r="I755" s="13" t="str">
        <f>'1.4 Prod Bersih Ubi Jalar 2025'!K757</f>
        <v/>
      </c>
      <c r="J755" s="13" t="str">
        <f>'1.5 Prod Bersih Sagu 2025'!K757</f>
        <v/>
      </c>
      <c r="K755" s="13" t="str">
        <f>'1.6 Prod Bersih Pisang 2025'!K757</f>
        <v/>
      </c>
      <c r="L755" s="15">
        <f t="shared" si="33"/>
        <v>0</v>
      </c>
      <c r="M755" s="14" t="str">
        <f>IF(D755="","",VLOOKUP(D755,'[1]0.1 Produksi Pangan &amp; Penduduk'!$D$5:$AU$704,44,0))</f>
        <v/>
      </c>
      <c r="N755" s="26" t="str">
        <f t="shared" si="34"/>
        <v/>
      </c>
      <c r="O755" s="16"/>
      <c r="P755" s="25" t="str">
        <f t="shared" si="35"/>
        <v/>
      </c>
      <c r="Q755" s="8"/>
    </row>
    <row r="756" spans="1:17" ht="15" x14ac:dyDescent="0.25">
      <c r="A756" s="3" t="str">
        <f>IF('1.1 Produksi Bersih Padi 2025'!A758="","",'1.1 Produksi Bersih Padi 2025'!A758)</f>
        <v/>
      </c>
      <c r="B756" s="32" t="str">
        <f>IF('1.1 Produksi Bersih Padi 2025'!B758="","",'1.1 Produksi Bersih Padi 2025'!B758)</f>
        <v/>
      </c>
      <c r="C756" s="32" t="str">
        <f>IF('1.1 Produksi Bersih Padi 2025'!C758="","",'1.1 Produksi Bersih Padi 2025'!C758)</f>
        <v/>
      </c>
      <c r="D756" s="3" t="str">
        <f>IF('1.1 Produksi Bersih Padi 2025'!D758="","",'1.1 Produksi Bersih Padi 2025'!D758)</f>
        <v/>
      </c>
      <c r="E756" s="3" t="str">
        <f>IF('1.1 Produksi Bersih Padi 2025'!E758="","",'1.1 Produksi Bersih Padi 2025'!E758)</f>
        <v/>
      </c>
      <c r="F756" s="13" t="str">
        <f>'1.1 Produksi Bersih Padi 2025'!Q758</f>
        <v/>
      </c>
      <c r="G756" s="13" t="str">
        <f>'1.2 Produksi Bersih Jagung 2025'!L758</f>
        <v/>
      </c>
      <c r="H756" s="13" t="str">
        <f>'1.3 Prod Bersih Ubi Kayu 2025'!K758</f>
        <v/>
      </c>
      <c r="I756" s="13" t="str">
        <f>'1.4 Prod Bersih Ubi Jalar 2025'!K758</f>
        <v/>
      </c>
      <c r="J756" s="13" t="str">
        <f>'1.5 Prod Bersih Sagu 2025'!K758</f>
        <v/>
      </c>
      <c r="K756" s="13" t="str">
        <f>'1.6 Prod Bersih Pisang 2025'!K758</f>
        <v/>
      </c>
      <c r="L756" s="15">
        <f t="shared" si="33"/>
        <v>0</v>
      </c>
      <c r="M756" s="14" t="str">
        <f>IF(D756="","",VLOOKUP(D756,'[1]0.1 Produksi Pangan &amp; Penduduk'!$D$5:$AU$704,44,0))</f>
        <v/>
      </c>
      <c r="N756" s="26" t="str">
        <f t="shared" si="34"/>
        <v/>
      </c>
      <c r="O756" s="16"/>
      <c r="P756" s="25" t="str">
        <f t="shared" si="35"/>
        <v/>
      </c>
      <c r="Q756" s="8"/>
    </row>
    <row r="757" spans="1:17" ht="15" x14ac:dyDescent="0.25">
      <c r="A757" s="3" t="str">
        <f>IF('1.1 Produksi Bersih Padi 2025'!A759="","",'1.1 Produksi Bersih Padi 2025'!A759)</f>
        <v/>
      </c>
      <c r="B757" s="32" t="str">
        <f>IF('1.1 Produksi Bersih Padi 2025'!B759="","",'1.1 Produksi Bersih Padi 2025'!B759)</f>
        <v/>
      </c>
      <c r="C757" s="32" t="str">
        <f>IF('1.1 Produksi Bersih Padi 2025'!C759="","",'1.1 Produksi Bersih Padi 2025'!C759)</f>
        <v/>
      </c>
      <c r="D757" s="3" t="str">
        <f>IF('1.1 Produksi Bersih Padi 2025'!D759="","",'1.1 Produksi Bersih Padi 2025'!D759)</f>
        <v/>
      </c>
      <c r="E757" s="3" t="str">
        <f>IF('1.1 Produksi Bersih Padi 2025'!E759="","",'1.1 Produksi Bersih Padi 2025'!E759)</f>
        <v/>
      </c>
      <c r="F757" s="13" t="str">
        <f>'1.1 Produksi Bersih Padi 2025'!Q759</f>
        <v/>
      </c>
      <c r="G757" s="13" t="str">
        <f>'1.2 Produksi Bersih Jagung 2025'!L759</f>
        <v/>
      </c>
      <c r="H757" s="13" t="str">
        <f>'1.3 Prod Bersih Ubi Kayu 2025'!K759</f>
        <v/>
      </c>
      <c r="I757" s="13" t="str">
        <f>'1.4 Prod Bersih Ubi Jalar 2025'!K759</f>
        <v/>
      </c>
      <c r="J757" s="13" t="str">
        <f>'1.5 Prod Bersih Sagu 2025'!K759</f>
        <v/>
      </c>
      <c r="K757" s="13" t="str">
        <f>'1.6 Prod Bersih Pisang 2025'!K759</f>
        <v/>
      </c>
      <c r="L757" s="15">
        <f t="shared" si="33"/>
        <v>0</v>
      </c>
      <c r="M757" s="14" t="str">
        <f>IF(D757="","",VLOOKUP(D757,'[1]0.1 Produksi Pangan &amp; Penduduk'!$D$5:$AU$704,44,0))</f>
        <v/>
      </c>
      <c r="N757" s="26" t="str">
        <f t="shared" si="34"/>
        <v/>
      </c>
      <c r="O757" s="16"/>
      <c r="P757" s="25" t="str">
        <f t="shared" si="35"/>
        <v/>
      </c>
      <c r="Q757" s="8"/>
    </row>
    <row r="758" spans="1:17" ht="15" x14ac:dyDescent="0.25">
      <c r="A758" s="3" t="str">
        <f>IF('1.1 Produksi Bersih Padi 2025'!A760="","",'1.1 Produksi Bersih Padi 2025'!A760)</f>
        <v/>
      </c>
      <c r="B758" s="32" t="str">
        <f>IF('1.1 Produksi Bersih Padi 2025'!B760="","",'1.1 Produksi Bersih Padi 2025'!B760)</f>
        <v/>
      </c>
      <c r="C758" s="32" t="str">
        <f>IF('1.1 Produksi Bersih Padi 2025'!C760="","",'1.1 Produksi Bersih Padi 2025'!C760)</f>
        <v/>
      </c>
      <c r="D758" s="3" t="str">
        <f>IF('1.1 Produksi Bersih Padi 2025'!D760="","",'1.1 Produksi Bersih Padi 2025'!D760)</f>
        <v/>
      </c>
      <c r="E758" s="3" t="str">
        <f>IF('1.1 Produksi Bersih Padi 2025'!E760="","",'1.1 Produksi Bersih Padi 2025'!E760)</f>
        <v/>
      </c>
      <c r="F758" s="13" t="str">
        <f>'1.1 Produksi Bersih Padi 2025'!Q760</f>
        <v/>
      </c>
      <c r="G758" s="13" t="str">
        <f>'1.2 Produksi Bersih Jagung 2025'!L760</f>
        <v/>
      </c>
      <c r="H758" s="13" t="str">
        <f>'1.3 Prod Bersih Ubi Kayu 2025'!K760</f>
        <v/>
      </c>
      <c r="I758" s="13" t="str">
        <f>'1.4 Prod Bersih Ubi Jalar 2025'!K760</f>
        <v/>
      </c>
      <c r="J758" s="13" t="str">
        <f>'1.5 Prod Bersih Sagu 2025'!K760</f>
        <v/>
      </c>
      <c r="K758" s="13" t="str">
        <f>'1.6 Prod Bersih Pisang 2025'!K760</f>
        <v/>
      </c>
      <c r="L758" s="15">
        <f t="shared" si="33"/>
        <v>0</v>
      </c>
      <c r="M758" s="14" t="str">
        <f>IF(D758="","",VLOOKUP(D758,'[1]0.1 Produksi Pangan &amp; Penduduk'!$D$5:$AU$704,44,0))</f>
        <v/>
      </c>
      <c r="N758" s="26" t="str">
        <f t="shared" si="34"/>
        <v/>
      </c>
      <c r="O758" s="16"/>
      <c r="P758" s="25" t="str">
        <f t="shared" si="35"/>
        <v/>
      </c>
      <c r="Q758" s="8"/>
    </row>
    <row r="759" spans="1:17" ht="15" x14ac:dyDescent="0.25">
      <c r="A759" s="3" t="str">
        <f>IF('1.1 Produksi Bersih Padi 2025'!A761="","",'1.1 Produksi Bersih Padi 2025'!A761)</f>
        <v/>
      </c>
      <c r="B759" s="32" t="str">
        <f>IF('1.1 Produksi Bersih Padi 2025'!B761="","",'1.1 Produksi Bersih Padi 2025'!B761)</f>
        <v/>
      </c>
      <c r="C759" s="32" t="str">
        <f>IF('1.1 Produksi Bersih Padi 2025'!C761="","",'1.1 Produksi Bersih Padi 2025'!C761)</f>
        <v/>
      </c>
      <c r="D759" s="3" t="str">
        <f>IF('1.1 Produksi Bersih Padi 2025'!D761="","",'1.1 Produksi Bersih Padi 2025'!D761)</f>
        <v/>
      </c>
      <c r="E759" s="3" t="str">
        <f>IF('1.1 Produksi Bersih Padi 2025'!E761="","",'1.1 Produksi Bersih Padi 2025'!E761)</f>
        <v/>
      </c>
      <c r="F759" s="13" t="str">
        <f>'1.1 Produksi Bersih Padi 2025'!Q761</f>
        <v/>
      </c>
      <c r="G759" s="13" t="str">
        <f>'1.2 Produksi Bersih Jagung 2025'!L761</f>
        <v/>
      </c>
      <c r="H759" s="13" t="str">
        <f>'1.3 Prod Bersih Ubi Kayu 2025'!K761</f>
        <v/>
      </c>
      <c r="I759" s="13" t="str">
        <f>'1.4 Prod Bersih Ubi Jalar 2025'!K761</f>
        <v/>
      </c>
      <c r="J759" s="13" t="str">
        <f>'1.5 Prod Bersih Sagu 2025'!K761</f>
        <v/>
      </c>
      <c r="K759" s="13" t="str">
        <f>'1.6 Prod Bersih Pisang 2025'!K761</f>
        <v/>
      </c>
      <c r="L759" s="15">
        <f t="shared" si="33"/>
        <v>0</v>
      </c>
      <c r="M759" s="14" t="str">
        <f>IF(D759="","",VLOOKUP(D759,'[1]0.1 Produksi Pangan &amp; Penduduk'!$D$5:$AU$704,44,0))</f>
        <v/>
      </c>
      <c r="N759" s="26" t="str">
        <f t="shared" si="34"/>
        <v/>
      </c>
      <c r="O759" s="16"/>
      <c r="P759" s="25" t="str">
        <f t="shared" si="35"/>
        <v/>
      </c>
      <c r="Q759" s="8"/>
    </row>
    <row r="760" spans="1:17" ht="15" x14ac:dyDescent="0.25">
      <c r="A760" s="3" t="str">
        <f>IF('1.1 Produksi Bersih Padi 2025'!A762="","",'1.1 Produksi Bersih Padi 2025'!A762)</f>
        <v/>
      </c>
      <c r="B760" s="32" t="str">
        <f>IF('1.1 Produksi Bersih Padi 2025'!B762="","",'1.1 Produksi Bersih Padi 2025'!B762)</f>
        <v/>
      </c>
      <c r="C760" s="32" t="str">
        <f>IF('1.1 Produksi Bersih Padi 2025'!C762="","",'1.1 Produksi Bersih Padi 2025'!C762)</f>
        <v/>
      </c>
      <c r="D760" s="3" t="str">
        <f>IF('1.1 Produksi Bersih Padi 2025'!D762="","",'1.1 Produksi Bersih Padi 2025'!D762)</f>
        <v/>
      </c>
      <c r="E760" s="3" t="str">
        <f>IF('1.1 Produksi Bersih Padi 2025'!E762="","",'1.1 Produksi Bersih Padi 2025'!E762)</f>
        <v/>
      </c>
      <c r="F760" s="13" t="str">
        <f>'1.1 Produksi Bersih Padi 2025'!Q762</f>
        <v/>
      </c>
      <c r="G760" s="13" t="str">
        <f>'1.2 Produksi Bersih Jagung 2025'!L762</f>
        <v/>
      </c>
      <c r="H760" s="13" t="str">
        <f>'1.3 Prod Bersih Ubi Kayu 2025'!K762</f>
        <v/>
      </c>
      <c r="I760" s="13" t="str">
        <f>'1.4 Prod Bersih Ubi Jalar 2025'!K762</f>
        <v/>
      </c>
      <c r="J760" s="13" t="str">
        <f>'1.5 Prod Bersih Sagu 2025'!K762</f>
        <v/>
      </c>
      <c r="K760" s="13" t="str">
        <f>'1.6 Prod Bersih Pisang 2025'!K762</f>
        <v/>
      </c>
      <c r="L760" s="15">
        <f t="shared" si="33"/>
        <v>0</v>
      </c>
      <c r="M760" s="14" t="str">
        <f>IF(D760="","",VLOOKUP(D760,'[1]0.1 Produksi Pangan &amp; Penduduk'!$D$5:$AU$704,44,0))</f>
        <v/>
      </c>
      <c r="N760" s="26" t="str">
        <f t="shared" si="34"/>
        <v/>
      </c>
      <c r="O760" s="16"/>
      <c r="P760" s="25" t="str">
        <f t="shared" si="35"/>
        <v/>
      </c>
      <c r="Q760" s="8"/>
    </row>
    <row r="761" spans="1:17" ht="15" x14ac:dyDescent="0.25">
      <c r="A761" s="3" t="str">
        <f>IF('1.1 Produksi Bersih Padi 2025'!A763="","",'1.1 Produksi Bersih Padi 2025'!A763)</f>
        <v/>
      </c>
      <c r="B761" s="32" t="str">
        <f>IF('1.1 Produksi Bersih Padi 2025'!B763="","",'1.1 Produksi Bersih Padi 2025'!B763)</f>
        <v/>
      </c>
      <c r="C761" s="32" t="str">
        <f>IF('1.1 Produksi Bersih Padi 2025'!C763="","",'1.1 Produksi Bersih Padi 2025'!C763)</f>
        <v/>
      </c>
      <c r="D761" s="3" t="str">
        <f>IF('1.1 Produksi Bersih Padi 2025'!D763="","",'1.1 Produksi Bersih Padi 2025'!D763)</f>
        <v/>
      </c>
      <c r="E761" s="3" t="str">
        <f>IF('1.1 Produksi Bersih Padi 2025'!E763="","",'1.1 Produksi Bersih Padi 2025'!E763)</f>
        <v/>
      </c>
      <c r="F761" s="13" t="str">
        <f>'1.1 Produksi Bersih Padi 2025'!Q763</f>
        <v/>
      </c>
      <c r="G761" s="13" t="str">
        <f>'1.2 Produksi Bersih Jagung 2025'!L763</f>
        <v/>
      </c>
      <c r="H761" s="13" t="str">
        <f>'1.3 Prod Bersih Ubi Kayu 2025'!K763</f>
        <v/>
      </c>
      <c r="I761" s="13" t="str">
        <f>'1.4 Prod Bersih Ubi Jalar 2025'!K763</f>
        <v/>
      </c>
      <c r="J761" s="13" t="str">
        <f>'1.5 Prod Bersih Sagu 2025'!K763</f>
        <v/>
      </c>
      <c r="K761" s="13" t="str">
        <f>'1.6 Prod Bersih Pisang 2025'!K763</f>
        <v/>
      </c>
      <c r="L761" s="15">
        <f t="shared" si="33"/>
        <v>0</v>
      </c>
      <c r="M761" s="14" t="str">
        <f>IF(D761="","",VLOOKUP(D761,'[1]0.1 Produksi Pangan &amp; Penduduk'!$D$5:$AU$704,44,0))</f>
        <v/>
      </c>
      <c r="N761" s="26" t="str">
        <f t="shared" si="34"/>
        <v/>
      </c>
      <c r="O761" s="16"/>
      <c r="P761" s="25" t="str">
        <f t="shared" si="35"/>
        <v/>
      </c>
      <c r="Q761" s="8"/>
    </row>
    <row r="762" spans="1:17" ht="15" x14ac:dyDescent="0.25">
      <c r="A762" s="3" t="str">
        <f>IF('1.1 Produksi Bersih Padi 2025'!A764="","",'1.1 Produksi Bersih Padi 2025'!A764)</f>
        <v/>
      </c>
      <c r="B762" s="32" t="str">
        <f>IF('1.1 Produksi Bersih Padi 2025'!B764="","",'1.1 Produksi Bersih Padi 2025'!B764)</f>
        <v/>
      </c>
      <c r="C762" s="32" t="str">
        <f>IF('1.1 Produksi Bersih Padi 2025'!C764="","",'1.1 Produksi Bersih Padi 2025'!C764)</f>
        <v/>
      </c>
      <c r="D762" s="3" t="str">
        <f>IF('1.1 Produksi Bersih Padi 2025'!D764="","",'1.1 Produksi Bersih Padi 2025'!D764)</f>
        <v/>
      </c>
      <c r="E762" s="3" t="str">
        <f>IF('1.1 Produksi Bersih Padi 2025'!E764="","",'1.1 Produksi Bersih Padi 2025'!E764)</f>
        <v/>
      </c>
      <c r="F762" s="13" t="str">
        <f>'1.1 Produksi Bersih Padi 2025'!Q764</f>
        <v/>
      </c>
      <c r="G762" s="13" t="str">
        <f>'1.2 Produksi Bersih Jagung 2025'!L764</f>
        <v/>
      </c>
      <c r="H762" s="13" t="str">
        <f>'1.3 Prod Bersih Ubi Kayu 2025'!K764</f>
        <v/>
      </c>
      <c r="I762" s="13" t="str">
        <f>'1.4 Prod Bersih Ubi Jalar 2025'!K764</f>
        <v/>
      </c>
      <c r="J762" s="13" t="str">
        <f>'1.5 Prod Bersih Sagu 2025'!K764</f>
        <v/>
      </c>
      <c r="K762" s="13" t="str">
        <f>'1.6 Prod Bersih Pisang 2025'!K764</f>
        <v/>
      </c>
      <c r="L762" s="15">
        <f t="shared" si="33"/>
        <v>0</v>
      </c>
      <c r="M762" s="14" t="str">
        <f>IF(D762="","",VLOOKUP(D762,'[1]0.1 Produksi Pangan &amp; Penduduk'!$D$5:$AU$704,44,0))</f>
        <v/>
      </c>
      <c r="N762" s="26" t="str">
        <f t="shared" si="34"/>
        <v/>
      </c>
      <c r="O762" s="16"/>
      <c r="P762" s="25" t="str">
        <f t="shared" si="35"/>
        <v/>
      </c>
      <c r="Q762" s="8"/>
    </row>
    <row r="763" spans="1:17" ht="15" x14ac:dyDescent="0.25">
      <c r="A763" s="3" t="str">
        <f>IF('1.1 Produksi Bersih Padi 2025'!A765="","",'1.1 Produksi Bersih Padi 2025'!A765)</f>
        <v/>
      </c>
      <c r="B763" s="32" t="str">
        <f>IF('1.1 Produksi Bersih Padi 2025'!B765="","",'1.1 Produksi Bersih Padi 2025'!B765)</f>
        <v/>
      </c>
      <c r="C763" s="32" t="str">
        <f>IF('1.1 Produksi Bersih Padi 2025'!C765="","",'1.1 Produksi Bersih Padi 2025'!C765)</f>
        <v/>
      </c>
      <c r="D763" s="3" t="str">
        <f>IF('1.1 Produksi Bersih Padi 2025'!D765="","",'1.1 Produksi Bersih Padi 2025'!D765)</f>
        <v/>
      </c>
      <c r="E763" s="3" t="str">
        <f>IF('1.1 Produksi Bersih Padi 2025'!E765="","",'1.1 Produksi Bersih Padi 2025'!E765)</f>
        <v/>
      </c>
      <c r="F763" s="13" t="str">
        <f>'1.1 Produksi Bersih Padi 2025'!Q765</f>
        <v/>
      </c>
      <c r="G763" s="13" t="str">
        <f>'1.2 Produksi Bersih Jagung 2025'!L765</f>
        <v/>
      </c>
      <c r="H763" s="13" t="str">
        <f>'1.3 Prod Bersih Ubi Kayu 2025'!K765</f>
        <v/>
      </c>
      <c r="I763" s="13" t="str">
        <f>'1.4 Prod Bersih Ubi Jalar 2025'!K765</f>
        <v/>
      </c>
      <c r="J763" s="13" t="str">
        <f>'1.5 Prod Bersih Sagu 2025'!K765</f>
        <v/>
      </c>
      <c r="K763" s="13" t="str">
        <f>'1.6 Prod Bersih Pisang 2025'!K765</f>
        <v/>
      </c>
      <c r="L763" s="15">
        <f t="shared" si="33"/>
        <v>0</v>
      </c>
      <c r="M763" s="14" t="str">
        <f>IF(D763="","",VLOOKUP(D763,'[1]0.1 Produksi Pangan &amp; Penduduk'!$D$5:$AU$704,44,0))</f>
        <v/>
      </c>
      <c r="N763" s="26" t="str">
        <f t="shared" si="34"/>
        <v/>
      </c>
      <c r="O763" s="16"/>
      <c r="P763" s="25" t="str">
        <f t="shared" si="35"/>
        <v/>
      </c>
      <c r="Q763" s="8"/>
    </row>
    <row r="764" spans="1:17" ht="15" x14ac:dyDescent="0.25">
      <c r="A764" s="3" t="str">
        <f>IF('1.1 Produksi Bersih Padi 2025'!A766="","",'1.1 Produksi Bersih Padi 2025'!A766)</f>
        <v/>
      </c>
      <c r="B764" s="32" t="str">
        <f>IF('1.1 Produksi Bersih Padi 2025'!B766="","",'1.1 Produksi Bersih Padi 2025'!B766)</f>
        <v/>
      </c>
      <c r="C764" s="32" t="str">
        <f>IF('1.1 Produksi Bersih Padi 2025'!C766="","",'1.1 Produksi Bersih Padi 2025'!C766)</f>
        <v/>
      </c>
      <c r="D764" s="3" t="str">
        <f>IF('1.1 Produksi Bersih Padi 2025'!D766="","",'1.1 Produksi Bersih Padi 2025'!D766)</f>
        <v/>
      </c>
      <c r="E764" s="3" t="str">
        <f>IF('1.1 Produksi Bersih Padi 2025'!E766="","",'1.1 Produksi Bersih Padi 2025'!E766)</f>
        <v/>
      </c>
      <c r="F764" s="13" t="str">
        <f>'1.1 Produksi Bersih Padi 2025'!Q766</f>
        <v/>
      </c>
      <c r="G764" s="13" t="str">
        <f>'1.2 Produksi Bersih Jagung 2025'!L766</f>
        <v/>
      </c>
      <c r="H764" s="13" t="str">
        <f>'1.3 Prod Bersih Ubi Kayu 2025'!K766</f>
        <v/>
      </c>
      <c r="I764" s="13" t="str">
        <f>'1.4 Prod Bersih Ubi Jalar 2025'!K766</f>
        <v/>
      </c>
      <c r="J764" s="13" t="str">
        <f>'1.5 Prod Bersih Sagu 2025'!K766</f>
        <v/>
      </c>
      <c r="K764" s="13" t="str">
        <f>'1.6 Prod Bersih Pisang 2025'!K766</f>
        <v/>
      </c>
      <c r="L764" s="15">
        <f t="shared" si="33"/>
        <v>0</v>
      </c>
      <c r="M764" s="14" t="str">
        <f>IF(D764="","",VLOOKUP(D764,'[1]0.1 Produksi Pangan &amp; Penduduk'!$D$5:$AU$704,44,0))</f>
        <v/>
      </c>
      <c r="N764" s="26" t="str">
        <f t="shared" si="34"/>
        <v/>
      </c>
      <c r="O764" s="16"/>
      <c r="P764" s="25" t="str">
        <f t="shared" si="35"/>
        <v/>
      </c>
      <c r="Q764" s="8"/>
    </row>
    <row r="765" spans="1:17" ht="15" x14ac:dyDescent="0.25">
      <c r="A765" s="3" t="str">
        <f>IF('1.1 Produksi Bersih Padi 2025'!A767="","",'1.1 Produksi Bersih Padi 2025'!A767)</f>
        <v/>
      </c>
      <c r="B765" s="32" t="str">
        <f>IF('1.1 Produksi Bersih Padi 2025'!B767="","",'1.1 Produksi Bersih Padi 2025'!B767)</f>
        <v/>
      </c>
      <c r="C765" s="32" t="str">
        <f>IF('1.1 Produksi Bersih Padi 2025'!C767="","",'1.1 Produksi Bersih Padi 2025'!C767)</f>
        <v/>
      </c>
      <c r="D765" s="3" t="str">
        <f>IF('1.1 Produksi Bersih Padi 2025'!D767="","",'1.1 Produksi Bersih Padi 2025'!D767)</f>
        <v/>
      </c>
      <c r="E765" s="3" t="str">
        <f>IF('1.1 Produksi Bersih Padi 2025'!E767="","",'1.1 Produksi Bersih Padi 2025'!E767)</f>
        <v/>
      </c>
      <c r="F765" s="13" t="str">
        <f>'1.1 Produksi Bersih Padi 2025'!Q767</f>
        <v/>
      </c>
      <c r="G765" s="13" t="str">
        <f>'1.2 Produksi Bersih Jagung 2025'!L767</f>
        <v/>
      </c>
      <c r="H765" s="13" t="str">
        <f>'1.3 Prod Bersih Ubi Kayu 2025'!K767</f>
        <v/>
      </c>
      <c r="I765" s="13" t="str">
        <f>'1.4 Prod Bersih Ubi Jalar 2025'!K767</f>
        <v/>
      </c>
      <c r="J765" s="13" t="str">
        <f>'1.5 Prod Bersih Sagu 2025'!K767</f>
        <v/>
      </c>
      <c r="K765" s="13" t="str">
        <f>'1.6 Prod Bersih Pisang 2025'!K767</f>
        <v/>
      </c>
      <c r="L765" s="15">
        <f t="shared" si="33"/>
        <v>0</v>
      </c>
      <c r="M765" s="14" t="str">
        <f>IF(D765="","",VLOOKUP(D765,'[1]0.1 Produksi Pangan &amp; Penduduk'!$D$5:$AU$704,44,0))</f>
        <v/>
      </c>
      <c r="N765" s="26" t="str">
        <f t="shared" si="34"/>
        <v/>
      </c>
      <c r="O765" s="16"/>
      <c r="P765" s="25" t="str">
        <f t="shared" si="35"/>
        <v/>
      </c>
      <c r="Q765" s="8"/>
    </row>
    <row r="766" spans="1:17" ht="15" x14ac:dyDescent="0.25">
      <c r="A766" s="3" t="str">
        <f>IF('1.1 Produksi Bersih Padi 2025'!A768="","",'1.1 Produksi Bersih Padi 2025'!A768)</f>
        <v/>
      </c>
      <c r="B766" s="32" t="str">
        <f>IF('1.1 Produksi Bersih Padi 2025'!B768="","",'1.1 Produksi Bersih Padi 2025'!B768)</f>
        <v/>
      </c>
      <c r="C766" s="32" t="str">
        <f>IF('1.1 Produksi Bersih Padi 2025'!C768="","",'1.1 Produksi Bersih Padi 2025'!C768)</f>
        <v/>
      </c>
      <c r="D766" s="3" t="str">
        <f>IF('1.1 Produksi Bersih Padi 2025'!D768="","",'1.1 Produksi Bersih Padi 2025'!D768)</f>
        <v/>
      </c>
      <c r="E766" s="3" t="str">
        <f>IF('1.1 Produksi Bersih Padi 2025'!E768="","",'1.1 Produksi Bersih Padi 2025'!E768)</f>
        <v/>
      </c>
      <c r="F766" s="13" t="str">
        <f>'1.1 Produksi Bersih Padi 2025'!Q768</f>
        <v/>
      </c>
      <c r="G766" s="13" t="str">
        <f>'1.2 Produksi Bersih Jagung 2025'!L768</f>
        <v/>
      </c>
      <c r="H766" s="13" t="str">
        <f>'1.3 Prod Bersih Ubi Kayu 2025'!K768</f>
        <v/>
      </c>
      <c r="I766" s="13" t="str">
        <f>'1.4 Prod Bersih Ubi Jalar 2025'!K768</f>
        <v/>
      </c>
      <c r="J766" s="13" t="str">
        <f>'1.5 Prod Bersih Sagu 2025'!K768</f>
        <v/>
      </c>
      <c r="K766" s="13" t="str">
        <f>'1.6 Prod Bersih Pisang 2025'!K768</f>
        <v/>
      </c>
      <c r="L766" s="15">
        <f t="shared" si="33"/>
        <v>0</v>
      </c>
      <c r="M766" s="14" t="str">
        <f>IF(D766="","",VLOOKUP(D766,'[1]0.1 Produksi Pangan &amp; Penduduk'!$D$5:$AU$704,44,0))</f>
        <v/>
      </c>
      <c r="N766" s="26" t="str">
        <f t="shared" si="34"/>
        <v/>
      </c>
      <c r="O766" s="16"/>
      <c r="P766" s="25" t="str">
        <f t="shared" si="35"/>
        <v/>
      </c>
      <c r="Q766" s="8"/>
    </row>
    <row r="767" spans="1:17" ht="15" x14ac:dyDescent="0.25">
      <c r="A767" s="3" t="str">
        <f>IF('1.1 Produksi Bersih Padi 2025'!A769="","",'1.1 Produksi Bersih Padi 2025'!A769)</f>
        <v/>
      </c>
      <c r="B767" s="32" t="str">
        <f>IF('1.1 Produksi Bersih Padi 2025'!B769="","",'1.1 Produksi Bersih Padi 2025'!B769)</f>
        <v/>
      </c>
      <c r="C767" s="32" t="str">
        <f>IF('1.1 Produksi Bersih Padi 2025'!C769="","",'1.1 Produksi Bersih Padi 2025'!C769)</f>
        <v/>
      </c>
      <c r="D767" s="3" t="str">
        <f>IF('1.1 Produksi Bersih Padi 2025'!D769="","",'1.1 Produksi Bersih Padi 2025'!D769)</f>
        <v/>
      </c>
      <c r="E767" s="3" t="str">
        <f>IF('1.1 Produksi Bersih Padi 2025'!E769="","",'1.1 Produksi Bersih Padi 2025'!E769)</f>
        <v/>
      </c>
      <c r="F767" s="13" t="str">
        <f>'1.1 Produksi Bersih Padi 2025'!Q769</f>
        <v/>
      </c>
      <c r="G767" s="13" t="str">
        <f>'1.2 Produksi Bersih Jagung 2025'!L769</f>
        <v/>
      </c>
      <c r="H767" s="13" t="str">
        <f>'1.3 Prod Bersih Ubi Kayu 2025'!K769</f>
        <v/>
      </c>
      <c r="I767" s="13" t="str">
        <f>'1.4 Prod Bersih Ubi Jalar 2025'!K769</f>
        <v/>
      </c>
      <c r="J767" s="13" t="str">
        <f>'1.5 Prod Bersih Sagu 2025'!K769</f>
        <v/>
      </c>
      <c r="K767" s="13" t="str">
        <f>'1.6 Prod Bersih Pisang 2025'!K769</f>
        <v/>
      </c>
      <c r="L767" s="15">
        <f t="shared" si="33"/>
        <v>0</v>
      </c>
      <c r="M767" s="14" t="str">
        <f>IF(D767="","",VLOOKUP(D767,'[1]0.1 Produksi Pangan &amp; Penduduk'!$D$5:$AU$704,44,0))</f>
        <v/>
      </c>
      <c r="N767" s="26" t="str">
        <f t="shared" si="34"/>
        <v/>
      </c>
      <c r="O767" s="16"/>
      <c r="P767" s="25" t="str">
        <f t="shared" si="35"/>
        <v/>
      </c>
      <c r="Q767" s="8"/>
    </row>
    <row r="768" spans="1:17" ht="15" x14ac:dyDescent="0.25">
      <c r="A768" s="3" t="str">
        <f>IF('1.1 Produksi Bersih Padi 2025'!A770="","",'1.1 Produksi Bersih Padi 2025'!A770)</f>
        <v/>
      </c>
      <c r="B768" s="32" t="str">
        <f>IF('1.1 Produksi Bersih Padi 2025'!B770="","",'1.1 Produksi Bersih Padi 2025'!B770)</f>
        <v/>
      </c>
      <c r="C768" s="32" t="str">
        <f>IF('1.1 Produksi Bersih Padi 2025'!C770="","",'1.1 Produksi Bersih Padi 2025'!C770)</f>
        <v/>
      </c>
      <c r="D768" s="3" t="str">
        <f>IF('1.1 Produksi Bersih Padi 2025'!D770="","",'1.1 Produksi Bersih Padi 2025'!D770)</f>
        <v/>
      </c>
      <c r="E768" s="3" t="str">
        <f>IF('1.1 Produksi Bersih Padi 2025'!E770="","",'1.1 Produksi Bersih Padi 2025'!E770)</f>
        <v/>
      </c>
      <c r="F768" s="13" t="str">
        <f>'1.1 Produksi Bersih Padi 2025'!Q770</f>
        <v/>
      </c>
      <c r="G768" s="13" t="str">
        <f>'1.2 Produksi Bersih Jagung 2025'!L770</f>
        <v/>
      </c>
      <c r="H768" s="13" t="str">
        <f>'1.3 Prod Bersih Ubi Kayu 2025'!K770</f>
        <v/>
      </c>
      <c r="I768" s="13" t="str">
        <f>'1.4 Prod Bersih Ubi Jalar 2025'!K770</f>
        <v/>
      </c>
      <c r="J768" s="13" t="str">
        <f>'1.5 Prod Bersih Sagu 2025'!K770</f>
        <v/>
      </c>
      <c r="K768" s="13" t="str">
        <f>'1.6 Prod Bersih Pisang 2025'!K770</f>
        <v/>
      </c>
      <c r="L768" s="15">
        <f t="shared" si="33"/>
        <v>0</v>
      </c>
      <c r="M768" s="14" t="str">
        <f>IF(D768="","",VLOOKUP(D768,'[1]0.1 Produksi Pangan &amp; Penduduk'!$D$5:$AU$704,44,0))</f>
        <v/>
      </c>
      <c r="N768" s="26" t="str">
        <f t="shared" si="34"/>
        <v/>
      </c>
      <c r="O768" s="16"/>
      <c r="P768" s="25" t="str">
        <f t="shared" si="35"/>
        <v/>
      </c>
      <c r="Q768" s="8"/>
    </row>
    <row r="769" spans="1:17" ht="15" x14ac:dyDescent="0.25">
      <c r="A769" s="3" t="str">
        <f>IF('1.1 Produksi Bersih Padi 2025'!A771="","",'1.1 Produksi Bersih Padi 2025'!A771)</f>
        <v/>
      </c>
      <c r="B769" s="32" t="str">
        <f>IF('1.1 Produksi Bersih Padi 2025'!B771="","",'1.1 Produksi Bersih Padi 2025'!B771)</f>
        <v/>
      </c>
      <c r="C769" s="32" t="str">
        <f>IF('1.1 Produksi Bersih Padi 2025'!C771="","",'1.1 Produksi Bersih Padi 2025'!C771)</f>
        <v/>
      </c>
      <c r="D769" s="3" t="str">
        <f>IF('1.1 Produksi Bersih Padi 2025'!D771="","",'1.1 Produksi Bersih Padi 2025'!D771)</f>
        <v/>
      </c>
      <c r="E769" s="3" t="str">
        <f>IF('1.1 Produksi Bersih Padi 2025'!E771="","",'1.1 Produksi Bersih Padi 2025'!E771)</f>
        <v/>
      </c>
      <c r="F769" s="13" t="str">
        <f>'1.1 Produksi Bersih Padi 2025'!Q771</f>
        <v/>
      </c>
      <c r="G769" s="13" t="str">
        <f>'1.2 Produksi Bersih Jagung 2025'!L771</f>
        <v/>
      </c>
      <c r="H769" s="13" t="str">
        <f>'1.3 Prod Bersih Ubi Kayu 2025'!K771</f>
        <v/>
      </c>
      <c r="I769" s="13" t="str">
        <f>'1.4 Prod Bersih Ubi Jalar 2025'!K771</f>
        <v/>
      </c>
      <c r="J769" s="13" t="str">
        <f>'1.5 Prod Bersih Sagu 2025'!K771</f>
        <v/>
      </c>
      <c r="K769" s="13" t="str">
        <f>'1.6 Prod Bersih Pisang 2025'!K771</f>
        <v/>
      </c>
      <c r="L769" s="15">
        <f t="shared" si="33"/>
        <v>0</v>
      </c>
      <c r="M769" s="14" t="str">
        <f>IF(D769="","",VLOOKUP(D769,'[1]0.1 Produksi Pangan &amp; Penduduk'!$D$5:$AU$704,44,0))</f>
        <v/>
      </c>
      <c r="N769" s="26" t="str">
        <f t="shared" si="34"/>
        <v/>
      </c>
      <c r="O769" s="16"/>
      <c r="P769" s="25" t="str">
        <f t="shared" si="35"/>
        <v/>
      </c>
      <c r="Q769" s="8"/>
    </row>
    <row r="770" spans="1:17" ht="15" x14ac:dyDescent="0.25">
      <c r="A770" s="3" t="str">
        <f>IF('1.1 Produksi Bersih Padi 2025'!A772="","",'1.1 Produksi Bersih Padi 2025'!A772)</f>
        <v/>
      </c>
      <c r="B770" s="32" t="str">
        <f>IF('1.1 Produksi Bersih Padi 2025'!B772="","",'1.1 Produksi Bersih Padi 2025'!B772)</f>
        <v/>
      </c>
      <c r="C770" s="32" t="str">
        <f>IF('1.1 Produksi Bersih Padi 2025'!C772="","",'1.1 Produksi Bersih Padi 2025'!C772)</f>
        <v/>
      </c>
      <c r="D770" s="3" t="str">
        <f>IF('1.1 Produksi Bersih Padi 2025'!D772="","",'1.1 Produksi Bersih Padi 2025'!D772)</f>
        <v/>
      </c>
      <c r="E770" s="3" t="str">
        <f>IF('1.1 Produksi Bersih Padi 2025'!E772="","",'1.1 Produksi Bersih Padi 2025'!E772)</f>
        <v/>
      </c>
      <c r="F770" s="13" t="str">
        <f>'1.1 Produksi Bersih Padi 2025'!Q772</f>
        <v/>
      </c>
      <c r="G770" s="13" t="str">
        <f>'1.2 Produksi Bersih Jagung 2025'!L772</f>
        <v/>
      </c>
      <c r="H770" s="13" t="str">
        <f>'1.3 Prod Bersih Ubi Kayu 2025'!K772</f>
        <v/>
      </c>
      <c r="I770" s="13" t="str">
        <f>'1.4 Prod Bersih Ubi Jalar 2025'!K772</f>
        <v/>
      </c>
      <c r="J770" s="13" t="str">
        <f>'1.5 Prod Bersih Sagu 2025'!K772</f>
        <v/>
      </c>
      <c r="K770" s="13" t="str">
        <f>'1.6 Prod Bersih Pisang 2025'!K772</f>
        <v/>
      </c>
      <c r="L770" s="15">
        <f t="shared" si="33"/>
        <v>0</v>
      </c>
      <c r="M770" s="14" t="str">
        <f>IF(D770="","",VLOOKUP(D770,'[1]0.1 Produksi Pangan &amp; Penduduk'!$D$5:$AU$704,44,0))</f>
        <v/>
      </c>
      <c r="N770" s="26" t="str">
        <f t="shared" si="34"/>
        <v/>
      </c>
      <c r="O770" s="16"/>
      <c r="P770" s="25" t="str">
        <f t="shared" si="35"/>
        <v/>
      </c>
      <c r="Q770" s="8"/>
    </row>
    <row r="771" spans="1:17" ht="15" x14ac:dyDescent="0.25">
      <c r="A771" s="3" t="str">
        <f>IF('1.1 Produksi Bersih Padi 2025'!A773="","",'1.1 Produksi Bersih Padi 2025'!A773)</f>
        <v/>
      </c>
      <c r="B771" s="32" t="str">
        <f>IF('1.1 Produksi Bersih Padi 2025'!B773="","",'1.1 Produksi Bersih Padi 2025'!B773)</f>
        <v/>
      </c>
      <c r="C771" s="32" t="str">
        <f>IF('1.1 Produksi Bersih Padi 2025'!C773="","",'1.1 Produksi Bersih Padi 2025'!C773)</f>
        <v/>
      </c>
      <c r="D771" s="3" t="str">
        <f>IF('1.1 Produksi Bersih Padi 2025'!D773="","",'1.1 Produksi Bersih Padi 2025'!D773)</f>
        <v/>
      </c>
      <c r="E771" s="3" t="str">
        <f>IF('1.1 Produksi Bersih Padi 2025'!E773="","",'1.1 Produksi Bersih Padi 2025'!E773)</f>
        <v/>
      </c>
      <c r="F771" s="13" t="str">
        <f>'1.1 Produksi Bersih Padi 2025'!Q773</f>
        <v/>
      </c>
      <c r="G771" s="13" t="str">
        <f>'1.2 Produksi Bersih Jagung 2025'!L773</f>
        <v/>
      </c>
      <c r="H771" s="13" t="str">
        <f>'1.3 Prod Bersih Ubi Kayu 2025'!K773</f>
        <v/>
      </c>
      <c r="I771" s="13" t="str">
        <f>'1.4 Prod Bersih Ubi Jalar 2025'!K773</f>
        <v/>
      </c>
      <c r="J771" s="13" t="str">
        <f>'1.5 Prod Bersih Sagu 2025'!K773</f>
        <v/>
      </c>
      <c r="K771" s="13" t="str">
        <f>'1.6 Prod Bersih Pisang 2025'!K773</f>
        <v/>
      </c>
      <c r="L771" s="15">
        <f t="shared" si="33"/>
        <v>0</v>
      </c>
      <c r="M771" s="14" t="str">
        <f>IF(D771="","",VLOOKUP(D771,'[1]0.1 Produksi Pangan &amp; Penduduk'!$D$5:$AU$704,44,0))</f>
        <v/>
      </c>
      <c r="N771" s="26" t="str">
        <f t="shared" si="34"/>
        <v/>
      </c>
      <c r="O771" s="16"/>
      <c r="P771" s="25" t="str">
        <f t="shared" si="35"/>
        <v/>
      </c>
      <c r="Q771" s="8"/>
    </row>
    <row r="772" spans="1:17" ht="15" x14ac:dyDescent="0.25">
      <c r="A772" s="3" t="str">
        <f>IF('1.1 Produksi Bersih Padi 2025'!A774="","",'1.1 Produksi Bersih Padi 2025'!A774)</f>
        <v/>
      </c>
      <c r="B772" s="32" t="str">
        <f>IF('1.1 Produksi Bersih Padi 2025'!B774="","",'1.1 Produksi Bersih Padi 2025'!B774)</f>
        <v/>
      </c>
      <c r="C772" s="32" t="str">
        <f>IF('1.1 Produksi Bersih Padi 2025'!C774="","",'1.1 Produksi Bersih Padi 2025'!C774)</f>
        <v/>
      </c>
      <c r="D772" s="3" t="str">
        <f>IF('1.1 Produksi Bersih Padi 2025'!D774="","",'1.1 Produksi Bersih Padi 2025'!D774)</f>
        <v/>
      </c>
      <c r="E772" s="3" t="str">
        <f>IF('1.1 Produksi Bersih Padi 2025'!E774="","",'1.1 Produksi Bersih Padi 2025'!E774)</f>
        <v/>
      </c>
      <c r="F772" s="13" t="str">
        <f>'1.1 Produksi Bersih Padi 2025'!Q774</f>
        <v/>
      </c>
      <c r="G772" s="13" t="str">
        <f>'1.2 Produksi Bersih Jagung 2025'!L774</f>
        <v/>
      </c>
      <c r="H772" s="13" t="str">
        <f>'1.3 Prod Bersih Ubi Kayu 2025'!K774</f>
        <v/>
      </c>
      <c r="I772" s="13" t="str">
        <f>'1.4 Prod Bersih Ubi Jalar 2025'!K774</f>
        <v/>
      </c>
      <c r="J772" s="13" t="str">
        <f>'1.5 Prod Bersih Sagu 2025'!K774</f>
        <v/>
      </c>
      <c r="K772" s="13" t="str">
        <f>'1.6 Prod Bersih Pisang 2025'!K774</f>
        <v/>
      </c>
      <c r="L772" s="15">
        <f t="shared" ref="L772:L835" si="36">IFERROR(SUM(F772:K772),0)</f>
        <v>0</v>
      </c>
      <c r="M772" s="14" t="str">
        <f>IF(D772="","",VLOOKUP(D772,'[1]0.1 Produksi Pangan &amp; Penduduk'!$D$5:$AU$704,44,0))</f>
        <v/>
      </c>
      <c r="N772" s="26" t="str">
        <f t="shared" ref="N772:N835" si="37">IF(M772="","",IFERROR((L772*1000*1000/M772)/365,"-"))</f>
        <v/>
      </c>
      <c r="O772" s="16"/>
      <c r="P772" s="25" t="str">
        <f t="shared" ref="P772:P835" si="38">IF(N772="","",IFERROR(300/N772,"-"))</f>
        <v/>
      </c>
      <c r="Q772" s="8"/>
    </row>
    <row r="773" spans="1:17" ht="15" x14ac:dyDescent="0.25">
      <c r="A773" s="3" t="str">
        <f>IF('1.1 Produksi Bersih Padi 2025'!A775="","",'1.1 Produksi Bersih Padi 2025'!A775)</f>
        <v/>
      </c>
      <c r="B773" s="32" t="str">
        <f>IF('1.1 Produksi Bersih Padi 2025'!B775="","",'1.1 Produksi Bersih Padi 2025'!B775)</f>
        <v/>
      </c>
      <c r="C773" s="32" t="str">
        <f>IF('1.1 Produksi Bersih Padi 2025'!C775="","",'1.1 Produksi Bersih Padi 2025'!C775)</f>
        <v/>
      </c>
      <c r="D773" s="3" t="str">
        <f>IF('1.1 Produksi Bersih Padi 2025'!D775="","",'1.1 Produksi Bersih Padi 2025'!D775)</f>
        <v/>
      </c>
      <c r="E773" s="3" t="str">
        <f>IF('1.1 Produksi Bersih Padi 2025'!E775="","",'1.1 Produksi Bersih Padi 2025'!E775)</f>
        <v/>
      </c>
      <c r="F773" s="13" t="str">
        <f>'1.1 Produksi Bersih Padi 2025'!Q775</f>
        <v/>
      </c>
      <c r="G773" s="13" t="str">
        <f>'1.2 Produksi Bersih Jagung 2025'!L775</f>
        <v/>
      </c>
      <c r="H773" s="13" t="str">
        <f>'1.3 Prod Bersih Ubi Kayu 2025'!K775</f>
        <v/>
      </c>
      <c r="I773" s="13" t="str">
        <f>'1.4 Prod Bersih Ubi Jalar 2025'!K775</f>
        <v/>
      </c>
      <c r="J773" s="13" t="str">
        <f>'1.5 Prod Bersih Sagu 2025'!K775</f>
        <v/>
      </c>
      <c r="K773" s="13" t="str">
        <f>'1.6 Prod Bersih Pisang 2025'!K775</f>
        <v/>
      </c>
      <c r="L773" s="15">
        <f t="shared" si="36"/>
        <v>0</v>
      </c>
      <c r="M773" s="14" t="str">
        <f>IF(D773="","",VLOOKUP(D773,'[1]0.1 Produksi Pangan &amp; Penduduk'!$D$5:$AU$704,44,0))</f>
        <v/>
      </c>
      <c r="N773" s="26" t="str">
        <f t="shared" si="37"/>
        <v/>
      </c>
      <c r="O773" s="16"/>
      <c r="P773" s="25" t="str">
        <f t="shared" si="38"/>
        <v/>
      </c>
      <c r="Q773" s="8"/>
    </row>
    <row r="774" spans="1:17" ht="15" x14ac:dyDescent="0.25">
      <c r="A774" s="3" t="str">
        <f>IF('1.1 Produksi Bersih Padi 2025'!A776="","",'1.1 Produksi Bersih Padi 2025'!A776)</f>
        <v/>
      </c>
      <c r="B774" s="32" t="str">
        <f>IF('1.1 Produksi Bersih Padi 2025'!B776="","",'1.1 Produksi Bersih Padi 2025'!B776)</f>
        <v/>
      </c>
      <c r="C774" s="32" t="str">
        <f>IF('1.1 Produksi Bersih Padi 2025'!C776="","",'1.1 Produksi Bersih Padi 2025'!C776)</f>
        <v/>
      </c>
      <c r="D774" s="3" t="str">
        <f>IF('1.1 Produksi Bersih Padi 2025'!D776="","",'1.1 Produksi Bersih Padi 2025'!D776)</f>
        <v/>
      </c>
      <c r="E774" s="3" t="str">
        <f>IF('1.1 Produksi Bersih Padi 2025'!E776="","",'1.1 Produksi Bersih Padi 2025'!E776)</f>
        <v/>
      </c>
      <c r="F774" s="13" t="str">
        <f>'1.1 Produksi Bersih Padi 2025'!Q776</f>
        <v/>
      </c>
      <c r="G774" s="13" t="str">
        <f>'1.2 Produksi Bersih Jagung 2025'!L776</f>
        <v/>
      </c>
      <c r="H774" s="13" t="str">
        <f>'1.3 Prod Bersih Ubi Kayu 2025'!K776</f>
        <v/>
      </c>
      <c r="I774" s="13" t="str">
        <f>'1.4 Prod Bersih Ubi Jalar 2025'!K776</f>
        <v/>
      </c>
      <c r="J774" s="13" t="str">
        <f>'1.5 Prod Bersih Sagu 2025'!K776</f>
        <v/>
      </c>
      <c r="K774" s="13" t="str">
        <f>'1.6 Prod Bersih Pisang 2025'!K776</f>
        <v/>
      </c>
      <c r="L774" s="15">
        <f t="shared" si="36"/>
        <v>0</v>
      </c>
      <c r="M774" s="14" t="str">
        <f>IF(D774="","",VLOOKUP(D774,'[1]0.1 Produksi Pangan &amp; Penduduk'!$D$5:$AU$704,44,0))</f>
        <v/>
      </c>
      <c r="N774" s="26" t="str">
        <f t="shared" si="37"/>
        <v/>
      </c>
      <c r="O774" s="16"/>
      <c r="P774" s="25" t="str">
        <f t="shared" si="38"/>
        <v/>
      </c>
      <c r="Q774" s="8"/>
    </row>
    <row r="775" spans="1:17" ht="15" x14ac:dyDescent="0.25">
      <c r="A775" s="3" t="str">
        <f>IF('1.1 Produksi Bersih Padi 2025'!A777="","",'1.1 Produksi Bersih Padi 2025'!A777)</f>
        <v/>
      </c>
      <c r="B775" s="32" t="str">
        <f>IF('1.1 Produksi Bersih Padi 2025'!B777="","",'1.1 Produksi Bersih Padi 2025'!B777)</f>
        <v/>
      </c>
      <c r="C775" s="32" t="str">
        <f>IF('1.1 Produksi Bersih Padi 2025'!C777="","",'1.1 Produksi Bersih Padi 2025'!C777)</f>
        <v/>
      </c>
      <c r="D775" s="3" t="str">
        <f>IF('1.1 Produksi Bersih Padi 2025'!D777="","",'1.1 Produksi Bersih Padi 2025'!D777)</f>
        <v/>
      </c>
      <c r="E775" s="3" t="str">
        <f>IF('1.1 Produksi Bersih Padi 2025'!E777="","",'1.1 Produksi Bersih Padi 2025'!E777)</f>
        <v/>
      </c>
      <c r="F775" s="13" t="str">
        <f>'1.1 Produksi Bersih Padi 2025'!Q777</f>
        <v/>
      </c>
      <c r="G775" s="13" t="str">
        <f>'1.2 Produksi Bersih Jagung 2025'!L777</f>
        <v/>
      </c>
      <c r="H775" s="13" t="str">
        <f>'1.3 Prod Bersih Ubi Kayu 2025'!K777</f>
        <v/>
      </c>
      <c r="I775" s="13" t="str">
        <f>'1.4 Prod Bersih Ubi Jalar 2025'!K777</f>
        <v/>
      </c>
      <c r="J775" s="13" t="str">
        <f>'1.5 Prod Bersih Sagu 2025'!K777</f>
        <v/>
      </c>
      <c r="K775" s="13" t="str">
        <f>'1.6 Prod Bersih Pisang 2025'!K777</f>
        <v/>
      </c>
      <c r="L775" s="15">
        <f t="shared" si="36"/>
        <v>0</v>
      </c>
      <c r="M775" s="14" t="str">
        <f>IF(D775="","",VLOOKUP(D775,'[1]0.1 Produksi Pangan &amp; Penduduk'!$D$5:$AU$704,44,0))</f>
        <v/>
      </c>
      <c r="N775" s="26" t="str">
        <f t="shared" si="37"/>
        <v/>
      </c>
      <c r="O775" s="16"/>
      <c r="P775" s="25" t="str">
        <f t="shared" si="38"/>
        <v/>
      </c>
      <c r="Q775" s="8"/>
    </row>
    <row r="776" spans="1:17" ht="15" x14ac:dyDescent="0.25">
      <c r="A776" s="3" t="str">
        <f>IF('1.1 Produksi Bersih Padi 2025'!A778="","",'1.1 Produksi Bersih Padi 2025'!A778)</f>
        <v/>
      </c>
      <c r="B776" s="32" t="str">
        <f>IF('1.1 Produksi Bersih Padi 2025'!B778="","",'1.1 Produksi Bersih Padi 2025'!B778)</f>
        <v/>
      </c>
      <c r="C776" s="32" t="str">
        <f>IF('1.1 Produksi Bersih Padi 2025'!C778="","",'1.1 Produksi Bersih Padi 2025'!C778)</f>
        <v/>
      </c>
      <c r="D776" s="3" t="str">
        <f>IF('1.1 Produksi Bersih Padi 2025'!D778="","",'1.1 Produksi Bersih Padi 2025'!D778)</f>
        <v/>
      </c>
      <c r="E776" s="3" t="str">
        <f>IF('1.1 Produksi Bersih Padi 2025'!E778="","",'1.1 Produksi Bersih Padi 2025'!E778)</f>
        <v/>
      </c>
      <c r="F776" s="13" t="str">
        <f>'1.1 Produksi Bersih Padi 2025'!Q778</f>
        <v/>
      </c>
      <c r="G776" s="13" t="str">
        <f>'1.2 Produksi Bersih Jagung 2025'!L778</f>
        <v/>
      </c>
      <c r="H776" s="13" t="str">
        <f>'1.3 Prod Bersih Ubi Kayu 2025'!K778</f>
        <v/>
      </c>
      <c r="I776" s="13" t="str">
        <f>'1.4 Prod Bersih Ubi Jalar 2025'!K778</f>
        <v/>
      </c>
      <c r="J776" s="13" t="str">
        <f>'1.5 Prod Bersih Sagu 2025'!K778</f>
        <v/>
      </c>
      <c r="K776" s="13" t="str">
        <f>'1.6 Prod Bersih Pisang 2025'!K778</f>
        <v/>
      </c>
      <c r="L776" s="15">
        <f t="shared" si="36"/>
        <v>0</v>
      </c>
      <c r="M776" s="14" t="str">
        <f>IF(D776="","",VLOOKUP(D776,'[1]0.1 Produksi Pangan &amp; Penduduk'!$D$5:$AU$704,44,0))</f>
        <v/>
      </c>
      <c r="N776" s="26" t="str">
        <f t="shared" si="37"/>
        <v/>
      </c>
      <c r="O776" s="16"/>
      <c r="P776" s="25" t="str">
        <f t="shared" si="38"/>
        <v/>
      </c>
      <c r="Q776" s="8"/>
    </row>
    <row r="777" spans="1:17" ht="15" x14ac:dyDescent="0.25">
      <c r="A777" s="3" t="str">
        <f>IF('1.1 Produksi Bersih Padi 2025'!A779="","",'1.1 Produksi Bersih Padi 2025'!A779)</f>
        <v/>
      </c>
      <c r="B777" s="32" t="str">
        <f>IF('1.1 Produksi Bersih Padi 2025'!B779="","",'1.1 Produksi Bersih Padi 2025'!B779)</f>
        <v/>
      </c>
      <c r="C777" s="32" t="str">
        <f>IF('1.1 Produksi Bersih Padi 2025'!C779="","",'1.1 Produksi Bersih Padi 2025'!C779)</f>
        <v/>
      </c>
      <c r="D777" s="3" t="str">
        <f>IF('1.1 Produksi Bersih Padi 2025'!D779="","",'1.1 Produksi Bersih Padi 2025'!D779)</f>
        <v/>
      </c>
      <c r="E777" s="3" t="str">
        <f>IF('1.1 Produksi Bersih Padi 2025'!E779="","",'1.1 Produksi Bersih Padi 2025'!E779)</f>
        <v/>
      </c>
      <c r="F777" s="13" t="str">
        <f>'1.1 Produksi Bersih Padi 2025'!Q779</f>
        <v/>
      </c>
      <c r="G777" s="13" t="str">
        <f>'1.2 Produksi Bersih Jagung 2025'!L779</f>
        <v/>
      </c>
      <c r="H777" s="13" t="str">
        <f>'1.3 Prod Bersih Ubi Kayu 2025'!K779</f>
        <v/>
      </c>
      <c r="I777" s="13" t="str">
        <f>'1.4 Prod Bersih Ubi Jalar 2025'!K779</f>
        <v/>
      </c>
      <c r="J777" s="13" t="str">
        <f>'1.5 Prod Bersih Sagu 2025'!K779</f>
        <v/>
      </c>
      <c r="K777" s="13" t="str">
        <f>'1.6 Prod Bersih Pisang 2025'!K779</f>
        <v/>
      </c>
      <c r="L777" s="15">
        <f t="shared" si="36"/>
        <v>0</v>
      </c>
      <c r="M777" s="14" t="str">
        <f>IF(D777="","",VLOOKUP(D777,'[1]0.1 Produksi Pangan &amp; Penduduk'!$D$5:$AU$704,44,0))</f>
        <v/>
      </c>
      <c r="N777" s="26" t="str">
        <f t="shared" si="37"/>
        <v/>
      </c>
      <c r="O777" s="16"/>
      <c r="P777" s="25" t="str">
        <f t="shared" si="38"/>
        <v/>
      </c>
      <c r="Q777" s="8"/>
    </row>
    <row r="778" spans="1:17" ht="15" x14ac:dyDescent="0.25">
      <c r="A778" s="3" t="str">
        <f>IF('1.1 Produksi Bersih Padi 2025'!A780="","",'1.1 Produksi Bersih Padi 2025'!A780)</f>
        <v/>
      </c>
      <c r="B778" s="32" t="str">
        <f>IF('1.1 Produksi Bersih Padi 2025'!B780="","",'1.1 Produksi Bersih Padi 2025'!B780)</f>
        <v/>
      </c>
      <c r="C778" s="32" t="str">
        <f>IF('1.1 Produksi Bersih Padi 2025'!C780="","",'1.1 Produksi Bersih Padi 2025'!C780)</f>
        <v/>
      </c>
      <c r="D778" s="3" t="str">
        <f>IF('1.1 Produksi Bersih Padi 2025'!D780="","",'1.1 Produksi Bersih Padi 2025'!D780)</f>
        <v/>
      </c>
      <c r="E778" s="3" t="str">
        <f>IF('1.1 Produksi Bersih Padi 2025'!E780="","",'1.1 Produksi Bersih Padi 2025'!E780)</f>
        <v/>
      </c>
      <c r="F778" s="13" t="str">
        <f>'1.1 Produksi Bersih Padi 2025'!Q780</f>
        <v/>
      </c>
      <c r="G778" s="13" t="str">
        <f>'1.2 Produksi Bersih Jagung 2025'!L780</f>
        <v/>
      </c>
      <c r="H778" s="13" t="str">
        <f>'1.3 Prod Bersih Ubi Kayu 2025'!K780</f>
        <v/>
      </c>
      <c r="I778" s="13" t="str">
        <f>'1.4 Prod Bersih Ubi Jalar 2025'!K780</f>
        <v/>
      </c>
      <c r="J778" s="13" t="str">
        <f>'1.5 Prod Bersih Sagu 2025'!K780</f>
        <v/>
      </c>
      <c r="K778" s="13" t="str">
        <f>'1.6 Prod Bersih Pisang 2025'!K780</f>
        <v/>
      </c>
      <c r="L778" s="15">
        <f t="shared" si="36"/>
        <v>0</v>
      </c>
      <c r="M778" s="14" t="str">
        <f>IF(D778="","",VLOOKUP(D778,'[1]0.1 Produksi Pangan &amp; Penduduk'!$D$5:$AU$704,44,0))</f>
        <v/>
      </c>
      <c r="N778" s="26" t="str">
        <f t="shared" si="37"/>
        <v/>
      </c>
      <c r="O778" s="16"/>
      <c r="P778" s="25" t="str">
        <f t="shared" si="38"/>
        <v/>
      </c>
      <c r="Q778" s="8"/>
    </row>
    <row r="779" spans="1:17" ht="15" x14ac:dyDescent="0.25">
      <c r="A779" s="3" t="str">
        <f>IF('1.1 Produksi Bersih Padi 2025'!A781="","",'1.1 Produksi Bersih Padi 2025'!A781)</f>
        <v/>
      </c>
      <c r="B779" s="32" t="str">
        <f>IF('1.1 Produksi Bersih Padi 2025'!B781="","",'1.1 Produksi Bersih Padi 2025'!B781)</f>
        <v/>
      </c>
      <c r="C779" s="32" t="str">
        <f>IF('1.1 Produksi Bersih Padi 2025'!C781="","",'1.1 Produksi Bersih Padi 2025'!C781)</f>
        <v/>
      </c>
      <c r="D779" s="3" t="str">
        <f>IF('1.1 Produksi Bersih Padi 2025'!D781="","",'1.1 Produksi Bersih Padi 2025'!D781)</f>
        <v/>
      </c>
      <c r="E779" s="3" t="str">
        <f>IF('1.1 Produksi Bersih Padi 2025'!E781="","",'1.1 Produksi Bersih Padi 2025'!E781)</f>
        <v/>
      </c>
      <c r="F779" s="13" t="str">
        <f>'1.1 Produksi Bersih Padi 2025'!Q781</f>
        <v/>
      </c>
      <c r="G779" s="13" t="str">
        <f>'1.2 Produksi Bersih Jagung 2025'!L781</f>
        <v/>
      </c>
      <c r="H779" s="13" t="str">
        <f>'1.3 Prod Bersih Ubi Kayu 2025'!K781</f>
        <v/>
      </c>
      <c r="I779" s="13" t="str">
        <f>'1.4 Prod Bersih Ubi Jalar 2025'!K781</f>
        <v/>
      </c>
      <c r="J779" s="13" t="str">
        <f>'1.5 Prod Bersih Sagu 2025'!K781</f>
        <v/>
      </c>
      <c r="K779" s="13" t="str">
        <f>'1.6 Prod Bersih Pisang 2025'!K781</f>
        <v/>
      </c>
      <c r="L779" s="15">
        <f t="shared" si="36"/>
        <v>0</v>
      </c>
      <c r="M779" s="14" t="str">
        <f>IF(D779="","",VLOOKUP(D779,'[1]0.1 Produksi Pangan &amp; Penduduk'!$D$5:$AU$704,44,0))</f>
        <v/>
      </c>
      <c r="N779" s="26" t="str">
        <f t="shared" si="37"/>
        <v/>
      </c>
      <c r="O779" s="16"/>
      <c r="P779" s="25" t="str">
        <f t="shared" si="38"/>
        <v/>
      </c>
      <c r="Q779" s="8"/>
    </row>
    <row r="780" spans="1:17" ht="15" x14ac:dyDescent="0.25">
      <c r="A780" s="3" t="str">
        <f>IF('1.1 Produksi Bersih Padi 2025'!A782="","",'1.1 Produksi Bersih Padi 2025'!A782)</f>
        <v/>
      </c>
      <c r="B780" s="32" t="str">
        <f>IF('1.1 Produksi Bersih Padi 2025'!B782="","",'1.1 Produksi Bersih Padi 2025'!B782)</f>
        <v/>
      </c>
      <c r="C780" s="32" t="str">
        <f>IF('1.1 Produksi Bersih Padi 2025'!C782="","",'1.1 Produksi Bersih Padi 2025'!C782)</f>
        <v/>
      </c>
      <c r="D780" s="3" t="str">
        <f>IF('1.1 Produksi Bersih Padi 2025'!D782="","",'1.1 Produksi Bersih Padi 2025'!D782)</f>
        <v/>
      </c>
      <c r="E780" s="3" t="str">
        <f>IF('1.1 Produksi Bersih Padi 2025'!E782="","",'1.1 Produksi Bersih Padi 2025'!E782)</f>
        <v/>
      </c>
      <c r="F780" s="13" t="str">
        <f>'1.1 Produksi Bersih Padi 2025'!Q782</f>
        <v/>
      </c>
      <c r="G780" s="13" t="str">
        <f>'1.2 Produksi Bersih Jagung 2025'!L782</f>
        <v/>
      </c>
      <c r="H780" s="13" t="str">
        <f>'1.3 Prod Bersih Ubi Kayu 2025'!K782</f>
        <v/>
      </c>
      <c r="I780" s="13" t="str">
        <f>'1.4 Prod Bersih Ubi Jalar 2025'!K782</f>
        <v/>
      </c>
      <c r="J780" s="13" t="str">
        <f>'1.5 Prod Bersih Sagu 2025'!K782</f>
        <v/>
      </c>
      <c r="K780" s="13" t="str">
        <f>'1.6 Prod Bersih Pisang 2025'!K782</f>
        <v/>
      </c>
      <c r="L780" s="15">
        <f t="shared" si="36"/>
        <v>0</v>
      </c>
      <c r="M780" s="14" t="str">
        <f>IF(D780="","",VLOOKUP(D780,'[1]0.1 Produksi Pangan &amp; Penduduk'!$D$5:$AU$704,44,0))</f>
        <v/>
      </c>
      <c r="N780" s="26" t="str">
        <f t="shared" si="37"/>
        <v/>
      </c>
      <c r="O780" s="16"/>
      <c r="P780" s="25" t="str">
        <f t="shared" si="38"/>
        <v/>
      </c>
      <c r="Q780" s="8"/>
    </row>
    <row r="781" spans="1:17" ht="15" x14ac:dyDescent="0.25">
      <c r="A781" s="3" t="str">
        <f>IF('1.1 Produksi Bersih Padi 2025'!A783="","",'1.1 Produksi Bersih Padi 2025'!A783)</f>
        <v/>
      </c>
      <c r="B781" s="32" t="str">
        <f>IF('1.1 Produksi Bersih Padi 2025'!B783="","",'1.1 Produksi Bersih Padi 2025'!B783)</f>
        <v/>
      </c>
      <c r="C781" s="32" t="str">
        <f>IF('1.1 Produksi Bersih Padi 2025'!C783="","",'1.1 Produksi Bersih Padi 2025'!C783)</f>
        <v/>
      </c>
      <c r="D781" s="3" t="str">
        <f>IF('1.1 Produksi Bersih Padi 2025'!D783="","",'1.1 Produksi Bersih Padi 2025'!D783)</f>
        <v/>
      </c>
      <c r="E781" s="3" t="str">
        <f>IF('1.1 Produksi Bersih Padi 2025'!E783="","",'1.1 Produksi Bersih Padi 2025'!E783)</f>
        <v/>
      </c>
      <c r="F781" s="13" t="str">
        <f>'1.1 Produksi Bersih Padi 2025'!Q783</f>
        <v/>
      </c>
      <c r="G781" s="13" t="str">
        <f>'1.2 Produksi Bersih Jagung 2025'!L783</f>
        <v/>
      </c>
      <c r="H781" s="13" t="str">
        <f>'1.3 Prod Bersih Ubi Kayu 2025'!K783</f>
        <v/>
      </c>
      <c r="I781" s="13" t="str">
        <f>'1.4 Prod Bersih Ubi Jalar 2025'!K783</f>
        <v/>
      </c>
      <c r="J781" s="13" t="str">
        <f>'1.5 Prod Bersih Sagu 2025'!K783</f>
        <v/>
      </c>
      <c r="K781" s="13" t="str">
        <f>'1.6 Prod Bersih Pisang 2025'!K783</f>
        <v/>
      </c>
      <c r="L781" s="15">
        <f t="shared" si="36"/>
        <v>0</v>
      </c>
      <c r="M781" s="14" t="str">
        <f>IF(D781="","",VLOOKUP(D781,'[1]0.1 Produksi Pangan &amp; Penduduk'!$D$5:$AU$704,44,0))</f>
        <v/>
      </c>
      <c r="N781" s="26" t="str">
        <f t="shared" si="37"/>
        <v/>
      </c>
      <c r="O781" s="16"/>
      <c r="P781" s="25" t="str">
        <f t="shared" si="38"/>
        <v/>
      </c>
      <c r="Q781" s="8"/>
    </row>
    <row r="782" spans="1:17" ht="15" x14ac:dyDescent="0.25">
      <c r="A782" s="3" t="str">
        <f>IF('1.1 Produksi Bersih Padi 2025'!A784="","",'1.1 Produksi Bersih Padi 2025'!A784)</f>
        <v/>
      </c>
      <c r="B782" s="32" t="str">
        <f>IF('1.1 Produksi Bersih Padi 2025'!B784="","",'1.1 Produksi Bersih Padi 2025'!B784)</f>
        <v/>
      </c>
      <c r="C782" s="32" t="str">
        <f>IF('1.1 Produksi Bersih Padi 2025'!C784="","",'1.1 Produksi Bersih Padi 2025'!C784)</f>
        <v/>
      </c>
      <c r="D782" s="3" t="str">
        <f>IF('1.1 Produksi Bersih Padi 2025'!D784="","",'1.1 Produksi Bersih Padi 2025'!D784)</f>
        <v/>
      </c>
      <c r="E782" s="3" t="str">
        <f>IF('1.1 Produksi Bersih Padi 2025'!E784="","",'1.1 Produksi Bersih Padi 2025'!E784)</f>
        <v/>
      </c>
      <c r="F782" s="13" t="str">
        <f>'1.1 Produksi Bersih Padi 2025'!Q784</f>
        <v/>
      </c>
      <c r="G782" s="13" t="str">
        <f>'1.2 Produksi Bersih Jagung 2025'!L784</f>
        <v/>
      </c>
      <c r="H782" s="13" t="str">
        <f>'1.3 Prod Bersih Ubi Kayu 2025'!K784</f>
        <v/>
      </c>
      <c r="I782" s="13" t="str">
        <f>'1.4 Prod Bersih Ubi Jalar 2025'!K784</f>
        <v/>
      </c>
      <c r="J782" s="13" t="str">
        <f>'1.5 Prod Bersih Sagu 2025'!K784</f>
        <v/>
      </c>
      <c r="K782" s="13" t="str">
        <f>'1.6 Prod Bersih Pisang 2025'!K784</f>
        <v/>
      </c>
      <c r="L782" s="15">
        <f t="shared" si="36"/>
        <v>0</v>
      </c>
      <c r="M782" s="14" t="str">
        <f>IF(D782="","",VLOOKUP(D782,'[1]0.1 Produksi Pangan &amp; Penduduk'!$D$5:$AU$704,44,0))</f>
        <v/>
      </c>
      <c r="N782" s="26" t="str">
        <f t="shared" si="37"/>
        <v/>
      </c>
      <c r="O782" s="16"/>
      <c r="P782" s="25" t="str">
        <f t="shared" si="38"/>
        <v/>
      </c>
      <c r="Q782" s="8"/>
    </row>
    <row r="783" spans="1:17" ht="15" x14ac:dyDescent="0.25">
      <c r="A783" s="3" t="str">
        <f>IF('1.1 Produksi Bersih Padi 2025'!A785="","",'1.1 Produksi Bersih Padi 2025'!A785)</f>
        <v/>
      </c>
      <c r="B783" s="32" t="str">
        <f>IF('1.1 Produksi Bersih Padi 2025'!B785="","",'1.1 Produksi Bersih Padi 2025'!B785)</f>
        <v/>
      </c>
      <c r="C783" s="32" t="str">
        <f>IF('1.1 Produksi Bersih Padi 2025'!C785="","",'1.1 Produksi Bersih Padi 2025'!C785)</f>
        <v/>
      </c>
      <c r="D783" s="3" t="str">
        <f>IF('1.1 Produksi Bersih Padi 2025'!D785="","",'1.1 Produksi Bersih Padi 2025'!D785)</f>
        <v/>
      </c>
      <c r="E783" s="3" t="str">
        <f>IF('1.1 Produksi Bersih Padi 2025'!E785="","",'1.1 Produksi Bersih Padi 2025'!E785)</f>
        <v/>
      </c>
      <c r="F783" s="13" t="str">
        <f>'1.1 Produksi Bersih Padi 2025'!Q785</f>
        <v/>
      </c>
      <c r="G783" s="13" t="str">
        <f>'1.2 Produksi Bersih Jagung 2025'!L785</f>
        <v/>
      </c>
      <c r="H783" s="13" t="str">
        <f>'1.3 Prod Bersih Ubi Kayu 2025'!K785</f>
        <v/>
      </c>
      <c r="I783" s="13" t="str">
        <f>'1.4 Prod Bersih Ubi Jalar 2025'!K785</f>
        <v/>
      </c>
      <c r="J783" s="13" t="str">
        <f>'1.5 Prod Bersih Sagu 2025'!K785</f>
        <v/>
      </c>
      <c r="K783" s="13" t="str">
        <f>'1.6 Prod Bersih Pisang 2025'!K785</f>
        <v/>
      </c>
      <c r="L783" s="15">
        <f t="shared" si="36"/>
        <v>0</v>
      </c>
      <c r="M783" s="14" t="str">
        <f>IF(D783="","",VLOOKUP(D783,'[1]0.1 Produksi Pangan &amp; Penduduk'!$D$5:$AU$704,44,0))</f>
        <v/>
      </c>
      <c r="N783" s="26" t="str">
        <f t="shared" si="37"/>
        <v/>
      </c>
      <c r="O783" s="16"/>
      <c r="P783" s="25" t="str">
        <f t="shared" si="38"/>
        <v/>
      </c>
      <c r="Q783" s="8"/>
    </row>
    <row r="784" spans="1:17" ht="15" x14ac:dyDescent="0.25">
      <c r="A784" s="3" t="str">
        <f>IF('1.1 Produksi Bersih Padi 2025'!A786="","",'1.1 Produksi Bersih Padi 2025'!A786)</f>
        <v/>
      </c>
      <c r="B784" s="32" t="str">
        <f>IF('1.1 Produksi Bersih Padi 2025'!B786="","",'1.1 Produksi Bersih Padi 2025'!B786)</f>
        <v/>
      </c>
      <c r="C784" s="32" t="str">
        <f>IF('1.1 Produksi Bersih Padi 2025'!C786="","",'1.1 Produksi Bersih Padi 2025'!C786)</f>
        <v/>
      </c>
      <c r="D784" s="3" t="str">
        <f>IF('1.1 Produksi Bersih Padi 2025'!D786="","",'1.1 Produksi Bersih Padi 2025'!D786)</f>
        <v/>
      </c>
      <c r="E784" s="3" t="str">
        <f>IF('1.1 Produksi Bersih Padi 2025'!E786="","",'1.1 Produksi Bersih Padi 2025'!E786)</f>
        <v/>
      </c>
      <c r="F784" s="13" t="str">
        <f>'1.1 Produksi Bersih Padi 2025'!Q786</f>
        <v/>
      </c>
      <c r="G784" s="13" t="str">
        <f>'1.2 Produksi Bersih Jagung 2025'!L786</f>
        <v/>
      </c>
      <c r="H784" s="13" t="str">
        <f>'1.3 Prod Bersih Ubi Kayu 2025'!K786</f>
        <v/>
      </c>
      <c r="I784" s="13" t="str">
        <f>'1.4 Prod Bersih Ubi Jalar 2025'!K786</f>
        <v/>
      </c>
      <c r="J784" s="13" t="str">
        <f>'1.5 Prod Bersih Sagu 2025'!K786</f>
        <v/>
      </c>
      <c r="K784" s="13" t="str">
        <f>'1.6 Prod Bersih Pisang 2025'!K786</f>
        <v/>
      </c>
      <c r="L784" s="15">
        <f t="shared" si="36"/>
        <v>0</v>
      </c>
      <c r="M784" s="14" t="str">
        <f>IF(D784="","",VLOOKUP(D784,'[1]0.1 Produksi Pangan &amp; Penduduk'!$D$5:$AU$704,44,0))</f>
        <v/>
      </c>
      <c r="N784" s="26" t="str">
        <f t="shared" si="37"/>
        <v/>
      </c>
      <c r="O784" s="16"/>
      <c r="P784" s="25" t="str">
        <f t="shared" si="38"/>
        <v/>
      </c>
      <c r="Q784" s="8"/>
    </row>
    <row r="785" spans="1:17" ht="15" x14ac:dyDescent="0.25">
      <c r="A785" s="3" t="str">
        <f>IF('1.1 Produksi Bersih Padi 2025'!A787="","",'1.1 Produksi Bersih Padi 2025'!A787)</f>
        <v/>
      </c>
      <c r="B785" s="32" t="str">
        <f>IF('1.1 Produksi Bersih Padi 2025'!B787="","",'1.1 Produksi Bersih Padi 2025'!B787)</f>
        <v/>
      </c>
      <c r="C785" s="32" t="str">
        <f>IF('1.1 Produksi Bersih Padi 2025'!C787="","",'1.1 Produksi Bersih Padi 2025'!C787)</f>
        <v/>
      </c>
      <c r="D785" s="3" t="str">
        <f>IF('1.1 Produksi Bersih Padi 2025'!D787="","",'1.1 Produksi Bersih Padi 2025'!D787)</f>
        <v/>
      </c>
      <c r="E785" s="3" t="str">
        <f>IF('1.1 Produksi Bersih Padi 2025'!E787="","",'1.1 Produksi Bersih Padi 2025'!E787)</f>
        <v/>
      </c>
      <c r="F785" s="13" t="str">
        <f>'1.1 Produksi Bersih Padi 2025'!Q787</f>
        <v/>
      </c>
      <c r="G785" s="13" t="str">
        <f>'1.2 Produksi Bersih Jagung 2025'!L787</f>
        <v/>
      </c>
      <c r="H785" s="13" t="str">
        <f>'1.3 Prod Bersih Ubi Kayu 2025'!K787</f>
        <v/>
      </c>
      <c r="I785" s="13" t="str">
        <f>'1.4 Prod Bersih Ubi Jalar 2025'!K787</f>
        <v/>
      </c>
      <c r="J785" s="13" t="str">
        <f>'1.5 Prod Bersih Sagu 2025'!K787</f>
        <v/>
      </c>
      <c r="K785" s="13" t="str">
        <f>'1.6 Prod Bersih Pisang 2025'!K787</f>
        <v/>
      </c>
      <c r="L785" s="15">
        <f t="shared" si="36"/>
        <v>0</v>
      </c>
      <c r="M785" s="14" t="str">
        <f>IF(D785="","",VLOOKUP(D785,'[1]0.1 Produksi Pangan &amp; Penduduk'!$D$5:$AU$704,44,0))</f>
        <v/>
      </c>
      <c r="N785" s="26" t="str">
        <f t="shared" si="37"/>
        <v/>
      </c>
      <c r="O785" s="16"/>
      <c r="P785" s="25" t="str">
        <f t="shared" si="38"/>
        <v/>
      </c>
      <c r="Q785" s="8"/>
    </row>
    <row r="786" spans="1:17" ht="15" x14ac:dyDescent="0.25">
      <c r="A786" s="3" t="str">
        <f>IF('1.1 Produksi Bersih Padi 2025'!A788="","",'1.1 Produksi Bersih Padi 2025'!A788)</f>
        <v/>
      </c>
      <c r="B786" s="32" t="str">
        <f>IF('1.1 Produksi Bersih Padi 2025'!B788="","",'1.1 Produksi Bersih Padi 2025'!B788)</f>
        <v/>
      </c>
      <c r="C786" s="32" t="str">
        <f>IF('1.1 Produksi Bersih Padi 2025'!C788="","",'1.1 Produksi Bersih Padi 2025'!C788)</f>
        <v/>
      </c>
      <c r="D786" s="3" t="str">
        <f>IF('1.1 Produksi Bersih Padi 2025'!D788="","",'1.1 Produksi Bersih Padi 2025'!D788)</f>
        <v/>
      </c>
      <c r="E786" s="3" t="str">
        <f>IF('1.1 Produksi Bersih Padi 2025'!E788="","",'1.1 Produksi Bersih Padi 2025'!E788)</f>
        <v/>
      </c>
      <c r="F786" s="13" t="str">
        <f>'1.1 Produksi Bersih Padi 2025'!Q788</f>
        <v/>
      </c>
      <c r="G786" s="13" t="str">
        <f>'1.2 Produksi Bersih Jagung 2025'!L788</f>
        <v/>
      </c>
      <c r="H786" s="13" t="str">
        <f>'1.3 Prod Bersih Ubi Kayu 2025'!K788</f>
        <v/>
      </c>
      <c r="I786" s="13" t="str">
        <f>'1.4 Prod Bersih Ubi Jalar 2025'!K788</f>
        <v/>
      </c>
      <c r="J786" s="13" t="str">
        <f>'1.5 Prod Bersih Sagu 2025'!K788</f>
        <v/>
      </c>
      <c r="K786" s="13" t="str">
        <f>'1.6 Prod Bersih Pisang 2025'!K788</f>
        <v/>
      </c>
      <c r="L786" s="15">
        <f t="shared" si="36"/>
        <v>0</v>
      </c>
      <c r="M786" s="14" t="str">
        <f>IF(D786="","",VLOOKUP(D786,'[1]0.1 Produksi Pangan &amp; Penduduk'!$D$5:$AU$704,44,0))</f>
        <v/>
      </c>
      <c r="N786" s="26" t="str">
        <f t="shared" si="37"/>
        <v/>
      </c>
      <c r="O786" s="16"/>
      <c r="P786" s="25" t="str">
        <f t="shared" si="38"/>
        <v/>
      </c>
      <c r="Q786" s="8"/>
    </row>
    <row r="787" spans="1:17" ht="15" x14ac:dyDescent="0.25">
      <c r="A787" s="3" t="str">
        <f>IF('1.1 Produksi Bersih Padi 2025'!A789="","",'1.1 Produksi Bersih Padi 2025'!A789)</f>
        <v/>
      </c>
      <c r="B787" s="32" t="str">
        <f>IF('1.1 Produksi Bersih Padi 2025'!B789="","",'1.1 Produksi Bersih Padi 2025'!B789)</f>
        <v/>
      </c>
      <c r="C787" s="32" t="str">
        <f>IF('1.1 Produksi Bersih Padi 2025'!C789="","",'1.1 Produksi Bersih Padi 2025'!C789)</f>
        <v/>
      </c>
      <c r="D787" s="3" t="str">
        <f>IF('1.1 Produksi Bersih Padi 2025'!D789="","",'1.1 Produksi Bersih Padi 2025'!D789)</f>
        <v/>
      </c>
      <c r="E787" s="3" t="str">
        <f>IF('1.1 Produksi Bersih Padi 2025'!E789="","",'1.1 Produksi Bersih Padi 2025'!E789)</f>
        <v/>
      </c>
      <c r="F787" s="13" t="str">
        <f>'1.1 Produksi Bersih Padi 2025'!Q789</f>
        <v/>
      </c>
      <c r="G787" s="13" t="str">
        <f>'1.2 Produksi Bersih Jagung 2025'!L789</f>
        <v/>
      </c>
      <c r="H787" s="13" t="str">
        <f>'1.3 Prod Bersih Ubi Kayu 2025'!K789</f>
        <v/>
      </c>
      <c r="I787" s="13" t="str">
        <f>'1.4 Prod Bersih Ubi Jalar 2025'!K789</f>
        <v/>
      </c>
      <c r="J787" s="13" t="str">
        <f>'1.5 Prod Bersih Sagu 2025'!K789</f>
        <v/>
      </c>
      <c r="K787" s="13" t="str">
        <f>'1.6 Prod Bersih Pisang 2025'!K789</f>
        <v/>
      </c>
      <c r="L787" s="15">
        <f t="shared" si="36"/>
        <v>0</v>
      </c>
      <c r="M787" s="14" t="str">
        <f>IF(D787="","",VLOOKUP(D787,'[1]0.1 Produksi Pangan &amp; Penduduk'!$D$5:$AU$704,44,0))</f>
        <v/>
      </c>
      <c r="N787" s="26" t="str">
        <f t="shared" si="37"/>
        <v/>
      </c>
      <c r="O787" s="16"/>
      <c r="P787" s="25" t="str">
        <f t="shared" si="38"/>
        <v/>
      </c>
      <c r="Q787" s="8"/>
    </row>
    <row r="788" spans="1:17" ht="15" x14ac:dyDescent="0.25">
      <c r="A788" s="3" t="str">
        <f>IF('1.1 Produksi Bersih Padi 2025'!A790="","",'1.1 Produksi Bersih Padi 2025'!A790)</f>
        <v/>
      </c>
      <c r="B788" s="32" t="str">
        <f>IF('1.1 Produksi Bersih Padi 2025'!B790="","",'1.1 Produksi Bersih Padi 2025'!B790)</f>
        <v/>
      </c>
      <c r="C788" s="32" t="str">
        <f>IF('1.1 Produksi Bersih Padi 2025'!C790="","",'1.1 Produksi Bersih Padi 2025'!C790)</f>
        <v/>
      </c>
      <c r="D788" s="3" t="str">
        <f>IF('1.1 Produksi Bersih Padi 2025'!D790="","",'1.1 Produksi Bersih Padi 2025'!D790)</f>
        <v/>
      </c>
      <c r="E788" s="3" t="str">
        <f>IF('1.1 Produksi Bersih Padi 2025'!E790="","",'1.1 Produksi Bersih Padi 2025'!E790)</f>
        <v/>
      </c>
      <c r="F788" s="13" t="str">
        <f>'1.1 Produksi Bersih Padi 2025'!Q790</f>
        <v/>
      </c>
      <c r="G788" s="13" t="str">
        <f>'1.2 Produksi Bersih Jagung 2025'!L790</f>
        <v/>
      </c>
      <c r="H788" s="13" t="str">
        <f>'1.3 Prod Bersih Ubi Kayu 2025'!K790</f>
        <v/>
      </c>
      <c r="I788" s="13" t="str">
        <f>'1.4 Prod Bersih Ubi Jalar 2025'!K790</f>
        <v/>
      </c>
      <c r="J788" s="13" t="str">
        <f>'1.5 Prod Bersih Sagu 2025'!K790</f>
        <v/>
      </c>
      <c r="K788" s="13" t="str">
        <f>'1.6 Prod Bersih Pisang 2025'!K790</f>
        <v/>
      </c>
      <c r="L788" s="15">
        <f t="shared" si="36"/>
        <v>0</v>
      </c>
      <c r="M788" s="14" t="str">
        <f>IF(D788="","",VLOOKUP(D788,'[1]0.1 Produksi Pangan &amp; Penduduk'!$D$5:$AU$704,44,0))</f>
        <v/>
      </c>
      <c r="N788" s="26" t="str">
        <f t="shared" si="37"/>
        <v/>
      </c>
      <c r="O788" s="16"/>
      <c r="P788" s="25" t="str">
        <f t="shared" si="38"/>
        <v/>
      </c>
      <c r="Q788" s="8"/>
    </row>
    <row r="789" spans="1:17" ht="15" x14ac:dyDescent="0.25">
      <c r="A789" s="3" t="str">
        <f>IF('1.1 Produksi Bersih Padi 2025'!A791="","",'1.1 Produksi Bersih Padi 2025'!A791)</f>
        <v/>
      </c>
      <c r="B789" s="32" t="str">
        <f>IF('1.1 Produksi Bersih Padi 2025'!B791="","",'1.1 Produksi Bersih Padi 2025'!B791)</f>
        <v/>
      </c>
      <c r="C789" s="32" t="str">
        <f>IF('1.1 Produksi Bersih Padi 2025'!C791="","",'1.1 Produksi Bersih Padi 2025'!C791)</f>
        <v/>
      </c>
      <c r="D789" s="3" t="str">
        <f>IF('1.1 Produksi Bersih Padi 2025'!D791="","",'1.1 Produksi Bersih Padi 2025'!D791)</f>
        <v/>
      </c>
      <c r="E789" s="3" t="str">
        <f>IF('1.1 Produksi Bersih Padi 2025'!E791="","",'1.1 Produksi Bersih Padi 2025'!E791)</f>
        <v/>
      </c>
      <c r="F789" s="13" t="str">
        <f>'1.1 Produksi Bersih Padi 2025'!Q791</f>
        <v/>
      </c>
      <c r="G789" s="13" t="str">
        <f>'1.2 Produksi Bersih Jagung 2025'!L791</f>
        <v/>
      </c>
      <c r="H789" s="13" t="str">
        <f>'1.3 Prod Bersih Ubi Kayu 2025'!K791</f>
        <v/>
      </c>
      <c r="I789" s="13" t="str">
        <f>'1.4 Prod Bersih Ubi Jalar 2025'!K791</f>
        <v/>
      </c>
      <c r="J789" s="13" t="str">
        <f>'1.5 Prod Bersih Sagu 2025'!K791</f>
        <v/>
      </c>
      <c r="K789" s="13" t="str">
        <f>'1.6 Prod Bersih Pisang 2025'!K791</f>
        <v/>
      </c>
      <c r="L789" s="15">
        <f t="shared" si="36"/>
        <v>0</v>
      </c>
      <c r="M789" s="14" t="str">
        <f>IF(D789="","",VLOOKUP(D789,'[1]0.1 Produksi Pangan &amp; Penduduk'!$D$5:$AU$704,44,0))</f>
        <v/>
      </c>
      <c r="N789" s="26" t="str">
        <f t="shared" si="37"/>
        <v/>
      </c>
      <c r="O789" s="16"/>
      <c r="P789" s="25" t="str">
        <f t="shared" si="38"/>
        <v/>
      </c>
      <c r="Q789" s="8"/>
    </row>
    <row r="790" spans="1:17" ht="15" x14ac:dyDescent="0.25">
      <c r="A790" s="3" t="str">
        <f>IF('1.1 Produksi Bersih Padi 2025'!A792="","",'1.1 Produksi Bersih Padi 2025'!A792)</f>
        <v/>
      </c>
      <c r="B790" s="32" t="str">
        <f>IF('1.1 Produksi Bersih Padi 2025'!B792="","",'1.1 Produksi Bersih Padi 2025'!B792)</f>
        <v/>
      </c>
      <c r="C790" s="32" t="str">
        <f>IF('1.1 Produksi Bersih Padi 2025'!C792="","",'1.1 Produksi Bersih Padi 2025'!C792)</f>
        <v/>
      </c>
      <c r="D790" s="3" t="str">
        <f>IF('1.1 Produksi Bersih Padi 2025'!D792="","",'1.1 Produksi Bersih Padi 2025'!D792)</f>
        <v/>
      </c>
      <c r="E790" s="3" t="str">
        <f>IF('1.1 Produksi Bersih Padi 2025'!E792="","",'1.1 Produksi Bersih Padi 2025'!E792)</f>
        <v/>
      </c>
      <c r="F790" s="13" t="str">
        <f>'1.1 Produksi Bersih Padi 2025'!Q792</f>
        <v/>
      </c>
      <c r="G790" s="13" t="str">
        <f>'1.2 Produksi Bersih Jagung 2025'!L792</f>
        <v/>
      </c>
      <c r="H790" s="13" t="str">
        <f>'1.3 Prod Bersih Ubi Kayu 2025'!K792</f>
        <v/>
      </c>
      <c r="I790" s="13" t="str">
        <f>'1.4 Prod Bersih Ubi Jalar 2025'!K792</f>
        <v/>
      </c>
      <c r="J790" s="13" t="str">
        <f>'1.5 Prod Bersih Sagu 2025'!K792</f>
        <v/>
      </c>
      <c r="K790" s="13" t="str">
        <f>'1.6 Prod Bersih Pisang 2025'!K792</f>
        <v/>
      </c>
      <c r="L790" s="15">
        <f t="shared" si="36"/>
        <v>0</v>
      </c>
      <c r="M790" s="14" t="str">
        <f>IF(D790="","",VLOOKUP(D790,'[1]0.1 Produksi Pangan &amp; Penduduk'!$D$5:$AU$704,44,0))</f>
        <v/>
      </c>
      <c r="N790" s="26" t="str">
        <f t="shared" si="37"/>
        <v/>
      </c>
      <c r="O790" s="16"/>
      <c r="P790" s="25" t="str">
        <f t="shared" si="38"/>
        <v/>
      </c>
      <c r="Q790" s="8"/>
    </row>
    <row r="791" spans="1:17" ht="15" x14ac:dyDescent="0.25">
      <c r="A791" s="3" t="str">
        <f>IF('1.1 Produksi Bersih Padi 2025'!A793="","",'1.1 Produksi Bersih Padi 2025'!A793)</f>
        <v/>
      </c>
      <c r="B791" s="32" t="str">
        <f>IF('1.1 Produksi Bersih Padi 2025'!B793="","",'1.1 Produksi Bersih Padi 2025'!B793)</f>
        <v/>
      </c>
      <c r="C791" s="32" t="str">
        <f>IF('1.1 Produksi Bersih Padi 2025'!C793="","",'1.1 Produksi Bersih Padi 2025'!C793)</f>
        <v/>
      </c>
      <c r="D791" s="3" t="str">
        <f>IF('1.1 Produksi Bersih Padi 2025'!D793="","",'1.1 Produksi Bersih Padi 2025'!D793)</f>
        <v/>
      </c>
      <c r="E791" s="3" t="str">
        <f>IF('1.1 Produksi Bersih Padi 2025'!E793="","",'1.1 Produksi Bersih Padi 2025'!E793)</f>
        <v/>
      </c>
      <c r="F791" s="13" t="str">
        <f>'1.1 Produksi Bersih Padi 2025'!Q793</f>
        <v/>
      </c>
      <c r="G791" s="13" t="str">
        <f>'1.2 Produksi Bersih Jagung 2025'!L793</f>
        <v/>
      </c>
      <c r="H791" s="13" t="str">
        <f>'1.3 Prod Bersih Ubi Kayu 2025'!K793</f>
        <v/>
      </c>
      <c r="I791" s="13" t="str">
        <f>'1.4 Prod Bersih Ubi Jalar 2025'!K793</f>
        <v/>
      </c>
      <c r="J791" s="13" t="str">
        <f>'1.5 Prod Bersih Sagu 2025'!K793</f>
        <v/>
      </c>
      <c r="K791" s="13" t="str">
        <f>'1.6 Prod Bersih Pisang 2025'!K793</f>
        <v/>
      </c>
      <c r="L791" s="15">
        <f t="shared" si="36"/>
        <v>0</v>
      </c>
      <c r="M791" s="14" t="str">
        <f>IF(D791="","",VLOOKUP(D791,'[1]0.1 Produksi Pangan &amp; Penduduk'!$D$5:$AU$704,44,0))</f>
        <v/>
      </c>
      <c r="N791" s="26" t="str">
        <f t="shared" si="37"/>
        <v/>
      </c>
      <c r="O791" s="16"/>
      <c r="P791" s="25" t="str">
        <f t="shared" si="38"/>
        <v/>
      </c>
      <c r="Q791" s="8"/>
    </row>
    <row r="792" spans="1:17" ht="15" x14ac:dyDescent="0.25">
      <c r="A792" s="3" t="str">
        <f>IF('1.1 Produksi Bersih Padi 2025'!A794="","",'1.1 Produksi Bersih Padi 2025'!A794)</f>
        <v/>
      </c>
      <c r="B792" s="32" t="str">
        <f>IF('1.1 Produksi Bersih Padi 2025'!B794="","",'1.1 Produksi Bersih Padi 2025'!B794)</f>
        <v/>
      </c>
      <c r="C792" s="32" t="str">
        <f>IF('1.1 Produksi Bersih Padi 2025'!C794="","",'1.1 Produksi Bersih Padi 2025'!C794)</f>
        <v/>
      </c>
      <c r="D792" s="3" t="str">
        <f>IF('1.1 Produksi Bersih Padi 2025'!D794="","",'1.1 Produksi Bersih Padi 2025'!D794)</f>
        <v/>
      </c>
      <c r="E792" s="3" t="str">
        <f>IF('1.1 Produksi Bersih Padi 2025'!E794="","",'1.1 Produksi Bersih Padi 2025'!E794)</f>
        <v/>
      </c>
      <c r="F792" s="13" t="str">
        <f>'1.1 Produksi Bersih Padi 2025'!Q794</f>
        <v/>
      </c>
      <c r="G792" s="13" t="str">
        <f>'1.2 Produksi Bersih Jagung 2025'!L794</f>
        <v/>
      </c>
      <c r="H792" s="13" t="str">
        <f>'1.3 Prod Bersih Ubi Kayu 2025'!K794</f>
        <v/>
      </c>
      <c r="I792" s="13" t="str">
        <f>'1.4 Prod Bersih Ubi Jalar 2025'!K794</f>
        <v/>
      </c>
      <c r="J792" s="13" t="str">
        <f>'1.5 Prod Bersih Sagu 2025'!K794</f>
        <v/>
      </c>
      <c r="K792" s="13" t="str">
        <f>'1.6 Prod Bersih Pisang 2025'!K794</f>
        <v/>
      </c>
      <c r="L792" s="15">
        <f t="shared" si="36"/>
        <v>0</v>
      </c>
      <c r="M792" s="14" t="str">
        <f>IF(D792="","",VLOOKUP(D792,'[1]0.1 Produksi Pangan &amp; Penduduk'!$D$5:$AU$704,44,0))</f>
        <v/>
      </c>
      <c r="N792" s="26" t="str">
        <f t="shared" si="37"/>
        <v/>
      </c>
      <c r="O792" s="16"/>
      <c r="P792" s="25" t="str">
        <f t="shared" si="38"/>
        <v/>
      </c>
      <c r="Q792" s="8"/>
    </row>
    <row r="793" spans="1:17" ht="15" x14ac:dyDescent="0.25">
      <c r="A793" s="3" t="str">
        <f>IF('1.1 Produksi Bersih Padi 2025'!A795="","",'1.1 Produksi Bersih Padi 2025'!A795)</f>
        <v/>
      </c>
      <c r="B793" s="32" t="str">
        <f>IF('1.1 Produksi Bersih Padi 2025'!B795="","",'1.1 Produksi Bersih Padi 2025'!B795)</f>
        <v/>
      </c>
      <c r="C793" s="32" t="str">
        <f>IF('1.1 Produksi Bersih Padi 2025'!C795="","",'1.1 Produksi Bersih Padi 2025'!C795)</f>
        <v/>
      </c>
      <c r="D793" s="3" t="str">
        <f>IF('1.1 Produksi Bersih Padi 2025'!D795="","",'1.1 Produksi Bersih Padi 2025'!D795)</f>
        <v/>
      </c>
      <c r="E793" s="3" t="str">
        <f>IF('1.1 Produksi Bersih Padi 2025'!E795="","",'1.1 Produksi Bersih Padi 2025'!E795)</f>
        <v/>
      </c>
      <c r="F793" s="13" t="str">
        <f>'1.1 Produksi Bersih Padi 2025'!Q795</f>
        <v/>
      </c>
      <c r="G793" s="13" t="str">
        <f>'1.2 Produksi Bersih Jagung 2025'!L795</f>
        <v/>
      </c>
      <c r="H793" s="13" t="str">
        <f>'1.3 Prod Bersih Ubi Kayu 2025'!K795</f>
        <v/>
      </c>
      <c r="I793" s="13" t="str">
        <f>'1.4 Prod Bersih Ubi Jalar 2025'!K795</f>
        <v/>
      </c>
      <c r="J793" s="13" t="str">
        <f>'1.5 Prod Bersih Sagu 2025'!K795</f>
        <v/>
      </c>
      <c r="K793" s="13" t="str">
        <f>'1.6 Prod Bersih Pisang 2025'!K795</f>
        <v/>
      </c>
      <c r="L793" s="15">
        <f t="shared" si="36"/>
        <v>0</v>
      </c>
      <c r="M793" s="14" t="str">
        <f>IF(D793="","",VLOOKUP(D793,'[1]0.1 Produksi Pangan &amp; Penduduk'!$D$5:$AU$704,44,0))</f>
        <v/>
      </c>
      <c r="N793" s="26" t="str">
        <f t="shared" si="37"/>
        <v/>
      </c>
      <c r="O793" s="16"/>
      <c r="P793" s="25" t="str">
        <f t="shared" si="38"/>
        <v/>
      </c>
      <c r="Q793" s="8"/>
    </row>
    <row r="794" spans="1:17" ht="15" x14ac:dyDescent="0.25">
      <c r="A794" s="3" t="str">
        <f>IF('1.1 Produksi Bersih Padi 2025'!A796="","",'1.1 Produksi Bersih Padi 2025'!A796)</f>
        <v/>
      </c>
      <c r="B794" s="32" t="str">
        <f>IF('1.1 Produksi Bersih Padi 2025'!B796="","",'1.1 Produksi Bersih Padi 2025'!B796)</f>
        <v/>
      </c>
      <c r="C794" s="32" t="str">
        <f>IF('1.1 Produksi Bersih Padi 2025'!C796="","",'1.1 Produksi Bersih Padi 2025'!C796)</f>
        <v/>
      </c>
      <c r="D794" s="3" t="str">
        <f>IF('1.1 Produksi Bersih Padi 2025'!D796="","",'1.1 Produksi Bersih Padi 2025'!D796)</f>
        <v/>
      </c>
      <c r="E794" s="3" t="str">
        <f>IF('1.1 Produksi Bersih Padi 2025'!E796="","",'1.1 Produksi Bersih Padi 2025'!E796)</f>
        <v/>
      </c>
      <c r="F794" s="13" t="str">
        <f>'1.1 Produksi Bersih Padi 2025'!Q796</f>
        <v/>
      </c>
      <c r="G794" s="13" t="str">
        <f>'1.2 Produksi Bersih Jagung 2025'!L796</f>
        <v/>
      </c>
      <c r="H794" s="13" t="str">
        <f>'1.3 Prod Bersih Ubi Kayu 2025'!K796</f>
        <v/>
      </c>
      <c r="I794" s="13" t="str">
        <f>'1.4 Prod Bersih Ubi Jalar 2025'!K796</f>
        <v/>
      </c>
      <c r="J794" s="13" t="str">
        <f>'1.5 Prod Bersih Sagu 2025'!K796</f>
        <v/>
      </c>
      <c r="K794" s="13" t="str">
        <f>'1.6 Prod Bersih Pisang 2025'!K796</f>
        <v/>
      </c>
      <c r="L794" s="15">
        <f t="shared" si="36"/>
        <v>0</v>
      </c>
      <c r="M794" s="14" t="str">
        <f>IF(D794="","",VLOOKUP(D794,'[1]0.1 Produksi Pangan &amp; Penduduk'!$D$5:$AU$704,44,0))</f>
        <v/>
      </c>
      <c r="N794" s="26" t="str">
        <f t="shared" si="37"/>
        <v/>
      </c>
      <c r="O794" s="16"/>
      <c r="P794" s="25" t="str">
        <f t="shared" si="38"/>
        <v/>
      </c>
      <c r="Q794" s="8"/>
    </row>
    <row r="795" spans="1:17" ht="15" x14ac:dyDescent="0.25">
      <c r="A795" s="3" t="str">
        <f>IF('1.1 Produksi Bersih Padi 2025'!A797="","",'1.1 Produksi Bersih Padi 2025'!A797)</f>
        <v/>
      </c>
      <c r="B795" s="32" t="str">
        <f>IF('1.1 Produksi Bersih Padi 2025'!B797="","",'1.1 Produksi Bersih Padi 2025'!B797)</f>
        <v/>
      </c>
      <c r="C795" s="32" t="str">
        <f>IF('1.1 Produksi Bersih Padi 2025'!C797="","",'1.1 Produksi Bersih Padi 2025'!C797)</f>
        <v/>
      </c>
      <c r="D795" s="3" t="str">
        <f>IF('1.1 Produksi Bersih Padi 2025'!D797="","",'1.1 Produksi Bersih Padi 2025'!D797)</f>
        <v/>
      </c>
      <c r="E795" s="3" t="str">
        <f>IF('1.1 Produksi Bersih Padi 2025'!E797="","",'1.1 Produksi Bersih Padi 2025'!E797)</f>
        <v/>
      </c>
      <c r="F795" s="13" t="str">
        <f>'1.1 Produksi Bersih Padi 2025'!Q797</f>
        <v/>
      </c>
      <c r="G795" s="13" t="str">
        <f>'1.2 Produksi Bersih Jagung 2025'!L797</f>
        <v/>
      </c>
      <c r="H795" s="13" t="str">
        <f>'1.3 Prod Bersih Ubi Kayu 2025'!K797</f>
        <v/>
      </c>
      <c r="I795" s="13" t="str">
        <f>'1.4 Prod Bersih Ubi Jalar 2025'!K797</f>
        <v/>
      </c>
      <c r="J795" s="13" t="str">
        <f>'1.5 Prod Bersih Sagu 2025'!K797</f>
        <v/>
      </c>
      <c r="K795" s="13" t="str">
        <f>'1.6 Prod Bersih Pisang 2025'!K797</f>
        <v/>
      </c>
      <c r="L795" s="15">
        <f t="shared" si="36"/>
        <v>0</v>
      </c>
      <c r="M795" s="14" t="str">
        <f>IF(D795="","",VLOOKUP(D795,'[1]0.1 Produksi Pangan &amp; Penduduk'!$D$5:$AU$704,44,0))</f>
        <v/>
      </c>
      <c r="N795" s="26" t="str">
        <f t="shared" si="37"/>
        <v/>
      </c>
      <c r="O795" s="16"/>
      <c r="P795" s="25" t="str">
        <f t="shared" si="38"/>
        <v/>
      </c>
      <c r="Q795" s="8"/>
    </row>
    <row r="796" spans="1:17" ht="15" x14ac:dyDescent="0.25">
      <c r="A796" s="3" t="str">
        <f>IF('1.1 Produksi Bersih Padi 2025'!A798="","",'1.1 Produksi Bersih Padi 2025'!A798)</f>
        <v/>
      </c>
      <c r="B796" s="32" t="str">
        <f>IF('1.1 Produksi Bersih Padi 2025'!B798="","",'1.1 Produksi Bersih Padi 2025'!B798)</f>
        <v/>
      </c>
      <c r="C796" s="32" t="str">
        <f>IF('1.1 Produksi Bersih Padi 2025'!C798="","",'1.1 Produksi Bersih Padi 2025'!C798)</f>
        <v/>
      </c>
      <c r="D796" s="3" t="str">
        <f>IF('1.1 Produksi Bersih Padi 2025'!D798="","",'1.1 Produksi Bersih Padi 2025'!D798)</f>
        <v/>
      </c>
      <c r="E796" s="3" t="str">
        <f>IF('1.1 Produksi Bersih Padi 2025'!E798="","",'1.1 Produksi Bersih Padi 2025'!E798)</f>
        <v/>
      </c>
      <c r="F796" s="13" t="str">
        <f>'1.1 Produksi Bersih Padi 2025'!Q798</f>
        <v/>
      </c>
      <c r="G796" s="13" t="str">
        <f>'1.2 Produksi Bersih Jagung 2025'!L798</f>
        <v/>
      </c>
      <c r="H796" s="13" t="str">
        <f>'1.3 Prod Bersih Ubi Kayu 2025'!K798</f>
        <v/>
      </c>
      <c r="I796" s="13" t="str">
        <f>'1.4 Prod Bersih Ubi Jalar 2025'!K798</f>
        <v/>
      </c>
      <c r="J796" s="13" t="str">
        <f>'1.5 Prod Bersih Sagu 2025'!K798</f>
        <v/>
      </c>
      <c r="K796" s="13" t="str">
        <f>'1.6 Prod Bersih Pisang 2025'!K798</f>
        <v/>
      </c>
      <c r="L796" s="15">
        <f t="shared" si="36"/>
        <v>0</v>
      </c>
      <c r="M796" s="14" t="str">
        <f>IF(D796="","",VLOOKUP(D796,'[1]0.1 Produksi Pangan &amp; Penduduk'!$D$5:$AU$704,44,0))</f>
        <v/>
      </c>
      <c r="N796" s="26" t="str">
        <f t="shared" si="37"/>
        <v/>
      </c>
      <c r="O796" s="16"/>
      <c r="P796" s="25" t="str">
        <f t="shared" si="38"/>
        <v/>
      </c>
      <c r="Q796" s="8"/>
    </row>
    <row r="797" spans="1:17" ht="15" x14ac:dyDescent="0.25">
      <c r="A797" s="3" t="str">
        <f>IF('1.1 Produksi Bersih Padi 2025'!A799="","",'1.1 Produksi Bersih Padi 2025'!A799)</f>
        <v/>
      </c>
      <c r="B797" s="32" t="str">
        <f>IF('1.1 Produksi Bersih Padi 2025'!B799="","",'1.1 Produksi Bersih Padi 2025'!B799)</f>
        <v/>
      </c>
      <c r="C797" s="32" t="str">
        <f>IF('1.1 Produksi Bersih Padi 2025'!C799="","",'1.1 Produksi Bersih Padi 2025'!C799)</f>
        <v/>
      </c>
      <c r="D797" s="3" t="str">
        <f>IF('1.1 Produksi Bersih Padi 2025'!D799="","",'1.1 Produksi Bersih Padi 2025'!D799)</f>
        <v/>
      </c>
      <c r="E797" s="3" t="str">
        <f>IF('1.1 Produksi Bersih Padi 2025'!E799="","",'1.1 Produksi Bersih Padi 2025'!E799)</f>
        <v/>
      </c>
      <c r="F797" s="13" t="str">
        <f>'1.1 Produksi Bersih Padi 2025'!Q799</f>
        <v/>
      </c>
      <c r="G797" s="13" t="str">
        <f>'1.2 Produksi Bersih Jagung 2025'!L799</f>
        <v/>
      </c>
      <c r="H797" s="13" t="str">
        <f>'1.3 Prod Bersih Ubi Kayu 2025'!K799</f>
        <v/>
      </c>
      <c r="I797" s="13" t="str">
        <f>'1.4 Prod Bersih Ubi Jalar 2025'!K799</f>
        <v/>
      </c>
      <c r="J797" s="13" t="str">
        <f>'1.5 Prod Bersih Sagu 2025'!K799</f>
        <v/>
      </c>
      <c r="K797" s="13" t="str">
        <f>'1.6 Prod Bersih Pisang 2025'!K799</f>
        <v/>
      </c>
      <c r="L797" s="15">
        <f t="shared" si="36"/>
        <v>0</v>
      </c>
      <c r="M797" s="14" t="str">
        <f>IF(D797="","",VLOOKUP(D797,'[1]0.1 Produksi Pangan &amp; Penduduk'!$D$5:$AU$704,44,0))</f>
        <v/>
      </c>
      <c r="N797" s="26" t="str">
        <f t="shared" si="37"/>
        <v/>
      </c>
      <c r="O797" s="16"/>
      <c r="P797" s="25" t="str">
        <f t="shared" si="38"/>
        <v/>
      </c>
      <c r="Q797" s="8"/>
    </row>
    <row r="798" spans="1:17" ht="15" x14ac:dyDescent="0.25">
      <c r="A798" s="3" t="str">
        <f>IF('1.1 Produksi Bersih Padi 2025'!A800="","",'1.1 Produksi Bersih Padi 2025'!A800)</f>
        <v/>
      </c>
      <c r="B798" s="32" t="str">
        <f>IF('1.1 Produksi Bersih Padi 2025'!B800="","",'1.1 Produksi Bersih Padi 2025'!B800)</f>
        <v/>
      </c>
      <c r="C798" s="32" t="str">
        <f>IF('1.1 Produksi Bersih Padi 2025'!C800="","",'1.1 Produksi Bersih Padi 2025'!C800)</f>
        <v/>
      </c>
      <c r="D798" s="3" t="str">
        <f>IF('1.1 Produksi Bersih Padi 2025'!D800="","",'1.1 Produksi Bersih Padi 2025'!D800)</f>
        <v/>
      </c>
      <c r="E798" s="3" t="str">
        <f>IF('1.1 Produksi Bersih Padi 2025'!E800="","",'1.1 Produksi Bersih Padi 2025'!E800)</f>
        <v/>
      </c>
      <c r="F798" s="13" t="str">
        <f>'1.1 Produksi Bersih Padi 2025'!Q800</f>
        <v/>
      </c>
      <c r="G798" s="13" t="str">
        <f>'1.2 Produksi Bersih Jagung 2025'!L800</f>
        <v/>
      </c>
      <c r="H798" s="13" t="str">
        <f>'1.3 Prod Bersih Ubi Kayu 2025'!K800</f>
        <v/>
      </c>
      <c r="I798" s="13" t="str">
        <f>'1.4 Prod Bersih Ubi Jalar 2025'!K800</f>
        <v/>
      </c>
      <c r="J798" s="13" t="str">
        <f>'1.5 Prod Bersih Sagu 2025'!K800</f>
        <v/>
      </c>
      <c r="K798" s="13" t="str">
        <f>'1.6 Prod Bersih Pisang 2025'!K800</f>
        <v/>
      </c>
      <c r="L798" s="15">
        <f t="shared" si="36"/>
        <v>0</v>
      </c>
      <c r="M798" s="14" t="str">
        <f>IF(D798="","",VLOOKUP(D798,'[1]0.1 Produksi Pangan &amp; Penduduk'!$D$5:$AU$704,44,0))</f>
        <v/>
      </c>
      <c r="N798" s="26" t="str">
        <f t="shared" si="37"/>
        <v/>
      </c>
      <c r="O798" s="16"/>
      <c r="P798" s="25" t="str">
        <f t="shared" si="38"/>
        <v/>
      </c>
      <c r="Q798" s="8"/>
    </row>
    <row r="799" spans="1:17" ht="15" x14ac:dyDescent="0.25">
      <c r="A799" s="3" t="str">
        <f>IF('1.1 Produksi Bersih Padi 2025'!A801="","",'1.1 Produksi Bersih Padi 2025'!A801)</f>
        <v/>
      </c>
      <c r="B799" s="32" t="str">
        <f>IF('1.1 Produksi Bersih Padi 2025'!B801="","",'1.1 Produksi Bersih Padi 2025'!B801)</f>
        <v/>
      </c>
      <c r="C799" s="32" t="str">
        <f>IF('1.1 Produksi Bersih Padi 2025'!C801="","",'1.1 Produksi Bersih Padi 2025'!C801)</f>
        <v/>
      </c>
      <c r="D799" s="3" t="str">
        <f>IF('1.1 Produksi Bersih Padi 2025'!D801="","",'1.1 Produksi Bersih Padi 2025'!D801)</f>
        <v/>
      </c>
      <c r="E799" s="3" t="str">
        <f>IF('1.1 Produksi Bersih Padi 2025'!E801="","",'1.1 Produksi Bersih Padi 2025'!E801)</f>
        <v/>
      </c>
      <c r="F799" s="13" t="str">
        <f>'1.1 Produksi Bersih Padi 2025'!Q801</f>
        <v/>
      </c>
      <c r="G799" s="13" t="str">
        <f>'1.2 Produksi Bersih Jagung 2025'!L801</f>
        <v/>
      </c>
      <c r="H799" s="13" t="str">
        <f>'1.3 Prod Bersih Ubi Kayu 2025'!K801</f>
        <v/>
      </c>
      <c r="I799" s="13" t="str">
        <f>'1.4 Prod Bersih Ubi Jalar 2025'!K801</f>
        <v/>
      </c>
      <c r="J799" s="13" t="str">
        <f>'1.5 Prod Bersih Sagu 2025'!K801</f>
        <v/>
      </c>
      <c r="K799" s="13" t="str">
        <f>'1.6 Prod Bersih Pisang 2025'!K801</f>
        <v/>
      </c>
      <c r="L799" s="15">
        <f t="shared" si="36"/>
        <v>0</v>
      </c>
      <c r="M799" s="14" t="str">
        <f>IF(D799="","",VLOOKUP(D799,'[1]0.1 Produksi Pangan &amp; Penduduk'!$D$5:$AU$704,44,0))</f>
        <v/>
      </c>
      <c r="N799" s="26" t="str">
        <f t="shared" si="37"/>
        <v/>
      </c>
      <c r="O799" s="16"/>
      <c r="P799" s="25" t="str">
        <f t="shared" si="38"/>
        <v/>
      </c>
      <c r="Q799" s="8"/>
    </row>
    <row r="800" spans="1:17" ht="15" x14ac:dyDescent="0.25">
      <c r="A800" s="3" t="str">
        <f>IF('1.1 Produksi Bersih Padi 2025'!A802="","",'1.1 Produksi Bersih Padi 2025'!A802)</f>
        <v/>
      </c>
      <c r="B800" s="32" t="str">
        <f>IF('1.1 Produksi Bersih Padi 2025'!B802="","",'1.1 Produksi Bersih Padi 2025'!B802)</f>
        <v/>
      </c>
      <c r="C800" s="32" t="str">
        <f>IF('1.1 Produksi Bersih Padi 2025'!C802="","",'1.1 Produksi Bersih Padi 2025'!C802)</f>
        <v/>
      </c>
      <c r="D800" s="3" t="str">
        <f>IF('1.1 Produksi Bersih Padi 2025'!D802="","",'1.1 Produksi Bersih Padi 2025'!D802)</f>
        <v/>
      </c>
      <c r="E800" s="3" t="str">
        <f>IF('1.1 Produksi Bersih Padi 2025'!E802="","",'1.1 Produksi Bersih Padi 2025'!E802)</f>
        <v/>
      </c>
      <c r="F800" s="13" t="str">
        <f>'1.1 Produksi Bersih Padi 2025'!Q802</f>
        <v/>
      </c>
      <c r="G800" s="13" t="str">
        <f>'1.2 Produksi Bersih Jagung 2025'!L802</f>
        <v/>
      </c>
      <c r="H800" s="13" t="str">
        <f>'1.3 Prod Bersih Ubi Kayu 2025'!K802</f>
        <v/>
      </c>
      <c r="I800" s="13" t="str">
        <f>'1.4 Prod Bersih Ubi Jalar 2025'!K802</f>
        <v/>
      </c>
      <c r="J800" s="13" t="str">
        <f>'1.5 Prod Bersih Sagu 2025'!K802</f>
        <v/>
      </c>
      <c r="K800" s="13" t="str">
        <f>'1.6 Prod Bersih Pisang 2025'!K802</f>
        <v/>
      </c>
      <c r="L800" s="15">
        <f t="shared" si="36"/>
        <v>0</v>
      </c>
      <c r="M800" s="14" t="str">
        <f>IF(D800="","",VLOOKUP(D800,'[1]0.1 Produksi Pangan &amp; Penduduk'!$D$5:$AU$704,44,0))</f>
        <v/>
      </c>
      <c r="N800" s="26" t="str">
        <f t="shared" si="37"/>
        <v/>
      </c>
      <c r="O800" s="16"/>
      <c r="P800" s="25" t="str">
        <f t="shared" si="38"/>
        <v/>
      </c>
      <c r="Q800" s="8"/>
    </row>
    <row r="801" spans="1:17" ht="15" x14ac:dyDescent="0.25">
      <c r="A801" s="3" t="str">
        <f>IF('1.1 Produksi Bersih Padi 2025'!A803="","",'1.1 Produksi Bersih Padi 2025'!A803)</f>
        <v/>
      </c>
      <c r="B801" s="32" t="str">
        <f>IF('1.1 Produksi Bersih Padi 2025'!B803="","",'1.1 Produksi Bersih Padi 2025'!B803)</f>
        <v/>
      </c>
      <c r="C801" s="32" t="str">
        <f>IF('1.1 Produksi Bersih Padi 2025'!C803="","",'1.1 Produksi Bersih Padi 2025'!C803)</f>
        <v/>
      </c>
      <c r="D801" s="3" t="str">
        <f>IF('1.1 Produksi Bersih Padi 2025'!D803="","",'1.1 Produksi Bersih Padi 2025'!D803)</f>
        <v/>
      </c>
      <c r="E801" s="3" t="str">
        <f>IF('1.1 Produksi Bersih Padi 2025'!E803="","",'1.1 Produksi Bersih Padi 2025'!E803)</f>
        <v/>
      </c>
      <c r="F801" s="13" t="str">
        <f>'1.1 Produksi Bersih Padi 2025'!Q803</f>
        <v/>
      </c>
      <c r="G801" s="13" t="str">
        <f>'1.2 Produksi Bersih Jagung 2025'!L803</f>
        <v/>
      </c>
      <c r="H801" s="13" t="str">
        <f>'1.3 Prod Bersih Ubi Kayu 2025'!K803</f>
        <v/>
      </c>
      <c r="I801" s="13" t="str">
        <f>'1.4 Prod Bersih Ubi Jalar 2025'!K803</f>
        <v/>
      </c>
      <c r="J801" s="13" t="str">
        <f>'1.5 Prod Bersih Sagu 2025'!K803</f>
        <v/>
      </c>
      <c r="K801" s="13" t="str">
        <f>'1.6 Prod Bersih Pisang 2025'!K803</f>
        <v/>
      </c>
      <c r="L801" s="15">
        <f t="shared" si="36"/>
        <v>0</v>
      </c>
      <c r="M801" s="14" t="str">
        <f>IF(D801="","",VLOOKUP(D801,'[1]0.1 Produksi Pangan &amp; Penduduk'!$D$5:$AU$704,44,0))</f>
        <v/>
      </c>
      <c r="N801" s="26" t="str">
        <f t="shared" si="37"/>
        <v/>
      </c>
      <c r="O801" s="16"/>
      <c r="P801" s="25" t="str">
        <f t="shared" si="38"/>
        <v/>
      </c>
      <c r="Q801" s="8"/>
    </row>
    <row r="802" spans="1:17" ht="15" x14ac:dyDescent="0.25">
      <c r="A802" s="3" t="str">
        <f>IF('1.1 Produksi Bersih Padi 2025'!A804="","",'1.1 Produksi Bersih Padi 2025'!A804)</f>
        <v/>
      </c>
      <c r="B802" s="32" t="str">
        <f>IF('1.1 Produksi Bersih Padi 2025'!B804="","",'1.1 Produksi Bersih Padi 2025'!B804)</f>
        <v/>
      </c>
      <c r="C802" s="32" t="str">
        <f>IF('1.1 Produksi Bersih Padi 2025'!C804="","",'1.1 Produksi Bersih Padi 2025'!C804)</f>
        <v/>
      </c>
      <c r="D802" s="3" t="str">
        <f>IF('1.1 Produksi Bersih Padi 2025'!D804="","",'1.1 Produksi Bersih Padi 2025'!D804)</f>
        <v/>
      </c>
      <c r="E802" s="3" t="str">
        <f>IF('1.1 Produksi Bersih Padi 2025'!E804="","",'1.1 Produksi Bersih Padi 2025'!E804)</f>
        <v/>
      </c>
      <c r="F802" s="13" t="str">
        <f>'1.1 Produksi Bersih Padi 2025'!Q804</f>
        <v/>
      </c>
      <c r="G802" s="13" t="str">
        <f>'1.2 Produksi Bersih Jagung 2025'!L804</f>
        <v/>
      </c>
      <c r="H802" s="13" t="str">
        <f>'1.3 Prod Bersih Ubi Kayu 2025'!K804</f>
        <v/>
      </c>
      <c r="I802" s="13" t="str">
        <f>'1.4 Prod Bersih Ubi Jalar 2025'!K804</f>
        <v/>
      </c>
      <c r="J802" s="13" t="str">
        <f>'1.5 Prod Bersih Sagu 2025'!K804</f>
        <v/>
      </c>
      <c r="K802" s="13" t="str">
        <f>'1.6 Prod Bersih Pisang 2025'!K804</f>
        <v/>
      </c>
      <c r="L802" s="15">
        <f t="shared" si="36"/>
        <v>0</v>
      </c>
      <c r="M802" s="14" t="str">
        <f>IF(D802="","",VLOOKUP(D802,'[1]0.1 Produksi Pangan &amp; Penduduk'!$D$5:$AU$704,44,0))</f>
        <v/>
      </c>
      <c r="N802" s="26" t="str">
        <f t="shared" si="37"/>
        <v/>
      </c>
      <c r="O802" s="16"/>
      <c r="P802" s="25" t="str">
        <f t="shared" si="38"/>
        <v/>
      </c>
      <c r="Q802" s="8"/>
    </row>
    <row r="803" spans="1:17" ht="15" x14ac:dyDescent="0.25">
      <c r="A803" s="3" t="str">
        <f>IF('1.1 Produksi Bersih Padi 2025'!A805="","",'1.1 Produksi Bersih Padi 2025'!A805)</f>
        <v/>
      </c>
      <c r="B803" s="32" t="str">
        <f>IF('1.1 Produksi Bersih Padi 2025'!B805="","",'1.1 Produksi Bersih Padi 2025'!B805)</f>
        <v/>
      </c>
      <c r="C803" s="32" t="str">
        <f>IF('1.1 Produksi Bersih Padi 2025'!C805="","",'1.1 Produksi Bersih Padi 2025'!C805)</f>
        <v/>
      </c>
      <c r="D803" s="3" t="str">
        <f>IF('1.1 Produksi Bersih Padi 2025'!D805="","",'1.1 Produksi Bersih Padi 2025'!D805)</f>
        <v/>
      </c>
      <c r="E803" s="3" t="str">
        <f>IF('1.1 Produksi Bersih Padi 2025'!E805="","",'1.1 Produksi Bersih Padi 2025'!E805)</f>
        <v/>
      </c>
      <c r="F803" s="13" t="str">
        <f>'1.1 Produksi Bersih Padi 2025'!Q805</f>
        <v/>
      </c>
      <c r="G803" s="13" t="str">
        <f>'1.2 Produksi Bersih Jagung 2025'!L805</f>
        <v/>
      </c>
      <c r="H803" s="13" t="str">
        <f>'1.3 Prod Bersih Ubi Kayu 2025'!K805</f>
        <v/>
      </c>
      <c r="I803" s="13" t="str">
        <f>'1.4 Prod Bersih Ubi Jalar 2025'!K805</f>
        <v/>
      </c>
      <c r="J803" s="13" t="str">
        <f>'1.5 Prod Bersih Sagu 2025'!K805</f>
        <v/>
      </c>
      <c r="K803" s="13" t="str">
        <f>'1.6 Prod Bersih Pisang 2025'!K805</f>
        <v/>
      </c>
      <c r="L803" s="15">
        <f t="shared" si="36"/>
        <v>0</v>
      </c>
      <c r="M803" s="14" t="str">
        <f>IF(D803="","",VLOOKUP(D803,'[1]0.1 Produksi Pangan &amp; Penduduk'!$D$5:$AU$704,44,0))</f>
        <v/>
      </c>
      <c r="N803" s="26" t="str">
        <f t="shared" si="37"/>
        <v/>
      </c>
      <c r="O803" s="16"/>
      <c r="P803" s="25" t="str">
        <f t="shared" si="38"/>
        <v/>
      </c>
      <c r="Q803" s="8"/>
    </row>
    <row r="804" spans="1:17" ht="15" x14ac:dyDescent="0.25">
      <c r="A804" s="3" t="str">
        <f>IF('1.1 Produksi Bersih Padi 2025'!A806="","",'1.1 Produksi Bersih Padi 2025'!A806)</f>
        <v/>
      </c>
      <c r="B804" s="32" t="str">
        <f>IF('1.1 Produksi Bersih Padi 2025'!B806="","",'1.1 Produksi Bersih Padi 2025'!B806)</f>
        <v/>
      </c>
      <c r="C804" s="32" t="str">
        <f>IF('1.1 Produksi Bersih Padi 2025'!C806="","",'1.1 Produksi Bersih Padi 2025'!C806)</f>
        <v/>
      </c>
      <c r="D804" s="3" t="str">
        <f>IF('1.1 Produksi Bersih Padi 2025'!D806="","",'1.1 Produksi Bersih Padi 2025'!D806)</f>
        <v/>
      </c>
      <c r="E804" s="3" t="str">
        <f>IF('1.1 Produksi Bersih Padi 2025'!E806="","",'1.1 Produksi Bersih Padi 2025'!E806)</f>
        <v/>
      </c>
      <c r="F804" s="13" t="str">
        <f>'1.1 Produksi Bersih Padi 2025'!Q806</f>
        <v/>
      </c>
      <c r="G804" s="13" t="str">
        <f>'1.2 Produksi Bersih Jagung 2025'!L806</f>
        <v/>
      </c>
      <c r="H804" s="13" t="str">
        <f>'1.3 Prod Bersih Ubi Kayu 2025'!K806</f>
        <v/>
      </c>
      <c r="I804" s="13" t="str">
        <f>'1.4 Prod Bersih Ubi Jalar 2025'!K806</f>
        <v/>
      </c>
      <c r="J804" s="13" t="str">
        <f>'1.5 Prod Bersih Sagu 2025'!K806</f>
        <v/>
      </c>
      <c r="K804" s="13" t="str">
        <f>'1.6 Prod Bersih Pisang 2025'!K806</f>
        <v/>
      </c>
      <c r="L804" s="15">
        <f t="shared" si="36"/>
        <v>0</v>
      </c>
      <c r="M804" s="14" t="str">
        <f>IF(D804="","",VLOOKUP(D804,'[1]0.1 Produksi Pangan &amp; Penduduk'!$D$5:$AU$704,44,0))</f>
        <v/>
      </c>
      <c r="N804" s="26" t="str">
        <f t="shared" si="37"/>
        <v/>
      </c>
      <c r="O804" s="16"/>
      <c r="P804" s="25" t="str">
        <f t="shared" si="38"/>
        <v/>
      </c>
      <c r="Q804" s="8"/>
    </row>
    <row r="805" spans="1:17" ht="15" x14ac:dyDescent="0.25">
      <c r="A805" s="3" t="str">
        <f>IF('1.1 Produksi Bersih Padi 2025'!A807="","",'1.1 Produksi Bersih Padi 2025'!A807)</f>
        <v/>
      </c>
      <c r="B805" s="32" t="str">
        <f>IF('1.1 Produksi Bersih Padi 2025'!B807="","",'1.1 Produksi Bersih Padi 2025'!B807)</f>
        <v/>
      </c>
      <c r="C805" s="32" t="str">
        <f>IF('1.1 Produksi Bersih Padi 2025'!C807="","",'1.1 Produksi Bersih Padi 2025'!C807)</f>
        <v/>
      </c>
      <c r="D805" s="3" t="str">
        <f>IF('1.1 Produksi Bersih Padi 2025'!D807="","",'1.1 Produksi Bersih Padi 2025'!D807)</f>
        <v/>
      </c>
      <c r="E805" s="3" t="str">
        <f>IF('1.1 Produksi Bersih Padi 2025'!E807="","",'1.1 Produksi Bersih Padi 2025'!E807)</f>
        <v/>
      </c>
      <c r="F805" s="13" t="str">
        <f>'1.1 Produksi Bersih Padi 2025'!Q807</f>
        <v/>
      </c>
      <c r="G805" s="13" t="str">
        <f>'1.2 Produksi Bersih Jagung 2025'!L807</f>
        <v/>
      </c>
      <c r="H805" s="13" t="str">
        <f>'1.3 Prod Bersih Ubi Kayu 2025'!K807</f>
        <v/>
      </c>
      <c r="I805" s="13" t="str">
        <f>'1.4 Prod Bersih Ubi Jalar 2025'!K807</f>
        <v/>
      </c>
      <c r="J805" s="13" t="str">
        <f>'1.5 Prod Bersih Sagu 2025'!K807</f>
        <v/>
      </c>
      <c r="K805" s="13" t="str">
        <f>'1.6 Prod Bersih Pisang 2025'!K807</f>
        <v/>
      </c>
      <c r="L805" s="15">
        <f t="shared" si="36"/>
        <v>0</v>
      </c>
      <c r="M805" s="14" t="str">
        <f>IF(D805="","",VLOOKUP(D805,'[1]0.1 Produksi Pangan &amp; Penduduk'!$D$5:$AU$704,44,0))</f>
        <v/>
      </c>
      <c r="N805" s="26" t="str">
        <f t="shared" si="37"/>
        <v/>
      </c>
      <c r="O805" s="16"/>
      <c r="P805" s="25" t="str">
        <f t="shared" si="38"/>
        <v/>
      </c>
      <c r="Q805" s="8"/>
    </row>
    <row r="806" spans="1:17" ht="15" x14ac:dyDescent="0.25">
      <c r="A806" s="3" t="str">
        <f>IF('1.1 Produksi Bersih Padi 2025'!A808="","",'1.1 Produksi Bersih Padi 2025'!A808)</f>
        <v/>
      </c>
      <c r="B806" s="32" t="str">
        <f>IF('1.1 Produksi Bersih Padi 2025'!B808="","",'1.1 Produksi Bersih Padi 2025'!B808)</f>
        <v/>
      </c>
      <c r="C806" s="32" t="str">
        <f>IF('1.1 Produksi Bersih Padi 2025'!C808="","",'1.1 Produksi Bersih Padi 2025'!C808)</f>
        <v/>
      </c>
      <c r="D806" s="3" t="str">
        <f>IF('1.1 Produksi Bersih Padi 2025'!D808="","",'1.1 Produksi Bersih Padi 2025'!D808)</f>
        <v/>
      </c>
      <c r="E806" s="3" t="str">
        <f>IF('1.1 Produksi Bersih Padi 2025'!E808="","",'1.1 Produksi Bersih Padi 2025'!E808)</f>
        <v/>
      </c>
      <c r="F806" s="13" t="str">
        <f>'1.1 Produksi Bersih Padi 2025'!Q808</f>
        <v/>
      </c>
      <c r="G806" s="13" t="str">
        <f>'1.2 Produksi Bersih Jagung 2025'!L808</f>
        <v/>
      </c>
      <c r="H806" s="13" t="str">
        <f>'1.3 Prod Bersih Ubi Kayu 2025'!K808</f>
        <v/>
      </c>
      <c r="I806" s="13" t="str">
        <f>'1.4 Prod Bersih Ubi Jalar 2025'!K808</f>
        <v/>
      </c>
      <c r="J806" s="13" t="str">
        <f>'1.5 Prod Bersih Sagu 2025'!K808</f>
        <v/>
      </c>
      <c r="K806" s="13" t="str">
        <f>'1.6 Prod Bersih Pisang 2025'!K808</f>
        <v/>
      </c>
      <c r="L806" s="15">
        <f t="shared" si="36"/>
        <v>0</v>
      </c>
      <c r="M806" s="14" t="str">
        <f>IF(D806="","",VLOOKUP(D806,'[1]0.1 Produksi Pangan &amp; Penduduk'!$D$5:$AU$704,44,0))</f>
        <v/>
      </c>
      <c r="N806" s="26" t="str">
        <f t="shared" si="37"/>
        <v/>
      </c>
      <c r="O806" s="16"/>
      <c r="P806" s="25" t="str">
        <f t="shared" si="38"/>
        <v/>
      </c>
      <c r="Q806" s="8"/>
    </row>
    <row r="807" spans="1:17" ht="15" x14ac:dyDescent="0.25">
      <c r="A807" s="3" t="str">
        <f>IF('1.1 Produksi Bersih Padi 2025'!A809="","",'1.1 Produksi Bersih Padi 2025'!A809)</f>
        <v/>
      </c>
      <c r="B807" s="32" t="str">
        <f>IF('1.1 Produksi Bersih Padi 2025'!B809="","",'1.1 Produksi Bersih Padi 2025'!B809)</f>
        <v/>
      </c>
      <c r="C807" s="32" t="str">
        <f>IF('1.1 Produksi Bersih Padi 2025'!C809="","",'1.1 Produksi Bersih Padi 2025'!C809)</f>
        <v/>
      </c>
      <c r="D807" s="3" t="str">
        <f>IF('1.1 Produksi Bersih Padi 2025'!D809="","",'1.1 Produksi Bersih Padi 2025'!D809)</f>
        <v/>
      </c>
      <c r="E807" s="3" t="str">
        <f>IF('1.1 Produksi Bersih Padi 2025'!E809="","",'1.1 Produksi Bersih Padi 2025'!E809)</f>
        <v/>
      </c>
      <c r="F807" s="13" t="str">
        <f>'1.1 Produksi Bersih Padi 2025'!Q809</f>
        <v/>
      </c>
      <c r="G807" s="13" t="str">
        <f>'1.2 Produksi Bersih Jagung 2025'!L809</f>
        <v/>
      </c>
      <c r="H807" s="13" t="str">
        <f>'1.3 Prod Bersih Ubi Kayu 2025'!K809</f>
        <v/>
      </c>
      <c r="I807" s="13" t="str">
        <f>'1.4 Prod Bersih Ubi Jalar 2025'!K809</f>
        <v/>
      </c>
      <c r="J807" s="13" t="str">
        <f>'1.5 Prod Bersih Sagu 2025'!K809</f>
        <v/>
      </c>
      <c r="K807" s="13" t="str">
        <f>'1.6 Prod Bersih Pisang 2025'!K809</f>
        <v/>
      </c>
      <c r="L807" s="15">
        <f t="shared" si="36"/>
        <v>0</v>
      </c>
      <c r="M807" s="14" t="str">
        <f>IF(D807="","",VLOOKUP(D807,'[1]0.1 Produksi Pangan &amp; Penduduk'!$D$5:$AU$704,44,0))</f>
        <v/>
      </c>
      <c r="N807" s="26" t="str">
        <f t="shared" si="37"/>
        <v/>
      </c>
      <c r="O807" s="16"/>
      <c r="P807" s="25" t="str">
        <f t="shared" si="38"/>
        <v/>
      </c>
      <c r="Q807" s="8"/>
    </row>
    <row r="808" spans="1:17" ht="15" x14ac:dyDescent="0.25">
      <c r="A808" s="3" t="str">
        <f>IF('1.1 Produksi Bersih Padi 2025'!A810="","",'1.1 Produksi Bersih Padi 2025'!A810)</f>
        <v/>
      </c>
      <c r="B808" s="32" t="str">
        <f>IF('1.1 Produksi Bersih Padi 2025'!B810="","",'1.1 Produksi Bersih Padi 2025'!B810)</f>
        <v/>
      </c>
      <c r="C808" s="32" t="str">
        <f>IF('1.1 Produksi Bersih Padi 2025'!C810="","",'1.1 Produksi Bersih Padi 2025'!C810)</f>
        <v/>
      </c>
      <c r="D808" s="3" t="str">
        <f>IF('1.1 Produksi Bersih Padi 2025'!D810="","",'1.1 Produksi Bersih Padi 2025'!D810)</f>
        <v/>
      </c>
      <c r="E808" s="3" t="str">
        <f>IF('1.1 Produksi Bersih Padi 2025'!E810="","",'1.1 Produksi Bersih Padi 2025'!E810)</f>
        <v/>
      </c>
      <c r="F808" s="13" t="str">
        <f>'1.1 Produksi Bersih Padi 2025'!Q810</f>
        <v/>
      </c>
      <c r="G808" s="13" t="str">
        <f>'1.2 Produksi Bersih Jagung 2025'!L810</f>
        <v/>
      </c>
      <c r="H808" s="13" t="str">
        <f>'1.3 Prod Bersih Ubi Kayu 2025'!K810</f>
        <v/>
      </c>
      <c r="I808" s="13" t="str">
        <f>'1.4 Prod Bersih Ubi Jalar 2025'!K810</f>
        <v/>
      </c>
      <c r="J808" s="13" t="str">
        <f>'1.5 Prod Bersih Sagu 2025'!K810</f>
        <v/>
      </c>
      <c r="K808" s="13" t="str">
        <f>'1.6 Prod Bersih Pisang 2025'!K810</f>
        <v/>
      </c>
      <c r="L808" s="15">
        <f t="shared" si="36"/>
        <v>0</v>
      </c>
      <c r="M808" s="14" t="str">
        <f>IF(D808="","",VLOOKUP(D808,'[1]0.1 Produksi Pangan &amp; Penduduk'!$D$5:$AU$704,44,0))</f>
        <v/>
      </c>
      <c r="N808" s="26" t="str">
        <f t="shared" si="37"/>
        <v/>
      </c>
      <c r="O808" s="16"/>
      <c r="P808" s="25" t="str">
        <f t="shared" si="38"/>
        <v/>
      </c>
      <c r="Q808" s="8"/>
    </row>
    <row r="809" spans="1:17" ht="15" x14ac:dyDescent="0.25">
      <c r="A809" s="3" t="str">
        <f>IF('1.1 Produksi Bersih Padi 2025'!A811="","",'1.1 Produksi Bersih Padi 2025'!A811)</f>
        <v/>
      </c>
      <c r="B809" s="32" t="str">
        <f>IF('1.1 Produksi Bersih Padi 2025'!B811="","",'1.1 Produksi Bersih Padi 2025'!B811)</f>
        <v/>
      </c>
      <c r="C809" s="32" t="str">
        <f>IF('1.1 Produksi Bersih Padi 2025'!C811="","",'1.1 Produksi Bersih Padi 2025'!C811)</f>
        <v/>
      </c>
      <c r="D809" s="3" t="str">
        <f>IF('1.1 Produksi Bersih Padi 2025'!D811="","",'1.1 Produksi Bersih Padi 2025'!D811)</f>
        <v/>
      </c>
      <c r="E809" s="3" t="str">
        <f>IF('1.1 Produksi Bersih Padi 2025'!E811="","",'1.1 Produksi Bersih Padi 2025'!E811)</f>
        <v/>
      </c>
      <c r="F809" s="13" t="str">
        <f>'1.1 Produksi Bersih Padi 2025'!Q811</f>
        <v/>
      </c>
      <c r="G809" s="13" t="str">
        <f>'1.2 Produksi Bersih Jagung 2025'!L811</f>
        <v/>
      </c>
      <c r="H809" s="13" t="str">
        <f>'1.3 Prod Bersih Ubi Kayu 2025'!K811</f>
        <v/>
      </c>
      <c r="I809" s="13" t="str">
        <f>'1.4 Prod Bersih Ubi Jalar 2025'!K811</f>
        <v/>
      </c>
      <c r="J809" s="13" t="str">
        <f>'1.5 Prod Bersih Sagu 2025'!K811</f>
        <v/>
      </c>
      <c r="K809" s="13" t="str">
        <f>'1.6 Prod Bersih Pisang 2025'!K811</f>
        <v/>
      </c>
      <c r="L809" s="15">
        <f t="shared" si="36"/>
        <v>0</v>
      </c>
      <c r="M809" s="14" t="str">
        <f>IF(D809="","",VLOOKUP(D809,'[1]0.1 Produksi Pangan &amp; Penduduk'!$D$5:$AU$704,44,0))</f>
        <v/>
      </c>
      <c r="N809" s="26" t="str">
        <f t="shared" si="37"/>
        <v/>
      </c>
      <c r="O809" s="16"/>
      <c r="P809" s="25" t="str">
        <f t="shared" si="38"/>
        <v/>
      </c>
      <c r="Q809" s="8"/>
    </row>
    <row r="810" spans="1:17" ht="15" x14ac:dyDescent="0.25">
      <c r="A810" s="3" t="str">
        <f>IF('1.1 Produksi Bersih Padi 2025'!A812="","",'1.1 Produksi Bersih Padi 2025'!A812)</f>
        <v/>
      </c>
      <c r="B810" s="32" t="str">
        <f>IF('1.1 Produksi Bersih Padi 2025'!B812="","",'1.1 Produksi Bersih Padi 2025'!B812)</f>
        <v/>
      </c>
      <c r="C810" s="32" t="str">
        <f>IF('1.1 Produksi Bersih Padi 2025'!C812="","",'1.1 Produksi Bersih Padi 2025'!C812)</f>
        <v/>
      </c>
      <c r="D810" s="3" t="str">
        <f>IF('1.1 Produksi Bersih Padi 2025'!D812="","",'1.1 Produksi Bersih Padi 2025'!D812)</f>
        <v/>
      </c>
      <c r="E810" s="3" t="str">
        <f>IF('1.1 Produksi Bersih Padi 2025'!E812="","",'1.1 Produksi Bersih Padi 2025'!E812)</f>
        <v/>
      </c>
      <c r="F810" s="13" t="str">
        <f>'1.1 Produksi Bersih Padi 2025'!Q812</f>
        <v/>
      </c>
      <c r="G810" s="13" t="str">
        <f>'1.2 Produksi Bersih Jagung 2025'!L812</f>
        <v/>
      </c>
      <c r="H810" s="13" t="str">
        <f>'1.3 Prod Bersih Ubi Kayu 2025'!K812</f>
        <v/>
      </c>
      <c r="I810" s="13" t="str">
        <f>'1.4 Prod Bersih Ubi Jalar 2025'!K812</f>
        <v/>
      </c>
      <c r="J810" s="13" t="str">
        <f>'1.5 Prod Bersih Sagu 2025'!K812</f>
        <v/>
      </c>
      <c r="K810" s="13" t="str">
        <f>'1.6 Prod Bersih Pisang 2025'!K812</f>
        <v/>
      </c>
      <c r="L810" s="15">
        <f t="shared" si="36"/>
        <v>0</v>
      </c>
      <c r="M810" s="14" t="str">
        <f>IF(D810="","",VLOOKUP(D810,'[1]0.1 Produksi Pangan &amp; Penduduk'!$D$5:$AU$704,44,0))</f>
        <v/>
      </c>
      <c r="N810" s="26" t="str">
        <f t="shared" si="37"/>
        <v/>
      </c>
      <c r="O810" s="16"/>
      <c r="P810" s="25" t="str">
        <f t="shared" si="38"/>
        <v/>
      </c>
      <c r="Q810" s="8"/>
    </row>
    <row r="811" spans="1:17" ht="15" x14ac:dyDescent="0.25">
      <c r="A811" s="3" t="str">
        <f>IF('1.1 Produksi Bersih Padi 2025'!A813="","",'1.1 Produksi Bersih Padi 2025'!A813)</f>
        <v/>
      </c>
      <c r="B811" s="32" t="str">
        <f>IF('1.1 Produksi Bersih Padi 2025'!B813="","",'1.1 Produksi Bersih Padi 2025'!B813)</f>
        <v/>
      </c>
      <c r="C811" s="32" t="str">
        <f>IF('1.1 Produksi Bersih Padi 2025'!C813="","",'1.1 Produksi Bersih Padi 2025'!C813)</f>
        <v/>
      </c>
      <c r="D811" s="3" t="str">
        <f>IF('1.1 Produksi Bersih Padi 2025'!D813="","",'1.1 Produksi Bersih Padi 2025'!D813)</f>
        <v/>
      </c>
      <c r="E811" s="3" t="str">
        <f>IF('1.1 Produksi Bersih Padi 2025'!E813="","",'1.1 Produksi Bersih Padi 2025'!E813)</f>
        <v/>
      </c>
      <c r="F811" s="13" t="str">
        <f>'1.1 Produksi Bersih Padi 2025'!Q813</f>
        <v/>
      </c>
      <c r="G811" s="13" t="str">
        <f>'1.2 Produksi Bersih Jagung 2025'!L813</f>
        <v/>
      </c>
      <c r="H811" s="13" t="str">
        <f>'1.3 Prod Bersih Ubi Kayu 2025'!K813</f>
        <v/>
      </c>
      <c r="I811" s="13" t="str">
        <f>'1.4 Prod Bersih Ubi Jalar 2025'!K813</f>
        <v/>
      </c>
      <c r="J811" s="13" t="str">
        <f>'1.5 Prod Bersih Sagu 2025'!K813</f>
        <v/>
      </c>
      <c r="K811" s="13" t="str">
        <f>'1.6 Prod Bersih Pisang 2025'!K813</f>
        <v/>
      </c>
      <c r="L811" s="15">
        <f t="shared" si="36"/>
        <v>0</v>
      </c>
      <c r="M811" s="14" t="str">
        <f>IF(D811="","",VLOOKUP(D811,'[1]0.1 Produksi Pangan &amp; Penduduk'!$D$5:$AU$704,44,0))</f>
        <v/>
      </c>
      <c r="N811" s="26" t="str">
        <f t="shared" si="37"/>
        <v/>
      </c>
      <c r="O811" s="16"/>
      <c r="P811" s="25" t="str">
        <f t="shared" si="38"/>
        <v/>
      </c>
      <c r="Q811" s="8"/>
    </row>
    <row r="812" spans="1:17" ht="15" x14ac:dyDescent="0.25">
      <c r="A812" s="3" t="str">
        <f>IF('1.1 Produksi Bersih Padi 2025'!A814="","",'1.1 Produksi Bersih Padi 2025'!A814)</f>
        <v/>
      </c>
      <c r="B812" s="32" t="str">
        <f>IF('1.1 Produksi Bersih Padi 2025'!B814="","",'1.1 Produksi Bersih Padi 2025'!B814)</f>
        <v/>
      </c>
      <c r="C812" s="32" t="str">
        <f>IF('1.1 Produksi Bersih Padi 2025'!C814="","",'1.1 Produksi Bersih Padi 2025'!C814)</f>
        <v/>
      </c>
      <c r="D812" s="3" t="str">
        <f>IF('1.1 Produksi Bersih Padi 2025'!D814="","",'1.1 Produksi Bersih Padi 2025'!D814)</f>
        <v/>
      </c>
      <c r="E812" s="3" t="str">
        <f>IF('1.1 Produksi Bersih Padi 2025'!E814="","",'1.1 Produksi Bersih Padi 2025'!E814)</f>
        <v/>
      </c>
      <c r="F812" s="13" t="str">
        <f>'1.1 Produksi Bersih Padi 2025'!Q814</f>
        <v/>
      </c>
      <c r="G812" s="13" t="str">
        <f>'1.2 Produksi Bersih Jagung 2025'!L814</f>
        <v/>
      </c>
      <c r="H812" s="13" t="str">
        <f>'1.3 Prod Bersih Ubi Kayu 2025'!K814</f>
        <v/>
      </c>
      <c r="I812" s="13" t="str">
        <f>'1.4 Prod Bersih Ubi Jalar 2025'!K814</f>
        <v/>
      </c>
      <c r="J812" s="13" t="str">
        <f>'1.5 Prod Bersih Sagu 2025'!K814</f>
        <v/>
      </c>
      <c r="K812" s="13" t="str">
        <f>'1.6 Prod Bersih Pisang 2025'!K814</f>
        <v/>
      </c>
      <c r="L812" s="15">
        <f t="shared" si="36"/>
        <v>0</v>
      </c>
      <c r="M812" s="14" t="str">
        <f>IF(D812="","",VLOOKUP(D812,'[1]0.1 Produksi Pangan &amp; Penduduk'!$D$5:$AU$704,44,0))</f>
        <v/>
      </c>
      <c r="N812" s="26" t="str">
        <f t="shared" si="37"/>
        <v/>
      </c>
      <c r="O812" s="16"/>
      <c r="P812" s="25" t="str">
        <f t="shared" si="38"/>
        <v/>
      </c>
      <c r="Q812" s="8"/>
    </row>
    <row r="813" spans="1:17" ht="15" x14ac:dyDescent="0.25">
      <c r="A813" s="3" t="str">
        <f>IF('1.1 Produksi Bersih Padi 2025'!A815="","",'1.1 Produksi Bersih Padi 2025'!A815)</f>
        <v/>
      </c>
      <c r="B813" s="32" t="str">
        <f>IF('1.1 Produksi Bersih Padi 2025'!B815="","",'1.1 Produksi Bersih Padi 2025'!B815)</f>
        <v/>
      </c>
      <c r="C813" s="32" t="str">
        <f>IF('1.1 Produksi Bersih Padi 2025'!C815="","",'1.1 Produksi Bersih Padi 2025'!C815)</f>
        <v/>
      </c>
      <c r="D813" s="3" t="str">
        <f>IF('1.1 Produksi Bersih Padi 2025'!D815="","",'1.1 Produksi Bersih Padi 2025'!D815)</f>
        <v/>
      </c>
      <c r="E813" s="3" t="str">
        <f>IF('1.1 Produksi Bersih Padi 2025'!E815="","",'1.1 Produksi Bersih Padi 2025'!E815)</f>
        <v/>
      </c>
      <c r="F813" s="13" t="str">
        <f>'1.1 Produksi Bersih Padi 2025'!Q815</f>
        <v/>
      </c>
      <c r="G813" s="13" t="str">
        <f>'1.2 Produksi Bersih Jagung 2025'!L815</f>
        <v/>
      </c>
      <c r="H813" s="13" t="str">
        <f>'1.3 Prod Bersih Ubi Kayu 2025'!K815</f>
        <v/>
      </c>
      <c r="I813" s="13" t="str">
        <f>'1.4 Prod Bersih Ubi Jalar 2025'!K815</f>
        <v/>
      </c>
      <c r="J813" s="13" t="str">
        <f>'1.5 Prod Bersih Sagu 2025'!K815</f>
        <v/>
      </c>
      <c r="K813" s="13" t="str">
        <f>'1.6 Prod Bersih Pisang 2025'!K815</f>
        <v/>
      </c>
      <c r="L813" s="15">
        <f t="shared" si="36"/>
        <v>0</v>
      </c>
      <c r="M813" s="14" t="str">
        <f>IF(D813="","",VLOOKUP(D813,'[1]0.1 Produksi Pangan &amp; Penduduk'!$D$5:$AU$704,44,0))</f>
        <v/>
      </c>
      <c r="N813" s="26" t="str">
        <f t="shared" si="37"/>
        <v/>
      </c>
      <c r="O813" s="16"/>
      <c r="P813" s="25" t="str">
        <f t="shared" si="38"/>
        <v/>
      </c>
      <c r="Q813" s="8"/>
    </row>
    <row r="814" spans="1:17" ht="15" x14ac:dyDescent="0.25">
      <c r="A814" s="3" t="str">
        <f>IF('1.1 Produksi Bersih Padi 2025'!A816="","",'1.1 Produksi Bersih Padi 2025'!A816)</f>
        <v/>
      </c>
      <c r="B814" s="32" t="str">
        <f>IF('1.1 Produksi Bersih Padi 2025'!B816="","",'1.1 Produksi Bersih Padi 2025'!B816)</f>
        <v/>
      </c>
      <c r="C814" s="32" t="str">
        <f>IF('1.1 Produksi Bersih Padi 2025'!C816="","",'1.1 Produksi Bersih Padi 2025'!C816)</f>
        <v/>
      </c>
      <c r="D814" s="3" t="str">
        <f>IF('1.1 Produksi Bersih Padi 2025'!D816="","",'1.1 Produksi Bersih Padi 2025'!D816)</f>
        <v/>
      </c>
      <c r="E814" s="3" t="str">
        <f>IF('1.1 Produksi Bersih Padi 2025'!E816="","",'1.1 Produksi Bersih Padi 2025'!E816)</f>
        <v/>
      </c>
      <c r="F814" s="13" t="str">
        <f>'1.1 Produksi Bersih Padi 2025'!Q816</f>
        <v/>
      </c>
      <c r="G814" s="13" t="str">
        <f>'1.2 Produksi Bersih Jagung 2025'!L816</f>
        <v/>
      </c>
      <c r="H814" s="13" t="str">
        <f>'1.3 Prod Bersih Ubi Kayu 2025'!K816</f>
        <v/>
      </c>
      <c r="I814" s="13" t="str">
        <f>'1.4 Prod Bersih Ubi Jalar 2025'!K816</f>
        <v/>
      </c>
      <c r="J814" s="13" t="str">
        <f>'1.5 Prod Bersih Sagu 2025'!K816</f>
        <v/>
      </c>
      <c r="K814" s="13" t="str">
        <f>'1.6 Prod Bersih Pisang 2025'!K816</f>
        <v/>
      </c>
      <c r="L814" s="15">
        <f t="shared" si="36"/>
        <v>0</v>
      </c>
      <c r="M814" s="14" t="str">
        <f>IF(D814="","",VLOOKUP(D814,'[1]0.1 Produksi Pangan &amp; Penduduk'!$D$5:$AU$704,44,0))</f>
        <v/>
      </c>
      <c r="N814" s="26" t="str">
        <f t="shared" si="37"/>
        <v/>
      </c>
      <c r="O814" s="16"/>
      <c r="P814" s="25" t="str">
        <f t="shared" si="38"/>
        <v/>
      </c>
      <c r="Q814" s="8"/>
    </row>
    <row r="815" spans="1:17" ht="15" x14ac:dyDescent="0.25">
      <c r="A815" s="3" t="str">
        <f>IF('1.1 Produksi Bersih Padi 2025'!A817="","",'1.1 Produksi Bersih Padi 2025'!A817)</f>
        <v/>
      </c>
      <c r="B815" s="32" t="str">
        <f>IF('1.1 Produksi Bersih Padi 2025'!B817="","",'1.1 Produksi Bersih Padi 2025'!B817)</f>
        <v/>
      </c>
      <c r="C815" s="32" t="str">
        <f>IF('1.1 Produksi Bersih Padi 2025'!C817="","",'1.1 Produksi Bersih Padi 2025'!C817)</f>
        <v/>
      </c>
      <c r="D815" s="3" t="str">
        <f>IF('1.1 Produksi Bersih Padi 2025'!D817="","",'1.1 Produksi Bersih Padi 2025'!D817)</f>
        <v/>
      </c>
      <c r="E815" s="3" t="str">
        <f>IF('1.1 Produksi Bersih Padi 2025'!E817="","",'1.1 Produksi Bersih Padi 2025'!E817)</f>
        <v/>
      </c>
      <c r="F815" s="13" t="str">
        <f>'1.1 Produksi Bersih Padi 2025'!Q817</f>
        <v/>
      </c>
      <c r="G815" s="13" t="str">
        <f>'1.2 Produksi Bersih Jagung 2025'!L817</f>
        <v/>
      </c>
      <c r="H815" s="13" t="str">
        <f>'1.3 Prod Bersih Ubi Kayu 2025'!K817</f>
        <v/>
      </c>
      <c r="I815" s="13" t="str">
        <f>'1.4 Prod Bersih Ubi Jalar 2025'!K817</f>
        <v/>
      </c>
      <c r="J815" s="13" t="str">
        <f>'1.5 Prod Bersih Sagu 2025'!K817</f>
        <v/>
      </c>
      <c r="K815" s="13" t="str">
        <f>'1.6 Prod Bersih Pisang 2025'!K817</f>
        <v/>
      </c>
      <c r="L815" s="15">
        <f t="shared" si="36"/>
        <v>0</v>
      </c>
      <c r="M815" s="14" t="str">
        <f>IF(D815="","",VLOOKUP(D815,'[1]0.1 Produksi Pangan &amp; Penduduk'!$D$5:$AU$704,44,0))</f>
        <v/>
      </c>
      <c r="N815" s="26" t="str">
        <f t="shared" si="37"/>
        <v/>
      </c>
      <c r="O815" s="16"/>
      <c r="P815" s="25" t="str">
        <f t="shared" si="38"/>
        <v/>
      </c>
      <c r="Q815" s="8"/>
    </row>
    <row r="816" spans="1:17" ht="15" x14ac:dyDescent="0.25">
      <c r="A816" s="3" t="str">
        <f>IF('1.1 Produksi Bersih Padi 2025'!A818="","",'1.1 Produksi Bersih Padi 2025'!A818)</f>
        <v/>
      </c>
      <c r="B816" s="32" t="str">
        <f>IF('1.1 Produksi Bersih Padi 2025'!B818="","",'1.1 Produksi Bersih Padi 2025'!B818)</f>
        <v/>
      </c>
      <c r="C816" s="32" t="str">
        <f>IF('1.1 Produksi Bersih Padi 2025'!C818="","",'1.1 Produksi Bersih Padi 2025'!C818)</f>
        <v/>
      </c>
      <c r="D816" s="3" t="str">
        <f>IF('1.1 Produksi Bersih Padi 2025'!D818="","",'1.1 Produksi Bersih Padi 2025'!D818)</f>
        <v/>
      </c>
      <c r="E816" s="3" t="str">
        <f>IF('1.1 Produksi Bersih Padi 2025'!E818="","",'1.1 Produksi Bersih Padi 2025'!E818)</f>
        <v/>
      </c>
      <c r="F816" s="13" t="str">
        <f>'1.1 Produksi Bersih Padi 2025'!Q818</f>
        <v/>
      </c>
      <c r="G816" s="13" t="str">
        <f>'1.2 Produksi Bersih Jagung 2025'!L818</f>
        <v/>
      </c>
      <c r="H816" s="13" t="str">
        <f>'1.3 Prod Bersih Ubi Kayu 2025'!K818</f>
        <v/>
      </c>
      <c r="I816" s="13" t="str">
        <f>'1.4 Prod Bersih Ubi Jalar 2025'!K818</f>
        <v/>
      </c>
      <c r="J816" s="13" t="str">
        <f>'1.5 Prod Bersih Sagu 2025'!K818</f>
        <v/>
      </c>
      <c r="K816" s="13" t="str">
        <f>'1.6 Prod Bersih Pisang 2025'!K818</f>
        <v/>
      </c>
      <c r="L816" s="15">
        <f t="shared" si="36"/>
        <v>0</v>
      </c>
      <c r="M816" s="14" t="str">
        <f>IF(D816="","",VLOOKUP(D816,'[1]0.1 Produksi Pangan &amp; Penduduk'!$D$5:$AU$704,44,0))</f>
        <v/>
      </c>
      <c r="N816" s="26" t="str">
        <f t="shared" si="37"/>
        <v/>
      </c>
      <c r="O816" s="16"/>
      <c r="P816" s="25" t="str">
        <f t="shared" si="38"/>
        <v/>
      </c>
      <c r="Q816" s="8"/>
    </row>
    <row r="817" spans="1:17" ht="15" x14ac:dyDescent="0.25">
      <c r="A817" s="3" t="str">
        <f>IF('1.1 Produksi Bersih Padi 2025'!A819="","",'1.1 Produksi Bersih Padi 2025'!A819)</f>
        <v/>
      </c>
      <c r="B817" s="32" t="str">
        <f>IF('1.1 Produksi Bersih Padi 2025'!B819="","",'1.1 Produksi Bersih Padi 2025'!B819)</f>
        <v/>
      </c>
      <c r="C817" s="32" t="str">
        <f>IF('1.1 Produksi Bersih Padi 2025'!C819="","",'1.1 Produksi Bersih Padi 2025'!C819)</f>
        <v/>
      </c>
      <c r="D817" s="3" t="str">
        <f>IF('1.1 Produksi Bersih Padi 2025'!D819="","",'1.1 Produksi Bersih Padi 2025'!D819)</f>
        <v/>
      </c>
      <c r="E817" s="3" t="str">
        <f>IF('1.1 Produksi Bersih Padi 2025'!E819="","",'1.1 Produksi Bersih Padi 2025'!E819)</f>
        <v/>
      </c>
      <c r="F817" s="13" t="str">
        <f>'1.1 Produksi Bersih Padi 2025'!Q819</f>
        <v/>
      </c>
      <c r="G817" s="13" t="str">
        <f>'1.2 Produksi Bersih Jagung 2025'!L819</f>
        <v/>
      </c>
      <c r="H817" s="13" t="str">
        <f>'1.3 Prod Bersih Ubi Kayu 2025'!K819</f>
        <v/>
      </c>
      <c r="I817" s="13" t="str">
        <f>'1.4 Prod Bersih Ubi Jalar 2025'!K819</f>
        <v/>
      </c>
      <c r="J817" s="13" t="str">
        <f>'1.5 Prod Bersih Sagu 2025'!K819</f>
        <v/>
      </c>
      <c r="K817" s="13" t="str">
        <f>'1.6 Prod Bersih Pisang 2025'!K819</f>
        <v/>
      </c>
      <c r="L817" s="15">
        <f t="shared" si="36"/>
        <v>0</v>
      </c>
      <c r="M817" s="14" t="str">
        <f>IF(D817="","",VLOOKUP(D817,'[1]0.1 Produksi Pangan &amp; Penduduk'!$D$5:$AU$704,44,0))</f>
        <v/>
      </c>
      <c r="N817" s="26" t="str">
        <f t="shared" si="37"/>
        <v/>
      </c>
      <c r="O817" s="16"/>
      <c r="P817" s="25" t="str">
        <f t="shared" si="38"/>
        <v/>
      </c>
      <c r="Q817" s="8"/>
    </row>
    <row r="818" spans="1:17" ht="15" x14ac:dyDescent="0.25">
      <c r="A818" s="3" t="str">
        <f>IF('1.1 Produksi Bersih Padi 2025'!A820="","",'1.1 Produksi Bersih Padi 2025'!A820)</f>
        <v/>
      </c>
      <c r="B818" s="32" t="str">
        <f>IF('1.1 Produksi Bersih Padi 2025'!B820="","",'1.1 Produksi Bersih Padi 2025'!B820)</f>
        <v/>
      </c>
      <c r="C818" s="32" t="str">
        <f>IF('1.1 Produksi Bersih Padi 2025'!C820="","",'1.1 Produksi Bersih Padi 2025'!C820)</f>
        <v/>
      </c>
      <c r="D818" s="3" t="str">
        <f>IF('1.1 Produksi Bersih Padi 2025'!D820="","",'1.1 Produksi Bersih Padi 2025'!D820)</f>
        <v/>
      </c>
      <c r="E818" s="3" t="str">
        <f>IF('1.1 Produksi Bersih Padi 2025'!E820="","",'1.1 Produksi Bersih Padi 2025'!E820)</f>
        <v/>
      </c>
      <c r="F818" s="13" t="str">
        <f>'1.1 Produksi Bersih Padi 2025'!Q820</f>
        <v/>
      </c>
      <c r="G818" s="13" t="str">
        <f>'1.2 Produksi Bersih Jagung 2025'!L820</f>
        <v/>
      </c>
      <c r="H818" s="13" t="str">
        <f>'1.3 Prod Bersih Ubi Kayu 2025'!K820</f>
        <v/>
      </c>
      <c r="I818" s="13" t="str">
        <f>'1.4 Prod Bersih Ubi Jalar 2025'!K820</f>
        <v/>
      </c>
      <c r="J818" s="13" t="str">
        <f>'1.5 Prod Bersih Sagu 2025'!K820</f>
        <v/>
      </c>
      <c r="K818" s="13" t="str">
        <f>'1.6 Prod Bersih Pisang 2025'!K820</f>
        <v/>
      </c>
      <c r="L818" s="15">
        <f t="shared" si="36"/>
        <v>0</v>
      </c>
      <c r="M818" s="14" t="str">
        <f>IF(D818="","",VLOOKUP(D818,'[1]0.1 Produksi Pangan &amp; Penduduk'!$D$5:$AU$704,44,0))</f>
        <v/>
      </c>
      <c r="N818" s="26" t="str">
        <f t="shared" si="37"/>
        <v/>
      </c>
      <c r="O818" s="16"/>
      <c r="P818" s="25" t="str">
        <f t="shared" si="38"/>
        <v/>
      </c>
      <c r="Q818" s="8"/>
    </row>
    <row r="819" spans="1:17" ht="15" x14ac:dyDescent="0.25">
      <c r="A819" s="3" t="str">
        <f>IF('1.1 Produksi Bersih Padi 2025'!A821="","",'1.1 Produksi Bersih Padi 2025'!A821)</f>
        <v/>
      </c>
      <c r="B819" s="32" t="str">
        <f>IF('1.1 Produksi Bersih Padi 2025'!B821="","",'1.1 Produksi Bersih Padi 2025'!B821)</f>
        <v/>
      </c>
      <c r="C819" s="32" t="str">
        <f>IF('1.1 Produksi Bersih Padi 2025'!C821="","",'1.1 Produksi Bersih Padi 2025'!C821)</f>
        <v/>
      </c>
      <c r="D819" s="3" t="str">
        <f>IF('1.1 Produksi Bersih Padi 2025'!D821="","",'1.1 Produksi Bersih Padi 2025'!D821)</f>
        <v/>
      </c>
      <c r="E819" s="3" t="str">
        <f>IF('1.1 Produksi Bersih Padi 2025'!E821="","",'1.1 Produksi Bersih Padi 2025'!E821)</f>
        <v/>
      </c>
      <c r="F819" s="13" t="str">
        <f>'1.1 Produksi Bersih Padi 2025'!Q821</f>
        <v/>
      </c>
      <c r="G819" s="13" t="str">
        <f>'1.2 Produksi Bersih Jagung 2025'!L821</f>
        <v/>
      </c>
      <c r="H819" s="13" t="str">
        <f>'1.3 Prod Bersih Ubi Kayu 2025'!K821</f>
        <v/>
      </c>
      <c r="I819" s="13" t="str">
        <f>'1.4 Prod Bersih Ubi Jalar 2025'!K821</f>
        <v/>
      </c>
      <c r="J819" s="13" t="str">
        <f>'1.5 Prod Bersih Sagu 2025'!K821</f>
        <v/>
      </c>
      <c r="K819" s="13" t="str">
        <f>'1.6 Prod Bersih Pisang 2025'!K821</f>
        <v/>
      </c>
      <c r="L819" s="15">
        <f t="shared" si="36"/>
        <v>0</v>
      </c>
      <c r="M819" s="14" t="str">
        <f>IF(D819="","",VLOOKUP(D819,'[1]0.1 Produksi Pangan &amp; Penduduk'!$D$5:$AU$704,44,0))</f>
        <v/>
      </c>
      <c r="N819" s="26" t="str">
        <f t="shared" si="37"/>
        <v/>
      </c>
      <c r="O819" s="16"/>
      <c r="P819" s="25" t="str">
        <f t="shared" si="38"/>
        <v/>
      </c>
      <c r="Q819" s="8"/>
    </row>
    <row r="820" spans="1:17" ht="15" x14ac:dyDescent="0.25">
      <c r="A820" s="3" t="str">
        <f>IF('1.1 Produksi Bersih Padi 2025'!A822="","",'1.1 Produksi Bersih Padi 2025'!A822)</f>
        <v/>
      </c>
      <c r="B820" s="32" t="str">
        <f>IF('1.1 Produksi Bersih Padi 2025'!B822="","",'1.1 Produksi Bersih Padi 2025'!B822)</f>
        <v/>
      </c>
      <c r="C820" s="32" t="str">
        <f>IF('1.1 Produksi Bersih Padi 2025'!C822="","",'1.1 Produksi Bersih Padi 2025'!C822)</f>
        <v/>
      </c>
      <c r="D820" s="3" t="str">
        <f>IF('1.1 Produksi Bersih Padi 2025'!D822="","",'1.1 Produksi Bersih Padi 2025'!D822)</f>
        <v/>
      </c>
      <c r="E820" s="3" t="str">
        <f>IF('1.1 Produksi Bersih Padi 2025'!E822="","",'1.1 Produksi Bersih Padi 2025'!E822)</f>
        <v/>
      </c>
      <c r="F820" s="13" t="str">
        <f>'1.1 Produksi Bersih Padi 2025'!Q822</f>
        <v/>
      </c>
      <c r="G820" s="13" t="str">
        <f>'1.2 Produksi Bersih Jagung 2025'!L822</f>
        <v/>
      </c>
      <c r="H820" s="13" t="str">
        <f>'1.3 Prod Bersih Ubi Kayu 2025'!K822</f>
        <v/>
      </c>
      <c r="I820" s="13" t="str">
        <f>'1.4 Prod Bersih Ubi Jalar 2025'!K822</f>
        <v/>
      </c>
      <c r="J820" s="13" t="str">
        <f>'1.5 Prod Bersih Sagu 2025'!K822</f>
        <v/>
      </c>
      <c r="K820" s="13" t="str">
        <f>'1.6 Prod Bersih Pisang 2025'!K822</f>
        <v/>
      </c>
      <c r="L820" s="15">
        <f t="shared" si="36"/>
        <v>0</v>
      </c>
      <c r="M820" s="14" t="str">
        <f>IF(D820="","",VLOOKUP(D820,'[1]0.1 Produksi Pangan &amp; Penduduk'!$D$5:$AU$704,44,0))</f>
        <v/>
      </c>
      <c r="N820" s="26" t="str">
        <f t="shared" si="37"/>
        <v/>
      </c>
      <c r="O820" s="16"/>
      <c r="P820" s="25" t="str">
        <f t="shared" si="38"/>
        <v/>
      </c>
      <c r="Q820" s="8"/>
    </row>
    <row r="821" spans="1:17" ht="15" x14ac:dyDescent="0.25">
      <c r="A821" s="3" t="str">
        <f>IF('1.1 Produksi Bersih Padi 2025'!A823="","",'1.1 Produksi Bersih Padi 2025'!A823)</f>
        <v/>
      </c>
      <c r="B821" s="32" t="str">
        <f>IF('1.1 Produksi Bersih Padi 2025'!B823="","",'1.1 Produksi Bersih Padi 2025'!B823)</f>
        <v/>
      </c>
      <c r="C821" s="32" t="str">
        <f>IF('1.1 Produksi Bersih Padi 2025'!C823="","",'1.1 Produksi Bersih Padi 2025'!C823)</f>
        <v/>
      </c>
      <c r="D821" s="3" t="str">
        <f>IF('1.1 Produksi Bersih Padi 2025'!D823="","",'1.1 Produksi Bersih Padi 2025'!D823)</f>
        <v/>
      </c>
      <c r="E821" s="3" t="str">
        <f>IF('1.1 Produksi Bersih Padi 2025'!E823="","",'1.1 Produksi Bersih Padi 2025'!E823)</f>
        <v/>
      </c>
      <c r="F821" s="13" t="str">
        <f>'1.1 Produksi Bersih Padi 2025'!Q823</f>
        <v/>
      </c>
      <c r="G821" s="13" t="str">
        <f>'1.2 Produksi Bersih Jagung 2025'!L823</f>
        <v/>
      </c>
      <c r="H821" s="13" t="str">
        <f>'1.3 Prod Bersih Ubi Kayu 2025'!K823</f>
        <v/>
      </c>
      <c r="I821" s="13" t="str">
        <f>'1.4 Prod Bersih Ubi Jalar 2025'!K823</f>
        <v/>
      </c>
      <c r="J821" s="13" t="str">
        <f>'1.5 Prod Bersih Sagu 2025'!K823</f>
        <v/>
      </c>
      <c r="K821" s="13" t="str">
        <f>'1.6 Prod Bersih Pisang 2025'!K823</f>
        <v/>
      </c>
      <c r="L821" s="15">
        <f t="shared" si="36"/>
        <v>0</v>
      </c>
      <c r="M821" s="14" t="str">
        <f>IF(D821="","",VLOOKUP(D821,'[1]0.1 Produksi Pangan &amp; Penduduk'!$D$5:$AU$704,44,0))</f>
        <v/>
      </c>
      <c r="N821" s="26" t="str">
        <f t="shared" si="37"/>
        <v/>
      </c>
      <c r="O821" s="16"/>
      <c r="P821" s="25" t="str">
        <f t="shared" si="38"/>
        <v/>
      </c>
      <c r="Q821" s="8"/>
    </row>
    <row r="822" spans="1:17" ht="15" x14ac:dyDescent="0.25">
      <c r="A822" s="3" t="str">
        <f>IF('1.1 Produksi Bersih Padi 2025'!A824="","",'1.1 Produksi Bersih Padi 2025'!A824)</f>
        <v/>
      </c>
      <c r="B822" s="32" t="str">
        <f>IF('1.1 Produksi Bersih Padi 2025'!B824="","",'1.1 Produksi Bersih Padi 2025'!B824)</f>
        <v/>
      </c>
      <c r="C822" s="32" t="str">
        <f>IF('1.1 Produksi Bersih Padi 2025'!C824="","",'1.1 Produksi Bersih Padi 2025'!C824)</f>
        <v/>
      </c>
      <c r="D822" s="3" t="str">
        <f>IF('1.1 Produksi Bersih Padi 2025'!D824="","",'1.1 Produksi Bersih Padi 2025'!D824)</f>
        <v/>
      </c>
      <c r="E822" s="3" t="str">
        <f>IF('1.1 Produksi Bersih Padi 2025'!E824="","",'1.1 Produksi Bersih Padi 2025'!E824)</f>
        <v/>
      </c>
      <c r="F822" s="13" t="str">
        <f>'1.1 Produksi Bersih Padi 2025'!Q824</f>
        <v/>
      </c>
      <c r="G822" s="13" t="str">
        <f>'1.2 Produksi Bersih Jagung 2025'!L824</f>
        <v/>
      </c>
      <c r="H822" s="13" t="str">
        <f>'1.3 Prod Bersih Ubi Kayu 2025'!K824</f>
        <v/>
      </c>
      <c r="I822" s="13" t="str">
        <f>'1.4 Prod Bersih Ubi Jalar 2025'!K824</f>
        <v/>
      </c>
      <c r="J822" s="13" t="str">
        <f>'1.5 Prod Bersih Sagu 2025'!K824</f>
        <v/>
      </c>
      <c r="K822" s="13" t="str">
        <f>'1.6 Prod Bersih Pisang 2025'!K824</f>
        <v/>
      </c>
      <c r="L822" s="15">
        <f t="shared" si="36"/>
        <v>0</v>
      </c>
      <c r="M822" s="14" t="str">
        <f>IF(D822="","",VLOOKUP(D822,'[1]0.1 Produksi Pangan &amp; Penduduk'!$D$5:$AU$704,44,0))</f>
        <v/>
      </c>
      <c r="N822" s="26" t="str">
        <f t="shared" si="37"/>
        <v/>
      </c>
      <c r="O822" s="16"/>
      <c r="P822" s="25" t="str">
        <f t="shared" si="38"/>
        <v/>
      </c>
      <c r="Q822" s="8"/>
    </row>
    <row r="823" spans="1:17" ht="15" x14ac:dyDescent="0.25">
      <c r="A823" s="3" t="str">
        <f>IF('1.1 Produksi Bersih Padi 2025'!A825="","",'1.1 Produksi Bersih Padi 2025'!A825)</f>
        <v/>
      </c>
      <c r="B823" s="32" t="str">
        <f>IF('1.1 Produksi Bersih Padi 2025'!B825="","",'1.1 Produksi Bersih Padi 2025'!B825)</f>
        <v/>
      </c>
      <c r="C823" s="32" t="str">
        <f>IF('1.1 Produksi Bersih Padi 2025'!C825="","",'1.1 Produksi Bersih Padi 2025'!C825)</f>
        <v/>
      </c>
      <c r="D823" s="3" t="str">
        <f>IF('1.1 Produksi Bersih Padi 2025'!D825="","",'1.1 Produksi Bersih Padi 2025'!D825)</f>
        <v/>
      </c>
      <c r="E823" s="3" t="str">
        <f>IF('1.1 Produksi Bersih Padi 2025'!E825="","",'1.1 Produksi Bersih Padi 2025'!E825)</f>
        <v/>
      </c>
      <c r="F823" s="13" t="str">
        <f>'1.1 Produksi Bersih Padi 2025'!Q825</f>
        <v/>
      </c>
      <c r="G823" s="13" t="str">
        <f>'1.2 Produksi Bersih Jagung 2025'!L825</f>
        <v/>
      </c>
      <c r="H823" s="13" t="str">
        <f>'1.3 Prod Bersih Ubi Kayu 2025'!K825</f>
        <v/>
      </c>
      <c r="I823" s="13" t="str">
        <f>'1.4 Prod Bersih Ubi Jalar 2025'!K825</f>
        <v/>
      </c>
      <c r="J823" s="13" t="str">
        <f>'1.5 Prod Bersih Sagu 2025'!K825</f>
        <v/>
      </c>
      <c r="K823" s="13" t="str">
        <f>'1.6 Prod Bersih Pisang 2025'!K825</f>
        <v/>
      </c>
      <c r="L823" s="15">
        <f t="shared" si="36"/>
        <v>0</v>
      </c>
      <c r="M823" s="14" t="str">
        <f>IF(D823="","",VLOOKUP(D823,'[1]0.1 Produksi Pangan &amp; Penduduk'!$D$5:$AU$704,44,0))</f>
        <v/>
      </c>
      <c r="N823" s="26" t="str">
        <f t="shared" si="37"/>
        <v/>
      </c>
      <c r="O823" s="16"/>
      <c r="P823" s="25" t="str">
        <f t="shared" si="38"/>
        <v/>
      </c>
      <c r="Q823" s="8"/>
    </row>
    <row r="824" spans="1:17" ht="15" x14ac:dyDescent="0.25">
      <c r="A824" s="3" t="str">
        <f>IF('1.1 Produksi Bersih Padi 2025'!A826="","",'1.1 Produksi Bersih Padi 2025'!A826)</f>
        <v/>
      </c>
      <c r="B824" s="32" t="str">
        <f>IF('1.1 Produksi Bersih Padi 2025'!B826="","",'1.1 Produksi Bersih Padi 2025'!B826)</f>
        <v/>
      </c>
      <c r="C824" s="32" t="str">
        <f>IF('1.1 Produksi Bersih Padi 2025'!C826="","",'1.1 Produksi Bersih Padi 2025'!C826)</f>
        <v/>
      </c>
      <c r="D824" s="3" t="str">
        <f>IF('1.1 Produksi Bersih Padi 2025'!D826="","",'1.1 Produksi Bersih Padi 2025'!D826)</f>
        <v/>
      </c>
      <c r="E824" s="3" t="str">
        <f>IF('1.1 Produksi Bersih Padi 2025'!E826="","",'1.1 Produksi Bersih Padi 2025'!E826)</f>
        <v/>
      </c>
      <c r="F824" s="13" t="str">
        <f>'1.1 Produksi Bersih Padi 2025'!Q826</f>
        <v/>
      </c>
      <c r="G824" s="13" t="str">
        <f>'1.2 Produksi Bersih Jagung 2025'!L826</f>
        <v/>
      </c>
      <c r="H824" s="13" t="str">
        <f>'1.3 Prod Bersih Ubi Kayu 2025'!K826</f>
        <v/>
      </c>
      <c r="I824" s="13" t="str">
        <f>'1.4 Prod Bersih Ubi Jalar 2025'!K826</f>
        <v/>
      </c>
      <c r="J824" s="13" t="str">
        <f>'1.5 Prod Bersih Sagu 2025'!K826</f>
        <v/>
      </c>
      <c r="K824" s="13" t="str">
        <f>'1.6 Prod Bersih Pisang 2025'!K826</f>
        <v/>
      </c>
      <c r="L824" s="15">
        <f t="shared" si="36"/>
        <v>0</v>
      </c>
      <c r="M824" s="14" t="str">
        <f>IF(D824="","",VLOOKUP(D824,'[1]0.1 Produksi Pangan &amp; Penduduk'!$D$5:$AU$704,44,0))</f>
        <v/>
      </c>
      <c r="N824" s="26" t="str">
        <f t="shared" si="37"/>
        <v/>
      </c>
      <c r="O824" s="16"/>
      <c r="P824" s="25" t="str">
        <f t="shared" si="38"/>
        <v/>
      </c>
      <c r="Q824" s="8"/>
    </row>
    <row r="825" spans="1:17" ht="15" x14ac:dyDescent="0.25">
      <c r="A825" s="3" t="str">
        <f>IF('1.1 Produksi Bersih Padi 2025'!A827="","",'1.1 Produksi Bersih Padi 2025'!A827)</f>
        <v/>
      </c>
      <c r="B825" s="32" t="str">
        <f>IF('1.1 Produksi Bersih Padi 2025'!B827="","",'1.1 Produksi Bersih Padi 2025'!B827)</f>
        <v/>
      </c>
      <c r="C825" s="32" t="str">
        <f>IF('1.1 Produksi Bersih Padi 2025'!C827="","",'1.1 Produksi Bersih Padi 2025'!C827)</f>
        <v/>
      </c>
      <c r="D825" s="3" t="str">
        <f>IF('1.1 Produksi Bersih Padi 2025'!D827="","",'1.1 Produksi Bersih Padi 2025'!D827)</f>
        <v/>
      </c>
      <c r="E825" s="3" t="str">
        <f>IF('1.1 Produksi Bersih Padi 2025'!E827="","",'1.1 Produksi Bersih Padi 2025'!E827)</f>
        <v/>
      </c>
      <c r="F825" s="13" t="str">
        <f>'1.1 Produksi Bersih Padi 2025'!Q827</f>
        <v/>
      </c>
      <c r="G825" s="13" t="str">
        <f>'1.2 Produksi Bersih Jagung 2025'!L827</f>
        <v/>
      </c>
      <c r="H825" s="13" t="str">
        <f>'1.3 Prod Bersih Ubi Kayu 2025'!K827</f>
        <v/>
      </c>
      <c r="I825" s="13" t="str">
        <f>'1.4 Prod Bersih Ubi Jalar 2025'!K827</f>
        <v/>
      </c>
      <c r="J825" s="13" t="str">
        <f>'1.5 Prod Bersih Sagu 2025'!K827</f>
        <v/>
      </c>
      <c r="K825" s="13" t="str">
        <f>'1.6 Prod Bersih Pisang 2025'!K827</f>
        <v/>
      </c>
      <c r="L825" s="15">
        <f t="shared" si="36"/>
        <v>0</v>
      </c>
      <c r="M825" s="14" t="str">
        <f>IF(D825="","",VLOOKUP(D825,'[1]0.1 Produksi Pangan &amp; Penduduk'!$D$5:$AU$704,44,0))</f>
        <v/>
      </c>
      <c r="N825" s="26" t="str">
        <f t="shared" si="37"/>
        <v/>
      </c>
      <c r="O825" s="16"/>
      <c r="P825" s="25" t="str">
        <f t="shared" si="38"/>
        <v/>
      </c>
      <c r="Q825" s="8"/>
    </row>
    <row r="826" spans="1:17" ht="15" x14ac:dyDescent="0.25">
      <c r="A826" s="3" t="str">
        <f>IF('1.1 Produksi Bersih Padi 2025'!A828="","",'1.1 Produksi Bersih Padi 2025'!A828)</f>
        <v/>
      </c>
      <c r="B826" s="32" t="str">
        <f>IF('1.1 Produksi Bersih Padi 2025'!B828="","",'1.1 Produksi Bersih Padi 2025'!B828)</f>
        <v/>
      </c>
      <c r="C826" s="32" t="str">
        <f>IF('1.1 Produksi Bersih Padi 2025'!C828="","",'1.1 Produksi Bersih Padi 2025'!C828)</f>
        <v/>
      </c>
      <c r="D826" s="3" t="str">
        <f>IF('1.1 Produksi Bersih Padi 2025'!D828="","",'1.1 Produksi Bersih Padi 2025'!D828)</f>
        <v/>
      </c>
      <c r="E826" s="3" t="str">
        <f>IF('1.1 Produksi Bersih Padi 2025'!E828="","",'1.1 Produksi Bersih Padi 2025'!E828)</f>
        <v/>
      </c>
      <c r="F826" s="13" t="str">
        <f>'1.1 Produksi Bersih Padi 2025'!Q828</f>
        <v/>
      </c>
      <c r="G826" s="13" t="str">
        <f>'1.2 Produksi Bersih Jagung 2025'!L828</f>
        <v/>
      </c>
      <c r="H826" s="13" t="str">
        <f>'1.3 Prod Bersih Ubi Kayu 2025'!K828</f>
        <v/>
      </c>
      <c r="I826" s="13" t="str">
        <f>'1.4 Prod Bersih Ubi Jalar 2025'!K828</f>
        <v/>
      </c>
      <c r="J826" s="13" t="str">
        <f>'1.5 Prod Bersih Sagu 2025'!K828</f>
        <v/>
      </c>
      <c r="K826" s="13" t="str">
        <f>'1.6 Prod Bersih Pisang 2025'!K828</f>
        <v/>
      </c>
      <c r="L826" s="15">
        <f t="shared" si="36"/>
        <v>0</v>
      </c>
      <c r="M826" s="14" t="str">
        <f>IF(D826="","",VLOOKUP(D826,'[1]0.1 Produksi Pangan &amp; Penduduk'!$D$5:$AU$704,44,0))</f>
        <v/>
      </c>
      <c r="N826" s="26" t="str">
        <f t="shared" si="37"/>
        <v/>
      </c>
      <c r="O826" s="16"/>
      <c r="P826" s="25" t="str">
        <f t="shared" si="38"/>
        <v/>
      </c>
      <c r="Q826" s="8"/>
    </row>
    <row r="827" spans="1:17" ht="15" x14ac:dyDescent="0.25">
      <c r="A827" s="3" t="str">
        <f>IF('1.1 Produksi Bersih Padi 2025'!A829="","",'1.1 Produksi Bersih Padi 2025'!A829)</f>
        <v/>
      </c>
      <c r="B827" s="32" t="str">
        <f>IF('1.1 Produksi Bersih Padi 2025'!B829="","",'1.1 Produksi Bersih Padi 2025'!B829)</f>
        <v/>
      </c>
      <c r="C827" s="32" t="str">
        <f>IF('1.1 Produksi Bersih Padi 2025'!C829="","",'1.1 Produksi Bersih Padi 2025'!C829)</f>
        <v/>
      </c>
      <c r="D827" s="3" t="str">
        <f>IF('1.1 Produksi Bersih Padi 2025'!D829="","",'1.1 Produksi Bersih Padi 2025'!D829)</f>
        <v/>
      </c>
      <c r="E827" s="3" t="str">
        <f>IF('1.1 Produksi Bersih Padi 2025'!E829="","",'1.1 Produksi Bersih Padi 2025'!E829)</f>
        <v/>
      </c>
      <c r="F827" s="13" t="str">
        <f>'1.1 Produksi Bersih Padi 2025'!Q829</f>
        <v/>
      </c>
      <c r="G827" s="13" t="str">
        <f>'1.2 Produksi Bersih Jagung 2025'!L829</f>
        <v/>
      </c>
      <c r="H827" s="13" t="str">
        <f>'1.3 Prod Bersih Ubi Kayu 2025'!K829</f>
        <v/>
      </c>
      <c r="I827" s="13" t="str">
        <f>'1.4 Prod Bersih Ubi Jalar 2025'!K829</f>
        <v/>
      </c>
      <c r="J827" s="13" t="str">
        <f>'1.5 Prod Bersih Sagu 2025'!K829</f>
        <v/>
      </c>
      <c r="K827" s="13" t="str">
        <f>'1.6 Prod Bersih Pisang 2025'!K829</f>
        <v/>
      </c>
      <c r="L827" s="15">
        <f t="shared" si="36"/>
        <v>0</v>
      </c>
      <c r="M827" s="14" t="str">
        <f>IF(D827="","",VLOOKUP(D827,'[1]0.1 Produksi Pangan &amp; Penduduk'!$D$5:$AU$704,44,0))</f>
        <v/>
      </c>
      <c r="N827" s="26" t="str">
        <f t="shared" si="37"/>
        <v/>
      </c>
      <c r="O827" s="16"/>
      <c r="P827" s="25" t="str">
        <f t="shared" si="38"/>
        <v/>
      </c>
      <c r="Q827" s="8"/>
    </row>
    <row r="828" spans="1:17" ht="15" x14ac:dyDescent="0.25">
      <c r="A828" s="3" t="str">
        <f>IF('1.1 Produksi Bersih Padi 2025'!A830="","",'1.1 Produksi Bersih Padi 2025'!A830)</f>
        <v/>
      </c>
      <c r="B828" s="32" t="str">
        <f>IF('1.1 Produksi Bersih Padi 2025'!B830="","",'1.1 Produksi Bersih Padi 2025'!B830)</f>
        <v/>
      </c>
      <c r="C828" s="32" t="str">
        <f>IF('1.1 Produksi Bersih Padi 2025'!C830="","",'1.1 Produksi Bersih Padi 2025'!C830)</f>
        <v/>
      </c>
      <c r="D828" s="3" t="str">
        <f>IF('1.1 Produksi Bersih Padi 2025'!D830="","",'1.1 Produksi Bersih Padi 2025'!D830)</f>
        <v/>
      </c>
      <c r="E828" s="3" t="str">
        <f>IF('1.1 Produksi Bersih Padi 2025'!E830="","",'1.1 Produksi Bersih Padi 2025'!E830)</f>
        <v/>
      </c>
      <c r="F828" s="13" t="str">
        <f>'1.1 Produksi Bersih Padi 2025'!Q830</f>
        <v/>
      </c>
      <c r="G828" s="13" t="str">
        <f>'1.2 Produksi Bersih Jagung 2025'!L830</f>
        <v/>
      </c>
      <c r="H828" s="13" t="str">
        <f>'1.3 Prod Bersih Ubi Kayu 2025'!K830</f>
        <v/>
      </c>
      <c r="I828" s="13" t="str">
        <f>'1.4 Prod Bersih Ubi Jalar 2025'!K830</f>
        <v/>
      </c>
      <c r="J828" s="13" t="str">
        <f>'1.5 Prod Bersih Sagu 2025'!K830</f>
        <v/>
      </c>
      <c r="K828" s="13" t="str">
        <f>'1.6 Prod Bersih Pisang 2025'!K830</f>
        <v/>
      </c>
      <c r="L828" s="15">
        <f t="shared" si="36"/>
        <v>0</v>
      </c>
      <c r="M828" s="14" t="str">
        <f>IF(D828="","",VLOOKUP(D828,'[1]0.1 Produksi Pangan &amp; Penduduk'!$D$5:$AU$704,44,0))</f>
        <v/>
      </c>
      <c r="N828" s="26" t="str">
        <f t="shared" si="37"/>
        <v/>
      </c>
      <c r="O828" s="16"/>
      <c r="P828" s="25" t="str">
        <f t="shared" si="38"/>
        <v/>
      </c>
      <c r="Q828" s="8"/>
    </row>
    <row r="829" spans="1:17" ht="15" x14ac:dyDescent="0.25">
      <c r="A829" s="3" t="str">
        <f>IF('1.1 Produksi Bersih Padi 2025'!A831="","",'1.1 Produksi Bersih Padi 2025'!A831)</f>
        <v/>
      </c>
      <c r="B829" s="32" t="str">
        <f>IF('1.1 Produksi Bersih Padi 2025'!B831="","",'1.1 Produksi Bersih Padi 2025'!B831)</f>
        <v/>
      </c>
      <c r="C829" s="32" t="str">
        <f>IF('1.1 Produksi Bersih Padi 2025'!C831="","",'1.1 Produksi Bersih Padi 2025'!C831)</f>
        <v/>
      </c>
      <c r="D829" s="3" t="str">
        <f>IF('1.1 Produksi Bersih Padi 2025'!D831="","",'1.1 Produksi Bersih Padi 2025'!D831)</f>
        <v/>
      </c>
      <c r="E829" s="3" t="str">
        <f>IF('1.1 Produksi Bersih Padi 2025'!E831="","",'1.1 Produksi Bersih Padi 2025'!E831)</f>
        <v/>
      </c>
      <c r="F829" s="13" t="str">
        <f>'1.1 Produksi Bersih Padi 2025'!Q831</f>
        <v/>
      </c>
      <c r="G829" s="13" t="str">
        <f>'1.2 Produksi Bersih Jagung 2025'!L831</f>
        <v/>
      </c>
      <c r="H829" s="13" t="str">
        <f>'1.3 Prod Bersih Ubi Kayu 2025'!K831</f>
        <v/>
      </c>
      <c r="I829" s="13" t="str">
        <f>'1.4 Prod Bersih Ubi Jalar 2025'!K831</f>
        <v/>
      </c>
      <c r="J829" s="13" t="str">
        <f>'1.5 Prod Bersih Sagu 2025'!K831</f>
        <v/>
      </c>
      <c r="K829" s="13" t="str">
        <f>'1.6 Prod Bersih Pisang 2025'!K831</f>
        <v/>
      </c>
      <c r="L829" s="15">
        <f t="shared" si="36"/>
        <v>0</v>
      </c>
      <c r="M829" s="14" t="str">
        <f>IF(D829="","",VLOOKUP(D829,'[1]0.1 Produksi Pangan &amp; Penduduk'!$D$5:$AU$704,44,0))</f>
        <v/>
      </c>
      <c r="N829" s="26" t="str">
        <f t="shared" si="37"/>
        <v/>
      </c>
      <c r="O829" s="16"/>
      <c r="P829" s="25" t="str">
        <f t="shared" si="38"/>
        <v/>
      </c>
      <c r="Q829" s="8"/>
    </row>
    <row r="830" spans="1:17" ht="15" x14ac:dyDescent="0.25">
      <c r="A830" s="3" t="str">
        <f>IF('1.1 Produksi Bersih Padi 2025'!A832="","",'1.1 Produksi Bersih Padi 2025'!A832)</f>
        <v/>
      </c>
      <c r="B830" s="32" t="str">
        <f>IF('1.1 Produksi Bersih Padi 2025'!B832="","",'1.1 Produksi Bersih Padi 2025'!B832)</f>
        <v/>
      </c>
      <c r="C830" s="32" t="str">
        <f>IF('1.1 Produksi Bersih Padi 2025'!C832="","",'1.1 Produksi Bersih Padi 2025'!C832)</f>
        <v/>
      </c>
      <c r="D830" s="3" t="str">
        <f>IF('1.1 Produksi Bersih Padi 2025'!D832="","",'1.1 Produksi Bersih Padi 2025'!D832)</f>
        <v/>
      </c>
      <c r="E830" s="3" t="str">
        <f>IF('1.1 Produksi Bersih Padi 2025'!E832="","",'1.1 Produksi Bersih Padi 2025'!E832)</f>
        <v/>
      </c>
      <c r="F830" s="13" t="str">
        <f>'1.1 Produksi Bersih Padi 2025'!Q832</f>
        <v/>
      </c>
      <c r="G830" s="13" t="str">
        <f>'1.2 Produksi Bersih Jagung 2025'!L832</f>
        <v/>
      </c>
      <c r="H830" s="13" t="str">
        <f>'1.3 Prod Bersih Ubi Kayu 2025'!K832</f>
        <v/>
      </c>
      <c r="I830" s="13" t="str">
        <f>'1.4 Prod Bersih Ubi Jalar 2025'!K832</f>
        <v/>
      </c>
      <c r="J830" s="13" t="str">
        <f>'1.5 Prod Bersih Sagu 2025'!K832</f>
        <v/>
      </c>
      <c r="K830" s="13" t="str">
        <f>'1.6 Prod Bersih Pisang 2025'!K832</f>
        <v/>
      </c>
      <c r="L830" s="15">
        <f t="shared" si="36"/>
        <v>0</v>
      </c>
      <c r="M830" s="14" t="str">
        <f>IF(D830="","",VLOOKUP(D830,'[1]0.1 Produksi Pangan &amp; Penduduk'!$D$5:$AU$704,44,0))</f>
        <v/>
      </c>
      <c r="N830" s="26" t="str">
        <f t="shared" si="37"/>
        <v/>
      </c>
      <c r="O830" s="16"/>
      <c r="P830" s="25" t="str">
        <f t="shared" si="38"/>
        <v/>
      </c>
      <c r="Q830" s="8"/>
    </row>
    <row r="831" spans="1:17" ht="15" x14ac:dyDescent="0.25">
      <c r="A831" s="3" t="str">
        <f>IF('1.1 Produksi Bersih Padi 2025'!A833="","",'1.1 Produksi Bersih Padi 2025'!A833)</f>
        <v/>
      </c>
      <c r="B831" s="32" t="str">
        <f>IF('1.1 Produksi Bersih Padi 2025'!B833="","",'1.1 Produksi Bersih Padi 2025'!B833)</f>
        <v/>
      </c>
      <c r="C831" s="32" t="str">
        <f>IF('1.1 Produksi Bersih Padi 2025'!C833="","",'1.1 Produksi Bersih Padi 2025'!C833)</f>
        <v/>
      </c>
      <c r="D831" s="3" t="str">
        <f>IF('1.1 Produksi Bersih Padi 2025'!D833="","",'1.1 Produksi Bersih Padi 2025'!D833)</f>
        <v/>
      </c>
      <c r="E831" s="3" t="str">
        <f>IF('1.1 Produksi Bersih Padi 2025'!E833="","",'1.1 Produksi Bersih Padi 2025'!E833)</f>
        <v/>
      </c>
      <c r="F831" s="13" t="str">
        <f>'1.1 Produksi Bersih Padi 2025'!Q833</f>
        <v/>
      </c>
      <c r="G831" s="13" t="str">
        <f>'1.2 Produksi Bersih Jagung 2025'!L833</f>
        <v/>
      </c>
      <c r="H831" s="13" t="str">
        <f>'1.3 Prod Bersih Ubi Kayu 2025'!K833</f>
        <v/>
      </c>
      <c r="I831" s="13" t="str">
        <f>'1.4 Prod Bersih Ubi Jalar 2025'!K833</f>
        <v/>
      </c>
      <c r="J831" s="13" t="str">
        <f>'1.5 Prod Bersih Sagu 2025'!K833</f>
        <v/>
      </c>
      <c r="K831" s="13" t="str">
        <f>'1.6 Prod Bersih Pisang 2025'!K833</f>
        <v/>
      </c>
      <c r="L831" s="15">
        <f t="shared" si="36"/>
        <v>0</v>
      </c>
      <c r="M831" s="14" t="str">
        <f>IF(D831="","",VLOOKUP(D831,'[1]0.1 Produksi Pangan &amp; Penduduk'!$D$5:$AU$704,44,0))</f>
        <v/>
      </c>
      <c r="N831" s="26" t="str">
        <f t="shared" si="37"/>
        <v/>
      </c>
      <c r="O831" s="16"/>
      <c r="P831" s="25" t="str">
        <f t="shared" si="38"/>
        <v/>
      </c>
      <c r="Q831" s="8"/>
    </row>
    <row r="832" spans="1:17" ht="15" x14ac:dyDescent="0.25">
      <c r="A832" s="3" t="str">
        <f>IF('1.1 Produksi Bersih Padi 2025'!A834="","",'1.1 Produksi Bersih Padi 2025'!A834)</f>
        <v/>
      </c>
      <c r="B832" s="32" t="str">
        <f>IF('1.1 Produksi Bersih Padi 2025'!B834="","",'1.1 Produksi Bersih Padi 2025'!B834)</f>
        <v/>
      </c>
      <c r="C832" s="32" t="str">
        <f>IF('1.1 Produksi Bersih Padi 2025'!C834="","",'1.1 Produksi Bersih Padi 2025'!C834)</f>
        <v/>
      </c>
      <c r="D832" s="3" t="str">
        <f>IF('1.1 Produksi Bersih Padi 2025'!D834="","",'1.1 Produksi Bersih Padi 2025'!D834)</f>
        <v/>
      </c>
      <c r="E832" s="3" t="str">
        <f>IF('1.1 Produksi Bersih Padi 2025'!E834="","",'1.1 Produksi Bersih Padi 2025'!E834)</f>
        <v/>
      </c>
      <c r="F832" s="13" t="str">
        <f>'1.1 Produksi Bersih Padi 2025'!Q834</f>
        <v/>
      </c>
      <c r="G832" s="13" t="str">
        <f>'1.2 Produksi Bersih Jagung 2025'!L834</f>
        <v/>
      </c>
      <c r="H832" s="13" t="str">
        <f>'1.3 Prod Bersih Ubi Kayu 2025'!K834</f>
        <v/>
      </c>
      <c r="I832" s="13" t="str">
        <f>'1.4 Prod Bersih Ubi Jalar 2025'!K834</f>
        <v/>
      </c>
      <c r="J832" s="13" t="str">
        <f>'1.5 Prod Bersih Sagu 2025'!K834</f>
        <v/>
      </c>
      <c r="K832" s="13" t="str">
        <f>'1.6 Prod Bersih Pisang 2025'!K834</f>
        <v/>
      </c>
      <c r="L832" s="15">
        <f t="shared" si="36"/>
        <v>0</v>
      </c>
      <c r="M832" s="14" t="str">
        <f>IF(D832="","",VLOOKUP(D832,'[1]0.1 Produksi Pangan &amp; Penduduk'!$D$5:$AU$704,44,0))</f>
        <v/>
      </c>
      <c r="N832" s="26" t="str">
        <f t="shared" si="37"/>
        <v/>
      </c>
      <c r="O832" s="16"/>
      <c r="P832" s="25" t="str">
        <f t="shared" si="38"/>
        <v/>
      </c>
      <c r="Q832" s="8"/>
    </row>
    <row r="833" spans="1:17" ht="15" x14ac:dyDescent="0.25">
      <c r="A833" s="3" t="str">
        <f>IF('1.1 Produksi Bersih Padi 2025'!A835="","",'1.1 Produksi Bersih Padi 2025'!A835)</f>
        <v/>
      </c>
      <c r="B833" s="32" t="str">
        <f>IF('1.1 Produksi Bersih Padi 2025'!B835="","",'1.1 Produksi Bersih Padi 2025'!B835)</f>
        <v/>
      </c>
      <c r="C833" s="32" t="str">
        <f>IF('1.1 Produksi Bersih Padi 2025'!C835="","",'1.1 Produksi Bersih Padi 2025'!C835)</f>
        <v/>
      </c>
      <c r="D833" s="3" t="str">
        <f>IF('1.1 Produksi Bersih Padi 2025'!D835="","",'1.1 Produksi Bersih Padi 2025'!D835)</f>
        <v/>
      </c>
      <c r="E833" s="3" t="str">
        <f>IF('1.1 Produksi Bersih Padi 2025'!E835="","",'1.1 Produksi Bersih Padi 2025'!E835)</f>
        <v/>
      </c>
      <c r="F833" s="13" t="str">
        <f>'1.1 Produksi Bersih Padi 2025'!Q835</f>
        <v/>
      </c>
      <c r="G833" s="13" t="str">
        <f>'1.2 Produksi Bersih Jagung 2025'!L835</f>
        <v/>
      </c>
      <c r="H833" s="13" t="str">
        <f>'1.3 Prod Bersih Ubi Kayu 2025'!K835</f>
        <v/>
      </c>
      <c r="I833" s="13" t="str">
        <f>'1.4 Prod Bersih Ubi Jalar 2025'!K835</f>
        <v/>
      </c>
      <c r="J833" s="13" t="str">
        <f>'1.5 Prod Bersih Sagu 2025'!K835</f>
        <v/>
      </c>
      <c r="K833" s="13" t="str">
        <f>'1.6 Prod Bersih Pisang 2025'!K835</f>
        <v/>
      </c>
      <c r="L833" s="15">
        <f t="shared" si="36"/>
        <v>0</v>
      </c>
      <c r="M833" s="14" t="str">
        <f>IF(D833="","",VLOOKUP(D833,'[1]0.1 Produksi Pangan &amp; Penduduk'!$D$5:$AU$704,44,0))</f>
        <v/>
      </c>
      <c r="N833" s="26" t="str">
        <f t="shared" si="37"/>
        <v/>
      </c>
      <c r="O833" s="16"/>
      <c r="P833" s="25" t="str">
        <f t="shared" si="38"/>
        <v/>
      </c>
      <c r="Q833" s="8"/>
    </row>
    <row r="834" spans="1:17" ht="15" x14ac:dyDescent="0.25">
      <c r="A834" s="3" t="str">
        <f>IF('1.1 Produksi Bersih Padi 2025'!A836="","",'1.1 Produksi Bersih Padi 2025'!A836)</f>
        <v/>
      </c>
      <c r="B834" s="32" t="str">
        <f>IF('1.1 Produksi Bersih Padi 2025'!B836="","",'1.1 Produksi Bersih Padi 2025'!B836)</f>
        <v/>
      </c>
      <c r="C834" s="32" t="str">
        <f>IF('1.1 Produksi Bersih Padi 2025'!C836="","",'1.1 Produksi Bersih Padi 2025'!C836)</f>
        <v/>
      </c>
      <c r="D834" s="3" t="str">
        <f>IF('1.1 Produksi Bersih Padi 2025'!D836="","",'1.1 Produksi Bersih Padi 2025'!D836)</f>
        <v/>
      </c>
      <c r="E834" s="3" t="str">
        <f>IF('1.1 Produksi Bersih Padi 2025'!E836="","",'1.1 Produksi Bersih Padi 2025'!E836)</f>
        <v/>
      </c>
      <c r="F834" s="13" t="str">
        <f>'1.1 Produksi Bersih Padi 2025'!Q836</f>
        <v/>
      </c>
      <c r="G834" s="13" t="str">
        <f>'1.2 Produksi Bersih Jagung 2025'!L836</f>
        <v/>
      </c>
      <c r="H834" s="13" t="str">
        <f>'1.3 Prod Bersih Ubi Kayu 2025'!K836</f>
        <v/>
      </c>
      <c r="I834" s="13" t="str">
        <f>'1.4 Prod Bersih Ubi Jalar 2025'!K836</f>
        <v/>
      </c>
      <c r="J834" s="13" t="str">
        <f>'1.5 Prod Bersih Sagu 2025'!K836</f>
        <v/>
      </c>
      <c r="K834" s="13" t="str">
        <f>'1.6 Prod Bersih Pisang 2025'!K836</f>
        <v/>
      </c>
      <c r="L834" s="15">
        <f t="shared" si="36"/>
        <v>0</v>
      </c>
      <c r="M834" s="14" t="str">
        <f>IF(D834="","",VLOOKUP(D834,'[1]0.1 Produksi Pangan &amp; Penduduk'!$D$5:$AU$704,44,0))</f>
        <v/>
      </c>
      <c r="N834" s="26" t="str">
        <f t="shared" si="37"/>
        <v/>
      </c>
      <c r="O834" s="16"/>
      <c r="P834" s="25" t="str">
        <f t="shared" si="38"/>
        <v/>
      </c>
      <c r="Q834" s="8"/>
    </row>
    <row r="835" spans="1:17" ht="15" x14ac:dyDescent="0.25">
      <c r="A835" s="3" t="str">
        <f>IF('1.1 Produksi Bersih Padi 2025'!A837="","",'1.1 Produksi Bersih Padi 2025'!A837)</f>
        <v/>
      </c>
      <c r="B835" s="32" t="str">
        <f>IF('1.1 Produksi Bersih Padi 2025'!B837="","",'1.1 Produksi Bersih Padi 2025'!B837)</f>
        <v/>
      </c>
      <c r="C835" s="32" t="str">
        <f>IF('1.1 Produksi Bersih Padi 2025'!C837="","",'1.1 Produksi Bersih Padi 2025'!C837)</f>
        <v/>
      </c>
      <c r="D835" s="3" t="str">
        <f>IF('1.1 Produksi Bersih Padi 2025'!D837="","",'1.1 Produksi Bersih Padi 2025'!D837)</f>
        <v/>
      </c>
      <c r="E835" s="3" t="str">
        <f>IF('1.1 Produksi Bersih Padi 2025'!E837="","",'1.1 Produksi Bersih Padi 2025'!E837)</f>
        <v/>
      </c>
      <c r="F835" s="13" t="str">
        <f>'1.1 Produksi Bersih Padi 2025'!Q837</f>
        <v/>
      </c>
      <c r="G835" s="13" t="str">
        <f>'1.2 Produksi Bersih Jagung 2025'!L837</f>
        <v/>
      </c>
      <c r="H835" s="13" t="str">
        <f>'1.3 Prod Bersih Ubi Kayu 2025'!K837</f>
        <v/>
      </c>
      <c r="I835" s="13" t="str">
        <f>'1.4 Prod Bersih Ubi Jalar 2025'!K837</f>
        <v/>
      </c>
      <c r="J835" s="13" t="str">
        <f>'1.5 Prod Bersih Sagu 2025'!K837</f>
        <v/>
      </c>
      <c r="K835" s="13" t="str">
        <f>'1.6 Prod Bersih Pisang 2025'!K837</f>
        <v/>
      </c>
      <c r="L835" s="15">
        <f t="shared" si="36"/>
        <v>0</v>
      </c>
      <c r="M835" s="14" t="str">
        <f>IF(D835="","",VLOOKUP(D835,'[1]0.1 Produksi Pangan &amp; Penduduk'!$D$5:$AU$704,44,0))</f>
        <v/>
      </c>
      <c r="N835" s="26" t="str">
        <f t="shared" si="37"/>
        <v/>
      </c>
      <c r="O835" s="16"/>
      <c r="P835" s="25" t="str">
        <f t="shared" si="38"/>
        <v/>
      </c>
      <c r="Q835" s="8"/>
    </row>
    <row r="836" spans="1:17" ht="15" x14ac:dyDescent="0.25">
      <c r="A836" s="3" t="str">
        <f>IF('1.1 Produksi Bersih Padi 2025'!A838="","",'1.1 Produksi Bersih Padi 2025'!A838)</f>
        <v/>
      </c>
      <c r="B836" s="32" t="str">
        <f>IF('1.1 Produksi Bersih Padi 2025'!B838="","",'1.1 Produksi Bersih Padi 2025'!B838)</f>
        <v/>
      </c>
      <c r="C836" s="32" t="str">
        <f>IF('1.1 Produksi Bersih Padi 2025'!C838="","",'1.1 Produksi Bersih Padi 2025'!C838)</f>
        <v/>
      </c>
      <c r="D836" s="3" t="str">
        <f>IF('1.1 Produksi Bersih Padi 2025'!D838="","",'1.1 Produksi Bersih Padi 2025'!D838)</f>
        <v/>
      </c>
      <c r="E836" s="3" t="str">
        <f>IF('1.1 Produksi Bersih Padi 2025'!E838="","",'1.1 Produksi Bersih Padi 2025'!E838)</f>
        <v/>
      </c>
      <c r="F836" s="13" t="str">
        <f>'1.1 Produksi Bersih Padi 2025'!Q838</f>
        <v/>
      </c>
      <c r="G836" s="13" t="str">
        <f>'1.2 Produksi Bersih Jagung 2025'!L838</f>
        <v/>
      </c>
      <c r="H836" s="13" t="str">
        <f>'1.3 Prod Bersih Ubi Kayu 2025'!K838</f>
        <v/>
      </c>
      <c r="I836" s="13" t="str">
        <f>'1.4 Prod Bersih Ubi Jalar 2025'!K838</f>
        <v/>
      </c>
      <c r="J836" s="13" t="str">
        <f>'1.5 Prod Bersih Sagu 2025'!K838</f>
        <v/>
      </c>
      <c r="K836" s="13" t="str">
        <f>'1.6 Prod Bersih Pisang 2025'!K838</f>
        <v/>
      </c>
      <c r="L836" s="15">
        <f t="shared" ref="L836:L857" si="39">IFERROR(SUM(F836:K836),0)</f>
        <v>0</v>
      </c>
      <c r="M836" s="14" t="str">
        <f>IF(D836="","",VLOOKUP(D836,'[1]0.1 Produksi Pangan &amp; Penduduk'!$D$5:$AU$704,44,0))</f>
        <v/>
      </c>
      <c r="N836" s="26" t="str">
        <f t="shared" ref="N836:N857" si="40">IF(M836="","",IFERROR((L836*1000*1000/M836)/365,"-"))</f>
        <v/>
      </c>
      <c r="O836" s="16"/>
      <c r="P836" s="25" t="str">
        <f t="shared" ref="P836:P857" si="41">IF(N836="","",IFERROR(300/N836,"-"))</f>
        <v/>
      </c>
      <c r="Q836" s="8"/>
    </row>
    <row r="837" spans="1:17" ht="15" x14ac:dyDescent="0.25">
      <c r="A837" s="3" t="str">
        <f>IF('1.1 Produksi Bersih Padi 2025'!A839="","",'1.1 Produksi Bersih Padi 2025'!A839)</f>
        <v/>
      </c>
      <c r="B837" s="32" t="str">
        <f>IF('1.1 Produksi Bersih Padi 2025'!B839="","",'1.1 Produksi Bersih Padi 2025'!B839)</f>
        <v/>
      </c>
      <c r="C837" s="32" t="str">
        <f>IF('1.1 Produksi Bersih Padi 2025'!C839="","",'1.1 Produksi Bersih Padi 2025'!C839)</f>
        <v/>
      </c>
      <c r="D837" s="3" t="str">
        <f>IF('1.1 Produksi Bersih Padi 2025'!D839="","",'1.1 Produksi Bersih Padi 2025'!D839)</f>
        <v/>
      </c>
      <c r="E837" s="3" t="str">
        <f>IF('1.1 Produksi Bersih Padi 2025'!E839="","",'1.1 Produksi Bersih Padi 2025'!E839)</f>
        <v/>
      </c>
      <c r="F837" s="13" t="str">
        <f>'1.1 Produksi Bersih Padi 2025'!Q839</f>
        <v/>
      </c>
      <c r="G837" s="13" t="str">
        <f>'1.2 Produksi Bersih Jagung 2025'!L839</f>
        <v/>
      </c>
      <c r="H837" s="13" t="str">
        <f>'1.3 Prod Bersih Ubi Kayu 2025'!K839</f>
        <v/>
      </c>
      <c r="I837" s="13" t="str">
        <f>'1.4 Prod Bersih Ubi Jalar 2025'!K839</f>
        <v/>
      </c>
      <c r="J837" s="13" t="str">
        <f>'1.5 Prod Bersih Sagu 2025'!K839</f>
        <v/>
      </c>
      <c r="K837" s="13" t="str">
        <f>'1.6 Prod Bersih Pisang 2025'!K839</f>
        <v/>
      </c>
      <c r="L837" s="15">
        <f t="shared" si="39"/>
        <v>0</v>
      </c>
      <c r="M837" s="14" t="str">
        <f>IF(D837="","",VLOOKUP(D837,'[1]0.1 Produksi Pangan &amp; Penduduk'!$D$5:$AU$704,44,0))</f>
        <v/>
      </c>
      <c r="N837" s="26" t="str">
        <f t="shared" si="40"/>
        <v/>
      </c>
      <c r="O837" s="16"/>
      <c r="P837" s="25" t="str">
        <f t="shared" si="41"/>
        <v/>
      </c>
      <c r="Q837" s="8"/>
    </row>
    <row r="838" spans="1:17" ht="15" x14ac:dyDescent="0.25">
      <c r="A838" s="3" t="str">
        <f>IF('1.1 Produksi Bersih Padi 2025'!A840="","",'1.1 Produksi Bersih Padi 2025'!A840)</f>
        <v/>
      </c>
      <c r="B838" s="32" t="str">
        <f>IF('1.1 Produksi Bersih Padi 2025'!B840="","",'1.1 Produksi Bersih Padi 2025'!B840)</f>
        <v/>
      </c>
      <c r="C838" s="32" t="str">
        <f>IF('1.1 Produksi Bersih Padi 2025'!C840="","",'1.1 Produksi Bersih Padi 2025'!C840)</f>
        <v/>
      </c>
      <c r="D838" s="3" t="str">
        <f>IF('1.1 Produksi Bersih Padi 2025'!D840="","",'1.1 Produksi Bersih Padi 2025'!D840)</f>
        <v/>
      </c>
      <c r="E838" s="3" t="str">
        <f>IF('1.1 Produksi Bersih Padi 2025'!E840="","",'1.1 Produksi Bersih Padi 2025'!E840)</f>
        <v/>
      </c>
      <c r="F838" s="13" t="str">
        <f>'1.1 Produksi Bersih Padi 2025'!Q840</f>
        <v/>
      </c>
      <c r="G838" s="13" t="str">
        <f>'1.2 Produksi Bersih Jagung 2025'!L840</f>
        <v/>
      </c>
      <c r="H838" s="13" t="str">
        <f>'1.3 Prod Bersih Ubi Kayu 2025'!K840</f>
        <v/>
      </c>
      <c r="I838" s="13" t="str">
        <f>'1.4 Prod Bersih Ubi Jalar 2025'!K840</f>
        <v/>
      </c>
      <c r="J838" s="13" t="str">
        <f>'1.5 Prod Bersih Sagu 2025'!K840</f>
        <v/>
      </c>
      <c r="K838" s="13" t="str">
        <f>'1.6 Prod Bersih Pisang 2025'!K840</f>
        <v/>
      </c>
      <c r="L838" s="15">
        <f t="shared" si="39"/>
        <v>0</v>
      </c>
      <c r="M838" s="14" t="str">
        <f>IF(D838="","",VLOOKUP(D838,'[1]0.1 Produksi Pangan &amp; Penduduk'!$D$5:$AU$704,44,0))</f>
        <v/>
      </c>
      <c r="N838" s="26" t="str">
        <f t="shared" si="40"/>
        <v/>
      </c>
      <c r="O838" s="16"/>
      <c r="P838" s="25" t="str">
        <f t="shared" si="41"/>
        <v/>
      </c>
      <c r="Q838" s="8"/>
    </row>
    <row r="839" spans="1:17" ht="15" x14ac:dyDescent="0.25">
      <c r="A839" s="3" t="str">
        <f>IF('1.1 Produksi Bersih Padi 2025'!A841="","",'1.1 Produksi Bersih Padi 2025'!A841)</f>
        <v/>
      </c>
      <c r="B839" s="32" t="str">
        <f>IF('1.1 Produksi Bersih Padi 2025'!B841="","",'1.1 Produksi Bersih Padi 2025'!B841)</f>
        <v/>
      </c>
      <c r="C839" s="32" t="str">
        <f>IF('1.1 Produksi Bersih Padi 2025'!C841="","",'1.1 Produksi Bersih Padi 2025'!C841)</f>
        <v/>
      </c>
      <c r="D839" s="3" t="str">
        <f>IF('1.1 Produksi Bersih Padi 2025'!D841="","",'1.1 Produksi Bersih Padi 2025'!D841)</f>
        <v/>
      </c>
      <c r="E839" s="3" t="str">
        <f>IF('1.1 Produksi Bersih Padi 2025'!E841="","",'1.1 Produksi Bersih Padi 2025'!E841)</f>
        <v/>
      </c>
      <c r="F839" s="13" t="str">
        <f>'1.1 Produksi Bersih Padi 2025'!Q841</f>
        <v/>
      </c>
      <c r="G839" s="13" t="str">
        <f>'1.2 Produksi Bersih Jagung 2025'!L841</f>
        <v/>
      </c>
      <c r="H839" s="13" t="str">
        <f>'1.3 Prod Bersih Ubi Kayu 2025'!K841</f>
        <v/>
      </c>
      <c r="I839" s="13" t="str">
        <f>'1.4 Prod Bersih Ubi Jalar 2025'!K841</f>
        <v/>
      </c>
      <c r="J839" s="13" t="str">
        <f>'1.5 Prod Bersih Sagu 2025'!K841</f>
        <v/>
      </c>
      <c r="K839" s="13" t="str">
        <f>'1.6 Prod Bersih Pisang 2025'!K841</f>
        <v/>
      </c>
      <c r="L839" s="15">
        <f t="shared" si="39"/>
        <v>0</v>
      </c>
      <c r="M839" s="14" t="str">
        <f>IF(D839="","",VLOOKUP(D839,'[1]0.1 Produksi Pangan &amp; Penduduk'!$D$5:$AU$704,44,0))</f>
        <v/>
      </c>
      <c r="N839" s="26" t="str">
        <f t="shared" si="40"/>
        <v/>
      </c>
      <c r="O839" s="16"/>
      <c r="P839" s="25" t="str">
        <f t="shared" si="41"/>
        <v/>
      </c>
      <c r="Q839" s="8"/>
    </row>
    <row r="840" spans="1:17" ht="15" x14ac:dyDescent="0.25">
      <c r="A840" s="3" t="str">
        <f>IF('1.1 Produksi Bersih Padi 2025'!A842="","",'1.1 Produksi Bersih Padi 2025'!A842)</f>
        <v/>
      </c>
      <c r="B840" s="32" t="str">
        <f>IF('1.1 Produksi Bersih Padi 2025'!B842="","",'1.1 Produksi Bersih Padi 2025'!B842)</f>
        <v/>
      </c>
      <c r="C840" s="32" t="str">
        <f>IF('1.1 Produksi Bersih Padi 2025'!C842="","",'1.1 Produksi Bersih Padi 2025'!C842)</f>
        <v/>
      </c>
      <c r="D840" s="3" t="str">
        <f>IF('1.1 Produksi Bersih Padi 2025'!D842="","",'1.1 Produksi Bersih Padi 2025'!D842)</f>
        <v/>
      </c>
      <c r="E840" s="3" t="str">
        <f>IF('1.1 Produksi Bersih Padi 2025'!E842="","",'1.1 Produksi Bersih Padi 2025'!E842)</f>
        <v/>
      </c>
      <c r="F840" s="13" t="str">
        <f>'1.1 Produksi Bersih Padi 2025'!Q842</f>
        <v/>
      </c>
      <c r="G840" s="13" t="str">
        <f>'1.2 Produksi Bersih Jagung 2025'!L842</f>
        <v/>
      </c>
      <c r="H840" s="13" t="str">
        <f>'1.3 Prod Bersih Ubi Kayu 2025'!K842</f>
        <v/>
      </c>
      <c r="I840" s="13" t="str">
        <f>'1.4 Prod Bersih Ubi Jalar 2025'!K842</f>
        <v/>
      </c>
      <c r="J840" s="13" t="str">
        <f>'1.5 Prod Bersih Sagu 2025'!K842</f>
        <v/>
      </c>
      <c r="K840" s="13" t="str">
        <f>'1.6 Prod Bersih Pisang 2025'!K842</f>
        <v/>
      </c>
      <c r="L840" s="15">
        <f t="shared" si="39"/>
        <v>0</v>
      </c>
      <c r="M840" s="14" t="str">
        <f>IF(D840="","",VLOOKUP(D840,'[1]0.1 Produksi Pangan &amp; Penduduk'!$D$5:$AU$704,44,0))</f>
        <v/>
      </c>
      <c r="N840" s="26" t="str">
        <f t="shared" si="40"/>
        <v/>
      </c>
      <c r="O840" s="16"/>
      <c r="P840" s="25" t="str">
        <f t="shared" si="41"/>
        <v/>
      </c>
      <c r="Q840" s="8"/>
    </row>
    <row r="841" spans="1:17" ht="15" x14ac:dyDescent="0.25">
      <c r="A841" s="3" t="str">
        <f>IF('1.1 Produksi Bersih Padi 2025'!A843="","",'1.1 Produksi Bersih Padi 2025'!A843)</f>
        <v/>
      </c>
      <c r="B841" s="32" t="str">
        <f>IF('1.1 Produksi Bersih Padi 2025'!B843="","",'1.1 Produksi Bersih Padi 2025'!B843)</f>
        <v/>
      </c>
      <c r="C841" s="32" t="str">
        <f>IF('1.1 Produksi Bersih Padi 2025'!C843="","",'1.1 Produksi Bersih Padi 2025'!C843)</f>
        <v/>
      </c>
      <c r="D841" s="3" t="str">
        <f>IF('1.1 Produksi Bersih Padi 2025'!D843="","",'1.1 Produksi Bersih Padi 2025'!D843)</f>
        <v/>
      </c>
      <c r="E841" s="3" t="str">
        <f>IF('1.1 Produksi Bersih Padi 2025'!E843="","",'1.1 Produksi Bersih Padi 2025'!E843)</f>
        <v/>
      </c>
      <c r="F841" s="13" t="str">
        <f>'1.1 Produksi Bersih Padi 2025'!Q843</f>
        <v/>
      </c>
      <c r="G841" s="13" t="str">
        <f>'1.2 Produksi Bersih Jagung 2025'!L843</f>
        <v/>
      </c>
      <c r="H841" s="13" t="str">
        <f>'1.3 Prod Bersih Ubi Kayu 2025'!K843</f>
        <v/>
      </c>
      <c r="I841" s="13" t="str">
        <f>'1.4 Prod Bersih Ubi Jalar 2025'!K843</f>
        <v/>
      </c>
      <c r="J841" s="13" t="str">
        <f>'1.5 Prod Bersih Sagu 2025'!K843</f>
        <v/>
      </c>
      <c r="K841" s="13" t="str">
        <f>'1.6 Prod Bersih Pisang 2025'!K843</f>
        <v/>
      </c>
      <c r="L841" s="15">
        <f t="shared" si="39"/>
        <v>0</v>
      </c>
      <c r="M841" s="14" t="str">
        <f>IF(D841="","",VLOOKUP(D841,'[1]0.1 Produksi Pangan &amp; Penduduk'!$D$5:$AU$704,44,0))</f>
        <v/>
      </c>
      <c r="N841" s="26" t="str">
        <f t="shared" si="40"/>
        <v/>
      </c>
      <c r="O841" s="16"/>
      <c r="P841" s="25" t="str">
        <f t="shared" si="41"/>
        <v/>
      </c>
      <c r="Q841" s="8"/>
    </row>
    <row r="842" spans="1:17" ht="15" x14ac:dyDescent="0.25">
      <c r="A842" s="3" t="str">
        <f>IF('1.1 Produksi Bersih Padi 2025'!A844="","",'1.1 Produksi Bersih Padi 2025'!A844)</f>
        <v/>
      </c>
      <c r="B842" s="32" t="str">
        <f>IF('1.1 Produksi Bersih Padi 2025'!B844="","",'1.1 Produksi Bersih Padi 2025'!B844)</f>
        <v/>
      </c>
      <c r="C842" s="32" t="str">
        <f>IF('1.1 Produksi Bersih Padi 2025'!C844="","",'1.1 Produksi Bersih Padi 2025'!C844)</f>
        <v/>
      </c>
      <c r="D842" s="3" t="str">
        <f>IF('1.1 Produksi Bersih Padi 2025'!D844="","",'1.1 Produksi Bersih Padi 2025'!D844)</f>
        <v/>
      </c>
      <c r="E842" s="3" t="str">
        <f>IF('1.1 Produksi Bersih Padi 2025'!E844="","",'1.1 Produksi Bersih Padi 2025'!E844)</f>
        <v/>
      </c>
      <c r="F842" s="13" t="str">
        <f>'1.1 Produksi Bersih Padi 2025'!Q844</f>
        <v/>
      </c>
      <c r="G842" s="13" t="str">
        <f>'1.2 Produksi Bersih Jagung 2025'!L844</f>
        <v/>
      </c>
      <c r="H842" s="13" t="str">
        <f>'1.3 Prod Bersih Ubi Kayu 2025'!K844</f>
        <v/>
      </c>
      <c r="I842" s="13" t="str">
        <f>'1.4 Prod Bersih Ubi Jalar 2025'!K844</f>
        <v/>
      </c>
      <c r="J842" s="13" t="str">
        <f>'1.5 Prod Bersih Sagu 2025'!K844</f>
        <v/>
      </c>
      <c r="K842" s="13" t="str">
        <f>'1.6 Prod Bersih Pisang 2025'!K844</f>
        <v/>
      </c>
      <c r="L842" s="15">
        <f t="shared" si="39"/>
        <v>0</v>
      </c>
      <c r="M842" s="14" t="str">
        <f>IF(D842="","",VLOOKUP(D842,'[1]0.1 Produksi Pangan &amp; Penduduk'!$D$5:$AU$704,44,0))</f>
        <v/>
      </c>
      <c r="N842" s="26" t="str">
        <f t="shared" si="40"/>
        <v/>
      </c>
      <c r="O842" s="16"/>
      <c r="P842" s="25" t="str">
        <f t="shared" si="41"/>
        <v/>
      </c>
      <c r="Q842" s="8"/>
    </row>
    <row r="843" spans="1:17" ht="15" x14ac:dyDescent="0.25">
      <c r="A843" s="3" t="str">
        <f>IF('1.1 Produksi Bersih Padi 2025'!A845="","",'1.1 Produksi Bersih Padi 2025'!A845)</f>
        <v/>
      </c>
      <c r="B843" s="32" t="str">
        <f>IF('1.1 Produksi Bersih Padi 2025'!B845="","",'1.1 Produksi Bersih Padi 2025'!B845)</f>
        <v/>
      </c>
      <c r="C843" s="32" t="str">
        <f>IF('1.1 Produksi Bersih Padi 2025'!C845="","",'1.1 Produksi Bersih Padi 2025'!C845)</f>
        <v/>
      </c>
      <c r="D843" s="3" t="str">
        <f>IF('1.1 Produksi Bersih Padi 2025'!D845="","",'1.1 Produksi Bersih Padi 2025'!D845)</f>
        <v/>
      </c>
      <c r="E843" s="3" t="str">
        <f>IF('1.1 Produksi Bersih Padi 2025'!E845="","",'1.1 Produksi Bersih Padi 2025'!E845)</f>
        <v/>
      </c>
      <c r="F843" s="13" t="str">
        <f>'1.1 Produksi Bersih Padi 2025'!Q845</f>
        <v/>
      </c>
      <c r="G843" s="13" t="str">
        <f>'1.2 Produksi Bersih Jagung 2025'!L845</f>
        <v/>
      </c>
      <c r="H843" s="13" t="str">
        <f>'1.3 Prod Bersih Ubi Kayu 2025'!K845</f>
        <v/>
      </c>
      <c r="I843" s="13" t="str">
        <f>'1.4 Prod Bersih Ubi Jalar 2025'!K845</f>
        <v/>
      </c>
      <c r="J843" s="13" t="str">
        <f>'1.5 Prod Bersih Sagu 2025'!K845</f>
        <v/>
      </c>
      <c r="K843" s="13" t="str">
        <f>'1.6 Prod Bersih Pisang 2025'!K845</f>
        <v/>
      </c>
      <c r="L843" s="15">
        <f t="shared" si="39"/>
        <v>0</v>
      </c>
      <c r="M843" s="14" t="str">
        <f>IF(D843="","",VLOOKUP(D843,'[1]0.1 Produksi Pangan &amp; Penduduk'!$D$5:$AU$704,44,0))</f>
        <v/>
      </c>
      <c r="N843" s="26" t="str">
        <f t="shared" si="40"/>
        <v/>
      </c>
      <c r="O843" s="16"/>
      <c r="P843" s="25" t="str">
        <f t="shared" si="41"/>
        <v/>
      </c>
      <c r="Q843" s="8"/>
    </row>
    <row r="844" spans="1:17" ht="15" x14ac:dyDescent="0.25">
      <c r="A844" s="3" t="str">
        <f>IF('1.1 Produksi Bersih Padi 2025'!A846="","",'1.1 Produksi Bersih Padi 2025'!A846)</f>
        <v/>
      </c>
      <c r="B844" s="32" t="str">
        <f>IF('1.1 Produksi Bersih Padi 2025'!B846="","",'1.1 Produksi Bersih Padi 2025'!B846)</f>
        <v/>
      </c>
      <c r="C844" s="32" t="str">
        <f>IF('1.1 Produksi Bersih Padi 2025'!C846="","",'1.1 Produksi Bersih Padi 2025'!C846)</f>
        <v/>
      </c>
      <c r="D844" s="3" t="str">
        <f>IF('1.1 Produksi Bersih Padi 2025'!D846="","",'1.1 Produksi Bersih Padi 2025'!D846)</f>
        <v/>
      </c>
      <c r="E844" s="3" t="str">
        <f>IF('1.1 Produksi Bersih Padi 2025'!E846="","",'1.1 Produksi Bersih Padi 2025'!E846)</f>
        <v/>
      </c>
      <c r="F844" s="13" t="str">
        <f>'1.1 Produksi Bersih Padi 2025'!Q846</f>
        <v/>
      </c>
      <c r="G844" s="13" t="str">
        <f>'1.2 Produksi Bersih Jagung 2025'!L846</f>
        <v/>
      </c>
      <c r="H844" s="13" t="str">
        <f>'1.3 Prod Bersih Ubi Kayu 2025'!K846</f>
        <v/>
      </c>
      <c r="I844" s="13" t="str">
        <f>'1.4 Prod Bersih Ubi Jalar 2025'!K846</f>
        <v/>
      </c>
      <c r="J844" s="13" t="str">
        <f>'1.5 Prod Bersih Sagu 2025'!K846</f>
        <v/>
      </c>
      <c r="K844" s="13" t="str">
        <f>'1.6 Prod Bersih Pisang 2025'!K846</f>
        <v/>
      </c>
      <c r="L844" s="15">
        <f t="shared" si="39"/>
        <v>0</v>
      </c>
      <c r="M844" s="14" t="str">
        <f>IF(D844="","",VLOOKUP(D844,'[1]0.1 Produksi Pangan &amp; Penduduk'!$D$5:$AU$704,44,0))</f>
        <v/>
      </c>
      <c r="N844" s="26" t="str">
        <f t="shared" si="40"/>
        <v/>
      </c>
      <c r="O844" s="16"/>
      <c r="P844" s="25" t="str">
        <f t="shared" si="41"/>
        <v/>
      </c>
      <c r="Q844" s="8"/>
    </row>
    <row r="845" spans="1:17" ht="15" x14ac:dyDescent="0.25">
      <c r="A845" s="3" t="str">
        <f>IF('1.1 Produksi Bersih Padi 2025'!A847="","",'1.1 Produksi Bersih Padi 2025'!A847)</f>
        <v/>
      </c>
      <c r="B845" s="32" t="str">
        <f>IF('1.1 Produksi Bersih Padi 2025'!B847="","",'1.1 Produksi Bersih Padi 2025'!B847)</f>
        <v/>
      </c>
      <c r="C845" s="32" t="str">
        <f>IF('1.1 Produksi Bersih Padi 2025'!C847="","",'1.1 Produksi Bersih Padi 2025'!C847)</f>
        <v/>
      </c>
      <c r="D845" s="3" t="str">
        <f>IF('1.1 Produksi Bersih Padi 2025'!D847="","",'1.1 Produksi Bersih Padi 2025'!D847)</f>
        <v/>
      </c>
      <c r="E845" s="3" t="str">
        <f>IF('1.1 Produksi Bersih Padi 2025'!E847="","",'1.1 Produksi Bersih Padi 2025'!E847)</f>
        <v/>
      </c>
      <c r="F845" s="13" t="str">
        <f>'1.1 Produksi Bersih Padi 2025'!Q847</f>
        <v/>
      </c>
      <c r="G845" s="13" t="str">
        <f>'1.2 Produksi Bersih Jagung 2025'!L847</f>
        <v/>
      </c>
      <c r="H845" s="13" t="str">
        <f>'1.3 Prod Bersih Ubi Kayu 2025'!K847</f>
        <v/>
      </c>
      <c r="I845" s="13" t="str">
        <f>'1.4 Prod Bersih Ubi Jalar 2025'!K847</f>
        <v/>
      </c>
      <c r="J845" s="13" t="str">
        <f>'1.5 Prod Bersih Sagu 2025'!K847</f>
        <v/>
      </c>
      <c r="K845" s="13" t="str">
        <f>'1.6 Prod Bersih Pisang 2025'!K847</f>
        <v/>
      </c>
      <c r="L845" s="15">
        <f t="shared" si="39"/>
        <v>0</v>
      </c>
      <c r="M845" s="14" t="str">
        <f>IF(D845="","",VLOOKUP(D845,'[1]0.1 Produksi Pangan &amp; Penduduk'!$D$5:$AU$704,44,0))</f>
        <v/>
      </c>
      <c r="N845" s="26" t="str">
        <f t="shared" si="40"/>
        <v/>
      </c>
      <c r="O845" s="16"/>
      <c r="P845" s="25" t="str">
        <f t="shared" si="41"/>
        <v/>
      </c>
      <c r="Q845" s="8"/>
    </row>
    <row r="846" spans="1:17" ht="15" x14ac:dyDescent="0.25">
      <c r="A846" s="3" t="str">
        <f>IF('1.1 Produksi Bersih Padi 2025'!A848="","",'1.1 Produksi Bersih Padi 2025'!A848)</f>
        <v/>
      </c>
      <c r="B846" s="32" t="str">
        <f>IF('1.1 Produksi Bersih Padi 2025'!B848="","",'1.1 Produksi Bersih Padi 2025'!B848)</f>
        <v/>
      </c>
      <c r="C846" s="32" t="str">
        <f>IF('1.1 Produksi Bersih Padi 2025'!C848="","",'1.1 Produksi Bersih Padi 2025'!C848)</f>
        <v/>
      </c>
      <c r="D846" s="3" t="str">
        <f>IF('1.1 Produksi Bersih Padi 2025'!D848="","",'1.1 Produksi Bersih Padi 2025'!D848)</f>
        <v/>
      </c>
      <c r="E846" s="3" t="str">
        <f>IF('1.1 Produksi Bersih Padi 2025'!E848="","",'1.1 Produksi Bersih Padi 2025'!E848)</f>
        <v/>
      </c>
      <c r="F846" s="13" t="str">
        <f>'1.1 Produksi Bersih Padi 2025'!Q848</f>
        <v/>
      </c>
      <c r="G846" s="13" t="str">
        <f>'1.2 Produksi Bersih Jagung 2025'!L848</f>
        <v/>
      </c>
      <c r="H846" s="13" t="str">
        <f>'1.3 Prod Bersih Ubi Kayu 2025'!K848</f>
        <v/>
      </c>
      <c r="I846" s="13" t="str">
        <f>'1.4 Prod Bersih Ubi Jalar 2025'!K848</f>
        <v/>
      </c>
      <c r="J846" s="13" t="str">
        <f>'1.5 Prod Bersih Sagu 2025'!K848</f>
        <v/>
      </c>
      <c r="K846" s="13" t="str">
        <f>'1.6 Prod Bersih Pisang 2025'!K848</f>
        <v/>
      </c>
      <c r="L846" s="15">
        <f t="shared" si="39"/>
        <v>0</v>
      </c>
      <c r="M846" s="14" t="str">
        <f>IF(D846="","",VLOOKUP(D846,'[1]0.1 Produksi Pangan &amp; Penduduk'!$D$5:$AU$704,44,0))</f>
        <v/>
      </c>
      <c r="N846" s="26" t="str">
        <f t="shared" si="40"/>
        <v/>
      </c>
      <c r="O846" s="16"/>
      <c r="P846" s="25" t="str">
        <f t="shared" si="41"/>
        <v/>
      </c>
      <c r="Q846" s="8"/>
    </row>
    <row r="847" spans="1:17" ht="15" x14ac:dyDescent="0.25">
      <c r="A847" s="3" t="str">
        <f>IF('1.1 Produksi Bersih Padi 2025'!A849="","",'1.1 Produksi Bersih Padi 2025'!A849)</f>
        <v/>
      </c>
      <c r="B847" s="32" t="str">
        <f>IF('1.1 Produksi Bersih Padi 2025'!B849="","",'1.1 Produksi Bersih Padi 2025'!B849)</f>
        <v/>
      </c>
      <c r="C847" s="32" t="str">
        <f>IF('1.1 Produksi Bersih Padi 2025'!C849="","",'1.1 Produksi Bersih Padi 2025'!C849)</f>
        <v/>
      </c>
      <c r="D847" s="3" t="str">
        <f>IF('1.1 Produksi Bersih Padi 2025'!D849="","",'1.1 Produksi Bersih Padi 2025'!D849)</f>
        <v/>
      </c>
      <c r="E847" s="3" t="str">
        <f>IF('1.1 Produksi Bersih Padi 2025'!E849="","",'1.1 Produksi Bersih Padi 2025'!E849)</f>
        <v/>
      </c>
      <c r="F847" s="13" t="str">
        <f>'1.1 Produksi Bersih Padi 2025'!Q849</f>
        <v/>
      </c>
      <c r="G847" s="13" t="str">
        <f>'1.2 Produksi Bersih Jagung 2025'!L849</f>
        <v/>
      </c>
      <c r="H847" s="13" t="str">
        <f>'1.3 Prod Bersih Ubi Kayu 2025'!K849</f>
        <v/>
      </c>
      <c r="I847" s="13" t="str">
        <f>'1.4 Prod Bersih Ubi Jalar 2025'!K849</f>
        <v/>
      </c>
      <c r="J847" s="13" t="str">
        <f>'1.5 Prod Bersih Sagu 2025'!K849</f>
        <v/>
      </c>
      <c r="K847" s="13" t="str">
        <f>'1.6 Prod Bersih Pisang 2025'!K849</f>
        <v/>
      </c>
      <c r="L847" s="15">
        <f t="shared" si="39"/>
        <v>0</v>
      </c>
      <c r="M847" s="14" t="str">
        <f>IF(D847="","",VLOOKUP(D847,'[1]0.1 Produksi Pangan &amp; Penduduk'!$D$5:$AU$704,44,0))</f>
        <v/>
      </c>
      <c r="N847" s="26" t="str">
        <f t="shared" si="40"/>
        <v/>
      </c>
      <c r="O847" s="16"/>
      <c r="P847" s="25" t="str">
        <f t="shared" si="41"/>
        <v/>
      </c>
      <c r="Q847" s="8"/>
    </row>
    <row r="848" spans="1:17" ht="15" x14ac:dyDescent="0.25">
      <c r="A848" s="3" t="str">
        <f>IF('1.1 Produksi Bersih Padi 2025'!A850="","",'1.1 Produksi Bersih Padi 2025'!A850)</f>
        <v/>
      </c>
      <c r="B848" s="32" t="str">
        <f>IF('1.1 Produksi Bersih Padi 2025'!B850="","",'1.1 Produksi Bersih Padi 2025'!B850)</f>
        <v/>
      </c>
      <c r="C848" s="32" t="str">
        <f>IF('1.1 Produksi Bersih Padi 2025'!C850="","",'1.1 Produksi Bersih Padi 2025'!C850)</f>
        <v/>
      </c>
      <c r="D848" s="3" t="str">
        <f>IF('1.1 Produksi Bersih Padi 2025'!D850="","",'1.1 Produksi Bersih Padi 2025'!D850)</f>
        <v/>
      </c>
      <c r="E848" s="3" t="str">
        <f>IF('1.1 Produksi Bersih Padi 2025'!E850="","",'1.1 Produksi Bersih Padi 2025'!E850)</f>
        <v/>
      </c>
      <c r="F848" s="13" t="str">
        <f>'1.1 Produksi Bersih Padi 2025'!Q850</f>
        <v/>
      </c>
      <c r="G848" s="13" t="str">
        <f>'1.2 Produksi Bersih Jagung 2025'!L850</f>
        <v/>
      </c>
      <c r="H848" s="13" t="str">
        <f>'1.3 Prod Bersih Ubi Kayu 2025'!K850</f>
        <v/>
      </c>
      <c r="I848" s="13" t="str">
        <f>'1.4 Prod Bersih Ubi Jalar 2025'!K850</f>
        <v/>
      </c>
      <c r="J848" s="13" t="str">
        <f>'1.5 Prod Bersih Sagu 2025'!K850</f>
        <v/>
      </c>
      <c r="K848" s="13" t="str">
        <f>'1.6 Prod Bersih Pisang 2025'!K850</f>
        <v/>
      </c>
      <c r="L848" s="15">
        <f t="shared" si="39"/>
        <v>0</v>
      </c>
      <c r="M848" s="14" t="str">
        <f>IF(D848="","",VLOOKUP(D848,'[1]0.1 Produksi Pangan &amp; Penduduk'!$D$5:$AU$704,44,0))</f>
        <v/>
      </c>
      <c r="N848" s="26" t="str">
        <f t="shared" si="40"/>
        <v/>
      </c>
      <c r="O848" s="16"/>
      <c r="P848" s="25" t="str">
        <f t="shared" si="41"/>
        <v/>
      </c>
      <c r="Q848" s="8"/>
    </row>
    <row r="849" spans="1:17" ht="15" x14ac:dyDescent="0.25">
      <c r="A849" s="3" t="str">
        <f>IF('1.1 Produksi Bersih Padi 2025'!A851="","",'1.1 Produksi Bersih Padi 2025'!A851)</f>
        <v/>
      </c>
      <c r="B849" s="32" t="str">
        <f>IF('1.1 Produksi Bersih Padi 2025'!B851="","",'1.1 Produksi Bersih Padi 2025'!B851)</f>
        <v/>
      </c>
      <c r="C849" s="32" t="str">
        <f>IF('1.1 Produksi Bersih Padi 2025'!C851="","",'1.1 Produksi Bersih Padi 2025'!C851)</f>
        <v/>
      </c>
      <c r="D849" s="3" t="str">
        <f>IF('1.1 Produksi Bersih Padi 2025'!D851="","",'1.1 Produksi Bersih Padi 2025'!D851)</f>
        <v/>
      </c>
      <c r="E849" s="3" t="str">
        <f>IF('1.1 Produksi Bersih Padi 2025'!E851="","",'1.1 Produksi Bersih Padi 2025'!E851)</f>
        <v/>
      </c>
      <c r="F849" s="13" t="str">
        <f>'1.1 Produksi Bersih Padi 2025'!Q851</f>
        <v/>
      </c>
      <c r="G849" s="13" t="str">
        <f>'1.2 Produksi Bersih Jagung 2025'!L851</f>
        <v/>
      </c>
      <c r="H849" s="13" t="str">
        <f>'1.3 Prod Bersih Ubi Kayu 2025'!K851</f>
        <v/>
      </c>
      <c r="I849" s="13" t="str">
        <f>'1.4 Prod Bersih Ubi Jalar 2025'!K851</f>
        <v/>
      </c>
      <c r="J849" s="13" t="str">
        <f>'1.5 Prod Bersih Sagu 2025'!K851</f>
        <v/>
      </c>
      <c r="K849" s="13" t="str">
        <f>'1.6 Prod Bersih Pisang 2025'!K851</f>
        <v/>
      </c>
      <c r="L849" s="15">
        <f t="shared" si="39"/>
        <v>0</v>
      </c>
      <c r="M849" s="14" t="str">
        <f>IF(D849="","",VLOOKUP(D849,'[1]0.1 Produksi Pangan &amp; Penduduk'!$D$5:$AU$704,44,0))</f>
        <v/>
      </c>
      <c r="N849" s="26" t="str">
        <f t="shared" si="40"/>
        <v/>
      </c>
      <c r="O849" s="16"/>
      <c r="P849" s="25" t="str">
        <f t="shared" si="41"/>
        <v/>
      </c>
      <c r="Q849" s="8"/>
    </row>
    <row r="850" spans="1:17" ht="15" x14ac:dyDescent="0.25">
      <c r="A850" s="3" t="str">
        <f>IF('1.1 Produksi Bersih Padi 2025'!A852="","",'1.1 Produksi Bersih Padi 2025'!A852)</f>
        <v/>
      </c>
      <c r="B850" s="32" t="str">
        <f>IF('1.1 Produksi Bersih Padi 2025'!B852="","",'1.1 Produksi Bersih Padi 2025'!B852)</f>
        <v/>
      </c>
      <c r="C850" s="32" t="str">
        <f>IF('1.1 Produksi Bersih Padi 2025'!C852="","",'1.1 Produksi Bersih Padi 2025'!C852)</f>
        <v/>
      </c>
      <c r="D850" s="3" t="str">
        <f>IF('1.1 Produksi Bersih Padi 2025'!D852="","",'1.1 Produksi Bersih Padi 2025'!D852)</f>
        <v/>
      </c>
      <c r="E850" s="3" t="str">
        <f>IF('1.1 Produksi Bersih Padi 2025'!E852="","",'1.1 Produksi Bersih Padi 2025'!E852)</f>
        <v/>
      </c>
      <c r="F850" s="13" t="str">
        <f>'1.1 Produksi Bersih Padi 2025'!Q852</f>
        <v/>
      </c>
      <c r="G850" s="13" t="str">
        <f>'1.2 Produksi Bersih Jagung 2025'!L852</f>
        <v/>
      </c>
      <c r="H850" s="13" t="str">
        <f>'1.3 Prod Bersih Ubi Kayu 2025'!K852</f>
        <v/>
      </c>
      <c r="I850" s="13" t="str">
        <f>'1.4 Prod Bersih Ubi Jalar 2025'!K852</f>
        <v/>
      </c>
      <c r="J850" s="13" t="str">
        <f>'1.5 Prod Bersih Sagu 2025'!K852</f>
        <v/>
      </c>
      <c r="K850" s="13" t="str">
        <f>'1.6 Prod Bersih Pisang 2025'!K852</f>
        <v/>
      </c>
      <c r="L850" s="15">
        <f t="shared" si="39"/>
        <v>0</v>
      </c>
      <c r="M850" s="14" t="str">
        <f>IF(D850="","",VLOOKUP(D850,'[1]0.1 Produksi Pangan &amp; Penduduk'!$D$5:$AU$704,44,0))</f>
        <v/>
      </c>
      <c r="N850" s="26" t="str">
        <f t="shared" si="40"/>
        <v/>
      </c>
      <c r="O850" s="16"/>
      <c r="P850" s="25" t="str">
        <f t="shared" si="41"/>
        <v/>
      </c>
      <c r="Q850" s="8"/>
    </row>
    <row r="851" spans="1:17" ht="15" x14ac:dyDescent="0.25">
      <c r="A851" s="3" t="str">
        <f>IF('1.1 Produksi Bersih Padi 2025'!A853="","",'1.1 Produksi Bersih Padi 2025'!A853)</f>
        <v/>
      </c>
      <c r="B851" s="32" t="str">
        <f>IF('1.1 Produksi Bersih Padi 2025'!B853="","",'1.1 Produksi Bersih Padi 2025'!B853)</f>
        <v/>
      </c>
      <c r="C851" s="32" t="str">
        <f>IF('1.1 Produksi Bersih Padi 2025'!C853="","",'1.1 Produksi Bersih Padi 2025'!C853)</f>
        <v/>
      </c>
      <c r="D851" s="3" t="str">
        <f>IF('1.1 Produksi Bersih Padi 2025'!D853="","",'1.1 Produksi Bersih Padi 2025'!D853)</f>
        <v/>
      </c>
      <c r="E851" s="3" t="str">
        <f>IF('1.1 Produksi Bersih Padi 2025'!E853="","",'1.1 Produksi Bersih Padi 2025'!E853)</f>
        <v/>
      </c>
      <c r="F851" s="13" t="str">
        <f>'1.1 Produksi Bersih Padi 2025'!Q853</f>
        <v/>
      </c>
      <c r="G851" s="13" t="str">
        <f>'1.2 Produksi Bersih Jagung 2025'!L853</f>
        <v/>
      </c>
      <c r="H851" s="13" t="str">
        <f>'1.3 Prod Bersih Ubi Kayu 2025'!K853</f>
        <v/>
      </c>
      <c r="I851" s="13" t="str">
        <f>'1.4 Prod Bersih Ubi Jalar 2025'!K853</f>
        <v/>
      </c>
      <c r="J851" s="13" t="str">
        <f>'1.5 Prod Bersih Sagu 2025'!K853</f>
        <v/>
      </c>
      <c r="K851" s="13" t="str">
        <f>'1.6 Prod Bersih Pisang 2025'!K853</f>
        <v/>
      </c>
      <c r="L851" s="15">
        <f t="shared" si="39"/>
        <v>0</v>
      </c>
      <c r="M851" s="14" t="str">
        <f>IF(D851="","",VLOOKUP(D851,'[1]0.1 Produksi Pangan &amp; Penduduk'!$D$5:$AU$704,44,0))</f>
        <v/>
      </c>
      <c r="N851" s="26" t="str">
        <f t="shared" si="40"/>
        <v/>
      </c>
      <c r="O851" s="16"/>
      <c r="P851" s="25" t="str">
        <f t="shared" si="41"/>
        <v/>
      </c>
      <c r="Q851" s="8"/>
    </row>
    <row r="852" spans="1:17" ht="15" x14ac:dyDescent="0.25">
      <c r="A852" s="3" t="str">
        <f>IF('1.1 Produksi Bersih Padi 2025'!A854="","",'1.1 Produksi Bersih Padi 2025'!A854)</f>
        <v/>
      </c>
      <c r="B852" s="32" t="str">
        <f>IF('1.1 Produksi Bersih Padi 2025'!B854="","",'1.1 Produksi Bersih Padi 2025'!B854)</f>
        <v/>
      </c>
      <c r="C852" s="32" t="str">
        <f>IF('1.1 Produksi Bersih Padi 2025'!C854="","",'1.1 Produksi Bersih Padi 2025'!C854)</f>
        <v/>
      </c>
      <c r="D852" s="3" t="str">
        <f>IF('1.1 Produksi Bersih Padi 2025'!D854="","",'1.1 Produksi Bersih Padi 2025'!D854)</f>
        <v/>
      </c>
      <c r="E852" s="3" t="str">
        <f>IF('1.1 Produksi Bersih Padi 2025'!E854="","",'1.1 Produksi Bersih Padi 2025'!E854)</f>
        <v/>
      </c>
      <c r="F852" s="13" t="str">
        <f>'1.1 Produksi Bersih Padi 2025'!Q854</f>
        <v/>
      </c>
      <c r="G852" s="13" t="str">
        <f>'1.2 Produksi Bersih Jagung 2025'!L854</f>
        <v/>
      </c>
      <c r="H852" s="13" t="str">
        <f>'1.3 Prod Bersih Ubi Kayu 2025'!K854</f>
        <v/>
      </c>
      <c r="I852" s="13" t="str">
        <f>'1.4 Prod Bersih Ubi Jalar 2025'!K854</f>
        <v/>
      </c>
      <c r="J852" s="13" t="str">
        <f>'1.5 Prod Bersih Sagu 2025'!K854</f>
        <v/>
      </c>
      <c r="K852" s="13" t="str">
        <f>'1.6 Prod Bersih Pisang 2025'!K854</f>
        <v/>
      </c>
      <c r="L852" s="15">
        <f t="shared" si="39"/>
        <v>0</v>
      </c>
      <c r="M852" s="14" t="str">
        <f>IF(D852="","",VLOOKUP(D852,'[1]0.1 Produksi Pangan &amp; Penduduk'!$D$5:$AU$704,44,0))</f>
        <v/>
      </c>
      <c r="N852" s="26" t="str">
        <f t="shared" si="40"/>
        <v/>
      </c>
      <c r="O852" s="16"/>
      <c r="P852" s="25" t="str">
        <f t="shared" si="41"/>
        <v/>
      </c>
      <c r="Q852" s="8"/>
    </row>
    <row r="853" spans="1:17" ht="15" x14ac:dyDescent="0.25">
      <c r="A853" s="3" t="str">
        <f>IF('1.1 Produksi Bersih Padi 2025'!A855="","",'1.1 Produksi Bersih Padi 2025'!A855)</f>
        <v/>
      </c>
      <c r="B853" s="32" t="str">
        <f>IF('1.1 Produksi Bersih Padi 2025'!B855="","",'1.1 Produksi Bersih Padi 2025'!B855)</f>
        <v/>
      </c>
      <c r="C853" s="32" t="str">
        <f>IF('1.1 Produksi Bersih Padi 2025'!C855="","",'1.1 Produksi Bersih Padi 2025'!C855)</f>
        <v/>
      </c>
      <c r="D853" s="3" t="str">
        <f>IF('1.1 Produksi Bersih Padi 2025'!D855="","",'1.1 Produksi Bersih Padi 2025'!D855)</f>
        <v/>
      </c>
      <c r="E853" s="3" t="str">
        <f>IF('1.1 Produksi Bersih Padi 2025'!E855="","",'1.1 Produksi Bersih Padi 2025'!E855)</f>
        <v/>
      </c>
      <c r="F853" s="13" t="str">
        <f>'1.1 Produksi Bersih Padi 2025'!Q855</f>
        <v/>
      </c>
      <c r="G853" s="13" t="str">
        <f>'1.2 Produksi Bersih Jagung 2025'!L855</f>
        <v/>
      </c>
      <c r="H853" s="13" t="str">
        <f>'1.3 Prod Bersih Ubi Kayu 2025'!K855</f>
        <v/>
      </c>
      <c r="I853" s="13" t="str">
        <f>'1.4 Prod Bersih Ubi Jalar 2025'!K855</f>
        <v/>
      </c>
      <c r="J853" s="13" t="str">
        <f>'1.5 Prod Bersih Sagu 2025'!K855</f>
        <v/>
      </c>
      <c r="K853" s="13" t="str">
        <f>'1.6 Prod Bersih Pisang 2025'!K855</f>
        <v/>
      </c>
      <c r="L853" s="15">
        <f t="shared" si="39"/>
        <v>0</v>
      </c>
      <c r="M853" s="14" t="str">
        <f>IF(D853="","",VLOOKUP(D853,'[1]0.1 Produksi Pangan &amp; Penduduk'!$D$5:$AU$704,44,0))</f>
        <v/>
      </c>
      <c r="N853" s="26" t="str">
        <f t="shared" si="40"/>
        <v/>
      </c>
      <c r="O853" s="16"/>
      <c r="P853" s="25" t="str">
        <f t="shared" si="41"/>
        <v/>
      </c>
      <c r="Q853" s="8"/>
    </row>
    <row r="854" spans="1:17" ht="15" x14ac:dyDescent="0.25">
      <c r="A854" s="3" t="str">
        <f>IF('1.1 Produksi Bersih Padi 2025'!A856="","",'1.1 Produksi Bersih Padi 2025'!A856)</f>
        <v/>
      </c>
      <c r="B854" s="32" t="str">
        <f>IF('1.1 Produksi Bersih Padi 2025'!B856="","",'1.1 Produksi Bersih Padi 2025'!B856)</f>
        <v/>
      </c>
      <c r="C854" s="32" t="str">
        <f>IF('1.1 Produksi Bersih Padi 2025'!C856="","",'1.1 Produksi Bersih Padi 2025'!C856)</f>
        <v/>
      </c>
      <c r="D854" s="3" t="str">
        <f>IF('1.1 Produksi Bersih Padi 2025'!D856="","",'1.1 Produksi Bersih Padi 2025'!D856)</f>
        <v/>
      </c>
      <c r="E854" s="3" t="str">
        <f>IF('1.1 Produksi Bersih Padi 2025'!E856="","",'1.1 Produksi Bersih Padi 2025'!E856)</f>
        <v/>
      </c>
      <c r="F854" s="13" t="str">
        <f>'1.1 Produksi Bersih Padi 2025'!Q856</f>
        <v/>
      </c>
      <c r="G854" s="13" t="str">
        <f>'1.2 Produksi Bersih Jagung 2025'!L856</f>
        <v/>
      </c>
      <c r="H854" s="13" t="str">
        <f>'1.3 Prod Bersih Ubi Kayu 2025'!K856</f>
        <v/>
      </c>
      <c r="I854" s="13" t="str">
        <f>'1.4 Prod Bersih Ubi Jalar 2025'!K856</f>
        <v/>
      </c>
      <c r="J854" s="13" t="str">
        <f>'1.5 Prod Bersih Sagu 2025'!K856</f>
        <v/>
      </c>
      <c r="K854" s="13" t="str">
        <f>'1.6 Prod Bersih Pisang 2025'!K856</f>
        <v/>
      </c>
      <c r="L854" s="15">
        <f t="shared" si="39"/>
        <v>0</v>
      </c>
      <c r="M854" s="14" t="str">
        <f>IF(D854="","",VLOOKUP(D854,'[1]0.1 Produksi Pangan &amp; Penduduk'!$D$5:$AU$704,44,0))</f>
        <v/>
      </c>
      <c r="N854" s="26" t="str">
        <f t="shared" si="40"/>
        <v/>
      </c>
      <c r="O854" s="16"/>
      <c r="P854" s="25" t="str">
        <f t="shared" si="41"/>
        <v/>
      </c>
      <c r="Q854" s="8"/>
    </row>
    <row r="855" spans="1:17" ht="15" x14ac:dyDescent="0.25">
      <c r="A855" s="3" t="str">
        <f>IF('1.1 Produksi Bersih Padi 2025'!A857="","",'1.1 Produksi Bersih Padi 2025'!A857)</f>
        <v/>
      </c>
      <c r="B855" s="32" t="str">
        <f>IF('1.1 Produksi Bersih Padi 2025'!B857="","",'1.1 Produksi Bersih Padi 2025'!B857)</f>
        <v/>
      </c>
      <c r="C855" s="32" t="str">
        <f>IF('1.1 Produksi Bersih Padi 2025'!C857="","",'1.1 Produksi Bersih Padi 2025'!C857)</f>
        <v/>
      </c>
      <c r="D855" s="3" t="str">
        <f>IF('1.1 Produksi Bersih Padi 2025'!D857="","",'1.1 Produksi Bersih Padi 2025'!D857)</f>
        <v/>
      </c>
      <c r="E855" s="3" t="str">
        <f>IF('1.1 Produksi Bersih Padi 2025'!E857="","",'1.1 Produksi Bersih Padi 2025'!E857)</f>
        <v/>
      </c>
      <c r="F855" s="13" t="str">
        <f>'1.1 Produksi Bersih Padi 2025'!Q857</f>
        <v/>
      </c>
      <c r="G855" s="13" t="str">
        <f>'1.2 Produksi Bersih Jagung 2025'!L857</f>
        <v/>
      </c>
      <c r="H855" s="13" t="str">
        <f>'1.3 Prod Bersih Ubi Kayu 2025'!K857</f>
        <v/>
      </c>
      <c r="I855" s="13" t="str">
        <f>'1.4 Prod Bersih Ubi Jalar 2025'!K857</f>
        <v/>
      </c>
      <c r="J855" s="13" t="str">
        <f>'1.5 Prod Bersih Sagu 2025'!K857</f>
        <v/>
      </c>
      <c r="K855" s="13" t="str">
        <f>'1.6 Prod Bersih Pisang 2025'!K857</f>
        <v/>
      </c>
      <c r="L855" s="15">
        <f t="shared" si="39"/>
        <v>0</v>
      </c>
      <c r="M855" s="14" t="str">
        <f>IF(D855="","",VLOOKUP(D855,'[1]0.1 Produksi Pangan &amp; Penduduk'!$D$5:$AU$704,44,0))</f>
        <v/>
      </c>
      <c r="N855" s="26" t="str">
        <f t="shared" si="40"/>
        <v/>
      </c>
      <c r="O855" s="16"/>
      <c r="P855" s="25" t="str">
        <f t="shared" si="41"/>
        <v/>
      </c>
      <c r="Q855" s="8"/>
    </row>
    <row r="856" spans="1:17" ht="15" x14ac:dyDescent="0.25">
      <c r="A856" s="3" t="str">
        <f>IF('1.1 Produksi Bersih Padi 2025'!A858="","",'1.1 Produksi Bersih Padi 2025'!A858)</f>
        <v/>
      </c>
      <c r="B856" s="32" t="str">
        <f>IF('1.1 Produksi Bersih Padi 2025'!B858="","",'1.1 Produksi Bersih Padi 2025'!B858)</f>
        <v/>
      </c>
      <c r="C856" s="32" t="str">
        <f>IF('1.1 Produksi Bersih Padi 2025'!C858="","",'1.1 Produksi Bersih Padi 2025'!C858)</f>
        <v/>
      </c>
      <c r="D856" s="3" t="str">
        <f>IF('1.1 Produksi Bersih Padi 2025'!D858="","",'1.1 Produksi Bersih Padi 2025'!D858)</f>
        <v/>
      </c>
      <c r="E856" s="3" t="str">
        <f>IF('1.1 Produksi Bersih Padi 2025'!E858="","",'1.1 Produksi Bersih Padi 2025'!E858)</f>
        <v/>
      </c>
      <c r="F856" s="13" t="str">
        <f>'1.1 Produksi Bersih Padi 2025'!Q858</f>
        <v/>
      </c>
      <c r="G856" s="13" t="str">
        <f>'1.2 Produksi Bersih Jagung 2025'!L858</f>
        <v/>
      </c>
      <c r="H856" s="13" t="str">
        <f>'1.3 Prod Bersih Ubi Kayu 2025'!K858</f>
        <v/>
      </c>
      <c r="I856" s="13" t="str">
        <f>'1.4 Prod Bersih Ubi Jalar 2025'!K858</f>
        <v/>
      </c>
      <c r="J856" s="13" t="str">
        <f>'1.5 Prod Bersih Sagu 2025'!K858</f>
        <v/>
      </c>
      <c r="K856" s="13" t="str">
        <f>'1.6 Prod Bersih Pisang 2025'!K858</f>
        <v/>
      </c>
      <c r="L856" s="15">
        <f t="shared" si="39"/>
        <v>0</v>
      </c>
      <c r="M856" s="14" t="str">
        <f>IF(D856="","",VLOOKUP(D856,'[1]0.1 Produksi Pangan &amp; Penduduk'!$D$5:$AU$704,44,0))</f>
        <v/>
      </c>
      <c r="N856" s="26" t="str">
        <f t="shared" si="40"/>
        <v/>
      </c>
      <c r="O856" s="16"/>
      <c r="P856" s="25" t="str">
        <f t="shared" si="41"/>
        <v/>
      </c>
      <c r="Q856" s="8"/>
    </row>
    <row r="857" spans="1:17" ht="15" x14ac:dyDescent="0.25">
      <c r="A857" s="39" t="str">
        <f>IF('1.1 Produksi Bersih Padi 2025'!A859="","",'1.1 Produksi Bersih Padi 2025'!A859)</f>
        <v/>
      </c>
      <c r="B857" s="40" t="str">
        <f>IF('1.1 Produksi Bersih Padi 2025'!B859="","",'1.1 Produksi Bersih Padi 2025'!B859)</f>
        <v/>
      </c>
      <c r="C857" s="40" t="str">
        <f>IF('1.1 Produksi Bersih Padi 2025'!C859="","",'1.1 Produksi Bersih Padi 2025'!C859)</f>
        <v/>
      </c>
      <c r="D857" s="39" t="str">
        <f>IF('1.1 Produksi Bersih Padi 2025'!D859="","",'1.1 Produksi Bersih Padi 2025'!D859)</f>
        <v/>
      </c>
      <c r="E857" s="39" t="str">
        <f>IF('1.1 Produksi Bersih Padi 2025'!E859="","",'1.1 Produksi Bersih Padi 2025'!E859)</f>
        <v/>
      </c>
      <c r="F857" s="41" t="str">
        <f>'1.1 Produksi Bersih Padi 2025'!Q859</f>
        <v/>
      </c>
      <c r="G857" s="41" t="str">
        <f>'1.2 Produksi Bersih Jagung 2025'!L859</f>
        <v/>
      </c>
      <c r="H857" s="41" t="str">
        <f>'1.3 Prod Bersih Ubi Kayu 2025'!K859</f>
        <v/>
      </c>
      <c r="I857" s="41" t="str">
        <f>'1.4 Prod Bersih Ubi Jalar 2025'!K859</f>
        <v/>
      </c>
      <c r="J857" s="41" t="str">
        <f>'1.5 Prod Bersih Sagu 2025'!K859</f>
        <v/>
      </c>
      <c r="K857" s="41" t="str">
        <f>'1.6 Prod Bersih Pisang 2025'!K859</f>
        <v/>
      </c>
      <c r="L857" s="42">
        <f t="shared" si="39"/>
        <v>0</v>
      </c>
      <c r="M857" s="14" t="str">
        <f>IF(D857="","",VLOOKUP(D857,'[1]0.1 Produksi Pangan &amp; Penduduk'!$D$5:$AU$704,44,0))</f>
        <v/>
      </c>
      <c r="N857" s="43" t="str">
        <f t="shared" si="40"/>
        <v/>
      </c>
      <c r="O857" s="16"/>
      <c r="P857" s="44" t="str">
        <f t="shared" si="41"/>
        <v/>
      </c>
      <c r="Q857" s="8"/>
    </row>
    <row r="858" spans="1:17" s="51" customFormat="1" ht="15" x14ac:dyDescent="0.25">
      <c r="A858" s="45"/>
      <c r="B858" s="46"/>
      <c r="C858" s="46"/>
      <c r="D858" s="45"/>
      <c r="E858" s="45"/>
      <c r="F858" s="47"/>
      <c r="G858" s="47"/>
      <c r="H858" s="47"/>
      <c r="I858" s="47"/>
      <c r="J858" s="47"/>
      <c r="K858" s="47"/>
      <c r="L858" s="48"/>
      <c r="M858" s="49"/>
      <c r="N858" s="48"/>
      <c r="O858" s="50"/>
      <c r="P858" s="47"/>
    </row>
    <row r="859" spans="1:17" ht="15" x14ac:dyDescent="0.25">
      <c r="A859" s="52"/>
      <c r="B859" s="53"/>
      <c r="C859" s="53"/>
      <c r="D859" s="52"/>
      <c r="E859" s="52"/>
      <c r="F859" s="54"/>
      <c r="G859" s="54"/>
      <c r="H859" s="54"/>
      <c r="I859" s="54"/>
      <c r="J859" s="54"/>
      <c r="K859" s="54"/>
      <c r="L859" s="55"/>
      <c r="M859" s="56"/>
      <c r="N859" s="55"/>
      <c r="O859" s="57"/>
      <c r="P859" s="54"/>
    </row>
    <row r="860" spans="1:17" ht="15" x14ac:dyDescent="0.25">
      <c r="A860" s="52"/>
      <c r="B860" s="53"/>
      <c r="C860" s="53"/>
      <c r="D860" s="52"/>
      <c r="E860" s="52"/>
      <c r="F860" s="54"/>
      <c r="G860" s="54"/>
      <c r="H860" s="54"/>
      <c r="I860" s="54"/>
      <c r="J860" s="54"/>
      <c r="K860" s="54"/>
      <c r="L860" s="55"/>
      <c r="M860" s="56"/>
      <c r="N860" s="55"/>
      <c r="O860" s="57"/>
      <c r="P860" s="54"/>
    </row>
  </sheetData>
  <sheetProtection algorithmName="SHA-512" hashValue="rd53FTtMfMCMBO9TGJXFgpILoURYpqAIaMoGxUtMLpZugZ4WMj3y3LoEWK5V4F6wL1Sa2A8c55ziSY8GknCsiw==" saltValue="zF5WIUCFrNlVNQ1Y8J0IHA==" spinCount="100000" sheet="1"/>
  <protectedRanges>
    <protectedRange sqref="P3:P860" name="Range1"/>
    <protectedRange sqref="F2:I2" name="Range1_2"/>
    <protectedRange sqref="M1:N1" name="Range1_1_1"/>
    <protectedRange sqref="J2:K2" name="Range1_3_1"/>
    <protectedRange sqref="I1" name="Range1_1_2"/>
  </protectedRanges>
  <mergeCells count="1">
    <mergeCell ref="A1:H1"/>
  </mergeCells>
  <phoneticPr fontId="4" type="noConversion"/>
  <pageMargins left="0.75" right="0.75" top="1" bottom="1" header="0.5" footer="0.5"/>
  <pageSetup orientation="portrait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1.1 Produksi Bersih Padi 2025</vt:lpstr>
      <vt:lpstr>1.2 Produksi Bersih Jagung 2025</vt:lpstr>
      <vt:lpstr>1.3 Prod Bersih Ubi Kayu 2025</vt:lpstr>
      <vt:lpstr>1.4 Prod Bersih Ubi Jalar 2025</vt:lpstr>
      <vt:lpstr>1.5 Prod Bersih Sagu 2025</vt:lpstr>
      <vt:lpstr>1.6 Prod Bersih Pisang 2025</vt:lpstr>
      <vt:lpstr>1.7 NCPR</vt:lpstr>
      <vt:lpstr>'1.4 Prod Bersih Ubi Jalar 2025'!Print_Area</vt:lpstr>
      <vt:lpstr>'1.5 Prod Bersih Sagu 2025'!Print_Area</vt:lpstr>
      <vt:lpstr>'1.6 Prod Bersih Pisang 2025'!Print_Area</vt:lpstr>
    </vt:vector>
  </TitlesOfParts>
  <Company>WFP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Dedi Junadi</dc:creator>
  <cp:lastModifiedBy>THINKPAD</cp:lastModifiedBy>
  <cp:lastPrinted>2009-02-26T03:24:25Z</cp:lastPrinted>
  <dcterms:created xsi:type="dcterms:W3CDTF">2008-12-17T04:31:09Z</dcterms:created>
  <dcterms:modified xsi:type="dcterms:W3CDTF">2026-07-31T10:40:04Z</dcterms:modified>
</cp:coreProperties>
</file>